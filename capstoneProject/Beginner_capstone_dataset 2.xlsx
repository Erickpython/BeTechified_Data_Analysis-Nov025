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2.xml" ContentType="application/vnd.openxmlformats-officedocument.spreadsheetml.pivotTable+xml"/>
  <Override PartName="/xl/pivotTables/_rels/pivotTable7.xml.rels" ContentType="application/vnd.openxmlformats-package.relationships+xml"/>
  <Override PartName="/xl/pivotTables/_rels/pivotTable6.xml.rels" ContentType="application/vnd.openxmlformats-package.relationships+xml"/>
  <Override PartName="/xl/pivotTables/_rels/pivotTable5.xml.rels" ContentType="application/vnd.openxmlformats-package.relationships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4.xml.rels" ContentType="application/vnd.openxmlformats-package.relationships+xml"/>
  <Override PartName="/xl/pivotTables/_rels/pivotTable1.xml.rels" ContentType="application/vnd.openxmlformats-package.relationships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media/image1.png" ContentType="image/p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SHBOARD" sheetId="1" state="visible" r:id="rId3"/>
    <sheet name="Data Sales Adidas" sheetId="2" state="visible" r:id="rId4"/>
    <sheet name="Pivot Table_Data Sales Adidas_1" sheetId="3" state="visible" r:id="rId5"/>
    <sheet name="Q7-PRODUCTS PERFORMANCE ACROSS " sheetId="4" state="visible" r:id="rId6"/>
    <sheet name="Q6-PRODUCTS DEMAND" sheetId="5" state="visible" r:id="rId7"/>
    <sheet name="Q5-REVENUE CHANNELS" sheetId="6" state="visible" r:id="rId8"/>
    <sheet name="Q4-RETAILERS PERFORMANCE " sheetId="7" state="visible" r:id="rId9"/>
    <sheet name="Q3-SALES TREND" sheetId="8" state="visible" r:id="rId10"/>
    <sheet name="Q2-SALES PER REGION" sheetId="9" state="visible" r:id="rId11"/>
  </sheets>
  <definedNames>
    <definedName function="false" hidden="true" localSheetId="1" name="_xlnm._FilterDatabase" vbProcedure="false">'Data Sales Adidas'!$B$5:$N$9653</definedName>
  </definedNames>
  <calcPr iterateCount="100" refMode="A1" iterate="false" iterateDelta="0.0001"/>
  <pivotCaches>
    <pivotCache cacheId="1" r:id="rId13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<sst xmlns="http://schemas.openxmlformats.org/spreadsheetml/2006/main" count="58057" uniqueCount="160">
  <si>
    <t xml:space="preserve">ADIDAS SALES DASHBOARD </t>
  </si>
  <si>
    <t xml:space="preserve">Adidas Sales Database</t>
  </si>
  <si>
    <t xml:space="preserve">Grand Total </t>
  </si>
  <si>
    <t xml:space="preserve">Retailer</t>
  </si>
  <si>
    <t xml:space="preserve">Retailer ID</t>
  </si>
  <si>
    <t xml:space="preserve">Invoice Date</t>
  </si>
  <si>
    <t xml:space="preserve">Region</t>
  </si>
  <si>
    <t xml:space="preserve">State</t>
  </si>
  <si>
    <t xml:space="preserve">City</t>
  </si>
  <si>
    <t xml:space="preserve">Product</t>
  </si>
  <si>
    <t xml:space="preserve">Price per Unit</t>
  </si>
  <si>
    <t xml:space="preserve">Units Sold</t>
  </si>
  <si>
    <t xml:space="preserve">Total Sales</t>
  </si>
  <si>
    <t xml:space="preserve">Operating Profit</t>
  </si>
  <si>
    <t xml:space="preserve">Operating Margin</t>
  </si>
  <si>
    <t xml:space="preserve">Sales Method</t>
  </si>
  <si>
    <t xml:space="preserve">Foot Locker</t>
  </si>
  <si>
    <t xml:space="preserve">Northeast</t>
  </si>
  <si>
    <t xml:space="preserve">New York</t>
  </si>
  <si>
    <t xml:space="preserve">Men's Street Footwear</t>
  </si>
  <si>
    <t xml:space="preserve">In-store</t>
  </si>
  <si>
    <t xml:space="preserve">Men's Athletic Footwear</t>
  </si>
  <si>
    <t xml:space="preserve">Women's Street Footwear</t>
  </si>
  <si>
    <t xml:space="preserve">Women's Athletic Footwear</t>
  </si>
  <si>
    <t xml:space="preserve">Men's Apparel</t>
  </si>
  <si>
    <t xml:space="preserve">Women's Apparel</t>
  </si>
  <si>
    <t xml:space="preserve">Outlet</t>
  </si>
  <si>
    <t xml:space="preserve">Walmart</t>
  </si>
  <si>
    <t xml:space="preserve">Sports Direct</t>
  </si>
  <si>
    <t xml:space="preserve">South</t>
  </si>
  <si>
    <t xml:space="preserve">Texas</t>
  </si>
  <si>
    <t xml:space="preserve">Houston</t>
  </si>
  <si>
    <t xml:space="preserve">West Gear</t>
  </si>
  <si>
    <t xml:space="preserve">West</t>
  </si>
  <si>
    <t xml:space="preserve">California</t>
  </si>
  <si>
    <t xml:space="preserve">San Francisco</t>
  </si>
  <si>
    <t xml:space="preserve">Kohl's</t>
  </si>
  <si>
    <t xml:space="preserve">Los Angeles</t>
  </si>
  <si>
    <t xml:space="preserve">Midwest</t>
  </si>
  <si>
    <t xml:space="preserve">Illinois</t>
  </si>
  <si>
    <t xml:space="preserve">Chicago</t>
  </si>
  <si>
    <t xml:space="preserve">Dallas</t>
  </si>
  <si>
    <t xml:space="preserve">Pennsylvania</t>
  </si>
  <si>
    <t xml:space="preserve">Philadelphia</t>
  </si>
  <si>
    <t xml:space="preserve">Nevada</t>
  </si>
  <si>
    <t xml:space="preserve">Las Vegas</t>
  </si>
  <si>
    <t xml:space="preserve">Colorado</t>
  </si>
  <si>
    <t xml:space="preserve">Denver</t>
  </si>
  <si>
    <t xml:space="preserve">Washington</t>
  </si>
  <si>
    <t xml:space="preserve">Seattle</t>
  </si>
  <si>
    <t xml:space="preserve">Southeast</t>
  </si>
  <si>
    <t xml:space="preserve">Florida</t>
  </si>
  <si>
    <t xml:space="preserve">Miami</t>
  </si>
  <si>
    <t xml:space="preserve">Minnesota</t>
  </si>
  <si>
    <t xml:space="preserve">Minneapolis</t>
  </si>
  <si>
    <t xml:space="preserve">Montana</t>
  </si>
  <si>
    <t xml:space="preserve">Billings</t>
  </si>
  <si>
    <t xml:space="preserve">Tennessee</t>
  </si>
  <si>
    <t xml:space="preserve">Knoxville</t>
  </si>
  <si>
    <t xml:space="preserve">Nebraska</t>
  </si>
  <si>
    <t xml:space="preserve">Omaha</t>
  </si>
  <si>
    <t xml:space="preserve">Alabama</t>
  </si>
  <si>
    <t xml:space="preserve">Birmingham</t>
  </si>
  <si>
    <t xml:space="preserve">Amazon</t>
  </si>
  <si>
    <t xml:space="preserve">Maine</t>
  </si>
  <si>
    <t xml:space="preserve">Portland</t>
  </si>
  <si>
    <t xml:space="preserve">Alaska</t>
  </si>
  <si>
    <t xml:space="preserve">Anchorage</t>
  </si>
  <si>
    <t xml:space="preserve">Hawaii</t>
  </si>
  <si>
    <t xml:space="preserve">Honolulu</t>
  </si>
  <si>
    <t xml:space="preserve">Orlando</t>
  </si>
  <si>
    <t xml:space="preserve">Albany</t>
  </si>
  <si>
    <t xml:space="preserve">Wyoming</t>
  </si>
  <si>
    <t xml:space="preserve">Cheyenne</t>
  </si>
  <si>
    <t xml:space="preserve">Virginia</t>
  </si>
  <si>
    <t xml:space="preserve">Richmond</t>
  </si>
  <si>
    <t xml:space="preserve">Michigan</t>
  </si>
  <si>
    <t xml:space="preserve">Detroit</t>
  </si>
  <si>
    <t xml:space="preserve">Missouri</t>
  </si>
  <si>
    <t xml:space="preserve">St. Louis</t>
  </si>
  <si>
    <t xml:space="preserve">Utah</t>
  </si>
  <si>
    <t xml:space="preserve">Salt Lake City</t>
  </si>
  <si>
    <t xml:space="preserve">Oregon</t>
  </si>
  <si>
    <t xml:space="preserve">Louisiana</t>
  </si>
  <si>
    <t xml:space="preserve">New Orleans</t>
  </si>
  <si>
    <t xml:space="preserve">Online</t>
  </si>
  <si>
    <t xml:space="preserve">Idaho</t>
  </si>
  <si>
    <t xml:space="preserve">Boise</t>
  </si>
  <si>
    <t xml:space="preserve">Arizona</t>
  </si>
  <si>
    <t xml:space="preserve">Phoenix</t>
  </si>
  <si>
    <t xml:space="preserve">New Mexico</t>
  </si>
  <si>
    <t xml:space="preserve">Albuquerque</t>
  </si>
  <si>
    <t xml:space="preserve">Georgia</t>
  </si>
  <si>
    <t xml:space="preserve">Atlanta</t>
  </si>
  <si>
    <t xml:space="preserve">South Carolina</t>
  </si>
  <si>
    <t xml:space="preserve">Charleston</t>
  </si>
  <si>
    <t xml:space="preserve">North Carolina</t>
  </si>
  <si>
    <t xml:space="preserve">Charlotte</t>
  </si>
  <si>
    <t xml:space="preserve">Ohio</t>
  </si>
  <si>
    <t xml:space="preserve">Columbus</t>
  </si>
  <si>
    <t xml:space="preserve">Kentucky</t>
  </si>
  <si>
    <t xml:space="preserve">Louisville</t>
  </si>
  <si>
    <t xml:space="preserve">Mississippi</t>
  </si>
  <si>
    <t xml:space="preserve">Jackson</t>
  </si>
  <si>
    <t xml:space="preserve">Arkansas</t>
  </si>
  <si>
    <t xml:space="preserve">Little Rock</t>
  </si>
  <si>
    <t xml:space="preserve">Oklahoma</t>
  </si>
  <si>
    <t xml:space="preserve">Oklahoma City</t>
  </si>
  <si>
    <t xml:space="preserve">Kansas</t>
  </si>
  <si>
    <t xml:space="preserve">Wichita</t>
  </si>
  <si>
    <t xml:space="preserve">South Dakota</t>
  </si>
  <si>
    <t xml:space="preserve">Sioux Falls</t>
  </si>
  <si>
    <t xml:space="preserve">North Dakota</t>
  </si>
  <si>
    <t xml:space="preserve">Fargo</t>
  </si>
  <si>
    <t xml:space="preserve">Iowa</t>
  </si>
  <si>
    <t xml:space="preserve">Des Moines</t>
  </si>
  <si>
    <t xml:space="preserve">Wisconsin</t>
  </si>
  <si>
    <t xml:space="preserve">Milwaukee</t>
  </si>
  <si>
    <t xml:space="preserve">Indiana</t>
  </si>
  <si>
    <t xml:space="preserve">Indianapolis</t>
  </si>
  <si>
    <t xml:space="preserve">West Virginia</t>
  </si>
  <si>
    <t xml:space="preserve">Maryland</t>
  </si>
  <si>
    <t xml:space="preserve">Baltimore</t>
  </si>
  <si>
    <t xml:space="preserve">Delaware</t>
  </si>
  <si>
    <t xml:space="preserve">Wilmington</t>
  </si>
  <si>
    <t xml:space="preserve">New Jersey</t>
  </si>
  <si>
    <t xml:space="preserve">Newark</t>
  </si>
  <si>
    <t xml:space="preserve">Connecticut</t>
  </si>
  <si>
    <t xml:space="preserve">Hartford</t>
  </si>
  <si>
    <t xml:space="preserve">Rhode Island</t>
  </si>
  <si>
    <t xml:space="preserve">Providence</t>
  </si>
  <si>
    <t xml:space="preserve">Massachusetts</t>
  </si>
  <si>
    <t xml:space="preserve">Boston</t>
  </si>
  <si>
    <t xml:space="preserve">Vermont</t>
  </si>
  <si>
    <t xml:space="preserve">Burlington</t>
  </si>
  <si>
    <t xml:space="preserve">New Hampshire</t>
  </si>
  <si>
    <t xml:space="preserve">Manchester</t>
  </si>
  <si>
    <t xml:space="preserve">Sum - Total Sales</t>
  </si>
  <si>
    <t xml:space="preserve">Total Result</t>
  </si>
  <si>
    <t xml:space="preserve">Sum - Units Sold</t>
  </si>
  <si>
    <t xml:space="preserve">Years</t>
  </si>
  <si>
    <t xml:space="preserve">Quarters</t>
  </si>
  <si>
    <t xml:space="preserve">2020</t>
  </si>
  <si>
    <t xml:space="preserve">Q1</t>
  </si>
  <si>
    <t xml:space="preserve">Jan</t>
  </si>
  <si>
    <t xml:space="preserve">Feb</t>
  </si>
  <si>
    <t xml:space="preserve">Mar</t>
  </si>
  <si>
    <t xml:space="preserve">Q2</t>
  </si>
  <si>
    <t xml:space="preserve">Apr</t>
  </si>
  <si>
    <t xml:space="preserve">May</t>
  </si>
  <si>
    <t xml:space="preserve">Jun</t>
  </si>
  <si>
    <t xml:space="preserve">Q3</t>
  </si>
  <si>
    <t xml:space="preserve">Jul</t>
  </si>
  <si>
    <t xml:space="preserve">Aug</t>
  </si>
  <si>
    <t xml:space="preserve">Sep</t>
  </si>
  <si>
    <t xml:space="preserve">Q4</t>
  </si>
  <si>
    <t xml:space="preserve">Oct</t>
  </si>
  <si>
    <t xml:space="preserve">Nov</t>
  </si>
  <si>
    <t xml:space="preserve">Dec</t>
  </si>
  <si>
    <t xml:space="preserve">2021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</si>
</sst>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yy"/>
    <numFmt numFmtId="166" formatCode="\$#,##0.00_);[RED]&quot;($&quot;#,##0.00\)"/>
    <numFmt numFmtId="167" formatCode="#,##0"/>
    <numFmt numFmtId="168" formatCode="\$#,##0_);[RED]&quot;($&quot;#,##0\)"/>
    <numFmt numFmtId="169" formatCode="0%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36"/>
      <color rgb="FF000000"/>
      <name val="Open Sans Extrabold"/>
      <family val="2"/>
      <charset val="1"/>
    </font>
    <font>
      <b val="true"/>
      <sz val="32"/>
      <color rgb="FF000000"/>
      <name val="DejaVu Sans"/>
      <family val="2"/>
      <charset val="1"/>
    </font>
    <font>
      <b val="true"/>
      <sz val="22"/>
      <color rgb="FF000000"/>
      <name val="Calibri"/>
      <family val="2"/>
      <charset val="1"/>
    </font>
    <font>
      <b val="true"/>
      <sz val="18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0"/>
      <name val="Arial"/>
      <family val="2"/>
    </font>
    <font>
      <sz val="13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BB6BC"/>
        <bgColor rgb="FF00CCFF"/>
      </patternFill>
    </fill>
    <fill>
      <patternFill patternType="solid">
        <fgColor rgb="FF013693"/>
        <bgColor rgb="FF004586"/>
      </patternFill>
    </fill>
  </fills>
  <borders count="3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4" fillId="0" borderId="1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2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0" fillId="0" borderId="19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20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27" xfId="2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0" fillId="0" borderId="27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8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29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30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3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25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26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3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4">
    <dxf>
      <fill>
        <patternFill patternType="solid">
          <fgColor rgb="FF01369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0BB6BC"/>
      <rgbColor rgb="FF99CC00"/>
      <rgbColor rgb="FFFFD320"/>
      <rgbColor rgb="FFFF9900"/>
      <rgbColor rgb="FFFF420E"/>
      <rgbColor rgb="FF666699"/>
      <rgbColor rgb="FFB3B3B3"/>
      <rgbColor rgb="FF013693"/>
      <rgbColor rgb="FF339966"/>
      <rgbColor rgb="FF003300"/>
      <rgbColor rgb="FF333300"/>
      <rgbColor rgb="FF993300"/>
      <rgbColor rgb="FF993366"/>
      <rgbColor rgb="FF00458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<Relationship Id="rId13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6"/>
                <c:pt idx="0">
                  <c:v>16520632</c:v>
                </c:pt>
                <c:pt idx="1">
                  <c:v>20577180</c:v>
                </c:pt>
                <c:pt idx="2">
                  <c:v>27680769</c:v>
                </c:pt>
                <c:pt idx="3">
                  <c:v>23870985</c:v>
                </c:pt>
                <c:pt idx="4">
                  <c:v>14315521</c:v>
                </c:pt>
                <c:pt idx="5">
                  <c:v>17201563</c:v>
                </c:pt>
              </c:numCache>
            </c:numRef>
          </c:val>
        </c:ser>
        <c:gapWidth val="100"/>
        <c:overlap val="0"/>
        <c:axId val="61094693"/>
        <c:axId val="42692141"/>
      </c:barChart>
      <c:catAx>
        <c:axId val="6109469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42692141"/>
        <c:crosses val="autoZero"/>
        <c:auto val="1"/>
        <c:lblAlgn val="ctr"/>
        <c:lblOffset val="100"/>
        <c:noMultiLvlLbl val="0"/>
      </c:catAx>
      <c:valAx>
        <c:axId val="4269214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6109469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solidFill>
                  <a:srgbClr val="000000"/>
                </a:solidFill>
                <a:uFillTx/>
                <a:latin typeface="Arial"/>
                <a:ea typeface="DejaVu Sans"/>
              </a:rPr>
              <a:t>PRODUCTS DEMAND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1"/>
      <c:rotY val="25"/>
      <c:rAngAx val="1"/>
      <c:perspective val="40"/>
    </c:view3D>
    <c:floor>
      <c:spPr>
        <a:solidFill>
          <a:srgbClr val="cccccc"/>
        </a:solidFill>
        <a:ln w="0">
          <a:noFill/>
        </a:ln>
      </c:spPr>
    </c:floor>
    <c:sideWall>
      <c:spPr>
        <a:noFill/>
        <a:ln w="0">
          <a:solidFill>
            <a:srgbClr val="b3b3b3"/>
          </a:solidFill>
        </a:ln>
      </c:spPr>
    </c:sideWall>
    <c:backWall>
      <c:spPr>
        <a:noFill/>
        <a:ln w="0">
          <a:solidFill>
            <a:srgbClr val="b3b3b3"/>
          </a:solidFill>
        </a:ln>
      </c:spPr>
    </c:backWall>
    <c:plotArea>
      <c:bar3DChart>
        <c:barDir val="bar"/>
        <c:grouping val="stack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In-store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6"/>
                <c:pt idx="0">
                  <c:v>85375</c:v>
                </c:pt>
                <c:pt idx="1">
                  <c:v>117150</c:v>
                </c:pt>
                <c:pt idx="2">
                  <c:v>176030</c:v>
                </c:pt>
                <c:pt idx="3">
                  <c:v>120500</c:v>
                </c:pt>
                <c:pt idx="4">
                  <c:v>85450</c:v>
                </c:pt>
                <c:pt idx="5">
                  <c:v>105485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6"/>
                <c:pt idx="0">
                  <c:v>117766</c:v>
                </c:pt>
                <c:pt idx="1">
                  <c:v>163855</c:v>
                </c:pt>
                <c:pt idx="2">
                  <c:v>225121</c:v>
                </c:pt>
                <c:pt idx="3">
                  <c:v>163937</c:v>
                </c:pt>
                <c:pt idx="4">
                  <c:v>120755</c:v>
                </c:pt>
                <c:pt idx="5">
                  <c:v>147659</c:v>
                </c:pt>
              </c:numCache>
            </c:numRef>
          </c:val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Outlet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6"/>
                <c:pt idx="0">
                  <c:v>103542</c:v>
                </c:pt>
                <c:pt idx="1">
                  <c:v>154521</c:v>
                </c:pt>
                <c:pt idx="2">
                  <c:v>192169</c:v>
                </c:pt>
                <c:pt idx="3">
                  <c:v>149390</c:v>
                </c:pt>
                <c:pt idx="4">
                  <c:v>111031</c:v>
                </c:pt>
                <c:pt idx="5">
                  <c:v>139125</c:v>
                </c:pt>
              </c:numCache>
            </c:numRef>
          </c:val>
        </c:ser>
        <c:gapWidth val="100"/>
        <c:shape val="box"/>
        <c:axId val="34193200"/>
        <c:axId val="70920747"/>
        <c:axId val="0"/>
      </c:bar3DChart>
      <c:catAx>
        <c:axId val="341932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0920747"/>
        <c:crosses val="autoZero"/>
        <c:auto val="1"/>
        <c:lblAlgn val="ctr"/>
        <c:lblOffset val="100"/>
        <c:noMultiLvlLbl val="0"/>
      </c:catAx>
      <c:valAx>
        <c:axId val="7092074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4193200"/>
        <c:crosses val="autoZero"/>
        <c:crossBetween val="between"/>
      </c:valAx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112320</xdr:colOff>
      <xdr:row>0</xdr:row>
      <xdr:rowOff>63720</xdr:rowOff>
    </xdr:from>
    <xdr:to>
      <xdr:col>3</xdr:col>
      <xdr:colOff>482040</xdr:colOff>
      <xdr:row>3</xdr:row>
      <xdr:rowOff>476640</xdr:rowOff>
    </xdr:to>
    <xdr:pic>
      <xdr:nvPicPr>
        <xdr:cNvPr id="1" name="image2.png 2" descr=""/>
        <xdr:cNvPicPr/>
      </xdr:nvPicPr>
      <xdr:blipFill>
        <a:blip r:embed="rId1"/>
        <a:stretch/>
      </xdr:blipFill>
      <xdr:spPr>
        <a:xfrm>
          <a:off x="1401480" y="63720"/>
          <a:ext cx="1014120" cy="938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114480</xdr:colOff>
      <xdr:row>1</xdr:row>
      <xdr:rowOff>19080</xdr:rowOff>
    </xdr:from>
    <xdr:to>
      <xdr:col>1</xdr:col>
      <xdr:colOff>589680</xdr:colOff>
      <xdr:row>2</xdr:row>
      <xdr:rowOff>160920</xdr:rowOff>
    </xdr:to>
    <xdr:pic>
      <xdr:nvPicPr>
        <xdr:cNvPr id="2" name="image2.png 1" descr=""/>
        <xdr:cNvPicPr/>
      </xdr:nvPicPr>
      <xdr:blipFill>
        <a:blip r:embed="rId1"/>
        <a:stretch/>
      </xdr:blipFill>
      <xdr:spPr>
        <a:xfrm>
          <a:off x="294120" y="104760"/>
          <a:ext cx="475200" cy="322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590400</xdr:colOff>
      <xdr:row>11</xdr:row>
      <xdr:rowOff>42840</xdr:rowOff>
    </xdr:from>
    <xdr:to>
      <xdr:col>15</xdr:col>
      <xdr:colOff>537840</xdr:colOff>
      <xdr:row>31</xdr:row>
      <xdr:rowOff>31320</xdr:rowOff>
    </xdr:to>
    <xdr:graphicFrame>
      <xdr:nvGraphicFramePr>
        <xdr:cNvPr id="3" name=""/>
        <xdr:cNvGraphicFramePr/>
      </xdr:nvGraphicFramePr>
      <xdr:xfrm>
        <a:off x="5889600" y="19324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98640</xdr:colOff>
      <xdr:row>8</xdr:row>
      <xdr:rowOff>65160</xdr:rowOff>
    </xdr:from>
    <xdr:to>
      <xdr:col>13</xdr:col>
      <xdr:colOff>158760</xdr:colOff>
      <xdr:row>26</xdr:row>
      <xdr:rowOff>150480</xdr:rowOff>
    </xdr:to>
    <xdr:graphicFrame>
      <xdr:nvGraphicFramePr>
        <xdr:cNvPr id="4" name=""/>
        <xdr:cNvGraphicFramePr/>
      </xdr:nvGraphicFramePr>
      <xdr:xfrm>
        <a:off x="5542560" y="1467360"/>
        <a:ext cx="4580640" cy="324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9648" createdVersion="3">
  <cacheSource type="worksheet">
    <worksheetSource ref="B5:N9653" sheet="Data Sales Adidas"/>
  </cacheSource>
  <cacheFields count="15">
    <cacheField name="Retailer" numFmtId="0">
      <sharedItems count="6">
        <s v="Amazon"/>
        <s v="Foot Locker"/>
        <s v="Kohl's"/>
        <s v="Sports Direct"/>
        <s v="Walmart"/>
        <s v="West Gear"/>
      </sharedItems>
    </cacheField>
    <cacheField name="Retailer ID" numFmtId="0">
      <sharedItems containsSemiMixedTypes="0" containsString="0" containsNumber="1" containsInteger="1" minValue="1128299" maxValue="1197831" count="4">
        <n v="1128299"/>
        <n v="1185732"/>
        <n v="1189833"/>
        <n v="1197831"/>
      </sharedItems>
    </cacheField>
    <cacheField name="Invoice Date" numFmtId="0">
      <sharedItems containsSemiMixedTypes="0" containsNonDate="0" containsDate="1" containsString="0" minDate="2020-01-01T00:00:00" maxDate="2021-12-31T00:00:00" count="724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</sharedItems>
      <fieldGroup base="2">
        <rangePr groupBy="months" startDate="2020-01-01T00:00:00" endDate="2022-01-01T00:00:00"/>
        <groupItems count="14">
          <s v="&lt;01/0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2"/>
        </groupItems>
      </fieldGroup>
    </cacheField>
    <cacheField name="Region" numFmtId="0">
      <sharedItems count="5">
        <s v="Midwest"/>
        <s v="Northeast"/>
        <s v="South"/>
        <s v="Southeast"/>
        <s v="West"/>
      </sharedItems>
    </cacheField>
    <cacheField name="State" numFmtId="0">
      <sharedItems count="50">
        <s v="Alabama"/>
        <s v="Alaska"/>
        <s v="Arizona"/>
        <s v="Arkansas"/>
        <s v="California"/>
        <s v="Colorado"/>
        <s v="Connecticut"/>
        <s v="Delaware"/>
        <s v="Florida"/>
        <s v="Georgia"/>
        <s v="Hawaii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</sharedItems>
    </cacheField>
    <cacheField name="City" numFmtId="0">
      <sharedItems count="52">
        <s v="Albany"/>
        <s v="Albuquerque"/>
        <s v="Anchorage"/>
        <s v="Atlanta"/>
        <s v="Baltimore"/>
        <s v="Billings"/>
        <s v="Birmingham"/>
        <s v="Boise"/>
        <s v="Boston"/>
        <s v="Burlington"/>
        <s v="Charleston"/>
        <s v="Charlotte"/>
        <s v="Cheyenne"/>
        <s v="Chicago"/>
        <s v="Columbus"/>
        <s v="Dallas"/>
        <s v="Denver"/>
        <s v="Des Moines"/>
        <s v="Detroit"/>
        <s v="Fargo"/>
        <s v="Hartford"/>
        <s v="Honolulu"/>
        <s v="Houston"/>
        <s v="Indianapolis"/>
        <s v="Jackson"/>
        <s v="Knoxville"/>
        <s v="Las Vegas"/>
        <s v="Little Rock"/>
        <s v="Los Angeles"/>
        <s v="Louisville"/>
        <s v="Manchester"/>
        <s v="Miami"/>
        <s v="Milwaukee"/>
        <s v="Minneapolis"/>
        <s v="New Orleans"/>
        <s v="New York"/>
        <s v="Newark"/>
        <s v="Oklahoma City"/>
        <s v="Omaha"/>
        <s v="Orlando"/>
        <s v="Philadelphia"/>
        <s v="Phoenix"/>
        <s v="Portland"/>
        <s v="Providence"/>
        <s v="Richmond"/>
        <s v="Salt Lake City"/>
        <s v="San Francisco"/>
        <s v="Seattle"/>
        <s v="Sioux Falls"/>
        <s v="St. Louis"/>
        <s v="Wichita"/>
        <s v="Wilmington"/>
      </sharedItems>
    </cacheField>
    <cacheField name="Product" numFmtId="0">
      <sharedItems count="6">
        <s v="Men's Apparel"/>
        <s v="Men's Athletic Footwear"/>
        <s v="Men's Street Footwear"/>
        <s v="Women's Apparel"/>
        <s v="Women's Athletic Footwear"/>
        <s v="Women's Street Footwear"/>
      </sharedItems>
    </cacheField>
    <cacheField name="Price per Unit" numFmtId="0">
      <sharedItems containsSemiMixedTypes="0" containsString="0" containsNumber="1" containsInteger="1" minValue="7" maxValue="110" count="94"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2"/>
        <n v="95"/>
        <n v="96"/>
        <n v="97"/>
        <n v="98"/>
        <n v="100"/>
        <n v="101"/>
        <n v="103"/>
        <n v="105"/>
        <n v="110"/>
      </sharedItems>
    </cacheField>
    <cacheField name="Units Sold" numFmtId="0">
      <sharedItems containsSemiMixedTypes="0" containsString="0" containsNumber="1" containsInteger="1" minValue="0" maxValue="1275" count="361">
        <n v="0"/>
        <n v="6"/>
        <n v="7"/>
        <n v="8"/>
        <n v="13"/>
        <n v="14"/>
        <n v="15"/>
        <n v="16"/>
        <n v="17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8"/>
        <n v="69"/>
        <n v="70"/>
        <n v="72"/>
        <n v="73"/>
        <n v="74"/>
        <n v="75"/>
        <n v="77"/>
        <n v="78"/>
        <n v="79"/>
        <n v="80"/>
        <n v="81"/>
        <n v="83"/>
        <n v="84"/>
        <n v="85"/>
        <n v="86"/>
        <n v="87"/>
        <n v="88"/>
        <n v="90"/>
        <n v="91"/>
        <n v="93"/>
        <n v="94"/>
        <n v="95"/>
        <n v="96"/>
        <n v="98"/>
        <n v="99"/>
        <n v="100"/>
        <n v="101"/>
        <n v="102"/>
        <n v="103"/>
        <n v="104"/>
        <n v="105"/>
        <n v="106"/>
        <n v="107"/>
        <n v="108"/>
        <n v="109"/>
        <n v="111"/>
        <n v="112"/>
        <n v="113"/>
        <n v="114"/>
        <n v="115"/>
        <n v="116"/>
        <n v="117"/>
        <n v="118"/>
        <n v="119"/>
        <n v="120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9"/>
        <n v="150"/>
        <n v="151"/>
        <n v="152"/>
        <n v="153"/>
        <n v="154"/>
        <n v="155"/>
        <n v="156"/>
        <n v="157"/>
        <n v="158"/>
        <n v="160"/>
        <n v="161"/>
        <n v="162"/>
        <n v="163"/>
        <n v="164"/>
        <n v="165"/>
        <n v="166"/>
        <n v="167"/>
        <n v="168"/>
        <n v="169"/>
        <n v="170"/>
        <n v="171"/>
        <n v="173"/>
        <n v="174"/>
        <n v="175"/>
        <n v="176"/>
        <n v="177"/>
        <n v="178"/>
        <n v="179"/>
        <n v="180"/>
        <n v="181"/>
        <n v="182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8"/>
        <n v="200"/>
        <n v="201"/>
        <n v="202"/>
        <n v="203"/>
        <n v="204"/>
        <n v="206"/>
        <n v="207"/>
        <n v="208"/>
        <n v="209"/>
        <n v="210"/>
        <n v="213"/>
        <n v="215"/>
        <n v="216"/>
        <n v="217"/>
        <n v="218"/>
        <n v="219"/>
        <n v="220"/>
        <n v="221"/>
        <n v="223"/>
        <n v="224"/>
        <n v="225"/>
        <n v="228"/>
        <n v="230"/>
        <n v="231"/>
        <n v="232"/>
        <n v="233"/>
        <n v="234"/>
        <n v="236"/>
        <n v="238"/>
        <n v="239"/>
        <n v="240"/>
        <n v="241"/>
        <n v="243"/>
        <n v="244"/>
        <n v="245"/>
        <n v="246"/>
        <n v="247"/>
        <n v="248"/>
        <n v="250"/>
        <n v="252"/>
        <n v="254"/>
        <n v="255"/>
        <n v="256"/>
        <n v="257"/>
        <n v="258"/>
        <n v="259"/>
        <n v="260"/>
        <n v="261"/>
        <n v="263"/>
        <n v="264"/>
        <n v="265"/>
        <n v="267"/>
        <n v="268"/>
        <n v="270"/>
        <n v="271"/>
        <n v="272"/>
        <n v="273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3"/>
        <n v="294"/>
        <n v="295"/>
        <n v="296"/>
        <n v="297"/>
        <n v="298"/>
        <n v="299"/>
        <n v="300"/>
        <n v="302"/>
        <n v="304"/>
        <n v="305"/>
        <n v="306"/>
        <n v="308"/>
        <n v="310"/>
        <n v="311"/>
        <n v="312"/>
        <n v="313"/>
        <n v="314"/>
        <n v="315"/>
        <n v="317"/>
        <n v="318"/>
        <n v="319"/>
        <n v="320"/>
        <n v="322"/>
        <n v="323"/>
        <n v="324"/>
        <n v="325"/>
        <n v="326"/>
        <n v="330"/>
        <n v="332"/>
        <n v="333"/>
        <n v="336"/>
        <n v="338"/>
        <n v="340"/>
        <n v="341"/>
        <n v="345"/>
        <n v="347"/>
        <n v="349"/>
        <n v="350"/>
        <n v="352"/>
        <n v="354"/>
        <n v="355"/>
        <n v="359"/>
        <n v="360"/>
        <n v="366"/>
        <n v="372"/>
        <n v="374"/>
        <n v="375"/>
        <n v="376"/>
        <n v="384"/>
        <n v="388"/>
        <n v="390"/>
        <n v="395"/>
        <n v="400"/>
        <n v="403"/>
        <n v="408"/>
        <n v="420"/>
        <n v="425"/>
        <n v="434"/>
        <n v="445"/>
        <n v="450"/>
        <n v="470"/>
        <n v="475"/>
        <n v="495"/>
        <n v="500"/>
        <n v="520"/>
        <n v="525"/>
        <n v="545"/>
        <n v="550"/>
        <n v="570"/>
        <n v="575"/>
        <n v="595"/>
        <n v="600"/>
        <n v="620"/>
        <n v="625"/>
        <n v="645"/>
        <n v="650"/>
        <n v="670"/>
        <n v="675"/>
        <n v="695"/>
        <n v="700"/>
        <n v="720"/>
        <n v="725"/>
        <n v="745"/>
        <n v="750"/>
        <n v="770"/>
        <n v="775"/>
        <n v="795"/>
        <n v="800"/>
        <n v="820"/>
        <n v="825"/>
        <n v="850"/>
        <n v="870"/>
        <n v="875"/>
        <n v="900"/>
        <n v="920"/>
        <n v="925"/>
        <n v="945"/>
        <n v="950"/>
        <n v="975"/>
        <n v="1000"/>
        <n v="1020"/>
        <n v="1025"/>
        <n v="1045"/>
        <n v="1050"/>
        <n v="1070"/>
        <n v="1075"/>
        <n v="1100"/>
        <n v="1125"/>
        <n v="1150"/>
        <n v="1200"/>
        <n v="1220"/>
        <n v="1250"/>
        <n v="1275"/>
      </sharedItems>
    </cacheField>
    <cacheField name="Total Sales" numFmtId="0">
      <sharedItems containsSemiMixedTypes="0" containsString="0" containsNumber="1" containsInteger="1" minValue="0" maxValue="82500" count="3082">
        <n v="0"/>
        <n v="160"/>
        <n v="203"/>
        <n v="224"/>
        <n v="232"/>
        <n v="238"/>
        <n v="252"/>
        <n v="256"/>
        <n v="259"/>
        <n v="280"/>
        <n v="320"/>
        <n v="330"/>
        <n v="344"/>
        <n v="351"/>
        <n v="357"/>
        <n v="369"/>
        <n v="377"/>
        <n v="392"/>
        <n v="406"/>
        <n v="416"/>
        <n v="420"/>
        <n v="437"/>
        <n v="450"/>
        <n v="460"/>
        <n v="468"/>
        <n v="476"/>
        <n v="483"/>
        <n v="495"/>
        <n v="506"/>
        <n v="507"/>
        <n v="513"/>
        <n v="520"/>
        <n v="528"/>
        <n v="530"/>
        <n v="531"/>
        <n v="540"/>
        <n v="550"/>
        <n v="560"/>
        <n v="575"/>
        <n v="576"/>
        <n v="580"/>
        <n v="581"/>
        <n v="585"/>
        <n v="589"/>
        <n v="594"/>
        <n v="598"/>
        <n v="609"/>
        <n v="615"/>
        <n v="624"/>
        <n v="644"/>
        <n v="646"/>
        <n v="658"/>
        <n v="660"/>
        <n v="665"/>
        <n v="667"/>
        <n v="672"/>
        <n v="675"/>
        <n v="680"/>
        <n v="684"/>
        <n v="693"/>
        <n v="700"/>
        <n v="704"/>
        <n v="705"/>
        <n v="720"/>
        <n v="722"/>
        <n v="725"/>
        <n v="728"/>
        <n v="729"/>
        <n v="735"/>
        <n v="736"/>
        <n v="744"/>
        <n v="750"/>
        <n v="754"/>
        <n v="759"/>
        <n v="777"/>
        <n v="779"/>
        <n v="780"/>
        <n v="782"/>
        <n v="792"/>
        <n v="800"/>
        <n v="810"/>
        <n v="819"/>
        <n v="825"/>
        <n v="836"/>
        <n v="840"/>
        <n v="864"/>
        <n v="870"/>
        <n v="874"/>
        <n v="875"/>
        <n v="880"/>
        <n v="882"/>
        <n v="884"/>
        <n v="893"/>
        <n v="896"/>
        <n v="897"/>
        <n v="900"/>
        <n v="910"/>
        <n v="918"/>
        <n v="920"/>
        <n v="924"/>
        <n v="930"/>
        <n v="931"/>
        <n v="936"/>
        <n v="940"/>
        <n v="946"/>
        <n v="952"/>
        <n v="954"/>
        <n v="960"/>
        <n v="962"/>
        <n v="966"/>
        <n v="972"/>
        <n v="984"/>
        <n v="986"/>
        <n v="990"/>
        <n v="992"/>
        <n v="996"/>
        <n v="999"/>
        <n v="1000"/>
        <n v="1001"/>
        <n v="1008"/>
        <n v="1014"/>
        <n v="1026"/>
        <n v="1029"/>
        <n v="1036"/>
        <n v="1044"/>
        <n v="1045"/>
        <n v="1050"/>
        <n v="1053"/>
        <n v="1054"/>
        <n v="1056"/>
        <n v="1064"/>
        <n v="1066"/>
        <n v="1070"/>
        <n v="1081"/>
        <n v="1088"/>
        <n v="1089"/>
        <n v="1092"/>
        <n v="1102"/>
        <n v="1104"/>
        <n v="1107"/>
        <n v="1110"/>
        <n v="1116"/>
        <n v="1118"/>
        <n v="1120"/>
        <n v="1121"/>
        <n v="1122"/>
        <n v="1125"/>
        <n v="1127"/>
        <n v="1128"/>
        <n v="1131"/>
        <n v="1134"/>
        <n v="1140"/>
        <n v="1150"/>
        <n v="1156"/>
        <n v="1160"/>
        <n v="1162"/>
        <n v="1170"/>
        <n v="1173"/>
        <n v="1175"/>
        <n v="1176"/>
        <n v="1188"/>
        <n v="1189"/>
        <n v="1196"/>
        <n v="1200"/>
        <n v="1210"/>
        <n v="1215"/>
        <n v="1216"/>
        <n v="1218"/>
        <n v="1222"/>
        <n v="1224"/>
        <n v="1225"/>
        <n v="1232"/>
        <n v="1242"/>
        <n v="1248"/>
        <n v="1254"/>
        <n v="1258"/>
        <n v="1260"/>
        <n v="1265"/>
        <n v="1269"/>
        <n v="1271"/>
        <n v="1272"/>
        <n v="1275"/>
        <n v="1276"/>
        <n v="1280"/>
        <n v="1290"/>
        <n v="1292"/>
        <n v="1296"/>
        <n v="1300"/>
        <n v="1305"/>
        <n v="1310"/>
        <n v="1312"/>
        <n v="1316"/>
        <n v="1326"/>
        <n v="1330"/>
        <n v="1334"/>
        <n v="1344"/>
        <n v="1350"/>
        <n v="1353"/>
        <n v="1357"/>
        <n v="1360"/>
        <n v="1363"/>
        <n v="1364"/>
        <n v="1365"/>
        <n v="1368"/>
        <n v="1372"/>
        <n v="1376"/>
        <n v="1377"/>
        <n v="1380"/>
        <n v="1386"/>
        <n v="1387"/>
        <n v="1392"/>
        <n v="1394"/>
        <n v="1395"/>
        <n v="1400"/>
        <n v="1403"/>
        <n v="1404"/>
        <n v="1406"/>
        <n v="1408"/>
        <n v="1410"/>
        <n v="1411"/>
        <n v="1414"/>
        <n v="1416"/>
        <n v="1419"/>
        <n v="1421"/>
        <n v="1422"/>
        <n v="1425"/>
        <n v="1426"/>
        <n v="1428"/>
        <n v="1430"/>
        <n v="1435"/>
        <n v="1440"/>
        <n v="1443"/>
        <n v="1444"/>
        <n v="1450"/>
        <n v="1452"/>
        <n v="1457"/>
        <n v="1458"/>
        <n v="1462"/>
        <n v="1464"/>
        <n v="1470"/>
        <n v="1476"/>
        <n v="1479"/>
        <n v="1480"/>
        <n v="1482"/>
        <n v="1485"/>
        <n v="1488"/>
        <n v="1494"/>
        <n v="1495"/>
        <n v="1496"/>
        <n v="1498"/>
        <n v="1500"/>
        <n v="1504"/>
        <n v="1505"/>
        <n v="1508"/>
        <n v="1512"/>
        <n v="1518"/>
        <n v="1520"/>
        <n v="1521"/>
        <n v="1530"/>
        <n v="1536"/>
        <n v="1537"/>
        <n v="1539"/>
        <n v="1540"/>
        <n v="1548"/>
        <n v="1551"/>
        <n v="1558"/>
        <n v="1560"/>
        <n v="1564"/>
        <n v="1566"/>
        <n v="1568"/>
        <n v="1584"/>
        <n v="1586"/>
        <n v="1587"/>
        <n v="1593"/>
        <n v="1596"/>
        <n v="1599"/>
        <n v="1600"/>
        <n v="1610"/>
        <n v="1612"/>
        <n v="1615"/>
        <n v="1617"/>
        <n v="1620"/>
        <n v="1624"/>
        <n v="1628"/>
        <n v="1632"/>
        <n v="1638"/>
        <n v="1643"/>
        <n v="1645"/>
        <n v="1647"/>
        <n v="1650"/>
        <n v="1653"/>
        <n v="1656"/>
        <n v="1664"/>
        <n v="1665"/>
        <n v="1666"/>
        <n v="1672"/>
        <n v="1674"/>
        <n v="1677"/>
        <n v="1679"/>
        <n v="1680"/>
        <n v="1682"/>
        <n v="1683"/>
        <n v="1696"/>
        <n v="1700"/>
        <n v="1702"/>
        <n v="1710"/>
        <n v="1711"/>
        <n v="1715"/>
        <n v="1716"/>
        <n v="1722"/>
        <n v="1725"/>
        <n v="1728"/>
        <n v="1729"/>
        <n v="1734"/>
        <n v="1736"/>
        <n v="1739"/>
        <n v="1740"/>
        <n v="1749"/>
        <n v="1750"/>
        <n v="1752"/>
        <n v="1755"/>
        <n v="1764"/>
        <n v="1767"/>
        <n v="1768"/>
        <n v="1771"/>
        <n v="1776"/>
        <n v="1782"/>
        <n v="1786"/>
        <n v="1792"/>
        <n v="1794"/>
        <n v="1798"/>
        <n v="1800"/>
        <n v="1802"/>
        <n v="1804"/>
        <n v="1806"/>
        <n v="1820"/>
        <n v="1824"/>
        <n v="1827"/>
        <n v="1829"/>
        <n v="1833"/>
        <n v="1836"/>
        <n v="1840"/>
        <n v="1845"/>
        <n v="1848"/>
        <n v="1850"/>
        <n v="1855"/>
        <n v="1856"/>
        <n v="1860"/>
        <n v="1862"/>
        <n v="1863"/>
        <n v="1870"/>
        <n v="1872"/>
        <n v="1875"/>
        <n v="1885"/>
        <n v="1886"/>
        <n v="1887"/>
        <n v="1890"/>
        <n v="1891"/>
        <n v="1892"/>
        <n v="1900"/>
        <n v="1904"/>
        <n v="1908"/>
        <n v="1909"/>
        <n v="1911"/>
        <n v="1914"/>
        <n v="1919"/>
        <n v="1920"/>
        <n v="1924"/>
        <n v="1927"/>
        <n v="1932"/>
        <n v="1935"/>
        <n v="1936"/>
        <n v="1938"/>
        <n v="1944"/>
        <n v="1947"/>
        <n v="1950"/>
        <n v="1952"/>
        <n v="1955"/>
        <n v="1960"/>
        <n v="1968"/>
        <n v="1971"/>
        <n v="1972"/>
        <n v="1974"/>
        <n v="1976"/>
        <n v="1978"/>
        <n v="1980"/>
        <n v="1989"/>
        <n v="1998"/>
        <n v="2000"/>
        <n v="2001"/>
        <n v="2002"/>
        <n v="2006"/>
        <n v="2009"/>
        <n v="2014"/>
        <n v="2016"/>
        <n v="2021"/>
        <n v="2023"/>
        <n v="2024"/>
        <n v="2025"/>
        <n v="2028"/>
        <n v="2030"/>
        <n v="2034"/>
        <n v="2040"/>
        <n v="2044"/>
        <n v="2048"/>
        <n v="2050"/>
        <n v="2052"/>
        <n v="2058"/>
        <n v="2064"/>
        <n v="2065"/>
        <n v="2067"/>
        <n v="2068"/>
        <n v="2070"/>
        <n v="2071"/>
        <n v="2072"/>
        <n v="2079"/>
        <n v="2080"/>
        <n v="2088"/>
        <n v="2090"/>
        <n v="2091"/>
        <n v="2093"/>
        <n v="2100"/>
        <n v="2106"/>
        <n v="2107"/>
        <n v="2108"/>
        <n v="2112"/>
        <n v="2115"/>
        <n v="2116"/>
        <n v="2120"/>
        <n v="2125"/>
        <n v="2128"/>
        <n v="2142"/>
        <n v="2145"/>
        <n v="2146"/>
        <n v="2147"/>
        <n v="2156"/>
        <n v="2158"/>
        <n v="2160"/>
        <n v="2162"/>
        <n v="2173"/>
        <n v="2175"/>
        <n v="2176"/>
        <n v="2180"/>
        <n v="2183"/>
        <n v="2184"/>
        <n v="2185"/>
        <n v="2193"/>
        <n v="2196"/>
        <n v="2200"/>
        <n v="2204"/>
        <n v="2205"/>
        <n v="2208"/>
        <n v="2210"/>
        <n v="2212"/>
        <n v="2214"/>
        <n v="2220"/>
        <n v="2222"/>
        <n v="2232"/>
        <n v="2240"/>
        <n v="2241"/>
        <n v="2244"/>
        <n v="2250"/>
        <n v="2254"/>
        <n v="2256"/>
        <n v="2257"/>
        <n v="2262"/>
        <n v="2268"/>
        <n v="2275"/>
        <n v="2277"/>
        <n v="2279"/>
        <n v="2280"/>
        <n v="2288"/>
        <n v="2295"/>
        <n v="2296"/>
        <n v="2304"/>
        <n v="2310"/>
        <n v="2312"/>
        <n v="2318"/>
        <n v="2320"/>
        <n v="2323"/>
        <n v="2325"/>
        <n v="2331"/>
        <n v="2332"/>
        <n v="2337"/>
        <n v="2340"/>
        <n v="2346"/>
        <n v="2349"/>
        <n v="2350"/>
        <n v="2352"/>
        <n v="2356"/>
        <n v="2368"/>
        <n v="2370"/>
        <n v="2376"/>
        <n v="2378"/>
        <n v="2379"/>
        <n v="2380"/>
        <n v="2392"/>
        <n v="2394"/>
        <n v="2397"/>
        <n v="2400"/>
        <n v="2401"/>
        <n v="2405"/>
        <n v="2407"/>
        <n v="2408"/>
        <n v="2415"/>
        <n v="2418"/>
        <n v="2419"/>
        <n v="2420"/>
        <n v="2424"/>
        <n v="2430"/>
        <n v="2436"/>
        <n v="2438"/>
        <n v="2440"/>
        <n v="2442"/>
        <n v="2444"/>
        <n v="2448"/>
        <n v="2450"/>
        <n v="2451"/>
        <n v="2457"/>
        <n v="2460"/>
        <n v="2464"/>
        <n v="2465"/>
        <n v="2475"/>
        <n v="2478"/>
        <n v="2480"/>
        <n v="2482"/>
        <n v="2484"/>
        <n v="2491"/>
        <n v="2494"/>
        <n v="2496"/>
        <n v="2500"/>
        <n v="2501"/>
        <n v="2507"/>
        <n v="2516"/>
        <n v="2520"/>
        <n v="2523"/>
        <n v="2530"/>
        <n v="2535"/>
        <n v="2537"/>
        <n v="2538"/>
        <n v="2541"/>
        <n v="2548"/>
        <n v="2550"/>
        <n v="2552"/>
        <n v="2553"/>
        <n v="2560"/>
        <n v="2565"/>
        <n v="2574"/>
        <n v="2576"/>
        <n v="2580"/>
        <n v="2583"/>
        <n v="2584"/>
        <n v="2585"/>
        <n v="2590"/>
        <n v="2592"/>
        <n v="2595"/>
        <n v="2597"/>
        <n v="2599"/>
        <n v="2600"/>
        <n v="2610"/>
        <n v="2616"/>
        <n v="2618"/>
        <n v="2622"/>
        <n v="2623"/>
        <n v="2624"/>
        <n v="2625"/>
        <n v="2628"/>
        <n v="2632"/>
        <n v="2639"/>
        <n v="2640"/>
        <n v="2645"/>
        <n v="2646"/>
        <n v="2650"/>
        <n v="2652"/>
        <n v="2655"/>
        <n v="2656"/>
        <n v="2660"/>
        <n v="2664"/>
        <n v="2665"/>
        <n v="2666"/>
        <n v="2668"/>
        <n v="2673"/>
        <n v="2679"/>
        <n v="2682"/>
        <n v="2684"/>
        <n v="2688"/>
        <n v="2691"/>
        <n v="2695"/>
        <n v="2697"/>
        <n v="2700"/>
        <n v="2701"/>
        <n v="2704"/>
        <n v="2709"/>
        <n v="2712"/>
        <n v="2714"/>
        <n v="2720"/>
        <n v="2725"/>
        <n v="2726"/>
        <n v="2727"/>
        <n v="2728"/>
        <n v="2730"/>
        <n v="2736"/>
        <n v="2737"/>
        <n v="2739"/>
        <n v="2744"/>
        <n v="2745"/>
        <n v="2750"/>
        <n v="2754"/>
        <n v="2756"/>
        <n v="2760"/>
        <n v="2772"/>
        <n v="2774"/>
        <n v="2775"/>
        <n v="2782"/>
        <n v="2784"/>
        <n v="2788"/>
        <n v="2800"/>
        <n v="2805"/>
        <n v="2806"/>
        <n v="2808"/>
        <n v="2816"/>
        <n v="2820"/>
        <n v="2821"/>
        <n v="2822"/>
        <n v="2828"/>
        <n v="2829"/>
        <n v="2832"/>
        <n v="2835"/>
        <n v="2838"/>
        <n v="2842"/>
        <n v="2844"/>
        <n v="2850"/>
        <n v="2856"/>
        <n v="2860"/>
        <n v="2862"/>
        <n v="2875"/>
        <n v="2880"/>
        <n v="2886"/>
        <n v="2889"/>
        <n v="2890"/>
        <n v="2891"/>
        <n v="2898"/>
        <n v="2900"/>
        <n v="2904"/>
        <n v="2905"/>
        <n v="2912"/>
        <n v="2914"/>
        <n v="2915"/>
        <n v="2916"/>
        <n v="2924"/>
        <n v="2925"/>
        <n v="2926"/>
        <n v="2928"/>
        <n v="2929"/>
        <n v="2938"/>
        <n v="2940"/>
        <n v="2950"/>
        <n v="2952"/>
        <n v="2958"/>
        <n v="2960"/>
        <n v="2961"/>
        <n v="2964"/>
        <n v="2968"/>
        <n v="2975"/>
        <n v="2976"/>
        <n v="2980"/>
        <n v="2983"/>
        <n v="2989"/>
        <n v="2990"/>
        <n v="2992"/>
        <n v="2993"/>
        <n v="2997"/>
        <n v="3000"/>
        <n v="3002"/>
        <n v="3003"/>
        <n v="3008"/>
        <n v="3009"/>
        <n v="3016"/>
        <n v="3021"/>
        <n v="3024"/>
        <n v="3025"/>
        <n v="3026"/>
        <n v="3029"/>
        <n v="3030"/>
        <n v="3034"/>
        <n v="3036"/>
        <n v="3038"/>
        <n v="3040"/>
        <n v="3042"/>
        <n v="3045"/>
        <n v="3050"/>
        <n v="3051"/>
        <n v="3052"/>
        <n v="3055"/>
        <n v="3059"/>
        <n v="3060"/>
        <n v="3071"/>
        <n v="3072"/>
        <n v="3074"/>
        <n v="3075"/>
        <n v="3078"/>
        <n v="3080"/>
        <n v="3087"/>
        <n v="3090"/>
        <n v="3094"/>
        <n v="3096"/>
        <n v="3100"/>
        <n v="3102"/>
        <n v="3108"/>
        <n v="3120"/>
        <n v="3122"/>
        <n v="3124"/>
        <n v="3125"/>
        <n v="3127"/>
        <n v="3128"/>
        <n v="3131"/>
        <n v="3132"/>
        <n v="3135"/>
        <n v="3136"/>
        <n v="3144"/>
        <n v="3145"/>
        <n v="3150"/>
        <n v="3157"/>
        <n v="3159"/>
        <n v="3161"/>
        <n v="3164"/>
        <n v="3168"/>
        <n v="3174"/>
        <n v="3180"/>
        <n v="3182"/>
        <n v="3185"/>
        <n v="3186"/>
        <n v="3190"/>
        <n v="3196"/>
        <n v="3198"/>
        <n v="3200"/>
        <n v="3210"/>
        <n v="3211"/>
        <n v="3212"/>
        <n v="3213"/>
        <n v="3219"/>
        <n v="3220"/>
        <n v="3225"/>
        <n v="3230"/>
        <n v="3232"/>
        <n v="3234"/>
        <n v="3237"/>
        <n v="3240"/>
        <n v="3243"/>
        <n v="3245"/>
        <n v="3248"/>
        <n v="3250"/>
        <n v="3255"/>
        <n v="3256"/>
        <n v="3258"/>
        <n v="3264"/>
        <n v="3266"/>
        <n v="3275"/>
        <n v="3276"/>
        <n v="3277"/>
        <n v="3280"/>
        <n v="3285"/>
        <n v="3290"/>
        <n v="3294"/>
        <n v="3296"/>
        <n v="3300"/>
        <n v="3304"/>
        <n v="3306"/>
        <n v="3311"/>
        <n v="3312"/>
        <n v="3320"/>
        <n v="3321"/>
        <n v="3328"/>
        <n v="3330"/>
        <n v="3332"/>
        <n v="3333"/>
        <n v="3344"/>
        <n v="3348"/>
        <n v="3354"/>
        <n v="3355"/>
        <n v="3360"/>
        <n v="3363"/>
        <n v="3364"/>
        <n v="3366"/>
        <n v="3375"/>
        <n v="3380"/>
        <n v="3381"/>
        <n v="3384"/>
        <n v="3392"/>
        <n v="3393"/>
        <n v="3400"/>
        <n v="3402"/>
        <n v="3403"/>
        <n v="3420"/>
        <n v="3422"/>
        <n v="3427"/>
        <n v="3430"/>
        <n v="3431"/>
        <n v="3432"/>
        <n v="3439"/>
        <n v="3441"/>
        <n v="3444"/>
        <n v="3445"/>
        <n v="3450"/>
        <n v="3451"/>
        <n v="3456"/>
        <n v="3458"/>
        <n v="3460"/>
        <n v="3465"/>
        <n v="3468"/>
        <n v="3472"/>
        <n v="3473"/>
        <n v="3476"/>
        <n v="3478"/>
        <n v="3480"/>
        <n v="3481"/>
        <n v="3483"/>
        <n v="3485"/>
        <n v="3486"/>
        <n v="3488"/>
        <n v="3498"/>
        <n v="3500"/>
        <n v="3504"/>
        <n v="3510"/>
        <n v="3520"/>
        <n v="3525"/>
        <n v="3528"/>
        <n v="3534"/>
        <n v="3535"/>
        <n v="3536"/>
        <n v="3537"/>
        <n v="3549"/>
        <n v="3552"/>
        <n v="3564"/>
        <n v="3567"/>
        <n v="3569"/>
        <n v="3570"/>
        <n v="3575"/>
        <n v="3576"/>
        <n v="3577"/>
        <n v="3580"/>
        <n v="3584"/>
        <n v="3588"/>
        <n v="3591"/>
        <n v="3596"/>
        <n v="3597"/>
        <n v="3599"/>
        <n v="3600"/>
        <n v="3604"/>
        <n v="3608"/>
        <n v="3612"/>
        <n v="3616"/>
        <n v="3619"/>
        <n v="3625"/>
        <n v="3626"/>
        <n v="3627"/>
        <n v="3630"/>
        <n v="3634"/>
        <n v="3636"/>
        <n v="3640"/>
        <n v="3645"/>
        <n v="3648"/>
        <n v="3650"/>
        <n v="3652"/>
        <n v="3654"/>
        <n v="3655"/>
        <n v="3657"/>
        <n v="3663"/>
        <n v="3666"/>
        <n v="3668"/>
        <n v="3672"/>
        <n v="3675"/>
        <n v="3680"/>
        <n v="3690"/>
        <n v="3696"/>
        <n v="3700"/>
        <n v="3705"/>
        <n v="3708"/>
        <n v="3712"/>
        <n v="3720"/>
        <n v="3723"/>
        <n v="3724"/>
        <n v="3725"/>
        <n v="3726"/>
        <n v="3731"/>
        <n v="3735"/>
        <n v="3740"/>
        <n v="3741"/>
        <n v="3744"/>
        <n v="3745"/>
        <n v="3749"/>
        <n v="3750"/>
        <n v="3774"/>
        <n v="3780"/>
        <n v="3792"/>
        <n v="3795"/>
        <n v="3799"/>
        <n v="3800"/>
        <n v="3807"/>
        <n v="3808"/>
        <n v="3813"/>
        <n v="3816"/>
        <n v="3818"/>
        <n v="3822"/>
        <n v="3825"/>
        <n v="3828"/>
        <n v="3834"/>
        <n v="3840"/>
        <n v="3841"/>
        <n v="3844"/>
        <n v="3848"/>
        <n v="3850"/>
        <n v="3852"/>
        <n v="3854"/>
        <n v="3857"/>
        <n v="3861"/>
        <n v="3864"/>
        <n v="3869"/>
        <n v="3870"/>
        <n v="3872"/>
        <n v="3876"/>
        <n v="3880"/>
        <n v="3885"/>
        <n v="3886"/>
        <n v="3887"/>
        <n v="3888"/>
        <n v="3895"/>
        <n v="3900"/>
        <n v="3901"/>
        <n v="3904"/>
        <n v="3906"/>
        <n v="3910"/>
        <n v="3912"/>
        <n v="3915"/>
        <n v="3920"/>
        <n v="3922"/>
        <n v="3924"/>
        <n v="3927"/>
        <n v="3930"/>
        <n v="3936"/>
        <n v="3944"/>
        <n v="3948"/>
        <n v="3952"/>
        <n v="3959"/>
        <n v="3960"/>
        <n v="3965"/>
        <n v="3968"/>
        <n v="3973"/>
        <n v="3975"/>
        <n v="3978"/>
        <n v="3979"/>
        <n v="3984"/>
        <n v="3990"/>
        <n v="3995"/>
        <n v="3996"/>
        <n v="3999"/>
        <n v="4000"/>
        <n v="4002"/>
        <n v="4004"/>
        <n v="4008"/>
        <n v="4018"/>
        <n v="4023"/>
        <n v="4028"/>
        <n v="4030"/>
        <n v="4032"/>
        <n v="4033"/>
        <n v="4042"/>
        <n v="4046"/>
        <n v="4048"/>
        <n v="4050"/>
        <n v="4056"/>
        <n v="4060"/>
        <n v="4067"/>
        <n v="4068"/>
        <n v="4071"/>
        <n v="4080"/>
        <n v="4092"/>
        <n v="4095"/>
        <n v="4096"/>
        <n v="4104"/>
        <n v="4116"/>
        <n v="4118"/>
        <n v="4125"/>
        <n v="4128"/>
        <n v="4130"/>
        <n v="4131"/>
        <n v="4134"/>
        <n v="4136"/>
        <n v="4140"/>
        <n v="4144"/>
        <n v="4147"/>
        <n v="4150"/>
        <n v="4158"/>
        <n v="4160"/>
        <n v="4161"/>
        <n v="4165"/>
        <n v="4172"/>
        <n v="4173"/>
        <n v="4176"/>
        <n v="4180"/>
        <n v="4181"/>
        <n v="4182"/>
        <n v="4185"/>
        <n v="4186"/>
        <n v="4192"/>
        <n v="4200"/>
        <n v="4205"/>
        <n v="4212"/>
        <n v="4216"/>
        <n v="4218"/>
        <n v="4221"/>
        <n v="4224"/>
        <n v="4230"/>
        <n v="4233"/>
        <n v="4237"/>
        <n v="4242"/>
        <n v="4248"/>
        <n v="4250"/>
        <n v="4256"/>
        <n v="4263"/>
        <n v="4264"/>
        <n v="4266"/>
        <n v="4277"/>
        <n v="4278"/>
        <n v="4284"/>
        <n v="4290"/>
        <n v="4292"/>
        <n v="4293"/>
        <n v="4294"/>
        <n v="4301"/>
        <n v="4305"/>
        <n v="4307"/>
        <n v="4312"/>
        <n v="4316"/>
        <n v="4320"/>
        <n v="4321"/>
        <n v="4323"/>
        <n v="4324"/>
        <n v="4329"/>
        <n v="4335"/>
        <n v="4340"/>
        <n v="4343"/>
        <n v="4344"/>
        <n v="4346"/>
        <n v="4350"/>
        <n v="4352"/>
        <n v="4356"/>
        <n v="4360"/>
        <n v="4368"/>
        <n v="4370"/>
        <n v="4374"/>
        <n v="4375"/>
        <n v="4384"/>
        <n v="4389"/>
        <n v="4392"/>
        <n v="4399"/>
        <n v="4400"/>
        <n v="4401"/>
        <n v="4403"/>
        <n v="4407"/>
        <n v="4408"/>
        <n v="4410"/>
        <n v="4416"/>
        <n v="4418"/>
        <n v="4420"/>
        <n v="4425"/>
        <n v="4437"/>
        <n v="4440"/>
        <n v="4444"/>
        <n v="4446"/>
        <n v="4450"/>
        <n v="4452"/>
        <n v="4454"/>
        <n v="4455"/>
        <n v="4459"/>
        <n v="4460"/>
        <n v="4462"/>
        <n v="4464"/>
        <n v="4465"/>
        <n v="4469"/>
        <n v="4472"/>
        <n v="4480"/>
        <n v="4482"/>
        <n v="4485"/>
        <n v="4488"/>
        <n v="4495"/>
        <n v="4500"/>
        <n v="4505"/>
        <n v="4508"/>
        <n v="4512"/>
        <n v="4514"/>
        <n v="4515"/>
        <n v="4520"/>
        <n v="4522"/>
        <n v="4524"/>
        <n v="4532"/>
        <n v="4536"/>
        <n v="4550"/>
        <n v="4551"/>
        <n v="4554"/>
        <n v="4560"/>
        <n v="4563"/>
        <n v="4564"/>
        <n v="4565"/>
        <n v="4575"/>
        <n v="4576"/>
        <n v="4578"/>
        <n v="4582"/>
        <n v="4590"/>
        <n v="4592"/>
        <n v="4602"/>
        <n v="4606"/>
        <n v="4608"/>
        <n v="4611"/>
        <n v="4615"/>
        <n v="4620"/>
        <n v="4625"/>
        <n v="4633"/>
        <n v="4636"/>
        <n v="4640"/>
        <n v="4641"/>
        <n v="4646"/>
        <n v="4648"/>
        <n v="4650"/>
        <n v="4658"/>
        <n v="4662"/>
        <n v="4664"/>
        <n v="4671"/>
        <n v="4674"/>
        <n v="4675"/>
        <n v="4680"/>
        <n v="4683"/>
        <n v="4687"/>
        <n v="4692"/>
        <n v="4698"/>
        <n v="4700"/>
        <n v="4704"/>
        <n v="4712"/>
        <n v="4715"/>
        <n v="4716"/>
        <n v="4719"/>
        <n v="4725"/>
        <n v="4732"/>
        <n v="4736"/>
        <n v="4740"/>
        <n v="4750"/>
        <n v="4752"/>
        <n v="4756"/>
        <n v="4760"/>
        <n v="4770"/>
        <n v="4779"/>
        <n v="4785"/>
        <n v="4788"/>
        <n v="4794"/>
        <n v="4797"/>
        <n v="4800"/>
        <n v="4802"/>
        <n v="4816"/>
        <n v="4823"/>
        <n v="4824"/>
        <n v="4825"/>
        <n v="4826"/>
        <n v="4828"/>
        <n v="4836"/>
        <n v="4840"/>
        <n v="4844"/>
        <n v="4845"/>
        <n v="4847"/>
        <n v="4848"/>
        <n v="4851"/>
        <n v="4859"/>
        <n v="4860"/>
        <n v="4862"/>
        <n v="4864"/>
        <n v="4872"/>
        <n v="4875"/>
        <n v="4876"/>
        <n v="4879"/>
        <n v="4884"/>
        <n v="4887"/>
        <n v="4888"/>
        <n v="4890"/>
        <n v="4896"/>
        <n v="4899"/>
        <n v="4900"/>
        <n v="4901"/>
        <n v="4902"/>
        <n v="4914"/>
        <n v="4917"/>
        <n v="4920"/>
        <n v="4921"/>
        <n v="4930"/>
        <n v="4932"/>
        <n v="4935"/>
        <n v="4940"/>
        <n v="4941"/>
        <n v="4945"/>
        <n v="4950"/>
        <n v="4953"/>
        <n v="4956"/>
        <n v="4960"/>
        <n v="4968"/>
        <n v="4978"/>
        <n v="4982"/>
        <n v="4988"/>
        <n v="4992"/>
        <n v="4995"/>
        <n v="4998"/>
        <n v="5000"/>
        <n v="5002"/>
        <n v="5005"/>
        <n v="5012"/>
        <n v="5014"/>
        <n v="5017"/>
        <n v="5024"/>
        <n v="5029"/>
        <n v="5031"/>
        <n v="5032"/>
        <n v="5037"/>
        <n v="5040"/>
        <n v="5043"/>
        <n v="5060"/>
        <n v="5066"/>
        <n v="5069"/>
        <n v="5070"/>
        <n v="5075"/>
        <n v="5076"/>
        <n v="5096"/>
        <n v="5100"/>
        <n v="5103"/>
        <n v="5104"/>
        <n v="5106"/>
        <n v="5109"/>
        <n v="5112"/>
        <n v="5115"/>
        <n v="5117"/>
        <n v="5120"/>
        <n v="5125"/>
        <n v="5130"/>
        <n v="5136"/>
        <n v="5145"/>
        <n v="5148"/>
        <n v="5151"/>
        <n v="5152"/>
        <n v="5160"/>
        <n v="5166"/>
        <n v="5168"/>
        <n v="5175"/>
        <n v="5180"/>
        <n v="5181"/>
        <n v="5184"/>
        <n v="5191"/>
        <n v="5192"/>
        <n v="5194"/>
        <n v="5198"/>
        <n v="5200"/>
        <n v="5202"/>
        <n v="5206"/>
        <n v="5208"/>
        <n v="5214"/>
        <n v="5215"/>
        <n v="5216"/>
        <n v="5225"/>
        <n v="5236"/>
        <n v="5244"/>
        <n v="5246"/>
        <n v="5248"/>
        <n v="5250"/>
        <n v="5252"/>
        <n v="5265"/>
        <n v="5270"/>
        <n v="5278"/>
        <n v="5280"/>
        <n v="5289"/>
        <n v="5292"/>
        <n v="5300"/>
        <n v="5304"/>
        <n v="5310"/>
        <n v="5311"/>
        <n v="5312"/>
        <n v="5313"/>
        <n v="5320"/>
        <n v="5328"/>
        <n v="5332"/>
        <n v="5336"/>
        <n v="5346"/>
        <n v="5355"/>
        <n v="5358"/>
        <n v="5359"/>
        <n v="5360"/>
        <n v="5363"/>
        <n v="5364"/>
        <n v="5365"/>
        <n v="5369"/>
        <n v="5371"/>
        <n v="5372"/>
        <n v="5376"/>
        <n v="5390"/>
        <n v="5400"/>
        <n v="5406"/>
        <n v="5408"/>
        <n v="5412"/>
        <n v="5418"/>
        <n v="5424"/>
        <n v="5425"/>
        <n v="5427"/>
        <n v="5434"/>
        <n v="5439"/>
        <n v="5440"/>
        <n v="5450"/>
        <n v="5452"/>
        <n v="5454"/>
        <n v="5456"/>
        <n v="5460"/>
        <n v="5467"/>
        <n v="5472"/>
        <n v="5474"/>
        <n v="5475"/>
        <n v="5481"/>
        <n v="5487"/>
        <n v="5488"/>
        <n v="5500"/>
        <n v="5502"/>
        <n v="5504"/>
        <n v="5508"/>
        <n v="5510"/>
        <n v="5512"/>
        <n v="5513"/>
        <n v="5520"/>
        <n v="5530"/>
        <n v="5535"/>
        <n v="5536"/>
        <n v="5537"/>
        <n v="5538"/>
        <n v="5544"/>
        <n v="5546"/>
        <n v="5549"/>
        <n v="5550"/>
        <n v="5551"/>
        <n v="5555"/>
        <n v="5559"/>
        <n v="5565"/>
        <n v="5568"/>
        <n v="5577"/>
        <n v="5580"/>
        <n v="5586"/>
        <n v="5589"/>
        <n v="5593"/>
        <n v="5600"/>
        <n v="5610"/>
        <n v="5612"/>
        <n v="5616"/>
        <n v="5617"/>
        <n v="5618"/>
        <n v="5624"/>
        <n v="5625"/>
        <n v="5626"/>
        <n v="5628"/>
        <n v="5632"/>
        <n v="5633"/>
        <n v="5640"/>
        <n v="5642"/>
        <n v="5644"/>
        <n v="5655"/>
        <n v="5658"/>
        <n v="5661"/>
        <n v="5662"/>
        <n v="5664"/>
        <n v="5670"/>
        <n v="5676"/>
        <n v="5684"/>
        <n v="5688"/>
        <n v="5700"/>
        <n v="5704"/>
        <n v="5709"/>
        <n v="5712"/>
        <n v="5720"/>
        <n v="5724"/>
        <n v="5727"/>
        <n v="5733"/>
        <n v="5734"/>
        <n v="5742"/>
        <n v="5746"/>
        <n v="5750"/>
        <n v="5751"/>
        <n v="5757"/>
        <n v="5760"/>
        <n v="5763"/>
        <n v="5764"/>
        <n v="5775"/>
        <n v="5782"/>
        <n v="5792"/>
        <n v="5795"/>
        <n v="5796"/>
        <n v="5800"/>
        <n v="5805"/>
        <n v="5811"/>
        <n v="5814"/>
        <n v="5824"/>
        <n v="5828"/>
        <n v="5830"/>
        <n v="5831"/>
        <n v="5832"/>
        <n v="5846"/>
        <n v="5850"/>
        <n v="5852"/>
        <n v="5856"/>
        <n v="5863"/>
        <n v="5865"/>
        <n v="5868"/>
        <n v="5875"/>
        <n v="5876"/>
        <n v="5880"/>
        <n v="5882"/>
        <n v="5886"/>
        <n v="5887"/>
        <n v="5888"/>
        <n v="5895"/>
        <n v="5900"/>
        <n v="5904"/>
        <n v="5916"/>
        <n v="5922"/>
        <n v="5928"/>
        <n v="5934"/>
        <n v="5936"/>
        <n v="5940"/>
        <n v="5945"/>
        <n v="5950"/>
        <n v="5952"/>
        <n v="5957"/>
        <n v="5959"/>
        <n v="5960"/>
        <n v="5964"/>
        <n v="5966"/>
        <n v="5973"/>
        <n v="5976"/>
        <n v="5978"/>
        <n v="5984"/>
        <n v="5985"/>
        <n v="5989"/>
        <n v="5994"/>
        <n v="6000"/>
        <n v="6004"/>
        <n v="6006"/>
        <n v="6012"/>
        <n v="6016"/>
        <n v="6018"/>
        <n v="6020"/>
        <n v="6026"/>
        <n v="6027"/>
        <n v="6028"/>
        <n v="6030"/>
        <n v="6031"/>
        <n v="6032"/>
        <n v="6045"/>
        <n v="6048"/>
        <n v="6059"/>
        <n v="6072"/>
        <n v="6075"/>
        <n v="6076"/>
        <n v="6080"/>
        <n v="6084"/>
        <n v="6086"/>
        <n v="6090"/>
        <n v="6102"/>
        <n v="6104"/>
        <n v="6105"/>
        <n v="6109"/>
        <n v="6110"/>
        <n v="6120"/>
        <n v="6123"/>
        <n v="6125"/>
        <n v="6132"/>
        <n v="6144"/>
        <n v="6148"/>
        <n v="6149"/>
        <n v="6150"/>
        <n v="6154"/>
        <n v="6156"/>
        <n v="6157"/>
        <n v="6160"/>
        <n v="6162"/>
        <n v="6171"/>
        <n v="6174"/>
        <n v="6179"/>
        <n v="6188"/>
        <n v="6192"/>
        <n v="6194"/>
        <n v="6200"/>
        <n v="6204"/>
        <n v="6208"/>
        <n v="6210"/>
        <n v="6215"/>
        <n v="6216"/>
        <n v="6222"/>
        <n v="6228"/>
        <n v="6232"/>
        <n v="6235"/>
        <n v="6237"/>
        <n v="6240"/>
        <n v="6244"/>
        <n v="6248"/>
        <n v="6250"/>
        <n v="6253"/>
        <n v="6256"/>
        <n v="6258"/>
        <n v="6264"/>
        <n v="6265"/>
        <n v="6270"/>
        <n v="6272"/>
        <n v="6279"/>
        <n v="6288"/>
        <n v="6291"/>
        <n v="6292"/>
        <n v="6293"/>
        <n v="6298"/>
        <n v="6300"/>
        <n v="6302"/>
        <n v="6307"/>
        <n v="6314"/>
        <n v="6318"/>
        <n v="6321"/>
        <n v="6324"/>
        <n v="6325"/>
        <n v="6328"/>
        <n v="6336"/>
        <n v="6344"/>
        <n v="6345"/>
        <n v="6346"/>
        <n v="6351"/>
        <n v="6360"/>
        <n v="6365"/>
        <n v="6369"/>
        <n v="6370"/>
        <n v="6372"/>
        <n v="6375"/>
        <n v="6380"/>
        <n v="6384"/>
        <n v="6390"/>
        <n v="6392"/>
        <n v="6396"/>
        <n v="6400"/>
        <n v="6401"/>
        <n v="6402"/>
        <n v="6407"/>
        <n v="6409"/>
        <n v="6419"/>
        <n v="6422"/>
        <n v="6424"/>
        <n v="6426"/>
        <n v="6432"/>
        <n v="6435"/>
        <n v="6438"/>
        <n v="6439"/>
        <n v="6440"/>
        <n v="6441"/>
        <n v="6448"/>
        <n v="6450"/>
        <n v="6460"/>
        <n v="6461"/>
        <n v="6466"/>
        <n v="6468"/>
        <n v="6474"/>
        <n v="6475"/>
        <n v="6478"/>
        <n v="6480"/>
        <n v="6486"/>
        <n v="6496"/>
        <n v="6500"/>
        <n v="6510"/>
        <n v="6517"/>
        <n v="6520"/>
        <n v="6525"/>
        <n v="6528"/>
        <n v="6536"/>
        <n v="6545"/>
        <n v="6549"/>
        <n v="6552"/>
        <n v="6554"/>
        <n v="6560"/>
        <n v="6570"/>
        <n v="6572"/>
        <n v="6574"/>
        <n v="6576"/>
        <n v="6578"/>
        <n v="6579"/>
        <n v="6580"/>
        <n v="6588"/>
        <n v="6591"/>
        <n v="6600"/>
        <n v="6608"/>
        <n v="6612"/>
        <n v="6615"/>
        <n v="6623"/>
        <n v="6624"/>
        <n v="6640"/>
        <n v="6642"/>
        <n v="6647"/>
        <n v="6650"/>
        <n v="6656"/>
        <n v="6660"/>
        <n v="6664"/>
        <n v="6667"/>
        <n v="6669"/>
        <n v="6670"/>
        <n v="6674"/>
        <n v="6678"/>
        <n v="6681"/>
        <n v="6683"/>
        <n v="6688"/>
        <n v="6696"/>
        <n v="6699"/>
        <n v="6700"/>
        <n v="6705"/>
        <n v="6720"/>
        <n v="6732"/>
        <n v="6747"/>
        <n v="6750"/>
        <n v="6757"/>
        <n v="6760"/>
        <n v="6762"/>
        <n v="6765"/>
        <n v="6768"/>
        <n v="6780"/>
        <n v="6783"/>
        <n v="6784"/>
        <n v="6785"/>
        <n v="6786"/>
        <n v="6790"/>
        <n v="6794"/>
        <n v="6800"/>
        <n v="6815"/>
        <n v="6816"/>
        <n v="6820"/>
        <n v="6825"/>
        <n v="6834"/>
        <n v="6837"/>
        <n v="6838"/>
        <n v="6840"/>
        <n v="6844"/>
        <n v="6846"/>
        <n v="6847"/>
        <n v="6850"/>
        <n v="6854"/>
        <n v="6860"/>
        <n v="6864"/>
        <n v="6875"/>
        <n v="6878"/>
        <n v="6880"/>
        <n v="6888"/>
        <n v="6890"/>
        <n v="6893"/>
        <n v="6900"/>
        <n v="6902"/>
        <n v="6908"/>
        <n v="6909"/>
        <n v="6912"/>
        <n v="6916"/>
        <n v="6919"/>
        <n v="6923"/>
        <n v="6929"/>
        <n v="6930"/>
        <n v="6943"/>
        <n v="6944"/>
        <n v="6948"/>
        <n v="6952"/>
        <n v="6954"/>
        <n v="6958"/>
        <n v="6960"/>
        <n v="6968"/>
        <n v="6969"/>
        <n v="6975"/>
        <n v="6987"/>
        <n v="6992"/>
        <n v="7000"/>
        <n v="7003"/>
        <n v="7006"/>
        <n v="7009"/>
        <n v="7011"/>
        <n v="7014"/>
        <n v="7020"/>
        <n v="7021"/>
        <n v="7029"/>
        <n v="7038"/>
        <n v="7040"/>
        <n v="7047"/>
        <n v="7050"/>
        <n v="7056"/>
        <n v="7059"/>
        <n v="7072"/>
        <n v="7074"/>
        <n v="7080"/>
        <n v="7084"/>
        <n v="7093"/>
        <n v="7095"/>
        <n v="7098"/>
        <n v="7100"/>
        <n v="7101"/>
        <n v="7105"/>
        <n v="7124"/>
        <n v="7125"/>
        <n v="7128"/>
        <n v="7130"/>
        <n v="7140"/>
        <n v="7144"/>
        <n v="7150"/>
        <n v="7155"/>
        <n v="7161"/>
        <n v="7168"/>
        <n v="7171"/>
        <n v="7172"/>
        <n v="7176"/>
        <n v="7178"/>
        <n v="7182"/>
        <n v="7192"/>
        <n v="7198"/>
        <n v="7200"/>
        <n v="7205"/>
        <n v="7208"/>
        <n v="7216"/>
        <n v="7222"/>
        <n v="7223"/>
        <n v="7238"/>
        <n v="7242"/>
        <n v="7245"/>
        <n v="7250"/>
        <n v="7254"/>
        <n v="7260"/>
        <n v="7266"/>
        <n v="7268"/>
        <n v="7280"/>
        <n v="7290"/>
        <n v="7293"/>
        <n v="7296"/>
        <n v="7301"/>
        <n v="7304"/>
        <n v="7308"/>
        <n v="7310"/>
        <n v="7314"/>
        <n v="7316"/>
        <n v="7320"/>
        <n v="7326"/>
        <n v="7332"/>
        <n v="7335"/>
        <n v="7344"/>
        <n v="7345"/>
        <n v="7350"/>
        <n v="7353"/>
        <n v="7359"/>
        <n v="7360"/>
        <n v="7366"/>
        <n v="7371"/>
        <n v="7375"/>
        <n v="7380"/>
        <n v="7384"/>
        <n v="7392"/>
        <n v="7400"/>
        <n v="7410"/>
        <n v="7416"/>
        <n v="7420"/>
        <n v="7421"/>
        <n v="7424"/>
        <n v="7425"/>
        <n v="7426"/>
        <n v="7434"/>
        <n v="7436"/>
        <n v="7439"/>
        <n v="7440"/>
        <n v="7448"/>
        <n v="7450"/>
        <n v="7452"/>
        <n v="7458"/>
        <n v="7462"/>
        <n v="7467"/>
        <n v="7474"/>
        <n v="7475"/>
        <n v="7482"/>
        <n v="7488"/>
        <n v="7498"/>
        <n v="7500"/>
        <n v="7504"/>
        <n v="7511"/>
        <n v="7514"/>
        <n v="7520"/>
        <n v="7524"/>
        <n v="7526"/>
        <n v="7536"/>
        <n v="7540"/>
        <n v="7544"/>
        <n v="7548"/>
        <n v="7560"/>
        <n v="7566"/>
        <n v="7567"/>
        <n v="7579"/>
        <n v="7581"/>
        <n v="7595"/>
        <n v="7599"/>
        <n v="7600"/>
        <n v="7605"/>
        <n v="7612"/>
        <n v="7616"/>
        <n v="7622"/>
        <n v="7623"/>
        <n v="7625"/>
        <n v="7626"/>
        <n v="7640"/>
        <n v="7644"/>
        <n v="7650"/>
        <n v="7656"/>
        <n v="7661"/>
        <n v="7665"/>
        <n v="7668"/>
        <n v="7670"/>
        <n v="7672"/>
        <n v="7676"/>
        <n v="7680"/>
        <n v="7682"/>
        <n v="7684"/>
        <n v="7688"/>
        <n v="7695"/>
        <n v="7700"/>
        <n v="7708"/>
        <n v="7714"/>
        <n v="7720"/>
        <n v="7722"/>
        <n v="7728"/>
        <n v="7729"/>
        <n v="7733"/>
        <n v="7735"/>
        <n v="7740"/>
        <n v="7742"/>
        <n v="7744"/>
        <n v="7748"/>
        <n v="7749"/>
        <n v="7755"/>
        <n v="7760"/>
        <n v="7770"/>
        <n v="7772"/>
        <n v="7776"/>
        <n v="7785"/>
        <n v="7788"/>
        <n v="7791"/>
        <n v="7800"/>
        <n v="7802"/>
        <n v="7805"/>
        <n v="7812"/>
        <n v="7820"/>
        <n v="7824"/>
        <n v="7826"/>
        <n v="7828"/>
        <n v="7830"/>
        <n v="7840"/>
        <n v="7847"/>
        <n v="7848"/>
        <n v="7849"/>
        <n v="7854"/>
        <n v="7865"/>
        <n v="7875"/>
        <n v="7876"/>
        <n v="7888"/>
        <n v="7890"/>
        <n v="7896"/>
        <n v="7905"/>
        <n v="7912"/>
        <n v="7913"/>
        <n v="7917"/>
        <n v="7920"/>
        <n v="7935"/>
        <n v="7936"/>
        <n v="7938"/>
        <n v="7943"/>
        <n v="7950"/>
        <n v="7954"/>
        <n v="7956"/>
        <n v="7958"/>
        <n v="7964"/>
        <n v="7965"/>
        <n v="7975"/>
        <n v="7980"/>
        <n v="7987"/>
        <n v="7990"/>
        <n v="7992"/>
        <n v="7995"/>
        <n v="8000"/>
        <n v="8004"/>
        <n v="8007"/>
        <n v="8008"/>
        <n v="8028"/>
        <n v="8036"/>
        <n v="8037"/>
        <n v="8040"/>
        <n v="8046"/>
        <n v="8050"/>
        <n v="8056"/>
        <n v="8058"/>
        <n v="8060"/>
        <n v="8062"/>
        <n v="8064"/>
        <n v="8066"/>
        <n v="8073"/>
        <n v="8083"/>
        <n v="8085"/>
        <n v="8092"/>
        <n v="8096"/>
        <n v="8100"/>
        <n v="8103"/>
        <n v="8109"/>
        <n v="8112"/>
        <n v="8120"/>
        <n v="8125"/>
        <n v="8131"/>
        <n v="8150"/>
        <n v="8151"/>
        <n v="8153"/>
        <n v="8155"/>
        <n v="8160"/>
        <n v="8170"/>
        <n v="8178"/>
        <n v="8184"/>
        <n v="8188"/>
        <n v="8190"/>
        <n v="8195"/>
        <n v="8208"/>
        <n v="8211"/>
        <n v="8235"/>
        <n v="8236"/>
        <n v="8240"/>
        <n v="8241"/>
        <n v="8246"/>
        <n v="8250"/>
        <n v="8251"/>
        <n v="8260"/>
        <n v="8262"/>
        <n v="8265"/>
        <n v="8268"/>
        <n v="8272"/>
        <n v="8280"/>
        <n v="8281"/>
        <n v="8288"/>
        <n v="8294"/>
        <n v="8296"/>
        <n v="8304"/>
        <n v="8308"/>
        <n v="8313"/>
        <n v="8316"/>
        <n v="8320"/>
        <n v="8322"/>
        <n v="8323"/>
        <n v="8330"/>
        <n v="8360"/>
        <n v="8362"/>
        <n v="8364"/>
        <n v="8370"/>
        <n v="8372"/>
        <n v="8378"/>
        <n v="8379"/>
        <n v="8384"/>
        <n v="8385"/>
        <n v="8388"/>
        <n v="8400"/>
        <n v="8401"/>
        <n v="8410"/>
        <n v="8415"/>
        <n v="8418"/>
        <n v="8424"/>
        <n v="8430"/>
        <n v="8432"/>
        <n v="8442"/>
        <n v="8448"/>
        <n v="8460"/>
        <n v="8470"/>
        <n v="8476"/>
        <n v="8478"/>
        <n v="8484"/>
        <n v="8496"/>
        <n v="8500"/>
        <n v="8502"/>
        <n v="8505"/>
        <n v="8507"/>
        <n v="8512"/>
        <n v="8526"/>
        <n v="8528"/>
        <n v="8532"/>
        <n v="8533"/>
        <n v="8541"/>
        <n v="8550"/>
        <n v="8554"/>
        <n v="8555"/>
        <n v="8556"/>
        <n v="8568"/>
        <n v="8575"/>
        <n v="8580"/>
        <n v="8584"/>
        <n v="8604"/>
        <n v="8610"/>
        <n v="8619"/>
        <n v="8621"/>
        <n v="8624"/>
        <n v="8625"/>
        <n v="8640"/>
        <n v="8642"/>
        <n v="8645"/>
        <n v="8648"/>
        <n v="8652"/>
        <n v="8658"/>
        <n v="8662"/>
        <n v="8664"/>
        <n v="8670"/>
        <n v="8686"/>
        <n v="8694"/>
        <n v="8697"/>
        <n v="8700"/>
        <n v="8704"/>
        <n v="8710"/>
        <n v="8712"/>
        <n v="8723"/>
        <n v="8729"/>
        <n v="8733"/>
        <n v="8736"/>
        <n v="8740"/>
        <n v="8745"/>
        <n v="8748"/>
        <n v="8750"/>
        <n v="8768"/>
        <n v="8775"/>
        <n v="8777"/>
        <n v="8778"/>
        <n v="8784"/>
        <n v="8788"/>
        <n v="8789"/>
        <n v="8791"/>
        <n v="8800"/>
        <n v="8806"/>
        <n v="8816"/>
        <n v="8820"/>
        <n v="8823"/>
        <n v="8832"/>
        <n v="8835"/>
        <n v="8836"/>
        <n v="8843"/>
        <n v="8844"/>
        <n v="8850"/>
        <n v="8854"/>
        <n v="8855"/>
        <n v="8856"/>
        <n v="8858"/>
        <n v="8866"/>
        <n v="8869"/>
        <n v="8874"/>
        <n v="8880"/>
        <n v="8883"/>
        <n v="8918"/>
        <n v="8925"/>
        <n v="8928"/>
        <n v="8942"/>
        <n v="8943"/>
        <n v="8957"/>
        <n v="8959"/>
        <n v="8960"/>
        <n v="8965"/>
        <n v="8968"/>
        <n v="8976"/>
        <n v="8990"/>
        <n v="8996"/>
        <n v="9000"/>
        <n v="9009"/>
        <n v="9016"/>
        <n v="9024"/>
        <n v="9030"/>
        <n v="9039"/>
        <n v="9044"/>
        <n v="9048"/>
        <n v="9061"/>
        <n v="9064"/>
        <n v="9074"/>
        <n v="9075"/>
        <n v="9078"/>
        <n v="9086"/>
        <n v="9087"/>
        <n v="9100"/>
        <n v="9108"/>
        <n v="9120"/>
        <n v="9126"/>
        <n v="9129"/>
        <n v="9152"/>
        <n v="9156"/>
        <n v="9164"/>
        <n v="9165"/>
        <n v="9177"/>
        <n v="9180"/>
        <n v="9184"/>
        <n v="9204"/>
        <n v="9205"/>
        <n v="9212"/>
        <n v="9216"/>
        <n v="9225"/>
        <n v="9238"/>
        <n v="9240"/>
        <n v="9261"/>
        <n v="9263"/>
        <n v="9264"/>
        <n v="9280"/>
        <n v="9282"/>
        <n v="9288"/>
        <n v="9300"/>
        <n v="9322"/>
        <n v="9328"/>
        <n v="9339"/>
        <n v="9348"/>
        <n v="9350"/>
        <n v="9360"/>
        <n v="9366"/>
        <n v="9375"/>
        <n v="9379"/>
        <n v="9380"/>
        <n v="9384"/>
        <n v="9400"/>
        <n v="9405"/>
        <n v="9408"/>
        <n v="9417"/>
        <n v="9430"/>
        <n v="9432"/>
        <n v="9434"/>
        <n v="9435"/>
        <n v="9440"/>
        <n v="9450"/>
        <n v="9452"/>
        <n v="9454"/>
        <n v="9460"/>
        <n v="9468"/>
        <n v="9471"/>
        <n v="9472"/>
        <n v="9480"/>
        <n v="9486"/>
        <n v="9490"/>
        <n v="9494"/>
        <n v="9499"/>
        <n v="9500"/>
        <n v="9504"/>
        <n v="9506"/>
        <n v="9514"/>
        <n v="9520"/>
        <n v="9537"/>
        <n v="9541"/>
        <n v="9548"/>
        <n v="9553"/>
        <n v="9554"/>
        <n v="9558"/>
        <n v="9568"/>
        <n v="9570"/>
        <n v="9576"/>
        <n v="9581"/>
        <n v="9588"/>
        <n v="9593"/>
        <n v="9600"/>
        <n v="9604"/>
        <n v="9610"/>
        <n v="9617"/>
        <n v="9625"/>
        <n v="9632"/>
        <n v="9633"/>
        <n v="9639"/>
        <n v="9646"/>
        <n v="9650"/>
        <n v="9656"/>
        <n v="9660"/>
        <n v="9672"/>
        <n v="9675"/>
        <n v="9682"/>
        <n v="9688"/>
        <n v="9702"/>
        <n v="9735"/>
        <n v="9744"/>
        <n v="9750"/>
        <n v="9758"/>
        <n v="9768"/>
        <n v="9775"/>
        <n v="9792"/>
        <n v="9799"/>
        <n v="9800"/>
        <n v="9823"/>
        <n v="9828"/>
        <n v="9840"/>
        <n v="9842"/>
        <n v="9843"/>
        <n v="9853"/>
        <n v="9856"/>
        <n v="9867"/>
        <n v="9870"/>
        <n v="9880"/>
        <n v="9882"/>
        <n v="9890"/>
        <n v="9894"/>
        <n v="9898"/>
        <n v="9900"/>
        <n v="9916"/>
        <n v="9920"/>
        <n v="9936"/>
        <n v="9943"/>
        <n v="9945"/>
        <n v="9947"/>
        <n v="9971"/>
        <n v="9982"/>
        <n v="9984"/>
        <n v="9990"/>
        <n v="9996"/>
        <n v="10000"/>
        <n v="10008"/>
        <n v="10010"/>
        <n v="10011"/>
        <n v="10017"/>
        <n v="10019"/>
        <n v="10034"/>
        <n v="10036"/>
        <n v="10045"/>
        <n v="10050"/>
        <n v="10062"/>
        <n v="10064"/>
        <n v="10065"/>
        <n v="10070"/>
        <n v="10074"/>
        <n v="10080"/>
        <n v="10086"/>
        <n v="10092"/>
        <n v="10100"/>
        <n v="10105"/>
        <n v="10116"/>
        <n v="10125"/>
        <n v="10127"/>
        <n v="10140"/>
        <n v="10143"/>
        <n v="10150"/>
        <n v="10152"/>
        <n v="10168"/>
        <n v="10176"/>
        <n v="10192"/>
        <n v="10199"/>
        <n v="10206"/>
        <n v="10207"/>
        <n v="10208"/>
        <n v="10212"/>
        <n v="10218"/>
        <n v="10224"/>
        <n v="10230"/>
        <n v="10234"/>
        <n v="10241"/>
        <n v="10246"/>
        <n v="10252"/>
        <n v="10257"/>
        <n v="10269"/>
        <n v="10275"/>
        <n v="10281"/>
        <n v="10290"/>
        <n v="10296"/>
        <n v="10304"/>
        <n v="10320"/>
        <n v="10325"/>
        <n v="10335"/>
        <n v="10336"/>
        <n v="10350"/>
        <n v="10353"/>
        <n v="10360"/>
        <n v="10368"/>
        <n v="10370"/>
        <n v="10382"/>
        <n v="10388"/>
        <n v="10404"/>
        <n v="10414"/>
        <n v="10416"/>
        <n v="10431"/>
        <n v="10449"/>
        <n v="10450"/>
        <n v="10452"/>
        <n v="10455"/>
        <n v="10458"/>
        <n v="10464"/>
        <n v="10472"/>
        <n v="10476"/>
        <n v="10478"/>
        <n v="10481"/>
        <n v="10488"/>
        <n v="10496"/>
        <n v="10500"/>
        <n v="10504"/>
        <n v="10516"/>
        <n v="10528"/>
        <n v="10530"/>
        <n v="10535"/>
        <n v="10556"/>
        <n v="10560"/>
        <n v="10569"/>
        <n v="10575"/>
        <n v="10580"/>
        <n v="10582"/>
        <n v="10584"/>
        <n v="10585"/>
        <n v="10600"/>
        <n v="10614"/>
        <n v="10619"/>
        <n v="10625"/>
        <n v="10626"/>
        <n v="10650"/>
        <n v="10656"/>
        <n v="10659"/>
        <n v="10686"/>
        <n v="10692"/>
        <n v="10704"/>
        <n v="10710"/>
        <n v="10712"/>
        <n v="10720"/>
        <n v="10725"/>
        <n v="10736"/>
        <n v="10738"/>
        <n v="10742"/>
        <n v="10744"/>
        <n v="10750"/>
        <n v="10752"/>
        <n v="10759"/>
        <n v="10764"/>
        <n v="10773"/>
        <n v="10780"/>
        <n v="10787"/>
        <n v="10788"/>
        <n v="10816"/>
        <n v="10824"/>
        <n v="10840"/>
        <n v="10846"/>
        <n v="10850"/>
        <n v="10856"/>
        <n v="10860"/>
        <n v="10863"/>
        <n v="10872"/>
        <n v="10875"/>
        <n v="10880"/>
        <n v="10900"/>
        <n v="10904"/>
        <n v="10906"/>
        <n v="10912"/>
        <n v="10920"/>
        <n v="10944"/>
        <n v="10948"/>
        <n v="10952"/>
        <n v="10962"/>
        <n v="10974"/>
        <n v="10976"/>
        <n v="10982"/>
        <n v="10985"/>
        <n v="10988"/>
        <n v="10994"/>
        <n v="10998"/>
        <n v="11000"/>
        <n v="11005"/>
        <n v="11008"/>
        <n v="11011"/>
        <n v="11016"/>
        <n v="11024"/>
        <n v="11025"/>
        <n v="11026"/>
        <n v="11040"/>
        <n v="11050"/>
        <n v="11055"/>
        <n v="11070"/>
        <n v="11072"/>
        <n v="11086"/>
        <n v="11088"/>
        <n v="11092"/>
        <n v="11098"/>
        <n v="11100"/>
        <n v="11102"/>
        <n v="11110"/>
        <n v="11124"/>
        <n v="11130"/>
        <n v="11151"/>
        <n v="11165"/>
        <n v="11169"/>
        <n v="11176"/>
        <n v="11178"/>
        <n v="11184"/>
        <n v="11200"/>
        <n v="11214"/>
        <n v="11220"/>
        <n v="11224"/>
        <n v="11232"/>
        <n v="11250"/>
        <n v="11264"/>
        <n v="11270"/>
        <n v="11271"/>
        <n v="11280"/>
        <n v="11286"/>
        <n v="11310"/>
        <n v="11319"/>
        <n v="11322"/>
        <n v="11324"/>
        <n v="11327"/>
        <n v="11340"/>
        <n v="11352"/>
        <n v="11362"/>
        <n v="11368"/>
        <n v="11375"/>
        <n v="11395"/>
        <n v="11400"/>
        <n v="11417"/>
        <n v="11424"/>
        <n v="11446"/>
        <n v="11456"/>
        <n v="11466"/>
        <n v="11468"/>
        <n v="11470"/>
        <n v="11475"/>
        <n v="11480"/>
        <n v="11500"/>
        <n v="11515"/>
        <n v="11520"/>
        <n v="11529"/>
        <n v="11544"/>
        <n v="11550"/>
        <n v="11554"/>
        <n v="11564"/>
        <n v="11565"/>
        <n v="11583"/>
        <n v="11584"/>
        <n v="11591"/>
        <n v="11592"/>
        <n v="11596"/>
        <n v="11600"/>
        <n v="11610"/>
        <n v="11618"/>
        <n v="11620"/>
        <n v="11628"/>
        <n v="11648"/>
        <n v="11650"/>
        <n v="11656"/>
        <n v="11662"/>
        <n v="11684"/>
        <n v="11692"/>
        <n v="11700"/>
        <n v="11718"/>
        <n v="11730"/>
        <n v="11736"/>
        <n v="11750"/>
        <n v="11760"/>
        <n v="11792"/>
        <n v="11800"/>
        <n v="11802"/>
        <n v="11803"/>
        <n v="11832"/>
        <n v="11844"/>
        <n v="11850"/>
        <n v="11856"/>
        <n v="11872"/>
        <n v="11875"/>
        <n v="11880"/>
        <n v="11883"/>
        <n v="11895"/>
        <n v="11899"/>
        <n v="11900"/>
        <n v="11920"/>
        <n v="11924"/>
        <n v="11925"/>
        <n v="11935"/>
        <n v="11938"/>
        <n v="11960"/>
        <n v="11968"/>
        <n v="11977"/>
        <n v="11985"/>
        <n v="11988"/>
        <n v="11990"/>
        <n v="11997"/>
        <n v="11999"/>
        <n v="12000"/>
        <n v="12006"/>
        <n v="12012"/>
        <n v="12032"/>
        <n v="12036"/>
        <n v="12040"/>
        <n v="12054"/>
        <n v="12064"/>
        <n v="12090"/>
        <n v="12096"/>
        <n v="12116"/>
        <n v="12120"/>
        <n v="12144"/>
        <n v="12150"/>
        <n v="12152"/>
        <n v="12155"/>
        <n v="12200"/>
        <n v="12218"/>
        <n v="12220"/>
        <n v="12240"/>
        <n v="12243"/>
        <n v="12246"/>
        <n v="12250"/>
        <n v="12265"/>
        <n v="12267"/>
        <n v="12276"/>
        <n v="12285"/>
        <n v="12288"/>
        <n v="12291"/>
        <n v="12300"/>
        <n v="12320"/>
        <n v="12348"/>
        <n v="12349"/>
        <n v="12350"/>
        <n v="12354"/>
        <n v="12358"/>
        <n v="12364"/>
        <n v="12375"/>
        <n v="12390"/>
        <n v="12427"/>
        <n v="12432"/>
        <n v="12474"/>
        <n v="12480"/>
        <n v="12489"/>
        <n v="12500"/>
        <n v="12512"/>
        <n v="12516"/>
        <n v="12540"/>
        <n v="12544"/>
        <n v="12546"/>
        <n v="12558"/>
        <n v="12582"/>
        <n v="12586"/>
        <n v="12596"/>
        <n v="12597"/>
        <n v="12600"/>
        <n v="12638"/>
        <n v="12642"/>
        <n v="12644"/>
        <n v="12648"/>
        <n v="12672"/>
        <n v="12688"/>
        <n v="12702"/>
        <n v="12705"/>
        <n v="12716"/>
        <n v="12720"/>
        <n v="12750"/>
        <n v="12768"/>
        <n v="12780"/>
        <n v="12784"/>
        <n v="12788"/>
        <n v="12800"/>
        <n v="12804"/>
        <n v="12818"/>
        <n v="12825"/>
        <n v="12852"/>
        <n v="12870"/>
        <n v="12880"/>
        <n v="12887"/>
        <n v="12896"/>
        <n v="12900"/>
        <n v="12921"/>
        <n v="12926"/>
        <n v="12928"/>
        <n v="12936"/>
        <n v="12950"/>
        <n v="12954"/>
        <n v="12960"/>
        <n v="12972"/>
        <n v="12987"/>
        <n v="12992"/>
        <n v="13000"/>
        <n v="13020"/>
        <n v="13038"/>
        <n v="13041"/>
        <n v="13048"/>
        <n v="13050"/>
        <n v="13056"/>
        <n v="13066"/>
        <n v="13068"/>
        <n v="13080"/>
        <n v="13090"/>
        <n v="13104"/>
        <n v="13110"/>
        <n v="13122"/>
        <n v="13125"/>
        <n v="13157"/>
        <n v="13158"/>
        <n v="13160"/>
        <n v="13184"/>
        <n v="13192"/>
        <n v="13202"/>
        <n v="13230"/>
        <n v="13250"/>
        <n v="13260"/>
        <n v="13283"/>
        <n v="13300"/>
        <n v="13312"/>
        <n v="13321"/>
        <n v="13330"/>
        <n v="13392"/>
        <n v="13398"/>
        <n v="13416"/>
        <n v="13440"/>
        <n v="13464"/>
        <n v="13500"/>
        <n v="13530"/>
        <n v="13534"/>
        <n v="13536"/>
        <n v="13570"/>
        <n v="13572"/>
        <n v="13583"/>
        <n v="13590"/>
        <n v="13600"/>
        <n v="13601"/>
        <n v="13603"/>
        <n v="13608"/>
        <n v="13632"/>
        <n v="13650"/>
        <n v="13664"/>
        <n v="13668"/>
        <n v="13676"/>
        <n v="13688"/>
        <n v="13717"/>
        <n v="13725"/>
        <n v="13734"/>
        <n v="13750"/>
        <n v="13756"/>
        <n v="13770"/>
        <n v="13771"/>
        <n v="13797"/>
        <n v="13804"/>
        <n v="13824"/>
        <n v="13833"/>
        <n v="13845"/>
        <n v="13858"/>
        <n v="13860"/>
        <n v="13900"/>
        <n v="13908"/>
        <n v="13912"/>
        <n v="13920"/>
        <n v="13923"/>
        <n v="13932"/>
        <n v="13936"/>
        <n v="13939"/>
        <n v="13940"/>
        <n v="13981"/>
        <n v="13986"/>
        <n v="14000"/>
        <n v="14014"/>
        <n v="14016"/>
        <n v="14018"/>
        <n v="14025"/>
        <n v="14040"/>
        <n v="14070"/>
        <n v="14076"/>
        <n v="14080"/>
        <n v="14094"/>
        <n v="14105"/>
        <n v="14112"/>
        <n v="14144"/>
        <n v="14151"/>
        <n v="14235"/>
        <n v="14250"/>
        <n v="14280"/>
        <n v="14322"/>
        <n v="14336"/>
        <n v="14375"/>
        <n v="14384"/>
        <n v="14398"/>
        <n v="14400"/>
        <n v="14446"/>
        <n v="14448"/>
        <n v="14455"/>
        <n v="14465"/>
        <n v="14469"/>
        <n v="14490"/>
        <n v="14500"/>
        <n v="14550"/>
        <n v="14573"/>
        <n v="14580"/>
        <n v="14586"/>
        <n v="14592"/>
        <n v="14616"/>
        <n v="14625"/>
        <n v="14637"/>
        <n v="14664"/>
        <n v="14725"/>
        <n v="14739"/>
        <n v="14742"/>
        <n v="14760"/>
        <n v="14784"/>
        <n v="14850"/>
        <n v="14875"/>
        <n v="14912"/>
        <n v="14924"/>
        <n v="14943"/>
        <n v="15000"/>
        <n v="15008"/>
        <n v="15015"/>
        <n v="15023"/>
        <n v="15050"/>
        <n v="15052"/>
        <n v="15104"/>
        <n v="15120"/>
        <n v="15125"/>
        <n v="15145"/>
        <n v="15190"/>
        <n v="15225"/>
        <n v="15240"/>
        <n v="15244"/>
        <n v="15252"/>
        <n v="15272"/>
        <n v="15288"/>
        <n v="15300"/>
        <n v="15352"/>
        <n v="15360"/>
        <n v="15375"/>
        <n v="15376"/>
        <n v="15390"/>
        <n v="15392"/>
        <n v="15477"/>
        <n v="15478"/>
        <n v="15500"/>
        <n v="15504"/>
        <n v="15512"/>
        <n v="15517"/>
        <n v="15525"/>
        <n v="15552"/>
        <n v="15568"/>
        <n v="15575"/>
        <n v="15600"/>
        <n v="15616"/>
        <n v="15624"/>
        <n v="15625"/>
        <n v="15652"/>
        <n v="15660"/>
        <n v="15696"/>
        <n v="15750"/>
        <n v="15768"/>
        <n v="15792"/>
        <n v="15834"/>
        <n v="15862"/>
        <n v="15872"/>
        <n v="15876"/>
        <n v="15912"/>
        <n v="15950"/>
        <n v="15962"/>
        <n v="16000"/>
        <n v="16104"/>
        <n v="16124"/>
        <n v="16133"/>
        <n v="16170"/>
        <n v="16200"/>
        <n v="16225"/>
        <n v="16240"/>
        <n v="16250"/>
        <n v="16254"/>
        <n v="16256"/>
        <n v="16284"/>
        <n v="16317"/>
        <n v="16320"/>
        <n v="16324"/>
        <n v="16348"/>
        <n v="16393"/>
        <n v="16400"/>
        <n v="16443"/>
        <n v="16463"/>
        <n v="16500"/>
        <n v="16520"/>
        <n v="16544"/>
        <n v="16560"/>
        <n v="16590"/>
        <n v="16616"/>
        <n v="16625"/>
        <n v="16650"/>
        <n v="16660"/>
        <n v="16776"/>
        <n v="16789"/>
        <n v="16800"/>
        <n v="16832"/>
        <n v="16848"/>
        <n v="16849"/>
        <n v="16875"/>
        <n v="16926"/>
        <n v="17000"/>
        <n v="17040"/>
        <n v="17066"/>
        <n v="17094"/>
        <n v="17100"/>
        <n v="17110"/>
        <n v="17118"/>
        <n v="17136"/>
        <n v="17215"/>
        <n v="17250"/>
        <n v="17280"/>
        <n v="17325"/>
        <n v="17340"/>
        <n v="17355"/>
        <n v="17358"/>
        <n v="17360"/>
        <n v="17446"/>
        <n v="17447"/>
        <n v="17472"/>
        <n v="17500"/>
        <n v="17600"/>
        <n v="17640"/>
        <n v="17664"/>
        <n v="17708"/>
        <n v="17800"/>
        <n v="17836"/>
        <n v="17875"/>
        <n v="17880"/>
        <n v="17940"/>
        <n v="17955"/>
        <n v="17980"/>
        <n v="18000"/>
        <n v="18125"/>
        <n v="18224"/>
        <n v="18240"/>
        <n v="18352"/>
        <n v="18360"/>
        <n v="18375"/>
        <n v="18403"/>
        <n v="18531"/>
        <n v="18538"/>
        <n v="18615"/>
        <n v="18676"/>
        <n v="18750"/>
        <n v="18788"/>
        <n v="18800"/>
        <n v="18821"/>
        <n v="18850"/>
        <n v="18900"/>
        <n v="18942"/>
        <n v="18972"/>
        <n v="19000"/>
        <n v="19096"/>
        <n v="19125"/>
        <n v="19200"/>
        <n v="19250"/>
        <n v="19344"/>
        <n v="19430"/>
        <n v="19462"/>
        <n v="19500"/>
        <n v="19520"/>
        <n v="19593"/>
        <n v="19720"/>
        <n v="19800"/>
        <n v="19840"/>
        <n v="19920"/>
        <n v="20000"/>
        <n v="20025"/>
        <n v="20100"/>
        <n v="20125"/>
        <n v="20145"/>
        <n v="20160"/>
        <n v="20196"/>
        <n v="20212"/>
        <n v="20250"/>
        <n v="20349"/>
        <n v="20625"/>
        <n v="20800"/>
        <n v="21000"/>
        <n v="21125"/>
        <n v="21250"/>
        <n v="21375"/>
        <n v="21663"/>
        <n v="21700"/>
        <n v="21750"/>
        <n v="21800"/>
        <n v="21875"/>
        <n v="21930"/>
        <n v="22000"/>
        <n v="22250"/>
        <n v="22425"/>
        <n v="22454"/>
        <n v="22500"/>
        <n v="22750"/>
        <n v="22800"/>
        <n v="23000"/>
        <n v="23100"/>
        <n v="23220"/>
        <n v="23250"/>
        <n v="23375"/>
        <n v="23400"/>
        <n v="23450"/>
        <n v="23500"/>
        <n v="23625"/>
        <n v="23750"/>
        <n v="23800"/>
        <n v="24000"/>
        <n v="24375"/>
        <n v="24500"/>
        <n v="24525"/>
        <n v="24750"/>
        <n v="24800"/>
        <n v="25000"/>
        <n v="25375"/>
        <n v="25500"/>
        <n v="25875"/>
        <n v="26000"/>
        <n v="26125"/>
        <n v="26250"/>
        <n v="26800"/>
        <n v="26950"/>
        <n v="27000"/>
        <n v="27125"/>
        <n v="27225"/>
        <n v="27250"/>
        <n v="27500"/>
        <n v="27600"/>
        <n v="27625"/>
        <n v="27750"/>
        <n v="28000"/>
        <n v="28125"/>
        <n v="28200"/>
        <n v="28500"/>
        <n v="28750"/>
        <n v="28875"/>
        <n v="29000"/>
        <n v="29250"/>
        <n v="29700"/>
        <n v="29750"/>
        <n v="29800"/>
        <n v="29975"/>
        <n v="30000"/>
        <n v="30250"/>
        <n v="30375"/>
        <n v="30875"/>
        <n v="31000"/>
        <n v="31200"/>
        <n v="31250"/>
        <n v="31275"/>
        <n v="31350"/>
        <n v="31500"/>
        <n v="31625"/>
        <n v="31875"/>
        <n v="32000"/>
        <n v="32375"/>
        <n v="32500"/>
        <n v="32625"/>
        <n v="32700"/>
        <n v="32800"/>
        <n v="33000"/>
        <n v="33250"/>
        <n v="33750"/>
        <n v="34000"/>
        <n v="34125"/>
        <n v="34200"/>
        <n v="34375"/>
        <n v="34500"/>
        <n v="34875"/>
        <n v="35000"/>
        <n v="35625"/>
        <n v="35700"/>
        <n v="35750"/>
        <n v="35775"/>
        <n v="36000"/>
        <n v="36250"/>
        <n v="36750"/>
        <n v="37000"/>
        <n v="37050"/>
        <n v="37125"/>
        <n v="37250"/>
        <n v="37375"/>
        <n v="37500"/>
        <n v="38000"/>
        <n v="38250"/>
        <n v="38500"/>
        <n v="38675"/>
        <n v="38750"/>
        <n v="39000"/>
        <n v="39150"/>
        <n v="39375"/>
        <n v="39750"/>
        <n v="39875"/>
        <n v="40000"/>
        <n v="40250"/>
        <n v="40375"/>
        <n v="40500"/>
        <n v="40625"/>
        <n v="41000"/>
        <n v="41250"/>
        <n v="41625"/>
        <n v="42000"/>
        <n v="42250"/>
        <n v="42500"/>
        <n v="42525"/>
        <n v="42625"/>
        <n v="42750"/>
        <n v="43000"/>
        <n v="43125"/>
        <n v="43500"/>
        <n v="43750"/>
        <n v="43875"/>
        <n v="44000"/>
        <n v="44625"/>
        <n v="45000"/>
        <n v="45375"/>
        <n v="45500"/>
        <n v="46000"/>
        <n v="46125"/>
        <n v="46250"/>
        <n v="46500"/>
        <n v="46750"/>
        <n v="46875"/>
        <n v="47125"/>
        <n v="47250"/>
        <n v="47500"/>
        <n v="47850"/>
        <n v="48000"/>
        <n v="48125"/>
        <n v="48150"/>
        <n v="48750"/>
        <n v="48875"/>
        <n v="49000"/>
        <n v="49500"/>
        <n v="49875"/>
        <n v="50000"/>
        <n v="50375"/>
        <n v="50600"/>
        <n v="50625"/>
        <n v="50750"/>
        <n v="50875"/>
        <n v="51000"/>
        <n v="52000"/>
        <n v="52250"/>
        <n v="52500"/>
        <n v="53125"/>
        <n v="53625"/>
        <n v="54000"/>
        <n v="54250"/>
        <n v="54375"/>
        <n v="54625"/>
        <n v="55000"/>
        <n v="55250"/>
        <n v="55500"/>
        <n v="56000"/>
        <n v="56250"/>
        <n v="56375"/>
        <n v="56875"/>
        <n v="57375"/>
        <n v="57500"/>
        <n v="57750"/>
        <n v="58000"/>
        <n v="58125"/>
        <n v="58500"/>
        <n v="58850"/>
        <n v="59375"/>
        <n v="59500"/>
        <n v="60000"/>
        <n v="60125"/>
        <n v="61000"/>
        <n v="61250"/>
        <n v="61500"/>
        <n v="61750"/>
        <n v="61875"/>
        <n v="62000"/>
        <n v="62500"/>
        <n v="63000"/>
        <n v="63375"/>
        <n v="63750"/>
        <n v="64000"/>
        <n v="64500"/>
        <n v="64750"/>
        <n v="65000"/>
        <n v="65625"/>
        <n v="65875"/>
        <n v="66000"/>
        <n v="66500"/>
        <n v="66625"/>
        <n v="67500"/>
        <n v="68000"/>
        <n v="68250"/>
        <n v="69875"/>
        <n v="70000"/>
        <n v="70125"/>
        <n v="71250"/>
        <n v="71500"/>
        <n v="72000"/>
        <n v="72250"/>
        <n v="73125"/>
        <n v="73200"/>
        <n v="73500"/>
        <n v="74750"/>
        <n v="75000"/>
        <n v="75250"/>
        <n v="76500"/>
        <n v="78000"/>
        <n v="80750"/>
        <n v="81000"/>
        <n v="82500"/>
      </sharedItems>
    </cacheField>
    <cacheField name="Operating Profit" numFmtId="0">
      <sharedItems containsSemiMixedTypes="0" containsString="0" containsNumber="1" minValue="120166.65" maxValue="961333.2" count="66">
        <n v="120166.65"/>
        <n v="144199.98"/>
        <n v="180249.975"/>
        <n v="204283.305"/>
        <n v="216299.97"/>
        <n v="228316.635"/>
        <n v="240333.3"/>
        <n v="252349.965"/>
        <n v="264366.63"/>
        <n v="276383.295"/>
        <n v="288399.96"/>
        <n v="300416.625"/>
        <n v="312433.29"/>
        <n v="324449.955"/>
        <n v="336466.62"/>
        <n v="348483.285"/>
        <n v="360499.95"/>
        <n v="372516.615"/>
        <n v="384533.28"/>
        <n v="396549.945"/>
        <n v="408566.61"/>
        <n v="420583.275"/>
        <n v="432599.94"/>
        <n v="444616.605"/>
        <n v="456633.27"/>
        <n v="468649.935"/>
        <n v="480666.6"/>
        <n v="492683.265"/>
        <n v="504699.93"/>
        <n v="516716.595"/>
        <n v="528733.26"/>
        <n v="540749.925"/>
        <n v="552766.59"/>
        <n v="564783.255"/>
        <n v="576799.92"/>
        <n v="588816.585"/>
        <n v="600833.25"/>
        <n v="612849.915"/>
        <n v="624866.58"/>
        <n v="636883.245"/>
        <n v="648899.91"/>
        <n v="660916.575"/>
        <n v="672933.24"/>
        <n v="684949.905"/>
        <n v="696966.57"/>
        <n v="708983.235"/>
        <n v="720999.9"/>
        <n v="733016.565"/>
        <n v="745033.23"/>
        <n v="757049.895"/>
        <n v="769066.56"/>
        <n v="781083.225"/>
        <n v="793099.89"/>
        <n v="805116.555"/>
        <n v="817133.22"/>
        <n v="829149.885"/>
        <n v="841166.55"/>
        <n v="853183.215"/>
        <n v="865199.88"/>
        <n v="877216.545"/>
        <n v="889233.21"/>
        <n v="901249.875"/>
        <n v="913266.54"/>
        <n v="925283.205"/>
        <n v="949316.535"/>
        <n v="961333.2"/>
      </sharedItems>
    </cacheField>
    <cacheField name="Operating Margin" numFmtId="0">
      <sharedItems containsSemiMixedTypes="0" containsString="0" containsNumber="1" minValue="0.1" maxValue="0.8" count="66">
        <n v="0.1"/>
        <n v="0.12"/>
        <n v="0.15"/>
        <n v="0.17"/>
        <n v="0.18"/>
        <n v="0.19"/>
        <n v="0.2"/>
        <n v="0.21"/>
        <n v="0.22"/>
        <n v="0.23"/>
        <n v="0.24"/>
        <n v="0.25"/>
        <n v="0.26"/>
        <n v="0.27"/>
        <n v="0.28"/>
        <n v="0.29"/>
        <n v="0.3"/>
        <n v="0.31"/>
        <n v="0.32"/>
        <n v="0.33"/>
        <n v="0.34"/>
        <n v="0.35"/>
        <n v="0.36"/>
        <n v="0.37"/>
        <n v="0.38"/>
        <n v="0.39"/>
        <n v="0.4"/>
        <n v="0.41"/>
        <n v="0.42"/>
        <n v="0.43"/>
        <n v="0.44"/>
        <n v="0.45"/>
        <n v="0.46"/>
        <n v="0.47"/>
        <n v="0.48"/>
        <n v="0.49"/>
        <n v="0.5"/>
        <n v="0.51"/>
        <n v="0.52"/>
        <n v="0.53"/>
        <n v="0.54"/>
        <n v="0.55"/>
        <n v="0.56"/>
        <n v="0.57"/>
        <n v="0.58"/>
        <n v="0.59"/>
        <n v="0.6"/>
        <n v="0.61"/>
        <n v="0.62"/>
        <n v="0.63"/>
        <n v="0.64"/>
        <n v="0.65"/>
        <n v="0.66"/>
        <n v="0.67"/>
        <n v="0.68"/>
        <n v="0.69"/>
        <n v="0.7"/>
        <n v="0.71"/>
        <n v="0.72"/>
        <n v="0.73"/>
        <n v="0.74"/>
        <n v="0.75"/>
        <n v="0.76"/>
        <n v="0.77"/>
        <n v="0.79"/>
        <n v="0.8"/>
      </sharedItems>
    </cacheField>
    <cacheField name="Sales Method" numFmtId="0">
      <sharedItems count="3">
        <s v="In-store"/>
        <s v="Online"/>
        <s v="Outlet"/>
      </sharedItems>
    </cacheField>
    <cacheField name="Quarters" numFmtId="0" databaseField="0">
      <fieldGroup base="2">
        <rangePr groupBy="quarters" startDate="2020-01-01T00:00:00" endDate="2022-01-01T00:00:00"/>
        <groupItems count="6">
          <s v="&lt;01/01/2020"/>
          <s v="Q1"/>
          <s v="Q2"/>
          <s v="Q3"/>
          <s v="Q4"/>
          <s v="&gt;01/01/2022"/>
        </groupItems>
      </fieldGroup>
    </cacheField>
    <cacheField name="Years" numFmtId="0" databaseField="0">
      <fieldGroup base="2">
        <rangePr groupBy="years" startDate="2020-01-01T00:00:00" endDate="2022-01-01T00:00:00"/>
        <groupItems count="4">
          <s v="&lt;01/01/2020"/>
          <s v="2020"/>
          <s v="2021"/>
          <s v="&gt;01/01/2022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648">
  <r>
    <x v="1"/>
    <x v="1"/>
    <x v="0"/>
    <x v="1"/>
    <x v="31"/>
    <x v="35"/>
    <x v="2"/>
    <x v="43"/>
    <x v="357"/>
    <x v="3040"/>
    <x v="36"/>
    <x v="36"/>
    <x v="0"/>
  </r>
  <r>
    <x v="1"/>
    <x v="1"/>
    <x v="1"/>
    <x v="1"/>
    <x v="31"/>
    <x v="35"/>
    <x v="1"/>
    <x v="43"/>
    <x v="347"/>
    <x v="3008"/>
    <x v="16"/>
    <x v="16"/>
    <x v="0"/>
  </r>
  <r>
    <x v="1"/>
    <x v="1"/>
    <x v="2"/>
    <x v="1"/>
    <x v="31"/>
    <x v="35"/>
    <x v="5"/>
    <x v="33"/>
    <x v="347"/>
    <x v="2966"/>
    <x v="21"/>
    <x v="21"/>
    <x v="0"/>
  </r>
  <r>
    <x v="1"/>
    <x v="1"/>
    <x v="3"/>
    <x v="1"/>
    <x v="31"/>
    <x v="35"/>
    <x v="4"/>
    <x v="38"/>
    <x v="338"/>
    <x v="2957"/>
    <x v="21"/>
    <x v="21"/>
    <x v="0"/>
  </r>
  <r>
    <x v="1"/>
    <x v="1"/>
    <x v="4"/>
    <x v="1"/>
    <x v="31"/>
    <x v="35"/>
    <x v="0"/>
    <x v="53"/>
    <x v="341"/>
    <x v="3020"/>
    <x v="16"/>
    <x v="16"/>
    <x v="0"/>
  </r>
  <r>
    <x v="1"/>
    <x v="1"/>
    <x v="5"/>
    <x v="1"/>
    <x v="31"/>
    <x v="35"/>
    <x v="3"/>
    <x v="43"/>
    <x v="347"/>
    <x v="3008"/>
    <x v="11"/>
    <x v="11"/>
    <x v="0"/>
  </r>
  <r>
    <x v="1"/>
    <x v="1"/>
    <x v="6"/>
    <x v="1"/>
    <x v="31"/>
    <x v="35"/>
    <x v="2"/>
    <x v="43"/>
    <x v="359"/>
    <x v="3048"/>
    <x v="36"/>
    <x v="36"/>
    <x v="0"/>
  </r>
  <r>
    <x v="1"/>
    <x v="1"/>
    <x v="7"/>
    <x v="1"/>
    <x v="31"/>
    <x v="35"/>
    <x v="1"/>
    <x v="43"/>
    <x v="341"/>
    <x v="2987"/>
    <x v="16"/>
    <x v="16"/>
    <x v="2"/>
  </r>
  <r>
    <x v="1"/>
    <x v="1"/>
    <x v="20"/>
    <x v="1"/>
    <x v="31"/>
    <x v="35"/>
    <x v="5"/>
    <x v="33"/>
    <x v="345"/>
    <x v="2956"/>
    <x v="21"/>
    <x v="21"/>
    <x v="2"/>
  </r>
  <r>
    <x v="1"/>
    <x v="1"/>
    <x v="21"/>
    <x v="1"/>
    <x v="31"/>
    <x v="35"/>
    <x v="4"/>
    <x v="38"/>
    <x v="337"/>
    <x v="2952"/>
    <x v="21"/>
    <x v="21"/>
    <x v="2"/>
  </r>
  <r>
    <x v="1"/>
    <x v="1"/>
    <x v="22"/>
    <x v="1"/>
    <x v="31"/>
    <x v="35"/>
    <x v="0"/>
    <x v="53"/>
    <x v="341"/>
    <x v="3020"/>
    <x v="16"/>
    <x v="16"/>
    <x v="2"/>
  </r>
  <r>
    <x v="1"/>
    <x v="1"/>
    <x v="23"/>
    <x v="1"/>
    <x v="31"/>
    <x v="35"/>
    <x v="3"/>
    <x v="43"/>
    <x v="347"/>
    <x v="3008"/>
    <x v="11"/>
    <x v="11"/>
    <x v="2"/>
  </r>
  <r>
    <x v="1"/>
    <x v="1"/>
    <x v="24"/>
    <x v="1"/>
    <x v="31"/>
    <x v="35"/>
    <x v="2"/>
    <x v="43"/>
    <x v="358"/>
    <x v="3042"/>
    <x v="36"/>
    <x v="36"/>
    <x v="2"/>
  </r>
  <r>
    <x v="1"/>
    <x v="1"/>
    <x v="25"/>
    <x v="1"/>
    <x v="31"/>
    <x v="35"/>
    <x v="1"/>
    <x v="43"/>
    <x v="343"/>
    <x v="2992"/>
    <x v="16"/>
    <x v="16"/>
    <x v="2"/>
  </r>
  <r>
    <x v="1"/>
    <x v="1"/>
    <x v="26"/>
    <x v="1"/>
    <x v="31"/>
    <x v="35"/>
    <x v="5"/>
    <x v="33"/>
    <x v="345"/>
    <x v="2956"/>
    <x v="21"/>
    <x v="21"/>
    <x v="2"/>
  </r>
  <r>
    <x v="1"/>
    <x v="1"/>
    <x v="27"/>
    <x v="1"/>
    <x v="31"/>
    <x v="35"/>
    <x v="4"/>
    <x v="38"/>
    <x v="335"/>
    <x v="2947"/>
    <x v="21"/>
    <x v="21"/>
    <x v="2"/>
  </r>
  <r>
    <x v="1"/>
    <x v="1"/>
    <x v="28"/>
    <x v="1"/>
    <x v="31"/>
    <x v="35"/>
    <x v="0"/>
    <x v="53"/>
    <x v="338"/>
    <x v="3014"/>
    <x v="16"/>
    <x v="16"/>
    <x v="2"/>
  </r>
  <r>
    <x v="1"/>
    <x v="1"/>
    <x v="29"/>
    <x v="1"/>
    <x v="31"/>
    <x v="35"/>
    <x v="3"/>
    <x v="43"/>
    <x v="345"/>
    <x v="2998"/>
    <x v="11"/>
    <x v="11"/>
    <x v="2"/>
  </r>
  <r>
    <x v="1"/>
    <x v="1"/>
    <x v="30"/>
    <x v="1"/>
    <x v="31"/>
    <x v="35"/>
    <x v="2"/>
    <x v="43"/>
    <x v="357"/>
    <x v="3040"/>
    <x v="36"/>
    <x v="36"/>
    <x v="2"/>
  </r>
  <r>
    <x v="1"/>
    <x v="1"/>
    <x v="31"/>
    <x v="1"/>
    <x v="31"/>
    <x v="35"/>
    <x v="1"/>
    <x v="43"/>
    <x v="341"/>
    <x v="2987"/>
    <x v="16"/>
    <x v="16"/>
    <x v="2"/>
  </r>
  <r>
    <x v="1"/>
    <x v="1"/>
    <x v="32"/>
    <x v="1"/>
    <x v="31"/>
    <x v="35"/>
    <x v="5"/>
    <x v="33"/>
    <x v="341"/>
    <x v="2947"/>
    <x v="21"/>
    <x v="21"/>
    <x v="2"/>
  </r>
  <r>
    <x v="1"/>
    <x v="1"/>
    <x v="33"/>
    <x v="1"/>
    <x v="31"/>
    <x v="35"/>
    <x v="4"/>
    <x v="38"/>
    <x v="337"/>
    <x v="2952"/>
    <x v="21"/>
    <x v="21"/>
    <x v="2"/>
  </r>
  <r>
    <x v="1"/>
    <x v="1"/>
    <x v="34"/>
    <x v="1"/>
    <x v="31"/>
    <x v="35"/>
    <x v="0"/>
    <x v="53"/>
    <x v="337"/>
    <x v="3006"/>
    <x v="16"/>
    <x v="16"/>
    <x v="2"/>
  </r>
  <r>
    <x v="1"/>
    <x v="1"/>
    <x v="35"/>
    <x v="1"/>
    <x v="31"/>
    <x v="35"/>
    <x v="3"/>
    <x v="43"/>
    <x v="345"/>
    <x v="2998"/>
    <x v="11"/>
    <x v="11"/>
    <x v="2"/>
  </r>
  <r>
    <x v="1"/>
    <x v="1"/>
    <x v="36"/>
    <x v="1"/>
    <x v="31"/>
    <x v="35"/>
    <x v="2"/>
    <x v="53"/>
    <x v="358"/>
    <x v="3072"/>
    <x v="36"/>
    <x v="36"/>
    <x v="2"/>
  </r>
  <r>
    <x v="1"/>
    <x v="1"/>
    <x v="37"/>
    <x v="1"/>
    <x v="31"/>
    <x v="35"/>
    <x v="1"/>
    <x v="48"/>
    <x v="343"/>
    <x v="3013"/>
    <x v="16"/>
    <x v="16"/>
    <x v="2"/>
  </r>
  <r>
    <x v="1"/>
    <x v="1"/>
    <x v="38"/>
    <x v="1"/>
    <x v="31"/>
    <x v="35"/>
    <x v="5"/>
    <x v="43"/>
    <x v="341"/>
    <x v="2987"/>
    <x v="21"/>
    <x v="21"/>
    <x v="2"/>
  </r>
  <r>
    <x v="1"/>
    <x v="1"/>
    <x v="39"/>
    <x v="1"/>
    <x v="31"/>
    <x v="35"/>
    <x v="4"/>
    <x v="43"/>
    <x v="338"/>
    <x v="2976"/>
    <x v="21"/>
    <x v="21"/>
    <x v="2"/>
  </r>
  <r>
    <x v="1"/>
    <x v="1"/>
    <x v="40"/>
    <x v="1"/>
    <x v="31"/>
    <x v="35"/>
    <x v="0"/>
    <x v="53"/>
    <x v="340"/>
    <x v="3017"/>
    <x v="16"/>
    <x v="16"/>
    <x v="2"/>
  </r>
  <r>
    <x v="1"/>
    <x v="1"/>
    <x v="61"/>
    <x v="1"/>
    <x v="31"/>
    <x v="35"/>
    <x v="3"/>
    <x v="58"/>
    <x v="347"/>
    <x v="3055"/>
    <x v="11"/>
    <x v="11"/>
    <x v="2"/>
  </r>
  <r>
    <x v="1"/>
    <x v="1"/>
    <x v="62"/>
    <x v="1"/>
    <x v="31"/>
    <x v="35"/>
    <x v="2"/>
    <x v="53"/>
    <x v="359"/>
    <x v="3075"/>
    <x v="36"/>
    <x v="36"/>
    <x v="2"/>
  </r>
  <r>
    <x v="1"/>
    <x v="1"/>
    <x v="63"/>
    <x v="1"/>
    <x v="31"/>
    <x v="35"/>
    <x v="1"/>
    <x v="48"/>
    <x v="347"/>
    <x v="3024"/>
    <x v="16"/>
    <x v="16"/>
    <x v="2"/>
  </r>
  <r>
    <x v="1"/>
    <x v="1"/>
    <x v="64"/>
    <x v="1"/>
    <x v="31"/>
    <x v="35"/>
    <x v="5"/>
    <x v="43"/>
    <x v="343"/>
    <x v="2992"/>
    <x v="21"/>
    <x v="21"/>
    <x v="2"/>
  </r>
  <r>
    <x v="1"/>
    <x v="1"/>
    <x v="65"/>
    <x v="1"/>
    <x v="31"/>
    <x v="35"/>
    <x v="4"/>
    <x v="43"/>
    <x v="341"/>
    <x v="2987"/>
    <x v="21"/>
    <x v="21"/>
    <x v="2"/>
  </r>
  <r>
    <x v="1"/>
    <x v="1"/>
    <x v="66"/>
    <x v="1"/>
    <x v="31"/>
    <x v="35"/>
    <x v="0"/>
    <x v="53"/>
    <x v="341"/>
    <x v="3020"/>
    <x v="16"/>
    <x v="16"/>
    <x v="2"/>
  </r>
  <r>
    <x v="1"/>
    <x v="1"/>
    <x v="67"/>
    <x v="1"/>
    <x v="31"/>
    <x v="35"/>
    <x v="3"/>
    <x v="58"/>
    <x v="351"/>
    <x v="3063"/>
    <x v="11"/>
    <x v="11"/>
    <x v="2"/>
  </r>
  <r>
    <x v="1"/>
    <x v="1"/>
    <x v="68"/>
    <x v="1"/>
    <x v="31"/>
    <x v="35"/>
    <x v="2"/>
    <x v="53"/>
    <x v="360"/>
    <x v="3077"/>
    <x v="36"/>
    <x v="36"/>
    <x v="2"/>
  </r>
  <r>
    <x v="1"/>
    <x v="1"/>
    <x v="69"/>
    <x v="1"/>
    <x v="31"/>
    <x v="35"/>
    <x v="1"/>
    <x v="48"/>
    <x v="349"/>
    <x v="3029"/>
    <x v="16"/>
    <x v="16"/>
    <x v="2"/>
  </r>
  <r>
    <x v="1"/>
    <x v="1"/>
    <x v="70"/>
    <x v="1"/>
    <x v="31"/>
    <x v="35"/>
    <x v="5"/>
    <x v="43"/>
    <x v="345"/>
    <x v="2998"/>
    <x v="21"/>
    <x v="21"/>
    <x v="2"/>
  </r>
  <r>
    <x v="1"/>
    <x v="1"/>
    <x v="71"/>
    <x v="1"/>
    <x v="31"/>
    <x v="35"/>
    <x v="4"/>
    <x v="43"/>
    <x v="341"/>
    <x v="2987"/>
    <x v="21"/>
    <x v="21"/>
    <x v="2"/>
  </r>
  <r>
    <x v="1"/>
    <x v="1"/>
    <x v="72"/>
    <x v="1"/>
    <x v="31"/>
    <x v="35"/>
    <x v="0"/>
    <x v="53"/>
    <x v="343"/>
    <x v="3026"/>
    <x v="16"/>
    <x v="16"/>
    <x v="2"/>
  </r>
  <r>
    <x v="1"/>
    <x v="1"/>
    <x v="73"/>
    <x v="1"/>
    <x v="31"/>
    <x v="35"/>
    <x v="3"/>
    <x v="58"/>
    <x v="354"/>
    <x v="3068"/>
    <x v="11"/>
    <x v="11"/>
    <x v="2"/>
  </r>
  <r>
    <x v="1"/>
    <x v="1"/>
    <x v="74"/>
    <x v="1"/>
    <x v="31"/>
    <x v="35"/>
    <x v="2"/>
    <x v="53"/>
    <x v="359"/>
    <x v="3075"/>
    <x v="36"/>
    <x v="36"/>
    <x v="2"/>
  </r>
  <r>
    <x v="1"/>
    <x v="1"/>
    <x v="75"/>
    <x v="1"/>
    <x v="31"/>
    <x v="35"/>
    <x v="1"/>
    <x v="48"/>
    <x v="349"/>
    <x v="3029"/>
    <x v="16"/>
    <x v="16"/>
    <x v="2"/>
  </r>
  <r>
    <x v="1"/>
    <x v="1"/>
    <x v="76"/>
    <x v="1"/>
    <x v="31"/>
    <x v="35"/>
    <x v="5"/>
    <x v="43"/>
    <x v="345"/>
    <x v="2998"/>
    <x v="21"/>
    <x v="21"/>
    <x v="2"/>
  </r>
  <r>
    <x v="1"/>
    <x v="1"/>
    <x v="89"/>
    <x v="1"/>
    <x v="31"/>
    <x v="35"/>
    <x v="4"/>
    <x v="43"/>
    <x v="343"/>
    <x v="2992"/>
    <x v="21"/>
    <x v="21"/>
    <x v="2"/>
  </r>
  <r>
    <x v="4"/>
    <x v="1"/>
    <x v="106"/>
    <x v="1"/>
    <x v="31"/>
    <x v="35"/>
    <x v="0"/>
    <x v="53"/>
    <x v="341"/>
    <x v="3020"/>
    <x v="16"/>
    <x v="16"/>
    <x v="2"/>
  </r>
  <r>
    <x v="4"/>
    <x v="1"/>
    <x v="107"/>
    <x v="1"/>
    <x v="31"/>
    <x v="35"/>
    <x v="3"/>
    <x v="58"/>
    <x v="353"/>
    <x v="3064"/>
    <x v="11"/>
    <x v="11"/>
    <x v="2"/>
  </r>
  <r>
    <x v="4"/>
    <x v="1"/>
    <x v="108"/>
    <x v="1"/>
    <x v="31"/>
    <x v="35"/>
    <x v="2"/>
    <x v="53"/>
    <x v="357"/>
    <x v="3069"/>
    <x v="36"/>
    <x v="36"/>
    <x v="2"/>
  </r>
  <r>
    <x v="4"/>
    <x v="1"/>
    <x v="109"/>
    <x v="1"/>
    <x v="31"/>
    <x v="35"/>
    <x v="1"/>
    <x v="48"/>
    <x v="347"/>
    <x v="3024"/>
    <x v="16"/>
    <x v="16"/>
    <x v="2"/>
  </r>
  <r>
    <x v="4"/>
    <x v="1"/>
    <x v="110"/>
    <x v="1"/>
    <x v="31"/>
    <x v="35"/>
    <x v="5"/>
    <x v="43"/>
    <x v="343"/>
    <x v="2992"/>
    <x v="21"/>
    <x v="21"/>
    <x v="2"/>
  </r>
  <r>
    <x v="4"/>
    <x v="1"/>
    <x v="111"/>
    <x v="1"/>
    <x v="31"/>
    <x v="35"/>
    <x v="4"/>
    <x v="43"/>
    <x v="341"/>
    <x v="2987"/>
    <x v="21"/>
    <x v="21"/>
    <x v="2"/>
  </r>
  <r>
    <x v="4"/>
    <x v="1"/>
    <x v="112"/>
    <x v="1"/>
    <x v="31"/>
    <x v="35"/>
    <x v="0"/>
    <x v="53"/>
    <x v="341"/>
    <x v="3020"/>
    <x v="16"/>
    <x v="16"/>
    <x v="2"/>
  </r>
  <r>
    <x v="4"/>
    <x v="1"/>
    <x v="113"/>
    <x v="1"/>
    <x v="31"/>
    <x v="35"/>
    <x v="3"/>
    <x v="58"/>
    <x v="347"/>
    <x v="3055"/>
    <x v="11"/>
    <x v="11"/>
    <x v="2"/>
  </r>
  <r>
    <x v="4"/>
    <x v="1"/>
    <x v="114"/>
    <x v="1"/>
    <x v="31"/>
    <x v="35"/>
    <x v="0"/>
    <x v="58"/>
    <x v="340"/>
    <x v="3030"/>
    <x v="16"/>
    <x v="16"/>
    <x v="2"/>
  </r>
  <r>
    <x v="4"/>
    <x v="1"/>
    <x v="115"/>
    <x v="1"/>
    <x v="31"/>
    <x v="35"/>
    <x v="3"/>
    <x v="63"/>
    <x v="347"/>
    <x v="3065"/>
    <x v="11"/>
    <x v="11"/>
    <x v="2"/>
  </r>
  <r>
    <x v="4"/>
    <x v="1"/>
    <x v="116"/>
    <x v="1"/>
    <x v="31"/>
    <x v="35"/>
    <x v="2"/>
    <x v="58"/>
    <x v="356"/>
    <x v="3074"/>
    <x v="36"/>
    <x v="36"/>
    <x v="2"/>
  </r>
  <r>
    <x v="4"/>
    <x v="1"/>
    <x v="117"/>
    <x v="1"/>
    <x v="31"/>
    <x v="35"/>
    <x v="1"/>
    <x v="48"/>
    <x v="346"/>
    <x v="3019"/>
    <x v="16"/>
    <x v="16"/>
    <x v="2"/>
  </r>
  <r>
    <x v="4"/>
    <x v="1"/>
    <x v="118"/>
    <x v="1"/>
    <x v="31"/>
    <x v="35"/>
    <x v="5"/>
    <x v="48"/>
    <x v="342"/>
    <x v="3010"/>
    <x v="21"/>
    <x v="21"/>
    <x v="2"/>
  </r>
  <r>
    <x v="4"/>
    <x v="1"/>
    <x v="119"/>
    <x v="1"/>
    <x v="31"/>
    <x v="35"/>
    <x v="4"/>
    <x v="48"/>
    <x v="341"/>
    <x v="3006"/>
    <x v="21"/>
    <x v="21"/>
    <x v="2"/>
  </r>
  <r>
    <x v="4"/>
    <x v="1"/>
    <x v="120"/>
    <x v="1"/>
    <x v="31"/>
    <x v="35"/>
    <x v="0"/>
    <x v="58"/>
    <x v="340"/>
    <x v="3030"/>
    <x v="16"/>
    <x v="16"/>
    <x v="2"/>
  </r>
  <r>
    <x v="4"/>
    <x v="1"/>
    <x v="121"/>
    <x v="1"/>
    <x v="31"/>
    <x v="35"/>
    <x v="3"/>
    <x v="63"/>
    <x v="346"/>
    <x v="3063"/>
    <x v="11"/>
    <x v="11"/>
    <x v="2"/>
  </r>
  <r>
    <x v="4"/>
    <x v="1"/>
    <x v="122"/>
    <x v="1"/>
    <x v="31"/>
    <x v="35"/>
    <x v="2"/>
    <x v="58"/>
    <x v="357"/>
    <x v="3078"/>
    <x v="36"/>
    <x v="36"/>
    <x v="2"/>
  </r>
  <r>
    <x v="4"/>
    <x v="1"/>
    <x v="123"/>
    <x v="1"/>
    <x v="31"/>
    <x v="35"/>
    <x v="1"/>
    <x v="48"/>
    <x v="347"/>
    <x v="3024"/>
    <x v="16"/>
    <x v="16"/>
    <x v="2"/>
  </r>
  <r>
    <x v="4"/>
    <x v="1"/>
    <x v="124"/>
    <x v="1"/>
    <x v="31"/>
    <x v="35"/>
    <x v="5"/>
    <x v="48"/>
    <x v="345"/>
    <x v="3016"/>
    <x v="21"/>
    <x v="21"/>
    <x v="2"/>
  </r>
  <r>
    <x v="4"/>
    <x v="1"/>
    <x v="125"/>
    <x v="1"/>
    <x v="31"/>
    <x v="35"/>
    <x v="4"/>
    <x v="48"/>
    <x v="341"/>
    <x v="3006"/>
    <x v="21"/>
    <x v="21"/>
    <x v="2"/>
  </r>
  <r>
    <x v="4"/>
    <x v="1"/>
    <x v="126"/>
    <x v="1"/>
    <x v="31"/>
    <x v="35"/>
    <x v="0"/>
    <x v="58"/>
    <x v="341"/>
    <x v="3036"/>
    <x v="16"/>
    <x v="16"/>
    <x v="2"/>
  </r>
  <r>
    <x v="4"/>
    <x v="1"/>
    <x v="198"/>
    <x v="1"/>
    <x v="31"/>
    <x v="35"/>
    <x v="3"/>
    <x v="63"/>
    <x v="347"/>
    <x v="3065"/>
    <x v="11"/>
    <x v="11"/>
    <x v="2"/>
  </r>
  <r>
    <x v="3"/>
    <x v="3"/>
    <x v="199"/>
    <x v="1"/>
    <x v="31"/>
    <x v="35"/>
    <x v="2"/>
    <x v="18"/>
    <x v="341"/>
    <x v="2866"/>
    <x v="21"/>
    <x v="21"/>
    <x v="2"/>
  </r>
  <r>
    <x v="3"/>
    <x v="3"/>
    <x v="200"/>
    <x v="1"/>
    <x v="31"/>
    <x v="35"/>
    <x v="1"/>
    <x v="28"/>
    <x v="341"/>
    <x v="2924"/>
    <x v="21"/>
    <x v="21"/>
    <x v="2"/>
  </r>
  <r>
    <x v="3"/>
    <x v="3"/>
    <x v="201"/>
    <x v="1"/>
    <x v="31"/>
    <x v="35"/>
    <x v="5"/>
    <x v="28"/>
    <x v="327"/>
    <x v="2882"/>
    <x v="21"/>
    <x v="21"/>
    <x v="2"/>
  </r>
  <r>
    <x v="3"/>
    <x v="3"/>
    <x v="202"/>
    <x v="1"/>
    <x v="31"/>
    <x v="35"/>
    <x v="4"/>
    <x v="28"/>
    <x v="327"/>
    <x v="2882"/>
    <x v="31"/>
    <x v="31"/>
    <x v="2"/>
  </r>
  <r>
    <x v="3"/>
    <x v="3"/>
    <x v="203"/>
    <x v="2"/>
    <x v="42"/>
    <x v="22"/>
    <x v="0"/>
    <x v="33"/>
    <x v="315"/>
    <x v="2862"/>
    <x v="16"/>
    <x v="16"/>
    <x v="2"/>
  </r>
  <r>
    <x v="3"/>
    <x v="3"/>
    <x v="204"/>
    <x v="2"/>
    <x v="42"/>
    <x v="22"/>
    <x v="3"/>
    <x v="28"/>
    <x v="327"/>
    <x v="2882"/>
    <x v="36"/>
    <x v="36"/>
    <x v="2"/>
  </r>
  <r>
    <x v="3"/>
    <x v="3"/>
    <x v="205"/>
    <x v="2"/>
    <x v="42"/>
    <x v="22"/>
    <x v="2"/>
    <x v="18"/>
    <x v="338"/>
    <x v="2854"/>
    <x v="21"/>
    <x v="21"/>
    <x v="2"/>
  </r>
  <r>
    <x v="3"/>
    <x v="3"/>
    <x v="206"/>
    <x v="2"/>
    <x v="42"/>
    <x v="22"/>
    <x v="1"/>
    <x v="28"/>
    <x v="338"/>
    <x v="2912"/>
    <x v="21"/>
    <x v="21"/>
    <x v="2"/>
  </r>
  <r>
    <x v="3"/>
    <x v="3"/>
    <x v="207"/>
    <x v="2"/>
    <x v="42"/>
    <x v="22"/>
    <x v="5"/>
    <x v="28"/>
    <x v="325"/>
    <x v="2877"/>
    <x v="21"/>
    <x v="21"/>
    <x v="2"/>
  </r>
  <r>
    <x v="3"/>
    <x v="3"/>
    <x v="208"/>
    <x v="2"/>
    <x v="42"/>
    <x v="22"/>
    <x v="4"/>
    <x v="28"/>
    <x v="321"/>
    <x v="2860"/>
    <x v="31"/>
    <x v="31"/>
    <x v="2"/>
  </r>
  <r>
    <x v="3"/>
    <x v="3"/>
    <x v="209"/>
    <x v="2"/>
    <x v="42"/>
    <x v="22"/>
    <x v="0"/>
    <x v="33"/>
    <x v="311"/>
    <x v="2840"/>
    <x v="16"/>
    <x v="16"/>
    <x v="2"/>
  </r>
  <r>
    <x v="3"/>
    <x v="3"/>
    <x v="210"/>
    <x v="2"/>
    <x v="42"/>
    <x v="22"/>
    <x v="3"/>
    <x v="28"/>
    <x v="327"/>
    <x v="2882"/>
    <x v="36"/>
    <x v="36"/>
    <x v="2"/>
  </r>
  <r>
    <x v="3"/>
    <x v="3"/>
    <x v="211"/>
    <x v="2"/>
    <x v="42"/>
    <x v="22"/>
    <x v="2"/>
    <x v="23"/>
    <x v="340"/>
    <x v="2892"/>
    <x v="21"/>
    <x v="21"/>
    <x v="2"/>
  </r>
  <r>
    <x v="3"/>
    <x v="3"/>
    <x v="212"/>
    <x v="2"/>
    <x v="42"/>
    <x v="22"/>
    <x v="1"/>
    <x v="33"/>
    <x v="340"/>
    <x v="2942"/>
    <x v="21"/>
    <x v="21"/>
    <x v="2"/>
  </r>
  <r>
    <x v="3"/>
    <x v="3"/>
    <x v="213"/>
    <x v="2"/>
    <x v="42"/>
    <x v="22"/>
    <x v="5"/>
    <x v="28"/>
    <x v="327"/>
    <x v="2882"/>
    <x v="21"/>
    <x v="21"/>
    <x v="2"/>
  </r>
  <r>
    <x v="3"/>
    <x v="3"/>
    <x v="214"/>
    <x v="2"/>
    <x v="42"/>
    <x v="22"/>
    <x v="4"/>
    <x v="33"/>
    <x v="319"/>
    <x v="2880"/>
    <x v="31"/>
    <x v="31"/>
    <x v="2"/>
  </r>
  <r>
    <x v="3"/>
    <x v="3"/>
    <x v="215"/>
    <x v="2"/>
    <x v="42"/>
    <x v="22"/>
    <x v="0"/>
    <x v="38"/>
    <x v="311"/>
    <x v="2866"/>
    <x v="16"/>
    <x v="16"/>
    <x v="2"/>
  </r>
  <r>
    <x v="3"/>
    <x v="3"/>
    <x v="216"/>
    <x v="2"/>
    <x v="42"/>
    <x v="22"/>
    <x v="3"/>
    <x v="33"/>
    <x v="323"/>
    <x v="2890"/>
    <x v="36"/>
    <x v="36"/>
    <x v="2"/>
  </r>
  <r>
    <x v="3"/>
    <x v="3"/>
    <x v="217"/>
    <x v="2"/>
    <x v="42"/>
    <x v="22"/>
    <x v="2"/>
    <x v="23"/>
    <x v="341"/>
    <x v="2895"/>
    <x v="21"/>
    <x v="21"/>
    <x v="2"/>
  </r>
  <r>
    <x v="3"/>
    <x v="3"/>
    <x v="218"/>
    <x v="2"/>
    <x v="42"/>
    <x v="22"/>
    <x v="1"/>
    <x v="33"/>
    <x v="341"/>
    <x v="2947"/>
    <x v="21"/>
    <x v="21"/>
    <x v="2"/>
  </r>
  <r>
    <x v="3"/>
    <x v="3"/>
    <x v="219"/>
    <x v="2"/>
    <x v="42"/>
    <x v="22"/>
    <x v="5"/>
    <x v="28"/>
    <x v="329"/>
    <x v="2887"/>
    <x v="21"/>
    <x v="21"/>
    <x v="2"/>
  </r>
  <r>
    <x v="3"/>
    <x v="3"/>
    <x v="220"/>
    <x v="2"/>
    <x v="42"/>
    <x v="22"/>
    <x v="4"/>
    <x v="33"/>
    <x v="321"/>
    <x v="2886"/>
    <x v="31"/>
    <x v="31"/>
    <x v="2"/>
  </r>
  <r>
    <x v="4"/>
    <x v="3"/>
    <x v="221"/>
    <x v="2"/>
    <x v="42"/>
    <x v="22"/>
    <x v="0"/>
    <x v="38"/>
    <x v="313"/>
    <x v="2877"/>
    <x v="16"/>
    <x v="16"/>
    <x v="2"/>
  </r>
  <r>
    <x v="4"/>
    <x v="3"/>
    <x v="222"/>
    <x v="2"/>
    <x v="42"/>
    <x v="22"/>
    <x v="3"/>
    <x v="33"/>
    <x v="335"/>
    <x v="2927"/>
    <x v="36"/>
    <x v="36"/>
    <x v="2"/>
  </r>
  <r>
    <x v="4"/>
    <x v="3"/>
    <x v="223"/>
    <x v="2"/>
    <x v="42"/>
    <x v="22"/>
    <x v="2"/>
    <x v="23"/>
    <x v="343"/>
    <x v="2902"/>
    <x v="21"/>
    <x v="21"/>
    <x v="2"/>
  </r>
  <r>
    <x v="4"/>
    <x v="3"/>
    <x v="224"/>
    <x v="2"/>
    <x v="42"/>
    <x v="22"/>
    <x v="1"/>
    <x v="33"/>
    <x v="343"/>
    <x v="2950"/>
    <x v="21"/>
    <x v="21"/>
    <x v="2"/>
  </r>
  <r>
    <x v="4"/>
    <x v="3"/>
    <x v="225"/>
    <x v="2"/>
    <x v="42"/>
    <x v="22"/>
    <x v="5"/>
    <x v="28"/>
    <x v="333"/>
    <x v="2896"/>
    <x v="21"/>
    <x v="21"/>
    <x v="2"/>
  </r>
  <r>
    <x v="4"/>
    <x v="3"/>
    <x v="226"/>
    <x v="2"/>
    <x v="42"/>
    <x v="22"/>
    <x v="4"/>
    <x v="33"/>
    <x v="327"/>
    <x v="2903"/>
    <x v="31"/>
    <x v="31"/>
    <x v="2"/>
  </r>
  <r>
    <x v="4"/>
    <x v="3"/>
    <x v="227"/>
    <x v="2"/>
    <x v="42"/>
    <x v="22"/>
    <x v="0"/>
    <x v="38"/>
    <x v="319"/>
    <x v="2895"/>
    <x v="16"/>
    <x v="16"/>
    <x v="2"/>
  </r>
  <r>
    <x v="4"/>
    <x v="3"/>
    <x v="228"/>
    <x v="2"/>
    <x v="42"/>
    <x v="22"/>
    <x v="3"/>
    <x v="33"/>
    <x v="345"/>
    <x v="2956"/>
    <x v="36"/>
    <x v="36"/>
    <x v="2"/>
  </r>
  <r>
    <x v="4"/>
    <x v="3"/>
    <x v="229"/>
    <x v="2"/>
    <x v="42"/>
    <x v="22"/>
    <x v="2"/>
    <x v="33"/>
    <x v="345"/>
    <x v="2956"/>
    <x v="21"/>
    <x v="21"/>
    <x v="2"/>
  </r>
  <r>
    <x v="4"/>
    <x v="3"/>
    <x v="230"/>
    <x v="2"/>
    <x v="42"/>
    <x v="22"/>
    <x v="1"/>
    <x v="38"/>
    <x v="345"/>
    <x v="2979"/>
    <x v="21"/>
    <x v="21"/>
    <x v="2"/>
  </r>
  <r>
    <x v="4"/>
    <x v="3"/>
    <x v="231"/>
    <x v="2"/>
    <x v="42"/>
    <x v="22"/>
    <x v="5"/>
    <x v="33"/>
    <x v="335"/>
    <x v="2927"/>
    <x v="21"/>
    <x v="21"/>
    <x v="2"/>
  </r>
  <r>
    <x v="4"/>
    <x v="3"/>
    <x v="232"/>
    <x v="2"/>
    <x v="42"/>
    <x v="22"/>
    <x v="4"/>
    <x v="33"/>
    <x v="331"/>
    <x v="2915"/>
    <x v="31"/>
    <x v="31"/>
    <x v="2"/>
  </r>
  <r>
    <x v="4"/>
    <x v="3"/>
    <x v="233"/>
    <x v="2"/>
    <x v="42"/>
    <x v="22"/>
    <x v="0"/>
    <x v="38"/>
    <x v="323"/>
    <x v="2910"/>
    <x v="16"/>
    <x v="16"/>
    <x v="2"/>
  </r>
  <r>
    <x v="4"/>
    <x v="3"/>
    <x v="234"/>
    <x v="2"/>
    <x v="42"/>
    <x v="22"/>
    <x v="3"/>
    <x v="43"/>
    <x v="347"/>
    <x v="3008"/>
    <x v="36"/>
    <x v="36"/>
    <x v="2"/>
  </r>
  <r>
    <x v="4"/>
    <x v="3"/>
    <x v="235"/>
    <x v="2"/>
    <x v="42"/>
    <x v="22"/>
    <x v="2"/>
    <x v="33"/>
    <x v="345"/>
    <x v="2956"/>
    <x v="21"/>
    <x v="21"/>
    <x v="2"/>
  </r>
  <r>
    <x v="4"/>
    <x v="3"/>
    <x v="236"/>
    <x v="2"/>
    <x v="42"/>
    <x v="22"/>
    <x v="1"/>
    <x v="38"/>
    <x v="345"/>
    <x v="2979"/>
    <x v="21"/>
    <x v="21"/>
    <x v="2"/>
  </r>
  <r>
    <x v="4"/>
    <x v="3"/>
    <x v="237"/>
    <x v="2"/>
    <x v="42"/>
    <x v="22"/>
    <x v="5"/>
    <x v="33"/>
    <x v="354"/>
    <x v="2985"/>
    <x v="21"/>
    <x v="21"/>
    <x v="2"/>
  </r>
  <r>
    <x v="4"/>
    <x v="3"/>
    <x v="238"/>
    <x v="2"/>
    <x v="42"/>
    <x v="22"/>
    <x v="4"/>
    <x v="33"/>
    <x v="327"/>
    <x v="2903"/>
    <x v="31"/>
    <x v="31"/>
    <x v="2"/>
  </r>
  <r>
    <x v="4"/>
    <x v="3"/>
    <x v="239"/>
    <x v="2"/>
    <x v="42"/>
    <x v="22"/>
    <x v="0"/>
    <x v="38"/>
    <x v="327"/>
    <x v="2924"/>
    <x v="16"/>
    <x v="16"/>
    <x v="2"/>
  </r>
  <r>
    <x v="4"/>
    <x v="3"/>
    <x v="240"/>
    <x v="2"/>
    <x v="42"/>
    <x v="22"/>
    <x v="3"/>
    <x v="43"/>
    <x v="346"/>
    <x v="3003"/>
    <x v="36"/>
    <x v="36"/>
    <x v="2"/>
  </r>
  <r>
    <x v="4"/>
    <x v="3"/>
    <x v="241"/>
    <x v="2"/>
    <x v="42"/>
    <x v="22"/>
    <x v="2"/>
    <x v="33"/>
    <x v="343"/>
    <x v="2950"/>
    <x v="21"/>
    <x v="21"/>
    <x v="2"/>
  </r>
  <r>
    <x v="4"/>
    <x v="3"/>
    <x v="242"/>
    <x v="2"/>
    <x v="42"/>
    <x v="22"/>
    <x v="1"/>
    <x v="38"/>
    <x v="343"/>
    <x v="2973"/>
    <x v="21"/>
    <x v="21"/>
    <x v="2"/>
  </r>
  <r>
    <x v="4"/>
    <x v="3"/>
    <x v="243"/>
    <x v="2"/>
    <x v="42"/>
    <x v="22"/>
    <x v="5"/>
    <x v="33"/>
    <x v="354"/>
    <x v="2985"/>
    <x v="21"/>
    <x v="21"/>
    <x v="2"/>
  </r>
  <r>
    <x v="4"/>
    <x v="3"/>
    <x v="244"/>
    <x v="2"/>
    <x v="42"/>
    <x v="22"/>
    <x v="4"/>
    <x v="33"/>
    <x v="323"/>
    <x v="2890"/>
    <x v="31"/>
    <x v="31"/>
    <x v="2"/>
  </r>
  <r>
    <x v="4"/>
    <x v="3"/>
    <x v="245"/>
    <x v="2"/>
    <x v="42"/>
    <x v="22"/>
    <x v="0"/>
    <x v="38"/>
    <x v="323"/>
    <x v="2910"/>
    <x v="16"/>
    <x v="16"/>
    <x v="2"/>
  </r>
  <r>
    <x v="4"/>
    <x v="3"/>
    <x v="246"/>
    <x v="2"/>
    <x v="42"/>
    <x v="22"/>
    <x v="3"/>
    <x v="43"/>
    <x v="341"/>
    <x v="2987"/>
    <x v="36"/>
    <x v="36"/>
    <x v="2"/>
  </r>
  <r>
    <x v="4"/>
    <x v="3"/>
    <x v="247"/>
    <x v="2"/>
    <x v="42"/>
    <x v="22"/>
    <x v="2"/>
    <x v="38"/>
    <x v="338"/>
    <x v="2957"/>
    <x v="21"/>
    <x v="21"/>
    <x v="2"/>
  </r>
  <r>
    <x v="4"/>
    <x v="3"/>
    <x v="248"/>
    <x v="2"/>
    <x v="42"/>
    <x v="22"/>
    <x v="1"/>
    <x v="38"/>
    <x v="338"/>
    <x v="2957"/>
    <x v="21"/>
    <x v="21"/>
    <x v="2"/>
  </r>
  <r>
    <x v="4"/>
    <x v="3"/>
    <x v="249"/>
    <x v="2"/>
    <x v="42"/>
    <x v="22"/>
    <x v="5"/>
    <x v="43"/>
    <x v="341"/>
    <x v="2987"/>
    <x v="21"/>
    <x v="21"/>
    <x v="2"/>
  </r>
  <r>
    <x v="4"/>
    <x v="3"/>
    <x v="250"/>
    <x v="2"/>
    <x v="42"/>
    <x v="22"/>
    <x v="4"/>
    <x v="43"/>
    <x v="321"/>
    <x v="2921"/>
    <x v="31"/>
    <x v="31"/>
    <x v="2"/>
  </r>
  <r>
    <x v="4"/>
    <x v="3"/>
    <x v="251"/>
    <x v="2"/>
    <x v="42"/>
    <x v="22"/>
    <x v="0"/>
    <x v="38"/>
    <x v="321"/>
    <x v="2904"/>
    <x v="16"/>
    <x v="16"/>
    <x v="2"/>
  </r>
  <r>
    <x v="4"/>
    <x v="3"/>
    <x v="252"/>
    <x v="2"/>
    <x v="42"/>
    <x v="22"/>
    <x v="3"/>
    <x v="48"/>
    <x v="338"/>
    <x v="2994"/>
    <x v="36"/>
    <x v="36"/>
    <x v="2"/>
  </r>
  <r>
    <x v="4"/>
    <x v="3"/>
    <x v="253"/>
    <x v="2"/>
    <x v="42"/>
    <x v="22"/>
    <x v="2"/>
    <x v="38"/>
    <x v="335"/>
    <x v="2947"/>
    <x v="21"/>
    <x v="21"/>
    <x v="2"/>
  </r>
  <r>
    <x v="4"/>
    <x v="3"/>
    <x v="254"/>
    <x v="2"/>
    <x v="42"/>
    <x v="22"/>
    <x v="1"/>
    <x v="38"/>
    <x v="335"/>
    <x v="2947"/>
    <x v="21"/>
    <x v="21"/>
    <x v="2"/>
  </r>
  <r>
    <x v="4"/>
    <x v="3"/>
    <x v="255"/>
    <x v="2"/>
    <x v="42"/>
    <x v="22"/>
    <x v="5"/>
    <x v="43"/>
    <x v="331"/>
    <x v="2955"/>
    <x v="21"/>
    <x v="21"/>
    <x v="2"/>
  </r>
  <r>
    <x v="4"/>
    <x v="3"/>
    <x v="256"/>
    <x v="2"/>
    <x v="42"/>
    <x v="22"/>
    <x v="4"/>
    <x v="43"/>
    <x v="319"/>
    <x v="2915"/>
    <x v="31"/>
    <x v="31"/>
    <x v="2"/>
  </r>
  <r>
    <x v="4"/>
    <x v="3"/>
    <x v="257"/>
    <x v="2"/>
    <x v="42"/>
    <x v="22"/>
    <x v="0"/>
    <x v="38"/>
    <x v="317"/>
    <x v="2889"/>
    <x v="16"/>
    <x v="16"/>
    <x v="2"/>
  </r>
  <r>
    <x v="4"/>
    <x v="3"/>
    <x v="258"/>
    <x v="2"/>
    <x v="42"/>
    <x v="22"/>
    <x v="3"/>
    <x v="48"/>
    <x v="331"/>
    <x v="2972"/>
    <x v="36"/>
    <x v="36"/>
    <x v="2"/>
  </r>
  <r>
    <x v="4"/>
    <x v="3"/>
    <x v="286"/>
    <x v="2"/>
    <x v="42"/>
    <x v="22"/>
    <x v="2"/>
    <x v="38"/>
    <x v="341"/>
    <x v="2969"/>
    <x v="21"/>
    <x v="21"/>
    <x v="2"/>
  </r>
  <r>
    <x v="4"/>
    <x v="3"/>
    <x v="287"/>
    <x v="2"/>
    <x v="42"/>
    <x v="22"/>
    <x v="1"/>
    <x v="38"/>
    <x v="341"/>
    <x v="2969"/>
    <x v="21"/>
    <x v="21"/>
    <x v="2"/>
  </r>
  <r>
    <x v="4"/>
    <x v="3"/>
    <x v="288"/>
    <x v="2"/>
    <x v="42"/>
    <x v="22"/>
    <x v="5"/>
    <x v="43"/>
    <x v="337"/>
    <x v="2972"/>
    <x v="21"/>
    <x v="21"/>
    <x v="2"/>
  </r>
  <r>
    <x v="4"/>
    <x v="3"/>
    <x v="289"/>
    <x v="2"/>
    <x v="42"/>
    <x v="22"/>
    <x v="4"/>
    <x v="43"/>
    <x v="325"/>
    <x v="2935"/>
    <x v="31"/>
    <x v="31"/>
    <x v="2"/>
  </r>
  <r>
    <x v="4"/>
    <x v="3"/>
    <x v="290"/>
    <x v="2"/>
    <x v="42"/>
    <x v="22"/>
    <x v="0"/>
    <x v="38"/>
    <x v="323"/>
    <x v="2910"/>
    <x v="16"/>
    <x v="16"/>
    <x v="2"/>
  </r>
  <r>
    <x v="4"/>
    <x v="3"/>
    <x v="291"/>
    <x v="2"/>
    <x v="42"/>
    <x v="22"/>
    <x v="3"/>
    <x v="48"/>
    <x v="338"/>
    <x v="2994"/>
    <x v="36"/>
    <x v="36"/>
    <x v="2"/>
  </r>
  <r>
    <x v="4"/>
    <x v="3"/>
    <x v="292"/>
    <x v="2"/>
    <x v="42"/>
    <x v="22"/>
    <x v="2"/>
    <x v="38"/>
    <x v="345"/>
    <x v="2979"/>
    <x v="21"/>
    <x v="21"/>
    <x v="2"/>
  </r>
  <r>
    <x v="4"/>
    <x v="3"/>
    <x v="293"/>
    <x v="2"/>
    <x v="42"/>
    <x v="22"/>
    <x v="1"/>
    <x v="38"/>
    <x v="345"/>
    <x v="2979"/>
    <x v="21"/>
    <x v="21"/>
    <x v="2"/>
  </r>
  <r>
    <x v="4"/>
    <x v="3"/>
    <x v="294"/>
    <x v="2"/>
    <x v="42"/>
    <x v="22"/>
    <x v="5"/>
    <x v="43"/>
    <x v="338"/>
    <x v="2976"/>
    <x v="21"/>
    <x v="21"/>
    <x v="2"/>
  </r>
  <r>
    <x v="4"/>
    <x v="3"/>
    <x v="295"/>
    <x v="2"/>
    <x v="42"/>
    <x v="22"/>
    <x v="4"/>
    <x v="43"/>
    <x v="327"/>
    <x v="2942"/>
    <x v="31"/>
    <x v="31"/>
    <x v="2"/>
  </r>
  <r>
    <x v="4"/>
    <x v="3"/>
    <x v="296"/>
    <x v="2"/>
    <x v="42"/>
    <x v="22"/>
    <x v="0"/>
    <x v="38"/>
    <x v="323"/>
    <x v="2910"/>
    <x v="16"/>
    <x v="16"/>
    <x v="2"/>
  </r>
  <r>
    <x v="4"/>
    <x v="3"/>
    <x v="297"/>
    <x v="2"/>
    <x v="42"/>
    <x v="22"/>
    <x v="3"/>
    <x v="48"/>
    <x v="341"/>
    <x v="3006"/>
    <x v="36"/>
    <x v="36"/>
    <x v="2"/>
  </r>
  <r>
    <x v="5"/>
    <x v="0"/>
    <x v="298"/>
    <x v="2"/>
    <x v="42"/>
    <x v="22"/>
    <x v="2"/>
    <x v="33"/>
    <x v="333"/>
    <x v="2919"/>
    <x v="21"/>
    <x v="21"/>
    <x v="2"/>
  </r>
  <r>
    <x v="5"/>
    <x v="0"/>
    <x v="299"/>
    <x v="2"/>
    <x v="42"/>
    <x v="22"/>
    <x v="1"/>
    <x v="43"/>
    <x v="333"/>
    <x v="2960"/>
    <x v="6"/>
    <x v="6"/>
    <x v="2"/>
  </r>
  <r>
    <x v="5"/>
    <x v="0"/>
    <x v="300"/>
    <x v="2"/>
    <x v="42"/>
    <x v="22"/>
    <x v="5"/>
    <x v="43"/>
    <x v="333"/>
    <x v="2960"/>
    <x v="21"/>
    <x v="21"/>
    <x v="2"/>
  </r>
  <r>
    <x v="5"/>
    <x v="0"/>
    <x v="301"/>
    <x v="2"/>
    <x v="42"/>
    <x v="22"/>
    <x v="4"/>
    <x v="43"/>
    <x v="321"/>
    <x v="2921"/>
    <x v="16"/>
    <x v="16"/>
    <x v="2"/>
  </r>
  <r>
    <x v="5"/>
    <x v="0"/>
    <x v="302"/>
    <x v="4"/>
    <x v="4"/>
    <x v="46"/>
    <x v="0"/>
    <x v="48"/>
    <x v="317"/>
    <x v="2925"/>
    <x v="36"/>
    <x v="36"/>
    <x v="2"/>
  </r>
  <r>
    <x v="5"/>
    <x v="0"/>
    <x v="303"/>
    <x v="4"/>
    <x v="4"/>
    <x v="46"/>
    <x v="3"/>
    <x v="43"/>
    <x v="333"/>
    <x v="2960"/>
    <x v="2"/>
    <x v="2"/>
    <x v="2"/>
  </r>
  <r>
    <x v="5"/>
    <x v="0"/>
    <x v="304"/>
    <x v="4"/>
    <x v="4"/>
    <x v="46"/>
    <x v="2"/>
    <x v="33"/>
    <x v="337"/>
    <x v="2933"/>
    <x v="21"/>
    <x v="21"/>
    <x v="2"/>
  </r>
  <r>
    <x v="5"/>
    <x v="0"/>
    <x v="305"/>
    <x v="4"/>
    <x v="4"/>
    <x v="46"/>
    <x v="1"/>
    <x v="43"/>
    <x v="329"/>
    <x v="2948"/>
    <x v="6"/>
    <x v="6"/>
    <x v="2"/>
  </r>
  <r>
    <x v="5"/>
    <x v="0"/>
    <x v="306"/>
    <x v="4"/>
    <x v="4"/>
    <x v="46"/>
    <x v="5"/>
    <x v="43"/>
    <x v="329"/>
    <x v="2948"/>
    <x v="21"/>
    <x v="21"/>
    <x v="2"/>
  </r>
  <r>
    <x v="5"/>
    <x v="0"/>
    <x v="307"/>
    <x v="4"/>
    <x v="4"/>
    <x v="46"/>
    <x v="4"/>
    <x v="43"/>
    <x v="317"/>
    <x v="2907"/>
    <x v="16"/>
    <x v="16"/>
    <x v="2"/>
  </r>
  <r>
    <x v="5"/>
    <x v="0"/>
    <x v="308"/>
    <x v="4"/>
    <x v="4"/>
    <x v="46"/>
    <x v="0"/>
    <x v="48"/>
    <x v="311"/>
    <x v="2899"/>
    <x v="36"/>
    <x v="36"/>
    <x v="2"/>
  </r>
  <r>
    <x v="5"/>
    <x v="0"/>
    <x v="309"/>
    <x v="4"/>
    <x v="4"/>
    <x v="46"/>
    <x v="3"/>
    <x v="43"/>
    <x v="327"/>
    <x v="2942"/>
    <x v="2"/>
    <x v="2"/>
    <x v="2"/>
  </r>
  <r>
    <x v="5"/>
    <x v="0"/>
    <x v="310"/>
    <x v="4"/>
    <x v="4"/>
    <x v="46"/>
    <x v="2"/>
    <x v="43"/>
    <x v="338"/>
    <x v="2976"/>
    <x v="21"/>
    <x v="21"/>
    <x v="2"/>
  </r>
  <r>
    <x v="5"/>
    <x v="0"/>
    <x v="311"/>
    <x v="4"/>
    <x v="4"/>
    <x v="46"/>
    <x v="1"/>
    <x v="53"/>
    <x v="327"/>
    <x v="2974"/>
    <x v="6"/>
    <x v="6"/>
    <x v="2"/>
  </r>
  <r>
    <x v="5"/>
    <x v="0"/>
    <x v="312"/>
    <x v="4"/>
    <x v="4"/>
    <x v="46"/>
    <x v="5"/>
    <x v="53"/>
    <x v="327"/>
    <x v="2974"/>
    <x v="21"/>
    <x v="21"/>
    <x v="2"/>
  </r>
  <r>
    <x v="5"/>
    <x v="0"/>
    <x v="349"/>
    <x v="4"/>
    <x v="4"/>
    <x v="46"/>
    <x v="4"/>
    <x v="53"/>
    <x v="319"/>
    <x v="2947"/>
    <x v="16"/>
    <x v="16"/>
    <x v="2"/>
  </r>
  <r>
    <x v="5"/>
    <x v="0"/>
    <x v="350"/>
    <x v="4"/>
    <x v="4"/>
    <x v="46"/>
    <x v="0"/>
    <x v="58"/>
    <x v="311"/>
    <x v="2929"/>
    <x v="36"/>
    <x v="36"/>
    <x v="2"/>
  </r>
  <r>
    <x v="5"/>
    <x v="0"/>
    <x v="351"/>
    <x v="4"/>
    <x v="4"/>
    <x v="46"/>
    <x v="3"/>
    <x v="53"/>
    <x v="327"/>
    <x v="2974"/>
    <x v="2"/>
    <x v="2"/>
    <x v="2"/>
  </r>
  <r>
    <x v="5"/>
    <x v="0"/>
    <x v="352"/>
    <x v="4"/>
    <x v="4"/>
    <x v="46"/>
    <x v="2"/>
    <x v="53"/>
    <x v="340"/>
    <x v="3017"/>
    <x v="21"/>
    <x v="21"/>
    <x v="2"/>
  </r>
  <r>
    <x v="5"/>
    <x v="0"/>
    <x v="353"/>
    <x v="4"/>
    <x v="4"/>
    <x v="46"/>
    <x v="1"/>
    <x v="58"/>
    <x v="325"/>
    <x v="2984"/>
    <x v="6"/>
    <x v="6"/>
    <x v="2"/>
  </r>
  <r>
    <x v="5"/>
    <x v="0"/>
    <x v="354"/>
    <x v="4"/>
    <x v="4"/>
    <x v="46"/>
    <x v="5"/>
    <x v="58"/>
    <x v="329"/>
    <x v="2996"/>
    <x v="21"/>
    <x v="21"/>
    <x v="2"/>
  </r>
  <r>
    <x v="5"/>
    <x v="0"/>
    <x v="355"/>
    <x v="4"/>
    <x v="4"/>
    <x v="46"/>
    <x v="4"/>
    <x v="53"/>
    <x v="321"/>
    <x v="2955"/>
    <x v="16"/>
    <x v="16"/>
    <x v="2"/>
  </r>
  <r>
    <x v="5"/>
    <x v="0"/>
    <x v="356"/>
    <x v="4"/>
    <x v="4"/>
    <x v="46"/>
    <x v="0"/>
    <x v="58"/>
    <x v="313"/>
    <x v="2937"/>
    <x v="36"/>
    <x v="36"/>
    <x v="2"/>
  </r>
  <r>
    <x v="5"/>
    <x v="0"/>
    <x v="357"/>
    <x v="4"/>
    <x v="4"/>
    <x v="46"/>
    <x v="3"/>
    <x v="73"/>
    <x v="327"/>
    <x v="3027"/>
    <x v="2"/>
    <x v="2"/>
    <x v="2"/>
  </r>
  <r>
    <x v="5"/>
    <x v="0"/>
    <x v="358"/>
    <x v="4"/>
    <x v="4"/>
    <x v="46"/>
    <x v="2"/>
    <x v="53"/>
    <x v="341"/>
    <x v="3020"/>
    <x v="26"/>
    <x v="26"/>
    <x v="2"/>
  </r>
  <r>
    <x v="5"/>
    <x v="0"/>
    <x v="359"/>
    <x v="4"/>
    <x v="4"/>
    <x v="46"/>
    <x v="1"/>
    <x v="58"/>
    <x v="331"/>
    <x v="3003"/>
    <x v="11"/>
    <x v="11"/>
    <x v="2"/>
  </r>
  <r>
    <x v="5"/>
    <x v="0"/>
    <x v="360"/>
    <x v="4"/>
    <x v="4"/>
    <x v="46"/>
    <x v="5"/>
    <x v="58"/>
    <x v="331"/>
    <x v="3003"/>
    <x v="26"/>
    <x v="26"/>
    <x v="2"/>
  </r>
  <r>
    <x v="5"/>
    <x v="0"/>
    <x v="361"/>
    <x v="4"/>
    <x v="4"/>
    <x v="46"/>
    <x v="4"/>
    <x v="53"/>
    <x v="323"/>
    <x v="2961"/>
    <x v="21"/>
    <x v="21"/>
    <x v="2"/>
  </r>
  <r>
    <x v="5"/>
    <x v="0"/>
    <x v="362"/>
    <x v="4"/>
    <x v="4"/>
    <x v="46"/>
    <x v="0"/>
    <x v="58"/>
    <x v="315"/>
    <x v="2945"/>
    <x v="41"/>
    <x v="41"/>
    <x v="2"/>
  </r>
  <r>
    <x v="5"/>
    <x v="0"/>
    <x v="363"/>
    <x v="4"/>
    <x v="4"/>
    <x v="46"/>
    <x v="3"/>
    <x v="73"/>
    <x v="329"/>
    <x v="3034"/>
    <x v="6"/>
    <x v="6"/>
    <x v="2"/>
  </r>
  <r>
    <x v="5"/>
    <x v="0"/>
    <x v="364"/>
    <x v="4"/>
    <x v="4"/>
    <x v="46"/>
    <x v="2"/>
    <x v="53"/>
    <x v="346"/>
    <x v="3036"/>
    <x v="26"/>
    <x v="26"/>
    <x v="2"/>
  </r>
  <r>
    <x v="5"/>
    <x v="0"/>
    <x v="365"/>
    <x v="4"/>
    <x v="4"/>
    <x v="46"/>
    <x v="1"/>
    <x v="58"/>
    <x v="337"/>
    <x v="3019"/>
    <x v="11"/>
    <x v="11"/>
    <x v="2"/>
  </r>
  <r>
    <x v="5"/>
    <x v="0"/>
    <x v="366"/>
    <x v="4"/>
    <x v="4"/>
    <x v="46"/>
    <x v="5"/>
    <x v="58"/>
    <x v="337"/>
    <x v="3019"/>
    <x v="26"/>
    <x v="26"/>
    <x v="2"/>
  </r>
  <r>
    <x v="5"/>
    <x v="0"/>
    <x v="367"/>
    <x v="4"/>
    <x v="4"/>
    <x v="46"/>
    <x v="4"/>
    <x v="53"/>
    <x v="327"/>
    <x v="2974"/>
    <x v="21"/>
    <x v="21"/>
    <x v="2"/>
  </r>
  <r>
    <x v="5"/>
    <x v="0"/>
    <x v="368"/>
    <x v="4"/>
    <x v="4"/>
    <x v="46"/>
    <x v="0"/>
    <x v="58"/>
    <x v="317"/>
    <x v="2954"/>
    <x v="41"/>
    <x v="41"/>
    <x v="2"/>
  </r>
  <r>
    <x v="5"/>
    <x v="0"/>
    <x v="369"/>
    <x v="4"/>
    <x v="4"/>
    <x v="46"/>
    <x v="3"/>
    <x v="73"/>
    <x v="340"/>
    <x v="3065"/>
    <x v="6"/>
    <x v="6"/>
    <x v="2"/>
  </r>
  <r>
    <x v="5"/>
    <x v="0"/>
    <x v="370"/>
    <x v="4"/>
    <x v="4"/>
    <x v="46"/>
    <x v="2"/>
    <x v="53"/>
    <x v="349"/>
    <x v="3044"/>
    <x v="21"/>
    <x v="21"/>
    <x v="2"/>
  </r>
  <r>
    <x v="5"/>
    <x v="0"/>
    <x v="371"/>
    <x v="4"/>
    <x v="4"/>
    <x v="46"/>
    <x v="1"/>
    <x v="58"/>
    <x v="340"/>
    <x v="3030"/>
    <x v="6"/>
    <x v="6"/>
    <x v="2"/>
  </r>
  <r>
    <x v="5"/>
    <x v="0"/>
    <x v="372"/>
    <x v="4"/>
    <x v="4"/>
    <x v="46"/>
    <x v="5"/>
    <x v="58"/>
    <x v="337"/>
    <x v="3019"/>
    <x v="21"/>
    <x v="21"/>
    <x v="2"/>
  </r>
  <r>
    <x v="5"/>
    <x v="0"/>
    <x v="373"/>
    <x v="4"/>
    <x v="4"/>
    <x v="46"/>
    <x v="4"/>
    <x v="53"/>
    <x v="329"/>
    <x v="2982"/>
    <x v="16"/>
    <x v="16"/>
    <x v="2"/>
  </r>
  <r>
    <x v="5"/>
    <x v="0"/>
    <x v="374"/>
    <x v="4"/>
    <x v="4"/>
    <x v="46"/>
    <x v="0"/>
    <x v="58"/>
    <x v="333"/>
    <x v="3009"/>
    <x v="36"/>
    <x v="36"/>
    <x v="2"/>
  </r>
  <r>
    <x v="5"/>
    <x v="0"/>
    <x v="375"/>
    <x v="4"/>
    <x v="4"/>
    <x v="46"/>
    <x v="3"/>
    <x v="73"/>
    <x v="333"/>
    <x v="3047"/>
    <x v="2"/>
    <x v="2"/>
    <x v="2"/>
  </r>
  <r>
    <x v="5"/>
    <x v="0"/>
    <x v="376"/>
    <x v="4"/>
    <x v="4"/>
    <x v="46"/>
    <x v="2"/>
    <x v="58"/>
    <x v="346"/>
    <x v="3050"/>
    <x v="21"/>
    <x v="21"/>
    <x v="2"/>
  </r>
  <r>
    <x v="5"/>
    <x v="0"/>
    <x v="377"/>
    <x v="4"/>
    <x v="4"/>
    <x v="46"/>
    <x v="1"/>
    <x v="63"/>
    <x v="343"/>
    <x v="3054"/>
    <x v="6"/>
    <x v="6"/>
    <x v="2"/>
  </r>
  <r>
    <x v="5"/>
    <x v="0"/>
    <x v="378"/>
    <x v="4"/>
    <x v="4"/>
    <x v="46"/>
    <x v="5"/>
    <x v="58"/>
    <x v="335"/>
    <x v="3015"/>
    <x v="21"/>
    <x v="21"/>
    <x v="2"/>
  </r>
  <r>
    <x v="5"/>
    <x v="0"/>
    <x v="379"/>
    <x v="4"/>
    <x v="4"/>
    <x v="46"/>
    <x v="4"/>
    <x v="58"/>
    <x v="331"/>
    <x v="3003"/>
    <x v="16"/>
    <x v="16"/>
    <x v="2"/>
  </r>
  <r>
    <x v="5"/>
    <x v="0"/>
    <x v="380"/>
    <x v="4"/>
    <x v="4"/>
    <x v="46"/>
    <x v="0"/>
    <x v="68"/>
    <x v="331"/>
    <x v="3028"/>
    <x v="36"/>
    <x v="36"/>
    <x v="2"/>
  </r>
  <r>
    <x v="5"/>
    <x v="0"/>
    <x v="381"/>
    <x v="4"/>
    <x v="4"/>
    <x v="46"/>
    <x v="3"/>
    <x v="73"/>
    <x v="329"/>
    <x v="3034"/>
    <x v="2"/>
    <x v="2"/>
    <x v="2"/>
  </r>
  <r>
    <x v="5"/>
    <x v="0"/>
    <x v="382"/>
    <x v="4"/>
    <x v="4"/>
    <x v="46"/>
    <x v="2"/>
    <x v="48"/>
    <x v="343"/>
    <x v="3013"/>
    <x v="16"/>
    <x v="16"/>
    <x v="2"/>
  </r>
  <r>
    <x v="5"/>
    <x v="0"/>
    <x v="383"/>
    <x v="4"/>
    <x v="4"/>
    <x v="46"/>
    <x v="1"/>
    <x v="53"/>
    <x v="343"/>
    <x v="3026"/>
    <x v="2"/>
    <x v="2"/>
    <x v="2"/>
  </r>
  <r>
    <x v="5"/>
    <x v="0"/>
    <x v="384"/>
    <x v="4"/>
    <x v="4"/>
    <x v="46"/>
    <x v="5"/>
    <x v="48"/>
    <x v="333"/>
    <x v="2978"/>
    <x v="16"/>
    <x v="16"/>
    <x v="2"/>
  </r>
  <r>
    <x v="5"/>
    <x v="0"/>
    <x v="385"/>
    <x v="4"/>
    <x v="4"/>
    <x v="46"/>
    <x v="4"/>
    <x v="48"/>
    <x v="329"/>
    <x v="2965"/>
    <x v="11"/>
    <x v="11"/>
    <x v="2"/>
  </r>
  <r>
    <x v="5"/>
    <x v="0"/>
    <x v="386"/>
    <x v="4"/>
    <x v="4"/>
    <x v="46"/>
    <x v="0"/>
    <x v="58"/>
    <x v="329"/>
    <x v="2996"/>
    <x v="31"/>
    <x v="31"/>
    <x v="2"/>
  </r>
  <r>
    <x v="5"/>
    <x v="0"/>
    <x v="387"/>
    <x v="4"/>
    <x v="4"/>
    <x v="46"/>
    <x v="3"/>
    <x v="63"/>
    <x v="333"/>
    <x v="3021"/>
    <x v="0"/>
    <x v="0"/>
    <x v="2"/>
  </r>
  <r>
    <x v="5"/>
    <x v="0"/>
    <x v="388"/>
    <x v="4"/>
    <x v="4"/>
    <x v="46"/>
    <x v="2"/>
    <x v="48"/>
    <x v="340"/>
    <x v="3001"/>
    <x v="16"/>
    <x v="16"/>
    <x v="2"/>
  </r>
  <r>
    <x v="5"/>
    <x v="0"/>
    <x v="389"/>
    <x v="4"/>
    <x v="4"/>
    <x v="46"/>
    <x v="1"/>
    <x v="53"/>
    <x v="340"/>
    <x v="3017"/>
    <x v="2"/>
    <x v="2"/>
    <x v="2"/>
  </r>
  <r>
    <x v="5"/>
    <x v="0"/>
    <x v="390"/>
    <x v="4"/>
    <x v="4"/>
    <x v="46"/>
    <x v="5"/>
    <x v="48"/>
    <x v="327"/>
    <x v="2958"/>
    <x v="16"/>
    <x v="16"/>
    <x v="2"/>
  </r>
  <r>
    <x v="5"/>
    <x v="0"/>
    <x v="391"/>
    <x v="4"/>
    <x v="4"/>
    <x v="46"/>
    <x v="4"/>
    <x v="48"/>
    <x v="325"/>
    <x v="2952"/>
    <x v="11"/>
    <x v="11"/>
    <x v="2"/>
  </r>
  <r>
    <x v="5"/>
    <x v="0"/>
    <x v="392"/>
    <x v="4"/>
    <x v="4"/>
    <x v="46"/>
    <x v="0"/>
    <x v="58"/>
    <x v="323"/>
    <x v="2975"/>
    <x v="31"/>
    <x v="31"/>
    <x v="2"/>
  </r>
  <r>
    <x v="5"/>
    <x v="0"/>
    <x v="393"/>
    <x v="4"/>
    <x v="4"/>
    <x v="46"/>
    <x v="3"/>
    <x v="63"/>
    <x v="327"/>
    <x v="3005"/>
    <x v="0"/>
    <x v="0"/>
    <x v="2"/>
  </r>
  <r>
    <x v="5"/>
    <x v="0"/>
    <x v="394"/>
    <x v="4"/>
    <x v="4"/>
    <x v="46"/>
    <x v="2"/>
    <x v="48"/>
    <x v="340"/>
    <x v="3001"/>
    <x v="16"/>
    <x v="16"/>
    <x v="2"/>
  </r>
  <r>
    <x v="5"/>
    <x v="0"/>
    <x v="395"/>
    <x v="4"/>
    <x v="4"/>
    <x v="46"/>
    <x v="1"/>
    <x v="53"/>
    <x v="340"/>
    <x v="3017"/>
    <x v="2"/>
    <x v="2"/>
    <x v="2"/>
  </r>
  <r>
    <x v="5"/>
    <x v="0"/>
    <x v="396"/>
    <x v="4"/>
    <x v="4"/>
    <x v="46"/>
    <x v="5"/>
    <x v="48"/>
    <x v="329"/>
    <x v="2965"/>
    <x v="16"/>
    <x v="16"/>
    <x v="2"/>
  </r>
  <r>
    <x v="5"/>
    <x v="0"/>
    <x v="397"/>
    <x v="4"/>
    <x v="4"/>
    <x v="46"/>
    <x v="4"/>
    <x v="48"/>
    <x v="327"/>
    <x v="2958"/>
    <x v="11"/>
    <x v="11"/>
    <x v="2"/>
  </r>
  <r>
    <x v="5"/>
    <x v="0"/>
    <x v="398"/>
    <x v="4"/>
    <x v="4"/>
    <x v="46"/>
    <x v="0"/>
    <x v="58"/>
    <x v="323"/>
    <x v="2975"/>
    <x v="31"/>
    <x v="31"/>
    <x v="2"/>
  </r>
  <r>
    <x v="5"/>
    <x v="0"/>
    <x v="399"/>
    <x v="4"/>
    <x v="4"/>
    <x v="46"/>
    <x v="3"/>
    <x v="63"/>
    <x v="333"/>
    <x v="3021"/>
    <x v="0"/>
    <x v="0"/>
    <x v="2"/>
  </r>
  <r>
    <x v="5"/>
    <x v="0"/>
    <x v="400"/>
    <x v="4"/>
    <x v="4"/>
    <x v="46"/>
    <x v="2"/>
    <x v="48"/>
    <x v="346"/>
    <x v="3019"/>
    <x v="16"/>
    <x v="16"/>
    <x v="2"/>
  </r>
  <r>
    <x v="5"/>
    <x v="0"/>
    <x v="401"/>
    <x v="4"/>
    <x v="4"/>
    <x v="46"/>
    <x v="1"/>
    <x v="53"/>
    <x v="346"/>
    <x v="3036"/>
    <x v="2"/>
    <x v="2"/>
    <x v="2"/>
  </r>
  <r>
    <x v="5"/>
    <x v="0"/>
    <x v="402"/>
    <x v="4"/>
    <x v="4"/>
    <x v="46"/>
    <x v="5"/>
    <x v="48"/>
    <x v="333"/>
    <x v="2978"/>
    <x v="16"/>
    <x v="16"/>
    <x v="2"/>
  </r>
  <r>
    <x v="5"/>
    <x v="0"/>
    <x v="403"/>
    <x v="4"/>
    <x v="4"/>
    <x v="46"/>
    <x v="4"/>
    <x v="48"/>
    <x v="333"/>
    <x v="2978"/>
    <x v="11"/>
    <x v="11"/>
    <x v="2"/>
  </r>
  <r>
    <x v="5"/>
    <x v="0"/>
    <x v="404"/>
    <x v="4"/>
    <x v="4"/>
    <x v="46"/>
    <x v="0"/>
    <x v="58"/>
    <x v="327"/>
    <x v="2989"/>
    <x v="31"/>
    <x v="31"/>
    <x v="2"/>
  </r>
  <r>
    <x v="5"/>
    <x v="0"/>
    <x v="405"/>
    <x v="4"/>
    <x v="4"/>
    <x v="46"/>
    <x v="3"/>
    <x v="63"/>
    <x v="335"/>
    <x v="3027"/>
    <x v="0"/>
    <x v="0"/>
    <x v="2"/>
  </r>
  <r>
    <x v="2"/>
    <x v="2"/>
    <x v="406"/>
    <x v="4"/>
    <x v="4"/>
    <x v="46"/>
    <x v="2"/>
    <x v="28"/>
    <x v="327"/>
    <x v="2882"/>
    <x v="26"/>
    <x v="26"/>
    <x v="2"/>
  </r>
  <r>
    <x v="2"/>
    <x v="2"/>
    <x v="407"/>
    <x v="4"/>
    <x v="4"/>
    <x v="46"/>
    <x v="1"/>
    <x v="38"/>
    <x v="327"/>
    <x v="2924"/>
    <x v="11"/>
    <x v="11"/>
    <x v="2"/>
  </r>
  <r>
    <x v="2"/>
    <x v="2"/>
    <x v="426"/>
    <x v="4"/>
    <x v="4"/>
    <x v="46"/>
    <x v="5"/>
    <x v="38"/>
    <x v="327"/>
    <x v="2924"/>
    <x v="26"/>
    <x v="26"/>
    <x v="2"/>
  </r>
  <r>
    <x v="2"/>
    <x v="2"/>
    <x v="427"/>
    <x v="4"/>
    <x v="4"/>
    <x v="46"/>
    <x v="4"/>
    <x v="38"/>
    <x v="315"/>
    <x v="2884"/>
    <x v="21"/>
    <x v="21"/>
    <x v="2"/>
  </r>
  <r>
    <x v="2"/>
    <x v="2"/>
    <x v="428"/>
    <x v="4"/>
    <x v="4"/>
    <x v="28"/>
    <x v="0"/>
    <x v="43"/>
    <x v="311"/>
    <x v="2886"/>
    <x v="41"/>
    <x v="41"/>
    <x v="2"/>
  </r>
  <r>
    <x v="2"/>
    <x v="2"/>
    <x v="429"/>
    <x v="4"/>
    <x v="4"/>
    <x v="28"/>
    <x v="3"/>
    <x v="38"/>
    <x v="327"/>
    <x v="2924"/>
    <x v="6"/>
    <x v="6"/>
    <x v="2"/>
  </r>
  <r>
    <x v="2"/>
    <x v="2"/>
    <x v="430"/>
    <x v="4"/>
    <x v="4"/>
    <x v="28"/>
    <x v="2"/>
    <x v="28"/>
    <x v="331"/>
    <x v="2892"/>
    <x v="26"/>
    <x v="26"/>
    <x v="2"/>
  </r>
  <r>
    <x v="2"/>
    <x v="2"/>
    <x v="431"/>
    <x v="4"/>
    <x v="4"/>
    <x v="28"/>
    <x v="1"/>
    <x v="38"/>
    <x v="323"/>
    <x v="2910"/>
    <x v="11"/>
    <x v="11"/>
    <x v="2"/>
  </r>
  <r>
    <x v="2"/>
    <x v="2"/>
    <x v="432"/>
    <x v="4"/>
    <x v="4"/>
    <x v="28"/>
    <x v="5"/>
    <x v="38"/>
    <x v="325"/>
    <x v="2917"/>
    <x v="26"/>
    <x v="26"/>
    <x v="2"/>
  </r>
  <r>
    <x v="2"/>
    <x v="2"/>
    <x v="433"/>
    <x v="4"/>
    <x v="4"/>
    <x v="28"/>
    <x v="4"/>
    <x v="38"/>
    <x v="313"/>
    <x v="2877"/>
    <x v="21"/>
    <x v="21"/>
    <x v="2"/>
  </r>
  <r>
    <x v="2"/>
    <x v="2"/>
    <x v="434"/>
    <x v="4"/>
    <x v="4"/>
    <x v="28"/>
    <x v="0"/>
    <x v="43"/>
    <x v="307"/>
    <x v="2866"/>
    <x v="41"/>
    <x v="41"/>
    <x v="2"/>
  </r>
  <r>
    <x v="2"/>
    <x v="2"/>
    <x v="435"/>
    <x v="4"/>
    <x v="4"/>
    <x v="28"/>
    <x v="3"/>
    <x v="38"/>
    <x v="323"/>
    <x v="2910"/>
    <x v="6"/>
    <x v="6"/>
    <x v="2"/>
  </r>
  <r>
    <x v="2"/>
    <x v="2"/>
    <x v="436"/>
    <x v="4"/>
    <x v="4"/>
    <x v="28"/>
    <x v="2"/>
    <x v="28"/>
    <x v="335"/>
    <x v="2903"/>
    <x v="26"/>
    <x v="26"/>
    <x v="2"/>
  </r>
  <r>
    <x v="2"/>
    <x v="2"/>
    <x v="437"/>
    <x v="4"/>
    <x v="4"/>
    <x v="28"/>
    <x v="1"/>
    <x v="38"/>
    <x v="323"/>
    <x v="2910"/>
    <x v="11"/>
    <x v="11"/>
    <x v="2"/>
  </r>
  <r>
    <x v="2"/>
    <x v="2"/>
    <x v="438"/>
    <x v="4"/>
    <x v="4"/>
    <x v="28"/>
    <x v="5"/>
    <x v="38"/>
    <x v="323"/>
    <x v="2910"/>
    <x v="26"/>
    <x v="26"/>
    <x v="2"/>
  </r>
  <r>
    <x v="2"/>
    <x v="2"/>
    <x v="439"/>
    <x v="4"/>
    <x v="4"/>
    <x v="28"/>
    <x v="4"/>
    <x v="38"/>
    <x v="315"/>
    <x v="2884"/>
    <x v="21"/>
    <x v="21"/>
    <x v="2"/>
  </r>
  <r>
    <x v="2"/>
    <x v="2"/>
    <x v="440"/>
    <x v="4"/>
    <x v="4"/>
    <x v="28"/>
    <x v="0"/>
    <x v="43"/>
    <x v="304"/>
    <x v="2854"/>
    <x v="41"/>
    <x v="41"/>
    <x v="2"/>
  </r>
  <r>
    <x v="2"/>
    <x v="2"/>
    <x v="454"/>
    <x v="4"/>
    <x v="4"/>
    <x v="28"/>
    <x v="3"/>
    <x v="38"/>
    <x v="321"/>
    <x v="2904"/>
    <x v="6"/>
    <x v="6"/>
    <x v="2"/>
  </r>
  <r>
    <x v="2"/>
    <x v="2"/>
    <x v="455"/>
    <x v="4"/>
    <x v="4"/>
    <x v="28"/>
    <x v="2"/>
    <x v="38"/>
    <x v="335"/>
    <x v="2947"/>
    <x v="26"/>
    <x v="26"/>
    <x v="2"/>
  </r>
  <r>
    <x v="2"/>
    <x v="2"/>
    <x v="456"/>
    <x v="4"/>
    <x v="4"/>
    <x v="28"/>
    <x v="1"/>
    <x v="43"/>
    <x v="319"/>
    <x v="2915"/>
    <x v="11"/>
    <x v="11"/>
    <x v="2"/>
  </r>
  <r>
    <x v="2"/>
    <x v="2"/>
    <x v="457"/>
    <x v="4"/>
    <x v="4"/>
    <x v="28"/>
    <x v="5"/>
    <x v="43"/>
    <x v="321"/>
    <x v="2921"/>
    <x v="26"/>
    <x v="26"/>
    <x v="2"/>
  </r>
  <r>
    <x v="2"/>
    <x v="2"/>
    <x v="458"/>
    <x v="4"/>
    <x v="4"/>
    <x v="28"/>
    <x v="4"/>
    <x v="38"/>
    <x v="313"/>
    <x v="2877"/>
    <x v="21"/>
    <x v="21"/>
    <x v="2"/>
  </r>
  <r>
    <x v="2"/>
    <x v="2"/>
    <x v="459"/>
    <x v="4"/>
    <x v="4"/>
    <x v="28"/>
    <x v="0"/>
    <x v="43"/>
    <x v="304"/>
    <x v="2854"/>
    <x v="41"/>
    <x v="41"/>
    <x v="2"/>
  </r>
  <r>
    <x v="2"/>
    <x v="2"/>
    <x v="460"/>
    <x v="4"/>
    <x v="4"/>
    <x v="28"/>
    <x v="3"/>
    <x v="58"/>
    <x v="319"/>
    <x v="2961"/>
    <x v="6"/>
    <x v="6"/>
    <x v="2"/>
  </r>
  <r>
    <x v="2"/>
    <x v="2"/>
    <x v="461"/>
    <x v="4"/>
    <x v="4"/>
    <x v="28"/>
    <x v="2"/>
    <x v="38"/>
    <x v="335"/>
    <x v="2947"/>
    <x v="26"/>
    <x v="26"/>
    <x v="2"/>
  </r>
  <r>
    <x v="2"/>
    <x v="2"/>
    <x v="462"/>
    <x v="4"/>
    <x v="4"/>
    <x v="28"/>
    <x v="1"/>
    <x v="43"/>
    <x v="323"/>
    <x v="2929"/>
    <x v="11"/>
    <x v="11"/>
    <x v="2"/>
  </r>
  <r>
    <x v="2"/>
    <x v="2"/>
    <x v="463"/>
    <x v="4"/>
    <x v="4"/>
    <x v="28"/>
    <x v="5"/>
    <x v="43"/>
    <x v="323"/>
    <x v="2929"/>
    <x v="26"/>
    <x v="26"/>
    <x v="2"/>
  </r>
  <r>
    <x v="2"/>
    <x v="2"/>
    <x v="464"/>
    <x v="4"/>
    <x v="4"/>
    <x v="28"/>
    <x v="4"/>
    <x v="38"/>
    <x v="315"/>
    <x v="2884"/>
    <x v="21"/>
    <x v="21"/>
    <x v="2"/>
  </r>
  <r>
    <x v="2"/>
    <x v="2"/>
    <x v="465"/>
    <x v="4"/>
    <x v="4"/>
    <x v="28"/>
    <x v="0"/>
    <x v="43"/>
    <x v="307"/>
    <x v="2866"/>
    <x v="41"/>
    <x v="41"/>
    <x v="2"/>
  </r>
  <r>
    <x v="2"/>
    <x v="2"/>
    <x v="466"/>
    <x v="4"/>
    <x v="4"/>
    <x v="28"/>
    <x v="3"/>
    <x v="58"/>
    <x v="321"/>
    <x v="2970"/>
    <x v="6"/>
    <x v="6"/>
    <x v="2"/>
  </r>
  <r>
    <x v="2"/>
    <x v="2"/>
    <x v="467"/>
    <x v="4"/>
    <x v="4"/>
    <x v="28"/>
    <x v="2"/>
    <x v="38"/>
    <x v="341"/>
    <x v="2969"/>
    <x v="26"/>
    <x v="26"/>
    <x v="2"/>
  </r>
  <r>
    <x v="2"/>
    <x v="2"/>
    <x v="468"/>
    <x v="4"/>
    <x v="4"/>
    <x v="28"/>
    <x v="1"/>
    <x v="43"/>
    <x v="331"/>
    <x v="2955"/>
    <x v="11"/>
    <x v="11"/>
    <x v="2"/>
  </r>
  <r>
    <x v="2"/>
    <x v="2"/>
    <x v="469"/>
    <x v="4"/>
    <x v="4"/>
    <x v="28"/>
    <x v="5"/>
    <x v="43"/>
    <x v="331"/>
    <x v="2955"/>
    <x v="26"/>
    <x v="26"/>
    <x v="2"/>
  </r>
  <r>
    <x v="2"/>
    <x v="2"/>
    <x v="470"/>
    <x v="4"/>
    <x v="4"/>
    <x v="28"/>
    <x v="4"/>
    <x v="38"/>
    <x v="321"/>
    <x v="2904"/>
    <x v="21"/>
    <x v="21"/>
    <x v="2"/>
  </r>
  <r>
    <x v="2"/>
    <x v="2"/>
    <x v="471"/>
    <x v="4"/>
    <x v="4"/>
    <x v="28"/>
    <x v="0"/>
    <x v="43"/>
    <x v="311"/>
    <x v="2886"/>
    <x v="41"/>
    <x v="41"/>
    <x v="2"/>
  </r>
  <r>
    <x v="2"/>
    <x v="2"/>
    <x v="472"/>
    <x v="4"/>
    <x v="4"/>
    <x v="28"/>
    <x v="3"/>
    <x v="58"/>
    <x v="335"/>
    <x v="3015"/>
    <x v="6"/>
    <x v="6"/>
    <x v="2"/>
  </r>
  <r>
    <x v="2"/>
    <x v="2"/>
    <x v="473"/>
    <x v="4"/>
    <x v="4"/>
    <x v="28"/>
    <x v="2"/>
    <x v="38"/>
    <x v="345"/>
    <x v="2979"/>
    <x v="26"/>
    <x v="26"/>
    <x v="2"/>
  </r>
  <r>
    <x v="2"/>
    <x v="2"/>
    <x v="474"/>
    <x v="4"/>
    <x v="4"/>
    <x v="28"/>
    <x v="1"/>
    <x v="43"/>
    <x v="335"/>
    <x v="2966"/>
    <x v="11"/>
    <x v="11"/>
    <x v="2"/>
  </r>
  <r>
    <x v="2"/>
    <x v="2"/>
    <x v="475"/>
    <x v="4"/>
    <x v="4"/>
    <x v="28"/>
    <x v="5"/>
    <x v="43"/>
    <x v="331"/>
    <x v="2955"/>
    <x v="26"/>
    <x v="26"/>
    <x v="2"/>
  </r>
  <r>
    <x v="2"/>
    <x v="2"/>
    <x v="476"/>
    <x v="4"/>
    <x v="4"/>
    <x v="28"/>
    <x v="4"/>
    <x v="38"/>
    <x v="323"/>
    <x v="2910"/>
    <x v="21"/>
    <x v="21"/>
    <x v="2"/>
  </r>
  <r>
    <x v="2"/>
    <x v="2"/>
    <x v="477"/>
    <x v="4"/>
    <x v="4"/>
    <x v="28"/>
    <x v="0"/>
    <x v="43"/>
    <x v="327"/>
    <x v="2942"/>
    <x v="41"/>
    <x v="41"/>
    <x v="2"/>
  </r>
  <r>
    <x v="2"/>
    <x v="2"/>
    <x v="478"/>
    <x v="4"/>
    <x v="4"/>
    <x v="28"/>
    <x v="3"/>
    <x v="58"/>
    <x v="327"/>
    <x v="2989"/>
    <x v="6"/>
    <x v="6"/>
    <x v="2"/>
  </r>
  <r>
    <x v="2"/>
    <x v="2"/>
    <x v="479"/>
    <x v="4"/>
    <x v="4"/>
    <x v="28"/>
    <x v="2"/>
    <x v="43"/>
    <x v="341"/>
    <x v="2987"/>
    <x v="26"/>
    <x v="26"/>
    <x v="2"/>
  </r>
  <r>
    <x v="2"/>
    <x v="2"/>
    <x v="480"/>
    <x v="4"/>
    <x v="4"/>
    <x v="28"/>
    <x v="1"/>
    <x v="48"/>
    <x v="338"/>
    <x v="2994"/>
    <x v="11"/>
    <x v="11"/>
    <x v="2"/>
  </r>
  <r>
    <x v="2"/>
    <x v="2"/>
    <x v="481"/>
    <x v="4"/>
    <x v="4"/>
    <x v="28"/>
    <x v="5"/>
    <x v="43"/>
    <x v="329"/>
    <x v="2948"/>
    <x v="26"/>
    <x v="26"/>
    <x v="2"/>
  </r>
  <r>
    <x v="2"/>
    <x v="2"/>
    <x v="482"/>
    <x v="4"/>
    <x v="4"/>
    <x v="28"/>
    <x v="4"/>
    <x v="43"/>
    <x v="325"/>
    <x v="2935"/>
    <x v="21"/>
    <x v="21"/>
    <x v="2"/>
  </r>
  <r>
    <x v="2"/>
    <x v="2"/>
    <x v="483"/>
    <x v="4"/>
    <x v="4"/>
    <x v="28"/>
    <x v="0"/>
    <x v="53"/>
    <x v="325"/>
    <x v="2969"/>
    <x v="41"/>
    <x v="41"/>
    <x v="2"/>
  </r>
  <r>
    <x v="2"/>
    <x v="2"/>
    <x v="484"/>
    <x v="4"/>
    <x v="4"/>
    <x v="28"/>
    <x v="3"/>
    <x v="58"/>
    <x v="323"/>
    <x v="2975"/>
    <x v="6"/>
    <x v="6"/>
    <x v="2"/>
  </r>
  <r>
    <x v="2"/>
    <x v="2"/>
    <x v="485"/>
    <x v="4"/>
    <x v="4"/>
    <x v="28"/>
    <x v="2"/>
    <x v="43"/>
    <x v="338"/>
    <x v="2976"/>
    <x v="26"/>
    <x v="26"/>
    <x v="2"/>
  </r>
  <r>
    <x v="2"/>
    <x v="2"/>
    <x v="486"/>
    <x v="4"/>
    <x v="4"/>
    <x v="28"/>
    <x v="1"/>
    <x v="48"/>
    <x v="338"/>
    <x v="2994"/>
    <x v="11"/>
    <x v="11"/>
    <x v="2"/>
  </r>
  <r>
    <x v="2"/>
    <x v="2"/>
    <x v="487"/>
    <x v="4"/>
    <x v="4"/>
    <x v="28"/>
    <x v="5"/>
    <x v="43"/>
    <x v="327"/>
    <x v="2942"/>
    <x v="26"/>
    <x v="26"/>
    <x v="2"/>
  </r>
  <r>
    <x v="2"/>
    <x v="2"/>
    <x v="488"/>
    <x v="4"/>
    <x v="4"/>
    <x v="28"/>
    <x v="4"/>
    <x v="43"/>
    <x v="323"/>
    <x v="2929"/>
    <x v="21"/>
    <x v="21"/>
    <x v="2"/>
  </r>
  <r>
    <x v="2"/>
    <x v="2"/>
    <x v="489"/>
    <x v="4"/>
    <x v="4"/>
    <x v="28"/>
    <x v="0"/>
    <x v="53"/>
    <x v="323"/>
    <x v="2961"/>
    <x v="41"/>
    <x v="41"/>
    <x v="2"/>
  </r>
  <r>
    <x v="2"/>
    <x v="2"/>
    <x v="490"/>
    <x v="4"/>
    <x v="4"/>
    <x v="28"/>
    <x v="3"/>
    <x v="58"/>
    <x v="327"/>
    <x v="2989"/>
    <x v="6"/>
    <x v="6"/>
    <x v="2"/>
  </r>
  <r>
    <x v="2"/>
    <x v="2"/>
    <x v="491"/>
    <x v="4"/>
    <x v="4"/>
    <x v="28"/>
    <x v="2"/>
    <x v="43"/>
    <x v="335"/>
    <x v="2966"/>
    <x v="26"/>
    <x v="26"/>
    <x v="2"/>
  </r>
  <r>
    <x v="2"/>
    <x v="2"/>
    <x v="492"/>
    <x v="4"/>
    <x v="4"/>
    <x v="28"/>
    <x v="1"/>
    <x v="48"/>
    <x v="335"/>
    <x v="2985"/>
    <x v="11"/>
    <x v="11"/>
    <x v="2"/>
  </r>
  <r>
    <x v="2"/>
    <x v="2"/>
    <x v="493"/>
    <x v="4"/>
    <x v="4"/>
    <x v="28"/>
    <x v="5"/>
    <x v="43"/>
    <x v="323"/>
    <x v="2929"/>
    <x v="26"/>
    <x v="26"/>
    <x v="2"/>
  </r>
  <r>
    <x v="2"/>
    <x v="2"/>
    <x v="494"/>
    <x v="4"/>
    <x v="4"/>
    <x v="28"/>
    <x v="4"/>
    <x v="43"/>
    <x v="321"/>
    <x v="2921"/>
    <x v="21"/>
    <x v="21"/>
    <x v="2"/>
  </r>
  <r>
    <x v="2"/>
    <x v="2"/>
    <x v="495"/>
    <x v="4"/>
    <x v="4"/>
    <x v="28"/>
    <x v="0"/>
    <x v="53"/>
    <x v="319"/>
    <x v="2947"/>
    <x v="41"/>
    <x v="41"/>
    <x v="2"/>
  </r>
  <r>
    <x v="2"/>
    <x v="2"/>
    <x v="496"/>
    <x v="4"/>
    <x v="4"/>
    <x v="28"/>
    <x v="3"/>
    <x v="58"/>
    <x v="323"/>
    <x v="2975"/>
    <x v="6"/>
    <x v="6"/>
    <x v="2"/>
  </r>
  <r>
    <x v="2"/>
    <x v="2"/>
    <x v="497"/>
    <x v="4"/>
    <x v="4"/>
    <x v="28"/>
    <x v="2"/>
    <x v="43"/>
    <x v="337"/>
    <x v="2972"/>
    <x v="26"/>
    <x v="26"/>
    <x v="2"/>
  </r>
  <r>
    <x v="2"/>
    <x v="2"/>
    <x v="498"/>
    <x v="4"/>
    <x v="4"/>
    <x v="28"/>
    <x v="1"/>
    <x v="48"/>
    <x v="337"/>
    <x v="2988"/>
    <x v="11"/>
    <x v="11"/>
    <x v="2"/>
  </r>
  <r>
    <x v="2"/>
    <x v="2"/>
    <x v="499"/>
    <x v="4"/>
    <x v="4"/>
    <x v="28"/>
    <x v="5"/>
    <x v="43"/>
    <x v="325"/>
    <x v="2935"/>
    <x v="26"/>
    <x v="26"/>
    <x v="2"/>
  </r>
  <r>
    <x v="2"/>
    <x v="2"/>
    <x v="500"/>
    <x v="4"/>
    <x v="4"/>
    <x v="28"/>
    <x v="4"/>
    <x v="43"/>
    <x v="323"/>
    <x v="2929"/>
    <x v="21"/>
    <x v="21"/>
    <x v="2"/>
  </r>
  <r>
    <x v="2"/>
    <x v="2"/>
    <x v="501"/>
    <x v="4"/>
    <x v="4"/>
    <x v="28"/>
    <x v="0"/>
    <x v="53"/>
    <x v="319"/>
    <x v="2947"/>
    <x v="41"/>
    <x v="41"/>
    <x v="2"/>
  </r>
  <r>
    <x v="2"/>
    <x v="2"/>
    <x v="502"/>
    <x v="4"/>
    <x v="4"/>
    <x v="28"/>
    <x v="3"/>
    <x v="58"/>
    <x v="327"/>
    <x v="2989"/>
    <x v="6"/>
    <x v="6"/>
    <x v="2"/>
  </r>
  <r>
    <x v="2"/>
    <x v="2"/>
    <x v="503"/>
    <x v="4"/>
    <x v="4"/>
    <x v="28"/>
    <x v="2"/>
    <x v="43"/>
    <x v="341"/>
    <x v="2987"/>
    <x v="26"/>
    <x v="26"/>
    <x v="2"/>
  </r>
  <r>
    <x v="2"/>
    <x v="2"/>
    <x v="504"/>
    <x v="4"/>
    <x v="4"/>
    <x v="28"/>
    <x v="1"/>
    <x v="48"/>
    <x v="341"/>
    <x v="3006"/>
    <x v="11"/>
    <x v="11"/>
    <x v="2"/>
  </r>
  <r>
    <x v="2"/>
    <x v="2"/>
    <x v="505"/>
    <x v="4"/>
    <x v="4"/>
    <x v="28"/>
    <x v="5"/>
    <x v="43"/>
    <x v="327"/>
    <x v="2942"/>
    <x v="26"/>
    <x v="26"/>
    <x v="2"/>
  </r>
  <r>
    <x v="2"/>
    <x v="2"/>
    <x v="506"/>
    <x v="4"/>
    <x v="4"/>
    <x v="28"/>
    <x v="4"/>
    <x v="43"/>
    <x v="327"/>
    <x v="2942"/>
    <x v="21"/>
    <x v="21"/>
    <x v="2"/>
  </r>
  <r>
    <x v="2"/>
    <x v="2"/>
    <x v="507"/>
    <x v="4"/>
    <x v="4"/>
    <x v="28"/>
    <x v="0"/>
    <x v="53"/>
    <x v="321"/>
    <x v="2955"/>
    <x v="41"/>
    <x v="41"/>
    <x v="2"/>
  </r>
  <r>
    <x v="2"/>
    <x v="2"/>
    <x v="508"/>
    <x v="4"/>
    <x v="4"/>
    <x v="28"/>
    <x v="3"/>
    <x v="58"/>
    <x v="329"/>
    <x v="2996"/>
    <x v="6"/>
    <x v="6"/>
    <x v="2"/>
  </r>
  <r>
    <x v="1"/>
    <x v="1"/>
    <x v="509"/>
    <x v="4"/>
    <x v="4"/>
    <x v="28"/>
    <x v="2"/>
    <x v="38"/>
    <x v="309"/>
    <x v="2855"/>
    <x v="26"/>
    <x v="26"/>
    <x v="2"/>
  </r>
  <r>
    <x v="1"/>
    <x v="1"/>
    <x v="510"/>
    <x v="4"/>
    <x v="4"/>
    <x v="28"/>
    <x v="1"/>
    <x v="38"/>
    <x v="231"/>
    <x v="2506"/>
    <x v="21"/>
    <x v="21"/>
    <x v="2"/>
  </r>
  <r>
    <x v="1"/>
    <x v="1"/>
    <x v="511"/>
    <x v="4"/>
    <x v="4"/>
    <x v="28"/>
    <x v="5"/>
    <x v="28"/>
    <x v="231"/>
    <x v="2158"/>
    <x v="21"/>
    <x v="21"/>
    <x v="2"/>
  </r>
  <r>
    <x v="1"/>
    <x v="1"/>
    <x v="512"/>
    <x v="4"/>
    <x v="4"/>
    <x v="28"/>
    <x v="4"/>
    <x v="33"/>
    <x v="105"/>
    <x v="1208"/>
    <x v="26"/>
    <x v="26"/>
    <x v="2"/>
  </r>
  <r>
    <x v="1"/>
    <x v="1"/>
    <x v="513"/>
    <x v="0"/>
    <x v="12"/>
    <x v="13"/>
    <x v="0"/>
    <x v="48"/>
    <x v="152"/>
    <x v="2158"/>
    <x v="21"/>
    <x v="21"/>
    <x v="2"/>
  </r>
  <r>
    <x v="1"/>
    <x v="1"/>
    <x v="514"/>
    <x v="0"/>
    <x v="12"/>
    <x v="13"/>
    <x v="3"/>
    <x v="38"/>
    <x v="231"/>
    <x v="2506"/>
    <x v="36"/>
    <x v="36"/>
    <x v="2"/>
  </r>
  <r>
    <x v="1"/>
    <x v="1"/>
    <x v="515"/>
    <x v="0"/>
    <x v="12"/>
    <x v="13"/>
    <x v="2"/>
    <x v="38"/>
    <x v="313"/>
    <x v="2877"/>
    <x v="26"/>
    <x v="26"/>
    <x v="2"/>
  </r>
  <r>
    <x v="1"/>
    <x v="1"/>
    <x v="516"/>
    <x v="0"/>
    <x v="12"/>
    <x v="13"/>
    <x v="1"/>
    <x v="38"/>
    <x v="152"/>
    <x v="1857"/>
    <x v="21"/>
    <x v="21"/>
    <x v="2"/>
  </r>
  <r>
    <x v="1"/>
    <x v="1"/>
    <x v="517"/>
    <x v="0"/>
    <x v="12"/>
    <x v="13"/>
    <x v="5"/>
    <x v="28"/>
    <x v="194"/>
    <x v="1857"/>
    <x v="21"/>
    <x v="21"/>
    <x v="2"/>
  </r>
  <r>
    <x v="1"/>
    <x v="1"/>
    <x v="518"/>
    <x v="0"/>
    <x v="12"/>
    <x v="13"/>
    <x v="4"/>
    <x v="33"/>
    <x v="82"/>
    <x v="956"/>
    <x v="26"/>
    <x v="26"/>
    <x v="2"/>
  </r>
  <r>
    <x v="1"/>
    <x v="1"/>
    <x v="519"/>
    <x v="0"/>
    <x v="12"/>
    <x v="13"/>
    <x v="0"/>
    <x v="48"/>
    <x v="152"/>
    <x v="2158"/>
    <x v="21"/>
    <x v="21"/>
    <x v="2"/>
  </r>
  <r>
    <x v="1"/>
    <x v="1"/>
    <x v="520"/>
    <x v="0"/>
    <x v="12"/>
    <x v="13"/>
    <x v="3"/>
    <x v="38"/>
    <x v="231"/>
    <x v="2506"/>
    <x v="36"/>
    <x v="36"/>
    <x v="2"/>
  </r>
  <r>
    <x v="1"/>
    <x v="1"/>
    <x v="521"/>
    <x v="0"/>
    <x v="12"/>
    <x v="13"/>
    <x v="2"/>
    <x v="43"/>
    <x v="310"/>
    <x v="2884"/>
    <x v="26"/>
    <x v="26"/>
    <x v="2"/>
  </r>
  <r>
    <x v="1"/>
    <x v="1"/>
    <x v="522"/>
    <x v="0"/>
    <x v="12"/>
    <x v="13"/>
    <x v="1"/>
    <x v="43"/>
    <x v="174"/>
    <x v="2206"/>
    <x v="21"/>
    <x v="21"/>
    <x v="2"/>
  </r>
  <r>
    <x v="1"/>
    <x v="1"/>
    <x v="523"/>
    <x v="0"/>
    <x v="12"/>
    <x v="13"/>
    <x v="5"/>
    <x v="33"/>
    <x v="194"/>
    <x v="2064"/>
    <x v="21"/>
    <x v="21"/>
    <x v="2"/>
  </r>
  <r>
    <x v="1"/>
    <x v="1"/>
    <x v="524"/>
    <x v="0"/>
    <x v="12"/>
    <x v="13"/>
    <x v="4"/>
    <x v="38"/>
    <x v="62"/>
    <x v="784"/>
    <x v="26"/>
    <x v="26"/>
    <x v="2"/>
  </r>
  <r>
    <x v="1"/>
    <x v="1"/>
    <x v="525"/>
    <x v="0"/>
    <x v="12"/>
    <x v="13"/>
    <x v="0"/>
    <x v="53"/>
    <x v="105"/>
    <x v="1779"/>
    <x v="21"/>
    <x v="21"/>
    <x v="2"/>
  </r>
  <r>
    <x v="1"/>
    <x v="1"/>
    <x v="526"/>
    <x v="0"/>
    <x v="12"/>
    <x v="13"/>
    <x v="3"/>
    <x v="43"/>
    <x v="194"/>
    <x v="2383"/>
    <x v="36"/>
    <x v="36"/>
    <x v="2"/>
  </r>
  <r>
    <x v="1"/>
    <x v="1"/>
    <x v="527"/>
    <x v="0"/>
    <x v="12"/>
    <x v="13"/>
    <x v="2"/>
    <x v="43"/>
    <x v="307"/>
    <x v="2866"/>
    <x v="26"/>
    <x v="26"/>
    <x v="2"/>
  </r>
  <r>
    <x v="1"/>
    <x v="1"/>
    <x v="528"/>
    <x v="0"/>
    <x v="12"/>
    <x v="13"/>
    <x v="1"/>
    <x v="43"/>
    <x v="129"/>
    <x v="1779"/>
    <x v="21"/>
    <x v="21"/>
    <x v="2"/>
  </r>
  <r>
    <x v="1"/>
    <x v="1"/>
    <x v="529"/>
    <x v="0"/>
    <x v="12"/>
    <x v="13"/>
    <x v="5"/>
    <x v="33"/>
    <x v="129"/>
    <x v="1441"/>
    <x v="21"/>
    <x v="21"/>
    <x v="2"/>
  </r>
  <r>
    <x v="1"/>
    <x v="1"/>
    <x v="530"/>
    <x v="0"/>
    <x v="12"/>
    <x v="13"/>
    <x v="4"/>
    <x v="38"/>
    <x v="62"/>
    <x v="784"/>
    <x v="26"/>
    <x v="26"/>
    <x v="2"/>
  </r>
  <r>
    <x v="1"/>
    <x v="1"/>
    <x v="531"/>
    <x v="0"/>
    <x v="12"/>
    <x v="13"/>
    <x v="0"/>
    <x v="53"/>
    <x v="82"/>
    <x v="1441"/>
    <x v="21"/>
    <x v="21"/>
    <x v="2"/>
  </r>
  <r>
    <x v="1"/>
    <x v="1"/>
    <x v="532"/>
    <x v="0"/>
    <x v="12"/>
    <x v="13"/>
    <x v="3"/>
    <x v="43"/>
    <x v="194"/>
    <x v="2383"/>
    <x v="36"/>
    <x v="36"/>
    <x v="2"/>
  </r>
  <r>
    <x v="1"/>
    <x v="1"/>
    <x v="533"/>
    <x v="0"/>
    <x v="12"/>
    <x v="13"/>
    <x v="2"/>
    <x v="53"/>
    <x v="310"/>
    <x v="2911"/>
    <x v="26"/>
    <x v="26"/>
    <x v="2"/>
  </r>
  <r>
    <x v="1"/>
    <x v="1"/>
    <x v="534"/>
    <x v="0"/>
    <x v="12"/>
    <x v="13"/>
    <x v="1"/>
    <x v="48"/>
    <x v="174"/>
    <x v="2350"/>
    <x v="21"/>
    <x v="21"/>
    <x v="2"/>
  </r>
  <r>
    <x v="1"/>
    <x v="1"/>
    <x v="535"/>
    <x v="0"/>
    <x v="12"/>
    <x v="13"/>
    <x v="5"/>
    <x v="43"/>
    <x v="152"/>
    <x v="2022"/>
    <x v="21"/>
    <x v="21"/>
    <x v="2"/>
  </r>
  <r>
    <x v="1"/>
    <x v="1"/>
    <x v="536"/>
    <x v="0"/>
    <x v="12"/>
    <x v="13"/>
    <x v="4"/>
    <x v="43"/>
    <x v="82"/>
    <x v="1208"/>
    <x v="26"/>
    <x v="26"/>
    <x v="2"/>
  </r>
  <r>
    <x v="1"/>
    <x v="1"/>
    <x v="537"/>
    <x v="0"/>
    <x v="12"/>
    <x v="13"/>
    <x v="0"/>
    <x v="53"/>
    <x v="105"/>
    <x v="1779"/>
    <x v="21"/>
    <x v="21"/>
    <x v="2"/>
  </r>
  <r>
    <x v="1"/>
    <x v="1"/>
    <x v="538"/>
    <x v="0"/>
    <x v="12"/>
    <x v="13"/>
    <x v="3"/>
    <x v="58"/>
    <x v="212"/>
    <x v="2745"/>
    <x v="36"/>
    <x v="36"/>
    <x v="2"/>
  </r>
  <r>
    <x v="1"/>
    <x v="1"/>
    <x v="539"/>
    <x v="0"/>
    <x v="12"/>
    <x v="13"/>
    <x v="2"/>
    <x v="43"/>
    <x v="311"/>
    <x v="2886"/>
    <x v="26"/>
    <x v="26"/>
    <x v="2"/>
  </r>
  <r>
    <x v="1"/>
    <x v="1"/>
    <x v="540"/>
    <x v="0"/>
    <x v="12"/>
    <x v="13"/>
    <x v="1"/>
    <x v="38"/>
    <x v="212"/>
    <x v="2383"/>
    <x v="21"/>
    <x v="21"/>
    <x v="2"/>
  </r>
  <r>
    <x v="1"/>
    <x v="1"/>
    <x v="541"/>
    <x v="0"/>
    <x v="12"/>
    <x v="13"/>
    <x v="5"/>
    <x v="33"/>
    <x v="174"/>
    <x v="1883"/>
    <x v="21"/>
    <x v="21"/>
    <x v="2"/>
  </r>
  <r>
    <x v="1"/>
    <x v="1"/>
    <x v="542"/>
    <x v="0"/>
    <x v="12"/>
    <x v="13"/>
    <x v="4"/>
    <x v="33"/>
    <x v="152"/>
    <x v="1674"/>
    <x v="26"/>
    <x v="26"/>
    <x v="2"/>
  </r>
  <r>
    <x v="1"/>
    <x v="1"/>
    <x v="543"/>
    <x v="0"/>
    <x v="12"/>
    <x v="13"/>
    <x v="0"/>
    <x v="43"/>
    <x v="152"/>
    <x v="2022"/>
    <x v="21"/>
    <x v="21"/>
    <x v="2"/>
  </r>
  <r>
    <x v="1"/>
    <x v="1"/>
    <x v="544"/>
    <x v="0"/>
    <x v="12"/>
    <x v="13"/>
    <x v="3"/>
    <x v="48"/>
    <x v="285"/>
    <x v="2829"/>
    <x v="36"/>
    <x v="36"/>
    <x v="2"/>
  </r>
  <r>
    <x v="1"/>
    <x v="1"/>
    <x v="545"/>
    <x v="0"/>
    <x v="12"/>
    <x v="13"/>
    <x v="2"/>
    <x v="43"/>
    <x v="317"/>
    <x v="2907"/>
    <x v="26"/>
    <x v="26"/>
    <x v="2"/>
  </r>
  <r>
    <x v="1"/>
    <x v="1"/>
    <x v="546"/>
    <x v="0"/>
    <x v="12"/>
    <x v="13"/>
    <x v="1"/>
    <x v="38"/>
    <x v="273"/>
    <x v="2673"/>
    <x v="21"/>
    <x v="21"/>
    <x v="2"/>
  </r>
  <r>
    <x v="1"/>
    <x v="1"/>
    <x v="547"/>
    <x v="0"/>
    <x v="12"/>
    <x v="13"/>
    <x v="5"/>
    <x v="33"/>
    <x v="212"/>
    <x v="2206"/>
    <x v="21"/>
    <x v="21"/>
    <x v="2"/>
  </r>
  <r>
    <x v="1"/>
    <x v="1"/>
    <x v="548"/>
    <x v="0"/>
    <x v="12"/>
    <x v="13"/>
    <x v="4"/>
    <x v="33"/>
    <x v="174"/>
    <x v="1883"/>
    <x v="26"/>
    <x v="26"/>
    <x v="2"/>
  </r>
  <r>
    <x v="1"/>
    <x v="1"/>
    <x v="549"/>
    <x v="0"/>
    <x v="12"/>
    <x v="13"/>
    <x v="0"/>
    <x v="43"/>
    <x v="194"/>
    <x v="2383"/>
    <x v="21"/>
    <x v="21"/>
    <x v="2"/>
  </r>
  <r>
    <x v="1"/>
    <x v="1"/>
    <x v="550"/>
    <x v="0"/>
    <x v="12"/>
    <x v="13"/>
    <x v="3"/>
    <x v="48"/>
    <x v="300"/>
    <x v="2862"/>
    <x v="36"/>
    <x v="36"/>
    <x v="2"/>
  </r>
  <r>
    <x v="1"/>
    <x v="1"/>
    <x v="551"/>
    <x v="0"/>
    <x v="12"/>
    <x v="13"/>
    <x v="2"/>
    <x v="43"/>
    <x v="315"/>
    <x v="2899"/>
    <x v="26"/>
    <x v="26"/>
    <x v="2"/>
  </r>
  <r>
    <x v="1"/>
    <x v="1"/>
    <x v="552"/>
    <x v="0"/>
    <x v="12"/>
    <x v="13"/>
    <x v="1"/>
    <x v="38"/>
    <x v="273"/>
    <x v="2673"/>
    <x v="21"/>
    <x v="21"/>
    <x v="2"/>
  </r>
  <r>
    <x v="1"/>
    <x v="1"/>
    <x v="553"/>
    <x v="0"/>
    <x v="12"/>
    <x v="13"/>
    <x v="5"/>
    <x v="33"/>
    <x v="212"/>
    <x v="2206"/>
    <x v="21"/>
    <x v="21"/>
    <x v="2"/>
  </r>
  <r>
    <x v="1"/>
    <x v="1"/>
    <x v="554"/>
    <x v="0"/>
    <x v="12"/>
    <x v="13"/>
    <x v="4"/>
    <x v="33"/>
    <x v="194"/>
    <x v="2064"/>
    <x v="26"/>
    <x v="26"/>
    <x v="2"/>
  </r>
  <r>
    <x v="1"/>
    <x v="1"/>
    <x v="555"/>
    <x v="0"/>
    <x v="12"/>
    <x v="13"/>
    <x v="0"/>
    <x v="43"/>
    <x v="174"/>
    <x v="2206"/>
    <x v="21"/>
    <x v="21"/>
    <x v="2"/>
  </r>
  <r>
    <x v="1"/>
    <x v="1"/>
    <x v="556"/>
    <x v="0"/>
    <x v="12"/>
    <x v="13"/>
    <x v="3"/>
    <x v="48"/>
    <x v="294"/>
    <x v="2850"/>
    <x v="36"/>
    <x v="36"/>
    <x v="2"/>
  </r>
  <r>
    <x v="1"/>
    <x v="1"/>
    <x v="557"/>
    <x v="0"/>
    <x v="12"/>
    <x v="13"/>
    <x v="2"/>
    <x v="43"/>
    <x v="311"/>
    <x v="2886"/>
    <x v="26"/>
    <x v="26"/>
    <x v="2"/>
  </r>
  <r>
    <x v="1"/>
    <x v="1"/>
    <x v="558"/>
    <x v="0"/>
    <x v="12"/>
    <x v="13"/>
    <x v="1"/>
    <x v="38"/>
    <x v="254"/>
    <x v="2594"/>
    <x v="21"/>
    <x v="21"/>
    <x v="2"/>
  </r>
  <r>
    <x v="1"/>
    <x v="1"/>
    <x v="559"/>
    <x v="0"/>
    <x v="12"/>
    <x v="13"/>
    <x v="5"/>
    <x v="33"/>
    <x v="174"/>
    <x v="1883"/>
    <x v="21"/>
    <x v="21"/>
    <x v="2"/>
  </r>
  <r>
    <x v="1"/>
    <x v="1"/>
    <x v="560"/>
    <x v="0"/>
    <x v="12"/>
    <x v="13"/>
    <x v="4"/>
    <x v="33"/>
    <x v="152"/>
    <x v="1674"/>
    <x v="26"/>
    <x v="26"/>
    <x v="2"/>
  </r>
  <r>
    <x v="1"/>
    <x v="1"/>
    <x v="561"/>
    <x v="0"/>
    <x v="12"/>
    <x v="13"/>
    <x v="0"/>
    <x v="43"/>
    <x v="152"/>
    <x v="2022"/>
    <x v="21"/>
    <x v="21"/>
    <x v="2"/>
  </r>
  <r>
    <x v="1"/>
    <x v="1"/>
    <x v="562"/>
    <x v="0"/>
    <x v="12"/>
    <x v="13"/>
    <x v="3"/>
    <x v="48"/>
    <x v="212"/>
    <x v="2615"/>
    <x v="36"/>
    <x v="36"/>
    <x v="2"/>
  </r>
  <r>
    <x v="1"/>
    <x v="1"/>
    <x v="563"/>
    <x v="0"/>
    <x v="12"/>
    <x v="13"/>
    <x v="2"/>
    <x v="53"/>
    <x v="304"/>
    <x v="2888"/>
    <x v="26"/>
    <x v="26"/>
    <x v="2"/>
  </r>
  <r>
    <x v="1"/>
    <x v="1"/>
    <x v="564"/>
    <x v="0"/>
    <x v="12"/>
    <x v="13"/>
    <x v="1"/>
    <x v="43"/>
    <x v="212"/>
    <x v="2513"/>
    <x v="21"/>
    <x v="21"/>
    <x v="2"/>
  </r>
  <r>
    <x v="1"/>
    <x v="1"/>
    <x v="565"/>
    <x v="0"/>
    <x v="12"/>
    <x v="13"/>
    <x v="5"/>
    <x v="43"/>
    <x v="129"/>
    <x v="1779"/>
    <x v="21"/>
    <x v="21"/>
    <x v="2"/>
  </r>
  <r>
    <x v="1"/>
    <x v="1"/>
    <x v="566"/>
    <x v="0"/>
    <x v="12"/>
    <x v="13"/>
    <x v="4"/>
    <x v="43"/>
    <x v="105"/>
    <x v="1502"/>
    <x v="26"/>
    <x v="26"/>
    <x v="2"/>
  </r>
  <r>
    <x v="1"/>
    <x v="1"/>
    <x v="567"/>
    <x v="0"/>
    <x v="12"/>
    <x v="13"/>
    <x v="0"/>
    <x v="53"/>
    <x v="105"/>
    <x v="1779"/>
    <x v="21"/>
    <x v="21"/>
    <x v="2"/>
  </r>
  <r>
    <x v="1"/>
    <x v="1"/>
    <x v="568"/>
    <x v="0"/>
    <x v="12"/>
    <x v="13"/>
    <x v="3"/>
    <x v="58"/>
    <x v="212"/>
    <x v="2745"/>
    <x v="36"/>
    <x v="36"/>
    <x v="2"/>
  </r>
  <r>
    <x v="1"/>
    <x v="1"/>
    <x v="569"/>
    <x v="0"/>
    <x v="12"/>
    <x v="13"/>
    <x v="2"/>
    <x v="53"/>
    <x v="300"/>
    <x v="2880"/>
    <x v="26"/>
    <x v="26"/>
    <x v="2"/>
  </r>
  <r>
    <x v="1"/>
    <x v="1"/>
    <x v="570"/>
    <x v="0"/>
    <x v="12"/>
    <x v="13"/>
    <x v="1"/>
    <x v="43"/>
    <x v="212"/>
    <x v="2513"/>
    <x v="21"/>
    <x v="21"/>
    <x v="2"/>
  </r>
  <r>
    <x v="1"/>
    <x v="1"/>
    <x v="571"/>
    <x v="0"/>
    <x v="12"/>
    <x v="13"/>
    <x v="5"/>
    <x v="43"/>
    <x v="171"/>
    <x v="2173"/>
    <x v="21"/>
    <x v="21"/>
    <x v="2"/>
  </r>
  <r>
    <x v="1"/>
    <x v="1"/>
    <x v="572"/>
    <x v="0"/>
    <x v="12"/>
    <x v="13"/>
    <x v="4"/>
    <x v="43"/>
    <x v="152"/>
    <x v="2022"/>
    <x v="26"/>
    <x v="26"/>
    <x v="2"/>
  </r>
  <r>
    <x v="1"/>
    <x v="1"/>
    <x v="573"/>
    <x v="0"/>
    <x v="12"/>
    <x v="13"/>
    <x v="0"/>
    <x v="53"/>
    <x v="129"/>
    <x v="2064"/>
    <x v="21"/>
    <x v="21"/>
    <x v="2"/>
  </r>
  <r>
    <x v="1"/>
    <x v="1"/>
    <x v="574"/>
    <x v="0"/>
    <x v="12"/>
    <x v="13"/>
    <x v="3"/>
    <x v="58"/>
    <x v="212"/>
    <x v="2745"/>
    <x v="36"/>
    <x v="36"/>
    <x v="2"/>
  </r>
  <r>
    <x v="1"/>
    <x v="1"/>
    <x v="575"/>
    <x v="0"/>
    <x v="12"/>
    <x v="13"/>
    <x v="2"/>
    <x v="53"/>
    <x v="311"/>
    <x v="2915"/>
    <x v="26"/>
    <x v="26"/>
    <x v="2"/>
  </r>
  <r>
    <x v="1"/>
    <x v="1"/>
    <x v="576"/>
    <x v="0"/>
    <x v="12"/>
    <x v="13"/>
    <x v="1"/>
    <x v="43"/>
    <x v="254"/>
    <x v="2686"/>
    <x v="21"/>
    <x v="21"/>
    <x v="2"/>
  </r>
  <r>
    <x v="1"/>
    <x v="1"/>
    <x v="577"/>
    <x v="0"/>
    <x v="12"/>
    <x v="13"/>
    <x v="5"/>
    <x v="43"/>
    <x v="212"/>
    <x v="2513"/>
    <x v="21"/>
    <x v="21"/>
    <x v="2"/>
  </r>
  <r>
    <x v="1"/>
    <x v="1"/>
    <x v="578"/>
    <x v="0"/>
    <x v="12"/>
    <x v="13"/>
    <x v="4"/>
    <x v="43"/>
    <x v="174"/>
    <x v="2206"/>
    <x v="26"/>
    <x v="26"/>
    <x v="2"/>
  </r>
  <r>
    <x v="1"/>
    <x v="1"/>
    <x v="579"/>
    <x v="0"/>
    <x v="12"/>
    <x v="13"/>
    <x v="0"/>
    <x v="53"/>
    <x v="174"/>
    <x v="2469"/>
    <x v="21"/>
    <x v="21"/>
    <x v="2"/>
  </r>
  <r>
    <x v="1"/>
    <x v="1"/>
    <x v="580"/>
    <x v="0"/>
    <x v="12"/>
    <x v="13"/>
    <x v="3"/>
    <x v="58"/>
    <x v="254"/>
    <x v="2833"/>
    <x v="36"/>
    <x v="36"/>
    <x v="2"/>
  </r>
  <r>
    <x v="3"/>
    <x v="3"/>
    <x v="581"/>
    <x v="0"/>
    <x v="12"/>
    <x v="13"/>
    <x v="2"/>
    <x v="13"/>
    <x v="329"/>
    <x v="2666"/>
    <x v="16"/>
    <x v="16"/>
    <x v="2"/>
  </r>
  <r>
    <x v="3"/>
    <x v="3"/>
    <x v="582"/>
    <x v="0"/>
    <x v="12"/>
    <x v="13"/>
    <x v="1"/>
    <x v="23"/>
    <x v="329"/>
    <x v="2858"/>
    <x v="16"/>
    <x v="16"/>
    <x v="2"/>
  </r>
  <r>
    <x v="3"/>
    <x v="3"/>
    <x v="583"/>
    <x v="0"/>
    <x v="12"/>
    <x v="13"/>
    <x v="5"/>
    <x v="23"/>
    <x v="313"/>
    <x v="2727"/>
    <x v="16"/>
    <x v="16"/>
    <x v="2"/>
  </r>
  <r>
    <x v="3"/>
    <x v="3"/>
    <x v="584"/>
    <x v="0"/>
    <x v="12"/>
    <x v="13"/>
    <x v="4"/>
    <x v="28"/>
    <x v="313"/>
    <x v="2811"/>
    <x v="26"/>
    <x v="26"/>
    <x v="2"/>
  </r>
  <r>
    <x v="3"/>
    <x v="3"/>
    <x v="585"/>
    <x v="2"/>
    <x v="42"/>
    <x v="15"/>
    <x v="0"/>
    <x v="33"/>
    <x v="294"/>
    <x v="2686"/>
    <x v="11"/>
    <x v="11"/>
    <x v="2"/>
  </r>
  <r>
    <x v="3"/>
    <x v="3"/>
    <x v="586"/>
    <x v="2"/>
    <x v="42"/>
    <x v="15"/>
    <x v="3"/>
    <x v="28"/>
    <x v="313"/>
    <x v="2811"/>
    <x v="31"/>
    <x v="31"/>
    <x v="2"/>
  </r>
  <r>
    <x v="3"/>
    <x v="3"/>
    <x v="587"/>
    <x v="2"/>
    <x v="42"/>
    <x v="15"/>
    <x v="2"/>
    <x v="18"/>
    <x v="325"/>
    <x v="2772"/>
    <x v="16"/>
    <x v="16"/>
    <x v="2"/>
  </r>
  <r>
    <x v="3"/>
    <x v="3"/>
    <x v="588"/>
    <x v="2"/>
    <x v="42"/>
    <x v="15"/>
    <x v="1"/>
    <x v="28"/>
    <x v="323"/>
    <x v="2867"/>
    <x v="16"/>
    <x v="16"/>
    <x v="2"/>
  </r>
  <r>
    <x v="3"/>
    <x v="3"/>
    <x v="589"/>
    <x v="2"/>
    <x v="42"/>
    <x v="15"/>
    <x v="5"/>
    <x v="28"/>
    <x v="309"/>
    <x v="2763"/>
    <x v="16"/>
    <x v="16"/>
    <x v="2"/>
  </r>
  <r>
    <x v="3"/>
    <x v="3"/>
    <x v="590"/>
    <x v="2"/>
    <x v="42"/>
    <x v="15"/>
    <x v="4"/>
    <x v="28"/>
    <x v="304"/>
    <x v="2682"/>
    <x v="26"/>
    <x v="26"/>
    <x v="2"/>
  </r>
  <r>
    <x v="3"/>
    <x v="3"/>
    <x v="591"/>
    <x v="2"/>
    <x v="42"/>
    <x v="15"/>
    <x v="0"/>
    <x v="33"/>
    <x v="254"/>
    <x v="2469"/>
    <x v="11"/>
    <x v="11"/>
    <x v="2"/>
  </r>
  <r>
    <x v="3"/>
    <x v="3"/>
    <x v="592"/>
    <x v="2"/>
    <x v="42"/>
    <x v="15"/>
    <x v="3"/>
    <x v="28"/>
    <x v="311"/>
    <x v="2793"/>
    <x v="31"/>
    <x v="31"/>
    <x v="2"/>
  </r>
  <r>
    <x v="3"/>
    <x v="3"/>
    <x v="593"/>
    <x v="2"/>
    <x v="42"/>
    <x v="15"/>
    <x v="2"/>
    <x v="23"/>
    <x v="325"/>
    <x v="2848"/>
    <x v="21"/>
    <x v="21"/>
    <x v="2"/>
  </r>
  <r>
    <x v="3"/>
    <x v="3"/>
    <x v="594"/>
    <x v="2"/>
    <x v="42"/>
    <x v="15"/>
    <x v="1"/>
    <x v="33"/>
    <x v="325"/>
    <x v="2895"/>
    <x v="21"/>
    <x v="21"/>
    <x v="2"/>
  </r>
  <r>
    <x v="3"/>
    <x v="3"/>
    <x v="595"/>
    <x v="2"/>
    <x v="42"/>
    <x v="15"/>
    <x v="5"/>
    <x v="23"/>
    <x v="311"/>
    <x v="2686"/>
    <x v="21"/>
    <x v="21"/>
    <x v="2"/>
  </r>
  <r>
    <x v="3"/>
    <x v="3"/>
    <x v="596"/>
    <x v="2"/>
    <x v="42"/>
    <x v="15"/>
    <x v="4"/>
    <x v="28"/>
    <x v="300"/>
    <x v="2637"/>
    <x v="31"/>
    <x v="31"/>
    <x v="2"/>
  </r>
  <r>
    <x v="3"/>
    <x v="3"/>
    <x v="597"/>
    <x v="2"/>
    <x v="42"/>
    <x v="15"/>
    <x v="0"/>
    <x v="33"/>
    <x v="254"/>
    <x v="2469"/>
    <x v="16"/>
    <x v="16"/>
    <x v="2"/>
  </r>
  <r>
    <x v="3"/>
    <x v="3"/>
    <x v="598"/>
    <x v="2"/>
    <x v="42"/>
    <x v="15"/>
    <x v="3"/>
    <x v="28"/>
    <x v="307"/>
    <x v="2727"/>
    <x v="36"/>
    <x v="36"/>
    <x v="2"/>
  </r>
  <r>
    <x v="3"/>
    <x v="3"/>
    <x v="599"/>
    <x v="2"/>
    <x v="42"/>
    <x v="15"/>
    <x v="2"/>
    <x v="13"/>
    <x v="327"/>
    <x v="2637"/>
    <x v="21"/>
    <x v="21"/>
    <x v="2"/>
  </r>
  <r>
    <x v="3"/>
    <x v="3"/>
    <x v="600"/>
    <x v="2"/>
    <x v="42"/>
    <x v="15"/>
    <x v="1"/>
    <x v="23"/>
    <x v="327"/>
    <x v="2852"/>
    <x v="21"/>
    <x v="21"/>
    <x v="2"/>
  </r>
  <r>
    <x v="3"/>
    <x v="3"/>
    <x v="601"/>
    <x v="2"/>
    <x v="42"/>
    <x v="15"/>
    <x v="5"/>
    <x v="18"/>
    <x v="313"/>
    <x v="2574"/>
    <x v="21"/>
    <x v="21"/>
    <x v="2"/>
  </r>
  <r>
    <x v="3"/>
    <x v="3"/>
    <x v="602"/>
    <x v="2"/>
    <x v="42"/>
    <x v="15"/>
    <x v="4"/>
    <x v="23"/>
    <x v="304"/>
    <x v="2535"/>
    <x v="31"/>
    <x v="31"/>
    <x v="2"/>
  </r>
  <r>
    <x v="3"/>
    <x v="3"/>
    <x v="603"/>
    <x v="2"/>
    <x v="42"/>
    <x v="15"/>
    <x v="0"/>
    <x v="28"/>
    <x v="273"/>
    <x v="2398"/>
    <x v="16"/>
    <x v="16"/>
    <x v="2"/>
  </r>
  <r>
    <x v="3"/>
    <x v="3"/>
    <x v="604"/>
    <x v="2"/>
    <x v="42"/>
    <x v="15"/>
    <x v="3"/>
    <x v="23"/>
    <x v="319"/>
    <x v="2805"/>
    <x v="36"/>
    <x v="36"/>
    <x v="2"/>
  </r>
  <r>
    <x v="3"/>
    <x v="3"/>
    <x v="605"/>
    <x v="2"/>
    <x v="42"/>
    <x v="15"/>
    <x v="2"/>
    <x v="13"/>
    <x v="331"/>
    <x v="2686"/>
    <x v="21"/>
    <x v="21"/>
    <x v="2"/>
  </r>
  <r>
    <x v="3"/>
    <x v="3"/>
    <x v="606"/>
    <x v="2"/>
    <x v="42"/>
    <x v="15"/>
    <x v="1"/>
    <x v="23"/>
    <x v="333"/>
    <x v="2872"/>
    <x v="21"/>
    <x v="21"/>
    <x v="2"/>
  </r>
  <r>
    <x v="3"/>
    <x v="3"/>
    <x v="607"/>
    <x v="2"/>
    <x v="42"/>
    <x v="15"/>
    <x v="5"/>
    <x v="18"/>
    <x v="321"/>
    <x v="2723"/>
    <x v="21"/>
    <x v="21"/>
    <x v="2"/>
  </r>
  <r>
    <x v="3"/>
    <x v="3"/>
    <x v="608"/>
    <x v="2"/>
    <x v="42"/>
    <x v="15"/>
    <x v="4"/>
    <x v="28"/>
    <x v="315"/>
    <x v="2829"/>
    <x v="31"/>
    <x v="31"/>
    <x v="2"/>
  </r>
  <r>
    <x v="3"/>
    <x v="3"/>
    <x v="609"/>
    <x v="2"/>
    <x v="42"/>
    <x v="15"/>
    <x v="0"/>
    <x v="43"/>
    <x v="307"/>
    <x v="2866"/>
    <x v="16"/>
    <x v="16"/>
    <x v="2"/>
  </r>
  <r>
    <x v="3"/>
    <x v="3"/>
    <x v="610"/>
    <x v="2"/>
    <x v="42"/>
    <x v="15"/>
    <x v="3"/>
    <x v="38"/>
    <x v="335"/>
    <x v="2947"/>
    <x v="36"/>
    <x v="36"/>
    <x v="2"/>
  </r>
  <r>
    <x v="3"/>
    <x v="3"/>
    <x v="611"/>
    <x v="2"/>
    <x v="42"/>
    <x v="15"/>
    <x v="2"/>
    <x v="38"/>
    <x v="335"/>
    <x v="2947"/>
    <x v="21"/>
    <x v="21"/>
    <x v="2"/>
  </r>
  <r>
    <x v="3"/>
    <x v="3"/>
    <x v="612"/>
    <x v="2"/>
    <x v="42"/>
    <x v="15"/>
    <x v="1"/>
    <x v="43"/>
    <x v="335"/>
    <x v="2966"/>
    <x v="21"/>
    <x v="21"/>
    <x v="2"/>
  </r>
  <r>
    <x v="3"/>
    <x v="3"/>
    <x v="613"/>
    <x v="2"/>
    <x v="42"/>
    <x v="15"/>
    <x v="5"/>
    <x v="38"/>
    <x v="323"/>
    <x v="2910"/>
    <x v="21"/>
    <x v="21"/>
    <x v="2"/>
  </r>
  <r>
    <x v="3"/>
    <x v="3"/>
    <x v="614"/>
    <x v="2"/>
    <x v="42"/>
    <x v="15"/>
    <x v="4"/>
    <x v="38"/>
    <x v="319"/>
    <x v="2895"/>
    <x v="31"/>
    <x v="31"/>
    <x v="2"/>
  </r>
  <r>
    <x v="3"/>
    <x v="3"/>
    <x v="615"/>
    <x v="2"/>
    <x v="42"/>
    <x v="15"/>
    <x v="0"/>
    <x v="43"/>
    <x v="311"/>
    <x v="2886"/>
    <x v="16"/>
    <x v="16"/>
    <x v="2"/>
  </r>
  <r>
    <x v="3"/>
    <x v="3"/>
    <x v="616"/>
    <x v="2"/>
    <x v="42"/>
    <x v="15"/>
    <x v="3"/>
    <x v="48"/>
    <x v="340"/>
    <x v="3001"/>
    <x v="36"/>
    <x v="36"/>
    <x v="2"/>
  </r>
  <r>
    <x v="3"/>
    <x v="3"/>
    <x v="617"/>
    <x v="2"/>
    <x v="42"/>
    <x v="15"/>
    <x v="2"/>
    <x v="38"/>
    <x v="337"/>
    <x v="2952"/>
    <x v="26"/>
    <x v="26"/>
    <x v="2"/>
  </r>
  <r>
    <x v="3"/>
    <x v="3"/>
    <x v="618"/>
    <x v="2"/>
    <x v="42"/>
    <x v="15"/>
    <x v="1"/>
    <x v="43"/>
    <x v="337"/>
    <x v="2972"/>
    <x v="26"/>
    <x v="26"/>
    <x v="2"/>
  </r>
  <r>
    <x v="3"/>
    <x v="3"/>
    <x v="619"/>
    <x v="2"/>
    <x v="42"/>
    <x v="15"/>
    <x v="5"/>
    <x v="38"/>
    <x v="346"/>
    <x v="2984"/>
    <x v="26"/>
    <x v="26"/>
    <x v="2"/>
  </r>
  <r>
    <x v="3"/>
    <x v="3"/>
    <x v="620"/>
    <x v="2"/>
    <x v="42"/>
    <x v="15"/>
    <x v="4"/>
    <x v="38"/>
    <x v="317"/>
    <x v="2889"/>
    <x v="36"/>
    <x v="36"/>
    <x v="2"/>
  </r>
  <r>
    <x v="3"/>
    <x v="3"/>
    <x v="621"/>
    <x v="2"/>
    <x v="42"/>
    <x v="15"/>
    <x v="0"/>
    <x v="43"/>
    <x v="317"/>
    <x v="2907"/>
    <x v="21"/>
    <x v="21"/>
    <x v="2"/>
  </r>
  <r>
    <x v="3"/>
    <x v="3"/>
    <x v="622"/>
    <x v="2"/>
    <x v="42"/>
    <x v="15"/>
    <x v="3"/>
    <x v="53"/>
    <x v="338"/>
    <x v="3014"/>
    <x v="41"/>
    <x v="41"/>
    <x v="2"/>
  </r>
  <r>
    <x v="3"/>
    <x v="3"/>
    <x v="623"/>
    <x v="2"/>
    <x v="42"/>
    <x v="15"/>
    <x v="2"/>
    <x v="43"/>
    <x v="335"/>
    <x v="2966"/>
    <x v="26"/>
    <x v="26"/>
    <x v="2"/>
  </r>
  <r>
    <x v="3"/>
    <x v="3"/>
    <x v="624"/>
    <x v="2"/>
    <x v="42"/>
    <x v="15"/>
    <x v="1"/>
    <x v="48"/>
    <x v="335"/>
    <x v="2985"/>
    <x v="26"/>
    <x v="26"/>
    <x v="2"/>
  </r>
  <r>
    <x v="3"/>
    <x v="3"/>
    <x v="625"/>
    <x v="2"/>
    <x v="42"/>
    <x v="15"/>
    <x v="5"/>
    <x v="43"/>
    <x v="346"/>
    <x v="3003"/>
    <x v="26"/>
    <x v="26"/>
    <x v="2"/>
  </r>
  <r>
    <x v="3"/>
    <x v="3"/>
    <x v="626"/>
    <x v="2"/>
    <x v="42"/>
    <x v="15"/>
    <x v="4"/>
    <x v="43"/>
    <x v="313"/>
    <x v="2892"/>
    <x v="36"/>
    <x v="36"/>
    <x v="2"/>
  </r>
  <r>
    <x v="3"/>
    <x v="3"/>
    <x v="627"/>
    <x v="2"/>
    <x v="42"/>
    <x v="15"/>
    <x v="0"/>
    <x v="48"/>
    <x v="313"/>
    <x v="2908"/>
    <x v="21"/>
    <x v="21"/>
    <x v="2"/>
  </r>
  <r>
    <x v="3"/>
    <x v="3"/>
    <x v="628"/>
    <x v="2"/>
    <x v="42"/>
    <x v="15"/>
    <x v="3"/>
    <x v="53"/>
    <x v="333"/>
    <x v="2993"/>
    <x v="41"/>
    <x v="41"/>
    <x v="2"/>
  </r>
  <r>
    <x v="3"/>
    <x v="3"/>
    <x v="629"/>
    <x v="2"/>
    <x v="42"/>
    <x v="15"/>
    <x v="2"/>
    <x v="48"/>
    <x v="329"/>
    <x v="2965"/>
    <x v="26"/>
    <x v="26"/>
    <x v="2"/>
  </r>
  <r>
    <x v="3"/>
    <x v="3"/>
    <x v="630"/>
    <x v="2"/>
    <x v="42"/>
    <x v="15"/>
    <x v="1"/>
    <x v="48"/>
    <x v="325"/>
    <x v="2952"/>
    <x v="26"/>
    <x v="26"/>
    <x v="2"/>
  </r>
  <r>
    <x v="3"/>
    <x v="3"/>
    <x v="631"/>
    <x v="2"/>
    <x v="42"/>
    <x v="15"/>
    <x v="5"/>
    <x v="53"/>
    <x v="329"/>
    <x v="2982"/>
    <x v="26"/>
    <x v="26"/>
    <x v="2"/>
  </r>
  <r>
    <x v="3"/>
    <x v="3"/>
    <x v="632"/>
    <x v="2"/>
    <x v="42"/>
    <x v="15"/>
    <x v="4"/>
    <x v="53"/>
    <x v="307"/>
    <x v="2895"/>
    <x v="36"/>
    <x v="36"/>
    <x v="2"/>
  </r>
  <r>
    <x v="3"/>
    <x v="3"/>
    <x v="633"/>
    <x v="2"/>
    <x v="42"/>
    <x v="15"/>
    <x v="0"/>
    <x v="48"/>
    <x v="307"/>
    <x v="2884"/>
    <x v="21"/>
    <x v="21"/>
    <x v="2"/>
  </r>
  <r>
    <x v="3"/>
    <x v="3"/>
    <x v="634"/>
    <x v="2"/>
    <x v="42"/>
    <x v="15"/>
    <x v="3"/>
    <x v="43"/>
    <x v="325"/>
    <x v="2935"/>
    <x v="41"/>
    <x v="41"/>
    <x v="2"/>
  </r>
  <r>
    <x v="3"/>
    <x v="3"/>
    <x v="635"/>
    <x v="2"/>
    <x v="42"/>
    <x v="15"/>
    <x v="2"/>
    <x v="33"/>
    <x v="321"/>
    <x v="2886"/>
    <x v="26"/>
    <x v="26"/>
    <x v="2"/>
  </r>
  <r>
    <x v="3"/>
    <x v="3"/>
    <x v="636"/>
    <x v="2"/>
    <x v="42"/>
    <x v="15"/>
    <x v="1"/>
    <x v="33"/>
    <x v="321"/>
    <x v="2886"/>
    <x v="26"/>
    <x v="26"/>
    <x v="2"/>
  </r>
  <r>
    <x v="3"/>
    <x v="3"/>
    <x v="637"/>
    <x v="2"/>
    <x v="42"/>
    <x v="15"/>
    <x v="5"/>
    <x v="38"/>
    <x v="317"/>
    <x v="2889"/>
    <x v="26"/>
    <x v="26"/>
    <x v="2"/>
  </r>
  <r>
    <x v="3"/>
    <x v="3"/>
    <x v="638"/>
    <x v="2"/>
    <x v="42"/>
    <x v="15"/>
    <x v="4"/>
    <x v="38"/>
    <x v="304"/>
    <x v="2827"/>
    <x v="36"/>
    <x v="36"/>
    <x v="2"/>
  </r>
  <r>
    <x v="3"/>
    <x v="3"/>
    <x v="639"/>
    <x v="2"/>
    <x v="42"/>
    <x v="15"/>
    <x v="0"/>
    <x v="33"/>
    <x v="300"/>
    <x v="2737"/>
    <x v="21"/>
    <x v="21"/>
    <x v="2"/>
  </r>
  <r>
    <x v="3"/>
    <x v="3"/>
    <x v="640"/>
    <x v="2"/>
    <x v="42"/>
    <x v="15"/>
    <x v="3"/>
    <x v="43"/>
    <x v="317"/>
    <x v="2907"/>
    <x v="41"/>
    <x v="41"/>
    <x v="2"/>
  </r>
  <r>
    <x v="3"/>
    <x v="3"/>
    <x v="641"/>
    <x v="2"/>
    <x v="42"/>
    <x v="15"/>
    <x v="2"/>
    <x v="33"/>
    <x v="329"/>
    <x v="2909"/>
    <x v="26"/>
    <x v="26"/>
    <x v="2"/>
  </r>
  <r>
    <x v="3"/>
    <x v="3"/>
    <x v="642"/>
    <x v="2"/>
    <x v="42"/>
    <x v="15"/>
    <x v="1"/>
    <x v="33"/>
    <x v="329"/>
    <x v="2909"/>
    <x v="26"/>
    <x v="26"/>
    <x v="2"/>
  </r>
  <r>
    <x v="3"/>
    <x v="3"/>
    <x v="643"/>
    <x v="2"/>
    <x v="42"/>
    <x v="15"/>
    <x v="5"/>
    <x v="58"/>
    <x v="323"/>
    <x v="2975"/>
    <x v="26"/>
    <x v="26"/>
    <x v="2"/>
  </r>
  <r>
    <x v="3"/>
    <x v="3"/>
    <x v="644"/>
    <x v="2"/>
    <x v="42"/>
    <x v="15"/>
    <x v="4"/>
    <x v="58"/>
    <x v="311"/>
    <x v="2929"/>
    <x v="36"/>
    <x v="36"/>
    <x v="2"/>
  </r>
  <r>
    <x v="3"/>
    <x v="3"/>
    <x v="645"/>
    <x v="2"/>
    <x v="42"/>
    <x v="15"/>
    <x v="0"/>
    <x v="53"/>
    <x v="309"/>
    <x v="2906"/>
    <x v="21"/>
    <x v="21"/>
    <x v="2"/>
  </r>
  <r>
    <x v="3"/>
    <x v="3"/>
    <x v="646"/>
    <x v="2"/>
    <x v="42"/>
    <x v="15"/>
    <x v="3"/>
    <x v="63"/>
    <x v="325"/>
    <x v="2997"/>
    <x v="41"/>
    <x v="41"/>
    <x v="2"/>
  </r>
  <r>
    <x v="3"/>
    <x v="3"/>
    <x v="647"/>
    <x v="2"/>
    <x v="42"/>
    <x v="15"/>
    <x v="2"/>
    <x v="53"/>
    <x v="337"/>
    <x v="3006"/>
    <x v="26"/>
    <x v="26"/>
    <x v="2"/>
  </r>
  <r>
    <x v="3"/>
    <x v="3"/>
    <x v="648"/>
    <x v="2"/>
    <x v="42"/>
    <x v="15"/>
    <x v="1"/>
    <x v="53"/>
    <x v="337"/>
    <x v="3006"/>
    <x v="26"/>
    <x v="26"/>
    <x v="2"/>
  </r>
  <r>
    <x v="3"/>
    <x v="3"/>
    <x v="649"/>
    <x v="2"/>
    <x v="42"/>
    <x v="15"/>
    <x v="5"/>
    <x v="58"/>
    <x v="329"/>
    <x v="2996"/>
    <x v="26"/>
    <x v="26"/>
    <x v="2"/>
  </r>
  <r>
    <x v="3"/>
    <x v="3"/>
    <x v="650"/>
    <x v="2"/>
    <x v="42"/>
    <x v="15"/>
    <x v="4"/>
    <x v="58"/>
    <x v="317"/>
    <x v="2954"/>
    <x v="36"/>
    <x v="36"/>
    <x v="2"/>
  </r>
  <r>
    <x v="3"/>
    <x v="3"/>
    <x v="651"/>
    <x v="2"/>
    <x v="42"/>
    <x v="15"/>
    <x v="0"/>
    <x v="53"/>
    <x v="313"/>
    <x v="2924"/>
    <x v="21"/>
    <x v="21"/>
    <x v="2"/>
  </r>
  <r>
    <x v="3"/>
    <x v="3"/>
    <x v="652"/>
    <x v="2"/>
    <x v="42"/>
    <x v="15"/>
    <x v="3"/>
    <x v="63"/>
    <x v="333"/>
    <x v="3021"/>
    <x v="41"/>
    <x v="41"/>
    <x v="2"/>
  </r>
  <r>
    <x v="1"/>
    <x v="1"/>
    <x v="653"/>
    <x v="2"/>
    <x v="42"/>
    <x v="15"/>
    <x v="2"/>
    <x v="38"/>
    <x v="304"/>
    <x v="2827"/>
    <x v="41"/>
    <x v="41"/>
    <x v="2"/>
  </r>
  <r>
    <x v="1"/>
    <x v="1"/>
    <x v="654"/>
    <x v="2"/>
    <x v="42"/>
    <x v="15"/>
    <x v="1"/>
    <x v="38"/>
    <x v="194"/>
    <x v="2227"/>
    <x v="21"/>
    <x v="21"/>
    <x v="2"/>
  </r>
  <r>
    <x v="1"/>
    <x v="1"/>
    <x v="655"/>
    <x v="2"/>
    <x v="42"/>
    <x v="15"/>
    <x v="5"/>
    <x v="28"/>
    <x v="194"/>
    <x v="1857"/>
    <x v="26"/>
    <x v="26"/>
    <x v="2"/>
  </r>
  <r>
    <x v="1"/>
    <x v="1"/>
    <x v="656"/>
    <x v="2"/>
    <x v="42"/>
    <x v="15"/>
    <x v="4"/>
    <x v="33"/>
    <x v="62"/>
    <x v="672"/>
    <x v="26"/>
    <x v="26"/>
    <x v="2"/>
  </r>
  <r>
    <x v="1"/>
    <x v="1"/>
    <x v="657"/>
    <x v="1"/>
    <x v="37"/>
    <x v="40"/>
    <x v="0"/>
    <x v="48"/>
    <x v="105"/>
    <x v="1646"/>
    <x v="21"/>
    <x v="21"/>
    <x v="2"/>
  </r>
  <r>
    <x v="1"/>
    <x v="1"/>
    <x v="658"/>
    <x v="1"/>
    <x v="37"/>
    <x v="40"/>
    <x v="3"/>
    <x v="38"/>
    <x v="194"/>
    <x v="2227"/>
    <x v="16"/>
    <x v="16"/>
    <x v="2"/>
  </r>
  <r>
    <x v="1"/>
    <x v="1"/>
    <x v="659"/>
    <x v="1"/>
    <x v="37"/>
    <x v="40"/>
    <x v="2"/>
    <x v="38"/>
    <x v="309"/>
    <x v="2855"/>
    <x v="41"/>
    <x v="41"/>
    <x v="2"/>
  </r>
  <r>
    <x v="1"/>
    <x v="1"/>
    <x v="660"/>
    <x v="1"/>
    <x v="37"/>
    <x v="40"/>
    <x v="1"/>
    <x v="38"/>
    <x v="105"/>
    <x v="1355"/>
    <x v="21"/>
    <x v="21"/>
    <x v="2"/>
  </r>
  <r>
    <x v="1"/>
    <x v="1"/>
    <x v="661"/>
    <x v="1"/>
    <x v="37"/>
    <x v="40"/>
    <x v="5"/>
    <x v="28"/>
    <x v="152"/>
    <x v="1471"/>
    <x v="26"/>
    <x v="26"/>
    <x v="2"/>
  </r>
  <r>
    <x v="1"/>
    <x v="1"/>
    <x v="662"/>
    <x v="1"/>
    <x v="37"/>
    <x v="40"/>
    <x v="4"/>
    <x v="33"/>
    <x v="39"/>
    <x v="388"/>
    <x v="26"/>
    <x v="26"/>
    <x v="2"/>
  </r>
  <r>
    <x v="1"/>
    <x v="1"/>
    <x v="663"/>
    <x v="1"/>
    <x v="37"/>
    <x v="40"/>
    <x v="0"/>
    <x v="48"/>
    <x v="105"/>
    <x v="1646"/>
    <x v="21"/>
    <x v="21"/>
    <x v="2"/>
  </r>
  <r>
    <x v="1"/>
    <x v="1"/>
    <x v="664"/>
    <x v="1"/>
    <x v="37"/>
    <x v="40"/>
    <x v="3"/>
    <x v="38"/>
    <x v="194"/>
    <x v="2227"/>
    <x v="16"/>
    <x v="16"/>
    <x v="2"/>
  </r>
  <r>
    <x v="1"/>
    <x v="1"/>
    <x v="665"/>
    <x v="1"/>
    <x v="37"/>
    <x v="40"/>
    <x v="2"/>
    <x v="43"/>
    <x v="306"/>
    <x v="2863"/>
    <x v="41"/>
    <x v="41"/>
    <x v="2"/>
  </r>
  <r>
    <x v="1"/>
    <x v="1"/>
    <x v="666"/>
    <x v="1"/>
    <x v="37"/>
    <x v="40"/>
    <x v="1"/>
    <x v="43"/>
    <x v="129"/>
    <x v="1779"/>
    <x v="21"/>
    <x v="21"/>
    <x v="2"/>
  </r>
  <r>
    <x v="1"/>
    <x v="1"/>
    <x v="667"/>
    <x v="1"/>
    <x v="37"/>
    <x v="40"/>
    <x v="5"/>
    <x v="33"/>
    <x v="152"/>
    <x v="1674"/>
    <x v="26"/>
    <x v="26"/>
    <x v="2"/>
  </r>
  <r>
    <x v="1"/>
    <x v="1"/>
    <x v="668"/>
    <x v="1"/>
    <x v="37"/>
    <x v="40"/>
    <x v="4"/>
    <x v="38"/>
    <x v="15"/>
    <x v="146"/>
    <x v="26"/>
    <x v="26"/>
    <x v="2"/>
  </r>
  <r>
    <x v="1"/>
    <x v="1"/>
    <x v="669"/>
    <x v="1"/>
    <x v="37"/>
    <x v="40"/>
    <x v="0"/>
    <x v="53"/>
    <x v="62"/>
    <x v="1086"/>
    <x v="16"/>
    <x v="16"/>
    <x v="2"/>
  </r>
  <r>
    <x v="1"/>
    <x v="1"/>
    <x v="670"/>
    <x v="1"/>
    <x v="37"/>
    <x v="40"/>
    <x v="3"/>
    <x v="43"/>
    <x v="152"/>
    <x v="2022"/>
    <x v="11"/>
    <x v="11"/>
    <x v="2"/>
  </r>
  <r>
    <x v="1"/>
    <x v="1"/>
    <x v="671"/>
    <x v="1"/>
    <x v="37"/>
    <x v="40"/>
    <x v="2"/>
    <x v="43"/>
    <x v="307"/>
    <x v="2866"/>
    <x v="36"/>
    <x v="36"/>
    <x v="2"/>
  </r>
  <r>
    <x v="1"/>
    <x v="1"/>
    <x v="672"/>
    <x v="1"/>
    <x v="37"/>
    <x v="40"/>
    <x v="1"/>
    <x v="43"/>
    <x v="129"/>
    <x v="1779"/>
    <x v="16"/>
    <x v="16"/>
    <x v="2"/>
  </r>
  <r>
    <x v="1"/>
    <x v="1"/>
    <x v="673"/>
    <x v="1"/>
    <x v="37"/>
    <x v="40"/>
    <x v="5"/>
    <x v="33"/>
    <x v="129"/>
    <x v="1441"/>
    <x v="21"/>
    <x v="21"/>
    <x v="2"/>
  </r>
  <r>
    <x v="1"/>
    <x v="1"/>
    <x v="674"/>
    <x v="1"/>
    <x v="37"/>
    <x v="40"/>
    <x v="4"/>
    <x v="38"/>
    <x v="62"/>
    <x v="784"/>
    <x v="21"/>
    <x v="21"/>
    <x v="2"/>
  </r>
  <r>
    <x v="1"/>
    <x v="1"/>
    <x v="675"/>
    <x v="1"/>
    <x v="37"/>
    <x v="40"/>
    <x v="0"/>
    <x v="53"/>
    <x v="62"/>
    <x v="1086"/>
    <x v="16"/>
    <x v="16"/>
    <x v="2"/>
  </r>
  <r>
    <x v="1"/>
    <x v="1"/>
    <x v="676"/>
    <x v="1"/>
    <x v="37"/>
    <x v="40"/>
    <x v="3"/>
    <x v="43"/>
    <x v="174"/>
    <x v="2206"/>
    <x v="11"/>
    <x v="11"/>
    <x v="2"/>
  </r>
  <r>
    <x v="1"/>
    <x v="1"/>
    <x v="677"/>
    <x v="1"/>
    <x v="37"/>
    <x v="40"/>
    <x v="2"/>
    <x v="53"/>
    <x v="308"/>
    <x v="2905"/>
    <x v="36"/>
    <x v="36"/>
    <x v="2"/>
  </r>
  <r>
    <x v="1"/>
    <x v="1"/>
    <x v="678"/>
    <x v="1"/>
    <x v="37"/>
    <x v="40"/>
    <x v="1"/>
    <x v="53"/>
    <x v="152"/>
    <x v="2282"/>
    <x v="16"/>
    <x v="16"/>
    <x v="2"/>
  </r>
  <r>
    <x v="1"/>
    <x v="1"/>
    <x v="679"/>
    <x v="1"/>
    <x v="37"/>
    <x v="40"/>
    <x v="5"/>
    <x v="48"/>
    <x v="129"/>
    <x v="1929"/>
    <x v="21"/>
    <x v="21"/>
    <x v="2"/>
  </r>
  <r>
    <x v="1"/>
    <x v="1"/>
    <x v="680"/>
    <x v="1"/>
    <x v="37"/>
    <x v="40"/>
    <x v="4"/>
    <x v="48"/>
    <x v="82"/>
    <x v="1321"/>
    <x v="21"/>
    <x v="21"/>
    <x v="2"/>
  </r>
  <r>
    <x v="1"/>
    <x v="1"/>
    <x v="681"/>
    <x v="1"/>
    <x v="37"/>
    <x v="40"/>
    <x v="0"/>
    <x v="58"/>
    <x v="105"/>
    <x v="1909"/>
    <x v="16"/>
    <x v="16"/>
    <x v="2"/>
  </r>
  <r>
    <x v="1"/>
    <x v="1"/>
    <x v="682"/>
    <x v="1"/>
    <x v="37"/>
    <x v="40"/>
    <x v="3"/>
    <x v="63"/>
    <x v="212"/>
    <x v="2793"/>
    <x v="16"/>
    <x v="16"/>
    <x v="2"/>
  </r>
  <r>
    <x v="1"/>
    <x v="1"/>
    <x v="683"/>
    <x v="1"/>
    <x v="37"/>
    <x v="40"/>
    <x v="2"/>
    <x v="58"/>
    <x v="311"/>
    <x v="2929"/>
    <x v="41"/>
    <x v="41"/>
    <x v="2"/>
  </r>
  <r>
    <x v="1"/>
    <x v="1"/>
    <x v="684"/>
    <x v="1"/>
    <x v="37"/>
    <x v="40"/>
    <x v="1"/>
    <x v="53"/>
    <x v="212"/>
    <x v="2686"/>
    <x v="21"/>
    <x v="21"/>
    <x v="2"/>
  </r>
  <r>
    <x v="1"/>
    <x v="1"/>
    <x v="685"/>
    <x v="1"/>
    <x v="37"/>
    <x v="40"/>
    <x v="5"/>
    <x v="48"/>
    <x v="152"/>
    <x v="2158"/>
    <x v="26"/>
    <x v="26"/>
    <x v="2"/>
  </r>
  <r>
    <x v="1"/>
    <x v="1"/>
    <x v="686"/>
    <x v="1"/>
    <x v="37"/>
    <x v="40"/>
    <x v="4"/>
    <x v="48"/>
    <x v="129"/>
    <x v="1929"/>
    <x v="26"/>
    <x v="26"/>
    <x v="2"/>
  </r>
  <r>
    <x v="1"/>
    <x v="1"/>
    <x v="687"/>
    <x v="1"/>
    <x v="37"/>
    <x v="40"/>
    <x v="0"/>
    <x v="58"/>
    <x v="129"/>
    <x v="2173"/>
    <x v="21"/>
    <x v="21"/>
    <x v="2"/>
  </r>
  <r>
    <x v="1"/>
    <x v="1"/>
    <x v="688"/>
    <x v="1"/>
    <x v="37"/>
    <x v="40"/>
    <x v="3"/>
    <x v="63"/>
    <x v="254"/>
    <x v="2852"/>
    <x v="16"/>
    <x v="16"/>
    <x v="2"/>
  </r>
  <r>
    <x v="1"/>
    <x v="1"/>
    <x v="689"/>
    <x v="1"/>
    <x v="37"/>
    <x v="40"/>
    <x v="2"/>
    <x v="58"/>
    <x v="311"/>
    <x v="2929"/>
    <x v="41"/>
    <x v="41"/>
    <x v="2"/>
  </r>
  <r>
    <x v="1"/>
    <x v="1"/>
    <x v="690"/>
    <x v="1"/>
    <x v="37"/>
    <x v="40"/>
    <x v="1"/>
    <x v="53"/>
    <x v="254"/>
    <x v="2805"/>
    <x v="21"/>
    <x v="21"/>
    <x v="2"/>
  </r>
  <r>
    <x v="1"/>
    <x v="1"/>
    <x v="691"/>
    <x v="1"/>
    <x v="37"/>
    <x v="40"/>
    <x v="5"/>
    <x v="48"/>
    <x v="194"/>
    <x v="2506"/>
    <x v="26"/>
    <x v="26"/>
    <x v="2"/>
  </r>
  <r>
    <x v="1"/>
    <x v="1"/>
    <x v="692"/>
    <x v="1"/>
    <x v="37"/>
    <x v="40"/>
    <x v="4"/>
    <x v="48"/>
    <x v="152"/>
    <x v="2158"/>
    <x v="26"/>
    <x v="26"/>
    <x v="2"/>
  </r>
  <r>
    <x v="1"/>
    <x v="1"/>
    <x v="693"/>
    <x v="1"/>
    <x v="37"/>
    <x v="40"/>
    <x v="0"/>
    <x v="58"/>
    <x v="174"/>
    <x v="2560"/>
    <x v="21"/>
    <x v="21"/>
    <x v="2"/>
  </r>
  <r>
    <x v="1"/>
    <x v="1"/>
    <x v="694"/>
    <x v="1"/>
    <x v="37"/>
    <x v="40"/>
    <x v="3"/>
    <x v="63"/>
    <x v="294"/>
    <x v="2892"/>
    <x v="16"/>
    <x v="16"/>
    <x v="2"/>
  </r>
  <r>
    <x v="1"/>
    <x v="1"/>
    <x v="695"/>
    <x v="1"/>
    <x v="37"/>
    <x v="40"/>
    <x v="2"/>
    <x v="58"/>
    <x v="313"/>
    <x v="2937"/>
    <x v="41"/>
    <x v="41"/>
    <x v="2"/>
  </r>
  <r>
    <x v="1"/>
    <x v="1"/>
    <x v="696"/>
    <x v="1"/>
    <x v="37"/>
    <x v="40"/>
    <x v="1"/>
    <x v="53"/>
    <x v="254"/>
    <x v="2805"/>
    <x v="21"/>
    <x v="21"/>
    <x v="2"/>
  </r>
  <r>
    <x v="1"/>
    <x v="1"/>
    <x v="697"/>
    <x v="1"/>
    <x v="37"/>
    <x v="40"/>
    <x v="5"/>
    <x v="48"/>
    <x v="194"/>
    <x v="2506"/>
    <x v="26"/>
    <x v="26"/>
    <x v="2"/>
  </r>
  <r>
    <x v="1"/>
    <x v="1"/>
    <x v="698"/>
    <x v="1"/>
    <x v="37"/>
    <x v="40"/>
    <x v="4"/>
    <x v="48"/>
    <x v="174"/>
    <x v="2350"/>
    <x v="26"/>
    <x v="26"/>
    <x v="2"/>
  </r>
  <r>
    <x v="1"/>
    <x v="1"/>
    <x v="699"/>
    <x v="1"/>
    <x v="37"/>
    <x v="40"/>
    <x v="0"/>
    <x v="58"/>
    <x v="152"/>
    <x v="2398"/>
    <x v="21"/>
    <x v="21"/>
    <x v="2"/>
  </r>
  <r>
    <x v="1"/>
    <x v="1"/>
    <x v="700"/>
    <x v="1"/>
    <x v="37"/>
    <x v="40"/>
    <x v="3"/>
    <x v="63"/>
    <x v="285"/>
    <x v="2882"/>
    <x v="16"/>
    <x v="16"/>
    <x v="2"/>
  </r>
  <r>
    <x v="1"/>
    <x v="1"/>
    <x v="701"/>
    <x v="1"/>
    <x v="37"/>
    <x v="40"/>
    <x v="2"/>
    <x v="58"/>
    <x v="309"/>
    <x v="2918"/>
    <x v="36"/>
    <x v="36"/>
    <x v="2"/>
  </r>
  <r>
    <x v="1"/>
    <x v="1"/>
    <x v="702"/>
    <x v="1"/>
    <x v="37"/>
    <x v="40"/>
    <x v="1"/>
    <x v="43"/>
    <x v="231"/>
    <x v="2615"/>
    <x v="16"/>
    <x v="16"/>
    <x v="2"/>
  </r>
  <r>
    <x v="1"/>
    <x v="1"/>
    <x v="703"/>
    <x v="1"/>
    <x v="37"/>
    <x v="40"/>
    <x v="5"/>
    <x v="38"/>
    <x v="174"/>
    <x v="2064"/>
    <x v="21"/>
    <x v="21"/>
    <x v="2"/>
  </r>
  <r>
    <x v="1"/>
    <x v="1"/>
    <x v="704"/>
    <x v="1"/>
    <x v="37"/>
    <x v="40"/>
    <x v="4"/>
    <x v="38"/>
    <x v="152"/>
    <x v="1857"/>
    <x v="21"/>
    <x v="21"/>
    <x v="2"/>
  </r>
  <r>
    <x v="1"/>
    <x v="1"/>
    <x v="705"/>
    <x v="1"/>
    <x v="37"/>
    <x v="40"/>
    <x v="0"/>
    <x v="48"/>
    <x v="105"/>
    <x v="1646"/>
    <x v="16"/>
    <x v="16"/>
    <x v="2"/>
  </r>
  <r>
    <x v="1"/>
    <x v="1"/>
    <x v="706"/>
    <x v="1"/>
    <x v="37"/>
    <x v="40"/>
    <x v="3"/>
    <x v="53"/>
    <x v="194"/>
    <x v="2594"/>
    <x v="11"/>
    <x v="11"/>
    <x v="2"/>
  </r>
  <r>
    <x v="1"/>
    <x v="1"/>
    <x v="707"/>
    <x v="1"/>
    <x v="37"/>
    <x v="40"/>
    <x v="2"/>
    <x v="53"/>
    <x v="300"/>
    <x v="2880"/>
    <x v="36"/>
    <x v="36"/>
    <x v="2"/>
  </r>
  <r>
    <x v="1"/>
    <x v="1"/>
    <x v="708"/>
    <x v="1"/>
    <x v="37"/>
    <x v="40"/>
    <x v="1"/>
    <x v="43"/>
    <x v="194"/>
    <x v="2383"/>
    <x v="16"/>
    <x v="16"/>
    <x v="2"/>
  </r>
  <r>
    <x v="1"/>
    <x v="1"/>
    <x v="709"/>
    <x v="1"/>
    <x v="37"/>
    <x v="40"/>
    <x v="5"/>
    <x v="43"/>
    <x v="105"/>
    <x v="1502"/>
    <x v="21"/>
    <x v="21"/>
    <x v="2"/>
  </r>
  <r>
    <x v="1"/>
    <x v="1"/>
    <x v="710"/>
    <x v="1"/>
    <x v="37"/>
    <x v="40"/>
    <x v="4"/>
    <x v="43"/>
    <x v="82"/>
    <x v="1208"/>
    <x v="21"/>
    <x v="21"/>
    <x v="2"/>
  </r>
  <r>
    <x v="1"/>
    <x v="1"/>
    <x v="711"/>
    <x v="1"/>
    <x v="37"/>
    <x v="40"/>
    <x v="0"/>
    <x v="53"/>
    <x v="82"/>
    <x v="1441"/>
    <x v="16"/>
    <x v="16"/>
    <x v="2"/>
  </r>
  <r>
    <x v="1"/>
    <x v="1"/>
    <x v="712"/>
    <x v="1"/>
    <x v="37"/>
    <x v="40"/>
    <x v="3"/>
    <x v="58"/>
    <x v="194"/>
    <x v="2673"/>
    <x v="11"/>
    <x v="11"/>
    <x v="2"/>
  </r>
  <r>
    <x v="1"/>
    <x v="1"/>
    <x v="713"/>
    <x v="1"/>
    <x v="37"/>
    <x v="40"/>
    <x v="2"/>
    <x v="63"/>
    <x v="294"/>
    <x v="2892"/>
    <x v="41"/>
    <x v="41"/>
    <x v="2"/>
  </r>
  <r>
    <x v="1"/>
    <x v="1"/>
    <x v="714"/>
    <x v="1"/>
    <x v="37"/>
    <x v="40"/>
    <x v="1"/>
    <x v="53"/>
    <x v="174"/>
    <x v="2469"/>
    <x v="21"/>
    <x v="21"/>
    <x v="2"/>
  </r>
  <r>
    <x v="1"/>
    <x v="1"/>
    <x v="715"/>
    <x v="1"/>
    <x v="37"/>
    <x v="40"/>
    <x v="5"/>
    <x v="53"/>
    <x v="171"/>
    <x v="2435"/>
    <x v="26"/>
    <x v="26"/>
    <x v="2"/>
  </r>
  <r>
    <x v="1"/>
    <x v="1"/>
    <x v="716"/>
    <x v="1"/>
    <x v="37"/>
    <x v="40"/>
    <x v="4"/>
    <x v="53"/>
    <x v="152"/>
    <x v="2282"/>
    <x v="26"/>
    <x v="26"/>
    <x v="2"/>
  </r>
  <r>
    <x v="1"/>
    <x v="1"/>
    <x v="717"/>
    <x v="1"/>
    <x v="37"/>
    <x v="40"/>
    <x v="0"/>
    <x v="63"/>
    <x v="129"/>
    <x v="2282"/>
    <x v="21"/>
    <x v="21"/>
    <x v="2"/>
  </r>
  <r>
    <x v="1"/>
    <x v="1"/>
    <x v="718"/>
    <x v="1"/>
    <x v="37"/>
    <x v="40"/>
    <x v="3"/>
    <x v="68"/>
    <x v="212"/>
    <x v="2817"/>
    <x v="16"/>
    <x v="16"/>
    <x v="2"/>
  </r>
  <r>
    <x v="1"/>
    <x v="1"/>
    <x v="719"/>
    <x v="1"/>
    <x v="37"/>
    <x v="40"/>
    <x v="2"/>
    <x v="63"/>
    <x v="309"/>
    <x v="2934"/>
    <x v="41"/>
    <x v="41"/>
    <x v="2"/>
  </r>
  <r>
    <x v="1"/>
    <x v="1"/>
    <x v="720"/>
    <x v="1"/>
    <x v="37"/>
    <x v="40"/>
    <x v="1"/>
    <x v="53"/>
    <x v="231"/>
    <x v="2757"/>
    <x v="21"/>
    <x v="21"/>
    <x v="2"/>
  </r>
  <r>
    <x v="1"/>
    <x v="1"/>
    <x v="721"/>
    <x v="1"/>
    <x v="37"/>
    <x v="40"/>
    <x v="5"/>
    <x v="53"/>
    <x v="194"/>
    <x v="2594"/>
    <x v="26"/>
    <x v="26"/>
    <x v="2"/>
  </r>
  <r>
    <x v="1"/>
    <x v="1"/>
    <x v="722"/>
    <x v="1"/>
    <x v="37"/>
    <x v="40"/>
    <x v="4"/>
    <x v="53"/>
    <x v="152"/>
    <x v="2282"/>
    <x v="26"/>
    <x v="26"/>
    <x v="2"/>
  </r>
  <r>
    <x v="1"/>
    <x v="1"/>
    <x v="723"/>
    <x v="1"/>
    <x v="37"/>
    <x v="40"/>
    <x v="0"/>
    <x v="63"/>
    <x v="152"/>
    <x v="2491"/>
    <x v="21"/>
    <x v="21"/>
    <x v="2"/>
  </r>
  <r>
    <x v="1"/>
    <x v="1"/>
    <x v="0"/>
    <x v="1"/>
    <x v="37"/>
    <x v="40"/>
    <x v="3"/>
    <x v="68"/>
    <x v="231"/>
    <x v="2850"/>
    <x v="16"/>
    <x v="16"/>
    <x v="2"/>
  </r>
  <r>
    <x v="5"/>
    <x v="0"/>
    <x v="1"/>
    <x v="1"/>
    <x v="37"/>
    <x v="40"/>
    <x v="2"/>
    <x v="28"/>
    <x v="307"/>
    <x v="2727"/>
    <x v="26"/>
    <x v="26"/>
    <x v="2"/>
  </r>
  <r>
    <x v="5"/>
    <x v="0"/>
    <x v="2"/>
    <x v="1"/>
    <x v="37"/>
    <x v="40"/>
    <x v="1"/>
    <x v="38"/>
    <x v="307"/>
    <x v="2848"/>
    <x v="11"/>
    <x v="11"/>
    <x v="2"/>
  </r>
  <r>
    <x v="5"/>
    <x v="0"/>
    <x v="3"/>
    <x v="1"/>
    <x v="37"/>
    <x v="40"/>
    <x v="5"/>
    <x v="38"/>
    <x v="307"/>
    <x v="2848"/>
    <x v="26"/>
    <x v="26"/>
    <x v="2"/>
  </r>
  <r>
    <x v="5"/>
    <x v="0"/>
    <x v="4"/>
    <x v="1"/>
    <x v="37"/>
    <x v="40"/>
    <x v="4"/>
    <x v="38"/>
    <x v="254"/>
    <x v="2594"/>
    <x v="21"/>
    <x v="21"/>
    <x v="2"/>
  </r>
  <r>
    <x v="5"/>
    <x v="0"/>
    <x v="5"/>
    <x v="4"/>
    <x v="27"/>
    <x v="26"/>
    <x v="0"/>
    <x v="43"/>
    <x v="212"/>
    <x v="2513"/>
    <x v="41"/>
    <x v="41"/>
    <x v="2"/>
  </r>
  <r>
    <x v="5"/>
    <x v="0"/>
    <x v="6"/>
    <x v="4"/>
    <x v="27"/>
    <x v="26"/>
    <x v="3"/>
    <x v="38"/>
    <x v="309"/>
    <x v="2855"/>
    <x v="6"/>
    <x v="6"/>
    <x v="2"/>
  </r>
  <r>
    <x v="5"/>
    <x v="0"/>
    <x v="7"/>
    <x v="4"/>
    <x v="27"/>
    <x v="26"/>
    <x v="2"/>
    <x v="28"/>
    <x v="313"/>
    <x v="2811"/>
    <x v="26"/>
    <x v="26"/>
    <x v="2"/>
  </r>
  <r>
    <x v="5"/>
    <x v="0"/>
    <x v="8"/>
    <x v="4"/>
    <x v="27"/>
    <x v="26"/>
    <x v="1"/>
    <x v="38"/>
    <x v="304"/>
    <x v="2827"/>
    <x v="11"/>
    <x v="11"/>
    <x v="2"/>
  </r>
  <r>
    <x v="5"/>
    <x v="0"/>
    <x v="9"/>
    <x v="4"/>
    <x v="27"/>
    <x v="26"/>
    <x v="5"/>
    <x v="38"/>
    <x v="304"/>
    <x v="2827"/>
    <x v="26"/>
    <x v="26"/>
    <x v="2"/>
  </r>
  <r>
    <x v="5"/>
    <x v="0"/>
    <x v="10"/>
    <x v="4"/>
    <x v="27"/>
    <x v="26"/>
    <x v="4"/>
    <x v="38"/>
    <x v="231"/>
    <x v="2506"/>
    <x v="21"/>
    <x v="21"/>
    <x v="2"/>
  </r>
  <r>
    <x v="5"/>
    <x v="0"/>
    <x v="11"/>
    <x v="4"/>
    <x v="27"/>
    <x v="26"/>
    <x v="0"/>
    <x v="43"/>
    <x v="174"/>
    <x v="2206"/>
    <x v="41"/>
    <x v="41"/>
    <x v="2"/>
  </r>
  <r>
    <x v="5"/>
    <x v="0"/>
    <x v="12"/>
    <x v="4"/>
    <x v="27"/>
    <x v="26"/>
    <x v="3"/>
    <x v="38"/>
    <x v="300"/>
    <x v="2805"/>
    <x v="6"/>
    <x v="6"/>
    <x v="2"/>
  </r>
  <r>
    <x v="5"/>
    <x v="0"/>
    <x v="13"/>
    <x v="4"/>
    <x v="27"/>
    <x v="26"/>
    <x v="2"/>
    <x v="38"/>
    <x v="315"/>
    <x v="2884"/>
    <x v="26"/>
    <x v="26"/>
    <x v="2"/>
  </r>
  <r>
    <x v="5"/>
    <x v="0"/>
    <x v="14"/>
    <x v="4"/>
    <x v="27"/>
    <x v="26"/>
    <x v="1"/>
    <x v="48"/>
    <x v="300"/>
    <x v="2862"/>
    <x v="11"/>
    <x v="11"/>
    <x v="2"/>
  </r>
  <r>
    <x v="5"/>
    <x v="0"/>
    <x v="15"/>
    <x v="4"/>
    <x v="27"/>
    <x v="26"/>
    <x v="5"/>
    <x v="48"/>
    <x v="300"/>
    <x v="2862"/>
    <x v="26"/>
    <x v="26"/>
    <x v="2"/>
  </r>
  <r>
    <x v="5"/>
    <x v="0"/>
    <x v="16"/>
    <x v="4"/>
    <x v="27"/>
    <x v="26"/>
    <x v="4"/>
    <x v="48"/>
    <x v="254"/>
    <x v="2757"/>
    <x v="21"/>
    <x v="21"/>
    <x v="2"/>
  </r>
  <r>
    <x v="5"/>
    <x v="0"/>
    <x v="17"/>
    <x v="4"/>
    <x v="27"/>
    <x v="26"/>
    <x v="0"/>
    <x v="53"/>
    <x v="152"/>
    <x v="2282"/>
    <x v="41"/>
    <x v="41"/>
    <x v="2"/>
  </r>
  <r>
    <x v="5"/>
    <x v="0"/>
    <x v="18"/>
    <x v="4"/>
    <x v="27"/>
    <x v="26"/>
    <x v="3"/>
    <x v="48"/>
    <x v="294"/>
    <x v="2850"/>
    <x v="6"/>
    <x v="6"/>
    <x v="2"/>
  </r>
  <r>
    <x v="5"/>
    <x v="0"/>
    <x v="19"/>
    <x v="4"/>
    <x v="27"/>
    <x v="26"/>
    <x v="2"/>
    <x v="53"/>
    <x v="315"/>
    <x v="2933"/>
    <x v="26"/>
    <x v="26"/>
    <x v="2"/>
  </r>
  <r>
    <x v="5"/>
    <x v="0"/>
    <x v="20"/>
    <x v="4"/>
    <x v="27"/>
    <x v="26"/>
    <x v="1"/>
    <x v="58"/>
    <x v="285"/>
    <x v="2867"/>
    <x v="11"/>
    <x v="11"/>
    <x v="2"/>
  </r>
  <r>
    <x v="5"/>
    <x v="0"/>
    <x v="21"/>
    <x v="4"/>
    <x v="27"/>
    <x v="26"/>
    <x v="5"/>
    <x v="58"/>
    <x v="300"/>
    <x v="2890"/>
    <x v="26"/>
    <x v="26"/>
    <x v="2"/>
  </r>
  <r>
    <x v="5"/>
    <x v="0"/>
    <x v="22"/>
    <x v="4"/>
    <x v="27"/>
    <x v="26"/>
    <x v="4"/>
    <x v="53"/>
    <x v="254"/>
    <x v="2805"/>
    <x v="21"/>
    <x v="21"/>
    <x v="2"/>
  </r>
  <r>
    <x v="5"/>
    <x v="0"/>
    <x v="23"/>
    <x v="4"/>
    <x v="27"/>
    <x v="26"/>
    <x v="0"/>
    <x v="58"/>
    <x v="174"/>
    <x v="2560"/>
    <x v="41"/>
    <x v="41"/>
    <x v="2"/>
  </r>
  <r>
    <x v="5"/>
    <x v="0"/>
    <x v="24"/>
    <x v="4"/>
    <x v="27"/>
    <x v="26"/>
    <x v="3"/>
    <x v="73"/>
    <x v="285"/>
    <x v="2903"/>
    <x v="6"/>
    <x v="6"/>
    <x v="2"/>
  </r>
  <r>
    <x v="5"/>
    <x v="0"/>
    <x v="25"/>
    <x v="4"/>
    <x v="27"/>
    <x v="26"/>
    <x v="2"/>
    <x v="53"/>
    <x v="315"/>
    <x v="2933"/>
    <x v="31"/>
    <x v="31"/>
    <x v="2"/>
  </r>
  <r>
    <x v="5"/>
    <x v="0"/>
    <x v="26"/>
    <x v="4"/>
    <x v="27"/>
    <x v="26"/>
    <x v="1"/>
    <x v="58"/>
    <x v="300"/>
    <x v="2890"/>
    <x v="16"/>
    <x v="16"/>
    <x v="2"/>
  </r>
  <r>
    <x v="5"/>
    <x v="0"/>
    <x v="27"/>
    <x v="4"/>
    <x v="27"/>
    <x v="26"/>
    <x v="5"/>
    <x v="58"/>
    <x v="300"/>
    <x v="2890"/>
    <x v="31"/>
    <x v="31"/>
    <x v="2"/>
  </r>
  <r>
    <x v="5"/>
    <x v="0"/>
    <x v="28"/>
    <x v="4"/>
    <x v="27"/>
    <x v="26"/>
    <x v="4"/>
    <x v="53"/>
    <x v="254"/>
    <x v="2805"/>
    <x v="26"/>
    <x v="26"/>
    <x v="2"/>
  </r>
  <r>
    <x v="5"/>
    <x v="0"/>
    <x v="29"/>
    <x v="4"/>
    <x v="27"/>
    <x v="26"/>
    <x v="0"/>
    <x v="58"/>
    <x v="174"/>
    <x v="2560"/>
    <x v="46"/>
    <x v="46"/>
    <x v="2"/>
  </r>
  <r>
    <x v="5"/>
    <x v="0"/>
    <x v="30"/>
    <x v="4"/>
    <x v="27"/>
    <x v="26"/>
    <x v="3"/>
    <x v="73"/>
    <x v="307"/>
    <x v="2947"/>
    <x v="11"/>
    <x v="11"/>
    <x v="2"/>
  </r>
  <r>
    <x v="5"/>
    <x v="0"/>
    <x v="31"/>
    <x v="4"/>
    <x v="27"/>
    <x v="26"/>
    <x v="2"/>
    <x v="53"/>
    <x v="327"/>
    <x v="2974"/>
    <x v="31"/>
    <x v="31"/>
    <x v="2"/>
  </r>
  <r>
    <x v="5"/>
    <x v="0"/>
    <x v="32"/>
    <x v="4"/>
    <x v="27"/>
    <x v="26"/>
    <x v="1"/>
    <x v="58"/>
    <x v="315"/>
    <x v="2945"/>
    <x v="16"/>
    <x v="16"/>
    <x v="2"/>
  </r>
  <r>
    <x v="5"/>
    <x v="0"/>
    <x v="33"/>
    <x v="4"/>
    <x v="27"/>
    <x v="26"/>
    <x v="5"/>
    <x v="58"/>
    <x v="315"/>
    <x v="2945"/>
    <x v="31"/>
    <x v="31"/>
    <x v="2"/>
  </r>
  <r>
    <x v="5"/>
    <x v="0"/>
    <x v="34"/>
    <x v="4"/>
    <x v="27"/>
    <x v="26"/>
    <x v="4"/>
    <x v="53"/>
    <x v="304"/>
    <x v="2888"/>
    <x v="26"/>
    <x v="26"/>
    <x v="2"/>
  </r>
  <r>
    <x v="5"/>
    <x v="0"/>
    <x v="35"/>
    <x v="4"/>
    <x v="27"/>
    <x v="26"/>
    <x v="0"/>
    <x v="58"/>
    <x v="254"/>
    <x v="2833"/>
    <x v="46"/>
    <x v="46"/>
    <x v="2"/>
  </r>
  <r>
    <x v="5"/>
    <x v="0"/>
    <x v="36"/>
    <x v="4"/>
    <x v="27"/>
    <x v="26"/>
    <x v="3"/>
    <x v="73"/>
    <x v="319"/>
    <x v="3000"/>
    <x v="11"/>
    <x v="11"/>
    <x v="2"/>
  </r>
  <r>
    <x v="5"/>
    <x v="0"/>
    <x v="37"/>
    <x v="4"/>
    <x v="27"/>
    <x v="26"/>
    <x v="2"/>
    <x v="53"/>
    <x v="331"/>
    <x v="2987"/>
    <x v="26"/>
    <x v="26"/>
    <x v="2"/>
  </r>
  <r>
    <x v="5"/>
    <x v="0"/>
    <x v="38"/>
    <x v="4"/>
    <x v="27"/>
    <x v="26"/>
    <x v="1"/>
    <x v="58"/>
    <x v="319"/>
    <x v="2961"/>
    <x v="11"/>
    <x v="11"/>
    <x v="2"/>
  </r>
  <r>
    <x v="5"/>
    <x v="0"/>
    <x v="39"/>
    <x v="4"/>
    <x v="27"/>
    <x v="26"/>
    <x v="5"/>
    <x v="58"/>
    <x v="315"/>
    <x v="2945"/>
    <x v="26"/>
    <x v="26"/>
    <x v="0"/>
  </r>
  <r>
    <x v="5"/>
    <x v="0"/>
    <x v="40"/>
    <x v="4"/>
    <x v="27"/>
    <x v="26"/>
    <x v="4"/>
    <x v="53"/>
    <x v="307"/>
    <x v="2895"/>
    <x v="21"/>
    <x v="21"/>
    <x v="0"/>
  </r>
  <r>
    <x v="5"/>
    <x v="0"/>
    <x v="41"/>
    <x v="4"/>
    <x v="27"/>
    <x v="26"/>
    <x v="0"/>
    <x v="58"/>
    <x v="311"/>
    <x v="2929"/>
    <x v="41"/>
    <x v="41"/>
    <x v="0"/>
  </r>
  <r>
    <x v="5"/>
    <x v="0"/>
    <x v="42"/>
    <x v="4"/>
    <x v="27"/>
    <x v="26"/>
    <x v="3"/>
    <x v="73"/>
    <x v="311"/>
    <x v="2966"/>
    <x v="6"/>
    <x v="6"/>
    <x v="0"/>
  </r>
  <r>
    <x v="5"/>
    <x v="0"/>
    <x v="43"/>
    <x v="4"/>
    <x v="27"/>
    <x v="26"/>
    <x v="2"/>
    <x v="58"/>
    <x v="327"/>
    <x v="2989"/>
    <x v="26"/>
    <x v="26"/>
    <x v="0"/>
  </r>
  <r>
    <x v="5"/>
    <x v="0"/>
    <x v="44"/>
    <x v="4"/>
    <x v="27"/>
    <x v="26"/>
    <x v="1"/>
    <x v="63"/>
    <x v="323"/>
    <x v="2989"/>
    <x v="11"/>
    <x v="11"/>
    <x v="0"/>
  </r>
  <r>
    <x v="5"/>
    <x v="0"/>
    <x v="45"/>
    <x v="4"/>
    <x v="27"/>
    <x v="26"/>
    <x v="5"/>
    <x v="58"/>
    <x v="313"/>
    <x v="2937"/>
    <x v="26"/>
    <x v="26"/>
    <x v="0"/>
  </r>
  <r>
    <x v="5"/>
    <x v="0"/>
    <x v="46"/>
    <x v="4"/>
    <x v="27"/>
    <x v="26"/>
    <x v="4"/>
    <x v="58"/>
    <x v="309"/>
    <x v="2918"/>
    <x v="21"/>
    <x v="21"/>
    <x v="0"/>
  </r>
  <r>
    <x v="5"/>
    <x v="0"/>
    <x v="47"/>
    <x v="4"/>
    <x v="27"/>
    <x v="26"/>
    <x v="0"/>
    <x v="68"/>
    <x v="309"/>
    <x v="2943"/>
    <x v="41"/>
    <x v="41"/>
    <x v="0"/>
  </r>
  <r>
    <x v="5"/>
    <x v="0"/>
    <x v="48"/>
    <x v="4"/>
    <x v="27"/>
    <x v="26"/>
    <x v="3"/>
    <x v="73"/>
    <x v="300"/>
    <x v="2927"/>
    <x v="6"/>
    <x v="6"/>
    <x v="0"/>
  </r>
  <r>
    <x v="5"/>
    <x v="0"/>
    <x v="49"/>
    <x v="4"/>
    <x v="27"/>
    <x v="26"/>
    <x v="2"/>
    <x v="53"/>
    <x v="319"/>
    <x v="2947"/>
    <x v="21"/>
    <x v="21"/>
    <x v="0"/>
  </r>
  <r>
    <x v="5"/>
    <x v="0"/>
    <x v="50"/>
    <x v="4"/>
    <x v="27"/>
    <x v="26"/>
    <x v="1"/>
    <x v="58"/>
    <x v="319"/>
    <x v="2961"/>
    <x v="6"/>
    <x v="6"/>
    <x v="0"/>
  </r>
  <r>
    <x v="5"/>
    <x v="0"/>
    <x v="51"/>
    <x v="4"/>
    <x v="27"/>
    <x v="26"/>
    <x v="5"/>
    <x v="53"/>
    <x v="307"/>
    <x v="2895"/>
    <x v="21"/>
    <x v="21"/>
    <x v="0"/>
  </r>
  <r>
    <x v="5"/>
    <x v="0"/>
    <x v="52"/>
    <x v="4"/>
    <x v="27"/>
    <x v="26"/>
    <x v="4"/>
    <x v="53"/>
    <x v="300"/>
    <x v="2880"/>
    <x v="16"/>
    <x v="16"/>
    <x v="0"/>
  </r>
  <r>
    <x v="5"/>
    <x v="0"/>
    <x v="53"/>
    <x v="4"/>
    <x v="27"/>
    <x v="26"/>
    <x v="0"/>
    <x v="63"/>
    <x v="300"/>
    <x v="2903"/>
    <x v="36"/>
    <x v="36"/>
    <x v="0"/>
  </r>
  <r>
    <x v="5"/>
    <x v="0"/>
    <x v="54"/>
    <x v="4"/>
    <x v="27"/>
    <x v="26"/>
    <x v="3"/>
    <x v="68"/>
    <x v="307"/>
    <x v="2935"/>
    <x v="2"/>
    <x v="2"/>
    <x v="0"/>
  </r>
  <r>
    <x v="5"/>
    <x v="0"/>
    <x v="55"/>
    <x v="4"/>
    <x v="27"/>
    <x v="26"/>
    <x v="2"/>
    <x v="53"/>
    <x v="315"/>
    <x v="2933"/>
    <x v="21"/>
    <x v="21"/>
    <x v="0"/>
  </r>
  <r>
    <x v="5"/>
    <x v="0"/>
    <x v="56"/>
    <x v="4"/>
    <x v="27"/>
    <x v="26"/>
    <x v="1"/>
    <x v="58"/>
    <x v="315"/>
    <x v="2945"/>
    <x v="6"/>
    <x v="6"/>
    <x v="0"/>
  </r>
  <r>
    <x v="5"/>
    <x v="0"/>
    <x v="57"/>
    <x v="4"/>
    <x v="27"/>
    <x v="26"/>
    <x v="5"/>
    <x v="53"/>
    <x v="294"/>
    <x v="2866"/>
    <x v="21"/>
    <x v="21"/>
    <x v="0"/>
  </r>
  <r>
    <x v="5"/>
    <x v="0"/>
    <x v="58"/>
    <x v="4"/>
    <x v="27"/>
    <x v="26"/>
    <x v="4"/>
    <x v="53"/>
    <x v="285"/>
    <x v="2852"/>
    <x v="16"/>
    <x v="16"/>
    <x v="0"/>
  </r>
  <r>
    <x v="5"/>
    <x v="0"/>
    <x v="59"/>
    <x v="4"/>
    <x v="27"/>
    <x v="26"/>
    <x v="0"/>
    <x v="63"/>
    <x v="273"/>
    <x v="2867"/>
    <x v="36"/>
    <x v="36"/>
    <x v="0"/>
  </r>
  <r>
    <x v="5"/>
    <x v="0"/>
    <x v="60"/>
    <x v="4"/>
    <x v="27"/>
    <x v="26"/>
    <x v="3"/>
    <x v="68"/>
    <x v="294"/>
    <x v="2904"/>
    <x v="2"/>
    <x v="2"/>
    <x v="0"/>
  </r>
  <r>
    <x v="5"/>
    <x v="0"/>
    <x v="61"/>
    <x v="4"/>
    <x v="27"/>
    <x v="26"/>
    <x v="2"/>
    <x v="53"/>
    <x v="317"/>
    <x v="2940"/>
    <x v="21"/>
    <x v="21"/>
    <x v="0"/>
  </r>
  <r>
    <x v="5"/>
    <x v="0"/>
    <x v="62"/>
    <x v="4"/>
    <x v="27"/>
    <x v="26"/>
    <x v="1"/>
    <x v="58"/>
    <x v="317"/>
    <x v="2954"/>
    <x v="6"/>
    <x v="6"/>
    <x v="0"/>
  </r>
  <r>
    <x v="5"/>
    <x v="0"/>
    <x v="63"/>
    <x v="4"/>
    <x v="27"/>
    <x v="26"/>
    <x v="5"/>
    <x v="53"/>
    <x v="304"/>
    <x v="2888"/>
    <x v="21"/>
    <x v="21"/>
    <x v="0"/>
  </r>
  <r>
    <x v="5"/>
    <x v="0"/>
    <x v="64"/>
    <x v="4"/>
    <x v="27"/>
    <x v="26"/>
    <x v="4"/>
    <x v="53"/>
    <x v="300"/>
    <x v="2880"/>
    <x v="16"/>
    <x v="16"/>
    <x v="0"/>
  </r>
  <r>
    <x v="5"/>
    <x v="0"/>
    <x v="65"/>
    <x v="4"/>
    <x v="27"/>
    <x v="26"/>
    <x v="0"/>
    <x v="63"/>
    <x v="285"/>
    <x v="2882"/>
    <x v="36"/>
    <x v="36"/>
    <x v="0"/>
  </r>
  <r>
    <x v="5"/>
    <x v="0"/>
    <x v="66"/>
    <x v="4"/>
    <x v="27"/>
    <x v="26"/>
    <x v="3"/>
    <x v="68"/>
    <x v="309"/>
    <x v="2943"/>
    <x v="2"/>
    <x v="2"/>
    <x v="0"/>
  </r>
  <r>
    <x v="5"/>
    <x v="0"/>
    <x v="67"/>
    <x v="4"/>
    <x v="27"/>
    <x v="26"/>
    <x v="2"/>
    <x v="53"/>
    <x v="325"/>
    <x v="2969"/>
    <x v="21"/>
    <x v="21"/>
    <x v="0"/>
  </r>
  <r>
    <x v="5"/>
    <x v="0"/>
    <x v="68"/>
    <x v="4"/>
    <x v="27"/>
    <x v="26"/>
    <x v="1"/>
    <x v="58"/>
    <x v="325"/>
    <x v="2984"/>
    <x v="6"/>
    <x v="6"/>
    <x v="0"/>
  </r>
  <r>
    <x v="5"/>
    <x v="0"/>
    <x v="69"/>
    <x v="4"/>
    <x v="27"/>
    <x v="26"/>
    <x v="5"/>
    <x v="53"/>
    <x v="309"/>
    <x v="2906"/>
    <x v="21"/>
    <x v="21"/>
    <x v="0"/>
  </r>
  <r>
    <x v="5"/>
    <x v="0"/>
    <x v="70"/>
    <x v="4"/>
    <x v="27"/>
    <x v="26"/>
    <x v="4"/>
    <x v="53"/>
    <x v="309"/>
    <x v="2906"/>
    <x v="16"/>
    <x v="16"/>
    <x v="0"/>
  </r>
  <r>
    <x v="5"/>
    <x v="0"/>
    <x v="71"/>
    <x v="4"/>
    <x v="27"/>
    <x v="26"/>
    <x v="0"/>
    <x v="63"/>
    <x v="300"/>
    <x v="2903"/>
    <x v="36"/>
    <x v="36"/>
    <x v="0"/>
  </r>
  <r>
    <x v="5"/>
    <x v="0"/>
    <x v="72"/>
    <x v="4"/>
    <x v="27"/>
    <x v="26"/>
    <x v="3"/>
    <x v="68"/>
    <x v="311"/>
    <x v="2955"/>
    <x v="2"/>
    <x v="2"/>
    <x v="0"/>
  </r>
  <r>
    <x v="5"/>
    <x v="0"/>
    <x v="73"/>
    <x v="4"/>
    <x v="27"/>
    <x v="26"/>
    <x v="2"/>
    <x v="23"/>
    <x v="304"/>
    <x v="2535"/>
    <x v="21"/>
    <x v="21"/>
    <x v="0"/>
  </r>
  <r>
    <x v="5"/>
    <x v="0"/>
    <x v="74"/>
    <x v="4"/>
    <x v="27"/>
    <x v="26"/>
    <x v="1"/>
    <x v="33"/>
    <x v="304"/>
    <x v="2774"/>
    <x v="6"/>
    <x v="6"/>
    <x v="0"/>
  </r>
  <r>
    <x v="5"/>
    <x v="0"/>
    <x v="75"/>
    <x v="4"/>
    <x v="27"/>
    <x v="26"/>
    <x v="5"/>
    <x v="33"/>
    <x v="304"/>
    <x v="2774"/>
    <x v="21"/>
    <x v="21"/>
    <x v="0"/>
  </r>
  <r>
    <x v="5"/>
    <x v="0"/>
    <x v="76"/>
    <x v="4"/>
    <x v="27"/>
    <x v="26"/>
    <x v="4"/>
    <x v="33"/>
    <x v="231"/>
    <x v="2350"/>
    <x v="16"/>
    <x v="16"/>
    <x v="0"/>
  </r>
  <r>
    <x v="5"/>
    <x v="0"/>
    <x v="77"/>
    <x v="4"/>
    <x v="5"/>
    <x v="16"/>
    <x v="0"/>
    <x v="38"/>
    <x v="194"/>
    <x v="2227"/>
    <x v="36"/>
    <x v="36"/>
    <x v="0"/>
  </r>
  <r>
    <x v="5"/>
    <x v="0"/>
    <x v="78"/>
    <x v="4"/>
    <x v="5"/>
    <x v="16"/>
    <x v="3"/>
    <x v="33"/>
    <x v="309"/>
    <x v="2825"/>
    <x v="2"/>
    <x v="2"/>
    <x v="0"/>
  </r>
  <r>
    <x v="5"/>
    <x v="0"/>
    <x v="79"/>
    <x v="4"/>
    <x v="5"/>
    <x v="16"/>
    <x v="2"/>
    <x v="23"/>
    <x v="313"/>
    <x v="2727"/>
    <x v="21"/>
    <x v="21"/>
    <x v="0"/>
  </r>
  <r>
    <x v="5"/>
    <x v="0"/>
    <x v="80"/>
    <x v="4"/>
    <x v="5"/>
    <x v="16"/>
    <x v="1"/>
    <x v="33"/>
    <x v="304"/>
    <x v="2774"/>
    <x v="6"/>
    <x v="6"/>
    <x v="0"/>
  </r>
  <r>
    <x v="5"/>
    <x v="0"/>
    <x v="81"/>
    <x v="4"/>
    <x v="5"/>
    <x v="16"/>
    <x v="5"/>
    <x v="33"/>
    <x v="304"/>
    <x v="2774"/>
    <x v="21"/>
    <x v="21"/>
    <x v="0"/>
  </r>
  <r>
    <x v="5"/>
    <x v="0"/>
    <x v="82"/>
    <x v="4"/>
    <x v="5"/>
    <x v="16"/>
    <x v="4"/>
    <x v="33"/>
    <x v="231"/>
    <x v="2350"/>
    <x v="16"/>
    <x v="16"/>
    <x v="0"/>
  </r>
  <r>
    <x v="5"/>
    <x v="0"/>
    <x v="83"/>
    <x v="4"/>
    <x v="5"/>
    <x v="16"/>
    <x v="0"/>
    <x v="38"/>
    <x v="174"/>
    <x v="2064"/>
    <x v="36"/>
    <x v="36"/>
    <x v="0"/>
  </r>
  <r>
    <x v="5"/>
    <x v="0"/>
    <x v="84"/>
    <x v="4"/>
    <x v="5"/>
    <x v="16"/>
    <x v="3"/>
    <x v="33"/>
    <x v="300"/>
    <x v="2737"/>
    <x v="2"/>
    <x v="2"/>
    <x v="0"/>
  </r>
  <r>
    <x v="5"/>
    <x v="0"/>
    <x v="85"/>
    <x v="4"/>
    <x v="5"/>
    <x v="16"/>
    <x v="2"/>
    <x v="33"/>
    <x v="315"/>
    <x v="2862"/>
    <x v="21"/>
    <x v="21"/>
    <x v="0"/>
  </r>
  <r>
    <x v="5"/>
    <x v="0"/>
    <x v="86"/>
    <x v="4"/>
    <x v="5"/>
    <x v="16"/>
    <x v="1"/>
    <x v="43"/>
    <x v="300"/>
    <x v="2840"/>
    <x v="6"/>
    <x v="6"/>
    <x v="0"/>
  </r>
  <r>
    <x v="5"/>
    <x v="0"/>
    <x v="87"/>
    <x v="4"/>
    <x v="5"/>
    <x v="16"/>
    <x v="5"/>
    <x v="48"/>
    <x v="300"/>
    <x v="2862"/>
    <x v="21"/>
    <x v="21"/>
    <x v="0"/>
  </r>
  <r>
    <x v="5"/>
    <x v="0"/>
    <x v="88"/>
    <x v="4"/>
    <x v="5"/>
    <x v="16"/>
    <x v="4"/>
    <x v="48"/>
    <x v="254"/>
    <x v="2757"/>
    <x v="16"/>
    <x v="16"/>
    <x v="0"/>
  </r>
  <r>
    <x v="5"/>
    <x v="0"/>
    <x v="89"/>
    <x v="4"/>
    <x v="5"/>
    <x v="16"/>
    <x v="0"/>
    <x v="53"/>
    <x v="129"/>
    <x v="2064"/>
    <x v="36"/>
    <x v="36"/>
    <x v="0"/>
  </r>
  <r>
    <x v="5"/>
    <x v="0"/>
    <x v="90"/>
    <x v="4"/>
    <x v="5"/>
    <x v="16"/>
    <x v="3"/>
    <x v="48"/>
    <x v="285"/>
    <x v="2829"/>
    <x v="2"/>
    <x v="2"/>
    <x v="0"/>
  </r>
  <r>
    <x v="5"/>
    <x v="0"/>
    <x v="91"/>
    <x v="4"/>
    <x v="5"/>
    <x v="16"/>
    <x v="2"/>
    <x v="53"/>
    <x v="313"/>
    <x v="2924"/>
    <x v="21"/>
    <x v="21"/>
    <x v="0"/>
  </r>
  <r>
    <x v="5"/>
    <x v="0"/>
    <x v="92"/>
    <x v="4"/>
    <x v="5"/>
    <x v="16"/>
    <x v="1"/>
    <x v="58"/>
    <x v="273"/>
    <x v="2853"/>
    <x v="6"/>
    <x v="6"/>
    <x v="0"/>
  </r>
  <r>
    <x v="5"/>
    <x v="0"/>
    <x v="93"/>
    <x v="4"/>
    <x v="5"/>
    <x v="16"/>
    <x v="5"/>
    <x v="58"/>
    <x v="294"/>
    <x v="2881"/>
    <x v="21"/>
    <x v="21"/>
    <x v="0"/>
  </r>
  <r>
    <x v="5"/>
    <x v="0"/>
    <x v="94"/>
    <x v="4"/>
    <x v="5"/>
    <x v="16"/>
    <x v="4"/>
    <x v="53"/>
    <x v="231"/>
    <x v="2757"/>
    <x v="16"/>
    <x v="16"/>
    <x v="0"/>
  </r>
  <r>
    <x v="5"/>
    <x v="0"/>
    <x v="95"/>
    <x v="4"/>
    <x v="5"/>
    <x v="16"/>
    <x v="0"/>
    <x v="58"/>
    <x v="152"/>
    <x v="2398"/>
    <x v="36"/>
    <x v="36"/>
    <x v="0"/>
  </r>
  <r>
    <x v="5"/>
    <x v="0"/>
    <x v="96"/>
    <x v="4"/>
    <x v="5"/>
    <x v="16"/>
    <x v="3"/>
    <x v="73"/>
    <x v="273"/>
    <x v="2890"/>
    <x v="2"/>
    <x v="2"/>
    <x v="0"/>
  </r>
  <r>
    <x v="5"/>
    <x v="0"/>
    <x v="97"/>
    <x v="4"/>
    <x v="5"/>
    <x v="16"/>
    <x v="2"/>
    <x v="53"/>
    <x v="313"/>
    <x v="2924"/>
    <x v="36"/>
    <x v="36"/>
    <x v="0"/>
  </r>
  <r>
    <x v="5"/>
    <x v="0"/>
    <x v="98"/>
    <x v="4"/>
    <x v="5"/>
    <x v="16"/>
    <x v="1"/>
    <x v="58"/>
    <x v="294"/>
    <x v="2881"/>
    <x v="21"/>
    <x v="21"/>
    <x v="0"/>
  </r>
  <r>
    <x v="5"/>
    <x v="0"/>
    <x v="99"/>
    <x v="4"/>
    <x v="5"/>
    <x v="16"/>
    <x v="5"/>
    <x v="58"/>
    <x v="294"/>
    <x v="2881"/>
    <x v="36"/>
    <x v="36"/>
    <x v="0"/>
  </r>
  <r>
    <x v="5"/>
    <x v="0"/>
    <x v="100"/>
    <x v="4"/>
    <x v="5"/>
    <x v="16"/>
    <x v="4"/>
    <x v="53"/>
    <x v="231"/>
    <x v="2757"/>
    <x v="31"/>
    <x v="31"/>
    <x v="0"/>
  </r>
  <r>
    <x v="5"/>
    <x v="0"/>
    <x v="101"/>
    <x v="4"/>
    <x v="5"/>
    <x v="16"/>
    <x v="0"/>
    <x v="58"/>
    <x v="152"/>
    <x v="2398"/>
    <x v="51"/>
    <x v="51"/>
    <x v="0"/>
  </r>
  <r>
    <x v="5"/>
    <x v="0"/>
    <x v="102"/>
    <x v="4"/>
    <x v="5"/>
    <x v="16"/>
    <x v="3"/>
    <x v="73"/>
    <x v="309"/>
    <x v="2956"/>
    <x v="16"/>
    <x v="16"/>
    <x v="0"/>
  </r>
  <r>
    <x v="5"/>
    <x v="0"/>
    <x v="103"/>
    <x v="4"/>
    <x v="5"/>
    <x v="16"/>
    <x v="2"/>
    <x v="53"/>
    <x v="329"/>
    <x v="2982"/>
    <x v="36"/>
    <x v="36"/>
    <x v="0"/>
  </r>
  <r>
    <x v="5"/>
    <x v="0"/>
    <x v="104"/>
    <x v="4"/>
    <x v="5"/>
    <x v="16"/>
    <x v="1"/>
    <x v="58"/>
    <x v="317"/>
    <x v="2954"/>
    <x v="21"/>
    <x v="21"/>
    <x v="0"/>
  </r>
  <r>
    <x v="5"/>
    <x v="0"/>
    <x v="105"/>
    <x v="4"/>
    <x v="5"/>
    <x v="16"/>
    <x v="5"/>
    <x v="58"/>
    <x v="317"/>
    <x v="2954"/>
    <x v="36"/>
    <x v="36"/>
    <x v="0"/>
  </r>
  <r>
    <x v="5"/>
    <x v="0"/>
    <x v="106"/>
    <x v="4"/>
    <x v="5"/>
    <x v="16"/>
    <x v="4"/>
    <x v="58"/>
    <x v="307"/>
    <x v="2910"/>
    <x v="31"/>
    <x v="31"/>
    <x v="0"/>
  </r>
  <r>
    <x v="5"/>
    <x v="0"/>
    <x v="107"/>
    <x v="4"/>
    <x v="5"/>
    <x v="16"/>
    <x v="0"/>
    <x v="63"/>
    <x v="273"/>
    <x v="2867"/>
    <x v="51"/>
    <x v="51"/>
    <x v="0"/>
  </r>
  <r>
    <x v="5"/>
    <x v="0"/>
    <x v="108"/>
    <x v="4"/>
    <x v="5"/>
    <x v="16"/>
    <x v="3"/>
    <x v="78"/>
    <x v="321"/>
    <x v="3018"/>
    <x v="16"/>
    <x v="16"/>
    <x v="0"/>
  </r>
  <r>
    <x v="5"/>
    <x v="0"/>
    <x v="109"/>
    <x v="4"/>
    <x v="5"/>
    <x v="16"/>
    <x v="2"/>
    <x v="58"/>
    <x v="333"/>
    <x v="3009"/>
    <x v="31"/>
    <x v="31"/>
    <x v="0"/>
  </r>
  <r>
    <x v="5"/>
    <x v="0"/>
    <x v="110"/>
    <x v="4"/>
    <x v="5"/>
    <x v="16"/>
    <x v="1"/>
    <x v="63"/>
    <x v="321"/>
    <x v="2983"/>
    <x v="16"/>
    <x v="16"/>
    <x v="0"/>
  </r>
  <r>
    <x v="5"/>
    <x v="0"/>
    <x v="111"/>
    <x v="4"/>
    <x v="5"/>
    <x v="16"/>
    <x v="5"/>
    <x v="63"/>
    <x v="317"/>
    <x v="2967"/>
    <x v="31"/>
    <x v="31"/>
    <x v="0"/>
  </r>
  <r>
    <x v="5"/>
    <x v="0"/>
    <x v="112"/>
    <x v="4"/>
    <x v="5"/>
    <x v="16"/>
    <x v="4"/>
    <x v="58"/>
    <x v="309"/>
    <x v="2918"/>
    <x v="26"/>
    <x v="26"/>
    <x v="0"/>
  </r>
  <r>
    <x v="5"/>
    <x v="0"/>
    <x v="113"/>
    <x v="4"/>
    <x v="5"/>
    <x v="16"/>
    <x v="0"/>
    <x v="63"/>
    <x v="313"/>
    <x v="2949"/>
    <x v="46"/>
    <x v="46"/>
    <x v="0"/>
  </r>
  <r>
    <x v="5"/>
    <x v="0"/>
    <x v="114"/>
    <x v="4"/>
    <x v="5"/>
    <x v="16"/>
    <x v="3"/>
    <x v="78"/>
    <x v="313"/>
    <x v="2986"/>
    <x v="11"/>
    <x v="11"/>
    <x v="0"/>
  </r>
  <r>
    <x v="5"/>
    <x v="0"/>
    <x v="115"/>
    <x v="4"/>
    <x v="5"/>
    <x v="16"/>
    <x v="2"/>
    <x v="63"/>
    <x v="329"/>
    <x v="3012"/>
    <x v="31"/>
    <x v="31"/>
    <x v="0"/>
  </r>
  <r>
    <x v="5"/>
    <x v="0"/>
    <x v="116"/>
    <x v="4"/>
    <x v="5"/>
    <x v="16"/>
    <x v="1"/>
    <x v="68"/>
    <x v="325"/>
    <x v="3011"/>
    <x v="16"/>
    <x v="16"/>
    <x v="0"/>
  </r>
  <r>
    <x v="5"/>
    <x v="0"/>
    <x v="117"/>
    <x v="4"/>
    <x v="5"/>
    <x v="16"/>
    <x v="5"/>
    <x v="63"/>
    <x v="315"/>
    <x v="2958"/>
    <x v="31"/>
    <x v="31"/>
    <x v="0"/>
  </r>
  <r>
    <x v="5"/>
    <x v="0"/>
    <x v="118"/>
    <x v="4"/>
    <x v="5"/>
    <x v="16"/>
    <x v="4"/>
    <x v="63"/>
    <x v="311"/>
    <x v="2942"/>
    <x v="26"/>
    <x v="26"/>
    <x v="0"/>
  </r>
  <r>
    <x v="5"/>
    <x v="0"/>
    <x v="119"/>
    <x v="4"/>
    <x v="5"/>
    <x v="16"/>
    <x v="0"/>
    <x v="68"/>
    <x v="311"/>
    <x v="2955"/>
    <x v="46"/>
    <x v="46"/>
    <x v="0"/>
  </r>
  <r>
    <x v="5"/>
    <x v="0"/>
    <x v="120"/>
    <x v="4"/>
    <x v="5"/>
    <x v="16"/>
    <x v="3"/>
    <x v="73"/>
    <x v="300"/>
    <x v="2927"/>
    <x v="11"/>
    <x v="11"/>
    <x v="0"/>
  </r>
  <r>
    <x v="5"/>
    <x v="0"/>
    <x v="121"/>
    <x v="4"/>
    <x v="5"/>
    <x v="16"/>
    <x v="2"/>
    <x v="58"/>
    <x v="319"/>
    <x v="2961"/>
    <x v="26"/>
    <x v="26"/>
    <x v="0"/>
  </r>
  <r>
    <x v="5"/>
    <x v="0"/>
    <x v="122"/>
    <x v="4"/>
    <x v="5"/>
    <x v="16"/>
    <x v="1"/>
    <x v="63"/>
    <x v="319"/>
    <x v="2974"/>
    <x v="11"/>
    <x v="11"/>
    <x v="0"/>
  </r>
  <r>
    <x v="5"/>
    <x v="0"/>
    <x v="123"/>
    <x v="4"/>
    <x v="5"/>
    <x v="16"/>
    <x v="5"/>
    <x v="58"/>
    <x v="307"/>
    <x v="2910"/>
    <x v="26"/>
    <x v="26"/>
    <x v="0"/>
  </r>
  <r>
    <x v="5"/>
    <x v="0"/>
    <x v="124"/>
    <x v="4"/>
    <x v="5"/>
    <x v="16"/>
    <x v="4"/>
    <x v="58"/>
    <x v="300"/>
    <x v="2890"/>
    <x v="21"/>
    <x v="21"/>
    <x v="0"/>
  </r>
  <r>
    <x v="5"/>
    <x v="0"/>
    <x v="125"/>
    <x v="4"/>
    <x v="5"/>
    <x v="16"/>
    <x v="0"/>
    <x v="68"/>
    <x v="300"/>
    <x v="2915"/>
    <x v="41"/>
    <x v="41"/>
    <x v="0"/>
  </r>
  <r>
    <x v="5"/>
    <x v="0"/>
    <x v="126"/>
    <x v="4"/>
    <x v="5"/>
    <x v="16"/>
    <x v="3"/>
    <x v="63"/>
    <x v="304"/>
    <x v="2912"/>
    <x v="6"/>
    <x v="6"/>
    <x v="0"/>
  </r>
  <r>
    <x v="5"/>
    <x v="0"/>
    <x v="127"/>
    <x v="4"/>
    <x v="5"/>
    <x v="16"/>
    <x v="2"/>
    <x v="48"/>
    <x v="313"/>
    <x v="2908"/>
    <x v="26"/>
    <x v="26"/>
    <x v="0"/>
  </r>
  <r>
    <x v="5"/>
    <x v="0"/>
    <x v="128"/>
    <x v="4"/>
    <x v="5"/>
    <x v="16"/>
    <x v="1"/>
    <x v="53"/>
    <x v="313"/>
    <x v="2924"/>
    <x v="11"/>
    <x v="11"/>
    <x v="0"/>
  </r>
  <r>
    <x v="5"/>
    <x v="0"/>
    <x v="129"/>
    <x v="4"/>
    <x v="5"/>
    <x v="16"/>
    <x v="5"/>
    <x v="48"/>
    <x v="285"/>
    <x v="2829"/>
    <x v="26"/>
    <x v="26"/>
    <x v="0"/>
  </r>
  <r>
    <x v="5"/>
    <x v="0"/>
    <x v="130"/>
    <x v="4"/>
    <x v="5"/>
    <x v="16"/>
    <x v="4"/>
    <x v="48"/>
    <x v="273"/>
    <x v="2800"/>
    <x v="21"/>
    <x v="21"/>
    <x v="0"/>
  </r>
  <r>
    <x v="5"/>
    <x v="0"/>
    <x v="131"/>
    <x v="4"/>
    <x v="5"/>
    <x v="16"/>
    <x v="0"/>
    <x v="58"/>
    <x v="254"/>
    <x v="2833"/>
    <x v="41"/>
    <x v="41"/>
    <x v="0"/>
  </r>
  <r>
    <x v="5"/>
    <x v="0"/>
    <x v="132"/>
    <x v="4"/>
    <x v="5"/>
    <x v="16"/>
    <x v="3"/>
    <x v="63"/>
    <x v="285"/>
    <x v="2882"/>
    <x v="6"/>
    <x v="6"/>
    <x v="0"/>
  </r>
  <r>
    <x v="5"/>
    <x v="0"/>
    <x v="133"/>
    <x v="4"/>
    <x v="5"/>
    <x v="16"/>
    <x v="2"/>
    <x v="48"/>
    <x v="317"/>
    <x v="2925"/>
    <x v="26"/>
    <x v="26"/>
    <x v="0"/>
  </r>
  <r>
    <x v="5"/>
    <x v="0"/>
    <x v="134"/>
    <x v="4"/>
    <x v="5"/>
    <x v="16"/>
    <x v="1"/>
    <x v="53"/>
    <x v="317"/>
    <x v="2940"/>
    <x v="11"/>
    <x v="11"/>
    <x v="0"/>
  </r>
  <r>
    <x v="5"/>
    <x v="0"/>
    <x v="135"/>
    <x v="4"/>
    <x v="5"/>
    <x v="16"/>
    <x v="5"/>
    <x v="48"/>
    <x v="304"/>
    <x v="2873"/>
    <x v="26"/>
    <x v="26"/>
    <x v="0"/>
  </r>
  <r>
    <x v="5"/>
    <x v="0"/>
    <x v="136"/>
    <x v="4"/>
    <x v="5"/>
    <x v="16"/>
    <x v="4"/>
    <x v="58"/>
    <x v="300"/>
    <x v="2890"/>
    <x v="21"/>
    <x v="21"/>
    <x v="0"/>
  </r>
  <r>
    <x v="5"/>
    <x v="0"/>
    <x v="137"/>
    <x v="4"/>
    <x v="5"/>
    <x v="16"/>
    <x v="0"/>
    <x v="68"/>
    <x v="294"/>
    <x v="2904"/>
    <x v="41"/>
    <x v="41"/>
    <x v="0"/>
  </r>
  <r>
    <x v="5"/>
    <x v="0"/>
    <x v="138"/>
    <x v="4"/>
    <x v="5"/>
    <x v="16"/>
    <x v="3"/>
    <x v="73"/>
    <x v="311"/>
    <x v="2966"/>
    <x v="6"/>
    <x v="6"/>
    <x v="0"/>
  </r>
  <r>
    <x v="5"/>
    <x v="0"/>
    <x v="139"/>
    <x v="4"/>
    <x v="5"/>
    <x v="16"/>
    <x v="2"/>
    <x v="58"/>
    <x v="327"/>
    <x v="2989"/>
    <x v="26"/>
    <x v="26"/>
    <x v="0"/>
  </r>
  <r>
    <x v="5"/>
    <x v="0"/>
    <x v="140"/>
    <x v="4"/>
    <x v="5"/>
    <x v="16"/>
    <x v="1"/>
    <x v="63"/>
    <x v="327"/>
    <x v="3005"/>
    <x v="11"/>
    <x v="11"/>
    <x v="0"/>
  </r>
  <r>
    <x v="5"/>
    <x v="0"/>
    <x v="141"/>
    <x v="4"/>
    <x v="5"/>
    <x v="16"/>
    <x v="5"/>
    <x v="58"/>
    <x v="311"/>
    <x v="2929"/>
    <x v="26"/>
    <x v="26"/>
    <x v="0"/>
  </r>
  <r>
    <x v="5"/>
    <x v="0"/>
    <x v="142"/>
    <x v="4"/>
    <x v="5"/>
    <x v="16"/>
    <x v="4"/>
    <x v="58"/>
    <x v="311"/>
    <x v="2929"/>
    <x v="21"/>
    <x v="21"/>
    <x v="0"/>
  </r>
  <r>
    <x v="5"/>
    <x v="0"/>
    <x v="143"/>
    <x v="4"/>
    <x v="5"/>
    <x v="16"/>
    <x v="0"/>
    <x v="68"/>
    <x v="304"/>
    <x v="2926"/>
    <x v="41"/>
    <x v="41"/>
    <x v="0"/>
  </r>
  <r>
    <x v="5"/>
    <x v="0"/>
    <x v="144"/>
    <x v="4"/>
    <x v="5"/>
    <x v="16"/>
    <x v="3"/>
    <x v="73"/>
    <x v="313"/>
    <x v="2974"/>
    <x v="6"/>
    <x v="6"/>
    <x v="0"/>
  </r>
  <r>
    <x v="5"/>
    <x v="0"/>
    <x v="145"/>
    <x v="4"/>
    <x v="5"/>
    <x v="16"/>
    <x v="2"/>
    <x v="33"/>
    <x v="307"/>
    <x v="2805"/>
    <x v="16"/>
    <x v="16"/>
    <x v="0"/>
  </r>
  <r>
    <x v="5"/>
    <x v="0"/>
    <x v="146"/>
    <x v="4"/>
    <x v="5"/>
    <x v="16"/>
    <x v="1"/>
    <x v="43"/>
    <x v="307"/>
    <x v="2866"/>
    <x v="11"/>
    <x v="11"/>
    <x v="0"/>
  </r>
  <r>
    <x v="5"/>
    <x v="0"/>
    <x v="147"/>
    <x v="4"/>
    <x v="5"/>
    <x v="16"/>
    <x v="5"/>
    <x v="43"/>
    <x v="307"/>
    <x v="2866"/>
    <x v="11"/>
    <x v="11"/>
    <x v="0"/>
  </r>
  <r>
    <x v="5"/>
    <x v="0"/>
    <x v="148"/>
    <x v="4"/>
    <x v="5"/>
    <x v="16"/>
    <x v="4"/>
    <x v="43"/>
    <x v="254"/>
    <x v="2686"/>
    <x v="16"/>
    <x v="16"/>
    <x v="0"/>
  </r>
  <r>
    <x v="5"/>
    <x v="0"/>
    <x v="149"/>
    <x v="4"/>
    <x v="46"/>
    <x v="47"/>
    <x v="0"/>
    <x v="48"/>
    <x v="212"/>
    <x v="2615"/>
    <x v="11"/>
    <x v="11"/>
    <x v="0"/>
  </r>
  <r>
    <x v="5"/>
    <x v="0"/>
    <x v="150"/>
    <x v="4"/>
    <x v="46"/>
    <x v="47"/>
    <x v="3"/>
    <x v="43"/>
    <x v="311"/>
    <x v="2886"/>
    <x v="6"/>
    <x v="6"/>
    <x v="0"/>
  </r>
  <r>
    <x v="5"/>
    <x v="0"/>
    <x v="151"/>
    <x v="4"/>
    <x v="46"/>
    <x v="47"/>
    <x v="2"/>
    <x v="33"/>
    <x v="315"/>
    <x v="2862"/>
    <x v="16"/>
    <x v="16"/>
    <x v="0"/>
  </r>
  <r>
    <x v="5"/>
    <x v="0"/>
    <x v="152"/>
    <x v="4"/>
    <x v="46"/>
    <x v="47"/>
    <x v="1"/>
    <x v="43"/>
    <x v="307"/>
    <x v="2866"/>
    <x v="11"/>
    <x v="11"/>
    <x v="0"/>
  </r>
  <r>
    <x v="5"/>
    <x v="0"/>
    <x v="153"/>
    <x v="4"/>
    <x v="46"/>
    <x v="47"/>
    <x v="5"/>
    <x v="43"/>
    <x v="307"/>
    <x v="2866"/>
    <x v="11"/>
    <x v="11"/>
    <x v="0"/>
  </r>
  <r>
    <x v="5"/>
    <x v="0"/>
    <x v="154"/>
    <x v="4"/>
    <x v="46"/>
    <x v="47"/>
    <x v="4"/>
    <x v="43"/>
    <x v="254"/>
    <x v="2686"/>
    <x v="16"/>
    <x v="16"/>
    <x v="0"/>
  </r>
  <r>
    <x v="5"/>
    <x v="0"/>
    <x v="155"/>
    <x v="4"/>
    <x v="46"/>
    <x v="47"/>
    <x v="0"/>
    <x v="48"/>
    <x v="194"/>
    <x v="2506"/>
    <x v="11"/>
    <x v="11"/>
    <x v="0"/>
  </r>
  <r>
    <x v="5"/>
    <x v="0"/>
    <x v="156"/>
    <x v="4"/>
    <x v="46"/>
    <x v="47"/>
    <x v="3"/>
    <x v="43"/>
    <x v="304"/>
    <x v="2854"/>
    <x v="6"/>
    <x v="6"/>
    <x v="0"/>
  </r>
  <r>
    <x v="5"/>
    <x v="0"/>
    <x v="157"/>
    <x v="4"/>
    <x v="46"/>
    <x v="47"/>
    <x v="2"/>
    <x v="43"/>
    <x v="317"/>
    <x v="2907"/>
    <x v="16"/>
    <x v="16"/>
    <x v="0"/>
  </r>
  <r>
    <x v="5"/>
    <x v="0"/>
    <x v="158"/>
    <x v="4"/>
    <x v="46"/>
    <x v="47"/>
    <x v="1"/>
    <x v="53"/>
    <x v="304"/>
    <x v="2888"/>
    <x v="11"/>
    <x v="11"/>
    <x v="0"/>
  </r>
  <r>
    <x v="5"/>
    <x v="0"/>
    <x v="159"/>
    <x v="4"/>
    <x v="46"/>
    <x v="47"/>
    <x v="5"/>
    <x v="58"/>
    <x v="304"/>
    <x v="2901"/>
    <x v="11"/>
    <x v="11"/>
    <x v="0"/>
  </r>
  <r>
    <x v="5"/>
    <x v="0"/>
    <x v="160"/>
    <x v="4"/>
    <x v="46"/>
    <x v="47"/>
    <x v="4"/>
    <x v="58"/>
    <x v="273"/>
    <x v="2853"/>
    <x v="16"/>
    <x v="16"/>
    <x v="0"/>
  </r>
  <r>
    <x v="5"/>
    <x v="0"/>
    <x v="161"/>
    <x v="4"/>
    <x v="46"/>
    <x v="47"/>
    <x v="0"/>
    <x v="63"/>
    <x v="152"/>
    <x v="2491"/>
    <x v="11"/>
    <x v="11"/>
    <x v="0"/>
  </r>
  <r>
    <x v="5"/>
    <x v="0"/>
    <x v="162"/>
    <x v="4"/>
    <x v="46"/>
    <x v="47"/>
    <x v="3"/>
    <x v="58"/>
    <x v="294"/>
    <x v="2881"/>
    <x v="6"/>
    <x v="6"/>
    <x v="0"/>
  </r>
  <r>
    <x v="5"/>
    <x v="0"/>
    <x v="163"/>
    <x v="4"/>
    <x v="46"/>
    <x v="47"/>
    <x v="2"/>
    <x v="63"/>
    <x v="315"/>
    <x v="2958"/>
    <x v="16"/>
    <x v="16"/>
    <x v="0"/>
  </r>
  <r>
    <x v="5"/>
    <x v="0"/>
    <x v="164"/>
    <x v="4"/>
    <x v="46"/>
    <x v="47"/>
    <x v="1"/>
    <x v="68"/>
    <x v="285"/>
    <x v="2892"/>
    <x v="11"/>
    <x v="11"/>
    <x v="0"/>
  </r>
  <r>
    <x v="5"/>
    <x v="0"/>
    <x v="165"/>
    <x v="4"/>
    <x v="46"/>
    <x v="47"/>
    <x v="5"/>
    <x v="68"/>
    <x v="300"/>
    <x v="2915"/>
    <x v="11"/>
    <x v="11"/>
    <x v="0"/>
  </r>
  <r>
    <x v="5"/>
    <x v="0"/>
    <x v="166"/>
    <x v="4"/>
    <x v="46"/>
    <x v="47"/>
    <x v="4"/>
    <x v="53"/>
    <x v="254"/>
    <x v="2805"/>
    <x v="16"/>
    <x v="16"/>
    <x v="0"/>
  </r>
  <r>
    <x v="5"/>
    <x v="0"/>
    <x v="167"/>
    <x v="4"/>
    <x v="46"/>
    <x v="47"/>
    <x v="0"/>
    <x v="58"/>
    <x v="174"/>
    <x v="2560"/>
    <x v="11"/>
    <x v="11"/>
    <x v="0"/>
  </r>
  <r>
    <x v="5"/>
    <x v="0"/>
    <x v="168"/>
    <x v="4"/>
    <x v="46"/>
    <x v="47"/>
    <x v="3"/>
    <x v="73"/>
    <x v="285"/>
    <x v="2903"/>
    <x v="6"/>
    <x v="6"/>
    <x v="0"/>
  </r>
  <r>
    <x v="5"/>
    <x v="0"/>
    <x v="169"/>
    <x v="4"/>
    <x v="46"/>
    <x v="47"/>
    <x v="2"/>
    <x v="53"/>
    <x v="315"/>
    <x v="2933"/>
    <x v="16"/>
    <x v="16"/>
    <x v="0"/>
  </r>
  <r>
    <x v="5"/>
    <x v="0"/>
    <x v="170"/>
    <x v="4"/>
    <x v="46"/>
    <x v="47"/>
    <x v="1"/>
    <x v="58"/>
    <x v="300"/>
    <x v="2890"/>
    <x v="11"/>
    <x v="11"/>
    <x v="0"/>
  </r>
  <r>
    <x v="5"/>
    <x v="0"/>
    <x v="171"/>
    <x v="4"/>
    <x v="46"/>
    <x v="47"/>
    <x v="5"/>
    <x v="58"/>
    <x v="300"/>
    <x v="2890"/>
    <x v="11"/>
    <x v="11"/>
    <x v="0"/>
  </r>
  <r>
    <x v="5"/>
    <x v="0"/>
    <x v="172"/>
    <x v="4"/>
    <x v="46"/>
    <x v="47"/>
    <x v="4"/>
    <x v="53"/>
    <x v="254"/>
    <x v="2805"/>
    <x v="16"/>
    <x v="16"/>
    <x v="0"/>
  </r>
  <r>
    <x v="5"/>
    <x v="0"/>
    <x v="173"/>
    <x v="4"/>
    <x v="46"/>
    <x v="47"/>
    <x v="0"/>
    <x v="58"/>
    <x v="174"/>
    <x v="2560"/>
    <x v="11"/>
    <x v="11"/>
    <x v="0"/>
  </r>
  <r>
    <x v="5"/>
    <x v="0"/>
    <x v="174"/>
    <x v="4"/>
    <x v="46"/>
    <x v="47"/>
    <x v="3"/>
    <x v="73"/>
    <x v="311"/>
    <x v="2966"/>
    <x v="6"/>
    <x v="6"/>
    <x v="0"/>
  </r>
  <r>
    <x v="5"/>
    <x v="0"/>
    <x v="175"/>
    <x v="4"/>
    <x v="46"/>
    <x v="47"/>
    <x v="2"/>
    <x v="68"/>
    <x v="331"/>
    <x v="3028"/>
    <x v="16"/>
    <x v="16"/>
    <x v="0"/>
  </r>
  <r>
    <x v="5"/>
    <x v="0"/>
    <x v="176"/>
    <x v="4"/>
    <x v="46"/>
    <x v="47"/>
    <x v="1"/>
    <x v="73"/>
    <x v="321"/>
    <x v="3008"/>
    <x v="11"/>
    <x v="11"/>
    <x v="0"/>
  </r>
  <r>
    <x v="5"/>
    <x v="0"/>
    <x v="177"/>
    <x v="4"/>
    <x v="46"/>
    <x v="47"/>
    <x v="5"/>
    <x v="73"/>
    <x v="321"/>
    <x v="3008"/>
    <x v="11"/>
    <x v="11"/>
    <x v="0"/>
  </r>
  <r>
    <x v="5"/>
    <x v="0"/>
    <x v="178"/>
    <x v="4"/>
    <x v="46"/>
    <x v="47"/>
    <x v="4"/>
    <x v="73"/>
    <x v="311"/>
    <x v="2966"/>
    <x v="16"/>
    <x v="16"/>
    <x v="0"/>
  </r>
  <r>
    <x v="5"/>
    <x v="0"/>
    <x v="179"/>
    <x v="4"/>
    <x v="46"/>
    <x v="47"/>
    <x v="0"/>
    <x v="78"/>
    <x v="294"/>
    <x v="2926"/>
    <x v="11"/>
    <x v="11"/>
    <x v="0"/>
  </r>
  <r>
    <x v="5"/>
    <x v="0"/>
    <x v="180"/>
    <x v="4"/>
    <x v="46"/>
    <x v="47"/>
    <x v="3"/>
    <x v="89"/>
    <x v="325"/>
    <x v="3061"/>
    <x v="6"/>
    <x v="6"/>
    <x v="0"/>
  </r>
  <r>
    <x v="5"/>
    <x v="0"/>
    <x v="181"/>
    <x v="4"/>
    <x v="46"/>
    <x v="47"/>
    <x v="2"/>
    <x v="73"/>
    <x v="337"/>
    <x v="3058"/>
    <x v="16"/>
    <x v="16"/>
    <x v="0"/>
  </r>
  <r>
    <x v="5"/>
    <x v="0"/>
    <x v="182"/>
    <x v="4"/>
    <x v="46"/>
    <x v="47"/>
    <x v="1"/>
    <x v="78"/>
    <x v="325"/>
    <x v="3031"/>
    <x v="11"/>
    <x v="11"/>
    <x v="0"/>
  </r>
  <r>
    <x v="5"/>
    <x v="0"/>
    <x v="183"/>
    <x v="4"/>
    <x v="46"/>
    <x v="47"/>
    <x v="5"/>
    <x v="78"/>
    <x v="321"/>
    <x v="3018"/>
    <x v="11"/>
    <x v="11"/>
    <x v="0"/>
  </r>
  <r>
    <x v="5"/>
    <x v="0"/>
    <x v="184"/>
    <x v="4"/>
    <x v="46"/>
    <x v="47"/>
    <x v="4"/>
    <x v="73"/>
    <x v="313"/>
    <x v="2974"/>
    <x v="16"/>
    <x v="16"/>
    <x v="0"/>
  </r>
  <r>
    <x v="5"/>
    <x v="0"/>
    <x v="185"/>
    <x v="4"/>
    <x v="46"/>
    <x v="47"/>
    <x v="0"/>
    <x v="78"/>
    <x v="317"/>
    <x v="3004"/>
    <x v="11"/>
    <x v="11"/>
    <x v="0"/>
  </r>
  <r>
    <x v="5"/>
    <x v="0"/>
    <x v="186"/>
    <x v="4"/>
    <x v="46"/>
    <x v="47"/>
    <x v="3"/>
    <x v="89"/>
    <x v="317"/>
    <x v="3032"/>
    <x v="6"/>
    <x v="6"/>
    <x v="0"/>
  </r>
  <r>
    <x v="5"/>
    <x v="0"/>
    <x v="187"/>
    <x v="4"/>
    <x v="46"/>
    <x v="47"/>
    <x v="2"/>
    <x v="78"/>
    <x v="333"/>
    <x v="3057"/>
    <x v="16"/>
    <x v="16"/>
    <x v="0"/>
  </r>
  <r>
    <x v="5"/>
    <x v="0"/>
    <x v="188"/>
    <x v="4"/>
    <x v="46"/>
    <x v="47"/>
    <x v="1"/>
    <x v="73"/>
    <x v="331"/>
    <x v="3040"/>
    <x v="11"/>
    <x v="11"/>
    <x v="0"/>
  </r>
  <r>
    <x v="5"/>
    <x v="0"/>
    <x v="189"/>
    <x v="4"/>
    <x v="46"/>
    <x v="47"/>
    <x v="5"/>
    <x v="68"/>
    <x v="321"/>
    <x v="2995"/>
    <x v="11"/>
    <x v="11"/>
    <x v="0"/>
  </r>
  <r>
    <x v="5"/>
    <x v="0"/>
    <x v="190"/>
    <x v="4"/>
    <x v="46"/>
    <x v="47"/>
    <x v="4"/>
    <x v="68"/>
    <x v="317"/>
    <x v="2981"/>
    <x v="16"/>
    <x v="16"/>
    <x v="0"/>
  </r>
  <r>
    <x v="5"/>
    <x v="0"/>
    <x v="191"/>
    <x v="4"/>
    <x v="46"/>
    <x v="47"/>
    <x v="0"/>
    <x v="68"/>
    <x v="317"/>
    <x v="2981"/>
    <x v="11"/>
    <x v="11"/>
    <x v="0"/>
  </r>
  <r>
    <x v="5"/>
    <x v="0"/>
    <x v="192"/>
    <x v="4"/>
    <x v="46"/>
    <x v="47"/>
    <x v="3"/>
    <x v="73"/>
    <x v="300"/>
    <x v="2927"/>
    <x v="6"/>
    <x v="6"/>
    <x v="0"/>
  </r>
  <r>
    <x v="5"/>
    <x v="0"/>
    <x v="193"/>
    <x v="4"/>
    <x v="46"/>
    <x v="47"/>
    <x v="2"/>
    <x v="63"/>
    <x v="319"/>
    <x v="2974"/>
    <x v="16"/>
    <x v="16"/>
    <x v="0"/>
  </r>
  <r>
    <x v="5"/>
    <x v="0"/>
    <x v="194"/>
    <x v="4"/>
    <x v="46"/>
    <x v="47"/>
    <x v="1"/>
    <x v="68"/>
    <x v="319"/>
    <x v="2987"/>
    <x v="11"/>
    <x v="11"/>
    <x v="0"/>
  </r>
  <r>
    <x v="5"/>
    <x v="0"/>
    <x v="195"/>
    <x v="4"/>
    <x v="46"/>
    <x v="47"/>
    <x v="5"/>
    <x v="63"/>
    <x v="307"/>
    <x v="2924"/>
    <x v="11"/>
    <x v="11"/>
    <x v="0"/>
  </r>
  <r>
    <x v="5"/>
    <x v="0"/>
    <x v="196"/>
    <x v="4"/>
    <x v="46"/>
    <x v="47"/>
    <x v="4"/>
    <x v="63"/>
    <x v="300"/>
    <x v="2903"/>
    <x v="16"/>
    <x v="16"/>
    <x v="0"/>
  </r>
  <r>
    <x v="5"/>
    <x v="0"/>
    <x v="197"/>
    <x v="4"/>
    <x v="46"/>
    <x v="47"/>
    <x v="0"/>
    <x v="73"/>
    <x v="304"/>
    <x v="2936"/>
    <x v="11"/>
    <x v="11"/>
    <x v="0"/>
  </r>
  <r>
    <x v="5"/>
    <x v="0"/>
    <x v="198"/>
    <x v="4"/>
    <x v="46"/>
    <x v="47"/>
    <x v="3"/>
    <x v="58"/>
    <x v="307"/>
    <x v="2910"/>
    <x v="6"/>
    <x v="6"/>
    <x v="0"/>
  </r>
  <r>
    <x v="5"/>
    <x v="0"/>
    <x v="199"/>
    <x v="4"/>
    <x v="46"/>
    <x v="47"/>
    <x v="2"/>
    <x v="53"/>
    <x v="315"/>
    <x v="2933"/>
    <x v="16"/>
    <x v="16"/>
    <x v="0"/>
  </r>
  <r>
    <x v="5"/>
    <x v="0"/>
    <x v="200"/>
    <x v="4"/>
    <x v="46"/>
    <x v="47"/>
    <x v="1"/>
    <x v="58"/>
    <x v="315"/>
    <x v="2945"/>
    <x v="11"/>
    <x v="11"/>
    <x v="0"/>
  </r>
  <r>
    <x v="5"/>
    <x v="0"/>
    <x v="201"/>
    <x v="4"/>
    <x v="46"/>
    <x v="47"/>
    <x v="5"/>
    <x v="53"/>
    <x v="294"/>
    <x v="2866"/>
    <x v="11"/>
    <x v="11"/>
    <x v="0"/>
  </r>
  <r>
    <x v="5"/>
    <x v="0"/>
    <x v="202"/>
    <x v="4"/>
    <x v="46"/>
    <x v="47"/>
    <x v="4"/>
    <x v="53"/>
    <x v="285"/>
    <x v="2852"/>
    <x v="16"/>
    <x v="16"/>
    <x v="0"/>
  </r>
  <r>
    <x v="5"/>
    <x v="0"/>
    <x v="203"/>
    <x v="4"/>
    <x v="46"/>
    <x v="47"/>
    <x v="0"/>
    <x v="63"/>
    <x v="273"/>
    <x v="2867"/>
    <x v="11"/>
    <x v="11"/>
    <x v="0"/>
  </r>
  <r>
    <x v="5"/>
    <x v="0"/>
    <x v="204"/>
    <x v="4"/>
    <x v="46"/>
    <x v="47"/>
    <x v="3"/>
    <x v="68"/>
    <x v="294"/>
    <x v="2904"/>
    <x v="6"/>
    <x v="6"/>
    <x v="0"/>
  </r>
  <r>
    <x v="5"/>
    <x v="0"/>
    <x v="205"/>
    <x v="4"/>
    <x v="46"/>
    <x v="47"/>
    <x v="2"/>
    <x v="53"/>
    <x v="319"/>
    <x v="2947"/>
    <x v="16"/>
    <x v="16"/>
    <x v="0"/>
  </r>
  <r>
    <x v="5"/>
    <x v="0"/>
    <x v="206"/>
    <x v="4"/>
    <x v="46"/>
    <x v="47"/>
    <x v="1"/>
    <x v="58"/>
    <x v="321"/>
    <x v="2970"/>
    <x v="11"/>
    <x v="11"/>
    <x v="0"/>
  </r>
  <r>
    <x v="5"/>
    <x v="0"/>
    <x v="207"/>
    <x v="4"/>
    <x v="46"/>
    <x v="47"/>
    <x v="5"/>
    <x v="53"/>
    <x v="309"/>
    <x v="2906"/>
    <x v="11"/>
    <x v="11"/>
    <x v="0"/>
  </r>
  <r>
    <x v="5"/>
    <x v="0"/>
    <x v="208"/>
    <x v="4"/>
    <x v="46"/>
    <x v="47"/>
    <x v="4"/>
    <x v="63"/>
    <x v="307"/>
    <x v="2924"/>
    <x v="16"/>
    <x v="16"/>
    <x v="0"/>
  </r>
  <r>
    <x v="5"/>
    <x v="0"/>
    <x v="209"/>
    <x v="4"/>
    <x v="46"/>
    <x v="47"/>
    <x v="0"/>
    <x v="83"/>
    <x v="304"/>
    <x v="2957"/>
    <x v="11"/>
    <x v="11"/>
    <x v="0"/>
  </r>
  <r>
    <x v="5"/>
    <x v="0"/>
    <x v="210"/>
    <x v="4"/>
    <x v="46"/>
    <x v="47"/>
    <x v="3"/>
    <x v="85"/>
    <x v="315"/>
    <x v="3016"/>
    <x v="6"/>
    <x v="6"/>
    <x v="0"/>
  </r>
  <r>
    <x v="5"/>
    <x v="0"/>
    <x v="211"/>
    <x v="4"/>
    <x v="46"/>
    <x v="47"/>
    <x v="2"/>
    <x v="73"/>
    <x v="331"/>
    <x v="3040"/>
    <x v="16"/>
    <x v="16"/>
    <x v="0"/>
  </r>
  <r>
    <x v="5"/>
    <x v="0"/>
    <x v="212"/>
    <x v="4"/>
    <x v="46"/>
    <x v="47"/>
    <x v="1"/>
    <x v="78"/>
    <x v="331"/>
    <x v="3051"/>
    <x v="11"/>
    <x v="11"/>
    <x v="0"/>
  </r>
  <r>
    <x v="5"/>
    <x v="0"/>
    <x v="213"/>
    <x v="4"/>
    <x v="46"/>
    <x v="47"/>
    <x v="5"/>
    <x v="73"/>
    <x v="315"/>
    <x v="2985"/>
    <x v="11"/>
    <x v="11"/>
    <x v="0"/>
  </r>
  <r>
    <x v="5"/>
    <x v="0"/>
    <x v="214"/>
    <x v="4"/>
    <x v="46"/>
    <x v="47"/>
    <x v="4"/>
    <x v="73"/>
    <x v="315"/>
    <x v="2985"/>
    <x v="16"/>
    <x v="16"/>
    <x v="0"/>
  </r>
  <r>
    <x v="5"/>
    <x v="0"/>
    <x v="215"/>
    <x v="4"/>
    <x v="46"/>
    <x v="47"/>
    <x v="0"/>
    <x v="83"/>
    <x v="309"/>
    <x v="2979"/>
    <x v="11"/>
    <x v="11"/>
    <x v="0"/>
  </r>
  <r>
    <x v="5"/>
    <x v="0"/>
    <x v="216"/>
    <x v="4"/>
    <x v="46"/>
    <x v="47"/>
    <x v="3"/>
    <x v="85"/>
    <x v="317"/>
    <x v="3023"/>
    <x v="6"/>
    <x v="6"/>
    <x v="0"/>
  </r>
  <r>
    <x v="1"/>
    <x v="1"/>
    <x v="217"/>
    <x v="4"/>
    <x v="46"/>
    <x v="47"/>
    <x v="2"/>
    <x v="38"/>
    <x v="351"/>
    <x v="2997"/>
    <x v="31"/>
    <x v="31"/>
    <x v="0"/>
  </r>
  <r>
    <x v="1"/>
    <x v="1"/>
    <x v="218"/>
    <x v="4"/>
    <x v="46"/>
    <x v="47"/>
    <x v="1"/>
    <x v="38"/>
    <x v="338"/>
    <x v="2957"/>
    <x v="21"/>
    <x v="21"/>
    <x v="0"/>
  </r>
  <r>
    <x v="1"/>
    <x v="1"/>
    <x v="219"/>
    <x v="4"/>
    <x v="46"/>
    <x v="47"/>
    <x v="5"/>
    <x v="28"/>
    <x v="338"/>
    <x v="2912"/>
    <x v="11"/>
    <x v="11"/>
    <x v="0"/>
  </r>
  <r>
    <x v="1"/>
    <x v="1"/>
    <x v="220"/>
    <x v="4"/>
    <x v="46"/>
    <x v="47"/>
    <x v="4"/>
    <x v="33"/>
    <x v="327"/>
    <x v="2903"/>
    <x v="16"/>
    <x v="16"/>
    <x v="0"/>
  </r>
  <r>
    <x v="1"/>
    <x v="1"/>
    <x v="221"/>
    <x v="3"/>
    <x v="8"/>
    <x v="31"/>
    <x v="0"/>
    <x v="48"/>
    <x v="331"/>
    <x v="2972"/>
    <x v="21"/>
    <x v="21"/>
    <x v="0"/>
  </r>
  <r>
    <x v="1"/>
    <x v="1"/>
    <x v="222"/>
    <x v="3"/>
    <x v="8"/>
    <x v="31"/>
    <x v="3"/>
    <x v="38"/>
    <x v="338"/>
    <x v="2957"/>
    <x v="36"/>
    <x v="36"/>
    <x v="0"/>
  </r>
  <r>
    <x v="1"/>
    <x v="1"/>
    <x v="223"/>
    <x v="3"/>
    <x v="8"/>
    <x v="31"/>
    <x v="2"/>
    <x v="38"/>
    <x v="354"/>
    <x v="3006"/>
    <x v="31"/>
    <x v="31"/>
    <x v="0"/>
  </r>
  <r>
    <x v="1"/>
    <x v="1"/>
    <x v="224"/>
    <x v="3"/>
    <x v="8"/>
    <x v="31"/>
    <x v="1"/>
    <x v="38"/>
    <x v="331"/>
    <x v="2935"/>
    <x v="21"/>
    <x v="21"/>
    <x v="0"/>
  </r>
  <r>
    <x v="1"/>
    <x v="1"/>
    <x v="225"/>
    <x v="3"/>
    <x v="8"/>
    <x v="31"/>
    <x v="5"/>
    <x v="28"/>
    <x v="335"/>
    <x v="2903"/>
    <x v="11"/>
    <x v="11"/>
    <x v="0"/>
  </r>
  <r>
    <x v="5"/>
    <x v="1"/>
    <x v="226"/>
    <x v="3"/>
    <x v="8"/>
    <x v="31"/>
    <x v="4"/>
    <x v="33"/>
    <x v="325"/>
    <x v="2895"/>
    <x v="16"/>
    <x v="16"/>
    <x v="0"/>
  </r>
  <r>
    <x v="1"/>
    <x v="1"/>
    <x v="227"/>
    <x v="3"/>
    <x v="8"/>
    <x v="31"/>
    <x v="0"/>
    <x v="48"/>
    <x v="331"/>
    <x v="2972"/>
    <x v="21"/>
    <x v="21"/>
    <x v="0"/>
  </r>
  <r>
    <x v="1"/>
    <x v="1"/>
    <x v="228"/>
    <x v="3"/>
    <x v="8"/>
    <x v="31"/>
    <x v="3"/>
    <x v="38"/>
    <x v="338"/>
    <x v="2957"/>
    <x v="36"/>
    <x v="36"/>
    <x v="0"/>
  </r>
  <r>
    <x v="1"/>
    <x v="1"/>
    <x v="229"/>
    <x v="3"/>
    <x v="8"/>
    <x v="31"/>
    <x v="2"/>
    <x v="38"/>
    <x v="352"/>
    <x v="3002"/>
    <x v="31"/>
    <x v="31"/>
    <x v="0"/>
  </r>
  <r>
    <x v="1"/>
    <x v="1"/>
    <x v="230"/>
    <x v="3"/>
    <x v="8"/>
    <x v="31"/>
    <x v="1"/>
    <x v="38"/>
    <x v="331"/>
    <x v="2935"/>
    <x v="21"/>
    <x v="21"/>
    <x v="0"/>
  </r>
  <r>
    <x v="1"/>
    <x v="1"/>
    <x v="231"/>
    <x v="3"/>
    <x v="8"/>
    <x v="31"/>
    <x v="5"/>
    <x v="28"/>
    <x v="333"/>
    <x v="2896"/>
    <x v="11"/>
    <x v="11"/>
    <x v="0"/>
  </r>
  <r>
    <x v="1"/>
    <x v="1"/>
    <x v="232"/>
    <x v="3"/>
    <x v="8"/>
    <x v="31"/>
    <x v="4"/>
    <x v="33"/>
    <x v="321"/>
    <x v="2886"/>
    <x v="16"/>
    <x v="16"/>
    <x v="0"/>
  </r>
  <r>
    <x v="1"/>
    <x v="1"/>
    <x v="233"/>
    <x v="3"/>
    <x v="8"/>
    <x v="31"/>
    <x v="0"/>
    <x v="48"/>
    <x v="325"/>
    <x v="2952"/>
    <x v="21"/>
    <x v="21"/>
    <x v="0"/>
  </r>
  <r>
    <x v="1"/>
    <x v="1"/>
    <x v="234"/>
    <x v="3"/>
    <x v="8"/>
    <x v="31"/>
    <x v="3"/>
    <x v="38"/>
    <x v="333"/>
    <x v="2941"/>
    <x v="36"/>
    <x v="36"/>
    <x v="0"/>
  </r>
  <r>
    <x v="1"/>
    <x v="1"/>
    <x v="113"/>
    <x v="3"/>
    <x v="8"/>
    <x v="31"/>
    <x v="2"/>
    <x v="38"/>
    <x v="349"/>
    <x v="2991"/>
    <x v="31"/>
    <x v="31"/>
    <x v="0"/>
  </r>
  <r>
    <x v="1"/>
    <x v="1"/>
    <x v="113"/>
    <x v="3"/>
    <x v="8"/>
    <x v="31"/>
    <x v="1"/>
    <x v="38"/>
    <x v="329"/>
    <x v="2930"/>
    <x v="21"/>
    <x v="21"/>
    <x v="0"/>
  </r>
  <r>
    <x v="5"/>
    <x v="1"/>
    <x v="113"/>
    <x v="3"/>
    <x v="8"/>
    <x v="31"/>
    <x v="5"/>
    <x v="28"/>
    <x v="329"/>
    <x v="2887"/>
    <x v="11"/>
    <x v="11"/>
    <x v="0"/>
  </r>
  <r>
    <x v="5"/>
    <x v="1"/>
    <x v="113"/>
    <x v="3"/>
    <x v="8"/>
    <x v="31"/>
    <x v="4"/>
    <x v="33"/>
    <x v="323"/>
    <x v="2890"/>
    <x v="16"/>
    <x v="16"/>
    <x v="0"/>
  </r>
  <r>
    <x v="5"/>
    <x v="1"/>
    <x v="113"/>
    <x v="3"/>
    <x v="8"/>
    <x v="31"/>
    <x v="0"/>
    <x v="48"/>
    <x v="325"/>
    <x v="2952"/>
    <x v="21"/>
    <x v="21"/>
    <x v="0"/>
  </r>
  <r>
    <x v="5"/>
    <x v="1"/>
    <x v="113"/>
    <x v="3"/>
    <x v="8"/>
    <x v="31"/>
    <x v="3"/>
    <x v="38"/>
    <x v="335"/>
    <x v="2947"/>
    <x v="36"/>
    <x v="36"/>
    <x v="0"/>
  </r>
  <r>
    <x v="5"/>
    <x v="1"/>
    <x v="113"/>
    <x v="3"/>
    <x v="8"/>
    <x v="31"/>
    <x v="2"/>
    <x v="48"/>
    <x v="352"/>
    <x v="3037"/>
    <x v="31"/>
    <x v="31"/>
    <x v="0"/>
  </r>
  <r>
    <x v="5"/>
    <x v="1"/>
    <x v="113"/>
    <x v="3"/>
    <x v="8"/>
    <x v="31"/>
    <x v="1"/>
    <x v="48"/>
    <x v="333"/>
    <x v="2978"/>
    <x v="21"/>
    <x v="21"/>
    <x v="0"/>
  </r>
  <r>
    <x v="5"/>
    <x v="1"/>
    <x v="113"/>
    <x v="3"/>
    <x v="8"/>
    <x v="31"/>
    <x v="5"/>
    <x v="43"/>
    <x v="331"/>
    <x v="2955"/>
    <x v="11"/>
    <x v="11"/>
    <x v="0"/>
  </r>
  <r>
    <x v="5"/>
    <x v="1"/>
    <x v="113"/>
    <x v="3"/>
    <x v="8"/>
    <x v="31"/>
    <x v="4"/>
    <x v="43"/>
    <x v="327"/>
    <x v="2942"/>
    <x v="16"/>
    <x v="16"/>
    <x v="0"/>
  </r>
  <r>
    <x v="5"/>
    <x v="1"/>
    <x v="113"/>
    <x v="3"/>
    <x v="8"/>
    <x v="31"/>
    <x v="0"/>
    <x v="53"/>
    <x v="329"/>
    <x v="2982"/>
    <x v="21"/>
    <x v="21"/>
    <x v="0"/>
  </r>
  <r>
    <x v="5"/>
    <x v="1"/>
    <x v="113"/>
    <x v="3"/>
    <x v="8"/>
    <x v="31"/>
    <x v="3"/>
    <x v="58"/>
    <x v="337"/>
    <x v="3019"/>
    <x v="36"/>
    <x v="36"/>
    <x v="0"/>
  </r>
  <r>
    <x v="5"/>
    <x v="1"/>
    <x v="113"/>
    <x v="3"/>
    <x v="8"/>
    <x v="31"/>
    <x v="2"/>
    <x v="53"/>
    <x v="353"/>
    <x v="3053"/>
    <x v="31"/>
    <x v="31"/>
    <x v="0"/>
  </r>
  <r>
    <x v="5"/>
    <x v="1"/>
    <x v="113"/>
    <x v="3"/>
    <x v="8"/>
    <x v="31"/>
    <x v="1"/>
    <x v="48"/>
    <x v="337"/>
    <x v="2988"/>
    <x v="21"/>
    <x v="21"/>
    <x v="0"/>
  </r>
  <r>
    <x v="5"/>
    <x v="1"/>
    <x v="249"/>
    <x v="3"/>
    <x v="8"/>
    <x v="31"/>
    <x v="5"/>
    <x v="43"/>
    <x v="335"/>
    <x v="2966"/>
    <x v="11"/>
    <x v="11"/>
    <x v="0"/>
  </r>
  <r>
    <x v="5"/>
    <x v="1"/>
    <x v="250"/>
    <x v="3"/>
    <x v="8"/>
    <x v="31"/>
    <x v="4"/>
    <x v="43"/>
    <x v="333"/>
    <x v="2960"/>
    <x v="16"/>
    <x v="16"/>
    <x v="0"/>
  </r>
  <r>
    <x v="5"/>
    <x v="1"/>
    <x v="251"/>
    <x v="3"/>
    <x v="8"/>
    <x v="31"/>
    <x v="0"/>
    <x v="58"/>
    <x v="333"/>
    <x v="3009"/>
    <x v="21"/>
    <x v="21"/>
    <x v="0"/>
  </r>
  <r>
    <x v="5"/>
    <x v="1"/>
    <x v="252"/>
    <x v="3"/>
    <x v="8"/>
    <x v="31"/>
    <x v="3"/>
    <x v="63"/>
    <x v="343"/>
    <x v="3054"/>
    <x v="36"/>
    <x v="36"/>
    <x v="0"/>
  </r>
  <r>
    <x v="5"/>
    <x v="1"/>
    <x v="253"/>
    <x v="3"/>
    <x v="8"/>
    <x v="31"/>
    <x v="2"/>
    <x v="58"/>
    <x v="356"/>
    <x v="3074"/>
    <x v="31"/>
    <x v="31"/>
    <x v="0"/>
  </r>
  <r>
    <x v="5"/>
    <x v="1"/>
    <x v="254"/>
    <x v="3"/>
    <x v="8"/>
    <x v="31"/>
    <x v="1"/>
    <x v="53"/>
    <x v="341"/>
    <x v="3020"/>
    <x v="21"/>
    <x v="21"/>
    <x v="0"/>
  </r>
  <r>
    <x v="5"/>
    <x v="1"/>
    <x v="255"/>
    <x v="3"/>
    <x v="8"/>
    <x v="31"/>
    <x v="5"/>
    <x v="48"/>
    <x v="337"/>
    <x v="2988"/>
    <x v="11"/>
    <x v="11"/>
    <x v="0"/>
  </r>
  <r>
    <x v="5"/>
    <x v="1"/>
    <x v="256"/>
    <x v="3"/>
    <x v="8"/>
    <x v="31"/>
    <x v="4"/>
    <x v="48"/>
    <x v="333"/>
    <x v="2978"/>
    <x v="16"/>
    <x v="16"/>
    <x v="0"/>
  </r>
  <r>
    <x v="5"/>
    <x v="1"/>
    <x v="257"/>
    <x v="3"/>
    <x v="8"/>
    <x v="31"/>
    <x v="0"/>
    <x v="58"/>
    <x v="335"/>
    <x v="3015"/>
    <x v="21"/>
    <x v="21"/>
    <x v="0"/>
  </r>
  <r>
    <x v="5"/>
    <x v="1"/>
    <x v="258"/>
    <x v="3"/>
    <x v="8"/>
    <x v="31"/>
    <x v="3"/>
    <x v="63"/>
    <x v="346"/>
    <x v="3063"/>
    <x v="36"/>
    <x v="36"/>
    <x v="0"/>
  </r>
  <r>
    <x v="5"/>
    <x v="1"/>
    <x v="259"/>
    <x v="3"/>
    <x v="8"/>
    <x v="31"/>
    <x v="2"/>
    <x v="58"/>
    <x v="355"/>
    <x v="3071"/>
    <x v="31"/>
    <x v="31"/>
    <x v="0"/>
  </r>
  <r>
    <x v="5"/>
    <x v="1"/>
    <x v="260"/>
    <x v="3"/>
    <x v="8"/>
    <x v="31"/>
    <x v="1"/>
    <x v="53"/>
    <x v="341"/>
    <x v="3020"/>
    <x v="21"/>
    <x v="21"/>
    <x v="0"/>
  </r>
  <r>
    <x v="5"/>
    <x v="1"/>
    <x v="261"/>
    <x v="3"/>
    <x v="8"/>
    <x v="31"/>
    <x v="5"/>
    <x v="48"/>
    <x v="337"/>
    <x v="2988"/>
    <x v="11"/>
    <x v="11"/>
    <x v="0"/>
  </r>
  <r>
    <x v="1"/>
    <x v="1"/>
    <x v="262"/>
    <x v="3"/>
    <x v="8"/>
    <x v="31"/>
    <x v="4"/>
    <x v="38"/>
    <x v="333"/>
    <x v="2941"/>
    <x v="16"/>
    <x v="16"/>
    <x v="0"/>
  </r>
  <r>
    <x v="1"/>
    <x v="1"/>
    <x v="263"/>
    <x v="3"/>
    <x v="8"/>
    <x v="31"/>
    <x v="0"/>
    <x v="48"/>
    <x v="331"/>
    <x v="2972"/>
    <x v="21"/>
    <x v="21"/>
    <x v="0"/>
  </r>
  <r>
    <x v="1"/>
    <x v="1"/>
    <x v="264"/>
    <x v="3"/>
    <x v="8"/>
    <x v="31"/>
    <x v="3"/>
    <x v="53"/>
    <x v="343"/>
    <x v="3026"/>
    <x v="36"/>
    <x v="36"/>
    <x v="0"/>
  </r>
  <r>
    <x v="1"/>
    <x v="1"/>
    <x v="265"/>
    <x v="3"/>
    <x v="8"/>
    <x v="31"/>
    <x v="2"/>
    <x v="48"/>
    <x v="351"/>
    <x v="3033"/>
    <x v="31"/>
    <x v="31"/>
    <x v="0"/>
  </r>
  <r>
    <x v="1"/>
    <x v="1"/>
    <x v="266"/>
    <x v="3"/>
    <x v="8"/>
    <x v="31"/>
    <x v="1"/>
    <x v="43"/>
    <x v="338"/>
    <x v="2976"/>
    <x v="21"/>
    <x v="21"/>
    <x v="0"/>
  </r>
  <r>
    <x v="3"/>
    <x v="1"/>
    <x v="267"/>
    <x v="3"/>
    <x v="8"/>
    <x v="31"/>
    <x v="5"/>
    <x v="38"/>
    <x v="331"/>
    <x v="2935"/>
    <x v="11"/>
    <x v="11"/>
    <x v="0"/>
  </r>
  <r>
    <x v="3"/>
    <x v="1"/>
    <x v="268"/>
    <x v="3"/>
    <x v="8"/>
    <x v="31"/>
    <x v="4"/>
    <x v="38"/>
    <x v="329"/>
    <x v="2930"/>
    <x v="16"/>
    <x v="16"/>
    <x v="0"/>
  </r>
  <r>
    <x v="3"/>
    <x v="1"/>
    <x v="269"/>
    <x v="3"/>
    <x v="8"/>
    <x v="31"/>
    <x v="0"/>
    <x v="48"/>
    <x v="329"/>
    <x v="2965"/>
    <x v="21"/>
    <x v="21"/>
    <x v="0"/>
  </r>
  <r>
    <x v="3"/>
    <x v="1"/>
    <x v="270"/>
    <x v="3"/>
    <x v="8"/>
    <x v="31"/>
    <x v="3"/>
    <x v="53"/>
    <x v="337"/>
    <x v="3006"/>
    <x v="36"/>
    <x v="36"/>
    <x v="0"/>
  </r>
  <r>
    <x v="3"/>
    <x v="1"/>
    <x v="271"/>
    <x v="3"/>
    <x v="8"/>
    <x v="31"/>
    <x v="2"/>
    <x v="53"/>
    <x v="347"/>
    <x v="3040"/>
    <x v="31"/>
    <x v="31"/>
    <x v="0"/>
  </r>
  <r>
    <x v="3"/>
    <x v="1"/>
    <x v="272"/>
    <x v="3"/>
    <x v="8"/>
    <x v="31"/>
    <x v="1"/>
    <x v="43"/>
    <x v="337"/>
    <x v="2972"/>
    <x v="21"/>
    <x v="21"/>
    <x v="0"/>
  </r>
  <r>
    <x v="3"/>
    <x v="1"/>
    <x v="273"/>
    <x v="3"/>
    <x v="8"/>
    <x v="31"/>
    <x v="5"/>
    <x v="43"/>
    <x v="329"/>
    <x v="2948"/>
    <x v="11"/>
    <x v="11"/>
    <x v="0"/>
  </r>
  <r>
    <x v="3"/>
    <x v="1"/>
    <x v="274"/>
    <x v="3"/>
    <x v="8"/>
    <x v="31"/>
    <x v="4"/>
    <x v="43"/>
    <x v="327"/>
    <x v="2942"/>
    <x v="16"/>
    <x v="16"/>
    <x v="0"/>
  </r>
  <r>
    <x v="3"/>
    <x v="1"/>
    <x v="275"/>
    <x v="3"/>
    <x v="8"/>
    <x v="31"/>
    <x v="0"/>
    <x v="53"/>
    <x v="327"/>
    <x v="2974"/>
    <x v="21"/>
    <x v="21"/>
    <x v="0"/>
  </r>
  <r>
    <x v="3"/>
    <x v="1"/>
    <x v="276"/>
    <x v="3"/>
    <x v="8"/>
    <x v="31"/>
    <x v="3"/>
    <x v="58"/>
    <x v="337"/>
    <x v="3019"/>
    <x v="36"/>
    <x v="36"/>
    <x v="0"/>
  </r>
  <r>
    <x v="3"/>
    <x v="1"/>
    <x v="277"/>
    <x v="3"/>
    <x v="8"/>
    <x v="31"/>
    <x v="2"/>
    <x v="53"/>
    <x v="346"/>
    <x v="3036"/>
    <x v="31"/>
    <x v="31"/>
    <x v="0"/>
  </r>
  <r>
    <x v="3"/>
    <x v="1"/>
    <x v="278"/>
    <x v="3"/>
    <x v="8"/>
    <x v="31"/>
    <x v="1"/>
    <x v="43"/>
    <x v="335"/>
    <x v="2966"/>
    <x v="21"/>
    <x v="21"/>
    <x v="0"/>
  </r>
  <r>
    <x v="3"/>
    <x v="1"/>
    <x v="279"/>
    <x v="3"/>
    <x v="8"/>
    <x v="31"/>
    <x v="5"/>
    <x v="43"/>
    <x v="330"/>
    <x v="2953"/>
    <x v="11"/>
    <x v="11"/>
    <x v="0"/>
  </r>
  <r>
    <x v="3"/>
    <x v="1"/>
    <x v="280"/>
    <x v="3"/>
    <x v="8"/>
    <x v="31"/>
    <x v="4"/>
    <x v="43"/>
    <x v="333"/>
    <x v="2960"/>
    <x v="16"/>
    <x v="16"/>
    <x v="0"/>
  </r>
  <r>
    <x v="3"/>
    <x v="1"/>
    <x v="281"/>
    <x v="3"/>
    <x v="8"/>
    <x v="31"/>
    <x v="0"/>
    <x v="58"/>
    <x v="331"/>
    <x v="3003"/>
    <x v="21"/>
    <x v="21"/>
    <x v="0"/>
  </r>
  <r>
    <x v="3"/>
    <x v="1"/>
    <x v="282"/>
    <x v="3"/>
    <x v="8"/>
    <x v="31"/>
    <x v="3"/>
    <x v="63"/>
    <x v="338"/>
    <x v="3039"/>
    <x v="36"/>
    <x v="36"/>
    <x v="0"/>
  </r>
  <r>
    <x v="3"/>
    <x v="1"/>
    <x v="143"/>
    <x v="3"/>
    <x v="8"/>
    <x v="31"/>
    <x v="2"/>
    <x v="58"/>
    <x v="353"/>
    <x v="3064"/>
    <x v="31"/>
    <x v="31"/>
    <x v="0"/>
  </r>
  <r>
    <x v="3"/>
    <x v="1"/>
    <x v="143"/>
    <x v="3"/>
    <x v="8"/>
    <x v="31"/>
    <x v="1"/>
    <x v="48"/>
    <x v="340"/>
    <x v="3001"/>
    <x v="21"/>
    <x v="21"/>
    <x v="0"/>
  </r>
  <r>
    <x v="3"/>
    <x v="1"/>
    <x v="143"/>
    <x v="3"/>
    <x v="8"/>
    <x v="31"/>
    <x v="5"/>
    <x v="48"/>
    <x v="337"/>
    <x v="2988"/>
    <x v="11"/>
    <x v="11"/>
    <x v="0"/>
  </r>
  <r>
    <x v="3"/>
    <x v="1"/>
    <x v="143"/>
    <x v="3"/>
    <x v="8"/>
    <x v="31"/>
    <x v="4"/>
    <x v="48"/>
    <x v="333"/>
    <x v="2978"/>
    <x v="16"/>
    <x v="16"/>
    <x v="0"/>
  </r>
  <r>
    <x v="1"/>
    <x v="1"/>
    <x v="143"/>
    <x v="3"/>
    <x v="8"/>
    <x v="31"/>
    <x v="0"/>
    <x v="58"/>
    <x v="333"/>
    <x v="3009"/>
    <x v="21"/>
    <x v="21"/>
    <x v="0"/>
  </r>
  <r>
    <x v="1"/>
    <x v="1"/>
    <x v="143"/>
    <x v="3"/>
    <x v="8"/>
    <x v="31"/>
    <x v="3"/>
    <x v="63"/>
    <x v="340"/>
    <x v="3043"/>
    <x v="36"/>
    <x v="36"/>
    <x v="0"/>
  </r>
  <r>
    <x v="1"/>
    <x v="1"/>
    <x v="283"/>
    <x v="3"/>
    <x v="8"/>
    <x v="31"/>
    <x v="2"/>
    <x v="28"/>
    <x v="307"/>
    <x v="2727"/>
    <x v="21"/>
    <x v="21"/>
    <x v="0"/>
  </r>
  <r>
    <x v="1"/>
    <x v="1"/>
    <x v="284"/>
    <x v="3"/>
    <x v="8"/>
    <x v="31"/>
    <x v="1"/>
    <x v="28"/>
    <x v="212"/>
    <x v="2022"/>
    <x v="16"/>
    <x v="16"/>
    <x v="0"/>
  </r>
  <r>
    <x v="1"/>
    <x v="1"/>
    <x v="285"/>
    <x v="3"/>
    <x v="8"/>
    <x v="31"/>
    <x v="5"/>
    <x v="18"/>
    <x v="212"/>
    <x v="1502"/>
    <x v="16"/>
    <x v="16"/>
    <x v="0"/>
  </r>
  <r>
    <x v="1"/>
    <x v="1"/>
    <x v="286"/>
    <x v="3"/>
    <x v="8"/>
    <x v="31"/>
    <x v="4"/>
    <x v="23"/>
    <x v="82"/>
    <x v="672"/>
    <x v="21"/>
    <x v="21"/>
    <x v="0"/>
  </r>
  <r>
    <x v="1"/>
    <x v="1"/>
    <x v="287"/>
    <x v="0"/>
    <x v="22"/>
    <x v="33"/>
    <x v="0"/>
    <x v="38"/>
    <x v="129"/>
    <x v="1617"/>
    <x v="16"/>
    <x v="16"/>
    <x v="0"/>
  </r>
  <r>
    <x v="1"/>
    <x v="1"/>
    <x v="288"/>
    <x v="0"/>
    <x v="22"/>
    <x v="33"/>
    <x v="3"/>
    <x v="28"/>
    <x v="212"/>
    <x v="2022"/>
    <x v="31"/>
    <x v="31"/>
    <x v="0"/>
  </r>
  <r>
    <x v="1"/>
    <x v="1"/>
    <x v="289"/>
    <x v="0"/>
    <x v="22"/>
    <x v="33"/>
    <x v="2"/>
    <x v="28"/>
    <x v="311"/>
    <x v="2793"/>
    <x v="21"/>
    <x v="21"/>
    <x v="0"/>
  </r>
  <r>
    <x v="1"/>
    <x v="1"/>
    <x v="290"/>
    <x v="0"/>
    <x v="22"/>
    <x v="33"/>
    <x v="1"/>
    <x v="28"/>
    <x v="129"/>
    <x v="1267"/>
    <x v="16"/>
    <x v="16"/>
    <x v="0"/>
  </r>
  <r>
    <x v="1"/>
    <x v="1"/>
    <x v="291"/>
    <x v="0"/>
    <x v="22"/>
    <x v="33"/>
    <x v="5"/>
    <x v="18"/>
    <x v="174"/>
    <x v="1208"/>
    <x v="16"/>
    <x v="16"/>
    <x v="0"/>
  </r>
  <r>
    <x v="1"/>
    <x v="1"/>
    <x v="292"/>
    <x v="0"/>
    <x v="22"/>
    <x v="33"/>
    <x v="4"/>
    <x v="23"/>
    <x v="62"/>
    <x v="461"/>
    <x v="21"/>
    <x v="21"/>
    <x v="0"/>
  </r>
  <r>
    <x v="1"/>
    <x v="1"/>
    <x v="293"/>
    <x v="0"/>
    <x v="22"/>
    <x v="33"/>
    <x v="0"/>
    <x v="38"/>
    <x v="129"/>
    <x v="1617"/>
    <x v="16"/>
    <x v="16"/>
    <x v="0"/>
  </r>
  <r>
    <x v="1"/>
    <x v="1"/>
    <x v="294"/>
    <x v="0"/>
    <x v="22"/>
    <x v="33"/>
    <x v="3"/>
    <x v="28"/>
    <x v="194"/>
    <x v="1857"/>
    <x v="31"/>
    <x v="31"/>
    <x v="0"/>
  </r>
  <r>
    <x v="1"/>
    <x v="1"/>
    <x v="295"/>
    <x v="0"/>
    <x v="22"/>
    <x v="33"/>
    <x v="2"/>
    <x v="33"/>
    <x v="306"/>
    <x v="2798"/>
    <x v="21"/>
    <x v="21"/>
    <x v="0"/>
  </r>
  <r>
    <x v="1"/>
    <x v="1"/>
    <x v="296"/>
    <x v="0"/>
    <x v="22"/>
    <x v="33"/>
    <x v="1"/>
    <x v="33"/>
    <x v="105"/>
    <x v="1208"/>
    <x v="16"/>
    <x v="16"/>
    <x v="0"/>
  </r>
  <r>
    <x v="1"/>
    <x v="1"/>
    <x v="297"/>
    <x v="0"/>
    <x v="22"/>
    <x v="33"/>
    <x v="5"/>
    <x v="23"/>
    <x v="152"/>
    <x v="1267"/>
    <x v="16"/>
    <x v="16"/>
    <x v="0"/>
  </r>
  <r>
    <x v="1"/>
    <x v="1"/>
    <x v="298"/>
    <x v="0"/>
    <x v="22"/>
    <x v="33"/>
    <x v="4"/>
    <x v="28"/>
    <x v="15"/>
    <x v="88"/>
    <x v="21"/>
    <x v="21"/>
    <x v="0"/>
  </r>
  <r>
    <x v="1"/>
    <x v="1"/>
    <x v="299"/>
    <x v="0"/>
    <x v="22"/>
    <x v="33"/>
    <x v="0"/>
    <x v="43"/>
    <x v="62"/>
    <x v="891"/>
    <x v="16"/>
    <x v="16"/>
    <x v="0"/>
  </r>
  <r>
    <x v="1"/>
    <x v="1"/>
    <x v="300"/>
    <x v="0"/>
    <x v="22"/>
    <x v="33"/>
    <x v="3"/>
    <x v="33"/>
    <x v="152"/>
    <x v="1674"/>
    <x v="31"/>
    <x v="31"/>
    <x v="0"/>
  </r>
  <r>
    <x v="1"/>
    <x v="1"/>
    <x v="301"/>
    <x v="0"/>
    <x v="22"/>
    <x v="33"/>
    <x v="2"/>
    <x v="33"/>
    <x v="300"/>
    <x v="2737"/>
    <x v="21"/>
    <x v="21"/>
    <x v="0"/>
  </r>
  <r>
    <x v="1"/>
    <x v="1"/>
    <x v="302"/>
    <x v="0"/>
    <x v="22"/>
    <x v="33"/>
    <x v="1"/>
    <x v="33"/>
    <x v="82"/>
    <x v="956"/>
    <x v="16"/>
    <x v="16"/>
    <x v="0"/>
  </r>
  <r>
    <x v="1"/>
    <x v="1"/>
    <x v="303"/>
    <x v="0"/>
    <x v="22"/>
    <x v="33"/>
    <x v="5"/>
    <x v="23"/>
    <x v="82"/>
    <x v="672"/>
    <x v="16"/>
    <x v="16"/>
    <x v="0"/>
  </r>
  <r>
    <x v="1"/>
    <x v="1"/>
    <x v="304"/>
    <x v="0"/>
    <x v="22"/>
    <x v="33"/>
    <x v="4"/>
    <x v="28"/>
    <x v="15"/>
    <x v="88"/>
    <x v="21"/>
    <x v="21"/>
    <x v="0"/>
  </r>
  <r>
    <x v="1"/>
    <x v="1"/>
    <x v="305"/>
    <x v="0"/>
    <x v="22"/>
    <x v="33"/>
    <x v="0"/>
    <x v="43"/>
    <x v="39"/>
    <x v="530"/>
    <x v="16"/>
    <x v="16"/>
    <x v="0"/>
  </r>
  <r>
    <x v="1"/>
    <x v="1"/>
    <x v="306"/>
    <x v="0"/>
    <x v="22"/>
    <x v="33"/>
    <x v="3"/>
    <x v="33"/>
    <x v="152"/>
    <x v="1674"/>
    <x v="31"/>
    <x v="31"/>
    <x v="0"/>
  </r>
  <r>
    <x v="1"/>
    <x v="1"/>
    <x v="307"/>
    <x v="0"/>
    <x v="22"/>
    <x v="33"/>
    <x v="2"/>
    <x v="43"/>
    <x v="306"/>
    <x v="2863"/>
    <x v="21"/>
    <x v="21"/>
    <x v="0"/>
  </r>
  <r>
    <x v="1"/>
    <x v="1"/>
    <x v="308"/>
    <x v="0"/>
    <x v="22"/>
    <x v="33"/>
    <x v="1"/>
    <x v="38"/>
    <x v="129"/>
    <x v="1617"/>
    <x v="16"/>
    <x v="16"/>
    <x v="0"/>
  </r>
  <r>
    <x v="1"/>
    <x v="1"/>
    <x v="309"/>
    <x v="0"/>
    <x v="22"/>
    <x v="33"/>
    <x v="5"/>
    <x v="33"/>
    <x v="105"/>
    <x v="1208"/>
    <x v="16"/>
    <x v="16"/>
    <x v="0"/>
  </r>
  <r>
    <x v="1"/>
    <x v="1"/>
    <x v="310"/>
    <x v="0"/>
    <x v="22"/>
    <x v="33"/>
    <x v="4"/>
    <x v="33"/>
    <x v="39"/>
    <x v="388"/>
    <x v="21"/>
    <x v="21"/>
    <x v="0"/>
  </r>
  <r>
    <x v="1"/>
    <x v="1"/>
    <x v="311"/>
    <x v="0"/>
    <x v="22"/>
    <x v="33"/>
    <x v="0"/>
    <x v="48"/>
    <x v="62"/>
    <x v="982"/>
    <x v="16"/>
    <x v="16"/>
    <x v="0"/>
  </r>
  <r>
    <x v="1"/>
    <x v="1"/>
    <x v="312"/>
    <x v="0"/>
    <x v="22"/>
    <x v="33"/>
    <x v="3"/>
    <x v="53"/>
    <x v="152"/>
    <x v="2282"/>
    <x v="31"/>
    <x v="31"/>
    <x v="0"/>
  </r>
  <r>
    <x v="1"/>
    <x v="1"/>
    <x v="313"/>
    <x v="0"/>
    <x v="22"/>
    <x v="33"/>
    <x v="2"/>
    <x v="38"/>
    <x v="304"/>
    <x v="2827"/>
    <x v="21"/>
    <x v="21"/>
    <x v="2"/>
  </r>
  <r>
    <x v="1"/>
    <x v="1"/>
    <x v="314"/>
    <x v="0"/>
    <x v="22"/>
    <x v="33"/>
    <x v="1"/>
    <x v="33"/>
    <x v="152"/>
    <x v="1674"/>
    <x v="16"/>
    <x v="16"/>
    <x v="2"/>
  </r>
  <r>
    <x v="1"/>
    <x v="1"/>
    <x v="315"/>
    <x v="0"/>
    <x v="22"/>
    <x v="33"/>
    <x v="5"/>
    <x v="28"/>
    <x v="152"/>
    <x v="1471"/>
    <x v="16"/>
    <x v="16"/>
    <x v="2"/>
  </r>
  <r>
    <x v="1"/>
    <x v="1"/>
    <x v="316"/>
    <x v="0"/>
    <x v="22"/>
    <x v="33"/>
    <x v="4"/>
    <x v="28"/>
    <x v="129"/>
    <x v="1267"/>
    <x v="21"/>
    <x v="21"/>
    <x v="2"/>
  </r>
  <r>
    <x v="1"/>
    <x v="1"/>
    <x v="317"/>
    <x v="0"/>
    <x v="22"/>
    <x v="33"/>
    <x v="0"/>
    <x v="43"/>
    <x v="129"/>
    <x v="1779"/>
    <x v="16"/>
    <x v="16"/>
    <x v="2"/>
  </r>
  <r>
    <x v="1"/>
    <x v="1"/>
    <x v="318"/>
    <x v="0"/>
    <x v="22"/>
    <x v="33"/>
    <x v="3"/>
    <x v="48"/>
    <x v="273"/>
    <x v="2800"/>
    <x v="31"/>
    <x v="31"/>
    <x v="2"/>
  </r>
  <r>
    <x v="1"/>
    <x v="1"/>
    <x v="319"/>
    <x v="0"/>
    <x v="22"/>
    <x v="33"/>
    <x v="2"/>
    <x v="43"/>
    <x v="315"/>
    <x v="2899"/>
    <x v="21"/>
    <x v="21"/>
    <x v="2"/>
  </r>
  <r>
    <x v="1"/>
    <x v="1"/>
    <x v="320"/>
    <x v="0"/>
    <x v="22"/>
    <x v="33"/>
    <x v="1"/>
    <x v="38"/>
    <x v="254"/>
    <x v="2594"/>
    <x v="16"/>
    <x v="16"/>
    <x v="2"/>
  </r>
  <r>
    <x v="1"/>
    <x v="1"/>
    <x v="321"/>
    <x v="0"/>
    <x v="22"/>
    <x v="33"/>
    <x v="5"/>
    <x v="33"/>
    <x v="194"/>
    <x v="2064"/>
    <x v="16"/>
    <x v="16"/>
    <x v="2"/>
  </r>
  <r>
    <x v="1"/>
    <x v="1"/>
    <x v="322"/>
    <x v="0"/>
    <x v="22"/>
    <x v="33"/>
    <x v="4"/>
    <x v="33"/>
    <x v="152"/>
    <x v="1674"/>
    <x v="21"/>
    <x v="21"/>
    <x v="2"/>
  </r>
  <r>
    <x v="1"/>
    <x v="1"/>
    <x v="323"/>
    <x v="0"/>
    <x v="22"/>
    <x v="33"/>
    <x v="0"/>
    <x v="43"/>
    <x v="174"/>
    <x v="2206"/>
    <x v="16"/>
    <x v="16"/>
    <x v="2"/>
  </r>
  <r>
    <x v="1"/>
    <x v="1"/>
    <x v="324"/>
    <x v="0"/>
    <x v="22"/>
    <x v="33"/>
    <x v="3"/>
    <x v="48"/>
    <x v="294"/>
    <x v="2850"/>
    <x v="31"/>
    <x v="31"/>
    <x v="2"/>
  </r>
  <r>
    <x v="1"/>
    <x v="1"/>
    <x v="325"/>
    <x v="0"/>
    <x v="22"/>
    <x v="33"/>
    <x v="2"/>
    <x v="43"/>
    <x v="313"/>
    <x v="2892"/>
    <x v="21"/>
    <x v="21"/>
    <x v="2"/>
  </r>
  <r>
    <x v="1"/>
    <x v="1"/>
    <x v="326"/>
    <x v="0"/>
    <x v="22"/>
    <x v="33"/>
    <x v="1"/>
    <x v="38"/>
    <x v="254"/>
    <x v="2594"/>
    <x v="16"/>
    <x v="16"/>
    <x v="2"/>
  </r>
  <r>
    <x v="1"/>
    <x v="1"/>
    <x v="327"/>
    <x v="0"/>
    <x v="22"/>
    <x v="33"/>
    <x v="5"/>
    <x v="33"/>
    <x v="194"/>
    <x v="2064"/>
    <x v="16"/>
    <x v="16"/>
    <x v="2"/>
  </r>
  <r>
    <x v="1"/>
    <x v="1"/>
    <x v="328"/>
    <x v="0"/>
    <x v="22"/>
    <x v="33"/>
    <x v="4"/>
    <x v="28"/>
    <x v="152"/>
    <x v="1471"/>
    <x v="21"/>
    <x v="21"/>
    <x v="2"/>
  </r>
  <r>
    <x v="1"/>
    <x v="1"/>
    <x v="329"/>
    <x v="0"/>
    <x v="22"/>
    <x v="33"/>
    <x v="0"/>
    <x v="38"/>
    <x v="129"/>
    <x v="1617"/>
    <x v="16"/>
    <x v="16"/>
    <x v="2"/>
  </r>
  <r>
    <x v="1"/>
    <x v="1"/>
    <x v="330"/>
    <x v="0"/>
    <x v="22"/>
    <x v="33"/>
    <x v="3"/>
    <x v="43"/>
    <x v="273"/>
    <x v="2745"/>
    <x v="31"/>
    <x v="31"/>
    <x v="2"/>
  </r>
  <r>
    <x v="1"/>
    <x v="1"/>
    <x v="331"/>
    <x v="0"/>
    <x v="22"/>
    <x v="33"/>
    <x v="2"/>
    <x v="38"/>
    <x v="307"/>
    <x v="2848"/>
    <x v="21"/>
    <x v="21"/>
    <x v="2"/>
  </r>
  <r>
    <x v="1"/>
    <x v="1"/>
    <x v="332"/>
    <x v="0"/>
    <x v="22"/>
    <x v="33"/>
    <x v="1"/>
    <x v="33"/>
    <x v="212"/>
    <x v="2206"/>
    <x v="16"/>
    <x v="16"/>
    <x v="2"/>
  </r>
  <r>
    <x v="1"/>
    <x v="1"/>
    <x v="333"/>
    <x v="0"/>
    <x v="22"/>
    <x v="33"/>
    <x v="5"/>
    <x v="18"/>
    <x v="129"/>
    <x v="891"/>
    <x v="16"/>
    <x v="16"/>
    <x v="2"/>
  </r>
  <r>
    <x v="1"/>
    <x v="1"/>
    <x v="334"/>
    <x v="0"/>
    <x v="22"/>
    <x v="33"/>
    <x v="4"/>
    <x v="18"/>
    <x v="105"/>
    <x v="712"/>
    <x v="21"/>
    <x v="21"/>
    <x v="2"/>
  </r>
  <r>
    <x v="1"/>
    <x v="1"/>
    <x v="335"/>
    <x v="0"/>
    <x v="22"/>
    <x v="33"/>
    <x v="0"/>
    <x v="28"/>
    <x v="105"/>
    <x v="1051"/>
    <x v="16"/>
    <x v="16"/>
    <x v="2"/>
  </r>
  <r>
    <x v="1"/>
    <x v="1"/>
    <x v="336"/>
    <x v="0"/>
    <x v="22"/>
    <x v="33"/>
    <x v="3"/>
    <x v="33"/>
    <x v="174"/>
    <x v="1883"/>
    <x v="31"/>
    <x v="31"/>
    <x v="2"/>
  </r>
  <r>
    <x v="1"/>
    <x v="1"/>
    <x v="337"/>
    <x v="0"/>
    <x v="22"/>
    <x v="33"/>
    <x v="2"/>
    <x v="38"/>
    <x v="294"/>
    <x v="2772"/>
    <x v="21"/>
    <x v="21"/>
    <x v="2"/>
  </r>
  <r>
    <x v="1"/>
    <x v="1"/>
    <x v="338"/>
    <x v="0"/>
    <x v="22"/>
    <x v="33"/>
    <x v="1"/>
    <x v="28"/>
    <x v="174"/>
    <x v="1674"/>
    <x v="16"/>
    <x v="16"/>
    <x v="2"/>
  </r>
  <r>
    <x v="1"/>
    <x v="1"/>
    <x v="339"/>
    <x v="0"/>
    <x v="22"/>
    <x v="33"/>
    <x v="5"/>
    <x v="28"/>
    <x v="82"/>
    <x v="821"/>
    <x v="16"/>
    <x v="16"/>
    <x v="2"/>
  </r>
  <r>
    <x v="1"/>
    <x v="1"/>
    <x v="340"/>
    <x v="0"/>
    <x v="22"/>
    <x v="33"/>
    <x v="4"/>
    <x v="28"/>
    <x v="62"/>
    <x v="565"/>
    <x v="21"/>
    <x v="21"/>
    <x v="2"/>
  </r>
  <r>
    <x v="1"/>
    <x v="1"/>
    <x v="341"/>
    <x v="0"/>
    <x v="22"/>
    <x v="33"/>
    <x v="0"/>
    <x v="38"/>
    <x v="62"/>
    <x v="784"/>
    <x v="16"/>
    <x v="16"/>
    <x v="2"/>
  </r>
  <r>
    <x v="1"/>
    <x v="1"/>
    <x v="342"/>
    <x v="0"/>
    <x v="22"/>
    <x v="33"/>
    <x v="3"/>
    <x v="43"/>
    <x v="174"/>
    <x v="2206"/>
    <x v="31"/>
    <x v="31"/>
    <x v="2"/>
  </r>
  <r>
    <x v="1"/>
    <x v="1"/>
    <x v="343"/>
    <x v="0"/>
    <x v="22"/>
    <x v="33"/>
    <x v="2"/>
    <x v="43"/>
    <x v="285"/>
    <x v="2793"/>
    <x v="21"/>
    <x v="21"/>
    <x v="2"/>
  </r>
  <r>
    <x v="1"/>
    <x v="1"/>
    <x v="344"/>
    <x v="0"/>
    <x v="22"/>
    <x v="33"/>
    <x v="1"/>
    <x v="33"/>
    <x v="174"/>
    <x v="1883"/>
    <x v="16"/>
    <x v="16"/>
    <x v="2"/>
  </r>
  <r>
    <x v="1"/>
    <x v="1"/>
    <x v="345"/>
    <x v="0"/>
    <x v="22"/>
    <x v="33"/>
    <x v="5"/>
    <x v="33"/>
    <x v="125"/>
    <x v="1394"/>
    <x v="16"/>
    <x v="16"/>
    <x v="2"/>
  </r>
  <r>
    <x v="1"/>
    <x v="1"/>
    <x v="346"/>
    <x v="0"/>
    <x v="22"/>
    <x v="33"/>
    <x v="4"/>
    <x v="33"/>
    <x v="129"/>
    <x v="1441"/>
    <x v="21"/>
    <x v="21"/>
    <x v="2"/>
  </r>
  <r>
    <x v="1"/>
    <x v="1"/>
    <x v="347"/>
    <x v="0"/>
    <x v="22"/>
    <x v="33"/>
    <x v="0"/>
    <x v="48"/>
    <x v="105"/>
    <x v="1646"/>
    <x v="16"/>
    <x v="16"/>
    <x v="2"/>
  </r>
  <r>
    <x v="1"/>
    <x v="1"/>
    <x v="348"/>
    <x v="0"/>
    <x v="22"/>
    <x v="33"/>
    <x v="3"/>
    <x v="53"/>
    <x v="194"/>
    <x v="2594"/>
    <x v="31"/>
    <x v="31"/>
    <x v="2"/>
  </r>
  <r>
    <x v="1"/>
    <x v="1"/>
    <x v="349"/>
    <x v="0"/>
    <x v="22"/>
    <x v="33"/>
    <x v="2"/>
    <x v="48"/>
    <x v="309"/>
    <x v="2891"/>
    <x v="21"/>
    <x v="21"/>
    <x v="2"/>
  </r>
  <r>
    <x v="1"/>
    <x v="1"/>
    <x v="350"/>
    <x v="0"/>
    <x v="22"/>
    <x v="33"/>
    <x v="1"/>
    <x v="38"/>
    <x v="231"/>
    <x v="2506"/>
    <x v="16"/>
    <x v="16"/>
    <x v="2"/>
  </r>
  <r>
    <x v="1"/>
    <x v="1"/>
    <x v="351"/>
    <x v="0"/>
    <x v="22"/>
    <x v="33"/>
    <x v="5"/>
    <x v="38"/>
    <x v="194"/>
    <x v="2227"/>
    <x v="16"/>
    <x v="16"/>
    <x v="2"/>
  </r>
  <r>
    <x v="1"/>
    <x v="1"/>
    <x v="352"/>
    <x v="0"/>
    <x v="22"/>
    <x v="33"/>
    <x v="4"/>
    <x v="38"/>
    <x v="152"/>
    <x v="1857"/>
    <x v="21"/>
    <x v="21"/>
    <x v="2"/>
  </r>
  <r>
    <x v="1"/>
    <x v="1"/>
    <x v="353"/>
    <x v="0"/>
    <x v="22"/>
    <x v="33"/>
    <x v="0"/>
    <x v="48"/>
    <x v="152"/>
    <x v="2158"/>
    <x v="16"/>
    <x v="16"/>
    <x v="2"/>
  </r>
  <r>
    <x v="1"/>
    <x v="1"/>
    <x v="354"/>
    <x v="0"/>
    <x v="22"/>
    <x v="33"/>
    <x v="3"/>
    <x v="53"/>
    <x v="231"/>
    <x v="2757"/>
    <x v="31"/>
    <x v="31"/>
    <x v="2"/>
  </r>
  <r>
    <x v="2"/>
    <x v="2"/>
    <x v="355"/>
    <x v="0"/>
    <x v="22"/>
    <x v="33"/>
    <x v="2"/>
    <x v="28"/>
    <x v="309"/>
    <x v="2763"/>
    <x v="31"/>
    <x v="31"/>
    <x v="2"/>
  </r>
  <r>
    <x v="2"/>
    <x v="2"/>
    <x v="356"/>
    <x v="0"/>
    <x v="22"/>
    <x v="33"/>
    <x v="1"/>
    <x v="38"/>
    <x v="309"/>
    <x v="2855"/>
    <x v="16"/>
    <x v="16"/>
    <x v="2"/>
  </r>
  <r>
    <x v="2"/>
    <x v="2"/>
    <x v="357"/>
    <x v="0"/>
    <x v="22"/>
    <x v="33"/>
    <x v="5"/>
    <x v="38"/>
    <x v="309"/>
    <x v="2855"/>
    <x v="31"/>
    <x v="31"/>
    <x v="2"/>
  </r>
  <r>
    <x v="2"/>
    <x v="2"/>
    <x v="358"/>
    <x v="0"/>
    <x v="22"/>
    <x v="33"/>
    <x v="4"/>
    <x v="38"/>
    <x v="273"/>
    <x v="2673"/>
    <x v="26"/>
    <x v="26"/>
    <x v="2"/>
  </r>
  <r>
    <x v="2"/>
    <x v="2"/>
    <x v="359"/>
    <x v="0"/>
    <x v="25"/>
    <x v="5"/>
    <x v="0"/>
    <x v="43"/>
    <x v="231"/>
    <x v="2615"/>
    <x v="46"/>
    <x v="46"/>
    <x v="2"/>
  </r>
  <r>
    <x v="2"/>
    <x v="2"/>
    <x v="360"/>
    <x v="0"/>
    <x v="25"/>
    <x v="5"/>
    <x v="3"/>
    <x v="38"/>
    <x v="309"/>
    <x v="2855"/>
    <x v="11"/>
    <x v="11"/>
    <x v="2"/>
  </r>
  <r>
    <x v="2"/>
    <x v="2"/>
    <x v="361"/>
    <x v="0"/>
    <x v="25"/>
    <x v="5"/>
    <x v="2"/>
    <x v="28"/>
    <x v="313"/>
    <x v="2811"/>
    <x v="31"/>
    <x v="31"/>
    <x v="2"/>
  </r>
  <r>
    <x v="2"/>
    <x v="2"/>
    <x v="362"/>
    <x v="0"/>
    <x v="25"/>
    <x v="5"/>
    <x v="1"/>
    <x v="38"/>
    <x v="304"/>
    <x v="2827"/>
    <x v="16"/>
    <x v="16"/>
    <x v="2"/>
  </r>
  <r>
    <x v="2"/>
    <x v="2"/>
    <x v="363"/>
    <x v="0"/>
    <x v="25"/>
    <x v="5"/>
    <x v="5"/>
    <x v="38"/>
    <x v="307"/>
    <x v="2848"/>
    <x v="31"/>
    <x v="31"/>
    <x v="2"/>
  </r>
  <r>
    <x v="2"/>
    <x v="2"/>
    <x v="364"/>
    <x v="0"/>
    <x v="25"/>
    <x v="5"/>
    <x v="4"/>
    <x v="38"/>
    <x v="254"/>
    <x v="2594"/>
    <x v="26"/>
    <x v="26"/>
    <x v="2"/>
  </r>
  <r>
    <x v="2"/>
    <x v="2"/>
    <x v="365"/>
    <x v="0"/>
    <x v="25"/>
    <x v="5"/>
    <x v="0"/>
    <x v="43"/>
    <x v="194"/>
    <x v="2383"/>
    <x v="46"/>
    <x v="46"/>
    <x v="2"/>
  </r>
  <r>
    <x v="2"/>
    <x v="2"/>
    <x v="366"/>
    <x v="0"/>
    <x v="25"/>
    <x v="5"/>
    <x v="3"/>
    <x v="38"/>
    <x v="304"/>
    <x v="2827"/>
    <x v="11"/>
    <x v="11"/>
    <x v="2"/>
  </r>
  <r>
    <x v="2"/>
    <x v="2"/>
    <x v="367"/>
    <x v="0"/>
    <x v="25"/>
    <x v="5"/>
    <x v="2"/>
    <x v="28"/>
    <x v="317"/>
    <x v="2843"/>
    <x v="31"/>
    <x v="31"/>
    <x v="2"/>
  </r>
  <r>
    <x v="2"/>
    <x v="2"/>
    <x v="368"/>
    <x v="0"/>
    <x v="25"/>
    <x v="5"/>
    <x v="1"/>
    <x v="38"/>
    <x v="304"/>
    <x v="2827"/>
    <x v="16"/>
    <x v="16"/>
    <x v="2"/>
  </r>
  <r>
    <x v="2"/>
    <x v="2"/>
    <x v="369"/>
    <x v="0"/>
    <x v="25"/>
    <x v="5"/>
    <x v="5"/>
    <x v="38"/>
    <x v="304"/>
    <x v="2827"/>
    <x v="31"/>
    <x v="31"/>
    <x v="2"/>
  </r>
  <r>
    <x v="2"/>
    <x v="2"/>
    <x v="370"/>
    <x v="0"/>
    <x v="25"/>
    <x v="5"/>
    <x v="4"/>
    <x v="38"/>
    <x v="273"/>
    <x v="2673"/>
    <x v="26"/>
    <x v="26"/>
    <x v="2"/>
  </r>
  <r>
    <x v="2"/>
    <x v="2"/>
    <x v="371"/>
    <x v="0"/>
    <x v="25"/>
    <x v="5"/>
    <x v="0"/>
    <x v="43"/>
    <x v="174"/>
    <x v="2206"/>
    <x v="46"/>
    <x v="46"/>
    <x v="2"/>
  </r>
  <r>
    <x v="2"/>
    <x v="2"/>
    <x v="372"/>
    <x v="0"/>
    <x v="25"/>
    <x v="5"/>
    <x v="3"/>
    <x v="38"/>
    <x v="300"/>
    <x v="2805"/>
    <x v="11"/>
    <x v="11"/>
    <x v="2"/>
  </r>
  <r>
    <x v="2"/>
    <x v="2"/>
    <x v="373"/>
    <x v="0"/>
    <x v="25"/>
    <x v="5"/>
    <x v="2"/>
    <x v="38"/>
    <x v="317"/>
    <x v="2889"/>
    <x v="31"/>
    <x v="31"/>
    <x v="2"/>
  </r>
  <r>
    <x v="2"/>
    <x v="2"/>
    <x v="374"/>
    <x v="0"/>
    <x v="25"/>
    <x v="5"/>
    <x v="1"/>
    <x v="38"/>
    <x v="294"/>
    <x v="2772"/>
    <x v="16"/>
    <x v="16"/>
    <x v="2"/>
  </r>
  <r>
    <x v="2"/>
    <x v="2"/>
    <x v="375"/>
    <x v="0"/>
    <x v="25"/>
    <x v="5"/>
    <x v="5"/>
    <x v="38"/>
    <x v="300"/>
    <x v="2805"/>
    <x v="31"/>
    <x v="31"/>
    <x v="2"/>
  </r>
  <r>
    <x v="2"/>
    <x v="2"/>
    <x v="376"/>
    <x v="0"/>
    <x v="25"/>
    <x v="5"/>
    <x v="4"/>
    <x v="33"/>
    <x v="254"/>
    <x v="2469"/>
    <x v="26"/>
    <x v="26"/>
    <x v="2"/>
  </r>
  <r>
    <x v="2"/>
    <x v="2"/>
    <x v="377"/>
    <x v="0"/>
    <x v="25"/>
    <x v="5"/>
    <x v="0"/>
    <x v="38"/>
    <x v="174"/>
    <x v="2064"/>
    <x v="46"/>
    <x v="46"/>
    <x v="2"/>
  </r>
  <r>
    <x v="2"/>
    <x v="2"/>
    <x v="378"/>
    <x v="0"/>
    <x v="25"/>
    <x v="5"/>
    <x v="3"/>
    <x v="53"/>
    <x v="294"/>
    <x v="2866"/>
    <x v="11"/>
    <x v="11"/>
    <x v="2"/>
  </r>
  <r>
    <x v="2"/>
    <x v="2"/>
    <x v="379"/>
    <x v="0"/>
    <x v="25"/>
    <x v="5"/>
    <x v="2"/>
    <x v="33"/>
    <x v="317"/>
    <x v="2869"/>
    <x v="31"/>
    <x v="31"/>
    <x v="2"/>
  </r>
  <r>
    <x v="2"/>
    <x v="2"/>
    <x v="380"/>
    <x v="0"/>
    <x v="25"/>
    <x v="5"/>
    <x v="1"/>
    <x v="38"/>
    <x v="304"/>
    <x v="2827"/>
    <x v="16"/>
    <x v="16"/>
    <x v="2"/>
  </r>
  <r>
    <x v="2"/>
    <x v="2"/>
    <x v="381"/>
    <x v="0"/>
    <x v="25"/>
    <x v="5"/>
    <x v="5"/>
    <x v="38"/>
    <x v="304"/>
    <x v="2827"/>
    <x v="31"/>
    <x v="31"/>
    <x v="2"/>
  </r>
  <r>
    <x v="2"/>
    <x v="2"/>
    <x v="382"/>
    <x v="0"/>
    <x v="25"/>
    <x v="5"/>
    <x v="4"/>
    <x v="33"/>
    <x v="273"/>
    <x v="2560"/>
    <x v="26"/>
    <x v="26"/>
    <x v="2"/>
  </r>
  <r>
    <x v="2"/>
    <x v="2"/>
    <x v="383"/>
    <x v="0"/>
    <x v="25"/>
    <x v="5"/>
    <x v="0"/>
    <x v="38"/>
    <x v="194"/>
    <x v="2227"/>
    <x v="46"/>
    <x v="46"/>
    <x v="2"/>
  </r>
  <r>
    <x v="2"/>
    <x v="2"/>
    <x v="384"/>
    <x v="0"/>
    <x v="25"/>
    <x v="5"/>
    <x v="3"/>
    <x v="53"/>
    <x v="300"/>
    <x v="2880"/>
    <x v="11"/>
    <x v="11"/>
    <x v="2"/>
  </r>
  <r>
    <x v="2"/>
    <x v="2"/>
    <x v="385"/>
    <x v="0"/>
    <x v="25"/>
    <x v="5"/>
    <x v="2"/>
    <x v="33"/>
    <x v="325"/>
    <x v="2895"/>
    <x v="31"/>
    <x v="31"/>
    <x v="2"/>
  </r>
  <r>
    <x v="2"/>
    <x v="2"/>
    <x v="386"/>
    <x v="0"/>
    <x v="25"/>
    <x v="5"/>
    <x v="1"/>
    <x v="38"/>
    <x v="313"/>
    <x v="2877"/>
    <x v="16"/>
    <x v="16"/>
    <x v="2"/>
  </r>
  <r>
    <x v="2"/>
    <x v="2"/>
    <x v="387"/>
    <x v="0"/>
    <x v="25"/>
    <x v="5"/>
    <x v="5"/>
    <x v="38"/>
    <x v="315"/>
    <x v="2884"/>
    <x v="31"/>
    <x v="31"/>
    <x v="2"/>
  </r>
  <r>
    <x v="2"/>
    <x v="2"/>
    <x v="388"/>
    <x v="0"/>
    <x v="25"/>
    <x v="5"/>
    <x v="4"/>
    <x v="33"/>
    <x v="304"/>
    <x v="2774"/>
    <x v="26"/>
    <x v="26"/>
    <x v="2"/>
  </r>
  <r>
    <x v="2"/>
    <x v="2"/>
    <x v="389"/>
    <x v="0"/>
    <x v="25"/>
    <x v="5"/>
    <x v="0"/>
    <x v="38"/>
    <x v="254"/>
    <x v="2594"/>
    <x v="46"/>
    <x v="46"/>
    <x v="2"/>
  </r>
  <r>
    <x v="2"/>
    <x v="2"/>
    <x v="390"/>
    <x v="0"/>
    <x v="25"/>
    <x v="5"/>
    <x v="3"/>
    <x v="53"/>
    <x v="319"/>
    <x v="2947"/>
    <x v="11"/>
    <x v="11"/>
    <x v="2"/>
  </r>
  <r>
    <x v="2"/>
    <x v="2"/>
    <x v="391"/>
    <x v="0"/>
    <x v="25"/>
    <x v="5"/>
    <x v="2"/>
    <x v="33"/>
    <x v="331"/>
    <x v="2915"/>
    <x v="31"/>
    <x v="31"/>
    <x v="2"/>
  </r>
  <r>
    <x v="2"/>
    <x v="2"/>
    <x v="392"/>
    <x v="0"/>
    <x v="25"/>
    <x v="5"/>
    <x v="1"/>
    <x v="38"/>
    <x v="319"/>
    <x v="2895"/>
    <x v="16"/>
    <x v="16"/>
    <x v="2"/>
  </r>
  <r>
    <x v="2"/>
    <x v="2"/>
    <x v="393"/>
    <x v="0"/>
    <x v="25"/>
    <x v="5"/>
    <x v="5"/>
    <x v="38"/>
    <x v="315"/>
    <x v="2884"/>
    <x v="31"/>
    <x v="31"/>
    <x v="2"/>
  </r>
  <r>
    <x v="2"/>
    <x v="2"/>
    <x v="394"/>
    <x v="0"/>
    <x v="25"/>
    <x v="5"/>
    <x v="4"/>
    <x v="33"/>
    <x v="307"/>
    <x v="2805"/>
    <x v="26"/>
    <x v="26"/>
    <x v="2"/>
  </r>
  <r>
    <x v="2"/>
    <x v="2"/>
    <x v="395"/>
    <x v="0"/>
    <x v="25"/>
    <x v="5"/>
    <x v="0"/>
    <x v="38"/>
    <x v="309"/>
    <x v="2855"/>
    <x v="46"/>
    <x v="46"/>
    <x v="2"/>
  </r>
  <r>
    <x v="2"/>
    <x v="2"/>
    <x v="396"/>
    <x v="0"/>
    <x v="25"/>
    <x v="5"/>
    <x v="3"/>
    <x v="53"/>
    <x v="309"/>
    <x v="2906"/>
    <x v="11"/>
    <x v="11"/>
    <x v="2"/>
  </r>
  <r>
    <x v="2"/>
    <x v="2"/>
    <x v="397"/>
    <x v="0"/>
    <x v="25"/>
    <x v="5"/>
    <x v="2"/>
    <x v="38"/>
    <x v="325"/>
    <x v="2917"/>
    <x v="31"/>
    <x v="31"/>
    <x v="2"/>
  </r>
  <r>
    <x v="2"/>
    <x v="2"/>
    <x v="398"/>
    <x v="0"/>
    <x v="25"/>
    <x v="5"/>
    <x v="1"/>
    <x v="48"/>
    <x v="321"/>
    <x v="2939"/>
    <x v="16"/>
    <x v="16"/>
    <x v="2"/>
  </r>
  <r>
    <x v="2"/>
    <x v="2"/>
    <x v="399"/>
    <x v="0"/>
    <x v="25"/>
    <x v="5"/>
    <x v="5"/>
    <x v="43"/>
    <x v="311"/>
    <x v="2886"/>
    <x v="31"/>
    <x v="31"/>
    <x v="2"/>
  </r>
  <r>
    <x v="2"/>
    <x v="2"/>
    <x v="400"/>
    <x v="0"/>
    <x v="25"/>
    <x v="5"/>
    <x v="4"/>
    <x v="38"/>
    <x v="304"/>
    <x v="2827"/>
    <x v="26"/>
    <x v="26"/>
    <x v="2"/>
  </r>
  <r>
    <x v="2"/>
    <x v="2"/>
    <x v="401"/>
    <x v="0"/>
    <x v="25"/>
    <x v="5"/>
    <x v="0"/>
    <x v="48"/>
    <x v="304"/>
    <x v="2873"/>
    <x v="46"/>
    <x v="46"/>
    <x v="2"/>
  </r>
  <r>
    <x v="2"/>
    <x v="2"/>
    <x v="402"/>
    <x v="0"/>
    <x v="25"/>
    <x v="5"/>
    <x v="3"/>
    <x v="53"/>
    <x v="300"/>
    <x v="2880"/>
    <x v="11"/>
    <x v="11"/>
    <x v="2"/>
  </r>
  <r>
    <x v="2"/>
    <x v="2"/>
    <x v="403"/>
    <x v="0"/>
    <x v="25"/>
    <x v="5"/>
    <x v="2"/>
    <x v="38"/>
    <x v="319"/>
    <x v="2895"/>
    <x v="31"/>
    <x v="31"/>
    <x v="2"/>
  </r>
  <r>
    <x v="2"/>
    <x v="2"/>
    <x v="404"/>
    <x v="0"/>
    <x v="25"/>
    <x v="5"/>
    <x v="1"/>
    <x v="43"/>
    <x v="319"/>
    <x v="2915"/>
    <x v="16"/>
    <x v="16"/>
    <x v="2"/>
  </r>
  <r>
    <x v="2"/>
    <x v="2"/>
    <x v="405"/>
    <x v="0"/>
    <x v="25"/>
    <x v="5"/>
    <x v="5"/>
    <x v="38"/>
    <x v="307"/>
    <x v="2848"/>
    <x v="31"/>
    <x v="31"/>
    <x v="2"/>
  </r>
  <r>
    <x v="2"/>
    <x v="2"/>
    <x v="406"/>
    <x v="0"/>
    <x v="25"/>
    <x v="5"/>
    <x v="4"/>
    <x v="38"/>
    <x v="300"/>
    <x v="2805"/>
    <x v="26"/>
    <x v="26"/>
    <x v="2"/>
  </r>
  <r>
    <x v="2"/>
    <x v="2"/>
    <x v="407"/>
    <x v="0"/>
    <x v="25"/>
    <x v="5"/>
    <x v="0"/>
    <x v="48"/>
    <x v="300"/>
    <x v="2862"/>
    <x v="46"/>
    <x v="46"/>
    <x v="2"/>
  </r>
  <r>
    <x v="2"/>
    <x v="2"/>
    <x v="408"/>
    <x v="0"/>
    <x v="25"/>
    <x v="5"/>
    <x v="3"/>
    <x v="53"/>
    <x v="307"/>
    <x v="2895"/>
    <x v="11"/>
    <x v="11"/>
    <x v="2"/>
  </r>
  <r>
    <x v="2"/>
    <x v="2"/>
    <x v="409"/>
    <x v="0"/>
    <x v="25"/>
    <x v="5"/>
    <x v="2"/>
    <x v="38"/>
    <x v="315"/>
    <x v="2884"/>
    <x v="31"/>
    <x v="31"/>
    <x v="2"/>
  </r>
  <r>
    <x v="2"/>
    <x v="2"/>
    <x v="410"/>
    <x v="0"/>
    <x v="25"/>
    <x v="5"/>
    <x v="1"/>
    <x v="43"/>
    <x v="315"/>
    <x v="2899"/>
    <x v="16"/>
    <x v="16"/>
    <x v="2"/>
  </r>
  <r>
    <x v="2"/>
    <x v="2"/>
    <x v="411"/>
    <x v="0"/>
    <x v="25"/>
    <x v="5"/>
    <x v="5"/>
    <x v="38"/>
    <x v="300"/>
    <x v="2805"/>
    <x v="31"/>
    <x v="31"/>
    <x v="2"/>
  </r>
  <r>
    <x v="2"/>
    <x v="2"/>
    <x v="412"/>
    <x v="0"/>
    <x v="25"/>
    <x v="5"/>
    <x v="4"/>
    <x v="38"/>
    <x v="294"/>
    <x v="2772"/>
    <x v="26"/>
    <x v="26"/>
    <x v="2"/>
  </r>
  <r>
    <x v="2"/>
    <x v="2"/>
    <x v="413"/>
    <x v="0"/>
    <x v="25"/>
    <x v="5"/>
    <x v="0"/>
    <x v="48"/>
    <x v="285"/>
    <x v="2829"/>
    <x v="46"/>
    <x v="46"/>
    <x v="2"/>
  </r>
  <r>
    <x v="2"/>
    <x v="2"/>
    <x v="414"/>
    <x v="0"/>
    <x v="25"/>
    <x v="5"/>
    <x v="3"/>
    <x v="53"/>
    <x v="300"/>
    <x v="2880"/>
    <x v="11"/>
    <x v="11"/>
    <x v="2"/>
  </r>
  <r>
    <x v="2"/>
    <x v="2"/>
    <x v="415"/>
    <x v="0"/>
    <x v="25"/>
    <x v="5"/>
    <x v="2"/>
    <x v="33"/>
    <x v="317"/>
    <x v="2869"/>
    <x v="31"/>
    <x v="31"/>
    <x v="2"/>
  </r>
  <r>
    <x v="2"/>
    <x v="2"/>
    <x v="416"/>
    <x v="0"/>
    <x v="25"/>
    <x v="5"/>
    <x v="1"/>
    <x v="38"/>
    <x v="317"/>
    <x v="2889"/>
    <x v="16"/>
    <x v="16"/>
    <x v="2"/>
  </r>
  <r>
    <x v="2"/>
    <x v="2"/>
    <x v="417"/>
    <x v="0"/>
    <x v="25"/>
    <x v="5"/>
    <x v="5"/>
    <x v="33"/>
    <x v="304"/>
    <x v="2774"/>
    <x v="31"/>
    <x v="31"/>
    <x v="2"/>
  </r>
  <r>
    <x v="2"/>
    <x v="2"/>
    <x v="418"/>
    <x v="0"/>
    <x v="25"/>
    <x v="5"/>
    <x v="4"/>
    <x v="33"/>
    <x v="304"/>
    <x v="2774"/>
    <x v="26"/>
    <x v="26"/>
    <x v="2"/>
  </r>
  <r>
    <x v="2"/>
    <x v="2"/>
    <x v="419"/>
    <x v="0"/>
    <x v="25"/>
    <x v="5"/>
    <x v="0"/>
    <x v="48"/>
    <x v="294"/>
    <x v="2850"/>
    <x v="46"/>
    <x v="46"/>
    <x v="2"/>
  </r>
  <r>
    <x v="2"/>
    <x v="2"/>
    <x v="420"/>
    <x v="0"/>
    <x v="25"/>
    <x v="5"/>
    <x v="3"/>
    <x v="53"/>
    <x v="309"/>
    <x v="2906"/>
    <x v="11"/>
    <x v="11"/>
    <x v="2"/>
  </r>
  <r>
    <x v="2"/>
    <x v="2"/>
    <x v="421"/>
    <x v="0"/>
    <x v="25"/>
    <x v="5"/>
    <x v="2"/>
    <x v="38"/>
    <x v="325"/>
    <x v="2917"/>
    <x v="31"/>
    <x v="31"/>
    <x v="2"/>
  </r>
  <r>
    <x v="2"/>
    <x v="2"/>
    <x v="422"/>
    <x v="0"/>
    <x v="25"/>
    <x v="5"/>
    <x v="1"/>
    <x v="43"/>
    <x v="325"/>
    <x v="2935"/>
    <x v="16"/>
    <x v="16"/>
    <x v="2"/>
  </r>
  <r>
    <x v="2"/>
    <x v="2"/>
    <x v="423"/>
    <x v="0"/>
    <x v="25"/>
    <x v="5"/>
    <x v="5"/>
    <x v="38"/>
    <x v="309"/>
    <x v="2855"/>
    <x v="31"/>
    <x v="31"/>
    <x v="2"/>
  </r>
  <r>
    <x v="2"/>
    <x v="2"/>
    <x v="424"/>
    <x v="0"/>
    <x v="25"/>
    <x v="5"/>
    <x v="4"/>
    <x v="38"/>
    <x v="309"/>
    <x v="2855"/>
    <x v="26"/>
    <x v="26"/>
    <x v="2"/>
  </r>
  <r>
    <x v="2"/>
    <x v="2"/>
    <x v="425"/>
    <x v="0"/>
    <x v="25"/>
    <x v="5"/>
    <x v="0"/>
    <x v="48"/>
    <x v="300"/>
    <x v="2862"/>
    <x v="46"/>
    <x v="46"/>
    <x v="2"/>
  </r>
  <r>
    <x v="2"/>
    <x v="2"/>
    <x v="426"/>
    <x v="0"/>
    <x v="25"/>
    <x v="5"/>
    <x v="3"/>
    <x v="53"/>
    <x v="311"/>
    <x v="2915"/>
    <x v="11"/>
    <x v="11"/>
    <x v="2"/>
  </r>
  <r>
    <x v="3"/>
    <x v="3"/>
    <x v="427"/>
    <x v="0"/>
    <x v="25"/>
    <x v="5"/>
    <x v="2"/>
    <x v="13"/>
    <x v="327"/>
    <x v="2637"/>
    <x v="21"/>
    <x v="21"/>
    <x v="2"/>
  </r>
  <r>
    <x v="3"/>
    <x v="3"/>
    <x v="428"/>
    <x v="0"/>
    <x v="25"/>
    <x v="5"/>
    <x v="1"/>
    <x v="23"/>
    <x v="327"/>
    <x v="2852"/>
    <x v="21"/>
    <x v="21"/>
    <x v="2"/>
  </r>
  <r>
    <x v="3"/>
    <x v="3"/>
    <x v="429"/>
    <x v="0"/>
    <x v="25"/>
    <x v="5"/>
    <x v="5"/>
    <x v="23"/>
    <x v="311"/>
    <x v="2686"/>
    <x v="21"/>
    <x v="21"/>
    <x v="2"/>
  </r>
  <r>
    <x v="3"/>
    <x v="3"/>
    <x v="430"/>
    <x v="0"/>
    <x v="25"/>
    <x v="5"/>
    <x v="4"/>
    <x v="28"/>
    <x v="311"/>
    <x v="2793"/>
    <x v="31"/>
    <x v="31"/>
    <x v="2"/>
  </r>
  <r>
    <x v="3"/>
    <x v="3"/>
    <x v="431"/>
    <x v="2"/>
    <x v="41"/>
    <x v="25"/>
    <x v="0"/>
    <x v="33"/>
    <x v="285"/>
    <x v="2637"/>
    <x v="16"/>
    <x v="16"/>
    <x v="2"/>
  </r>
  <r>
    <x v="3"/>
    <x v="3"/>
    <x v="432"/>
    <x v="2"/>
    <x v="41"/>
    <x v="25"/>
    <x v="3"/>
    <x v="28"/>
    <x v="311"/>
    <x v="2793"/>
    <x v="36"/>
    <x v="36"/>
    <x v="2"/>
  </r>
  <r>
    <x v="3"/>
    <x v="3"/>
    <x v="433"/>
    <x v="2"/>
    <x v="41"/>
    <x v="25"/>
    <x v="2"/>
    <x v="18"/>
    <x v="323"/>
    <x v="2745"/>
    <x v="21"/>
    <x v="21"/>
    <x v="2"/>
  </r>
  <r>
    <x v="3"/>
    <x v="3"/>
    <x v="434"/>
    <x v="2"/>
    <x v="41"/>
    <x v="25"/>
    <x v="1"/>
    <x v="28"/>
    <x v="321"/>
    <x v="2860"/>
    <x v="21"/>
    <x v="21"/>
    <x v="2"/>
  </r>
  <r>
    <x v="3"/>
    <x v="3"/>
    <x v="435"/>
    <x v="2"/>
    <x v="41"/>
    <x v="25"/>
    <x v="5"/>
    <x v="28"/>
    <x v="307"/>
    <x v="2727"/>
    <x v="21"/>
    <x v="21"/>
    <x v="2"/>
  </r>
  <r>
    <x v="3"/>
    <x v="3"/>
    <x v="436"/>
    <x v="2"/>
    <x v="41"/>
    <x v="25"/>
    <x v="4"/>
    <x v="28"/>
    <x v="300"/>
    <x v="2637"/>
    <x v="31"/>
    <x v="31"/>
    <x v="2"/>
  </r>
  <r>
    <x v="3"/>
    <x v="3"/>
    <x v="437"/>
    <x v="2"/>
    <x v="41"/>
    <x v="25"/>
    <x v="0"/>
    <x v="33"/>
    <x v="231"/>
    <x v="2350"/>
    <x v="16"/>
    <x v="16"/>
    <x v="2"/>
  </r>
  <r>
    <x v="3"/>
    <x v="3"/>
    <x v="438"/>
    <x v="2"/>
    <x v="41"/>
    <x v="25"/>
    <x v="3"/>
    <x v="28"/>
    <x v="309"/>
    <x v="2763"/>
    <x v="36"/>
    <x v="36"/>
    <x v="2"/>
  </r>
  <r>
    <x v="3"/>
    <x v="3"/>
    <x v="439"/>
    <x v="2"/>
    <x v="41"/>
    <x v="25"/>
    <x v="2"/>
    <x v="23"/>
    <x v="323"/>
    <x v="2833"/>
    <x v="26"/>
    <x v="26"/>
    <x v="2"/>
  </r>
  <r>
    <x v="3"/>
    <x v="3"/>
    <x v="440"/>
    <x v="2"/>
    <x v="41"/>
    <x v="25"/>
    <x v="1"/>
    <x v="33"/>
    <x v="323"/>
    <x v="2890"/>
    <x v="26"/>
    <x v="26"/>
    <x v="2"/>
  </r>
  <r>
    <x v="3"/>
    <x v="3"/>
    <x v="441"/>
    <x v="2"/>
    <x v="41"/>
    <x v="25"/>
    <x v="5"/>
    <x v="23"/>
    <x v="309"/>
    <x v="2652"/>
    <x v="26"/>
    <x v="26"/>
    <x v="2"/>
  </r>
  <r>
    <x v="3"/>
    <x v="3"/>
    <x v="442"/>
    <x v="2"/>
    <x v="41"/>
    <x v="25"/>
    <x v="4"/>
    <x v="28"/>
    <x v="294"/>
    <x v="2574"/>
    <x v="36"/>
    <x v="36"/>
    <x v="2"/>
  </r>
  <r>
    <x v="3"/>
    <x v="3"/>
    <x v="443"/>
    <x v="2"/>
    <x v="41"/>
    <x v="25"/>
    <x v="0"/>
    <x v="33"/>
    <x v="231"/>
    <x v="2350"/>
    <x v="21"/>
    <x v="21"/>
    <x v="2"/>
  </r>
  <r>
    <x v="3"/>
    <x v="3"/>
    <x v="444"/>
    <x v="2"/>
    <x v="41"/>
    <x v="25"/>
    <x v="3"/>
    <x v="28"/>
    <x v="304"/>
    <x v="2682"/>
    <x v="41"/>
    <x v="41"/>
    <x v="2"/>
  </r>
  <r>
    <x v="3"/>
    <x v="3"/>
    <x v="445"/>
    <x v="2"/>
    <x v="41"/>
    <x v="25"/>
    <x v="2"/>
    <x v="13"/>
    <x v="325"/>
    <x v="2594"/>
    <x v="26"/>
    <x v="26"/>
    <x v="2"/>
  </r>
  <r>
    <x v="3"/>
    <x v="3"/>
    <x v="446"/>
    <x v="2"/>
    <x v="41"/>
    <x v="25"/>
    <x v="1"/>
    <x v="18"/>
    <x v="325"/>
    <x v="2772"/>
    <x v="26"/>
    <x v="26"/>
    <x v="2"/>
  </r>
  <r>
    <x v="3"/>
    <x v="3"/>
    <x v="447"/>
    <x v="2"/>
    <x v="41"/>
    <x v="25"/>
    <x v="5"/>
    <x v="13"/>
    <x v="311"/>
    <x v="2206"/>
    <x v="26"/>
    <x v="26"/>
    <x v="2"/>
  </r>
  <r>
    <x v="3"/>
    <x v="3"/>
    <x v="448"/>
    <x v="2"/>
    <x v="41"/>
    <x v="25"/>
    <x v="4"/>
    <x v="18"/>
    <x v="300"/>
    <x v="2206"/>
    <x v="36"/>
    <x v="36"/>
    <x v="2"/>
  </r>
  <r>
    <x v="3"/>
    <x v="3"/>
    <x v="449"/>
    <x v="2"/>
    <x v="41"/>
    <x v="25"/>
    <x v="0"/>
    <x v="23"/>
    <x v="254"/>
    <x v="2064"/>
    <x v="21"/>
    <x v="21"/>
    <x v="2"/>
  </r>
  <r>
    <x v="3"/>
    <x v="3"/>
    <x v="450"/>
    <x v="2"/>
    <x v="41"/>
    <x v="25"/>
    <x v="3"/>
    <x v="18"/>
    <x v="317"/>
    <x v="2656"/>
    <x v="41"/>
    <x v="41"/>
    <x v="2"/>
  </r>
  <r>
    <x v="3"/>
    <x v="3"/>
    <x v="451"/>
    <x v="2"/>
    <x v="41"/>
    <x v="25"/>
    <x v="2"/>
    <x v="8"/>
    <x v="329"/>
    <x v="2332"/>
    <x v="26"/>
    <x v="26"/>
    <x v="2"/>
  </r>
  <r>
    <x v="3"/>
    <x v="3"/>
    <x v="452"/>
    <x v="2"/>
    <x v="41"/>
    <x v="25"/>
    <x v="1"/>
    <x v="18"/>
    <x v="331"/>
    <x v="2817"/>
    <x v="26"/>
    <x v="26"/>
    <x v="2"/>
  </r>
  <r>
    <x v="3"/>
    <x v="3"/>
    <x v="453"/>
    <x v="2"/>
    <x v="41"/>
    <x v="25"/>
    <x v="5"/>
    <x v="13"/>
    <x v="319"/>
    <x v="2469"/>
    <x v="26"/>
    <x v="26"/>
    <x v="2"/>
  </r>
  <r>
    <x v="3"/>
    <x v="3"/>
    <x v="454"/>
    <x v="2"/>
    <x v="41"/>
    <x v="25"/>
    <x v="4"/>
    <x v="23"/>
    <x v="313"/>
    <x v="2727"/>
    <x v="36"/>
    <x v="36"/>
    <x v="2"/>
  </r>
  <r>
    <x v="3"/>
    <x v="3"/>
    <x v="455"/>
    <x v="2"/>
    <x v="41"/>
    <x v="25"/>
    <x v="0"/>
    <x v="38"/>
    <x v="304"/>
    <x v="2827"/>
    <x v="21"/>
    <x v="21"/>
    <x v="2"/>
  </r>
  <r>
    <x v="3"/>
    <x v="3"/>
    <x v="456"/>
    <x v="2"/>
    <x v="41"/>
    <x v="25"/>
    <x v="3"/>
    <x v="33"/>
    <x v="333"/>
    <x v="2919"/>
    <x v="41"/>
    <x v="41"/>
    <x v="2"/>
  </r>
  <r>
    <x v="3"/>
    <x v="3"/>
    <x v="457"/>
    <x v="2"/>
    <x v="41"/>
    <x v="25"/>
    <x v="2"/>
    <x v="33"/>
    <x v="333"/>
    <x v="2919"/>
    <x v="26"/>
    <x v="26"/>
    <x v="2"/>
  </r>
  <r>
    <x v="3"/>
    <x v="3"/>
    <x v="458"/>
    <x v="2"/>
    <x v="41"/>
    <x v="25"/>
    <x v="1"/>
    <x v="38"/>
    <x v="333"/>
    <x v="2941"/>
    <x v="26"/>
    <x v="26"/>
    <x v="2"/>
  </r>
  <r>
    <x v="3"/>
    <x v="3"/>
    <x v="459"/>
    <x v="2"/>
    <x v="41"/>
    <x v="25"/>
    <x v="5"/>
    <x v="33"/>
    <x v="323"/>
    <x v="2890"/>
    <x v="26"/>
    <x v="26"/>
    <x v="2"/>
  </r>
  <r>
    <x v="3"/>
    <x v="3"/>
    <x v="460"/>
    <x v="2"/>
    <x v="41"/>
    <x v="25"/>
    <x v="4"/>
    <x v="33"/>
    <x v="319"/>
    <x v="2880"/>
    <x v="36"/>
    <x v="36"/>
    <x v="2"/>
  </r>
  <r>
    <x v="3"/>
    <x v="3"/>
    <x v="461"/>
    <x v="2"/>
    <x v="41"/>
    <x v="25"/>
    <x v="0"/>
    <x v="38"/>
    <x v="311"/>
    <x v="2866"/>
    <x v="21"/>
    <x v="21"/>
    <x v="2"/>
  </r>
  <r>
    <x v="3"/>
    <x v="3"/>
    <x v="462"/>
    <x v="2"/>
    <x v="41"/>
    <x v="25"/>
    <x v="3"/>
    <x v="43"/>
    <x v="340"/>
    <x v="2983"/>
    <x v="41"/>
    <x v="41"/>
    <x v="2"/>
  </r>
  <r>
    <x v="3"/>
    <x v="3"/>
    <x v="463"/>
    <x v="2"/>
    <x v="41"/>
    <x v="25"/>
    <x v="2"/>
    <x v="33"/>
    <x v="337"/>
    <x v="2933"/>
    <x v="31"/>
    <x v="31"/>
    <x v="2"/>
  </r>
  <r>
    <x v="3"/>
    <x v="3"/>
    <x v="464"/>
    <x v="2"/>
    <x v="41"/>
    <x v="25"/>
    <x v="1"/>
    <x v="38"/>
    <x v="337"/>
    <x v="2952"/>
    <x v="31"/>
    <x v="31"/>
    <x v="2"/>
  </r>
  <r>
    <x v="3"/>
    <x v="3"/>
    <x v="465"/>
    <x v="2"/>
    <x v="41"/>
    <x v="25"/>
    <x v="5"/>
    <x v="33"/>
    <x v="346"/>
    <x v="2961"/>
    <x v="31"/>
    <x v="31"/>
    <x v="2"/>
  </r>
  <r>
    <x v="3"/>
    <x v="3"/>
    <x v="466"/>
    <x v="2"/>
    <x v="41"/>
    <x v="25"/>
    <x v="4"/>
    <x v="33"/>
    <x v="317"/>
    <x v="2869"/>
    <x v="41"/>
    <x v="41"/>
    <x v="2"/>
  </r>
  <r>
    <x v="3"/>
    <x v="3"/>
    <x v="467"/>
    <x v="2"/>
    <x v="41"/>
    <x v="25"/>
    <x v="0"/>
    <x v="38"/>
    <x v="315"/>
    <x v="2884"/>
    <x v="26"/>
    <x v="26"/>
    <x v="2"/>
  </r>
  <r>
    <x v="3"/>
    <x v="3"/>
    <x v="468"/>
    <x v="2"/>
    <x v="41"/>
    <x v="25"/>
    <x v="3"/>
    <x v="48"/>
    <x v="337"/>
    <x v="2988"/>
    <x v="46"/>
    <x v="46"/>
    <x v="2"/>
  </r>
  <r>
    <x v="3"/>
    <x v="3"/>
    <x v="469"/>
    <x v="2"/>
    <x v="41"/>
    <x v="25"/>
    <x v="2"/>
    <x v="38"/>
    <x v="333"/>
    <x v="2941"/>
    <x v="31"/>
    <x v="31"/>
    <x v="2"/>
  </r>
  <r>
    <x v="3"/>
    <x v="3"/>
    <x v="470"/>
    <x v="2"/>
    <x v="41"/>
    <x v="25"/>
    <x v="1"/>
    <x v="48"/>
    <x v="333"/>
    <x v="2978"/>
    <x v="31"/>
    <x v="31"/>
    <x v="2"/>
  </r>
  <r>
    <x v="3"/>
    <x v="3"/>
    <x v="471"/>
    <x v="2"/>
    <x v="41"/>
    <x v="25"/>
    <x v="5"/>
    <x v="43"/>
    <x v="345"/>
    <x v="2998"/>
    <x v="31"/>
    <x v="31"/>
    <x v="2"/>
  </r>
  <r>
    <x v="3"/>
    <x v="3"/>
    <x v="472"/>
    <x v="2"/>
    <x v="41"/>
    <x v="25"/>
    <x v="4"/>
    <x v="38"/>
    <x v="309"/>
    <x v="2855"/>
    <x v="41"/>
    <x v="41"/>
    <x v="2"/>
  </r>
  <r>
    <x v="3"/>
    <x v="3"/>
    <x v="473"/>
    <x v="2"/>
    <x v="41"/>
    <x v="25"/>
    <x v="0"/>
    <x v="43"/>
    <x v="309"/>
    <x v="2878"/>
    <x v="26"/>
    <x v="26"/>
    <x v="2"/>
  </r>
  <r>
    <x v="3"/>
    <x v="3"/>
    <x v="474"/>
    <x v="2"/>
    <x v="41"/>
    <x v="25"/>
    <x v="3"/>
    <x v="48"/>
    <x v="329"/>
    <x v="2965"/>
    <x v="46"/>
    <x v="46"/>
    <x v="2"/>
  </r>
  <r>
    <x v="3"/>
    <x v="3"/>
    <x v="475"/>
    <x v="2"/>
    <x v="41"/>
    <x v="25"/>
    <x v="2"/>
    <x v="43"/>
    <x v="325"/>
    <x v="2935"/>
    <x v="31"/>
    <x v="31"/>
    <x v="2"/>
  </r>
  <r>
    <x v="3"/>
    <x v="3"/>
    <x v="476"/>
    <x v="2"/>
    <x v="41"/>
    <x v="25"/>
    <x v="1"/>
    <x v="43"/>
    <x v="321"/>
    <x v="2921"/>
    <x v="31"/>
    <x v="31"/>
    <x v="2"/>
  </r>
  <r>
    <x v="3"/>
    <x v="3"/>
    <x v="477"/>
    <x v="2"/>
    <x v="41"/>
    <x v="25"/>
    <x v="5"/>
    <x v="48"/>
    <x v="325"/>
    <x v="2952"/>
    <x v="31"/>
    <x v="31"/>
    <x v="2"/>
  </r>
  <r>
    <x v="3"/>
    <x v="3"/>
    <x v="478"/>
    <x v="2"/>
    <x v="41"/>
    <x v="25"/>
    <x v="4"/>
    <x v="48"/>
    <x v="300"/>
    <x v="2862"/>
    <x v="41"/>
    <x v="41"/>
    <x v="2"/>
  </r>
  <r>
    <x v="3"/>
    <x v="3"/>
    <x v="479"/>
    <x v="2"/>
    <x v="41"/>
    <x v="25"/>
    <x v="0"/>
    <x v="43"/>
    <x v="300"/>
    <x v="2840"/>
    <x v="26"/>
    <x v="26"/>
    <x v="2"/>
  </r>
  <r>
    <x v="3"/>
    <x v="3"/>
    <x v="480"/>
    <x v="2"/>
    <x v="41"/>
    <x v="25"/>
    <x v="3"/>
    <x v="38"/>
    <x v="321"/>
    <x v="2904"/>
    <x v="46"/>
    <x v="46"/>
    <x v="2"/>
  </r>
  <r>
    <x v="3"/>
    <x v="3"/>
    <x v="481"/>
    <x v="2"/>
    <x v="41"/>
    <x v="25"/>
    <x v="2"/>
    <x v="28"/>
    <x v="317"/>
    <x v="2843"/>
    <x v="31"/>
    <x v="31"/>
    <x v="2"/>
  </r>
  <r>
    <x v="3"/>
    <x v="3"/>
    <x v="482"/>
    <x v="2"/>
    <x v="41"/>
    <x v="25"/>
    <x v="1"/>
    <x v="28"/>
    <x v="317"/>
    <x v="2843"/>
    <x v="31"/>
    <x v="31"/>
    <x v="2"/>
  </r>
  <r>
    <x v="3"/>
    <x v="3"/>
    <x v="483"/>
    <x v="2"/>
    <x v="41"/>
    <x v="25"/>
    <x v="5"/>
    <x v="33"/>
    <x v="313"/>
    <x v="2852"/>
    <x v="31"/>
    <x v="31"/>
    <x v="2"/>
  </r>
  <r>
    <x v="3"/>
    <x v="3"/>
    <x v="484"/>
    <x v="2"/>
    <x v="41"/>
    <x v="25"/>
    <x v="4"/>
    <x v="33"/>
    <x v="294"/>
    <x v="2686"/>
    <x v="41"/>
    <x v="41"/>
    <x v="2"/>
  </r>
  <r>
    <x v="3"/>
    <x v="3"/>
    <x v="485"/>
    <x v="2"/>
    <x v="41"/>
    <x v="25"/>
    <x v="0"/>
    <x v="28"/>
    <x v="285"/>
    <x v="2491"/>
    <x v="26"/>
    <x v="26"/>
    <x v="2"/>
  </r>
  <r>
    <x v="3"/>
    <x v="3"/>
    <x v="486"/>
    <x v="2"/>
    <x v="41"/>
    <x v="25"/>
    <x v="3"/>
    <x v="38"/>
    <x v="313"/>
    <x v="2877"/>
    <x v="46"/>
    <x v="46"/>
    <x v="2"/>
  </r>
  <r>
    <x v="3"/>
    <x v="3"/>
    <x v="487"/>
    <x v="2"/>
    <x v="41"/>
    <x v="25"/>
    <x v="2"/>
    <x v="23"/>
    <x v="325"/>
    <x v="2848"/>
    <x v="31"/>
    <x v="31"/>
    <x v="2"/>
  </r>
  <r>
    <x v="3"/>
    <x v="3"/>
    <x v="488"/>
    <x v="2"/>
    <x v="41"/>
    <x v="25"/>
    <x v="1"/>
    <x v="23"/>
    <x v="325"/>
    <x v="2848"/>
    <x v="31"/>
    <x v="31"/>
    <x v="2"/>
  </r>
  <r>
    <x v="3"/>
    <x v="3"/>
    <x v="489"/>
    <x v="2"/>
    <x v="41"/>
    <x v="25"/>
    <x v="5"/>
    <x v="48"/>
    <x v="319"/>
    <x v="2933"/>
    <x v="31"/>
    <x v="31"/>
    <x v="2"/>
  </r>
  <r>
    <x v="3"/>
    <x v="3"/>
    <x v="490"/>
    <x v="2"/>
    <x v="41"/>
    <x v="25"/>
    <x v="4"/>
    <x v="48"/>
    <x v="309"/>
    <x v="2891"/>
    <x v="41"/>
    <x v="41"/>
    <x v="2"/>
  </r>
  <r>
    <x v="3"/>
    <x v="3"/>
    <x v="491"/>
    <x v="2"/>
    <x v="41"/>
    <x v="25"/>
    <x v="0"/>
    <x v="48"/>
    <x v="307"/>
    <x v="2884"/>
    <x v="26"/>
    <x v="26"/>
    <x v="2"/>
  </r>
  <r>
    <x v="3"/>
    <x v="3"/>
    <x v="492"/>
    <x v="2"/>
    <x v="41"/>
    <x v="25"/>
    <x v="3"/>
    <x v="58"/>
    <x v="323"/>
    <x v="2975"/>
    <x v="46"/>
    <x v="46"/>
    <x v="2"/>
  </r>
  <r>
    <x v="3"/>
    <x v="3"/>
    <x v="493"/>
    <x v="2"/>
    <x v="41"/>
    <x v="25"/>
    <x v="2"/>
    <x v="48"/>
    <x v="335"/>
    <x v="2985"/>
    <x v="31"/>
    <x v="31"/>
    <x v="2"/>
  </r>
  <r>
    <x v="3"/>
    <x v="3"/>
    <x v="494"/>
    <x v="2"/>
    <x v="41"/>
    <x v="25"/>
    <x v="1"/>
    <x v="48"/>
    <x v="335"/>
    <x v="2985"/>
    <x v="31"/>
    <x v="31"/>
    <x v="2"/>
  </r>
  <r>
    <x v="3"/>
    <x v="3"/>
    <x v="495"/>
    <x v="2"/>
    <x v="41"/>
    <x v="25"/>
    <x v="5"/>
    <x v="53"/>
    <x v="327"/>
    <x v="2974"/>
    <x v="31"/>
    <x v="31"/>
    <x v="2"/>
  </r>
  <r>
    <x v="3"/>
    <x v="3"/>
    <x v="496"/>
    <x v="2"/>
    <x v="41"/>
    <x v="25"/>
    <x v="4"/>
    <x v="53"/>
    <x v="315"/>
    <x v="2933"/>
    <x v="41"/>
    <x v="41"/>
    <x v="2"/>
  </r>
  <r>
    <x v="3"/>
    <x v="3"/>
    <x v="497"/>
    <x v="2"/>
    <x v="41"/>
    <x v="25"/>
    <x v="0"/>
    <x v="48"/>
    <x v="311"/>
    <x v="2899"/>
    <x v="26"/>
    <x v="26"/>
    <x v="2"/>
  </r>
  <r>
    <x v="3"/>
    <x v="3"/>
    <x v="498"/>
    <x v="2"/>
    <x v="41"/>
    <x v="25"/>
    <x v="3"/>
    <x v="58"/>
    <x v="331"/>
    <x v="3003"/>
    <x v="46"/>
    <x v="46"/>
    <x v="2"/>
  </r>
  <r>
    <x v="1"/>
    <x v="1"/>
    <x v="499"/>
    <x v="2"/>
    <x v="41"/>
    <x v="25"/>
    <x v="2"/>
    <x v="28"/>
    <x v="304"/>
    <x v="2682"/>
    <x v="26"/>
    <x v="26"/>
    <x v="2"/>
  </r>
  <r>
    <x v="1"/>
    <x v="1"/>
    <x v="500"/>
    <x v="2"/>
    <x v="41"/>
    <x v="25"/>
    <x v="1"/>
    <x v="28"/>
    <x v="194"/>
    <x v="1857"/>
    <x v="21"/>
    <x v="21"/>
    <x v="2"/>
  </r>
  <r>
    <x v="1"/>
    <x v="1"/>
    <x v="501"/>
    <x v="2"/>
    <x v="41"/>
    <x v="25"/>
    <x v="5"/>
    <x v="18"/>
    <x v="194"/>
    <x v="1355"/>
    <x v="21"/>
    <x v="21"/>
    <x v="2"/>
  </r>
  <r>
    <x v="1"/>
    <x v="1"/>
    <x v="502"/>
    <x v="2"/>
    <x v="41"/>
    <x v="25"/>
    <x v="4"/>
    <x v="23"/>
    <x v="62"/>
    <x v="461"/>
    <x v="26"/>
    <x v="26"/>
    <x v="2"/>
  </r>
  <r>
    <x v="1"/>
    <x v="1"/>
    <x v="503"/>
    <x v="0"/>
    <x v="26"/>
    <x v="38"/>
    <x v="0"/>
    <x v="38"/>
    <x v="105"/>
    <x v="1355"/>
    <x v="21"/>
    <x v="21"/>
    <x v="2"/>
  </r>
  <r>
    <x v="1"/>
    <x v="1"/>
    <x v="504"/>
    <x v="0"/>
    <x v="26"/>
    <x v="38"/>
    <x v="3"/>
    <x v="28"/>
    <x v="194"/>
    <x v="1857"/>
    <x v="36"/>
    <x v="36"/>
    <x v="2"/>
  </r>
  <r>
    <x v="1"/>
    <x v="1"/>
    <x v="505"/>
    <x v="0"/>
    <x v="26"/>
    <x v="38"/>
    <x v="2"/>
    <x v="28"/>
    <x v="309"/>
    <x v="2763"/>
    <x v="26"/>
    <x v="26"/>
    <x v="2"/>
  </r>
  <r>
    <x v="1"/>
    <x v="1"/>
    <x v="506"/>
    <x v="0"/>
    <x v="26"/>
    <x v="38"/>
    <x v="1"/>
    <x v="28"/>
    <x v="105"/>
    <x v="1051"/>
    <x v="21"/>
    <x v="21"/>
    <x v="2"/>
  </r>
  <r>
    <x v="1"/>
    <x v="1"/>
    <x v="507"/>
    <x v="0"/>
    <x v="26"/>
    <x v="38"/>
    <x v="5"/>
    <x v="18"/>
    <x v="152"/>
    <x v="1051"/>
    <x v="21"/>
    <x v="21"/>
    <x v="2"/>
  </r>
  <r>
    <x v="1"/>
    <x v="1"/>
    <x v="508"/>
    <x v="0"/>
    <x v="26"/>
    <x v="38"/>
    <x v="4"/>
    <x v="23"/>
    <x v="39"/>
    <x v="250"/>
    <x v="26"/>
    <x v="26"/>
    <x v="2"/>
  </r>
  <r>
    <x v="1"/>
    <x v="1"/>
    <x v="509"/>
    <x v="0"/>
    <x v="26"/>
    <x v="38"/>
    <x v="0"/>
    <x v="38"/>
    <x v="105"/>
    <x v="1355"/>
    <x v="21"/>
    <x v="21"/>
    <x v="2"/>
  </r>
  <r>
    <x v="1"/>
    <x v="1"/>
    <x v="510"/>
    <x v="0"/>
    <x v="26"/>
    <x v="38"/>
    <x v="3"/>
    <x v="28"/>
    <x v="174"/>
    <x v="1674"/>
    <x v="36"/>
    <x v="36"/>
    <x v="2"/>
  </r>
  <r>
    <x v="1"/>
    <x v="1"/>
    <x v="511"/>
    <x v="0"/>
    <x v="26"/>
    <x v="38"/>
    <x v="2"/>
    <x v="33"/>
    <x v="303"/>
    <x v="2768"/>
    <x v="26"/>
    <x v="26"/>
    <x v="2"/>
  </r>
  <r>
    <x v="1"/>
    <x v="1"/>
    <x v="512"/>
    <x v="0"/>
    <x v="26"/>
    <x v="38"/>
    <x v="1"/>
    <x v="33"/>
    <x v="82"/>
    <x v="956"/>
    <x v="21"/>
    <x v="21"/>
    <x v="2"/>
  </r>
  <r>
    <x v="1"/>
    <x v="1"/>
    <x v="513"/>
    <x v="0"/>
    <x v="26"/>
    <x v="38"/>
    <x v="5"/>
    <x v="23"/>
    <x v="129"/>
    <x v="1086"/>
    <x v="21"/>
    <x v="21"/>
    <x v="2"/>
  </r>
  <r>
    <x v="1"/>
    <x v="1"/>
    <x v="514"/>
    <x v="0"/>
    <x v="26"/>
    <x v="38"/>
    <x v="4"/>
    <x v="28"/>
    <x v="0"/>
    <x v="0"/>
    <x v="26"/>
    <x v="26"/>
    <x v="2"/>
  </r>
  <r>
    <x v="1"/>
    <x v="1"/>
    <x v="515"/>
    <x v="0"/>
    <x v="26"/>
    <x v="38"/>
    <x v="0"/>
    <x v="43"/>
    <x v="39"/>
    <x v="530"/>
    <x v="21"/>
    <x v="21"/>
    <x v="2"/>
  </r>
  <r>
    <x v="1"/>
    <x v="1"/>
    <x v="516"/>
    <x v="0"/>
    <x v="26"/>
    <x v="38"/>
    <x v="3"/>
    <x v="33"/>
    <x v="129"/>
    <x v="1441"/>
    <x v="36"/>
    <x v="36"/>
    <x v="2"/>
  </r>
  <r>
    <x v="1"/>
    <x v="1"/>
    <x v="517"/>
    <x v="0"/>
    <x v="26"/>
    <x v="38"/>
    <x v="2"/>
    <x v="33"/>
    <x v="294"/>
    <x v="2686"/>
    <x v="26"/>
    <x v="26"/>
    <x v="2"/>
  </r>
  <r>
    <x v="1"/>
    <x v="1"/>
    <x v="518"/>
    <x v="0"/>
    <x v="26"/>
    <x v="38"/>
    <x v="1"/>
    <x v="28"/>
    <x v="62"/>
    <x v="565"/>
    <x v="21"/>
    <x v="21"/>
    <x v="2"/>
  </r>
  <r>
    <x v="1"/>
    <x v="1"/>
    <x v="519"/>
    <x v="0"/>
    <x v="26"/>
    <x v="38"/>
    <x v="5"/>
    <x v="18"/>
    <x v="62"/>
    <x v="352"/>
    <x v="21"/>
    <x v="21"/>
    <x v="2"/>
  </r>
  <r>
    <x v="1"/>
    <x v="1"/>
    <x v="520"/>
    <x v="0"/>
    <x v="26"/>
    <x v="38"/>
    <x v="4"/>
    <x v="23"/>
    <x v="0"/>
    <x v="0"/>
    <x v="26"/>
    <x v="26"/>
    <x v="2"/>
  </r>
  <r>
    <x v="1"/>
    <x v="1"/>
    <x v="521"/>
    <x v="0"/>
    <x v="26"/>
    <x v="38"/>
    <x v="0"/>
    <x v="38"/>
    <x v="15"/>
    <x v="146"/>
    <x v="21"/>
    <x v="21"/>
    <x v="2"/>
  </r>
  <r>
    <x v="1"/>
    <x v="1"/>
    <x v="522"/>
    <x v="0"/>
    <x v="26"/>
    <x v="38"/>
    <x v="3"/>
    <x v="28"/>
    <x v="129"/>
    <x v="1267"/>
    <x v="36"/>
    <x v="36"/>
    <x v="2"/>
  </r>
  <r>
    <x v="1"/>
    <x v="1"/>
    <x v="523"/>
    <x v="0"/>
    <x v="26"/>
    <x v="38"/>
    <x v="2"/>
    <x v="38"/>
    <x v="303"/>
    <x v="2822"/>
    <x v="26"/>
    <x v="26"/>
    <x v="2"/>
  </r>
  <r>
    <x v="1"/>
    <x v="1"/>
    <x v="524"/>
    <x v="0"/>
    <x v="26"/>
    <x v="38"/>
    <x v="1"/>
    <x v="33"/>
    <x v="105"/>
    <x v="1208"/>
    <x v="21"/>
    <x v="21"/>
    <x v="2"/>
  </r>
  <r>
    <x v="1"/>
    <x v="1"/>
    <x v="525"/>
    <x v="0"/>
    <x v="26"/>
    <x v="38"/>
    <x v="5"/>
    <x v="28"/>
    <x v="82"/>
    <x v="821"/>
    <x v="21"/>
    <x v="21"/>
    <x v="2"/>
  </r>
  <r>
    <x v="1"/>
    <x v="1"/>
    <x v="526"/>
    <x v="0"/>
    <x v="26"/>
    <x v="38"/>
    <x v="4"/>
    <x v="28"/>
    <x v="15"/>
    <x v="88"/>
    <x v="26"/>
    <x v="26"/>
    <x v="2"/>
  </r>
  <r>
    <x v="1"/>
    <x v="1"/>
    <x v="527"/>
    <x v="0"/>
    <x v="26"/>
    <x v="38"/>
    <x v="0"/>
    <x v="43"/>
    <x v="39"/>
    <x v="530"/>
    <x v="21"/>
    <x v="21"/>
    <x v="2"/>
  </r>
  <r>
    <x v="1"/>
    <x v="1"/>
    <x v="528"/>
    <x v="0"/>
    <x v="26"/>
    <x v="38"/>
    <x v="3"/>
    <x v="48"/>
    <x v="129"/>
    <x v="1929"/>
    <x v="36"/>
    <x v="36"/>
    <x v="2"/>
  </r>
  <r>
    <x v="1"/>
    <x v="1"/>
    <x v="529"/>
    <x v="0"/>
    <x v="26"/>
    <x v="38"/>
    <x v="2"/>
    <x v="33"/>
    <x v="300"/>
    <x v="2737"/>
    <x v="26"/>
    <x v="26"/>
    <x v="2"/>
  </r>
  <r>
    <x v="1"/>
    <x v="1"/>
    <x v="530"/>
    <x v="0"/>
    <x v="26"/>
    <x v="38"/>
    <x v="1"/>
    <x v="28"/>
    <x v="129"/>
    <x v="1267"/>
    <x v="21"/>
    <x v="21"/>
    <x v="2"/>
  </r>
  <r>
    <x v="1"/>
    <x v="1"/>
    <x v="531"/>
    <x v="0"/>
    <x v="26"/>
    <x v="38"/>
    <x v="5"/>
    <x v="23"/>
    <x v="152"/>
    <x v="1267"/>
    <x v="21"/>
    <x v="21"/>
    <x v="2"/>
  </r>
  <r>
    <x v="1"/>
    <x v="1"/>
    <x v="532"/>
    <x v="0"/>
    <x v="26"/>
    <x v="38"/>
    <x v="4"/>
    <x v="23"/>
    <x v="129"/>
    <x v="1086"/>
    <x v="26"/>
    <x v="26"/>
    <x v="2"/>
  </r>
  <r>
    <x v="1"/>
    <x v="1"/>
    <x v="533"/>
    <x v="0"/>
    <x v="26"/>
    <x v="38"/>
    <x v="0"/>
    <x v="38"/>
    <x v="129"/>
    <x v="1617"/>
    <x v="21"/>
    <x v="21"/>
    <x v="2"/>
  </r>
  <r>
    <x v="1"/>
    <x v="1"/>
    <x v="534"/>
    <x v="0"/>
    <x v="26"/>
    <x v="38"/>
    <x v="3"/>
    <x v="43"/>
    <x v="273"/>
    <x v="2745"/>
    <x v="36"/>
    <x v="36"/>
    <x v="2"/>
  </r>
  <r>
    <x v="1"/>
    <x v="1"/>
    <x v="535"/>
    <x v="0"/>
    <x v="26"/>
    <x v="38"/>
    <x v="2"/>
    <x v="38"/>
    <x v="315"/>
    <x v="2884"/>
    <x v="26"/>
    <x v="26"/>
    <x v="2"/>
  </r>
  <r>
    <x v="1"/>
    <x v="1"/>
    <x v="536"/>
    <x v="0"/>
    <x v="26"/>
    <x v="38"/>
    <x v="1"/>
    <x v="33"/>
    <x v="254"/>
    <x v="2469"/>
    <x v="21"/>
    <x v="21"/>
    <x v="2"/>
  </r>
  <r>
    <x v="1"/>
    <x v="1"/>
    <x v="537"/>
    <x v="0"/>
    <x v="26"/>
    <x v="38"/>
    <x v="5"/>
    <x v="28"/>
    <x v="194"/>
    <x v="1857"/>
    <x v="21"/>
    <x v="21"/>
    <x v="2"/>
  </r>
  <r>
    <x v="1"/>
    <x v="1"/>
    <x v="538"/>
    <x v="0"/>
    <x v="26"/>
    <x v="38"/>
    <x v="4"/>
    <x v="28"/>
    <x v="152"/>
    <x v="1471"/>
    <x v="26"/>
    <x v="26"/>
    <x v="2"/>
  </r>
  <r>
    <x v="1"/>
    <x v="1"/>
    <x v="539"/>
    <x v="0"/>
    <x v="26"/>
    <x v="38"/>
    <x v="0"/>
    <x v="38"/>
    <x v="152"/>
    <x v="1857"/>
    <x v="21"/>
    <x v="21"/>
    <x v="2"/>
  </r>
  <r>
    <x v="1"/>
    <x v="1"/>
    <x v="540"/>
    <x v="0"/>
    <x v="26"/>
    <x v="38"/>
    <x v="3"/>
    <x v="43"/>
    <x v="285"/>
    <x v="2793"/>
    <x v="36"/>
    <x v="36"/>
    <x v="2"/>
  </r>
  <r>
    <x v="1"/>
    <x v="1"/>
    <x v="541"/>
    <x v="0"/>
    <x v="26"/>
    <x v="38"/>
    <x v="2"/>
    <x v="38"/>
    <x v="311"/>
    <x v="2866"/>
    <x v="26"/>
    <x v="26"/>
    <x v="2"/>
  </r>
  <r>
    <x v="1"/>
    <x v="1"/>
    <x v="542"/>
    <x v="0"/>
    <x v="26"/>
    <x v="38"/>
    <x v="1"/>
    <x v="38"/>
    <x v="231"/>
    <x v="2506"/>
    <x v="21"/>
    <x v="21"/>
    <x v="2"/>
  </r>
  <r>
    <x v="1"/>
    <x v="1"/>
    <x v="543"/>
    <x v="0"/>
    <x v="26"/>
    <x v="38"/>
    <x v="5"/>
    <x v="33"/>
    <x v="174"/>
    <x v="1883"/>
    <x v="21"/>
    <x v="21"/>
    <x v="2"/>
  </r>
  <r>
    <x v="1"/>
    <x v="1"/>
    <x v="544"/>
    <x v="0"/>
    <x v="26"/>
    <x v="38"/>
    <x v="4"/>
    <x v="23"/>
    <x v="105"/>
    <x v="891"/>
    <x v="26"/>
    <x v="26"/>
    <x v="2"/>
  </r>
  <r>
    <x v="1"/>
    <x v="1"/>
    <x v="545"/>
    <x v="0"/>
    <x v="26"/>
    <x v="38"/>
    <x v="0"/>
    <x v="33"/>
    <x v="82"/>
    <x v="956"/>
    <x v="21"/>
    <x v="21"/>
    <x v="2"/>
  </r>
  <r>
    <x v="1"/>
    <x v="1"/>
    <x v="546"/>
    <x v="0"/>
    <x v="26"/>
    <x v="38"/>
    <x v="3"/>
    <x v="38"/>
    <x v="231"/>
    <x v="2506"/>
    <x v="36"/>
    <x v="36"/>
    <x v="2"/>
  </r>
  <r>
    <x v="1"/>
    <x v="1"/>
    <x v="547"/>
    <x v="0"/>
    <x v="26"/>
    <x v="38"/>
    <x v="2"/>
    <x v="33"/>
    <x v="300"/>
    <x v="2737"/>
    <x v="26"/>
    <x v="26"/>
    <x v="2"/>
  </r>
  <r>
    <x v="1"/>
    <x v="1"/>
    <x v="548"/>
    <x v="0"/>
    <x v="26"/>
    <x v="38"/>
    <x v="1"/>
    <x v="28"/>
    <x v="174"/>
    <x v="1674"/>
    <x v="21"/>
    <x v="21"/>
    <x v="2"/>
  </r>
  <r>
    <x v="1"/>
    <x v="1"/>
    <x v="549"/>
    <x v="0"/>
    <x v="26"/>
    <x v="38"/>
    <x v="5"/>
    <x v="13"/>
    <x v="82"/>
    <x v="388"/>
    <x v="21"/>
    <x v="21"/>
    <x v="2"/>
  </r>
  <r>
    <x v="1"/>
    <x v="1"/>
    <x v="550"/>
    <x v="0"/>
    <x v="26"/>
    <x v="38"/>
    <x v="4"/>
    <x v="13"/>
    <x v="62"/>
    <x v="250"/>
    <x v="26"/>
    <x v="26"/>
    <x v="2"/>
  </r>
  <r>
    <x v="1"/>
    <x v="1"/>
    <x v="551"/>
    <x v="0"/>
    <x v="26"/>
    <x v="38"/>
    <x v="0"/>
    <x v="23"/>
    <x v="62"/>
    <x v="461"/>
    <x v="21"/>
    <x v="21"/>
    <x v="2"/>
  </r>
  <r>
    <x v="1"/>
    <x v="1"/>
    <x v="552"/>
    <x v="0"/>
    <x v="26"/>
    <x v="38"/>
    <x v="3"/>
    <x v="28"/>
    <x v="129"/>
    <x v="1267"/>
    <x v="36"/>
    <x v="36"/>
    <x v="2"/>
  </r>
  <r>
    <x v="1"/>
    <x v="1"/>
    <x v="553"/>
    <x v="0"/>
    <x v="26"/>
    <x v="38"/>
    <x v="2"/>
    <x v="33"/>
    <x v="273"/>
    <x v="2560"/>
    <x v="26"/>
    <x v="26"/>
    <x v="2"/>
  </r>
  <r>
    <x v="1"/>
    <x v="1"/>
    <x v="554"/>
    <x v="0"/>
    <x v="26"/>
    <x v="38"/>
    <x v="1"/>
    <x v="23"/>
    <x v="129"/>
    <x v="1086"/>
    <x v="21"/>
    <x v="21"/>
    <x v="2"/>
  </r>
  <r>
    <x v="1"/>
    <x v="1"/>
    <x v="555"/>
    <x v="0"/>
    <x v="26"/>
    <x v="38"/>
    <x v="5"/>
    <x v="23"/>
    <x v="39"/>
    <x v="250"/>
    <x v="21"/>
    <x v="21"/>
    <x v="2"/>
  </r>
  <r>
    <x v="1"/>
    <x v="1"/>
    <x v="556"/>
    <x v="0"/>
    <x v="26"/>
    <x v="38"/>
    <x v="4"/>
    <x v="23"/>
    <x v="15"/>
    <x v="71"/>
    <x v="26"/>
    <x v="26"/>
    <x v="2"/>
  </r>
  <r>
    <x v="1"/>
    <x v="1"/>
    <x v="557"/>
    <x v="0"/>
    <x v="26"/>
    <x v="38"/>
    <x v="0"/>
    <x v="33"/>
    <x v="15"/>
    <x v="117"/>
    <x v="21"/>
    <x v="21"/>
    <x v="2"/>
  </r>
  <r>
    <x v="1"/>
    <x v="1"/>
    <x v="558"/>
    <x v="0"/>
    <x v="26"/>
    <x v="38"/>
    <x v="3"/>
    <x v="38"/>
    <x v="129"/>
    <x v="1617"/>
    <x v="36"/>
    <x v="36"/>
    <x v="2"/>
  </r>
  <r>
    <x v="1"/>
    <x v="1"/>
    <x v="559"/>
    <x v="0"/>
    <x v="26"/>
    <x v="38"/>
    <x v="2"/>
    <x v="33"/>
    <x v="254"/>
    <x v="2469"/>
    <x v="26"/>
    <x v="26"/>
    <x v="2"/>
  </r>
  <r>
    <x v="1"/>
    <x v="1"/>
    <x v="560"/>
    <x v="0"/>
    <x v="26"/>
    <x v="38"/>
    <x v="1"/>
    <x v="23"/>
    <x v="129"/>
    <x v="1086"/>
    <x v="21"/>
    <x v="21"/>
    <x v="2"/>
  </r>
  <r>
    <x v="1"/>
    <x v="1"/>
    <x v="561"/>
    <x v="0"/>
    <x v="26"/>
    <x v="38"/>
    <x v="5"/>
    <x v="23"/>
    <x v="78"/>
    <x v="631"/>
    <x v="21"/>
    <x v="21"/>
    <x v="2"/>
  </r>
  <r>
    <x v="1"/>
    <x v="1"/>
    <x v="562"/>
    <x v="0"/>
    <x v="26"/>
    <x v="38"/>
    <x v="4"/>
    <x v="23"/>
    <x v="105"/>
    <x v="891"/>
    <x v="26"/>
    <x v="26"/>
    <x v="2"/>
  </r>
  <r>
    <x v="1"/>
    <x v="1"/>
    <x v="563"/>
    <x v="0"/>
    <x v="26"/>
    <x v="38"/>
    <x v="0"/>
    <x v="43"/>
    <x v="82"/>
    <x v="1208"/>
    <x v="21"/>
    <x v="21"/>
    <x v="2"/>
  </r>
  <r>
    <x v="1"/>
    <x v="1"/>
    <x v="564"/>
    <x v="0"/>
    <x v="26"/>
    <x v="38"/>
    <x v="3"/>
    <x v="48"/>
    <x v="174"/>
    <x v="2350"/>
    <x v="36"/>
    <x v="36"/>
    <x v="2"/>
  </r>
  <r>
    <x v="1"/>
    <x v="1"/>
    <x v="565"/>
    <x v="0"/>
    <x v="26"/>
    <x v="38"/>
    <x v="2"/>
    <x v="43"/>
    <x v="307"/>
    <x v="2866"/>
    <x v="26"/>
    <x v="26"/>
    <x v="2"/>
  </r>
  <r>
    <x v="1"/>
    <x v="1"/>
    <x v="566"/>
    <x v="0"/>
    <x v="26"/>
    <x v="38"/>
    <x v="1"/>
    <x v="33"/>
    <x v="212"/>
    <x v="2206"/>
    <x v="21"/>
    <x v="21"/>
    <x v="2"/>
  </r>
  <r>
    <x v="1"/>
    <x v="1"/>
    <x v="567"/>
    <x v="0"/>
    <x v="26"/>
    <x v="38"/>
    <x v="5"/>
    <x v="33"/>
    <x v="174"/>
    <x v="1883"/>
    <x v="21"/>
    <x v="21"/>
    <x v="2"/>
  </r>
  <r>
    <x v="1"/>
    <x v="1"/>
    <x v="568"/>
    <x v="0"/>
    <x v="26"/>
    <x v="38"/>
    <x v="4"/>
    <x v="33"/>
    <x v="129"/>
    <x v="1441"/>
    <x v="26"/>
    <x v="26"/>
    <x v="2"/>
  </r>
  <r>
    <x v="1"/>
    <x v="1"/>
    <x v="569"/>
    <x v="0"/>
    <x v="26"/>
    <x v="38"/>
    <x v="0"/>
    <x v="43"/>
    <x v="129"/>
    <x v="1779"/>
    <x v="21"/>
    <x v="21"/>
    <x v="2"/>
  </r>
  <r>
    <x v="1"/>
    <x v="1"/>
    <x v="570"/>
    <x v="0"/>
    <x v="26"/>
    <x v="38"/>
    <x v="3"/>
    <x v="48"/>
    <x v="212"/>
    <x v="2615"/>
    <x v="36"/>
    <x v="36"/>
    <x v="2"/>
  </r>
  <r>
    <x v="3"/>
    <x v="3"/>
    <x v="571"/>
    <x v="0"/>
    <x v="26"/>
    <x v="38"/>
    <x v="2"/>
    <x v="13"/>
    <x v="325"/>
    <x v="2594"/>
    <x v="26"/>
    <x v="26"/>
    <x v="2"/>
  </r>
  <r>
    <x v="3"/>
    <x v="3"/>
    <x v="572"/>
    <x v="0"/>
    <x v="26"/>
    <x v="38"/>
    <x v="1"/>
    <x v="23"/>
    <x v="325"/>
    <x v="2848"/>
    <x v="26"/>
    <x v="26"/>
    <x v="2"/>
  </r>
  <r>
    <x v="3"/>
    <x v="3"/>
    <x v="573"/>
    <x v="0"/>
    <x v="26"/>
    <x v="38"/>
    <x v="5"/>
    <x v="23"/>
    <x v="309"/>
    <x v="2652"/>
    <x v="26"/>
    <x v="26"/>
    <x v="2"/>
  </r>
  <r>
    <x v="3"/>
    <x v="3"/>
    <x v="574"/>
    <x v="0"/>
    <x v="26"/>
    <x v="38"/>
    <x v="4"/>
    <x v="28"/>
    <x v="309"/>
    <x v="2763"/>
    <x v="36"/>
    <x v="36"/>
    <x v="2"/>
  </r>
  <r>
    <x v="3"/>
    <x v="3"/>
    <x v="575"/>
    <x v="2"/>
    <x v="0"/>
    <x v="6"/>
    <x v="0"/>
    <x v="33"/>
    <x v="273"/>
    <x v="2560"/>
    <x v="21"/>
    <x v="21"/>
    <x v="2"/>
  </r>
  <r>
    <x v="3"/>
    <x v="3"/>
    <x v="576"/>
    <x v="2"/>
    <x v="0"/>
    <x v="6"/>
    <x v="3"/>
    <x v="28"/>
    <x v="309"/>
    <x v="2763"/>
    <x v="41"/>
    <x v="41"/>
    <x v="2"/>
  </r>
  <r>
    <x v="3"/>
    <x v="3"/>
    <x v="577"/>
    <x v="2"/>
    <x v="0"/>
    <x v="6"/>
    <x v="2"/>
    <x v="18"/>
    <x v="321"/>
    <x v="2723"/>
    <x v="26"/>
    <x v="26"/>
    <x v="2"/>
  </r>
  <r>
    <x v="3"/>
    <x v="3"/>
    <x v="578"/>
    <x v="2"/>
    <x v="0"/>
    <x v="6"/>
    <x v="1"/>
    <x v="28"/>
    <x v="319"/>
    <x v="2852"/>
    <x v="26"/>
    <x v="26"/>
    <x v="2"/>
  </r>
  <r>
    <x v="3"/>
    <x v="3"/>
    <x v="579"/>
    <x v="2"/>
    <x v="0"/>
    <x v="6"/>
    <x v="5"/>
    <x v="28"/>
    <x v="304"/>
    <x v="2682"/>
    <x v="26"/>
    <x v="26"/>
    <x v="2"/>
  </r>
  <r>
    <x v="3"/>
    <x v="3"/>
    <x v="580"/>
    <x v="2"/>
    <x v="0"/>
    <x v="6"/>
    <x v="4"/>
    <x v="28"/>
    <x v="294"/>
    <x v="2574"/>
    <x v="36"/>
    <x v="36"/>
    <x v="2"/>
  </r>
  <r>
    <x v="3"/>
    <x v="3"/>
    <x v="581"/>
    <x v="2"/>
    <x v="0"/>
    <x v="6"/>
    <x v="0"/>
    <x v="33"/>
    <x v="212"/>
    <x v="2206"/>
    <x v="21"/>
    <x v="21"/>
    <x v="2"/>
  </r>
  <r>
    <x v="3"/>
    <x v="3"/>
    <x v="582"/>
    <x v="2"/>
    <x v="0"/>
    <x v="6"/>
    <x v="3"/>
    <x v="28"/>
    <x v="307"/>
    <x v="2727"/>
    <x v="41"/>
    <x v="41"/>
    <x v="2"/>
  </r>
  <r>
    <x v="3"/>
    <x v="3"/>
    <x v="583"/>
    <x v="2"/>
    <x v="0"/>
    <x v="6"/>
    <x v="2"/>
    <x v="23"/>
    <x v="321"/>
    <x v="2817"/>
    <x v="31"/>
    <x v="31"/>
    <x v="2"/>
  </r>
  <r>
    <x v="3"/>
    <x v="3"/>
    <x v="584"/>
    <x v="2"/>
    <x v="0"/>
    <x v="6"/>
    <x v="1"/>
    <x v="33"/>
    <x v="321"/>
    <x v="2886"/>
    <x v="31"/>
    <x v="31"/>
    <x v="2"/>
  </r>
  <r>
    <x v="3"/>
    <x v="3"/>
    <x v="585"/>
    <x v="2"/>
    <x v="0"/>
    <x v="6"/>
    <x v="5"/>
    <x v="23"/>
    <x v="307"/>
    <x v="2594"/>
    <x v="31"/>
    <x v="31"/>
    <x v="2"/>
  </r>
  <r>
    <x v="3"/>
    <x v="3"/>
    <x v="586"/>
    <x v="2"/>
    <x v="0"/>
    <x v="6"/>
    <x v="4"/>
    <x v="28"/>
    <x v="285"/>
    <x v="2491"/>
    <x v="41"/>
    <x v="41"/>
    <x v="2"/>
  </r>
  <r>
    <x v="3"/>
    <x v="3"/>
    <x v="587"/>
    <x v="2"/>
    <x v="0"/>
    <x v="6"/>
    <x v="0"/>
    <x v="33"/>
    <x v="212"/>
    <x v="2206"/>
    <x v="26"/>
    <x v="26"/>
    <x v="2"/>
  </r>
  <r>
    <x v="3"/>
    <x v="3"/>
    <x v="588"/>
    <x v="2"/>
    <x v="0"/>
    <x v="6"/>
    <x v="3"/>
    <x v="28"/>
    <x v="300"/>
    <x v="2637"/>
    <x v="46"/>
    <x v="46"/>
    <x v="2"/>
  </r>
  <r>
    <x v="3"/>
    <x v="3"/>
    <x v="589"/>
    <x v="2"/>
    <x v="0"/>
    <x v="6"/>
    <x v="2"/>
    <x v="13"/>
    <x v="323"/>
    <x v="2560"/>
    <x v="31"/>
    <x v="31"/>
    <x v="2"/>
  </r>
  <r>
    <x v="3"/>
    <x v="3"/>
    <x v="590"/>
    <x v="2"/>
    <x v="0"/>
    <x v="6"/>
    <x v="1"/>
    <x v="13"/>
    <x v="323"/>
    <x v="2560"/>
    <x v="31"/>
    <x v="31"/>
    <x v="2"/>
  </r>
  <r>
    <x v="3"/>
    <x v="3"/>
    <x v="591"/>
    <x v="2"/>
    <x v="0"/>
    <x v="6"/>
    <x v="5"/>
    <x v="8"/>
    <x v="309"/>
    <x v="1700"/>
    <x v="31"/>
    <x v="31"/>
    <x v="2"/>
  </r>
  <r>
    <x v="3"/>
    <x v="3"/>
    <x v="592"/>
    <x v="2"/>
    <x v="0"/>
    <x v="6"/>
    <x v="4"/>
    <x v="13"/>
    <x v="294"/>
    <x v="1779"/>
    <x v="41"/>
    <x v="41"/>
    <x v="2"/>
  </r>
  <r>
    <x v="3"/>
    <x v="3"/>
    <x v="593"/>
    <x v="2"/>
    <x v="0"/>
    <x v="6"/>
    <x v="0"/>
    <x v="18"/>
    <x v="231"/>
    <x v="1646"/>
    <x v="26"/>
    <x v="26"/>
    <x v="2"/>
  </r>
  <r>
    <x v="3"/>
    <x v="3"/>
    <x v="594"/>
    <x v="2"/>
    <x v="0"/>
    <x v="6"/>
    <x v="3"/>
    <x v="13"/>
    <x v="315"/>
    <x v="2350"/>
    <x v="46"/>
    <x v="46"/>
    <x v="2"/>
  </r>
  <r>
    <x v="3"/>
    <x v="3"/>
    <x v="595"/>
    <x v="2"/>
    <x v="0"/>
    <x v="6"/>
    <x v="2"/>
    <x v="3"/>
    <x v="327"/>
    <x v="1674"/>
    <x v="31"/>
    <x v="31"/>
    <x v="2"/>
  </r>
  <r>
    <x v="3"/>
    <x v="3"/>
    <x v="596"/>
    <x v="2"/>
    <x v="0"/>
    <x v="6"/>
    <x v="1"/>
    <x v="13"/>
    <x v="329"/>
    <x v="2666"/>
    <x v="31"/>
    <x v="31"/>
    <x v="2"/>
  </r>
  <r>
    <x v="3"/>
    <x v="3"/>
    <x v="597"/>
    <x v="2"/>
    <x v="0"/>
    <x v="6"/>
    <x v="5"/>
    <x v="8"/>
    <x v="317"/>
    <x v="1998"/>
    <x v="31"/>
    <x v="31"/>
    <x v="2"/>
  </r>
  <r>
    <x v="3"/>
    <x v="3"/>
    <x v="598"/>
    <x v="2"/>
    <x v="0"/>
    <x v="6"/>
    <x v="4"/>
    <x v="28"/>
    <x v="311"/>
    <x v="2793"/>
    <x v="41"/>
    <x v="41"/>
    <x v="2"/>
  </r>
  <r>
    <x v="3"/>
    <x v="3"/>
    <x v="599"/>
    <x v="2"/>
    <x v="0"/>
    <x v="6"/>
    <x v="0"/>
    <x v="43"/>
    <x v="300"/>
    <x v="2840"/>
    <x v="26"/>
    <x v="26"/>
    <x v="2"/>
  </r>
  <r>
    <x v="3"/>
    <x v="3"/>
    <x v="600"/>
    <x v="2"/>
    <x v="0"/>
    <x v="6"/>
    <x v="3"/>
    <x v="38"/>
    <x v="331"/>
    <x v="2935"/>
    <x v="46"/>
    <x v="46"/>
    <x v="2"/>
  </r>
  <r>
    <x v="3"/>
    <x v="3"/>
    <x v="601"/>
    <x v="2"/>
    <x v="0"/>
    <x v="6"/>
    <x v="2"/>
    <x v="38"/>
    <x v="331"/>
    <x v="2935"/>
    <x v="31"/>
    <x v="31"/>
    <x v="2"/>
  </r>
  <r>
    <x v="3"/>
    <x v="3"/>
    <x v="602"/>
    <x v="2"/>
    <x v="0"/>
    <x v="6"/>
    <x v="1"/>
    <x v="43"/>
    <x v="331"/>
    <x v="2955"/>
    <x v="31"/>
    <x v="31"/>
    <x v="2"/>
  </r>
  <r>
    <x v="3"/>
    <x v="3"/>
    <x v="603"/>
    <x v="2"/>
    <x v="0"/>
    <x v="6"/>
    <x v="5"/>
    <x v="38"/>
    <x v="323"/>
    <x v="2910"/>
    <x v="31"/>
    <x v="31"/>
    <x v="2"/>
  </r>
  <r>
    <x v="3"/>
    <x v="3"/>
    <x v="604"/>
    <x v="2"/>
    <x v="0"/>
    <x v="6"/>
    <x v="4"/>
    <x v="38"/>
    <x v="319"/>
    <x v="2895"/>
    <x v="41"/>
    <x v="41"/>
    <x v="2"/>
  </r>
  <r>
    <x v="3"/>
    <x v="3"/>
    <x v="605"/>
    <x v="2"/>
    <x v="0"/>
    <x v="6"/>
    <x v="0"/>
    <x v="43"/>
    <x v="311"/>
    <x v="2886"/>
    <x v="26"/>
    <x v="26"/>
    <x v="2"/>
  </r>
  <r>
    <x v="3"/>
    <x v="3"/>
    <x v="606"/>
    <x v="2"/>
    <x v="0"/>
    <x v="6"/>
    <x v="3"/>
    <x v="48"/>
    <x v="340"/>
    <x v="3001"/>
    <x v="46"/>
    <x v="46"/>
    <x v="2"/>
  </r>
  <r>
    <x v="3"/>
    <x v="3"/>
    <x v="607"/>
    <x v="2"/>
    <x v="0"/>
    <x v="6"/>
    <x v="2"/>
    <x v="38"/>
    <x v="337"/>
    <x v="2952"/>
    <x v="36"/>
    <x v="36"/>
    <x v="2"/>
  </r>
  <r>
    <x v="3"/>
    <x v="3"/>
    <x v="608"/>
    <x v="2"/>
    <x v="0"/>
    <x v="6"/>
    <x v="1"/>
    <x v="43"/>
    <x v="337"/>
    <x v="2972"/>
    <x v="36"/>
    <x v="36"/>
    <x v="2"/>
  </r>
  <r>
    <x v="3"/>
    <x v="3"/>
    <x v="609"/>
    <x v="2"/>
    <x v="0"/>
    <x v="6"/>
    <x v="5"/>
    <x v="38"/>
    <x v="346"/>
    <x v="2984"/>
    <x v="36"/>
    <x v="36"/>
    <x v="2"/>
  </r>
  <r>
    <x v="3"/>
    <x v="3"/>
    <x v="610"/>
    <x v="2"/>
    <x v="0"/>
    <x v="6"/>
    <x v="4"/>
    <x v="38"/>
    <x v="317"/>
    <x v="2889"/>
    <x v="46"/>
    <x v="46"/>
    <x v="2"/>
  </r>
  <r>
    <x v="3"/>
    <x v="3"/>
    <x v="611"/>
    <x v="2"/>
    <x v="0"/>
    <x v="6"/>
    <x v="0"/>
    <x v="43"/>
    <x v="313"/>
    <x v="2892"/>
    <x v="31"/>
    <x v="31"/>
    <x v="2"/>
  </r>
  <r>
    <x v="3"/>
    <x v="3"/>
    <x v="612"/>
    <x v="2"/>
    <x v="0"/>
    <x v="6"/>
    <x v="3"/>
    <x v="53"/>
    <x v="335"/>
    <x v="3000"/>
    <x v="51"/>
    <x v="51"/>
    <x v="2"/>
  </r>
  <r>
    <x v="3"/>
    <x v="3"/>
    <x v="613"/>
    <x v="2"/>
    <x v="0"/>
    <x v="6"/>
    <x v="2"/>
    <x v="33"/>
    <x v="331"/>
    <x v="2915"/>
    <x v="36"/>
    <x v="36"/>
    <x v="2"/>
  </r>
  <r>
    <x v="3"/>
    <x v="3"/>
    <x v="614"/>
    <x v="2"/>
    <x v="0"/>
    <x v="6"/>
    <x v="1"/>
    <x v="48"/>
    <x v="331"/>
    <x v="2972"/>
    <x v="36"/>
    <x v="36"/>
    <x v="2"/>
  </r>
  <r>
    <x v="3"/>
    <x v="3"/>
    <x v="615"/>
    <x v="2"/>
    <x v="0"/>
    <x v="6"/>
    <x v="5"/>
    <x v="48"/>
    <x v="343"/>
    <x v="3013"/>
    <x v="36"/>
    <x v="36"/>
    <x v="2"/>
  </r>
  <r>
    <x v="3"/>
    <x v="3"/>
    <x v="616"/>
    <x v="2"/>
    <x v="0"/>
    <x v="6"/>
    <x v="4"/>
    <x v="43"/>
    <x v="304"/>
    <x v="2854"/>
    <x v="46"/>
    <x v="46"/>
    <x v="2"/>
  </r>
  <r>
    <x v="3"/>
    <x v="3"/>
    <x v="617"/>
    <x v="2"/>
    <x v="0"/>
    <x v="6"/>
    <x v="0"/>
    <x v="48"/>
    <x v="304"/>
    <x v="2873"/>
    <x v="31"/>
    <x v="31"/>
    <x v="2"/>
  </r>
  <r>
    <x v="3"/>
    <x v="3"/>
    <x v="618"/>
    <x v="2"/>
    <x v="0"/>
    <x v="6"/>
    <x v="3"/>
    <x v="53"/>
    <x v="325"/>
    <x v="2969"/>
    <x v="51"/>
    <x v="51"/>
    <x v="2"/>
  </r>
  <r>
    <x v="3"/>
    <x v="3"/>
    <x v="619"/>
    <x v="2"/>
    <x v="0"/>
    <x v="6"/>
    <x v="2"/>
    <x v="48"/>
    <x v="321"/>
    <x v="2939"/>
    <x v="36"/>
    <x v="36"/>
    <x v="2"/>
  </r>
  <r>
    <x v="3"/>
    <x v="3"/>
    <x v="620"/>
    <x v="2"/>
    <x v="0"/>
    <x v="6"/>
    <x v="1"/>
    <x v="48"/>
    <x v="317"/>
    <x v="2925"/>
    <x v="36"/>
    <x v="36"/>
    <x v="2"/>
  </r>
  <r>
    <x v="3"/>
    <x v="3"/>
    <x v="621"/>
    <x v="2"/>
    <x v="0"/>
    <x v="6"/>
    <x v="5"/>
    <x v="53"/>
    <x v="321"/>
    <x v="2955"/>
    <x v="36"/>
    <x v="36"/>
    <x v="2"/>
  </r>
  <r>
    <x v="3"/>
    <x v="3"/>
    <x v="622"/>
    <x v="2"/>
    <x v="0"/>
    <x v="6"/>
    <x v="4"/>
    <x v="53"/>
    <x v="285"/>
    <x v="2852"/>
    <x v="46"/>
    <x v="46"/>
    <x v="2"/>
  </r>
  <r>
    <x v="3"/>
    <x v="3"/>
    <x v="623"/>
    <x v="2"/>
    <x v="0"/>
    <x v="6"/>
    <x v="0"/>
    <x v="38"/>
    <x v="285"/>
    <x v="2727"/>
    <x v="31"/>
    <x v="31"/>
    <x v="2"/>
  </r>
  <r>
    <x v="3"/>
    <x v="3"/>
    <x v="624"/>
    <x v="2"/>
    <x v="0"/>
    <x v="6"/>
    <x v="3"/>
    <x v="33"/>
    <x v="317"/>
    <x v="2869"/>
    <x v="51"/>
    <x v="51"/>
    <x v="2"/>
  </r>
  <r>
    <x v="3"/>
    <x v="3"/>
    <x v="625"/>
    <x v="2"/>
    <x v="0"/>
    <x v="6"/>
    <x v="2"/>
    <x v="23"/>
    <x v="313"/>
    <x v="2727"/>
    <x v="36"/>
    <x v="36"/>
    <x v="2"/>
  </r>
  <r>
    <x v="3"/>
    <x v="3"/>
    <x v="626"/>
    <x v="2"/>
    <x v="0"/>
    <x v="6"/>
    <x v="1"/>
    <x v="23"/>
    <x v="313"/>
    <x v="2727"/>
    <x v="36"/>
    <x v="36"/>
    <x v="2"/>
  </r>
  <r>
    <x v="3"/>
    <x v="3"/>
    <x v="627"/>
    <x v="2"/>
    <x v="0"/>
    <x v="6"/>
    <x v="5"/>
    <x v="28"/>
    <x v="309"/>
    <x v="2763"/>
    <x v="36"/>
    <x v="36"/>
    <x v="2"/>
  </r>
  <r>
    <x v="3"/>
    <x v="3"/>
    <x v="628"/>
    <x v="2"/>
    <x v="0"/>
    <x v="6"/>
    <x v="4"/>
    <x v="28"/>
    <x v="273"/>
    <x v="2398"/>
    <x v="46"/>
    <x v="46"/>
    <x v="2"/>
  </r>
  <r>
    <x v="3"/>
    <x v="3"/>
    <x v="629"/>
    <x v="2"/>
    <x v="0"/>
    <x v="6"/>
    <x v="0"/>
    <x v="23"/>
    <x v="254"/>
    <x v="2064"/>
    <x v="31"/>
    <x v="31"/>
    <x v="2"/>
  </r>
  <r>
    <x v="3"/>
    <x v="3"/>
    <x v="630"/>
    <x v="2"/>
    <x v="0"/>
    <x v="6"/>
    <x v="3"/>
    <x v="33"/>
    <x v="309"/>
    <x v="2825"/>
    <x v="51"/>
    <x v="51"/>
    <x v="2"/>
  </r>
  <r>
    <x v="3"/>
    <x v="3"/>
    <x v="631"/>
    <x v="2"/>
    <x v="0"/>
    <x v="6"/>
    <x v="2"/>
    <x v="13"/>
    <x v="321"/>
    <x v="2513"/>
    <x v="36"/>
    <x v="36"/>
    <x v="2"/>
  </r>
  <r>
    <x v="3"/>
    <x v="3"/>
    <x v="632"/>
    <x v="2"/>
    <x v="0"/>
    <x v="6"/>
    <x v="1"/>
    <x v="13"/>
    <x v="321"/>
    <x v="2513"/>
    <x v="36"/>
    <x v="36"/>
    <x v="2"/>
  </r>
  <r>
    <x v="3"/>
    <x v="3"/>
    <x v="633"/>
    <x v="2"/>
    <x v="0"/>
    <x v="6"/>
    <x v="5"/>
    <x v="38"/>
    <x v="317"/>
    <x v="2889"/>
    <x v="36"/>
    <x v="36"/>
    <x v="2"/>
  </r>
  <r>
    <x v="3"/>
    <x v="3"/>
    <x v="634"/>
    <x v="2"/>
    <x v="0"/>
    <x v="6"/>
    <x v="4"/>
    <x v="38"/>
    <x v="307"/>
    <x v="2848"/>
    <x v="46"/>
    <x v="46"/>
    <x v="2"/>
  </r>
  <r>
    <x v="3"/>
    <x v="3"/>
    <x v="635"/>
    <x v="2"/>
    <x v="0"/>
    <x v="6"/>
    <x v="0"/>
    <x v="43"/>
    <x v="304"/>
    <x v="2854"/>
    <x v="31"/>
    <x v="31"/>
    <x v="2"/>
  </r>
  <r>
    <x v="3"/>
    <x v="3"/>
    <x v="636"/>
    <x v="2"/>
    <x v="0"/>
    <x v="6"/>
    <x v="3"/>
    <x v="53"/>
    <x v="321"/>
    <x v="2955"/>
    <x v="51"/>
    <x v="51"/>
    <x v="2"/>
  </r>
  <r>
    <x v="3"/>
    <x v="3"/>
    <x v="637"/>
    <x v="2"/>
    <x v="0"/>
    <x v="6"/>
    <x v="2"/>
    <x v="53"/>
    <x v="333"/>
    <x v="2993"/>
    <x v="36"/>
    <x v="36"/>
    <x v="2"/>
  </r>
  <r>
    <x v="3"/>
    <x v="3"/>
    <x v="638"/>
    <x v="2"/>
    <x v="0"/>
    <x v="6"/>
    <x v="1"/>
    <x v="53"/>
    <x v="333"/>
    <x v="2993"/>
    <x v="36"/>
    <x v="36"/>
    <x v="2"/>
  </r>
  <r>
    <x v="3"/>
    <x v="3"/>
    <x v="639"/>
    <x v="2"/>
    <x v="0"/>
    <x v="6"/>
    <x v="5"/>
    <x v="58"/>
    <x v="327"/>
    <x v="2989"/>
    <x v="36"/>
    <x v="36"/>
    <x v="2"/>
  </r>
  <r>
    <x v="3"/>
    <x v="3"/>
    <x v="640"/>
    <x v="2"/>
    <x v="0"/>
    <x v="6"/>
    <x v="4"/>
    <x v="58"/>
    <x v="315"/>
    <x v="2945"/>
    <x v="46"/>
    <x v="46"/>
    <x v="2"/>
  </r>
  <r>
    <x v="3"/>
    <x v="3"/>
    <x v="641"/>
    <x v="2"/>
    <x v="0"/>
    <x v="6"/>
    <x v="0"/>
    <x v="53"/>
    <x v="311"/>
    <x v="2915"/>
    <x v="31"/>
    <x v="31"/>
    <x v="2"/>
  </r>
  <r>
    <x v="3"/>
    <x v="3"/>
    <x v="642"/>
    <x v="2"/>
    <x v="0"/>
    <x v="6"/>
    <x v="3"/>
    <x v="63"/>
    <x v="331"/>
    <x v="3017"/>
    <x v="51"/>
    <x v="51"/>
    <x v="2"/>
  </r>
  <r>
    <x v="0"/>
    <x v="1"/>
    <x v="643"/>
    <x v="2"/>
    <x v="0"/>
    <x v="6"/>
    <x v="2"/>
    <x v="33"/>
    <x v="307"/>
    <x v="2805"/>
    <x v="21"/>
    <x v="21"/>
    <x v="2"/>
  </r>
  <r>
    <x v="0"/>
    <x v="1"/>
    <x v="644"/>
    <x v="2"/>
    <x v="0"/>
    <x v="6"/>
    <x v="1"/>
    <x v="33"/>
    <x v="212"/>
    <x v="2206"/>
    <x v="21"/>
    <x v="21"/>
    <x v="2"/>
  </r>
  <r>
    <x v="0"/>
    <x v="1"/>
    <x v="645"/>
    <x v="2"/>
    <x v="0"/>
    <x v="6"/>
    <x v="5"/>
    <x v="23"/>
    <x v="212"/>
    <x v="1779"/>
    <x v="26"/>
    <x v="26"/>
    <x v="2"/>
  </r>
  <r>
    <x v="0"/>
    <x v="1"/>
    <x v="646"/>
    <x v="2"/>
    <x v="0"/>
    <x v="6"/>
    <x v="4"/>
    <x v="28"/>
    <x v="82"/>
    <x v="821"/>
    <x v="16"/>
    <x v="16"/>
    <x v="2"/>
  </r>
  <r>
    <x v="0"/>
    <x v="1"/>
    <x v="647"/>
    <x v="1"/>
    <x v="18"/>
    <x v="42"/>
    <x v="0"/>
    <x v="43"/>
    <x v="129"/>
    <x v="1779"/>
    <x v="11"/>
    <x v="11"/>
    <x v="2"/>
  </r>
  <r>
    <x v="0"/>
    <x v="1"/>
    <x v="648"/>
    <x v="1"/>
    <x v="18"/>
    <x v="42"/>
    <x v="3"/>
    <x v="33"/>
    <x v="212"/>
    <x v="2206"/>
    <x v="26"/>
    <x v="26"/>
    <x v="2"/>
  </r>
  <r>
    <x v="0"/>
    <x v="1"/>
    <x v="649"/>
    <x v="1"/>
    <x v="18"/>
    <x v="42"/>
    <x v="2"/>
    <x v="33"/>
    <x v="311"/>
    <x v="2840"/>
    <x v="21"/>
    <x v="21"/>
    <x v="2"/>
  </r>
  <r>
    <x v="0"/>
    <x v="1"/>
    <x v="650"/>
    <x v="1"/>
    <x v="18"/>
    <x v="42"/>
    <x v="1"/>
    <x v="33"/>
    <x v="129"/>
    <x v="1441"/>
    <x v="21"/>
    <x v="21"/>
    <x v="2"/>
  </r>
  <r>
    <x v="0"/>
    <x v="1"/>
    <x v="651"/>
    <x v="1"/>
    <x v="18"/>
    <x v="42"/>
    <x v="5"/>
    <x v="23"/>
    <x v="174"/>
    <x v="1441"/>
    <x v="26"/>
    <x v="26"/>
    <x v="2"/>
  </r>
  <r>
    <x v="0"/>
    <x v="1"/>
    <x v="652"/>
    <x v="1"/>
    <x v="18"/>
    <x v="42"/>
    <x v="4"/>
    <x v="28"/>
    <x v="62"/>
    <x v="565"/>
    <x v="16"/>
    <x v="16"/>
    <x v="2"/>
  </r>
  <r>
    <x v="0"/>
    <x v="1"/>
    <x v="653"/>
    <x v="1"/>
    <x v="18"/>
    <x v="42"/>
    <x v="0"/>
    <x v="43"/>
    <x v="129"/>
    <x v="1779"/>
    <x v="11"/>
    <x v="11"/>
    <x v="2"/>
  </r>
  <r>
    <x v="0"/>
    <x v="1"/>
    <x v="654"/>
    <x v="1"/>
    <x v="18"/>
    <x v="42"/>
    <x v="3"/>
    <x v="33"/>
    <x v="212"/>
    <x v="2206"/>
    <x v="26"/>
    <x v="26"/>
    <x v="2"/>
  </r>
  <r>
    <x v="0"/>
    <x v="1"/>
    <x v="655"/>
    <x v="1"/>
    <x v="18"/>
    <x v="42"/>
    <x v="2"/>
    <x v="33"/>
    <x v="308"/>
    <x v="2819"/>
    <x v="21"/>
    <x v="21"/>
    <x v="2"/>
  </r>
  <r>
    <x v="0"/>
    <x v="1"/>
    <x v="656"/>
    <x v="1"/>
    <x v="18"/>
    <x v="42"/>
    <x v="1"/>
    <x v="33"/>
    <x v="152"/>
    <x v="1674"/>
    <x v="21"/>
    <x v="21"/>
    <x v="2"/>
  </r>
  <r>
    <x v="0"/>
    <x v="1"/>
    <x v="657"/>
    <x v="1"/>
    <x v="18"/>
    <x v="42"/>
    <x v="5"/>
    <x v="23"/>
    <x v="174"/>
    <x v="1441"/>
    <x v="26"/>
    <x v="26"/>
    <x v="2"/>
  </r>
  <r>
    <x v="0"/>
    <x v="1"/>
    <x v="658"/>
    <x v="1"/>
    <x v="18"/>
    <x v="42"/>
    <x v="4"/>
    <x v="28"/>
    <x v="39"/>
    <x v="318"/>
    <x v="16"/>
    <x v="16"/>
    <x v="2"/>
  </r>
  <r>
    <x v="0"/>
    <x v="1"/>
    <x v="659"/>
    <x v="1"/>
    <x v="18"/>
    <x v="42"/>
    <x v="0"/>
    <x v="43"/>
    <x v="82"/>
    <x v="1208"/>
    <x v="11"/>
    <x v="11"/>
    <x v="2"/>
  </r>
  <r>
    <x v="0"/>
    <x v="1"/>
    <x v="660"/>
    <x v="1"/>
    <x v="18"/>
    <x v="42"/>
    <x v="3"/>
    <x v="33"/>
    <x v="174"/>
    <x v="1883"/>
    <x v="26"/>
    <x v="26"/>
    <x v="2"/>
  </r>
  <r>
    <x v="0"/>
    <x v="1"/>
    <x v="661"/>
    <x v="1"/>
    <x v="18"/>
    <x v="42"/>
    <x v="2"/>
    <x v="33"/>
    <x v="307"/>
    <x v="2805"/>
    <x v="21"/>
    <x v="21"/>
    <x v="2"/>
  </r>
  <r>
    <x v="0"/>
    <x v="1"/>
    <x v="662"/>
    <x v="1"/>
    <x v="18"/>
    <x v="42"/>
    <x v="1"/>
    <x v="33"/>
    <x v="129"/>
    <x v="1441"/>
    <x v="21"/>
    <x v="21"/>
    <x v="2"/>
  </r>
  <r>
    <x v="0"/>
    <x v="1"/>
    <x v="663"/>
    <x v="1"/>
    <x v="18"/>
    <x v="42"/>
    <x v="5"/>
    <x v="23"/>
    <x v="129"/>
    <x v="1086"/>
    <x v="26"/>
    <x v="26"/>
    <x v="2"/>
  </r>
  <r>
    <x v="0"/>
    <x v="1"/>
    <x v="664"/>
    <x v="1"/>
    <x v="18"/>
    <x v="42"/>
    <x v="4"/>
    <x v="28"/>
    <x v="62"/>
    <x v="565"/>
    <x v="16"/>
    <x v="16"/>
    <x v="2"/>
  </r>
  <r>
    <x v="0"/>
    <x v="1"/>
    <x v="665"/>
    <x v="1"/>
    <x v="18"/>
    <x v="42"/>
    <x v="0"/>
    <x v="43"/>
    <x v="62"/>
    <x v="891"/>
    <x v="11"/>
    <x v="11"/>
    <x v="2"/>
  </r>
  <r>
    <x v="0"/>
    <x v="1"/>
    <x v="666"/>
    <x v="1"/>
    <x v="18"/>
    <x v="42"/>
    <x v="3"/>
    <x v="33"/>
    <x v="194"/>
    <x v="2064"/>
    <x v="26"/>
    <x v="26"/>
    <x v="2"/>
  </r>
  <r>
    <x v="0"/>
    <x v="1"/>
    <x v="667"/>
    <x v="1"/>
    <x v="18"/>
    <x v="42"/>
    <x v="2"/>
    <x v="48"/>
    <x v="310"/>
    <x v="2897"/>
    <x v="21"/>
    <x v="21"/>
    <x v="2"/>
  </r>
  <r>
    <x v="0"/>
    <x v="1"/>
    <x v="668"/>
    <x v="1"/>
    <x v="18"/>
    <x v="42"/>
    <x v="1"/>
    <x v="43"/>
    <x v="174"/>
    <x v="2206"/>
    <x v="21"/>
    <x v="21"/>
    <x v="2"/>
  </r>
  <r>
    <x v="0"/>
    <x v="1"/>
    <x v="669"/>
    <x v="1"/>
    <x v="18"/>
    <x v="42"/>
    <x v="5"/>
    <x v="38"/>
    <x v="152"/>
    <x v="1857"/>
    <x v="26"/>
    <x v="26"/>
    <x v="2"/>
  </r>
  <r>
    <x v="0"/>
    <x v="1"/>
    <x v="670"/>
    <x v="1"/>
    <x v="18"/>
    <x v="42"/>
    <x v="4"/>
    <x v="38"/>
    <x v="105"/>
    <x v="1355"/>
    <x v="16"/>
    <x v="16"/>
    <x v="2"/>
  </r>
  <r>
    <x v="0"/>
    <x v="1"/>
    <x v="671"/>
    <x v="1"/>
    <x v="18"/>
    <x v="42"/>
    <x v="0"/>
    <x v="48"/>
    <x v="129"/>
    <x v="1929"/>
    <x v="11"/>
    <x v="11"/>
    <x v="2"/>
  </r>
  <r>
    <x v="0"/>
    <x v="1"/>
    <x v="672"/>
    <x v="1"/>
    <x v="18"/>
    <x v="42"/>
    <x v="3"/>
    <x v="53"/>
    <x v="231"/>
    <x v="2757"/>
    <x v="26"/>
    <x v="26"/>
    <x v="2"/>
  </r>
  <r>
    <x v="0"/>
    <x v="1"/>
    <x v="673"/>
    <x v="1"/>
    <x v="18"/>
    <x v="42"/>
    <x v="2"/>
    <x v="48"/>
    <x v="313"/>
    <x v="2908"/>
    <x v="21"/>
    <x v="21"/>
    <x v="2"/>
  </r>
  <r>
    <x v="0"/>
    <x v="1"/>
    <x v="674"/>
    <x v="1"/>
    <x v="18"/>
    <x v="42"/>
    <x v="1"/>
    <x v="43"/>
    <x v="231"/>
    <x v="2615"/>
    <x v="21"/>
    <x v="21"/>
    <x v="2"/>
  </r>
  <r>
    <x v="0"/>
    <x v="1"/>
    <x v="675"/>
    <x v="1"/>
    <x v="18"/>
    <x v="42"/>
    <x v="5"/>
    <x v="38"/>
    <x v="174"/>
    <x v="2064"/>
    <x v="26"/>
    <x v="26"/>
    <x v="2"/>
  </r>
  <r>
    <x v="0"/>
    <x v="1"/>
    <x v="676"/>
    <x v="1"/>
    <x v="18"/>
    <x v="42"/>
    <x v="4"/>
    <x v="38"/>
    <x v="152"/>
    <x v="1857"/>
    <x v="16"/>
    <x v="16"/>
    <x v="2"/>
  </r>
  <r>
    <x v="0"/>
    <x v="1"/>
    <x v="677"/>
    <x v="1"/>
    <x v="18"/>
    <x v="42"/>
    <x v="0"/>
    <x v="48"/>
    <x v="152"/>
    <x v="2158"/>
    <x v="11"/>
    <x v="11"/>
    <x v="2"/>
  </r>
  <r>
    <x v="0"/>
    <x v="1"/>
    <x v="678"/>
    <x v="1"/>
    <x v="18"/>
    <x v="42"/>
    <x v="3"/>
    <x v="53"/>
    <x v="273"/>
    <x v="2833"/>
    <x v="26"/>
    <x v="26"/>
    <x v="2"/>
  </r>
  <r>
    <x v="0"/>
    <x v="1"/>
    <x v="679"/>
    <x v="1"/>
    <x v="18"/>
    <x v="42"/>
    <x v="2"/>
    <x v="48"/>
    <x v="315"/>
    <x v="2916"/>
    <x v="21"/>
    <x v="21"/>
    <x v="2"/>
  </r>
  <r>
    <x v="0"/>
    <x v="1"/>
    <x v="680"/>
    <x v="1"/>
    <x v="18"/>
    <x v="42"/>
    <x v="1"/>
    <x v="43"/>
    <x v="254"/>
    <x v="2686"/>
    <x v="21"/>
    <x v="21"/>
    <x v="2"/>
  </r>
  <r>
    <x v="0"/>
    <x v="1"/>
    <x v="681"/>
    <x v="1"/>
    <x v="18"/>
    <x v="42"/>
    <x v="5"/>
    <x v="38"/>
    <x v="194"/>
    <x v="2227"/>
    <x v="26"/>
    <x v="26"/>
    <x v="2"/>
  </r>
  <r>
    <x v="0"/>
    <x v="1"/>
    <x v="682"/>
    <x v="1"/>
    <x v="18"/>
    <x v="42"/>
    <x v="4"/>
    <x v="38"/>
    <x v="152"/>
    <x v="1857"/>
    <x v="16"/>
    <x v="16"/>
    <x v="2"/>
  </r>
  <r>
    <x v="0"/>
    <x v="1"/>
    <x v="683"/>
    <x v="1"/>
    <x v="18"/>
    <x v="42"/>
    <x v="0"/>
    <x v="48"/>
    <x v="174"/>
    <x v="2350"/>
    <x v="11"/>
    <x v="11"/>
    <x v="2"/>
  </r>
  <r>
    <x v="0"/>
    <x v="1"/>
    <x v="712"/>
    <x v="1"/>
    <x v="18"/>
    <x v="42"/>
    <x v="3"/>
    <x v="53"/>
    <x v="294"/>
    <x v="2866"/>
    <x v="26"/>
    <x v="26"/>
    <x v="2"/>
  </r>
  <r>
    <x v="0"/>
    <x v="1"/>
    <x v="713"/>
    <x v="1"/>
    <x v="18"/>
    <x v="42"/>
    <x v="2"/>
    <x v="48"/>
    <x v="313"/>
    <x v="2908"/>
    <x v="21"/>
    <x v="21"/>
    <x v="2"/>
  </r>
  <r>
    <x v="0"/>
    <x v="1"/>
    <x v="714"/>
    <x v="1"/>
    <x v="18"/>
    <x v="42"/>
    <x v="1"/>
    <x v="43"/>
    <x v="254"/>
    <x v="2686"/>
    <x v="21"/>
    <x v="21"/>
    <x v="2"/>
  </r>
  <r>
    <x v="0"/>
    <x v="1"/>
    <x v="715"/>
    <x v="1"/>
    <x v="18"/>
    <x v="42"/>
    <x v="5"/>
    <x v="38"/>
    <x v="194"/>
    <x v="2227"/>
    <x v="26"/>
    <x v="26"/>
    <x v="2"/>
  </r>
  <r>
    <x v="0"/>
    <x v="1"/>
    <x v="716"/>
    <x v="1"/>
    <x v="18"/>
    <x v="42"/>
    <x v="4"/>
    <x v="38"/>
    <x v="152"/>
    <x v="1857"/>
    <x v="16"/>
    <x v="16"/>
    <x v="2"/>
  </r>
  <r>
    <x v="0"/>
    <x v="1"/>
    <x v="717"/>
    <x v="1"/>
    <x v="18"/>
    <x v="42"/>
    <x v="0"/>
    <x v="48"/>
    <x v="129"/>
    <x v="1929"/>
    <x v="11"/>
    <x v="11"/>
    <x v="2"/>
  </r>
  <r>
    <x v="0"/>
    <x v="1"/>
    <x v="718"/>
    <x v="1"/>
    <x v="18"/>
    <x v="42"/>
    <x v="3"/>
    <x v="53"/>
    <x v="273"/>
    <x v="2833"/>
    <x v="26"/>
    <x v="26"/>
    <x v="2"/>
  </r>
  <r>
    <x v="0"/>
    <x v="1"/>
    <x v="719"/>
    <x v="1"/>
    <x v="18"/>
    <x v="42"/>
    <x v="2"/>
    <x v="48"/>
    <x v="307"/>
    <x v="2884"/>
    <x v="21"/>
    <x v="21"/>
    <x v="2"/>
  </r>
  <r>
    <x v="0"/>
    <x v="1"/>
    <x v="720"/>
    <x v="1"/>
    <x v="18"/>
    <x v="42"/>
    <x v="1"/>
    <x v="43"/>
    <x v="212"/>
    <x v="2513"/>
    <x v="21"/>
    <x v="21"/>
    <x v="2"/>
  </r>
  <r>
    <x v="0"/>
    <x v="1"/>
    <x v="721"/>
    <x v="1"/>
    <x v="18"/>
    <x v="42"/>
    <x v="5"/>
    <x v="38"/>
    <x v="129"/>
    <x v="1617"/>
    <x v="26"/>
    <x v="26"/>
    <x v="2"/>
  </r>
  <r>
    <x v="0"/>
    <x v="1"/>
    <x v="722"/>
    <x v="1"/>
    <x v="18"/>
    <x v="42"/>
    <x v="4"/>
    <x v="38"/>
    <x v="105"/>
    <x v="1355"/>
    <x v="16"/>
    <x v="16"/>
    <x v="2"/>
  </r>
  <r>
    <x v="0"/>
    <x v="1"/>
    <x v="723"/>
    <x v="1"/>
    <x v="18"/>
    <x v="42"/>
    <x v="0"/>
    <x v="48"/>
    <x v="105"/>
    <x v="1646"/>
    <x v="11"/>
    <x v="11"/>
    <x v="2"/>
  </r>
  <r>
    <x v="0"/>
    <x v="1"/>
    <x v="618"/>
    <x v="1"/>
    <x v="18"/>
    <x v="42"/>
    <x v="3"/>
    <x v="53"/>
    <x v="194"/>
    <x v="2594"/>
    <x v="26"/>
    <x v="26"/>
    <x v="2"/>
  </r>
  <r>
    <x v="0"/>
    <x v="1"/>
    <x v="650"/>
    <x v="1"/>
    <x v="18"/>
    <x v="42"/>
    <x v="2"/>
    <x v="53"/>
    <x v="300"/>
    <x v="2880"/>
    <x v="21"/>
    <x v="21"/>
    <x v="2"/>
  </r>
  <r>
    <x v="0"/>
    <x v="1"/>
    <x v="650"/>
    <x v="1"/>
    <x v="18"/>
    <x v="42"/>
    <x v="1"/>
    <x v="48"/>
    <x v="194"/>
    <x v="2506"/>
    <x v="21"/>
    <x v="21"/>
    <x v="2"/>
  </r>
  <r>
    <x v="0"/>
    <x v="1"/>
    <x v="650"/>
    <x v="1"/>
    <x v="18"/>
    <x v="42"/>
    <x v="5"/>
    <x v="48"/>
    <x v="105"/>
    <x v="1646"/>
    <x v="26"/>
    <x v="26"/>
    <x v="2"/>
  </r>
  <r>
    <x v="0"/>
    <x v="1"/>
    <x v="650"/>
    <x v="1"/>
    <x v="18"/>
    <x v="42"/>
    <x v="4"/>
    <x v="48"/>
    <x v="82"/>
    <x v="1321"/>
    <x v="16"/>
    <x v="16"/>
    <x v="2"/>
  </r>
  <r>
    <x v="0"/>
    <x v="1"/>
    <x v="650"/>
    <x v="1"/>
    <x v="18"/>
    <x v="42"/>
    <x v="0"/>
    <x v="58"/>
    <x v="82"/>
    <x v="1568"/>
    <x v="11"/>
    <x v="11"/>
    <x v="2"/>
  </r>
  <r>
    <x v="0"/>
    <x v="1"/>
    <x v="650"/>
    <x v="1"/>
    <x v="18"/>
    <x v="42"/>
    <x v="3"/>
    <x v="63"/>
    <x v="194"/>
    <x v="2727"/>
    <x v="26"/>
    <x v="26"/>
    <x v="2"/>
  </r>
  <r>
    <x v="0"/>
    <x v="1"/>
    <x v="680"/>
    <x v="1"/>
    <x v="18"/>
    <x v="42"/>
    <x v="2"/>
    <x v="58"/>
    <x v="294"/>
    <x v="2881"/>
    <x v="21"/>
    <x v="21"/>
    <x v="2"/>
  </r>
  <r>
    <x v="0"/>
    <x v="1"/>
    <x v="680"/>
    <x v="1"/>
    <x v="18"/>
    <x v="42"/>
    <x v="1"/>
    <x v="48"/>
    <x v="174"/>
    <x v="2350"/>
    <x v="21"/>
    <x v="21"/>
    <x v="2"/>
  </r>
  <r>
    <x v="0"/>
    <x v="1"/>
    <x v="680"/>
    <x v="1"/>
    <x v="18"/>
    <x v="42"/>
    <x v="5"/>
    <x v="48"/>
    <x v="171"/>
    <x v="2310"/>
    <x v="26"/>
    <x v="26"/>
    <x v="2"/>
  </r>
  <r>
    <x v="0"/>
    <x v="1"/>
    <x v="680"/>
    <x v="1"/>
    <x v="18"/>
    <x v="42"/>
    <x v="4"/>
    <x v="48"/>
    <x v="152"/>
    <x v="2158"/>
    <x v="16"/>
    <x v="16"/>
    <x v="2"/>
  </r>
  <r>
    <x v="0"/>
    <x v="1"/>
    <x v="680"/>
    <x v="1"/>
    <x v="18"/>
    <x v="42"/>
    <x v="0"/>
    <x v="58"/>
    <x v="129"/>
    <x v="2173"/>
    <x v="11"/>
    <x v="11"/>
    <x v="2"/>
  </r>
  <r>
    <x v="0"/>
    <x v="1"/>
    <x v="680"/>
    <x v="1"/>
    <x v="18"/>
    <x v="42"/>
    <x v="3"/>
    <x v="63"/>
    <x v="212"/>
    <x v="2793"/>
    <x v="26"/>
    <x v="26"/>
    <x v="2"/>
  </r>
  <r>
    <x v="0"/>
    <x v="1"/>
    <x v="709"/>
    <x v="1"/>
    <x v="18"/>
    <x v="42"/>
    <x v="2"/>
    <x v="58"/>
    <x v="309"/>
    <x v="2918"/>
    <x v="21"/>
    <x v="21"/>
    <x v="2"/>
  </r>
  <r>
    <x v="0"/>
    <x v="1"/>
    <x v="709"/>
    <x v="1"/>
    <x v="18"/>
    <x v="42"/>
    <x v="1"/>
    <x v="48"/>
    <x v="231"/>
    <x v="2694"/>
    <x v="21"/>
    <x v="21"/>
    <x v="2"/>
  </r>
  <r>
    <x v="0"/>
    <x v="1"/>
    <x v="709"/>
    <x v="1"/>
    <x v="18"/>
    <x v="42"/>
    <x v="5"/>
    <x v="48"/>
    <x v="212"/>
    <x v="2615"/>
    <x v="26"/>
    <x v="26"/>
    <x v="2"/>
  </r>
  <r>
    <x v="0"/>
    <x v="1"/>
    <x v="709"/>
    <x v="1"/>
    <x v="18"/>
    <x v="42"/>
    <x v="4"/>
    <x v="48"/>
    <x v="174"/>
    <x v="2350"/>
    <x v="16"/>
    <x v="16"/>
    <x v="2"/>
  </r>
  <r>
    <x v="0"/>
    <x v="1"/>
    <x v="709"/>
    <x v="1"/>
    <x v="18"/>
    <x v="42"/>
    <x v="0"/>
    <x v="58"/>
    <x v="174"/>
    <x v="2560"/>
    <x v="11"/>
    <x v="11"/>
    <x v="2"/>
  </r>
  <r>
    <x v="0"/>
    <x v="1"/>
    <x v="709"/>
    <x v="1"/>
    <x v="18"/>
    <x v="42"/>
    <x v="3"/>
    <x v="63"/>
    <x v="254"/>
    <x v="2852"/>
    <x v="26"/>
    <x v="26"/>
    <x v="2"/>
  </r>
  <r>
    <x v="5"/>
    <x v="0"/>
    <x v="368"/>
    <x v="1"/>
    <x v="18"/>
    <x v="42"/>
    <x v="2"/>
    <x v="28"/>
    <x v="294"/>
    <x v="2574"/>
    <x v="11"/>
    <x v="11"/>
    <x v="2"/>
  </r>
  <r>
    <x v="5"/>
    <x v="0"/>
    <x v="368"/>
    <x v="1"/>
    <x v="18"/>
    <x v="42"/>
    <x v="1"/>
    <x v="38"/>
    <x v="294"/>
    <x v="2772"/>
    <x v="6"/>
    <x v="6"/>
    <x v="2"/>
  </r>
  <r>
    <x v="5"/>
    <x v="0"/>
    <x v="368"/>
    <x v="1"/>
    <x v="18"/>
    <x v="42"/>
    <x v="5"/>
    <x v="38"/>
    <x v="294"/>
    <x v="2772"/>
    <x v="11"/>
    <x v="11"/>
    <x v="2"/>
  </r>
  <r>
    <x v="5"/>
    <x v="0"/>
    <x v="368"/>
    <x v="1"/>
    <x v="18"/>
    <x v="42"/>
    <x v="4"/>
    <x v="38"/>
    <x v="194"/>
    <x v="2227"/>
    <x v="11"/>
    <x v="11"/>
    <x v="2"/>
  </r>
  <r>
    <x v="0"/>
    <x v="1"/>
    <x v="382"/>
    <x v="4"/>
    <x v="1"/>
    <x v="2"/>
    <x v="3"/>
    <x v="48"/>
    <x v="254"/>
    <x v="2757"/>
    <x v="16"/>
    <x v="16"/>
    <x v="2"/>
  </r>
  <r>
    <x v="0"/>
    <x v="1"/>
    <x v="411"/>
    <x v="4"/>
    <x v="1"/>
    <x v="2"/>
    <x v="2"/>
    <x v="48"/>
    <x v="317"/>
    <x v="2925"/>
    <x v="21"/>
    <x v="21"/>
    <x v="2"/>
  </r>
  <r>
    <x v="0"/>
    <x v="1"/>
    <x v="411"/>
    <x v="4"/>
    <x v="1"/>
    <x v="2"/>
    <x v="1"/>
    <x v="48"/>
    <x v="194"/>
    <x v="2506"/>
    <x v="21"/>
    <x v="21"/>
    <x v="2"/>
  </r>
  <r>
    <x v="0"/>
    <x v="1"/>
    <x v="411"/>
    <x v="4"/>
    <x v="1"/>
    <x v="2"/>
    <x v="5"/>
    <x v="38"/>
    <x v="231"/>
    <x v="2506"/>
    <x v="11"/>
    <x v="11"/>
    <x v="2"/>
  </r>
  <r>
    <x v="0"/>
    <x v="1"/>
    <x v="411"/>
    <x v="4"/>
    <x v="1"/>
    <x v="2"/>
    <x v="4"/>
    <x v="43"/>
    <x v="152"/>
    <x v="2022"/>
    <x v="11"/>
    <x v="11"/>
    <x v="2"/>
  </r>
  <r>
    <x v="0"/>
    <x v="1"/>
    <x v="411"/>
    <x v="4"/>
    <x v="1"/>
    <x v="2"/>
    <x v="0"/>
    <x v="58"/>
    <x v="212"/>
    <x v="2745"/>
    <x v="11"/>
    <x v="11"/>
    <x v="2"/>
  </r>
  <r>
    <x v="0"/>
    <x v="1"/>
    <x v="411"/>
    <x v="4"/>
    <x v="1"/>
    <x v="2"/>
    <x v="3"/>
    <x v="48"/>
    <x v="285"/>
    <x v="2829"/>
    <x v="16"/>
    <x v="16"/>
    <x v="2"/>
  </r>
  <r>
    <x v="0"/>
    <x v="1"/>
    <x v="437"/>
    <x v="4"/>
    <x v="1"/>
    <x v="2"/>
    <x v="2"/>
    <x v="48"/>
    <x v="314"/>
    <x v="2914"/>
    <x v="21"/>
    <x v="21"/>
    <x v="2"/>
  </r>
  <r>
    <x v="0"/>
    <x v="1"/>
    <x v="437"/>
    <x v="4"/>
    <x v="1"/>
    <x v="2"/>
    <x v="1"/>
    <x v="48"/>
    <x v="212"/>
    <x v="2615"/>
    <x v="21"/>
    <x v="21"/>
    <x v="2"/>
  </r>
  <r>
    <x v="0"/>
    <x v="1"/>
    <x v="437"/>
    <x v="4"/>
    <x v="1"/>
    <x v="2"/>
    <x v="5"/>
    <x v="38"/>
    <x v="231"/>
    <x v="2506"/>
    <x v="11"/>
    <x v="11"/>
    <x v="2"/>
  </r>
  <r>
    <x v="0"/>
    <x v="1"/>
    <x v="437"/>
    <x v="4"/>
    <x v="1"/>
    <x v="2"/>
    <x v="4"/>
    <x v="43"/>
    <x v="105"/>
    <x v="1502"/>
    <x v="11"/>
    <x v="11"/>
    <x v="2"/>
  </r>
  <r>
    <x v="0"/>
    <x v="1"/>
    <x v="437"/>
    <x v="4"/>
    <x v="1"/>
    <x v="2"/>
    <x v="0"/>
    <x v="58"/>
    <x v="152"/>
    <x v="2398"/>
    <x v="11"/>
    <x v="11"/>
    <x v="2"/>
  </r>
  <r>
    <x v="0"/>
    <x v="1"/>
    <x v="437"/>
    <x v="4"/>
    <x v="1"/>
    <x v="2"/>
    <x v="3"/>
    <x v="48"/>
    <x v="231"/>
    <x v="2694"/>
    <x v="16"/>
    <x v="16"/>
    <x v="2"/>
  </r>
  <r>
    <x v="0"/>
    <x v="1"/>
    <x v="469"/>
    <x v="4"/>
    <x v="1"/>
    <x v="2"/>
    <x v="2"/>
    <x v="48"/>
    <x v="313"/>
    <x v="2908"/>
    <x v="21"/>
    <x v="21"/>
    <x v="2"/>
  </r>
  <r>
    <x v="0"/>
    <x v="1"/>
    <x v="469"/>
    <x v="4"/>
    <x v="1"/>
    <x v="2"/>
    <x v="1"/>
    <x v="48"/>
    <x v="194"/>
    <x v="2506"/>
    <x v="21"/>
    <x v="21"/>
    <x v="2"/>
  </r>
  <r>
    <x v="0"/>
    <x v="1"/>
    <x v="469"/>
    <x v="4"/>
    <x v="1"/>
    <x v="2"/>
    <x v="5"/>
    <x v="38"/>
    <x v="194"/>
    <x v="2227"/>
    <x v="11"/>
    <x v="11"/>
    <x v="2"/>
  </r>
  <r>
    <x v="0"/>
    <x v="1"/>
    <x v="469"/>
    <x v="4"/>
    <x v="1"/>
    <x v="2"/>
    <x v="4"/>
    <x v="43"/>
    <x v="129"/>
    <x v="1779"/>
    <x v="11"/>
    <x v="11"/>
    <x v="2"/>
  </r>
  <r>
    <x v="0"/>
    <x v="1"/>
    <x v="469"/>
    <x v="4"/>
    <x v="1"/>
    <x v="2"/>
    <x v="0"/>
    <x v="53"/>
    <x v="129"/>
    <x v="2064"/>
    <x v="11"/>
    <x v="11"/>
    <x v="2"/>
  </r>
  <r>
    <x v="0"/>
    <x v="1"/>
    <x v="469"/>
    <x v="4"/>
    <x v="1"/>
    <x v="2"/>
    <x v="3"/>
    <x v="43"/>
    <x v="254"/>
    <x v="2686"/>
    <x v="16"/>
    <x v="16"/>
    <x v="2"/>
  </r>
  <r>
    <x v="0"/>
    <x v="1"/>
    <x v="498"/>
    <x v="4"/>
    <x v="1"/>
    <x v="2"/>
    <x v="2"/>
    <x v="58"/>
    <x v="316"/>
    <x v="2951"/>
    <x v="21"/>
    <x v="21"/>
    <x v="2"/>
  </r>
  <r>
    <x v="0"/>
    <x v="1"/>
    <x v="498"/>
    <x v="4"/>
    <x v="1"/>
    <x v="2"/>
    <x v="1"/>
    <x v="53"/>
    <x v="231"/>
    <x v="2757"/>
    <x v="21"/>
    <x v="21"/>
    <x v="2"/>
  </r>
  <r>
    <x v="0"/>
    <x v="1"/>
    <x v="498"/>
    <x v="4"/>
    <x v="1"/>
    <x v="2"/>
    <x v="5"/>
    <x v="48"/>
    <x v="254"/>
    <x v="2757"/>
    <x v="11"/>
    <x v="11"/>
    <x v="2"/>
  </r>
  <r>
    <x v="0"/>
    <x v="1"/>
    <x v="498"/>
    <x v="4"/>
    <x v="1"/>
    <x v="2"/>
    <x v="4"/>
    <x v="48"/>
    <x v="212"/>
    <x v="2615"/>
    <x v="11"/>
    <x v="11"/>
    <x v="2"/>
  </r>
  <r>
    <x v="0"/>
    <x v="1"/>
    <x v="498"/>
    <x v="4"/>
    <x v="1"/>
    <x v="2"/>
    <x v="0"/>
    <x v="58"/>
    <x v="231"/>
    <x v="2800"/>
    <x v="11"/>
    <x v="11"/>
    <x v="2"/>
  </r>
  <r>
    <x v="0"/>
    <x v="1"/>
    <x v="498"/>
    <x v="4"/>
    <x v="1"/>
    <x v="2"/>
    <x v="3"/>
    <x v="63"/>
    <x v="300"/>
    <x v="2903"/>
    <x v="16"/>
    <x v="16"/>
    <x v="2"/>
  </r>
  <r>
    <x v="0"/>
    <x v="1"/>
    <x v="531"/>
    <x v="4"/>
    <x v="1"/>
    <x v="2"/>
    <x v="2"/>
    <x v="58"/>
    <x v="323"/>
    <x v="2975"/>
    <x v="21"/>
    <x v="21"/>
    <x v="2"/>
  </r>
  <r>
    <x v="0"/>
    <x v="1"/>
    <x v="531"/>
    <x v="4"/>
    <x v="1"/>
    <x v="2"/>
    <x v="1"/>
    <x v="53"/>
    <x v="300"/>
    <x v="2880"/>
    <x v="21"/>
    <x v="21"/>
    <x v="2"/>
  </r>
  <r>
    <x v="0"/>
    <x v="1"/>
    <x v="531"/>
    <x v="4"/>
    <x v="1"/>
    <x v="2"/>
    <x v="5"/>
    <x v="48"/>
    <x v="273"/>
    <x v="2800"/>
    <x v="11"/>
    <x v="11"/>
    <x v="2"/>
  </r>
  <r>
    <x v="0"/>
    <x v="1"/>
    <x v="531"/>
    <x v="4"/>
    <x v="1"/>
    <x v="2"/>
    <x v="4"/>
    <x v="48"/>
    <x v="254"/>
    <x v="2757"/>
    <x v="11"/>
    <x v="11"/>
    <x v="2"/>
  </r>
  <r>
    <x v="0"/>
    <x v="1"/>
    <x v="531"/>
    <x v="4"/>
    <x v="1"/>
    <x v="2"/>
    <x v="0"/>
    <x v="58"/>
    <x v="254"/>
    <x v="2833"/>
    <x v="11"/>
    <x v="11"/>
    <x v="2"/>
  </r>
  <r>
    <x v="0"/>
    <x v="1"/>
    <x v="531"/>
    <x v="4"/>
    <x v="1"/>
    <x v="2"/>
    <x v="3"/>
    <x v="63"/>
    <x v="307"/>
    <x v="2924"/>
    <x v="16"/>
    <x v="16"/>
    <x v="2"/>
  </r>
  <r>
    <x v="0"/>
    <x v="1"/>
    <x v="559"/>
    <x v="4"/>
    <x v="1"/>
    <x v="2"/>
    <x v="2"/>
    <x v="58"/>
    <x v="325"/>
    <x v="2984"/>
    <x v="21"/>
    <x v="21"/>
    <x v="2"/>
  </r>
  <r>
    <x v="0"/>
    <x v="1"/>
    <x v="559"/>
    <x v="4"/>
    <x v="1"/>
    <x v="2"/>
    <x v="1"/>
    <x v="53"/>
    <x v="304"/>
    <x v="2888"/>
    <x v="21"/>
    <x v="21"/>
    <x v="2"/>
  </r>
  <r>
    <x v="0"/>
    <x v="1"/>
    <x v="559"/>
    <x v="4"/>
    <x v="1"/>
    <x v="2"/>
    <x v="5"/>
    <x v="48"/>
    <x v="285"/>
    <x v="2829"/>
    <x v="11"/>
    <x v="11"/>
    <x v="2"/>
  </r>
  <r>
    <x v="0"/>
    <x v="1"/>
    <x v="559"/>
    <x v="4"/>
    <x v="1"/>
    <x v="2"/>
    <x v="4"/>
    <x v="48"/>
    <x v="254"/>
    <x v="2757"/>
    <x v="11"/>
    <x v="11"/>
    <x v="2"/>
  </r>
  <r>
    <x v="0"/>
    <x v="1"/>
    <x v="559"/>
    <x v="4"/>
    <x v="1"/>
    <x v="2"/>
    <x v="0"/>
    <x v="58"/>
    <x v="273"/>
    <x v="2853"/>
    <x v="11"/>
    <x v="11"/>
    <x v="2"/>
  </r>
  <r>
    <x v="0"/>
    <x v="1"/>
    <x v="559"/>
    <x v="4"/>
    <x v="1"/>
    <x v="2"/>
    <x v="3"/>
    <x v="63"/>
    <x v="311"/>
    <x v="2942"/>
    <x v="16"/>
    <x v="16"/>
    <x v="2"/>
  </r>
  <r>
    <x v="0"/>
    <x v="1"/>
    <x v="591"/>
    <x v="4"/>
    <x v="1"/>
    <x v="2"/>
    <x v="2"/>
    <x v="58"/>
    <x v="323"/>
    <x v="2975"/>
    <x v="21"/>
    <x v="21"/>
    <x v="2"/>
  </r>
  <r>
    <x v="0"/>
    <x v="1"/>
    <x v="591"/>
    <x v="4"/>
    <x v="1"/>
    <x v="2"/>
    <x v="1"/>
    <x v="53"/>
    <x v="304"/>
    <x v="2888"/>
    <x v="21"/>
    <x v="21"/>
    <x v="2"/>
  </r>
  <r>
    <x v="0"/>
    <x v="1"/>
    <x v="591"/>
    <x v="4"/>
    <x v="1"/>
    <x v="2"/>
    <x v="5"/>
    <x v="48"/>
    <x v="285"/>
    <x v="2829"/>
    <x v="11"/>
    <x v="11"/>
    <x v="2"/>
  </r>
  <r>
    <x v="0"/>
    <x v="1"/>
    <x v="591"/>
    <x v="4"/>
    <x v="1"/>
    <x v="2"/>
    <x v="4"/>
    <x v="48"/>
    <x v="212"/>
    <x v="2615"/>
    <x v="11"/>
    <x v="11"/>
    <x v="2"/>
  </r>
  <r>
    <x v="0"/>
    <x v="1"/>
    <x v="591"/>
    <x v="4"/>
    <x v="1"/>
    <x v="2"/>
    <x v="0"/>
    <x v="58"/>
    <x v="194"/>
    <x v="2673"/>
    <x v="11"/>
    <x v="11"/>
    <x v="2"/>
  </r>
  <r>
    <x v="0"/>
    <x v="1"/>
    <x v="591"/>
    <x v="4"/>
    <x v="1"/>
    <x v="2"/>
    <x v="3"/>
    <x v="63"/>
    <x v="300"/>
    <x v="2903"/>
    <x v="16"/>
    <x v="16"/>
    <x v="2"/>
  </r>
  <r>
    <x v="0"/>
    <x v="1"/>
    <x v="621"/>
    <x v="4"/>
    <x v="1"/>
    <x v="2"/>
    <x v="2"/>
    <x v="58"/>
    <x v="313"/>
    <x v="2937"/>
    <x v="21"/>
    <x v="21"/>
    <x v="2"/>
  </r>
  <r>
    <x v="0"/>
    <x v="1"/>
    <x v="621"/>
    <x v="4"/>
    <x v="1"/>
    <x v="2"/>
    <x v="1"/>
    <x v="53"/>
    <x v="273"/>
    <x v="2833"/>
    <x v="21"/>
    <x v="21"/>
    <x v="2"/>
  </r>
  <r>
    <x v="0"/>
    <x v="1"/>
    <x v="621"/>
    <x v="4"/>
    <x v="1"/>
    <x v="2"/>
    <x v="5"/>
    <x v="48"/>
    <x v="194"/>
    <x v="2506"/>
    <x v="11"/>
    <x v="11"/>
    <x v="2"/>
  </r>
  <r>
    <x v="0"/>
    <x v="1"/>
    <x v="621"/>
    <x v="4"/>
    <x v="1"/>
    <x v="2"/>
    <x v="4"/>
    <x v="48"/>
    <x v="174"/>
    <x v="2350"/>
    <x v="11"/>
    <x v="11"/>
    <x v="2"/>
  </r>
  <r>
    <x v="0"/>
    <x v="1"/>
    <x v="621"/>
    <x v="4"/>
    <x v="1"/>
    <x v="2"/>
    <x v="0"/>
    <x v="58"/>
    <x v="174"/>
    <x v="2560"/>
    <x v="11"/>
    <x v="11"/>
    <x v="2"/>
  </r>
  <r>
    <x v="0"/>
    <x v="1"/>
    <x v="621"/>
    <x v="4"/>
    <x v="1"/>
    <x v="2"/>
    <x v="3"/>
    <x v="63"/>
    <x v="254"/>
    <x v="2852"/>
    <x v="16"/>
    <x v="16"/>
    <x v="2"/>
  </r>
  <r>
    <x v="0"/>
    <x v="1"/>
    <x v="653"/>
    <x v="4"/>
    <x v="1"/>
    <x v="2"/>
    <x v="2"/>
    <x v="63"/>
    <x v="307"/>
    <x v="2924"/>
    <x v="21"/>
    <x v="21"/>
    <x v="2"/>
  </r>
  <r>
    <x v="0"/>
    <x v="1"/>
    <x v="653"/>
    <x v="4"/>
    <x v="1"/>
    <x v="2"/>
    <x v="1"/>
    <x v="58"/>
    <x v="231"/>
    <x v="2800"/>
    <x v="21"/>
    <x v="21"/>
    <x v="2"/>
  </r>
  <r>
    <x v="0"/>
    <x v="1"/>
    <x v="653"/>
    <x v="4"/>
    <x v="1"/>
    <x v="2"/>
    <x v="5"/>
    <x v="58"/>
    <x v="152"/>
    <x v="2398"/>
    <x v="11"/>
    <x v="11"/>
    <x v="2"/>
  </r>
  <r>
    <x v="0"/>
    <x v="1"/>
    <x v="653"/>
    <x v="4"/>
    <x v="1"/>
    <x v="2"/>
    <x v="4"/>
    <x v="58"/>
    <x v="129"/>
    <x v="2173"/>
    <x v="11"/>
    <x v="11"/>
    <x v="2"/>
  </r>
  <r>
    <x v="0"/>
    <x v="1"/>
    <x v="653"/>
    <x v="4"/>
    <x v="1"/>
    <x v="2"/>
    <x v="0"/>
    <x v="68"/>
    <x v="129"/>
    <x v="2383"/>
    <x v="11"/>
    <x v="11"/>
    <x v="2"/>
  </r>
  <r>
    <x v="0"/>
    <x v="1"/>
    <x v="653"/>
    <x v="4"/>
    <x v="1"/>
    <x v="2"/>
    <x v="3"/>
    <x v="73"/>
    <x v="231"/>
    <x v="2862"/>
    <x v="16"/>
    <x v="16"/>
    <x v="2"/>
  </r>
  <r>
    <x v="0"/>
    <x v="1"/>
    <x v="683"/>
    <x v="4"/>
    <x v="1"/>
    <x v="2"/>
    <x v="2"/>
    <x v="68"/>
    <x v="304"/>
    <x v="2926"/>
    <x v="21"/>
    <x v="21"/>
    <x v="2"/>
  </r>
  <r>
    <x v="0"/>
    <x v="1"/>
    <x v="683"/>
    <x v="4"/>
    <x v="1"/>
    <x v="2"/>
    <x v="1"/>
    <x v="58"/>
    <x v="254"/>
    <x v="2833"/>
    <x v="21"/>
    <x v="21"/>
    <x v="2"/>
  </r>
  <r>
    <x v="0"/>
    <x v="1"/>
    <x v="683"/>
    <x v="4"/>
    <x v="1"/>
    <x v="2"/>
    <x v="5"/>
    <x v="58"/>
    <x v="269"/>
    <x v="2851"/>
    <x v="11"/>
    <x v="11"/>
    <x v="2"/>
  </r>
  <r>
    <x v="0"/>
    <x v="1"/>
    <x v="683"/>
    <x v="4"/>
    <x v="1"/>
    <x v="2"/>
    <x v="4"/>
    <x v="58"/>
    <x v="254"/>
    <x v="2833"/>
    <x v="11"/>
    <x v="11"/>
    <x v="2"/>
  </r>
  <r>
    <x v="0"/>
    <x v="1"/>
    <x v="683"/>
    <x v="4"/>
    <x v="1"/>
    <x v="2"/>
    <x v="0"/>
    <x v="68"/>
    <x v="231"/>
    <x v="2850"/>
    <x v="11"/>
    <x v="11"/>
    <x v="2"/>
  </r>
  <r>
    <x v="0"/>
    <x v="1"/>
    <x v="683"/>
    <x v="4"/>
    <x v="1"/>
    <x v="2"/>
    <x v="3"/>
    <x v="73"/>
    <x v="294"/>
    <x v="2915"/>
    <x v="16"/>
    <x v="16"/>
    <x v="2"/>
  </r>
  <r>
    <x v="0"/>
    <x v="1"/>
    <x v="712"/>
    <x v="4"/>
    <x v="1"/>
    <x v="2"/>
    <x v="2"/>
    <x v="68"/>
    <x v="319"/>
    <x v="2987"/>
    <x v="21"/>
    <x v="21"/>
    <x v="2"/>
  </r>
  <r>
    <x v="0"/>
    <x v="1"/>
    <x v="712"/>
    <x v="4"/>
    <x v="1"/>
    <x v="2"/>
    <x v="1"/>
    <x v="58"/>
    <x v="300"/>
    <x v="2890"/>
    <x v="21"/>
    <x v="21"/>
    <x v="2"/>
  </r>
  <r>
    <x v="1"/>
    <x v="0"/>
    <x v="368"/>
    <x v="4"/>
    <x v="1"/>
    <x v="2"/>
    <x v="2"/>
    <x v="28"/>
    <x v="294"/>
    <x v="2574"/>
    <x v="11"/>
    <x v="11"/>
    <x v="2"/>
  </r>
  <r>
    <x v="1"/>
    <x v="0"/>
    <x v="368"/>
    <x v="4"/>
    <x v="1"/>
    <x v="2"/>
    <x v="1"/>
    <x v="38"/>
    <x v="294"/>
    <x v="2772"/>
    <x v="6"/>
    <x v="6"/>
    <x v="2"/>
  </r>
  <r>
    <x v="1"/>
    <x v="0"/>
    <x v="368"/>
    <x v="4"/>
    <x v="1"/>
    <x v="2"/>
    <x v="5"/>
    <x v="38"/>
    <x v="294"/>
    <x v="2772"/>
    <x v="11"/>
    <x v="11"/>
    <x v="2"/>
  </r>
  <r>
    <x v="1"/>
    <x v="0"/>
    <x v="368"/>
    <x v="4"/>
    <x v="1"/>
    <x v="2"/>
    <x v="4"/>
    <x v="38"/>
    <x v="194"/>
    <x v="2227"/>
    <x v="11"/>
    <x v="11"/>
    <x v="2"/>
  </r>
  <r>
    <x v="1"/>
    <x v="0"/>
    <x v="368"/>
    <x v="4"/>
    <x v="1"/>
    <x v="2"/>
    <x v="0"/>
    <x v="43"/>
    <x v="152"/>
    <x v="2022"/>
    <x v="2"/>
    <x v="2"/>
    <x v="2"/>
  </r>
  <r>
    <x v="1"/>
    <x v="0"/>
    <x v="368"/>
    <x v="4"/>
    <x v="1"/>
    <x v="2"/>
    <x v="3"/>
    <x v="38"/>
    <x v="304"/>
    <x v="2827"/>
    <x v="26"/>
    <x v="26"/>
    <x v="2"/>
  </r>
  <r>
    <x v="1"/>
    <x v="0"/>
    <x v="399"/>
    <x v="4"/>
    <x v="1"/>
    <x v="2"/>
    <x v="2"/>
    <x v="28"/>
    <x v="309"/>
    <x v="2763"/>
    <x v="11"/>
    <x v="11"/>
    <x v="2"/>
  </r>
  <r>
    <x v="1"/>
    <x v="0"/>
    <x v="399"/>
    <x v="4"/>
    <x v="1"/>
    <x v="2"/>
    <x v="1"/>
    <x v="38"/>
    <x v="294"/>
    <x v="2772"/>
    <x v="6"/>
    <x v="6"/>
    <x v="2"/>
  </r>
  <r>
    <x v="1"/>
    <x v="0"/>
    <x v="399"/>
    <x v="4"/>
    <x v="1"/>
    <x v="2"/>
    <x v="5"/>
    <x v="38"/>
    <x v="294"/>
    <x v="2772"/>
    <x v="11"/>
    <x v="11"/>
    <x v="2"/>
  </r>
  <r>
    <x v="1"/>
    <x v="0"/>
    <x v="399"/>
    <x v="4"/>
    <x v="10"/>
    <x v="21"/>
    <x v="4"/>
    <x v="38"/>
    <x v="194"/>
    <x v="2227"/>
    <x v="11"/>
    <x v="11"/>
    <x v="2"/>
  </r>
  <r>
    <x v="1"/>
    <x v="0"/>
    <x v="399"/>
    <x v="4"/>
    <x v="10"/>
    <x v="21"/>
    <x v="0"/>
    <x v="43"/>
    <x v="129"/>
    <x v="1779"/>
    <x v="2"/>
    <x v="2"/>
    <x v="2"/>
  </r>
  <r>
    <x v="1"/>
    <x v="0"/>
    <x v="399"/>
    <x v="4"/>
    <x v="10"/>
    <x v="21"/>
    <x v="3"/>
    <x v="38"/>
    <x v="285"/>
    <x v="2727"/>
    <x v="26"/>
    <x v="26"/>
    <x v="2"/>
  </r>
  <r>
    <x v="1"/>
    <x v="0"/>
    <x v="426"/>
    <x v="4"/>
    <x v="10"/>
    <x v="21"/>
    <x v="2"/>
    <x v="38"/>
    <x v="311"/>
    <x v="2866"/>
    <x v="11"/>
    <x v="11"/>
    <x v="2"/>
  </r>
  <r>
    <x v="1"/>
    <x v="0"/>
    <x v="426"/>
    <x v="4"/>
    <x v="10"/>
    <x v="21"/>
    <x v="1"/>
    <x v="48"/>
    <x v="285"/>
    <x v="2829"/>
    <x v="6"/>
    <x v="6"/>
    <x v="2"/>
  </r>
  <r>
    <x v="1"/>
    <x v="0"/>
    <x v="426"/>
    <x v="4"/>
    <x v="10"/>
    <x v="21"/>
    <x v="5"/>
    <x v="53"/>
    <x v="294"/>
    <x v="2866"/>
    <x v="11"/>
    <x v="11"/>
    <x v="2"/>
  </r>
  <r>
    <x v="1"/>
    <x v="0"/>
    <x v="426"/>
    <x v="4"/>
    <x v="10"/>
    <x v="21"/>
    <x v="4"/>
    <x v="48"/>
    <x v="231"/>
    <x v="2694"/>
    <x v="11"/>
    <x v="11"/>
    <x v="2"/>
  </r>
  <r>
    <x v="1"/>
    <x v="0"/>
    <x v="426"/>
    <x v="4"/>
    <x v="10"/>
    <x v="21"/>
    <x v="0"/>
    <x v="53"/>
    <x v="105"/>
    <x v="1779"/>
    <x v="2"/>
    <x v="2"/>
    <x v="2"/>
  </r>
  <r>
    <x v="1"/>
    <x v="0"/>
    <x v="426"/>
    <x v="4"/>
    <x v="10"/>
    <x v="21"/>
    <x v="3"/>
    <x v="48"/>
    <x v="273"/>
    <x v="2800"/>
    <x v="26"/>
    <x v="26"/>
    <x v="2"/>
  </r>
  <r>
    <x v="1"/>
    <x v="0"/>
    <x v="458"/>
    <x v="4"/>
    <x v="10"/>
    <x v="21"/>
    <x v="2"/>
    <x v="53"/>
    <x v="311"/>
    <x v="2915"/>
    <x v="11"/>
    <x v="11"/>
    <x v="2"/>
  </r>
  <r>
    <x v="1"/>
    <x v="0"/>
    <x v="458"/>
    <x v="4"/>
    <x v="10"/>
    <x v="21"/>
    <x v="1"/>
    <x v="58"/>
    <x v="254"/>
    <x v="2833"/>
    <x v="6"/>
    <x v="6"/>
    <x v="2"/>
  </r>
  <r>
    <x v="1"/>
    <x v="0"/>
    <x v="458"/>
    <x v="4"/>
    <x v="10"/>
    <x v="21"/>
    <x v="5"/>
    <x v="58"/>
    <x v="285"/>
    <x v="2867"/>
    <x v="11"/>
    <x v="11"/>
    <x v="2"/>
  </r>
  <r>
    <x v="1"/>
    <x v="0"/>
    <x v="458"/>
    <x v="4"/>
    <x v="10"/>
    <x v="21"/>
    <x v="4"/>
    <x v="43"/>
    <x v="212"/>
    <x v="2513"/>
    <x v="11"/>
    <x v="11"/>
    <x v="2"/>
  </r>
  <r>
    <x v="1"/>
    <x v="0"/>
    <x v="458"/>
    <x v="4"/>
    <x v="10"/>
    <x v="21"/>
    <x v="0"/>
    <x v="48"/>
    <x v="129"/>
    <x v="1929"/>
    <x v="2"/>
    <x v="2"/>
    <x v="2"/>
  </r>
  <r>
    <x v="1"/>
    <x v="0"/>
    <x v="458"/>
    <x v="4"/>
    <x v="10"/>
    <x v="21"/>
    <x v="3"/>
    <x v="63"/>
    <x v="273"/>
    <x v="2867"/>
    <x v="26"/>
    <x v="26"/>
    <x v="2"/>
  </r>
  <r>
    <x v="1"/>
    <x v="0"/>
    <x v="489"/>
    <x v="4"/>
    <x v="10"/>
    <x v="21"/>
    <x v="2"/>
    <x v="48"/>
    <x v="313"/>
    <x v="2908"/>
    <x v="11"/>
    <x v="11"/>
    <x v="2"/>
  </r>
  <r>
    <x v="1"/>
    <x v="0"/>
    <x v="489"/>
    <x v="4"/>
    <x v="10"/>
    <x v="21"/>
    <x v="1"/>
    <x v="53"/>
    <x v="294"/>
    <x v="2866"/>
    <x v="6"/>
    <x v="6"/>
    <x v="2"/>
  </r>
  <r>
    <x v="1"/>
    <x v="0"/>
    <x v="489"/>
    <x v="4"/>
    <x v="10"/>
    <x v="21"/>
    <x v="5"/>
    <x v="53"/>
    <x v="294"/>
    <x v="2866"/>
    <x v="11"/>
    <x v="11"/>
    <x v="2"/>
  </r>
  <r>
    <x v="1"/>
    <x v="0"/>
    <x v="489"/>
    <x v="4"/>
    <x v="10"/>
    <x v="21"/>
    <x v="4"/>
    <x v="48"/>
    <x v="231"/>
    <x v="2694"/>
    <x v="11"/>
    <x v="11"/>
    <x v="2"/>
  </r>
  <r>
    <x v="1"/>
    <x v="0"/>
    <x v="489"/>
    <x v="4"/>
    <x v="10"/>
    <x v="21"/>
    <x v="0"/>
    <x v="53"/>
    <x v="152"/>
    <x v="2282"/>
    <x v="2"/>
    <x v="2"/>
    <x v="2"/>
  </r>
  <r>
    <x v="1"/>
    <x v="0"/>
    <x v="489"/>
    <x v="4"/>
    <x v="10"/>
    <x v="21"/>
    <x v="3"/>
    <x v="68"/>
    <x v="309"/>
    <x v="2943"/>
    <x v="26"/>
    <x v="26"/>
    <x v="2"/>
  </r>
  <r>
    <x v="1"/>
    <x v="0"/>
    <x v="519"/>
    <x v="4"/>
    <x v="10"/>
    <x v="21"/>
    <x v="2"/>
    <x v="63"/>
    <x v="329"/>
    <x v="3012"/>
    <x v="11"/>
    <x v="11"/>
    <x v="2"/>
  </r>
  <r>
    <x v="1"/>
    <x v="0"/>
    <x v="519"/>
    <x v="4"/>
    <x v="10"/>
    <x v="21"/>
    <x v="1"/>
    <x v="68"/>
    <x v="319"/>
    <x v="2987"/>
    <x v="6"/>
    <x v="6"/>
    <x v="2"/>
  </r>
  <r>
    <x v="1"/>
    <x v="0"/>
    <x v="519"/>
    <x v="4"/>
    <x v="10"/>
    <x v="21"/>
    <x v="5"/>
    <x v="68"/>
    <x v="319"/>
    <x v="2987"/>
    <x v="11"/>
    <x v="11"/>
    <x v="2"/>
  </r>
  <r>
    <x v="1"/>
    <x v="0"/>
    <x v="519"/>
    <x v="4"/>
    <x v="10"/>
    <x v="21"/>
    <x v="4"/>
    <x v="68"/>
    <x v="309"/>
    <x v="2943"/>
    <x v="11"/>
    <x v="11"/>
    <x v="2"/>
  </r>
  <r>
    <x v="1"/>
    <x v="0"/>
    <x v="519"/>
    <x v="4"/>
    <x v="10"/>
    <x v="21"/>
    <x v="0"/>
    <x v="78"/>
    <x v="285"/>
    <x v="2912"/>
    <x v="2"/>
    <x v="2"/>
    <x v="2"/>
  </r>
  <r>
    <x v="1"/>
    <x v="0"/>
    <x v="519"/>
    <x v="4"/>
    <x v="10"/>
    <x v="21"/>
    <x v="3"/>
    <x v="89"/>
    <x v="323"/>
    <x v="3055"/>
    <x v="26"/>
    <x v="26"/>
    <x v="2"/>
  </r>
  <r>
    <x v="1"/>
    <x v="0"/>
    <x v="548"/>
    <x v="4"/>
    <x v="10"/>
    <x v="21"/>
    <x v="2"/>
    <x v="73"/>
    <x v="335"/>
    <x v="3052"/>
    <x v="11"/>
    <x v="11"/>
    <x v="2"/>
  </r>
  <r>
    <x v="1"/>
    <x v="0"/>
    <x v="548"/>
    <x v="4"/>
    <x v="10"/>
    <x v="21"/>
    <x v="1"/>
    <x v="78"/>
    <x v="323"/>
    <x v="3025"/>
    <x v="6"/>
    <x v="6"/>
    <x v="2"/>
  </r>
  <r>
    <x v="1"/>
    <x v="0"/>
    <x v="548"/>
    <x v="4"/>
    <x v="10"/>
    <x v="21"/>
    <x v="5"/>
    <x v="78"/>
    <x v="319"/>
    <x v="3014"/>
    <x v="11"/>
    <x v="11"/>
    <x v="2"/>
  </r>
  <r>
    <x v="1"/>
    <x v="0"/>
    <x v="548"/>
    <x v="4"/>
    <x v="10"/>
    <x v="21"/>
    <x v="4"/>
    <x v="73"/>
    <x v="311"/>
    <x v="2966"/>
    <x v="11"/>
    <x v="11"/>
    <x v="2"/>
  </r>
  <r>
    <x v="1"/>
    <x v="0"/>
    <x v="548"/>
    <x v="4"/>
    <x v="10"/>
    <x v="21"/>
    <x v="0"/>
    <x v="78"/>
    <x v="315"/>
    <x v="2994"/>
    <x v="2"/>
    <x v="2"/>
    <x v="2"/>
  </r>
  <r>
    <x v="1"/>
    <x v="0"/>
    <x v="548"/>
    <x v="4"/>
    <x v="10"/>
    <x v="21"/>
    <x v="3"/>
    <x v="89"/>
    <x v="315"/>
    <x v="3024"/>
    <x v="26"/>
    <x v="26"/>
    <x v="2"/>
  </r>
  <r>
    <x v="1"/>
    <x v="0"/>
    <x v="580"/>
    <x v="4"/>
    <x v="10"/>
    <x v="21"/>
    <x v="2"/>
    <x v="78"/>
    <x v="331"/>
    <x v="3051"/>
    <x v="11"/>
    <x v="11"/>
    <x v="2"/>
  </r>
  <r>
    <x v="1"/>
    <x v="0"/>
    <x v="580"/>
    <x v="4"/>
    <x v="10"/>
    <x v="21"/>
    <x v="1"/>
    <x v="68"/>
    <x v="329"/>
    <x v="3022"/>
    <x v="6"/>
    <x v="6"/>
    <x v="2"/>
  </r>
  <r>
    <x v="1"/>
    <x v="0"/>
    <x v="580"/>
    <x v="4"/>
    <x v="10"/>
    <x v="21"/>
    <x v="5"/>
    <x v="63"/>
    <x v="319"/>
    <x v="2974"/>
    <x v="11"/>
    <x v="11"/>
    <x v="2"/>
  </r>
  <r>
    <x v="1"/>
    <x v="0"/>
    <x v="580"/>
    <x v="4"/>
    <x v="10"/>
    <x v="21"/>
    <x v="4"/>
    <x v="63"/>
    <x v="313"/>
    <x v="2949"/>
    <x v="11"/>
    <x v="11"/>
    <x v="2"/>
  </r>
  <r>
    <x v="4"/>
    <x v="0"/>
    <x v="580"/>
    <x v="4"/>
    <x v="10"/>
    <x v="21"/>
    <x v="0"/>
    <x v="63"/>
    <x v="313"/>
    <x v="2949"/>
    <x v="2"/>
    <x v="2"/>
    <x v="2"/>
  </r>
  <r>
    <x v="4"/>
    <x v="0"/>
    <x v="580"/>
    <x v="4"/>
    <x v="10"/>
    <x v="21"/>
    <x v="3"/>
    <x v="68"/>
    <x v="285"/>
    <x v="2892"/>
    <x v="26"/>
    <x v="26"/>
    <x v="2"/>
  </r>
  <r>
    <x v="4"/>
    <x v="0"/>
    <x v="612"/>
    <x v="4"/>
    <x v="10"/>
    <x v="21"/>
    <x v="2"/>
    <x v="58"/>
    <x v="315"/>
    <x v="2945"/>
    <x v="11"/>
    <x v="11"/>
    <x v="2"/>
  </r>
  <r>
    <x v="4"/>
    <x v="0"/>
    <x v="612"/>
    <x v="4"/>
    <x v="10"/>
    <x v="21"/>
    <x v="1"/>
    <x v="63"/>
    <x v="315"/>
    <x v="2958"/>
    <x v="6"/>
    <x v="6"/>
    <x v="2"/>
  </r>
  <r>
    <x v="4"/>
    <x v="0"/>
    <x v="612"/>
    <x v="4"/>
    <x v="10"/>
    <x v="21"/>
    <x v="5"/>
    <x v="58"/>
    <x v="294"/>
    <x v="2881"/>
    <x v="11"/>
    <x v="11"/>
    <x v="2"/>
  </r>
  <r>
    <x v="4"/>
    <x v="0"/>
    <x v="612"/>
    <x v="4"/>
    <x v="10"/>
    <x v="21"/>
    <x v="4"/>
    <x v="58"/>
    <x v="273"/>
    <x v="2853"/>
    <x v="11"/>
    <x v="11"/>
    <x v="2"/>
  </r>
  <r>
    <x v="4"/>
    <x v="0"/>
    <x v="612"/>
    <x v="4"/>
    <x v="10"/>
    <x v="21"/>
    <x v="0"/>
    <x v="68"/>
    <x v="285"/>
    <x v="2892"/>
    <x v="2"/>
    <x v="2"/>
    <x v="2"/>
  </r>
  <r>
    <x v="4"/>
    <x v="0"/>
    <x v="612"/>
    <x v="4"/>
    <x v="10"/>
    <x v="21"/>
    <x v="3"/>
    <x v="53"/>
    <x v="294"/>
    <x v="2866"/>
    <x v="26"/>
    <x v="26"/>
    <x v="2"/>
  </r>
  <r>
    <x v="4"/>
    <x v="0"/>
    <x v="641"/>
    <x v="4"/>
    <x v="10"/>
    <x v="21"/>
    <x v="2"/>
    <x v="48"/>
    <x v="309"/>
    <x v="2891"/>
    <x v="11"/>
    <x v="11"/>
    <x v="2"/>
  </r>
  <r>
    <x v="4"/>
    <x v="0"/>
    <x v="641"/>
    <x v="4"/>
    <x v="10"/>
    <x v="21"/>
    <x v="1"/>
    <x v="58"/>
    <x v="309"/>
    <x v="2918"/>
    <x v="6"/>
    <x v="6"/>
    <x v="2"/>
  </r>
  <r>
    <x v="4"/>
    <x v="0"/>
    <x v="641"/>
    <x v="4"/>
    <x v="10"/>
    <x v="21"/>
    <x v="5"/>
    <x v="53"/>
    <x v="254"/>
    <x v="2805"/>
    <x v="11"/>
    <x v="11"/>
    <x v="2"/>
  </r>
  <r>
    <x v="4"/>
    <x v="0"/>
    <x v="641"/>
    <x v="4"/>
    <x v="10"/>
    <x v="21"/>
    <x v="4"/>
    <x v="48"/>
    <x v="231"/>
    <x v="2694"/>
    <x v="11"/>
    <x v="11"/>
    <x v="2"/>
  </r>
  <r>
    <x v="4"/>
    <x v="0"/>
    <x v="641"/>
    <x v="4"/>
    <x v="10"/>
    <x v="21"/>
    <x v="0"/>
    <x v="58"/>
    <x v="212"/>
    <x v="2745"/>
    <x v="2"/>
    <x v="2"/>
    <x v="2"/>
  </r>
  <r>
    <x v="4"/>
    <x v="0"/>
    <x v="641"/>
    <x v="4"/>
    <x v="10"/>
    <x v="21"/>
    <x v="3"/>
    <x v="63"/>
    <x v="254"/>
    <x v="2852"/>
    <x v="26"/>
    <x v="26"/>
    <x v="2"/>
  </r>
  <r>
    <x v="4"/>
    <x v="0"/>
    <x v="672"/>
    <x v="4"/>
    <x v="10"/>
    <x v="21"/>
    <x v="2"/>
    <x v="48"/>
    <x v="313"/>
    <x v="2908"/>
    <x v="11"/>
    <x v="11"/>
    <x v="2"/>
  </r>
  <r>
    <x v="4"/>
    <x v="0"/>
    <x v="672"/>
    <x v="4"/>
    <x v="10"/>
    <x v="21"/>
    <x v="1"/>
    <x v="53"/>
    <x v="319"/>
    <x v="2947"/>
    <x v="6"/>
    <x v="6"/>
    <x v="2"/>
  </r>
  <r>
    <x v="4"/>
    <x v="0"/>
    <x v="672"/>
    <x v="4"/>
    <x v="10"/>
    <x v="21"/>
    <x v="5"/>
    <x v="48"/>
    <x v="304"/>
    <x v="2873"/>
    <x v="11"/>
    <x v="11"/>
    <x v="2"/>
  </r>
  <r>
    <x v="4"/>
    <x v="0"/>
    <x v="672"/>
    <x v="4"/>
    <x v="10"/>
    <x v="21"/>
    <x v="4"/>
    <x v="58"/>
    <x v="300"/>
    <x v="2890"/>
    <x v="11"/>
    <x v="11"/>
    <x v="2"/>
  </r>
  <r>
    <x v="4"/>
    <x v="0"/>
    <x v="672"/>
    <x v="4"/>
    <x v="10"/>
    <x v="21"/>
    <x v="0"/>
    <x v="78"/>
    <x v="294"/>
    <x v="2926"/>
    <x v="2"/>
    <x v="2"/>
    <x v="2"/>
  </r>
  <r>
    <x v="4"/>
    <x v="0"/>
    <x v="672"/>
    <x v="4"/>
    <x v="10"/>
    <x v="21"/>
    <x v="3"/>
    <x v="83"/>
    <x v="311"/>
    <x v="2987"/>
    <x v="26"/>
    <x v="26"/>
    <x v="2"/>
  </r>
  <r>
    <x v="4"/>
    <x v="0"/>
    <x v="701"/>
    <x v="4"/>
    <x v="10"/>
    <x v="21"/>
    <x v="2"/>
    <x v="68"/>
    <x v="327"/>
    <x v="3017"/>
    <x v="11"/>
    <x v="11"/>
    <x v="2"/>
  </r>
  <r>
    <x v="4"/>
    <x v="0"/>
    <x v="701"/>
    <x v="4"/>
    <x v="10"/>
    <x v="21"/>
    <x v="1"/>
    <x v="78"/>
    <x v="327"/>
    <x v="3039"/>
    <x v="6"/>
    <x v="6"/>
    <x v="2"/>
  </r>
  <r>
    <x v="3"/>
    <x v="0"/>
    <x v="701"/>
    <x v="4"/>
    <x v="10"/>
    <x v="21"/>
    <x v="5"/>
    <x v="73"/>
    <x v="311"/>
    <x v="2966"/>
    <x v="11"/>
    <x v="11"/>
    <x v="2"/>
  </r>
  <r>
    <x v="3"/>
    <x v="0"/>
    <x v="701"/>
    <x v="4"/>
    <x v="10"/>
    <x v="21"/>
    <x v="4"/>
    <x v="73"/>
    <x v="311"/>
    <x v="2966"/>
    <x v="11"/>
    <x v="11"/>
    <x v="2"/>
  </r>
  <r>
    <x v="3"/>
    <x v="0"/>
    <x v="701"/>
    <x v="4"/>
    <x v="10"/>
    <x v="21"/>
    <x v="0"/>
    <x v="83"/>
    <x v="304"/>
    <x v="2957"/>
    <x v="2"/>
    <x v="2"/>
    <x v="2"/>
  </r>
  <r>
    <x v="3"/>
    <x v="0"/>
    <x v="701"/>
    <x v="4"/>
    <x v="10"/>
    <x v="21"/>
    <x v="3"/>
    <x v="85"/>
    <x v="313"/>
    <x v="3007"/>
    <x v="26"/>
    <x v="26"/>
    <x v="2"/>
  </r>
  <r>
    <x v="3"/>
    <x v="0"/>
    <x v="375"/>
    <x v="4"/>
    <x v="10"/>
    <x v="21"/>
    <x v="2"/>
    <x v="33"/>
    <x v="304"/>
    <x v="2774"/>
    <x v="16"/>
    <x v="16"/>
    <x v="2"/>
  </r>
  <r>
    <x v="3"/>
    <x v="0"/>
    <x v="375"/>
    <x v="4"/>
    <x v="10"/>
    <x v="21"/>
    <x v="1"/>
    <x v="43"/>
    <x v="304"/>
    <x v="2854"/>
    <x v="11"/>
    <x v="11"/>
    <x v="2"/>
  </r>
  <r>
    <x v="3"/>
    <x v="0"/>
    <x v="375"/>
    <x v="4"/>
    <x v="10"/>
    <x v="21"/>
    <x v="5"/>
    <x v="43"/>
    <x v="304"/>
    <x v="2854"/>
    <x v="16"/>
    <x v="16"/>
    <x v="2"/>
  </r>
  <r>
    <x v="3"/>
    <x v="0"/>
    <x v="375"/>
    <x v="4"/>
    <x v="10"/>
    <x v="21"/>
    <x v="4"/>
    <x v="43"/>
    <x v="231"/>
    <x v="2615"/>
    <x v="16"/>
    <x v="16"/>
    <x v="2"/>
  </r>
  <r>
    <x v="3"/>
    <x v="0"/>
    <x v="375"/>
    <x v="4"/>
    <x v="10"/>
    <x v="21"/>
    <x v="0"/>
    <x v="48"/>
    <x v="194"/>
    <x v="2506"/>
    <x v="6"/>
    <x v="6"/>
    <x v="2"/>
  </r>
  <r>
    <x v="3"/>
    <x v="0"/>
    <x v="375"/>
    <x v="4"/>
    <x v="10"/>
    <x v="21"/>
    <x v="3"/>
    <x v="43"/>
    <x v="309"/>
    <x v="2878"/>
    <x v="31"/>
    <x v="31"/>
    <x v="2"/>
  </r>
  <r>
    <x v="3"/>
    <x v="0"/>
    <x v="406"/>
    <x v="4"/>
    <x v="10"/>
    <x v="21"/>
    <x v="2"/>
    <x v="33"/>
    <x v="313"/>
    <x v="2852"/>
    <x v="16"/>
    <x v="16"/>
    <x v="2"/>
  </r>
  <r>
    <x v="3"/>
    <x v="0"/>
    <x v="406"/>
    <x v="4"/>
    <x v="10"/>
    <x v="21"/>
    <x v="1"/>
    <x v="43"/>
    <x v="304"/>
    <x v="2854"/>
    <x v="11"/>
    <x v="11"/>
    <x v="2"/>
  </r>
  <r>
    <x v="3"/>
    <x v="0"/>
    <x v="406"/>
    <x v="4"/>
    <x v="10"/>
    <x v="21"/>
    <x v="5"/>
    <x v="43"/>
    <x v="304"/>
    <x v="2854"/>
    <x v="16"/>
    <x v="16"/>
    <x v="2"/>
  </r>
  <r>
    <x v="3"/>
    <x v="0"/>
    <x v="406"/>
    <x v="3"/>
    <x v="8"/>
    <x v="39"/>
    <x v="4"/>
    <x v="43"/>
    <x v="231"/>
    <x v="2615"/>
    <x v="16"/>
    <x v="16"/>
    <x v="2"/>
  </r>
  <r>
    <x v="3"/>
    <x v="0"/>
    <x v="406"/>
    <x v="3"/>
    <x v="8"/>
    <x v="39"/>
    <x v="0"/>
    <x v="48"/>
    <x v="174"/>
    <x v="2350"/>
    <x v="6"/>
    <x v="6"/>
    <x v="2"/>
  </r>
  <r>
    <x v="3"/>
    <x v="0"/>
    <x v="406"/>
    <x v="3"/>
    <x v="8"/>
    <x v="39"/>
    <x v="3"/>
    <x v="43"/>
    <x v="300"/>
    <x v="2840"/>
    <x v="31"/>
    <x v="31"/>
    <x v="2"/>
  </r>
  <r>
    <x v="3"/>
    <x v="0"/>
    <x v="433"/>
    <x v="3"/>
    <x v="8"/>
    <x v="39"/>
    <x v="2"/>
    <x v="43"/>
    <x v="315"/>
    <x v="2899"/>
    <x v="16"/>
    <x v="16"/>
    <x v="2"/>
  </r>
  <r>
    <x v="3"/>
    <x v="0"/>
    <x v="433"/>
    <x v="3"/>
    <x v="8"/>
    <x v="39"/>
    <x v="1"/>
    <x v="53"/>
    <x v="300"/>
    <x v="2880"/>
    <x v="11"/>
    <x v="11"/>
    <x v="2"/>
  </r>
  <r>
    <x v="3"/>
    <x v="0"/>
    <x v="433"/>
    <x v="3"/>
    <x v="8"/>
    <x v="39"/>
    <x v="5"/>
    <x v="58"/>
    <x v="304"/>
    <x v="2901"/>
    <x v="16"/>
    <x v="16"/>
    <x v="2"/>
  </r>
  <r>
    <x v="3"/>
    <x v="0"/>
    <x v="433"/>
    <x v="3"/>
    <x v="8"/>
    <x v="39"/>
    <x v="4"/>
    <x v="53"/>
    <x v="273"/>
    <x v="2833"/>
    <x v="16"/>
    <x v="16"/>
    <x v="2"/>
  </r>
  <r>
    <x v="3"/>
    <x v="0"/>
    <x v="433"/>
    <x v="3"/>
    <x v="8"/>
    <x v="39"/>
    <x v="0"/>
    <x v="58"/>
    <x v="152"/>
    <x v="2398"/>
    <x v="6"/>
    <x v="6"/>
    <x v="2"/>
  </r>
  <r>
    <x v="3"/>
    <x v="0"/>
    <x v="433"/>
    <x v="3"/>
    <x v="8"/>
    <x v="39"/>
    <x v="3"/>
    <x v="53"/>
    <x v="294"/>
    <x v="2866"/>
    <x v="31"/>
    <x v="31"/>
    <x v="2"/>
  </r>
  <r>
    <x v="4"/>
    <x v="0"/>
    <x v="465"/>
    <x v="3"/>
    <x v="8"/>
    <x v="39"/>
    <x v="2"/>
    <x v="58"/>
    <x v="315"/>
    <x v="2945"/>
    <x v="16"/>
    <x v="16"/>
    <x v="2"/>
  </r>
  <r>
    <x v="4"/>
    <x v="0"/>
    <x v="465"/>
    <x v="3"/>
    <x v="8"/>
    <x v="39"/>
    <x v="1"/>
    <x v="63"/>
    <x v="285"/>
    <x v="2882"/>
    <x v="11"/>
    <x v="11"/>
    <x v="2"/>
  </r>
  <r>
    <x v="4"/>
    <x v="0"/>
    <x v="465"/>
    <x v="3"/>
    <x v="8"/>
    <x v="39"/>
    <x v="5"/>
    <x v="63"/>
    <x v="300"/>
    <x v="2903"/>
    <x v="16"/>
    <x v="16"/>
    <x v="2"/>
  </r>
  <r>
    <x v="4"/>
    <x v="0"/>
    <x v="465"/>
    <x v="3"/>
    <x v="8"/>
    <x v="39"/>
    <x v="4"/>
    <x v="48"/>
    <x v="254"/>
    <x v="2757"/>
    <x v="16"/>
    <x v="16"/>
    <x v="2"/>
  </r>
  <r>
    <x v="4"/>
    <x v="0"/>
    <x v="465"/>
    <x v="3"/>
    <x v="8"/>
    <x v="39"/>
    <x v="0"/>
    <x v="53"/>
    <x v="174"/>
    <x v="2469"/>
    <x v="6"/>
    <x v="6"/>
    <x v="2"/>
  </r>
  <r>
    <x v="4"/>
    <x v="0"/>
    <x v="465"/>
    <x v="3"/>
    <x v="8"/>
    <x v="39"/>
    <x v="3"/>
    <x v="68"/>
    <x v="294"/>
    <x v="2904"/>
    <x v="31"/>
    <x v="31"/>
    <x v="2"/>
  </r>
  <r>
    <x v="4"/>
    <x v="0"/>
    <x v="496"/>
    <x v="3"/>
    <x v="8"/>
    <x v="39"/>
    <x v="2"/>
    <x v="53"/>
    <x v="317"/>
    <x v="2940"/>
    <x v="16"/>
    <x v="16"/>
    <x v="2"/>
  </r>
  <r>
    <x v="4"/>
    <x v="0"/>
    <x v="496"/>
    <x v="3"/>
    <x v="8"/>
    <x v="39"/>
    <x v="1"/>
    <x v="58"/>
    <x v="304"/>
    <x v="2901"/>
    <x v="11"/>
    <x v="11"/>
    <x v="2"/>
  </r>
  <r>
    <x v="4"/>
    <x v="0"/>
    <x v="496"/>
    <x v="3"/>
    <x v="8"/>
    <x v="39"/>
    <x v="5"/>
    <x v="58"/>
    <x v="304"/>
    <x v="2901"/>
    <x v="16"/>
    <x v="16"/>
    <x v="2"/>
  </r>
  <r>
    <x v="4"/>
    <x v="0"/>
    <x v="496"/>
    <x v="3"/>
    <x v="8"/>
    <x v="39"/>
    <x v="4"/>
    <x v="53"/>
    <x v="273"/>
    <x v="2833"/>
    <x v="16"/>
    <x v="16"/>
    <x v="2"/>
  </r>
  <r>
    <x v="4"/>
    <x v="0"/>
    <x v="496"/>
    <x v="3"/>
    <x v="8"/>
    <x v="39"/>
    <x v="0"/>
    <x v="48"/>
    <x v="194"/>
    <x v="2506"/>
    <x v="6"/>
    <x v="6"/>
    <x v="2"/>
  </r>
  <r>
    <x v="4"/>
    <x v="0"/>
    <x v="496"/>
    <x v="3"/>
    <x v="8"/>
    <x v="39"/>
    <x v="3"/>
    <x v="63"/>
    <x v="317"/>
    <x v="2967"/>
    <x v="31"/>
    <x v="31"/>
    <x v="2"/>
  </r>
  <r>
    <x v="4"/>
    <x v="0"/>
    <x v="526"/>
    <x v="3"/>
    <x v="8"/>
    <x v="39"/>
    <x v="2"/>
    <x v="58"/>
    <x v="337"/>
    <x v="3019"/>
    <x v="16"/>
    <x v="16"/>
    <x v="2"/>
  </r>
  <r>
    <x v="4"/>
    <x v="0"/>
    <x v="526"/>
    <x v="3"/>
    <x v="8"/>
    <x v="39"/>
    <x v="1"/>
    <x v="63"/>
    <x v="327"/>
    <x v="3005"/>
    <x v="11"/>
    <x v="11"/>
    <x v="0"/>
  </r>
  <r>
    <x v="4"/>
    <x v="0"/>
    <x v="526"/>
    <x v="3"/>
    <x v="8"/>
    <x v="39"/>
    <x v="5"/>
    <x v="78"/>
    <x v="327"/>
    <x v="3039"/>
    <x v="16"/>
    <x v="16"/>
    <x v="0"/>
  </r>
  <r>
    <x v="4"/>
    <x v="0"/>
    <x v="526"/>
    <x v="3"/>
    <x v="8"/>
    <x v="39"/>
    <x v="4"/>
    <x v="78"/>
    <x v="317"/>
    <x v="3004"/>
    <x v="16"/>
    <x v="16"/>
    <x v="0"/>
  </r>
  <r>
    <x v="4"/>
    <x v="0"/>
    <x v="526"/>
    <x v="3"/>
    <x v="8"/>
    <x v="39"/>
    <x v="0"/>
    <x v="85"/>
    <x v="307"/>
    <x v="2979"/>
    <x v="6"/>
    <x v="6"/>
    <x v="0"/>
  </r>
  <r>
    <x v="4"/>
    <x v="0"/>
    <x v="526"/>
    <x v="3"/>
    <x v="8"/>
    <x v="39"/>
    <x v="3"/>
    <x v="93"/>
    <x v="331"/>
    <x v="3081"/>
    <x v="31"/>
    <x v="31"/>
    <x v="0"/>
  </r>
  <r>
    <x v="4"/>
    <x v="0"/>
    <x v="555"/>
    <x v="3"/>
    <x v="8"/>
    <x v="39"/>
    <x v="2"/>
    <x v="83"/>
    <x v="341"/>
    <x v="3080"/>
    <x v="16"/>
    <x v="16"/>
    <x v="0"/>
  </r>
  <r>
    <x v="4"/>
    <x v="0"/>
    <x v="555"/>
    <x v="3"/>
    <x v="8"/>
    <x v="39"/>
    <x v="1"/>
    <x v="85"/>
    <x v="331"/>
    <x v="3067"/>
    <x v="11"/>
    <x v="11"/>
    <x v="0"/>
  </r>
  <r>
    <x v="4"/>
    <x v="0"/>
    <x v="555"/>
    <x v="3"/>
    <x v="8"/>
    <x v="39"/>
    <x v="5"/>
    <x v="85"/>
    <x v="327"/>
    <x v="3059"/>
    <x v="16"/>
    <x v="16"/>
    <x v="0"/>
  </r>
  <r>
    <x v="4"/>
    <x v="0"/>
    <x v="555"/>
    <x v="3"/>
    <x v="8"/>
    <x v="39"/>
    <x v="4"/>
    <x v="83"/>
    <x v="319"/>
    <x v="3020"/>
    <x v="16"/>
    <x v="16"/>
    <x v="0"/>
  </r>
  <r>
    <x v="4"/>
    <x v="0"/>
    <x v="555"/>
    <x v="3"/>
    <x v="8"/>
    <x v="39"/>
    <x v="0"/>
    <x v="85"/>
    <x v="323"/>
    <x v="3045"/>
    <x v="6"/>
    <x v="6"/>
    <x v="0"/>
  </r>
  <r>
    <x v="4"/>
    <x v="0"/>
    <x v="555"/>
    <x v="3"/>
    <x v="8"/>
    <x v="39"/>
    <x v="3"/>
    <x v="93"/>
    <x v="323"/>
    <x v="3068"/>
    <x v="31"/>
    <x v="31"/>
    <x v="0"/>
  </r>
  <r>
    <x v="4"/>
    <x v="0"/>
    <x v="587"/>
    <x v="3"/>
    <x v="8"/>
    <x v="39"/>
    <x v="2"/>
    <x v="85"/>
    <x v="338"/>
    <x v="3079"/>
    <x v="16"/>
    <x v="16"/>
    <x v="0"/>
  </r>
  <r>
    <x v="4"/>
    <x v="0"/>
    <x v="587"/>
    <x v="3"/>
    <x v="8"/>
    <x v="39"/>
    <x v="1"/>
    <x v="78"/>
    <x v="337"/>
    <x v="3066"/>
    <x v="11"/>
    <x v="11"/>
    <x v="0"/>
  </r>
  <r>
    <x v="4"/>
    <x v="0"/>
    <x v="587"/>
    <x v="3"/>
    <x v="8"/>
    <x v="39"/>
    <x v="5"/>
    <x v="73"/>
    <x v="327"/>
    <x v="3027"/>
    <x v="16"/>
    <x v="16"/>
    <x v="0"/>
  </r>
  <r>
    <x v="4"/>
    <x v="0"/>
    <x v="587"/>
    <x v="3"/>
    <x v="8"/>
    <x v="39"/>
    <x v="4"/>
    <x v="73"/>
    <x v="309"/>
    <x v="2956"/>
    <x v="16"/>
    <x v="16"/>
    <x v="0"/>
  </r>
  <r>
    <x v="4"/>
    <x v="0"/>
    <x v="587"/>
    <x v="3"/>
    <x v="8"/>
    <x v="39"/>
    <x v="0"/>
    <x v="73"/>
    <x v="309"/>
    <x v="2956"/>
    <x v="6"/>
    <x v="6"/>
    <x v="0"/>
  </r>
  <r>
    <x v="4"/>
    <x v="0"/>
    <x v="587"/>
    <x v="3"/>
    <x v="8"/>
    <x v="39"/>
    <x v="3"/>
    <x v="78"/>
    <x v="254"/>
    <x v="2888"/>
    <x v="31"/>
    <x v="31"/>
    <x v="0"/>
  </r>
  <r>
    <x v="4"/>
    <x v="0"/>
    <x v="619"/>
    <x v="3"/>
    <x v="8"/>
    <x v="39"/>
    <x v="2"/>
    <x v="53"/>
    <x v="311"/>
    <x v="2915"/>
    <x v="16"/>
    <x v="16"/>
    <x v="0"/>
  </r>
  <r>
    <x v="4"/>
    <x v="0"/>
    <x v="619"/>
    <x v="3"/>
    <x v="8"/>
    <x v="39"/>
    <x v="1"/>
    <x v="58"/>
    <x v="311"/>
    <x v="2929"/>
    <x v="11"/>
    <x v="11"/>
    <x v="0"/>
  </r>
  <r>
    <x v="4"/>
    <x v="0"/>
    <x v="619"/>
    <x v="3"/>
    <x v="8"/>
    <x v="39"/>
    <x v="5"/>
    <x v="53"/>
    <x v="254"/>
    <x v="2805"/>
    <x v="16"/>
    <x v="16"/>
    <x v="0"/>
  </r>
  <r>
    <x v="4"/>
    <x v="0"/>
    <x v="619"/>
    <x v="3"/>
    <x v="8"/>
    <x v="39"/>
    <x v="4"/>
    <x v="53"/>
    <x v="212"/>
    <x v="2686"/>
    <x v="16"/>
    <x v="16"/>
    <x v="0"/>
  </r>
  <r>
    <x v="4"/>
    <x v="0"/>
    <x v="619"/>
    <x v="3"/>
    <x v="8"/>
    <x v="39"/>
    <x v="0"/>
    <x v="63"/>
    <x v="231"/>
    <x v="2829"/>
    <x v="6"/>
    <x v="6"/>
    <x v="0"/>
  </r>
  <r>
    <x v="4"/>
    <x v="0"/>
    <x v="619"/>
    <x v="3"/>
    <x v="8"/>
    <x v="39"/>
    <x v="3"/>
    <x v="48"/>
    <x v="254"/>
    <x v="2757"/>
    <x v="31"/>
    <x v="31"/>
    <x v="0"/>
  </r>
  <r>
    <x v="4"/>
    <x v="0"/>
    <x v="648"/>
    <x v="3"/>
    <x v="8"/>
    <x v="39"/>
    <x v="2"/>
    <x v="43"/>
    <x v="300"/>
    <x v="2840"/>
    <x v="16"/>
    <x v="16"/>
    <x v="0"/>
  </r>
  <r>
    <x v="4"/>
    <x v="0"/>
    <x v="648"/>
    <x v="3"/>
    <x v="8"/>
    <x v="39"/>
    <x v="1"/>
    <x v="58"/>
    <x v="317"/>
    <x v="2954"/>
    <x v="11"/>
    <x v="11"/>
    <x v="0"/>
  </r>
  <r>
    <x v="4"/>
    <x v="0"/>
    <x v="648"/>
    <x v="3"/>
    <x v="8"/>
    <x v="39"/>
    <x v="5"/>
    <x v="53"/>
    <x v="300"/>
    <x v="2880"/>
    <x v="16"/>
    <x v="16"/>
    <x v="0"/>
  </r>
  <r>
    <x v="4"/>
    <x v="0"/>
    <x v="648"/>
    <x v="3"/>
    <x v="8"/>
    <x v="39"/>
    <x v="4"/>
    <x v="48"/>
    <x v="294"/>
    <x v="2850"/>
    <x v="16"/>
    <x v="16"/>
    <x v="0"/>
  </r>
  <r>
    <x v="4"/>
    <x v="0"/>
    <x v="648"/>
    <x v="3"/>
    <x v="8"/>
    <x v="39"/>
    <x v="0"/>
    <x v="58"/>
    <x v="285"/>
    <x v="2867"/>
    <x v="6"/>
    <x v="6"/>
    <x v="0"/>
  </r>
  <r>
    <x v="4"/>
    <x v="0"/>
    <x v="648"/>
    <x v="3"/>
    <x v="8"/>
    <x v="39"/>
    <x v="3"/>
    <x v="63"/>
    <x v="300"/>
    <x v="2903"/>
    <x v="31"/>
    <x v="31"/>
    <x v="0"/>
  </r>
  <r>
    <x v="4"/>
    <x v="0"/>
    <x v="679"/>
    <x v="3"/>
    <x v="8"/>
    <x v="39"/>
    <x v="2"/>
    <x v="48"/>
    <x v="321"/>
    <x v="2939"/>
    <x v="16"/>
    <x v="16"/>
    <x v="0"/>
  </r>
  <r>
    <x v="4"/>
    <x v="0"/>
    <x v="679"/>
    <x v="3"/>
    <x v="8"/>
    <x v="39"/>
    <x v="1"/>
    <x v="53"/>
    <x v="327"/>
    <x v="2974"/>
    <x v="11"/>
    <x v="11"/>
    <x v="0"/>
  </r>
  <r>
    <x v="4"/>
    <x v="0"/>
    <x v="679"/>
    <x v="3"/>
    <x v="8"/>
    <x v="39"/>
    <x v="5"/>
    <x v="48"/>
    <x v="313"/>
    <x v="2908"/>
    <x v="16"/>
    <x v="16"/>
    <x v="0"/>
  </r>
  <r>
    <x v="4"/>
    <x v="0"/>
    <x v="679"/>
    <x v="3"/>
    <x v="8"/>
    <x v="39"/>
    <x v="4"/>
    <x v="58"/>
    <x v="311"/>
    <x v="2929"/>
    <x v="16"/>
    <x v="16"/>
    <x v="0"/>
  </r>
  <r>
    <x v="4"/>
    <x v="0"/>
    <x v="679"/>
    <x v="3"/>
    <x v="8"/>
    <x v="39"/>
    <x v="0"/>
    <x v="78"/>
    <x v="309"/>
    <x v="2968"/>
    <x v="6"/>
    <x v="6"/>
    <x v="0"/>
  </r>
  <r>
    <x v="4"/>
    <x v="0"/>
    <x v="679"/>
    <x v="3"/>
    <x v="8"/>
    <x v="39"/>
    <x v="3"/>
    <x v="83"/>
    <x v="319"/>
    <x v="3020"/>
    <x v="31"/>
    <x v="31"/>
    <x v="0"/>
  </r>
  <r>
    <x v="4"/>
    <x v="0"/>
    <x v="708"/>
    <x v="3"/>
    <x v="8"/>
    <x v="39"/>
    <x v="2"/>
    <x v="68"/>
    <x v="335"/>
    <x v="3040"/>
    <x v="16"/>
    <x v="16"/>
    <x v="0"/>
  </r>
  <r>
    <x v="4"/>
    <x v="0"/>
    <x v="708"/>
    <x v="3"/>
    <x v="8"/>
    <x v="39"/>
    <x v="1"/>
    <x v="78"/>
    <x v="335"/>
    <x v="3062"/>
    <x v="11"/>
    <x v="11"/>
    <x v="0"/>
  </r>
  <r>
    <x v="5"/>
    <x v="0"/>
    <x v="708"/>
    <x v="3"/>
    <x v="8"/>
    <x v="39"/>
    <x v="5"/>
    <x v="73"/>
    <x v="319"/>
    <x v="3000"/>
    <x v="16"/>
    <x v="16"/>
    <x v="0"/>
  </r>
  <r>
    <x v="5"/>
    <x v="0"/>
    <x v="708"/>
    <x v="3"/>
    <x v="8"/>
    <x v="39"/>
    <x v="4"/>
    <x v="73"/>
    <x v="319"/>
    <x v="3000"/>
    <x v="16"/>
    <x v="16"/>
    <x v="0"/>
  </r>
  <r>
    <x v="5"/>
    <x v="0"/>
    <x v="708"/>
    <x v="3"/>
    <x v="8"/>
    <x v="39"/>
    <x v="0"/>
    <x v="83"/>
    <x v="313"/>
    <x v="2997"/>
    <x v="6"/>
    <x v="6"/>
    <x v="0"/>
  </r>
  <r>
    <x v="5"/>
    <x v="0"/>
    <x v="708"/>
    <x v="3"/>
    <x v="8"/>
    <x v="39"/>
    <x v="3"/>
    <x v="85"/>
    <x v="321"/>
    <x v="3038"/>
    <x v="31"/>
    <x v="31"/>
    <x v="0"/>
  </r>
  <r>
    <x v="5"/>
    <x v="1"/>
    <x v="370"/>
    <x v="3"/>
    <x v="8"/>
    <x v="39"/>
    <x v="2"/>
    <x v="38"/>
    <x v="338"/>
    <x v="2957"/>
    <x v="31"/>
    <x v="31"/>
    <x v="0"/>
  </r>
  <r>
    <x v="5"/>
    <x v="1"/>
    <x v="370"/>
    <x v="3"/>
    <x v="8"/>
    <x v="39"/>
    <x v="1"/>
    <x v="38"/>
    <x v="323"/>
    <x v="2910"/>
    <x v="21"/>
    <x v="21"/>
    <x v="0"/>
  </r>
  <r>
    <x v="5"/>
    <x v="1"/>
    <x v="370"/>
    <x v="3"/>
    <x v="8"/>
    <x v="39"/>
    <x v="5"/>
    <x v="28"/>
    <x v="323"/>
    <x v="2867"/>
    <x v="11"/>
    <x v="11"/>
    <x v="0"/>
  </r>
  <r>
    <x v="5"/>
    <x v="1"/>
    <x v="370"/>
    <x v="3"/>
    <x v="8"/>
    <x v="39"/>
    <x v="4"/>
    <x v="33"/>
    <x v="311"/>
    <x v="2840"/>
    <x v="16"/>
    <x v="16"/>
    <x v="0"/>
  </r>
  <r>
    <x v="5"/>
    <x v="1"/>
    <x v="370"/>
    <x v="3"/>
    <x v="8"/>
    <x v="39"/>
    <x v="0"/>
    <x v="48"/>
    <x v="315"/>
    <x v="2916"/>
    <x v="21"/>
    <x v="21"/>
    <x v="0"/>
  </r>
  <r>
    <x v="5"/>
    <x v="1"/>
    <x v="370"/>
    <x v="3"/>
    <x v="8"/>
    <x v="39"/>
    <x v="3"/>
    <x v="38"/>
    <x v="323"/>
    <x v="2910"/>
    <x v="36"/>
    <x v="36"/>
    <x v="0"/>
  </r>
  <r>
    <x v="5"/>
    <x v="1"/>
    <x v="399"/>
    <x v="3"/>
    <x v="8"/>
    <x v="39"/>
    <x v="2"/>
    <x v="38"/>
    <x v="341"/>
    <x v="2969"/>
    <x v="31"/>
    <x v="31"/>
    <x v="0"/>
  </r>
  <r>
    <x v="5"/>
    <x v="1"/>
    <x v="399"/>
    <x v="3"/>
    <x v="8"/>
    <x v="39"/>
    <x v="1"/>
    <x v="38"/>
    <x v="315"/>
    <x v="2884"/>
    <x v="21"/>
    <x v="21"/>
    <x v="0"/>
  </r>
  <r>
    <x v="5"/>
    <x v="1"/>
    <x v="399"/>
    <x v="3"/>
    <x v="8"/>
    <x v="39"/>
    <x v="5"/>
    <x v="28"/>
    <x v="319"/>
    <x v="2852"/>
    <x v="11"/>
    <x v="11"/>
    <x v="0"/>
  </r>
  <r>
    <x v="5"/>
    <x v="1"/>
    <x v="399"/>
    <x v="1"/>
    <x v="31"/>
    <x v="0"/>
    <x v="4"/>
    <x v="33"/>
    <x v="309"/>
    <x v="2825"/>
    <x v="16"/>
    <x v="16"/>
    <x v="0"/>
  </r>
  <r>
    <x v="5"/>
    <x v="1"/>
    <x v="399"/>
    <x v="1"/>
    <x v="31"/>
    <x v="0"/>
    <x v="0"/>
    <x v="48"/>
    <x v="315"/>
    <x v="2916"/>
    <x v="21"/>
    <x v="21"/>
    <x v="0"/>
  </r>
  <r>
    <x v="5"/>
    <x v="1"/>
    <x v="399"/>
    <x v="1"/>
    <x v="31"/>
    <x v="0"/>
    <x v="3"/>
    <x v="38"/>
    <x v="323"/>
    <x v="2910"/>
    <x v="36"/>
    <x v="36"/>
    <x v="0"/>
  </r>
  <r>
    <x v="5"/>
    <x v="1"/>
    <x v="425"/>
    <x v="1"/>
    <x v="31"/>
    <x v="0"/>
    <x v="2"/>
    <x v="38"/>
    <x v="339"/>
    <x v="2962"/>
    <x v="31"/>
    <x v="31"/>
    <x v="0"/>
  </r>
  <r>
    <x v="5"/>
    <x v="1"/>
    <x v="425"/>
    <x v="1"/>
    <x v="31"/>
    <x v="0"/>
    <x v="1"/>
    <x v="38"/>
    <x v="315"/>
    <x v="2884"/>
    <x v="21"/>
    <x v="21"/>
    <x v="0"/>
  </r>
  <r>
    <x v="5"/>
    <x v="1"/>
    <x v="425"/>
    <x v="1"/>
    <x v="31"/>
    <x v="0"/>
    <x v="5"/>
    <x v="28"/>
    <x v="317"/>
    <x v="2843"/>
    <x v="11"/>
    <x v="11"/>
    <x v="0"/>
  </r>
  <r>
    <x v="5"/>
    <x v="1"/>
    <x v="425"/>
    <x v="1"/>
    <x v="31"/>
    <x v="0"/>
    <x v="4"/>
    <x v="33"/>
    <x v="304"/>
    <x v="2774"/>
    <x v="16"/>
    <x v="16"/>
    <x v="0"/>
  </r>
  <r>
    <x v="5"/>
    <x v="1"/>
    <x v="425"/>
    <x v="1"/>
    <x v="31"/>
    <x v="0"/>
    <x v="0"/>
    <x v="48"/>
    <x v="309"/>
    <x v="2891"/>
    <x v="21"/>
    <x v="21"/>
    <x v="0"/>
  </r>
  <r>
    <x v="5"/>
    <x v="1"/>
    <x v="425"/>
    <x v="1"/>
    <x v="31"/>
    <x v="0"/>
    <x v="3"/>
    <x v="38"/>
    <x v="317"/>
    <x v="2889"/>
    <x v="36"/>
    <x v="36"/>
    <x v="0"/>
  </r>
  <r>
    <x v="5"/>
    <x v="1"/>
    <x v="457"/>
    <x v="1"/>
    <x v="31"/>
    <x v="0"/>
    <x v="2"/>
    <x v="38"/>
    <x v="337"/>
    <x v="2952"/>
    <x v="31"/>
    <x v="31"/>
    <x v="0"/>
  </r>
  <r>
    <x v="5"/>
    <x v="1"/>
    <x v="457"/>
    <x v="1"/>
    <x v="31"/>
    <x v="0"/>
    <x v="1"/>
    <x v="38"/>
    <x v="313"/>
    <x v="2877"/>
    <x v="21"/>
    <x v="21"/>
    <x v="0"/>
  </r>
  <r>
    <x v="5"/>
    <x v="1"/>
    <x v="457"/>
    <x v="1"/>
    <x v="31"/>
    <x v="0"/>
    <x v="5"/>
    <x v="28"/>
    <x v="313"/>
    <x v="2811"/>
    <x v="11"/>
    <x v="11"/>
    <x v="0"/>
  </r>
  <r>
    <x v="5"/>
    <x v="1"/>
    <x v="457"/>
    <x v="1"/>
    <x v="31"/>
    <x v="0"/>
    <x v="4"/>
    <x v="33"/>
    <x v="307"/>
    <x v="2805"/>
    <x v="16"/>
    <x v="16"/>
    <x v="0"/>
  </r>
  <r>
    <x v="5"/>
    <x v="1"/>
    <x v="457"/>
    <x v="1"/>
    <x v="31"/>
    <x v="0"/>
    <x v="0"/>
    <x v="48"/>
    <x v="309"/>
    <x v="2891"/>
    <x v="21"/>
    <x v="21"/>
    <x v="0"/>
  </r>
  <r>
    <x v="5"/>
    <x v="1"/>
    <x v="457"/>
    <x v="1"/>
    <x v="31"/>
    <x v="0"/>
    <x v="3"/>
    <x v="38"/>
    <x v="319"/>
    <x v="2895"/>
    <x v="36"/>
    <x v="36"/>
    <x v="0"/>
  </r>
  <r>
    <x v="5"/>
    <x v="1"/>
    <x v="486"/>
    <x v="1"/>
    <x v="31"/>
    <x v="0"/>
    <x v="2"/>
    <x v="48"/>
    <x v="339"/>
    <x v="2999"/>
    <x v="31"/>
    <x v="31"/>
    <x v="0"/>
  </r>
  <r>
    <x v="5"/>
    <x v="1"/>
    <x v="486"/>
    <x v="1"/>
    <x v="31"/>
    <x v="0"/>
    <x v="1"/>
    <x v="48"/>
    <x v="317"/>
    <x v="2925"/>
    <x v="21"/>
    <x v="21"/>
    <x v="0"/>
  </r>
  <r>
    <x v="5"/>
    <x v="1"/>
    <x v="486"/>
    <x v="1"/>
    <x v="31"/>
    <x v="0"/>
    <x v="5"/>
    <x v="43"/>
    <x v="315"/>
    <x v="2899"/>
    <x v="11"/>
    <x v="11"/>
    <x v="0"/>
  </r>
  <r>
    <x v="5"/>
    <x v="1"/>
    <x v="486"/>
    <x v="1"/>
    <x v="31"/>
    <x v="0"/>
    <x v="4"/>
    <x v="43"/>
    <x v="311"/>
    <x v="2886"/>
    <x v="16"/>
    <x v="16"/>
    <x v="0"/>
  </r>
  <r>
    <x v="5"/>
    <x v="1"/>
    <x v="486"/>
    <x v="1"/>
    <x v="31"/>
    <x v="0"/>
    <x v="0"/>
    <x v="53"/>
    <x v="313"/>
    <x v="2924"/>
    <x v="21"/>
    <x v="21"/>
    <x v="0"/>
  </r>
  <r>
    <x v="5"/>
    <x v="1"/>
    <x v="486"/>
    <x v="1"/>
    <x v="31"/>
    <x v="0"/>
    <x v="3"/>
    <x v="58"/>
    <x v="321"/>
    <x v="2970"/>
    <x v="36"/>
    <x v="36"/>
    <x v="0"/>
  </r>
  <r>
    <x v="5"/>
    <x v="1"/>
    <x v="519"/>
    <x v="1"/>
    <x v="31"/>
    <x v="0"/>
    <x v="2"/>
    <x v="53"/>
    <x v="340"/>
    <x v="3017"/>
    <x v="31"/>
    <x v="31"/>
    <x v="0"/>
  </r>
  <r>
    <x v="5"/>
    <x v="1"/>
    <x v="519"/>
    <x v="1"/>
    <x v="31"/>
    <x v="0"/>
    <x v="1"/>
    <x v="48"/>
    <x v="321"/>
    <x v="2939"/>
    <x v="21"/>
    <x v="21"/>
    <x v="0"/>
  </r>
  <r>
    <x v="5"/>
    <x v="1"/>
    <x v="519"/>
    <x v="1"/>
    <x v="31"/>
    <x v="0"/>
    <x v="5"/>
    <x v="43"/>
    <x v="319"/>
    <x v="2915"/>
    <x v="11"/>
    <x v="11"/>
    <x v="0"/>
  </r>
  <r>
    <x v="5"/>
    <x v="1"/>
    <x v="519"/>
    <x v="1"/>
    <x v="31"/>
    <x v="0"/>
    <x v="4"/>
    <x v="43"/>
    <x v="317"/>
    <x v="2907"/>
    <x v="16"/>
    <x v="16"/>
    <x v="0"/>
  </r>
  <r>
    <x v="5"/>
    <x v="1"/>
    <x v="519"/>
    <x v="1"/>
    <x v="31"/>
    <x v="0"/>
    <x v="0"/>
    <x v="58"/>
    <x v="317"/>
    <x v="2954"/>
    <x v="21"/>
    <x v="21"/>
    <x v="0"/>
  </r>
  <r>
    <x v="5"/>
    <x v="1"/>
    <x v="519"/>
    <x v="1"/>
    <x v="31"/>
    <x v="0"/>
    <x v="3"/>
    <x v="63"/>
    <x v="329"/>
    <x v="3012"/>
    <x v="36"/>
    <x v="36"/>
    <x v="0"/>
  </r>
  <r>
    <x v="5"/>
    <x v="1"/>
    <x v="547"/>
    <x v="1"/>
    <x v="31"/>
    <x v="0"/>
    <x v="2"/>
    <x v="58"/>
    <x v="345"/>
    <x v="3045"/>
    <x v="31"/>
    <x v="31"/>
    <x v="0"/>
  </r>
  <r>
    <x v="5"/>
    <x v="1"/>
    <x v="547"/>
    <x v="1"/>
    <x v="31"/>
    <x v="0"/>
    <x v="1"/>
    <x v="53"/>
    <x v="327"/>
    <x v="2974"/>
    <x v="21"/>
    <x v="21"/>
    <x v="0"/>
  </r>
  <r>
    <x v="5"/>
    <x v="1"/>
    <x v="547"/>
    <x v="1"/>
    <x v="31"/>
    <x v="0"/>
    <x v="5"/>
    <x v="48"/>
    <x v="321"/>
    <x v="2939"/>
    <x v="11"/>
    <x v="11"/>
    <x v="0"/>
  </r>
  <r>
    <x v="5"/>
    <x v="1"/>
    <x v="547"/>
    <x v="1"/>
    <x v="31"/>
    <x v="0"/>
    <x v="4"/>
    <x v="48"/>
    <x v="317"/>
    <x v="2925"/>
    <x v="16"/>
    <x v="16"/>
    <x v="0"/>
  </r>
  <r>
    <x v="5"/>
    <x v="1"/>
    <x v="547"/>
    <x v="1"/>
    <x v="31"/>
    <x v="0"/>
    <x v="0"/>
    <x v="58"/>
    <x v="319"/>
    <x v="2961"/>
    <x v="21"/>
    <x v="21"/>
    <x v="0"/>
  </r>
  <r>
    <x v="5"/>
    <x v="1"/>
    <x v="547"/>
    <x v="1"/>
    <x v="31"/>
    <x v="0"/>
    <x v="3"/>
    <x v="63"/>
    <x v="333"/>
    <x v="3021"/>
    <x v="36"/>
    <x v="36"/>
    <x v="0"/>
  </r>
  <r>
    <x v="5"/>
    <x v="1"/>
    <x v="579"/>
    <x v="1"/>
    <x v="31"/>
    <x v="0"/>
    <x v="2"/>
    <x v="58"/>
    <x v="343"/>
    <x v="3041"/>
    <x v="31"/>
    <x v="31"/>
    <x v="0"/>
  </r>
  <r>
    <x v="5"/>
    <x v="1"/>
    <x v="579"/>
    <x v="1"/>
    <x v="31"/>
    <x v="0"/>
    <x v="1"/>
    <x v="53"/>
    <x v="327"/>
    <x v="2974"/>
    <x v="21"/>
    <x v="21"/>
    <x v="0"/>
  </r>
  <r>
    <x v="5"/>
    <x v="1"/>
    <x v="579"/>
    <x v="1"/>
    <x v="31"/>
    <x v="0"/>
    <x v="5"/>
    <x v="48"/>
    <x v="321"/>
    <x v="2939"/>
    <x v="11"/>
    <x v="11"/>
    <x v="0"/>
  </r>
  <r>
    <x v="5"/>
    <x v="1"/>
    <x v="579"/>
    <x v="1"/>
    <x v="31"/>
    <x v="0"/>
    <x v="4"/>
    <x v="38"/>
    <x v="317"/>
    <x v="2889"/>
    <x v="16"/>
    <x v="16"/>
    <x v="0"/>
  </r>
  <r>
    <x v="5"/>
    <x v="1"/>
    <x v="579"/>
    <x v="1"/>
    <x v="31"/>
    <x v="0"/>
    <x v="0"/>
    <x v="48"/>
    <x v="315"/>
    <x v="2916"/>
    <x v="21"/>
    <x v="21"/>
    <x v="0"/>
  </r>
  <r>
    <x v="5"/>
    <x v="1"/>
    <x v="579"/>
    <x v="1"/>
    <x v="31"/>
    <x v="0"/>
    <x v="3"/>
    <x v="53"/>
    <x v="329"/>
    <x v="2982"/>
    <x v="36"/>
    <x v="36"/>
    <x v="0"/>
  </r>
  <r>
    <x v="5"/>
    <x v="1"/>
    <x v="609"/>
    <x v="1"/>
    <x v="31"/>
    <x v="0"/>
    <x v="2"/>
    <x v="48"/>
    <x v="338"/>
    <x v="2994"/>
    <x v="31"/>
    <x v="31"/>
    <x v="0"/>
  </r>
  <r>
    <x v="5"/>
    <x v="1"/>
    <x v="609"/>
    <x v="1"/>
    <x v="31"/>
    <x v="0"/>
    <x v="1"/>
    <x v="43"/>
    <x v="323"/>
    <x v="2929"/>
    <x v="21"/>
    <x v="21"/>
    <x v="0"/>
  </r>
  <r>
    <x v="5"/>
    <x v="1"/>
    <x v="609"/>
    <x v="1"/>
    <x v="31"/>
    <x v="0"/>
    <x v="5"/>
    <x v="38"/>
    <x v="315"/>
    <x v="2884"/>
    <x v="11"/>
    <x v="11"/>
    <x v="0"/>
  </r>
  <r>
    <x v="5"/>
    <x v="1"/>
    <x v="609"/>
    <x v="1"/>
    <x v="31"/>
    <x v="0"/>
    <x v="4"/>
    <x v="38"/>
    <x v="313"/>
    <x v="2877"/>
    <x v="16"/>
    <x v="16"/>
    <x v="0"/>
  </r>
  <r>
    <x v="5"/>
    <x v="1"/>
    <x v="609"/>
    <x v="1"/>
    <x v="31"/>
    <x v="0"/>
    <x v="0"/>
    <x v="48"/>
    <x v="313"/>
    <x v="2908"/>
    <x v="21"/>
    <x v="21"/>
    <x v="0"/>
  </r>
  <r>
    <x v="5"/>
    <x v="1"/>
    <x v="609"/>
    <x v="1"/>
    <x v="31"/>
    <x v="0"/>
    <x v="3"/>
    <x v="53"/>
    <x v="321"/>
    <x v="2955"/>
    <x v="36"/>
    <x v="36"/>
    <x v="0"/>
  </r>
  <r>
    <x v="5"/>
    <x v="1"/>
    <x v="641"/>
    <x v="1"/>
    <x v="31"/>
    <x v="0"/>
    <x v="2"/>
    <x v="53"/>
    <x v="335"/>
    <x v="3000"/>
    <x v="31"/>
    <x v="31"/>
    <x v="0"/>
  </r>
  <r>
    <x v="5"/>
    <x v="1"/>
    <x v="641"/>
    <x v="1"/>
    <x v="31"/>
    <x v="0"/>
    <x v="1"/>
    <x v="43"/>
    <x v="321"/>
    <x v="2921"/>
    <x v="21"/>
    <x v="21"/>
    <x v="0"/>
  </r>
  <r>
    <x v="5"/>
    <x v="1"/>
    <x v="641"/>
    <x v="1"/>
    <x v="31"/>
    <x v="0"/>
    <x v="5"/>
    <x v="43"/>
    <x v="313"/>
    <x v="2892"/>
    <x v="11"/>
    <x v="11"/>
    <x v="0"/>
  </r>
  <r>
    <x v="5"/>
    <x v="1"/>
    <x v="641"/>
    <x v="1"/>
    <x v="31"/>
    <x v="0"/>
    <x v="4"/>
    <x v="43"/>
    <x v="311"/>
    <x v="2886"/>
    <x v="16"/>
    <x v="16"/>
    <x v="0"/>
  </r>
  <r>
    <x v="5"/>
    <x v="1"/>
    <x v="641"/>
    <x v="1"/>
    <x v="31"/>
    <x v="0"/>
    <x v="0"/>
    <x v="53"/>
    <x v="311"/>
    <x v="2915"/>
    <x v="21"/>
    <x v="21"/>
    <x v="0"/>
  </r>
  <r>
    <x v="5"/>
    <x v="1"/>
    <x v="641"/>
    <x v="1"/>
    <x v="31"/>
    <x v="0"/>
    <x v="3"/>
    <x v="58"/>
    <x v="321"/>
    <x v="2970"/>
    <x v="36"/>
    <x v="36"/>
    <x v="0"/>
  </r>
  <r>
    <x v="5"/>
    <x v="1"/>
    <x v="671"/>
    <x v="1"/>
    <x v="31"/>
    <x v="0"/>
    <x v="2"/>
    <x v="53"/>
    <x v="333"/>
    <x v="2993"/>
    <x v="31"/>
    <x v="31"/>
    <x v="0"/>
  </r>
  <r>
    <x v="5"/>
    <x v="1"/>
    <x v="671"/>
    <x v="1"/>
    <x v="31"/>
    <x v="0"/>
    <x v="1"/>
    <x v="43"/>
    <x v="319"/>
    <x v="2915"/>
    <x v="21"/>
    <x v="21"/>
    <x v="0"/>
  </r>
  <r>
    <x v="5"/>
    <x v="1"/>
    <x v="671"/>
    <x v="1"/>
    <x v="31"/>
    <x v="0"/>
    <x v="5"/>
    <x v="43"/>
    <x v="314"/>
    <x v="2898"/>
    <x v="11"/>
    <x v="11"/>
    <x v="0"/>
  </r>
  <r>
    <x v="5"/>
    <x v="1"/>
    <x v="671"/>
    <x v="1"/>
    <x v="31"/>
    <x v="0"/>
    <x v="4"/>
    <x v="43"/>
    <x v="317"/>
    <x v="2907"/>
    <x v="16"/>
    <x v="16"/>
    <x v="0"/>
  </r>
  <r>
    <x v="5"/>
    <x v="1"/>
    <x v="671"/>
    <x v="1"/>
    <x v="31"/>
    <x v="0"/>
    <x v="0"/>
    <x v="58"/>
    <x v="315"/>
    <x v="2945"/>
    <x v="21"/>
    <x v="21"/>
    <x v="0"/>
  </r>
  <r>
    <x v="5"/>
    <x v="1"/>
    <x v="671"/>
    <x v="1"/>
    <x v="31"/>
    <x v="0"/>
    <x v="3"/>
    <x v="63"/>
    <x v="323"/>
    <x v="2989"/>
    <x v="36"/>
    <x v="36"/>
    <x v="0"/>
  </r>
  <r>
    <x v="5"/>
    <x v="1"/>
    <x v="700"/>
    <x v="1"/>
    <x v="31"/>
    <x v="0"/>
    <x v="2"/>
    <x v="58"/>
    <x v="340"/>
    <x v="3030"/>
    <x v="31"/>
    <x v="31"/>
    <x v="0"/>
  </r>
  <r>
    <x v="5"/>
    <x v="1"/>
    <x v="700"/>
    <x v="1"/>
    <x v="31"/>
    <x v="0"/>
    <x v="1"/>
    <x v="48"/>
    <x v="325"/>
    <x v="2952"/>
    <x v="21"/>
    <x v="21"/>
    <x v="0"/>
  </r>
  <r>
    <x v="2"/>
    <x v="1"/>
    <x v="700"/>
    <x v="1"/>
    <x v="31"/>
    <x v="0"/>
    <x v="5"/>
    <x v="48"/>
    <x v="321"/>
    <x v="2939"/>
    <x v="11"/>
    <x v="11"/>
    <x v="0"/>
  </r>
  <r>
    <x v="2"/>
    <x v="1"/>
    <x v="700"/>
    <x v="1"/>
    <x v="31"/>
    <x v="0"/>
    <x v="4"/>
    <x v="48"/>
    <x v="317"/>
    <x v="2925"/>
    <x v="16"/>
    <x v="16"/>
    <x v="0"/>
  </r>
  <r>
    <x v="2"/>
    <x v="1"/>
    <x v="700"/>
    <x v="1"/>
    <x v="31"/>
    <x v="0"/>
    <x v="0"/>
    <x v="58"/>
    <x v="317"/>
    <x v="2954"/>
    <x v="21"/>
    <x v="21"/>
    <x v="0"/>
  </r>
  <r>
    <x v="2"/>
    <x v="1"/>
    <x v="700"/>
    <x v="1"/>
    <x v="31"/>
    <x v="0"/>
    <x v="3"/>
    <x v="63"/>
    <x v="325"/>
    <x v="2997"/>
    <x v="36"/>
    <x v="36"/>
    <x v="0"/>
  </r>
  <r>
    <x v="2"/>
    <x v="1"/>
    <x v="372"/>
    <x v="1"/>
    <x v="31"/>
    <x v="0"/>
    <x v="2"/>
    <x v="33"/>
    <x v="335"/>
    <x v="2927"/>
    <x v="36"/>
    <x v="36"/>
    <x v="0"/>
  </r>
  <r>
    <x v="2"/>
    <x v="1"/>
    <x v="372"/>
    <x v="1"/>
    <x v="31"/>
    <x v="0"/>
    <x v="1"/>
    <x v="33"/>
    <x v="319"/>
    <x v="2880"/>
    <x v="16"/>
    <x v="16"/>
    <x v="0"/>
  </r>
  <r>
    <x v="2"/>
    <x v="1"/>
    <x v="372"/>
    <x v="1"/>
    <x v="31"/>
    <x v="0"/>
    <x v="5"/>
    <x v="23"/>
    <x v="319"/>
    <x v="2805"/>
    <x v="21"/>
    <x v="21"/>
    <x v="0"/>
  </r>
  <r>
    <x v="2"/>
    <x v="1"/>
    <x v="372"/>
    <x v="1"/>
    <x v="31"/>
    <x v="0"/>
    <x v="4"/>
    <x v="28"/>
    <x v="307"/>
    <x v="2727"/>
    <x v="21"/>
    <x v="21"/>
    <x v="0"/>
  </r>
  <r>
    <x v="2"/>
    <x v="1"/>
    <x v="372"/>
    <x v="1"/>
    <x v="31"/>
    <x v="0"/>
    <x v="0"/>
    <x v="43"/>
    <x v="311"/>
    <x v="2886"/>
    <x v="16"/>
    <x v="16"/>
    <x v="0"/>
  </r>
  <r>
    <x v="2"/>
    <x v="1"/>
    <x v="372"/>
    <x v="1"/>
    <x v="31"/>
    <x v="0"/>
    <x v="3"/>
    <x v="33"/>
    <x v="319"/>
    <x v="2880"/>
    <x v="11"/>
    <x v="11"/>
    <x v="0"/>
  </r>
  <r>
    <x v="2"/>
    <x v="1"/>
    <x v="401"/>
    <x v="1"/>
    <x v="31"/>
    <x v="0"/>
    <x v="2"/>
    <x v="33"/>
    <x v="338"/>
    <x v="2936"/>
    <x v="36"/>
    <x v="36"/>
    <x v="0"/>
  </r>
  <r>
    <x v="2"/>
    <x v="1"/>
    <x v="401"/>
    <x v="1"/>
    <x v="31"/>
    <x v="0"/>
    <x v="1"/>
    <x v="33"/>
    <x v="311"/>
    <x v="2840"/>
    <x v="16"/>
    <x v="16"/>
    <x v="0"/>
  </r>
  <r>
    <x v="2"/>
    <x v="1"/>
    <x v="401"/>
    <x v="1"/>
    <x v="31"/>
    <x v="0"/>
    <x v="5"/>
    <x v="23"/>
    <x v="315"/>
    <x v="2757"/>
    <x v="21"/>
    <x v="21"/>
    <x v="0"/>
  </r>
  <r>
    <x v="2"/>
    <x v="1"/>
    <x v="401"/>
    <x v="4"/>
    <x v="49"/>
    <x v="12"/>
    <x v="4"/>
    <x v="28"/>
    <x v="304"/>
    <x v="2682"/>
    <x v="21"/>
    <x v="21"/>
    <x v="0"/>
  </r>
  <r>
    <x v="2"/>
    <x v="1"/>
    <x v="401"/>
    <x v="4"/>
    <x v="49"/>
    <x v="12"/>
    <x v="0"/>
    <x v="43"/>
    <x v="311"/>
    <x v="2886"/>
    <x v="16"/>
    <x v="16"/>
    <x v="0"/>
  </r>
  <r>
    <x v="2"/>
    <x v="1"/>
    <x v="401"/>
    <x v="4"/>
    <x v="49"/>
    <x v="12"/>
    <x v="3"/>
    <x v="33"/>
    <x v="319"/>
    <x v="2880"/>
    <x v="11"/>
    <x v="11"/>
    <x v="0"/>
  </r>
  <r>
    <x v="2"/>
    <x v="1"/>
    <x v="427"/>
    <x v="4"/>
    <x v="49"/>
    <x v="12"/>
    <x v="2"/>
    <x v="33"/>
    <x v="336"/>
    <x v="2932"/>
    <x v="36"/>
    <x v="36"/>
    <x v="0"/>
  </r>
  <r>
    <x v="2"/>
    <x v="1"/>
    <x v="427"/>
    <x v="4"/>
    <x v="49"/>
    <x v="12"/>
    <x v="1"/>
    <x v="33"/>
    <x v="313"/>
    <x v="2852"/>
    <x v="16"/>
    <x v="16"/>
    <x v="0"/>
  </r>
  <r>
    <x v="2"/>
    <x v="1"/>
    <x v="427"/>
    <x v="4"/>
    <x v="49"/>
    <x v="12"/>
    <x v="5"/>
    <x v="23"/>
    <x v="315"/>
    <x v="2757"/>
    <x v="21"/>
    <x v="21"/>
    <x v="0"/>
  </r>
  <r>
    <x v="2"/>
    <x v="1"/>
    <x v="427"/>
    <x v="4"/>
    <x v="49"/>
    <x v="12"/>
    <x v="4"/>
    <x v="28"/>
    <x v="300"/>
    <x v="2637"/>
    <x v="21"/>
    <x v="21"/>
    <x v="0"/>
  </r>
  <r>
    <x v="2"/>
    <x v="1"/>
    <x v="427"/>
    <x v="4"/>
    <x v="49"/>
    <x v="12"/>
    <x v="0"/>
    <x v="43"/>
    <x v="307"/>
    <x v="2866"/>
    <x v="16"/>
    <x v="16"/>
    <x v="0"/>
  </r>
  <r>
    <x v="2"/>
    <x v="1"/>
    <x v="427"/>
    <x v="4"/>
    <x v="49"/>
    <x v="12"/>
    <x v="3"/>
    <x v="33"/>
    <x v="315"/>
    <x v="2862"/>
    <x v="11"/>
    <x v="11"/>
    <x v="0"/>
  </r>
  <r>
    <x v="2"/>
    <x v="1"/>
    <x v="459"/>
    <x v="4"/>
    <x v="49"/>
    <x v="12"/>
    <x v="2"/>
    <x v="33"/>
    <x v="335"/>
    <x v="2927"/>
    <x v="36"/>
    <x v="36"/>
    <x v="0"/>
  </r>
  <r>
    <x v="2"/>
    <x v="1"/>
    <x v="459"/>
    <x v="4"/>
    <x v="49"/>
    <x v="12"/>
    <x v="1"/>
    <x v="33"/>
    <x v="311"/>
    <x v="2840"/>
    <x v="16"/>
    <x v="16"/>
    <x v="0"/>
  </r>
  <r>
    <x v="2"/>
    <x v="1"/>
    <x v="459"/>
    <x v="4"/>
    <x v="49"/>
    <x v="12"/>
    <x v="5"/>
    <x v="23"/>
    <x v="311"/>
    <x v="2686"/>
    <x v="21"/>
    <x v="21"/>
    <x v="0"/>
  </r>
  <r>
    <x v="2"/>
    <x v="1"/>
    <x v="459"/>
    <x v="4"/>
    <x v="49"/>
    <x v="12"/>
    <x v="4"/>
    <x v="28"/>
    <x v="304"/>
    <x v="2682"/>
    <x v="21"/>
    <x v="21"/>
    <x v="0"/>
  </r>
  <r>
    <x v="2"/>
    <x v="1"/>
    <x v="459"/>
    <x v="4"/>
    <x v="49"/>
    <x v="12"/>
    <x v="0"/>
    <x v="43"/>
    <x v="304"/>
    <x v="2854"/>
    <x v="16"/>
    <x v="16"/>
    <x v="0"/>
  </r>
  <r>
    <x v="2"/>
    <x v="1"/>
    <x v="459"/>
    <x v="4"/>
    <x v="49"/>
    <x v="12"/>
    <x v="3"/>
    <x v="33"/>
    <x v="315"/>
    <x v="2862"/>
    <x v="11"/>
    <x v="11"/>
    <x v="0"/>
  </r>
  <r>
    <x v="2"/>
    <x v="1"/>
    <x v="488"/>
    <x v="4"/>
    <x v="49"/>
    <x v="12"/>
    <x v="2"/>
    <x v="43"/>
    <x v="336"/>
    <x v="2971"/>
    <x v="36"/>
    <x v="36"/>
    <x v="0"/>
  </r>
  <r>
    <x v="2"/>
    <x v="1"/>
    <x v="488"/>
    <x v="4"/>
    <x v="49"/>
    <x v="12"/>
    <x v="1"/>
    <x v="38"/>
    <x v="313"/>
    <x v="2877"/>
    <x v="16"/>
    <x v="16"/>
    <x v="0"/>
  </r>
  <r>
    <x v="2"/>
    <x v="1"/>
    <x v="488"/>
    <x v="4"/>
    <x v="49"/>
    <x v="12"/>
    <x v="5"/>
    <x v="33"/>
    <x v="311"/>
    <x v="2840"/>
    <x v="21"/>
    <x v="21"/>
    <x v="0"/>
  </r>
  <r>
    <x v="2"/>
    <x v="1"/>
    <x v="488"/>
    <x v="4"/>
    <x v="49"/>
    <x v="12"/>
    <x v="4"/>
    <x v="33"/>
    <x v="307"/>
    <x v="2805"/>
    <x v="21"/>
    <x v="21"/>
    <x v="0"/>
  </r>
  <r>
    <x v="2"/>
    <x v="1"/>
    <x v="488"/>
    <x v="4"/>
    <x v="49"/>
    <x v="12"/>
    <x v="0"/>
    <x v="43"/>
    <x v="309"/>
    <x v="2878"/>
    <x v="16"/>
    <x v="16"/>
    <x v="0"/>
  </r>
  <r>
    <x v="2"/>
    <x v="1"/>
    <x v="488"/>
    <x v="4"/>
    <x v="49"/>
    <x v="12"/>
    <x v="3"/>
    <x v="48"/>
    <x v="319"/>
    <x v="2933"/>
    <x v="11"/>
    <x v="11"/>
    <x v="0"/>
  </r>
  <r>
    <x v="2"/>
    <x v="1"/>
    <x v="521"/>
    <x v="4"/>
    <x v="49"/>
    <x v="12"/>
    <x v="2"/>
    <x v="43"/>
    <x v="338"/>
    <x v="2976"/>
    <x v="36"/>
    <x v="36"/>
    <x v="0"/>
  </r>
  <r>
    <x v="2"/>
    <x v="1"/>
    <x v="521"/>
    <x v="4"/>
    <x v="49"/>
    <x v="12"/>
    <x v="1"/>
    <x v="38"/>
    <x v="319"/>
    <x v="2895"/>
    <x v="16"/>
    <x v="16"/>
    <x v="0"/>
  </r>
  <r>
    <x v="2"/>
    <x v="1"/>
    <x v="521"/>
    <x v="4"/>
    <x v="49"/>
    <x v="12"/>
    <x v="5"/>
    <x v="33"/>
    <x v="313"/>
    <x v="2852"/>
    <x v="21"/>
    <x v="21"/>
    <x v="0"/>
  </r>
  <r>
    <x v="2"/>
    <x v="1"/>
    <x v="521"/>
    <x v="4"/>
    <x v="49"/>
    <x v="12"/>
    <x v="4"/>
    <x v="33"/>
    <x v="311"/>
    <x v="2840"/>
    <x v="21"/>
    <x v="21"/>
    <x v="0"/>
  </r>
  <r>
    <x v="2"/>
    <x v="1"/>
    <x v="521"/>
    <x v="4"/>
    <x v="49"/>
    <x v="12"/>
    <x v="0"/>
    <x v="43"/>
    <x v="311"/>
    <x v="2886"/>
    <x v="16"/>
    <x v="16"/>
    <x v="0"/>
  </r>
  <r>
    <x v="2"/>
    <x v="1"/>
    <x v="521"/>
    <x v="4"/>
    <x v="49"/>
    <x v="12"/>
    <x v="3"/>
    <x v="48"/>
    <x v="323"/>
    <x v="2945"/>
    <x v="11"/>
    <x v="11"/>
    <x v="0"/>
  </r>
  <r>
    <x v="2"/>
    <x v="1"/>
    <x v="549"/>
    <x v="4"/>
    <x v="49"/>
    <x v="12"/>
    <x v="2"/>
    <x v="43"/>
    <x v="340"/>
    <x v="2983"/>
    <x v="36"/>
    <x v="36"/>
    <x v="0"/>
  </r>
  <r>
    <x v="2"/>
    <x v="1"/>
    <x v="549"/>
    <x v="4"/>
    <x v="49"/>
    <x v="12"/>
    <x v="1"/>
    <x v="38"/>
    <x v="321"/>
    <x v="2904"/>
    <x v="16"/>
    <x v="16"/>
    <x v="0"/>
  </r>
  <r>
    <x v="2"/>
    <x v="1"/>
    <x v="549"/>
    <x v="4"/>
    <x v="49"/>
    <x v="12"/>
    <x v="5"/>
    <x v="33"/>
    <x v="315"/>
    <x v="2862"/>
    <x v="21"/>
    <x v="21"/>
    <x v="0"/>
  </r>
  <r>
    <x v="2"/>
    <x v="1"/>
    <x v="549"/>
    <x v="4"/>
    <x v="49"/>
    <x v="12"/>
    <x v="4"/>
    <x v="33"/>
    <x v="311"/>
    <x v="2840"/>
    <x v="21"/>
    <x v="21"/>
    <x v="0"/>
  </r>
  <r>
    <x v="2"/>
    <x v="1"/>
    <x v="549"/>
    <x v="4"/>
    <x v="49"/>
    <x v="12"/>
    <x v="0"/>
    <x v="43"/>
    <x v="313"/>
    <x v="2892"/>
    <x v="16"/>
    <x v="16"/>
    <x v="0"/>
  </r>
  <r>
    <x v="2"/>
    <x v="1"/>
    <x v="549"/>
    <x v="4"/>
    <x v="49"/>
    <x v="12"/>
    <x v="3"/>
    <x v="48"/>
    <x v="327"/>
    <x v="2958"/>
    <x v="11"/>
    <x v="11"/>
    <x v="0"/>
  </r>
  <r>
    <x v="2"/>
    <x v="1"/>
    <x v="581"/>
    <x v="4"/>
    <x v="49"/>
    <x v="12"/>
    <x v="2"/>
    <x v="43"/>
    <x v="338"/>
    <x v="2976"/>
    <x v="36"/>
    <x v="36"/>
    <x v="0"/>
  </r>
  <r>
    <x v="2"/>
    <x v="1"/>
    <x v="581"/>
    <x v="4"/>
    <x v="49"/>
    <x v="12"/>
    <x v="1"/>
    <x v="38"/>
    <x v="321"/>
    <x v="2904"/>
    <x v="16"/>
    <x v="16"/>
    <x v="0"/>
  </r>
  <r>
    <x v="2"/>
    <x v="1"/>
    <x v="581"/>
    <x v="4"/>
    <x v="49"/>
    <x v="12"/>
    <x v="5"/>
    <x v="33"/>
    <x v="315"/>
    <x v="2862"/>
    <x v="21"/>
    <x v="21"/>
    <x v="0"/>
  </r>
  <r>
    <x v="2"/>
    <x v="1"/>
    <x v="581"/>
    <x v="4"/>
    <x v="49"/>
    <x v="12"/>
    <x v="4"/>
    <x v="33"/>
    <x v="313"/>
    <x v="2852"/>
    <x v="21"/>
    <x v="21"/>
    <x v="0"/>
  </r>
  <r>
    <x v="2"/>
    <x v="1"/>
    <x v="581"/>
    <x v="4"/>
    <x v="49"/>
    <x v="12"/>
    <x v="0"/>
    <x v="43"/>
    <x v="311"/>
    <x v="2886"/>
    <x v="16"/>
    <x v="16"/>
    <x v="0"/>
  </r>
  <r>
    <x v="2"/>
    <x v="1"/>
    <x v="581"/>
    <x v="4"/>
    <x v="49"/>
    <x v="12"/>
    <x v="3"/>
    <x v="48"/>
    <x v="325"/>
    <x v="2952"/>
    <x v="11"/>
    <x v="11"/>
    <x v="0"/>
  </r>
  <r>
    <x v="2"/>
    <x v="1"/>
    <x v="611"/>
    <x v="4"/>
    <x v="49"/>
    <x v="12"/>
    <x v="2"/>
    <x v="43"/>
    <x v="335"/>
    <x v="2966"/>
    <x v="36"/>
    <x v="36"/>
    <x v="0"/>
  </r>
  <r>
    <x v="2"/>
    <x v="1"/>
    <x v="611"/>
    <x v="4"/>
    <x v="49"/>
    <x v="12"/>
    <x v="1"/>
    <x v="38"/>
    <x v="319"/>
    <x v="2895"/>
    <x v="16"/>
    <x v="16"/>
    <x v="0"/>
  </r>
  <r>
    <x v="2"/>
    <x v="1"/>
    <x v="611"/>
    <x v="4"/>
    <x v="49"/>
    <x v="12"/>
    <x v="5"/>
    <x v="33"/>
    <x v="313"/>
    <x v="2852"/>
    <x v="21"/>
    <x v="21"/>
    <x v="0"/>
  </r>
  <r>
    <x v="2"/>
    <x v="1"/>
    <x v="611"/>
    <x v="4"/>
    <x v="49"/>
    <x v="12"/>
    <x v="4"/>
    <x v="33"/>
    <x v="311"/>
    <x v="2840"/>
    <x v="21"/>
    <x v="21"/>
    <x v="0"/>
  </r>
  <r>
    <x v="2"/>
    <x v="1"/>
    <x v="611"/>
    <x v="4"/>
    <x v="49"/>
    <x v="12"/>
    <x v="0"/>
    <x v="43"/>
    <x v="311"/>
    <x v="2886"/>
    <x v="16"/>
    <x v="16"/>
    <x v="0"/>
  </r>
  <r>
    <x v="2"/>
    <x v="1"/>
    <x v="611"/>
    <x v="4"/>
    <x v="49"/>
    <x v="12"/>
    <x v="3"/>
    <x v="48"/>
    <x v="319"/>
    <x v="2933"/>
    <x v="11"/>
    <x v="11"/>
    <x v="0"/>
  </r>
  <r>
    <x v="2"/>
    <x v="1"/>
    <x v="643"/>
    <x v="4"/>
    <x v="49"/>
    <x v="12"/>
    <x v="2"/>
    <x v="48"/>
    <x v="333"/>
    <x v="2978"/>
    <x v="36"/>
    <x v="36"/>
    <x v="0"/>
  </r>
  <r>
    <x v="2"/>
    <x v="1"/>
    <x v="643"/>
    <x v="4"/>
    <x v="49"/>
    <x v="12"/>
    <x v="1"/>
    <x v="38"/>
    <x v="319"/>
    <x v="2895"/>
    <x v="16"/>
    <x v="16"/>
    <x v="0"/>
  </r>
  <r>
    <x v="2"/>
    <x v="1"/>
    <x v="643"/>
    <x v="4"/>
    <x v="49"/>
    <x v="12"/>
    <x v="5"/>
    <x v="38"/>
    <x v="311"/>
    <x v="2866"/>
    <x v="21"/>
    <x v="21"/>
    <x v="0"/>
  </r>
  <r>
    <x v="2"/>
    <x v="1"/>
    <x v="643"/>
    <x v="4"/>
    <x v="49"/>
    <x v="12"/>
    <x v="4"/>
    <x v="38"/>
    <x v="309"/>
    <x v="2855"/>
    <x v="21"/>
    <x v="21"/>
    <x v="0"/>
  </r>
  <r>
    <x v="2"/>
    <x v="1"/>
    <x v="643"/>
    <x v="4"/>
    <x v="49"/>
    <x v="12"/>
    <x v="0"/>
    <x v="48"/>
    <x v="309"/>
    <x v="2891"/>
    <x v="16"/>
    <x v="16"/>
    <x v="0"/>
  </r>
  <r>
    <x v="2"/>
    <x v="1"/>
    <x v="643"/>
    <x v="4"/>
    <x v="49"/>
    <x v="12"/>
    <x v="3"/>
    <x v="53"/>
    <x v="319"/>
    <x v="2947"/>
    <x v="11"/>
    <x v="11"/>
    <x v="0"/>
  </r>
  <r>
    <x v="2"/>
    <x v="1"/>
    <x v="673"/>
    <x v="4"/>
    <x v="49"/>
    <x v="12"/>
    <x v="2"/>
    <x v="48"/>
    <x v="331"/>
    <x v="2972"/>
    <x v="36"/>
    <x v="36"/>
    <x v="0"/>
  </r>
  <r>
    <x v="2"/>
    <x v="1"/>
    <x v="673"/>
    <x v="4"/>
    <x v="49"/>
    <x v="12"/>
    <x v="1"/>
    <x v="38"/>
    <x v="317"/>
    <x v="2889"/>
    <x v="16"/>
    <x v="16"/>
    <x v="0"/>
  </r>
  <r>
    <x v="2"/>
    <x v="1"/>
    <x v="673"/>
    <x v="4"/>
    <x v="49"/>
    <x v="12"/>
    <x v="5"/>
    <x v="38"/>
    <x v="312"/>
    <x v="2874"/>
    <x v="21"/>
    <x v="21"/>
    <x v="0"/>
  </r>
  <r>
    <x v="2"/>
    <x v="1"/>
    <x v="673"/>
    <x v="4"/>
    <x v="49"/>
    <x v="12"/>
    <x v="4"/>
    <x v="38"/>
    <x v="311"/>
    <x v="2866"/>
    <x v="21"/>
    <x v="21"/>
    <x v="0"/>
  </r>
  <r>
    <x v="2"/>
    <x v="1"/>
    <x v="673"/>
    <x v="4"/>
    <x v="49"/>
    <x v="12"/>
    <x v="0"/>
    <x v="48"/>
    <x v="309"/>
    <x v="2891"/>
    <x v="16"/>
    <x v="16"/>
    <x v="0"/>
  </r>
  <r>
    <x v="2"/>
    <x v="1"/>
    <x v="673"/>
    <x v="4"/>
    <x v="49"/>
    <x v="12"/>
    <x v="3"/>
    <x v="53"/>
    <x v="317"/>
    <x v="2940"/>
    <x v="11"/>
    <x v="11"/>
    <x v="0"/>
  </r>
  <r>
    <x v="2"/>
    <x v="1"/>
    <x v="702"/>
    <x v="4"/>
    <x v="49"/>
    <x v="12"/>
    <x v="2"/>
    <x v="48"/>
    <x v="335"/>
    <x v="2985"/>
    <x v="36"/>
    <x v="36"/>
    <x v="0"/>
  </r>
  <r>
    <x v="2"/>
    <x v="1"/>
    <x v="702"/>
    <x v="4"/>
    <x v="49"/>
    <x v="12"/>
    <x v="1"/>
    <x v="38"/>
    <x v="319"/>
    <x v="2895"/>
    <x v="16"/>
    <x v="16"/>
    <x v="0"/>
  </r>
  <r>
    <x v="1"/>
    <x v="1"/>
    <x v="702"/>
    <x v="4"/>
    <x v="49"/>
    <x v="12"/>
    <x v="5"/>
    <x v="38"/>
    <x v="315"/>
    <x v="2884"/>
    <x v="21"/>
    <x v="21"/>
    <x v="0"/>
  </r>
  <r>
    <x v="1"/>
    <x v="1"/>
    <x v="702"/>
    <x v="4"/>
    <x v="49"/>
    <x v="12"/>
    <x v="4"/>
    <x v="38"/>
    <x v="311"/>
    <x v="2866"/>
    <x v="21"/>
    <x v="21"/>
    <x v="0"/>
  </r>
  <r>
    <x v="1"/>
    <x v="1"/>
    <x v="702"/>
    <x v="4"/>
    <x v="49"/>
    <x v="12"/>
    <x v="0"/>
    <x v="48"/>
    <x v="311"/>
    <x v="2899"/>
    <x v="16"/>
    <x v="16"/>
    <x v="0"/>
  </r>
  <r>
    <x v="1"/>
    <x v="1"/>
    <x v="702"/>
    <x v="4"/>
    <x v="49"/>
    <x v="12"/>
    <x v="3"/>
    <x v="53"/>
    <x v="319"/>
    <x v="2947"/>
    <x v="11"/>
    <x v="11"/>
    <x v="0"/>
  </r>
  <r>
    <x v="1"/>
    <x v="0"/>
    <x v="382"/>
    <x v="4"/>
    <x v="49"/>
    <x v="12"/>
    <x v="2"/>
    <x v="23"/>
    <x v="285"/>
    <x v="2282"/>
    <x v="21"/>
    <x v="21"/>
    <x v="0"/>
  </r>
  <r>
    <x v="1"/>
    <x v="0"/>
    <x v="382"/>
    <x v="4"/>
    <x v="49"/>
    <x v="12"/>
    <x v="1"/>
    <x v="33"/>
    <x v="285"/>
    <x v="2637"/>
    <x v="21"/>
    <x v="21"/>
    <x v="0"/>
  </r>
  <r>
    <x v="1"/>
    <x v="0"/>
    <x v="382"/>
    <x v="4"/>
    <x v="49"/>
    <x v="12"/>
    <x v="5"/>
    <x v="33"/>
    <x v="285"/>
    <x v="2637"/>
    <x v="21"/>
    <x v="21"/>
    <x v="0"/>
  </r>
  <r>
    <x v="1"/>
    <x v="0"/>
    <x v="382"/>
    <x v="4"/>
    <x v="49"/>
    <x v="12"/>
    <x v="4"/>
    <x v="33"/>
    <x v="174"/>
    <x v="1883"/>
    <x v="21"/>
    <x v="21"/>
    <x v="0"/>
  </r>
  <r>
    <x v="1"/>
    <x v="0"/>
    <x v="382"/>
    <x v="4"/>
    <x v="49"/>
    <x v="12"/>
    <x v="0"/>
    <x v="38"/>
    <x v="129"/>
    <x v="1617"/>
    <x v="26"/>
    <x v="26"/>
    <x v="0"/>
  </r>
  <r>
    <x v="1"/>
    <x v="0"/>
    <x v="382"/>
    <x v="4"/>
    <x v="49"/>
    <x v="12"/>
    <x v="3"/>
    <x v="33"/>
    <x v="300"/>
    <x v="2737"/>
    <x v="16"/>
    <x v="16"/>
    <x v="0"/>
  </r>
  <r>
    <x v="1"/>
    <x v="0"/>
    <x v="413"/>
    <x v="4"/>
    <x v="49"/>
    <x v="12"/>
    <x v="2"/>
    <x v="23"/>
    <x v="307"/>
    <x v="2594"/>
    <x v="21"/>
    <x v="21"/>
    <x v="0"/>
  </r>
  <r>
    <x v="1"/>
    <x v="0"/>
    <x v="413"/>
    <x v="4"/>
    <x v="49"/>
    <x v="12"/>
    <x v="1"/>
    <x v="33"/>
    <x v="285"/>
    <x v="2637"/>
    <x v="21"/>
    <x v="21"/>
    <x v="0"/>
  </r>
  <r>
    <x v="1"/>
    <x v="0"/>
    <x v="413"/>
    <x v="4"/>
    <x v="49"/>
    <x v="12"/>
    <x v="5"/>
    <x v="33"/>
    <x v="285"/>
    <x v="2637"/>
    <x v="21"/>
    <x v="21"/>
    <x v="0"/>
  </r>
  <r>
    <x v="1"/>
    <x v="0"/>
    <x v="413"/>
    <x v="3"/>
    <x v="45"/>
    <x v="44"/>
    <x v="4"/>
    <x v="33"/>
    <x v="174"/>
    <x v="1883"/>
    <x v="21"/>
    <x v="21"/>
    <x v="0"/>
  </r>
  <r>
    <x v="1"/>
    <x v="0"/>
    <x v="413"/>
    <x v="3"/>
    <x v="45"/>
    <x v="44"/>
    <x v="0"/>
    <x v="38"/>
    <x v="105"/>
    <x v="1355"/>
    <x v="26"/>
    <x v="26"/>
    <x v="0"/>
  </r>
  <r>
    <x v="1"/>
    <x v="0"/>
    <x v="413"/>
    <x v="3"/>
    <x v="45"/>
    <x v="44"/>
    <x v="3"/>
    <x v="33"/>
    <x v="273"/>
    <x v="2560"/>
    <x v="16"/>
    <x v="16"/>
    <x v="0"/>
  </r>
  <r>
    <x v="1"/>
    <x v="0"/>
    <x v="440"/>
    <x v="3"/>
    <x v="45"/>
    <x v="44"/>
    <x v="2"/>
    <x v="33"/>
    <x v="309"/>
    <x v="2825"/>
    <x v="21"/>
    <x v="21"/>
    <x v="0"/>
  </r>
  <r>
    <x v="1"/>
    <x v="0"/>
    <x v="440"/>
    <x v="3"/>
    <x v="45"/>
    <x v="44"/>
    <x v="1"/>
    <x v="43"/>
    <x v="273"/>
    <x v="2745"/>
    <x v="21"/>
    <x v="21"/>
    <x v="0"/>
  </r>
  <r>
    <x v="1"/>
    <x v="0"/>
    <x v="440"/>
    <x v="3"/>
    <x v="45"/>
    <x v="44"/>
    <x v="5"/>
    <x v="48"/>
    <x v="285"/>
    <x v="2829"/>
    <x v="21"/>
    <x v="21"/>
    <x v="0"/>
  </r>
  <r>
    <x v="1"/>
    <x v="0"/>
    <x v="440"/>
    <x v="3"/>
    <x v="45"/>
    <x v="44"/>
    <x v="4"/>
    <x v="43"/>
    <x v="212"/>
    <x v="2513"/>
    <x v="21"/>
    <x v="21"/>
    <x v="0"/>
  </r>
  <r>
    <x v="1"/>
    <x v="0"/>
    <x v="440"/>
    <x v="3"/>
    <x v="45"/>
    <x v="44"/>
    <x v="0"/>
    <x v="48"/>
    <x v="82"/>
    <x v="1321"/>
    <x v="26"/>
    <x v="26"/>
    <x v="0"/>
  </r>
  <r>
    <x v="1"/>
    <x v="0"/>
    <x v="440"/>
    <x v="3"/>
    <x v="45"/>
    <x v="44"/>
    <x v="3"/>
    <x v="43"/>
    <x v="254"/>
    <x v="2686"/>
    <x v="16"/>
    <x v="16"/>
    <x v="0"/>
  </r>
  <r>
    <x v="1"/>
    <x v="0"/>
    <x v="472"/>
    <x v="3"/>
    <x v="45"/>
    <x v="44"/>
    <x v="2"/>
    <x v="48"/>
    <x v="309"/>
    <x v="2891"/>
    <x v="21"/>
    <x v="21"/>
    <x v="0"/>
  </r>
  <r>
    <x v="1"/>
    <x v="0"/>
    <x v="472"/>
    <x v="3"/>
    <x v="45"/>
    <x v="44"/>
    <x v="1"/>
    <x v="53"/>
    <x v="231"/>
    <x v="2757"/>
    <x v="21"/>
    <x v="21"/>
    <x v="0"/>
  </r>
  <r>
    <x v="1"/>
    <x v="0"/>
    <x v="472"/>
    <x v="3"/>
    <x v="45"/>
    <x v="44"/>
    <x v="5"/>
    <x v="53"/>
    <x v="273"/>
    <x v="2833"/>
    <x v="21"/>
    <x v="21"/>
    <x v="0"/>
  </r>
  <r>
    <x v="1"/>
    <x v="0"/>
    <x v="472"/>
    <x v="3"/>
    <x v="45"/>
    <x v="44"/>
    <x v="4"/>
    <x v="38"/>
    <x v="194"/>
    <x v="2227"/>
    <x v="21"/>
    <x v="21"/>
    <x v="0"/>
  </r>
  <r>
    <x v="1"/>
    <x v="0"/>
    <x v="472"/>
    <x v="3"/>
    <x v="45"/>
    <x v="44"/>
    <x v="0"/>
    <x v="43"/>
    <x v="105"/>
    <x v="1502"/>
    <x v="26"/>
    <x v="26"/>
    <x v="0"/>
  </r>
  <r>
    <x v="1"/>
    <x v="0"/>
    <x v="472"/>
    <x v="3"/>
    <x v="45"/>
    <x v="44"/>
    <x v="3"/>
    <x v="58"/>
    <x v="254"/>
    <x v="2833"/>
    <x v="16"/>
    <x v="16"/>
    <x v="0"/>
  </r>
  <r>
    <x v="1"/>
    <x v="0"/>
    <x v="503"/>
    <x v="3"/>
    <x v="45"/>
    <x v="44"/>
    <x v="2"/>
    <x v="43"/>
    <x v="311"/>
    <x v="2886"/>
    <x v="21"/>
    <x v="21"/>
    <x v="0"/>
  </r>
  <r>
    <x v="1"/>
    <x v="0"/>
    <x v="503"/>
    <x v="3"/>
    <x v="45"/>
    <x v="44"/>
    <x v="1"/>
    <x v="48"/>
    <x v="285"/>
    <x v="2829"/>
    <x v="21"/>
    <x v="21"/>
    <x v="0"/>
  </r>
  <r>
    <x v="1"/>
    <x v="0"/>
    <x v="503"/>
    <x v="3"/>
    <x v="45"/>
    <x v="44"/>
    <x v="5"/>
    <x v="48"/>
    <x v="285"/>
    <x v="2829"/>
    <x v="21"/>
    <x v="21"/>
    <x v="0"/>
  </r>
  <r>
    <x v="1"/>
    <x v="0"/>
    <x v="503"/>
    <x v="3"/>
    <x v="45"/>
    <x v="44"/>
    <x v="4"/>
    <x v="43"/>
    <x v="231"/>
    <x v="2615"/>
    <x v="21"/>
    <x v="21"/>
    <x v="0"/>
  </r>
  <r>
    <x v="1"/>
    <x v="0"/>
    <x v="503"/>
    <x v="3"/>
    <x v="45"/>
    <x v="44"/>
    <x v="0"/>
    <x v="38"/>
    <x v="152"/>
    <x v="1857"/>
    <x v="26"/>
    <x v="26"/>
    <x v="0"/>
  </r>
  <r>
    <x v="1"/>
    <x v="0"/>
    <x v="503"/>
    <x v="3"/>
    <x v="45"/>
    <x v="44"/>
    <x v="3"/>
    <x v="53"/>
    <x v="313"/>
    <x v="2924"/>
    <x v="16"/>
    <x v="16"/>
    <x v="0"/>
  </r>
  <r>
    <x v="1"/>
    <x v="0"/>
    <x v="533"/>
    <x v="3"/>
    <x v="45"/>
    <x v="44"/>
    <x v="2"/>
    <x v="48"/>
    <x v="333"/>
    <x v="2978"/>
    <x v="21"/>
    <x v="21"/>
    <x v="0"/>
  </r>
  <r>
    <x v="1"/>
    <x v="0"/>
    <x v="533"/>
    <x v="3"/>
    <x v="45"/>
    <x v="44"/>
    <x v="1"/>
    <x v="58"/>
    <x v="323"/>
    <x v="2975"/>
    <x v="21"/>
    <x v="21"/>
    <x v="0"/>
  </r>
  <r>
    <x v="1"/>
    <x v="0"/>
    <x v="533"/>
    <x v="3"/>
    <x v="45"/>
    <x v="44"/>
    <x v="5"/>
    <x v="73"/>
    <x v="323"/>
    <x v="3015"/>
    <x v="21"/>
    <x v="21"/>
    <x v="0"/>
  </r>
  <r>
    <x v="1"/>
    <x v="0"/>
    <x v="533"/>
    <x v="3"/>
    <x v="45"/>
    <x v="44"/>
    <x v="4"/>
    <x v="73"/>
    <x v="313"/>
    <x v="2974"/>
    <x v="21"/>
    <x v="21"/>
    <x v="0"/>
  </r>
  <r>
    <x v="1"/>
    <x v="0"/>
    <x v="533"/>
    <x v="3"/>
    <x v="45"/>
    <x v="44"/>
    <x v="0"/>
    <x v="83"/>
    <x v="300"/>
    <x v="2947"/>
    <x v="26"/>
    <x v="26"/>
    <x v="0"/>
  </r>
  <r>
    <x v="1"/>
    <x v="0"/>
    <x v="533"/>
    <x v="3"/>
    <x v="45"/>
    <x v="44"/>
    <x v="3"/>
    <x v="92"/>
    <x v="327"/>
    <x v="3073"/>
    <x v="16"/>
    <x v="16"/>
    <x v="0"/>
  </r>
  <r>
    <x v="1"/>
    <x v="0"/>
    <x v="562"/>
    <x v="3"/>
    <x v="45"/>
    <x v="44"/>
    <x v="2"/>
    <x v="78"/>
    <x v="338"/>
    <x v="3070"/>
    <x v="21"/>
    <x v="21"/>
    <x v="0"/>
  </r>
  <r>
    <x v="1"/>
    <x v="0"/>
    <x v="562"/>
    <x v="3"/>
    <x v="45"/>
    <x v="44"/>
    <x v="1"/>
    <x v="83"/>
    <x v="327"/>
    <x v="3049"/>
    <x v="21"/>
    <x v="21"/>
    <x v="0"/>
  </r>
  <r>
    <x v="1"/>
    <x v="0"/>
    <x v="562"/>
    <x v="3"/>
    <x v="45"/>
    <x v="44"/>
    <x v="5"/>
    <x v="83"/>
    <x v="323"/>
    <x v="3036"/>
    <x v="21"/>
    <x v="21"/>
    <x v="0"/>
  </r>
  <r>
    <x v="1"/>
    <x v="0"/>
    <x v="562"/>
    <x v="3"/>
    <x v="45"/>
    <x v="44"/>
    <x v="4"/>
    <x v="78"/>
    <x v="315"/>
    <x v="2994"/>
    <x v="21"/>
    <x v="21"/>
    <x v="0"/>
  </r>
  <r>
    <x v="1"/>
    <x v="0"/>
    <x v="562"/>
    <x v="3"/>
    <x v="45"/>
    <x v="44"/>
    <x v="0"/>
    <x v="83"/>
    <x v="319"/>
    <x v="3020"/>
    <x v="26"/>
    <x v="26"/>
    <x v="0"/>
  </r>
  <r>
    <x v="1"/>
    <x v="0"/>
    <x v="562"/>
    <x v="3"/>
    <x v="45"/>
    <x v="44"/>
    <x v="3"/>
    <x v="92"/>
    <x v="319"/>
    <x v="3049"/>
    <x v="16"/>
    <x v="16"/>
    <x v="0"/>
  </r>
  <r>
    <x v="1"/>
    <x v="0"/>
    <x v="594"/>
    <x v="3"/>
    <x v="45"/>
    <x v="44"/>
    <x v="2"/>
    <x v="83"/>
    <x v="335"/>
    <x v="3069"/>
    <x v="21"/>
    <x v="21"/>
    <x v="0"/>
  </r>
  <r>
    <x v="1"/>
    <x v="0"/>
    <x v="594"/>
    <x v="3"/>
    <x v="45"/>
    <x v="44"/>
    <x v="1"/>
    <x v="73"/>
    <x v="333"/>
    <x v="3047"/>
    <x v="21"/>
    <x v="21"/>
    <x v="0"/>
  </r>
  <r>
    <x v="1"/>
    <x v="0"/>
    <x v="594"/>
    <x v="3"/>
    <x v="45"/>
    <x v="44"/>
    <x v="5"/>
    <x v="63"/>
    <x v="323"/>
    <x v="2989"/>
    <x v="21"/>
    <x v="21"/>
    <x v="0"/>
  </r>
  <r>
    <x v="1"/>
    <x v="0"/>
    <x v="594"/>
    <x v="3"/>
    <x v="45"/>
    <x v="44"/>
    <x v="4"/>
    <x v="63"/>
    <x v="304"/>
    <x v="2912"/>
    <x v="21"/>
    <x v="21"/>
    <x v="0"/>
  </r>
  <r>
    <x v="1"/>
    <x v="0"/>
    <x v="594"/>
    <x v="3"/>
    <x v="45"/>
    <x v="44"/>
    <x v="0"/>
    <x v="63"/>
    <x v="304"/>
    <x v="2912"/>
    <x v="26"/>
    <x v="26"/>
    <x v="0"/>
  </r>
  <r>
    <x v="1"/>
    <x v="0"/>
    <x v="594"/>
    <x v="3"/>
    <x v="45"/>
    <x v="44"/>
    <x v="3"/>
    <x v="68"/>
    <x v="212"/>
    <x v="2817"/>
    <x v="16"/>
    <x v="16"/>
    <x v="0"/>
  </r>
  <r>
    <x v="1"/>
    <x v="0"/>
    <x v="626"/>
    <x v="3"/>
    <x v="45"/>
    <x v="44"/>
    <x v="2"/>
    <x v="43"/>
    <x v="307"/>
    <x v="2866"/>
    <x v="21"/>
    <x v="21"/>
    <x v="0"/>
  </r>
  <r>
    <x v="1"/>
    <x v="0"/>
    <x v="626"/>
    <x v="3"/>
    <x v="45"/>
    <x v="44"/>
    <x v="1"/>
    <x v="48"/>
    <x v="307"/>
    <x v="2884"/>
    <x v="21"/>
    <x v="21"/>
    <x v="0"/>
  </r>
  <r>
    <x v="1"/>
    <x v="0"/>
    <x v="626"/>
    <x v="3"/>
    <x v="45"/>
    <x v="44"/>
    <x v="5"/>
    <x v="43"/>
    <x v="212"/>
    <x v="2513"/>
    <x v="21"/>
    <x v="21"/>
    <x v="0"/>
  </r>
  <r>
    <x v="1"/>
    <x v="0"/>
    <x v="626"/>
    <x v="3"/>
    <x v="45"/>
    <x v="44"/>
    <x v="4"/>
    <x v="43"/>
    <x v="174"/>
    <x v="2206"/>
    <x v="21"/>
    <x v="21"/>
    <x v="0"/>
  </r>
  <r>
    <x v="1"/>
    <x v="0"/>
    <x v="626"/>
    <x v="3"/>
    <x v="45"/>
    <x v="44"/>
    <x v="0"/>
    <x v="53"/>
    <x v="194"/>
    <x v="2594"/>
    <x v="26"/>
    <x v="26"/>
    <x v="0"/>
  </r>
  <r>
    <x v="1"/>
    <x v="0"/>
    <x v="626"/>
    <x v="3"/>
    <x v="45"/>
    <x v="44"/>
    <x v="3"/>
    <x v="38"/>
    <x v="212"/>
    <x v="2383"/>
    <x v="16"/>
    <x v="16"/>
    <x v="0"/>
  </r>
  <r>
    <x v="1"/>
    <x v="0"/>
    <x v="655"/>
    <x v="3"/>
    <x v="45"/>
    <x v="44"/>
    <x v="2"/>
    <x v="33"/>
    <x v="285"/>
    <x v="2637"/>
    <x v="21"/>
    <x v="21"/>
    <x v="0"/>
  </r>
  <r>
    <x v="1"/>
    <x v="0"/>
    <x v="655"/>
    <x v="3"/>
    <x v="45"/>
    <x v="44"/>
    <x v="1"/>
    <x v="48"/>
    <x v="313"/>
    <x v="2908"/>
    <x v="21"/>
    <x v="21"/>
    <x v="0"/>
  </r>
  <r>
    <x v="1"/>
    <x v="0"/>
    <x v="655"/>
    <x v="3"/>
    <x v="45"/>
    <x v="44"/>
    <x v="5"/>
    <x v="43"/>
    <x v="285"/>
    <x v="2793"/>
    <x v="21"/>
    <x v="21"/>
    <x v="0"/>
  </r>
  <r>
    <x v="1"/>
    <x v="0"/>
    <x v="655"/>
    <x v="3"/>
    <x v="45"/>
    <x v="44"/>
    <x v="4"/>
    <x v="38"/>
    <x v="273"/>
    <x v="2673"/>
    <x v="21"/>
    <x v="21"/>
    <x v="0"/>
  </r>
  <r>
    <x v="1"/>
    <x v="0"/>
    <x v="655"/>
    <x v="3"/>
    <x v="45"/>
    <x v="44"/>
    <x v="0"/>
    <x v="48"/>
    <x v="254"/>
    <x v="2757"/>
    <x v="26"/>
    <x v="26"/>
    <x v="0"/>
  </r>
  <r>
    <x v="1"/>
    <x v="0"/>
    <x v="655"/>
    <x v="3"/>
    <x v="45"/>
    <x v="44"/>
    <x v="3"/>
    <x v="53"/>
    <x v="285"/>
    <x v="2852"/>
    <x v="16"/>
    <x v="16"/>
    <x v="0"/>
  </r>
  <r>
    <x v="1"/>
    <x v="0"/>
    <x v="686"/>
    <x v="3"/>
    <x v="45"/>
    <x v="44"/>
    <x v="2"/>
    <x v="38"/>
    <x v="317"/>
    <x v="2889"/>
    <x v="21"/>
    <x v="21"/>
    <x v="0"/>
  </r>
  <r>
    <x v="1"/>
    <x v="0"/>
    <x v="686"/>
    <x v="3"/>
    <x v="45"/>
    <x v="44"/>
    <x v="1"/>
    <x v="43"/>
    <x v="323"/>
    <x v="2929"/>
    <x v="21"/>
    <x v="21"/>
    <x v="0"/>
  </r>
  <r>
    <x v="1"/>
    <x v="0"/>
    <x v="686"/>
    <x v="3"/>
    <x v="45"/>
    <x v="44"/>
    <x v="5"/>
    <x v="38"/>
    <x v="309"/>
    <x v="2855"/>
    <x v="21"/>
    <x v="21"/>
    <x v="0"/>
  </r>
  <r>
    <x v="1"/>
    <x v="0"/>
    <x v="686"/>
    <x v="3"/>
    <x v="45"/>
    <x v="44"/>
    <x v="4"/>
    <x v="48"/>
    <x v="307"/>
    <x v="2884"/>
    <x v="21"/>
    <x v="21"/>
    <x v="0"/>
  </r>
  <r>
    <x v="1"/>
    <x v="0"/>
    <x v="686"/>
    <x v="3"/>
    <x v="45"/>
    <x v="44"/>
    <x v="0"/>
    <x v="68"/>
    <x v="304"/>
    <x v="2926"/>
    <x v="26"/>
    <x v="26"/>
    <x v="0"/>
  </r>
  <r>
    <x v="1"/>
    <x v="0"/>
    <x v="686"/>
    <x v="3"/>
    <x v="45"/>
    <x v="44"/>
    <x v="3"/>
    <x v="73"/>
    <x v="315"/>
    <x v="2985"/>
    <x v="16"/>
    <x v="16"/>
    <x v="0"/>
  </r>
  <r>
    <x v="1"/>
    <x v="0"/>
    <x v="715"/>
    <x v="3"/>
    <x v="45"/>
    <x v="44"/>
    <x v="2"/>
    <x v="58"/>
    <x v="331"/>
    <x v="3003"/>
    <x v="21"/>
    <x v="21"/>
    <x v="0"/>
  </r>
  <r>
    <x v="1"/>
    <x v="0"/>
    <x v="715"/>
    <x v="3"/>
    <x v="45"/>
    <x v="44"/>
    <x v="1"/>
    <x v="68"/>
    <x v="331"/>
    <x v="3028"/>
    <x v="21"/>
    <x v="21"/>
    <x v="0"/>
  </r>
  <r>
    <x v="3"/>
    <x v="0"/>
    <x v="715"/>
    <x v="3"/>
    <x v="45"/>
    <x v="44"/>
    <x v="5"/>
    <x v="63"/>
    <x v="315"/>
    <x v="2958"/>
    <x v="21"/>
    <x v="21"/>
    <x v="0"/>
  </r>
  <r>
    <x v="3"/>
    <x v="0"/>
    <x v="715"/>
    <x v="3"/>
    <x v="45"/>
    <x v="44"/>
    <x v="4"/>
    <x v="63"/>
    <x v="315"/>
    <x v="2958"/>
    <x v="21"/>
    <x v="21"/>
    <x v="0"/>
  </r>
  <r>
    <x v="3"/>
    <x v="0"/>
    <x v="715"/>
    <x v="3"/>
    <x v="45"/>
    <x v="44"/>
    <x v="0"/>
    <x v="73"/>
    <x v="309"/>
    <x v="2956"/>
    <x v="26"/>
    <x v="26"/>
    <x v="0"/>
  </r>
  <r>
    <x v="3"/>
    <x v="0"/>
    <x v="715"/>
    <x v="3"/>
    <x v="45"/>
    <x v="44"/>
    <x v="3"/>
    <x v="78"/>
    <x v="317"/>
    <x v="3004"/>
    <x v="16"/>
    <x v="16"/>
    <x v="0"/>
  </r>
  <r>
    <x v="3"/>
    <x v="1"/>
    <x v="377"/>
    <x v="3"/>
    <x v="45"/>
    <x v="44"/>
    <x v="2"/>
    <x v="28"/>
    <x v="331"/>
    <x v="2892"/>
    <x v="36"/>
    <x v="36"/>
    <x v="0"/>
  </r>
  <r>
    <x v="3"/>
    <x v="1"/>
    <x v="377"/>
    <x v="3"/>
    <x v="45"/>
    <x v="44"/>
    <x v="1"/>
    <x v="28"/>
    <x v="315"/>
    <x v="2829"/>
    <x v="26"/>
    <x v="26"/>
    <x v="0"/>
  </r>
  <r>
    <x v="3"/>
    <x v="1"/>
    <x v="377"/>
    <x v="3"/>
    <x v="45"/>
    <x v="44"/>
    <x v="5"/>
    <x v="18"/>
    <x v="315"/>
    <x v="2615"/>
    <x v="16"/>
    <x v="16"/>
    <x v="0"/>
  </r>
  <r>
    <x v="3"/>
    <x v="1"/>
    <x v="377"/>
    <x v="3"/>
    <x v="45"/>
    <x v="44"/>
    <x v="4"/>
    <x v="23"/>
    <x v="300"/>
    <x v="2469"/>
    <x v="21"/>
    <x v="21"/>
    <x v="0"/>
  </r>
  <r>
    <x v="3"/>
    <x v="1"/>
    <x v="377"/>
    <x v="3"/>
    <x v="45"/>
    <x v="44"/>
    <x v="0"/>
    <x v="38"/>
    <x v="307"/>
    <x v="2848"/>
    <x v="26"/>
    <x v="26"/>
    <x v="0"/>
  </r>
  <r>
    <x v="3"/>
    <x v="1"/>
    <x v="377"/>
    <x v="3"/>
    <x v="45"/>
    <x v="44"/>
    <x v="3"/>
    <x v="28"/>
    <x v="315"/>
    <x v="2829"/>
    <x v="41"/>
    <x v="41"/>
    <x v="0"/>
  </r>
  <r>
    <x v="3"/>
    <x v="1"/>
    <x v="406"/>
    <x v="3"/>
    <x v="45"/>
    <x v="44"/>
    <x v="2"/>
    <x v="28"/>
    <x v="335"/>
    <x v="2903"/>
    <x v="36"/>
    <x v="36"/>
    <x v="0"/>
  </r>
  <r>
    <x v="3"/>
    <x v="1"/>
    <x v="406"/>
    <x v="3"/>
    <x v="45"/>
    <x v="44"/>
    <x v="1"/>
    <x v="28"/>
    <x v="307"/>
    <x v="2727"/>
    <x v="26"/>
    <x v="26"/>
    <x v="0"/>
  </r>
  <r>
    <x v="3"/>
    <x v="1"/>
    <x v="406"/>
    <x v="3"/>
    <x v="45"/>
    <x v="44"/>
    <x v="5"/>
    <x v="18"/>
    <x v="311"/>
    <x v="2513"/>
    <x v="16"/>
    <x v="16"/>
    <x v="0"/>
  </r>
  <r>
    <x v="3"/>
    <x v="1"/>
    <x v="406"/>
    <x v="0"/>
    <x v="21"/>
    <x v="18"/>
    <x v="4"/>
    <x v="23"/>
    <x v="294"/>
    <x v="2383"/>
    <x v="21"/>
    <x v="21"/>
    <x v="0"/>
  </r>
  <r>
    <x v="3"/>
    <x v="1"/>
    <x v="406"/>
    <x v="0"/>
    <x v="21"/>
    <x v="18"/>
    <x v="0"/>
    <x v="38"/>
    <x v="307"/>
    <x v="2848"/>
    <x v="26"/>
    <x v="26"/>
    <x v="0"/>
  </r>
  <r>
    <x v="3"/>
    <x v="1"/>
    <x v="406"/>
    <x v="0"/>
    <x v="21"/>
    <x v="18"/>
    <x v="3"/>
    <x v="28"/>
    <x v="315"/>
    <x v="2829"/>
    <x v="41"/>
    <x v="41"/>
    <x v="0"/>
  </r>
  <r>
    <x v="3"/>
    <x v="1"/>
    <x v="432"/>
    <x v="0"/>
    <x v="21"/>
    <x v="18"/>
    <x v="2"/>
    <x v="28"/>
    <x v="332"/>
    <x v="2894"/>
    <x v="36"/>
    <x v="36"/>
    <x v="0"/>
  </r>
  <r>
    <x v="3"/>
    <x v="1"/>
    <x v="432"/>
    <x v="0"/>
    <x v="21"/>
    <x v="18"/>
    <x v="1"/>
    <x v="28"/>
    <x v="307"/>
    <x v="2727"/>
    <x v="26"/>
    <x v="26"/>
    <x v="0"/>
  </r>
  <r>
    <x v="3"/>
    <x v="1"/>
    <x v="432"/>
    <x v="0"/>
    <x v="21"/>
    <x v="18"/>
    <x v="5"/>
    <x v="18"/>
    <x v="309"/>
    <x v="2450"/>
    <x v="16"/>
    <x v="16"/>
    <x v="0"/>
  </r>
  <r>
    <x v="3"/>
    <x v="1"/>
    <x v="432"/>
    <x v="0"/>
    <x v="21"/>
    <x v="18"/>
    <x v="4"/>
    <x v="23"/>
    <x v="273"/>
    <x v="2173"/>
    <x v="21"/>
    <x v="21"/>
    <x v="0"/>
  </r>
  <r>
    <x v="3"/>
    <x v="1"/>
    <x v="432"/>
    <x v="0"/>
    <x v="21"/>
    <x v="18"/>
    <x v="0"/>
    <x v="38"/>
    <x v="294"/>
    <x v="2772"/>
    <x v="26"/>
    <x v="26"/>
    <x v="0"/>
  </r>
  <r>
    <x v="3"/>
    <x v="1"/>
    <x v="432"/>
    <x v="0"/>
    <x v="21"/>
    <x v="18"/>
    <x v="3"/>
    <x v="28"/>
    <x v="309"/>
    <x v="2763"/>
    <x v="41"/>
    <x v="41"/>
    <x v="0"/>
  </r>
  <r>
    <x v="3"/>
    <x v="1"/>
    <x v="464"/>
    <x v="0"/>
    <x v="21"/>
    <x v="18"/>
    <x v="2"/>
    <x v="28"/>
    <x v="329"/>
    <x v="2887"/>
    <x v="36"/>
    <x v="36"/>
    <x v="0"/>
  </r>
  <r>
    <x v="3"/>
    <x v="1"/>
    <x v="464"/>
    <x v="0"/>
    <x v="21"/>
    <x v="18"/>
    <x v="1"/>
    <x v="33"/>
    <x v="304"/>
    <x v="2774"/>
    <x v="26"/>
    <x v="26"/>
    <x v="0"/>
  </r>
  <r>
    <x v="3"/>
    <x v="1"/>
    <x v="464"/>
    <x v="0"/>
    <x v="21"/>
    <x v="18"/>
    <x v="5"/>
    <x v="23"/>
    <x v="307"/>
    <x v="2594"/>
    <x v="16"/>
    <x v="16"/>
    <x v="0"/>
  </r>
  <r>
    <x v="3"/>
    <x v="1"/>
    <x v="464"/>
    <x v="0"/>
    <x v="21"/>
    <x v="18"/>
    <x v="4"/>
    <x v="28"/>
    <x v="294"/>
    <x v="2574"/>
    <x v="21"/>
    <x v="21"/>
    <x v="0"/>
  </r>
  <r>
    <x v="3"/>
    <x v="1"/>
    <x v="464"/>
    <x v="0"/>
    <x v="21"/>
    <x v="18"/>
    <x v="0"/>
    <x v="43"/>
    <x v="300"/>
    <x v="2840"/>
    <x v="26"/>
    <x v="26"/>
    <x v="0"/>
  </r>
  <r>
    <x v="3"/>
    <x v="1"/>
    <x v="464"/>
    <x v="0"/>
    <x v="21"/>
    <x v="18"/>
    <x v="3"/>
    <x v="33"/>
    <x v="313"/>
    <x v="2852"/>
    <x v="41"/>
    <x v="41"/>
    <x v="0"/>
  </r>
  <r>
    <x v="3"/>
    <x v="1"/>
    <x v="493"/>
    <x v="0"/>
    <x v="21"/>
    <x v="18"/>
    <x v="2"/>
    <x v="43"/>
    <x v="334"/>
    <x v="2964"/>
    <x v="36"/>
    <x v="36"/>
    <x v="0"/>
  </r>
  <r>
    <x v="3"/>
    <x v="1"/>
    <x v="493"/>
    <x v="0"/>
    <x v="21"/>
    <x v="18"/>
    <x v="1"/>
    <x v="43"/>
    <x v="311"/>
    <x v="2886"/>
    <x v="26"/>
    <x v="26"/>
    <x v="0"/>
  </r>
  <r>
    <x v="3"/>
    <x v="1"/>
    <x v="493"/>
    <x v="0"/>
    <x v="21"/>
    <x v="18"/>
    <x v="5"/>
    <x v="38"/>
    <x v="309"/>
    <x v="2855"/>
    <x v="16"/>
    <x v="16"/>
    <x v="0"/>
  </r>
  <r>
    <x v="3"/>
    <x v="1"/>
    <x v="493"/>
    <x v="0"/>
    <x v="21"/>
    <x v="18"/>
    <x v="4"/>
    <x v="38"/>
    <x v="307"/>
    <x v="2848"/>
    <x v="21"/>
    <x v="21"/>
    <x v="0"/>
  </r>
  <r>
    <x v="3"/>
    <x v="1"/>
    <x v="493"/>
    <x v="0"/>
    <x v="21"/>
    <x v="18"/>
    <x v="0"/>
    <x v="48"/>
    <x v="309"/>
    <x v="2891"/>
    <x v="26"/>
    <x v="26"/>
    <x v="0"/>
  </r>
  <r>
    <x v="3"/>
    <x v="1"/>
    <x v="493"/>
    <x v="0"/>
    <x v="21"/>
    <x v="18"/>
    <x v="3"/>
    <x v="53"/>
    <x v="317"/>
    <x v="2940"/>
    <x v="41"/>
    <x v="41"/>
    <x v="0"/>
  </r>
  <r>
    <x v="3"/>
    <x v="1"/>
    <x v="526"/>
    <x v="0"/>
    <x v="21"/>
    <x v="18"/>
    <x v="2"/>
    <x v="48"/>
    <x v="337"/>
    <x v="2988"/>
    <x v="36"/>
    <x v="36"/>
    <x v="0"/>
  </r>
  <r>
    <x v="3"/>
    <x v="1"/>
    <x v="526"/>
    <x v="0"/>
    <x v="21"/>
    <x v="18"/>
    <x v="1"/>
    <x v="43"/>
    <x v="317"/>
    <x v="2907"/>
    <x v="26"/>
    <x v="26"/>
    <x v="0"/>
  </r>
  <r>
    <x v="3"/>
    <x v="1"/>
    <x v="526"/>
    <x v="0"/>
    <x v="21"/>
    <x v="18"/>
    <x v="5"/>
    <x v="38"/>
    <x v="315"/>
    <x v="2884"/>
    <x v="16"/>
    <x v="16"/>
    <x v="0"/>
  </r>
  <r>
    <x v="3"/>
    <x v="1"/>
    <x v="526"/>
    <x v="0"/>
    <x v="21"/>
    <x v="18"/>
    <x v="4"/>
    <x v="38"/>
    <x v="313"/>
    <x v="2877"/>
    <x v="21"/>
    <x v="21"/>
    <x v="0"/>
  </r>
  <r>
    <x v="3"/>
    <x v="1"/>
    <x v="526"/>
    <x v="0"/>
    <x v="21"/>
    <x v="18"/>
    <x v="0"/>
    <x v="53"/>
    <x v="313"/>
    <x v="2924"/>
    <x v="26"/>
    <x v="26"/>
    <x v="0"/>
  </r>
  <r>
    <x v="3"/>
    <x v="1"/>
    <x v="526"/>
    <x v="0"/>
    <x v="21"/>
    <x v="18"/>
    <x v="3"/>
    <x v="58"/>
    <x v="325"/>
    <x v="2984"/>
    <x v="41"/>
    <x v="41"/>
    <x v="0"/>
  </r>
  <r>
    <x v="3"/>
    <x v="1"/>
    <x v="554"/>
    <x v="0"/>
    <x v="21"/>
    <x v="18"/>
    <x v="2"/>
    <x v="53"/>
    <x v="341"/>
    <x v="3020"/>
    <x v="36"/>
    <x v="36"/>
    <x v="0"/>
  </r>
  <r>
    <x v="3"/>
    <x v="1"/>
    <x v="554"/>
    <x v="0"/>
    <x v="21"/>
    <x v="18"/>
    <x v="1"/>
    <x v="48"/>
    <x v="323"/>
    <x v="2945"/>
    <x v="26"/>
    <x v="26"/>
    <x v="0"/>
  </r>
  <r>
    <x v="3"/>
    <x v="1"/>
    <x v="554"/>
    <x v="0"/>
    <x v="21"/>
    <x v="18"/>
    <x v="5"/>
    <x v="43"/>
    <x v="317"/>
    <x v="2907"/>
    <x v="16"/>
    <x v="16"/>
    <x v="0"/>
  </r>
  <r>
    <x v="3"/>
    <x v="1"/>
    <x v="554"/>
    <x v="0"/>
    <x v="21"/>
    <x v="18"/>
    <x v="4"/>
    <x v="43"/>
    <x v="313"/>
    <x v="2892"/>
    <x v="21"/>
    <x v="21"/>
    <x v="0"/>
  </r>
  <r>
    <x v="3"/>
    <x v="1"/>
    <x v="554"/>
    <x v="0"/>
    <x v="21"/>
    <x v="18"/>
    <x v="0"/>
    <x v="53"/>
    <x v="315"/>
    <x v="2933"/>
    <x v="26"/>
    <x v="26"/>
    <x v="0"/>
  </r>
  <r>
    <x v="3"/>
    <x v="1"/>
    <x v="554"/>
    <x v="0"/>
    <x v="21"/>
    <x v="18"/>
    <x v="3"/>
    <x v="58"/>
    <x v="329"/>
    <x v="2996"/>
    <x v="41"/>
    <x v="41"/>
    <x v="0"/>
  </r>
  <r>
    <x v="3"/>
    <x v="1"/>
    <x v="586"/>
    <x v="0"/>
    <x v="21"/>
    <x v="18"/>
    <x v="2"/>
    <x v="53"/>
    <x v="340"/>
    <x v="3017"/>
    <x v="36"/>
    <x v="36"/>
    <x v="0"/>
  </r>
  <r>
    <x v="3"/>
    <x v="1"/>
    <x v="586"/>
    <x v="0"/>
    <x v="21"/>
    <x v="18"/>
    <x v="1"/>
    <x v="48"/>
    <x v="323"/>
    <x v="2945"/>
    <x v="26"/>
    <x v="26"/>
    <x v="0"/>
  </r>
  <r>
    <x v="3"/>
    <x v="1"/>
    <x v="586"/>
    <x v="0"/>
    <x v="21"/>
    <x v="18"/>
    <x v="5"/>
    <x v="38"/>
    <x v="317"/>
    <x v="2889"/>
    <x v="16"/>
    <x v="16"/>
    <x v="0"/>
  </r>
  <r>
    <x v="3"/>
    <x v="1"/>
    <x v="586"/>
    <x v="0"/>
    <x v="21"/>
    <x v="18"/>
    <x v="4"/>
    <x v="28"/>
    <x v="313"/>
    <x v="2811"/>
    <x v="21"/>
    <x v="21"/>
    <x v="0"/>
  </r>
  <r>
    <x v="3"/>
    <x v="1"/>
    <x v="586"/>
    <x v="0"/>
    <x v="21"/>
    <x v="18"/>
    <x v="0"/>
    <x v="38"/>
    <x v="311"/>
    <x v="2866"/>
    <x v="26"/>
    <x v="26"/>
    <x v="0"/>
  </r>
  <r>
    <x v="3"/>
    <x v="1"/>
    <x v="586"/>
    <x v="0"/>
    <x v="21"/>
    <x v="18"/>
    <x v="3"/>
    <x v="43"/>
    <x v="325"/>
    <x v="2935"/>
    <x v="41"/>
    <x v="41"/>
    <x v="0"/>
  </r>
  <r>
    <x v="3"/>
    <x v="1"/>
    <x v="616"/>
    <x v="0"/>
    <x v="21"/>
    <x v="18"/>
    <x v="2"/>
    <x v="38"/>
    <x v="335"/>
    <x v="2947"/>
    <x v="36"/>
    <x v="36"/>
    <x v="0"/>
  </r>
  <r>
    <x v="3"/>
    <x v="1"/>
    <x v="616"/>
    <x v="0"/>
    <x v="21"/>
    <x v="18"/>
    <x v="1"/>
    <x v="33"/>
    <x v="319"/>
    <x v="2880"/>
    <x v="26"/>
    <x v="26"/>
    <x v="0"/>
  </r>
  <r>
    <x v="3"/>
    <x v="1"/>
    <x v="616"/>
    <x v="0"/>
    <x v="21"/>
    <x v="18"/>
    <x v="5"/>
    <x v="28"/>
    <x v="311"/>
    <x v="2793"/>
    <x v="16"/>
    <x v="16"/>
    <x v="0"/>
  </r>
  <r>
    <x v="3"/>
    <x v="1"/>
    <x v="616"/>
    <x v="0"/>
    <x v="21"/>
    <x v="18"/>
    <x v="4"/>
    <x v="28"/>
    <x v="309"/>
    <x v="2763"/>
    <x v="21"/>
    <x v="21"/>
    <x v="0"/>
  </r>
  <r>
    <x v="3"/>
    <x v="1"/>
    <x v="616"/>
    <x v="0"/>
    <x v="21"/>
    <x v="18"/>
    <x v="0"/>
    <x v="38"/>
    <x v="309"/>
    <x v="2855"/>
    <x v="26"/>
    <x v="26"/>
    <x v="0"/>
  </r>
  <r>
    <x v="3"/>
    <x v="1"/>
    <x v="616"/>
    <x v="0"/>
    <x v="21"/>
    <x v="18"/>
    <x v="3"/>
    <x v="43"/>
    <x v="317"/>
    <x v="2907"/>
    <x v="41"/>
    <x v="41"/>
    <x v="0"/>
  </r>
  <r>
    <x v="3"/>
    <x v="1"/>
    <x v="648"/>
    <x v="0"/>
    <x v="21"/>
    <x v="18"/>
    <x v="2"/>
    <x v="43"/>
    <x v="331"/>
    <x v="2955"/>
    <x v="36"/>
    <x v="36"/>
    <x v="0"/>
  </r>
  <r>
    <x v="3"/>
    <x v="1"/>
    <x v="648"/>
    <x v="0"/>
    <x v="21"/>
    <x v="18"/>
    <x v="1"/>
    <x v="33"/>
    <x v="317"/>
    <x v="2869"/>
    <x v="26"/>
    <x v="26"/>
    <x v="0"/>
  </r>
  <r>
    <x v="3"/>
    <x v="1"/>
    <x v="648"/>
    <x v="0"/>
    <x v="21"/>
    <x v="18"/>
    <x v="5"/>
    <x v="33"/>
    <x v="304"/>
    <x v="2774"/>
    <x v="16"/>
    <x v="16"/>
    <x v="0"/>
  </r>
  <r>
    <x v="3"/>
    <x v="1"/>
    <x v="648"/>
    <x v="0"/>
    <x v="21"/>
    <x v="18"/>
    <x v="4"/>
    <x v="33"/>
    <x v="300"/>
    <x v="2737"/>
    <x v="21"/>
    <x v="21"/>
    <x v="0"/>
  </r>
  <r>
    <x v="3"/>
    <x v="1"/>
    <x v="648"/>
    <x v="0"/>
    <x v="21"/>
    <x v="18"/>
    <x v="0"/>
    <x v="43"/>
    <x v="300"/>
    <x v="2840"/>
    <x v="26"/>
    <x v="26"/>
    <x v="0"/>
  </r>
  <r>
    <x v="3"/>
    <x v="1"/>
    <x v="648"/>
    <x v="0"/>
    <x v="21"/>
    <x v="18"/>
    <x v="3"/>
    <x v="48"/>
    <x v="313"/>
    <x v="2908"/>
    <x v="41"/>
    <x v="41"/>
    <x v="0"/>
  </r>
  <r>
    <x v="3"/>
    <x v="1"/>
    <x v="678"/>
    <x v="0"/>
    <x v="21"/>
    <x v="18"/>
    <x v="2"/>
    <x v="43"/>
    <x v="325"/>
    <x v="2935"/>
    <x v="36"/>
    <x v="36"/>
    <x v="0"/>
  </r>
  <r>
    <x v="3"/>
    <x v="1"/>
    <x v="678"/>
    <x v="0"/>
    <x v="21"/>
    <x v="18"/>
    <x v="1"/>
    <x v="38"/>
    <x v="311"/>
    <x v="2866"/>
    <x v="26"/>
    <x v="26"/>
    <x v="0"/>
  </r>
  <r>
    <x v="3"/>
    <x v="1"/>
    <x v="678"/>
    <x v="0"/>
    <x v="21"/>
    <x v="18"/>
    <x v="5"/>
    <x v="38"/>
    <x v="306"/>
    <x v="2841"/>
    <x v="16"/>
    <x v="16"/>
    <x v="0"/>
  </r>
  <r>
    <x v="3"/>
    <x v="1"/>
    <x v="678"/>
    <x v="0"/>
    <x v="21"/>
    <x v="18"/>
    <x v="4"/>
    <x v="38"/>
    <x v="309"/>
    <x v="2855"/>
    <x v="21"/>
    <x v="21"/>
    <x v="0"/>
  </r>
  <r>
    <x v="3"/>
    <x v="1"/>
    <x v="678"/>
    <x v="0"/>
    <x v="21"/>
    <x v="18"/>
    <x v="0"/>
    <x v="53"/>
    <x v="307"/>
    <x v="2895"/>
    <x v="26"/>
    <x v="26"/>
    <x v="0"/>
  </r>
  <r>
    <x v="3"/>
    <x v="1"/>
    <x v="678"/>
    <x v="0"/>
    <x v="21"/>
    <x v="18"/>
    <x v="3"/>
    <x v="58"/>
    <x v="321"/>
    <x v="2970"/>
    <x v="41"/>
    <x v="41"/>
    <x v="0"/>
  </r>
  <r>
    <x v="3"/>
    <x v="1"/>
    <x v="707"/>
    <x v="0"/>
    <x v="21"/>
    <x v="18"/>
    <x v="2"/>
    <x v="53"/>
    <x v="338"/>
    <x v="3014"/>
    <x v="36"/>
    <x v="36"/>
    <x v="0"/>
  </r>
  <r>
    <x v="3"/>
    <x v="1"/>
    <x v="707"/>
    <x v="0"/>
    <x v="21"/>
    <x v="18"/>
    <x v="1"/>
    <x v="43"/>
    <x v="323"/>
    <x v="2929"/>
    <x v="26"/>
    <x v="26"/>
    <x v="0"/>
  </r>
  <r>
    <x v="1"/>
    <x v="1"/>
    <x v="707"/>
    <x v="0"/>
    <x v="21"/>
    <x v="18"/>
    <x v="5"/>
    <x v="43"/>
    <x v="319"/>
    <x v="2915"/>
    <x v="16"/>
    <x v="16"/>
    <x v="0"/>
  </r>
  <r>
    <x v="1"/>
    <x v="1"/>
    <x v="707"/>
    <x v="0"/>
    <x v="21"/>
    <x v="18"/>
    <x v="4"/>
    <x v="43"/>
    <x v="315"/>
    <x v="2899"/>
    <x v="21"/>
    <x v="21"/>
    <x v="0"/>
  </r>
  <r>
    <x v="1"/>
    <x v="1"/>
    <x v="707"/>
    <x v="0"/>
    <x v="21"/>
    <x v="18"/>
    <x v="0"/>
    <x v="53"/>
    <x v="315"/>
    <x v="2933"/>
    <x v="26"/>
    <x v="26"/>
    <x v="0"/>
  </r>
  <r>
    <x v="1"/>
    <x v="1"/>
    <x v="707"/>
    <x v="0"/>
    <x v="21"/>
    <x v="18"/>
    <x v="3"/>
    <x v="58"/>
    <x v="323"/>
    <x v="2975"/>
    <x v="41"/>
    <x v="41"/>
    <x v="0"/>
  </r>
  <r>
    <x v="1"/>
    <x v="1"/>
    <x v="376"/>
    <x v="0"/>
    <x v="21"/>
    <x v="18"/>
    <x v="2"/>
    <x v="23"/>
    <x v="321"/>
    <x v="2817"/>
    <x v="26"/>
    <x v="26"/>
    <x v="0"/>
  </r>
  <r>
    <x v="1"/>
    <x v="1"/>
    <x v="376"/>
    <x v="0"/>
    <x v="21"/>
    <x v="18"/>
    <x v="1"/>
    <x v="23"/>
    <x v="304"/>
    <x v="2535"/>
    <x v="21"/>
    <x v="21"/>
    <x v="0"/>
  </r>
  <r>
    <x v="1"/>
    <x v="1"/>
    <x v="376"/>
    <x v="0"/>
    <x v="21"/>
    <x v="18"/>
    <x v="5"/>
    <x v="13"/>
    <x v="304"/>
    <x v="1975"/>
    <x v="21"/>
    <x v="21"/>
    <x v="0"/>
  </r>
  <r>
    <x v="1"/>
    <x v="1"/>
    <x v="376"/>
    <x v="0"/>
    <x v="21"/>
    <x v="18"/>
    <x v="4"/>
    <x v="18"/>
    <x v="231"/>
    <x v="1646"/>
    <x v="26"/>
    <x v="26"/>
    <x v="0"/>
  </r>
  <r>
    <x v="1"/>
    <x v="1"/>
    <x v="376"/>
    <x v="0"/>
    <x v="21"/>
    <x v="18"/>
    <x v="0"/>
    <x v="33"/>
    <x v="273"/>
    <x v="2560"/>
    <x v="21"/>
    <x v="21"/>
    <x v="0"/>
  </r>
  <r>
    <x v="1"/>
    <x v="1"/>
    <x v="376"/>
    <x v="0"/>
    <x v="21"/>
    <x v="18"/>
    <x v="3"/>
    <x v="23"/>
    <x v="304"/>
    <x v="2535"/>
    <x v="36"/>
    <x v="36"/>
    <x v="0"/>
  </r>
  <r>
    <x v="1"/>
    <x v="1"/>
    <x v="407"/>
    <x v="0"/>
    <x v="21"/>
    <x v="18"/>
    <x v="2"/>
    <x v="23"/>
    <x v="325"/>
    <x v="2848"/>
    <x v="26"/>
    <x v="26"/>
    <x v="0"/>
  </r>
  <r>
    <x v="1"/>
    <x v="1"/>
    <x v="407"/>
    <x v="0"/>
    <x v="21"/>
    <x v="18"/>
    <x v="1"/>
    <x v="23"/>
    <x v="273"/>
    <x v="2173"/>
    <x v="21"/>
    <x v="21"/>
    <x v="0"/>
  </r>
  <r>
    <x v="1"/>
    <x v="1"/>
    <x v="407"/>
    <x v="0"/>
    <x v="21"/>
    <x v="18"/>
    <x v="5"/>
    <x v="13"/>
    <x v="294"/>
    <x v="1779"/>
    <x v="21"/>
    <x v="21"/>
    <x v="0"/>
  </r>
  <r>
    <x v="1"/>
    <x v="1"/>
    <x v="407"/>
    <x v="0"/>
    <x v="24"/>
    <x v="49"/>
    <x v="4"/>
    <x v="18"/>
    <x v="212"/>
    <x v="1502"/>
    <x v="26"/>
    <x v="26"/>
    <x v="0"/>
  </r>
  <r>
    <x v="1"/>
    <x v="1"/>
    <x v="407"/>
    <x v="0"/>
    <x v="24"/>
    <x v="49"/>
    <x v="0"/>
    <x v="33"/>
    <x v="273"/>
    <x v="2560"/>
    <x v="21"/>
    <x v="21"/>
    <x v="0"/>
  </r>
  <r>
    <x v="1"/>
    <x v="1"/>
    <x v="407"/>
    <x v="0"/>
    <x v="24"/>
    <x v="49"/>
    <x v="3"/>
    <x v="23"/>
    <x v="300"/>
    <x v="2469"/>
    <x v="36"/>
    <x v="36"/>
    <x v="0"/>
  </r>
  <r>
    <x v="1"/>
    <x v="1"/>
    <x v="434"/>
    <x v="0"/>
    <x v="24"/>
    <x v="49"/>
    <x v="2"/>
    <x v="28"/>
    <x v="320"/>
    <x v="2857"/>
    <x v="26"/>
    <x v="26"/>
    <x v="0"/>
  </r>
  <r>
    <x v="1"/>
    <x v="1"/>
    <x v="434"/>
    <x v="0"/>
    <x v="24"/>
    <x v="49"/>
    <x v="1"/>
    <x v="28"/>
    <x v="254"/>
    <x v="2282"/>
    <x v="21"/>
    <x v="21"/>
    <x v="0"/>
  </r>
  <r>
    <x v="1"/>
    <x v="1"/>
    <x v="434"/>
    <x v="0"/>
    <x v="24"/>
    <x v="49"/>
    <x v="5"/>
    <x v="18"/>
    <x v="285"/>
    <x v="2022"/>
    <x v="21"/>
    <x v="21"/>
    <x v="0"/>
  </r>
  <r>
    <x v="1"/>
    <x v="1"/>
    <x v="434"/>
    <x v="0"/>
    <x v="24"/>
    <x v="49"/>
    <x v="4"/>
    <x v="23"/>
    <x v="174"/>
    <x v="1441"/>
    <x v="26"/>
    <x v="26"/>
    <x v="0"/>
  </r>
  <r>
    <x v="1"/>
    <x v="1"/>
    <x v="434"/>
    <x v="0"/>
    <x v="24"/>
    <x v="49"/>
    <x v="0"/>
    <x v="38"/>
    <x v="212"/>
    <x v="2383"/>
    <x v="21"/>
    <x v="21"/>
    <x v="0"/>
  </r>
  <r>
    <x v="1"/>
    <x v="1"/>
    <x v="434"/>
    <x v="0"/>
    <x v="24"/>
    <x v="49"/>
    <x v="3"/>
    <x v="28"/>
    <x v="285"/>
    <x v="2491"/>
    <x v="36"/>
    <x v="36"/>
    <x v="0"/>
  </r>
  <r>
    <x v="1"/>
    <x v="1"/>
    <x v="466"/>
    <x v="0"/>
    <x v="24"/>
    <x v="49"/>
    <x v="2"/>
    <x v="28"/>
    <x v="317"/>
    <x v="2843"/>
    <x v="26"/>
    <x v="26"/>
    <x v="0"/>
  </r>
  <r>
    <x v="1"/>
    <x v="1"/>
    <x v="466"/>
    <x v="0"/>
    <x v="24"/>
    <x v="49"/>
    <x v="1"/>
    <x v="23"/>
    <x v="231"/>
    <x v="1929"/>
    <x v="21"/>
    <x v="21"/>
    <x v="0"/>
  </r>
  <r>
    <x v="1"/>
    <x v="1"/>
    <x v="466"/>
    <x v="0"/>
    <x v="24"/>
    <x v="49"/>
    <x v="5"/>
    <x v="13"/>
    <x v="231"/>
    <x v="1321"/>
    <x v="21"/>
    <x v="21"/>
    <x v="0"/>
  </r>
  <r>
    <x v="1"/>
    <x v="1"/>
    <x v="466"/>
    <x v="0"/>
    <x v="24"/>
    <x v="49"/>
    <x v="4"/>
    <x v="18"/>
    <x v="174"/>
    <x v="1208"/>
    <x v="26"/>
    <x v="26"/>
    <x v="0"/>
  </r>
  <r>
    <x v="1"/>
    <x v="1"/>
    <x v="466"/>
    <x v="0"/>
    <x v="24"/>
    <x v="49"/>
    <x v="0"/>
    <x v="33"/>
    <x v="194"/>
    <x v="2064"/>
    <x v="21"/>
    <x v="21"/>
    <x v="0"/>
  </r>
  <r>
    <x v="1"/>
    <x v="1"/>
    <x v="466"/>
    <x v="0"/>
    <x v="24"/>
    <x v="49"/>
    <x v="3"/>
    <x v="23"/>
    <x v="285"/>
    <x v="2282"/>
    <x v="36"/>
    <x v="36"/>
    <x v="0"/>
  </r>
  <r>
    <x v="1"/>
    <x v="1"/>
    <x v="497"/>
    <x v="0"/>
    <x v="24"/>
    <x v="49"/>
    <x v="2"/>
    <x v="33"/>
    <x v="320"/>
    <x v="2885"/>
    <x v="26"/>
    <x v="26"/>
    <x v="0"/>
  </r>
  <r>
    <x v="1"/>
    <x v="1"/>
    <x v="497"/>
    <x v="0"/>
    <x v="24"/>
    <x v="49"/>
    <x v="1"/>
    <x v="28"/>
    <x v="273"/>
    <x v="2398"/>
    <x v="21"/>
    <x v="21"/>
    <x v="0"/>
  </r>
  <r>
    <x v="1"/>
    <x v="1"/>
    <x v="497"/>
    <x v="0"/>
    <x v="24"/>
    <x v="49"/>
    <x v="5"/>
    <x v="23"/>
    <x v="254"/>
    <x v="2064"/>
    <x v="21"/>
    <x v="21"/>
    <x v="0"/>
  </r>
  <r>
    <x v="1"/>
    <x v="1"/>
    <x v="497"/>
    <x v="0"/>
    <x v="24"/>
    <x v="49"/>
    <x v="4"/>
    <x v="23"/>
    <x v="194"/>
    <x v="1617"/>
    <x v="26"/>
    <x v="26"/>
    <x v="0"/>
  </r>
  <r>
    <x v="1"/>
    <x v="1"/>
    <x v="497"/>
    <x v="0"/>
    <x v="24"/>
    <x v="49"/>
    <x v="0"/>
    <x v="38"/>
    <x v="212"/>
    <x v="2383"/>
    <x v="21"/>
    <x v="21"/>
    <x v="0"/>
  </r>
  <r>
    <x v="1"/>
    <x v="1"/>
    <x v="497"/>
    <x v="0"/>
    <x v="24"/>
    <x v="49"/>
    <x v="3"/>
    <x v="43"/>
    <x v="285"/>
    <x v="2793"/>
    <x v="36"/>
    <x v="36"/>
    <x v="0"/>
  </r>
  <r>
    <x v="1"/>
    <x v="1"/>
    <x v="527"/>
    <x v="0"/>
    <x v="24"/>
    <x v="49"/>
    <x v="2"/>
    <x v="28"/>
    <x v="319"/>
    <x v="2852"/>
    <x v="26"/>
    <x v="26"/>
    <x v="0"/>
  </r>
  <r>
    <x v="1"/>
    <x v="1"/>
    <x v="527"/>
    <x v="0"/>
    <x v="24"/>
    <x v="49"/>
    <x v="1"/>
    <x v="23"/>
    <x v="285"/>
    <x v="2282"/>
    <x v="21"/>
    <x v="21"/>
    <x v="0"/>
  </r>
  <r>
    <x v="1"/>
    <x v="1"/>
    <x v="527"/>
    <x v="0"/>
    <x v="24"/>
    <x v="49"/>
    <x v="5"/>
    <x v="18"/>
    <x v="294"/>
    <x v="2112"/>
    <x v="21"/>
    <x v="21"/>
    <x v="0"/>
  </r>
  <r>
    <x v="1"/>
    <x v="1"/>
    <x v="527"/>
    <x v="0"/>
    <x v="24"/>
    <x v="49"/>
    <x v="4"/>
    <x v="18"/>
    <x v="285"/>
    <x v="2022"/>
    <x v="26"/>
    <x v="26"/>
    <x v="0"/>
  </r>
  <r>
    <x v="1"/>
    <x v="1"/>
    <x v="527"/>
    <x v="0"/>
    <x v="24"/>
    <x v="49"/>
    <x v="0"/>
    <x v="33"/>
    <x v="285"/>
    <x v="2637"/>
    <x v="21"/>
    <x v="21"/>
    <x v="0"/>
  </r>
  <r>
    <x v="1"/>
    <x v="1"/>
    <x v="527"/>
    <x v="0"/>
    <x v="24"/>
    <x v="49"/>
    <x v="3"/>
    <x v="38"/>
    <x v="313"/>
    <x v="2877"/>
    <x v="36"/>
    <x v="36"/>
    <x v="0"/>
  </r>
  <r>
    <x v="1"/>
    <x v="1"/>
    <x v="556"/>
    <x v="0"/>
    <x v="24"/>
    <x v="49"/>
    <x v="2"/>
    <x v="33"/>
    <x v="331"/>
    <x v="2915"/>
    <x v="26"/>
    <x v="26"/>
    <x v="0"/>
  </r>
  <r>
    <x v="1"/>
    <x v="1"/>
    <x v="556"/>
    <x v="0"/>
    <x v="24"/>
    <x v="49"/>
    <x v="1"/>
    <x v="28"/>
    <x v="311"/>
    <x v="2793"/>
    <x v="21"/>
    <x v="21"/>
    <x v="0"/>
  </r>
  <r>
    <x v="1"/>
    <x v="1"/>
    <x v="556"/>
    <x v="0"/>
    <x v="24"/>
    <x v="49"/>
    <x v="5"/>
    <x v="23"/>
    <x v="304"/>
    <x v="2535"/>
    <x v="21"/>
    <x v="21"/>
    <x v="0"/>
  </r>
  <r>
    <x v="1"/>
    <x v="1"/>
    <x v="556"/>
    <x v="0"/>
    <x v="24"/>
    <x v="49"/>
    <x v="4"/>
    <x v="23"/>
    <x v="294"/>
    <x v="2383"/>
    <x v="26"/>
    <x v="26"/>
    <x v="0"/>
  </r>
  <r>
    <x v="1"/>
    <x v="1"/>
    <x v="556"/>
    <x v="0"/>
    <x v="24"/>
    <x v="49"/>
    <x v="0"/>
    <x v="33"/>
    <x v="294"/>
    <x v="2686"/>
    <x v="21"/>
    <x v="21"/>
    <x v="0"/>
  </r>
  <r>
    <x v="1"/>
    <x v="1"/>
    <x v="556"/>
    <x v="0"/>
    <x v="24"/>
    <x v="49"/>
    <x v="3"/>
    <x v="38"/>
    <x v="315"/>
    <x v="2884"/>
    <x v="36"/>
    <x v="36"/>
    <x v="0"/>
  </r>
  <r>
    <x v="1"/>
    <x v="1"/>
    <x v="588"/>
    <x v="0"/>
    <x v="24"/>
    <x v="49"/>
    <x v="2"/>
    <x v="33"/>
    <x v="327"/>
    <x v="2903"/>
    <x v="26"/>
    <x v="26"/>
    <x v="0"/>
  </r>
  <r>
    <x v="1"/>
    <x v="1"/>
    <x v="588"/>
    <x v="0"/>
    <x v="24"/>
    <x v="49"/>
    <x v="1"/>
    <x v="33"/>
    <x v="309"/>
    <x v="2825"/>
    <x v="21"/>
    <x v="21"/>
    <x v="0"/>
  </r>
  <r>
    <x v="1"/>
    <x v="1"/>
    <x v="588"/>
    <x v="0"/>
    <x v="24"/>
    <x v="49"/>
    <x v="5"/>
    <x v="28"/>
    <x v="300"/>
    <x v="2637"/>
    <x v="21"/>
    <x v="21"/>
    <x v="0"/>
  </r>
  <r>
    <x v="1"/>
    <x v="1"/>
    <x v="588"/>
    <x v="0"/>
    <x v="24"/>
    <x v="49"/>
    <x v="4"/>
    <x v="18"/>
    <x v="273"/>
    <x v="1909"/>
    <x v="26"/>
    <x v="26"/>
    <x v="0"/>
  </r>
  <r>
    <x v="1"/>
    <x v="1"/>
    <x v="588"/>
    <x v="0"/>
    <x v="24"/>
    <x v="49"/>
    <x v="0"/>
    <x v="28"/>
    <x v="254"/>
    <x v="2282"/>
    <x v="21"/>
    <x v="21"/>
    <x v="0"/>
  </r>
  <r>
    <x v="1"/>
    <x v="1"/>
    <x v="588"/>
    <x v="0"/>
    <x v="24"/>
    <x v="49"/>
    <x v="3"/>
    <x v="33"/>
    <x v="309"/>
    <x v="2825"/>
    <x v="36"/>
    <x v="36"/>
    <x v="0"/>
  </r>
  <r>
    <x v="1"/>
    <x v="1"/>
    <x v="620"/>
    <x v="0"/>
    <x v="24"/>
    <x v="49"/>
    <x v="2"/>
    <x v="28"/>
    <x v="319"/>
    <x v="2852"/>
    <x v="26"/>
    <x v="26"/>
    <x v="0"/>
  </r>
  <r>
    <x v="1"/>
    <x v="1"/>
    <x v="620"/>
    <x v="0"/>
    <x v="24"/>
    <x v="49"/>
    <x v="1"/>
    <x v="23"/>
    <x v="300"/>
    <x v="2469"/>
    <x v="21"/>
    <x v="21"/>
    <x v="0"/>
  </r>
  <r>
    <x v="1"/>
    <x v="1"/>
    <x v="620"/>
    <x v="0"/>
    <x v="24"/>
    <x v="49"/>
    <x v="5"/>
    <x v="8"/>
    <x v="254"/>
    <x v="1086"/>
    <x v="21"/>
    <x v="21"/>
    <x v="0"/>
  </r>
  <r>
    <x v="1"/>
    <x v="1"/>
    <x v="620"/>
    <x v="0"/>
    <x v="24"/>
    <x v="49"/>
    <x v="4"/>
    <x v="8"/>
    <x v="231"/>
    <x v="982"/>
    <x v="26"/>
    <x v="26"/>
    <x v="0"/>
  </r>
  <r>
    <x v="1"/>
    <x v="1"/>
    <x v="620"/>
    <x v="0"/>
    <x v="24"/>
    <x v="49"/>
    <x v="0"/>
    <x v="18"/>
    <x v="231"/>
    <x v="1646"/>
    <x v="21"/>
    <x v="21"/>
    <x v="0"/>
  </r>
  <r>
    <x v="1"/>
    <x v="1"/>
    <x v="620"/>
    <x v="0"/>
    <x v="24"/>
    <x v="49"/>
    <x v="3"/>
    <x v="23"/>
    <x v="285"/>
    <x v="2282"/>
    <x v="36"/>
    <x v="36"/>
    <x v="0"/>
  </r>
  <r>
    <x v="1"/>
    <x v="1"/>
    <x v="649"/>
    <x v="0"/>
    <x v="24"/>
    <x v="49"/>
    <x v="2"/>
    <x v="28"/>
    <x v="313"/>
    <x v="2811"/>
    <x v="26"/>
    <x v="26"/>
    <x v="0"/>
  </r>
  <r>
    <x v="1"/>
    <x v="1"/>
    <x v="649"/>
    <x v="0"/>
    <x v="24"/>
    <x v="49"/>
    <x v="1"/>
    <x v="18"/>
    <x v="285"/>
    <x v="2022"/>
    <x v="21"/>
    <x v="21"/>
    <x v="0"/>
  </r>
  <r>
    <x v="1"/>
    <x v="1"/>
    <x v="649"/>
    <x v="0"/>
    <x v="24"/>
    <x v="49"/>
    <x v="5"/>
    <x v="18"/>
    <x v="212"/>
    <x v="1502"/>
    <x v="21"/>
    <x v="21"/>
    <x v="0"/>
  </r>
  <r>
    <x v="1"/>
    <x v="1"/>
    <x v="649"/>
    <x v="0"/>
    <x v="24"/>
    <x v="49"/>
    <x v="4"/>
    <x v="18"/>
    <x v="194"/>
    <x v="1355"/>
    <x v="26"/>
    <x v="26"/>
    <x v="0"/>
  </r>
  <r>
    <x v="1"/>
    <x v="1"/>
    <x v="649"/>
    <x v="0"/>
    <x v="24"/>
    <x v="49"/>
    <x v="0"/>
    <x v="28"/>
    <x v="194"/>
    <x v="1857"/>
    <x v="21"/>
    <x v="21"/>
    <x v="0"/>
  </r>
  <r>
    <x v="1"/>
    <x v="1"/>
    <x v="649"/>
    <x v="0"/>
    <x v="24"/>
    <x v="49"/>
    <x v="3"/>
    <x v="33"/>
    <x v="285"/>
    <x v="2637"/>
    <x v="36"/>
    <x v="36"/>
    <x v="0"/>
  </r>
  <r>
    <x v="1"/>
    <x v="1"/>
    <x v="680"/>
    <x v="0"/>
    <x v="24"/>
    <x v="49"/>
    <x v="2"/>
    <x v="28"/>
    <x v="311"/>
    <x v="2793"/>
    <x v="26"/>
    <x v="26"/>
    <x v="0"/>
  </r>
  <r>
    <x v="1"/>
    <x v="1"/>
    <x v="680"/>
    <x v="0"/>
    <x v="24"/>
    <x v="49"/>
    <x v="1"/>
    <x v="18"/>
    <x v="285"/>
    <x v="2022"/>
    <x v="21"/>
    <x v="21"/>
    <x v="0"/>
  </r>
  <r>
    <x v="1"/>
    <x v="1"/>
    <x v="680"/>
    <x v="0"/>
    <x v="24"/>
    <x v="49"/>
    <x v="5"/>
    <x v="18"/>
    <x v="249"/>
    <x v="1752"/>
    <x v="21"/>
    <x v="21"/>
    <x v="0"/>
  </r>
  <r>
    <x v="1"/>
    <x v="1"/>
    <x v="680"/>
    <x v="0"/>
    <x v="24"/>
    <x v="49"/>
    <x v="4"/>
    <x v="18"/>
    <x v="273"/>
    <x v="1909"/>
    <x v="26"/>
    <x v="26"/>
    <x v="0"/>
  </r>
  <r>
    <x v="1"/>
    <x v="1"/>
    <x v="680"/>
    <x v="0"/>
    <x v="24"/>
    <x v="49"/>
    <x v="0"/>
    <x v="38"/>
    <x v="254"/>
    <x v="2594"/>
    <x v="21"/>
    <x v="21"/>
    <x v="0"/>
  </r>
  <r>
    <x v="1"/>
    <x v="1"/>
    <x v="680"/>
    <x v="0"/>
    <x v="24"/>
    <x v="49"/>
    <x v="3"/>
    <x v="43"/>
    <x v="300"/>
    <x v="2840"/>
    <x v="36"/>
    <x v="36"/>
    <x v="0"/>
  </r>
  <r>
    <x v="1"/>
    <x v="1"/>
    <x v="709"/>
    <x v="0"/>
    <x v="24"/>
    <x v="49"/>
    <x v="2"/>
    <x v="38"/>
    <x v="323"/>
    <x v="2910"/>
    <x v="26"/>
    <x v="26"/>
    <x v="0"/>
  </r>
  <r>
    <x v="1"/>
    <x v="1"/>
    <x v="709"/>
    <x v="0"/>
    <x v="24"/>
    <x v="49"/>
    <x v="1"/>
    <x v="28"/>
    <x v="307"/>
    <x v="2727"/>
    <x v="21"/>
    <x v="21"/>
    <x v="0"/>
  </r>
  <r>
    <x v="5"/>
    <x v="1"/>
    <x v="709"/>
    <x v="0"/>
    <x v="24"/>
    <x v="49"/>
    <x v="5"/>
    <x v="28"/>
    <x v="300"/>
    <x v="2637"/>
    <x v="21"/>
    <x v="21"/>
    <x v="0"/>
  </r>
  <r>
    <x v="5"/>
    <x v="1"/>
    <x v="709"/>
    <x v="0"/>
    <x v="24"/>
    <x v="49"/>
    <x v="4"/>
    <x v="28"/>
    <x v="285"/>
    <x v="2491"/>
    <x v="26"/>
    <x v="26"/>
    <x v="0"/>
  </r>
  <r>
    <x v="5"/>
    <x v="1"/>
    <x v="709"/>
    <x v="0"/>
    <x v="24"/>
    <x v="49"/>
    <x v="0"/>
    <x v="38"/>
    <x v="285"/>
    <x v="2727"/>
    <x v="21"/>
    <x v="21"/>
    <x v="0"/>
  </r>
  <r>
    <x v="5"/>
    <x v="1"/>
    <x v="709"/>
    <x v="0"/>
    <x v="24"/>
    <x v="49"/>
    <x v="3"/>
    <x v="43"/>
    <x v="307"/>
    <x v="2866"/>
    <x v="36"/>
    <x v="36"/>
    <x v="0"/>
  </r>
  <r>
    <x v="5"/>
    <x v="1"/>
    <x v="369"/>
    <x v="0"/>
    <x v="24"/>
    <x v="49"/>
    <x v="2"/>
    <x v="18"/>
    <x v="325"/>
    <x v="2772"/>
    <x v="26"/>
    <x v="26"/>
    <x v="0"/>
  </r>
  <r>
    <x v="5"/>
    <x v="1"/>
    <x v="369"/>
    <x v="0"/>
    <x v="24"/>
    <x v="49"/>
    <x v="1"/>
    <x v="18"/>
    <x v="309"/>
    <x v="2450"/>
    <x v="21"/>
    <x v="21"/>
    <x v="0"/>
  </r>
  <r>
    <x v="5"/>
    <x v="1"/>
    <x v="369"/>
    <x v="0"/>
    <x v="24"/>
    <x v="49"/>
    <x v="5"/>
    <x v="8"/>
    <x v="309"/>
    <x v="1700"/>
    <x v="21"/>
    <x v="21"/>
    <x v="0"/>
  </r>
  <r>
    <x v="5"/>
    <x v="1"/>
    <x v="369"/>
    <x v="0"/>
    <x v="24"/>
    <x v="49"/>
    <x v="4"/>
    <x v="13"/>
    <x v="273"/>
    <x v="1568"/>
    <x v="26"/>
    <x v="26"/>
    <x v="0"/>
  </r>
  <r>
    <x v="5"/>
    <x v="1"/>
    <x v="369"/>
    <x v="0"/>
    <x v="24"/>
    <x v="49"/>
    <x v="0"/>
    <x v="28"/>
    <x v="294"/>
    <x v="2574"/>
    <x v="21"/>
    <x v="21"/>
    <x v="0"/>
  </r>
  <r>
    <x v="5"/>
    <x v="1"/>
    <x v="369"/>
    <x v="0"/>
    <x v="24"/>
    <x v="49"/>
    <x v="3"/>
    <x v="18"/>
    <x v="309"/>
    <x v="2450"/>
    <x v="36"/>
    <x v="36"/>
    <x v="0"/>
  </r>
  <r>
    <x v="5"/>
    <x v="1"/>
    <x v="400"/>
    <x v="0"/>
    <x v="24"/>
    <x v="49"/>
    <x v="2"/>
    <x v="18"/>
    <x v="329"/>
    <x v="2806"/>
    <x v="26"/>
    <x v="26"/>
    <x v="0"/>
  </r>
  <r>
    <x v="5"/>
    <x v="1"/>
    <x v="400"/>
    <x v="0"/>
    <x v="24"/>
    <x v="49"/>
    <x v="1"/>
    <x v="18"/>
    <x v="294"/>
    <x v="2112"/>
    <x v="21"/>
    <x v="21"/>
    <x v="0"/>
  </r>
  <r>
    <x v="5"/>
    <x v="1"/>
    <x v="400"/>
    <x v="0"/>
    <x v="24"/>
    <x v="49"/>
    <x v="5"/>
    <x v="8"/>
    <x v="304"/>
    <x v="1535"/>
    <x v="21"/>
    <x v="21"/>
    <x v="0"/>
  </r>
  <r>
    <x v="5"/>
    <x v="1"/>
    <x v="400"/>
    <x v="4"/>
    <x v="43"/>
    <x v="45"/>
    <x v="4"/>
    <x v="13"/>
    <x v="254"/>
    <x v="1441"/>
    <x v="26"/>
    <x v="26"/>
    <x v="0"/>
  </r>
  <r>
    <x v="5"/>
    <x v="1"/>
    <x v="400"/>
    <x v="4"/>
    <x v="43"/>
    <x v="45"/>
    <x v="0"/>
    <x v="28"/>
    <x v="294"/>
    <x v="2574"/>
    <x v="21"/>
    <x v="21"/>
    <x v="0"/>
  </r>
  <r>
    <x v="5"/>
    <x v="1"/>
    <x v="400"/>
    <x v="4"/>
    <x v="43"/>
    <x v="45"/>
    <x v="3"/>
    <x v="18"/>
    <x v="307"/>
    <x v="2383"/>
    <x v="36"/>
    <x v="36"/>
    <x v="0"/>
  </r>
  <r>
    <x v="5"/>
    <x v="1"/>
    <x v="427"/>
    <x v="4"/>
    <x v="43"/>
    <x v="45"/>
    <x v="2"/>
    <x v="23"/>
    <x v="324"/>
    <x v="2842"/>
    <x v="26"/>
    <x v="26"/>
    <x v="0"/>
  </r>
  <r>
    <x v="5"/>
    <x v="1"/>
    <x v="427"/>
    <x v="4"/>
    <x v="43"/>
    <x v="45"/>
    <x v="1"/>
    <x v="23"/>
    <x v="285"/>
    <x v="2282"/>
    <x v="21"/>
    <x v="21"/>
    <x v="0"/>
  </r>
  <r>
    <x v="5"/>
    <x v="1"/>
    <x v="427"/>
    <x v="4"/>
    <x v="43"/>
    <x v="45"/>
    <x v="5"/>
    <x v="13"/>
    <x v="300"/>
    <x v="1883"/>
    <x v="21"/>
    <x v="21"/>
    <x v="0"/>
  </r>
  <r>
    <x v="5"/>
    <x v="1"/>
    <x v="427"/>
    <x v="4"/>
    <x v="43"/>
    <x v="45"/>
    <x v="4"/>
    <x v="18"/>
    <x v="212"/>
    <x v="1502"/>
    <x v="26"/>
    <x v="26"/>
    <x v="0"/>
  </r>
  <r>
    <x v="5"/>
    <x v="1"/>
    <x v="427"/>
    <x v="4"/>
    <x v="43"/>
    <x v="45"/>
    <x v="0"/>
    <x v="33"/>
    <x v="254"/>
    <x v="2469"/>
    <x v="21"/>
    <x v="21"/>
    <x v="0"/>
  </r>
  <r>
    <x v="5"/>
    <x v="1"/>
    <x v="427"/>
    <x v="4"/>
    <x v="43"/>
    <x v="45"/>
    <x v="3"/>
    <x v="23"/>
    <x v="300"/>
    <x v="2469"/>
    <x v="36"/>
    <x v="36"/>
    <x v="0"/>
  </r>
  <r>
    <x v="5"/>
    <x v="1"/>
    <x v="459"/>
    <x v="4"/>
    <x v="43"/>
    <x v="45"/>
    <x v="2"/>
    <x v="23"/>
    <x v="321"/>
    <x v="2817"/>
    <x v="26"/>
    <x v="26"/>
    <x v="0"/>
  </r>
  <r>
    <x v="5"/>
    <x v="1"/>
    <x v="459"/>
    <x v="4"/>
    <x v="43"/>
    <x v="45"/>
    <x v="1"/>
    <x v="18"/>
    <x v="273"/>
    <x v="1909"/>
    <x v="21"/>
    <x v="21"/>
    <x v="0"/>
  </r>
  <r>
    <x v="5"/>
    <x v="1"/>
    <x v="459"/>
    <x v="4"/>
    <x v="43"/>
    <x v="45"/>
    <x v="5"/>
    <x v="8"/>
    <x v="273"/>
    <x v="1175"/>
    <x v="21"/>
    <x v="21"/>
    <x v="0"/>
  </r>
  <r>
    <x v="5"/>
    <x v="1"/>
    <x v="459"/>
    <x v="4"/>
    <x v="43"/>
    <x v="45"/>
    <x v="4"/>
    <x v="13"/>
    <x v="212"/>
    <x v="1208"/>
    <x v="26"/>
    <x v="26"/>
    <x v="0"/>
  </r>
  <r>
    <x v="5"/>
    <x v="1"/>
    <x v="459"/>
    <x v="4"/>
    <x v="43"/>
    <x v="45"/>
    <x v="0"/>
    <x v="28"/>
    <x v="231"/>
    <x v="2158"/>
    <x v="21"/>
    <x v="21"/>
    <x v="0"/>
  </r>
  <r>
    <x v="5"/>
    <x v="1"/>
    <x v="459"/>
    <x v="4"/>
    <x v="43"/>
    <x v="45"/>
    <x v="3"/>
    <x v="18"/>
    <x v="300"/>
    <x v="2206"/>
    <x v="36"/>
    <x v="36"/>
    <x v="0"/>
  </r>
  <r>
    <x v="5"/>
    <x v="1"/>
    <x v="490"/>
    <x v="4"/>
    <x v="43"/>
    <x v="45"/>
    <x v="2"/>
    <x v="28"/>
    <x v="324"/>
    <x v="2875"/>
    <x v="26"/>
    <x v="26"/>
    <x v="0"/>
  </r>
  <r>
    <x v="5"/>
    <x v="1"/>
    <x v="490"/>
    <x v="4"/>
    <x v="43"/>
    <x v="45"/>
    <x v="1"/>
    <x v="23"/>
    <x v="294"/>
    <x v="2383"/>
    <x v="21"/>
    <x v="21"/>
    <x v="0"/>
  </r>
  <r>
    <x v="5"/>
    <x v="1"/>
    <x v="490"/>
    <x v="4"/>
    <x v="43"/>
    <x v="45"/>
    <x v="5"/>
    <x v="18"/>
    <x v="285"/>
    <x v="2022"/>
    <x v="21"/>
    <x v="21"/>
    <x v="0"/>
  </r>
  <r>
    <x v="5"/>
    <x v="1"/>
    <x v="490"/>
    <x v="4"/>
    <x v="43"/>
    <x v="45"/>
    <x v="4"/>
    <x v="18"/>
    <x v="231"/>
    <x v="1646"/>
    <x v="26"/>
    <x v="26"/>
    <x v="0"/>
  </r>
  <r>
    <x v="5"/>
    <x v="1"/>
    <x v="490"/>
    <x v="4"/>
    <x v="43"/>
    <x v="45"/>
    <x v="0"/>
    <x v="33"/>
    <x v="254"/>
    <x v="2469"/>
    <x v="21"/>
    <x v="21"/>
    <x v="0"/>
  </r>
  <r>
    <x v="5"/>
    <x v="1"/>
    <x v="490"/>
    <x v="4"/>
    <x v="43"/>
    <x v="45"/>
    <x v="3"/>
    <x v="38"/>
    <x v="300"/>
    <x v="2805"/>
    <x v="36"/>
    <x v="36"/>
    <x v="0"/>
  </r>
  <r>
    <x v="5"/>
    <x v="1"/>
    <x v="520"/>
    <x v="4"/>
    <x v="43"/>
    <x v="45"/>
    <x v="2"/>
    <x v="23"/>
    <x v="323"/>
    <x v="2833"/>
    <x v="26"/>
    <x v="26"/>
    <x v="0"/>
  </r>
  <r>
    <x v="5"/>
    <x v="1"/>
    <x v="520"/>
    <x v="4"/>
    <x v="43"/>
    <x v="45"/>
    <x v="1"/>
    <x v="18"/>
    <x v="300"/>
    <x v="2206"/>
    <x v="21"/>
    <x v="21"/>
    <x v="0"/>
  </r>
  <r>
    <x v="5"/>
    <x v="1"/>
    <x v="520"/>
    <x v="4"/>
    <x v="43"/>
    <x v="45"/>
    <x v="5"/>
    <x v="13"/>
    <x v="304"/>
    <x v="1975"/>
    <x v="21"/>
    <x v="21"/>
    <x v="0"/>
  </r>
  <r>
    <x v="5"/>
    <x v="1"/>
    <x v="520"/>
    <x v="4"/>
    <x v="43"/>
    <x v="45"/>
    <x v="4"/>
    <x v="13"/>
    <x v="300"/>
    <x v="1883"/>
    <x v="26"/>
    <x v="26"/>
    <x v="0"/>
  </r>
  <r>
    <x v="5"/>
    <x v="1"/>
    <x v="520"/>
    <x v="4"/>
    <x v="43"/>
    <x v="45"/>
    <x v="0"/>
    <x v="28"/>
    <x v="300"/>
    <x v="2637"/>
    <x v="21"/>
    <x v="21"/>
    <x v="0"/>
  </r>
  <r>
    <x v="5"/>
    <x v="1"/>
    <x v="520"/>
    <x v="4"/>
    <x v="43"/>
    <x v="45"/>
    <x v="3"/>
    <x v="33"/>
    <x v="317"/>
    <x v="2869"/>
    <x v="36"/>
    <x v="36"/>
    <x v="0"/>
  </r>
  <r>
    <x v="5"/>
    <x v="1"/>
    <x v="549"/>
    <x v="4"/>
    <x v="43"/>
    <x v="45"/>
    <x v="2"/>
    <x v="28"/>
    <x v="335"/>
    <x v="2903"/>
    <x v="26"/>
    <x v="26"/>
    <x v="0"/>
  </r>
  <r>
    <x v="5"/>
    <x v="1"/>
    <x v="549"/>
    <x v="4"/>
    <x v="43"/>
    <x v="45"/>
    <x v="1"/>
    <x v="23"/>
    <x v="315"/>
    <x v="2757"/>
    <x v="21"/>
    <x v="21"/>
    <x v="0"/>
  </r>
  <r>
    <x v="5"/>
    <x v="1"/>
    <x v="549"/>
    <x v="4"/>
    <x v="43"/>
    <x v="45"/>
    <x v="5"/>
    <x v="18"/>
    <x v="309"/>
    <x v="2450"/>
    <x v="21"/>
    <x v="21"/>
    <x v="0"/>
  </r>
  <r>
    <x v="5"/>
    <x v="1"/>
    <x v="549"/>
    <x v="4"/>
    <x v="43"/>
    <x v="45"/>
    <x v="4"/>
    <x v="18"/>
    <x v="304"/>
    <x v="2299"/>
    <x v="26"/>
    <x v="26"/>
    <x v="0"/>
  </r>
  <r>
    <x v="5"/>
    <x v="1"/>
    <x v="549"/>
    <x v="4"/>
    <x v="43"/>
    <x v="45"/>
    <x v="0"/>
    <x v="28"/>
    <x v="304"/>
    <x v="2682"/>
    <x v="21"/>
    <x v="21"/>
    <x v="0"/>
  </r>
  <r>
    <x v="5"/>
    <x v="1"/>
    <x v="549"/>
    <x v="4"/>
    <x v="43"/>
    <x v="45"/>
    <x v="3"/>
    <x v="33"/>
    <x v="319"/>
    <x v="2880"/>
    <x v="36"/>
    <x v="36"/>
    <x v="0"/>
  </r>
  <r>
    <x v="5"/>
    <x v="1"/>
    <x v="581"/>
    <x v="4"/>
    <x v="43"/>
    <x v="45"/>
    <x v="2"/>
    <x v="28"/>
    <x v="331"/>
    <x v="2892"/>
    <x v="26"/>
    <x v="26"/>
    <x v="0"/>
  </r>
  <r>
    <x v="5"/>
    <x v="1"/>
    <x v="581"/>
    <x v="4"/>
    <x v="43"/>
    <x v="45"/>
    <x v="1"/>
    <x v="28"/>
    <x v="313"/>
    <x v="2811"/>
    <x v="21"/>
    <x v="21"/>
    <x v="0"/>
  </r>
  <r>
    <x v="5"/>
    <x v="1"/>
    <x v="581"/>
    <x v="4"/>
    <x v="43"/>
    <x v="45"/>
    <x v="5"/>
    <x v="23"/>
    <x v="307"/>
    <x v="2594"/>
    <x v="21"/>
    <x v="21"/>
    <x v="0"/>
  </r>
  <r>
    <x v="5"/>
    <x v="1"/>
    <x v="581"/>
    <x v="4"/>
    <x v="43"/>
    <x v="45"/>
    <x v="4"/>
    <x v="13"/>
    <x v="294"/>
    <x v="1779"/>
    <x v="26"/>
    <x v="26"/>
    <x v="0"/>
  </r>
  <r>
    <x v="5"/>
    <x v="1"/>
    <x v="581"/>
    <x v="4"/>
    <x v="43"/>
    <x v="45"/>
    <x v="0"/>
    <x v="23"/>
    <x v="285"/>
    <x v="2282"/>
    <x v="21"/>
    <x v="21"/>
    <x v="0"/>
  </r>
  <r>
    <x v="5"/>
    <x v="1"/>
    <x v="581"/>
    <x v="4"/>
    <x v="43"/>
    <x v="45"/>
    <x v="3"/>
    <x v="28"/>
    <x v="313"/>
    <x v="2811"/>
    <x v="36"/>
    <x v="36"/>
    <x v="0"/>
  </r>
  <r>
    <x v="5"/>
    <x v="1"/>
    <x v="613"/>
    <x v="4"/>
    <x v="43"/>
    <x v="45"/>
    <x v="2"/>
    <x v="23"/>
    <x v="323"/>
    <x v="2833"/>
    <x v="26"/>
    <x v="26"/>
    <x v="0"/>
  </r>
  <r>
    <x v="5"/>
    <x v="1"/>
    <x v="613"/>
    <x v="4"/>
    <x v="43"/>
    <x v="45"/>
    <x v="1"/>
    <x v="18"/>
    <x v="307"/>
    <x v="2383"/>
    <x v="21"/>
    <x v="21"/>
    <x v="0"/>
  </r>
  <r>
    <x v="5"/>
    <x v="1"/>
    <x v="613"/>
    <x v="4"/>
    <x v="43"/>
    <x v="45"/>
    <x v="5"/>
    <x v="3"/>
    <x v="285"/>
    <x v="821"/>
    <x v="21"/>
    <x v="21"/>
    <x v="0"/>
  </r>
  <r>
    <x v="5"/>
    <x v="1"/>
    <x v="613"/>
    <x v="4"/>
    <x v="43"/>
    <x v="45"/>
    <x v="4"/>
    <x v="3"/>
    <x v="273"/>
    <x v="751"/>
    <x v="26"/>
    <x v="26"/>
    <x v="0"/>
  </r>
  <r>
    <x v="5"/>
    <x v="1"/>
    <x v="613"/>
    <x v="4"/>
    <x v="43"/>
    <x v="45"/>
    <x v="0"/>
    <x v="13"/>
    <x v="273"/>
    <x v="1568"/>
    <x v="21"/>
    <x v="21"/>
    <x v="0"/>
  </r>
  <r>
    <x v="5"/>
    <x v="1"/>
    <x v="613"/>
    <x v="4"/>
    <x v="43"/>
    <x v="45"/>
    <x v="3"/>
    <x v="18"/>
    <x v="300"/>
    <x v="2206"/>
    <x v="36"/>
    <x v="36"/>
    <x v="0"/>
  </r>
  <r>
    <x v="5"/>
    <x v="1"/>
    <x v="642"/>
    <x v="4"/>
    <x v="43"/>
    <x v="45"/>
    <x v="2"/>
    <x v="23"/>
    <x v="317"/>
    <x v="2783"/>
    <x v="26"/>
    <x v="26"/>
    <x v="0"/>
  </r>
  <r>
    <x v="5"/>
    <x v="1"/>
    <x v="642"/>
    <x v="4"/>
    <x v="43"/>
    <x v="45"/>
    <x v="1"/>
    <x v="13"/>
    <x v="300"/>
    <x v="1883"/>
    <x v="21"/>
    <x v="21"/>
    <x v="0"/>
  </r>
  <r>
    <x v="5"/>
    <x v="1"/>
    <x v="642"/>
    <x v="4"/>
    <x v="43"/>
    <x v="45"/>
    <x v="5"/>
    <x v="13"/>
    <x v="254"/>
    <x v="1441"/>
    <x v="21"/>
    <x v="21"/>
    <x v="0"/>
  </r>
  <r>
    <x v="5"/>
    <x v="1"/>
    <x v="642"/>
    <x v="4"/>
    <x v="43"/>
    <x v="45"/>
    <x v="4"/>
    <x v="13"/>
    <x v="231"/>
    <x v="1321"/>
    <x v="26"/>
    <x v="26"/>
    <x v="0"/>
  </r>
  <r>
    <x v="5"/>
    <x v="1"/>
    <x v="642"/>
    <x v="4"/>
    <x v="43"/>
    <x v="45"/>
    <x v="0"/>
    <x v="23"/>
    <x v="231"/>
    <x v="1929"/>
    <x v="21"/>
    <x v="21"/>
    <x v="0"/>
  </r>
  <r>
    <x v="5"/>
    <x v="1"/>
    <x v="642"/>
    <x v="4"/>
    <x v="43"/>
    <x v="45"/>
    <x v="3"/>
    <x v="28"/>
    <x v="300"/>
    <x v="2637"/>
    <x v="36"/>
    <x v="36"/>
    <x v="0"/>
  </r>
  <r>
    <x v="5"/>
    <x v="1"/>
    <x v="673"/>
    <x v="4"/>
    <x v="43"/>
    <x v="45"/>
    <x v="2"/>
    <x v="23"/>
    <x v="315"/>
    <x v="2757"/>
    <x v="26"/>
    <x v="26"/>
    <x v="0"/>
  </r>
  <r>
    <x v="5"/>
    <x v="1"/>
    <x v="673"/>
    <x v="4"/>
    <x v="43"/>
    <x v="45"/>
    <x v="1"/>
    <x v="13"/>
    <x v="300"/>
    <x v="1883"/>
    <x v="21"/>
    <x v="21"/>
    <x v="0"/>
  </r>
  <r>
    <x v="5"/>
    <x v="1"/>
    <x v="673"/>
    <x v="4"/>
    <x v="43"/>
    <x v="45"/>
    <x v="5"/>
    <x v="13"/>
    <x v="282"/>
    <x v="1652"/>
    <x v="21"/>
    <x v="21"/>
    <x v="0"/>
  </r>
  <r>
    <x v="5"/>
    <x v="1"/>
    <x v="673"/>
    <x v="4"/>
    <x v="43"/>
    <x v="45"/>
    <x v="4"/>
    <x v="13"/>
    <x v="294"/>
    <x v="1779"/>
    <x v="26"/>
    <x v="26"/>
    <x v="0"/>
  </r>
  <r>
    <x v="5"/>
    <x v="1"/>
    <x v="673"/>
    <x v="4"/>
    <x v="43"/>
    <x v="45"/>
    <x v="0"/>
    <x v="33"/>
    <x v="285"/>
    <x v="2637"/>
    <x v="21"/>
    <x v="21"/>
    <x v="0"/>
  </r>
  <r>
    <x v="5"/>
    <x v="1"/>
    <x v="673"/>
    <x v="4"/>
    <x v="43"/>
    <x v="45"/>
    <x v="3"/>
    <x v="38"/>
    <x v="307"/>
    <x v="2848"/>
    <x v="36"/>
    <x v="36"/>
    <x v="0"/>
  </r>
  <r>
    <x v="5"/>
    <x v="1"/>
    <x v="702"/>
    <x v="4"/>
    <x v="43"/>
    <x v="45"/>
    <x v="2"/>
    <x v="33"/>
    <x v="327"/>
    <x v="2903"/>
    <x v="26"/>
    <x v="26"/>
    <x v="0"/>
  </r>
  <r>
    <x v="5"/>
    <x v="1"/>
    <x v="702"/>
    <x v="4"/>
    <x v="43"/>
    <x v="45"/>
    <x v="1"/>
    <x v="23"/>
    <x v="311"/>
    <x v="2686"/>
    <x v="21"/>
    <x v="21"/>
    <x v="0"/>
  </r>
  <r>
    <x v="5"/>
    <x v="1"/>
    <x v="702"/>
    <x v="4"/>
    <x v="43"/>
    <x v="45"/>
    <x v="5"/>
    <x v="23"/>
    <x v="307"/>
    <x v="2594"/>
    <x v="21"/>
    <x v="21"/>
    <x v="0"/>
  </r>
  <r>
    <x v="5"/>
    <x v="1"/>
    <x v="702"/>
    <x v="4"/>
    <x v="43"/>
    <x v="45"/>
    <x v="4"/>
    <x v="23"/>
    <x v="300"/>
    <x v="2469"/>
    <x v="26"/>
    <x v="26"/>
    <x v="0"/>
  </r>
  <r>
    <x v="5"/>
    <x v="1"/>
    <x v="702"/>
    <x v="4"/>
    <x v="43"/>
    <x v="45"/>
    <x v="0"/>
    <x v="33"/>
    <x v="300"/>
    <x v="2737"/>
    <x v="21"/>
    <x v="21"/>
    <x v="0"/>
  </r>
  <r>
    <x v="5"/>
    <x v="1"/>
    <x v="702"/>
    <x v="4"/>
    <x v="43"/>
    <x v="45"/>
    <x v="3"/>
    <x v="38"/>
    <x v="311"/>
    <x v="2866"/>
    <x v="36"/>
    <x v="36"/>
    <x v="0"/>
  </r>
  <r>
    <x v="5"/>
    <x v="0"/>
    <x v="382"/>
    <x v="4"/>
    <x v="43"/>
    <x v="45"/>
    <x v="2"/>
    <x v="23"/>
    <x v="285"/>
    <x v="2282"/>
    <x v="21"/>
    <x v="21"/>
    <x v="0"/>
  </r>
  <r>
    <x v="5"/>
    <x v="0"/>
    <x v="382"/>
    <x v="4"/>
    <x v="43"/>
    <x v="45"/>
    <x v="1"/>
    <x v="33"/>
    <x v="285"/>
    <x v="2637"/>
    <x v="21"/>
    <x v="21"/>
    <x v="0"/>
  </r>
  <r>
    <x v="5"/>
    <x v="0"/>
    <x v="382"/>
    <x v="4"/>
    <x v="43"/>
    <x v="45"/>
    <x v="5"/>
    <x v="33"/>
    <x v="285"/>
    <x v="2637"/>
    <x v="21"/>
    <x v="21"/>
    <x v="0"/>
  </r>
  <r>
    <x v="5"/>
    <x v="0"/>
    <x v="382"/>
    <x v="4"/>
    <x v="43"/>
    <x v="45"/>
    <x v="4"/>
    <x v="33"/>
    <x v="174"/>
    <x v="1883"/>
    <x v="21"/>
    <x v="21"/>
    <x v="0"/>
  </r>
  <r>
    <x v="5"/>
    <x v="0"/>
    <x v="382"/>
    <x v="4"/>
    <x v="43"/>
    <x v="45"/>
    <x v="0"/>
    <x v="38"/>
    <x v="129"/>
    <x v="1617"/>
    <x v="26"/>
    <x v="26"/>
    <x v="0"/>
  </r>
  <r>
    <x v="5"/>
    <x v="0"/>
    <x v="382"/>
    <x v="4"/>
    <x v="43"/>
    <x v="45"/>
    <x v="3"/>
    <x v="33"/>
    <x v="300"/>
    <x v="2737"/>
    <x v="16"/>
    <x v="16"/>
    <x v="0"/>
  </r>
  <r>
    <x v="5"/>
    <x v="0"/>
    <x v="413"/>
    <x v="4"/>
    <x v="43"/>
    <x v="45"/>
    <x v="2"/>
    <x v="23"/>
    <x v="307"/>
    <x v="2594"/>
    <x v="21"/>
    <x v="21"/>
    <x v="0"/>
  </r>
  <r>
    <x v="5"/>
    <x v="0"/>
    <x v="413"/>
    <x v="4"/>
    <x v="43"/>
    <x v="45"/>
    <x v="1"/>
    <x v="33"/>
    <x v="285"/>
    <x v="2637"/>
    <x v="21"/>
    <x v="21"/>
    <x v="0"/>
  </r>
  <r>
    <x v="5"/>
    <x v="0"/>
    <x v="413"/>
    <x v="4"/>
    <x v="43"/>
    <x v="45"/>
    <x v="5"/>
    <x v="33"/>
    <x v="285"/>
    <x v="2637"/>
    <x v="21"/>
    <x v="21"/>
    <x v="0"/>
  </r>
  <r>
    <x v="5"/>
    <x v="0"/>
    <x v="413"/>
    <x v="4"/>
    <x v="36"/>
    <x v="42"/>
    <x v="4"/>
    <x v="33"/>
    <x v="174"/>
    <x v="1883"/>
    <x v="21"/>
    <x v="21"/>
    <x v="0"/>
  </r>
  <r>
    <x v="5"/>
    <x v="0"/>
    <x v="413"/>
    <x v="4"/>
    <x v="36"/>
    <x v="42"/>
    <x v="0"/>
    <x v="38"/>
    <x v="105"/>
    <x v="1355"/>
    <x v="26"/>
    <x v="26"/>
    <x v="0"/>
  </r>
  <r>
    <x v="5"/>
    <x v="0"/>
    <x v="413"/>
    <x v="4"/>
    <x v="36"/>
    <x v="42"/>
    <x v="3"/>
    <x v="33"/>
    <x v="273"/>
    <x v="2560"/>
    <x v="16"/>
    <x v="16"/>
    <x v="0"/>
  </r>
  <r>
    <x v="5"/>
    <x v="0"/>
    <x v="440"/>
    <x v="4"/>
    <x v="36"/>
    <x v="42"/>
    <x v="2"/>
    <x v="33"/>
    <x v="309"/>
    <x v="2825"/>
    <x v="21"/>
    <x v="21"/>
    <x v="0"/>
  </r>
  <r>
    <x v="5"/>
    <x v="0"/>
    <x v="440"/>
    <x v="4"/>
    <x v="36"/>
    <x v="42"/>
    <x v="1"/>
    <x v="43"/>
    <x v="273"/>
    <x v="2745"/>
    <x v="21"/>
    <x v="21"/>
    <x v="0"/>
  </r>
  <r>
    <x v="5"/>
    <x v="0"/>
    <x v="440"/>
    <x v="4"/>
    <x v="36"/>
    <x v="42"/>
    <x v="5"/>
    <x v="48"/>
    <x v="285"/>
    <x v="2829"/>
    <x v="21"/>
    <x v="21"/>
    <x v="0"/>
  </r>
  <r>
    <x v="5"/>
    <x v="0"/>
    <x v="440"/>
    <x v="4"/>
    <x v="36"/>
    <x v="42"/>
    <x v="4"/>
    <x v="43"/>
    <x v="212"/>
    <x v="2513"/>
    <x v="21"/>
    <x v="21"/>
    <x v="0"/>
  </r>
  <r>
    <x v="5"/>
    <x v="0"/>
    <x v="440"/>
    <x v="4"/>
    <x v="36"/>
    <x v="42"/>
    <x v="0"/>
    <x v="48"/>
    <x v="82"/>
    <x v="1321"/>
    <x v="26"/>
    <x v="26"/>
    <x v="0"/>
  </r>
  <r>
    <x v="5"/>
    <x v="0"/>
    <x v="440"/>
    <x v="4"/>
    <x v="36"/>
    <x v="42"/>
    <x v="3"/>
    <x v="43"/>
    <x v="254"/>
    <x v="2686"/>
    <x v="16"/>
    <x v="16"/>
    <x v="0"/>
  </r>
  <r>
    <x v="5"/>
    <x v="0"/>
    <x v="472"/>
    <x v="4"/>
    <x v="36"/>
    <x v="42"/>
    <x v="2"/>
    <x v="48"/>
    <x v="309"/>
    <x v="2891"/>
    <x v="21"/>
    <x v="21"/>
    <x v="0"/>
  </r>
  <r>
    <x v="5"/>
    <x v="0"/>
    <x v="472"/>
    <x v="4"/>
    <x v="36"/>
    <x v="42"/>
    <x v="1"/>
    <x v="53"/>
    <x v="231"/>
    <x v="2757"/>
    <x v="21"/>
    <x v="21"/>
    <x v="0"/>
  </r>
  <r>
    <x v="5"/>
    <x v="0"/>
    <x v="472"/>
    <x v="4"/>
    <x v="36"/>
    <x v="42"/>
    <x v="5"/>
    <x v="53"/>
    <x v="273"/>
    <x v="2833"/>
    <x v="21"/>
    <x v="21"/>
    <x v="0"/>
  </r>
  <r>
    <x v="5"/>
    <x v="0"/>
    <x v="472"/>
    <x v="4"/>
    <x v="36"/>
    <x v="42"/>
    <x v="4"/>
    <x v="38"/>
    <x v="194"/>
    <x v="2227"/>
    <x v="21"/>
    <x v="21"/>
    <x v="0"/>
  </r>
  <r>
    <x v="5"/>
    <x v="0"/>
    <x v="472"/>
    <x v="4"/>
    <x v="36"/>
    <x v="42"/>
    <x v="0"/>
    <x v="43"/>
    <x v="105"/>
    <x v="1502"/>
    <x v="26"/>
    <x v="26"/>
    <x v="0"/>
  </r>
  <r>
    <x v="5"/>
    <x v="0"/>
    <x v="472"/>
    <x v="4"/>
    <x v="36"/>
    <x v="42"/>
    <x v="3"/>
    <x v="58"/>
    <x v="254"/>
    <x v="2833"/>
    <x v="16"/>
    <x v="16"/>
    <x v="0"/>
  </r>
  <r>
    <x v="5"/>
    <x v="0"/>
    <x v="503"/>
    <x v="4"/>
    <x v="36"/>
    <x v="42"/>
    <x v="2"/>
    <x v="43"/>
    <x v="311"/>
    <x v="2886"/>
    <x v="21"/>
    <x v="21"/>
    <x v="0"/>
  </r>
  <r>
    <x v="5"/>
    <x v="0"/>
    <x v="503"/>
    <x v="4"/>
    <x v="36"/>
    <x v="42"/>
    <x v="1"/>
    <x v="48"/>
    <x v="285"/>
    <x v="2829"/>
    <x v="21"/>
    <x v="21"/>
    <x v="0"/>
  </r>
  <r>
    <x v="5"/>
    <x v="0"/>
    <x v="503"/>
    <x v="4"/>
    <x v="36"/>
    <x v="42"/>
    <x v="5"/>
    <x v="48"/>
    <x v="285"/>
    <x v="2829"/>
    <x v="21"/>
    <x v="21"/>
    <x v="0"/>
  </r>
  <r>
    <x v="5"/>
    <x v="0"/>
    <x v="503"/>
    <x v="4"/>
    <x v="36"/>
    <x v="42"/>
    <x v="4"/>
    <x v="43"/>
    <x v="231"/>
    <x v="2615"/>
    <x v="21"/>
    <x v="21"/>
    <x v="0"/>
  </r>
  <r>
    <x v="5"/>
    <x v="0"/>
    <x v="503"/>
    <x v="4"/>
    <x v="36"/>
    <x v="42"/>
    <x v="0"/>
    <x v="38"/>
    <x v="152"/>
    <x v="1857"/>
    <x v="26"/>
    <x v="26"/>
    <x v="0"/>
  </r>
  <r>
    <x v="5"/>
    <x v="0"/>
    <x v="503"/>
    <x v="4"/>
    <x v="36"/>
    <x v="42"/>
    <x v="3"/>
    <x v="53"/>
    <x v="313"/>
    <x v="2924"/>
    <x v="16"/>
    <x v="16"/>
    <x v="0"/>
  </r>
  <r>
    <x v="5"/>
    <x v="0"/>
    <x v="533"/>
    <x v="4"/>
    <x v="36"/>
    <x v="42"/>
    <x v="2"/>
    <x v="48"/>
    <x v="333"/>
    <x v="2978"/>
    <x v="21"/>
    <x v="21"/>
    <x v="0"/>
  </r>
  <r>
    <x v="5"/>
    <x v="0"/>
    <x v="533"/>
    <x v="4"/>
    <x v="36"/>
    <x v="42"/>
    <x v="1"/>
    <x v="58"/>
    <x v="323"/>
    <x v="2975"/>
    <x v="21"/>
    <x v="21"/>
    <x v="0"/>
  </r>
  <r>
    <x v="5"/>
    <x v="0"/>
    <x v="533"/>
    <x v="4"/>
    <x v="36"/>
    <x v="42"/>
    <x v="5"/>
    <x v="73"/>
    <x v="323"/>
    <x v="3015"/>
    <x v="21"/>
    <x v="21"/>
    <x v="0"/>
  </r>
  <r>
    <x v="5"/>
    <x v="0"/>
    <x v="533"/>
    <x v="4"/>
    <x v="36"/>
    <x v="42"/>
    <x v="4"/>
    <x v="73"/>
    <x v="313"/>
    <x v="2974"/>
    <x v="21"/>
    <x v="21"/>
    <x v="0"/>
  </r>
  <r>
    <x v="5"/>
    <x v="0"/>
    <x v="533"/>
    <x v="4"/>
    <x v="36"/>
    <x v="42"/>
    <x v="0"/>
    <x v="83"/>
    <x v="300"/>
    <x v="2947"/>
    <x v="26"/>
    <x v="26"/>
    <x v="0"/>
  </r>
  <r>
    <x v="5"/>
    <x v="0"/>
    <x v="533"/>
    <x v="4"/>
    <x v="36"/>
    <x v="42"/>
    <x v="3"/>
    <x v="92"/>
    <x v="327"/>
    <x v="3073"/>
    <x v="16"/>
    <x v="16"/>
    <x v="0"/>
  </r>
  <r>
    <x v="5"/>
    <x v="0"/>
    <x v="562"/>
    <x v="4"/>
    <x v="36"/>
    <x v="42"/>
    <x v="2"/>
    <x v="78"/>
    <x v="338"/>
    <x v="3070"/>
    <x v="21"/>
    <x v="21"/>
    <x v="0"/>
  </r>
  <r>
    <x v="5"/>
    <x v="0"/>
    <x v="562"/>
    <x v="4"/>
    <x v="36"/>
    <x v="42"/>
    <x v="1"/>
    <x v="83"/>
    <x v="327"/>
    <x v="3049"/>
    <x v="21"/>
    <x v="21"/>
    <x v="0"/>
  </r>
  <r>
    <x v="5"/>
    <x v="0"/>
    <x v="562"/>
    <x v="4"/>
    <x v="36"/>
    <x v="42"/>
    <x v="5"/>
    <x v="83"/>
    <x v="323"/>
    <x v="3036"/>
    <x v="21"/>
    <x v="21"/>
    <x v="0"/>
  </r>
  <r>
    <x v="5"/>
    <x v="0"/>
    <x v="562"/>
    <x v="4"/>
    <x v="36"/>
    <x v="42"/>
    <x v="4"/>
    <x v="78"/>
    <x v="315"/>
    <x v="2994"/>
    <x v="21"/>
    <x v="21"/>
    <x v="0"/>
  </r>
  <r>
    <x v="5"/>
    <x v="0"/>
    <x v="562"/>
    <x v="4"/>
    <x v="36"/>
    <x v="42"/>
    <x v="0"/>
    <x v="83"/>
    <x v="319"/>
    <x v="3020"/>
    <x v="26"/>
    <x v="26"/>
    <x v="0"/>
  </r>
  <r>
    <x v="5"/>
    <x v="0"/>
    <x v="562"/>
    <x v="4"/>
    <x v="36"/>
    <x v="42"/>
    <x v="3"/>
    <x v="92"/>
    <x v="319"/>
    <x v="3049"/>
    <x v="16"/>
    <x v="16"/>
    <x v="0"/>
  </r>
  <r>
    <x v="5"/>
    <x v="0"/>
    <x v="594"/>
    <x v="4"/>
    <x v="36"/>
    <x v="42"/>
    <x v="2"/>
    <x v="83"/>
    <x v="335"/>
    <x v="3069"/>
    <x v="21"/>
    <x v="21"/>
    <x v="0"/>
  </r>
  <r>
    <x v="5"/>
    <x v="0"/>
    <x v="594"/>
    <x v="4"/>
    <x v="36"/>
    <x v="42"/>
    <x v="1"/>
    <x v="73"/>
    <x v="333"/>
    <x v="3047"/>
    <x v="21"/>
    <x v="21"/>
    <x v="0"/>
  </r>
  <r>
    <x v="5"/>
    <x v="0"/>
    <x v="594"/>
    <x v="4"/>
    <x v="36"/>
    <x v="42"/>
    <x v="5"/>
    <x v="63"/>
    <x v="323"/>
    <x v="2989"/>
    <x v="21"/>
    <x v="21"/>
    <x v="0"/>
  </r>
  <r>
    <x v="5"/>
    <x v="0"/>
    <x v="594"/>
    <x v="4"/>
    <x v="36"/>
    <x v="42"/>
    <x v="4"/>
    <x v="63"/>
    <x v="304"/>
    <x v="2912"/>
    <x v="21"/>
    <x v="21"/>
    <x v="0"/>
  </r>
  <r>
    <x v="5"/>
    <x v="0"/>
    <x v="594"/>
    <x v="4"/>
    <x v="36"/>
    <x v="42"/>
    <x v="0"/>
    <x v="63"/>
    <x v="304"/>
    <x v="2912"/>
    <x v="26"/>
    <x v="26"/>
    <x v="0"/>
  </r>
  <r>
    <x v="5"/>
    <x v="0"/>
    <x v="594"/>
    <x v="4"/>
    <x v="36"/>
    <x v="42"/>
    <x v="3"/>
    <x v="68"/>
    <x v="212"/>
    <x v="2817"/>
    <x v="16"/>
    <x v="16"/>
    <x v="0"/>
  </r>
  <r>
    <x v="5"/>
    <x v="0"/>
    <x v="626"/>
    <x v="4"/>
    <x v="36"/>
    <x v="42"/>
    <x v="2"/>
    <x v="43"/>
    <x v="307"/>
    <x v="2866"/>
    <x v="21"/>
    <x v="21"/>
    <x v="0"/>
  </r>
  <r>
    <x v="5"/>
    <x v="0"/>
    <x v="626"/>
    <x v="4"/>
    <x v="36"/>
    <x v="42"/>
    <x v="1"/>
    <x v="48"/>
    <x v="307"/>
    <x v="2884"/>
    <x v="21"/>
    <x v="21"/>
    <x v="0"/>
  </r>
  <r>
    <x v="5"/>
    <x v="0"/>
    <x v="626"/>
    <x v="4"/>
    <x v="36"/>
    <x v="42"/>
    <x v="5"/>
    <x v="43"/>
    <x v="212"/>
    <x v="2513"/>
    <x v="21"/>
    <x v="21"/>
    <x v="0"/>
  </r>
  <r>
    <x v="5"/>
    <x v="0"/>
    <x v="626"/>
    <x v="4"/>
    <x v="36"/>
    <x v="42"/>
    <x v="4"/>
    <x v="43"/>
    <x v="174"/>
    <x v="2206"/>
    <x v="21"/>
    <x v="21"/>
    <x v="0"/>
  </r>
  <r>
    <x v="5"/>
    <x v="0"/>
    <x v="626"/>
    <x v="4"/>
    <x v="36"/>
    <x v="42"/>
    <x v="0"/>
    <x v="53"/>
    <x v="194"/>
    <x v="2594"/>
    <x v="26"/>
    <x v="26"/>
    <x v="0"/>
  </r>
  <r>
    <x v="5"/>
    <x v="0"/>
    <x v="626"/>
    <x v="4"/>
    <x v="36"/>
    <x v="42"/>
    <x v="3"/>
    <x v="38"/>
    <x v="212"/>
    <x v="2383"/>
    <x v="16"/>
    <x v="16"/>
    <x v="0"/>
  </r>
  <r>
    <x v="5"/>
    <x v="0"/>
    <x v="655"/>
    <x v="4"/>
    <x v="36"/>
    <x v="42"/>
    <x v="2"/>
    <x v="33"/>
    <x v="285"/>
    <x v="2637"/>
    <x v="21"/>
    <x v="21"/>
    <x v="0"/>
  </r>
  <r>
    <x v="5"/>
    <x v="0"/>
    <x v="655"/>
    <x v="4"/>
    <x v="36"/>
    <x v="42"/>
    <x v="1"/>
    <x v="48"/>
    <x v="313"/>
    <x v="2908"/>
    <x v="21"/>
    <x v="21"/>
    <x v="0"/>
  </r>
  <r>
    <x v="5"/>
    <x v="0"/>
    <x v="655"/>
    <x v="4"/>
    <x v="36"/>
    <x v="42"/>
    <x v="5"/>
    <x v="43"/>
    <x v="285"/>
    <x v="2793"/>
    <x v="21"/>
    <x v="21"/>
    <x v="0"/>
  </r>
  <r>
    <x v="5"/>
    <x v="0"/>
    <x v="655"/>
    <x v="4"/>
    <x v="36"/>
    <x v="42"/>
    <x v="4"/>
    <x v="38"/>
    <x v="273"/>
    <x v="2673"/>
    <x v="21"/>
    <x v="21"/>
    <x v="0"/>
  </r>
  <r>
    <x v="5"/>
    <x v="0"/>
    <x v="655"/>
    <x v="4"/>
    <x v="36"/>
    <x v="42"/>
    <x v="0"/>
    <x v="48"/>
    <x v="254"/>
    <x v="2757"/>
    <x v="26"/>
    <x v="26"/>
    <x v="0"/>
  </r>
  <r>
    <x v="5"/>
    <x v="0"/>
    <x v="655"/>
    <x v="4"/>
    <x v="36"/>
    <x v="42"/>
    <x v="3"/>
    <x v="53"/>
    <x v="285"/>
    <x v="2852"/>
    <x v="16"/>
    <x v="16"/>
    <x v="0"/>
  </r>
  <r>
    <x v="5"/>
    <x v="0"/>
    <x v="686"/>
    <x v="4"/>
    <x v="36"/>
    <x v="42"/>
    <x v="2"/>
    <x v="38"/>
    <x v="317"/>
    <x v="2889"/>
    <x v="21"/>
    <x v="21"/>
    <x v="0"/>
  </r>
  <r>
    <x v="5"/>
    <x v="0"/>
    <x v="686"/>
    <x v="4"/>
    <x v="36"/>
    <x v="42"/>
    <x v="1"/>
    <x v="43"/>
    <x v="323"/>
    <x v="2929"/>
    <x v="21"/>
    <x v="21"/>
    <x v="0"/>
  </r>
  <r>
    <x v="5"/>
    <x v="0"/>
    <x v="686"/>
    <x v="4"/>
    <x v="36"/>
    <x v="42"/>
    <x v="5"/>
    <x v="38"/>
    <x v="309"/>
    <x v="2855"/>
    <x v="21"/>
    <x v="21"/>
    <x v="0"/>
  </r>
  <r>
    <x v="5"/>
    <x v="0"/>
    <x v="686"/>
    <x v="4"/>
    <x v="36"/>
    <x v="42"/>
    <x v="4"/>
    <x v="48"/>
    <x v="307"/>
    <x v="2884"/>
    <x v="21"/>
    <x v="21"/>
    <x v="0"/>
  </r>
  <r>
    <x v="5"/>
    <x v="0"/>
    <x v="686"/>
    <x v="4"/>
    <x v="36"/>
    <x v="42"/>
    <x v="0"/>
    <x v="68"/>
    <x v="304"/>
    <x v="2926"/>
    <x v="26"/>
    <x v="26"/>
    <x v="0"/>
  </r>
  <r>
    <x v="5"/>
    <x v="0"/>
    <x v="686"/>
    <x v="4"/>
    <x v="36"/>
    <x v="42"/>
    <x v="3"/>
    <x v="73"/>
    <x v="315"/>
    <x v="2985"/>
    <x v="16"/>
    <x v="16"/>
    <x v="0"/>
  </r>
  <r>
    <x v="5"/>
    <x v="0"/>
    <x v="715"/>
    <x v="4"/>
    <x v="36"/>
    <x v="42"/>
    <x v="2"/>
    <x v="58"/>
    <x v="331"/>
    <x v="3003"/>
    <x v="21"/>
    <x v="21"/>
    <x v="0"/>
  </r>
  <r>
    <x v="5"/>
    <x v="0"/>
    <x v="715"/>
    <x v="4"/>
    <x v="36"/>
    <x v="42"/>
    <x v="1"/>
    <x v="68"/>
    <x v="331"/>
    <x v="3028"/>
    <x v="21"/>
    <x v="21"/>
    <x v="0"/>
  </r>
  <r>
    <x v="5"/>
    <x v="0"/>
    <x v="715"/>
    <x v="4"/>
    <x v="36"/>
    <x v="42"/>
    <x v="5"/>
    <x v="63"/>
    <x v="315"/>
    <x v="2958"/>
    <x v="21"/>
    <x v="21"/>
    <x v="0"/>
  </r>
  <r>
    <x v="5"/>
    <x v="0"/>
    <x v="715"/>
    <x v="4"/>
    <x v="36"/>
    <x v="42"/>
    <x v="4"/>
    <x v="63"/>
    <x v="315"/>
    <x v="2958"/>
    <x v="21"/>
    <x v="21"/>
    <x v="0"/>
  </r>
  <r>
    <x v="5"/>
    <x v="0"/>
    <x v="715"/>
    <x v="4"/>
    <x v="36"/>
    <x v="42"/>
    <x v="0"/>
    <x v="73"/>
    <x v="309"/>
    <x v="2956"/>
    <x v="26"/>
    <x v="26"/>
    <x v="0"/>
  </r>
  <r>
    <x v="5"/>
    <x v="0"/>
    <x v="715"/>
    <x v="4"/>
    <x v="36"/>
    <x v="42"/>
    <x v="3"/>
    <x v="78"/>
    <x v="317"/>
    <x v="3004"/>
    <x v="16"/>
    <x v="16"/>
    <x v="0"/>
  </r>
  <r>
    <x v="5"/>
    <x v="0"/>
    <x v="375"/>
    <x v="4"/>
    <x v="36"/>
    <x v="42"/>
    <x v="2"/>
    <x v="28"/>
    <x v="300"/>
    <x v="2637"/>
    <x v="26"/>
    <x v="26"/>
    <x v="0"/>
  </r>
  <r>
    <x v="5"/>
    <x v="0"/>
    <x v="375"/>
    <x v="4"/>
    <x v="36"/>
    <x v="42"/>
    <x v="1"/>
    <x v="38"/>
    <x v="300"/>
    <x v="2805"/>
    <x v="26"/>
    <x v="26"/>
    <x v="0"/>
  </r>
  <r>
    <x v="5"/>
    <x v="0"/>
    <x v="375"/>
    <x v="4"/>
    <x v="36"/>
    <x v="42"/>
    <x v="5"/>
    <x v="38"/>
    <x v="300"/>
    <x v="2805"/>
    <x v="26"/>
    <x v="26"/>
    <x v="0"/>
  </r>
  <r>
    <x v="5"/>
    <x v="0"/>
    <x v="375"/>
    <x v="4"/>
    <x v="36"/>
    <x v="42"/>
    <x v="4"/>
    <x v="38"/>
    <x v="212"/>
    <x v="2383"/>
    <x v="26"/>
    <x v="26"/>
    <x v="0"/>
  </r>
  <r>
    <x v="5"/>
    <x v="0"/>
    <x v="375"/>
    <x v="4"/>
    <x v="36"/>
    <x v="42"/>
    <x v="0"/>
    <x v="43"/>
    <x v="174"/>
    <x v="2206"/>
    <x v="31"/>
    <x v="31"/>
    <x v="0"/>
  </r>
  <r>
    <x v="5"/>
    <x v="0"/>
    <x v="375"/>
    <x v="4"/>
    <x v="36"/>
    <x v="42"/>
    <x v="3"/>
    <x v="38"/>
    <x v="307"/>
    <x v="2848"/>
    <x v="21"/>
    <x v="21"/>
    <x v="0"/>
  </r>
  <r>
    <x v="5"/>
    <x v="0"/>
    <x v="406"/>
    <x v="4"/>
    <x v="36"/>
    <x v="42"/>
    <x v="2"/>
    <x v="28"/>
    <x v="311"/>
    <x v="2793"/>
    <x v="26"/>
    <x v="26"/>
    <x v="0"/>
  </r>
  <r>
    <x v="5"/>
    <x v="0"/>
    <x v="406"/>
    <x v="4"/>
    <x v="36"/>
    <x v="42"/>
    <x v="1"/>
    <x v="38"/>
    <x v="300"/>
    <x v="2805"/>
    <x v="26"/>
    <x v="26"/>
    <x v="0"/>
  </r>
  <r>
    <x v="5"/>
    <x v="0"/>
    <x v="406"/>
    <x v="4"/>
    <x v="36"/>
    <x v="42"/>
    <x v="5"/>
    <x v="38"/>
    <x v="300"/>
    <x v="2805"/>
    <x v="26"/>
    <x v="26"/>
    <x v="0"/>
  </r>
  <r>
    <x v="5"/>
    <x v="0"/>
    <x v="406"/>
    <x v="2"/>
    <x v="17"/>
    <x v="34"/>
    <x v="4"/>
    <x v="38"/>
    <x v="212"/>
    <x v="2383"/>
    <x v="26"/>
    <x v="26"/>
    <x v="0"/>
  </r>
  <r>
    <x v="5"/>
    <x v="0"/>
    <x v="406"/>
    <x v="2"/>
    <x v="17"/>
    <x v="34"/>
    <x v="0"/>
    <x v="43"/>
    <x v="152"/>
    <x v="2022"/>
    <x v="31"/>
    <x v="31"/>
    <x v="0"/>
  </r>
  <r>
    <x v="5"/>
    <x v="0"/>
    <x v="406"/>
    <x v="2"/>
    <x v="17"/>
    <x v="34"/>
    <x v="3"/>
    <x v="38"/>
    <x v="294"/>
    <x v="2772"/>
    <x v="21"/>
    <x v="21"/>
    <x v="0"/>
  </r>
  <r>
    <x v="5"/>
    <x v="0"/>
    <x v="433"/>
    <x v="2"/>
    <x v="17"/>
    <x v="34"/>
    <x v="2"/>
    <x v="38"/>
    <x v="313"/>
    <x v="2877"/>
    <x v="26"/>
    <x v="26"/>
    <x v="0"/>
  </r>
  <r>
    <x v="5"/>
    <x v="0"/>
    <x v="433"/>
    <x v="2"/>
    <x v="17"/>
    <x v="34"/>
    <x v="1"/>
    <x v="48"/>
    <x v="294"/>
    <x v="2850"/>
    <x v="26"/>
    <x v="26"/>
    <x v="0"/>
  </r>
  <r>
    <x v="5"/>
    <x v="0"/>
    <x v="433"/>
    <x v="2"/>
    <x v="17"/>
    <x v="34"/>
    <x v="5"/>
    <x v="53"/>
    <x v="300"/>
    <x v="2880"/>
    <x v="26"/>
    <x v="26"/>
    <x v="0"/>
  </r>
  <r>
    <x v="5"/>
    <x v="0"/>
    <x v="433"/>
    <x v="2"/>
    <x v="17"/>
    <x v="34"/>
    <x v="4"/>
    <x v="48"/>
    <x v="254"/>
    <x v="2757"/>
    <x v="26"/>
    <x v="26"/>
    <x v="0"/>
  </r>
  <r>
    <x v="5"/>
    <x v="0"/>
    <x v="433"/>
    <x v="2"/>
    <x v="17"/>
    <x v="34"/>
    <x v="0"/>
    <x v="53"/>
    <x v="129"/>
    <x v="2064"/>
    <x v="31"/>
    <x v="31"/>
    <x v="0"/>
  </r>
  <r>
    <x v="5"/>
    <x v="0"/>
    <x v="433"/>
    <x v="2"/>
    <x v="17"/>
    <x v="34"/>
    <x v="3"/>
    <x v="38"/>
    <x v="285"/>
    <x v="2727"/>
    <x v="21"/>
    <x v="21"/>
    <x v="0"/>
  </r>
  <r>
    <x v="5"/>
    <x v="0"/>
    <x v="465"/>
    <x v="2"/>
    <x v="17"/>
    <x v="34"/>
    <x v="2"/>
    <x v="43"/>
    <x v="313"/>
    <x v="2892"/>
    <x v="26"/>
    <x v="26"/>
    <x v="0"/>
  </r>
  <r>
    <x v="5"/>
    <x v="0"/>
    <x v="465"/>
    <x v="2"/>
    <x v="17"/>
    <x v="34"/>
    <x v="1"/>
    <x v="48"/>
    <x v="273"/>
    <x v="2800"/>
    <x v="26"/>
    <x v="26"/>
    <x v="0"/>
  </r>
  <r>
    <x v="5"/>
    <x v="0"/>
    <x v="465"/>
    <x v="2"/>
    <x v="17"/>
    <x v="34"/>
    <x v="5"/>
    <x v="48"/>
    <x v="294"/>
    <x v="2850"/>
    <x v="26"/>
    <x v="26"/>
    <x v="0"/>
  </r>
  <r>
    <x v="5"/>
    <x v="0"/>
    <x v="465"/>
    <x v="2"/>
    <x v="17"/>
    <x v="34"/>
    <x v="4"/>
    <x v="33"/>
    <x v="231"/>
    <x v="2350"/>
    <x v="26"/>
    <x v="26"/>
    <x v="0"/>
  </r>
  <r>
    <x v="5"/>
    <x v="0"/>
    <x v="465"/>
    <x v="2"/>
    <x v="17"/>
    <x v="34"/>
    <x v="0"/>
    <x v="38"/>
    <x v="152"/>
    <x v="1857"/>
    <x v="31"/>
    <x v="31"/>
    <x v="0"/>
  </r>
  <r>
    <x v="5"/>
    <x v="0"/>
    <x v="465"/>
    <x v="2"/>
    <x v="17"/>
    <x v="34"/>
    <x v="3"/>
    <x v="53"/>
    <x v="285"/>
    <x v="2852"/>
    <x v="21"/>
    <x v="21"/>
    <x v="0"/>
  </r>
  <r>
    <x v="5"/>
    <x v="0"/>
    <x v="496"/>
    <x v="2"/>
    <x v="17"/>
    <x v="34"/>
    <x v="2"/>
    <x v="38"/>
    <x v="315"/>
    <x v="2884"/>
    <x v="26"/>
    <x v="26"/>
    <x v="0"/>
  </r>
  <r>
    <x v="5"/>
    <x v="0"/>
    <x v="496"/>
    <x v="2"/>
    <x v="17"/>
    <x v="34"/>
    <x v="1"/>
    <x v="43"/>
    <x v="300"/>
    <x v="2840"/>
    <x v="26"/>
    <x v="26"/>
    <x v="0"/>
  </r>
  <r>
    <x v="5"/>
    <x v="0"/>
    <x v="496"/>
    <x v="2"/>
    <x v="17"/>
    <x v="34"/>
    <x v="5"/>
    <x v="43"/>
    <x v="300"/>
    <x v="2840"/>
    <x v="26"/>
    <x v="26"/>
    <x v="0"/>
  </r>
  <r>
    <x v="5"/>
    <x v="0"/>
    <x v="496"/>
    <x v="2"/>
    <x v="17"/>
    <x v="34"/>
    <x v="4"/>
    <x v="38"/>
    <x v="273"/>
    <x v="2673"/>
    <x v="26"/>
    <x v="26"/>
    <x v="0"/>
  </r>
  <r>
    <x v="5"/>
    <x v="0"/>
    <x v="496"/>
    <x v="2"/>
    <x v="17"/>
    <x v="34"/>
    <x v="0"/>
    <x v="33"/>
    <x v="194"/>
    <x v="2064"/>
    <x v="31"/>
    <x v="31"/>
    <x v="0"/>
  </r>
  <r>
    <x v="5"/>
    <x v="0"/>
    <x v="496"/>
    <x v="2"/>
    <x v="17"/>
    <x v="34"/>
    <x v="3"/>
    <x v="58"/>
    <x v="317"/>
    <x v="2954"/>
    <x v="21"/>
    <x v="21"/>
    <x v="1"/>
  </r>
  <r>
    <x v="5"/>
    <x v="0"/>
    <x v="526"/>
    <x v="2"/>
    <x v="17"/>
    <x v="34"/>
    <x v="2"/>
    <x v="53"/>
    <x v="337"/>
    <x v="3006"/>
    <x v="26"/>
    <x v="26"/>
    <x v="1"/>
  </r>
  <r>
    <x v="5"/>
    <x v="0"/>
    <x v="526"/>
    <x v="2"/>
    <x v="17"/>
    <x v="34"/>
    <x v="1"/>
    <x v="63"/>
    <x v="327"/>
    <x v="3005"/>
    <x v="26"/>
    <x v="26"/>
    <x v="1"/>
  </r>
  <r>
    <x v="5"/>
    <x v="0"/>
    <x v="526"/>
    <x v="2"/>
    <x v="17"/>
    <x v="34"/>
    <x v="5"/>
    <x v="78"/>
    <x v="327"/>
    <x v="3039"/>
    <x v="26"/>
    <x v="26"/>
    <x v="1"/>
  </r>
  <r>
    <x v="5"/>
    <x v="0"/>
    <x v="526"/>
    <x v="2"/>
    <x v="17"/>
    <x v="34"/>
    <x v="4"/>
    <x v="78"/>
    <x v="317"/>
    <x v="3004"/>
    <x v="26"/>
    <x v="26"/>
    <x v="1"/>
  </r>
  <r>
    <x v="5"/>
    <x v="0"/>
    <x v="526"/>
    <x v="2"/>
    <x v="17"/>
    <x v="34"/>
    <x v="0"/>
    <x v="85"/>
    <x v="307"/>
    <x v="2979"/>
    <x v="31"/>
    <x v="31"/>
    <x v="1"/>
  </r>
  <r>
    <x v="5"/>
    <x v="0"/>
    <x v="526"/>
    <x v="2"/>
    <x v="17"/>
    <x v="34"/>
    <x v="3"/>
    <x v="93"/>
    <x v="331"/>
    <x v="3081"/>
    <x v="21"/>
    <x v="21"/>
    <x v="1"/>
  </r>
  <r>
    <x v="5"/>
    <x v="0"/>
    <x v="555"/>
    <x v="2"/>
    <x v="17"/>
    <x v="34"/>
    <x v="2"/>
    <x v="83"/>
    <x v="341"/>
    <x v="3080"/>
    <x v="26"/>
    <x v="26"/>
    <x v="1"/>
  </r>
  <r>
    <x v="5"/>
    <x v="0"/>
    <x v="555"/>
    <x v="2"/>
    <x v="17"/>
    <x v="34"/>
    <x v="1"/>
    <x v="85"/>
    <x v="331"/>
    <x v="3067"/>
    <x v="26"/>
    <x v="26"/>
    <x v="1"/>
  </r>
  <r>
    <x v="5"/>
    <x v="0"/>
    <x v="555"/>
    <x v="2"/>
    <x v="17"/>
    <x v="34"/>
    <x v="5"/>
    <x v="85"/>
    <x v="327"/>
    <x v="3059"/>
    <x v="26"/>
    <x v="26"/>
    <x v="1"/>
  </r>
  <r>
    <x v="5"/>
    <x v="0"/>
    <x v="555"/>
    <x v="2"/>
    <x v="17"/>
    <x v="34"/>
    <x v="4"/>
    <x v="83"/>
    <x v="319"/>
    <x v="3020"/>
    <x v="26"/>
    <x v="26"/>
    <x v="1"/>
  </r>
  <r>
    <x v="5"/>
    <x v="0"/>
    <x v="555"/>
    <x v="2"/>
    <x v="17"/>
    <x v="34"/>
    <x v="0"/>
    <x v="85"/>
    <x v="323"/>
    <x v="3045"/>
    <x v="31"/>
    <x v="31"/>
    <x v="1"/>
  </r>
  <r>
    <x v="5"/>
    <x v="0"/>
    <x v="555"/>
    <x v="2"/>
    <x v="17"/>
    <x v="34"/>
    <x v="3"/>
    <x v="93"/>
    <x v="323"/>
    <x v="3068"/>
    <x v="21"/>
    <x v="21"/>
    <x v="1"/>
  </r>
  <r>
    <x v="5"/>
    <x v="0"/>
    <x v="587"/>
    <x v="2"/>
    <x v="17"/>
    <x v="34"/>
    <x v="2"/>
    <x v="85"/>
    <x v="338"/>
    <x v="3079"/>
    <x v="26"/>
    <x v="26"/>
    <x v="1"/>
  </r>
  <r>
    <x v="5"/>
    <x v="0"/>
    <x v="587"/>
    <x v="2"/>
    <x v="17"/>
    <x v="34"/>
    <x v="1"/>
    <x v="78"/>
    <x v="337"/>
    <x v="3066"/>
    <x v="26"/>
    <x v="26"/>
    <x v="1"/>
  </r>
  <r>
    <x v="5"/>
    <x v="0"/>
    <x v="587"/>
    <x v="2"/>
    <x v="17"/>
    <x v="34"/>
    <x v="5"/>
    <x v="68"/>
    <x v="327"/>
    <x v="3017"/>
    <x v="26"/>
    <x v="26"/>
    <x v="1"/>
  </r>
  <r>
    <x v="5"/>
    <x v="0"/>
    <x v="587"/>
    <x v="2"/>
    <x v="17"/>
    <x v="34"/>
    <x v="4"/>
    <x v="68"/>
    <x v="309"/>
    <x v="2943"/>
    <x v="26"/>
    <x v="26"/>
    <x v="1"/>
  </r>
  <r>
    <x v="5"/>
    <x v="0"/>
    <x v="587"/>
    <x v="2"/>
    <x v="17"/>
    <x v="34"/>
    <x v="0"/>
    <x v="58"/>
    <x v="309"/>
    <x v="2918"/>
    <x v="31"/>
    <x v="31"/>
    <x v="1"/>
  </r>
  <r>
    <x v="5"/>
    <x v="0"/>
    <x v="587"/>
    <x v="2"/>
    <x v="17"/>
    <x v="34"/>
    <x v="3"/>
    <x v="63"/>
    <x v="254"/>
    <x v="2852"/>
    <x v="21"/>
    <x v="21"/>
    <x v="1"/>
  </r>
  <r>
    <x v="5"/>
    <x v="0"/>
    <x v="619"/>
    <x v="2"/>
    <x v="17"/>
    <x v="34"/>
    <x v="2"/>
    <x v="38"/>
    <x v="311"/>
    <x v="2866"/>
    <x v="26"/>
    <x v="26"/>
    <x v="1"/>
  </r>
  <r>
    <x v="5"/>
    <x v="0"/>
    <x v="619"/>
    <x v="2"/>
    <x v="17"/>
    <x v="34"/>
    <x v="1"/>
    <x v="43"/>
    <x v="311"/>
    <x v="2886"/>
    <x v="26"/>
    <x v="26"/>
    <x v="1"/>
  </r>
  <r>
    <x v="5"/>
    <x v="0"/>
    <x v="619"/>
    <x v="2"/>
    <x v="17"/>
    <x v="34"/>
    <x v="5"/>
    <x v="38"/>
    <x v="254"/>
    <x v="2594"/>
    <x v="26"/>
    <x v="26"/>
    <x v="1"/>
  </r>
  <r>
    <x v="5"/>
    <x v="0"/>
    <x v="619"/>
    <x v="2"/>
    <x v="17"/>
    <x v="34"/>
    <x v="4"/>
    <x v="38"/>
    <x v="212"/>
    <x v="2383"/>
    <x v="26"/>
    <x v="26"/>
    <x v="1"/>
  </r>
  <r>
    <x v="5"/>
    <x v="0"/>
    <x v="619"/>
    <x v="2"/>
    <x v="17"/>
    <x v="34"/>
    <x v="0"/>
    <x v="48"/>
    <x v="231"/>
    <x v="2694"/>
    <x v="31"/>
    <x v="31"/>
    <x v="1"/>
  </r>
  <r>
    <x v="5"/>
    <x v="0"/>
    <x v="619"/>
    <x v="2"/>
    <x v="17"/>
    <x v="34"/>
    <x v="3"/>
    <x v="33"/>
    <x v="254"/>
    <x v="2469"/>
    <x v="21"/>
    <x v="21"/>
    <x v="1"/>
  </r>
  <r>
    <x v="5"/>
    <x v="0"/>
    <x v="648"/>
    <x v="2"/>
    <x v="17"/>
    <x v="34"/>
    <x v="2"/>
    <x v="28"/>
    <x v="300"/>
    <x v="2637"/>
    <x v="26"/>
    <x v="26"/>
    <x v="1"/>
  </r>
  <r>
    <x v="5"/>
    <x v="0"/>
    <x v="648"/>
    <x v="2"/>
    <x v="17"/>
    <x v="34"/>
    <x v="1"/>
    <x v="43"/>
    <x v="317"/>
    <x v="2907"/>
    <x v="26"/>
    <x v="26"/>
    <x v="1"/>
  </r>
  <r>
    <x v="5"/>
    <x v="0"/>
    <x v="648"/>
    <x v="2"/>
    <x v="17"/>
    <x v="34"/>
    <x v="5"/>
    <x v="38"/>
    <x v="300"/>
    <x v="2805"/>
    <x v="26"/>
    <x v="26"/>
    <x v="1"/>
  </r>
  <r>
    <x v="5"/>
    <x v="0"/>
    <x v="648"/>
    <x v="2"/>
    <x v="17"/>
    <x v="34"/>
    <x v="4"/>
    <x v="33"/>
    <x v="294"/>
    <x v="2686"/>
    <x v="26"/>
    <x v="26"/>
    <x v="1"/>
  </r>
  <r>
    <x v="5"/>
    <x v="0"/>
    <x v="648"/>
    <x v="2"/>
    <x v="17"/>
    <x v="34"/>
    <x v="0"/>
    <x v="43"/>
    <x v="285"/>
    <x v="2793"/>
    <x v="31"/>
    <x v="31"/>
    <x v="1"/>
  </r>
  <r>
    <x v="5"/>
    <x v="0"/>
    <x v="648"/>
    <x v="2"/>
    <x v="17"/>
    <x v="34"/>
    <x v="3"/>
    <x v="48"/>
    <x v="300"/>
    <x v="2862"/>
    <x v="21"/>
    <x v="21"/>
    <x v="1"/>
  </r>
  <r>
    <x v="5"/>
    <x v="0"/>
    <x v="679"/>
    <x v="2"/>
    <x v="17"/>
    <x v="34"/>
    <x v="2"/>
    <x v="33"/>
    <x v="321"/>
    <x v="2886"/>
    <x v="26"/>
    <x v="26"/>
    <x v="1"/>
  </r>
  <r>
    <x v="5"/>
    <x v="0"/>
    <x v="679"/>
    <x v="2"/>
    <x v="17"/>
    <x v="34"/>
    <x v="1"/>
    <x v="38"/>
    <x v="327"/>
    <x v="2924"/>
    <x v="26"/>
    <x v="26"/>
    <x v="1"/>
  </r>
  <r>
    <x v="5"/>
    <x v="0"/>
    <x v="679"/>
    <x v="2"/>
    <x v="17"/>
    <x v="34"/>
    <x v="5"/>
    <x v="33"/>
    <x v="313"/>
    <x v="2852"/>
    <x v="26"/>
    <x v="26"/>
    <x v="1"/>
  </r>
  <r>
    <x v="5"/>
    <x v="0"/>
    <x v="679"/>
    <x v="2"/>
    <x v="17"/>
    <x v="34"/>
    <x v="4"/>
    <x v="43"/>
    <x v="311"/>
    <x v="2886"/>
    <x v="26"/>
    <x v="26"/>
    <x v="1"/>
  </r>
  <r>
    <x v="5"/>
    <x v="0"/>
    <x v="679"/>
    <x v="2"/>
    <x v="17"/>
    <x v="34"/>
    <x v="0"/>
    <x v="63"/>
    <x v="309"/>
    <x v="2934"/>
    <x v="31"/>
    <x v="31"/>
    <x v="1"/>
  </r>
  <r>
    <x v="5"/>
    <x v="0"/>
    <x v="679"/>
    <x v="2"/>
    <x v="17"/>
    <x v="34"/>
    <x v="3"/>
    <x v="78"/>
    <x v="319"/>
    <x v="3014"/>
    <x v="21"/>
    <x v="21"/>
    <x v="1"/>
  </r>
  <r>
    <x v="5"/>
    <x v="0"/>
    <x v="708"/>
    <x v="2"/>
    <x v="17"/>
    <x v="34"/>
    <x v="2"/>
    <x v="63"/>
    <x v="335"/>
    <x v="3027"/>
    <x v="26"/>
    <x v="26"/>
    <x v="1"/>
  </r>
  <r>
    <x v="5"/>
    <x v="0"/>
    <x v="708"/>
    <x v="2"/>
    <x v="17"/>
    <x v="34"/>
    <x v="1"/>
    <x v="73"/>
    <x v="335"/>
    <x v="3052"/>
    <x v="26"/>
    <x v="26"/>
    <x v="1"/>
  </r>
  <r>
    <x v="1"/>
    <x v="0"/>
    <x v="708"/>
    <x v="2"/>
    <x v="17"/>
    <x v="34"/>
    <x v="5"/>
    <x v="68"/>
    <x v="319"/>
    <x v="2987"/>
    <x v="26"/>
    <x v="26"/>
    <x v="1"/>
  </r>
  <r>
    <x v="1"/>
    <x v="0"/>
    <x v="708"/>
    <x v="2"/>
    <x v="17"/>
    <x v="34"/>
    <x v="4"/>
    <x v="68"/>
    <x v="319"/>
    <x v="2987"/>
    <x v="26"/>
    <x v="26"/>
    <x v="1"/>
  </r>
  <r>
    <x v="1"/>
    <x v="0"/>
    <x v="708"/>
    <x v="2"/>
    <x v="17"/>
    <x v="34"/>
    <x v="0"/>
    <x v="78"/>
    <x v="313"/>
    <x v="2986"/>
    <x v="31"/>
    <x v="31"/>
    <x v="1"/>
  </r>
  <r>
    <x v="1"/>
    <x v="0"/>
    <x v="708"/>
    <x v="2"/>
    <x v="17"/>
    <x v="34"/>
    <x v="3"/>
    <x v="83"/>
    <x v="321"/>
    <x v="3028"/>
    <x v="21"/>
    <x v="21"/>
    <x v="1"/>
  </r>
  <r>
    <x v="1"/>
    <x v="3"/>
    <x v="363"/>
    <x v="2"/>
    <x v="17"/>
    <x v="34"/>
    <x v="2"/>
    <x v="13"/>
    <x v="325"/>
    <x v="2594"/>
    <x v="16"/>
    <x v="16"/>
    <x v="1"/>
  </r>
  <r>
    <x v="1"/>
    <x v="3"/>
    <x v="363"/>
    <x v="2"/>
    <x v="17"/>
    <x v="34"/>
    <x v="1"/>
    <x v="23"/>
    <x v="325"/>
    <x v="2848"/>
    <x v="16"/>
    <x v="16"/>
    <x v="1"/>
  </r>
  <r>
    <x v="1"/>
    <x v="3"/>
    <x v="363"/>
    <x v="2"/>
    <x v="17"/>
    <x v="34"/>
    <x v="5"/>
    <x v="23"/>
    <x v="309"/>
    <x v="2652"/>
    <x v="16"/>
    <x v="16"/>
    <x v="1"/>
  </r>
  <r>
    <x v="1"/>
    <x v="3"/>
    <x v="363"/>
    <x v="2"/>
    <x v="17"/>
    <x v="34"/>
    <x v="4"/>
    <x v="28"/>
    <x v="309"/>
    <x v="2763"/>
    <x v="26"/>
    <x v="26"/>
    <x v="1"/>
  </r>
  <r>
    <x v="1"/>
    <x v="3"/>
    <x v="363"/>
    <x v="2"/>
    <x v="17"/>
    <x v="34"/>
    <x v="0"/>
    <x v="33"/>
    <x v="273"/>
    <x v="2560"/>
    <x v="11"/>
    <x v="11"/>
    <x v="1"/>
  </r>
  <r>
    <x v="5"/>
    <x v="3"/>
    <x v="363"/>
    <x v="2"/>
    <x v="17"/>
    <x v="34"/>
    <x v="3"/>
    <x v="28"/>
    <x v="309"/>
    <x v="2763"/>
    <x v="31"/>
    <x v="31"/>
    <x v="1"/>
  </r>
  <r>
    <x v="1"/>
    <x v="3"/>
    <x v="393"/>
    <x v="2"/>
    <x v="17"/>
    <x v="34"/>
    <x v="2"/>
    <x v="18"/>
    <x v="321"/>
    <x v="2723"/>
    <x v="16"/>
    <x v="16"/>
    <x v="1"/>
  </r>
  <r>
    <x v="1"/>
    <x v="3"/>
    <x v="393"/>
    <x v="2"/>
    <x v="17"/>
    <x v="34"/>
    <x v="1"/>
    <x v="28"/>
    <x v="319"/>
    <x v="2852"/>
    <x v="16"/>
    <x v="16"/>
    <x v="1"/>
  </r>
  <r>
    <x v="1"/>
    <x v="3"/>
    <x v="393"/>
    <x v="2"/>
    <x v="17"/>
    <x v="34"/>
    <x v="5"/>
    <x v="28"/>
    <x v="304"/>
    <x v="2682"/>
    <x v="16"/>
    <x v="16"/>
    <x v="1"/>
  </r>
  <r>
    <x v="1"/>
    <x v="3"/>
    <x v="393"/>
    <x v="4"/>
    <x v="11"/>
    <x v="7"/>
    <x v="4"/>
    <x v="28"/>
    <x v="294"/>
    <x v="2574"/>
    <x v="26"/>
    <x v="26"/>
    <x v="1"/>
  </r>
  <r>
    <x v="1"/>
    <x v="3"/>
    <x v="393"/>
    <x v="4"/>
    <x v="11"/>
    <x v="7"/>
    <x v="0"/>
    <x v="33"/>
    <x v="212"/>
    <x v="2206"/>
    <x v="11"/>
    <x v="11"/>
    <x v="1"/>
  </r>
  <r>
    <x v="1"/>
    <x v="3"/>
    <x v="393"/>
    <x v="4"/>
    <x v="11"/>
    <x v="7"/>
    <x v="3"/>
    <x v="28"/>
    <x v="307"/>
    <x v="2727"/>
    <x v="31"/>
    <x v="31"/>
    <x v="1"/>
  </r>
  <r>
    <x v="1"/>
    <x v="3"/>
    <x v="423"/>
    <x v="4"/>
    <x v="11"/>
    <x v="7"/>
    <x v="2"/>
    <x v="23"/>
    <x v="321"/>
    <x v="2817"/>
    <x v="21"/>
    <x v="21"/>
    <x v="1"/>
  </r>
  <r>
    <x v="1"/>
    <x v="3"/>
    <x v="423"/>
    <x v="4"/>
    <x v="11"/>
    <x v="7"/>
    <x v="1"/>
    <x v="33"/>
    <x v="321"/>
    <x v="2886"/>
    <x v="21"/>
    <x v="21"/>
    <x v="1"/>
  </r>
  <r>
    <x v="1"/>
    <x v="3"/>
    <x v="423"/>
    <x v="4"/>
    <x v="11"/>
    <x v="7"/>
    <x v="5"/>
    <x v="23"/>
    <x v="307"/>
    <x v="2594"/>
    <x v="21"/>
    <x v="21"/>
    <x v="1"/>
  </r>
  <r>
    <x v="1"/>
    <x v="3"/>
    <x v="423"/>
    <x v="4"/>
    <x v="11"/>
    <x v="7"/>
    <x v="4"/>
    <x v="28"/>
    <x v="285"/>
    <x v="2491"/>
    <x v="31"/>
    <x v="31"/>
    <x v="1"/>
  </r>
  <r>
    <x v="5"/>
    <x v="3"/>
    <x v="423"/>
    <x v="4"/>
    <x v="11"/>
    <x v="7"/>
    <x v="0"/>
    <x v="33"/>
    <x v="212"/>
    <x v="2206"/>
    <x v="16"/>
    <x v="16"/>
    <x v="1"/>
  </r>
  <r>
    <x v="5"/>
    <x v="3"/>
    <x v="423"/>
    <x v="4"/>
    <x v="11"/>
    <x v="7"/>
    <x v="3"/>
    <x v="28"/>
    <x v="300"/>
    <x v="2637"/>
    <x v="36"/>
    <x v="36"/>
    <x v="1"/>
  </r>
  <r>
    <x v="5"/>
    <x v="3"/>
    <x v="453"/>
    <x v="4"/>
    <x v="11"/>
    <x v="7"/>
    <x v="2"/>
    <x v="13"/>
    <x v="323"/>
    <x v="2560"/>
    <x v="21"/>
    <x v="21"/>
    <x v="1"/>
  </r>
  <r>
    <x v="5"/>
    <x v="3"/>
    <x v="453"/>
    <x v="4"/>
    <x v="11"/>
    <x v="7"/>
    <x v="1"/>
    <x v="23"/>
    <x v="323"/>
    <x v="2833"/>
    <x v="21"/>
    <x v="21"/>
    <x v="1"/>
  </r>
  <r>
    <x v="5"/>
    <x v="3"/>
    <x v="453"/>
    <x v="4"/>
    <x v="11"/>
    <x v="7"/>
    <x v="5"/>
    <x v="18"/>
    <x v="309"/>
    <x v="2450"/>
    <x v="21"/>
    <x v="21"/>
    <x v="1"/>
  </r>
  <r>
    <x v="5"/>
    <x v="3"/>
    <x v="453"/>
    <x v="4"/>
    <x v="11"/>
    <x v="7"/>
    <x v="4"/>
    <x v="23"/>
    <x v="294"/>
    <x v="2383"/>
    <x v="31"/>
    <x v="31"/>
    <x v="1"/>
  </r>
  <r>
    <x v="5"/>
    <x v="3"/>
    <x v="453"/>
    <x v="4"/>
    <x v="11"/>
    <x v="7"/>
    <x v="0"/>
    <x v="28"/>
    <x v="231"/>
    <x v="2158"/>
    <x v="16"/>
    <x v="16"/>
    <x v="1"/>
  </r>
  <r>
    <x v="5"/>
    <x v="3"/>
    <x v="453"/>
    <x v="4"/>
    <x v="11"/>
    <x v="7"/>
    <x v="3"/>
    <x v="23"/>
    <x v="315"/>
    <x v="2757"/>
    <x v="36"/>
    <x v="36"/>
    <x v="1"/>
  </r>
  <r>
    <x v="5"/>
    <x v="3"/>
    <x v="483"/>
    <x v="4"/>
    <x v="11"/>
    <x v="7"/>
    <x v="2"/>
    <x v="13"/>
    <x v="327"/>
    <x v="2637"/>
    <x v="21"/>
    <x v="21"/>
    <x v="1"/>
  </r>
  <r>
    <x v="5"/>
    <x v="3"/>
    <x v="483"/>
    <x v="4"/>
    <x v="11"/>
    <x v="7"/>
    <x v="1"/>
    <x v="23"/>
    <x v="329"/>
    <x v="2858"/>
    <x v="21"/>
    <x v="21"/>
    <x v="1"/>
  </r>
  <r>
    <x v="5"/>
    <x v="3"/>
    <x v="483"/>
    <x v="4"/>
    <x v="11"/>
    <x v="7"/>
    <x v="5"/>
    <x v="18"/>
    <x v="317"/>
    <x v="2656"/>
    <x v="21"/>
    <x v="21"/>
    <x v="1"/>
  </r>
  <r>
    <x v="5"/>
    <x v="3"/>
    <x v="483"/>
    <x v="4"/>
    <x v="11"/>
    <x v="7"/>
    <x v="4"/>
    <x v="28"/>
    <x v="311"/>
    <x v="2793"/>
    <x v="31"/>
    <x v="31"/>
    <x v="1"/>
  </r>
  <r>
    <x v="5"/>
    <x v="3"/>
    <x v="483"/>
    <x v="4"/>
    <x v="11"/>
    <x v="7"/>
    <x v="0"/>
    <x v="43"/>
    <x v="300"/>
    <x v="2840"/>
    <x v="16"/>
    <x v="16"/>
    <x v="1"/>
  </r>
  <r>
    <x v="5"/>
    <x v="3"/>
    <x v="483"/>
    <x v="4"/>
    <x v="11"/>
    <x v="7"/>
    <x v="3"/>
    <x v="38"/>
    <x v="331"/>
    <x v="2935"/>
    <x v="36"/>
    <x v="36"/>
    <x v="1"/>
  </r>
  <r>
    <x v="5"/>
    <x v="3"/>
    <x v="513"/>
    <x v="4"/>
    <x v="11"/>
    <x v="7"/>
    <x v="2"/>
    <x v="38"/>
    <x v="331"/>
    <x v="2935"/>
    <x v="21"/>
    <x v="21"/>
    <x v="1"/>
  </r>
  <r>
    <x v="5"/>
    <x v="3"/>
    <x v="513"/>
    <x v="4"/>
    <x v="11"/>
    <x v="7"/>
    <x v="1"/>
    <x v="43"/>
    <x v="331"/>
    <x v="2955"/>
    <x v="21"/>
    <x v="21"/>
    <x v="1"/>
  </r>
  <r>
    <x v="5"/>
    <x v="3"/>
    <x v="513"/>
    <x v="4"/>
    <x v="11"/>
    <x v="7"/>
    <x v="5"/>
    <x v="43"/>
    <x v="319"/>
    <x v="2915"/>
    <x v="21"/>
    <x v="21"/>
    <x v="1"/>
  </r>
  <r>
    <x v="5"/>
    <x v="3"/>
    <x v="513"/>
    <x v="4"/>
    <x v="11"/>
    <x v="7"/>
    <x v="4"/>
    <x v="43"/>
    <x v="315"/>
    <x v="2899"/>
    <x v="31"/>
    <x v="31"/>
    <x v="1"/>
  </r>
  <r>
    <x v="5"/>
    <x v="3"/>
    <x v="513"/>
    <x v="4"/>
    <x v="11"/>
    <x v="7"/>
    <x v="0"/>
    <x v="48"/>
    <x v="307"/>
    <x v="2884"/>
    <x v="16"/>
    <x v="16"/>
    <x v="1"/>
  </r>
  <r>
    <x v="5"/>
    <x v="3"/>
    <x v="513"/>
    <x v="4"/>
    <x v="11"/>
    <x v="7"/>
    <x v="3"/>
    <x v="53"/>
    <x v="337"/>
    <x v="3006"/>
    <x v="36"/>
    <x v="36"/>
    <x v="1"/>
  </r>
  <r>
    <x v="5"/>
    <x v="3"/>
    <x v="545"/>
    <x v="4"/>
    <x v="11"/>
    <x v="7"/>
    <x v="2"/>
    <x v="43"/>
    <x v="333"/>
    <x v="2960"/>
    <x v="26"/>
    <x v="26"/>
    <x v="1"/>
  </r>
  <r>
    <x v="5"/>
    <x v="3"/>
    <x v="545"/>
    <x v="4"/>
    <x v="11"/>
    <x v="7"/>
    <x v="1"/>
    <x v="48"/>
    <x v="333"/>
    <x v="2978"/>
    <x v="26"/>
    <x v="26"/>
    <x v="1"/>
  </r>
  <r>
    <x v="5"/>
    <x v="3"/>
    <x v="545"/>
    <x v="4"/>
    <x v="11"/>
    <x v="7"/>
    <x v="5"/>
    <x v="43"/>
    <x v="343"/>
    <x v="2992"/>
    <x v="26"/>
    <x v="26"/>
    <x v="1"/>
  </r>
  <r>
    <x v="5"/>
    <x v="3"/>
    <x v="545"/>
    <x v="4"/>
    <x v="11"/>
    <x v="7"/>
    <x v="4"/>
    <x v="43"/>
    <x v="313"/>
    <x v="2892"/>
    <x v="36"/>
    <x v="36"/>
    <x v="1"/>
  </r>
  <r>
    <x v="5"/>
    <x v="3"/>
    <x v="545"/>
    <x v="4"/>
    <x v="11"/>
    <x v="7"/>
    <x v="0"/>
    <x v="48"/>
    <x v="313"/>
    <x v="2908"/>
    <x v="21"/>
    <x v="21"/>
    <x v="1"/>
  </r>
  <r>
    <x v="1"/>
    <x v="3"/>
    <x v="545"/>
    <x v="4"/>
    <x v="11"/>
    <x v="7"/>
    <x v="3"/>
    <x v="58"/>
    <x v="335"/>
    <x v="3015"/>
    <x v="41"/>
    <x v="41"/>
    <x v="1"/>
  </r>
  <r>
    <x v="1"/>
    <x v="3"/>
    <x v="578"/>
    <x v="4"/>
    <x v="11"/>
    <x v="7"/>
    <x v="2"/>
    <x v="43"/>
    <x v="331"/>
    <x v="2955"/>
    <x v="26"/>
    <x v="26"/>
    <x v="1"/>
  </r>
  <r>
    <x v="1"/>
    <x v="3"/>
    <x v="578"/>
    <x v="4"/>
    <x v="11"/>
    <x v="7"/>
    <x v="1"/>
    <x v="48"/>
    <x v="331"/>
    <x v="2972"/>
    <x v="26"/>
    <x v="26"/>
    <x v="1"/>
  </r>
  <r>
    <x v="1"/>
    <x v="3"/>
    <x v="578"/>
    <x v="4"/>
    <x v="11"/>
    <x v="7"/>
    <x v="5"/>
    <x v="43"/>
    <x v="343"/>
    <x v="2992"/>
    <x v="26"/>
    <x v="26"/>
    <x v="1"/>
  </r>
  <r>
    <x v="1"/>
    <x v="3"/>
    <x v="578"/>
    <x v="4"/>
    <x v="11"/>
    <x v="7"/>
    <x v="4"/>
    <x v="43"/>
    <x v="309"/>
    <x v="2878"/>
    <x v="36"/>
    <x v="36"/>
    <x v="1"/>
  </r>
  <r>
    <x v="3"/>
    <x v="3"/>
    <x v="578"/>
    <x v="4"/>
    <x v="11"/>
    <x v="7"/>
    <x v="0"/>
    <x v="48"/>
    <x v="309"/>
    <x v="2891"/>
    <x v="21"/>
    <x v="21"/>
    <x v="1"/>
  </r>
  <r>
    <x v="3"/>
    <x v="3"/>
    <x v="578"/>
    <x v="4"/>
    <x v="11"/>
    <x v="7"/>
    <x v="3"/>
    <x v="53"/>
    <x v="329"/>
    <x v="2982"/>
    <x v="41"/>
    <x v="41"/>
    <x v="1"/>
  </r>
  <r>
    <x v="3"/>
    <x v="3"/>
    <x v="606"/>
    <x v="4"/>
    <x v="11"/>
    <x v="7"/>
    <x v="2"/>
    <x v="48"/>
    <x v="325"/>
    <x v="2952"/>
    <x v="26"/>
    <x v="26"/>
    <x v="1"/>
  </r>
  <r>
    <x v="3"/>
    <x v="3"/>
    <x v="606"/>
    <x v="4"/>
    <x v="11"/>
    <x v="7"/>
    <x v="1"/>
    <x v="48"/>
    <x v="321"/>
    <x v="2939"/>
    <x v="26"/>
    <x v="26"/>
    <x v="1"/>
  </r>
  <r>
    <x v="3"/>
    <x v="3"/>
    <x v="606"/>
    <x v="4"/>
    <x v="11"/>
    <x v="7"/>
    <x v="5"/>
    <x v="53"/>
    <x v="325"/>
    <x v="2969"/>
    <x v="26"/>
    <x v="26"/>
    <x v="1"/>
  </r>
  <r>
    <x v="3"/>
    <x v="3"/>
    <x v="606"/>
    <x v="4"/>
    <x v="11"/>
    <x v="7"/>
    <x v="4"/>
    <x v="53"/>
    <x v="300"/>
    <x v="2880"/>
    <x v="36"/>
    <x v="36"/>
    <x v="1"/>
  </r>
  <r>
    <x v="3"/>
    <x v="3"/>
    <x v="606"/>
    <x v="4"/>
    <x v="11"/>
    <x v="7"/>
    <x v="0"/>
    <x v="48"/>
    <x v="300"/>
    <x v="2862"/>
    <x v="21"/>
    <x v="21"/>
    <x v="1"/>
  </r>
  <r>
    <x v="3"/>
    <x v="3"/>
    <x v="606"/>
    <x v="4"/>
    <x v="11"/>
    <x v="7"/>
    <x v="3"/>
    <x v="43"/>
    <x v="321"/>
    <x v="2921"/>
    <x v="41"/>
    <x v="41"/>
    <x v="1"/>
  </r>
  <r>
    <x v="3"/>
    <x v="3"/>
    <x v="635"/>
    <x v="4"/>
    <x v="11"/>
    <x v="7"/>
    <x v="2"/>
    <x v="33"/>
    <x v="317"/>
    <x v="2869"/>
    <x v="26"/>
    <x v="26"/>
    <x v="1"/>
  </r>
  <r>
    <x v="3"/>
    <x v="3"/>
    <x v="635"/>
    <x v="4"/>
    <x v="11"/>
    <x v="7"/>
    <x v="1"/>
    <x v="33"/>
    <x v="317"/>
    <x v="2869"/>
    <x v="26"/>
    <x v="26"/>
    <x v="1"/>
  </r>
  <r>
    <x v="3"/>
    <x v="3"/>
    <x v="635"/>
    <x v="4"/>
    <x v="11"/>
    <x v="7"/>
    <x v="5"/>
    <x v="38"/>
    <x v="313"/>
    <x v="2877"/>
    <x v="26"/>
    <x v="26"/>
    <x v="1"/>
  </r>
  <r>
    <x v="3"/>
    <x v="3"/>
    <x v="635"/>
    <x v="4"/>
    <x v="11"/>
    <x v="7"/>
    <x v="4"/>
    <x v="38"/>
    <x v="294"/>
    <x v="2772"/>
    <x v="36"/>
    <x v="36"/>
    <x v="1"/>
  </r>
  <r>
    <x v="3"/>
    <x v="3"/>
    <x v="635"/>
    <x v="4"/>
    <x v="11"/>
    <x v="7"/>
    <x v="0"/>
    <x v="28"/>
    <x v="285"/>
    <x v="2491"/>
    <x v="21"/>
    <x v="21"/>
    <x v="1"/>
  </r>
  <r>
    <x v="3"/>
    <x v="3"/>
    <x v="635"/>
    <x v="4"/>
    <x v="11"/>
    <x v="7"/>
    <x v="3"/>
    <x v="38"/>
    <x v="313"/>
    <x v="2877"/>
    <x v="41"/>
    <x v="41"/>
    <x v="1"/>
  </r>
  <r>
    <x v="3"/>
    <x v="3"/>
    <x v="667"/>
    <x v="4"/>
    <x v="11"/>
    <x v="7"/>
    <x v="2"/>
    <x v="28"/>
    <x v="325"/>
    <x v="2877"/>
    <x v="26"/>
    <x v="26"/>
    <x v="1"/>
  </r>
  <r>
    <x v="3"/>
    <x v="3"/>
    <x v="667"/>
    <x v="4"/>
    <x v="11"/>
    <x v="7"/>
    <x v="1"/>
    <x v="28"/>
    <x v="325"/>
    <x v="2877"/>
    <x v="26"/>
    <x v="26"/>
    <x v="1"/>
  </r>
  <r>
    <x v="3"/>
    <x v="3"/>
    <x v="667"/>
    <x v="4"/>
    <x v="11"/>
    <x v="7"/>
    <x v="5"/>
    <x v="53"/>
    <x v="319"/>
    <x v="2947"/>
    <x v="26"/>
    <x v="26"/>
    <x v="1"/>
  </r>
  <r>
    <x v="3"/>
    <x v="3"/>
    <x v="667"/>
    <x v="4"/>
    <x v="11"/>
    <x v="7"/>
    <x v="4"/>
    <x v="53"/>
    <x v="307"/>
    <x v="2895"/>
    <x v="36"/>
    <x v="36"/>
    <x v="1"/>
  </r>
  <r>
    <x v="3"/>
    <x v="3"/>
    <x v="667"/>
    <x v="4"/>
    <x v="11"/>
    <x v="7"/>
    <x v="0"/>
    <x v="48"/>
    <x v="304"/>
    <x v="2873"/>
    <x v="21"/>
    <x v="21"/>
    <x v="1"/>
  </r>
  <r>
    <x v="3"/>
    <x v="3"/>
    <x v="667"/>
    <x v="4"/>
    <x v="11"/>
    <x v="7"/>
    <x v="3"/>
    <x v="58"/>
    <x v="321"/>
    <x v="2970"/>
    <x v="41"/>
    <x v="41"/>
    <x v="1"/>
  </r>
  <r>
    <x v="1"/>
    <x v="3"/>
    <x v="696"/>
    <x v="4"/>
    <x v="11"/>
    <x v="7"/>
    <x v="2"/>
    <x v="48"/>
    <x v="333"/>
    <x v="2978"/>
    <x v="26"/>
    <x v="26"/>
    <x v="1"/>
  </r>
  <r>
    <x v="1"/>
    <x v="3"/>
    <x v="696"/>
    <x v="4"/>
    <x v="11"/>
    <x v="7"/>
    <x v="1"/>
    <x v="48"/>
    <x v="333"/>
    <x v="2978"/>
    <x v="26"/>
    <x v="26"/>
    <x v="1"/>
  </r>
  <r>
    <x v="1"/>
    <x v="3"/>
    <x v="696"/>
    <x v="4"/>
    <x v="11"/>
    <x v="7"/>
    <x v="5"/>
    <x v="53"/>
    <x v="325"/>
    <x v="2969"/>
    <x v="26"/>
    <x v="26"/>
    <x v="1"/>
  </r>
  <r>
    <x v="1"/>
    <x v="3"/>
    <x v="696"/>
    <x v="4"/>
    <x v="11"/>
    <x v="7"/>
    <x v="4"/>
    <x v="53"/>
    <x v="313"/>
    <x v="2924"/>
    <x v="36"/>
    <x v="36"/>
    <x v="1"/>
  </r>
  <r>
    <x v="1"/>
    <x v="3"/>
    <x v="696"/>
    <x v="4"/>
    <x v="11"/>
    <x v="7"/>
    <x v="0"/>
    <x v="48"/>
    <x v="309"/>
    <x v="2891"/>
    <x v="21"/>
    <x v="21"/>
    <x v="1"/>
  </r>
  <r>
    <x v="1"/>
    <x v="3"/>
    <x v="696"/>
    <x v="4"/>
    <x v="11"/>
    <x v="7"/>
    <x v="3"/>
    <x v="58"/>
    <x v="329"/>
    <x v="2996"/>
    <x v="41"/>
    <x v="41"/>
    <x v="1"/>
  </r>
  <r>
    <x v="1"/>
    <x v="0"/>
    <x v="381"/>
    <x v="4"/>
    <x v="11"/>
    <x v="7"/>
    <x v="2"/>
    <x v="23"/>
    <x v="304"/>
    <x v="2535"/>
    <x v="21"/>
    <x v="21"/>
    <x v="1"/>
  </r>
  <r>
    <x v="1"/>
    <x v="0"/>
    <x v="381"/>
    <x v="4"/>
    <x v="11"/>
    <x v="7"/>
    <x v="1"/>
    <x v="33"/>
    <x v="304"/>
    <x v="2774"/>
    <x v="26"/>
    <x v="26"/>
    <x v="1"/>
  </r>
  <r>
    <x v="1"/>
    <x v="0"/>
    <x v="381"/>
    <x v="4"/>
    <x v="11"/>
    <x v="7"/>
    <x v="5"/>
    <x v="33"/>
    <x v="304"/>
    <x v="2774"/>
    <x v="21"/>
    <x v="21"/>
    <x v="1"/>
  </r>
  <r>
    <x v="1"/>
    <x v="0"/>
    <x v="381"/>
    <x v="4"/>
    <x v="11"/>
    <x v="7"/>
    <x v="4"/>
    <x v="33"/>
    <x v="231"/>
    <x v="2350"/>
    <x v="21"/>
    <x v="21"/>
    <x v="1"/>
  </r>
  <r>
    <x v="1"/>
    <x v="0"/>
    <x v="381"/>
    <x v="4"/>
    <x v="11"/>
    <x v="7"/>
    <x v="0"/>
    <x v="38"/>
    <x v="194"/>
    <x v="2227"/>
    <x v="16"/>
    <x v="16"/>
    <x v="1"/>
  </r>
  <r>
    <x v="1"/>
    <x v="0"/>
    <x v="381"/>
    <x v="4"/>
    <x v="11"/>
    <x v="7"/>
    <x v="3"/>
    <x v="33"/>
    <x v="304"/>
    <x v="2774"/>
    <x v="11"/>
    <x v="11"/>
    <x v="1"/>
  </r>
  <r>
    <x v="1"/>
    <x v="0"/>
    <x v="412"/>
    <x v="4"/>
    <x v="11"/>
    <x v="7"/>
    <x v="2"/>
    <x v="23"/>
    <x v="309"/>
    <x v="2652"/>
    <x v="21"/>
    <x v="21"/>
    <x v="1"/>
  </r>
  <r>
    <x v="1"/>
    <x v="0"/>
    <x v="412"/>
    <x v="4"/>
    <x v="11"/>
    <x v="7"/>
    <x v="1"/>
    <x v="33"/>
    <x v="294"/>
    <x v="2686"/>
    <x v="26"/>
    <x v="26"/>
    <x v="1"/>
  </r>
  <r>
    <x v="1"/>
    <x v="0"/>
    <x v="412"/>
    <x v="4"/>
    <x v="11"/>
    <x v="7"/>
    <x v="5"/>
    <x v="33"/>
    <x v="294"/>
    <x v="2686"/>
    <x v="21"/>
    <x v="21"/>
    <x v="1"/>
  </r>
  <r>
    <x v="1"/>
    <x v="0"/>
    <x v="412"/>
    <x v="4"/>
    <x v="2"/>
    <x v="41"/>
    <x v="4"/>
    <x v="33"/>
    <x v="194"/>
    <x v="2064"/>
    <x v="21"/>
    <x v="21"/>
    <x v="1"/>
  </r>
  <r>
    <x v="1"/>
    <x v="0"/>
    <x v="412"/>
    <x v="4"/>
    <x v="2"/>
    <x v="41"/>
    <x v="0"/>
    <x v="38"/>
    <x v="129"/>
    <x v="1617"/>
    <x v="16"/>
    <x v="16"/>
    <x v="1"/>
  </r>
  <r>
    <x v="1"/>
    <x v="0"/>
    <x v="412"/>
    <x v="4"/>
    <x v="2"/>
    <x v="41"/>
    <x v="3"/>
    <x v="33"/>
    <x v="285"/>
    <x v="2637"/>
    <x v="11"/>
    <x v="11"/>
    <x v="1"/>
  </r>
  <r>
    <x v="1"/>
    <x v="0"/>
    <x v="439"/>
    <x v="4"/>
    <x v="2"/>
    <x v="41"/>
    <x v="2"/>
    <x v="33"/>
    <x v="311"/>
    <x v="2840"/>
    <x v="21"/>
    <x v="21"/>
    <x v="1"/>
  </r>
  <r>
    <x v="1"/>
    <x v="0"/>
    <x v="439"/>
    <x v="4"/>
    <x v="2"/>
    <x v="41"/>
    <x v="1"/>
    <x v="43"/>
    <x v="285"/>
    <x v="2793"/>
    <x v="26"/>
    <x v="26"/>
    <x v="1"/>
  </r>
  <r>
    <x v="1"/>
    <x v="0"/>
    <x v="439"/>
    <x v="4"/>
    <x v="2"/>
    <x v="41"/>
    <x v="5"/>
    <x v="43"/>
    <x v="285"/>
    <x v="2793"/>
    <x v="21"/>
    <x v="21"/>
    <x v="1"/>
  </r>
  <r>
    <x v="1"/>
    <x v="0"/>
    <x v="439"/>
    <x v="4"/>
    <x v="2"/>
    <x v="41"/>
    <x v="4"/>
    <x v="43"/>
    <x v="194"/>
    <x v="2383"/>
    <x v="21"/>
    <x v="21"/>
    <x v="1"/>
  </r>
  <r>
    <x v="1"/>
    <x v="0"/>
    <x v="439"/>
    <x v="4"/>
    <x v="2"/>
    <x v="41"/>
    <x v="0"/>
    <x v="48"/>
    <x v="105"/>
    <x v="1646"/>
    <x v="16"/>
    <x v="16"/>
    <x v="1"/>
  </r>
  <r>
    <x v="1"/>
    <x v="0"/>
    <x v="439"/>
    <x v="4"/>
    <x v="2"/>
    <x v="41"/>
    <x v="3"/>
    <x v="43"/>
    <x v="273"/>
    <x v="2745"/>
    <x v="11"/>
    <x v="11"/>
    <x v="1"/>
  </r>
  <r>
    <x v="1"/>
    <x v="0"/>
    <x v="471"/>
    <x v="4"/>
    <x v="2"/>
    <x v="41"/>
    <x v="2"/>
    <x v="43"/>
    <x v="311"/>
    <x v="2886"/>
    <x v="21"/>
    <x v="21"/>
    <x v="1"/>
  </r>
  <r>
    <x v="1"/>
    <x v="0"/>
    <x v="471"/>
    <x v="4"/>
    <x v="2"/>
    <x v="41"/>
    <x v="1"/>
    <x v="48"/>
    <x v="254"/>
    <x v="2757"/>
    <x v="26"/>
    <x v="26"/>
    <x v="1"/>
  </r>
  <r>
    <x v="1"/>
    <x v="0"/>
    <x v="471"/>
    <x v="4"/>
    <x v="2"/>
    <x v="41"/>
    <x v="5"/>
    <x v="48"/>
    <x v="285"/>
    <x v="2829"/>
    <x v="21"/>
    <x v="21"/>
    <x v="1"/>
  </r>
  <r>
    <x v="1"/>
    <x v="0"/>
    <x v="471"/>
    <x v="4"/>
    <x v="2"/>
    <x v="41"/>
    <x v="4"/>
    <x v="43"/>
    <x v="212"/>
    <x v="2513"/>
    <x v="21"/>
    <x v="21"/>
    <x v="1"/>
  </r>
  <r>
    <x v="1"/>
    <x v="0"/>
    <x v="471"/>
    <x v="4"/>
    <x v="2"/>
    <x v="41"/>
    <x v="0"/>
    <x v="48"/>
    <x v="129"/>
    <x v="1929"/>
    <x v="16"/>
    <x v="16"/>
    <x v="1"/>
  </r>
  <r>
    <x v="1"/>
    <x v="0"/>
    <x v="471"/>
    <x v="4"/>
    <x v="2"/>
    <x v="41"/>
    <x v="3"/>
    <x v="63"/>
    <x v="273"/>
    <x v="2867"/>
    <x v="11"/>
    <x v="11"/>
    <x v="1"/>
  </r>
  <r>
    <x v="1"/>
    <x v="0"/>
    <x v="502"/>
    <x v="4"/>
    <x v="2"/>
    <x v="41"/>
    <x v="2"/>
    <x v="43"/>
    <x v="313"/>
    <x v="2892"/>
    <x v="21"/>
    <x v="21"/>
    <x v="1"/>
  </r>
  <r>
    <x v="1"/>
    <x v="0"/>
    <x v="502"/>
    <x v="4"/>
    <x v="2"/>
    <x v="41"/>
    <x v="1"/>
    <x v="48"/>
    <x v="294"/>
    <x v="2850"/>
    <x v="26"/>
    <x v="26"/>
    <x v="1"/>
  </r>
  <r>
    <x v="1"/>
    <x v="0"/>
    <x v="502"/>
    <x v="4"/>
    <x v="2"/>
    <x v="41"/>
    <x v="5"/>
    <x v="48"/>
    <x v="300"/>
    <x v="2862"/>
    <x v="21"/>
    <x v="21"/>
    <x v="1"/>
  </r>
  <r>
    <x v="1"/>
    <x v="0"/>
    <x v="502"/>
    <x v="4"/>
    <x v="2"/>
    <x v="41"/>
    <x v="4"/>
    <x v="43"/>
    <x v="254"/>
    <x v="2686"/>
    <x v="21"/>
    <x v="21"/>
    <x v="1"/>
  </r>
  <r>
    <x v="1"/>
    <x v="0"/>
    <x v="502"/>
    <x v="4"/>
    <x v="2"/>
    <x v="41"/>
    <x v="0"/>
    <x v="48"/>
    <x v="174"/>
    <x v="2350"/>
    <x v="16"/>
    <x v="16"/>
    <x v="1"/>
  </r>
  <r>
    <x v="1"/>
    <x v="0"/>
    <x v="502"/>
    <x v="4"/>
    <x v="2"/>
    <x v="41"/>
    <x v="3"/>
    <x v="63"/>
    <x v="294"/>
    <x v="2892"/>
    <x v="11"/>
    <x v="11"/>
    <x v="1"/>
  </r>
  <r>
    <x v="1"/>
    <x v="0"/>
    <x v="532"/>
    <x v="4"/>
    <x v="2"/>
    <x v="41"/>
    <x v="2"/>
    <x v="43"/>
    <x v="321"/>
    <x v="2921"/>
    <x v="21"/>
    <x v="21"/>
    <x v="1"/>
  </r>
  <r>
    <x v="1"/>
    <x v="0"/>
    <x v="532"/>
    <x v="4"/>
    <x v="2"/>
    <x v="41"/>
    <x v="1"/>
    <x v="48"/>
    <x v="309"/>
    <x v="2891"/>
    <x v="26"/>
    <x v="26"/>
    <x v="1"/>
  </r>
  <r>
    <x v="1"/>
    <x v="0"/>
    <x v="532"/>
    <x v="4"/>
    <x v="2"/>
    <x v="41"/>
    <x v="5"/>
    <x v="48"/>
    <x v="309"/>
    <x v="2891"/>
    <x v="21"/>
    <x v="21"/>
    <x v="1"/>
  </r>
  <r>
    <x v="1"/>
    <x v="0"/>
    <x v="532"/>
    <x v="4"/>
    <x v="2"/>
    <x v="41"/>
    <x v="4"/>
    <x v="43"/>
    <x v="285"/>
    <x v="2793"/>
    <x v="21"/>
    <x v="21"/>
    <x v="1"/>
  </r>
  <r>
    <x v="1"/>
    <x v="0"/>
    <x v="532"/>
    <x v="4"/>
    <x v="2"/>
    <x v="41"/>
    <x v="0"/>
    <x v="48"/>
    <x v="194"/>
    <x v="2506"/>
    <x v="16"/>
    <x v="16"/>
    <x v="1"/>
  </r>
  <r>
    <x v="1"/>
    <x v="0"/>
    <x v="532"/>
    <x v="4"/>
    <x v="2"/>
    <x v="41"/>
    <x v="3"/>
    <x v="63"/>
    <x v="313"/>
    <x v="2949"/>
    <x v="11"/>
    <x v="11"/>
    <x v="1"/>
  </r>
  <r>
    <x v="1"/>
    <x v="0"/>
    <x v="561"/>
    <x v="4"/>
    <x v="2"/>
    <x v="41"/>
    <x v="2"/>
    <x v="43"/>
    <x v="325"/>
    <x v="2935"/>
    <x v="21"/>
    <x v="21"/>
    <x v="1"/>
  </r>
  <r>
    <x v="1"/>
    <x v="0"/>
    <x v="561"/>
    <x v="4"/>
    <x v="2"/>
    <x v="41"/>
    <x v="1"/>
    <x v="48"/>
    <x v="313"/>
    <x v="2908"/>
    <x v="26"/>
    <x v="26"/>
    <x v="1"/>
  </r>
  <r>
    <x v="1"/>
    <x v="0"/>
    <x v="561"/>
    <x v="4"/>
    <x v="2"/>
    <x v="41"/>
    <x v="5"/>
    <x v="48"/>
    <x v="309"/>
    <x v="2891"/>
    <x v="21"/>
    <x v="21"/>
    <x v="1"/>
  </r>
  <r>
    <x v="1"/>
    <x v="0"/>
    <x v="561"/>
    <x v="4"/>
    <x v="2"/>
    <x v="41"/>
    <x v="4"/>
    <x v="43"/>
    <x v="294"/>
    <x v="2817"/>
    <x v="21"/>
    <x v="21"/>
    <x v="1"/>
  </r>
  <r>
    <x v="1"/>
    <x v="0"/>
    <x v="561"/>
    <x v="4"/>
    <x v="2"/>
    <x v="41"/>
    <x v="0"/>
    <x v="48"/>
    <x v="304"/>
    <x v="2873"/>
    <x v="16"/>
    <x v="16"/>
    <x v="1"/>
  </r>
  <r>
    <x v="1"/>
    <x v="0"/>
    <x v="561"/>
    <x v="4"/>
    <x v="2"/>
    <x v="41"/>
    <x v="3"/>
    <x v="63"/>
    <x v="304"/>
    <x v="2912"/>
    <x v="11"/>
    <x v="11"/>
    <x v="1"/>
  </r>
  <r>
    <x v="1"/>
    <x v="0"/>
    <x v="593"/>
    <x v="4"/>
    <x v="2"/>
    <x v="41"/>
    <x v="2"/>
    <x v="48"/>
    <x v="321"/>
    <x v="2939"/>
    <x v="21"/>
    <x v="21"/>
    <x v="1"/>
  </r>
  <r>
    <x v="1"/>
    <x v="0"/>
    <x v="593"/>
    <x v="4"/>
    <x v="2"/>
    <x v="41"/>
    <x v="1"/>
    <x v="53"/>
    <x v="317"/>
    <x v="2940"/>
    <x v="26"/>
    <x v="26"/>
    <x v="1"/>
  </r>
  <r>
    <x v="1"/>
    <x v="0"/>
    <x v="593"/>
    <x v="4"/>
    <x v="2"/>
    <x v="41"/>
    <x v="5"/>
    <x v="48"/>
    <x v="307"/>
    <x v="2884"/>
    <x v="21"/>
    <x v="21"/>
    <x v="1"/>
  </r>
  <r>
    <x v="1"/>
    <x v="0"/>
    <x v="593"/>
    <x v="4"/>
    <x v="2"/>
    <x v="41"/>
    <x v="4"/>
    <x v="48"/>
    <x v="300"/>
    <x v="2862"/>
    <x v="21"/>
    <x v="21"/>
    <x v="1"/>
  </r>
  <r>
    <x v="1"/>
    <x v="0"/>
    <x v="593"/>
    <x v="4"/>
    <x v="2"/>
    <x v="41"/>
    <x v="0"/>
    <x v="58"/>
    <x v="300"/>
    <x v="2890"/>
    <x v="16"/>
    <x v="16"/>
    <x v="1"/>
  </r>
  <r>
    <x v="1"/>
    <x v="0"/>
    <x v="593"/>
    <x v="4"/>
    <x v="2"/>
    <x v="41"/>
    <x v="3"/>
    <x v="63"/>
    <x v="294"/>
    <x v="2892"/>
    <x v="11"/>
    <x v="11"/>
    <x v="1"/>
  </r>
  <r>
    <x v="1"/>
    <x v="0"/>
    <x v="625"/>
    <x v="4"/>
    <x v="2"/>
    <x v="41"/>
    <x v="2"/>
    <x v="38"/>
    <x v="317"/>
    <x v="2889"/>
    <x v="21"/>
    <x v="21"/>
    <x v="1"/>
  </r>
  <r>
    <x v="1"/>
    <x v="0"/>
    <x v="625"/>
    <x v="4"/>
    <x v="2"/>
    <x v="41"/>
    <x v="1"/>
    <x v="43"/>
    <x v="317"/>
    <x v="2907"/>
    <x v="26"/>
    <x v="26"/>
    <x v="1"/>
  </r>
  <r>
    <x v="1"/>
    <x v="0"/>
    <x v="625"/>
    <x v="4"/>
    <x v="2"/>
    <x v="41"/>
    <x v="5"/>
    <x v="38"/>
    <x v="304"/>
    <x v="2827"/>
    <x v="21"/>
    <x v="21"/>
    <x v="1"/>
  </r>
  <r>
    <x v="1"/>
    <x v="0"/>
    <x v="625"/>
    <x v="4"/>
    <x v="2"/>
    <x v="41"/>
    <x v="4"/>
    <x v="38"/>
    <x v="294"/>
    <x v="2772"/>
    <x v="21"/>
    <x v="21"/>
    <x v="1"/>
  </r>
  <r>
    <x v="1"/>
    <x v="0"/>
    <x v="625"/>
    <x v="4"/>
    <x v="2"/>
    <x v="41"/>
    <x v="0"/>
    <x v="48"/>
    <x v="294"/>
    <x v="2850"/>
    <x v="16"/>
    <x v="16"/>
    <x v="1"/>
  </r>
  <r>
    <x v="1"/>
    <x v="0"/>
    <x v="625"/>
    <x v="4"/>
    <x v="2"/>
    <x v="41"/>
    <x v="3"/>
    <x v="53"/>
    <x v="304"/>
    <x v="2888"/>
    <x v="11"/>
    <x v="11"/>
    <x v="1"/>
  </r>
  <r>
    <x v="1"/>
    <x v="0"/>
    <x v="654"/>
    <x v="4"/>
    <x v="2"/>
    <x v="41"/>
    <x v="2"/>
    <x v="38"/>
    <x v="311"/>
    <x v="2866"/>
    <x v="21"/>
    <x v="21"/>
    <x v="1"/>
  </r>
  <r>
    <x v="1"/>
    <x v="0"/>
    <x v="654"/>
    <x v="4"/>
    <x v="2"/>
    <x v="41"/>
    <x v="1"/>
    <x v="43"/>
    <x v="311"/>
    <x v="2886"/>
    <x v="26"/>
    <x v="26"/>
    <x v="1"/>
  </r>
  <r>
    <x v="1"/>
    <x v="0"/>
    <x v="654"/>
    <x v="4"/>
    <x v="2"/>
    <x v="41"/>
    <x v="5"/>
    <x v="38"/>
    <x v="273"/>
    <x v="2673"/>
    <x v="21"/>
    <x v="21"/>
    <x v="1"/>
  </r>
  <r>
    <x v="1"/>
    <x v="0"/>
    <x v="654"/>
    <x v="4"/>
    <x v="2"/>
    <x v="41"/>
    <x v="4"/>
    <x v="38"/>
    <x v="254"/>
    <x v="2594"/>
    <x v="21"/>
    <x v="21"/>
    <x v="1"/>
  </r>
  <r>
    <x v="1"/>
    <x v="0"/>
    <x v="654"/>
    <x v="4"/>
    <x v="2"/>
    <x v="41"/>
    <x v="0"/>
    <x v="48"/>
    <x v="231"/>
    <x v="2694"/>
    <x v="16"/>
    <x v="16"/>
    <x v="1"/>
  </r>
  <r>
    <x v="1"/>
    <x v="0"/>
    <x v="654"/>
    <x v="4"/>
    <x v="2"/>
    <x v="41"/>
    <x v="3"/>
    <x v="53"/>
    <x v="273"/>
    <x v="2833"/>
    <x v="11"/>
    <x v="11"/>
    <x v="1"/>
  </r>
  <r>
    <x v="1"/>
    <x v="0"/>
    <x v="685"/>
    <x v="4"/>
    <x v="2"/>
    <x v="41"/>
    <x v="2"/>
    <x v="38"/>
    <x v="311"/>
    <x v="2866"/>
    <x v="21"/>
    <x v="21"/>
    <x v="1"/>
  </r>
  <r>
    <x v="1"/>
    <x v="0"/>
    <x v="685"/>
    <x v="4"/>
    <x v="2"/>
    <x v="41"/>
    <x v="1"/>
    <x v="43"/>
    <x v="313"/>
    <x v="2892"/>
    <x v="26"/>
    <x v="26"/>
    <x v="1"/>
  </r>
  <r>
    <x v="1"/>
    <x v="0"/>
    <x v="685"/>
    <x v="4"/>
    <x v="2"/>
    <x v="41"/>
    <x v="5"/>
    <x v="38"/>
    <x v="294"/>
    <x v="2772"/>
    <x v="21"/>
    <x v="21"/>
    <x v="1"/>
  </r>
  <r>
    <x v="1"/>
    <x v="0"/>
    <x v="685"/>
    <x v="4"/>
    <x v="2"/>
    <x v="41"/>
    <x v="4"/>
    <x v="38"/>
    <x v="285"/>
    <x v="2727"/>
    <x v="21"/>
    <x v="21"/>
    <x v="1"/>
  </r>
  <r>
    <x v="1"/>
    <x v="0"/>
    <x v="685"/>
    <x v="4"/>
    <x v="2"/>
    <x v="41"/>
    <x v="0"/>
    <x v="48"/>
    <x v="254"/>
    <x v="2757"/>
    <x v="16"/>
    <x v="16"/>
    <x v="1"/>
  </r>
  <r>
    <x v="1"/>
    <x v="0"/>
    <x v="685"/>
    <x v="4"/>
    <x v="2"/>
    <x v="41"/>
    <x v="3"/>
    <x v="53"/>
    <x v="304"/>
    <x v="2888"/>
    <x v="11"/>
    <x v="11"/>
    <x v="1"/>
  </r>
  <r>
    <x v="1"/>
    <x v="0"/>
    <x v="714"/>
    <x v="4"/>
    <x v="2"/>
    <x v="41"/>
    <x v="2"/>
    <x v="38"/>
    <x v="321"/>
    <x v="2904"/>
    <x v="21"/>
    <x v="21"/>
    <x v="1"/>
  </r>
  <r>
    <x v="1"/>
    <x v="0"/>
    <x v="714"/>
    <x v="4"/>
    <x v="2"/>
    <x v="41"/>
    <x v="1"/>
    <x v="43"/>
    <x v="321"/>
    <x v="2921"/>
    <x v="26"/>
    <x v="26"/>
    <x v="1"/>
  </r>
  <r>
    <x v="2"/>
    <x v="0"/>
    <x v="714"/>
    <x v="4"/>
    <x v="2"/>
    <x v="41"/>
    <x v="5"/>
    <x v="38"/>
    <x v="304"/>
    <x v="2827"/>
    <x v="21"/>
    <x v="21"/>
    <x v="1"/>
  </r>
  <r>
    <x v="2"/>
    <x v="0"/>
    <x v="714"/>
    <x v="4"/>
    <x v="2"/>
    <x v="41"/>
    <x v="4"/>
    <x v="38"/>
    <x v="304"/>
    <x v="2827"/>
    <x v="21"/>
    <x v="21"/>
    <x v="1"/>
  </r>
  <r>
    <x v="2"/>
    <x v="0"/>
    <x v="714"/>
    <x v="4"/>
    <x v="2"/>
    <x v="41"/>
    <x v="0"/>
    <x v="48"/>
    <x v="285"/>
    <x v="2829"/>
    <x v="16"/>
    <x v="16"/>
    <x v="1"/>
  </r>
  <r>
    <x v="2"/>
    <x v="0"/>
    <x v="714"/>
    <x v="4"/>
    <x v="2"/>
    <x v="41"/>
    <x v="3"/>
    <x v="53"/>
    <x v="307"/>
    <x v="2895"/>
    <x v="11"/>
    <x v="11"/>
    <x v="1"/>
  </r>
  <r>
    <x v="2"/>
    <x v="0"/>
    <x v="384"/>
    <x v="4"/>
    <x v="2"/>
    <x v="41"/>
    <x v="2"/>
    <x v="28"/>
    <x v="309"/>
    <x v="2763"/>
    <x v="21"/>
    <x v="21"/>
    <x v="1"/>
  </r>
  <r>
    <x v="2"/>
    <x v="0"/>
    <x v="384"/>
    <x v="4"/>
    <x v="2"/>
    <x v="41"/>
    <x v="1"/>
    <x v="38"/>
    <x v="309"/>
    <x v="2855"/>
    <x v="26"/>
    <x v="26"/>
    <x v="1"/>
  </r>
  <r>
    <x v="2"/>
    <x v="0"/>
    <x v="384"/>
    <x v="4"/>
    <x v="2"/>
    <x v="41"/>
    <x v="5"/>
    <x v="38"/>
    <x v="309"/>
    <x v="2855"/>
    <x v="21"/>
    <x v="21"/>
    <x v="1"/>
  </r>
  <r>
    <x v="2"/>
    <x v="0"/>
    <x v="384"/>
    <x v="4"/>
    <x v="2"/>
    <x v="41"/>
    <x v="4"/>
    <x v="38"/>
    <x v="273"/>
    <x v="2673"/>
    <x v="21"/>
    <x v="21"/>
    <x v="1"/>
  </r>
  <r>
    <x v="2"/>
    <x v="0"/>
    <x v="384"/>
    <x v="4"/>
    <x v="2"/>
    <x v="41"/>
    <x v="0"/>
    <x v="43"/>
    <x v="231"/>
    <x v="2615"/>
    <x v="16"/>
    <x v="16"/>
    <x v="1"/>
  </r>
  <r>
    <x v="2"/>
    <x v="0"/>
    <x v="384"/>
    <x v="4"/>
    <x v="2"/>
    <x v="41"/>
    <x v="3"/>
    <x v="38"/>
    <x v="309"/>
    <x v="2855"/>
    <x v="11"/>
    <x v="11"/>
    <x v="1"/>
  </r>
  <r>
    <x v="2"/>
    <x v="0"/>
    <x v="415"/>
    <x v="4"/>
    <x v="2"/>
    <x v="41"/>
    <x v="2"/>
    <x v="28"/>
    <x v="313"/>
    <x v="2811"/>
    <x v="21"/>
    <x v="21"/>
    <x v="1"/>
  </r>
  <r>
    <x v="2"/>
    <x v="0"/>
    <x v="415"/>
    <x v="4"/>
    <x v="2"/>
    <x v="41"/>
    <x v="1"/>
    <x v="38"/>
    <x v="304"/>
    <x v="2827"/>
    <x v="26"/>
    <x v="26"/>
    <x v="1"/>
  </r>
  <r>
    <x v="2"/>
    <x v="0"/>
    <x v="415"/>
    <x v="4"/>
    <x v="2"/>
    <x v="41"/>
    <x v="5"/>
    <x v="38"/>
    <x v="304"/>
    <x v="2827"/>
    <x v="21"/>
    <x v="21"/>
    <x v="1"/>
  </r>
  <r>
    <x v="2"/>
    <x v="0"/>
    <x v="415"/>
    <x v="4"/>
    <x v="30"/>
    <x v="1"/>
    <x v="4"/>
    <x v="38"/>
    <x v="231"/>
    <x v="2506"/>
    <x v="21"/>
    <x v="21"/>
    <x v="1"/>
  </r>
  <r>
    <x v="2"/>
    <x v="0"/>
    <x v="415"/>
    <x v="4"/>
    <x v="30"/>
    <x v="1"/>
    <x v="0"/>
    <x v="43"/>
    <x v="174"/>
    <x v="2206"/>
    <x v="16"/>
    <x v="16"/>
    <x v="1"/>
  </r>
  <r>
    <x v="2"/>
    <x v="0"/>
    <x v="415"/>
    <x v="4"/>
    <x v="30"/>
    <x v="1"/>
    <x v="3"/>
    <x v="38"/>
    <x v="300"/>
    <x v="2805"/>
    <x v="11"/>
    <x v="11"/>
    <x v="1"/>
  </r>
  <r>
    <x v="2"/>
    <x v="0"/>
    <x v="442"/>
    <x v="4"/>
    <x v="30"/>
    <x v="1"/>
    <x v="2"/>
    <x v="38"/>
    <x v="315"/>
    <x v="2884"/>
    <x v="21"/>
    <x v="21"/>
    <x v="1"/>
  </r>
  <r>
    <x v="2"/>
    <x v="0"/>
    <x v="442"/>
    <x v="4"/>
    <x v="30"/>
    <x v="1"/>
    <x v="1"/>
    <x v="48"/>
    <x v="300"/>
    <x v="2862"/>
    <x v="26"/>
    <x v="26"/>
    <x v="1"/>
  </r>
  <r>
    <x v="2"/>
    <x v="0"/>
    <x v="442"/>
    <x v="4"/>
    <x v="30"/>
    <x v="1"/>
    <x v="5"/>
    <x v="48"/>
    <x v="300"/>
    <x v="2862"/>
    <x v="21"/>
    <x v="21"/>
    <x v="1"/>
  </r>
  <r>
    <x v="2"/>
    <x v="0"/>
    <x v="442"/>
    <x v="4"/>
    <x v="30"/>
    <x v="1"/>
    <x v="4"/>
    <x v="48"/>
    <x v="231"/>
    <x v="2694"/>
    <x v="21"/>
    <x v="21"/>
    <x v="1"/>
  </r>
  <r>
    <x v="2"/>
    <x v="0"/>
    <x v="442"/>
    <x v="4"/>
    <x v="30"/>
    <x v="1"/>
    <x v="0"/>
    <x v="53"/>
    <x v="152"/>
    <x v="2282"/>
    <x v="16"/>
    <x v="16"/>
    <x v="1"/>
  </r>
  <r>
    <x v="2"/>
    <x v="0"/>
    <x v="442"/>
    <x v="4"/>
    <x v="30"/>
    <x v="1"/>
    <x v="3"/>
    <x v="48"/>
    <x v="294"/>
    <x v="2850"/>
    <x v="11"/>
    <x v="11"/>
    <x v="1"/>
  </r>
  <r>
    <x v="2"/>
    <x v="0"/>
    <x v="474"/>
    <x v="4"/>
    <x v="30"/>
    <x v="1"/>
    <x v="2"/>
    <x v="48"/>
    <x v="315"/>
    <x v="2916"/>
    <x v="21"/>
    <x v="21"/>
    <x v="1"/>
  </r>
  <r>
    <x v="2"/>
    <x v="0"/>
    <x v="474"/>
    <x v="4"/>
    <x v="30"/>
    <x v="1"/>
    <x v="1"/>
    <x v="53"/>
    <x v="285"/>
    <x v="2852"/>
    <x v="26"/>
    <x v="26"/>
    <x v="1"/>
  </r>
  <r>
    <x v="2"/>
    <x v="0"/>
    <x v="474"/>
    <x v="4"/>
    <x v="30"/>
    <x v="1"/>
    <x v="5"/>
    <x v="53"/>
    <x v="300"/>
    <x v="2880"/>
    <x v="21"/>
    <x v="21"/>
    <x v="1"/>
  </r>
  <r>
    <x v="2"/>
    <x v="0"/>
    <x v="474"/>
    <x v="4"/>
    <x v="30"/>
    <x v="1"/>
    <x v="4"/>
    <x v="48"/>
    <x v="254"/>
    <x v="2757"/>
    <x v="21"/>
    <x v="21"/>
    <x v="1"/>
  </r>
  <r>
    <x v="2"/>
    <x v="0"/>
    <x v="474"/>
    <x v="4"/>
    <x v="30"/>
    <x v="1"/>
    <x v="0"/>
    <x v="53"/>
    <x v="174"/>
    <x v="2469"/>
    <x v="16"/>
    <x v="16"/>
    <x v="1"/>
  </r>
  <r>
    <x v="2"/>
    <x v="0"/>
    <x v="474"/>
    <x v="4"/>
    <x v="30"/>
    <x v="1"/>
    <x v="3"/>
    <x v="68"/>
    <x v="294"/>
    <x v="2904"/>
    <x v="11"/>
    <x v="11"/>
    <x v="1"/>
  </r>
  <r>
    <x v="2"/>
    <x v="0"/>
    <x v="505"/>
    <x v="4"/>
    <x v="30"/>
    <x v="1"/>
    <x v="2"/>
    <x v="48"/>
    <x v="317"/>
    <x v="2925"/>
    <x v="21"/>
    <x v="21"/>
    <x v="1"/>
  </r>
  <r>
    <x v="2"/>
    <x v="0"/>
    <x v="505"/>
    <x v="4"/>
    <x v="30"/>
    <x v="1"/>
    <x v="1"/>
    <x v="53"/>
    <x v="304"/>
    <x v="2888"/>
    <x v="26"/>
    <x v="26"/>
    <x v="1"/>
  </r>
  <r>
    <x v="2"/>
    <x v="0"/>
    <x v="505"/>
    <x v="4"/>
    <x v="30"/>
    <x v="1"/>
    <x v="5"/>
    <x v="53"/>
    <x v="307"/>
    <x v="2895"/>
    <x v="21"/>
    <x v="21"/>
    <x v="1"/>
  </r>
  <r>
    <x v="2"/>
    <x v="0"/>
    <x v="505"/>
    <x v="4"/>
    <x v="30"/>
    <x v="1"/>
    <x v="4"/>
    <x v="48"/>
    <x v="285"/>
    <x v="2829"/>
    <x v="21"/>
    <x v="21"/>
    <x v="1"/>
  </r>
  <r>
    <x v="2"/>
    <x v="0"/>
    <x v="505"/>
    <x v="4"/>
    <x v="30"/>
    <x v="1"/>
    <x v="0"/>
    <x v="53"/>
    <x v="212"/>
    <x v="2686"/>
    <x v="16"/>
    <x v="16"/>
    <x v="1"/>
  </r>
  <r>
    <x v="2"/>
    <x v="0"/>
    <x v="505"/>
    <x v="4"/>
    <x v="30"/>
    <x v="1"/>
    <x v="3"/>
    <x v="68"/>
    <x v="304"/>
    <x v="2926"/>
    <x v="11"/>
    <x v="11"/>
    <x v="1"/>
  </r>
  <r>
    <x v="2"/>
    <x v="0"/>
    <x v="535"/>
    <x v="4"/>
    <x v="30"/>
    <x v="1"/>
    <x v="2"/>
    <x v="48"/>
    <x v="327"/>
    <x v="2958"/>
    <x v="21"/>
    <x v="21"/>
    <x v="1"/>
  </r>
  <r>
    <x v="2"/>
    <x v="0"/>
    <x v="535"/>
    <x v="4"/>
    <x v="30"/>
    <x v="1"/>
    <x v="1"/>
    <x v="53"/>
    <x v="315"/>
    <x v="2933"/>
    <x v="26"/>
    <x v="26"/>
    <x v="1"/>
  </r>
  <r>
    <x v="2"/>
    <x v="0"/>
    <x v="535"/>
    <x v="4"/>
    <x v="30"/>
    <x v="1"/>
    <x v="5"/>
    <x v="53"/>
    <x v="315"/>
    <x v="2933"/>
    <x v="21"/>
    <x v="21"/>
    <x v="1"/>
  </r>
  <r>
    <x v="2"/>
    <x v="0"/>
    <x v="535"/>
    <x v="4"/>
    <x v="30"/>
    <x v="1"/>
    <x v="4"/>
    <x v="48"/>
    <x v="304"/>
    <x v="2873"/>
    <x v="21"/>
    <x v="21"/>
    <x v="1"/>
  </r>
  <r>
    <x v="2"/>
    <x v="0"/>
    <x v="535"/>
    <x v="4"/>
    <x v="30"/>
    <x v="1"/>
    <x v="0"/>
    <x v="53"/>
    <x v="254"/>
    <x v="2805"/>
    <x v="16"/>
    <x v="16"/>
    <x v="1"/>
  </r>
  <r>
    <x v="2"/>
    <x v="0"/>
    <x v="535"/>
    <x v="4"/>
    <x v="30"/>
    <x v="1"/>
    <x v="3"/>
    <x v="68"/>
    <x v="319"/>
    <x v="2987"/>
    <x v="11"/>
    <x v="11"/>
    <x v="1"/>
  </r>
  <r>
    <x v="2"/>
    <x v="0"/>
    <x v="564"/>
    <x v="4"/>
    <x v="30"/>
    <x v="1"/>
    <x v="2"/>
    <x v="48"/>
    <x v="331"/>
    <x v="2972"/>
    <x v="21"/>
    <x v="21"/>
    <x v="1"/>
  </r>
  <r>
    <x v="2"/>
    <x v="0"/>
    <x v="564"/>
    <x v="4"/>
    <x v="30"/>
    <x v="1"/>
    <x v="1"/>
    <x v="53"/>
    <x v="319"/>
    <x v="2947"/>
    <x v="26"/>
    <x v="26"/>
    <x v="1"/>
  </r>
  <r>
    <x v="2"/>
    <x v="0"/>
    <x v="564"/>
    <x v="4"/>
    <x v="30"/>
    <x v="1"/>
    <x v="5"/>
    <x v="53"/>
    <x v="315"/>
    <x v="2933"/>
    <x v="21"/>
    <x v="21"/>
    <x v="1"/>
  </r>
  <r>
    <x v="2"/>
    <x v="0"/>
    <x v="564"/>
    <x v="4"/>
    <x v="30"/>
    <x v="1"/>
    <x v="4"/>
    <x v="48"/>
    <x v="307"/>
    <x v="2884"/>
    <x v="21"/>
    <x v="21"/>
    <x v="1"/>
  </r>
  <r>
    <x v="2"/>
    <x v="0"/>
    <x v="564"/>
    <x v="4"/>
    <x v="30"/>
    <x v="1"/>
    <x v="0"/>
    <x v="53"/>
    <x v="311"/>
    <x v="2915"/>
    <x v="16"/>
    <x v="16"/>
    <x v="1"/>
  </r>
  <r>
    <x v="2"/>
    <x v="0"/>
    <x v="564"/>
    <x v="4"/>
    <x v="30"/>
    <x v="1"/>
    <x v="3"/>
    <x v="68"/>
    <x v="311"/>
    <x v="2955"/>
    <x v="11"/>
    <x v="11"/>
    <x v="1"/>
  </r>
  <r>
    <x v="2"/>
    <x v="0"/>
    <x v="596"/>
    <x v="4"/>
    <x v="30"/>
    <x v="1"/>
    <x v="2"/>
    <x v="53"/>
    <x v="327"/>
    <x v="2974"/>
    <x v="21"/>
    <x v="21"/>
    <x v="1"/>
  </r>
  <r>
    <x v="2"/>
    <x v="0"/>
    <x v="596"/>
    <x v="4"/>
    <x v="30"/>
    <x v="1"/>
    <x v="1"/>
    <x v="58"/>
    <x v="323"/>
    <x v="2975"/>
    <x v="26"/>
    <x v="26"/>
    <x v="1"/>
  </r>
  <r>
    <x v="2"/>
    <x v="0"/>
    <x v="596"/>
    <x v="4"/>
    <x v="30"/>
    <x v="1"/>
    <x v="5"/>
    <x v="53"/>
    <x v="313"/>
    <x v="2924"/>
    <x v="21"/>
    <x v="21"/>
    <x v="1"/>
  </r>
  <r>
    <x v="2"/>
    <x v="0"/>
    <x v="596"/>
    <x v="4"/>
    <x v="30"/>
    <x v="1"/>
    <x v="4"/>
    <x v="53"/>
    <x v="309"/>
    <x v="2906"/>
    <x v="21"/>
    <x v="21"/>
    <x v="1"/>
  </r>
  <r>
    <x v="2"/>
    <x v="0"/>
    <x v="596"/>
    <x v="4"/>
    <x v="30"/>
    <x v="1"/>
    <x v="0"/>
    <x v="63"/>
    <x v="309"/>
    <x v="2934"/>
    <x v="16"/>
    <x v="16"/>
    <x v="1"/>
  </r>
  <r>
    <x v="2"/>
    <x v="0"/>
    <x v="596"/>
    <x v="4"/>
    <x v="30"/>
    <x v="1"/>
    <x v="3"/>
    <x v="68"/>
    <x v="307"/>
    <x v="2935"/>
    <x v="11"/>
    <x v="11"/>
    <x v="1"/>
  </r>
  <r>
    <x v="2"/>
    <x v="0"/>
    <x v="628"/>
    <x v="4"/>
    <x v="30"/>
    <x v="1"/>
    <x v="2"/>
    <x v="43"/>
    <x v="321"/>
    <x v="2921"/>
    <x v="21"/>
    <x v="21"/>
    <x v="1"/>
  </r>
  <r>
    <x v="2"/>
    <x v="0"/>
    <x v="628"/>
    <x v="4"/>
    <x v="30"/>
    <x v="1"/>
    <x v="1"/>
    <x v="48"/>
    <x v="321"/>
    <x v="2939"/>
    <x v="26"/>
    <x v="26"/>
    <x v="1"/>
  </r>
  <r>
    <x v="2"/>
    <x v="0"/>
    <x v="628"/>
    <x v="4"/>
    <x v="30"/>
    <x v="1"/>
    <x v="5"/>
    <x v="43"/>
    <x v="309"/>
    <x v="2878"/>
    <x v="21"/>
    <x v="21"/>
    <x v="1"/>
  </r>
  <r>
    <x v="2"/>
    <x v="0"/>
    <x v="628"/>
    <x v="4"/>
    <x v="30"/>
    <x v="1"/>
    <x v="4"/>
    <x v="43"/>
    <x v="304"/>
    <x v="2854"/>
    <x v="21"/>
    <x v="21"/>
    <x v="1"/>
  </r>
  <r>
    <x v="2"/>
    <x v="0"/>
    <x v="628"/>
    <x v="4"/>
    <x v="30"/>
    <x v="1"/>
    <x v="0"/>
    <x v="53"/>
    <x v="304"/>
    <x v="2888"/>
    <x v="16"/>
    <x v="16"/>
    <x v="1"/>
  </r>
  <r>
    <x v="2"/>
    <x v="0"/>
    <x v="628"/>
    <x v="4"/>
    <x v="30"/>
    <x v="1"/>
    <x v="3"/>
    <x v="58"/>
    <x v="309"/>
    <x v="2918"/>
    <x v="11"/>
    <x v="11"/>
    <x v="1"/>
  </r>
  <r>
    <x v="2"/>
    <x v="0"/>
    <x v="657"/>
    <x v="4"/>
    <x v="30"/>
    <x v="1"/>
    <x v="2"/>
    <x v="43"/>
    <x v="315"/>
    <x v="2899"/>
    <x v="21"/>
    <x v="21"/>
    <x v="1"/>
  </r>
  <r>
    <x v="2"/>
    <x v="0"/>
    <x v="657"/>
    <x v="4"/>
    <x v="30"/>
    <x v="1"/>
    <x v="1"/>
    <x v="48"/>
    <x v="315"/>
    <x v="2916"/>
    <x v="26"/>
    <x v="26"/>
    <x v="1"/>
  </r>
  <r>
    <x v="2"/>
    <x v="0"/>
    <x v="657"/>
    <x v="4"/>
    <x v="30"/>
    <x v="1"/>
    <x v="5"/>
    <x v="43"/>
    <x v="294"/>
    <x v="2817"/>
    <x v="21"/>
    <x v="21"/>
    <x v="1"/>
  </r>
  <r>
    <x v="2"/>
    <x v="0"/>
    <x v="657"/>
    <x v="4"/>
    <x v="30"/>
    <x v="1"/>
    <x v="4"/>
    <x v="43"/>
    <x v="285"/>
    <x v="2793"/>
    <x v="21"/>
    <x v="21"/>
    <x v="1"/>
  </r>
  <r>
    <x v="2"/>
    <x v="0"/>
    <x v="657"/>
    <x v="4"/>
    <x v="30"/>
    <x v="1"/>
    <x v="0"/>
    <x v="53"/>
    <x v="273"/>
    <x v="2833"/>
    <x v="16"/>
    <x v="16"/>
    <x v="1"/>
  </r>
  <r>
    <x v="2"/>
    <x v="0"/>
    <x v="657"/>
    <x v="4"/>
    <x v="30"/>
    <x v="1"/>
    <x v="3"/>
    <x v="68"/>
    <x v="294"/>
    <x v="2904"/>
    <x v="11"/>
    <x v="11"/>
    <x v="1"/>
  </r>
  <r>
    <x v="2"/>
    <x v="0"/>
    <x v="688"/>
    <x v="4"/>
    <x v="30"/>
    <x v="1"/>
    <x v="2"/>
    <x v="53"/>
    <x v="315"/>
    <x v="2933"/>
    <x v="21"/>
    <x v="21"/>
    <x v="1"/>
  </r>
  <r>
    <x v="2"/>
    <x v="0"/>
    <x v="688"/>
    <x v="4"/>
    <x v="30"/>
    <x v="1"/>
    <x v="1"/>
    <x v="58"/>
    <x v="319"/>
    <x v="2961"/>
    <x v="26"/>
    <x v="26"/>
    <x v="1"/>
  </r>
  <r>
    <x v="2"/>
    <x v="0"/>
    <x v="688"/>
    <x v="4"/>
    <x v="30"/>
    <x v="1"/>
    <x v="5"/>
    <x v="53"/>
    <x v="307"/>
    <x v="2895"/>
    <x v="21"/>
    <x v="21"/>
    <x v="1"/>
  </r>
  <r>
    <x v="2"/>
    <x v="0"/>
    <x v="688"/>
    <x v="4"/>
    <x v="30"/>
    <x v="1"/>
    <x v="4"/>
    <x v="53"/>
    <x v="304"/>
    <x v="2888"/>
    <x v="21"/>
    <x v="21"/>
    <x v="1"/>
  </r>
  <r>
    <x v="2"/>
    <x v="0"/>
    <x v="688"/>
    <x v="4"/>
    <x v="30"/>
    <x v="1"/>
    <x v="0"/>
    <x v="63"/>
    <x v="294"/>
    <x v="2892"/>
    <x v="16"/>
    <x v="16"/>
    <x v="1"/>
  </r>
  <r>
    <x v="2"/>
    <x v="0"/>
    <x v="688"/>
    <x v="4"/>
    <x v="30"/>
    <x v="1"/>
    <x v="3"/>
    <x v="68"/>
    <x v="311"/>
    <x v="2955"/>
    <x v="11"/>
    <x v="11"/>
    <x v="1"/>
  </r>
  <r>
    <x v="2"/>
    <x v="0"/>
    <x v="717"/>
    <x v="4"/>
    <x v="30"/>
    <x v="1"/>
    <x v="2"/>
    <x v="53"/>
    <x v="327"/>
    <x v="2974"/>
    <x v="21"/>
    <x v="21"/>
    <x v="1"/>
  </r>
  <r>
    <x v="2"/>
    <x v="0"/>
    <x v="717"/>
    <x v="4"/>
    <x v="30"/>
    <x v="1"/>
    <x v="1"/>
    <x v="58"/>
    <x v="327"/>
    <x v="2989"/>
    <x v="26"/>
    <x v="26"/>
    <x v="1"/>
  </r>
  <r>
    <x v="3"/>
    <x v="0"/>
    <x v="717"/>
    <x v="4"/>
    <x v="30"/>
    <x v="1"/>
    <x v="5"/>
    <x v="53"/>
    <x v="311"/>
    <x v="2915"/>
    <x v="21"/>
    <x v="21"/>
    <x v="1"/>
  </r>
  <r>
    <x v="3"/>
    <x v="0"/>
    <x v="717"/>
    <x v="4"/>
    <x v="30"/>
    <x v="1"/>
    <x v="4"/>
    <x v="53"/>
    <x v="311"/>
    <x v="2915"/>
    <x v="21"/>
    <x v="21"/>
    <x v="1"/>
  </r>
  <r>
    <x v="3"/>
    <x v="0"/>
    <x v="717"/>
    <x v="4"/>
    <x v="30"/>
    <x v="1"/>
    <x v="0"/>
    <x v="63"/>
    <x v="304"/>
    <x v="2912"/>
    <x v="16"/>
    <x v="16"/>
    <x v="1"/>
  </r>
  <r>
    <x v="3"/>
    <x v="0"/>
    <x v="717"/>
    <x v="4"/>
    <x v="30"/>
    <x v="1"/>
    <x v="3"/>
    <x v="68"/>
    <x v="313"/>
    <x v="2963"/>
    <x v="11"/>
    <x v="11"/>
    <x v="1"/>
  </r>
  <r>
    <x v="3"/>
    <x v="0"/>
    <x v="371"/>
    <x v="4"/>
    <x v="30"/>
    <x v="1"/>
    <x v="2"/>
    <x v="23"/>
    <x v="307"/>
    <x v="2594"/>
    <x v="26"/>
    <x v="26"/>
    <x v="1"/>
  </r>
  <r>
    <x v="3"/>
    <x v="0"/>
    <x v="371"/>
    <x v="4"/>
    <x v="30"/>
    <x v="1"/>
    <x v="1"/>
    <x v="33"/>
    <x v="307"/>
    <x v="2805"/>
    <x v="26"/>
    <x v="26"/>
    <x v="1"/>
  </r>
  <r>
    <x v="3"/>
    <x v="0"/>
    <x v="371"/>
    <x v="4"/>
    <x v="30"/>
    <x v="1"/>
    <x v="5"/>
    <x v="33"/>
    <x v="307"/>
    <x v="2805"/>
    <x v="21"/>
    <x v="21"/>
    <x v="1"/>
  </r>
  <r>
    <x v="3"/>
    <x v="0"/>
    <x v="371"/>
    <x v="4"/>
    <x v="30"/>
    <x v="1"/>
    <x v="4"/>
    <x v="33"/>
    <x v="254"/>
    <x v="2469"/>
    <x v="26"/>
    <x v="26"/>
    <x v="1"/>
  </r>
  <r>
    <x v="3"/>
    <x v="0"/>
    <x v="371"/>
    <x v="4"/>
    <x v="30"/>
    <x v="1"/>
    <x v="0"/>
    <x v="38"/>
    <x v="212"/>
    <x v="2383"/>
    <x v="21"/>
    <x v="21"/>
    <x v="1"/>
  </r>
  <r>
    <x v="3"/>
    <x v="0"/>
    <x v="371"/>
    <x v="4"/>
    <x v="30"/>
    <x v="1"/>
    <x v="3"/>
    <x v="33"/>
    <x v="307"/>
    <x v="2805"/>
    <x v="11"/>
    <x v="11"/>
    <x v="1"/>
  </r>
  <r>
    <x v="3"/>
    <x v="0"/>
    <x v="402"/>
    <x v="4"/>
    <x v="30"/>
    <x v="1"/>
    <x v="2"/>
    <x v="23"/>
    <x v="311"/>
    <x v="2686"/>
    <x v="26"/>
    <x v="26"/>
    <x v="1"/>
  </r>
  <r>
    <x v="3"/>
    <x v="0"/>
    <x v="402"/>
    <x v="4"/>
    <x v="30"/>
    <x v="1"/>
    <x v="1"/>
    <x v="33"/>
    <x v="300"/>
    <x v="2737"/>
    <x v="26"/>
    <x v="26"/>
    <x v="1"/>
  </r>
  <r>
    <x v="3"/>
    <x v="0"/>
    <x v="402"/>
    <x v="4"/>
    <x v="30"/>
    <x v="1"/>
    <x v="5"/>
    <x v="33"/>
    <x v="300"/>
    <x v="2737"/>
    <x v="21"/>
    <x v="21"/>
    <x v="1"/>
  </r>
  <r>
    <x v="3"/>
    <x v="0"/>
    <x v="402"/>
    <x v="3"/>
    <x v="9"/>
    <x v="3"/>
    <x v="4"/>
    <x v="33"/>
    <x v="212"/>
    <x v="2206"/>
    <x v="26"/>
    <x v="26"/>
    <x v="1"/>
  </r>
  <r>
    <x v="3"/>
    <x v="0"/>
    <x v="402"/>
    <x v="3"/>
    <x v="9"/>
    <x v="3"/>
    <x v="0"/>
    <x v="38"/>
    <x v="152"/>
    <x v="1857"/>
    <x v="21"/>
    <x v="21"/>
    <x v="1"/>
  </r>
  <r>
    <x v="3"/>
    <x v="0"/>
    <x v="402"/>
    <x v="3"/>
    <x v="9"/>
    <x v="3"/>
    <x v="3"/>
    <x v="33"/>
    <x v="294"/>
    <x v="2686"/>
    <x v="11"/>
    <x v="11"/>
    <x v="1"/>
  </r>
  <r>
    <x v="3"/>
    <x v="0"/>
    <x v="429"/>
    <x v="3"/>
    <x v="9"/>
    <x v="3"/>
    <x v="2"/>
    <x v="33"/>
    <x v="313"/>
    <x v="2852"/>
    <x v="26"/>
    <x v="26"/>
    <x v="1"/>
  </r>
  <r>
    <x v="3"/>
    <x v="0"/>
    <x v="429"/>
    <x v="3"/>
    <x v="9"/>
    <x v="3"/>
    <x v="1"/>
    <x v="43"/>
    <x v="294"/>
    <x v="2817"/>
    <x v="26"/>
    <x v="26"/>
    <x v="1"/>
  </r>
  <r>
    <x v="3"/>
    <x v="0"/>
    <x v="429"/>
    <x v="3"/>
    <x v="9"/>
    <x v="3"/>
    <x v="5"/>
    <x v="43"/>
    <x v="294"/>
    <x v="2817"/>
    <x v="21"/>
    <x v="21"/>
    <x v="1"/>
  </r>
  <r>
    <x v="3"/>
    <x v="0"/>
    <x v="429"/>
    <x v="3"/>
    <x v="9"/>
    <x v="3"/>
    <x v="4"/>
    <x v="43"/>
    <x v="212"/>
    <x v="2513"/>
    <x v="26"/>
    <x v="26"/>
    <x v="1"/>
  </r>
  <r>
    <x v="3"/>
    <x v="0"/>
    <x v="429"/>
    <x v="3"/>
    <x v="9"/>
    <x v="3"/>
    <x v="0"/>
    <x v="48"/>
    <x v="129"/>
    <x v="1929"/>
    <x v="21"/>
    <x v="21"/>
    <x v="1"/>
  </r>
  <r>
    <x v="3"/>
    <x v="0"/>
    <x v="429"/>
    <x v="3"/>
    <x v="9"/>
    <x v="3"/>
    <x v="3"/>
    <x v="43"/>
    <x v="285"/>
    <x v="2793"/>
    <x v="11"/>
    <x v="11"/>
    <x v="1"/>
  </r>
  <r>
    <x v="3"/>
    <x v="0"/>
    <x v="461"/>
    <x v="3"/>
    <x v="9"/>
    <x v="3"/>
    <x v="2"/>
    <x v="43"/>
    <x v="313"/>
    <x v="2892"/>
    <x v="26"/>
    <x v="26"/>
    <x v="1"/>
  </r>
  <r>
    <x v="3"/>
    <x v="0"/>
    <x v="461"/>
    <x v="3"/>
    <x v="9"/>
    <x v="3"/>
    <x v="1"/>
    <x v="48"/>
    <x v="273"/>
    <x v="2800"/>
    <x v="26"/>
    <x v="26"/>
    <x v="1"/>
  </r>
  <r>
    <x v="3"/>
    <x v="0"/>
    <x v="461"/>
    <x v="3"/>
    <x v="9"/>
    <x v="3"/>
    <x v="5"/>
    <x v="48"/>
    <x v="294"/>
    <x v="2850"/>
    <x v="21"/>
    <x v="21"/>
    <x v="1"/>
  </r>
  <r>
    <x v="3"/>
    <x v="0"/>
    <x v="461"/>
    <x v="3"/>
    <x v="9"/>
    <x v="3"/>
    <x v="4"/>
    <x v="43"/>
    <x v="231"/>
    <x v="2615"/>
    <x v="26"/>
    <x v="26"/>
    <x v="1"/>
  </r>
  <r>
    <x v="3"/>
    <x v="0"/>
    <x v="461"/>
    <x v="3"/>
    <x v="9"/>
    <x v="3"/>
    <x v="0"/>
    <x v="48"/>
    <x v="152"/>
    <x v="2158"/>
    <x v="21"/>
    <x v="21"/>
    <x v="1"/>
  </r>
  <r>
    <x v="3"/>
    <x v="0"/>
    <x v="461"/>
    <x v="3"/>
    <x v="9"/>
    <x v="3"/>
    <x v="3"/>
    <x v="63"/>
    <x v="285"/>
    <x v="2882"/>
    <x v="11"/>
    <x v="11"/>
    <x v="1"/>
  </r>
  <r>
    <x v="3"/>
    <x v="0"/>
    <x v="492"/>
    <x v="3"/>
    <x v="9"/>
    <x v="3"/>
    <x v="2"/>
    <x v="43"/>
    <x v="315"/>
    <x v="2899"/>
    <x v="26"/>
    <x v="26"/>
    <x v="1"/>
  </r>
  <r>
    <x v="3"/>
    <x v="0"/>
    <x v="492"/>
    <x v="3"/>
    <x v="9"/>
    <x v="3"/>
    <x v="1"/>
    <x v="48"/>
    <x v="300"/>
    <x v="2862"/>
    <x v="26"/>
    <x v="26"/>
    <x v="1"/>
  </r>
  <r>
    <x v="3"/>
    <x v="0"/>
    <x v="492"/>
    <x v="3"/>
    <x v="9"/>
    <x v="3"/>
    <x v="5"/>
    <x v="48"/>
    <x v="304"/>
    <x v="2873"/>
    <x v="21"/>
    <x v="21"/>
    <x v="1"/>
  </r>
  <r>
    <x v="3"/>
    <x v="0"/>
    <x v="492"/>
    <x v="3"/>
    <x v="9"/>
    <x v="3"/>
    <x v="4"/>
    <x v="43"/>
    <x v="273"/>
    <x v="2745"/>
    <x v="26"/>
    <x v="26"/>
    <x v="1"/>
  </r>
  <r>
    <x v="3"/>
    <x v="0"/>
    <x v="492"/>
    <x v="3"/>
    <x v="9"/>
    <x v="3"/>
    <x v="0"/>
    <x v="48"/>
    <x v="194"/>
    <x v="2506"/>
    <x v="21"/>
    <x v="21"/>
    <x v="1"/>
  </r>
  <r>
    <x v="3"/>
    <x v="0"/>
    <x v="492"/>
    <x v="3"/>
    <x v="9"/>
    <x v="3"/>
    <x v="3"/>
    <x v="63"/>
    <x v="300"/>
    <x v="2903"/>
    <x v="11"/>
    <x v="11"/>
    <x v="1"/>
  </r>
  <r>
    <x v="3"/>
    <x v="0"/>
    <x v="522"/>
    <x v="3"/>
    <x v="9"/>
    <x v="3"/>
    <x v="2"/>
    <x v="43"/>
    <x v="325"/>
    <x v="2935"/>
    <x v="26"/>
    <x v="26"/>
    <x v="1"/>
  </r>
  <r>
    <x v="3"/>
    <x v="0"/>
    <x v="522"/>
    <x v="3"/>
    <x v="9"/>
    <x v="3"/>
    <x v="1"/>
    <x v="48"/>
    <x v="313"/>
    <x v="2908"/>
    <x v="26"/>
    <x v="26"/>
    <x v="1"/>
  </r>
  <r>
    <x v="3"/>
    <x v="0"/>
    <x v="522"/>
    <x v="3"/>
    <x v="9"/>
    <x v="3"/>
    <x v="5"/>
    <x v="48"/>
    <x v="313"/>
    <x v="2908"/>
    <x v="21"/>
    <x v="21"/>
    <x v="1"/>
  </r>
  <r>
    <x v="3"/>
    <x v="0"/>
    <x v="522"/>
    <x v="3"/>
    <x v="9"/>
    <x v="3"/>
    <x v="4"/>
    <x v="43"/>
    <x v="300"/>
    <x v="2840"/>
    <x v="26"/>
    <x v="26"/>
    <x v="1"/>
  </r>
  <r>
    <x v="3"/>
    <x v="0"/>
    <x v="522"/>
    <x v="3"/>
    <x v="9"/>
    <x v="3"/>
    <x v="0"/>
    <x v="48"/>
    <x v="231"/>
    <x v="2694"/>
    <x v="21"/>
    <x v="21"/>
    <x v="1"/>
  </r>
  <r>
    <x v="3"/>
    <x v="0"/>
    <x v="522"/>
    <x v="3"/>
    <x v="9"/>
    <x v="3"/>
    <x v="3"/>
    <x v="63"/>
    <x v="317"/>
    <x v="2967"/>
    <x v="11"/>
    <x v="11"/>
    <x v="1"/>
  </r>
  <r>
    <x v="3"/>
    <x v="0"/>
    <x v="551"/>
    <x v="3"/>
    <x v="9"/>
    <x v="3"/>
    <x v="2"/>
    <x v="43"/>
    <x v="329"/>
    <x v="2948"/>
    <x v="26"/>
    <x v="26"/>
    <x v="1"/>
  </r>
  <r>
    <x v="3"/>
    <x v="0"/>
    <x v="551"/>
    <x v="3"/>
    <x v="9"/>
    <x v="3"/>
    <x v="1"/>
    <x v="48"/>
    <x v="317"/>
    <x v="2925"/>
    <x v="26"/>
    <x v="26"/>
    <x v="1"/>
  </r>
  <r>
    <x v="3"/>
    <x v="0"/>
    <x v="551"/>
    <x v="3"/>
    <x v="9"/>
    <x v="3"/>
    <x v="5"/>
    <x v="48"/>
    <x v="313"/>
    <x v="2908"/>
    <x v="21"/>
    <x v="21"/>
    <x v="1"/>
  </r>
  <r>
    <x v="3"/>
    <x v="0"/>
    <x v="551"/>
    <x v="3"/>
    <x v="9"/>
    <x v="3"/>
    <x v="4"/>
    <x v="43"/>
    <x v="304"/>
    <x v="2854"/>
    <x v="26"/>
    <x v="26"/>
    <x v="1"/>
  </r>
  <r>
    <x v="3"/>
    <x v="0"/>
    <x v="551"/>
    <x v="3"/>
    <x v="9"/>
    <x v="3"/>
    <x v="0"/>
    <x v="48"/>
    <x v="309"/>
    <x v="2891"/>
    <x v="21"/>
    <x v="21"/>
    <x v="1"/>
  </r>
  <r>
    <x v="3"/>
    <x v="0"/>
    <x v="551"/>
    <x v="3"/>
    <x v="9"/>
    <x v="3"/>
    <x v="3"/>
    <x v="63"/>
    <x v="309"/>
    <x v="2934"/>
    <x v="11"/>
    <x v="11"/>
    <x v="1"/>
  </r>
  <r>
    <x v="3"/>
    <x v="0"/>
    <x v="583"/>
    <x v="3"/>
    <x v="9"/>
    <x v="3"/>
    <x v="2"/>
    <x v="48"/>
    <x v="325"/>
    <x v="2952"/>
    <x v="26"/>
    <x v="26"/>
    <x v="1"/>
  </r>
  <r>
    <x v="3"/>
    <x v="0"/>
    <x v="583"/>
    <x v="3"/>
    <x v="9"/>
    <x v="3"/>
    <x v="1"/>
    <x v="53"/>
    <x v="321"/>
    <x v="2955"/>
    <x v="26"/>
    <x v="26"/>
    <x v="1"/>
  </r>
  <r>
    <x v="3"/>
    <x v="0"/>
    <x v="583"/>
    <x v="3"/>
    <x v="9"/>
    <x v="3"/>
    <x v="5"/>
    <x v="48"/>
    <x v="311"/>
    <x v="2899"/>
    <x v="21"/>
    <x v="21"/>
    <x v="1"/>
  </r>
  <r>
    <x v="3"/>
    <x v="0"/>
    <x v="583"/>
    <x v="3"/>
    <x v="9"/>
    <x v="3"/>
    <x v="4"/>
    <x v="48"/>
    <x v="307"/>
    <x v="2884"/>
    <x v="26"/>
    <x v="26"/>
    <x v="1"/>
  </r>
  <r>
    <x v="3"/>
    <x v="0"/>
    <x v="583"/>
    <x v="3"/>
    <x v="9"/>
    <x v="3"/>
    <x v="0"/>
    <x v="58"/>
    <x v="307"/>
    <x v="2910"/>
    <x v="21"/>
    <x v="21"/>
    <x v="1"/>
  </r>
  <r>
    <x v="3"/>
    <x v="0"/>
    <x v="583"/>
    <x v="3"/>
    <x v="9"/>
    <x v="3"/>
    <x v="3"/>
    <x v="63"/>
    <x v="304"/>
    <x v="2912"/>
    <x v="11"/>
    <x v="11"/>
    <x v="1"/>
  </r>
  <r>
    <x v="3"/>
    <x v="0"/>
    <x v="615"/>
    <x v="3"/>
    <x v="9"/>
    <x v="3"/>
    <x v="2"/>
    <x v="38"/>
    <x v="319"/>
    <x v="2895"/>
    <x v="26"/>
    <x v="26"/>
    <x v="1"/>
  </r>
  <r>
    <x v="3"/>
    <x v="0"/>
    <x v="615"/>
    <x v="3"/>
    <x v="9"/>
    <x v="3"/>
    <x v="1"/>
    <x v="43"/>
    <x v="319"/>
    <x v="2915"/>
    <x v="26"/>
    <x v="26"/>
    <x v="1"/>
  </r>
  <r>
    <x v="3"/>
    <x v="0"/>
    <x v="615"/>
    <x v="3"/>
    <x v="9"/>
    <x v="3"/>
    <x v="5"/>
    <x v="38"/>
    <x v="307"/>
    <x v="2848"/>
    <x v="21"/>
    <x v="21"/>
    <x v="1"/>
  </r>
  <r>
    <x v="3"/>
    <x v="0"/>
    <x v="615"/>
    <x v="3"/>
    <x v="9"/>
    <x v="3"/>
    <x v="4"/>
    <x v="38"/>
    <x v="300"/>
    <x v="2805"/>
    <x v="26"/>
    <x v="26"/>
    <x v="1"/>
  </r>
  <r>
    <x v="3"/>
    <x v="0"/>
    <x v="615"/>
    <x v="3"/>
    <x v="9"/>
    <x v="3"/>
    <x v="0"/>
    <x v="48"/>
    <x v="300"/>
    <x v="2862"/>
    <x v="21"/>
    <x v="21"/>
    <x v="1"/>
  </r>
  <r>
    <x v="3"/>
    <x v="0"/>
    <x v="615"/>
    <x v="3"/>
    <x v="9"/>
    <x v="3"/>
    <x v="3"/>
    <x v="53"/>
    <x v="307"/>
    <x v="2895"/>
    <x v="11"/>
    <x v="11"/>
    <x v="1"/>
  </r>
  <r>
    <x v="3"/>
    <x v="0"/>
    <x v="644"/>
    <x v="3"/>
    <x v="9"/>
    <x v="3"/>
    <x v="2"/>
    <x v="38"/>
    <x v="313"/>
    <x v="2877"/>
    <x v="26"/>
    <x v="26"/>
    <x v="1"/>
  </r>
  <r>
    <x v="3"/>
    <x v="0"/>
    <x v="644"/>
    <x v="3"/>
    <x v="9"/>
    <x v="3"/>
    <x v="1"/>
    <x v="43"/>
    <x v="313"/>
    <x v="2892"/>
    <x v="26"/>
    <x v="26"/>
    <x v="1"/>
  </r>
  <r>
    <x v="3"/>
    <x v="0"/>
    <x v="644"/>
    <x v="3"/>
    <x v="9"/>
    <x v="3"/>
    <x v="5"/>
    <x v="38"/>
    <x v="285"/>
    <x v="2727"/>
    <x v="21"/>
    <x v="21"/>
    <x v="1"/>
  </r>
  <r>
    <x v="3"/>
    <x v="0"/>
    <x v="644"/>
    <x v="3"/>
    <x v="9"/>
    <x v="3"/>
    <x v="4"/>
    <x v="38"/>
    <x v="273"/>
    <x v="2673"/>
    <x v="26"/>
    <x v="26"/>
    <x v="1"/>
  </r>
  <r>
    <x v="3"/>
    <x v="0"/>
    <x v="644"/>
    <x v="3"/>
    <x v="9"/>
    <x v="3"/>
    <x v="0"/>
    <x v="48"/>
    <x v="254"/>
    <x v="2757"/>
    <x v="21"/>
    <x v="21"/>
    <x v="1"/>
  </r>
  <r>
    <x v="3"/>
    <x v="0"/>
    <x v="644"/>
    <x v="3"/>
    <x v="9"/>
    <x v="3"/>
    <x v="3"/>
    <x v="63"/>
    <x v="285"/>
    <x v="2882"/>
    <x v="11"/>
    <x v="11"/>
    <x v="1"/>
  </r>
  <r>
    <x v="3"/>
    <x v="0"/>
    <x v="675"/>
    <x v="3"/>
    <x v="9"/>
    <x v="3"/>
    <x v="2"/>
    <x v="48"/>
    <x v="313"/>
    <x v="2908"/>
    <x v="26"/>
    <x v="26"/>
    <x v="1"/>
  </r>
  <r>
    <x v="3"/>
    <x v="0"/>
    <x v="675"/>
    <x v="3"/>
    <x v="9"/>
    <x v="3"/>
    <x v="1"/>
    <x v="53"/>
    <x v="317"/>
    <x v="2940"/>
    <x v="26"/>
    <x v="26"/>
    <x v="1"/>
  </r>
  <r>
    <x v="3"/>
    <x v="0"/>
    <x v="675"/>
    <x v="3"/>
    <x v="9"/>
    <x v="3"/>
    <x v="5"/>
    <x v="48"/>
    <x v="304"/>
    <x v="2873"/>
    <x v="21"/>
    <x v="21"/>
    <x v="1"/>
  </r>
  <r>
    <x v="3"/>
    <x v="0"/>
    <x v="675"/>
    <x v="3"/>
    <x v="9"/>
    <x v="3"/>
    <x v="4"/>
    <x v="48"/>
    <x v="300"/>
    <x v="2862"/>
    <x v="26"/>
    <x v="26"/>
    <x v="1"/>
  </r>
  <r>
    <x v="3"/>
    <x v="0"/>
    <x v="675"/>
    <x v="3"/>
    <x v="9"/>
    <x v="3"/>
    <x v="0"/>
    <x v="58"/>
    <x v="285"/>
    <x v="2867"/>
    <x v="21"/>
    <x v="21"/>
    <x v="1"/>
  </r>
  <r>
    <x v="3"/>
    <x v="0"/>
    <x v="675"/>
    <x v="3"/>
    <x v="9"/>
    <x v="3"/>
    <x v="3"/>
    <x v="63"/>
    <x v="309"/>
    <x v="2934"/>
    <x v="11"/>
    <x v="11"/>
    <x v="1"/>
  </r>
  <r>
    <x v="3"/>
    <x v="0"/>
    <x v="704"/>
    <x v="3"/>
    <x v="9"/>
    <x v="3"/>
    <x v="2"/>
    <x v="48"/>
    <x v="325"/>
    <x v="2952"/>
    <x v="26"/>
    <x v="26"/>
    <x v="1"/>
  </r>
  <r>
    <x v="3"/>
    <x v="0"/>
    <x v="704"/>
    <x v="3"/>
    <x v="9"/>
    <x v="3"/>
    <x v="1"/>
    <x v="53"/>
    <x v="325"/>
    <x v="2969"/>
    <x v="26"/>
    <x v="26"/>
    <x v="1"/>
  </r>
  <r>
    <x v="1"/>
    <x v="0"/>
    <x v="704"/>
    <x v="3"/>
    <x v="9"/>
    <x v="3"/>
    <x v="5"/>
    <x v="48"/>
    <x v="309"/>
    <x v="2891"/>
    <x v="21"/>
    <x v="21"/>
    <x v="1"/>
  </r>
  <r>
    <x v="1"/>
    <x v="0"/>
    <x v="704"/>
    <x v="3"/>
    <x v="9"/>
    <x v="3"/>
    <x v="4"/>
    <x v="48"/>
    <x v="309"/>
    <x v="2891"/>
    <x v="26"/>
    <x v="26"/>
    <x v="1"/>
  </r>
  <r>
    <x v="1"/>
    <x v="0"/>
    <x v="704"/>
    <x v="3"/>
    <x v="9"/>
    <x v="3"/>
    <x v="0"/>
    <x v="58"/>
    <x v="300"/>
    <x v="2890"/>
    <x v="21"/>
    <x v="21"/>
    <x v="1"/>
  </r>
  <r>
    <x v="1"/>
    <x v="0"/>
    <x v="704"/>
    <x v="3"/>
    <x v="9"/>
    <x v="3"/>
    <x v="3"/>
    <x v="63"/>
    <x v="311"/>
    <x v="2942"/>
    <x v="11"/>
    <x v="11"/>
    <x v="1"/>
  </r>
  <r>
    <x v="1"/>
    <x v="1"/>
    <x v="367"/>
    <x v="3"/>
    <x v="9"/>
    <x v="3"/>
    <x v="2"/>
    <x v="33"/>
    <x v="349"/>
    <x v="2971"/>
    <x v="31"/>
    <x v="31"/>
    <x v="1"/>
  </r>
  <r>
    <x v="1"/>
    <x v="1"/>
    <x v="367"/>
    <x v="3"/>
    <x v="9"/>
    <x v="3"/>
    <x v="1"/>
    <x v="33"/>
    <x v="337"/>
    <x v="2933"/>
    <x v="21"/>
    <x v="21"/>
    <x v="1"/>
  </r>
  <r>
    <x v="1"/>
    <x v="1"/>
    <x v="367"/>
    <x v="3"/>
    <x v="9"/>
    <x v="3"/>
    <x v="5"/>
    <x v="23"/>
    <x v="337"/>
    <x v="2884"/>
    <x v="11"/>
    <x v="11"/>
    <x v="1"/>
  </r>
  <r>
    <x v="1"/>
    <x v="1"/>
    <x v="367"/>
    <x v="3"/>
    <x v="9"/>
    <x v="3"/>
    <x v="4"/>
    <x v="28"/>
    <x v="325"/>
    <x v="2877"/>
    <x v="16"/>
    <x v="16"/>
    <x v="1"/>
  </r>
  <r>
    <x v="1"/>
    <x v="1"/>
    <x v="367"/>
    <x v="3"/>
    <x v="9"/>
    <x v="3"/>
    <x v="0"/>
    <x v="43"/>
    <x v="329"/>
    <x v="2948"/>
    <x v="21"/>
    <x v="21"/>
    <x v="1"/>
  </r>
  <r>
    <x v="1"/>
    <x v="1"/>
    <x v="367"/>
    <x v="3"/>
    <x v="9"/>
    <x v="3"/>
    <x v="3"/>
    <x v="33"/>
    <x v="337"/>
    <x v="2933"/>
    <x v="36"/>
    <x v="36"/>
    <x v="1"/>
  </r>
  <r>
    <x v="1"/>
    <x v="1"/>
    <x v="396"/>
    <x v="3"/>
    <x v="9"/>
    <x v="3"/>
    <x v="2"/>
    <x v="33"/>
    <x v="353"/>
    <x v="2980"/>
    <x v="31"/>
    <x v="31"/>
    <x v="1"/>
  </r>
  <r>
    <x v="1"/>
    <x v="1"/>
    <x v="396"/>
    <x v="3"/>
    <x v="9"/>
    <x v="3"/>
    <x v="1"/>
    <x v="33"/>
    <x v="329"/>
    <x v="2909"/>
    <x v="21"/>
    <x v="21"/>
    <x v="1"/>
  </r>
  <r>
    <x v="1"/>
    <x v="1"/>
    <x v="396"/>
    <x v="3"/>
    <x v="9"/>
    <x v="3"/>
    <x v="5"/>
    <x v="23"/>
    <x v="333"/>
    <x v="2872"/>
    <x v="11"/>
    <x v="11"/>
    <x v="1"/>
  </r>
  <r>
    <x v="1"/>
    <x v="1"/>
    <x v="396"/>
    <x v="3"/>
    <x v="39"/>
    <x v="10"/>
    <x v="4"/>
    <x v="28"/>
    <x v="321"/>
    <x v="2860"/>
    <x v="16"/>
    <x v="16"/>
    <x v="1"/>
  </r>
  <r>
    <x v="1"/>
    <x v="1"/>
    <x v="396"/>
    <x v="3"/>
    <x v="39"/>
    <x v="10"/>
    <x v="0"/>
    <x v="43"/>
    <x v="327"/>
    <x v="2942"/>
    <x v="21"/>
    <x v="21"/>
    <x v="1"/>
  </r>
  <r>
    <x v="1"/>
    <x v="1"/>
    <x v="396"/>
    <x v="3"/>
    <x v="39"/>
    <x v="10"/>
    <x v="3"/>
    <x v="28"/>
    <x v="335"/>
    <x v="2903"/>
    <x v="36"/>
    <x v="36"/>
    <x v="1"/>
  </r>
  <r>
    <x v="1"/>
    <x v="1"/>
    <x v="422"/>
    <x v="3"/>
    <x v="39"/>
    <x v="10"/>
    <x v="2"/>
    <x v="28"/>
    <x v="348"/>
    <x v="2944"/>
    <x v="31"/>
    <x v="31"/>
    <x v="1"/>
  </r>
  <r>
    <x v="1"/>
    <x v="1"/>
    <x v="422"/>
    <x v="3"/>
    <x v="39"/>
    <x v="10"/>
    <x v="1"/>
    <x v="28"/>
    <x v="327"/>
    <x v="2882"/>
    <x v="21"/>
    <x v="21"/>
    <x v="1"/>
  </r>
  <r>
    <x v="1"/>
    <x v="1"/>
    <x v="422"/>
    <x v="3"/>
    <x v="39"/>
    <x v="10"/>
    <x v="5"/>
    <x v="18"/>
    <x v="329"/>
    <x v="2806"/>
    <x v="11"/>
    <x v="11"/>
    <x v="1"/>
  </r>
  <r>
    <x v="1"/>
    <x v="1"/>
    <x v="422"/>
    <x v="3"/>
    <x v="39"/>
    <x v="10"/>
    <x v="4"/>
    <x v="23"/>
    <x v="317"/>
    <x v="2783"/>
    <x v="16"/>
    <x v="16"/>
    <x v="1"/>
  </r>
  <r>
    <x v="1"/>
    <x v="1"/>
    <x v="422"/>
    <x v="3"/>
    <x v="39"/>
    <x v="10"/>
    <x v="0"/>
    <x v="38"/>
    <x v="321"/>
    <x v="2904"/>
    <x v="21"/>
    <x v="21"/>
    <x v="1"/>
  </r>
  <r>
    <x v="1"/>
    <x v="1"/>
    <x v="422"/>
    <x v="3"/>
    <x v="39"/>
    <x v="10"/>
    <x v="3"/>
    <x v="28"/>
    <x v="329"/>
    <x v="2887"/>
    <x v="36"/>
    <x v="36"/>
    <x v="1"/>
  </r>
  <r>
    <x v="1"/>
    <x v="1"/>
    <x v="454"/>
    <x v="3"/>
    <x v="39"/>
    <x v="10"/>
    <x v="2"/>
    <x v="28"/>
    <x v="346"/>
    <x v="2937"/>
    <x v="31"/>
    <x v="31"/>
    <x v="1"/>
  </r>
  <r>
    <x v="1"/>
    <x v="1"/>
    <x v="454"/>
    <x v="3"/>
    <x v="39"/>
    <x v="10"/>
    <x v="1"/>
    <x v="28"/>
    <x v="325"/>
    <x v="2877"/>
    <x v="21"/>
    <x v="21"/>
    <x v="1"/>
  </r>
  <r>
    <x v="1"/>
    <x v="1"/>
    <x v="454"/>
    <x v="3"/>
    <x v="39"/>
    <x v="10"/>
    <x v="5"/>
    <x v="18"/>
    <x v="325"/>
    <x v="2772"/>
    <x v="11"/>
    <x v="11"/>
    <x v="1"/>
  </r>
  <r>
    <x v="1"/>
    <x v="1"/>
    <x v="454"/>
    <x v="3"/>
    <x v="39"/>
    <x v="10"/>
    <x v="4"/>
    <x v="23"/>
    <x v="319"/>
    <x v="2805"/>
    <x v="16"/>
    <x v="16"/>
    <x v="1"/>
  </r>
  <r>
    <x v="1"/>
    <x v="1"/>
    <x v="454"/>
    <x v="3"/>
    <x v="39"/>
    <x v="10"/>
    <x v="0"/>
    <x v="43"/>
    <x v="321"/>
    <x v="2921"/>
    <x v="21"/>
    <x v="21"/>
    <x v="1"/>
  </r>
  <r>
    <x v="1"/>
    <x v="1"/>
    <x v="454"/>
    <x v="3"/>
    <x v="39"/>
    <x v="10"/>
    <x v="3"/>
    <x v="33"/>
    <x v="333"/>
    <x v="2919"/>
    <x v="36"/>
    <x v="36"/>
    <x v="1"/>
  </r>
  <r>
    <x v="1"/>
    <x v="1"/>
    <x v="483"/>
    <x v="3"/>
    <x v="39"/>
    <x v="10"/>
    <x v="2"/>
    <x v="43"/>
    <x v="350"/>
    <x v="3016"/>
    <x v="31"/>
    <x v="31"/>
    <x v="1"/>
  </r>
  <r>
    <x v="1"/>
    <x v="1"/>
    <x v="483"/>
    <x v="3"/>
    <x v="39"/>
    <x v="10"/>
    <x v="1"/>
    <x v="43"/>
    <x v="331"/>
    <x v="2955"/>
    <x v="21"/>
    <x v="21"/>
    <x v="1"/>
  </r>
  <r>
    <x v="1"/>
    <x v="1"/>
    <x v="483"/>
    <x v="3"/>
    <x v="39"/>
    <x v="10"/>
    <x v="5"/>
    <x v="38"/>
    <x v="329"/>
    <x v="2930"/>
    <x v="11"/>
    <x v="11"/>
    <x v="1"/>
  </r>
  <r>
    <x v="1"/>
    <x v="1"/>
    <x v="483"/>
    <x v="3"/>
    <x v="39"/>
    <x v="10"/>
    <x v="4"/>
    <x v="38"/>
    <x v="325"/>
    <x v="2917"/>
    <x v="16"/>
    <x v="16"/>
    <x v="1"/>
  </r>
  <r>
    <x v="1"/>
    <x v="1"/>
    <x v="483"/>
    <x v="3"/>
    <x v="39"/>
    <x v="10"/>
    <x v="0"/>
    <x v="48"/>
    <x v="327"/>
    <x v="2958"/>
    <x v="21"/>
    <x v="21"/>
    <x v="1"/>
  </r>
  <r>
    <x v="1"/>
    <x v="1"/>
    <x v="483"/>
    <x v="3"/>
    <x v="39"/>
    <x v="10"/>
    <x v="3"/>
    <x v="53"/>
    <x v="335"/>
    <x v="3000"/>
    <x v="36"/>
    <x v="36"/>
    <x v="1"/>
  </r>
  <r>
    <x v="1"/>
    <x v="1"/>
    <x v="516"/>
    <x v="3"/>
    <x v="39"/>
    <x v="10"/>
    <x v="2"/>
    <x v="48"/>
    <x v="351"/>
    <x v="3033"/>
    <x v="31"/>
    <x v="31"/>
    <x v="1"/>
  </r>
  <r>
    <x v="1"/>
    <x v="1"/>
    <x v="516"/>
    <x v="3"/>
    <x v="39"/>
    <x v="10"/>
    <x v="1"/>
    <x v="43"/>
    <x v="335"/>
    <x v="2966"/>
    <x v="21"/>
    <x v="21"/>
    <x v="1"/>
  </r>
  <r>
    <x v="1"/>
    <x v="1"/>
    <x v="516"/>
    <x v="3"/>
    <x v="39"/>
    <x v="10"/>
    <x v="5"/>
    <x v="43"/>
    <x v="333"/>
    <x v="2960"/>
    <x v="11"/>
    <x v="11"/>
    <x v="1"/>
  </r>
  <r>
    <x v="1"/>
    <x v="1"/>
    <x v="516"/>
    <x v="3"/>
    <x v="39"/>
    <x v="10"/>
    <x v="4"/>
    <x v="43"/>
    <x v="331"/>
    <x v="2955"/>
    <x v="16"/>
    <x v="16"/>
    <x v="1"/>
  </r>
  <r>
    <x v="1"/>
    <x v="1"/>
    <x v="516"/>
    <x v="3"/>
    <x v="39"/>
    <x v="10"/>
    <x v="0"/>
    <x v="58"/>
    <x v="331"/>
    <x v="3003"/>
    <x v="21"/>
    <x v="21"/>
    <x v="1"/>
  </r>
  <r>
    <x v="1"/>
    <x v="1"/>
    <x v="516"/>
    <x v="3"/>
    <x v="39"/>
    <x v="10"/>
    <x v="3"/>
    <x v="63"/>
    <x v="343"/>
    <x v="3054"/>
    <x v="36"/>
    <x v="36"/>
    <x v="1"/>
  </r>
  <r>
    <x v="1"/>
    <x v="1"/>
    <x v="544"/>
    <x v="3"/>
    <x v="39"/>
    <x v="10"/>
    <x v="2"/>
    <x v="58"/>
    <x v="356"/>
    <x v="3074"/>
    <x v="31"/>
    <x v="31"/>
    <x v="1"/>
  </r>
  <r>
    <x v="1"/>
    <x v="1"/>
    <x v="544"/>
    <x v="3"/>
    <x v="39"/>
    <x v="10"/>
    <x v="1"/>
    <x v="53"/>
    <x v="341"/>
    <x v="3020"/>
    <x v="21"/>
    <x v="21"/>
    <x v="1"/>
  </r>
  <r>
    <x v="1"/>
    <x v="1"/>
    <x v="544"/>
    <x v="3"/>
    <x v="39"/>
    <x v="10"/>
    <x v="5"/>
    <x v="48"/>
    <x v="337"/>
    <x v="2988"/>
    <x v="11"/>
    <x v="11"/>
    <x v="1"/>
  </r>
  <r>
    <x v="1"/>
    <x v="1"/>
    <x v="544"/>
    <x v="3"/>
    <x v="39"/>
    <x v="10"/>
    <x v="4"/>
    <x v="48"/>
    <x v="333"/>
    <x v="2978"/>
    <x v="16"/>
    <x v="16"/>
    <x v="1"/>
  </r>
  <r>
    <x v="1"/>
    <x v="1"/>
    <x v="544"/>
    <x v="3"/>
    <x v="39"/>
    <x v="10"/>
    <x v="0"/>
    <x v="58"/>
    <x v="335"/>
    <x v="3015"/>
    <x v="21"/>
    <x v="21"/>
    <x v="1"/>
  </r>
  <r>
    <x v="1"/>
    <x v="1"/>
    <x v="544"/>
    <x v="3"/>
    <x v="39"/>
    <x v="10"/>
    <x v="3"/>
    <x v="63"/>
    <x v="346"/>
    <x v="3063"/>
    <x v="36"/>
    <x v="36"/>
    <x v="1"/>
  </r>
  <r>
    <x v="1"/>
    <x v="1"/>
    <x v="576"/>
    <x v="3"/>
    <x v="39"/>
    <x v="10"/>
    <x v="2"/>
    <x v="58"/>
    <x v="355"/>
    <x v="3071"/>
    <x v="31"/>
    <x v="31"/>
    <x v="1"/>
  </r>
  <r>
    <x v="1"/>
    <x v="1"/>
    <x v="576"/>
    <x v="3"/>
    <x v="39"/>
    <x v="10"/>
    <x v="1"/>
    <x v="53"/>
    <x v="341"/>
    <x v="3020"/>
    <x v="21"/>
    <x v="21"/>
    <x v="1"/>
  </r>
  <r>
    <x v="1"/>
    <x v="1"/>
    <x v="576"/>
    <x v="3"/>
    <x v="39"/>
    <x v="10"/>
    <x v="5"/>
    <x v="48"/>
    <x v="337"/>
    <x v="2988"/>
    <x v="11"/>
    <x v="11"/>
    <x v="1"/>
  </r>
  <r>
    <x v="1"/>
    <x v="1"/>
    <x v="576"/>
    <x v="3"/>
    <x v="39"/>
    <x v="10"/>
    <x v="4"/>
    <x v="38"/>
    <x v="333"/>
    <x v="2941"/>
    <x v="16"/>
    <x v="16"/>
    <x v="1"/>
  </r>
  <r>
    <x v="1"/>
    <x v="1"/>
    <x v="576"/>
    <x v="3"/>
    <x v="39"/>
    <x v="10"/>
    <x v="0"/>
    <x v="48"/>
    <x v="331"/>
    <x v="2972"/>
    <x v="21"/>
    <x v="21"/>
    <x v="1"/>
  </r>
  <r>
    <x v="1"/>
    <x v="1"/>
    <x v="576"/>
    <x v="3"/>
    <x v="39"/>
    <x v="10"/>
    <x v="3"/>
    <x v="53"/>
    <x v="343"/>
    <x v="3026"/>
    <x v="36"/>
    <x v="36"/>
    <x v="1"/>
  </r>
  <r>
    <x v="1"/>
    <x v="1"/>
    <x v="606"/>
    <x v="3"/>
    <x v="39"/>
    <x v="10"/>
    <x v="2"/>
    <x v="48"/>
    <x v="349"/>
    <x v="3029"/>
    <x v="31"/>
    <x v="31"/>
    <x v="1"/>
  </r>
  <r>
    <x v="1"/>
    <x v="1"/>
    <x v="606"/>
    <x v="3"/>
    <x v="39"/>
    <x v="10"/>
    <x v="1"/>
    <x v="43"/>
    <x v="337"/>
    <x v="2972"/>
    <x v="21"/>
    <x v="21"/>
    <x v="1"/>
  </r>
  <r>
    <x v="1"/>
    <x v="1"/>
    <x v="606"/>
    <x v="3"/>
    <x v="39"/>
    <x v="10"/>
    <x v="5"/>
    <x v="33"/>
    <x v="329"/>
    <x v="2909"/>
    <x v="11"/>
    <x v="11"/>
    <x v="1"/>
  </r>
  <r>
    <x v="1"/>
    <x v="1"/>
    <x v="606"/>
    <x v="3"/>
    <x v="39"/>
    <x v="10"/>
    <x v="4"/>
    <x v="33"/>
    <x v="327"/>
    <x v="2903"/>
    <x v="16"/>
    <x v="16"/>
    <x v="1"/>
  </r>
  <r>
    <x v="1"/>
    <x v="1"/>
    <x v="606"/>
    <x v="3"/>
    <x v="39"/>
    <x v="10"/>
    <x v="0"/>
    <x v="43"/>
    <x v="327"/>
    <x v="2942"/>
    <x v="21"/>
    <x v="21"/>
    <x v="1"/>
  </r>
  <r>
    <x v="1"/>
    <x v="1"/>
    <x v="606"/>
    <x v="3"/>
    <x v="39"/>
    <x v="10"/>
    <x v="3"/>
    <x v="48"/>
    <x v="335"/>
    <x v="2985"/>
    <x v="36"/>
    <x v="36"/>
    <x v="1"/>
  </r>
  <r>
    <x v="1"/>
    <x v="1"/>
    <x v="638"/>
    <x v="3"/>
    <x v="39"/>
    <x v="10"/>
    <x v="2"/>
    <x v="48"/>
    <x v="346"/>
    <x v="3019"/>
    <x v="31"/>
    <x v="31"/>
    <x v="1"/>
  </r>
  <r>
    <x v="1"/>
    <x v="1"/>
    <x v="638"/>
    <x v="3"/>
    <x v="39"/>
    <x v="10"/>
    <x v="1"/>
    <x v="38"/>
    <x v="335"/>
    <x v="2947"/>
    <x v="21"/>
    <x v="21"/>
    <x v="1"/>
  </r>
  <r>
    <x v="1"/>
    <x v="1"/>
    <x v="638"/>
    <x v="3"/>
    <x v="39"/>
    <x v="10"/>
    <x v="5"/>
    <x v="38"/>
    <x v="325"/>
    <x v="2917"/>
    <x v="11"/>
    <x v="11"/>
    <x v="1"/>
  </r>
  <r>
    <x v="1"/>
    <x v="1"/>
    <x v="638"/>
    <x v="3"/>
    <x v="39"/>
    <x v="10"/>
    <x v="4"/>
    <x v="38"/>
    <x v="323"/>
    <x v="2910"/>
    <x v="16"/>
    <x v="16"/>
    <x v="1"/>
  </r>
  <r>
    <x v="1"/>
    <x v="1"/>
    <x v="638"/>
    <x v="3"/>
    <x v="39"/>
    <x v="10"/>
    <x v="0"/>
    <x v="48"/>
    <x v="323"/>
    <x v="2945"/>
    <x v="21"/>
    <x v="21"/>
    <x v="1"/>
  </r>
  <r>
    <x v="1"/>
    <x v="1"/>
    <x v="638"/>
    <x v="3"/>
    <x v="39"/>
    <x v="10"/>
    <x v="3"/>
    <x v="53"/>
    <x v="333"/>
    <x v="2993"/>
    <x v="36"/>
    <x v="36"/>
    <x v="1"/>
  </r>
  <r>
    <x v="1"/>
    <x v="1"/>
    <x v="668"/>
    <x v="3"/>
    <x v="39"/>
    <x v="10"/>
    <x v="2"/>
    <x v="48"/>
    <x v="343"/>
    <x v="3013"/>
    <x v="31"/>
    <x v="31"/>
    <x v="1"/>
  </r>
  <r>
    <x v="1"/>
    <x v="1"/>
    <x v="668"/>
    <x v="3"/>
    <x v="39"/>
    <x v="10"/>
    <x v="1"/>
    <x v="38"/>
    <x v="331"/>
    <x v="2935"/>
    <x v="21"/>
    <x v="21"/>
    <x v="1"/>
  </r>
  <r>
    <x v="1"/>
    <x v="1"/>
    <x v="668"/>
    <x v="3"/>
    <x v="39"/>
    <x v="10"/>
    <x v="5"/>
    <x v="38"/>
    <x v="326"/>
    <x v="2922"/>
    <x v="11"/>
    <x v="11"/>
    <x v="1"/>
  </r>
  <r>
    <x v="1"/>
    <x v="1"/>
    <x v="668"/>
    <x v="3"/>
    <x v="39"/>
    <x v="10"/>
    <x v="4"/>
    <x v="48"/>
    <x v="331"/>
    <x v="2972"/>
    <x v="16"/>
    <x v="16"/>
    <x v="1"/>
  </r>
  <r>
    <x v="1"/>
    <x v="1"/>
    <x v="668"/>
    <x v="3"/>
    <x v="39"/>
    <x v="10"/>
    <x v="0"/>
    <x v="63"/>
    <x v="329"/>
    <x v="3012"/>
    <x v="21"/>
    <x v="21"/>
    <x v="1"/>
  </r>
  <r>
    <x v="1"/>
    <x v="1"/>
    <x v="668"/>
    <x v="3"/>
    <x v="39"/>
    <x v="10"/>
    <x v="3"/>
    <x v="68"/>
    <x v="337"/>
    <x v="3046"/>
    <x v="36"/>
    <x v="36"/>
    <x v="1"/>
  </r>
  <r>
    <x v="1"/>
    <x v="1"/>
    <x v="697"/>
    <x v="3"/>
    <x v="39"/>
    <x v="10"/>
    <x v="2"/>
    <x v="63"/>
    <x v="353"/>
    <x v="3076"/>
    <x v="31"/>
    <x v="31"/>
    <x v="1"/>
  </r>
  <r>
    <x v="1"/>
    <x v="1"/>
    <x v="697"/>
    <x v="3"/>
    <x v="39"/>
    <x v="10"/>
    <x v="1"/>
    <x v="53"/>
    <x v="340"/>
    <x v="3017"/>
    <x v="21"/>
    <x v="21"/>
    <x v="1"/>
  </r>
  <r>
    <x v="3"/>
    <x v="1"/>
    <x v="697"/>
    <x v="3"/>
    <x v="39"/>
    <x v="10"/>
    <x v="5"/>
    <x v="53"/>
    <x v="337"/>
    <x v="3006"/>
    <x v="11"/>
    <x v="11"/>
    <x v="1"/>
  </r>
  <r>
    <x v="3"/>
    <x v="1"/>
    <x v="697"/>
    <x v="3"/>
    <x v="39"/>
    <x v="10"/>
    <x v="4"/>
    <x v="53"/>
    <x v="333"/>
    <x v="2993"/>
    <x v="16"/>
    <x v="16"/>
    <x v="1"/>
  </r>
  <r>
    <x v="3"/>
    <x v="1"/>
    <x v="697"/>
    <x v="3"/>
    <x v="39"/>
    <x v="10"/>
    <x v="0"/>
    <x v="63"/>
    <x v="333"/>
    <x v="3021"/>
    <x v="21"/>
    <x v="21"/>
    <x v="1"/>
  </r>
  <r>
    <x v="3"/>
    <x v="1"/>
    <x v="697"/>
    <x v="3"/>
    <x v="39"/>
    <x v="10"/>
    <x v="3"/>
    <x v="68"/>
    <x v="340"/>
    <x v="3056"/>
    <x v="36"/>
    <x v="36"/>
    <x v="1"/>
  </r>
  <r>
    <x v="3"/>
    <x v="1"/>
    <x v="364"/>
    <x v="3"/>
    <x v="39"/>
    <x v="10"/>
    <x v="2"/>
    <x v="28"/>
    <x v="343"/>
    <x v="2928"/>
    <x v="26"/>
    <x v="26"/>
    <x v="1"/>
  </r>
  <r>
    <x v="3"/>
    <x v="1"/>
    <x v="364"/>
    <x v="3"/>
    <x v="39"/>
    <x v="10"/>
    <x v="1"/>
    <x v="28"/>
    <x v="329"/>
    <x v="2887"/>
    <x v="21"/>
    <x v="21"/>
    <x v="1"/>
  </r>
  <r>
    <x v="3"/>
    <x v="1"/>
    <x v="364"/>
    <x v="3"/>
    <x v="39"/>
    <x v="10"/>
    <x v="5"/>
    <x v="18"/>
    <x v="329"/>
    <x v="2806"/>
    <x v="26"/>
    <x v="26"/>
    <x v="1"/>
  </r>
  <r>
    <x v="3"/>
    <x v="1"/>
    <x v="364"/>
    <x v="3"/>
    <x v="39"/>
    <x v="10"/>
    <x v="4"/>
    <x v="23"/>
    <x v="317"/>
    <x v="2783"/>
    <x v="26"/>
    <x v="26"/>
    <x v="1"/>
  </r>
  <r>
    <x v="3"/>
    <x v="1"/>
    <x v="364"/>
    <x v="3"/>
    <x v="39"/>
    <x v="10"/>
    <x v="0"/>
    <x v="38"/>
    <x v="321"/>
    <x v="2904"/>
    <x v="21"/>
    <x v="21"/>
    <x v="1"/>
  </r>
  <r>
    <x v="3"/>
    <x v="1"/>
    <x v="364"/>
    <x v="3"/>
    <x v="39"/>
    <x v="10"/>
    <x v="3"/>
    <x v="28"/>
    <x v="329"/>
    <x v="2887"/>
    <x v="36"/>
    <x v="36"/>
    <x v="1"/>
  </r>
  <r>
    <x v="3"/>
    <x v="1"/>
    <x v="393"/>
    <x v="3"/>
    <x v="39"/>
    <x v="10"/>
    <x v="2"/>
    <x v="28"/>
    <x v="346"/>
    <x v="2937"/>
    <x v="26"/>
    <x v="26"/>
    <x v="1"/>
  </r>
  <r>
    <x v="3"/>
    <x v="1"/>
    <x v="393"/>
    <x v="3"/>
    <x v="39"/>
    <x v="10"/>
    <x v="1"/>
    <x v="28"/>
    <x v="321"/>
    <x v="2860"/>
    <x v="21"/>
    <x v="21"/>
    <x v="1"/>
  </r>
  <r>
    <x v="3"/>
    <x v="1"/>
    <x v="393"/>
    <x v="3"/>
    <x v="39"/>
    <x v="10"/>
    <x v="5"/>
    <x v="18"/>
    <x v="325"/>
    <x v="2772"/>
    <x v="26"/>
    <x v="26"/>
    <x v="1"/>
  </r>
  <r>
    <x v="3"/>
    <x v="1"/>
    <x v="393"/>
    <x v="3"/>
    <x v="32"/>
    <x v="11"/>
    <x v="4"/>
    <x v="23"/>
    <x v="313"/>
    <x v="2727"/>
    <x v="26"/>
    <x v="26"/>
    <x v="1"/>
  </r>
  <r>
    <x v="3"/>
    <x v="1"/>
    <x v="393"/>
    <x v="3"/>
    <x v="32"/>
    <x v="11"/>
    <x v="0"/>
    <x v="38"/>
    <x v="319"/>
    <x v="2895"/>
    <x v="21"/>
    <x v="21"/>
    <x v="1"/>
  </r>
  <r>
    <x v="3"/>
    <x v="1"/>
    <x v="393"/>
    <x v="3"/>
    <x v="32"/>
    <x v="11"/>
    <x v="3"/>
    <x v="23"/>
    <x v="327"/>
    <x v="2852"/>
    <x v="36"/>
    <x v="36"/>
    <x v="1"/>
  </r>
  <r>
    <x v="3"/>
    <x v="1"/>
    <x v="419"/>
    <x v="3"/>
    <x v="32"/>
    <x v="11"/>
    <x v="2"/>
    <x v="23"/>
    <x v="342"/>
    <x v="2900"/>
    <x v="26"/>
    <x v="26"/>
    <x v="1"/>
  </r>
  <r>
    <x v="3"/>
    <x v="1"/>
    <x v="419"/>
    <x v="3"/>
    <x v="32"/>
    <x v="11"/>
    <x v="1"/>
    <x v="23"/>
    <x v="319"/>
    <x v="2805"/>
    <x v="21"/>
    <x v="21"/>
    <x v="1"/>
  </r>
  <r>
    <x v="3"/>
    <x v="1"/>
    <x v="419"/>
    <x v="3"/>
    <x v="32"/>
    <x v="11"/>
    <x v="5"/>
    <x v="13"/>
    <x v="321"/>
    <x v="2513"/>
    <x v="26"/>
    <x v="26"/>
    <x v="1"/>
  </r>
  <r>
    <x v="3"/>
    <x v="1"/>
    <x v="419"/>
    <x v="3"/>
    <x v="32"/>
    <x v="11"/>
    <x v="4"/>
    <x v="18"/>
    <x v="309"/>
    <x v="2450"/>
    <x v="26"/>
    <x v="26"/>
    <x v="1"/>
  </r>
  <r>
    <x v="3"/>
    <x v="1"/>
    <x v="419"/>
    <x v="3"/>
    <x v="32"/>
    <x v="11"/>
    <x v="0"/>
    <x v="33"/>
    <x v="313"/>
    <x v="2852"/>
    <x v="21"/>
    <x v="21"/>
    <x v="1"/>
  </r>
  <r>
    <x v="3"/>
    <x v="1"/>
    <x v="419"/>
    <x v="3"/>
    <x v="32"/>
    <x v="11"/>
    <x v="3"/>
    <x v="23"/>
    <x v="321"/>
    <x v="2817"/>
    <x v="36"/>
    <x v="36"/>
    <x v="1"/>
  </r>
  <r>
    <x v="3"/>
    <x v="1"/>
    <x v="451"/>
    <x v="3"/>
    <x v="32"/>
    <x v="11"/>
    <x v="2"/>
    <x v="23"/>
    <x v="340"/>
    <x v="2892"/>
    <x v="26"/>
    <x v="26"/>
    <x v="1"/>
  </r>
  <r>
    <x v="3"/>
    <x v="1"/>
    <x v="451"/>
    <x v="3"/>
    <x v="32"/>
    <x v="11"/>
    <x v="1"/>
    <x v="23"/>
    <x v="317"/>
    <x v="2783"/>
    <x v="21"/>
    <x v="21"/>
    <x v="1"/>
  </r>
  <r>
    <x v="3"/>
    <x v="1"/>
    <x v="451"/>
    <x v="3"/>
    <x v="32"/>
    <x v="11"/>
    <x v="5"/>
    <x v="13"/>
    <x v="317"/>
    <x v="2410"/>
    <x v="26"/>
    <x v="26"/>
    <x v="1"/>
  </r>
  <r>
    <x v="3"/>
    <x v="1"/>
    <x v="451"/>
    <x v="3"/>
    <x v="32"/>
    <x v="11"/>
    <x v="4"/>
    <x v="18"/>
    <x v="311"/>
    <x v="2513"/>
    <x v="26"/>
    <x v="26"/>
    <x v="1"/>
  </r>
  <r>
    <x v="3"/>
    <x v="1"/>
    <x v="451"/>
    <x v="3"/>
    <x v="32"/>
    <x v="11"/>
    <x v="0"/>
    <x v="38"/>
    <x v="313"/>
    <x v="2877"/>
    <x v="21"/>
    <x v="21"/>
    <x v="1"/>
  </r>
  <r>
    <x v="3"/>
    <x v="1"/>
    <x v="451"/>
    <x v="3"/>
    <x v="32"/>
    <x v="11"/>
    <x v="3"/>
    <x v="28"/>
    <x v="325"/>
    <x v="2877"/>
    <x v="36"/>
    <x v="36"/>
    <x v="1"/>
  </r>
  <r>
    <x v="3"/>
    <x v="1"/>
    <x v="480"/>
    <x v="3"/>
    <x v="32"/>
    <x v="11"/>
    <x v="2"/>
    <x v="38"/>
    <x v="344"/>
    <x v="2977"/>
    <x v="26"/>
    <x v="26"/>
    <x v="1"/>
  </r>
  <r>
    <x v="3"/>
    <x v="1"/>
    <x v="480"/>
    <x v="3"/>
    <x v="32"/>
    <x v="11"/>
    <x v="1"/>
    <x v="38"/>
    <x v="323"/>
    <x v="2910"/>
    <x v="21"/>
    <x v="21"/>
    <x v="1"/>
  </r>
  <r>
    <x v="3"/>
    <x v="1"/>
    <x v="480"/>
    <x v="3"/>
    <x v="32"/>
    <x v="11"/>
    <x v="5"/>
    <x v="33"/>
    <x v="321"/>
    <x v="2886"/>
    <x v="26"/>
    <x v="26"/>
    <x v="1"/>
  </r>
  <r>
    <x v="3"/>
    <x v="1"/>
    <x v="480"/>
    <x v="3"/>
    <x v="32"/>
    <x v="11"/>
    <x v="4"/>
    <x v="33"/>
    <x v="317"/>
    <x v="2869"/>
    <x v="26"/>
    <x v="26"/>
    <x v="1"/>
  </r>
  <r>
    <x v="3"/>
    <x v="1"/>
    <x v="480"/>
    <x v="3"/>
    <x v="32"/>
    <x v="11"/>
    <x v="0"/>
    <x v="43"/>
    <x v="319"/>
    <x v="2915"/>
    <x v="21"/>
    <x v="21"/>
    <x v="1"/>
  </r>
  <r>
    <x v="3"/>
    <x v="1"/>
    <x v="480"/>
    <x v="3"/>
    <x v="32"/>
    <x v="11"/>
    <x v="3"/>
    <x v="48"/>
    <x v="327"/>
    <x v="2958"/>
    <x v="36"/>
    <x v="36"/>
    <x v="1"/>
  </r>
  <r>
    <x v="3"/>
    <x v="1"/>
    <x v="513"/>
    <x v="3"/>
    <x v="32"/>
    <x v="11"/>
    <x v="2"/>
    <x v="43"/>
    <x v="345"/>
    <x v="2998"/>
    <x v="26"/>
    <x v="26"/>
    <x v="1"/>
  </r>
  <r>
    <x v="3"/>
    <x v="1"/>
    <x v="513"/>
    <x v="3"/>
    <x v="32"/>
    <x v="11"/>
    <x v="1"/>
    <x v="38"/>
    <x v="327"/>
    <x v="2924"/>
    <x v="21"/>
    <x v="21"/>
    <x v="1"/>
  </r>
  <r>
    <x v="3"/>
    <x v="1"/>
    <x v="513"/>
    <x v="3"/>
    <x v="32"/>
    <x v="11"/>
    <x v="5"/>
    <x v="43"/>
    <x v="325"/>
    <x v="2935"/>
    <x v="26"/>
    <x v="26"/>
    <x v="1"/>
  </r>
  <r>
    <x v="3"/>
    <x v="1"/>
    <x v="513"/>
    <x v="3"/>
    <x v="32"/>
    <x v="11"/>
    <x v="4"/>
    <x v="43"/>
    <x v="323"/>
    <x v="2929"/>
    <x v="26"/>
    <x v="26"/>
    <x v="1"/>
  </r>
  <r>
    <x v="3"/>
    <x v="1"/>
    <x v="513"/>
    <x v="3"/>
    <x v="32"/>
    <x v="11"/>
    <x v="0"/>
    <x v="58"/>
    <x v="323"/>
    <x v="2975"/>
    <x v="21"/>
    <x v="21"/>
    <x v="1"/>
  </r>
  <r>
    <x v="3"/>
    <x v="1"/>
    <x v="513"/>
    <x v="3"/>
    <x v="32"/>
    <x v="11"/>
    <x v="3"/>
    <x v="63"/>
    <x v="337"/>
    <x v="3033"/>
    <x v="36"/>
    <x v="36"/>
    <x v="1"/>
  </r>
  <r>
    <x v="3"/>
    <x v="1"/>
    <x v="541"/>
    <x v="3"/>
    <x v="32"/>
    <x v="11"/>
    <x v="2"/>
    <x v="58"/>
    <x v="351"/>
    <x v="3063"/>
    <x v="26"/>
    <x v="26"/>
    <x v="1"/>
  </r>
  <r>
    <x v="3"/>
    <x v="1"/>
    <x v="541"/>
    <x v="3"/>
    <x v="32"/>
    <x v="11"/>
    <x v="1"/>
    <x v="53"/>
    <x v="335"/>
    <x v="3000"/>
    <x v="21"/>
    <x v="21"/>
    <x v="1"/>
  </r>
  <r>
    <x v="3"/>
    <x v="1"/>
    <x v="541"/>
    <x v="3"/>
    <x v="32"/>
    <x v="11"/>
    <x v="5"/>
    <x v="48"/>
    <x v="329"/>
    <x v="2965"/>
    <x v="26"/>
    <x v="26"/>
    <x v="1"/>
  </r>
  <r>
    <x v="3"/>
    <x v="1"/>
    <x v="541"/>
    <x v="3"/>
    <x v="32"/>
    <x v="11"/>
    <x v="4"/>
    <x v="48"/>
    <x v="325"/>
    <x v="2952"/>
    <x v="26"/>
    <x v="26"/>
    <x v="1"/>
  </r>
  <r>
    <x v="3"/>
    <x v="1"/>
    <x v="541"/>
    <x v="3"/>
    <x v="32"/>
    <x v="11"/>
    <x v="0"/>
    <x v="58"/>
    <x v="327"/>
    <x v="2989"/>
    <x v="21"/>
    <x v="21"/>
    <x v="1"/>
  </r>
  <r>
    <x v="3"/>
    <x v="1"/>
    <x v="541"/>
    <x v="3"/>
    <x v="32"/>
    <x v="11"/>
    <x v="3"/>
    <x v="63"/>
    <x v="340"/>
    <x v="3043"/>
    <x v="36"/>
    <x v="36"/>
    <x v="1"/>
  </r>
  <r>
    <x v="3"/>
    <x v="1"/>
    <x v="573"/>
    <x v="3"/>
    <x v="32"/>
    <x v="11"/>
    <x v="2"/>
    <x v="58"/>
    <x v="349"/>
    <x v="3060"/>
    <x v="26"/>
    <x v="26"/>
    <x v="1"/>
  </r>
  <r>
    <x v="3"/>
    <x v="1"/>
    <x v="573"/>
    <x v="3"/>
    <x v="32"/>
    <x v="11"/>
    <x v="1"/>
    <x v="53"/>
    <x v="335"/>
    <x v="3000"/>
    <x v="21"/>
    <x v="21"/>
    <x v="1"/>
  </r>
  <r>
    <x v="3"/>
    <x v="1"/>
    <x v="573"/>
    <x v="3"/>
    <x v="32"/>
    <x v="11"/>
    <x v="5"/>
    <x v="48"/>
    <x v="329"/>
    <x v="2965"/>
    <x v="26"/>
    <x v="26"/>
    <x v="1"/>
  </r>
  <r>
    <x v="3"/>
    <x v="1"/>
    <x v="573"/>
    <x v="3"/>
    <x v="32"/>
    <x v="11"/>
    <x v="4"/>
    <x v="38"/>
    <x v="325"/>
    <x v="2917"/>
    <x v="26"/>
    <x v="26"/>
    <x v="1"/>
  </r>
  <r>
    <x v="3"/>
    <x v="1"/>
    <x v="573"/>
    <x v="3"/>
    <x v="32"/>
    <x v="11"/>
    <x v="0"/>
    <x v="48"/>
    <x v="323"/>
    <x v="2945"/>
    <x v="21"/>
    <x v="21"/>
    <x v="1"/>
  </r>
  <r>
    <x v="3"/>
    <x v="1"/>
    <x v="573"/>
    <x v="3"/>
    <x v="32"/>
    <x v="11"/>
    <x v="3"/>
    <x v="53"/>
    <x v="337"/>
    <x v="3006"/>
    <x v="36"/>
    <x v="36"/>
    <x v="1"/>
  </r>
  <r>
    <x v="3"/>
    <x v="1"/>
    <x v="603"/>
    <x v="3"/>
    <x v="32"/>
    <x v="11"/>
    <x v="2"/>
    <x v="48"/>
    <x v="343"/>
    <x v="3013"/>
    <x v="26"/>
    <x v="26"/>
    <x v="1"/>
  </r>
  <r>
    <x v="3"/>
    <x v="1"/>
    <x v="603"/>
    <x v="3"/>
    <x v="32"/>
    <x v="11"/>
    <x v="1"/>
    <x v="43"/>
    <x v="329"/>
    <x v="2948"/>
    <x v="21"/>
    <x v="21"/>
    <x v="1"/>
  </r>
  <r>
    <x v="3"/>
    <x v="1"/>
    <x v="603"/>
    <x v="3"/>
    <x v="32"/>
    <x v="11"/>
    <x v="5"/>
    <x v="23"/>
    <x v="321"/>
    <x v="2817"/>
    <x v="26"/>
    <x v="26"/>
    <x v="1"/>
  </r>
  <r>
    <x v="3"/>
    <x v="1"/>
    <x v="603"/>
    <x v="3"/>
    <x v="32"/>
    <x v="11"/>
    <x v="4"/>
    <x v="23"/>
    <x v="319"/>
    <x v="2805"/>
    <x v="26"/>
    <x v="26"/>
    <x v="1"/>
  </r>
  <r>
    <x v="3"/>
    <x v="1"/>
    <x v="603"/>
    <x v="3"/>
    <x v="32"/>
    <x v="11"/>
    <x v="0"/>
    <x v="33"/>
    <x v="319"/>
    <x v="2880"/>
    <x v="21"/>
    <x v="21"/>
    <x v="1"/>
  </r>
  <r>
    <x v="3"/>
    <x v="1"/>
    <x v="603"/>
    <x v="3"/>
    <x v="32"/>
    <x v="11"/>
    <x v="3"/>
    <x v="38"/>
    <x v="327"/>
    <x v="2924"/>
    <x v="36"/>
    <x v="36"/>
    <x v="1"/>
  </r>
  <r>
    <x v="3"/>
    <x v="1"/>
    <x v="635"/>
    <x v="3"/>
    <x v="32"/>
    <x v="11"/>
    <x v="2"/>
    <x v="38"/>
    <x v="340"/>
    <x v="2963"/>
    <x v="26"/>
    <x v="26"/>
    <x v="1"/>
  </r>
  <r>
    <x v="3"/>
    <x v="1"/>
    <x v="635"/>
    <x v="3"/>
    <x v="32"/>
    <x v="11"/>
    <x v="1"/>
    <x v="28"/>
    <x v="327"/>
    <x v="2882"/>
    <x v="21"/>
    <x v="21"/>
    <x v="1"/>
  </r>
  <r>
    <x v="3"/>
    <x v="1"/>
    <x v="635"/>
    <x v="3"/>
    <x v="32"/>
    <x v="11"/>
    <x v="5"/>
    <x v="28"/>
    <x v="317"/>
    <x v="2843"/>
    <x v="26"/>
    <x v="26"/>
    <x v="1"/>
  </r>
  <r>
    <x v="3"/>
    <x v="1"/>
    <x v="635"/>
    <x v="3"/>
    <x v="32"/>
    <x v="11"/>
    <x v="4"/>
    <x v="28"/>
    <x v="315"/>
    <x v="2829"/>
    <x v="26"/>
    <x v="26"/>
    <x v="1"/>
  </r>
  <r>
    <x v="3"/>
    <x v="1"/>
    <x v="635"/>
    <x v="3"/>
    <x v="32"/>
    <x v="11"/>
    <x v="0"/>
    <x v="38"/>
    <x v="315"/>
    <x v="2884"/>
    <x v="21"/>
    <x v="21"/>
    <x v="1"/>
  </r>
  <r>
    <x v="3"/>
    <x v="1"/>
    <x v="635"/>
    <x v="3"/>
    <x v="32"/>
    <x v="11"/>
    <x v="3"/>
    <x v="43"/>
    <x v="325"/>
    <x v="2935"/>
    <x v="36"/>
    <x v="36"/>
    <x v="1"/>
  </r>
  <r>
    <x v="3"/>
    <x v="1"/>
    <x v="665"/>
    <x v="3"/>
    <x v="32"/>
    <x v="11"/>
    <x v="2"/>
    <x v="38"/>
    <x v="337"/>
    <x v="2952"/>
    <x v="26"/>
    <x v="26"/>
    <x v="1"/>
  </r>
  <r>
    <x v="3"/>
    <x v="1"/>
    <x v="665"/>
    <x v="3"/>
    <x v="32"/>
    <x v="11"/>
    <x v="1"/>
    <x v="28"/>
    <x v="323"/>
    <x v="2867"/>
    <x v="21"/>
    <x v="21"/>
    <x v="1"/>
  </r>
  <r>
    <x v="3"/>
    <x v="1"/>
    <x v="665"/>
    <x v="3"/>
    <x v="32"/>
    <x v="11"/>
    <x v="5"/>
    <x v="33"/>
    <x v="318"/>
    <x v="2879"/>
    <x v="26"/>
    <x v="26"/>
    <x v="1"/>
  </r>
  <r>
    <x v="3"/>
    <x v="1"/>
    <x v="665"/>
    <x v="3"/>
    <x v="32"/>
    <x v="11"/>
    <x v="4"/>
    <x v="53"/>
    <x v="323"/>
    <x v="2961"/>
    <x v="26"/>
    <x v="26"/>
    <x v="1"/>
  </r>
  <r>
    <x v="3"/>
    <x v="1"/>
    <x v="665"/>
    <x v="3"/>
    <x v="32"/>
    <x v="11"/>
    <x v="0"/>
    <x v="68"/>
    <x v="321"/>
    <x v="2995"/>
    <x v="21"/>
    <x v="21"/>
    <x v="1"/>
  </r>
  <r>
    <x v="3"/>
    <x v="1"/>
    <x v="665"/>
    <x v="3"/>
    <x v="32"/>
    <x v="11"/>
    <x v="3"/>
    <x v="68"/>
    <x v="329"/>
    <x v="3022"/>
    <x v="36"/>
    <x v="36"/>
    <x v="1"/>
  </r>
  <r>
    <x v="3"/>
    <x v="1"/>
    <x v="694"/>
    <x v="3"/>
    <x v="32"/>
    <x v="11"/>
    <x v="2"/>
    <x v="63"/>
    <x v="346"/>
    <x v="3063"/>
    <x v="26"/>
    <x v="26"/>
    <x v="1"/>
  </r>
  <r>
    <x v="3"/>
    <x v="1"/>
    <x v="694"/>
    <x v="3"/>
    <x v="32"/>
    <x v="11"/>
    <x v="1"/>
    <x v="53"/>
    <x v="333"/>
    <x v="2993"/>
    <x v="21"/>
    <x v="21"/>
    <x v="1"/>
  </r>
  <r>
    <x v="0"/>
    <x v="1"/>
    <x v="694"/>
    <x v="3"/>
    <x v="32"/>
    <x v="11"/>
    <x v="5"/>
    <x v="53"/>
    <x v="329"/>
    <x v="2982"/>
    <x v="26"/>
    <x v="26"/>
    <x v="1"/>
  </r>
  <r>
    <x v="0"/>
    <x v="1"/>
    <x v="694"/>
    <x v="3"/>
    <x v="32"/>
    <x v="11"/>
    <x v="4"/>
    <x v="53"/>
    <x v="325"/>
    <x v="2969"/>
    <x v="26"/>
    <x v="26"/>
    <x v="1"/>
  </r>
  <r>
    <x v="0"/>
    <x v="1"/>
    <x v="694"/>
    <x v="3"/>
    <x v="32"/>
    <x v="11"/>
    <x v="0"/>
    <x v="63"/>
    <x v="325"/>
    <x v="2997"/>
    <x v="21"/>
    <x v="21"/>
    <x v="1"/>
  </r>
  <r>
    <x v="0"/>
    <x v="1"/>
    <x v="694"/>
    <x v="3"/>
    <x v="32"/>
    <x v="11"/>
    <x v="3"/>
    <x v="68"/>
    <x v="333"/>
    <x v="3035"/>
    <x v="36"/>
    <x v="36"/>
    <x v="1"/>
  </r>
  <r>
    <x v="0"/>
    <x v="1"/>
    <x v="371"/>
    <x v="3"/>
    <x v="32"/>
    <x v="11"/>
    <x v="2"/>
    <x v="28"/>
    <x v="333"/>
    <x v="2896"/>
    <x v="26"/>
    <x v="26"/>
    <x v="1"/>
  </r>
  <r>
    <x v="0"/>
    <x v="1"/>
    <x v="371"/>
    <x v="3"/>
    <x v="32"/>
    <x v="11"/>
    <x v="1"/>
    <x v="28"/>
    <x v="317"/>
    <x v="2843"/>
    <x v="21"/>
    <x v="21"/>
    <x v="1"/>
  </r>
  <r>
    <x v="0"/>
    <x v="1"/>
    <x v="371"/>
    <x v="3"/>
    <x v="32"/>
    <x v="11"/>
    <x v="5"/>
    <x v="18"/>
    <x v="317"/>
    <x v="2656"/>
    <x v="26"/>
    <x v="26"/>
    <x v="1"/>
  </r>
  <r>
    <x v="0"/>
    <x v="1"/>
    <x v="371"/>
    <x v="3"/>
    <x v="32"/>
    <x v="11"/>
    <x v="4"/>
    <x v="23"/>
    <x v="304"/>
    <x v="2535"/>
    <x v="26"/>
    <x v="26"/>
    <x v="1"/>
  </r>
  <r>
    <x v="0"/>
    <x v="1"/>
    <x v="371"/>
    <x v="3"/>
    <x v="32"/>
    <x v="11"/>
    <x v="0"/>
    <x v="38"/>
    <x v="309"/>
    <x v="2855"/>
    <x v="21"/>
    <x v="21"/>
    <x v="1"/>
  </r>
  <r>
    <x v="0"/>
    <x v="1"/>
    <x v="371"/>
    <x v="3"/>
    <x v="32"/>
    <x v="11"/>
    <x v="3"/>
    <x v="28"/>
    <x v="317"/>
    <x v="2843"/>
    <x v="36"/>
    <x v="36"/>
    <x v="1"/>
  </r>
  <r>
    <x v="0"/>
    <x v="1"/>
    <x v="400"/>
    <x v="3"/>
    <x v="32"/>
    <x v="11"/>
    <x v="2"/>
    <x v="28"/>
    <x v="337"/>
    <x v="2908"/>
    <x v="26"/>
    <x v="26"/>
    <x v="1"/>
  </r>
  <r>
    <x v="0"/>
    <x v="1"/>
    <x v="400"/>
    <x v="3"/>
    <x v="32"/>
    <x v="11"/>
    <x v="1"/>
    <x v="28"/>
    <x v="309"/>
    <x v="2763"/>
    <x v="21"/>
    <x v="21"/>
    <x v="1"/>
  </r>
  <r>
    <x v="0"/>
    <x v="1"/>
    <x v="400"/>
    <x v="3"/>
    <x v="32"/>
    <x v="11"/>
    <x v="5"/>
    <x v="18"/>
    <x v="313"/>
    <x v="2574"/>
    <x v="26"/>
    <x v="26"/>
    <x v="1"/>
  </r>
  <r>
    <x v="0"/>
    <x v="1"/>
    <x v="400"/>
    <x v="0"/>
    <x v="34"/>
    <x v="14"/>
    <x v="4"/>
    <x v="23"/>
    <x v="294"/>
    <x v="2383"/>
    <x v="26"/>
    <x v="26"/>
    <x v="1"/>
  </r>
  <r>
    <x v="0"/>
    <x v="1"/>
    <x v="400"/>
    <x v="0"/>
    <x v="34"/>
    <x v="14"/>
    <x v="0"/>
    <x v="38"/>
    <x v="307"/>
    <x v="2848"/>
    <x v="21"/>
    <x v="21"/>
    <x v="1"/>
  </r>
  <r>
    <x v="0"/>
    <x v="1"/>
    <x v="400"/>
    <x v="0"/>
    <x v="34"/>
    <x v="14"/>
    <x v="3"/>
    <x v="23"/>
    <x v="315"/>
    <x v="2757"/>
    <x v="36"/>
    <x v="36"/>
    <x v="1"/>
  </r>
  <r>
    <x v="0"/>
    <x v="1"/>
    <x v="426"/>
    <x v="0"/>
    <x v="34"/>
    <x v="14"/>
    <x v="2"/>
    <x v="23"/>
    <x v="332"/>
    <x v="2870"/>
    <x v="26"/>
    <x v="26"/>
    <x v="1"/>
  </r>
  <r>
    <x v="0"/>
    <x v="1"/>
    <x v="426"/>
    <x v="0"/>
    <x v="34"/>
    <x v="14"/>
    <x v="1"/>
    <x v="23"/>
    <x v="307"/>
    <x v="2594"/>
    <x v="21"/>
    <x v="21"/>
    <x v="1"/>
  </r>
  <r>
    <x v="0"/>
    <x v="1"/>
    <x v="426"/>
    <x v="0"/>
    <x v="34"/>
    <x v="14"/>
    <x v="5"/>
    <x v="13"/>
    <x v="309"/>
    <x v="2137"/>
    <x v="26"/>
    <x v="26"/>
    <x v="1"/>
  </r>
  <r>
    <x v="0"/>
    <x v="1"/>
    <x v="426"/>
    <x v="0"/>
    <x v="34"/>
    <x v="14"/>
    <x v="4"/>
    <x v="18"/>
    <x v="273"/>
    <x v="1909"/>
    <x v="26"/>
    <x v="26"/>
    <x v="1"/>
  </r>
  <r>
    <x v="0"/>
    <x v="1"/>
    <x v="426"/>
    <x v="0"/>
    <x v="34"/>
    <x v="14"/>
    <x v="0"/>
    <x v="33"/>
    <x v="294"/>
    <x v="2686"/>
    <x v="21"/>
    <x v="21"/>
    <x v="1"/>
  </r>
  <r>
    <x v="0"/>
    <x v="1"/>
    <x v="426"/>
    <x v="0"/>
    <x v="34"/>
    <x v="14"/>
    <x v="3"/>
    <x v="23"/>
    <x v="309"/>
    <x v="2652"/>
    <x v="36"/>
    <x v="36"/>
    <x v="1"/>
  </r>
  <r>
    <x v="0"/>
    <x v="1"/>
    <x v="458"/>
    <x v="0"/>
    <x v="34"/>
    <x v="14"/>
    <x v="2"/>
    <x v="23"/>
    <x v="329"/>
    <x v="2858"/>
    <x v="26"/>
    <x v="26"/>
    <x v="1"/>
  </r>
  <r>
    <x v="0"/>
    <x v="1"/>
    <x v="458"/>
    <x v="0"/>
    <x v="34"/>
    <x v="14"/>
    <x v="1"/>
    <x v="23"/>
    <x v="304"/>
    <x v="2535"/>
    <x v="21"/>
    <x v="21"/>
    <x v="1"/>
  </r>
  <r>
    <x v="0"/>
    <x v="1"/>
    <x v="458"/>
    <x v="0"/>
    <x v="34"/>
    <x v="14"/>
    <x v="5"/>
    <x v="13"/>
    <x v="304"/>
    <x v="1975"/>
    <x v="26"/>
    <x v="26"/>
    <x v="1"/>
  </r>
  <r>
    <x v="0"/>
    <x v="1"/>
    <x v="458"/>
    <x v="0"/>
    <x v="34"/>
    <x v="14"/>
    <x v="4"/>
    <x v="18"/>
    <x v="285"/>
    <x v="2022"/>
    <x v="26"/>
    <x v="26"/>
    <x v="1"/>
  </r>
  <r>
    <x v="0"/>
    <x v="1"/>
    <x v="458"/>
    <x v="0"/>
    <x v="34"/>
    <x v="14"/>
    <x v="0"/>
    <x v="38"/>
    <x v="294"/>
    <x v="2772"/>
    <x v="21"/>
    <x v="21"/>
    <x v="1"/>
  </r>
  <r>
    <x v="0"/>
    <x v="1"/>
    <x v="458"/>
    <x v="0"/>
    <x v="34"/>
    <x v="14"/>
    <x v="3"/>
    <x v="28"/>
    <x v="313"/>
    <x v="2811"/>
    <x v="36"/>
    <x v="36"/>
    <x v="1"/>
  </r>
  <r>
    <x v="0"/>
    <x v="1"/>
    <x v="487"/>
    <x v="0"/>
    <x v="34"/>
    <x v="14"/>
    <x v="2"/>
    <x v="38"/>
    <x v="334"/>
    <x v="2946"/>
    <x v="26"/>
    <x v="26"/>
    <x v="1"/>
  </r>
  <r>
    <x v="0"/>
    <x v="1"/>
    <x v="487"/>
    <x v="0"/>
    <x v="34"/>
    <x v="14"/>
    <x v="1"/>
    <x v="38"/>
    <x v="311"/>
    <x v="2866"/>
    <x v="21"/>
    <x v="21"/>
    <x v="1"/>
  </r>
  <r>
    <x v="0"/>
    <x v="1"/>
    <x v="487"/>
    <x v="0"/>
    <x v="34"/>
    <x v="14"/>
    <x v="5"/>
    <x v="33"/>
    <x v="309"/>
    <x v="2825"/>
    <x v="26"/>
    <x v="26"/>
    <x v="1"/>
  </r>
  <r>
    <x v="0"/>
    <x v="1"/>
    <x v="487"/>
    <x v="0"/>
    <x v="34"/>
    <x v="14"/>
    <x v="4"/>
    <x v="33"/>
    <x v="304"/>
    <x v="2774"/>
    <x v="26"/>
    <x v="26"/>
    <x v="1"/>
  </r>
  <r>
    <x v="0"/>
    <x v="1"/>
    <x v="487"/>
    <x v="0"/>
    <x v="34"/>
    <x v="14"/>
    <x v="0"/>
    <x v="43"/>
    <x v="307"/>
    <x v="2866"/>
    <x v="21"/>
    <x v="21"/>
    <x v="1"/>
  </r>
  <r>
    <x v="0"/>
    <x v="1"/>
    <x v="487"/>
    <x v="0"/>
    <x v="34"/>
    <x v="14"/>
    <x v="3"/>
    <x v="48"/>
    <x v="315"/>
    <x v="2916"/>
    <x v="36"/>
    <x v="36"/>
    <x v="1"/>
  </r>
  <r>
    <x v="0"/>
    <x v="1"/>
    <x v="520"/>
    <x v="0"/>
    <x v="34"/>
    <x v="14"/>
    <x v="2"/>
    <x v="43"/>
    <x v="335"/>
    <x v="2966"/>
    <x v="26"/>
    <x v="26"/>
    <x v="1"/>
  </r>
  <r>
    <x v="0"/>
    <x v="1"/>
    <x v="520"/>
    <x v="0"/>
    <x v="34"/>
    <x v="14"/>
    <x v="1"/>
    <x v="38"/>
    <x v="315"/>
    <x v="2884"/>
    <x v="21"/>
    <x v="21"/>
    <x v="1"/>
  </r>
  <r>
    <x v="0"/>
    <x v="1"/>
    <x v="520"/>
    <x v="0"/>
    <x v="34"/>
    <x v="14"/>
    <x v="5"/>
    <x v="43"/>
    <x v="313"/>
    <x v="2892"/>
    <x v="26"/>
    <x v="26"/>
    <x v="1"/>
  </r>
  <r>
    <x v="0"/>
    <x v="1"/>
    <x v="520"/>
    <x v="0"/>
    <x v="34"/>
    <x v="14"/>
    <x v="4"/>
    <x v="43"/>
    <x v="311"/>
    <x v="2886"/>
    <x v="26"/>
    <x v="26"/>
    <x v="1"/>
  </r>
  <r>
    <x v="0"/>
    <x v="1"/>
    <x v="520"/>
    <x v="0"/>
    <x v="34"/>
    <x v="14"/>
    <x v="0"/>
    <x v="58"/>
    <x v="311"/>
    <x v="2929"/>
    <x v="21"/>
    <x v="21"/>
    <x v="1"/>
  </r>
  <r>
    <x v="0"/>
    <x v="1"/>
    <x v="520"/>
    <x v="0"/>
    <x v="34"/>
    <x v="14"/>
    <x v="3"/>
    <x v="63"/>
    <x v="325"/>
    <x v="2997"/>
    <x v="36"/>
    <x v="36"/>
    <x v="1"/>
  </r>
  <r>
    <x v="0"/>
    <x v="1"/>
    <x v="548"/>
    <x v="0"/>
    <x v="34"/>
    <x v="14"/>
    <x v="2"/>
    <x v="58"/>
    <x v="341"/>
    <x v="3036"/>
    <x v="26"/>
    <x v="26"/>
    <x v="1"/>
  </r>
  <r>
    <x v="0"/>
    <x v="1"/>
    <x v="548"/>
    <x v="0"/>
    <x v="34"/>
    <x v="14"/>
    <x v="1"/>
    <x v="53"/>
    <x v="323"/>
    <x v="2961"/>
    <x v="21"/>
    <x v="21"/>
    <x v="1"/>
  </r>
  <r>
    <x v="0"/>
    <x v="1"/>
    <x v="548"/>
    <x v="0"/>
    <x v="34"/>
    <x v="14"/>
    <x v="5"/>
    <x v="48"/>
    <x v="317"/>
    <x v="2925"/>
    <x v="26"/>
    <x v="26"/>
    <x v="1"/>
  </r>
  <r>
    <x v="0"/>
    <x v="1"/>
    <x v="548"/>
    <x v="0"/>
    <x v="34"/>
    <x v="14"/>
    <x v="4"/>
    <x v="48"/>
    <x v="313"/>
    <x v="2908"/>
    <x v="26"/>
    <x v="26"/>
    <x v="1"/>
  </r>
  <r>
    <x v="0"/>
    <x v="1"/>
    <x v="548"/>
    <x v="0"/>
    <x v="34"/>
    <x v="14"/>
    <x v="0"/>
    <x v="58"/>
    <x v="315"/>
    <x v="2945"/>
    <x v="21"/>
    <x v="21"/>
    <x v="1"/>
  </r>
  <r>
    <x v="0"/>
    <x v="1"/>
    <x v="548"/>
    <x v="0"/>
    <x v="34"/>
    <x v="14"/>
    <x v="3"/>
    <x v="63"/>
    <x v="329"/>
    <x v="3012"/>
    <x v="36"/>
    <x v="36"/>
    <x v="1"/>
  </r>
  <r>
    <x v="0"/>
    <x v="1"/>
    <x v="580"/>
    <x v="0"/>
    <x v="34"/>
    <x v="14"/>
    <x v="2"/>
    <x v="58"/>
    <x v="340"/>
    <x v="3030"/>
    <x v="26"/>
    <x v="26"/>
    <x v="1"/>
  </r>
  <r>
    <x v="0"/>
    <x v="1"/>
    <x v="580"/>
    <x v="0"/>
    <x v="34"/>
    <x v="14"/>
    <x v="1"/>
    <x v="53"/>
    <x v="323"/>
    <x v="2961"/>
    <x v="21"/>
    <x v="21"/>
    <x v="1"/>
  </r>
  <r>
    <x v="0"/>
    <x v="1"/>
    <x v="580"/>
    <x v="0"/>
    <x v="34"/>
    <x v="14"/>
    <x v="5"/>
    <x v="48"/>
    <x v="317"/>
    <x v="2925"/>
    <x v="26"/>
    <x v="26"/>
    <x v="1"/>
  </r>
  <r>
    <x v="0"/>
    <x v="1"/>
    <x v="580"/>
    <x v="0"/>
    <x v="34"/>
    <x v="14"/>
    <x v="4"/>
    <x v="38"/>
    <x v="313"/>
    <x v="2877"/>
    <x v="26"/>
    <x v="26"/>
    <x v="1"/>
  </r>
  <r>
    <x v="0"/>
    <x v="1"/>
    <x v="580"/>
    <x v="0"/>
    <x v="34"/>
    <x v="14"/>
    <x v="0"/>
    <x v="48"/>
    <x v="311"/>
    <x v="2899"/>
    <x v="21"/>
    <x v="21"/>
    <x v="1"/>
  </r>
  <r>
    <x v="0"/>
    <x v="1"/>
    <x v="580"/>
    <x v="0"/>
    <x v="34"/>
    <x v="14"/>
    <x v="3"/>
    <x v="53"/>
    <x v="325"/>
    <x v="2969"/>
    <x v="36"/>
    <x v="36"/>
    <x v="1"/>
  </r>
  <r>
    <x v="0"/>
    <x v="1"/>
    <x v="610"/>
    <x v="0"/>
    <x v="34"/>
    <x v="14"/>
    <x v="2"/>
    <x v="48"/>
    <x v="333"/>
    <x v="2978"/>
    <x v="26"/>
    <x v="26"/>
    <x v="1"/>
  </r>
  <r>
    <x v="0"/>
    <x v="1"/>
    <x v="610"/>
    <x v="0"/>
    <x v="34"/>
    <x v="14"/>
    <x v="1"/>
    <x v="43"/>
    <x v="317"/>
    <x v="2907"/>
    <x v="21"/>
    <x v="21"/>
    <x v="1"/>
  </r>
  <r>
    <x v="0"/>
    <x v="1"/>
    <x v="610"/>
    <x v="0"/>
    <x v="34"/>
    <x v="14"/>
    <x v="5"/>
    <x v="18"/>
    <x v="309"/>
    <x v="2450"/>
    <x v="26"/>
    <x v="26"/>
    <x v="1"/>
  </r>
  <r>
    <x v="0"/>
    <x v="1"/>
    <x v="610"/>
    <x v="0"/>
    <x v="34"/>
    <x v="14"/>
    <x v="4"/>
    <x v="18"/>
    <x v="307"/>
    <x v="2383"/>
    <x v="26"/>
    <x v="26"/>
    <x v="1"/>
  </r>
  <r>
    <x v="0"/>
    <x v="1"/>
    <x v="610"/>
    <x v="0"/>
    <x v="34"/>
    <x v="14"/>
    <x v="0"/>
    <x v="28"/>
    <x v="307"/>
    <x v="2727"/>
    <x v="21"/>
    <x v="21"/>
    <x v="1"/>
  </r>
  <r>
    <x v="0"/>
    <x v="1"/>
    <x v="610"/>
    <x v="0"/>
    <x v="34"/>
    <x v="14"/>
    <x v="3"/>
    <x v="33"/>
    <x v="315"/>
    <x v="2862"/>
    <x v="36"/>
    <x v="36"/>
    <x v="1"/>
  </r>
  <r>
    <x v="0"/>
    <x v="1"/>
    <x v="642"/>
    <x v="0"/>
    <x v="34"/>
    <x v="14"/>
    <x v="2"/>
    <x v="33"/>
    <x v="329"/>
    <x v="2909"/>
    <x v="26"/>
    <x v="26"/>
    <x v="1"/>
  </r>
  <r>
    <x v="0"/>
    <x v="1"/>
    <x v="642"/>
    <x v="0"/>
    <x v="34"/>
    <x v="14"/>
    <x v="1"/>
    <x v="23"/>
    <x v="315"/>
    <x v="2757"/>
    <x v="21"/>
    <x v="21"/>
    <x v="1"/>
  </r>
  <r>
    <x v="0"/>
    <x v="1"/>
    <x v="642"/>
    <x v="0"/>
    <x v="34"/>
    <x v="14"/>
    <x v="5"/>
    <x v="23"/>
    <x v="304"/>
    <x v="2535"/>
    <x v="26"/>
    <x v="26"/>
    <x v="1"/>
  </r>
  <r>
    <x v="0"/>
    <x v="1"/>
    <x v="642"/>
    <x v="0"/>
    <x v="34"/>
    <x v="14"/>
    <x v="4"/>
    <x v="23"/>
    <x v="300"/>
    <x v="2469"/>
    <x v="26"/>
    <x v="26"/>
    <x v="1"/>
  </r>
  <r>
    <x v="0"/>
    <x v="1"/>
    <x v="642"/>
    <x v="0"/>
    <x v="34"/>
    <x v="14"/>
    <x v="0"/>
    <x v="33"/>
    <x v="300"/>
    <x v="2737"/>
    <x v="21"/>
    <x v="21"/>
    <x v="1"/>
  </r>
  <r>
    <x v="0"/>
    <x v="1"/>
    <x v="642"/>
    <x v="0"/>
    <x v="34"/>
    <x v="14"/>
    <x v="3"/>
    <x v="33"/>
    <x v="313"/>
    <x v="2852"/>
    <x v="36"/>
    <x v="36"/>
    <x v="1"/>
  </r>
  <r>
    <x v="0"/>
    <x v="1"/>
    <x v="672"/>
    <x v="0"/>
    <x v="34"/>
    <x v="14"/>
    <x v="2"/>
    <x v="28"/>
    <x v="325"/>
    <x v="2877"/>
    <x v="26"/>
    <x v="26"/>
    <x v="1"/>
  </r>
  <r>
    <x v="0"/>
    <x v="1"/>
    <x v="672"/>
    <x v="0"/>
    <x v="34"/>
    <x v="14"/>
    <x v="1"/>
    <x v="18"/>
    <x v="311"/>
    <x v="2513"/>
    <x v="21"/>
    <x v="21"/>
    <x v="1"/>
  </r>
  <r>
    <x v="0"/>
    <x v="1"/>
    <x v="672"/>
    <x v="0"/>
    <x v="34"/>
    <x v="14"/>
    <x v="5"/>
    <x v="28"/>
    <x v="306"/>
    <x v="2719"/>
    <x v="26"/>
    <x v="26"/>
    <x v="1"/>
  </r>
  <r>
    <x v="0"/>
    <x v="1"/>
    <x v="672"/>
    <x v="0"/>
    <x v="34"/>
    <x v="14"/>
    <x v="4"/>
    <x v="58"/>
    <x v="311"/>
    <x v="2929"/>
    <x v="26"/>
    <x v="26"/>
    <x v="1"/>
  </r>
  <r>
    <x v="0"/>
    <x v="1"/>
    <x v="672"/>
    <x v="0"/>
    <x v="34"/>
    <x v="14"/>
    <x v="0"/>
    <x v="73"/>
    <x v="309"/>
    <x v="2956"/>
    <x v="21"/>
    <x v="21"/>
    <x v="1"/>
  </r>
  <r>
    <x v="0"/>
    <x v="1"/>
    <x v="672"/>
    <x v="0"/>
    <x v="34"/>
    <x v="14"/>
    <x v="3"/>
    <x v="73"/>
    <x v="317"/>
    <x v="2990"/>
    <x v="36"/>
    <x v="36"/>
    <x v="1"/>
  </r>
  <r>
    <x v="0"/>
    <x v="1"/>
    <x v="701"/>
    <x v="0"/>
    <x v="34"/>
    <x v="14"/>
    <x v="2"/>
    <x v="68"/>
    <x v="337"/>
    <x v="3046"/>
    <x v="26"/>
    <x v="26"/>
    <x v="1"/>
  </r>
  <r>
    <x v="0"/>
    <x v="1"/>
    <x v="701"/>
    <x v="0"/>
    <x v="34"/>
    <x v="14"/>
    <x v="1"/>
    <x v="58"/>
    <x v="321"/>
    <x v="2970"/>
    <x v="21"/>
    <x v="21"/>
    <x v="1"/>
  </r>
  <r>
    <x v="5"/>
    <x v="1"/>
    <x v="701"/>
    <x v="0"/>
    <x v="34"/>
    <x v="14"/>
    <x v="5"/>
    <x v="58"/>
    <x v="317"/>
    <x v="2954"/>
    <x v="26"/>
    <x v="26"/>
    <x v="1"/>
  </r>
  <r>
    <x v="5"/>
    <x v="1"/>
    <x v="701"/>
    <x v="0"/>
    <x v="34"/>
    <x v="14"/>
    <x v="4"/>
    <x v="58"/>
    <x v="313"/>
    <x v="2937"/>
    <x v="26"/>
    <x v="26"/>
    <x v="1"/>
  </r>
  <r>
    <x v="5"/>
    <x v="1"/>
    <x v="701"/>
    <x v="0"/>
    <x v="34"/>
    <x v="14"/>
    <x v="0"/>
    <x v="68"/>
    <x v="313"/>
    <x v="2963"/>
    <x v="21"/>
    <x v="21"/>
    <x v="1"/>
  </r>
  <r>
    <x v="5"/>
    <x v="1"/>
    <x v="701"/>
    <x v="0"/>
    <x v="34"/>
    <x v="14"/>
    <x v="3"/>
    <x v="73"/>
    <x v="321"/>
    <x v="3008"/>
    <x v="36"/>
    <x v="36"/>
    <x v="1"/>
  </r>
  <r>
    <x v="0"/>
    <x v="1"/>
    <x v="380"/>
    <x v="0"/>
    <x v="34"/>
    <x v="14"/>
    <x v="2"/>
    <x v="33"/>
    <x v="311"/>
    <x v="2840"/>
    <x v="26"/>
    <x v="26"/>
    <x v="1"/>
  </r>
  <r>
    <x v="0"/>
    <x v="1"/>
    <x v="380"/>
    <x v="0"/>
    <x v="34"/>
    <x v="14"/>
    <x v="1"/>
    <x v="33"/>
    <x v="254"/>
    <x v="2469"/>
    <x v="21"/>
    <x v="21"/>
    <x v="1"/>
  </r>
  <r>
    <x v="0"/>
    <x v="1"/>
    <x v="380"/>
    <x v="0"/>
    <x v="34"/>
    <x v="14"/>
    <x v="5"/>
    <x v="23"/>
    <x v="254"/>
    <x v="2064"/>
    <x v="26"/>
    <x v="26"/>
    <x v="1"/>
  </r>
  <r>
    <x v="0"/>
    <x v="1"/>
    <x v="380"/>
    <x v="0"/>
    <x v="34"/>
    <x v="14"/>
    <x v="4"/>
    <x v="28"/>
    <x v="129"/>
    <x v="1267"/>
    <x v="26"/>
    <x v="26"/>
    <x v="1"/>
  </r>
  <r>
    <x v="0"/>
    <x v="1"/>
    <x v="380"/>
    <x v="0"/>
    <x v="34"/>
    <x v="14"/>
    <x v="0"/>
    <x v="43"/>
    <x v="174"/>
    <x v="2206"/>
    <x v="21"/>
    <x v="21"/>
    <x v="1"/>
  </r>
  <r>
    <x v="0"/>
    <x v="1"/>
    <x v="380"/>
    <x v="0"/>
    <x v="34"/>
    <x v="14"/>
    <x v="3"/>
    <x v="33"/>
    <x v="254"/>
    <x v="2469"/>
    <x v="26"/>
    <x v="26"/>
    <x v="1"/>
  </r>
  <r>
    <x v="0"/>
    <x v="1"/>
    <x v="411"/>
    <x v="0"/>
    <x v="34"/>
    <x v="14"/>
    <x v="2"/>
    <x v="33"/>
    <x v="315"/>
    <x v="2862"/>
    <x v="26"/>
    <x v="26"/>
    <x v="1"/>
  </r>
  <r>
    <x v="0"/>
    <x v="1"/>
    <x v="411"/>
    <x v="0"/>
    <x v="34"/>
    <x v="14"/>
    <x v="1"/>
    <x v="33"/>
    <x v="174"/>
    <x v="1883"/>
    <x v="21"/>
    <x v="21"/>
    <x v="1"/>
  </r>
  <r>
    <x v="0"/>
    <x v="1"/>
    <x v="411"/>
    <x v="0"/>
    <x v="34"/>
    <x v="14"/>
    <x v="5"/>
    <x v="23"/>
    <x v="212"/>
    <x v="1779"/>
    <x v="26"/>
    <x v="26"/>
    <x v="1"/>
  </r>
  <r>
    <x v="0"/>
    <x v="1"/>
    <x v="411"/>
    <x v="3"/>
    <x v="16"/>
    <x v="29"/>
    <x v="4"/>
    <x v="28"/>
    <x v="105"/>
    <x v="1051"/>
    <x v="26"/>
    <x v="26"/>
    <x v="1"/>
  </r>
  <r>
    <x v="0"/>
    <x v="1"/>
    <x v="411"/>
    <x v="3"/>
    <x v="16"/>
    <x v="29"/>
    <x v="0"/>
    <x v="43"/>
    <x v="174"/>
    <x v="2206"/>
    <x v="21"/>
    <x v="21"/>
    <x v="1"/>
  </r>
  <r>
    <x v="0"/>
    <x v="1"/>
    <x v="411"/>
    <x v="3"/>
    <x v="16"/>
    <x v="29"/>
    <x v="3"/>
    <x v="33"/>
    <x v="254"/>
    <x v="2469"/>
    <x v="26"/>
    <x v="26"/>
    <x v="1"/>
  </r>
  <r>
    <x v="0"/>
    <x v="1"/>
    <x v="438"/>
    <x v="3"/>
    <x v="16"/>
    <x v="29"/>
    <x v="2"/>
    <x v="38"/>
    <x v="312"/>
    <x v="2874"/>
    <x v="26"/>
    <x v="26"/>
    <x v="1"/>
  </r>
  <r>
    <x v="0"/>
    <x v="1"/>
    <x v="438"/>
    <x v="3"/>
    <x v="16"/>
    <x v="29"/>
    <x v="1"/>
    <x v="38"/>
    <x v="194"/>
    <x v="2227"/>
    <x v="21"/>
    <x v="21"/>
    <x v="1"/>
  </r>
  <r>
    <x v="0"/>
    <x v="1"/>
    <x v="438"/>
    <x v="3"/>
    <x v="16"/>
    <x v="29"/>
    <x v="5"/>
    <x v="28"/>
    <x v="212"/>
    <x v="2022"/>
    <x v="26"/>
    <x v="26"/>
    <x v="1"/>
  </r>
  <r>
    <x v="0"/>
    <x v="1"/>
    <x v="438"/>
    <x v="3"/>
    <x v="16"/>
    <x v="29"/>
    <x v="4"/>
    <x v="33"/>
    <x v="82"/>
    <x v="956"/>
    <x v="26"/>
    <x v="26"/>
    <x v="1"/>
  </r>
  <r>
    <x v="0"/>
    <x v="1"/>
    <x v="438"/>
    <x v="3"/>
    <x v="16"/>
    <x v="29"/>
    <x v="0"/>
    <x v="48"/>
    <x v="129"/>
    <x v="1929"/>
    <x v="21"/>
    <x v="21"/>
    <x v="1"/>
  </r>
  <r>
    <x v="0"/>
    <x v="1"/>
    <x v="438"/>
    <x v="3"/>
    <x v="16"/>
    <x v="29"/>
    <x v="3"/>
    <x v="38"/>
    <x v="212"/>
    <x v="2383"/>
    <x v="26"/>
    <x v="26"/>
    <x v="1"/>
  </r>
  <r>
    <x v="0"/>
    <x v="1"/>
    <x v="470"/>
    <x v="3"/>
    <x v="16"/>
    <x v="29"/>
    <x v="2"/>
    <x v="38"/>
    <x v="309"/>
    <x v="2855"/>
    <x v="26"/>
    <x v="26"/>
    <x v="1"/>
  </r>
  <r>
    <x v="0"/>
    <x v="1"/>
    <x v="470"/>
    <x v="3"/>
    <x v="16"/>
    <x v="29"/>
    <x v="1"/>
    <x v="38"/>
    <x v="152"/>
    <x v="1857"/>
    <x v="21"/>
    <x v="21"/>
    <x v="1"/>
  </r>
  <r>
    <x v="0"/>
    <x v="1"/>
    <x v="470"/>
    <x v="3"/>
    <x v="16"/>
    <x v="29"/>
    <x v="5"/>
    <x v="33"/>
    <x v="152"/>
    <x v="1674"/>
    <x v="26"/>
    <x v="26"/>
    <x v="1"/>
  </r>
  <r>
    <x v="0"/>
    <x v="1"/>
    <x v="470"/>
    <x v="3"/>
    <x v="16"/>
    <x v="29"/>
    <x v="4"/>
    <x v="38"/>
    <x v="82"/>
    <x v="1086"/>
    <x v="26"/>
    <x v="26"/>
    <x v="1"/>
  </r>
  <r>
    <x v="0"/>
    <x v="1"/>
    <x v="470"/>
    <x v="3"/>
    <x v="16"/>
    <x v="29"/>
    <x v="0"/>
    <x v="43"/>
    <x v="105"/>
    <x v="1502"/>
    <x v="21"/>
    <x v="21"/>
    <x v="1"/>
  </r>
  <r>
    <x v="0"/>
    <x v="1"/>
    <x v="470"/>
    <x v="3"/>
    <x v="16"/>
    <x v="29"/>
    <x v="3"/>
    <x v="33"/>
    <x v="212"/>
    <x v="2206"/>
    <x v="26"/>
    <x v="26"/>
    <x v="1"/>
  </r>
  <r>
    <x v="0"/>
    <x v="1"/>
    <x v="501"/>
    <x v="3"/>
    <x v="16"/>
    <x v="29"/>
    <x v="2"/>
    <x v="43"/>
    <x v="312"/>
    <x v="2890"/>
    <x v="26"/>
    <x v="26"/>
    <x v="1"/>
  </r>
  <r>
    <x v="0"/>
    <x v="1"/>
    <x v="501"/>
    <x v="3"/>
    <x v="16"/>
    <x v="29"/>
    <x v="1"/>
    <x v="38"/>
    <x v="194"/>
    <x v="2227"/>
    <x v="21"/>
    <x v="21"/>
    <x v="1"/>
  </r>
  <r>
    <x v="0"/>
    <x v="1"/>
    <x v="501"/>
    <x v="3"/>
    <x v="16"/>
    <x v="29"/>
    <x v="5"/>
    <x v="33"/>
    <x v="174"/>
    <x v="1883"/>
    <x v="26"/>
    <x v="26"/>
    <x v="1"/>
  </r>
  <r>
    <x v="0"/>
    <x v="1"/>
    <x v="501"/>
    <x v="3"/>
    <x v="16"/>
    <x v="29"/>
    <x v="4"/>
    <x v="33"/>
    <x v="105"/>
    <x v="1208"/>
    <x v="26"/>
    <x v="26"/>
    <x v="1"/>
  </r>
  <r>
    <x v="0"/>
    <x v="1"/>
    <x v="501"/>
    <x v="3"/>
    <x v="16"/>
    <x v="29"/>
    <x v="0"/>
    <x v="43"/>
    <x v="129"/>
    <x v="1779"/>
    <x v="21"/>
    <x v="21"/>
    <x v="1"/>
  </r>
  <r>
    <x v="0"/>
    <x v="1"/>
    <x v="501"/>
    <x v="3"/>
    <x v="16"/>
    <x v="29"/>
    <x v="3"/>
    <x v="48"/>
    <x v="231"/>
    <x v="2694"/>
    <x v="26"/>
    <x v="26"/>
    <x v="1"/>
  </r>
  <r>
    <x v="0"/>
    <x v="1"/>
    <x v="531"/>
    <x v="3"/>
    <x v="16"/>
    <x v="29"/>
    <x v="2"/>
    <x v="33"/>
    <x v="313"/>
    <x v="2852"/>
    <x v="26"/>
    <x v="26"/>
    <x v="1"/>
  </r>
  <r>
    <x v="0"/>
    <x v="1"/>
    <x v="531"/>
    <x v="3"/>
    <x v="16"/>
    <x v="29"/>
    <x v="1"/>
    <x v="28"/>
    <x v="231"/>
    <x v="2158"/>
    <x v="21"/>
    <x v="21"/>
    <x v="1"/>
  </r>
  <r>
    <x v="0"/>
    <x v="1"/>
    <x v="531"/>
    <x v="3"/>
    <x v="16"/>
    <x v="29"/>
    <x v="5"/>
    <x v="23"/>
    <x v="194"/>
    <x v="1617"/>
    <x v="26"/>
    <x v="26"/>
    <x v="1"/>
  </r>
  <r>
    <x v="0"/>
    <x v="1"/>
    <x v="531"/>
    <x v="3"/>
    <x v="16"/>
    <x v="29"/>
    <x v="4"/>
    <x v="23"/>
    <x v="174"/>
    <x v="1441"/>
    <x v="26"/>
    <x v="26"/>
    <x v="1"/>
  </r>
  <r>
    <x v="0"/>
    <x v="1"/>
    <x v="531"/>
    <x v="3"/>
    <x v="16"/>
    <x v="29"/>
    <x v="0"/>
    <x v="43"/>
    <x v="174"/>
    <x v="2206"/>
    <x v="21"/>
    <x v="21"/>
    <x v="1"/>
  </r>
  <r>
    <x v="0"/>
    <x v="1"/>
    <x v="531"/>
    <x v="3"/>
    <x v="16"/>
    <x v="29"/>
    <x v="3"/>
    <x v="48"/>
    <x v="294"/>
    <x v="2850"/>
    <x v="26"/>
    <x v="26"/>
    <x v="1"/>
  </r>
  <r>
    <x v="0"/>
    <x v="1"/>
    <x v="560"/>
    <x v="3"/>
    <x v="16"/>
    <x v="29"/>
    <x v="2"/>
    <x v="43"/>
    <x v="319"/>
    <x v="2915"/>
    <x v="26"/>
    <x v="26"/>
    <x v="1"/>
  </r>
  <r>
    <x v="0"/>
    <x v="1"/>
    <x v="560"/>
    <x v="3"/>
    <x v="16"/>
    <x v="29"/>
    <x v="1"/>
    <x v="38"/>
    <x v="285"/>
    <x v="2727"/>
    <x v="21"/>
    <x v="21"/>
    <x v="1"/>
  </r>
  <r>
    <x v="0"/>
    <x v="1"/>
    <x v="560"/>
    <x v="3"/>
    <x v="16"/>
    <x v="29"/>
    <x v="5"/>
    <x v="33"/>
    <x v="231"/>
    <x v="2350"/>
    <x v="26"/>
    <x v="26"/>
    <x v="1"/>
  </r>
  <r>
    <x v="0"/>
    <x v="1"/>
    <x v="560"/>
    <x v="3"/>
    <x v="16"/>
    <x v="29"/>
    <x v="4"/>
    <x v="33"/>
    <x v="194"/>
    <x v="2064"/>
    <x v="26"/>
    <x v="26"/>
    <x v="1"/>
  </r>
  <r>
    <x v="0"/>
    <x v="1"/>
    <x v="560"/>
    <x v="3"/>
    <x v="16"/>
    <x v="29"/>
    <x v="0"/>
    <x v="43"/>
    <x v="212"/>
    <x v="2513"/>
    <x v="21"/>
    <x v="21"/>
    <x v="1"/>
  </r>
  <r>
    <x v="0"/>
    <x v="1"/>
    <x v="560"/>
    <x v="3"/>
    <x v="16"/>
    <x v="29"/>
    <x v="3"/>
    <x v="48"/>
    <x v="304"/>
    <x v="2873"/>
    <x v="26"/>
    <x v="26"/>
    <x v="1"/>
  </r>
  <r>
    <x v="0"/>
    <x v="1"/>
    <x v="592"/>
    <x v="3"/>
    <x v="16"/>
    <x v="29"/>
    <x v="2"/>
    <x v="43"/>
    <x v="317"/>
    <x v="2907"/>
    <x v="26"/>
    <x v="26"/>
    <x v="1"/>
  </r>
  <r>
    <x v="0"/>
    <x v="1"/>
    <x v="592"/>
    <x v="3"/>
    <x v="16"/>
    <x v="29"/>
    <x v="1"/>
    <x v="38"/>
    <x v="285"/>
    <x v="2727"/>
    <x v="21"/>
    <x v="21"/>
    <x v="1"/>
  </r>
  <r>
    <x v="0"/>
    <x v="1"/>
    <x v="592"/>
    <x v="3"/>
    <x v="16"/>
    <x v="29"/>
    <x v="5"/>
    <x v="33"/>
    <x v="231"/>
    <x v="2350"/>
    <x v="26"/>
    <x v="26"/>
    <x v="1"/>
  </r>
  <r>
    <x v="0"/>
    <x v="1"/>
    <x v="592"/>
    <x v="3"/>
    <x v="16"/>
    <x v="29"/>
    <x v="4"/>
    <x v="33"/>
    <x v="212"/>
    <x v="2206"/>
    <x v="26"/>
    <x v="26"/>
    <x v="1"/>
  </r>
  <r>
    <x v="0"/>
    <x v="1"/>
    <x v="592"/>
    <x v="3"/>
    <x v="16"/>
    <x v="29"/>
    <x v="0"/>
    <x v="43"/>
    <x v="194"/>
    <x v="2383"/>
    <x v="21"/>
    <x v="21"/>
    <x v="1"/>
  </r>
  <r>
    <x v="0"/>
    <x v="1"/>
    <x v="592"/>
    <x v="3"/>
    <x v="16"/>
    <x v="29"/>
    <x v="3"/>
    <x v="48"/>
    <x v="300"/>
    <x v="2862"/>
    <x v="26"/>
    <x v="26"/>
    <x v="1"/>
  </r>
  <r>
    <x v="0"/>
    <x v="1"/>
    <x v="624"/>
    <x v="3"/>
    <x v="16"/>
    <x v="29"/>
    <x v="2"/>
    <x v="43"/>
    <x v="313"/>
    <x v="2892"/>
    <x v="26"/>
    <x v="26"/>
    <x v="1"/>
  </r>
  <r>
    <x v="0"/>
    <x v="1"/>
    <x v="624"/>
    <x v="3"/>
    <x v="16"/>
    <x v="29"/>
    <x v="1"/>
    <x v="38"/>
    <x v="273"/>
    <x v="2673"/>
    <x v="21"/>
    <x v="21"/>
    <x v="1"/>
  </r>
  <r>
    <x v="0"/>
    <x v="1"/>
    <x v="624"/>
    <x v="3"/>
    <x v="16"/>
    <x v="29"/>
    <x v="5"/>
    <x v="28"/>
    <x v="194"/>
    <x v="1857"/>
    <x v="26"/>
    <x v="26"/>
    <x v="1"/>
  </r>
  <r>
    <x v="0"/>
    <x v="1"/>
    <x v="624"/>
    <x v="3"/>
    <x v="16"/>
    <x v="29"/>
    <x v="4"/>
    <x v="28"/>
    <x v="174"/>
    <x v="1674"/>
    <x v="26"/>
    <x v="26"/>
    <x v="1"/>
  </r>
  <r>
    <x v="0"/>
    <x v="1"/>
    <x v="624"/>
    <x v="3"/>
    <x v="16"/>
    <x v="29"/>
    <x v="0"/>
    <x v="38"/>
    <x v="174"/>
    <x v="2064"/>
    <x v="21"/>
    <x v="21"/>
    <x v="1"/>
  </r>
  <r>
    <x v="0"/>
    <x v="1"/>
    <x v="624"/>
    <x v="3"/>
    <x v="16"/>
    <x v="29"/>
    <x v="3"/>
    <x v="43"/>
    <x v="231"/>
    <x v="2615"/>
    <x v="26"/>
    <x v="26"/>
    <x v="1"/>
  </r>
  <r>
    <x v="0"/>
    <x v="1"/>
    <x v="653"/>
    <x v="3"/>
    <x v="16"/>
    <x v="29"/>
    <x v="2"/>
    <x v="48"/>
    <x v="307"/>
    <x v="2884"/>
    <x v="26"/>
    <x v="26"/>
    <x v="1"/>
  </r>
  <r>
    <x v="0"/>
    <x v="1"/>
    <x v="653"/>
    <x v="3"/>
    <x v="16"/>
    <x v="29"/>
    <x v="1"/>
    <x v="38"/>
    <x v="231"/>
    <x v="2506"/>
    <x v="21"/>
    <x v="21"/>
    <x v="1"/>
  </r>
  <r>
    <x v="0"/>
    <x v="1"/>
    <x v="653"/>
    <x v="3"/>
    <x v="16"/>
    <x v="29"/>
    <x v="5"/>
    <x v="38"/>
    <x v="152"/>
    <x v="1857"/>
    <x v="26"/>
    <x v="26"/>
    <x v="1"/>
  </r>
  <r>
    <x v="0"/>
    <x v="1"/>
    <x v="653"/>
    <x v="3"/>
    <x v="16"/>
    <x v="29"/>
    <x v="4"/>
    <x v="38"/>
    <x v="129"/>
    <x v="1617"/>
    <x v="26"/>
    <x v="26"/>
    <x v="1"/>
  </r>
  <r>
    <x v="0"/>
    <x v="1"/>
    <x v="653"/>
    <x v="3"/>
    <x v="16"/>
    <x v="29"/>
    <x v="0"/>
    <x v="48"/>
    <x v="129"/>
    <x v="1929"/>
    <x v="21"/>
    <x v="21"/>
    <x v="1"/>
  </r>
  <r>
    <x v="0"/>
    <x v="1"/>
    <x v="653"/>
    <x v="3"/>
    <x v="16"/>
    <x v="29"/>
    <x v="3"/>
    <x v="48"/>
    <x v="231"/>
    <x v="2694"/>
    <x v="26"/>
    <x v="26"/>
    <x v="1"/>
  </r>
  <r>
    <x v="0"/>
    <x v="1"/>
    <x v="684"/>
    <x v="3"/>
    <x v="16"/>
    <x v="29"/>
    <x v="2"/>
    <x v="43"/>
    <x v="304"/>
    <x v="2854"/>
    <x v="26"/>
    <x v="26"/>
    <x v="1"/>
  </r>
  <r>
    <x v="0"/>
    <x v="1"/>
    <x v="684"/>
    <x v="3"/>
    <x v="16"/>
    <x v="29"/>
    <x v="1"/>
    <x v="33"/>
    <x v="231"/>
    <x v="2350"/>
    <x v="21"/>
    <x v="21"/>
    <x v="1"/>
  </r>
  <r>
    <x v="0"/>
    <x v="1"/>
    <x v="684"/>
    <x v="3"/>
    <x v="16"/>
    <x v="29"/>
    <x v="5"/>
    <x v="38"/>
    <x v="190"/>
    <x v="2194"/>
    <x v="26"/>
    <x v="26"/>
    <x v="1"/>
  </r>
  <r>
    <x v="1"/>
    <x v="1"/>
    <x v="684"/>
    <x v="3"/>
    <x v="16"/>
    <x v="29"/>
    <x v="4"/>
    <x v="48"/>
    <x v="174"/>
    <x v="2350"/>
    <x v="26"/>
    <x v="26"/>
    <x v="1"/>
  </r>
  <r>
    <x v="1"/>
    <x v="1"/>
    <x v="684"/>
    <x v="3"/>
    <x v="16"/>
    <x v="29"/>
    <x v="0"/>
    <x v="58"/>
    <x v="152"/>
    <x v="2398"/>
    <x v="21"/>
    <x v="21"/>
    <x v="1"/>
  </r>
  <r>
    <x v="1"/>
    <x v="1"/>
    <x v="684"/>
    <x v="3"/>
    <x v="16"/>
    <x v="29"/>
    <x v="3"/>
    <x v="63"/>
    <x v="231"/>
    <x v="2829"/>
    <x v="26"/>
    <x v="26"/>
    <x v="1"/>
  </r>
  <r>
    <x v="1"/>
    <x v="1"/>
    <x v="713"/>
    <x v="3"/>
    <x v="16"/>
    <x v="29"/>
    <x v="2"/>
    <x v="58"/>
    <x v="313"/>
    <x v="2937"/>
    <x v="26"/>
    <x v="26"/>
    <x v="1"/>
  </r>
  <r>
    <x v="1"/>
    <x v="1"/>
    <x v="713"/>
    <x v="3"/>
    <x v="16"/>
    <x v="29"/>
    <x v="1"/>
    <x v="48"/>
    <x v="273"/>
    <x v="2800"/>
    <x v="21"/>
    <x v="21"/>
    <x v="1"/>
  </r>
  <r>
    <x v="1"/>
    <x v="1"/>
    <x v="713"/>
    <x v="3"/>
    <x v="16"/>
    <x v="29"/>
    <x v="5"/>
    <x v="48"/>
    <x v="231"/>
    <x v="2694"/>
    <x v="26"/>
    <x v="26"/>
    <x v="1"/>
  </r>
  <r>
    <x v="1"/>
    <x v="1"/>
    <x v="713"/>
    <x v="3"/>
    <x v="16"/>
    <x v="29"/>
    <x v="4"/>
    <x v="43"/>
    <x v="194"/>
    <x v="2383"/>
    <x v="26"/>
    <x v="26"/>
    <x v="1"/>
  </r>
  <r>
    <x v="1"/>
    <x v="1"/>
    <x v="713"/>
    <x v="3"/>
    <x v="16"/>
    <x v="29"/>
    <x v="0"/>
    <x v="53"/>
    <x v="194"/>
    <x v="2594"/>
    <x v="21"/>
    <x v="21"/>
    <x v="1"/>
  </r>
  <r>
    <x v="1"/>
    <x v="1"/>
    <x v="713"/>
    <x v="3"/>
    <x v="16"/>
    <x v="29"/>
    <x v="3"/>
    <x v="58"/>
    <x v="273"/>
    <x v="2853"/>
    <x v="26"/>
    <x v="26"/>
    <x v="1"/>
  </r>
  <r>
    <x v="1"/>
    <x v="1"/>
    <x v="378"/>
    <x v="3"/>
    <x v="16"/>
    <x v="29"/>
    <x v="2"/>
    <x v="23"/>
    <x v="329"/>
    <x v="2858"/>
    <x v="26"/>
    <x v="26"/>
    <x v="1"/>
  </r>
  <r>
    <x v="1"/>
    <x v="1"/>
    <x v="378"/>
    <x v="3"/>
    <x v="16"/>
    <x v="29"/>
    <x v="1"/>
    <x v="23"/>
    <x v="313"/>
    <x v="2727"/>
    <x v="21"/>
    <x v="21"/>
    <x v="1"/>
  </r>
  <r>
    <x v="1"/>
    <x v="1"/>
    <x v="378"/>
    <x v="3"/>
    <x v="16"/>
    <x v="29"/>
    <x v="5"/>
    <x v="13"/>
    <x v="313"/>
    <x v="2282"/>
    <x v="26"/>
    <x v="26"/>
    <x v="1"/>
  </r>
  <r>
    <x v="1"/>
    <x v="1"/>
    <x v="378"/>
    <x v="3"/>
    <x v="16"/>
    <x v="29"/>
    <x v="4"/>
    <x v="18"/>
    <x v="294"/>
    <x v="2112"/>
    <x v="26"/>
    <x v="26"/>
    <x v="1"/>
  </r>
  <r>
    <x v="1"/>
    <x v="1"/>
    <x v="378"/>
    <x v="3"/>
    <x v="16"/>
    <x v="29"/>
    <x v="0"/>
    <x v="33"/>
    <x v="304"/>
    <x v="2774"/>
    <x v="21"/>
    <x v="21"/>
    <x v="1"/>
  </r>
  <r>
    <x v="1"/>
    <x v="1"/>
    <x v="378"/>
    <x v="3"/>
    <x v="16"/>
    <x v="29"/>
    <x v="3"/>
    <x v="23"/>
    <x v="313"/>
    <x v="2727"/>
    <x v="36"/>
    <x v="36"/>
    <x v="1"/>
  </r>
  <r>
    <x v="1"/>
    <x v="1"/>
    <x v="407"/>
    <x v="3"/>
    <x v="16"/>
    <x v="29"/>
    <x v="2"/>
    <x v="23"/>
    <x v="333"/>
    <x v="2872"/>
    <x v="26"/>
    <x v="26"/>
    <x v="1"/>
  </r>
  <r>
    <x v="1"/>
    <x v="1"/>
    <x v="407"/>
    <x v="3"/>
    <x v="16"/>
    <x v="29"/>
    <x v="1"/>
    <x v="23"/>
    <x v="304"/>
    <x v="2535"/>
    <x v="21"/>
    <x v="21"/>
    <x v="1"/>
  </r>
  <r>
    <x v="1"/>
    <x v="1"/>
    <x v="407"/>
    <x v="3"/>
    <x v="16"/>
    <x v="29"/>
    <x v="5"/>
    <x v="13"/>
    <x v="309"/>
    <x v="2137"/>
    <x v="26"/>
    <x v="26"/>
    <x v="1"/>
  </r>
  <r>
    <x v="1"/>
    <x v="1"/>
    <x v="407"/>
    <x v="2"/>
    <x v="23"/>
    <x v="24"/>
    <x v="4"/>
    <x v="18"/>
    <x v="273"/>
    <x v="1909"/>
    <x v="26"/>
    <x v="26"/>
    <x v="1"/>
  </r>
  <r>
    <x v="1"/>
    <x v="1"/>
    <x v="407"/>
    <x v="2"/>
    <x v="23"/>
    <x v="24"/>
    <x v="0"/>
    <x v="33"/>
    <x v="300"/>
    <x v="2737"/>
    <x v="21"/>
    <x v="21"/>
    <x v="1"/>
  </r>
  <r>
    <x v="1"/>
    <x v="1"/>
    <x v="407"/>
    <x v="2"/>
    <x v="23"/>
    <x v="24"/>
    <x v="3"/>
    <x v="18"/>
    <x v="311"/>
    <x v="2513"/>
    <x v="36"/>
    <x v="36"/>
    <x v="1"/>
  </r>
  <r>
    <x v="1"/>
    <x v="1"/>
    <x v="433"/>
    <x v="2"/>
    <x v="23"/>
    <x v="24"/>
    <x v="2"/>
    <x v="18"/>
    <x v="328"/>
    <x v="2805"/>
    <x v="26"/>
    <x v="26"/>
    <x v="1"/>
  </r>
  <r>
    <x v="1"/>
    <x v="1"/>
    <x v="433"/>
    <x v="2"/>
    <x v="23"/>
    <x v="24"/>
    <x v="1"/>
    <x v="18"/>
    <x v="300"/>
    <x v="2206"/>
    <x v="21"/>
    <x v="21"/>
    <x v="1"/>
  </r>
  <r>
    <x v="1"/>
    <x v="1"/>
    <x v="433"/>
    <x v="2"/>
    <x v="23"/>
    <x v="24"/>
    <x v="5"/>
    <x v="8"/>
    <x v="304"/>
    <x v="1535"/>
    <x v="26"/>
    <x v="26"/>
    <x v="1"/>
  </r>
  <r>
    <x v="1"/>
    <x v="1"/>
    <x v="433"/>
    <x v="2"/>
    <x v="23"/>
    <x v="24"/>
    <x v="4"/>
    <x v="13"/>
    <x v="231"/>
    <x v="1321"/>
    <x v="26"/>
    <x v="26"/>
    <x v="1"/>
  </r>
  <r>
    <x v="1"/>
    <x v="1"/>
    <x v="433"/>
    <x v="2"/>
    <x v="23"/>
    <x v="24"/>
    <x v="0"/>
    <x v="28"/>
    <x v="273"/>
    <x v="2398"/>
    <x v="21"/>
    <x v="21"/>
    <x v="1"/>
  </r>
  <r>
    <x v="1"/>
    <x v="1"/>
    <x v="433"/>
    <x v="2"/>
    <x v="23"/>
    <x v="24"/>
    <x v="3"/>
    <x v="18"/>
    <x v="304"/>
    <x v="2299"/>
    <x v="36"/>
    <x v="36"/>
    <x v="1"/>
  </r>
  <r>
    <x v="1"/>
    <x v="1"/>
    <x v="465"/>
    <x v="2"/>
    <x v="23"/>
    <x v="24"/>
    <x v="2"/>
    <x v="18"/>
    <x v="325"/>
    <x v="2772"/>
    <x v="26"/>
    <x v="26"/>
    <x v="1"/>
  </r>
  <r>
    <x v="1"/>
    <x v="1"/>
    <x v="465"/>
    <x v="2"/>
    <x v="23"/>
    <x v="24"/>
    <x v="1"/>
    <x v="18"/>
    <x v="294"/>
    <x v="2112"/>
    <x v="21"/>
    <x v="21"/>
    <x v="1"/>
  </r>
  <r>
    <x v="1"/>
    <x v="1"/>
    <x v="465"/>
    <x v="2"/>
    <x v="23"/>
    <x v="24"/>
    <x v="5"/>
    <x v="8"/>
    <x v="294"/>
    <x v="1355"/>
    <x v="26"/>
    <x v="26"/>
    <x v="1"/>
  </r>
  <r>
    <x v="1"/>
    <x v="1"/>
    <x v="465"/>
    <x v="2"/>
    <x v="23"/>
    <x v="24"/>
    <x v="4"/>
    <x v="13"/>
    <x v="254"/>
    <x v="1441"/>
    <x v="26"/>
    <x v="26"/>
    <x v="1"/>
  </r>
  <r>
    <x v="1"/>
    <x v="1"/>
    <x v="465"/>
    <x v="2"/>
    <x v="23"/>
    <x v="24"/>
    <x v="0"/>
    <x v="33"/>
    <x v="273"/>
    <x v="2560"/>
    <x v="21"/>
    <x v="21"/>
    <x v="1"/>
  </r>
  <r>
    <x v="1"/>
    <x v="1"/>
    <x v="465"/>
    <x v="2"/>
    <x v="23"/>
    <x v="24"/>
    <x v="3"/>
    <x v="23"/>
    <x v="309"/>
    <x v="2652"/>
    <x v="36"/>
    <x v="36"/>
    <x v="1"/>
  </r>
  <r>
    <x v="1"/>
    <x v="1"/>
    <x v="494"/>
    <x v="2"/>
    <x v="23"/>
    <x v="24"/>
    <x v="2"/>
    <x v="33"/>
    <x v="330"/>
    <x v="2913"/>
    <x v="26"/>
    <x v="26"/>
    <x v="1"/>
  </r>
  <r>
    <x v="1"/>
    <x v="1"/>
    <x v="494"/>
    <x v="2"/>
    <x v="23"/>
    <x v="24"/>
    <x v="1"/>
    <x v="33"/>
    <x v="307"/>
    <x v="2805"/>
    <x v="21"/>
    <x v="21"/>
    <x v="1"/>
  </r>
  <r>
    <x v="1"/>
    <x v="1"/>
    <x v="494"/>
    <x v="2"/>
    <x v="23"/>
    <x v="24"/>
    <x v="5"/>
    <x v="28"/>
    <x v="304"/>
    <x v="2682"/>
    <x v="26"/>
    <x v="26"/>
    <x v="1"/>
  </r>
  <r>
    <x v="1"/>
    <x v="1"/>
    <x v="494"/>
    <x v="2"/>
    <x v="23"/>
    <x v="24"/>
    <x v="4"/>
    <x v="28"/>
    <x v="294"/>
    <x v="2574"/>
    <x v="26"/>
    <x v="26"/>
    <x v="1"/>
  </r>
  <r>
    <x v="1"/>
    <x v="1"/>
    <x v="494"/>
    <x v="2"/>
    <x v="23"/>
    <x v="24"/>
    <x v="0"/>
    <x v="38"/>
    <x v="300"/>
    <x v="2805"/>
    <x v="21"/>
    <x v="21"/>
    <x v="1"/>
  </r>
  <r>
    <x v="1"/>
    <x v="1"/>
    <x v="494"/>
    <x v="2"/>
    <x v="23"/>
    <x v="24"/>
    <x v="3"/>
    <x v="43"/>
    <x v="311"/>
    <x v="2886"/>
    <x v="36"/>
    <x v="36"/>
    <x v="1"/>
  </r>
  <r>
    <x v="1"/>
    <x v="1"/>
    <x v="527"/>
    <x v="2"/>
    <x v="23"/>
    <x v="24"/>
    <x v="2"/>
    <x v="38"/>
    <x v="331"/>
    <x v="2935"/>
    <x v="26"/>
    <x v="26"/>
    <x v="1"/>
  </r>
  <r>
    <x v="1"/>
    <x v="1"/>
    <x v="527"/>
    <x v="2"/>
    <x v="23"/>
    <x v="24"/>
    <x v="1"/>
    <x v="33"/>
    <x v="311"/>
    <x v="2840"/>
    <x v="21"/>
    <x v="21"/>
    <x v="1"/>
  </r>
  <r>
    <x v="1"/>
    <x v="1"/>
    <x v="527"/>
    <x v="2"/>
    <x v="23"/>
    <x v="24"/>
    <x v="5"/>
    <x v="38"/>
    <x v="309"/>
    <x v="2855"/>
    <x v="26"/>
    <x v="26"/>
    <x v="1"/>
  </r>
  <r>
    <x v="1"/>
    <x v="1"/>
    <x v="527"/>
    <x v="2"/>
    <x v="23"/>
    <x v="24"/>
    <x v="4"/>
    <x v="38"/>
    <x v="307"/>
    <x v="2848"/>
    <x v="26"/>
    <x v="26"/>
    <x v="1"/>
  </r>
  <r>
    <x v="1"/>
    <x v="1"/>
    <x v="527"/>
    <x v="2"/>
    <x v="23"/>
    <x v="24"/>
    <x v="0"/>
    <x v="53"/>
    <x v="307"/>
    <x v="2895"/>
    <x v="21"/>
    <x v="21"/>
    <x v="1"/>
  </r>
  <r>
    <x v="1"/>
    <x v="1"/>
    <x v="527"/>
    <x v="2"/>
    <x v="23"/>
    <x v="24"/>
    <x v="3"/>
    <x v="58"/>
    <x v="321"/>
    <x v="2970"/>
    <x v="36"/>
    <x v="36"/>
    <x v="1"/>
  </r>
  <r>
    <x v="1"/>
    <x v="1"/>
    <x v="555"/>
    <x v="2"/>
    <x v="23"/>
    <x v="24"/>
    <x v="2"/>
    <x v="53"/>
    <x v="338"/>
    <x v="3014"/>
    <x v="26"/>
    <x v="26"/>
    <x v="1"/>
  </r>
  <r>
    <x v="4"/>
    <x v="1"/>
    <x v="555"/>
    <x v="2"/>
    <x v="23"/>
    <x v="24"/>
    <x v="1"/>
    <x v="48"/>
    <x v="319"/>
    <x v="2933"/>
    <x v="21"/>
    <x v="21"/>
    <x v="1"/>
  </r>
  <r>
    <x v="4"/>
    <x v="1"/>
    <x v="555"/>
    <x v="2"/>
    <x v="23"/>
    <x v="24"/>
    <x v="5"/>
    <x v="43"/>
    <x v="313"/>
    <x v="2892"/>
    <x v="26"/>
    <x v="26"/>
    <x v="1"/>
  </r>
  <r>
    <x v="4"/>
    <x v="1"/>
    <x v="555"/>
    <x v="2"/>
    <x v="23"/>
    <x v="24"/>
    <x v="4"/>
    <x v="43"/>
    <x v="309"/>
    <x v="2878"/>
    <x v="26"/>
    <x v="26"/>
    <x v="1"/>
  </r>
  <r>
    <x v="4"/>
    <x v="1"/>
    <x v="555"/>
    <x v="2"/>
    <x v="23"/>
    <x v="24"/>
    <x v="0"/>
    <x v="53"/>
    <x v="311"/>
    <x v="2915"/>
    <x v="21"/>
    <x v="21"/>
    <x v="1"/>
  </r>
  <r>
    <x v="4"/>
    <x v="1"/>
    <x v="555"/>
    <x v="2"/>
    <x v="23"/>
    <x v="24"/>
    <x v="3"/>
    <x v="58"/>
    <x v="325"/>
    <x v="2984"/>
    <x v="36"/>
    <x v="36"/>
    <x v="1"/>
  </r>
  <r>
    <x v="4"/>
    <x v="1"/>
    <x v="587"/>
    <x v="2"/>
    <x v="23"/>
    <x v="24"/>
    <x v="2"/>
    <x v="53"/>
    <x v="337"/>
    <x v="3006"/>
    <x v="26"/>
    <x v="26"/>
    <x v="1"/>
  </r>
  <r>
    <x v="4"/>
    <x v="1"/>
    <x v="587"/>
    <x v="2"/>
    <x v="23"/>
    <x v="24"/>
    <x v="1"/>
    <x v="48"/>
    <x v="319"/>
    <x v="2933"/>
    <x v="21"/>
    <x v="21"/>
    <x v="1"/>
  </r>
  <r>
    <x v="4"/>
    <x v="1"/>
    <x v="587"/>
    <x v="2"/>
    <x v="23"/>
    <x v="24"/>
    <x v="5"/>
    <x v="43"/>
    <x v="313"/>
    <x v="2892"/>
    <x v="26"/>
    <x v="26"/>
    <x v="1"/>
  </r>
  <r>
    <x v="4"/>
    <x v="1"/>
    <x v="587"/>
    <x v="2"/>
    <x v="23"/>
    <x v="24"/>
    <x v="4"/>
    <x v="33"/>
    <x v="309"/>
    <x v="2825"/>
    <x v="26"/>
    <x v="26"/>
    <x v="1"/>
  </r>
  <r>
    <x v="4"/>
    <x v="1"/>
    <x v="587"/>
    <x v="2"/>
    <x v="23"/>
    <x v="24"/>
    <x v="0"/>
    <x v="43"/>
    <x v="307"/>
    <x v="2866"/>
    <x v="21"/>
    <x v="21"/>
    <x v="1"/>
  </r>
  <r>
    <x v="4"/>
    <x v="1"/>
    <x v="587"/>
    <x v="2"/>
    <x v="23"/>
    <x v="24"/>
    <x v="3"/>
    <x v="48"/>
    <x v="321"/>
    <x v="2939"/>
    <x v="36"/>
    <x v="36"/>
    <x v="1"/>
  </r>
  <r>
    <x v="4"/>
    <x v="1"/>
    <x v="617"/>
    <x v="2"/>
    <x v="23"/>
    <x v="24"/>
    <x v="2"/>
    <x v="43"/>
    <x v="329"/>
    <x v="2948"/>
    <x v="26"/>
    <x v="26"/>
    <x v="1"/>
  </r>
  <r>
    <x v="4"/>
    <x v="1"/>
    <x v="617"/>
    <x v="2"/>
    <x v="23"/>
    <x v="24"/>
    <x v="1"/>
    <x v="38"/>
    <x v="313"/>
    <x v="2877"/>
    <x v="21"/>
    <x v="21"/>
    <x v="1"/>
  </r>
  <r>
    <x v="4"/>
    <x v="1"/>
    <x v="617"/>
    <x v="2"/>
    <x v="23"/>
    <x v="24"/>
    <x v="5"/>
    <x v="13"/>
    <x v="304"/>
    <x v="1975"/>
    <x v="26"/>
    <x v="26"/>
    <x v="1"/>
  </r>
  <r>
    <x v="4"/>
    <x v="1"/>
    <x v="617"/>
    <x v="2"/>
    <x v="23"/>
    <x v="24"/>
    <x v="4"/>
    <x v="13"/>
    <x v="300"/>
    <x v="1883"/>
    <x v="26"/>
    <x v="26"/>
    <x v="1"/>
  </r>
  <r>
    <x v="4"/>
    <x v="1"/>
    <x v="617"/>
    <x v="2"/>
    <x v="23"/>
    <x v="24"/>
    <x v="0"/>
    <x v="23"/>
    <x v="300"/>
    <x v="2469"/>
    <x v="21"/>
    <x v="21"/>
    <x v="1"/>
  </r>
  <r>
    <x v="4"/>
    <x v="1"/>
    <x v="617"/>
    <x v="2"/>
    <x v="23"/>
    <x v="24"/>
    <x v="3"/>
    <x v="28"/>
    <x v="311"/>
    <x v="2793"/>
    <x v="36"/>
    <x v="36"/>
    <x v="1"/>
  </r>
  <r>
    <x v="4"/>
    <x v="1"/>
    <x v="649"/>
    <x v="2"/>
    <x v="23"/>
    <x v="24"/>
    <x v="2"/>
    <x v="28"/>
    <x v="325"/>
    <x v="2877"/>
    <x v="26"/>
    <x v="26"/>
    <x v="1"/>
  </r>
  <r>
    <x v="4"/>
    <x v="1"/>
    <x v="649"/>
    <x v="2"/>
    <x v="23"/>
    <x v="24"/>
    <x v="1"/>
    <x v="18"/>
    <x v="311"/>
    <x v="2513"/>
    <x v="21"/>
    <x v="21"/>
    <x v="1"/>
  </r>
  <r>
    <x v="4"/>
    <x v="1"/>
    <x v="649"/>
    <x v="2"/>
    <x v="23"/>
    <x v="24"/>
    <x v="5"/>
    <x v="18"/>
    <x v="294"/>
    <x v="2112"/>
    <x v="26"/>
    <x v="26"/>
    <x v="1"/>
  </r>
  <r>
    <x v="4"/>
    <x v="1"/>
    <x v="649"/>
    <x v="2"/>
    <x v="23"/>
    <x v="24"/>
    <x v="4"/>
    <x v="18"/>
    <x v="285"/>
    <x v="2022"/>
    <x v="26"/>
    <x v="26"/>
    <x v="1"/>
  </r>
  <r>
    <x v="4"/>
    <x v="1"/>
    <x v="649"/>
    <x v="2"/>
    <x v="23"/>
    <x v="24"/>
    <x v="0"/>
    <x v="28"/>
    <x v="285"/>
    <x v="2491"/>
    <x v="21"/>
    <x v="21"/>
    <x v="1"/>
  </r>
  <r>
    <x v="3"/>
    <x v="1"/>
    <x v="649"/>
    <x v="2"/>
    <x v="23"/>
    <x v="24"/>
    <x v="3"/>
    <x v="28"/>
    <x v="309"/>
    <x v="2763"/>
    <x v="36"/>
    <x v="36"/>
    <x v="1"/>
  </r>
  <r>
    <x v="3"/>
    <x v="1"/>
    <x v="679"/>
    <x v="2"/>
    <x v="23"/>
    <x v="24"/>
    <x v="2"/>
    <x v="23"/>
    <x v="321"/>
    <x v="2817"/>
    <x v="26"/>
    <x v="26"/>
    <x v="1"/>
  </r>
  <r>
    <x v="3"/>
    <x v="1"/>
    <x v="679"/>
    <x v="2"/>
    <x v="23"/>
    <x v="24"/>
    <x v="1"/>
    <x v="13"/>
    <x v="307"/>
    <x v="2064"/>
    <x v="21"/>
    <x v="21"/>
    <x v="1"/>
  </r>
  <r>
    <x v="3"/>
    <x v="1"/>
    <x v="679"/>
    <x v="2"/>
    <x v="23"/>
    <x v="24"/>
    <x v="5"/>
    <x v="23"/>
    <x v="299"/>
    <x v="2447"/>
    <x v="26"/>
    <x v="26"/>
    <x v="1"/>
  </r>
  <r>
    <x v="3"/>
    <x v="1"/>
    <x v="679"/>
    <x v="2"/>
    <x v="23"/>
    <x v="24"/>
    <x v="4"/>
    <x v="53"/>
    <x v="307"/>
    <x v="2895"/>
    <x v="26"/>
    <x v="26"/>
    <x v="1"/>
  </r>
  <r>
    <x v="3"/>
    <x v="1"/>
    <x v="679"/>
    <x v="2"/>
    <x v="23"/>
    <x v="24"/>
    <x v="0"/>
    <x v="68"/>
    <x v="304"/>
    <x v="2926"/>
    <x v="21"/>
    <x v="21"/>
    <x v="1"/>
  </r>
  <r>
    <x v="3"/>
    <x v="1"/>
    <x v="679"/>
    <x v="2"/>
    <x v="23"/>
    <x v="24"/>
    <x v="3"/>
    <x v="68"/>
    <x v="313"/>
    <x v="2963"/>
    <x v="36"/>
    <x v="36"/>
    <x v="1"/>
  </r>
  <r>
    <x v="3"/>
    <x v="1"/>
    <x v="708"/>
    <x v="2"/>
    <x v="23"/>
    <x v="24"/>
    <x v="2"/>
    <x v="63"/>
    <x v="333"/>
    <x v="3021"/>
    <x v="26"/>
    <x v="26"/>
    <x v="1"/>
  </r>
  <r>
    <x v="3"/>
    <x v="1"/>
    <x v="708"/>
    <x v="2"/>
    <x v="23"/>
    <x v="24"/>
    <x v="1"/>
    <x v="53"/>
    <x v="317"/>
    <x v="2940"/>
    <x v="21"/>
    <x v="21"/>
    <x v="1"/>
  </r>
  <r>
    <x v="3"/>
    <x v="1"/>
    <x v="708"/>
    <x v="2"/>
    <x v="23"/>
    <x v="24"/>
    <x v="5"/>
    <x v="53"/>
    <x v="313"/>
    <x v="2924"/>
    <x v="26"/>
    <x v="26"/>
    <x v="1"/>
  </r>
  <r>
    <x v="3"/>
    <x v="1"/>
    <x v="708"/>
    <x v="2"/>
    <x v="23"/>
    <x v="24"/>
    <x v="4"/>
    <x v="53"/>
    <x v="309"/>
    <x v="2906"/>
    <x v="26"/>
    <x v="26"/>
    <x v="1"/>
  </r>
  <r>
    <x v="3"/>
    <x v="1"/>
    <x v="708"/>
    <x v="2"/>
    <x v="23"/>
    <x v="24"/>
    <x v="0"/>
    <x v="63"/>
    <x v="309"/>
    <x v="2934"/>
    <x v="21"/>
    <x v="21"/>
    <x v="1"/>
  </r>
  <r>
    <x v="3"/>
    <x v="1"/>
    <x v="708"/>
    <x v="2"/>
    <x v="23"/>
    <x v="24"/>
    <x v="3"/>
    <x v="68"/>
    <x v="317"/>
    <x v="2981"/>
    <x v="36"/>
    <x v="36"/>
    <x v="1"/>
  </r>
  <r>
    <x v="3"/>
    <x v="3"/>
    <x v="381"/>
    <x v="2"/>
    <x v="23"/>
    <x v="24"/>
    <x v="2"/>
    <x v="18"/>
    <x v="323"/>
    <x v="2745"/>
    <x v="26"/>
    <x v="26"/>
    <x v="1"/>
  </r>
  <r>
    <x v="3"/>
    <x v="3"/>
    <x v="381"/>
    <x v="2"/>
    <x v="23"/>
    <x v="24"/>
    <x v="1"/>
    <x v="18"/>
    <x v="307"/>
    <x v="2383"/>
    <x v="21"/>
    <x v="21"/>
    <x v="1"/>
  </r>
  <r>
    <x v="3"/>
    <x v="3"/>
    <x v="381"/>
    <x v="2"/>
    <x v="23"/>
    <x v="24"/>
    <x v="5"/>
    <x v="8"/>
    <x v="307"/>
    <x v="1617"/>
    <x v="26"/>
    <x v="26"/>
    <x v="1"/>
  </r>
  <r>
    <x v="3"/>
    <x v="3"/>
    <x v="381"/>
    <x v="2"/>
    <x v="23"/>
    <x v="24"/>
    <x v="4"/>
    <x v="13"/>
    <x v="254"/>
    <x v="1441"/>
    <x v="26"/>
    <x v="26"/>
    <x v="1"/>
  </r>
  <r>
    <x v="3"/>
    <x v="3"/>
    <x v="381"/>
    <x v="2"/>
    <x v="23"/>
    <x v="24"/>
    <x v="0"/>
    <x v="28"/>
    <x v="285"/>
    <x v="2491"/>
    <x v="21"/>
    <x v="21"/>
    <x v="1"/>
  </r>
  <r>
    <x v="3"/>
    <x v="3"/>
    <x v="381"/>
    <x v="2"/>
    <x v="23"/>
    <x v="24"/>
    <x v="3"/>
    <x v="18"/>
    <x v="307"/>
    <x v="2383"/>
    <x v="26"/>
    <x v="26"/>
    <x v="1"/>
  </r>
  <r>
    <x v="3"/>
    <x v="3"/>
    <x v="410"/>
    <x v="2"/>
    <x v="23"/>
    <x v="24"/>
    <x v="2"/>
    <x v="18"/>
    <x v="327"/>
    <x v="2793"/>
    <x v="26"/>
    <x v="26"/>
    <x v="1"/>
  </r>
  <r>
    <x v="3"/>
    <x v="3"/>
    <x v="410"/>
    <x v="2"/>
    <x v="23"/>
    <x v="24"/>
    <x v="1"/>
    <x v="18"/>
    <x v="285"/>
    <x v="2022"/>
    <x v="21"/>
    <x v="21"/>
    <x v="1"/>
  </r>
  <r>
    <x v="3"/>
    <x v="3"/>
    <x v="410"/>
    <x v="2"/>
    <x v="23"/>
    <x v="24"/>
    <x v="5"/>
    <x v="8"/>
    <x v="300"/>
    <x v="1441"/>
    <x v="26"/>
    <x v="26"/>
    <x v="1"/>
  </r>
  <r>
    <x v="4"/>
    <x v="3"/>
    <x v="410"/>
    <x v="2"/>
    <x v="3"/>
    <x v="27"/>
    <x v="4"/>
    <x v="13"/>
    <x v="212"/>
    <x v="1208"/>
    <x v="26"/>
    <x v="26"/>
    <x v="1"/>
  </r>
  <r>
    <x v="4"/>
    <x v="3"/>
    <x v="410"/>
    <x v="2"/>
    <x v="3"/>
    <x v="27"/>
    <x v="0"/>
    <x v="28"/>
    <x v="273"/>
    <x v="2398"/>
    <x v="21"/>
    <x v="21"/>
    <x v="1"/>
  </r>
  <r>
    <x v="4"/>
    <x v="3"/>
    <x v="410"/>
    <x v="2"/>
    <x v="3"/>
    <x v="27"/>
    <x v="3"/>
    <x v="13"/>
    <x v="304"/>
    <x v="1975"/>
    <x v="26"/>
    <x v="26"/>
    <x v="1"/>
  </r>
  <r>
    <x v="4"/>
    <x v="3"/>
    <x v="436"/>
    <x v="2"/>
    <x v="3"/>
    <x v="27"/>
    <x v="2"/>
    <x v="13"/>
    <x v="322"/>
    <x v="2549"/>
    <x v="26"/>
    <x v="26"/>
    <x v="1"/>
  </r>
  <r>
    <x v="4"/>
    <x v="3"/>
    <x v="436"/>
    <x v="2"/>
    <x v="3"/>
    <x v="27"/>
    <x v="1"/>
    <x v="13"/>
    <x v="273"/>
    <x v="1568"/>
    <x v="21"/>
    <x v="21"/>
    <x v="1"/>
  </r>
  <r>
    <x v="4"/>
    <x v="3"/>
    <x v="436"/>
    <x v="2"/>
    <x v="3"/>
    <x v="27"/>
    <x v="5"/>
    <x v="3"/>
    <x v="285"/>
    <x v="821"/>
    <x v="26"/>
    <x v="26"/>
    <x v="1"/>
  </r>
  <r>
    <x v="4"/>
    <x v="3"/>
    <x v="436"/>
    <x v="2"/>
    <x v="3"/>
    <x v="27"/>
    <x v="4"/>
    <x v="13"/>
    <x v="174"/>
    <x v="956"/>
    <x v="26"/>
    <x v="26"/>
    <x v="1"/>
  </r>
  <r>
    <x v="4"/>
    <x v="3"/>
    <x v="436"/>
    <x v="2"/>
    <x v="3"/>
    <x v="27"/>
    <x v="0"/>
    <x v="28"/>
    <x v="212"/>
    <x v="2022"/>
    <x v="21"/>
    <x v="21"/>
    <x v="1"/>
  </r>
  <r>
    <x v="4"/>
    <x v="3"/>
    <x v="436"/>
    <x v="2"/>
    <x v="3"/>
    <x v="27"/>
    <x v="3"/>
    <x v="18"/>
    <x v="285"/>
    <x v="2022"/>
    <x v="26"/>
    <x v="26"/>
    <x v="1"/>
  </r>
  <r>
    <x v="4"/>
    <x v="3"/>
    <x v="468"/>
    <x v="2"/>
    <x v="3"/>
    <x v="27"/>
    <x v="2"/>
    <x v="18"/>
    <x v="319"/>
    <x v="2686"/>
    <x v="26"/>
    <x v="26"/>
    <x v="1"/>
  </r>
  <r>
    <x v="4"/>
    <x v="3"/>
    <x v="468"/>
    <x v="2"/>
    <x v="3"/>
    <x v="27"/>
    <x v="1"/>
    <x v="18"/>
    <x v="254"/>
    <x v="1779"/>
    <x v="21"/>
    <x v="21"/>
    <x v="1"/>
  </r>
  <r>
    <x v="4"/>
    <x v="3"/>
    <x v="468"/>
    <x v="2"/>
    <x v="3"/>
    <x v="27"/>
    <x v="5"/>
    <x v="8"/>
    <x v="254"/>
    <x v="1086"/>
    <x v="26"/>
    <x v="26"/>
    <x v="1"/>
  </r>
  <r>
    <x v="4"/>
    <x v="3"/>
    <x v="468"/>
    <x v="2"/>
    <x v="3"/>
    <x v="27"/>
    <x v="4"/>
    <x v="13"/>
    <x v="194"/>
    <x v="1086"/>
    <x v="26"/>
    <x v="26"/>
    <x v="1"/>
  </r>
  <r>
    <x v="4"/>
    <x v="3"/>
    <x v="468"/>
    <x v="2"/>
    <x v="3"/>
    <x v="27"/>
    <x v="0"/>
    <x v="33"/>
    <x v="212"/>
    <x v="2206"/>
    <x v="21"/>
    <x v="21"/>
    <x v="1"/>
  </r>
  <r>
    <x v="4"/>
    <x v="3"/>
    <x v="468"/>
    <x v="2"/>
    <x v="3"/>
    <x v="27"/>
    <x v="3"/>
    <x v="23"/>
    <x v="300"/>
    <x v="2469"/>
    <x v="26"/>
    <x v="26"/>
    <x v="1"/>
  </r>
  <r>
    <x v="4"/>
    <x v="3"/>
    <x v="497"/>
    <x v="2"/>
    <x v="3"/>
    <x v="27"/>
    <x v="2"/>
    <x v="33"/>
    <x v="324"/>
    <x v="2893"/>
    <x v="26"/>
    <x v="26"/>
    <x v="1"/>
  </r>
  <r>
    <x v="4"/>
    <x v="3"/>
    <x v="497"/>
    <x v="2"/>
    <x v="3"/>
    <x v="27"/>
    <x v="1"/>
    <x v="33"/>
    <x v="294"/>
    <x v="2686"/>
    <x v="21"/>
    <x v="21"/>
    <x v="1"/>
  </r>
  <r>
    <x v="4"/>
    <x v="3"/>
    <x v="497"/>
    <x v="2"/>
    <x v="3"/>
    <x v="27"/>
    <x v="5"/>
    <x v="28"/>
    <x v="285"/>
    <x v="2491"/>
    <x v="26"/>
    <x v="26"/>
    <x v="1"/>
  </r>
  <r>
    <x v="4"/>
    <x v="3"/>
    <x v="497"/>
    <x v="2"/>
    <x v="3"/>
    <x v="27"/>
    <x v="4"/>
    <x v="28"/>
    <x v="254"/>
    <x v="2282"/>
    <x v="26"/>
    <x v="26"/>
    <x v="1"/>
  </r>
  <r>
    <x v="4"/>
    <x v="3"/>
    <x v="497"/>
    <x v="2"/>
    <x v="3"/>
    <x v="27"/>
    <x v="0"/>
    <x v="38"/>
    <x v="273"/>
    <x v="2673"/>
    <x v="21"/>
    <x v="21"/>
    <x v="1"/>
  </r>
  <r>
    <x v="4"/>
    <x v="3"/>
    <x v="497"/>
    <x v="2"/>
    <x v="3"/>
    <x v="27"/>
    <x v="3"/>
    <x v="38"/>
    <x v="304"/>
    <x v="2827"/>
    <x v="26"/>
    <x v="26"/>
    <x v="1"/>
  </r>
  <r>
    <x v="4"/>
    <x v="3"/>
    <x v="530"/>
    <x v="2"/>
    <x v="3"/>
    <x v="27"/>
    <x v="2"/>
    <x v="33"/>
    <x v="325"/>
    <x v="2895"/>
    <x v="26"/>
    <x v="26"/>
    <x v="1"/>
  </r>
  <r>
    <x v="4"/>
    <x v="3"/>
    <x v="530"/>
    <x v="2"/>
    <x v="3"/>
    <x v="27"/>
    <x v="1"/>
    <x v="28"/>
    <x v="304"/>
    <x v="2682"/>
    <x v="21"/>
    <x v="21"/>
    <x v="1"/>
  </r>
  <r>
    <x v="4"/>
    <x v="3"/>
    <x v="530"/>
    <x v="2"/>
    <x v="3"/>
    <x v="27"/>
    <x v="5"/>
    <x v="33"/>
    <x v="300"/>
    <x v="2737"/>
    <x v="26"/>
    <x v="26"/>
    <x v="1"/>
  </r>
  <r>
    <x v="4"/>
    <x v="3"/>
    <x v="530"/>
    <x v="2"/>
    <x v="3"/>
    <x v="27"/>
    <x v="4"/>
    <x v="33"/>
    <x v="294"/>
    <x v="2686"/>
    <x v="26"/>
    <x v="26"/>
    <x v="1"/>
  </r>
  <r>
    <x v="4"/>
    <x v="3"/>
    <x v="530"/>
    <x v="2"/>
    <x v="3"/>
    <x v="27"/>
    <x v="0"/>
    <x v="48"/>
    <x v="294"/>
    <x v="2850"/>
    <x v="21"/>
    <x v="21"/>
    <x v="1"/>
  </r>
  <r>
    <x v="4"/>
    <x v="3"/>
    <x v="530"/>
    <x v="2"/>
    <x v="3"/>
    <x v="27"/>
    <x v="3"/>
    <x v="53"/>
    <x v="315"/>
    <x v="2933"/>
    <x v="26"/>
    <x v="26"/>
    <x v="1"/>
  </r>
  <r>
    <x v="4"/>
    <x v="3"/>
    <x v="558"/>
    <x v="2"/>
    <x v="3"/>
    <x v="27"/>
    <x v="2"/>
    <x v="48"/>
    <x v="333"/>
    <x v="2978"/>
    <x v="26"/>
    <x v="26"/>
    <x v="1"/>
  </r>
  <r>
    <x v="4"/>
    <x v="3"/>
    <x v="558"/>
    <x v="2"/>
    <x v="3"/>
    <x v="27"/>
    <x v="1"/>
    <x v="43"/>
    <x v="313"/>
    <x v="2892"/>
    <x v="21"/>
    <x v="21"/>
    <x v="1"/>
  </r>
  <r>
    <x v="4"/>
    <x v="3"/>
    <x v="558"/>
    <x v="2"/>
    <x v="3"/>
    <x v="27"/>
    <x v="5"/>
    <x v="38"/>
    <x v="307"/>
    <x v="2848"/>
    <x v="26"/>
    <x v="26"/>
    <x v="1"/>
  </r>
  <r>
    <x v="4"/>
    <x v="3"/>
    <x v="558"/>
    <x v="2"/>
    <x v="3"/>
    <x v="27"/>
    <x v="4"/>
    <x v="38"/>
    <x v="300"/>
    <x v="2805"/>
    <x v="26"/>
    <x v="26"/>
    <x v="1"/>
  </r>
  <r>
    <x v="4"/>
    <x v="3"/>
    <x v="558"/>
    <x v="2"/>
    <x v="3"/>
    <x v="27"/>
    <x v="0"/>
    <x v="53"/>
    <x v="304"/>
    <x v="2888"/>
    <x v="21"/>
    <x v="21"/>
    <x v="1"/>
  </r>
  <r>
    <x v="4"/>
    <x v="3"/>
    <x v="558"/>
    <x v="2"/>
    <x v="3"/>
    <x v="27"/>
    <x v="3"/>
    <x v="58"/>
    <x v="319"/>
    <x v="2961"/>
    <x v="26"/>
    <x v="26"/>
    <x v="1"/>
  </r>
  <r>
    <x v="4"/>
    <x v="3"/>
    <x v="590"/>
    <x v="2"/>
    <x v="3"/>
    <x v="27"/>
    <x v="2"/>
    <x v="53"/>
    <x v="331"/>
    <x v="2987"/>
    <x v="26"/>
    <x v="26"/>
    <x v="1"/>
  </r>
  <r>
    <x v="4"/>
    <x v="3"/>
    <x v="590"/>
    <x v="2"/>
    <x v="3"/>
    <x v="27"/>
    <x v="1"/>
    <x v="48"/>
    <x v="313"/>
    <x v="2908"/>
    <x v="21"/>
    <x v="21"/>
    <x v="1"/>
  </r>
  <r>
    <x v="4"/>
    <x v="3"/>
    <x v="590"/>
    <x v="2"/>
    <x v="3"/>
    <x v="27"/>
    <x v="5"/>
    <x v="43"/>
    <x v="307"/>
    <x v="2866"/>
    <x v="26"/>
    <x v="26"/>
    <x v="1"/>
  </r>
  <r>
    <x v="4"/>
    <x v="3"/>
    <x v="590"/>
    <x v="2"/>
    <x v="3"/>
    <x v="27"/>
    <x v="4"/>
    <x v="33"/>
    <x v="300"/>
    <x v="2737"/>
    <x v="26"/>
    <x v="26"/>
    <x v="1"/>
  </r>
  <r>
    <x v="4"/>
    <x v="3"/>
    <x v="590"/>
    <x v="2"/>
    <x v="3"/>
    <x v="27"/>
    <x v="0"/>
    <x v="43"/>
    <x v="294"/>
    <x v="2817"/>
    <x v="21"/>
    <x v="21"/>
    <x v="1"/>
  </r>
  <r>
    <x v="4"/>
    <x v="3"/>
    <x v="590"/>
    <x v="2"/>
    <x v="3"/>
    <x v="27"/>
    <x v="3"/>
    <x v="48"/>
    <x v="315"/>
    <x v="2916"/>
    <x v="26"/>
    <x v="26"/>
    <x v="1"/>
  </r>
  <r>
    <x v="4"/>
    <x v="3"/>
    <x v="620"/>
    <x v="2"/>
    <x v="3"/>
    <x v="27"/>
    <x v="2"/>
    <x v="43"/>
    <x v="323"/>
    <x v="2929"/>
    <x v="26"/>
    <x v="26"/>
    <x v="1"/>
  </r>
  <r>
    <x v="4"/>
    <x v="3"/>
    <x v="620"/>
    <x v="2"/>
    <x v="3"/>
    <x v="27"/>
    <x v="1"/>
    <x v="33"/>
    <x v="307"/>
    <x v="2805"/>
    <x v="21"/>
    <x v="21"/>
    <x v="1"/>
  </r>
  <r>
    <x v="4"/>
    <x v="3"/>
    <x v="620"/>
    <x v="2"/>
    <x v="3"/>
    <x v="27"/>
    <x v="5"/>
    <x v="8"/>
    <x v="285"/>
    <x v="1267"/>
    <x v="26"/>
    <x v="26"/>
    <x v="1"/>
  </r>
  <r>
    <x v="4"/>
    <x v="3"/>
    <x v="620"/>
    <x v="2"/>
    <x v="3"/>
    <x v="27"/>
    <x v="4"/>
    <x v="8"/>
    <x v="273"/>
    <x v="1175"/>
    <x v="26"/>
    <x v="26"/>
    <x v="1"/>
  </r>
  <r>
    <x v="4"/>
    <x v="3"/>
    <x v="620"/>
    <x v="2"/>
    <x v="3"/>
    <x v="27"/>
    <x v="0"/>
    <x v="18"/>
    <x v="273"/>
    <x v="1909"/>
    <x v="21"/>
    <x v="21"/>
    <x v="1"/>
  </r>
  <r>
    <x v="4"/>
    <x v="3"/>
    <x v="620"/>
    <x v="2"/>
    <x v="3"/>
    <x v="27"/>
    <x v="3"/>
    <x v="23"/>
    <x v="304"/>
    <x v="2535"/>
    <x v="26"/>
    <x v="26"/>
    <x v="1"/>
  </r>
  <r>
    <x v="4"/>
    <x v="3"/>
    <x v="652"/>
    <x v="2"/>
    <x v="3"/>
    <x v="27"/>
    <x v="2"/>
    <x v="23"/>
    <x v="319"/>
    <x v="2805"/>
    <x v="26"/>
    <x v="26"/>
    <x v="1"/>
  </r>
  <r>
    <x v="4"/>
    <x v="3"/>
    <x v="652"/>
    <x v="2"/>
    <x v="3"/>
    <x v="27"/>
    <x v="1"/>
    <x v="13"/>
    <x v="304"/>
    <x v="1975"/>
    <x v="21"/>
    <x v="21"/>
    <x v="1"/>
  </r>
  <r>
    <x v="4"/>
    <x v="3"/>
    <x v="652"/>
    <x v="2"/>
    <x v="3"/>
    <x v="27"/>
    <x v="5"/>
    <x v="13"/>
    <x v="254"/>
    <x v="1441"/>
    <x v="26"/>
    <x v="26"/>
    <x v="1"/>
  </r>
  <r>
    <x v="4"/>
    <x v="3"/>
    <x v="652"/>
    <x v="2"/>
    <x v="3"/>
    <x v="27"/>
    <x v="4"/>
    <x v="13"/>
    <x v="231"/>
    <x v="1321"/>
    <x v="26"/>
    <x v="26"/>
    <x v="1"/>
  </r>
  <r>
    <x v="4"/>
    <x v="3"/>
    <x v="652"/>
    <x v="2"/>
    <x v="3"/>
    <x v="27"/>
    <x v="0"/>
    <x v="23"/>
    <x v="231"/>
    <x v="1929"/>
    <x v="21"/>
    <x v="21"/>
    <x v="1"/>
  </r>
  <r>
    <x v="5"/>
    <x v="3"/>
    <x v="652"/>
    <x v="2"/>
    <x v="3"/>
    <x v="27"/>
    <x v="3"/>
    <x v="23"/>
    <x v="300"/>
    <x v="2469"/>
    <x v="26"/>
    <x v="26"/>
    <x v="1"/>
  </r>
  <r>
    <x v="5"/>
    <x v="3"/>
    <x v="682"/>
    <x v="2"/>
    <x v="3"/>
    <x v="27"/>
    <x v="2"/>
    <x v="18"/>
    <x v="315"/>
    <x v="2615"/>
    <x v="26"/>
    <x v="26"/>
    <x v="1"/>
  </r>
  <r>
    <x v="5"/>
    <x v="3"/>
    <x v="682"/>
    <x v="2"/>
    <x v="3"/>
    <x v="27"/>
    <x v="1"/>
    <x v="8"/>
    <x v="294"/>
    <x v="1355"/>
    <x v="21"/>
    <x v="21"/>
    <x v="1"/>
  </r>
  <r>
    <x v="5"/>
    <x v="3"/>
    <x v="682"/>
    <x v="2"/>
    <x v="3"/>
    <x v="27"/>
    <x v="5"/>
    <x v="18"/>
    <x v="269"/>
    <x v="1883"/>
    <x v="26"/>
    <x v="26"/>
    <x v="1"/>
  </r>
  <r>
    <x v="5"/>
    <x v="3"/>
    <x v="682"/>
    <x v="2"/>
    <x v="3"/>
    <x v="27"/>
    <x v="4"/>
    <x v="48"/>
    <x v="294"/>
    <x v="2850"/>
    <x v="26"/>
    <x v="26"/>
    <x v="1"/>
  </r>
  <r>
    <x v="5"/>
    <x v="3"/>
    <x v="682"/>
    <x v="2"/>
    <x v="3"/>
    <x v="27"/>
    <x v="0"/>
    <x v="68"/>
    <x v="285"/>
    <x v="2892"/>
    <x v="21"/>
    <x v="21"/>
    <x v="1"/>
  </r>
  <r>
    <x v="5"/>
    <x v="3"/>
    <x v="682"/>
    <x v="2"/>
    <x v="3"/>
    <x v="27"/>
    <x v="3"/>
    <x v="68"/>
    <x v="307"/>
    <x v="2935"/>
    <x v="26"/>
    <x v="26"/>
    <x v="1"/>
  </r>
  <r>
    <x v="5"/>
    <x v="3"/>
    <x v="711"/>
    <x v="2"/>
    <x v="3"/>
    <x v="27"/>
    <x v="2"/>
    <x v="63"/>
    <x v="327"/>
    <x v="3005"/>
    <x v="26"/>
    <x v="26"/>
    <x v="1"/>
  </r>
  <r>
    <x v="5"/>
    <x v="3"/>
    <x v="711"/>
    <x v="2"/>
    <x v="3"/>
    <x v="27"/>
    <x v="1"/>
    <x v="53"/>
    <x v="311"/>
    <x v="2915"/>
    <x v="21"/>
    <x v="21"/>
    <x v="1"/>
  </r>
  <r>
    <x v="5"/>
    <x v="3"/>
    <x v="711"/>
    <x v="2"/>
    <x v="3"/>
    <x v="27"/>
    <x v="5"/>
    <x v="53"/>
    <x v="307"/>
    <x v="2895"/>
    <x v="26"/>
    <x v="26"/>
    <x v="1"/>
  </r>
  <r>
    <x v="5"/>
    <x v="3"/>
    <x v="711"/>
    <x v="2"/>
    <x v="3"/>
    <x v="27"/>
    <x v="4"/>
    <x v="53"/>
    <x v="300"/>
    <x v="2880"/>
    <x v="26"/>
    <x v="26"/>
    <x v="1"/>
  </r>
  <r>
    <x v="5"/>
    <x v="3"/>
    <x v="711"/>
    <x v="2"/>
    <x v="3"/>
    <x v="27"/>
    <x v="0"/>
    <x v="63"/>
    <x v="300"/>
    <x v="2903"/>
    <x v="21"/>
    <x v="21"/>
    <x v="1"/>
  </r>
  <r>
    <x v="5"/>
    <x v="3"/>
    <x v="711"/>
    <x v="2"/>
    <x v="3"/>
    <x v="27"/>
    <x v="3"/>
    <x v="68"/>
    <x v="311"/>
    <x v="2955"/>
    <x v="26"/>
    <x v="26"/>
    <x v="1"/>
  </r>
  <r>
    <x v="5"/>
    <x v="3"/>
    <x v="381"/>
    <x v="2"/>
    <x v="3"/>
    <x v="27"/>
    <x v="2"/>
    <x v="18"/>
    <x v="317"/>
    <x v="2656"/>
    <x v="26"/>
    <x v="26"/>
    <x v="1"/>
  </r>
  <r>
    <x v="5"/>
    <x v="3"/>
    <x v="381"/>
    <x v="2"/>
    <x v="3"/>
    <x v="27"/>
    <x v="1"/>
    <x v="18"/>
    <x v="294"/>
    <x v="2112"/>
    <x v="21"/>
    <x v="21"/>
    <x v="1"/>
  </r>
  <r>
    <x v="5"/>
    <x v="3"/>
    <x v="381"/>
    <x v="2"/>
    <x v="3"/>
    <x v="27"/>
    <x v="5"/>
    <x v="8"/>
    <x v="294"/>
    <x v="1355"/>
    <x v="26"/>
    <x v="26"/>
    <x v="1"/>
  </r>
  <r>
    <x v="5"/>
    <x v="3"/>
    <x v="381"/>
    <x v="2"/>
    <x v="3"/>
    <x v="27"/>
    <x v="4"/>
    <x v="13"/>
    <x v="194"/>
    <x v="1086"/>
    <x v="26"/>
    <x v="26"/>
    <x v="1"/>
  </r>
  <r>
    <x v="5"/>
    <x v="3"/>
    <x v="381"/>
    <x v="2"/>
    <x v="3"/>
    <x v="27"/>
    <x v="0"/>
    <x v="28"/>
    <x v="231"/>
    <x v="2158"/>
    <x v="21"/>
    <x v="21"/>
    <x v="1"/>
  </r>
  <r>
    <x v="5"/>
    <x v="3"/>
    <x v="381"/>
    <x v="2"/>
    <x v="3"/>
    <x v="27"/>
    <x v="3"/>
    <x v="18"/>
    <x v="294"/>
    <x v="2112"/>
    <x v="26"/>
    <x v="26"/>
    <x v="1"/>
  </r>
  <r>
    <x v="5"/>
    <x v="3"/>
    <x v="410"/>
    <x v="2"/>
    <x v="3"/>
    <x v="27"/>
    <x v="2"/>
    <x v="18"/>
    <x v="321"/>
    <x v="2723"/>
    <x v="26"/>
    <x v="26"/>
    <x v="1"/>
  </r>
  <r>
    <x v="5"/>
    <x v="3"/>
    <x v="410"/>
    <x v="2"/>
    <x v="3"/>
    <x v="27"/>
    <x v="1"/>
    <x v="18"/>
    <x v="231"/>
    <x v="1646"/>
    <x v="21"/>
    <x v="21"/>
    <x v="1"/>
  </r>
  <r>
    <x v="5"/>
    <x v="3"/>
    <x v="410"/>
    <x v="2"/>
    <x v="3"/>
    <x v="27"/>
    <x v="5"/>
    <x v="8"/>
    <x v="273"/>
    <x v="1175"/>
    <x v="26"/>
    <x v="26"/>
    <x v="1"/>
  </r>
  <r>
    <x v="5"/>
    <x v="3"/>
    <x v="410"/>
    <x v="2"/>
    <x v="35"/>
    <x v="37"/>
    <x v="4"/>
    <x v="13"/>
    <x v="152"/>
    <x v="821"/>
    <x v="26"/>
    <x v="26"/>
    <x v="1"/>
  </r>
  <r>
    <x v="5"/>
    <x v="3"/>
    <x v="410"/>
    <x v="2"/>
    <x v="35"/>
    <x v="37"/>
    <x v="0"/>
    <x v="28"/>
    <x v="212"/>
    <x v="2022"/>
    <x v="21"/>
    <x v="21"/>
    <x v="1"/>
  </r>
  <r>
    <x v="5"/>
    <x v="3"/>
    <x v="410"/>
    <x v="2"/>
    <x v="35"/>
    <x v="37"/>
    <x v="3"/>
    <x v="13"/>
    <x v="285"/>
    <x v="1674"/>
    <x v="26"/>
    <x v="26"/>
    <x v="1"/>
  </r>
  <r>
    <x v="5"/>
    <x v="3"/>
    <x v="436"/>
    <x v="2"/>
    <x v="35"/>
    <x v="37"/>
    <x v="2"/>
    <x v="13"/>
    <x v="316"/>
    <x v="2400"/>
    <x v="26"/>
    <x v="26"/>
    <x v="1"/>
  </r>
  <r>
    <x v="5"/>
    <x v="3"/>
    <x v="436"/>
    <x v="2"/>
    <x v="35"/>
    <x v="37"/>
    <x v="1"/>
    <x v="13"/>
    <x v="212"/>
    <x v="1208"/>
    <x v="21"/>
    <x v="21"/>
    <x v="1"/>
  </r>
  <r>
    <x v="5"/>
    <x v="3"/>
    <x v="436"/>
    <x v="2"/>
    <x v="35"/>
    <x v="37"/>
    <x v="5"/>
    <x v="3"/>
    <x v="231"/>
    <x v="606"/>
    <x v="26"/>
    <x v="26"/>
    <x v="1"/>
  </r>
  <r>
    <x v="5"/>
    <x v="3"/>
    <x v="436"/>
    <x v="2"/>
    <x v="35"/>
    <x v="37"/>
    <x v="4"/>
    <x v="13"/>
    <x v="105"/>
    <x v="530"/>
    <x v="26"/>
    <x v="26"/>
    <x v="1"/>
  </r>
  <r>
    <x v="5"/>
    <x v="3"/>
    <x v="436"/>
    <x v="2"/>
    <x v="35"/>
    <x v="37"/>
    <x v="0"/>
    <x v="28"/>
    <x v="152"/>
    <x v="1471"/>
    <x v="21"/>
    <x v="21"/>
    <x v="1"/>
  </r>
  <r>
    <x v="5"/>
    <x v="3"/>
    <x v="436"/>
    <x v="2"/>
    <x v="35"/>
    <x v="37"/>
    <x v="3"/>
    <x v="18"/>
    <x v="231"/>
    <x v="1646"/>
    <x v="26"/>
    <x v="26"/>
    <x v="1"/>
  </r>
  <r>
    <x v="5"/>
    <x v="3"/>
    <x v="468"/>
    <x v="2"/>
    <x v="35"/>
    <x v="37"/>
    <x v="2"/>
    <x v="18"/>
    <x v="313"/>
    <x v="2574"/>
    <x v="26"/>
    <x v="26"/>
    <x v="1"/>
  </r>
  <r>
    <x v="5"/>
    <x v="3"/>
    <x v="468"/>
    <x v="2"/>
    <x v="35"/>
    <x v="37"/>
    <x v="1"/>
    <x v="18"/>
    <x v="194"/>
    <x v="1355"/>
    <x v="21"/>
    <x v="21"/>
    <x v="1"/>
  </r>
  <r>
    <x v="5"/>
    <x v="3"/>
    <x v="468"/>
    <x v="2"/>
    <x v="35"/>
    <x v="37"/>
    <x v="5"/>
    <x v="8"/>
    <x v="194"/>
    <x v="784"/>
    <x v="26"/>
    <x v="26"/>
    <x v="1"/>
  </r>
  <r>
    <x v="5"/>
    <x v="3"/>
    <x v="468"/>
    <x v="2"/>
    <x v="35"/>
    <x v="37"/>
    <x v="4"/>
    <x v="13"/>
    <x v="129"/>
    <x v="672"/>
    <x v="26"/>
    <x v="26"/>
    <x v="1"/>
  </r>
  <r>
    <x v="5"/>
    <x v="3"/>
    <x v="468"/>
    <x v="2"/>
    <x v="35"/>
    <x v="37"/>
    <x v="0"/>
    <x v="33"/>
    <x v="152"/>
    <x v="1674"/>
    <x v="21"/>
    <x v="21"/>
    <x v="1"/>
  </r>
  <r>
    <x v="5"/>
    <x v="3"/>
    <x v="468"/>
    <x v="2"/>
    <x v="35"/>
    <x v="37"/>
    <x v="3"/>
    <x v="23"/>
    <x v="273"/>
    <x v="2173"/>
    <x v="26"/>
    <x v="26"/>
    <x v="1"/>
  </r>
  <r>
    <x v="5"/>
    <x v="3"/>
    <x v="497"/>
    <x v="2"/>
    <x v="35"/>
    <x v="37"/>
    <x v="2"/>
    <x v="33"/>
    <x v="318"/>
    <x v="2879"/>
    <x v="26"/>
    <x v="26"/>
    <x v="1"/>
  </r>
  <r>
    <x v="5"/>
    <x v="3"/>
    <x v="497"/>
    <x v="2"/>
    <x v="35"/>
    <x v="37"/>
    <x v="1"/>
    <x v="33"/>
    <x v="254"/>
    <x v="2469"/>
    <x v="21"/>
    <x v="21"/>
    <x v="1"/>
  </r>
  <r>
    <x v="5"/>
    <x v="3"/>
    <x v="497"/>
    <x v="2"/>
    <x v="35"/>
    <x v="37"/>
    <x v="5"/>
    <x v="28"/>
    <x v="231"/>
    <x v="2158"/>
    <x v="26"/>
    <x v="26"/>
    <x v="1"/>
  </r>
  <r>
    <x v="5"/>
    <x v="3"/>
    <x v="497"/>
    <x v="2"/>
    <x v="35"/>
    <x v="37"/>
    <x v="4"/>
    <x v="28"/>
    <x v="194"/>
    <x v="1857"/>
    <x v="26"/>
    <x v="26"/>
    <x v="1"/>
  </r>
  <r>
    <x v="5"/>
    <x v="3"/>
    <x v="497"/>
    <x v="2"/>
    <x v="35"/>
    <x v="37"/>
    <x v="0"/>
    <x v="38"/>
    <x v="212"/>
    <x v="2383"/>
    <x v="21"/>
    <x v="21"/>
    <x v="1"/>
  </r>
  <r>
    <x v="5"/>
    <x v="3"/>
    <x v="497"/>
    <x v="2"/>
    <x v="35"/>
    <x v="37"/>
    <x v="3"/>
    <x v="38"/>
    <x v="285"/>
    <x v="2727"/>
    <x v="26"/>
    <x v="26"/>
    <x v="1"/>
  </r>
  <r>
    <x v="5"/>
    <x v="3"/>
    <x v="530"/>
    <x v="2"/>
    <x v="35"/>
    <x v="37"/>
    <x v="2"/>
    <x v="33"/>
    <x v="319"/>
    <x v="2880"/>
    <x v="26"/>
    <x v="26"/>
    <x v="1"/>
  </r>
  <r>
    <x v="5"/>
    <x v="3"/>
    <x v="530"/>
    <x v="2"/>
    <x v="35"/>
    <x v="37"/>
    <x v="1"/>
    <x v="28"/>
    <x v="285"/>
    <x v="2491"/>
    <x v="21"/>
    <x v="21"/>
    <x v="1"/>
  </r>
  <r>
    <x v="5"/>
    <x v="3"/>
    <x v="530"/>
    <x v="2"/>
    <x v="35"/>
    <x v="37"/>
    <x v="5"/>
    <x v="33"/>
    <x v="273"/>
    <x v="2560"/>
    <x v="26"/>
    <x v="26"/>
    <x v="1"/>
  </r>
  <r>
    <x v="5"/>
    <x v="3"/>
    <x v="530"/>
    <x v="2"/>
    <x v="35"/>
    <x v="37"/>
    <x v="4"/>
    <x v="33"/>
    <x v="254"/>
    <x v="2469"/>
    <x v="26"/>
    <x v="26"/>
    <x v="1"/>
  </r>
  <r>
    <x v="5"/>
    <x v="3"/>
    <x v="530"/>
    <x v="2"/>
    <x v="35"/>
    <x v="37"/>
    <x v="0"/>
    <x v="48"/>
    <x v="254"/>
    <x v="2757"/>
    <x v="21"/>
    <x v="21"/>
    <x v="1"/>
  </r>
  <r>
    <x v="5"/>
    <x v="3"/>
    <x v="530"/>
    <x v="2"/>
    <x v="35"/>
    <x v="37"/>
    <x v="3"/>
    <x v="53"/>
    <x v="309"/>
    <x v="2906"/>
    <x v="26"/>
    <x v="26"/>
    <x v="1"/>
  </r>
  <r>
    <x v="5"/>
    <x v="3"/>
    <x v="558"/>
    <x v="2"/>
    <x v="35"/>
    <x v="37"/>
    <x v="2"/>
    <x v="48"/>
    <x v="327"/>
    <x v="2958"/>
    <x v="26"/>
    <x v="26"/>
    <x v="1"/>
  </r>
  <r>
    <x v="5"/>
    <x v="3"/>
    <x v="558"/>
    <x v="2"/>
    <x v="35"/>
    <x v="37"/>
    <x v="1"/>
    <x v="43"/>
    <x v="307"/>
    <x v="2866"/>
    <x v="21"/>
    <x v="21"/>
    <x v="1"/>
  </r>
  <r>
    <x v="5"/>
    <x v="3"/>
    <x v="558"/>
    <x v="2"/>
    <x v="35"/>
    <x v="37"/>
    <x v="5"/>
    <x v="38"/>
    <x v="294"/>
    <x v="2772"/>
    <x v="26"/>
    <x v="26"/>
    <x v="1"/>
  </r>
  <r>
    <x v="5"/>
    <x v="3"/>
    <x v="558"/>
    <x v="2"/>
    <x v="35"/>
    <x v="37"/>
    <x v="4"/>
    <x v="38"/>
    <x v="273"/>
    <x v="2673"/>
    <x v="26"/>
    <x v="26"/>
    <x v="1"/>
  </r>
  <r>
    <x v="5"/>
    <x v="3"/>
    <x v="558"/>
    <x v="2"/>
    <x v="35"/>
    <x v="37"/>
    <x v="0"/>
    <x v="53"/>
    <x v="285"/>
    <x v="2852"/>
    <x v="21"/>
    <x v="21"/>
    <x v="1"/>
  </r>
  <r>
    <x v="5"/>
    <x v="3"/>
    <x v="558"/>
    <x v="2"/>
    <x v="35"/>
    <x v="37"/>
    <x v="3"/>
    <x v="58"/>
    <x v="313"/>
    <x v="2937"/>
    <x v="26"/>
    <x v="26"/>
    <x v="1"/>
  </r>
  <r>
    <x v="5"/>
    <x v="3"/>
    <x v="590"/>
    <x v="2"/>
    <x v="35"/>
    <x v="37"/>
    <x v="2"/>
    <x v="53"/>
    <x v="325"/>
    <x v="2969"/>
    <x v="26"/>
    <x v="26"/>
    <x v="1"/>
  </r>
  <r>
    <x v="5"/>
    <x v="3"/>
    <x v="590"/>
    <x v="2"/>
    <x v="35"/>
    <x v="37"/>
    <x v="1"/>
    <x v="48"/>
    <x v="307"/>
    <x v="2884"/>
    <x v="21"/>
    <x v="21"/>
    <x v="1"/>
  </r>
  <r>
    <x v="5"/>
    <x v="3"/>
    <x v="590"/>
    <x v="2"/>
    <x v="35"/>
    <x v="37"/>
    <x v="5"/>
    <x v="43"/>
    <x v="294"/>
    <x v="2817"/>
    <x v="26"/>
    <x v="26"/>
    <x v="1"/>
  </r>
  <r>
    <x v="5"/>
    <x v="3"/>
    <x v="590"/>
    <x v="2"/>
    <x v="35"/>
    <x v="37"/>
    <x v="4"/>
    <x v="33"/>
    <x v="273"/>
    <x v="2560"/>
    <x v="26"/>
    <x v="26"/>
    <x v="1"/>
  </r>
  <r>
    <x v="5"/>
    <x v="3"/>
    <x v="590"/>
    <x v="2"/>
    <x v="35"/>
    <x v="37"/>
    <x v="0"/>
    <x v="43"/>
    <x v="254"/>
    <x v="2686"/>
    <x v="21"/>
    <x v="21"/>
    <x v="1"/>
  </r>
  <r>
    <x v="5"/>
    <x v="3"/>
    <x v="590"/>
    <x v="2"/>
    <x v="35"/>
    <x v="37"/>
    <x v="3"/>
    <x v="48"/>
    <x v="309"/>
    <x v="2891"/>
    <x v="26"/>
    <x v="26"/>
    <x v="1"/>
  </r>
  <r>
    <x v="5"/>
    <x v="3"/>
    <x v="620"/>
    <x v="2"/>
    <x v="35"/>
    <x v="37"/>
    <x v="2"/>
    <x v="43"/>
    <x v="317"/>
    <x v="2907"/>
    <x v="26"/>
    <x v="26"/>
    <x v="1"/>
  </r>
  <r>
    <x v="5"/>
    <x v="3"/>
    <x v="620"/>
    <x v="2"/>
    <x v="35"/>
    <x v="37"/>
    <x v="1"/>
    <x v="33"/>
    <x v="294"/>
    <x v="2686"/>
    <x v="21"/>
    <x v="21"/>
    <x v="1"/>
  </r>
  <r>
    <x v="5"/>
    <x v="3"/>
    <x v="620"/>
    <x v="2"/>
    <x v="35"/>
    <x v="37"/>
    <x v="5"/>
    <x v="8"/>
    <x v="231"/>
    <x v="982"/>
    <x v="26"/>
    <x v="26"/>
    <x v="1"/>
  </r>
  <r>
    <x v="5"/>
    <x v="3"/>
    <x v="620"/>
    <x v="2"/>
    <x v="35"/>
    <x v="37"/>
    <x v="4"/>
    <x v="8"/>
    <x v="212"/>
    <x v="891"/>
    <x v="26"/>
    <x v="26"/>
    <x v="1"/>
  </r>
  <r>
    <x v="5"/>
    <x v="3"/>
    <x v="620"/>
    <x v="2"/>
    <x v="35"/>
    <x v="37"/>
    <x v="0"/>
    <x v="18"/>
    <x v="212"/>
    <x v="1502"/>
    <x v="21"/>
    <x v="21"/>
    <x v="1"/>
  </r>
  <r>
    <x v="5"/>
    <x v="3"/>
    <x v="620"/>
    <x v="2"/>
    <x v="35"/>
    <x v="37"/>
    <x v="3"/>
    <x v="23"/>
    <x v="285"/>
    <x v="2282"/>
    <x v="26"/>
    <x v="26"/>
    <x v="1"/>
  </r>
  <r>
    <x v="5"/>
    <x v="3"/>
    <x v="652"/>
    <x v="2"/>
    <x v="35"/>
    <x v="37"/>
    <x v="2"/>
    <x v="23"/>
    <x v="313"/>
    <x v="2727"/>
    <x v="26"/>
    <x v="26"/>
    <x v="1"/>
  </r>
  <r>
    <x v="5"/>
    <x v="3"/>
    <x v="652"/>
    <x v="2"/>
    <x v="35"/>
    <x v="37"/>
    <x v="1"/>
    <x v="13"/>
    <x v="285"/>
    <x v="1674"/>
    <x v="21"/>
    <x v="21"/>
    <x v="1"/>
  </r>
  <r>
    <x v="5"/>
    <x v="3"/>
    <x v="652"/>
    <x v="2"/>
    <x v="35"/>
    <x v="37"/>
    <x v="5"/>
    <x v="13"/>
    <x v="194"/>
    <x v="1086"/>
    <x v="26"/>
    <x v="26"/>
    <x v="1"/>
  </r>
  <r>
    <x v="5"/>
    <x v="3"/>
    <x v="652"/>
    <x v="2"/>
    <x v="35"/>
    <x v="37"/>
    <x v="4"/>
    <x v="13"/>
    <x v="174"/>
    <x v="956"/>
    <x v="26"/>
    <x v="26"/>
    <x v="1"/>
  </r>
  <r>
    <x v="5"/>
    <x v="3"/>
    <x v="652"/>
    <x v="2"/>
    <x v="35"/>
    <x v="37"/>
    <x v="0"/>
    <x v="23"/>
    <x v="174"/>
    <x v="1441"/>
    <x v="21"/>
    <x v="21"/>
    <x v="1"/>
  </r>
  <r>
    <x v="2"/>
    <x v="3"/>
    <x v="652"/>
    <x v="2"/>
    <x v="35"/>
    <x v="37"/>
    <x v="3"/>
    <x v="23"/>
    <x v="273"/>
    <x v="2173"/>
    <x v="26"/>
    <x v="26"/>
    <x v="1"/>
  </r>
  <r>
    <x v="2"/>
    <x v="3"/>
    <x v="682"/>
    <x v="2"/>
    <x v="35"/>
    <x v="37"/>
    <x v="2"/>
    <x v="18"/>
    <x v="309"/>
    <x v="2450"/>
    <x v="26"/>
    <x v="26"/>
    <x v="1"/>
  </r>
  <r>
    <x v="2"/>
    <x v="3"/>
    <x v="682"/>
    <x v="2"/>
    <x v="35"/>
    <x v="37"/>
    <x v="1"/>
    <x v="8"/>
    <x v="254"/>
    <x v="1086"/>
    <x v="21"/>
    <x v="21"/>
    <x v="1"/>
  </r>
  <r>
    <x v="2"/>
    <x v="3"/>
    <x v="682"/>
    <x v="2"/>
    <x v="35"/>
    <x v="37"/>
    <x v="5"/>
    <x v="18"/>
    <x v="208"/>
    <x v="1471"/>
    <x v="26"/>
    <x v="26"/>
    <x v="1"/>
  </r>
  <r>
    <x v="2"/>
    <x v="3"/>
    <x v="682"/>
    <x v="2"/>
    <x v="35"/>
    <x v="37"/>
    <x v="4"/>
    <x v="48"/>
    <x v="254"/>
    <x v="2757"/>
    <x v="26"/>
    <x v="26"/>
    <x v="1"/>
  </r>
  <r>
    <x v="2"/>
    <x v="3"/>
    <x v="682"/>
    <x v="2"/>
    <x v="35"/>
    <x v="37"/>
    <x v="0"/>
    <x v="68"/>
    <x v="231"/>
    <x v="2850"/>
    <x v="21"/>
    <x v="21"/>
    <x v="1"/>
  </r>
  <r>
    <x v="2"/>
    <x v="3"/>
    <x v="682"/>
    <x v="2"/>
    <x v="35"/>
    <x v="37"/>
    <x v="3"/>
    <x v="68"/>
    <x v="294"/>
    <x v="2904"/>
    <x v="26"/>
    <x v="26"/>
    <x v="1"/>
  </r>
  <r>
    <x v="2"/>
    <x v="3"/>
    <x v="711"/>
    <x v="2"/>
    <x v="35"/>
    <x v="37"/>
    <x v="2"/>
    <x v="63"/>
    <x v="321"/>
    <x v="2983"/>
    <x v="26"/>
    <x v="26"/>
    <x v="1"/>
  </r>
  <r>
    <x v="2"/>
    <x v="3"/>
    <x v="711"/>
    <x v="2"/>
    <x v="35"/>
    <x v="37"/>
    <x v="1"/>
    <x v="53"/>
    <x v="304"/>
    <x v="2888"/>
    <x v="21"/>
    <x v="21"/>
    <x v="1"/>
  </r>
  <r>
    <x v="2"/>
    <x v="3"/>
    <x v="711"/>
    <x v="2"/>
    <x v="35"/>
    <x v="37"/>
    <x v="5"/>
    <x v="53"/>
    <x v="294"/>
    <x v="2866"/>
    <x v="26"/>
    <x v="26"/>
    <x v="1"/>
  </r>
  <r>
    <x v="2"/>
    <x v="3"/>
    <x v="711"/>
    <x v="2"/>
    <x v="35"/>
    <x v="37"/>
    <x v="4"/>
    <x v="53"/>
    <x v="273"/>
    <x v="2833"/>
    <x v="26"/>
    <x v="26"/>
    <x v="1"/>
  </r>
  <r>
    <x v="2"/>
    <x v="3"/>
    <x v="711"/>
    <x v="2"/>
    <x v="35"/>
    <x v="37"/>
    <x v="0"/>
    <x v="63"/>
    <x v="273"/>
    <x v="2867"/>
    <x v="21"/>
    <x v="21"/>
    <x v="1"/>
  </r>
  <r>
    <x v="2"/>
    <x v="3"/>
    <x v="711"/>
    <x v="2"/>
    <x v="35"/>
    <x v="37"/>
    <x v="3"/>
    <x v="68"/>
    <x v="304"/>
    <x v="2926"/>
    <x v="26"/>
    <x v="26"/>
    <x v="1"/>
  </r>
  <r>
    <x v="2"/>
    <x v="3"/>
    <x v="374"/>
    <x v="2"/>
    <x v="35"/>
    <x v="37"/>
    <x v="2"/>
    <x v="18"/>
    <x v="315"/>
    <x v="2615"/>
    <x v="21"/>
    <x v="21"/>
    <x v="1"/>
  </r>
  <r>
    <x v="2"/>
    <x v="3"/>
    <x v="374"/>
    <x v="2"/>
    <x v="35"/>
    <x v="37"/>
    <x v="1"/>
    <x v="18"/>
    <x v="285"/>
    <x v="2022"/>
    <x v="21"/>
    <x v="21"/>
    <x v="1"/>
  </r>
  <r>
    <x v="2"/>
    <x v="3"/>
    <x v="374"/>
    <x v="2"/>
    <x v="35"/>
    <x v="37"/>
    <x v="5"/>
    <x v="8"/>
    <x v="285"/>
    <x v="1267"/>
    <x v="21"/>
    <x v="21"/>
    <x v="1"/>
  </r>
  <r>
    <x v="2"/>
    <x v="3"/>
    <x v="374"/>
    <x v="2"/>
    <x v="35"/>
    <x v="37"/>
    <x v="4"/>
    <x v="13"/>
    <x v="174"/>
    <x v="956"/>
    <x v="21"/>
    <x v="21"/>
    <x v="1"/>
  </r>
  <r>
    <x v="2"/>
    <x v="3"/>
    <x v="374"/>
    <x v="2"/>
    <x v="35"/>
    <x v="37"/>
    <x v="0"/>
    <x v="28"/>
    <x v="212"/>
    <x v="2022"/>
    <x v="21"/>
    <x v="21"/>
    <x v="1"/>
  </r>
  <r>
    <x v="2"/>
    <x v="3"/>
    <x v="374"/>
    <x v="2"/>
    <x v="35"/>
    <x v="37"/>
    <x v="3"/>
    <x v="18"/>
    <x v="285"/>
    <x v="2022"/>
    <x v="21"/>
    <x v="21"/>
    <x v="1"/>
  </r>
  <r>
    <x v="2"/>
    <x v="3"/>
    <x v="403"/>
    <x v="2"/>
    <x v="35"/>
    <x v="37"/>
    <x v="2"/>
    <x v="18"/>
    <x v="319"/>
    <x v="2686"/>
    <x v="21"/>
    <x v="21"/>
    <x v="1"/>
  </r>
  <r>
    <x v="2"/>
    <x v="3"/>
    <x v="403"/>
    <x v="2"/>
    <x v="35"/>
    <x v="37"/>
    <x v="1"/>
    <x v="18"/>
    <x v="212"/>
    <x v="1502"/>
    <x v="21"/>
    <x v="21"/>
    <x v="1"/>
  </r>
  <r>
    <x v="2"/>
    <x v="3"/>
    <x v="403"/>
    <x v="2"/>
    <x v="35"/>
    <x v="37"/>
    <x v="5"/>
    <x v="8"/>
    <x v="254"/>
    <x v="1086"/>
    <x v="21"/>
    <x v="21"/>
    <x v="1"/>
  </r>
  <r>
    <x v="2"/>
    <x v="3"/>
    <x v="403"/>
    <x v="0"/>
    <x v="15"/>
    <x v="50"/>
    <x v="4"/>
    <x v="13"/>
    <x v="129"/>
    <x v="672"/>
    <x v="21"/>
    <x v="21"/>
    <x v="1"/>
  </r>
  <r>
    <x v="2"/>
    <x v="3"/>
    <x v="403"/>
    <x v="0"/>
    <x v="15"/>
    <x v="50"/>
    <x v="0"/>
    <x v="28"/>
    <x v="194"/>
    <x v="1857"/>
    <x v="21"/>
    <x v="21"/>
    <x v="1"/>
  </r>
  <r>
    <x v="2"/>
    <x v="3"/>
    <x v="403"/>
    <x v="0"/>
    <x v="15"/>
    <x v="50"/>
    <x v="3"/>
    <x v="13"/>
    <x v="273"/>
    <x v="1568"/>
    <x v="21"/>
    <x v="21"/>
    <x v="1"/>
  </r>
  <r>
    <x v="2"/>
    <x v="3"/>
    <x v="429"/>
    <x v="0"/>
    <x v="15"/>
    <x v="50"/>
    <x v="2"/>
    <x v="13"/>
    <x v="314"/>
    <x v="2334"/>
    <x v="21"/>
    <x v="21"/>
    <x v="1"/>
  </r>
  <r>
    <x v="2"/>
    <x v="3"/>
    <x v="429"/>
    <x v="0"/>
    <x v="15"/>
    <x v="50"/>
    <x v="1"/>
    <x v="13"/>
    <x v="194"/>
    <x v="1086"/>
    <x v="21"/>
    <x v="21"/>
    <x v="1"/>
  </r>
  <r>
    <x v="2"/>
    <x v="3"/>
    <x v="429"/>
    <x v="0"/>
    <x v="15"/>
    <x v="50"/>
    <x v="5"/>
    <x v="3"/>
    <x v="212"/>
    <x v="530"/>
    <x v="21"/>
    <x v="21"/>
    <x v="1"/>
  </r>
  <r>
    <x v="2"/>
    <x v="3"/>
    <x v="429"/>
    <x v="0"/>
    <x v="15"/>
    <x v="50"/>
    <x v="4"/>
    <x v="13"/>
    <x v="82"/>
    <x v="388"/>
    <x v="21"/>
    <x v="21"/>
    <x v="1"/>
  </r>
  <r>
    <x v="2"/>
    <x v="3"/>
    <x v="429"/>
    <x v="0"/>
    <x v="15"/>
    <x v="50"/>
    <x v="0"/>
    <x v="28"/>
    <x v="129"/>
    <x v="1267"/>
    <x v="21"/>
    <x v="21"/>
    <x v="1"/>
  </r>
  <r>
    <x v="2"/>
    <x v="3"/>
    <x v="429"/>
    <x v="0"/>
    <x v="15"/>
    <x v="50"/>
    <x v="3"/>
    <x v="18"/>
    <x v="212"/>
    <x v="1502"/>
    <x v="21"/>
    <x v="21"/>
    <x v="1"/>
  </r>
  <r>
    <x v="2"/>
    <x v="3"/>
    <x v="461"/>
    <x v="0"/>
    <x v="15"/>
    <x v="50"/>
    <x v="2"/>
    <x v="18"/>
    <x v="311"/>
    <x v="2513"/>
    <x v="21"/>
    <x v="21"/>
    <x v="1"/>
  </r>
  <r>
    <x v="2"/>
    <x v="3"/>
    <x v="461"/>
    <x v="0"/>
    <x v="15"/>
    <x v="50"/>
    <x v="1"/>
    <x v="18"/>
    <x v="174"/>
    <x v="1208"/>
    <x v="21"/>
    <x v="21"/>
    <x v="1"/>
  </r>
  <r>
    <x v="2"/>
    <x v="3"/>
    <x v="461"/>
    <x v="0"/>
    <x v="15"/>
    <x v="50"/>
    <x v="5"/>
    <x v="8"/>
    <x v="174"/>
    <x v="672"/>
    <x v="21"/>
    <x v="21"/>
    <x v="1"/>
  </r>
  <r>
    <x v="2"/>
    <x v="3"/>
    <x v="461"/>
    <x v="0"/>
    <x v="15"/>
    <x v="50"/>
    <x v="4"/>
    <x v="13"/>
    <x v="105"/>
    <x v="530"/>
    <x v="21"/>
    <x v="21"/>
    <x v="1"/>
  </r>
  <r>
    <x v="2"/>
    <x v="3"/>
    <x v="461"/>
    <x v="0"/>
    <x v="15"/>
    <x v="50"/>
    <x v="0"/>
    <x v="33"/>
    <x v="129"/>
    <x v="1441"/>
    <x v="21"/>
    <x v="21"/>
    <x v="1"/>
  </r>
  <r>
    <x v="2"/>
    <x v="3"/>
    <x v="461"/>
    <x v="0"/>
    <x v="15"/>
    <x v="50"/>
    <x v="3"/>
    <x v="23"/>
    <x v="254"/>
    <x v="2064"/>
    <x v="21"/>
    <x v="21"/>
    <x v="1"/>
  </r>
  <r>
    <x v="2"/>
    <x v="3"/>
    <x v="490"/>
    <x v="0"/>
    <x v="15"/>
    <x v="50"/>
    <x v="2"/>
    <x v="33"/>
    <x v="316"/>
    <x v="2868"/>
    <x v="21"/>
    <x v="21"/>
    <x v="1"/>
  </r>
  <r>
    <x v="2"/>
    <x v="3"/>
    <x v="490"/>
    <x v="0"/>
    <x v="15"/>
    <x v="50"/>
    <x v="1"/>
    <x v="33"/>
    <x v="231"/>
    <x v="2350"/>
    <x v="21"/>
    <x v="21"/>
    <x v="1"/>
  </r>
  <r>
    <x v="2"/>
    <x v="3"/>
    <x v="490"/>
    <x v="0"/>
    <x v="15"/>
    <x v="50"/>
    <x v="5"/>
    <x v="28"/>
    <x v="212"/>
    <x v="2022"/>
    <x v="21"/>
    <x v="21"/>
    <x v="1"/>
  </r>
  <r>
    <x v="2"/>
    <x v="3"/>
    <x v="490"/>
    <x v="0"/>
    <x v="15"/>
    <x v="50"/>
    <x v="4"/>
    <x v="28"/>
    <x v="174"/>
    <x v="1674"/>
    <x v="21"/>
    <x v="21"/>
    <x v="1"/>
  </r>
  <r>
    <x v="2"/>
    <x v="3"/>
    <x v="490"/>
    <x v="0"/>
    <x v="15"/>
    <x v="50"/>
    <x v="0"/>
    <x v="38"/>
    <x v="194"/>
    <x v="2227"/>
    <x v="21"/>
    <x v="21"/>
    <x v="1"/>
  </r>
  <r>
    <x v="2"/>
    <x v="3"/>
    <x v="490"/>
    <x v="0"/>
    <x v="15"/>
    <x v="50"/>
    <x v="3"/>
    <x v="38"/>
    <x v="273"/>
    <x v="2673"/>
    <x v="21"/>
    <x v="21"/>
    <x v="1"/>
  </r>
  <r>
    <x v="2"/>
    <x v="3"/>
    <x v="523"/>
    <x v="0"/>
    <x v="15"/>
    <x v="50"/>
    <x v="2"/>
    <x v="33"/>
    <x v="317"/>
    <x v="2869"/>
    <x v="21"/>
    <x v="21"/>
    <x v="1"/>
  </r>
  <r>
    <x v="2"/>
    <x v="3"/>
    <x v="523"/>
    <x v="0"/>
    <x v="15"/>
    <x v="50"/>
    <x v="1"/>
    <x v="28"/>
    <x v="273"/>
    <x v="2398"/>
    <x v="21"/>
    <x v="21"/>
    <x v="1"/>
  </r>
  <r>
    <x v="2"/>
    <x v="3"/>
    <x v="523"/>
    <x v="0"/>
    <x v="15"/>
    <x v="50"/>
    <x v="5"/>
    <x v="33"/>
    <x v="254"/>
    <x v="2469"/>
    <x v="21"/>
    <x v="21"/>
    <x v="1"/>
  </r>
  <r>
    <x v="2"/>
    <x v="3"/>
    <x v="523"/>
    <x v="0"/>
    <x v="15"/>
    <x v="50"/>
    <x v="4"/>
    <x v="33"/>
    <x v="231"/>
    <x v="2350"/>
    <x v="21"/>
    <x v="21"/>
    <x v="1"/>
  </r>
  <r>
    <x v="2"/>
    <x v="3"/>
    <x v="523"/>
    <x v="0"/>
    <x v="15"/>
    <x v="50"/>
    <x v="0"/>
    <x v="48"/>
    <x v="231"/>
    <x v="2694"/>
    <x v="21"/>
    <x v="21"/>
    <x v="1"/>
  </r>
  <r>
    <x v="2"/>
    <x v="3"/>
    <x v="523"/>
    <x v="0"/>
    <x v="15"/>
    <x v="50"/>
    <x v="3"/>
    <x v="53"/>
    <x v="307"/>
    <x v="2895"/>
    <x v="21"/>
    <x v="21"/>
    <x v="1"/>
  </r>
  <r>
    <x v="2"/>
    <x v="3"/>
    <x v="551"/>
    <x v="0"/>
    <x v="15"/>
    <x v="50"/>
    <x v="2"/>
    <x v="48"/>
    <x v="325"/>
    <x v="2952"/>
    <x v="21"/>
    <x v="21"/>
    <x v="1"/>
  </r>
  <r>
    <x v="2"/>
    <x v="3"/>
    <x v="551"/>
    <x v="0"/>
    <x v="15"/>
    <x v="50"/>
    <x v="1"/>
    <x v="43"/>
    <x v="304"/>
    <x v="2854"/>
    <x v="21"/>
    <x v="21"/>
    <x v="1"/>
  </r>
  <r>
    <x v="2"/>
    <x v="3"/>
    <x v="551"/>
    <x v="0"/>
    <x v="15"/>
    <x v="50"/>
    <x v="5"/>
    <x v="38"/>
    <x v="285"/>
    <x v="2727"/>
    <x v="21"/>
    <x v="21"/>
    <x v="1"/>
  </r>
  <r>
    <x v="2"/>
    <x v="3"/>
    <x v="551"/>
    <x v="0"/>
    <x v="15"/>
    <x v="50"/>
    <x v="4"/>
    <x v="38"/>
    <x v="254"/>
    <x v="2594"/>
    <x v="21"/>
    <x v="21"/>
    <x v="1"/>
  </r>
  <r>
    <x v="2"/>
    <x v="3"/>
    <x v="551"/>
    <x v="0"/>
    <x v="15"/>
    <x v="50"/>
    <x v="0"/>
    <x v="53"/>
    <x v="273"/>
    <x v="2833"/>
    <x v="21"/>
    <x v="21"/>
    <x v="1"/>
  </r>
  <r>
    <x v="2"/>
    <x v="3"/>
    <x v="551"/>
    <x v="0"/>
    <x v="15"/>
    <x v="50"/>
    <x v="3"/>
    <x v="58"/>
    <x v="311"/>
    <x v="2929"/>
    <x v="21"/>
    <x v="21"/>
    <x v="1"/>
  </r>
  <r>
    <x v="2"/>
    <x v="3"/>
    <x v="583"/>
    <x v="0"/>
    <x v="15"/>
    <x v="50"/>
    <x v="2"/>
    <x v="53"/>
    <x v="323"/>
    <x v="2961"/>
    <x v="21"/>
    <x v="21"/>
    <x v="1"/>
  </r>
  <r>
    <x v="2"/>
    <x v="3"/>
    <x v="583"/>
    <x v="0"/>
    <x v="15"/>
    <x v="50"/>
    <x v="1"/>
    <x v="48"/>
    <x v="304"/>
    <x v="2873"/>
    <x v="21"/>
    <x v="21"/>
    <x v="1"/>
  </r>
  <r>
    <x v="2"/>
    <x v="3"/>
    <x v="583"/>
    <x v="0"/>
    <x v="15"/>
    <x v="50"/>
    <x v="5"/>
    <x v="43"/>
    <x v="285"/>
    <x v="2793"/>
    <x v="21"/>
    <x v="21"/>
    <x v="1"/>
  </r>
  <r>
    <x v="2"/>
    <x v="3"/>
    <x v="583"/>
    <x v="0"/>
    <x v="15"/>
    <x v="50"/>
    <x v="4"/>
    <x v="33"/>
    <x v="254"/>
    <x v="2469"/>
    <x v="21"/>
    <x v="21"/>
    <x v="1"/>
  </r>
  <r>
    <x v="2"/>
    <x v="3"/>
    <x v="583"/>
    <x v="0"/>
    <x v="15"/>
    <x v="50"/>
    <x v="0"/>
    <x v="43"/>
    <x v="231"/>
    <x v="2615"/>
    <x v="21"/>
    <x v="21"/>
    <x v="1"/>
  </r>
  <r>
    <x v="2"/>
    <x v="3"/>
    <x v="583"/>
    <x v="0"/>
    <x v="15"/>
    <x v="50"/>
    <x v="3"/>
    <x v="48"/>
    <x v="307"/>
    <x v="2884"/>
    <x v="21"/>
    <x v="21"/>
    <x v="1"/>
  </r>
  <r>
    <x v="2"/>
    <x v="3"/>
    <x v="613"/>
    <x v="0"/>
    <x v="15"/>
    <x v="50"/>
    <x v="2"/>
    <x v="43"/>
    <x v="315"/>
    <x v="2899"/>
    <x v="21"/>
    <x v="21"/>
    <x v="1"/>
  </r>
  <r>
    <x v="2"/>
    <x v="3"/>
    <x v="613"/>
    <x v="0"/>
    <x v="15"/>
    <x v="50"/>
    <x v="1"/>
    <x v="33"/>
    <x v="285"/>
    <x v="2637"/>
    <x v="21"/>
    <x v="21"/>
    <x v="1"/>
  </r>
  <r>
    <x v="2"/>
    <x v="3"/>
    <x v="613"/>
    <x v="0"/>
    <x v="15"/>
    <x v="50"/>
    <x v="5"/>
    <x v="8"/>
    <x v="212"/>
    <x v="891"/>
    <x v="21"/>
    <x v="21"/>
    <x v="1"/>
  </r>
  <r>
    <x v="2"/>
    <x v="3"/>
    <x v="613"/>
    <x v="0"/>
    <x v="15"/>
    <x v="50"/>
    <x v="4"/>
    <x v="8"/>
    <x v="194"/>
    <x v="784"/>
    <x v="21"/>
    <x v="21"/>
    <x v="1"/>
  </r>
  <r>
    <x v="2"/>
    <x v="3"/>
    <x v="613"/>
    <x v="0"/>
    <x v="15"/>
    <x v="50"/>
    <x v="0"/>
    <x v="18"/>
    <x v="194"/>
    <x v="1355"/>
    <x v="21"/>
    <x v="21"/>
    <x v="1"/>
  </r>
  <r>
    <x v="2"/>
    <x v="3"/>
    <x v="613"/>
    <x v="0"/>
    <x v="15"/>
    <x v="50"/>
    <x v="3"/>
    <x v="23"/>
    <x v="273"/>
    <x v="2173"/>
    <x v="21"/>
    <x v="21"/>
    <x v="1"/>
  </r>
  <r>
    <x v="2"/>
    <x v="3"/>
    <x v="645"/>
    <x v="0"/>
    <x v="15"/>
    <x v="50"/>
    <x v="2"/>
    <x v="23"/>
    <x v="311"/>
    <x v="2686"/>
    <x v="21"/>
    <x v="21"/>
    <x v="1"/>
  </r>
  <r>
    <x v="2"/>
    <x v="3"/>
    <x v="645"/>
    <x v="0"/>
    <x v="15"/>
    <x v="50"/>
    <x v="1"/>
    <x v="13"/>
    <x v="273"/>
    <x v="1568"/>
    <x v="21"/>
    <x v="21"/>
    <x v="1"/>
  </r>
  <r>
    <x v="2"/>
    <x v="3"/>
    <x v="645"/>
    <x v="0"/>
    <x v="15"/>
    <x v="50"/>
    <x v="5"/>
    <x v="13"/>
    <x v="174"/>
    <x v="956"/>
    <x v="21"/>
    <x v="21"/>
    <x v="1"/>
  </r>
  <r>
    <x v="2"/>
    <x v="3"/>
    <x v="645"/>
    <x v="0"/>
    <x v="15"/>
    <x v="50"/>
    <x v="4"/>
    <x v="13"/>
    <x v="152"/>
    <x v="821"/>
    <x v="21"/>
    <x v="21"/>
    <x v="1"/>
  </r>
  <r>
    <x v="2"/>
    <x v="3"/>
    <x v="645"/>
    <x v="0"/>
    <x v="15"/>
    <x v="50"/>
    <x v="0"/>
    <x v="23"/>
    <x v="152"/>
    <x v="1267"/>
    <x v="21"/>
    <x v="21"/>
    <x v="1"/>
  </r>
  <r>
    <x v="1"/>
    <x v="3"/>
    <x v="645"/>
    <x v="0"/>
    <x v="15"/>
    <x v="50"/>
    <x v="3"/>
    <x v="23"/>
    <x v="254"/>
    <x v="2064"/>
    <x v="21"/>
    <x v="21"/>
    <x v="1"/>
  </r>
  <r>
    <x v="1"/>
    <x v="3"/>
    <x v="675"/>
    <x v="0"/>
    <x v="15"/>
    <x v="50"/>
    <x v="2"/>
    <x v="18"/>
    <x v="307"/>
    <x v="2383"/>
    <x v="21"/>
    <x v="21"/>
    <x v="1"/>
  </r>
  <r>
    <x v="1"/>
    <x v="3"/>
    <x v="675"/>
    <x v="0"/>
    <x v="15"/>
    <x v="50"/>
    <x v="1"/>
    <x v="8"/>
    <x v="231"/>
    <x v="982"/>
    <x v="21"/>
    <x v="21"/>
    <x v="1"/>
  </r>
  <r>
    <x v="1"/>
    <x v="3"/>
    <x v="675"/>
    <x v="0"/>
    <x v="15"/>
    <x v="50"/>
    <x v="5"/>
    <x v="18"/>
    <x v="190"/>
    <x v="1321"/>
    <x v="21"/>
    <x v="21"/>
    <x v="1"/>
  </r>
  <r>
    <x v="1"/>
    <x v="3"/>
    <x v="675"/>
    <x v="0"/>
    <x v="15"/>
    <x v="50"/>
    <x v="4"/>
    <x v="48"/>
    <x v="231"/>
    <x v="2694"/>
    <x v="21"/>
    <x v="21"/>
    <x v="1"/>
  </r>
  <r>
    <x v="1"/>
    <x v="3"/>
    <x v="675"/>
    <x v="0"/>
    <x v="15"/>
    <x v="50"/>
    <x v="0"/>
    <x v="68"/>
    <x v="212"/>
    <x v="2817"/>
    <x v="21"/>
    <x v="21"/>
    <x v="1"/>
  </r>
  <r>
    <x v="1"/>
    <x v="3"/>
    <x v="675"/>
    <x v="0"/>
    <x v="15"/>
    <x v="50"/>
    <x v="3"/>
    <x v="68"/>
    <x v="285"/>
    <x v="2892"/>
    <x v="21"/>
    <x v="21"/>
    <x v="1"/>
  </r>
  <r>
    <x v="1"/>
    <x v="3"/>
    <x v="704"/>
    <x v="0"/>
    <x v="15"/>
    <x v="50"/>
    <x v="2"/>
    <x v="63"/>
    <x v="319"/>
    <x v="2974"/>
    <x v="21"/>
    <x v="21"/>
    <x v="1"/>
  </r>
  <r>
    <x v="1"/>
    <x v="3"/>
    <x v="704"/>
    <x v="0"/>
    <x v="15"/>
    <x v="50"/>
    <x v="1"/>
    <x v="53"/>
    <x v="300"/>
    <x v="2880"/>
    <x v="21"/>
    <x v="21"/>
    <x v="1"/>
  </r>
  <r>
    <x v="1"/>
    <x v="3"/>
    <x v="704"/>
    <x v="0"/>
    <x v="15"/>
    <x v="50"/>
    <x v="5"/>
    <x v="53"/>
    <x v="285"/>
    <x v="2852"/>
    <x v="21"/>
    <x v="21"/>
    <x v="1"/>
  </r>
  <r>
    <x v="1"/>
    <x v="3"/>
    <x v="704"/>
    <x v="0"/>
    <x v="15"/>
    <x v="50"/>
    <x v="4"/>
    <x v="53"/>
    <x v="254"/>
    <x v="2805"/>
    <x v="21"/>
    <x v="21"/>
    <x v="1"/>
  </r>
  <r>
    <x v="1"/>
    <x v="3"/>
    <x v="704"/>
    <x v="0"/>
    <x v="15"/>
    <x v="50"/>
    <x v="0"/>
    <x v="63"/>
    <x v="254"/>
    <x v="2852"/>
    <x v="21"/>
    <x v="21"/>
    <x v="1"/>
  </r>
  <r>
    <x v="1"/>
    <x v="3"/>
    <x v="704"/>
    <x v="0"/>
    <x v="15"/>
    <x v="50"/>
    <x v="3"/>
    <x v="68"/>
    <x v="300"/>
    <x v="2915"/>
    <x v="21"/>
    <x v="21"/>
    <x v="1"/>
  </r>
  <r>
    <x v="1"/>
    <x v="1"/>
    <x v="370"/>
    <x v="0"/>
    <x v="15"/>
    <x v="50"/>
    <x v="2"/>
    <x v="33"/>
    <x v="309"/>
    <x v="2825"/>
    <x v="21"/>
    <x v="21"/>
    <x v="1"/>
  </r>
  <r>
    <x v="1"/>
    <x v="1"/>
    <x v="370"/>
    <x v="0"/>
    <x v="15"/>
    <x v="50"/>
    <x v="1"/>
    <x v="33"/>
    <x v="231"/>
    <x v="2350"/>
    <x v="16"/>
    <x v="16"/>
    <x v="1"/>
  </r>
  <r>
    <x v="1"/>
    <x v="1"/>
    <x v="370"/>
    <x v="0"/>
    <x v="15"/>
    <x v="50"/>
    <x v="5"/>
    <x v="23"/>
    <x v="231"/>
    <x v="1929"/>
    <x v="16"/>
    <x v="16"/>
    <x v="1"/>
  </r>
  <r>
    <x v="1"/>
    <x v="1"/>
    <x v="370"/>
    <x v="0"/>
    <x v="15"/>
    <x v="50"/>
    <x v="4"/>
    <x v="28"/>
    <x v="105"/>
    <x v="1051"/>
    <x v="16"/>
    <x v="16"/>
    <x v="1"/>
  </r>
  <r>
    <x v="1"/>
    <x v="1"/>
    <x v="370"/>
    <x v="0"/>
    <x v="15"/>
    <x v="50"/>
    <x v="0"/>
    <x v="43"/>
    <x v="152"/>
    <x v="2022"/>
    <x v="21"/>
    <x v="21"/>
    <x v="1"/>
  </r>
  <r>
    <x v="1"/>
    <x v="1"/>
    <x v="370"/>
    <x v="0"/>
    <x v="15"/>
    <x v="50"/>
    <x v="3"/>
    <x v="33"/>
    <x v="231"/>
    <x v="2350"/>
    <x v="26"/>
    <x v="26"/>
    <x v="1"/>
  </r>
  <r>
    <x v="1"/>
    <x v="1"/>
    <x v="401"/>
    <x v="0"/>
    <x v="15"/>
    <x v="50"/>
    <x v="2"/>
    <x v="33"/>
    <x v="313"/>
    <x v="2852"/>
    <x v="21"/>
    <x v="21"/>
    <x v="1"/>
  </r>
  <r>
    <x v="1"/>
    <x v="1"/>
    <x v="401"/>
    <x v="0"/>
    <x v="15"/>
    <x v="50"/>
    <x v="1"/>
    <x v="33"/>
    <x v="152"/>
    <x v="1674"/>
    <x v="16"/>
    <x v="16"/>
    <x v="1"/>
  </r>
  <r>
    <x v="1"/>
    <x v="1"/>
    <x v="401"/>
    <x v="0"/>
    <x v="15"/>
    <x v="50"/>
    <x v="5"/>
    <x v="23"/>
    <x v="194"/>
    <x v="1617"/>
    <x v="16"/>
    <x v="16"/>
    <x v="1"/>
  </r>
  <r>
    <x v="1"/>
    <x v="1"/>
    <x v="401"/>
    <x v="0"/>
    <x v="40"/>
    <x v="48"/>
    <x v="4"/>
    <x v="28"/>
    <x v="82"/>
    <x v="821"/>
    <x v="16"/>
    <x v="16"/>
    <x v="1"/>
  </r>
  <r>
    <x v="1"/>
    <x v="1"/>
    <x v="401"/>
    <x v="0"/>
    <x v="40"/>
    <x v="48"/>
    <x v="0"/>
    <x v="43"/>
    <x v="152"/>
    <x v="2022"/>
    <x v="21"/>
    <x v="21"/>
    <x v="1"/>
  </r>
  <r>
    <x v="1"/>
    <x v="1"/>
    <x v="401"/>
    <x v="0"/>
    <x v="40"/>
    <x v="48"/>
    <x v="3"/>
    <x v="28"/>
    <x v="231"/>
    <x v="2158"/>
    <x v="26"/>
    <x v="26"/>
    <x v="1"/>
  </r>
  <r>
    <x v="1"/>
    <x v="1"/>
    <x v="428"/>
    <x v="0"/>
    <x v="40"/>
    <x v="48"/>
    <x v="2"/>
    <x v="33"/>
    <x v="310"/>
    <x v="2837"/>
    <x v="21"/>
    <x v="21"/>
    <x v="1"/>
  </r>
  <r>
    <x v="1"/>
    <x v="1"/>
    <x v="428"/>
    <x v="0"/>
    <x v="40"/>
    <x v="48"/>
    <x v="1"/>
    <x v="33"/>
    <x v="174"/>
    <x v="1883"/>
    <x v="16"/>
    <x v="16"/>
    <x v="1"/>
  </r>
  <r>
    <x v="1"/>
    <x v="1"/>
    <x v="428"/>
    <x v="0"/>
    <x v="40"/>
    <x v="48"/>
    <x v="5"/>
    <x v="23"/>
    <x v="194"/>
    <x v="1617"/>
    <x v="16"/>
    <x v="16"/>
    <x v="1"/>
  </r>
  <r>
    <x v="1"/>
    <x v="1"/>
    <x v="428"/>
    <x v="0"/>
    <x v="40"/>
    <x v="48"/>
    <x v="4"/>
    <x v="28"/>
    <x v="62"/>
    <x v="565"/>
    <x v="16"/>
    <x v="16"/>
    <x v="1"/>
  </r>
  <r>
    <x v="1"/>
    <x v="1"/>
    <x v="428"/>
    <x v="0"/>
    <x v="40"/>
    <x v="48"/>
    <x v="0"/>
    <x v="43"/>
    <x v="105"/>
    <x v="1502"/>
    <x v="21"/>
    <x v="21"/>
    <x v="1"/>
  </r>
  <r>
    <x v="1"/>
    <x v="1"/>
    <x v="428"/>
    <x v="0"/>
    <x v="40"/>
    <x v="48"/>
    <x v="3"/>
    <x v="33"/>
    <x v="194"/>
    <x v="2064"/>
    <x v="26"/>
    <x v="26"/>
    <x v="1"/>
  </r>
  <r>
    <x v="1"/>
    <x v="1"/>
    <x v="460"/>
    <x v="0"/>
    <x v="40"/>
    <x v="48"/>
    <x v="2"/>
    <x v="33"/>
    <x v="307"/>
    <x v="2805"/>
    <x v="21"/>
    <x v="21"/>
    <x v="1"/>
  </r>
  <r>
    <x v="1"/>
    <x v="1"/>
    <x v="460"/>
    <x v="0"/>
    <x v="40"/>
    <x v="48"/>
    <x v="1"/>
    <x v="33"/>
    <x v="129"/>
    <x v="1441"/>
    <x v="16"/>
    <x v="16"/>
    <x v="1"/>
  </r>
  <r>
    <x v="1"/>
    <x v="1"/>
    <x v="460"/>
    <x v="0"/>
    <x v="40"/>
    <x v="48"/>
    <x v="5"/>
    <x v="23"/>
    <x v="129"/>
    <x v="1086"/>
    <x v="16"/>
    <x v="16"/>
    <x v="1"/>
  </r>
  <r>
    <x v="1"/>
    <x v="1"/>
    <x v="460"/>
    <x v="0"/>
    <x v="40"/>
    <x v="48"/>
    <x v="4"/>
    <x v="28"/>
    <x v="62"/>
    <x v="565"/>
    <x v="16"/>
    <x v="16"/>
    <x v="1"/>
  </r>
  <r>
    <x v="1"/>
    <x v="1"/>
    <x v="460"/>
    <x v="0"/>
    <x v="40"/>
    <x v="48"/>
    <x v="0"/>
    <x v="53"/>
    <x v="82"/>
    <x v="1441"/>
    <x v="21"/>
    <x v="21"/>
    <x v="1"/>
  </r>
  <r>
    <x v="1"/>
    <x v="1"/>
    <x v="460"/>
    <x v="0"/>
    <x v="40"/>
    <x v="48"/>
    <x v="3"/>
    <x v="43"/>
    <x v="194"/>
    <x v="2383"/>
    <x v="26"/>
    <x v="26"/>
    <x v="1"/>
  </r>
  <r>
    <x v="1"/>
    <x v="1"/>
    <x v="491"/>
    <x v="0"/>
    <x v="40"/>
    <x v="48"/>
    <x v="2"/>
    <x v="53"/>
    <x v="310"/>
    <x v="2911"/>
    <x v="21"/>
    <x v="21"/>
    <x v="1"/>
  </r>
  <r>
    <x v="1"/>
    <x v="1"/>
    <x v="491"/>
    <x v="0"/>
    <x v="40"/>
    <x v="48"/>
    <x v="1"/>
    <x v="43"/>
    <x v="174"/>
    <x v="2206"/>
    <x v="16"/>
    <x v="16"/>
    <x v="1"/>
  </r>
  <r>
    <x v="1"/>
    <x v="1"/>
    <x v="491"/>
    <x v="0"/>
    <x v="40"/>
    <x v="48"/>
    <x v="5"/>
    <x v="38"/>
    <x v="152"/>
    <x v="1857"/>
    <x v="16"/>
    <x v="16"/>
    <x v="1"/>
  </r>
  <r>
    <x v="1"/>
    <x v="1"/>
    <x v="491"/>
    <x v="0"/>
    <x v="40"/>
    <x v="48"/>
    <x v="4"/>
    <x v="38"/>
    <x v="82"/>
    <x v="1086"/>
    <x v="16"/>
    <x v="16"/>
    <x v="1"/>
  </r>
  <r>
    <x v="1"/>
    <x v="1"/>
    <x v="491"/>
    <x v="0"/>
    <x v="40"/>
    <x v="48"/>
    <x v="0"/>
    <x v="48"/>
    <x v="105"/>
    <x v="1646"/>
    <x v="21"/>
    <x v="21"/>
    <x v="1"/>
  </r>
  <r>
    <x v="1"/>
    <x v="1"/>
    <x v="491"/>
    <x v="0"/>
    <x v="40"/>
    <x v="48"/>
    <x v="3"/>
    <x v="53"/>
    <x v="212"/>
    <x v="2686"/>
    <x v="26"/>
    <x v="26"/>
    <x v="1"/>
  </r>
  <r>
    <x v="1"/>
    <x v="1"/>
    <x v="521"/>
    <x v="0"/>
    <x v="40"/>
    <x v="48"/>
    <x v="2"/>
    <x v="38"/>
    <x v="311"/>
    <x v="2866"/>
    <x v="21"/>
    <x v="21"/>
    <x v="1"/>
  </r>
  <r>
    <x v="1"/>
    <x v="1"/>
    <x v="521"/>
    <x v="0"/>
    <x v="40"/>
    <x v="48"/>
    <x v="1"/>
    <x v="33"/>
    <x v="212"/>
    <x v="2206"/>
    <x v="16"/>
    <x v="16"/>
    <x v="1"/>
  </r>
  <r>
    <x v="1"/>
    <x v="1"/>
    <x v="521"/>
    <x v="0"/>
    <x v="40"/>
    <x v="48"/>
    <x v="5"/>
    <x v="28"/>
    <x v="174"/>
    <x v="1674"/>
    <x v="16"/>
    <x v="16"/>
    <x v="1"/>
  </r>
  <r>
    <x v="1"/>
    <x v="1"/>
    <x v="521"/>
    <x v="0"/>
    <x v="40"/>
    <x v="48"/>
    <x v="4"/>
    <x v="28"/>
    <x v="152"/>
    <x v="1471"/>
    <x v="16"/>
    <x v="16"/>
    <x v="1"/>
  </r>
  <r>
    <x v="1"/>
    <x v="1"/>
    <x v="521"/>
    <x v="0"/>
    <x v="40"/>
    <x v="48"/>
    <x v="0"/>
    <x v="38"/>
    <x v="152"/>
    <x v="1857"/>
    <x v="21"/>
    <x v="21"/>
    <x v="1"/>
  </r>
  <r>
    <x v="1"/>
    <x v="1"/>
    <x v="521"/>
    <x v="0"/>
    <x v="40"/>
    <x v="48"/>
    <x v="3"/>
    <x v="48"/>
    <x v="273"/>
    <x v="2800"/>
    <x v="26"/>
    <x v="26"/>
    <x v="1"/>
  </r>
  <r>
    <x v="1"/>
    <x v="1"/>
    <x v="550"/>
    <x v="0"/>
    <x v="40"/>
    <x v="48"/>
    <x v="2"/>
    <x v="43"/>
    <x v="315"/>
    <x v="2899"/>
    <x v="21"/>
    <x v="21"/>
    <x v="1"/>
  </r>
  <r>
    <x v="1"/>
    <x v="1"/>
    <x v="550"/>
    <x v="0"/>
    <x v="40"/>
    <x v="48"/>
    <x v="1"/>
    <x v="38"/>
    <x v="254"/>
    <x v="2594"/>
    <x v="16"/>
    <x v="16"/>
    <x v="1"/>
  </r>
  <r>
    <x v="1"/>
    <x v="1"/>
    <x v="550"/>
    <x v="0"/>
    <x v="40"/>
    <x v="48"/>
    <x v="5"/>
    <x v="33"/>
    <x v="194"/>
    <x v="2064"/>
    <x v="16"/>
    <x v="16"/>
    <x v="1"/>
  </r>
  <r>
    <x v="1"/>
    <x v="1"/>
    <x v="550"/>
    <x v="0"/>
    <x v="40"/>
    <x v="48"/>
    <x v="4"/>
    <x v="33"/>
    <x v="152"/>
    <x v="1674"/>
    <x v="16"/>
    <x v="16"/>
    <x v="1"/>
  </r>
  <r>
    <x v="1"/>
    <x v="1"/>
    <x v="550"/>
    <x v="0"/>
    <x v="40"/>
    <x v="48"/>
    <x v="0"/>
    <x v="43"/>
    <x v="174"/>
    <x v="2206"/>
    <x v="21"/>
    <x v="21"/>
    <x v="1"/>
  </r>
  <r>
    <x v="1"/>
    <x v="1"/>
    <x v="550"/>
    <x v="0"/>
    <x v="40"/>
    <x v="48"/>
    <x v="3"/>
    <x v="48"/>
    <x v="294"/>
    <x v="2850"/>
    <x v="26"/>
    <x v="26"/>
    <x v="1"/>
  </r>
  <r>
    <x v="1"/>
    <x v="1"/>
    <x v="582"/>
    <x v="0"/>
    <x v="40"/>
    <x v="48"/>
    <x v="2"/>
    <x v="43"/>
    <x v="313"/>
    <x v="2892"/>
    <x v="21"/>
    <x v="21"/>
    <x v="1"/>
  </r>
  <r>
    <x v="1"/>
    <x v="1"/>
    <x v="582"/>
    <x v="0"/>
    <x v="40"/>
    <x v="48"/>
    <x v="1"/>
    <x v="38"/>
    <x v="254"/>
    <x v="2594"/>
    <x v="16"/>
    <x v="16"/>
    <x v="1"/>
  </r>
  <r>
    <x v="1"/>
    <x v="1"/>
    <x v="582"/>
    <x v="0"/>
    <x v="40"/>
    <x v="48"/>
    <x v="5"/>
    <x v="33"/>
    <x v="194"/>
    <x v="2064"/>
    <x v="16"/>
    <x v="16"/>
    <x v="1"/>
  </r>
  <r>
    <x v="1"/>
    <x v="1"/>
    <x v="582"/>
    <x v="0"/>
    <x v="40"/>
    <x v="48"/>
    <x v="4"/>
    <x v="33"/>
    <x v="174"/>
    <x v="1883"/>
    <x v="16"/>
    <x v="16"/>
    <x v="1"/>
  </r>
  <r>
    <x v="1"/>
    <x v="1"/>
    <x v="582"/>
    <x v="0"/>
    <x v="40"/>
    <x v="48"/>
    <x v="0"/>
    <x v="43"/>
    <x v="152"/>
    <x v="2022"/>
    <x v="21"/>
    <x v="21"/>
    <x v="1"/>
  </r>
  <r>
    <x v="1"/>
    <x v="1"/>
    <x v="582"/>
    <x v="0"/>
    <x v="40"/>
    <x v="48"/>
    <x v="3"/>
    <x v="48"/>
    <x v="285"/>
    <x v="2829"/>
    <x v="26"/>
    <x v="26"/>
    <x v="1"/>
  </r>
  <r>
    <x v="1"/>
    <x v="1"/>
    <x v="614"/>
    <x v="0"/>
    <x v="40"/>
    <x v="48"/>
    <x v="2"/>
    <x v="38"/>
    <x v="309"/>
    <x v="2855"/>
    <x v="21"/>
    <x v="21"/>
    <x v="1"/>
  </r>
  <r>
    <x v="1"/>
    <x v="1"/>
    <x v="614"/>
    <x v="0"/>
    <x v="40"/>
    <x v="48"/>
    <x v="1"/>
    <x v="33"/>
    <x v="231"/>
    <x v="2350"/>
    <x v="16"/>
    <x v="16"/>
    <x v="1"/>
  </r>
  <r>
    <x v="1"/>
    <x v="1"/>
    <x v="614"/>
    <x v="0"/>
    <x v="40"/>
    <x v="48"/>
    <x v="5"/>
    <x v="28"/>
    <x v="152"/>
    <x v="1471"/>
    <x v="16"/>
    <x v="16"/>
    <x v="1"/>
  </r>
  <r>
    <x v="1"/>
    <x v="1"/>
    <x v="614"/>
    <x v="0"/>
    <x v="40"/>
    <x v="48"/>
    <x v="4"/>
    <x v="28"/>
    <x v="129"/>
    <x v="1267"/>
    <x v="16"/>
    <x v="16"/>
    <x v="1"/>
  </r>
  <r>
    <x v="1"/>
    <x v="1"/>
    <x v="614"/>
    <x v="0"/>
    <x v="40"/>
    <x v="48"/>
    <x v="0"/>
    <x v="38"/>
    <x v="129"/>
    <x v="1617"/>
    <x v="21"/>
    <x v="21"/>
    <x v="1"/>
  </r>
  <r>
    <x v="1"/>
    <x v="1"/>
    <x v="614"/>
    <x v="0"/>
    <x v="40"/>
    <x v="48"/>
    <x v="3"/>
    <x v="43"/>
    <x v="194"/>
    <x v="2383"/>
    <x v="26"/>
    <x v="26"/>
    <x v="1"/>
  </r>
  <r>
    <x v="1"/>
    <x v="1"/>
    <x v="643"/>
    <x v="0"/>
    <x v="40"/>
    <x v="48"/>
    <x v="2"/>
    <x v="48"/>
    <x v="300"/>
    <x v="2862"/>
    <x v="21"/>
    <x v="21"/>
    <x v="1"/>
  </r>
  <r>
    <x v="1"/>
    <x v="1"/>
    <x v="643"/>
    <x v="0"/>
    <x v="40"/>
    <x v="48"/>
    <x v="1"/>
    <x v="38"/>
    <x v="212"/>
    <x v="2383"/>
    <x v="16"/>
    <x v="16"/>
    <x v="1"/>
  </r>
  <r>
    <x v="1"/>
    <x v="1"/>
    <x v="643"/>
    <x v="0"/>
    <x v="40"/>
    <x v="48"/>
    <x v="5"/>
    <x v="38"/>
    <x v="129"/>
    <x v="1617"/>
    <x v="16"/>
    <x v="16"/>
    <x v="1"/>
  </r>
  <r>
    <x v="1"/>
    <x v="1"/>
    <x v="643"/>
    <x v="0"/>
    <x v="40"/>
    <x v="48"/>
    <x v="4"/>
    <x v="38"/>
    <x v="105"/>
    <x v="1355"/>
    <x v="16"/>
    <x v="16"/>
    <x v="1"/>
  </r>
  <r>
    <x v="1"/>
    <x v="1"/>
    <x v="643"/>
    <x v="0"/>
    <x v="40"/>
    <x v="48"/>
    <x v="0"/>
    <x v="48"/>
    <x v="105"/>
    <x v="1646"/>
    <x v="21"/>
    <x v="21"/>
    <x v="1"/>
  </r>
  <r>
    <x v="3"/>
    <x v="1"/>
    <x v="643"/>
    <x v="0"/>
    <x v="40"/>
    <x v="48"/>
    <x v="3"/>
    <x v="53"/>
    <x v="212"/>
    <x v="2686"/>
    <x v="26"/>
    <x v="26"/>
    <x v="1"/>
  </r>
  <r>
    <x v="3"/>
    <x v="1"/>
    <x v="674"/>
    <x v="0"/>
    <x v="40"/>
    <x v="48"/>
    <x v="2"/>
    <x v="48"/>
    <x v="300"/>
    <x v="2862"/>
    <x v="21"/>
    <x v="21"/>
    <x v="1"/>
  </r>
  <r>
    <x v="3"/>
    <x v="1"/>
    <x v="674"/>
    <x v="0"/>
    <x v="40"/>
    <x v="48"/>
    <x v="1"/>
    <x v="38"/>
    <x v="212"/>
    <x v="2383"/>
    <x v="16"/>
    <x v="16"/>
    <x v="1"/>
  </r>
  <r>
    <x v="3"/>
    <x v="1"/>
    <x v="674"/>
    <x v="0"/>
    <x v="40"/>
    <x v="48"/>
    <x v="5"/>
    <x v="38"/>
    <x v="171"/>
    <x v="2024"/>
    <x v="16"/>
    <x v="16"/>
    <x v="1"/>
  </r>
  <r>
    <x v="3"/>
    <x v="1"/>
    <x v="674"/>
    <x v="0"/>
    <x v="40"/>
    <x v="48"/>
    <x v="4"/>
    <x v="38"/>
    <x v="152"/>
    <x v="1857"/>
    <x v="16"/>
    <x v="16"/>
    <x v="1"/>
  </r>
  <r>
    <x v="3"/>
    <x v="1"/>
    <x v="674"/>
    <x v="0"/>
    <x v="40"/>
    <x v="48"/>
    <x v="0"/>
    <x v="53"/>
    <x v="129"/>
    <x v="2064"/>
    <x v="21"/>
    <x v="21"/>
    <x v="1"/>
  </r>
  <r>
    <x v="3"/>
    <x v="1"/>
    <x v="674"/>
    <x v="0"/>
    <x v="40"/>
    <x v="48"/>
    <x v="3"/>
    <x v="58"/>
    <x v="212"/>
    <x v="2745"/>
    <x v="26"/>
    <x v="26"/>
    <x v="1"/>
  </r>
  <r>
    <x v="3"/>
    <x v="1"/>
    <x v="703"/>
    <x v="0"/>
    <x v="40"/>
    <x v="48"/>
    <x v="2"/>
    <x v="53"/>
    <x v="311"/>
    <x v="2915"/>
    <x v="21"/>
    <x v="21"/>
    <x v="1"/>
  </r>
  <r>
    <x v="3"/>
    <x v="1"/>
    <x v="703"/>
    <x v="0"/>
    <x v="40"/>
    <x v="48"/>
    <x v="1"/>
    <x v="43"/>
    <x v="254"/>
    <x v="2686"/>
    <x v="16"/>
    <x v="16"/>
    <x v="1"/>
  </r>
  <r>
    <x v="3"/>
    <x v="1"/>
    <x v="703"/>
    <x v="0"/>
    <x v="40"/>
    <x v="48"/>
    <x v="5"/>
    <x v="43"/>
    <x v="212"/>
    <x v="2513"/>
    <x v="16"/>
    <x v="16"/>
    <x v="1"/>
  </r>
  <r>
    <x v="3"/>
    <x v="1"/>
    <x v="703"/>
    <x v="0"/>
    <x v="40"/>
    <x v="48"/>
    <x v="4"/>
    <x v="43"/>
    <x v="174"/>
    <x v="2206"/>
    <x v="16"/>
    <x v="16"/>
    <x v="1"/>
  </r>
  <r>
    <x v="3"/>
    <x v="1"/>
    <x v="703"/>
    <x v="0"/>
    <x v="40"/>
    <x v="48"/>
    <x v="0"/>
    <x v="53"/>
    <x v="174"/>
    <x v="2469"/>
    <x v="21"/>
    <x v="21"/>
    <x v="1"/>
  </r>
  <r>
    <x v="3"/>
    <x v="1"/>
    <x v="703"/>
    <x v="0"/>
    <x v="40"/>
    <x v="48"/>
    <x v="3"/>
    <x v="58"/>
    <x v="254"/>
    <x v="2833"/>
    <x v="26"/>
    <x v="26"/>
    <x v="1"/>
  </r>
  <r>
    <x v="3"/>
    <x v="1"/>
    <x v="367"/>
    <x v="0"/>
    <x v="40"/>
    <x v="48"/>
    <x v="2"/>
    <x v="28"/>
    <x v="309"/>
    <x v="2763"/>
    <x v="21"/>
    <x v="21"/>
    <x v="1"/>
  </r>
  <r>
    <x v="3"/>
    <x v="1"/>
    <x v="367"/>
    <x v="0"/>
    <x v="40"/>
    <x v="48"/>
    <x v="1"/>
    <x v="28"/>
    <x v="231"/>
    <x v="2158"/>
    <x v="16"/>
    <x v="16"/>
    <x v="1"/>
  </r>
  <r>
    <x v="3"/>
    <x v="1"/>
    <x v="367"/>
    <x v="0"/>
    <x v="40"/>
    <x v="48"/>
    <x v="5"/>
    <x v="18"/>
    <x v="231"/>
    <x v="1646"/>
    <x v="16"/>
    <x v="16"/>
    <x v="1"/>
  </r>
  <r>
    <x v="3"/>
    <x v="1"/>
    <x v="367"/>
    <x v="0"/>
    <x v="40"/>
    <x v="48"/>
    <x v="4"/>
    <x v="23"/>
    <x v="105"/>
    <x v="891"/>
    <x v="16"/>
    <x v="16"/>
    <x v="1"/>
  </r>
  <r>
    <x v="3"/>
    <x v="1"/>
    <x v="367"/>
    <x v="0"/>
    <x v="40"/>
    <x v="48"/>
    <x v="0"/>
    <x v="38"/>
    <x v="152"/>
    <x v="1857"/>
    <x v="21"/>
    <x v="21"/>
    <x v="1"/>
  </r>
  <r>
    <x v="3"/>
    <x v="1"/>
    <x v="367"/>
    <x v="0"/>
    <x v="40"/>
    <x v="48"/>
    <x v="3"/>
    <x v="28"/>
    <x v="231"/>
    <x v="2158"/>
    <x v="26"/>
    <x v="26"/>
    <x v="1"/>
  </r>
  <r>
    <x v="3"/>
    <x v="1"/>
    <x v="398"/>
    <x v="0"/>
    <x v="40"/>
    <x v="48"/>
    <x v="2"/>
    <x v="28"/>
    <x v="313"/>
    <x v="2811"/>
    <x v="21"/>
    <x v="21"/>
    <x v="1"/>
  </r>
  <r>
    <x v="3"/>
    <x v="1"/>
    <x v="398"/>
    <x v="0"/>
    <x v="40"/>
    <x v="48"/>
    <x v="1"/>
    <x v="28"/>
    <x v="152"/>
    <x v="1471"/>
    <x v="16"/>
    <x v="16"/>
    <x v="1"/>
  </r>
  <r>
    <x v="3"/>
    <x v="1"/>
    <x v="398"/>
    <x v="0"/>
    <x v="40"/>
    <x v="48"/>
    <x v="5"/>
    <x v="18"/>
    <x v="194"/>
    <x v="1355"/>
    <x v="16"/>
    <x v="16"/>
    <x v="1"/>
  </r>
  <r>
    <x v="3"/>
    <x v="1"/>
    <x v="398"/>
    <x v="0"/>
    <x v="33"/>
    <x v="19"/>
    <x v="4"/>
    <x v="23"/>
    <x v="82"/>
    <x v="672"/>
    <x v="16"/>
    <x v="16"/>
    <x v="1"/>
  </r>
  <r>
    <x v="3"/>
    <x v="1"/>
    <x v="398"/>
    <x v="0"/>
    <x v="33"/>
    <x v="19"/>
    <x v="0"/>
    <x v="38"/>
    <x v="152"/>
    <x v="1857"/>
    <x v="21"/>
    <x v="21"/>
    <x v="1"/>
  </r>
  <r>
    <x v="3"/>
    <x v="1"/>
    <x v="398"/>
    <x v="0"/>
    <x v="33"/>
    <x v="19"/>
    <x v="3"/>
    <x v="18"/>
    <x v="231"/>
    <x v="1646"/>
    <x v="26"/>
    <x v="26"/>
    <x v="1"/>
  </r>
  <r>
    <x v="3"/>
    <x v="1"/>
    <x v="425"/>
    <x v="0"/>
    <x v="33"/>
    <x v="19"/>
    <x v="2"/>
    <x v="23"/>
    <x v="310"/>
    <x v="2681"/>
    <x v="21"/>
    <x v="21"/>
    <x v="1"/>
  </r>
  <r>
    <x v="3"/>
    <x v="1"/>
    <x v="425"/>
    <x v="0"/>
    <x v="33"/>
    <x v="19"/>
    <x v="1"/>
    <x v="23"/>
    <x v="174"/>
    <x v="1441"/>
    <x v="16"/>
    <x v="16"/>
    <x v="1"/>
  </r>
  <r>
    <x v="3"/>
    <x v="1"/>
    <x v="425"/>
    <x v="0"/>
    <x v="33"/>
    <x v="19"/>
    <x v="5"/>
    <x v="13"/>
    <x v="194"/>
    <x v="1086"/>
    <x v="16"/>
    <x v="16"/>
    <x v="1"/>
  </r>
  <r>
    <x v="3"/>
    <x v="1"/>
    <x v="425"/>
    <x v="0"/>
    <x v="33"/>
    <x v="19"/>
    <x v="4"/>
    <x v="18"/>
    <x v="62"/>
    <x v="352"/>
    <x v="16"/>
    <x v="16"/>
    <x v="1"/>
  </r>
  <r>
    <x v="3"/>
    <x v="1"/>
    <x v="425"/>
    <x v="0"/>
    <x v="33"/>
    <x v="19"/>
    <x v="0"/>
    <x v="33"/>
    <x v="105"/>
    <x v="1208"/>
    <x v="21"/>
    <x v="21"/>
    <x v="1"/>
  </r>
  <r>
    <x v="3"/>
    <x v="1"/>
    <x v="425"/>
    <x v="0"/>
    <x v="33"/>
    <x v="19"/>
    <x v="3"/>
    <x v="23"/>
    <x v="194"/>
    <x v="1617"/>
    <x v="26"/>
    <x v="26"/>
    <x v="1"/>
  </r>
  <r>
    <x v="3"/>
    <x v="1"/>
    <x v="457"/>
    <x v="0"/>
    <x v="33"/>
    <x v="19"/>
    <x v="2"/>
    <x v="23"/>
    <x v="307"/>
    <x v="2594"/>
    <x v="21"/>
    <x v="21"/>
    <x v="1"/>
  </r>
  <r>
    <x v="3"/>
    <x v="1"/>
    <x v="457"/>
    <x v="0"/>
    <x v="33"/>
    <x v="19"/>
    <x v="1"/>
    <x v="23"/>
    <x v="129"/>
    <x v="1086"/>
    <x v="16"/>
    <x v="16"/>
    <x v="1"/>
  </r>
  <r>
    <x v="3"/>
    <x v="1"/>
    <x v="457"/>
    <x v="0"/>
    <x v="33"/>
    <x v="19"/>
    <x v="5"/>
    <x v="13"/>
    <x v="129"/>
    <x v="672"/>
    <x v="16"/>
    <x v="16"/>
    <x v="1"/>
  </r>
  <r>
    <x v="3"/>
    <x v="1"/>
    <x v="457"/>
    <x v="0"/>
    <x v="33"/>
    <x v="19"/>
    <x v="4"/>
    <x v="18"/>
    <x v="62"/>
    <x v="352"/>
    <x v="16"/>
    <x v="16"/>
    <x v="1"/>
  </r>
  <r>
    <x v="3"/>
    <x v="1"/>
    <x v="457"/>
    <x v="0"/>
    <x v="33"/>
    <x v="19"/>
    <x v="0"/>
    <x v="53"/>
    <x v="82"/>
    <x v="1441"/>
    <x v="21"/>
    <x v="21"/>
    <x v="0"/>
  </r>
  <r>
    <x v="3"/>
    <x v="1"/>
    <x v="457"/>
    <x v="0"/>
    <x v="33"/>
    <x v="19"/>
    <x v="3"/>
    <x v="43"/>
    <x v="194"/>
    <x v="2383"/>
    <x v="26"/>
    <x v="26"/>
    <x v="0"/>
  </r>
  <r>
    <x v="3"/>
    <x v="1"/>
    <x v="488"/>
    <x v="0"/>
    <x v="33"/>
    <x v="19"/>
    <x v="2"/>
    <x v="53"/>
    <x v="310"/>
    <x v="2911"/>
    <x v="21"/>
    <x v="21"/>
    <x v="0"/>
  </r>
  <r>
    <x v="3"/>
    <x v="1"/>
    <x v="488"/>
    <x v="0"/>
    <x v="33"/>
    <x v="19"/>
    <x v="1"/>
    <x v="38"/>
    <x v="174"/>
    <x v="2064"/>
    <x v="16"/>
    <x v="16"/>
    <x v="0"/>
  </r>
  <r>
    <x v="3"/>
    <x v="1"/>
    <x v="488"/>
    <x v="0"/>
    <x v="33"/>
    <x v="19"/>
    <x v="5"/>
    <x v="33"/>
    <x v="152"/>
    <x v="1674"/>
    <x v="16"/>
    <x v="16"/>
    <x v="0"/>
  </r>
  <r>
    <x v="3"/>
    <x v="1"/>
    <x v="488"/>
    <x v="0"/>
    <x v="33"/>
    <x v="19"/>
    <x v="4"/>
    <x v="33"/>
    <x v="82"/>
    <x v="956"/>
    <x v="16"/>
    <x v="16"/>
    <x v="0"/>
  </r>
  <r>
    <x v="3"/>
    <x v="1"/>
    <x v="488"/>
    <x v="0"/>
    <x v="33"/>
    <x v="19"/>
    <x v="0"/>
    <x v="43"/>
    <x v="105"/>
    <x v="1502"/>
    <x v="21"/>
    <x v="21"/>
    <x v="0"/>
  </r>
  <r>
    <x v="3"/>
    <x v="1"/>
    <x v="488"/>
    <x v="0"/>
    <x v="33"/>
    <x v="19"/>
    <x v="3"/>
    <x v="48"/>
    <x v="212"/>
    <x v="2615"/>
    <x v="26"/>
    <x v="26"/>
    <x v="0"/>
  </r>
  <r>
    <x v="3"/>
    <x v="1"/>
    <x v="518"/>
    <x v="0"/>
    <x v="33"/>
    <x v="19"/>
    <x v="2"/>
    <x v="33"/>
    <x v="311"/>
    <x v="2840"/>
    <x v="21"/>
    <x v="21"/>
    <x v="0"/>
  </r>
  <r>
    <x v="3"/>
    <x v="1"/>
    <x v="518"/>
    <x v="0"/>
    <x v="33"/>
    <x v="19"/>
    <x v="1"/>
    <x v="28"/>
    <x v="212"/>
    <x v="2022"/>
    <x v="16"/>
    <x v="16"/>
    <x v="0"/>
  </r>
  <r>
    <x v="3"/>
    <x v="1"/>
    <x v="518"/>
    <x v="0"/>
    <x v="33"/>
    <x v="19"/>
    <x v="5"/>
    <x v="23"/>
    <x v="174"/>
    <x v="1441"/>
    <x v="16"/>
    <x v="16"/>
    <x v="0"/>
  </r>
  <r>
    <x v="3"/>
    <x v="1"/>
    <x v="518"/>
    <x v="0"/>
    <x v="33"/>
    <x v="19"/>
    <x v="4"/>
    <x v="23"/>
    <x v="152"/>
    <x v="1267"/>
    <x v="16"/>
    <x v="16"/>
    <x v="0"/>
  </r>
  <r>
    <x v="3"/>
    <x v="1"/>
    <x v="518"/>
    <x v="0"/>
    <x v="33"/>
    <x v="19"/>
    <x v="0"/>
    <x v="33"/>
    <x v="152"/>
    <x v="1674"/>
    <x v="21"/>
    <x v="21"/>
    <x v="0"/>
  </r>
  <r>
    <x v="3"/>
    <x v="1"/>
    <x v="518"/>
    <x v="0"/>
    <x v="33"/>
    <x v="19"/>
    <x v="3"/>
    <x v="48"/>
    <x v="273"/>
    <x v="2800"/>
    <x v="26"/>
    <x v="26"/>
    <x v="0"/>
  </r>
  <r>
    <x v="3"/>
    <x v="1"/>
    <x v="547"/>
    <x v="0"/>
    <x v="33"/>
    <x v="19"/>
    <x v="2"/>
    <x v="43"/>
    <x v="315"/>
    <x v="2899"/>
    <x v="21"/>
    <x v="21"/>
    <x v="0"/>
  </r>
  <r>
    <x v="3"/>
    <x v="1"/>
    <x v="547"/>
    <x v="0"/>
    <x v="33"/>
    <x v="19"/>
    <x v="1"/>
    <x v="38"/>
    <x v="254"/>
    <x v="2594"/>
    <x v="16"/>
    <x v="16"/>
    <x v="0"/>
  </r>
  <r>
    <x v="3"/>
    <x v="1"/>
    <x v="547"/>
    <x v="0"/>
    <x v="33"/>
    <x v="19"/>
    <x v="5"/>
    <x v="33"/>
    <x v="194"/>
    <x v="2064"/>
    <x v="16"/>
    <x v="16"/>
    <x v="0"/>
  </r>
  <r>
    <x v="3"/>
    <x v="1"/>
    <x v="547"/>
    <x v="0"/>
    <x v="33"/>
    <x v="19"/>
    <x v="4"/>
    <x v="33"/>
    <x v="152"/>
    <x v="1674"/>
    <x v="16"/>
    <x v="16"/>
    <x v="0"/>
  </r>
  <r>
    <x v="3"/>
    <x v="1"/>
    <x v="547"/>
    <x v="0"/>
    <x v="33"/>
    <x v="19"/>
    <x v="0"/>
    <x v="43"/>
    <x v="174"/>
    <x v="2206"/>
    <x v="21"/>
    <x v="21"/>
    <x v="0"/>
  </r>
  <r>
    <x v="3"/>
    <x v="1"/>
    <x v="547"/>
    <x v="0"/>
    <x v="33"/>
    <x v="19"/>
    <x v="3"/>
    <x v="48"/>
    <x v="294"/>
    <x v="2850"/>
    <x v="26"/>
    <x v="26"/>
    <x v="0"/>
  </r>
  <r>
    <x v="3"/>
    <x v="1"/>
    <x v="579"/>
    <x v="0"/>
    <x v="33"/>
    <x v="19"/>
    <x v="2"/>
    <x v="43"/>
    <x v="313"/>
    <x v="2892"/>
    <x v="21"/>
    <x v="21"/>
    <x v="0"/>
  </r>
  <r>
    <x v="3"/>
    <x v="1"/>
    <x v="579"/>
    <x v="0"/>
    <x v="33"/>
    <x v="19"/>
    <x v="1"/>
    <x v="38"/>
    <x v="254"/>
    <x v="2594"/>
    <x v="16"/>
    <x v="16"/>
    <x v="0"/>
  </r>
  <r>
    <x v="3"/>
    <x v="1"/>
    <x v="579"/>
    <x v="0"/>
    <x v="33"/>
    <x v="19"/>
    <x v="5"/>
    <x v="33"/>
    <x v="194"/>
    <x v="2064"/>
    <x v="16"/>
    <x v="16"/>
    <x v="0"/>
  </r>
  <r>
    <x v="3"/>
    <x v="1"/>
    <x v="579"/>
    <x v="0"/>
    <x v="33"/>
    <x v="19"/>
    <x v="4"/>
    <x v="33"/>
    <x v="174"/>
    <x v="1883"/>
    <x v="16"/>
    <x v="16"/>
    <x v="0"/>
  </r>
  <r>
    <x v="3"/>
    <x v="1"/>
    <x v="579"/>
    <x v="0"/>
    <x v="33"/>
    <x v="19"/>
    <x v="0"/>
    <x v="43"/>
    <x v="152"/>
    <x v="2022"/>
    <x v="21"/>
    <x v="21"/>
    <x v="0"/>
  </r>
  <r>
    <x v="3"/>
    <x v="1"/>
    <x v="579"/>
    <x v="0"/>
    <x v="33"/>
    <x v="19"/>
    <x v="3"/>
    <x v="48"/>
    <x v="285"/>
    <x v="2829"/>
    <x v="26"/>
    <x v="26"/>
    <x v="0"/>
  </r>
  <r>
    <x v="3"/>
    <x v="1"/>
    <x v="611"/>
    <x v="0"/>
    <x v="33"/>
    <x v="19"/>
    <x v="2"/>
    <x v="33"/>
    <x v="309"/>
    <x v="2825"/>
    <x v="21"/>
    <x v="21"/>
    <x v="0"/>
  </r>
  <r>
    <x v="3"/>
    <x v="1"/>
    <x v="611"/>
    <x v="0"/>
    <x v="33"/>
    <x v="19"/>
    <x v="1"/>
    <x v="28"/>
    <x v="231"/>
    <x v="2158"/>
    <x v="16"/>
    <x v="16"/>
    <x v="0"/>
  </r>
  <r>
    <x v="3"/>
    <x v="1"/>
    <x v="611"/>
    <x v="0"/>
    <x v="33"/>
    <x v="19"/>
    <x v="5"/>
    <x v="23"/>
    <x v="152"/>
    <x v="1267"/>
    <x v="16"/>
    <x v="16"/>
    <x v="0"/>
  </r>
  <r>
    <x v="3"/>
    <x v="1"/>
    <x v="611"/>
    <x v="0"/>
    <x v="33"/>
    <x v="19"/>
    <x v="4"/>
    <x v="23"/>
    <x v="129"/>
    <x v="1086"/>
    <x v="16"/>
    <x v="16"/>
    <x v="0"/>
  </r>
  <r>
    <x v="3"/>
    <x v="1"/>
    <x v="611"/>
    <x v="0"/>
    <x v="33"/>
    <x v="19"/>
    <x v="0"/>
    <x v="33"/>
    <x v="129"/>
    <x v="1441"/>
    <x v="21"/>
    <x v="21"/>
    <x v="0"/>
  </r>
  <r>
    <x v="3"/>
    <x v="1"/>
    <x v="611"/>
    <x v="0"/>
    <x v="33"/>
    <x v="19"/>
    <x v="3"/>
    <x v="38"/>
    <x v="194"/>
    <x v="2227"/>
    <x v="26"/>
    <x v="26"/>
    <x v="0"/>
  </r>
  <r>
    <x v="3"/>
    <x v="1"/>
    <x v="640"/>
    <x v="0"/>
    <x v="33"/>
    <x v="19"/>
    <x v="2"/>
    <x v="43"/>
    <x v="300"/>
    <x v="2840"/>
    <x v="21"/>
    <x v="21"/>
    <x v="0"/>
  </r>
  <r>
    <x v="3"/>
    <x v="1"/>
    <x v="640"/>
    <x v="0"/>
    <x v="33"/>
    <x v="19"/>
    <x v="1"/>
    <x v="33"/>
    <x v="212"/>
    <x v="2206"/>
    <x v="16"/>
    <x v="16"/>
    <x v="0"/>
  </r>
  <r>
    <x v="3"/>
    <x v="1"/>
    <x v="640"/>
    <x v="0"/>
    <x v="33"/>
    <x v="19"/>
    <x v="5"/>
    <x v="33"/>
    <x v="129"/>
    <x v="1441"/>
    <x v="16"/>
    <x v="16"/>
    <x v="0"/>
  </r>
  <r>
    <x v="3"/>
    <x v="1"/>
    <x v="640"/>
    <x v="0"/>
    <x v="33"/>
    <x v="19"/>
    <x v="4"/>
    <x v="33"/>
    <x v="105"/>
    <x v="1208"/>
    <x v="16"/>
    <x v="16"/>
    <x v="0"/>
  </r>
  <r>
    <x v="3"/>
    <x v="1"/>
    <x v="640"/>
    <x v="0"/>
    <x v="33"/>
    <x v="19"/>
    <x v="0"/>
    <x v="43"/>
    <x v="105"/>
    <x v="1502"/>
    <x v="21"/>
    <x v="21"/>
    <x v="0"/>
  </r>
  <r>
    <x v="1"/>
    <x v="1"/>
    <x v="640"/>
    <x v="0"/>
    <x v="33"/>
    <x v="19"/>
    <x v="3"/>
    <x v="48"/>
    <x v="212"/>
    <x v="2615"/>
    <x v="26"/>
    <x v="26"/>
    <x v="0"/>
  </r>
  <r>
    <x v="1"/>
    <x v="1"/>
    <x v="671"/>
    <x v="0"/>
    <x v="33"/>
    <x v="19"/>
    <x v="2"/>
    <x v="43"/>
    <x v="300"/>
    <x v="2840"/>
    <x v="21"/>
    <x v="21"/>
    <x v="0"/>
  </r>
  <r>
    <x v="1"/>
    <x v="1"/>
    <x v="671"/>
    <x v="0"/>
    <x v="33"/>
    <x v="19"/>
    <x v="1"/>
    <x v="33"/>
    <x v="212"/>
    <x v="2206"/>
    <x v="16"/>
    <x v="16"/>
    <x v="0"/>
  </r>
  <r>
    <x v="1"/>
    <x v="1"/>
    <x v="671"/>
    <x v="0"/>
    <x v="33"/>
    <x v="19"/>
    <x v="5"/>
    <x v="33"/>
    <x v="171"/>
    <x v="1842"/>
    <x v="16"/>
    <x v="16"/>
    <x v="0"/>
  </r>
  <r>
    <x v="1"/>
    <x v="1"/>
    <x v="671"/>
    <x v="0"/>
    <x v="33"/>
    <x v="19"/>
    <x v="4"/>
    <x v="33"/>
    <x v="152"/>
    <x v="1674"/>
    <x v="16"/>
    <x v="16"/>
    <x v="0"/>
  </r>
  <r>
    <x v="1"/>
    <x v="1"/>
    <x v="671"/>
    <x v="0"/>
    <x v="33"/>
    <x v="19"/>
    <x v="0"/>
    <x v="53"/>
    <x v="129"/>
    <x v="2064"/>
    <x v="21"/>
    <x v="21"/>
    <x v="0"/>
  </r>
  <r>
    <x v="1"/>
    <x v="1"/>
    <x v="671"/>
    <x v="0"/>
    <x v="33"/>
    <x v="19"/>
    <x v="3"/>
    <x v="58"/>
    <x v="212"/>
    <x v="2745"/>
    <x v="26"/>
    <x v="26"/>
    <x v="0"/>
  </r>
  <r>
    <x v="1"/>
    <x v="1"/>
    <x v="700"/>
    <x v="0"/>
    <x v="33"/>
    <x v="19"/>
    <x v="2"/>
    <x v="53"/>
    <x v="311"/>
    <x v="2915"/>
    <x v="21"/>
    <x v="21"/>
    <x v="0"/>
  </r>
  <r>
    <x v="1"/>
    <x v="1"/>
    <x v="700"/>
    <x v="0"/>
    <x v="33"/>
    <x v="19"/>
    <x v="1"/>
    <x v="43"/>
    <x v="254"/>
    <x v="2686"/>
    <x v="16"/>
    <x v="16"/>
    <x v="0"/>
  </r>
  <r>
    <x v="1"/>
    <x v="1"/>
    <x v="700"/>
    <x v="0"/>
    <x v="33"/>
    <x v="19"/>
    <x v="5"/>
    <x v="43"/>
    <x v="212"/>
    <x v="2513"/>
    <x v="16"/>
    <x v="16"/>
    <x v="0"/>
  </r>
  <r>
    <x v="1"/>
    <x v="1"/>
    <x v="700"/>
    <x v="0"/>
    <x v="33"/>
    <x v="19"/>
    <x v="4"/>
    <x v="43"/>
    <x v="174"/>
    <x v="2206"/>
    <x v="16"/>
    <x v="16"/>
    <x v="0"/>
  </r>
  <r>
    <x v="1"/>
    <x v="1"/>
    <x v="700"/>
    <x v="0"/>
    <x v="33"/>
    <x v="19"/>
    <x v="0"/>
    <x v="53"/>
    <x v="174"/>
    <x v="2469"/>
    <x v="21"/>
    <x v="21"/>
    <x v="0"/>
  </r>
  <r>
    <x v="1"/>
    <x v="1"/>
    <x v="700"/>
    <x v="0"/>
    <x v="33"/>
    <x v="19"/>
    <x v="3"/>
    <x v="58"/>
    <x v="254"/>
    <x v="2833"/>
    <x v="26"/>
    <x v="26"/>
    <x v="0"/>
  </r>
  <r>
    <x v="1"/>
    <x v="1"/>
    <x v="364"/>
    <x v="0"/>
    <x v="33"/>
    <x v="19"/>
    <x v="2"/>
    <x v="23"/>
    <x v="307"/>
    <x v="2594"/>
    <x v="16"/>
    <x v="16"/>
    <x v="0"/>
  </r>
  <r>
    <x v="1"/>
    <x v="1"/>
    <x v="364"/>
    <x v="0"/>
    <x v="33"/>
    <x v="19"/>
    <x v="1"/>
    <x v="23"/>
    <x v="212"/>
    <x v="1779"/>
    <x v="21"/>
    <x v="21"/>
    <x v="0"/>
  </r>
  <r>
    <x v="1"/>
    <x v="1"/>
    <x v="364"/>
    <x v="0"/>
    <x v="33"/>
    <x v="19"/>
    <x v="5"/>
    <x v="13"/>
    <x v="212"/>
    <x v="1208"/>
    <x v="16"/>
    <x v="16"/>
    <x v="0"/>
  </r>
  <r>
    <x v="1"/>
    <x v="1"/>
    <x v="364"/>
    <x v="0"/>
    <x v="33"/>
    <x v="19"/>
    <x v="4"/>
    <x v="18"/>
    <x v="82"/>
    <x v="530"/>
    <x v="16"/>
    <x v="16"/>
    <x v="0"/>
  </r>
  <r>
    <x v="1"/>
    <x v="1"/>
    <x v="364"/>
    <x v="0"/>
    <x v="33"/>
    <x v="19"/>
    <x v="0"/>
    <x v="33"/>
    <x v="129"/>
    <x v="1441"/>
    <x v="36"/>
    <x v="36"/>
    <x v="0"/>
  </r>
  <r>
    <x v="1"/>
    <x v="1"/>
    <x v="364"/>
    <x v="0"/>
    <x v="33"/>
    <x v="19"/>
    <x v="3"/>
    <x v="23"/>
    <x v="212"/>
    <x v="1779"/>
    <x v="26"/>
    <x v="26"/>
    <x v="0"/>
  </r>
  <r>
    <x v="1"/>
    <x v="1"/>
    <x v="395"/>
    <x v="0"/>
    <x v="33"/>
    <x v="19"/>
    <x v="2"/>
    <x v="23"/>
    <x v="311"/>
    <x v="2686"/>
    <x v="16"/>
    <x v="16"/>
    <x v="0"/>
  </r>
  <r>
    <x v="1"/>
    <x v="1"/>
    <x v="395"/>
    <x v="0"/>
    <x v="33"/>
    <x v="19"/>
    <x v="1"/>
    <x v="23"/>
    <x v="129"/>
    <x v="1086"/>
    <x v="21"/>
    <x v="21"/>
    <x v="0"/>
  </r>
  <r>
    <x v="1"/>
    <x v="1"/>
    <x v="395"/>
    <x v="0"/>
    <x v="33"/>
    <x v="19"/>
    <x v="5"/>
    <x v="13"/>
    <x v="174"/>
    <x v="956"/>
    <x v="16"/>
    <x v="16"/>
    <x v="0"/>
  </r>
  <r>
    <x v="1"/>
    <x v="1"/>
    <x v="395"/>
    <x v="0"/>
    <x v="14"/>
    <x v="17"/>
    <x v="4"/>
    <x v="18"/>
    <x v="62"/>
    <x v="352"/>
    <x v="16"/>
    <x v="16"/>
    <x v="0"/>
  </r>
  <r>
    <x v="1"/>
    <x v="1"/>
    <x v="395"/>
    <x v="0"/>
    <x v="14"/>
    <x v="17"/>
    <x v="0"/>
    <x v="33"/>
    <x v="129"/>
    <x v="1441"/>
    <x v="36"/>
    <x v="36"/>
    <x v="0"/>
  </r>
  <r>
    <x v="1"/>
    <x v="1"/>
    <x v="395"/>
    <x v="0"/>
    <x v="14"/>
    <x v="17"/>
    <x v="3"/>
    <x v="8"/>
    <x v="212"/>
    <x v="891"/>
    <x v="26"/>
    <x v="26"/>
    <x v="0"/>
  </r>
  <r>
    <x v="1"/>
    <x v="1"/>
    <x v="422"/>
    <x v="0"/>
    <x v="14"/>
    <x v="17"/>
    <x v="2"/>
    <x v="13"/>
    <x v="308"/>
    <x v="2116"/>
    <x v="16"/>
    <x v="16"/>
    <x v="0"/>
  </r>
  <r>
    <x v="1"/>
    <x v="1"/>
    <x v="422"/>
    <x v="0"/>
    <x v="14"/>
    <x v="17"/>
    <x v="1"/>
    <x v="13"/>
    <x v="152"/>
    <x v="821"/>
    <x v="21"/>
    <x v="21"/>
    <x v="0"/>
  </r>
  <r>
    <x v="1"/>
    <x v="1"/>
    <x v="422"/>
    <x v="0"/>
    <x v="14"/>
    <x v="17"/>
    <x v="5"/>
    <x v="3"/>
    <x v="194"/>
    <x v="461"/>
    <x v="16"/>
    <x v="16"/>
    <x v="0"/>
  </r>
  <r>
    <x v="1"/>
    <x v="1"/>
    <x v="422"/>
    <x v="0"/>
    <x v="14"/>
    <x v="17"/>
    <x v="4"/>
    <x v="8"/>
    <x v="82"/>
    <x v="250"/>
    <x v="16"/>
    <x v="16"/>
    <x v="0"/>
  </r>
  <r>
    <x v="1"/>
    <x v="1"/>
    <x v="422"/>
    <x v="0"/>
    <x v="14"/>
    <x v="17"/>
    <x v="0"/>
    <x v="23"/>
    <x v="129"/>
    <x v="1086"/>
    <x v="36"/>
    <x v="36"/>
    <x v="0"/>
  </r>
  <r>
    <x v="1"/>
    <x v="1"/>
    <x v="422"/>
    <x v="0"/>
    <x v="14"/>
    <x v="17"/>
    <x v="3"/>
    <x v="13"/>
    <x v="212"/>
    <x v="1208"/>
    <x v="26"/>
    <x v="26"/>
    <x v="0"/>
  </r>
  <r>
    <x v="1"/>
    <x v="1"/>
    <x v="454"/>
    <x v="0"/>
    <x v="14"/>
    <x v="17"/>
    <x v="2"/>
    <x v="13"/>
    <x v="309"/>
    <x v="2137"/>
    <x v="16"/>
    <x v="16"/>
    <x v="0"/>
  </r>
  <r>
    <x v="1"/>
    <x v="1"/>
    <x v="454"/>
    <x v="0"/>
    <x v="14"/>
    <x v="17"/>
    <x v="1"/>
    <x v="13"/>
    <x v="152"/>
    <x v="821"/>
    <x v="21"/>
    <x v="21"/>
    <x v="0"/>
  </r>
  <r>
    <x v="1"/>
    <x v="1"/>
    <x v="454"/>
    <x v="0"/>
    <x v="14"/>
    <x v="17"/>
    <x v="5"/>
    <x v="3"/>
    <x v="152"/>
    <x v="318"/>
    <x v="16"/>
    <x v="16"/>
    <x v="0"/>
  </r>
  <r>
    <x v="1"/>
    <x v="1"/>
    <x v="454"/>
    <x v="0"/>
    <x v="14"/>
    <x v="17"/>
    <x v="4"/>
    <x v="8"/>
    <x v="82"/>
    <x v="250"/>
    <x v="16"/>
    <x v="16"/>
    <x v="0"/>
  </r>
  <r>
    <x v="1"/>
    <x v="1"/>
    <x v="454"/>
    <x v="0"/>
    <x v="14"/>
    <x v="17"/>
    <x v="0"/>
    <x v="53"/>
    <x v="105"/>
    <x v="1779"/>
    <x v="36"/>
    <x v="36"/>
    <x v="0"/>
  </r>
  <r>
    <x v="1"/>
    <x v="1"/>
    <x v="454"/>
    <x v="0"/>
    <x v="14"/>
    <x v="17"/>
    <x v="3"/>
    <x v="43"/>
    <x v="212"/>
    <x v="2513"/>
    <x v="26"/>
    <x v="26"/>
    <x v="0"/>
  </r>
  <r>
    <x v="1"/>
    <x v="1"/>
    <x v="485"/>
    <x v="0"/>
    <x v="14"/>
    <x v="17"/>
    <x v="2"/>
    <x v="53"/>
    <x v="312"/>
    <x v="2920"/>
    <x v="16"/>
    <x v="16"/>
    <x v="0"/>
  </r>
  <r>
    <x v="1"/>
    <x v="1"/>
    <x v="485"/>
    <x v="0"/>
    <x v="14"/>
    <x v="17"/>
    <x v="1"/>
    <x v="33"/>
    <x v="194"/>
    <x v="2064"/>
    <x v="21"/>
    <x v="21"/>
    <x v="0"/>
  </r>
  <r>
    <x v="1"/>
    <x v="1"/>
    <x v="485"/>
    <x v="0"/>
    <x v="14"/>
    <x v="17"/>
    <x v="5"/>
    <x v="28"/>
    <x v="174"/>
    <x v="1674"/>
    <x v="16"/>
    <x v="16"/>
    <x v="0"/>
  </r>
  <r>
    <x v="1"/>
    <x v="1"/>
    <x v="485"/>
    <x v="0"/>
    <x v="14"/>
    <x v="17"/>
    <x v="4"/>
    <x v="28"/>
    <x v="105"/>
    <x v="1051"/>
    <x v="16"/>
    <x v="16"/>
    <x v="0"/>
  </r>
  <r>
    <x v="1"/>
    <x v="1"/>
    <x v="485"/>
    <x v="0"/>
    <x v="14"/>
    <x v="17"/>
    <x v="0"/>
    <x v="38"/>
    <x v="129"/>
    <x v="1617"/>
    <x v="36"/>
    <x v="36"/>
    <x v="0"/>
  </r>
  <r>
    <x v="1"/>
    <x v="1"/>
    <x v="485"/>
    <x v="0"/>
    <x v="14"/>
    <x v="17"/>
    <x v="3"/>
    <x v="43"/>
    <x v="231"/>
    <x v="2615"/>
    <x v="26"/>
    <x v="26"/>
    <x v="0"/>
  </r>
  <r>
    <x v="1"/>
    <x v="1"/>
    <x v="515"/>
    <x v="0"/>
    <x v="14"/>
    <x v="17"/>
    <x v="2"/>
    <x v="28"/>
    <x v="313"/>
    <x v="2811"/>
    <x v="16"/>
    <x v="16"/>
    <x v="0"/>
  </r>
  <r>
    <x v="1"/>
    <x v="1"/>
    <x v="515"/>
    <x v="0"/>
    <x v="14"/>
    <x v="17"/>
    <x v="1"/>
    <x v="23"/>
    <x v="231"/>
    <x v="1929"/>
    <x v="21"/>
    <x v="21"/>
    <x v="0"/>
  </r>
  <r>
    <x v="1"/>
    <x v="1"/>
    <x v="515"/>
    <x v="0"/>
    <x v="14"/>
    <x v="17"/>
    <x v="5"/>
    <x v="18"/>
    <x v="174"/>
    <x v="1208"/>
    <x v="16"/>
    <x v="16"/>
    <x v="0"/>
  </r>
  <r>
    <x v="1"/>
    <x v="1"/>
    <x v="515"/>
    <x v="0"/>
    <x v="14"/>
    <x v="17"/>
    <x v="4"/>
    <x v="18"/>
    <x v="152"/>
    <x v="1051"/>
    <x v="16"/>
    <x v="16"/>
    <x v="0"/>
  </r>
  <r>
    <x v="1"/>
    <x v="1"/>
    <x v="515"/>
    <x v="0"/>
    <x v="14"/>
    <x v="17"/>
    <x v="0"/>
    <x v="28"/>
    <x v="152"/>
    <x v="1471"/>
    <x v="36"/>
    <x v="36"/>
    <x v="0"/>
  </r>
  <r>
    <x v="1"/>
    <x v="1"/>
    <x v="515"/>
    <x v="0"/>
    <x v="14"/>
    <x v="17"/>
    <x v="3"/>
    <x v="48"/>
    <x v="273"/>
    <x v="2800"/>
    <x v="26"/>
    <x v="26"/>
    <x v="0"/>
  </r>
  <r>
    <x v="1"/>
    <x v="1"/>
    <x v="544"/>
    <x v="0"/>
    <x v="14"/>
    <x v="17"/>
    <x v="2"/>
    <x v="43"/>
    <x v="315"/>
    <x v="2899"/>
    <x v="16"/>
    <x v="16"/>
    <x v="0"/>
  </r>
  <r>
    <x v="1"/>
    <x v="1"/>
    <x v="544"/>
    <x v="0"/>
    <x v="14"/>
    <x v="17"/>
    <x v="1"/>
    <x v="38"/>
    <x v="254"/>
    <x v="2594"/>
    <x v="21"/>
    <x v="21"/>
    <x v="0"/>
  </r>
  <r>
    <x v="1"/>
    <x v="1"/>
    <x v="544"/>
    <x v="0"/>
    <x v="14"/>
    <x v="17"/>
    <x v="5"/>
    <x v="33"/>
    <x v="194"/>
    <x v="2064"/>
    <x v="16"/>
    <x v="16"/>
    <x v="0"/>
  </r>
  <r>
    <x v="1"/>
    <x v="1"/>
    <x v="544"/>
    <x v="0"/>
    <x v="14"/>
    <x v="17"/>
    <x v="4"/>
    <x v="33"/>
    <x v="152"/>
    <x v="1674"/>
    <x v="16"/>
    <x v="16"/>
    <x v="0"/>
  </r>
  <r>
    <x v="1"/>
    <x v="1"/>
    <x v="544"/>
    <x v="0"/>
    <x v="14"/>
    <x v="17"/>
    <x v="0"/>
    <x v="43"/>
    <x v="174"/>
    <x v="2206"/>
    <x v="36"/>
    <x v="36"/>
    <x v="0"/>
  </r>
  <r>
    <x v="1"/>
    <x v="1"/>
    <x v="544"/>
    <x v="0"/>
    <x v="14"/>
    <x v="17"/>
    <x v="3"/>
    <x v="48"/>
    <x v="294"/>
    <x v="2850"/>
    <x v="26"/>
    <x v="26"/>
    <x v="0"/>
  </r>
  <r>
    <x v="1"/>
    <x v="1"/>
    <x v="576"/>
    <x v="0"/>
    <x v="14"/>
    <x v="17"/>
    <x v="2"/>
    <x v="43"/>
    <x v="313"/>
    <x v="2892"/>
    <x v="16"/>
    <x v="16"/>
    <x v="0"/>
  </r>
  <r>
    <x v="1"/>
    <x v="1"/>
    <x v="576"/>
    <x v="0"/>
    <x v="14"/>
    <x v="17"/>
    <x v="1"/>
    <x v="38"/>
    <x v="254"/>
    <x v="2594"/>
    <x v="21"/>
    <x v="21"/>
    <x v="0"/>
  </r>
  <r>
    <x v="1"/>
    <x v="1"/>
    <x v="576"/>
    <x v="0"/>
    <x v="14"/>
    <x v="17"/>
    <x v="5"/>
    <x v="33"/>
    <x v="194"/>
    <x v="2064"/>
    <x v="16"/>
    <x v="16"/>
    <x v="0"/>
  </r>
  <r>
    <x v="1"/>
    <x v="1"/>
    <x v="576"/>
    <x v="0"/>
    <x v="14"/>
    <x v="17"/>
    <x v="4"/>
    <x v="33"/>
    <x v="174"/>
    <x v="1883"/>
    <x v="16"/>
    <x v="16"/>
    <x v="0"/>
  </r>
  <r>
    <x v="1"/>
    <x v="1"/>
    <x v="576"/>
    <x v="0"/>
    <x v="14"/>
    <x v="17"/>
    <x v="0"/>
    <x v="43"/>
    <x v="152"/>
    <x v="2022"/>
    <x v="36"/>
    <x v="36"/>
    <x v="0"/>
  </r>
  <r>
    <x v="1"/>
    <x v="1"/>
    <x v="576"/>
    <x v="0"/>
    <x v="14"/>
    <x v="17"/>
    <x v="3"/>
    <x v="48"/>
    <x v="285"/>
    <x v="2829"/>
    <x v="26"/>
    <x v="26"/>
    <x v="0"/>
  </r>
  <r>
    <x v="1"/>
    <x v="1"/>
    <x v="608"/>
    <x v="0"/>
    <x v="14"/>
    <x v="17"/>
    <x v="2"/>
    <x v="28"/>
    <x v="309"/>
    <x v="2763"/>
    <x v="16"/>
    <x v="16"/>
    <x v="0"/>
  </r>
  <r>
    <x v="1"/>
    <x v="1"/>
    <x v="608"/>
    <x v="0"/>
    <x v="14"/>
    <x v="17"/>
    <x v="1"/>
    <x v="23"/>
    <x v="231"/>
    <x v="1929"/>
    <x v="21"/>
    <x v="21"/>
    <x v="0"/>
  </r>
  <r>
    <x v="1"/>
    <x v="1"/>
    <x v="608"/>
    <x v="0"/>
    <x v="14"/>
    <x v="17"/>
    <x v="5"/>
    <x v="18"/>
    <x v="152"/>
    <x v="1051"/>
    <x v="16"/>
    <x v="16"/>
    <x v="0"/>
  </r>
  <r>
    <x v="1"/>
    <x v="1"/>
    <x v="608"/>
    <x v="0"/>
    <x v="14"/>
    <x v="17"/>
    <x v="4"/>
    <x v="18"/>
    <x v="129"/>
    <x v="891"/>
    <x v="16"/>
    <x v="16"/>
    <x v="0"/>
  </r>
  <r>
    <x v="1"/>
    <x v="1"/>
    <x v="608"/>
    <x v="0"/>
    <x v="14"/>
    <x v="17"/>
    <x v="0"/>
    <x v="28"/>
    <x v="129"/>
    <x v="1267"/>
    <x v="36"/>
    <x v="36"/>
    <x v="0"/>
  </r>
  <r>
    <x v="1"/>
    <x v="1"/>
    <x v="608"/>
    <x v="0"/>
    <x v="14"/>
    <x v="17"/>
    <x v="3"/>
    <x v="33"/>
    <x v="194"/>
    <x v="2064"/>
    <x v="26"/>
    <x v="26"/>
    <x v="0"/>
  </r>
  <r>
    <x v="1"/>
    <x v="1"/>
    <x v="637"/>
    <x v="0"/>
    <x v="14"/>
    <x v="17"/>
    <x v="2"/>
    <x v="38"/>
    <x v="300"/>
    <x v="2805"/>
    <x v="16"/>
    <x v="16"/>
    <x v="0"/>
  </r>
  <r>
    <x v="1"/>
    <x v="1"/>
    <x v="637"/>
    <x v="0"/>
    <x v="14"/>
    <x v="17"/>
    <x v="1"/>
    <x v="28"/>
    <x v="212"/>
    <x v="2022"/>
    <x v="21"/>
    <x v="21"/>
    <x v="0"/>
  </r>
  <r>
    <x v="1"/>
    <x v="1"/>
    <x v="637"/>
    <x v="0"/>
    <x v="14"/>
    <x v="17"/>
    <x v="5"/>
    <x v="28"/>
    <x v="129"/>
    <x v="1267"/>
    <x v="16"/>
    <x v="16"/>
    <x v="0"/>
  </r>
  <r>
    <x v="1"/>
    <x v="1"/>
    <x v="637"/>
    <x v="0"/>
    <x v="14"/>
    <x v="17"/>
    <x v="4"/>
    <x v="28"/>
    <x v="105"/>
    <x v="1051"/>
    <x v="16"/>
    <x v="16"/>
    <x v="0"/>
  </r>
  <r>
    <x v="1"/>
    <x v="1"/>
    <x v="637"/>
    <x v="0"/>
    <x v="14"/>
    <x v="17"/>
    <x v="0"/>
    <x v="38"/>
    <x v="105"/>
    <x v="1355"/>
    <x v="36"/>
    <x v="36"/>
    <x v="0"/>
  </r>
  <r>
    <x v="5"/>
    <x v="1"/>
    <x v="637"/>
    <x v="0"/>
    <x v="14"/>
    <x v="17"/>
    <x v="3"/>
    <x v="43"/>
    <x v="212"/>
    <x v="2513"/>
    <x v="26"/>
    <x v="26"/>
    <x v="0"/>
  </r>
  <r>
    <x v="5"/>
    <x v="1"/>
    <x v="668"/>
    <x v="0"/>
    <x v="14"/>
    <x v="17"/>
    <x v="2"/>
    <x v="38"/>
    <x v="300"/>
    <x v="2805"/>
    <x v="16"/>
    <x v="16"/>
    <x v="0"/>
  </r>
  <r>
    <x v="5"/>
    <x v="1"/>
    <x v="668"/>
    <x v="0"/>
    <x v="14"/>
    <x v="17"/>
    <x v="1"/>
    <x v="28"/>
    <x v="231"/>
    <x v="2158"/>
    <x v="21"/>
    <x v="21"/>
    <x v="0"/>
  </r>
  <r>
    <x v="5"/>
    <x v="1"/>
    <x v="668"/>
    <x v="0"/>
    <x v="14"/>
    <x v="17"/>
    <x v="5"/>
    <x v="28"/>
    <x v="190"/>
    <x v="1820"/>
    <x v="16"/>
    <x v="16"/>
    <x v="0"/>
  </r>
  <r>
    <x v="5"/>
    <x v="1"/>
    <x v="668"/>
    <x v="0"/>
    <x v="14"/>
    <x v="17"/>
    <x v="4"/>
    <x v="28"/>
    <x v="174"/>
    <x v="1674"/>
    <x v="16"/>
    <x v="16"/>
    <x v="0"/>
  </r>
  <r>
    <x v="5"/>
    <x v="1"/>
    <x v="668"/>
    <x v="0"/>
    <x v="14"/>
    <x v="17"/>
    <x v="0"/>
    <x v="53"/>
    <x v="152"/>
    <x v="2282"/>
    <x v="36"/>
    <x v="36"/>
    <x v="0"/>
  </r>
  <r>
    <x v="5"/>
    <x v="1"/>
    <x v="668"/>
    <x v="0"/>
    <x v="14"/>
    <x v="17"/>
    <x v="3"/>
    <x v="58"/>
    <x v="231"/>
    <x v="2800"/>
    <x v="26"/>
    <x v="26"/>
    <x v="0"/>
  </r>
  <r>
    <x v="5"/>
    <x v="1"/>
    <x v="697"/>
    <x v="0"/>
    <x v="14"/>
    <x v="17"/>
    <x v="2"/>
    <x v="53"/>
    <x v="313"/>
    <x v="2924"/>
    <x v="16"/>
    <x v="16"/>
    <x v="0"/>
  </r>
  <r>
    <x v="5"/>
    <x v="1"/>
    <x v="697"/>
    <x v="0"/>
    <x v="14"/>
    <x v="17"/>
    <x v="1"/>
    <x v="43"/>
    <x v="273"/>
    <x v="2745"/>
    <x v="21"/>
    <x v="21"/>
    <x v="0"/>
  </r>
  <r>
    <x v="5"/>
    <x v="1"/>
    <x v="697"/>
    <x v="0"/>
    <x v="14"/>
    <x v="17"/>
    <x v="5"/>
    <x v="43"/>
    <x v="231"/>
    <x v="2615"/>
    <x v="16"/>
    <x v="16"/>
    <x v="0"/>
  </r>
  <r>
    <x v="5"/>
    <x v="1"/>
    <x v="697"/>
    <x v="0"/>
    <x v="14"/>
    <x v="17"/>
    <x v="4"/>
    <x v="43"/>
    <x v="194"/>
    <x v="2383"/>
    <x v="16"/>
    <x v="16"/>
    <x v="0"/>
  </r>
  <r>
    <x v="5"/>
    <x v="1"/>
    <x v="697"/>
    <x v="0"/>
    <x v="14"/>
    <x v="17"/>
    <x v="0"/>
    <x v="53"/>
    <x v="194"/>
    <x v="2594"/>
    <x v="36"/>
    <x v="36"/>
    <x v="0"/>
  </r>
  <r>
    <x v="5"/>
    <x v="1"/>
    <x v="697"/>
    <x v="0"/>
    <x v="14"/>
    <x v="17"/>
    <x v="3"/>
    <x v="58"/>
    <x v="273"/>
    <x v="2853"/>
    <x v="26"/>
    <x v="26"/>
    <x v="0"/>
  </r>
  <r>
    <x v="5"/>
    <x v="1"/>
    <x v="361"/>
    <x v="0"/>
    <x v="14"/>
    <x v="17"/>
    <x v="2"/>
    <x v="23"/>
    <x v="307"/>
    <x v="2594"/>
    <x v="16"/>
    <x v="16"/>
    <x v="0"/>
  </r>
  <r>
    <x v="5"/>
    <x v="1"/>
    <x v="361"/>
    <x v="0"/>
    <x v="14"/>
    <x v="17"/>
    <x v="1"/>
    <x v="23"/>
    <x v="212"/>
    <x v="1779"/>
    <x v="21"/>
    <x v="21"/>
    <x v="0"/>
  </r>
  <r>
    <x v="5"/>
    <x v="1"/>
    <x v="361"/>
    <x v="0"/>
    <x v="14"/>
    <x v="17"/>
    <x v="5"/>
    <x v="13"/>
    <x v="212"/>
    <x v="1208"/>
    <x v="16"/>
    <x v="16"/>
    <x v="0"/>
  </r>
  <r>
    <x v="5"/>
    <x v="1"/>
    <x v="361"/>
    <x v="0"/>
    <x v="14"/>
    <x v="17"/>
    <x v="4"/>
    <x v="18"/>
    <x v="82"/>
    <x v="530"/>
    <x v="16"/>
    <x v="16"/>
    <x v="0"/>
  </r>
  <r>
    <x v="5"/>
    <x v="1"/>
    <x v="361"/>
    <x v="0"/>
    <x v="14"/>
    <x v="17"/>
    <x v="0"/>
    <x v="33"/>
    <x v="129"/>
    <x v="1441"/>
    <x v="36"/>
    <x v="36"/>
    <x v="0"/>
  </r>
  <r>
    <x v="5"/>
    <x v="1"/>
    <x v="361"/>
    <x v="0"/>
    <x v="14"/>
    <x v="17"/>
    <x v="3"/>
    <x v="23"/>
    <x v="212"/>
    <x v="1779"/>
    <x v="26"/>
    <x v="26"/>
    <x v="0"/>
  </r>
  <r>
    <x v="5"/>
    <x v="1"/>
    <x v="392"/>
    <x v="0"/>
    <x v="14"/>
    <x v="17"/>
    <x v="2"/>
    <x v="23"/>
    <x v="311"/>
    <x v="2686"/>
    <x v="16"/>
    <x v="16"/>
    <x v="0"/>
  </r>
  <r>
    <x v="5"/>
    <x v="1"/>
    <x v="392"/>
    <x v="0"/>
    <x v="14"/>
    <x v="17"/>
    <x v="1"/>
    <x v="23"/>
    <x v="129"/>
    <x v="1086"/>
    <x v="21"/>
    <x v="21"/>
    <x v="0"/>
  </r>
  <r>
    <x v="5"/>
    <x v="1"/>
    <x v="392"/>
    <x v="0"/>
    <x v="14"/>
    <x v="17"/>
    <x v="5"/>
    <x v="13"/>
    <x v="174"/>
    <x v="956"/>
    <x v="16"/>
    <x v="16"/>
    <x v="0"/>
  </r>
  <r>
    <x v="5"/>
    <x v="1"/>
    <x v="392"/>
    <x v="0"/>
    <x v="48"/>
    <x v="32"/>
    <x v="4"/>
    <x v="18"/>
    <x v="62"/>
    <x v="352"/>
    <x v="16"/>
    <x v="16"/>
    <x v="0"/>
  </r>
  <r>
    <x v="5"/>
    <x v="1"/>
    <x v="392"/>
    <x v="0"/>
    <x v="48"/>
    <x v="32"/>
    <x v="0"/>
    <x v="33"/>
    <x v="129"/>
    <x v="1441"/>
    <x v="36"/>
    <x v="36"/>
    <x v="0"/>
  </r>
  <r>
    <x v="5"/>
    <x v="1"/>
    <x v="392"/>
    <x v="0"/>
    <x v="48"/>
    <x v="32"/>
    <x v="3"/>
    <x v="8"/>
    <x v="212"/>
    <x v="891"/>
    <x v="26"/>
    <x v="26"/>
    <x v="0"/>
  </r>
  <r>
    <x v="5"/>
    <x v="1"/>
    <x v="419"/>
    <x v="0"/>
    <x v="48"/>
    <x v="32"/>
    <x v="2"/>
    <x v="13"/>
    <x v="308"/>
    <x v="2116"/>
    <x v="16"/>
    <x v="16"/>
    <x v="0"/>
  </r>
  <r>
    <x v="5"/>
    <x v="1"/>
    <x v="419"/>
    <x v="0"/>
    <x v="48"/>
    <x v="32"/>
    <x v="1"/>
    <x v="13"/>
    <x v="152"/>
    <x v="821"/>
    <x v="21"/>
    <x v="21"/>
    <x v="0"/>
  </r>
  <r>
    <x v="5"/>
    <x v="1"/>
    <x v="419"/>
    <x v="0"/>
    <x v="48"/>
    <x v="32"/>
    <x v="5"/>
    <x v="3"/>
    <x v="194"/>
    <x v="461"/>
    <x v="16"/>
    <x v="16"/>
    <x v="0"/>
  </r>
  <r>
    <x v="5"/>
    <x v="1"/>
    <x v="419"/>
    <x v="0"/>
    <x v="48"/>
    <x v="32"/>
    <x v="4"/>
    <x v="8"/>
    <x v="62"/>
    <x v="146"/>
    <x v="16"/>
    <x v="16"/>
    <x v="0"/>
  </r>
  <r>
    <x v="5"/>
    <x v="1"/>
    <x v="419"/>
    <x v="0"/>
    <x v="48"/>
    <x v="32"/>
    <x v="0"/>
    <x v="23"/>
    <x v="105"/>
    <x v="891"/>
    <x v="36"/>
    <x v="36"/>
    <x v="0"/>
  </r>
  <r>
    <x v="5"/>
    <x v="1"/>
    <x v="419"/>
    <x v="0"/>
    <x v="48"/>
    <x v="32"/>
    <x v="3"/>
    <x v="13"/>
    <x v="194"/>
    <x v="1086"/>
    <x v="26"/>
    <x v="26"/>
    <x v="0"/>
  </r>
  <r>
    <x v="5"/>
    <x v="1"/>
    <x v="451"/>
    <x v="0"/>
    <x v="48"/>
    <x v="32"/>
    <x v="2"/>
    <x v="13"/>
    <x v="307"/>
    <x v="2064"/>
    <x v="16"/>
    <x v="16"/>
    <x v="0"/>
  </r>
  <r>
    <x v="5"/>
    <x v="1"/>
    <x v="451"/>
    <x v="0"/>
    <x v="48"/>
    <x v="32"/>
    <x v="1"/>
    <x v="13"/>
    <x v="129"/>
    <x v="672"/>
    <x v="21"/>
    <x v="21"/>
    <x v="0"/>
  </r>
  <r>
    <x v="5"/>
    <x v="1"/>
    <x v="451"/>
    <x v="0"/>
    <x v="48"/>
    <x v="32"/>
    <x v="5"/>
    <x v="3"/>
    <x v="129"/>
    <x v="250"/>
    <x v="16"/>
    <x v="16"/>
    <x v="0"/>
  </r>
  <r>
    <x v="5"/>
    <x v="1"/>
    <x v="451"/>
    <x v="0"/>
    <x v="48"/>
    <x v="32"/>
    <x v="4"/>
    <x v="8"/>
    <x v="62"/>
    <x v="146"/>
    <x v="16"/>
    <x v="16"/>
    <x v="0"/>
  </r>
  <r>
    <x v="5"/>
    <x v="1"/>
    <x v="451"/>
    <x v="0"/>
    <x v="48"/>
    <x v="32"/>
    <x v="0"/>
    <x v="53"/>
    <x v="82"/>
    <x v="1441"/>
    <x v="36"/>
    <x v="36"/>
    <x v="0"/>
  </r>
  <r>
    <x v="5"/>
    <x v="1"/>
    <x v="451"/>
    <x v="0"/>
    <x v="48"/>
    <x v="32"/>
    <x v="3"/>
    <x v="43"/>
    <x v="194"/>
    <x v="2383"/>
    <x v="26"/>
    <x v="26"/>
    <x v="0"/>
  </r>
  <r>
    <x v="5"/>
    <x v="1"/>
    <x v="482"/>
    <x v="0"/>
    <x v="48"/>
    <x v="32"/>
    <x v="2"/>
    <x v="53"/>
    <x v="310"/>
    <x v="2911"/>
    <x v="16"/>
    <x v="16"/>
    <x v="0"/>
  </r>
  <r>
    <x v="5"/>
    <x v="1"/>
    <x v="482"/>
    <x v="0"/>
    <x v="48"/>
    <x v="32"/>
    <x v="1"/>
    <x v="33"/>
    <x v="174"/>
    <x v="1883"/>
    <x v="21"/>
    <x v="21"/>
    <x v="0"/>
  </r>
  <r>
    <x v="5"/>
    <x v="1"/>
    <x v="482"/>
    <x v="0"/>
    <x v="48"/>
    <x v="32"/>
    <x v="5"/>
    <x v="28"/>
    <x v="152"/>
    <x v="1471"/>
    <x v="16"/>
    <x v="16"/>
    <x v="0"/>
  </r>
  <r>
    <x v="5"/>
    <x v="1"/>
    <x v="482"/>
    <x v="0"/>
    <x v="48"/>
    <x v="32"/>
    <x v="4"/>
    <x v="28"/>
    <x v="129"/>
    <x v="1267"/>
    <x v="16"/>
    <x v="16"/>
    <x v="0"/>
  </r>
  <r>
    <x v="5"/>
    <x v="1"/>
    <x v="482"/>
    <x v="0"/>
    <x v="48"/>
    <x v="32"/>
    <x v="0"/>
    <x v="38"/>
    <x v="152"/>
    <x v="1857"/>
    <x v="36"/>
    <x v="36"/>
    <x v="0"/>
  </r>
  <r>
    <x v="5"/>
    <x v="1"/>
    <x v="482"/>
    <x v="0"/>
    <x v="48"/>
    <x v="32"/>
    <x v="3"/>
    <x v="43"/>
    <x v="254"/>
    <x v="2686"/>
    <x v="26"/>
    <x v="26"/>
    <x v="0"/>
  </r>
  <r>
    <x v="5"/>
    <x v="1"/>
    <x v="512"/>
    <x v="0"/>
    <x v="48"/>
    <x v="32"/>
    <x v="2"/>
    <x v="28"/>
    <x v="315"/>
    <x v="2829"/>
    <x v="16"/>
    <x v="16"/>
    <x v="0"/>
  </r>
  <r>
    <x v="5"/>
    <x v="1"/>
    <x v="512"/>
    <x v="0"/>
    <x v="48"/>
    <x v="32"/>
    <x v="1"/>
    <x v="23"/>
    <x v="254"/>
    <x v="2064"/>
    <x v="21"/>
    <x v="21"/>
    <x v="0"/>
  </r>
  <r>
    <x v="5"/>
    <x v="1"/>
    <x v="512"/>
    <x v="0"/>
    <x v="48"/>
    <x v="32"/>
    <x v="5"/>
    <x v="18"/>
    <x v="174"/>
    <x v="1208"/>
    <x v="16"/>
    <x v="16"/>
    <x v="0"/>
  </r>
  <r>
    <x v="5"/>
    <x v="1"/>
    <x v="512"/>
    <x v="0"/>
    <x v="48"/>
    <x v="32"/>
    <x v="4"/>
    <x v="18"/>
    <x v="152"/>
    <x v="1051"/>
    <x v="16"/>
    <x v="16"/>
    <x v="0"/>
  </r>
  <r>
    <x v="5"/>
    <x v="1"/>
    <x v="512"/>
    <x v="0"/>
    <x v="48"/>
    <x v="32"/>
    <x v="0"/>
    <x v="28"/>
    <x v="152"/>
    <x v="1471"/>
    <x v="36"/>
    <x v="36"/>
    <x v="0"/>
  </r>
  <r>
    <x v="5"/>
    <x v="1"/>
    <x v="512"/>
    <x v="0"/>
    <x v="48"/>
    <x v="32"/>
    <x v="3"/>
    <x v="48"/>
    <x v="273"/>
    <x v="2800"/>
    <x v="26"/>
    <x v="26"/>
    <x v="0"/>
  </r>
  <r>
    <x v="5"/>
    <x v="1"/>
    <x v="541"/>
    <x v="0"/>
    <x v="48"/>
    <x v="32"/>
    <x v="2"/>
    <x v="43"/>
    <x v="315"/>
    <x v="2899"/>
    <x v="16"/>
    <x v="16"/>
    <x v="0"/>
  </r>
  <r>
    <x v="5"/>
    <x v="1"/>
    <x v="541"/>
    <x v="0"/>
    <x v="48"/>
    <x v="32"/>
    <x v="1"/>
    <x v="38"/>
    <x v="254"/>
    <x v="2594"/>
    <x v="21"/>
    <x v="21"/>
    <x v="0"/>
  </r>
  <r>
    <x v="5"/>
    <x v="1"/>
    <x v="541"/>
    <x v="0"/>
    <x v="48"/>
    <x v="32"/>
    <x v="5"/>
    <x v="33"/>
    <x v="194"/>
    <x v="2064"/>
    <x v="16"/>
    <x v="16"/>
    <x v="0"/>
  </r>
  <r>
    <x v="5"/>
    <x v="1"/>
    <x v="541"/>
    <x v="0"/>
    <x v="48"/>
    <x v="32"/>
    <x v="4"/>
    <x v="33"/>
    <x v="152"/>
    <x v="1674"/>
    <x v="16"/>
    <x v="16"/>
    <x v="0"/>
  </r>
  <r>
    <x v="5"/>
    <x v="1"/>
    <x v="541"/>
    <x v="0"/>
    <x v="48"/>
    <x v="32"/>
    <x v="0"/>
    <x v="43"/>
    <x v="174"/>
    <x v="2206"/>
    <x v="36"/>
    <x v="36"/>
    <x v="0"/>
  </r>
  <r>
    <x v="5"/>
    <x v="1"/>
    <x v="541"/>
    <x v="0"/>
    <x v="48"/>
    <x v="32"/>
    <x v="3"/>
    <x v="48"/>
    <x v="294"/>
    <x v="2850"/>
    <x v="26"/>
    <x v="26"/>
    <x v="0"/>
  </r>
  <r>
    <x v="5"/>
    <x v="1"/>
    <x v="573"/>
    <x v="0"/>
    <x v="48"/>
    <x v="32"/>
    <x v="2"/>
    <x v="43"/>
    <x v="313"/>
    <x v="2892"/>
    <x v="16"/>
    <x v="16"/>
    <x v="0"/>
  </r>
  <r>
    <x v="5"/>
    <x v="1"/>
    <x v="573"/>
    <x v="0"/>
    <x v="48"/>
    <x v="32"/>
    <x v="1"/>
    <x v="38"/>
    <x v="254"/>
    <x v="2594"/>
    <x v="21"/>
    <x v="21"/>
    <x v="0"/>
  </r>
  <r>
    <x v="5"/>
    <x v="1"/>
    <x v="573"/>
    <x v="0"/>
    <x v="48"/>
    <x v="32"/>
    <x v="5"/>
    <x v="33"/>
    <x v="194"/>
    <x v="2064"/>
    <x v="16"/>
    <x v="16"/>
    <x v="0"/>
  </r>
  <r>
    <x v="5"/>
    <x v="1"/>
    <x v="573"/>
    <x v="0"/>
    <x v="48"/>
    <x v="32"/>
    <x v="4"/>
    <x v="33"/>
    <x v="174"/>
    <x v="1883"/>
    <x v="16"/>
    <x v="16"/>
    <x v="0"/>
  </r>
  <r>
    <x v="5"/>
    <x v="1"/>
    <x v="573"/>
    <x v="0"/>
    <x v="48"/>
    <x v="32"/>
    <x v="0"/>
    <x v="43"/>
    <x v="152"/>
    <x v="2022"/>
    <x v="36"/>
    <x v="36"/>
    <x v="0"/>
  </r>
  <r>
    <x v="5"/>
    <x v="1"/>
    <x v="573"/>
    <x v="0"/>
    <x v="48"/>
    <x v="32"/>
    <x v="3"/>
    <x v="48"/>
    <x v="285"/>
    <x v="2829"/>
    <x v="26"/>
    <x v="26"/>
    <x v="0"/>
  </r>
  <r>
    <x v="5"/>
    <x v="1"/>
    <x v="605"/>
    <x v="0"/>
    <x v="48"/>
    <x v="32"/>
    <x v="2"/>
    <x v="28"/>
    <x v="309"/>
    <x v="2763"/>
    <x v="16"/>
    <x v="16"/>
    <x v="0"/>
  </r>
  <r>
    <x v="5"/>
    <x v="1"/>
    <x v="605"/>
    <x v="0"/>
    <x v="48"/>
    <x v="32"/>
    <x v="1"/>
    <x v="23"/>
    <x v="212"/>
    <x v="1779"/>
    <x v="21"/>
    <x v="21"/>
    <x v="0"/>
  </r>
  <r>
    <x v="5"/>
    <x v="1"/>
    <x v="605"/>
    <x v="0"/>
    <x v="48"/>
    <x v="32"/>
    <x v="5"/>
    <x v="18"/>
    <x v="129"/>
    <x v="891"/>
    <x v="16"/>
    <x v="16"/>
    <x v="0"/>
  </r>
  <r>
    <x v="5"/>
    <x v="1"/>
    <x v="605"/>
    <x v="0"/>
    <x v="48"/>
    <x v="32"/>
    <x v="4"/>
    <x v="18"/>
    <x v="105"/>
    <x v="712"/>
    <x v="16"/>
    <x v="16"/>
    <x v="0"/>
  </r>
  <r>
    <x v="5"/>
    <x v="1"/>
    <x v="605"/>
    <x v="0"/>
    <x v="48"/>
    <x v="32"/>
    <x v="0"/>
    <x v="28"/>
    <x v="105"/>
    <x v="1051"/>
    <x v="36"/>
    <x v="36"/>
    <x v="0"/>
  </r>
  <r>
    <x v="5"/>
    <x v="1"/>
    <x v="605"/>
    <x v="0"/>
    <x v="48"/>
    <x v="32"/>
    <x v="3"/>
    <x v="33"/>
    <x v="174"/>
    <x v="1883"/>
    <x v="26"/>
    <x v="26"/>
    <x v="0"/>
  </r>
  <r>
    <x v="5"/>
    <x v="1"/>
    <x v="634"/>
    <x v="0"/>
    <x v="48"/>
    <x v="32"/>
    <x v="2"/>
    <x v="38"/>
    <x v="294"/>
    <x v="2772"/>
    <x v="16"/>
    <x v="16"/>
    <x v="0"/>
  </r>
  <r>
    <x v="5"/>
    <x v="1"/>
    <x v="634"/>
    <x v="0"/>
    <x v="48"/>
    <x v="32"/>
    <x v="1"/>
    <x v="28"/>
    <x v="194"/>
    <x v="1857"/>
    <x v="21"/>
    <x v="21"/>
    <x v="0"/>
  </r>
  <r>
    <x v="5"/>
    <x v="1"/>
    <x v="634"/>
    <x v="0"/>
    <x v="48"/>
    <x v="32"/>
    <x v="5"/>
    <x v="28"/>
    <x v="105"/>
    <x v="1051"/>
    <x v="16"/>
    <x v="16"/>
    <x v="0"/>
  </r>
  <r>
    <x v="5"/>
    <x v="1"/>
    <x v="634"/>
    <x v="0"/>
    <x v="48"/>
    <x v="32"/>
    <x v="4"/>
    <x v="28"/>
    <x v="105"/>
    <x v="1051"/>
    <x v="16"/>
    <x v="16"/>
    <x v="0"/>
  </r>
  <r>
    <x v="5"/>
    <x v="1"/>
    <x v="634"/>
    <x v="0"/>
    <x v="48"/>
    <x v="32"/>
    <x v="0"/>
    <x v="38"/>
    <x v="105"/>
    <x v="1355"/>
    <x v="36"/>
    <x v="36"/>
    <x v="0"/>
  </r>
  <r>
    <x v="5"/>
    <x v="1"/>
    <x v="634"/>
    <x v="0"/>
    <x v="48"/>
    <x v="32"/>
    <x v="3"/>
    <x v="43"/>
    <x v="212"/>
    <x v="2513"/>
    <x v="26"/>
    <x v="26"/>
    <x v="0"/>
  </r>
  <r>
    <x v="5"/>
    <x v="1"/>
    <x v="665"/>
    <x v="0"/>
    <x v="48"/>
    <x v="32"/>
    <x v="2"/>
    <x v="38"/>
    <x v="300"/>
    <x v="2805"/>
    <x v="16"/>
    <x v="16"/>
    <x v="0"/>
  </r>
  <r>
    <x v="5"/>
    <x v="1"/>
    <x v="665"/>
    <x v="0"/>
    <x v="48"/>
    <x v="32"/>
    <x v="1"/>
    <x v="28"/>
    <x v="254"/>
    <x v="2282"/>
    <x v="21"/>
    <x v="21"/>
    <x v="0"/>
  </r>
  <r>
    <x v="5"/>
    <x v="1"/>
    <x v="665"/>
    <x v="0"/>
    <x v="48"/>
    <x v="32"/>
    <x v="5"/>
    <x v="28"/>
    <x v="208"/>
    <x v="1990"/>
    <x v="16"/>
    <x v="16"/>
    <x v="0"/>
  </r>
  <r>
    <x v="5"/>
    <x v="1"/>
    <x v="665"/>
    <x v="0"/>
    <x v="48"/>
    <x v="32"/>
    <x v="4"/>
    <x v="28"/>
    <x v="194"/>
    <x v="1857"/>
    <x v="16"/>
    <x v="16"/>
    <x v="0"/>
  </r>
  <r>
    <x v="5"/>
    <x v="1"/>
    <x v="665"/>
    <x v="0"/>
    <x v="48"/>
    <x v="32"/>
    <x v="0"/>
    <x v="53"/>
    <x v="174"/>
    <x v="2469"/>
    <x v="36"/>
    <x v="36"/>
    <x v="0"/>
  </r>
  <r>
    <x v="5"/>
    <x v="1"/>
    <x v="665"/>
    <x v="0"/>
    <x v="48"/>
    <x v="32"/>
    <x v="3"/>
    <x v="58"/>
    <x v="254"/>
    <x v="2833"/>
    <x v="26"/>
    <x v="26"/>
    <x v="0"/>
  </r>
  <r>
    <x v="5"/>
    <x v="1"/>
    <x v="694"/>
    <x v="0"/>
    <x v="48"/>
    <x v="32"/>
    <x v="2"/>
    <x v="53"/>
    <x v="315"/>
    <x v="2933"/>
    <x v="16"/>
    <x v="16"/>
    <x v="0"/>
  </r>
  <r>
    <x v="5"/>
    <x v="1"/>
    <x v="694"/>
    <x v="0"/>
    <x v="48"/>
    <x v="32"/>
    <x v="1"/>
    <x v="43"/>
    <x v="285"/>
    <x v="2793"/>
    <x v="21"/>
    <x v="21"/>
    <x v="0"/>
  </r>
  <r>
    <x v="5"/>
    <x v="1"/>
    <x v="694"/>
    <x v="0"/>
    <x v="48"/>
    <x v="32"/>
    <x v="5"/>
    <x v="43"/>
    <x v="254"/>
    <x v="2686"/>
    <x v="16"/>
    <x v="16"/>
    <x v="0"/>
  </r>
  <r>
    <x v="5"/>
    <x v="1"/>
    <x v="694"/>
    <x v="0"/>
    <x v="48"/>
    <x v="32"/>
    <x v="4"/>
    <x v="43"/>
    <x v="212"/>
    <x v="2513"/>
    <x v="16"/>
    <x v="16"/>
    <x v="0"/>
  </r>
  <r>
    <x v="5"/>
    <x v="1"/>
    <x v="694"/>
    <x v="0"/>
    <x v="48"/>
    <x v="32"/>
    <x v="0"/>
    <x v="53"/>
    <x v="212"/>
    <x v="2686"/>
    <x v="36"/>
    <x v="36"/>
    <x v="0"/>
  </r>
  <r>
    <x v="5"/>
    <x v="1"/>
    <x v="694"/>
    <x v="0"/>
    <x v="48"/>
    <x v="32"/>
    <x v="3"/>
    <x v="58"/>
    <x v="285"/>
    <x v="2867"/>
    <x v="26"/>
    <x v="26"/>
    <x v="0"/>
  </r>
  <r>
    <x v="5"/>
    <x v="1"/>
    <x v="368"/>
    <x v="0"/>
    <x v="48"/>
    <x v="32"/>
    <x v="2"/>
    <x v="28"/>
    <x v="311"/>
    <x v="2793"/>
    <x v="26"/>
    <x v="26"/>
    <x v="0"/>
  </r>
  <r>
    <x v="5"/>
    <x v="1"/>
    <x v="368"/>
    <x v="0"/>
    <x v="48"/>
    <x v="32"/>
    <x v="1"/>
    <x v="28"/>
    <x v="254"/>
    <x v="2282"/>
    <x v="26"/>
    <x v="26"/>
    <x v="0"/>
  </r>
  <r>
    <x v="5"/>
    <x v="1"/>
    <x v="368"/>
    <x v="0"/>
    <x v="48"/>
    <x v="32"/>
    <x v="5"/>
    <x v="18"/>
    <x v="254"/>
    <x v="1779"/>
    <x v="21"/>
    <x v="21"/>
    <x v="0"/>
  </r>
  <r>
    <x v="5"/>
    <x v="1"/>
    <x v="368"/>
    <x v="0"/>
    <x v="48"/>
    <x v="32"/>
    <x v="4"/>
    <x v="23"/>
    <x v="129"/>
    <x v="1086"/>
    <x v="21"/>
    <x v="21"/>
    <x v="0"/>
  </r>
  <r>
    <x v="5"/>
    <x v="1"/>
    <x v="368"/>
    <x v="0"/>
    <x v="48"/>
    <x v="32"/>
    <x v="0"/>
    <x v="38"/>
    <x v="174"/>
    <x v="2064"/>
    <x v="16"/>
    <x v="16"/>
    <x v="0"/>
  </r>
  <r>
    <x v="5"/>
    <x v="1"/>
    <x v="368"/>
    <x v="0"/>
    <x v="48"/>
    <x v="32"/>
    <x v="3"/>
    <x v="28"/>
    <x v="254"/>
    <x v="2282"/>
    <x v="26"/>
    <x v="26"/>
    <x v="0"/>
  </r>
  <r>
    <x v="5"/>
    <x v="1"/>
    <x v="399"/>
    <x v="0"/>
    <x v="48"/>
    <x v="32"/>
    <x v="2"/>
    <x v="28"/>
    <x v="315"/>
    <x v="2829"/>
    <x v="26"/>
    <x v="26"/>
    <x v="0"/>
  </r>
  <r>
    <x v="5"/>
    <x v="1"/>
    <x v="399"/>
    <x v="0"/>
    <x v="48"/>
    <x v="32"/>
    <x v="1"/>
    <x v="28"/>
    <x v="174"/>
    <x v="1674"/>
    <x v="26"/>
    <x v="26"/>
    <x v="0"/>
  </r>
  <r>
    <x v="5"/>
    <x v="1"/>
    <x v="399"/>
    <x v="0"/>
    <x v="48"/>
    <x v="32"/>
    <x v="5"/>
    <x v="18"/>
    <x v="212"/>
    <x v="1502"/>
    <x v="21"/>
    <x v="21"/>
    <x v="0"/>
  </r>
  <r>
    <x v="5"/>
    <x v="1"/>
    <x v="399"/>
    <x v="0"/>
    <x v="13"/>
    <x v="23"/>
    <x v="4"/>
    <x v="23"/>
    <x v="105"/>
    <x v="891"/>
    <x v="21"/>
    <x v="21"/>
    <x v="0"/>
  </r>
  <r>
    <x v="5"/>
    <x v="1"/>
    <x v="399"/>
    <x v="0"/>
    <x v="13"/>
    <x v="23"/>
    <x v="0"/>
    <x v="38"/>
    <x v="174"/>
    <x v="2064"/>
    <x v="16"/>
    <x v="16"/>
    <x v="0"/>
  </r>
  <r>
    <x v="5"/>
    <x v="1"/>
    <x v="399"/>
    <x v="0"/>
    <x v="13"/>
    <x v="23"/>
    <x v="3"/>
    <x v="13"/>
    <x v="254"/>
    <x v="1441"/>
    <x v="26"/>
    <x v="26"/>
    <x v="0"/>
  </r>
  <r>
    <x v="5"/>
    <x v="1"/>
    <x v="426"/>
    <x v="0"/>
    <x v="13"/>
    <x v="23"/>
    <x v="2"/>
    <x v="18"/>
    <x v="312"/>
    <x v="2560"/>
    <x v="26"/>
    <x v="26"/>
    <x v="0"/>
  </r>
  <r>
    <x v="5"/>
    <x v="1"/>
    <x v="426"/>
    <x v="0"/>
    <x v="13"/>
    <x v="23"/>
    <x v="1"/>
    <x v="18"/>
    <x v="194"/>
    <x v="1355"/>
    <x v="26"/>
    <x v="26"/>
    <x v="0"/>
  </r>
  <r>
    <x v="5"/>
    <x v="1"/>
    <x v="426"/>
    <x v="0"/>
    <x v="13"/>
    <x v="23"/>
    <x v="5"/>
    <x v="8"/>
    <x v="231"/>
    <x v="982"/>
    <x v="21"/>
    <x v="21"/>
    <x v="0"/>
  </r>
  <r>
    <x v="5"/>
    <x v="1"/>
    <x v="426"/>
    <x v="0"/>
    <x v="13"/>
    <x v="23"/>
    <x v="4"/>
    <x v="13"/>
    <x v="105"/>
    <x v="530"/>
    <x v="21"/>
    <x v="21"/>
    <x v="0"/>
  </r>
  <r>
    <x v="5"/>
    <x v="1"/>
    <x v="426"/>
    <x v="0"/>
    <x v="13"/>
    <x v="23"/>
    <x v="0"/>
    <x v="28"/>
    <x v="152"/>
    <x v="1471"/>
    <x v="16"/>
    <x v="16"/>
    <x v="0"/>
  </r>
  <r>
    <x v="5"/>
    <x v="1"/>
    <x v="426"/>
    <x v="0"/>
    <x v="13"/>
    <x v="23"/>
    <x v="3"/>
    <x v="18"/>
    <x v="231"/>
    <x v="1646"/>
    <x v="26"/>
    <x v="26"/>
    <x v="0"/>
  </r>
  <r>
    <x v="5"/>
    <x v="1"/>
    <x v="458"/>
    <x v="0"/>
    <x v="13"/>
    <x v="23"/>
    <x v="2"/>
    <x v="18"/>
    <x v="311"/>
    <x v="2513"/>
    <x v="26"/>
    <x v="26"/>
    <x v="0"/>
  </r>
  <r>
    <x v="5"/>
    <x v="1"/>
    <x v="458"/>
    <x v="0"/>
    <x v="13"/>
    <x v="23"/>
    <x v="1"/>
    <x v="18"/>
    <x v="174"/>
    <x v="1208"/>
    <x v="26"/>
    <x v="26"/>
    <x v="0"/>
  </r>
  <r>
    <x v="5"/>
    <x v="1"/>
    <x v="458"/>
    <x v="0"/>
    <x v="13"/>
    <x v="23"/>
    <x v="5"/>
    <x v="8"/>
    <x v="174"/>
    <x v="672"/>
    <x v="21"/>
    <x v="21"/>
    <x v="0"/>
  </r>
  <r>
    <x v="5"/>
    <x v="1"/>
    <x v="458"/>
    <x v="0"/>
    <x v="13"/>
    <x v="23"/>
    <x v="4"/>
    <x v="13"/>
    <x v="105"/>
    <x v="530"/>
    <x v="21"/>
    <x v="21"/>
    <x v="0"/>
  </r>
  <r>
    <x v="5"/>
    <x v="1"/>
    <x v="458"/>
    <x v="0"/>
    <x v="13"/>
    <x v="23"/>
    <x v="0"/>
    <x v="58"/>
    <x v="129"/>
    <x v="2173"/>
    <x v="16"/>
    <x v="16"/>
    <x v="0"/>
  </r>
  <r>
    <x v="5"/>
    <x v="1"/>
    <x v="458"/>
    <x v="0"/>
    <x v="13"/>
    <x v="23"/>
    <x v="3"/>
    <x v="43"/>
    <x v="231"/>
    <x v="2615"/>
    <x v="26"/>
    <x v="26"/>
    <x v="0"/>
  </r>
  <r>
    <x v="5"/>
    <x v="1"/>
    <x v="489"/>
    <x v="0"/>
    <x v="13"/>
    <x v="23"/>
    <x v="2"/>
    <x v="53"/>
    <x v="314"/>
    <x v="2931"/>
    <x v="26"/>
    <x v="26"/>
    <x v="0"/>
  </r>
  <r>
    <x v="5"/>
    <x v="1"/>
    <x v="489"/>
    <x v="0"/>
    <x v="13"/>
    <x v="23"/>
    <x v="1"/>
    <x v="33"/>
    <x v="212"/>
    <x v="2206"/>
    <x v="26"/>
    <x v="26"/>
    <x v="0"/>
  </r>
  <r>
    <x v="5"/>
    <x v="1"/>
    <x v="489"/>
    <x v="0"/>
    <x v="13"/>
    <x v="23"/>
    <x v="5"/>
    <x v="28"/>
    <x v="194"/>
    <x v="1857"/>
    <x v="21"/>
    <x v="21"/>
    <x v="0"/>
  </r>
  <r>
    <x v="5"/>
    <x v="1"/>
    <x v="489"/>
    <x v="0"/>
    <x v="13"/>
    <x v="23"/>
    <x v="4"/>
    <x v="28"/>
    <x v="152"/>
    <x v="1471"/>
    <x v="21"/>
    <x v="21"/>
    <x v="0"/>
  </r>
  <r>
    <x v="5"/>
    <x v="1"/>
    <x v="489"/>
    <x v="0"/>
    <x v="13"/>
    <x v="23"/>
    <x v="0"/>
    <x v="38"/>
    <x v="174"/>
    <x v="2064"/>
    <x v="16"/>
    <x v="16"/>
    <x v="0"/>
  </r>
  <r>
    <x v="5"/>
    <x v="1"/>
    <x v="489"/>
    <x v="0"/>
    <x v="13"/>
    <x v="23"/>
    <x v="3"/>
    <x v="48"/>
    <x v="273"/>
    <x v="2800"/>
    <x v="26"/>
    <x v="26"/>
    <x v="0"/>
  </r>
  <r>
    <x v="5"/>
    <x v="1"/>
    <x v="519"/>
    <x v="0"/>
    <x v="13"/>
    <x v="23"/>
    <x v="2"/>
    <x v="33"/>
    <x v="317"/>
    <x v="2869"/>
    <x v="26"/>
    <x v="26"/>
    <x v="0"/>
  </r>
  <r>
    <x v="5"/>
    <x v="1"/>
    <x v="519"/>
    <x v="0"/>
    <x v="13"/>
    <x v="23"/>
    <x v="1"/>
    <x v="28"/>
    <x v="273"/>
    <x v="2398"/>
    <x v="26"/>
    <x v="26"/>
    <x v="0"/>
  </r>
  <r>
    <x v="5"/>
    <x v="1"/>
    <x v="519"/>
    <x v="0"/>
    <x v="13"/>
    <x v="23"/>
    <x v="5"/>
    <x v="23"/>
    <x v="174"/>
    <x v="1441"/>
    <x v="21"/>
    <x v="21"/>
    <x v="0"/>
  </r>
  <r>
    <x v="5"/>
    <x v="1"/>
    <x v="519"/>
    <x v="0"/>
    <x v="13"/>
    <x v="23"/>
    <x v="4"/>
    <x v="23"/>
    <x v="152"/>
    <x v="1267"/>
    <x v="21"/>
    <x v="21"/>
    <x v="0"/>
  </r>
  <r>
    <x v="5"/>
    <x v="1"/>
    <x v="519"/>
    <x v="0"/>
    <x v="13"/>
    <x v="23"/>
    <x v="0"/>
    <x v="33"/>
    <x v="152"/>
    <x v="1674"/>
    <x v="16"/>
    <x v="16"/>
    <x v="0"/>
  </r>
  <r>
    <x v="5"/>
    <x v="1"/>
    <x v="519"/>
    <x v="0"/>
    <x v="13"/>
    <x v="23"/>
    <x v="3"/>
    <x v="53"/>
    <x v="273"/>
    <x v="2833"/>
    <x v="26"/>
    <x v="26"/>
    <x v="0"/>
  </r>
  <r>
    <x v="5"/>
    <x v="1"/>
    <x v="548"/>
    <x v="0"/>
    <x v="13"/>
    <x v="23"/>
    <x v="2"/>
    <x v="48"/>
    <x v="315"/>
    <x v="2916"/>
    <x v="26"/>
    <x v="26"/>
    <x v="0"/>
  </r>
  <r>
    <x v="5"/>
    <x v="1"/>
    <x v="548"/>
    <x v="0"/>
    <x v="13"/>
    <x v="23"/>
    <x v="1"/>
    <x v="43"/>
    <x v="254"/>
    <x v="2686"/>
    <x v="26"/>
    <x v="26"/>
    <x v="0"/>
  </r>
  <r>
    <x v="5"/>
    <x v="1"/>
    <x v="548"/>
    <x v="0"/>
    <x v="13"/>
    <x v="23"/>
    <x v="5"/>
    <x v="38"/>
    <x v="194"/>
    <x v="2227"/>
    <x v="21"/>
    <x v="21"/>
    <x v="0"/>
  </r>
  <r>
    <x v="5"/>
    <x v="1"/>
    <x v="548"/>
    <x v="0"/>
    <x v="13"/>
    <x v="23"/>
    <x v="4"/>
    <x v="38"/>
    <x v="152"/>
    <x v="1857"/>
    <x v="21"/>
    <x v="21"/>
    <x v="0"/>
  </r>
  <r>
    <x v="5"/>
    <x v="1"/>
    <x v="548"/>
    <x v="0"/>
    <x v="13"/>
    <x v="23"/>
    <x v="0"/>
    <x v="48"/>
    <x v="174"/>
    <x v="2350"/>
    <x v="16"/>
    <x v="16"/>
    <x v="0"/>
  </r>
  <r>
    <x v="5"/>
    <x v="1"/>
    <x v="548"/>
    <x v="0"/>
    <x v="13"/>
    <x v="23"/>
    <x v="3"/>
    <x v="53"/>
    <x v="294"/>
    <x v="2866"/>
    <x v="26"/>
    <x v="26"/>
    <x v="0"/>
  </r>
  <r>
    <x v="5"/>
    <x v="1"/>
    <x v="580"/>
    <x v="0"/>
    <x v="13"/>
    <x v="23"/>
    <x v="2"/>
    <x v="43"/>
    <x v="313"/>
    <x v="2892"/>
    <x v="26"/>
    <x v="26"/>
    <x v="0"/>
  </r>
  <r>
    <x v="5"/>
    <x v="1"/>
    <x v="580"/>
    <x v="0"/>
    <x v="13"/>
    <x v="23"/>
    <x v="1"/>
    <x v="38"/>
    <x v="254"/>
    <x v="2594"/>
    <x v="26"/>
    <x v="26"/>
    <x v="0"/>
  </r>
  <r>
    <x v="5"/>
    <x v="1"/>
    <x v="580"/>
    <x v="0"/>
    <x v="13"/>
    <x v="23"/>
    <x v="5"/>
    <x v="33"/>
    <x v="194"/>
    <x v="2064"/>
    <x v="21"/>
    <x v="21"/>
    <x v="0"/>
  </r>
  <r>
    <x v="5"/>
    <x v="1"/>
    <x v="580"/>
    <x v="0"/>
    <x v="13"/>
    <x v="23"/>
    <x v="4"/>
    <x v="33"/>
    <x v="174"/>
    <x v="1883"/>
    <x v="21"/>
    <x v="21"/>
    <x v="0"/>
  </r>
  <r>
    <x v="5"/>
    <x v="1"/>
    <x v="580"/>
    <x v="0"/>
    <x v="13"/>
    <x v="23"/>
    <x v="0"/>
    <x v="43"/>
    <x v="152"/>
    <x v="2022"/>
    <x v="16"/>
    <x v="16"/>
    <x v="0"/>
  </r>
  <r>
    <x v="5"/>
    <x v="1"/>
    <x v="580"/>
    <x v="0"/>
    <x v="13"/>
    <x v="23"/>
    <x v="3"/>
    <x v="48"/>
    <x v="285"/>
    <x v="2829"/>
    <x v="26"/>
    <x v="26"/>
    <x v="0"/>
  </r>
  <r>
    <x v="5"/>
    <x v="1"/>
    <x v="612"/>
    <x v="0"/>
    <x v="13"/>
    <x v="23"/>
    <x v="2"/>
    <x v="28"/>
    <x v="309"/>
    <x v="2763"/>
    <x v="26"/>
    <x v="26"/>
    <x v="0"/>
  </r>
  <r>
    <x v="5"/>
    <x v="1"/>
    <x v="612"/>
    <x v="0"/>
    <x v="13"/>
    <x v="23"/>
    <x v="1"/>
    <x v="23"/>
    <x v="231"/>
    <x v="1929"/>
    <x v="26"/>
    <x v="26"/>
    <x v="0"/>
  </r>
  <r>
    <x v="5"/>
    <x v="1"/>
    <x v="612"/>
    <x v="0"/>
    <x v="13"/>
    <x v="23"/>
    <x v="5"/>
    <x v="18"/>
    <x v="152"/>
    <x v="1051"/>
    <x v="21"/>
    <x v="21"/>
    <x v="0"/>
  </r>
  <r>
    <x v="5"/>
    <x v="1"/>
    <x v="612"/>
    <x v="0"/>
    <x v="13"/>
    <x v="23"/>
    <x v="4"/>
    <x v="18"/>
    <x v="129"/>
    <x v="891"/>
    <x v="21"/>
    <x v="21"/>
    <x v="0"/>
  </r>
  <r>
    <x v="5"/>
    <x v="1"/>
    <x v="612"/>
    <x v="0"/>
    <x v="13"/>
    <x v="23"/>
    <x v="0"/>
    <x v="28"/>
    <x v="129"/>
    <x v="1267"/>
    <x v="16"/>
    <x v="16"/>
    <x v="0"/>
  </r>
  <r>
    <x v="5"/>
    <x v="1"/>
    <x v="612"/>
    <x v="0"/>
    <x v="13"/>
    <x v="23"/>
    <x v="3"/>
    <x v="33"/>
    <x v="194"/>
    <x v="2064"/>
    <x v="26"/>
    <x v="26"/>
    <x v="0"/>
  </r>
  <r>
    <x v="5"/>
    <x v="1"/>
    <x v="641"/>
    <x v="0"/>
    <x v="13"/>
    <x v="23"/>
    <x v="2"/>
    <x v="38"/>
    <x v="300"/>
    <x v="2805"/>
    <x v="26"/>
    <x v="26"/>
    <x v="0"/>
  </r>
  <r>
    <x v="5"/>
    <x v="1"/>
    <x v="641"/>
    <x v="0"/>
    <x v="13"/>
    <x v="23"/>
    <x v="1"/>
    <x v="28"/>
    <x v="212"/>
    <x v="2022"/>
    <x v="26"/>
    <x v="26"/>
    <x v="0"/>
  </r>
  <r>
    <x v="5"/>
    <x v="1"/>
    <x v="641"/>
    <x v="0"/>
    <x v="13"/>
    <x v="23"/>
    <x v="5"/>
    <x v="28"/>
    <x v="129"/>
    <x v="1267"/>
    <x v="21"/>
    <x v="21"/>
    <x v="0"/>
  </r>
  <r>
    <x v="5"/>
    <x v="1"/>
    <x v="641"/>
    <x v="0"/>
    <x v="13"/>
    <x v="23"/>
    <x v="4"/>
    <x v="28"/>
    <x v="129"/>
    <x v="1267"/>
    <x v="21"/>
    <x v="21"/>
    <x v="0"/>
  </r>
  <r>
    <x v="5"/>
    <x v="1"/>
    <x v="641"/>
    <x v="0"/>
    <x v="13"/>
    <x v="23"/>
    <x v="0"/>
    <x v="38"/>
    <x v="129"/>
    <x v="1617"/>
    <x v="16"/>
    <x v="16"/>
    <x v="0"/>
  </r>
  <r>
    <x v="5"/>
    <x v="1"/>
    <x v="641"/>
    <x v="0"/>
    <x v="13"/>
    <x v="23"/>
    <x v="3"/>
    <x v="43"/>
    <x v="231"/>
    <x v="2615"/>
    <x v="26"/>
    <x v="26"/>
    <x v="0"/>
  </r>
  <r>
    <x v="5"/>
    <x v="1"/>
    <x v="672"/>
    <x v="0"/>
    <x v="13"/>
    <x v="23"/>
    <x v="2"/>
    <x v="38"/>
    <x v="304"/>
    <x v="2827"/>
    <x v="26"/>
    <x v="26"/>
    <x v="0"/>
  </r>
  <r>
    <x v="5"/>
    <x v="1"/>
    <x v="672"/>
    <x v="0"/>
    <x v="13"/>
    <x v="23"/>
    <x v="1"/>
    <x v="28"/>
    <x v="273"/>
    <x v="2398"/>
    <x v="26"/>
    <x v="26"/>
    <x v="0"/>
  </r>
  <r>
    <x v="5"/>
    <x v="1"/>
    <x v="672"/>
    <x v="0"/>
    <x v="13"/>
    <x v="23"/>
    <x v="5"/>
    <x v="28"/>
    <x v="227"/>
    <x v="2125"/>
    <x v="21"/>
    <x v="21"/>
    <x v="0"/>
  </r>
  <r>
    <x v="5"/>
    <x v="1"/>
    <x v="672"/>
    <x v="0"/>
    <x v="13"/>
    <x v="23"/>
    <x v="4"/>
    <x v="28"/>
    <x v="231"/>
    <x v="2158"/>
    <x v="21"/>
    <x v="21"/>
    <x v="0"/>
  </r>
  <r>
    <x v="5"/>
    <x v="1"/>
    <x v="672"/>
    <x v="0"/>
    <x v="13"/>
    <x v="23"/>
    <x v="0"/>
    <x v="53"/>
    <x v="212"/>
    <x v="2686"/>
    <x v="16"/>
    <x v="16"/>
    <x v="0"/>
  </r>
  <r>
    <x v="5"/>
    <x v="1"/>
    <x v="672"/>
    <x v="0"/>
    <x v="13"/>
    <x v="23"/>
    <x v="3"/>
    <x v="58"/>
    <x v="285"/>
    <x v="2867"/>
    <x v="26"/>
    <x v="26"/>
    <x v="0"/>
  </r>
  <r>
    <x v="5"/>
    <x v="1"/>
    <x v="701"/>
    <x v="0"/>
    <x v="13"/>
    <x v="23"/>
    <x v="2"/>
    <x v="53"/>
    <x v="319"/>
    <x v="2947"/>
    <x v="26"/>
    <x v="26"/>
    <x v="0"/>
  </r>
  <r>
    <x v="5"/>
    <x v="1"/>
    <x v="701"/>
    <x v="0"/>
    <x v="13"/>
    <x v="23"/>
    <x v="1"/>
    <x v="43"/>
    <x v="300"/>
    <x v="2840"/>
    <x v="26"/>
    <x v="26"/>
    <x v="0"/>
  </r>
  <r>
    <x v="5"/>
    <x v="1"/>
    <x v="701"/>
    <x v="0"/>
    <x v="13"/>
    <x v="23"/>
    <x v="5"/>
    <x v="43"/>
    <x v="285"/>
    <x v="2793"/>
    <x v="21"/>
    <x v="21"/>
    <x v="0"/>
  </r>
  <r>
    <x v="5"/>
    <x v="1"/>
    <x v="701"/>
    <x v="0"/>
    <x v="13"/>
    <x v="23"/>
    <x v="4"/>
    <x v="43"/>
    <x v="254"/>
    <x v="2686"/>
    <x v="21"/>
    <x v="21"/>
    <x v="0"/>
  </r>
  <r>
    <x v="5"/>
    <x v="1"/>
    <x v="701"/>
    <x v="0"/>
    <x v="13"/>
    <x v="23"/>
    <x v="0"/>
    <x v="53"/>
    <x v="254"/>
    <x v="2805"/>
    <x v="16"/>
    <x v="16"/>
    <x v="0"/>
  </r>
  <r>
    <x v="5"/>
    <x v="1"/>
    <x v="701"/>
    <x v="0"/>
    <x v="13"/>
    <x v="23"/>
    <x v="3"/>
    <x v="58"/>
    <x v="300"/>
    <x v="2890"/>
    <x v="26"/>
    <x v="26"/>
    <x v="0"/>
  </r>
  <r>
    <x v="5"/>
    <x v="1"/>
    <x v="375"/>
    <x v="0"/>
    <x v="13"/>
    <x v="23"/>
    <x v="2"/>
    <x v="28"/>
    <x v="311"/>
    <x v="2793"/>
    <x v="26"/>
    <x v="26"/>
    <x v="0"/>
  </r>
  <r>
    <x v="5"/>
    <x v="1"/>
    <x v="375"/>
    <x v="0"/>
    <x v="13"/>
    <x v="23"/>
    <x v="1"/>
    <x v="28"/>
    <x v="254"/>
    <x v="2282"/>
    <x v="26"/>
    <x v="26"/>
    <x v="0"/>
  </r>
  <r>
    <x v="5"/>
    <x v="1"/>
    <x v="375"/>
    <x v="0"/>
    <x v="13"/>
    <x v="23"/>
    <x v="5"/>
    <x v="18"/>
    <x v="254"/>
    <x v="1779"/>
    <x v="26"/>
    <x v="26"/>
    <x v="0"/>
  </r>
  <r>
    <x v="5"/>
    <x v="1"/>
    <x v="375"/>
    <x v="0"/>
    <x v="13"/>
    <x v="23"/>
    <x v="4"/>
    <x v="23"/>
    <x v="129"/>
    <x v="1086"/>
    <x v="26"/>
    <x v="26"/>
    <x v="0"/>
  </r>
  <r>
    <x v="5"/>
    <x v="1"/>
    <x v="375"/>
    <x v="0"/>
    <x v="13"/>
    <x v="23"/>
    <x v="0"/>
    <x v="38"/>
    <x v="174"/>
    <x v="2064"/>
    <x v="26"/>
    <x v="26"/>
    <x v="0"/>
  </r>
  <r>
    <x v="5"/>
    <x v="1"/>
    <x v="375"/>
    <x v="0"/>
    <x v="13"/>
    <x v="23"/>
    <x v="3"/>
    <x v="28"/>
    <x v="254"/>
    <x v="2282"/>
    <x v="26"/>
    <x v="26"/>
    <x v="0"/>
  </r>
  <r>
    <x v="5"/>
    <x v="1"/>
    <x v="406"/>
    <x v="0"/>
    <x v="13"/>
    <x v="23"/>
    <x v="2"/>
    <x v="28"/>
    <x v="315"/>
    <x v="2829"/>
    <x v="26"/>
    <x v="26"/>
    <x v="0"/>
  </r>
  <r>
    <x v="5"/>
    <x v="1"/>
    <x v="406"/>
    <x v="0"/>
    <x v="13"/>
    <x v="23"/>
    <x v="1"/>
    <x v="33"/>
    <x v="174"/>
    <x v="1883"/>
    <x v="26"/>
    <x v="26"/>
    <x v="0"/>
  </r>
  <r>
    <x v="5"/>
    <x v="1"/>
    <x v="406"/>
    <x v="0"/>
    <x v="13"/>
    <x v="23"/>
    <x v="5"/>
    <x v="23"/>
    <x v="254"/>
    <x v="2064"/>
    <x v="26"/>
    <x v="26"/>
    <x v="0"/>
  </r>
  <r>
    <x v="5"/>
    <x v="1"/>
    <x v="406"/>
    <x v="1"/>
    <x v="47"/>
    <x v="10"/>
    <x v="4"/>
    <x v="28"/>
    <x v="152"/>
    <x v="1471"/>
    <x v="26"/>
    <x v="26"/>
    <x v="0"/>
  </r>
  <r>
    <x v="5"/>
    <x v="1"/>
    <x v="406"/>
    <x v="1"/>
    <x v="47"/>
    <x v="10"/>
    <x v="0"/>
    <x v="43"/>
    <x v="212"/>
    <x v="2513"/>
    <x v="26"/>
    <x v="26"/>
    <x v="0"/>
  </r>
  <r>
    <x v="5"/>
    <x v="1"/>
    <x v="406"/>
    <x v="1"/>
    <x v="47"/>
    <x v="10"/>
    <x v="3"/>
    <x v="18"/>
    <x v="285"/>
    <x v="2022"/>
    <x v="26"/>
    <x v="26"/>
    <x v="0"/>
  </r>
  <r>
    <x v="5"/>
    <x v="1"/>
    <x v="433"/>
    <x v="1"/>
    <x v="47"/>
    <x v="10"/>
    <x v="2"/>
    <x v="23"/>
    <x v="316"/>
    <x v="2778"/>
    <x v="26"/>
    <x v="26"/>
    <x v="0"/>
  </r>
  <r>
    <x v="5"/>
    <x v="1"/>
    <x v="433"/>
    <x v="1"/>
    <x v="47"/>
    <x v="10"/>
    <x v="1"/>
    <x v="23"/>
    <x v="231"/>
    <x v="1929"/>
    <x v="26"/>
    <x v="26"/>
    <x v="0"/>
  </r>
  <r>
    <x v="5"/>
    <x v="1"/>
    <x v="433"/>
    <x v="1"/>
    <x v="47"/>
    <x v="10"/>
    <x v="5"/>
    <x v="13"/>
    <x v="273"/>
    <x v="1568"/>
    <x v="26"/>
    <x v="26"/>
    <x v="0"/>
  </r>
  <r>
    <x v="5"/>
    <x v="1"/>
    <x v="433"/>
    <x v="1"/>
    <x v="47"/>
    <x v="10"/>
    <x v="4"/>
    <x v="18"/>
    <x v="152"/>
    <x v="1051"/>
    <x v="26"/>
    <x v="26"/>
    <x v="0"/>
  </r>
  <r>
    <x v="5"/>
    <x v="1"/>
    <x v="433"/>
    <x v="1"/>
    <x v="47"/>
    <x v="10"/>
    <x v="0"/>
    <x v="33"/>
    <x v="194"/>
    <x v="2064"/>
    <x v="26"/>
    <x v="26"/>
    <x v="0"/>
  </r>
  <r>
    <x v="5"/>
    <x v="1"/>
    <x v="433"/>
    <x v="1"/>
    <x v="47"/>
    <x v="10"/>
    <x v="3"/>
    <x v="23"/>
    <x v="273"/>
    <x v="2173"/>
    <x v="26"/>
    <x v="26"/>
    <x v="0"/>
  </r>
  <r>
    <x v="5"/>
    <x v="1"/>
    <x v="465"/>
    <x v="1"/>
    <x v="47"/>
    <x v="10"/>
    <x v="2"/>
    <x v="23"/>
    <x v="315"/>
    <x v="2757"/>
    <x v="26"/>
    <x v="26"/>
    <x v="0"/>
  </r>
  <r>
    <x v="5"/>
    <x v="1"/>
    <x v="465"/>
    <x v="1"/>
    <x v="47"/>
    <x v="10"/>
    <x v="1"/>
    <x v="23"/>
    <x v="212"/>
    <x v="1779"/>
    <x v="26"/>
    <x v="26"/>
    <x v="0"/>
  </r>
  <r>
    <x v="5"/>
    <x v="1"/>
    <x v="465"/>
    <x v="1"/>
    <x v="47"/>
    <x v="10"/>
    <x v="5"/>
    <x v="13"/>
    <x v="212"/>
    <x v="1208"/>
    <x v="26"/>
    <x v="26"/>
    <x v="0"/>
  </r>
  <r>
    <x v="5"/>
    <x v="1"/>
    <x v="465"/>
    <x v="1"/>
    <x v="47"/>
    <x v="10"/>
    <x v="4"/>
    <x v="18"/>
    <x v="152"/>
    <x v="1051"/>
    <x v="26"/>
    <x v="26"/>
    <x v="0"/>
  </r>
  <r>
    <x v="5"/>
    <x v="1"/>
    <x v="465"/>
    <x v="1"/>
    <x v="47"/>
    <x v="10"/>
    <x v="0"/>
    <x v="58"/>
    <x v="174"/>
    <x v="2560"/>
    <x v="26"/>
    <x v="26"/>
    <x v="0"/>
  </r>
  <r>
    <x v="5"/>
    <x v="1"/>
    <x v="465"/>
    <x v="1"/>
    <x v="47"/>
    <x v="10"/>
    <x v="3"/>
    <x v="43"/>
    <x v="273"/>
    <x v="2745"/>
    <x v="26"/>
    <x v="26"/>
    <x v="0"/>
  </r>
  <r>
    <x v="5"/>
    <x v="1"/>
    <x v="496"/>
    <x v="1"/>
    <x v="47"/>
    <x v="10"/>
    <x v="2"/>
    <x v="53"/>
    <x v="318"/>
    <x v="2944"/>
    <x v="26"/>
    <x v="26"/>
    <x v="0"/>
  </r>
  <r>
    <x v="5"/>
    <x v="1"/>
    <x v="496"/>
    <x v="1"/>
    <x v="47"/>
    <x v="10"/>
    <x v="1"/>
    <x v="33"/>
    <x v="254"/>
    <x v="2469"/>
    <x v="26"/>
    <x v="26"/>
    <x v="0"/>
  </r>
  <r>
    <x v="5"/>
    <x v="1"/>
    <x v="496"/>
    <x v="1"/>
    <x v="47"/>
    <x v="10"/>
    <x v="5"/>
    <x v="28"/>
    <x v="231"/>
    <x v="2158"/>
    <x v="26"/>
    <x v="26"/>
    <x v="0"/>
  </r>
  <r>
    <x v="5"/>
    <x v="1"/>
    <x v="496"/>
    <x v="1"/>
    <x v="47"/>
    <x v="10"/>
    <x v="4"/>
    <x v="28"/>
    <x v="174"/>
    <x v="1674"/>
    <x v="26"/>
    <x v="26"/>
    <x v="0"/>
  </r>
  <r>
    <x v="5"/>
    <x v="1"/>
    <x v="496"/>
    <x v="1"/>
    <x v="47"/>
    <x v="10"/>
    <x v="0"/>
    <x v="38"/>
    <x v="194"/>
    <x v="2227"/>
    <x v="26"/>
    <x v="26"/>
    <x v="0"/>
  </r>
  <r>
    <x v="5"/>
    <x v="1"/>
    <x v="496"/>
    <x v="1"/>
    <x v="47"/>
    <x v="10"/>
    <x v="3"/>
    <x v="48"/>
    <x v="285"/>
    <x v="2829"/>
    <x v="26"/>
    <x v="26"/>
    <x v="0"/>
  </r>
  <r>
    <x v="5"/>
    <x v="1"/>
    <x v="526"/>
    <x v="1"/>
    <x v="47"/>
    <x v="10"/>
    <x v="2"/>
    <x v="38"/>
    <x v="319"/>
    <x v="2895"/>
    <x v="26"/>
    <x v="26"/>
    <x v="0"/>
  </r>
  <r>
    <x v="5"/>
    <x v="1"/>
    <x v="526"/>
    <x v="1"/>
    <x v="47"/>
    <x v="10"/>
    <x v="1"/>
    <x v="33"/>
    <x v="304"/>
    <x v="2774"/>
    <x v="26"/>
    <x v="26"/>
    <x v="0"/>
  </r>
  <r>
    <x v="5"/>
    <x v="1"/>
    <x v="526"/>
    <x v="1"/>
    <x v="47"/>
    <x v="10"/>
    <x v="5"/>
    <x v="28"/>
    <x v="254"/>
    <x v="2282"/>
    <x v="26"/>
    <x v="26"/>
    <x v="0"/>
  </r>
  <r>
    <x v="5"/>
    <x v="1"/>
    <x v="526"/>
    <x v="1"/>
    <x v="47"/>
    <x v="10"/>
    <x v="4"/>
    <x v="28"/>
    <x v="231"/>
    <x v="2158"/>
    <x v="26"/>
    <x v="26"/>
    <x v="0"/>
  </r>
  <r>
    <x v="5"/>
    <x v="1"/>
    <x v="526"/>
    <x v="1"/>
    <x v="47"/>
    <x v="10"/>
    <x v="0"/>
    <x v="38"/>
    <x v="231"/>
    <x v="2506"/>
    <x v="26"/>
    <x v="26"/>
    <x v="0"/>
  </r>
  <r>
    <x v="5"/>
    <x v="1"/>
    <x v="526"/>
    <x v="1"/>
    <x v="47"/>
    <x v="10"/>
    <x v="3"/>
    <x v="58"/>
    <x v="304"/>
    <x v="2901"/>
    <x v="26"/>
    <x v="26"/>
    <x v="0"/>
  </r>
  <r>
    <x v="5"/>
    <x v="1"/>
    <x v="555"/>
    <x v="1"/>
    <x v="47"/>
    <x v="10"/>
    <x v="2"/>
    <x v="53"/>
    <x v="323"/>
    <x v="2961"/>
    <x v="26"/>
    <x v="26"/>
    <x v="0"/>
  </r>
  <r>
    <x v="5"/>
    <x v="1"/>
    <x v="555"/>
    <x v="1"/>
    <x v="47"/>
    <x v="10"/>
    <x v="1"/>
    <x v="48"/>
    <x v="300"/>
    <x v="2862"/>
    <x v="26"/>
    <x v="26"/>
    <x v="0"/>
  </r>
  <r>
    <x v="5"/>
    <x v="1"/>
    <x v="555"/>
    <x v="1"/>
    <x v="47"/>
    <x v="10"/>
    <x v="5"/>
    <x v="43"/>
    <x v="273"/>
    <x v="2745"/>
    <x v="26"/>
    <x v="26"/>
    <x v="0"/>
  </r>
  <r>
    <x v="5"/>
    <x v="1"/>
    <x v="555"/>
    <x v="1"/>
    <x v="47"/>
    <x v="10"/>
    <x v="4"/>
    <x v="43"/>
    <x v="231"/>
    <x v="2615"/>
    <x v="26"/>
    <x v="26"/>
    <x v="0"/>
  </r>
  <r>
    <x v="5"/>
    <x v="1"/>
    <x v="555"/>
    <x v="1"/>
    <x v="47"/>
    <x v="10"/>
    <x v="0"/>
    <x v="53"/>
    <x v="254"/>
    <x v="2805"/>
    <x v="26"/>
    <x v="26"/>
    <x v="0"/>
  </r>
  <r>
    <x v="5"/>
    <x v="1"/>
    <x v="555"/>
    <x v="1"/>
    <x v="47"/>
    <x v="10"/>
    <x v="3"/>
    <x v="58"/>
    <x v="309"/>
    <x v="2918"/>
    <x v="26"/>
    <x v="26"/>
    <x v="0"/>
  </r>
  <r>
    <x v="5"/>
    <x v="1"/>
    <x v="587"/>
    <x v="1"/>
    <x v="47"/>
    <x v="10"/>
    <x v="2"/>
    <x v="43"/>
    <x v="313"/>
    <x v="2892"/>
    <x v="26"/>
    <x v="26"/>
    <x v="0"/>
  </r>
  <r>
    <x v="5"/>
    <x v="1"/>
    <x v="587"/>
    <x v="1"/>
    <x v="47"/>
    <x v="10"/>
    <x v="1"/>
    <x v="38"/>
    <x v="254"/>
    <x v="2594"/>
    <x v="26"/>
    <x v="26"/>
    <x v="0"/>
  </r>
  <r>
    <x v="5"/>
    <x v="1"/>
    <x v="587"/>
    <x v="1"/>
    <x v="47"/>
    <x v="10"/>
    <x v="5"/>
    <x v="33"/>
    <x v="254"/>
    <x v="2469"/>
    <x v="26"/>
    <x v="26"/>
    <x v="0"/>
  </r>
  <r>
    <x v="5"/>
    <x v="1"/>
    <x v="587"/>
    <x v="1"/>
    <x v="47"/>
    <x v="10"/>
    <x v="4"/>
    <x v="33"/>
    <x v="231"/>
    <x v="2350"/>
    <x v="26"/>
    <x v="26"/>
    <x v="0"/>
  </r>
  <r>
    <x v="5"/>
    <x v="1"/>
    <x v="587"/>
    <x v="1"/>
    <x v="47"/>
    <x v="10"/>
    <x v="0"/>
    <x v="43"/>
    <x v="212"/>
    <x v="2513"/>
    <x v="26"/>
    <x v="26"/>
    <x v="0"/>
  </r>
  <r>
    <x v="5"/>
    <x v="1"/>
    <x v="587"/>
    <x v="1"/>
    <x v="47"/>
    <x v="10"/>
    <x v="3"/>
    <x v="48"/>
    <x v="304"/>
    <x v="2873"/>
    <x v="26"/>
    <x v="26"/>
    <x v="0"/>
  </r>
  <r>
    <x v="5"/>
    <x v="1"/>
    <x v="619"/>
    <x v="1"/>
    <x v="47"/>
    <x v="10"/>
    <x v="2"/>
    <x v="28"/>
    <x v="315"/>
    <x v="2829"/>
    <x v="26"/>
    <x v="26"/>
    <x v="0"/>
  </r>
  <r>
    <x v="5"/>
    <x v="1"/>
    <x v="619"/>
    <x v="1"/>
    <x v="47"/>
    <x v="10"/>
    <x v="1"/>
    <x v="23"/>
    <x v="285"/>
    <x v="2282"/>
    <x v="26"/>
    <x v="26"/>
    <x v="0"/>
  </r>
  <r>
    <x v="5"/>
    <x v="1"/>
    <x v="619"/>
    <x v="1"/>
    <x v="47"/>
    <x v="10"/>
    <x v="5"/>
    <x v="18"/>
    <x v="212"/>
    <x v="1502"/>
    <x v="26"/>
    <x v="26"/>
    <x v="0"/>
  </r>
  <r>
    <x v="5"/>
    <x v="1"/>
    <x v="619"/>
    <x v="1"/>
    <x v="47"/>
    <x v="10"/>
    <x v="4"/>
    <x v="18"/>
    <x v="194"/>
    <x v="1355"/>
    <x v="26"/>
    <x v="26"/>
    <x v="0"/>
  </r>
  <r>
    <x v="5"/>
    <x v="1"/>
    <x v="619"/>
    <x v="1"/>
    <x v="47"/>
    <x v="10"/>
    <x v="0"/>
    <x v="28"/>
    <x v="194"/>
    <x v="1857"/>
    <x v="26"/>
    <x v="26"/>
    <x v="0"/>
  </r>
  <r>
    <x v="5"/>
    <x v="1"/>
    <x v="619"/>
    <x v="1"/>
    <x v="47"/>
    <x v="10"/>
    <x v="3"/>
    <x v="33"/>
    <x v="254"/>
    <x v="2469"/>
    <x v="26"/>
    <x v="26"/>
    <x v="0"/>
  </r>
  <r>
    <x v="5"/>
    <x v="1"/>
    <x v="648"/>
    <x v="1"/>
    <x v="47"/>
    <x v="10"/>
    <x v="2"/>
    <x v="38"/>
    <x v="304"/>
    <x v="2827"/>
    <x v="26"/>
    <x v="26"/>
    <x v="0"/>
  </r>
  <r>
    <x v="5"/>
    <x v="1"/>
    <x v="648"/>
    <x v="1"/>
    <x v="47"/>
    <x v="10"/>
    <x v="1"/>
    <x v="28"/>
    <x v="231"/>
    <x v="2158"/>
    <x v="26"/>
    <x v="26"/>
    <x v="0"/>
  </r>
  <r>
    <x v="5"/>
    <x v="1"/>
    <x v="648"/>
    <x v="1"/>
    <x v="47"/>
    <x v="10"/>
    <x v="5"/>
    <x v="28"/>
    <x v="152"/>
    <x v="1471"/>
    <x v="26"/>
    <x v="26"/>
    <x v="0"/>
  </r>
  <r>
    <x v="5"/>
    <x v="1"/>
    <x v="648"/>
    <x v="1"/>
    <x v="47"/>
    <x v="10"/>
    <x v="4"/>
    <x v="28"/>
    <x v="152"/>
    <x v="1471"/>
    <x v="26"/>
    <x v="26"/>
    <x v="0"/>
  </r>
  <r>
    <x v="5"/>
    <x v="1"/>
    <x v="648"/>
    <x v="1"/>
    <x v="47"/>
    <x v="10"/>
    <x v="0"/>
    <x v="38"/>
    <x v="152"/>
    <x v="1857"/>
    <x v="26"/>
    <x v="26"/>
    <x v="0"/>
  </r>
  <r>
    <x v="1"/>
    <x v="1"/>
    <x v="648"/>
    <x v="1"/>
    <x v="47"/>
    <x v="10"/>
    <x v="3"/>
    <x v="43"/>
    <x v="254"/>
    <x v="2686"/>
    <x v="26"/>
    <x v="26"/>
    <x v="0"/>
  </r>
  <r>
    <x v="1"/>
    <x v="1"/>
    <x v="679"/>
    <x v="1"/>
    <x v="47"/>
    <x v="10"/>
    <x v="2"/>
    <x v="38"/>
    <x v="307"/>
    <x v="2848"/>
    <x v="26"/>
    <x v="26"/>
    <x v="0"/>
  </r>
  <r>
    <x v="1"/>
    <x v="1"/>
    <x v="679"/>
    <x v="1"/>
    <x v="47"/>
    <x v="10"/>
    <x v="1"/>
    <x v="28"/>
    <x v="285"/>
    <x v="2491"/>
    <x v="26"/>
    <x v="26"/>
    <x v="0"/>
  </r>
  <r>
    <x v="1"/>
    <x v="1"/>
    <x v="679"/>
    <x v="1"/>
    <x v="47"/>
    <x v="10"/>
    <x v="5"/>
    <x v="28"/>
    <x v="249"/>
    <x v="2256"/>
    <x v="26"/>
    <x v="26"/>
    <x v="0"/>
  </r>
  <r>
    <x v="1"/>
    <x v="1"/>
    <x v="679"/>
    <x v="1"/>
    <x v="47"/>
    <x v="10"/>
    <x v="4"/>
    <x v="33"/>
    <x v="273"/>
    <x v="2560"/>
    <x v="26"/>
    <x v="26"/>
    <x v="0"/>
  </r>
  <r>
    <x v="1"/>
    <x v="1"/>
    <x v="679"/>
    <x v="1"/>
    <x v="47"/>
    <x v="10"/>
    <x v="0"/>
    <x v="58"/>
    <x v="254"/>
    <x v="2833"/>
    <x v="26"/>
    <x v="26"/>
    <x v="0"/>
  </r>
  <r>
    <x v="1"/>
    <x v="1"/>
    <x v="679"/>
    <x v="1"/>
    <x v="47"/>
    <x v="10"/>
    <x v="3"/>
    <x v="63"/>
    <x v="300"/>
    <x v="2903"/>
    <x v="26"/>
    <x v="26"/>
    <x v="0"/>
  </r>
  <r>
    <x v="1"/>
    <x v="1"/>
    <x v="708"/>
    <x v="1"/>
    <x v="47"/>
    <x v="10"/>
    <x v="2"/>
    <x v="58"/>
    <x v="323"/>
    <x v="2975"/>
    <x v="26"/>
    <x v="26"/>
    <x v="0"/>
  </r>
  <r>
    <x v="1"/>
    <x v="1"/>
    <x v="708"/>
    <x v="1"/>
    <x v="47"/>
    <x v="10"/>
    <x v="1"/>
    <x v="48"/>
    <x v="307"/>
    <x v="2884"/>
    <x v="26"/>
    <x v="26"/>
    <x v="0"/>
  </r>
  <r>
    <x v="5"/>
    <x v="1"/>
    <x v="708"/>
    <x v="1"/>
    <x v="47"/>
    <x v="10"/>
    <x v="5"/>
    <x v="48"/>
    <x v="300"/>
    <x v="2862"/>
    <x v="26"/>
    <x v="26"/>
    <x v="0"/>
  </r>
  <r>
    <x v="1"/>
    <x v="1"/>
    <x v="708"/>
    <x v="1"/>
    <x v="47"/>
    <x v="10"/>
    <x v="4"/>
    <x v="48"/>
    <x v="285"/>
    <x v="2829"/>
    <x v="26"/>
    <x v="26"/>
    <x v="0"/>
  </r>
  <r>
    <x v="1"/>
    <x v="1"/>
    <x v="708"/>
    <x v="1"/>
    <x v="47"/>
    <x v="10"/>
    <x v="0"/>
    <x v="58"/>
    <x v="285"/>
    <x v="2867"/>
    <x v="26"/>
    <x v="26"/>
    <x v="0"/>
  </r>
  <r>
    <x v="1"/>
    <x v="1"/>
    <x v="708"/>
    <x v="1"/>
    <x v="47"/>
    <x v="10"/>
    <x v="3"/>
    <x v="63"/>
    <x v="307"/>
    <x v="2924"/>
    <x v="26"/>
    <x v="26"/>
    <x v="0"/>
  </r>
  <r>
    <x v="1"/>
    <x v="1"/>
    <x v="382"/>
    <x v="1"/>
    <x v="47"/>
    <x v="10"/>
    <x v="2"/>
    <x v="28"/>
    <x v="304"/>
    <x v="2682"/>
    <x v="26"/>
    <x v="26"/>
    <x v="0"/>
  </r>
  <r>
    <x v="1"/>
    <x v="1"/>
    <x v="382"/>
    <x v="1"/>
    <x v="47"/>
    <x v="10"/>
    <x v="1"/>
    <x v="28"/>
    <x v="194"/>
    <x v="1857"/>
    <x v="21"/>
    <x v="21"/>
    <x v="0"/>
  </r>
  <r>
    <x v="1"/>
    <x v="1"/>
    <x v="382"/>
    <x v="1"/>
    <x v="47"/>
    <x v="10"/>
    <x v="5"/>
    <x v="18"/>
    <x v="194"/>
    <x v="1355"/>
    <x v="21"/>
    <x v="21"/>
    <x v="0"/>
  </r>
  <r>
    <x v="1"/>
    <x v="1"/>
    <x v="382"/>
    <x v="1"/>
    <x v="47"/>
    <x v="10"/>
    <x v="4"/>
    <x v="23"/>
    <x v="62"/>
    <x v="461"/>
    <x v="21"/>
    <x v="21"/>
    <x v="0"/>
  </r>
  <r>
    <x v="1"/>
    <x v="1"/>
    <x v="382"/>
    <x v="1"/>
    <x v="47"/>
    <x v="10"/>
    <x v="0"/>
    <x v="38"/>
    <x v="105"/>
    <x v="1355"/>
    <x v="16"/>
    <x v="16"/>
    <x v="0"/>
  </r>
  <r>
    <x v="1"/>
    <x v="1"/>
    <x v="382"/>
    <x v="1"/>
    <x v="47"/>
    <x v="10"/>
    <x v="3"/>
    <x v="28"/>
    <x v="194"/>
    <x v="1857"/>
    <x v="16"/>
    <x v="16"/>
    <x v="0"/>
  </r>
  <r>
    <x v="1"/>
    <x v="1"/>
    <x v="411"/>
    <x v="1"/>
    <x v="47"/>
    <x v="10"/>
    <x v="2"/>
    <x v="28"/>
    <x v="309"/>
    <x v="2763"/>
    <x v="26"/>
    <x v="26"/>
    <x v="0"/>
  </r>
  <r>
    <x v="5"/>
    <x v="1"/>
    <x v="411"/>
    <x v="1"/>
    <x v="47"/>
    <x v="10"/>
    <x v="1"/>
    <x v="28"/>
    <x v="105"/>
    <x v="1051"/>
    <x v="21"/>
    <x v="21"/>
    <x v="0"/>
  </r>
  <r>
    <x v="5"/>
    <x v="1"/>
    <x v="411"/>
    <x v="1"/>
    <x v="47"/>
    <x v="10"/>
    <x v="5"/>
    <x v="18"/>
    <x v="152"/>
    <x v="1051"/>
    <x v="21"/>
    <x v="21"/>
    <x v="0"/>
  </r>
  <r>
    <x v="5"/>
    <x v="1"/>
    <x v="411"/>
    <x v="1"/>
    <x v="19"/>
    <x v="4"/>
    <x v="4"/>
    <x v="23"/>
    <x v="39"/>
    <x v="250"/>
    <x v="21"/>
    <x v="21"/>
    <x v="0"/>
  </r>
  <r>
    <x v="5"/>
    <x v="1"/>
    <x v="411"/>
    <x v="1"/>
    <x v="19"/>
    <x v="4"/>
    <x v="0"/>
    <x v="38"/>
    <x v="105"/>
    <x v="1355"/>
    <x v="16"/>
    <x v="16"/>
    <x v="0"/>
  </r>
  <r>
    <x v="5"/>
    <x v="1"/>
    <x v="411"/>
    <x v="1"/>
    <x v="19"/>
    <x v="4"/>
    <x v="3"/>
    <x v="28"/>
    <x v="194"/>
    <x v="1857"/>
    <x v="16"/>
    <x v="16"/>
    <x v="0"/>
  </r>
  <r>
    <x v="5"/>
    <x v="1"/>
    <x v="437"/>
    <x v="1"/>
    <x v="19"/>
    <x v="4"/>
    <x v="2"/>
    <x v="28"/>
    <x v="306"/>
    <x v="2719"/>
    <x v="26"/>
    <x v="26"/>
    <x v="0"/>
  </r>
  <r>
    <x v="5"/>
    <x v="1"/>
    <x v="437"/>
    <x v="1"/>
    <x v="19"/>
    <x v="4"/>
    <x v="1"/>
    <x v="28"/>
    <x v="129"/>
    <x v="1267"/>
    <x v="21"/>
    <x v="21"/>
    <x v="0"/>
  </r>
  <r>
    <x v="5"/>
    <x v="1"/>
    <x v="437"/>
    <x v="1"/>
    <x v="19"/>
    <x v="4"/>
    <x v="5"/>
    <x v="18"/>
    <x v="152"/>
    <x v="1051"/>
    <x v="21"/>
    <x v="21"/>
    <x v="0"/>
  </r>
  <r>
    <x v="5"/>
    <x v="1"/>
    <x v="437"/>
    <x v="1"/>
    <x v="19"/>
    <x v="4"/>
    <x v="4"/>
    <x v="23"/>
    <x v="15"/>
    <x v="71"/>
    <x v="21"/>
    <x v="21"/>
    <x v="0"/>
  </r>
  <r>
    <x v="5"/>
    <x v="1"/>
    <x v="437"/>
    <x v="1"/>
    <x v="19"/>
    <x v="4"/>
    <x v="0"/>
    <x v="38"/>
    <x v="62"/>
    <x v="784"/>
    <x v="16"/>
    <x v="16"/>
    <x v="0"/>
  </r>
  <r>
    <x v="5"/>
    <x v="1"/>
    <x v="437"/>
    <x v="1"/>
    <x v="19"/>
    <x v="4"/>
    <x v="3"/>
    <x v="28"/>
    <x v="152"/>
    <x v="1471"/>
    <x v="16"/>
    <x v="16"/>
    <x v="0"/>
  </r>
  <r>
    <x v="5"/>
    <x v="1"/>
    <x v="469"/>
    <x v="1"/>
    <x v="19"/>
    <x v="4"/>
    <x v="2"/>
    <x v="28"/>
    <x v="304"/>
    <x v="2682"/>
    <x v="26"/>
    <x v="26"/>
    <x v="0"/>
  </r>
  <r>
    <x v="5"/>
    <x v="1"/>
    <x v="469"/>
    <x v="1"/>
    <x v="19"/>
    <x v="4"/>
    <x v="1"/>
    <x v="28"/>
    <x v="105"/>
    <x v="1051"/>
    <x v="21"/>
    <x v="21"/>
    <x v="0"/>
  </r>
  <r>
    <x v="5"/>
    <x v="1"/>
    <x v="469"/>
    <x v="1"/>
    <x v="19"/>
    <x v="4"/>
    <x v="5"/>
    <x v="18"/>
    <x v="105"/>
    <x v="712"/>
    <x v="21"/>
    <x v="21"/>
    <x v="0"/>
  </r>
  <r>
    <x v="5"/>
    <x v="1"/>
    <x v="469"/>
    <x v="1"/>
    <x v="19"/>
    <x v="4"/>
    <x v="4"/>
    <x v="23"/>
    <x v="39"/>
    <x v="250"/>
    <x v="21"/>
    <x v="21"/>
    <x v="0"/>
  </r>
  <r>
    <x v="5"/>
    <x v="1"/>
    <x v="469"/>
    <x v="1"/>
    <x v="19"/>
    <x v="4"/>
    <x v="0"/>
    <x v="38"/>
    <x v="39"/>
    <x v="461"/>
    <x v="16"/>
    <x v="16"/>
    <x v="0"/>
  </r>
  <r>
    <x v="5"/>
    <x v="1"/>
    <x v="469"/>
    <x v="1"/>
    <x v="19"/>
    <x v="4"/>
    <x v="3"/>
    <x v="28"/>
    <x v="174"/>
    <x v="1674"/>
    <x v="16"/>
    <x v="16"/>
    <x v="0"/>
  </r>
  <r>
    <x v="5"/>
    <x v="1"/>
    <x v="498"/>
    <x v="1"/>
    <x v="19"/>
    <x v="4"/>
    <x v="2"/>
    <x v="43"/>
    <x v="308"/>
    <x v="2876"/>
    <x v="26"/>
    <x v="26"/>
    <x v="0"/>
  </r>
  <r>
    <x v="5"/>
    <x v="1"/>
    <x v="498"/>
    <x v="1"/>
    <x v="19"/>
    <x v="4"/>
    <x v="1"/>
    <x v="38"/>
    <x v="152"/>
    <x v="1857"/>
    <x v="21"/>
    <x v="21"/>
    <x v="0"/>
  </r>
  <r>
    <x v="5"/>
    <x v="1"/>
    <x v="498"/>
    <x v="1"/>
    <x v="19"/>
    <x v="4"/>
    <x v="5"/>
    <x v="33"/>
    <x v="129"/>
    <x v="1441"/>
    <x v="21"/>
    <x v="21"/>
    <x v="0"/>
  </r>
  <r>
    <x v="5"/>
    <x v="1"/>
    <x v="498"/>
    <x v="1"/>
    <x v="19"/>
    <x v="4"/>
    <x v="4"/>
    <x v="33"/>
    <x v="82"/>
    <x v="956"/>
    <x v="21"/>
    <x v="21"/>
    <x v="0"/>
  </r>
  <r>
    <x v="5"/>
    <x v="1"/>
    <x v="498"/>
    <x v="1"/>
    <x v="19"/>
    <x v="4"/>
    <x v="0"/>
    <x v="43"/>
    <x v="105"/>
    <x v="1502"/>
    <x v="16"/>
    <x v="16"/>
    <x v="0"/>
  </r>
  <r>
    <x v="5"/>
    <x v="1"/>
    <x v="498"/>
    <x v="1"/>
    <x v="19"/>
    <x v="4"/>
    <x v="3"/>
    <x v="48"/>
    <x v="212"/>
    <x v="2615"/>
    <x v="16"/>
    <x v="16"/>
    <x v="0"/>
  </r>
  <r>
    <x v="5"/>
    <x v="1"/>
    <x v="531"/>
    <x v="1"/>
    <x v="19"/>
    <x v="4"/>
    <x v="2"/>
    <x v="43"/>
    <x v="311"/>
    <x v="2886"/>
    <x v="26"/>
    <x v="26"/>
    <x v="0"/>
  </r>
  <r>
    <x v="5"/>
    <x v="1"/>
    <x v="531"/>
    <x v="1"/>
    <x v="19"/>
    <x v="4"/>
    <x v="1"/>
    <x v="38"/>
    <x v="212"/>
    <x v="2383"/>
    <x v="21"/>
    <x v="21"/>
    <x v="0"/>
  </r>
  <r>
    <x v="1"/>
    <x v="1"/>
    <x v="531"/>
    <x v="1"/>
    <x v="19"/>
    <x v="4"/>
    <x v="5"/>
    <x v="33"/>
    <x v="152"/>
    <x v="1674"/>
    <x v="21"/>
    <x v="21"/>
    <x v="0"/>
  </r>
  <r>
    <x v="1"/>
    <x v="1"/>
    <x v="531"/>
    <x v="1"/>
    <x v="19"/>
    <x v="4"/>
    <x v="4"/>
    <x v="33"/>
    <x v="129"/>
    <x v="1441"/>
    <x v="21"/>
    <x v="21"/>
    <x v="0"/>
  </r>
  <r>
    <x v="1"/>
    <x v="1"/>
    <x v="531"/>
    <x v="1"/>
    <x v="19"/>
    <x v="4"/>
    <x v="0"/>
    <x v="43"/>
    <x v="129"/>
    <x v="1779"/>
    <x v="16"/>
    <x v="16"/>
    <x v="0"/>
  </r>
  <r>
    <x v="1"/>
    <x v="1"/>
    <x v="531"/>
    <x v="1"/>
    <x v="19"/>
    <x v="4"/>
    <x v="3"/>
    <x v="48"/>
    <x v="254"/>
    <x v="2757"/>
    <x v="16"/>
    <x v="16"/>
    <x v="0"/>
  </r>
  <r>
    <x v="1"/>
    <x v="1"/>
    <x v="559"/>
    <x v="1"/>
    <x v="19"/>
    <x v="4"/>
    <x v="2"/>
    <x v="43"/>
    <x v="313"/>
    <x v="2892"/>
    <x v="26"/>
    <x v="26"/>
    <x v="0"/>
  </r>
  <r>
    <x v="3"/>
    <x v="1"/>
    <x v="559"/>
    <x v="1"/>
    <x v="19"/>
    <x v="4"/>
    <x v="1"/>
    <x v="38"/>
    <x v="231"/>
    <x v="2506"/>
    <x v="21"/>
    <x v="21"/>
    <x v="0"/>
  </r>
  <r>
    <x v="3"/>
    <x v="1"/>
    <x v="559"/>
    <x v="1"/>
    <x v="19"/>
    <x v="4"/>
    <x v="5"/>
    <x v="33"/>
    <x v="174"/>
    <x v="1883"/>
    <x v="21"/>
    <x v="21"/>
    <x v="0"/>
  </r>
  <r>
    <x v="3"/>
    <x v="1"/>
    <x v="559"/>
    <x v="1"/>
    <x v="19"/>
    <x v="4"/>
    <x v="4"/>
    <x v="33"/>
    <x v="129"/>
    <x v="1441"/>
    <x v="21"/>
    <x v="21"/>
    <x v="0"/>
  </r>
  <r>
    <x v="3"/>
    <x v="1"/>
    <x v="559"/>
    <x v="1"/>
    <x v="19"/>
    <x v="4"/>
    <x v="0"/>
    <x v="43"/>
    <x v="152"/>
    <x v="2022"/>
    <x v="16"/>
    <x v="16"/>
    <x v="0"/>
  </r>
  <r>
    <x v="3"/>
    <x v="1"/>
    <x v="559"/>
    <x v="1"/>
    <x v="19"/>
    <x v="4"/>
    <x v="3"/>
    <x v="48"/>
    <x v="285"/>
    <x v="2829"/>
    <x v="16"/>
    <x v="16"/>
    <x v="0"/>
  </r>
  <r>
    <x v="3"/>
    <x v="1"/>
    <x v="591"/>
    <x v="1"/>
    <x v="19"/>
    <x v="4"/>
    <x v="2"/>
    <x v="43"/>
    <x v="311"/>
    <x v="2886"/>
    <x v="26"/>
    <x v="26"/>
    <x v="0"/>
  </r>
  <r>
    <x v="3"/>
    <x v="1"/>
    <x v="591"/>
    <x v="1"/>
    <x v="19"/>
    <x v="4"/>
    <x v="1"/>
    <x v="38"/>
    <x v="231"/>
    <x v="2506"/>
    <x v="21"/>
    <x v="21"/>
    <x v="0"/>
  </r>
  <r>
    <x v="3"/>
    <x v="1"/>
    <x v="591"/>
    <x v="1"/>
    <x v="19"/>
    <x v="4"/>
    <x v="5"/>
    <x v="33"/>
    <x v="174"/>
    <x v="1883"/>
    <x v="21"/>
    <x v="21"/>
    <x v="0"/>
  </r>
  <r>
    <x v="3"/>
    <x v="1"/>
    <x v="591"/>
    <x v="1"/>
    <x v="19"/>
    <x v="4"/>
    <x v="4"/>
    <x v="33"/>
    <x v="129"/>
    <x v="1441"/>
    <x v="21"/>
    <x v="21"/>
    <x v="0"/>
  </r>
  <r>
    <x v="3"/>
    <x v="1"/>
    <x v="591"/>
    <x v="1"/>
    <x v="19"/>
    <x v="4"/>
    <x v="0"/>
    <x v="43"/>
    <x v="105"/>
    <x v="1502"/>
    <x v="16"/>
    <x v="16"/>
    <x v="0"/>
  </r>
  <r>
    <x v="3"/>
    <x v="1"/>
    <x v="591"/>
    <x v="1"/>
    <x v="19"/>
    <x v="4"/>
    <x v="3"/>
    <x v="48"/>
    <x v="254"/>
    <x v="2757"/>
    <x v="16"/>
    <x v="16"/>
    <x v="0"/>
  </r>
  <r>
    <x v="3"/>
    <x v="1"/>
    <x v="621"/>
    <x v="1"/>
    <x v="19"/>
    <x v="4"/>
    <x v="2"/>
    <x v="43"/>
    <x v="304"/>
    <x v="2854"/>
    <x v="26"/>
    <x v="26"/>
    <x v="0"/>
  </r>
  <r>
    <x v="3"/>
    <x v="1"/>
    <x v="621"/>
    <x v="1"/>
    <x v="19"/>
    <x v="4"/>
    <x v="1"/>
    <x v="38"/>
    <x v="194"/>
    <x v="2227"/>
    <x v="21"/>
    <x v="21"/>
    <x v="0"/>
  </r>
  <r>
    <x v="3"/>
    <x v="1"/>
    <x v="621"/>
    <x v="1"/>
    <x v="19"/>
    <x v="4"/>
    <x v="5"/>
    <x v="33"/>
    <x v="105"/>
    <x v="1208"/>
    <x v="21"/>
    <x v="21"/>
    <x v="0"/>
  </r>
  <r>
    <x v="3"/>
    <x v="1"/>
    <x v="621"/>
    <x v="1"/>
    <x v="19"/>
    <x v="4"/>
    <x v="4"/>
    <x v="33"/>
    <x v="82"/>
    <x v="956"/>
    <x v="21"/>
    <x v="21"/>
    <x v="0"/>
  </r>
  <r>
    <x v="3"/>
    <x v="1"/>
    <x v="621"/>
    <x v="1"/>
    <x v="19"/>
    <x v="4"/>
    <x v="0"/>
    <x v="43"/>
    <x v="82"/>
    <x v="1208"/>
    <x v="16"/>
    <x v="16"/>
    <x v="0"/>
  </r>
  <r>
    <x v="3"/>
    <x v="1"/>
    <x v="621"/>
    <x v="1"/>
    <x v="19"/>
    <x v="4"/>
    <x v="3"/>
    <x v="48"/>
    <x v="174"/>
    <x v="2350"/>
    <x v="16"/>
    <x v="16"/>
    <x v="0"/>
  </r>
  <r>
    <x v="3"/>
    <x v="1"/>
    <x v="653"/>
    <x v="1"/>
    <x v="19"/>
    <x v="4"/>
    <x v="2"/>
    <x v="48"/>
    <x v="294"/>
    <x v="2850"/>
    <x v="26"/>
    <x v="26"/>
    <x v="0"/>
  </r>
  <r>
    <x v="3"/>
    <x v="1"/>
    <x v="653"/>
    <x v="1"/>
    <x v="19"/>
    <x v="4"/>
    <x v="1"/>
    <x v="43"/>
    <x v="174"/>
    <x v="2206"/>
    <x v="21"/>
    <x v="21"/>
    <x v="0"/>
  </r>
  <r>
    <x v="3"/>
    <x v="1"/>
    <x v="653"/>
    <x v="1"/>
    <x v="19"/>
    <x v="4"/>
    <x v="5"/>
    <x v="43"/>
    <x v="82"/>
    <x v="1208"/>
    <x v="21"/>
    <x v="21"/>
    <x v="0"/>
  </r>
  <r>
    <x v="1"/>
    <x v="1"/>
    <x v="653"/>
    <x v="1"/>
    <x v="19"/>
    <x v="4"/>
    <x v="4"/>
    <x v="43"/>
    <x v="62"/>
    <x v="891"/>
    <x v="21"/>
    <x v="21"/>
    <x v="0"/>
  </r>
  <r>
    <x v="1"/>
    <x v="1"/>
    <x v="653"/>
    <x v="1"/>
    <x v="19"/>
    <x v="4"/>
    <x v="0"/>
    <x v="53"/>
    <x v="62"/>
    <x v="1086"/>
    <x v="16"/>
    <x v="16"/>
    <x v="0"/>
  </r>
  <r>
    <x v="1"/>
    <x v="1"/>
    <x v="653"/>
    <x v="1"/>
    <x v="19"/>
    <x v="4"/>
    <x v="3"/>
    <x v="58"/>
    <x v="174"/>
    <x v="2560"/>
    <x v="16"/>
    <x v="16"/>
    <x v="0"/>
  </r>
  <r>
    <x v="1"/>
    <x v="1"/>
    <x v="683"/>
    <x v="1"/>
    <x v="19"/>
    <x v="4"/>
    <x v="2"/>
    <x v="53"/>
    <x v="285"/>
    <x v="2852"/>
    <x v="26"/>
    <x v="26"/>
    <x v="0"/>
  </r>
  <r>
    <x v="1"/>
    <x v="1"/>
    <x v="683"/>
    <x v="1"/>
    <x v="19"/>
    <x v="4"/>
    <x v="1"/>
    <x v="43"/>
    <x v="152"/>
    <x v="2022"/>
    <x v="21"/>
    <x v="21"/>
    <x v="0"/>
  </r>
  <r>
    <x v="1"/>
    <x v="1"/>
    <x v="683"/>
    <x v="1"/>
    <x v="19"/>
    <x v="4"/>
    <x v="5"/>
    <x v="43"/>
    <x v="148"/>
    <x v="1975"/>
    <x v="21"/>
    <x v="21"/>
    <x v="0"/>
  </r>
  <r>
    <x v="1"/>
    <x v="1"/>
    <x v="683"/>
    <x v="1"/>
    <x v="19"/>
    <x v="4"/>
    <x v="4"/>
    <x v="43"/>
    <x v="129"/>
    <x v="1779"/>
    <x v="21"/>
    <x v="21"/>
    <x v="0"/>
  </r>
  <r>
    <x v="1"/>
    <x v="1"/>
    <x v="683"/>
    <x v="1"/>
    <x v="19"/>
    <x v="4"/>
    <x v="0"/>
    <x v="53"/>
    <x v="105"/>
    <x v="1779"/>
    <x v="16"/>
    <x v="16"/>
    <x v="0"/>
  </r>
  <r>
    <x v="1"/>
    <x v="1"/>
    <x v="683"/>
    <x v="1"/>
    <x v="19"/>
    <x v="4"/>
    <x v="3"/>
    <x v="58"/>
    <x v="194"/>
    <x v="2673"/>
    <x v="16"/>
    <x v="16"/>
    <x v="0"/>
  </r>
  <r>
    <x v="1"/>
    <x v="1"/>
    <x v="712"/>
    <x v="1"/>
    <x v="19"/>
    <x v="4"/>
    <x v="2"/>
    <x v="53"/>
    <x v="307"/>
    <x v="2895"/>
    <x v="26"/>
    <x v="26"/>
    <x v="0"/>
  </r>
  <r>
    <x v="1"/>
    <x v="1"/>
    <x v="712"/>
    <x v="1"/>
    <x v="19"/>
    <x v="4"/>
    <x v="1"/>
    <x v="43"/>
    <x v="212"/>
    <x v="2513"/>
    <x v="21"/>
    <x v="21"/>
    <x v="0"/>
  </r>
  <r>
    <x v="1"/>
    <x v="1"/>
    <x v="712"/>
    <x v="1"/>
    <x v="19"/>
    <x v="4"/>
    <x v="5"/>
    <x v="43"/>
    <x v="194"/>
    <x v="2383"/>
    <x v="21"/>
    <x v="21"/>
    <x v="0"/>
  </r>
  <r>
    <x v="1"/>
    <x v="1"/>
    <x v="712"/>
    <x v="1"/>
    <x v="19"/>
    <x v="4"/>
    <x v="4"/>
    <x v="43"/>
    <x v="152"/>
    <x v="2022"/>
    <x v="21"/>
    <x v="21"/>
    <x v="0"/>
  </r>
  <r>
    <x v="1"/>
    <x v="1"/>
    <x v="712"/>
    <x v="1"/>
    <x v="19"/>
    <x v="4"/>
    <x v="0"/>
    <x v="53"/>
    <x v="152"/>
    <x v="2282"/>
    <x v="16"/>
    <x v="16"/>
    <x v="0"/>
  </r>
  <r>
    <x v="1"/>
    <x v="1"/>
    <x v="712"/>
    <x v="1"/>
    <x v="19"/>
    <x v="4"/>
    <x v="3"/>
    <x v="58"/>
    <x v="231"/>
    <x v="2800"/>
    <x v="16"/>
    <x v="16"/>
    <x v="0"/>
  </r>
  <r>
    <x v="1"/>
    <x v="1"/>
    <x v="375"/>
    <x v="1"/>
    <x v="19"/>
    <x v="4"/>
    <x v="2"/>
    <x v="33"/>
    <x v="313"/>
    <x v="2852"/>
    <x v="21"/>
    <x v="21"/>
    <x v="0"/>
  </r>
  <r>
    <x v="1"/>
    <x v="1"/>
    <x v="375"/>
    <x v="1"/>
    <x v="19"/>
    <x v="4"/>
    <x v="1"/>
    <x v="33"/>
    <x v="273"/>
    <x v="2560"/>
    <x v="21"/>
    <x v="21"/>
    <x v="0"/>
  </r>
  <r>
    <x v="1"/>
    <x v="1"/>
    <x v="375"/>
    <x v="1"/>
    <x v="19"/>
    <x v="4"/>
    <x v="5"/>
    <x v="23"/>
    <x v="273"/>
    <x v="2173"/>
    <x v="26"/>
    <x v="26"/>
    <x v="0"/>
  </r>
  <r>
    <x v="1"/>
    <x v="1"/>
    <x v="375"/>
    <x v="1"/>
    <x v="19"/>
    <x v="4"/>
    <x v="4"/>
    <x v="28"/>
    <x v="152"/>
    <x v="1471"/>
    <x v="26"/>
    <x v="26"/>
    <x v="0"/>
  </r>
  <r>
    <x v="1"/>
    <x v="1"/>
    <x v="375"/>
    <x v="1"/>
    <x v="19"/>
    <x v="4"/>
    <x v="0"/>
    <x v="43"/>
    <x v="194"/>
    <x v="2383"/>
    <x v="16"/>
    <x v="16"/>
    <x v="0"/>
  </r>
  <r>
    <x v="1"/>
    <x v="1"/>
    <x v="375"/>
    <x v="1"/>
    <x v="19"/>
    <x v="4"/>
    <x v="3"/>
    <x v="33"/>
    <x v="273"/>
    <x v="2560"/>
    <x v="26"/>
    <x v="26"/>
    <x v="0"/>
  </r>
  <r>
    <x v="1"/>
    <x v="1"/>
    <x v="404"/>
    <x v="1"/>
    <x v="19"/>
    <x v="4"/>
    <x v="2"/>
    <x v="33"/>
    <x v="317"/>
    <x v="2869"/>
    <x v="21"/>
    <x v="21"/>
    <x v="0"/>
  </r>
  <r>
    <x v="1"/>
    <x v="1"/>
    <x v="404"/>
    <x v="1"/>
    <x v="19"/>
    <x v="4"/>
    <x v="1"/>
    <x v="33"/>
    <x v="194"/>
    <x v="2064"/>
    <x v="21"/>
    <x v="21"/>
    <x v="0"/>
  </r>
  <r>
    <x v="1"/>
    <x v="1"/>
    <x v="404"/>
    <x v="1"/>
    <x v="19"/>
    <x v="4"/>
    <x v="5"/>
    <x v="23"/>
    <x v="231"/>
    <x v="1929"/>
    <x v="26"/>
    <x v="26"/>
    <x v="0"/>
  </r>
  <r>
    <x v="1"/>
    <x v="1"/>
    <x v="404"/>
    <x v="1"/>
    <x v="7"/>
    <x v="51"/>
    <x v="4"/>
    <x v="28"/>
    <x v="129"/>
    <x v="1267"/>
    <x v="26"/>
    <x v="26"/>
    <x v="0"/>
  </r>
  <r>
    <x v="1"/>
    <x v="1"/>
    <x v="404"/>
    <x v="1"/>
    <x v="7"/>
    <x v="51"/>
    <x v="0"/>
    <x v="43"/>
    <x v="194"/>
    <x v="2383"/>
    <x v="16"/>
    <x v="16"/>
    <x v="0"/>
  </r>
  <r>
    <x v="1"/>
    <x v="1"/>
    <x v="404"/>
    <x v="1"/>
    <x v="7"/>
    <x v="51"/>
    <x v="3"/>
    <x v="33"/>
    <x v="273"/>
    <x v="2560"/>
    <x v="26"/>
    <x v="26"/>
    <x v="0"/>
  </r>
  <r>
    <x v="1"/>
    <x v="1"/>
    <x v="430"/>
    <x v="1"/>
    <x v="7"/>
    <x v="51"/>
    <x v="2"/>
    <x v="33"/>
    <x v="314"/>
    <x v="2859"/>
    <x v="21"/>
    <x v="21"/>
    <x v="0"/>
  </r>
  <r>
    <x v="1"/>
    <x v="1"/>
    <x v="430"/>
    <x v="1"/>
    <x v="7"/>
    <x v="51"/>
    <x v="1"/>
    <x v="33"/>
    <x v="212"/>
    <x v="2206"/>
    <x v="21"/>
    <x v="21"/>
    <x v="0"/>
  </r>
  <r>
    <x v="1"/>
    <x v="1"/>
    <x v="430"/>
    <x v="1"/>
    <x v="7"/>
    <x v="51"/>
    <x v="5"/>
    <x v="23"/>
    <x v="231"/>
    <x v="1929"/>
    <x v="26"/>
    <x v="26"/>
    <x v="0"/>
  </r>
  <r>
    <x v="1"/>
    <x v="1"/>
    <x v="430"/>
    <x v="1"/>
    <x v="7"/>
    <x v="51"/>
    <x v="4"/>
    <x v="28"/>
    <x v="105"/>
    <x v="1051"/>
    <x v="26"/>
    <x v="26"/>
    <x v="0"/>
  </r>
  <r>
    <x v="1"/>
    <x v="1"/>
    <x v="430"/>
    <x v="1"/>
    <x v="7"/>
    <x v="51"/>
    <x v="0"/>
    <x v="43"/>
    <x v="152"/>
    <x v="2022"/>
    <x v="16"/>
    <x v="16"/>
    <x v="0"/>
  </r>
  <r>
    <x v="1"/>
    <x v="1"/>
    <x v="430"/>
    <x v="1"/>
    <x v="7"/>
    <x v="51"/>
    <x v="3"/>
    <x v="33"/>
    <x v="231"/>
    <x v="2350"/>
    <x v="26"/>
    <x v="26"/>
    <x v="0"/>
  </r>
  <r>
    <x v="1"/>
    <x v="1"/>
    <x v="462"/>
    <x v="1"/>
    <x v="7"/>
    <x v="51"/>
    <x v="2"/>
    <x v="33"/>
    <x v="313"/>
    <x v="2852"/>
    <x v="21"/>
    <x v="21"/>
    <x v="0"/>
  </r>
  <r>
    <x v="1"/>
    <x v="1"/>
    <x v="462"/>
    <x v="1"/>
    <x v="7"/>
    <x v="51"/>
    <x v="1"/>
    <x v="33"/>
    <x v="194"/>
    <x v="2064"/>
    <x v="21"/>
    <x v="21"/>
    <x v="0"/>
  </r>
  <r>
    <x v="1"/>
    <x v="1"/>
    <x v="462"/>
    <x v="1"/>
    <x v="7"/>
    <x v="51"/>
    <x v="5"/>
    <x v="23"/>
    <x v="194"/>
    <x v="1617"/>
    <x v="26"/>
    <x v="26"/>
    <x v="0"/>
  </r>
  <r>
    <x v="1"/>
    <x v="1"/>
    <x v="462"/>
    <x v="1"/>
    <x v="7"/>
    <x v="51"/>
    <x v="4"/>
    <x v="28"/>
    <x v="129"/>
    <x v="1267"/>
    <x v="26"/>
    <x v="26"/>
    <x v="0"/>
  </r>
  <r>
    <x v="1"/>
    <x v="1"/>
    <x v="462"/>
    <x v="1"/>
    <x v="7"/>
    <x v="51"/>
    <x v="0"/>
    <x v="43"/>
    <x v="129"/>
    <x v="1779"/>
    <x v="16"/>
    <x v="16"/>
    <x v="0"/>
  </r>
  <r>
    <x v="1"/>
    <x v="1"/>
    <x v="462"/>
    <x v="1"/>
    <x v="7"/>
    <x v="51"/>
    <x v="3"/>
    <x v="33"/>
    <x v="254"/>
    <x v="2469"/>
    <x v="26"/>
    <x v="26"/>
    <x v="0"/>
  </r>
  <r>
    <x v="1"/>
    <x v="1"/>
    <x v="491"/>
    <x v="1"/>
    <x v="7"/>
    <x v="51"/>
    <x v="2"/>
    <x v="48"/>
    <x v="316"/>
    <x v="2923"/>
    <x v="21"/>
    <x v="21"/>
    <x v="0"/>
  </r>
  <r>
    <x v="1"/>
    <x v="1"/>
    <x v="491"/>
    <x v="1"/>
    <x v="7"/>
    <x v="51"/>
    <x v="1"/>
    <x v="43"/>
    <x v="231"/>
    <x v="2615"/>
    <x v="21"/>
    <x v="21"/>
    <x v="0"/>
  </r>
  <r>
    <x v="1"/>
    <x v="1"/>
    <x v="491"/>
    <x v="1"/>
    <x v="7"/>
    <x v="51"/>
    <x v="5"/>
    <x v="38"/>
    <x v="254"/>
    <x v="2594"/>
    <x v="26"/>
    <x v="26"/>
    <x v="0"/>
  </r>
  <r>
    <x v="1"/>
    <x v="1"/>
    <x v="491"/>
    <x v="1"/>
    <x v="7"/>
    <x v="51"/>
    <x v="4"/>
    <x v="38"/>
    <x v="212"/>
    <x v="2383"/>
    <x v="26"/>
    <x v="26"/>
    <x v="0"/>
  </r>
  <r>
    <x v="1"/>
    <x v="1"/>
    <x v="491"/>
    <x v="1"/>
    <x v="7"/>
    <x v="51"/>
    <x v="0"/>
    <x v="48"/>
    <x v="231"/>
    <x v="2694"/>
    <x v="16"/>
    <x v="16"/>
    <x v="0"/>
  </r>
  <r>
    <x v="1"/>
    <x v="1"/>
    <x v="491"/>
    <x v="1"/>
    <x v="7"/>
    <x v="51"/>
    <x v="3"/>
    <x v="53"/>
    <x v="300"/>
    <x v="2880"/>
    <x v="26"/>
    <x v="26"/>
    <x v="0"/>
  </r>
  <r>
    <x v="1"/>
    <x v="1"/>
    <x v="524"/>
    <x v="1"/>
    <x v="7"/>
    <x v="51"/>
    <x v="2"/>
    <x v="48"/>
    <x v="323"/>
    <x v="2945"/>
    <x v="21"/>
    <x v="21"/>
    <x v="0"/>
  </r>
  <r>
    <x v="1"/>
    <x v="1"/>
    <x v="524"/>
    <x v="1"/>
    <x v="7"/>
    <x v="51"/>
    <x v="1"/>
    <x v="43"/>
    <x v="300"/>
    <x v="2840"/>
    <x v="21"/>
    <x v="21"/>
    <x v="0"/>
  </r>
  <r>
    <x v="1"/>
    <x v="1"/>
    <x v="524"/>
    <x v="1"/>
    <x v="7"/>
    <x v="51"/>
    <x v="5"/>
    <x v="38"/>
    <x v="273"/>
    <x v="2673"/>
    <x v="26"/>
    <x v="26"/>
    <x v="0"/>
  </r>
  <r>
    <x v="1"/>
    <x v="1"/>
    <x v="524"/>
    <x v="1"/>
    <x v="7"/>
    <x v="51"/>
    <x v="4"/>
    <x v="38"/>
    <x v="254"/>
    <x v="2594"/>
    <x v="26"/>
    <x v="26"/>
    <x v="0"/>
  </r>
  <r>
    <x v="1"/>
    <x v="1"/>
    <x v="524"/>
    <x v="1"/>
    <x v="7"/>
    <x v="51"/>
    <x v="0"/>
    <x v="48"/>
    <x v="254"/>
    <x v="2757"/>
    <x v="16"/>
    <x v="16"/>
    <x v="0"/>
  </r>
  <r>
    <x v="1"/>
    <x v="1"/>
    <x v="524"/>
    <x v="1"/>
    <x v="7"/>
    <x v="51"/>
    <x v="3"/>
    <x v="53"/>
    <x v="307"/>
    <x v="2895"/>
    <x v="26"/>
    <x v="26"/>
    <x v="0"/>
  </r>
  <r>
    <x v="1"/>
    <x v="1"/>
    <x v="552"/>
    <x v="1"/>
    <x v="7"/>
    <x v="51"/>
    <x v="2"/>
    <x v="48"/>
    <x v="325"/>
    <x v="2952"/>
    <x v="21"/>
    <x v="21"/>
    <x v="0"/>
  </r>
  <r>
    <x v="1"/>
    <x v="1"/>
    <x v="552"/>
    <x v="1"/>
    <x v="7"/>
    <x v="51"/>
    <x v="1"/>
    <x v="43"/>
    <x v="304"/>
    <x v="2854"/>
    <x v="21"/>
    <x v="21"/>
    <x v="0"/>
  </r>
  <r>
    <x v="1"/>
    <x v="1"/>
    <x v="552"/>
    <x v="1"/>
    <x v="7"/>
    <x v="51"/>
    <x v="5"/>
    <x v="38"/>
    <x v="285"/>
    <x v="2727"/>
    <x v="26"/>
    <x v="26"/>
    <x v="0"/>
  </r>
  <r>
    <x v="1"/>
    <x v="1"/>
    <x v="552"/>
    <x v="1"/>
    <x v="7"/>
    <x v="51"/>
    <x v="4"/>
    <x v="38"/>
    <x v="254"/>
    <x v="2594"/>
    <x v="26"/>
    <x v="26"/>
    <x v="0"/>
  </r>
  <r>
    <x v="1"/>
    <x v="1"/>
    <x v="552"/>
    <x v="1"/>
    <x v="7"/>
    <x v="51"/>
    <x v="0"/>
    <x v="48"/>
    <x v="273"/>
    <x v="2800"/>
    <x v="16"/>
    <x v="16"/>
    <x v="0"/>
  </r>
  <r>
    <x v="1"/>
    <x v="1"/>
    <x v="552"/>
    <x v="1"/>
    <x v="7"/>
    <x v="51"/>
    <x v="3"/>
    <x v="53"/>
    <x v="311"/>
    <x v="2915"/>
    <x v="26"/>
    <x v="26"/>
    <x v="0"/>
  </r>
  <r>
    <x v="1"/>
    <x v="1"/>
    <x v="584"/>
    <x v="1"/>
    <x v="7"/>
    <x v="51"/>
    <x v="2"/>
    <x v="48"/>
    <x v="323"/>
    <x v="2945"/>
    <x v="21"/>
    <x v="21"/>
    <x v="0"/>
  </r>
  <r>
    <x v="1"/>
    <x v="1"/>
    <x v="584"/>
    <x v="1"/>
    <x v="7"/>
    <x v="51"/>
    <x v="1"/>
    <x v="43"/>
    <x v="304"/>
    <x v="2854"/>
    <x v="21"/>
    <x v="21"/>
    <x v="0"/>
  </r>
  <r>
    <x v="1"/>
    <x v="1"/>
    <x v="584"/>
    <x v="1"/>
    <x v="7"/>
    <x v="51"/>
    <x v="5"/>
    <x v="38"/>
    <x v="285"/>
    <x v="2727"/>
    <x v="26"/>
    <x v="26"/>
    <x v="0"/>
  </r>
  <r>
    <x v="1"/>
    <x v="1"/>
    <x v="584"/>
    <x v="1"/>
    <x v="7"/>
    <x v="51"/>
    <x v="4"/>
    <x v="38"/>
    <x v="212"/>
    <x v="2383"/>
    <x v="26"/>
    <x v="26"/>
    <x v="0"/>
  </r>
  <r>
    <x v="1"/>
    <x v="1"/>
    <x v="584"/>
    <x v="1"/>
    <x v="7"/>
    <x v="51"/>
    <x v="0"/>
    <x v="48"/>
    <x v="194"/>
    <x v="2506"/>
    <x v="16"/>
    <x v="16"/>
    <x v="0"/>
  </r>
  <r>
    <x v="1"/>
    <x v="1"/>
    <x v="584"/>
    <x v="1"/>
    <x v="7"/>
    <x v="51"/>
    <x v="3"/>
    <x v="53"/>
    <x v="300"/>
    <x v="2880"/>
    <x v="26"/>
    <x v="26"/>
    <x v="0"/>
  </r>
  <r>
    <x v="1"/>
    <x v="1"/>
    <x v="614"/>
    <x v="1"/>
    <x v="7"/>
    <x v="51"/>
    <x v="2"/>
    <x v="48"/>
    <x v="313"/>
    <x v="2908"/>
    <x v="21"/>
    <x v="21"/>
    <x v="0"/>
  </r>
  <r>
    <x v="1"/>
    <x v="1"/>
    <x v="614"/>
    <x v="1"/>
    <x v="7"/>
    <x v="51"/>
    <x v="1"/>
    <x v="43"/>
    <x v="273"/>
    <x v="2745"/>
    <x v="21"/>
    <x v="21"/>
    <x v="0"/>
  </r>
  <r>
    <x v="1"/>
    <x v="1"/>
    <x v="614"/>
    <x v="1"/>
    <x v="7"/>
    <x v="51"/>
    <x v="5"/>
    <x v="38"/>
    <x v="194"/>
    <x v="2227"/>
    <x v="26"/>
    <x v="26"/>
    <x v="0"/>
  </r>
  <r>
    <x v="1"/>
    <x v="1"/>
    <x v="614"/>
    <x v="1"/>
    <x v="7"/>
    <x v="51"/>
    <x v="4"/>
    <x v="38"/>
    <x v="174"/>
    <x v="2064"/>
    <x v="26"/>
    <x v="26"/>
    <x v="0"/>
  </r>
  <r>
    <x v="1"/>
    <x v="1"/>
    <x v="614"/>
    <x v="1"/>
    <x v="7"/>
    <x v="51"/>
    <x v="0"/>
    <x v="48"/>
    <x v="174"/>
    <x v="2350"/>
    <x v="16"/>
    <x v="16"/>
    <x v="0"/>
  </r>
  <r>
    <x v="1"/>
    <x v="1"/>
    <x v="614"/>
    <x v="1"/>
    <x v="7"/>
    <x v="51"/>
    <x v="3"/>
    <x v="53"/>
    <x v="254"/>
    <x v="2805"/>
    <x v="26"/>
    <x v="26"/>
    <x v="0"/>
  </r>
  <r>
    <x v="1"/>
    <x v="1"/>
    <x v="646"/>
    <x v="1"/>
    <x v="7"/>
    <x v="51"/>
    <x v="2"/>
    <x v="53"/>
    <x v="309"/>
    <x v="2906"/>
    <x v="21"/>
    <x v="21"/>
    <x v="0"/>
  </r>
  <r>
    <x v="1"/>
    <x v="1"/>
    <x v="646"/>
    <x v="1"/>
    <x v="7"/>
    <x v="51"/>
    <x v="1"/>
    <x v="48"/>
    <x v="254"/>
    <x v="2757"/>
    <x v="21"/>
    <x v="21"/>
    <x v="0"/>
  </r>
  <r>
    <x v="1"/>
    <x v="1"/>
    <x v="646"/>
    <x v="1"/>
    <x v="7"/>
    <x v="51"/>
    <x v="5"/>
    <x v="48"/>
    <x v="174"/>
    <x v="2350"/>
    <x v="26"/>
    <x v="26"/>
    <x v="0"/>
  </r>
  <r>
    <x v="1"/>
    <x v="1"/>
    <x v="646"/>
    <x v="1"/>
    <x v="7"/>
    <x v="51"/>
    <x v="4"/>
    <x v="48"/>
    <x v="152"/>
    <x v="2158"/>
    <x v="26"/>
    <x v="26"/>
    <x v="0"/>
  </r>
  <r>
    <x v="1"/>
    <x v="1"/>
    <x v="646"/>
    <x v="1"/>
    <x v="7"/>
    <x v="51"/>
    <x v="0"/>
    <x v="58"/>
    <x v="152"/>
    <x v="2398"/>
    <x v="16"/>
    <x v="16"/>
    <x v="0"/>
  </r>
  <r>
    <x v="2"/>
    <x v="1"/>
    <x v="646"/>
    <x v="1"/>
    <x v="7"/>
    <x v="51"/>
    <x v="3"/>
    <x v="63"/>
    <x v="254"/>
    <x v="2852"/>
    <x v="26"/>
    <x v="26"/>
    <x v="0"/>
  </r>
  <r>
    <x v="2"/>
    <x v="1"/>
    <x v="676"/>
    <x v="1"/>
    <x v="7"/>
    <x v="51"/>
    <x v="2"/>
    <x v="58"/>
    <x v="307"/>
    <x v="2910"/>
    <x v="21"/>
    <x v="21"/>
    <x v="0"/>
  </r>
  <r>
    <x v="2"/>
    <x v="1"/>
    <x v="676"/>
    <x v="1"/>
    <x v="7"/>
    <x v="51"/>
    <x v="1"/>
    <x v="48"/>
    <x v="273"/>
    <x v="2800"/>
    <x v="21"/>
    <x v="21"/>
    <x v="0"/>
  </r>
  <r>
    <x v="2"/>
    <x v="1"/>
    <x v="676"/>
    <x v="1"/>
    <x v="7"/>
    <x v="51"/>
    <x v="5"/>
    <x v="48"/>
    <x v="269"/>
    <x v="2794"/>
    <x v="26"/>
    <x v="26"/>
    <x v="0"/>
  </r>
  <r>
    <x v="2"/>
    <x v="1"/>
    <x v="676"/>
    <x v="1"/>
    <x v="7"/>
    <x v="51"/>
    <x v="4"/>
    <x v="48"/>
    <x v="254"/>
    <x v="2757"/>
    <x v="26"/>
    <x v="26"/>
    <x v="0"/>
  </r>
  <r>
    <x v="2"/>
    <x v="1"/>
    <x v="676"/>
    <x v="1"/>
    <x v="7"/>
    <x v="51"/>
    <x v="0"/>
    <x v="58"/>
    <x v="231"/>
    <x v="2800"/>
    <x v="16"/>
    <x v="16"/>
    <x v="0"/>
  </r>
  <r>
    <x v="2"/>
    <x v="1"/>
    <x v="676"/>
    <x v="1"/>
    <x v="7"/>
    <x v="51"/>
    <x v="3"/>
    <x v="63"/>
    <x v="294"/>
    <x v="2892"/>
    <x v="26"/>
    <x v="26"/>
    <x v="0"/>
  </r>
  <r>
    <x v="2"/>
    <x v="1"/>
    <x v="705"/>
    <x v="1"/>
    <x v="7"/>
    <x v="51"/>
    <x v="2"/>
    <x v="58"/>
    <x v="319"/>
    <x v="2961"/>
    <x v="21"/>
    <x v="21"/>
    <x v="0"/>
  </r>
  <r>
    <x v="2"/>
    <x v="1"/>
    <x v="705"/>
    <x v="1"/>
    <x v="7"/>
    <x v="51"/>
    <x v="1"/>
    <x v="48"/>
    <x v="300"/>
    <x v="2862"/>
    <x v="21"/>
    <x v="21"/>
    <x v="0"/>
  </r>
  <r>
    <x v="2"/>
    <x v="1"/>
    <x v="705"/>
    <x v="1"/>
    <x v="7"/>
    <x v="51"/>
    <x v="5"/>
    <x v="48"/>
    <x v="294"/>
    <x v="2850"/>
    <x v="26"/>
    <x v="26"/>
    <x v="0"/>
  </r>
  <r>
    <x v="2"/>
    <x v="1"/>
    <x v="705"/>
    <x v="1"/>
    <x v="7"/>
    <x v="51"/>
    <x v="4"/>
    <x v="48"/>
    <x v="273"/>
    <x v="2800"/>
    <x v="26"/>
    <x v="26"/>
    <x v="0"/>
  </r>
  <r>
    <x v="2"/>
    <x v="1"/>
    <x v="705"/>
    <x v="1"/>
    <x v="7"/>
    <x v="51"/>
    <x v="0"/>
    <x v="58"/>
    <x v="273"/>
    <x v="2853"/>
    <x v="16"/>
    <x v="16"/>
    <x v="0"/>
  </r>
  <r>
    <x v="2"/>
    <x v="1"/>
    <x v="705"/>
    <x v="1"/>
    <x v="7"/>
    <x v="51"/>
    <x v="3"/>
    <x v="63"/>
    <x v="304"/>
    <x v="2912"/>
    <x v="26"/>
    <x v="26"/>
    <x v="0"/>
  </r>
  <r>
    <x v="2"/>
    <x v="1"/>
    <x v="368"/>
    <x v="1"/>
    <x v="7"/>
    <x v="51"/>
    <x v="2"/>
    <x v="28"/>
    <x v="309"/>
    <x v="2763"/>
    <x v="21"/>
    <x v="21"/>
    <x v="0"/>
  </r>
  <r>
    <x v="2"/>
    <x v="1"/>
    <x v="368"/>
    <x v="1"/>
    <x v="7"/>
    <x v="51"/>
    <x v="1"/>
    <x v="28"/>
    <x v="231"/>
    <x v="2158"/>
    <x v="21"/>
    <x v="21"/>
    <x v="0"/>
  </r>
  <r>
    <x v="2"/>
    <x v="1"/>
    <x v="368"/>
    <x v="1"/>
    <x v="7"/>
    <x v="51"/>
    <x v="5"/>
    <x v="18"/>
    <x v="231"/>
    <x v="1646"/>
    <x v="26"/>
    <x v="26"/>
    <x v="0"/>
  </r>
  <r>
    <x v="2"/>
    <x v="1"/>
    <x v="368"/>
    <x v="1"/>
    <x v="7"/>
    <x v="51"/>
    <x v="4"/>
    <x v="23"/>
    <x v="105"/>
    <x v="891"/>
    <x v="26"/>
    <x v="26"/>
    <x v="0"/>
  </r>
  <r>
    <x v="2"/>
    <x v="1"/>
    <x v="368"/>
    <x v="1"/>
    <x v="7"/>
    <x v="51"/>
    <x v="0"/>
    <x v="38"/>
    <x v="152"/>
    <x v="1857"/>
    <x v="16"/>
    <x v="16"/>
    <x v="0"/>
  </r>
  <r>
    <x v="2"/>
    <x v="1"/>
    <x v="368"/>
    <x v="1"/>
    <x v="7"/>
    <x v="51"/>
    <x v="3"/>
    <x v="28"/>
    <x v="231"/>
    <x v="2158"/>
    <x v="26"/>
    <x v="26"/>
    <x v="0"/>
  </r>
  <r>
    <x v="2"/>
    <x v="1"/>
    <x v="397"/>
    <x v="1"/>
    <x v="7"/>
    <x v="51"/>
    <x v="2"/>
    <x v="28"/>
    <x v="313"/>
    <x v="2811"/>
    <x v="21"/>
    <x v="21"/>
    <x v="0"/>
  </r>
  <r>
    <x v="2"/>
    <x v="1"/>
    <x v="397"/>
    <x v="1"/>
    <x v="7"/>
    <x v="51"/>
    <x v="1"/>
    <x v="28"/>
    <x v="152"/>
    <x v="1471"/>
    <x v="21"/>
    <x v="21"/>
    <x v="0"/>
  </r>
  <r>
    <x v="2"/>
    <x v="1"/>
    <x v="397"/>
    <x v="1"/>
    <x v="7"/>
    <x v="51"/>
    <x v="5"/>
    <x v="18"/>
    <x v="194"/>
    <x v="1355"/>
    <x v="26"/>
    <x v="26"/>
    <x v="0"/>
  </r>
  <r>
    <x v="2"/>
    <x v="1"/>
    <x v="397"/>
    <x v="1"/>
    <x v="29"/>
    <x v="36"/>
    <x v="4"/>
    <x v="23"/>
    <x v="82"/>
    <x v="672"/>
    <x v="26"/>
    <x v="26"/>
    <x v="0"/>
  </r>
  <r>
    <x v="2"/>
    <x v="1"/>
    <x v="397"/>
    <x v="1"/>
    <x v="29"/>
    <x v="36"/>
    <x v="0"/>
    <x v="38"/>
    <x v="152"/>
    <x v="1857"/>
    <x v="16"/>
    <x v="16"/>
    <x v="0"/>
  </r>
  <r>
    <x v="2"/>
    <x v="1"/>
    <x v="397"/>
    <x v="1"/>
    <x v="29"/>
    <x v="36"/>
    <x v="3"/>
    <x v="28"/>
    <x v="231"/>
    <x v="2158"/>
    <x v="26"/>
    <x v="26"/>
    <x v="0"/>
  </r>
  <r>
    <x v="2"/>
    <x v="1"/>
    <x v="423"/>
    <x v="1"/>
    <x v="29"/>
    <x v="36"/>
    <x v="2"/>
    <x v="28"/>
    <x v="310"/>
    <x v="2785"/>
    <x v="21"/>
    <x v="21"/>
    <x v="0"/>
  </r>
  <r>
    <x v="2"/>
    <x v="1"/>
    <x v="423"/>
    <x v="1"/>
    <x v="29"/>
    <x v="36"/>
    <x v="1"/>
    <x v="28"/>
    <x v="174"/>
    <x v="1674"/>
    <x v="21"/>
    <x v="21"/>
    <x v="0"/>
  </r>
  <r>
    <x v="2"/>
    <x v="1"/>
    <x v="423"/>
    <x v="1"/>
    <x v="29"/>
    <x v="36"/>
    <x v="5"/>
    <x v="18"/>
    <x v="194"/>
    <x v="1355"/>
    <x v="26"/>
    <x v="26"/>
    <x v="0"/>
  </r>
  <r>
    <x v="2"/>
    <x v="1"/>
    <x v="423"/>
    <x v="1"/>
    <x v="29"/>
    <x v="36"/>
    <x v="4"/>
    <x v="23"/>
    <x v="62"/>
    <x v="461"/>
    <x v="26"/>
    <x v="26"/>
    <x v="0"/>
  </r>
  <r>
    <x v="2"/>
    <x v="1"/>
    <x v="423"/>
    <x v="1"/>
    <x v="29"/>
    <x v="36"/>
    <x v="0"/>
    <x v="38"/>
    <x v="105"/>
    <x v="1355"/>
    <x v="16"/>
    <x v="16"/>
    <x v="0"/>
  </r>
  <r>
    <x v="2"/>
    <x v="1"/>
    <x v="423"/>
    <x v="1"/>
    <x v="29"/>
    <x v="36"/>
    <x v="3"/>
    <x v="28"/>
    <x v="194"/>
    <x v="1857"/>
    <x v="26"/>
    <x v="26"/>
    <x v="0"/>
  </r>
  <r>
    <x v="2"/>
    <x v="1"/>
    <x v="455"/>
    <x v="1"/>
    <x v="29"/>
    <x v="36"/>
    <x v="2"/>
    <x v="28"/>
    <x v="309"/>
    <x v="2763"/>
    <x v="21"/>
    <x v="21"/>
    <x v="0"/>
  </r>
  <r>
    <x v="2"/>
    <x v="1"/>
    <x v="455"/>
    <x v="1"/>
    <x v="29"/>
    <x v="36"/>
    <x v="1"/>
    <x v="28"/>
    <x v="152"/>
    <x v="1471"/>
    <x v="21"/>
    <x v="21"/>
    <x v="0"/>
  </r>
  <r>
    <x v="2"/>
    <x v="1"/>
    <x v="455"/>
    <x v="1"/>
    <x v="29"/>
    <x v="36"/>
    <x v="5"/>
    <x v="18"/>
    <x v="152"/>
    <x v="1051"/>
    <x v="26"/>
    <x v="26"/>
    <x v="0"/>
  </r>
  <r>
    <x v="2"/>
    <x v="1"/>
    <x v="455"/>
    <x v="1"/>
    <x v="29"/>
    <x v="36"/>
    <x v="4"/>
    <x v="23"/>
    <x v="82"/>
    <x v="672"/>
    <x v="26"/>
    <x v="26"/>
    <x v="0"/>
  </r>
  <r>
    <x v="2"/>
    <x v="1"/>
    <x v="455"/>
    <x v="1"/>
    <x v="29"/>
    <x v="36"/>
    <x v="0"/>
    <x v="38"/>
    <x v="82"/>
    <x v="1086"/>
    <x v="16"/>
    <x v="16"/>
    <x v="0"/>
  </r>
  <r>
    <x v="2"/>
    <x v="1"/>
    <x v="455"/>
    <x v="1"/>
    <x v="29"/>
    <x v="36"/>
    <x v="3"/>
    <x v="28"/>
    <x v="212"/>
    <x v="2022"/>
    <x v="26"/>
    <x v="26"/>
    <x v="0"/>
  </r>
  <r>
    <x v="2"/>
    <x v="1"/>
    <x v="484"/>
    <x v="1"/>
    <x v="29"/>
    <x v="36"/>
    <x v="2"/>
    <x v="43"/>
    <x v="312"/>
    <x v="2890"/>
    <x v="21"/>
    <x v="21"/>
    <x v="0"/>
  </r>
  <r>
    <x v="2"/>
    <x v="1"/>
    <x v="484"/>
    <x v="1"/>
    <x v="29"/>
    <x v="36"/>
    <x v="1"/>
    <x v="38"/>
    <x v="194"/>
    <x v="2227"/>
    <x v="21"/>
    <x v="21"/>
    <x v="0"/>
  </r>
  <r>
    <x v="2"/>
    <x v="1"/>
    <x v="484"/>
    <x v="1"/>
    <x v="29"/>
    <x v="36"/>
    <x v="5"/>
    <x v="33"/>
    <x v="212"/>
    <x v="2206"/>
    <x v="26"/>
    <x v="26"/>
    <x v="0"/>
  </r>
  <r>
    <x v="2"/>
    <x v="1"/>
    <x v="484"/>
    <x v="1"/>
    <x v="29"/>
    <x v="36"/>
    <x v="4"/>
    <x v="33"/>
    <x v="174"/>
    <x v="1883"/>
    <x v="26"/>
    <x v="26"/>
    <x v="0"/>
  </r>
  <r>
    <x v="2"/>
    <x v="1"/>
    <x v="484"/>
    <x v="1"/>
    <x v="29"/>
    <x v="36"/>
    <x v="0"/>
    <x v="43"/>
    <x v="194"/>
    <x v="2383"/>
    <x v="16"/>
    <x v="16"/>
    <x v="0"/>
  </r>
  <r>
    <x v="2"/>
    <x v="1"/>
    <x v="484"/>
    <x v="1"/>
    <x v="29"/>
    <x v="36"/>
    <x v="3"/>
    <x v="48"/>
    <x v="285"/>
    <x v="2829"/>
    <x v="26"/>
    <x v="26"/>
    <x v="0"/>
  </r>
  <r>
    <x v="2"/>
    <x v="1"/>
    <x v="517"/>
    <x v="1"/>
    <x v="29"/>
    <x v="36"/>
    <x v="2"/>
    <x v="43"/>
    <x v="319"/>
    <x v="2915"/>
    <x v="21"/>
    <x v="21"/>
    <x v="0"/>
  </r>
  <r>
    <x v="2"/>
    <x v="1"/>
    <x v="517"/>
    <x v="1"/>
    <x v="29"/>
    <x v="36"/>
    <x v="1"/>
    <x v="38"/>
    <x v="285"/>
    <x v="2727"/>
    <x v="21"/>
    <x v="21"/>
    <x v="0"/>
  </r>
  <r>
    <x v="2"/>
    <x v="1"/>
    <x v="517"/>
    <x v="1"/>
    <x v="29"/>
    <x v="36"/>
    <x v="5"/>
    <x v="33"/>
    <x v="231"/>
    <x v="2350"/>
    <x v="26"/>
    <x v="26"/>
    <x v="0"/>
  </r>
  <r>
    <x v="2"/>
    <x v="1"/>
    <x v="517"/>
    <x v="1"/>
    <x v="29"/>
    <x v="36"/>
    <x v="4"/>
    <x v="33"/>
    <x v="212"/>
    <x v="2206"/>
    <x v="26"/>
    <x v="26"/>
    <x v="0"/>
  </r>
  <r>
    <x v="2"/>
    <x v="1"/>
    <x v="517"/>
    <x v="1"/>
    <x v="29"/>
    <x v="36"/>
    <x v="0"/>
    <x v="43"/>
    <x v="212"/>
    <x v="2513"/>
    <x v="16"/>
    <x v="16"/>
    <x v="0"/>
  </r>
  <r>
    <x v="2"/>
    <x v="1"/>
    <x v="517"/>
    <x v="1"/>
    <x v="29"/>
    <x v="36"/>
    <x v="3"/>
    <x v="48"/>
    <x v="300"/>
    <x v="2862"/>
    <x v="26"/>
    <x v="26"/>
    <x v="0"/>
  </r>
  <r>
    <x v="2"/>
    <x v="1"/>
    <x v="545"/>
    <x v="1"/>
    <x v="29"/>
    <x v="36"/>
    <x v="2"/>
    <x v="43"/>
    <x v="321"/>
    <x v="2921"/>
    <x v="21"/>
    <x v="21"/>
    <x v="0"/>
  </r>
  <r>
    <x v="2"/>
    <x v="1"/>
    <x v="545"/>
    <x v="1"/>
    <x v="29"/>
    <x v="36"/>
    <x v="1"/>
    <x v="38"/>
    <x v="294"/>
    <x v="2772"/>
    <x v="21"/>
    <x v="21"/>
    <x v="0"/>
  </r>
  <r>
    <x v="2"/>
    <x v="1"/>
    <x v="545"/>
    <x v="1"/>
    <x v="29"/>
    <x v="36"/>
    <x v="5"/>
    <x v="33"/>
    <x v="254"/>
    <x v="2469"/>
    <x v="26"/>
    <x v="26"/>
    <x v="0"/>
  </r>
  <r>
    <x v="2"/>
    <x v="1"/>
    <x v="545"/>
    <x v="1"/>
    <x v="29"/>
    <x v="36"/>
    <x v="4"/>
    <x v="33"/>
    <x v="212"/>
    <x v="2206"/>
    <x v="26"/>
    <x v="26"/>
    <x v="0"/>
  </r>
  <r>
    <x v="2"/>
    <x v="1"/>
    <x v="545"/>
    <x v="1"/>
    <x v="29"/>
    <x v="36"/>
    <x v="0"/>
    <x v="43"/>
    <x v="231"/>
    <x v="2615"/>
    <x v="16"/>
    <x v="16"/>
    <x v="0"/>
  </r>
  <r>
    <x v="2"/>
    <x v="1"/>
    <x v="545"/>
    <x v="1"/>
    <x v="29"/>
    <x v="36"/>
    <x v="3"/>
    <x v="48"/>
    <x v="307"/>
    <x v="2884"/>
    <x v="26"/>
    <x v="26"/>
    <x v="0"/>
  </r>
  <r>
    <x v="2"/>
    <x v="1"/>
    <x v="577"/>
    <x v="1"/>
    <x v="29"/>
    <x v="36"/>
    <x v="2"/>
    <x v="43"/>
    <x v="319"/>
    <x v="2915"/>
    <x v="21"/>
    <x v="21"/>
    <x v="0"/>
  </r>
  <r>
    <x v="2"/>
    <x v="1"/>
    <x v="577"/>
    <x v="1"/>
    <x v="29"/>
    <x v="36"/>
    <x v="1"/>
    <x v="38"/>
    <x v="294"/>
    <x v="2772"/>
    <x v="21"/>
    <x v="21"/>
    <x v="0"/>
  </r>
  <r>
    <x v="2"/>
    <x v="1"/>
    <x v="577"/>
    <x v="1"/>
    <x v="29"/>
    <x v="36"/>
    <x v="5"/>
    <x v="33"/>
    <x v="254"/>
    <x v="2469"/>
    <x v="26"/>
    <x v="26"/>
    <x v="0"/>
  </r>
  <r>
    <x v="2"/>
    <x v="1"/>
    <x v="577"/>
    <x v="1"/>
    <x v="29"/>
    <x v="36"/>
    <x v="4"/>
    <x v="33"/>
    <x v="174"/>
    <x v="1883"/>
    <x v="26"/>
    <x v="26"/>
    <x v="0"/>
  </r>
  <r>
    <x v="2"/>
    <x v="1"/>
    <x v="577"/>
    <x v="1"/>
    <x v="29"/>
    <x v="36"/>
    <x v="0"/>
    <x v="43"/>
    <x v="152"/>
    <x v="2022"/>
    <x v="16"/>
    <x v="16"/>
    <x v="0"/>
  </r>
  <r>
    <x v="2"/>
    <x v="1"/>
    <x v="577"/>
    <x v="1"/>
    <x v="29"/>
    <x v="36"/>
    <x v="3"/>
    <x v="48"/>
    <x v="285"/>
    <x v="2829"/>
    <x v="26"/>
    <x v="26"/>
    <x v="0"/>
  </r>
  <r>
    <x v="2"/>
    <x v="1"/>
    <x v="607"/>
    <x v="1"/>
    <x v="29"/>
    <x v="36"/>
    <x v="2"/>
    <x v="43"/>
    <x v="309"/>
    <x v="2878"/>
    <x v="21"/>
    <x v="21"/>
    <x v="0"/>
  </r>
  <r>
    <x v="2"/>
    <x v="1"/>
    <x v="607"/>
    <x v="1"/>
    <x v="29"/>
    <x v="36"/>
    <x v="1"/>
    <x v="38"/>
    <x v="231"/>
    <x v="2506"/>
    <x v="21"/>
    <x v="21"/>
    <x v="0"/>
  </r>
  <r>
    <x v="2"/>
    <x v="1"/>
    <x v="607"/>
    <x v="1"/>
    <x v="29"/>
    <x v="36"/>
    <x v="5"/>
    <x v="33"/>
    <x v="152"/>
    <x v="1674"/>
    <x v="26"/>
    <x v="26"/>
    <x v="0"/>
  </r>
  <r>
    <x v="2"/>
    <x v="1"/>
    <x v="607"/>
    <x v="1"/>
    <x v="29"/>
    <x v="36"/>
    <x v="4"/>
    <x v="33"/>
    <x v="129"/>
    <x v="1441"/>
    <x v="26"/>
    <x v="26"/>
    <x v="0"/>
  </r>
  <r>
    <x v="2"/>
    <x v="1"/>
    <x v="607"/>
    <x v="1"/>
    <x v="29"/>
    <x v="36"/>
    <x v="0"/>
    <x v="43"/>
    <x v="129"/>
    <x v="1779"/>
    <x v="16"/>
    <x v="16"/>
    <x v="0"/>
  </r>
  <r>
    <x v="2"/>
    <x v="1"/>
    <x v="607"/>
    <x v="1"/>
    <x v="29"/>
    <x v="36"/>
    <x v="3"/>
    <x v="48"/>
    <x v="212"/>
    <x v="2615"/>
    <x v="26"/>
    <x v="26"/>
    <x v="0"/>
  </r>
  <r>
    <x v="2"/>
    <x v="1"/>
    <x v="639"/>
    <x v="1"/>
    <x v="29"/>
    <x v="36"/>
    <x v="2"/>
    <x v="48"/>
    <x v="304"/>
    <x v="2873"/>
    <x v="21"/>
    <x v="21"/>
    <x v="0"/>
  </r>
  <r>
    <x v="2"/>
    <x v="1"/>
    <x v="639"/>
    <x v="1"/>
    <x v="29"/>
    <x v="36"/>
    <x v="1"/>
    <x v="43"/>
    <x v="212"/>
    <x v="2513"/>
    <x v="21"/>
    <x v="21"/>
    <x v="0"/>
  </r>
  <r>
    <x v="2"/>
    <x v="1"/>
    <x v="639"/>
    <x v="1"/>
    <x v="29"/>
    <x v="36"/>
    <x v="5"/>
    <x v="43"/>
    <x v="129"/>
    <x v="1779"/>
    <x v="26"/>
    <x v="26"/>
    <x v="0"/>
  </r>
  <r>
    <x v="2"/>
    <x v="1"/>
    <x v="639"/>
    <x v="1"/>
    <x v="29"/>
    <x v="36"/>
    <x v="4"/>
    <x v="43"/>
    <x v="105"/>
    <x v="1502"/>
    <x v="26"/>
    <x v="26"/>
    <x v="0"/>
  </r>
  <r>
    <x v="2"/>
    <x v="1"/>
    <x v="639"/>
    <x v="1"/>
    <x v="29"/>
    <x v="36"/>
    <x v="0"/>
    <x v="53"/>
    <x v="105"/>
    <x v="1779"/>
    <x v="16"/>
    <x v="16"/>
    <x v="0"/>
  </r>
  <r>
    <x v="3"/>
    <x v="1"/>
    <x v="639"/>
    <x v="1"/>
    <x v="29"/>
    <x v="36"/>
    <x v="3"/>
    <x v="58"/>
    <x v="212"/>
    <x v="2745"/>
    <x v="26"/>
    <x v="26"/>
    <x v="0"/>
  </r>
  <r>
    <x v="3"/>
    <x v="1"/>
    <x v="669"/>
    <x v="1"/>
    <x v="29"/>
    <x v="36"/>
    <x v="2"/>
    <x v="53"/>
    <x v="300"/>
    <x v="2880"/>
    <x v="21"/>
    <x v="21"/>
    <x v="0"/>
  </r>
  <r>
    <x v="3"/>
    <x v="1"/>
    <x v="669"/>
    <x v="1"/>
    <x v="29"/>
    <x v="36"/>
    <x v="1"/>
    <x v="43"/>
    <x v="231"/>
    <x v="2615"/>
    <x v="21"/>
    <x v="21"/>
    <x v="0"/>
  </r>
  <r>
    <x v="3"/>
    <x v="1"/>
    <x v="669"/>
    <x v="1"/>
    <x v="29"/>
    <x v="36"/>
    <x v="5"/>
    <x v="43"/>
    <x v="227"/>
    <x v="2594"/>
    <x v="26"/>
    <x v="26"/>
    <x v="0"/>
  </r>
  <r>
    <x v="3"/>
    <x v="1"/>
    <x v="669"/>
    <x v="1"/>
    <x v="29"/>
    <x v="36"/>
    <x v="4"/>
    <x v="43"/>
    <x v="212"/>
    <x v="2513"/>
    <x v="26"/>
    <x v="26"/>
    <x v="0"/>
  </r>
  <r>
    <x v="3"/>
    <x v="1"/>
    <x v="669"/>
    <x v="1"/>
    <x v="29"/>
    <x v="36"/>
    <x v="0"/>
    <x v="53"/>
    <x v="194"/>
    <x v="2594"/>
    <x v="16"/>
    <x v="16"/>
    <x v="0"/>
  </r>
  <r>
    <x v="3"/>
    <x v="1"/>
    <x v="669"/>
    <x v="1"/>
    <x v="29"/>
    <x v="36"/>
    <x v="3"/>
    <x v="58"/>
    <x v="273"/>
    <x v="2853"/>
    <x v="26"/>
    <x v="26"/>
    <x v="0"/>
  </r>
  <r>
    <x v="3"/>
    <x v="1"/>
    <x v="698"/>
    <x v="1"/>
    <x v="29"/>
    <x v="36"/>
    <x v="2"/>
    <x v="53"/>
    <x v="315"/>
    <x v="2933"/>
    <x v="21"/>
    <x v="21"/>
    <x v="0"/>
  </r>
  <r>
    <x v="3"/>
    <x v="1"/>
    <x v="698"/>
    <x v="1"/>
    <x v="29"/>
    <x v="36"/>
    <x v="1"/>
    <x v="43"/>
    <x v="285"/>
    <x v="2793"/>
    <x v="21"/>
    <x v="21"/>
    <x v="0"/>
  </r>
  <r>
    <x v="3"/>
    <x v="1"/>
    <x v="698"/>
    <x v="1"/>
    <x v="29"/>
    <x v="36"/>
    <x v="5"/>
    <x v="43"/>
    <x v="273"/>
    <x v="2745"/>
    <x v="26"/>
    <x v="26"/>
    <x v="0"/>
  </r>
  <r>
    <x v="3"/>
    <x v="1"/>
    <x v="698"/>
    <x v="1"/>
    <x v="29"/>
    <x v="36"/>
    <x v="4"/>
    <x v="43"/>
    <x v="231"/>
    <x v="2615"/>
    <x v="26"/>
    <x v="26"/>
    <x v="0"/>
  </r>
  <r>
    <x v="3"/>
    <x v="1"/>
    <x v="698"/>
    <x v="1"/>
    <x v="29"/>
    <x v="36"/>
    <x v="0"/>
    <x v="53"/>
    <x v="231"/>
    <x v="2757"/>
    <x v="16"/>
    <x v="16"/>
    <x v="0"/>
  </r>
  <r>
    <x v="3"/>
    <x v="1"/>
    <x v="698"/>
    <x v="1"/>
    <x v="29"/>
    <x v="36"/>
    <x v="3"/>
    <x v="58"/>
    <x v="294"/>
    <x v="2881"/>
    <x v="26"/>
    <x v="26"/>
    <x v="0"/>
  </r>
  <r>
    <x v="3"/>
    <x v="1"/>
    <x v="365"/>
    <x v="1"/>
    <x v="29"/>
    <x v="36"/>
    <x v="2"/>
    <x v="33"/>
    <x v="311"/>
    <x v="2840"/>
    <x v="26"/>
    <x v="26"/>
    <x v="0"/>
  </r>
  <r>
    <x v="3"/>
    <x v="1"/>
    <x v="365"/>
    <x v="1"/>
    <x v="29"/>
    <x v="36"/>
    <x v="1"/>
    <x v="33"/>
    <x v="254"/>
    <x v="2469"/>
    <x v="26"/>
    <x v="26"/>
    <x v="0"/>
  </r>
  <r>
    <x v="3"/>
    <x v="1"/>
    <x v="365"/>
    <x v="1"/>
    <x v="29"/>
    <x v="36"/>
    <x v="5"/>
    <x v="23"/>
    <x v="254"/>
    <x v="2064"/>
    <x v="16"/>
    <x v="16"/>
    <x v="0"/>
  </r>
  <r>
    <x v="3"/>
    <x v="1"/>
    <x v="365"/>
    <x v="1"/>
    <x v="29"/>
    <x v="36"/>
    <x v="4"/>
    <x v="28"/>
    <x v="129"/>
    <x v="1267"/>
    <x v="16"/>
    <x v="16"/>
    <x v="0"/>
  </r>
  <r>
    <x v="3"/>
    <x v="1"/>
    <x v="365"/>
    <x v="1"/>
    <x v="29"/>
    <x v="36"/>
    <x v="0"/>
    <x v="43"/>
    <x v="174"/>
    <x v="2206"/>
    <x v="16"/>
    <x v="16"/>
    <x v="0"/>
  </r>
  <r>
    <x v="3"/>
    <x v="1"/>
    <x v="365"/>
    <x v="1"/>
    <x v="29"/>
    <x v="36"/>
    <x v="3"/>
    <x v="33"/>
    <x v="254"/>
    <x v="2469"/>
    <x v="21"/>
    <x v="21"/>
    <x v="0"/>
  </r>
  <r>
    <x v="3"/>
    <x v="1"/>
    <x v="394"/>
    <x v="1"/>
    <x v="29"/>
    <x v="36"/>
    <x v="2"/>
    <x v="33"/>
    <x v="315"/>
    <x v="2862"/>
    <x v="26"/>
    <x v="26"/>
    <x v="0"/>
  </r>
  <r>
    <x v="3"/>
    <x v="1"/>
    <x v="394"/>
    <x v="1"/>
    <x v="29"/>
    <x v="36"/>
    <x v="1"/>
    <x v="33"/>
    <x v="174"/>
    <x v="1883"/>
    <x v="26"/>
    <x v="26"/>
    <x v="0"/>
  </r>
  <r>
    <x v="3"/>
    <x v="1"/>
    <x v="394"/>
    <x v="1"/>
    <x v="29"/>
    <x v="36"/>
    <x v="5"/>
    <x v="23"/>
    <x v="212"/>
    <x v="1779"/>
    <x v="16"/>
    <x v="16"/>
    <x v="0"/>
  </r>
  <r>
    <x v="3"/>
    <x v="1"/>
    <x v="394"/>
    <x v="1"/>
    <x v="6"/>
    <x v="20"/>
    <x v="4"/>
    <x v="28"/>
    <x v="105"/>
    <x v="1051"/>
    <x v="16"/>
    <x v="16"/>
    <x v="0"/>
  </r>
  <r>
    <x v="3"/>
    <x v="1"/>
    <x v="394"/>
    <x v="1"/>
    <x v="6"/>
    <x v="20"/>
    <x v="0"/>
    <x v="43"/>
    <x v="174"/>
    <x v="2206"/>
    <x v="16"/>
    <x v="16"/>
    <x v="0"/>
  </r>
  <r>
    <x v="3"/>
    <x v="1"/>
    <x v="394"/>
    <x v="1"/>
    <x v="6"/>
    <x v="20"/>
    <x v="3"/>
    <x v="33"/>
    <x v="254"/>
    <x v="2469"/>
    <x v="21"/>
    <x v="21"/>
    <x v="0"/>
  </r>
  <r>
    <x v="3"/>
    <x v="1"/>
    <x v="420"/>
    <x v="1"/>
    <x v="6"/>
    <x v="20"/>
    <x v="2"/>
    <x v="33"/>
    <x v="312"/>
    <x v="2851"/>
    <x v="26"/>
    <x v="26"/>
    <x v="0"/>
  </r>
  <r>
    <x v="3"/>
    <x v="1"/>
    <x v="420"/>
    <x v="1"/>
    <x v="6"/>
    <x v="20"/>
    <x v="1"/>
    <x v="33"/>
    <x v="194"/>
    <x v="2064"/>
    <x v="26"/>
    <x v="26"/>
    <x v="0"/>
  </r>
  <r>
    <x v="3"/>
    <x v="1"/>
    <x v="420"/>
    <x v="1"/>
    <x v="6"/>
    <x v="20"/>
    <x v="5"/>
    <x v="23"/>
    <x v="212"/>
    <x v="1779"/>
    <x v="16"/>
    <x v="16"/>
    <x v="0"/>
  </r>
  <r>
    <x v="3"/>
    <x v="1"/>
    <x v="420"/>
    <x v="1"/>
    <x v="6"/>
    <x v="20"/>
    <x v="4"/>
    <x v="28"/>
    <x v="82"/>
    <x v="821"/>
    <x v="16"/>
    <x v="16"/>
    <x v="0"/>
  </r>
  <r>
    <x v="3"/>
    <x v="1"/>
    <x v="420"/>
    <x v="1"/>
    <x v="6"/>
    <x v="20"/>
    <x v="0"/>
    <x v="43"/>
    <x v="129"/>
    <x v="1779"/>
    <x v="16"/>
    <x v="16"/>
    <x v="0"/>
  </r>
  <r>
    <x v="3"/>
    <x v="1"/>
    <x v="420"/>
    <x v="1"/>
    <x v="6"/>
    <x v="20"/>
    <x v="3"/>
    <x v="33"/>
    <x v="212"/>
    <x v="2206"/>
    <x v="21"/>
    <x v="21"/>
    <x v="0"/>
  </r>
  <r>
    <x v="3"/>
    <x v="1"/>
    <x v="452"/>
    <x v="1"/>
    <x v="6"/>
    <x v="20"/>
    <x v="2"/>
    <x v="33"/>
    <x v="311"/>
    <x v="2840"/>
    <x v="26"/>
    <x v="26"/>
    <x v="0"/>
  </r>
  <r>
    <x v="3"/>
    <x v="1"/>
    <x v="452"/>
    <x v="1"/>
    <x v="6"/>
    <x v="20"/>
    <x v="1"/>
    <x v="33"/>
    <x v="174"/>
    <x v="1883"/>
    <x v="26"/>
    <x v="26"/>
    <x v="0"/>
  </r>
  <r>
    <x v="3"/>
    <x v="1"/>
    <x v="452"/>
    <x v="1"/>
    <x v="6"/>
    <x v="20"/>
    <x v="5"/>
    <x v="23"/>
    <x v="174"/>
    <x v="1441"/>
    <x v="16"/>
    <x v="16"/>
    <x v="0"/>
  </r>
  <r>
    <x v="3"/>
    <x v="1"/>
    <x v="452"/>
    <x v="1"/>
    <x v="6"/>
    <x v="20"/>
    <x v="4"/>
    <x v="28"/>
    <x v="105"/>
    <x v="1051"/>
    <x v="16"/>
    <x v="16"/>
    <x v="0"/>
  </r>
  <r>
    <x v="3"/>
    <x v="1"/>
    <x v="452"/>
    <x v="1"/>
    <x v="6"/>
    <x v="20"/>
    <x v="0"/>
    <x v="43"/>
    <x v="105"/>
    <x v="1502"/>
    <x v="16"/>
    <x v="16"/>
    <x v="0"/>
  </r>
  <r>
    <x v="3"/>
    <x v="1"/>
    <x v="452"/>
    <x v="1"/>
    <x v="6"/>
    <x v="20"/>
    <x v="3"/>
    <x v="33"/>
    <x v="231"/>
    <x v="2350"/>
    <x v="21"/>
    <x v="21"/>
    <x v="0"/>
  </r>
  <r>
    <x v="3"/>
    <x v="1"/>
    <x v="481"/>
    <x v="1"/>
    <x v="6"/>
    <x v="20"/>
    <x v="2"/>
    <x v="48"/>
    <x v="314"/>
    <x v="2914"/>
    <x v="26"/>
    <x v="26"/>
    <x v="0"/>
  </r>
  <r>
    <x v="3"/>
    <x v="1"/>
    <x v="481"/>
    <x v="1"/>
    <x v="6"/>
    <x v="20"/>
    <x v="1"/>
    <x v="43"/>
    <x v="212"/>
    <x v="2513"/>
    <x v="26"/>
    <x v="26"/>
    <x v="0"/>
  </r>
  <r>
    <x v="3"/>
    <x v="1"/>
    <x v="481"/>
    <x v="1"/>
    <x v="6"/>
    <x v="20"/>
    <x v="5"/>
    <x v="38"/>
    <x v="231"/>
    <x v="2506"/>
    <x v="16"/>
    <x v="16"/>
    <x v="0"/>
  </r>
  <r>
    <x v="3"/>
    <x v="1"/>
    <x v="481"/>
    <x v="1"/>
    <x v="6"/>
    <x v="20"/>
    <x v="4"/>
    <x v="38"/>
    <x v="194"/>
    <x v="2227"/>
    <x v="16"/>
    <x v="16"/>
    <x v="0"/>
  </r>
  <r>
    <x v="3"/>
    <x v="1"/>
    <x v="481"/>
    <x v="1"/>
    <x v="6"/>
    <x v="20"/>
    <x v="0"/>
    <x v="48"/>
    <x v="212"/>
    <x v="2615"/>
    <x v="16"/>
    <x v="16"/>
    <x v="0"/>
  </r>
  <r>
    <x v="3"/>
    <x v="1"/>
    <x v="481"/>
    <x v="1"/>
    <x v="6"/>
    <x v="20"/>
    <x v="3"/>
    <x v="53"/>
    <x v="294"/>
    <x v="2866"/>
    <x v="21"/>
    <x v="21"/>
    <x v="0"/>
  </r>
  <r>
    <x v="3"/>
    <x v="1"/>
    <x v="514"/>
    <x v="1"/>
    <x v="6"/>
    <x v="20"/>
    <x v="2"/>
    <x v="48"/>
    <x v="321"/>
    <x v="2939"/>
    <x v="26"/>
    <x v="26"/>
    <x v="0"/>
  </r>
  <r>
    <x v="3"/>
    <x v="1"/>
    <x v="514"/>
    <x v="1"/>
    <x v="6"/>
    <x v="20"/>
    <x v="1"/>
    <x v="43"/>
    <x v="294"/>
    <x v="2817"/>
    <x v="26"/>
    <x v="26"/>
    <x v="0"/>
  </r>
  <r>
    <x v="3"/>
    <x v="1"/>
    <x v="514"/>
    <x v="1"/>
    <x v="6"/>
    <x v="20"/>
    <x v="5"/>
    <x v="38"/>
    <x v="254"/>
    <x v="2594"/>
    <x v="16"/>
    <x v="16"/>
    <x v="0"/>
  </r>
  <r>
    <x v="3"/>
    <x v="1"/>
    <x v="514"/>
    <x v="1"/>
    <x v="6"/>
    <x v="20"/>
    <x v="4"/>
    <x v="38"/>
    <x v="231"/>
    <x v="2506"/>
    <x v="16"/>
    <x v="16"/>
    <x v="0"/>
  </r>
  <r>
    <x v="3"/>
    <x v="1"/>
    <x v="514"/>
    <x v="1"/>
    <x v="6"/>
    <x v="20"/>
    <x v="0"/>
    <x v="48"/>
    <x v="231"/>
    <x v="2694"/>
    <x v="16"/>
    <x v="16"/>
    <x v="0"/>
  </r>
  <r>
    <x v="3"/>
    <x v="1"/>
    <x v="514"/>
    <x v="1"/>
    <x v="6"/>
    <x v="20"/>
    <x v="3"/>
    <x v="53"/>
    <x v="304"/>
    <x v="2888"/>
    <x v="21"/>
    <x v="21"/>
    <x v="0"/>
  </r>
  <r>
    <x v="3"/>
    <x v="1"/>
    <x v="542"/>
    <x v="1"/>
    <x v="6"/>
    <x v="20"/>
    <x v="2"/>
    <x v="48"/>
    <x v="323"/>
    <x v="2945"/>
    <x v="26"/>
    <x v="26"/>
    <x v="0"/>
  </r>
  <r>
    <x v="3"/>
    <x v="1"/>
    <x v="542"/>
    <x v="1"/>
    <x v="6"/>
    <x v="20"/>
    <x v="1"/>
    <x v="43"/>
    <x v="300"/>
    <x v="2840"/>
    <x v="26"/>
    <x v="26"/>
    <x v="0"/>
  </r>
  <r>
    <x v="3"/>
    <x v="1"/>
    <x v="542"/>
    <x v="1"/>
    <x v="6"/>
    <x v="20"/>
    <x v="5"/>
    <x v="38"/>
    <x v="273"/>
    <x v="2673"/>
    <x v="16"/>
    <x v="16"/>
    <x v="0"/>
  </r>
  <r>
    <x v="3"/>
    <x v="1"/>
    <x v="542"/>
    <x v="1"/>
    <x v="6"/>
    <x v="20"/>
    <x v="4"/>
    <x v="38"/>
    <x v="231"/>
    <x v="2506"/>
    <x v="16"/>
    <x v="16"/>
    <x v="0"/>
  </r>
  <r>
    <x v="3"/>
    <x v="1"/>
    <x v="542"/>
    <x v="1"/>
    <x v="6"/>
    <x v="20"/>
    <x v="0"/>
    <x v="48"/>
    <x v="254"/>
    <x v="2757"/>
    <x v="16"/>
    <x v="16"/>
    <x v="0"/>
  </r>
  <r>
    <x v="3"/>
    <x v="1"/>
    <x v="542"/>
    <x v="1"/>
    <x v="6"/>
    <x v="20"/>
    <x v="3"/>
    <x v="53"/>
    <x v="309"/>
    <x v="2906"/>
    <x v="21"/>
    <x v="21"/>
    <x v="0"/>
  </r>
  <r>
    <x v="3"/>
    <x v="1"/>
    <x v="574"/>
    <x v="1"/>
    <x v="6"/>
    <x v="20"/>
    <x v="2"/>
    <x v="48"/>
    <x v="321"/>
    <x v="2939"/>
    <x v="26"/>
    <x v="26"/>
    <x v="0"/>
  </r>
  <r>
    <x v="3"/>
    <x v="1"/>
    <x v="574"/>
    <x v="1"/>
    <x v="6"/>
    <x v="20"/>
    <x v="1"/>
    <x v="43"/>
    <x v="300"/>
    <x v="2840"/>
    <x v="26"/>
    <x v="26"/>
    <x v="0"/>
  </r>
  <r>
    <x v="3"/>
    <x v="1"/>
    <x v="574"/>
    <x v="1"/>
    <x v="6"/>
    <x v="20"/>
    <x v="5"/>
    <x v="38"/>
    <x v="273"/>
    <x v="2673"/>
    <x v="16"/>
    <x v="16"/>
    <x v="0"/>
  </r>
  <r>
    <x v="3"/>
    <x v="1"/>
    <x v="574"/>
    <x v="1"/>
    <x v="6"/>
    <x v="20"/>
    <x v="4"/>
    <x v="38"/>
    <x v="194"/>
    <x v="2227"/>
    <x v="16"/>
    <x v="16"/>
    <x v="0"/>
  </r>
  <r>
    <x v="3"/>
    <x v="1"/>
    <x v="574"/>
    <x v="1"/>
    <x v="6"/>
    <x v="20"/>
    <x v="0"/>
    <x v="48"/>
    <x v="174"/>
    <x v="2350"/>
    <x v="16"/>
    <x v="16"/>
    <x v="0"/>
  </r>
  <r>
    <x v="3"/>
    <x v="1"/>
    <x v="574"/>
    <x v="1"/>
    <x v="6"/>
    <x v="20"/>
    <x v="3"/>
    <x v="53"/>
    <x v="294"/>
    <x v="2866"/>
    <x v="21"/>
    <x v="21"/>
    <x v="0"/>
  </r>
  <r>
    <x v="3"/>
    <x v="1"/>
    <x v="604"/>
    <x v="1"/>
    <x v="6"/>
    <x v="20"/>
    <x v="2"/>
    <x v="48"/>
    <x v="311"/>
    <x v="2899"/>
    <x v="26"/>
    <x v="26"/>
    <x v="0"/>
  </r>
  <r>
    <x v="3"/>
    <x v="1"/>
    <x v="604"/>
    <x v="1"/>
    <x v="6"/>
    <x v="20"/>
    <x v="1"/>
    <x v="43"/>
    <x v="254"/>
    <x v="2686"/>
    <x v="26"/>
    <x v="26"/>
    <x v="0"/>
  </r>
  <r>
    <x v="3"/>
    <x v="1"/>
    <x v="604"/>
    <x v="1"/>
    <x v="6"/>
    <x v="20"/>
    <x v="5"/>
    <x v="38"/>
    <x v="174"/>
    <x v="2064"/>
    <x v="16"/>
    <x v="16"/>
    <x v="0"/>
  </r>
  <r>
    <x v="3"/>
    <x v="1"/>
    <x v="604"/>
    <x v="1"/>
    <x v="6"/>
    <x v="20"/>
    <x v="4"/>
    <x v="38"/>
    <x v="152"/>
    <x v="1857"/>
    <x v="16"/>
    <x v="16"/>
    <x v="0"/>
  </r>
  <r>
    <x v="3"/>
    <x v="1"/>
    <x v="604"/>
    <x v="1"/>
    <x v="6"/>
    <x v="20"/>
    <x v="0"/>
    <x v="48"/>
    <x v="152"/>
    <x v="2158"/>
    <x v="16"/>
    <x v="16"/>
    <x v="0"/>
  </r>
  <r>
    <x v="3"/>
    <x v="1"/>
    <x v="604"/>
    <x v="1"/>
    <x v="6"/>
    <x v="20"/>
    <x v="3"/>
    <x v="53"/>
    <x v="231"/>
    <x v="2757"/>
    <x v="21"/>
    <x v="21"/>
    <x v="0"/>
  </r>
  <r>
    <x v="3"/>
    <x v="1"/>
    <x v="636"/>
    <x v="1"/>
    <x v="6"/>
    <x v="20"/>
    <x v="2"/>
    <x v="53"/>
    <x v="307"/>
    <x v="2895"/>
    <x v="26"/>
    <x v="26"/>
    <x v="0"/>
  </r>
  <r>
    <x v="3"/>
    <x v="1"/>
    <x v="636"/>
    <x v="1"/>
    <x v="6"/>
    <x v="20"/>
    <x v="1"/>
    <x v="48"/>
    <x v="231"/>
    <x v="2694"/>
    <x v="26"/>
    <x v="26"/>
    <x v="0"/>
  </r>
  <r>
    <x v="3"/>
    <x v="1"/>
    <x v="636"/>
    <x v="1"/>
    <x v="6"/>
    <x v="20"/>
    <x v="5"/>
    <x v="48"/>
    <x v="152"/>
    <x v="2158"/>
    <x v="16"/>
    <x v="16"/>
    <x v="0"/>
  </r>
  <r>
    <x v="3"/>
    <x v="1"/>
    <x v="636"/>
    <x v="1"/>
    <x v="6"/>
    <x v="20"/>
    <x v="4"/>
    <x v="48"/>
    <x v="129"/>
    <x v="1929"/>
    <x v="16"/>
    <x v="16"/>
    <x v="0"/>
  </r>
  <r>
    <x v="3"/>
    <x v="1"/>
    <x v="636"/>
    <x v="1"/>
    <x v="6"/>
    <x v="20"/>
    <x v="0"/>
    <x v="58"/>
    <x v="129"/>
    <x v="2173"/>
    <x v="16"/>
    <x v="16"/>
    <x v="0"/>
  </r>
  <r>
    <x v="1"/>
    <x v="1"/>
    <x v="636"/>
    <x v="1"/>
    <x v="6"/>
    <x v="20"/>
    <x v="3"/>
    <x v="63"/>
    <x v="231"/>
    <x v="2829"/>
    <x v="21"/>
    <x v="21"/>
    <x v="0"/>
  </r>
  <r>
    <x v="1"/>
    <x v="1"/>
    <x v="666"/>
    <x v="1"/>
    <x v="6"/>
    <x v="20"/>
    <x v="2"/>
    <x v="58"/>
    <x v="304"/>
    <x v="2901"/>
    <x v="26"/>
    <x v="26"/>
    <x v="0"/>
  </r>
  <r>
    <x v="1"/>
    <x v="1"/>
    <x v="666"/>
    <x v="1"/>
    <x v="6"/>
    <x v="20"/>
    <x v="1"/>
    <x v="48"/>
    <x v="254"/>
    <x v="2757"/>
    <x v="26"/>
    <x v="26"/>
    <x v="0"/>
  </r>
  <r>
    <x v="1"/>
    <x v="1"/>
    <x v="666"/>
    <x v="1"/>
    <x v="6"/>
    <x v="20"/>
    <x v="5"/>
    <x v="48"/>
    <x v="249"/>
    <x v="2743"/>
    <x v="16"/>
    <x v="16"/>
    <x v="0"/>
  </r>
  <r>
    <x v="1"/>
    <x v="1"/>
    <x v="666"/>
    <x v="1"/>
    <x v="6"/>
    <x v="20"/>
    <x v="4"/>
    <x v="48"/>
    <x v="231"/>
    <x v="2694"/>
    <x v="16"/>
    <x v="16"/>
    <x v="0"/>
  </r>
  <r>
    <x v="1"/>
    <x v="1"/>
    <x v="666"/>
    <x v="1"/>
    <x v="6"/>
    <x v="20"/>
    <x v="0"/>
    <x v="58"/>
    <x v="212"/>
    <x v="2745"/>
    <x v="16"/>
    <x v="16"/>
    <x v="0"/>
  </r>
  <r>
    <x v="1"/>
    <x v="1"/>
    <x v="666"/>
    <x v="1"/>
    <x v="6"/>
    <x v="20"/>
    <x v="3"/>
    <x v="63"/>
    <x v="285"/>
    <x v="2882"/>
    <x v="21"/>
    <x v="21"/>
    <x v="0"/>
  </r>
  <r>
    <x v="1"/>
    <x v="1"/>
    <x v="695"/>
    <x v="1"/>
    <x v="6"/>
    <x v="20"/>
    <x v="2"/>
    <x v="58"/>
    <x v="317"/>
    <x v="2954"/>
    <x v="26"/>
    <x v="26"/>
    <x v="0"/>
  </r>
  <r>
    <x v="1"/>
    <x v="1"/>
    <x v="695"/>
    <x v="1"/>
    <x v="6"/>
    <x v="20"/>
    <x v="1"/>
    <x v="48"/>
    <x v="294"/>
    <x v="2850"/>
    <x v="26"/>
    <x v="26"/>
    <x v="0"/>
  </r>
  <r>
    <x v="1"/>
    <x v="1"/>
    <x v="695"/>
    <x v="1"/>
    <x v="6"/>
    <x v="20"/>
    <x v="5"/>
    <x v="48"/>
    <x v="285"/>
    <x v="2829"/>
    <x v="16"/>
    <x v="16"/>
    <x v="0"/>
  </r>
  <r>
    <x v="1"/>
    <x v="1"/>
    <x v="695"/>
    <x v="1"/>
    <x v="6"/>
    <x v="20"/>
    <x v="4"/>
    <x v="48"/>
    <x v="254"/>
    <x v="2757"/>
    <x v="16"/>
    <x v="16"/>
    <x v="0"/>
  </r>
  <r>
    <x v="1"/>
    <x v="1"/>
    <x v="695"/>
    <x v="1"/>
    <x v="6"/>
    <x v="20"/>
    <x v="0"/>
    <x v="58"/>
    <x v="254"/>
    <x v="2833"/>
    <x v="16"/>
    <x v="16"/>
    <x v="0"/>
  </r>
  <r>
    <x v="1"/>
    <x v="1"/>
    <x v="695"/>
    <x v="1"/>
    <x v="6"/>
    <x v="20"/>
    <x v="3"/>
    <x v="63"/>
    <x v="300"/>
    <x v="2903"/>
    <x v="21"/>
    <x v="21"/>
    <x v="0"/>
  </r>
  <r>
    <x v="1"/>
    <x v="1"/>
    <x v="368"/>
    <x v="1"/>
    <x v="6"/>
    <x v="20"/>
    <x v="2"/>
    <x v="28"/>
    <x v="304"/>
    <x v="2682"/>
    <x v="21"/>
    <x v="21"/>
    <x v="0"/>
  </r>
  <r>
    <x v="1"/>
    <x v="1"/>
    <x v="368"/>
    <x v="1"/>
    <x v="6"/>
    <x v="20"/>
    <x v="1"/>
    <x v="28"/>
    <x v="194"/>
    <x v="1857"/>
    <x v="21"/>
    <x v="21"/>
    <x v="0"/>
  </r>
  <r>
    <x v="1"/>
    <x v="1"/>
    <x v="368"/>
    <x v="1"/>
    <x v="6"/>
    <x v="20"/>
    <x v="5"/>
    <x v="18"/>
    <x v="194"/>
    <x v="1355"/>
    <x v="26"/>
    <x v="26"/>
    <x v="0"/>
  </r>
  <r>
    <x v="1"/>
    <x v="1"/>
    <x v="368"/>
    <x v="1"/>
    <x v="6"/>
    <x v="20"/>
    <x v="4"/>
    <x v="23"/>
    <x v="62"/>
    <x v="461"/>
    <x v="26"/>
    <x v="26"/>
    <x v="0"/>
  </r>
  <r>
    <x v="1"/>
    <x v="1"/>
    <x v="368"/>
    <x v="1"/>
    <x v="6"/>
    <x v="20"/>
    <x v="0"/>
    <x v="38"/>
    <x v="105"/>
    <x v="1355"/>
    <x v="16"/>
    <x v="16"/>
    <x v="0"/>
  </r>
  <r>
    <x v="1"/>
    <x v="1"/>
    <x v="368"/>
    <x v="1"/>
    <x v="6"/>
    <x v="20"/>
    <x v="3"/>
    <x v="28"/>
    <x v="194"/>
    <x v="1857"/>
    <x v="26"/>
    <x v="26"/>
    <x v="0"/>
  </r>
  <r>
    <x v="1"/>
    <x v="1"/>
    <x v="397"/>
    <x v="1"/>
    <x v="6"/>
    <x v="20"/>
    <x v="2"/>
    <x v="28"/>
    <x v="309"/>
    <x v="2763"/>
    <x v="21"/>
    <x v="21"/>
    <x v="0"/>
  </r>
  <r>
    <x v="1"/>
    <x v="1"/>
    <x v="397"/>
    <x v="1"/>
    <x v="6"/>
    <x v="20"/>
    <x v="1"/>
    <x v="28"/>
    <x v="105"/>
    <x v="1051"/>
    <x v="21"/>
    <x v="21"/>
    <x v="0"/>
  </r>
  <r>
    <x v="1"/>
    <x v="1"/>
    <x v="397"/>
    <x v="1"/>
    <x v="6"/>
    <x v="20"/>
    <x v="5"/>
    <x v="18"/>
    <x v="152"/>
    <x v="1051"/>
    <x v="26"/>
    <x v="26"/>
    <x v="0"/>
  </r>
  <r>
    <x v="1"/>
    <x v="1"/>
    <x v="397"/>
    <x v="1"/>
    <x v="38"/>
    <x v="43"/>
    <x v="4"/>
    <x v="23"/>
    <x v="39"/>
    <x v="250"/>
    <x v="26"/>
    <x v="26"/>
    <x v="0"/>
  </r>
  <r>
    <x v="1"/>
    <x v="1"/>
    <x v="397"/>
    <x v="1"/>
    <x v="38"/>
    <x v="43"/>
    <x v="0"/>
    <x v="38"/>
    <x v="105"/>
    <x v="1355"/>
    <x v="16"/>
    <x v="16"/>
    <x v="0"/>
  </r>
  <r>
    <x v="1"/>
    <x v="1"/>
    <x v="397"/>
    <x v="1"/>
    <x v="38"/>
    <x v="43"/>
    <x v="3"/>
    <x v="28"/>
    <x v="194"/>
    <x v="1857"/>
    <x v="26"/>
    <x v="26"/>
    <x v="0"/>
  </r>
  <r>
    <x v="1"/>
    <x v="1"/>
    <x v="423"/>
    <x v="1"/>
    <x v="38"/>
    <x v="43"/>
    <x v="2"/>
    <x v="28"/>
    <x v="306"/>
    <x v="2719"/>
    <x v="21"/>
    <x v="21"/>
    <x v="0"/>
  </r>
  <r>
    <x v="1"/>
    <x v="1"/>
    <x v="423"/>
    <x v="1"/>
    <x v="38"/>
    <x v="43"/>
    <x v="1"/>
    <x v="28"/>
    <x v="129"/>
    <x v="1267"/>
    <x v="21"/>
    <x v="21"/>
    <x v="0"/>
  </r>
  <r>
    <x v="1"/>
    <x v="1"/>
    <x v="423"/>
    <x v="1"/>
    <x v="38"/>
    <x v="43"/>
    <x v="5"/>
    <x v="18"/>
    <x v="152"/>
    <x v="1051"/>
    <x v="26"/>
    <x v="26"/>
    <x v="0"/>
  </r>
  <r>
    <x v="1"/>
    <x v="1"/>
    <x v="423"/>
    <x v="1"/>
    <x v="38"/>
    <x v="43"/>
    <x v="4"/>
    <x v="23"/>
    <x v="15"/>
    <x v="71"/>
    <x v="26"/>
    <x v="26"/>
    <x v="0"/>
  </r>
  <r>
    <x v="1"/>
    <x v="1"/>
    <x v="423"/>
    <x v="1"/>
    <x v="38"/>
    <x v="43"/>
    <x v="0"/>
    <x v="38"/>
    <x v="62"/>
    <x v="784"/>
    <x v="16"/>
    <x v="16"/>
    <x v="0"/>
  </r>
  <r>
    <x v="1"/>
    <x v="1"/>
    <x v="423"/>
    <x v="1"/>
    <x v="38"/>
    <x v="43"/>
    <x v="3"/>
    <x v="28"/>
    <x v="152"/>
    <x v="1471"/>
    <x v="26"/>
    <x v="26"/>
    <x v="0"/>
  </r>
  <r>
    <x v="1"/>
    <x v="1"/>
    <x v="455"/>
    <x v="1"/>
    <x v="38"/>
    <x v="43"/>
    <x v="2"/>
    <x v="28"/>
    <x v="304"/>
    <x v="2682"/>
    <x v="21"/>
    <x v="21"/>
    <x v="0"/>
  </r>
  <r>
    <x v="1"/>
    <x v="1"/>
    <x v="455"/>
    <x v="1"/>
    <x v="38"/>
    <x v="43"/>
    <x v="1"/>
    <x v="28"/>
    <x v="105"/>
    <x v="1051"/>
    <x v="21"/>
    <x v="21"/>
    <x v="0"/>
  </r>
  <r>
    <x v="1"/>
    <x v="1"/>
    <x v="455"/>
    <x v="1"/>
    <x v="38"/>
    <x v="43"/>
    <x v="5"/>
    <x v="18"/>
    <x v="105"/>
    <x v="712"/>
    <x v="26"/>
    <x v="26"/>
    <x v="0"/>
  </r>
  <r>
    <x v="1"/>
    <x v="1"/>
    <x v="455"/>
    <x v="1"/>
    <x v="38"/>
    <x v="43"/>
    <x v="4"/>
    <x v="23"/>
    <x v="39"/>
    <x v="250"/>
    <x v="26"/>
    <x v="26"/>
    <x v="0"/>
  </r>
  <r>
    <x v="1"/>
    <x v="1"/>
    <x v="455"/>
    <x v="1"/>
    <x v="38"/>
    <x v="43"/>
    <x v="0"/>
    <x v="38"/>
    <x v="39"/>
    <x v="461"/>
    <x v="16"/>
    <x v="16"/>
    <x v="0"/>
  </r>
  <r>
    <x v="1"/>
    <x v="1"/>
    <x v="455"/>
    <x v="1"/>
    <x v="38"/>
    <x v="43"/>
    <x v="3"/>
    <x v="28"/>
    <x v="174"/>
    <x v="1674"/>
    <x v="26"/>
    <x v="26"/>
    <x v="0"/>
  </r>
  <r>
    <x v="1"/>
    <x v="1"/>
    <x v="484"/>
    <x v="1"/>
    <x v="38"/>
    <x v="43"/>
    <x v="2"/>
    <x v="43"/>
    <x v="308"/>
    <x v="2876"/>
    <x v="21"/>
    <x v="21"/>
    <x v="0"/>
  </r>
  <r>
    <x v="1"/>
    <x v="1"/>
    <x v="484"/>
    <x v="1"/>
    <x v="38"/>
    <x v="43"/>
    <x v="1"/>
    <x v="38"/>
    <x v="152"/>
    <x v="1857"/>
    <x v="21"/>
    <x v="21"/>
    <x v="0"/>
  </r>
  <r>
    <x v="1"/>
    <x v="1"/>
    <x v="484"/>
    <x v="1"/>
    <x v="38"/>
    <x v="43"/>
    <x v="5"/>
    <x v="33"/>
    <x v="174"/>
    <x v="1883"/>
    <x v="26"/>
    <x v="26"/>
    <x v="0"/>
  </r>
  <r>
    <x v="1"/>
    <x v="1"/>
    <x v="484"/>
    <x v="1"/>
    <x v="38"/>
    <x v="43"/>
    <x v="4"/>
    <x v="33"/>
    <x v="129"/>
    <x v="1441"/>
    <x v="26"/>
    <x v="26"/>
    <x v="0"/>
  </r>
  <r>
    <x v="1"/>
    <x v="1"/>
    <x v="484"/>
    <x v="1"/>
    <x v="38"/>
    <x v="43"/>
    <x v="0"/>
    <x v="43"/>
    <x v="152"/>
    <x v="2022"/>
    <x v="16"/>
    <x v="16"/>
    <x v="0"/>
  </r>
  <r>
    <x v="1"/>
    <x v="1"/>
    <x v="484"/>
    <x v="1"/>
    <x v="38"/>
    <x v="43"/>
    <x v="3"/>
    <x v="48"/>
    <x v="254"/>
    <x v="2757"/>
    <x v="26"/>
    <x v="26"/>
    <x v="0"/>
  </r>
  <r>
    <x v="1"/>
    <x v="1"/>
    <x v="517"/>
    <x v="1"/>
    <x v="38"/>
    <x v="43"/>
    <x v="2"/>
    <x v="43"/>
    <x v="315"/>
    <x v="2899"/>
    <x v="21"/>
    <x v="21"/>
    <x v="0"/>
  </r>
  <r>
    <x v="1"/>
    <x v="1"/>
    <x v="517"/>
    <x v="1"/>
    <x v="38"/>
    <x v="43"/>
    <x v="1"/>
    <x v="38"/>
    <x v="254"/>
    <x v="2594"/>
    <x v="21"/>
    <x v="21"/>
    <x v="0"/>
  </r>
  <r>
    <x v="1"/>
    <x v="1"/>
    <x v="517"/>
    <x v="1"/>
    <x v="38"/>
    <x v="43"/>
    <x v="5"/>
    <x v="33"/>
    <x v="194"/>
    <x v="2064"/>
    <x v="26"/>
    <x v="26"/>
    <x v="0"/>
  </r>
  <r>
    <x v="1"/>
    <x v="1"/>
    <x v="517"/>
    <x v="1"/>
    <x v="38"/>
    <x v="43"/>
    <x v="4"/>
    <x v="33"/>
    <x v="174"/>
    <x v="1883"/>
    <x v="26"/>
    <x v="26"/>
    <x v="0"/>
  </r>
  <r>
    <x v="1"/>
    <x v="1"/>
    <x v="517"/>
    <x v="1"/>
    <x v="38"/>
    <x v="43"/>
    <x v="0"/>
    <x v="43"/>
    <x v="174"/>
    <x v="2206"/>
    <x v="16"/>
    <x v="16"/>
    <x v="0"/>
  </r>
  <r>
    <x v="1"/>
    <x v="1"/>
    <x v="517"/>
    <x v="1"/>
    <x v="38"/>
    <x v="43"/>
    <x v="3"/>
    <x v="48"/>
    <x v="285"/>
    <x v="2829"/>
    <x v="26"/>
    <x v="26"/>
    <x v="0"/>
  </r>
  <r>
    <x v="1"/>
    <x v="1"/>
    <x v="545"/>
    <x v="1"/>
    <x v="38"/>
    <x v="43"/>
    <x v="2"/>
    <x v="43"/>
    <x v="317"/>
    <x v="2907"/>
    <x v="21"/>
    <x v="21"/>
    <x v="0"/>
  </r>
  <r>
    <x v="1"/>
    <x v="1"/>
    <x v="545"/>
    <x v="1"/>
    <x v="38"/>
    <x v="43"/>
    <x v="1"/>
    <x v="38"/>
    <x v="273"/>
    <x v="2673"/>
    <x v="21"/>
    <x v="21"/>
    <x v="0"/>
  </r>
  <r>
    <x v="1"/>
    <x v="1"/>
    <x v="545"/>
    <x v="1"/>
    <x v="38"/>
    <x v="43"/>
    <x v="5"/>
    <x v="33"/>
    <x v="212"/>
    <x v="2206"/>
    <x v="26"/>
    <x v="26"/>
    <x v="0"/>
  </r>
  <r>
    <x v="1"/>
    <x v="1"/>
    <x v="545"/>
    <x v="1"/>
    <x v="38"/>
    <x v="43"/>
    <x v="4"/>
    <x v="33"/>
    <x v="174"/>
    <x v="1883"/>
    <x v="26"/>
    <x v="26"/>
    <x v="0"/>
  </r>
  <r>
    <x v="1"/>
    <x v="1"/>
    <x v="545"/>
    <x v="1"/>
    <x v="38"/>
    <x v="43"/>
    <x v="0"/>
    <x v="43"/>
    <x v="194"/>
    <x v="2383"/>
    <x v="16"/>
    <x v="16"/>
    <x v="0"/>
  </r>
  <r>
    <x v="1"/>
    <x v="1"/>
    <x v="545"/>
    <x v="1"/>
    <x v="38"/>
    <x v="43"/>
    <x v="3"/>
    <x v="48"/>
    <x v="300"/>
    <x v="2862"/>
    <x v="26"/>
    <x v="26"/>
    <x v="0"/>
  </r>
  <r>
    <x v="1"/>
    <x v="1"/>
    <x v="577"/>
    <x v="1"/>
    <x v="38"/>
    <x v="43"/>
    <x v="2"/>
    <x v="43"/>
    <x v="315"/>
    <x v="2899"/>
    <x v="21"/>
    <x v="21"/>
    <x v="0"/>
  </r>
  <r>
    <x v="1"/>
    <x v="1"/>
    <x v="577"/>
    <x v="1"/>
    <x v="38"/>
    <x v="43"/>
    <x v="1"/>
    <x v="38"/>
    <x v="273"/>
    <x v="2673"/>
    <x v="21"/>
    <x v="21"/>
    <x v="0"/>
  </r>
  <r>
    <x v="1"/>
    <x v="1"/>
    <x v="577"/>
    <x v="1"/>
    <x v="38"/>
    <x v="43"/>
    <x v="5"/>
    <x v="33"/>
    <x v="212"/>
    <x v="2206"/>
    <x v="26"/>
    <x v="26"/>
    <x v="0"/>
  </r>
  <r>
    <x v="1"/>
    <x v="1"/>
    <x v="577"/>
    <x v="1"/>
    <x v="38"/>
    <x v="43"/>
    <x v="4"/>
    <x v="33"/>
    <x v="129"/>
    <x v="1441"/>
    <x v="26"/>
    <x v="26"/>
    <x v="0"/>
  </r>
  <r>
    <x v="1"/>
    <x v="1"/>
    <x v="577"/>
    <x v="1"/>
    <x v="38"/>
    <x v="43"/>
    <x v="0"/>
    <x v="43"/>
    <x v="105"/>
    <x v="1502"/>
    <x v="16"/>
    <x v="16"/>
    <x v="0"/>
  </r>
  <r>
    <x v="1"/>
    <x v="1"/>
    <x v="577"/>
    <x v="1"/>
    <x v="38"/>
    <x v="43"/>
    <x v="3"/>
    <x v="48"/>
    <x v="254"/>
    <x v="2757"/>
    <x v="26"/>
    <x v="26"/>
    <x v="0"/>
  </r>
  <r>
    <x v="1"/>
    <x v="1"/>
    <x v="607"/>
    <x v="1"/>
    <x v="38"/>
    <x v="43"/>
    <x v="2"/>
    <x v="43"/>
    <x v="304"/>
    <x v="2854"/>
    <x v="21"/>
    <x v="21"/>
    <x v="0"/>
  </r>
  <r>
    <x v="1"/>
    <x v="1"/>
    <x v="607"/>
    <x v="1"/>
    <x v="38"/>
    <x v="43"/>
    <x v="1"/>
    <x v="38"/>
    <x v="194"/>
    <x v="2227"/>
    <x v="21"/>
    <x v="21"/>
    <x v="0"/>
  </r>
  <r>
    <x v="1"/>
    <x v="1"/>
    <x v="607"/>
    <x v="1"/>
    <x v="38"/>
    <x v="43"/>
    <x v="5"/>
    <x v="33"/>
    <x v="105"/>
    <x v="1208"/>
    <x v="26"/>
    <x v="26"/>
    <x v="0"/>
  </r>
  <r>
    <x v="1"/>
    <x v="1"/>
    <x v="607"/>
    <x v="1"/>
    <x v="38"/>
    <x v="43"/>
    <x v="4"/>
    <x v="33"/>
    <x v="82"/>
    <x v="956"/>
    <x v="26"/>
    <x v="26"/>
    <x v="0"/>
  </r>
  <r>
    <x v="1"/>
    <x v="1"/>
    <x v="607"/>
    <x v="1"/>
    <x v="38"/>
    <x v="43"/>
    <x v="0"/>
    <x v="43"/>
    <x v="82"/>
    <x v="1208"/>
    <x v="16"/>
    <x v="16"/>
    <x v="0"/>
  </r>
  <r>
    <x v="1"/>
    <x v="1"/>
    <x v="607"/>
    <x v="1"/>
    <x v="38"/>
    <x v="43"/>
    <x v="3"/>
    <x v="48"/>
    <x v="174"/>
    <x v="2350"/>
    <x v="26"/>
    <x v="26"/>
    <x v="0"/>
  </r>
  <r>
    <x v="1"/>
    <x v="1"/>
    <x v="639"/>
    <x v="1"/>
    <x v="38"/>
    <x v="43"/>
    <x v="2"/>
    <x v="48"/>
    <x v="294"/>
    <x v="2850"/>
    <x v="21"/>
    <x v="21"/>
    <x v="0"/>
  </r>
  <r>
    <x v="1"/>
    <x v="1"/>
    <x v="639"/>
    <x v="1"/>
    <x v="38"/>
    <x v="43"/>
    <x v="1"/>
    <x v="43"/>
    <x v="174"/>
    <x v="2206"/>
    <x v="21"/>
    <x v="21"/>
    <x v="0"/>
  </r>
  <r>
    <x v="1"/>
    <x v="1"/>
    <x v="639"/>
    <x v="1"/>
    <x v="38"/>
    <x v="43"/>
    <x v="5"/>
    <x v="43"/>
    <x v="82"/>
    <x v="1208"/>
    <x v="26"/>
    <x v="26"/>
    <x v="0"/>
  </r>
  <r>
    <x v="1"/>
    <x v="1"/>
    <x v="639"/>
    <x v="1"/>
    <x v="38"/>
    <x v="43"/>
    <x v="4"/>
    <x v="43"/>
    <x v="62"/>
    <x v="891"/>
    <x v="26"/>
    <x v="26"/>
    <x v="0"/>
  </r>
  <r>
    <x v="1"/>
    <x v="1"/>
    <x v="639"/>
    <x v="1"/>
    <x v="38"/>
    <x v="43"/>
    <x v="0"/>
    <x v="53"/>
    <x v="62"/>
    <x v="1086"/>
    <x v="16"/>
    <x v="16"/>
    <x v="0"/>
  </r>
  <r>
    <x v="3"/>
    <x v="1"/>
    <x v="639"/>
    <x v="1"/>
    <x v="38"/>
    <x v="43"/>
    <x v="3"/>
    <x v="58"/>
    <x v="174"/>
    <x v="2560"/>
    <x v="26"/>
    <x v="26"/>
    <x v="0"/>
  </r>
  <r>
    <x v="3"/>
    <x v="1"/>
    <x v="669"/>
    <x v="1"/>
    <x v="38"/>
    <x v="43"/>
    <x v="2"/>
    <x v="53"/>
    <x v="285"/>
    <x v="2852"/>
    <x v="21"/>
    <x v="21"/>
    <x v="0"/>
  </r>
  <r>
    <x v="3"/>
    <x v="1"/>
    <x v="669"/>
    <x v="1"/>
    <x v="38"/>
    <x v="43"/>
    <x v="1"/>
    <x v="43"/>
    <x v="194"/>
    <x v="2383"/>
    <x v="21"/>
    <x v="21"/>
    <x v="0"/>
  </r>
  <r>
    <x v="3"/>
    <x v="1"/>
    <x v="669"/>
    <x v="1"/>
    <x v="38"/>
    <x v="43"/>
    <x v="5"/>
    <x v="43"/>
    <x v="190"/>
    <x v="2350"/>
    <x v="26"/>
    <x v="26"/>
    <x v="0"/>
  </r>
  <r>
    <x v="3"/>
    <x v="1"/>
    <x v="669"/>
    <x v="1"/>
    <x v="38"/>
    <x v="43"/>
    <x v="4"/>
    <x v="43"/>
    <x v="174"/>
    <x v="2206"/>
    <x v="26"/>
    <x v="26"/>
    <x v="0"/>
  </r>
  <r>
    <x v="3"/>
    <x v="1"/>
    <x v="669"/>
    <x v="1"/>
    <x v="38"/>
    <x v="43"/>
    <x v="0"/>
    <x v="53"/>
    <x v="152"/>
    <x v="2282"/>
    <x v="16"/>
    <x v="16"/>
    <x v="0"/>
  </r>
  <r>
    <x v="3"/>
    <x v="1"/>
    <x v="669"/>
    <x v="1"/>
    <x v="38"/>
    <x v="43"/>
    <x v="3"/>
    <x v="58"/>
    <x v="231"/>
    <x v="2800"/>
    <x v="26"/>
    <x v="26"/>
    <x v="0"/>
  </r>
  <r>
    <x v="3"/>
    <x v="1"/>
    <x v="698"/>
    <x v="1"/>
    <x v="38"/>
    <x v="43"/>
    <x v="2"/>
    <x v="53"/>
    <x v="311"/>
    <x v="2915"/>
    <x v="21"/>
    <x v="21"/>
    <x v="0"/>
  </r>
  <r>
    <x v="3"/>
    <x v="1"/>
    <x v="698"/>
    <x v="1"/>
    <x v="38"/>
    <x v="43"/>
    <x v="1"/>
    <x v="43"/>
    <x v="254"/>
    <x v="2686"/>
    <x v="21"/>
    <x v="21"/>
    <x v="0"/>
  </r>
  <r>
    <x v="3"/>
    <x v="1"/>
    <x v="698"/>
    <x v="1"/>
    <x v="38"/>
    <x v="43"/>
    <x v="5"/>
    <x v="43"/>
    <x v="231"/>
    <x v="2615"/>
    <x v="26"/>
    <x v="26"/>
    <x v="0"/>
  </r>
  <r>
    <x v="3"/>
    <x v="1"/>
    <x v="698"/>
    <x v="1"/>
    <x v="38"/>
    <x v="43"/>
    <x v="4"/>
    <x v="43"/>
    <x v="194"/>
    <x v="2383"/>
    <x v="26"/>
    <x v="26"/>
    <x v="0"/>
  </r>
  <r>
    <x v="3"/>
    <x v="1"/>
    <x v="698"/>
    <x v="1"/>
    <x v="38"/>
    <x v="43"/>
    <x v="0"/>
    <x v="53"/>
    <x v="194"/>
    <x v="2594"/>
    <x v="16"/>
    <x v="16"/>
    <x v="0"/>
  </r>
  <r>
    <x v="3"/>
    <x v="1"/>
    <x v="698"/>
    <x v="1"/>
    <x v="38"/>
    <x v="43"/>
    <x v="3"/>
    <x v="58"/>
    <x v="273"/>
    <x v="2853"/>
    <x v="26"/>
    <x v="26"/>
    <x v="0"/>
  </r>
  <r>
    <x v="3"/>
    <x v="1"/>
    <x v="375"/>
    <x v="1"/>
    <x v="38"/>
    <x v="43"/>
    <x v="2"/>
    <x v="33"/>
    <x v="307"/>
    <x v="2805"/>
    <x v="16"/>
    <x v="16"/>
    <x v="0"/>
  </r>
  <r>
    <x v="3"/>
    <x v="1"/>
    <x v="375"/>
    <x v="1"/>
    <x v="38"/>
    <x v="43"/>
    <x v="1"/>
    <x v="33"/>
    <x v="212"/>
    <x v="2206"/>
    <x v="16"/>
    <x v="16"/>
    <x v="0"/>
  </r>
  <r>
    <x v="3"/>
    <x v="1"/>
    <x v="375"/>
    <x v="1"/>
    <x v="38"/>
    <x v="43"/>
    <x v="5"/>
    <x v="23"/>
    <x v="212"/>
    <x v="1779"/>
    <x v="11"/>
    <x v="11"/>
    <x v="0"/>
  </r>
  <r>
    <x v="3"/>
    <x v="1"/>
    <x v="375"/>
    <x v="1"/>
    <x v="38"/>
    <x v="43"/>
    <x v="4"/>
    <x v="28"/>
    <x v="82"/>
    <x v="821"/>
    <x v="11"/>
    <x v="11"/>
    <x v="0"/>
  </r>
  <r>
    <x v="3"/>
    <x v="1"/>
    <x v="375"/>
    <x v="1"/>
    <x v="38"/>
    <x v="43"/>
    <x v="0"/>
    <x v="43"/>
    <x v="129"/>
    <x v="1779"/>
    <x v="11"/>
    <x v="11"/>
    <x v="0"/>
  </r>
  <r>
    <x v="3"/>
    <x v="1"/>
    <x v="375"/>
    <x v="1"/>
    <x v="38"/>
    <x v="43"/>
    <x v="3"/>
    <x v="33"/>
    <x v="212"/>
    <x v="2206"/>
    <x v="16"/>
    <x v="16"/>
    <x v="0"/>
  </r>
  <r>
    <x v="3"/>
    <x v="1"/>
    <x v="404"/>
    <x v="1"/>
    <x v="38"/>
    <x v="43"/>
    <x v="2"/>
    <x v="33"/>
    <x v="311"/>
    <x v="2840"/>
    <x v="16"/>
    <x v="16"/>
    <x v="0"/>
  </r>
  <r>
    <x v="3"/>
    <x v="1"/>
    <x v="404"/>
    <x v="1"/>
    <x v="38"/>
    <x v="43"/>
    <x v="1"/>
    <x v="33"/>
    <x v="129"/>
    <x v="1441"/>
    <x v="16"/>
    <x v="16"/>
    <x v="0"/>
  </r>
  <r>
    <x v="3"/>
    <x v="1"/>
    <x v="404"/>
    <x v="1"/>
    <x v="38"/>
    <x v="43"/>
    <x v="5"/>
    <x v="23"/>
    <x v="174"/>
    <x v="1441"/>
    <x v="11"/>
    <x v="11"/>
    <x v="0"/>
  </r>
  <r>
    <x v="3"/>
    <x v="1"/>
    <x v="404"/>
    <x v="1"/>
    <x v="20"/>
    <x v="8"/>
    <x v="4"/>
    <x v="28"/>
    <x v="212"/>
    <x v="2022"/>
    <x v="11"/>
    <x v="11"/>
    <x v="0"/>
  </r>
  <r>
    <x v="3"/>
    <x v="1"/>
    <x v="404"/>
    <x v="1"/>
    <x v="20"/>
    <x v="8"/>
    <x v="0"/>
    <x v="43"/>
    <x v="129"/>
    <x v="1779"/>
    <x v="11"/>
    <x v="11"/>
    <x v="0"/>
  </r>
  <r>
    <x v="3"/>
    <x v="1"/>
    <x v="404"/>
    <x v="1"/>
    <x v="20"/>
    <x v="8"/>
    <x v="3"/>
    <x v="33"/>
    <x v="212"/>
    <x v="2206"/>
    <x v="16"/>
    <x v="16"/>
    <x v="0"/>
  </r>
  <r>
    <x v="3"/>
    <x v="1"/>
    <x v="430"/>
    <x v="1"/>
    <x v="20"/>
    <x v="8"/>
    <x v="2"/>
    <x v="33"/>
    <x v="308"/>
    <x v="2819"/>
    <x v="16"/>
    <x v="16"/>
    <x v="0"/>
  </r>
  <r>
    <x v="3"/>
    <x v="1"/>
    <x v="430"/>
    <x v="1"/>
    <x v="20"/>
    <x v="8"/>
    <x v="1"/>
    <x v="33"/>
    <x v="152"/>
    <x v="1674"/>
    <x v="16"/>
    <x v="16"/>
    <x v="0"/>
  </r>
  <r>
    <x v="3"/>
    <x v="1"/>
    <x v="430"/>
    <x v="1"/>
    <x v="20"/>
    <x v="8"/>
    <x v="5"/>
    <x v="23"/>
    <x v="174"/>
    <x v="1441"/>
    <x v="11"/>
    <x v="11"/>
    <x v="0"/>
  </r>
  <r>
    <x v="3"/>
    <x v="1"/>
    <x v="430"/>
    <x v="1"/>
    <x v="20"/>
    <x v="8"/>
    <x v="4"/>
    <x v="28"/>
    <x v="254"/>
    <x v="2282"/>
    <x v="11"/>
    <x v="11"/>
    <x v="0"/>
  </r>
  <r>
    <x v="3"/>
    <x v="1"/>
    <x v="430"/>
    <x v="1"/>
    <x v="20"/>
    <x v="8"/>
    <x v="0"/>
    <x v="43"/>
    <x v="82"/>
    <x v="1208"/>
    <x v="11"/>
    <x v="11"/>
    <x v="0"/>
  </r>
  <r>
    <x v="3"/>
    <x v="1"/>
    <x v="430"/>
    <x v="1"/>
    <x v="20"/>
    <x v="8"/>
    <x v="3"/>
    <x v="33"/>
    <x v="174"/>
    <x v="1883"/>
    <x v="16"/>
    <x v="16"/>
    <x v="0"/>
  </r>
  <r>
    <x v="3"/>
    <x v="1"/>
    <x v="462"/>
    <x v="1"/>
    <x v="20"/>
    <x v="8"/>
    <x v="2"/>
    <x v="33"/>
    <x v="307"/>
    <x v="2805"/>
    <x v="16"/>
    <x v="16"/>
    <x v="0"/>
  </r>
  <r>
    <x v="3"/>
    <x v="1"/>
    <x v="462"/>
    <x v="1"/>
    <x v="20"/>
    <x v="8"/>
    <x v="1"/>
    <x v="33"/>
    <x v="129"/>
    <x v="1441"/>
    <x v="16"/>
    <x v="16"/>
    <x v="0"/>
  </r>
  <r>
    <x v="3"/>
    <x v="1"/>
    <x v="462"/>
    <x v="1"/>
    <x v="20"/>
    <x v="8"/>
    <x v="5"/>
    <x v="23"/>
    <x v="129"/>
    <x v="1086"/>
    <x v="11"/>
    <x v="11"/>
    <x v="0"/>
  </r>
  <r>
    <x v="3"/>
    <x v="1"/>
    <x v="462"/>
    <x v="1"/>
    <x v="20"/>
    <x v="8"/>
    <x v="4"/>
    <x v="28"/>
    <x v="105"/>
    <x v="1051"/>
    <x v="11"/>
    <x v="11"/>
    <x v="0"/>
  </r>
  <r>
    <x v="3"/>
    <x v="1"/>
    <x v="462"/>
    <x v="1"/>
    <x v="20"/>
    <x v="8"/>
    <x v="0"/>
    <x v="43"/>
    <x v="105"/>
    <x v="1502"/>
    <x v="11"/>
    <x v="11"/>
    <x v="0"/>
  </r>
  <r>
    <x v="3"/>
    <x v="1"/>
    <x v="462"/>
    <x v="1"/>
    <x v="20"/>
    <x v="8"/>
    <x v="3"/>
    <x v="33"/>
    <x v="231"/>
    <x v="2350"/>
    <x v="16"/>
    <x v="16"/>
    <x v="0"/>
  </r>
  <r>
    <x v="3"/>
    <x v="1"/>
    <x v="491"/>
    <x v="1"/>
    <x v="20"/>
    <x v="8"/>
    <x v="2"/>
    <x v="48"/>
    <x v="310"/>
    <x v="2897"/>
    <x v="16"/>
    <x v="16"/>
    <x v="0"/>
  </r>
  <r>
    <x v="3"/>
    <x v="1"/>
    <x v="491"/>
    <x v="1"/>
    <x v="20"/>
    <x v="8"/>
    <x v="1"/>
    <x v="43"/>
    <x v="174"/>
    <x v="2206"/>
    <x v="16"/>
    <x v="16"/>
    <x v="0"/>
  </r>
  <r>
    <x v="3"/>
    <x v="1"/>
    <x v="491"/>
    <x v="1"/>
    <x v="20"/>
    <x v="8"/>
    <x v="5"/>
    <x v="38"/>
    <x v="194"/>
    <x v="2227"/>
    <x v="11"/>
    <x v="11"/>
    <x v="0"/>
  </r>
  <r>
    <x v="3"/>
    <x v="1"/>
    <x v="491"/>
    <x v="1"/>
    <x v="20"/>
    <x v="8"/>
    <x v="4"/>
    <x v="38"/>
    <x v="152"/>
    <x v="1857"/>
    <x v="11"/>
    <x v="11"/>
    <x v="0"/>
  </r>
  <r>
    <x v="3"/>
    <x v="1"/>
    <x v="491"/>
    <x v="1"/>
    <x v="20"/>
    <x v="8"/>
    <x v="0"/>
    <x v="48"/>
    <x v="174"/>
    <x v="2350"/>
    <x v="11"/>
    <x v="11"/>
    <x v="0"/>
  </r>
  <r>
    <x v="3"/>
    <x v="1"/>
    <x v="491"/>
    <x v="1"/>
    <x v="20"/>
    <x v="8"/>
    <x v="3"/>
    <x v="53"/>
    <x v="273"/>
    <x v="2833"/>
    <x v="16"/>
    <x v="16"/>
    <x v="0"/>
  </r>
  <r>
    <x v="3"/>
    <x v="1"/>
    <x v="524"/>
    <x v="1"/>
    <x v="20"/>
    <x v="8"/>
    <x v="2"/>
    <x v="48"/>
    <x v="317"/>
    <x v="2925"/>
    <x v="16"/>
    <x v="16"/>
    <x v="0"/>
  </r>
  <r>
    <x v="3"/>
    <x v="1"/>
    <x v="524"/>
    <x v="1"/>
    <x v="20"/>
    <x v="8"/>
    <x v="1"/>
    <x v="43"/>
    <x v="273"/>
    <x v="2745"/>
    <x v="16"/>
    <x v="16"/>
    <x v="0"/>
  </r>
  <r>
    <x v="3"/>
    <x v="1"/>
    <x v="524"/>
    <x v="1"/>
    <x v="20"/>
    <x v="8"/>
    <x v="5"/>
    <x v="38"/>
    <x v="212"/>
    <x v="2383"/>
    <x v="11"/>
    <x v="11"/>
    <x v="0"/>
  </r>
  <r>
    <x v="3"/>
    <x v="1"/>
    <x v="524"/>
    <x v="1"/>
    <x v="20"/>
    <x v="8"/>
    <x v="4"/>
    <x v="38"/>
    <x v="194"/>
    <x v="2227"/>
    <x v="11"/>
    <x v="11"/>
    <x v="0"/>
  </r>
  <r>
    <x v="3"/>
    <x v="1"/>
    <x v="524"/>
    <x v="1"/>
    <x v="20"/>
    <x v="8"/>
    <x v="0"/>
    <x v="48"/>
    <x v="194"/>
    <x v="2506"/>
    <x v="11"/>
    <x v="11"/>
    <x v="0"/>
  </r>
  <r>
    <x v="3"/>
    <x v="1"/>
    <x v="524"/>
    <x v="1"/>
    <x v="20"/>
    <x v="8"/>
    <x v="3"/>
    <x v="53"/>
    <x v="294"/>
    <x v="2866"/>
    <x v="16"/>
    <x v="16"/>
    <x v="0"/>
  </r>
  <r>
    <x v="3"/>
    <x v="1"/>
    <x v="552"/>
    <x v="1"/>
    <x v="20"/>
    <x v="8"/>
    <x v="2"/>
    <x v="48"/>
    <x v="319"/>
    <x v="2933"/>
    <x v="16"/>
    <x v="16"/>
    <x v="0"/>
  </r>
  <r>
    <x v="3"/>
    <x v="1"/>
    <x v="552"/>
    <x v="1"/>
    <x v="20"/>
    <x v="8"/>
    <x v="1"/>
    <x v="43"/>
    <x v="285"/>
    <x v="2793"/>
    <x v="16"/>
    <x v="16"/>
    <x v="0"/>
  </r>
  <r>
    <x v="3"/>
    <x v="1"/>
    <x v="552"/>
    <x v="1"/>
    <x v="20"/>
    <x v="8"/>
    <x v="5"/>
    <x v="38"/>
    <x v="231"/>
    <x v="2506"/>
    <x v="11"/>
    <x v="11"/>
    <x v="0"/>
  </r>
  <r>
    <x v="3"/>
    <x v="1"/>
    <x v="552"/>
    <x v="1"/>
    <x v="20"/>
    <x v="8"/>
    <x v="4"/>
    <x v="38"/>
    <x v="194"/>
    <x v="2227"/>
    <x v="11"/>
    <x v="11"/>
    <x v="0"/>
  </r>
  <r>
    <x v="3"/>
    <x v="1"/>
    <x v="552"/>
    <x v="1"/>
    <x v="20"/>
    <x v="8"/>
    <x v="0"/>
    <x v="48"/>
    <x v="212"/>
    <x v="2615"/>
    <x v="11"/>
    <x v="11"/>
    <x v="0"/>
  </r>
  <r>
    <x v="3"/>
    <x v="1"/>
    <x v="552"/>
    <x v="1"/>
    <x v="20"/>
    <x v="8"/>
    <x v="3"/>
    <x v="53"/>
    <x v="304"/>
    <x v="2888"/>
    <x v="16"/>
    <x v="16"/>
    <x v="0"/>
  </r>
  <r>
    <x v="3"/>
    <x v="1"/>
    <x v="584"/>
    <x v="1"/>
    <x v="20"/>
    <x v="8"/>
    <x v="2"/>
    <x v="48"/>
    <x v="317"/>
    <x v="2925"/>
    <x v="16"/>
    <x v="16"/>
    <x v="0"/>
  </r>
  <r>
    <x v="3"/>
    <x v="1"/>
    <x v="584"/>
    <x v="1"/>
    <x v="20"/>
    <x v="8"/>
    <x v="1"/>
    <x v="43"/>
    <x v="285"/>
    <x v="2793"/>
    <x v="16"/>
    <x v="16"/>
    <x v="0"/>
  </r>
  <r>
    <x v="3"/>
    <x v="1"/>
    <x v="584"/>
    <x v="1"/>
    <x v="20"/>
    <x v="8"/>
    <x v="5"/>
    <x v="38"/>
    <x v="231"/>
    <x v="2506"/>
    <x v="11"/>
    <x v="11"/>
    <x v="0"/>
  </r>
  <r>
    <x v="3"/>
    <x v="1"/>
    <x v="584"/>
    <x v="1"/>
    <x v="20"/>
    <x v="8"/>
    <x v="4"/>
    <x v="38"/>
    <x v="152"/>
    <x v="1857"/>
    <x v="11"/>
    <x v="11"/>
    <x v="0"/>
  </r>
  <r>
    <x v="3"/>
    <x v="1"/>
    <x v="584"/>
    <x v="1"/>
    <x v="20"/>
    <x v="8"/>
    <x v="0"/>
    <x v="48"/>
    <x v="129"/>
    <x v="1929"/>
    <x v="11"/>
    <x v="11"/>
    <x v="0"/>
  </r>
  <r>
    <x v="3"/>
    <x v="1"/>
    <x v="584"/>
    <x v="1"/>
    <x v="20"/>
    <x v="8"/>
    <x v="3"/>
    <x v="53"/>
    <x v="273"/>
    <x v="2833"/>
    <x v="16"/>
    <x v="16"/>
    <x v="0"/>
  </r>
  <r>
    <x v="3"/>
    <x v="1"/>
    <x v="614"/>
    <x v="1"/>
    <x v="20"/>
    <x v="8"/>
    <x v="2"/>
    <x v="48"/>
    <x v="307"/>
    <x v="2884"/>
    <x v="16"/>
    <x v="16"/>
    <x v="0"/>
  </r>
  <r>
    <x v="3"/>
    <x v="1"/>
    <x v="614"/>
    <x v="1"/>
    <x v="20"/>
    <x v="8"/>
    <x v="1"/>
    <x v="43"/>
    <x v="212"/>
    <x v="2513"/>
    <x v="16"/>
    <x v="16"/>
    <x v="0"/>
  </r>
  <r>
    <x v="3"/>
    <x v="1"/>
    <x v="614"/>
    <x v="1"/>
    <x v="20"/>
    <x v="8"/>
    <x v="5"/>
    <x v="38"/>
    <x v="129"/>
    <x v="1617"/>
    <x v="11"/>
    <x v="11"/>
    <x v="0"/>
  </r>
  <r>
    <x v="3"/>
    <x v="1"/>
    <x v="614"/>
    <x v="1"/>
    <x v="20"/>
    <x v="8"/>
    <x v="4"/>
    <x v="38"/>
    <x v="105"/>
    <x v="1355"/>
    <x v="11"/>
    <x v="11"/>
    <x v="0"/>
  </r>
  <r>
    <x v="3"/>
    <x v="1"/>
    <x v="614"/>
    <x v="1"/>
    <x v="20"/>
    <x v="8"/>
    <x v="0"/>
    <x v="48"/>
    <x v="105"/>
    <x v="1646"/>
    <x v="11"/>
    <x v="11"/>
    <x v="0"/>
  </r>
  <r>
    <x v="3"/>
    <x v="1"/>
    <x v="614"/>
    <x v="1"/>
    <x v="20"/>
    <x v="8"/>
    <x v="3"/>
    <x v="53"/>
    <x v="194"/>
    <x v="2594"/>
    <x v="16"/>
    <x v="16"/>
    <x v="0"/>
  </r>
  <r>
    <x v="3"/>
    <x v="1"/>
    <x v="646"/>
    <x v="1"/>
    <x v="20"/>
    <x v="8"/>
    <x v="2"/>
    <x v="53"/>
    <x v="300"/>
    <x v="2880"/>
    <x v="16"/>
    <x v="16"/>
    <x v="0"/>
  </r>
  <r>
    <x v="3"/>
    <x v="1"/>
    <x v="646"/>
    <x v="1"/>
    <x v="20"/>
    <x v="8"/>
    <x v="1"/>
    <x v="48"/>
    <x v="194"/>
    <x v="2506"/>
    <x v="16"/>
    <x v="16"/>
    <x v="0"/>
  </r>
  <r>
    <x v="3"/>
    <x v="1"/>
    <x v="646"/>
    <x v="1"/>
    <x v="20"/>
    <x v="8"/>
    <x v="5"/>
    <x v="48"/>
    <x v="105"/>
    <x v="1646"/>
    <x v="11"/>
    <x v="11"/>
    <x v="0"/>
  </r>
  <r>
    <x v="3"/>
    <x v="1"/>
    <x v="646"/>
    <x v="1"/>
    <x v="20"/>
    <x v="8"/>
    <x v="4"/>
    <x v="48"/>
    <x v="82"/>
    <x v="1321"/>
    <x v="11"/>
    <x v="11"/>
    <x v="0"/>
  </r>
  <r>
    <x v="3"/>
    <x v="1"/>
    <x v="646"/>
    <x v="1"/>
    <x v="20"/>
    <x v="8"/>
    <x v="0"/>
    <x v="58"/>
    <x v="82"/>
    <x v="1568"/>
    <x v="11"/>
    <x v="11"/>
    <x v="0"/>
  </r>
  <r>
    <x v="0"/>
    <x v="1"/>
    <x v="646"/>
    <x v="1"/>
    <x v="20"/>
    <x v="8"/>
    <x v="3"/>
    <x v="63"/>
    <x v="194"/>
    <x v="2727"/>
    <x v="16"/>
    <x v="16"/>
    <x v="0"/>
  </r>
  <r>
    <x v="0"/>
    <x v="1"/>
    <x v="676"/>
    <x v="1"/>
    <x v="20"/>
    <x v="8"/>
    <x v="2"/>
    <x v="58"/>
    <x v="294"/>
    <x v="2881"/>
    <x v="16"/>
    <x v="16"/>
    <x v="0"/>
  </r>
  <r>
    <x v="0"/>
    <x v="1"/>
    <x v="676"/>
    <x v="1"/>
    <x v="20"/>
    <x v="8"/>
    <x v="1"/>
    <x v="48"/>
    <x v="254"/>
    <x v="2757"/>
    <x v="16"/>
    <x v="16"/>
    <x v="0"/>
  </r>
  <r>
    <x v="0"/>
    <x v="1"/>
    <x v="676"/>
    <x v="1"/>
    <x v="20"/>
    <x v="8"/>
    <x v="5"/>
    <x v="48"/>
    <x v="249"/>
    <x v="2743"/>
    <x v="11"/>
    <x v="11"/>
    <x v="0"/>
  </r>
  <r>
    <x v="0"/>
    <x v="1"/>
    <x v="676"/>
    <x v="1"/>
    <x v="20"/>
    <x v="8"/>
    <x v="4"/>
    <x v="48"/>
    <x v="231"/>
    <x v="2694"/>
    <x v="11"/>
    <x v="11"/>
    <x v="0"/>
  </r>
  <r>
    <x v="0"/>
    <x v="1"/>
    <x v="676"/>
    <x v="1"/>
    <x v="20"/>
    <x v="8"/>
    <x v="0"/>
    <x v="58"/>
    <x v="212"/>
    <x v="2745"/>
    <x v="11"/>
    <x v="11"/>
    <x v="0"/>
  </r>
  <r>
    <x v="0"/>
    <x v="1"/>
    <x v="676"/>
    <x v="1"/>
    <x v="20"/>
    <x v="8"/>
    <x v="3"/>
    <x v="63"/>
    <x v="285"/>
    <x v="2882"/>
    <x v="16"/>
    <x v="16"/>
    <x v="0"/>
  </r>
  <r>
    <x v="0"/>
    <x v="1"/>
    <x v="705"/>
    <x v="1"/>
    <x v="20"/>
    <x v="8"/>
    <x v="2"/>
    <x v="58"/>
    <x v="317"/>
    <x v="2954"/>
    <x v="16"/>
    <x v="16"/>
    <x v="0"/>
  </r>
  <r>
    <x v="0"/>
    <x v="1"/>
    <x v="705"/>
    <x v="1"/>
    <x v="20"/>
    <x v="8"/>
    <x v="1"/>
    <x v="48"/>
    <x v="294"/>
    <x v="2850"/>
    <x v="16"/>
    <x v="16"/>
    <x v="0"/>
  </r>
  <r>
    <x v="0"/>
    <x v="1"/>
    <x v="705"/>
    <x v="1"/>
    <x v="20"/>
    <x v="8"/>
    <x v="5"/>
    <x v="48"/>
    <x v="285"/>
    <x v="2829"/>
    <x v="11"/>
    <x v="11"/>
    <x v="0"/>
  </r>
  <r>
    <x v="0"/>
    <x v="1"/>
    <x v="705"/>
    <x v="1"/>
    <x v="20"/>
    <x v="8"/>
    <x v="4"/>
    <x v="48"/>
    <x v="254"/>
    <x v="2757"/>
    <x v="11"/>
    <x v="11"/>
    <x v="0"/>
  </r>
  <r>
    <x v="0"/>
    <x v="1"/>
    <x v="705"/>
    <x v="1"/>
    <x v="20"/>
    <x v="8"/>
    <x v="0"/>
    <x v="58"/>
    <x v="254"/>
    <x v="2833"/>
    <x v="11"/>
    <x v="11"/>
    <x v="0"/>
  </r>
  <r>
    <x v="0"/>
    <x v="1"/>
    <x v="705"/>
    <x v="1"/>
    <x v="20"/>
    <x v="8"/>
    <x v="3"/>
    <x v="63"/>
    <x v="300"/>
    <x v="2903"/>
    <x v="16"/>
    <x v="16"/>
    <x v="0"/>
  </r>
  <r>
    <x v="0"/>
    <x v="1"/>
    <x v="372"/>
    <x v="1"/>
    <x v="20"/>
    <x v="8"/>
    <x v="2"/>
    <x v="38"/>
    <x v="313"/>
    <x v="2877"/>
    <x v="31"/>
    <x v="31"/>
    <x v="0"/>
  </r>
  <r>
    <x v="0"/>
    <x v="1"/>
    <x v="372"/>
    <x v="1"/>
    <x v="20"/>
    <x v="8"/>
    <x v="1"/>
    <x v="38"/>
    <x v="273"/>
    <x v="2673"/>
    <x v="31"/>
    <x v="31"/>
    <x v="0"/>
  </r>
  <r>
    <x v="0"/>
    <x v="1"/>
    <x v="372"/>
    <x v="1"/>
    <x v="20"/>
    <x v="8"/>
    <x v="5"/>
    <x v="28"/>
    <x v="273"/>
    <x v="2398"/>
    <x v="21"/>
    <x v="21"/>
    <x v="0"/>
  </r>
  <r>
    <x v="0"/>
    <x v="1"/>
    <x v="372"/>
    <x v="1"/>
    <x v="20"/>
    <x v="8"/>
    <x v="4"/>
    <x v="33"/>
    <x v="152"/>
    <x v="1674"/>
    <x v="21"/>
    <x v="21"/>
    <x v="0"/>
  </r>
  <r>
    <x v="0"/>
    <x v="1"/>
    <x v="372"/>
    <x v="1"/>
    <x v="20"/>
    <x v="8"/>
    <x v="0"/>
    <x v="48"/>
    <x v="194"/>
    <x v="2506"/>
    <x v="21"/>
    <x v="21"/>
    <x v="0"/>
  </r>
  <r>
    <x v="0"/>
    <x v="1"/>
    <x v="372"/>
    <x v="1"/>
    <x v="20"/>
    <x v="8"/>
    <x v="3"/>
    <x v="38"/>
    <x v="273"/>
    <x v="2673"/>
    <x v="26"/>
    <x v="26"/>
    <x v="0"/>
  </r>
  <r>
    <x v="0"/>
    <x v="1"/>
    <x v="401"/>
    <x v="1"/>
    <x v="20"/>
    <x v="8"/>
    <x v="2"/>
    <x v="38"/>
    <x v="317"/>
    <x v="2889"/>
    <x v="31"/>
    <x v="31"/>
    <x v="0"/>
  </r>
  <r>
    <x v="0"/>
    <x v="1"/>
    <x v="401"/>
    <x v="1"/>
    <x v="20"/>
    <x v="8"/>
    <x v="1"/>
    <x v="38"/>
    <x v="194"/>
    <x v="2227"/>
    <x v="31"/>
    <x v="31"/>
    <x v="0"/>
  </r>
  <r>
    <x v="0"/>
    <x v="1"/>
    <x v="401"/>
    <x v="1"/>
    <x v="20"/>
    <x v="8"/>
    <x v="5"/>
    <x v="28"/>
    <x v="231"/>
    <x v="2158"/>
    <x v="21"/>
    <x v="21"/>
    <x v="0"/>
  </r>
  <r>
    <x v="0"/>
    <x v="1"/>
    <x v="401"/>
    <x v="1"/>
    <x v="44"/>
    <x v="9"/>
    <x v="4"/>
    <x v="33"/>
    <x v="129"/>
    <x v="1441"/>
    <x v="21"/>
    <x v="21"/>
    <x v="0"/>
  </r>
  <r>
    <x v="0"/>
    <x v="1"/>
    <x v="401"/>
    <x v="1"/>
    <x v="44"/>
    <x v="9"/>
    <x v="0"/>
    <x v="48"/>
    <x v="194"/>
    <x v="2506"/>
    <x v="21"/>
    <x v="21"/>
    <x v="0"/>
  </r>
  <r>
    <x v="0"/>
    <x v="1"/>
    <x v="401"/>
    <x v="1"/>
    <x v="44"/>
    <x v="9"/>
    <x v="3"/>
    <x v="38"/>
    <x v="273"/>
    <x v="2673"/>
    <x v="26"/>
    <x v="26"/>
    <x v="0"/>
  </r>
  <r>
    <x v="0"/>
    <x v="1"/>
    <x v="427"/>
    <x v="1"/>
    <x v="44"/>
    <x v="9"/>
    <x v="2"/>
    <x v="38"/>
    <x v="314"/>
    <x v="2883"/>
    <x v="31"/>
    <x v="31"/>
    <x v="0"/>
  </r>
  <r>
    <x v="0"/>
    <x v="1"/>
    <x v="427"/>
    <x v="1"/>
    <x v="44"/>
    <x v="9"/>
    <x v="1"/>
    <x v="38"/>
    <x v="212"/>
    <x v="2383"/>
    <x v="31"/>
    <x v="31"/>
    <x v="0"/>
  </r>
  <r>
    <x v="0"/>
    <x v="1"/>
    <x v="427"/>
    <x v="1"/>
    <x v="44"/>
    <x v="9"/>
    <x v="5"/>
    <x v="28"/>
    <x v="231"/>
    <x v="2158"/>
    <x v="21"/>
    <x v="21"/>
    <x v="0"/>
  </r>
  <r>
    <x v="0"/>
    <x v="1"/>
    <x v="427"/>
    <x v="1"/>
    <x v="44"/>
    <x v="9"/>
    <x v="4"/>
    <x v="33"/>
    <x v="105"/>
    <x v="1208"/>
    <x v="21"/>
    <x v="21"/>
    <x v="0"/>
  </r>
  <r>
    <x v="0"/>
    <x v="1"/>
    <x v="427"/>
    <x v="1"/>
    <x v="44"/>
    <x v="9"/>
    <x v="0"/>
    <x v="48"/>
    <x v="152"/>
    <x v="2158"/>
    <x v="21"/>
    <x v="21"/>
    <x v="0"/>
  </r>
  <r>
    <x v="0"/>
    <x v="1"/>
    <x v="427"/>
    <x v="1"/>
    <x v="44"/>
    <x v="9"/>
    <x v="3"/>
    <x v="38"/>
    <x v="231"/>
    <x v="2506"/>
    <x v="26"/>
    <x v="26"/>
    <x v="0"/>
  </r>
  <r>
    <x v="0"/>
    <x v="1"/>
    <x v="459"/>
    <x v="1"/>
    <x v="44"/>
    <x v="9"/>
    <x v="2"/>
    <x v="38"/>
    <x v="313"/>
    <x v="2877"/>
    <x v="31"/>
    <x v="31"/>
    <x v="0"/>
  </r>
  <r>
    <x v="0"/>
    <x v="1"/>
    <x v="459"/>
    <x v="1"/>
    <x v="44"/>
    <x v="9"/>
    <x v="1"/>
    <x v="38"/>
    <x v="194"/>
    <x v="2227"/>
    <x v="31"/>
    <x v="31"/>
    <x v="0"/>
  </r>
  <r>
    <x v="0"/>
    <x v="1"/>
    <x v="459"/>
    <x v="1"/>
    <x v="44"/>
    <x v="9"/>
    <x v="5"/>
    <x v="28"/>
    <x v="194"/>
    <x v="1857"/>
    <x v="21"/>
    <x v="21"/>
    <x v="0"/>
  </r>
  <r>
    <x v="0"/>
    <x v="1"/>
    <x v="459"/>
    <x v="1"/>
    <x v="44"/>
    <x v="9"/>
    <x v="4"/>
    <x v="33"/>
    <x v="129"/>
    <x v="1441"/>
    <x v="21"/>
    <x v="21"/>
    <x v="0"/>
  </r>
  <r>
    <x v="0"/>
    <x v="1"/>
    <x v="459"/>
    <x v="1"/>
    <x v="44"/>
    <x v="9"/>
    <x v="0"/>
    <x v="48"/>
    <x v="129"/>
    <x v="1929"/>
    <x v="21"/>
    <x v="21"/>
    <x v="0"/>
  </r>
  <r>
    <x v="0"/>
    <x v="1"/>
    <x v="459"/>
    <x v="1"/>
    <x v="44"/>
    <x v="9"/>
    <x v="3"/>
    <x v="38"/>
    <x v="254"/>
    <x v="2594"/>
    <x v="26"/>
    <x v="26"/>
    <x v="0"/>
  </r>
  <r>
    <x v="0"/>
    <x v="1"/>
    <x v="488"/>
    <x v="1"/>
    <x v="44"/>
    <x v="9"/>
    <x v="2"/>
    <x v="53"/>
    <x v="316"/>
    <x v="2938"/>
    <x v="31"/>
    <x v="31"/>
    <x v="0"/>
  </r>
  <r>
    <x v="0"/>
    <x v="1"/>
    <x v="488"/>
    <x v="1"/>
    <x v="44"/>
    <x v="9"/>
    <x v="1"/>
    <x v="48"/>
    <x v="231"/>
    <x v="2694"/>
    <x v="31"/>
    <x v="31"/>
    <x v="0"/>
  </r>
  <r>
    <x v="0"/>
    <x v="1"/>
    <x v="488"/>
    <x v="1"/>
    <x v="44"/>
    <x v="9"/>
    <x v="5"/>
    <x v="43"/>
    <x v="254"/>
    <x v="2686"/>
    <x v="21"/>
    <x v="21"/>
    <x v="0"/>
  </r>
  <r>
    <x v="0"/>
    <x v="1"/>
    <x v="488"/>
    <x v="1"/>
    <x v="44"/>
    <x v="9"/>
    <x v="4"/>
    <x v="43"/>
    <x v="212"/>
    <x v="2513"/>
    <x v="21"/>
    <x v="21"/>
    <x v="0"/>
  </r>
  <r>
    <x v="0"/>
    <x v="1"/>
    <x v="488"/>
    <x v="1"/>
    <x v="44"/>
    <x v="9"/>
    <x v="0"/>
    <x v="53"/>
    <x v="231"/>
    <x v="2757"/>
    <x v="21"/>
    <x v="21"/>
    <x v="0"/>
  </r>
  <r>
    <x v="0"/>
    <x v="1"/>
    <x v="488"/>
    <x v="1"/>
    <x v="44"/>
    <x v="9"/>
    <x v="3"/>
    <x v="58"/>
    <x v="300"/>
    <x v="2890"/>
    <x v="26"/>
    <x v="26"/>
    <x v="0"/>
  </r>
  <r>
    <x v="0"/>
    <x v="1"/>
    <x v="521"/>
    <x v="1"/>
    <x v="44"/>
    <x v="9"/>
    <x v="2"/>
    <x v="53"/>
    <x v="323"/>
    <x v="2961"/>
    <x v="31"/>
    <x v="31"/>
    <x v="0"/>
  </r>
  <r>
    <x v="0"/>
    <x v="1"/>
    <x v="521"/>
    <x v="1"/>
    <x v="44"/>
    <x v="9"/>
    <x v="1"/>
    <x v="48"/>
    <x v="300"/>
    <x v="2862"/>
    <x v="31"/>
    <x v="31"/>
    <x v="0"/>
  </r>
  <r>
    <x v="0"/>
    <x v="1"/>
    <x v="521"/>
    <x v="1"/>
    <x v="44"/>
    <x v="9"/>
    <x v="5"/>
    <x v="43"/>
    <x v="273"/>
    <x v="2745"/>
    <x v="21"/>
    <x v="21"/>
    <x v="0"/>
  </r>
  <r>
    <x v="0"/>
    <x v="1"/>
    <x v="521"/>
    <x v="1"/>
    <x v="44"/>
    <x v="9"/>
    <x v="4"/>
    <x v="43"/>
    <x v="254"/>
    <x v="2686"/>
    <x v="21"/>
    <x v="21"/>
    <x v="0"/>
  </r>
  <r>
    <x v="0"/>
    <x v="1"/>
    <x v="521"/>
    <x v="1"/>
    <x v="44"/>
    <x v="9"/>
    <x v="0"/>
    <x v="53"/>
    <x v="254"/>
    <x v="2805"/>
    <x v="21"/>
    <x v="21"/>
    <x v="0"/>
  </r>
  <r>
    <x v="0"/>
    <x v="1"/>
    <x v="521"/>
    <x v="1"/>
    <x v="44"/>
    <x v="9"/>
    <x v="3"/>
    <x v="58"/>
    <x v="307"/>
    <x v="2910"/>
    <x v="26"/>
    <x v="26"/>
    <x v="0"/>
  </r>
  <r>
    <x v="0"/>
    <x v="1"/>
    <x v="549"/>
    <x v="1"/>
    <x v="44"/>
    <x v="9"/>
    <x v="2"/>
    <x v="53"/>
    <x v="325"/>
    <x v="2969"/>
    <x v="31"/>
    <x v="31"/>
    <x v="0"/>
  </r>
  <r>
    <x v="0"/>
    <x v="1"/>
    <x v="549"/>
    <x v="1"/>
    <x v="44"/>
    <x v="9"/>
    <x v="1"/>
    <x v="48"/>
    <x v="304"/>
    <x v="2873"/>
    <x v="31"/>
    <x v="31"/>
    <x v="0"/>
  </r>
  <r>
    <x v="0"/>
    <x v="1"/>
    <x v="549"/>
    <x v="1"/>
    <x v="44"/>
    <x v="9"/>
    <x v="5"/>
    <x v="43"/>
    <x v="285"/>
    <x v="2793"/>
    <x v="21"/>
    <x v="21"/>
    <x v="0"/>
  </r>
  <r>
    <x v="0"/>
    <x v="1"/>
    <x v="549"/>
    <x v="1"/>
    <x v="44"/>
    <x v="9"/>
    <x v="4"/>
    <x v="43"/>
    <x v="254"/>
    <x v="2686"/>
    <x v="21"/>
    <x v="21"/>
    <x v="0"/>
  </r>
  <r>
    <x v="0"/>
    <x v="1"/>
    <x v="549"/>
    <x v="1"/>
    <x v="44"/>
    <x v="9"/>
    <x v="0"/>
    <x v="53"/>
    <x v="273"/>
    <x v="2833"/>
    <x v="21"/>
    <x v="21"/>
    <x v="0"/>
  </r>
  <r>
    <x v="0"/>
    <x v="1"/>
    <x v="549"/>
    <x v="1"/>
    <x v="44"/>
    <x v="9"/>
    <x v="3"/>
    <x v="58"/>
    <x v="311"/>
    <x v="2929"/>
    <x v="26"/>
    <x v="26"/>
    <x v="0"/>
  </r>
  <r>
    <x v="0"/>
    <x v="1"/>
    <x v="581"/>
    <x v="1"/>
    <x v="44"/>
    <x v="9"/>
    <x v="2"/>
    <x v="53"/>
    <x v="323"/>
    <x v="2961"/>
    <x v="31"/>
    <x v="31"/>
    <x v="0"/>
  </r>
  <r>
    <x v="0"/>
    <x v="1"/>
    <x v="581"/>
    <x v="1"/>
    <x v="44"/>
    <x v="9"/>
    <x v="1"/>
    <x v="48"/>
    <x v="304"/>
    <x v="2873"/>
    <x v="31"/>
    <x v="31"/>
    <x v="0"/>
  </r>
  <r>
    <x v="0"/>
    <x v="1"/>
    <x v="581"/>
    <x v="1"/>
    <x v="44"/>
    <x v="9"/>
    <x v="5"/>
    <x v="43"/>
    <x v="285"/>
    <x v="2793"/>
    <x v="21"/>
    <x v="21"/>
    <x v="0"/>
  </r>
  <r>
    <x v="0"/>
    <x v="1"/>
    <x v="581"/>
    <x v="1"/>
    <x v="44"/>
    <x v="9"/>
    <x v="4"/>
    <x v="43"/>
    <x v="212"/>
    <x v="2513"/>
    <x v="21"/>
    <x v="21"/>
    <x v="0"/>
  </r>
  <r>
    <x v="0"/>
    <x v="1"/>
    <x v="581"/>
    <x v="1"/>
    <x v="44"/>
    <x v="9"/>
    <x v="0"/>
    <x v="53"/>
    <x v="194"/>
    <x v="2594"/>
    <x v="21"/>
    <x v="21"/>
    <x v="0"/>
  </r>
  <r>
    <x v="0"/>
    <x v="1"/>
    <x v="581"/>
    <x v="1"/>
    <x v="44"/>
    <x v="9"/>
    <x v="3"/>
    <x v="58"/>
    <x v="300"/>
    <x v="2890"/>
    <x v="26"/>
    <x v="26"/>
    <x v="0"/>
  </r>
  <r>
    <x v="0"/>
    <x v="1"/>
    <x v="611"/>
    <x v="1"/>
    <x v="44"/>
    <x v="9"/>
    <x v="2"/>
    <x v="53"/>
    <x v="313"/>
    <x v="2924"/>
    <x v="31"/>
    <x v="31"/>
    <x v="0"/>
  </r>
  <r>
    <x v="0"/>
    <x v="1"/>
    <x v="611"/>
    <x v="1"/>
    <x v="44"/>
    <x v="9"/>
    <x v="1"/>
    <x v="48"/>
    <x v="273"/>
    <x v="2800"/>
    <x v="31"/>
    <x v="31"/>
    <x v="0"/>
  </r>
  <r>
    <x v="0"/>
    <x v="1"/>
    <x v="611"/>
    <x v="1"/>
    <x v="44"/>
    <x v="9"/>
    <x v="5"/>
    <x v="43"/>
    <x v="194"/>
    <x v="2383"/>
    <x v="21"/>
    <x v="21"/>
    <x v="0"/>
  </r>
  <r>
    <x v="0"/>
    <x v="1"/>
    <x v="611"/>
    <x v="1"/>
    <x v="44"/>
    <x v="9"/>
    <x v="4"/>
    <x v="43"/>
    <x v="174"/>
    <x v="2206"/>
    <x v="21"/>
    <x v="21"/>
    <x v="0"/>
  </r>
  <r>
    <x v="0"/>
    <x v="1"/>
    <x v="611"/>
    <x v="1"/>
    <x v="44"/>
    <x v="9"/>
    <x v="0"/>
    <x v="53"/>
    <x v="174"/>
    <x v="2469"/>
    <x v="21"/>
    <x v="21"/>
    <x v="0"/>
  </r>
  <r>
    <x v="0"/>
    <x v="1"/>
    <x v="611"/>
    <x v="1"/>
    <x v="44"/>
    <x v="9"/>
    <x v="3"/>
    <x v="58"/>
    <x v="254"/>
    <x v="2833"/>
    <x v="26"/>
    <x v="26"/>
    <x v="0"/>
  </r>
  <r>
    <x v="0"/>
    <x v="1"/>
    <x v="643"/>
    <x v="1"/>
    <x v="44"/>
    <x v="9"/>
    <x v="2"/>
    <x v="58"/>
    <x v="309"/>
    <x v="2918"/>
    <x v="31"/>
    <x v="31"/>
    <x v="0"/>
  </r>
  <r>
    <x v="0"/>
    <x v="1"/>
    <x v="643"/>
    <x v="1"/>
    <x v="44"/>
    <x v="9"/>
    <x v="1"/>
    <x v="53"/>
    <x v="254"/>
    <x v="2805"/>
    <x v="31"/>
    <x v="31"/>
    <x v="0"/>
  </r>
  <r>
    <x v="0"/>
    <x v="1"/>
    <x v="643"/>
    <x v="1"/>
    <x v="44"/>
    <x v="9"/>
    <x v="5"/>
    <x v="53"/>
    <x v="174"/>
    <x v="2469"/>
    <x v="21"/>
    <x v="21"/>
    <x v="0"/>
  </r>
  <r>
    <x v="0"/>
    <x v="1"/>
    <x v="643"/>
    <x v="1"/>
    <x v="44"/>
    <x v="9"/>
    <x v="4"/>
    <x v="53"/>
    <x v="152"/>
    <x v="2282"/>
    <x v="21"/>
    <x v="21"/>
    <x v="0"/>
  </r>
  <r>
    <x v="0"/>
    <x v="1"/>
    <x v="643"/>
    <x v="1"/>
    <x v="44"/>
    <x v="9"/>
    <x v="0"/>
    <x v="63"/>
    <x v="152"/>
    <x v="2491"/>
    <x v="21"/>
    <x v="21"/>
    <x v="0"/>
  </r>
  <r>
    <x v="5"/>
    <x v="1"/>
    <x v="643"/>
    <x v="1"/>
    <x v="44"/>
    <x v="9"/>
    <x v="3"/>
    <x v="68"/>
    <x v="254"/>
    <x v="2866"/>
    <x v="26"/>
    <x v="26"/>
    <x v="0"/>
  </r>
  <r>
    <x v="5"/>
    <x v="1"/>
    <x v="673"/>
    <x v="1"/>
    <x v="44"/>
    <x v="9"/>
    <x v="2"/>
    <x v="63"/>
    <x v="307"/>
    <x v="2924"/>
    <x v="31"/>
    <x v="31"/>
    <x v="0"/>
  </r>
  <r>
    <x v="5"/>
    <x v="1"/>
    <x v="673"/>
    <x v="1"/>
    <x v="44"/>
    <x v="9"/>
    <x v="1"/>
    <x v="53"/>
    <x v="273"/>
    <x v="2833"/>
    <x v="31"/>
    <x v="31"/>
    <x v="0"/>
  </r>
  <r>
    <x v="5"/>
    <x v="1"/>
    <x v="673"/>
    <x v="1"/>
    <x v="44"/>
    <x v="9"/>
    <x v="5"/>
    <x v="53"/>
    <x v="269"/>
    <x v="2828"/>
    <x v="21"/>
    <x v="21"/>
    <x v="0"/>
  </r>
  <r>
    <x v="0"/>
    <x v="1"/>
    <x v="673"/>
    <x v="1"/>
    <x v="44"/>
    <x v="9"/>
    <x v="4"/>
    <x v="53"/>
    <x v="254"/>
    <x v="2805"/>
    <x v="21"/>
    <x v="21"/>
    <x v="0"/>
  </r>
  <r>
    <x v="0"/>
    <x v="1"/>
    <x v="673"/>
    <x v="1"/>
    <x v="44"/>
    <x v="9"/>
    <x v="0"/>
    <x v="63"/>
    <x v="231"/>
    <x v="2829"/>
    <x v="21"/>
    <x v="21"/>
    <x v="0"/>
  </r>
  <r>
    <x v="0"/>
    <x v="1"/>
    <x v="673"/>
    <x v="1"/>
    <x v="44"/>
    <x v="9"/>
    <x v="3"/>
    <x v="68"/>
    <x v="294"/>
    <x v="2904"/>
    <x v="26"/>
    <x v="26"/>
    <x v="0"/>
  </r>
  <r>
    <x v="0"/>
    <x v="1"/>
    <x v="702"/>
    <x v="1"/>
    <x v="44"/>
    <x v="9"/>
    <x v="2"/>
    <x v="63"/>
    <x v="319"/>
    <x v="2974"/>
    <x v="31"/>
    <x v="31"/>
    <x v="0"/>
  </r>
  <r>
    <x v="0"/>
    <x v="1"/>
    <x v="702"/>
    <x v="1"/>
    <x v="44"/>
    <x v="9"/>
    <x v="1"/>
    <x v="53"/>
    <x v="300"/>
    <x v="2880"/>
    <x v="31"/>
    <x v="31"/>
    <x v="0"/>
  </r>
  <r>
    <x v="0"/>
    <x v="1"/>
    <x v="702"/>
    <x v="1"/>
    <x v="44"/>
    <x v="9"/>
    <x v="5"/>
    <x v="53"/>
    <x v="294"/>
    <x v="2866"/>
    <x v="21"/>
    <x v="21"/>
    <x v="0"/>
  </r>
  <r>
    <x v="0"/>
    <x v="1"/>
    <x v="702"/>
    <x v="1"/>
    <x v="44"/>
    <x v="9"/>
    <x v="4"/>
    <x v="53"/>
    <x v="273"/>
    <x v="2833"/>
    <x v="21"/>
    <x v="21"/>
    <x v="0"/>
  </r>
  <r>
    <x v="0"/>
    <x v="1"/>
    <x v="702"/>
    <x v="1"/>
    <x v="44"/>
    <x v="9"/>
    <x v="0"/>
    <x v="63"/>
    <x v="273"/>
    <x v="2867"/>
    <x v="21"/>
    <x v="21"/>
    <x v="0"/>
  </r>
  <r>
    <x v="0"/>
    <x v="1"/>
    <x v="702"/>
    <x v="1"/>
    <x v="44"/>
    <x v="9"/>
    <x v="3"/>
    <x v="68"/>
    <x v="304"/>
    <x v="2926"/>
    <x v="26"/>
    <x v="26"/>
    <x v="0"/>
  </r>
  <r>
    <x v="0"/>
    <x v="1"/>
    <x v="379"/>
    <x v="1"/>
    <x v="44"/>
    <x v="9"/>
    <x v="2"/>
    <x v="43"/>
    <x v="313"/>
    <x v="2892"/>
    <x v="26"/>
    <x v="26"/>
    <x v="0"/>
  </r>
  <r>
    <x v="0"/>
    <x v="1"/>
    <x v="379"/>
    <x v="1"/>
    <x v="44"/>
    <x v="9"/>
    <x v="1"/>
    <x v="43"/>
    <x v="273"/>
    <x v="2745"/>
    <x v="26"/>
    <x v="26"/>
    <x v="0"/>
  </r>
  <r>
    <x v="0"/>
    <x v="1"/>
    <x v="379"/>
    <x v="1"/>
    <x v="44"/>
    <x v="9"/>
    <x v="5"/>
    <x v="33"/>
    <x v="273"/>
    <x v="2560"/>
    <x v="16"/>
    <x v="16"/>
    <x v="0"/>
  </r>
  <r>
    <x v="0"/>
    <x v="1"/>
    <x v="379"/>
    <x v="1"/>
    <x v="44"/>
    <x v="9"/>
    <x v="4"/>
    <x v="38"/>
    <x v="152"/>
    <x v="1857"/>
    <x v="16"/>
    <x v="16"/>
    <x v="0"/>
  </r>
  <r>
    <x v="0"/>
    <x v="1"/>
    <x v="379"/>
    <x v="1"/>
    <x v="44"/>
    <x v="9"/>
    <x v="0"/>
    <x v="53"/>
    <x v="194"/>
    <x v="2594"/>
    <x v="16"/>
    <x v="16"/>
    <x v="0"/>
  </r>
  <r>
    <x v="0"/>
    <x v="1"/>
    <x v="379"/>
    <x v="1"/>
    <x v="44"/>
    <x v="9"/>
    <x v="3"/>
    <x v="43"/>
    <x v="273"/>
    <x v="2745"/>
    <x v="21"/>
    <x v="21"/>
    <x v="0"/>
  </r>
  <r>
    <x v="0"/>
    <x v="1"/>
    <x v="408"/>
    <x v="1"/>
    <x v="44"/>
    <x v="9"/>
    <x v="2"/>
    <x v="43"/>
    <x v="319"/>
    <x v="2915"/>
    <x v="26"/>
    <x v="26"/>
    <x v="0"/>
  </r>
  <r>
    <x v="0"/>
    <x v="1"/>
    <x v="408"/>
    <x v="1"/>
    <x v="44"/>
    <x v="9"/>
    <x v="1"/>
    <x v="43"/>
    <x v="212"/>
    <x v="2513"/>
    <x v="26"/>
    <x v="26"/>
    <x v="0"/>
  </r>
  <r>
    <x v="0"/>
    <x v="1"/>
    <x v="408"/>
    <x v="1"/>
    <x v="44"/>
    <x v="9"/>
    <x v="5"/>
    <x v="33"/>
    <x v="254"/>
    <x v="2469"/>
    <x v="16"/>
    <x v="16"/>
    <x v="0"/>
  </r>
  <r>
    <x v="0"/>
    <x v="1"/>
    <x v="408"/>
    <x v="1"/>
    <x v="28"/>
    <x v="30"/>
    <x v="4"/>
    <x v="38"/>
    <x v="174"/>
    <x v="2064"/>
    <x v="16"/>
    <x v="16"/>
    <x v="0"/>
  </r>
  <r>
    <x v="0"/>
    <x v="1"/>
    <x v="408"/>
    <x v="1"/>
    <x v="28"/>
    <x v="30"/>
    <x v="0"/>
    <x v="53"/>
    <x v="231"/>
    <x v="2757"/>
    <x v="16"/>
    <x v="16"/>
    <x v="0"/>
  </r>
  <r>
    <x v="0"/>
    <x v="1"/>
    <x v="408"/>
    <x v="1"/>
    <x v="28"/>
    <x v="30"/>
    <x v="3"/>
    <x v="43"/>
    <x v="294"/>
    <x v="2817"/>
    <x v="21"/>
    <x v="21"/>
    <x v="0"/>
  </r>
  <r>
    <x v="0"/>
    <x v="1"/>
    <x v="434"/>
    <x v="1"/>
    <x v="28"/>
    <x v="30"/>
    <x v="2"/>
    <x v="43"/>
    <x v="316"/>
    <x v="2906"/>
    <x v="26"/>
    <x v="26"/>
    <x v="0"/>
  </r>
  <r>
    <x v="0"/>
    <x v="1"/>
    <x v="434"/>
    <x v="1"/>
    <x v="28"/>
    <x v="30"/>
    <x v="1"/>
    <x v="43"/>
    <x v="231"/>
    <x v="2615"/>
    <x v="26"/>
    <x v="26"/>
    <x v="0"/>
  </r>
  <r>
    <x v="0"/>
    <x v="1"/>
    <x v="434"/>
    <x v="1"/>
    <x v="28"/>
    <x v="30"/>
    <x v="5"/>
    <x v="33"/>
    <x v="254"/>
    <x v="2469"/>
    <x v="16"/>
    <x v="16"/>
    <x v="0"/>
  </r>
  <r>
    <x v="0"/>
    <x v="1"/>
    <x v="434"/>
    <x v="1"/>
    <x v="28"/>
    <x v="30"/>
    <x v="4"/>
    <x v="38"/>
    <x v="129"/>
    <x v="1617"/>
    <x v="16"/>
    <x v="16"/>
    <x v="0"/>
  </r>
  <r>
    <x v="0"/>
    <x v="1"/>
    <x v="434"/>
    <x v="1"/>
    <x v="28"/>
    <x v="30"/>
    <x v="0"/>
    <x v="53"/>
    <x v="174"/>
    <x v="2469"/>
    <x v="16"/>
    <x v="16"/>
    <x v="0"/>
  </r>
  <r>
    <x v="0"/>
    <x v="1"/>
    <x v="434"/>
    <x v="1"/>
    <x v="28"/>
    <x v="30"/>
    <x v="3"/>
    <x v="43"/>
    <x v="254"/>
    <x v="2686"/>
    <x v="21"/>
    <x v="21"/>
    <x v="0"/>
  </r>
  <r>
    <x v="0"/>
    <x v="1"/>
    <x v="466"/>
    <x v="1"/>
    <x v="28"/>
    <x v="30"/>
    <x v="2"/>
    <x v="43"/>
    <x v="315"/>
    <x v="2899"/>
    <x v="26"/>
    <x v="26"/>
    <x v="0"/>
  </r>
  <r>
    <x v="0"/>
    <x v="1"/>
    <x v="466"/>
    <x v="1"/>
    <x v="28"/>
    <x v="30"/>
    <x v="1"/>
    <x v="43"/>
    <x v="212"/>
    <x v="2513"/>
    <x v="26"/>
    <x v="26"/>
    <x v="0"/>
  </r>
  <r>
    <x v="0"/>
    <x v="1"/>
    <x v="466"/>
    <x v="1"/>
    <x v="28"/>
    <x v="30"/>
    <x v="5"/>
    <x v="33"/>
    <x v="212"/>
    <x v="2206"/>
    <x v="16"/>
    <x v="16"/>
    <x v="0"/>
  </r>
  <r>
    <x v="0"/>
    <x v="1"/>
    <x v="466"/>
    <x v="1"/>
    <x v="28"/>
    <x v="30"/>
    <x v="4"/>
    <x v="38"/>
    <x v="152"/>
    <x v="1857"/>
    <x v="16"/>
    <x v="16"/>
    <x v="0"/>
  </r>
  <r>
    <x v="0"/>
    <x v="1"/>
    <x v="466"/>
    <x v="1"/>
    <x v="28"/>
    <x v="30"/>
    <x v="0"/>
    <x v="53"/>
    <x v="152"/>
    <x v="2282"/>
    <x v="16"/>
    <x v="16"/>
    <x v="0"/>
  </r>
  <r>
    <x v="0"/>
    <x v="1"/>
    <x v="466"/>
    <x v="1"/>
    <x v="28"/>
    <x v="30"/>
    <x v="3"/>
    <x v="43"/>
    <x v="273"/>
    <x v="2745"/>
    <x v="21"/>
    <x v="21"/>
    <x v="0"/>
  </r>
  <r>
    <x v="0"/>
    <x v="1"/>
    <x v="495"/>
    <x v="1"/>
    <x v="28"/>
    <x v="30"/>
    <x v="2"/>
    <x v="58"/>
    <x v="318"/>
    <x v="2959"/>
    <x v="26"/>
    <x v="26"/>
    <x v="0"/>
  </r>
  <r>
    <x v="0"/>
    <x v="1"/>
    <x v="495"/>
    <x v="1"/>
    <x v="28"/>
    <x v="30"/>
    <x v="1"/>
    <x v="53"/>
    <x v="254"/>
    <x v="2805"/>
    <x v="26"/>
    <x v="26"/>
    <x v="0"/>
  </r>
  <r>
    <x v="0"/>
    <x v="1"/>
    <x v="495"/>
    <x v="1"/>
    <x v="28"/>
    <x v="30"/>
    <x v="5"/>
    <x v="48"/>
    <x v="273"/>
    <x v="2800"/>
    <x v="16"/>
    <x v="16"/>
    <x v="0"/>
  </r>
  <r>
    <x v="0"/>
    <x v="1"/>
    <x v="495"/>
    <x v="1"/>
    <x v="28"/>
    <x v="30"/>
    <x v="4"/>
    <x v="48"/>
    <x v="231"/>
    <x v="2694"/>
    <x v="16"/>
    <x v="16"/>
    <x v="0"/>
  </r>
  <r>
    <x v="0"/>
    <x v="1"/>
    <x v="495"/>
    <x v="1"/>
    <x v="28"/>
    <x v="30"/>
    <x v="0"/>
    <x v="58"/>
    <x v="254"/>
    <x v="2833"/>
    <x v="16"/>
    <x v="16"/>
    <x v="0"/>
  </r>
  <r>
    <x v="0"/>
    <x v="1"/>
    <x v="495"/>
    <x v="1"/>
    <x v="28"/>
    <x v="30"/>
    <x v="3"/>
    <x v="63"/>
    <x v="304"/>
    <x v="2912"/>
    <x v="21"/>
    <x v="21"/>
    <x v="0"/>
  </r>
  <r>
    <x v="0"/>
    <x v="1"/>
    <x v="528"/>
    <x v="1"/>
    <x v="28"/>
    <x v="30"/>
    <x v="2"/>
    <x v="58"/>
    <x v="325"/>
    <x v="2984"/>
    <x v="26"/>
    <x v="26"/>
    <x v="0"/>
  </r>
  <r>
    <x v="0"/>
    <x v="1"/>
    <x v="528"/>
    <x v="1"/>
    <x v="28"/>
    <x v="30"/>
    <x v="1"/>
    <x v="53"/>
    <x v="304"/>
    <x v="2888"/>
    <x v="26"/>
    <x v="26"/>
    <x v="0"/>
  </r>
  <r>
    <x v="0"/>
    <x v="1"/>
    <x v="528"/>
    <x v="1"/>
    <x v="28"/>
    <x v="30"/>
    <x v="5"/>
    <x v="48"/>
    <x v="285"/>
    <x v="2829"/>
    <x v="16"/>
    <x v="16"/>
    <x v="0"/>
  </r>
  <r>
    <x v="0"/>
    <x v="1"/>
    <x v="528"/>
    <x v="1"/>
    <x v="28"/>
    <x v="30"/>
    <x v="4"/>
    <x v="48"/>
    <x v="273"/>
    <x v="2800"/>
    <x v="16"/>
    <x v="16"/>
    <x v="0"/>
  </r>
  <r>
    <x v="0"/>
    <x v="1"/>
    <x v="528"/>
    <x v="1"/>
    <x v="28"/>
    <x v="30"/>
    <x v="0"/>
    <x v="58"/>
    <x v="273"/>
    <x v="2853"/>
    <x v="16"/>
    <x v="16"/>
    <x v="0"/>
  </r>
  <r>
    <x v="0"/>
    <x v="1"/>
    <x v="528"/>
    <x v="1"/>
    <x v="28"/>
    <x v="30"/>
    <x v="3"/>
    <x v="63"/>
    <x v="309"/>
    <x v="2934"/>
    <x v="21"/>
    <x v="21"/>
    <x v="0"/>
  </r>
  <r>
    <x v="0"/>
    <x v="1"/>
    <x v="556"/>
    <x v="1"/>
    <x v="28"/>
    <x v="30"/>
    <x v="2"/>
    <x v="58"/>
    <x v="327"/>
    <x v="2989"/>
    <x v="26"/>
    <x v="26"/>
    <x v="0"/>
  </r>
  <r>
    <x v="0"/>
    <x v="1"/>
    <x v="556"/>
    <x v="1"/>
    <x v="28"/>
    <x v="30"/>
    <x v="1"/>
    <x v="53"/>
    <x v="307"/>
    <x v="2895"/>
    <x v="26"/>
    <x v="26"/>
    <x v="2"/>
  </r>
  <r>
    <x v="0"/>
    <x v="1"/>
    <x v="556"/>
    <x v="1"/>
    <x v="28"/>
    <x v="30"/>
    <x v="5"/>
    <x v="48"/>
    <x v="294"/>
    <x v="2850"/>
    <x v="16"/>
    <x v="16"/>
    <x v="2"/>
  </r>
  <r>
    <x v="0"/>
    <x v="1"/>
    <x v="556"/>
    <x v="1"/>
    <x v="28"/>
    <x v="30"/>
    <x v="4"/>
    <x v="48"/>
    <x v="273"/>
    <x v="2800"/>
    <x v="16"/>
    <x v="16"/>
    <x v="2"/>
  </r>
  <r>
    <x v="0"/>
    <x v="1"/>
    <x v="556"/>
    <x v="1"/>
    <x v="28"/>
    <x v="30"/>
    <x v="0"/>
    <x v="58"/>
    <x v="285"/>
    <x v="2867"/>
    <x v="16"/>
    <x v="16"/>
    <x v="2"/>
  </r>
  <r>
    <x v="0"/>
    <x v="1"/>
    <x v="556"/>
    <x v="1"/>
    <x v="28"/>
    <x v="30"/>
    <x v="3"/>
    <x v="63"/>
    <x v="313"/>
    <x v="2949"/>
    <x v="21"/>
    <x v="21"/>
    <x v="2"/>
  </r>
  <r>
    <x v="0"/>
    <x v="1"/>
    <x v="588"/>
    <x v="1"/>
    <x v="28"/>
    <x v="30"/>
    <x v="2"/>
    <x v="58"/>
    <x v="325"/>
    <x v="2984"/>
    <x v="26"/>
    <x v="26"/>
    <x v="2"/>
  </r>
  <r>
    <x v="0"/>
    <x v="1"/>
    <x v="588"/>
    <x v="1"/>
    <x v="28"/>
    <x v="30"/>
    <x v="1"/>
    <x v="53"/>
    <x v="307"/>
    <x v="2895"/>
    <x v="26"/>
    <x v="26"/>
    <x v="2"/>
  </r>
  <r>
    <x v="0"/>
    <x v="1"/>
    <x v="588"/>
    <x v="1"/>
    <x v="28"/>
    <x v="30"/>
    <x v="5"/>
    <x v="48"/>
    <x v="294"/>
    <x v="2850"/>
    <x v="16"/>
    <x v="16"/>
    <x v="2"/>
  </r>
  <r>
    <x v="0"/>
    <x v="1"/>
    <x v="588"/>
    <x v="1"/>
    <x v="28"/>
    <x v="30"/>
    <x v="4"/>
    <x v="48"/>
    <x v="231"/>
    <x v="2694"/>
    <x v="16"/>
    <x v="16"/>
    <x v="2"/>
  </r>
  <r>
    <x v="0"/>
    <x v="1"/>
    <x v="588"/>
    <x v="1"/>
    <x v="28"/>
    <x v="30"/>
    <x v="0"/>
    <x v="58"/>
    <x v="212"/>
    <x v="2745"/>
    <x v="16"/>
    <x v="16"/>
    <x v="2"/>
  </r>
  <r>
    <x v="0"/>
    <x v="1"/>
    <x v="588"/>
    <x v="1"/>
    <x v="28"/>
    <x v="30"/>
    <x v="3"/>
    <x v="63"/>
    <x v="304"/>
    <x v="2912"/>
    <x v="21"/>
    <x v="21"/>
    <x v="2"/>
  </r>
  <r>
    <x v="0"/>
    <x v="1"/>
    <x v="618"/>
    <x v="1"/>
    <x v="28"/>
    <x v="30"/>
    <x v="2"/>
    <x v="58"/>
    <x v="315"/>
    <x v="2945"/>
    <x v="26"/>
    <x v="26"/>
    <x v="2"/>
  </r>
  <r>
    <x v="0"/>
    <x v="1"/>
    <x v="618"/>
    <x v="1"/>
    <x v="28"/>
    <x v="30"/>
    <x v="1"/>
    <x v="53"/>
    <x v="285"/>
    <x v="2852"/>
    <x v="26"/>
    <x v="26"/>
    <x v="2"/>
  </r>
  <r>
    <x v="0"/>
    <x v="1"/>
    <x v="618"/>
    <x v="1"/>
    <x v="28"/>
    <x v="30"/>
    <x v="5"/>
    <x v="48"/>
    <x v="212"/>
    <x v="2615"/>
    <x v="16"/>
    <x v="16"/>
    <x v="2"/>
  </r>
  <r>
    <x v="0"/>
    <x v="1"/>
    <x v="618"/>
    <x v="1"/>
    <x v="28"/>
    <x v="30"/>
    <x v="4"/>
    <x v="48"/>
    <x v="194"/>
    <x v="2506"/>
    <x v="16"/>
    <x v="16"/>
    <x v="2"/>
  </r>
  <r>
    <x v="0"/>
    <x v="1"/>
    <x v="618"/>
    <x v="1"/>
    <x v="28"/>
    <x v="30"/>
    <x v="0"/>
    <x v="58"/>
    <x v="194"/>
    <x v="2673"/>
    <x v="16"/>
    <x v="16"/>
    <x v="2"/>
  </r>
  <r>
    <x v="0"/>
    <x v="1"/>
    <x v="618"/>
    <x v="1"/>
    <x v="28"/>
    <x v="30"/>
    <x v="3"/>
    <x v="63"/>
    <x v="273"/>
    <x v="2867"/>
    <x v="21"/>
    <x v="21"/>
    <x v="2"/>
  </r>
  <r>
    <x v="1"/>
    <x v="1"/>
    <x v="650"/>
    <x v="1"/>
    <x v="28"/>
    <x v="30"/>
    <x v="2"/>
    <x v="63"/>
    <x v="309"/>
    <x v="2934"/>
    <x v="26"/>
    <x v="26"/>
    <x v="2"/>
  </r>
  <r>
    <x v="1"/>
    <x v="1"/>
    <x v="650"/>
    <x v="1"/>
    <x v="28"/>
    <x v="30"/>
    <x v="1"/>
    <x v="58"/>
    <x v="254"/>
    <x v="2833"/>
    <x v="26"/>
    <x v="26"/>
    <x v="2"/>
  </r>
  <r>
    <x v="1"/>
    <x v="1"/>
    <x v="650"/>
    <x v="1"/>
    <x v="28"/>
    <x v="30"/>
    <x v="5"/>
    <x v="58"/>
    <x v="174"/>
    <x v="2560"/>
    <x v="16"/>
    <x v="16"/>
    <x v="2"/>
  </r>
  <r>
    <x v="1"/>
    <x v="1"/>
    <x v="650"/>
    <x v="1"/>
    <x v="28"/>
    <x v="30"/>
    <x v="4"/>
    <x v="58"/>
    <x v="152"/>
    <x v="2398"/>
    <x v="16"/>
    <x v="16"/>
    <x v="2"/>
  </r>
  <r>
    <x v="1"/>
    <x v="1"/>
    <x v="650"/>
    <x v="1"/>
    <x v="28"/>
    <x v="30"/>
    <x v="0"/>
    <x v="68"/>
    <x v="152"/>
    <x v="2574"/>
    <x v="16"/>
    <x v="16"/>
    <x v="2"/>
  </r>
  <r>
    <x v="1"/>
    <x v="1"/>
    <x v="650"/>
    <x v="1"/>
    <x v="28"/>
    <x v="30"/>
    <x v="3"/>
    <x v="73"/>
    <x v="254"/>
    <x v="2880"/>
    <x v="21"/>
    <x v="21"/>
    <x v="2"/>
  </r>
  <r>
    <x v="1"/>
    <x v="1"/>
    <x v="680"/>
    <x v="1"/>
    <x v="28"/>
    <x v="30"/>
    <x v="2"/>
    <x v="68"/>
    <x v="307"/>
    <x v="2935"/>
    <x v="26"/>
    <x v="26"/>
    <x v="2"/>
  </r>
  <r>
    <x v="1"/>
    <x v="1"/>
    <x v="680"/>
    <x v="1"/>
    <x v="28"/>
    <x v="30"/>
    <x v="1"/>
    <x v="58"/>
    <x v="273"/>
    <x v="2853"/>
    <x v="26"/>
    <x v="26"/>
    <x v="2"/>
  </r>
  <r>
    <x v="1"/>
    <x v="1"/>
    <x v="680"/>
    <x v="1"/>
    <x v="28"/>
    <x v="30"/>
    <x v="5"/>
    <x v="58"/>
    <x v="282"/>
    <x v="2864"/>
    <x v="16"/>
    <x v="16"/>
    <x v="2"/>
  </r>
  <r>
    <x v="1"/>
    <x v="1"/>
    <x v="680"/>
    <x v="1"/>
    <x v="28"/>
    <x v="30"/>
    <x v="4"/>
    <x v="58"/>
    <x v="273"/>
    <x v="2853"/>
    <x v="16"/>
    <x v="16"/>
    <x v="2"/>
  </r>
  <r>
    <x v="1"/>
    <x v="1"/>
    <x v="680"/>
    <x v="1"/>
    <x v="28"/>
    <x v="30"/>
    <x v="0"/>
    <x v="68"/>
    <x v="254"/>
    <x v="2866"/>
    <x v="16"/>
    <x v="16"/>
    <x v="2"/>
  </r>
  <r>
    <x v="1"/>
    <x v="1"/>
    <x v="680"/>
    <x v="1"/>
    <x v="28"/>
    <x v="30"/>
    <x v="3"/>
    <x v="73"/>
    <x v="300"/>
    <x v="2927"/>
    <x v="21"/>
    <x v="21"/>
    <x v="2"/>
  </r>
  <r>
    <x v="1"/>
    <x v="1"/>
    <x v="709"/>
    <x v="1"/>
    <x v="28"/>
    <x v="30"/>
    <x v="2"/>
    <x v="68"/>
    <x v="321"/>
    <x v="2995"/>
    <x v="26"/>
    <x v="26"/>
    <x v="2"/>
  </r>
  <r>
    <x v="1"/>
    <x v="1"/>
    <x v="709"/>
    <x v="1"/>
    <x v="28"/>
    <x v="30"/>
    <x v="1"/>
    <x v="58"/>
    <x v="304"/>
    <x v="2901"/>
    <x v="26"/>
    <x v="26"/>
    <x v="2"/>
  </r>
  <r>
    <x v="1"/>
    <x v="1"/>
    <x v="709"/>
    <x v="1"/>
    <x v="28"/>
    <x v="30"/>
    <x v="5"/>
    <x v="58"/>
    <x v="300"/>
    <x v="2890"/>
    <x v="16"/>
    <x v="16"/>
    <x v="2"/>
  </r>
  <r>
    <x v="1"/>
    <x v="1"/>
    <x v="709"/>
    <x v="1"/>
    <x v="28"/>
    <x v="30"/>
    <x v="4"/>
    <x v="58"/>
    <x v="285"/>
    <x v="2867"/>
    <x v="16"/>
    <x v="16"/>
    <x v="2"/>
  </r>
  <r>
    <x v="1"/>
    <x v="1"/>
    <x v="709"/>
    <x v="1"/>
    <x v="28"/>
    <x v="30"/>
    <x v="0"/>
    <x v="68"/>
    <x v="285"/>
    <x v="2892"/>
    <x v="16"/>
    <x v="16"/>
    <x v="2"/>
  </r>
  <r>
    <x v="1"/>
    <x v="1"/>
    <x v="709"/>
    <x v="1"/>
    <x v="28"/>
    <x v="30"/>
    <x v="3"/>
    <x v="73"/>
    <x v="307"/>
    <x v="2947"/>
    <x v="21"/>
    <x v="21"/>
    <x v="2"/>
  </r>
  <r>
    <x v="1"/>
    <x v="1"/>
    <x v="382"/>
    <x v="1"/>
    <x v="28"/>
    <x v="30"/>
    <x v="2"/>
    <x v="48"/>
    <x v="311"/>
    <x v="2899"/>
    <x v="21"/>
    <x v="21"/>
    <x v="2"/>
  </r>
  <r>
    <x v="1"/>
    <x v="1"/>
    <x v="382"/>
    <x v="1"/>
    <x v="28"/>
    <x v="30"/>
    <x v="1"/>
    <x v="48"/>
    <x v="254"/>
    <x v="2757"/>
    <x v="21"/>
    <x v="21"/>
    <x v="2"/>
  </r>
  <r>
    <x v="1"/>
    <x v="1"/>
    <x v="382"/>
    <x v="1"/>
    <x v="28"/>
    <x v="30"/>
    <x v="5"/>
    <x v="38"/>
    <x v="254"/>
    <x v="2594"/>
    <x v="11"/>
    <x v="11"/>
    <x v="2"/>
  </r>
  <r>
    <x v="1"/>
    <x v="1"/>
    <x v="382"/>
    <x v="1"/>
    <x v="28"/>
    <x v="30"/>
    <x v="4"/>
    <x v="43"/>
    <x v="129"/>
    <x v="1779"/>
    <x v="11"/>
    <x v="11"/>
    <x v="2"/>
  </r>
  <r>
    <x v="1"/>
    <x v="1"/>
    <x v="382"/>
    <x v="1"/>
    <x v="28"/>
    <x v="30"/>
    <x v="0"/>
    <x v="58"/>
    <x v="174"/>
    <x v="2560"/>
    <x v="11"/>
    <x v="11"/>
    <x v="2"/>
  </r>
  <r>
    <x v="1"/>
    <x v="1"/>
    <x v="382"/>
    <x v="1"/>
    <x v="28"/>
    <x v="30"/>
    <x v="3"/>
    <x v="48"/>
    <x v="254"/>
    <x v="2757"/>
    <x v="16"/>
    <x v="16"/>
    <x v="2"/>
  </r>
  <r>
    <x v="1"/>
    <x v="1"/>
    <x v="411"/>
    <x v="1"/>
    <x v="28"/>
    <x v="30"/>
    <x v="2"/>
    <x v="48"/>
    <x v="317"/>
    <x v="2925"/>
    <x v="21"/>
    <x v="21"/>
    <x v="2"/>
  </r>
  <r>
    <x v="1"/>
    <x v="1"/>
    <x v="411"/>
    <x v="1"/>
    <x v="28"/>
    <x v="30"/>
    <x v="1"/>
    <x v="48"/>
    <x v="194"/>
    <x v="2506"/>
    <x v="21"/>
    <x v="21"/>
    <x v="2"/>
  </r>
  <r>
    <x v="1"/>
    <x v="1"/>
    <x v="411"/>
    <x v="1"/>
    <x v="28"/>
    <x v="30"/>
    <x v="5"/>
    <x v="38"/>
    <x v="231"/>
    <x v="2506"/>
    <x v="11"/>
    <x v="11"/>
    <x v="2"/>
  </r>
  <r>
    <x v="1"/>
    <x v="1"/>
    <x v="0"/>
    <x v="1"/>
    <x v="31"/>
    <x v="35"/>
    <x v="2"/>
    <x v="40"/>
    <x v="278"/>
    <x v="2729"/>
    <x v="47"/>
    <x v="47"/>
    <x v="1"/>
  </r>
  <r>
    <x v="1"/>
    <x v="1"/>
    <x v="1"/>
    <x v="1"/>
    <x v="31"/>
    <x v="35"/>
    <x v="1"/>
    <x v="40"/>
    <x v="220"/>
    <x v="2487"/>
    <x v="28"/>
    <x v="28"/>
    <x v="1"/>
  </r>
  <r>
    <x v="1"/>
    <x v="1"/>
    <x v="2"/>
    <x v="1"/>
    <x v="31"/>
    <x v="35"/>
    <x v="5"/>
    <x v="29"/>
    <x v="212"/>
    <x v="2064"/>
    <x v="32"/>
    <x v="32"/>
    <x v="1"/>
  </r>
  <r>
    <x v="1"/>
    <x v="1"/>
    <x v="3"/>
    <x v="1"/>
    <x v="31"/>
    <x v="35"/>
    <x v="4"/>
    <x v="34"/>
    <x v="210"/>
    <x v="2228"/>
    <x v="32"/>
    <x v="32"/>
    <x v="1"/>
  </r>
  <r>
    <x v="1"/>
    <x v="1"/>
    <x v="4"/>
    <x v="1"/>
    <x v="31"/>
    <x v="35"/>
    <x v="0"/>
    <x v="48"/>
    <x v="200"/>
    <x v="2545"/>
    <x v="26"/>
    <x v="26"/>
    <x v="1"/>
  </r>
  <r>
    <x v="1"/>
    <x v="1"/>
    <x v="5"/>
    <x v="1"/>
    <x v="31"/>
    <x v="35"/>
    <x v="3"/>
    <x v="39"/>
    <x v="220"/>
    <x v="2461"/>
    <x v="23"/>
    <x v="23"/>
    <x v="1"/>
  </r>
  <r>
    <x v="1"/>
    <x v="1"/>
    <x v="6"/>
    <x v="1"/>
    <x v="31"/>
    <x v="35"/>
    <x v="2"/>
    <x v="39"/>
    <x v="263"/>
    <x v="2658"/>
    <x v="48"/>
    <x v="48"/>
    <x v="1"/>
  </r>
  <r>
    <x v="1"/>
    <x v="1"/>
    <x v="7"/>
    <x v="1"/>
    <x v="31"/>
    <x v="35"/>
    <x v="1"/>
    <x v="39"/>
    <x v="221"/>
    <x v="2470"/>
    <x v="30"/>
    <x v="30"/>
    <x v="1"/>
  </r>
  <r>
    <x v="1"/>
    <x v="1"/>
    <x v="20"/>
    <x v="1"/>
    <x v="31"/>
    <x v="35"/>
    <x v="5"/>
    <x v="29"/>
    <x v="232"/>
    <x v="2197"/>
    <x v="33"/>
    <x v="33"/>
    <x v="1"/>
  </r>
  <r>
    <x v="1"/>
    <x v="1"/>
    <x v="21"/>
    <x v="1"/>
    <x v="31"/>
    <x v="35"/>
    <x v="4"/>
    <x v="37"/>
    <x v="179"/>
    <x v="2073"/>
    <x v="35"/>
    <x v="35"/>
    <x v="1"/>
  </r>
  <r>
    <x v="1"/>
    <x v="1"/>
    <x v="22"/>
    <x v="1"/>
    <x v="31"/>
    <x v="35"/>
    <x v="0"/>
    <x v="51"/>
    <x v="206"/>
    <x v="2646"/>
    <x v="29"/>
    <x v="29"/>
    <x v="1"/>
  </r>
  <r>
    <x v="1"/>
    <x v="1"/>
    <x v="23"/>
    <x v="1"/>
    <x v="31"/>
    <x v="35"/>
    <x v="3"/>
    <x v="41"/>
    <x v="246"/>
    <x v="2629"/>
    <x v="24"/>
    <x v="24"/>
    <x v="1"/>
  </r>
  <r>
    <x v="1"/>
    <x v="1"/>
    <x v="24"/>
    <x v="1"/>
    <x v="31"/>
    <x v="35"/>
    <x v="2"/>
    <x v="39"/>
    <x v="287"/>
    <x v="2748"/>
    <x v="49"/>
    <x v="49"/>
    <x v="1"/>
  </r>
  <r>
    <x v="1"/>
    <x v="1"/>
    <x v="25"/>
    <x v="1"/>
    <x v="31"/>
    <x v="35"/>
    <x v="1"/>
    <x v="41"/>
    <x v="219"/>
    <x v="2509"/>
    <x v="29"/>
    <x v="29"/>
    <x v="1"/>
  </r>
  <r>
    <x v="1"/>
    <x v="1"/>
    <x v="26"/>
    <x v="1"/>
    <x v="31"/>
    <x v="35"/>
    <x v="5"/>
    <x v="32"/>
    <x v="210"/>
    <x v="2160"/>
    <x v="35"/>
    <x v="35"/>
    <x v="1"/>
  </r>
  <r>
    <x v="1"/>
    <x v="1"/>
    <x v="27"/>
    <x v="1"/>
    <x v="31"/>
    <x v="35"/>
    <x v="4"/>
    <x v="36"/>
    <x v="186"/>
    <x v="2103"/>
    <x v="36"/>
    <x v="36"/>
    <x v="1"/>
  </r>
  <r>
    <x v="1"/>
    <x v="1"/>
    <x v="28"/>
    <x v="1"/>
    <x v="31"/>
    <x v="35"/>
    <x v="0"/>
    <x v="52"/>
    <x v="196"/>
    <x v="2598"/>
    <x v="28"/>
    <x v="28"/>
    <x v="1"/>
  </r>
  <r>
    <x v="1"/>
    <x v="1"/>
    <x v="29"/>
    <x v="1"/>
    <x v="31"/>
    <x v="35"/>
    <x v="3"/>
    <x v="38"/>
    <x v="202"/>
    <x v="2307"/>
    <x v="21"/>
    <x v="21"/>
    <x v="1"/>
  </r>
  <r>
    <x v="1"/>
    <x v="1"/>
    <x v="30"/>
    <x v="1"/>
    <x v="31"/>
    <x v="35"/>
    <x v="2"/>
    <x v="38"/>
    <x v="254"/>
    <x v="2594"/>
    <x v="48"/>
    <x v="48"/>
    <x v="1"/>
  </r>
  <r>
    <x v="1"/>
    <x v="1"/>
    <x v="31"/>
    <x v="1"/>
    <x v="31"/>
    <x v="35"/>
    <x v="1"/>
    <x v="40"/>
    <x v="200"/>
    <x v="2349"/>
    <x v="27"/>
    <x v="27"/>
    <x v="1"/>
  </r>
  <r>
    <x v="1"/>
    <x v="1"/>
    <x v="32"/>
    <x v="1"/>
    <x v="31"/>
    <x v="35"/>
    <x v="5"/>
    <x v="32"/>
    <x v="213"/>
    <x v="2181"/>
    <x v="36"/>
    <x v="36"/>
    <x v="1"/>
  </r>
  <r>
    <x v="1"/>
    <x v="1"/>
    <x v="33"/>
    <x v="1"/>
    <x v="31"/>
    <x v="35"/>
    <x v="4"/>
    <x v="34"/>
    <x v="203"/>
    <x v="2178"/>
    <x v="35"/>
    <x v="35"/>
    <x v="1"/>
  </r>
  <r>
    <x v="1"/>
    <x v="1"/>
    <x v="34"/>
    <x v="1"/>
    <x v="31"/>
    <x v="35"/>
    <x v="0"/>
    <x v="49"/>
    <x v="185"/>
    <x v="2474"/>
    <x v="28"/>
    <x v="28"/>
    <x v="1"/>
  </r>
  <r>
    <x v="1"/>
    <x v="1"/>
    <x v="35"/>
    <x v="1"/>
    <x v="31"/>
    <x v="35"/>
    <x v="3"/>
    <x v="42"/>
    <x v="202"/>
    <x v="2432"/>
    <x v="23"/>
    <x v="23"/>
    <x v="1"/>
  </r>
  <r>
    <x v="1"/>
    <x v="1"/>
    <x v="36"/>
    <x v="1"/>
    <x v="31"/>
    <x v="35"/>
    <x v="2"/>
    <x v="47"/>
    <x v="266"/>
    <x v="2780"/>
    <x v="50"/>
    <x v="50"/>
    <x v="1"/>
  </r>
  <r>
    <x v="1"/>
    <x v="1"/>
    <x v="37"/>
    <x v="1"/>
    <x v="31"/>
    <x v="35"/>
    <x v="1"/>
    <x v="43"/>
    <x v="219"/>
    <x v="2554"/>
    <x v="26"/>
    <x v="26"/>
    <x v="1"/>
  </r>
  <r>
    <x v="1"/>
    <x v="1"/>
    <x v="38"/>
    <x v="1"/>
    <x v="31"/>
    <x v="35"/>
    <x v="5"/>
    <x v="39"/>
    <x v="221"/>
    <x v="2470"/>
    <x v="33"/>
    <x v="33"/>
    <x v="1"/>
  </r>
  <r>
    <x v="1"/>
    <x v="1"/>
    <x v="39"/>
    <x v="1"/>
    <x v="31"/>
    <x v="35"/>
    <x v="4"/>
    <x v="39"/>
    <x v="196"/>
    <x v="2292"/>
    <x v="34"/>
    <x v="34"/>
    <x v="1"/>
  </r>
  <r>
    <x v="1"/>
    <x v="1"/>
    <x v="40"/>
    <x v="1"/>
    <x v="31"/>
    <x v="35"/>
    <x v="0"/>
    <x v="52"/>
    <x v="208"/>
    <x v="2662"/>
    <x v="31"/>
    <x v="31"/>
    <x v="1"/>
  </r>
  <r>
    <x v="1"/>
    <x v="1"/>
    <x v="61"/>
    <x v="1"/>
    <x v="31"/>
    <x v="35"/>
    <x v="3"/>
    <x v="52"/>
    <x v="246"/>
    <x v="2779"/>
    <x v="22"/>
    <x v="22"/>
    <x v="1"/>
  </r>
  <r>
    <x v="1"/>
    <x v="1"/>
    <x v="62"/>
    <x v="1"/>
    <x v="31"/>
    <x v="35"/>
    <x v="2"/>
    <x v="48"/>
    <x v="263"/>
    <x v="2782"/>
    <x v="47"/>
    <x v="47"/>
    <x v="1"/>
  </r>
  <r>
    <x v="1"/>
    <x v="1"/>
    <x v="63"/>
    <x v="1"/>
    <x v="31"/>
    <x v="35"/>
    <x v="1"/>
    <x v="47"/>
    <x v="227"/>
    <x v="2669"/>
    <x v="27"/>
    <x v="27"/>
    <x v="1"/>
  </r>
  <r>
    <x v="1"/>
    <x v="1"/>
    <x v="64"/>
    <x v="1"/>
    <x v="31"/>
    <x v="35"/>
    <x v="5"/>
    <x v="39"/>
    <x v="234"/>
    <x v="2539"/>
    <x v="34"/>
    <x v="34"/>
    <x v="1"/>
  </r>
  <r>
    <x v="1"/>
    <x v="1"/>
    <x v="65"/>
    <x v="1"/>
    <x v="31"/>
    <x v="35"/>
    <x v="4"/>
    <x v="40"/>
    <x v="221"/>
    <x v="2493"/>
    <x v="31"/>
    <x v="31"/>
    <x v="1"/>
  </r>
  <r>
    <x v="1"/>
    <x v="1"/>
    <x v="66"/>
    <x v="1"/>
    <x v="31"/>
    <x v="35"/>
    <x v="0"/>
    <x v="48"/>
    <x v="213"/>
    <x v="2625"/>
    <x v="31"/>
    <x v="31"/>
    <x v="1"/>
  </r>
  <r>
    <x v="1"/>
    <x v="1"/>
    <x v="67"/>
    <x v="1"/>
    <x v="31"/>
    <x v="35"/>
    <x v="3"/>
    <x v="57"/>
    <x v="257"/>
    <x v="2834"/>
    <x v="25"/>
    <x v="25"/>
    <x v="1"/>
  </r>
  <r>
    <x v="1"/>
    <x v="1"/>
    <x v="68"/>
    <x v="1"/>
    <x v="31"/>
    <x v="35"/>
    <x v="2"/>
    <x v="52"/>
    <x v="268"/>
    <x v="2820"/>
    <x v="46"/>
    <x v="46"/>
    <x v="1"/>
  </r>
  <r>
    <x v="1"/>
    <x v="1"/>
    <x v="69"/>
    <x v="1"/>
    <x v="31"/>
    <x v="35"/>
    <x v="1"/>
    <x v="46"/>
    <x v="225"/>
    <x v="2650"/>
    <x v="28"/>
    <x v="28"/>
    <x v="1"/>
  </r>
  <r>
    <x v="1"/>
    <x v="1"/>
    <x v="70"/>
    <x v="1"/>
    <x v="31"/>
    <x v="35"/>
    <x v="5"/>
    <x v="39"/>
    <x v="210"/>
    <x v="2396"/>
    <x v="31"/>
    <x v="31"/>
    <x v="1"/>
  </r>
  <r>
    <x v="1"/>
    <x v="1"/>
    <x v="71"/>
    <x v="1"/>
    <x v="31"/>
    <x v="35"/>
    <x v="4"/>
    <x v="39"/>
    <x v="206"/>
    <x v="2376"/>
    <x v="32"/>
    <x v="32"/>
    <x v="1"/>
  </r>
  <r>
    <x v="1"/>
    <x v="1"/>
    <x v="72"/>
    <x v="1"/>
    <x v="31"/>
    <x v="35"/>
    <x v="0"/>
    <x v="51"/>
    <x v="197"/>
    <x v="2590"/>
    <x v="29"/>
    <x v="29"/>
    <x v="1"/>
  </r>
  <r>
    <x v="1"/>
    <x v="1"/>
    <x v="73"/>
    <x v="1"/>
    <x v="31"/>
    <x v="35"/>
    <x v="3"/>
    <x v="54"/>
    <x v="242"/>
    <x v="2790"/>
    <x v="26"/>
    <x v="26"/>
    <x v="1"/>
  </r>
  <r>
    <x v="1"/>
    <x v="1"/>
    <x v="74"/>
    <x v="1"/>
    <x v="31"/>
    <x v="35"/>
    <x v="2"/>
    <x v="51"/>
    <x v="273"/>
    <x v="2821"/>
    <x v="47"/>
    <x v="47"/>
    <x v="1"/>
  </r>
  <r>
    <x v="1"/>
    <x v="1"/>
    <x v="75"/>
    <x v="1"/>
    <x v="31"/>
    <x v="35"/>
    <x v="1"/>
    <x v="46"/>
    <x v="259"/>
    <x v="2751"/>
    <x v="27"/>
    <x v="27"/>
    <x v="1"/>
  </r>
  <r>
    <x v="1"/>
    <x v="1"/>
    <x v="76"/>
    <x v="1"/>
    <x v="31"/>
    <x v="35"/>
    <x v="5"/>
    <x v="38"/>
    <x v="217"/>
    <x v="2418"/>
    <x v="32"/>
    <x v="32"/>
    <x v="1"/>
  </r>
  <r>
    <x v="1"/>
    <x v="1"/>
    <x v="89"/>
    <x v="1"/>
    <x v="31"/>
    <x v="35"/>
    <x v="4"/>
    <x v="40"/>
    <x v="205"/>
    <x v="2393"/>
    <x v="33"/>
    <x v="33"/>
    <x v="1"/>
  </r>
  <r>
    <x v="4"/>
    <x v="1"/>
    <x v="106"/>
    <x v="1"/>
    <x v="31"/>
    <x v="35"/>
    <x v="0"/>
    <x v="47"/>
    <x v="227"/>
    <x v="2669"/>
    <x v="31"/>
    <x v="31"/>
    <x v="1"/>
  </r>
  <r>
    <x v="4"/>
    <x v="1"/>
    <x v="107"/>
    <x v="1"/>
    <x v="31"/>
    <x v="35"/>
    <x v="3"/>
    <x v="55"/>
    <x v="246"/>
    <x v="2804"/>
    <x v="23"/>
    <x v="23"/>
    <x v="1"/>
  </r>
  <r>
    <x v="4"/>
    <x v="1"/>
    <x v="108"/>
    <x v="1"/>
    <x v="31"/>
    <x v="35"/>
    <x v="2"/>
    <x v="49"/>
    <x v="290"/>
    <x v="2845"/>
    <x v="48"/>
    <x v="48"/>
    <x v="1"/>
  </r>
  <r>
    <x v="4"/>
    <x v="1"/>
    <x v="109"/>
    <x v="1"/>
    <x v="31"/>
    <x v="35"/>
    <x v="1"/>
    <x v="43"/>
    <x v="227"/>
    <x v="2594"/>
    <x v="30"/>
    <x v="30"/>
    <x v="1"/>
  </r>
  <r>
    <x v="4"/>
    <x v="1"/>
    <x v="110"/>
    <x v="1"/>
    <x v="31"/>
    <x v="35"/>
    <x v="5"/>
    <x v="40"/>
    <x v="226"/>
    <x v="2522"/>
    <x v="33"/>
    <x v="33"/>
    <x v="1"/>
  </r>
  <r>
    <x v="4"/>
    <x v="1"/>
    <x v="111"/>
    <x v="1"/>
    <x v="31"/>
    <x v="35"/>
    <x v="4"/>
    <x v="40"/>
    <x v="213"/>
    <x v="2446"/>
    <x v="32"/>
    <x v="32"/>
    <x v="1"/>
  </r>
  <r>
    <x v="4"/>
    <x v="1"/>
    <x v="112"/>
    <x v="1"/>
    <x v="31"/>
    <x v="35"/>
    <x v="0"/>
    <x v="51"/>
    <x v="213"/>
    <x v="2672"/>
    <x v="26"/>
    <x v="26"/>
    <x v="1"/>
  </r>
  <r>
    <x v="4"/>
    <x v="1"/>
    <x v="113"/>
    <x v="1"/>
    <x v="31"/>
    <x v="35"/>
    <x v="3"/>
    <x v="52"/>
    <x v="236"/>
    <x v="2758"/>
    <x v="26"/>
    <x v="26"/>
    <x v="1"/>
  </r>
  <r>
    <x v="4"/>
    <x v="1"/>
    <x v="114"/>
    <x v="1"/>
    <x v="31"/>
    <x v="35"/>
    <x v="0"/>
    <x v="57"/>
    <x v="201"/>
    <x v="2692"/>
    <x v="28"/>
    <x v="28"/>
    <x v="1"/>
  </r>
  <r>
    <x v="4"/>
    <x v="1"/>
    <x v="115"/>
    <x v="1"/>
    <x v="31"/>
    <x v="35"/>
    <x v="3"/>
    <x v="61"/>
    <x v="246"/>
    <x v="2836"/>
    <x v="24"/>
    <x v="24"/>
    <x v="1"/>
  </r>
  <r>
    <x v="4"/>
    <x v="1"/>
    <x v="116"/>
    <x v="1"/>
    <x v="31"/>
    <x v="35"/>
    <x v="2"/>
    <x v="53"/>
    <x v="253"/>
    <x v="2802"/>
    <x v="46"/>
    <x v="46"/>
    <x v="1"/>
  </r>
  <r>
    <x v="4"/>
    <x v="1"/>
    <x v="117"/>
    <x v="1"/>
    <x v="31"/>
    <x v="35"/>
    <x v="1"/>
    <x v="46"/>
    <x v="230"/>
    <x v="2664"/>
    <x v="29"/>
    <x v="29"/>
    <x v="1"/>
  </r>
  <r>
    <x v="4"/>
    <x v="1"/>
    <x v="118"/>
    <x v="1"/>
    <x v="31"/>
    <x v="35"/>
    <x v="5"/>
    <x v="45"/>
    <x v="218"/>
    <x v="2591"/>
    <x v="34"/>
    <x v="34"/>
    <x v="1"/>
  </r>
  <r>
    <x v="4"/>
    <x v="1"/>
    <x v="119"/>
    <x v="1"/>
    <x v="31"/>
    <x v="35"/>
    <x v="4"/>
    <x v="43"/>
    <x v="213"/>
    <x v="2524"/>
    <x v="35"/>
    <x v="35"/>
    <x v="1"/>
  </r>
  <r>
    <x v="4"/>
    <x v="1"/>
    <x v="120"/>
    <x v="1"/>
    <x v="31"/>
    <x v="35"/>
    <x v="0"/>
    <x v="57"/>
    <x v="214"/>
    <x v="2747"/>
    <x v="28"/>
    <x v="28"/>
    <x v="1"/>
  </r>
  <r>
    <x v="4"/>
    <x v="1"/>
    <x v="121"/>
    <x v="1"/>
    <x v="31"/>
    <x v="35"/>
    <x v="3"/>
    <x v="59"/>
    <x v="222"/>
    <x v="2788"/>
    <x v="23"/>
    <x v="23"/>
    <x v="1"/>
  </r>
  <r>
    <x v="4"/>
    <x v="1"/>
    <x v="122"/>
    <x v="1"/>
    <x v="31"/>
    <x v="35"/>
    <x v="2"/>
    <x v="55"/>
    <x v="262"/>
    <x v="2830"/>
    <x v="50"/>
    <x v="50"/>
    <x v="1"/>
  </r>
  <r>
    <x v="4"/>
    <x v="1"/>
    <x v="123"/>
    <x v="1"/>
    <x v="31"/>
    <x v="35"/>
    <x v="1"/>
    <x v="44"/>
    <x v="254"/>
    <x v="2703"/>
    <x v="28"/>
    <x v="28"/>
    <x v="1"/>
  </r>
  <r>
    <x v="4"/>
    <x v="1"/>
    <x v="124"/>
    <x v="1"/>
    <x v="31"/>
    <x v="35"/>
    <x v="5"/>
    <x v="47"/>
    <x v="241"/>
    <x v="2708"/>
    <x v="33"/>
    <x v="33"/>
    <x v="1"/>
  </r>
  <r>
    <x v="4"/>
    <x v="1"/>
    <x v="125"/>
    <x v="1"/>
    <x v="31"/>
    <x v="35"/>
    <x v="4"/>
    <x v="47"/>
    <x v="194"/>
    <x v="2482"/>
    <x v="32"/>
    <x v="32"/>
    <x v="1"/>
  </r>
  <r>
    <x v="4"/>
    <x v="1"/>
    <x v="126"/>
    <x v="1"/>
    <x v="31"/>
    <x v="35"/>
    <x v="0"/>
    <x v="53"/>
    <x v="221"/>
    <x v="2725"/>
    <x v="29"/>
    <x v="29"/>
    <x v="1"/>
  </r>
  <r>
    <x v="4"/>
    <x v="1"/>
    <x v="198"/>
    <x v="1"/>
    <x v="31"/>
    <x v="35"/>
    <x v="3"/>
    <x v="61"/>
    <x v="246"/>
    <x v="2836"/>
    <x v="21"/>
    <x v="21"/>
    <x v="1"/>
  </r>
  <r>
    <x v="3"/>
    <x v="3"/>
    <x v="199"/>
    <x v="1"/>
    <x v="31"/>
    <x v="35"/>
    <x v="2"/>
    <x v="17"/>
    <x v="200"/>
    <x v="1351"/>
    <x v="33"/>
    <x v="33"/>
    <x v="1"/>
  </r>
  <r>
    <x v="3"/>
    <x v="3"/>
    <x v="200"/>
    <x v="1"/>
    <x v="31"/>
    <x v="35"/>
    <x v="1"/>
    <x v="27"/>
    <x v="194"/>
    <x v="1807"/>
    <x v="35"/>
    <x v="35"/>
    <x v="1"/>
  </r>
  <r>
    <x v="3"/>
    <x v="3"/>
    <x v="201"/>
    <x v="1"/>
    <x v="31"/>
    <x v="35"/>
    <x v="5"/>
    <x v="26"/>
    <x v="183"/>
    <x v="1661"/>
    <x v="32"/>
    <x v="32"/>
    <x v="1"/>
  </r>
  <r>
    <x v="3"/>
    <x v="3"/>
    <x v="202"/>
    <x v="1"/>
    <x v="31"/>
    <x v="35"/>
    <x v="4"/>
    <x v="27"/>
    <x v="152"/>
    <x v="1427"/>
    <x v="41"/>
    <x v="41"/>
    <x v="1"/>
  </r>
  <r>
    <x v="3"/>
    <x v="3"/>
    <x v="203"/>
    <x v="2"/>
    <x v="42"/>
    <x v="22"/>
    <x v="0"/>
    <x v="29"/>
    <x v="133"/>
    <x v="1334"/>
    <x v="29"/>
    <x v="29"/>
    <x v="1"/>
  </r>
  <r>
    <x v="3"/>
    <x v="3"/>
    <x v="204"/>
    <x v="2"/>
    <x v="42"/>
    <x v="22"/>
    <x v="3"/>
    <x v="27"/>
    <x v="177"/>
    <x v="1653"/>
    <x v="50"/>
    <x v="50"/>
    <x v="1"/>
  </r>
  <r>
    <x v="3"/>
    <x v="3"/>
    <x v="205"/>
    <x v="2"/>
    <x v="42"/>
    <x v="22"/>
    <x v="2"/>
    <x v="16"/>
    <x v="184"/>
    <x v="1183"/>
    <x v="36"/>
    <x v="36"/>
    <x v="1"/>
  </r>
  <r>
    <x v="3"/>
    <x v="3"/>
    <x v="206"/>
    <x v="2"/>
    <x v="42"/>
    <x v="22"/>
    <x v="1"/>
    <x v="26"/>
    <x v="215"/>
    <x v="1962"/>
    <x v="31"/>
    <x v="31"/>
    <x v="1"/>
  </r>
  <r>
    <x v="3"/>
    <x v="3"/>
    <x v="207"/>
    <x v="2"/>
    <x v="42"/>
    <x v="22"/>
    <x v="5"/>
    <x v="25"/>
    <x v="153"/>
    <x v="1358"/>
    <x v="31"/>
    <x v="31"/>
    <x v="1"/>
  </r>
  <r>
    <x v="3"/>
    <x v="3"/>
    <x v="208"/>
    <x v="2"/>
    <x v="42"/>
    <x v="22"/>
    <x v="4"/>
    <x v="27"/>
    <x v="152"/>
    <x v="1427"/>
    <x v="46"/>
    <x v="46"/>
    <x v="1"/>
  </r>
  <r>
    <x v="3"/>
    <x v="3"/>
    <x v="209"/>
    <x v="2"/>
    <x v="42"/>
    <x v="22"/>
    <x v="0"/>
    <x v="31"/>
    <x v="105"/>
    <x v="1145"/>
    <x v="31"/>
    <x v="31"/>
    <x v="1"/>
  </r>
  <r>
    <x v="3"/>
    <x v="3"/>
    <x v="210"/>
    <x v="2"/>
    <x v="42"/>
    <x v="22"/>
    <x v="3"/>
    <x v="27"/>
    <x v="172"/>
    <x v="1601"/>
    <x v="49"/>
    <x v="49"/>
    <x v="1"/>
  </r>
  <r>
    <x v="3"/>
    <x v="3"/>
    <x v="211"/>
    <x v="2"/>
    <x v="42"/>
    <x v="22"/>
    <x v="2"/>
    <x v="22"/>
    <x v="214"/>
    <x v="1750"/>
    <x v="31"/>
    <x v="31"/>
    <x v="1"/>
  </r>
  <r>
    <x v="3"/>
    <x v="3"/>
    <x v="212"/>
    <x v="2"/>
    <x v="42"/>
    <x v="22"/>
    <x v="1"/>
    <x v="32"/>
    <x v="201"/>
    <x v="2091"/>
    <x v="31"/>
    <x v="31"/>
    <x v="1"/>
  </r>
  <r>
    <x v="3"/>
    <x v="3"/>
    <x v="213"/>
    <x v="2"/>
    <x v="42"/>
    <x v="22"/>
    <x v="5"/>
    <x v="25"/>
    <x v="159"/>
    <x v="1398"/>
    <x v="35"/>
    <x v="35"/>
    <x v="1"/>
  </r>
  <r>
    <x v="3"/>
    <x v="3"/>
    <x v="214"/>
    <x v="2"/>
    <x v="42"/>
    <x v="22"/>
    <x v="4"/>
    <x v="30"/>
    <x v="151"/>
    <x v="1552"/>
    <x v="44"/>
    <x v="44"/>
    <x v="1"/>
  </r>
  <r>
    <x v="3"/>
    <x v="3"/>
    <x v="215"/>
    <x v="2"/>
    <x v="42"/>
    <x v="22"/>
    <x v="0"/>
    <x v="34"/>
    <x v="105"/>
    <x v="1237"/>
    <x v="26"/>
    <x v="26"/>
    <x v="1"/>
  </r>
  <r>
    <x v="3"/>
    <x v="3"/>
    <x v="216"/>
    <x v="2"/>
    <x v="42"/>
    <x v="22"/>
    <x v="3"/>
    <x v="32"/>
    <x v="165"/>
    <x v="1751"/>
    <x v="46"/>
    <x v="46"/>
    <x v="1"/>
  </r>
  <r>
    <x v="3"/>
    <x v="3"/>
    <x v="217"/>
    <x v="2"/>
    <x v="42"/>
    <x v="22"/>
    <x v="2"/>
    <x v="20"/>
    <x v="200"/>
    <x v="1520"/>
    <x v="34"/>
    <x v="34"/>
    <x v="1"/>
  </r>
  <r>
    <x v="3"/>
    <x v="3"/>
    <x v="218"/>
    <x v="2"/>
    <x v="42"/>
    <x v="22"/>
    <x v="1"/>
    <x v="31"/>
    <x v="194"/>
    <x v="1985"/>
    <x v="31"/>
    <x v="31"/>
    <x v="1"/>
  </r>
  <r>
    <x v="3"/>
    <x v="3"/>
    <x v="219"/>
    <x v="2"/>
    <x v="42"/>
    <x v="22"/>
    <x v="5"/>
    <x v="27"/>
    <x v="177"/>
    <x v="1653"/>
    <x v="32"/>
    <x v="32"/>
    <x v="1"/>
  </r>
  <r>
    <x v="3"/>
    <x v="3"/>
    <x v="220"/>
    <x v="2"/>
    <x v="42"/>
    <x v="22"/>
    <x v="4"/>
    <x v="29"/>
    <x v="141"/>
    <x v="1409"/>
    <x v="45"/>
    <x v="45"/>
    <x v="1"/>
  </r>
  <r>
    <x v="4"/>
    <x v="3"/>
    <x v="221"/>
    <x v="2"/>
    <x v="42"/>
    <x v="22"/>
    <x v="0"/>
    <x v="35"/>
    <x v="127"/>
    <x v="1483"/>
    <x v="28"/>
    <x v="28"/>
    <x v="1"/>
  </r>
  <r>
    <x v="4"/>
    <x v="3"/>
    <x v="222"/>
    <x v="2"/>
    <x v="42"/>
    <x v="22"/>
    <x v="3"/>
    <x v="32"/>
    <x v="198"/>
    <x v="2071"/>
    <x v="47"/>
    <x v="47"/>
    <x v="1"/>
  </r>
  <r>
    <x v="4"/>
    <x v="3"/>
    <x v="223"/>
    <x v="2"/>
    <x v="42"/>
    <x v="22"/>
    <x v="2"/>
    <x v="22"/>
    <x v="226"/>
    <x v="1837"/>
    <x v="34"/>
    <x v="34"/>
    <x v="1"/>
  </r>
  <r>
    <x v="4"/>
    <x v="3"/>
    <x v="224"/>
    <x v="2"/>
    <x v="42"/>
    <x v="22"/>
    <x v="1"/>
    <x v="31"/>
    <x v="219"/>
    <x v="2183"/>
    <x v="32"/>
    <x v="32"/>
    <x v="1"/>
  </r>
  <r>
    <x v="4"/>
    <x v="3"/>
    <x v="225"/>
    <x v="2"/>
    <x v="42"/>
    <x v="22"/>
    <x v="5"/>
    <x v="26"/>
    <x v="194"/>
    <x v="1762"/>
    <x v="34"/>
    <x v="34"/>
    <x v="1"/>
  </r>
  <r>
    <x v="4"/>
    <x v="3"/>
    <x v="226"/>
    <x v="2"/>
    <x v="42"/>
    <x v="22"/>
    <x v="4"/>
    <x v="32"/>
    <x v="165"/>
    <x v="1751"/>
    <x v="44"/>
    <x v="44"/>
    <x v="1"/>
  </r>
  <r>
    <x v="4"/>
    <x v="3"/>
    <x v="227"/>
    <x v="2"/>
    <x v="42"/>
    <x v="22"/>
    <x v="0"/>
    <x v="35"/>
    <x v="146"/>
    <x v="1687"/>
    <x v="26"/>
    <x v="26"/>
    <x v="1"/>
  </r>
  <r>
    <x v="4"/>
    <x v="3"/>
    <x v="228"/>
    <x v="2"/>
    <x v="42"/>
    <x v="22"/>
    <x v="3"/>
    <x v="30"/>
    <x v="232"/>
    <x v="2240"/>
    <x v="49"/>
    <x v="49"/>
    <x v="1"/>
  </r>
  <r>
    <x v="4"/>
    <x v="3"/>
    <x v="229"/>
    <x v="2"/>
    <x v="42"/>
    <x v="22"/>
    <x v="2"/>
    <x v="32"/>
    <x v="202"/>
    <x v="2102"/>
    <x v="33"/>
    <x v="33"/>
    <x v="1"/>
  </r>
  <r>
    <x v="4"/>
    <x v="3"/>
    <x v="230"/>
    <x v="2"/>
    <x v="42"/>
    <x v="22"/>
    <x v="1"/>
    <x v="35"/>
    <x v="202"/>
    <x v="2205"/>
    <x v="31"/>
    <x v="31"/>
    <x v="1"/>
  </r>
  <r>
    <x v="4"/>
    <x v="3"/>
    <x v="231"/>
    <x v="2"/>
    <x v="42"/>
    <x v="22"/>
    <x v="5"/>
    <x v="30"/>
    <x v="198"/>
    <x v="1992"/>
    <x v="35"/>
    <x v="35"/>
    <x v="1"/>
  </r>
  <r>
    <x v="4"/>
    <x v="3"/>
    <x v="232"/>
    <x v="2"/>
    <x v="42"/>
    <x v="22"/>
    <x v="4"/>
    <x v="31"/>
    <x v="177"/>
    <x v="1822"/>
    <x v="43"/>
    <x v="43"/>
    <x v="1"/>
  </r>
  <r>
    <x v="4"/>
    <x v="3"/>
    <x v="233"/>
    <x v="2"/>
    <x v="42"/>
    <x v="22"/>
    <x v="0"/>
    <x v="34"/>
    <x v="147"/>
    <x v="1660"/>
    <x v="31"/>
    <x v="31"/>
    <x v="1"/>
  </r>
  <r>
    <x v="4"/>
    <x v="3"/>
    <x v="234"/>
    <x v="2"/>
    <x v="42"/>
    <x v="22"/>
    <x v="3"/>
    <x v="40"/>
    <x v="212"/>
    <x v="2439"/>
    <x v="50"/>
    <x v="50"/>
    <x v="1"/>
  </r>
  <r>
    <x v="4"/>
    <x v="3"/>
    <x v="235"/>
    <x v="2"/>
    <x v="42"/>
    <x v="22"/>
    <x v="2"/>
    <x v="30"/>
    <x v="202"/>
    <x v="2032"/>
    <x v="31"/>
    <x v="31"/>
    <x v="1"/>
  </r>
  <r>
    <x v="4"/>
    <x v="3"/>
    <x v="236"/>
    <x v="2"/>
    <x v="42"/>
    <x v="22"/>
    <x v="1"/>
    <x v="35"/>
    <x v="202"/>
    <x v="2205"/>
    <x v="32"/>
    <x v="32"/>
    <x v="1"/>
  </r>
  <r>
    <x v="4"/>
    <x v="3"/>
    <x v="237"/>
    <x v="2"/>
    <x v="42"/>
    <x v="22"/>
    <x v="5"/>
    <x v="30"/>
    <x v="268"/>
    <x v="2444"/>
    <x v="31"/>
    <x v="31"/>
    <x v="1"/>
  </r>
  <r>
    <x v="4"/>
    <x v="3"/>
    <x v="238"/>
    <x v="2"/>
    <x v="42"/>
    <x v="22"/>
    <x v="4"/>
    <x v="29"/>
    <x v="183"/>
    <x v="1790"/>
    <x v="46"/>
    <x v="46"/>
    <x v="1"/>
  </r>
  <r>
    <x v="4"/>
    <x v="3"/>
    <x v="239"/>
    <x v="2"/>
    <x v="42"/>
    <x v="22"/>
    <x v="0"/>
    <x v="34"/>
    <x v="172"/>
    <x v="1888"/>
    <x v="26"/>
    <x v="26"/>
    <x v="1"/>
  </r>
  <r>
    <x v="4"/>
    <x v="3"/>
    <x v="240"/>
    <x v="2"/>
    <x v="42"/>
    <x v="22"/>
    <x v="3"/>
    <x v="40"/>
    <x v="247"/>
    <x v="2618"/>
    <x v="49"/>
    <x v="49"/>
    <x v="1"/>
  </r>
  <r>
    <x v="4"/>
    <x v="3"/>
    <x v="241"/>
    <x v="2"/>
    <x v="42"/>
    <x v="22"/>
    <x v="2"/>
    <x v="30"/>
    <x v="226"/>
    <x v="2195"/>
    <x v="35"/>
    <x v="35"/>
    <x v="1"/>
  </r>
  <r>
    <x v="4"/>
    <x v="3"/>
    <x v="242"/>
    <x v="2"/>
    <x v="42"/>
    <x v="22"/>
    <x v="1"/>
    <x v="34"/>
    <x v="219"/>
    <x v="2298"/>
    <x v="31"/>
    <x v="31"/>
    <x v="1"/>
  </r>
  <r>
    <x v="4"/>
    <x v="3"/>
    <x v="243"/>
    <x v="2"/>
    <x v="42"/>
    <x v="22"/>
    <x v="5"/>
    <x v="32"/>
    <x v="251"/>
    <x v="2419"/>
    <x v="32"/>
    <x v="32"/>
    <x v="1"/>
  </r>
  <r>
    <x v="4"/>
    <x v="3"/>
    <x v="244"/>
    <x v="2"/>
    <x v="42"/>
    <x v="22"/>
    <x v="4"/>
    <x v="31"/>
    <x v="165"/>
    <x v="1713"/>
    <x v="45"/>
    <x v="45"/>
    <x v="1"/>
  </r>
  <r>
    <x v="4"/>
    <x v="3"/>
    <x v="245"/>
    <x v="2"/>
    <x v="42"/>
    <x v="22"/>
    <x v="0"/>
    <x v="34"/>
    <x v="147"/>
    <x v="1660"/>
    <x v="26"/>
    <x v="26"/>
    <x v="1"/>
  </r>
  <r>
    <x v="4"/>
    <x v="3"/>
    <x v="246"/>
    <x v="2"/>
    <x v="42"/>
    <x v="22"/>
    <x v="3"/>
    <x v="39"/>
    <x v="194"/>
    <x v="2259"/>
    <x v="51"/>
    <x v="51"/>
    <x v="1"/>
  </r>
  <r>
    <x v="4"/>
    <x v="3"/>
    <x v="247"/>
    <x v="2"/>
    <x v="42"/>
    <x v="22"/>
    <x v="2"/>
    <x v="37"/>
    <x v="215"/>
    <x v="2380"/>
    <x v="34"/>
    <x v="34"/>
    <x v="1"/>
  </r>
  <r>
    <x v="4"/>
    <x v="3"/>
    <x v="248"/>
    <x v="2"/>
    <x v="42"/>
    <x v="22"/>
    <x v="1"/>
    <x v="34"/>
    <x v="184"/>
    <x v="2017"/>
    <x v="32"/>
    <x v="32"/>
    <x v="1"/>
  </r>
  <r>
    <x v="4"/>
    <x v="3"/>
    <x v="249"/>
    <x v="2"/>
    <x v="42"/>
    <x v="22"/>
    <x v="5"/>
    <x v="39"/>
    <x v="200"/>
    <x v="2318"/>
    <x v="35"/>
    <x v="35"/>
    <x v="1"/>
  </r>
  <r>
    <x v="4"/>
    <x v="3"/>
    <x v="250"/>
    <x v="2"/>
    <x v="42"/>
    <x v="22"/>
    <x v="4"/>
    <x v="40"/>
    <x v="158"/>
    <x v="1978"/>
    <x v="41"/>
    <x v="41"/>
    <x v="1"/>
  </r>
  <r>
    <x v="4"/>
    <x v="3"/>
    <x v="251"/>
    <x v="2"/>
    <x v="42"/>
    <x v="22"/>
    <x v="0"/>
    <x v="37"/>
    <x v="152"/>
    <x v="1820"/>
    <x v="29"/>
    <x v="29"/>
    <x v="1"/>
  </r>
  <r>
    <x v="4"/>
    <x v="3"/>
    <x v="252"/>
    <x v="2"/>
    <x v="42"/>
    <x v="22"/>
    <x v="3"/>
    <x v="43"/>
    <x v="184"/>
    <x v="2301"/>
    <x v="50"/>
    <x v="50"/>
    <x v="1"/>
  </r>
  <r>
    <x v="4"/>
    <x v="3"/>
    <x v="253"/>
    <x v="2"/>
    <x v="42"/>
    <x v="22"/>
    <x v="2"/>
    <x v="37"/>
    <x v="204"/>
    <x v="2289"/>
    <x v="36"/>
    <x v="36"/>
    <x v="1"/>
  </r>
  <r>
    <x v="4"/>
    <x v="3"/>
    <x v="254"/>
    <x v="2"/>
    <x v="42"/>
    <x v="22"/>
    <x v="1"/>
    <x v="36"/>
    <x v="186"/>
    <x v="2103"/>
    <x v="33"/>
    <x v="33"/>
    <x v="1"/>
  </r>
  <r>
    <x v="4"/>
    <x v="3"/>
    <x v="255"/>
    <x v="2"/>
    <x v="42"/>
    <x v="22"/>
    <x v="5"/>
    <x v="41"/>
    <x v="164"/>
    <x v="2067"/>
    <x v="33"/>
    <x v="33"/>
    <x v="1"/>
  </r>
  <r>
    <x v="4"/>
    <x v="3"/>
    <x v="256"/>
    <x v="2"/>
    <x v="42"/>
    <x v="22"/>
    <x v="4"/>
    <x v="38"/>
    <x v="146"/>
    <x v="1790"/>
    <x v="44"/>
    <x v="44"/>
    <x v="1"/>
  </r>
  <r>
    <x v="4"/>
    <x v="3"/>
    <x v="257"/>
    <x v="2"/>
    <x v="42"/>
    <x v="22"/>
    <x v="0"/>
    <x v="35"/>
    <x v="129"/>
    <x v="1516"/>
    <x v="27"/>
    <x v="27"/>
    <x v="1"/>
  </r>
  <r>
    <x v="4"/>
    <x v="3"/>
    <x v="258"/>
    <x v="2"/>
    <x v="42"/>
    <x v="22"/>
    <x v="3"/>
    <x v="46"/>
    <x v="183"/>
    <x v="2371"/>
    <x v="48"/>
    <x v="48"/>
    <x v="1"/>
  </r>
  <r>
    <x v="4"/>
    <x v="3"/>
    <x v="286"/>
    <x v="2"/>
    <x v="42"/>
    <x v="22"/>
    <x v="2"/>
    <x v="36"/>
    <x v="200"/>
    <x v="2216"/>
    <x v="35"/>
    <x v="35"/>
    <x v="1"/>
  </r>
  <r>
    <x v="4"/>
    <x v="3"/>
    <x v="287"/>
    <x v="2"/>
    <x v="42"/>
    <x v="22"/>
    <x v="1"/>
    <x v="36"/>
    <x v="206"/>
    <x v="2270"/>
    <x v="35"/>
    <x v="35"/>
    <x v="1"/>
  </r>
  <r>
    <x v="4"/>
    <x v="3"/>
    <x v="288"/>
    <x v="2"/>
    <x v="42"/>
    <x v="22"/>
    <x v="5"/>
    <x v="40"/>
    <x v="179"/>
    <x v="2168"/>
    <x v="34"/>
    <x v="34"/>
    <x v="1"/>
  </r>
  <r>
    <x v="4"/>
    <x v="3"/>
    <x v="289"/>
    <x v="2"/>
    <x v="42"/>
    <x v="22"/>
    <x v="4"/>
    <x v="41"/>
    <x v="177"/>
    <x v="2172"/>
    <x v="41"/>
    <x v="41"/>
    <x v="1"/>
  </r>
  <r>
    <x v="4"/>
    <x v="3"/>
    <x v="290"/>
    <x v="2"/>
    <x v="42"/>
    <x v="22"/>
    <x v="0"/>
    <x v="35"/>
    <x v="171"/>
    <x v="1920"/>
    <x v="31"/>
    <x v="31"/>
    <x v="1"/>
  </r>
  <r>
    <x v="4"/>
    <x v="3"/>
    <x v="291"/>
    <x v="2"/>
    <x v="42"/>
    <x v="22"/>
    <x v="3"/>
    <x v="44"/>
    <x v="210"/>
    <x v="2523"/>
    <x v="48"/>
    <x v="48"/>
    <x v="1"/>
  </r>
  <r>
    <x v="4"/>
    <x v="3"/>
    <x v="292"/>
    <x v="2"/>
    <x v="42"/>
    <x v="22"/>
    <x v="2"/>
    <x v="34"/>
    <x v="202"/>
    <x v="2174"/>
    <x v="34"/>
    <x v="34"/>
    <x v="1"/>
  </r>
  <r>
    <x v="4"/>
    <x v="3"/>
    <x v="293"/>
    <x v="2"/>
    <x v="42"/>
    <x v="22"/>
    <x v="1"/>
    <x v="37"/>
    <x v="241"/>
    <x v="2516"/>
    <x v="34"/>
    <x v="34"/>
    <x v="1"/>
  </r>
  <r>
    <x v="4"/>
    <x v="3"/>
    <x v="294"/>
    <x v="2"/>
    <x v="42"/>
    <x v="22"/>
    <x v="5"/>
    <x v="40"/>
    <x v="215"/>
    <x v="2464"/>
    <x v="35"/>
    <x v="35"/>
    <x v="1"/>
  </r>
  <r>
    <x v="4"/>
    <x v="3"/>
    <x v="295"/>
    <x v="2"/>
    <x v="42"/>
    <x v="22"/>
    <x v="4"/>
    <x v="40"/>
    <x v="159"/>
    <x v="1986"/>
    <x v="44"/>
    <x v="44"/>
    <x v="1"/>
  </r>
  <r>
    <x v="4"/>
    <x v="3"/>
    <x v="296"/>
    <x v="2"/>
    <x v="42"/>
    <x v="22"/>
    <x v="0"/>
    <x v="35"/>
    <x v="147"/>
    <x v="1695"/>
    <x v="31"/>
    <x v="31"/>
    <x v="1"/>
  </r>
  <r>
    <x v="4"/>
    <x v="3"/>
    <x v="297"/>
    <x v="2"/>
    <x v="42"/>
    <x v="22"/>
    <x v="3"/>
    <x v="46"/>
    <x v="221"/>
    <x v="2622"/>
    <x v="48"/>
    <x v="48"/>
    <x v="1"/>
  </r>
  <r>
    <x v="5"/>
    <x v="0"/>
    <x v="298"/>
    <x v="2"/>
    <x v="42"/>
    <x v="22"/>
    <x v="2"/>
    <x v="30"/>
    <x v="182"/>
    <x v="1827"/>
    <x v="31"/>
    <x v="31"/>
    <x v="1"/>
  </r>
  <r>
    <x v="5"/>
    <x v="0"/>
    <x v="299"/>
    <x v="2"/>
    <x v="42"/>
    <x v="22"/>
    <x v="1"/>
    <x v="42"/>
    <x v="170"/>
    <x v="2139"/>
    <x v="17"/>
    <x v="17"/>
    <x v="1"/>
  </r>
  <r>
    <x v="5"/>
    <x v="0"/>
    <x v="300"/>
    <x v="2"/>
    <x v="42"/>
    <x v="22"/>
    <x v="5"/>
    <x v="39"/>
    <x v="187"/>
    <x v="2202"/>
    <x v="31"/>
    <x v="31"/>
    <x v="1"/>
  </r>
  <r>
    <x v="5"/>
    <x v="0"/>
    <x v="301"/>
    <x v="2"/>
    <x v="42"/>
    <x v="22"/>
    <x v="4"/>
    <x v="41"/>
    <x v="152"/>
    <x v="1959"/>
    <x v="26"/>
    <x v="26"/>
    <x v="1"/>
  </r>
  <r>
    <x v="5"/>
    <x v="0"/>
    <x v="302"/>
    <x v="4"/>
    <x v="4"/>
    <x v="46"/>
    <x v="0"/>
    <x v="44"/>
    <x v="139"/>
    <x v="1923"/>
    <x v="49"/>
    <x v="49"/>
    <x v="1"/>
  </r>
  <r>
    <x v="5"/>
    <x v="0"/>
    <x v="303"/>
    <x v="4"/>
    <x v="4"/>
    <x v="46"/>
    <x v="3"/>
    <x v="42"/>
    <x v="199"/>
    <x v="2401"/>
    <x v="11"/>
    <x v="11"/>
    <x v="1"/>
  </r>
  <r>
    <x v="5"/>
    <x v="0"/>
    <x v="304"/>
    <x v="4"/>
    <x v="4"/>
    <x v="46"/>
    <x v="2"/>
    <x v="30"/>
    <x v="192"/>
    <x v="1930"/>
    <x v="36"/>
    <x v="36"/>
    <x v="1"/>
  </r>
  <r>
    <x v="5"/>
    <x v="0"/>
    <x v="305"/>
    <x v="4"/>
    <x v="4"/>
    <x v="46"/>
    <x v="1"/>
    <x v="42"/>
    <x v="183"/>
    <x v="2252"/>
    <x v="17"/>
    <x v="17"/>
    <x v="1"/>
  </r>
  <r>
    <x v="5"/>
    <x v="0"/>
    <x v="306"/>
    <x v="4"/>
    <x v="4"/>
    <x v="46"/>
    <x v="5"/>
    <x v="42"/>
    <x v="172"/>
    <x v="2155"/>
    <x v="35"/>
    <x v="35"/>
    <x v="1"/>
  </r>
  <r>
    <x v="5"/>
    <x v="0"/>
    <x v="307"/>
    <x v="4"/>
    <x v="4"/>
    <x v="46"/>
    <x v="4"/>
    <x v="40"/>
    <x v="129"/>
    <x v="1686"/>
    <x v="28"/>
    <x v="28"/>
    <x v="1"/>
  </r>
  <r>
    <x v="5"/>
    <x v="0"/>
    <x v="308"/>
    <x v="4"/>
    <x v="4"/>
    <x v="46"/>
    <x v="0"/>
    <x v="43"/>
    <x v="120"/>
    <x v="1674"/>
    <x v="47"/>
    <x v="47"/>
    <x v="1"/>
  </r>
  <r>
    <x v="5"/>
    <x v="0"/>
    <x v="309"/>
    <x v="4"/>
    <x v="4"/>
    <x v="46"/>
    <x v="3"/>
    <x v="39"/>
    <x v="159"/>
    <x v="1953"/>
    <x v="14"/>
    <x v="14"/>
    <x v="1"/>
  </r>
  <r>
    <x v="5"/>
    <x v="0"/>
    <x v="310"/>
    <x v="4"/>
    <x v="4"/>
    <x v="46"/>
    <x v="2"/>
    <x v="42"/>
    <x v="196"/>
    <x v="2385"/>
    <x v="31"/>
    <x v="31"/>
    <x v="1"/>
  </r>
  <r>
    <x v="5"/>
    <x v="0"/>
    <x v="311"/>
    <x v="4"/>
    <x v="4"/>
    <x v="46"/>
    <x v="1"/>
    <x v="51"/>
    <x v="152"/>
    <x v="2231"/>
    <x v="16"/>
    <x v="16"/>
    <x v="1"/>
  </r>
  <r>
    <x v="5"/>
    <x v="0"/>
    <x v="312"/>
    <x v="4"/>
    <x v="4"/>
    <x v="46"/>
    <x v="5"/>
    <x v="48"/>
    <x v="177"/>
    <x v="2373"/>
    <x v="33"/>
    <x v="33"/>
    <x v="1"/>
  </r>
  <r>
    <x v="5"/>
    <x v="0"/>
    <x v="349"/>
    <x v="4"/>
    <x v="4"/>
    <x v="46"/>
    <x v="4"/>
    <x v="51"/>
    <x v="151"/>
    <x v="2223"/>
    <x v="29"/>
    <x v="29"/>
    <x v="1"/>
  </r>
  <r>
    <x v="5"/>
    <x v="0"/>
    <x v="350"/>
    <x v="4"/>
    <x v="4"/>
    <x v="46"/>
    <x v="0"/>
    <x v="55"/>
    <x v="125"/>
    <x v="2062"/>
    <x v="49"/>
    <x v="49"/>
    <x v="1"/>
  </r>
  <r>
    <x v="5"/>
    <x v="0"/>
    <x v="351"/>
    <x v="4"/>
    <x v="4"/>
    <x v="46"/>
    <x v="3"/>
    <x v="47"/>
    <x v="183"/>
    <x v="2394"/>
    <x v="13"/>
    <x v="13"/>
    <x v="1"/>
  </r>
  <r>
    <x v="5"/>
    <x v="0"/>
    <x v="352"/>
    <x v="4"/>
    <x v="4"/>
    <x v="46"/>
    <x v="2"/>
    <x v="49"/>
    <x v="195"/>
    <x v="2536"/>
    <x v="33"/>
    <x v="33"/>
    <x v="1"/>
  </r>
  <r>
    <x v="5"/>
    <x v="0"/>
    <x v="353"/>
    <x v="4"/>
    <x v="4"/>
    <x v="46"/>
    <x v="1"/>
    <x v="55"/>
    <x v="177"/>
    <x v="2521"/>
    <x v="16"/>
    <x v="16"/>
    <x v="1"/>
  </r>
  <r>
    <x v="5"/>
    <x v="0"/>
    <x v="354"/>
    <x v="4"/>
    <x v="4"/>
    <x v="46"/>
    <x v="5"/>
    <x v="57"/>
    <x v="183"/>
    <x v="2592"/>
    <x v="36"/>
    <x v="36"/>
    <x v="1"/>
  </r>
  <r>
    <x v="5"/>
    <x v="0"/>
    <x v="355"/>
    <x v="4"/>
    <x v="4"/>
    <x v="46"/>
    <x v="4"/>
    <x v="47"/>
    <x v="164"/>
    <x v="2232"/>
    <x v="27"/>
    <x v="27"/>
    <x v="1"/>
  </r>
  <r>
    <x v="5"/>
    <x v="0"/>
    <x v="356"/>
    <x v="4"/>
    <x v="4"/>
    <x v="46"/>
    <x v="0"/>
    <x v="52"/>
    <x v="131"/>
    <x v="2060"/>
    <x v="51"/>
    <x v="51"/>
    <x v="1"/>
  </r>
  <r>
    <x v="5"/>
    <x v="0"/>
    <x v="357"/>
    <x v="4"/>
    <x v="4"/>
    <x v="46"/>
    <x v="3"/>
    <x v="65"/>
    <x v="177"/>
    <x v="2672"/>
    <x v="13"/>
    <x v="13"/>
    <x v="1"/>
  </r>
  <r>
    <x v="5"/>
    <x v="0"/>
    <x v="358"/>
    <x v="4"/>
    <x v="4"/>
    <x v="46"/>
    <x v="2"/>
    <x v="49"/>
    <x v="213"/>
    <x v="2648"/>
    <x v="36"/>
    <x v="36"/>
    <x v="1"/>
  </r>
  <r>
    <x v="5"/>
    <x v="0"/>
    <x v="359"/>
    <x v="4"/>
    <x v="4"/>
    <x v="46"/>
    <x v="1"/>
    <x v="57"/>
    <x v="194"/>
    <x v="2659"/>
    <x v="22"/>
    <x v="22"/>
    <x v="1"/>
  </r>
  <r>
    <x v="5"/>
    <x v="0"/>
    <x v="360"/>
    <x v="4"/>
    <x v="4"/>
    <x v="46"/>
    <x v="5"/>
    <x v="53"/>
    <x v="188"/>
    <x v="2569"/>
    <x v="37"/>
    <x v="37"/>
    <x v="1"/>
  </r>
  <r>
    <x v="5"/>
    <x v="0"/>
    <x v="361"/>
    <x v="4"/>
    <x v="4"/>
    <x v="46"/>
    <x v="4"/>
    <x v="49"/>
    <x v="159"/>
    <x v="2235"/>
    <x v="31"/>
    <x v="31"/>
    <x v="1"/>
  </r>
  <r>
    <x v="5"/>
    <x v="0"/>
    <x v="362"/>
    <x v="4"/>
    <x v="4"/>
    <x v="46"/>
    <x v="0"/>
    <x v="53"/>
    <x v="133"/>
    <x v="2097"/>
    <x v="52"/>
    <x v="52"/>
    <x v="1"/>
  </r>
  <r>
    <x v="5"/>
    <x v="0"/>
    <x v="363"/>
    <x v="4"/>
    <x v="4"/>
    <x v="46"/>
    <x v="3"/>
    <x v="65"/>
    <x v="165"/>
    <x v="2605"/>
    <x v="19"/>
    <x v="19"/>
    <x v="1"/>
  </r>
  <r>
    <x v="5"/>
    <x v="0"/>
    <x v="364"/>
    <x v="4"/>
    <x v="4"/>
    <x v="46"/>
    <x v="2"/>
    <x v="49"/>
    <x v="230"/>
    <x v="2702"/>
    <x v="36"/>
    <x v="36"/>
    <x v="1"/>
  </r>
  <r>
    <x v="5"/>
    <x v="0"/>
    <x v="365"/>
    <x v="4"/>
    <x v="4"/>
    <x v="46"/>
    <x v="1"/>
    <x v="56"/>
    <x v="211"/>
    <x v="2722"/>
    <x v="23"/>
    <x v="23"/>
    <x v="1"/>
  </r>
  <r>
    <x v="5"/>
    <x v="0"/>
    <x v="366"/>
    <x v="4"/>
    <x v="4"/>
    <x v="46"/>
    <x v="5"/>
    <x v="57"/>
    <x v="179"/>
    <x v="2578"/>
    <x v="41"/>
    <x v="41"/>
    <x v="1"/>
  </r>
  <r>
    <x v="5"/>
    <x v="0"/>
    <x v="367"/>
    <x v="4"/>
    <x v="4"/>
    <x v="46"/>
    <x v="4"/>
    <x v="52"/>
    <x v="183"/>
    <x v="2507"/>
    <x v="35"/>
    <x v="35"/>
    <x v="1"/>
  </r>
  <r>
    <x v="5"/>
    <x v="0"/>
    <x v="368"/>
    <x v="4"/>
    <x v="4"/>
    <x v="46"/>
    <x v="0"/>
    <x v="55"/>
    <x v="134"/>
    <x v="2156"/>
    <x v="52"/>
    <x v="52"/>
    <x v="1"/>
  </r>
  <r>
    <x v="5"/>
    <x v="0"/>
    <x v="369"/>
    <x v="4"/>
    <x v="4"/>
    <x v="46"/>
    <x v="3"/>
    <x v="65"/>
    <x v="189"/>
    <x v="2728"/>
    <x v="21"/>
    <x v="21"/>
    <x v="1"/>
  </r>
  <r>
    <x v="5"/>
    <x v="0"/>
    <x v="370"/>
    <x v="4"/>
    <x v="4"/>
    <x v="46"/>
    <x v="2"/>
    <x v="49"/>
    <x v="233"/>
    <x v="2714"/>
    <x v="31"/>
    <x v="31"/>
    <x v="1"/>
  </r>
  <r>
    <x v="5"/>
    <x v="0"/>
    <x v="371"/>
    <x v="4"/>
    <x v="4"/>
    <x v="46"/>
    <x v="1"/>
    <x v="52"/>
    <x v="208"/>
    <x v="2662"/>
    <x v="20"/>
    <x v="20"/>
    <x v="1"/>
  </r>
  <r>
    <x v="5"/>
    <x v="0"/>
    <x v="372"/>
    <x v="4"/>
    <x v="4"/>
    <x v="46"/>
    <x v="5"/>
    <x v="55"/>
    <x v="211"/>
    <x v="2707"/>
    <x v="32"/>
    <x v="32"/>
    <x v="1"/>
  </r>
  <r>
    <x v="5"/>
    <x v="0"/>
    <x v="373"/>
    <x v="4"/>
    <x v="4"/>
    <x v="46"/>
    <x v="4"/>
    <x v="48"/>
    <x v="188"/>
    <x v="2466"/>
    <x v="26"/>
    <x v="26"/>
    <x v="1"/>
  </r>
  <r>
    <x v="5"/>
    <x v="0"/>
    <x v="374"/>
    <x v="4"/>
    <x v="4"/>
    <x v="46"/>
    <x v="0"/>
    <x v="57"/>
    <x v="199"/>
    <x v="2683"/>
    <x v="50"/>
    <x v="50"/>
    <x v="1"/>
  </r>
  <r>
    <x v="5"/>
    <x v="0"/>
    <x v="375"/>
    <x v="4"/>
    <x v="4"/>
    <x v="46"/>
    <x v="3"/>
    <x v="65"/>
    <x v="199"/>
    <x v="2766"/>
    <x v="15"/>
    <x v="15"/>
    <x v="1"/>
  </r>
  <r>
    <x v="5"/>
    <x v="0"/>
    <x v="376"/>
    <x v="4"/>
    <x v="4"/>
    <x v="46"/>
    <x v="2"/>
    <x v="55"/>
    <x v="230"/>
    <x v="2773"/>
    <x v="32"/>
    <x v="32"/>
    <x v="1"/>
  </r>
  <r>
    <x v="5"/>
    <x v="0"/>
    <x v="377"/>
    <x v="4"/>
    <x v="4"/>
    <x v="46"/>
    <x v="1"/>
    <x v="59"/>
    <x v="219"/>
    <x v="2777"/>
    <x v="16"/>
    <x v="16"/>
    <x v="1"/>
  </r>
  <r>
    <x v="5"/>
    <x v="0"/>
    <x v="378"/>
    <x v="4"/>
    <x v="4"/>
    <x v="46"/>
    <x v="5"/>
    <x v="53"/>
    <x v="174"/>
    <x v="2469"/>
    <x v="33"/>
    <x v="33"/>
    <x v="1"/>
  </r>
  <r>
    <x v="5"/>
    <x v="0"/>
    <x v="379"/>
    <x v="4"/>
    <x v="4"/>
    <x v="46"/>
    <x v="4"/>
    <x v="52"/>
    <x v="164"/>
    <x v="2365"/>
    <x v="27"/>
    <x v="27"/>
    <x v="1"/>
  </r>
  <r>
    <x v="5"/>
    <x v="0"/>
    <x v="380"/>
    <x v="4"/>
    <x v="4"/>
    <x v="46"/>
    <x v="0"/>
    <x v="62"/>
    <x v="164"/>
    <x v="2557"/>
    <x v="47"/>
    <x v="47"/>
    <x v="1"/>
  </r>
  <r>
    <x v="5"/>
    <x v="0"/>
    <x v="381"/>
    <x v="4"/>
    <x v="4"/>
    <x v="46"/>
    <x v="3"/>
    <x v="69"/>
    <x v="158"/>
    <x v="2616"/>
    <x v="11"/>
    <x v="11"/>
    <x v="1"/>
  </r>
  <r>
    <x v="5"/>
    <x v="0"/>
    <x v="382"/>
    <x v="4"/>
    <x v="4"/>
    <x v="46"/>
    <x v="2"/>
    <x v="44"/>
    <x v="205"/>
    <x v="2497"/>
    <x v="28"/>
    <x v="28"/>
    <x v="1"/>
  </r>
  <r>
    <x v="5"/>
    <x v="0"/>
    <x v="383"/>
    <x v="4"/>
    <x v="4"/>
    <x v="46"/>
    <x v="1"/>
    <x v="49"/>
    <x v="226"/>
    <x v="2687"/>
    <x v="14"/>
    <x v="14"/>
    <x v="1"/>
  </r>
  <r>
    <x v="5"/>
    <x v="0"/>
    <x v="384"/>
    <x v="4"/>
    <x v="4"/>
    <x v="46"/>
    <x v="5"/>
    <x v="45"/>
    <x v="194"/>
    <x v="2435"/>
    <x v="26"/>
    <x v="26"/>
    <x v="1"/>
  </r>
  <r>
    <x v="5"/>
    <x v="0"/>
    <x v="385"/>
    <x v="4"/>
    <x v="4"/>
    <x v="46"/>
    <x v="4"/>
    <x v="46"/>
    <x v="177"/>
    <x v="2317"/>
    <x v="21"/>
    <x v="21"/>
    <x v="1"/>
  </r>
  <r>
    <x v="5"/>
    <x v="0"/>
    <x v="386"/>
    <x v="4"/>
    <x v="4"/>
    <x v="46"/>
    <x v="0"/>
    <x v="56"/>
    <x v="188"/>
    <x v="2614"/>
    <x v="44"/>
    <x v="44"/>
    <x v="1"/>
  </r>
  <r>
    <x v="5"/>
    <x v="0"/>
    <x v="387"/>
    <x v="4"/>
    <x v="4"/>
    <x v="46"/>
    <x v="3"/>
    <x v="58"/>
    <x v="187"/>
    <x v="2647"/>
    <x v="10"/>
    <x v="10"/>
    <x v="1"/>
  </r>
  <r>
    <x v="5"/>
    <x v="0"/>
    <x v="388"/>
    <x v="4"/>
    <x v="4"/>
    <x v="46"/>
    <x v="2"/>
    <x v="44"/>
    <x v="201"/>
    <x v="2473"/>
    <x v="31"/>
    <x v="31"/>
    <x v="1"/>
  </r>
  <r>
    <x v="5"/>
    <x v="0"/>
    <x v="389"/>
    <x v="4"/>
    <x v="4"/>
    <x v="46"/>
    <x v="1"/>
    <x v="52"/>
    <x v="189"/>
    <x v="2550"/>
    <x v="15"/>
    <x v="15"/>
    <x v="1"/>
  </r>
  <r>
    <x v="5"/>
    <x v="0"/>
    <x v="390"/>
    <x v="4"/>
    <x v="4"/>
    <x v="46"/>
    <x v="5"/>
    <x v="43"/>
    <x v="159"/>
    <x v="2079"/>
    <x v="28"/>
    <x v="28"/>
    <x v="1"/>
  </r>
  <r>
    <x v="5"/>
    <x v="0"/>
    <x v="391"/>
    <x v="4"/>
    <x v="4"/>
    <x v="46"/>
    <x v="4"/>
    <x v="44"/>
    <x v="177"/>
    <x v="2260"/>
    <x v="22"/>
    <x v="22"/>
    <x v="1"/>
  </r>
  <r>
    <x v="5"/>
    <x v="0"/>
    <x v="392"/>
    <x v="4"/>
    <x v="4"/>
    <x v="46"/>
    <x v="0"/>
    <x v="52"/>
    <x v="159"/>
    <x v="2312"/>
    <x v="44"/>
    <x v="44"/>
    <x v="1"/>
  </r>
  <r>
    <x v="5"/>
    <x v="0"/>
    <x v="393"/>
    <x v="4"/>
    <x v="4"/>
    <x v="46"/>
    <x v="3"/>
    <x v="56"/>
    <x v="172"/>
    <x v="2500"/>
    <x v="9"/>
    <x v="9"/>
    <x v="1"/>
  </r>
  <r>
    <x v="5"/>
    <x v="0"/>
    <x v="394"/>
    <x v="4"/>
    <x v="4"/>
    <x v="46"/>
    <x v="2"/>
    <x v="45"/>
    <x v="222"/>
    <x v="2610"/>
    <x v="30"/>
    <x v="30"/>
    <x v="1"/>
  </r>
  <r>
    <x v="5"/>
    <x v="0"/>
    <x v="395"/>
    <x v="4"/>
    <x v="4"/>
    <x v="46"/>
    <x v="1"/>
    <x v="51"/>
    <x v="201"/>
    <x v="2611"/>
    <x v="11"/>
    <x v="11"/>
    <x v="1"/>
  </r>
  <r>
    <x v="5"/>
    <x v="0"/>
    <x v="396"/>
    <x v="4"/>
    <x v="4"/>
    <x v="46"/>
    <x v="5"/>
    <x v="43"/>
    <x v="183"/>
    <x v="2282"/>
    <x v="26"/>
    <x v="26"/>
    <x v="1"/>
  </r>
  <r>
    <x v="5"/>
    <x v="0"/>
    <x v="397"/>
    <x v="4"/>
    <x v="4"/>
    <x v="46"/>
    <x v="4"/>
    <x v="46"/>
    <x v="183"/>
    <x v="2371"/>
    <x v="26"/>
    <x v="26"/>
    <x v="1"/>
  </r>
  <r>
    <x v="5"/>
    <x v="0"/>
    <x v="398"/>
    <x v="4"/>
    <x v="4"/>
    <x v="46"/>
    <x v="0"/>
    <x v="56"/>
    <x v="141"/>
    <x v="2249"/>
    <x v="43"/>
    <x v="43"/>
    <x v="1"/>
  </r>
  <r>
    <x v="5"/>
    <x v="0"/>
    <x v="399"/>
    <x v="4"/>
    <x v="4"/>
    <x v="46"/>
    <x v="3"/>
    <x v="60"/>
    <x v="176"/>
    <x v="2596"/>
    <x v="7"/>
    <x v="7"/>
    <x v="1"/>
  </r>
  <r>
    <x v="5"/>
    <x v="0"/>
    <x v="400"/>
    <x v="4"/>
    <x v="4"/>
    <x v="46"/>
    <x v="2"/>
    <x v="44"/>
    <x v="247"/>
    <x v="2685"/>
    <x v="26"/>
    <x v="26"/>
    <x v="1"/>
  </r>
  <r>
    <x v="5"/>
    <x v="0"/>
    <x v="401"/>
    <x v="4"/>
    <x v="4"/>
    <x v="46"/>
    <x v="1"/>
    <x v="51"/>
    <x v="230"/>
    <x v="2730"/>
    <x v="13"/>
    <x v="13"/>
    <x v="1"/>
  </r>
  <r>
    <x v="5"/>
    <x v="0"/>
    <x v="402"/>
    <x v="4"/>
    <x v="4"/>
    <x v="46"/>
    <x v="5"/>
    <x v="45"/>
    <x v="199"/>
    <x v="2479"/>
    <x v="26"/>
    <x v="26"/>
    <x v="1"/>
  </r>
  <r>
    <x v="5"/>
    <x v="0"/>
    <x v="403"/>
    <x v="4"/>
    <x v="4"/>
    <x v="46"/>
    <x v="4"/>
    <x v="44"/>
    <x v="170"/>
    <x v="2192"/>
    <x v="26"/>
    <x v="26"/>
    <x v="1"/>
  </r>
  <r>
    <x v="5"/>
    <x v="0"/>
    <x v="404"/>
    <x v="4"/>
    <x v="4"/>
    <x v="46"/>
    <x v="0"/>
    <x v="52"/>
    <x v="152"/>
    <x v="2256"/>
    <x v="46"/>
    <x v="46"/>
    <x v="1"/>
  </r>
  <r>
    <x v="5"/>
    <x v="0"/>
    <x v="405"/>
    <x v="4"/>
    <x v="4"/>
    <x v="46"/>
    <x v="3"/>
    <x v="60"/>
    <x v="181"/>
    <x v="2632"/>
    <x v="9"/>
    <x v="9"/>
    <x v="1"/>
  </r>
  <r>
    <x v="2"/>
    <x v="2"/>
    <x v="406"/>
    <x v="4"/>
    <x v="4"/>
    <x v="46"/>
    <x v="2"/>
    <x v="25"/>
    <x v="177"/>
    <x v="1567"/>
    <x v="37"/>
    <x v="37"/>
    <x v="1"/>
  </r>
  <r>
    <x v="2"/>
    <x v="2"/>
    <x v="407"/>
    <x v="4"/>
    <x v="4"/>
    <x v="46"/>
    <x v="1"/>
    <x v="34"/>
    <x v="172"/>
    <x v="1888"/>
    <x v="22"/>
    <x v="22"/>
    <x v="1"/>
  </r>
  <r>
    <x v="2"/>
    <x v="2"/>
    <x v="426"/>
    <x v="4"/>
    <x v="4"/>
    <x v="46"/>
    <x v="5"/>
    <x v="34"/>
    <x v="165"/>
    <x v="1833"/>
    <x v="38"/>
    <x v="38"/>
    <x v="1"/>
  </r>
  <r>
    <x v="2"/>
    <x v="2"/>
    <x v="427"/>
    <x v="4"/>
    <x v="4"/>
    <x v="46"/>
    <x v="4"/>
    <x v="34"/>
    <x v="138"/>
    <x v="1579"/>
    <x v="35"/>
    <x v="35"/>
    <x v="1"/>
  </r>
  <r>
    <x v="2"/>
    <x v="2"/>
    <x v="428"/>
    <x v="4"/>
    <x v="4"/>
    <x v="28"/>
    <x v="0"/>
    <x v="42"/>
    <x v="125"/>
    <x v="1698"/>
    <x v="52"/>
    <x v="52"/>
    <x v="1"/>
  </r>
  <r>
    <x v="2"/>
    <x v="2"/>
    <x v="429"/>
    <x v="4"/>
    <x v="4"/>
    <x v="28"/>
    <x v="3"/>
    <x v="34"/>
    <x v="159"/>
    <x v="1772"/>
    <x v="17"/>
    <x v="17"/>
    <x v="1"/>
  </r>
  <r>
    <x v="2"/>
    <x v="2"/>
    <x v="430"/>
    <x v="4"/>
    <x v="4"/>
    <x v="28"/>
    <x v="2"/>
    <x v="27"/>
    <x v="194"/>
    <x v="1807"/>
    <x v="39"/>
    <x v="39"/>
    <x v="1"/>
  </r>
  <r>
    <x v="2"/>
    <x v="2"/>
    <x v="431"/>
    <x v="4"/>
    <x v="4"/>
    <x v="28"/>
    <x v="1"/>
    <x v="36"/>
    <x v="171"/>
    <x v="1957"/>
    <x v="26"/>
    <x v="26"/>
    <x v="1"/>
  </r>
  <r>
    <x v="2"/>
    <x v="2"/>
    <x v="432"/>
    <x v="4"/>
    <x v="4"/>
    <x v="28"/>
    <x v="5"/>
    <x v="37"/>
    <x v="147"/>
    <x v="1765"/>
    <x v="36"/>
    <x v="36"/>
    <x v="1"/>
  </r>
  <r>
    <x v="2"/>
    <x v="2"/>
    <x v="433"/>
    <x v="4"/>
    <x v="4"/>
    <x v="28"/>
    <x v="4"/>
    <x v="34"/>
    <x v="131"/>
    <x v="1496"/>
    <x v="35"/>
    <x v="35"/>
    <x v="1"/>
  </r>
  <r>
    <x v="2"/>
    <x v="2"/>
    <x v="434"/>
    <x v="4"/>
    <x v="4"/>
    <x v="28"/>
    <x v="0"/>
    <x v="39"/>
    <x v="94"/>
    <x v="1254"/>
    <x v="54"/>
    <x v="54"/>
    <x v="1"/>
  </r>
  <r>
    <x v="2"/>
    <x v="2"/>
    <x v="435"/>
    <x v="4"/>
    <x v="4"/>
    <x v="28"/>
    <x v="3"/>
    <x v="34"/>
    <x v="153"/>
    <x v="1719"/>
    <x v="16"/>
    <x v="16"/>
    <x v="1"/>
  </r>
  <r>
    <x v="2"/>
    <x v="2"/>
    <x v="436"/>
    <x v="4"/>
    <x v="4"/>
    <x v="28"/>
    <x v="2"/>
    <x v="25"/>
    <x v="186"/>
    <x v="1656"/>
    <x v="36"/>
    <x v="36"/>
    <x v="1"/>
  </r>
  <r>
    <x v="2"/>
    <x v="2"/>
    <x v="437"/>
    <x v="4"/>
    <x v="4"/>
    <x v="28"/>
    <x v="1"/>
    <x v="34"/>
    <x v="171"/>
    <x v="1882"/>
    <x v="21"/>
    <x v="21"/>
    <x v="1"/>
  </r>
  <r>
    <x v="2"/>
    <x v="2"/>
    <x v="438"/>
    <x v="4"/>
    <x v="4"/>
    <x v="28"/>
    <x v="5"/>
    <x v="35"/>
    <x v="147"/>
    <x v="1695"/>
    <x v="41"/>
    <x v="41"/>
    <x v="1"/>
  </r>
  <r>
    <x v="2"/>
    <x v="2"/>
    <x v="439"/>
    <x v="4"/>
    <x v="4"/>
    <x v="28"/>
    <x v="4"/>
    <x v="34"/>
    <x v="133"/>
    <x v="1519"/>
    <x v="31"/>
    <x v="31"/>
    <x v="1"/>
  </r>
  <r>
    <x v="2"/>
    <x v="2"/>
    <x v="440"/>
    <x v="4"/>
    <x v="4"/>
    <x v="28"/>
    <x v="0"/>
    <x v="39"/>
    <x v="88"/>
    <x v="1176"/>
    <x v="54"/>
    <x v="54"/>
    <x v="1"/>
  </r>
  <r>
    <x v="2"/>
    <x v="2"/>
    <x v="454"/>
    <x v="4"/>
    <x v="4"/>
    <x v="28"/>
    <x v="3"/>
    <x v="34"/>
    <x v="164"/>
    <x v="1821"/>
    <x v="21"/>
    <x v="21"/>
    <x v="1"/>
  </r>
  <r>
    <x v="2"/>
    <x v="2"/>
    <x v="455"/>
    <x v="4"/>
    <x v="4"/>
    <x v="28"/>
    <x v="2"/>
    <x v="36"/>
    <x v="204"/>
    <x v="2255"/>
    <x v="36"/>
    <x v="36"/>
    <x v="1"/>
  </r>
  <r>
    <x v="2"/>
    <x v="2"/>
    <x v="456"/>
    <x v="4"/>
    <x v="4"/>
    <x v="28"/>
    <x v="1"/>
    <x v="42"/>
    <x v="135"/>
    <x v="1806"/>
    <x v="22"/>
    <x v="22"/>
    <x v="1"/>
  </r>
  <r>
    <x v="2"/>
    <x v="2"/>
    <x v="457"/>
    <x v="4"/>
    <x v="4"/>
    <x v="28"/>
    <x v="5"/>
    <x v="42"/>
    <x v="152"/>
    <x v="1990"/>
    <x v="41"/>
    <x v="41"/>
    <x v="1"/>
  </r>
  <r>
    <x v="2"/>
    <x v="2"/>
    <x v="458"/>
    <x v="4"/>
    <x v="4"/>
    <x v="28"/>
    <x v="4"/>
    <x v="36"/>
    <x v="131"/>
    <x v="1574"/>
    <x v="35"/>
    <x v="35"/>
    <x v="1"/>
  </r>
  <r>
    <x v="2"/>
    <x v="2"/>
    <x v="459"/>
    <x v="4"/>
    <x v="4"/>
    <x v="28"/>
    <x v="0"/>
    <x v="42"/>
    <x v="100"/>
    <x v="1401"/>
    <x v="52"/>
    <x v="52"/>
    <x v="1"/>
  </r>
  <r>
    <x v="2"/>
    <x v="2"/>
    <x v="460"/>
    <x v="4"/>
    <x v="4"/>
    <x v="28"/>
    <x v="3"/>
    <x v="55"/>
    <x v="151"/>
    <x v="2322"/>
    <x v="19"/>
    <x v="19"/>
    <x v="1"/>
  </r>
  <r>
    <x v="2"/>
    <x v="2"/>
    <x v="461"/>
    <x v="4"/>
    <x v="4"/>
    <x v="28"/>
    <x v="2"/>
    <x v="34"/>
    <x v="181"/>
    <x v="1981"/>
    <x v="38"/>
    <x v="38"/>
    <x v="1"/>
  </r>
  <r>
    <x v="2"/>
    <x v="2"/>
    <x v="462"/>
    <x v="4"/>
    <x v="4"/>
    <x v="28"/>
    <x v="1"/>
    <x v="40"/>
    <x v="147"/>
    <x v="1870"/>
    <x v="21"/>
    <x v="21"/>
    <x v="1"/>
  </r>
  <r>
    <x v="2"/>
    <x v="2"/>
    <x v="463"/>
    <x v="4"/>
    <x v="4"/>
    <x v="28"/>
    <x v="5"/>
    <x v="38"/>
    <x v="141"/>
    <x v="1743"/>
    <x v="38"/>
    <x v="38"/>
    <x v="1"/>
  </r>
  <r>
    <x v="2"/>
    <x v="2"/>
    <x v="464"/>
    <x v="4"/>
    <x v="4"/>
    <x v="28"/>
    <x v="4"/>
    <x v="34"/>
    <x v="133"/>
    <x v="1519"/>
    <x v="34"/>
    <x v="34"/>
    <x v="1"/>
  </r>
  <r>
    <x v="2"/>
    <x v="2"/>
    <x v="465"/>
    <x v="4"/>
    <x v="4"/>
    <x v="28"/>
    <x v="0"/>
    <x v="38"/>
    <x v="111"/>
    <x v="1417"/>
    <x v="51"/>
    <x v="51"/>
    <x v="1"/>
  </r>
  <r>
    <x v="2"/>
    <x v="2"/>
    <x v="466"/>
    <x v="4"/>
    <x v="4"/>
    <x v="28"/>
    <x v="3"/>
    <x v="57"/>
    <x v="158"/>
    <x v="2420"/>
    <x v="17"/>
    <x v="17"/>
    <x v="1"/>
  </r>
  <r>
    <x v="2"/>
    <x v="2"/>
    <x v="467"/>
    <x v="4"/>
    <x v="4"/>
    <x v="28"/>
    <x v="2"/>
    <x v="37"/>
    <x v="227"/>
    <x v="2451"/>
    <x v="41"/>
    <x v="41"/>
    <x v="1"/>
  </r>
  <r>
    <x v="2"/>
    <x v="2"/>
    <x v="468"/>
    <x v="4"/>
    <x v="4"/>
    <x v="28"/>
    <x v="1"/>
    <x v="40"/>
    <x v="194"/>
    <x v="2291"/>
    <x v="21"/>
    <x v="21"/>
    <x v="1"/>
  </r>
  <r>
    <x v="2"/>
    <x v="2"/>
    <x v="469"/>
    <x v="4"/>
    <x v="4"/>
    <x v="28"/>
    <x v="5"/>
    <x v="41"/>
    <x v="177"/>
    <x v="2172"/>
    <x v="41"/>
    <x v="41"/>
    <x v="1"/>
  </r>
  <r>
    <x v="2"/>
    <x v="2"/>
    <x v="470"/>
    <x v="4"/>
    <x v="4"/>
    <x v="28"/>
    <x v="4"/>
    <x v="37"/>
    <x v="152"/>
    <x v="1820"/>
    <x v="34"/>
    <x v="34"/>
    <x v="1"/>
  </r>
  <r>
    <x v="2"/>
    <x v="2"/>
    <x v="471"/>
    <x v="4"/>
    <x v="4"/>
    <x v="28"/>
    <x v="0"/>
    <x v="38"/>
    <x v="105"/>
    <x v="1355"/>
    <x v="55"/>
    <x v="55"/>
    <x v="1"/>
  </r>
  <r>
    <x v="2"/>
    <x v="2"/>
    <x v="472"/>
    <x v="4"/>
    <x v="4"/>
    <x v="28"/>
    <x v="3"/>
    <x v="53"/>
    <x v="174"/>
    <x v="2469"/>
    <x v="17"/>
    <x v="17"/>
    <x v="1"/>
  </r>
  <r>
    <x v="2"/>
    <x v="2"/>
    <x v="473"/>
    <x v="4"/>
    <x v="4"/>
    <x v="28"/>
    <x v="2"/>
    <x v="34"/>
    <x v="202"/>
    <x v="2174"/>
    <x v="37"/>
    <x v="37"/>
    <x v="1"/>
  </r>
  <r>
    <x v="2"/>
    <x v="2"/>
    <x v="474"/>
    <x v="4"/>
    <x v="4"/>
    <x v="28"/>
    <x v="1"/>
    <x v="39"/>
    <x v="186"/>
    <x v="2197"/>
    <x v="24"/>
    <x v="24"/>
    <x v="1"/>
  </r>
  <r>
    <x v="2"/>
    <x v="2"/>
    <x v="475"/>
    <x v="4"/>
    <x v="4"/>
    <x v="28"/>
    <x v="5"/>
    <x v="40"/>
    <x v="188"/>
    <x v="2246"/>
    <x v="38"/>
    <x v="38"/>
    <x v="1"/>
  </r>
  <r>
    <x v="2"/>
    <x v="2"/>
    <x v="476"/>
    <x v="4"/>
    <x v="4"/>
    <x v="28"/>
    <x v="4"/>
    <x v="37"/>
    <x v="165"/>
    <x v="1944"/>
    <x v="34"/>
    <x v="34"/>
    <x v="1"/>
  </r>
  <r>
    <x v="2"/>
    <x v="2"/>
    <x v="477"/>
    <x v="4"/>
    <x v="4"/>
    <x v="28"/>
    <x v="0"/>
    <x v="39"/>
    <x v="165"/>
    <x v="2009"/>
    <x v="52"/>
    <x v="52"/>
    <x v="1"/>
  </r>
  <r>
    <x v="2"/>
    <x v="2"/>
    <x v="478"/>
    <x v="4"/>
    <x v="4"/>
    <x v="28"/>
    <x v="3"/>
    <x v="52"/>
    <x v="177"/>
    <x v="2463"/>
    <x v="16"/>
    <x v="16"/>
    <x v="1"/>
  </r>
  <r>
    <x v="2"/>
    <x v="2"/>
    <x v="479"/>
    <x v="4"/>
    <x v="4"/>
    <x v="28"/>
    <x v="2"/>
    <x v="40"/>
    <x v="213"/>
    <x v="2446"/>
    <x v="38"/>
    <x v="38"/>
    <x v="1"/>
  </r>
  <r>
    <x v="2"/>
    <x v="2"/>
    <x v="480"/>
    <x v="4"/>
    <x v="4"/>
    <x v="28"/>
    <x v="1"/>
    <x v="44"/>
    <x v="191"/>
    <x v="2386"/>
    <x v="26"/>
    <x v="26"/>
    <x v="1"/>
  </r>
  <r>
    <x v="2"/>
    <x v="2"/>
    <x v="481"/>
    <x v="4"/>
    <x v="4"/>
    <x v="28"/>
    <x v="5"/>
    <x v="41"/>
    <x v="188"/>
    <x v="2275"/>
    <x v="37"/>
    <x v="37"/>
    <x v="1"/>
  </r>
  <r>
    <x v="2"/>
    <x v="2"/>
    <x v="482"/>
    <x v="4"/>
    <x v="4"/>
    <x v="28"/>
    <x v="4"/>
    <x v="40"/>
    <x v="147"/>
    <x v="1870"/>
    <x v="34"/>
    <x v="34"/>
    <x v="1"/>
  </r>
  <r>
    <x v="2"/>
    <x v="2"/>
    <x v="483"/>
    <x v="4"/>
    <x v="4"/>
    <x v="28"/>
    <x v="0"/>
    <x v="51"/>
    <x v="159"/>
    <x v="2288"/>
    <x v="53"/>
    <x v="53"/>
    <x v="1"/>
  </r>
  <r>
    <x v="2"/>
    <x v="2"/>
    <x v="484"/>
    <x v="4"/>
    <x v="4"/>
    <x v="28"/>
    <x v="3"/>
    <x v="54"/>
    <x v="165"/>
    <x v="2413"/>
    <x v="21"/>
    <x v="21"/>
    <x v="1"/>
  </r>
  <r>
    <x v="2"/>
    <x v="2"/>
    <x v="485"/>
    <x v="4"/>
    <x v="4"/>
    <x v="28"/>
    <x v="2"/>
    <x v="40"/>
    <x v="184"/>
    <x v="2209"/>
    <x v="40"/>
    <x v="40"/>
    <x v="1"/>
  </r>
  <r>
    <x v="2"/>
    <x v="2"/>
    <x v="486"/>
    <x v="4"/>
    <x v="4"/>
    <x v="28"/>
    <x v="1"/>
    <x v="43"/>
    <x v="210"/>
    <x v="2502"/>
    <x v="23"/>
    <x v="23"/>
    <x v="1"/>
  </r>
  <r>
    <x v="2"/>
    <x v="2"/>
    <x v="487"/>
    <x v="4"/>
    <x v="4"/>
    <x v="28"/>
    <x v="5"/>
    <x v="39"/>
    <x v="172"/>
    <x v="2066"/>
    <x v="36"/>
    <x v="36"/>
    <x v="1"/>
  </r>
  <r>
    <x v="2"/>
    <x v="2"/>
    <x v="488"/>
    <x v="4"/>
    <x v="4"/>
    <x v="28"/>
    <x v="4"/>
    <x v="39"/>
    <x v="153"/>
    <x v="1903"/>
    <x v="36"/>
    <x v="36"/>
    <x v="1"/>
  </r>
  <r>
    <x v="2"/>
    <x v="2"/>
    <x v="489"/>
    <x v="4"/>
    <x v="4"/>
    <x v="28"/>
    <x v="0"/>
    <x v="51"/>
    <x v="141"/>
    <x v="2127"/>
    <x v="53"/>
    <x v="53"/>
    <x v="1"/>
  </r>
  <r>
    <x v="2"/>
    <x v="2"/>
    <x v="490"/>
    <x v="4"/>
    <x v="4"/>
    <x v="28"/>
    <x v="3"/>
    <x v="52"/>
    <x v="165"/>
    <x v="2372"/>
    <x v="17"/>
    <x v="17"/>
    <x v="1"/>
  </r>
  <r>
    <x v="2"/>
    <x v="2"/>
    <x v="491"/>
    <x v="4"/>
    <x v="4"/>
    <x v="28"/>
    <x v="2"/>
    <x v="42"/>
    <x v="193"/>
    <x v="2344"/>
    <x v="36"/>
    <x v="36"/>
    <x v="1"/>
  </r>
  <r>
    <x v="2"/>
    <x v="2"/>
    <x v="492"/>
    <x v="4"/>
    <x v="4"/>
    <x v="28"/>
    <x v="1"/>
    <x v="44"/>
    <x v="198"/>
    <x v="2445"/>
    <x v="22"/>
    <x v="22"/>
    <x v="1"/>
  </r>
  <r>
    <x v="2"/>
    <x v="2"/>
    <x v="493"/>
    <x v="4"/>
    <x v="4"/>
    <x v="28"/>
    <x v="5"/>
    <x v="42"/>
    <x v="153"/>
    <x v="1997"/>
    <x v="37"/>
    <x v="37"/>
    <x v="1"/>
  </r>
  <r>
    <x v="2"/>
    <x v="2"/>
    <x v="494"/>
    <x v="4"/>
    <x v="4"/>
    <x v="28"/>
    <x v="4"/>
    <x v="41"/>
    <x v="152"/>
    <x v="1959"/>
    <x v="31"/>
    <x v="31"/>
    <x v="1"/>
  </r>
  <r>
    <x v="2"/>
    <x v="2"/>
    <x v="495"/>
    <x v="4"/>
    <x v="4"/>
    <x v="28"/>
    <x v="0"/>
    <x v="49"/>
    <x v="151"/>
    <x v="2172"/>
    <x v="54"/>
    <x v="54"/>
    <x v="1"/>
  </r>
  <r>
    <x v="2"/>
    <x v="2"/>
    <x v="496"/>
    <x v="4"/>
    <x v="4"/>
    <x v="28"/>
    <x v="3"/>
    <x v="55"/>
    <x v="153"/>
    <x v="2337"/>
    <x v="21"/>
    <x v="21"/>
    <x v="1"/>
  </r>
  <r>
    <x v="2"/>
    <x v="2"/>
    <x v="497"/>
    <x v="4"/>
    <x v="4"/>
    <x v="28"/>
    <x v="2"/>
    <x v="42"/>
    <x v="197"/>
    <x v="2390"/>
    <x v="36"/>
    <x v="36"/>
    <x v="1"/>
  </r>
  <r>
    <x v="2"/>
    <x v="2"/>
    <x v="498"/>
    <x v="4"/>
    <x v="4"/>
    <x v="28"/>
    <x v="1"/>
    <x v="47"/>
    <x v="185"/>
    <x v="2425"/>
    <x v="24"/>
    <x v="24"/>
    <x v="1"/>
  </r>
  <r>
    <x v="2"/>
    <x v="2"/>
    <x v="499"/>
    <x v="4"/>
    <x v="4"/>
    <x v="28"/>
    <x v="5"/>
    <x v="40"/>
    <x v="147"/>
    <x v="1870"/>
    <x v="36"/>
    <x v="36"/>
    <x v="1"/>
  </r>
  <r>
    <x v="2"/>
    <x v="2"/>
    <x v="500"/>
    <x v="4"/>
    <x v="4"/>
    <x v="28"/>
    <x v="4"/>
    <x v="40"/>
    <x v="153"/>
    <x v="1935"/>
    <x v="31"/>
    <x v="31"/>
    <x v="1"/>
  </r>
  <r>
    <x v="2"/>
    <x v="2"/>
    <x v="501"/>
    <x v="4"/>
    <x v="4"/>
    <x v="28"/>
    <x v="0"/>
    <x v="48"/>
    <x v="151"/>
    <x v="2149"/>
    <x v="55"/>
    <x v="55"/>
    <x v="1"/>
  </r>
  <r>
    <x v="2"/>
    <x v="2"/>
    <x v="502"/>
    <x v="4"/>
    <x v="4"/>
    <x v="28"/>
    <x v="3"/>
    <x v="52"/>
    <x v="165"/>
    <x v="2372"/>
    <x v="20"/>
    <x v="20"/>
    <x v="1"/>
  </r>
  <r>
    <x v="2"/>
    <x v="2"/>
    <x v="503"/>
    <x v="4"/>
    <x v="4"/>
    <x v="28"/>
    <x v="2"/>
    <x v="42"/>
    <x v="194"/>
    <x v="2356"/>
    <x v="37"/>
    <x v="37"/>
    <x v="1"/>
  </r>
  <r>
    <x v="2"/>
    <x v="2"/>
    <x v="504"/>
    <x v="4"/>
    <x v="4"/>
    <x v="28"/>
    <x v="1"/>
    <x v="43"/>
    <x v="206"/>
    <x v="2482"/>
    <x v="24"/>
    <x v="24"/>
    <x v="1"/>
  </r>
  <r>
    <x v="2"/>
    <x v="2"/>
    <x v="505"/>
    <x v="4"/>
    <x v="4"/>
    <x v="28"/>
    <x v="5"/>
    <x v="39"/>
    <x v="159"/>
    <x v="1953"/>
    <x v="40"/>
    <x v="40"/>
    <x v="1"/>
  </r>
  <r>
    <x v="2"/>
    <x v="2"/>
    <x v="506"/>
    <x v="4"/>
    <x v="4"/>
    <x v="28"/>
    <x v="4"/>
    <x v="42"/>
    <x v="183"/>
    <x v="2252"/>
    <x v="36"/>
    <x v="36"/>
    <x v="1"/>
  </r>
  <r>
    <x v="2"/>
    <x v="2"/>
    <x v="507"/>
    <x v="4"/>
    <x v="4"/>
    <x v="28"/>
    <x v="0"/>
    <x v="48"/>
    <x v="135"/>
    <x v="1991"/>
    <x v="51"/>
    <x v="51"/>
    <x v="1"/>
  </r>
  <r>
    <x v="2"/>
    <x v="2"/>
    <x v="508"/>
    <x v="4"/>
    <x v="4"/>
    <x v="28"/>
    <x v="3"/>
    <x v="52"/>
    <x v="172"/>
    <x v="2417"/>
    <x v="21"/>
    <x v="21"/>
    <x v="1"/>
  </r>
  <r>
    <x v="1"/>
    <x v="1"/>
    <x v="509"/>
    <x v="4"/>
    <x v="4"/>
    <x v="28"/>
    <x v="2"/>
    <x v="37"/>
    <x v="104"/>
    <x v="1312"/>
    <x v="38"/>
    <x v="38"/>
    <x v="1"/>
  </r>
  <r>
    <x v="1"/>
    <x v="1"/>
    <x v="510"/>
    <x v="4"/>
    <x v="4"/>
    <x v="28"/>
    <x v="1"/>
    <x v="34"/>
    <x v="63"/>
    <x v="722"/>
    <x v="32"/>
    <x v="32"/>
    <x v="1"/>
  </r>
  <r>
    <x v="1"/>
    <x v="1"/>
    <x v="511"/>
    <x v="4"/>
    <x v="4"/>
    <x v="28"/>
    <x v="5"/>
    <x v="25"/>
    <x v="68"/>
    <x v="575"/>
    <x v="33"/>
    <x v="33"/>
    <x v="1"/>
  </r>
  <r>
    <x v="1"/>
    <x v="1"/>
    <x v="512"/>
    <x v="4"/>
    <x v="4"/>
    <x v="28"/>
    <x v="4"/>
    <x v="30"/>
    <x v="24"/>
    <x v="175"/>
    <x v="38"/>
    <x v="38"/>
    <x v="1"/>
  </r>
  <r>
    <x v="1"/>
    <x v="1"/>
    <x v="513"/>
    <x v="0"/>
    <x v="12"/>
    <x v="13"/>
    <x v="0"/>
    <x v="46"/>
    <x v="36"/>
    <x v="527"/>
    <x v="35"/>
    <x v="35"/>
    <x v="1"/>
  </r>
  <r>
    <x v="1"/>
    <x v="1"/>
    <x v="514"/>
    <x v="0"/>
    <x v="12"/>
    <x v="13"/>
    <x v="3"/>
    <x v="34"/>
    <x v="57"/>
    <x v="625"/>
    <x v="46"/>
    <x v="46"/>
    <x v="1"/>
  </r>
  <r>
    <x v="1"/>
    <x v="1"/>
    <x v="515"/>
    <x v="0"/>
    <x v="12"/>
    <x v="13"/>
    <x v="2"/>
    <x v="37"/>
    <x v="137"/>
    <x v="1665"/>
    <x v="37"/>
    <x v="37"/>
    <x v="1"/>
  </r>
  <r>
    <x v="1"/>
    <x v="1"/>
    <x v="516"/>
    <x v="0"/>
    <x v="12"/>
    <x v="13"/>
    <x v="1"/>
    <x v="36"/>
    <x v="40"/>
    <x v="446"/>
    <x v="33"/>
    <x v="33"/>
    <x v="1"/>
  </r>
  <r>
    <x v="1"/>
    <x v="1"/>
    <x v="517"/>
    <x v="0"/>
    <x v="12"/>
    <x v="13"/>
    <x v="5"/>
    <x v="25"/>
    <x v="50"/>
    <x v="376"/>
    <x v="32"/>
    <x v="32"/>
    <x v="1"/>
  </r>
  <r>
    <x v="1"/>
    <x v="1"/>
    <x v="518"/>
    <x v="0"/>
    <x v="12"/>
    <x v="13"/>
    <x v="4"/>
    <x v="32"/>
    <x v="18"/>
    <x v="136"/>
    <x v="39"/>
    <x v="39"/>
    <x v="1"/>
  </r>
  <r>
    <x v="1"/>
    <x v="1"/>
    <x v="519"/>
    <x v="0"/>
    <x v="12"/>
    <x v="13"/>
    <x v="0"/>
    <x v="43"/>
    <x v="33"/>
    <x v="448"/>
    <x v="33"/>
    <x v="33"/>
    <x v="1"/>
  </r>
  <r>
    <x v="1"/>
    <x v="1"/>
    <x v="520"/>
    <x v="0"/>
    <x v="12"/>
    <x v="13"/>
    <x v="3"/>
    <x v="36"/>
    <x v="63"/>
    <x v="768"/>
    <x v="51"/>
    <x v="51"/>
    <x v="1"/>
  </r>
  <r>
    <x v="1"/>
    <x v="1"/>
    <x v="521"/>
    <x v="0"/>
    <x v="12"/>
    <x v="13"/>
    <x v="2"/>
    <x v="40"/>
    <x v="124"/>
    <x v="1622"/>
    <x v="41"/>
    <x v="41"/>
    <x v="1"/>
  </r>
  <r>
    <x v="1"/>
    <x v="1"/>
    <x v="522"/>
    <x v="0"/>
    <x v="12"/>
    <x v="13"/>
    <x v="1"/>
    <x v="39"/>
    <x v="49"/>
    <x v="609"/>
    <x v="34"/>
    <x v="34"/>
    <x v="1"/>
  </r>
  <r>
    <x v="1"/>
    <x v="1"/>
    <x v="523"/>
    <x v="0"/>
    <x v="12"/>
    <x v="13"/>
    <x v="5"/>
    <x v="30"/>
    <x v="56"/>
    <x v="533"/>
    <x v="31"/>
    <x v="31"/>
    <x v="1"/>
  </r>
  <r>
    <x v="1"/>
    <x v="1"/>
    <x v="524"/>
    <x v="0"/>
    <x v="12"/>
    <x v="13"/>
    <x v="4"/>
    <x v="34"/>
    <x v="9"/>
    <x v="75"/>
    <x v="39"/>
    <x v="39"/>
    <x v="1"/>
  </r>
  <r>
    <x v="1"/>
    <x v="1"/>
    <x v="525"/>
    <x v="0"/>
    <x v="12"/>
    <x v="13"/>
    <x v="0"/>
    <x v="49"/>
    <x v="27"/>
    <x v="430"/>
    <x v="33"/>
    <x v="33"/>
    <x v="1"/>
  </r>
  <r>
    <x v="1"/>
    <x v="1"/>
    <x v="526"/>
    <x v="0"/>
    <x v="12"/>
    <x v="13"/>
    <x v="3"/>
    <x v="38"/>
    <x v="52"/>
    <x v="627"/>
    <x v="49"/>
    <x v="49"/>
    <x v="1"/>
  </r>
  <r>
    <x v="1"/>
    <x v="1"/>
    <x v="527"/>
    <x v="0"/>
    <x v="12"/>
    <x v="13"/>
    <x v="2"/>
    <x v="41"/>
    <x v="102"/>
    <x v="1406"/>
    <x v="38"/>
    <x v="38"/>
    <x v="1"/>
  </r>
  <r>
    <x v="1"/>
    <x v="1"/>
    <x v="528"/>
    <x v="0"/>
    <x v="12"/>
    <x v="13"/>
    <x v="1"/>
    <x v="41"/>
    <x v="33"/>
    <x v="425"/>
    <x v="32"/>
    <x v="32"/>
    <x v="1"/>
  </r>
  <r>
    <x v="1"/>
    <x v="1"/>
    <x v="529"/>
    <x v="0"/>
    <x v="12"/>
    <x v="13"/>
    <x v="5"/>
    <x v="29"/>
    <x v="31"/>
    <x v="254"/>
    <x v="34"/>
    <x v="34"/>
    <x v="1"/>
  </r>
  <r>
    <x v="1"/>
    <x v="1"/>
    <x v="530"/>
    <x v="0"/>
    <x v="12"/>
    <x v="13"/>
    <x v="4"/>
    <x v="37"/>
    <x v="10"/>
    <x v="89"/>
    <x v="36"/>
    <x v="36"/>
    <x v="1"/>
  </r>
  <r>
    <x v="1"/>
    <x v="1"/>
    <x v="531"/>
    <x v="0"/>
    <x v="12"/>
    <x v="13"/>
    <x v="0"/>
    <x v="47"/>
    <x v="18"/>
    <x v="254"/>
    <x v="33"/>
    <x v="33"/>
    <x v="1"/>
  </r>
  <r>
    <x v="1"/>
    <x v="1"/>
    <x v="532"/>
    <x v="0"/>
    <x v="12"/>
    <x v="13"/>
    <x v="3"/>
    <x v="42"/>
    <x v="54"/>
    <x v="730"/>
    <x v="46"/>
    <x v="46"/>
    <x v="1"/>
  </r>
  <r>
    <x v="1"/>
    <x v="1"/>
    <x v="533"/>
    <x v="0"/>
    <x v="12"/>
    <x v="13"/>
    <x v="2"/>
    <x v="51"/>
    <x v="114"/>
    <x v="1837"/>
    <x v="40"/>
    <x v="40"/>
    <x v="1"/>
  </r>
  <r>
    <x v="1"/>
    <x v="1"/>
    <x v="534"/>
    <x v="0"/>
    <x v="12"/>
    <x v="13"/>
    <x v="1"/>
    <x v="46"/>
    <x v="43"/>
    <x v="634"/>
    <x v="31"/>
    <x v="31"/>
    <x v="1"/>
  </r>
  <r>
    <x v="1"/>
    <x v="1"/>
    <x v="535"/>
    <x v="0"/>
    <x v="12"/>
    <x v="13"/>
    <x v="5"/>
    <x v="42"/>
    <x v="33"/>
    <x v="435"/>
    <x v="32"/>
    <x v="32"/>
    <x v="1"/>
  </r>
  <r>
    <x v="1"/>
    <x v="1"/>
    <x v="536"/>
    <x v="0"/>
    <x v="12"/>
    <x v="13"/>
    <x v="4"/>
    <x v="41"/>
    <x v="18"/>
    <x v="195"/>
    <x v="39"/>
    <x v="39"/>
    <x v="1"/>
  </r>
  <r>
    <x v="1"/>
    <x v="1"/>
    <x v="537"/>
    <x v="0"/>
    <x v="12"/>
    <x v="13"/>
    <x v="0"/>
    <x v="52"/>
    <x v="25"/>
    <x v="409"/>
    <x v="32"/>
    <x v="32"/>
    <x v="1"/>
  </r>
  <r>
    <x v="1"/>
    <x v="1"/>
    <x v="538"/>
    <x v="0"/>
    <x v="12"/>
    <x v="13"/>
    <x v="3"/>
    <x v="57"/>
    <x v="52"/>
    <x v="964"/>
    <x v="46"/>
    <x v="46"/>
    <x v="1"/>
  </r>
  <r>
    <x v="1"/>
    <x v="1"/>
    <x v="539"/>
    <x v="0"/>
    <x v="12"/>
    <x v="13"/>
    <x v="2"/>
    <x v="39"/>
    <x v="115"/>
    <x v="1491"/>
    <x v="41"/>
    <x v="41"/>
    <x v="1"/>
  </r>
  <r>
    <x v="1"/>
    <x v="1"/>
    <x v="540"/>
    <x v="0"/>
    <x v="12"/>
    <x v="13"/>
    <x v="1"/>
    <x v="36"/>
    <x v="52"/>
    <x v="592"/>
    <x v="31"/>
    <x v="31"/>
    <x v="1"/>
  </r>
  <r>
    <x v="1"/>
    <x v="1"/>
    <x v="541"/>
    <x v="0"/>
    <x v="12"/>
    <x v="13"/>
    <x v="5"/>
    <x v="32"/>
    <x v="43"/>
    <x v="422"/>
    <x v="31"/>
    <x v="31"/>
    <x v="1"/>
  </r>
  <r>
    <x v="1"/>
    <x v="1"/>
    <x v="542"/>
    <x v="0"/>
    <x v="12"/>
    <x v="13"/>
    <x v="4"/>
    <x v="31"/>
    <x v="36"/>
    <x v="327"/>
    <x v="39"/>
    <x v="39"/>
    <x v="1"/>
  </r>
  <r>
    <x v="1"/>
    <x v="1"/>
    <x v="543"/>
    <x v="0"/>
    <x v="12"/>
    <x v="13"/>
    <x v="0"/>
    <x v="39"/>
    <x v="40"/>
    <x v="485"/>
    <x v="36"/>
    <x v="36"/>
    <x v="1"/>
  </r>
  <r>
    <x v="1"/>
    <x v="1"/>
    <x v="544"/>
    <x v="0"/>
    <x v="12"/>
    <x v="13"/>
    <x v="3"/>
    <x v="44"/>
    <x v="87"/>
    <x v="1286"/>
    <x v="49"/>
    <x v="49"/>
    <x v="1"/>
  </r>
  <r>
    <x v="1"/>
    <x v="1"/>
    <x v="545"/>
    <x v="0"/>
    <x v="12"/>
    <x v="13"/>
    <x v="2"/>
    <x v="40"/>
    <x v="139"/>
    <x v="1792"/>
    <x v="38"/>
    <x v="38"/>
    <x v="1"/>
  </r>
  <r>
    <x v="1"/>
    <x v="1"/>
    <x v="546"/>
    <x v="0"/>
    <x v="12"/>
    <x v="13"/>
    <x v="1"/>
    <x v="36"/>
    <x v="67"/>
    <x v="816"/>
    <x v="31"/>
    <x v="31"/>
    <x v="1"/>
  </r>
  <r>
    <x v="1"/>
    <x v="1"/>
    <x v="547"/>
    <x v="0"/>
    <x v="12"/>
    <x v="13"/>
    <x v="5"/>
    <x v="29"/>
    <x v="54"/>
    <x v="484"/>
    <x v="31"/>
    <x v="31"/>
    <x v="1"/>
  </r>
  <r>
    <x v="1"/>
    <x v="1"/>
    <x v="548"/>
    <x v="0"/>
    <x v="12"/>
    <x v="13"/>
    <x v="4"/>
    <x v="32"/>
    <x v="39"/>
    <x v="375"/>
    <x v="40"/>
    <x v="40"/>
    <x v="1"/>
  </r>
  <r>
    <x v="1"/>
    <x v="1"/>
    <x v="549"/>
    <x v="0"/>
    <x v="12"/>
    <x v="13"/>
    <x v="0"/>
    <x v="40"/>
    <x v="45"/>
    <x v="567"/>
    <x v="32"/>
    <x v="32"/>
    <x v="1"/>
  </r>
  <r>
    <x v="1"/>
    <x v="1"/>
    <x v="550"/>
    <x v="0"/>
    <x v="12"/>
    <x v="13"/>
    <x v="3"/>
    <x v="47"/>
    <x v="101"/>
    <x v="1565"/>
    <x v="47"/>
    <x v="47"/>
    <x v="1"/>
  </r>
  <r>
    <x v="1"/>
    <x v="1"/>
    <x v="551"/>
    <x v="0"/>
    <x v="12"/>
    <x v="13"/>
    <x v="2"/>
    <x v="42"/>
    <x v="128"/>
    <x v="1734"/>
    <x v="37"/>
    <x v="37"/>
    <x v="1"/>
  </r>
  <r>
    <x v="1"/>
    <x v="1"/>
    <x v="552"/>
    <x v="0"/>
    <x v="12"/>
    <x v="13"/>
    <x v="1"/>
    <x v="34"/>
    <x v="77"/>
    <x v="913"/>
    <x v="32"/>
    <x v="32"/>
    <x v="1"/>
  </r>
  <r>
    <x v="1"/>
    <x v="1"/>
    <x v="553"/>
    <x v="0"/>
    <x v="12"/>
    <x v="13"/>
    <x v="5"/>
    <x v="31"/>
    <x v="62"/>
    <x v="631"/>
    <x v="35"/>
    <x v="35"/>
    <x v="1"/>
  </r>
  <r>
    <x v="1"/>
    <x v="1"/>
    <x v="554"/>
    <x v="0"/>
    <x v="12"/>
    <x v="13"/>
    <x v="4"/>
    <x v="30"/>
    <x v="52"/>
    <x v="481"/>
    <x v="36"/>
    <x v="36"/>
    <x v="1"/>
  </r>
  <r>
    <x v="1"/>
    <x v="1"/>
    <x v="555"/>
    <x v="0"/>
    <x v="12"/>
    <x v="13"/>
    <x v="0"/>
    <x v="42"/>
    <x v="39"/>
    <x v="516"/>
    <x v="36"/>
    <x v="36"/>
    <x v="1"/>
  </r>
  <r>
    <x v="1"/>
    <x v="1"/>
    <x v="556"/>
    <x v="0"/>
    <x v="12"/>
    <x v="13"/>
    <x v="3"/>
    <x v="43"/>
    <x v="77"/>
    <x v="1135"/>
    <x v="51"/>
    <x v="51"/>
    <x v="1"/>
  </r>
  <r>
    <x v="1"/>
    <x v="1"/>
    <x v="557"/>
    <x v="0"/>
    <x v="12"/>
    <x v="13"/>
    <x v="2"/>
    <x v="40"/>
    <x v="115"/>
    <x v="1527"/>
    <x v="36"/>
    <x v="36"/>
    <x v="1"/>
  </r>
  <r>
    <x v="1"/>
    <x v="1"/>
    <x v="558"/>
    <x v="0"/>
    <x v="12"/>
    <x v="13"/>
    <x v="1"/>
    <x v="34"/>
    <x v="69"/>
    <x v="801"/>
    <x v="35"/>
    <x v="35"/>
    <x v="1"/>
  </r>
  <r>
    <x v="1"/>
    <x v="1"/>
    <x v="559"/>
    <x v="0"/>
    <x v="12"/>
    <x v="13"/>
    <x v="5"/>
    <x v="29"/>
    <x v="49"/>
    <x v="437"/>
    <x v="33"/>
    <x v="33"/>
    <x v="1"/>
  </r>
  <r>
    <x v="1"/>
    <x v="1"/>
    <x v="560"/>
    <x v="0"/>
    <x v="12"/>
    <x v="13"/>
    <x v="4"/>
    <x v="29"/>
    <x v="33"/>
    <x v="270"/>
    <x v="39"/>
    <x v="39"/>
    <x v="1"/>
  </r>
  <r>
    <x v="1"/>
    <x v="1"/>
    <x v="561"/>
    <x v="0"/>
    <x v="12"/>
    <x v="13"/>
    <x v="0"/>
    <x v="42"/>
    <x v="38"/>
    <x v="500"/>
    <x v="32"/>
    <x v="32"/>
    <x v="1"/>
  </r>
  <r>
    <x v="1"/>
    <x v="1"/>
    <x v="562"/>
    <x v="0"/>
    <x v="12"/>
    <x v="13"/>
    <x v="3"/>
    <x v="46"/>
    <x v="60"/>
    <x v="917"/>
    <x v="50"/>
    <x v="50"/>
    <x v="1"/>
  </r>
  <r>
    <x v="1"/>
    <x v="1"/>
    <x v="563"/>
    <x v="0"/>
    <x v="12"/>
    <x v="13"/>
    <x v="2"/>
    <x v="49"/>
    <x v="96"/>
    <x v="1554"/>
    <x v="41"/>
    <x v="41"/>
    <x v="1"/>
  </r>
  <r>
    <x v="1"/>
    <x v="1"/>
    <x v="564"/>
    <x v="0"/>
    <x v="12"/>
    <x v="13"/>
    <x v="1"/>
    <x v="42"/>
    <x v="62"/>
    <x v="871"/>
    <x v="35"/>
    <x v="35"/>
    <x v="1"/>
  </r>
  <r>
    <x v="1"/>
    <x v="1"/>
    <x v="565"/>
    <x v="0"/>
    <x v="12"/>
    <x v="13"/>
    <x v="5"/>
    <x v="41"/>
    <x v="28"/>
    <x v="351"/>
    <x v="31"/>
    <x v="31"/>
    <x v="1"/>
  </r>
  <r>
    <x v="1"/>
    <x v="1"/>
    <x v="566"/>
    <x v="0"/>
    <x v="12"/>
    <x v="13"/>
    <x v="4"/>
    <x v="40"/>
    <x v="23"/>
    <x v="264"/>
    <x v="37"/>
    <x v="37"/>
    <x v="1"/>
  </r>
  <r>
    <x v="1"/>
    <x v="1"/>
    <x v="567"/>
    <x v="0"/>
    <x v="12"/>
    <x v="13"/>
    <x v="0"/>
    <x v="49"/>
    <x v="23"/>
    <x v="343"/>
    <x v="33"/>
    <x v="33"/>
    <x v="1"/>
  </r>
  <r>
    <x v="1"/>
    <x v="1"/>
    <x v="568"/>
    <x v="0"/>
    <x v="12"/>
    <x v="13"/>
    <x v="3"/>
    <x v="53"/>
    <x v="54"/>
    <x v="927"/>
    <x v="46"/>
    <x v="46"/>
    <x v="1"/>
  </r>
  <r>
    <x v="1"/>
    <x v="1"/>
    <x v="569"/>
    <x v="0"/>
    <x v="12"/>
    <x v="13"/>
    <x v="2"/>
    <x v="48"/>
    <x v="93"/>
    <x v="1480"/>
    <x v="40"/>
    <x v="40"/>
    <x v="1"/>
  </r>
  <r>
    <x v="1"/>
    <x v="1"/>
    <x v="570"/>
    <x v="0"/>
    <x v="12"/>
    <x v="13"/>
    <x v="1"/>
    <x v="39"/>
    <x v="54"/>
    <x v="668"/>
    <x v="33"/>
    <x v="33"/>
    <x v="1"/>
  </r>
  <r>
    <x v="1"/>
    <x v="1"/>
    <x v="571"/>
    <x v="0"/>
    <x v="12"/>
    <x v="13"/>
    <x v="5"/>
    <x v="41"/>
    <x v="38"/>
    <x v="488"/>
    <x v="33"/>
    <x v="33"/>
    <x v="1"/>
  </r>
  <r>
    <x v="1"/>
    <x v="1"/>
    <x v="572"/>
    <x v="0"/>
    <x v="12"/>
    <x v="13"/>
    <x v="4"/>
    <x v="39"/>
    <x v="42"/>
    <x v="511"/>
    <x v="39"/>
    <x v="39"/>
    <x v="1"/>
  </r>
  <r>
    <x v="1"/>
    <x v="1"/>
    <x v="573"/>
    <x v="0"/>
    <x v="12"/>
    <x v="13"/>
    <x v="0"/>
    <x v="49"/>
    <x v="30"/>
    <x v="473"/>
    <x v="36"/>
    <x v="36"/>
    <x v="1"/>
  </r>
  <r>
    <x v="1"/>
    <x v="1"/>
    <x v="574"/>
    <x v="0"/>
    <x v="12"/>
    <x v="13"/>
    <x v="3"/>
    <x v="54"/>
    <x v="54"/>
    <x v="945"/>
    <x v="46"/>
    <x v="46"/>
    <x v="1"/>
  </r>
  <r>
    <x v="1"/>
    <x v="1"/>
    <x v="575"/>
    <x v="0"/>
    <x v="12"/>
    <x v="13"/>
    <x v="2"/>
    <x v="50"/>
    <x v="129"/>
    <x v="1985"/>
    <x v="41"/>
    <x v="41"/>
    <x v="1"/>
  </r>
  <r>
    <x v="1"/>
    <x v="1"/>
    <x v="576"/>
    <x v="0"/>
    <x v="12"/>
    <x v="13"/>
    <x v="1"/>
    <x v="39"/>
    <x v="62"/>
    <x v="803"/>
    <x v="34"/>
    <x v="34"/>
    <x v="1"/>
  </r>
  <r>
    <x v="1"/>
    <x v="1"/>
    <x v="577"/>
    <x v="0"/>
    <x v="12"/>
    <x v="13"/>
    <x v="5"/>
    <x v="39"/>
    <x v="62"/>
    <x v="803"/>
    <x v="35"/>
    <x v="35"/>
    <x v="1"/>
  </r>
  <r>
    <x v="1"/>
    <x v="1"/>
    <x v="578"/>
    <x v="0"/>
    <x v="12"/>
    <x v="13"/>
    <x v="4"/>
    <x v="42"/>
    <x v="43"/>
    <x v="571"/>
    <x v="39"/>
    <x v="39"/>
    <x v="1"/>
  </r>
  <r>
    <x v="1"/>
    <x v="1"/>
    <x v="579"/>
    <x v="0"/>
    <x v="12"/>
    <x v="13"/>
    <x v="0"/>
    <x v="52"/>
    <x v="47"/>
    <x v="794"/>
    <x v="31"/>
    <x v="31"/>
    <x v="1"/>
  </r>
  <r>
    <x v="1"/>
    <x v="1"/>
    <x v="580"/>
    <x v="0"/>
    <x v="12"/>
    <x v="13"/>
    <x v="3"/>
    <x v="57"/>
    <x v="67"/>
    <x v="1250"/>
    <x v="49"/>
    <x v="49"/>
    <x v="1"/>
  </r>
  <r>
    <x v="3"/>
    <x v="3"/>
    <x v="581"/>
    <x v="0"/>
    <x v="12"/>
    <x v="13"/>
    <x v="2"/>
    <x v="13"/>
    <x v="165"/>
    <x v="893"/>
    <x v="26"/>
    <x v="26"/>
    <x v="1"/>
  </r>
  <r>
    <x v="3"/>
    <x v="3"/>
    <x v="582"/>
    <x v="0"/>
    <x v="12"/>
    <x v="13"/>
    <x v="1"/>
    <x v="21"/>
    <x v="172"/>
    <x v="1320"/>
    <x v="26"/>
    <x v="26"/>
    <x v="1"/>
  </r>
  <r>
    <x v="3"/>
    <x v="3"/>
    <x v="583"/>
    <x v="0"/>
    <x v="12"/>
    <x v="13"/>
    <x v="5"/>
    <x v="20"/>
    <x v="137"/>
    <x v="1021"/>
    <x v="27"/>
    <x v="27"/>
    <x v="1"/>
  </r>
  <r>
    <x v="3"/>
    <x v="3"/>
    <x v="584"/>
    <x v="0"/>
    <x v="12"/>
    <x v="13"/>
    <x v="4"/>
    <x v="27"/>
    <x v="131"/>
    <x v="1246"/>
    <x v="37"/>
    <x v="37"/>
    <x v="1"/>
  </r>
  <r>
    <x v="3"/>
    <x v="3"/>
    <x v="585"/>
    <x v="2"/>
    <x v="42"/>
    <x v="15"/>
    <x v="0"/>
    <x v="30"/>
    <x v="77"/>
    <x v="813"/>
    <x v="21"/>
    <x v="21"/>
    <x v="1"/>
  </r>
  <r>
    <x v="3"/>
    <x v="3"/>
    <x v="586"/>
    <x v="2"/>
    <x v="42"/>
    <x v="15"/>
    <x v="3"/>
    <x v="26"/>
    <x v="127"/>
    <x v="1169"/>
    <x v="41"/>
    <x v="41"/>
    <x v="1"/>
  </r>
  <r>
    <x v="3"/>
    <x v="3"/>
    <x v="587"/>
    <x v="2"/>
    <x v="42"/>
    <x v="15"/>
    <x v="2"/>
    <x v="16"/>
    <x v="153"/>
    <x v="968"/>
    <x v="29"/>
    <x v="29"/>
    <x v="1"/>
  </r>
  <r>
    <x v="3"/>
    <x v="3"/>
    <x v="588"/>
    <x v="2"/>
    <x v="42"/>
    <x v="15"/>
    <x v="1"/>
    <x v="25"/>
    <x v="141"/>
    <x v="1261"/>
    <x v="26"/>
    <x v="26"/>
    <x v="1"/>
  </r>
  <r>
    <x v="3"/>
    <x v="3"/>
    <x v="589"/>
    <x v="2"/>
    <x v="42"/>
    <x v="15"/>
    <x v="5"/>
    <x v="27"/>
    <x v="100"/>
    <x v="967"/>
    <x v="29"/>
    <x v="29"/>
    <x v="1"/>
  </r>
  <r>
    <x v="3"/>
    <x v="3"/>
    <x v="590"/>
    <x v="2"/>
    <x v="42"/>
    <x v="15"/>
    <x v="4"/>
    <x v="25"/>
    <x v="108"/>
    <x v="978"/>
    <x v="39"/>
    <x v="39"/>
    <x v="1"/>
  </r>
  <r>
    <x v="3"/>
    <x v="3"/>
    <x v="591"/>
    <x v="2"/>
    <x v="42"/>
    <x v="15"/>
    <x v="0"/>
    <x v="31"/>
    <x v="62"/>
    <x v="631"/>
    <x v="21"/>
    <x v="21"/>
    <x v="1"/>
  </r>
  <r>
    <x v="3"/>
    <x v="3"/>
    <x v="592"/>
    <x v="2"/>
    <x v="42"/>
    <x v="15"/>
    <x v="3"/>
    <x v="25"/>
    <x v="120"/>
    <x v="1081"/>
    <x v="42"/>
    <x v="42"/>
    <x v="1"/>
  </r>
  <r>
    <x v="3"/>
    <x v="3"/>
    <x v="593"/>
    <x v="2"/>
    <x v="42"/>
    <x v="15"/>
    <x v="2"/>
    <x v="22"/>
    <x v="159"/>
    <x v="1271"/>
    <x v="36"/>
    <x v="36"/>
    <x v="1"/>
  </r>
  <r>
    <x v="3"/>
    <x v="3"/>
    <x v="594"/>
    <x v="2"/>
    <x v="42"/>
    <x v="15"/>
    <x v="1"/>
    <x v="32"/>
    <x v="147"/>
    <x v="1588"/>
    <x v="36"/>
    <x v="36"/>
    <x v="1"/>
  </r>
  <r>
    <x v="3"/>
    <x v="3"/>
    <x v="595"/>
    <x v="2"/>
    <x v="42"/>
    <x v="15"/>
    <x v="5"/>
    <x v="21"/>
    <x v="125"/>
    <x v="971"/>
    <x v="33"/>
    <x v="33"/>
    <x v="1"/>
  </r>
  <r>
    <x v="3"/>
    <x v="3"/>
    <x v="596"/>
    <x v="2"/>
    <x v="42"/>
    <x v="15"/>
    <x v="4"/>
    <x v="25"/>
    <x v="97"/>
    <x v="878"/>
    <x v="43"/>
    <x v="43"/>
    <x v="1"/>
  </r>
  <r>
    <x v="3"/>
    <x v="3"/>
    <x v="597"/>
    <x v="2"/>
    <x v="42"/>
    <x v="15"/>
    <x v="0"/>
    <x v="31"/>
    <x v="67"/>
    <x v="700"/>
    <x v="31"/>
    <x v="31"/>
    <x v="1"/>
  </r>
  <r>
    <x v="3"/>
    <x v="3"/>
    <x v="598"/>
    <x v="2"/>
    <x v="42"/>
    <x v="15"/>
    <x v="3"/>
    <x v="25"/>
    <x v="115"/>
    <x v="1034"/>
    <x v="49"/>
    <x v="49"/>
    <x v="1"/>
  </r>
  <r>
    <x v="3"/>
    <x v="3"/>
    <x v="599"/>
    <x v="2"/>
    <x v="42"/>
    <x v="15"/>
    <x v="2"/>
    <x v="11"/>
    <x v="159"/>
    <x v="758"/>
    <x v="31"/>
    <x v="31"/>
    <x v="1"/>
  </r>
  <r>
    <x v="3"/>
    <x v="3"/>
    <x v="600"/>
    <x v="2"/>
    <x v="42"/>
    <x v="15"/>
    <x v="1"/>
    <x v="21"/>
    <x v="152"/>
    <x v="1184"/>
    <x v="34"/>
    <x v="34"/>
    <x v="1"/>
  </r>
  <r>
    <x v="3"/>
    <x v="3"/>
    <x v="601"/>
    <x v="2"/>
    <x v="42"/>
    <x v="15"/>
    <x v="5"/>
    <x v="18"/>
    <x v="131"/>
    <x v="897"/>
    <x v="35"/>
    <x v="35"/>
    <x v="1"/>
  </r>
  <r>
    <x v="3"/>
    <x v="3"/>
    <x v="602"/>
    <x v="2"/>
    <x v="42"/>
    <x v="15"/>
    <x v="4"/>
    <x v="22"/>
    <x v="108"/>
    <x v="878"/>
    <x v="45"/>
    <x v="45"/>
    <x v="1"/>
  </r>
  <r>
    <x v="3"/>
    <x v="3"/>
    <x v="603"/>
    <x v="2"/>
    <x v="42"/>
    <x v="15"/>
    <x v="0"/>
    <x v="27"/>
    <x v="70"/>
    <x v="639"/>
    <x v="26"/>
    <x v="26"/>
    <x v="1"/>
  </r>
  <r>
    <x v="3"/>
    <x v="3"/>
    <x v="604"/>
    <x v="2"/>
    <x v="42"/>
    <x v="15"/>
    <x v="3"/>
    <x v="22"/>
    <x v="135"/>
    <x v="1094"/>
    <x v="48"/>
    <x v="48"/>
    <x v="1"/>
  </r>
  <r>
    <x v="3"/>
    <x v="3"/>
    <x v="605"/>
    <x v="2"/>
    <x v="42"/>
    <x v="15"/>
    <x v="2"/>
    <x v="12"/>
    <x v="171"/>
    <x v="876"/>
    <x v="36"/>
    <x v="36"/>
    <x v="1"/>
  </r>
  <r>
    <x v="3"/>
    <x v="3"/>
    <x v="606"/>
    <x v="2"/>
    <x v="42"/>
    <x v="15"/>
    <x v="1"/>
    <x v="22"/>
    <x v="170"/>
    <x v="1356"/>
    <x v="35"/>
    <x v="35"/>
    <x v="1"/>
  </r>
  <r>
    <x v="3"/>
    <x v="3"/>
    <x v="607"/>
    <x v="2"/>
    <x v="42"/>
    <x v="15"/>
    <x v="5"/>
    <x v="17"/>
    <x v="152"/>
    <x v="1005"/>
    <x v="33"/>
    <x v="33"/>
    <x v="1"/>
  </r>
  <r>
    <x v="3"/>
    <x v="3"/>
    <x v="608"/>
    <x v="2"/>
    <x v="42"/>
    <x v="15"/>
    <x v="4"/>
    <x v="27"/>
    <x v="133"/>
    <x v="1263"/>
    <x v="46"/>
    <x v="46"/>
    <x v="1"/>
  </r>
  <r>
    <x v="3"/>
    <x v="3"/>
    <x v="609"/>
    <x v="2"/>
    <x v="42"/>
    <x v="15"/>
    <x v="0"/>
    <x v="42"/>
    <x v="111"/>
    <x v="1546"/>
    <x v="31"/>
    <x v="31"/>
    <x v="1"/>
  </r>
  <r>
    <x v="3"/>
    <x v="3"/>
    <x v="610"/>
    <x v="2"/>
    <x v="42"/>
    <x v="15"/>
    <x v="3"/>
    <x v="36"/>
    <x v="193"/>
    <x v="2159"/>
    <x v="51"/>
    <x v="51"/>
    <x v="1"/>
  </r>
  <r>
    <x v="3"/>
    <x v="3"/>
    <x v="611"/>
    <x v="2"/>
    <x v="42"/>
    <x v="15"/>
    <x v="2"/>
    <x v="34"/>
    <x v="193"/>
    <x v="2090"/>
    <x v="31"/>
    <x v="31"/>
    <x v="1"/>
  </r>
  <r>
    <x v="3"/>
    <x v="3"/>
    <x v="612"/>
    <x v="2"/>
    <x v="42"/>
    <x v="15"/>
    <x v="1"/>
    <x v="42"/>
    <x v="174"/>
    <x v="2179"/>
    <x v="34"/>
    <x v="34"/>
    <x v="1"/>
  </r>
  <r>
    <x v="3"/>
    <x v="3"/>
    <x v="613"/>
    <x v="2"/>
    <x v="42"/>
    <x v="15"/>
    <x v="5"/>
    <x v="37"/>
    <x v="153"/>
    <x v="1831"/>
    <x v="33"/>
    <x v="33"/>
    <x v="1"/>
  </r>
  <r>
    <x v="3"/>
    <x v="3"/>
    <x v="614"/>
    <x v="2"/>
    <x v="42"/>
    <x v="15"/>
    <x v="4"/>
    <x v="36"/>
    <x v="151"/>
    <x v="1776"/>
    <x v="41"/>
    <x v="41"/>
    <x v="1"/>
  </r>
  <r>
    <x v="3"/>
    <x v="3"/>
    <x v="615"/>
    <x v="2"/>
    <x v="42"/>
    <x v="15"/>
    <x v="0"/>
    <x v="38"/>
    <x v="125"/>
    <x v="1572"/>
    <x v="29"/>
    <x v="29"/>
    <x v="1"/>
  </r>
  <r>
    <x v="3"/>
    <x v="3"/>
    <x v="616"/>
    <x v="2"/>
    <x v="42"/>
    <x v="15"/>
    <x v="3"/>
    <x v="46"/>
    <x v="222"/>
    <x v="2633"/>
    <x v="49"/>
    <x v="49"/>
    <x v="1"/>
  </r>
  <r>
    <x v="3"/>
    <x v="3"/>
    <x v="617"/>
    <x v="2"/>
    <x v="42"/>
    <x v="15"/>
    <x v="2"/>
    <x v="34"/>
    <x v="197"/>
    <x v="2130"/>
    <x v="38"/>
    <x v="38"/>
    <x v="1"/>
  </r>
  <r>
    <x v="3"/>
    <x v="3"/>
    <x v="618"/>
    <x v="2"/>
    <x v="42"/>
    <x v="15"/>
    <x v="1"/>
    <x v="41"/>
    <x v="185"/>
    <x v="2255"/>
    <x v="40"/>
    <x v="40"/>
    <x v="1"/>
  </r>
  <r>
    <x v="3"/>
    <x v="3"/>
    <x v="619"/>
    <x v="2"/>
    <x v="42"/>
    <x v="15"/>
    <x v="5"/>
    <x v="37"/>
    <x v="214"/>
    <x v="2375"/>
    <x v="41"/>
    <x v="41"/>
    <x v="1"/>
  </r>
  <r>
    <x v="3"/>
    <x v="3"/>
    <x v="620"/>
    <x v="2"/>
    <x v="42"/>
    <x v="15"/>
    <x v="4"/>
    <x v="36"/>
    <x v="129"/>
    <x v="1557"/>
    <x v="47"/>
    <x v="47"/>
    <x v="1"/>
  </r>
  <r>
    <x v="3"/>
    <x v="3"/>
    <x v="621"/>
    <x v="2"/>
    <x v="42"/>
    <x v="15"/>
    <x v="0"/>
    <x v="40"/>
    <x v="145"/>
    <x v="1854"/>
    <x v="32"/>
    <x v="32"/>
    <x v="1"/>
  </r>
  <r>
    <x v="3"/>
    <x v="3"/>
    <x v="622"/>
    <x v="2"/>
    <x v="42"/>
    <x v="15"/>
    <x v="3"/>
    <x v="47"/>
    <x v="215"/>
    <x v="2617"/>
    <x v="53"/>
    <x v="53"/>
    <x v="1"/>
  </r>
  <r>
    <x v="3"/>
    <x v="3"/>
    <x v="623"/>
    <x v="2"/>
    <x v="42"/>
    <x v="15"/>
    <x v="2"/>
    <x v="42"/>
    <x v="181"/>
    <x v="2235"/>
    <x v="37"/>
    <x v="37"/>
    <x v="1"/>
  </r>
  <r>
    <x v="3"/>
    <x v="3"/>
    <x v="624"/>
    <x v="2"/>
    <x v="42"/>
    <x v="15"/>
    <x v="1"/>
    <x v="46"/>
    <x v="181"/>
    <x v="2355"/>
    <x v="36"/>
    <x v="36"/>
    <x v="1"/>
  </r>
  <r>
    <x v="3"/>
    <x v="3"/>
    <x v="625"/>
    <x v="2"/>
    <x v="42"/>
    <x v="15"/>
    <x v="5"/>
    <x v="39"/>
    <x v="230"/>
    <x v="2519"/>
    <x v="41"/>
    <x v="41"/>
    <x v="1"/>
  </r>
  <r>
    <x v="3"/>
    <x v="3"/>
    <x v="626"/>
    <x v="2"/>
    <x v="42"/>
    <x v="15"/>
    <x v="4"/>
    <x v="40"/>
    <x v="127"/>
    <x v="1655"/>
    <x v="51"/>
    <x v="51"/>
    <x v="1"/>
  </r>
  <r>
    <x v="3"/>
    <x v="3"/>
    <x v="627"/>
    <x v="2"/>
    <x v="42"/>
    <x v="15"/>
    <x v="0"/>
    <x v="46"/>
    <x v="122"/>
    <x v="1785"/>
    <x v="34"/>
    <x v="34"/>
    <x v="1"/>
  </r>
  <r>
    <x v="3"/>
    <x v="3"/>
    <x v="628"/>
    <x v="2"/>
    <x v="42"/>
    <x v="15"/>
    <x v="3"/>
    <x v="49"/>
    <x v="199"/>
    <x v="2564"/>
    <x v="56"/>
    <x v="56"/>
    <x v="1"/>
  </r>
  <r>
    <x v="3"/>
    <x v="3"/>
    <x v="629"/>
    <x v="2"/>
    <x v="42"/>
    <x v="15"/>
    <x v="2"/>
    <x v="46"/>
    <x v="158"/>
    <x v="2153"/>
    <x v="41"/>
    <x v="41"/>
    <x v="1"/>
  </r>
  <r>
    <x v="3"/>
    <x v="3"/>
    <x v="630"/>
    <x v="2"/>
    <x v="42"/>
    <x v="15"/>
    <x v="1"/>
    <x v="47"/>
    <x v="153"/>
    <x v="2138"/>
    <x v="37"/>
    <x v="37"/>
    <x v="1"/>
  </r>
  <r>
    <x v="3"/>
    <x v="3"/>
    <x v="631"/>
    <x v="2"/>
    <x v="42"/>
    <x v="15"/>
    <x v="5"/>
    <x v="52"/>
    <x v="177"/>
    <x v="2463"/>
    <x v="39"/>
    <x v="39"/>
    <x v="1"/>
  </r>
  <r>
    <x v="3"/>
    <x v="3"/>
    <x v="632"/>
    <x v="2"/>
    <x v="42"/>
    <x v="15"/>
    <x v="4"/>
    <x v="49"/>
    <x v="106"/>
    <x v="1687"/>
    <x v="51"/>
    <x v="51"/>
    <x v="1"/>
  </r>
  <r>
    <x v="3"/>
    <x v="3"/>
    <x v="633"/>
    <x v="2"/>
    <x v="42"/>
    <x v="15"/>
    <x v="0"/>
    <x v="46"/>
    <x v="115"/>
    <x v="1706"/>
    <x v="35"/>
    <x v="35"/>
    <x v="1"/>
  </r>
  <r>
    <x v="3"/>
    <x v="3"/>
    <x v="634"/>
    <x v="2"/>
    <x v="42"/>
    <x v="15"/>
    <x v="3"/>
    <x v="41"/>
    <x v="177"/>
    <x v="2172"/>
    <x v="56"/>
    <x v="56"/>
    <x v="1"/>
  </r>
  <r>
    <x v="3"/>
    <x v="3"/>
    <x v="635"/>
    <x v="2"/>
    <x v="42"/>
    <x v="15"/>
    <x v="2"/>
    <x v="32"/>
    <x v="135"/>
    <x v="1461"/>
    <x v="36"/>
    <x v="36"/>
    <x v="1"/>
  </r>
  <r>
    <x v="3"/>
    <x v="3"/>
    <x v="636"/>
    <x v="2"/>
    <x v="42"/>
    <x v="15"/>
    <x v="1"/>
    <x v="31"/>
    <x v="147"/>
    <x v="1547"/>
    <x v="37"/>
    <x v="37"/>
    <x v="1"/>
  </r>
  <r>
    <x v="3"/>
    <x v="3"/>
    <x v="637"/>
    <x v="2"/>
    <x v="42"/>
    <x v="15"/>
    <x v="5"/>
    <x v="34"/>
    <x v="124"/>
    <x v="1419"/>
    <x v="38"/>
    <x v="38"/>
    <x v="1"/>
  </r>
  <r>
    <x v="3"/>
    <x v="3"/>
    <x v="638"/>
    <x v="2"/>
    <x v="42"/>
    <x v="15"/>
    <x v="4"/>
    <x v="34"/>
    <x v="92"/>
    <x v="1098"/>
    <x v="46"/>
    <x v="46"/>
    <x v="1"/>
  </r>
  <r>
    <x v="3"/>
    <x v="3"/>
    <x v="639"/>
    <x v="2"/>
    <x v="42"/>
    <x v="15"/>
    <x v="0"/>
    <x v="29"/>
    <x v="82"/>
    <x v="847"/>
    <x v="31"/>
    <x v="31"/>
    <x v="1"/>
  </r>
  <r>
    <x v="3"/>
    <x v="3"/>
    <x v="640"/>
    <x v="2"/>
    <x v="42"/>
    <x v="15"/>
    <x v="3"/>
    <x v="38"/>
    <x v="139"/>
    <x v="1724"/>
    <x v="56"/>
    <x v="56"/>
    <x v="1"/>
  </r>
  <r>
    <x v="3"/>
    <x v="3"/>
    <x v="641"/>
    <x v="2"/>
    <x v="42"/>
    <x v="15"/>
    <x v="2"/>
    <x v="31"/>
    <x v="158"/>
    <x v="1647"/>
    <x v="41"/>
    <x v="41"/>
    <x v="1"/>
  </r>
  <r>
    <x v="3"/>
    <x v="3"/>
    <x v="642"/>
    <x v="2"/>
    <x v="42"/>
    <x v="15"/>
    <x v="1"/>
    <x v="30"/>
    <x v="188"/>
    <x v="1898"/>
    <x v="36"/>
    <x v="36"/>
    <x v="1"/>
  </r>
  <r>
    <x v="3"/>
    <x v="3"/>
    <x v="643"/>
    <x v="2"/>
    <x v="42"/>
    <x v="15"/>
    <x v="5"/>
    <x v="56"/>
    <x v="153"/>
    <x v="2364"/>
    <x v="41"/>
    <x v="41"/>
    <x v="1"/>
  </r>
  <r>
    <x v="3"/>
    <x v="3"/>
    <x v="644"/>
    <x v="2"/>
    <x v="42"/>
    <x v="15"/>
    <x v="4"/>
    <x v="52"/>
    <x v="125"/>
    <x v="1987"/>
    <x v="48"/>
    <x v="48"/>
    <x v="1"/>
  </r>
  <r>
    <x v="3"/>
    <x v="3"/>
    <x v="645"/>
    <x v="2"/>
    <x v="42"/>
    <x v="15"/>
    <x v="0"/>
    <x v="49"/>
    <x v="118"/>
    <x v="1825"/>
    <x v="34"/>
    <x v="34"/>
    <x v="1"/>
  </r>
  <r>
    <x v="3"/>
    <x v="3"/>
    <x v="646"/>
    <x v="2"/>
    <x v="42"/>
    <x v="15"/>
    <x v="3"/>
    <x v="60"/>
    <x v="153"/>
    <x v="2441"/>
    <x v="51"/>
    <x v="51"/>
    <x v="1"/>
  </r>
  <r>
    <x v="3"/>
    <x v="3"/>
    <x v="647"/>
    <x v="2"/>
    <x v="42"/>
    <x v="15"/>
    <x v="2"/>
    <x v="52"/>
    <x v="192"/>
    <x v="2575"/>
    <x v="40"/>
    <x v="40"/>
    <x v="1"/>
  </r>
  <r>
    <x v="3"/>
    <x v="3"/>
    <x v="648"/>
    <x v="2"/>
    <x v="42"/>
    <x v="15"/>
    <x v="1"/>
    <x v="49"/>
    <x v="197"/>
    <x v="2553"/>
    <x v="38"/>
    <x v="38"/>
    <x v="1"/>
  </r>
  <r>
    <x v="3"/>
    <x v="3"/>
    <x v="649"/>
    <x v="2"/>
    <x v="42"/>
    <x v="15"/>
    <x v="5"/>
    <x v="55"/>
    <x v="165"/>
    <x v="2436"/>
    <x v="40"/>
    <x v="40"/>
    <x v="1"/>
  </r>
  <r>
    <x v="3"/>
    <x v="3"/>
    <x v="650"/>
    <x v="2"/>
    <x v="42"/>
    <x v="15"/>
    <x v="4"/>
    <x v="52"/>
    <x v="150"/>
    <x v="2238"/>
    <x v="48"/>
    <x v="48"/>
    <x v="1"/>
  </r>
  <r>
    <x v="3"/>
    <x v="3"/>
    <x v="651"/>
    <x v="2"/>
    <x v="42"/>
    <x v="15"/>
    <x v="0"/>
    <x v="51"/>
    <x v="137"/>
    <x v="2086"/>
    <x v="36"/>
    <x v="36"/>
    <x v="1"/>
  </r>
  <r>
    <x v="3"/>
    <x v="3"/>
    <x v="652"/>
    <x v="2"/>
    <x v="42"/>
    <x v="15"/>
    <x v="3"/>
    <x v="58"/>
    <x v="199"/>
    <x v="2695"/>
    <x v="52"/>
    <x v="52"/>
    <x v="1"/>
  </r>
  <r>
    <x v="1"/>
    <x v="1"/>
    <x v="653"/>
    <x v="2"/>
    <x v="42"/>
    <x v="15"/>
    <x v="2"/>
    <x v="37"/>
    <x v="92"/>
    <x v="1178"/>
    <x v="56"/>
    <x v="56"/>
    <x v="1"/>
  </r>
  <r>
    <x v="1"/>
    <x v="1"/>
    <x v="654"/>
    <x v="2"/>
    <x v="42"/>
    <x v="15"/>
    <x v="1"/>
    <x v="34"/>
    <x v="56"/>
    <x v="615"/>
    <x v="33"/>
    <x v="33"/>
    <x v="1"/>
  </r>
  <r>
    <x v="1"/>
    <x v="1"/>
    <x v="655"/>
    <x v="2"/>
    <x v="42"/>
    <x v="15"/>
    <x v="5"/>
    <x v="26"/>
    <x v="45"/>
    <x v="343"/>
    <x v="37"/>
    <x v="37"/>
    <x v="1"/>
  </r>
  <r>
    <x v="1"/>
    <x v="1"/>
    <x v="656"/>
    <x v="2"/>
    <x v="42"/>
    <x v="15"/>
    <x v="4"/>
    <x v="31"/>
    <x v="9"/>
    <x v="64"/>
    <x v="37"/>
    <x v="37"/>
    <x v="1"/>
  </r>
  <r>
    <x v="1"/>
    <x v="1"/>
    <x v="657"/>
    <x v="1"/>
    <x v="37"/>
    <x v="40"/>
    <x v="0"/>
    <x v="47"/>
    <x v="26"/>
    <x v="373"/>
    <x v="31"/>
    <x v="31"/>
    <x v="1"/>
  </r>
  <r>
    <x v="1"/>
    <x v="1"/>
    <x v="658"/>
    <x v="1"/>
    <x v="37"/>
    <x v="40"/>
    <x v="3"/>
    <x v="36"/>
    <x v="50"/>
    <x v="563"/>
    <x v="30"/>
    <x v="30"/>
    <x v="1"/>
  </r>
  <r>
    <x v="1"/>
    <x v="1"/>
    <x v="659"/>
    <x v="1"/>
    <x v="37"/>
    <x v="40"/>
    <x v="2"/>
    <x v="35"/>
    <x v="100"/>
    <x v="1207"/>
    <x v="53"/>
    <x v="53"/>
    <x v="1"/>
  </r>
  <r>
    <x v="1"/>
    <x v="1"/>
    <x v="660"/>
    <x v="1"/>
    <x v="37"/>
    <x v="40"/>
    <x v="1"/>
    <x v="37"/>
    <x v="25"/>
    <x v="262"/>
    <x v="34"/>
    <x v="34"/>
    <x v="1"/>
  </r>
  <r>
    <x v="1"/>
    <x v="1"/>
    <x v="661"/>
    <x v="1"/>
    <x v="37"/>
    <x v="40"/>
    <x v="5"/>
    <x v="27"/>
    <x v="35"/>
    <x v="267"/>
    <x v="38"/>
    <x v="38"/>
    <x v="1"/>
  </r>
  <r>
    <x v="1"/>
    <x v="1"/>
    <x v="662"/>
    <x v="1"/>
    <x v="37"/>
    <x v="40"/>
    <x v="4"/>
    <x v="32"/>
    <x v="4"/>
    <x v="29"/>
    <x v="38"/>
    <x v="38"/>
    <x v="1"/>
  </r>
  <r>
    <x v="1"/>
    <x v="1"/>
    <x v="663"/>
    <x v="1"/>
    <x v="37"/>
    <x v="40"/>
    <x v="0"/>
    <x v="44"/>
    <x v="26"/>
    <x v="340"/>
    <x v="32"/>
    <x v="32"/>
    <x v="1"/>
  </r>
  <r>
    <x v="1"/>
    <x v="1"/>
    <x v="664"/>
    <x v="1"/>
    <x v="37"/>
    <x v="40"/>
    <x v="3"/>
    <x v="37"/>
    <x v="56"/>
    <x v="669"/>
    <x v="31"/>
    <x v="31"/>
    <x v="1"/>
  </r>
  <r>
    <x v="1"/>
    <x v="1"/>
    <x v="665"/>
    <x v="1"/>
    <x v="37"/>
    <x v="40"/>
    <x v="2"/>
    <x v="42"/>
    <x v="101"/>
    <x v="1412"/>
    <x v="56"/>
    <x v="56"/>
    <x v="1"/>
  </r>
  <r>
    <x v="1"/>
    <x v="1"/>
    <x v="666"/>
    <x v="1"/>
    <x v="37"/>
    <x v="40"/>
    <x v="1"/>
    <x v="40"/>
    <x v="27"/>
    <x v="327"/>
    <x v="35"/>
    <x v="35"/>
    <x v="1"/>
  </r>
  <r>
    <x v="1"/>
    <x v="1"/>
    <x v="667"/>
    <x v="1"/>
    <x v="37"/>
    <x v="40"/>
    <x v="5"/>
    <x v="29"/>
    <x v="40"/>
    <x v="340"/>
    <x v="40"/>
    <x v="40"/>
    <x v="1"/>
  </r>
  <r>
    <x v="1"/>
    <x v="1"/>
    <x v="668"/>
    <x v="1"/>
    <x v="37"/>
    <x v="40"/>
    <x v="4"/>
    <x v="36"/>
    <x v="3"/>
    <x v="12"/>
    <x v="37"/>
    <x v="37"/>
    <x v="1"/>
  </r>
  <r>
    <x v="1"/>
    <x v="1"/>
    <x v="669"/>
    <x v="1"/>
    <x v="37"/>
    <x v="40"/>
    <x v="0"/>
    <x v="51"/>
    <x v="10"/>
    <x v="154"/>
    <x v="26"/>
    <x v="26"/>
    <x v="1"/>
  </r>
  <r>
    <x v="1"/>
    <x v="1"/>
    <x v="670"/>
    <x v="1"/>
    <x v="37"/>
    <x v="40"/>
    <x v="3"/>
    <x v="40"/>
    <x v="33"/>
    <x v="411"/>
    <x v="21"/>
    <x v="21"/>
    <x v="1"/>
  </r>
  <r>
    <x v="1"/>
    <x v="1"/>
    <x v="671"/>
    <x v="1"/>
    <x v="37"/>
    <x v="40"/>
    <x v="2"/>
    <x v="39"/>
    <x v="102"/>
    <x v="1350"/>
    <x v="49"/>
    <x v="49"/>
    <x v="1"/>
  </r>
  <r>
    <x v="1"/>
    <x v="1"/>
    <x v="672"/>
    <x v="1"/>
    <x v="37"/>
    <x v="40"/>
    <x v="1"/>
    <x v="38"/>
    <x v="34"/>
    <x v="398"/>
    <x v="28"/>
    <x v="28"/>
    <x v="1"/>
  </r>
  <r>
    <x v="1"/>
    <x v="1"/>
    <x v="673"/>
    <x v="1"/>
    <x v="37"/>
    <x v="40"/>
    <x v="5"/>
    <x v="31"/>
    <x v="27"/>
    <x v="232"/>
    <x v="32"/>
    <x v="32"/>
    <x v="1"/>
  </r>
  <r>
    <x v="1"/>
    <x v="1"/>
    <x v="674"/>
    <x v="1"/>
    <x v="37"/>
    <x v="40"/>
    <x v="4"/>
    <x v="35"/>
    <x v="10"/>
    <x v="84"/>
    <x v="32"/>
    <x v="32"/>
    <x v="1"/>
  </r>
  <r>
    <x v="1"/>
    <x v="1"/>
    <x v="675"/>
    <x v="1"/>
    <x v="37"/>
    <x v="40"/>
    <x v="0"/>
    <x v="48"/>
    <x v="12"/>
    <x v="164"/>
    <x v="28"/>
    <x v="28"/>
    <x v="1"/>
  </r>
  <r>
    <x v="1"/>
    <x v="1"/>
    <x v="676"/>
    <x v="1"/>
    <x v="37"/>
    <x v="40"/>
    <x v="3"/>
    <x v="41"/>
    <x v="43"/>
    <x v="554"/>
    <x v="22"/>
    <x v="22"/>
    <x v="1"/>
  </r>
  <r>
    <x v="1"/>
    <x v="1"/>
    <x v="677"/>
    <x v="1"/>
    <x v="37"/>
    <x v="40"/>
    <x v="2"/>
    <x v="51"/>
    <x v="116"/>
    <x v="1859"/>
    <x v="49"/>
    <x v="49"/>
    <x v="1"/>
  </r>
  <r>
    <x v="1"/>
    <x v="1"/>
    <x v="678"/>
    <x v="1"/>
    <x v="37"/>
    <x v="40"/>
    <x v="1"/>
    <x v="47"/>
    <x v="42"/>
    <x v="634"/>
    <x v="26"/>
    <x v="26"/>
    <x v="1"/>
  </r>
  <r>
    <x v="1"/>
    <x v="1"/>
    <x v="679"/>
    <x v="1"/>
    <x v="37"/>
    <x v="40"/>
    <x v="5"/>
    <x v="45"/>
    <x v="31"/>
    <x v="444"/>
    <x v="32"/>
    <x v="32"/>
    <x v="1"/>
  </r>
  <r>
    <x v="1"/>
    <x v="1"/>
    <x v="680"/>
    <x v="1"/>
    <x v="37"/>
    <x v="40"/>
    <x v="4"/>
    <x v="44"/>
    <x v="19"/>
    <x v="241"/>
    <x v="33"/>
    <x v="33"/>
    <x v="1"/>
  </r>
  <r>
    <x v="1"/>
    <x v="1"/>
    <x v="681"/>
    <x v="1"/>
    <x v="37"/>
    <x v="40"/>
    <x v="0"/>
    <x v="52"/>
    <x v="21"/>
    <x v="338"/>
    <x v="28"/>
    <x v="28"/>
    <x v="1"/>
  </r>
  <r>
    <x v="1"/>
    <x v="1"/>
    <x v="682"/>
    <x v="1"/>
    <x v="37"/>
    <x v="40"/>
    <x v="3"/>
    <x v="57"/>
    <x v="52"/>
    <x v="964"/>
    <x v="31"/>
    <x v="31"/>
    <x v="1"/>
  </r>
  <r>
    <x v="1"/>
    <x v="1"/>
    <x v="683"/>
    <x v="1"/>
    <x v="37"/>
    <x v="40"/>
    <x v="2"/>
    <x v="57"/>
    <x v="115"/>
    <x v="1999"/>
    <x v="51"/>
    <x v="51"/>
    <x v="1"/>
  </r>
  <r>
    <x v="1"/>
    <x v="1"/>
    <x v="684"/>
    <x v="1"/>
    <x v="37"/>
    <x v="40"/>
    <x v="1"/>
    <x v="52"/>
    <x v="58"/>
    <x v="984"/>
    <x v="32"/>
    <x v="32"/>
    <x v="1"/>
  </r>
  <r>
    <x v="1"/>
    <x v="1"/>
    <x v="685"/>
    <x v="1"/>
    <x v="37"/>
    <x v="40"/>
    <x v="5"/>
    <x v="45"/>
    <x v="33"/>
    <x v="471"/>
    <x v="36"/>
    <x v="36"/>
    <x v="1"/>
  </r>
  <r>
    <x v="1"/>
    <x v="1"/>
    <x v="686"/>
    <x v="1"/>
    <x v="37"/>
    <x v="40"/>
    <x v="4"/>
    <x v="45"/>
    <x v="28"/>
    <x v="399"/>
    <x v="39"/>
    <x v="39"/>
    <x v="1"/>
  </r>
  <r>
    <x v="1"/>
    <x v="1"/>
    <x v="687"/>
    <x v="1"/>
    <x v="37"/>
    <x v="40"/>
    <x v="0"/>
    <x v="53"/>
    <x v="34"/>
    <x v="589"/>
    <x v="32"/>
    <x v="32"/>
    <x v="1"/>
  </r>
  <r>
    <x v="1"/>
    <x v="1"/>
    <x v="688"/>
    <x v="1"/>
    <x v="37"/>
    <x v="40"/>
    <x v="3"/>
    <x v="58"/>
    <x v="67"/>
    <x v="1269"/>
    <x v="28"/>
    <x v="28"/>
    <x v="1"/>
  </r>
  <r>
    <x v="1"/>
    <x v="1"/>
    <x v="689"/>
    <x v="1"/>
    <x v="37"/>
    <x v="40"/>
    <x v="2"/>
    <x v="53"/>
    <x v="125"/>
    <x v="2011"/>
    <x v="53"/>
    <x v="53"/>
    <x v="1"/>
  </r>
  <r>
    <x v="1"/>
    <x v="1"/>
    <x v="690"/>
    <x v="1"/>
    <x v="37"/>
    <x v="40"/>
    <x v="1"/>
    <x v="48"/>
    <x v="74"/>
    <x v="1197"/>
    <x v="36"/>
    <x v="36"/>
    <x v="1"/>
  </r>
  <r>
    <x v="1"/>
    <x v="1"/>
    <x v="691"/>
    <x v="1"/>
    <x v="37"/>
    <x v="40"/>
    <x v="5"/>
    <x v="44"/>
    <x v="48"/>
    <x v="676"/>
    <x v="36"/>
    <x v="36"/>
    <x v="1"/>
  </r>
  <r>
    <x v="1"/>
    <x v="1"/>
    <x v="692"/>
    <x v="1"/>
    <x v="37"/>
    <x v="40"/>
    <x v="4"/>
    <x v="44"/>
    <x v="33"/>
    <x v="460"/>
    <x v="39"/>
    <x v="39"/>
    <x v="1"/>
  </r>
  <r>
    <x v="1"/>
    <x v="1"/>
    <x v="693"/>
    <x v="1"/>
    <x v="37"/>
    <x v="40"/>
    <x v="0"/>
    <x v="57"/>
    <x v="49"/>
    <x v="907"/>
    <x v="34"/>
    <x v="34"/>
    <x v="1"/>
  </r>
  <r>
    <x v="1"/>
    <x v="1"/>
    <x v="694"/>
    <x v="1"/>
    <x v="37"/>
    <x v="40"/>
    <x v="3"/>
    <x v="57"/>
    <x v="80"/>
    <x v="1509"/>
    <x v="28"/>
    <x v="28"/>
    <x v="1"/>
  </r>
  <r>
    <x v="1"/>
    <x v="1"/>
    <x v="695"/>
    <x v="1"/>
    <x v="37"/>
    <x v="40"/>
    <x v="2"/>
    <x v="53"/>
    <x v="137"/>
    <x v="2132"/>
    <x v="52"/>
    <x v="52"/>
    <x v="1"/>
  </r>
  <r>
    <x v="1"/>
    <x v="1"/>
    <x v="696"/>
    <x v="1"/>
    <x v="37"/>
    <x v="40"/>
    <x v="1"/>
    <x v="47"/>
    <x v="62"/>
    <x v="969"/>
    <x v="33"/>
    <x v="33"/>
    <x v="1"/>
  </r>
  <r>
    <x v="1"/>
    <x v="1"/>
    <x v="697"/>
    <x v="1"/>
    <x v="37"/>
    <x v="40"/>
    <x v="5"/>
    <x v="47"/>
    <x v="50"/>
    <x v="763"/>
    <x v="41"/>
    <x v="41"/>
    <x v="1"/>
  </r>
  <r>
    <x v="1"/>
    <x v="1"/>
    <x v="698"/>
    <x v="1"/>
    <x v="37"/>
    <x v="40"/>
    <x v="4"/>
    <x v="46"/>
    <x v="47"/>
    <x v="698"/>
    <x v="40"/>
    <x v="40"/>
    <x v="1"/>
  </r>
  <r>
    <x v="1"/>
    <x v="1"/>
    <x v="699"/>
    <x v="1"/>
    <x v="37"/>
    <x v="40"/>
    <x v="0"/>
    <x v="54"/>
    <x v="35"/>
    <x v="618"/>
    <x v="32"/>
    <x v="32"/>
    <x v="1"/>
  </r>
  <r>
    <x v="1"/>
    <x v="1"/>
    <x v="700"/>
    <x v="1"/>
    <x v="37"/>
    <x v="40"/>
    <x v="3"/>
    <x v="57"/>
    <x v="78"/>
    <x v="1460"/>
    <x v="29"/>
    <x v="29"/>
    <x v="1"/>
  </r>
  <r>
    <x v="1"/>
    <x v="1"/>
    <x v="701"/>
    <x v="1"/>
    <x v="37"/>
    <x v="40"/>
    <x v="2"/>
    <x v="55"/>
    <x v="123"/>
    <x v="2046"/>
    <x v="46"/>
    <x v="46"/>
    <x v="1"/>
  </r>
  <r>
    <x v="1"/>
    <x v="1"/>
    <x v="702"/>
    <x v="1"/>
    <x v="37"/>
    <x v="40"/>
    <x v="1"/>
    <x v="41"/>
    <x v="66"/>
    <x v="907"/>
    <x v="26"/>
    <x v="26"/>
    <x v="1"/>
  </r>
  <r>
    <x v="1"/>
    <x v="1"/>
    <x v="703"/>
    <x v="1"/>
    <x v="37"/>
    <x v="40"/>
    <x v="5"/>
    <x v="34"/>
    <x v="39"/>
    <x v="405"/>
    <x v="31"/>
    <x v="31"/>
    <x v="1"/>
  </r>
  <r>
    <x v="1"/>
    <x v="1"/>
    <x v="704"/>
    <x v="1"/>
    <x v="37"/>
    <x v="40"/>
    <x v="4"/>
    <x v="34"/>
    <x v="42"/>
    <x v="439"/>
    <x v="33"/>
    <x v="33"/>
    <x v="1"/>
  </r>
  <r>
    <x v="1"/>
    <x v="1"/>
    <x v="705"/>
    <x v="1"/>
    <x v="37"/>
    <x v="40"/>
    <x v="0"/>
    <x v="43"/>
    <x v="26"/>
    <x v="331"/>
    <x v="31"/>
    <x v="31"/>
    <x v="1"/>
  </r>
  <r>
    <x v="1"/>
    <x v="1"/>
    <x v="706"/>
    <x v="1"/>
    <x v="37"/>
    <x v="40"/>
    <x v="3"/>
    <x v="48"/>
    <x v="50"/>
    <x v="779"/>
    <x v="26"/>
    <x v="26"/>
    <x v="1"/>
  </r>
  <r>
    <x v="1"/>
    <x v="1"/>
    <x v="707"/>
    <x v="1"/>
    <x v="37"/>
    <x v="40"/>
    <x v="2"/>
    <x v="48"/>
    <x v="86"/>
    <x v="1376"/>
    <x v="48"/>
    <x v="48"/>
    <x v="1"/>
  </r>
  <r>
    <x v="1"/>
    <x v="1"/>
    <x v="708"/>
    <x v="1"/>
    <x v="37"/>
    <x v="40"/>
    <x v="1"/>
    <x v="40"/>
    <x v="52"/>
    <x v="660"/>
    <x v="28"/>
    <x v="28"/>
    <x v="1"/>
  </r>
  <r>
    <x v="1"/>
    <x v="1"/>
    <x v="709"/>
    <x v="1"/>
    <x v="37"/>
    <x v="40"/>
    <x v="5"/>
    <x v="41"/>
    <x v="24"/>
    <x v="284"/>
    <x v="31"/>
    <x v="31"/>
    <x v="1"/>
  </r>
  <r>
    <x v="1"/>
    <x v="1"/>
    <x v="710"/>
    <x v="1"/>
    <x v="37"/>
    <x v="40"/>
    <x v="4"/>
    <x v="41"/>
    <x v="19"/>
    <x v="210"/>
    <x v="31"/>
    <x v="31"/>
    <x v="1"/>
  </r>
  <r>
    <x v="1"/>
    <x v="1"/>
    <x v="711"/>
    <x v="1"/>
    <x v="37"/>
    <x v="40"/>
    <x v="0"/>
    <x v="49"/>
    <x v="17"/>
    <x v="254"/>
    <x v="29"/>
    <x v="29"/>
    <x v="1"/>
  </r>
  <r>
    <x v="1"/>
    <x v="1"/>
    <x v="712"/>
    <x v="1"/>
    <x v="37"/>
    <x v="40"/>
    <x v="3"/>
    <x v="53"/>
    <x v="52"/>
    <x v="893"/>
    <x v="25"/>
    <x v="25"/>
    <x v="1"/>
  </r>
  <r>
    <x v="1"/>
    <x v="1"/>
    <x v="713"/>
    <x v="1"/>
    <x v="37"/>
    <x v="40"/>
    <x v="2"/>
    <x v="59"/>
    <x v="94"/>
    <x v="1771"/>
    <x v="51"/>
    <x v="51"/>
    <x v="1"/>
  </r>
  <r>
    <x v="1"/>
    <x v="1"/>
    <x v="714"/>
    <x v="1"/>
    <x v="37"/>
    <x v="40"/>
    <x v="1"/>
    <x v="48"/>
    <x v="49"/>
    <x v="765"/>
    <x v="33"/>
    <x v="33"/>
    <x v="1"/>
  </r>
  <r>
    <x v="1"/>
    <x v="1"/>
    <x v="715"/>
    <x v="1"/>
    <x v="37"/>
    <x v="40"/>
    <x v="5"/>
    <x v="48"/>
    <x v="44"/>
    <x v="680"/>
    <x v="39"/>
    <x v="39"/>
    <x v="1"/>
  </r>
  <r>
    <x v="1"/>
    <x v="1"/>
    <x v="716"/>
    <x v="1"/>
    <x v="37"/>
    <x v="40"/>
    <x v="4"/>
    <x v="49"/>
    <x v="33"/>
    <x v="520"/>
    <x v="37"/>
    <x v="37"/>
    <x v="1"/>
  </r>
  <r>
    <x v="1"/>
    <x v="1"/>
    <x v="717"/>
    <x v="1"/>
    <x v="37"/>
    <x v="40"/>
    <x v="0"/>
    <x v="57"/>
    <x v="31"/>
    <x v="585"/>
    <x v="34"/>
    <x v="34"/>
    <x v="1"/>
  </r>
  <r>
    <x v="1"/>
    <x v="1"/>
    <x v="718"/>
    <x v="1"/>
    <x v="37"/>
    <x v="40"/>
    <x v="3"/>
    <x v="64"/>
    <x v="54"/>
    <x v="1114"/>
    <x v="30"/>
    <x v="30"/>
    <x v="1"/>
  </r>
  <r>
    <x v="1"/>
    <x v="1"/>
    <x v="719"/>
    <x v="1"/>
    <x v="37"/>
    <x v="40"/>
    <x v="2"/>
    <x v="60"/>
    <x v="104"/>
    <x v="1942"/>
    <x v="55"/>
    <x v="55"/>
    <x v="1"/>
  </r>
  <r>
    <x v="1"/>
    <x v="1"/>
    <x v="720"/>
    <x v="1"/>
    <x v="37"/>
    <x v="40"/>
    <x v="1"/>
    <x v="48"/>
    <x v="57"/>
    <x v="895"/>
    <x v="31"/>
    <x v="31"/>
    <x v="1"/>
  </r>
  <r>
    <x v="1"/>
    <x v="1"/>
    <x v="721"/>
    <x v="1"/>
    <x v="37"/>
    <x v="40"/>
    <x v="5"/>
    <x v="48"/>
    <x v="54"/>
    <x v="837"/>
    <x v="39"/>
    <x v="39"/>
    <x v="1"/>
  </r>
  <r>
    <x v="1"/>
    <x v="1"/>
    <x v="722"/>
    <x v="1"/>
    <x v="37"/>
    <x v="40"/>
    <x v="4"/>
    <x v="50"/>
    <x v="42"/>
    <x v="678"/>
    <x v="39"/>
    <x v="39"/>
    <x v="1"/>
  </r>
  <r>
    <x v="1"/>
    <x v="1"/>
    <x v="723"/>
    <x v="1"/>
    <x v="37"/>
    <x v="40"/>
    <x v="0"/>
    <x v="56"/>
    <x v="36"/>
    <x v="660"/>
    <x v="32"/>
    <x v="32"/>
    <x v="1"/>
  </r>
  <r>
    <x v="1"/>
    <x v="1"/>
    <x v="0"/>
    <x v="1"/>
    <x v="37"/>
    <x v="40"/>
    <x v="3"/>
    <x v="61"/>
    <x v="68"/>
    <x v="1362"/>
    <x v="29"/>
    <x v="29"/>
    <x v="1"/>
  </r>
  <r>
    <x v="5"/>
    <x v="0"/>
    <x v="1"/>
    <x v="1"/>
    <x v="37"/>
    <x v="40"/>
    <x v="2"/>
    <x v="25"/>
    <x v="102"/>
    <x v="929"/>
    <x v="37"/>
    <x v="37"/>
    <x v="1"/>
  </r>
  <r>
    <x v="5"/>
    <x v="0"/>
    <x v="2"/>
    <x v="1"/>
    <x v="37"/>
    <x v="40"/>
    <x v="1"/>
    <x v="37"/>
    <x v="98"/>
    <x v="1241"/>
    <x v="23"/>
    <x v="23"/>
    <x v="1"/>
  </r>
  <r>
    <x v="5"/>
    <x v="0"/>
    <x v="3"/>
    <x v="1"/>
    <x v="37"/>
    <x v="40"/>
    <x v="5"/>
    <x v="34"/>
    <x v="98"/>
    <x v="1154"/>
    <x v="40"/>
    <x v="40"/>
    <x v="1"/>
  </r>
  <r>
    <x v="5"/>
    <x v="0"/>
    <x v="4"/>
    <x v="1"/>
    <x v="37"/>
    <x v="40"/>
    <x v="4"/>
    <x v="36"/>
    <x v="72"/>
    <x v="887"/>
    <x v="36"/>
    <x v="36"/>
    <x v="1"/>
  </r>
  <r>
    <x v="5"/>
    <x v="0"/>
    <x v="5"/>
    <x v="4"/>
    <x v="27"/>
    <x v="26"/>
    <x v="0"/>
    <x v="40"/>
    <x v="58"/>
    <x v="762"/>
    <x v="51"/>
    <x v="51"/>
    <x v="1"/>
  </r>
  <r>
    <x v="5"/>
    <x v="0"/>
    <x v="6"/>
    <x v="4"/>
    <x v="27"/>
    <x v="26"/>
    <x v="3"/>
    <x v="34"/>
    <x v="108"/>
    <x v="1266"/>
    <x v="16"/>
    <x v="16"/>
    <x v="1"/>
  </r>
  <r>
    <x v="5"/>
    <x v="0"/>
    <x v="7"/>
    <x v="4"/>
    <x v="27"/>
    <x v="26"/>
    <x v="2"/>
    <x v="27"/>
    <x v="137"/>
    <x v="1295"/>
    <x v="36"/>
    <x v="36"/>
    <x v="1"/>
  </r>
  <r>
    <x v="5"/>
    <x v="0"/>
    <x v="8"/>
    <x v="4"/>
    <x v="27"/>
    <x v="26"/>
    <x v="1"/>
    <x v="36"/>
    <x v="108"/>
    <x v="1323"/>
    <x v="26"/>
    <x v="26"/>
    <x v="1"/>
  </r>
  <r>
    <x v="5"/>
    <x v="0"/>
    <x v="9"/>
    <x v="4"/>
    <x v="27"/>
    <x v="26"/>
    <x v="5"/>
    <x v="34"/>
    <x v="100"/>
    <x v="1177"/>
    <x v="39"/>
    <x v="39"/>
    <x v="1"/>
  </r>
  <r>
    <x v="5"/>
    <x v="0"/>
    <x v="10"/>
    <x v="4"/>
    <x v="27"/>
    <x v="26"/>
    <x v="4"/>
    <x v="37"/>
    <x v="61"/>
    <x v="753"/>
    <x v="32"/>
    <x v="32"/>
    <x v="1"/>
  </r>
  <r>
    <x v="5"/>
    <x v="0"/>
    <x v="11"/>
    <x v="4"/>
    <x v="27"/>
    <x v="26"/>
    <x v="0"/>
    <x v="39"/>
    <x v="41"/>
    <x v="496"/>
    <x v="56"/>
    <x v="56"/>
    <x v="1"/>
  </r>
  <r>
    <x v="5"/>
    <x v="0"/>
    <x v="12"/>
    <x v="4"/>
    <x v="27"/>
    <x v="26"/>
    <x v="3"/>
    <x v="34"/>
    <x v="97"/>
    <x v="1147"/>
    <x v="20"/>
    <x v="20"/>
    <x v="1"/>
  </r>
  <r>
    <x v="5"/>
    <x v="0"/>
    <x v="13"/>
    <x v="4"/>
    <x v="27"/>
    <x v="26"/>
    <x v="2"/>
    <x v="36"/>
    <x v="138"/>
    <x v="1648"/>
    <x v="41"/>
    <x v="41"/>
    <x v="1"/>
  </r>
  <r>
    <x v="5"/>
    <x v="0"/>
    <x v="14"/>
    <x v="4"/>
    <x v="27"/>
    <x v="26"/>
    <x v="1"/>
    <x v="43"/>
    <x v="101"/>
    <x v="1441"/>
    <x v="26"/>
    <x v="26"/>
    <x v="1"/>
  </r>
  <r>
    <x v="5"/>
    <x v="0"/>
    <x v="15"/>
    <x v="4"/>
    <x v="27"/>
    <x v="26"/>
    <x v="5"/>
    <x v="45"/>
    <x v="86"/>
    <x v="1300"/>
    <x v="39"/>
    <x v="39"/>
    <x v="1"/>
  </r>
  <r>
    <x v="5"/>
    <x v="0"/>
    <x v="16"/>
    <x v="4"/>
    <x v="27"/>
    <x v="26"/>
    <x v="4"/>
    <x v="43"/>
    <x v="69"/>
    <x v="1005"/>
    <x v="33"/>
    <x v="33"/>
    <x v="1"/>
  </r>
  <r>
    <x v="5"/>
    <x v="0"/>
    <x v="17"/>
    <x v="4"/>
    <x v="27"/>
    <x v="26"/>
    <x v="0"/>
    <x v="48"/>
    <x v="36"/>
    <x v="552"/>
    <x v="56"/>
    <x v="56"/>
    <x v="1"/>
  </r>
  <r>
    <x v="5"/>
    <x v="0"/>
    <x v="18"/>
    <x v="4"/>
    <x v="27"/>
    <x v="26"/>
    <x v="3"/>
    <x v="47"/>
    <x v="77"/>
    <x v="1226"/>
    <x v="20"/>
    <x v="20"/>
    <x v="1"/>
  </r>
  <r>
    <x v="5"/>
    <x v="0"/>
    <x v="19"/>
    <x v="4"/>
    <x v="27"/>
    <x v="26"/>
    <x v="2"/>
    <x v="51"/>
    <x v="123"/>
    <x v="1939"/>
    <x v="37"/>
    <x v="37"/>
    <x v="1"/>
  </r>
  <r>
    <x v="5"/>
    <x v="0"/>
    <x v="20"/>
    <x v="4"/>
    <x v="27"/>
    <x v="26"/>
    <x v="1"/>
    <x v="55"/>
    <x v="84"/>
    <x v="1522"/>
    <x v="24"/>
    <x v="24"/>
    <x v="1"/>
  </r>
  <r>
    <x v="5"/>
    <x v="0"/>
    <x v="21"/>
    <x v="4"/>
    <x v="27"/>
    <x v="26"/>
    <x v="5"/>
    <x v="54"/>
    <x v="101"/>
    <x v="1740"/>
    <x v="39"/>
    <x v="39"/>
    <x v="1"/>
  </r>
  <r>
    <x v="5"/>
    <x v="0"/>
    <x v="22"/>
    <x v="4"/>
    <x v="27"/>
    <x v="26"/>
    <x v="4"/>
    <x v="52"/>
    <x v="62"/>
    <x v="1065"/>
    <x v="32"/>
    <x v="32"/>
    <x v="1"/>
  </r>
  <r>
    <x v="5"/>
    <x v="0"/>
    <x v="23"/>
    <x v="4"/>
    <x v="27"/>
    <x v="26"/>
    <x v="0"/>
    <x v="56"/>
    <x v="41"/>
    <x v="758"/>
    <x v="52"/>
    <x v="52"/>
    <x v="1"/>
  </r>
  <r>
    <x v="5"/>
    <x v="0"/>
    <x v="24"/>
    <x v="4"/>
    <x v="27"/>
    <x v="26"/>
    <x v="3"/>
    <x v="71"/>
    <x v="78"/>
    <x v="1757"/>
    <x v="20"/>
    <x v="20"/>
    <x v="1"/>
  </r>
  <r>
    <x v="5"/>
    <x v="0"/>
    <x v="25"/>
    <x v="4"/>
    <x v="27"/>
    <x v="26"/>
    <x v="2"/>
    <x v="51"/>
    <x v="128"/>
    <x v="2000"/>
    <x v="44"/>
    <x v="44"/>
    <x v="1"/>
  </r>
  <r>
    <x v="5"/>
    <x v="0"/>
    <x v="26"/>
    <x v="4"/>
    <x v="27"/>
    <x v="26"/>
    <x v="1"/>
    <x v="53"/>
    <x v="86"/>
    <x v="1499"/>
    <x v="29"/>
    <x v="29"/>
    <x v="1"/>
  </r>
  <r>
    <x v="5"/>
    <x v="0"/>
    <x v="27"/>
    <x v="4"/>
    <x v="27"/>
    <x v="26"/>
    <x v="5"/>
    <x v="56"/>
    <x v="97"/>
    <x v="1736"/>
    <x v="43"/>
    <x v="43"/>
    <x v="1"/>
  </r>
  <r>
    <x v="5"/>
    <x v="0"/>
    <x v="28"/>
    <x v="4"/>
    <x v="27"/>
    <x v="26"/>
    <x v="4"/>
    <x v="50"/>
    <x v="74"/>
    <x v="1238"/>
    <x v="36"/>
    <x v="36"/>
    <x v="1"/>
  </r>
  <r>
    <x v="5"/>
    <x v="0"/>
    <x v="29"/>
    <x v="4"/>
    <x v="27"/>
    <x v="26"/>
    <x v="0"/>
    <x v="53"/>
    <x v="49"/>
    <x v="847"/>
    <x v="56"/>
    <x v="56"/>
    <x v="1"/>
  </r>
  <r>
    <x v="5"/>
    <x v="0"/>
    <x v="30"/>
    <x v="4"/>
    <x v="27"/>
    <x v="26"/>
    <x v="3"/>
    <x v="71"/>
    <x v="111"/>
    <x v="2241"/>
    <x v="21"/>
    <x v="21"/>
    <x v="1"/>
  </r>
  <r>
    <x v="5"/>
    <x v="0"/>
    <x v="31"/>
    <x v="4"/>
    <x v="27"/>
    <x v="26"/>
    <x v="2"/>
    <x v="49"/>
    <x v="165"/>
    <x v="2294"/>
    <x v="43"/>
    <x v="43"/>
    <x v="1"/>
  </r>
  <r>
    <x v="5"/>
    <x v="0"/>
    <x v="32"/>
    <x v="4"/>
    <x v="27"/>
    <x v="26"/>
    <x v="1"/>
    <x v="55"/>
    <x v="143"/>
    <x v="2243"/>
    <x v="27"/>
    <x v="27"/>
    <x v="1"/>
  </r>
  <r>
    <x v="5"/>
    <x v="0"/>
    <x v="33"/>
    <x v="4"/>
    <x v="27"/>
    <x v="26"/>
    <x v="5"/>
    <x v="55"/>
    <x v="143"/>
    <x v="2243"/>
    <x v="45"/>
    <x v="45"/>
    <x v="1"/>
  </r>
  <r>
    <x v="5"/>
    <x v="0"/>
    <x v="34"/>
    <x v="4"/>
    <x v="27"/>
    <x v="26"/>
    <x v="4"/>
    <x v="51"/>
    <x v="92"/>
    <x v="1552"/>
    <x v="37"/>
    <x v="37"/>
    <x v="1"/>
  </r>
  <r>
    <x v="5"/>
    <x v="0"/>
    <x v="35"/>
    <x v="4"/>
    <x v="27"/>
    <x v="26"/>
    <x v="0"/>
    <x v="52"/>
    <x v="67"/>
    <x v="1150"/>
    <x v="60"/>
    <x v="60"/>
    <x v="1"/>
  </r>
  <r>
    <x v="5"/>
    <x v="0"/>
    <x v="36"/>
    <x v="4"/>
    <x v="27"/>
    <x v="26"/>
    <x v="3"/>
    <x v="66"/>
    <x v="151"/>
    <x v="2531"/>
    <x v="26"/>
    <x v="26"/>
    <x v="1"/>
  </r>
  <r>
    <x v="5"/>
    <x v="0"/>
    <x v="37"/>
    <x v="4"/>
    <x v="27"/>
    <x v="26"/>
    <x v="2"/>
    <x v="51"/>
    <x v="188"/>
    <x v="2527"/>
    <x v="39"/>
    <x v="39"/>
    <x v="1"/>
  </r>
  <r>
    <x v="5"/>
    <x v="0"/>
    <x v="38"/>
    <x v="4"/>
    <x v="27"/>
    <x v="26"/>
    <x v="1"/>
    <x v="54"/>
    <x v="151"/>
    <x v="2297"/>
    <x v="22"/>
    <x v="22"/>
    <x v="1"/>
  </r>
  <r>
    <x v="5"/>
    <x v="0"/>
    <x v="39"/>
    <x v="4"/>
    <x v="27"/>
    <x v="26"/>
    <x v="5"/>
    <x v="54"/>
    <x v="123"/>
    <x v="2015"/>
    <x v="39"/>
    <x v="39"/>
    <x v="1"/>
  </r>
  <r>
    <x v="5"/>
    <x v="0"/>
    <x v="40"/>
    <x v="4"/>
    <x v="27"/>
    <x v="26"/>
    <x v="4"/>
    <x v="48"/>
    <x v="98"/>
    <x v="1551"/>
    <x v="35"/>
    <x v="35"/>
    <x v="1"/>
  </r>
  <r>
    <x v="5"/>
    <x v="0"/>
    <x v="41"/>
    <x v="4"/>
    <x v="27"/>
    <x v="26"/>
    <x v="0"/>
    <x v="53"/>
    <x v="110"/>
    <x v="1842"/>
    <x v="56"/>
    <x v="56"/>
    <x v="1"/>
  </r>
  <r>
    <x v="5"/>
    <x v="0"/>
    <x v="42"/>
    <x v="4"/>
    <x v="27"/>
    <x v="26"/>
    <x v="3"/>
    <x v="71"/>
    <x v="125"/>
    <x v="2389"/>
    <x v="16"/>
    <x v="16"/>
    <x v="1"/>
  </r>
  <r>
    <x v="5"/>
    <x v="0"/>
    <x v="43"/>
    <x v="4"/>
    <x v="27"/>
    <x v="26"/>
    <x v="2"/>
    <x v="55"/>
    <x v="183"/>
    <x v="2561"/>
    <x v="39"/>
    <x v="39"/>
    <x v="1"/>
  </r>
  <r>
    <x v="5"/>
    <x v="0"/>
    <x v="44"/>
    <x v="4"/>
    <x v="27"/>
    <x v="26"/>
    <x v="1"/>
    <x v="57"/>
    <x v="159"/>
    <x v="2429"/>
    <x v="25"/>
    <x v="25"/>
    <x v="1"/>
  </r>
  <r>
    <x v="5"/>
    <x v="0"/>
    <x v="45"/>
    <x v="4"/>
    <x v="27"/>
    <x v="26"/>
    <x v="5"/>
    <x v="53"/>
    <x v="131"/>
    <x v="2081"/>
    <x v="38"/>
    <x v="38"/>
    <x v="1"/>
  </r>
  <r>
    <x v="5"/>
    <x v="0"/>
    <x v="46"/>
    <x v="4"/>
    <x v="27"/>
    <x v="26"/>
    <x v="4"/>
    <x v="57"/>
    <x v="104"/>
    <x v="1868"/>
    <x v="33"/>
    <x v="33"/>
    <x v="1"/>
  </r>
  <r>
    <x v="5"/>
    <x v="0"/>
    <x v="47"/>
    <x v="4"/>
    <x v="27"/>
    <x v="26"/>
    <x v="0"/>
    <x v="61"/>
    <x v="118"/>
    <x v="2115"/>
    <x v="54"/>
    <x v="54"/>
    <x v="1"/>
  </r>
  <r>
    <x v="5"/>
    <x v="0"/>
    <x v="48"/>
    <x v="4"/>
    <x v="27"/>
    <x v="26"/>
    <x v="3"/>
    <x v="71"/>
    <x v="90"/>
    <x v="1964"/>
    <x v="20"/>
    <x v="20"/>
    <x v="1"/>
  </r>
  <r>
    <x v="5"/>
    <x v="0"/>
    <x v="49"/>
    <x v="4"/>
    <x v="27"/>
    <x v="26"/>
    <x v="2"/>
    <x v="49"/>
    <x v="151"/>
    <x v="2172"/>
    <x v="34"/>
    <x v="34"/>
    <x v="1"/>
  </r>
  <r>
    <x v="5"/>
    <x v="0"/>
    <x v="50"/>
    <x v="4"/>
    <x v="27"/>
    <x v="26"/>
    <x v="1"/>
    <x v="54"/>
    <x v="140"/>
    <x v="2190"/>
    <x v="20"/>
    <x v="20"/>
    <x v="1"/>
  </r>
  <r>
    <x v="5"/>
    <x v="0"/>
    <x v="51"/>
    <x v="4"/>
    <x v="27"/>
    <x v="26"/>
    <x v="5"/>
    <x v="50"/>
    <x v="98"/>
    <x v="1603"/>
    <x v="36"/>
    <x v="36"/>
    <x v="1"/>
  </r>
  <r>
    <x v="5"/>
    <x v="0"/>
    <x v="52"/>
    <x v="4"/>
    <x v="27"/>
    <x v="26"/>
    <x v="4"/>
    <x v="51"/>
    <x v="93"/>
    <x v="1567"/>
    <x v="30"/>
    <x v="30"/>
    <x v="1"/>
  </r>
  <r>
    <x v="5"/>
    <x v="0"/>
    <x v="53"/>
    <x v="4"/>
    <x v="27"/>
    <x v="26"/>
    <x v="0"/>
    <x v="60"/>
    <x v="101"/>
    <x v="1890"/>
    <x v="47"/>
    <x v="47"/>
    <x v="1"/>
  </r>
  <r>
    <x v="5"/>
    <x v="0"/>
    <x v="54"/>
    <x v="4"/>
    <x v="27"/>
    <x v="26"/>
    <x v="3"/>
    <x v="67"/>
    <x v="94"/>
    <x v="1950"/>
    <x v="16"/>
    <x v="16"/>
    <x v="1"/>
  </r>
  <r>
    <x v="5"/>
    <x v="0"/>
    <x v="55"/>
    <x v="4"/>
    <x v="27"/>
    <x v="26"/>
    <x v="2"/>
    <x v="49"/>
    <x v="118"/>
    <x v="1825"/>
    <x v="35"/>
    <x v="35"/>
    <x v="1"/>
  </r>
  <r>
    <x v="5"/>
    <x v="0"/>
    <x v="56"/>
    <x v="4"/>
    <x v="27"/>
    <x v="26"/>
    <x v="1"/>
    <x v="52"/>
    <x v="143"/>
    <x v="2171"/>
    <x v="21"/>
    <x v="21"/>
    <x v="1"/>
  </r>
  <r>
    <x v="5"/>
    <x v="0"/>
    <x v="57"/>
    <x v="4"/>
    <x v="27"/>
    <x v="26"/>
    <x v="5"/>
    <x v="47"/>
    <x v="91"/>
    <x v="1414"/>
    <x v="31"/>
    <x v="31"/>
    <x v="1"/>
  </r>
  <r>
    <x v="5"/>
    <x v="0"/>
    <x v="58"/>
    <x v="4"/>
    <x v="27"/>
    <x v="26"/>
    <x v="4"/>
    <x v="47"/>
    <x v="87"/>
    <x v="1368"/>
    <x v="28"/>
    <x v="28"/>
    <x v="1"/>
  </r>
  <r>
    <x v="5"/>
    <x v="0"/>
    <x v="59"/>
    <x v="4"/>
    <x v="27"/>
    <x v="26"/>
    <x v="0"/>
    <x v="56"/>
    <x v="67"/>
    <x v="1229"/>
    <x v="47"/>
    <x v="47"/>
    <x v="1"/>
  </r>
  <r>
    <x v="5"/>
    <x v="0"/>
    <x v="60"/>
    <x v="4"/>
    <x v="27"/>
    <x v="26"/>
    <x v="3"/>
    <x v="61"/>
    <x v="77"/>
    <x v="1539"/>
    <x v="11"/>
    <x v="11"/>
    <x v="1"/>
  </r>
  <r>
    <x v="5"/>
    <x v="0"/>
    <x v="61"/>
    <x v="4"/>
    <x v="27"/>
    <x v="26"/>
    <x v="2"/>
    <x v="50"/>
    <x v="134"/>
    <x v="2037"/>
    <x v="34"/>
    <x v="34"/>
    <x v="1"/>
  </r>
  <r>
    <x v="5"/>
    <x v="0"/>
    <x v="62"/>
    <x v="4"/>
    <x v="27"/>
    <x v="26"/>
    <x v="1"/>
    <x v="57"/>
    <x v="129"/>
    <x v="2154"/>
    <x v="20"/>
    <x v="20"/>
    <x v="1"/>
  </r>
  <r>
    <x v="5"/>
    <x v="0"/>
    <x v="63"/>
    <x v="4"/>
    <x v="27"/>
    <x v="26"/>
    <x v="5"/>
    <x v="48"/>
    <x v="88"/>
    <x v="1400"/>
    <x v="32"/>
    <x v="32"/>
    <x v="1"/>
  </r>
  <r>
    <x v="5"/>
    <x v="0"/>
    <x v="64"/>
    <x v="4"/>
    <x v="27"/>
    <x v="26"/>
    <x v="4"/>
    <x v="49"/>
    <x v="90"/>
    <x v="1455"/>
    <x v="27"/>
    <x v="27"/>
    <x v="1"/>
  </r>
  <r>
    <x v="5"/>
    <x v="0"/>
    <x v="65"/>
    <x v="4"/>
    <x v="27"/>
    <x v="26"/>
    <x v="0"/>
    <x v="57"/>
    <x v="73"/>
    <x v="1358"/>
    <x v="50"/>
    <x v="50"/>
    <x v="1"/>
  </r>
  <r>
    <x v="5"/>
    <x v="0"/>
    <x v="66"/>
    <x v="4"/>
    <x v="27"/>
    <x v="26"/>
    <x v="3"/>
    <x v="61"/>
    <x v="113"/>
    <x v="2070"/>
    <x v="12"/>
    <x v="12"/>
    <x v="1"/>
  </r>
  <r>
    <x v="5"/>
    <x v="0"/>
    <x v="67"/>
    <x v="4"/>
    <x v="27"/>
    <x v="26"/>
    <x v="2"/>
    <x v="51"/>
    <x v="172"/>
    <x v="2397"/>
    <x v="33"/>
    <x v="33"/>
    <x v="1"/>
  </r>
  <r>
    <x v="5"/>
    <x v="0"/>
    <x v="68"/>
    <x v="4"/>
    <x v="27"/>
    <x v="26"/>
    <x v="1"/>
    <x v="55"/>
    <x v="165"/>
    <x v="2436"/>
    <x v="20"/>
    <x v="20"/>
    <x v="1"/>
  </r>
  <r>
    <x v="5"/>
    <x v="0"/>
    <x v="69"/>
    <x v="4"/>
    <x v="27"/>
    <x v="26"/>
    <x v="5"/>
    <x v="52"/>
    <x v="100"/>
    <x v="1681"/>
    <x v="33"/>
    <x v="33"/>
    <x v="1"/>
  </r>
  <r>
    <x v="5"/>
    <x v="0"/>
    <x v="70"/>
    <x v="4"/>
    <x v="27"/>
    <x v="26"/>
    <x v="4"/>
    <x v="50"/>
    <x v="113"/>
    <x v="1794"/>
    <x v="30"/>
    <x v="30"/>
    <x v="1"/>
  </r>
  <r>
    <x v="5"/>
    <x v="0"/>
    <x v="71"/>
    <x v="4"/>
    <x v="27"/>
    <x v="26"/>
    <x v="0"/>
    <x v="62"/>
    <x v="93"/>
    <x v="1825"/>
    <x v="46"/>
    <x v="46"/>
    <x v="1"/>
  </r>
  <r>
    <x v="5"/>
    <x v="0"/>
    <x v="72"/>
    <x v="4"/>
    <x v="27"/>
    <x v="26"/>
    <x v="3"/>
    <x v="67"/>
    <x v="129"/>
    <x v="2367"/>
    <x v="13"/>
    <x v="13"/>
    <x v="1"/>
  </r>
  <r>
    <x v="5"/>
    <x v="0"/>
    <x v="73"/>
    <x v="4"/>
    <x v="27"/>
    <x v="26"/>
    <x v="2"/>
    <x v="21"/>
    <x v="103"/>
    <x v="801"/>
    <x v="36"/>
    <x v="36"/>
    <x v="1"/>
  </r>
  <r>
    <x v="5"/>
    <x v="0"/>
    <x v="74"/>
    <x v="4"/>
    <x v="27"/>
    <x v="26"/>
    <x v="1"/>
    <x v="31"/>
    <x v="103"/>
    <x v="1128"/>
    <x v="19"/>
    <x v="19"/>
    <x v="1"/>
  </r>
  <r>
    <x v="5"/>
    <x v="0"/>
    <x v="75"/>
    <x v="4"/>
    <x v="27"/>
    <x v="26"/>
    <x v="5"/>
    <x v="32"/>
    <x v="96"/>
    <x v="1083"/>
    <x v="32"/>
    <x v="32"/>
    <x v="1"/>
  </r>
  <r>
    <x v="5"/>
    <x v="0"/>
    <x v="76"/>
    <x v="4"/>
    <x v="27"/>
    <x v="26"/>
    <x v="4"/>
    <x v="31"/>
    <x v="59"/>
    <x v="601"/>
    <x v="31"/>
    <x v="31"/>
    <x v="1"/>
  </r>
  <r>
    <x v="5"/>
    <x v="0"/>
    <x v="77"/>
    <x v="4"/>
    <x v="5"/>
    <x v="16"/>
    <x v="0"/>
    <x v="34"/>
    <x v="45"/>
    <x v="473"/>
    <x v="50"/>
    <x v="50"/>
    <x v="1"/>
  </r>
  <r>
    <x v="5"/>
    <x v="0"/>
    <x v="78"/>
    <x v="4"/>
    <x v="5"/>
    <x v="16"/>
    <x v="3"/>
    <x v="30"/>
    <x v="108"/>
    <x v="1143"/>
    <x v="12"/>
    <x v="12"/>
    <x v="1"/>
  </r>
  <r>
    <x v="5"/>
    <x v="0"/>
    <x v="79"/>
    <x v="4"/>
    <x v="5"/>
    <x v="16"/>
    <x v="2"/>
    <x v="20"/>
    <x v="111"/>
    <x v="830"/>
    <x v="34"/>
    <x v="34"/>
    <x v="1"/>
  </r>
  <r>
    <x v="5"/>
    <x v="0"/>
    <x v="80"/>
    <x v="4"/>
    <x v="5"/>
    <x v="16"/>
    <x v="1"/>
    <x v="31"/>
    <x v="92"/>
    <x v="1009"/>
    <x v="16"/>
    <x v="16"/>
    <x v="1"/>
  </r>
  <r>
    <x v="5"/>
    <x v="0"/>
    <x v="81"/>
    <x v="4"/>
    <x v="5"/>
    <x v="16"/>
    <x v="5"/>
    <x v="31"/>
    <x v="103"/>
    <x v="1128"/>
    <x v="36"/>
    <x v="36"/>
    <x v="1"/>
  </r>
  <r>
    <x v="5"/>
    <x v="0"/>
    <x v="82"/>
    <x v="4"/>
    <x v="5"/>
    <x v="16"/>
    <x v="4"/>
    <x v="29"/>
    <x v="59"/>
    <x v="554"/>
    <x v="31"/>
    <x v="31"/>
    <x v="1"/>
  </r>
  <r>
    <x v="5"/>
    <x v="0"/>
    <x v="83"/>
    <x v="4"/>
    <x v="5"/>
    <x v="16"/>
    <x v="0"/>
    <x v="36"/>
    <x v="47"/>
    <x v="528"/>
    <x v="48"/>
    <x v="48"/>
    <x v="1"/>
  </r>
  <r>
    <x v="5"/>
    <x v="0"/>
    <x v="84"/>
    <x v="4"/>
    <x v="5"/>
    <x v="16"/>
    <x v="3"/>
    <x v="30"/>
    <x v="97"/>
    <x v="1026"/>
    <x v="13"/>
    <x v="13"/>
    <x v="1"/>
  </r>
  <r>
    <x v="5"/>
    <x v="0"/>
    <x v="85"/>
    <x v="4"/>
    <x v="5"/>
    <x v="16"/>
    <x v="2"/>
    <x v="30"/>
    <x v="143"/>
    <x v="1466"/>
    <x v="34"/>
    <x v="34"/>
    <x v="1"/>
  </r>
  <r>
    <x v="5"/>
    <x v="0"/>
    <x v="86"/>
    <x v="4"/>
    <x v="5"/>
    <x v="16"/>
    <x v="1"/>
    <x v="41"/>
    <x v="93"/>
    <x v="1296"/>
    <x v="20"/>
    <x v="20"/>
    <x v="1"/>
  </r>
  <r>
    <x v="5"/>
    <x v="0"/>
    <x v="87"/>
    <x v="4"/>
    <x v="5"/>
    <x v="16"/>
    <x v="5"/>
    <x v="44"/>
    <x v="97"/>
    <x v="1420"/>
    <x v="35"/>
    <x v="35"/>
    <x v="1"/>
  </r>
  <r>
    <x v="5"/>
    <x v="0"/>
    <x v="88"/>
    <x v="4"/>
    <x v="5"/>
    <x v="16"/>
    <x v="4"/>
    <x v="44"/>
    <x v="74"/>
    <x v="1108"/>
    <x v="29"/>
    <x v="29"/>
    <x v="1"/>
  </r>
  <r>
    <x v="5"/>
    <x v="0"/>
    <x v="89"/>
    <x v="4"/>
    <x v="5"/>
    <x v="16"/>
    <x v="0"/>
    <x v="49"/>
    <x v="28"/>
    <x v="444"/>
    <x v="46"/>
    <x v="46"/>
    <x v="1"/>
  </r>
  <r>
    <x v="5"/>
    <x v="0"/>
    <x v="90"/>
    <x v="4"/>
    <x v="5"/>
    <x v="16"/>
    <x v="3"/>
    <x v="45"/>
    <x v="78"/>
    <x v="1194"/>
    <x v="15"/>
    <x v="15"/>
    <x v="1"/>
  </r>
  <r>
    <x v="5"/>
    <x v="0"/>
    <x v="91"/>
    <x v="4"/>
    <x v="5"/>
    <x v="16"/>
    <x v="2"/>
    <x v="48"/>
    <x v="111"/>
    <x v="1717"/>
    <x v="33"/>
    <x v="33"/>
    <x v="1"/>
  </r>
  <r>
    <x v="5"/>
    <x v="0"/>
    <x v="92"/>
    <x v="4"/>
    <x v="5"/>
    <x v="16"/>
    <x v="1"/>
    <x v="52"/>
    <x v="77"/>
    <x v="1335"/>
    <x v="21"/>
    <x v="21"/>
    <x v="1"/>
  </r>
  <r>
    <x v="5"/>
    <x v="0"/>
    <x v="93"/>
    <x v="4"/>
    <x v="5"/>
    <x v="16"/>
    <x v="5"/>
    <x v="54"/>
    <x v="94"/>
    <x v="1651"/>
    <x v="36"/>
    <x v="36"/>
    <x v="1"/>
  </r>
  <r>
    <x v="5"/>
    <x v="0"/>
    <x v="94"/>
    <x v="4"/>
    <x v="5"/>
    <x v="16"/>
    <x v="4"/>
    <x v="49"/>
    <x v="61"/>
    <x v="989"/>
    <x v="29"/>
    <x v="29"/>
    <x v="1"/>
  </r>
  <r>
    <x v="5"/>
    <x v="0"/>
    <x v="95"/>
    <x v="4"/>
    <x v="5"/>
    <x v="16"/>
    <x v="0"/>
    <x v="55"/>
    <x v="33"/>
    <x v="599"/>
    <x v="47"/>
    <x v="47"/>
    <x v="1"/>
  </r>
  <r>
    <x v="5"/>
    <x v="0"/>
    <x v="96"/>
    <x v="4"/>
    <x v="5"/>
    <x v="16"/>
    <x v="3"/>
    <x v="65"/>
    <x v="80"/>
    <x v="1687"/>
    <x v="11"/>
    <x v="11"/>
    <x v="1"/>
  </r>
  <r>
    <x v="5"/>
    <x v="0"/>
    <x v="97"/>
    <x v="4"/>
    <x v="5"/>
    <x v="16"/>
    <x v="2"/>
    <x v="48"/>
    <x v="111"/>
    <x v="1717"/>
    <x v="47"/>
    <x v="47"/>
    <x v="1"/>
  </r>
  <r>
    <x v="5"/>
    <x v="0"/>
    <x v="98"/>
    <x v="4"/>
    <x v="5"/>
    <x v="16"/>
    <x v="1"/>
    <x v="53"/>
    <x v="87"/>
    <x v="1516"/>
    <x v="32"/>
    <x v="32"/>
    <x v="1"/>
  </r>
  <r>
    <x v="5"/>
    <x v="0"/>
    <x v="99"/>
    <x v="4"/>
    <x v="5"/>
    <x v="16"/>
    <x v="5"/>
    <x v="52"/>
    <x v="80"/>
    <x v="1390"/>
    <x v="46"/>
    <x v="46"/>
    <x v="1"/>
  </r>
  <r>
    <x v="5"/>
    <x v="0"/>
    <x v="100"/>
    <x v="4"/>
    <x v="5"/>
    <x v="16"/>
    <x v="4"/>
    <x v="51"/>
    <x v="57"/>
    <x v="957"/>
    <x v="45"/>
    <x v="45"/>
    <x v="1"/>
  </r>
  <r>
    <x v="5"/>
    <x v="0"/>
    <x v="101"/>
    <x v="4"/>
    <x v="5"/>
    <x v="16"/>
    <x v="0"/>
    <x v="56"/>
    <x v="33"/>
    <x v="610"/>
    <x v="62"/>
    <x v="62"/>
    <x v="1"/>
  </r>
  <r>
    <x v="5"/>
    <x v="0"/>
    <x v="102"/>
    <x v="4"/>
    <x v="5"/>
    <x v="16"/>
    <x v="3"/>
    <x v="67"/>
    <x v="113"/>
    <x v="2183"/>
    <x v="29"/>
    <x v="29"/>
    <x v="1"/>
  </r>
  <r>
    <x v="5"/>
    <x v="0"/>
    <x v="103"/>
    <x v="4"/>
    <x v="5"/>
    <x v="16"/>
    <x v="2"/>
    <x v="47"/>
    <x v="165"/>
    <x v="2237"/>
    <x v="50"/>
    <x v="50"/>
    <x v="1"/>
  </r>
  <r>
    <x v="5"/>
    <x v="0"/>
    <x v="104"/>
    <x v="4"/>
    <x v="5"/>
    <x v="16"/>
    <x v="1"/>
    <x v="52"/>
    <x v="124"/>
    <x v="1974"/>
    <x v="36"/>
    <x v="36"/>
    <x v="1"/>
  </r>
  <r>
    <x v="5"/>
    <x v="0"/>
    <x v="105"/>
    <x v="4"/>
    <x v="5"/>
    <x v="16"/>
    <x v="5"/>
    <x v="57"/>
    <x v="129"/>
    <x v="2154"/>
    <x v="50"/>
    <x v="50"/>
    <x v="1"/>
  </r>
  <r>
    <x v="5"/>
    <x v="0"/>
    <x v="106"/>
    <x v="4"/>
    <x v="5"/>
    <x v="16"/>
    <x v="4"/>
    <x v="55"/>
    <x v="115"/>
    <x v="1952"/>
    <x v="46"/>
    <x v="46"/>
    <x v="1"/>
  </r>
  <r>
    <x v="5"/>
    <x v="0"/>
    <x v="107"/>
    <x v="4"/>
    <x v="5"/>
    <x v="16"/>
    <x v="0"/>
    <x v="59"/>
    <x v="75"/>
    <x v="1443"/>
    <x v="63"/>
    <x v="63"/>
    <x v="1"/>
  </r>
  <r>
    <x v="5"/>
    <x v="0"/>
    <x v="108"/>
    <x v="4"/>
    <x v="5"/>
    <x v="16"/>
    <x v="3"/>
    <x v="76"/>
    <x v="158"/>
    <x v="2689"/>
    <x v="29"/>
    <x v="29"/>
    <x v="1"/>
  </r>
  <r>
    <x v="5"/>
    <x v="0"/>
    <x v="109"/>
    <x v="4"/>
    <x v="5"/>
    <x v="16"/>
    <x v="2"/>
    <x v="57"/>
    <x v="176"/>
    <x v="2552"/>
    <x v="46"/>
    <x v="46"/>
    <x v="1"/>
  </r>
  <r>
    <x v="5"/>
    <x v="0"/>
    <x v="110"/>
    <x v="4"/>
    <x v="5"/>
    <x v="16"/>
    <x v="1"/>
    <x v="60"/>
    <x v="164"/>
    <x v="2522"/>
    <x v="26"/>
    <x v="26"/>
    <x v="1"/>
  </r>
  <r>
    <x v="5"/>
    <x v="0"/>
    <x v="111"/>
    <x v="4"/>
    <x v="5"/>
    <x v="16"/>
    <x v="5"/>
    <x v="60"/>
    <x v="139"/>
    <x v="2321"/>
    <x v="41"/>
    <x v="41"/>
    <x v="1"/>
  </r>
  <r>
    <x v="5"/>
    <x v="0"/>
    <x v="112"/>
    <x v="4"/>
    <x v="5"/>
    <x v="16"/>
    <x v="4"/>
    <x v="54"/>
    <x v="123"/>
    <x v="2015"/>
    <x v="38"/>
    <x v="38"/>
    <x v="1"/>
  </r>
  <r>
    <x v="5"/>
    <x v="0"/>
    <x v="113"/>
    <x v="4"/>
    <x v="5"/>
    <x v="16"/>
    <x v="0"/>
    <x v="60"/>
    <x v="111"/>
    <x v="2025"/>
    <x v="56"/>
    <x v="56"/>
    <x v="1"/>
  </r>
  <r>
    <x v="5"/>
    <x v="0"/>
    <x v="114"/>
    <x v="4"/>
    <x v="5"/>
    <x v="16"/>
    <x v="3"/>
    <x v="71"/>
    <x v="117"/>
    <x v="2304"/>
    <x v="26"/>
    <x v="26"/>
    <x v="1"/>
  </r>
  <r>
    <x v="5"/>
    <x v="0"/>
    <x v="115"/>
    <x v="4"/>
    <x v="5"/>
    <x v="16"/>
    <x v="2"/>
    <x v="56"/>
    <x v="172"/>
    <x v="2500"/>
    <x v="45"/>
    <x v="45"/>
    <x v="1"/>
  </r>
  <r>
    <x v="5"/>
    <x v="0"/>
    <x v="116"/>
    <x v="4"/>
    <x v="5"/>
    <x v="16"/>
    <x v="1"/>
    <x v="66"/>
    <x v="165"/>
    <x v="2619"/>
    <x v="28"/>
    <x v="28"/>
    <x v="1"/>
  </r>
  <r>
    <x v="5"/>
    <x v="0"/>
    <x v="117"/>
    <x v="4"/>
    <x v="5"/>
    <x v="16"/>
    <x v="5"/>
    <x v="60"/>
    <x v="123"/>
    <x v="2151"/>
    <x v="43"/>
    <x v="43"/>
    <x v="1"/>
  </r>
  <r>
    <x v="5"/>
    <x v="0"/>
    <x v="118"/>
    <x v="4"/>
    <x v="5"/>
    <x v="16"/>
    <x v="4"/>
    <x v="56"/>
    <x v="115"/>
    <x v="1977"/>
    <x v="40"/>
    <x v="40"/>
    <x v="1"/>
  </r>
  <r>
    <x v="5"/>
    <x v="0"/>
    <x v="119"/>
    <x v="4"/>
    <x v="5"/>
    <x v="16"/>
    <x v="0"/>
    <x v="67"/>
    <x v="120"/>
    <x v="2261"/>
    <x v="59"/>
    <x v="59"/>
    <x v="1"/>
  </r>
  <r>
    <x v="5"/>
    <x v="0"/>
    <x v="120"/>
    <x v="4"/>
    <x v="5"/>
    <x v="16"/>
    <x v="3"/>
    <x v="67"/>
    <x v="82"/>
    <x v="1756"/>
    <x v="21"/>
    <x v="21"/>
    <x v="1"/>
  </r>
  <r>
    <x v="5"/>
    <x v="0"/>
    <x v="121"/>
    <x v="4"/>
    <x v="5"/>
    <x v="16"/>
    <x v="2"/>
    <x v="52"/>
    <x v="140"/>
    <x v="2147"/>
    <x v="39"/>
    <x v="39"/>
    <x v="1"/>
  </r>
  <r>
    <x v="5"/>
    <x v="0"/>
    <x v="122"/>
    <x v="4"/>
    <x v="5"/>
    <x v="16"/>
    <x v="1"/>
    <x v="62"/>
    <x v="146"/>
    <x v="2422"/>
    <x v="22"/>
    <x v="22"/>
    <x v="1"/>
  </r>
  <r>
    <x v="5"/>
    <x v="0"/>
    <x v="123"/>
    <x v="4"/>
    <x v="5"/>
    <x v="16"/>
    <x v="5"/>
    <x v="53"/>
    <x v="94"/>
    <x v="1623"/>
    <x v="36"/>
    <x v="36"/>
    <x v="1"/>
  </r>
  <r>
    <x v="5"/>
    <x v="0"/>
    <x v="124"/>
    <x v="4"/>
    <x v="5"/>
    <x v="16"/>
    <x v="4"/>
    <x v="52"/>
    <x v="82"/>
    <x v="1418"/>
    <x v="34"/>
    <x v="34"/>
    <x v="1"/>
  </r>
  <r>
    <x v="5"/>
    <x v="0"/>
    <x v="125"/>
    <x v="4"/>
    <x v="5"/>
    <x v="16"/>
    <x v="0"/>
    <x v="67"/>
    <x v="101"/>
    <x v="2049"/>
    <x v="55"/>
    <x v="55"/>
    <x v="1"/>
  </r>
  <r>
    <x v="5"/>
    <x v="0"/>
    <x v="126"/>
    <x v="4"/>
    <x v="5"/>
    <x v="16"/>
    <x v="3"/>
    <x v="58"/>
    <x v="88"/>
    <x v="1650"/>
    <x v="17"/>
    <x v="17"/>
    <x v="1"/>
  </r>
  <r>
    <x v="5"/>
    <x v="0"/>
    <x v="127"/>
    <x v="4"/>
    <x v="5"/>
    <x v="16"/>
    <x v="2"/>
    <x v="44"/>
    <x v="117"/>
    <x v="1672"/>
    <x v="36"/>
    <x v="36"/>
    <x v="1"/>
  </r>
  <r>
    <x v="5"/>
    <x v="0"/>
    <x v="128"/>
    <x v="4"/>
    <x v="5"/>
    <x v="16"/>
    <x v="1"/>
    <x v="47"/>
    <x v="131"/>
    <x v="1922"/>
    <x v="21"/>
    <x v="21"/>
    <x v="1"/>
  </r>
  <r>
    <x v="5"/>
    <x v="0"/>
    <x v="129"/>
    <x v="4"/>
    <x v="5"/>
    <x v="16"/>
    <x v="5"/>
    <x v="44"/>
    <x v="84"/>
    <x v="1256"/>
    <x v="36"/>
    <x v="36"/>
    <x v="1"/>
  </r>
  <r>
    <x v="5"/>
    <x v="0"/>
    <x v="130"/>
    <x v="4"/>
    <x v="5"/>
    <x v="16"/>
    <x v="4"/>
    <x v="46"/>
    <x v="70"/>
    <x v="1087"/>
    <x v="32"/>
    <x v="32"/>
    <x v="1"/>
  </r>
  <r>
    <x v="5"/>
    <x v="0"/>
    <x v="131"/>
    <x v="4"/>
    <x v="5"/>
    <x v="16"/>
    <x v="0"/>
    <x v="57"/>
    <x v="62"/>
    <x v="1155"/>
    <x v="52"/>
    <x v="52"/>
    <x v="1"/>
  </r>
  <r>
    <x v="5"/>
    <x v="0"/>
    <x v="132"/>
    <x v="4"/>
    <x v="5"/>
    <x v="16"/>
    <x v="3"/>
    <x v="58"/>
    <x v="87"/>
    <x v="1634"/>
    <x v="16"/>
    <x v="16"/>
    <x v="1"/>
  </r>
  <r>
    <x v="5"/>
    <x v="0"/>
    <x v="133"/>
    <x v="4"/>
    <x v="5"/>
    <x v="16"/>
    <x v="2"/>
    <x v="45"/>
    <x v="129"/>
    <x v="1842"/>
    <x v="41"/>
    <x v="41"/>
    <x v="1"/>
  </r>
  <r>
    <x v="5"/>
    <x v="0"/>
    <x v="134"/>
    <x v="4"/>
    <x v="5"/>
    <x v="16"/>
    <x v="1"/>
    <x v="48"/>
    <x v="129"/>
    <x v="1929"/>
    <x v="23"/>
    <x v="23"/>
    <x v="1"/>
  </r>
  <r>
    <x v="5"/>
    <x v="0"/>
    <x v="135"/>
    <x v="4"/>
    <x v="5"/>
    <x v="16"/>
    <x v="5"/>
    <x v="44"/>
    <x v="108"/>
    <x v="1573"/>
    <x v="39"/>
    <x v="39"/>
    <x v="1"/>
  </r>
  <r>
    <x v="5"/>
    <x v="0"/>
    <x v="136"/>
    <x v="4"/>
    <x v="5"/>
    <x v="16"/>
    <x v="4"/>
    <x v="53"/>
    <x v="97"/>
    <x v="1668"/>
    <x v="34"/>
    <x v="34"/>
    <x v="1"/>
  </r>
  <r>
    <x v="5"/>
    <x v="0"/>
    <x v="137"/>
    <x v="4"/>
    <x v="5"/>
    <x v="16"/>
    <x v="0"/>
    <x v="61"/>
    <x v="87"/>
    <x v="1703"/>
    <x v="55"/>
    <x v="55"/>
    <x v="1"/>
  </r>
  <r>
    <x v="5"/>
    <x v="0"/>
    <x v="138"/>
    <x v="4"/>
    <x v="5"/>
    <x v="16"/>
    <x v="3"/>
    <x v="66"/>
    <x v="110"/>
    <x v="2134"/>
    <x v="17"/>
    <x v="17"/>
    <x v="1"/>
  </r>
  <r>
    <x v="5"/>
    <x v="0"/>
    <x v="139"/>
    <x v="4"/>
    <x v="5"/>
    <x v="16"/>
    <x v="2"/>
    <x v="52"/>
    <x v="177"/>
    <x v="2463"/>
    <x v="38"/>
    <x v="38"/>
    <x v="1"/>
  </r>
  <r>
    <x v="5"/>
    <x v="0"/>
    <x v="140"/>
    <x v="4"/>
    <x v="5"/>
    <x v="16"/>
    <x v="1"/>
    <x v="57"/>
    <x v="159"/>
    <x v="2429"/>
    <x v="24"/>
    <x v="24"/>
    <x v="1"/>
  </r>
  <r>
    <x v="5"/>
    <x v="0"/>
    <x v="141"/>
    <x v="4"/>
    <x v="5"/>
    <x v="16"/>
    <x v="5"/>
    <x v="53"/>
    <x v="105"/>
    <x v="1779"/>
    <x v="41"/>
    <x v="41"/>
    <x v="1"/>
  </r>
  <r>
    <x v="5"/>
    <x v="0"/>
    <x v="142"/>
    <x v="4"/>
    <x v="5"/>
    <x v="16"/>
    <x v="4"/>
    <x v="56"/>
    <x v="105"/>
    <x v="1857"/>
    <x v="31"/>
    <x v="31"/>
    <x v="1"/>
  </r>
  <r>
    <x v="5"/>
    <x v="0"/>
    <x v="143"/>
    <x v="4"/>
    <x v="5"/>
    <x v="16"/>
    <x v="0"/>
    <x v="61"/>
    <x v="96"/>
    <x v="1846"/>
    <x v="53"/>
    <x v="53"/>
    <x v="1"/>
  </r>
  <r>
    <x v="5"/>
    <x v="0"/>
    <x v="144"/>
    <x v="4"/>
    <x v="5"/>
    <x v="16"/>
    <x v="3"/>
    <x v="68"/>
    <x v="117"/>
    <x v="2250"/>
    <x v="19"/>
    <x v="19"/>
    <x v="1"/>
  </r>
  <r>
    <x v="5"/>
    <x v="0"/>
    <x v="145"/>
    <x v="4"/>
    <x v="5"/>
    <x v="16"/>
    <x v="2"/>
    <x v="29"/>
    <x v="98"/>
    <x v="1007"/>
    <x v="27"/>
    <x v="27"/>
    <x v="1"/>
  </r>
  <r>
    <x v="5"/>
    <x v="0"/>
    <x v="146"/>
    <x v="4"/>
    <x v="5"/>
    <x v="16"/>
    <x v="1"/>
    <x v="41"/>
    <x v="111"/>
    <x v="1511"/>
    <x v="26"/>
    <x v="26"/>
    <x v="1"/>
  </r>
  <r>
    <x v="5"/>
    <x v="0"/>
    <x v="147"/>
    <x v="4"/>
    <x v="5"/>
    <x v="16"/>
    <x v="5"/>
    <x v="39"/>
    <x v="115"/>
    <x v="1491"/>
    <x v="21"/>
    <x v="21"/>
    <x v="1"/>
  </r>
  <r>
    <x v="5"/>
    <x v="0"/>
    <x v="148"/>
    <x v="4"/>
    <x v="5"/>
    <x v="16"/>
    <x v="4"/>
    <x v="42"/>
    <x v="64"/>
    <x v="903"/>
    <x v="27"/>
    <x v="27"/>
    <x v="1"/>
  </r>
  <r>
    <x v="5"/>
    <x v="0"/>
    <x v="149"/>
    <x v="4"/>
    <x v="46"/>
    <x v="47"/>
    <x v="0"/>
    <x v="44"/>
    <x v="60"/>
    <x v="880"/>
    <x v="25"/>
    <x v="25"/>
    <x v="1"/>
  </r>
  <r>
    <x v="5"/>
    <x v="0"/>
    <x v="150"/>
    <x v="4"/>
    <x v="46"/>
    <x v="47"/>
    <x v="3"/>
    <x v="39"/>
    <x v="105"/>
    <x v="1383"/>
    <x v="17"/>
    <x v="17"/>
    <x v="1"/>
  </r>
  <r>
    <x v="5"/>
    <x v="0"/>
    <x v="151"/>
    <x v="4"/>
    <x v="46"/>
    <x v="47"/>
    <x v="2"/>
    <x v="29"/>
    <x v="118"/>
    <x v="1201"/>
    <x v="29"/>
    <x v="29"/>
    <x v="1"/>
  </r>
  <r>
    <x v="5"/>
    <x v="0"/>
    <x v="152"/>
    <x v="4"/>
    <x v="46"/>
    <x v="47"/>
    <x v="1"/>
    <x v="40"/>
    <x v="111"/>
    <x v="1479"/>
    <x v="25"/>
    <x v="25"/>
    <x v="1"/>
  </r>
  <r>
    <x v="5"/>
    <x v="0"/>
    <x v="153"/>
    <x v="4"/>
    <x v="46"/>
    <x v="47"/>
    <x v="5"/>
    <x v="40"/>
    <x v="102"/>
    <x v="1380"/>
    <x v="25"/>
    <x v="25"/>
    <x v="1"/>
  </r>
  <r>
    <x v="5"/>
    <x v="0"/>
    <x v="154"/>
    <x v="4"/>
    <x v="46"/>
    <x v="47"/>
    <x v="4"/>
    <x v="41"/>
    <x v="72"/>
    <x v="998"/>
    <x v="28"/>
    <x v="28"/>
    <x v="1"/>
  </r>
  <r>
    <x v="5"/>
    <x v="0"/>
    <x v="155"/>
    <x v="4"/>
    <x v="46"/>
    <x v="47"/>
    <x v="0"/>
    <x v="45"/>
    <x v="54"/>
    <x v="785"/>
    <x v="26"/>
    <x v="26"/>
    <x v="1"/>
  </r>
  <r>
    <x v="5"/>
    <x v="0"/>
    <x v="156"/>
    <x v="4"/>
    <x v="46"/>
    <x v="47"/>
    <x v="3"/>
    <x v="39"/>
    <x v="103"/>
    <x v="1364"/>
    <x v="17"/>
    <x v="17"/>
    <x v="1"/>
  </r>
  <r>
    <x v="5"/>
    <x v="0"/>
    <x v="157"/>
    <x v="4"/>
    <x v="46"/>
    <x v="47"/>
    <x v="2"/>
    <x v="39"/>
    <x v="145"/>
    <x v="1816"/>
    <x v="31"/>
    <x v="31"/>
    <x v="1"/>
  </r>
  <r>
    <x v="5"/>
    <x v="0"/>
    <x v="158"/>
    <x v="4"/>
    <x v="46"/>
    <x v="47"/>
    <x v="1"/>
    <x v="51"/>
    <x v="96"/>
    <x v="1604"/>
    <x v="22"/>
    <x v="22"/>
    <x v="1"/>
  </r>
  <r>
    <x v="5"/>
    <x v="0"/>
    <x v="159"/>
    <x v="4"/>
    <x v="46"/>
    <x v="47"/>
    <x v="5"/>
    <x v="53"/>
    <x v="96"/>
    <x v="1652"/>
    <x v="26"/>
    <x v="26"/>
    <x v="1"/>
  </r>
  <r>
    <x v="5"/>
    <x v="0"/>
    <x v="160"/>
    <x v="4"/>
    <x v="46"/>
    <x v="47"/>
    <x v="4"/>
    <x v="57"/>
    <x v="70"/>
    <x v="1308"/>
    <x v="28"/>
    <x v="28"/>
    <x v="1"/>
  </r>
  <r>
    <x v="5"/>
    <x v="0"/>
    <x v="161"/>
    <x v="4"/>
    <x v="46"/>
    <x v="47"/>
    <x v="0"/>
    <x v="62"/>
    <x v="35"/>
    <x v="727"/>
    <x v="24"/>
    <x v="24"/>
    <x v="1"/>
  </r>
  <r>
    <x v="5"/>
    <x v="0"/>
    <x v="162"/>
    <x v="4"/>
    <x v="46"/>
    <x v="47"/>
    <x v="3"/>
    <x v="55"/>
    <x v="87"/>
    <x v="1569"/>
    <x v="20"/>
    <x v="20"/>
    <x v="1"/>
  </r>
  <r>
    <x v="5"/>
    <x v="0"/>
    <x v="163"/>
    <x v="4"/>
    <x v="46"/>
    <x v="47"/>
    <x v="2"/>
    <x v="61"/>
    <x v="138"/>
    <x v="2333"/>
    <x v="30"/>
    <x v="30"/>
    <x v="1"/>
  </r>
  <r>
    <x v="5"/>
    <x v="0"/>
    <x v="164"/>
    <x v="4"/>
    <x v="46"/>
    <x v="47"/>
    <x v="1"/>
    <x v="64"/>
    <x v="73"/>
    <x v="1501"/>
    <x v="25"/>
    <x v="25"/>
    <x v="1"/>
  </r>
  <r>
    <x v="5"/>
    <x v="0"/>
    <x v="165"/>
    <x v="4"/>
    <x v="46"/>
    <x v="47"/>
    <x v="5"/>
    <x v="67"/>
    <x v="101"/>
    <x v="2049"/>
    <x v="25"/>
    <x v="25"/>
    <x v="1"/>
  </r>
  <r>
    <x v="5"/>
    <x v="0"/>
    <x v="166"/>
    <x v="4"/>
    <x v="46"/>
    <x v="47"/>
    <x v="4"/>
    <x v="48"/>
    <x v="74"/>
    <x v="1197"/>
    <x v="28"/>
    <x v="28"/>
    <x v="1"/>
  </r>
  <r>
    <x v="5"/>
    <x v="0"/>
    <x v="167"/>
    <x v="4"/>
    <x v="46"/>
    <x v="47"/>
    <x v="0"/>
    <x v="52"/>
    <x v="45"/>
    <x v="766"/>
    <x v="26"/>
    <x v="26"/>
    <x v="1"/>
  </r>
  <r>
    <x v="5"/>
    <x v="0"/>
    <x v="168"/>
    <x v="4"/>
    <x v="46"/>
    <x v="47"/>
    <x v="3"/>
    <x v="71"/>
    <x v="73"/>
    <x v="1645"/>
    <x v="18"/>
    <x v="18"/>
    <x v="1"/>
  </r>
  <r>
    <x v="5"/>
    <x v="0"/>
    <x v="169"/>
    <x v="4"/>
    <x v="46"/>
    <x v="47"/>
    <x v="2"/>
    <x v="48"/>
    <x v="143"/>
    <x v="2075"/>
    <x v="27"/>
    <x v="27"/>
    <x v="1"/>
  </r>
  <r>
    <x v="5"/>
    <x v="0"/>
    <x v="170"/>
    <x v="4"/>
    <x v="46"/>
    <x v="47"/>
    <x v="1"/>
    <x v="53"/>
    <x v="90"/>
    <x v="1565"/>
    <x v="24"/>
    <x v="24"/>
    <x v="1"/>
  </r>
  <r>
    <x v="5"/>
    <x v="0"/>
    <x v="171"/>
    <x v="4"/>
    <x v="46"/>
    <x v="47"/>
    <x v="5"/>
    <x v="54"/>
    <x v="101"/>
    <x v="1740"/>
    <x v="24"/>
    <x v="24"/>
    <x v="1"/>
  </r>
  <r>
    <x v="5"/>
    <x v="0"/>
    <x v="172"/>
    <x v="4"/>
    <x v="46"/>
    <x v="47"/>
    <x v="4"/>
    <x v="52"/>
    <x v="74"/>
    <x v="1277"/>
    <x v="30"/>
    <x v="30"/>
    <x v="1"/>
  </r>
  <r>
    <x v="5"/>
    <x v="0"/>
    <x v="173"/>
    <x v="4"/>
    <x v="46"/>
    <x v="47"/>
    <x v="0"/>
    <x v="53"/>
    <x v="41"/>
    <x v="709"/>
    <x v="24"/>
    <x v="24"/>
    <x v="1"/>
  </r>
  <r>
    <x v="5"/>
    <x v="0"/>
    <x v="174"/>
    <x v="4"/>
    <x v="46"/>
    <x v="47"/>
    <x v="3"/>
    <x v="68"/>
    <x v="105"/>
    <x v="2112"/>
    <x v="19"/>
    <x v="19"/>
    <x v="1"/>
  </r>
  <r>
    <x v="5"/>
    <x v="0"/>
    <x v="175"/>
    <x v="4"/>
    <x v="46"/>
    <x v="47"/>
    <x v="2"/>
    <x v="64"/>
    <x v="171"/>
    <x v="2623"/>
    <x v="28"/>
    <x v="28"/>
    <x v="1"/>
  </r>
  <r>
    <x v="5"/>
    <x v="0"/>
    <x v="176"/>
    <x v="4"/>
    <x v="46"/>
    <x v="47"/>
    <x v="1"/>
    <x v="67"/>
    <x v="164"/>
    <x v="2628"/>
    <x v="23"/>
    <x v="23"/>
    <x v="1"/>
  </r>
  <r>
    <x v="5"/>
    <x v="0"/>
    <x v="177"/>
    <x v="4"/>
    <x v="46"/>
    <x v="47"/>
    <x v="5"/>
    <x v="65"/>
    <x v="141"/>
    <x v="2438"/>
    <x v="24"/>
    <x v="24"/>
    <x v="1"/>
  </r>
  <r>
    <x v="5"/>
    <x v="0"/>
    <x v="178"/>
    <x v="4"/>
    <x v="46"/>
    <x v="47"/>
    <x v="4"/>
    <x v="68"/>
    <x v="105"/>
    <x v="2112"/>
    <x v="26"/>
    <x v="26"/>
    <x v="1"/>
  </r>
  <r>
    <x v="5"/>
    <x v="0"/>
    <x v="179"/>
    <x v="4"/>
    <x v="46"/>
    <x v="47"/>
    <x v="0"/>
    <x v="75"/>
    <x v="87"/>
    <x v="1994"/>
    <x v="25"/>
    <x v="25"/>
    <x v="1"/>
  </r>
  <r>
    <x v="5"/>
    <x v="0"/>
    <x v="180"/>
    <x v="4"/>
    <x v="46"/>
    <x v="47"/>
    <x v="3"/>
    <x v="88"/>
    <x v="159"/>
    <x v="2799"/>
    <x v="20"/>
    <x v="20"/>
    <x v="1"/>
  </r>
  <r>
    <x v="5"/>
    <x v="0"/>
    <x v="181"/>
    <x v="4"/>
    <x v="46"/>
    <x v="47"/>
    <x v="2"/>
    <x v="66"/>
    <x v="203"/>
    <x v="2791"/>
    <x v="26"/>
    <x v="26"/>
    <x v="1"/>
  </r>
  <r>
    <x v="5"/>
    <x v="0"/>
    <x v="182"/>
    <x v="4"/>
    <x v="46"/>
    <x v="47"/>
    <x v="1"/>
    <x v="75"/>
    <x v="159"/>
    <x v="2684"/>
    <x v="22"/>
    <x v="22"/>
    <x v="1"/>
  </r>
  <r>
    <x v="5"/>
    <x v="0"/>
    <x v="183"/>
    <x v="4"/>
    <x v="46"/>
    <x v="47"/>
    <x v="5"/>
    <x v="71"/>
    <x v="152"/>
    <x v="2607"/>
    <x v="21"/>
    <x v="21"/>
    <x v="1"/>
  </r>
  <r>
    <x v="5"/>
    <x v="0"/>
    <x v="184"/>
    <x v="4"/>
    <x v="46"/>
    <x v="47"/>
    <x v="4"/>
    <x v="71"/>
    <x v="117"/>
    <x v="2304"/>
    <x v="27"/>
    <x v="27"/>
    <x v="1"/>
  </r>
  <r>
    <x v="5"/>
    <x v="0"/>
    <x v="185"/>
    <x v="4"/>
    <x v="46"/>
    <x v="47"/>
    <x v="0"/>
    <x v="70"/>
    <x v="124"/>
    <x v="2364"/>
    <x v="21"/>
    <x v="21"/>
    <x v="1"/>
  </r>
  <r>
    <x v="5"/>
    <x v="0"/>
    <x v="186"/>
    <x v="4"/>
    <x v="46"/>
    <x v="47"/>
    <x v="3"/>
    <x v="85"/>
    <x v="134"/>
    <x v="2676"/>
    <x v="21"/>
    <x v="21"/>
    <x v="1"/>
  </r>
  <r>
    <x v="5"/>
    <x v="0"/>
    <x v="187"/>
    <x v="4"/>
    <x v="46"/>
    <x v="47"/>
    <x v="2"/>
    <x v="73"/>
    <x v="187"/>
    <x v="2789"/>
    <x v="31"/>
    <x v="31"/>
    <x v="1"/>
  </r>
  <r>
    <x v="5"/>
    <x v="0"/>
    <x v="188"/>
    <x v="4"/>
    <x v="46"/>
    <x v="47"/>
    <x v="1"/>
    <x v="70"/>
    <x v="183"/>
    <x v="2741"/>
    <x v="25"/>
    <x v="25"/>
    <x v="1"/>
  </r>
  <r>
    <x v="5"/>
    <x v="0"/>
    <x v="189"/>
    <x v="4"/>
    <x v="46"/>
    <x v="47"/>
    <x v="5"/>
    <x v="66"/>
    <x v="141"/>
    <x v="2454"/>
    <x v="21"/>
    <x v="21"/>
    <x v="1"/>
  </r>
  <r>
    <x v="5"/>
    <x v="0"/>
    <x v="190"/>
    <x v="4"/>
    <x v="46"/>
    <x v="47"/>
    <x v="4"/>
    <x v="67"/>
    <x v="134"/>
    <x v="2407"/>
    <x v="30"/>
    <x v="30"/>
    <x v="1"/>
  </r>
  <r>
    <x v="5"/>
    <x v="0"/>
    <x v="191"/>
    <x v="4"/>
    <x v="46"/>
    <x v="47"/>
    <x v="0"/>
    <x v="64"/>
    <x v="134"/>
    <x v="2351"/>
    <x v="25"/>
    <x v="25"/>
    <x v="1"/>
  </r>
  <r>
    <x v="5"/>
    <x v="0"/>
    <x v="192"/>
    <x v="4"/>
    <x v="46"/>
    <x v="47"/>
    <x v="3"/>
    <x v="69"/>
    <x v="90"/>
    <x v="1922"/>
    <x v="19"/>
    <x v="19"/>
    <x v="1"/>
  </r>
  <r>
    <x v="5"/>
    <x v="0"/>
    <x v="193"/>
    <x v="4"/>
    <x v="46"/>
    <x v="47"/>
    <x v="2"/>
    <x v="57"/>
    <x v="135"/>
    <x v="2203"/>
    <x v="27"/>
    <x v="27"/>
    <x v="1"/>
  </r>
  <r>
    <x v="5"/>
    <x v="0"/>
    <x v="194"/>
    <x v="4"/>
    <x v="46"/>
    <x v="47"/>
    <x v="1"/>
    <x v="64"/>
    <x v="151"/>
    <x v="2503"/>
    <x v="21"/>
    <x v="21"/>
    <x v="1"/>
  </r>
  <r>
    <x v="5"/>
    <x v="0"/>
    <x v="195"/>
    <x v="4"/>
    <x v="46"/>
    <x v="47"/>
    <x v="5"/>
    <x v="56"/>
    <x v="115"/>
    <x v="1977"/>
    <x v="23"/>
    <x v="23"/>
    <x v="1"/>
  </r>
  <r>
    <x v="5"/>
    <x v="0"/>
    <x v="196"/>
    <x v="4"/>
    <x v="46"/>
    <x v="47"/>
    <x v="4"/>
    <x v="60"/>
    <x v="93"/>
    <x v="1780"/>
    <x v="26"/>
    <x v="26"/>
    <x v="1"/>
  </r>
  <r>
    <x v="5"/>
    <x v="0"/>
    <x v="197"/>
    <x v="4"/>
    <x v="46"/>
    <x v="47"/>
    <x v="0"/>
    <x v="65"/>
    <x v="92"/>
    <x v="1881"/>
    <x v="26"/>
    <x v="26"/>
    <x v="1"/>
  </r>
  <r>
    <x v="5"/>
    <x v="0"/>
    <x v="198"/>
    <x v="4"/>
    <x v="46"/>
    <x v="47"/>
    <x v="3"/>
    <x v="55"/>
    <x v="94"/>
    <x v="1676"/>
    <x v="21"/>
    <x v="21"/>
    <x v="1"/>
  </r>
  <r>
    <x v="5"/>
    <x v="0"/>
    <x v="199"/>
    <x v="4"/>
    <x v="46"/>
    <x v="47"/>
    <x v="2"/>
    <x v="51"/>
    <x v="128"/>
    <x v="2000"/>
    <x v="26"/>
    <x v="26"/>
    <x v="1"/>
  </r>
  <r>
    <x v="5"/>
    <x v="0"/>
    <x v="200"/>
    <x v="4"/>
    <x v="46"/>
    <x v="47"/>
    <x v="1"/>
    <x v="57"/>
    <x v="118"/>
    <x v="2036"/>
    <x v="23"/>
    <x v="23"/>
    <x v="1"/>
  </r>
  <r>
    <x v="5"/>
    <x v="0"/>
    <x v="201"/>
    <x v="4"/>
    <x v="46"/>
    <x v="47"/>
    <x v="5"/>
    <x v="49"/>
    <x v="94"/>
    <x v="1524"/>
    <x v="22"/>
    <x v="22"/>
    <x v="1"/>
  </r>
  <r>
    <x v="5"/>
    <x v="0"/>
    <x v="202"/>
    <x v="4"/>
    <x v="46"/>
    <x v="47"/>
    <x v="4"/>
    <x v="51"/>
    <x v="80"/>
    <x v="1370"/>
    <x v="30"/>
    <x v="30"/>
    <x v="1"/>
  </r>
  <r>
    <x v="5"/>
    <x v="0"/>
    <x v="203"/>
    <x v="4"/>
    <x v="46"/>
    <x v="47"/>
    <x v="0"/>
    <x v="62"/>
    <x v="77"/>
    <x v="1566"/>
    <x v="21"/>
    <x v="21"/>
    <x v="1"/>
  </r>
  <r>
    <x v="5"/>
    <x v="0"/>
    <x v="204"/>
    <x v="4"/>
    <x v="46"/>
    <x v="47"/>
    <x v="3"/>
    <x v="64"/>
    <x v="83"/>
    <x v="1709"/>
    <x v="21"/>
    <x v="21"/>
    <x v="1"/>
  </r>
  <r>
    <x v="5"/>
    <x v="0"/>
    <x v="205"/>
    <x v="4"/>
    <x v="46"/>
    <x v="47"/>
    <x v="2"/>
    <x v="47"/>
    <x v="140"/>
    <x v="2021"/>
    <x v="30"/>
    <x v="30"/>
    <x v="1"/>
  </r>
  <r>
    <x v="5"/>
    <x v="0"/>
    <x v="206"/>
    <x v="4"/>
    <x v="46"/>
    <x v="47"/>
    <x v="1"/>
    <x v="53"/>
    <x v="164"/>
    <x v="2387"/>
    <x v="23"/>
    <x v="23"/>
    <x v="1"/>
  </r>
  <r>
    <x v="5"/>
    <x v="0"/>
    <x v="207"/>
    <x v="4"/>
    <x v="46"/>
    <x v="47"/>
    <x v="5"/>
    <x v="47"/>
    <x v="104"/>
    <x v="1610"/>
    <x v="23"/>
    <x v="23"/>
    <x v="1"/>
  </r>
  <r>
    <x v="5"/>
    <x v="0"/>
    <x v="208"/>
    <x v="4"/>
    <x v="46"/>
    <x v="47"/>
    <x v="4"/>
    <x v="62"/>
    <x v="98"/>
    <x v="1899"/>
    <x v="29"/>
    <x v="29"/>
    <x v="1"/>
  </r>
  <r>
    <x v="5"/>
    <x v="0"/>
    <x v="209"/>
    <x v="4"/>
    <x v="46"/>
    <x v="47"/>
    <x v="0"/>
    <x v="78"/>
    <x v="96"/>
    <x v="2176"/>
    <x v="26"/>
    <x v="26"/>
    <x v="1"/>
  </r>
  <r>
    <x v="5"/>
    <x v="0"/>
    <x v="210"/>
    <x v="4"/>
    <x v="46"/>
    <x v="47"/>
    <x v="3"/>
    <x v="81"/>
    <x v="118"/>
    <x v="2481"/>
    <x v="17"/>
    <x v="17"/>
    <x v="1"/>
  </r>
  <r>
    <x v="5"/>
    <x v="0"/>
    <x v="211"/>
    <x v="4"/>
    <x v="46"/>
    <x v="47"/>
    <x v="2"/>
    <x v="71"/>
    <x v="164"/>
    <x v="2675"/>
    <x v="26"/>
    <x v="26"/>
    <x v="1"/>
  </r>
  <r>
    <x v="5"/>
    <x v="0"/>
    <x v="212"/>
    <x v="4"/>
    <x v="46"/>
    <x v="47"/>
    <x v="1"/>
    <x v="70"/>
    <x v="171"/>
    <x v="2688"/>
    <x v="24"/>
    <x v="24"/>
    <x v="1"/>
  </r>
  <r>
    <x v="5"/>
    <x v="0"/>
    <x v="213"/>
    <x v="4"/>
    <x v="46"/>
    <x v="47"/>
    <x v="5"/>
    <x v="66"/>
    <x v="118"/>
    <x v="2220"/>
    <x v="25"/>
    <x v="25"/>
    <x v="1"/>
  </r>
  <r>
    <x v="5"/>
    <x v="0"/>
    <x v="214"/>
    <x v="4"/>
    <x v="46"/>
    <x v="47"/>
    <x v="4"/>
    <x v="69"/>
    <x v="118"/>
    <x v="2280"/>
    <x v="29"/>
    <x v="29"/>
    <x v="1"/>
  </r>
  <r>
    <x v="5"/>
    <x v="0"/>
    <x v="215"/>
    <x v="4"/>
    <x v="46"/>
    <x v="47"/>
    <x v="0"/>
    <x v="75"/>
    <x v="113"/>
    <x v="2336"/>
    <x v="24"/>
    <x v="24"/>
    <x v="1"/>
  </r>
  <r>
    <x v="5"/>
    <x v="0"/>
    <x v="216"/>
    <x v="4"/>
    <x v="46"/>
    <x v="47"/>
    <x v="3"/>
    <x v="79"/>
    <x v="129"/>
    <x v="2549"/>
    <x v="20"/>
    <x v="20"/>
    <x v="1"/>
  </r>
  <r>
    <x v="1"/>
    <x v="1"/>
    <x v="217"/>
    <x v="4"/>
    <x v="46"/>
    <x v="47"/>
    <x v="2"/>
    <x v="37"/>
    <x v="230"/>
    <x v="2471"/>
    <x v="41"/>
    <x v="41"/>
    <x v="1"/>
  </r>
  <r>
    <x v="1"/>
    <x v="1"/>
    <x v="218"/>
    <x v="4"/>
    <x v="46"/>
    <x v="47"/>
    <x v="1"/>
    <x v="34"/>
    <x v="191"/>
    <x v="2072"/>
    <x v="35"/>
    <x v="35"/>
    <x v="1"/>
  </r>
  <r>
    <x v="1"/>
    <x v="1"/>
    <x v="219"/>
    <x v="4"/>
    <x v="46"/>
    <x v="47"/>
    <x v="5"/>
    <x v="27"/>
    <x v="196"/>
    <x v="1846"/>
    <x v="25"/>
    <x v="25"/>
    <x v="1"/>
  </r>
  <r>
    <x v="1"/>
    <x v="1"/>
    <x v="220"/>
    <x v="4"/>
    <x v="46"/>
    <x v="47"/>
    <x v="4"/>
    <x v="31"/>
    <x v="152"/>
    <x v="1598"/>
    <x v="26"/>
    <x v="26"/>
    <x v="1"/>
  </r>
  <r>
    <x v="1"/>
    <x v="1"/>
    <x v="221"/>
    <x v="3"/>
    <x v="8"/>
    <x v="31"/>
    <x v="0"/>
    <x v="43"/>
    <x v="171"/>
    <x v="2173"/>
    <x v="36"/>
    <x v="36"/>
    <x v="1"/>
  </r>
  <r>
    <x v="1"/>
    <x v="1"/>
    <x v="222"/>
    <x v="3"/>
    <x v="8"/>
    <x v="31"/>
    <x v="3"/>
    <x v="34"/>
    <x v="210"/>
    <x v="2228"/>
    <x v="48"/>
    <x v="48"/>
    <x v="1"/>
  </r>
  <r>
    <x v="1"/>
    <x v="1"/>
    <x v="223"/>
    <x v="3"/>
    <x v="8"/>
    <x v="31"/>
    <x v="2"/>
    <x v="36"/>
    <x v="268"/>
    <x v="2612"/>
    <x v="43"/>
    <x v="43"/>
    <x v="1"/>
  </r>
  <r>
    <x v="1"/>
    <x v="1"/>
    <x v="224"/>
    <x v="3"/>
    <x v="8"/>
    <x v="31"/>
    <x v="1"/>
    <x v="36"/>
    <x v="171"/>
    <x v="1957"/>
    <x v="35"/>
    <x v="35"/>
    <x v="1"/>
  </r>
  <r>
    <x v="1"/>
    <x v="1"/>
    <x v="225"/>
    <x v="3"/>
    <x v="8"/>
    <x v="31"/>
    <x v="5"/>
    <x v="25"/>
    <x v="204"/>
    <x v="1815"/>
    <x v="24"/>
    <x v="24"/>
    <x v="1"/>
  </r>
  <r>
    <x v="5"/>
    <x v="1"/>
    <x v="226"/>
    <x v="3"/>
    <x v="8"/>
    <x v="31"/>
    <x v="4"/>
    <x v="31"/>
    <x v="147"/>
    <x v="1547"/>
    <x v="30"/>
    <x v="30"/>
    <x v="1"/>
  </r>
  <r>
    <x v="1"/>
    <x v="1"/>
    <x v="227"/>
    <x v="3"/>
    <x v="8"/>
    <x v="31"/>
    <x v="0"/>
    <x v="46"/>
    <x v="188"/>
    <x v="2416"/>
    <x v="34"/>
    <x v="34"/>
    <x v="1"/>
  </r>
  <r>
    <x v="1"/>
    <x v="1"/>
    <x v="228"/>
    <x v="3"/>
    <x v="8"/>
    <x v="31"/>
    <x v="3"/>
    <x v="34"/>
    <x v="191"/>
    <x v="2072"/>
    <x v="51"/>
    <x v="51"/>
    <x v="1"/>
  </r>
  <r>
    <x v="1"/>
    <x v="1"/>
    <x v="229"/>
    <x v="3"/>
    <x v="8"/>
    <x v="31"/>
    <x v="2"/>
    <x v="34"/>
    <x v="226"/>
    <x v="2347"/>
    <x v="46"/>
    <x v="46"/>
    <x v="1"/>
  </r>
  <r>
    <x v="1"/>
    <x v="1"/>
    <x v="230"/>
    <x v="3"/>
    <x v="8"/>
    <x v="31"/>
    <x v="1"/>
    <x v="35"/>
    <x v="194"/>
    <x v="2125"/>
    <x v="34"/>
    <x v="34"/>
    <x v="1"/>
  </r>
  <r>
    <x v="1"/>
    <x v="1"/>
    <x v="231"/>
    <x v="3"/>
    <x v="8"/>
    <x v="31"/>
    <x v="5"/>
    <x v="25"/>
    <x v="187"/>
    <x v="1663"/>
    <x v="21"/>
    <x v="21"/>
    <x v="1"/>
  </r>
  <r>
    <x v="1"/>
    <x v="1"/>
    <x v="232"/>
    <x v="3"/>
    <x v="8"/>
    <x v="31"/>
    <x v="4"/>
    <x v="29"/>
    <x v="152"/>
    <x v="1516"/>
    <x v="26"/>
    <x v="26"/>
    <x v="1"/>
  </r>
  <r>
    <x v="1"/>
    <x v="1"/>
    <x v="233"/>
    <x v="3"/>
    <x v="8"/>
    <x v="31"/>
    <x v="0"/>
    <x v="46"/>
    <x v="159"/>
    <x v="2162"/>
    <x v="32"/>
    <x v="32"/>
    <x v="1"/>
  </r>
  <r>
    <x v="1"/>
    <x v="1"/>
    <x v="234"/>
    <x v="3"/>
    <x v="8"/>
    <x v="31"/>
    <x v="3"/>
    <x v="35"/>
    <x v="194"/>
    <x v="2125"/>
    <x v="50"/>
    <x v="50"/>
    <x v="1"/>
  </r>
  <r>
    <x v="1"/>
    <x v="1"/>
    <x v="113"/>
    <x v="3"/>
    <x v="8"/>
    <x v="31"/>
    <x v="2"/>
    <x v="35"/>
    <x v="216"/>
    <x v="2316"/>
    <x v="44"/>
    <x v="44"/>
    <x v="1"/>
  </r>
  <r>
    <x v="1"/>
    <x v="1"/>
    <x v="113"/>
    <x v="3"/>
    <x v="8"/>
    <x v="31"/>
    <x v="1"/>
    <x v="34"/>
    <x v="183"/>
    <x v="1994"/>
    <x v="36"/>
    <x v="36"/>
    <x v="1"/>
  </r>
  <r>
    <x v="5"/>
    <x v="1"/>
    <x v="113"/>
    <x v="3"/>
    <x v="8"/>
    <x v="31"/>
    <x v="5"/>
    <x v="25"/>
    <x v="177"/>
    <x v="1567"/>
    <x v="26"/>
    <x v="26"/>
    <x v="1"/>
  </r>
  <r>
    <x v="5"/>
    <x v="1"/>
    <x v="113"/>
    <x v="3"/>
    <x v="8"/>
    <x v="31"/>
    <x v="4"/>
    <x v="31"/>
    <x v="165"/>
    <x v="1713"/>
    <x v="31"/>
    <x v="31"/>
    <x v="1"/>
  </r>
  <r>
    <x v="5"/>
    <x v="1"/>
    <x v="113"/>
    <x v="3"/>
    <x v="8"/>
    <x v="31"/>
    <x v="0"/>
    <x v="45"/>
    <x v="172"/>
    <x v="2235"/>
    <x v="31"/>
    <x v="31"/>
    <x v="1"/>
  </r>
  <r>
    <x v="5"/>
    <x v="1"/>
    <x v="113"/>
    <x v="3"/>
    <x v="8"/>
    <x v="31"/>
    <x v="3"/>
    <x v="37"/>
    <x v="181"/>
    <x v="2084"/>
    <x v="46"/>
    <x v="46"/>
    <x v="1"/>
  </r>
  <r>
    <x v="5"/>
    <x v="1"/>
    <x v="113"/>
    <x v="3"/>
    <x v="8"/>
    <x v="31"/>
    <x v="2"/>
    <x v="45"/>
    <x v="254"/>
    <x v="2720"/>
    <x v="42"/>
    <x v="42"/>
    <x v="1"/>
  </r>
  <r>
    <x v="5"/>
    <x v="1"/>
    <x v="113"/>
    <x v="3"/>
    <x v="8"/>
    <x v="31"/>
    <x v="1"/>
    <x v="47"/>
    <x v="170"/>
    <x v="2277"/>
    <x v="36"/>
    <x v="36"/>
    <x v="1"/>
  </r>
  <r>
    <x v="5"/>
    <x v="1"/>
    <x v="113"/>
    <x v="3"/>
    <x v="8"/>
    <x v="31"/>
    <x v="5"/>
    <x v="40"/>
    <x v="164"/>
    <x v="2038"/>
    <x v="23"/>
    <x v="23"/>
    <x v="1"/>
  </r>
  <r>
    <x v="5"/>
    <x v="1"/>
    <x v="113"/>
    <x v="3"/>
    <x v="8"/>
    <x v="31"/>
    <x v="4"/>
    <x v="42"/>
    <x v="152"/>
    <x v="1990"/>
    <x v="29"/>
    <x v="29"/>
    <x v="1"/>
  </r>
  <r>
    <x v="5"/>
    <x v="1"/>
    <x v="113"/>
    <x v="3"/>
    <x v="8"/>
    <x v="31"/>
    <x v="0"/>
    <x v="51"/>
    <x v="172"/>
    <x v="2397"/>
    <x v="33"/>
    <x v="33"/>
    <x v="1"/>
  </r>
  <r>
    <x v="5"/>
    <x v="1"/>
    <x v="113"/>
    <x v="3"/>
    <x v="8"/>
    <x v="31"/>
    <x v="3"/>
    <x v="57"/>
    <x v="211"/>
    <x v="2732"/>
    <x v="50"/>
    <x v="50"/>
    <x v="1"/>
  </r>
  <r>
    <x v="5"/>
    <x v="1"/>
    <x v="113"/>
    <x v="3"/>
    <x v="8"/>
    <x v="31"/>
    <x v="2"/>
    <x v="48"/>
    <x v="246"/>
    <x v="2735"/>
    <x v="45"/>
    <x v="45"/>
    <x v="1"/>
  </r>
  <r>
    <x v="5"/>
    <x v="1"/>
    <x v="113"/>
    <x v="3"/>
    <x v="8"/>
    <x v="31"/>
    <x v="1"/>
    <x v="47"/>
    <x v="179"/>
    <x v="2370"/>
    <x v="35"/>
    <x v="35"/>
    <x v="1"/>
  </r>
  <r>
    <x v="5"/>
    <x v="1"/>
    <x v="249"/>
    <x v="3"/>
    <x v="8"/>
    <x v="31"/>
    <x v="5"/>
    <x v="42"/>
    <x v="181"/>
    <x v="2235"/>
    <x v="21"/>
    <x v="21"/>
    <x v="1"/>
  </r>
  <r>
    <x v="5"/>
    <x v="1"/>
    <x v="250"/>
    <x v="3"/>
    <x v="8"/>
    <x v="31"/>
    <x v="4"/>
    <x v="40"/>
    <x v="187"/>
    <x v="2236"/>
    <x v="26"/>
    <x v="26"/>
    <x v="1"/>
  </r>
  <r>
    <x v="5"/>
    <x v="1"/>
    <x v="251"/>
    <x v="3"/>
    <x v="8"/>
    <x v="31"/>
    <x v="0"/>
    <x v="55"/>
    <x v="199"/>
    <x v="2660"/>
    <x v="35"/>
    <x v="35"/>
    <x v="1"/>
  </r>
  <r>
    <x v="5"/>
    <x v="1"/>
    <x v="252"/>
    <x v="3"/>
    <x v="8"/>
    <x v="31"/>
    <x v="3"/>
    <x v="56"/>
    <x v="219"/>
    <x v="2749"/>
    <x v="51"/>
    <x v="51"/>
    <x v="1"/>
  </r>
  <r>
    <x v="5"/>
    <x v="1"/>
    <x v="253"/>
    <x v="3"/>
    <x v="8"/>
    <x v="31"/>
    <x v="2"/>
    <x v="53"/>
    <x v="253"/>
    <x v="2802"/>
    <x v="46"/>
    <x v="46"/>
    <x v="1"/>
  </r>
  <r>
    <x v="5"/>
    <x v="1"/>
    <x v="254"/>
    <x v="3"/>
    <x v="8"/>
    <x v="31"/>
    <x v="1"/>
    <x v="50"/>
    <x v="194"/>
    <x v="2543"/>
    <x v="32"/>
    <x v="32"/>
    <x v="1"/>
  </r>
  <r>
    <x v="5"/>
    <x v="1"/>
    <x v="255"/>
    <x v="3"/>
    <x v="8"/>
    <x v="31"/>
    <x v="5"/>
    <x v="43"/>
    <x v="185"/>
    <x v="2315"/>
    <x v="23"/>
    <x v="23"/>
    <x v="1"/>
  </r>
  <r>
    <x v="5"/>
    <x v="1"/>
    <x v="256"/>
    <x v="3"/>
    <x v="8"/>
    <x v="31"/>
    <x v="4"/>
    <x v="46"/>
    <x v="199"/>
    <x v="2501"/>
    <x v="29"/>
    <x v="29"/>
    <x v="1"/>
  </r>
  <r>
    <x v="5"/>
    <x v="1"/>
    <x v="257"/>
    <x v="3"/>
    <x v="8"/>
    <x v="31"/>
    <x v="0"/>
    <x v="54"/>
    <x v="181"/>
    <x v="2530"/>
    <x v="35"/>
    <x v="35"/>
    <x v="1"/>
  </r>
  <r>
    <x v="5"/>
    <x v="1"/>
    <x v="258"/>
    <x v="3"/>
    <x v="8"/>
    <x v="31"/>
    <x v="3"/>
    <x v="60"/>
    <x v="207"/>
    <x v="2752"/>
    <x v="51"/>
    <x v="51"/>
    <x v="1"/>
  </r>
  <r>
    <x v="5"/>
    <x v="1"/>
    <x v="259"/>
    <x v="3"/>
    <x v="8"/>
    <x v="31"/>
    <x v="2"/>
    <x v="53"/>
    <x v="256"/>
    <x v="2808"/>
    <x v="43"/>
    <x v="43"/>
    <x v="1"/>
  </r>
  <r>
    <x v="5"/>
    <x v="1"/>
    <x v="260"/>
    <x v="3"/>
    <x v="8"/>
    <x v="31"/>
    <x v="1"/>
    <x v="48"/>
    <x v="213"/>
    <x v="2625"/>
    <x v="31"/>
    <x v="31"/>
    <x v="1"/>
  </r>
  <r>
    <x v="5"/>
    <x v="1"/>
    <x v="261"/>
    <x v="3"/>
    <x v="8"/>
    <x v="31"/>
    <x v="5"/>
    <x v="46"/>
    <x v="197"/>
    <x v="2489"/>
    <x v="23"/>
    <x v="23"/>
    <x v="1"/>
  </r>
  <r>
    <x v="1"/>
    <x v="1"/>
    <x v="262"/>
    <x v="3"/>
    <x v="8"/>
    <x v="31"/>
    <x v="4"/>
    <x v="37"/>
    <x v="199"/>
    <x v="2247"/>
    <x v="26"/>
    <x v="26"/>
    <x v="1"/>
  </r>
  <r>
    <x v="1"/>
    <x v="1"/>
    <x v="263"/>
    <x v="3"/>
    <x v="8"/>
    <x v="31"/>
    <x v="0"/>
    <x v="45"/>
    <x v="194"/>
    <x v="2435"/>
    <x v="31"/>
    <x v="31"/>
    <x v="1"/>
  </r>
  <r>
    <x v="1"/>
    <x v="1"/>
    <x v="264"/>
    <x v="3"/>
    <x v="8"/>
    <x v="31"/>
    <x v="3"/>
    <x v="49"/>
    <x v="234"/>
    <x v="2718"/>
    <x v="47"/>
    <x v="47"/>
    <x v="1"/>
  </r>
  <r>
    <x v="1"/>
    <x v="1"/>
    <x v="265"/>
    <x v="3"/>
    <x v="8"/>
    <x v="31"/>
    <x v="2"/>
    <x v="46"/>
    <x v="240"/>
    <x v="2691"/>
    <x v="41"/>
    <x v="41"/>
    <x v="1"/>
  </r>
  <r>
    <x v="1"/>
    <x v="1"/>
    <x v="266"/>
    <x v="3"/>
    <x v="8"/>
    <x v="31"/>
    <x v="1"/>
    <x v="39"/>
    <x v="215"/>
    <x v="2437"/>
    <x v="31"/>
    <x v="31"/>
    <x v="1"/>
  </r>
  <r>
    <x v="3"/>
    <x v="1"/>
    <x v="267"/>
    <x v="3"/>
    <x v="8"/>
    <x v="31"/>
    <x v="5"/>
    <x v="34"/>
    <x v="194"/>
    <x v="2095"/>
    <x v="23"/>
    <x v="23"/>
    <x v="1"/>
  </r>
  <r>
    <x v="3"/>
    <x v="1"/>
    <x v="268"/>
    <x v="3"/>
    <x v="8"/>
    <x v="31"/>
    <x v="4"/>
    <x v="35"/>
    <x v="183"/>
    <x v="2034"/>
    <x v="29"/>
    <x v="29"/>
    <x v="1"/>
  </r>
  <r>
    <x v="3"/>
    <x v="1"/>
    <x v="269"/>
    <x v="3"/>
    <x v="8"/>
    <x v="31"/>
    <x v="0"/>
    <x v="43"/>
    <x v="183"/>
    <x v="2282"/>
    <x v="36"/>
    <x v="36"/>
    <x v="1"/>
  </r>
  <r>
    <x v="3"/>
    <x v="1"/>
    <x v="270"/>
    <x v="3"/>
    <x v="8"/>
    <x v="31"/>
    <x v="3"/>
    <x v="48"/>
    <x v="192"/>
    <x v="2492"/>
    <x v="49"/>
    <x v="49"/>
    <x v="1"/>
  </r>
  <r>
    <x v="3"/>
    <x v="1"/>
    <x v="271"/>
    <x v="3"/>
    <x v="8"/>
    <x v="31"/>
    <x v="2"/>
    <x v="49"/>
    <x v="227"/>
    <x v="2693"/>
    <x v="46"/>
    <x v="46"/>
    <x v="1"/>
  </r>
  <r>
    <x v="3"/>
    <x v="1"/>
    <x v="272"/>
    <x v="3"/>
    <x v="8"/>
    <x v="31"/>
    <x v="1"/>
    <x v="40"/>
    <x v="185"/>
    <x v="2225"/>
    <x v="31"/>
    <x v="31"/>
    <x v="1"/>
  </r>
  <r>
    <x v="3"/>
    <x v="1"/>
    <x v="273"/>
    <x v="3"/>
    <x v="8"/>
    <x v="31"/>
    <x v="5"/>
    <x v="40"/>
    <x v="177"/>
    <x v="2143"/>
    <x v="25"/>
    <x v="25"/>
    <x v="1"/>
  </r>
  <r>
    <x v="3"/>
    <x v="1"/>
    <x v="274"/>
    <x v="3"/>
    <x v="8"/>
    <x v="31"/>
    <x v="4"/>
    <x v="38"/>
    <x v="159"/>
    <x v="1920"/>
    <x v="30"/>
    <x v="30"/>
    <x v="1"/>
  </r>
  <r>
    <x v="3"/>
    <x v="1"/>
    <x v="275"/>
    <x v="3"/>
    <x v="8"/>
    <x v="31"/>
    <x v="0"/>
    <x v="50"/>
    <x v="165"/>
    <x v="2319"/>
    <x v="36"/>
    <x v="36"/>
    <x v="1"/>
  </r>
  <r>
    <x v="3"/>
    <x v="1"/>
    <x v="276"/>
    <x v="3"/>
    <x v="8"/>
    <x v="31"/>
    <x v="3"/>
    <x v="52"/>
    <x v="192"/>
    <x v="2575"/>
    <x v="51"/>
    <x v="51"/>
    <x v="1"/>
  </r>
  <r>
    <x v="3"/>
    <x v="1"/>
    <x v="277"/>
    <x v="3"/>
    <x v="8"/>
    <x v="31"/>
    <x v="2"/>
    <x v="49"/>
    <x v="207"/>
    <x v="2608"/>
    <x v="44"/>
    <x v="44"/>
    <x v="1"/>
  </r>
  <r>
    <x v="3"/>
    <x v="1"/>
    <x v="278"/>
    <x v="3"/>
    <x v="8"/>
    <x v="31"/>
    <x v="1"/>
    <x v="42"/>
    <x v="193"/>
    <x v="2344"/>
    <x v="34"/>
    <x v="34"/>
    <x v="1"/>
  </r>
  <r>
    <x v="3"/>
    <x v="1"/>
    <x v="279"/>
    <x v="3"/>
    <x v="8"/>
    <x v="31"/>
    <x v="5"/>
    <x v="39"/>
    <x v="193"/>
    <x v="2254"/>
    <x v="23"/>
    <x v="23"/>
    <x v="1"/>
  </r>
  <r>
    <x v="3"/>
    <x v="1"/>
    <x v="280"/>
    <x v="3"/>
    <x v="8"/>
    <x v="31"/>
    <x v="4"/>
    <x v="42"/>
    <x v="176"/>
    <x v="2193"/>
    <x v="30"/>
    <x v="30"/>
    <x v="1"/>
  </r>
  <r>
    <x v="3"/>
    <x v="1"/>
    <x v="281"/>
    <x v="3"/>
    <x v="8"/>
    <x v="31"/>
    <x v="0"/>
    <x v="57"/>
    <x v="171"/>
    <x v="2511"/>
    <x v="36"/>
    <x v="36"/>
    <x v="1"/>
  </r>
  <r>
    <x v="3"/>
    <x v="1"/>
    <x v="282"/>
    <x v="3"/>
    <x v="8"/>
    <x v="31"/>
    <x v="3"/>
    <x v="57"/>
    <x v="184"/>
    <x v="2606"/>
    <x v="46"/>
    <x v="46"/>
    <x v="1"/>
  </r>
  <r>
    <x v="3"/>
    <x v="1"/>
    <x v="143"/>
    <x v="3"/>
    <x v="8"/>
    <x v="31"/>
    <x v="2"/>
    <x v="56"/>
    <x v="271"/>
    <x v="2849"/>
    <x v="42"/>
    <x v="42"/>
    <x v="1"/>
  </r>
  <r>
    <x v="3"/>
    <x v="1"/>
    <x v="143"/>
    <x v="3"/>
    <x v="8"/>
    <x v="31"/>
    <x v="1"/>
    <x v="44"/>
    <x v="214"/>
    <x v="2555"/>
    <x v="33"/>
    <x v="33"/>
    <x v="1"/>
  </r>
  <r>
    <x v="3"/>
    <x v="1"/>
    <x v="143"/>
    <x v="3"/>
    <x v="8"/>
    <x v="31"/>
    <x v="5"/>
    <x v="45"/>
    <x v="211"/>
    <x v="2548"/>
    <x v="23"/>
    <x v="23"/>
    <x v="1"/>
  </r>
  <r>
    <x v="3"/>
    <x v="1"/>
    <x v="143"/>
    <x v="3"/>
    <x v="8"/>
    <x v="31"/>
    <x v="4"/>
    <x v="47"/>
    <x v="182"/>
    <x v="2388"/>
    <x v="29"/>
    <x v="29"/>
    <x v="1"/>
  </r>
  <r>
    <x v="1"/>
    <x v="1"/>
    <x v="143"/>
    <x v="3"/>
    <x v="8"/>
    <x v="31"/>
    <x v="0"/>
    <x v="53"/>
    <x v="176"/>
    <x v="2480"/>
    <x v="35"/>
    <x v="35"/>
    <x v="1"/>
  </r>
  <r>
    <x v="1"/>
    <x v="1"/>
    <x v="143"/>
    <x v="3"/>
    <x v="8"/>
    <x v="31"/>
    <x v="3"/>
    <x v="57"/>
    <x v="189"/>
    <x v="2639"/>
    <x v="49"/>
    <x v="49"/>
    <x v="1"/>
  </r>
  <r>
    <x v="1"/>
    <x v="1"/>
    <x v="283"/>
    <x v="3"/>
    <x v="8"/>
    <x v="31"/>
    <x v="2"/>
    <x v="26"/>
    <x v="111"/>
    <x v="1036"/>
    <x v="31"/>
    <x v="31"/>
    <x v="1"/>
  </r>
  <r>
    <x v="1"/>
    <x v="1"/>
    <x v="284"/>
    <x v="3"/>
    <x v="8"/>
    <x v="31"/>
    <x v="1"/>
    <x v="26"/>
    <x v="54"/>
    <x v="432"/>
    <x v="26"/>
    <x v="26"/>
    <x v="1"/>
  </r>
  <r>
    <x v="1"/>
    <x v="1"/>
    <x v="285"/>
    <x v="3"/>
    <x v="8"/>
    <x v="31"/>
    <x v="5"/>
    <x v="17"/>
    <x v="52"/>
    <x v="254"/>
    <x v="30"/>
    <x v="30"/>
    <x v="1"/>
  </r>
  <r>
    <x v="1"/>
    <x v="1"/>
    <x v="286"/>
    <x v="3"/>
    <x v="8"/>
    <x v="31"/>
    <x v="4"/>
    <x v="22"/>
    <x v="16"/>
    <x v="72"/>
    <x v="31"/>
    <x v="31"/>
    <x v="1"/>
  </r>
  <r>
    <x v="1"/>
    <x v="1"/>
    <x v="287"/>
    <x v="0"/>
    <x v="22"/>
    <x v="33"/>
    <x v="0"/>
    <x v="36"/>
    <x v="28"/>
    <x v="297"/>
    <x v="31"/>
    <x v="31"/>
    <x v="1"/>
  </r>
  <r>
    <x v="1"/>
    <x v="1"/>
    <x v="288"/>
    <x v="0"/>
    <x v="22"/>
    <x v="33"/>
    <x v="3"/>
    <x v="25"/>
    <x v="54"/>
    <x v="416"/>
    <x v="42"/>
    <x v="42"/>
    <x v="1"/>
  </r>
  <r>
    <x v="1"/>
    <x v="1"/>
    <x v="289"/>
    <x v="0"/>
    <x v="22"/>
    <x v="33"/>
    <x v="2"/>
    <x v="25"/>
    <x v="115"/>
    <x v="1034"/>
    <x v="31"/>
    <x v="31"/>
    <x v="1"/>
  </r>
  <r>
    <x v="1"/>
    <x v="1"/>
    <x v="290"/>
    <x v="0"/>
    <x v="22"/>
    <x v="33"/>
    <x v="1"/>
    <x v="27"/>
    <x v="27"/>
    <x v="185"/>
    <x v="31"/>
    <x v="31"/>
    <x v="1"/>
  </r>
  <r>
    <x v="1"/>
    <x v="1"/>
    <x v="291"/>
    <x v="0"/>
    <x v="22"/>
    <x v="33"/>
    <x v="5"/>
    <x v="18"/>
    <x v="45"/>
    <x v="213"/>
    <x v="28"/>
    <x v="28"/>
    <x v="1"/>
  </r>
  <r>
    <x v="1"/>
    <x v="1"/>
    <x v="292"/>
    <x v="0"/>
    <x v="22"/>
    <x v="33"/>
    <x v="4"/>
    <x v="20"/>
    <x v="10"/>
    <x v="35"/>
    <x v="33"/>
    <x v="33"/>
    <x v="1"/>
  </r>
  <r>
    <x v="1"/>
    <x v="1"/>
    <x v="293"/>
    <x v="0"/>
    <x v="22"/>
    <x v="33"/>
    <x v="0"/>
    <x v="34"/>
    <x v="33"/>
    <x v="333"/>
    <x v="27"/>
    <x v="27"/>
    <x v="1"/>
  </r>
  <r>
    <x v="1"/>
    <x v="1"/>
    <x v="294"/>
    <x v="0"/>
    <x v="22"/>
    <x v="33"/>
    <x v="3"/>
    <x v="27"/>
    <x v="54"/>
    <x v="452"/>
    <x v="41"/>
    <x v="41"/>
    <x v="1"/>
  </r>
  <r>
    <x v="1"/>
    <x v="1"/>
    <x v="295"/>
    <x v="0"/>
    <x v="22"/>
    <x v="33"/>
    <x v="2"/>
    <x v="32"/>
    <x v="97"/>
    <x v="1094"/>
    <x v="36"/>
    <x v="36"/>
    <x v="1"/>
  </r>
  <r>
    <x v="1"/>
    <x v="1"/>
    <x v="296"/>
    <x v="0"/>
    <x v="22"/>
    <x v="33"/>
    <x v="1"/>
    <x v="31"/>
    <x v="25"/>
    <x v="193"/>
    <x v="26"/>
    <x v="26"/>
    <x v="1"/>
  </r>
  <r>
    <x v="1"/>
    <x v="1"/>
    <x v="297"/>
    <x v="0"/>
    <x v="22"/>
    <x v="33"/>
    <x v="5"/>
    <x v="22"/>
    <x v="42"/>
    <x v="260"/>
    <x v="31"/>
    <x v="31"/>
    <x v="1"/>
  </r>
  <r>
    <x v="1"/>
    <x v="1"/>
    <x v="298"/>
    <x v="0"/>
    <x v="22"/>
    <x v="33"/>
    <x v="4"/>
    <x v="25"/>
    <x v="2"/>
    <x v="3"/>
    <x v="36"/>
    <x v="36"/>
    <x v="1"/>
  </r>
  <r>
    <x v="1"/>
    <x v="1"/>
    <x v="299"/>
    <x v="0"/>
    <x v="22"/>
    <x v="33"/>
    <x v="0"/>
    <x v="40"/>
    <x v="9"/>
    <x v="92"/>
    <x v="28"/>
    <x v="28"/>
    <x v="1"/>
  </r>
  <r>
    <x v="1"/>
    <x v="1"/>
    <x v="300"/>
    <x v="0"/>
    <x v="22"/>
    <x v="33"/>
    <x v="3"/>
    <x v="31"/>
    <x v="36"/>
    <x v="327"/>
    <x v="41"/>
    <x v="41"/>
    <x v="1"/>
  </r>
  <r>
    <x v="1"/>
    <x v="1"/>
    <x v="301"/>
    <x v="0"/>
    <x v="22"/>
    <x v="33"/>
    <x v="2"/>
    <x v="29"/>
    <x v="101"/>
    <x v="1034"/>
    <x v="33"/>
    <x v="33"/>
    <x v="1"/>
  </r>
  <r>
    <x v="1"/>
    <x v="1"/>
    <x v="302"/>
    <x v="0"/>
    <x v="22"/>
    <x v="33"/>
    <x v="1"/>
    <x v="31"/>
    <x v="18"/>
    <x v="130"/>
    <x v="28"/>
    <x v="28"/>
    <x v="1"/>
  </r>
  <r>
    <x v="1"/>
    <x v="1"/>
    <x v="303"/>
    <x v="0"/>
    <x v="22"/>
    <x v="33"/>
    <x v="5"/>
    <x v="22"/>
    <x v="16"/>
    <x v="72"/>
    <x v="30"/>
    <x v="30"/>
    <x v="1"/>
  </r>
  <r>
    <x v="1"/>
    <x v="1"/>
    <x v="304"/>
    <x v="0"/>
    <x v="22"/>
    <x v="33"/>
    <x v="4"/>
    <x v="25"/>
    <x v="2"/>
    <x v="3"/>
    <x v="36"/>
    <x v="36"/>
    <x v="1"/>
  </r>
  <r>
    <x v="1"/>
    <x v="1"/>
    <x v="305"/>
    <x v="0"/>
    <x v="22"/>
    <x v="33"/>
    <x v="0"/>
    <x v="40"/>
    <x v="5"/>
    <x v="51"/>
    <x v="26"/>
    <x v="26"/>
    <x v="1"/>
  </r>
  <r>
    <x v="1"/>
    <x v="1"/>
    <x v="306"/>
    <x v="0"/>
    <x v="22"/>
    <x v="33"/>
    <x v="3"/>
    <x v="29"/>
    <x v="42"/>
    <x v="361"/>
    <x v="46"/>
    <x v="46"/>
    <x v="1"/>
  </r>
  <r>
    <x v="1"/>
    <x v="1"/>
    <x v="307"/>
    <x v="0"/>
    <x v="22"/>
    <x v="33"/>
    <x v="2"/>
    <x v="41"/>
    <x v="97"/>
    <x v="1342"/>
    <x v="33"/>
    <x v="33"/>
    <x v="1"/>
  </r>
  <r>
    <x v="1"/>
    <x v="1"/>
    <x v="308"/>
    <x v="0"/>
    <x v="22"/>
    <x v="33"/>
    <x v="1"/>
    <x v="37"/>
    <x v="33"/>
    <x v="371"/>
    <x v="27"/>
    <x v="27"/>
    <x v="1"/>
  </r>
  <r>
    <x v="1"/>
    <x v="1"/>
    <x v="309"/>
    <x v="0"/>
    <x v="22"/>
    <x v="33"/>
    <x v="5"/>
    <x v="30"/>
    <x v="27"/>
    <x v="216"/>
    <x v="30"/>
    <x v="30"/>
    <x v="1"/>
  </r>
  <r>
    <x v="1"/>
    <x v="1"/>
    <x v="310"/>
    <x v="0"/>
    <x v="22"/>
    <x v="33"/>
    <x v="4"/>
    <x v="29"/>
    <x v="4"/>
    <x v="24"/>
    <x v="35"/>
    <x v="35"/>
    <x v="1"/>
  </r>
  <r>
    <x v="1"/>
    <x v="1"/>
    <x v="311"/>
    <x v="0"/>
    <x v="22"/>
    <x v="33"/>
    <x v="0"/>
    <x v="43"/>
    <x v="10"/>
    <x v="117"/>
    <x v="27"/>
    <x v="27"/>
    <x v="1"/>
  </r>
  <r>
    <x v="1"/>
    <x v="1"/>
    <x v="312"/>
    <x v="0"/>
    <x v="22"/>
    <x v="33"/>
    <x v="3"/>
    <x v="51"/>
    <x v="40"/>
    <x v="658"/>
    <x v="45"/>
    <x v="45"/>
    <x v="1"/>
  </r>
  <r>
    <x v="1"/>
    <x v="1"/>
    <x v="313"/>
    <x v="0"/>
    <x v="22"/>
    <x v="33"/>
    <x v="2"/>
    <x v="37"/>
    <x v="88"/>
    <x v="1126"/>
    <x v="35"/>
    <x v="35"/>
    <x v="1"/>
  </r>
  <r>
    <x v="1"/>
    <x v="1"/>
    <x v="314"/>
    <x v="0"/>
    <x v="22"/>
    <x v="33"/>
    <x v="1"/>
    <x v="31"/>
    <x v="38"/>
    <x v="348"/>
    <x v="27"/>
    <x v="27"/>
    <x v="1"/>
  </r>
  <r>
    <x v="1"/>
    <x v="1"/>
    <x v="315"/>
    <x v="0"/>
    <x v="22"/>
    <x v="33"/>
    <x v="5"/>
    <x v="26"/>
    <x v="36"/>
    <x v="264"/>
    <x v="31"/>
    <x v="31"/>
    <x v="1"/>
  </r>
  <r>
    <x v="1"/>
    <x v="1"/>
    <x v="316"/>
    <x v="0"/>
    <x v="22"/>
    <x v="33"/>
    <x v="4"/>
    <x v="25"/>
    <x v="34"/>
    <x v="230"/>
    <x v="33"/>
    <x v="33"/>
    <x v="1"/>
  </r>
  <r>
    <x v="1"/>
    <x v="1"/>
    <x v="317"/>
    <x v="0"/>
    <x v="22"/>
    <x v="33"/>
    <x v="0"/>
    <x v="42"/>
    <x v="34"/>
    <x v="450"/>
    <x v="28"/>
    <x v="28"/>
    <x v="1"/>
  </r>
  <r>
    <x v="1"/>
    <x v="1"/>
    <x v="318"/>
    <x v="0"/>
    <x v="22"/>
    <x v="33"/>
    <x v="3"/>
    <x v="46"/>
    <x v="67"/>
    <x v="1027"/>
    <x v="42"/>
    <x v="42"/>
    <x v="1"/>
  </r>
  <r>
    <x v="1"/>
    <x v="1"/>
    <x v="319"/>
    <x v="0"/>
    <x v="22"/>
    <x v="33"/>
    <x v="2"/>
    <x v="42"/>
    <x v="138"/>
    <x v="1851"/>
    <x v="33"/>
    <x v="33"/>
    <x v="1"/>
  </r>
  <r>
    <x v="1"/>
    <x v="1"/>
    <x v="320"/>
    <x v="0"/>
    <x v="22"/>
    <x v="33"/>
    <x v="1"/>
    <x v="35"/>
    <x v="62"/>
    <x v="721"/>
    <x v="31"/>
    <x v="31"/>
    <x v="1"/>
  </r>
  <r>
    <x v="1"/>
    <x v="1"/>
    <x v="321"/>
    <x v="0"/>
    <x v="22"/>
    <x v="33"/>
    <x v="5"/>
    <x v="29"/>
    <x v="52"/>
    <x v="466"/>
    <x v="28"/>
    <x v="28"/>
    <x v="1"/>
  </r>
  <r>
    <x v="1"/>
    <x v="1"/>
    <x v="322"/>
    <x v="0"/>
    <x v="22"/>
    <x v="33"/>
    <x v="4"/>
    <x v="31"/>
    <x v="40"/>
    <x v="372"/>
    <x v="34"/>
    <x v="34"/>
    <x v="1"/>
  </r>
  <r>
    <x v="1"/>
    <x v="1"/>
    <x v="323"/>
    <x v="0"/>
    <x v="22"/>
    <x v="33"/>
    <x v="0"/>
    <x v="42"/>
    <x v="47"/>
    <x v="629"/>
    <x v="27"/>
    <x v="27"/>
    <x v="1"/>
  </r>
  <r>
    <x v="1"/>
    <x v="1"/>
    <x v="324"/>
    <x v="0"/>
    <x v="22"/>
    <x v="33"/>
    <x v="3"/>
    <x v="47"/>
    <x v="80"/>
    <x v="1274"/>
    <x v="41"/>
    <x v="41"/>
    <x v="1"/>
  </r>
  <r>
    <x v="1"/>
    <x v="1"/>
    <x v="325"/>
    <x v="0"/>
    <x v="22"/>
    <x v="33"/>
    <x v="2"/>
    <x v="40"/>
    <x v="117"/>
    <x v="1553"/>
    <x v="33"/>
    <x v="33"/>
    <x v="1"/>
  </r>
  <r>
    <x v="1"/>
    <x v="1"/>
    <x v="326"/>
    <x v="0"/>
    <x v="22"/>
    <x v="33"/>
    <x v="1"/>
    <x v="36"/>
    <x v="72"/>
    <x v="887"/>
    <x v="27"/>
    <x v="27"/>
    <x v="1"/>
  </r>
  <r>
    <x v="1"/>
    <x v="1"/>
    <x v="327"/>
    <x v="0"/>
    <x v="22"/>
    <x v="33"/>
    <x v="5"/>
    <x v="30"/>
    <x v="56"/>
    <x v="533"/>
    <x v="26"/>
    <x v="26"/>
    <x v="1"/>
  </r>
  <r>
    <x v="1"/>
    <x v="1"/>
    <x v="328"/>
    <x v="0"/>
    <x v="22"/>
    <x v="33"/>
    <x v="4"/>
    <x v="26"/>
    <x v="36"/>
    <x v="264"/>
    <x v="35"/>
    <x v="35"/>
    <x v="1"/>
  </r>
  <r>
    <x v="1"/>
    <x v="1"/>
    <x v="329"/>
    <x v="0"/>
    <x v="22"/>
    <x v="33"/>
    <x v="0"/>
    <x v="35"/>
    <x v="31"/>
    <x v="321"/>
    <x v="27"/>
    <x v="27"/>
    <x v="1"/>
  </r>
  <r>
    <x v="1"/>
    <x v="1"/>
    <x v="330"/>
    <x v="0"/>
    <x v="22"/>
    <x v="33"/>
    <x v="3"/>
    <x v="39"/>
    <x v="73"/>
    <x v="968"/>
    <x v="43"/>
    <x v="43"/>
    <x v="1"/>
  </r>
  <r>
    <x v="1"/>
    <x v="1"/>
    <x v="331"/>
    <x v="0"/>
    <x v="22"/>
    <x v="33"/>
    <x v="2"/>
    <x v="36"/>
    <x v="94"/>
    <x v="1170"/>
    <x v="34"/>
    <x v="34"/>
    <x v="1"/>
  </r>
  <r>
    <x v="1"/>
    <x v="1"/>
    <x v="332"/>
    <x v="0"/>
    <x v="22"/>
    <x v="33"/>
    <x v="1"/>
    <x v="30"/>
    <x v="60"/>
    <x v="590"/>
    <x v="31"/>
    <x v="31"/>
    <x v="1"/>
  </r>
  <r>
    <x v="1"/>
    <x v="1"/>
    <x v="333"/>
    <x v="0"/>
    <x v="22"/>
    <x v="33"/>
    <x v="5"/>
    <x v="17"/>
    <x v="30"/>
    <x v="111"/>
    <x v="26"/>
    <x v="26"/>
    <x v="1"/>
  </r>
  <r>
    <x v="1"/>
    <x v="1"/>
    <x v="334"/>
    <x v="0"/>
    <x v="22"/>
    <x v="33"/>
    <x v="4"/>
    <x v="17"/>
    <x v="21"/>
    <x v="70"/>
    <x v="32"/>
    <x v="32"/>
    <x v="1"/>
  </r>
  <r>
    <x v="1"/>
    <x v="1"/>
    <x v="335"/>
    <x v="0"/>
    <x v="22"/>
    <x v="33"/>
    <x v="0"/>
    <x v="25"/>
    <x v="24"/>
    <x v="134"/>
    <x v="30"/>
    <x v="30"/>
    <x v="1"/>
  </r>
  <r>
    <x v="1"/>
    <x v="1"/>
    <x v="336"/>
    <x v="0"/>
    <x v="22"/>
    <x v="33"/>
    <x v="3"/>
    <x v="32"/>
    <x v="41"/>
    <x v="399"/>
    <x v="43"/>
    <x v="43"/>
    <x v="1"/>
  </r>
  <r>
    <x v="1"/>
    <x v="1"/>
    <x v="337"/>
    <x v="0"/>
    <x v="22"/>
    <x v="33"/>
    <x v="2"/>
    <x v="34"/>
    <x v="80"/>
    <x v="960"/>
    <x v="33"/>
    <x v="33"/>
    <x v="1"/>
  </r>
  <r>
    <x v="1"/>
    <x v="1"/>
    <x v="338"/>
    <x v="0"/>
    <x v="22"/>
    <x v="33"/>
    <x v="1"/>
    <x v="27"/>
    <x v="47"/>
    <x v="381"/>
    <x v="29"/>
    <x v="29"/>
    <x v="1"/>
  </r>
  <r>
    <x v="1"/>
    <x v="1"/>
    <x v="339"/>
    <x v="0"/>
    <x v="22"/>
    <x v="33"/>
    <x v="5"/>
    <x v="25"/>
    <x v="15"/>
    <x v="79"/>
    <x v="28"/>
    <x v="28"/>
    <x v="1"/>
  </r>
  <r>
    <x v="1"/>
    <x v="1"/>
    <x v="340"/>
    <x v="0"/>
    <x v="22"/>
    <x v="33"/>
    <x v="4"/>
    <x v="25"/>
    <x v="11"/>
    <x v="55"/>
    <x v="32"/>
    <x v="32"/>
    <x v="1"/>
  </r>
  <r>
    <x v="1"/>
    <x v="1"/>
    <x v="341"/>
    <x v="0"/>
    <x v="22"/>
    <x v="33"/>
    <x v="0"/>
    <x v="34"/>
    <x v="9"/>
    <x v="75"/>
    <x v="28"/>
    <x v="28"/>
    <x v="1"/>
  </r>
  <r>
    <x v="1"/>
    <x v="1"/>
    <x v="342"/>
    <x v="0"/>
    <x v="22"/>
    <x v="33"/>
    <x v="3"/>
    <x v="42"/>
    <x v="49"/>
    <x v="655"/>
    <x v="46"/>
    <x v="46"/>
    <x v="1"/>
  </r>
  <r>
    <x v="1"/>
    <x v="1"/>
    <x v="343"/>
    <x v="0"/>
    <x v="22"/>
    <x v="33"/>
    <x v="2"/>
    <x v="39"/>
    <x v="75"/>
    <x v="1003"/>
    <x v="33"/>
    <x v="33"/>
    <x v="1"/>
  </r>
  <r>
    <x v="1"/>
    <x v="1"/>
    <x v="344"/>
    <x v="0"/>
    <x v="22"/>
    <x v="33"/>
    <x v="1"/>
    <x v="31"/>
    <x v="41"/>
    <x v="383"/>
    <x v="26"/>
    <x v="26"/>
    <x v="1"/>
  </r>
  <r>
    <x v="1"/>
    <x v="1"/>
    <x v="345"/>
    <x v="0"/>
    <x v="22"/>
    <x v="33"/>
    <x v="5"/>
    <x v="29"/>
    <x v="27"/>
    <x v="203"/>
    <x v="26"/>
    <x v="26"/>
    <x v="1"/>
  </r>
  <r>
    <x v="1"/>
    <x v="1"/>
    <x v="346"/>
    <x v="0"/>
    <x v="22"/>
    <x v="33"/>
    <x v="4"/>
    <x v="31"/>
    <x v="34"/>
    <x v="305"/>
    <x v="35"/>
    <x v="35"/>
    <x v="1"/>
  </r>
  <r>
    <x v="1"/>
    <x v="1"/>
    <x v="347"/>
    <x v="0"/>
    <x v="22"/>
    <x v="33"/>
    <x v="0"/>
    <x v="45"/>
    <x v="24"/>
    <x v="323"/>
    <x v="28"/>
    <x v="28"/>
    <x v="1"/>
  </r>
  <r>
    <x v="1"/>
    <x v="1"/>
    <x v="348"/>
    <x v="0"/>
    <x v="22"/>
    <x v="33"/>
    <x v="3"/>
    <x v="52"/>
    <x v="50"/>
    <x v="846"/>
    <x v="46"/>
    <x v="46"/>
    <x v="1"/>
  </r>
  <r>
    <x v="1"/>
    <x v="1"/>
    <x v="349"/>
    <x v="0"/>
    <x v="22"/>
    <x v="33"/>
    <x v="2"/>
    <x v="43"/>
    <x v="104"/>
    <x v="1488"/>
    <x v="36"/>
    <x v="36"/>
    <x v="1"/>
  </r>
  <r>
    <x v="1"/>
    <x v="1"/>
    <x v="350"/>
    <x v="0"/>
    <x v="22"/>
    <x v="33"/>
    <x v="1"/>
    <x v="35"/>
    <x v="63"/>
    <x v="745"/>
    <x v="31"/>
    <x v="31"/>
    <x v="1"/>
  </r>
  <r>
    <x v="1"/>
    <x v="1"/>
    <x v="351"/>
    <x v="0"/>
    <x v="22"/>
    <x v="33"/>
    <x v="5"/>
    <x v="37"/>
    <x v="45"/>
    <x v="520"/>
    <x v="27"/>
    <x v="27"/>
    <x v="1"/>
  </r>
  <r>
    <x v="1"/>
    <x v="1"/>
    <x v="352"/>
    <x v="0"/>
    <x v="22"/>
    <x v="33"/>
    <x v="4"/>
    <x v="37"/>
    <x v="38"/>
    <x v="435"/>
    <x v="35"/>
    <x v="35"/>
    <x v="1"/>
  </r>
  <r>
    <x v="1"/>
    <x v="1"/>
    <x v="353"/>
    <x v="0"/>
    <x v="22"/>
    <x v="33"/>
    <x v="0"/>
    <x v="47"/>
    <x v="33"/>
    <x v="492"/>
    <x v="27"/>
    <x v="27"/>
    <x v="1"/>
  </r>
  <r>
    <x v="1"/>
    <x v="1"/>
    <x v="354"/>
    <x v="0"/>
    <x v="22"/>
    <x v="33"/>
    <x v="3"/>
    <x v="47"/>
    <x v="63"/>
    <x v="992"/>
    <x v="43"/>
    <x v="43"/>
    <x v="1"/>
  </r>
  <r>
    <x v="2"/>
    <x v="2"/>
    <x v="355"/>
    <x v="0"/>
    <x v="22"/>
    <x v="33"/>
    <x v="2"/>
    <x v="25"/>
    <x v="100"/>
    <x v="899"/>
    <x v="44"/>
    <x v="44"/>
    <x v="1"/>
  </r>
  <r>
    <x v="2"/>
    <x v="2"/>
    <x v="356"/>
    <x v="0"/>
    <x v="22"/>
    <x v="33"/>
    <x v="1"/>
    <x v="36"/>
    <x v="108"/>
    <x v="1323"/>
    <x v="28"/>
    <x v="28"/>
    <x v="1"/>
  </r>
  <r>
    <x v="2"/>
    <x v="2"/>
    <x v="357"/>
    <x v="0"/>
    <x v="22"/>
    <x v="33"/>
    <x v="5"/>
    <x v="34"/>
    <x v="100"/>
    <x v="1177"/>
    <x v="45"/>
    <x v="45"/>
    <x v="1"/>
  </r>
  <r>
    <x v="2"/>
    <x v="2"/>
    <x v="358"/>
    <x v="0"/>
    <x v="22"/>
    <x v="33"/>
    <x v="4"/>
    <x v="37"/>
    <x v="80"/>
    <x v="1032"/>
    <x v="38"/>
    <x v="38"/>
    <x v="1"/>
  </r>
  <r>
    <x v="2"/>
    <x v="2"/>
    <x v="359"/>
    <x v="0"/>
    <x v="25"/>
    <x v="5"/>
    <x v="0"/>
    <x v="40"/>
    <x v="63"/>
    <x v="852"/>
    <x v="61"/>
    <x v="61"/>
    <x v="1"/>
  </r>
  <r>
    <x v="2"/>
    <x v="2"/>
    <x v="360"/>
    <x v="0"/>
    <x v="25"/>
    <x v="5"/>
    <x v="3"/>
    <x v="36"/>
    <x v="118"/>
    <x v="1423"/>
    <x v="25"/>
    <x v="25"/>
    <x v="1"/>
  </r>
  <r>
    <x v="2"/>
    <x v="2"/>
    <x v="361"/>
    <x v="0"/>
    <x v="25"/>
    <x v="5"/>
    <x v="2"/>
    <x v="27"/>
    <x v="137"/>
    <x v="1295"/>
    <x v="43"/>
    <x v="43"/>
    <x v="1"/>
  </r>
  <r>
    <x v="2"/>
    <x v="2"/>
    <x v="362"/>
    <x v="0"/>
    <x v="25"/>
    <x v="5"/>
    <x v="1"/>
    <x v="35"/>
    <x v="103"/>
    <x v="1245"/>
    <x v="31"/>
    <x v="31"/>
    <x v="1"/>
  </r>
  <r>
    <x v="2"/>
    <x v="2"/>
    <x v="363"/>
    <x v="0"/>
    <x v="25"/>
    <x v="5"/>
    <x v="5"/>
    <x v="36"/>
    <x v="102"/>
    <x v="1265"/>
    <x v="43"/>
    <x v="43"/>
    <x v="1"/>
  </r>
  <r>
    <x v="2"/>
    <x v="2"/>
    <x v="364"/>
    <x v="0"/>
    <x v="25"/>
    <x v="5"/>
    <x v="4"/>
    <x v="37"/>
    <x v="67"/>
    <x v="833"/>
    <x v="41"/>
    <x v="41"/>
    <x v="1"/>
  </r>
  <r>
    <x v="2"/>
    <x v="2"/>
    <x v="365"/>
    <x v="0"/>
    <x v="25"/>
    <x v="5"/>
    <x v="0"/>
    <x v="41"/>
    <x v="48"/>
    <x v="626"/>
    <x v="58"/>
    <x v="58"/>
    <x v="1"/>
  </r>
  <r>
    <x v="2"/>
    <x v="2"/>
    <x v="366"/>
    <x v="0"/>
    <x v="25"/>
    <x v="5"/>
    <x v="3"/>
    <x v="36"/>
    <x v="100"/>
    <x v="1235"/>
    <x v="23"/>
    <x v="23"/>
    <x v="1"/>
  </r>
  <r>
    <x v="2"/>
    <x v="2"/>
    <x v="367"/>
    <x v="0"/>
    <x v="25"/>
    <x v="5"/>
    <x v="2"/>
    <x v="25"/>
    <x v="150"/>
    <x v="1331"/>
    <x v="41"/>
    <x v="41"/>
    <x v="1"/>
  </r>
  <r>
    <x v="2"/>
    <x v="2"/>
    <x v="368"/>
    <x v="0"/>
    <x v="25"/>
    <x v="5"/>
    <x v="1"/>
    <x v="34"/>
    <x v="96"/>
    <x v="1138"/>
    <x v="27"/>
    <x v="27"/>
    <x v="1"/>
  </r>
  <r>
    <x v="2"/>
    <x v="2"/>
    <x v="369"/>
    <x v="0"/>
    <x v="25"/>
    <x v="5"/>
    <x v="5"/>
    <x v="35"/>
    <x v="108"/>
    <x v="1296"/>
    <x v="43"/>
    <x v="43"/>
    <x v="1"/>
  </r>
  <r>
    <x v="2"/>
    <x v="2"/>
    <x v="370"/>
    <x v="0"/>
    <x v="25"/>
    <x v="5"/>
    <x v="4"/>
    <x v="37"/>
    <x v="75"/>
    <x v="958"/>
    <x v="39"/>
    <x v="39"/>
    <x v="1"/>
  </r>
  <r>
    <x v="2"/>
    <x v="2"/>
    <x v="371"/>
    <x v="0"/>
    <x v="25"/>
    <x v="5"/>
    <x v="0"/>
    <x v="41"/>
    <x v="49"/>
    <x v="636"/>
    <x v="57"/>
    <x v="57"/>
    <x v="1"/>
  </r>
  <r>
    <x v="2"/>
    <x v="2"/>
    <x v="372"/>
    <x v="0"/>
    <x v="25"/>
    <x v="5"/>
    <x v="3"/>
    <x v="35"/>
    <x v="93"/>
    <x v="1136"/>
    <x v="25"/>
    <x v="25"/>
    <x v="1"/>
  </r>
  <r>
    <x v="2"/>
    <x v="2"/>
    <x v="373"/>
    <x v="0"/>
    <x v="25"/>
    <x v="5"/>
    <x v="2"/>
    <x v="37"/>
    <x v="139"/>
    <x v="1692"/>
    <x v="45"/>
    <x v="45"/>
    <x v="1"/>
  </r>
  <r>
    <x v="2"/>
    <x v="2"/>
    <x v="374"/>
    <x v="0"/>
    <x v="25"/>
    <x v="5"/>
    <x v="1"/>
    <x v="36"/>
    <x v="83"/>
    <x v="1041"/>
    <x v="31"/>
    <x v="31"/>
    <x v="1"/>
  </r>
  <r>
    <x v="2"/>
    <x v="2"/>
    <x v="375"/>
    <x v="0"/>
    <x v="25"/>
    <x v="5"/>
    <x v="5"/>
    <x v="37"/>
    <x v="101"/>
    <x v="1272"/>
    <x v="46"/>
    <x v="46"/>
    <x v="1"/>
  </r>
  <r>
    <x v="2"/>
    <x v="2"/>
    <x v="376"/>
    <x v="0"/>
    <x v="25"/>
    <x v="5"/>
    <x v="4"/>
    <x v="29"/>
    <x v="64"/>
    <x v="619"/>
    <x v="36"/>
    <x v="36"/>
    <x v="1"/>
  </r>
  <r>
    <x v="2"/>
    <x v="2"/>
    <x v="377"/>
    <x v="0"/>
    <x v="25"/>
    <x v="5"/>
    <x v="0"/>
    <x v="37"/>
    <x v="45"/>
    <x v="520"/>
    <x v="60"/>
    <x v="60"/>
    <x v="1"/>
  </r>
  <r>
    <x v="2"/>
    <x v="2"/>
    <x v="378"/>
    <x v="0"/>
    <x v="25"/>
    <x v="5"/>
    <x v="3"/>
    <x v="48"/>
    <x v="83"/>
    <x v="1339"/>
    <x v="25"/>
    <x v="25"/>
    <x v="1"/>
  </r>
  <r>
    <x v="2"/>
    <x v="2"/>
    <x v="379"/>
    <x v="0"/>
    <x v="25"/>
    <x v="5"/>
    <x v="2"/>
    <x v="32"/>
    <x v="129"/>
    <x v="1404"/>
    <x v="43"/>
    <x v="43"/>
    <x v="1"/>
  </r>
  <r>
    <x v="2"/>
    <x v="2"/>
    <x v="380"/>
    <x v="0"/>
    <x v="25"/>
    <x v="5"/>
    <x v="1"/>
    <x v="34"/>
    <x v="88"/>
    <x v="1043"/>
    <x v="30"/>
    <x v="30"/>
    <x v="1"/>
  </r>
  <r>
    <x v="2"/>
    <x v="2"/>
    <x v="381"/>
    <x v="0"/>
    <x v="25"/>
    <x v="5"/>
    <x v="5"/>
    <x v="37"/>
    <x v="92"/>
    <x v="1178"/>
    <x v="41"/>
    <x v="41"/>
    <x v="1"/>
  </r>
  <r>
    <x v="2"/>
    <x v="2"/>
    <x v="382"/>
    <x v="0"/>
    <x v="25"/>
    <x v="5"/>
    <x v="4"/>
    <x v="31"/>
    <x v="73"/>
    <x v="776"/>
    <x v="39"/>
    <x v="39"/>
    <x v="1"/>
  </r>
  <r>
    <x v="2"/>
    <x v="2"/>
    <x v="383"/>
    <x v="0"/>
    <x v="25"/>
    <x v="5"/>
    <x v="0"/>
    <x v="34"/>
    <x v="50"/>
    <x v="531"/>
    <x v="60"/>
    <x v="60"/>
    <x v="1"/>
  </r>
  <r>
    <x v="2"/>
    <x v="2"/>
    <x v="384"/>
    <x v="0"/>
    <x v="25"/>
    <x v="5"/>
    <x v="3"/>
    <x v="52"/>
    <x v="90"/>
    <x v="1534"/>
    <x v="24"/>
    <x v="24"/>
    <x v="1"/>
  </r>
  <r>
    <x v="2"/>
    <x v="2"/>
    <x v="385"/>
    <x v="0"/>
    <x v="25"/>
    <x v="5"/>
    <x v="2"/>
    <x v="29"/>
    <x v="147"/>
    <x v="1461"/>
    <x v="45"/>
    <x v="45"/>
    <x v="1"/>
  </r>
  <r>
    <x v="2"/>
    <x v="2"/>
    <x v="386"/>
    <x v="0"/>
    <x v="25"/>
    <x v="5"/>
    <x v="1"/>
    <x v="35"/>
    <x v="127"/>
    <x v="1483"/>
    <x v="27"/>
    <x v="27"/>
    <x v="1"/>
  </r>
  <r>
    <x v="2"/>
    <x v="2"/>
    <x v="387"/>
    <x v="0"/>
    <x v="25"/>
    <x v="5"/>
    <x v="5"/>
    <x v="37"/>
    <x v="143"/>
    <x v="1727"/>
    <x v="41"/>
    <x v="41"/>
    <x v="1"/>
  </r>
  <r>
    <x v="2"/>
    <x v="2"/>
    <x v="388"/>
    <x v="0"/>
    <x v="25"/>
    <x v="5"/>
    <x v="4"/>
    <x v="31"/>
    <x v="88"/>
    <x v="962"/>
    <x v="39"/>
    <x v="39"/>
    <x v="1"/>
  </r>
  <r>
    <x v="2"/>
    <x v="2"/>
    <x v="389"/>
    <x v="0"/>
    <x v="25"/>
    <x v="5"/>
    <x v="0"/>
    <x v="34"/>
    <x v="62"/>
    <x v="699"/>
    <x v="60"/>
    <x v="60"/>
    <x v="1"/>
  </r>
  <r>
    <x v="2"/>
    <x v="2"/>
    <x v="390"/>
    <x v="0"/>
    <x v="25"/>
    <x v="5"/>
    <x v="3"/>
    <x v="48"/>
    <x v="129"/>
    <x v="1929"/>
    <x v="22"/>
    <x v="22"/>
    <x v="1"/>
  </r>
  <r>
    <x v="2"/>
    <x v="2"/>
    <x v="391"/>
    <x v="0"/>
    <x v="25"/>
    <x v="5"/>
    <x v="2"/>
    <x v="30"/>
    <x v="177"/>
    <x v="1781"/>
    <x v="45"/>
    <x v="45"/>
    <x v="1"/>
  </r>
  <r>
    <x v="2"/>
    <x v="2"/>
    <x v="392"/>
    <x v="0"/>
    <x v="25"/>
    <x v="5"/>
    <x v="1"/>
    <x v="34"/>
    <x v="135"/>
    <x v="1540"/>
    <x v="29"/>
    <x v="29"/>
    <x v="1"/>
  </r>
  <r>
    <x v="2"/>
    <x v="2"/>
    <x v="393"/>
    <x v="0"/>
    <x v="25"/>
    <x v="5"/>
    <x v="5"/>
    <x v="37"/>
    <x v="123"/>
    <x v="1513"/>
    <x v="45"/>
    <x v="45"/>
    <x v="1"/>
  </r>
  <r>
    <x v="2"/>
    <x v="2"/>
    <x v="394"/>
    <x v="0"/>
    <x v="25"/>
    <x v="5"/>
    <x v="4"/>
    <x v="29"/>
    <x v="94"/>
    <x v="973"/>
    <x v="39"/>
    <x v="39"/>
    <x v="1"/>
  </r>
  <r>
    <x v="2"/>
    <x v="2"/>
    <x v="395"/>
    <x v="0"/>
    <x v="25"/>
    <x v="5"/>
    <x v="0"/>
    <x v="35"/>
    <x v="104"/>
    <x v="1258"/>
    <x v="56"/>
    <x v="56"/>
    <x v="1"/>
  </r>
  <r>
    <x v="2"/>
    <x v="2"/>
    <x v="396"/>
    <x v="0"/>
    <x v="25"/>
    <x v="5"/>
    <x v="3"/>
    <x v="51"/>
    <x v="123"/>
    <x v="1939"/>
    <x v="21"/>
    <x v="21"/>
    <x v="1"/>
  </r>
  <r>
    <x v="2"/>
    <x v="2"/>
    <x v="397"/>
    <x v="0"/>
    <x v="25"/>
    <x v="5"/>
    <x v="2"/>
    <x v="35"/>
    <x v="177"/>
    <x v="1980"/>
    <x v="44"/>
    <x v="44"/>
    <x v="1"/>
  </r>
  <r>
    <x v="2"/>
    <x v="2"/>
    <x v="398"/>
    <x v="0"/>
    <x v="25"/>
    <x v="5"/>
    <x v="1"/>
    <x v="47"/>
    <x v="164"/>
    <x v="2232"/>
    <x v="29"/>
    <x v="29"/>
    <x v="1"/>
  </r>
  <r>
    <x v="2"/>
    <x v="2"/>
    <x v="399"/>
    <x v="0"/>
    <x v="25"/>
    <x v="5"/>
    <x v="5"/>
    <x v="42"/>
    <x v="110"/>
    <x v="1533"/>
    <x v="45"/>
    <x v="45"/>
    <x v="1"/>
  </r>
  <r>
    <x v="2"/>
    <x v="2"/>
    <x v="400"/>
    <x v="0"/>
    <x v="25"/>
    <x v="5"/>
    <x v="4"/>
    <x v="34"/>
    <x v="88"/>
    <x v="1043"/>
    <x v="40"/>
    <x v="40"/>
    <x v="1"/>
  </r>
  <r>
    <x v="2"/>
    <x v="2"/>
    <x v="401"/>
    <x v="0"/>
    <x v="25"/>
    <x v="5"/>
    <x v="0"/>
    <x v="45"/>
    <x v="88"/>
    <x v="1326"/>
    <x v="56"/>
    <x v="56"/>
    <x v="1"/>
  </r>
  <r>
    <x v="2"/>
    <x v="2"/>
    <x v="402"/>
    <x v="0"/>
    <x v="25"/>
    <x v="5"/>
    <x v="3"/>
    <x v="49"/>
    <x v="93"/>
    <x v="1509"/>
    <x v="24"/>
    <x v="24"/>
    <x v="1"/>
  </r>
  <r>
    <x v="2"/>
    <x v="2"/>
    <x v="403"/>
    <x v="0"/>
    <x v="25"/>
    <x v="5"/>
    <x v="2"/>
    <x v="34"/>
    <x v="157"/>
    <x v="1753"/>
    <x v="44"/>
    <x v="44"/>
    <x v="1"/>
  </r>
  <r>
    <x v="2"/>
    <x v="2"/>
    <x v="404"/>
    <x v="0"/>
    <x v="25"/>
    <x v="5"/>
    <x v="1"/>
    <x v="41"/>
    <x v="135"/>
    <x v="1777"/>
    <x v="30"/>
    <x v="30"/>
    <x v="1"/>
  </r>
  <r>
    <x v="2"/>
    <x v="2"/>
    <x v="405"/>
    <x v="0"/>
    <x v="25"/>
    <x v="5"/>
    <x v="5"/>
    <x v="35"/>
    <x v="98"/>
    <x v="1187"/>
    <x v="42"/>
    <x v="42"/>
    <x v="1"/>
  </r>
  <r>
    <x v="2"/>
    <x v="2"/>
    <x v="406"/>
    <x v="0"/>
    <x v="25"/>
    <x v="5"/>
    <x v="4"/>
    <x v="34"/>
    <x v="97"/>
    <x v="1147"/>
    <x v="41"/>
    <x v="41"/>
    <x v="1"/>
  </r>
  <r>
    <x v="2"/>
    <x v="2"/>
    <x v="407"/>
    <x v="0"/>
    <x v="25"/>
    <x v="5"/>
    <x v="0"/>
    <x v="43"/>
    <x v="82"/>
    <x v="1208"/>
    <x v="59"/>
    <x v="59"/>
    <x v="1"/>
  </r>
  <r>
    <x v="2"/>
    <x v="2"/>
    <x v="408"/>
    <x v="0"/>
    <x v="25"/>
    <x v="5"/>
    <x v="3"/>
    <x v="52"/>
    <x v="102"/>
    <x v="1715"/>
    <x v="26"/>
    <x v="26"/>
    <x v="1"/>
  </r>
  <r>
    <x v="2"/>
    <x v="2"/>
    <x v="409"/>
    <x v="0"/>
    <x v="25"/>
    <x v="5"/>
    <x v="2"/>
    <x v="37"/>
    <x v="138"/>
    <x v="1684"/>
    <x v="42"/>
    <x v="42"/>
    <x v="1"/>
  </r>
  <r>
    <x v="2"/>
    <x v="2"/>
    <x v="410"/>
    <x v="0"/>
    <x v="25"/>
    <x v="5"/>
    <x v="1"/>
    <x v="42"/>
    <x v="138"/>
    <x v="1851"/>
    <x v="29"/>
    <x v="29"/>
    <x v="1"/>
  </r>
  <r>
    <x v="2"/>
    <x v="2"/>
    <x v="411"/>
    <x v="0"/>
    <x v="25"/>
    <x v="5"/>
    <x v="5"/>
    <x v="34"/>
    <x v="97"/>
    <x v="1147"/>
    <x v="43"/>
    <x v="43"/>
    <x v="1"/>
  </r>
  <r>
    <x v="2"/>
    <x v="2"/>
    <x v="412"/>
    <x v="0"/>
    <x v="25"/>
    <x v="5"/>
    <x v="4"/>
    <x v="37"/>
    <x v="87"/>
    <x v="1115"/>
    <x v="38"/>
    <x v="38"/>
    <x v="1"/>
  </r>
  <r>
    <x v="2"/>
    <x v="2"/>
    <x v="413"/>
    <x v="0"/>
    <x v="25"/>
    <x v="5"/>
    <x v="0"/>
    <x v="47"/>
    <x v="80"/>
    <x v="1274"/>
    <x v="61"/>
    <x v="61"/>
    <x v="1"/>
  </r>
  <r>
    <x v="2"/>
    <x v="2"/>
    <x v="414"/>
    <x v="0"/>
    <x v="25"/>
    <x v="5"/>
    <x v="3"/>
    <x v="51"/>
    <x v="90"/>
    <x v="1506"/>
    <x v="25"/>
    <x v="25"/>
    <x v="1"/>
  </r>
  <r>
    <x v="2"/>
    <x v="2"/>
    <x v="415"/>
    <x v="0"/>
    <x v="25"/>
    <x v="5"/>
    <x v="2"/>
    <x v="31"/>
    <x v="145"/>
    <x v="1528"/>
    <x v="45"/>
    <x v="45"/>
    <x v="1"/>
  </r>
  <r>
    <x v="2"/>
    <x v="2"/>
    <x v="416"/>
    <x v="0"/>
    <x v="25"/>
    <x v="5"/>
    <x v="1"/>
    <x v="35"/>
    <x v="150"/>
    <x v="1728"/>
    <x v="27"/>
    <x v="27"/>
    <x v="1"/>
  </r>
  <r>
    <x v="2"/>
    <x v="2"/>
    <x v="417"/>
    <x v="0"/>
    <x v="25"/>
    <x v="5"/>
    <x v="5"/>
    <x v="30"/>
    <x v="103"/>
    <x v="1098"/>
    <x v="43"/>
    <x v="43"/>
    <x v="1"/>
  </r>
  <r>
    <x v="2"/>
    <x v="2"/>
    <x v="418"/>
    <x v="0"/>
    <x v="25"/>
    <x v="5"/>
    <x v="4"/>
    <x v="32"/>
    <x v="100"/>
    <x v="1120"/>
    <x v="41"/>
    <x v="41"/>
    <x v="1"/>
  </r>
  <r>
    <x v="2"/>
    <x v="2"/>
    <x v="419"/>
    <x v="0"/>
    <x v="25"/>
    <x v="5"/>
    <x v="0"/>
    <x v="44"/>
    <x v="94"/>
    <x v="1387"/>
    <x v="60"/>
    <x v="60"/>
    <x v="1"/>
  </r>
  <r>
    <x v="2"/>
    <x v="2"/>
    <x v="420"/>
    <x v="0"/>
    <x v="25"/>
    <x v="5"/>
    <x v="3"/>
    <x v="49"/>
    <x v="113"/>
    <x v="1768"/>
    <x v="24"/>
    <x v="24"/>
    <x v="1"/>
  </r>
  <r>
    <x v="2"/>
    <x v="2"/>
    <x v="421"/>
    <x v="0"/>
    <x v="25"/>
    <x v="5"/>
    <x v="2"/>
    <x v="34"/>
    <x v="172"/>
    <x v="1888"/>
    <x v="42"/>
    <x v="42"/>
    <x v="1"/>
  </r>
  <r>
    <x v="2"/>
    <x v="2"/>
    <x v="422"/>
    <x v="0"/>
    <x v="25"/>
    <x v="5"/>
    <x v="1"/>
    <x v="38"/>
    <x v="159"/>
    <x v="1920"/>
    <x v="29"/>
    <x v="29"/>
    <x v="1"/>
  </r>
  <r>
    <x v="2"/>
    <x v="2"/>
    <x v="423"/>
    <x v="0"/>
    <x v="25"/>
    <x v="5"/>
    <x v="5"/>
    <x v="35"/>
    <x v="113"/>
    <x v="1345"/>
    <x v="46"/>
    <x v="46"/>
    <x v="1"/>
  </r>
  <r>
    <x v="2"/>
    <x v="2"/>
    <x v="424"/>
    <x v="0"/>
    <x v="25"/>
    <x v="5"/>
    <x v="4"/>
    <x v="36"/>
    <x v="123"/>
    <x v="1475"/>
    <x v="37"/>
    <x v="37"/>
    <x v="1"/>
  </r>
  <r>
    <x v="2"/>
    <x v="2"/>
    <x v="425"/>
    <x v="0"/>
    <x v="25"/>
    <x v="5"/>
    <x v="0"/>
    <x v="46"/>
    <x v="101"/>
    <x v="1530"/>
    <x v="59"/>
    <x v="59"/>
    <x v="1"/>
  </r>
  <r>
    <x v="2"/>
    <x v="2"/>
    <x v="426"/>
    <x v="0"/>
    <x v="25"/>
    <x v="5"/>
    <x v="3"/>
    <x v="48"/>
    <x v="110"/>
    <x v="1705"/>
    <x v="26"/>
    <x v="26"/>
    <x v="1"/>
  </r>
  <r>
    <x v="3"/>
    <x v="3"/>
    <x v="427"/>
    <x v="0"/>
    <x v="25"/>
    <x v="5"/>
    <x v="2"/>
    <x v="11"/>
    <x v="183"/>
    <x v="893"/>
    <x v="36"/>
    <x v="36"/>
    <x v="1"/>
  </r>
  <r>
    <x v="3"/>
    <x v="3"/>
    <x v="428"/>
    <x v="0"/>
    <x v="25"/>
    <x v="5"/>
    <x v="1"/>
    <x v="22"/>
    <x v="159"/>
    <x v="1271"/>
    <x v="32"/>
    <x v="32"/>
    <x v="1"/>
  </r>
  <r>
    <x v="3"/>
    <x v="3"/>
    <x v="429"/>
    <x v="0"/>
    <x v="25"/>
    <x v="5"/>
    <x v="5"/>
    <x v="20"/>
    <x v="110"/>
    <x v="823"/>
    <x v="31"/>
    <x v="31"/>
    <x v="1"/>
  </r>
  <r>
    <x v="3"/>
    <x v="3"/>
    <x v="430"/>
    <x v="0"/>
    <x v="25"/>
    <x v="5"/>
    <x v="4"/>
    <x v="25"/>
    <x v="115"/>
    <x v="1034"/>
    <x v="43"/>
    <x v="43"/>
    <x v="1"/>
  </r>
  <r>
    <x v="3"/>
    <x v="3"/>
    <x v="431"/>
    <x v="2"/>
    <x v="41"/>
    <x v="25"/>
    <x v="0"/>
    <x v="32"/>
    <x v="78"/>
    <x v="876"/>
    <x v="26"/>
    <x v="26"/>
    <x v="1"/>
  </r>
  <r>
    <x v="3"/>
    <x v="3"/>
    <x v="432"/>
    <x v="2"/>
    <x v="41"/>
    <x v="25"/>
    <x v="3"/>
    <x v="26"/>
    <x v="105"/>
    <x v="982"/>
    <x v="51"/>
    <x v="51"/>
    <x v="1"/>
  </r>
  <r>
    <x v="3"/>
    <x v="3"/>
    <x v="433"/>
    <x v="2"/>
    <x v="41"/>
    <x v="25"/>
    <x v="2"/>
    <x v="17"/>
    <x v="147"/>
    <x v="970"/>
    <x v="36"/>
    <x v="36"/>
    <x v="1"/>
  </r>
  <r>
    <x v="3"/>
    <x v="3"/>
    <x v="434"/>
    <x v="2"/>
    <x v="41"/>
    <x v="25"/>
    <x v="1"/>
    <x v="26"/>
    <x v="158"/>
    <x v="1434"/>
    <x v="34"/>
    <x v="34"/>
    <x v="1"/>
  </r>
  <r>
    <x v="3"/>
    <x v="3"/>
    <x v="435"/>
    <x v="2"/>
    <x v="41"/>
    <x v="25"/>
    <x v="5"/>
    <x v="25"/>
    <x v="102"/>
    <x v="929"/>
    <x v="34"/>
    <x v="34"/>
    <x v="1"/>
  </r>
  <r>
    <x v="3"/>
    <x v="3"/>
    <x v="436"/>
    <x v="2"/>
    <x v="41"/>
    <x v="25"/>
    <x v="4"/>
    <x v="26"/>
    <x v="90"/>
    <x v="833"/>
    <x v="46"/>
    <x v="46"/>
    <x v="1"/>
  </r>
  <r>
    <x v="3"/>
    <x v="3"/>
    <x v="437"/>
    <x v="2"/>
    <x v="41"/>
    <x v="25"/>
    <x v="0"/>
    <x v="30"/>
    <x v="68"/>
    <x v="696"/>
    <x v="27"/>
    <x v="27"/>
    <x v="1"/>
  </r>
  <r>
    <x v="3"/>
    <x v="3"/>
    <x v="438"/>
    <x v="2"/>
    <x v="41"/>
    <x v="25"/>
    <x v="3"/>
    <x v="25"/>
    <x v="113"/>
    <x v="1018"/>
    <x v="50"/>
    <x v="50"/>
    <x v="1"/>
  </r>
  <r>
    <x v="3"/>
    <x v="3"/>
    <x v="439"/>
    <x v="2"/>
    <x v="41"/>
    <x v="25"/>
    <x v="2"/>
    <x v="20"/>
    <x v="165"/>
    <x v="1229"/>
    <x v="37"/>
    <x v="37"/>
    <x v="1"/>
  </r>
  <r>
    <x v="3"/>
    <x v="3"/>
    <x v="440"/>
    <x v="2"/>
    <x v="41"/>
    <x v="25"/>
    <x v="1"/>
    <x v="30"/>
    <x v="141"/>
    <x v="1452"/>
    <x v="38"/>
    <x v="38"/>
    <x v="1"/>
  </r>
  <r>
    <x v="3"/>
    <x v="3"/>
    <x v="441"/>
    <x v="2"/>
    <x v="41"/>
    <x v="25"/>
    <x v="5"/>
    <x v="21"/>
    <x v="104"/>
    <x v="810"/>
    <x v="41"/>
    <x v="41"/>
    <x v="1"/>
  </r>
  <r>
    <x v="3"/>
    <x v="3"/>
    <x v="442"/>
    <x v="2"/>
    <x v="41"/>
    <x v="25"/>
    <x v="4"/>
    <x v="26"/>
    <x v="83"/>
    <x v="775"/>
    <x v="50"/>
    <x v="50"/>
    <x v="1"/>
  </r>
  <r>
    <x v="3"/>
    <x v="3"/>
    <x v="443"/>
    <x v="2"/>
    <x v="41"/>
    <x v="25"/>
    <x v="0"/>
    <x v="32"/>
    <x v="57"/>
    <x v="586"/>
    <x v="33"/>
    <x v="33"/>
    <x v="1"/>
  </r>
  <r>
    <x v="3"/>
    <x v="3"/>
    <x v="444"/>
    <x v="2"/>
    <x v="41"/>
    <x v="25"/>
    <x v="3"/>
    <x v="26"/>
    <x v="92"/>
    <x v="867"/>
    <x v="52"/>
    <x v="52"/>
    <x v="1"/>
  </r>
  <r>
    <x v="3"/>
    <x v="3"/>
    <x v="445"/>
    <x v="2"/>
    <x v="41"/>
    <x v="25"/>
    <x v="2"/>
    <x v="12"/>
    <x v="147"/>
    <x v="737"/>
    <x v="36"/>
    <x v="36"/>
    <x v="1"/>
  </r>
  <r>
    <x v="3"/>
    <x v="3"/>
    <x v="446"/>
    <x v="2"/>
    <x v="41"/>
    <x v="25"/>
    <x v="1"/>
    <x v="17"/>
    <x v="153"/>
    <x v="1011"/>
    <x v="37"/>
    <x v="37"/>
    <x v="1"/>
  </r>
  <r>
    <x v="3"/>
    <x v="3"/>
    <x v="447"/>
    <x v="2"/>
    <x v="41"/>
    <x v="25"/>
    <x v="5"/>
    <x v="12"/>
    <x v="115"/>
    <x v="546"/>
    <x v="41"/>
    <x v="41"/>
    <x v="1"/>
  </r>
  <r>
    <x v="3"/>
    <x v="3"/>
    <x v="448"/>
    <x v="2"/>
    <x v="41"/>
    <x v="25"/>
    <x v="4"/>
    <x v="16"/>
    <x v="93"/>
    <x v="548"/>
    <x v="51"/>
    <x v="51"/>
    <x v="1"/>
  </r>
  <r>
    <x v="3"/>
    <x v="3"/>
    <x v="449"/>
    <x v="2"/>
    <x v="41"/>
    <x v="25"/>
    <x v="0"/>
    <x v="21"/>
    <x v="69"/>
    <x v="488"/>
    <x v="31"/>
    <x v="31"/>
    <x v="1"/>
  </r>
  <r>
    <x v="3"/>
    <x v="3"/>
    <x v="450"/>
    <x v="2"/>
    <x v="41"/>
    <x v="25"/>
    <x v="3"/>
    <x v="17"/>
    <x v="139"/>
    <x v="916"/>
    <x v="54"/>
    <x v="54"/>
    <x v="1"/>
  </r>
  <r>
    <x v="3"/>
    <x v="3"/>
    <x v="451"/>
    <x v="2"/>
    <x v="41"/>
    <x v="25"/>
    <x v="2"/>
    <x v="7"/>
    <x v="165"/>
    <x v="571"/>
    <x v="36"/>
    <x v="36"/>
    <x v="1"/>
  </r>
  <r>
    <x v="3"/>
    <x v="3"/>
    <x v="452"/>
    <x v="2"/>
    <x v="41"/>
    <x v="25"/>
    <x v="1"/>
    <x v="16"/>
    <x v="188"/>
    <x v="1212"/>
    <x v="36"/>
    <x v="36"/>
    <x v="1"/>
  </r>
  <r>
    <x v="3"/>
    <x v="3"/>
    <x v="453"/>
    <x v="2"/>
    <x v="41"/>
    <x v="25"/>
    <x v="5"/>
    <x v="12"/>
    <x v="157"/>
    <x v="793"/>
    <x v="40"/>
    <x v="40"/>
    <x v="1"/>
  </r>
  <r>
    <x v="3"/>
    <x v="3"/>
    <x v="454"/>
    <x v="2"/>
    <x v="41"/>
    <x v="25"/>
    <x v="4"/>
    <x v="20"/>
    <x v="122"/>
    <x v="906"/>
    <x v="46"/>
    <x v="46"/>
    <x v="1"/>
  </r>
  <r>
    <x v="3"/>
    <x v="3"/>
    <x v="455"/>
    <x v="2"/>
    <x v="41"/>
    <x v="25"/>
    <x v="0"/>
    <x v="34"/>
    <x v="88"/>
    <x v="1043"/>
    <x v="35"/>
    <x v="35"/>
    <x v="1"/>
  </r>
  <r>
    <x v="3"/>
    <x v="3"/>
    <x v="456"/>
    <x v="2"/>
    <x v="41"/>
    <x v="25"/>
    <x v="3"/>
    <x v="31"/>
    <x v="176"/>
    <x v="1814"/>
    <x v="53"/>
    <x v="53"/>
    <x v="1"/>
  </r>
  <r>
    <x v="3"/>
    <x v="3"/>
    <x v="457"/>
    <x v="2"/>
    <x v="41"/>
    <x v="25"/>
    <x v="2"/>
    <x v="29"/>
    <x v="187"/>
    <x v="1845"/>
    <x v="37"/>
    <x v="37"/>
    <x v="1"/>
  </r>
  <r>
    <x v="3"/>
    <x v="3"/>
    <x v="458"/>
    <x v="2"/>
    <x v="41"/>
    <x v="25"/>
    <x v="1"/>
    <x v="35"/>
    <x v="176"/>
    <x v="1973"/>
    <x v="37"/>
    <x v="37"/>
    <x v="1"/>
  </r>
  <r>
    <x v="3"/>
    <x v="3"/>
    <x v="459"/>
    <x v="2"/>
    <x v="41"/>
    <x v="25"/>
    <x v="5"/>
    <x v="29"/>
    <x v="147"/>
    <x v="1461"/>
    <x v="37"/>
    <x v="37"/>
    <x v="1"/>
  </r>
  <r>
    <x v="3"/>
    <x v="3"/>
    <x v="460"/>
    <x v="2"/>
    <x v="41"/>
    <x v="25"/>
    <x v="4"/>
    <x v="29"/>
    <x v="151"/>
    <x v="1506"/>
    <x v="47"/>
    <x v="47"/>
    <x v="1"/>
  </r>
  <r>
    <x v="3"/>
    <x v="3"/>
    <x v="461"/>
    <x v="2"/>
    <x v="41"/>
    <x v="25"/>
    <x v="0"/>
    <x v="36"/>
    <x v="125"/>
    <x v="1497"/>
    <x v="34"/>
    <x v="34"/>
    <x v="1"/>
  </r>
  <r>
    <x v="3"/>
    <x v="3"/>
    <x v="462"/>
    <x v="2"/>
    <x v="41"/>
    <x v="25"/>
    <x v="3"/>
    <x v="42"/>
    <x v="201"/>
    <x v="2417"/>
    <x v="51"/>
    <x v="51"/>
    <x v="1"/>
  </r>
  <r>
    <x v="3"/>
    <x v="3"/>
    <x v="463"/>
    <x v="2"/>
    <x v="41"/>
    <x v="25"/>
    <x v="2"/>
    <x v="29"/>
    <x v="185"/>
    <x v="1829"/>
    <x v="43"/>
    <x v="43"/>
    <x v="1"/>
  </r>
  <r>
    <x v="3"/>
    <x v="3"/>
    <x v="464"/>
    <x v="2"/>
    <x v="41"/>
    <x v="25"/>
    <x v="1"/>
    <x v="36"/>
    <x v="179"/>
    <x v="2045"/>
    <x v="44"/>
    <x v="44"/>
    <x v="1"/>
  </r>
  <r>
    <x v="3"/>
    <x v="3"/>
    <x v="465"/>
    <x v="2"/>
    <x v="41"/>
    <x v="25"/>
    <x v="5"/>
    <x v="29"/>
    <x v="222"/>
    <x v="2129"/>
    <x v="46"/>
    <x v="46"/>
    <x v="1"/>
  </r>
  <r>
    <x v="3"/>
    <x v="3"/>
    <x v="466"/>
    <x v="2"/>
    <x v="41"/>
    <x v="25"/>
    <x v="4"/>
    <x v="30"/>
    <x v="139"/>
    <x v="1429"/>
    <x v="51"/>
    <x v="51"/>
    <x v="1"/>
  </r>
  <r>
    <x v="3"/>
    <x v="3"/>
    <x v="467"/>
    <x v="2"/>
    <x v="41"/>
    <x v="25"/>
    <x v="0"/>
    <x v="36"/>
    <x v="143"/>
    <x v="1694"/>
    <x v="39"/>
    <x v="39"/>
    <x v="1"/>
  </r>
  <r>
    <x v="3"/>
    <x v="3"/>
    <x v="468"/>
    <x v="2"/>
    <x v="41"/>
    <x v="25"/>
    <x v="3"/>
    <x v="45"/>
    <x v="192"/>
    <x v="2423"/>
    <x v="56"/>
    <x v="56"/>
    <x v="1"/>
  </r>
  <r>
    <x v="3"/>
    <x v="3"/>
    <x v="469"/>
    <x v="2"/>
    <x v="41"/>
    <x v="25"/>
    <x v="2"/>
    <x v="34"/>
    <x v="199"/>
    <x v="2145"/>
    <x v="43"/>
    <x v="43"/>
    <x v="1"/>
  </r>
  <r>
    <x v="3"/>
    <x v="3"/>
    <x v="470"/>
    <x v="2"/>
    <x v="41"/>
    <x v="25"/>
    <x v="1"/>
    <x v="47"/>
    <x v="199"/>
    <x v="2520"/>
    <x v="43"/>
    <x v="43"/>
    <x v="1"/>
  </r>
  <r>
    <x v="3"/>
    <x v="3"/>
    <x v="471"/>
    <x v="2"/>
    <x v="41"/>
    <x v="25"/>
    <x v="5"/>
    <x v="39"/>
    <x v="241"/>
    <x v="2572"/>
    <x v="46"/>
    <x v="46"/>
    <x v="1"/>
  </r>
  <r>
    <x v="3"/>
    <x v="3"/>
    <x v="472"/>
    <x v="2"/>
    <x v="41"/>
    <x v="25"/>
    <x v="4"/>
    <x v="35"/>
    <x v="113"/>
    <x v="1345"/>
    <x v="55"/>
    <x v="55"/>
    <x v="1"/>
  </r>
  <r>
    <x v="3"/>
    <x v="3"/>
    <x v="473"/>
    <x v="2"/>
    <x v="41"/>
    <x v="25"/>
    <x v="0"/>
    <x v="42"/>
    <x v="113"/>
    <x v="1570"/>
    <x v="39"/>
    <x v="39"/>
    <x v="1"/>
  </r>
  <r>
    <x v="3"/>
    <x v="3"/>
    <x v="474"/>
    <x v="2"/>
    <x v="41"/>
    <x v="25"/>
    <x v="3"/>
    <x v="46"/>
    <x v="158"/>
    <x v="2153"/>
    <x v="57"/>
    <x v="57"/>
    <x v="1"/>
  </r>
  <r>
    <x v="3"/>
    <x v="3"/>
    <x v="475"/>
    <x v="2"/>
    <x v="41"/>
    <x v="25"/>
    <x v="2"/>
    <x v="42"/>
    <x v="159"/>
    <x v="2051"/>
    <x v="46"/>
    <x v="46"/>
    <x v="1"/>
  </r>
  <r>
    <x v="3"/>
    <x v="3"/>
    <x v="476"/>
    <x v="2"/>
    <x v="41"/>
    <x v="25"/>
    <x v="1"/>
    <x v="40"/>
    <x v="147"/>
    <x v="1870"/>
    <x v="46"/>
    <x v="46"/>
    <x v="1"/>
  </r>
  <r>
    <x v="3"/>
    <x v="3"/>
    <x v="477"/>
    <x v="2"/>
    <x v="41"/>
    <x v="25"/>
    <x v="5"/>
    <x v="47"/>
    <x v="159"/>
    <x v="2181"/>
    <x v="45"/>
    <x v="45"/>
    <x v="1"/>
  </r>
  <r>
    <x v="3"/>
    <x v="3"/>
    <x v="478"/>
    <x v="2"/>
    <x v="41"/>
    <x v="25"/>
    <x v="4"/>
    <x v="46"/>
    <x v="82"/>
    <x v="1275"/>
    <x v="56"/>
    <x v="56"/>
    <x v="1"/>
  </r>
  <r>
    <x v="3"/>
    <x v="3"/>
    <x v="479"/>
    <x v="2"/>
    <x v="41"/>
    <x v="25"/>
    <x v="0"/>
    <x v="40"/>
    <x v="101"/>
    <x v="1360"/>
    <x v="37"/>
    <x v="37"/>
    <x v="1"/>
  </r>
  <r>
    <x v="3"/>
    <x v="3"/>
    <x v="480"/>
    <x v="2"/>
    <x v="41"/>
    <x v="25"/>
    <x v="3"/>
    <x v="35"/>
    <x v="141"/>
    <x v="1640"/>
    <x v="60"/>
    <x v="60"/>
    <x v="1"/>
  </r>
  <r>
    <x v="3"/>
    <x v="3"/>
    <x v="481"/>
    <x v="2"/>
    <x v="41"/>
    <x v="25"/>
    <x v="2"/>
    <x v="26"/>
    <x v="150"/>
    <x v="1374"/>
    <x v="43"/>
    <x v="43"/>
    <x v="1"/>
  </r>
  <r>
    <x v="3"/>
    <x v="3"/>
    <x v="482"/>
    <x v="2"/>
    <x v="41"/>
    <x v="25"/>
    <x v="1"/>
    <x v="25"/>
    <x v="129"/>
    <x v="1155"/>
    <x v="46"/>
    <x v="46"/>
    <x v="1"/>
  </r>
  <r>
    <x v="3"/>
    <x v="3"/>
    <x v="483"/>
    <x v="2"/>
    <x v="41"/>
    <x v="25"/>
    <x v="5"/>
    <x v="29"/>
    <x v="127"/>
    <x v="1274"/>
    <x v="44"/>
    <x v="44"/>
    <x v="1"/>
  </r>
  <r>
    <x v="3"/>
    <x v="3"/>
    <x v="484"/>
    <x v="2"/>
    <x v="41"/>
    <x v="25"/>
    <x v="4"/>
    <x v="31"/>
    <x v="80"/>
    <x v="881"/>
    <x v="56"/>
    <x v="56"/>
    <x v="1"/>
  </r>
  <r>
    <x v="3"/>
    <x v="3"/>
    <x v="485"/>
    <x v="2"/>
    <x v="41"/>
    <x v="25"/>
    <x v="0"/>
    <x v="25"/>
    <x v="73"/>
    <x v="620"/>
    <x v="37"/>
    <x v="37"/>
    <x v="1"/>
  </r>
  <r>
    <x v="3"/>
    <x v="3"/>
    <x v="486"/>
    <x v="2"/>
    <x v="41"/>
    <x v="25"/>
    <x v="3"/>
    <x v="36"/>
    <x v="111"/>
    <x v="1359"/>
    <x v="57"/>
    <x v="57"/>
    <x v="1"/>
  </r>
  <r>
    <x v="3"/>
    <x v="3"/>
    <x v="487"/>
    <x v="2"/>
    <x v="41"/>
    <x v="25"/>
    <x v="2"/>
    <x v="22"/>
    <x v="172"/>
    <x v="1370"/>
    <x v="42"/>
    <x v="42"/>
    <x v="1"/>
  </r>
  <r>
    <x v="3"/>
    <x v="3"/>
    <x v="488"/>
    <x v="2"/>
    <x v="41"/>
    <x v="25"/>
    <x v="1"/>
    <x v="22"/>
    <x v="165"/>
    <x v="1318"/>
    <x v="42"/>
    <x v="42"/>
    <x v="1"/>
  </r>
  <r>
    <x v="3"/>
    <x v="3"/>
    <x v="489"/>
    <x v="2"/>
    <x v="41"/>
    <x v="25"/>
    <x v="5"/>
    <x v="43"/>
    <x v="151"/>
    <x v="2011"/>
    <x v="42"/>
    <x v="42"/>
    <x v="1"/>
  </r>
  <r>
    <x v="3"/>
    <x v="3"/>
    <x v="490"/>
    <x v="2"/>
    <x v="41"/>
    <x v="25"/>
    <x v="4"/>
    <x v="45"/>
    <x v="113"/>
    <x v="1657"/>
    <x v="55"/>
    <x v="55"/>
    <x v="1"/>
  </r>
  <r>
    <x v="3"/>
    <x v="3"/>
    <x v="491"/>
    <x v="2"/>
    <x v="41"/>
    <x v="25"/>
    <x v="0"/>
    <x v="44"/>
    <x v="94"/>
    <x v="1387"/>
    <x v="39"/>
    <x v="39"/>
    <x v="1"/>
  </r>
  <r>
    <x v="3"/>
    <x v="3"/>
    <x v="492"/>
    <x v="2"/>
    <x v="41"/>
    <x v="25"/>
    <x v="3"/>
    <x v="52"/>
    <x v="147"/>
    <x v="2201"/>
    <x v="57"/>
    <x v="57"/>
    <x v="1"/>
  </r>
  <r>
    <x v="3"/>
    <x v="3"/>
    <x v="493"/>
    <x v="2"/>
    <x v="41"/>
    <x v="25"/>
    <x v="2"/>
    <x v="46"/>
    <x v="174"/>
    <x v="2296"/>
    <x v="44"/>
    <x v="44"/>
    <x v="1"/>
  </r>
  <r>
    <x v="3"/>
    <x v="3"/>
    <x v="494"/>
    <x v="2"/>
    <x v="41"/>
    <x v="25"/>
    <x v="1"/>
    <x v="44"/>
    <x v="204"/>
    <x v="2488"/>
    <x v="41"/>
    <x v="41"/>
    <x v="1"/>
  </r>
  <r>
    <x v="3"/>
    <x v="3"/>
    <x v="495"/>
    <x v="2"/>
    <x v="41"/>
    <x v="25"/>
    <x v="5"/>
    <x v="47"/>
    <x v="183"/>
    <x v="2394"/>
    <x v="41"/>
    <x v="41"/>
    <x v="1"/>
  </r>
  <r>
    <x v="3"/>
    <x v="3"/>
    <x v="496"/>
    <x v="2"/>
    <x v="41"/>
    <x v="25"/>
    <x v="4"/>
    <x v="47"/>
    <x v="128"/>
    <x v="1891"/>
    <x v="55"/>
    <x v="55"/>
    <x v="1"/>
  </r>
  <r>
    <x v="3"/>
    <x v="3"/>
    <x v="497"/>
    <x v="2"/>
    <x v="41"/>
    <x v="25"/>
    <x v="0"/>
    <x v="43"/>
    <x v="120"/>
    <x v="1674"/>
    <x v="36"/>
    <x v="36"/>
    <x v="1"/>
  </r>
  <r>
    <x v="3"/>
    <x v="3"/>
    <x v="498"/>
    <x v="2"/>
    <x v="41"/>
    <x v="25"/>
    <x v="3"/>
    <x v="54"/>
    <x v="194"/>
    <x v="2613"/>
    <x v="60"/>
    <x v="60"/>
    <x v="1"/>
  </r>
  <r>
    <x v="1"/>
    <x v="1"/>
    <x v="499"/>
    <x v="2"/>
    <x v="41"/>
    <x v="25"/>
    <x v="2"/>
    <x v="25"/>
    <x v="100"/>
    <x v="899"/>
    <x v="36"/>
    <x v="36"/>
    <x v="1"/>
  </r>
  <r>
    <x v="1"/>
    <x v="1"/>
    <x v="500"/>
    <x v="2"/>
    <x v="41"/>
    <x v="25"/>
    <x v="1"/>
    <x v="25"/>
    <x v="45"/>
    <x v="328"/>
    <x v="35"/>
    <x v="35"/>
    <x v="1"/>
  </r>
  <r>
    <x v="1"/>
    <x v="1"/>
    <x v="501"/>
    <x v="2"/>
    <x v="41"/>
    <x v="25"/>
    <x v="5"/>
    <x v="17"/>
    <x v="54"/>
    <x v="266"/>
    <x v="34"/>
    <x v="34"/>
    <x v="1"/>
  </r>
  <r>
    <x v="1"/>
    <x v="1"/>
    <x v="502"/>
    <x v="2"/>
    <x v="41"/>
    <x v="25"/>
    <x v="4"/>
    <x v="20"/>
    <x v="9"/>
    <x v="30"/>
    <x v="39"/>
    <x v="39"/>
    <x v="1"/>
  </r>
  <r>
    <x v="1"/>
    <x v="1"/>
    <x v="503"/>
    <x v="0"/>
    <x v="26"/>
    <x v="38"/>
    <x v="0"/>
    <x v="36"/>
    <x v="25"/>
    <x v="252"/>
    <x v="31"/>
    <x v="31"/>
    <x v="1"/>
  </r>
  <r>
    <x v="1"/>
    <x v="1"/>
    <x v="504"/>
    <x v="0"/>
    <x v="26"/>
    <x v="38"/>
    <x v="3"/>
    <x v="25"/>
    <x v="56"/>
    <x v="441"/>
    <x v="47"/>
    <x v="47"/>
    <x v="1"/>
  </r>
  <r>
    <x v="1"/>
    <x v="1"/>
    <x v="505"/>
    <x v="0"/>
    <x v="26"/>
    <x v="38"/>
    <x v="2"/>
    <x v="25"/>
    <x v="100"/>
    <x v="899"/>
    <x v="40"/>
    <x v="40"/>
    <x v="1"/>
  </r>
  <r>
    <x v="1"/>
    <x v="1"/>
    <x v="506"/>
    <x v="0"/>
    <x v="26"/>
    <x v="38"/>
    <x v="1"/>
    <x v="26"/>
    <x v="27"/>
    <x v="174"/>
    <x v="36"/>
    <x v="36"/>
    <x v="1"/>
  </r>
  <r>
    <x v="1"/>
    <x v="1"/>
    <x v="507"/>
    <x v="0"/>
    <x v="26"/>
    <x v="38"/>
    <x v="5"/>
    <x v="16"/>
    <x v="36"/>
    <x v="133"/>
    <x v="36"/>
    <x v="36"/>
    <x v="1"/>
  </r>
  <r>
    <x v="1"/>
    <x v="1"/>
    <x v="508"/>
    <x v="0"/>
    <x v="26"/>
    <x v="38"/>
    <x v="4"/>
    <x v="22"/>
    <x v="5"/>
    <x v="18"/>
    <x v="36"/>
    <x v="36"/>
    <x v="1"/>
  </r>
  <r>
    <x v="1"/>
    <x v="1"/>
    <x v="509"/>
    <x v="0"/>
    <x v="26"/>
    <x v="38"/>
    <x v="0"/>
    <x v="34"/>
    <x v="21"/>
    <x v="179"/>
    <x v="35"/>
    <x v="35"/>
    <x v="1"/>
  </r>
  <r>
    <x v="1"/>
    <x v="1"/>
    <x v="510"/>
    <x v="0"/>
    <x v="26"/>
    <x v="38"/>
    <x v="3"/>
    <x v="25"/>
    <x v="49"/>
    <x v="366"/>
    <x v="48"/>
    <x v="48"/>
    <x v="1"/>
  </r>
  <r>
    <x v="1"/>
    <x v="1"/>
    <x v="511"/>
    <x v="0"/>
    <x v="26"/>
    <x v="38"/>
    <x v="2"/>
    <x v="31"/>
    <x v="102"/>
    <x v="1118"/>
    <x v="40"/>
    <x v="40"/>
    <x v="1"/>
  </r>
  <r>
    <x v="1"/>
    <x v="1"/>
    <x v="512"/>
    <x v="0"/>
    <x v="26"/>
    <x v="38"/>
    <x v="1"/>
    <x v="32"/>
    <x v="16"/>
    <x v="120"/>
    <x v="32"/>
    <x v="32"/>
    <x v="1"/>
  </r>
  <r>
    <x v="1"/>
    <x v="1"/>
    <x v="513"/>
    <x v="0"/>
    <x v="26"/>
    <x v="38"/>
    <x v="5"/>
    <x v="22"/>
    <x v="28"/>
    <x v="149"/>
    <x v="36"/>
    <x v="36"/>
    <x v="1"/>
  </r>
  <r>
    <x v="1"/>
    <x v="1"/>
    <x v="514"/>
    <x v="0"/>
    <x v="26"/>
    <x v="38"/>
    <x v="4"/>
    <x v="26"/>
    <x v="0"/>
    <x v="0"/>
    <x v="41"/>
    <x v="41"/>
    <x v="1"/>
  </r>
  <r>
    <x v="1"/>
    <x v="1"/>
    <x v="515"/>
    <x v="0"/>
    <x v="26"/>
    <x v="38"/>
    <x v="0"/>
    <x v="38"/>
    <x v="4"/>
    <x v="42"/>
    <x v="33"/>
    <x v="33"/>
    <x v="1"/>
  </r>
  <r>
    <x v="1"/>
    <x v="1"/>
    <x v="516"/>
    <x v="0"/>
    <x v="26"/>
    <x v="38"/>
    <x v="3"/>
    <x v="30"/>
    <x v="27"/>
    <x v="216"/>
    <x v="47"/>
    <x v="47"/>
    <x v="1"/>
  </r>
  <r>
    <x v="1"/>
    <x v="1"/>
    <x v="517"/>
    <x v="0"/>
    <x v="26"/>
    <x v="38"/>
    <x v="2"/>
    <x v="31"/>
    <x v="87"/>
    <x v="952"/>
    <x v="39"/>
    <x v="39"/>
    <x v="1"/>
  </r>
  <r>
    <x v="1"/>
    <x v="1"/>
    <x v="518"/>
    <x v="0"/>
    <x v="26"/>
    <x v="38"/>
    <x v="1"/>
    <x v="25"/>
    <x v="13"/>
    <x v="69"/>
    <x v="31"/>
    <x v="31"/>
    <x v="1"/>
  </r>
  <r>
    <x v="1"/>
    <x v="1"/>
    <x v="519"/>
    <x v="0"/>
    <x v="26"/>
    <x v="38"/>
    <x v="5"/>
    <x v="16"/>
    <x v="11"/>
    <x v="26"/>
    <x v="31"/>
    <x v="31"/>
    <x v="1"/>
  </r>
  <r>
    <x v="1"/>
    <x v="1"/>
    <x v="520"/>
    <x v="0"/>
    <x v="26"/>
    <x v="38"/>
    <x v="4"/>
    <x v="20"/>
    <x v="0"/>
    <x v="0"/>
    <x v="39"/>
    <x v="39"/>
    <x v="1"/>
  </r>
  <r>
    <x v="1"/>
    <x v="1"/>
    <x v="521"/>
    <x v="0"/>
    <x v="26"/>
    <x v="38"/>
    <x v="0"/>
    <x v="35"/>
    <x v="1"/>
    <x v="6"/>
    <x v="34"/>
    <x v="34"/>
    <x v="1"/>
  </r>
  <r>
    <x v="1"/>
    <x v="1"/>
    <x v="522"/>
    <x v="0"/>
    <x v="26"/>
    <x v="38"/>
    <x v="3"/>
    <x v="27"/>
    <x v="28"/>
    <x v="192"/>
    <x v="48"/>
    <x v="48"/>
    <x v="1"/>
  </r>
  <r>
    <x v="1"/>
    <x v="1"/>
    <x v="523"/>
    <x v="0"/>
    <x v="26"/>
    <x v="38"/>
    <x v="2"/>
    <x v="37"/>
    <x v="99"/>
    <x v="1252"/>
    <x v="40"/>
    <x v="40"/>
    <x v="1"/>
  </r>
  <r>
    <x v="1"/>
    <x v="1"/>
    <x v="524"/>
    <x v="0"/>
    <x v="26"/>
    <x v="38"/>
    <x v="1"/>
    <x v="31"/>
    <x v="23"/>
    <x v="174"/>
    <x v="36"/>
    <x v="36"/>
    <x v="1"/>
  </r>
  <r>
    <x v="1"/>
    <x v="1"/>
    <x v="525"/>
    <x v="0"/>
    <x v="26"/>
    <x v="38"/>
    <x v="5"/>
    <x v="25"/>
    <x v="20"/>
    <x v="107"/>
    <x v="34"/>
    <x v="34"/>
    <x v="1"/>
  </r>
  <r>
    <x v="1"/>
    <x v="1"/>
    <x v="526"/>
    <x v="0"/>
    <x v="26"/>
    <x v="38"/>
    <x v="4"/>
    <x v="27"/>
    <x v="2"/>
    <x v="5"/>
    <x v="39"/>
    <x v="39"/>
    <x v="1"/>
  </r>
  <r>
    <x v="1"/>
    <x v="1"/>
    <x v="527"/>
    <x v="0"/>
    <x v="26"/>
    <x v="38"/>
    <x v="0"/>
    <x v="39"/>
    <x v="4"/>
    <x v="45"/>
    <x v="32"/>
    <x v="32"/>
    <x v="1"/>
  </r>
  <r>
    <x v="1"/>
    <x v="1"/>
    <x v="528"/>
    <x v="0"/>
    <x v="26"/>
    <x v="38"/>
    <x v="3"/>
    <x v="44"/>
    <x v="30"/>
    <x v="419"/>
    <x v="48"/>
    <x v="48"/>
    <x v="1"/>
  </r>
  <r>
    <x v="1"/>
    <x v="1"/>
    <x v="529"/>
    <x v="0"/>
    <x v="26"/>
    <x v="38"/>
    <x v="2"/>
    <x v="29"/>
    <x v="101"/>
    <x v="1034"/>
    <x v="39"/>
    <x v="39"/>
    <x v="1"/>
  </r>
  <r>
    <x v="1"/>
    <x v="1"/>
    <x v="530"/>
    <x v="0"/>
    <x v="26"/>
    <x v="38"/>
    <x v="1"/>
    <x v="25"/>
    <x v="34"/>
    <x v="230"/>
    <x v="36"/>
    <x v="36"/>
    <x v="1"/>
  </r>
  <r>
    <x v="1"/>
    <x v="1"/>
    <x v="531"/>
    <x v="0"/>
    <x v="26"/>
    <x v="38"/>
    <x v="5"/>
    <x v="20"/>
    <x v="35"/>
    <x v="172"/>
    <x v="31"/>
    <x v="31"/>
    <x v="1"/>
  </r>
  <r>
    <x v="1"/>
    <x v="1"/>
    <x v="532"/>
    <x v="0"/>
    <x v="26"/>
    <x v="38"/>
    <x v="4"/>
    <x v="20"/>
    <x v="28"/>
    <x v="127"/>
    <x v="40"/>
    <x v="40"/>
    <x v="1"/>
  </r>
  <r>
    <x v="1"/>
    <x v="1"/>
    <x v="533"/>
    <x v="0"/>
    <x v="26"/>
    <x v="38"/>
    <x v="0"/>
    <x v="35"/>
    <x v="31"/>
    <x v="321"/>
    <x v="36"/>
    <x v="36"/>
    <x v="1"/>
  </r>
  <r>
    <x v="1"/>
    <x v="1"/>
    <x v="534"/>
    <x v="0"/>
    <x v="26"/>
    <x v="38"/>
    <x v="3"/>
    <x v="42"/>
    <x v="70"/>
    <x v="995"/>
    <x v="48"/>
    <x v="48"/>
    <x v="1"/>
  </r>
  <r>
    <x v="1"/>
    <x v="1"/>
    <x v="535"/>
    <x v="0"/>
    <x v="26"/>
    <x v="38"/>
    <x v="2"/>
    <x v="36"/>
    <x v="143"/>
    <x v="1694"/>
    <x v="37"/>
    <x v="37"/>
    <x v="1"/>
  </r>
  <r>
    <x v="1"/>
    <x v="1"/>
    <x v="536"/>
    <x v="0"/>
    <x v="26"/>
    <x v="38"/>
    <x v="1"/>
    <x v="30"/>
    <x v="67"/>
    <x v="671"/>
    <x v="31"/>
    <x v="31"/>
    <x v="1"/>
  </r>
  <r>
    <x v="1"/>
    <x v="1"/>
    <x v="537"/>
    <x v="0"/>
    <x v="26"/>
    <x v="38"/>
    <x v="5"/>
    <x v="27"/>
    <x v="52"/>
    <x v="431"/>
    <x v="31"/>
    <x v="31"/>
    <x v="1"/>
  </r>
  <r>
    <x v="1"/>
    <x v="1"/>
    <x v="538"/>
    <x v="0"/>
    <x v="26"/>
    <x v="38"/>
    <x v="4"/>
    <x v="26"/>
    <x v="35"/>
    <x v="255"/>
    <x v="38"/>
    <x v="38"/>
    <x v="1"/>
  </r>
  <r>
    <x v="1"/>
    <x v="1"/>
    <x v="539"/>
    <x v="0"/>
    <x v="26"/>
    <x v="38"/>
    <x v="0"/>
    <x v="34"/>
    <x v="33"/>
    <x v="333"/>
    <x v="35"/>
    <x v="35"/>
    <x v="1"/>
  </r>
  <r>
    <x v="1"/>
    <x v="1"/>
    <x v="540"/>
    <x v="0"/>
    <x v="26"/>
    <x v="38"/>
    <x v="3"/>
    <x v="42"/>
    <x v="75"/>
    <x v="1074"/>
    <x v="49"/>
    <x v="49"/>
    <x v="1"/>
  </r>
  <r>
    <x v="1"/>
    <x v="1"/>
    <x v="541"/>
    <x v="0"/>
    <x v="26"/>
    <x v="38"/>
    <x v="2"/>
    <x v="34"/>
    <x v="125"/>
    <x v="1426"/>
    <x v="39"/>
    <x v="39"/>
    <x v="1"/>
  </r>
  <r>
    <x v="1"/>
    <x v="1"/>
    <x v="542"/>
    <x v="0"/>
    <x v="26"/>
    <x v="38"/>
    <x v="1"/>
    <x v="35"/>
    <x v="66"/>
    <x v="780"/>
    <x v="35"/>
    <x v="35"/>
    <x v="1"/>
  </r>
  <r>
    <x v="1"/>
    <x v="1"/>
    <x v="543"/>
    <x v="0"/>
    <x v="26"/>
    <x v="38"/>
    <x v="5"/>
    <x v="29"/>
    <x v="41"/>
    <x v="351"/>
    <x v="34"/>
    <x v="34"/>
    <x v="1"/>
  </r>
  <r>
    <x v="1"/>
    <x v="1"/>
    <x v="544"/>
    <x v="0"/>
    <x v="26"/>
    <x v="38"/>
    <x v="4"/>
    <x v="22"/>
    <x v="27"/>
    <x v="137"/>
    <x v="37"/>
    <x v="37"/>
    <x v="1"/>
  </r>
  <r>
    <x v="1"/>
    <x v="1"/>
    <x v="545"/>
    <x v="0"/>
    <x v="26"/>
    <x v="38"/>
    <x v="0"/>
    <x v="30"/>
    <x v="17"/>
    <x v="116"/>
    <x v="34"/>
    <x v="34"/>
    <x v="1"/>
  </r>
  <r>
    <x v="1"/>
    <x v="1"/>
    <x v="546"/>
    <x v="0"/>
    <x v="26"/>
    <x v="38"/>
    <x v="3"/>
    <x v="37"/>
    <x v="57"/>
    <x v="685"/>
    <x v="46"/>
    <x v="46"/>
    <x v="1"/>
  </r>
  <r>
    <x v="1"/>
    <x v="1"/>
    <x v="547"/>
    <x v="0"/>
    <x v="26"/>
    <x v="38"/>
    <x v="2"/>
    <x v="31"/>
    <x v="93"/>
    <x v="1018"/>
    <x v="40"/>
    <x v="40"/>
    <x v="1"/>
  </r>
  <r>
    <x v="1"/>
    <x v="1"/>
    <x v="548"/>
    <x v="0"/>
    <x v="26"/>
    <x v="38"/>
    <x v="1"/>
    <x v="26"/>
    <x v="45"/>
    <x v="343"/>
    <x v="32"/>
    <x v="32"/>
    <x v="1"/>
  </r>
  <r>
    <x v="1"/>
    <x v="1"/>
    <x v="549"/>
    <x v="0"/>
    <x v="26"/>
    <x v="38"/>
    <x v="5"/>
    <x v="11"/>
    <x v="15"/>
    <x v="22"/>
    <x v="34"/>
    <x v="34"/>
    <x v="1"/>
  </r>
  <r>
    <x v="1"/>
    <x v="1"/>
    <x v="550"/>
    <x v="0"/>
    <x v="26"/>
    <x v="38"/>
    <x v="4"/>
    <x v="12"/>
    <x v="13"/>
    <x v="21"/>
    <x v="38"/>
    <x v="38"/>
    <x v="1"/>
  </r>
  <r>
    <x v="1"/>
    <x v="1"/>
    <x v="551"/>
    <x v="0"/>
    <x v="26"/>
    <x v="38"/>
    <x v="0"/>
    <x v="22"/>
    <x v="11"/>
    <x v="46"/>
    <x v="34"/>
    <x v="34"/>
    <x v="1"/>
  </r>
  <r>
    <x v="1"/>
    <x v="1"/>
    <x v="552"/>
    <x v="0"/>
    <x v="26"/>
    <x v="38"/>
    <x v="3"/>
    <x v="27"/>
    <x v="28"/>
    <x v="192"/>
    <x v="48"/>
    <x v="48"/>
    <x v="1"/>
  </r>
  <r>
    <x v="1"/>
    <x v="1"/>
    <x v="553"/>
    <x v="0"/>
    <x v="26"/>
    <x v="38"/>
    <x v="2"/>
    <x v="29"/>
    <x v="77"/>
    <x v="787"/>
    <x v="40"/>
    <x v="40"/>
    <x v="1"/>
  </r>
  <r>
    <x v="1"/>
    <x v="1"/>
    <x v="554"/>
    <x v="0"/>
    <x v="26"/>
    <x v="38"/>
    <x v="1"/>
    <x v="22"/>
    <x v="30"/>
    <x v="161"/>
    <x v="32"/>
    <x v="32"/>
    <x v="1"/>
  </r>
  <r>
    <x v="1"/>
    <x v="1"/>
    <x v="555"/>
    <x v="0"/>
    <x v="26"/>
    <x v="38"/>
    <x v="5"/>
    <x v="22"/>
    <x v="5"/>
    <x v="18"/>
    <x v="36"/>
    <x v="36"/>
    <x v="1"/>
  </r>
  <r>
    <x v="1"/>
    <x v="1"/>
    <x v="556"/>
    <x v="0"/>
    <x v="26"/>
    <x v="38"/>
    <x v="4"/>
    <x v="22"/>
    <x v="2"/>
    <x v="2"/>
    <x v="39"/>
    <x v="39"/>
    <x v="1"/>
  </r>
  <r>
    <x v="1"/>
    <x v="1"/>
    <x v="557"/>
    <x v="0"/>
    <x v="26"/>
    <x v="38"/>
    <x v="0"/>
    <x v="30"/>
    <x v="2"/>
    <x v="8"/>
    <x v="34"/>
    <x v="34"/>
    <x v="1"/>
  </r>
  <r>
    <x v="1"/>
    <x v="1"/>
    <x v="558"/>
    <x v="0"/>
    <x v="26"/>
    <x v="38"/>
    <x v="3"/>
    <x v="37"/>
    <x v="27"/>
    <x v="295"/>
    <x v="49"/>
    <x v="49"/>
    <x v="1"/>
  </r>
  <r>
    <x v="1"/>
    <x v="1"/>
    <x v="559"/>
    <x v="0"/>
    <x v="26"/>
    <x v="38"/>
    <x v="2"/>
    <x v="30"/>
    <x v="69"/>
    <x v="708"/>
    <x v="40"/>
    <x v="40"/>
    <x v="1"/>
  </r>
  <r>
    <x v="1"/>
    <x v="1"/>
    <x v="560"/>
    <x v="0"/>
    <x v="26"/>
    <x v="38"/>
    <x v="1"/>
    <x v="22"/>
    <x v="30"/>
    <x v="161"/>
    <x v="32"/>
    <x v="32"/>
    <x v="1"/>
  </r>
  <r>
    <x v="1"/>
    <x v="1"/>
    <x v="561"/>
    <x v="0"/>
    <x v="26"/>
    <x v="38"/>
    <x v="5"/>
    <x v="22"/>
    <x v="15"/>
    <x v="65"/>
    <x v="33"/>
    <x v="33"/>
    <x v="1"/>
  </r>
  <r>
    <x v="1"/>
    <x v="1"/>
    <x v="562"/>
    <x v="0"/>
    <x v="26"/>
    <x v="38"/>
    <x v="4"/>
    <x v="20"/>
    <x v="26"/>
    <x v="110"/>
    <x v="41"/>
    <x v="41"/>
    <x v="1"/>
  </r>
  <r>
    <x v="1"/>
    <x v="1"/>
    <x v="563"/>
    <x v="0"/>
    <x v="26"/>
    <x v="38"/>
    <x v="0"/>
    <x v="41"/>
    <x v="17"/>
    <x v="186"/>
    <x v="31"/>
    <x v="31"/>
    <x v="1"/>
  </r>
  <r>
    <x v="1"/>
    <x v="1"/>
    <x v="564"/>
    <x v="0"/>
    <x v="26"/>
    <x v="38"/>
    <x v="3"/>
    <x v="46"/>
    <x v="47"/>
    <x v="698"/>
    <x v="48"/>
    <x v="48"/>
    <x v="1"/>
  </r>
  <r>
    <x v="1"/>
    <x v="1"/>
    <x v="565"/>
    <x v="0"/>
    <x v="26"/>
    <x v="38"/>
    <x v="2"/>
    <x v="42"/>
    <x v="98"/>
    <x v="1379"/>
    <x v="36"/>
    <x v="36"/>
    <x v="1"/>
  </r>
  <r>
    <x v="1"/>
    <x v="1"/>
    <x v="566"/>
    <x v="0"/>
    <x v="26"/>
    <x v="38"/>
    <x v="1"/>
    <x v="29"/>
    <x v="52"/>
    <x v="466"/>
    <x v="36"/>
    <x v="36"/>
    <x v="1"/>
  </r>
  <r>
    <x v="1"/>
    <x v="1"/>
    <x v="567"/>
    <x v="0"/>
    <x v="26"/>
    <x v="38"/>
    <x v="5"/>
    <x v="32"/>
    <x v="49"/>
    <x v="484"/>
    <x v="35"/>
    <x v="35"/>
    <x v="1"/>
  </r>
  <r>
    <x v="1"/>
    <x v="1"/>
    <x v="568"/>
    <x v="0"/>
    <x v="26"/>
    <x v="38"/>
    <x v="4"/>
    <x v="31"/>
    <x v="27"/>
    <x v="232"/>
    <x v="41"/>
    <x v="41"/>
    <x v="1"/>
  </r>
  <r>
    <x v="1"/>
    <x v="1"/>
    <x v="569"/>
    <x v="0"/>
    <x v="26"/>
    <x v="38"/>
    <x v="0"/>
    <x v="38"/>
    <x v="28"/>
    <x v="320"/>
    <x v="34"/>
    <x v="34"/>
    <x v="1"/>
  </r>
  <r>
    <x v="1"/>
    <x v="1"/>
    <x v="570"/>
    <x v="0"/>
    <x v="26"/>
    <x v="38"/>
    <x v="3"/>
    <x v="47"/>
    <x v="54"/>
    <x v="823"/>
    <x v="48"/>
    <x v="48"/>
    <x v="1"/>
  </r>
  <r>
    <x v="3"/>
    <x v="3"/>
    <x v="571"/>
    <x v="0"/>
    <x v="26"/>
    <x v="38"/>
    <x v="2"/>
    <x v="12"/>
    <x v="177"/>
    <x v="914"/>
    <x v="39"/>
    <x v="39"/>
    <x v="1"/>
  </r>
  <r>
    <x v="3"/>
    <x v="3"/>
    <x v="572"/>
    <x v="0"/>
    <x v="26"/>
    <x v="38"/>
    <x v="1"/>
    <x v="22"/>
    <x v="172"/>
    <x v="1370"/>
    <x v="40"/>
    <x v="40"/>
    <x v="1"/>
  </r>
  <r>
    <x v="3"/>
    <x v="3"/>
    <x v="573"/>
    <x v="0"/>
    <x v="26"/>
    <x v="38"/>
    <x v="5"/>
    <x v="21"/>
    <x v="118"/>
    <x v="916"/>
    <x v="41"/>
    <x v="41"/>
    <x v="1"/>
  </r>
  <r>
    <x v="3"/>
    <x v="3"/>
    <x v="574"/>
    <x v="0"/>
    <x v="26"/>
    <x v="38"/>
    <x v="4"/>
    <x v="26"/>
    <x v="118"/>
    <x v="1099"/>
    <x v="50"/>
    <x v="50"/>
    <x v="1"/>
  </r>
  <r>
    <x v="3"/>
    <x v="3"/>
    <x v="575"/>
    <x v="2"/>
    <x v="0"/>
    <x v="6"/>
    <x v="0"/>
    <x v="30"/>
    <x v="73"/>
    <x v="753"/>
    <x v="34"/>
    <x v="34"/>
    <x v="1"/>
  </r>
  <r>
    <x v="3"/>
    <x v="3"/>
    <x v="576"/>
    <x v="2"/>
    <x v="0"/>
    <x v="6"/>
    <x v="3"/>
    <x v="25"/>
    <x v="118"/>
    <x v="1062"/>
    <x v="56"/>
    <x v="56"/>
    <x v="1"/>
  </r>
  <r>
    <x v="3"/>
    <x v="3"/>
    <x v="577"/>
    <x v="2"/>
    <x v="0"/>
    <x v="6"/>
    <x v="2"/>
    <x v="17"/>
    <x v="135"/>
    <x v="888"/>
    <x v="40"/>
    <x v="40"/>
    <x v="1"/>
  </r>
  <r>
    <x v="3"/>
    <x v="3"/>
    <x v="578"/>
    <x v="2"/>
    <x v="0"/>
    <x v="6"/>
    <x v="1"/>
    <x v="26"/>
    <x v="151"/>
    <x v="1381"/>
    <x v="40"/>
    <x v="40"/>
    <x v="1"/>
  </r>
  <r>
    <x v="3"/>
    <x v="3"/>
    <x v="579"/>
    <x v="2"/>
    <x v="0"/>
    <x v="6"/>
    <x v="5"/>
    <x v="25"/>
    <x v="108"/>
    <x v="978"/>
    <x v="38"/>
    <x v="38"/>
    <x v="1"/>
  </r>
  <r>
    <x v="3"/>
    <x v="3"/>
    <x v="580"/>
    <x v="2"/>
    <x v="0"/>
    <x v="6"/>
    <x v="4"/>
    <x v="25"/>
    <x v="80"/>
    <x v="718"/>
    <x v="48"/>
    <x v="48"/>
    <x v="1"/>
  </r>
  <r>
    <x v="3"/>
    <x v="3"/>
    <x v="581"/>
    <x v="2"/>
    <x v="0"/>
    <x v="6"/>
    <x v="0"/>
    <x v="31"/>
    <x v="56"/>
    <x v="551"/>
    <x v="34"/>
    <x v="34"/>
    <x v="1"/>
  </r>
  <r>
    <x v="3"/>
    <x v="3"/>
    <x v="582"/>
    <x v="2"/>
    <x v="0"/>
    <x v="6"/>
    <x v="3"/>
    <x v="26"/>
    <x v="106"/>
    <x v="992"/>
    <x v="53"/>
    <x v="53"/>
    <x v="1"/>
  </r>
  <r>
    <x v="3"/>
    <x v="3"/>
    <x v="583"/>
    <x v="2"/>
    <x v="0"/>
    <x v="6"/>
    <x v="2"/>
    <x v="21"/>
    <x v="141"/>
    <x v="1102"/>
    <x v="41"/>
    <x v="41"/>
    <x v="1"/>
  </r>
  <r>
    <x v="3"/>
    <x v="3"/>
    <x v="584"/>
    <x v="2"/>
    <x v="0"/>
    <x v="6"/>
    <x v="1"/>
    <x v="29"/>
    <x v="164"/>
    <x v="1622"/>
    <x v="41"/>
    <x v="41"/>
    <x v="1"/>
  </r>
  <r>
    <x v="3"/>
    <x v="3"/>
    <x v="585"/>
    <x v="2"/>
    <x v="0"/>
    <x v="6"/>
    <x v="5"/>
    <x v="20"/>
    <x v="98"/>
    <x v="723"/>
    <x v="44"/>
    <x v="44"/>
    <x v="1"/>
  </r>
  <r>
    <x v="3"/>
    <x v="3"/>
    <x v="586"/>
    <x v="2"/>
    <x v="0"/>
    <x v="6"/>
    <x v="4"/>
    <x v="26"/>
    <x v="87"/>
    <x v="808"/>
    <x v="54"/>
    <x v="54"/>
    <x v="1"/>
  </r>
  <r>
    <x v="3"/>
    <x v="3"/>
    <x v="587"/>
    <x v="2"/>
    <x v="0"/>
    <x v="6"/>
    <x v="0"/>
    <x v="30"/>
    <x v="60"/>
    <x v="590"/>
    <x v="36"/>
    <x v="36"/>
    <x v="1"/>
  </r>
  <r>
    <x v="3"/>
    <x v="3"/>
    <x v="588"/>
    <x v="2"/>
    <x v="0"/>
    <x v="6"/>
    <x v="3"/>
    <x v="27"/>
    <x v="86"/>
    <x v="829"/>
    <x v="61"/>
    <x v="61"/>
    <x v="1"/>
  </r>
  <r>
    <x v="3"/>
    <x v="3"/>
    <x v="589"/>
    <x v="2"/>
    <x v="0"/>
    <x v="6"/>
    <x v="2"/>
    <x v="12"/>
    <x v="171"/>
    <x v="876"/>
    <x v="44"/>
    <x v="44"/>
    <x v="1"/>
  </r>
  <r>
    <x v="3"/>
    <x v="3"/>
    <x v="590"/>
    <x v="2"/>
    <x v="0"/>
    <x v="6"/>
    <x v="1"/>
    <x v="12"/>
    <x v="165"/>
    <x v="843"/>
    <x v="44"/>
    <x v="44"/>
    <x v="1"/>
  </r>
  <r>
    <x v="3"/>
    <x v="3"/>
    <x v="591"/>
    <x v="2"/>
    <x v="0"/>
    <x v="6"/>
    <x v="5"/>
    <x v="7"/>
    <x v="100"/>
    <x v="294"/>
    <x v="45"/>
    <x v="45"/>
    <x v="1"/>
  </r>
  <r>
    <x v="3"/>
    <x v="3"/>
    <x v="592"/>
    <x v="2"/>
    <x v="0"/>
    <x v="6"/>
    <x v="4"/>
    <x v="11"/>
    <x v="94"/>
    <x v="401"/>
    <x v="52"/>
    <x v="52"/>
    <x v="1"/>
  </r>
  <r>
    <x v="3"/>
    <x v="3"/>
    <x v="593"/>
    <x v="2"/>
    <x v="0"/>
    <x v="6"/>
    <x v="0"/>
    <x v="16"/>
    <x v="61"/>
    <x v="304"/>
    <x v="39"/>
    <x v="39"/>
    <x v="1"/>
  </r>
  <r>
    <x v="3"/>
    <x v="3"/>
    <x v="594"/>
    <x v="2"/>
    <x v="0"/>
    <x v="6"/>
    <x v="3"/>
    <x v="13"/>
    <x v="128"/>
    <x v="665"/>
    <x v="61"/>
    <x v="61"/>
    <x v="1"/>
  </r>
  <r>
    <x v="3"/>
    <x v="3"/>
    <x v="595"/>
    <x v="2"/>
    <x v="0"/>
    <x v="6"/>
    <x v="2"/>
    <x v="2"/>
    <x v="177"/>
    <x v="337"/>
    <x v="45"/>
    <x v="45"/>
    <x v="1"/>
  </r>
  <r>
    <x v="3"/>
    <x v="3"/>
    <x v="596"/>
    <x v="2"/>
    <x v="0"/>
    <x v="6"/>
    <x v="1"/>
    <x v="12"/>
    <x v="165"/>
    <x v="843"/>
    <x v="45"/>
    <x v="45"/>
    <x v="1"/>
  </r>
  <r>
    <x v="3"/>
    <x v="3"/>
    <x v="597"/>
    <x v="2"/>
    <x v="0"/>
    <x v="6"/>
    <x v="5"/>
    <x v="8"/>
    <x v="150"/>
    <x v="555"/>
    <x v="42"/>
    <x v="42"/>
    <x v="1"/>
  </r>
  <r>
    <x v="3"/>
    <x v="3"/>
    <x v="598"/>
    <x v="2"/>
    <x v="0"/>
    <x v="6"/>
    <x v="4"/>
    <x v="27"/>
    <x v="115"/>
    <x v="1108"/>
    <x v="54"/>
    <x v="54"/>
    <x v="1"/>
  </r>
  <r>
    <x v="3"/>
    <x v="3"/>
    <x v="599"/>
    <x v="2"/>
    <x v="0"/>
    <x v="6"/>
    <x v="0"/>
    <x v="42"/>
    <x v="101"/>
    <x v="1412"/>
    <x v="40"/>
    <x v="40"/>
    <x v="1"/>
  </r>
  <r>
    <x v="3"/>
    <x v="3"/>
    <x v="600"/>
    <x v="2"/>
    <x v="0"/>
    <x v="6"/>
    <x v="3"/>
    <x v="36"/>
    <x v="177"/>
    <x v="2016"/>
    <x v="58"/>
    <x v="58"/>
    <x v="1"/>
  </r>
  <r>
    <x v="3"/>
    <x v="3"/>
    <x v="601"/>
    <x v="2"/>
    <x v="0"/>
    <x v="6"/>
    <x v="2"/>
    <x v="36"/>
    <x v="177"/>
    <x v="2016"/>
    <x v="41"/>
    <x v="41"/>
    <x v="1"/>
  </r>
  <r>
    <x v="3"/>
    <x v="3"/>
    <x v="602"/>
    <x v="2"/>
    <x v="0"/>
    <x v="6"/>
    <x v="1"/>
    <x v="42"/>
    <x v="177"/>
    <x v="2200"/>
    <x v="42"/>
    <x v="42"/>
    <x v="1"/>
  </r>
  <r>
    <x v="3"/>
    <x v="3"/>
    <x v="603"/>
    <x v="2"/>
    <x v="0"/>
    <x v="6"/>
    <x v="5"/>
    <x v="37"/>
    <x v="165"/>
    <x v="1944"/>
    <x v="45"/>
    <x v="45"/>
    <x v="1"/>
  </r>
  <r>
    <x v="3"/>
    <x v="3"/>
    <x v="604"/>
    <x v="2"/>
    <x v="0"/>
    <x v="6"/>
    <x v="4"/>
    <x v="34"/>
    <x v="157"/>
    <x v="1753"/>
    <x v="55"/>
    <x v="55"/>
    <x v="1"/>
  </r>
  <r>
    <x v="3"/>
    <x v="3"/>
    <x v="605"/>
    <x v="2"/>
    <x v="0"/>
    <x v="6"/>
    <x v="0"/>
    <x v="42"/>
    <x v="125"/>
    <x v="1698"/>
    <x v="41"/>
    <x v="41"/>
    <x v="1"/>
  </r>
  <r>
    <x v="3"/>
    <x v="3"/>
    <x v="606"/>
    <x v="2"/>
    <x v="0"/>
    <x v="6"/>
    <x v="3"/>
    <x v="43"/>
    <x v="208"/>
    <x v="2491"/>
    <x v="58"/>
    <x v="58"/>
    <x v="1"/>
  </r>
  <r>
    <x v="3"/>
    <x v="3"/>
    <x v="607"/>
    <x v="2"/>
    <x v="0"/>
    <x v="6"/>
    <x v="2"/>
    <x v="37"/>
    <x v="179"/>
    <x v="2073"/>
    <x v="50"/>
    <x v="50"/>
    <x v="1"/>
  </r>
  <r>
    <x v="3"/>
    <x v="3"/>
    <x v="608"/>
    <x v="2"/>
    <x v="0"/>
    <x v="6"/>
    <x v="1"/>
    <x v="42"/>
    <x v="185"/>
    <x v="2287"/>
    <x v="50"/>
    <x v="50"/>
    <x v="1"/>
  </r>
  <r>
    <x v="3"/>
    <x v="3"/>
    <x v="609"/>
    <x v="2"/>
    <x v="0"/>
    <x v="6"/>
    <x v="5"/>
    <x v="34"/>
    <x v="214"/>
    <x v="2267"/>
    <x v="49"/>
    <x v="49"/>
    <x v="1"/>
  </r>
  <r>
    <x v="3"/>
    <x v="3"/>
    <x v="610"/>
    <x v="2"/>
    <x v="0"/>
    <x v="6"/>
    <x v="4"/>
    <x v="37"/>
    <x v="150"/>
    <x v="1799"/>
    <x v="60"/>
    <x v="60"/>
    <x v="1"/>
  </r>
  <r>
    <x v="3"/>
    <x v="3"/>
    <x v="611"/>
    <x v="2"/>
    <x v="0"/>
    <x v="6"/>
    <x v="0"/>
    <x v="38"/>
    <x v="111"/>
    <x v="1417"/>
    <x v="44"/>
    <x v="44"/>
    <x v="1"/>
  </r>
  <r>
    <x v="3"/>
    <x v="3"/>
    <x v="612"/>
    <x v="2"/>
    <x v="0"/>
    <x v="6"/>
    <x v="3"/>
    <x v="49"/>
    <x v="204"/>
    <x v="2592"/>
    <x v="65"/>
    <x v="65"/>
    <x v="1"/>
  </r>
  <r>
    <x v="3"/>
    <x v="3"/>
    <x v="613"/>
    <x v="2"/>
    <x v="0"/>
    <x v="6"/>
    <x v="2"/>
    <x v="31"/>
    <x v="194"/>
    <x v="1985"/>
    <x v="47"/>
    <x v="47"/>
    <x v="1"/>
  </r>
  <r>
    <x v="3"/>
    <x v="3"/>
    <x v="614"/>
    <x v="2"/>
    <x v="0"/>
    <x v="6"/>
    <x v="1"/>
    <x v="45"/>
    <x v="183"/>
    <x v="2338"/>
    <x v="51"/>
    <x v="51"/>
    <x v="1"/>
  </r>
  <r>
    <x v="3"/>
    <x v="3"/>
    <x v="615"/>
    <x v="2"/>
    <x v="0"/>
    <x v="6"/>
    <x v="5"/>
    <x v="44"/>
    <x v="226"/>
    <x v="2609"/>
    <x v="46"/>
    <x v="46"/>
    <x v="1"/>
  </r>
  <r>
    <x v="3"/>
    <x v="3"/>
    <x v="616"/>
    <x v="2"/>
    <x v="0"/>
    <x v="6"/>
    <x v="4"/>
    <x v="39"/>
    <x v="100"/>
    <x v="1316"/>
    <x v="57"/>
    <x v="57"/>
    <x v="1"/>
  </r>
  <r>
    <x v="3"/>
    <x v="3"/>
    <x v="617"/>
    <x v="2"/>
    <x v="0"/>
    <x v="6"/>
    <x v="0"/>
    <x v="43"/>
    <x v="103"/>
    <x v="1476"/>
    <x v="45"/>
    <x v="45"/>
    <x v="1"/>
  </r>
  <r>
    <x v="3"/>
    <x v="3"/>
    <x v="618"/>
    <x v="2"/>
    <x v="0"/>
    <x v="6"/>
    <x v="3"/>
    <x v="52"/>
    <x v="159"/>
    <x v="2312"/>
    <x v="63"/>
    <x v="63"/>
    <x v="1"/>
  </r>
  <r>
    <x v="3"/>
    <x v="3"/>
    <x v="619"/>
    <x v="2"/>
    <x v="0"/>
    <x v="6"/>
    <x v="2"/>
    <x v="44"/>
    <x v="152"/>
    <x v="2052"/>
    <x v="46"/>
    <x v="46"/>
    <x v="1"/>
  </r>
  <r>
    <x v="3"/>
    <x v="3"/>
    <x v="620"/>
    <x v="2"/>
    <x v="0"/>
    <x v="6"/>
    <x v="1"/>
    <x v="43"/>
    <x v="124"/>
    <x v="1716"/>
    <x v="49"/>
    <x v="49"/>
    <x v="1"/>
  </r>
  <r>
    <x v="3"/>
    <x v="3"/>
    <x v="621"/>
    <x v="2"/>
    <x v="0"/>
    <x v="6"/>
    <x v="5"/>
    <x v="52"/>
    <x v="164"/>
    <x v="2365"/>
    <x v="49"/>
    <x v="49"/>
    <x v="1"/>
  </r>
  <r>
    <x v="3"/>
    <x v="3"/>
    <x v="622"/>
    <x v="2"/>
    <x v="0"/>
    <x v="6"/>
    <x v="4"/>
    <x v="51"/>
    <x v="78"/>
    <x v="1325"/>
    <x v="57"/>
    <x v="57"/>
    <x v="1"/>
  </r>
  <r>
    <x v="3"/>
    <x v="3"/>
    <x v="623"/>
    <x v="2"/>
    <x v="0"/>
    <x v="6"/>
    <x v="0"/>
    <x v="34"/>
    <x v="73"/>
    <x v="849"/>
    <x v="43"/>
    <x v="43"/>
    <x v="1"/>
  </r>
  <r>
    <x v="3"/>
    <x v="3"/>
    <x v="624"/>
    <x v="2"/>
    <x v="0"/>
    <x v="6"/>
    <x v="3"/>
    <x v="30"/>
    <x v="129"/>
    <x v="1337"/>
    <x v="63"/>
    <x v="63"/>
    <x v="1"/>
  </r>
  <r>
    <x v="3"/>
    <x v="3"/>
    <x v="625"/>
    <x v="2"/>
    <x v="0"/>
    <x v="6"/>
    <x v="2"/>
    <x v="22"/>
    <x v="111"/>
    <x v="896"/>
    <x v="46"/>
    <x v="46"/>
    <x v="1"/>
  </r>
  <r>
    <x v="3"/>
    <x v="3"/>
    <x v="626"/>
    <x v="2"/>
    <x v="0"/>
    <x v="6"/>
    <x v="1"/>
    <x v="22"/>
    <x v="137"/>
    <x v="1107"/>
    <x v="49"/>
    <x v="49"/>
    <x v="1"/>
  </r>
  <r>
    <x v="3"/>
    <x v="3"/>
    <x v="627"/>
    <x v="2"/>
    <x v="0"/>
    <x v="6"/>
    <x v="5"/>
    <x v="25"/>
    <x v="104"/>
    <x v="946"/>
    <x v="46"/>
    <x v="46"/>
    <x v="1"/>
  </r>
  <r>
    <x v="3"/>
    <x v="3"/>
    <x v="628"/>
    <x v="2"/>
    <x v="0"/>
    <x v="6"/>
    <x v="4"/>
    <x v="25"/>
    <x v="75"/>
    <x v="645"/>
    <x v="59"/>
    <x v="59"/>
    <x v="1"/>
  </r>
  <r>
    <x v="3"/>
    <x v="3"/>
    <x v="629"/>
    <x v="2"/>
    <x v="0"/>
    <x v="6"/>
    <x v="0"/>
    <x v="22"/>
    <x v="64"/>
    <x v="465"/>
    <x v="46"/>
    <x v="46"/>
    <x v="1"/>
  </r>
  <r>
    <x v="3"/>
    <x v="3"/>
    <x v="630"/>
    <x v="2"/>
    <x v="0"/>
    <x v="6"/>
    <x v="3"/>
    <x v="29"/>
    <x v="123"/>
    <x v="1241"/>
    <x v="61"/>
    <x v="61"/>
    <x v="1"/>
  </r>
  <r>
    <x v="3"/>
    <x v="3"/>
    <x v="631"/>
    <x v="2"/>
    <x v="0"/>
    <x v="6"/>
    <x v="2"/>
    <x v="11"/>
    <x v="147"/>
    <x v="688"/>
    <x v="50"/>
    <x v="50"/>
    <x v="1"/>
  </r>
  <r>
    <x v="3"/>
    <x v="3"/>
    <x v="632"/>
    <x v="2"/>
    <x v="0"/>
    <x v="6"/>
    <x v="1"/>
    <x v="12"/>
    <x v="147"/>
    <x v="737"/>
    <x v="47"/>
    <x v="47"/>
    <x v="1"/>
  </r>
  <r>
    <x v="3"/>
    <x v="3"/>
    <x v="633"/>
    <x v="2"/>
    <x v="0"/>
    <x v="6"/>
    <x v="5"/>
    <x v="36"/>
    <x v="124"/>
    <x v="1486"/>
    <x v="50"/>
    <x v="50"/>
    <x v="1"/>
  </r>
  <r>
    <x v="3"/>
    <x v="3"/>
    <x v="634"/>
    <x v="2"/>
    <x v="0"/>
    <x v="6"/>
    <x v="4"/>
    <x v="37"/>
    <x v="111"/>
    <x v="1388"/>
    <x v="59"/>
    <x v="59"/>
    <x v="1"/>
  </r>
  <r>
    <x v="3"/>
    <x v="3"/>
    <x v="635"/>
    <x v="2"/>
    <x v="0"/>
    <x v="6"/>
    <x v="0"/>
    <x v="41"/>
    <x v="92"/>
    <x v="1282"/>
    <x v="45"/>
    <x v="45"/>
    <x v="1"/>
  </r>
  <r>
    <x v="3"/>
    <x v="3"/>
    <x v="636"/>
    <x v="2"/>
    <x v="0"/>
    <x v="6"/>
    <x v="3"/>
    <x v="49"/>
    <x v="164"/>
    <x v="2285"/>
    <x v="64"/>
    <x v="64"/>
    <x v="1"/>
  </r>
  <r>
    <x v="3"/>
    <x v="3"/>
    <x v="637"/>
    <x v="2"/>
    <x v="0"/>
    <x v="6"/>
    <x v="2"/>
    <x v="49"/>
    <x v="199"/>
    <x v="2564"/>
    <x v="49"/>
    <x v="49"/>
    <x v="1"/>
  </r>
  <r>
    <x v="3"/>
    <x v="3"/>
    <x v="638"/>
    <x v="2"/>
    <x v="0"/>
    <x v="6"/>
    <x v="1"/>
    <x v="51"/>
    <x v="194"/>
    <x v="2565"/>
    <x v="50"/>
    <x v="50"/>
    <x v="1"/>
  </r>
  <r>
    <x v="3"/>
    <x v="3"/>
    <x v="639"/>
    <x v="2"/>
    <x v="0"/>
    <x v="6"/>
    <x v="5"/>
    <x v="57"/>
    <x v="152"/>
    <x v="2378"/>
    <x v="48"/>
    <x v="48"/>
    <x v="1"/>
  </r>
  <r>
    <x v="3"/>
    <x v="3"/>
    <x v="640"/>
    <x v="2"/>
    <x v="0"/>
    <x v="6"/>
    <x v="4"/>
    <x v="56"/>
    <x v="123"/>
    <x v="2065"/>
    <x v="61"/>
    <x v="61"/>
    <x v="1"/>
  </r>
  <r>
    <x v="3"/>
    <x v="3"/>
    <x v="641"/>
    <x v="2"/>
    <x v="0"/>
    <x v="6"/>
    <x v="0"/>
    <x v="51"/>
    <x v="125"/>
    <x v="1961"/>
    <x v="42"/>
    <x v="42"/>
    <x v="1"/>
  </r>
  <r>
    <x v="3"/>
    <x v="3"/>
    <x v="642"/>
    <x v="2"/>
    <x v="0"/>
    <x v="6"/>
    <x v="3"/>
    <x v="61"/>
    <x v="177"/>
    <x v="2620"/>
    <x v="65"/>
    <x v="65"/>
    <x v="1"/>
  </r>
  <r>
    <x v="0"/>
    <x v="1"/>
    <x v="643"/>
    <x v="2"/>
    <x v="0"/>
    <x v="6"/>
    <x v="2"/>
    <x v="31"/>
    <x v="98"/>
    <x v="1069"/>
    <x v="36"/>
    <x v="36"/>
    <x v="1"/>
  </r>
  <r>
    <x v="0"/>
    <x v="1"/>
    <x v="644"/>
    <x v="2"/>
    <x v="0"/>
    <x v="6"/>
    <x v="1"/>
    <x v="31"/>
    <x v="62"/>
    <x v="631"/>
    <x v="32"/>
    <x v="32"/>
    <x v="1"/>
  </r>
  <r>
    <x v="0"/>
    <x v="1"/>
    <x v="645"/>
    <x v="2"/>
    <x v="0"/>
    <x v="6"/>
    <x v="5"/>
    <x v="21"/>
    <x v="52"/>
    <x v="321"/>
    <x v="38"/>
    <x v="38"/>
    <x v="1"/>
  </r>
  <r>
    <x v="0"/>
    <x v="1"/>
    <x v="646"/>
    <x v="2"/>
    <x v="0"/>
    <x v="6"/>
    <x v="4"/>
    <x v="27"/>
    <x v="18"/>
    <x v="105"/>
    <x v="27"/>
    <x v="27"/>
    <x v="1"/>
  </r>
  <r>
    <x v="0"/>
    <x v="1"/>
    <x v="647"/>
    <x v="1"/>
    <x v="18"/>
    <x v="42"/>
    <x v="0"/>
    <x v="40"/>
    <x v="31"/>
    <x v="382"/>
    <x v="25"/>
    <x v="25"/>
    <x v="1"/>
  </r>
  <r>
    <x v="0"/>
    <x v="1"/>
    <x v="648"/>
    <x v="1"/>
    <x v="18"/>
    <x v="42"/>
    <x v="3"/>
    <x v="31"/>
    <x v="56"/>
    <x v="551"/>
    <x v="38"/>
    <x v="38"/>
    <x v="1"/>
  </r>
  <r>
    <x v="0"/>
    <x v="1"/>
    <x v="649"/>
    <x v="1"/>
    <x v="18"/>
    <x v="42"/>
    <x v="2"/>
    <x v="31"/>
    <x v="120"/>
    <x v="1281"/>
    <x v="35"/>
    <x v="35"/>
    <x v="1"/>
  </r>
  <r>
    <x v="0"/>
    <x v="1"/>
    <x v="650"/>
    <x v="1"/>
    <x v="18"/>
    <x v="42"/>
    <x v="1"/>
    <x v="31"/>
    <x v="34"/>
    <x v="305"/>
    <x v="33"/>
    <x v="33"/>
    <x v="1"/>
  </r>
  <r>
    <x v="0"/>
    <x v="1"/>
    <x v="651"/>
    <x v="1"/>
    <x v="18"/>
    <x v="42"/>
    <x v="5"/>
    <x v="22"/>
    <x v="49"/>
    <x v="316"/>
    <x v="39"/>
    <x v="39"/>
    <x v="1"/>
  </r>
  <r>
    <x v="0"/>
    <x v="1"/>
    <x v="652"/>
    <x v="1"/>
    <x v="18"/>
    <x v="42"/>
    <x v="4"/>
    <x v="27"/>
    <x v="9"/>
    <x v="50"/>
    <x v="28"/>
    <x v="28"/>
    <x v="1"/>
  </r>
  <r>
    <x v="0"/>
    <x v="1"/>
    <x v="653"/>
    <x v="1"/>
    <x v="18"/>
    <x v="42"/>
    <x v="0"/>
    <x v="39"/>
    <x v="34"/>
    <x v="412"/>
    <x v="25"/>
    <x v="25"/>
    <x v="1"/>
  </r>
  <r>
    <x v="0"/>
    <x v="1"/>
    <x v="654"/>
    <x v="1"/>
    <x v="18"/>
    <x v="42"/>
    <x v="3"/>
    <x v="30"/>
    <x v="52"/>
    <x v="481"/>
    <x v="37"/>
    <x v="37"/>
    <x v="1"/>
  </r>
  <r>
    <x v="0"/>
    <x v="1"/>
    <x v="655"/>
    <x v="1"/>
    <x v="18"/>
    <x v="42"/>
    <x v="2"/>
    <x v="32"/>
    <x v="107"/>
    <x v="1198"/>
    <x v="35"/>
    <x v="35"/>
    <x v="1"/>
  </r>
  <r>
    <x v="0"/>
    <x v="1"/>
    <x v="656"/>
    <x v="1"/>
    <x v="18"/>
    <x v="42"/>
    <x v="1"/>
    <x v="32"/>
    <x v="35"/>
    <x v="329"/>
    <x v="35"/>
    <x v="35"/>
    <x v="1"/>
  </r>
  <r>
    <x v="0"/>
    <x v="1"/>
    <x v="657"/>
    <x v="1"/>
    <x v="18"/>
    <x v="42"/>
    <x v="5"/>
    <x v="20"/>
    <x v="41"/>
    <x v="215"/>
    <x v="41"/>
    <x v="41"/>
    <x v="1"/>
  </r>
  <r>
    <x v="0"/>
    <x v="1"/>
    <x v="658"/>
    <x v="1"/>
    <x v="18"/>
    <x v="42"/>
    <x v="4"/>
    <x v="25"/>
    <x v="4"/>
    <x v="19"/>
    <x v="26"/>
    <x v="26"/>
    <x v="1"/>
  </r>
  <r>
    <x v="0"/>
    <x v="1"/>
    <x v="659"/>
    <x v="1"/>
    <x v="18"/>
    <x v="42"/>
    <x v="0"/>
    <x v="42"/>
    <x v="19"/>
    <x v="223"/>
    <x v="22"/>
    <x v="22"/>
    <x v="1"/>
  </r>
  <r>
    <x v="0"/>
    <x v="1"/>
    <x v="660"/>
    <x v="1"/>
    <x v="18"/>
    <x v="42"/>
    <x v="3"/>
    <x v="29"/>
    <x v="39"/>
    <x v="331"/>
    <x v="41"/>
    <x v="41"/>
    <x v="1"/>
  </r>
  <r>
    <x v="0"/>
    <x v="1"/>
    <x v="661"/>
    <x v="1"/>
    <x v="18"/>
    <x v="42"/>
    <x v="2"/>
    <x v="30"/>
    <x v="102"/>
    <x v="1090"/>
    <x v="34"/>
    <x v="34"/>
    <x v="1"/>
  </r>
  <r>
    <x v="0"/>
    <x v="1"/>
    <x v="662"/>
    <x v="1"/>
    <x v="18"/>
    <x v="42"/>
    <x v="1"/>
    <x v="30"/>
    <x v="33"/>
    <x v="283"/>
    <x v="33"/>
    <x v="33"/>
    <x v="1"/>
  </r>
  <r>
    <x v="0"/>
    <x v="1"/>
    <x v="663"/>
    <x v="1"/>
    <x v="18"/>
    <x v="42"/>
    <x v="5"/>
    <x v="20"/>
    <x v="33"/>
    <x v="160"/>
    <x v="40"/>
    <x v="40"/>
    <x v="1"/>
  </r>
  <r>
    <x v="0"/>
    <x v="1"/>
    <x v="664"/>
    <x v="1"/>
    <x v="18"/>
    <x v="42"/>
    <x v="4"/>
    <x v="26"/>
    <x v="11"/>
    <x v="59"/>
    <x v="26"/>
    <x v="26"/>
    <x v="1"/>
  </r>
  <r>
    <x v="0"/>
    <x v="1"/>
    <x v="665"/>
    <x v="1"/>
    <x v="18"/>
    <x v="42"/>
    <x v="0"/>
    <x v="40"/>
    <x v="10"/>
    <x v="103"/>
    <x v="24"/>
    <x v="24"/>
    <x v="1"/>
  </r>
  <r>
    <x v="0"/>
    <x v="1"/>
    <x v="666"/>
    <x v="1"/>
    <x v="18"/>
    <x v="42"/>
    <x v="3"/>
    <x v="32"/>
    <x v="52"/>
    <x v="518"/>
    <x v="37"/>
    <x v="37"/>
    <x v="1"/>
  </r>
  <r>
    <x v="0"/>
    <x v="1"/>
    <x v="667"/>
    <x v="1"/>
    <x v="18"/>
    <x v="42"/>
    <x v="2"/>
    <x v="45"/>
    <x v="124"/>
    <x v="1777"/>
    <x v="31"/>
    <x v="31"/>
    <x v="1"/>
  </r>
  <r>
    <x v="0"/>
    <x v="1"/>
    <x v="668"/>
    <x v="1"/>
    <x v="18"/>
    <x v="42"/>
    <x v="1"/>
    <x v="41"/>
    <x v="49"/>
    <x v="636"/>
    <x v="36"/>
    <x v="36"/>
    <x v="1"/>
  </r>
  <r>
    <x v="0"/>
    <x v="1"/>
    <x v="669"/>
    <x v="1"/>
    <x v="18"/>
    <x v="42"/>
    <x v="5"/>
    <x v="35"/>
    <x v="36"/>
    <x v="382"/>
    <x v="40"/>
    <x v="40"/>
    <x v="1"/>
  </r>
  <r>
    <x v="0"/>
    <x v="1"/>
    <x v="670"/>
    <x v="1"/>
    <x v="18"/>
    <x v="42"/>
    <x v="4"/>
    <x v="34"/>
    <x v="24"/>
    <x v="211"/>
    <x v="26"/>
    <x v="26"/>
    <x v="1"/>
  </r>
  <r>
    <x v="0"/>
    <x v="1"/>
    <x v="671"/>
    <x v="1"/>
    <x v="18"/>
    <x v="42"/>
    <x v="0"/>
    <x v="44"/>
    <x v="31"/>
    <x v="431"/>
    <x v="23"/>
    <x v="23"/>
    <x v="1"/>
  </r>
  <r>
    <x v="0"/>
    <x v="1"/>
    <x v="672"/>
    <x v="1"/>
    <x v="18"/>
    <x v="42"/>
    <x v="3"/>
    <x v="49"/>
    <x v="59"/>
    <x v="964"/>
    <x v="39"/>
    <x v="39"/>
    <x v="1"/>
  </r>
  <r>
    <x v="0"/>
    <x v="1"/>
    <x v="673"/>
    <x v="1"/>
    <x v="18"/>
    <x v="42"/>
    <x v="2"/>
    <x v="47"/>
    <x v="137"/>
    <x v="1982"/>
    <x v="33"/>
    <x v="33"/>
    <x v="1"/>
  </r>
  <r>
    <x v="0"/>
    <x v="1"/>
    <x v="674"/>
    <x v="1"/>
    <x v="18"/>
    <x v="42"/>
    <x v="1"/>
    <x v="41"/>
    <x v="63"/>
    <x v="874"/>
    <x v="35"/>
    <x v="35"/>
    <x v="1"/>
  </r>
  <r>
    <x v="0"/>
    <x v="1"/>
    <x v="675"/>
    <x v="1"/>
    <x v="18"/>
    <x v="42"/>
    <x v="5"/>
    <x v="35"/>
    <x v="47"/>
    <x v="510"/>
    <x v="37"/>
    <x v="37"/>
    <x v="1"/>
  </r>
  <r>
    <x v="0"/>
    <x v="1"/>
    <x v="676"/>
    <x v="1"/>
    <x v="18"/>
    <x v="42"/>
    <x v="4"/>
    <x v="34"/>
    <x v="40"/>
    <x v="419"/>
    <x v="28"/>
    <x v="28"/>
    <x v="1"/>
  </r>
  <r>
    <x v="0"/>
    <x v="1"/>
    <x v="677"/>
    <x v="1"/>
    <x v="18"/>
    <x v="42"/>
    <x v="0"/>
    <x v="43"/>
    <x v="42"/>
    <x v="572"/>
    <x v="22"/>
    <x v="22"/>
    <x v="1"/>
  </r>
  <r>
    <x v="0"/>
    <x v="1"/>
    <x v="678"/>
    <x v="1"/>
    <x v="18"/>
    <x v="42"/>
    <x v="3"/>
    <x v="49"/>
    <x v="70"/>
    <x v="1148"/>
    <x v="37"/>
    <x v="37"/>
    <x v="1"/>
  </r>
  <r>
    <x v="0"/>
    <x v="1"/>
    <x v="679"/>
    <x v="1"/>
    <x v="18"/>
    <x v="42"/>
    <x v="2"/>
    <x v="44"/>
    <x v="123"/>
    <x v="1732"/>
    <x v="35"/>
    <x v="35"/>
    <x v="1"/>
  </r>
  <r>
    <x v="0"/>
    <x v="1"/>
    <x v="680"/>
    <x v="1"/>
    <x v="18"/>
    <x v="42"/>
    <x v="1"/>
    <x v="39"/>
    <x v="69"/>
    <x v="916"/>
    <x v="34"/>
    <x v="34"/>
    <x v="1"/>
  </r>
  <r>
    <x v="0"/>
    <x v="1"/>
    <x v="681"/>
    <x v="1"/>
    <x v="18"/>
    <x v="42"/>
    <x v="5"/>
    <x v="36"/>
    <x v="52"/>
    <x v="592"/>
    <x v="41"/>
    <x v="41"/>
    <x v="1"/>
  </r>
  <r>
    <x v="0"/>
    <x v="1"/>
    <x v="682"/>
    <x v="1"/>
    <x v="18"/>
    <x v="42"/>
    <x v="4"/>
    <x v="36"/>
    <x v="33"/>
    <x v="358"/>
    <x v="27"/>
    <x v="27"/>
    <x v="1"/>
  </r>
  <r>
    <x v="0"/>
    <x v="1"/>
    <x v="683"/>
    <x v="1"/>
    <x v="18"/>
    <x v="42"/>
    <x v="0"/>
    <x v="46"/>
    <x v="49"/>
    <x v="728"/>
    <x v="24"/>
    <x v="24"/>
    <x v="1"/>
  </r>
  <r>
    <x v="0"/>
    <x v="1"/>
    <x v="712"/>
    <x v="1"/>
    <x v="18"/>
    <x v="42"/>
    <x v="3"/>
    <x v="51"/>
    <x v="94"/>
    <x v="1578"/>
    <x v="40"/>
    <x v="40"/>
    <x v="1"/>
  </r>
  <r>
    <x v="0"/>
    <x v="1"/>
    <x v="713"/>
    <x v="1"/>
    <x v="18"/>
    <x v="42"/>
    <x v="2"/>
    <x v="43"/>
    <x v="127"/>
    <x v="1746"/>
    <x v="32"/>
    <x v="32"/>
    <x v="1"/>
  </r>
  <r>
    <x v="0"/>
    <x v="1"/>
    <x v="714"/>
    <x v="1"/>
    <x v="18"/>
    <x v="42"/>
    <x v="1"/>
    <x v="42"/>
    <x v="74"/>
    <x v="1061"/>
    <x v="33"/>
    <x v="33"/>
    <x v="1"/>
  </r>
  <r>
    <x v="0"/>
    <x v="1"/>
    <x v="715"/>
    <x v="1"/>
    <x v="18"/>
    <x v="42"/>
    <x v="5"/>
    <x v="34"/>
    <x v="56"/>
    <x v="615"/>
    <x v="36"/>
    <x v="36"/>
    <x v="1"/>
  </r>
  <r>
    <x v="0"/>
    <x v="1"/>
    <x v="716"/>
    <x v="1"/>
    <x v="18"/>
    <x v="42"/>
    <x v="4"/>
    <x v="34"/>
    <x v="40"/>
    <x v="419"/>
    <x v="27"/>
    <x v="27"/>
    <x v="1"/>
  </r>
  <r>
    <x v="0"/>
    <x v="1"/>
    <x v="717"/>
    <x v="1"/>
    <x v="18"/>
    <x v="42"/>
    <x v="0"/>
    <x v="47"/>
    <x v="30"/>
    <x v="454"/>
    <x v="23"/>
    <x v="23"/>
    <x v="1"/>
  </r>
  <r>
    <x v="0"/>
    <x v="1"/>
    <x v="718"/>
    <x v="1"/>
    <x v="18"/>
    <x v="42"/>
    <x v="3"/>
    <x v="47"/>
    <x v="75"/>
    <x v="1187"/>
    <x v="40"/>
    <x v="40"/>
    <x v="1"/>
  </r>
  <r>
    <x v="0"/>
    <x v="1"/>
    <x v="719"/>
    <x v="1"/>
    <x v="18"/>
    <x v="42"/>
    <x v="2"/>
    <x v="46"/>
    <x v="102"/>
    <x v="1560"/>
    <x v="34"/>
    <x v="34"/>
    <x v="1"/>
  </r>
  <r>
    <x v="0"/>
    <x v="1"/>
    <x v="720"/>
    <x v="1"/>
    <x v="18"/>
    <x v="42"/>
    <x v="1"/>
    <x v="39"/>
    <x v="58"/>
    <x v="741"/>
    <x v="33"/>
    <x v="33"/>
    <x v="1"/>
  </r>
  <r>
    <x v="0"/>
    <x v="1"/>
    <x v="721"/>
    <x v="1"/>
    <x v="18"/>
    <x v="42"/>
    <x v="5"/>
    <x v="34"/>
    <x v="27"/>
    <x v="265"/>
    <x v="41"/>
    <x v="41"/>
    <x v="1"/>
  </r>
  <r>
    <x v="0"/>
    <x v="1"/>
    <x v="722"/>
    <x v="1"/>
    <x v="18"/>
    <x v="42"/>
    <x v="4"/>
    <x v="35"/>
    <x v="26"/>
    <x v="254"/>
    <x v="31"/>
    <x v="31"/>
    <x v="1"/>
  </r>
  <r>
    <x v="0"/>
    <x v="1"/>
    <x v="723"/>
    <x v="1"/>
    <x v="18"/>
    <x v="42"/>
    <x v="0"/>
    <x v="45"/>
    <x v="26"/>
    <x v="351"/>
    <x v="23"/>
    <x v="23"/>
    <x v="1"/>
  </r>
  <r>
    <x v="0"/>
    <x v="1"/>
    <x v="618"/>
    <x v="1"/>
    <x v="18"/>
    <x v="42"/>
    <x v="3"/>
    <x v="50"/>
    <x v="48"/>
    <x v="781"/>
    <x v="38"/>
    <x v="38"/>
    <x v="1"/>
  </r>
  <r>
    <x v="0"/>
    <x v="1"/>
    <x v="650"/>
    <x v="1"/>
    <x v="18"/>
    <x v="42"/>
    <x v="2"/>
    <x v="48"/>
    <x v="101"/>
    <x v="1589"/>
    <x v="36"/>
    <x v="36"/>
    <x v="1"/>
  </r>
  <r>
    <x v="0"/>
    <x v="1"/>
    <x v="650"/>
    <x v="1"/>
    <x v="18"/>
    <x v="42"/>
    <x v="1"/>
    <x v="47"/>
    <x v="48"/>
    <x v="731"/>
    <x v="35"/>
    <x v="35"/>
    <x v="1"/>
  </r>
  <r>
    <x v="0"/>
    <x v="1"/>
    <x v="650"/>
    <x v="1"/>
    <x v="18"/>
    <x v="42"/>
    <x v="5"/>
    <x v="45"/>
    <x v="21"/>
    <x v="278"/>
    <x v="41"/>
    <x v="41"/>
    <x v="1"/>
  </r>
  <r>
    <x v="0"/>
    <x v="1"/>
    <x v="650"/>
    <x v="1"/>
    <x v="18"/>
    <x v="42"/>
    <x v="4"/>
    <x v="43"/>
    <x v="16"/>
    <x v="187"/>
    <x v="26"/>
    <x v="26"/>
    <x v="1"/>
  </r>
  <r>
    <x v="0"/>
    <x v="1"/>
    <x v="650"/>
    <x v="1"/>
    <x v="18"/>
    <x v="42"/>
    <x v="0"/>
    <x v="54"/>
    <x v="17"/>
    <x v="288"/>
    <x v="24"/>
    <x v="24"/>
    <x v="1"/>
  </r>
  <r>
    <x v="0"/>
    <x v="1"/>
    <x v="650"/>
    <x v="1"/>
    <x v="18"/>
    <x v="42"/>
    <x v="3"/>
    <x v="61"/>
    <x v="45"/>
    <x v="899"/>
    <x v="39"/>
    <x v="39"/>
    <x v="1"/>
  </r>
  <r>
    <x v="0"/>
    <x v="1"/>
    <x v="680"/>
    <x v="1"/>
    <x v="18"/>
    <x v="42"/>
    <x v="2"/>
    <x v="55"/>
    <x v="80"/>
    <x v="1459"/>
    <x v="35"/>
    <x v="35"/>
    <x v="1"/>
  </r>
  <r>
    <x v="0"/>
    <x v="1"/>
    <x v="680"/>
    <x v="1"/>
    <x v="18"/>
    <x v="42"/>
    <x v="1"/>
    <x v="45"/>
    <x v="41"/>
    <x v="591"/>
    <x v="36"/>
    <x v="36"/>
    <x v="1"/>
  </r>
  <r>
    <x v="0"/>
    <x v="1"/>
    <x v="680"/>
    <x v="1"/>
    <x v="18"/>
    <x v="42"/>
    <x v="5"/>
    <x v="45"/>
    <x v="44"/>
    <x v="633"/>
    <x v="38"/>
    <x v="38"/>
    <x v="1"/>
  </r>
  <r>
    <x v="0"/>
    <x v="1"/>
    <x v="680"/>
    <x v="1"/>
    <x v="18"/>
    <x v="42"/>
    <x v="4"/>
    <x v="47"/>
    <x v="35"/>
    <x v="526"/>
    <x v="29"/>
    <x v="29"/>
    <x v="1"/>
  </r>
  <r>
    <x v="0"/>
    <x v="1"/>
    <x v="680"/>
    <x v="1"/>
    <x v="18"/>
    <x v="42"/>
    <x v="0"/>
    <x v="53"/>
    <x v="30"/>
    <x v="519"/>
    <x v="22"/>
    <x v="22"/>
    <x v="1"/>
  </r>
  <r>
    <x v="0"/>
    <x v="1"/>
    <x v="680"/>
    <x v="1"/>
    <x v="18"/>
    <x v="42"/>
    <x v="3"/>
    <x v="60"/>
    <x v="52"/>
    <x v="1010"/>
    <x v="40"/>
    <x v="40"/>
    <x v="1"/>
  </r>
  <r>
    <x v="0"/>
    <x v="1"/>
    <x v="709"/>
    <x v="1"/>
    <x v="18"/>
    <x v="42"/>
    <x v="2"/>
    <x v="55"/>
    <x v="118"/>
    <x v="1988"/>
    <x v="34"/>
    <x v="34"/>
    <x v="1"/>
  </r>
  <r>
    <x v="0"/>
    <x v="1"/>
    <x v="709"/>
    <x v="1"/>
    <x v="18"/>
    <x v="42"/>
    <x v="1"/>
    <x v="46"/>
    <x v="61"/>
    <x v="935"/>
    <x v="36"/>
    <x v="36"/>
    <x v="1"/>
  </r>
  <r>
    <x v="0"/>
    <x v="1"/>
    <x v="709"/>
    <x v="1"/>
    <x v="18"/>
    <x v="42"/>
    <x v="5"/>
    <x v="45"/>
    <x v="56"/>
    <x v="829"/>
    <x v="36"/>
    <x v="36"/>
    <x v="1"/>
  </r>
  <r>
    <x v="0"/>
    <x v="1"/>
    <x v="709"/>
    <x v="1"/>
    <x v="18"/>
    <x v="42"/>
    <x v="4"/>
    <x v="45"/>
    <x v="39"/>
    <x v="558"/>
    <x v="29"/>
    <x v="29"/>
    <x v="1"/>
  </r>
  <r>
    <x v="0"/>
    <x v="1"/>
    <x v="709"/>
    <x v="1"/>
    <x v="18"/>
    <x v="42"/>
    <x v="0"/>
    <x v="53"/>
    <x v="43"/>
    <x v="747"/>
    <x v="22"/>
    <x v="22"/>
    <x v="1"/>
  </r>
  <r>
    <x v="0"/>
    <x v="1"/>
    <x v="709"/>
    <x v="1"/>
    <x v="18"/>
    <x v="42"/>
    <x v="3"/>
    <x v="62"/>
    <x v="62"/>
    <x v="1247"/>
    <x v="39"/>
    <x v="39"/>
    <x v="1"/>
  </r>
  <r>
    <x v="5"/>
    <x v="0"/>
    <x v="368"/>
    <x v="1"/>
    <x v="18"/>
    <x v="42"/>
    <x v="2"/>
    <x v="26"/>
    <x v="80"/>
    <x v="745"/>
    <x v="21"/>
    <x v="21"/>
    <x v="1"/>
  </r>
  <r>
    <x v="5"/>
    <x v="0"/>
    <x v="368"/>
    <x v="1"/>
    <x v="18"/>
    <x v="42"/>
    <x v="1"/>
    <x v="34"/>
    <x v="91"/>
    <x v="1079"/>
    <x v="19"/>
    <x v="19"/>
    <x v="1"/>
  </r>
  <r>
    <x v="5"/>
    <x v="0"/>
    <x v="368"/>
    <x v="1"/>
    <x v="18"/>
    <x v="42"/>
    <x v="5"/>
    <x v="36"/>
    <x v="83"/>
    <x v="1041"/>
    <x v="26"/>
    <x v="26"/>
    <x v="1"/>
  </r>
  <r>
    <x v="5"/>
    <x v="0"/>
    <x v="368"/>
    <x v="1"/>
    <x v="18"/>
    <x v="42"/>
    <x v="4"/>
    <x v="36"/>
    <x v="48"/>
    <x v="538"/>
    <x v="25"/>
    <x v="25"/>
    <x v="1"/>
  </r>
  <r>
    <x v="0"/>
    <x v="1"/>
    <x v="382"/>
    <x v="4"/>
    <x v="1"/>
    <x v="2"/>
    <x v="3"/>
    <x v="45"/>
    <x v="69"/>
    <x v="1048"/>
    <x v="27"/>
    <x v="27"/>
    <x v="1"/>
  </r>
  <r>
    <x v="0"/>
    <x v="1"/>
    <x v="411"/>
    <x v="4"/>
    <x v="1"/>
    <x v="2"/>
    <x v="2"/>
    <x v="44"/>
    <x v="150"/>
    <x v="2035"/>
    <x v="33"/>
    <x v="33"/>
    <x v="1"/>
  </r>
  <r>
    <x v="0"/>
    <x v="1"/>
    <x v="411"/>
    <x v="4"/>
    <x v="1"/>
    <x v="2"/>
    <x v="1"/>
    <x v="46"/>
    <x v="54"/>
    <x v="802"/>
    <x v="34"/>
    <x v="34"/>
    <x v="1"/>
  </r>
  <r>
    <x v="0"/>
    <x v="1"/>
    <x v="411"/>
    <x v="4"/>
    <x v="1"/>
    <x v="2"/>
    <x v="5"/>
    <x v="36"/>
    <x v="63"/>
    <x v="768"/>
    <x v="23"/>
    <x v="23"/>
    <x v="1"/>
  </r>
  <r>
    <x v="0"/>
    <x v="1"/>
    <x v="411"/>
    <x v="4"/>
    <x v="1"/>
    <x v="2"/>
    <x v="4"/>
    <x v="42"/>
    <x v="35"/>
    <x v="462"/>
    <x v="25"/>
    <x v="25"/>
    <x v="1"/>
  </r>
  <r>
    <x v="0"/>
    <x v="1"/>
    <x v="411"/>
    <x v="4"/>
    <x v="1"/>
    <x v="2"/>
    <x v="0"/>
    <x v="53"/>
    <x v="62"/>
    <x v="1086"/>
    <x v="24"/>
    <x v="24"/>
    <x v="1"/>
  </r>
  <r>
    <x v="0"/>
    <x v="1"/>
    <x v="411"/>
    <x v="4"/>
    <x v="1"/>
    <x v="2"/>
    <x v="3"/>
    <x v="45"/>
    <x v="84"/>
    <x v="1276"/>
    <x v="30"/>
    <x v="30"/>
    <x v="1"/>
  </r>
  <r>
    <x v="0"/>
    <x v="1"/>
    <x v="437"/>
    <x v="4"/>
    <x v="1"/>
    <x v="2"/>
    <x v="2"/>
    <x v="46"/>
    <x v="132"/>
    <x v="1906"/>
    <x v="35"/>
    <x v="35"/>
    <x v="1"/>
  </r>
  <r>
    <x v="0"/>
    <x v="1"/>
    <x v="437"/>
    <x v="4"/>
    <x v="1"/>
    <x v="2"/>
    <x v="1"/>
    <x v="45"/>
    <x v="54"/>
    <x v="785"/>
    <x v="36"/>
    <x v="36"/>
    <x v="1"/>
  </r>
  <r>
    <x v="0"/>
    <x v="1"/>
    <x v="437"/>
    <x v="4"/>
    <x v="1"/>
    <x v="2"/>
    <x v="5"/>
    <x v="34"/>
    <x v="57"/>
    <x v="625"/>
    <x v="23"/>
    <x v="23"/>
    <x v="1"/>
  </r>
  <r>
    <x v="0"/>
    <x v="1"/>
    <x v="437"/>
    <x v="4"/>
    <x v="1"/>
    <x v="2"/>
    <x v="4"/>
    <x v="42"/>
    <x v="26"/>
    <x v="321"/>
    <x v="24"/>
    <x v="24"/>
    <x v="1"/>
  </r>
  <r>
    <x v="0"/>
    <x v="1"/>
    <x v="437"/>
    <x v="4"/>
    <x v="1"/>
    <x v="2"/>
    <x v="0"/>
    <x v="57"/>
    <x v="42"/>
    <x v="788"/>
    <x v="25"/>
    <x v="25"/>
    <x v="1"/>
  </r>
  <r>
    <x v="0"/>
    <x v="1"/>
    <x v="437"/>
    <x v="4"/>
    <x v="1"/>
    <x v="2"/>
    <x v="3"/>
    <x v="46"/>
    <x v="59"/>
    <x v="901"/>
    <x v="26"/>
    <x v="26"/>
    <x v="1"/>
  </r>
  <r>
    <x v="0"/>
    <x v="1"/>
    <x v="469"/>
    <x v="4"/>
    <x v="1"/>
    <x v="2"/>
    <x v="2"/>
    <x v="47"/>
    <x v="111"/>
    <x v="1690"/>
    <x v="32"/>
    <x v="32"/>
    <x v="1"/>
  </r>
  <r>
    <x v="0"/>
    <x v="1"/>
    <x v="469"/>
    <x v="4"/>
    <x v="1"/>
    <x v="2"/>
    <x v="1"/>
    <x v="43"/>
    <x v="50"/>
    <x v="690"/>
    <x v="36"/>
    <x v="36"/>
    <x v="1"/>
  </r>
  <r>
    <x v="0"/>
    <x v="1"/>
    <x v="469"/>
    <x v="4"/>
    <x v="1"/>
    <x v="2"/>
    <x v="5"/>
    <x v="37"/>
    <x v="50"/>
    <x v="584"/>
    <x v="26"/>
    <x v="26"/>
    <x v="1"/>
  </r>
  <r>
    <x v="0"/>
    <x v="1"/>
    <x v="469"/>
    <x v="4"/>
    <x v="1"/>
    <x v="2"/>
    <x v="4"/>
    <x v="40"/>
    <x v="33"/>
    <x v="411"/>
    <x v="23"/>
    <x v="23"/>
    <x v="1"/>
  </r>
  <r>
    <x v="0"/>
    <x v="1"/>
    <x v="469"/>
    <x v="4"/>
    <x v="1"/>
    <x v="2"/>
    <x v="0"/>
    <x v="49"/>
    <x v="30"/>
    <x v="473"/>
    <x v="23"/>
    <x v="23"/>
    <x v="1"/>
  </r>
  <r>
    <x v="0"/>
    <x v="1"/>
    <x v="469"/>
    <x v="4"/>
    <x v="1"/>
    <x v="2"/>
    <x v="3"/>
    <x v="42"/>
    <x v="69"/>
    <x v="980"/>
    <x v="30"/>
    <x v="30"/>
    <x v="1"/>
  </r>
  <r>
    <x v="0"/>
    <x v="1"/>
    <x v="498"/>
    <x v="4"/>
    <x v="1"/>
    <x v="2"/>
    <x v="2"/>
    <x v="52"/>
    <x v="138"/>
    <x v="2124"/>
    <x v="36"/>
    <x v="36"/>
    <x v="1"/>
  </r>
  <r>
    <x v="0"/>
    <x v="1"/>
    <x v="498"/>
    <x v="4"/>
    <x v="1"/>
    <x v="2"/>
    <x v="1"/>
    <x v="49"/>
    <x v="59"/>
    <x v="964"/>
    <x v="31"/>
    <x v="31"/>
    <x v="1"/>
  </r>
  <r>
    <x v="0"/>
    <x v="1"/>
    <x v="498"/>
    <x v="4"/>
    <x v="1"/>
    <x v="2"/>
    <x v="5"/>
    <x v="46"/>
    <x v="69"/>
    <x v="1071"/>
    <x v="26"/>
    <x v="26"/>
    <x v="1"/>
  </r>
  <r>
    <x v="0"/>
    <x v="1"/>
    <x v="498"/>
    <x v="4"/>
    <x v="1"/>
    <x v="2"/>
    <x v="4"/>
    <x v="44"/>
    <x v="52"/>
    <x v="739"/>
    <x v="24"/>
    <x v="24"/>
    <x v="1"/>
  </r>
  <r>
    <x v="0"/>
    <x v="1"/>
    <x v="498"/>
    <x v="4"/>
    <x v="1"/>
    <x v="2"/>
    <x v="0"/>
    <x v="55"/>
    <x v="57"/>
    <x v="1023"/>
    <x v="24"/>
    <x v="24"/>
    <x v="1"/>
  </r>
  <r>
    <x v="0"/>
    <x v="1"/>
    <x v="498"/>
    <x v="4"/>
    <x v="1"/>
    <x v="2"/>
    <x v="3"/>
    <x v="60"/>
    <x v="82"/>
    <x v="1612"/>
    <x v="27"/>
    <x v="27"/>
    <x v="1"/>
  </r>
  <r>
    <x v="0"/>
    <x v="1"/>
    <x v="531"/>
    <x v="4"/>
    <x v="1"/>
    <x v="2"/>
    <x v="2"/>
    <x v="52"/>
    <x v="165"/>
    <x v="2372"/>
    <x v="32"/>
    <x v="32"/>
    <x v="1"/>
  </r>
  <r>
    <x v="0"/>
    <x v="1"/>
    <x v="531"/>
    <x v="4"/>
    <x v="1"/>
    <x v="2"/>
    <x v="1"/>
    <x v="48"/>
    <x v="93"/>
    <x v="1480"/>
    <x v="36"/>
    <x v="36"/>
    <x v="1"/>
  </r>
  <r>
    <x v="0"/>
    <x v="1"/>
    <x v="531"/>
    <x v="4"/>
    <x v="1"/>
    <x v="2"/>
    <x v="5"/>
    <x v="46"/>
    <x v="67"/>
    <x v="1027"/>
    <x v="22"/>
    <x v="22"/>
    <x v="1"/>
  </r>
  <r>
    <x v="0"/>
    <x v="1"/>
    <x v="531"/>
    <x v="4"/>
    <x v="1"/>
    <x v="2"/>
    <x v="4"/>
    <x v="46"/>
    <x v="74"/>
    <x v="1149"/>
    <x v="22"/>
    <x v="22"/>
    <x v="1"/>
  </r>
  <r>
    <x v="0"/>
    <x v="1"/>
    <x v="531"/>
    <x v="4"/>
    <x v="1"/>
    <x v="2"/>
    <x v="0"/>
    <x v="53"/>
    <x v="69"/>
    <x v="1219"/>
    <x v="22"/>
    <x v="22"/>
    <x v="1"/>
  </r>
  <r>
    <x v="0"/>
    <x v="1"/>
    <x v="531"/>
    <x v="4"/>
    <x v="1"/>
    <x v="2"/>
    <x v="3"/>
    <x v="60"/>
    <x v="106"/>
    <x v="1967"/>
    <x v="28"/>
    <x v="28"/>
    <x v="1"/>
  </r>
  <r>
    <x v="0"/>
    <x v="1"/>
    <x v="559"/>
    <x v="4"/>
    <x v="1"/>
    <x v="2"/>
    <x v="2"/>
    <x v="56"/>
    <x v="159"/>
    <x v="2405"/>
    <x v="32"/>
    <x v="32"/>
    <x v="1"/>
  </r>
  <r>
    <x v="0"/>
    <x v="1"/>
    <x v="559"/>
    <x v="4"/>
    <x v="1"/>
    <x v="2"/>
    <x v="1"/>
    <x v="52"/>
    <x v="92"/>
    <x v="1576"/>
    <x v="33"/>
    <x v="33"/>
    <x v="1"/>
  </r>
  <r>
    <x v="0"/>
    <x v="1"/>
    <x v="559"/>
    <x v="4"/>
    <x v="1"/>
    <x v="2"/>
    <x v="5"/>
    <x v="46"/>
    <x v="84"/>
    <x v="1299"/>
    <x v="22"/>
    <x v="22"/>
    <x v="1"/>
  </r>
  <r>
    <x v="0"/>
    <x v="1"/>
    <x v="559"/>
    <x v="4"/>
    <x v="1"/>
    <x v="2"/>
    <x v="4"/>
    <x v="44"/>
    <x v="62"/>
    <x v="904"/>
    <x v="24"/>
    <x v="24"/>
    <x v="1"/>
  </r>
  <r>
    <x v="0"/>
    <x v="1"/>
    <x v="559"/>
    <x v="4"/>
    <x v="1"/>
    <x v="2"/>
    <x v="0"/>
    <x v="54"/>
    <x v="75"/>
    <x v="1338"/>
    <x v="25"/>
    <x v="25"/>
    <x v="1"/>
  </r>
  <r>
    <x v="0"/>
    <x v="1"/>
    <x v="559"/>
    <x v="4"/>
    <x v="1"/>
    <x v="2"/>
    <x v="3"/>
    <x v="60"/>
    <x v="110"/>
    <x v="2013"/>
    <x v="31"/>
    <x v="31"/>
    <x v="1"/>
  </r>
  <r>
    <x v="0"/>
    <x v="1"/>
    <x v="591"/>
    <x v="4"/>
    <x v="1"/>
    <x v="2"/>
    <x v="2"/>
    <x v="52"/>
    <x v="141"/>
    <x v="2157"/>
    <x v="31"/>
    <x v="31"/>
    <x v="1"/>
  </r>
  <r>
    <x v="0"/>
    <x v="1"/>
    <x v="591"/>
    <x v="4"/>
    <x v="1"/>
    <x v="2"/>
    <x v="1"/>
    <x v="49"/>
    <x v="88"/>
    <x v="1424"/>
    <x v="31"/>
    <x v="31"/>
    <x v="1"/>
  </r>
  <r>
    <x v="0"/>
    <x v="1"/>
    <x v="591"/>
    <x v="4"/>
    <x v="1"/>
    <x v="2"/>
    <x v="5"/>
    <x v="47"/>
    <x v="84"/>
    <x v="1324"/>
    <x v="22"/>
    <x v="22"/>
    <x v="1"/>
  </r>
  <r>
    <x v="0"/>
    <x v="1"/>
    <x v="591"/>
    <x v="4"/>
    <x v="1"/>
    <x v="2"/>
    <x v="4"/>
    <x v="46"/>
    <x v="56"/>
    <x v="848"/>
    <x v="26"/>
    <x v="26"/>
    <x v="1"/>
  </r>
  <r>
    <x v="0"/>
    <x v="1"/>
    <x v="591"/>
    <x v="4"/>
    <x v="1"/>
    <x v="2"/>
    <x v="0"/>
    <x v="55"/>
    <x v="54"/>
    <x v="963"/>
    <x v="24"/>
    <x v="24"/>
    <x v="1"/>
  </r>
  <r>
    <x v="0"/>
    <x v="1"/>
    <x v="591"/>
    <x v="4"/>
    <x v="1"/>
    <x v="2"/>
    <x v="3"/>
    <x v="60"/>
    <x v="86"/>
    <x v="1669"/>
    <x v="28"/>
    <x v="28"/>
    <x v="1"/>
  </r>
  <r>
    <x v="0"/>
    <x v="1"/>
    <x v="621"/>
    <x v="4"/>
    <x v="1"/>
    <x v="2"/>
    <x v="2"/>
    <x v="57"/>
    <x v="111"/>
    <x v="1956"/>
    <x v="34"/>
    <x v="34"/>
    <x v="1"/>
  </r>
  <r>
    <x v="0"/>
    <x v="1"/>
    <x v="621"/>
    <x v="4"/>
    <x v="1"/>
    <x v="2"/>
    <x v="1"/>
    <x v="48"/>
    <x v="75"/>
    <x v="1210"/>
    <x v="34"/>
    <x v="34"/>
    <x v="1"/>
  </r>
  <r>
    <x v="0"/>
    <x v="1"/>
    <x v="621"/>
    <x v="4"/>
    <x v="1"/>
    <x v="2"/>
    <x v="5"/>
    <x v="43"/>
    <x v="48"/>
    <x v="656"/>
    <x v="24"/>
    <x v="24"/>
    <x v="1"/>
  </r>
  <r>
    <x v="0"/>
    <x v="1"/>
    <x v="621"/>
    <x v="4"/>
    <x v="1"/>
    <x v="2"/>
    <x v="4"/>
    <x v="43"/>
    <x v="45"/>
    <x v="616"/>
    <x v="25"/>
    <x v="25"/>
    <x v="1"/>
  </r>
  <r>
    <x v="0"/>
    <x v="1"/>
    <x v="621"/>
    <x v="4"/>
    <x v="1"/>
    <x v="2"/>
    <x v="0"/>
    <x v="55"/>
    <x v="49"/>
    <x v="879"/>
    <x v="26"/>
    <x v="26"/>
    <x v="1"/>
  </r>
  <r>
    <x v="0"/>
    <x v="1"/>
    <x v="621"/>
    <x v="4"/>
    <x v="1"/>
    <x v="2"/>
    <x v="3"/>
    <x v="57"/>
    <x v="69"/>
    <x v="1296"/>
    <x v="27"/>
    <x v="27"/>
    <x v="1"/>
  </r>
  <r>
    <x v="0"/>
    <x v="1"/>
    <x v="653"/>
    <x v="4"/>
    <x v="1"/>
    <x v="2"/>
    <x v="2"/>
    <x v="61"/>
    <x v="94"/>
    <x v="1817"/>
    <x v="33"/>
    <x v="33"/>
    <x v="1"/>
  </r>
  <r>
    <x v="0"/>
    <x v="1"/>
    <x v="653"/>
    <x v="4"/>
    <x v="1"/>
    <x v="2"/>
    <x v="1"/>
    <x v="53"/>
    <x v="63"/>
    <x v="1115"/>
    <x v="34"/>
    <x v="34"/>
    <x v="1"/>
  </r>
  <r>
    <x v="0"/>
    <x v="1"/>
    <x v="653"/>
    <x v="4"/>
    <x v="1"/>
    <x v="2"/>
    <x v="5"/>
    <x v="52"/>
    <x v="35"/>
    <x v="594"/>
    <x v="26"/>
    <x v="26"/>
    <x v="1"/>
  </r>
  <r>
    <x v="0"/>
    <x v="1"/>
    <x v="653"/>
    <x v="4"/>
    <x v="1"/>
    <x v="2"/>
    <x v="4"/>
    <x v="52"/>
    <x v="31"/>
    <x v="523"/>
    <x v="22"/>
    <x v="22"/>
    <x v="1"/>
  </r>
  <r>
    <x v="0"/>
    <x v="1"/>
    <x v="653"/>
    <x v="4"/>
    <x v="1"/>
    <x v="2"/>
    <x v="0"/>
    <x v="64"/>
    <x v="33"/>
    <x v="711"/>
    <x v="21"/>
    <x v="21"/>
    <x v="1"/>
  </r>
  <r>
    <x v="0"/>
    <x v="1"/>
    <x v="653"/>
    <x v="4"/>
    <x v="1"/>
    <x v="2"/>
    <x v="3"/>
    <x v="66"/>
    <x v="68"/>
    <x v="1456"/>
    <x v="26"/>
    <x v="26"/>
    <x v="1"/>
  </r>
  <r>
    <x v="0"/>
    <x v="1"/>
    <x v="683"/>
    <x v="4"/>
    <x v="1"/>
    <x v="2"/>
    <x v="2"/>
    <x v="61"/>
    <x v="103"/>
    <x v="1951"/>
    <x v="34"/>
    <x v="34"/>
    <x v="1"/>
  </r>
  <r>
    <x v="0"/>
    <x v="1"/>
    <x v="683"/>
    <x v="4"/>
    <x v="1"/>
    <x v="2"/>
    <x v="1"/>
    <x v="52"/>
    <x v="67"/>
    <x v="1150"/>
    <x v="32"/>
    <x v="32"/>
    <x v="1"/>
  </r>
  <r>
    <x v="0"/>
    <x v="1"/>
    <x v="683"/>
    <x v="4"/>
    <x v="1"/>
    <x v="2"/>
    <x v="5"/>
    <x v="52"/>
    <x v="76"/>
    <x v="1319"/>
    <x v="25"/>
    <x v="25"/>
    <x v="1"/>
  </r>
  <r>
    <x v="0"/>
    <x v="1"/>
    <x v="683"/>
    <x v="4"/>
    <x v="1"/>
    <x v="2"/>
    <x v="4"/>
    <x v="55"/>
    <x v="74"/>
    <x v="1344"/>
    <x v="24"/>
    <x v="24"/>
    <x v="1"/>
  </r>
  <r>
    <x v="0"/>
    <x v="1"/>
    <x v="683"/>
    <x v="4"/>
    <x v="1"/>
    <x v="2"/>
    <x v="0"/>
    <x v="62"/>
    <x v="68"/>
    <x v="1378"/>
    <x v="21"/>
    <x v="21"/>
    <x v="1"/>
  </r>
  <r>
    <x v="0"/>
    <x v="1"/>
    <x v="683"/>
    <x v="4"/>
    <x v="1"/>
    <x v="2"/>
    <x v="3"/>
    <x v="67"/>
    <x v="83"/>
    <x v="1774"/>
    <x v="28"/>
    <x v="28"/>
    <x v="1"/>
  </r>
  <r>
    <x v="0"/>
    <x v="1"/>
    <x v="712"/>
    <x v="4"/>
    <x v="1"/>
    <x v="2"/>
    <x v="2"/>
    <x v="62"/>
    <x v="151"/>
    <x v="2470"/>
    <x v="33"/>
    <x v="33"/>
    <x v="1"/>
  </r>
  <r>
    <x v="0"/>
    <x v="1"/>
    <x v="712"/>
    <x v="4"/>
    <x v="1"/>
    <x v="2"/>
    <x v="1"/>
    <x v="53"/>
    <x v="93"/>
    <x v="1614"/>
    <x v="33"/>
    <x v="33"/>
    <x v="1"/>
  </r>
  <r>
    <x v="1"/>
    <x v="0"/>
    <x v="368"/>
    <x v="4"/>
    <x v="1"/>
    <x v="2"/>
    <x v="2"/>
    <x v="26"/>
    <x v="91"/>
    <x v="845"/>
    <x v="24"/>
    <x v="24"/>
    <x v="1"/>
  </r>
  <r>
    <x v="1"/>
    <x v="0"/>
    <x v="368"/>
    <x v="4"/>
    <x v="1"/>
    <x v="2"/>
    <x v="1"/>
    <x v="36"/>
    <x v="91"/>
    <x v="1132"/>
    <x v="19"/>
    <x v="19"/>
    <x v="1"/>
  </r>
  <r>
    <x v="1"/>
    <x v="0"/>
    <x v="368"/>
    <x v="4"/>
    <x v="1"/>
    <x v="2"/>
    <x v="5"/>
    <x v="34"/>
    <x v="94"/>
    <x v="1117"/>
    <x v="22"/>
    <x v="22"/>
    <x v="1"/>
  </r>
  <r>
    <x v="1"/>
    <x v="0"/>
    <x v="368"/>
    <x v="4"/>
    <x v="1"/>
    <x v="2"/>
    <x v="4"/>
    <x v="36"/>
    <x v="45"/>
    <x v="503"/>
    <x v="21"/>
    <x v="21"/>
    <x v="1"/>
  </r>
  <r>
    <x v="1"/>
    <x v="0"/>
    <x v="368"/>
    <x v="4"/>
    <x v="1"/>
    <x v="2"/>
    <x v="0"/>
    <x v="39"/>
    <x v="35"/>
    <x v="427"/>
    <x v="16"/>
    <x v="16"/>
    <x v="1"/>
  </r>
  <r>
    <x v="1"/>
    <x v="0"/>
    <x v="368"/>
    <x v="4"/>
    <x v="1"/>
    <x v="2"/>
    <x v="3"/>
    <x v="35"/>
    <x v="103"/>
    <x v="1245"/>
    <x v="40"/>
    <x v="40"/>
    <x v="1"/>
  </r>
  <r>
    <x v="1"/>
    <x v="0"/>
    <x v="399"/>
    <x v="4"/>
    <x v="1"/>
    <x v="2"/>
    <x v="2"/>
    <x v="26"/>
    <x v="123"/>
    <x v="1140"/>
    <x v="22"/>
    <x v="22"/>
    <x v="1"/>
  </r>
  <r>
    <x v="1"/>
    <x v="0"/>
    <x v="399"/>
    <x v="4"/>
    <x v="1"/>
    <x v="2"/>
    <x v="1"/>
    <x v="35"/>
    <x v="80"/>
    <x v="980"/>
    <x v="18"/>
    <x v="18"/>
    <x v="1"/>
  </r>
  <r>
    <x v="1"/>
    <x v="0"/>
    <x v="399"/>
    <x v="4"/>
    <x v="1"/>
    <x v="2"/>
    <x v="5"/>
    <x v="37"/>
    <x v="77"/>
    <x v="987"/>
    <x v="22"/>
    <x v="22"/>
    <x v="1"/>
  </r>
  <r>
    <x v="1"/>
    <x v="0"/>
    <x v="399"/>
    <x v="4"/>
    <x v="10"/>
    <x v="21"/>
    <x v="4"/>
    <x v="34"/>
    <x v="45"/>
    <x v="473"/>
    <x v="25"/>
    <x v="25"/>
    <x v="1"/>
  </r>
  <r>
    <x v="1"/>
    <x v="0"/>
    <x v="399"/>
    <x v="4"/>
    <x v="10"/>
    <x v="21"/>
    <x v="0"/>
    <x v="40"/>
    <x v="27"/>
    <x v="327"/>
    <x v="16"/>
    <x v="16"/>
    <x v="1"/>
  </r>
  <r>
    <x v="1"/>
    <x v="0"/>
    <x v="399"/>
    <x v="4"/>
    <x v="10"/>
    <x v="21"/>
    <x v="3"/>
    <x v="37"/>
    <x v="84"/>
    <x v="1084"/>
    <x v="41"/>
    <x v="41"/>
    <x v="1"/>
  </r>
  <r>
    <x v="1"/>
    <x v="0"/>
    <x v="426"/>
    <x v="4"/>
    <x v="10"/>
    <x v="21"/>
    <x v="2"/>
    <x v="37"/>
    <x v="115"/>
    <x v="1425"/>
    <x v="26"/>
    <x v="26"/>
    <x v="1"/>
  </r>
  <r>
    <x v="1"/>
    <x v="0"/>
    <x v="426"/>
    <x v="4"/>
    <x v="10"/>
    <x v="21"/>
    <x v="1"/>
    <x v="47"/>
    <x v="75"/>
    <x v="1187"/>
    <x v="17"/>
    <x v="17"/>
    <x v="1"/>
  </r>
  <r>
    <x v="1"/>
    <x v="0"/>
    <x v="426"/>
    <x v="4"/>
    <x v="10"/>
    <x v="21"/>
    <x v="5"/>
    <x v="50"/>
    <x v="83"/>
    <x v="1385"/>
    <x v="25"/>
    <x v="25"/>
    <x v="1"/>
  </r>
  <r>
    <x v="1"/>
    <x v="0"/>
    <x v="426"/>
    <x v="4"/>
    <x v="10"/>
    <x v="21"/>
    <x v="4"/>
    <x v="45"/>
    <x v="57"/>
    <x v="842"/>
    <x v="22"/>
    <x v="22"/>
    <x v="1"/>
  </r>
  <r>
    <x v="1"/>
    <x v="0"/>
    <x v="426"/>
    <x v="4"/>
    <x v="10"/>
    <x v="21"/>
    <x v="0"/>
    <x v="48"/>
    <x v="26"/>
    <x v="385"/>
    <x v="12"/>
    <x v="12"/>
    <x v="1"/>
  </r>
  <r>
    <x v="1"/>
    <x v="0"/>
    <x v="426"/>
    <x v="4"/>
    <x v="10"/>
    <x v="21"/>
    <x v="3"/>
    <x v="43"/>
    <x v="70"/>
    <x v="1017"/>
    <x v="41"/>
    <x v="41"/>
    <x v="1"/>
  </r>
  <r>
    <x v="1"/>
    <x v="0"/>
    <x v="458"/>
    <x v="4"/>
    <x v="10"/>
    <x v="21"/>
    <x v="2"/>
    <x v="52"/>
    <x v="110"/>
    <x v="1812"/>
    <x v="22"/>
    <x v="22"/>
    <x v="1"/>
  </r>
  <r>
    <x v="1"/>
    <x v="0"/>
    <x v="458"/>
    <x v="4"/>
    <x v="10"/>
    <x v="21"/>
    <x v="1"/>
    <x v="54"/>
    <x v="67"/>
    <x v="1195"/>
    <x v="21"/>
    <x v="21"/>
    <x v="1"/>
  </r>
  <r>
    <x v="1"/>
    <x v="0"/>
    <x v="458"/>
    <x v="4"/>
    <x v="10"/>
    <x v="21"/>
    <x v="5"/>
    <x v="53"/>
    <x v="75"/>
    <x v="1313"/>
    <x v="24"/>
    <x v="24"/>
    <x v="1"/>
  </r>
  <r>
    <x v="1"/>
    <x v="0"/>
    <x v="458"/>
    <x v="4"/>
    <x v="10"/>
    <x v="21"/>
    <x v="4"/>
    <x v="41"/>
    <x v="60"/>
    <x v="822"/>
    <x v="21"/>
    <x v="21"/>
    <x v="1"/>
  </r>
  <r>
    <x v="1"/>
    <x v="0"/>
    <x v="458"/>
    <x v="4"/>
    <x v="10"/>
    <x v="21"/>
    <x v="0"/>
    <x v="45"/>
    <x v="31"/>
    <x v="444"/>
    <x v="13"/>
    <x v="13"/>
    <x v="1"/>
  </r>
  <r>
    <x v="1"/>
    <x v="0"/>
    <x v="458"/>
    <x v="4"/>
    <x v="10"/>
    <x v="21"/>
    <x v="3"/>
    <x v="59"/>
    <x v="77"/>
    <x v="1489"/>
    <x v="36"/>
    <x v="36"/>
    <x v="1"/>
  </r>
  <r>
    <x v="1"/>
    <x v="0"/>
    <x v="489"/>
    <x v="4"/>
    <x v="10"/>
    <x v="21"/>
    <x v="2"/>
    <x v="44"/>
    <x v="137"/>
    <x v="1894"/>
    <x v="23"/>
    <x v="23"/>
    <x v="1"/>
  </r>
  <r>
    <x v="1"/>
    <x v="0"/>
    <x v="489"/>
    <x v="4"/>
    <x v="10"/>
    <x v="21"/>
    <x v="1"/>
    <x v="51"/>
    <x v="80"/>
    <x v="1370"/>
    <x v="19"/>
    <x v="19"/>
    <x v="1"/>
  </r>
  <r>
    <x v="1"/>
    <x v="0"/>
    <x v="489"/>
    <x v="4"/>
    <x v="10"/>
    <x v="21"/>
    <x v="5"/>
    <x v="49"/>
    <x v="80"/>
    <x v="1320"/>
    <x v="26"/>
    <x v="26"/>
    <x v="1"/>
  </r>
  <r>
    <x v="1"/>
    <x v="0"/>
    <x v="489"/>
    <x v="4"/>
    <x v="10"/>
    <x v="21"/>
    <x v="4"/>
    <x v="45"/>
    <x v="66"/>
    <x v="993"/>
    <x v="26"/>
    <x v="26"/>
    <x v="1"/>
  </r>
  <r>
    <x v="1"/>
    <x v="0"/>
    <x v="489"/>
    <x v="4"/>
    <x v="10"/>
    <x v="21"/>
    <x v="0"/>
    <x v="48"/>
    <x v="35"/>
    <x v="536"/>
    <x v="14"/>
    <x v="14"/>
    <x v="1"/>
  </r>
  <r>
    <x v="1"/>
    <x v="0"/>
    <x v="489"/>
    <x v="4"/>
    <x v="10"/>
    <x v="21"/>
    <x v="3"/>
    <x v="62"/>
    <x v="123"/>
    <x v="2187"/>
    <x v="41"/>
    <x v="41"/>
    <x v="1"/>
  </r>
  <r>
    <x v="1"/>
    <x v="0"/>
    <x v="519"/>
    <x v="4"/>
    <x v="10"/>
    <x v="21"/>
    <x v="2"/>
    <x v="60"/>
    <x v="183"/>
    <x v="2643"/>
    <x v="26"/>
    <x v="26"/>
    <x v="1"/>
  </r>
  <r>
    <x v="1"/>
    <x v="0"/>
    <x v="519"/>
    <x v="4"/>
    <x v="10"/>
    <x v="21"/>
    <x v="1"/>
    <x v="65"/>
    <x v="135"/>
    <x v="2382"/>
    <x v="17"/>
    <x v="17"/>
    <x v="1"/>
  </r>
  <r>
    <x v="1"/>
    <x v="0"/>
    <x v="519"/>
    <x v="4"/>
    <x v="10"/>
    <x v="21"/>
    <x v="5"/>
    <x v="64"/>
    <x v="157"/>
    <x v="2537"/>
    <x v="22"/>
    <x v="22"/>
    <x v="1"/>
  </r>
  <r>
    <x v="1"/>
    <x v="0"/>
    <x v="519"/>
    <x v="4"/>
    <x v="10"/>
    <x v="21"/>
    <x v="4"/>
    <x v="67"/>
    <x v="113"/>
    <x v="2183"/>
    <x v="24"/>
    <x v="24"/>
    <x v="1"/>
  </r>
  <r>
    <x v="1"/>
    <x v="0"/>
    <x v="519"/>
    <x v="4"/>
    <x v="10"/>
    <x v="21"/>
    <x v="0"/>
    <x v="76"/>
    <x v="73"/>
    <x v="1735"/>
    <x v="16"/>
    <x v="16"/>
    <x v="1"/>
  </r>
  <r>
    <x v="1"/>
    <x v="0"/>
    <x v="519"/>
    <x v="4"/>
    <x v="10"/>
    <x v="21"/>
    <x v="3"/>
    <x v="87"/>
    <x v="147"/>
    <x v="2753"/>
    <x v="38"/>
    <x v="38"/>
    <x v="1"/>
  </r>
  <r>
    <x v="1"/>
    <x v="0"/>
    <x v="548"/>
    <x v="4"/>
    <x v="10"/>
    <x v="21"/>
    <x v="2"/>
    <x v="67"/>
    <x v="181"/>
    <x v="2709"/>
    <x v="23"/>
    <x v="23"/>
    <x v="1"/>
  </r>
  <r>
    <x v="1"/>
    <x v="0"/>
    <x v="548"/>
    <x v="4"/>
    <x v="10"/>
    <x v="21"/>
    <x v="1"/>
    <x v="74"/>
    <x v="159"/>
    <x v="2678"/>
    <x v="20"/>
    <x v="20"/>
    <x v="1"/>
  </r>
  <r>
    <x v="1"/>
    <x v="0"/>
    <x v="548"/>
    <x v="4"/>
    <x v="10"/>
    <x v="21"/>
    <x v="5"/>
    <x v="72"/>
    <x v="129"/>
    <x v="2447"/>
    <x v="22"/>
    <x v="22"/>
    <x v="1"/>
  </r>
  <r>
    <x v="1"/>
    <x v="0"/>
    <x v="548"/>
    <x v="4"/>
    <x v="10"/>
    <x v="21"/>
    <x v="4"/>
    <x v="66"/>
    <x v="110"/>
    <x v="2134"/>
    <x v="26"/>
    <x v="26"/>
    <x v="1"/>
  </r>
  <r>
    <x v="1"/>
    <x v="0"/>
    <x v="548"/>
    <x v="4"/>
    <x v="10"/>
    <x v="21"/>
    <x v="0"/>
    <x v="73"/>
    <x v="128"/>
    <x v="2456"/>
    <x v="16"/>
    <x v="16"/>
    <x v="1"/>
  </r>
  <r>
    <x v="1"/>
    <x v="0"/>
    <x v="548"/>
    <x v="4"/>
    <x v="10"/>
    <x v="21"/>
    <x v="3"/>
    <x v="86"/>
    <x v="133"/>
    <x v="2680"/>
    <x v="38"/>
    <x v="38"/>
    <x v="1"/>
  </r>
  <r>
    <x v="1"/>
    <x v="0"/>
    <x v="580"/>
    <x v="4"/>
    <x v="10"/>
    <x v="21"/>
    <x v="2"/>
    <x v="72"/>
    <x v="183"/>
    <x v="2761"/>
    <x v="23"/>
    <x v="23"/>
    <x v="1"/>
  </r>
  <r>
    <x v="1"/>
    <x v="0"/>
    <x v="580"/>
    <x v="4"/>
    <x v="10"/>
    <x v="21"/>
    <x v="1"/>
    <x v="64"/>
    <x v="188"/>
    <x v="2711"/>
    <x v="20"/>
    <x v="20"/>
    <x v="1"/>
  </r>
  <r>
    <x v="1"/>
    <x v="0"/>
    <x v="580"/>
    <x v="4"/>
    <x v="10"/>
    <x v="21"/>
    <x v="5"/>
    <x v="57"/>
    <x v="140"/>
    <x v="2262"/>
    <x v="25"/>
    <x v="25"/>
    <x v="1"/>
  </r>
  <r>
    <x v="1"/>
    <x v="0"/>
    <x v="580"/>
    <x v="4"/>
    <x v="10"/>
    <x v="21"/>
    <x v="4"/>
    <x v="60"/>
    <x v="122"/>
    <x v="2140"/>
    <x v="24"/>
    <x v="24"/>
    <x v="1"/>
  </r>
  <r>
    <x v="4"/>
    <x v="0"/>
    <x v="580"/>
    <x v="4"/>
    <x v="10"/>
    <x v="21"/>
    <x v="0"/>
    <x v="62"/>
    <x v="127"/>
    <x v="2230"/>
    <x v="13"/>
    <x v="13"/>
    <x v="1"/>
  </r>
  <r>
    <x v="4"/>
    <x v="0"/>
    <x v="580"/>
    <x v="4"/>
    <x v="10"/>
    <x v="21"/>
    <x v="3"/>
    <x v="65"/>
    <x v="73"/>
    <x v="1525"/>
    <x v="39"/>
    <x v="39"/>
    <x v="1"/>
  </r>
  <r>
    <x v="4"/>
    <x v="0"/>
    <x v="612"/>
    <x v="4"/>
    <x v="10"/>
    <x v="21"/>
    <x v="2"/>
    <x v="55"/>
    <x v="128"/>
    <x v="2096"/>
    <x v="22"/>
    <x v="22"/>
    <x v="1"/>
  </r>
  <r>
    <x v="4"/>
    <x v="0"/>
    <x v="612"/>
    <x v="4"/>
    <x v="10"/>
    <x v="21"/>
    <x v="1"/>
    <x v="62"/>
    <x v="128"/>
    <x v="2251"/>
    <x v="19"/>
    <x v="19"/>
    <x v="1"/>
  </r>
  <r>
    <x v="4"/>
    <x v="0"/>
    <x v="612"/>
    <x v="4"/>
    <x v="10"/>
    <x v="21"/>
    <x v="5"/>
    <x v="57"/>
    <x v="87"/>
    <x v="1614"/>
    <x v="25"/>
    <x v="25"/>
    <x v="1"/>
  </r>
  <r>
    <x v="4"/>
    <x v="0"/>
    <x v="612"/>
    <x v="4"/>
    <x v="10"/>
    <x v="21"/>
    <x v="4"/>
    <x v="55"/>
    <x v="70"/>
    <x v="1270"/>
    <x v="26"/>
    <x v="26"/>
    <x v="1"/>
  </r>
  <r>
    <x v="4"/>
    <x v="0"/>
    <x v="612"/>
    <x v="4"/>
    <x v="10"/>
    <x v="21"/>
    <x v="0"/>
    <x v="64"/>
    <x v="75"/>
    <x v="1559"/>
    <x v="16"/>
    <x v="16"/>
    <x v="1"/>
  </r>
  <r>
    <x v="4"/>
    <x v="0"/>
    <x v="612"/>
    <x v="4"/>
    <x v="10"/>
    <x v="21"/>
    <x v="3"/>
    <x v="49"/>
    <x v="87"/>
    <x v="1412"/>
    <x v="39"/>
    <x v="39"/>
    <x v="1"/>
  </r>
  <r>
    <x v="4"/>
    <x v="0"/>
    <x v="641"/>
    <x v="4"/>
    <x v="10"/>
    <x v="21"/>
    <x v="2"/>
    <x v="45"/>
    <x v="104"/>
    <x v="1556"/>
    <x v="26"/>
    <x v="26"/>
    <x v="1"/>
  </r>
  <r>
    <x v="4"/>
    <x v="0"/>
    <x v="641"/>
    <x v="4"/>
    <x v="10"/>
    <x v="21"/>
    <x v="1"/>
    <x v="54"/>
    <x v="118"/>
    <x v="1963"/>
    <x v="16"/>
    <x v="16"/>
    <x v="1"/>
  </r>
  <r>
    <x v="4"/>
    <x v="0"/>
    <x v="641"/>
    <x v="4"/>
    <x v="10"/>
    <x v="21"/>
    <x v="5"/>
    <x v="49"/>
    <x v="72"/>
    <x v="1174"/>
    <x v="21"/>
    <x v="21"/>
    <x v="1"/>
  </r>
  <r>
    <x v="4"/>
    <x v="0"/>
    <x v="641"/>
    <x v="4"/>
    <x v="10"/>
    <x v="21"/>
    <x v="4"/>
    <x v="43"/>
    <x v="68"/>
    <x v="991"/>
    <x v="23"/>
    <x v="23"/>
    <x v="1"/>
  </r>
  <r>
    <x v="4"/>
    <x v="0"/>
    <x v="641"/>
    <x v="4"/>
    <x v="10"/>
    <x v="21"/>
    <x v="0"/>
    <x v="56"/>
    <x v="58"/>
    <x v="1061"/>
    <x v="14"/>
    <x v="14"/>
    <x v="1"/>
  </r>
  <r>
    <x v="4"/>
    <x v="0"/>
    <x v="641"/>
    <x v="4"/>
    <x v="10"/>
    <x v="21"/>
    <x v="3"/>
    <x v="57"/>
    <x v="62"/>
    <x v="1155"/>
    <x v="37"/>
    <x v="37"/>
    <x v="1"/>
  </r>
  <r>
    <x v="4"/>
    <x v="0"/>
    <x v="672"/>
    <x v="4"/>
    <x v="10"/>
    <x v="21"/>
    <x v="2"/>
    <x v="44"/>
    <x v="137"/>
    <x v="1894"/>
    <x v="23"/>
    <x v="23"/>
    <x v="1"/>
  </r>
  <r>
    <x v="4"/>
    <x v="0"/>
    <x v="672"/>
    <x v="4"/>
    <x v="10"/>
    <x v="21"/>
    <x v="1"/>
    <x v="49"/>
    <x v="146"/>
    <x v="2118"/>
    <x v="18"/>
    <x v="18"/>
    <x v="1"/>
  </r>
  <r>
    <x v="4"/>
    <x v="0"/>
    <x v="672"/>
    <x v="4"/>
    <x v="10"/>
    <x v="21"/>
    <x v="5"/>
    <x v="43"/>
    <x v="103"/>
    <x v="1476"/>
    <x v="26"/>
    <x v="26"/>
    <x v="1"/>
  </r>
  <r>
    <x v="4"/>
    <x v="0"/>
    <x v="672"/>
    <x v="4"/>
    <x v="10"/>
    <x v="21"/>
    <x v="4"/>
    <x v="53"/>
    <x v="86"/>
    <x v="1499"/>
    <x v="25"/>
    <x v="25"/>
    <x v="1"/>
  </r>
  <r>
    <x v="4"/>
    <x v="0"/>
    <x v="672"/>
    <x v="4"/>
    <x v="10"/>
    <x v="21"/>
    <x v="0"/>
    <x v="76"/>
    <x v="94"/>
    <x v="2113"/>
    <x v="16"/>
    <x v="16"/>
    <x v="1"/>
  </r>
  <r>
    <x v="4"/>
    <x v="0"/>
    <x v="672"/>
    <x v="4"/>
    <x v="10"/>
    <x v="21"/>
    <x v="3"/>
    <x v="75"/>
    <x v="120"/>
    <x v="2409"/>
    <x v="38"/>
    <x v="38"/>
    <x v="1"/>
  </r>
  <r>
    <x v="4"/>
    <x v="0"/>
    <x v="701"/>
    <x v="4"/>
    <x v="10"/>
    <x v="21"/>
    <x v="2"/>
    <x v="61"/>
    <x v="165"/>
    <x v="2544"/>
    <x v="26"/>
    <x v="26"/>
    <x v="1"/>
  </r>
  <r>
    <x v="4"/>
    <x v="0"/>
    <x v="701"/>
    <x v="4"/>
    <x v="10"/>
    <x v="21"/>
    <x v="1"/>
    <x v="70"/>
    <x v="159"/>
    <x v="2638"/>
    <x v="16"/>
    <x v="16"/>
    <x v="1"/>
  </r>
  <r>
    <x v="3"/>
    <x v="0"/>
    <x v="701"/>
    <x v="4"/>
    <x v="10"/>
    <x v="21"/>
    <x v="5"/>
    <x v="67"/>
    <x v="115"/>
    <x v="2204"/>
    <x v="21"/>
    <x v="21"/>
    <x v="1"/>
  </r>
  <r>
    <x v="3"/>
    <x v="0"/>
    <x v="701"/>
    <x v="4"/>
    <x v="10"/>
    <x v="21"/>
    <x v="4"/>
    <x v="66"/>
    <x v="125"/>
    <x v="2295"/>
    <x v="21"/>
    <x v="21"/>
    <x v="1"/>
  </r>
  <r>
    <x v="3"/>
    <x v="0"/>
    <x v="701"/>
    <x v="4"/>
    <x v="10"/>
    <x v="21"/>
    <x v="0"/>
    <x v="77"/>
    <x v="108"/>
    <x v="2316"/>
    <x v="12"/>
    <x v="12"/>
    <x v="1"/>
  </r>
  <r>
    <x v="3"/>
    <x v="0"/>
    <x v="701"/>
    <x v="4"/>
    <x v="10"/>
    <x v="21"/>
    <x v="3"/>
    <x v="82"/>
    <x v="122"/>
    <x v="2525"/>
    <x v="36"/>
    <x v="36"/>
    <x v="1"/>
  </r>
  <r>
    <x v="3"/>
    <x v="0"/>
    <x v="375"/>
    <x v="4"/>
    <x v="10"/>
    <x v="21"/>
    <x v="2"/>
    <x v="31"/>
    <x v="96"/>
    <x v="1049"/>
    <x v="29"/>
    <x v="29"/>
    <x v="1"/>
  </r>
  <r>
    <x v="3"/>
    <x v="0"/>
    <x v="375"/>
    <x v="4"/>
    <x v="10"/>
    <x v="21"/>
    <x v="1"/>
    <x v="41"/>
    <x v="103"/>
    <x v="1419"/>
    <x v="21"/>
    <x v="21"/>
    <x v="1"/>
  </r>
  <r>
    <x v="3"/>
    <x v="0"/>
    <x v="375"/>
    <x v="4"/>
    <x v="10"/>
    <x v="21"/>
    <x v="5"/>
    <x v="38"/>
    <x v="103"/>
    <x v="1330"/>
    <x v="27"/>
    <x v="27"/>
    <x v="1"/>
  </r>
  <r>
    <x v="3"/>
    <x v="0"/>
    <x v="375"/>
    <x v="4"/>
    <x v="10"/>
    <x v="21"/>
    <x v="4"/>
    <x v="40"/>
    <x v="63"/>
    <x v="852"/>
    <x v="31"/>
    <x v="31"/>
    <x v="1"/>
  </r>
  <r>
    <x v="3"/>
    <x v="0"/>
    <x v="375"/>
    <x v="4"/>
    <x v="10"/>
    <x v="21"/>
    <x v="0"/>
    <x v="47"/>
    <x v="56"/>
    <x v="870"/>
    <x v="16"/>
    <x v="16"/>
    <x v="1"/>
  </r>
  <r>
    <x v="3"/>
    <x v="0"/>
    <x v="375"/>
    <x v="4"/>
    <x v="10"/>
    <x v="21"/>
    <x v="3"/>
    <x v="42"/>
    <x v="104"/>
    <x v="1459"/>
    <x v="45"/>
    <x v="45"/>
    <x v="1"/>
  </r>
  <r>
    <x v="3"/>
    <x v="0"/>
    <x v="406"/>
    <x v="4"/>
    <x v="10"/>
    <x v="21"/>
    <x v="2"/>
    <x v="29"/>
    <x v="117"/>
    <x v="1192"/>
    <x v="28"/>
    <x v="28"/>
    <x v="1"/>
  </r>
  <r>
    <x v="3"/>
    <x v="0"/>
    <x v="406"/>
    <x v="4"/>
    <x v="10"/>
    <x v="21"/>
    <x v="1"/>
    <x v="42"/>
    <x v="92"/>
    <x v="1307"/>
    <x v="21"/>
    <x v="21"/>
    <x v="1"/>
  </r>
  <r>
    <x v="3"/>
    <x v="0"/>
    <x v="406"/>
    <x v="4"/>
    <x v="10"/>
    <x v="21"/>
    <x v="5"/>
    <x v="42"/>
    <x v="92"/>
    <x v="1307"/>
    <x v="26"/>
    <x v="26"/>
    <x v="1"/>
  </r>
  <r>
    <x v="3"/>
    <x v="0"/>
    <x v="406"/>
    <x v="3"/>
    <x v="8"/>
    <x v="39"/>
    <x v="4"/>
    <x v="38"/>
    <x v="61"/>
    <x v="773"/>
    <x v="30"/>
    <x v="30"/>
    <x v="1"/>
  </r>
  <r>
    <x v="3"/>
    <x v="0"/>
    <x v="406"/>
    <x v="3"/>
    <x v="8"/>
    <x v="39"/>
    <x v="0"/>
    <x v="45"/>
    <x v="49"/>
    <x v="709"/>
    <x v="18"/>
    <x v="18"/>
    <x v="1"/>
  </r>
  <r>
    <x v="3"/>
    <x v="0"/>
    <x v="406"/>
    <x v="3"/>
    <x v="8"/>
    <x v="39"/>
    <x v="3"/>
    <x v="40"/>
    <x v="90"/>
    <x v="1226"/>
    <x v="44"/>
    <x v="44"/>
    <x v="1"/>
  </r>
  <r>
    <x v="3"/>
    <x v="0"/>
    <x v="433"/>
    <x v="3"/>
    <x v="8"/>
    <x v="39"/>
    <x v="2"/>
    <x v="39"/>
    <x v="138"/>
    <x v="1749"/>
    <x v="27"/>
    <x v="27"/>
    <x v="1"/>
  </r>
  <r>
    <x v="3"/>
    <x v="0"/>
    <x v="433"/>
    <x v="3"/>
    <x v="8"/>
    <x v="39"/>
    <x v="1"/>
    <x v="51"/>
    <x v="82"/>
    <x v="1394"/>
    <x v="24"/>
    <x v="24"/>
    <x v="1"/>
  </r>
  <r>
    <x v="3"/>
    <x v="0"/>
    <x v="433"/>
    <x v="3"/>
    <x v="8"/>
    <x v="39"/>
    <x v="5"/>
    <x v="52"/>
    <x v="96"/>
    <x v="1626"/>
    <x v="29"/>
    <x v="29"/>
    <x v="1"/>
  </r>
  <r>
    <x v="3"/>
    <x v="0"/>
    <x v="433"/>
    <x v="3"/>
    <x v="8"/>
    <x v="39"/>
    <x v="4"/>
    <x v="51"/>
    <x v="75"/>
    <x v="1271"/>
    <x v="28"/>
    <x v="28"/>
    <x v="1"/>
  </r>
  <r>
    <x v="3"/>
    <x v="0"/>
    <x v="433"/>
    <x v="3"/>
    <x v="8"/>
    <x v="39"/>
    <x v="0"/>
    <x v="54"/>
    <x v="33"/>
    <x v="584"/>
    <x v="19"/>
    <x v="19"/>
    <x v="1"/>
  </r>
  <r>
    <x v="3"/>
    <x v="0"/>
    <x v="433"/>
    <x v="3"/>
    <x v="8"/>
    <x v="39"/>
    <x v="3"/>
    <x v="47"/>
    <x v="83"/>
    <x v="1311"/>
    <x v="46"/>
    <x v="46"/>
    <x v="1"/>
  </r>
  <r>
    <x v="4"/>
    <x v="0"/>
    <x v="465"/>
    <x v="3"/>
    <x v="8"/>
    <x v="39"/>
    <x v="2"/>
    <x v="55"/>
    <x v="118"/>
    <x v="1988"/>
    <x v="28"/>
    <x v="28"/>
    <x v="1"/>
  </r>
  <r>
    <x v="4"/>
    <x v="0"/>
    <x v="465"/>
    <x v="3"/>
    <x v="8"/>
    <x v="39"/>
    <x v="1"/>
    <x v="59"/>
    <x v="80"/>
    <x v="1561"/>
    <x v="21"/>
    <x v="21"/>
    <x v="1"/>
  </r>
  <r>
    <x v="4"/>
    <x v="0"/>
    <x v="465"/>
    <x v="3"/>
    <x v="8"/>
    <x v="39"/>
    <x v="5"/>
    <x v="59"/>
    <x v="101"/>
    <x v="1866"/>
    <x v="27"/>
    <x v="27"/>
    <x v="1"/>
  </r>
  <r>
    <x v="4"/>
    <x v="0"/>
    <x v="465"/>
    <x v="3"/>
    <x v="8"/>
    <x v="39"/>
    <x v="4"/>
    <x v="45"/>
    <x v="69"/>
    <x v="1048"/>
    <x v="31"/>
    <x v="31"/>
    <x v="1"/>
  </r>
  <r>
    <x v="4"/>
    <x v="0"/>
    <x v="465"/>
    <x v="3"/>
    <x v="8"/>
    <x v="39"/>
    <x v="0"/>
    <x v="52"/>
    <x v="47"/>
    <x v="794"/>
    <x v="21"/>
    <x v="21"/>
    <x v="1"/>
  </r>
  <r>
    <x v="4"/>
    <x v="0"/>
    <x v="465"/>
    <x v="3"/>
    <x v="8"/>
    <x v="39"/>
    <x v="3"/>
    <x v="65"/>
    <x v="91"/>
    <x v="1853"/>
    <x v="46"/>
    <x v="46"/>
    <x v="1"/>
  </r>
  <r>
    <x v="4"/>
    <x v="0"/>
    <x v="496"/>
    <x v="3"/>
    <x v="8"/>
    <x v="39"/>
    <x v="2"/>
    <x v="51"/>
    <x v="134"/>
    <x v="2062"/>
    <x v="29"/>
    <x v="29"/>
    <x v="1"/>
  </r>
  <r>
    <x v="4"/>
    <x v="0"/>
    <x v="496"/>
    <x v="3"/>
    <x v="8"/>
    <x v="39"/>
    <x v="1"/>
    <x v="53"/>
    <x v="108"/>
    <x v="1815"/>
    <x v="26"/>
    <x v="26"/>
    <x v="1"/>
  </r>
  <r>
    <x v="4"/>
    <x v="0"/>
    <x v="496"/>
    <x v="3"/>
    <x v="8"/>
    <x v="39"/>
    <x v="5"/>
    <x v="52"/>
    <x v="100"/>
    <x v="1681"/>
    <x v="31"/>
    <x v="31"/>
    <x v="1"/>
  </r>
  <r>
    <x v="4"/>
    <x v="0"/>
    <x v="496"/>
    <x v="3"/>
    <x v="8"/>
    <x v="39"/>
    <x v="4"/>
    <x v="52"/>
    <x v="73"/>
    <x v="1252"/>
    <x v="29"/>
    <x v="29"/>
    <x v="1"/>
  </r>
  <r>
    <x v="4"/>
    <x v="0"/>
    <x v="496"/>
    <x v="3"/>
    <x v="8"/>
    <x v="39"/>
    <x v="0"/>
    <x v="45"/>
    <x v="56"/>
    <x v="829"/>
    <x v="18"/>
    <x v="18"/>
    <x v="1"/>
  </r>
  <r>
    <x v="4"/>
    <x v="0"/>
    <x v="496"/>
    <x v="3"/>
    <x v="8"/>
    <x v="39"/>
    <x v="3"/>
    <x v="60"/>
    <x v="150"/>
    <x v="2421"/>
    <x v="44"/>
    <x v="44"/>
    <x v="1"/>
  </r>
  <r>
    <x v="4"/>
    <x v="0"/>
    <x v="526"/>
    <x v="3"/>
    <x v="8"/>
    <x v="39"/>
    <x v="2"/>
    <x v="54"/>
    <x v="192"/>
    <x v="2604"/>
    <x v="31"/>
    <x v="31"/>
    <x v="1"/>
  </r>
  <r>
    <x v="4"/>
    <x v="0"/>
    <x v="526"/>
    <x v="3"/>
    <x v="8"/>
    <x v="39"/>
    <x v="1"/>
    <x v="57"/>
    <x v="177"/>
    <x v="2559"/>
    <x v="21"/>
    <x v="21"/>
    <x v="1"/>
  </r>
  <r>
    <x v="4"/>
    <x v="0"/>
    <x v="526"/>
    <x v="3"/>
    <x v="8"/>
    <x v="39"/>
    <x v="5"/>
    <x v="73"/>
    <x v="183"/>
    <x v="2768"/>
    <x v="29"/>
    <x v="29"/>
    <x v="1"/>
  </r>
  <r>
    <x v="4"/>
    <x v="0"/>
    <x v="526"/>
    <x v="3"/>
    <x v="8"/>
    <x v="39"/>
    <x v="4"/>
    <x v="70"/>
    <x v="134"/>
    <x v="2459"/>
    <x v="28"/>
    <x v="28"/>
    <x v="1"/>
  </r>
  <r>
    <x v="4"/>
    <x v="0"/>
    <x v="526"/>
    <x v="3"/>
    <x v="8"/>
    <x v="39"/>
    <x v="0"/>
    <x v="82"/>
    <x v="106"/>
    <x v="2379"/>
    <x v="18"/>
    <x v="18"/>
    <x v="1"/>
  </r>
  <r>
    <x v="4"/>
    <x v="0"/>
    <x v="526"/>
    <x v="3"/>
    <x v="8"/>
    <x v="39"/>
    <x v="3"/>
    <x v="91"/>
    <x v="188"/>
    <x v="2865"/>
    <x v="42"/>
    <x v="42"/>
    <x v="1"/>
  </r>
  <r>
    <x v="4"/>
    <x v="0"/>
    <x v="555"/>
    <x v="3"/>
    <x v="8"/>
    <x v="39"/>
    <x v="2"/>
    <x v="76"/>
    <x v="221"/>
    <x v="2856"/>
    <x v="30"/>
    <x v="30"/>
    <x v="1"/>
  </r>
  <r>
    <x v="4"/>
    <x v="0"/>
    <x v="555"/>
    <x v="3"/>
    <x v="8"/>
    <x v="39"/>
    <x v="1"/>
    <x v="81"/>
    <x v="194"/>
    <x v="2837"/>
    <x v="26"/>
    <x v="26"/>
    <x v="1"/>
  </r>
  <r>
    <x v="4"/>
    <x v="0"/>
    <x v="555"/>
    <x v="3"/>
    <x v="8"/>
    <x v="39"/>
    <x v="5"/>
    <x v="79"/>
    <x v="165"/>
    <x v="2746"/>
    <x v="30"/>
    <x v="30"/>
    <x v="1"/>
  </r>
  <r>
    <x v="4"/>
    <x v="0"/>
    <x v="555"/>
    <x v="3"/>
    <x v="8"/>
    <x v="39"/>
    <x v="4"/>
    <x v="75"/>
    <x v="157"/>
    <x v="2679"/>
    <x v="29"/>
    <x v="29"/>
    <x v="1"/>
  </r>
  <r>
    <x v="4"/>
    <x v="0"/>
    <x v="555"/>
    <x v="3"/>
    <x v="8"/>
    <x v="39"/>
    <x v="0"/>
    <x v="82"/>
    <x v="171"/>
    <x v="2787"/>
    <x v="18"/>
    <x v="18"/>
    <x v="1"/>
  </r>
  <r>
    <x v="4"/>
    <x v="0"/>
    <x v="555"/>
    <x v="3"/>
    <x v="8"/>
    <x v="39"/>
    <x v="3"/>
    <x v="90"/>
    <x v="141"/>
    <x v="2756"/>
    <x v="43"/>
    <x v="43"/>
    <x v="1"/>
  </r>
  <r>
    <x v="4"/>
    <x v="0"/>
    <x v="587"/>
    <x v="3"/>
    <x v="8"/>
    <x v="39"/>
    <x v="2"/>
    <x v="80"/>
    <x v="184"/>
    <x v="2813"/>
    <x v="27"/>
    <x v="27"/>
    <x v="1"/>
  </r>
  <r>
    <x v="4"/>
    <x v="0"/>
    <x v="587"/>
    <x v="3"/>
    <x v="8"/>
    <x v="39"/>
    <x v="1"/>
    <x v="70"/>
    <x v="179"/>
    <x v="2731"/>
    <x v="21"/>
    <x v="21"/>
    <x v="1"/>
  </r>
  <r>
    <x v="4"/>
    <x v="0"/>
    <x v="587"/>
    <x v="3"/>
    <x v="8"/>
    <x v="39"/>
    <x v="5"/>
    <x v="71"/>
    <x v="165"/>
    <x v="2678"/>
    <x v="29"/>
    <x v="29"/>
    <x v="1"/>
  </r>
  <r>
    <x v="4"/>
    <x v="0"/>
    <x v="587"/>
    <x v="3"/>
    <x v="8"/>
    <x v="39"/>
    <x v="4"/>
    <x v="70"/>
    <x v="123"/>
    <x v="2353"/>
    <x v="28"/>
    <x v="28"/>
    <x v="1"/>
  </r>
  <r>
    <x v="4"/>
    <x v="0"/>
    <x v="587"/>
    <x v="3"/>
    <x v="8"/>
    <x v="39"/>
    <x v="0"/>
    <x v="67"/>
    <x v="123"/>
    <x v="2293"/>
    <x v="17"/>
    <x v="17"/>
    <x v="1"/>
  </r>
  <r>
    <x v="4"/>
    <x v="0"/>
    <x v="587"/>
    <x v="3"/>
    <x v="8"/>
    <x v="39"/>
    <x v="3"/>
    <x v="74"/>
    <x v="72"/>
    <x v="1685"/>
    <x v="44"/>
    <x v="44"/>
    <x v="1"/>
  </r>
  <r>
    <x v="4"/>
    <x v="0"/>
    <x v="619"/>
    <x v="3"/>
    <x v="8"/>
    <x v="39"/>
    <x v="2"/>
    <x v="51"/>
    <x v="120"/>
    <x v="1908"/>
    <x v="26"/>
    <x v="26"/>
    <x v="1"/>
  </r>
  <r>
    <x v="4"/>
    <x v="0"/>
    <x v="619"/>
    <x v="3"/>
    <x v="8"/>
    <x v="39"/>
    <x v="1"/>
    <x v="53"/>
    <x v="115"/>
    <x v="1904"/>
    <x v="23"/>
    <x v="23"/>
    <x v="1"/>
  </r>
  <r>
    <x v="4"/>
    <x v="0"/>
    <x v="619"/>
    <x v="3"/>
    <x v="8"/>
    <x v="39"/>
    <x v="5"/>
    <x v="47"/>
    <x v="62"/>
    <x v="969"/>
    <x v="31"/>
    <x v="31"/>
    <x v="1"/>
  </r>
  <r>
    <x v="4"/>
    <x v="0"/>
    <x v="619"/>
    <x v="3"/>
    <x v="8"/>
    <x v="39"/>
    <x v="4"/>
    <x v="47"/>
    <x v="54"/>
    <x v="823"/>
    <x v="30"/>
    <x v="30"/>
    <x v="1"/>
  </r>
  <r>
    <x v="4"/>
    <x v="0"/>
    <x v="619"/>
    <x v="3"/>
    <x v="8"/>
    <x v="39"/>
    <x v="0"/>
    <x v="57"/>
    <x v="61"/>
    <x v="1143"/>
    <x v="17"/>
    <x v="17"/>
    <x v="1"/>
  </r>
  <r>
    <x v="4"/>
    <x v="0"/>
    <x v="619"/>
    <x v="3"/>
    <x v="8"/>
    <x v="39"/>
    <x v="3"/>
    <x v="44"/>
    <x v="62"/>
    <x v="904"/>
    <x v="41"/>
    <x v="41"/>
    <x v="1"/>
  </r>
  <r>
    <x v="4"/>
    <x v="0"/>
    <x v="648"/>
    <x v="3"/>
    <x v="8"/>
    <x v="39"/>
    <x v="2"/>
    <x v="40"/>
    <x v="82"/>
    <x v="1135"/>
    <x v="30"/>
    <x v="30"/>
    <x v="1"/>
  </r>
  <r>
    <x v="4"/>
    <x v="0"/>
    <x v="648"/>
    <x v="3"/>
    <x v="8"/>
    <x v="39"/>
    <x v="1"/>
    <x v="52"/>
    <x v="124"/>
    <x v="1974"/>
    <x v="24"/>
    <x v="24"/>
    <x v="1"/>
  </r>
  <r>
    <x v="4"/>
    <x v="0"/>
    <x v="648"/>
    <x v="3"/>
    <x v="8"/>
    <x v="39"/>
    <x v="5"/>
    <x v="48"/>
    <x v="93"/>
    <x v="1480"/>
    <x v="27"/>
    <x v="27"/>
    <x v="1"/>
  </r>
  <r>
    <x v="4"/>
    <x v="0"/>
    <x v="648"/>
    <x v="3"/>
    <x v="8"/>
    <x v="39"/>
    <x v="4"/>
    <x v="44"/>
    <x v="94"/>
    <x v="1387"/>
    <x v="27"/>
    <x v="27"/>
    <x v="1"/>
  </r>
  <r>
    <x v="4"/>
    <x v="0"/>
    <x v="648"/>
    <x v="3"/>
    <x v="8"/>
    <x v="39"/>
    <x v="0"/>
    <x v="52"/>
    <x v="80"/>
    <x v="1390"/>
    <x v="17"/>
    <x v="17"/>
    <x v="1"/>
  </r>
  <r>
    <x v="4"/>
    <x v="0"/>
    <x v="648"/>
    <x v="3"/>
    <x v="8"/>
    <x v="39"/>
    <x v="3"/>
    <x v="58"/>
    <x v="86"/>
    <x v="1619"/>
    <x v="44"/>
    <x v="44"/>
    <x v="1"/>
  </r>
  <r>
    <x v="4"/>
    <x v="0"/>
    <x v="679"/>
    <x v="3"/>
    <x v="8"/>
    <x v="39"/>
    <x v="2"/>
    <x v="45"/>
    <x v="147"/>
    <x v="2028"/>
    <x v="26"/>
    <x v="26"/>
    <x v="1"/>
  </r>
  <r>
    <x v="4"/>
    <x v="0"/>
    <x v="679"/>
    <x v="3"/>
    <x v="8"/>
    <x v="39"/>
    <x v="1"/>
    <x v="47"/>
    <x v="152"/>
    <x v="2125"/>
    <x v="24"/>
    <x v="24"/>
    <x v="1"/>
  </r>
  <r>
    <x v="4"/>
    <x v="0"/>
    <x v="679"/>
    <x v="3"/>
    <x v="8"/>
    <x v="39"/>
    <x v="5"/>
    <x v="46"/>
    <x v="127"/>
    <x v="1841"/>
    <x v="27"/>
    <x v="27"/>
    <x v="1"/>
  </r>
  <r>
    <x v="4"/>
    <x v="0"/>
    <x v="679"/>
    <x v="3"/>
    <x v="8"/>
    <x v="39"/>
    <x v="4"/>
    <x v="57"/>
    <x v="129"/>
    <x v="2154"/>
    <x v="29"/>
    <x v="29"/>
    <x v="1"/>
  </r>
  <r>
    <x v="4"/>
    <x v="0"/>
    <x v="679"/>
    <x v="3"/>
    <x v="8"/>
    <x v="39"/>
    <x v="0"/>
    <x v="70"/>
    <x v="104"/>
    <x v="2144"/>
    <x v="16"/>
    <x v="16"/>
    <x v="1"/>
  </r>
  <r>
    <x v="4"/>
    <x v="0"/>
    <x v="679"/>
    <x v="3"/>
    <x v="8"/>
    <x v="39"/>
    <x v="3"/>
    <x v="79"/>
    <x v="140"/>
    <x v="2631"/>
    <x v="45"/>
    <x v="45"/>
    <x v="1"/>
  </r>
  <r>
    <x v="4"/>
    <x v="0"/>
    <x v="708"/>
    <x v="3"/>
    <x v="8"/>
    <x v="39"/>
    <x v="2"/>
    <x v="65"/>
    <x v="186"/>
    <x v="2717"/>
    <x v="26"/>
    <x v="26"/>
    <x v="1"/>
  </r>
  <r>
    <x v="4"/>
    <x v="0"/>
    <x v="708"/>
    <x v="3"/>
    <x v="8"/>
    <x v="39"/>
    <x v="1"/>
    <x v="75"/>
    <x v="174"/>
    <x v="2754"/>
    <x v="21"/>
    <x v="21"/>
    <x v="1"/>
  </r>
  <r>
    <x v="5"/>
    <x v="0"/>
    <x v="708"/>
    <x v="3"/>
    <x v="8"/>
    <x v="39"/>
    <x v="5"/>
    <x v="68"/>
    <x v="151"/>
    <x v="2565"/>
    <x v="26"/>
    <x v="26"/>
    <x v="1"/>
  </r>
  <r>
    <x v="5"/>
    <x v="0"/>
    <x v="708"/>
    <x v="3"/>
    <x v="8"/>
    <x v="39"/>
    <x v="4"/>
    <x v="71"/>
    <x v="157"/>
    <x v="2642"/>
    <x v="27"/>
    <x v="27"/>
    <x v="1"/>
  </r>
  <r>
    <x v="5"/>
    <x v="0"/>
    <x v="708"/>
    <x v="3"/>
    <x v="8"/>
    <x v="39"/>
    <x v="0"/>
    <x v="79"/>
    <x v="127"/>
    <x v="2526"/>
    <x v="21"/>
    <x v="21"/>
    <x v="1"/>
  </r>
  <r>
    <x v="5"/>
    <x v="0"/>
    <x v="708"/>
    <x v="3"/>
    <x v="8"/>
    <x v="39"/>
    <x v="3"/>
    <x v="80"/>
    <x v="135"/>
    <x v="2599"/>
    <x v="41"/>
    <x v="41"/>
    <x v="1"/>
  </r>
  <r>
    <x v="5"/>
    <x v="1"/>
    <x v="370"/>
    <x v="3"/>
    <x v="8"/>
    <x v="39"/>
    <x v="2"/>
    <x v="34"/>
    <x v="215"/>
    <x v="2273"/>
    <x v="41"/>
    <x v="41"/>
    <x v="1"/>
  </r>
  <r>
    <x v="5"/>
    <x v="1"/>
    <x v="370"/>
    <x v="3"/>
    <x v="8"/>
    <x v="39"/>
    <x v="1"/>
    <x v="37"/>
    <x v="165"/>
    <x v="1944"/>
    <x v="33"/>
    <x v="33"/>
    <x v="1"/>
  </r>
  <r>
    <x v="5"/>
    <x v="1"/>
    <x v="370"/>
    <x v="3"/>
    <x v="8"/>
    <x v="39"/>
    <x v="5"/>
    <x v="25"/>
    <x v="147"/>
    <x v="1300"/>
    <x v="24"/>
    <x v="24"/>
    <x v="1"/>
  </r>
  <r>
    <x v="5"/>
    <x v="1"/>
    <x v="370"/>
    <x v="3"/>
    <x v="8"/>
    <x v="39"/>
    <x v="4"/>
    <x v="30"/>
    <x v="125"/>
    <x v="1292"/>
    <x v="27"/>
    <x v="27"/>
    <x v="1"/>
  </r>
  <r>
    <x v="5"/>
    <x v="1"/>
    <x v="370"/>
    <x v="3"/>
    <x v="8"/>
    <x v="39"/>
    <x v="0"/>
    <x v="44"/>
    <x v="143"/>
    <x v="1962"/>
    <x v="31"/>
    <x v="31"/>
    <x v="1"/>
  </r>
  <r>
    <x v="5"/>
    <x v="1"/>
    <x v="370"/>
    <x v="3"/>
    <x v="8"/>
    <x v="39"/>
    <x v="3"/>
    <x v="37"/>
    <x v="153"/>
    <x v="1831"/>
    <x v="51"/>
    <x v="51"/>
    <x v="1"/>
  </r>
  <r>
    <x v="5"/>
    <x v="1"/>
    <x v="399"/>
    <x v="3"/>
    <x v="8"/>
    <x v="39"/>
    <x v="2"/>
    <x v="37"/>
    <x v="200"/>
    <x v="2253"/>
    <x v="41"/>
    <x v="41"/>
    <x v="1"/>
  </r>
  <r>
    <x v="5"/>
    <x v="1"/>
    <x v="399"/>
    <x v="3"/>
    <x v="8"/>
    <x v="39"/>
    <x v="1"/>
    <x v="35"/>
    <x v="118"/>
    <x v="1393"/>
    <x v="35"/>
    <x v="35"/>
    <x v="1"/>
  </r>
  <r>
    <x v="5"/>
    <x v="1"/>
    <x v="399"/>
    <x v="3"/>
    <x v="8"/>
    <x v="39"/>
    <x v="5"/>
    <x v="26"/>
    <x v="151"/>
    <x v="1381"/>
    <x v="23"/>
    <x v="23"/>
    <x v="1"/>
  </r>
  <r>
    <x v="5"/>
    <x v="1"/>
    <x v="399"/>
    <x v="1"/>
    <x v="31"/>
    <x v="0"/>
    <x v="4"/>
    <x v="30"/>
    <x v="113"/>
    <x v="1190"/>
    <x v="28"/>
    <x v="28"/>
    <x v="1"/>
  </r>
  <r>
    <x v="5"/>
    <x v="1"/>
    <x v="399"/>
    <x v="1"/>
    <x v="31"/>
    <x v="0"/>
    <x v="0"/>
    <x v="43"/>
    <x v="133"/>
    <x v="1820"/>
    <x v="32"/>
    <x v="32"/>
    <x v="1"/>
  </r>
  <r>
    <x v="5"/>
    <x v="1"/>
    <x v="399"/>
    <x v="1"/>
    <x v="31"/>
    <x v="0"/>
    <x v="3"/>
    <x v="35"/>
    <x v="159"/>
    <x v="1806"/>
    <x v="50"/>
    <x v="50"/>
    <x v="1"/>
  </r>
  <r>
    <x v="5"/>
    <x v="1"/>
    <x v="425"/>
    <x v="1"/>
    <x v="31"/>
    <x v="0"/>
    <x v="2"/>
    <x v="37"/>
    <x v="213"/>
    <x v="2364"/>
    <x v="45"/>
    <x v="45"/>
    <x v="1"/>
  </r>
  <r>
    <x v="5"/>
    <x v="1"/>
    <x v="425"/>
    <x v="1"/>
    <x v="31"/>
    <x v="0"/>
    <x v="1"/>
    <x v="37"/>
    <x v="143"/>
    <x v="1727"/>
    <x v="32"/>
    <x v="32"/>
    <x v="1"/>
  </r>
  <r>
    <x v="5"/>
    <x v="1"/>
    <x v="425"/>
    <x v="1"/>
    <x v="31"/>
    <x v="0"/>
    <x v="5"/>
    <x v="26"/>
    <x v="139"/>
    <x v="1280"/>
    <x v="22"/>
    <x v="22"/>
    <x v="1"/>
  </r>
  <r>
    <x v="5"/>
    <x v="1"/>
    <x v="425"/>
    <x v="1"/>
    <x v="31"/>
    <x v="0"/>
    <x v="4"/>
    <x v="32"/>
    <x v="88"/>
    <x v="986"/>
    <x v="27"/>
    <x v="27"/>
    <x v="1"/>
  </r>
  <r>
    <x v="5"/>
    <x v="1"/>
    <x v="425"/>
    <x v="1"/>
    <x v="31"/>
    <x v="0"/>
    <x v="0"/>
    <x v="44"/>
    <x v="113"/>
    <x v="1624"/>
    <x v="35"/>
    <x v="35"/>
    <x v="1"/>
  </r>
  <r>
    <x v="5"/>
    <x v="1"/>
    <x v="425"/>
    <x v="1"/>
    <x v="31"/>
    <x v="0"/>
    <x v="3"/>
    <x v="36"/>
    <x v="139"/>
    <x v="1659"/>
    <x v="46"/>
    <x v="46"/>
    <x v="1"/>
  </r>
  <r>
    <x v="5"/>
    <x v="1"/>
    <x v="457"/>
    <x v="1"/>
    <x v="31"/>
    <x v="0"/>
    <x v="2"/>
    <x v="35"/>
    <x v="211"/>
    <x v="2268"/>
    <x v="42"/>
    <x v="42"/>
    <x v="1"/>
  </r>
  <r>
    <x v="5"/>
    <x v="1"/>
    <x v="457"/>
    <x v="1"/>
    <x v="31"/>
    <x v="0"/>
    <x v="1"/>
    <x v="36"/>
    <x v="127"/>
    <x v="1521"/>
    <x v="31"/>
    <x v="31"/>
    <x v="1"/>
  </r>
  <r>
    <x v="5"/>
    <x v="1"/>
    <x v="457"/>
    <x v="1"/>
    <x v="31"/>
    <x v="0"/>
    <x v="5"/>
    <x v="27"/>
    <x v="131"/>
    <x v="1246"/>
    <x v="22"/>
    <x v="22"/>
    <x v="1"/>
  </r>
  <r>
    <x v="5"/>
    <x v="1"/>
    <x v="457"/>
    <x v="1"/>
    <x v="31"/>
    <x v="0"/>
    <x v="4"/>
    <x v="30"/>
    <x v="115"/>
    <x v="1206"/>
    <x v="27"/>
    <x v="27"/>
    <x v="1"/>
  </r>
  <r>
    <x v="5"/>
    <x v="1"/>
    <x v="457"/>
    <x v="1"/>
    <x v="31"/>
    <x v="0"/>
    <x v="0"/>
    <x v="43"/>
    <x v="104"/>
    <x v="1488"/>
    <x v="33"/>
    <x v="33"/>
    <x v="1"/>
  </r>
  <r>
    <x v="5"/>
    <x v="1"/>
    <x v="457"/>
    <x v="1"/>
    <x v="31"/>
    <x v="0"/>
    <x v="3"/>
    <x v="34"/>
    <x v="135"/>
    <x v="1540"/>
    <x v="51"/>
    <x v="51"/>
    <x v="1"/>
  </r>
  <r>
    <x v="5"/>
    <x v="1"/>
    <x v="486"/>
    <x v="1"/>
    <x v="31"/>
    <x v="0"/>
    <x v="2"/>
    <x v="43"/>
    <x v="221"/>
    <x v="2565"/>
    <x v="46"/>
    <x v="46"/>
    <x v="1"/>
  </r>
  <r>
    <x v="5"/>
    <x v="1"/>
    <x v="486"/>
    <x v="1"/>
    <x v="31"/>
    <x v="0"/>
    <x v="1"/>
    <x v="46"/>
    <x v="139"/>
    <x v="1983"/>
    <x v="33"/>
    <x v="33"/>
    <x v="1"/>
  </r>
  <r>
    <x v="5"/>
    <x v="1"/>
    <x v="486"/>
    <x v="1"/>
    <x v="31"/>
    <x v="0"/>
    <x v="5"/>
    <x v="42"/>
    <x v="138"/>
    <x v="1851"/>
    <x v="22"/>
    <x v="22"/>
    <x v="1"/>
  </r>
  <r>
    <x v="5"/>
    <x v="1"/>
    <x v="486"/>
    <x v="1"/>
    <x v="31"/>
    <x v="0"/>
    <x v="4"/>
    <x v="40"/>
    <x v="110"/>
    <x v="1468"/>
    <x v="26"/>
    <x v="26"/>
    <x v="1"/>
  </r>
  <r>
    <x v="5"/>
    <x v="1"/>
    <x v="486"/>
    <x v="1"/>
    <x v="31"/>
    <x v="0"/>
    <x v="0"/>
    <x v="49"/>
    <x v="117"/>
    <x v="1813"/>
    <x v="35"/>
    <x v="35"/>
    <x v="1"/>
  </r>
  <r>
    <x v="5"/>
    <x v="1"/>
    <x v="486"/>
    <x v="1"/>
    <x v="31"/>
    <x v="0"/>
    <x v="3"/>
    <x v="52"/>
    <x v="147"/>
    <x v="2201"/>
    <x v="49"/>
    <x v="49"/>
    <x v="1"/>
  </r>
  <r>
    <x v="5"/>
    <x v="1"/>
    <x v="519"/>
    <x v="1"/>
    <x v="31"/>
    <x v="0"/>
    <x v="2"/>
    <x v="52"/>
    <x v="222"/>
    <x v="2715"/>
    <x v="42"/>
    <x v="42"/>
    <x v="1"/>
  </r>
  <r>
    <x v="5"/>
    <x v="1"/>
    <x v="519"/>
    <x v="1"/>
    <x v="31"/>
    <x v="0"/>
    <x v="1"/>
    <x v="47"/>
    <x v="152"/>
    <x v="2125"/>
    <x v="34"/>
    <x v="34"/>
    <x v="1"/>
  </r>
  <r>
    <x v="5"/>
    <x v="1"/>
    <x v="519"/>
    <x v="1"/>
    <x v="31"/>
    <x v="0"/>
    <x v="5"/>
    <x v="41"/>
    <x v="129"/>
    <x v="1716"/>
    <x v="24"/>
    <x v="24"/>
    <x v="1"/>
  </r>
  <r>
    <x v="5"/>
    <x v="1"/>
    <x v="519"/>
    <x v="1"/>
    <x v="31"/>
    <x v="0"/>
    <x v="4"/>
    <x v="42"/>
    <x v="124"/>
    <x v="1687"/>
    <x v="27"/>
    <x v="27"/>
    <x v="1"/>
  </r>
  <r>
    <x v="5"/>
    <x v="1"/>
    <x v="519"/>
    <x v="1"/>
    <x v="31"/>
    <x v="0"/>
    <x v="0"/>
    <x v="55"/>
    <x v="129"/>
    <x v="2104"/>
    <x v="35"/>
    <x v="35"/>
    <x v="1"/>
  </r>
  <r>
    <x v="5"/>
    <x v="1"/>
    <x v="519"/>
    <x v="1"/>
    <x v="31"/>
    <x v="0"/>
    <x v="3"/>
    <x v="62"/>
    <x v="158"/>
    <x v="2512"/>
    <x v="48"/>
    <x v="48"/>
    <x v="1"/>
  </r>
  <r>
    <x v="5"/>
    <x v="1"/>
    <x v="547"/>
    <x v="1"/>
    <x v="31"/>
    <x v="0"/>
    <x v="2"/>
    <x v="52"/>
    <x v="210"/>
    <x v="2668"/>
    <x v="41"/>
    <x v="41"/>
    <x v="1"/>
  </r>
  <r>
    <x v="5"/>
    <x v="1"/>
    <x v="547"/>
    <x v="1"/>
    <x v="31"/>
    <x v="0"/>
    <x v="1"/>
    <x v="49"/>
    <x v="172"/>
    <x v="2344"/>
    <x v="31"/>
    <x v="31"/>
    <x v="1"/>
  </r>
  <r>
    <x v="5"/>
    <x v="1"/>
    <x v="547"/>
    <x v="1"/>
    <x v="31"/>
    <x v="0"/>
    <x v="5"/>
    <x v="44"/>
    <x v="147"/>
    <x v="1995"/>
    <x v="21"/>
    <x v="21"/>
    <x v="1"/>
  </r>
  <r>
    <x v="5"/>
    <x v="1"/>
    <x v="547"/>
    <x v="1"/>
    <x v="31"/>
    <x v="0"/>
    <x v="4"/>
    <x v="46"/>
    <x v="129"/>
    <x v="1871"/>
    <x v="29"/>
    <x v="29"/>
    <x v="1"/>
  </r>
  <r>
    <x v="5"/>
    <x v="1"/>
    <x v="547"/>
    <x v="1"/>
    <x v="31"/>
    <x v="0"/>
    <x v="0"/>
    <x v="55"/>
    <x v="146"/>
    <x v="2268"/>
    <x v="32"/>
    <x v="32"/>
    <x v="1"/>
  </r>
  <r>
    <x v="5"/>
    <x v="1"/>
    <x v="547"/>
    <x v="1"/>
    <x v="31"/>
    <x v="0"/>
    <x v="3"/>
    <x v="59"/>
    <x v="170"/>
    <x v="2541"/>
    <x v="51"/>
    <x v="51"/>
    <x v="1"/>
  </r>
  <r>
    <x v="5"/>
    <x v="1"/>
    <x v="579"/>
    <x v="1"/>
    <x v="31"/>
    <x v="0"/>
    <x v="2"/>
    <x v="55"/>
    <x v="212"/>
    <x v="2712"/>
    <x v="42"/>
    <x v="42"/>
    <x v="1"/>
  </r>
  <r>
    <x v="5"/>
    <x v="1"/>
    <x v="579"/>
    <x v="1"/>
    <x v="31"/>
    <x v="0"/>
    <x v="1"/>
    <x v="48"/>
    <x v="183"/>
    <x v="2415"/>
    <x v="31"/>
    <x v="31"/>
    <x v="1"/>
  </r>
  <r>
    <x v="5"/>
    <x v="1"/>
    <x v="579"/>
    <x v="1"/>
    <x v="31"/>
    <x v="0"/>
    <x v="5"/>
    <x v="44"/>
    <x v="164"/>
    <x v="2152"/>
    <x v="22"/>
    <x v="22"/>
    <x v="1"/>
  </r>
  <r>
    <x v="5"/>
    <x v="1"/>
    <x v="579"/>
    <x v="1"/>
    <x v="31"/>
    <x v="0"/>
    <x v="4"/>
    <x v="34"/>
    <x v="129"/>
    <x v="1476"/>
    <x v="26"/>
    <x v="26"/>
    <x v="1"/>
  </r>
  <r>
    <x v="5"/>
    <x v="1"/>
    <x v="579"/>
    <x v="1"/>
    <x v="31"/>
    <x v="0"/>
    <x v="0"/>
    <x v="45"/>
    <x v="128"/>
    <x v="1832"/>
    <x v="34"/>
    <x v="34"/>
    <x v="1"/>
  </r>
  <r>
    <x v="5"/>
    <x v="1"/>
    <x v="579"/>
    <x v="1"/>
    <x v="31"/>
    <x v="0"/>
    <x v="3"/>
    <x v="48"/>
    <x v="188"/>
    <x v="2466"/>
    <x v="46"/>
    <x v="46"/>
    <x v="1"/>
  </r>
  <r>
    <x v="5"/>
    <x v="1"/>
    <x v="609"/>
    <x v="1"/>
    <x v="31"/>
    <x v="0"/>
    <x v="2"/>
    <x v="43"/>
    <x v="202"/>
    <x v="2455"/>
    <x v="45"/>
    <x v="45"/>
    <x v="1"/>
  </r>
  <r>
    <x v="5"/>
    <x v="1"/>
    <x v="609"/>
    <x v="1"/>
    <x v="31"/>
    <x v="0"/>
    <x v="1"/>
    <x v="41"/>
    <x v="141"/>
    <x v="1847"/>
    <x v="31"/>
    <x v="31"/>
    <x v="1"/>
  </r>
  <r>
    <x v="5"/>
    <x v="1"/>
    <x v="609"/>
    <x v="1"/>
    <x v="31"/>
    <x v="0"/>
    <x v="5"/>
    <x v="34"/>
    <x v="118"/>
    <x v="1364"/>
    <x v="21"/>
    <x v="21"/>
    <x v="1"/>
  </r>
  <r>
    <x v="5"/>
    <x v="1"/>
    <x v="609"/>
    <x v="1"/>
    <x v="31"/>
    <x v="0"/>
    <x v="4"/>
    <x v="37"/>
    <x v="117"/>
    <x v="1450"/>
    <x v="27"/>
    <x v="27"/>
    <x v="1"/>
  </r>
  <r>
    <x v="5"/>
    <x v="1"/>
    <x v="609"/>
    <x v="1"/>
    <x v="31"/>
    <x v="0"/>
    <x v="0"/>
    <x v="44"/>
    <x v="111"/>
    <x v="1607"/>
    <x v="34"/>
    <x v="34"/>
    <x v="1"/>
  </r>
  <r>
    <x v="5"/>
    <x v="1"/>
    <x v="609"/>
    <x v="1"/>
    <x v="31"/>
    <x v="0"/>
    <x v="3"/>
    <x v="52"/>
    <x v="135"/>
    <x v="2091"/>
    <x v="46"/>
    <x v="46"/>
    <x v="1"/>
  </r>
  <r>
    <x v="5"/>
    <x v="1"/>
    <x v="641"/>
    <x v="1"/>
    <x v="31"/>
    <x v="0"/>
    <x v="2"/>
    <x v="50"/>
    <x v="181"/>
    <x v="2448"/>
    <x v="43"/>
    <x v="43"/>
    <x v="1"/>
  </r>
  <r>
    <x v="5"/>
    <x v="1"/>
    <x v="641"/>
    <x v="1"/>
    <x v="31"/>
    <x v="0"/>
    <x v="1"/>
    <x v="39"/>
    <x v="135"/>
    <x v="1711"/>
    <x v="32"/>
    <x v="32"/>
    <x v="1"/>
  </r>
  <r>
    <x v="5"/>
    <x v="1"/>
    <x v="641"/>
    <x v="1"/>
    <x v="31"/>
    <x v="0"/>
    <x v="5"/>
    <x v="39"/>
    <x v="117"/>
    <x v="1517"/>
    <x v="26"/>
    <x v="26"/>
    <x v="1"/>
  </r>
  <r>
    <x v="5"/>
    <x v="1"/>
    <x v="641"/>
    <x v="1"/>
    <x v="31"/>
    <x v="0"/>
    <x v="4"/>
    <x v="38"/>
    <x v="115"/>
    <x v="1458"/>
    <x v="27"/>
    <x v="27"/>
    <x v="1"/>
  </r>
  <r>
    <x v="5"/>
    <x v="1"/>
    <x v="641"/>
    <x v="1"/>
    <x v="31"/>
    <x v="0"/>
    <x v="0"/>
    <x v="52"/>
    <x v="129"/>
    <x v="2041"/>
    <x v="33"/>
    <x v="33"/>
    <x v="1"/>
  </r>
  <r>
    <x v="5"/>
    <x v="1"/>
    <x v="641"/>
    <x v="1"/>
    <x v="31"/>
    <x v="0"/>
    <x v="3"/>
    <x v="57"/>
    <x v="135"/>
    <x v="2203"/>
    <x v="48"/>
    <x v="48"/>
    <x v="1"/>
  </r>
  <r>
    <x v="5"/>
    <x v="1"/>
    <x v="671"/>
    <x v="1"/>
    <x v="31"/>
    <x v="0"/>
    <x v="2"/>
    <x v="49"/>
    <x v="187"/>
    <x v="2483"/>
    <x v="41"/>
    <x v="41"/>
    <x v="1"/>
  </r>
  <r>
    <x v="5"/>
    <x v="1"/>
    <x v="671"/>
    <x v="1"/>
    <x v="31"/>
    <x v="0"/>
    <x v="1"/>
    <x v="42"/>
    <x v="140"/>
    <x v="1869"/>
    <x v="35"/>
    <x v="35"/>
    <x v="1"/>
  </r>
  <r>
    <x v="5"/>
    <x v="1"/>
    <x v="671"/>
    <x v="1"/>
    <x v="31"/>
    <x v="0"/>
    <x v="5"/>
    <x v="38"/>
    <x v="127"/>
    <x v="1592"/>
    <x v="22"/>
    <x v="22"/>
    <x v="1"/>
  </r>
  <r>
    <x v="5"/>
    <x v="1"/>
    <x v="671"/>
    <x v="1"/>
    <x v="31"/>
    <x v="0"/>
    <x v="4"/>
    <x v="40"/>
    <x v="124"/>
    <x v="1622"/>
    <x v="26"/>
    <x v="26"/>
    <x v="1"/>
  </r>
  <r>
    <x v="5"/>
    <x v="1"/>
    <x v="671"/>
    <x v="1"/>
    <x v="31"/>
    <x v="0"/>
    <x v="0"/>
    <x v="55"/>
    <x v="133"/>
    <x v="2144"/>
    <x v="31"/>
    <x v="31"/>
    <x v="1"/>
  </r>
  <r>
    <x v="5"/>
    <x v="1"/>
    <x v="671"/>
    <x v="1"/>
    <x v="31"/>
    <x v="0"/>
    <x v="3"/>
    <x v="61"/>
    <x v="153"/>
    <x v="2462"/>
    <x v="50"/>
    <x v="50"/>
    <x v="1"/>
  </r>
  <r>
    <x v="5"/>
    <x v="1"/>
    <x v="700"/>
    <x v="1"/>
    <x v="31"/>
    <x v="0"/>
    <x v="2"/>
    <x v="52"/>
    <x v="208"/>
    <x v="2662"/>
    <x v="44"/>
    <x v="44"/>
    <x v="1"/>
  </r>
  <r>
    <x v="5"/>
    <x v="1"/>
    <x v="700"/>
    <x v="1"/>
    <x v="31"/>
    <x v="0"/>
    <x v="1"/>
    <x v="44"/>
    <x v="147"/>
    <x v="1995"/>
    <x v="36"/>
    <x v="36"/>
    <x v="1"/>
  </r>
  <r>
    <x v="2"/>
    <x v="1"/>
    <x v="700"/>
    <x v="1"/>
    <x v="31"/>
    <x v="0"/>
    <x v="5"/>
    <x v="45"/>
    <x v="141"/>
    <x v="1971"/>
    <x v="25"/>
    <x v="25"/>
    <x v="1"/>
  </r>
  <r>
    <x v="2"/>
    <x v="1"/>
    <x v="700"/>
    <x v="1"/>
    <x v="31"/>
    <x v="0"/>
    <x v="4"/>
    <x v="47"/>
    <x v="134"/>
    <x v="1952"/>
    <x v="27"/>
    <x v="27"/>
    <x v="1"/>
  </r>
  <r>
    <x v="2"/>
    <x v="1"/>
    <x v="700"/>
    <x v="1"/>
    <x v="31"/>
    <x v="0"/>
    <x v="0"/>
    <x v="53"/>
    <x v="134"/>
    <x v="2104"/>
    <x v="32"/>
    <x v="32"/>
    <x v="1"/>
  </r>
  <r>
    <x v="2"/>
    <x v="1"/>
    <x v="700"/>
    <x v="1"/>
    <x v="31"/>
    <x v="0"/>
    <x v="3"/>
    <x v="62"/>
    <x v="159"/>
    <x v="2519"/>
    <x v="50"/>
    <x v="50"/>
    <x v="1"/>
  </r>
  <r>
    <x v="2"/>
    <x v="1"/>
    <x v="372"/>
    <x v="1"/>
    <x v="31"/>
    <x v="0"/>
    <x v="2"/>
    <x v="32"/>
    <x v="186"/>
    <x v="1964"/>
    <x v="49"/>
    <x v="49"/>
    <x v="1"/>
  </r>
  <r>
    <x v="2"/>
    <x v="1"/>
    <x v="372"/>
    <x v="1"/>
    <x v="31"/>
    <x v="0"/>
    <x v="1"/>
    <x v="32"/>
    <x v="135"/>
    <x v="1461"/>
    <x v="31"/>
    <x v="31"/>
    <x v="1"/>
  </r>
  <r>
    <x v="2"/>
    <x v="1"/>
    <x v="372"/>
    <x v="1"/>
    <x v="31"/>
    <x v="0"/>
    <x v="5"/>
    <x v="22"/>
    <x v="146"/>
    <x v="1174"/>
    <x v="34"/>
    <x v="34"/>
    <x v="1"/>
  </r>
  <r>
    <x v="2"/>
    <x v="1"/>
    <x v="372"/>
    <x v="1"/>
    <x v="31"/>
    <x v="0"/>
    <x v="4"/>
    <x v="27"/>
    <x v="111"/>
    <x v="1072"/>
    <x v="33"/>
    <x v="33"/>
    <x v="1"/>
  </r>
  <r>
    <x v="2"/>
    <x v="1"/>
    <x v="372"/>
    <x v="1"/>
    <x v="31"/>
    <x v="0"/>
    <x v="0"/>
    <x v="42"/>
    <x v="125"/>
    <x v="1698"/>
    <x v="31"/>
    <x v="31"/>
    <x v="1"/>
  </r>
  <r>
    <x v="2"/>
    <x v="1"/>
    <x v="372"/>
    <x v="1"/>
    <x v="31"/>
    <x v="0"/>
    <x v="3"/>
    <x v="31"/>
    <x v="135"/>
    <x v="1422"/>
    <x v="26"/>
    <x v="26"/>
    <x v="1"/>
  </r>
  <r>
    <x v="2"/>
    <x v="1"/>
    <x v="401"/>
    <x v="1"/>
    <x v="31"/>
    <x v="0"/>
    <x v="2"/>
    <x v="30"/>
    <x v="202"/>
    <x v="2032"/>
    <x v="47"/>
    <x v="47"/>
    <x v="1"/>
  </r>
  <r>
    <x v="2"/>
    <x v="1"/>
    <x v="401"/>
    <x v="1"/>
    <x v="31"/>
    <x v="0"/>
    <x v="1"/>
    <x v="30"/>
    <x v="125"/>
    <x v="1292"/>
    <x v="27"/>
    <x v="27"/>
    <x v="1"/>
  </r>
  <r>
    <x v="2"/>
    <x v="1"/>
    <x v="401"/>
    <x v="1"/>
    <x v="31"/>
    <x v="0"/>
    <x v="5"/>
    <x v="22"/>
    <x v="123"/>
    <x v="990"/>
    <x v="35"/>
    <x v="35"/>
    <x v="1"/>
  </r>
  <r>
    <x v="2"/>
    <x v="1"/>
    <x v="401"/>
    <x v="4"/>
    <x v="49"/>
    <x v="12"/>
    <x v="4"/>
    <x v="25"/>
    <x v="103"/>
    <x v="939"/>
    <x v="34"/>
    <x v="34"/>
    <x v="1"/>
  </r>
  <r>
    <x v="2"/>
    <x v="1"/>
    <x v="401"/>
    <x v="4"/>
    <x v="49"/>
    <x v="12"/>
    <x v="0"/>
    <x v="40"/>
    <x v="125"/>
    <x v="1631"/>
    <x v="27"/>
    <x v="27"/>
    <x v="1"/>
  </r>
  <r>
    <x v="2"/>
    <x v="1"/>
    <x v="401"/>
    <x v="4"/>
    <x v="49"/>
    <x v="12"/>
    <x v="3"/>
    <x v="31"/>
    <x v="151"/>
    <x v="1591"/>
    <x v="25"/>
    <x v="25"/>
    <x v="1"/>
  </r>
  <r>
    <x v="2"/>
    <x v="1"/>
    <x v="427"/>
    <x v="4"/>
    <x v="49"/>
    <x v="12"/>
    <x v="2"/>
    <x v="31"/>
    <x v="209"/>
    <x v="2108"/>
    <x v="46"/>
    <x v="46"/>
    <x v="1"/>
  </r>
  <r>
    <x v="2"/>
    <x v="1"/>
    <x v="427"/>
    <x v="4"/>
    <x v="49"/>
    <x v="12"/>
    <x v="1"/>
    <x v="30"/>
    <x v="111"/>
    <x v="1167"/>
    <x v="30"/>
    <x v="30"/>
    <x v="1"/>
  </r>
  <r>
    <x v="2"/>
    <x v="1"/>
    <x v="427"/>
    <x v="4"/>
    <x v="49"/>
    <x v="12"/>
    <x v="5"/>
    <x v="20"/>
    <x v="128"/>
    <x v="961"/>
    <x v="31"/>
    <x v="31"/>
    <x v="1"/>
  </r>
  <r>
    <x v="2"/>
    <x v="1"/>
    <x v="427"/>
    <x v="4"/>
    <x v="49"/>
    <x v="12"/>
    <x v="4"/>
    <x v="26"/>
    <x v="93"/>
    <x v="874"/>
    <x v="33"/>
    <x v="33"/>
    <x v="1"/>
  </r>
  <r>
    <x v="2"/>
    <x v="1"/>
    <x v="427"/>
    <x v="4"/>
    <x v="49"/>
    <x v="12"/>
    <x v="0"/>
    <x v="40"/>
    <x v="106"/>
    <x v="1421"/>
    <x v="31"/>
    <x v="31"/>
    <x v="1"/>
  </r>
  <r>
    <x v="2"/>
    <x v="1"/>
    <x v="427"/>
    <x v="4"/>
    <x v="49"/>
    <x v="12"/>
    <x v="3"/>
    <x v="30"/>
    <x v="143"/>
    <x v="1466"/>
    <x v="23"/>
    <x v="23"/>
    <x v="1"/>
  </r>
  <r>
    <x v="2"/>
    <x v="1"/>
    <x v="459"/>
    <x v="4"/>
    <x v="49"/>
    <x v="12"/>
    <x v="2"/>
    <x v="32"/>
    <x v="181"/>
    <x v="1907"/>
    <x v="48"/>
    <x v="48"/>
    <x v="1"/>
  </r>
  <r>
    <x v="2"/>
    <x v="1"/>
    <x v="459"/>
    <x v="4"/>
    <x v="49"/>
    <x v="12"/>
    <x v="1"/>
    <x v="32"/>
    <x v="120"/>
    <x v="1313"/>
    <x v="31"/>
    <x v="31"/>
    <x v="1"/>
  </r>
  <r>
    <x v="2"/>
    <x v="1"/>
    <x v="459"/>
    <x v="4"/>
    <x v="49"/>
    <x v="12"/>
    <x v="5"/>
    <x v="21"/>
    <x v="125"/>
    <x v="971"/>
    <x v="32"/>
    <x v="32"/>
    <x v="1"/>
  </r>
  <r>
    <x v="2"/>
    <x v="1"/>
    <x v="459"/>
    <x v="4"/>
    <x v="49"/>
    <x v="12"/>
    <x v="4"/>
    <x v="26"/>
    <x v="100"/>
    <x v="937"/>
    <x v="33"/>
    <x v="33"/>
    <x v="1"/>
  </r>
  <r>
    <x v="2"/>
    <x v="1"/>
    <x v="459"/>
    <x v="4"/>
    <x v="49"/>
    <x v="12"/>
    <x v="0"/>
    <x v="40"/>
    <x v="88"/>
    <x v="1203"/>
    <x v="28"/>
    <x v="28"/>
    <x v="1"/>
  </r>
  <r>
    <x v="2"/>
    <x v="1"/>
    <x v="459"/>
    <x v="4"/>
    <x v="49"/>
    <x v="12"/>
    <x v="3"/>
    <x v="29"/>
    <x v="128"/>
    <x v="1291"/>
    <x v="21"/>
    <x v="21"/>
    <x v="1"/>
  </r>
  <r>
    <x v="2"/>
    <x v="1"/>
    <x v="488"/>
    <x v="4"/>
    <x v="49"/>
    <x v="12"/>
    <x v="2"/>
    <x v="38"/>
    <x v="209"/>
    <x v="2361"/>
    <x v="51"/>
    <x v="51"/>
    <x v="1"/>
  </r>
  <r>
    <x v="2"/>
    <x v="1"/>
    <x v="488"/>
    <x v="4"/>
    <x v="49"/>
    <x v="12"/>
    <x v="1"/>
    <x v="34"/>
    <x v="131"/>
    <x v="1496"/>
    <x v="26"/>
    <x v="26"/>
    <x v="1"/>
  </r>
  <r>
    <x v="2"/>
    <x v="1"/>
    <x v="488"/>
    <x v="4"/>
    <x v="49"/>
    <x v="12"/>
    <x v="5"/>
    <x v="32"/>
    <x v="125"/>
    <x v="1363"/>
    <x v="35"/>
    <x v="35"/>
    <x v="1"/>
  </r>
  <r>
    <x v="2"/>
    <x v="1"/>
    <x v="488"/>
    <x v="4"/>
    <x v="49"/>
    <x v="12"/>
    <x v="4"/>
    <x v="32"/>
    <x v="111"/>
    <x v="1232"/>
    <x v="36"/>
    <x v="36"/>
    <x v="1"/>
  </r>
  <r>
    <x v="2"/>
    <x v="1"/>
    <x v="488"/>
    <x v="4"/>
    <x v="49"/>
    <x v="12"/>
    <x v="0"/>
    <x v="38"/>
    <x v="113"/>
    <x v="1438"/>
    <x v="28"/>
    <x v="28"/>
    <x v="1"/>
  </r>
  <r>
    <x v="2"/>
    <x v="1"/>
    <x v="488"/>
    <x v="4"/>
    <x v="49"/>
    <x v="12"/>
    <x v="3"/>
    <x v="45"/>
    <x v="135"/>
    <x v="1907"/>
    <x v="26"/>
    <x v="26"/>
    <x v="1"/>
  </r>
  <r>
    <x v="2"/>
    <x v="1"/>
    <x v="521"/>
    <x v="4"/>
    <x v="49"/>
    <x v="12"/>
    <x v="2"/>
    <x v="39"/>
    <x v="210"/>
    <x v="2396"/>
    <x v="49"/>
    <x v="49"/>
    <x v="1"/>
  </r>
  <r>
    <x v="2"/>
    <x v="1"/>
    <x v="521"/>
    <x v="4"/>
    <x v="49"/>
    <x v="12"/>
    <x v="1"/>
    <x v="35"/>
    <x v="146"/>
    <x v="1687"/>
    <x v="27"/>
    <x v="27"/>
    <x v="1"/>
  </r>
  <r>
    <x v="2"/>
    <x v="1"/>
    <x v="521"/>
    <x v="4"/>
    <x v="49"/>
    <x v="12"/>
    <x v="5"/>
    <x v="31"/>
    <x v="111"/>
    <x v="1202"/>
    <x v="31"/>
    <x v="31"/>
    <x v="1"/>
  </r>
  <r>
    <x v="2"/>
    <x v="1"/>
    <x v="521"/>
    <x v="4"/>
    <x v="49"/>
    <x v="12"/>
    <x v="4"/>
    <x v="31"/>
    <x v="120"/>
    <x v="1281"/>
    <x v="33"/>
    <x v="33"/>
    <x v="1"/>
  </r>
  <r>
    <x v="2"/>
    <x v="1"/>
    <x v="521"/>
    <x v="4"/>
    <x v="49"/>
    <x v="12"/>
    <x v="0"/>
    <x v="42"/>
    <x v="115"/>
    <x v="1592"/>
    <x v="30"/>
    <x v="30"/>
    <x v="1"/>
  </r>
  <r>
    <x v="2"/>
    <x v="1"/>
    <x v="521"/>
    <x v="4"/>
    <x v="49"/>
    <x v="12"/>
    <x v="3"/>
    <x v="43"/>
    <x v="141"/>
    <x v="1911"/>
    <x v="23"/>
    <x v="23"/>
    <x v="1"/>
  </r>
  <r>
    <x v="2"/>
    <x v="1"/>
    <x v="549"/>
    <x v="4"/>
    <x v="49"/>
    <x v="12"/>
    <x v="2"/>
    <x v="41"/>
    <x v="195"/>
    <x v="2339"/>
    <x v="50"/>
    <x v="50"/>
    <x v="1"/>
  </r>
  <r>
    <x v="2"/>
    <x v="1"/>
    <x v="549"/>
    <x v="4"/>
    <x v="49"/>
    <x v="12"/>
    <x v="1"/>
    <x v="37"/>
    <x v="141"/>
    <x v="1710"/>
    <x v="29"/>
    <x v="29"/>
    <x v="1"/>
  </r>
  <r>
    <x v="2"/>
    <x v="1"/>
    <x v="549"/>
    <x v="4"/>
    <x v="49"/>
    <x v="12"/>
    <x v="5"/>
    <x v="31"/>
    <x v="128"/>
    <x v="1366"/>
    <x v="34"/>
    <x v="34"/>
    <x v="1"/>
  </r>
  <r>
    <x v="2"/>
    <x v="1"/>
    <x v="549"/>
    <x v="4"/>
    <x v="49"/>
    <x v="12"/>
    <x v="4"/>
    <x v="32"/>
    <x v="129"/>
    <x v="1404"/>
    <x v="33"/>
    <x v="33"/>
    <x v="1"/>
  </r>
  <r>
    <x v="2"/>
    <x v="1"/>
    <x v="549"/>
    <x v="4"/>
    <x v="49"/>
    <x v="12"/>
    <x v="0"/>
    <x v="41"/>
    <x v="117"/>
    <x v="1583"/>
    <x v="28"/>
    <x v="28"/>
    <x v="1"/>
  </r>
  <r>
    <x v="2"/>
    <x v="1"/>
    <x v="549"/>
    <x v="4"/>
    <x v="49"/>
    <x v="12"/>
    <x v="3"/>
    <x v="44"/>
    <x v="172"/>
    <x v="2205"/>
    <x v="22"/>
    <x v="22"/>
    <x v="1"/>
  </r>
  <r>
    <x v="2"/>
    <x v="1"/>
    <x v="581"/>
    <x v="4"/>
    <x v="49"/>
    <x v="12"/>
    <x v="2"/>
    <x v="40"/>
    <x v="215"/>
    <x v="2464"/>
    <x v="50"/>
    <x v="50"/>
    <x v="1"/>
  </r>
  <r>
    <x v="2"/>
    <x v="1"/>
    <x v="581"/>
    <x v="4"/>
    <x v="49"/>
    <x v="12"/>
    <x v="1"/>
    <x v="36"/>
    <x v="141"/>
    <x v="1677"/>
    <x v="27"/>
    <x v="27"/>
    <x v="1"/>
  </r>
  <r>
    <x v="2"/>
    <x v="1"/>
    <x v="581"/>
    <x v="4"/>
    <x v="49"/>
    <x v="12"/>
    <x v="5"/>
    <x v="31"/>
    <x v="123"/>
    <x v="1306"/>
    <x v="31"/>
    <x v="31"/>
    <x v="1"/>
  </r>
  <r>
    <x v="2"/>
    <x v="1"/>
    <x v="581"/>
    <x v="4"/>
    <x v="49"/>
    <x v="12"/>
    <x v="4"/>
    <x v="31"/>
    <x v="127"/>
    <x v="1345"/>
    <x v="35"/>
    <x v="35"/>
    <x v="1"/>
  </r>
  <r>
    <x v="2"/>
    <x v="1"/>
    <x v="581"/>
    <x v="4"/>
    <x v="49"/>
    <x v="12"/>
    <x v="0"/>
    <x v="40"/>
    <x v="120"/>
    <x v="1586"/>
    <x v="27"/>
    <x v="27"/>
    <x v="1"/>
  </r>
  <r>
    <x v="2"/>
    <x v="1"/>
    <x v="581"/>
    <x v="4"/>
    <x v="49"/>
    <x v="12"/>
    <x v="3"/>
    <x v="45"/>
    <x v="172"/>
    <x v="2235"/>
    <x v="26"/>
    <x v="26"/>
    <x v="1"/>
  </r>
  <r>
    <x v="2"/>
    <x v="1"/>
    <x v="611"/>
    <x v="4"/>
    <x v="49"/>
    <x v="12"/>
    <x v="2"/>
    <x v="41"/>
    <x v="181"/>
    <x v="2203"/>
    <x v="50"/>
    <x v="50"/>
    <x v="1"/>
  </r>
  <r>
    <x v="2"/>
    <x v="1"/>
    <x v="611"/>
    <x v="4"/>
    <x v="49"/>
    <x v="12"/>
    <x v="1"/>
    <x v="37"/>
    <x v="129"/>
    <x v="1589"/>
    <x v="29"/>
    <x v="29"/>
    <x v="1"/>
  </r>
  <r>
    <x v="2"/>
    <x v="1"/>
    <x v="611"/>
    <x v="4"/>
    <x v="49"/>
    <x v="12"/>
    <x v="5"/>
    <x v="31"/>
    <x v="117"/>
    <x v="1257"/>
    <x v="32"/>
    <x v="32"/>
    <x v="1"/>
  </r>
  <r>
    <x v="2"/>
    <x v="1"/>
    <x v="611"/>
    <x v="4"/>
    <x v="49"/>
    <x v="12"/>
    <x v="4"/>
    <x v="31"/>
    <x v="115"/>
    <x v="1238"/>
    <x v="35"/>
    <x v="35"/>
    <x v="1"/>
  </r>
  <r>
    <x v="2"/>
    <x v="1"/>
    <x v="611"/>
    <x v="4"/>
    <x v="49"/>
    <x v="12"/>
    <x v="0"/>
    <x v="41"/>
    <x v="105"/>
    <x v="1441"/>
    <x v="29"/>
    <x v="29"/>
    <x v="1"/>
  </r>
  <r>
    <x v="2"/>
    <x v="1"/>
    <x v="611"/>
    <x v="4"/>
    <x v="49"/>
    <x v="12"/>
    <x v="3"/>
    <x v="45"/>
    <x v="151"/>
    <x v="2071"/>
    <x v="26"/>
    <x v="26"/>
    <x v="1"/>
  </r>
  <r>
    <x v="2"/>
    <x v="1"/>
    <x v="643"/>
    <x v="4"/>
    <x v="49"/>
    <x v="12"/>
    <x v="2"/>
    <x v="43"/>
    <x v="176"/>
    <x v="2224"/>
    <x v="50"/>
    <x v="50"/>
    <x v="1"/>
  </r>
  <r>
    <x v="2"/>
    <x v="1"/>
    <x v="643"/>
    <x v="4"/>
    <x v="49"/>
    <x v="12"/>
    <x v="1"/>
    <x v="37"/>
    <x v="151"/>
    <x v="1808"/>
    <x v="26"/>
    <x v="26"/>
    <x v="1"/>
  </r>
  <r>
    <x v="2"/>
    <x v="1"/>
    <x v="643"/>
    <x v="4"/>
    <x v="49"/>
    <x v="12"/>
    <x v="5"/>
    <x v="35"/>
    <x v="105"/>
    <x v="1267"/>
    <x v="32"/>
    <x v="32"/>
    <x v="1"/>
  </r>
  <r>
    <x v="2"/>
    <x v="1"/>
    <x v="643"/>
    <x v="4"/>
    <x v="49"/>
    <x v="12"/>
    <x v="4"/>
    <x v="34"/>
    <x v="100"/>
    <x v="1177"/>
    <x v="32"/>
    <x v="32"/>
    <x v="1"/>
  </r>
  <r>
    <x v="2"/>
    <x v="1"/>
    <x v="643"/>
    <x v="4"/>
    <x v="49"/>
    <x v="12"/>
    <x v="0"/>
    <x v="47"/>
    <x v="108"/>
    <x v="1656"/>
    <x v="30"/>
    <x v="30"/>
    <x v="1"/>
  </r>
  <r>
    <x v="2"/>
    <x v="1"/>
    <x v="643"/>
    <x v="4"/>
    <x v="49"/>
    <x v="12"/>
    <x v="3"/>
    <x v="48"/>
    <x v="129"/>
    <x v="1929"/>
    <x v="23"/>
    <x v="23"/>
    <x v="1"/>
  </r>
  <r>
    <x v="2"/>
    <x v="1"/>
    <x v="673"/>
    <x v="4"/>
    <x v="49"/>
    <x v="12"/>
    <x v="2"/>
    <x v="46"/>
    <x v="188"/>
    <x v="2416"/>
    <x v="47"/>
    <x v="47"/>
    <x v="1"/>
  </r>
  <r>
    <x v="2"/>
    <x v="1"/>
    <x v="673"/>
    <x v="4"/>
    <x v="49"/>
    <x v="12"/>
    <x v="1"/>
    <x v="35"/>
    <x v="145"/>
    <x v="1679"/>
    <x v="29"/>
    <x v="29"/>
    <x v="1"/>
  </r>
  <r>
    <x v="2"/>
    <x v="1"/>
    <x v="673"/>
    <x v="4"/>
    <x v="49"/>
    <x v="12"/>
    <x v="5"/>
    <x v="35"/>
    <x v="126"/>
    <x v="1472"/>
    <x v="36"/>
    <x v="36"/>
    <x v="1"/>
  </r>
  <r>
    <x v="2"/>
    <x v="1"/>
    <x v="673"/>
    <x v="4"/>
    <x v="49"/>
    <x v="12"/>
    <x v="4"/>
    <x v="35"/>
    <x v="115"/>
    <x v="1368"/>
    <x v="35"/>
    <x v="35"/>
    <x v="1"/>
  </r>
  <r>
    <x v="2"/>
    <x v="1"/>
    <x v="673"/>
    <x v="4"/>
    <x v="49"/>
    <x v="12"/>
    <x v="0"/>
    <x v="44"/>
    <x v="123"/>
    <x v="1732"/>
    <x v="27"/>
    <x v="27"/>
    <x v="1"/>
  </r>
  <r>
    <x v="2"/>
    <x v="1"/>
    <x v="673"/>
    <x v="4"/>
    <x v="49"/>
    <x v="12"/>
    <x v="3"/>
    <x v="48"/>
    <x v="139"/>
    <x v="2043"/>
    <x v="25"/>
    <x v="25"/>
    <x v="1"/>
  </r>
  <r>
    <x v="2"/>
    <x v="1"/>
    <x v="702"/>
    <x v="4"/>
    <x v="49"/>
    <x v="12"/>
    <x v="2"/>
    <x v="45"/>
    <x v="193"/>
    <x v="2429"/>
    <x v="47"/>
    <x v="47"/>
    <x v="1"/>
  </r>
  <r>
    <x v="2"/>
    <x v="1"/>
    <x v="702"/>
    <x v="4"/>
    <x v="49"/>
    <x v="12"/>
    <x v="1"/>
    <x v="37"/>
    <x v="146"/>
    <x v="1755"/>
    <x v="27"/>
    <x v="27"/>
    <x v="1"/>
  </r>
  <r>
    <x v="1"/>
    <x v="1"/>
    <x v="702"/>
    <x v="4"/>
    <x v="49"/>
    <x v="12"/>
    <x v="5"/>
    <x v="37"/>
    <x v="143"/>
    <x v="1727"/>
    <x v="32"/>
    <x v="32"/>
    <x v="1"/>
  </r>
  <r>
    <x v="1"/>
    <x v="1"/>
    <x v="702"/>
    <x v="4"/>
    <x v="49"/>
    <x v="12"/>
    <x v="4"/>
    <x v="37"/>
    <x v="115"/>
    <x v="1425"/>
    <x v="35"/>
    <x v="35"/>
    <x v="1"/>
  </r>
  <r>
    <x v="1"/>
    <x v="1"/>
    <x v="702"/>
    <x v="4"/>
    <x v="49"/>
    <x v="12"/>
    <x v="0"/>
    <x v="47"/>
    <x v="125"/>
    <x v="1850"/>
    <x v="31"/>
    <x v="31"/>
    <x v="1"/>
  </r>
  <r>
    <x v="1"/>
    <x v="1"/>
    <x v="702"/>
    <x v="4"/>
    <x v="49"/>
    <x v="12"/>
    <x v="3"/>
    <x v="49"/>
    <x v="151"/>
    <x v="2172"/>
    <x v="22"/>
    <x v="22"/>
    <x v="1"/>
  </r>
  <r>
    <x v="1"/>
    <x v="0"/>
    <x v="382"/>
    <x v="4"/>
    <x v="49"/>
    <x v="12"/>
    <x v="2"/>
    <x v="22"/>
    <x v="75"/>
    <x v="568"/>
    <x v="32"/>
    <x v="32"/>
    <x v="1"/>
  </r>
  <r>
    <x v="1"/>
    <x v="0"/>
    <x v="382"/>
    <x v="4"/>
    <x v="49"/>
    <x v="12"/>
    <x v="1"/>
    <x v="29"/>
    <x v="87"/>
    <x v="893"/>
    <x v="32"/>
    <x v="32"/>
    <x v="1"/>
  </r>
  <r>
    <x v="1"/>
    <x v="0"/>
    <x v="382"/>
    <x v="4"/>
    <x v="49"/>
    <x v="12"/>
    <x v="5"/>
    <x v="32"/>
    <x v="75"/>
    <x v="831"/>
    <x v="31"/>
    <x v="31"/>
    <x v="1"/>
  </r>
  <r>
    <x v="1"/>
    <x v="0"/>
    <x v="382"/>
    <x v="4"/>
    <x v="49"/>
    <x v="12"/>
    <x v="4"/>
    <x v="31"/>
    <x v="43"/>
    <x v="406"/>
    <x v="33"/>
    <x v="33"/>
    <x v="1"/>
  </r>
  <r>
    <x v="1"/>
    <x v="0"/>
    <x v="382"/>
    <x v="4"/>
    <x v="49"/>
    <x v="12"/>
    <x v="0"/>
    <x v="35"/>
    <x v="34"/>
    <x v="356"/>
    <x v="37"/>
    <x v="37"/>
    <x v="1"/>
  </r>
  <r>
    <x v="1"/>
    <x v="0"/>
    <x v="382"/>
    <x v="4"/>
    <x v="49"/>
    <x v="12"/>
    <x v="3"/>
    <x v="31"/>
    <x v="97"/>
    <x v="1060"/>
    <x v="31"/>
    <x v="31"/>
    <x v="1"/>
  </r>
  <r>
    <x v="1"/>
    <x v="0"/>
    <x v="413"/>
    <x v="4"/>
    <x v="49"/>
    <x v="12"/>
    <x v="2"/>
    <x v="20"/>
    <x v="94"/>
    <x v="691"/>
    <x v="32"/>
    <x v="32"/>
    <x v="1"/>
  </r>
  <r>
    <x v="1"/>
    <x v="0"/>
    <x v="413"/>
    <x v="4"/>
    <x v="49"/>
    <x v="12"/>
    <x v="1"/>
    <x v="29"/>
    <x v="87"/>
    <x v="893"/>
    <x v="31"/>
    <x v="31"/>
    <x v="1"/>
  </r>
  <r>
    <x v="1"/>
    <x v="0"/>
    <x v="413"/>
    <x v="4"/>
    <x v="49"/>
    <x v="12"/>
    <x v="5"/>
    <x v="32"/>
    <x v="73"/>
    <x v="798"/>
    <x v="31"/>
    <x v="31"/>
    <x v="1"/>
  </r>
  <r>
    <x v="1"/>
    <x v="0"/>
    <x v="413"/>
    <x v="3"/>
    <x v="45"/>
    <x v="44"/>
    <x v="4"/>
    <x v="31"/>
    <x v="47"/>
    <x v="449"/>
    <x v="36"/>
    <x v="36"/>
    <x v="1"/>
  </r>
  <r>
    <x v="1"/>
    <x v="0"/>
    <x v="413"/>
    <x v="3"/>
    <x v="45"/>
    <x v="44"/>
    <x v="0"/>
    <x v="35"/>
    <x v="27"/>
    <x v="274"/>
    <x v="41"/>
    <x v="41"/>
    <x v="1"/>
  </r>
  <r>
    <x v="1"/>
    <x v="0"/>
    <x v="413"/>
    <x v="3"/>
    <x v="45"/>
    <x v="44"/>
    <x v="3"/>
    <x v="31"/>
    <x v="67"/>
    <x v="700"/>
    <x v="29"/>
    <x v="29"/>
    <x v="1"/>
  </r>
  <r>
    <x v="1"/>
    <x v="0"/>
    <x v="440"/>
    <x v="3"/>
    <x v="45"/>
    <x v="44"/>
    <x v="2"/>
    <x v="31"/>
    <x v="123"/>
    <x v="1306"/>
    <x v="33"/>
    <x v="33"/>
    <x v="1"/>
  </r>
  <r>
    <x v="1"/>
    <x v="0"/>
    <x v="440"/>
    <x v="3"/>
    <x v="45"/>
    <x v="44"/>
    <x v="1"/>
    <x v="38"/>
    <x v="70"/>
    <x v="904"/>
    <x v="33"/>
    <x v="33"/>
    <x v="1"/>
  </r>
  <r>
    <x v="1"/>
    <x v="0"/>
    <x v="440"/>
    <x v="3"/>
    <x v="45"/>
    <x v="44"/>
    <x v="5"/>
    <x v="45"/>
    <x v="75"/>
    <x v="1142"/>
    <x v="34"/>
    <x v="34"/>
    <x v="1"/>
  </r>
  <r>
    <x v="1"/>
    <x v="0"/>
    <x v="440"/>
    <x v="3"/>
    <x v="45"/>
    <x v="44"/>
    <x v="4"/>
    <x v="41"/>
    <x v="54"/>
    <x v="709"/>
    <x v="32"/>
    <x v="32"/>
    <x v="1"/>
  </r>
  <r>
    <x v="1"/>
    <x v="0"/>
    <x v="440"/>
    <x v="3"/>
    <x v="45"/>
    <x v="44"/>
    <x v="0"/>
    <x v="44"/>
    <x v="20"/>
    <x v="258"/>
    <x v="38"/>
    <x v="38"/>
    <x v="1"/>
  </r>
  <r>
    <x v="1"/>
    <x v="0"/>
    <x v="440"/>
    <x v="3"/>
    <x v="45"/>
    <x v="44"/>
    <x v="3"/>
    <x v="42"/>
    <x v="64"/>
    <x v="903"/>
    <x v="28"/>
    <x v="28"/>
    <x v="1"/>
  </r>
  <r>
    <x v="1"/>
    <x v="0"/>
    <x v="472"/>
    <x v="3"/>
    <x v="45"/>
    <x v="44"/>
    <x v="2"/>
    <x v="45"/>
    <x v="104"/>
    <x v="1556"/>
    <x v="34"/>
    <x v="34"/>
    <x v="1"/>
  </r>
  <r>
    <x v="1"/>
    <x v="0"/>
    <x v="472"/>
    <x v="3"/>
    <x v="45"/>
    <x v="44"/>
    <x v="1"/>
    <x v="52"/>
    <x v="57"/>
    <x v="974"/>
    <x v="34"/>
    <x v="34"/>
    <x v="1"/>
  </r>
  <r>
    <x v="1"/>
    <x v="0"/>
    <x v="472"/>
    <x v="3"/>
    <x v="45"/>
    <x v="44"/>
    <x v="5"/>
    <x v="50"/>
    <x v="70"/>
    <x v="1166"/>
    <x v="35"/>
    <x v="35"/>
    <x v="1"/>
  </r>
  <r>
    <x v="1"/>
    <x v="0"/>
    <x v="472"/>
    <x v="3"/>
    <x v="45"/>
    <x v="44"/>
    <x v="4"/>
    <x v="35"/>
    <x v="45"/>
    <x v="488"/>
    <x v="33"/>
    <x v="33"/>
    <x v="1"/>
  </r>
  <r>
    <x v="1"/>
    <x v="0"/>
    <x v="472"/>
    <x v="3"/>
    <x v="45"/>
    <x v="44"/>
    <x v="0"/>
    <x v="42"/>
    <x v="25"/>
    <x v="307"/>
    <x v="37"/>
    <x v="37"/>
    <x v="1"/>
  </r>
  <r>
    <x v="1"/>
    <x v="0"/>
    <x v="472"/>
    <x v="3"/>
    <x v="45"/>
    <x v="44"/>
    <x v="3"/>
    <x v="57"/>
    <x v="64"/>
    <x v="1205"/>
    <x v="30"/>
    <x v="30"/>
    <x v="1"/>
  </r>
  <r>
    <x v="1"/>
    <x v="0"/>
    <x v="503"/>
    <x v="3"/>
    <x v="45"/>
    <x v="44"/>
    <x v="2"/>
    <x v="39"/>
    <x v="105"/>
    <x v="1383"/>
    <x v="32"/>
    <x v="32"/>
    <x v="1"/>
  </r>
  <r>
    <x v="1"/>
    <x v="0"/>
    <x v="503"/>
    <x v="3"/>
    <x v="45"/>
    <x v="44"/>
    <x v="1"/>
    <x v="44"/>
    <x v="80"/>
    <x v="1207"/>
    <x v="31"/>
    <x v="31"/>
    <x v="1"/>
  </r>
  <r>
    <x v="1"/>
    <x v="0"/>
    <x v="503"/>
    <x v="3"/>
    <x v="45"/>
    <x v="44"/>
    <x v="5"/>
    <x v="43"/>
    <x v="73"/>
    <x v="1056"/>
    <x v="36"/>
    <x v="36"/>
    <x v="1"/>
  </r>
  <r>
    <x v="1"/>
    <x v="0"/>
    <x v="503"/>
    <x v="3"/>
    <x v="45"/>
    <x v="44"/>
    <x v="4"/>
    <x v="40"/>
    <x v="57"/>
    <x v="748"/>
    <x v="36"/>
    <x v="36"/>
    <x v="1"/>
  </r>
  <r>
    <x v="1"/>
    <x v="0"/>
    <x v="503"/>
    <x v="3"/>
    <x v="45"/>
    <x v="44"/>
    <x v="0"/>
    <x v="37"/>
    <x v="38"/>
    <x v="435"/>
    <x v="40"/>
    <x v="40"/>
    <x v="1"/>
  </r>
  <r>
    <x v="1"/>
    <x v="0"/>
    <x v="503"/>
    <x v="3"/>
    <x v="45"/>
    <x v="44"/>
    <x v="3"/>
    <x v="49"/>
    <x v="131"/>
    <x v="1979"/>
    <x v="29"/>
    <x v="29"/>
    <x v="1"/>
  </r>
  <r>
    <x v="1"/>
    <x v="0"/>
    <x v="533"/>
    <x v="3"/>
    <x v="45"/>
    <x v="44"/>
    <x v="2"/>
    <x v="46"/>
    <x v="199"/>
    <x v="2501"/>
    <x v="33"/>
    <x v="33"/>
    <x v="1"/>
  </r>
  <r>
    <x v="1"/>
    <x v="0"/>
    <x v="533"/>
    <x v="3"/>
    <x v="45"/>
    <x v="44"/>
    <x v="1"/>
    <x v="55"/>
    <x v="153"/>
    <x v="2337"/>
    <x v="32"/>
    <x v="32"/>
    <x v="1"/>
  </r>
  <r>
    <x v="1"/>
    <x v="0"/>
    <x v="533"/>
    <x v="3"/>
    <x v="45"/>
    <x v="44"/>
    <x v="5"/>
    <x v="66"/>
    <x v="171"/>
    <x v="2651"/>
    <x v="34"/>
    <x v="34"/>
    <x v="1"/>
  </r>
  <r>
    <x v="1"/>
    <x v="0"/>
    <x v="533"/>
    <x v="3"/>
    <x v="45"/>
    <x v="44"/>
    <x v="4"/>
    <x v="65"/>
    <x v="122"/>
    <x v="2242"/>
    <x v="35"/>
    <x v="35"/>
    <x v="1"/>
  </r>
  <r>
    <x v="1"/>
    <x v="0"/>
    <x v="533"/>
    <x v="3"/>
    <x v="45"/>
    <x v="44"/>
    <x v="0"/>
    <x v="74"/>
    <x v="86"/>
    <x v="1964"/>
    <x v="37"/>
    <x v="37"/>
    <x v="1"/>
  </r>
  <r>
    <x v="1"/>
    <x v="0"/>
    <x v="533"/>
    <x v="3"/>
    <x v="45"/>
    <x v="44"/>
    <x v="3"/>
    <x v="86"/>
    <x v="159"/>
    <x v="2792"/>
    <x v="26"/>
    <x v="26"/>
    <x v="1"/>
  </r>
  <r>
    <x v="1"/>
    <x v="0"/>
    <x v="562"/>
    <x v="3"/>
    <x v="45"/>
    <x v="44"/>
    <x v="2"/>
    <x v="72"/>
    <x v="215"/>
    <x v="2844"/>
    <x v="36"/>
    <x v="36"/>
    <x v="1"/>
  </r>
  <r>
    <x v="1"/>
    <x v="0"/>
    <x v="562"/>
    <x v="3"/>
    <x v="45"/>
    <x v="44"/>
    <x v="1"/>
    <x v="74"/>
    <x v="177"/>
    <x v="2755"/>
    <x v="36"/>
    <x v="36"/>
    <x v="1"/>
  </r>
  <r>
    <x v="1"/>
    <x v="0"/>
    <x v="562"/>
    <x v="3"/>
    <x v="45"/>
    <x v="44"/>
    <x v="5"/>
    <x v="79"/>
    <x v="159"/>
    <x v="2724"/>
    <x v="31"/>
    <x v="31"/>
    <x v="1"/>
  </r>
  <r>
    <x v="1"/>
    <x v="0"/>
    <x v="562"/>
    <x v="3"/>
    <x v="45"/>
    <x v="44"/>
    <x v="4"/>
    <x v="75"/>
    <x v="128"/>
    <x v="2486"/>
    <x v="32"/>
    <x v="32"/>
    <x v="1"/>
  </r>
  <r>
    <x v="1"/>
    <x v="0"/>
    <x v="562"/>
    <x v="3"/>
    <x v="45"/>
    <x v="44"/>
    <x v="0"/>
    <x v="78"/>
    <x v="140"/>
    <x v="2617"/>
    <x v="41"/>
    <x v="41"/>
    <x v="1"/>
  </r>
  <r>
    <x v="1"/>
    <x v="0"/>
    <x v="562"/>
    <x v="3"/>
    <x v="45"/>
    <x v="44"/>
    <x v="3"/>
    <x v="86"/>
    <x v="157"/>
    <x v="2784"/>
    <x v="26"/>
    <x v="26"/>
    <x v="1"/>
  </r>
  <r>
    <x v="1"/>
    <x v="0"/>
    <x v="594"/>
    <x v="3"/>
    <x v="45"/>
    <x v="44"/>
    <x v="2"/>
    <x v="76"/>
    <x v="204"/>
    <x v="2839"/>
    <x v="31"/>
    <x v="31"/>
    <x v="1"/>
  </r>
  <r>
    <x v="1"/>
    <x v="0"/>
    <x v="594"/>
    <x v="3"/>
    <x v="45"/>
    <x v="44"/>
    <x v="1"/>
    <x v="69"/>
    <x v="176"/>
    <x v="2704"/>
    <x v="34"/>
    <x v="34"/>
    <x v="1"/>
  </r>
  <r>
    <x v="1"/>
    <x v="0"/>
    <x v="594"/>
    <x v="3"/>
    <x v="45"/>
    <x v="44"/>
    <x v="5"/>
    <x v="62"/>
    <x v="165"/>
    <x v="2563"/>
    <x v="34"/>
    <x v="34"/>
    <x v="1"/>
  </r>
  <r>
    <x v="1"/>
    <x v="0"/>
    <x v="594"/>
    <x v="3"/>
    <x v="45"/>
    <x v="44"/>
    <x v="4"/>
    <x v="59"/>
    <x v="92"/>
    <x v="1741"/>
    <x v="35"/>
    <x v="35"/>
    <x v="1"/>
  </r>
  <r>
    <x v="1"/>
    <x v="0"/>
    <x v="594"/>
    <x v="3"/>
    <x v="45"/>
    <x v="44"/>
    <x v="0"/>
    <x v="57"/>
    <x v="88"/>
    <x v="1625"/>
    <x v="37"/>
    <x v="37"/>
    <x v="1"/>
  </r>
  <r>
    <x v="1"/>
    <x v="0"/>
    <x v="594"/>
    <x v="3"/>
    <x v="45"/>
    <x v="44"/>
    <x v="3"/>
    <x v="66"/>
    <x v="62"/>
    <x v="1317"/>
    <x v="28"/>
    <x v="28"/>
    <x v="1"/>
  </r>
  <r>
    <x v="1"/>
    <x v="0"/>
    <x v="626"/>
    <x v="3"/>
    <x v="45"/>
    <x v="44"/>
    <x v="2"/>
    <x v="39"/>
    <x v="94"/>
    <x v="1254"/>
    <x v="36"/>
    <x v="36"/>
    <x v="1"/>
  </r>
  <r>
    <x v="1"/>
    <x v="0"/>
    <x v="626"/>
    <x v="3"/>
    <x v="45"/>
    <x v="44"/>
    <x v="1"/>
    <x v="45"/>
    <x v="94"/>
    <x v="1411"/>
    <x v="32"/>
    <x v="32"/>
    <x v="1"/>
  </r>
  <r>
    <x v="1"/>
    <x v="0"/>
    <x v="626"/>
    <x v="3"/>
    <x v="45"/>
    <x v="44"/>
    <x v="5"/>
    <x v="40"/>
    <x v="54"/>
    <x v="693"/>
    <x v="33"/>
    <x v="33"/>
    <x v="1"/>
  </r>
  <r>
    <x v="1"/>
    <x v="0"/>
    <x v="626"/>
    <x v="3"/>
    <x v="45"/>
    <x v="44"/>
    <x v="4"/>
    <x v="38"/>
    <x v="43"/>
    <x v="509"/>
    <x v="35"/>
    <x v="35"/>
    <x v="1"/>
  </r>
  <r>
    <x v="1"/>
    <x v="0"/>
    <x v="626"/>
    <x v="3"/>
    <x v="45"/>
    <x v="44"/>
    <x v="0"/>
    <x v="51"/>
    <x v="45"/>
    <x v="750"/>
    <x v="36"/>
    <x v="36"/>
    <x v="1"/>
  </r>
  <r>
    <x v="1"/>
    <x v="0"/>
    <x v="626"/>
    <x v="3"/>
    <x v="45"/>
    <x v="44"/>
    <x v="3"/>
    <x v="35"/>
    <x v="58"/>
    <x v="655"/>
    <x v="29"/>
    <x v="29"/>
    <x v="1"/>
  </r>
  <r>
    <x v="1"/>
    <x v="0"/>
    <x v="655"/>
    <x v="3"/>
    <x v="45"/>
    <x v="44"/>
    <x v="2"/>
    <x v="31"/>
    <x v="84"/>
    <x v="920"/>
    <x v="31"/>
    <x v="31"/>
    <x v="1"/>
  </r>
  <r>
    <x v="1"/>
    <x v="0"/>
    <x v="655"/>
    <x v="3"/>
    <x v="45"/>
    <x v="44"/>
    <x v="1"/>
    <x v="44"/>
    <x v="122"/>
    <x v="1723"/>
    <x v="35"/>
    <x v="35"/>
    <x v="1"/>
  </r>
  <r>
    <x v="1"/>
    <x v="0"/>
    <x v="655"/>
    <x v="3"/>
    <x v="45"/>
    <x v="44"/>
    <x v="5"/>
    <x v="39"/>
    <x v="78"/>
    <x v="1049"/>
    <x v="32"/>
    <x v="32"/>
    <x v="1"/>
  </r>
  <r>
    <x v="1"/>
    <x v="0"/>
    <x v="655"/>
    <x v="3"/>
    <x v="45"/>
    <x v="44"/>
    <x v="4"/>
    <x v="34"/>
    <x v="80"/>
    <x v="960"/>
    <x v="35"/>
    <x v="35"/>
    <x v="1"/>
  </r>
  <r>
    <x v="1"/>
    <x v="0"/>
    <x v="655"/>
    <x v="3"/>
    <x v="45"/>
    <x v="44"/>
    <x v="0"/>
    <x v="46"/>
    <x v="72"/>
    <x v="1113"/>
    <x v="40"/>
    <x v="40"/>
    <x v="1"/>
  </r>
  <r>
    <x v="1"/>
    <x v="0"/>
    <x v="655"/>
    <x v="3"/>
    <x v="45"/>
    <x v="44"/>
    <x v="3"/>
    <x v="52"/>
    <x v="84"/>
    <x v="1446"/>
    <x v="30"/>
    <x v="30"/>
    <x v="1"/>
  </r>
  <r>
    <x v="1"/>
    <x v="0"/>
    <x v="686"/>
    <x v="3"/>
    <x v="45"/>
    <x v="44"/>
    <x v="2"/>
    <x v="35"/>
    <x v="134"/>
    <x v="1569"/>
    <x v="33"/>
    <x v="33"/>
    <x v="1"/>
  </r>
  <r>
    <x v="1"/>
    <x v="0"/>
    <x v="686"/>
    <x v="3"/>
    <x v="45"/>
    <x v="44"/>
    <x v="1"/>
    <x v="40"/>
    <x v="147"/>
    <x v="1870"/>
    <x v="35"/>
    <x v="35"/>
    <x v="1"/>
  </r>
  <r>
    <x v="1"/>
    <x v="0"/>
    <x v="686"/>
    <x v="3"/>
    <x v="45"/>
    <x v="44"/>
    <x v="5"/>
    <x v="36"/>
    <x v="118"/>
    <x v="1423"/>
    <x v="34"/>
    <x v="34"/>
    <x v="1"/>
  </r>
  <r>
    <x v="1"/>
    <x v="0"/>
    <x v="686"/>
    <x v="3"/>
    <x v="45"/>
    <x v="44"/>
    <x v="4"/>
    <x v="45"/>
    <x v="94"/>
    <x v="1411"/>
    <x v="34"/>
    <x v="34"/>
    <x v="1"/>
  </r>
  <r>
    <x v="1"/>
    <x v="0"/>
    <x v="686"/>
    <x v="3"/>
    <x v="45"/>
    <x v="44"/>
    <x v="0"/>
    <x v="66"/>
    <x v="92"/>
    <x v="1905"/>
    <x v="41"/>
    <x v="41"/>
    <x v="1"/>
  </r>
  <r>
    <x v="1"/>
    <x v="0"/>
    <x v="686"/>
    <x v="3"/>
    <x v="45"/>
    <x v="44"/>
    <x v="3"/>
    <x v="67"/>
    <x v="128"/>
    <x v="2357"/>
    <x v="26"/>
    <x v="26"/>
    <x v="1"/>
  </r>
  <r>
    <x v="1"/>
    <x v="0"/>
    <x v="715"/>
    <x v="3"/>
    <x v="45"/>
    <x v="44"/>
    <x v="2"/>
    <x v="53"/>
    <x v="194"/>
    <x v="2594"/>
    <x v="33"/>
    <x v="33"/>
    <x v="1"/>
  </r>
  <r>
    <x v="1"/>
    <x v="0"/>
    <x v="715"/>
    <x v="3"/>
    <x v="45"/>
    <x v="44"/>
    <x v="1"/>
    <x v="67"/>
    <x v="194"/>
    <x v="2764"/>
    <x v="31"/>
    <x v="31"/>
    <x v="1"/>
  </r>
  <r>
    <x v="3"/>
    <x v="0"/>
    <x v="715"/>
    <x v="3"/>
    <x v="45"/>
    <x v="44"/>
    <x v="5"/>
    <x v="57"/>
    <x v="133"/>
    <x v="2186"/>
    <x v="34"/>
    <x v="34"/>
    <x v="1"/>
  </r>
  <r>
    <x v="3"/>
    <x v="0"/>
    <x v="715"/>
    <x v="3"/>
    <x v="45"/>
    <x v="44"/>
    <x v="4"/>
    <x v="60"/>
    <x v="138"/>
    <x v="2309"/>
    <x v="36"/>
    <x v="36"/>
    <x v="1"/>
  </r>
  <r>
    <x v="3"/>
    <x v="0"/>
    <x v="715"/>
    <x v="3"/>
    <x v="45"/>
    <x v="44"/>
    <x v="0"/>
    <x v="65"/>
    <x v="113"/>
    <x v="2150"/>
    <x v="37"/>
    <x v="37"/>
    <x v="1"/>
  </r>
  <r>
    <x v="3"/>
    <x v="0"/>
    <x v="715"/>
    <x v="3"/>
    <x v="45"/>
    <x v="44"/>
    <x v="3"/>
    <x v="75"/>
    <x v="129"/>
    <x v="2498"/>
    <x v="29"/>
    <x v="29"/>
    <x v="1"/>
  </r>
  <r>
    <x v="3"/>
    <x v="1"/>
    <x v="377"/>
    <x v="3"/>
    <x v="45"/>
    <x v="44"/>
    <x v="2"/>
    <x v="27"/>
    <x v="177"/>
    <x v="1653"/>
    <x v="47"/>
    <x v="47"/>
    <x v="1"/>
  </r>
  <r>
    <x v="3"/>
    <x v="1"/>
    <x v="377"/>
    <x v="3"/>
    <x v="45"/>
    <x v="44"/>
    <x v="1"/>
    <x v="27"/>
    <x v="133"/>
    <x v="1263"/>
    <x v="37"/>
    <x v="37"/>
    <x v="1"/>
  </r>
  <r>
    <x v="3"/>
    <x v="1"/>
    <x v="377"/>
    <x v="3"/>
    <x v="45"/>
    <x v="44"/>
    <x v="5"/>
    <x v="16"/>
    <x v="128"/>
    <x v="795"/>
    <x v="26"/>
    <x v="26"/>
    <x v="1"/>
  </r>
  <r>
    <x v="3"/>
    <x v="1"/>
    <x v="377"/>
    <x v="3"/>
    <x v="45"/>
    <x v="44"/>
    <x v="4"/>
    <x v="22"/>
    <x v="97"/>
    <x v="782"/>
    <x v="36"/>
    <x v="36"/>
    <x v="1"/>
  </r>
  <r>
    <x v="3"/>
    <x v="1"/>
    <x v="377"/>
    <x v="3"/>
    <x v="45"/>
    <x v="44"/>
    <x v="0"/>
    <x v="36"/>
    <x v="102"/>
    <x v="1265"/>
    <x v="38"/>
    <x v="38"/>
    <x v="1"/>
  </r>
  <r>
    <x v="3"/>
    <x v="1"/>
    <x v="377"/>
    <x v="3"/>
    <x v="45"/>
    <x v="44"/>
    <x v="3"/>
    <x v="26"/>
    <x v="118"/>
    <x v="1099"/>
    <x v="54"/>
    <x v="54"/>
    <x v="1"/>
  </r>
  <r>
    <x v="3"/>
    <x v="1"/>
    <x v="406"/>
    <x v="3"/>
    <x v="45"/>
    <x v="44"/>
    <x v="2"/>
    <x v="27"/>
    <x v="174"/>
    <x v="1630"/>
    <x v="49"/>
    <x v="49"/>
    <x v="1"/>
  </r>
  <r>
    <x v="3"/>
    <x v="1"/>
    <x v="406"/>
    <x v="3"/>
    <x v="45"/>
    <x v="44"/>
    <x v="1"/>
    <x v="26"/>
    <x v="98"/>
    <x v="915"/>
    <x v="38"/>
    <x v="38"/>
    <x v="1"/>
  </r>
  <r>
    <x v="3"/>
    <x v="1"/>
    <x v="406"/>
    <x v="3"/>
    <x v="45"/>
    <x v="44"/>
    <x v="5"/>
    <x v="16"/>
    <x v="129"/>
    <x v="803"/>
    <x v="29"/>
    <x v="29"/>
    <x v="1"/>
  </r>
  <r>
    <x v="3"/>
    <x v="1"/>
    <x v="406"/>
    <x v="0"/>
    <x v="21"/>
    <x v="18"/>
    <x v="4"/>
    <x v="21"/>
    <x v="91"/>
    <x v="692"/>
    <x v="35"/>
    <x v="35"/>
    <x v="1"/>
  </r>
  <r>
    <x v="3"/>
    <x v="1"/>
    <x v="406"/>
    <x v="0"/>
    <x v="21"/>
    <x v="18"/>
    <x v="0"/>
    <x v="34"/>
    <x v="106"/>
    <x v="1245"/>
    <x v="41"/>
    <x v="41"/>
    <x v="1"/>
  </r>
  <r>
    <x v="3"/>
    <x v="1"/>
    <x v="406"/>
    <x v="0"/>
    <x v="21"/>
    <x v="18"/>
    <x v="3"/>
    <x v="26"/>
    <x v="118"/>
    <x v="1099"/>
    <x v="53"/>
    <x v="53"/>
    <x v="1"/>
  </r>
  <r>
    <x v="3"/>
    <x v="1"/>
    <x v="432"/>
    <x v="0"/>
    <x v="21"/>
    <x v="18"/>
    <x v="2"/>
    <x v="27"/>
    <x v="186"/>
    <x v="1744"/>
    <x v="47"/>
    <x v="47"/>
    <x v="1"/>
  </r>
  <r>
    <x v="3"/>
    <x v="1"/>
    <x v="432"/>
    <x v="0"/>
    <x v="21"/>
    <x v="18"/>
    <x v="1"/>
    <x v="25"/>
    <x v="106"/>
    <x v="964"/>
    <x v="40"/>
    <x v="40"/>
    <x v="1"/>
  </r>
  <r>
    <x v="3"/>
    <x v="1"/>
    <x v="432"/>
    <x v="0"/>
    <x v="21"/>
    <x v="18"/>
    <x v="5"/>
    <x v="18"/>
    <x v="104"/>
    <x v="706"/>
    <x v="26"/>
    <x v="26"/>
    <x v="1"/>
  </r>
  <r>
    <x v="3"/>
    <x v="1"/>
    <x v="432"/>
    <x v="0"/>
    <x v="21"/>
    <x v="18"/>
    <x v="4"/>
    <x v="22"/>
    <x v="75"/>
    <x v="568"/>
    <x v="34"/>
    <x v="34"/>
    <x v="1"/>
  </r>
  <r>
    <x v="3"/>
    <x v="1"/>
    <x v="432"/>
    <x v="0"/>
    <x v="21"/>
    <x v="18"/>
    <x v="0"/>
    <x v="36"/>
    <x v="77"/>
    <x v="966"/>
    <x v="38"/>
    <x v="38"/>
    <x v="1"/>
  </r>
  <r>
    <x v="3"/>
    <x v="1"/>
    <x v="432"/>
    <x v="0"/>
    <x v="21"/>
    <x v="18"/>
    <x v="3"/>
    <x v="26"/>
    <x v="123"/>
    <x v="1140"/>
    <x v="55"/>
    <x v="55"/>
    <x v="1"/>
  </r>
  <r>
    <x v="3"/>
    <x v="1"/>
    <x v="464"/>
    <x v="0"/>
    <x v="21"/>
    <x v="18"/>
    <x v="2"/>
    <x v="25"/>
    <x v="158"/>
    <x v="1391"/>
    <x v="46"/>
    <x v="46"/>
    <x v="1"/>
  </r>
  <r>
    <x v="3"/>
    <x v="1"/>
    <x v="464"/>
    <x v="0"/>
    <x v="21"/>
    <x v="18"/>
    <x v="1"/>
    <x v="31"/>
    <x v="92"/>
    <x v="1009"/>
    <x v="39"/>
    <x v="39"/>
    <x v="1"/>
  </r>
  <r>
    <x v="3"/>
    <x v="1"/>
    <x v="464"/>
    <x v="0"/>
    <x v="21"/>
    <x v="18"/>
    <x v="5"/>
    <x v="20"/>
    <x v="115"/>
    <x v="860"/>
    <x v="28"/>
    <x v="28"/>
    <x v="1"/>
  </r>
  <r>
    <x v="3"/>
    <x v="1"/>
    <x v="464"/>
    <x v="0"/>
    <x v="21"/>
    <x v="18"/>
    <x v="4"/>
    <x v="25"/>
    <x v="91"/>
    <x v="819"/>
    <x v="32"/>
    <x v="32"/>
    <x v="1"/>
  </r>
  <r>
    <x v="3"/>
    <x v="1"/>
    <x v="464"/>
    <x v="0"/>
    <x v="21"/>
    <x v="18"/>
    <x v="0"/>
    <x v="38"/>
    <x v="101"/>
    <x v="1298"/>
    <x v="36"/>
    <x v="36"/>
    <x v="1"/>
  </r>
  <r>
    <x v="3"/>
    <x v="1"/>
    <x v="464"/>
    <x v="0"/>
    <x v="21"/>
    <x v="18"/>
    <x v="3"/>
    <x v="30"/>
    <x v="131"/>
    <x v="1354"/>
    <x v="55"/>
    <x v="55"/>
    <x v="1"/>
  </r>
  <r>
    <x v="3"/>
    <x v="1"/>
    <x v="493"/>
    <x v="0"/>
    <x v="21"/>
    <x v="18"/>
    <x v="2"/>
    <x v="41"/>
    <x v="180"/>
    <x v="2197"/>
    <x v="47"/>
    <x v="47"/>
    <x v="1"/>
  </r>
  <r>
    <x v="3"/>
    <x v="1"/>
    <x v="493"/>
    <x v="0"/>
    <x v="21"/>
    <x v="18"/>
    <x v="1"/>
    <x v="40"/>
    <x v="129"/>
    <x v="1686"/>
    <x v="41"/>
    <x v="41"/>
    <x v="1"/>
  </r>
  <r>
    <x v="3"/>
    <x v="1"/>
    <x v="493"/>
    <x v="0"/>
    <x v="21"/>
    <x v="18"/>
    <x v="5"/>
    <x v="37"/>
    <x v="113"/>
    <x v="1405"/>
    <x v="26"/>
    <x v="26"/>
    <x v="1"/>
  </r>
  <r>
    <x v="3"/>
    <x v="1"/>
    <x v="493"/>
    <x v="0"/>
    <x v="21"/>
    <x v="18"/>
    <x v="4"/>
    <x v="35"/>
    <x v="106"/>
    <x v="1274"/>
    <x v="36"/>
    <x v="36"/>
    <x v="1"/>
  </r>
  <r>
    <x v="3"/>
    <x v="1"/>
    <x v="493"/>
    <x v="0"/>
    <x v="21"/>
    <x v="18"/>
    <x v="0"/>
    <x v="45"/>
    <x v="104"/>
    <x v="1556"/>
    <x v="39"/>
    <x v="39"/>
    <x v="1"/>
  </r>
  <r>
    <x v="3"/>
    <x v="1"/>
    <x v="493"/>
    <x v="0"/>
    <x v="21"/>
    <x v="18"/>
    <x v="3"/>
    <x v="48"/>
    <x v="129"/>
    <x v="1929"/>
    <x v="56"/>
    <x v="56"/>
    <x v="1"/>
  </r>
  <r>
    <x v="3"/>
    <x v="1"/>
    <x v="526"/>
    <x v="0"/>
    <x v="21"/>
    <x v="18"/>
    <x v="2"/>
    <x v="45"/>
    <x v="179"/>
    <x v="2308"/>
    <x v="48"/>
    <x v="48"/>
    <x v="1"/>
  </r>
  <r>
    <x v="3"/>
    <x v="1"/>
    <x v="526"/>
    <x v="0"/>
    <x v="21"/>
    <x v="18"/>
    <x v="1"/>
    <x v="39"/>
    <x v="145"/>
    <x v="1816"/>
    <x v="40"/>
    <x v="40"/>
    <x v="1"/>
  </r>
  <r>
    <x v="3"/>
    <x v="1"/>
    <x v="526"/>
    <x v="0"/>
    <x v="21"/>
    <x v="18"/>
    <x v="5"/>
    <x v="34"/>
    <x v="118"/>
    <x v="1364"/>
    <x v="30"/>
    <x v="30"/>
    <x v="1"/>
  </r>
  <r>
    <x v="3"/>
    <x v="1"/>
    <x v="526"/>
    <x v="0"/>
    <x v="21"/>
    <x v="18"/>
    <x v="4"/>
    <x v="36"/>
    <x v="137"/>
    <x v="1629"/>
    <x v="34"/>
    <x v="34"/>
    <x v="1"/>
  </r>
  <r>
    <x v="3"/>
    <x v="1"/>
    <x v="526"/>
    <x v="0"/>
    <x v="21"/>
    <x v="18"/>
    <x v="0"/>
    <x v="50"/>
    <x v="131"/>
    <x v="2006"/>
    <x v="41"/>
    <x v="41"/>
    <x v="1"/>
  </r>
  <r>
    <x v="3"/>
    <x v="1"/>
    <x v="526"/>
    <x v="0"/>
    <x v="21"/>
    <x v="18"/>
    <x v="3"/>
    <x v="53"/>
    <x v="147"/>
    <x v="2229"/>
    <x v="51"/>
    <x v="51"/>
    <x v="1"/>
  </r>
  <r>
    <x v="3"/>
    <x v="1"/>
    <x v="554"/>
    <x v="0"/>
    <x v="21"/>
    <x v="18"/>
    <x v="2"/>
    <x v="50"/>
    <x v="194"/>
    <x v="2543"/>
    <x v="46"/>
    <x v="46"/>
    <x v="1"/>
  </r>
  <r>
    <x v="3"/>
    <x v="1"/>
    <x v="554"/>
    <x v="0"/>
    <x v="21"/>
    <x v="18"/>
    <x v="1"/>
    <x v="46"/>
    <x v="165"/>
    <x v="2210"/>
    <x v="37"/>
    <x v="37"/>
    <x v="1"/>
  </r>
  <r>
    <x v="3"/>
    <x v="1"/>
    <x v="554"/>
    <x v="0"/>
    <x v="21"/>
    <x v="18"/>
    <x v="5"/>
    <x v="39"/>
    <x v="150"/>
    <x v="1874"/>
    <x v="31"/>
    <x v="31"/>
    <x v="1"/>
  </r>
  <r>
    <x v="3"/>
    <x v="1"/>
    <x v="554"/>
    <x v="0"/>
    <x v="21"/>
    <x v="18"/>
    <x v="4"/>
    <x v="40"/>
    <x v="137"/>
    <x v="1763"/>
    <x v="31"/>
    <x v="31"/>
    <x v="1"/>
  </r>
  <r>
    <x v="3"/>
    <x v="1"/>
    <x v="554"/>
    <x v="0"/>
    <x v="21"/>
    <x v="18"/>
    <x v="0"/>
    <x v="47"/>
    <x v="123"/>
    <x v="1824"/>
    <x v="37"/>
    <x v="37"/>
    <x v="1"/>
  </r>
  <r>
    <x v="3"/>
    <x v="1"/>
    <x v="554"/>
    <x v="0"/>
    <x v="21"/>
    <x v="18"/>
    <x v="3"/>
    <x v="55"/>
    <x v="183"/>
    <x v="2561"/>
    <x v="55"/>
    <x v="55"/>
    <x v="1"/>
  </r>
  <r>
    <x v="3"/>
    <x v="1"/>
    <x v="586"/>
    <x v="0"/>
    <x v="21"/>
    <x v="18"/>
    <x v="2"/>
    <x v="48"/>
    <x v="222"/>
    <x v="2663"/>
    <x v="50"/>
    <x v="50"/>
    <x v="1"/>
  </r>
  <r>
    <x v="3"/>
    <x v="1"/>
    <x v="586"/>
    <x v="0"/>
    <x v="21"/>
    <x v="18"/>
    <x v="1"/>
    <x v="43"/>
    <x v="171"/>
    <x v="2173"/>
    <x v="36"/>
    <x v="36"/>
    <x v="1"/>
  </r>
  <r>
    <x v="3"/>
    <x v="1"/>
    <x v="586"/>
    <x v="0"/>
    <x v="21"/>
    <x v="18"/>
    <x v="5"/>
    <x v="35"/>
    <x v="124"/>
    <x v="1455"/>
    <x v="28"/>
    <x v="28"/>
    <x v="1"/>
  </r>
  <r>
    <x v="3"/>
    <x v="1"/>
    <x v="586"/>
    <x v="0"/>
    <x v="21"/>
    <x v="18"/>
    <x v="4"/>
    <x v="27"/>
    <x v="122"/>
    <x v="1162"/>
    <x v="31"/>
    <x v="31"/>
    <x v="1"/>
  </r>
  <r>
    <x v="3"/>
    <x v="1"/>
    <x v="586"/>
    <x v="0"/>
    <x v="21"/>
    <x v="18"/>
    <x v="0"/>
    <x v="35"/>
    <x v="115"/>
    <x v="1368"/>
    <x v="39"/>
    <x v="39"/>
    <x v="1"/>
  </r>
  <r>
    <x v="3"/>
    <x v="1"/>
    <x v="586"/>
    <x v="0"/>
    <x v="21"/>
    <x v="18"/>
    <x v="3"/>
    <x v="38"/>
    <x v="153"/>
    <x v="1866"/>
    <x v="54"/>
    <x v="54"/>
    <x v="1"/>
  </r>
  <r>
    <x v="3"/>
    <x v="1"/>
    <x v="616"/>
    <x v="0"/>
    <x v="21"/>
    <x v="18"/>
    <x v="2"/>
    <x v="35"/>
    <x v="198"/>
    <x v="2172"/>
    <x v="49"/>
    <x v="49"/>
    <x v="1"/>
  </r>
  <r>
    <x v="3"/>
    <x v="1"/>
    <x v="616"/>
    <x v="0"/>
    <x v="21"/>
    <x v="18"/>
    <x v="1"/>
    <x v="30"/>
    <x v="151"/>
    <x v="1552"/>
    <x v="37"/>
    <x v="37"/>
    <x v="1"/>
  </r>
  <r>
    <x v="3"/>
    <x v="1"/>
    <x v="616"/>
    <x v="0"/>
    <x v="21"/>
    <x v="18"/>
    <x v="5"/>
    <x v="27"/>
    <x v="125"/>
    <x v="1191"/>
    <x v="28"/>
    <x v="28"/>
    <x v="1"/>
  </r>
  <r>
    <x v="3"/>
    <x v="1"/>
    <x v="616"/>
    <x v="0"/>
    <x v="21"/>
    <x v="18"/>
    <x v="4"/>
    <x v="27"/>
    <x v="100"/>
    <x v="967"/>
    <x v="31"/>
    <x v="31"/>
    <x v="1"/>
  </r>
  <r>
    <x v="3"/>
    <x v="1"/>
    <x v="616"/>
    <x v="0"/>
    <x v="21"/>
    <x v="18"/>
    <x v="0"/>
    <x v="34"/>
    <x v="108"/>
    <x v="1266"/>
    <x v="36"/>
    <x v="36"/>
    <x v="1"/>
  </r>
  <r>
    <x v="3"/>
    <x v="1"/>
    <x v="616"/>
    <x v="0"/>
    <x v="21"/>
    <x v="18"/>
    <x v="3"/>
    <x v="41"/>
    <x v="150"/>
    <x v="1941"/>
    <x v="51"/>
    <x v="51"/>
    <x v="1"/>
  </r>
  <r>
    <x v="3"/>
    <x v="1"/>
    <x v="648"/>
    <x v="0"/>
    <x v="21"/>
    <x v="18"/>
    <x v="2"/>
    <x v="42"/>
    <x v="194"/>
    <x v="2356"/>
    <x v="47"/>
    <x v="47"/>
    <x v="1"/>
  </r>
  <r>
    <x v="3"/>
    <x v="1"/>
    <x v="648"/>
    <x v="0"/>
    <x v="21"/>
    <x v="18"/>
    <x v="1"/>
    <x v="30"/>
    <x v="145"/>
    <x v="1484"/>
    <x v="37"/>
    <x v="37"/>
    <x v="1"/>
  </r>
  <r>
    <x v="3"/>
    <x v="1"/>
    <x v="648"/>
    <x v="0"/>
    <x v="21"/>
    <x v="18"/>
    <x v="5"/>
    <x v="30"/>
    <x v="103"/>
    <x v="1098"/>
    <x v="31"/>
    <x v="31"/>
    <x v="1"/>
  </r>
  <r>
    <x v="3"/>
    <x v="1"/>
    <x v="648"/>
    <x v="0"/>
    <x v="21"/>
    <x v="18"/>
    <x v="4"/>
    <x v="31"/>
    <x v="97"/>
    <x v="1060"/>
    <x v="36"/>
    <x v="36"/>
    <x v="1"/>
  </r>
  <r>
    <x v="3"/>
    <x v="1"/>
    <x v="648"/>
    <x v="0"/>
    <x v="21"/>
    <x v="18"/>
    <x v="0"/>
    <x v="41"/>
    <x v="93"/>
    <x v="1296"/>
    <x v="41"/>
    <x v="41"/>
    <x v="1"/>
  </r>
  <r>
    <x v="3"/>
    <x v="1"/>
    <x v="648"/>
    <x v="0"/>
    <x v="21"/>
    <x v="18"/>
    <x v="3"/>
    <x v="45"/>
    <x v="117"/>
    <x v="1699"/>
    <x v="56"/>
    <x v="56"/>
    <x v="1"/>
  </r>
  <r>
    <x v="3"/>
    <x v="1"/>
    <x v="678"/>
    <x v="0"/>
    <x v="21"/>
    <x v="18"/>
    <x v="2"/>
    <x v="42"/>
    <x v="172"/>
    <x v="2155"/>
    <x v="49"/>
    <x v="49"/>
    <x v="1"/>
  </r>
  <r>
    <x v="3"/>
    <x v="1"/>
    <x v="678"/>
    <x v="0"/>
    <x v="21"/>
    <x v="18"/>
    <x v="1"/>
    <x v="35"/>
    <x v="125"/>
    <x v="1463"/>
    <x v="41"/>
    <x v="41"/>
    <x v="1"/>
  </r>
  <r>
    <x v="3"/>
    <x v="1"/>
    <x v="678"/>
    <x v="0"/>
    <x v="21"/>
    <x v="18"/>
    <x v="5"/>
    <x v="36"/>
    <x v="101"/>
    <x v="1244"/>
    <x v="31"/>
    <x v="31"/>
    <x v="1"/>
  </r>
  <r>
    <x v="3"/>
    <x v="1"/>
    <x v="678"/>
    <x v="0"/>
    <x v="21"/>
    <x v="18"/>
    <x v="4"/>
    <x v="34"/>
    <x v="118"/>
    <x v="1364"/>
    <x v="35"/>
    <x v="35"/>
    <x v="1"/>
  </r>
  <r>
    <x v="3"/>
    <x v="1"/>
    <x v="678"/>
    <x v="0"/>
    <x v="21"/>
    <x v="18"/>
    <x v="0"/>
    <x v="52"/>
    <x v="106"/>
    <x v="1764"/>
    <x v="41"/>
    <x v="41"/>
    <x v="1"/>
  </r>
  <r>
    <x v="3"/>
    <x v="1"/>
    <x v="678"/>
    <x v="0"/>
    <x v="21"/>
    <x v="18"/>
    <x v="3"/>
    <x v="52"/>
    <x v="147"/>
    <x v="2201"/>
    <x v="55"/>
    <x v="55"/>
    <x v="1"/>
  </r>
  <r>
    <x v="3"/>
    <x v="1"/>
    <x v="707"/>
    <x v="0"/>
    <x v="21"/>
    <x v="18"/>
    <x v="2"/>
    <x v="48"/>
    <x v="215"/>
    <x v="2641"/>
    <x v="47"/>
    <x v="47"/>
    <x v="1"/>
  </r>
  <r>
    <x v="3"/>
    <x v="1"/>
    <x v="707"/>
    <x v="0"/>
    <x v="21"/>
    <x v="18"/>
    <x v="1"/>
    <x v="39"/>
    <x v="153"/>
    <x v="1903"/>
    <x v="39"/>
    <x v="39"/>
    <x v="1"/>
  </r>
  <r>
    <x v="1"/>
    <x v="1"/>
    <x v="707"/>
    <x v="0"/>
    <x v="21"/>
    <x v="18"/>
    <x v="5"/>
    <x v="41"/>
    <x v="146"/>
    <x v="1897"/>
    <x v="31"/>
    <x v="31"/>
    <x v="1"/>
  </r>
  <r>
    <x v="1"/>
    <x v="1"/>
    <x v="707"/>
    <x v="0"/>
    <x v="21"/>
    <x v="18"/>
    <x v="4"/>
    <x v="41"/>
    <x v="118"/>
    <x v="1594"/>
    <x v="34"/>
    <x v="34"/>
    <x v="1"/>
  </r>
  <r>
    <x v="1"/>
    <x v="1"/>
    <x v="707"/>
    <x v="0"/>
    <x v="21"/>
    <x v="18"/>
    <x v="0"/>
    <x v="48"/>
    <x v="123"/>
    <x v="1856"/>
    <x v="38"/>
    <x v="38"/>
    <x v="1"/>
  </r>
  <r>
    <x v="1"/>
    <x v="1"/>
    <x v="707"/>
    <x v="0"/>
    <x v="21"/>
    <x v="18"/>
    <x v="3"/>
    <x v="52"/>
    <x v="141"/>
    <x v="2157"/>
    <x v="51"/>
    <x v="51"/>
    <x v="1"/>
  </r>
  <r>
    <x v="1"/>
    <x v="1"/>
    <x v="376"/>
    <x v="0"/>
    <x v="21"/>
    <x v="18"/>
    <x v="2"/>
    <x v="20"/>
    <x v="135"/>
    <x v="1007"/>
    <x v="36"/>
    <x v="36"/>
    <x v="1"/>
  </r>
  <r>
    <x v="1"/>
    <x v="1"/>
    <x v="376"/>
    <x v="0"/>
    <x v="21"/>
    <x v="18"/>
    <x v="1"/>
    <x v="22"/>
    <x v="103"/>
    <x v="834"/>
    <x v="33"/>
    <x v="33"/>
    <x v="1"/>
  </r>
  <r>
    <x v="1"/>
    <x v="1"/>
    <x v="376"/>
    <x v="0"/>
    <x v="21"/>
    <x v="18"/>
    <x v="5"/>
    <x v="12"/>
    <x v="103"/>
    <x v="483"/>
    <x v="31"/>
    <x v="31"/>
    <x v="1"/>
  </r>
  <r>
    <x v="1"/>
    <x v="1"/>
    <x v="376"/>
    <x v="0"/>
    <x v="21"/>
    <x v="18"/>
    <x v="4"/>
    <x v="17"/>
    <x v="63"/>
    <x v="343"/>
    <x v="38"/>
    <x v="38"/>
    <x v="1"/>
  </r>
  <r>
    <x v="1"/>
    <x v="1"/>
    <x v="376"/>
    <x v="0"/>
    <x v="21"/>
    <x v="18"/>
    <x v="0"/>
    <x v="32"/>
    <x v="80"/>
    <x v="903"/>
    <x v="35"/>
    <x v="35"/>
    <x v="1"/>
  </r>
  <r>
    <x v="1"/>
    <x v="1"/>
    <x v="376"/>
    <x v="0"/>
    <x v="21"/>
    <x v="18"/>
    <x v="3"/>
    <x v="22"/>
    <x v="103"/>
    <x v="834"/>
    <x v="49"/>
    <x v="49"/>
    <x v="1"/>
  </r>
  <r>
    <x v="1"/>
    <x v="1"/>
    <x v="407"/>
    <x v="0"/>
    <x v="21"/>
    <x v="18"/>
    <x v="2"/>
    <x v="22"/>
    <x v="159"/>
    <x v="1271"/>
    <x v="39"/>
    <x v="39"/>
    <x v="1"/>
  </r>
  <r>
    <x v="1"/>
    <x v="1"/>
    <x v="407"/>
    <x v="0"/>
    <x v="21"/>
    <x v="18"/>
    <x v="1"/>
    <x v="21"/>
    <x v="77"/>
    <x v="567"/>
    <x v="35"/>
    <x v="35"/>
    <x v="1"/>
  </r>
  <r>
    <x v="1"/>
    <x v="1"/>
    <x v="407"/>
    <x v="0"/>
    <x v="21"/>
    <x v="18"/>
    <x v="5"/>
    <x v="12"/>
    <x v="94"/>
    <x v="434"/>
    <x v="31"/>
    <x v="31"/>
    <x v="1"/>
  </r>
  <r>
    <x v="1"/>
    <x v="1"/>
    <x v="407"/>
    <x v="0"/>
    <x v="24"/>
    <x v="49"/>
    <x v="4"/>
    <x v="17"/>
    <x v="58"/>
    <x v="299"/>
    <x v="38"/>
    <x v="38"/>
    <x v="1"/>
  </r>
  <r>
    <x v="1"/>
    <x v="1"/>
    <x v="407"/>
    <x v="0"/>
    <x v="24"/>
    <x v="49"/>
    <x v="0"/>
    <x v="31"/>
    <x v="73"/>
    <x v="776"/>
    <x v="31"/>
    <x v="31"/>
    <x v="1"/>
  </r>
  <r>
    <x v="1"/>
    <x v="1"/>
    <x v="407"/>
    <x v="0"/>
    <x v="24"/>
    <x v="49"/>
    <x v="3"/>
    <x v="21"/>
    <x v="101"/>
    <x v="780"/>
    <x v="49"/>
    <x v="49"/>
    <x v="1"/>
  </r>
  <r>
    <x v="1"/>
    <x v="1"/>
    <x v="434"/>
    <x v="0"/>
    <x v="24"/>
    <x v="49"/>
    <x v="2"/>
    <x v="27"/>
    <x v="162"/>
    <x v="1522"/>
    <x v="37"/>
    <x v="37"/>
    <x v="1"/>
  </r>
  <r>
    <x v="1"/>
    <x v="1"/>
    <x v="434"/>
    <x v="0"/>
    <x v="24"/>
    <x v="49"/>
    <x v="1"/>
    <x v="27"/>
    <x v="72"/>
    <x v="658"/>
    <x v="31"/>
    <x v="31"/>
    <x v="1"/>
  </r>
  <r>
    <x v="1"/>
    <x v="1"/>
    <x v="434"/>
    <x v="0"/>
    <x v="24"/>
    <x v="49"/>
    <x v="5"/>
    <x v="16"/>
    <x v="78"/>
    <x v="445"/>
    <x v="32"/>
    <x v="32"/>
    <x v="1"/>
  </r>
  <r>
    <x v="1"/>
    <x v="1"/>
    <x v="434"/>
    <x v="0"/>
    <x v="24"/>
    <x v="49"/>
    <x v="4"/>
    <x v="21"/>
    <x v="43"/>
    <x v="254"/>
    <x v="37"/>
    <x v="37"/>
    <x v="1"/>
  </r>
  <r>
    <x v="1"/>
    <x v="1"/>
    <x v="434"/>
    <x v="0"/>
    <x v="24"/>
    <x v="49"/>
    <x v="0"/>
    <x v="34"/>
    <x v="62"/>
    <x v="699"/>
    <x v="35"/>
    <x v="35"/>
    <x v="1"/>
  </r>
  <r>
    <x v="1"/>
    <x v="1"/>
    <x v="434"/>
    <x v="0"/>
    <x v="24"/>
    <x v="49"/>
    <x v="3"/>
    <x v="27"/>
    <x v="84"/>
    <x v="809"/>
    <x v="51"/>
    <x v="51"/>
    <x v="1"/>
  </r>
  <r>
    <x v="1"/>
    <x v="1"/>
    <x v="466"/>
    <x v="0"/>
    <x v="24"/>
    <x v="49"/>
    <x v="2"/>
    <x v="26"/>
    <x v="124"/>
    <x v="1146"/>
    <x v="38"/>
    <x v="38"/>
    <x v="1"/>
  </r>
  <r>
    <x v="1"/>
    <x v="1"/>
    <x v="466"/>
    <x v="0"/>
    <x v="24"/>
    <x v="49"/>
    <x v="1"/>
    <x v="20"/>
    <x v="59"/>
    <x v="373"/>
    <x v="35"/>
    <x v="35"/>
    <x v="1"/>
  </r>
  <r>
    <x v="1"/>
    <x v="1"/>
    <x v="466"/>
    <x v="0"/>
    <x v="24"/>
    <x v="49"/>
    <x v="5"/>
    <x v="11"/>
    <x v="68"/>
    <x v="246"/>
    <x v="35"/>
    <x v="35"/>
    <x v="1"/>
  </r>
  <r>
    <x v="1"/>
    <x v="1"/>
    <x v="466"/>
    <x v="0"/>
    <x v="24"/>
    <x v="49"/>
    <x v="4"/>
    <x v="16"/>
    <x v="41"/>
    <x v="162"/>
    <x v="38"/>
    <x v="38"/>
    <x v="1"/>
  </r>
  <r>
    <x v="1"/>
    <x v="1"/>
    <x v="466"/>
    <x v="0"/>
    <x v="24"/>
    <x v="49"/>
    <x v="0"/>
    <x v="29"/>
    <x v="54"/>
    <x v="484"/>
    <x v="31"/>
    <x v="31"/>
    <x v="1"/>
  </r>
  <r>
    <x v="1"/>
    <x v="1"/>
    <x v="466"/>
    <x v="0"/>
    <x v="24"/>
    <x v="49"/>
    <x v="3"/>
    <x v="21"/>
    <x v="87"/>
    <x v="655"/>
    <x v="47"/>
    <x v="47"/>
    <x v="1"/>
  </r>
  <r>
    <x v="1"/>
    <x v="1"/>
    <x v="497"/>
    <x v="0"/>
    <x v="24"/>
    <x v="49"/>
    <x v="2"/>
    <x v="32"/>
    <x v="157"/>
    <x v="1680"/>
    <x v="37"/>
    <x v="37"/>
    <x v="1"/>
  </r>
  <r>
    <x v="1"/>
    <x v="1"/>
    <x v="497"/>
    <x v="0"/>
    <x v="24"/>
    <x v="49"/>
    <x v="1"/>
    <x v="27"/>
    <x v="73"/>
    <x v="669"/>
    <x v="33"/>
    <x v="33"/>
    <x v="1"/>
  </r>
  <r>
    <x v="1"/>
    <x v="1"/>
    <x v="497"/>
    <x v="0"/>
    <x v="24"/>
    <x v="49"/>
    <x v="5"/>
    <x v="22"/>
    <x v="72"/>
    <x v="535"/>
    <x v="32"/>
    <x v="32"/>
    <x v="1"/>
  </r>
  <r>
    <x v="1"/>
    <x v="1"/>
    <x v="497"/>
    <x v="0"/>
    <x v="24"/>
    <x v="49"/>
    <x v="4"/>
    <x v="22"/>
    <x v="54"/>
    <x v="353"/>
    <x v="41"/>
    <x v="41"/>
    <x v="1"/>
  </r>
  <r>
    <x v="1"/>
    <x v="1"/>
    <x v="497"/>
    <x v="0"/>
    <x v="24"/>
    <x v="49"/>
    <x v="0"/>
    <x v="37"/>
    <x v="58"/>
    <x v="701"/>
    <x v="34"/>
    <x v="34"/>
    <x v="1"/>
  </r>
  <r>
    <x v="1"/>
    <x v="1"/>
    <x v="497"/>
    <x v="0"/>
    <x v="24"/>
    <x v="49"/>
    <x v="3"/>
    <x v="38"/>
    <x v="87"/>
    <x v="1141"/>
    <x v="46"/>
    <x v="46"/>
    <x v="1"/>
  </r>
  <r>
    <x v="1"/>
    <x v="1"/>
    <x v="527"/>
    <x v="0"/>
    <x v="24"/>
    <x v="49"/>
    <x v="2"/>
    <x v="25"/>
    <x v="146"/>
    <x v="1296"/>
    <x v="40"/>
    <x v="40"/>
    <x v="1"/>
  </r>
  <r>
    <x v="1"/>
    <x v="1"/>
    <x v="527"/>
    <x v="0"/>
    <x v="24"/>
    <x v="49"/>
    <x v="1"/>
    <x v="20"/>
    <x v="75"/>
    <x v="518"/>
    <x v="32"/>
    <x v="32"/>
    <x v="1"/>
  </r>
  <r>
    <x v="1"/>
    <x v="1"/>
    <x v="527"/>
    <x v="0"/>
    <x v="24"/>
    <x v="49"/>
    <x v="5"/>
    <x v="16"/>
    <x v="94"/>
    <x v="557"/>
    <x v="35"/>
    <x v="35"/>
    <x v="1"/>
  </r>
  <r>
    <x v="1"/>
    <x v="1"/>
    <x v="527"/>
    <x v="0"/>
    <x v="24"/>
    <x v="49"/>
    <x v="4"/>
    <x v="16"/>
    <x v="75"/>
    <x v="420"/>
    <x v="36"/>
    <x v="36"/>
    <x v="1"/>
  </r>
  <r>
    <x v="1"/>
    <x v="1"/>
    <x v="527"/>
    <x v="0"/>
    <x v="24"/>
    <x v="49"/>
    <x v="0"/>
    <x v="31"/>
    <x v="84"/>
    <x v="920"/>
    <x v="31"/>
    <x v="31"/>
    <x v="1"/>
  </r>
  <r>
    <x v="1"/>
    <x v="1"/>
    <x v="527"/>
    <x v="0"/>
    <x v="24"/>
    <x v="49"/>
    <x v="3"/>
    <x v="35"/>
    <x v="122"/>
    <x v="1432"/>
    <x v="51"/>
    <x v="51"/>
    <x v="1"/>
  </r>
  <r>
    <x v="1"/>
    <x v="1"/>
    <x v="556"/>
    <x v="0"/>
    <x v="24"/>
    <x v="49"/>
    <x v="2"/>
    <x v="29"/>
    <x v="177"/>
    <x v="1736"/>
    <x v="41"/>
    <x v="41"/>
    <x v="1"/>
  </r>
  <r>
    <x v="1"/>
    <x v="1"/>
    <x v="556"/>
    <x v="0"/>
    <x v="24"/>
    <x v="49"/>
    <x v="1"/>
    <x v="26"/>
    <x v="110"/>
    <x v="1025"/>
    <x v="33"/>
    <x v="33"/>
    <x v="1"/>
  </r>
  <r>
    <x v="1"/>
    <x v="1"/>
    <x v="556"/>
    <x v="0"/>
    <x v="24"/>
    <x v="49"/>
    <x v="5"/>
    <x v="22"/>
    <x v="108"/>
    <x v="878"/>
    <x v="32"/>
    <x v="32"/>
    <x v="1"/>
  </r>
  <r>
    <x v="1"/>
    <x v="1"/>
    <x v="556"/>
    <x v="0"/>
    <x v="24"/>
    <x v="49"/>
    <x v="4"/>
    <x v="22"/>
    <x v="83"/>
    <x v="653"/>
    <x v="39"/>
    <x v="39"/>
    <x v="1"/>
  </r>
  <r>
    <x v="1"/>
    <x v="1"/>
    <x v="556"/>
    <x v="0"/>
    <x v="24"/>
    <x v="49"/>
    <x v="0"/>
    <x v="30"/>
    <x v="77"/>
    <x v="813"/>
    <x v="35"/>
    <x v="35"/>
    <x v="1"/>
  </r>
  <r>
    <x v="1"/>
    <x v="1"/>
    <x v="556"/>
    <x v="0"/>
    <x v="24"/>
    <x v="49"/>
    <x v="3"/>
    <x v="34"/>
    <x v="138"/>
    <x v="1579"/>
    <x v="47"/>
    <x v="47"/>
    <x v="1"/>
  </r>
  <r>
    <x v="1"/>
    <x v="1"/>
    <x v="588"/>
    <x v="0"/>
    <x v="24"/>
    <x v="49"/>
    <x v="2"/>
    <x v="31"/>
    <x v="177"/>
    <x v="1822"/>
    <x v="36"/>
    <x v="36"/>
    <x v="1"/>
  </r>
  <r>
    <x v="1"/>
    <x v="1"/>
    <x v="588"/>
    <x v="0"/>
    <x v="24"/>
    <x v="49"/>
    <x v="1"/>
    <x v="31"/>
    <x v="123"/>
    <x v="1306"/>
    <x v="32"/>
    <x v="32"/>
    <x v="1"/>
  </r>
  <r>
    <x v="1"/>
    <x v="1"/>
    <x v="588"/>
    <x v="0"/>
    <x v="24"/>
    <x v="49"/>
    <x v="5"/>
    <x v="25"/>
    <x v="101"/>
    <x v="907"/>
    <x v="32"/>
    <x v="32"/>
    <x v="1"/>
  </r>
  <r>
    <x v="1"/>
    <x v="1"/>
    <x v="588"/>
    <x v="0"/>
    <x v="24"/>
    <x v="49"/>
    <x v="4"/>
    <x v="17"/>
    <x v="75"/>
    <x v="444"/>
    <x v="41"/>
    <x v="41"/>
    <x v="1"/>
  </r>
  <r>
    <x v="1"/>
    <x v="1"/>
    <x v="588"/>
    <x v="0"/>
    <x v="24"/>
    <x v="49"/>
    <x v="0"/>
    <x v="27"/>
    <x v="67"/>
    <x v="607"/>
    <x v="33"/>
    <x v="33"/>
    <x v="1"/>
  </r>
  <r>
    <x v="1"/>
    <x v="1"/>
    <x v="588"/>
    <x v="0"/>
    <x v="24"/>
    <x v="49"/>
    <x v="3"/>
    <x v="29"/>
    <x v="108"/>
    <x v="1112"/>
    <x v="51"/>
    <x v="51"/>
    <x v="1"/>
  </r>
  <r>
    <x v="1"/>
    <x v="1"/>
    <x v="620"/>
    <x v="0"/>
    <x v="24"/>
    <x v="49"/>
    <x v="2"/>
    <x v="25"/>
    <x v="151"/>
    <x v="1342"/>
    <x v="36"/>
    <x v="36"/>
    <x v="1"/>
  </r>
  <r>
    <x v="1"/>
    <x v="1"/>
    <x v="620"/>
    <x v="0"/>
    <x v="24"/>
    <x v="49"/>
    <x v="1"/>
    <x v="21"/>
    <x v="82"/>
    <x v="616"/>
    <x v="33"/>
    <x v="33"/>
    <x v="1"/>
  </r>
  <r>
    <x v="1"/>
    <x v="1"/>
    <x v="620"/>
    <x v="0"/>
    <x v="24"/>
    <x v="49"/>
    <x v="5"/>
    <x v="7"/>
    <x v="62"/>
    <x v="126"/>
    <x v="35"/>
    <x v="35"/>
    <x v="1"/>
  </r>
  <r>
    <x v="1"/>
    <x v="1"/>
    <x v="620"/>
    <x v="0"/>
    <x v="24"/>
    <x v="49"/>
    <x v="4"/>
    <x v="7"/>
    <x v="68"/>
    <x v="155"/>
    <x v="39"/>
    <x v="39"/>
    <x v="1"/>
  </r>
  <r>
    <x v="1"/>
    <x v="1"/>
    <x v="620"/>
    <x v="0"/>
    <x v="24"/>
    <x v="49"/>
    <x v="0"/>
    <x v="16"/>
    <x v="63"/>
    <x v="324"/>
    <x v="33"/>
    <x v="33"/>
    <x v="1"/>
  </r>
  <r>
    <x v="1"/>
    <x v="1"/>
    <x v="620"/>
    <x v="0"/>
    <x v="24"/>
    <x v="49"/>
    <x v="3"/>
    <x v="21"/>
    <x v="78"/>
    <x v="576"/>
    <x v="50"/>
    <x v="50"/>
    <x v="1"/>
  </r>
  <r>
    <x v="1"/>
    <x v="1"/>
    <x v="649"/>
    <x v="0"/>
    <x v="24"/>
    <x v="49"/>
    <x v="2"/>
    <x v="27"/>
    <x v="111"/>
    <x v="1072"/>
    <x v="37"/>
    <x v="37"/>
    <x v="1"/>
  </r>
  <r>
    <x v="1"/>
    <x v="1"/>
    <x v="649"/>
    <x v="0"/>
    <x v="24"/>
    <x v="49"/>
    <x v="1"/>
    <x v="17"/>
    <x v="75"/>
    <x v="444"/>
    <x v="36"/>
    <x v="36"/>
    <x v="1"/>
  </r>
  <r>
    <x v="1"/>
    <x v="1"/>
    <x v="649"/>
    <x v="0"/>
    <x v="24"/>
    <x v="49"/>
    <x v="5"/>
    <x v="16"/>
    <x v="60"/>
    <x v="298"/>
    <x v="34"/>
    <x v="34"/>
    <x v="1"/>
  </r>
  <r>
    <x v="1"/>
    <x v="1"/>
    <x v="649"/>
    <x v="0"/>
    <x v="24"/>
    <x v="49"/>
    <x v="4"/>
    <x v="16"/>
    <x v="48"/>
    <x v="198"/>
    <x v="36"/>
    <x v="36"/>
    <x v="1"/>
  </r>
  <r>
    <x v="1"/>
    <x v="1"/>
    <x v="649"/>
    <x v="0"/>
    <x v="24"/>
    <x v="49"/>
    <x v="0"/>
    <x v="25"/>
    <x v="56"/>
    <x v="441"/>
    <x v="33"/>
    <x v="33"/>
    <x v="1"/>
  </r>
  <r>
    <x v="1"/>
    <x v="1"/>
    <x v="649"/>
    <x v="0"/>
    <x v="24"/>
    <x v="49"/>
    <x v="3"/>
    <x v="31"/>
    <x v="73"/>
    <x v="776"/>
    <x v="50"/>
    <x v="50"/>
    <x v="1"/>
  </r>
  <r>
    <x v="1"/>
    <x v="1"/>
    <x v="680"/>
    <x v="0"/>
    <x v="24"/>
    <x v="49"/>
    <x v="2"/>
    <x v="27"/>
    <x v="129"/>
    <x v="1228"/>
    <x v="37"/>
    <x v="37"/>
    <x v="1"/>
  </r>
  <r>
    <x v="1"/>
    <x v="1"/>
    <x v="680"/>
    <x v="0"/>
    <x v="24"/>
    <x v="49"/>
    <x v="1"/>
    <x v="16"/>
    <x v="73"/>
    <x v="397"/>
    <x v="31"/>
    <x v="31"/>
    <x v="1"/>
  </r>
  <r>
    <x v="1"/>
    <x v="1"/>
    <x v="680"/>
    <x v="0"/>
    <x v="24"/>
    <x v="49"/>
    <x v="5"/>
    <x v="16"/>
    <x v="66"/>
    <x v="341"/>
    <x v="35"/>
    <x v="35"/>
    <x v="1"/>
  </r>
  <r>
    <x v="1"/>
    <x v="1"/>
    <x v="680"/>
    <x v="0"/>
    <x v="24"/>
    <x v="49"/>
    <x v="4"/>
    <x v="16"/>
    <x v="73"/>
    <x v="397"/>
    <x v="38"/>
    <x v="38"/>
    <x v="1"/>
  </r>
  <r>
    <x v="1"/>
    <x v="1"/>
    <x v="680"/>
    <x v="0"/>
    <x v="24"/>
    <x v="49"/>
    <x v="0"/>
    <x v="36"/>
    <x v="67"/>
    <x v="816"/>
    <x v="34"/>
    <x v="34"/>
    <x v="1"/>
  </r>
  <r>
    <x v="1"/>
    <x v="1"/>
    <x v="680"/>
    <x v="0"/>
    <x v="24"/>
    <x v="49"/>
    <x v="3"/>
    <x v="41"/>
    <x v="90"/>
    <x v="1250"/>
    <x v="49"/>
    <x v="49"/>
    <x v="1"/>
  </r>
  <r>
    <x v="1"/>
    <x v="1"/>
    <x v="709"/>
    <x v="0"/>
    <x v="24"/>
    <x v="49"/>
    <x v="2"/>
    <x v="34"/>
    <x v="141"/>
    <x v="1608"/>
    <x v="38"/>
    <x v="38"/>
    <x v="1"/>
  </r>
  <r>
    <x v="1"/>
    <x v="1"/>
    <x v="709"/>
    <x v="0"/>
    <x v="24"/>
    <x v="49"/>
    <x v="1"/>
    <x v="25"/>
    <x v="94"/>
    <x v="851"/>
    <x v="34"/>
    <x v="34"/>
    <x v="1"/>
  </r>
  <r>
    <x v="5"/>
    <x v="1"/>
    <x v="709"/>
    <x v="0"/>
    <x v="24"/>
    <x v="49"/>
    <x v="5"/>
    <x v="25"/>
    <x v="101"/>
    <x v="907"/>
    <x v="33"/>
    <x v="33"/>
    <x v="1"/>
  </r>
  <r>
    <x v="5"/>
    <x v="1"/>
    <x v="709"/>
    <x v="0"/>
    <x v="24"/>
    <x v="49"/>
    <x v="4"/>
    <x v="27"/>
    <x v="73"/>
    <x v="669"/>
    <x v="38"/>
    <x v="38"/>
    <x v="1"/>
  </r>
  <r>
    <x v="5"/>
    <x v="1"/>
    <x v="709"/>
    <x v="0"/>
    <x v="24"/>
    <x v="49"/>
    <x v="0"/>
    <x v="35"/>
    <x v="73"/>
    <x v="874"/>
    <x v="36"/>
    <x v="36"/>
    <x v="1"/>
  </r>
  <r>
    <x v="5"/>
    <x v="1"/>
    <x v="709"/>
    <x v="0"/>
    <x v="24"/>
    <x v="49"/>
    <x v="3"/>
    <x v="40"/>
    <x v="106"/>
    <x v="1421"/>
    <x v="47"/>
    <x v="47"/>
    <x v="1"/>
  </r>
  <r>
    <x v="5"/>
    <x v="1"/>
    <x v="369"/>
    <x v="0"/>
    <x v="24"/>
    <x v="49"/>
    <x v="2"/>
    <x v="16"/>
    <x v="172"/>
    <x v="1088"/>
    <x v="41"/>
    <x v="41"/>
    <x v="1"/>
  </r>
  <r>
    <x v="5"/>
    <x v="1"/>
    <x v="369"/>
    <x v="0"/>
    <x v="24"/>
    <x v="49"/>
    <x v="1"/>
    <x v="16"/>
    <x v="113"/>
    <x v="694"/>
    <x v="33"/>
    <x v="33"/>
    <x v="1"/>
  </r>
  <r>
    <x v="5"/>
    <x v="1"/>
    <x v="369"/>
    <x v="0"/>
    <x v="24"/>
    <x v="49"/>
    <x v="5"/>
    <x v="7"/>
    <x v="123"/>
    <x v="390"/>
    <x v="33"/>
    <x v="33"/>
    <x v="1"/>
  </r>
  <r>
    <x v="5"/>
    <x v="1"/>
    <x v="369"/>
    <x v="0"/>
    <x v="24"/>
    <x v="49"/>
    <x v="4"/>
    <x v="11"/>
    <x v="73"/>
    <x v="270"/>
    <x v="38"/>
    <x v="38"/>
    <x v="1"/>
  </r>
  <r>
    <x v="5"/>
    <x v="1"/>
    <x v="369"/>
    <x v="0"/>
    <x v="24"/>
    <x v="49"/>
    <x v="0"/>
    <x v="26"/>
    <x v="80"/>
    <x v="745"/>
    <x v="33"/>
    <x v="33"/>
    <x v="1"/>
  </r>
  <r>
    <x v="5"/>
    <x v="1"/>
    <x v="369"/>
    <x v="0"/>
    <x v="24"/>
    <x v="49"/>
    <x v="3"/>
    <x v="17"/>
    <x v="118"/>
    <x v="769"/>
    <x v="50"/>
    <x v="50"/>
    <x v="1"/>
  </r>
  <r>
    <x v="5"/>
    <x v="1"/>
    <x v="400"/>
    <x v="0"/>
    <x v="24"/>
    <x v="49"/>
    <x v="2"/>
    <x v="18"/>
    <x v="188"/>
    <x v="1309"/>
    <x v="39"/>
    <x v="39"/>
    <x v="1"/>
  </r>
  <r>
    <x v="5"/>
    <x v="1"/>
    <x v="400"/>
    <x v="0"/>
    <x v="24"/>
    <x v="49"/>
    <x v="1"/>
    <x v="17"/>
    <x v="83"/>
    <x v="508"/>
    <x v="33"/>
    <x v="33"/>
    <x v="1"/>
  </r>
  <r>
    <x v="5"/>
    <x v="1"/>
    <x v="400"/>
    <x v="0"/>
    <x v="24"/>
    <x v="49"/>
    <x v="5"/>
    <x v="7"/>
    <x v="96"/>
    <x v="277"/>
    <x v="31"/>
    <x v="31"/>
    <x v="1"/>
  </r>
  <r>
    <x v="5"/>
    <x v="1"/>
    <x v="400"/>
    <x v="4"/>
    <x v="43"/>
    <x v="45"/>
    <x v="4"/>
    <x v="12"/>
    <x v="72"/>
    <x v="290"/>
    <x v="36"/>
    <x v="36"/>
    <x v="1"/>
  </r>
  <r>
    <x v="5"/>
    <x v="1"/>
    <x v="400"/>
    <x v="4"/>
    <x v="43"/>
    <x v="45"/>
    <x v="0"/>
    <x v="25"/>
    <x v="83"/>
    <x v="744"/>
    <x v="31"/>
    <x v="31"/>
    <x v="1"/>
  </r>
  <r>
    <x v="5"/>
    <x v="1"/>
    <x v="400"/>
    <x v="4"/>
    <x v="43"/>
    <x v="45"/>
    <x v="3"/>
    <x v="17"/>
    <x v="111"/>
    <x v="719"/>
    <x v="48"/>
    <x v="48"/>
    <x v="1"/>
  </r>
  <r>
    <x v="5"/>
    <x v="1"/>
    <x v="427"/>
    <x v="4"/>
    <x v="43"/>
    <x v="45"/>
    <x v="2"/>
    <x v="22"/>
    <x v="146"/>
    <x v="1174"/>
    <x v="38"/>
    <x v="38"/>
    <x v="1"/>
  </r>
  <r>
    <x v="5"/>
    <x v="1"/>
    <x v="427"/>
    <x v="4"/>
    <x v="43"/>
    <x v="45"/>
    <x v="1"/>
    <x v="21"/>
    <x v="84"/>
    <x v="632"/>
    <x v="36"/>
    <x v="36"/>
    <x v="1"/>
  </r>
  <r>
    <x v="5"/>
    <x v="1"/>
    <x v="427"/>
    <x v="4"/>
    <x v="43"/>
    <x v="45"/>
    <x v="5"/>
    <x v="11"/>
    <x v="93"/>
    <x v="394"/>
    <x v="36"/>
    <x v="36"/>
    <x v="1"/>
  </r>
  <r>
    <x v="5"/>
    <x v="1"/>
    <x v="427"/>
    <x v="4"/>
    <x v="43"/>
    <x v="45"/>
    <x v="4"/>
    <x v="16"/>
    <x v="60"/>
    <x v="298"/>
    <x v="39"/>
    <x v="39"/>
    <x v="1"/>
  </r>
  <r>
    <x v="5"/>
    <x v="1"/>
    <x v="427"/>
    <x v="4"/>
    <x v="43"/>
    <x v="45"/>
    <x v="0"/>
    <x v="31"/>
    <x v="62"/>
    <x v="631"/>
    <x v="36"/>
    <x v="36"/>
    <x v="1"/>
  </r>
  <r>
    <x v="5"/>
    <x v="1"/>
    <x v="427"/>
    <x v="4"/>
    <x v="43"/>
    <x v="45"/>
    <x v="3"/>
    <x v="22"/>
    <x v="82"/>
    <x v="642"/>
    <x v="50"/>
    <x v="50"/>
    <x v="1"/>
  </r>
  <r>
    <x v="5"/>
    <x v="1"/>
    <x v="459"/>
    <x v="4"/>
    <x v="43"/>
    <x v="45"/>
    <x v="2"/>
    <x v="20"/>
    <x v="158"/>
    <x v="1179"/>
    <x v="36"/>
    <x v="36"/>
    <x v="1"/>
  </r>
  <r>
    <x v="5"/>
    <x v="1"/>
    <x v="459"/>
    <x v="4"/>
    <x v="43"/>
    <x v="45"/>
    <x v="1"/>
    <x v="18"/>
    <x v="77"/>
    <x v="487"/>
    <x v="31"/>
    <x v="31"/>
    <x v="1"/>
  </r>
  <r>
    <x v="5"/>
    <x v="1"/>
    <x v="459"/>
    <x v="4"/>
    <x v="43"/>
    <x v="45"/>
    <x v="5"/>
    <x v="7"/>
    <x v="80"/>
    <x v="204"/>
    <x v="32"/>
    <x v="32"/>
    <x v="1"/>
  </r>
  <r>
    <x v="5"/>
    <x v="1"/>
    <x v="459"/>
    <x v="4"/>
    <x v="43"/>
    <x v="45"/>
    <x v="4"/>
    <x v="11"/>
    <x v="58"/>
    <x v="176"/>
    <x v="39"/>
    <x v="39"/>
    <x v="1"/>
  </r>
  <r>
    <x v="5"/>
    <x v="1"/>
    <x v="459"/>
    <x v="4"/>
    <x v="43"/>
    <x v="45"/>
    <x v="0"/>
    <x v="26"/>
    <x v="61"/>
    <x v="513"/>
    <x v="32"/>
    <x v="32"/>
    <x v="1"/>
  </r>
  <r>
    <x v="5"/>
    <x v="1"/>
    <x v="459"/>
    <x v="4"/>
    <x v="43"/>
    <x v="45"/>
    <x v="3"/>
    <x v="17"/>
    <x v="93"/>
    <x v="585"/>
    <x v="46"/>
    <x v="46"/>
    <x v="1"/>
  </r>
  <r>
    <x v="5"/>
    <x v="1"/>
    <x v="490"/>
    <x v="4"/>
    <x v="43"/>
    <x v="45"/>
    <x v="2"/>
    <x v="25"/>
    <x v="151"/>
    <x v="1342"/>
    <x v="37"/>
    <x v="37"/>
    <x v="1"/>
  </r>
  <r>
    <x v="5"/>
    <x v="1"/>
    <x v="490"/>
    <x v="4"/>
    <x v="43"/>
    <x v="45"/>
    <x v="1"/>
    <x v="22"/>
    <x v="83"/>
    <x v="653"/>
    <x v="35"/>
    <x v="35"/>
    <x v="1"/>
  </r>
  <r>
    <x v="5"/>
    <x v="1"/>
    <x v="490"/>
    <x v="4"/>
    <x v="43"/>
    <x v="45"/>
    <x v="5"/>
    <x v="18"/>
    <x v="80"/>
    <x v="516"/>
    <x v="36"/>
    <x v="36"/>
    <x v="1"/>
  </r>
  <r>
    <x v="5"/>
    <x v="1"/>
    <x v="490"/>
    <x v="4"/>
    <x v="43"/>
    <x v="45"/>
    <x v="4"/>
    <x v="16"/>
    <x v="59"/>
    <x v="291"/>
    <x v="41"/>
    <x v="41"/>
    <x v="1"/>
  </r>
  <r>
    <x v="5"/>
    <x v="1"/>
    <x v="490"/>
    <x v="4"/>
    <x v="43"/>
    <x v="45"/>
    <x v="0"/>
    <x v="32"/>
    <x v="62"/>
    <x v="650"/>
    <x v="36"/>
    <x v="36"/>
    <x v="1"/>
  </r>
  <r>
    <x v="5"/>
    <x v="1"/>
    <x v="490"/>
    <x v="4"/>
    <x v="43"/>
    <x v="45"/>
    <x v="3"/>
    <x v="37"/>
    <x v="101"/>
    <x v="1272"/>
    <x v="51"/>
    <x v="51"/>
    <x v="1"/>
  </r>
  <r>
    <x v="5"/>
    <x v="1"/>
    <x v="520"/>
    <x v="4"/>
    <x v="43"/>
    <x v="45"/>
    <x v="2"/>
    <x v="21"/>
    <x v="159"/>
    <x v="1227"/>
    <x v="37"/>
    <x v="37"/>
    <x v="1"/>
  </r>
  <r>
    <x v="5"/>
    <x v="1"/>
    <x v="520"/>
    <x v="4"/>
    <x v="43"/>
    <x v="45"/>
    <x v="1"/>
    <x v="17"/>
    <x v="93"/>
    <x v="585"/>
    <x v="35"/>
    <x v="35"/>
    <x v="1"/>
  </r>
  <r>
    <x v="5"/>
    <x v="1"/>
    <x v="520"/>
    <x v="4"/>
    <x v="43"/>
    <x v="45"/>
    <x v="5"/>
    <x v="12"/>
    <x v="96"/>
    <x v="445"/>
    <x v="35"/>
    <x v="35"/>
    <x v="1"/>
  </r>
  <r>
    <x v="5"/>
    <x v="1"/>
    <x v="520"/>
    <x v="4"/>
    <x v="43"/>
    <x v="45"/>
    <x v="4"/>
    <x v="12"/>
    <x v="90"/>
    <x v="406"/>
    <x v="37"/>
    <x v="37"/>
    <x v="1"/>
  </r>
  <r>
    <x v="5"/>
    <x v="1"/>
    <x v="520"/>
    <x v="4"/>
    <x v="43"/>
    <x v="45"/>
    <x v="0"/>
    <x v="27"/>
    <x v="90"/>
    <x v="870"/>
    <x v="31"/>
    <x v="31"/>
    <x v="1"/>
  </r>
  <r>
    <x v="5"/>
    <x v="1"/>
    <x v="520"/>
    <x v="4"/>
    <x v="43"/>
    <x v="45"/>
    <x v="3"/>
    <x v="31"/>
    <x v="129"/>
    <x v="1372"/>
    <x v="46"/>
    <x v="46"/>
    <x v="1"/>
  </r>
  <r>
    <x v="5"/>
    <x v="1"/>
    <x v="549"/>
    <x v="4"/>
    <x v="43"/>
    <x v="45"/>
    <x v="2"/>
    <x v="27"/>
    <x v="193"/>
    <x v="1800"/>
    <x v="38"/>
    <x v="38"/>
    <x v="1"/>
  </r>
  <r>
    <x v="5"/>
    <x v="1"/>
    <x v="549"/>
    <x v="4"/>
    <x v="43"/>
    <x v="45"/>
    <x v="1"/>
    <x v="22"/>
    <x v="138"/>
    <x v="1119"/>
    <x v="34"/>
    <x v="34"/>
    <x v="1"/>
  </r>
  <r>
    <x v="5"/>
    <x v="1"/>
    <x v="549"/>
    <x v="4"/>
    <x v="43"/>
    <x v="45"/>
    <x v="5"/>
    <x v="17"/>
    <x v="118"/>
    <x v="769"/>
    <x v="34"/>
    <x v="34"/>
    <x v="1"/>
  </r>
  <r>
    <x v="5"/>
    <x v="1"/>
    <x v="549"/>
    <x v="4"/>
    <x v="43"/>
    <x v="45"/>
    <x v="4"/>
    <x v="16"/>
    <x v="96"/>
    <x v="570"/>
    <x v="36"/>
    <x v="36"/>
    <x v="1"/>
  </r>
  <r>
    <x v="5"/>
    <x v="1"/>
    <x v="549"/>
    <x v="4"/>
    <x v="43"/>
    <x v="45"/>
    <x v="0"/>
    <x v="25"/>
    <x v="108"/>
    <x v="978"/>
    <x v="32"/>
    <x v="32"/>
    <x v="1"/>
  </r>
  <r>
    <x v="5"/>
    <x v="1"/>
    <x v="549"/>
    <x v="4"/>
    <x v="43"/>
    <x v="45"/>
    <x v="3"/>
    <x v="31"/>
    <x v="129"/>
    <x v="1372"/>
    <x v="51"/>
    <x v="51"/>
    <x v="1"/>
  </r>
  <r>
    <x v="5"/>
    <x v="1"/>
    <x v="581"/>
    <x v="4"/>
    <x v="43"/>
    <x v="45"/>
    <x v="2"/>
    <x v="26"/>
    <x v="177"/>
    <x v="1611"/>
    <x v="36"/>
    <x v="36"/>
    <x v="1"/>
  </r>
  <r>
    <x v="5"/>
    <x v="1"/>
    <x v="581"/>
    <x v="4"/>
    <x v="43"/>
    <x v="45"/>
    <x v="1"/>
    <x v="27"/>
    <x v="111"/>
    <x v="1072"/>
    <x v="33"/>
    <x v="33"/>
    <x v="1"/>
  </r>
  <r>
    <x v="5"/>
    <x v="1"/>
    <x v="581"/>
    <x v="4"/>
    <x v="43"/>
    <x v="45"/>
    <x v="5"/>
    <x v="22"/>
    <x v="94"/>
    <x v="759"/>
    <x v="35"/>
    <x v="35"/>
    <x v="1"/>
  </r>
  <r>
    <x v="5"/>
    <x v="1"/>
    <x v="581"/>
    <x v="4"/>
    <x v="43"/>
    <x v="45"/>
    <x v="4"/>
    <x v="12"/>
    <x v="83"/>
    <x v="365"/>
    <x v="39"/>
    <x v="39"/>
    <x v="1"/>
  </r>
  <r>
    <x v="5"/>
    <x v="1"/>
    <x v="581"/>
    <x v="4"/>
    <x v="43"/>
    <x v="45"/>
    <x v="0"/>
    <x v="22"/>
    <x v="87"/>
    <x v="689"/>
    <x v="32"/>
    <x v="32"/>
    <x v="1"/>
  </r>
  <r>
    <x v="5"/>
    <x v="1"/>
    <x v="581"/>
    <x v="4"/>
    <x v="43"/>
    <x v="45"/>
    <x v="3"/>
    <x v="25"/>
    <x v="131"/>
    <x v="1173"/>
    <x v="46"/>
    <x v="46"/>
    <x v="1"/>
  </r>
  <r>
    <x v="5"/>
    <x v="1"/>
    <x v="613"/>
    <x v="4"/>
    <x v="43"/>
    <x v="45"/>
    <x v="2"/>
    <x v="22"/>
    <x v="147"/>
    <x v="1185"/>
    <x v="38"/>
    <x v="38"/>
    <x v="1"/>
  </r>
  <r>
    <x v="5"/>
    <x v="1"/>
    <x v="613"/>
    <x v="4"/>
    <x v="43"/>
    <x v="45"/>
    <x v="1"/>
    <x v="16"/>
    <x v="102"/>
    <x v="618"/>
    <x v="31"/>
    <x v="31"/>
    <x v="1"/>
  </r>
  <r>
    <x v="5"/>
    <x v="1"/>
    <x v="613"/>
    <x v="4"/>
    <x v="43"/>
    <x v="45"/>
    <x v="5"/>
    <x v="2"/>
    <x v="75"/>
    <x v="81"/>
    <x v="36"/>
    <x v="36"/>
    <x v="1"/>
  </r>
  <r>
    <x v="5"/>
    <x v="1"/>
    <x v="613"/>
    <x v="4"/>
    <x v="43"/>
    <x v="45"/>
    <x v="4"/>
    <x v="3"/>
    <x v="73"/>
    <x v="89"/>
    <x v="37"/>
    <x v="37"/>
    <x v="1"/>
  </r>
  <r>
    <x v="5"/>
    <x v="1"/>
    <x v="613"/>
    <x v="4"/>
    <x v="43"/>
    <x v="45"/>
    <x v="0"/>
    <x v="12"/>
    <x v="73"/>
    <x v="295"/>
    <x v="36"/>
    <x v="36"/>
    <x v="1"/>
  </r>
  <r>
    <x v="5"/>
    <x v="1"/>
    <x v="613"/>
    <x v="4"/>
    <x v="43"/>
    <x v="45"/>
    <x v="3"/>
    <x v="17"/>
    <x v="101"/>
    <x v="636"/>
    <x v="50"/>
    <x v="50"/>
    <x v="1"/>
  </r>
  <r>
    <x v="5"/>
    <x v="1"/>
    <x v="642"/>
    <x v="4"/>
    <x v="43"/>
    <x v="45"/>
    <x v="2"/>
    <x v="21"/>
    <x v="150"/>
    <x v="1165"/>
    <x v="37"/>
    <x v="37"/>
    <x v="1"/>
  </r>
  <r>
    <x v="5"/>
    <x v="1"/>
    <x v="642"/>
    <x v="4"/>
    <x v="43"/>
    <x v="45"/>
    <x v="1"/>
    <x v="12"/>
    <x v="82"/>
    <x v="359"/>
    <x v="36"/>
    <x v="36"/>
    <x v="1"/>
  </r>
  <r>
    <x v="5"/>
    <x v="1"/>
    <x v="642"/>
    <x v="4"/>
    <x v="43"/>
    <x v="45"/>
    <x v="5"/>
    <x v="12"/>
    <x v="72"/>
    <x v="290"/>
    <x v="35"/>
    <x v="35"/>
    <x v="1"/>
  </r>
  <r>
    <x v="5"/>
    <x v="1"/>
    <x v="642"/>
    <x v="4"/>
    <x v="43"/>
    <x v="45"/>
    <x v="4"/>
    <x v="12"/>
    <x v="59"/>
    <x v="203"/>
    <x v="41"/>
    <x v="41"/>
    <x v="1"/>
  </r>
  <r>
    <x v="5"/>
    <x v="1"/>
    <x v="642"/>
    <x v="4"/>
    <x v="43"/>
    <x v="45"/>
    <x v="0"/>
    <x v="22"/>
    <x v="68"/>
    <x v="502"/>
    <x v="36"/>
    <x v="36"/>
    <x v="1"/>
  </r>
  <r>
    <x v="5"/>
    <x v="1"/>
    <x v="642"/>
    <x v="4"/>
    <x v="43"/>
    <x v="45"/>
    <x v="3"/>
    <x v="25"/>
    <x v="86"/>
    <x v="772"/>
    <x v="48"/>
    <x v="48"/>
    <x v="1"/>
  </r>
  <r>
    <x v="5"/>
    <x v="1"/>
    <x v="673"/>
    <x v="4"/>
    <x v="43"/>
    <x v="45"/>
    <x v="2"/>
    <x v="22"/>
    <x v="128"/>
    <x v="1035"/>
    <x v="36"/>
    <x v="36"/>
    <x v="1"/>
  </r>
  <r>
    <x v="5"/>
    <x v="1"/>
    <x v="673"/>
    <x v="4"/>
    <x v="43"/>
    <x v="45"/>
    <x v="1"/>
    <x v="13"/>
    <x v="90"/>
    <x v="437"/>
    <x v="32"/>
    <x v="32"/>
    <x v="1"/>
  </r>
  <r>
    <x v="5"/>
    <x v="1"/>
    <x v="673"/>
    <x v="4"/>
    <x v="43"/>
    <x v="45"/>
    <x v="5"/>
    <x v="12"/>
    <x v="76"/>
    <x v="322"/>
    <x v="34"/>
    <x v="34"/>
    <x v="1"/>
  </r>
  <r>
    <x v="5"/>
    <x v="1"/>
    <x v="673"/>
    <x v="4"/>
    <x v="43"/>
    <x v="45"/>
    <x v="4"/>
    <x v="12"/>
    <x v="94"/>
    <x v="434"/>
    <x v="37"/>
    <x v="37"/>
    <x v="1"/>
  </r>
  <r>
    <x v="5"/>
    <x v="1"/>
    <x v="673"/>
    <x v="4"/>
    <x v="43"/>
    <x v="45"/>
    <x v="0"/>
    <x v="32"/>
    <x v="75"/>
    <x v="831"/>
    <x v="35"/>
    <x v="35"/>
    <x v="1"/>
  </r>
  <r>
    <x v="5"/>
    <x v="1"/>
    <x v="673"/>
    <x v="4"/>
    <x v="43"/>
    <x v="45"/>
    <x v="3"/>
    <x v="36"/>
    <x v="94"/>
    <x v="1170"/>
    <x v="51"/>
    <x v="51"/>
    <x v="1"/>
  </r>
  <r>
    <x v="5"/>
    <x v="1"/>
    <x v="702"/>
    <x v="4"/>
    <x v="43"/>
    <x v="45"/>
    <x v="2"/>
    <x v="32"/>
    <x v="177"/>
    <x v="1865"/>
    <x v="41"/>
    <x v="41"/>
    <x v="1"/>
  </r>
  <r>
    <x v="5"/>
    <x v="1"/>
    <x v="702"/>
    <x v="4"/>
    <x v="43"/>
    <x v="45"/>
    <x v="1"/>
    <x v="21"/>
    <x v="125"/>
    <x v="971"/>
    <x v="35"/>
    <x v="35"/>
    <x v="1"/>
  </r>
  <r>
    <x v="5"/>
    <x v="1"/>
    <x v="702"/>
    <x v="4"/>
    <x v="43"/>
    <x v="45"/>
    <x v="5"/>
    <x v="22"/>
    <x v="94"/>
    <x v="759"/>
    <x v="33"/>
    <x v="33"/>
    <x v="1"/>
  </r>
  <r>
    <x v="5"/>
    <x v="1"/>
    <x v="702"/>
    <x v="4"/>
    <x v="43"/>
    <x v="45"/>
    <x v="4"/>
    <x v="20"/>
    <x v="93"/>
    <x v="679"/>
    <x v="37"/>
    <x v="37"/>
    <x v="1"/>
  </r>
  <r>
    <x v="5"/>
    <x v="1"/>
    <x v="702"/>
    <x v="4"/>
    <x v="43"/>
    <x v="45"/>
    <x v="0"/>
    <x v="31"/>
    <x v="93"/>
    <x v="1018"/>
    <x v="36"/>
    <x v="36"/>
    <x v="1"/>
  </r>
  <r>
    <x v="5"/>
    <x v="1"/>
    <x v="702"/>
    <x v="4"/>
    <x v="43"/>
    <x v="45"/>
    <x v="3"/>
    <x v="35"/>
    <x v="105"/>
    <x v="1267"/>
    <x v="47"/>
    <x v="47"/>
    <x v="1"/>
  </r>
  <r>
    <x v="5"/>
    <x v="0"/>
    <x v="382"/>
    <x v="4"/>
    <x v="43"/>
    <x v="45"/>
    <x v="2"/>
    <x v="20"/>
    <x v="80"/>
    <x v="571"/>
    <x v="34"/>
    <x v="34"/>
    <x v="1"/>
  </r>
  <r>
    <x v="5"/>
    <x v="0"/>
    <x v="382"/>
    <x v="4"/>
    <x v="43"/>
    <x v="45"/>
    <x v="1"/>
    <x v="32"/>
    <x v="87"/>
    <x v="977"/>
    <x v="35"/>
    <x v="35"/>
    <x v="1"/>
  </r>
  <r>
    <x v="5"/>
    <x v="0"/>
    <x v="382"/>
    <x v="4"/>
    <x v="43"/>
    <x v="45"/>
    <x v="5"/>
    <x v="32"/>
    <x v="87"/>
    <x v="977"/>
    <x v="34"/>
    <x v="34"/>
    <x v="1"/>
  </r>
  <r>
    <x v="5"/>
    <x v="0"/>
    <x v="382"/>
    <x v="4"/>
    <x v="43"/>
    <x v="45"/>
    <x v="4"/>
    <x v="32"/>
    <x v="47"/>
    <x v="465"/>
    <x v="32"/>
    <x v="32"/>
    <x v="1"/>
  </r>
  <r>
    <x v="5"/>
    <x v="0"/>
    <x v="382"/>
    <x v="4"/>
    <x v="43"/>
    <x v="45"/>
    <x v="0"/>
    <x v="35"/>
    <x v="33"/>
    <x v="343"/>
    <x v="41"/>
    <x v="41"/>
    <x v="1"/>
  </r>
  <r>
    <x v="5"/>
    <x v="0"/>
    <x v="382"/>
    <x v="4"/>
    <x v="43"/>
    <x v="45"/>
    <x v="3"/>
    <x v="32"/>
    <x v="90"/>
    <x v="1007"/>
    <x v="29"/>
    <x v="29"/>
    <x v="1"/>
  </r>
  <r>
    <x v="5"/>
    <x v="0"/>
    <x v="413"/>
    <x v="4"/>
    <x v="43"/>
    <x v="45"/>
    <x v="2"/>
    <x v="22"/>
    <x v="98"/>
    <x v="789"/>
    <x v="31"/>
    <x v="31"/>
    <x v="1"/>
  </r>
  <r>
    <x v="5"/>
    <x v="0"/>
    <x v="413"/>
    <x v="4"/>
    <x v="43"/>
    <x v="45"/>
    <x v="1"/>
    <x v="32"/>
    <x v="75"/>
    <x v="831"/>
    <x v="34"/>
    <x v="34"/>
    <x v="1"/>
  </r>
  <r>
    <x v="5"/>
    <x v="0"/>
    <x v="413"/>
    <x v="4"/>
    <x v="43"/>
    <x v="45"/>
    <x v="5"/>
    <x v="29"/>
    <x v="73"/>
    <x v="726"/>
    <x v="31"/>
    <x v="31"/>
    <x v="1"/>
  </r>
  <r>
    <x v="5"/>
    <x v="0"/>
    <x v="413"/>
    <x v="4"/>
    <x v="36"/>
    <x v="42"/>
    <x v="4"/>
    <x v="32"/>
    <x v="47"/>
    <x v="465"/>
    <x v="34"/>
    <x v="34"/>
    <x v="1"/>
  </r>
  <r>
    <x v="5"/>
    <x v="0"/>
    <x v="413"/>
    <x v="4"/>
    <x v="36"/>
    <x v="42"/>
    <x v="0"/>
    <x v="35"/>
    <x v="27"/>
    <x v="274"/>
    <x v="38"/>
    <x v="38"/>
    <x v="1"/>
  </r>
  <r>
    <x v="5"/>
    <x v="0"/>
    <x v="413"/>
    <x v="4"/>
    <x v="36"/>
    <x v="42"/>
    <x v="3"/>
    <x v="30"/>
    <x v="70"/>
    <x v="720"/>
    <x v="26"/>
    <x v="26"/>
    <x v="1"/>
  </r>
  <r>
    <x v="5"/>
    <x v="0"/>
    <x v="440"/>
    <x v="4"/>
    <x v="36"/>
    <x v="42"/>
    <x v="2"/>
    <x v="31"/>
    <x v="108"/>
    <x v="1173"/>
    <x v="35"/>
    <x v="35"/>
    <x v="1"/>
  </r>
  <r>
    <x v="5"/>
    <x v="0"/>
    <x v="440"/>
    <x v="4"/>
    <x v="36"/>
    <x v="42"/>
    <x v="1"/>
    <x v="38"/>
    <x v="70"/>
    <x v="904"/>
    <x v="34"/>
    <x v="34"/>
    <x v="1"/>
  </r>
  <r>
    <x v="5"/>
    <x v="0"/>
    <x v="440"/>
    <x v="4"/>
    <x v="36"/>
    <x v="42"/>
    <x v="5"/>
    <x v="47"/>
    <x v="73"/>
    <x v="1146"/>
    <x v="31"/>
    <x v="31"/>
    <x v="1"/>
  </r>
  <r>
    <x v="5"/>
    <x v="0"/>
    <x v="440"/>
    <x v="4"/>
    <x v="36"/>
    <x v="42"/>
    <x v="4"/>
    <x v="42"/>
    <x v="54"/>
    <x v="730"/>
    <x v="34"/>
    <x v="34"/>
    <x v="1"/>
  </r>
  <r>
    <x v="5"/>
    <x v="0"/>
    <x v="440"/>
    <x v="4"/>
    <x v="36"/>
    <x v="42"/>
    <x v="0"/>
    <x v="47"/>
    <x v="16"/>
    <x v="215"/>
    <x v="39"/>
    <x v="39"/>
    <x v="1"/>
  </r>
  <r>
    <x v="5"/>
    <x v="0"/>
    <x v="440"/>
    <x v="4"/>
    <x v="36"/>
    <x v="42"/>
    <x v="3"/>
    <x v="42"/>
    <x v="72"/>
    <x v="1019"/>
    <x v="28"/>
    <x v="28"/>
    <x v="1"/>
  </r>
  <r>
    <x v="5"/>
    <x v="0"/>
    <x v="472"/>
    <x v="4"/>
    <x v="36"/>
    <x v="42"/>
    <x v="2"/>
    <x v="44"/>
    <x v="104"/>
    <x v="1522"/>
    <x v="32"/>
    <x v="32"/>
    <x v="1"/>
  </r>
  <r>
    <x v="5"/>
    <x v="0"/>
    <x v="472"/>
    <x v="4"/>
    <x v="36"/>
    <x v="42"/>
    <x v="1"/>
    <x v="47"/>
    <x v="68"/>
    <x v="1082"/>
    <x v="35"/>
    <x v="35"/>
    <x v="1"/>
  </r>
  <r>
    <x v="5"/>
    <x v="0"/>
    <x v="472"/>
    <x v="4"/>
    <x v="36"/>
    <x v="42"/>
    <x v="5"/>
    <x v="48"/>
    <x v="70"/>
    <x v="1129"/>
    <x v="34"/>
    <x v="34"/>
    <x v="1"/>
  </r>
  <r>
    <x v="5"/>
    <x v="0"/>
    <x v="472"/>
    <x v="4"/>
    <x v="36"/>
    <x v="42"/>
    <x v="4"/>
    <x v="34"/>
    <x v="52"/>
    <x v="550"/>
    <x v="36"/>
    <x v="36"/>
    <x v="1"/>
  </r>
  <r>
    <x v="5"/>
    <x v="0"/>
    <x v="472"/>
    <x v="4"/>
    <x v="36"/>
    <x v="42"/>
    <x v="0"/>
    <x v="41"/>
    <x v="26"/>
    <x v="311"/>
    <x v="36"/>
    <x v="36"/>
    <x v="1"/>
  </r>
  <r>
    <x v="5"/>
    <x v="0"/>
    <x v="472"/>
    <x v="4"/>
    <x v="36"/>
    <x v="42"/>
    <x v="3"/>
    <x v="52"/>
    <x v="69"/>
    <x v="1199"/>
    <x v="31"/>
    <x v="31"/>
    <x v="1"/>
  </r>
  <r>
    <x v="5"/>
    <x v="0"/>
    <x v="503"/>
    <x v="4"/>
    <x v="36"/>
    <x v="42"/>
    <x v="2"/>
    <x v="41"/>
    <x v="125"/>
    <x v="1668"/>
    <x v="31"/>
    <x v="31"/>
    <x v="1"/>
  </r>
  <r>
    <x v="5"/>
    <x v="0"/>
    <x v="503"/>
    <x v="4"/>
    <x v="36"/>
    <x v="42"/>
    <x v="1"/>
    <x v="43"/>
    <x v="87"/>
    <x v="1267"/>
    <x v="32"/>
    <x v="32"/>
    <x v="1"/>
  </r>
  <r>
    <x v="5"/>
    <x v="0"/>
    <x v="503"/>
    <x v="4"/>
    <x v="36"/>
    <x v="42"/>
    <x v="5"/>
    <x v="43"/>
    <x v="78"/>
    <x v="1145"/>
    <x v="36"/>
    <x v="36"/>
    <x v="1"/>
  </r>
  <r>
    <x v="5"/>
    <x v="0"/>
    <x v="503"/>
    <x v="4"/>
    <x v="36"/>
    <x v="42"/>
    <x v="4"/>
    <x v="42"/>
    <x v="68"/>
    <x v="972"/>
    <x v="34"/>
    <x v="34"/>
    <x v="1"/>
  </r>
  <r>
    <x v="5"/>
    <x v="0"/>
    <x v="503"/>
    <x v="4"/>
    <x v="36"/>
    <x v="42"/>
    <x v="0"/>
    <x v="34"/>
    <x v="33"/>
    <x v="333"/>
    <x v="41"/>
    <x v="41"/>
    <x v="1"/>
  </r>
  <r>
    <x v="5"/>
    <x v="0"/>
    <x v="503"/>
    <x v="4"/>
    <x v="36"/>
    <x v="42"/>
    <x v="3"/>
    <x v="47"/>
    <x v="137"/>
    <x v="1982"/>
    <x v="31"/>
    <x v="31"/>
    <x v="1"/>
  </r>
  <r>
    <x v="5"/>
    <x v="0"/>
    <x v="533"/>
    <x v="4"/>
    <x v="36"/>
    <x v="42"/>
    <x v="2"/>
    <x v="44"/>
    <x v="194"/>
    <x v="2408"/>
    <x v="35"/>
    <x v="35"/>
    <x v="1"/>
  </r>
  <r>
    <x v="5"/>
    <x v="0"/>
    <x v="533"/>
    <x v="4"/>
    <x v="36"/>
    <x v="42"/>
    <x v="1"/>
    <x v="55"/>
    <x v="147"/>
    <x v="2278"/>
    <x v="35"/>
    <x v="35"/>
    <x v="1"/>
  </r>
  <r>
    <x v="5"/>
    <x v="0"/>
    <x v="533"/>
    <x v="4"/>
    <x v="36"/>
    <x v="42"/>
    <x v="5"/>
    <x v="71"/>
    <x v="165"/>
    <x v="2678"/>
    <x v="32"/>
    <x v="32"/>
    <x v="1"/>
  </r>
  <r>
    <x v="5"/>
    <x v="0"/>
    <x v="533"/>
    <x v="4"/>
    <x v="36"/>
    <x v="42"/>
    <x v="4"/>
    <x v="67"/>
    <x v="137"/>
    <x v="2434"/>
    <x v="36"/>
    <x v="36"/>
    <x v="1"/>
  </r>
  <r>
    <x v="5"/>
    <x v="0"/>
    <x v="533"/>
    <x v="4"/>
    <x v="36"/>
    <x v="42"/>
    <x v="0"/>
    <x v="79"/>
    <x v="90"/>
    <x v="2103"/>
    <x v="39"/>
    <x v="39"/>
    <x v="1"/>
  </r>
  <r>
    <x v="5"/>
    <x v="0"/>
    <x v="533"/>
    <x v="4"/>
    <x v="36"/>
    <x v="42"/>
    <x v="3"/>
    <x v="85"/>
    <x v="165"/>
    <x v="2803"/>
    <x v="31"/>
    <x v="31"/>
    <x v="1"/>
  </r>
  <r>
    <x v="5"/>
    <x v="0"/>
    <x v="562"/>
    <x v="4"/>
    <x v="36"/>
    <x v="42"/>
    <x v="2"/>
    <x v="72"/>
    <x v="215"/>
    <x v="2844"/>
    <x v="34"/>
    <x v="34"/>
    <x v="1"/>
  </r>
  <r>
    <x v="5"/>
    <x v="0"/>
    <x v="562"/>
    <x v="4"/>
    <x v="36"/>
    <x v="42"/>
    <x v="1"/>
    <x v="78"/>
    <x v="172"/>
    <x v="2765"/>
    <x v="33"/>
    <x v="33"/>
    <x v="1"/>
  </r>
  <r>
    <x v="5"/>
    <x v="0"/>
    <x v="562"/>
    <x v="4"/>
    <x v="36"/>
    <x v="42"/>
    <x v="5"/>
    <x v="79"/>
    <x v="141"/>
    <x v="2640"/>
    <x v="33"/>
    <x v="33"/>
    <x v="1"/>
  </r>
  <r>
    <x v="5"/>
    <x v="0"/>
    <x v="562"/>
    <x v="4"/>
    <x v="36"/>
    <x v="42"/>
    <x v="4"/>
    <x v="75"/>
    <x v="143"/>
    <x v="2595"/>
    <x v="34"/>
    <x v="34"/>
    <x v="1"/>
  </r>
  <r>
    <x v="5"/>
    <x v="0"/>
    <x v="562"/>
    <x v="4"/>
    <x v="36"/>
    <x v="42"/>
    <x v="0"/>
    <x v="77"/>
    <x v="135"/>
    <x v="2571"/>
    <x v="36"/>
    <x v="36"/>
    <x v="1"/>
  </r>
  <r>
    <x v="5"/>
    <x v="0"/>
    <x v="562"/>
    <x v="4"/>
    <x v="36"/>
    <x v="42"/>
    <x v="3"/>
    <x v="87"/>
    <x v="129"/>
    <x v="2667"/>
    <x v="28"/>
    <x v="28"/>
    <x v="1"/>
  </r>
  <r>
    <x v="5"/>
    <x v="0"/>
    <x v="594"/>
    <x v="4"/>
    <x v="36"/>
    <x v="42"/>
    <x v="2"/>
    <x v="74"/>
    <x v="174"/>
    <x v="2742"/>
    <x v="34"/>
    <x v="34"/>
    <x v="1"/>
  </r>
  <r>
    <x v="5"/>
    <x v="0"/>
    <x v="594"/>
    <x v="4"/>
    <x v="36"/>
    <x v="42"/>
    <x v="1"/>
    <x v="69"/>
    <x v="199"/>
    <x v="2797"/>
    <x v="35"/>
    <x v="35"/>
    <x v="1"/>
  </r>
  <r>
    <x v="5"/>
    <x v="0"/>
    <x v="594"/>
    <x v="4"/>
    <x v="36"/>
    <x v="42"/>
    <x v="5"/>
    <x v="61"/>
    <x v="171"/>
    <x v="2583"/>
    <x v="35"/>
    <x v="35"/>
    <x v="1"/>
  </r>
  <r>
    <x v="5"/>
    <x v="0"/>
    <x v="594"/>
    <x v="4"/>
    <x v="36"/>
    <x v="42"/>
    <x v="4"/>
    <x v="61"/>
    <x v="100"/>
    <x v="1902"/>
    <x v="32"/>
    <x v="32"/>
    <x v="1"/>
  </r>
  <r>
    <x v="5"/>
    <x v="0"/>
    <x v="594"/>
    <x v="4"/>
    <x v="36"/>
    <x v="42"/>
    <x v="0"/>
    <x v="58"/>
    <x v="108"/>
    <x v="1945"/>
    <x v="39"/>
    <x v="39"/>
    <x v="1"/>
  </r>
  <r>
    <x v="5"/>
    <x v="0"/>
    <x v="594"/>
    <x v="4"/>
    <x v="36"/>
    <x v="42"/>
    <x v="3"/>
    <x v="62"/>
    <x v="60"/>
    <x v="1218"/>
    <x v="30"/>
    <x v="30"/>
    <x v="1"/>
  </r>
  <r>
    <x v="5"/>
    <x v="0"/>
    <x v="626"/>
    <x v="4"/>
    <x v="36"/>
    <x v="42"/>
    <x v="2"/>
    <x v="39"/>
    <x v="102"/>
    <x v="1350"/>
    <x v="31"/>
    <x v="31"/>
    <x v="1"/>
  </r>
  <r>
    <x v="5"/>
    <x v="0"/>
    <x v="626"/>
    <x v="4"/>
    <x v="36"/>
    <x v="42"/>
    <x v="1"/>
    <x v="44"/>
    <x v="102"/>
    <x v="1494"/>
    <x v="32"/>
    <x v="32"/>
    <x v="1"/>
  </r>
  <r>
    <x v="5"/>
    <x v="0"/>
    <x v="626"/>
    <x v="4"/>
    <x v="36"/>
    <x v="42"/>
    <x v="5"/>
    <x v="42"/>
    <x v="62"/>
    <x v="871"/>
    <x v="31"/>
    <x v="31"/>
    <x v="1"/>
  </r>
  <r>
    <x v="5"/>
    <x v="0"/>
    <x v="626"/>
    <x v="4"/>
    <x v="36"/>
    <x v="42"/>
    <x v="4"/>
    <x v="42"/>
    <x v="41"/>
    <x v="541"/>
    <x v="32"/>
    <x v="32"/>
    <x v="1"/>
  </r>
  <r>
    <x v="5"/>
    <x v="0"/>
    <x v="626"/>
    <x v="4"/>
    <x v="36"/>
    <x v="42"/>
    <x v="0"/>
    <x v="51"/>
    <x v="48"/>
    <x v="794"/>
    <x v="39"/>
    <x v="39"/>
    <x v="1"/>
  </r>
  <r>
    <x v="5"/>
    <x v="0"/>
    <x v="626"/>
    <x v="4"/>
    <x v="36"/>
    <x v="42"/>
    <x v="3"/>
    <x v="34"/>
    <x v="60"/>
    <x v="670"/>
    <x v="28"/>
    <x v="28"/>
    <x v="1"/>
  </r>
  <r>
    <x v="5"/>
    <x v="0"/>
    <x v="655"/>
    <x v="4"/>
    <x v="36"/>
    <x v="42"/>
    <x v="2"/>
    <x v="31"/>
    <x v="84"/>
    <x v="920"/>
    <x v="33"/>
    <x v="33"/>
    <x v="1"/>
  </r>
  <r>
    <x v="5"/>
    <x v="0"/>
    <x v="655"/>
    <x v="4"/>
    <x v="36"/>
    <x v="42"/>
    <x v="1"/>
    <x v="43"/>
    <x v="122"/>
    <x v="1696"/>
    <x v="32"/>
    <x v="32"/>
    <x v="1"/>
  </r>
  <r>
    <x v="5"/>
    <x v="0"/>
    <x v="655"/>
    <x v="4"/>
    <x v="36"/>
    <x v="42"/>
    <x v="5"/>
    <x v="39"/>
    <x v="75"/>
    <x v="1003"/>
    <x v="35"/>
    <x v="35"/>
    <x v="1"/>
  </r>
  <r>
    <x v="5"/>
    <x v="0"/>
    <x v="655"/>
    <x v="4"/>
    <x v="36"/>
    <x v="42"/>
    <x v="4"/>
    <x v="37"/>
    <x v="67"/>
    <x v="833"/>
    <x v="34"/>
    <x v="34"/>
    <x v="1"/>
  </r>
  <r>
    <x v="5"/>
    <x v="0"/>
    <x v="655"/>
    <x v="4"/>
    <x v="36"/>
    <x v="42"/>
    <x v="0"/>
    <x v="44"/>
    <x v="62"/>
    <x v="904"/>
    <x v="40"/>
    <x v="40"/>
    <x v="1"/>
  </r>
  <r>
    <x v="5"/>
    <x v="0"/>
    <x v="655"/>
    <x v="4"/>
    <x v="36"/>
    <x v="42"/>
    <x v="3"/>
    <x v="51"/>
    <x v="87"/>
    <x v="1463"/>
    <x v="29"/>
    <x v="29"/>
    <x v="1"/>
  </r>
  <r>
    <x v="5"/>
    <x v="0"/>
    <x v="686"/>
    <x v="4"/>
    <x v="36"/>
    <x v="42"/>
    <x v="2"/>
    <x v="37"/>
    <x v="150"/>
    <x v="1799"/>
    <x v="32"/>
    <x v="32"/>
    <x v="1"/>
  </r>
  <r>
    <x v="5"/>
    <x v="0"/>
    <x v="686"/>
    <x v="4"/>
    <x v="36"/>
    <x v="42"/>
    <x v="1"/>
    <x v="41"/>
    <x v="171"/>
    <x v="2110"/>
    <x v="36"/>
    <x v="36"/>
    <x v="1"/>
  </r>
  <r>
    <x v="5"/>
    <x v="0"/>
    <x v="686"/>
    <x v="4"/>
    <x v="36"/>
    <x v="42"/>
    <x v="5"/>
    <x v="35"/>
    <x v="108"/>
    <x v="1296"/>
    <x v="36"/>
    <x v="36"/>
    <x v="1"/>
  </r>
  <r>
    <x v="5"/>
    <x v="0"/>
    <x v="686"/>
    <x v="4"/>
    <x v="36"/>
    <x v="42"/>
    <x v="4"/>
    <x v="44"/>
    <x v="111"/>
    <x v="1607"/>
    <x v="32"/>
    <x v="32"/>
    <x v="1"/>
  </r>
  <r>
    <x v="5"/>
    <x v="0"/>
    <x v="686"/>
    <x v="4"/>
    <x v="36"/>
    <x v="42"/>
    <x v="0"/>
    <x v="61"/>
    <x v="92"/>
    <x v="1789"/>
    <x v="40"/>
    <x v="40"/>
    <x v="1"/>
  </r>
  <r>
    <x v="5"/>
    <x v="0"/>
    <x v="686"/>
    <x v="4"/>
    <x v="36"/>
    <x v="42"/>
    <x v="3"/>
    <x v="69"/>
    <x v="128"/>
    <x v="2392"/>
    <x v="28"/>
    <x v="28"/>
    <x v="1"/>
  </r>
  <r>
    <x v="5"/>
    <x v="0"/>
    <x v="715"/>
    <x v="4"/>
    <x v="36"/>
    <x v="42"/>
    <x v="2"/>
    <x v="54"/>
    <x v="164"/>
    <x v="2406"/>
    <x v="34"/>
    <x v="34"/>
    <x v="1"/>
  </r>
  <r>
    <x v="5"/>
    <x v="0"/>
    <x v="715"/>
    <x v="4"/>
    <x v="36"/>
    <x v="42"/>
    <x v="1"/>
    <x v="65"/>
    <x v="188"/>
    <x v="2726"/>
    <x v="33"/>
    <x v="33"/>
    <x v="1"/>
  </r>
  <r>
    <x v="5"/>
    <x v="0"/>
    <x v="715"/>
    <x v="4"/>
    <x v="36"/>
    <x v="42"/>
    <x v="5"/>
    <x v="60"/>
    <x v="143"/>
    <x v="2360"/>
    <x v="31"/>
    <x v="31"/>
    <x v="1"/>
  </r>
  <r>
    <x v="5"/>
    <x v="0"/>
    <x v="715"/>
    <x v="4"/>
    <x v="36"/>
    <x v="42"/>
    <x v="4"/>
    <x v="60"/>
    <x v="123"/>
    <x v="2151"/>
    <x v="31"/>
    <x v="31"/>
    <x v="1"/>
  </r>
  <r>
    <x v="5"/>
    <x v="0"/>
    <x v="715"/>
    <x v="4"/>
    <x v="36"/>
    <x v="42"/>
    <x v="0"/>
    <x v="65"/>
    <x v="113"/>
    <x v="2150"/>
    <x v="36"/>
    <x v="36"/>
    <x v="1"/>
  </r>
  <r>
    <x v="5"/>
    <x v="0"/>
    <x v="715"/>
    <x v="4"/>
    <x v="36"/>
    <x v="42"/>
    <x v="3"/>
    <x v="70"/>
    <x v="150"/>
    <x v="2587"/>
    <x v="26"/>
    <x v="26"/>
    <x v="1"/>
  </r>
  <r>
    <x v="5"/>
    <x v="0"/>
    <x v="375"/>
    <x v="4"/>
    <x v="36"/>
    <x v="42"/>
    <x v="2"/>
    <x v="26"/>
    <x v="82"/>
    <x v="765"/>
    <x v="37"/>
    <x v="37"/>
    <x v="1"/>
  </r>
  <r>
    <x v="5"/>
    <x v="0"/>
    <x v="375"/>
    <x v="4"/>
    <x v="36"/>
    <x v="42"/>
    <x v="1"/>
    <x v="35"/>
    <x v="82"/>
    <x v="1005"/>
    <x v="40"/>
    <x v="40"/>
    <x v="1"/>
  </r>
  <r>
    <x v="5"/>
    <x v="0"/>
    <x v="375"/>
    <x v="4"/>
    <x v="36"/>
    <x v="42"/>
    <x v="5"/>
    <x v="36"/>
    <x v="93"/>
    <x v="1157"/>
    <x v="40"/>
    <x v="40"/>
    <x v="1"/>
  </r>
  <r>
    <x v="5"/>
    <x v="0"/>
    <x v="375"/>
    <x v="4"/>
    <x v="36"/>
    <x v="42"/>
    <x v="4"/>
    <x v="34"/>
    <x v="56"/>
    <x v="615"/>
    <x v="41"/>
    <x v="41"/>
    <x v="1"/>
  </r>
  <r>
    <x v="5"/>
    <x v="0"/>
    <x v="375"/>
    <x v="4"/>
    <x v="36"/>
    <x v="42"/>
    <x v="0"/>
    <x v="39"/>
    <x v="47"/>
    <x v="580"/>
    <x v="45"/>
    <x v="45"/>
    <x v="1"/>
  </r>
  <r>
    <x v="5"/>
    <x v="0"/>
    <x v="375"/>
    <x v="4"/>
    <x v="36"/>
    <x v="42"/>
    <x v="3"/>
    <x v="34"/>
    <x v="102"/>
    <x v="1209"/>
    <x v="34"/>
    <x v="34"/>
    <x v="1"/>
  </r>
  <r>
    <x v="5"/>
    <x v="0"/>
    <x v="406"/>
    <x v="4"/>
    <x v="36"/>
    <x v="42"/>
    <x v="2"/>
    <x v="26"/>
    <x v="120"/>
    <x v="1115"/>
    <x v="39"/>
    <x v="39"/>
    <x v="1"/>
  </r>
  <r>
    <x v="5"/>
    <x v="0"/>
    <x v="406"/>
    <x v="4"/>
    <x v="36"/>
    <x v="42"/>
    <x v="1"/>
    <x v="34"/>
    <x v="97"/>
    <x v="1147"/>
    <x v="37"/>
    <x v="37"/>
    <x v="1"/>
  </r>
  <r>
    <x v="5"/>
    <x v="0"/>
    <x v="406"/>
    <x v="4"/>
    <x v="36"/>
    <x v="42"/>
    <x v="5"/>
    <x v="34"/>
    <x v="101"/>
    <x v="1189"/>
    <x v="38"/>
    <x v="38"/>
    <x v="1"/>
  </r>
  <r>
    <x v="5"/>
    <x v="0"/>
    <x v="406"/>
    <x v="2"/>
    <x v="17"/>
    <x v="34"/>
    <x v="4"/>
    <x v="37"/>
    <x v="60"/>
    <x v="738"/>
    <x v="41"/>
    <x v="41"/>
    <x v="1"/>
  </r>
  <r>
    <x v="5"/>
    <x v="0"/>
    <x v="406"/>
    <x v="2"/>
    <x v="17"/>
    <x v="34"/>
    <x v="0"/>
    <x v="41"/>
    <x v="40"/>
    <x v="515"/>
    <x v="46"/>
    <x v="46"/>
    <x v="1"/>
  </r>
  <r>
    <x v="5"/>
    <x v="0"/>
    <x v="406"/>
    <x v="2"/>
    <x v="17"/>
    <x v="34"/>
    <x v="3"/>
    <x v="37"/>
    <x v="87"/>
    <x v="1115"/>
    <x v="34"/>
    <x v="34"/>
    <x v="1"/>
  </r>
  <r>
    <x v="5"/>
    <x v="0"/>
    <x v="433"/>
    <x v="2"/>
    <x v="17"/>
    <x v="34"/>
    <x v="2"/>
    <x v="37"/>
    <x v="127"/>
    <x v="1561"/>
    <x v="37"/>
    <x v="37"/>
    <x v="1"/>
  </r>
  <r>
    <x v="5"/>
    <x v="0"/>
    <x v="433"/>
    <x v="2"/>
    <x v="17"/>
    <x v="34"/>
    <x v="1"/>
    <x v="44"/>
    <x v="83"/>
    <x v="1242"/>
    <x v="41"/>
    <x v="41"/>
    <x v="1"/>
  </r>
  <r>
    <x v="5"/>
    <x v="0"/>
    <x v="433"/>
    <x v="2"/>
    <x v="17"/>
    <x v="34"/>
    <x v="5"/>
    <x v="49"/>
    <x v="97"/>
    <x v="1567"/>
    <x v="41"/>
    <x v="41"/>
    <x v="1"/>
  </r>
  <r>
    <x v="5"/>
    <x v="0"/>
    <x v="433"/>
    <x v="2"/>
    <x v="17"/>
    <x v="34"/>
    <x v="4"/>
    <x v="43"/>
    <x v="69"/>
    <x v="1005"/>
    <x v="41"/>
    <x v="41"/>
    <x v="1"/>
  </r>
  <r>
    <x v="5"/>
    <x v="0"/>
    <x v="433"/>
    <x v="2"/>
    <x v="17"/>
    <x v="34"/>
    <x v="0"/>
    <x v="49"/>
    <x v="28"/>
    <x v="444"/>
    <x v="46"/>
    <x v="46"/>
    <x v="1"/>
  </r>
  <r>
    <x v="5"/>
    <x v="0"/>
    <x v="433"/>
    <x v="2"/>
    <x v="17"/>
    <x v="34"/>
    <x v="3"/>
    <x v="34"/>
    <x v="78"/>
    <x v="926"/>
    <x v="31"/>
    <x v="31"/>
    <x v="1"/>
  </r>
  <r>
    <x v="5"/>
    <x v="0"/>
    <x v="465"/>
    <x v="2"/>
    <x v="17"/>
    <x v="34"/>
    <x v="2"/>
    <x v="41"/>
    <x v="122"/>
    <x v="1632"/>
    <x v="38"/>
    <x v="38"/>
    <x v="1"/>
  </r>
  <r>
    <x v="5"/>
    <x v="0"/>
    <x v="465"/>
    <x v="2"/>
    <x v="17"/>
    <x v="34"/>
    <x v="1"/>
    <x v="45"/>
    <x v="73"/>
    <x v="1105"/>
    <x v="36"/>
    <x v="36"/>
    <x v="1"/>
  </r>
  <r>
    <x v="5"/>
    <x v="0"/>
    <x v="465"/>
    <x v="2"/>
    <x v="17"/>
    <x v="34"/>
    <x v="5"/>
    <x v="45"/>
    <x v="87"/>
    <x v="1313"/>
    <x v="37"/>
    <x v="37"/>
    <x v="1"/>
  </r>
  <r>
    <x v="5"/>
    <x v="0"/>
    <x v="465"/>
    <x v="2"/>
    <x v="17"/>
    <x v="34"/>
    <x v="4"/>
    <x v="32"/>
    <x v="61"/>
    <x v="637"/>
    <x v="39"/>
    <x v="39"/>
    <x v="1"/>
  </r>
  <r>
    <x v="5"/>
    <x v="0"/>
    <x v="465"/>
    <x v="2"/>
    <x v="17"/>
    <x v="34"/>
    <x v="0"/>
    <x v="36"/>
    <x v="42"/>
    <x v="469"/>
    <x v="43"/>
    <x v="43"/>
    <x v="1"/>
  </r>
  <r>
    <x v="5"/>
    <x v="0"/>
    <x v="465"/>
    <x v="2"/>
    <x v="17"/>
    <x v="34"/>
    <x v="3"/>
    <x v="48"/>
    <x v="87"/>
    <x v="1389"/>
    <x v="36"/>
    <x v="36"/>
    <x v="1"/>
  </r>
  <r>
    <x v="5"/>
    <x v="0"/>
    <x v="496"/>
    <x v="2"/>
    <x v="17"/>
    <x v="34"/>
    <x v="2"/>
    <x v="36"/>
    <x v="138"/>
    <x v="1648"/>
    <x v="39"/>
    <x v="39"/>
    <x v="1"/>
  </r>
  <r>
    <x v="5"/>
    <x v="0"/>
    <x v="496"/>
    <x v="2"/>
    <x v="17"/>
    <x v="34"/>
    <x v="1"/>
    <x v="40"/>
    <x v="82"/>
    <x v="1135"/>
    <x v="38"/>
    <x v="38"/>
    <x v="1"/>
  </r>
  <r>
    <x v="5"/>
    <x v="0"/>
    <x v="496"/>
    <x v="2"/>
    <x v="17"/>
    <x v="34"/>
    <x v="5"/>
    <x v="42"/>
    <x v="93"/>
    <x v="1320"/>
    <x v="37"/>
    <x v="37"/>
    <x v="1"/>
  </r>
  <r>
    <x v="5"/>
    <x v="0"/>
    <x v="496"/>
    <x v="2"/>
    <x v="17"/>
    <x v="34"/>
    <x v="4"/>
    <x v="37"/>
    <x v="70"/>
    <x v="886"/>
    <x v="37"/>
    <x v="37"/>
    <x v="1"/>
  </r>
  <r>
    <x v="5"/>
    <x v="0"/>
    <x v="496"/>
    <x v="2"/>
    <x v="17"/>
    <x v="34"/>
    <x v="0"/>
    <x v="29"/>
    <x v="54"/>
    <x v="484"/>
    <x v="45"/>
    <x v="45"/>
    <x v="1"/>
  </r>
  <r>
    <x v="5"/>
    <x v="0"/>
    <x v="496"/>
    <x v="2"/>
    <x v="17"/>
    <x v="34"/>
    <x v="3"/>
    <x v="52"/>
    <x v="145"/>
    <x v="2185"/>
    <x v="31"/>
    <x v="31"/>
    <x v="1"/>
  </r>
  <r>
    <x v="5"/>
    <x v="0"/>
    <x v="526"/>
    <x v="2"/>
    <x v="17"/>
    <x v="34"/>
    <x v="2"/>
    <x v="51"/>
    <x v="211"/>
    <x v="2657"/>
    <x v="37"/>
    <x v="37"/>
    <x v="1"/>
  </r>
  <r>
    <x v="5"/>
    <x v="0"/>
    <x v="526"/>
    <x v="2"/>
    <x v="17"/>
    <x v="34"/>
    <x v="1"/>
    <x v="58"/>
    <x v="183"/>
    <x v="2607"/>
    <x v="38"/>
    <x v="38"/>
    <x v="1"/>
  </r>
  <r>
    <x v="5"/>
    <x v="0"/>
    <x v="526"/>
    <x v="2"/>
    <x v="17"/>
    <x v="34"/>
    <x v="5"/>
    <x v="76"/>
    <x v="177"/>
    <x v="2771"/>
    <x v="41"/>
    <x v="41"/>
    <x v="1"/>
  </r>
  <r>
    <x v="5"/>
    <x v="0"/>
    <x v="526"/>
    <x v="2"/>
    <x v="17"/>
    <x v="34"/>
    <x v="4"/>
    <x v="75"/>
    <x v="139"/>
    <x v="2580"/>
    <x v="41"/>
    <x v="41"/>
    <x v="1"/>
  </r>
  <r>
    <x v="5"/>
    <x v="0"/>
    <x v="526"/>
    <x v="2"/>
    <x v="17"/>
    <x v="34"/>
    <x v="0"/>
    <x v="84"/>
    <x v="98"/>
    <x v="2318"/>
    <x v="43"/>
    <x v="43"/>
    <x v="1"/>
  </r>
  <r>
    <x v="5"/>
    <x v="0"/>
    <x v="526"/>
    <x v="2"/>
    <x v="17"/>
    <x v="34"/>
    <x v="3"/>
    <x v="89"/>
    <x v="171"/>
    <x v="2833"/>
    <x v="34"/>
    <x v="34"/>
    <x v="1"/>
  </r>
  <r>
    <x v="5"/>
    <x v="0"/>
    <x v="555"/>
    <x v="2"/>
    <x v="17"/>
    <x v="34"/>
    <x v="2"/>
    <x v="79"/>
    <x v="227"/>
    <x v="2871"/>
    <x v="39"/>
    <x v="39"/>
    <x v="1"/>
  </r>
  <r>
    <x v="5"/>
    <x v="0"/>
    <x v="555"/>
    <x v="2"/>
    <x v="17"/>
    <x v="34"/>
    <x v="1"/>
    <x v="84"/>
    <x v="177"/>
    <x v="2816"/>
    <x v="41"/>
    <x v="41"/>
    <x v="1"/>
  </r>
  <r>
    <x v="5"/>
    <x v="0"/>
    <x v="555"/>
    <x v="2"/>
    <x v="17"/>
    <x v="34"/>
    <x v="5"/>
    <x v="83"/>
    <x v="172"/>
    <x v="2795"/>
    <x v="40"/>
    <x v="40"/>
    <x v="1"/>
  </r>
  <r>
    <x v="5"/>
    <x v="0"/>
    <x v="555"/>
    <x v="2"/>
    <x v="17"/>
    <x v="34"/>
    <x v="4"/>
    <x v="79"/>
    <x v="146"/>
    <x v="2661"/>
    <x v="40"/>
    <x v="40"/>
    <x v="1"/>
  </r>
  <r>
    <x v="5"/>
    <x v="0"/>
    <x v="555"/>
    <x v="2"/>
    <x v="17"/>
    <x v="34"/>
    <x v="0"/>
    <x v="79"/>
    <x v="165"/>
    <x v="2746"/>
    <x v="44"/>
    <x v="44"/>
    <x v="1"/>
  </r>
  <r>
    <x v="5"/>
    <x v="0"/>
    <x v="555"/>
    <x v="2"/>
    <x v="17"/>
    <x v="34"/>
    <x v="3"/>
    <x v="91"/>
    <x v="141"/>
    <x v="2767"/>
    <x v="34"/>
    <x v="34"/>
    <x v="1"/>
  </r>
  <r>
    <x v="5"/>
    <x v="0"/>
    <x v="587"/>
    <x v="2"/>
    <x v="17"/>
    <x v="34"/>
    <x v="2"/>
    <x v="79"/>
    <x v="215"/>
    <x v="2861"/>
    <x v="37"/>
    <x v="37"/>
    <x v="1"/>
  </r>
  <r>
    <x v="5"/>
    <x v="0"/>
    <x v="587"/>
    <x v="2"/>
    <x v="17"/>
    <x v="34"/>
    <x v="1"/>
    <x v="70"/>
    <x v="203"/>
    <x v="2812"/>
    <x v="37"/>
    <x v="37"/>
    <x v="1"/>
  </r>
  <r>
    <x v="5"/>
    <x v="0"/>
    <x v="587"/>
    <x v="2"/>
    <x v="17"/>
    <x v="34"/>
    <x v="5"/>
    <x v="63"/>
    <x v="165"/>
    <x v="2581"/>
    <x v="41"/>
    <x v="41"/>
    <x v="1"/>
  </r>
  <r>
    <x v="5"/>
    <x v="0"/>
    <x v="587"/>
    <x v="2"/>
    <x v="17"/>
    <x v="34"/>
    <x v="4"/>
    <x v="67"/>
    <x v="108"/>
    <x v="2131"/>
    <x v="39"/>
    <x v="39"/>
    <x v="1"/>
  </r>
  <r>
    <x v="5"/>
    <x v="0"/>
    <x v="587"/>
    <x v="2"/>
    <x v="17"/>
    <x v="34"/>
    <x v="0"/>
    <x v="57"/>
    <x v="118"/>
    <x v="2036"/>
    <x v="45"/>
    <x v="45"/>
    <x v="1"/>
  </r>
  <r>
    <x v="5"/>
    <x v="0"/>
    <x v="587"/>
    <x v="2"/>
    <x v="17"/>
    <x v="34"/>
    <x v="3"/>
    <x v="56"/>
    <x v="74"/>
    <x v="1368"/>
    <x v="35"/>
    <x v="35"/>
    <x v="1"/>
  </r>
  <r>
    <x v="5"/>
    <x v="0"/>
    <x v="619"/>
    <x v="2"/>
    <x v="17"/>
    <x v="34"/>
    <x v="2"/>
    <x v="36"/>
    <x v="125"/>
    <x v="1497"/>
    <x v="41"/>
    <x v="41"/>
    <x v="1"/>
  </r>
  <r>
    <x v="5"/>
    <x v="0"/>
    <x v="619"/>
    <x v="2"/>
    <x v="17"/>
    <x v="34"/>
    <x v="1"/>
    <x v="39"/>
    <x v="105"/>
    <x v="1383"/>
    <x v="37"/>
    <x v="37"/>
    <x v="1"/>
  </r>
  <r>
    <x v="5"/>
    <x v="0"/>
    <x v="619"/>
    <x v="2"/>
    <x v="17"/>
    <x v="34"/>
    <x v="5"/>
    <x v="36"/>
    <x v="64"/>
    <x v="778"/>
    <x v="38"/>
    <x v="38"/>
    <x v="1"/>
  </r>
  <r>
    <x v="5"/>
    <x v="0"/>
    <x v="619"/>
    <x v="2"/>
    <x v="17"/>
    <x v="34"/>
    <x v="4"/>
    <x v="34"/>
    <x v="52"/>
    <x v="550"/>
    <x v="37"/>
    <x v="37"/>
    <x v="1"/>
  </r>
  <r>
    <x v="5"/>
    <x v="0"/>
    <x v="619"/>
    <x v="2"/>
    <x v="17"/>
    <x v="34"/>
    <x v="0"/>
    <x v="44"/>
    <x v="63"/>
    <x v="937"/>
    <x v="41"/>
    <x v="41"/>
    <x v="1"/>
  </r>
  <r>
    <x v="5"/>
    <x v="0"/>
    <x v="619"/>
    <x v="2"/>
    <x v="17"/>
    <x v="34"/>
    <x v="3"/>
    <x v="32"/>
    <x v="62"/>
    <x v="650"/>
    <x v="36"/>
    <x v="36"/>
    <x v="1"/>
  </r>
  <r>
    <x v="5"/>
    <x v="0"/>
    <x v="648"/>
    <x v="2"/>
    <x v="17"/>
    <x v="34"/>
    <x v="2"/>
    <x v="27"/>
    <x v="93"/>
    <x v="899"/>
    <x v="40"/>
    <x v="40"/>
    <x v="1"/>
  </r>
  <r>
    <x v="5"/>
    <x v="0"/>
    <x v="648"/>
    <x v="2"/>
    <x v="17"/>
    <x v="34"/>
    <x v="1"/>
    <x v="38"/>
    <x v="134"/>
    <x v="1671"/>
    <x v="41"/>
    <x v="41"/>
    <x v="1"/>
  </r>
  <r>
    <x v="5"/>
    <x v="0"/>
    <x v="648"/>
    <x v="2"/>
    <x v="17"/>
    <x v="34"/>
    <x v="5"/>
    <x v="35"/>
    <x v="82"/>
    <x v="1005"/>
    <x v="36"/>
    <x v="36"/>
    <x v="1"/>
  </r>
  <r>
    <x v="5"/>
    <x v="0"/>
    <x v="648"/>
    <x v="2"/>
    <x v="17"/>
    <x v="34"/>
    <x v="4"/>
    <x v="29"/>
    <x v="87"/>
    <x v="893"/>
    <x v="36"/>
    <x v="36"/>
    <x v="1"/>
  </r>
  <r>
    <x v="5"/>
    <x v="0"/>
    <x v="648"/>
    <x v="2"/>
    <x v="17"/>
    <x v="34"/>
    <x v="0"/>
    <x v="40"/>
    <x v="78"/>
    <x v="1078"/>
    <x v="45"/>
    <x v="45"/>
    <x v="1"/>
  </r>
  <r>
    <x v="5"/>
    <x v="0"/>
    <x v="648"/>
    <x v="2"/>
    <x v="17"/>
    <x v="34"/>
    <x v="3"/>
    <x v="43"/>
    <x v="90"/>
    <x v="1298"/>
    <x v="33"/>
    <x v="33"/>
    <x v="1"/>
  </r>
  <r>
    <x v="5"/>
    <x v="0"/>
    <x v="679"/>
    <x v="2"/>
    <x v="17"/>
    <x v="34"/>
    <x v="2"/>
    <x v="32"/>
    <x v="164"/>
    <x v="1742"/>
    <x v="36"/>
    <x v="36"/>
    <x v="1"/>
  </r>
  <r>
    <x v="5"/>
    <x v="0"/>
    <x v="679"/>
    <x v="2"/>
    <x v="17"/>
    <x v="34"/>
    <x v="1"/>
    <x v="35"/>
    <x v="183"/>
    <x v="2034"/>
    <x v="38"/>
    <x v="38"/>
    <x v="1"/>
  </r>
  <r>
    <x v="5"/>
    <x v="0"/>
    <x v="679"/>
    <x v="2"/>
    <x v="17"/>
    <x v="34"/>
    <x v="5"/>
    <x v="31"/>
    <x v="117"/>
    <x v="1257"/>
    <x v="38"/>
    <x v="38"/>
    <x v="1"/>
  </r>
  <r>
    <x v="5"/>
    <x v="0"/>
    <x v="679"/>
    <x v="2"/>
    <x v="17"/>
    <x v="34"/>
    <x v="4"/>
    <x v="41"/>
    <x v="105"/>
    <x v="1441"/>
    <x v="36"/>
    <x v="36"/>
    <x v="1"/>
  </r>
  <r>
    <x v="5"/>
    <x v="0"/>
    <x v="679"/>
    <x v="2"/>
    <x v="17"/>
    <x v="34"/>
    <x v="0"/>
    <x v="61"/>
    <x v="100"/>
    <x v="1902"/>
    <x v="41"/>
    <x v="41"/>
    <x v="1"/>
  </r>
  <r>
    <x v="5"/>
    <x v="0"/>
    <x v="679"/>
    <x v="2"/>
    <x v="17"/>
    <x v="34"/>
    <x v="3"/>
    <x v="74"/>
    <x v="151"/>
    <x v="2646"/>
    <x v="34"/>
    <x v="34"/>
    <x v="1"/>
  </r>
  <r>
    <x v="5"/>
    <x v="0"/>
    <x v="708"/>
    <x v="2"/>
    <x v="17"/>
    <x v="34"/>
    <x v="2"/>
    <x v="62"/>
    <x v="204"/>
    <x v="2760"/>
    <x v="38"/>
    <x v="38"/>
    <x v="1"/>
  </r>
  <r>
    <x v="5"/>
    <x v="0"/>
    <x v="708"/>
    <x v="2"/>
    <x v="17"/>
    <x v="34"/>
    <x v="1"/>
    <x v="65"/>
    <x v="186"/>
    <x v="2717"/>
    <x v="36"/>
    <x v="36"/>
    <x v="1"/>
  </r>
  <r>
    <x v="1"/>
    <x v="0"/>
    <x v="708"/>
    <x v="2"/>
    <x v="17"/>
    <x v="34"/>
    <x v="5"/>
    <x v="62"/>
    <x v="140"/>
    <x v="2376"/>
    <x v="38"/>
    <x v="38"/>
    <x v="1"/>
  </r>
  <r>
    <x v="1"/>
    <x v="0"/>
    <x v="708"/>
    <x v="2"/>
    <x v="17"/>
    <x v="34"/>
    <x v="4"/>
    <x v="65"/>
    <x v="135"/>
    <x v="2382"/>
    <x v="40"/>
    <x v="40"/>
    <x v="1"/>
  </r>
  <r>
    <x v="1"/>
    <x v="0"/>
    <x v="708"/>
    <x v="2"/>
    <x v="17"/>
    <x v="34"/>
    <x v="0"/>
    <x v="75"/>
    <x v="111"/>
    <x v="2313"/>
    <x v="44"/>
    <x v="44"/>
    <x v="1"/>
  </r>
  <r>
    <x v="1"/>
    <x v="0"/>
    <x v="708"/>
    <x v="2"/>
    <x v="17"/>
    <x v="34"/>
    <x v="3"/>
    <x v="80"/>
    <x v="152"/>
    <x v="2697"/>
    <x v="31"/>
    <x v="31"/>
    <x v="1"/>
  </r>
  <r>
    <x v="1"/>
    <x v="3"/>
    <x v="363"/>
    <x v="2"/>
    <x v="17"/>
    <x v="34"/>
    <x v="2"/>
    <x v="12"/>
    <x v="159"/>
    <x v="806"/>
    <x v="29"/>
    <x v="29"/>
    <x v="1"/>
  </r>
  <r>
    <x v="1"/>
    <x v="3"/>
    <x v="363"/>
    <x v="2"/>
    <x v="17"/>
    <x v="34"/>
    <x v="1"/>
    <x v="21"/>
    <x v="172"/>
    <x v="1320"/>
    <x v="31"/>
    <x v="31"/>
    <x v="1"/>
  </r>
  <r>
    <x v="1"/>
    <x v="3"/>
    <x v="363"/>
    <x v="2"/>
    <x v="17"/>
    <x v="34"/>
    <x v="5"/>
    <x v="21"/>
    <x v="100"/>
    <x v="774"/>
    <x v="26"/>
    <x v="26"/>
    <x v="1"/>
  </r>
  <r>
    <x v="1"/>
    <x v="3"/>
    <x v="363"/>
    <x v="2"/>
    <x v="17"/>
    <x v="34"/>
    <x v="4"/>
    <x v="26"/>
    <x v="113"/>
    <x v="1053"/>
    <x v="39"/>
    <x v="39"/>
    <x v="1"/>
  </r>
  <r>
    <x v="1"/>
    <x v="3"/>
    <x v="363"/>
    <x v="2"/>
    <x v="17"/>
    <x v="34"/>
    <x v="0"/>
    <x v="29"/>
    <x v="70"/>
    <x v="695"/>
    <x v="23"/>
    <x v="23"/>
    <x v="1"/>
  </r>
  <r>
    <x v="5"/>
    <x v="3"/>
    <x v="363"/>
    <x v="2"/>
    <x v="17"/>
    <x v="34"/>
    <x v="3"/>
    <x v="27"/>
    <x v="123"/>
    <x v="1172"/>
    <x v="46"/>
    <x v="46"/>
    <x v="1"/>
  </r>
  <r>
    <x v="1"/>
    <x v="3"/>
    <x v="393"/>
    <x v="2"/>
    <x v="17"/>
    <x v="34"/>
    <x v="2"/>
    <x v="16"/>
    <x v="141"/>
    <x v="890"/>
    <x v="26"/>
    <x v="26"/>
    <x v="1"/>
  </r>
  <r>
    <x v="1"/>
    <x v="3"/>
    <x v="393"/>
    <x v="2"/>
    <x v="17"/>
    <x v="34"/>
    <x v="1"/>
    <x v="25"/>
    <x v="151"/>
    <x v="1342"/>
    <x v="28"/>
    <x v="28"/>
    <x v="1"/>
  </r>
  <r>
    <x v="1"/>
    <x v="3"/>
    <x v="393"/>
    <x v="2"/>
    <x v="17"/>
    <x v="34"/>
    <x v="5"/>
    <x v="27"/>
    <x v="108"/>
    <x v="1045"/>
    <x v="27"/>
    <x v="27"/>
    <x v="1"/>
  </r>
  <r>
    <x v="1"/>
    <x v="3"/>
    <x v="393"/>
    <x v="4"/>
    <x v="11"/>
    <x v="7"/>
    <x v="4"/>
    <x v="25"/>
    <x v="91"/>
    <x v="819"/>
    <x v="40"/>
    <x v="40"/>
    <x v="1"/>
  </r>
  <r>
    <x v="1"/>
    <x v="3"/>
    <x v="393"/>
    <x v="4"/>
    <x v="11"/>
    <x v="7"/>
    <x v="0"/>
    <x v="32"/>
    <x v="58"/>
    <x v="600"/>
    <x v="21"/>
    <x v="21"/>
    <x v="1"/>
  </r>
  <r>
    <x v="1"/>
    <x v="3"/>
    <x v="393"/>
    <x v="4"/>
    <x v="11"/>
    <x v="7"/>
    <x v="3"/>
    <x v="27"/>
    <x v="111"/>
    <x v="1072"/>
    <x v="41"/>
    <x v="41"/>
    <x v="1"/>
  </r>
  <r>
    <x v="1"/>
    <x v="3"/>
    <x v="423"/>
    <x v="4"/>
    <x v="11"/>
    <x v="7"/>
    <x v="2"/>
    <x v="21"/>
    <x v="135"/>
    <x v="1048"/>
    <x v="31"/>
    <x v="31"/>
    <x v="1"/>
  </r>
  <r>
    <x v="1"/>
    <x v="3"/>
    <x v="423"/>
    <x v="4"/>
    <x v="11"/>
    <x v="7"/>
    <x v="1"/>
    <x v="29"/>
    <x v="147"/>
    <x v="1461"/>
    <x v="32"/>
    <x v="32"/>
    <x v="1"/>
  </r>
  <r>
    <x v="1"/>
    <x v="3"/>
    <x v="423"/>
    <x v="4"/>
    <x v="11"/>
    <x v="7"/>
    <x v="5"/>
    <x v="21"/>
    <x v="94"/>
    <x v="725"/>
    <x v="35"/>
    <x v="35"/>
    <x v="1"/>
  </r>
  <r>
    <x v="1"/>
    <x v="3"/>
    <x v="423"/>
    <x v="4"/>
    <x v="11"/>
    <x v="7"/>
    <x v="4"/>
    <x v="26"/>
    <x v="87"/>
    <x v="808"/>
    <x v="44"/>
    <x v="44"/>
    <x v="1"/>
  </r>
  <r>
    <x v="5"/>
    <x v="3"/>
    <x v="423"/>
    <x v="4"/>
    <x v="11"/>
    <x v="7"/>
    <x v="0"/>
    <x v="30"/>
    <x v="62"/>
    <x v="612"/>
    <x v="31"/>
    <x v="31"/>
    <x v="1"/>
  </r>
  <r>
    <x v="5"/>
    <x v="3"/>
    <x v="423"/>
    <x v="4"/>
    <x v="11"/>
    <x v="7"/>
    <x v="3"/>
    <x v="26"/>
    <x v="97"/>
    <x v="905"/>
    <x v="51"/>
    <x v="51"/>
    <x v="1"/>
  </r>
  <r>
    <x v="5"/>
    <x v="3"/>
    <x v="453"/>
    <x v="4"/>
    <x v="11"/>
    <x v="7"/>
    <x v="2"/>
    <x v="12"/>
    <x v="171"/>
    <x v="876"/>
    <x v="33"/>
    <x v="33"/>
    <x v="1"/>
  </r>
  <r>
    <x v="5"/>
    <x v="3"/>
    <x v="453"/>
    <x v="4"/>
    <x v="11"/>
    <x v="7"/>
    <x v="1"/>
    <x v="22"/>
    <x v="171"/>
    <x v="1363"/>
    <x v="34"/>
    <x v="34"/>
    <x v="1"/>
  </r>
  <r>
    <x v="5"/>
    <x v="3"/>
    <x v="453"/>
    <x v="4"/>
    <x v="11"/>
    <x v="7"/>
    <x v="5"/>
    <x v="17"/>
    <x v="118"/>
    <x v="769"/>
    <x v="33"/>
    <x v="33"/>
    <x v="1"/>
  </r>
  <r>
    <x v="5"/>
    <x v="3"/>
    <x v="453"/>
    <x v="4"/>
    <x v="11"/>
    <x v="7"/>
    <x v="4"/>
    <x v="22"/>
    <x v="94"/>
    <x v="759"/>
    <x v="41"/>
    <x v="41"/>
    <x v="1"/>
  </r>
  <r>
    <x v="5"/>
    <x v="3"/>
    <x v="453"/>
    <x v="4"/>
    <x v="11"/>
    <x v="7"/>
    <x v="0"/>
    <x v="27"/>
    <x v="59"/>
    <x v="515"/>
    <x v="29"/>
    <x v="29"/>
    <x v="1"/>
  </r>
  <r>
    <x v="5"/>
    <x v="3"/>
    <x v="453"/>
    <x v="4"/>
    <x v="11"/>
    <x v="7"/>
    <x v="3"/>
    <x v="21"/>
    <x v="118"/>
    <x v="916"/>
    <x v="47"/>
    <x v="47"/>
    <x v="1"/>
  </r>
  <r>
    <x v="5"/>
    <x v="3"/>
    <x v="483"/>
    <x v="4"/>
    <x v="11"/>
    <x v="7"/>
    <x v="2"/>
    <x v="11"/>
    <x v="177"/>
    <x v="864"/>
    <x v="36"/>
    <x v="36"/>
    <x v="1"/>
  </r>
  <r>
    <x v="5"/>
    <x v="3"/>
    <x v="483"/>
    <x v="4"/>
    <x v="11"/>
    <x v="7"/>
    <x v="1"/>
    <x v="21"/>
    <x v="172"/>
    <x v="1320"/>
    <x v="34"/>
    <x v="34"/>
    <x v="1"/>
  </r>
  <r>
    <x v="5"/>
    <x v="3"/>
    <x v="483"/>
    <x v="4"/>
    <x v="11"/>
    <x v="7"/>
    <x v="5"/>
    <x v="16"/>
    <x v="145"/>
    <x v="908"/>
    <x v="33"/>
    <x v="33"/>
    <x v="1"/>
  </r>
  <r>
    <x v="5"/>
    <x v="3"/>
    <x v="483"/>
    <x v="4"/>
    <x v="11"/>
    <x v="7"/>
    <x v="4"/>
    <x v="26"/>
    <x v="110"/>
    <x v="1025"/>
    <x v="41"/>
    <x v="41"/>
    <x v="1"/>
  </r>
  <r>
    <x v="5"/>
    <x v="3"/>
    <x v="483"/>
    <x v="4"/>
    <x v="11"/>
    <x v="7"/>
    <x v="0"/>
    <x v="40"/>
    <x v="101"/>
    <x v="1360"/>
    <x v="26"/>
    <x v="26"/>
    <x v="1"/>
  </r>
  <r>
    <x v="5"/>
    <x v="3"/>
    <x v="483"/>
    <x v="4"/>
    <x v="11"/>
    <x v="7"/>
    <x v="3"/>
    <x v="35"/>
    <x v="188"/>
    <x v="2085"/>
    <x v="49"/>
    <x v="49"/>
    <x v="1"/>
  </r>
  <r>
    <x v="5"/>
    <x v="3"/>
    <x v="513"/>
    <x v="4"/>
    <x v="11"/>
    <x v="7"/>
    <x v="2"/>
    <x v="35"/>
    <x v="171"/>
    <x v="1920"/>
    <x v="35"/>
    <x v="35"/>
    <x v="1"/>
  </r>
  <r>
    <x v="5"/>
    <x v="3"/>
    <x v="513"/>
    <x v="4"/>
    <x v="11"/>
    <x v="7"/>
    <x v="1"/>
    <x v="39"/>
    <x v="164"/>
    <x v="2002"/>
    <x v="34"/>
    <x v="34"/>
    <x v="1"/>
  </r>
  <r>
    <x v="5"/>
    <x v="3"/>
    <x v="513"/>
    <x v="4"/>
    <x v="11"/>
    <x v="7"/>
    <x v="5"/>
    <x v="40"/>
    <x v="151"/>
    <x v="1917"/>
    <x v="34"/>
    <x v="34"/>
    <x v="1"/>
  </r>
  <r>
    <x v="5"/>
    <x v="3"/>
    <x v="513"/>
    <x v="4"/>
    <x v="11"/>
    <x v="7"/>
    <x v="4"/>
    <x v="41"/>
    <x v="123"/>
    <x v="1645"/>
    <x v="45"/>
    <x v="45"/>
    <x v="1"/>
  </r>
  <r>
    <x v="5"/>
    <x v="3"/>
    <x v="513"/>
    <x v="4"/>
    <x v="11"/>
    <x v="7"/>
    <x v="0"/>
    <x v="45"/>
    <x v="98"/>
    <x v="1461"/>
    <x v="29"/>
    <x v="29"/>
    <x v="1"/>
  </r>
  <r>
    <x v="5"/>
    <x v="3"/>
    <x v="513"/>
    <x v="4"/>
    <x v="11"/>
    <x v="7"/>
    <x v="3"/>
    <x v="48"/>
    <x v="197"/>
    <x v="2532"/>
    <x v="47"/>
    <x v="47"/>
    <x v="1"/>
  </r>
  <r>
    <x v="5"/>
    <x v="3"/>
    <x v="545"/>
    <x v="4"/>
    <x v="11"/>
    <x v="7"/>
    <x v="2"/>
    <x v="41"/>
    <x v="187"/>
    <x v="2268"/>
    <x v="36"/>
    <x v="36"/>
    <x v="1"/>
  </r>
  <r>
    <x v="5"/>
    <x v="3"/>
    <x v="545"/>
    <x v="4"/>
    <x v="11"/>
    <x v="7"/>
    <x v="1"/>
    <x v="45"/>
    <x v="176"/>
    <x v="2283"/>
    <x v="38"/>
    <x v="38"/>
    <x v="1"/>
  </r>
  <r>
    <x v="5"/>
    <x v="3"/>
    <x v="545"/>
    <x v="4"/>
    <x v="11"/>
    <x v="7"/>
    <x v="5"/>
    <x v="39"/>
    <x v="205"/>
    <x v="2363"/>
    <x v="41"/>
    <x v="41"/>
    <x v="1"/>
  </r>
  <r>
    <x v="5"/>
    <x v="3"/>
    <x v="545"/>
    <x v="4"/>
    <x v="11"/>
    <x v="7"/>
    <x v="4"/>
    <x v="40"/>
    <x v="117"/>
    <x v="1553"/>
    <x v="50"/>
    <x v="50"/>
    <x v="1"/>
  </r>
  <r>
    <x v="5"/>
    <x v="3"/>
    <x v="545"/>
    <x v="4"/>
    <x v="11"/>
    <x v="7"/>
    <x v="0"/>
    <x v="46"/>
    <x v="111"/>
    <x v="1662"/>
    <x v="34"/>
    <x v="34"/>
    <x v="1"/>
  </r>
  <r>
    <x v="1"/>
    <x v="3"/>
    <x v="545"/>
    <x v="4"/>
    <x v="11"/>
    <x v="7"/>
    <x v="3"/>
    <x v="57"/>
    <x v="181"/>
    <x v="2586"/>
    <x v="55"/>
    <x v="55"/>
    <x v="1"/>
  </r>
  <r>
    <x v="1"/>
    <x v="3"/>
    <x v="578"/>
    <x v="4"/>
    <x v="11"/>
    <x v="7"/>
    <x v="2"/>
    <x v="39"/>
    <x v="183"/>
    <x v="2165"/>
    <x v="41"/>
    <x v="41"/>
    <x v="1"/>
  </r>
  <r>
    <x v="1"/>
    <x v="3"/>
    <x v="578"/>
    <x v="4"/>
    <x v="11"/>
    <x v="7"/>
    <x v="1"/>
    <x v="46"/>
    <x v="171"/>
    <x v="2257"/>
    <x v="39"/>
    <x v="39"/>
    <x v="1"/>
  </r>
  <r>
    <x v="1"/>
    <x v="3"/>
    <x v="578"/>
    <x v="4"/>
    <x v="11"/>
    <x v="7"/>
    <x v="5"/>
    <x v="39"/>
    <x v="212"/>
    <x v="2410"/>
    <x v="39"/>
    <x v="39"/>
    <x v="1"/>
  </r>
  <r>
    <x v="1"/>
    <x v="3"/>
    <x v="578"/>
    <x v="4"/>
    <x v="11"/>
    <x v="7"/>
    <x v="4"/>
    <x v="41"/>
    <x v="104"/>
    <x v="1428"/>
    <x v="51"/>
    <x v="51"/>
    <x v="1"/>
  </r>
  <r>
    <x v="3"/>
    <x v="3"/>
    <x v="578"/>
    <x v="4"/>
    <x v="11"/>
    <x v="7"/>
    <x v="0"/>
    <x v="45"/>
    <x v="113"/>
    <x v="1657"/>
    <x v="32"/>
    <x v="32"/>
    <x v="1"/>
  </r>
  <r>
    <x v="3"/>
    <x v="3"/>
    <x v="578"/>
    <x v="4"/>
    <x v="11"/>
    <x v="7"/>
    <x v="3"/>
    <x v="47"/>
    <x v="172"/>
    <x v="2294"/>
    <x v="54"/>
    <x v="54"/>
    <x v="1"/>
  </r>
  <r>
    <x v="3"/>
    <x v="3"/>
    <x v="606"/>
    <x v="4"/>
    <x v="11"/>
    <x v="7"/>
    <x v="2"/>
    <x v="43"/>
    <x v="153"/>
    <x v="2031"/>
    <x v="36"/>
    <x v="36"/>
    <x v="1"/>
  </r>
  <r>
    <x v="3"/>
    <x v="3"/>
    <x v="606"/>
    <x v="4"/>
    <x v="11"/>
    <x v="7"/>
    <x v="1"/>
    <x v="43"/>
    <x v="164"/>
    <x v="2116"/>
    <x v="38"/>
    <x v="38"/>
    <x v="1"/>
  </r>
  <r>
    <x v="3"/>
    <x v="3"/>
    <x v="606"/>
    <x v="4"/>
    <x v="11"/>
    <x v="7"/>
    <x v="5"/>
    <x v="49"/>
    <x v="159"/>
    <x v="2235"/>
    <x v="38"/>
    <x v="38"/>
    <x v="1"/>
  </r>
  <r>
    <x v="3"/>
    <x v="3"/>
    <x v="606"/>
    <x v="4"/>
    <x v="11"/>
    <x v="7"/>
    <x v="4"/>
    <x v="48"/>
    <x v="97"/>
    <x v="1536"/>
    <x v="49"/>
    <x v="49"/>
    <x v="1"/>
  </r>
  <r>
    <x v="3"/>
    <x v="3"/>
    <x v="606"/>
    <x v="4"/>
    <x v="11"/>
    <x v="7"/>
    <x v="0"/>
    <x v="43"/>
    <x v="86"/>
    <x v="1255"/>
    <x v="32"/>
    <x v="32"/>
    <x v="1"/>
  </r>
  <r>
    <x v="3"/>
    <x v="3"/>
    <x v="606"/>
    <x v="4"/>
    <x v="11"/>
    <x v="7"/>
    <x v="3"/>
    <x v="42"/>
    <x v="158"/>
    <x v="2047"/>
    <x v="53"/>
    <x v="53"/>
    <x v="1"/>
  </r>
  <r>
    <x v="3"/>
    <x v="3"/>
    <x v="635"/>
    <x v="4"/>
    <x v="11"/>
    <x v="7"/>
    <x v="2"/>
    <x v="29"/>
    <x v="145"/>
    <x v="1444"/>
    <x v="37"/>
    <x v="37"/>
    <x v="1"/>
  </r>
  <r>
    <x v="3"/>
    <x v="3"/>
    <x v="635"/>
    <x v="4"/>
    <x v="11"/>
    <x v="7"/>
    <x v="1"/>
    <x v="30"/>
    <x v="150"/>
    <x v="1542"/>
    <x v="40"/>
    <x v="40"/>
    <x v="1"/>
  </r>
  <r>
    <x v="3"/>
    <x v="3"/>
    <x v="635"/>
    <x v="4"/>
    <x v="11"/>
    <x v="7"/>
    <x v="5"/>
    <x v="34"/>
    <x v="111"/>
    <x v="1294"/>
    <x v="37"/>
    <x v="37"/>
    <x v="1"/>
  </r>
  <r>
    <x v="3"/>
    <x v="3"/>
    <x v="635"/>
    <x v="4"/>
    <x v="11"/>
    <x v="7"/>
    <x v="4"/>
    <x v="37"/>
    <x v="83"/>
    <x v="1068"/>
    <x v="51"/>
    <x v="51"/>
    <x v="1"/>
  </r>
  <r>
    <x v="3"/>
    <x v="3"/>
    <x v="635"/>
    <x v="4"/>
    <x v="11"/>
    <x v="7"/>
    <x v="0"/>
    <x v="25"/>
    <x v="75"/>
    <x v="645"/>
    <x v="34"/>
    <x v="34"/>
    <x v="1"/>
  </r>
  <r>
    <x v="3"/>
    <x v="3"/>
    <x v="635"/>
    <x v="4"/>
    <x v="11"/>
    <x v="7"/>
    <x v="3"/>
    <x v="35"/>
    <x v="122"/>
    <x v="1432"/>
    <x v="52"/>
    <x v="52"/>
    <x v="1"/>
  </r>
  <r>
    <x v="3"/>
    <x v="3"/>
    <x v="667"/>
    <x v="4"/>
    <x v="11"/>
    <x v="7"/>
    <x v="2"/>
    <x v="26"/>
    <x v="159"/>
    <x v="1443"/>
    <x v="41"/>
    <x v="41"/>
    <x v="1"/>
  </r>
  <r>
    <x v="3"/>
    <x v="3"/>
    <x v="667"/>
    <x v="4"/>
    <x v="11"/>
    <x v="7"/>
    <x v="1"/>
    <x v="25"/>
    <x v="165"/>
    <x v="1455"/>
    <x v="38"/>
    <x v="38"/>
    <x v="1"/>
  </r>
  <r>
    <x v="3"/>
    <x v="3"/>
    <x v="667"/>
    <x v="4"/>
    <x v="11"/>
    <x v="7"/>
    <x v="5"/>
    <x v="51"/>
    <x v="129"/>
    <x v="2011"/>
    <x v="40"/>
    <x v="40"/>
    <x v="1"/>
  </r>
  <r>
    <x v="3"/>
    <x v="3"/>
    <x v="667"/>
    <x v="4"/>
    <x v="11"/>
    <x v="7"/>
    <x v="4"/>
    <x v="47"/>
    <x v="102"/>
    <x v="1587"/>
    <x v="47"/>
    <x v="47"/>
    <x v="1"/>
  </r>
  <r>
    <x v="3"/>
    <x v="3"/>
    <x v="667"/>
    <x v="4"/>
    <x v="11"/>
    <x v="7"/>
    <x v="0"/>
    <x v="47"/>
    <x v="88"/>
    <x v="1377"/>
    <x v="36"/>
    <x v="36"/>
    <x v="1"/>
  </r>
  <r>
    <x v="3"/>
    <x v="3"/>
    <x v="667"/>
    <x v="4"/>
    <x v="11"/>
    <x v="7"/>
    <x v="3"/>
    <x v="56"/>
    <x v="141"/>
    <x v="2249"/>
    <x v="53"/>
    <x v="53"/>
    <x v="1"/>
  </r>
  <r>
    <x v="1"/>
    <x v="3"/>
    <x v="696"/>
    <x v="4"/>
    <x v="11"/>
    <x v="7"/>
    <x v="2"/>
    <x v="47"/>
    <x v="199"/>
    <x v="2520"/>
    <x v="40"/>
    <x v="40"/>
    <x v="1"/>
  </r>
  <r>
    <x v="1"/>
    <x v="3"/>
    <x v="696"/>
    <x v="4"/>
    <x v="11"/>
    <x v="7"/>
    <x v="1"/>
    <x v="44"/>
    <x v="182"/>
    <x v="2303"/>
    <x v="40"/>
    <x v="40"/>
    <x v="1"/>
  </r>
  <r>
    <x v="1"/>
    <x v="3"/>
    <x v="696"/>
    <x v="4"/>
    <x v="11"/>
    <x v="7"/>
    <x v="5"/>
    <x v="49"/>
    <x v="153"/>
    <x v="2186"/>
    <x v="38"/>
    <x v="38"/>
    <x v="1"/>
  </r>
  <r>
    <x v="1"/>
    <x v="3"/>
    <x v="696"/>
    <x v="4"/>
    <x v="11"/>
    <x v="7"/>
    <x v="4"/>
    <x v="52"/>
    <x v="122"/>
    <x v="1954"/>
    <x v="51"/>
    <x v="51"/>
    <x v="1"/>
  </r>
  <r>
    <x v="1"/>
    <x v="3"/>
    <x v="696"/>
    <x v="4"/>
    <x v="11"/>
    <x v="7"/>
    <x v="0"/>
    <x v="43"/>
    <x v="113"/>
    <x v="1598"/>
    <x v="35"/>
    <x v="35"/>
    <x v="1"/>
  </r>
  <r>
    <x v="1"/>
    <x v="3"/>
    <x v="696"/>
    <x v="4"/>
    <x v="11"/>
    <x v="7"/>
    <x v="3"/>
    <x v="53"/>
    <x v="172"/>
    <x v="2440"/>
    <x v="55"/>
    <x v="55"/>
    <x v="1"/>
  </r>
  <r>
    <x v="1"/>
    <x v="0"/>
    <x v="381"/>
    <x v="4"/>
    <x v="11"/>
    <x v="7"/>
    <x v="2"/>
    <x v="22"/>
    <x v="100"/>
    <x v="804"/>
    <x v="34"/>
    <x v="34"/>
    <x v="1"/>
  </r>
  <r>
    <x v="1"/>
    <x v="0"/>
    <x v="381"/>
    <x v="4"/>
    <x v="11"/>
    <x v="7"/>
    <x v="1"/>
    <x v="30"/>
    <x v="88"/>
    <x v="935"/>
    <x v="37"/>
    <x v="37"/>
    <x v="1"/>
  </r>
  <r>
    <x v="1"/>
    <x v="0"/>
    <x v="381"/>
    <x v="4"/>
    <x v="11"/>
    <x v="7"/>
    <x v="5"/>
    <x v="30"/>
    <x v="88"/>
    <x v="935"/>
    <x v="35"/>
    <x v="35"/>
    <x v="1"/>
  </r>
  <r>
    <x v="1"/>
    <x v="0"/>
    <x v="381"/>
    <x v="4"/>
    <x v="11"/>
    <x v="7"/>
    <x v="4"/>
    <x v="31"/>
    <x v="63"/>
    <x v="651"/>
    <x v="32"/>
    <x v="32"/>
    <x v="1"/>
  </r>
  <r>
    <x v="1"/>
    <x v="0"/>
    <x v="381"/>
    <x v="4"/>
    <x v="11"/>
    <x v="7"/>
    <x v="0"/>
    <x v="35"/>
    <x v="52"/>
    <x v="571"/>
    <x v="31"/>
    <x v="31"/>
    <x v="1"/>
  </r>
  <r>
    <x v="1"/>
    <x v="0"/>
    <x v="381"/>
    <x v="4"/>
    <x v="11"/>
    <x v="7"/>
    <x v="3"/>
    <x v="29"/>
    <x v="92"/>
    <x v="954"/>
    <x v="21"/>
    <x v="21"/>
    <x v="1"/>
  </r>
  <r>
    <x v="1"/>
    <x v="0"/>
    <x v="412"/>
    <x v="4"/>
    <x v="11"/>
    <x v="7"/>
    <x v="2"/>
    <x v="22"/>
    <x v="123"/>
    <x v="990"/>
    <x v="36"/>
    <x v="36"/>
    <x v="1"/>
  </r>
  <r>
    <x v="1"/>
    <x v="0"/>
    <x v="412"/>
    <x v="4"/>
    <x v="11"/>
    <x v="7"/>
    <x v="1"/>
    <x v="31"/>
    <x v="94"/>
    <x v="1028"/>
    <x v="40"/>
    <x v="40"/>
    <x v="1"/>
  </r>
  <r>
    <x v="1"/>
    <x v="0"/>
    <x v="412"/>
    <x v="4"/>
    <x v="11"/>
    <x v="7"/>
    <x v="5"/>
    <x v="31"/>
    <x v="87"/>
    <x v="952"/>
    <x v="33"/>
    <x v="33"/>
    <x v="1"/>
  </r>
  <r>
    <x v="1"/>
    <x v="0"/>
    <x v="412"/>
    <x v="4"/>
    <x v="2"/>
    <x v="41"/>
    <x v="4"/>
    <x v="31"/>
    <x v="52"/>
    <x v="497"/>
    <x v="34"/>
    <x v="34"/>
    <x v="1"/>
  </r>
  <r>
    <x v="1"/>
    <x v="0"/>
    <x v="412"/>
    <x v="4"/>
    <x v="2"/>
    <x v="41"/>
    <x v="0"/>
    <x v="35"/>
    <x v="33"/>
    <x v="343"/>
    <x v="30"/>
    <x v="30"/>
    <x v="1"/>
  </r>
  <r>
    <x v="1"/>
    <x v="0"/>
    <x v="412"/>
    <x v="4"/>
    <x v="2"/>
    <x v="41"/>
    <x v="3"/>
    <x v="31"/>
    <x v="73"/>
    <x v="776"/>
    <x v="22"/>
    <x v="22"/>
    <x v="1"/>
  </r>
  <r>
    <x v="1"/>
    <x v="0"/>
    <x v="439"/>
    <x v="4"/>
    <x v="2"/>
    <x v="41"/>
    <x v="2"/>
    <x v="30"/>
    <x v="125"/>
    <x v="1292"/>
    <x v="33"/>
    <x v="33"/>
    <x v="1"/>
  </r>
  <r>
    <x v="1"/>
    <x v="0"/>
    <x v="439"/>
    <x v="4"/>
    <x v="2"/>
    <x v="41"/>
    <x v="1"/>
    <x v="41"/>
    <x v="78"/>
    <x v="1100"/>
    <x v="41"/>
    <x v="41"/>
    <x v="1"/>
  </r>
  <r>
    <x v="1"/>
    <x v="0"/>
    <x v="439"/>
    <x v="4"/>
    <x v="2"/>
    <x v="41"/>
    <x v="5"/>
    <x v="42"/>
    <x v="75"/>
    <x v="1074"/>
    <x v="36"/>
    <x v="36"/>
    <x v="1"/>
  </r>
  <r>
    <x v="1"/>
    <x v="0"/>
    <x v="439"/>
    <x v="4"/>
    <x v="2"/>
    <x v="41"/>
    <x v="4"/>
    <x v="40"/>
    <x v="56"/>
    <x v="733"/>
    <x v="32"/>
    <x v="32"/>
    <x v="1"/>
  </r>
  <r>
    <x v="1"/>
    <x v="0"/>
    <x v="439"/>
    <x v="4"/>
    <x v="2"/>
    <x v="41"/>
    <x v="0"/>
    <x v="47"/>
    <x v="21"/>
    <x v="296"/>
    <x v="27"/>
    <x v="27"/>
    <x v="1"/>
  </r>
  <r>
    <x v="1"/>
    <x v="0"/>
    <x v="439"/>
    <x v="4"/>
    <x v="2"/>
    <x v="41"/>
    <x v="3"/>
    <x v="40"/>
    <x v="73"/>
    <x v="987"/>
    <x v="26"/>
    <x v="26"/>
    <x v="1"/>
  </r>
  <r>
    <x v="1"/>
    <x v="0"/>
    <x v="471"/>
    <x v="4"/>
    <x v="2"/>
    <x v="41"/>
    <x v="2"/>
    <x v="41"/>
    <x v="110"/>
    <x v="1499"/>
    <x v="31"/>
    <x v="31"/>
    <x v="1"/>
  </r>
  <r>
    <x v="1"/>
    <x v="0"/>
    <x v="471"/>
    <x v="4"/>
    <x v="2"/>
    <x v="41"/>
    <x v="1"/>
    <x v="46"/>
    <x v="74"/>
    <x v="1149"/>
    <x v="36"/>
    <x v="36"/>
    <x v="1"/>
  </r>
  <r>
    <x v="1"/>
    <x v="0"/>
    <x v="471"/>
    <x v="4"/>
    <x v="2"/>
    <x v="41"/>
    <x v="5"/>
    <x v="43"/>
    <x v="84"/>
    <x v="1228"/>
    <x v="36"/>
    <x v="36"/>
    <x v="1"/>
  </r>
  <r>
    <x v="1"/>
    <x v="0"/>
    <x v="471"/>
    <x v="4"/>
    <x v="2"/>
    <x v="41"/>
    <x v="4"/>
    <x v="39"/>
    <x v="62"/>
    <x v="803"/>
    <x v="36"/>
    <x v="36"/>
    <x v="1"/>
  </r>
  <r>
    <x v="1"/>
    <x v="0"/>
    <x v="471"/>
    <x v="4"/>
    <x v="2"/>
    <x v="41"/>
    <x v="0"/>
    <x v="43"/>
    <x v="28"/>
    <x v="375"/>
    <x v="28"/>
    <x v="28"/>
    <x v="1"/>
  </r>
  <r>
    <x v="1"/>
    <x v="0"/>
    <x v="471"/>
    <x v="4"/>
    <x v="2"/>
    <x v="41"/>
    <x v="3"/>
    <x v="60"/>
    <x v="77"/>
    <x v="1515"/>
    <x v="22"/>
    <x v="22"/>
    <x v="1"/>
  </r>
  <r>
    <x v="1"/>
    <x v="0"/>
    <x v="502"/>
    <x v="4"/>
    <x v="2"/>
    <x v="41"/>
    <x v="2"/>
    <x v="40"/>
    <x v="127"/>
    <x v="1655"/>
    <x v="33"/>
    <x v="33"/>
    <x v="1"/>
  </r>
  <r>
    <x v="1"/>
    <x v="0"/>
    <x v="502"/>
    <x v="4"/>
    <x v="2"/>
    <x v="41"/>
    <x v="1"/>
    <x v="46"/>
    <x v="94"/>
    <x v="1439"/>
    <x v="40"/>
    <x v="40"/>
    <x v="1"/>
  </r>
  <r>
    <x v="1"/>
    <x v="0"/>
    <x v="502"/>
    <x v="4"/>
    <x v="2"/>
    <x v="41"/>
    <x v="5"/>
    <x v="43"/>
    <x v="101"/>
    <x v="1441"/>
    <x v="33"/>
    <x v="33"/>
    <x v="1"/>
  </r>
  <r>
    <x v="1"/>
    <x v="0"/>
    <x v="502"/>
    <x v="4"/>
    <x v="2"/>
    <x v="41"/>
    <x v="4"/>
    <x v="42"/>
    <x v="74"/>
    <x v="1061"/>
    <x v="36"/>
    <x v="36"/>
    <x v="1"/>
  </r>
  <r>
    <x v="1"/>
    <x v="0"/>
    <x v="502"/>
    <x v="4"/>
    <x v="2"/>
    <x v="41"/>
    <x v="0"/>
    <x v="44"/>
    <x v="47"/>
    <x v="658"/>
    <x v="27"/>
    <x v="27"/>
    <x v="1"/>
  </r>
  <r>
    <x v="1"/>
    <x v="0"/>
    <x v="502"/>
    <x v="4"/>
    <x v="2"/>
    <x v="41"/>
    <x v="3"/>
    <x v="57"/>
    <x v="80"/>
    <x v="1509"/>
    <x v="22"/>
    <x v="22"/>
    <x v="1"/>
  </r>
  <r>
    <x v="1"/>
    <x v="0"/>
    <x v="532"/>
    <x v="4"/>
    <x v="2"/>
    <x v="41"/>
    <x v="2"/>
    <x v="41"/>
    <x v="135"/>
    <x v="1777"/>
    <x v="35"/>
    <x v="35"/>
    <x v="1"/>
  </r>
  <r>
    <x v="1"/>
    <x v="0"/>
    <x v="532"/>
    <x v="4"/>
    <x v="2"/>
    <x v="41"/>
    <x v="1"/>
    <x v="44"/>
    <x v="118"/>
    <x v="1683"/>
    <x v="38"/>
    <x v="38"/>
    <x v="1"/>
  </r>
  <r>
    <x v="1"/>
    <x v="0"/>
    <x v="532"/>
    <x v="4"/>
    <x v="2"/>
    <x v="41"/>
    <x v="5"/>
    <x v="44"/>
    <x v="118"/>
    <x v="1683"/>
    <x v="31"/>
    <x v="31"/>
    <x v="1"/>
  </r>
  <r>
    <x v="1"/>
    <x v="0"/>
    <x v="532"/>
    <x v="4"/>
    <x v="2"/>
    <x v="41"/>
    <x v="4"/>
    <x v="39"/>
    <x v="78"/>
    <x v="1049"/>
    <x v="36"/>
    <x v="36"/>
    <x v="1"/>
  </r>
  <r>
    <x v="1"/>
    <x v="0"/>
    <x v="532"/>
    <x v="4"/>
    <x v="2"/>
    <x v="41"/>
    <x v="0"/>
    <x v="44"/>
    <x v="56"/>
    <x v="809"/>
    <x v="28"/>
    <x v="28"/>
    <x v="1"/>
  </r>
  <r>
    <x v="1"/>
    <x v="0"/>
    <x v="532"/>
    <x v="4"/>
    <x v="2"/>
    <x v="41"/>
    <x v="3"/>
    <x v="62"/>
    <x v="111"/>
    <x v="2069"/>
    <x v="25"/>
    <x v="25"/>
    <x v="1"/>
  </r>
  <r>
    <x v="1"/>
    <x v="0"/>
    <x v="561"/>
    <x v="4"/>
    <x v="2"/>
    <x v="41"/>
    <x v="2"/>
    <x v="42"/>
    <x v="172"/>
    <x v="2155"/>
    <x v="35"/>
    <x v="35"/>
    <x v="1"/>
  </r>
  <r>
    <x v="1"/>
    <x v="0"/>
    <x v="561"/>
    <x v="4"/>
    <x v="2"/>
    <x v="41"/>
    <x v="1"/>
    <x v="43"/>
    <x v="122"/>
    <x v="1696"/>
    <x v="37"/>
    <x v="37"/>
    <x v="1"/>
  </r>
  <r>
    <x v="1"/>
    <x v="0"/>
    <x v="561"/>
    <x v="4"/>
    <x v="2"/>
    <x v="41"/>
    <x v="5"/>
    <x v="44"/>
    <x v="113"/>
    <x v="1624"/>
    <x v="33"/>
    <x v="33"/>
    <x v="1"/>
  </r>
  <r>
    <x v="1"/>
    <x v="0"/>
    <x v="561"/>
    <x v="4"/>
    <x v="2"/>
    <x v="41"/>
    <x v="4"/>
    <x v="41"/>
    <x v="83"/>
    <x v="1168"/>
    <x v="31"/>
    <x v="31"/>
    <x v="1"/>
  </r>
  <r>
    <x v="1"/>
    <x v="0"/>
    <x v="561"/>
    <x v="4"/>
    <x v="2"/>
    <x v="41"/>
    <x v="0"/>
    <x v="45"/>
    <x v="108"/>
    <x v="1599"/>
    <x v="29"/>
    <x v="29"/>
    <x v="1"/>
  </r>
  <r>
    <x v="1"/>
    <x v="0"/>
    <x v="561"/>
    <x v="4"/>
    <x v="2"/>
    <x v="41"/>
    <x v="3"/>
    <x v="60"/>
    <x v="103"/>
    <x v="1927"/>
    <x v="24"/>
    <x v="24"/>
    <x v="1"/>
  </r>
  <r>
    <x v="1"/>
    <x v="0"/>
    <x v="593"/>
    <x v="4"/>
    <x v="2"/>
    <x v="41"/>
    <x v="2"/>
    <x v="43"/>
    <x v="141"/>
    <x v="1911"/>
    <x v="36"/>
    <x v="36"/>
    <x v="1"/>
  </r>
  <r>
    <x v="1"/>
    <x v="0"/>
    <x v="593"/>
    <x v="4"/>
    <x v="2"/>
    <x v="41"/>
    <x v="1"/>
    <x v="50"/>
    <x v="139"/>
    <x v="2088"/>
    <x v="36"/>
    <x v="36"/>
    <x v="1"/>
  </r>
  <r>
    <x v="1"/>
    <x v="0"/>
    <x v="593"/>
    <x v="4"/>
    <x v="2"/>
    <x v="41"/>
    <x v="5"/>
    <x v="47"/>
    <x v="94"/>
    <x v="1464"/>
    <x v="35"/>
    <x v="35"/>
    <x v="1"/>
  </r>
  <r>
    <x v="1"/>
    <x v="0"/>
    <x v="593"/>
    <x v="4"/>
    <x v="2"/>
    <x v="41"/>
    <x v="4"/>
    <x v="45"/>
    <x v="93"/>
    <x v="1398"/>
    <x v="35"/>
    <x v="35"/>
    <x v="1"/>
  </r>
  <r>
    <x v="1"/>
    <x v="0"/>
    <x v="593"/>
    <x v="4"/>
    <x v="2"/>
    <x v="41"/>
    <x v="0"/>
    <x v="52"/>
    <x v="97"/>
    <x v="1639"/>
    <x v="27"/>
    <x v="27"/>
    <x v="1"/>
  </r>
  <r>
    <x v="1"/>
    <x v="0"/>
    <x v="593"/>
    <x v="4"/>
    <x v="2"/>
    <x v="41"/>
    <x v="3"/>
    <x v="58"/>
    <x v="77"/>
    <x v="1468"/>
    <x v="26"/>
    <x v="26"/>
    <x v="1"/>
  </r>
  <r>
    <x v="1"/>
    <x v="0"/>
    <x v="625"/>
    <x v="4"/>
    <x v="2"/>
    <x v="41"/>
    <x v="2"/>
    <x v="34"/>
    <x v="145"/>
    <x v="1641"/>
    <x v="35"/>
    <x v="35"/>
    <x v="1"/>
  </r>
  <r>
    <x v="1"/>
    <x v="0"/>
    <x v="625"/>
    <x v="4"/>
    <x v="2"/>
    <x v="41"/>
    <x v="1"/>
    <x v="38"/>
    <x v="139"/>
    <x v="1724"/>
    <x v="39"/>
    <x v="39"/>
    <x v="1"/>
  </r>
  <r>
    <x v="1"/>
    <x v="0"/>
    <x v="625"/>
    <x v="4"/>
    <x v="2"/>
    <x v="41"/>
    <x v="5"/>
    <x v="36"/>
    <x v="108"/>
    <x v="1323"/>
    <x v="31"/>
    <x v="31"/>
    <x v="1"/>
  </r>
  <r>
    <x v="1"/>
    <x v="0"/>
    <x v="625"/>
    <x v="4"/>
    <x v="2"/>
    <x v="41"/>
    <x v="4"/>
    <x v="34"/>
    <x v="94"/>
    <x v="1117"/>
    <x v="33"/>
    <x v="33"/>
    <x v="1"/>
  </r>
  <r>
    <x v="1"/>
    <x v="0"/>
    <x v="625"/>
    <x v="4"/>
    <x v="2"/>
    <x v="41"/>
    <x v="0"/>
    <x v="47"/>
    <x v="87"/>
    <x v="1368"/>
    <x v="30"/>
    <x v="30"/>
    <x v="1"/>
  </r>
  <r>
    <x v="1"/>
    <x v="0"/>
    <x v="625"/>
    <x v="4"/>
    <x v="2"/>
    <x v="41"/>
    <x v="3"/>
    <x v="49"/>
    <x v="100"/>
    <x v="1601"/>
    <x v="23"/>
    <x v="23"/>
    <x v="1"/>
  </r>
  <r>
    <x v="1"/>
    <x v="0"/>
    <x v="654"/>
    <x v="4"/>
    <x v="2"/>
    <x v="41"/>
    <x v="2"/>
    <x v="34"/>
    <x v="115"/>
    <x v="1330"/>
    <x v="34"/>
    <x v="34"/>
    <x v="1"/>
  </r>
  <r>
    <x v="1"/>
    <x v="0"/>
    <x v="654"/>
    <x v="4"/>
    <x v="2"/>
    <x v="41"/>
    <x v="1"/>
    <x v="40"/>
    <x v="125"/>
    <x v="1631"/>
    <x v="39"/>
    <x v="39"/>
    <x v="1"/>
  </r>
  <r>
    <x v="1"/>
    <x v="0"/>
    <x v="654"/>
    <x v="4"/>
    <x v="2"/>
    <x v="41"/>
    <x v="5"/>
    <x v="37"/>
    <x v="75"/>
    <x v="958"/>
    <x v="34"/>
    <x v="34"/>
    <x v="1"/>
  </r>
  <r>
    <x v="1"/>
    <x v="0"/>
    <x v="654"/>
    <x v="4"/>
    <x v="2"/>
    <x v="41"/>
    <x v="4"/>
    <x v="36"/>
    <x v="74"/>
    <x v="918"/>
    <x v="35"/>
    <x v="35"/>
    <x v="1"/>
  </r>
  <r>
    <x v="1"/>
    <x v="0"/>
    <x v="654"/>
    <x v="4"/>
    <x v="2"/>
    <x v="41"/>
    <x v="0"/>
    <x v="46"/>
    <x v="57"/>
    <x v="866"/>
    <x v="26"/>
    <x v="26"/>
    <x v="1"/>
  </r>
  <r>
    <x v="1"/>
    <x v="0"/>
    <x v="654"/>
    <x v="4"/>
    <x v="2"/>
    <x v="41"/>
    <x v="3"/>
    <x v="49"/>
    <x v="70"/>
    <x v="1148"/>
    <x v="24"/>
    <x v="24"/>
    <x v="1"/>
  </r>
  <r>
    <x v="1"/>
    <x v="0"/>
    <x v="685"/>
    <x v="4"/>
    <x v="2"/>
    <x v="41"/>
    <x v="2"/>
    <x v="35"/>
    <x v="115"/>
    <x v="1368"/>
    <x v="33"/>
    <x v="33"/>
    <x v="1"/>
  </r>
  <r>
    <x v="1"/>
    <x v="0"/>
    <x v="685"/>
    <x v="4"/>
    <x v="2"/>
    <x v="41"/>
    <x v="1"/>
    <x v="39"/>
    <x v="127"/>
    <x v="1620"/>
    <x v="38"/>
    <x v="38"/>
    <x v="1"/>
  </r>
  <r>
    <x v="1"/>
    <x v="0"/>
    <x v="685"/>
    <x v="4"/>
    <x v="2"/>
    <x v="41"/>
    <x v="5"/>
    <x v="37"/>
    <x v="87"/>
    <x v="1115"/>
    <x v="32"/>
    <x v="32"/>
    <x v="1"/>
  </r>
  <r>
    <x v="1"/>
    <x v="0"/>
    <x v="685"/>
    <x v="4"/>
    <x v="2"/>
    <x v="41"/>
    <x v="4"/>
    <x v="35"/>
    <x v="80"/>
    <x v="980"/>
    <x v="33"/>
    <x v="33"/>
    <x v="1"/>
  </r>
  <r>
    <x v="1"/>
    <x v="0"/>
    <x v="685"/>
    <x v="4"/>
    <x v="2"/>
    <x v="41"/>
    <x v="0"/>
    <x v="46"/>
    <x v="72"/>
    <x v="1113"/>
    <x v="27"/>
    <x v="27"/>
    <x v="1"/>
  </r>
  <r>
    <x v="1"/>
    <x v="0"/>
    <x v="685"/>
    <x v="4"/>
    <x v="2"/>
    <x v="41"/>
    <x v="3"/>
    <x v="48"/>
    <x v="92"/>
    <x v="1466"/>
    <x v="23"/>
    <x v="23"/>
    <x v="1"/>
  </r>
  <r>
    <x v="1"/>
    <x v="0"/>
    <x v="714"/>
    <x v="4"/>
    <x v="2"/>
    <x v="41"/>
    <x v="2"/>
    <x v="37"/>
    <x v="158"/>
    <x v="1875"/>
    <x v="32"/>
    <x v="32"/>
    <x v="1"/>
  </r>
  <r>
    <x v="1"/>
    <x v="0"/>
    <x v="714"/>
    <x v="4"/>
    <x v="2"/>
    <x v="41"/>
    <x v="1"/>
    <x v="42"/>
    <x v="152"/>
    <x v="1990"/>
    <x v="40"/>
    <x v="40"/>
    <x v="1"/>
  </r>
  <r>
    <x v="2"/>
    <x v="0"/>
    <x v="714"/>
    <x v="4"/>
    <x v="2"/>
    <x v="41"/>
    <x v="5"/>
    <x v="36"/>
    <x v="103"/>
    <x v="1273"/>
    <x v="34"/>
    <x v="34"/>
    <x v="1"/>
  </r>
  <r>
    <x v="2"/>
    <x v="0"/>
    <x v="714"/>
    <x v="4"/>
    <x v="2"/>
    <x v="41"/>
    <x v="4"/>
    <x v="37"/>
    <x v="96"/>
    <x v="1221"/>
    <x v="31"/>
    <x v="31"/>
    <x v="1"/>
  </r>
  <r>
    <x v="2"/>
    <x v="0"/>
    <x v="714"/>
    <x v="4"/>
    <x v="2"/>
    <x v="41"/>
    <x v="0"/>
    <x v="45"/>
    <x v="73"/>
    <x v="1105"/>
    <x v="29"/>
    <x v="29"/>
    <x v="1"/>
  </r>
  <r>
    <x v="2"/>
    <x v="0"/>
    <x v="714"/>
    <x v="4"/>
    <x v="2"/>
    <x v="41"/>
    <x v="3"/>
    <x v="51"/>
    <x v="115"/>
    <x v="1850"/>
    <x v="23"/>
    <x v="23"/>
    <x v="1"/>
  </r>
  <r>
    <x v="2"/>
    <x v="0"/>
    <x v="384"/>
    <x v="4"/>
    <x v="2"/>
    <x v="41"/>
    <x v="2"/>
    <x v="26"/>
    <x v="113"/>
    <x v="1053"/>
    <x v="35"/>
    <x v="35"/>
    <x v="1"/>
  </r>
  <r>
    <x v="2"/>
    <x v="0"/>
    <x v="384"/>
    <x v="4"/>
    <x v="2"/>
    <x v="41"/>
    <x v="1"/>
    <x v="35"/>
    <x v="118"/>
    <x v="1393"/>
    <x v="39"/>
    <x v="39"/>
    <x v="1"/>
  </r>
  <r>
    <x v="2"/>
    <x v="0"/>
    <x v="384"/>
    <x v="4"/>
    <x v="2"/>
    <x v="41"/>
    <x v="5"/>
    <x v="35"/>
    <x v="118"/>
    <x v="1393"/>
    <x v="32"/>
    <x v="32"/>
    <x v="1"/>
  </r>
  <r>
    <x v="2"/>
    <x v="0"/>
    <x v="384"/>
    <x v="4"/>
    <x v="2"/>
    <x v="41"/>
    <x v="4"/>
    <x v="36"/>
    <x v="70"/>
    <x v="865"/>
    <x v="35"/>
    <x v="35"/>
    <x v="1"/>
  </r>
  <r>
    <x v="2"/>
    <x v="0"/>
    <x v="384"/>
    <x v="4"/>
    <x v="2"/>
    <x v="41"/>
    <x v="0"/>
    <x v="38"/>
    <x v="66"/>
    <x v="847"/>
    <x v="27"/>
    <x v="27"/>
    <x v="1"/>
  </r>
  <r>
    <x v="2"/>
    <x v="0"/>
    <x v="384"/>
    <x v="4"/>
    <x v="2"/>
    <x v="41"/>
    <x v="3"/>
    <x v="35"/>
    <x v="108"/>
    <x v="1296"/>
    <x v="22"/>
    <x v="22"/>
    <x v="1"/>
  </r>
  <r>
    <x v="2"/>
    <x v="0"/>
    <x v="415"/>
    <x v="4"/>
    <x v="2"/>
    <x v="41"/>
    <x v="2"/>
    <x v="26"/>
    <x v="127"/>
    <x v="1169"/>
    <x v="35"/>
    <x v="35"/>
    <x v="1"/>
  </r>
  <r>
    <x v="2"/>
    <x v="0"/>
    <x v="415"/>
    <x v="4"/>
    <x v="2"/>
    <x v="41"/>
    <x v="1"/>
    <x v="37"/>
    <x v="88"/>
    <x v="1126"/>
    <x v="41"/>
    <x v="41"/>
    <x v="1"/>
  </r>
  <r>
    <x v="2"/>
    <x v="0"/>
    <x v="415"/>
    <x v="4"/>
    <x v="2"/>
    <x v="41"/>
    <x v="5"/>
    <x v="34"/>
    <x v="92"/>
    <x v="1098"/>
    <x v="32"/>
    <x v="32"/>
    <x v="1"/>
  </r>
  <r>
    <x v="2"/>
    <x v="0"/>
    <x v="415"/>
    <x v="4"/>
    <x v="30"/>
    <x v="1"/>
    <x v="4"/>
    <x v="36"/>
    <x v="61"/>
    <x v="729"/>
    <x v="35"/>
    <x v="35"/>
    <x v="1"/>
  </r>
  <r>
    <x v="2"/>
    <x v="0"/>
    <x v="415"/>
    <x v="4"/>
    <x v="30"/>
    <x v="1"/>
    <x v="0"/>
    <x v="38"/>
    <x v="43"/>
    <x v="509"/>
    <x v="30"/>
    <x v="30"/>
    <x v="1"/>
  </r>
  <r>
    <x v="2"/>
    <x v="0"/>
    <x v="415"/>
    <x v="4"/>
    <x v="30"/>
    <x v="1"/>
    <x v="3"/>
    <x v="34"/>
    <x v="86"/>
    <x v="1020"/>
    <x v="24"/>
    <x v="24"/>
    <x v="1"/>
  </r>
  <r>
    <x v="2"/>
    <x v="0"/>
    <x v="442"/>
    <x v="4"/>
    <x v="30"/>
    <x v="1"/>
    <x v="2"/>
    <x v="37"/>
    <x v="143"/>
    <x v="1727"/>
    <x v="36"/>
    <x v="36"/>
    <x v="1"/>
  </r>
  <r>
    <x v="2"/>
    <x v="0"/>
    <x v="442"/>
    <x v="4"/>
    <x v="30"/>
    <x v="1"/>
    <x v="1"/>
    <x v="44"/>
    <x v="93"/>
    <x v="1375"/>
    <x v="39"/>
    <x v="39"/>
    <x v="1"/>
  </r>
  <r>
    <x v="2"/>
    <x v="0"/>
    <x v="442"/>
    <x v="4"/>
    <x v="30"/>
    <x v="1"/>
    <x v="5"/>
    <x v="45"/>
    <x v="93"/>
    <x v="1398"/>
    <x v="35"/>
    <x v="35"/>
    <x v="1"/>
  </r>
  <r>
    <x v="2"/>
    <x v="0"/>
    <x v="442"/>
    <x v="4"/>
    <x v="30"/>
    <x v="1"/>
    <x v="4"/>
    <x v="43"/>
    <x v="68"/>
    <x v="991"/>
    <x v="32"/>
    <x v="32"/>
    <x v="1"/>
  </r>
  <r>
    <x v="2"/>
    <x v="0"/>
    <x v="442"/>
    <x v="4"/>
    <x v="30"/>
    <x v="1"/>
    <x v="0"/>
    <x v="48"/>
    <x v="42"/>
    <x v="647"/>
    <x v="29"/>
    <x v="29"/>
    <x v="1"/>
  </r>
  <r>
    <x v="2"/>
    <x v="0"/>
    <x v="442"/>
    <x v="4"/>
    <x v="30"/>
    <x v="1"/>
    <x v="3"/>
    <x v="43"/>
    <x v="80"/>
    <x v="1184"/>
    <x v="24"/>
    <x v="24"/>
    <x v="1"/>
  </r>
  <r>
    <x v="2"/>
    <x v="0"/>
    <x v="474"/>
    <x v="4"/>
    <x v="30"/>
    <x v="1"/>
    <x v="2"/>
    <x v="44"/>
    <x v="133"/>
    <x v="1855"/>
    <x v="31"/>
    <x v="31"/>
    <x v="1"/>
  </r>
  <r>
    <x v="2"/>
    <x v="0"/>
    <x v="474"/>
    <x v="4"/>
    <x v="30"/>
    <x v="1"/>
    <x v="1"/>
    <x v="52"/>
    <x v="80"/>
    <x v="1390"/>
    <x v="36"/>
    <x v="36"/>
    <x v="1"/>
  </r>
  <r>
    <x v="2"/>
    <x v="0"/>
    <x v="474"/>
    <x v="4"/>
    <x v="30"/>
    <x v="1"/>
    <x v="5"/>
    <x v="48"/>
    <x v="97"/>
    <x v="1536"/>
    <x v="36"/>
    <x v="36"/>
    <x v="1"/>
  </r>
  <r>
    <x v="2"/>
    <x v="0"/>
    <x v="474"/>
    <x v="4"/>
    <x v="30"/>
    <x v="1"/>
    <x v="4"/>
    <x v="47"/>
    <x v="72"/>
    <x v="1134"/>
    <x v="32"/>
    <x v="32"/>
    <x v="1"/>
  </r>
  <r>
    <x v="2"/>
    <x v="0"/>
    <x v="474"/>
    <x v="4"/>
    <x v="30"/>
    <x v="1"/>
    <x v="0"/>
    <x v="49"/>
    <x v="47"/>
    <x v="750"/>
    <x v="27"/>
    <x v="27"/>
    <x v="1"/>
  </r>
  <r>
    <x v="2"/>
    <x v="0"/>
    <x v="474"/>
    <x v="4"/>
    <x v="30"/>
    <x v="1"/>
    <x v="3"/>
    <x v="62"/>
    <x v="83"/>
    <x v="1670"/>
    <x v="24"/>
    <x v="24"/>
    <x v="1"/>
  </r>
  <r>
    <x v="2"/>
    <x v="0"/>
    <x v="505"/>
    <x v="4"/>
    <x v="30"/>
    <x v="1"/>
    <x v="2"/>
    <x v="44"/>
    <x v="129"/>
    <x v="1807"/>
    <x v="31"/>
    <x v="31"/>
    <x v="1"/>
  </r>
  <r>
    <x v="2"/>
    <x v="0"/>
    <x v="505"/>
    <x v="4"/>
    <x v="30"/>
    <x v="1"/>
    <x v="1"/>
    <x v="51"/>
    <x v="92"/>
    <x v="1552"/>
    <x v="37"/>
    <x v="37"/>
    <x v="1"/>
  </r>
  <r>
    <x v="2"/>
    <x v="0"/>
    <x v="505"/>
    <x v="4"/>
    <x v="30"/>
    <x v="1"/>
    <x v="5"/>
    <x v="49"/>
    <x v="106"/>
    <x v="1687"/>
    <x v="33"/>
    <x v="33"/>
    <x v="1"/>
  </r>
  <r>
    <x v="2"/>
    <x v="0"/>
    <x v="505"/>
    <x v="4"/>
    <x v="30"/>
    <x v="1"/>
    <x v="4"/>
    <x v="44"/>
    <x v="75"/>
    <x v="1120"/>
    <x v="32"/>
    <x v="32"/>
    <x v="1"/>
  </r>
  <r>
    <x v="2"/>
    <x v="0"/>
    <x v="505"/>
    <x v="4"/>
    <x v="30"/>
    <x v="1"/>
    <x v="0"/>
    <x v="49"/>
    <x v="54"/>
    <x v="859"/>
    <x v="28"/>
    <x v="28"/>
    <x v="1"/>
  </r>
  <r>
    <x v="2"/>
    <x v="0"/>
    <x v="505"/>
    <x v="4"/>
    <x v="30"/>
    <x v="1"/>
    <x v="3"/>
    <x v="62"/>
    <x v="96"/>
    <x v="1867"/>
    <x v="25"/>
    <x v="25"/>
    <x v="1"/>
  </r>
  <r>
    <x v="2"/>
    <x v="0"/>
    <x v="535"/>
    <x v="4"/>
    <x v="30"/>
    <x v="1"/>
    <x v="2"/>
    <x v="45"/>
    <x v="177"/>
    <x v="2288"/>
    <x v="34"/>
    <x v="34"/>
    <x v="1"/>
  </r>
  <r>
    <x v="2"/>
    <x v="0"/>
    <x v="535"/>
    <x v="4"/>
    <x v="30"/>
    <x v="1"/>
    <x v="1"/>
    <x v="47"/>
    <x v="133"/>
    <x v="1944"/>
    <x v="38"/>
    <x v="38"/>
    <x v="1"/>
  </r>
  <r>
    <x v="2"/>
    <x v="0"/>
    <x v="535"/>
    <x v="4"/>
    <x v="30"/>
    <x v="1"/>
    <x v="5"/>
    <x v="47"/>
    <x v="128"/>
    <x v="1891"/>
    <x v="36"/>
    <x v="36"/>
    <x v="1"/>
  </r>
  <r>
    <x v="2"/>
    <x v="0"/>
    <x v="535"/>
    <x v="4"/>
    <x v="30"/>
    <x v="1"/>
    <x v="4"/>
    <x v="47"/>
    <x v="88"/>
    <x v="1377"/>
    <x v="31"/>
    <x v="31"/>
    <x v="1"/>
  </r>
  <r>
    <x v="2"/>
    <x v="0"/>
    <x v="535"/>
    <x v="4"/>
    <x v="30"/>
    <x v="1"/>
    <x v="0"/>
    <x v="49"/>
    <x v="72"/>
    <x v="1174"/>
    <x v="29"/>
    <x v="29"/>
    <x v="1"/>
  </r>
  <r>
    <x v="2"/>
    <x v="0"/>
    <x v="535"/>
    <x v="4"/>
    <x v="30"/>
    <x v="1"/>
    <x v="3"/>
    <x v="67"/>
    <x v="140"/>
    <x v="2465"/>
    <x v="22"/>
    <x v="22"/>
    <x v="1"/>
  </r>
  <r>
    <x v="2"/>
    <x v="0"/>
    <x v="564"/>
    <x v="4"/>
    <x v="30"/>
    <x v="1"/>
    <x v="2"/>
    <x v="47"/>
    <x v="177"/>
    <x v="2342"/>
    <x v="33"/>
    <x v="33"/>
    <x v="1"/>
  </r>
  <r>
    <x v="2"/>
    <x v="0"/>
    <x v="564"/>
    <x v="4"/>
    <x v="30"/>
    <x v="1"/>
    <x v="1"/>
    <x v="49"/>
    <x v="157"/>
    <x v="2221"/>
    <x v="40"/>
    <x v="40"/>
    <x v="1"/>
  </r>
  <r>
    <x v="2"/>
    <x v="0"/>
    <x v="564"/>
    <x v="4"/>
    <x v="30"/>
    <x v="1"/>
    <x v="5"/>
    <x v="51"/>
    <x v="138"/>
    <x v="2101"/>
    <x v="34"/>
    <x v="34"/>
    <x v="1"/>
  </r>
  <r>
    <x v="2"/>
    <x v="0"/>
    <x v="564"/>
    <x v="4"/>
    <x v="30"/>
    <x v="1"/>
    <x v="4"/>
    <x v="47"/>
    <x v="115"/>
    <x v="1731"/>
    <x v="31"/>
    <x v="31"/>
    <x v="1"/>
  </r>
  <r>
    <x v="2"/>
    <x v="0"/>
    <x v="564"/>
    <x v="4"/>
    <x v="30"/>
    <x v="1"/>
    <x v="0"/>
    <x v="50"/>
    <x v="125"/>
    <x v="1933"/>
    <x v="29"/>
    <x v="29"/>
    <x v="1"/>
  </r>
  <r>
    <x v="2"/>
    <x v="0"/>
    <x v="564"/>
    <x v="4"/>
    <x v="30"/>
    <x v="1"/>
    <x v="3"/>
    <x v="62"/>
    <x v="120"/>
    <x v="2165"/>
    <x v="24"/>
    <x v="24"/>
    <x v="1"/>
  </r>
  <r>
    <x v="2"/>
    <x v="0"/>
    <x v="596"/>
    <x v="4"/>
    <x v="30"/>
    <x v="1"/>
    <x v="2"/>
    <x v="49"/>
    <x v="152"/>
    <x v="2179"/>
    <x v="36"/>
    <x v="36"/>
    <x v="1"/>
  </r>
  <r>
    <x v="2"/>
    <x v="0"/>
    <x v="596"/>
    <x v="4"/>
    <x v="30"/>
    <x v="1"/>
    <x v="1"/>
    <x v="53"/>
    <x v="153"/>
    <x v="2289"/>
    <x v="38"/>
    <x v="38"/>
    <x v="1"/>
  </r>
  <r>
    <x v="2"/>
    <x v="0"/>
    <x v="596"/>
    <x v="4"/>
    <x v="30"/>
    <x v="1"/>
    <x v="5"/>
    <x v="51"/>
    <x v="122"/>
    <x v="1925"/>
    <x v="32"/>
    <x v="32"/>
    <x v="1"/>
  </r>
  <r>
    <x v="2"/>
    <x v="0"/>
    <x v="596"/>
    <x v="4"/>
    <x v="30"/>
    <x v="1"/>
    <x v="4"/>
    <x v="48"/>
    <x v="123"/>
    <x v="1856"/>
    <x v="33"/>
    <x v="33"/>
    <x v="1"/>
  </r>
  <r>
    <x v="2"/>
    <x v="0"/>
    <x v="596"/>
    <x v="4"/>
    <x v="30"/>
    <x v="1"/>
    <x v="0"/>
    <x v="60"/>
    <x v="104"/>
    <x v="1942"/>
    <x v="26"/>
    <x v="26"/>
    <x v="1"/>
  </r>
  <r>
    <x v="2"/>
    <x v="0"/>
    <x v="596"/>
    <x v="4"/>
    <x v="30"/>
    <x v="1"/>
    <x v="3"/>
    <x v="63"/>
    <x v="106"/>
    <x v="2034"/>
    <x v="24"/>
    <x v="24"/>
    <x v="1"/>
  </r>
  <r>
    <x v="2"/>
    <x v="0"/>
    <x v="628"/>
    <x v="4"/>
    <x v="30"/>
    <x v="1"/>
    <x v="2"/>
    <x v="42"/>
    <x v="141"/>
    <x v="1879"/>
    <x v="31"/>
    <x v="31"/>
    <x v="1"/>
  </r>
  <r>
    <x v="2"/>
    <x v="0"/>
    <x v="628"/>
    <x v="4"/>
    <x v="30"/>
    <x v="1"/>
    <x v="1"/>
    <x v="44"/>
    <x v="135"/>
    <x v="1873"/>
    <x v="37"/>
    <x v="37"/>
    <x v="1"/>
  </r>
  <r>
    <x v="2"/>
    <x v="0"/>
    <x v="628"/>
    <x v="4"/>
    <x v="30"/>
    <x v="1"/>
    <x v="5"/>
    <x v="39"/>
    <x v="123"/>
    <x v="1584"/>
    <x v="33"/>
    <x v="33"/>
    <x v="1"/>
  </r>
  <r>
    <x v="2"/>
    <x v="0"/>
    <x v="628"/>
    <x v="4"/>
    <x v="30"/>
    <x v="1"/>
    <x v="4"/>
    <x v="42"/>
    <x v="103"/>
    <x v="1449"/>
    <x v="33"/>
    <x v="33"/>
    <x v="1"/>
  </r>
  <r>
    <x v="2"/>
    <x v="0"/>
    <x v="628"/>
    <x v="4"/>
    <x v="30"/>
    <x v="1"/>
    <x v="0"/>
    <x v="47"/>
    <x v="92"/>
    <x v="1440"/>
    <x v="26"/>
    <x v="26"/>
    <x v="1"/>
  </r>
  <r>
    <x v="2"/>
    <x v="0"/>
    <x v="628"/>
    <x v="4"/>
    <x v="30"/>
    <x v="1"/>
    <x v="3"/>
    <x v="52"/>
    <x v="113"/>
    <x v="1852"/>
    <x v="22"/>
    <x v="22"/>
    <x v="1"/>
  </r>
  <r>
    <x v="2"/>
    <x v="0"/>
    <x v="657"/>
    <x v="4"/>
    <x v="30"/>
    <x v="1"/>
    <x v="2"/>
    <x v="41"/>
    <x v="143"/>
    <x v="1866"/>
    <x v="36"/>
    <x v="36"/>
    <x v="1"/>
  </r>
  <r>
    <x v="2"/>
    <x v="0"/>
    <x v="657"/>
    <x v="4"/>
    <x v="30"/>
    <x v="1"/>
    <x v="1"/>
    <x v="43"/>
    <x v="128"/>
    <x v="1769"/>
    <x v="39"/>
    <x v="39"/>
    <x v="1"/>
  </r>
  <r>
    <x v="2"/>
    <x v="0"/>
    <x v="657"/>
    <x v="4"/>
    <x v="30"/>
    <x v="1"/>
    <x v="5"/>
    <x v="41"/>
    <x v="87"/>
    <x v="1219"/>
    <x v="33"/>
    <x v="33"/>
    <x v="1"/>
  </r>
  <r>
    <x v="2"/>
    <x v="0"/>
    <x v="657"/>
    <x v="4"/>
    <x v="30"/>
    <x v="1"/>
    <x v="4"/>
    <x v="39"/>
    <x v="78"/>
    <x v="1049"/>
    <x v="35"/>
    <x v="35"/>
    <x v="1"/>
  </r>
  <r>
    <x v="2"/>
    <x v="0"/>
    <x v="657"/>
    <x v="4"/>
    <x v="30"/>
    <x v="1"/>
    <x v="0"/>
    <x v="49"/>
    <x v="75"/>
    <x v="1227"/>
    <x v="30"/>
    <x v="30"/>
    <x v="1"/>
  </r>
  <r>
    <x v="2"/>
    <x v="0"/>
    <x v="657"/>
    <x v="4"/>
    <x v="30"/>
    <x v="1"/>
    <x v="3"/>
    <x v="61"/>
    <x v="87"/>
    <x v="1703"/>
    <x v="23"/>
    <x v="23"/>
    <x v="1"/>
  </r>
  <r>
    <x v="2"/>
    <x v="0"/>
    <x v="688"/>
    <x v="4"/>
    <x v="30"/>
    <x v="1"/>
    <x v="2"/>
    <x v="51"/>
    <x v="138"/>
    <x v="2101"/>
    <x v="35"/>
    <x v="35"/>
    <x v="1"/>
  </r>
  <r>
    <x v="2"/>
    <x v="0"/>
    <x v="688"/>
    <x v="4"/>
    <x v="30"/>
    <x v="1"/>
    <x v="1"/>
    <x v="52"/>
    <x v="129"/>
    <x v="2041"/>
    <x v="40"/>
    <x v="40"/>
    <x v="1"/>
  </r>
  <r>
    <x v="2"/>
    <x v="0"/>
    <x v="688"/>
    <x v="4"/>
    <x v="30"/>
    <x v="1"/>
    <x v="5"/>
    <x v="47"/>
    <x v="98"/>
    <x v="1520"/>
    <x v="34"/>
    <x v="34"/>
    <x v="1"/>
  </r>
  <r>
    <x v="2"/>
    <x v="0"/>
    <x v="688"/>
    <x v="4"/>
    <x v="30"/>
    <x v="1"/>
    <x v="4"/>
    <x v="48"/>
    <x v="96"/>
    <x v="1523"/>
    <x v="33"/>
    <x v="33"/>
    <x v="1"/>
  </r>
  <r>
    <x v="2"/>
    <x v="0"/>
    <x v="688"/>
    <x v="4"/>
    <x v="30"/>
    <x v="1"/>
    <x v="0"/>
    <x v="58"/>
    <x v="94"/>
    <x v="1745"/>
    <x v="30"/>
    <x v="30"/>
    <x v="1"/>
  </r>
  <r>
    <x v="2"/>
    <x v="0"/>
    <x v="688"/>
    <x v="4"/>
    <x v="30"/>
    <x v="1"/>
    <x v="3"/>
    <x v="65"/>
    <x v="120"/>
    <x v="2221"/>
    <x v="25"/>
    <x v="25"/>
    <x v="1"/>
  </r>
  <r>
    <x v="2"/>
    <x v="0"/>
    <x v="717"/>
    <x v="4"/>
    <x v="30"/>
    <x v="1"/>
    <x v="2"/>
    <x v="48"/>
    <x v="183"/>
    <x v="2415"/>
    <x v="32"/>
    <x v="32"/>
    <x v="1"/>
  </r>
  <r>
    <x v="2"/>
    <x v="0"/>
    <x v="717"/>
    <x v="4"/>
    <x v="30"/>
    <x v="1"/>
    <x v="1"/>
    <x v="54"/>
    <x v="159"/>
    <x v="2368"/>
    <x v="36"/>
    <x v="36"/>
    <x v="1"/>
  </r>
  <r>
    <x v="3"/>
    <x v="0"/>
    <x v="717"/>
    <x v="4"/>
    <x v="30"/>
    <x v="1"/>
    <x v="5"/>
    <x v="52"/>
    <x v="110"/>
    <x v="1812"/>
    <x v="35"/>
    <x v="35"/>
    <x v="1"/>
  </r>
  <r>
    <x v="3"/>
    <x v="0"/>
    <x v="717"/>
    <x v="4"/>
    <x v="30"/>
    <x v="1"/>
    <x v="4"/>
    <x v="48"/>
    <x v="125"/>
    <x v="1877"/>
    <x v="32"/>
    <x v="32"/>
    <x v="1"/>
  </r>
  <r>
    <x v="3"/>
    <x v="0"/>
    <x v="717"/>
    <x v="4"/>
    <x v="30"/>
    <x v="1"/>
    <x v="0"/>
    <x v="57"/>
    <x v="100"/>
    <x v="1800"/>
    <x v="31"/>
    <x v="31"/>
    <x v="1"/>
  </r>
  <r>
    <x v="3"/>
    <x v="0"/>
    <x v="717"/>
    <x v="4"/>
    <x v="30"/>
    <x v="1"/>
    <x v="3"/>
    <x v="65"/>
    <x v="111"/>
    <x v="2121"/>
    <x v="21"/>
    <x v="21"/>
    <x v="1"/>
  </r>
  <r>
    <x v="3"/>
    <x v="0"/>
    <x v="371"/>
    <x v="4"/>
    <x v="30"/>
    <x v="1"/>
    <x v="2"/>
    <x v="22"/>
    <x v="111"/>
    <x v="896"/>
    <x v="37"/>
    <x v="37"/>
    <x v="1"/>
  </r>
  <r>
    <x v="3"/>
    <x v="0"/>
    <x v="371"/>
    <x v="4"/>
    <x v="30"/>
    <x v="1"/>
    <x v="1"/>
    <x v="32"/>
    <x v="115"/>
    <x v="1269"/>
    <x v="37"/>
    <x v="37"/>
    <x v="1"/>
  </r>
  <r>
    <x v="3"/>
    <x v="0"/>
    <x v="371"/>
    <x v="4"/>
    <x v="30"/>
    <x v="1"/>
    <x v="5"/>
    <x v="31"/>
    <x v="106"/>
    <x v="1152"/>
    <x v="31"/>
    <x v="31"/>
    <x v="1"/>
  </r>
  <r>
    <x v="3"/>
    <x v="0"/>
    <x v="371"/>
    <x v="4"/>
    <x v="30"/>
    <x v="1"/>
    <x v="4"/>
    <x v="32"/>
    <x v="62"/>
    <x v="650"/>
    <x v="36"/>
    <x v="36"/>
    <x v="1"/>
  </r>
  <r>
    <x v="3"/>
    <x v="0"/>
    <x v="371"/>
    <x v="4"/>
    <x v="30"/>
    <x v="1"/>
    <x v="0"/>
    <x v="34"/>
    <x v="52"/>
    <x v="550"/>
    <x v="31"/>
    <x v="31"/>
    <x v="1"/>
  </r>
  <r>
    <x v="3"/>
    <x v="0"/>
    <x v="371"/>
    <x v="4"/>
    <x v="30"/>
    <x v="1"/>
    <x v="3"/>
    <x v="29"/>
    <x v="98"/>
    <x v="1007"/>
    <x v="25"/>
    <x v="25"/>
    <x v="1"/>
  </r>
  <r>
    <x v="3"/>
    <x v="0"/>
    <x v="402"/>
    <x v="4"/>
    <x v="30"/>
    <x v="1"/>
    <x v="2"/>
    <x v="22"/>
    <x v="125"/>
    <x v="1006"/>
    <x v="39"/>
    <x v="39"/>
    <x v="1"/>
  </r>
  <r>
    <x v="3"/>
    <x v="0"/>
    <x v="402"/>
    <x v="4"/>
    <x v="30"/>
    <x v="1"/>
    <x v="1"/>
    <x v="30"/>
    <x v="93"/>
    <x v="989"/>
    <x v="41"/>
    <x v="41"/>
    <x v="1"/>
  </r>
  <r>
    <x v="3"/>
    <x v="0"/>
    <x v="402"/>
    <x v="4"/>
    <x v="30"/>
    <x v="1"/>
    <x v="5"/>
    <x v="30"/>
    <x v="86"/>
    <x v="910"/>
    <x v="36"/>
    <x v="36"/>
    <x v="1"/>
  </r>
  <r>
    <x v="3"/>
    <x v="0"/>
    <x v="402"/>
    <x v="3"/>
    <x v="9"/>
    <x v="3"/>
    <x v="4"/>
    <x v="29"/>
    <x v="52"/>
    <x v="466"/>
    <x v="38"/>
    <x v="38"/>
    <x v="1"/>
  </r>
  <r>
    <x v="3"/>
    <x v="0"/>
    <x v="402"/>
    <x v="3"/>
    <x v="9"/>
    <x v="3"/>
    <x v="0"/>
    <x v="34"/>
    <x v="40"/>
    <x v="419"/>
    <x v="34"/>
    <x v="34"/>
    <x v="1"/>
  </r>
  <r>
    <x v="3"/>
    <x v="0"/>
    <x v="402"/>
    <x v="3"/>
    <x v="9"/>
    <x v="3"/>
    <x v="3"/>
    <x v="30"/>
    <x v="80"/>
    <x v="854"/>
    <x v="22"/>
    <x v="22"/>
    <x v="1"/>
  </r>
  <r>
    <x v="3"/>
    <x v="0"/>
    <x v="429"/>
    <x v="3"/>
    <x v="9"/>
    <x v="3"/>
    <x v="2"/>
    <x v="30"/>
    <x v="117"/>
    <x v="1223"/>
    <x v="36"/>
    <x v="36"/>
    <x v="1"/>
  </r>
  <r>
    <x v="3"/>
    <x v="0"/>
    <x v="429"/>
    <x v="3"/>
    <x v="9"/>
    <x v="3"/>
    <x v="1"/>
    <x v="39"/>
    <x v="83"/>
    <x v="1121"/>
    <x v="39"/>
    <x v="39"/>
    <x v="1"/>
  </r>
  <r>
    <x v="3"/>
    <x v="0"/>
    <x v="429"/>
    <x v="3"/>
    <x v="9"/>
    <x v="3"/>
    <x v="5"/>
    <x v="42"/>
    <x v="94"/>
    <x v="1332"/>
    <x v="35"/>
    <x v="35"/>
    <x v="1"/>
  </r>
  <r>
    <x v="3"/>
    <x v="0"/>
    <x v="429"/>
    <x v="3"/>
    <x v="9"/>
    <x v="3"/>
    <x v="4"/>
    <x v="40"/>
    <x v="60"/>
    <x v="797"/>
    <x v="38"/>
    <x v="38"/>
    <x v="1"/>
  </r>
  <r>
    <x v="3"/>
    <x v="0"/>
    <x v="429"/>
    <x v="3"/>
    <x v="9"/>
    <x v="3"/>
    <x v="0"/>
    <x v="44"/>
    <x v="28"/>
    <x v="386"/>
    <x v="33"/>
    <x v="33"/>
    <x v="1"/>
  </r>
  <r>
    <x v="3"/>
    <x v="0"/>
    <x v="429"/>
    <x v="3"/>
    <x v="9"/>
    <x v="3"/>
    <x v="3"/>
    <x v="41"/>
    <x v="78"/>
    <x v="1100"/>
    <x v="22"/>
    <x v="22"/>
    <x v="1"/>
  </r>
  <r>
    <x v="3"/>
    <x v="0"/>
    <x v="461"/>
    <x v="3"/>
    <x v="9"/>
    <x v="3"/>
    <x v="2"/>
    <x v="38"/>
    <x v="122"/>
    <x v="1538"/>
    <x v="37"/>
    <x v="37"/>
    <x v="1"/>
  </r>
  <r>
    <x v="3"/>
    <x v="0"/>
    <x v="461"/>
    <x v="3"/>
    <x v="9"/>
    <x v="3"/>
    <x v="1"/>
    <x v="44"/>
    <x v="73"/>
    <x v="1084"/>
    <x v="36"/>
    <x v="36"/>
    <x v="1"/>
  </r>
  <r>
    <x v="3"/>
    <x v="0"/>
    <x v="461"/>
    <x v="3"/>
    <x v="9"/>
    <x v="3"/>
    <x v="5"/>
    <x v="43"/>
    <x v="77"/>
    <x v="1135"/>
    <x v="36"/>
    <x v="36"/>
    <x v="1"/>
  </r>
  <r>
    <x v="3"/>
    <x v="0"/>
    <x v="461"/>
    <x v="3"/>
    <x v="9"/>
    <x v="3"/>
    <x v="4"/>
    <x v="41"/>
    <x v="57"/>
    <x v="769"/>
    <x v="41"/>
    <x v="41"/>
    <x v="1"/>
  </r>
  <r>
    <x v="3"/>
    <x v="0"/>
    <x v="461"/>
    <x v="3"/>
    <x v="9"/>
    <x v="3"/>
    <x v="0"/>
    <x v="45"/>
    <x v="42"/>
    <x v="608"/>
    <x v="34"/>
    <x v="34"/>
    <x v="1"/>
  </r>
  <r>
    <x v="3"/>
    <x v="0"/>
    <x v="461"/>
    <x v="3"/>
    <x v="9"/>
    <x v="3"/>
    <x v="3"/>
    <x v="56"/>
    <x v="87"/>
    <x v="1592"/>
    <x v="26"/>
    <x v="26"/>
    <x v="1"/>
  </r>
  <r>
    <x v="3"/>
    <x v="0"/>
    <x v="492"/>
    <x v="3"/>
    <x v="9"/>
    <x v="3"/>
    <x v="2"/>
    <x v="40"/>
    <x v="138"/>
    <x v="1783"/>
    <x v="40"/>
    <x v="40"/>
    <x v="1"/>
  </r>
  <r>
    <x v="3"/>
    <x v="0"/>
    <x v="492"/>
    <x v="3"/>
    <x v="9"/>
    <x v="3"/>
    <x v="1"/>
    <x v="45"/>
    <x v="90"/>
    <x v="1351"/>
    <x v="38"/>
    <x v="38"/>
    <x v="1"/>
  </r>
  <r>
    <x v="3"/>
    <x v="0"/>
    <x v="492"/>
    <x v="3"/>
    <x v="9"/>
    <x v="3"/>
    <x v="5"/>
    <x v="45"/>
    <x v="103"/>
    <x v="1540"/>
    <x v="36"/>
    <x v="36"/>
    <x v="1"/>
  </r>
  <r>
    <x v="3"/>
    <x v="0"/>
    <x v="492"/>
    <x v="3"/>
    <x v="9"/>
    <x v="3"/>
    <x v="4"/>
    <x v="40"/>
    <x v="75"/>
    <x v="1022"/>
    <x v="40"/>
    <x v="40"/>
    <x v="1"/>
  </r>
  <r>
    <x v="3"/>
    <x v="0"/>
    <x v="492"/>
    <x v="3"/>
    <x v="9"/>
    <x v="3"/>
    <x v="0"/>
    <x v="43"/>
    <x v="45"/>
    <x v="616"/>
    <x v="34"/>
    <x v="34"/>
    <x v="1"/>
  </r>
  <r>
    <x v="3"/>
    <x v="0"/>
    <x v="492"/>
    <x v="3"/>
    <x v="9"/>
    <x v="3"/>
    <x v="3"/>
    <x v="57"/>
    <x v="101"/>
    <x v="1815"/>
    <x v="26"/>
    <x v="26"/>
    <x v="1"/>
  </r>
  <r>
    <x v="3"/>
    <x v="0"/>
    <x v="522"/>
    <x v="3"/>
    <x v="9"/>
    <x v="3"/>
    <x v="2"/>
    <x v="39"/>
    <x v="153"/>
    <x v="1903"/>
    <x v="39"/>
    <x v="39"/>
    <x v="1"/>
  </r>
  <r>
    <x v="3"/>
    <x v="0"/>
    <x v="522"/>
    <x v="3"/>
    <x v="9"/>
    <x v="3"/>
    <x v="1"/>
    <x v="47"/>
    <x v="127"/>
    <x v="1869"/>
    <x v="37"/>
    <x v="37"/>
    <x v="1"/>
  </r>
  <r>
    <x v="3"/>
    <x v="0"/>
    <x v="522"/>
    <x v="3"/>
    <x v="9"/>
    <x v="3"/>
    <x v="5"/>
    <x v="45"/>
    <x v="122"/>
    <x v="1754"/>
    <x v="34"/>
    <x v="34"/>
    <x v="1"/>
  </r>
  <r>
    <x v="3"/>
    <x v="0"/>
    <x v="522"/>
    <x v="3"/>
    <x v="9"/>
    <x v="3"/>
    <x v="4"/>
    <x v="42"/>
    <x v="101"/>
    <x v="1412"/>
    <x v="37"/>
    <x v="37"/>
    <x v="1"/>
  </r>
  <r>
    <x v="3"/>
    <x v="0"/>
    <x v="522"/>
    <x v="3"/>
    <x v="9"/>
    <x v="3"/>
    <x v="0"/>
    <x v="44"/>
    <x v="59"/>
    <x v="870"/>
    <x v="34"/>
    <x v="34"/>
    <x v="1"/>
  </r>
  <r>
    <x v="3"/>
    <x v="0"/>
    <x v="522"/>
    <x v="3"/>
    <x v="9"/>
    <x v="3"/>
    <x v="3"/>
    <x v="60"/>
    <x v="129"/>
    <x v="2215"/>
    <x v="21"/>
    <x v="21"/>
    <x v="1"/>
  </r>
  <r>
    <x v="3"/>
    <x v="0"/>
    <x v="551"/>
    <x v="3"/>
    <x v="9"/>
    <x v="3"/>
    <x v="2"/>
    <x v="40"/>
    <x v="172"/>
    <x v="2093"/>
    <x v="36"/>
    <x v="36"/>
    <x v="1"/>
  </r>
  <r>
    <x v="3"/>
    <x v="0"/>
    <x v="551"/>
    <x v="3"/>
    <x v="9"/>
    <x v="3"/>
    <x v="1"/>
    <x v="44"/>
    <x v="150"/>
    <x v="2035"/>
    <x v="37"/>
    <x v="37"/>
    <x v="1"/>
  </r>
  <r>
    <x v="3"/>
    <x v="0"/>
    <x v="551"/>
    <x v="3"/>
    <x v="9"/>
    <x v="3"/>
    <x v="5"/>
    <x v="43"/>
    <x v="117"/>
    <x v="1642"/>
    <x v="36"/>
    <x v="36"/>
    <x v="1"/>
  </r>
  <r>
    <x v="3"/>
    <x v="0"/>
    <x v="551"/>
    <x v="3"/>
    <x v="9"/>
    <x v="3"/>
    <x v="4"/>
    <x v="39"/>
    <x v="108"/>
    <x v="1416"/>
    <x v="37"/>
    <x v="37"/>
    <x v="1"/>
  </r>
  <r>
    <x v="3"/>
    <x v="0"/>
    <x v="551"/>
    <x v="3"/>
    <x v="9"/>
    <x v="3"/>
    <x v="0"/>
    <x v="47"/>
    <x v="118"/>
    <x v="1770"/>
    <x v="34"/>
    <x v="34"/>
    <x v="1"/>
  </r>
  <r>
    <x v="3"/>
    <x v="0"/>
    <x v="551"/>
    <x v="3"/>
    <x v="9"/>
    <x v="3"/>
    <x v="3"/>
    <x v="60"/>
    <x v="123"/>
    <x v="2151"/>
    <x v="24"/>
    <x v="24"/>
    <x v="1"/>
  </r>
  <r>
    <x v="3"/>
    <x v="0"/>
    <x v="583"/>
    <x v="3"/>
    <x v="9"/>
    <x v="3"/>
    <x v="2"/>
    <x v="46"/>
    <x v="159"/>
    <x v="2162"/>
    <x v="37"/>
    <x v="37"/>
    <x v="1"/>
  </r>
  <r>
    <x v="3"/>
    <x v="0"/>
    <x v="583"/>
    <x v="3"/>
    <x v="9"/>
    <x v="3"/>
    <x v="1"/>
    <x v="51"/>
    <x v="152"/>
    <x v="2231"/>
    <x v="38"/>
    <x v="38"/>
    <x v="1"/>
  </r>
  <r>
    <x v="3"/>
    <x v="0"/>
    <x v="583"/>
    <x v="3"/>
    <x v="9"/>
    <x v="3"/>
    <x v="5"/>
    <x v="47"/>
    <x v="129"/>
    <x v="1904"/>
    <x v="32"/>
    <x v="32"/>
    <x v="1"/>
  </r>
  <r>
    <x v="3"/>
    <x v="0"/>
    <x v="583"/>
    <x v="3"/>
    <x v="9"/>
    <x v="3"/>
    <x v="4"/>
    <x v="46"/>
    <x v="94"/>
    <x v="1439"/>
    <x v="38"/>
    <x v="38"/>
    <x v="1"/>
  </r>
  <r>
    <x v="3"/>
    <x v="0"/>
    <x v="583"/>
    <x v="3"/>
    <x v="9"/>
    <x v="3"/>
    <x v="0"/>
    <x v="53"/>
    <x v="106"/>
    <x v="1790"/>
    <x v="34"/>
    <x v="34"/>
    <x v="1"/>
  </r>
  <r>
    <x v="3"/>
    <x v="0"/>
    <x v="583"/>
    <x v="3"/>
    <x v="9"/>
    <x v="3"/>
    <x v="3"/>
    <x v="61"/>
    <x v="100"/>
    <x v="1902"/>
    <x v="21"/>
    <x v="21"/>
    <x v="1"/>
  </r>
  <r>
    <x v="3"/>
    <x v="0"/>
    <x v="615"/>
    <x v="3"/>
    <x v="9"/>
    <x v="3"/>
    <x v="2"/>
    <x v="36"/>
    <x v="157"/>
    <x v="1829"/>
    <x v="40"/>
    <x v="40"/>
    <x v="1"/>
  </r>
  <r>
    <x v="3"/>
    <x v="0"/>
    <x v="615"/>
    <x v="3"/>
    <x v="9"/>
    <x v="3"/>
    <x v="1"/>
    <x v="40"/>
    <x v="135"/>
    <x v="1742"/>
    <x v="41"/>
    <x v="41"/>
    <x v="1"/>
  </r>
  <r>
    <x v="3"/>
    <x v="0"/>
    <x v="615"/>
    <x v="3"/>
    <x v="9"/>
    <x v="3"/>
    <x v="5"/>
    <x v="35"/>
    <x v="115"/>
    <x v="1368"/>
    <x v="33"/>
    <x v="33"/>
    <x v="1"/>
  </r>
  <r>
    <x v="3"/>
    <x v="0"/>
    <x v="615"/>
    <x v="3"/>
    <x v="9"/>
    <x v="3"/>
    <x v="4"/>
    <x v="36"/>
    <x v="101"/>
    <x v="1244"/>
    <x v="40"/>
    <x v="40"/>
    <x v="1"/>
  </r>
  <r>
    <x v="3"/>
    <x v="0"/>
    <x v="615"/>
    <x v="3"/>
    <x v="9"/>
    <x v="3"/>
    <x v="0"/>
    <x v="47"/>
    <x v="82"/>
    <x v="1298"/>
    <x v="34"/>
    <x v="34"/>
    <x v="1"/>
  </r>
  <r>
    <x v="3"/>
    <x v="0"/>
    <x v="615"/>
    <x v="3"/>
    <x v="9"/>
    <x v="3"/>
    <x v="3"/>
    <x v="52"/>
    <x v="111"/>
    <x v="1826"/>
    <x v="26"/>
    <x v="26"/>
    <x v="1"/>
  </r>
  <r>
    <x v="3"/>
    <x v="0"/>
    <x v="644"/>
    <x v="3"/>
    <x v="9"/>
    <x v="3"/>
    <x v="2"/>
    <x v="35"/>
    <x v="111"/>
    <x v="1322"/>
    <x v="37"/>
    <x v="37"/>
    <x v="1"/>
  </r>
  <r>
    <x v="3"/>
    <x v="0"/>
    <x v="644"/>
    <x v="3"/>
    <x v="9"/>
    <x v="3"/>
    <x v="1"/>
    <x v="40"/>
    <x v="122"/>
    <x v="1605"/>
    <x v="38"/>
    <x v="38"/>
    <x v="1"/>
  </r>
  <r>
    <x v="3"/>
    <x v="0"/>
    <x v="644"/>
    <x v="3"/>
    <x v="9"/>
    <x v="3"/>
    <x v="5"/>
    <x v="35"/>
    <x v="87"/>
    <x v="1061"/>
    <x v="33"/>
    <x v="33"/>
    <x v="1"/>
  </r>
  <r>
    <x v="3"/>
    <x v="0"/>
    <x v="644"/>
    <x v="3"/>
    <x v="9"/>
    <x v="3"/>
    <x v="4"/>
    <x v="37"/>
    <x v="73"/>
    <x v="919"/>
    <x v="36"/>
    <x v="36"/>
    <x v="1"/>
  </r>
  <r>
    <x v="3"/>
    <x v="0"/>
    <x v="644"/>
    <x v="3"/>
    <x v="9"/>
    <x v="3"/>
    <x v="0"/>
    <x v="43"/>
    <x v="74"/>
    <x v="1086"/>
    <x v="32"/>
    <x v="32"/>
    <x v="1"/>
  </r>
  <r>
    <x v="3"/>
    <x v="0"/>
    <x v="644"/>
    <x v="3"/>
    <x v="9"/>
    <x v="3"/>
    <x v="3"/>
    <x v="57"/>
    <x v="84"/>
    <x v="1573"/>
    <x v="25"/>
    <x v="25"/>
    <x v="1"/>
  </r>
  <r>
    <x v="3"/>
    <x v="0"/>
    <x v="675"/>
    <x v="3"/>
    <x v="9"/>
    <x v="3"/>
    <x v="2"/>
    <x v="44"/>
    <x v="117"/>
    <x v="1672"/>
    <x v="37"/>
    <x v="37"/>
    <x v="1"/>
  </r>
  <r>
    <x v="3"/>
    <x v="0"/>
    <x v="675"/>
    <x v="3"/>
    <x v="9"/>
    <x v="3"/>
    <x v="1"/>
    <x v="51"/>
    <x v="150"/>
    <x v="2212"/>
    <x v="40"/>
    <x v="40"/>
    <x v="1"/>
  </r>
  <r>
    <x v="3"/>
    <x v="0"/>
    <x v="675"/>
    <x v="3"/>
    <x v="9"/>
    <x v="3"/>
    <x v="5"/>
    <x v="47"/>
    <x v="96"/>
    <x v="1491"/>
    <x v="33"/>
    <x v="33"/>
    <x v="1"/>
  </r>
  <r>
    <x v="3"/>
    <x v="0"/>
    <x v="675"/>
    <x v="3"/>
    <x v="9"/>
    <x v="3"/>
    <x v="4"/>
    <x v="44"/>
    <x v="97"/>
    <x v="1420"/>
    <x v="38"/>
    <x v="38"/>
    <x v="1"/>
  </r>
  <r>
    <x v="3"/>
    <x v="0"/>
    <x v="675"/>
    <x v="3"/>
    <x v="9"/>
    <x v="3"/>
    <x v="0"/>
    <x v="53"/>
    <x v="84"/>
    <x v="1469"/>
    <x v="33"/>
    <x v="33"/>
    <x v="1"/>
  </r>
  <r>
    <x v="3"/>
    <x v="0"/>
    <x v="675"/>
    <x v="3"/>
    <x v="9"/>
    <x v="3"/>
    <x v="3"/>
    <x v="58"/>
    <x v="104"/>
    <x v="1895"/>
    <x v="21"/>
    <x v="21"/>
    <x v="1"/>
  </r>
  <r>
    <x v="3"/>
    <x v="0"/>
    <x v="704"/>
    <x v="3"/>
    <x v="9"/>
    <x v="3"/>
    <x v="2"/>
    <x v="43"/>
    <x v="177"/>
    <x v="2231"/>
    <x v="41"/>
    <x v="41"/>
    <x v="1"/>
  </r>
  <r>
    <x v="3"/>
    <x v="0"/>
    <x v="704"/>
    <x v="3"/>
    <x v="9"/>
    <x v="3"/>
    <x v="1"/>
    <x v="51"/>
    <x v="165"/>
    <x v="2342"/>
    <x v="39"/>
    <x v="39"/>
    <x v="1"/>
  </r>
  <r>
    <x v="1"/>
    <x v="0"/>
    <x v="704"/>
    <x v="3"/>
    <x v="9"/>
    <x v="3"/>
    <x v="5"/>
    <x v="46"/>
    <x v="118"/>
    <x v="1738"/>
    <x v="36"/>
    <x v="36"/>
    <x v="1"/>
  </r>
  <r>
    <x v="1"/>
    <x v="0"/>
    <x v="704"/>
    <x v="3"/>
    <x v="9"/>
    <x v="3"/>
    <x v="4"/>
    <x v="44"/>
    <x v="108"/>
    <x v="1573"/>
    <x v="36"/>
    <x v="36"/>
    <x v="1"/>
  </r>
  <r>
    <x v="1"/>
    <x v="0"/>
    <x v="704"/>
    <x v="3"/>
    <x v="9"/>
    <x v="3"/>
    <x v="0"/>
    <x v="57"/>
    <x v="97"/>
    <x v="1761"/>
    <x v="36"/>
    <x v="36"/>
    <x v="1"/>
  </r>
  <r>
    <x v="1"/>
    <x v="0"/>
    <x v="704"/>
    <x v="3"/>
    <x v="9"/>
    <x v="3"/>
    <x v="3"/>
    <x v="57"/>
    <x v="115"/>
    <x v="1999"/>
    <x v="21"/>
    <x v="21"/>
    <x v="1"/>
  </r>
  <r>
    <x v="1"/>
    <x v="1"/>
    <x v="367"/>
    <x v="3"/>
    <x v="9"/>
    <x v="3"/>
    <x v="2"/>
    <x v="32"/>
    <x v="216"/>
    <x v="2203"/>
    <x v="44"/>
    <x v="44"/>
    <x v="1"/>
  </r>
  <r>
    <x v="1"/>
    <x v="1"/>
    <x v="367"/>
    <x v="3"/>
    <x v="9"/>
    <x v="3"/>
    <x v="1"/>
    <x v="30"/>
    <x v="179"/>
    <x v="1801"/>
    <x v="31"/>
    <x v="31"/>
    <x v="1"/>
  </r>
  <r>
    <x v="1"/>
    <x v="1"/>
    <x v="367"/>
    <x v="3"/>
    <x v="9"/>
    <x v="3"/>
    <x v="5"/>
    <x v="22"/>
    <x v="211"/>
    <x v="1714"/>
    <x v="25"/>
    <x v="25"/>
    <x v="1"/>
  </r>
  <r>
    <x v="1"/>
    <x v="1"/>
    <x v="367"/>
    <x v="3"/>
    <x v="9"/>
    <x v="3"/>
    <x v="4"/>
    <x v="27"/>
    <x v="177"/>
    <x v="1653"/>
    <x v="30"/>
    <x v="30"/>
    <x v="1"/>
  </r>
  <r>
    <x v="1"/>
    <x v="1"/>
    <x v="367"/>
    <x v="3"/>
    <x v="9"/>
    <x v="3"/>
    <x v="0"/>
    <x v="40"/>
    <x v="165"/>
    <x v="2050"/>
    <x v="33"/>
    <x v="33"/>
    <x v="1"/>
  </r>
  <r>
    <x v="1"/>
    <x v="1"/>
    <x v="367"/>
    <x v="3"/>
    <x v="9"/>
    <x v="3"/>
    <x v="3"/>
    <x v="30"/>
    <x v="203"/>
    <x v="2039"/>
    <x v="46"/>
    <x v="46"/>
    <x v="1"/>
  </r>
  <r>
    <x v="1"/>
    <x v="1"/>
    <x v="396"/>
    <x v="3"/>
    <x v="9"/>
    <x v="3"/>
    <x v="2"/>
    <x v="31"/>
    <x v="262"/>
    <x v="2448"/>
    <x v="45"/>
    <x v="45"/>
    <x v="1"/>
  </r>
  <r>
    <x v="1"/>
    <x v="1"/>
    <x v="396"/>
    <x v="3"/>
    <x v="9"/>
    <x v="3"/>
    <x v="1"/>
    <x v="32"/>
    <x v="188"/>
    <x v="1976"/>
    <x v="32"/>
    <x v="32"/>
    <x v="1"/>
  </r>
  <r>
    <x v="1"/>
    <x v="1"/>
    <x v="396"/>
    <x v="3"/>
    <x v="9"/>
    <x v="3"/>
    <x v="5"/>
    <x v="22"/>
    <x v="187"/>
    <x v="1514"/>
    <x v="23"/>
    <x v="23"/>
    <x v="1"/>
  </r>
  <r>
    <x v="1"/>
    <x v="1"/>
    <x v="396"/>
    <x v="3"/>
    <x v="39"/>
    <x v="10"/>
    <x v="4"/>
    <x v="26"/>
    <x v="147"/>
    <x v="1343"/>
    <x v="31"/>
    <x v="31"/>
    <x v="1"/>
  </r>
  <r>
    <x v="1"/>
    <x v="1"/>
    <x v="396"/>
    <x v="3"/>
    <x v="39"/>
    <x v="10"/>
    <x v="0"/>
    <x v="42"/>
    <x v="165"/>
    <x v="2098"/>
    <x v="33"/>
    <x v="33"/>
    <x v="1"/>
  </r>
  <r>
    <x v="1"/>
    <x v="1"/>
    <x v="396"/>
    <x v="3"/>
    <x v="39"/>
    <x v="10"/>
    <x v="3"/>
    <x v="27"/>
    <x v="186"/>
    <x v="1744"/>
    <x v="51"/>
    <x v="51"/>
    <x v="1"/>
  </r>
  <r>
    <x v="1"/>
    <x v="1"/>
    <x v="422"/>
    <x v="3"/>
    <x v="39"/>
    <x v="10"/>
    <x v="2"/>
    <x v="26"/>
    <x v="224"/>
    <x v="2020"/>
    <x v="44"/>
    <x v="44"/>
    <x v="1"/>
  </r>
  <r>
    <x v="1"/>
    <x v="1"/>
    <x v="422"/>
    <x v="3"/>
    <x v="39"/>
    <x v="10"/>
    <x v="1"/>
    <x v="25"/>
    <x v="183"/>
    <x v="1614"/>
    <x v="35"/>
    <x v="35"/>
    <x v="1"/>
  </r>
  <r>
    <x v="1"/>
    <x v="1"/>
    <x v="422"/>
    <x v="3"/>
    <x v="39"/>
    <x v="10"/>
    <x v="5"/>
    <x v="17"/>
    <x v="158"/>
    <x v="1042"/>
    <x v="24"/>
    <x v="24"/>
    <x v="1"/>
  </r>
  <r>
    <x v="1"/>
    <x v="1"/>
    <x v="422"/>
    <x v="3"/>
    <x v="39"/>
    <x v="10"/>
    <x v="4"/>
    <x v="20"/>
    <x v="124"/>
    <x v="925"/>
    <x v="28"/>
    <x v="28"/>
    <x v="1"/>
  </r>
  <r>
    <x v="1"/>
    <x v="1"/>
    <x v="422"/>
    <x v="3"/>
    <x v="39"/>
    <x v="10"/>
    <x v="0"/>
    <x v="34"/>
    <x v="158"/>
    <x v="1760"/>
    <x v="34"/>
    <x v="34"/>
    <x v="1"/>
  </r>
  <r>
    <x v="1"/>
    <x v="1"/>
    <x v="422"/>
    <x v="3"/>
    <x v="39"/>
    <x v="10"/>
    <x v="3"/>
    <x v="25"/>
    <x v="165"/>
    <x v="1455"/>
    <x v="49"/>
    <x v="49"/>
    <x v="1"/>
  </r>
  <r>
    <x v="1"/>
    <x v="1"/>
    <x v="454"/>
    <x v="3"/>
    <x v="39"/>
    <x v="10"/>
    <x v="2"/>
    <x v="26"/>
    <x v="239"/>
    <x v="2107"/>
    <x v="43"/>
    <x v="43"/>
    <x v="1"/>
  </r>
  <r>
    <x v="1"/>
    <x v="1"/>
    <x v="454"/>
    <x v="3"/>
    <x v="39"/>
    <x v="10"/>
    <x v="1"/>
    <x v="27"/>
    <x v="159"/>
    <x v="1485"/>
    <x v="32"/>
    <x v="32"/>
    <x v="1"/>
  </r>
  <r>
    <x v="1"/>
    <x v="1"/>
    <x v="454"/>
    <x v="3"/>
    <x v="39"/>
    <x v="10"/>
    <x v="5"/>
    <x v="17"/>
    <x v="159"/>
    <x v="1048"/>
    <x v="24"/>
    <x v="24"/>
    <x v="1"/>
  </r>
  <r>
    <x v="1"/>
    <x v="1"/>
    <x v="454"/>
    <x v="3"/>
    <x v="39"/>
    <x v="10"/>
    <x v="4"/>
    <x v="20"/>
    <x v="157"/>
    <x v="1171"/>
    <x v="29"/>
    <x v="29"/>
    <x v="1"/>
  </r>
  <r>
    <x v="1"/>
    <x v="1"/>
    <x v="454"/>
    <x v="3"/>
    <x v="39"/>
    <x v="10"/>
    <x v="0"/>
    <x v="40"/>
    <x v="164"/>
    <x v="2038"/>
    <x v="36"/>
    <x v="36"/>
    <x v="1"/>
  </r>
  <r>
    <x v="1"/>
    <x v="1"/>
    <x v="454"/>
    <x v="3"/>
    <x v="39"/>
    <x v="10"/>
    <x v="3"/>
    <x v="32"/>
    <x v="182"/>
    <x v="1912"/>
    <x v="49"/>
    <x v="49"/>
    <x v="1"/>
  </r>
  <r>
    <x v="1"/>
    <x v="1"/>
    <x v="483"/>
    <x v="3"/>
    <x v="39"/>
    <x v="10"/>
    <x v="2"/>
    <x v="41"/>
    <x v="238"/>
    <x v="2597"/>
    <x v="41"/>
    <x v="41"/>
    <x v="1"/>
  </r>
  <r>
    <x v="1"/>
    <x v="1"/>
    <x v="483"/>
    <x v="3"/>
    <x v="39"/>
    <x v="10"/>
    <x v="1"/>
    <x v="38"/>
    <x v="164"/>
    <x v="1969"/>
    <x v="31"/>
    <x v="31"/>
    <x v="1"/>
  </r>
  <r>
    <x v="1"/>
    <x v="1"/>
    <x v="483"/>
    <x v="3"/>
    <x v="39"/>
    <x v="10"/>
    <x v="5"/>
    <x v="34"/>
    <x v="183"/>
    <x v="1994"/>
    <x v="23"/>
    <x v="23"/>
    <x v="1"/>
  </r>
  <r>
    <x v="1"/>
    <x v="1"/>
    <x v="483"/>
    <x v="3"/>
    <x v="39"/>
    <x v="10"/>
    <x v="4"/>
    <x v="36"/>
    <x v="159"/>
    <x v="1848"/>
    <x v="28"/>
    <x v="28"/>
    <x v="1"/>
  </r>
  <r>
    <x v="1"/>
    <x v="1"/>
    <x v="483"/>
    <x v="3"/>
    <x v="39"/>
    <x v="10"/>
    <x v="0"/>
    <x v="46"/>
    <x v="172"/>
    <x v="2265"/>
    <x v="36"/>
    <x v="36"/>
    <x v="1"/>
  </r>
  <r>
    <x v="1"/>
    <x v="1"/>
    <x v="483"/>
    <x v="3"/>
    <x v="39"/>
    <x v="10"/>
    <x v="3"/>
    <x v="52"/>
    <x v="174"/>
    <x v="2442"/>
    <x v="46"/>
    <x v="46"/>
    <x v="1"/>
  </r>
  <r>
    <x v="1"/>
    <x v="1"/>
    <x v="516"/>
    <x v="3"/>
    <x v="39"/>
    <x v="10"/>
    <x v="2"/>
    <x v="44"/>
    <x v="230"/>
    <x v="2630"/>
    <x v="42"/>
    <x v="42"/>
    <x v="1"/>
  </r>
  <r>
    <x v="1"/>
    <x v="1"/>
    <x v="516"/>
    <x v="3"/>
    <x v="39"/>
    <x v="10"/>
    <x v="1"/>
    <x v="42"/>
    <x v="174"/>
    <x v="2179"/>
    <x v="31"/>
    <x v="31"/>
    <x v="1"/>
  </r>
  <r>
    <x v="1"/>
    <x v="1"/>
    <x v="516"/>
    <x v="3"/>
    <x v="39"/>
    <x v="10"/>
    <x v="5"/>
    <x v="40"/>
    <x v="182"/>
    <x v="2180"/>
    <x v="22"/>
    <x v="22"/>
    <x v="1"/>
  </r>
  <r>
    <x v="1"/>
    <x v="1"/>
    <x v="516"/>
    <x v="3"/>
    <x v="39"/>
    <x v="10"/>
    <x v="4"/>
    <x v="40"/>
    <x v="188"/>
    <x v="2246"/>
    <x v="31"/>
    <x v="31"/>
    <x v="1"/>
  </r>
  <r>
    <x v="1"/>
    <x v="1"/>
    <x v="516"/>
    <x v="3"/>
    <x v="39"/>
    <x v="10"/>
    <x v="0"/>
    <x v="55"/>
    <x v="171"/>
    <x v="2477"/>
    <x v="31"/>
    <x v="31"/>
    <x v="1"/>
  </r>
  <r>
    <x v="1"/>
    <x v="1"/>
    <x v="516"/>
    <x v="3"/>
    <x v="39"/>
    <x v="10"/>
    <x v="3"/>
    <x v="58"/>
    <x v="212"/>
    <x v="2745"/>
    <x v="50"/>
    <x v="50"/>
    <x v="1"/>
  </r>
  <r>
    <x v="1"/>
    <x v="1"/>
    <x v="544"/>
    <x v="3"/>
    <x v="39"/>
    <x v="10"/>
    <x v="2"/>
    <x v="56"/>
    <x v="261"/>
    <x v="2835"/>
    <x v="45"/>
    <x v="45"/>
    <x v="1"/>
  </r>
  <r>
    <x v="1"/>
    <x v="1"/>
    <x v="544"/>
    <x v="3"/>
    <x v="39"/>
    <x v="10"/>
    <x v="1"/>
    <x v="51"/>
    <x v="227"/>
    <x v="2725"/>
    <x v="35"/>
    <x v="35"/>
    <x v="1"/>
  </r>
  <r>
    <x v="1"/>
    <x v="1"/>
    <x v="544"/>
    <x v="3"/>
    <x v="39"/>
    <x v="10"/>
    <x v="5"/>
    <x v="44"/>
    <x v="211"/>
    <x v="2528"/>
    <x v="22"/>
    <x v="22"/>
    <x v="1"/>
  </r>
  <r>
    <x v="1"/>
    <x v="1"/>
    <x v="544"/>
    <x v="3"/>
    <x v="39"/>
    <x v="10"/>
    <x v="4"/>
    <x v="45"/>
    <x v="176"/>
    <x v="2283"/>
    <x v="28"/>
    <x v="28"/>
    <x v="1"/>
  </r>
  <r>
    <x v="1"/>
    <x v="1"/>
    <x v="544"/>
    <x v="3"/>
    <x v="39"/>
    <x v="10"/>
    <x v="0"/>
    <x v="57"/>
    <x v="204"/>
    <x v="2705"/>
    <x v="31"/>
    <x v="31"/>
    <x v="1"/>
  </r>
  <r>
    <x v="1"/>
    <x v="1"/>
    <x v="544"/>
    <x v="3"/>
    <x v="39"/>
    <x v="10"/>
    <x v="3"/>
    <x v="59"/>
    <x v="207"/>
    <x v="2738"/>
    <x v="51"/>
    <x v="51"/>
    <x v="1"/>
  </r>
  <r>
    <x v="1"/>
    <x v="1"/>
    <x v="576"/>
    <x v="3"/>
    <x v="39"/>
    <x v="10"/>
    <x v="2"/>
    <x v="55"/>
    <x v="274"/>
    <x v="2847"/>
    <x v="43"/>
    <x v="43"/>
    <x v="1"/>
  </r>
  <r>
    <x v="1"/>
    <x v="1"/>
    <x v="576"/>
    <x v="3"/>
    <x v="39"/>
    <x v="10"/>
    <x v="1"/>
    <x v="47"/>
    <x v="206"/>
    <x v="2573"/>
    <x v="35"/>
    <x v="35"/>
    <x v="1"/>
  </r>
  <r>
    <x v="1"/>
    <x v="1"/>
    <x v="576"/>
    <x v="3"/>
    <x v="39"/>
    <x v="10"/>
    <x v="5"/>
    <x v="43"/>
    <x v="197"/>
    <x v="2415"/>
    <x v="26"/>
    <x v="26"/>
    <x v="1"/>
  </r>
  <r>
    <x v="1"/>
    <x v="1"/>
    <x v="576"/>
    <x v="3"/>
    <x v="39"/>
    <x v="10"/>
    <x v="4"/>
    <x v="37"/>
    <x v="199"/>
    <x v="2247"/>
    <x v="27"/>
    <x v="27"/>
    <x v="1"/>
  </r>
  <r>
    <x v="1"/>
    <x v="1"/>
    <x v="576"/>
    <x v="3"/>
    <x v="39"/>
    <x v="10"/>
    <x v="0"/>
    <x v="44"/>
    <x v="194"/>
    <x v="2408"/>
    <x v="32"/>
    <x v="32"/>
    <x v="1"/>
  </r>
  <r>
    <x v="1"/>
    <x v="1"/>
    <x v="576"/>
    <x v="3"/>
    <x v="39"/>
    <x v="10"/>
    <x v="3"/>
    <x v="51"/>
    <x v="234"/>
    <x v="2739"/>
    <x v="47"/>
    <x v="47"/>
    <x v="1"/>
  </r>
  <r>
    <x v="1"/>
    <x v="1"/>
    <x v="606"/>
    <x v="3"/>
    <x v="39"/>
    <x v="10"/>
    <x v="2"/>
    <x v="44"/>
    <x v="243"/>
    <x v="2674"/>
    <x v="44"/>
    <x v="44"/>
    <x v="1"/>
  </r>
  <r>
    <x v="1"/>
    <x v="1"/>
    <x v="606"/>
    <x v="3"/>
    <x v="39"/>
    <x v="10"/>
    <x v="1"/>
    <x v="41"/>
    <x v="192"/>
    <x v="2306"/>
    <x v="34"/>
    <x v="34"/>
    <x v="1"/>
  </r>
  <r>
    <x v="1"/>
    <x v="1"/>
    <x v="606"/>
    <x v="3"/>
    <x v="39"/>
    <x v="10"/>
    <x v="5"/>
    <x v="31"/>
    <x v="172"/>
    <x v="1768"/>
    <x v="25"/>
    <x v="25"/>
    <x v="1"/>
  </r>
  <r>
    <x v="1"/>
    <x v="1"/>
    <x v="606"/>
    <x v="3"/>
    <x v="39"/>
    <x v="10"/>
    <x v="4"/>
    <x v="32"/>
    <x v="183"/>
    <x v="1920"/>
    <x v="26"/>
    <x v="26"/>
    <x v="1"/>
  </r>
  <r>
    <x v="1"/>
    <x v="1"/>
    <x v="606"/>
    <x v="3"/>
    <x v="39"/>
    <x v="10"/>
    <x v="0"/>
    <x v="41"/>
    <x v="152"/>
    <x v="1959"/>
    <x v="32"/>
    <x v="32"/>
    <x v="1"/>
  </r>
  <r>
    <x v="1"/>
    <x v="1"/>
    <x v="606"/>
    <x v="3"/>
    <x v="39"/>
    <x v="10"/>
    <x v="3"/>
    <x v="45"/>
    <x v="198"/>
    <x v="2476"/>
    <x v="46"/>
    <x v="46"/>
    <x v="1"/>
  </r>
  <r>
    <x v="1"/>
    <x v="1"/>
    <x v="638"/>
    <x v="3"/>
    <x v="39"/>
    <x v="10"/>
    <x v="2"/>
    <x v="43"/>
    <x v="207"/>
    <x v="2485"/>
    <x v="46"/>
    <x v="46"/>
    <x v="1"/>
  </r>
  <r>
    <x v="1"/>
    <x v="1"/>
    <x v="638"/>
    <x v="3"/>
    <x v="39"/>
    <x v="10"/>
    <x v="1"/>
    <x v="35"/>
    <x v="181"/>
    <x v="2018"/>
    <x v="36"/>
    <x v="36"/>
    <x v="1"/>
  </r>
  <r>
    <x v="1"/>
    <x v="1"/>
    <x v="638"/>
    <x v="3"/>
    <x v="39"/>
    <x v="10"/>
    <x v="5"/>
    <x v="34"/>
    <x v="153"/>
    <x v="1719"/>
    <x v="25"/>
    <x v="25"/>
    <x v="1"/>
  </r>
  <r>
    <x v="1"/>
    <x v="1"/>
    <x v="638"/>
    <x v="3"/>
    <x v="39"/>
    <x v="10"/>
    <x v="4"/>
    <x v="34"/>
    <x v="153"/>
    <x v="1719"/>
    <x v="26"/>
    <x v="26"/>
    <x v="1"/>
  </r>
  <r>
    <x v="1"/>
    <x v="1"/>
    <x v="638"/>
    <x v="3"/>
    <x v="39"/>
    <x v="10"/>
    <x v="0"/>
    <x v="45"/>
    <x v="165"/>
    <x v="2181"/>
    <x v="34"/>
    <x v="34"/>
    <x v="1"/>
  </r>
  <r>
    <x v="1"/>
    <x v="1"/>
    <x v="638"/>
    <x v="3"/>
    <x v="39"/>
    <x v="10"/>
    <x v="3"/>
    <x v="49"/>
    <x v="194"/>
    <x v="2524"/>
    <x v="51"/>
    <x v="51"/>
    <x v="1"/>
  </r>
  <r>
    <x v="1"/>
    <x v="1"/>
    <x v="668"/>
    <x v="3"/>
    <x v="39"/>
    <x v="10"/>
    <x v="2"/>
    <x v="43"/>
    <x v="234"/>
    <x v="2626"/>
    <x v="43"/>
    <x v="43"/>
    <x v="1"/>
  </r>
  <r>
    <x v="1"/>
    <x v="1"/>
    <x v="668"/>
    <x v="3"/>
    <x v="39"/>
    <x v="10"/>
    <x v="1"/>
    <x v="37"/>
    <x v="164"/>
    <x v="1935"/>
    <x v="31"/>
    <x v="31"/>
    <x v="1"/>
  </r>
  <r>
    <x v="1"/>
    <x v="1"/>
    <x v="668"/>
    <x v="3"/>
    <x v="39"/>
    <x v="10"/>
    <x v="5"/>
    <x v="36"/>
    <x v="176"/>
    <x v="2008"/>
    <x v="21"/>
    <x v="21"/>
    <x v="1"/>
  </r>
  <r>
    <x v="1"/>
    <x v="1"/>
    <x v="668"/>
    <x v="3"/>
    <x v="39"/>
    <x v="10"/>
    <x v="4"/>
    <x v="46"/>
    <x v="194"/>
    <x v="2458"/>
    <x v="28"/>
    <x v="28"/>
    <x v="1"/>
  </r>
  <r>
    <x v="1"/>
    <x v="1"/>
    <x v="668"/>
    <x v="3"/>
    <x v="39"/>
    <x v="10"/>
    <x v="0"/>
    <x v="59"/>
    <x v="172"/>
    <x v="2553"/>
    <x v="33"/>
    <x v="33"/>
    <x v="1"/>
  </r>
  <r>
    <x v="1"/>
    <x v="1"/>
    <x v="668"/>
    <x v="3"/>
    <x v="39"/>
    <x v="10"/>
    <x v="3"/>
    <x v="67"/>
    <x v="179"/>
    <x v="2699"/>
    <x v="49"/>
    <x v="49"/>
    <x v="1"/>
  </r>
  <r>
    <x v="1"/>
    <x v="1"/>
    <x v="697"/>
    <x v="3"/>
    <x v="39"/>
    <x v="10"/>
    <x v="2"/>
    <x v="60"/>
    <x v="246"/>
    <x v="2831"/>
    <x v="46"/>
    <x v="46"/>
    <x v="1"/>
  </r>
  <r>
    <x v="1"/>
    <x v="1"/>
    <x v="697"/>
    <x v="3"/>
    <x v="39"/>
    <x v="10"/>
    <x v="1"/>
    <x v="51"/>
    <x v="189"/>
    <x v="2531"/>
    <x v="31"/>
    <x v="31"/>
    <x v="1"/>
  </r>
  <r>
    <x v="3"/>
    <x v="1"/>
    <x v="697"/>
    <x v="3"/>
    <x v="39"/>
    <x v="10"/>
    <x v="5"/>
    <x v="49"/>
    <x v="185"/>
    <x v="2474"/>
    <x v="21"/>
    <x v="21"/>
    <x v="1"/>
  </r>
  <r>
    <x v="3"/>
    <x v="1"/>
    <x v="697"/>
    <x v="3"/>
    <x v="39"/>
    <x v="10"/>
    <x v="4"/>
    <x v="52"/>
    <x v="170"/>
    <x v="2403"/>
    <x v="31"/>
    <x v="31"/>
    <x v="1"/>
  </r>
  <r>
    <x v="3"/>
    <x v="1"/>
    <x v="697"/>
    <x v="3"/>
    <x v="39"/>
    <x v="10"/>
    <x v="0"/>
    <x v="59"/>
    <x v="194"/>
    <x v="2681"/>
    <x v="31"/>
    <x v="31"/>
    <x v="1"/>
  </r>
  <r>
    <x v="3"/>
    <x v="1"/>
    <x v="697"/>
    <x v="3"/>
    <x v="39"/>
    <x v="10"/>
    <x v="3"/>
    <x v="61"/>
    <x v="195"/>
    <x v="2713"/>
    <x v="46"/>
    <x v="46"/>
    <x v="1"/>
  </r>
  <r>
    <x v="3"/>
    <x v="1"/>
    <x v="364"/>
    <x v="3"/>
    <x v="39"/>
    <x v="10"/>
    <x v="2"/>
    <x v="26"/>
    <x v="197"/>
    <x v="1802"/>
    <x v="36"/>
    <x v="36"/>
    <x v="1"/>
  </r>
  <r>
    <x v="3"/>
    <x v="1"/>
    <x v="364"/>
    <x v="3"/>
    <x v="39"/>
    <x v="10"/>
    <x v="1"/>
    <x v="27"/>
    <x v="158"/>
    <x v="1477"/>
    <x v="36"/>
    <x v="36"/>
    <x v="1"/>
  </r>
  <r>
    <x v="3"/>
    <x v="1"/>
    <x v="364"/>
    <x v="3"/>
    <x v="39"/>
    <x v="10"/>
    <x v="5"/>
    <x v="17"/>
    <x v="165"/>
    <x v="1096"/>
    <x v="40"/>
    <x v="40"/>
    <x v="1"/>
  </r>
  <r>
    <x v="3"/>
    <x v="1"/>
    <x v="364"/>
    <x v="3"/>
    <x v="39"/>
    <x v="10"/>
    <x v="4"/>
    <x v="22"/>
    <x v="150"/>
    <x v="1213"/>
    <x v="41"/>
    <x v="41"/>
    <x v="1"/>
  </r>
  <r>
    <x v="3"/>
    <x v="1"/>
    <x v="364"/>
    <x v="3"/>
    <x v="39"/>
    <x v="10"/>
    <x v="0"/>
    <x v="35"/>
    <x v="135"/>
    <x v="1577"/>
    <x v="32"/>
    <x v="32"/>
    <x v="1"/>
  </r>
  <r>
    <x v="3"/>
    <x v="1"/>
    <x v="364"/>
    <x v="3"/>
    <x v="39"/>
    <x v="10"/>
    <x v="3"/>
    <x v="27"/>
    <x v="172"/>
    <x v="1601"/>
    <x v="50"/>
    <x v="50"/>
    <x v="1"/>
  </r>
  <r>
    <x v="3"/>
    <x v="1"/>
    <x v="393"/>
    <x v="3"/>
    <x v="39"/>
    <x v="10"/>
    <x v="2"/>
    <x v="27"/>
    <x v="222"/>
    <x v="2054"/>
    <x v="36"/>
    <x v="36"/>
    <x v="1"/>
  </r>
  <r>
    <x v="3"/>
    <x v="1"/>
    <x v="393"/>
    <x v="3"/>
    <x v="39"/>
    <x v="10"/>
    <x v="1"/>
    <x v="27"/>
    <x v="164"/>
    <x v="1539"/>
    <x v="34"/>
    <x v="34"/>
    <x v="1"/>
  </r>
  <r>
    <x v="3"/>
    <x v="1"/>
    <x v="393"/>
    <x v="3"/>
    <x v="39"/>
    <x v="10"/>
    <x v="5"/>
    <x v="16"/>
    <x v="147"/>
    <x v="924"/>
    <x v="41"/>
    <x v="41"/>
    <x v="1"/>
  </r>
  <r>
    <x v="3"/>
    <x v="1"/>
    <x v="393"/>
    <x v="3"/>
    <x v="32"/>
    <x v="11"/>
    <x v="4"/>
    <x v="22"/>
    <x v="122"/>
    <x v="981"/>
    <x v="36"/>
    <x v="36"/>
    <x v="1"/>
  </r>
  <r>
    <x v="3"/>
    <x v="1"/>
    <x v="393"/>
    <x v="3"/>
    <x v="32"/>
    <x v="11"/>
    <x v="0"/>
    <x v="37"/>
    <x v="157"/>
    <x v="1866"/>
    <x v="36"/>
    <x v="36"/>
    <x v="1"/>
  </r>
  <r>
    <x v="3"/>
    <x v="1"/>
    <x v="393"/>
    <x v="3"/>
    <x v="32"/>
    <x v="11"/>
    <x v="3"/>
    <x v="22"/>
    <x v="177"/>
    <x v="1415"/>
    <x v="46"/>
    <x v="46"/>
    <x v="1"/>
  </r>
  <r>
    <x v="3"/>
    <x v="1"/>
    <x v="419"/>
    <x v="3"/>
    <x v="32"/>
    <x v="11"/>
    <x v="2"/>
    <x v="21"/>
    <x v="232"/>
    <x v="1825"/>
    <x v="40"/>
    <x v="40"/>
    <x v="1"/>
  </r>
  <r>
    <x v="3"/>
    <x v="1"/>
    <x v="419"/>
    <x v="3"/>
    <x v="32"/>
    <x v="11"/>
    <x v="1"/>
    <x v="22"/>
    <x v="129"/>
    <x v="1044"/>
    <x v="31"/>
    <x v="31"/>
    <x v="1"/>
  </r>
  <r>
    <x v="3"/>
    <x v="1"/>
    <x v="419"/>
    <x v="3"/>
    <x v="32"/>
    <x v="11"/>
    <x v="5"/>
    <x v="12"/>
    <x v="158"/>
    <x v="799"/>
    <x v="38"/>
    <x v="38"/>
    <x v="1"/>
  </r>
  <r>
    <x v="3"/>
    <x v="1"/>
    <x v="419"/>
    <x v="3"/>
    <x v="32"/>
    <x v="11"/>
    <x v="4"/>
    <x v="18"/>
    <x v="104"/>
    <x v="706"/>
    <x v="40"/>
    <x v="40"/>
    <x v="1"/>
  </r>
  <r>
    <x v="3"/>
    <x v="1"/>
    <x v="419"/>
    <x v="3"/>
    <x v="32"/>
    <x v="11"/>
    <x v="0"/>
    <x v="30"/>
    <x v="137"/>
    <x v="1403"/>
    <x v="31"/>
    <x v="31"/>
    <x v="1"/>
  </r>
  <r>
    <x v="3"/>
    <x v="1"/>
    <x v="419"/>
    <x v="3"/>
    <x v="32"/>
    <x v="11"/>
    <x v="3"/>
    <x v="20"/>
    <x v="147"/>
    <x v="1101"/>
    <x v="48"/>
    <x v="48"/>
    <x v="1"/>
  </r>
  <r>
    <x v="3"/>
    <x v="1"/>
    <x v="451"/>
    <x v="3"/>
    <x v="32"/>
    <x v="11"/>
    <x v="2"/>
    <x v="20"/>
    <x v="222"/>
    <x v="1697"/>
    <x v="40"/>
    <x v="40"/>
    <x v="1"/>
  </r>
  <r>
    <x v="3"/>
    <x v="1"/>
    <x v="451"/>
    <x v="3"/>
    <x v="32"/>
    <x v="11"/>
    <x v="1"/>
    <x v="21"/>
    <x v="134"/>
    <x v="1040"/>
    <x v="33"/>
    <x v="33"/>
    <x v="1"/>
  </r>
  <r>
    <x v="3"/>
    <x v="1"/>
    <x v="451"/>
    <x v="3"/>
    <x v="32"/>
    <x v="11"/>
    <x v="5"/>
    <x v="13"/>
    <x v="124"/>
    <x v="636"/>
    <x v="41"/>
    <x v="41"/>
    <x v="1"/>
  </r>
  <r>
    <x v="3"/>
    <x v="1"/>
    <x v="451"/>
    <x v="3"/>
    <x v="32"/>
    <x v="11"/>
    <x v="4"/>
    <x v="17"/>
    <x v="120"/>
    <x v="780"/>
    <x v="40"/>
    <x v="40"/>
    <x v="1"/>
  </r>
  <r>
    <x v="3"/>
    <x v="1"/>
    <x v="451"/>
    <x v="3"/>
    <x v="32"/>
    <x v="11"/>
    <x v="0"/>
    <x v="35"/>
    <x v="111"/>
    <x v="1322"/>
    <x v="36"/>
    <x v="36"/>
    <x v="1"/>
  </r>
  <r>
    <x v="3"/>
    <x v="1"/>
    <x v="451"/>
    <x v="3"/>
    <x v="32"/>
    <x v="11"/>
    <x v="3"/>
    <x v="25"/>
    <x v="165"/>
    <x v="1455"/>
    <x v="47"/>
    <x v="47"/>
    <x v="1"/>
  </r>
  <r>
    <x v="3"/>
    <x v="1"/>
    <x v="480"/>
    <x v="3"/>
    <x v="32"/>
    <x v="11"/>
    <x v="2"/>
    <x v="34"/>
    <x v="209"/>
    <x v="2222"/>
    <x v="41"/>
    <x v="41"/>
    <x v="1"/>
  </r>
  <r>
    <x v="3"/>
    <x v="1"/>
    <x v="480"/>
    <x v="3"/>
    <x v="32"/>
    <x v="11"/>
    <x v="1"/>
    <x v="35"/>
    <x v="159"/>
    <x v="1806"/>
    <x v="32"/>
    <x v="32"/>
    <x v="1"/>
  </r>
  <r>
    <x v="3"/>
    <x v="1"/>
    <x v="480"/>
    <x v="3"/>
    <x v="32"/>
    <x v="11"/>
    <x v="5"/>
    <x v="30"/>
    <x v="147"/>
    <x v="1503"/>
    <x v="39"/>
    <x v="39"/>
    <x v="1"/>
  </r>
  <r>
    <x v="3"/>
    <x v="1"/>
    <x v="480"/>
    <x v="3"/>
    <x v="32"/>
    <x v="11"/>
    <x v="4"/>
    <x v="31"/>
    <x v="129"/>
    <x v="1372"/>
    <x v="40"/>
    <x v="40"/>
    <x v="1"/>
  </r>
  <r>
    <x v="3"/>
    <x v="1"/>
    <x v="480"/>
    <x v="3"/>
    <x v="32"/>
    <x v="11"/>
    <x v="0"/>
    <x v="39"/>
    <x v="129"/>
    <x v="1652"/>
    <x v="35"/>
    <x v="35"/>
    <x v="1"/>
  </r>
  <r>
    <x v="3"/>
    <x v="1"/>
    <x v="480"/>
    <x v="3"/>
    <x v="32"/>
    <x v="11"/>
    <x v="3"/>
    <x v="44"/>
    <x v="177"/>
    <x v="2260"/>
    <x v="48"/>
    <x v="48"/>
    <x v="1"/>
  </r>
  <r>
    <x v="3"/>
    <x v="1"/>
    <x v="513"/>
    <x v="3"/>
    <x v="32"/>
    <x v="11"/>
    <x v="2"/>
    <x v="39"/>
    <x v="202"/>
    <x v="2340"/>
    <x v="41"/>
    <x v="41"/>
    <x v="1"/>
  </r>
  <r>
    <x v="3"/>
    <x v="1"/>
    <x v="513"/>
    <x v="3"/>
    <x v="32"/>
    <x v="11"/>
    <x v="1"/>
    <x v="35"/>
    <x v="159"/>
    <x v="1806"/>
    <x v="33"/>
    <x v="33"/>
    <x v="1"/>
  </r>
  <r>
    <x v="3"/>
    <x v="1"/>
    <x v="513"/>
    <x v="3"/>
    <x v="32"/>
    <x v="11"/>
    <x v="5"/>
    <x v="40"/>
    <x v="147"/>
    <x v="1870"/>
    <x v="40"/>
    <x v="40"/>
    <x v="1"/>
  </r>
  <r>
    <x v="3"/>
    <x v="1"/>
    <x v="513"/>
    <x v="3"/>
    <x v="32"/>
    <x v="11"/>
    <x v="4"/>
    <x v="42"/>
    <x v="147"/>
    <x v="1937"/>
    <x v="37"/>
    <x v="37"/>
    <x v="1"/>
  </r>
  <r>
    <x v="3"/>
    <x v="1"/>
    <x v="513"/>
    <x v="3"/>
    <x v="32"/>
    <x v="11"/>
    <x v="0"/>
    <x v="54"/>
    <x v="141"/>
    <x v="2198"/>
    <x v="35"/>
    <x v="35"/>
    <x v="1"/>
  </r>
  <r>
    <x v="3"/>
    <x v="1"/>
    <x v="513"/>
    <x v="3"/>
    <x v="32"/>
    <x v="11"/>
    <x v="3"/>
    <x v="60"/>
    <x v="197"/>
    <x v="2710"/>
    <x v="46"/>
    <x v="46"/>
    <x v="1"/>
  </r>
  <r>
    <x v="3"/>
    <x v="1"/>
    <x v="541"/>
    <x v="3"/>
    <x v="32"/>
    <x v="11"/>
    <x v="2"/>
    <x v="53"/>
    <x v="248"/>
    <x v="2795"/>
    <x v="36"/>
    <x v="36"/>
    <x v="1"/>
  </r>
  <r>
    <x v="3"/>
    <x v="1"/>
    <x v="541"/>
    <x v="3"/>
    <x v="32"/>
    <x v="11"/>
    <x v="1"/>
    <x v="51"/>
    <x v="193"/>
    <x v="2559"/>
    <x v="36"/>
    <x v="36"/>
    <x v="1"/>
  </r>
  <r>
    <x v="3"/>
    <x v="1"/>
    <x v="541"/>
    <x v="3"/>
    <x v="32"/>
    <x v="11"/>
    <x v="5"/>
    <x v="46"/>
    <x v="172"/>
    <x v="2265"/>
    <x v="41"/>
    <x v="41"/>
    <x v="1"/>
  </r>
  <r>
    <x v="3"/>
    <x v="1"/>
    <x v="541"/>
    <x v="3"/>
    <x v="32"/>
    <x v="11"/>
    <x v="4"/>
    <x v="45"/>
    <x v="177"/>
    <x v="2288"/>
    <x v="37"/>
    <x v="37"/>
    <x v="1"/>
  </r>
  <r>
    <x v="3"/>
    <x v="1"/>
    <x v="541"/>
    <x v="3"/>
    <x v="32"/>
    <x v="11"/>
    <x v="0"/>
    <x v="52"/>
    <x v="159"/>
    <x v="2312"/>
    <x v="35"/>
    <x v="35"/>
    <x v="1"/>
  </r>
  <r>
    <x v="3"/>
    <x v="1"/>
    <x v="541"/>
    <x v="3"/>
    <x v="32"/>
    <x v="11"/>
    <x v="3"/>
    <x v="57"/>
    <x v="222"/>
    <x v="2769"/>
    <x v="49"/>
    <x v="49"/>
    <x v="1"/>
  </r>
  <r>
    <x v="3"/>
    <x v="1"/>
    <x v="573"/>
    <x v="3"/>
    <x v="32"/>
    <x v="11"/>
    <x v="2"/>
    <x v="54"/>
    <x v="259"/>
    <x v="2818"/>
    <x v="39"/>
    <x v="39"/>
    <x v="1"/>
  </r>
  <r>
    <x v="3"/>
    <x v="1"/>
    <x v="573"/>
    <x v="3"/>
    <x v="32"/>
    <x v="11"/>
    <x v="1"/>
    <x v="51"/>
    <x v="174"/>
    <x v="2424"/>
    <x v="31"/>
    <x v="31"/>
    <x v="1"/>
  </r>
  <r>
    <x v="3"/>
    <x v="1"/>
    <x v="573"/>
    <x v="3"/>
    <x v="32"/>
    <x v="11"/>
    <x v="5"/>
    <x v="47"/>
    <x v="183"/>
    <x v="2394"/>
    <x v="39"/>
    <x v="39"/>
    <x v="1"/>
  </r>
  <r>
    <x v="3"/>
    <x v="1"/>
    <x v="573"/>
    <x v="3"/>
    <x v="32"/>
    <x v="11"/>
    <x v="4"/>
    <x v="37"/>
    <x v="159"/>
    <x v="1886"/>
    <x v="39"/>
    <x v="39"/>
    <x v="1"/>
  </r>
  <r>
    <x v="3"/>
    <x v="1"/>
    <x v="573"/>
    <x v="3"/>
    <x v="32"/>
    <x v="11"/>
    <x v="0"/>
    <x v="46"/>
    <x v="153"/>
    <x v="2106"/>
    <x v="34"/>
    <x v="34"/>
    <x v="1"/>
  </r>
  <r>
    <x v="3"/>
    <x v="1"/>
    <x v="573"/>
    <x v="3"/>
    <x v="32"/>
    <x v="11"/>
    <x v="3"/>
    <x v="47"/>
    <x v="197"/>
    <x v="2510"/>
    <x v="50"/>
    <x v="50"/>
    <x v="1"/>
  </r>
  <r>
    <x v="3"/>
    <x v="1"/>
    <x v="603"/>
    <x v="3"/>
    <x v="32"/>
    <x v="11"/>
    <x v="2"/>
    <x v="46"/>
    <x v="212"/>
    <x v="2582"/>
    <x v="38"/>
    <x v="38"/>
    <x v="1"/>
  </r>
  <r>
    <x v="3"/>
    <x v="1"/>
    <x v="603"/>
    <x v="3"/>
    <x v="32"/>
    <x v="11"/>
    <x v="1"/>
    <x v="42"/>
    <x v="158"/>
    <x v="2047"/>
    <x v="36"/>
    <x v="36"/>
    <x v="1"/>
  </r>
  <r>
    <x v="3"/>
    <x v="1"/>
    <x v="603"/>
    <x v="3"/>
    <x v="32"/>
    <x v="11"/>
    <x v="5"/>
    <x v="21"/>
    <x v="152"/>
    <x v="1184"/>
    <x v="37"/>
    <x v="37"/>
    <x v="1"/>
  </r>
  <r>
    <x v="3"/>
    <x v="1"/>
    <x v="603"/>
    <x v="3"/>
    <x v="32"/>
    <x v="11"/>
    <x v="4"/>
    <x v="21"/>
    <x v="129"/>
    <x v="1005"/>
    <x v="36"/>
    <x v="36"/>
    <x v="1"/>
  </r>
  <r>
    <x v="3"/>
    <x v="1"/>
    <x v="603"/>
    <x v="3"/>
    <x v="32"/>
    <x v="11"/>
    <x v="0"/>
    <x v="31"/>
    <x v="135"/>
    <x v="1422"/>
    <x v="32"/>
    <x v="32"/>
    <x v="1"/>
  </r>
  <r>
    <x v="3"/>
    <x v="1"/>
    <x v="603"/>
    <x v="3"/>
    <x v="32"/>
    <x v="11"/>
    <x v="3"/>
    <x v="34"/>
    <x v="177"/>
    <x v="1947"/>
    <x v="47"/>
    <x v="47"/>
    <x v="1"/>
  </r>
  <r>
    <x v="3"/>
    <x v="1"/>
    <x v="635"/>
    <x v="3"/>
    <x v="32"/>
    <x v="11"/>
    <x v="2"/>
    <x v="35"/>
    <x v="208"/>
    <x v="2252"/>
    <x v="40"/>
    <x v="40"/>
    <x v="1"/>
  </r>
  <r>
    <x v="3"/>
    <x v="1"/>
    <x v="635"/>
    <x v="3"/>
    <x v="32"/>
    <x v="11"/>
    <x v="1"/>
    <x v="26"/>
    <x v="172"/>
    <x v="1561"/>
    <x v="32"/>
    <x v="32"/>
    <x v="1"/>
  </r>
  <r>
    <x v="3"/>
    <x v="1"/>
    <x v="635"/>
    <x v="3"/>
    <x v="32"/>
    <x v="11"/>
    <x v="5"/>
    <x v="27"/>
    <x v="129"/>
    <x v="1228"/>
    <x v="37"/>
    <x v="37"/>
    <x v="1"/>
  </r>
  <r>
    <x v="3"/>
    <x v="1"/>
    <x v="635"/>
    <x v="3"/>
    <x v="32"/>
    <x v="11"/>
    <x v="4"/>
    <x v="27"/>
    <x v="138"/>
    <x v="1308"/>
    <x v="40"/>
    <x v="40"/>
    <x v="1"/>
  </r>
  <r>
    <x v="3"/>
    <x v="1"/>
    <x v="635"/>
    <x v="3"/>
    <x v="32"/>
    <x v="11"/>
    <x v="0"/>
    <x v="35"/>
    <x v="128"/>
    <x v="1505"/>
    <x v="33"/>
    <x v="33"/>
    <x v="1"/>
  </r>
  <r>
    <x v="3"/>
    <x v="1"/>
    <x v="635"/>
    <x v="3"/>
    <x v="32"/>
    <x v="11"/>
    <x v="3"/>
    <x v="41"/>
    <x v="153"/>
    <x v="1968"/>
    <x v="49"/>
    <x v="49"/>
    <x v="1"/>
  </r>
  <r>
    <x v="3"/>
    <x v="1"/>
    <x v="665"/>
    <x v="3"/>
    <x v="32"/>
    <x v="11"/>
    <x v="2"/>
    <x v="37"/>
    <x v="185"/>
    <x v="2128"/>
    <x v="41"/>
    <x v="41"/>
    <x v="1"/>
  </r>
  <r>
    <x v="3"/>
    <x v="1"/>
    <x v="665"/>
    <x v="3"/>
    <x v="32"/>
    <x v="11"/>
    <x v="1"/>
    <x v="25"/>
    <x v="171"/>
    <x v="1499"/>
    <x v="33"/>
    <x v="33"/>
    <x v="1"/>
  </r>
  <r>
    <x v="3"/>
    <x v="1"/>
    <x v="665"/>
    <x v="3"/>
    <x v="32"/>
    <x v="11"/>
    <x v="5"/>
    <x v="31"/>
    <x v="145"/>
    <x v="1528"/>
    <x v="40"/>
    <x v="40"/>
    <x v="1"/>
  </r>
  <r>
    <x v="3"/>
    <x v="1"/>
    <x v="665"/>
    <x v="3"/>
    <x v="32"/>
    <x v="11"/>
    <x v="4"/>
    <x v="48"/>
    <x v="141"/>
    <x v="2059"/>
    <x v="37"/>
    <x v="37"/>
    <x v="1"/>
  </r>
  <r>
    <x v="3"/>
    <x v="1"/>
    <x v="665"/>
    <x v="3"/>
    <x v="32"/>
    <x v="11"/>
    <x v="0"/>
    <x v="65"/>
    <x v="141"/>
    <x v="2438"/>
    <x v="35"/>
    <x v="35"/>
    <x v="1"/>
  </r>
  <r>
    <x v="3"/>
    <x v="1"/>
    <x v="665"/>
    <x v="3"/>
    <x v="32"/>
    <x v="11"/>
    <x v="3"/>
    <x v="65"/>
    <x v="183"/>
    <x v="2693"/>
    <x v="50"/>
    <x v="50"/>
    <x v="1"/>
  </r>
  <r>
    <x v="3"/>
    <x v="1"/>
    <x v="694"/>
    <x v="3"/>
    <x v="32"/>
    <x v="11"/>
    <x v="2"/>
    <x v="57"/>
    <x v="207"/>
    <x v="2721"/>
    <x v="37"/>
    <x v="37"/>
    <x v="1"/>
  </r>
  <r>
    <x v="3"/>
    <x v="1"/>
    <x v="694"/>
    <x v="3"/>
    <x v="32"/>
    <x v="11"/>
    <x v="1"/>
    <x v="48"/>
    <x v="176"/>
    <x v="2369"/>
    <x v="31"/>
    <x v="31"/>
    <x v="1"/>
  </r>
  <r>
    <x v="0"/>
    <x v="1"/>
    <x v="694"/>
    <x v="3"/>
    <x v="32"/>
    <x v="11"/>
    <x v="5"/>
    <x v="48"/>
    <x v="188"/>
    <x v="2466"/>
    <x v="37"/>
    <x v="37"/>
    <x v="1"/>
  </r>
  <r>
    <x v="0"/>
    <x v="1"/>
    <x v="694"/>
    <x v="3"/>
    <x v="32"/>
    <x v="11"/>
    <x v="4"/>
    <x v="48"/>
    <x v="172"/>
    <x v="2320"/>
    <x v="40"/>
    <x v="40"/>
    <x v="1"/>
  </r>
  <r>
    <x v="0"/>
    <x v="1"/>
    <x v="694"/>
    <x v="3"/>
    <x v="32"/>
    <x v="11"/>
    <x v="0"/>
    <x v="58"/>
    <x v="147"/>
    <x v="2346"/>
    <x v="35"/>
    <x v="35"/>
    <x v="1"/>
  </r>
  <r>
    <x v="0"/>
    <x v="1"/>
    <x v="694"/>
    <x v="3"/>
    <x v="32"/>
    <x v="11"/>
    <x v="3"/>
    <x v="62"/>
    <x v="194"/>
    <x v="2716"/>
    <x v="51"/>
    <x v="51"/>
    <x v="1"/>
  </r>
  <r>
    <x v="0"/>
    <x v="1"/>
    <x v="371"/>
    <x v="3"/>
    <x v="32"/>
    <x v="11"/>
    <x v="2"/>
    <x v="25"/>
    <x v="170"/>
    <x v="1490"/>
    <x v="38"/>
    <x v="38"/>
    <x v="1"/>
  </r>
  <r>
    <x v="0"/>
    <x v="1"/>
    <x v="371"/>
    <x v="3"/>
    <x v="32"/>
    <x v="11"/>
    <x v="1"/>
    <x v="26"/>
    <x v="129"/>
    <x v="1197"/>
    <x v="36"/>
    <x v="36"/>
    <x v="1"/>
  </r>
  <r>
    <x v="0"/>
    <x v="1"/>
    <x v="371"/>
    <x v="3"/>
    <x v="32"/>
    <x v="11"/>
    <x v="5"/>
    <x v="17"/>
    <x v="145"/>
    <x v="959"/>
    <x v="40"/>
    <x v="40"/>
    <x v="1"/>
  </r>
  <r>
    <x v="0"/>
    <x v="1"/>
    <x v="371"/>
    <x v="3"/>
    <x v="32"/>
    <x v="11"/>
    <x v="4"/>
    <x v="22"/>
    <x v="103"/>
    <x v="834"/>
    <x v="38"/>
    <x v="38"/>
    <x v="1"/>
  </r>
  <r>
    <x v="0"/>
    <x v="1"/>
    <x v="371"/>
    <x v="3"/>
    <x v="32"/>
    <x v="11"/>
    <x v="0"/>
    <x v="37"/>
    <x v="108"/>
    <x v="1358"/>
    <x v="36"/>
    <x v="36"/>
    <x v="1"/>
  </r>
  <r>
    <x v="0"/>
    <x v="1"/>
    <x v="371"/>
    <x v="3"/>
    <x v="32"/>
    <x v="11"/>
    <x v="3"/>
    <x v="25"/>
    <x v="150"/>
    <x v="1331"/>
    <x v="51"/>
    <x v="51"/>
    <x v="1"/>
  </r>
  <r>
    <x v="0"/>
    <x v="1"/>
    <x v="400"/>
    <x v="3"/>
    <x v="32"/>
    <x v="11"/>
    <x v="2"/>
    <x v="25"/>
    <x v="197"/>
    <x v="1755"/>
    <x v="36"/>
    <x v="36"/>
    <x v="1"/>
  </r>
  <r>
    <x v="0"/>
    <x v="1"/>
    <x v="400"/>
    <x v="3"/>
    <x v="32"/>
    <x v="11"/>
    <x v="1"/>
    <x v="26"/>
    <x v="123"/>
    <x v="1140"/>
    <x v="36"/>
    <x v="36"/>
    <x v="1"/>
  </r>
  <r>
    <x v="0"/>
    <x v="1"/>
    <x v="400"/>
    <x v="3"/>
    <x v="32"/>
    <x v="11"/>
    <x v="5"/>
    <x v="16"/>
    <x v="137"/>
    <x v="857"/>
    <x v="36"/>
    <x v="36"/>
    <x v="1"/>
  </r>
  <r>
    <x v="0"/>
    <x v="1"/>
    <x v="400"/>
    <x v="0"/>
    <x v="34"/>
    <x v="14"/>
    <x v="4"/>
    <x v="22"/>
    <x v="83"/>
    <x v="653"/>
    <x v="36"/>
    <x v="36"/>
    <x v="1"/>
  </r>
  <r>
    <x v="0"/>
    <x v="1"/>
    <x v="400"/>
    <x v="0"/>
    <x v="34"/>
    <x v="14"/>
    <x v="0"/>
    <x v="34"/>
    <x v="102"/>
    <x v="1209"/>
    <x v="32"/>
    <x v="32"/>
    <x v="1"/>
  </r>
  <r>
    <x v="0"/>
    <x v="1"/>
    <x v="400"/>
    <x v="0"/>
    <x v="34"/>
    <x v="14"/>
    <x v="3"/>
    <x v="22"/>
    <x v="123"/>
    <x v="990"/>
    <x v="47"/>
    <x v="47"/>
    <x v="1"/>
  </r>
  <r>
    <x v="0"/>
    <x v="1"/>
    <x v="426"/>
    <x v="0"/>
    <x v="34"/>
    <x v="14"/>
    <x v="2"/>
    <x v="20"/>
    <x v="197"/>
    <x v="1498"/>
    <x v="38"/>
    <x v="38"/>
    <x v="1"/>
  </r>
  <r>
    <x v="0"/>
    <x v="1"/>
    <x v="426"/>
    <x v="0"/>
    <x v="34"/>
    <x v="14"/>
    <x v="1"/>
    <x v="20"/>
    <x v="106"/>
    <x v="791"/>
    <x v="31"/>
    <x v="31"/>
    <x v="1"/>
  </r>
  <r>
    <x v="0"/>
    <x v="1"/>
    <x v="426"/>
    <x v="0"/>
    <x v="34"/>
    <x v="14"/>
    <x v="5"/>
    <x v="13"/>
    <x v="104"/>
    <x v="524"/>
    <x v="39"/>
    <x v="39"/>
    <x v="1"/>
  </r>
  <r>
    <x v="0"/>
    <x v="1"/>
    <x v="426"/>
    <x v="0"/>
    <x v="34"/>
    <x v="14"/>
    <x v="4"/>
    <x v="17"/>
    <x v="80"/>
    <x v="488"/>
    <x v="38"/>
    <x v="38"/>
    <x v="1"/>
  </r>
  <r>
    <x v="0"/>
    <x v="1"/>
    <x v="426"/>
    <x v="0"/>
    <x v="34"/>
    <x v="14"/>
    <x v="0"/>
    <x v="30"/>
    <x v="94"/>
    <x v="1000"/>
    <x v="35"/>
    <x v="35"/>
    <x v="1"/>
  </r>
  <r>
    <x v="0"/>
    <x v="1"/>
    <x v="426"/>
    <x v="0"/>
    <x v="34"/>
    <x v="14"/>
    <x v="3"/>
    <x v="21"/>
    <x v="108"/>
    <x v="841"/>
    <x v="47"/>
    <x v="47"/>
    <x v="1"/>
  </r>
  <r>
    <x v="0"/>
    <x v="1"/>
    <x v="458"/>
    <x v="0"/>
    <x v="34"/>
    <x v="14"/>
    <x v="2"/>
    <x v="21"/>
    <x v="188"/>
    <x v="1465"/>
    <x v="41"/>
    <x v="41"/>
    <x v="1"/>
  </r>
  <r>
    <x v="0"/>
    <x v="1"/>
    <x v="458"/>
    <x v="0"/>
    <x v="34"/>
    <x v="14"/>
    <x v="1"/>
    <x v="21"/>
    <x v="92"/>
    <x v="708"/>
    <x v="35"/>
    <x v="35"/>
    <x v="1"/>
  </r>
  <r>
    <x v="0"/>
    <x v="1"/>
    <x v="458"/>
    <x v="0"/>
    <x v="34"/>
    <x v="14"/>
    <x v="5"/>
    <x v="12"/>
    <x v="88"/>
    <x v="393"/>
    <x v="39"/>
    <x v="39"/>
    <x v="1"/>
  </r>
  <r>
    <x v="0"/>
    <x v="1"/>
    <x v="458"/>
    <x v="0"/>
    <x v="34"/>
    <x v="14"/>
    <x v="4"/>
    <x v="17"/>
    <x v="84"/>
    <x v="515"/>
    <x v="36"/>
    <x v="36"/>
    <x v="1"/>
  </r>
  <r>
    <x v="0"/>
    <x v="1"/>
    <x v="458"/>
    <x v="0"/>
    <x v="34"/>
    <x v="14"/>
    <x v="0"/>
    <x v="35"/>
    <x v="83"/>
    <x v="1015"/>
    <x v="33"/>
    <x v="33"/>
    <x v="1"/>
  </r>
  <r>
    <x v="0"/>
    <x v="1"/>
    <x v="458"/>
    <x v="0"/>
    <x v="34"/>
    <x v="14"/>
    <x v="3"/>
    <x v="27"/>
    <x v="117"/>
    <x v="1124"/>
    <x v="51"/>
    <x v="51"/>
    <x v="1"/>
  </r>
  <r>
    <x v="0"/>
    <x v="1"/>
    <x v="487"/>
    <x v="0"/>
    <x v="34"/>
    <x v="14"/>
    <x v="2"/>
    <x v="35"/>
    <x v="180"/>
    <x v="2009"/>
    <x v="36"/>
    <x v="36"/>
    <x v="1"/>
  </r>
  <r>
    <x v="0"/>
    <x v="1"/>
    <x v="487"/>
    <x v="0"/>
    <x v="34"/>
    <x v="14"/>
    <x v="1"/>
    <x v="37"/>
    <x v="115"/>
    <x v="1425"/>
    <x v="35"/>
    <x v="35"/>
    <x v="1"/>
  </r>
  <r>
    <x v="0"/>
    <x v="1"/>
    <x v="487"/>
    <x v="0"/>
    <x v="34"/>
    <x v="14"/>
    <x v="5"/>
    <x v="32"/>
    <x v="123"/>
    <x v="1343"/>
    <x v="37"/>
    <x v="37"/>
    <x v="1"/>
  </r>
  <r>
    <x v="0"/>
    <x v="1"/>
    <x v="487"/>
    <x v="0"/>
    <x v="34"/>
    <x v="14"/>
    <x v="4"/>
    <x v="31"/>
    <x v="103"/>
    <x v="1128"/>
    <x v="41"/>
    <x v="41"/>
    <x v="1"/>
  </r>
  <r>
    <x v="0"/>
    <x v="1"/>
    <x v="487"/>
    <x v="0"/>
    <x v="34"/>
    <x v="14"/>
    <x v="0"/>
    <x v="42"/>
    <x v="106"/>
    <x v="1483"/>
    <x v="32"/>
    <x v="32"/>
    <x v="1"/>
  </r>
  <r>
    <x v="0"/>
    <x v="1"/>
    <x v="487"/>
    <x v="0"/>
    <x v="34"/>
    <x v="14"/>
    <x v="3"/>
    <x v="46"/>
    <x v="123"/>
    <x v="1793"/>
    <x v="50"/>
    <x v="50"/>
    <x v="1"/>
  </r>
  <r>
    <x v="0"/>
    <x v="1"/>
    <x v="520"/>
    <x v="0"/>
    <x v="34"/>
    <x v="14"/>
    <x v="2"/>
    <x v="42"/>
    <x v="198"/>
    <x v="2397"/>
    <x v="39"/>
    <x v="39"/>
    <x v="1"/>
  </r>
  <r>
    <x v="0"/>
    <x v="1"/>
    <x v="520"/>
    <x v="0"/>
    <x v="34"/>
    <x v="14"/>
    <x v="1"/>
    <x v="34"/>
    <x v="118"/>
    <x v="1364"/>
    <x v="32"/>
    <x v="32"/>
    <x v="1"/>
  </r>
  <r>
    <x v="0"/>
    <x v="1"/>
    <x v="520"/>
    <x v="0"/>
    <x v="34"/>
    <x v="14"/>
    <x v="5"/>
    <x v="42"/>
    <x v="122"/>
    <x v="1667"/>
    <x v="40"/>
    <x v="40"/>
    <x v="1"/>
  </r>
  <r>
    <x v="0"/>
    <x v="1"/>
    <x v="520"/>
    <x v="0"/>
    <x v="34"/>
    <x v="14"/>
    <x v="4"/>
    <x v="42"/>
    <x v="120"/>
    <x v="1644"/>
    <x v="37"/>
    <x v="37"/>
    <x v="1"/>
  </r>
  <r>
    <x v="0"/>
    <x v="1"/>
    <x v="520"/>
    <x v="0"/>
    <x v="34"/>
    <x v="14"/>
    <x v="0"/>
    <x v="55"/>
    <x v="129"/>
    <x v="2104"/>
    <x v="33"/>
    <x v="33"/>
    <x v="1"/>
  </r>
  <r>
    <x v="0"/>
    <x v="1"/>
    <x v="520"/>
    <x v="0"/>
    <x v="34"/>
    <x v="14"/>
    <x v="3"/>
    <x v="57"/>
    <x v="172"/>
    <x v="2517"/>
    <x v="48"/>
    <x v="48"/>
    <x v="1"/>
  </r>
  <r>
    <x v="0"/>
    <x v="1"/>
    <x v="548"/>
    <x v="0"/>
    <x v="34"/>
    <x v="14"/>
    <x v="2"/>
    <x v="56"/>
    <x v="213"/>
    <x v="2733"/>
    <x v="38"/>
    <x v="38"/>
    <x v="1"/>
  </r>
  <r>
    <x v="0"/>
    <x v="1"/>
    <x v="548"/>
    <x v="0"/>
    <x v="34"/>
    <x v="14"/>
    <x v="1"/>
    <x v="49"/>
    <x v="171"/>
    <x v="2338"/>
    <x v="33"/>
    <x v="33"/>
    <x v="1"/>
  </r>
  <r>
    <x v="0"/>
    <x v="1"/>
    <x v="548"/>
    <x v="0"/>
    <x v="34"/>
    <x v="14"/>
    <x v="5"/>
    <x v="44"/>
    <x v="150"/>
    <x v="2035"/>
    <x v="37"/>
    <x v="37"/>
    <x v="1"/>
  </r>
  <r>
    <x v="0"/>
    <x v="1"/>
    <x v="548"/>
    <x v="0"/>
    <x v="34"/>
    <x v="14"/>
    <x v="4"/>
    <x v="46"/>
    <x v="131"/>
    <x v="1893"/>
    <x v="40"/>
    <x v="40"/>
    <x v="1"/>
  </r>
  <r>
    <x v="0"/>
    <x v="1"/>
    <x v="548"/>
    <x v="0"/>
    <x v="34"/>
    <x v="14"/>
    <x v="0"/>
    <x v="52"/>
    <x v="133"/>
    <x v="2077"/>
    <x v="32"/>
    <x v="32"/>
    <x v="1"/>
  </r>
  <r>
    <x v="0"/>
    <x v="1"/>
    <x v="548"/>
    <x v="0"/>
    <x v="34"/>
    <x v="14"/>
    <x v="3"/>
    <x v="62"/>
    <x v="158"/>
    <x v="2512"/>
    <x v="49"/>
    <x v="49"/>
    <x v="1"/>
  </r>
  <r>
    <x v="0"/>
    <x v="1"/>
    <x v="580"/>
    <x v="0"/>
    <x v="34"/>
    <x v="14"/>
    <x v="2"/>
    <x v="54"/>
    <x v="195"/>
    <x v="2627"/>
    <x v="36"/>
    <x v="36"/>
    <x v="1"/>
  </r>
  <r>
    <x v="0"/>
    <x v="1"/>
    <x v="580"/>
    <x v="0"/>
    <x v="34"/>
    <x v="14"/>
    <x v="1"/>
    <x v="51"/>
    <x v="171"/>
    <x v="2389"/>
    <x v="32"/>
    <x v="32"/>
    <x v="1"/>
  </r>
  <r>
    <x v="0"/>
    <x v="1"/>
    <x v="580"/>
    <x v="0"/>
    <x v="34"/>
    <x v="14"/>
    <x v="5"/>
    <x v="46"/>
    <x v="129"/>
    <x v="1871"/>
    <x v="37"/>
    <x v="37"/>
    <x v="1"/>
  </r>
  <r>
    <x v="0"/>
    <x v="1"/>
    <x v="580"/>
    <x v="0"/>
    <x v="34"/>
    <x v="14"/>
    <x v="4"/>
    <x v="34"/>
    <x v="137"/>
    <x v="1564"/>
    <x v="37"/>
    <x v="37"/>
    <x v="1"/>
  </r>
  <r>
    <x v="0"/>
    <x v="1"/>
    <x v="580"/>
    <x v="0"/>
    <x v="34"/>
    <x v="14"/>
    <x v="0"/>
    <x v="43"/>
    <x v="115"/>
    <x v="1617"/>
    <x v="35"/>
    <x v="35"/>
    <x v="1"/>
  </r>
  <r>
    <x v="0"/>
    <x v="1"/>
    <x v="580"/>
    <x v="0"/>
    <x v="34"/>
    <x v="14"/>
    <x v="3"/>
    <x v="47"/>
    <x v="147"/>
    <x v="2082"/>
    <x v="47"/>
    <x v="47"/>
    <x v="1"/>
  </r>
  <r>
    <x v="0"/>
    <x v="1"/>
    <x v="610"/>
    <x v="0"/>
    <x v="34"/>
    <x v="14"/>
    <x v="2"/>
    <x v="43"/>
    <x v="194"/>
    <x v="2383"/>
    <x v="40"/>
    <x v="40"/>
    <x v="1"/>
  </r>
  <r>
    <x v="0"/>
    <x v="1"/>
    <x v="610"/>
    <x v="0"/>
    <x v="34"/>
    <x v="14"/>
    <x v="1"/>
    <x v="40"/>
    <x v="150"/>
    <x v="1910"/>
    <x v="33"/>
    <x v="33"/>
    <x v="1"/>
  </r>
  <r>
    <x v="0"/>
    <x v="1"/>
    <x v="610"/>
    <x v="0"/>
    <x v="34"/>
    <x v="14"/>
    <x v="5"/>
    <x v="16"/>
    <x v="118"/>
    <x v="727"/>
    <x v="41"/>
    <x v="41"/>
    <x v="1"/>
  </r>
  <r>
    <x v="0"/>
    <x v="1"/>
    <x v="610"/>
    <x v="0"/>
    <x v="34"/>
    <x v="14"/>
    <x v="4"/>
    <x v="17"/>
    <x v="94"/>
    <x v="593"/>
    <x v="37"/>
    <x v="37"/>
    <x v="1"/>
  </r>
  <r>
    <x v="0"/>
    <x v="1"/>
    <x v="610"/>
    <x v="0"/>
    <x v="34"/>
    <x v="14"/>
    <x v="0"/>
    <x v="25"/>
    <x v="102"/>
    <x v="929"/>
    <x v="34"/>
    <x v="34"/>
    <x v="1"/>
  </r>
  <r>
    <x v="0"/>
    <x v="1"/>
    <x v="610"/>
    <x v="0"/>
    <x v="34"/>
    <x v="14"/>
    <x v="3"/>
    <x v="30"/>
    <x v="118"/>
    <x v="1231"/>
    <x v="48"/>
    <x v="48"/>
    <x v="1"/>
  </r>
  <r>
    <x v="0"/>
    <x v="1"/>
    <x v="642"/>
    <x v="0"/>
    <x v="34"/>
    <x v="14"/>
    <x v="2"/>
    <x v="29"/>
    <x v="183"/>
    <x v="1790"/>
    <x v="38"/>
    <x v="38"/>
    <x v="1"/>
  </r>
  <r>
    <x v="0"/>
    <x v="1"/>
    <x v="642"/>
    <x v="0"/>
    <x v="34"/>
    <x v="14"/>
    <x v="1"/>
    <x v="22"/>
    <x v="118"/>
    <x v="957"/>
    <x v="33"/>
    <x v="33"/>
    <x v="1"/>
  </r>
  <r>
    <x v="0"/>
    <x v="1"/>
    <x v="642"/>
    <x v="0"/>
    <x v="34"/>
    <x v="14"/>
    <x v="5"/>
    <x v="20"/>
    <x v="88"/>
    <x v="634"/>
    <x v="39"/>
    <x v="39"/>
    <x v="1"/>
  </r>
  <r>
    <x v="0"/>
    <x v="1"/>
    <x v="642"/>
    <x v="0"/>
    <x v="34"/>
    <x v="14"/>
    <x v="4"/>
    <x v="22"/>
    <x v="93"/>
    <x v="750"/>
    <x v="37"/>
    <x v="37"/>
    <x v="1"/>
  </r>
  <r>
    <x v="0"/>
    <x v="1"/>
    <x v="642"/>
    <x v="0"/>
    <x v="34"/>
    <x v="14"/>
    <x v="0"/>
    <x v="30"/>
    <x v="97"/>
    <x v="1026"/>
    <x v="32"/>
    <x v="32"/>
    <x v="1"/>
  </r>
  <r>
    <x v="0"/>
    <x v="1"/>
    <x v="642"/>
    <x v="0"/>
    <x v="34"/>
    <x v="14"/>
    <x v="3"/>
    <x v="31"/>
    <x v="127"/>
    <x v="1345"/>
    <x v="49"/>
    <x v="49"/>
    <x v="1"/>
  </r>
  <r>
    <x v="0"/>
    <x v="1"/>
    <x v="672"/>
    <x v="0"/>
    <x v="34"/>
    <x v="14"/>
    <x v="2"/>
    <x v="27"/>
    <x v="147"/>
    <x v="1382"/>
    <x v="38"/>
    <x v="38"/>
    <x v="1"/>
  </r>
  <r>
    <x v="0"/>
    <x v="1"/>
    <x v="672"/>
    <x v="0"/>
    <x v="34"/>
    <x v="14"/>
    <x v="1"/>
    <x v="17"/>
    <x v="120"/>
    <x v="780"/>
    <x v="31"/>
    <x v="31"/>
    <x v="1"/>
  </r>
  <r>
    <x v="0"/>
    <x v="1"/>
    <x v="672"/>
    <x v="0"/>
    <x v="34"/>
    <x v="14"/>
    <x v="5"/>
    <x v="25"/>
    <x v="97"/>
    <x v="878"/>
    <x v="36"/>
    <x v="36"/>
    <x v="1"/>
  </r>
  <r>
    <x v="0"/>
    <x v="1"/>
    <x v="672"/>
    <x v="0"/>
    <x v="34"/>
    <x v="14"/>
    <x v="4"/>
    <x v="52"/>
    <x v="115"/>
    <x v="1876"/>
    <x v="36"/>
    <x v="36"/>
    <x v="1"/>
  </r>
  <r>
    <x v="0"/>
    <x v="1"/>
    <x v="672"/>
    <x v="0"/>
    <x v="34"/>
    <x v="14"/>
    <x v="0"/>
    <x v="69"/>
    <x v="118"/>
    <x v="2280"/>
    <x v="35"/>
    <x v="35"/>
    <x v="1"/>
  </r>
  <r>
    <x v="0"/>
    <x v="1"/>
    <x v="672"/>
    <x v="0"/>
    <x v="34"/>
    <x v="14"/>
    <x v="3"/>
    <x v="67"/>
    <x v="145"/>
    <x v="2504"/>
    <x v="50"/>
    <x v="50"/>
    <x v="1"/>
  </r>
  <r>
    <x v="0"/>
    <x v="1"/>
    <x v="701"/>
    <x v="0"/>
    <x v="34"/>
    <x v="14"/>
    <x v="2"/>
    <x v="63"/>
    <x v="197"/>
    <x v="2741"/>
    <x v="36"/>
    <x v="36"/>
    <x v="1"/>
  </r>
  <r>
    <x v="0"/>
    <x v="1"/>
    <x v="701"/>
    <x v="0"/>
    <x v="34"/>
    <x v="14"/>
    <x v="1"/>
    <x v="53"/>
    <x v="158"/>
    <x v="2329"/>
    <x v="33"/>
    <x v="33"/>
    <x v="1"/>
  </r>
  <r>
    <x v="5"/>
    <x v="1"/>
    <x v="701"/>
    <x v="0"/>
    <x v="34"/>
    <x v="14"/>
    <x v="5"/>
    <x v="52"/>
    <x v="139"/>
    <x v="2136"/>
    <x v="38"/>
    <x v="38"/>
    <x v="1"/>
  </r>
  <r>
    <x v="5"/>
    <x v="1"/>
    <x v="701"/>
    <x v="0"/>
    <x v="34"/>
    <x v="14"/>
    <x v="4"/>
    <x v="56"/>
    <x v="127"/>
    <x v="2098"/>
    <x v="36"/>
    <x v="36"/>
    <x v="1"/>
  </r>
  <r>
    <x v="5"/>
    <x v="1"/>
    <x v="701"/>
    <x v="0"/>
    <x v="34"/>
    <x v="14"/>
    <x v="0"/>
    <x v="61"/>
    <x v="122"/>
    <x v="2164"/>
    <x v="35"/>
    <x v="35"/>
    <x v="1"/>
  </r>
  <r>
    <x v="5"/>
    <x v="1"/>
    <x v="701"/>
    <x v="0"/>
    <x v="34"/>
    <x v="14"/>
    <x v="3"/>
    <x v="67"/>
    <x v="135"/>
    <x v="2414"/>
    <x v="46"/>
    <x v="46"/>
    <x v="1"/>
  </r>
  <r>
    <x v="0"/>
    <x v="1"/>
    <x v="380"/>
    <x v="0"/>
    <x v="34"/>
    <x v="14"/>
    <x v="2"/>
    <x v="30"/>
    <x v="115"/>
    <x v="1206"/>
    <x v="40"/>
    <x v="40"/>
    <x v="1"/>
  </r>
  <r>
    <x v="0"/>
    <x v="1"/>
    <x v="380"/>
    <x v="0"/>
    <x v="34"/>
    <x v="14"/>
    <x v="1"/>
    <x v="31"/>
    <x v="64"/>
    <x v="661"/>
    <x v="33"/>
    <x v="33"/>
    <x v="1"/>
  </r>
  <r>
    <x v="0"/>
    <x v="1"/>
    <x v="380"/>
    <x v="0"/>
    <x v="34"/>
    <x v="14"/>
    <x v="5"/>
    <x v="21"/>
    <x v="62"/>
    <x v="421"/>
    <x v="38"/>
    <x v="38"/>
    <x v="1"/>
  </r>
  <r>
    <x v="0"/>
    <x v="1"/>
    <x v="380"/>
    <x v="0"/>
    <x v="34"/>
    <x v="14"/>
    <x v="4"/>
    <x v="27"/>
    <x v="31"/>
    <x v="227"/>
    <x v="36"/>
    <x v="36"/>
    <x v="1"/>
  </r>
  <r>
    <x v="0"/>
    <x v="1"/>
    <x v="380"/>
    <x v="0"/>
    <x v="34"/>
    <x v="14"/>
    <x v="0"/>
    <x v="39"/>
    <x v="41"/>
    <x v="496"/>
    <x v="33"/>
    <x v="33"/>
    <x v="1"/>
  </r>
  <r>
    <x v="0"/>
    <x v="1"/>
    <x v="380"/>
    <x v="0"/>
    <x v="34"/>
    <x v="14"/>
    <x v="3"/>
    <x v="30"/>
    <x v="67"/>
    <x v="671"/>
    <x v="40"/>
    <x v="40"/>
    <x v="1"/>
  </r>
  <r>
    <x v="0"/>
    <x v="1"/>
    <x v="411"/>
    <x v="0"/>
    <x v="34"/>
    <x v="14"/>
    <x v="2"/>
    <x v="31"/>
    <x v="118"/>
    <x v="1264"/>
    <x v="39"/>
    <x v="39"/>
    <x v="1"/>
  </r>
  <r>
    <x v="0"/>
    <x v="1"/>
    <x v="411"/>
    <x v="0"/>
    <x v="34"/>
    <x v="14"/>
    <x v="1"/>
    <x v="31"/>
    <x v="47"/>
    <x v="449"/>
    <x v="32"/>
    <x v="32"/>
    <x v="1"/>
  </r>
  <r>
    <x v="0"/>
    <x v="1"/>
    <x v="411"/>
    <x v="0"/>
    <x v="34"/>
    <x v="14"/>
    <x v="5"/>
    <x v="22"/>
    <x v="52"/>
    <x v="337"/>
    <x v="39"/>
    <x v="39"/>
    <x v="1"/>
  </r>
  <r>
    <x v="0"/>
    <x v="1"/>
    <x v="411"/>
    <x v="3"/>
    <x v="16"/>
    <x v="29"/>
    <x v="4"/>
    <x v="27"/>
    <x v="24"/>
    <x v="153"/>
    <x v="40"/>
    <x v="40"/>
    <x v="1"/>
  </r>
  <r>
    <x v="0"/>
    <x v="1"/>
    <x v="411"/>
    <x v="3"/>
    <x v="16"/>
    <x v="29"/>
    <x v="0"/>
    <x v="41"/>
    <x v="43"/>
    <x v="554"/>
    <x v="33"/>
    <x v="33"/>
    <x v="1"/>
  </r>
  <r>
    <x v="0"/>
    <x v="1"/>
    <x v="411"/>
    <x v="3"/>
    <x v="16"/>
    <x v="29"/>
    <x v="3"/>
    <x v="32"/>
    <x v="64"/>
    <x v="688"/>
    <x v="37"/>
    <x v="37"/>
    <x v="1"/>
  </r>
  <r>
    <x v="0"/>
    <x v="1"/>
    <x v="438"/>
    <x v="3"/>
    <x v="16"/>
    <x v="29"/>
    <x v="2"/>
    <x v="34"/>
    <x v="135"/>
    <x v="1540"/>
    <x v="37"/>
    <x v="37"/>
    <x v="1"/>
  </r>
  <r>
    <x v="0"/>
    <x v="1"/>
    <x v="438"/>
    <x v="3"/>
    <x v="16"/>
    <x v="29"/>
    <x v="1"/>
    <x v="34"/>
    <x v="48"/>
    <x v="506"/>
    <x v="35"/>
    <x v="35"/>
    <x v="1"/>
  </r>
  <r>
    <x v="0"/>
    <x v="1"/>
    <x v="438"/>
    <x v="3"/>
    <x v="16"/>
    <x v="29"/>
    <x v="5"/>
    <x v="27"/>
    <x v="60"/>
    <x v="525"/>
    <x v="36"/>
    <x v="36"/>
    <x v="1"/>
  </r>
  <r>
    <x v="0"/>
    <x v="1"/>
    <x v="438"/>
    <x v="3"/>
    <x v="16"/>
    <x v="29"/>
    <x v="4"/>
    <x v="29"/>
    <x v="17"/>
    <x v="110"/>
    <x v="38"/>
    <x v="38"/>
    <x v="1"/>
  </r>
  <r>
    <x v="0"/>
    <x v="1"/>
    <x v="438"/>
    <x v="3"/>
    <x v="16"/>
    <x v="29"/>
    <x v="0"/>
    <x v="45"/>
    <x v="33"/>
    <x v="471"/>
    <x v="32"/>
    <x v="32"/>
    <x v="1"/>
  </r>
  <r>
    <x v="0"/>
    <x v="1"/>
    <x v="438"/>
    <x v="3"/>
    <x v="16"/>
    <x v="29"/>
    <x v="3"/>
    <x v="35"/>
    <x v="54"/>
    <x v="600"/>
    <x v="37"/>
    <x v="37"/>
    <x v="1"/>
  </r>
  <r>
    <x v="0"/>
    <x v="1"/>
    <x v="470"/>
    <x v="3"/>
    <x v="16"/>
    <x v="29"/>
    <x v="2"/>
    <x v="34"/>
    <x v="100"/>
    <x v="1177"/>
    <x v="41"/>
    <x v="41"/>
    <x v="1"/>
  </r>
  <r>
    <x v="0"/>
    <x v="1"/>
    <x v="470"/>
    <x v="3"/>
    <x v="16"/>
    <x v="29"/>
    <x v="1"/>
    <x v="34"/>
    <x v="38"/>
    <x v="392"/>
    <x v="34"/>
    <x v="34"/>
    <x v="1"/>
  </r>
  <r>
    <x v="0"/>
    <x v="1"/>
    <x v="470"/>
    <x v="3"/>
    <x v="16"/>
    <x v="29"/>
    <x v="5"/>
    <x v="31"/>
    <x v="38"/>
    <x v="348"/>
    <x v="41"/>
    <x v="41"/>
    <x v="1"/>
  </r>
  <r>
    <x v="0"/>
    <x v="1"/>
    <x v="470"/>
    <x v="3"/>
    <x v="16"/>
    <x v="29"/>
    <x v="4"/>
    <x v="35"/>
    <x v="19"/>
    <x v="167"/>
    <x v="36"/>
    <x v="36"/>
    <x v="1"/>
  </r>
  <r>
    <x v="0"/>
    <x v="1"/>
    <x v="470"/>
    <x v="3"/>
    <x v="16"/>
    <x v="29"/>
    <x v="0"/>
    <x v="40"/>
    <x v="25"/>
    <x v="287"/>
    <x v="35"/>
    <x v="35"/>
    <x v="1"/>
  </r>
  <r>
    <x v="0"/>
    <x v="1"/>
    <x v="470"/>
    <x v="3"/>
    <x v="16"/>
    <x v="29"/>
    <x v="3"/>
    <x v="29"/>
    <x v="62"/>
    <x v="589"/>
    <x v="36"/>
    <x v="36"/>
    <x v="1"/>
  </r>
  <r>
    <x v="0"/>
    <x v="1"/>
    <x v="501"/>
    <x v="3"/>
    <x v="16"/>
    <x v="29"/>
    <x v="2"/>
    <x v="42"/>
    <x v="135"/>
    <x v="1806"/>
    <x v="37"/>
    <x v="37"/>
    <x v="1"/>
  </r>
  <r>
    <x v="0"/>
    <x v="1"/>
    <x v="501"/>
    <x v="3"/>
    <x v="16"/>
    <x v="29"/>
    <x v="1"/>
    <x v="35"/>
    <x v="56"/>
    <x v="632"/>
    <x v="36"/>
    <x v="36"/>
    <x v="1"/>
  </r>
  <r>
    <x v="0"/>
    <x v="1"/>
    <x v="501"/>
    <x v="3"/>
    <x v="16"/>
    <x v="29"/>
    <x v="5"/>
    <x v="31"/>
    <x v="47"/>
    <x v="449"/>
    <x v="38"/>
    <x v="38"/>
    <x v="1"/>
  </r>
  <r>
    <x v="0"/>
    <x v="1"/>
    <x v="501"/>
    <x v="3"/>
    <x v="16"/>
    <x v="29"/>
    <x v="4"/>
    <x v="31"/>
    <x v="27"/>
    <x v="232"/>
    <x v="40"/>
    <x v="40"/>
    <x v="1"/>
  </r>
  <r>
    <x v="0"/>
    <x v="1"/>
    <x v="501"/>
    <x v="3"/>
    <x v="16"/>
    <x v="29"/>
    <x v="0"/>
    <x v="39"/>
    <x v="31"/>
    <x v="369"/>
    <x v="32"/>
    <x v="32"/>
    <x v="1"/>
  </r>
  <r>
    <x v="0"/>
    <x v="1"/>
    <x v="501"/>
    <x v="3"/>
    <x v="16"/>
    <x v="29"/>
    <x v="3"/>
    <x v="44"/>
    <x v="68"/>
    <x v="1013"/>
    <x v="37"/>
    <x v="37"/>
    <x v="1"/>
  </r>
  <r>
    <x v="0"/>
    <x v="1"/>
    <x v="531"/>
    <x v="3"/>
    <x v="16"/>
    <x v="29"/>
    <x v="2"/>
    <x v="29"/>
    <x v="122"/>
    <x v="1233"/>
    <x v="36"/>
    <x v="36"/>
    <x v="1"/>
  </r>
  <r>
    <x v="0"/>
    <x v="1"/>
    <x v="531"/>
    <x v="3"/>
    <x v="16"/>
    <x v="29"/>
    <x v="1"/>
    <x v="26"/>
    <x v="63"/>
    <x v="540"/>
    <x v="35"/>
    <x v="35"/>
    <x v="1"/>
  </r>
  <r>
    <x v="0"/>
    <x v="1"/>
    <x v="531"/>
    <x v="3"/>
    <x v="16"/>
    <x v="29"/>
    <x v="5"/>
    <x v="21"/>
    <x v="45"/>
    <x v="269"/>
    <x v="41"/>
    <x v="41"/>
    <x v="1"/>
  </r>
  <r>
    <x v="0"/>
    <x v="1"/>
    <x v="531"/>
    <x v="3"/>
    <x v="16"/>
    <x v="29"/>
    <x v="4"/>
    <x v="22"/>
    <x v="41"/>
    <x v="253"/>
    <x v="41"/>
    <x v="41"/>
    <x v="1"/>
  </r>
  <r>
    <x v="0"/>
    <x v="1"/>
    <x v="531"/>
    <x v="3"/>
    <x v="16"/>
    <x v="29"/>
    <x v="0"/>
    <x v="42"/>
    <x v="43"/>
    <x v="571"/>
    <x v="35"/>
    <x v="35"/>
    <x v="1"/>
  </r>
  <r>
    <x v="0"/>
    <x v="1"/>
    <x v="531"/>
    <x v="3"/>
    <x v="16"/>
    <x v="29"/>
    <x v="3"/>
    <x v="45"/>
    <x v="83"/>
    <x v="1268"/>
    <x v="38"/>
    <x v="38"/>
    <x v="1"/>
  </r>
  <r>
    <x v="0"/>
    <x v="1"/>
    <x v="560"/>
    <x v="3"/>
    <x v="16"/>
    <x v="29"/>
    <x v="2"/>
    <x v="40"/>
    <x v="146"/>
    <x v="1861"/>
    <x v="41"/>
    <x v="41"/>
    <x v="1"/>
  </r>
  <r>
    <x v="0"/>
    <x v="1"/>
    <x v="560"/>
    <x v="3"/>
    <x v="16"/>
    <x v="29"/>
    <x v="1"/>
    <x v="37"/>
    <x v="78"/>
    <x v="999"/>
    <x v="35"/>
    <x v="35"/>
    <x v="1"/>
  </r>
  <r>
    <x v="0"/>
    <x v="1"/>
    <x v="560"/>
    <x v="3"/>
    <x v="16"/>
    <x v="29"/>
    <x v="5"/>
    <x v="31"/>
    <x v="57"/>
    <x v="562"/>
    <x v="38"/>
    <x v="38"/>
    <x v="1"/>
  </r>
  <r>
    <x v="0"/>
    <x v="1"/>
    <x v="560"/>
    <x v="3"/>
    <x v="16"/>
    <x v="29"/>
    <x v="4"/>
    <x v="30"/>
    <x v="52"/>
    <x v="481"/>
    <x v="40"/>
    <x v="40"/>
    <x v="1"/>
  </r>
  <r>
    <x v="0"/>
    <x v="1"/>
    <x v="560"/>
    <x v="3"/>
    <x v="16"/>
    <x v="29"/>
    <x v="0"/>
    <x v="39"/>
    <x v="62"/>
    <x v="803"/>
    <x v="32"/>
    <x v="32"/>
    <x v="1"/>
  </r>
  <r>
    <x v="0"/>
    <x v="1"/>
    <x v="560"/>
    <x v="3"/>
    <x v="16"/>
    <x v="29"/>
    <x v="3"/>
    <x v="43"/>
    <x v="96"/>
    <x v="1383"/>
    <x v="40"/>
    <x v="40"/>
    <x v="1"/>
  </r>
  <r>
    <x v="0"/>
    <x v="1"/>
    <x v="592"/>
    <x v="3"/>
    <x v="16"/>
    <x v="29"/>
    <x v="2"/>
    <x v="39"/>
    <x v="145"/>
    <x v="1816"/>
    <x v="40"/>
    <x v="40"/>
    <x v="1"/>
  </r>
  <r>
    <x v="0"/>
    <x v="1"/>
    <x v="592"/>
    <x v="3"/>
    <x v="16"/>
    <x v="29"/>
    <x v="1"/>
    <x v="34"/>
    <x v="75"/>
    <x v="884"/>
    <x v="33"/>
    <x v="33"/>
    <x v="1"/>
  </r>
  <r>
    <x v="0"/>
    <x v="1"/>
    <x v="592"/>
    <x v="3"/>
    <x v="16"/>
    <x v="29"/>
    <x v="5"/>
    <x v="29"/>
    <x v="66"/>
    <x v="636"/>
    <x v="40"/>
    <x v="40"/>
    <x v="1"/>
  </r>
  <r>
    <x v="0"/>
    <x v="1"/>
    <x v="592"/>
    <x v="3"/>
    <x v="16"/>
    <x v="29"/>
    <x v="4"/>
    <x v="31"/>
    <x v="62"/>
    <x v="631"/>
    <x v="36"/>
    <x v="36"/>
    <x v="1"/>
  </r>
  <r>
    <x v="0"/>
    <x v="1"/>
    <x v="592"/>
    <x v="3"/>
    <x v="16"/>
    <x v="29"/>
    <x v="0"/>
    <x v="42"/>
    <x v="54"/>
    <x v="730"/>
    <x v="35"/>
    <x v="35"/>
    <x v="1"/>
  </r>
  <r>
    <x v="0"/>
    <x v="1"/>
    <x v="592"/>
    <x v="3"/>
    <x v="16"/>
    <x v="29"/>
    <x v="3"/>
    <x v="44"/>
    <x v="101"/>
    <x v="1469"/>
    <x v="40"/>
    <x v="40"/>
    <x v="1"/>
  </r>
  <r>
    <x v="0"/>
    <x v="1"/>
    <x v="624"/>
    <x v="3"/>
    <x v="16"/>
    <x v="29"/>
    <x v="2"/>
    <x v="41"/>
    <x v="117"/>
    <x v="1583"/>
    <x v="39"/>
    <x v="39"/>
    <x v="1"/>
  </r>
  <r>
    <x v="0"/>
    <x v="1"/>
    <x v="624"/>
    <x v="3"/>
    <x v="16"/>
    <x v="29"/>
    <x v="1"/>
    <x v="37"/>
    <x v="77"/>
    <x v="987"/>
    <x v="35"/>
    <x v="35"/>
    <x v="1"/>
  </r>
  <r>
    <x v="0"/>
    <x v="1"/>
    <x v="624"/>
    <x v="3"/>
    <x v="16"/>
    <x v="29"/>
    <x v="5"/>
    <x v="26"/>
    <x v="54"/>
    <x v="432"/>
    <x v="39"/>
    <x v="39"/>
    <x v="1"/>
  </r>
  <r>
    <x v="0"/>
    <x v="1"/>
    <x v="624"/>
    <x v="3"/>
    <x v="16"/>
    <x v="29"/>
    <x v="4"/>
    <x v="25"/>
    <x v="43"/>
    <x v="311"/>
    <x v="37"/>
    <x v="37"/>
    <x v="1"/>
  </r>
  <r>
    <x v="0"/>
    <x v="1"/>
    <x v="624"/>
    <x v="3"/>
    <x v="16"/>
    <x v="29"/>
    <x v="0"/>
    <x v="36"/>
    <x v="47"/>
    <x v="528"/>
    <x v="33"/>
    <x v="33"/>
    <x v="1"/>
  </r>
  <r>
    <x v="0"/>
    <x v="1"/>
    <x v="624"/>
    <x v="3"/>
    <x v="16"/>
    <x v="29"/>
    <x v="3"/>
    <x v="42"/>
    <x v="61"/>
    <x v="854"/>
    <x v="38"/>
    <x v="38"/>
    <x v="1"/>
  </r>
  <r>
    <x v="0"/>
    <x v="1"/>
    <x v="653"/>
    <x v="3"/>
    <x v="16"/>
    <x v="29"/>
    <x v="2"/>
    <x v="46"/>
    <x v="106"/>
    <x v="1606"/>
    <x v="41"/>
    <x v="41"/>
    <x v="1"/>
  </r>
  <r>
    <x v="0"/>
    <x v="1"/>
    <x v="653"/>
    <x v="3"/>
    <x v="16"/>
    <x v="29"/>
    <x v="1"/>
    <x v="34"/>
    <x v="68"/>
    <x v="792"/>
    <x v="36"/>
    <x v="36"/>
    <x v="1"/>
  </r>
  <r>
    <x v="0"/>
    <x v="1"/>
    <x v="653"/>
    <x v="3"/>
    <x v="16"/>
    <x v="29"/>
    <x v="5"/>
    <x v="36"/>
    <x v="36"/>
    <x v="395"/>
    <x v="40"/>
    <x v="40"/>
    <x v="1"/>
  </r>
  <r>
    <x v="0"/>
    <x v="1"/>
    <x v="653"/>
    <x v="3"/>
    <x v="16"/>
    <x v="29"/>
    <x v="4"/>
    <x v="34"/>
    <x v="31"/>
    <x v="309"/>
    <x v="38"/>
    <x v="38"/>
    <x v="1"/>
  </r>
  <r>
    <x v="0"/>
    <x v="1"/>
    <x v="653"/>
    <x v="3"/>
    <x v="16"/>
    <x v="29"/>
    <x v="0"/>
    <x v="46"/>
    <x v="30"/>
    <x v="439"/>
    <x v="35"/>
    <x v="35"/>
    <x v="1"/>
  </r>
  <r>
    <x v="0"/>
    <x v="1"/>
    <x v="653"/>
    <x v="3"/>
    <x v="16"/>
    <x v="29"/>
    <x v="3"/>
    <x v="46"/>
    <x v="68"/>
    <x v="1055"/>
    <x v="36"/>
    <x v="36"/>
    <x v="1"/>
  </r>
  <r>
    <x v="0"/>
    <x v="1"/>
    <x v="684"/>
    <x v="3"/>
    <x v="16"/>
    <x v="29"/>
    <x v="2"/>
    <x v="41"/>
    <x v="103"/>
    <x v="1419"/>
    <x v="38"/>
    <x v="38"/>
    <x v="1"/>
  </r>
  <r>
    <x v="0"/>
    <x v="1"/>
    <x v="684"/>
    <x v="3"/>
    <x v="16"/>
    <x v="29"/>
    <x v="1"/>
    <x v="32"/>
    <x v="59"/>
    <x v="619"/>
    <x v="33"/>
    <x v="33"/>
    <x v="1"/>
  </r>
  <r>
    <x v="0"/>
    <x v="1"/>
    <x v="684"/>
    <x v="3"/>
    <x v="16"/>
    <x v="29"/>
    <x v="5"/>
    <x v="34"/>
    <x v="46"/>
    <x v="483"/>
    <x v="37"/>
    <x v="37"/>
    <x v="1"/>
  </r>
  <r>
    <x v="1"/>
    <x v="1"/>
    <x v="684"/>
    <x v="3"/>
    <x v="16"/>
    <x v="29"/>
    <x v="4"/>
    <x v="45"/>
    <x v="41"/>
    <x v="591"/>
    <x v="36"/>
    <x v="36"/>
    <x v="1"/>
  </r>
  <r>
    <x v="1"/>
    <x v="1"/>
    <x v="684"/>
    <x v="3"/>
    <x v="16"/>
    <x v="29"/>
    <x v="0"/>
    <x v="52"/>
    <x v="42"/>
    <x v="713"/>
    <x v="34"/>
    <x v="34"/>
    <x v="1"/>
  </r>
  <r>
    <x v="1"/>
    <x v="1"/>
    <x v="684"/>
    <x v="3"/>
    <x v="16"/>
    <x v="29"/>
    <x v="3"/>
    <x v="59"/>
    <x v="66"/>
    <x v="1272"/>
    <x v="40"/>
    <x v="40"/>
    <x v="1"/>
  </r>
  <r>
    <x v="1"/>
    <x v="1"/>
    <x v="713"/>
    <x v="3"/>
    <x v="16"/>
    <x v="29"/>
    <x v="2"/>
    <x v="52"/>
    <x v="137"/>
    <x v="2105"/>
    <x v="41"/>
    <x v="41"/>
    <x v="1"/>
  </r>
  <r>
    <x v="1"/>
    <x v="1"/>
    <x v="713"/>
    <x v="3"/>
    <x v="16"/>
    <x v="29"/>
    <x v="1"/>
    <x v="45"/>
    <x v="80"/>
    <x v="1227"/>
    <x v="34"/>
    <x v="34"/>
    <x v="1"/>
  </r>
  <r>
    <x v="1"/>
    <x v="1"/>
    <x v="713"/>
    <x v="3"/>
    <x v="16"/>
    <x v="29"/>
    <x v="5"/>
    <x v="44"/>
    <x v="61"/>
    <x v="892"/>
    <x v="41"/>
    <x v="41"/>
    <x v="1"/>
  </r>
  <r>
    <x v="1"/>
    <x v="1"/>
    <x v="713"/>
    <x v="3"/>
    <x v="16"/>
    <x v="29"/>
    <x v="4"/>
    <x v="42"/>
    <x v="56"/>
    <x v="774"/>
    <x v="39"/>
    <x v="39"/>
    <x v="1"/>
  </r>
  <r>
    <x v="1"/>
    <x v="1"/>
    <x v="713"/>
    <x v="3"/>
    <x v="16"/>
    <x v="29"/>
    <x v="0"/>
    <x v="47"/>
    <x v="56"/>
    <x v="870"/>
    <x v="33"/>
    <x v="33"/>
    <x v="1"/>
  </r>
  <r>
    <x v="1"/>
    <x v="1"/>
    <x v="713"/>
    <x v="3"/>
    <x v="16"/>
    <x v="29"/>
    <x v="3"/>
    <x v="57"/>
    <x v="80"/>
    <x v="1509"/>
    <x v="39"/>
    <x v="39"/>
    <x v="1"/>
  </r>
  <r>
    <x v="1"/>
    <x v="1"/>
    <x v="378"/>
    <x v="3"/>
    <x v="16"/>
    <x v="29"/>
    <x v="2"/>
    <x v="22"/>
    <x v="165"/>
    <x v="1318"/>
    <x v="40"/>
    <x v="40"/>
    <x v="1"/>
  </r>
  <r>
    <x v="1"/>
    <x v="1"/>
    <x v="378"/>
    <x v="3"/>
    <x v="16"/>
    <x v="29"/>
    <x v="1"/>
    <x v="22"/>
    <x v="122"/>
    <x v="981"/>
    <x v="31"/>
    <x v="31"/>
    <x v="1"/>
  </r>
  <r>
    <x v="1"/>
    <x v="1"/>
    <x v="378"/>
    <x v="3"/>
    <x v="16"/>
    <x v="29"/>
    <x v="5"/>
    <x v="11"/>
    <x v="137"/>
    <x v="630"/>
    <x v="41"/>
    <x v="41"/>
    <x v="1"/>
  </r>
  <r>
    <x v="1"/>
    <x v="1"/>
    <x v="378"/>
    <x v="3"/>
    <x v="16"/>
    <x v="29"/>
    <x v="4"/>
    <x v="16"/>
    <x v="83"/>
    <x v="479"/>
    <x v="39"/>
    <x v="39"/>
    <x v="1"/>
  </r>
  <r>
    <x v="1"/>
    <x v="1"/>
    <x v="378"/>
    <x v="3"/>
    <x v="16"/>
    <x v="29"/>
    <x v="0"/>
    <x v="31"/>
    <x v="96"/>
    <x v="1049"/>
    <x v="34"/>
    <x v="34"/>
    <x v="1"/>
  </r>
  <r>
    <x v="1"/>
    <x v="1"/>
    <x v="378"/>
    <x v="3"/>
    <x v="16"/>
    <x v="29"/>
    <x v="3"/>
    <x v="22"/>
    <x v="137"/>
    <x v="1107"/>
    <x v="48"/>
    <x v="48"/>
    <x v="1"/>
  </r>
  <r>
    <x v="1"/>
    <x v="1"/>
    <x v="407"/>
    <x v="3"/>
    <x v="16"/>
    <x v="29"/>
    <x v="2"/>
    <x v="21"/>
    <x v="194"/>
    <x v="1516"/>
    <x v="38"/>
    <x v="38"/>
    <x v="1"/>
  </r>
  <r>
    <x v="1"/>
    <x v="1"/>
    <x v="407"/>
    <x v="3"/>
    <x v="16"/>
    <x v="29"/>
    <x v="1"/>
    <x v="20"/>
    <x v="88"/>
    <x v="634"/>
    <x v="34"/>
    <x v="34"/>
    <x v="1"/>
  </r>
  <r>
    <x v="1"/>
    <x v="1"/>
    <x v="407"/>
    <x v="3"/>
    <x v="16"/>
    <x v="29"/>
    <x v="5"/>
    <x v="11"/>
    <x v="104"/>
    <x v="457"/>
    <x v="41"/>
    <x v="41"/>
    <x v="1"/>
  </r>
  <r>
    <x v="1"/>
    <x v="1"/>
    <x v="407"/>
    <x v="2"/>
    <x v="23"/>
    <x v="24"/>
    <x v="4"/>
    <x v="18"/>
    <x v="75"/>
    <x v="467"/>
    <x v="36"/>
    <x v="36"/>
    <x v="1"/>
  </r>
  <r>
    <x v="1"/>
    <x v="1"/>
    <x v="407"/>
    <x v="2"/>
    <x v="23"/>
    <x v="24"/>
    <x v="0"/>
    <x v="32"/>
    <x v="90"/>
    <x v="1007"/>
    <x v="32"/>
    <x v="32"/>
    <x v="1"/>
  </r>
  <r>
    <x v="1"/>
    <x v="1"/>
    <x v="407"/>
    <x v="2"/>
    <x v="23"/>
    <x v="24"/>
    <x v="3"/>
    <x v="17"/>
    <x v="105"/>
    <x v="672"/>
    <x v="46"/>
    <x v="46"/>
    <x v="1"/>
  </r>
  <r>
    <x v="1"/>
    <x v="1"/>
    <x v="433"/>
    <x v="2"/>
    <x v="23"/>
    <x v="24"/>
    <x v="2"/>
    <x v="16"/>
    <x v="163"/>
    <x v="1029"/>
    <x v="41"/>
    <x v="41"/>
    <x v="1"/>
  </r>
  <r>
    <x v="1"/>
    <x v="1"/>
    <x v="433"/>
    <x v="2"/>
    <x v="23"/>
    <x v="24"/>
    <x v="1"/>
    <x v="17"/>
    <x v="82"/>
    <x v="499"/>
    <x v="33"/>
    <x v="33"/>
    <x v="1"/>
  </r>
  <r>
    <x v="1"/>
    <x v="1"/>
    <x v="433"/>
    <x v="2"/>
    <x v="23"/>
    <x v="24"/>
    <x v="5"/>
    <x v="7"/>
    <x v="108"/>
    <x v="328"/>
    <x v="39"/>
    <x v="39"/>
    <x v="1"/>
  </r>
  <r>
    <x v="1"/>
    <x v="1"/>
    <x v="433"/>
    <x v="2"/>
    <x v="23"/>
    <x v="24"/>
    <x v="4"/>
    <x v="12"/>
    <x v="66"/>
    <x v="256"/>
    <x v="38"/>
    <x v="38"/>
    <x v="1"/>
  </r>
  <r>
    <x v="1"/>
    <x v="1"/>
    <x v="433"/>
    <x v="2"/>
    <x v="23"/>
    <x v="24"/>
    <x v="0"/>
    <x v="25"/>
    <x v="67"/>
    <x v="554"/>
    <x v="32"/>
    <x v="32"/>
    <x v="1"/>
  </r>
  <r>
    <x v="1"/>
    <x v="1"/>
    <x v="433"/>
    <x v="2"/>
    <x v="23"/>
    <x v="24"/>
    <x v="3"/>
    <x v="17"/>
    <x v="103"/>
    <x v="657"/>
    <x v="48"/>
    <x v="48"/>
    <x v="1"/>
  </r>
  <r>
    <x v="1"/>
    <x v="1"/>
    <x v="465"/>
    <x v="2"/>
    <x v="23"/>
    <x v="24"/>
    <x v="2"/>
    <x v="16"/>
    <x v="147"/>
    <x v="924"/>
    <x v="40"/>
    <x v="40"/>
    <x v="1"/>
  </r>
  <r>
    <x v="1"/>
    <x v="1"/>
    <x v="465"/>
    <x v="2"/>
    <x v="23"/>
    <x v="24"/>
    <x v="1"/>
    <x v="16"/>
    <x v="91"/>
    <x v="532"/>
    <x v="36"/>
    <x v="36"/>
    <x v="1"/>
  </r>
  <r>
    <x v="1"/>
    <x v="1"/>
    <x v="465"/>
    <x v="2"/>
    <x v="23"/>
    <x v="24"/>
    <x v="5"/>
    <x v="7"/>
    <x v="83"/>
    <x v="220"/>
    <x v="41"/>
    <x v="41"/>
    <x v="1"/>
  </r>
  <r>
    <x v="1"/>
    <x v="1"/>
    <x v="465"/>
    <x v="2"/>
    <x v="23"/>
    <x v="24"/>
    <x v="4"/>
    <x v="12"/>
    <x v="62"/>
    <x v="225"/>
    <x v="38"/>
    <x v="38"/>
    <x v="1"/>
  </r>
  <r>
    <x v="1"/>
    <x v="1"/>
    <x v="465"/>
    <x v="2"/>
    <x v="23"/>
    <x v="24"/>
    <x v="0"/>
    <x v="31"/>
    <x v="67"/>
    <x v="700"/>
    <x v="34"/>
    <x v="34"/>
    <x v="1"/>
  </r>
  <r>
    <x v="1"/>
    <x v="1"/>
    <x v="465"/>
    <x v="2"/>
    <x v="23"/>
    <x v="24"/>
    <x v="3"/>
    <x v="21"/>
    <x v="104"/>
    <x v="810"/>
    <x v="47"/>
    <x v="47"/>
    <x v="1"/>
  </r>
  <r>
    <x v="1"/>
    <x v="1"/>
    <x v="494"/>
    <x v="2"/>
    <x v="23"/>
    <x v="24"/>
    <x v="2"/>
    <x v="32"/>
    <x v="170"/>
    <x v="1791"/>
    <x v="41"/>
    <x v="41"/>
    <x v="1"/>
  </r>
  <r>
    <x v="1"/>
    <x v="1"/>
    <x v="494"/>
    <x v="2"/>
    <x v="23"/>
    <x v="24"/>
    <x v="1"/>
    <x v="30"/>
    <x v="111"/>
    <x v="1167"/>
    <x v="31"/>
    <x v="31"/>
    <x v="1"/>
  </r>
  <r>
    <x v="1"/>
    <x v="1"/>
    <x v="494"/>
    <x v="2"/>
    <x v="23"/>
    <x v="24"/>
    <x v="5"/>
    <x v="26"/>
    <x v="100"/>
    <x v="937"/>
    <x v="40"/>
    <x v="40"/>
    <x v="1"/>
  </r>
  <r>
    <x v="1"/>
    <x v="1"/>
    <x v="494"/>
    <x v="2"/>
    <x v="23"/>
    <x v="24"/>
    <x v="4"/>
    <x v="26"/>
    <x v="83"/>
    <x v="775"/>
    <x v="37"/>
    <x v="37"/>
    <x v="1"/>
  </r>
  <r>
    <x v="1"/>
    <x v="1"/>
    <x v="494"/>
    <x v="2"/>
    <x v="23"/>
    <x v="24"/>
    <x v="0"/>
    <x v="34"/>
    <x v="97"/>
    <x v="1147"/>
    <x v="33"/>
    <x v="33"/>
    <x v="1"/>
  </r>
  <r>
    <x v="1"/>
    <x v="1"/>
    <x v="494"/>
    <x v="2"/>
    <x v="23"/>
    <x v="24"/>
    <x v="3"/>
    <x v="40"/>
    <x v="120"/>
    <x v="1586"/>
    <x v="50"/>
    <x v="50"/>
    <x v="1"/>
  </r>
  <r>
    <x v="1"/>
    <x v="1"/>
    <x v="527"/>
    <x v="2"/>
    <x v="23"/>
    <x v="24"/>
    <x v="2"/>
    <x v="37"/>
    <x v="183"/>
    <x v="2097"/>
    <x v="38"/>
    <x v="38"/>
    <x v="1"/>
  </r>
  <r>
    <x v="1"/>
    <x v="1"/>
    <x v="527"/>
    <x v="2"/>
    <x v="23"/>
    <x v="24"/>
    <x v="1"/>
    <x v="30"/>
    <x v="105"/>
    <x v="1116"/>
    <x v="33"/>
    <x v="33"/>
    <x v="1"/>
  </r>
  <r>
    <x v="1"/>
    <x v="1"/>
    <x v="527"/>
    <x v="2"/>
    <x v="23"/>
    <x v="24"/>
    <x v="5"/>
    <x v="34"/>
    <x v="123"/>
    <x v="1407"/>
    <x v="41"/>
    <x v="41"/>
    <x v="1"/>
  </r>
  <r>
    <x v="1"/>
    <x v="1"/>
    <x v="527"/>
    <x v="2"/>
    <x v="23"/>
    <x v="24"/>
    <x v="4"/>
    <x v="36"/>
    <x v="98"/>
    <x v="1216"/>
    <x v="36"/>
    <x v="36"/>
    <x v="1"/>
  </r>
  <r>
    <x v="1"/>
    <x v="1"/>
    <x v="527"/>
    <x v="2"/>
    <x v="23"/>
    <x v="24"/>
    <x v="0"/>
    <x v="50"/>
    <x v="115"/>
    <x v="1819"/>
    <x v="31"/>
    <x v="31"/>
    <x v="1"/>
  </r>
  <r>
    <x v="1"/>
    <x v="1"/>
    <x v="527"/>
    <x v="2"/>
    <x v="23"/>
    <x v="24"/>
    <x v="3"/>
    <x v="53"/>
    <x v="164"/>
    <x v="2387"/>
    <x v="49"/>
    <x v="49"/>
    <x v="1"/>
  </r>
  <r>
    <x v="1"/>
    <x v="1"/>
    <x v="555"/>
    <x v="2"/>
    <x v="23"/>
    <x v="24"/>
    <x v="2"/>
    <x v="51"/>
    <x v="191"/>
    <x v="2542"/>
    <x v="37"/>
    <x v="37"/>
    <x v="1"/>
  </r>
  <r>
    <x v="4"/>
    <x v="1"/>
    <x v="555"/>
    <x v="2"/>
    <x v="23"/>
    <x v="24"/>
    <x v="1"/>
    <x v="46"/>
    <x v="135"/>
    <x v="1934"/>
    <x v="31"/>
    <x v="31"/>
    <x v="1"/>
  </r>
  <r>
    <x v="4"/>
    <x v="1"/>
    <x v="555"/>
    <x v="2"/>
    <x v="23"/>
    <x v="24"/>
    <x v="5"/>
    <x v="41"/>
    <x v="122"/>
    <x v="1632"/>
    <x v="36"/>
    <x v="36"/>
    <x v="1"/>
  </r>
  <r>
    <x v="4"/>
    <x v="1"/>
    <x v="555"/>
    <x v="2"/>
    <x v="23"/>
    <x v="24"/>
    <x v="4"/>
    <x v="41"/>
    <x v="104"/>
    <x v="1428"/>
    <x v="39"/>
    <x v="39"/>
    <x v="1"/>
  </r>
  <r>
    <x v="4"/>
    <x v="1"/>
    <x v="555"/>
    <x v="2"/>
    <x v="23"/>
    <x v="24"/>
    <x v="0"/>
    <x v="52"/>
    <x v="129"/>
    <x v="2041"/>
    <x v="34"/>
    <x v="34"/>
    <x v="1"/>
  </r>
  <r>
    <x v="4"/>
    <x v="1"/>
    <x v="555"/>
    <x v="2"/>
    <x v="23"/>
    <x v="24"/>
    <x v="3"/>
    <x v="54"/>
    <x v="153"/>
    <x v="2311"/>
    <x v="47"/>
    <x v="47"/>
    <x v="1"/>
  </r>
  <r>
    <x v="4"/>
    <x v="1"/>
    <x v="587"/>
    <x v="2"/>
    <x v="23"/>
    <x v="24"/>
    <x v="2"/>
    <x v="49"/>
    <x v="185"/>
    <x v="2474"/>
    <x v="40"/>
    <x v="40"/>
    <x v="1"/>
  </r>
  <r>
    <x v="4"/>
    <x v="1"/>
    <x v="587"/>
    <x v="2"/>
    <x v="23"/>
    <x v="24"/>
    <x v="1"/>
    <x v="43"/>
    <x v="146"/>
    <x v="1959"/>
    <x v="34"/>
    <x v="34"/>
    <x v="1"/>
  </r>
  <r>
    <x v="4"/>
    <x v="1"/>
    <x v="587"/>
    <x v="2"/>
    <x v="23"/>
    <x v="24"/>
    <x v="5"/>
    <x v="41"/>
    <x v="127"/>
    <x v="1687"/>
    <x v="38"/>
    <x v="38"/>
    <x v="1"/>
  </r>
  <r>
    <x v="4"/>
    <x v="1"/>
    <x v="587"/>
    <x v="2"/>
    <x v="23"/>
    <x v="24"/>
    <x v="4"/>
    <x v="32"/>
    <x v="108"/>
    <x v="1205"/>
    <x v="38"/>
    <x v="38"/>
    <x v="1"/>
  </r>
  <r>
    <x v="4"/>
    <x v="1"/>
    <x v="587"/>
    <x v="2"/>
    <x v="23"/>
    <x v="24"/>
    <x v="0"/>
    <x v="39"/>
    <x v="102"/>
    <x v="1350"/>
    <x v="31"/>
    <x v="31"/>
    <x v="1"/>
  </r>
  <r>
    <x v="4"/>
    <x v="1"/>
    <x v="587"/>
    <x v="2"/>
    <x v="23"/>
    <x v="24"/>
    <x v="3"/>
    <x v="46"/>
    <x v="147"/>
    <x v="2056"/>
    <x v="51"/>
    <x v="51"/>
    <x v="1"/>
  </r>
  <r>
    <x v="4"/>
    <x v="1"/>
    <x v="617"/>
    <x v="2"/>
    <x v="23"/>
    <x v="24"/>
    <x v="2"/>
    <x v="40"/>
    <x v="177"/>
    <x v="2143"/>
    <x v="40"/>
    <x v="40"/>
    <x v="1"/>
  </r>
  <r>
    <x v="4"/>
    <x v="1"/>
    <x v="617"/>
    <x v="2"/>
    <x v="23"/>
    <x v="24"/>
    <x v="1"/>
    <x v="35"/>
    <x v="127"/>
    <x v="1483"/>
    <x v="31"/>
    <x v="31"/>
    <x v="1"/>
  </r>
  <r>
    <x v="4"/>
    <x v="1"/>
    <x v="617"/>
    <x v="2"/>
    <x v="23"/>
    <x v="24"/>
    <x v="5"/>
    <x v="12"/>
    <x v="103"/>
    <x v="483"/>
    <x v="36"/>
    <x v="36"/>
    <x v="1"/>
  </r>
  <r>
    <x v="4"/>
    <x v="1"/>
    <x v="617"/>
    <x v="2"/>
    <x v="23"/>
    <x v="24"/>
    <x v="4"/>
    <x v="12"/>
    <x v="82"/>
    <x v="359"/>
    <x v="41"/>
    <x v="41"/>
    <x v="1"/>
  </r>
  <r>
    <x v="4"/>
    <x v="1"/>
    <x v="617"/>
    <x v="2"/>
    <x v="23"/>
    <x v="24"/>
    <x v="0"/>
    <x v="22"/>
    <x v="90"/>
    <x v="716"/>
    <x v="34"/>
    <x v="34"/>
    <x v="1"/>
  </r>
  <r>
    <x v="4"/>
    <x v="1"/>
    <x v="617"/>
    <x v="2"/>
    <x v="23"/>
    <x v="24"/>
    <x v="3"/>
    <x v="25"/>
    <x v="110"/>
    <x v="993"/>
    <x v="48"/>
    <x v="48"/>
    <x v="1"/>
  </r>
  <r>
    <x v="4"/>
    <x v="1"/>
    <x v="649"/>
    <x v="2"/>
    <x v="23"/>
    <x v="24"/>
    <x v="2"/>
    <x v="25"/>
    <x v="153"/>
    <x v="1358"/>
    <x v="40"/>
    <x v="40"/>
    <x v="1"/>
  </r>
  <r>
    <x v="4"/>
    <x v="1"/>
    <x v="649"/>
    <x v="2"/>
    <x v="23"/>
    <x v="24"/>
    <x v="1"/>
    <x v="18"/>
    <x v="125"/>
    <x v="853"/>
    <x v="31"/>
    <x v="31"/>
    <x v="1"/>
  </r>
  <r>
    <x v="4"/>
    <x v="1"/>
    <x v="649"/>
    <x v="2"/>
    <x v="23"/>
    <x v="24"/>
    <x v="5"/>
    <x v="17"/>
    <x v="80"/>
    <x v="488"/>
    <x v="40"/>
    <x v="40"/>
    <x v="1"/>
  </r>
  <r>
    <x v="4"/>
    <x v="1"/>
    <x v="649"/>
    <x v="2"/>
    <x v="23"/>
    <x v="24"/>
    <x v="4"/>
    <x v="16"/>
    <x v="87"/>
    <x v="504"/>
    <x v="36"/>
    <x v="36"/>
    <x v="1"/>
  </r>
  <r>
    <x v="4"/>
    <x v="1"/>
    <x v="649"/>
    <x v="2"/>
    <x v="23"/>
    <x v="24"/>
    <x v="0"/>
    <x v="25"/>
    <x v="80"/>
    <x v="718"/>
    <x v="36"/>
    <x v="36"/>
    <x v="1"/>
  </r>
  <r>
    <x v="3"/>
    <x v="1"/>
    <x v="649"/>
    <x v="2"/>
    <x v="23"/>
    <x v="24"/>
    <x v="3"/>
    <x v="26"/>
    <x v="104"/>
    <x v="976"/>
    <x v="50"/>
    <x v="50"/>
    <x v="1"/>
  </r>
  <r>
    <x v="3"/>
    <x v="1"/>
    <x v="679"/>
    <x v="2"/>
    <x v="23"/>
    <x v="24"/>
    <x v="2"/>
    <x v="21"/>
    <x v="141"/>
    <x v="1102"/>
    <x v="40"/>
    <x v="40"/>
    <x v="1"/>
  </r>
  <r>
    <x v="3"/>
    <x v="1"/>
    <x v="679"/>
    <x v="2"/>
    <x v="23"/>
    <x v="24"/>
    <x v="1"/>
    <x v="11"/>
    <x v="98"/>
    <x v="422"/>
    <x v="31"/>
    <x v="31"/>
    <x v="1"/>
  </r>
  <r>
    <x v="3"/>
    <x v="1"/>
    <x v="679"/>
    <x v="2"/>
    <x v="23"/>
    <x v="24"/>
    <x v="5"/>
    <x v="21"/>
    <x v="92"/>
    <x v="708"/>
    <x v="40"/>
    <x v="40"/>
    <x v="1"/>
  </r>
  <r>
    <x v="3"/>
    <x v="1"/>
    <x v="679"/>
    <x v="2"/>
    <x v="23"/>
    <x v="24"/>
    <x v="4"/>
    <x v="47"/>
    <x v="98"/>
    <x v="1520"/>
    <x v="39"/>
    <x v="39"/>
    <x v="1"/>
  </r>
  <r>
    <x v="3"/>
    <x v="1"/>
    <x v="679"/>
    <x v="2"/>
    <x v="23"/>
    <x v="24"/>
    <x v="0"/>
    <x v="64"/>
    <x v="103"/>
    <x v="2017"/>
    <x v="31"/>
    <x v="31"/>
    <x v="1"/>
  </r>
  <r>
    <x v="3"/>
    <x v="1"/>
    <x v="679"/>
    <x v="2"/>
    <x v="23"/>
    <x v="24"/>
    <x v="3"/>
    <x v="61"/>
    <x v="137"/>
    <x v="2314"/>
    <x v="47"/>
    <x v="47"/>
    <x v="1"/>
  </r>
  <r>
    <x v="3"/>
    <x v="1"/>
    <x v="708"/>
    <x v="2"/>
    <x v="23"/>
    <x v="24"/>
    <x v="2"/>
    <x v="61"/>
    <x v="170"/>
    <x v="2579"/>
    <x v="39"/>
    <x v="39"/>
    <x v="1"/>
  </r>
  <r>
    <x v="3"/>
    <x v="1"/>
    <x v="708"/>
    <x v="2"/>
    <x v="23"/>
    <x v="24"/>
    <x v="1"/>
    <x v="51"/>
    <x v="134"/>
    <x v="2062"/>
    <x v="35"/>
    <x v="35"/>
    <x v="1"/>
  </r>
  <r>
    <x v="3"/>
    <x v="1"/>
    <x v="708"/>
    <x v="2"/>
    <x v="23"/>
    <x v="24"/>
    <x v="5"/>
    <x v="52"/>
    <x v="117"/>
    <x v="1900"/>
    <x v="40"/>
    <x v="40"/>
    <x v="1"/>
  </r>
  <r>
    <x v="3"/>
    <x v="1"/>
    <x v="708"/>
    <x v="2"/>
    <x v="23"/>
    <x v="24"/>
    <x v="4"/>
    <x v="49"/>
    <x v="113"/>
    <x v="1768"/>
    <x v="38"/>
    <x v="38"/>
    <x v="1"/>
  </r>
  <r>
    <x v="3"/>
    <x v="1"/>
    <x v="708"/>
    <x v="2"/>
    <x v="23"/>
    <x v="24"/>
    <x v="0"/>
    <x v="58"/>
    <x v="104"/>
    <x v="1895"/>
    <x v="36"/>
    <x v="36"/>
    <x v="1"/>
  </r>
  <r>
    <x v="3"/>
    <x v="1"/>
    <x v="708"/>
    <x v="2"/>
    <x v="23"/>
    <x v="24"/>
    <x v="3"/>
    <x v="64"/>
    <x v="124"/>
    <x v="2242"/>
    <x v="47"/>
    <x v="47"/>
    <x v="1"/>
  </r>
  <r>
    <x v="3"/>
    <x v="3"/>
    <x v="381"/>
    <x v="2"/>
    <x v="23"/>
    <x v="24"/>
    <x v="2"/>
    <x v="17"/>
    <x v="153"/>
    <x v="1011"/>
    <x v="37"/>
    <x v="37"/>
    <x v="1"/>
  </r>
  <r>
    <x v="3"/>
    <x v="3"/>
    <x v="381"/>
    <x v="2"/>
    <x v="23"/>
    <x v="24"/>
    <x v="1"/>
    <x v="18"/>
    <x v="111"/>
    <x v="757"/>
    <x v="31"/>
    <x v="31"/>
    <x v="1"/>
  </r>
  <r>
    <x v="3"/>
    <x v="3"/>
    <x v="381"/>
    <x v="2"/>
    <x v="23"/>
    <x v="24"/>
    <x v="5"/>
    <x v="7"/>
    <x v="98"/>
    <x v="285"/>
    <x v="37"/>
    <x v="37"/>
    <x v="1"/>
  </r>
  <r>
    <x v="3"/>
    <x v="3"/>
    <x v="381"/>
    <x v="2"/>
    <x v="23"/>
    <x v="24"/>
    <x v="4"/>
    <x v="12"/>
    <x v="64"/>
    <x v="243"/>
    <x v="39"/>
    <x v="39"/>
    <x v="1"/>
  </r>
  <r>
    <x v="3"/>
    <x v="3"/>
    <x v="381"/>
    <x v="2"/>
    <x v="23"/>
    <x v="24"/>
    <x v="0"/>
    <x v="27"/>
    <x v="78"/>
    <x v="743"/>
    <x v="34"/>
    <x v="34"/>
    <x v="1"/>
  </r>
  <r>
    <x v="3"/>
    <x v="3"/>
    <x v="381"/>
    <x v="2"/>
    <x v="23"/>
    <x v="24"/>
    <x v="3"/>
    <x v="16"/>
    <x v="102"/>
    <x v="618"/>
    <x v="38"/>
    <x v="38"/>
    <x v="1"/>
  </r>
  <r>
    <x v="3"/>
    <x v="3"/>
    <x v="410"/>
    <x v="2"/>
    <x v="23"/>
    <x v="24"/>
    <x v="2"/>
    <x v="17"/>
    <x v="165"/>
    <x v="1096"/>
    <x v="37"/>
    <x v="37"/>
    <x v="1"/>
  </r>
  <r>
    <x v="3"/>
    <x v="3"/>
    <x v="410"/>
    <x v="2"/>
    <x v="23"/>
    <x v="24"/>
    <x v="1"/>
    <x v="17"/>
    <x v="87"/>
    <x v="534"/>
    <x v="31"/>
    <x v="31"/>
    <x v="1"/>
  </r>
  <r>
    <x v="3"/>
    <x v="3"/>
    <x v="410"/>
    <x v="2"/>
    <x v="23"/>
    <x v="24"/>
    <x v="5"/>
    <x v="7"/>
    <x v="101"/>
    <x v="299"/>
    <x v="36"/>
    <x v="36"/>
    <x v="1"/>
  </r>
  <r>
    <x v="4"/>
    <x v="3"/>
    <x v="410"/>
    <x v="2"/>
    <x v="3"/>
    <x v="27"/>
    <x v="4"/>
    <x v="11"/>
    <x v="58"/>
    <x v="176"/>
    <x v="36"/>
    <x v="36"/>
    <x v="1"/>
  </r>
  <r>
    <x v="4"/>
    <x v="3"/>
    <x v="410"/>
    <x v="2"/>
    <x v="3"/>
    <x v="27"/>
    <x v="0"/>
    <x v="27"/>
    <x v="80"/>
    <x v="774"/>
    <x v="31"/>
    <x v="31"/>
    <x v="1"/>
  </r>
  <r>
    <x v="4"/>
    <x v="3"/>
    <x v="410"/>
    <x v="2"/>
    <x v="3"/>
    <x v="27"/>
    <x v="3"/>
    <x v="12"/>
    <x v="96"/>
    <x v="445"/>
    <x v="40"/>
    <x v="40"/>
    <x v="1"/>
  </r>
  <r>
    <x v="4"/>
    <x v="3"/>
    <x v="436"/>
    <x v="2"/>
    <x v="3"/>
    <x v="27"/>
    <x v="2"/>
    <x v="11"/>
    <x v="158"/>
    <x v="754"/>
    <x v="39"/>
    <x v="39"/>
    <x v="1"/>
  </r>
  <r>
    <x v="4"/>
    <x v="3"/>
    <x v="436"/>
    <x v="2"/>
    <x v="3"/>
    <x v="27"/>
    <x v="1"/>
    <x v="13"/>
    <x v="80"/>
    <x v="378"/>
    <x v="31"/>
    <x v="31"/>
    <x v="1"/>
  </r>
  <r>
    <x v="4"/>
    <x v="3"/>
    <x v="436"/>
    <x v="2"/>
    <x v="3"/>
    <x v="27"/>
    <x v="5"/>
    <x v="3"/>
    <x v="73"/>
    <x v="89"/>
    <x v="40"/>
    <x v="40"/>
    <x v="1"/>
  </r>
  <r>
    <x v="4"/>
    <x v="3"/>
    <x v="436"/>
    <x v="2"/>
    <x v="3"/>
    <x v="27"/>
    <x v="4"/>
    <x v="12"/>
    <x v="49"/>
    <x v="151"/>
    <x v="38"/>
    <x v="38"/>
    <x v="1"/>
  </r>
  <r>
    <x v="4"/>
    <x v="3"/>
    <x v="436"/>
    <x v="2"/>
    <x v="3"/>
    <x v="27"/>
    <x v="0"/>
    <x v="25"/>
    <x v="54"/>
    <x v="416"/>
    <x v="32"/>
    <x v="32"/>
    <x v="1"/>
  </r>
  <r>
    <x v="4"/>
    <x v="3"/>
    <x v="436"/>
    <x v="2"/>
    <x v="3"/>
    <x v="27"/>
    <x v="3"/>
    <x v="17"/>
    <x v="84"/>
    <x v="515"/>
    <x v="37"/>
    <x v="37"/>
    <x v="1"/>
  </r>
  <r>
    <x v="4"/>
    <x v="3"/>
    <x v="468"/>
    <x v="2"/>
    <x v="3"/>
    <x v="27"/>
    <x v="2"/>
    <x v="16"/>
    <x v="151"/>
    <x v="957"/>
    <x v="40"/>
    <x v="40"/>
    <x v="1"/>
  </r>
  <r>
    <x v="4"/>
    <x v="3"/>
    <x v="468"/>
    <x v="2"/>
    <x v="3"/>
    <x v="27"/>
    <x v="1"/>
    <x v="17"/>
    <x v="67"/>
    <x v="373"/>
    <x v="35"/>
    <x v="35"/>
    <x v="1"/>
  </r>
  <r>
    <x v="4"/>
    <x v="3"/>
    <x v="468"/>
    <x v="2"/>
    <x v="3"/>
    <x v="27"/>
    <x v="5"/>
    <x v="7"/>
    <x v="62"/>
    <x v="126"/>
    <x v="38"/>
    <x v="38"/>
    <x v="1"/>
  </r>
  <r>
    <x v="4"/>
    <x v="3"/>
    <x v="468"/>
    <x v="2"/>
    <x v="3"/>
    <x v="27"/>
    <x v="4"/>
    <x v="13"/>
    <x v="52"/>
    <x v="176"/>
    <x v="39"/>
    <x v="39"/>
    <x v="1"/>
  </r>
  <r>
    <x v="4"/>
    <x v="3"/>
    <x v="468"/>
    <x v="2"/>
    <x v="3"/>
    <x v="27"/>
    <x v="0"/>
    <x v="30"/>
    <x v="60"/>
    <x v="590"/>
    <x v="34"/>
    <x v="34"/>
    <x v="1"/>
  </r>
  <r>
    <x v="4"/>
    <x v="3"/>
    <x v="468"/>
    <x v="2"/>
    <x v="3"/>
    <x v="27"/>
    <x v="3"/>
    <x v="21"/>
    <x v="97"/>
    <x v="750"/>
    <x v="37"/>
    <x v="37"/>
    <x v="1"/>
  </r>
  <r>
    <x v="4"/>
    <x v="3"/>
    <x v="497"/>
    <x v="2"/>
    <x v="3"/>
    <x v="27"/>
    <x v="2"/>
    <x v="32"/>
    <x v="158"/>
    <x v="1688"/>
    <x v="40"/>
    <x v="40"/>
    <x v="1"/>
  </r>
  <r>
    <x v="4"/>
    <x v="3"/>
    <x v="497"/>
    <x v="2"/>
    <x v="3"/>
    <x v="27"/>
    <x v="1"/>
    <x v="31"/>
    <x v="94"/>
    <x v="1028"/>
    <x v="36"/>
    <x v="36"/>
    <x v="1"/>
  </r>
  <r>
    <x v="4"/>
    <x v="3"/>
    <x v="497"/>
    <x v="2"/>
    <x v="3"/>
    <x v="27"/>
    <x v="5"/>
    <x v="27"/>
    <x v="75"/>
    <x v="704"/>
    <x v="41"/>
    <x v="41"/>
    <x v="1"/>
  </r>
  <r>
    <x v="4"/>
    <x v="3"/>
    <x v="497"/>
    <x v="2"/>
    <x v="3"/>
    <x v="27"/>
    <x v="4"/>
    <x v="27"/>
    <x v="64"/>
    <x v="573"/>
    <x v="39"/>
    <x v="39"/>
    <x v="1"/>
  </r>
  <r>
    <x v="4"/>
    <x v="3"/>
    <x v="497"/>
    <x v="2"/>
    <x v="3"/>
    <x v="27"/>
    <x v="0"/>
    <x v="35"/>
    <x v="70"/>
    <x v="836"/>
    <x v="33"/>
    <x v="33"/>
    <x v="1"/>
  </r>
  <r>
    <x v="4"/>
    <x v="3"/>
    <x v="497"/>
    <x v="2"/>
    <x v="3"/>
    <x v="27"/>
    <x v="3"/>
    <x v="37"/>
    <x v="92"/>
    <x v="1178"/>
    <x v="41"/>
    <x v="41"/>
    <x v="1"/>
  </r>
  <r>
    <x v="4"/>
    <x v="3"/>
    <x v="530"/>
    <x v="2"/>
    <x v="3"/>
    <x v="27"/>
    <x v="2"/>
    <x v="29"/>
    <x v="177"/>
    <x v="1736"/>
    <x v="36"/>
    <x v="36"/>
    <x v="1"/>
  </r>
  <r>
    <x v="4"/>
    <x v="3"/>
    <x v="530"/>
    <x v="2"/>
    <x v="3"/>
    <x v="27"/>
    <x v="1"/>
    <x v="25"/>
    <x v="88"/>
    <x v="788"/>
    <x v="35"/>
    <x v="35"/>
    <x v="1"/>
  </r>
  <r>
    <x v="4"/>
    <x v="3"/>
    <x v="530"/>
    <x v="2"/>
    <x v="3"/>
    <x v="27"/>
    <x v="5"/>
    <x v="31"/>
    <x v="86"/>
    <x v="942"/>
    <x v="40"/>
    <x v="40"/>
    <x v="1"/>
  </r>
  <r>
    <x v="4"/>
    <x v="3"/>
    <x v="530"/>
    <x v="2"/>
    <x v="3"/>
    <x v="27"/>
    <x v="4"/>
    <x v="30"/>
    <x v="80"/>
    <x v="854"/>
    <x v="38"/>
    <x v="38"/>
    <x v="1"/>
  </r>
  <r>
    <x v="4"/>
    <x v="3"/>
    <x v="530"/>
    <x v="2"/>
    <x v="3"/>
    <x v="27"/>
    <x v="0"/>
    <x v="47"/>
    <x v="80"/>
    <x v="1274"/>
    <x v="34"/>
    <x v="34"/>
    <x v="1"/>
  </r>
  <r>
    <x v="4"/>
    <x v="3"/>
    <x v="530"/>
    <x v="2"/>
    <x v="3"/>
    <x v="27"/>
    <x v="3"/>
    <x v="47"/>
    <x v="138"/>
    <x v="1999"/>
    <x v="40"/>
    <x v="40"/>
    <x v="1"/>
  </r>
  <r>
    <x v="4"/>
    <x v="3"/>
    <x v="558"/>
    <x v="2"/>
    <x v="3"/>
    <x v="27"/>
    <x v="2"/>
    <x v="43"/>
    <x v="199"/>
    <x v="2430"/>
    <x v="36"/>
    <x v="36"/>
    <x v="1"/>
  </r>
  <r>
    <x v="4"/>
    <x v="3"/>
    <x v="558"/>
    <x v="2"/>
    <x v="3"/>
    <x v="27"/>
    <x v="1"/>
    <x v="40"/>
    <x v="127"/>
    <x v="1655"/>
    <x v="31"/>
    <x v="31"/>
    <x v="1"/>
  </r>
  <r>
    <x v="4"/>
    <x v="3"/>
    <x v="558"/>
    <x v="2"/>
    <x v="3"/>
    <x v="27"/>
    <x v="5"/>
    <x v="36"/>
    <x v="106"/>
    <x v="1302"/>
    <x v="37"/>
    <x v="37"/>
    <x v="1"/>
  </r>
  <r>
    <x v="4"/>
    <x v="3"/>
    <x v="558"/>
    <x v="2"/>
    <x v="3"/>
    <x v="27"/>
    <x v="4"/>
    <x v="34"/>
    <x v="97"/>
    <x v="1147"/>
    <x v="40"/>
    <x v="40"/>
    <x v="1"/>
  </r>
  <r>
    <x v="4"/>
    <x v="3"/>
    <x v="558"/>
    <x v="2"/>
    <x v="3"/>
    <x v="27"/>
    <x v="0"/>
    <x v="48"/>
    <x v="100"/>
    <x v="1575"/>
    <x v="35"/>
    <x v="35"/>
    <x v="1"/>
  </r>
  <r>
    <x v="4"/>
    <x v="3"/>
    <x v="558"/>
    <x v="2"/>
    <x v="3"/>
    <x v="27"/>
    <x v="3"/>
    <x v="56"/>
    <x v="129"/>
    <x v="2125"/>
    <x v="40"/>
    <x v="40"/>
    <x v="1"/>
  </r>
  <r>
    <x v="4"/>
    <x v="3"/>
    <x v="590"/>
    <x v="2"/>
    <x v="3"/>
    <x v="27"/>
    <x v="2"/>
    <x v="48"/>
    <x v="183"/>
    <x v="2415"/>
    <x v="40"/>
    <x v="40"/>
    <x v="1"/>
  </r>
  <r>
    <x v="4"/>
    <x v="3"/>
    <x v="590"/>
    <x v="2"/>
    <x v="3"/>
    <x v="27"/>
    <x v="1"/>
    <x v="43"/>
    <x v="131"/>
    <x v="1797"/>
    <x v="34"/>
    <x v="34"/>
    <x v="1"/>
  </r>
  <r>
    <x v="4"/>
    <x v="3"/>
    <x v="590"/>
    <x v="2"/>
    <x v="3"/>
    <x v="27"/>
    <x v="5"/>
    <x v="40"/>
    <x v="106"/>
    <x v="1421"/>
    <x v="38"/>
    <x v="38"/>
    <x v="1"/>
  </r>
  <r>
    <x v="4"/>
    <x v="3"/>
    <x v="590"/>
    <x v="2"/>
    <x v="3"/>
    <x v="27"/>
    <x v="4"/>
    <x v="32"/>
    <x v="86"/>
    <x v="970"/>
    <x v="36"/>
    <x v="36"/>
    <x v="1"/>
  </r>
  <r>
    <x v="4"/>
    <x v="3"/>
    <x v="590"/>
    <x v="2"/>
    <x v="3"/>
    <x v="27"/>
    <x v="0"/>
    <x v="41"/>
    <x v="94"/>
    <x v="1303"/>
    <x v="35"/>
    <x v="35"/>
    <x v="1"/>
  </r>
  <r>
    <x v="4"/>
    <x v="3"/>
    <x v="590"/>
    <x v="2"/>
    <x v="3"/>
    <x v="27"/>
    <x v="3"/>
    <x v="43"/>
    <x v="123"/>
    <x v="1705"/>
    <x v="38"/>
    <x v="38"/>
    <x v="1"/>
  </r>
  <r>
    <x v="4"/>
    <x v="3"/>
    <x v="620"/>
    <x v="2"/>
    <x v="3"/>
    <x v="27"/>
    <x v="2"/>
    <x v="41"/>
    <x v="159"/>
    <x v="2018"/>
    <x v="38"/>
    <x v="38"/>
    <x v="1"/>
  </r>
  <r>
    <x v="4"/>
    <x v="3"/>
    <x v="620"/>
    <x v="2"/>
    <x v="3"/>
    <x v="27"/>
    <x v="1"/>
    <x v="32"/>
    <x v="106"/>
    <x v="1187"/>
    <x v="34"/>
    <x v="34"/>
    <x v="1"/>
  </r>
  <r>
    <x v="4"/>
    <x v="3"/>
    <x v="620"/>
    <x v="2"/>
    <x v="3"/>
    <x v="27"/>
    <x v="5"/>
    <x v="7"/>
    <x v="73"/>
    <x v="171"/>
    <x v="38"/>
    <x v="38"/>
    <x v="1"/>
  </r>
  <r>
    <x v="4"/>
    <x v="3"/>
    <x v="620"/>
    <x v="2"/>
    <x v="3"/>
    <x v="27"/>
    <x v="4"/>
    <x v="7"/>
    <x v="73"/>
    <x v="171"/>
    <x v="38"/>
    <x v="38"/>
    <x v="1"/>
  </r>
  <r>
    <x v="4"/>
    <x v="3"/>
    <x v="620"/>
    <x v="2"/>
    <x v="3"/>
    <x v="27"/>
    <x v="0"/>
    <x v="16"/>
    <x v="77"/>
    <x v="438"/>
    <x v="36"/>
    <x v="36"/>
    <x v="1"/>
  </r>
  <r>
    <x v="4"/>
    <x v="3"/>
    <x v="620"/>
    <x v="2"/>
    <x v="3"/>
    <x v="27"/>
    <x v="3"/>
    <x v="22"/>
    <x v="100"/>
    <x v="804"/>
    <x v="40"/>
    <x v="40"/>
    <x v="1"/>
  </r>
  <r>
    <x v="4"/>
    <x v="3"/>
    <x v="652"/>
    <x v="2"/>
    <x v="3"/>
    <x v="27"/>
    <x v="2"/>
    <x v="20"/>
    <x v="129"/>
    <x v="969"/>
    <x v="36"/>
    <x v="36"/>
    <x v="1"/>
  </r>
  <r>
    <x v="4"/>
    <x v="3"/>
    <x v="652"/>
    <x v="2"/>
    <x v="3"/>
    <x v="27"/>
    <x v="1"/>
    <x v="12"/>
    <x v="88"/>
    <x v="393"/>
    <x v="31"/>
    <x v="31"/>
    <x v="1"/>
  </r>
  <r>
    <x v="4"/>
    <x v="3"/>
    <x v="652"/>
    <x v="2"/>
    <x v="3"/>
    <x v="27"/>
    <x v="5"/>
    <x v="12"/>
    <x v="64"/>
    <x v="243"/>
    <x v="36"/>
    <x v="36"/>
    <x v="1"/>
  </r>
  <r>
    <x v="4"/>
    <x v="3"/>
    <x v="652"/>
    <x v="2"/>
    <x v="3"/>
    <x v="27"/>
    <x v="4"/>
    <x v="12"/>
    <x v="59"/>
    <x v="203"/>
    <x v="39"/>
    <x v="39"/>
    <x v="1"/>
  </r>
  <r>
    <x v="4"/>
    <x v="3"/>
    <x v="652"/>
    <x v="2"/>
    <x v="3"/>
    <x v="27"/>
    <x v="0"/>
    <x v="20"/>
    <x v="68"/>
    <x v="459"/>
    <x v="33"/>
    <x v="33"/>
    <x v="1"/>
  </r>
  <r>
    <x v="5"/>
    <x v="3"/>
    <x v="652"/>
    <x v="2"/>
    <x v="3"/>
    <x v="27"/>
    <x v="3"/>
    <x v="22"/>
    <x v="86"/>
    <x v="677"/>
    <x v="39"/>
    <x v="39"/>
    <x v="1"/>
  </r>
  <r>
    <x v="5"/>
    <x v="3"/>
    <x v="682"/>
    <x v="2"/>
    <x v="3"/>
    <x v="27"/>
    <x v="2"/>
    <x v="17"/>
    <x v="123"/>
    <x v="798"/>
    <x v="36"/>
    <x v="36"/>
    <x v="1"/>
  </r>
  <r>
    <x v="5"/>
    <x v="3"/>
    <x v="682"/>
    <x v="2"/>
    <x v="3"/>
    <x v="27"/>
    <x v="1"/>
    <x v="7"/>
    <x v="77"/>
    <x v="191"/>
    <x v="36"/>
    <x v="36"/>
    <x v="1"/>
  </r>
  <r>
    <x v="5"/>
    <x v="3"/>
    <x v="682"/>
    <x v="2"/>
    <x v="3"/>
    <x v="27"/>
    <x v="5"/>
    <x v="16"/>
    <x v="74"/>
    <x v="412"/>
    <x v="37"/>
    <x v="37"/>
    <x v="1"/>
  </r>
  <r>
    <x v="5"/>
    <x v="3"/>
    <x v="682"/>
    <x v="2"/>
    <x v="3"/>
    <x v="27"/>
    <x v="4"/>
    <x v="44"/>
    <x v="91"/>
    <x v="1340"/>
    <x v="36"/>
    <x v="36"/>
    <x v="1"/>
  </r>
  <r>
    <x v="5"/>
    <x v="3"/>
    <x v="682"/>
    <x v="2"/>
    <x v="3"/>
    <x v="27"/>
    <x v="0"/>
    <x v="62"/>
    <x v="75"/>
    <x v="1510"/>
    <x v="33"/>
    <x v="33"/>
    <x v="1"/>
  </r>
  <r>
    <x v="5"/>
    <x v="3"/>
    <x v="682"/>
    <x v="2"/>
    <x v="3"/>
    <x v="27"/>
    <x v="3"/>
    <x v="66"/>
    <x v="98"/>
    <x v="1984"/>
    <x v="39"/>
    <x v="39"/>
    <x v="1"/>
  </r>
  <r>
    <x v="5"/>
    <x v="3"/>
    <x v="711"/>
    <x v="2"/>
    <x v="3"/>
    <x v="27"/>
    <x v="2"/>
    <x v="60"/>
    <x v="177"/>
    <x v="2603"/>
    <x v="41"/>
    <x v="41"/>
    <x v="1"/>
  </r>
  <r>
    <x v="5"/>
    <x v="3"/>
    <x v="711"/>
    <x v="2"/>
    <x v="3"/>
    <x v="27"/>
    <x v="1"/>
    <x v="47"/>
    <x v="120"/>
    <x v="1790"/>
    <x v="33"/>
    <x v="33"/>
    <x v="1"/>
  </r>
  <r>
    <x v="5"/>
    <x v="3"/>
    <x v="711"/>
    <x v="2"/>
    <x v="3"/>
    <x v="27"/>
    <x v="5"/>
    <x v="48"/>
    <x v="106"/>
    <x v="1661"/>
    <x v="40"/>
    <x v="40"/>
    <x v="1"/>
  </r>
  <r>
    <x v="5"/>
    <x v="3"/>
    <x v="711"/>
    <x v="2"/>
    <x v="3"/>
    <x v="27"/>
    <x v="4"/>
    <x v="50"/>
    <x v="101"/>
    <x v="1638"/>
    <x v="37"/>
    <x v="37"/>
    <x v="1"/>
  </r>
  <r>
    <x v="5"/>
    <x v="3"/>
    <x v="711"/>
    <x v="2"/>
    <x v="3"/>
    <x v="27"/>
    <x v="0"/>
    <x v="57"/>
    <x v="93"/>
    <x v="1708"/>
    <x v="35"/>
    <x v="35"/>
    <x v="1"/>
  </r>
  <r>
    <x v="5"/>
    <x v="3"/>
    <x v="711"/>
    <x v="2"/>
    <x v="3"/>
    <x v="27"/>
    <x v="3"/>
    <x v="63"/>
    <x v="129"/>
    <x v="2282"/>
    <x v="37"/>
    <x v="37"/>
    <x v="1"/>
  </r>
  <r>
    <x v="5"/>
    <x v="3"/>
    <x v="381"/>
    <x v="2"/>
    <x v="3"/>
    <x v="27"/>
    <x v="2"/>
    <x v="17"/>
    <x v="145"/>
    <x v="959"/>
    <x v="39"/>
    <x v="39"/>
    <x v="1"/>
  </r>
  <r>
    <x v="5"/>
    <x v="3"/>
    <x v="381"/>
    <x v="2"/>
    <x v="3"/>
    <x v="27"/>
    <x v="1"/>
    <x v="18"/>
    <x v="91"/>
    <x v="596"/>
    <x v="31"/>
    <x v="31"/>
    <x v="1"/>
  </r>
  <r>
    <x v="5"/>
    <x v="3"/>
    <x v="381"/>
    <x v="2"/>
    <x v="3"/>
    <x v="27"/>
    <x v="5"/>
    <x v="8"/>
    <x v="80"/>
    <x v="239"/>
    <x v="41"/>
    <x v="41"/>
    <x v="1"/>
  </r>
  <r>
    <x v="5"/>
    <x v="3"/>
    <x v="381"/>
    <x v="2"/>
    <x v="3"/>
    <x v="27"/>
    <x v="4"/>
    <x v="11"/>
    <x v="54"/>
    <x v="156"/>
    <x v="41"/>
    <x v="41"/>
    <x v="1"/>
  </r>
  <r>
    <x v="5"/>
    <x v="3"/>
    <x v="381"/>
    <x v="2"/>
    <x v="3"/>
    <x v="27"/>
    <x v="0"/>
    <x v="26"/>
    <x v="66"/>
    <x v="569"/>
    <x v="36"/>
    <x v="36"/>
    <x v="1"/>
  </r>
  <r>
    <x v="5"/>
    <x v="3"/>
    <x v="381"/>
    <x v="2"/>
    <x v="3"/>
    <x v="27"/>
    <x v="3"/>
    <x v="16"/>
    <x v="83"/>
    <x v="479"/>
    <x v="38"/>
    <x v="38"/>
    <x v="1"/>
  </r>
  <r>
    <x v="5"/>
    <x v="3"/>
    <x v="410"/>
    <x v="2"/>
    <x v="3"/>
    <x v="27"/>
    <x v="2"/>
    <x v="17"/>
    <x v="147"/>
    <x v="970"/>
    <x v="38"/>
    <x v="38"/>
    <x v="1"/>
  </r>
  <r>
    <x v="5"/>
    <x v="3"/>
    <x v="410"/>
    <x v="2"/>
    <x v="3"/>
    <x v="27"/>
    <x v="1"/>
    <x v="16"/>
    <x v="66"/>
    <x v="341"/>
    <x v="32"/>
    <x v="32"/>
    <x v="1"/>
  </r>
  <r>
    <x v="5"/>
    <x v="3"/>
    <x v="410"/>
    <x v="2"/>
    <x v="3"/>
    <x v="27"/>
    <x v="5"/>
    <x v="8"/>
    <x v="75"/>
    <x v="202"/>
    <x v="36"/>
    <x v="36"/>
    <x v="1"/>
  </r>
  <r>
    <x v="5"/>
    <x v="3"/>
    <x v="410"/>
    <x v="2"/>
    <x v="35"/>
    <x v="37"/>
    <x v="4"/>
    <x v="12"/>
    <x v="38"/>
    <x v="101"/>
    <x v="37"/>
    <x v="37"/>
    <x v="1"/>
  </r>
  <r>
    <x v="5"/>
    <x v="3"/>
    <x v="410"/>
    <x v="2"/>
    <x v="35"/>
    <x v="37"/>
    <x v="0"/>
    <x v="27"/>
    <x v="62"/>
    <x v="542"/>
    <x v="33"/>
    <x v="33"/>
    <x v="1"/>
  </r>
  <r>
    <x v="5"/>
    <x v="3"/>
    <x v="410"/>
    <x v="2"/>
    <x v="35"/>
    <x v="37"/>
    <x v="3"/>
    <x v="11"/>
    <x v="80"/>
    <x v="321"/>
    <x v="37"/>
    <x v="37"/>
    <x v="1"/>
  </r>
  <r>
    <x v="5"/>
    <x v="3"/>
    <x v="436"/>
    <x v="2"/>
    <x v="35"/>
    <x v="37"/>
    <x v="2"/>
    <x v="12"/>
    <x v="133"/>
    <x v="651"/>
    <x v="36"/>
    <x v="36"/>
    <x v="1"/>
  </r>
  <r>
    <x v="5"/>
    <x v="3"/>
    <x v="436"/>
    <x v="2"/>
    <x v="35"/>
    <x v="37"/>
    <x v="1"/>
    <x v="12"/>
    <x v="60"/>
    <x v="209"/>
    <x v="34"/>
    <x v="34"/>
    <x v="1"/>
  </r>
  <r>
    <x v="5"/>
    <x v="3"/>
    <x v="436"/>
    <x v="2"/>
    <x v="35"/>
    <x v="37"/>
    <x v="5"/>
    <x v="2"/>
    <x v="66"/>
    <x v="63"/>
    <x v="36"/>
    <x v="36"/>
    <x v="1"/>
  </r>
  <r>
    <x v="5"/>
    <x v="3"/>
    <x v="436"/>
    <x v="2"/>
    <x v="35"/>
    <x v="37"/>
    <x v="4"/>
    <x v="13"/>
    <x v="24"/>
    <x v="57"/>
    <x v="36"/>
    <x v="36"/>
    <x v="1"/>
  </r>
  <r>
    <x v="5"/>
    <x v="3"/>
    <x v="436"/>
    <x v="2"/>
    <x v="35"/>
    <x v="37"/>
    <x v="0"/>
    <x v="27"/>
    <x v="38"/>
    <x v="294"/>
    <x v="33"/>
    <x v="33"/>
    <x v="1"/>
  </r>
  <r>
    <x v="5"/>
    <x v="3"/>
    <x v="436"/>
    <x v="2"/>
    <x v="35"/>
    <x v="37"/>
    <x v="3"/>
    <x v="16"/>
    <x v="57"/>
    <x v="272"/>
    <x v="40"/>
    <x v="40"/>
    <x v="1"/>
  </r>
  <r>
    <x v="5"/>
    <x v="3"/>
    <x v="468"/>
    <x v="2"/>
    <x v="35"/>
    <x v="37"/>
    <x v="2"/>
    <x v="17"/>
    <x v="131"/>
    <x v="861"/>
    <x v="39"/>
    <x v="39"/>
    <x v="1"/>
  </r>
  <r>
    <x v="5"/>
    <x v="3"/>
    <x v="468"/>
    <x v="2"/>
    <x v="35"/>
    <x v="37"/>
    <x v="1"/>
    <x v="16"/>
    <x v="54"/>
    <x v="247"/>
    <x v="34"/>
    <x v="34"/>
    <x v="1"/>
  </r>
  <r>
    <x v="5"/>
    <x v="3"/>
    <x v="468"/>
    <x v="2"/>
    <x v="35"/>
    <x v="37"/>
    <x v="5"/>
    <x v="7"/>
    <x v="56"/>
    <x v="105"/>
    <x v="39"/>
    <x v="39"/>
    <x v="1"/>
  </r>
  <r>
    <x v="5"/>
    <x v="3"/>
    <x v="468"/>
    <x v="2"/>
    <x v="35"/>
    <x v="37"/>
    <x v="4"/>
    <x v="11"/>
    <x v="34"/>
    <x v="80"/>
    <x v="39"/>
    <x v="39"/>
    <x v="1"/>
  </r>
  <r>
    <x v="5"/>
    <x v="3"/>
    <x v="468"/>
    <x v="2"/>
    <x v="35"/>
    <x v="37"/>
    <x v="0"/>
    <x v="31"/>
    <x v="42"/>
    <x v="393"/>
    <x v="36"/>
    <x v="36"/>
    <x v="1"/>
  </r>
  <r>
    <x v="5"/>
    <x v="3"/>
    <x v="468"/>
    <x v="2"/>
    <x v="35"/>
    <x v="37"/>
    <x v="3"/>
    <x v="21"/>
    <x v="77"/>
    <x v="567"/>
    <x v="41"/>
    <x v="41"/>
    <x v="1"/>
  </r>
  <r>
    <x v="5"/>
    <x v="3"/>
    <x v="497"/>
    <x v="2"/>
    <x v="35"/>
    <x v="37"/>
    <x v="2"/>
    <x v="29"/>
    <x v="145"/>
    <x v="1444"/>
    <x v="40"/>
    <x v="40"/>
    <x v="1"/>
  </r>
  <r>
    <x v="5"/>
    <x v="3"/>
    <x v="497"/>
    <x v="2"/>
    <x v="35"/>
    <x v="37"/>
    <x v="1"/>
    <x v="32"/>
    <x v="72"/>
    <x v="789"/>
    <x v="31"/>
    <x v="31"/>
    <x v="1"/>
  </r>
  <r>
    <x v="5"/>
    <x v="3"/>
    <x v="497"/>
    <x v="2"/>
    <x v="35"/>
    <x v="37"/>
    <x v="5"/>
    <x v="27"/>
    <x v="59"/>
    <x v="515"/>
    <x v="38"/>
    <x v="38"/>
    <x v="1"/>
  </r>
  <r>
    <x v="5"/>
    <x v="3"/>
    <x v="497"/>
    <x v="2"/>
    <x v="35"/>
    <x v="37"/>
    <x v="4"/>
    <x v="27"/>
    <x v="48"/>
    <x v="391"/>
    <x v="41"/>
    <x v="41"/>
    <x v="1"/>
  </r>
  <r>
    <x v="5"/>
    <x v="3"/>
    <x v="497"/>
    <x v="2"/>
    <x v="35"/>
    <x v="37"/>
    <x v="0"/>
    <x v="36"/>
    <x v="62"/>
    <x v="742"/>
    <x v="31"/>
    <x v="31"/>
    <x v="1"/>
  </r>
  <r>
    <x v="5"/>
    <x v="3"/>
    <x v="497"/>
    <x v="2"/>
    <x v="35"/>
    <x v="37"/>
    <x v="3"/>
    <x v="35"/>
    <x v="80"/>
    <x v="980"/>
    <x v="38"/>
    <x v="38"/>
    <x v="1"/>
  </r>
  <r>
    <x v="5"/>
    <x v="3"/>
    <x v="530"/>
    <x v="2"/>
    <x v="35"/>
    <x v="37"/>
    <x v="2"/>
    <x v="31"/>
    <x v="135"/>
    <x v="1422"/>
    <x v="37"/>
    <x v="37"/>
    <x v="1"/>
  </r>
  <r>
    <x v="5"/>
    <x v="3"/>
    <x v="530"/>
    <x v="2"/>
    <x v="35"/>
    <x v="37"/>
    <x v="1"/>
    <x v="26"/>
    <x v="73"/>
    <x v="643"/>
    <x v="31"/>
    <x v="31"/>
    <x v="1"/>
  </r>
  <r>
    <x v="5"/>
    <x v="3"/>
    <x v="530"/>
    <x v="2"/>
    <x v="35"/>
    <x v="37"/>
    <x v="5"/>
    <x v="29"/>
    <x v="73"/>
    <x v="726"/>
    <x v="38"/>
    <x v="38"/>
    <x v="1"/>
  </r>
  <r>
    <x v="5"/>
    <x v="3"/>
    <x v="530"/>
    <x v="2"/>
    <x v="35"/>
    <x v="37"/>
    <x v="4"/>
    <x v="31"/>
    <x v="72"/>
    <x v="767"/>
    <x v="36"/>
    <x v="36"/>
    <x v="1"/>
  </r>
  <r>
    <x v="5"/>
    <x v="3"/>
    <x v="530"/>
    <x v="2"/>
    <x v="35"/>
    <x v="37"/>
    <x v="0"/>
    <x v="44"/>
    <x v="72"/>
    <x v="1066"/>
    <x v="33"/>
    <x v="33"/>
    <x v="1"/>
  </r>
  <r>
    <x v="5"/>
    <x v="3"/>
    <x v="530"/>
    <x v="2"/>
    <x v="35"/>
    <x v="37"/>
    <x v="3"/>
    <x v="48"/>
    <x v="104"/>
    <x v="1633"/>
    <x v="37"/>
    <x v="37"/>
    <x v="1"/>
  </r>
  <r>
    <x v="5"/>
    <x v="3"/>
    <x v="558"/>
    <x v="2"/>
    <x v="35"/>
    <x v="37"/>
    <x v="2"/>
    <x v="43"/>
    <x v="159"/>
    <x v="2079"/>
    <x v="38"/>
    <x v="38"/>
    <x v="1"/>
  </r>
  <r>
    <x v="5"/>
    <x v="3"/>
    <x v="558"/>
    <x v="2"/>
    <x v="35"/>
    <x v="37"/>
    <x v="1"/>
    <x v="38"/>
    <x v="98"/>
    <x v="1269"/>
    <x v="36"/>
    <x v="36"/>
    <x v="1"/>
  </r>
  <r>
    <x v="5"/>
    <x v="3"/>
    <x v="558"/>
    <x v="2"/>
    <x v="35"/>
    <x v="37"/>
    <x v="5"/>
    <x v="37"/>
    <x v="77"/>
    <x v="987"/>
    <x v="40"/>
    <x v="40"/>
    <x v="1"/>
  </r>
  <r>
    <x v="5"/>
    <x v="3"/>
    <x v="558"/>
    <x v="2"/>
    <x v="35"/>
    <x v="37"/>
    <x v="4"/>
    <x v="34"/>
    <x v="70"/>
    <x v="817"/>
    <x v="39"/>
    <x v="39"/>
    <x v="1"/>
  </r>
  <r>
    <x v="5"/>
    <x v="3"/>
    <x v="558"/>
    <x v="2"/>
    <x v="35"/>
    <x v="37"/>
    <x v="0"/>
    <x v="52"/>
    <x v="80"/>
    <x v="1390"/>
    <x v="32"/>
    <x v="32"/>
    <x v="1"/>
  </r>
  <r>
    <x v="5"/>
    <x v="3"/>
    <x v="558"/>
    <x v="2"/>
    <x v="35"/>
    <x v="37"/>
    <x v="3"/>
    <x v="54"/>
    <x v="122"/>
    <x v="2005"/>
    <x v="40"/>
    <x v="40"/>
    <x v="1"/>
  </r>
  <r>
    <x v="5"/>
    <x v="3"/>
    <x v="590"/>
    <x v="2"/>
    <x v="35"/>
    <x v="37"/>
    <x v="2"/>
    <x v="49"/>
    <x v="165"/>
    <x v="2294"/>
    <x v="37"/>
    <x v="37"/>
    <x v="1"/>
  </r>
  <r>
    <x v="5"/>
    <x v="3"/>
    <x v="590"/>
    <x v="2"/>
    <x v="35"/>
    <x v="37"/>
    <x v="1"/>
    <x v="44"/>
    <x v="94"/>
    <x v="1387"/>
    <x v="33"/>
    <x v="33"/>
    <x v="1"/>
  </r>
  <r>
    <x v="5"/>
    <x v="3"/>
    <x v="590"/>
    <x v="2"/>
    <x v="35"/>
    <x v="37"/>
    <x v="5"/>
    <x v="40"/>
    <x v="94"/>
    <x v="1278"/>
    <x v="39"/>
    <x v="39"/>
    <x v="1"/>
  </r>
  <r>
    <x v="5"/>
    <x v="3"/>
    <x v="590"/>
    <x v="2"/>
    <x v="35"/>
    <x v="37"/>
    <x v="4"/>
    <x v="30"/>
    <x v="73"/>
    <x v="753"/>
    <x v="38"/>
    <x v="38"/>
    <x v="1"/>
  </r>
  <r>
    <x v="5"/>
    <x v="3"/>
    <x v="590"/>
    <x v="2"/>
    <x v="35"/>
    <x v="37"/>
    <x v="0"/>
    <x v="40"/>
    <x v="67"/>
    <x v="898"/>
    <x v="31"/>
    <x v="31"/>
    <x v="1"/>
  </r>
  <r>
    <x v="5"/>
    <x v="3"/>
    <x v="590"/>
    <x v="2"/>
    <x v="35"/>
    <x v="37"/>
    <x v="3"/>
    <x v="43"/>
    <x v="104"/>
    <x v="1488"/>
    <x v="38"/>
    <x v="38"/>
    <x v="1"/>
  </r>
  <r>
    <x v="5"/>
    <x v="3"/>
    <x v="620"/>
    <x v="2"/>
    <x v="35"/>
    <x v="37"/>
    <x v="2"/>
    <x v="42"/>
    <x v="129"/>
    <x v="1746"/>
    <x v="40"/>
    <x v="40"/>
    <x v="1"/>
  </r>
  <r>
    <x v="5"/>
    <x v="3"/>
    <x v="620"/>
    <x v="2"/>
    <x v="35"/>
    <x v="37"/>
    <x v="1"/>
    <x v="31"/>
    <x v="80"/>
    <x v="881"/>
    <x v="31"/>
    <x v="31"/>
    <x v="1"/>
  </r>
  <r>
    <x v="5"/>
    <x v="3"/>
    <x v="620"/>
    <x v="2"/>
    <x v="35"/>
    <x v="37"/>
    <x v="5"/>
    <x v="7"/>
    <x v="57"/>
    <x v="109"/>
    <x v="37"/>
    <x v="37"/>
    <x v="1"/>
  </r>
  <r>
    <x v="5"/>
    <x v="3"/>
    <x v="620"/>
    <x v="2"/>
    <x v="35"/>
    <x v="37"/>
    <x v="4"/>
    <x v="7"/>
    <x v="52"/>
    <x v="90"/>
    <x v="37"/>
    <x v="37"/>
    <x v="1"/>
  </r>
  <r>
    <x v="5"/>
    <x v="3"/>
    <x v="620"/>
    <x v="2"/>
    <x v="35"/>
    <x v="37"/>
    <x v="0"/>
    <x v="16"/>
    <x v="56"/>
    <x v="267"/>
    <x v="31"/>
    <x v="31"/>
    <x v="1"/>
  </r>
  <r>
    <x v="5"/>
    <x v="3"/>
    <x v="620"/>
    <x v="2"/>
    <x v="35"/>
    <x v="37"/>
    <x v="3"/>
    <x v="21"/>
    <x v="75"/>
    <x v="541"/>
    <x v="38"/>
    <x v="38"/>
    <x v="1"/>
  </r>
  <r>
    <x v="5"/>
    <x v="3"/>
    <x v="652"/>
    <x v="2"/>
    <x v="35"/>
    <x v="37"/>
    <x v="2"/>
    <x v="22"/>
    <x v="117"/>
    <x v="947"/>
    <x v="40"/>
    <x v="40"/>
    <x v="1"/>
  </r>
  <r>
    <x v="5"/>
    <x v="3"/>
    <x v="652"/>
    <x v="2"/>
    <x v="35"/>
    <x v="37"/>
    <x v="1"/>
    <x v="12"/>
    <x v="73"/>
    <x v="295"/>
    <x v="32"/>
    <x v="32"/>
    <x v="1"/>
  </r>
  <r>
    <x v="5"/>
    <x v="3"/>
    <x v="652"/>
    <x v="2"/>
    <x v="35"/>
    <x v="37"/>
    <x v="5"/>
    <x v="13"/>
    <x v="45"/>
    <x v="143"/>
    <x v="37"/>
    <x v="37"/>
    <x v="1"/>
  </r>
  <r>
    <x v="5"/>
    <x v="3"/>
    <x v="652"/>
    <x v="2"/>
    <x v="35"/>
    <x v="37"/>
    <x v="4"/>
    <x v="11"/>
    <x v="41"/>
    <x v="102"/>
    <x v="38"/>
    <x v="38"/>
    <x v="1"/>
  </r>
  <r>
    <x v="5"/>
    <x v="3"/>
    <x v="652"/>
    <x v="2"/>
    <x v="35"/>
    <x v="37"/>
    <x v="0"/>
    <x v="22"/>
    <x v="39"/>
    <x v="233"/>
    <x v="34"/>
    <x v="34"/>
    <x v="1"/>
  </r>
  <r>
    <x v="2"/>
    <x v="3"/>
    <x v="652"/>
    <x v="2"/>
    <x v="35"/>
    <x v="37"/>
    <x v="3"/>
    <x v="22"/>
    <x v="75"/>
    <x v="568"/>
    <x v="41"/>
    <x v="41"/>
    <x v="1"/>
  </r>
  <r>
    <x v="2"/>
    <x v="3"/>
    <x v="682"/>
    <x v="2"/>
    <x v="35"/>
    <x v="37"/>
    <x v="2"/>
    <x v="16"/>
    <x v="113"/>
    <x v="694"/>
    <x v="40"/>
    <x v="40"/>
    <x v="1"/>
  </r>
  <r>
    <x v="2"/>
    <x v="3"/>
    <x v="682"/>
    <x v="2"/>
    <x v="35"/>
    <x v="37"/>
    <x v="1"/>
    <x v="7"/>
    <x v="64"/>
    <x v="136"/>
    <x v="33"/>
    <x v="33"/>
    <x v="1"/>
  </r>
  <r>
    <x v="2"/>
    <x v="3"/>
    <x v="682"/>
    <x v="2"/>
    <x v="35"/>
    <x v="37"/>
    <x v="5"/>
    <x v="16"/>
    <x v="61"/>
    <x v="304"/>
    <x v="40"/>
    <x v="40"/>
    <x v="1"/>
  </r>
  <r>
    <x v="2"/>
    <x v="3"/>
    <x v="682"/>
    <x v="2"/>
    <x v="35"/>
    <x v="37"/>
    <x v="4"/>
    <x v="45"/>
    <x v="62"/>
    <x v="927"/>
    <x v="39"/>
    <x v="39"/>
    <x v="1"/>
  </r>
  <r>
    <x v="2"/>
    <x v="3"/>
    <x v="682"/>
    <x v="2"/>
    <x v="35"/>
    <x v="37"/>
    <x v="0"/>
    <x v="64"/>
    <x v="63"/>
    <x v="1314"/>
    <x v="35"/>
    <x v="35"/>
    <x v="1"/>
  </r>
  <r>
    <x v="2"/>
    <x v="3"/>
    <x v="682"/>
    <x v="2"/>
    <x v="35"/>
    <x v="37"/>
    <x v="3"/>
    <x v="65"/>
    <x v="87"/>
    <x v="1790"/>
    <x v="36"/>
    <x v="36"/>
    <x v="1"/>
  </r>
  <r>
    <x v="2"/>
    <x v="3"/>
    <x v="711"/>
    <x v="2"/>
    <x v="35"/>
    <x v="37"/>
    <x v="2"/>
    <x v="57"/>
    <x v="147"/>
    <x v="2323"/>
    <x v="41"/>
    <x v="41"/>
    <x v="1"/>
  </r>
  <r>
    <x v="2"/>
    <x v="3"/>
    <x v="711"/>
    <x v="2"/>
    <x v="35"/>
    <x v="37"/>
    <x v="1"/>
    <x v="51"/>
    <x v="100"/>
    <x v="1653"/>
    <x v="31"/>
    <x v="31"/>
    <x v="1"/>
  </r>
  <r>
    <x v="2"/>
    <x v="3"/>
    <x v="711"/>
    <x v="2"/>
    <x v="35"/>
    <x v="37"/>
    <x v="5"/>
    <x v="48"/>
    <x v="83"/>
    <x v="1339"/>
    <x v="36"/>
    <x v="36"/>
    <x v="1"/>
  </r>
  <r>
    <x v="2"/>
    <x v="3"/>
    <x v="711"/>
    <x v="2"/>
    <x v="35"/>
    <x v="37"/>
    <x v="4"/>
    <x v="47"/>
    <x v="77"/>
    <x v="1226"/>
    <x v="39"/>
    <x v="39"/>
    <x v="1"/>
  </r>
  <r>
    <x v="2"/>
    <x v="3"/>
    <x v="711"/>
    <x v="2"/>
    <x v="35"/>
    <x v="37"/>
    <x v="0"/>
    <x v="62"/>
    <x v="67"/>
    <x v="1346"/>
    <x v="34"/>
    <x v="34"/>
    <x v="1"/>
  </r>
  <r>
    <x v="2"/>
    <x v="3"/>
    <x v="711"/>
    <x v="2"/>
    <x v="35"/>
    <x v="37"/>
    <x v="3"/>
    <x v="61"/>
    <x v="103"/>
    <x v="1951"/>
    <x v="36"/>
    <x v="36"/>
    <x v="1"/>
  </r>
  <r>
    <x v="2"/>
    <x v="3"/>
    <x v="374"/>
    <x v="2"/>
    <x v="35"/>
    <x v="37"/>
    <x v="2"/>
    <x v="16"/>
    <x v="128"/>
    <x v="795"/>
    <x v="35"/>
    <x v="35"/>
    <x v="1"/>
  </r>
  <r>
    <x v="2"/>
    <x v="3"/>
    <x v="374"/>
    <x v="2"/>
    <x v="35"/>
    <x v="37"/>
    <x v="1"/>
    <x v="16"/>
    <x v="75"/>
    <x v="420"/>
    <x v="35"/>
    <x v="35"/>
    <x v="1"/>
  </r>
  <r>
    <x v="2"/>
    <x v="3"/>
    <x v="374"/>
    <x v="2"/>
    <x v="35"/>
    <x v="37"/>
    <x v="5"/>
    <x v="7"/>
    <x v="73"/>
    <x v="171"/>
    <x v="34"/>
    <x v="34"/>
    <x v="1"/>
  </r>
  <r>
    <x v="2"/>
    <x v="3"/>
    <x v="374"/>
    <x v="2"/>
    <x v="35"/>
    <x v="37"/>
    <x v="4"/>
    <x v="12"/>
    <x v="45"/>
    <x v="130"/>
    <x v="35"/>
    <x v="35"/>
    <x v="1"/>
  </r>
  <r>
    <x v="2"/>
    <x v="3"/>
    <x v="374"/>
    <x v="2"/>
    <x v="35"/>
    <x v="37"/>
    <x v="0"/>
    <x v="26"/>
    <x v="54"/>
    <x v="432"/>
    <x v="34"/>
    <x v="34"/>
    <x v="1"/>
  </r>
  <r>
    <x v="2"/>
    <x v="3"/>
    <x v="374"/>
    <x v="2"/>
    <x v="35"/>
    <x v="37"/>
    <x v="3"/>
    <x v="16"/>
    <x v="84"/>
    <x v="485"/>
    <x v="36"/>
    <x v="36"/>
    <x v="1"/>
  </r>
  <r>
    <x v="2"/>
    <x v="3"/>
    <x v="403"/>
    <x v="2"/>
    <x v="35"/>
    <x v="37"/>
    <x v="2"/>
    <x v="16"/>
    <x v="140"/>
    <x v="883"/>
    <x v="33"/>
    <x v="33"/>
    <x v="1"/>
  </r>
  <r>
    <x v="2"/>
    <x v="3"/>
    <x v="403"/>
    <x v="2"/>
    <x v="35"/>
    <x v="37"/>
    <x v="1"/>
    <x v="16"/>
    <x v="54"/>
    <x v="247"/>
    <x v="36"/>
    <x v="36"/>
    <x v="1"/>
  </r>
  <r>
    <x v="2"/>
    <x v="3"/>
    <x v="403"/>
    <x v="2"/>
    <x v="35"/>
    <x v="37"/>
    <x v="5"/>
    <x v="7"/>
    <x v="62"/>
    <x v="126"/>
    <x v="35"/>
    <x v="35"/>
    <x v="1"/>
  </r>
  <r>
    <x v="2"/>
    <x v="3"/>
    <x v="403"/>
    <x v="0"/>
    <x v="15"/>
    <x v="50"/>
    <x v="4"/>
    <x v="13"/>
    <x v="31"/>
    <x v="84"/>
    <x v="31"/>
    <x v="31"/>
    <x v="1"/>
  </r>
  <r>
    <x v="2"/>
    <x v="3"/>
    <x v="403"/>
    <x v="0"/>
    <x v="15"/>
    <x v="50"/>
    <x v="0"/>
    <x v="25"/>
    <x v="56"/>
    <x v="441"/>
    <x v="34"/>
    <x v="34"/>
    <x v="1"/>
  </r>
  <r>
    <x v="2"/>
    <x v="3"/>
    <x v="403"/>
    <x v="0"/>
    <x v="15"/>
    <x v="50"/>
    <x v="3"/>
    <x v="11"/>
    <x v="80"/>
    <x v="321"/>
    <x v="35"/>
    <x v="35"/>
    <x v="1"/>
  </r>
  <r>
    <x v="2"/>
    <x v="3"/>
    <x v="429"/>
    <x v="0"/>
    <x v="15"/>
    <x v="50"/>
    <x v="2"/>
    <x v="13"/>
    <x v="132"/>
    <x v="695"/>
    <x v="35"/>
    <x v="35"/>
    <x v="1"/>
  </r>
  <r>
    <x v="2"/>
    <x v="3"/>
    <x v="429"/>
    <x v="0"/>
    <x v="15"/>
    <x v="50"/>
    <x v="1"/>
    <x v="12"/>
    <x v="48"/>
    <x v="144"/>
    <x v="33"/>
    <x v="33"/>
    <x v="1"/>
  </r>
  <r>
    <x v="2"/>
    <x v="3"/>
    <x v="429"/>
    <x v="0"/>
    <x v="15"/>
    <x v="50"/>
    <x v="5"/>
    <x v="2"/>
    <x v="62"/>
    <x v="56"/>
    <x v="32"/>
    <x v="32"/>
    <x v="1"/>
  </r>
  <r>
    <x v="2"/>
    <x v="3"/>
    <x v="429"/>
    <x v="0"/>
    <x v="15"/>
    <x v="50"/>
    <x v="4"/>
    <x v="13"/>
    <x v="16"/>
    <x v="31"/>
    <x v="34"/>
    <x v="34"/>
    <x v="1"/>
  </r>
  <r>
    <x v="2"/>
    <x v="3"/>
    <x v="429"/>
    <x v="0"/>
    <x v="15"/>
    <x v="50"/>
    <x v="0"/>
    <x v="25"/>
    <x v="30"/>
    <x v="190"/>
    <x v="32"/>
    <x v="32"/>
    <x v="1"/>
  </r>
  <r>
    <x v="2"/>
    <x v="3"/>
    <x v="429"/>
    <x v="0"/>
    <x v="15"/>
    <x v="50"/>
    <x v="3"/>
    <x v="16"/>
    <x v="54"/>
    <x v="247"/>
    <x v="36"/>
    <x v="36"/>
    <x v="1"/>
  </r>
  <r>
    <x v="2"/>
    <x v="3"/>
    <x v="461"/>
    <x v="0"/>
    <x v="15"/>
    <x v="50"/>
    <x v="2"/>
    <x v="17"/>
    <x v="129"/>
    <x v="847"/>
    <x v="31"/>
    <x v="31"/>
    <x v="1"/>
  </r>
  <r>
    <x v="2"/>
    <x v="3"/>
    <x v="461"/>
    <x v="0"/>
    <x v="15"/>
    <x v="50"/>
    <x v="1"/>
    <x v="18"/>
    <x v="47"/>
    <x v="233"/>
    <x v="34"/>
    <x v="34"/>
    <x v="1"/>
  </r>
  <r>
    <x v="2"/>
    <x v="3"/>
    <x v="461"/>
    <x v="0"/>
    <x v="15"/>
    <x v="50"/>
    <x v="5"/>
    <x v="7"/>
    <x v="49"/>
    <x v="84"/>
    <x v="36"/>
    <x v="36"/>
    <x v="1"/>
  </r>
  <r>
    <x v="2"/>
    <x v="3"/>
    <x v="461"/>
    <x v="0"/>
    <x v="15"/>
    <x v="50"/>
    <x v="4"/>
    <x v="12"/>
    <x v="25"/>
    <x v="53"/>
    <x v="31"/>
    <x v="31"/>
    <x v="1"/>
  </r>
  <r>
    <x v="2"/>
    <x v="3"/>
    <x v="461"/>
    <x v="0"/>
    <x v="15"/>
    <x v="50"/>
    <x v="0"/>
    <x v="32"/>
    <x v="27"/>
    <x v="243"/>
    <x v="35"/>
    <x v="35"/>
    <x v="1"/>
  </r>
  <r>
    <x v="2"/>
    <x v="3"/>
    <x v="461"/>
    <x v="0"/>
    <x v="15"/>
    <x v="50"/>
    <x v="3"/>
    <x v="22"/>
    <x v="67"/>
    <x v="486"/>
    <x v="35"/>
    <x v="35"/>
    <x v="1"/>
  </r>
  <r>
    <x v="2"/>
    <x v="3"/>
    <x v="490"/>
    <x v="0"/>
    <x v="15"/>
    <x v="50"/>
    <x v="2"/>
    <x v="29"/>
    <x v="123"/>
    <x v="1241"/>
    <x v="31"/>
    <x v="31"/>
    <x v="1"/>
  </r>
  <r>
    <x v="2"/>
    <x v="3"/>
    <x v="490"/>
    <x v="0"/>
    <x v="15"/>
    <x v="50"/>
    <x v="1"/>
    <x v="32"/>
    <x v="63"/>
    <x v="674"/>
    <x v="34"/>
    <x v="34"/>
    <x v="1"/>
  </r>
  <r>
    <x v="2"/>
    <x v="3"/>
    <x v="490"/>
    <x v="0"/>
    <x v="15"/>
    <x v="50"/>
    <x v="5"/>
    <x v="25"/>
    <x v="54"/>
    <x v="416"/>
    <x v="35"/>
    <x v="35"/>
    <x v="1"/>
  </r>
  <r>
    <x v="2"/>
    <x v="3"/>
    <x v="490"/>
    <x v="0"/>
    <x v="15"/>
    <x v="50"/>
    <x v="4"/>
    <x v="25"/>
    <x v="47"/>
    <x v="346"/>
    <x v="36"/>
    <x v="36"/>
    <x v="1"/>
  </r>
  <r>
    <x v="2"/>
    <x v="3"/>
    <x v="490"/>
    <x v="0"/>
    <x v="15"/>
    <x v="50"/>
    <x v="0"/>
    <x v="36"/>
    <x v="45"/>
    <x v="503"/>
    <x v="36"/>
    <x v="36"/>
    <x v="1"/>
  </r>
  <r>
    <x v="2"/>
    <x v="3"/>
    <x v="490"/>
    <x v="0"/>
    <x v="15"/>
    <x v="50"/>
    <x v="3"/>
    <x v="35"/>
    <x v="77"/>
    <x v="941"/>
    <x v="31"/>
    <x v="31"/>
    <x v="1"/>
  </r>
  <r>
    <x v="2"/>
    <x v="3"/>
    <x v="523"/>
    <x v="0"/>
    <x v="15"/>
    <x v="50"/>
    <x v="2"/>
    <x v="30"/>
    <x v="124"/>
    <x v="1282"/>
    <x v="36"/>
    <x v="36"/>
    <x v="1"/>
  </r>
  <r>
    <x v="2"/>
    <x v="3"/>
    <x v="523"/>
    <x v="0"/>
    <x v="15"/>
    <x v="50"/>
    <x v="1"/>
    <x v="25"/>
    <x v="77"/>
    <x v="675"/>
    <x v="34"/>
    <x v="34"/>
    <x v="1"/>
  </r>
  <r>
    <x v="2"/>
    <x v="3"/>
    <x v="523"/>
    <x v="0"/>
    <x v="15"/>
    <x v="50"/>
    <x v="5"/>
    <x v="30"/>
    <x v="67"/>
    <x v="671"/>
    <x v="32"/>
    <x v="32"/>
    <x v="1"/>
  </r>
  <r>
    <x v="2"/>
    <x v="3"/>
    <x v="523"/>
    <x v="0"/>
    <x v="15"/>
    <x v="50"/>
    <x v="4"/>
    <x v="31"/>
    <x v="66"/>
    <x v="687"/>
    <x v="31"/>
    <x v="31"/>
    <x v="1"/>
  </r>
  <r>
    <x v="2"/>
    <x v="3"/>
    <x v="523"/>
    <x v="0"/>
    <x v="15"/>
    <x v="50"/>
    <x v="0"/>
    <x v="47"/>
    <x v="68"/>
    <x v="1082"/>
    <x v="34"/>
    <x v="34"/>
    <x v="1"/>
  </r>
  <r>
    <x v="2"/>
    <x v="3"/>
    <x v="523"/>
    <x v="0"/>
    <x v="15"/>
    <x v="50"/>
    <x v="3"/>
    <x v="51"/>
    <x v="98"/>
    <x v="1627"/>
    <x v="35"/>
    <x v="35"/>
    <x v="1"/>
  </r>
  <r>
    <x v="2"/>
    <x v="3"/>
    <x v="551"/>
    <x v="0"/>
    <x v="15"/>
    <x v="50"/>
    <x v="2"/>
    <x v="44"/>
    <x v="159"/>
    <x v="2102"/>
    <x v="36"/>
    <x v="36"/>
    <x v="1"/>
  </r>
  <r>
    <x v="2"/>
    <x v="3"/>
    <x v="551"/>
    <x v="0"/>
    <x v="15"/>
    <x v="50"/>
    <x v="1"/>
    <x v="42"/>
    <x v="100"/>
    <x v="1401"/>
    <x v="36"/>
    <x v="36"/>
    <x v="1"/>
  </r>
  <r>
    <x v="2"/>
    <x v="3"/>
    <x v="551"/>
    <x v="0"/>
    <x v="15"/>
    <x v="50"/>
    <x v="5"/>
    <x v="35"/>
    <x v="84"/>
    <x v="1024"/>
    <x v="32"/>
    <x v="32"/>
    <x v="1"/>
  </r>
  <r>
    <x v="2"/>
    <x v="3"/>
    <x v="551"/>
    <x v="0"/>
    <x v="15"/>
    <x v="50"/>
    <x v="4"/>
    <x v="36"/>
    <x v="62"/>
    <x v="742"/>
    <x v="35"/>
    <x v="35"/>
    <x v="1"/>
  </r>
  <r>
    <x v="2"/>
    <x v="3"/>
    <x v="551"/>
    <x v="0"/>
    <x v="15"/>
    <x v="50"/>
    <x v="0"/>
    <x v="49"/>
    <x v="75"/>
    <x v="1227"/>
    <x v="32"/>
    <x v="32"/>
    <x v="1"/>
  </r>
  <r>
    <x v="2"/>
    <x v="3"/>
    <x v="551"/>
    <x v="0"/>
    <x v="15"/>
    <x v="50"/>
    <x v="3"/>
    <x v="53"/>
    <x v="120"/>
    <x v="1959"/>
    <x v="35"/>
    <x v="35"/>
    <x v="1"/>
  </r>
  <r>
    <x v="2"/>
    <x v="3"/>
    <x v="583"/>
    <x v="0"/>
    <x v="15"/>
    <x v="50"/>
    <x v="2"/>
    <x v="49"/>
    <x v="165"/>
    <x v="2294"/>
    <x v="36"/>
    <x v="36"/>
    <x v="1"/>
  </r>
  <r>
    <x v="2"/>
    <x v="3"/>
    <x v="583"/>
    <x v="0"/>
    <x v="15"/>
    <x v="50"/>
    <x v="1"/>
    <x v="44"/>
    <x v="92"/>
    <x v="1365"/>
    <x v="31"/>
    <x v="31"/>
    <x v="1"/>
  </r>
  <r>
    <x v="2"/>
    <x v="3"/>
    <x v="583"/>
    <x v="0"/>
    <x v="15"/>
    <x v="50"/>
    <x v="5"/>
    <x v="40"/>
    <x v="84"/>
    <x v="1153"/>
    <x v="36"/>
    <x v="36"/>
    <x v="1"/>
  </r>
  <r>
    <x v="2"/>
    <x v="3"/>
    <x v="583"/>
    <x v="0"/>
    <x v="15"/>
    <x v="50"/>
    <x v="4"/>
    <x v="30"/>
    <x v="74"/>
    <x v="773"/>
    <x v="35"/>
    <x v="35"/>
    <x v="1"/>
  </r>
  <r>
    <x v="2"/>
    <x v="3"/>
    <x v="583"/>
    <x v="0"/>
    <x v="15"/>
    <x v="50"/>
    <x v="0"/>
    <x v="40"/>
    <x v="57"/>
    <x v="748"/>
    <x v="36"/>
    <x v="36"/>
    <x v="1"/>
  </r>
  <r>
    <x v="2"/>
    <x v="3"/>
    <x v="583"/>
    <x v="0"/>
    <x v="15"/>
    <x v="50"/>
    <x v="3"/>
    <x v="45"/>
    <x v="94"/>
    <x v="1411"/>
    <x v="36"/>
    <x v="36"/>
    <x v="1"/>
  </r>
  <r>
    <x v="2"/>
    <x v="3"/>
    <x v="613"/>
    <x v="0"/>
    <x v="15"/>
    <x v="50"/>
    <x v="2"/>
    <x v="40"/>
    <x v="143"/>
    <x v="1834"/>
    <x v="36"/>
    <x v="36"/>
    <x v="1"/>
  </r>
  <r>
    <x v="2"/>
    <x v="3"/>
    <x v="613"/>
    <x v="0"/>
    <x v="15"/>
    <x v="50"/>
    <x v="1"/>
    <x v="31"/>
    <x v="75"/>
    <x v="806"/>
    <x v="31"/>
    <x v="31"/>
    <x v="1"/>
  </r>
  <r>
    <x v="2"/>
    <x v="3"/>
    <x v="613"/>
    <x v="0"/>
    <x v="15"/>
    <x v="50"/>
    <x v="5"/>
    <x v="8"/>
    <x v="62"/>
    <x v="146"/>
    <x v="33"/>
    <x v="33"/>
    <x v="1"/>
  </r>
  <r>
    <x v="2"/>
    <x v="3"/>
    <x v="613"/>
    <x v="0"/>
    <x v="15"/>
    <x v="50"/>
    <x v="4"/>
    <x v="7"/>
    <x v="54"/>
    <x v="96"/>
    <x v="33"/>
    <x v="33"/>
    <x v="1"/>
  </r>
  <r>
    <x v="2"/>
    <x v="3"/>
    <x v="613"/>
    <x v="0"/>
    <x v="15"/>
    <x v="50"/>
    <x v="0"/>
    <x v="17"/>
    <x v="50"/>
    <x v="238"/>
    <x v="35"/>
    <x v="35"/>
    <x v="1"/>
  </r>
  <r>
    <x v="2"/>
    <x v="3"/>
    <x v="613"/>
    <x v="0"/>
    <x v="15"/>
    <x v="50"/>
    <x v="3"/>
    <x v="22"/>
    <x v="77"/>
    <x v="597"/>
    <x v="35"/>
    <x v="35"/>
    <x v="1"/>
  </r>
  <r>
    <x v="2"/>
    <x v="3"/>
    <x v="645"/>
    <x v="0"/>
    <x v="15"/>
    <x v="50"/>
    <x v="2"/>
    <x v="22"/>
    <x v="125"/>
    <x v="1006"/>
    <x v="32"/>
    <x v="32"/>
    <x v="1"/>
  </r>
  <r>
    <x v="2"/>
    <x v="3"/>
    <x v="645"/>
    <x v="0"/>
    <x v="15"/>
    <x v="50"/>
    <x v="1"/>
    <x v="12"/>
    <x v="70"/>
    <x v="279"/>
    <x v="32"/>
    <x v="32"/>
    <x v="1"/>
  </r>
  <r>
    <x v="2"/>
    <x v="3"/>
    <x v="645"/>
    <x v="0"/>
    <x v="15"/>
    <x v="50"/>
    <x v="5"/>
    <x v="12"/>
    <x v="49"/>
    <x v="151"/>
    <x v="33"/>
    <x v="33"/>
    <x v="1"/>
  </r>
  <r>
    <x v="2"/>
    <x v="3"/>
    <x v="645"/>
    <x v="0"/>
    <x v="15"/>
    <x v="50"/>
    <x v="4"/>
    <x v="12"/>
    <x v="36"/>
    <x v="92"/>
    <x v="34"/>
    <x v="34"/>
    <x v="1"/>
  </r>
  <r>
    <x v="2"/>
    <x v="3"/>
    <x v="645"/>
    <x v="0"/>
    <x v="15"/>
    <x v="50"/>
    <x v="0"/>
    <x v="22"/>
    <x v="35"/>
    <x v="194"/>
    <x v="35"/>
    <x v="35"/>
    <x v="1"/>
  </r>
  <r>
    <x v="1"/>
    <x v="3"/>
    <x v="645"/>
    <x v="0"/>
    <x v="15"/>
    <x v="50"/>
    <x v="3"/>
    <x v="21"/>
    <x v="74"/>
    <x v="534"/>
    <x v="34"/>
    <x v="34"/>
    <x v="1"/>
  </r>
  <r>
    <x v="1"/>
    <x v="3"/>
    <x v="675"/>
    <x v="0"/>
    <x v="15"/>
    <x v="50"/>
    <x v="2"/>
    <x v="16"/>
    <x v="102"/>
    <x v="618"/>
    <x v="33"/>
    <x v="33"/>
    <x v="1"/>
  </r>
  <r>
    <x v="1"/>
    <x v="3"/>
    <x v="675"/>
    <x v="0"/>
    <x v="15"/>
    <x v="50"/>
    <x v="1"/>
    <x v="7"/>
    <x v="59"/>
    <x v="119"/>
    <x v="36"/>
    <x v="36"/>
    <x v="1"/>
  </r>
  <r>
    <x v="1"/>
    <x v="3"/>
    <x v="675"/>
    <x v="0"/>
    <x v="15"/>
    <x v="50"/>
    <x v="5"/>
    <x v="16"/>
    <x v="44"/>
    <x v="177"/>
    <x v="36"/>
    <x v="36"/>
    <x v="1"/>
  </r>
  <r>
    <x v="1"/>
    <x v="3"/>
    <x v="675"/>
    <x v="0"/>
    <x v="15"/>
    <x v="50"/>
    <x v="4"/>
    <x v="47"/>
    <x v="68"/>
    <x v="1082"/>
    <x v="34"/>
    <x v="34"/>
    <x v="1"/>
  </r>
  <r>
    <x v="1"/>
    <x v="3"/>
    <x v="675"/>
    <x v="0"/>
    <x v="15"/>
    <x v="50"/>
    <x v="0"/>
    <x v="61"/>
    <x v="58"/>
    <x v="1148"/>
    <x v="32"/>
    <x v="32"/>
    <x v="1"/>
  </r>
  <r>
    <x v="1"/>
    <x v="3"/>
    <x v="675"/>
    <x v="0"/>
    <x v="15"/>
    <x v="50"/>
    <x v="3"/>
    <x v="66"/>
    <x v="73"/>
    <x v="1548"/>
    <x v="32"/>
    <x v="32"/>
    <x v="1"/>
  </r>
  <r>
    <x v="1"/>
    <x v="3"/>
    <x v="704"/>
    <x v="0"/>
    <x v="15"/>
    <x v="50"/>
    <x v="2"/>
    <x v="59"/>
    <x v="129"/>
    <x v="2194"/>
    <x v="36"/>
    <x v="36"/>
    <x v="1"/>
  </r>
  <r>
    <x v="1"/>
    <x v="3"/>
    <x v="704"/>
    <x v="0"/>
    <x v="15"/>
    <x v="50"/>
    <x v="1"/>
    <x v="52"/>
    <x v="101"/>
    <x v="1691"/>
    <x v="36"/>
    <x v="36"/>
    <x v="1"/>
  </r>
  <r>
    <x v="1"/>
    <x v="3"/>
    <x v="704"/>
    <x v="0"/>
    <x v="15"/>
    <x v="50"/>
    <x v="5"/>
    <x v="51"/>
    <x v="78"/>
    <x v="1325"/>
    <x v="32"/>
    <x v="32"/>
    <x v="1"/>
  </r>
  <r>
    <x v="1"/>
    <x v="3"/>
    <x v="704"/>
    <x v="0"/>
    <x v="15"/>
    <x v="50"/>
    <x v="4"/>
    <x v="52"/>
    <x v="74"/>
    <x v="1277"/>
    <x v="31"/>
    <x v="31"/>
    <x v="1"/>
  </r>
  <r>
    <x v="1"/>
    <x v="3"/>
    <x v="704"/>
    <x v="0"/>
    <x v="15"/>
    <x v="50"/>
    <x v="0"/>
    <x v="57"/>
    <x v="67"/>
    <x v="1250"/>
    <x v="36"/>
    <x v="36"/>
    <x v="1"/>
  </r>
  <r>
    <x v="1"/>
    <x v="3"/>
    <x v="704"/>
    <x v="0"/>
    <x v="15"/>
    <x v="50"/>
    <x v="3"/>
    <x v="61"/>
    <x v="93"/>
    <x v="1800"/>
    <x v="32"/>
    <x v="32"/>
    <x v="1"/>
  </r>
  <r>
    <x v="1"/>
    <x v="1"/>
    <x v="370"/>
    <x v="0"/>
    <x v="15"/>
    <x v="50"/>
    <x v="2"/>
    <x v="31"/>
    <x v="118"/>
    <x v="1264"/>
    <x v="35"/>
    <x v="35"/>
    <x v="1"/>
  </r>
  <r>
    <x v="1"/>
    <x v="1"/>
    <x v="370"/>
    <x v="0"/>
    <x v="15"/>
    <x v="50"/>
    <x v="1"/>
    <x v="30"/>
    <x v="66"/>
    <x v="659"/>
    <x v="26"/>
    <x v="26"/>
    <x v="1"/>
  </r>
  <r>
    <x v="1"/>
    <x v="1"/>
    <x v="370"/>
    <x v="0"/>
    <x v="15"/>
    <x v="50"/>
    <x v="5"/>
    <x v="20"/>
    <x v="68"/>
    <x v="459"/>
    <x v="30"/>
    <x v="30"/>
    <x v="1"/>
  </r>
  <r>
    <x v="1"/>
    <x v="1"/>
    <x v="370"/>
    <x v="0"/>
    <x v="15"/>
    <x v="50"/>
    <x v="4"/>
    <x v="27"/>
    <x v="26"/>
    <x v="169"/>
    <x v="26"/>
    <x v="26"/>
    <x v="1"/>
  </r>
  <r>
    <x v="1"/>
    <x v="1"/>
    <x v="370"/>
    <x v="0"/>
    <x v="15"/>
    <x v="50"/>
    <x v="0"/>
    <x v="41"/>
    <x v="33"/>
    <x v="425"/>
    <x v="33"/>
    <x v="33"/>
    <x v="1"/>
  </r>
  <r>
    <x v="1"/>
    <x v="1"/>
    <x v="370"/>
    <x v="0"/>
    <x v="15"/>
    <x v="50"/>
    <x v="3"/>
    <x v="30"/>
    <x v="59"/>
    <x v="577"/>
    <x v="41"/>
    <x v="41"/>
    <x v="1"/>
  </r>
  <r>
    <x v="1"/>
    <x v="1"/>
    <x v="401"/>
    <x v="0"/>
    <x v="15"/>
    <x v="50"/>
    <x v="2"/>
    <x v="30"/>
    <x v="137"/>
    <x v="1403"/>
    <x v="36"/>
    <x v="36"/>
    <x v="1"/>
  </r>
  <r>
    <x v="1"/>
    <x v="1"/>
    <x v="401"/>
    <x v="0"/>
    <x v="15"/>
    <x v="50"/>
    <x v="1"/>
    <x v="32"/>
    <x v="36"/>
    <x v="339"/>
    <x v="30"/>
    <x v="30"/>
    <x v="1"/>
  </r>
  <r>
    <x v="1"/>
    <x v="1"/>
    <x v="401"/>
    <x v="0"/>
    <x v="15"/>
    <x v="50"/>
    <x v="5"/>
    <x v="22"/>
    <x v="48"/>
    <x v="306"/>
    <x v="29"/>
    <x v="29"/>
    <x v="1"/>
  </r>
  <r>
    <x v="1"/>
    <x v="1"/>
    <x v="401"/>
    <x v="0"/>
    <x v="40"/>
    <x v="48"/>
    <x v="4"/>
    <x v="26"/>
    <x v="15"/>
    <x v="82"/>
    <x v="30"/>
    <x v="30"/>
    <x v="1"/>
  </r>
  <r>
    <x v="1"/>
    <x v="1"/>
    <x v="401"/>
    <x v="0"/>
    <x v="40"/>
    <x v="48"/>
    <x v="0"/>
    <x v="41"/>
    <x v="35"/>
    <x v="451"/>
    <x v="31"/>
    <x v="31"/>
    <x v="1"/>
  </r>
  <r>
    <x v="1"/>
    <x v="1"/>
    <x v="401"/>
    <x v="0"/>
    <x v="40"/>
    <x v="48"/>
    <x v="3"/>
    <x v="25"/>
    <x v="66"/>
    <x v="545"/>
    <x v="41"/>
    <x v="41"/>
    <x v="1"/>
  </r>
  <r>
    <x v="1"/>
    <x v="1"/>
    <x v="428"/>
    <x v="0"/>
    <x v="40"/>
    <x v="48"/>
    <x v="2"/>
    <x v="32"/>
    <x v="104"/>
    <x v="1163"/>
    <x v="35"/>
    <x v="35"/>
    <x v="1"/>
  </r>
  <r>
    <x v="1"/>
    <x v="1"/>
    <x v="428"/>
    <x v="0"/>
    <x v="40"/>
    <x v="48"/>
    <x v="1"/>
    <x v="30"/>
    <x v="39"/>
    <x v="344"/>
    <x v="28"/>
    <x v="28"/>
    <x v="1"/>
  </r>
  <r>
    <x v="1"/>
    <x v="1"/>
    <x v="428"/>
    <x v="0"/>
    <x v="40"/>
    <x v="48"/>
    <x v="5"/>
    <x v="20"/>
    <x v="48"/>
    <x v="273"/>
    <x v="28"/>
    <x v="28"/>
    <x v="1"/>
  </r>
  <r>
    <x v="1"/>
    <x v="1"/>
    <x v="428"/>
    <x v="0"/>
    <x v="40"/>
    <x v="48"/>
    <x v="4"/>
    <x v="26"/>
    <x v="13"/>
    <x v="73"/>
    <x v="30"/>
    <x v="30"/>
    <x v="1"/>
  </r>
  <r>
    <x v="1"/>
    <x v="1"/>
    <x v="428"/>
    <x v="0"/>
    <x v="40"/>
    <x v="48"/>
    <x v="0"/>
    <x v="40"/>
    <x v="21"/>
    <x v="235"/>
    <x v="36"/>
    <x v="36"/>
    <x v="1"/>
  </r>
  <r>
    <x v="1"/>
    <x v="1"/>
    <x v="428"/>
    <x v="0"/>
    <x v="40"/>
    <x v="48"/>
    <x v="3"/>
    <x v="30"/>
    <x v="48"/>
    <x v="443"/>
    <x v="39"/>
    <x v="39"/>
    <x v="1"/>
  </r>
  <r>
    <x v="1"/>
    <x v="1"/>
    <x v="460"/>
    <x v="0"/>
    <x v="40"/>
    <x v="48"/>
    <x v="2"/>
    <x v="31"/>
    <x v="94"/>
    <x v="1028"/>
    <x v="32"/>
    <x v="32"/>
    <x v="1"/>
  </r>
  <r>
    <x v="1"/>
    <x v="1"/>
    <x v="460"/>
    <x v="0"/>
    <x v="40"/>
    <x v="48"/>
    <x v="1"/>
    <x v="32"/>
    <x v="31"/>
    <x v="285"/>
    <x v="27"/>
    <x v="27"/>
    <x v="1"/>
  </r>
  <r>
    <x v="1"/>
    <x v="1"/>
    <x v="460"/>
    <x v="0"/>
    <x v="40"/>
    <x v="48"/>
    <x v="5"/>
    <x v="22"/>
    <x v="34"/>
    <x v="188"/>
    <x v="26"/>
    <x v="26"/>
    <x v="1"/>
  </r>
  <r>
    <x v="1"/>
    <x v="1"/>
    <x v="460"/>
    <x v="0"/>
    <x v="40"/>
    <x v="48"/>
    <x v="4"/>
    <x v="27"/>
    <x v="10"/>
    <x v="57"/>
    <x v="29"/>
    <x v="29"/>
    <x v="1"/>
  </r>
  <r>
    <x v="1"/>
    <x v="1"/>
    <x v="460"/>
    <x v="0"/>
    <x v="40"/>
    <x v="48"/>
    <x v="0"/>
    <x v="49"/>
    <x v="19"/>
    <x v="282"/>
    <x v="32"/>
    <x v="32"/>
    <x v="1"/>
  </r>
  <r>
    <x v="1"/>
    <x v="1"/>
    <x v="460"/>
    <x v="0"/>
    <x v="40"/>
    <x v="48"/>
    <x v="3"/>
    <x v="41"/>
    <x v="50"/>
    <x v="652"/>
    <x v="39"/>
    <x v="39"/>
    <x v="1"/>
  </r>
  <r>
    <x v="1"/>
    <x v="1"/>
    <x v="491"/>
    <x v="0"/>
    <x v="40"/>
    <x v="48"/>
    <x v="2"/>
    <x v="51"/>
    <x v="119"/>
    <x v="1896"/>
    <x v="33"/>
    <x v="33"/>
    <x v="1"/>
  </r>
  <r>
    <x v="1"/>
    <x v="1"/>
    <x v="491"/>
    <x v="0"/>
    <x v="40"/>
    <x v="48"/>
    <x v="1"/>
    <x v="38"/>
    <x v="49"/>
    <x v="589"/>
    <x v="31"/>
    <x v="31"/>
    <x v="1"/>
  </r>
  <r>
    <x v="1"/>
    <x v="1"/>
    <x v="491"/>
    <x v="0"/>
    <x v="40"/>
    <x v="48"/>
    <x v="5"/>
    <x v="36"/>
    <x v="35"/>
    <x v="384"/>
    <x v="28"/>
    <x v="28"/>
    <x v="1"/>
  </r>
  <r>
    <x v="1"/>
    <x v="1"/>
    <x v="491"/>
    <x v="0"/>
    <x v="40"/>
    <x v="48"/>
    <x v="4"/>
    <x v="36"/>
    <x v="16"/>
    <x v="142"/>
    <x v="31"/>
    <x v="31"/>
    <x v="1"/>
  </r>
  <r>
    <x v="1"/>
    <x v="1"/>
    <x v="491"/>
    <x v="0"/>
    <x v="40"/>
    <x v="48"/>
    <x v="0"/>
    <x v="44"/>
    <x v="27"/>
    <x v="372"/>
    <x v="36"/>
    <x v="36"/>
    <x v="1"/>
  </r>
  <r>
    <x v="1"/>
    <x v="1"/>
    <x v="491"/>
    <x v="0"/>
    <x v="40"/>
    <x v="48"/>
    <x v="3"/>
    <x v="51"/>
    <x v="56"/>
    <x v="940"/>
    <x v="37"/>
    <x v="37"/>
    <x v="1"/>
  </r>
  <r>
    <x v="1"/>
    <x v="1"/>
    <x v="521"/>
    <x v="0"/>
    <x v="40"/>
    <x v="48"/>
    <x v="2"/>
    <x v="34"/>
    <x v="115"/>
    <x v="1330"/>
    <x v="32"/>
    <x v="32"/>
    <x v="1"/>
  </r>
  <r>
    <x v="1"/>
    <x v="1"/>
    <x v="521"/>
    <x v="0"/>
    <x v="40"/>
    <x v="48"/>
    <x v="1"/>
    <x v="32"/>
    <x v="58"/>
    <x v="600"/>
    <x v="26"/>
    <x v="26"/>
    <x v="1"/>
  </r>
  <r>
    <x v="1"/>
    <x v="1"/>
    <x v="521"/>
    <x v="0"/>
    <x v="40"/>
    <x v="48"/>
    <x v="5"/>
    <x v="25"/>
    <x v="43"/>
    <x v="311"/>
    <x v="29"/>
    <x v="29"/>
    <x v="1"/>
  </r>
  <r>
    <x v="1"/>
    <x v="1"/>
    <x v="521"/>
    <x v="0"/>
    <x v="40"/>
    <x v="48"/>
    <x v="4"/>
    <x v="25"/>
    <x v="38"/>
    <x v="269"/>
    <x v="31"/>
    <x v="31"/>
    <x v="1"/>
  </r>
  <r>
    <x v="1"/>
    <x v="1"/>
    <x v="521"/>
    <x v="0"/>
    <x v="40"/>
    <x v="48"/>
    <x v="0"/>
    <x v="34"/>
    <x v="40"/>
    <x v="419"/>
    <x v="31"/>
    <x v="31"/>
    <x v="1"/>
  </r>
  <r>
    <x v="1"/>
    <x v="1"/>
    <x v="521"/>
    <x v="0"/>
    <x v="40"/>
    <x v="48"/>
    <x v="3"/>
    <x v="43"/>
    <x v="77"/>
    <x v="1135"/>
    <x v="39"/>
    <x v="39"/>
    <x v="1"/>
  </r>
  <r>
    <x v="1"/>
    <x v="1"/>
    <x v="550"/>
    <x v="0"/>
    <x v="40"/>
    <x v="48"/>
    <x v="2"/>
    <x v="40"/>
    <x v="133"/>
    <x v="1722"/>
    <x v="32"/>
    <x v="32"/>
    <x v="1"/>
  </r>
  <r>
    <x v="1"/>
    <x v="1"/>
    <x v="550"/>
    <x v="0"/>
    <x v="40"/>
    <x v="48"/>
    <x v="1"/>
    <x v="37"/>
    <x v="67"/>
    <x v="833"/>
    <x v="31"/>
    <x v="31"/>
    <x v="1"/>
  </r>
  <r>
    <x v="1"/>
    <x v="1"/>
    <x v="550"/>
    <x v="0"/>
    <x v="40"/>
    <x v="48"/>
    <x v="5"/>
    <x v="30"/>
    <x v="50"/>
    <x v="464"/>
    <x v="28"/>
    <x v="28"/>
    <x v="1"/>
  </r>
  <r>
    <x v="1"/>
    <x v="1"/>
    <x v="550"/>
    <x v="0"/>
    <x v="40"/>
    <x v="48"/>
    <x v="4"/>
    <x v="31"/>
    <x v="33"/>
    <x v="295"/>
    <x v="29"/>
    <x v="29"/>
    <x v="1"/>
  </r>
  <r>
    <x v="1"/>
    <x v="1"/>
    <x v="550"/>
    <x v="0"/>
    <x v="40"/>
    <x v="48"/>
    <x v="0"/>
    <x v="42"/>
    <x v="41"/>
    <x v="541"/>
    <x v="32"/>
    <x v="32"/>
    <x v="1"/>
  </r>
  <r>
    <x v="1"/>
    <x v="1"/>
    <x v="550"/>
    <x v="0"/>
    <x v="40"/>
    <x v="48"/>
    <x v="3"/>
    <x v="46"/>
    <x v="77"/>
    <x v="1203"/>
    <x v="39"/>
    <x v="39"/>
    <x v="1"/>
  </r>
  <r>
    <x v="1"/>
    <x v="1"/>
    <x v="582"/>
    <x v="0"/>
    <x v="40"/>
    <x v="48"/>
    <x v="2"/>
    <x v="42"/>
    <x v="111"/>
    <x v="1546"/>
    <x v="34"/>
    <x v="34"/>
    <x v="1"/>
  </r>
  <r>
    <x v="1"/>
    <x v="1"/>
    <x v="582"/>
    <x v="0"/>
    <x v="40"/>
    <x v="48"/>
    <x v="1"/>
    <x v="35"/>
    <x v="64"/>
    <x v="758"/>
    <x v="31"/>
    <x v="31"/>
    <x v="1"/>
  </r>
  <r>
    <x v="1"/>
    <x v="1"/>
    <x v="582"/>
    <x v="0"/>
    <x v="40"/>
    <x v="48"/>
    <x v="5"/>
    <x v="29"/>
    <x v="54"/>
    <x v="484"/>
    <x v="26"/>
    <x v="26"/>
    <x v="1"/>
  </r>
  <r>
    <x v="1"/>
    <x v="1"/>
    <x v="582"/>
    <x v="0"/>
    <x v="40"/>
    <x v="48"/>
    <x v="4"/>
    <x v="31"/>
    <x v="47"/>
    <x v="449"/>
    <x v="29"/>
    <x v="29"/>
    <x v="1"/>
  </r>
  <r>
    <x v="1"/>
    <x v="1"/>
    <x v="582"/>
    <x v="0"/>
    <x v="40"/>
    <x v="48"/>
    <x v="0"/>
    <x v="40"/>
    <x v="35"/>
    <x v="438"/>
    <x v="32"/>
    <x v="32"/>
    <x v="1"/>
  </r>
  <r>
    <x v="1"/>
    <x v="1"/>
    <x v="582"/>
    <x v="0"/>
    <x v="40"/>
    <x v="48"/>
    <x v="3"/>
    <x v="46"/>
    <x v="73"/>
    <x v="1126"/>
    <x v="36"/>
    <x v="36"/>
    <x v="1"/>
  </r>
  <r>
    <x v="1"/>
    <x v="1"/>
    <x v="614"/>
    <x v="0"/>
    <x v="40"/>
    <x v="48"/>
    <x v="2"/>
    <x v="35"/>
    <x v="118"/>
    <x v="1393"/>
    <x v="31"/>
    <x v="31"/>
    <x v="1"/>
  </r>
  <r>
    <x v="1"/>
    <x v="1"/>
    <x v="614"/>
    <x v="0"/>
    <x v="40"/>
    <x v="48"/>
    <x v="1"/>
    <x v="32"/>
    <x v="66"/>
    <x v="709"/>
    <x v="26"/>
    <x v="26"/>
    <x v="1"/>
  </r>
  <r>
    <x v="1"/>
    <x v="1"/>
    <x v="614"/>
    <x v="0"/>
    <x v="40"/>
    <x v="48"/>
    <x v="5"/>
    <x v="25"/>
    <x v="42"/>
    <x v="302"/>
    <x v="26"/>
    <x v="26"/>
    <x v="1"/>
  </r>
  <r>
    <x v="1"/>
    <x v="1"/>
    <x v="614"/>
    <x v="0"/>
    <x v="40"/>
    <x v="48"/>
    <x v="4"/>
    <x v="27"/>
    <x v="28"/>
    <x v="192"/>
    <x v="26"/>
    <x v="26"/>
    <x v="1"/>
  </r>
  <r>
    <x v="1"/>
    <x v="1"/>
    <x v="614"/>
    <x v="0"/>
    <x v="40"/>
    <x v="48"/>
    <x v="0"/>
    <x v="34"/>
    <x v="31"/>
    <x v="309"/>
    <x v="36"/>
    <x v="36"/>
    <x v="1"/>
  </r>
  <r>
    <x v="1"/>
    <x v="1"/>
    <x v="614"/>
    <x v="0"/>
    <x v="40"/>
    <x v="48"/>
    <x v="3"/>
    <x v="39"/>
    <x v="54"/>
    <x v="668"/>
    <x v="36"/>
    <x v="36"/>
    <x v="1"/>
  </r>
  <r>
    <x v="1"/>
    <x v="1"/>
    <x v="643"/>
    <x v="0"/>
    <x v="40"/>
    <x v="48"/>
    <x v="2"/>
    <x v="47"/>
    <x v="86"/>
    <x v="1351"/>
    <x v="32"/>
    <x v="32"/>
    <x v="1"/>
  </r>
  <r>
    <x v="1"/>
    <x v="1"/>
    <x v="643"/>
    <x v="0"/>
    <x v="40"/>
    <x v="48"/>
    <x v="1"/>
    <x v="34"/>
    <x v="62"/>
    <x v="699"/>
    <x v="28"/>
    <x v="28"/>
    <x v="1"/>
  </r>
  <r>
    <x v="1"/>
    <x v="1"/>
    <x v="643"/>
    <x v="0"/>
    <x v="40"/>
    <x v="48"/>
    <x v="5"/>
    <x v="36"/>
    <x v="31"/>
    <x v="334"/>
    <x v="26"/>
    <x v="26"/>
    <x v="1"/>
  </r>
  <r>
    <x v="1"/>
    <x v="1"/>
    <x v="643"/>
    <x v="0"/>
    <x v="40"/>
    <x v="48"/>
    <x v="4"/>
    <x v="36"/>
    <x v="26"/>
    <x v="263"/>
    <x v="31"/>
    <x v="31"/>
    <x v="1"/>
  </r>
  <r>
    <x v="1"/>
    <x v="1"/>
    <x v="643"/>
    <x v="0"/>
    <x v="40"/>
    <x v="48"/>
    <x v="0"/>
    <x v="47"/>
    <x v="27"/>
    <x v="406"/>
    <x v="33"/>
    <x v="33"/>
    <x v="1"/>
  </r>
  <r>
    <x v="3"/>
    <x v="1"/>
    <x v="643"/>
    <x v="0"/>
    <x v="40"/>
    <x v="48"/>
    <x v="3"/>
    <x v="48"/>
    <x v="58"/>
    <x v="911"/>
    <x v="41"/>
    <x v="41"/>
    <x v="1"/>
  </r>
  <r>
    <x v="3"/>
    <x v="1"/>
    <x v="674"/>
    <x v="0"/>
    <x v="40"/>
    <x v="48"/>
    <x v="2"/>
    <x v="46"/>
    <x v="86"/>
    <x v="1326"/>
    <x v="35"/>
    <x v="35"/>
    <x v="1"/>
  </r>
  <r>
    <x v="3"/>
    <x v="1"/>
    <x v="674"/>
    <x v="0"/>
    <x v="40"/>
    <x v="48"/>
    <x v="1"/>
    <x v="34"/>
    <x v="52"/>
    <x v="550"/>
    <x v="27"/>
    <x v="27"/>
    <x v="1"/>
  </r>
  <r>
    <x v="3"/>
    <x v="1"/>
    <x v="674"/>
    <x v="0"/>
    <x v="40"/>
    <x v="48"/>
    <x v="5"/>
    <x v="36"/>
    <x v="46"/>
    <x v="517"/>
    <x v="30"/>
    <x v="30"/>
    <x v="1"/>
  </r>
  <r>
    <x v="3"/>
    <x v="1"/>
    <x v="674"/>
    <x v="0"/>
    <x v="40"/>
    <x v="48"/>
    <x v="4"/>
    <x v="36"/>
    <x v="33"/>
    <x v="358"/>
    <x v="30"/>
    <x v="30"/>
    <x v="1"/>
  </r>
  <r>
    <x v="3"/>
    <x v="1"/>
    <x v="674"/>
    <x v="0"/>
    <x v="40"/>
    <x v="48"/>
    <x v="0"/>
    <x v="52"/>
    <x v="34"/>
    <x v="574"/>
    <x v="32"/>
    <x v="32"/>
    <x v="1"/>
  </r>
  <r>
    <x v="3"/>
    <x v="1"/>
    <x v="674"/>
    <x v="0"/>
    <x v="40"/>
    <x v="48"/>
    <x v="3"/>
    <x v="54"/>
    <x v="54"/>
    <x v="945"/>
    <x v="36"/>
    <x v="36"/>
    <x v="1"/>
  </r>
  <r>
    <x v="3"/>
    <x v="1"/>
    <x v="703"/>
    <x v="0"/>
    <x v="40"/>
    <x v="48"/>
    <x v="2"/>
    <x v="51"/>
    <x v="120"/>
    <x v="1908"/>
    <x v="32"/>
    <x v="32"/>
    <x v="1"/>
  </r>
  <r>
    <x v="3"/>
    <x v="1"/>
    <x v="703"/>
    <x v="0"/>
    <x v="40"/>
    <x v="48"/>
    <x v="1"/>
    <x v="38"/>
    <x v="62"/>
    <x v="784"/>
    <x v="29"/>
    <x v="29"/>
    <x v="1"/>
  </r>
  <r>
    <x v="3"/>
    <x v="1"/>
    <x v="703"/>
    <x v="0"/>
    <x v="40"/>
    <x v="48"/>
    <x v="5"/>
    <x v="38"/>
    <x v="60"/>
    <x v="761"/>
    <x v="28"/>
    <x v="28"/>
    <x v="1"/>
  </r>
  <r>
    <x v="3"/>
    <x v="1"/>
    <x v="703"/>
    <x v="0"/>
    <x v="40"/>
    <x v="48"/>
    <x v="4"/>
    <x v="38"/>
    <x v="39"/>
    <x v="461"/>
    <x v="31"/>
    <x v="31"/>
    <x v="1"/>
  </r>
  <r>
    <x v="3"/>
    <x v="1"/>
    <x v="703"/>
    <x v="0"/>
    <x v="40"/>
    <x v="48"/>
    <x v="0"/>
    <x v="49"/>
    <x v="39"/>
    <x v="616"/>
    <x v="31"/>
    <x v="31"/>
    <x v="1"/>
  </r>
  <r>
    <x v="3"/>
    <x v="1"/>
    <x v="703"/>
    <x v="0"/>
    <x v="40"/>
    <x v="48"/>
    <x v="3"/>
    <x v="57"/>
    <x v="62"/>
    <x v="1155"/>
    <x v="38"/>
    <x v="38"/>
    <x v="1"/>
  </r>
  <r>
    <x v="3"/>
    <x v="1"/>
    <x v="367"/>
    <x v="0"/>
    <x v="40"/>
    <x v="48"/>
    <x v="2"/>
    <x v="26"/>
    <x v="108"/>
    <x v="1011"/>
    <x v="31"/>
    <x v="31"/>
    <x v="1"/>
  </r>
  <r>
    <x v="3"/>
    <x v="1"/>
    <x v="367"/>
    <x v="0"/>
    <x v="40"/>
    <x v="48"/>
    <x v="1"/>
    <x v="25"/>
    <x v="61"/>
    <x v="490"/>
    <x v="30"/>
    <x v="30"/>
    <x v="1"/>
  </r>
  <r>
    <x v="3"/>
    <x v="1"/>
    <x v="367"/>
    <x v="0"/>
    <x v="40"/>
    <x v="48"/>
    <x v="5"/>
    <x v="18"/>
    <x v="61"/>
    <x v="344"/>
    <x v="26"/>
    <x v="26"/>
    <x v="1"/>
  </r>
  <r>
    <x v="3"/>
    <x v="1"/>
    <x v="367"/>
    <x v="0"/>
    <x v="40"/>
    <x v="48"/>
    <x v="4"/>
    <x v="21"/>
    <x v="23"/>
    <x v="99"/>
    <x v="31"/>
    <x v="31"/>
    <x v="1"/>
  </r>
  <r>
    <x v="3"/>
    <x v="1"/>
    <x v="367"/>
    <x v="0"/>
    <x v="40"/>
    <x v="48"/>
    <x v="0"/>
    <x v="36"/>
    <x v="38"/>
    <x v="423"/>
    <x v="35"/>
    <x v="35"/>
    <x v="1"/>
  </r>
  <r>
    <x v="3"/>
    <x v="1"/>
    <x v="367"/>
    <x v="0"/>
    <x v="40"/>
    <x v="48"/>
    <x v="3"/>
    <x v="26"/>
    <x v="59"/>
    <x v="492"/>
    <x v="37"/>
    <x v="37"/>
    <x v="1"/>
  </r>
  <r>
    <x v="3"/>
    <x v="1"/>
    <x v="398"/>
    <x v="0"/>
    <x v="40"/>
    <x v="48"/>
    <x v="2"/>
    <x v="27"/>
    <x v="131"/>
    <x v="1246"/>
    <x v="31"/>
    <x v="31"/>
    <x v="1"/>
  </r>
  <r>
    <x v="3"/>
    <x v="1"/>
    <x v="398"/>
    <x v="0"/>
    <x v="40"/>
    <x v="48"/>
    <x v="1"/>
    <x v="27"/>
    <x v="40"/>
    <x v="313"/>
    <x v="29"/>
    <x v="29"/>
    <x v="1"/>
  </r>
  <r>
    <x v="3"/>
    <x v="1"/>
    <x v="398"/>
    <x v="0"/>
    <x v="40"/>
    <x v="48"/>
    <x v="5"/>
    <x v="17"/>
    <x v="56"/>
    <x v="284"/>
    <x v="28"/>
    <x v="28"/>
    <x v="1"/>
  </r>
  <r>
    <x v="3"/>
    <x v="1"/>
    <x v="398"/>
    <x v="0"/>
    <x v="33"/>
    <x v="19"/>
    <x v="4"/>
    <x v="22"/>
    <x v="20"/>
    <x v="86"/>
    <x v="31"/>
    <x v="31"/>
    <x v="1"/>
  </r>
  <r>
    <x v="3"/>
    <x v="1"/>
    <x v="398"/>
    <x v="0"/>
    <x v="33"/>
    <x v="19"/>
    <x v="0"/>
    <x v="35"/>
    <x v="40"/>
    <x v="431"/>
    <x v="35"/>
    <x v="35"/>
    <x v="1"/>
  </r>
  <r>
    <x v="3"/>
    <x v="1"/>
    <x v="398"/>
    <x v="0"/>
    <x v="33"/>
    <x v="19"/>
    <x v="3"/>
    <x v="16"/>
    <x v="57"/>
    <x v="272"/>
    <x v="37"/>
    <x v="37"/>
    <x v="1"/>
  </r>
  <r>
    <x v="3"/>
    <x v="1"/>
    <x v="425"/>
    <x v="0"/>
    <x v="33"/>
    <x v="19"/>
    <x v="2"/>
    <x v="22"/>
    <x v="114"/>
    <x v="923"/>
    <x v="33"/>
    <x v="33"/>
    <x v="1"/>
  </r>
  <r>
    <x v="3"/>
    <x v="1"/>
    <x v="425"/>
    <x v="0"/>
    <x v="33"/>
    <x v="19"/>
    <x v="1"/>
    <x v="20"/>
    <x v="47"/>
    <x v="268"/>
    <x v="28"/>
    <x v="28"/>
    <x v="1"/>
  </r>
  <r>
    <x v="3"/>
    <x v="1"/>
    <x v="425"/>
    <x v="0"/>
    <x v="33"/>
    <x v="19"/>
    <x v="5"/>
    <x v="12"/>
    <x v="45"/>
    <x v="130"/>
    <x v="28"/>
    <x v="28"/>
    <x v="1"/>
  </r>
  <r>
    <x v="3"/>
    <x v="1"/>
    <x v="425"/>
    <x v="0"/>
    <x v="33"/>
    <x v="19"/>
    <x v="4"/>
    <x v="18"/>
    <x v="12"/>
    <x v="36"/>
    <x v="28"/>
    <x v="28"/>
    <x v="1"/>
  </r>
  <r>
    <x v="3"/>
    <x v="1"/>
    <x v="425"/>
    <x v="0"/>
    <x v="33"/>
    <x v="19"/>
    <x v="0"/>
    <x v="29"/>
    <x v="26"/>
    <x v="186"/>
    <x v="36"/>
    <x v="36"/>
    <x v="1"/>
  </r>
  <r>
    <x v="3"/>
    <x v="1"/>
    <x v="425"/>
    <x v="0"/>
    <x v="33"/>
    <x v="19"/>
    <x v="3"/>
    <x v="21"/>
    <x v="52"/>
    <x v="321"/>
    <x v="38"/>
    <x v="38"/>
    <x v="1"/>
  </r>
  <r>
    <x v="3"/>
    <x v="1"/>
    <x v="457"/>
    <x v="0"/>
    <x v="33"/>
    <x v="19"/>
    <x v="2"/>
    <x v="21"/>
    <x v="94"/>
    <x v="725"/>
    <x v="35"/>
    <x v="35"/>
    <x v="1"/>
  </r>
  <r>
    <x v="3"/>
    <x v="1"/>
    <x v="457"/>
    <x v="0"/>
    <x v="33"/>
    <x v="19"/>
    <x v="1"/>
    <x v="21"/>
    <x v="33"/>
    <x v="171"/>
    <x v="29"/>
    <x v="29"/>
    <x v="1"/>
  </r>
  <r>
    <x v="3"/>
    <x v="1"/>
    <x v="457"/>
    <x v="0"/>
    <x v="33"/>
    <x v="19"/>
    <x v="5"/>
    <x v="12"/>
    <x v="30"/>
    <x v="75"/>
    <x v="28"/>
    <x v="28"/>
    <x v="1"/>
  </r>
  <r>
    <x v="3"/>
    <x v="1"/>
    <x v="457"/>
    <x v="0"/>
    <x v="33"/>
    <x v="19"/>
    <x v="4"/>
    <x v="17"/>
    <x v="12"/>
    <x v="32"/>
    <x v="29"/>
    <x v="29"/>
    <x v="1"/>
  </r>
  <r>
    <x v="3"/>
    <x v="1"/>
    <x v="457"/>
    <x v="0"/>
    <x v="33"/>
    <x v="19"/>
    <x v="0"/>
    <x v="51"/>
    <x v="20"/>
    <x v="316"/>
    <x v="34"/>
    <x v="34"/>
    <x v="1"/>
  </r>
  <r>
    <x v="3"/>
    <x v="1"/>
    <x v="457"/>
    <x v="0"/>
    <x v="33"/>
    <x v="19"/>
    <x v="3"/>
    <x v="42"/>
    <x v="56"/>
    <x v="774"/>
    <x v="39"/>
    <x v="39"/>
    <x v="1"/>
  </r>
  <r>
    <x v="3"/>
    <x v="1"/>
    <x v="488"/>
    <x v="0"/>
    <x v="33"/>
    <x v="19"/>
    <x v="2"/>
    <x v="48"/>
    <x v="109"/>
    <x v="1694"/>
    <x v="34"/>
    <x v="34"/>
    <x v="1"/>
  </r>
  <r>
    <x v="3"/>
    <x v="1"/>
    <x v="488"/>
    <x v="0"/>
    <x v="33"/>
    <x v="19"/>
    <x v="1"/>
    <x v="34"/>
    <x v="43"/>
    <x v="454"/>
    <x v="30"/>
    <x v="30"/>
    <x v="1"/>
  </r>
  <r>
    <x v="3"/>
    <x v="1"/>
    <x v="488"/>
    <x v="0"/>
    <x v="33"/>
    <x v="19"/>
    <x v="5"/>
    <x v="30"/>
    <x v="40"/>
    <x v="355"/>
    <x v="29"/>
    <x v="29"/>
    <x v="1"/>
  </r>
  <r>
    <x v="3"/>
    <x v="1"/>
    <x v="488"/>
    <x v="0"/>
    <x v="33"/>
    <x v="19"/>
    <x v="4"/>
    <x v="29"/>
    <x v="16"/>
    <x v="102"/>
    <x v="30"/>
    <x v="30"/>
    <x v="1"/>
  </r>
  <r>
    <x v="3"/>
    <x v="1"/>
    <x v="488"/>
    <x v="0"/>
    <x v="33"/>
    <x v="19"/>
    <x v="0"/>
    <x v="39"/>
    <x v="21"/>
    <x v="226"/>
    <x v="34"/>
    <x v="34"/>
    <x v="1"/>
  </r>
  <r>
    <x v="3"/>
    <x v="1"/>
    <x v="488"/>
    <x v="0"/>
    <x v="33"/>
    <x v="19"/>
    <x v="3"/>
    <x v="45"/>
    <x v="62"/>
    <x v="927"/>
    <x v="37"/>
    <x v="37"/>
    <x v="1"/>
  </r>
  <r>
    <x v="3"/>
    <x v="1"/>
    <x v="518"/>
    <x v="0"/>
    <x v="33"/>
    <x v="19"/>
    <x v="2"/>
    <x v="29"/>
    <x v="105"/>
    <x v="1086"/>
    <x v="31"/>
    <x v="31"/>
    <x v="1"/>
  </r>
  <r>
    <x v="3"/>
    <x v="1"/>
    <x v="518"/>
    <x v="0"/>
    <x v="33"/>
    <x v="19"/>
    <x v="1"/>
    <x v="25"/>
    <x v="54"/>
    <x v="416"/>
    <x v="29"/>
    <x v="29"/>
    <x v="1"/>
  </r>
  <r>
    <x v="3"/>
    <x v="1"/>
    <x v="518"/>
    <x v="0"/>
    <x v="33"/>
    <x v="19"/>
    <x v="5"/>
    <x v="20"/>
    <x v="49"/>
    <x v="281"/>
    <x v="26"/>
    <x v="26"/>
    <x v="1"/>
  </r>
  <r>
    <x v="3"/>
    <x v="1"/>
    <x v="518"/>
    <x v="0"/>
    <x v="33"/>
    <x v="19"/>
    <x v="4"/>
    <x v="22"/>
    <x v="40"/>
    <x v="241"/>
    <x v="28"/>
    <x v="28"/>
    <x v="1"/>
  </r>
  <r>
    <x v="3"/>
    <x v="1"/>
    <x v="518"/>
    <x v="0"/>
    <x v="33"/>
    <x v="19"/>
    <x v="0"/>
    <x v="31"/>
    <x v="36"/>
    <x v="327"/>
    <x v="32"/>
    <x v="32"/>
    <x v="1"/>
  </r>
  <r>
    <x v="3"/>
    <x v="1"/>
    <x v="518"/>
    <x v="0"/>
    <x v="33"/>
    <x v="19"/>
    <x v="3"/>
    <x v="44"/>
    <x v="75"/>
    <x v="1120"/>
    <x v="40"/>
    <x v="40"/>
    <x v="1"/>
  </r>
  <r>
    <x v="3"/>
    <x v="1"/>
    <x v="547"/>
    <x v="0"/>
    <x v="33"/>
    <x v="19"/>
    <x v="2"/>
    <x v="41"/>
    <x v="138"/>
    <x v="1815"/>
    <x v="35"/>
    <x v="35"/>
    <x v="1"/>
  </r>
  <r>
    <x v="3"/>
    <x v="1"/>
    <x v="547"/>
    <x v="0"/>
    <x v="33"/>
    <x v="19"/>
    <x v="1"/>
    <x v="37"/>
    <x v="69"/>
    <x v="874"/>
    <x v="29"/>
    <x v="29"/>
    <x v="1"/>
  </r>
  <r>
    <x v="3"/>
    <x v="1"/>
    <x v="547"/>
    <x v="0"/>
    <x v="33"/>
    <x v="19"/>
    <x v="5"/>
    <x v="30"/>
    <x v="48"/>
    <x v="443"/>
    <x v="26"/>
    <x v="26"/>
    <x v="1"/>
  </r>
  <r>
    <x v="3"/>
    <x v="1"/>
    <x v="547"/>
    <x v="0"/>
    <x v="33"/>
    <x v="19"/>
    <x v="4"/>
    <x v="31"/>
    <x v="42"/>
    <x v="393"/>
    <x v="29"/>
    <x v="29"/>
    <x v="1"/>
  </r>
  <r>
    <x v="3"/>
    <x v="1"/>
    <x v="547"/>
    <x v="0"/>
    <x v="33"/>
    <x v="19"/>
    <x v="0"/>
    <x v="42"/>
    <x v="49"/>
    <x v="655"/>
    <x v="32"/>
    <x v="32"/>
    <x v="1"/>
  </r>
  <r>
    <x v="3"/>
    <x v="1"/>
    <x v="547"/>
    <x v="0"/>
    <x v="33"/>
    <x v="19"/>
    <x v="3"/>
    <x v="47"/>
    <x v="80"/>
    <x v="1274"/>
    <x v="40"/>
    <x v="40"/>
    <x v="1"/>
  </r>
  <r>
    <x v="3"/>
    <x v="1"/>
    <x v="579"/>
    <x v="0"/>
    <x v="33"/>
    <x v="19"/>
    <x v="2"/>
    <x v="39"/>
    <x v="127"/>
    <x v="1620"/>
    <x v="35"/>
    <x v="35"/>
    <x v="1"/>
  </r>
  <r>
    <x v="3"/>
    <x v="1"/>
    <x v="579"/>
    <x v="0"/>
    <x v="33"/>
    <x v="19"/>
    <x v="1"/>
    <x v="35"/>
    <x v="74"/>
    <x v="893"/>
    <x v="26"/>
    <x v="26"/>
    <x v="1"/>
  </r>
  <r>
    <x v="3"/>
    <x v="1"/>
    <x v="579"/>
    <x v="0"/>
    <x v="33"/>
    <x v="19"/>
    <x v="5"/>
    <x v="30"/>
    <x v="52"/>
    <x v="481"/>
    <x v="27"/>
    <x v="27"/>
    <x v="1"/>
  </r>
  <r>
    <x v="3"/>
    <x v="1"/>
    <x v="579"/>
    <x v="0"/>
    <x v="33"/>
    <x v="19"/>
    <x v="4"/>
    <x v="31"/>
    <x v="41"/>
    <x v="383"/>
    <x v="27"/>
    <x v="27"/>
    <x v="1"/>
  </r>
  <r>
    <x v="3"/>
    <x v="1"/>
    <x v="579"/>
    <x v="0"/>
    <x v="33"/>
    <x v="19"/>
    <x v="0"/>
    <x v="39"/>
    <x v="33"/>
    <x v="397"/>
    <x v="32"/>
    <x v="32"/>
    <x v="1"/>
  </r>
  <r>
    <x v="3"/>
    <x v="1"/>
    <x v="579"/>
    <x v="0"/>
    <x v="33"/>
    <x v="19"/>
    <x v="3"/>
    <x v="47"/>
    <x v="78"/>
    <x v="1238"/>
    <x v="39"/>
    <x v="39"/>
    <x v="1"/>
  </r>
  <r>
    <x v="3"/>
    <x v="1"/>
    <x v="611"/>
    <x v="0"/>
    <x v="33"/>
    <x v="19"/>
    <x v="2"/>
    <x v="29"/>
    <x v="113"/>
    <x v="1152"/>
    <x v="36"/>
    <x v="36"/>
    <x v="1"/>
  </r>
  <r>
    <x v="3"/>
    <x v="1"/>
    <x v="611"/>
    <x v="0"/>
    <x v="33"/>
    <x v="19"/>
    <x v="1"/>
    <x v="27"/>
    <x v="59"/>
    <x v="515"/>
    <x v="29"/>
    <x v="29"/>
    <x v="1"/>
  </r>
  <r>
    <x v="3"/>
    <x v="1"/>
    <x v="611"/>
    <x v="0"/>
    <x v="33"/>
    <x v="19"/>
    <x v="5"/>
    <x v="20"/>
    <x v="40"/>
    <x v="206"/>
    <x v="30"/>
    <x v="30"/>
    <x v="1"/>
  </r>
  <r>
    <x v="3"/>
    <x v="1"/>
    <x v="611"/>
    <x v="0"/>
    <x v="33"/>
    <x v="19"/>
    <x v="4"/>
    <x v="21"/>
    <x v="33"/>
    <x v="171"/>
    <x v="27"/>
    <x v="27"/>
    <x v="1"/>
  </r>
  <r>
    <x v="3"/>
    <x v="1"/>
    <x v="611"/>
    <x v="0"/>
    <x v="33"/>
    <x v="19"/>
    <x v="0"/>
    <x v="29"/>
    <x v="31"/>
    <x v="254"/>
    <x v="35"/>
    <x v="35"/>
    <x v="1"/>
  </r>
  <r>
    <x v="3"/>
    <x v="1"/>
    <x v="611"/>
    <x v="0"/>
    <x v="33"/>
    <x v="19"/>
    <x v="3"/>
    <x v="37"/>
    <x v="52"/>
    <x v="610"/>
    <x v="41"/>
    <x v="41"/>
    <x v="1"/>
  </r>
  <r>
    <x v="3"/>
    <x v="1"/>
    <x v="640"/>
    <x v="0"/>
    <x v="33"/>
    <x v="19"/>
    <x v="2"/>
    <x v="42"/>
    <x v="97"/>
    <x v="1370"/>
    <x v="33"/>
    <x v="33"/>
    <x v="1"/>
  </r>
  <r>
    <x v="3"/>
    <x v="1"/>
    <x v="640"/>
    <x v="0"/>
    <x v="33"/>
    <x v="19"/>
    <x v="1"/>
    <x v="29"/>
    <x v="60"/>
    <x v="566"/>
    <x v="27"/>
    <x v="27"/>
    <x v="1"/>
  </r>
  <r>
    <x v="3"/>
    <x v="1"/>
    <x v="640"/>
    <x v="0"/>
    <x v="33"/>
    <x v="19"/>
    <x v="5"/>
    <x v="32"/>
    <x v="28"/>
    <x v="257"/>
    <x v="30"/>
    <x v="30"/>
    <x v="1"/>
  </r>
  <r>
    <x v="3"/>
    <x v="1"/>
    <x v="640"/>
    <x v="0"/>
    <x v="33"/>
    <x v="19"/>
    <x v="4"/>
    <x v="31"/>
    <x v="23"/>
    <x v="174"/>
    <x v="26"/>
    <x v="26"/>
    <x v="1"/>
  </r>
  <r>
    <x v="3"/>
    <x v="1"/>
    <x v="640"/>
    <x v="0"/>
    <x v="33"/>
    <x v="19"/>
    <x v="0"/>
    <x v="38"/>
    <x v="24"/>
    <x v="258"/>
    <x v="33"/>
    <x v="33"/>
    <x v="1"/>
  </r>
  <r>
    <x v="1"/>
    <x v="1"/>
    <x v="640"/>
    <x v="0"/>
    <x v="33"/>
    <x v="19"/>
    <x v="3"/>
    <x v="46"/>
    <x v="60"/>
    <x v="917"/>
    <x v="39"/>
    <x v="39"/>
    <x v="1"/>
  </r>
  <r>
    <x v="1"/>
    <x v="1"/>
    <x v="671"/>
    <x v="0"/>
    <x v="33"/>
    <x v="19"/>
    <x v="2"/>
    <x v="42"/>
    <x v="101"/>
    <x v="1412"/>
    <x v="36"/>
    <x v="36"/>
    <x v="1"/>
  </r>
  <r>
    <x v="1"/>
    <x v="1"/>
    <x v="671"/>
    <x v="0"/>
    <x v="33"/>
    <x v="19"/>
    <x v="1"/>
    <x v="29"/>
    <x v="60"/>
    <x v="566"/>
    <x v="31"/>
    <x v="31"/>
    <x v="1"/>
  </r>
  <r>
    <x v="1"/>
    <x v="1"/>
    <x v="671"/>
    <x v="0"/>
    <x v="33"/>
    <x v="19"/>
    <x v="5"/>
    <x v="32"/>
    <x v="42"/>
    <x v="410"/>
    <x v="30"/>
    <x v="30"/>
    <x v="1"/>
  </r>
  <r>
    <x v="1"/>
    <x v="1"/>
    <x v="671"/>
    <x v="0"/>
    <x v="33"/>
    <x v="19"/>
    <x v="4"/>
    <x v="32"/>
    <x v="36"/>
    <x v="339"/>
    <x v="29"/>
    <x v="29"/>
    <x v="1"/>
  </r>
  <r>
    <x v="1"/>
    <x v="1"/>
    <x v="671"/>
    <x v="0"/>
    <x v="33"/>
    <x v="19"/>
    <x v="0"/>
    <x v="48"/>
    <x v="33"/>
    <x v="507"/>
    <x v="31"/>
    <x v="31"/>
    <x v="1"/>
  </r>
  <r>
    <x v="1"/>
    <x v="1"/>
    <x v="671"/>
    <x v="0"/>
    <x v="33"/>
    <x v="19"/>
    <x v="3"/>
    <x v="53"/>
    <x v="54"/>
    <x v="927"/>
    <x v="37"/>
    <x v="37"/>
    <x v="1"/>
  </r>
  <r>
    <x v="1"/>
    <x v="1"/>
    <x v="700"/>
    <x v="0"/>
    <x v="33"/>
    <x v="19"/>
    <x v="2"/>
    <x v="48"/>
    <x v="129"/>
    <x v="1929"/>
    <x v="32"/>
    <x v="32"/>
    <x v="1"/>
  </r>
  <r>
    <x v="1"/>
    <x v="1"/>
    <x v="700"/>
    <x v="0"/>
    <x v="33"/>
    <x v="19"/>
    <x v="1"/>
    <x v="39"/>
    <x v="62"/>
    <x v="803"/>
    <x v="31"/>
    <x v="31"/>
    <x v="1"/>
  </r>
  <r>
    <x v="1"/>
    <x v="1"/>
    <x v="700"/>
    <x v="0"/>
    <x v="33"/>
    <x v="19"/>
    <x v="5"/>
    <x v="41"/>
    <x v="60"/>
    <x v="822"/>
    <x v="31"/>
    <x v="31"/>
    <x v="1"/>
  </r>
  <r>
    <x v="1"/>
    <x v="1"/>
    <x v="700"/>
    <x v="0"/>
    <x v="33"/>
    <x v="19"/>
    <x v="4"/>
    <x v="40"/>
    <x v="43"/>
    <x v="539"/>
    <x v="27"/>
    <x v="27"/>
    <x v="1"/>
  </r>
  <r>
    <x v="1"/>
    <x v="1"/>
    <x v="700"/>
    <x v="0"/>
    <x v="33"/>
    <x v="19"/>
    <x v="0"/>
    <x v="51"/>
    <x v="43"/>
    <x v="716"/>
    <x v="31"/>
    <x v="31"/>
    <x v="1"/>
  </r>
  <r>
    <x v="1"/>
    <x v="1"/>
    <x v="700"/>
    <x v="0"/>
    <x v="33"/>
    <x v="19"/>
    <x v="3"/>
    <x v="56"/>
    <x v="64"/>
    <x v="1187"/>
    <x v="39"/>
    <x v="39"/>
    <x v="1"/>
  </r>
  <r>
    <x v="1"/>
    <x v="1"/>
    <x v="364"/>
    <x v="0"/>
    <x v="33"/>
    <x v="19"/>
    <x v="2"/>
    <x v="20"/>
    <x v="94"/>
    <x v="691"/>
    <x v="31"/>
    <x v="31"/>
    <x v="1"/>
  </r>
  <r>
    <x v="1"/>
    <x v="1"/>
    <x v="364"/>
    <x v="0"/>
    <x v="33"/>
    <x v="19"/>
    <x v="1"/>
    <x v="22"/>
    <x v="58"/>
    <x v="400"/>
    <x v="32"/>
    <x v="32"/>
    <x v="1"/>
  </r>
  <r>
    <x v="1"/>
    <x v="1"/>
    <x v="364"/>
    <x v="0"/>
    <x v="33"/>
    <x v="19"/>
    <x v="5"/>
    <x v="12"/>
    <x v="56"/>
    <x v="185"/>
    <x v="31"/>
    <x v="31"/>
    <x v="1"/>
  </r>
  <r>
    <x v="1"/>
    <x v="1"/>
    <x v="364"/>
    <x v="0"/>
    <x v="33"/>
    <x v="19"/>
    <x v="4"/>
    <x v="17"/>
    <x v="16"/>
    <x v="48"/>
    <x v="31"/>
    <x v="31"/>
    <x v="1"/>
  </r>
  <r>
    <x v="1"/>
    <x v="1"/>
    <x v="364"/>
    <x v="0"/>
    <x v="33"/>
    <x v="19"/>
    <x v="0"/>
    <x v="31"/>
    <x v="31"/>
    <x v="274"/>
    <x v="49"/>
    <x v="49"/>
    <x v="1"/>
  </r>
  <r>
    <x v="1"/>
    <x v="1"/>
    <x v="364"/>
    <x v="0"/>
    <x v="33"/>
    <x v="19"/>
    <x v="3"/>
    <x v="21"/>
    <x v="62"/>
    <x v="421"/>
    <x v="38"/>
    <x v="38"/>
    <x v="1"/>
  </r>
  <r>
    <x v="1"/>
    <x v="1"/>
    <x v="395"/>
    <x v="0"/>
    <x v="33"/>
    <x v="19"/>
    <x v="2"/>
    <x v="21"/>
    <x v="125"/>
    <x v="971"/>
    <x v="30"/>
    <x v="30"/>
    <x v="1"/>
  </r>
  <r>
    <x v="1"/>
    <x v="1"/>
    <x v="395"/>
    <x v="0"/>
    <x v="33"/>
    <x v="19"/>
    <x v="1"/>
    <x v="21"/>
    <x v="34"/>
    <x v="176"/>
    <x v="32"/>
    <x v="32"/>
    <x v="1"/>
  </r>
  <r>
    <x v="1"/>
    <x v="1"/>
    <x v="395"/>
    <x v="0"/>
    <x v="33"/>
    <x v="19"/>
    <x v="5"/>
    <x v="12"/>
    <x v="45"/>
    <x v="130"/>
    <x v="27"/>
    <x v="27"/>
    <x v="1"/>
  </r>
  <r>
    <x v="1"/>
    <x v="1"/>
    <x v="395"/>
    <x v="0"/>
    <x v="14"/>
    <x v="17"/>
    <x v="4"/>
    <x v="18"/>
    <x v="13"/>
    <x v="38"/>
    <x v="30"/>
    <x v="30"/>
    <x v="1"/>
  </r>
  <r>
    <x v="1"/>
    <x v="1"/>
    <x v="395"/>
    <x v="0"/>
    <x v="14"/>
    <x v="17"/>
    <x v="0"/>
    <x v="31"/>
    <x v="27"/>
    <x v="232"/>
    <x v="51"/>
    <x v="51"/>
    <x v="1"/>
  </r>
  <r>
    <x v="1"/>
    <x v="1"/>
    <x v="395"/>
    <x v="0"/>
    <x v="14"/>
    <x v="17"/>
    <x v="3"/>
    <x v="7"/>
    <x v="56"/>
    <x v="105"/>
    <x v="40"/>
    <x v="40"/>
    <x v="1"/>
  </r>
  <r>
    <x v="1"/>
    <x v="1"/>
    <x v="422"/>
    <x v="0"/>
    <x v="14"/>
    <x v="17"/>
    <x v="2"/>
    <x v="12"/>
    <x v="116"/>
    <x v="551"/>
    <x v="26"/>
    <x v="26"/>
    <x v="1"/>
  </r>
  <r>
    <x v="1"/>
    <x v="1"/>
    <x v="422"/>
    <x v="0"/>
    <x v="14"/>
    <x v="17"/>
    <x v="1"/>
    <x v="12"/>
    <x v="36"/>
    <x v="92"/>
    <x v="31"/>
    <x v="31"/>
    <x v="1"/>
  </r>
  <r>
    <x v="1"/>
    <x v="1"/>
    <x v="422"/>
    <x v="0"/>
    <x v="14"/>
    <x v="17"/>
    <x v="5"/>
    <x v="2"/>
    <x v="54"/>
    <x v="42"/>
    <x v="26"/>
    <x v="26"/>
    <x v="1"/>
  </r>
  <r>
    <x v="1"/>
    <x v="1"/>
    <x v="422"/>
    <x v="0"/>
    <x v="14"/>
    <x v="17"/>
    <x v="4"/>
    <x v="7"/>
    <x v="18"/>
    <x v="17"/>
    <x v="28"/>
    <x v="28"/>
    <x v="1"/>
  </r>
  <r>
    <x v="1"/>
    <x v="1"/>
    <x v="422"/>
    <x v="0"/>
    <x v="14"/>
    <x v="17"/>
    <x v="0"/>
    <x v="21"/>
    <x v="28"/>
    <x v="136"/>
    <x v="50"/>
    <x v="50"/>
    <x v="1"/>
  </r>
  <r>
    <x v="1"/>
    <x v="1"/>
    <x v="422"/>
    <x v="0"/>
    <x v="14"/>
    <x v="17"/>
    <x v="3"/>
    <x v="13"/>
    <x v="56"/>
    <x v="199"/>
    <x v="39"/>
    <x v="39"/>
    <x v="1"/>
  </r>
  <r>
    <x v="1"/>
    <x v="1"/>
    <x v="454"/>
    <x v="0"/>
    <x v="14"/>
    <x v="17"/>
    <x v="2"/>
    <x v="13"/>
    <x v="104"/>
    <x v="524"/>
    <x v="31"/>
    <x v="31"/>
    <x v="1"/>
  </r>
  <r>
    <x v="1"/>
    <x v="1"/>
    <x v="454"/>
    <x v="0"/>
    <x v="14"/>
    <x v="17"/>
    <x v="1"/>
    <x v="11"/>
    <x v="38"/>
    <x v="90"/>
    <x v="35"/>
    <x v="35"/>
    <x v="1"/>
  </r>
  <r>
    <x v="1"/>
    <x v="1"/>
    <x v="454"/>
    <x v="0"/>
    <x v="14"/>
    <x v="17"/>
    <x v="5"/>
    <x v="3"/>
    <x v="42"/>
    <x v="33"/>
    <x v="30"/>
    <x v="30"/>
    <x v="1"/>
  </r>
  <r>
    <x v="1"/>
    <x v="1"/>
    <x v="454"/>
    <x v="0"/>
    <x v="14"/>
    <x v="17"/>
    <x v="4"/>
    <x v="8"/>
    <x v="18"/>
    <x v="20"/>
    <x v="31"/>
    <x v="31"/>
    <x v="1"/>
  </r>
  <r>
    <x v="1"/>
    <x v="1"/>
    <x v="454"/>
    <x v="0"/>
    <x v="14"/>
    <x v="17"/>
    <x v="0"/>
    <x v="48"/>
    <x v="24"/>
    <x v="350"/>
    <x v="47"/>
    <x v="47"/>
    <x v="1"/>
  </r>
  <r>
    <x v="1"/>
    <x v="1"/>
    <x v="454"/>
    <x v="0"/>
    <x v="14"/>
    <x v="17"/>
    <x v="3"/>
    <x v="39"/>
    <x v="52"/>
    <x v="641"/>
    <x v="38"/>
    <x v="38"/>
    <x v="1"/>
  </r>
  <r>
    <x v="1"/>
    <x v="1"/>
    <x v="485"/>
    <x v="0"/>
    <x v="14"/>
    <x v="17"/>
    <x v="2"/>
    <x v="50"/>
    <x v="126"/>
    <x v="1946"/>
    <x v="28"/>
    <x v="28"/>
    <x v="1"/>
  </r>
  <r>
    <x v="1"/>
    <x v="1"/>
    <x v="485"/>
    <x v="0"/>
    <x v="14"/>
    <x v="17"/>
    <x v="1"/>
    <x v="30"/>
    <x v="52"/>
    <x v="481"/>
    <x v="32"/>
    <x v="32"/>
    <x v="1"/>
  </r>
  <r>
    <x v="1"/>
    <x v="1"/>
    <x v="485"/>
    <x v="0"/>
    <x v="14"/>
    <x v="17"/>
    <x v="5"/>
    <x v="26"/>
    <x v="43"/>
    <x v="326"/>
    <x v="27"/>
    <x v="27"/>
    <x v="1"/>
  </r>
  <r>
    <x v="1"/>
    <x v="1"/>
    <x v="485"/>
    <x v="0"/>
    <x v="14"/>
    <x v="17"/>
    <x v="4"/>
    <x v="26"/>
    <x v="24"/>
    <x v="145"/>
    <x v="30"/>
    <x v="30"/>
    <x v="1"/>
  </r>
  <r>
    <x v="1"/>
    <x v="1"/>
    <x v="485"/>
    <x v="0"/>
    <x v="14"/>
    <x v="17"/>
    <x v="0"/>
    <x v="36"/>
    <x v="31"/>
    <x v="334"/>
    <x v="51"/>
    <x v="51"/>
    <x v="1"/>
  </r>
  <r>
    <x v="1"/>
    <x v="1"/>
    <x v="485"/>
    <x v="0"/>
    <x v="14"/>
    <x v="17"/>
    <x v="3"/>
    <x v="39"/>
    <x v="57"/>
    <x v="727"/>
    <x v="38"/>
    <x v="38"/>
    <x v="1"/>
  </r>
  <r>
    <x v="1"/>
    <x v="1"/>
    <x v="515"/>
    <x v="0"/>
    <x v="14"/>
    <x v="17"/>
    <x v="2"/>
    <x v="25"/>
    <x v="117"/>
    <x v="1052"/>
    <x v="28"/>
    <x v="28"/>
    <x v="1"/>
  </r>
  <r>
    <x v="1"/>
    <x v="1"/>
    <x v="515"/>
    <x v="0"/>
    <x v="14"/>
    <x v="17"/>
    <x v="1"/>
    <x v="21"/>
    <x v="63"/>
    <x v="435"/>
    <x v="34"/>
    <x v="34"/>
    <x v="1"/>
  </r>
  <r>
    <x v="1"/>
    <x v="1"/>
    <x v="515"/>
    <x v="0"/>
    <x v="14"/>
    <x v="17"/>
    <x v="5"/>
    <x v="16"/>
    <x v="39"/>
    <x v="152"/>
    <x v="31"/>
    <x v="31"/>
    <x v="1"/>
  </r>
  <r>
    <x v="1"/>
    <x v="1"/>
    <x v="515"/>
    <x v="0"/>
    <x v="14"/>
    <x v="17"/>
    <x v="4"/>
    <x v="17"/>
    <x v="33"/>
    <x v="129"/>
    <x v="30"/>
    <x v="30"/>
    <x v="1"/>
  </r>
  <r>
    <x v="1"/>
    <x v="1"/>
    <x v="515"/>
    <x v="0"/>
    <x v="14"/>
    <x v="17"/>
    <x v="0"/>
    <x v="27"/>
    <x v="33"/>
    <x v="248"/>
    <x v="50"/>
    <x v="50"/>
    <x v="1"/>
  </r>
  <r>
    <x v="1"/>
    <x v="1"/>
    <x v="515"/>
    <x v="0"/>
    <x v="14"/>
    <x v="17"/>
    <x v="3"/>
    <x v="44"/>
    <x v="70"/>
    <x v="1039"/>
    <x v="39"/>
    <x v="39"/>
    <x v="1"/>
  </r>
  <r>
    <x v="1"/>
    <x v="1"/>
    <x v="544"/>
    <x v="0"/>
    <x v="14"/>
    <x v="17"/>
    <x v="2"/>
    <x v="42"/>
    <x v="118"/>
    <x v="1620"/>
    <x v="30"/>
    <x v="30"/>
    <x v="1"/>
  </r>
  <r>
    <x v="1"/>
    <x v="1"/>
    <x v="544"/>
    <x v="0"/>
    <x v="14"/>
    <x v="17"/>
    <x v="1"/>
    <x v="37"/>
    <x v="72"/>
    <x v="905"/>
    <x v="35"/>
    <x v="35"/>
    <x v="1"/>
  </r>
  <r>
    <x v="1"/>
    <x v="1"/>
    <x v="544"/>
    <x v="0"/>
    <x v="14"/>
    <x v="17"/>
    <x v="5"/>
    <x v="29"/>
    <x v="56"/>
    <x v="515"/>
    <x v="30"/>
    <x v="30"/>
    <x v="1"/>
  </r>
  <r>
    <x v="1"/>
    <x v="1"/>
    <x v="544"/>
    <x v="0"/>
    <x v="14"/>
    <x v="17"/>
    <x v="4"/>
    <x v="30"/>
    <x v="36"/>
    <x v="315"/>
    <x v="27"/>
    <x v="27"/>
    <x v="1"/>
  </r>
  <r>
    <x v="1"/>
    <x v="1"/>
    <x v="544"/>
    <x v="0"/>
    <x v="14"/>
    <x v="17"/>
    <x v="0"/>
    <x v="39"/>
    <x v="49"/>
    <x v="609"/>
    <x v="46"/>
    <x v="46"/>
    <x v="1"/>
  </r>
  <r>
    <x v="1"/>
    <x v="1"/>
    <x v="544"/>
    <x v="0"/>
    <x v="14"/>
    <x v="17"/>
    <x v="3"/>
    <x v="44"/>
    <x v="77"/>
    <x v="1153"/>
    <x v="36"/>
    <x v="36"/>
    <x v="1"/>
  </r>
  <r>
    <x v="1"/>
    <x v="1"/>
    <x v="576"/>
    <x v="0"/>
    <x v="14"/>
    <x v="17"/>
    <x v="2"/>
    <x v="42"/>
    <x v="111"/>
    <x v="1546"/>
    <x v="28"/>
    <x v="28"/>
    <x v="1"/>
  </r>
  <r>
    <x v="1"/>
    <x v="1"/>
    <x v="576"/>
    <x v="0"/>
    <x v="14"/>
    <x v="17"/>
    <x v="1"/>
    <x v="35"/>
    <x v="64"/>
    <x v="758"/>
    <x v="32"/>
    <x v="32"/>
    <x v="1"/>
  </r>
  <r>
    <x v="1"/>
    <x v="1"/>
    <x v="576"/>
    <x v="0"/>
    <x v="14"/>
    <x v="17"/>
    <x v="5"/>
    <x v="32"/>
    <x v="50"/>
    <x v="494"/>
    <x v="29"/>
    <x v="29"/>
    <x v="1"/>
  </r>
  <r>
    <x v="1"/>
    <x v="1"/>
    <x v="576"/>
    <x v="0"/>
    <x v="14"/>
    <x v="17"/>
    <x v="4"/>
    <x v="30"/>
    <x v="43"/>
    <x v="387"/>
    <x v="27"/>
    <x v="27"/>
    <x v="1"/>
  </r>
  <r>
    <x v="1"/>
    <x v="1"/>
    <x v="576"/>
    <x v="0"/>
    <x v="14"/>
    <x v="17"/>
    <x v="0"/>
    <x v="41"/>
    <x v="40"/>
    <x v="515"/>
    <x v="46"/>
    <x v="46"/>
    <x v="1"/>
  </r>
  <r>
    <x v="1"/>
    <x v="1"/>
    <x v="576"/>
    <x v="0"/>
    <x v="14"/>
    <x v="17"/>
    <x v="3"/>
    <x v="46"/>
    <x v="80"/>
    <x v="1253"/>
    <x v="41"/>
    <x v="41"/>
    <x v="1"/>
  </r>
  <r>
    <x v="1"/>
    <x v="1"/>
    <x v="608"/>
    <x v="0"/>
    <x v="14"/>
    <x v="17"/>
    <x v="2"/>
    <x v="27"/>
    <x v="113"/>
    <x v="1093"/>
    <x v="26"/>
    <x v="26"/>
    <x v="1"/>
  </r>
  <r>
    <x v="1"/>
    <x v="1"/>
    <x v="608"/>
    <x v="0"/>
    <x v="14"/>
    <x v="17"/>
    <x v="1"/>
    <x v="20"/>
    <x v="63"/>
    <x v="415"/>
    <x v="33"/>
    <x v="33"/>
    <x v="1"/>
  </r>
  <r>
    <x v="1"/>
    <x v="1"/>
    <x v="608"/>
    <x v="0"/>
    <x v="14"/>
    <x v="17"/>
    <x v="5"/>
    <x v="17"/>
    <x v="38"/>
    <x v="159"/>
    <x v="26"/>
    <x v="26"/>
    <x v="1"/>
  </r>
  <r>
    <x v="1"/>
    <x v="1"/>
    <x v="608"/>
    <x v="0"/>
    <x v="14"/>
    <x v="17"/>
    <x v="4"/>
    <x v="16"/>
    <x v="27"/>
    <x v="87"/>
    <x v="31"/>
    <x v="31"/>
    <x v="1"/>
  </r>
  <r>
    <x v="1"/>
    <x v="1"/>
    <x v="608"/>
    <x v="0"/>
    <x v="14"/>
    <x v="17"/>
    <x v="0"/>
    <x v="27"/>
    <x v="34"/>
    <x v="258"/>
    <x v="47"/>
    <x v="47"/>
    <x v="1"/>
  </r>
  <r>
    <x v="1"/>
    <x v="1"/>
    <x v="608"/>
    <x v="0"/>
    <x v="14"/>
    <x v="17"/>
    <x v="3"/>
    <x v="29"/>
    <x v="50"/>
    <x v="447"/>
    <x v="36"/>
    <x v="36"/>
    <x v="1"/>
  </r>
  <r>
    <x v="1"/>
    <x v="1"/>
    <x v="637"/>
    <x v="0"/>
    <x v="14"/>
    <x v="17"/>
    <x v="2"/>
    <x v="36"/>
    <x v="93"/>
    <x v="1157"/>
    <x v="27"/>
    <x v="27"/>
    <x v="1"/>
  </r>
  <r>
    <x v="1"/>
    <x v="1"/>
    <x v="637"/>
    <x v="0"/>
    <x v="14"/>
    <x v="17"/>
    <x v="1"/>
    <x v="25"/>
    <x v="62"/>
    <x v="499"/>
    <x v="32"/>
    <x v="32"/>
    <x v="1"/>
  </r>
  <r>
    <x v="1"/>
    <x v="1"/>
    <x v="637"/>
    <x v="0"/>
    <x v="14"/>
    <x v="17"/>
    <x v="5"/>
    <x v="27"/>
    <x v="28"/>
    <x v="192"/>
    <x v="27"/>
    <x v="27"/>
    <x v="1"/>
  </r>
  <r>
    <x v="1"/>
    <x v="1"/>
    <x v="637"/>
    <x v="0"/>
    <x v="14"/>
    <x v="17"/>
    <x v="4"/>
    <x v="27"/>
    <x v="21"/>
    <x v="128"/>
    <x v="28"/>
    <x v="28"/>
    <x v="1"/>
  </r>
  <r>
    <x v="1"/>
    <x v="1"/>
    <x v="637"/>
    <x v="0"/>
    <x v="14"/>
    <x v="17"/>
    <x v="0"/>
    <x v="35"/>
    <x v="27"/>
    <x v="274"/>
    <x v="50"/>
    <x v="50"/>
    <x v="1"/>
  </r>
  <r>
    <x v="5"/>
    <x v="1"/>
    <x v="637"/>
    <x v="0"/>
    <x v="14"/>
    <x v="17"/>
    <x v="3"/>
    <x v="42"/>
    <x v="60"/>
    <x v="839"/>
    <x v="39"/>
    <x v="39"/>
    <x v="1"/>
  </r>
  <r>
    <x v="5"/>
    <x v="1"/>
    <x v="668"/>
    <x v="0"/>
    <x v="14"/>
    <x v="17"/>
    <x v="2"/>
    <x v="34"/>
    <x v="93"/>
    <x v="1109"/>
    <x v="30"/>
    <x v="30"/>
    <x v="1"/>
  </r>
  <r>
    <x v="5"/>
    <x v="1"/>
    <x v="668"/>
    <x v="0"/>
    <x v="14"/>
    <x v="17"/>
    <x v="1"/>
    <x v="25"/>
    <x v="59"/>
    <x v="474"/>
    <x v="35"/>
    <x v="35"/>
    <x v="1"/>
  </r>
  <r>
    <x v="5"/>
    <x v="1"/>
    <x v="668"/>
    <x v="0"/>
    <x v="14"/>
    <x v="17"/>
    <x v="5"/>
    <x v="25"/>
    <x v="46"/>
    <x v="336"/>
    <x v="30"/>
    <x v="30"/>
    <x v="1"/>
  </r>
  <r>
    <x v="5"/>
    <x v="1"/>
    <x v="668"/>
    <x v="0"/>
    <x v="14"/>
    <x v="17"/>
    <x v="4"/>
    <x v="27"/>
    <x v="41"/>
    <x v="323"/>
    <x v="27"/>
    <x v="27"/>
    <x v="1"/>
  </r>
  <r>
    <x v="5"/>
    <x v="1"/>
    <x v="668"/>
    <x v="0"/>
    <x v="14"/>
    <x v="17"/>
    <x v="0"/>
    <x v="48"/>
    <x v="38"/>
    <x v="587"/>
    <x v="46"/>
    <x v="46"/>
    <x v="1"/>
  </r>
  <r>
    <x v="5"/>
    <x v="1"/>
    <x v="668"/>
    <x v="0"/>
    <x v="14"/>
    <x v="17"/>
    <x v="3"/>
    <x v="52"/>
    <x v="59"/>
    <x v="1016"/>
    <x v="38"/>
    <x v="38"/>
    <x v="1"/>
  </r>
  <r>
    <x v="5"/>
    <x v="1"/>
    <x v="697"/>
    <x v="0"/>
    <x v="14"/>
    <x v="17"/>
    <x v="2"/>
    <x v="47"/>
    <x v="127"/>
    <x v="1869"/>
    <x v="28"/>
    <x v="28"/>
    <x v="1"/>
  </r>
  <r>
    <x v="5"/>
    <x v="1"/>
    <x v="697"/>
    <x v="0"/>
    <x v="14"/>
    <x v="17"/>
    <x v="1"/>
    <x v="40"/>
    <x v="75"/>
    <x v="1022"/>
    <x v="33"/>
    <x v="33"/>
    <x v="1"/>
  </r>
  <r>
    <x v="5"/>
    <x v="1"/>
    <x v="697"/>
    <x v="0"/>
    <x v="14"/>
    <x v="17"/>
    <x v="5"/>
    <x v="40"/>
    <x v="68"/>
    <x v="928"/>
    <x v="28"/>
    <x v="28"/>
    <x v="1"/>
  </r>
  <r>
    <x v="5"/>
    <x v="1"/>
    <x v="697"/>
    <x v="0"/>
    <x v="14"/>
    <x v="17"/>
    <x v="4"/>
    <x v="42"/>
    <x v="50"/>
    <x v="667"/>
    <x v="29"/>
    <x v="29"/>
    <x v="1"/>
  </r>
  <r>
    <x v="5"/>
    <x v="1"/>
    <x v="697"/>
    <x v="0"/>
    <x v="14"/>
    <x v="17"/>
    <x v="0"/>
    <x v="52"/>
    <x v="48"/>
    <x v="815"/>
    <x v="47"/>
    <x v="47"/>
    <x v="1"/>
  </r>
  <r>
    <x v="5"/>
    <x v="1"/>
    <x v="697"/>
    <x v="0"/>
    <x v="14"/>
    <x v="17"/>
    <x v="3"/>
    <x v="52"/>
    <x v="73"/>
    <x v="1252"/>
    <x v="41"/>
    <x v="41"/>
    <x v="1"/>
  </r>
  <r>
    <x v="5"/>
    <x v="1"/>
    <x v="361"/>
    <x v="0"/>
    <x v="14"/>
    <x v="17"/>
    <x v="2"/>
    <x v="21"/>
    <x v="106"/>
    <x v="826"/>
    <x v="31"/>
    <x v="31"/>
    <x v="1"/>
  </r>
  <r>
    <x v="5"/>
    <x v="1"/>
    <x v="361"/>
    <x v="0"/>
    <x v="14"/>
    <x v="17"/>
    <x v="1"/>
    <x v="22"/>
    <x v="58"/>
    <x v="400"/>
    <x v="32"/>
    <x v="32"/>
    <x v="1"/>
  </r>
  <r>
    <x v="5"/>
    <x v="1"/>
    <x v="361"/>
    <x v="0"/>
    <x v="14"/>
    <x v="17"/>
    <x v="5"/>
    <x v="11"/>
    <x v="54"/>
    <x v="156"/>
    <x v="27"/>
    <x v="27"/>
    <x v="1"/>
  </r>
  <r>
    <x v="5"/>
    <x v="1"/>
    <x v="361"/>
    <x v="0"/>
    <x v="14"/>
    <x v="17"/>
    <x v="4"/>
    <x v="16"/>
    <x v="19"/>
    <x v="54"/>
    <x v="31"/>
    <x v="31"/>
    <x v="1"/>
  </r>
  <r>
    <x v="5"/>
    <x v="1"/>
    <x v="361"/>
    <x v="0"/>
    <x v="14"/>
    <x v="17"/>
    <x v="0"/>
    <x v="31"/>
    <x v="34"/>
    <x v="305"/>
    <x v="48"/>
    <x v="48"/>
    <x v="1"/>
  </r>
  <r>
    <x v="5"/>
    <x v="1"/>
    <x v="361"/>
    <x v="0"/>
    <x v="14"/>
    <x v="17"/>
    <x v="3"/>
    <x v="21"/>
    <x v="60"/>
    <x v="403"/>
    <x v="41"/>
    <x v="41"/>
    <x v="1"/>
  </r>
  <r>
    <x v="5"/>
    <x v="1"/>
    <x v="392"/>
    <x v="0"/>
    <x v="14"/>
    <x v="17"/>
    <x v="2"/>
    <x v="22"/>
    <x v="120"/>
    <x v="971"/>
    <x v="27"/>
    <x v="27"/>
    <x v="1"/>
  </r>
  <r>
    <x v="5"/>
    <x v="1"/>
    <x v="392"/>
    <x v="0"/>
    <x v="14"/>
    <x v="17"/>
    <x v="1"/>
    <x v="22"/>
    <x v="28"/>
    <x v="149"/>
    <x v="35"/>
    <x v="35"/>
    <x v="1"/>
  </r>
  <r>
    <x v="5"/>
    <x v="1"/>
    <x v="392"/>
    <x v="0"/>
    <x v="14"/>
    <x v="17"/>
    <x v="5"/>
    <x v="13"/>
    <x v="49"/>
    <x v="163"/>
    <x v="29"/>
    <x v="29"/>
    <x v="1"/>
  </r>
  <r>
    <x v="5"/>
    <x v="1"/>
    <x v="392"/>
    <x v="0"/>
    <x v="48"/>
    <x v="32"/>
    <x v="4"/>
    <x v="16"/>
    <x v="10"/>
    <x v="23"/>
    <x v="29"/>
    <x v="29"/>
    <x v="1"/>
  </r>
  <r>
    <x v="5"/>
    <x v="1"/>
    <x v="392"/>
    <x v="0"/>
    <x v="48"/>
    <x v="32"/>
    <x v="0"/>
    <x v="31"/>
    <x v="27"/>
    <x v="232"/>
    <x v="47"/>
    <x v="47"/>
    <x v="1"/>
  </r>
  <r>
    <x v="5"/>
    <x v="1"/>
    <x v="392"/>
    <x v="0"/>
    <x v="48"/>
    <x v="32"/>
    <x v="3"/>
    <x v="7"/>
    <x v="54"/>
    <x v="96"/>
    <x v="37"/>
    <x v="37"/>
    <x v="1"/>
  </r>
  <r>
    <x v="5"/>
    <x v="1"/>
    <x v="419"/>
    <x v="0"/>
    <x v="48"/>
    <x v="32"/>
    <x v="2"/>
    <x v="12"/>
    <x v="121"/>
    <x v="582"/>
    <x v="27"/>
    <x v="27"/>
    <x v="1"/>
  </r>
  <r>
    <x v="5"/>
    <x v="1"/>
    <x v="419"/>
    <x v="0"/>
    <x v="48"/>
    <x v="32"/>
    <x v="1"/>
    <x v="12"/>
    <x v="33"/>
    <x v="83"/>
    <x v="36"/>
    <x v="36"/>
    <x v="1"/>
  </r>
  <r>
    <x v="5"/>
    <x v="1"/>
    <x v="419"/>
    <x v="0"/>
    <x v="48"/>
    <x v="32"/>
    <x v="5"/>
    <x v="2"/>
    <x v="48"/>
    <x v="34"/>
    <x v="30"/>
    <x v="30"/>
    <x v="1"/>
  </r>
  <r>
    <x v="5"/>
    <x v="1"/>
    <x v="419"/>
    <x v="0"/>
    <x v="48"/>
    <x v="32"/>
    <x v="4"/>
    <x v="7"/>
    <x v="10"/>
    <x v="9"/>
    <x v="27"/>
    <x v="27"/>
    <x v="1"/>
  </r>
  <r>
    <x v="5"/>
    <x v="1"/>
    <x v="419"/>
    <x v="0"/>
    <x v="48"/>
    <x v="32"/>
    <x v="0"/>
    <x v="22"/>
    <x v="24"/>
    <x v="112"/>
    <x v="47"/>
    <x v="47"/>
    <x v="1"/>
  </r>
  <r>
    <x v="5"/>
    <x v="1"/>
    <x v="419"/>
    <x v="0"/>
    <x v="48"/>
    <x v="32"/>
    <x v="3"/>
    <x v="11"/>
    <x v="52"/>
    <x v="150"/>
    <x v="40"/>
    <x v="40"/>
    <x v="1"/>
  </r>
  <r>
    <x v="5"/>
    <x v="1"/>
    <x v="451"/>
    <x v="0"/>
    <x v="48"/>
    <x v="32"/>
    <x v="2"/>
    <x v="11"/>
    <x v="102"/>
    <x v="447"/>
    <x v="27"/>
    <x v="27"/>
    <x v="1"/>
  </r>
  <r>
    <x v="5"/>
    <x v="1"/>
    <x v="451"/>
    <x v="0"/>
    <x v="48"/>
    <x v="32"/>
    <x v="1"/>
    <x v="13"/>
    <x v="28"/>
    <x v="76"/>
    <x v="32"/>
    <x v="32"/>
    <x v="1"/>
  </r>
  <r>
    <x v="5"/>
    <x v="1"/>
    <x v="451"/>
    <x v="0"/>
    <x v="48"/>
    <x v="32"/>
    <x v="5"/>
    <x v="2"/>
    <x v="30"/>
    <x v="15"/>
    <x v="29"/>
    <x v="29"/>
    <x v="1"/>
  </r>
  <r>
    <x v="5"/>
    <x v="1"/>
    <x v="451"/>
    <x v="0"/>
    <x v="48"/>
    <x v="32"/>
    <x v="4"/>
    <x v="8"/>
    <x v="12"/>
    <x v="11"/>
    <x v="27"/>
    <x v="27"/>
    <x v="1"/>
  </r>
  <r>
    <x v="5"/>
    <x v="1"/>
    <x v="451"/>
    <x v="0"/>
    <x v="48"/>
    <x v="32"/>
    <x v="0"/>
    <x v="48"/>
    <x v="16"/>
    <x v="228"/>
    <x v="48"/>
    <x v="48"/>
    <x v="1"/>
  </r>
  <r>
    <x v="5"/>
    <x v="1"/>
    <x v="451"/>
    <x v="0"/>
    <x v="48"/>
    <x v="32"/>
    <x v="3"/>
    <x v="42"/>
    <x v="50"/>
    <x v="667"/>
    <x v="41"/>
    <x v="41"/>
    <x v="1"/>
  </r>
  <r>
    <x v="5"/>
    <x v="1"/>
    <x v="482"/>
    <x v="0"/>
    <x v="48"/>
    <x v="32"/>
    <x v="2"/>
    <x v="51"/>
    <x v="114"/>
    <x v="1837"/>
    <x v="27"/>
    <x v="27"/>
    <x v="1"/>
  </r>
  <r>
    <x v="5"/>
    <x v="1"/>
    <x v="482"/>
    <x v="0"/>
    <x v="48"/>
    <x v="32"/>
    <x v="1"/>
    <x v="32"/>
    <x v="39"/>
    <x v="375"/>
    <x v="35"/>
    <x v="35"/>
    <x v="1"/>
  </r>
  <r>
    <x v="5"/>
    <x v="1"/>
    <x v="482"/>
    <x v="0"/>
    <x v="48"/>
    <x v="32"/>
    <x v="5"/>
    <x v="26"/>
    <x v="38"/>
    <x v="280"/>
    <x v="31"/>
    <x v="31"/>
    <x v="1"/>
  </r>
  <r>
    <x v="5"/>
    <x v="1"/>
    <x v="482"/>
    <x v="0"/>
    <x v="48"/>
    <x v="32"/>
    <x v="4"/>
    <x v="25"/>
    <x v="27"/>
    <x v="166"/>
    <x v="30"/>
    <x v="30"/>
    <x v="1"/>
  </r>
  <r>
    <x v="5"/>
    <x v="1"/>
    <x v="482"/>
    <x v="0"/>
    <x v="48"/>
    <x v="32"/>
    <x v="0"/>
    <x v="37"/>
    <x v="42"/>
    <x v="482"/>
    <x v="47"/>
    <x v="47"/>
    <x v="1"/>
  </r>
  <r>
    <x v="5"/>
    <x v="1"/>
    <x v="482"/>
    <x v="0"/>
    <x v="48"/>
    <x v="32"/>
    <x v="3"/>
    <x v="40"/>
    <x v="74"/>
    <x v="1012"/>
    <x v="37"/>
    <x v="37"/>
    <x v="1"/>
  </r>
  <r>
    <x v="5"/>
    <x v="1"/>
    <x v="512"/>
    <x v="0"/>
    <x v="48"/>
    <x v="32"/>
    <x v="2"/>
    <x v="25"/>
    <x v="138"/>
    <x v="1236"/>
    <x v="30"/>
    <x v="30"/>
    <x v="1"/>
  </r>
  <r>
    <x v="5"/>
    <x v="1"/>
    <x v="512"/>
    <x v="0"/>
    <x v="48"/>
    <x v="32"/>
    <x v="1"/>
    <x v="20"/>
    <x v="74"/>
    <x v="509"/>
    <x v="35"/>
    <x v="35"/>
    <x v="1"/>
  </r>
  <r>
    <x v="5"/>
    <x v="1"/>
    <x v="512"/>
    <x v="0"/>
    <x v="48"/>
    <x v="32"/>
    <x v="5"/>
    <x v="17"/>
    <x v="41"/>
    <x v="173"/>
    <x v="30"/>
    <x v="30"/>
    <x v="1"/>
  </r>
  <r>
    <x v="5"/>
    <x v="1"/>
    <x v="512"/>
    <x v="0"/>
    <x v="48"/>
    <x v="32"/>
    <x v="4"/>
    <x v="17"/>
    <x v="36"/>
    <x v="148"/>
    <x v="27"/>
    <x v="27"/>
    <x v="1"/>
  </r>
  <r>
    <x v="5"/>
    <x v="1"/>
    <x v="512"/>
    <x v="0"/>
    <x v="48"/>
    <x v="32"/>
    <x v="0"/>
    <x v="27"/>
    <x v="35"/>
    <x v="267"/>
    <x v="46"/>
    <x v="46"/>
    <x v="1"/>
  </r>
  <r>
    <x v="5"/>
    <x v="1"/>
    <x v="512"/>
    <x v="0"/>
    <x v="48"/>
    <x v="32"/>
    <x v="3"/>
    <x v="44"/>
    <x v="80"/>
    <x v="1207"/>
    <x v="41"/>
    <x v="41"/>
    <x v="1"/>
  </r>
  <r>
    <x v="5"/>
    <x v="1"/>
    <x v="541"/>
    <x v="0"/>
    <x v="48"/>
    <x v="32"/>
    <x v="2"/>
    <x v="38"/>
    <x v="128"/>
    <x v="1613"/>
    <x v="28"/>
    <x v="28"/>
    <x v="1"/>
  </r>
  <r>
    <x v="5"/>
    <x v="1"/>
    <x v="541"/>
    <x v="0"/>
    <x v="48"/>
    <x v="32"/>
    <x v="1"/>
    <x v="35"/>
    <x v="72"/>
    <x v="864"/>
    <x v="35"/>
    <x v="35"/>
    <x v="1"/>
  </r>
  <r>
    <x v="5"/>
    <x v="1"/>
    <x v="541"/>
    <x v="0"/>
    <x v="48"/>
    <x v="32"/>
    <x v="5"/>
    <x v="31"/>
    <x v="50"/>
    <x v="477"/>
    <x v="29"/>
    <x v="29"/>
    <x v="1"/>
  </r>
  <r>
    <x v="5"/>
    <x v="1"/>
    <x v="541"/>
    <x v="0"/>
    <x v="48"/>
    <x v="32"/>
    <x v="4"/>
    <x v="31"/>
    <x v="40"/>
    <x v="372"/>
    <x v="28"/>
    <x v="28"/>
    <x v="1"/>
  </r>
  <r>
    <x v="5"/>
    <x v="1"/>
    <x v="541"/>
    <x v="0"/>
    <x v="48"/>
    <x v="32"/>
    <x v="0"/>
    <x v="41"/>
    <x v="39"/>
    <x v="499"/>
    <x v="48"/>
    <x v="48"/>
    <x v="1"/>
  </r>
  <r>
    <x v="5"/>
    <x v="1"/>
    <x v="541"/>
    <x v="0"/>
    <x v="48"/>
    <x v="32"/>
    <x v="3"/>
    <x v="45"/>
    <x v="77"/>
    <x v="1180"/>
    <x v="40"/>
    <x v="40"/>
    <x v="1"/>
  </r>
  <r>
    <x v="5"/>
    <x v="1"/>
    <x v="573"/>
    <x v="0"/>
    <x v="48"/>
    <x v="32"/>
    <x v="2"/>
    <x v="39"/>
    <x v="137"/>
    <x v="1729"/>
    <x v="28"/>
    <x v="28"/>
    <x v="1"/>
  </r>
  <r>
    <x v="5"/>
    <x v="1"/>
    <x v="573"/>
    <x v="0"/>
    <x v="48"/>
    <x v="32"/>
    <x v="1"/>
    <x v="36"/>
    <x v="69"/>
    <x v="850"/>
    <x v="33"/>
    <x v="33"/>
    <x v="1"/>
  </r>
  <r>
    <x v="5"/>
    <x v="1"/>
    <x v="573"/>
    <x v="0"/>
    <x v="48"/>
    <x v="32"/>
    <x v="5"/>
    <x v="32"/>
    <x v="45"/>
    <x v="444"/>
    <x v="26"/>
    <x v="26"/>
    <x v="1"/>
  </r>
  <r>
    <x v="5"/>
    <x v="1"/>
    <x v="573"/>
    <x v="0"/>
    <x v="48"/>
    <x v="32"/>
    <x v="4"/>
    <x v="32"/>
    <x v="39"/>
    <x v="375"/>
    <x v="31"/>
    <x v="31"/>
    <x v="1"/>
  </r>
  <r>
    <x v="5"/>
    <x v="1"/>
    <x v="573"/>
    <x v="0"/>
    <x v="48"/>
    <x v="32"/>
    <x v="0"/>
    <x v="41"/>
    <x v="35"/>
    <x v="451"/>
    <x v="51"/>
    <x v="51"/>
    <x v="1"/>
  </r>
  <r>
    <x v="5"/>
    <x v="1"/>
    <x v="573"/>
    <x v="0"/>
    <x v="48"/>
    <x v="32"/>
    <x v="3"/>
    <x v="45"/>
    <x v="84"/>
    <x v="1276"/>
    <x v="37"/>
    <x v="37"/>
    <x v="1"/>
  </r>
  <r>
    <x v="5"/>
    <x v="1"/>
    <x v="605"/>
    <x v="0"/>
    <x v="48"/>
    <x v="32"/>
    <x v="2"/>
    <x v="26"/>
    <x v="123"/>
    <x v="1140"/>
    <x v="27"/>
    <x v="27"/>
    <x v="1"/>
  </r>
  <r>
    <x v="5"/>
    <x v="1"/>
    <x v="605"/>
    <x v="0"/>
    <x v="48"/>
    <x v="32"/>
    <x v="1"/>
    <x v="22"/>
    <x v="54"/>
    <x v="353"/>
    <x v="31"/>
    <x v="31"/>
    <x v="1"/>
  </r>
  <r>
    <x v="5"/>
    <x v="1"/>
    <x v="605"/>
    <x v="0"/>
    <x v="48"/>
    <x v="32"/>
    <x v="5"/>
    <x v="17"/>
    <x v="33"/>
    <x v="129"/>
    <x v="31"/>
    <x v="31"/>
    <x v="1"/>
  </r>
  <r>
    <x v="5"/>
    <x v="1"/>
    <x v="605"/>
    <x v="0"/>
    <x v="48"/>
    <x v="32"/>
    <x v="4"/>
    <x v="16"/>
    <x v="24"/>
    <x v="77"/>
    <x v="31"/>
    <x v="31"/>
    <x v="1"/>
  </r>
  <r>
    <x v="5"/>
    <x v="1"/>
    <x v="605"/>
    <x v="0"/>
    <x v="48"/>
    <x v="32"/>
    <x v="0"/>
    <x v="26"/>
    <x v="23"/>
    <x v="135"/>
    <x v="51"/>
    <x v="51"/>
    <x v="1"/>
  </r>
  <r>
    <x v="5"/>
    <x v="1"/>
    <x v="605"/>
    <x v="0"/>
    <x v="48"/>
    <x v="32"/>
    <x v="3"/>
    <x v="31"/>
    <x v="41"/>
    <x v="383"/>
    <x v="36"/>
    <x v="36"/>
    <x v="1"/>
  </r>
  <r>
    <x v="5"/>
    <x v="1"/>
    <x v="634"/>
    <x v="0"/>
    <x v="48"/>
    <x v="32"/>
    <x v="2"/>
    <x v="36"/>
    <x v="94"/>
    <x v="1170"/>
    <x v="28"/>
    <x v="28"/>
    <x v="1"/>
  </r>
  <r>
    <x v="5"/>
    <x v="1"/>
    <x v="634"/>
    <x v="0"/>
    <x v="48"/>
    <x v="32"/>
    <x v="1"/>
    <x v="26"/>
    <x v="56"/>
    <x v="460"/>
    <x v="34"/>
    <x v="34"/>
    <x v="1"/>
  </r>
  <r>
    <x v="5"/>
    <x v="1"/>
    <x v="634"/>
    <x v="0"/>
    <x v="48"/>
    <x v="32"/>
    <x v="5"/>
    <x v="27"/>
    <x v="23"/>
    <x v="145"/>
    <x v="29"/>
    <x v="29"/>
    <x v="1"/>
  </r>
  <r>
    <x v="5"/>
    <x v="1"/>
    <x v="634"/>
    <x v="0"/>
    <x v="48"/>
    <x v="32"/>
    <x v="4"/>
    <x v="25"/>
    <x v="23"/>
    <x v="129"/>
    <x v="27"/>
    <x v="27"/>
    <x v="1"/>
  </r>
  <r>
    <x v="5"/>
    <x v="1"/>
    <x v="634"/>
    <x v="0"/>
    <x v="48"/>
    <x v="32"/>
    <x v="0"/>
    <x v="37"/>
    <x v="23"/>
    <x v="234"/>
    <x v="49"/>
    <x v="49"/>
    <x v="1"/>
  </r>
  <r>
    <x v="5"/>
    <x v="1"/>
    <x v="634"/>
    <x v="0"/>
    <x v="48"/>
    <x v="32"/>
    <x v="3"/>
    <x v="39"/>
    <x v="54"/>
    <x v="668"/>
    <x v="37"/>
    <x v="37"/>
    <x v="1"/>
  </r>
  <r>
    <x v="5"/>
    <x v="1"/>
    <x v="665"/>
    <x v="0"/>
    <x v="48"/>
    <x v="32"/>
    <x v="2"/>
    <x v="34"/>
    <x v="86"/>
    <x v="1020"/>
    <x v="29"/>
    <x v="29"/>
    <x v="1"/>
  </r>
  <r>
    <x v="5"/>
    <x v="1"/>
    <x v="665"/>
    <x v="0"/>
    <x v="48"/>
    <x v="32"/>
    <x v="1"/>
    <x v="25"/>
    <x v="64"/>
    <x v="529"/>
    <x v="33"/>
    <x v="33"/>
    <x v="1"/>
  </r>
  <r>
    <x v="5"/>
    <x v="1"/>
    <x v="665"/>
    <x v="0"/>
    <x v="48"/>
    <x v="32"/>
    <x v="5"/>
    <x v="26"/>
    <x v="57"/>
    <x v="468"/>
    <x v="28"/>
    <x v="28"/>
    <x v="1"/>
  </r>
  <r>
    <x v="5"/>
    <x v="1"/>
    <x v="665"/>
    <x v="0"/>
    <x v="48"/>
    <x v="32"/>
    <x v="4"/>
    <x v="26"/>
    <x v="54"/>
    <x v="432"/>
    <x v="31"/>
    <x v="31"/>
    <x v="1"/>
  </r>
  <r>
    <x v="5"/>
    <x v="1"/>
    <x v="665"/>
    <x v="0"/>
    <x v="48"/>
    <x v="32"/>
    <x v="0"/>
    <x v="51"/>
    <x v="45"/>
    <x v="750"/>
    <x v="48"/>
    <x v="48"/>
    <x v="1"/>
  </r>
  <r>
    <x v="5"/>
    <x v="1"/>
    <x v="665"/>
    <x v="0"/>
    <x v="48"/>
    <x v="32"/>
    <x v="3"/>
    <x v="54"/>
    <x v="62"/>
    <x v="1104"/>
    <x v="37"/>
    <x v="37"/>
    <x v="1"/>
  </r>
  <r>
    <x v="5"/>
    <x v="1"/>
    <x v="694"/>
    <x v="0"/>
    <x v="48"/>
    <x v="32"/>
    <x v="2"/>
    <x v="51"/>
    <x v="118"/>
    <x v="1884"/>
    <x v="27"/>
    <x v="27"/>
    <x v="1"/>
  </r>
  <r>
    <x v="5"/>
    <x v="1"/>
    <x v="694"/>
    <x v="0"/>
    <x v="48"/>
    <x v="32"/>
    <x v="1"/>
    <x v="42"/>
    <x v="84"/>
    <x v="1207"/>
    <x v="33"/>
    <x v="33"/>
    <x v="1"/>
  </r>
  <r>
    <x v="5"/>
    <x v="1"/>
    <x v="694"/>
    <x v="0"/>
    <x v="48"/>
    <x v="32"/>
    <x v="5"/>
    <x v="38"/>
    <x v="72"/>
    <x v="933"/>
    <x v="30"/>
    <x v="30"/>
    <x v="1"/>
  </r>
  <r>
    <x v="5"/>
    <x v="1"/>
    <x v="694"/>
    <x v="0"/>
    <x v="48"/>
    <x v="32"/>
    <x v="4"/>
    <x v="41"/>
    <x v="60"/>
    <x v="822"/>
    <x v="31"/>
    <x v="31"/>
    <x v="1"/>
  </r>
  <r>
    <x v="5"/>
    <x v="1"/>
    <x v="694"/>
    <x v="0"/>
    <x v="48"/>
    <x v="32"/>
    <x v="0"/>
    <x v="50"/>
    <x v="60"/>
    <x v="994"/>
    <x v="46"/>
    <x v="46"/>
    <x v="1"/>
  </r>
  <r>
    <x v="5"/>
    <x v="1"/>
    <x v="694"/>
    <x v="0"/>
    <x v="48"/>
    <x v="32"/>
    <x v="3"/>
    <x v="52"/>
    <x v="73"/>
    <x v="1252"/>
    <x v="38"/>
    <x v="38"/>
    <x v="1"/>
  </r>
  <r>
    <x v="5"/>
    <x v="1"/>
    <x v="368"/>
    <x v="0"/>
    <x v="48"/>
    <x v="32"/>
    <x v="2"/>
    <x v="25"/>
    <x v="120"/>
    <x v="1081"/>
    <x v="38"/>
    <x v="38"/>
    <x v="1"/>
  </r>
  <r>
    <x v="5"/>
    <x v="1"/>
    <x v="368"/>
    <x v="0"/>
    <x v="48"/>
    <x v="32"/>
    <x v="1"/>
    <x v="25"/>
    <x v="64"/>
    <x v="529"/>
    <x v="37"/>
    <x v="37"/>
    <x v="1"/>
  </r>
  <r>
    <x v="5"/>
    <x v="1"/>
    <x v="368"/>
    <x v="0"/>
    <x v="48"/>
    <x v="32"/>
    <x v="5"/>
    <x v="17"/>
    <x v="72"/>
    <x v="417"/>
    <x v="31"/>
    <x v="31"/>
    <x v="1"/>
  </r>
  <r>
    <x v="5"/>
    <x v="1"/>
    <x v="368"/>
    <x v="0"/>
    <x v="48"/>
    <x v="32"/>
    <x v="4"/>
    <x v="21"/>
    <x v="33"/>
    <x v="171"/>
    <x v="34"/>
    <x v="34"/>
    <x v="1"/>
  </r>
  <r>
    <x v="5"/>
    <x v="1"/>
    <x v="368"/>
    <x v="0"/>
    <x v="48"/>
    <x v="32"/>
    <x v="0"/>
    <x v="34"/>
    <x v="47"/>
    <x v="493"/>
    <x v="30"/>
    <x v="30"/>
    <x v="1"/>
  </r>
  <r>
    <x v="5"/>
    <x v="1"/>
    <x v="368"/>
    <x v="0"/>
    <x v="48"/>
    <x v="32"/>
    <x v="3"/>
    <x v="25"/>
    <x v="69"/>
    <x v="585"/>
    <x v="36"/>
    <x v="36"/>
    <x v="1"/>
  </r>
  <r>
    <x v="5"/>
    <x v="1"/>
    <x v="399"/>
    <x v="0"/>
    <x v="48"/>
    <x v="32"/>
    <x v="2"/>
    <x v="27"/>
    <x v="138"/>
    <x v="1308"/>
    <x v="41"/>
    <x v="41"/>
    <x v="1"/>
  </r>
  <r>
    <x v="5"/>
    <x v="1"/>
    <x v="399"/>
    <x v="0"/>
    <x v="48"/>
    <x v="32"/>
    <x v="1"/>
    <x v="27"/>
    <x v="41"/>
    <x v="323"/>
    <x v="37"/>
    <x v="37"/>
    <x v="1"/>
  </r>
  <r>
    <x v="5"/>
    <x v="1"/>
    <x v="399"/>
    <x v="0"/>
    <x v="48"/>
    <x v="32"/>
    <x v="5"/>
    <x v="17"/>
    <x v="60"/>
    <x v="319"/>
    <x v="36"/>
    <x v="36"/>
    <x v="1"/>
  </r>
  <r>
    <x v="5"/>
    <x v="1"/>
    <x v="399"/>
    <x v="0"/>
    <x v="13"/>
    <x v="23"/>
    <x v="4"/>
    <x v="22"/>
    <x v="26"/>
    <x v="124"/>
    <x v="33"/>
    <x v="33"/>
    <x v="1"/>
  </r>
  <r>
    <x v="5"/>
    <x v="1"/>
    <x v="399"/>
    <x v="0"/>
    <x v="13"/>
    <x v="23"/>
    <x v="0"/>
    <x v="34"/>
    <x v="47"/>
    <x v="493"/>
    <x v="30"/>
    <x v="30"/>
    <x v="1"/>
  </r>
  <r>
    <x v="5"/>
    <x v="1"/>
    <x v="399"/>
    <x v="0"/>
    <x v="13"/>
    <x v="23"/>
    <x v="3"/>
    <x v="12"/>
    <x v="62"/>
    <x v="225"/>
    <x v="37"/>
    <x v="37"/>
    <x v="1"/>
  </r>
  <r>
    <x v="5"/>
    <x v="1"/>
    <x v="426"/>
    <x v="0"/>
    <x v="13"/>
    <x v="23"/>
    <x v="2"/>
    <x v="16"/>
    <x v="130"/>
    <x v="811"/>
    <x v="37"/>
    <x v="37"/>
    <x v="1"/>
  </r>
  <r>
    <x v="5"/>
    <x v="1"/>
    <x v="426"/>
    <x v="0"/>
    <x v="13"/>
    <x v="23"/>
    <x v="1"/>
    <x v="16"/>
    <x v="50"/>
    <x v="214"/>
    <x v="41"/>
    <x v="41"/>
    <x v="1"/>
  </r>
  <r>
    <x v="5"/>
    <x v="1"/>
    <x v="426"/>
    <x v="0"/>
    <x v="13"/>
    <x v="23"/>
    <x v="5"/>
    <x v="7"/>
    <x v="59"/>
    <x v="119"/>
    <x v="36"/>
    <x v="36"/>
    <x v="1"/>
  </r>
  <r>
    <x v="5"/>
    <x v="1"/>
    <x v="426"/>
    <x v="0"/>
    <x v="13"/>
    <x v="23"/>
    <x v="4"/>
    <x v="12"/>
    <x v="21"/>
    <x v="43"/>
    <x v="31"/>
    <x v="31"/>
    <x v="1"/>
  </r>
  <r>
    <x v="5"/>
    <x v="1"/>
    <x v="426"/>
    <x v="0"/>
    <x v="13"/>
    <x v="23"/>
    <x v="0"/>
    <x v="25"/>
    <x v="33"/>
    <x v="217"/>
    <x v="29"/>
    <x v="29"/>
    <x v="1"/>
  </r>
  <r>
    <x v="5"/>
    <x v="1"/>
    <x v="426"/>
    <x v="0"/>
    <x v="13"/>
    <x v="23"/>
    <x v="3"/>
    <x v="17"/>
    <x v="61"/>
    <x v="325"/>
    <x v="38"/>
    <x v="38"/>
    <x v="1"/>
  </r>
  <r>
    <x v="5"/>
    <x v="1"/>
    <x v="458"/>
    <x v="0"/>
    <x v="13"/>
    <x v="23"/>
    <x v="2"/>
    <x v="16"/>
    <x v="105"/>
    <x v="635"/>
    <x v="41"/>
    <x v="41"/>
    <x v="1"/>
  </r>
  <r>
    <x v="5"/>
    <x v="1"/>
    <x v="458"/>
    <x v="0"/>
    <x v="13"/>
    <x v="23"/>
    <x v="1"/>
    <x v="16"/>
    <x v="43"/>
    <x v="172"/>
    <x v="38"/>
    <x v="38"/>
    <x v="1"/>
  </r>
  <r>
    <x v="5"/>
    <x v="1"/>
    <x v="458"/>
    <x v="0"/>
    <x v="13"/>
    <x v="23"/>
    <x v="5"/>
    <x v="7"/>
    <x v="41"/>
    <x v="66"/>
    <x v="36"/>
    <x v="36"/>
    <x v="1"/>
  </r>
  <r>
    <x v="5"/>
    <x v="1"/>
    <x v="458"/>
    <x v="0"/>
    <x v="13"/>
    <x v="23"/>
    <x v="4"/>
    <x v="12"/>
    <x v="26"/>
    <x v="58"/>
    <x v="34"/>
    <x v="34"/>
    <x v="1"/>
  </r>
  <r>
    <x v="5"/>
    <x v="1"/>
    <x v="458"/>
    <x v="0"/>
    <x v="13"/>
    <x v="23"/>
    <x v="0"/>
    <x v="54"/>
    <x v="34"/>
    <x v="605"/>
    <x v="30"/>
    <x v="30"/>
    <x v="1"/>
  </r>
  <r>
    <x v="5"/>
    <x v="1"/>
    <x v="458"/>
    <x v="0"/>
    <x v="13"/>
    <x v="23"/>
    <x v="3"/>
    <x v="40"/>
    <x v="59"/>
    <x v="787"/>
    <x v="41"/>
    <x v="41"/>
    <x v="1"/>
  </r>
  <r>
    <x v="5"/>
    <x v="1"/>
    <x v="489"/>
    <x v="0"/>
    <x v="13"/>
    <x v="23"/>
    <x v="2"/>
    <x v="47"/>
    <x v="142"/>
    <x v="2044"/>
    <x v="36"/>
    <x v="36"/>
    <x v="1"/>
  </r>
  <r>
    <x v="5"/>
    <x v="1"/>
    <x v="489"/>
    <x v="0"/>
    <x v="13"/>
    <x v="23"/>
    <x v="1"/>
    <x v="30"/>
    <x v="60"/>
    <x v="590"/>
    <x v="41"/>
    <x v="41"/>
    <x v="1"/>
  </r>
  <r>
    <x v="5"/>
    <x v="1"/>
    <x v="489"/>
    <x v="0"/>
    <x v="13"/>
    <x v="23"/>
    <x v="5"/>
    <x v="27"/>
    <x v="45"/>
    <x v="360"/>
    <x v="33"/>
    <x v="33"/>
    <x v="1"/>
  </r>
  <r>
    <x v="5"/>
    <x v="1"/>
    <x v="489"/>
    <x v="0"/>
    <x v="13"/>
    <x v="23"/>
    <x v="4"/>
    <x v="27"/>
    <x v="38"/>
    <x v="294"/>
    <x v="35"/>
    <x v="35"/>
    <x v="1"/>
  </r>
  <r>
    <x v="5"/>
    <x v="1"/>
    <x v="489"/>
    <x v="0"/>
    <x v="13"/>
    <x v="23"/>
    <x v="0"/>
    <x v="37"/>
    <x v="47"/>
    <x v="543"/>
    <x v="31"/>
    <x v="31"/>
    <x v="1"/>
  </r>
  <r>
    <x v="5"/>
    <x v="1"/>
    <x v="489"/>
    <x v="0"/>
    <x v="13"/>
    <x v="23"/>
    <x v="3"/>
    <x v="46"/>
    <x v="75"/>
    <x v="1158"/>
    <x v="38"/>
    <x v="38"/>
    <x v="1"/>
  </r>
  <r>
    <x v="5"/>
    <x v="1"/>
    <x v="519"/>
    <x v="0"/>
    <x v="13"/>
    <x v="23"/>
    <x v="2"/>
    <x v="29"/>
    <x v="134"/>
    <x v="1344"/>
    <x v="41"/>
    <x v="41"/>
    <x v="1"/>
  </r>
  <r>
    <x v="5"/>
    <x v="1"/>
    <x v="519"/>
    <x v="0"/>
    <x v="13"/>
    <x v="23"/>
    <x v="1"/>
    <x v="25"/>
    <x v="77"/>
    <x v="675"/>
    <x v="39"/>
    <x v="39"/>
    <x v="1"/>
  </r>
  <r>
    <x v="5"/>
    <x v="1"/>
    <x v="519"/>
    <x v="0"/>
    <x v="13"/>
    <x v="23"/>
    <x v="5"/>
    <x v="20"/>
    <x v="39"/>
    <x v="196"/>
    <x v="31"/>
    <x v="31"/>
    <x v="1"/>
  </r>
  <r>
    <x v="5"/>
    <x v="1"/>
    <x v="519"/>
    <x v="0"/>
    <x v="13"/>
    <x v="23"/>
    <x v="4"/>
    <x v="22"/>
    <x v="35"/>
    <x v="194"/>
    <x v="33"/>
    <x v="33"/>
    <x v="1"/>
  </r>
  <r>
    <x v="5"/>
    <x v="1"/>
    <x v="519"/>
    <x v="0"/>
    <x v="13"/>
    <x v="23"/>
    <x v="0"/>
    <x v="29"/>
    <x v="42"/>
    <x v="361"/>
    <x v="31"/>
    <x v="31"/>
    <x v="1"/>
  </r>
  <r>
    <x v="5"/>
    <x v="1"/>
    <x v="519"/>
    <x v="0"/>
    <x v="13"/>
    <x v="23"/>
    <x v="3"/>
    <x v="49"/>
    <x v="75"/>
    <x v="1227"/>
    <x v="37"/>
    <x v="37"/>
    <x v="1"/>
  </r>
  <r>
    <x v="5"/>
    <x v="1"/>
    <x v="548"/>
    <x v="0"/>
    <x v="13"/>
    <x v="23"/>
    <x v="2"/>
    <x v="44"/>
    <x v="128"/>
    <x v="1796"/>
    <x v="39"/>
    <x v="39"/>
    <x v="1"/>
  </r>
  <r>
    <x v="5"/>
    <x v="1"/>
    <x v="548"/>
    <x v="0"/>
    <x v="13"/>
    <x v="23"/>
    <x v="1"/>
    <x v="42"/>
    <x v="69"/>
    <x v="980"/>
    <x v="36"/>
    <x v="36"/>
    <x v="1"/>
  </r>
  <r>
    <x v="5"/>
    <x v="1"/>
    <x v="548"/>
    <x v="0"/>
    <x v="13"/>
    <x v="23"/>
    <x v="5"/>
    <x v="35"/>
    <x v="56"/>
    <x v="632"/>
    <x v="31"/>
    <x v="31"/>
    <x v="1"/>
  </r>
  <r>
    <x v="5"/>
    <x v="1"/>
    <x v="548"/>
    <x v="0"/>
    <x v="13"/>
    <x v="23"/>
    <x v="4"/>
    <x v="35"/>
    <x v="38"/>
    <x v="407"/>
    <x v="33"/>
    <x v="33"/>
    <x v="1"/>
  </r>
  <r>
    <x v="5"/>
    <x v="1"/>
    <x v="548"/>
    <x v="0"/>
    <x v="13"/>
    <x v="23"/>
    <x v="0"/>
    <x v="44"/>
    <x v="39"/>
    <x v="542"/>
    <x v="28"/>
    <x v="28"/>
    <x v="1"/>
  </r>
  <r>
    <x v="5"/>
    <x v="1"/>
    <x v="548"/>
    <x v="0"/>
    <x v="13"/>
    <x v="23"/>
    <x v="3"/>
    <x v="47"/>
    <x v="83"/>
    <x v="1311"/>
    <x v="37"/>
    <x v="37"/>
    <x v="1"/>
  </r>
  <r>
    <x v="5"/>
    <x v="1"/>
    <x v="580"/>
    <x v="0"/>
    <x v="13"/>
    <x v="23"/>
    <x v="2"/>
    <x v="40"/>
    <x v="131"/>
    <x v="1704"/>
    <x v="41"/>
    <x v="41"/>
    <x v="1"/>
  </r>
  <r>
    <x v="5"/>
    <x v="1"/>
    <x v="580"/>
    <x v="0"/>
    <x v="13"/>
    <x v="23"/>
    <x v="1"/>
    <x v="34"/>
    <x v="72"/>
    <x v="834"/>
    <x v="40"/>
    <x v="40"/>
    <x v="1"/>
  </r>
  <r>
    <x v="5"/>
    <x v="1"/>
    <x v="580"/>
    <x v="0"/>
    <x v="13"/>
    <x v="23"/>
    <x v="5"/>
    <x v="30"/>
    <x v="45"/>
    <x v="414"/>
    <x v="33"/>
    <x v="33"/>
    <x v="1"/>
  </r>
  <r>
    <x v="5"/>
    <x v="1"/>
    <x v="580"/>
    <x v="0"/>
    <x v="13"/>
    <x v="23"/>
    <x v="4"/>
    <x v="31"/>
    <x v="49"/>
    <x v="470"/>
    <x v="33"/>
    <x v="33"/>
    <x v="1"/>
  </r>
  <r>
    <x v="5"/>
    <x v="1"/>
    <x v="580"/>
    <x v="0"/>
    <x v="13"/>
    <x v="23"/>
    <x v="0"/>
    <x v="40"/>
    <x v="42"/>
    <x v="527"/>
    <x v="31"/>
    <x v="31"/>
    <x v="1"/>
  </r>
  <r>
    <x v="5"/>
    <x v="1"/>
    <x v="580"/>
    <x v="0"/>
    <x v="13"/>
    <x v="23"/>
    <x v="3"/>
    <x v="47"/>
    <x v="75"/>
    <x v="1187"/>
    <x v="39"/>
    <x v="39"/>
    <x v="1"/>
  </r>
  <r>
    <x v="5"/>
    <x v="1"/>
    <x v="612"/>
    <x v="0"/>
    <x v="13"/>
    <x v="23"/>
    <x v="2"/>
    <x v="26"/>
    <x v="113"/>
    <x v="1053"/>
    <x v="40"/>
    <x v="40"/>
    <x v="1"/>
  </r>
  <r>
    <x v="5"/>
    <x v="1"/>
    <x v="612"/>
    <x v="0"/>
    <x v="13"/>
    <x v="23"/>
    <x v="1"/>
    <x v="22"/>
    <x v="61"/>
    <x v="433"/>
    <x v="36"/>
    <x v="36"/>
    <x v="1"/>
  </r>
  <r>
    <x v="5"/>
    <x v="1"/>
    <x v="612"/>
    <x v="0"/>
    <x v="13"/>
    <x v="23"/>
    <x v="5"/>
    <x v="16"/>
    <x v="38"/>
    <x v="147"/>
    <x v="33"/>
    <x v="33"/>
    <x v="1"/>
  </r>
  <r>
    <x v="5"/>
    <x v="1"/>
    <x v="612"/>
    <x v="0"/>
    <x v="13"/>
    <x v="23"/>
    <x v="4"/>
    <x v="17"/>
    <x v="30"/>
    <x v="111"/>
    <x v="33"/>
    <x v="33"/>
    <x v="1"/>
  </r>
  <r>
    <x v="5"/>
    <x v="1"/>
    <x v="612"/>
    <x v="0"/>
    <x v="13"/>
    <x v="23"/>
    <x v="0"/>
    <x v="26"/>
    <x v="31"/>
    <x v="208"/>
    <x v="26"/>
    <x v="26"/>
    <x v="1"/>
  </r>
  <r>
    <x v="5"/>
    <x v="1"/>
    <x v="612"/>
    <x v="0"/>
    <x v="13"/>
    <x v="23"/>
    <x v="3"/>
    <x v="29"/>
    <x v="56"/>
    <x v="515"/>
    <x v="38"/>
    <x v="38"/>
    <x v="1"/>
  </r>
  <r>
    <x v="5"/>
    <x v="1"/>
    <x v="641"/>
    <x v="0"/>
    <x v="13"/>
    <x v="23"/>
    <x v="2"/>
    <x v="34"/>
    <x v="97"/>
    <x v="1147"/>
    <x v="39"/>
    <x v="39"/>
    <x v="1"/>
  </r>
  <r>
    <x v="5"/>
    <x v="1"/>
    <x v="641"/>
    <x v="0"/>
    <x v="13"/>
    <x v="23"/>
    <x v="1"/>
    <x v="25"/>
    <x v="54"/>
    <x v="416"/>
    <x v="41"/>
    <x v="41"/>
    <x v="1"/>
  </r>
  <r>
    <x v="5"/>
    <x v="1"/>
    <x v="641"/>
    <x v="0"/>
    <x v="13"/>
    <x v="23"/>
    <x v="5"/>
    <x v="25"/>
    <x v="27"/>
    <x v="166"/>
    <x v="33"/>
    <x v="33"/>
    <x v="1"/>
  </r>
  <r>
    <x v="5"/>
    <x v="1"/>
    <x v="641"/>
    <x v="0"/>
    <x v="13"/>
    <x v="23"/>
    <x v="4"/>
    <x v="26"/>
    <x v="33"/>
    <x v="234"/>
    <x v="32"/>
    <x v="32"/>
    <x v="1"/>
  </r>
  <r>
    <x v="5"/>
    <x v="1"/>
    <x v="641"/>
    <x v="0"/>
    <x v="13"/>
    <x v="23"/>
    <x v="0"/>
    <x v="34"/>
    <x v="27"/>
    <x v="265"/>
    <x v="30"/>
    <x v="30"/>
    <x v="1"/>
  </r>
  <r>
    <x v="5"/>
    <x v="1"/>
    <x v="641"/>
    <x v="0"/>
    <x v="13"/>
    <x v="23"/>
    <x v="3"/>
    <x v="41"/>
    <x v="68"/>
    <x v="951"/>
    <x v="39"/>
    <x v="39"/>
    <x v="1"/>
  </r>
  <r>
    <x v="5"/>
    <x v="1"/>
    <x v="672"/>
    <x v="0"/>
    <x v="13"/>
    <x v="23"/>
    <x v="2"/>
    <x v="34"/>
    <x v="103"/>
    <x v="1220"/>
    <x v="37"/>
    <x v="37"/>
    <x v="1"/>
  </r>
  <r>
    <x v="5"/>
    <x v="1"/>
    <x v="672"/>
    <x v="0"/>
    <x v="13"/>
    <x v="23"/>
    <x v="1"/>
    <x v="26"/>
    <x v="80"/>
    <x v="745"/>
    <x v="41"/>
    <x v="41"/>
    <x v="1"/>
  </r>
  <r>
    <x v="5"/>
    <x v="1"/>
    <x v="672"/>
    <x v="0"/>
    <x v="13"/>
    <x v="23"/>
    <x v="5"/>
    <x v="25"/>
    <x v="67"/>
    <x v="554"/>
    <x v="34"/>
    <x v="34"/>
    <x v="1"/>
  </r>
  <r>
    <x v="5"/>
    <x v="1"/>
    <x v="672"/>
    <x v="0"/>
    <x v="13"/>
    <x v="23"/>
    <x v="4"/>
    <x v="27"/>
    <x v="68"/>
    <x v="623"/>
    <x v="36"/>
    <x v="36"/>
    <x v="1"/>
  </r>
  <r>
    <x v="5"/>
    <x v="1"/>
    <x v="672"/>
    <x v="0"/>
    <x v="13"/>
    <x v="23"/>
    <x v="0"/>
    <x v="48"/>
    <x v="62"/>
    <x v="982"/>
    <x v="26"/>
    <x v="26"/>
    <x v="1"/>
  </r>
  <r>
    <x v="5"/>
    <x v="1"/>
    <x v="672"/>
    <x v="0"/>
    <x v="13"/>
    <x v="23"/>
    <x v="3"/>
    <x v="54"/>
    <x v="75"/>
    <x v="1338"/>
    <x v="40"/>
    <x v="40"/>
    <x v="1"/>
  </r>
  <r>
    <x v="5"/>
    <x v="1"/>
    <x v="701"/>
    <x v="0"/>
    <x v="13"/>
    <x v="23"/>
    <x v="2"/>
    <x v="51"/>
    <x v="129"/>
    <x v="2011"/>
    <x v="37"/>
    <x v="37"/>
    <x v="1"/>
  </r>
  <r>
    <x v="5"/>
    <x v="1"/>
    <x v="701"/>
    <x v="0"/>
    <x v="13"/>
    <x v="23"/>
    <x v="1"/>
    <x v="42"/>
    <x v="90"/>
    <x v="1274"/>
    <x v="41"/>
    <x v="41"/>
    <x v="1"/>
  </r>
  <r>
    <x v="5"/>
    <x v="1"/>
    <x v="701"/>
    <x v="0"/>
    <x v="13"/>
    <x v="23"/>
    <x v="5"/>
    <x v="42"/>
    <x v="87"/>
    <x v="1240"/>
    <x v="32"/>
    <x v="32"/>
    <x v="1"/>
  </r>
  <r>
    <x v="5"/>
    <x v="1"/>
    <x v="701"/>
    <x v="0"/>
    <x v="13"/>
    <x v="23"/>
    <x v="4"/>
    <x v="38"/>
    <x v="72"/>
    <x v="933"/>
    <x v="36"/>
    <x v="36"/>
    <x v="1"/>
  </r>
  <r>
    <x v="5"/>
    <x v="1"/>
    <x v="701"/>
    <x v="0"/>
    <x v="13"/>
    <x v="23"/>
    <x v="0"/>
    <x v="47"/>
    <x v="69"/>
    <x v="1096"/>
    <x v="29"/>
    <x v="29"/>
    <x v="1"/>
  </r>
  <r>
    <x v="5"/>
    <x v="1"/>
    <x v="701"/>
    <x v="0"/>
    <x v="13"/>
    <x v="23"/>
    <x v="3"/>
    <x v="55"/>
    <x v="101"/>
    <x v="1767"/>
    <x v="36"/>
    <x v="36"/>
    <x v="1"/>
  </r>
  <r>
    <x v="5"/>
    <x v="1"/>
    <x v="375"/>
    <x v="0"/>
    <x v="13"/>
    <x v="23"/>
    <x v="2"/>
    <x v="25"/>
    <x v="105"/>
    <x v="956"/>
    <x v="38"/>
    <x v="38"/>
    <x v="1"/>
  </r>
  <r>
    <x v="5"/>
    <x v="1"/>
    <x v="375"/>
    <x v="0"/>
    <x v="13"/>
    <x v="23"/>
    <x v="1"/>
    <x v="25"/>
    <x v="62"/>
    <x v="499"/>
    <x v="41"/>
    <x v="41"/>
    <x v="1"/>
  </r>
  <r>
    <x v="5"/>
    <x v="1"/>
    <x v="375"/>
    <x v="0"/>
    <x v="13"/>
    <x v="23"/>
    <x v="5"/>
    <x v="18"/>
    <x v="72"/>
    <x v="440"/>
    <x v="41"/>
    <x v="41"/>
    <x v="1"/>
  </r>
  <r>
    <x v="5"/>
    <x v="1"/>
    <x v="375"/>
    <x v="0"/>
    <x v="13"/>
    <x v="23"/>
    <x v="4"/>
    <x v="22"/>
    <x v="34"/>
    <x v="188"/>
    <x v="40"/>
    <x v="40"/>
    <x v="1"/>
  </r>
  <r>
    <x v="5"/>
    <x v="1"/>
    <x v="375"/>
    <x v="0"/>
    <x v="13"/>
    <x v="23"/>
    <x v="0"/>
    <x v="34"/>
    <x v="43"/>
    <x v="454"/>
    <x v="37"/>
    <x v="37"/>
    <x v="1"/>
  </r>
  <r>
    <x v="5"/>
    <x v="1"/>
    <x v="375"/>
    <x v="0"/>
    <x v="13"/>
    <x v="23"/>
    <x v="3"/>
    <x v="27"/>
    <x v="62"/>
    <x v="542"/>
    <x v="36"/>
    <x v="36"/>
    <x v="1"/>
  </r>
  <r>
    <x v="5"/>
    <x v="1"/>
    <x v="406"/>
    <x v="0"/>
    <x v="13"/>
    <x v="23"/>
    <x v="2"/>
    <x v="26"/>
    <x v="128"/>
    <x v="1188"/>
    <x v="40"/>
    <x v="40"/>
    <x v="1"/>
  </r>
  <r>
    <x v="5"/>
    <x v="1"/>
    <x v="406"/>
    <x v="0"/>
    <x v="13"/>
    <x v="23"/>
    <x v="1"/>
    <x v="31"/>
    <x v="39"/>
    <x v="359"/>
    <x v="41"/>
    <x v="41"/>
    <x v="1"/>
  </r>
  <r>
    <x v="5"/>
    <x v="1"/>
    <x v="406"/>
    <x v="0"/>
    <x v="13"/>
    <x v="23"/>
    <x v="5"/>
    <x v="20"/>
    <x v="62"/>
    <x v="398"/>
    <x v="37"/>
    <x v="37"/>
    <x v="1"/>
  </r>
  <r>
    <x v="5"/>
    <x v="1"/>
    <x v="406"/>
    <x v="1"/>
    <x v="47"/>
    <x v="10"/>
    <x v="4"/>
    <x v="27"/>
    <x v="38"/>
    <x v="294"/>
    <x v="39"/>
    <x v="39"/>
    <x v="1"/>
  </r>
  <r>
    <x v="5"/>
    <x v="1"/>
    <x v="406"/>
    <x v="1"/>
    <x v="47"/>
    <x v="10"/>
    <x v="0"/>
    <x v="41"/>
    <x v="54"/>
    <x v="709"/>
    <x v="39"/>
    <x v="39"/>
    <x v="1"/>
  </r>
  <r>
    <x v="5"/>
    <x v="1"/>
    <x v="406"/>
    <x v="1"/>
    <x v="47"/>
    <x v="10"/>
    <x v="3"/>
    <x v="17"/>
    <x v="87"/>
    <x v="534"/>
    <x v="40"/>
    <x v="40"/>
    <x v="1"/>
  </r>
  <r>
    <x v="5"/>
    <x v="1"/>
    <x v="433"/>
    <x v="1"/>
    <x v="47"/>
    <x v="10"/>
    <x v="2"/>
    <x v="21"/>
    <x v="143"/>
    <x v="1115"/>
    <x v="37"/>
    <x v="37"/>
    <x v="1"/>
  </r>
  <r>
    <x v="5"/>
    <x v="1"/>
    <x v="433"/>
    <x v="1"/>
    <x v="47"/>
    <x v="10"/>
    <x v="1"/>
    <x v="20"/>
    <x v="57"/>
    <x v="349"/>
    <x v="40"/>
    <x v="40"/>
    <x v="1"/>
  </r>
  <r>
    <x v="5"/>
    <x v="1"/>
    <x v="433"/>
    <x v="1"/>
    <x v="47"/>
    <x v="10"/>
    <x v="5"/>
    <x v="12"/>
    <x v="75"/>
    <x v="312"/>
    <x v="40"/>
    <x v="40"/>
    <x v="1"/>
  </r>
  <r>
    <x v="5"/>
    <x v="1"/>
    <x v="433"/>
    <x v="1"/>
    <x v="47"/>
    <x v="10"/>
    <x v="4"/>
    <x v="16"/>
    <x v="38"/>
    <x v="147"/>
    <x v="39"/>
    <x v="39"/>
    <x v="1"/>
  </r>
  <r>
    <x v="5"/>
    <x v="1"/>
    <x v="433"/>
    <x v="1"/>
    <x v="47"/>
    <x v="10"/>
    <x v="0"/>
    <x v="30"/>
    <x v="48"/>
    <x v="443"/>
    <x v="36"/>
    <x v="36"/>
    <x v="1"/>
  </r>
  <r>
    <x v="5"/>
    <x v="1"/>
    <x v="433"/>
    <x v="1"/>
    <x v="47"/>
    <x v="10"/>
    <x v="3"/>
    <x v="22"/>
    <x v="67"/>
    <x v="486"/>
    <x v="40"/>
    <x v="40"/>
    <x v="1"/>
  </r>
  <r>
    <x v="5"/>
    <x v="1"/>
    <x v="465"/>
    <x v="1"/>
    <x v="47"/>
    <x v="10"/>
    <x v="2"/>
    <x v="20"/>
    <x v="123"/>
    <x v="915"/>
    <x v="37"/>
    <x v="37"/>
    <x v="1"/>
  </r>
  <r>
    <x v="5"/>
    <x v="1"/>
    <x v="465"/>
    <x v="1"/>
    <x v="47"/>
    <x v="10"/>
    <x v="1"/>
    <x v="21"/>
    <x v="62"/>
    <x v="421"/>
    <x v="41"/>
    <x v="41"/>
    <x v="1"/>
  </r>
  <r>
    <x v="5"/>
    <x v="1"/>
    <x v="465"/>
    <x v="1"/>
    <x v="47"/>
    <x v="10"/>
    <x v="5"/>
    <x v="12"/>
    <x v="56"/>
    <x v="185"/>
    <x v="40"/>
    <x v="40"/>
    <x v="1"/>
  </r>
  <r>
    <x v="5"/>
    <x v="1"/>
    <x v="465"/>
    <x v="1"/>
    <x v="47"/>
    <x v="10"/>
    <x v="4"/>
    <x v="18"/>
    <x v="36"/>
    <x v="158"/>
    <x v="38"/>
    <x v="38"/>
    <x v="1"/>
  </r>
  <r>
    <x v="5"/>
    <x v="1"/>
    <x v="465"/>
    <x v="1"/>
    <x v="47"/>
    <x v="10"/>
    <x v="0"/>
    <x v="53"/>
    <x v="45"/>
    <x v="780"/>
    <x v="41"/>
    <x v="41"/>
    <x v="1"/>
  </r>
  <r>
    <x v="5"/>
    <x v="1"/>
    <x v="465"/>
    <x v="1"/>
    <x v="47"/>
    <x v="10"/>
    <x v="3"/>
    <x v="40"/>
    <x v="77"/>
    <x v="1063"/>
    <x v="37"/>
    <x v="37"/>
    <x v="1"/>
  </r>
  <r>
    <x v="5"/>
    <x v="1"/>
    <x v="496"/>
    <x v="1"/>
    <x v="47"/>
    <x v="10"/>
    <x v="2"/>
    <x v="51"/>
    <x v="156"/>
    <x v="2264"/>
    <x v="38"/>
    <x v="38"/>
    <x v="1"/>
  </r>
  <r>
    <x v="5"/>
    <x v="1"/>
    <x v="496"/>
    <x v="1"/>
    <x v="47"/>
    <x v="10"/>
    <x v="1"/>
    <x v="30"/>
    <x v="72"/>
    <x v="740"/>
    <x v="37"/>
    <x v="37"/>
    <x v="1"/>
  </r>
  <r>
    <x v="5"/>
    <x v="1"/>
    <x v="496"/>
    <x v="1"/>
    <x v="47"/>
    <x v="10"/>
    <x v="5"/>
    <x v="25"/>
    <x v="63"/>
    <x v="520"/>
    <x v="41"/>
    <x v="41"/>
    <x v="1"/>
  </r>
  <r>
    <x v="5"/>
    <x v="1"/>
    <x v="496"/>
    <x v="1"/>
    <x v="47"/>
    <x v="10"/>
    <x v="4"/>
    <x v="26"/>
    <x v="39"/>
    <x v="289"/>
    <x v="41"/>
    <x v="41"/>
    <x v="1"/>
  </r>
  <r>
    <x v="5"/>
    <x v="1"/>
    <x v="496"/>
    <x v="1"/>
    <x v="47"/>
    <x v="10"/>
    <x v="0"/>
    <x v="35"/>
    <x v="56"/>
    <x v="632"/>
    <x v="40"/>
    <x v="40"/>
    <x v="1"/>
  </r>
  <r>
    <x v="5"/>
    <x v="1"/>
    <x v="496"/>
    <x v="1"/>
    <x v="47"/>
    <x v="10"/>
    <x v="3"/>
    <x v="45"/>
    <x v="78"/>
    <x v="1194"/>
    <x v="41"/>
    <x v="41"/>
    <x v="1"/>
  </r>
  <r>
    <x v="5"/>
    <x v="1"/>
    <x v="526"/>
    <x v="1"/>
    <x v="47"/>
    <x v="10"/>
    <x v="2"/>
    <x v="36"/>
    <x v="129"/>
    <x v="1557"/>
    <x v="38"/>
    <x v="38"/>
    <x v="1"/>
  </r>
  <r>
    <x v="5"/>
    <x v="1"/>
    <x v="526"/>
    <x v="1"/>
    <x v="47"/>
    <x v="10"/>
    <x v="1"/>
    <x v="30"/>
    <x v="100"/>
    <x v="1058"/>
    <x v="36"/>
    <x v="36"/>
    <x v="1"/>
  </r>
  <r>
    <x v="5"/>
    <x v="1"/>
    <x v="526"/>
    <x v="1"/>
    <x v="47"/>
    <x v="10"/>
    <x v="5"/>
    <x v="26"/>
    <x v="67"/>
    <x v="581"/>
    <x v="40"/>
    <x v="40"/>
    <x v="1"/>
  </r>
  <r>
    <x v="5"/>
    <x v="1"/>
    <x v="526"/>
    <x v="1"/>
    <x v="47"/>
    <x v="10"/>
    <x v="4"/>
    <x v="26"/>
    <x v="57"/>
    <x v="468"/>
    <x v="38"/>
    <x v="38"/>
    <x v="1"/>
  </r>
  <r>
    <x v="5"/>
    <x v="1"/>
    <x v="526"/>
    <x v="1"/>
    <x v="47"/>
    <x v="10"/>
    <x v="0"/>
    <x v="34"/>
    <x v="61"/>
    <x v="684"/>
    <x v="41"/>
    <x v="41"/>
    <x v="1"/>
  </r>
  <r>
    <x v="5"/>
    <x v="1"/>
    <x v="526"/>
    <x v="1"/>
    <x v="47"/>
    <x v="10"/>
    <x v="3"/>
    <x v="52"/>
    <x v="96"/>
    <x v="1626"/>
    <x v="38"/>
    <x v="38"/>
    <x v="1"/>
  </r>
  <r>
    <x v="5"/>
    <x v="1"/>
    <x v="555"/>
    <x v="1"/>
    <x v="47"/>
    <x v="10"/>
    <x v="2"/>
    <x v="48"/>
    <x v="159"/>
    <x v="2208"/>
    <x v="38"/>
    <x v="38"/>
    <x v="1"/>
  </r>
  <r>
    <x v="5"/>
    <x v="1"/>
    <x v="555"/>
    <x v="1"/>
    <x v="47"/>
    <x v="10"/>
    <x v="1"/>
    <x v="43"/>
    <x v="97"/>
    <x v="1394"/>
    <x v="39"/>
    <x v="39"/>
    <x v="1"/>
  </r>
  <r>
    <x v="5"/>
    <x v="1"/>
    <x v="555"/>
    <x v="1"/>
    <x v="47"/>
    <x v="10"/>
    <x v="5"/>
    <x v="42"/>
    <x v="80"/>
    <x v="1156"/>
    <x v="39"/>
    <x v="39"/>
    <x v="1"/>
  </r>
  <r>
    <x v="5"/>
    <x v="1"/>
    <x v="555"/>
    <x v="1"/>
    <x v="47"/>
    <x v="10"/>
    <x v="4"/>
    <x v="41"/>
    <x v="63"/>
    <x v="874"/>
    <x v="37"/>
    <x v="37"/>
    <x v="1"/>
  </r>
  <r>
    <x v="5"/>
    <x v="1"/>
    <x v="555"/>
    <x v="1"/>
    <x v="47"/>
    <x v="10"/>
    <x v="0"/>
    <x v="47"/>
    <x v="72"/>
    <x v="1134"/>
    <x v="40"/>
    <x v="40"/>
    <x v="1"/>
  </r>
  <r>
    <x v="5"/>
    <x v="1"/>
    <x v="555"/>
    <x v="1"/>
    <x v="47"/>
    <x v="10"/>
    <x v="3"/>
    <x v="56"/>
    <x v="113"/>
    <x v="1955"/>
    <x v="40"/>
    <x v="40"/>
    <x v="1"/>
  </r>
  <r>
    <x v="5"/>
    <x v="1"/>
    <x v="587"/>
    <x v="1"/>
    <x v="47"/>
    <x v="10"/>
    <x v="2"/>
    <x v="39"/>
    <x v="111"/>
    <x v="1448"/>
    <x v="38"/>
    <x v="38"/>
    <x v="1"/>
  </r>
  <r>
    <x v="5"/>
    <x v="1"/>
    <x v="587"/>
    <x v="1"/>
    <x v="47"/>
    <x v="10"/>
    <x v="1"/>
    <x v="35"/>
    <x v="74"/>
    <x v="893"/>
    <x v="41"/>
    <x v="41"/>
    <x v="1"/>
  </r>
  <r>
    <x v="5"/>
    <x v="1"/>
    <x v="587"/>
    <x v="1"/>
    <x v="47"/>
    <x v="10"/>
    <x v="5"/>
    <x v="31"/>
    <x v="72"/>
    <x v="767"/>
    <x v="38"/>
    <x v="38"/>
    <x v="1"/>
  </r>
  <r>
    <x v="5"/>
    <x v="1"/>
    <x v="587"/>
    <x v="1"/>
    <x v="47"/>
    <x v="10"/>
    <x v="4"/>
    <x v="29"/>
    <x v="59"/>
    <x v="554"/>
    <x v="37"/>
    <x v="37"/>
    <x v="1"/>
  </r>
  <r>
    <x v="5"/>
    <x v="1"/>
    <x v="587"/>
    <x v="1"/>
    <x v="47"/>
    <x v="10"/>
    <x v="0"/>
    <x v="42"/>
    <x v="56"/>
    <x v="774"/>
    <x v="40"/>
    <x v="40"/>
    <x v="1"/>
  </r>
  <r>
    <x v="5"/>
    <x v="1"/>
    <x v="587"/>
    <x v="1"/>
    <x v="47"/>
    <x v="10"/>
    <x v="3"/>
    <x v="47"/>
    <x v="96"/>
    <x v="1491"/>
    <x v="40"/>
    <x v="40"/>
    <x v="1"/>
  </r>
  <r>
    <x v="5"/>
    <x v="1"/>
    <x v="619"/>
    <x v="1"/>
    <x v="47"/>
    <x v="10"/>
    <x v="2"/>
    <x v="27"/>
    <x v="133"/>
    <x v="1263"/>
    <x v="37"/>
    <x v="37"/>
    <x v="1"/>
  </r>
  <r>
    <x v="5"/>
    <x v="1"/>
    <x v="619"/>
    <x v="1"/>
    <x v="47"/>
    <x v="10"/>
    <x v="1"/>
    <x v="22"/>
    <x v="75"/>
    <x v="568"/>
    <x v="39"/>
    <x v="39"/>
    <x v="1"/>
  </r>
  <r>
    <x v="5"/>
    <x v="1"/>
    <x v="619"/>
    <x v="1"/>
    <x v="47"/>
    <x v="10"/>
    <x v="5"/>
    <x v="17"/>
    <x v="56"/>
    <x v="284"/>
    <x v="40"/>
    <x v="40"/>
    <x v="1"/>
  </r>
  <r>
    <x v="5"/>
    <x v="1"/>
    <x v="619"/>
    <x v="1"/>
    <x v="47"/>
    <x v="10"/>
    <x v="4"/>
    <x v="16"/>
    <x v="48"/>
    <x v="198"/>
    <x v="36"/>
    <x v="36"/>
    <x v="1"/>
  </r>
  <r>
    <x v="5"/>
    <x v="1"/>
    <x v="619"/>
    <x v="1"/>
    <x v="47"/>
    <x v="10"/>
    <x v="0"/>
    <x v="25"/>
    <x v="50"/>
    <x v="376"/>
    <x v="38"/>
    <x v="38"/>
    <x v="1"/>
  </r>
  <r>
    <x v="5"/>
    <x v="1"/>
    <x v="619"/>
    <x v="1"/>
    <x v="47"/>
    <x v="10"/>
    <x v="3"/>
    <x v="29"/>
    <x v="62"/>
    <x v="589"/>
    <x v="37"/>
    <x v="37"/>
    <x v="1"/>
  </r>
  <r>
    <x v="5"/>
    <x v="1"/>
    <x v="648"/>
    <x v="1"/>
    <x v="47"/>
    <x v="10"/>
    <x v="2"/>
    <x v="34"/>
    <x v="96"/>
    <x v="1138"/>
    <x v="40"/>
    <x v="40"/>
    <x v="1"/>
  </r>
  <r>
    <x v="5"/>
    <x v="1"/>
    <x v="648"/>
    <x v="1"/>
    <x v="47"/>
    <x v="10"/>
    <x v="1"/>
    <x v="25"/>
    <x v="66"/>
    <x v="545"/>
    <x v="38"/>
    <x v="38"/>
    <x v="1"/>
  </r>
  <r>
    <x v="5"/>
    <x v="1"/>
    <x v="648"/>
    <x v="1"/>
    <x v="47"/>
    <x v="10"/>
    <x v="5"/>
    <x v="26"/>
    <x v="33"/>
    <x v="234"/>
    <x v="39"/>
    <x v="39"/>
    <x v="1"/>
  </r>
  <r>
    <x v="5"/>
    <x v="1"/>
    <x v="648"/>
    <x v="1"/>
    <x v="47"/>
    <x v="10"/>
    <x v="4"/>
    <x v="25"/>
    <x v="36"/>
    <x v="251"/>
    <x v="39"/>
    <x v="39"/>
    <x v="1"/>
  </r>
  <r>
    <x v="5"/>
    <x v="1"/>
    <x v="648"/>
    <x v="1"/>
    <x v="47"/>
    <x v="10"/>
    <x v="0"/>
    <x v="34"/>
    <x v="42"/>
    <x v="439"/>
    <x v="41"/>
    <x v="41"/>
    <x v="1"/>
  </r>
  <r>
    <x v="1"/>
    <x v="1"/>
    <x v="648"/>
    <x v="1"/>
    <x v="47"/>
    <x v="10"/>
    <x v="3"/>
    <x v="40"/>
    <x v="69"/>
    <x v="941"/>
    <x v="36"/>
    <x v="36"/>
    <x v="1"/>
  </r>
  <r>
    <x v="1"/>
    <x v="1"/>
    <x v="679"/>
    <x v="1"/>
    <x v="47"/>
    <x v="10"/>
    <x v="2"/>
    <x v="37"/>
    <x v="98"/>
    <x v="1241"/>
    <x v="38"/>
    <x v="38"/>
    <x v="1"/>
  </r>
  <r>
    <x v="1"/>
    <x v="1"/>
    <x v="679"/>
    <x v="1"/>
    <x v="47"/>
    <x v="10"/>
    <x v="1"/>
    <x v="26"/>
    <x v="78"/>
    <x v="717"/>
    <x v="39"/>
    <x v="39"/>
    <x v="1"/>
  </r>
  <r>
    <x v="1"/>
    <x v="1"/>
    <x v="679"/>
    <x v="1"/>
    <x v="47"/>
    <x v="10"/>
    <x v="5"/>
    <x v="25"/>
    <x v="63"/>
    <x v="520"/>
    <x v="36"/>
    <x v="36"/>
    <x v="1"/>
  </r>
  <r>
    <x v="1"/>
    <x v="1"/>
    <x v="679"/>
    <x v="1"/>
    <x v="47"/>
    <x v="10"/>
    <x v="4"/>
    <x v="31"/>
    <x v="75"/>
    <x v="806"/>
    <x v="41"/>
    <x v="41"/>
    <x v="1"/>
  </r>
  <r>
    <x v="1"/>
    <x v="1"/>
    <x v="679"/>
    <x v="1"/>
    <x v="47"/>
    <x v="10"/>
    <x v="0"/>
    <x v="55"/>
    <x v="64"/>
    <x v="1163"/>
    <x v="39"/>
    <x v="39"/>
    <x v="1"/>
  </r>
  <r>
    <x v="1"/>
    <x v="1"/>
    <x v="679"/>
    <x v="1"/>
    <x v="47"/>
    <x v="10"/>
    <x v="3"/>
    <x v="57"/>
    <x v="82"/>
    <x v="1541"/>
    <x v="37"/>
    <x v="37"/>
    <x v="1"/>
  </r>
  <r>
    <x v="1"/>
    <x v="1"/>
    <x v="708"/>
    <x v="1"/>
    <x v="47"/>
    <x v="10"/>
    <x v="2"/>
    <x v="53"/>
    <x v="153"/>
    <x v="2289"/>
    <x v="38"/>
    <x v="38"/>
    <x v="1"/>
  </r>
  <r>
    <x v="1"/>
    <x v="1"/>
    <x v="708"/>
    <x v="1"/>
    <x v="47"/>
    <x v="10"/>
    <x v="1"/>
    <x v="45"/>
    <x v="115"/>
    <x v="1680"/>
    <x v="38"/>
    <x v="38"/>
    <x v="1"/>
  </r>
  <r>
    <x v="5"/>
    <x v="1"/>
    <x v="708"/>
    <x v="1"/>
    <x v="47"/>
    <x v="10"/>
    <x v="5"/>
    <x v="43"/>
    <x v="93"/>
    <x v="1348"/>
    <x v="39"/>
    <x v="39"/>
    <x v="1"/>
  </r>
  <r>
    <x v="1"/>
    <x v="1"/>
    <x v="708"/>
    <x v="1"/>
    <x v="47"/>
    <x v="10"/>
    <x v="4"/>
    <x v="46"/>
    <x v="84"/>
    <x v="1299"/>
    <x v="37"/>
    <x v="37"/>
    <x v="1"/>
  </r>
  <r>
    <x v="1"/>
    <x v="1"/>
    <x v="708"/>
    <x v="1"/>
    <x v="47"/>
    <x v="10"/>
    <x v="0"/>
    <x v="54"/>
    <x v="78"/>
    <x v="1392"/>
    <x v="36"/>
    <x v="36"/>
    <x v="1"/>
  </r>
  <r>
    <x v="1"/>
    <x v="1"/>
    <x v="708"/>
    <x v="1"/>
    <x v="47"/>
    <x v="10"/>
    <x v="3"/>
    <x v="61"/>
    <x v="102"/>
    <x v="1940"/>
    <x v="41"/>
    <x v="41"/>
    <x v="1"/>
  </r>
  <r>
    <x v="1"/>
    <x v="1"/>
    <x v="382"/>
    <x v="1"/>
    <x v="47"/>
    <x v="10"/>
    <x v="2"/>
    <x v="26"/>
    <x v="88"/>
    <x v="820"/>
    <x v="36"/>
    <x v="36"/>
    <x v="1"/>
  </r>
  <r>
    <x v="1"/>
    <x v="1"/>
    <x v="382"/>
    <x v="1"/>
    <x v="47"/>
    <x v="10"/>
    <x v="1"/>
    <x v="27"/>
    <x v="56"/>
    <x v="476"/>
    <x v="33"/>
    <x v="33"/>
    <x v="1"/>
  </r>
  <r>
    <x v="1"/>
    <x v="1"/>
    <x v="382"/>
    <x v="1"/>
    <x v="47"/>
    <x v="10"/>
    <x v="5"/>
    <x v="17"/>
    <x v="52"/>
    <x v="254"/>
    <x v="32"/>
    <x v="32"/>
    <x v="1"/>
  </r>
  <r>
    <x v="1"/>
    <x v="1"/>
    <x v="382"/>
    <x v="1"/>
    <x v="47"/>
    <x v="10"/>
    <x v="4"/>
    <x v="21"/>
    <x v="10"/>
    <x v="37"/>
    <x v="36"/>
    <x v="36"/>
    <x v="1"/>
  </r>
  <r>
    <x v="1"/>
    <x v="1"/>
    <x v="382"/>
    <x v="1"/>
    <x v="47"/>
    <x v="10"/>
    <x v="0"/>
    <x v="35"/>
    <x v="23"/>
    <x v="208"/>
    <x v="29"/>
    <x v="29"/>
    <x v="1"/>
  </r>
  <r>
    <x v="1"/>
    <x v="1"/>
    <x v="382"/>
    <x v="1"/>
    <x v="47"/>
    <x v="10"/>
    <x v="3"/>
    <x v="26"/>
    <x v="48"/>
    <x v="374"/>
    <x v="26"/>
    <x v="26"/>
    <x v="1"/>
  </r>
  <r>
    <x v="1"/>
    <x v="1"/>
    <x v="411"/>
    <x v="1"/>
    <x v="47"/>
    <x v="10"/>
    <x v="2"/>
    <x v="25"/>
    <x v="118"/>
    <x v="1062"/>
    <x v="39"/>
    <x v="39"/>
    <x v="1"/>
  </r>
  <r>
    <x v="5"/>
    <x v="1"/>
    <x v="411"/>
    <x v="1"/>
    <x v="47"/>
    <x v="10"/>
    <x v="1"/>
    <x v="27"/>
    <x v="27"/>
    <x v="185"/>
    <x v="32"/>
    <x v="32"/>
    <x v="1"/>
  </r>
  <r>
    <x v="5"/>
    <x v="1"/>
    <x v="411"/>
    <x v="1"/>
    <x v="47"/>
    <x v="10"/>
    <x v="5"/>
    <x v="17"/>
    <x v="35"/>
    <x v="138"/>
    <x v="33"/>
    <x v="33"/>
    <x v="1"/>
  </r>
  <r>
    <x v="5"/>
    <x v="1"/>
    <x v="411"/>
    <x v="1"/>
    <x v="19"/>
    <x v="4"/>
    <x v="4"/>
    <x v="21"/>
    <x v="5"/>
    <x v="17"/>
    <x v="36"/>
    <x v="36"/>
    <x v="1"/>
  </r>
  <r>
    <x v="5"/>
    <x v="1"/>
    <x v="411"/>
    <x v="1"/>
    <x v="19"/>
    <x v="4"/>
    <x v="0"/>
    <x v="34"/>
    <x v="21"/>
    <x v="179"/>
    <x v="31"/>
    <x v="31"/>
    <x v="1"/>
  </r>
  <r>
    <x v="5"/>
    <x v="1"/>
    <x v="411"/>
    <x v="1"/>
    <x v="19"/>
    <x v="4"/>
    <x v="3"/>
    <x v="27"/>
    <x v="52"/>
    <x v="431"/>
    <x v="29"/>
    <x v="29"/>
    <x v="1"/>
  </r>
  <r>
    <x v="5"/>
    <x v="1"/>
    <x v="437"/>
    <x v="1"/>
    <x v="19"/>
    <x v="4"/>
    <x v="2"/>
    <x v="25"/>
    <x v="105"/>
    <x v="956"/>
    <x v="39"/>
    <x v="39"/>
    <x v="1"/>
  </r>
  <r>
    <x v="5"/>
    <x v="1"/>
    <x v="437"/>
    <x v="1"/>
    <x v="19"/>
    <x v="4"/>
    <x v="1"/>
    <x v="27"/>
    <x v="28"/>
    <x v="192"/>
    <x v="33"/>
    <x v="33"/>
    <x v="1"/>
  </r>
  <r>
    <x v="5"/>
    <x v="1"/>
    <x v="437"/>
    <x v="1"/>
    <x v="19"/>
    <x v="4"/>
    <x v="5"/>
    <x v="17"/>
    <x v="42"/>
    <x v="180"/>
    <x v="35"/>
    <x v="35"/>
    <x v="1"/>
  </r>
  <r>
    <x v="5"/>
    <x v="1"/>
    <x v="437"/>
    <x v="1"/>
    <x v="19"/>
    <x v="4"/>
    <x v="4"/>
    <x v="22"/>
    <x v="2"/>
    <x v="2"/>
    <x v="32"/>
    <x v="32"/>
    <x v="1"/>
  </r>
  <r>
    <x v="5"/>
    <x v="1"/>
    <x v="437"/>
    <x v="1"/>
    <x v="19"/>
    <x v="4"/>
    <x v="0"/>
    <x v="36"/>
    <x v="12"/>
    <x v="104"/>
    <x v="29"/>
    <x v="29"/>
    <x v="1"/>
  </r>
  <r>
    <x v="5"/>
    <x v="1"/>
    <x v="437"/>
    <x v="1"/>
    <x v="19"/>
    <x v="4"/>
    <x v="3"/>
    <x v="26"/>
    <x v="38"/>
    <x v="280"/>
    <x v="31"/>
    <x v="31"/>
    <x v="1"/>
  </r>
  <r>
    <x v="5"/>
    <x v="1"/>
    <x v="469"/>
    <x v="1"/>
    <x v="19"/>
    <x v="4"/>
    <x v="2"/>
    <x v="26"/>
    <x v="108"/>
    <x v="1011"/>
    <x v="37"/>
    <x v="37"/>
    <x v="1"/>
  </r>
  <r>
    <x v="5"/>
    <x v="1"/>
    <x v="469"/>
    <x v="1"/>
    <x v="19"/>
    <x v="4"/>
    <x v="1"/>
    <x v="25"/>
    <x v="21"/>
    <x v="114"/>
    <x v="33"/>
    <x v="33"/>
    <x v="1"/>
  </r>
  <r>
    <x v="5"/>
    <x v="1"/>
    <x v="469"/>
    <x v="1"/>
    <x v="19"/>
    <x v="4"/>
    <x v="5"/>
    <x v="17"/>
    <x v="23"/>
    <x v="78"/>
    <x v="35"/>
    <x v="35"/>
    <x v="1"/>
  </r>
  <r>
    <x v="5"/>
    <x v="1"/>
    <x v="469"/>
    <x v="1"/>
    <x v="19"/>
    <x v="4"/>
    <x v="4"/>
    <x v="20"/>
    <x v="4"/>
    <x v="13"/>
    <x v="33"/>
    <x v="33"/>
    <x v="1"/>
  </r>
  <r>
    <x v="5"/>
    <x v="1"/>
    <x v="469"/>
    <x v="1"/>
    <x v="19"/>
    <x v="4"/>
    <x v="0"/>
    <x v="34"/>
    <x v="6"/>
    <x v="47"/>
    <x v="31"/>
    <x v="31"/>
    <x v="1"/>
  </r>
  <r>
    <x v="5"/>
    <x v="1"/>
    <x v="469"/>
    <x v="1"/>
    <x v="19"/>
    <x v="4"/>
    <x v="3"/>
    <x v="25"/>
    <x v="41"/>
    <x v="292"/>
    <x v="30"/>
    <x v="30"/>
    <x v="1"/>
  </r>
  <r>
    <x v="5"/>
    <x v="1"/>
    <x v="498"/>
    <x v="1"/>
    <x v="19"/>
    <x v="4"/>
    <x v="2"/>
    <x v="42"/>
    <x v="99"/>
    <x v="1390"/>
    <x v="38"/>
    <x v="38"/>
    <x v="1"/>
  </r>
  <r>
    <x v="5"/>
    <x v="1"/>
    <x v="498"/>
    <x v="1"/>
    <x v="19"/>
    <x v="4"/>
    <x v="1"/>
    <x v="35"/>
    <x v="36"/>
    <x v="382"/>
    <x v="32"/>
    <x v="32"/>
    <x v="1"/>
  </r>
  <r>
    <x v="5"/>
    <x v="1"/>
    <x v="498"/>
    <x v="1"/>
    <x v="19"/>
    <x v="4"/>
    <x v="5"/>
    <x v="29"/>
    <x v="27"/>
    <x v="203"/>
    <x v="34"/>
    <x v="34"/>
    <x v="1"/>
  </r>
  <r>
    <x v="5"/>
    <x v="1"/>
    <x v="498"/>
    <x v="1"/>
    <x v="19"/>
    <x v="4"/>
    <x v="4"/>
    <x v="30"/>
    <x v="20"/>
    <x v="140"/>
    <x v="34"/>
    <x v="34"/>
    <x v="1"/>
  </r>
  <r>
    <x v="5"/>
    <x v="1"/>
    <x v="498"/>
    <x v="1"/>
    <x v="19"/>
    <x v="4"/>
    <x v="0"/>
    <x v="42"/>
    <x v="26"/>
    <x v="321"/>
    <x v="28"/>
    <x v="28"/>
    <x v="1"/>
  </r>
  <r>
    <x v="5"/>
    <x v="1"/>
    <x v="498"/>
    <x v="1"/>
    <x v="19"/>
    <x v="4"/>
    <x v="3"/>
    <x v="45"/>
    <x v="52"/>
    <x v="758"/>
    <x v="27"/>
    <x v="27"/>
    <x v="1"/>
  </r>
  <r>
    <x v="5"/>
    <x v="1"/>
    <x v="531"/>
    <x v="1"/>
    <x v="19"/>
    <x v="4"/>
    <x v="2"/>
    <x v="40"/>
    <x v="105"/>
    <x v="1410"/>
    <x v="36"/>
    <x v="36"/>
    <x v="1"/>
  </r>
  <r>
    <x v="5"/>
    <x v="1"/>
    <x v="531"/>
    <x v="1"/>
    <x v="19"/>
    <x v="4"/>
    <x v="1"/>
    <x v="34"/>
    <x v="62"/>
    <x v="699"/>
    <x v="33"/>
    <x v="33"/>
    <x v="1"/>
  </r>
  <r>
    <x v="1"/>
    <x v="1"/>
    <x v="531"/>
    <x v="1"/>
    <x v="19"/>
    <x v="4"/>
    <x v="5"/>
    <x v="30"/>
    <x v="36"/>
    <x v="315"/>
    <x v="36"/>
    <x v="36"/>
    <x v="1"/>
  </r>
  <r>
    <x v="1"/>
    <x v="1"/>
    <x v="531"/>
    <x v="1"/>
    <x v="19"/>
    <x v="4"/>
    <x v="4"/>
    <x v="30"/>
    <x v="33"/>
    <x v="283"/>
    <x v="36"/>
    <x v="36"/>
    <x v="1"/>
  </r>
  <r>
    <x v="1"/>
    <x v="1"/>
    <x v="531"/>
    <x v="1"/>
    <x v="19"/>
    <x v="4"/>
    <x v="0"/>
    <x v="42"/>
    <x v="31"/>
    <x v="407"/>
    <x v="30"/>
    <x v="30"/>
    <x v="1"/>
  </r>
  <r>
    <x v="1"/>
    <x v="1"/>
    <x v="531"/>
    <x v="1"/>
    <x v="19"/>
    <x v="4"/>
    <x v="3"/>
    <x v="46"/>
    <x v="69"/>
    <x v="1071"/>
    <x v="31"/>
    <x v="31"/>
    <x v="1"/>
  </r>
  <r>
    <x v="1"/>
    <x v="1"/>
    <x v="559"/>
    <x v="1"/>
    <x v="19"/>
    <x v="4"/>
    <x v="2"/>
    <x v="42"/>
    <x v="111"/>
    <x v="1546"/>
    <x v="38"/>
    <x v="38"/>
    <x v="1"/>
  </r>
  <r>
    <x v="3"/>
    <x v="1"/>
    <x v="559"/>
    <x v="1"/>
    <x v="19"/>
    <x v="4"/>
    <x v="1"/>
    <x v="35"/>
    <x v="59"/>
    <x v="679"/>
    <x v="34"/>
    <x v="34"/>
    <x v="1"/>
  </r>
  <r>
    <x v="3"/>
    <x v="1"/>
    <x v="559"/>
    <x v="1"/>
    <x v="19"/>
    <x v="4"/>
    <x v="5"/>
    <x v="30"/>
    <x v="49"/>
    <x v="455"/>
    <x v="35"/>
    <x v="35"/>
    <x v="1"/>
  </r>
  <r>
    <x v="3"/>
    <x v="1"/>
    <x v="559"/>
    <x v="1"/>
    <x v="19"/>
    <x v="4"/>
    <x v="4"/>
    <x v="29"/>
    <x v="34"/>
    <x v="281"/>
    <x v="33"/>
    <x v="33"/>
    <x v="1"/>
  </r>
  <r>
    <x v="3"/>
    <x v="1"/>
    <x v="559"/>
    <x v="1"/>
    <x v="19"/>
    <x v="4"/>
    <x v="0"/>
    <x v="39"/>
    <x v="40"/>
    <x v="485"/>
    <x v="31"/>
    <x v="31"/>
    <x v="1"/>
  </r>
  <r>
    <x v="3"/>
    <x v="1"/>
    <x v="559"/>
    <x v="1"/>
    <x v="19"/>
    <x v="4"/>
    <x v="3"/>
    <x v="47"/>
    <x v="84"/>
    <x v="1324"/>
    <x v="28"/>
    <x v="28"/>
    <x v="1"/>
  </r>
  <r>
    <x v="3"/>
    <x v="1"/>
    <x v="591"/>
    <x v="1"/>
    <x v="19"/>
    <x v="4"/>
    <x v="2"/>
    <x v="41"/>
    <x v="115"/>
    <x v="1565"/>
    <x v="39"/>
    <x v="39"/>
    <x v="1"/>
  </r>
  <r>
    <x v="3"/>
    <x v="1"/>
    <x v="591"/>
    <x v="1"/>
    <x v="19"/>
    <x v="4"/>
    <x v="1"/>
    <x v="34"/>
    <x v="68"/>
    <x v="792"/>
    <x v="36"/>
    <x v="36"/>
    <x v="1"/>
  </r>
  <r>
    <x v="3"/>
    <x v="1"/>
    <x v="591"/>
    <x v="1"/>
    <x v="19"/>
    <x v="4"/>
    <x v="5"/>
    <x v="32"/>
    <x v="49"/>
    <x v="484"/>
    <x v="36"/>
    <x v="36"/>
    <x v="1"/>
  </r>
  <r>
    <x v="3"/>
    <x v="1"/>
    <x v="591"/>
    <x v="1"/>
    <x v="19"/>
    <x v="4"/>
    <x v="4"/>
    <x v="30"/>
    <x v="33"/>
    <x v="283"/>
    <x v="32"/>
    <x v="32"/>
    <x v="1"/>
  </r>
  <r>
    <x v="3"/>
    <x v="1"/>
    <x v="591"/>
    <x v="1"/>
    <x v="19"/>
    <x v="4"/>
    <x v="0"/>
    <x v="40"/>
    <x v="27"/>
    <x v="327"/>
    <x v="31"/>
    <x v="31"/>
    <x v="1"/>
  </r>
  <r>
    <x v="3"/>
    <x v="1"/>
    <x v="591"/>
    <x v="1"/>
    <x v="19"/>
    <x v="4"/>
    <x v="3"/>
    <x v="46"/>
    <x v="67"/>
    <x v="1027"/>
    <x v="29"/>
    <x v="29"/>
    <x v="1"/>
  </r>
  <r>
    <x v="3"/>
    <x v="1"/>
    <x v="621"/>
    <x v="1"/>
    <x v="19"/>
    <x v="4"/>
    <x v="2"/>
    <x v="42"/>
    <x v="108"/>
    <x v="1509"/>
    <x v="37"/>
    <x v="37"/>
    <x v="1"/>
  </r>
  <r>
    <x v="3"/>
    <x v="1"/>
    <x v="621"/>
    <x v="1"/>
    <x v="19"/>
    <x v="4"/>
    <x v="1"/>
    <x v="37"/>
    <x v="52"/>
    <x v="610"/>
    <x v="31"/>
    <x v="31"/>
    <x v="1"/>
  </r>
  <r>
    <x v="3"/>
    <x v="1"/>
    <x v="621"/>
    <x v="1"/>
    <x v="19"/>
    <x v="4"/>
    <x v="5"/>
    <x v="31"/>
    <x v="26"/>
    <x v="203"/>
    <x v="36"/>
    <x v="36"/>
    <x v="1"/>
  </r>
  <r>
    <x v="3"/>
    <x v="1"/>
    <x v="621"/>
    <x v="1"/>
    <x v="19"/>
    <x v="4"/>
    <x v="4"/>
    <x v="29"/>
    <x v="15"/>
    <x v="95"/>
    <x v="31"/>
    <x v="31"/>
    <x v="1"/>
  </r>
  <r>
    <x v="3"/>
    <x v="1"/>
    <x v="621"/>
    <x v="1"/>
    <x v="19"/>
    <x v="4"/>
    <x v="0"/>
    <x v="41"/>
    <x v="20"/>
    <x v="230"/>
    <x v="29"/>
    <x v="29"/>
    <x v="1"/>
  </r>
  <r>
    <x v="3"/>
    <x v="1"/>
    <x v="621"/>
    <x v="1"/>
    <x v="19"/>
    <x v="4"/>
    <x v="3"/>
    <x v="47"/>
    <x v="39"/>
    <x v="589"/>
    <x v="26"/>
    <x v="26"/>
    <x v="1"/>
  </r>
  <r>
    <x v="3"/>
    <x v="1"/>
    <x v="653"/>
    <x v="1"/>
    <x v="19"/>
    <x v="4"/>
    <x v="2"/>
    <x v="45"/>
    <x v="94"/>
    <x v="1411"/>
    <x v="40"/>
    <x v="40"/>
    <x v="1"/>
  </r>
  <r>
    <x v="3"/>
    <x v="1"/>
    <x v="653"/>
    <x v="1"/>
    <x v="19"/>
    <x v="4"/>
    <x v="1"/>
    <x v="41"/>
    <x v="47"/>
    <x v="614"/>
    <x v="32"/>
    <x v="32"/>
    <x v="1"/>
  </r>
  <r>
    <x v="3"/>
    <x v="1"/>
    <x v="653"/>
    <x v="1"/>
    <x v="19"/>
    <x v="4"/>
    <x v="5"/>
    <x v="42"/>
    <x v="15"/>
    <x v="170"/>
    <x v="32"/>
    <x v="32"/>
    <x v="1"/>
  </r>
  <r>
    <x v="1"/>
    <x v="1"/>
    <x v="653"/>
    <x v="1"/>
    <x v="19"/>
    <x v="4"/>
    <x v="4"/>
    <x v="42"/>
    <x v="11"/>
    <x v="122"/>
    <x v="36"/>
    <x v="36"/>
    <x v="1"/>
  </r>
  <r>
    <x v="1"/>
    <x v="1"/>
    <x v="653"/>
    <x v="1"/>
    <x v="19"/>
    <x v="4"/>
    <x v="0"/>
    <x v="49"/>
    <x v="10"/>
    <x v="143"/>
    <x v="26"/>
    <x v="26"/>
    <x v="1"/>
  </r>
  <r>
    <x v="1"/>
    <x v="1"/>
    <x v="653"/>
    <x v="1"/>
    <x v="19"/>
    <x v="4"/>
    <x v="3"/>
    <x v="53"/>
    <x v="41"/>
    <x v="709"/>
    <x v="26"/>
    <x v="26"/>
    <x v="1"/>
  </r>
  <r>
    <x v="1"/>
    <x v="1"/>
    <x v="683"/>
    <x v="1"/>
    <x v="19"/>
    <x v="4"/>
    <x v="2"/>
    <x v="51"/>
    <x v="73"/>
    <x v="1230"/>
    <x v="41"/>
    <x v="41"/>
    <x v="1"/>
  </r>
  <r>
    <x v="1"/>
    <x v="1"/>
    <x v="683"/>
    <x v="1"/>
    <x v="19"/>
    <x v="4"/>
    <x v="1"/>
    <x v="38"/>
    <x v="40"/>
    <x v="472"/>
    <x v="33"/>
    <x v="33"/>
    <x v="1"/>
  </r>
  <r>
    <x v="1"/>
    <x v="1"/>
    <x v="683"/>
    <x v="1"/>
    <x v="19"/>
    <x v="4"/>
    <x v="5"/>
    <x v="42"/>
    <x v="37"/>
    <x v="488"/>
    <x v="36"/>
    <x v="36"/>
    <x v="1"/>
  </r>
  <r>
    <x v="1"/>
    <x v="1"/>
    <x v="683"/>
    <x v="1"/>
    <x v="19"/>
    <x v="4"/>
    <x v="4"/>
    <x v="41"/>
    <x v="30"/>
    <x v="379"/>
    <x v="32"/>
    <x v="32"/>
    <x v="1"/>
  </r>
  <r>
    <x v="1"/>
    <x v="1"/>
    <x v="683"/>
    <x v="1"/>
    <x v="19"/>
    <x v="4"/>
    <x v="0"/>
    <x v="49"/>
    <x v="21"/>
    <x v="314"/>
    <x v="30"/>
    <x v="30"/>
    <x v="1"/>
  </r>
  <r>
    <x v="1"/>
    <x v="1"/>
    <x v="683"/>
    <x v="1"/>
    <x v="19"/>
    <x v="4"/>
    <x v="3"/>
    <x v="55"/>
    <x v="52"/>
    <x v="930"/>
    <x v="29"/>
    <x v="29"/>
    <x v="1"/>
  </r>
  <r>
    <x v="1"/>
    <x v="1"/>
    <x v="712"/>
    <x v="1"/>
    <x v="19"/>
    <x v="4"/>
    <x v="2"/>
    <x v="50"/>
    <x v="102"/>
    <x v="1666"/>
    <x v="36"/>
    <x v="36"/>
    <x v="1"/>
  </r>
  <r>
    <x v="1"/>
    <x v="1"/>
    <x v="712"/>
    <x v="1"/>
    <x v="19"/>
    <x v="4"/>
    <x v="1"/>
    <x v="39"/>
    <x v="54"/>
    <x v="668"/>
    <x v="36"/>
    <x v="36"/>
    <x v="1"/>
  </r>
  <r>
    <x v="1"/>
    <x v="1"/>
    <x v="712"/>
    <x v="1"/>
    <x v="19"/>
    <x v="4"/>
    <x v="5"/>
    <x v="38"/>
    <x v="54"/>
    <x v="650"/>
    <x v="33"/>
    <x v="33"/>
    <x v="1"/>
  </r>
  <r>
    <x v="1"/>
    <x v="1"/>
    <x v="712"/>
    <x v="1"/>
    <x v="19"/>
    <x v="4"/>
    <x v="4"/>
    <x v="42"/>
    <x v="33"/>
    <x v="435"/>
    <x v="33"/>
    <x v="33"/>
    <x v="1"/>
  </r>
  <r>
    <x v="1"/>
    <x v="1"/>
    <x v="712"/>
    <x v="1"/>
    <x v="19"/>
    <x v="4"/>
    <x v="0"/>
    <x v="47"/>
    <x v="40"/>
    <x v="607"/>
    <x v="27"/>
    <x v="27"/>
    <x v="1"/>
  </r>
  <r>
    <x v="1"/>
    <x v="1"/>
    <x v="712"/>
    <x v="1"/>
    <x v="19"/>
    <x v="4"/>
    <x v="3"/>
    <x v="54"/>
    <x v="59"/>
    <x v="1054"/>
    <x v="28"/>
    <x v="28"/>
    <x v="1"/>
  </r>
  <r>
    <x v="1"/>
    <x v="1"/>
    <x v="375"/>
    <x v="1"/>
    <x v="19"/>
    <x v="4"/>
    <x v="2"/>
    <x v="29"/>
    <x v="117"/>
    <x v="1192"/>
    <x v="31"/>
    <x v="31"/>
    <x v="1"/>
  </r>
  <r>
    <x v="1"/>
    <x v="1"/>
    <x v="375"/>
    <x v="1"/>
    <x v="19"/>
    <x v="4"/>
    <x v="1"/>
    <x v="31"/>
    <x v="67"/>
    <x v="700"/>
    <x v="36"/>
    <x v="36"/>
    <x v="1"/>
  </r>
  <r>
    <x v="1"/>
    <x v="1"/>
    <x v="375"/>
    <x v="1"/>
    <x v="19"/>
    <x v="4"/>
    <x v="5"/>
    <x v="22"/>
    <x v="75"/>
    <x v="568"/>
    <x v="39"/>
    <x v="39"/>
    <x v="1"/>
  </r>
  <r>
    <x v="1"/>
    <x v="1"/>
    <x v="375"/>
    <x v="1"/>
    <x v="19"/>
    <x v="4"/>
    <x v="4"/>
    <x v="25"/>
    <x v="36"/>
    <x v="251"/>
    <x v="41"/>
    <x v="41"/>
    <x v="1"/>
  </r>
  <r>
    <x v="1"/>
    <x v="1"/>
    <x v="375"/>
    <x v="1"/>
    <x v="19"/>
    <x v="4"/>
    <x v="0"/>
    <x v="42"/>
    <x v="48"/>
    <x v="640"/>
    <x v="28"/>
    <x v="28"/>
    <x v="1"/>
  </r>
  <r>
    <x v="1"/>
    <x v="1"/>
    <x v="375"/>
    <x v="1"/>
    <x v="19"/>
    <x v="4"/>
    <x v="3"/>
    <x v="29"/>
    <x v="67"/>
    <x v="648"/>
    <x v="37"/>
    <x v="37"/>
    <x v="1"/>
  </r>
  <r>
    <x v="1"/>
    <x v="1"/>
    <x v="404"/>
    <x v="1"/>
    <x v="19"/>
    <x v="4"/>
    <x v="2"/>
    <x v="32"/>
    <x v="124"/>
    <x v="1351"/>
    <x v="36"/>
    <x v="36"/>
    <x v="1"/>
  </r>
  <r>
    <x v="1"/>
    <x v="1"/>
    <x v="404"/>
    <x v="1"/>
    <x v="19"/>
    <x v="4"/>
    <x v="1"/>
    <x v="30"/>
    <x v="50"/>
    <x v="464"/>
    <x v="32"/>
    <x v="32"/>
    <x v="1"/>
  </r>
  <r>
    <x v="1"/>
    <x v="1"/>
    <x v="404"/>
    <x v="1"/>
    <x v="19"/>
    <x v="4"/>
    <x v="5"/>
    <x v="20"/>
    <x v="57"/>
    <x v="349"/>
    <x v="37"/>
    <x v="37"/>
    <x v="1"/>
  </r>
  <r>
    <x v="1"/>
    <x v="1"/>
    <x v="404"/>
    <x v="1"/>
    <x v="7"/>
    <x v="51"/>
    <x v="4"/>
    <x v="26"/>
    <x v="34"/>
    <x v="244"/>
    <x v="41"/>
    <x v="41"/>
    <x v="1"/>
  </r>
  <r>
    <x v="1"/>
    <x v="1"/>
    <x v="404"/>
    <x v="1"/>
    <x v="7"/>
    <x v="51"/>
    <x v="0"/>
    <x v="38"/>
    <x v="54"/>
    <x v="650"/>
    <x v="27"/>
    <x v="27"/>
    <x v="1"/>
  </r>
  <r>
    <x v="1"/>
    <x v="1"/>
    <x v="404"/>
    <x v="1"/>
    <x v="7"/>
    <x v="51"/>
    <x v="3"/>
    <x v="32"/>
    <x v="80"/>
    <x v="903"/>
    <x v="39"/>
    <x v="39"/>
    <x v="1"/>
  </r>
  <r>
    <x v="1"/>
    <x v="1"/>
    <x v="430"/>
    <x v="1"/>
    <x v="7"/>
    <x v="51"/>
    <x v="2"/>
    <x v="29"/>
    <x v="137"/>
    <x v="1371"/>
    <x v="32"/>
    <x v="32"/>
    <x v="1"/>
  </r>
  <r>
    <x v="1"/>
    <x v="1"/>
    <x v="430"/>
    <x v="1"/>
    <x v="7"/>
    <x v="51"/>
    <x v="1"/>
    <x v="32"/>
    <x v="56"/>
    <x v="573"/>
    <x v="31"/>
    <x v="31"/>
    <x v="1"/>
  </r>
  <r>
    <x v="1"/>
    <x v="1"/>
    <x v="430"/>
    <x v="1"/>
    <x v="7"/>
    <x v="51"/>
    <x v="5"/>
    <x v="22"/>
    <x v="57"/>
    <x v="389"/>
    <x v="40"/>
    <x v="40"/>
    <x v="1"/>
  </r>
  <r>
    <x v="1"/>
    <x v="1"/>
    <x v="430"/>
    <x v="1"/>
    <x v="7"/>
    <x v="51"/>
    <x v="4"/>
    <x v="25"/>
    <x v="21"/>
    <x v="114"/>
    <x v="39"/>
    <x v="39"/>
    <x v="1"/>
  </r>
  <r>
    <x v="1"/>
    <x v="1"/>
    <x v="430"/>
    <x v="1"/>
    <x v="7"/>
    <x v="51"/>
    <x v="0"/>
    <x v="39"/>
    <x v="38"/>
    <x v="462"/>
    <x v="27"/>
    <x v="27"/>
    <x v="1"/>
  </r>
  <r>
    <x v="1"/>
    <x v="1"/>
    <x v="430"/>
    <x v="1"/>
    <x v="7"/>
    <x v="51"/>
    <x v="3"/>
    <x v="32"/>
    <x v="59"/>
    <x v="619"/>
    <x v="36"/>
    <x v="36"/>
    <x v="1"/>
  </r>
  <r>
    <x v="1"/>
    <x v="1"/>
    <x v="462"/>
    <x v="1"/>
    <x v="7"/>
    <x v="51"/>
    <x v="2"/>
    <x v="29"/>
    <x v="111"/>
    <x v="1139"/>
    <x v="36"/>
    <x v="36"/>
    <x v="1"/>
  </r>
  <r>
    <x v="1"/>
    <x v="1"/>
    <x v="462"/>
    <x v="1"/>
    <x v="7"/>
    <x v="51"/>
    <x v="1"/>
    <x v="31"/>
    <x v="50"/>
    <x v="477"/>
    <x v="33"/>
    <x v="33"/>
    <x v="1"/>
  </r>
  <r>
    <x v="1"/>
    <x v="1"/>
    <x v="462"/>
    <x v="1"/>
    <x v="7"/>
    <x v="51"/>
    <x v="5"/>
    <x v="20"/>
    <x v="48"/>
    <x v="273"/>
    <x v="41"/>
    <x v="41"/>
    <x v="1"/>
  </r>
  <r>
    <x v="1"/>
    <x v="1"/>
    <x v="462"/>
    <x v="1"/>
    <x v="7"/>
    <x v="51"/>
    <x v="4"/>
    <x v="25"/>
    <x v="33"/>
    <x v="217"/>
    <x v="37"/>
    <x v="37"/>
    <x v="1"/>
  </r>
  <r>
    <x v="1"/>
    <x v="1"/>
    <x v="462"/>
    <x v="1"/>
    <x v="7"/>
    <x v="51"/>
    <x v="0"/>
    <x v="40"/>
    <x v="34"/>
    <x v="426"/>
    <x v="31"/>
    <x v="31"/>
    <x v="1"/>
  </r>
  <r>
    <x v="1"/>
    <x v="1"/>
    <x v="462"/>
    <x v="1"/>
    <x v="7"/>
    <x v="51"/>
    <x v="3"/>
    <x v="31"/>
    <x v="64"/>
    <x v="661"/>
    <x v="40"/>
    <x v="40"/>
    <x v="1"/>
  </r>
  <r>
    <x v="1"/>
    <x v="1"/>
    <x v="491"/>
    <x v="1"/>
    <x v="7"/>
    <x v="51"/>
    <x v="2"/>
    <x v="44"/>
    <x v="138"/>
    <x v="1915"/>
    <x v="34"/>
    <x v="34"/>
    <x v="1"/>
  </r>
  <r>
    <x v="1"/>
    <x v="1"/>
    <x v="491"/>
    <x v="1"/>
    <x v="7"/>
    <x v="51"/>
    <x v="1"/>
    <x v="40"/>
    <x v="57"/>
    <x v="748"/>
    <x v="31"/>
    <x v="31"/>
    <x v="1"/>
  </r>
  <r>
    <x v="1"/>
    <x v="1"/>
    <x v="491"/>
    <x v="1"/>
    <x v="7"/>
    <x v="51"/>
    <x v="5"/>
    <x v="34"/>
    <x v="67"/>
    <x v="771"/>
    <x v="38"/>
    <x v="38"/>
    <x v="1"/>
  </r>
  <r>
    <x v="1"/>
    <x v="1"/>
    <x v="491"/>
    <x v="1"/>
    <x v="7"/>
    <x v="51"/>
    <x v="4"/>
    <x v="34"/>
    <x v="54"/>
    <x v="578"/>
    <x v="38"/>
    <x v="38"/>
    <x v="1"/>
  </r>
  <r>
    <x v="1"/>
    <x v="1"/>
    <x v="491"/>
    <x v="1"/>
    <x v="7"/>
    <x v="51"/>
    <x v="0"/>
    <x v="43"/>
    <x v="61"/>
    <x v="875"/>
    <x v="28"/>
    <x v="28"/>
    <x v="1"/>
  </r>
  <r>
    <x v="1"/>
    <x v="1"/>
    <x v="491"/>
    <x v="1"/>
    <x v="7"/>
    <x v="51"/>
    <x v="3"/>
    <x v="47"/>
    <x v="86"/>
    <x v="1351"/>
    <x v="41"/>
    <x v="41"/>
    <x v="1"/>
  </r>
  <r>
    <x v="1"/>
    <x v="1"/>
    <x v="524"/>
    <x v="1"/>
    <x v="7"/>
    <x v="51"/>
    <x v="2"/>
    <x v="44"/>
    <x v="165"/>
    <x v="2161"/>
    <x v="32"/>
    <x v="32"/>
    <x v="1"/>
  </r>
  <r>
    <x v="1"/>
    <x v="1"/>
    <x v="524"/>
    <x v="1"/>
    <x v="7"/>
    <x v="51"/>
    <x v="1"/>
    <x v="41"/>
    <x v="101"/>
    <x v="1386"/>
    <x v="31"/>
    <x v="31"/>
    <x v="1"/>
  </r>
  <r>
    <x v="1"/>
    <x v="1"/>
    <x v="524"/>
    <x v="1"/>
    <x v="7"/>
    <x v="51"/>
    <x v="5"/>
    <x v="36"/>
    <x v="70"/>
    <x v="865"/>
    <x v="39"/>
    <x v="39"/>
    <x v="1"/>
  </r>
  <r>
    <x v="1"/>
    <x v="1"/>
    <x v="524"/>
    <x v="1"/>
    <x v="7"/>
    <x v="51"/>
    <x v="4"/>
    <x v="34"/>
    <x v="62"/>
    <x v="699"/>
    <x v="41"/>
    <x v="41"/>
    <x v="1"/>
  </r>
  <r>
    <x v="1"/>
    <x v="1"/>
    <x v="524"/>
    <x v="1"/>
    <x v="7"/>
    <x v="51"/>
    <x v="0"/>
    <x v="43"/>
    <x v="62"/>
    <x v="891"/>
    <x v="26"/>
    <x v="26"/>
    <x v="1"/>
  </r>
  <r>
    <x v="1"/>
    <x v="1"/>
    <x v="524"/>
    <x v="1"/>
    <x v="7"/>
    <x v="51"/>
    <x v="3"/>
    <x v="49"/>
    <x v="115"/>
    <x v="1790"/>
    <x v="39"/>
    <x v="39"/>
    <x v="1"/>
  </r>
  <r>
    <x v="1"/>
    <x v="1"/>
    <x v="552"/>
    <x v="1"/>
    <x v="7"/>
    <x v="51"/>
    <x v="2"/>
    <x v="46"/>
    <x v="159"/>
    <x v="2162"/>
    <x v="36"/>
    <x v="36"/>
    <x v="1"/>
  </r>
  <r>
    <x v="1"/>
    <x v="1"/>
    <x v="552"/>
    <x v="1"/>
    <x v="7"/>
    <x v="51"/>
    <x v="1"/>
    <x v="40"/>
    <x v="100"/>
    <x v="1347"/>
    <x v="31"/>
    <x v="31"/>
    <x v="1"/>
  </r>
  <r>
    <x v="1"/>
    <x v="1"/>
    <x v="552"/>
    <x v="1"/>
    <x v="7"/>
    <x v="51"/>
    <x v="5"/>
    <x v="34"/>
    <x v="84"/>
    <x v="1001"/>
    <x v="40"/>
    <x v="40"/>
    <x v="1"/>
  </r>
  <r>
    <x v="1"/>
    <x v="1"/>
    <x v="552"/>
    <x v="1"/>
    <x v="7"/>
    <x v="51"/>
    <x v="4"/>
    <x v="36"/>
    <x v="74"/>
    <x v="918"/>
    <x v="39"/>
    <x v="39"/>
    <x v="1"/>
  </r>
  <r>
    <x v="1"/>
    <x v="1"/>
    <x v="552"/>
    <x v="1"/>
    <x v="7"/>
    <x v="51"/>
    <x v="0"/>
    <x v="44"/>
    <x v="77"/>
    <x v="1153"/>
    <x v="27"/>
    <x v="27"/>
    <x v="1"/>
  </r>
  <r>
    <x v="1"/>
    <x v="1"/>
    <x v="552"/>
    <x v="1"/>
    <x v="7"/>
    <x v="51"/>
    <x v="3"/>
    <x v="48"/>
    <x v="125"/>
    <x v="1877"/>
    <x v="36"/>
    <x v="36"/>
    <x v="1"/>
  </r>
  <r>
    <x v="1"/>
    <x v="1"/>
    <x v="584"/>
    <x v="1"/>
    <x v="7"/>
    <x v="51"/>
    <x v="2"/>
    <x v="43"/>
    <x v="141"/>
    <x v="1911"/>
    <x v="35"/>
    <x v="35"/>
    <x v="1"/>
  </r>
  <r>
    <x v="1"/>
    <x v="1"/>
    <x v="584"/>
    <x v="1"/>
    <x v="7"/>
    <x v="51"/>
    <x v="1"/>
    <x v="40"/>
    <x v="108"/>
    <x v="1445"/>
    <x v="32"/>
    <x v="32"/>
    <x v="1"/>
  </r>
  <r>
    <x v="1"/>
    <x v="1"/>
    <x v="584"/>
    <x v="1"/>
    <x v="7"/>
    <x v="51"/>
    <x v="5"/>
    <x v="35"/>
    <x v="87"/>
    <x v="1061"/>
    <x v="36"/>
    <x v="36"/>
    <x v="1"/>
  </r>
  <r>
    <x v="1"/>
    <x v="1"/>
    <x v="584"/>
    <x v="1"/>
    <x v="7"/>
    <x v="51"/>
    <x v="4"/>
    <x v="34"/>
    <x v="52"/>
    <x v="550"/>
    <x v="36"/>
    <x v="36"/>
    <x v="1"/>
  </r>
  <r>
    <x v="1"/>
    <x v="1"/>
    <x v="584"/>
    <x v="1"/>
    <x v="7"/>
    <x v="51"/>
    <x v="0"/>
    <x v="43"/>
    <x v="52"/>
    <x v="721"/>
    <x v="31"/>
    <x v="31"/>
    <x v="1"/>
  </r>
  <r>
    <x v="1"/>
    <x v="1"/>
    <x v="584"/>
    <x v="1"/>
    <x v="7"/>
    <x v="51"/>
    <x v="3"/>
    <x v="52"/>
    <x v="101"/>
    <x v="1691"/>
    <x v="38"/>
    <x v="38"/>
    <x v="1"/>
  </r>
  <r>
    <x v="1"/>
    <x v="1"/>
    <x v="614"/>
    <x v="1"/>
    <x v="7"/>
    <x v="51"/>
    <x v="2"/>
    <x v="43"/>
    <x v="122"/>
    <x v="1696"/>
    <x v="35"/>
    <x v="35"/>
    <x v="1"/>
  </r>
  <r>
    <x v="1"/>
    <x v="1"/>
    <x v="614"/>
    <x v="1"/>
    <x v="7"/>
    <x v="51"/>
    <x v="1"/>
    <x v="40"/>
    <x v="70"/>
    <x v="953"/>
    <x v="31"/>
    <x v="31"/>
    <x v="1"/>
  </r>
  <r>
    <x v="1"/>
    <x v="1"/>
    <x v="614"/>
    <x v="1"/>
    <x v="7"/>
    <x v="51"/>
    <x v="5"/>
    <x v="36"/>
    <x v="50"/>
    <x v="563"/>
    <x v="37"/>
    <x v="37"/>
    <x v="1"/>
  </r>
  <r>
    <x v="1"/>
    <x v="1"/>
    <x v="614"/>
    <x v="1"/>
    <x v="7"/>
    <x v="51"/>
    <x v="4"/>
    <x v="34"/>
    <x v="49"/>
    <x v="519"/>
    <x v="37"/>
    <x v="37"/>
    <x v="1"/>
  </r>
  <r>
    <x v="1"/>
    <x v="1"/>
    <x v="614"/>
    <x v="1"/>
    <x v="7"/>
    <x v="51"/>
    <x v="0"/>
    <x v="43"/>
    <x v="49"/>
    <x v="672"/>
    <x v="30"/>
    <x v="30"/>
    <x v="1"/>
  </r>
  <r>
    <x v="1"/>
    <x v="1"/>
    <x v="614"/>
    <x v="1"/>
    <x v="7"/>
    <x v="51"/>
    <x v="3"/>
    <x v="51"/>
    <x v="69"/>
    <x v="1174"/>
    <x v="40"/>
    <x v="40"/>
    <x v="1"/>
  </r>
  <r>
    <x v="1"/>
    <x v="1"/>
    <x v="646"/>
    <x v="1"/>
    <x v="7"/>
    <x v="51"/>
    <x v="2"/>
    <x v="49"/>
    <x v="108"/>
    <x v="1708"/>
    <x v="31"/>
    <x v="31"/>
    <x v="1"/>
  </r>
  <r>
    <x v="1"/>
    <x v="1"/>
    <x v="646"/>
    <x v="1"/>
    <x v="7"/>
    <x v="51"/>
    <x v="1"/>
    <x v="44"/>
    <x v="74"/>
    <x v="1108"/>
    <x v="32"/>
    <x v="32"/>
    <x v="1"/>
  </r>
  <r>
    <x v="1"/>
    <x v="1"/>
    <x v="646"/>
    <x v="1"/>
    <x v="7"/>
    <x v="51"/>
    <x v="5"/>
    <x v="43"/>
    <x v="41"/>
    <x v="558"/>
    <x v="41"/>
    <x v="41"/>
    <x v="1"/>
  </r>
  <r>
    <x v="1"/>
    <x v="1"/>
    <x v="646"/>
    <x v="1"/>
    <x v="7"/>
    <x v="51"/>
    <x v="4"/>
    <x v="45"/>
    <x v="33"/>
    <x v="471"/>
    <x v="36"/>
    <x v="36"/>
    <x v="1"/>
  </r>
  <r>
    <x v="1"/>
    <x v="1"/>
    <x v="646"/>
    <x v="1"/>
    <x v="7"/>
    <x v="51"/>
    <x v="0"/>
    <x v="55"/>
    <x v="38"/>
    <x v="686"/>
    <x v="26"/>
    <x v="26"/>
    <x v="1"/>
  </r>
  <r>
    <x v="2"/>
    <x v="1"/>
    <x v="646"/>
    <x v="1"/>
    <x v="7"/>
    <x v="51"/>
    <x v="3"/>
    <x v="56"/>
    <x v="64"/>
    <x v="1187"/>
    <x v="41"/>
    <x v="41"/>
    <x v="1"/>
  </r>
  <r>
    <x v="2"/>
    <x v="1"/>
    <x v="676"/>
    <x v="1"/>
    <x v="7"/>
    <x v="51"/>
    <x v="2"/>
    <x v="53"/>
    <x v="115"/>
    <x v="1904"/>
    <x v="33"/>
    <x v="33"/>
    <x v="1"/>
  </r>
  <r>
    <x v="2"/>
    <x v="1"/>
    <x v="676"/>
    <x v="1"/>
    <x v="7"/>
    <x v="51"/>
    <x v="1"/>
    <x v="46"/>
    <x v="70"/>
    <x v="1087"/>
    <x v="32"/>
    <x v="32"/>
    <x v="1"/>
  </r>
  <r>
    <x v="2"/>
    <x v="1"/>
    <x v="676"/>
    <x v="1"/>
    <x v="7"/>
    <x v="51"/>
    <x v="5"/>
    <x v="45"/>
    <x v="71"/>
    <x v="1080"/>
    <x v="37"/>
    <x v="37"/>
    <x v="1"/>
  </r>
  <r>
    <x v="2"/>
    <x v="1"/>
    <x v="676"/>
    <x v="1"/>
    <x v="7"/>
    <x v="51"/>
    <x v="4"/>
    <x v="44"/>
    <x v="69"/>
    <x v="1024"/>
    <x v="39"/>
    <x v="39"/>
    <x v="1"/>
  </r>
  <r>
    <x v="2"/>
    <x v="1"/>
    <x v="676"/>
    <x v="1"/>
    <x v="7"/>
    <x v="51"/>
    <x v="0"/>
    <x v="53"/>
    <x v="59"/>
    <x v="1034"/>
    <x v="26"/>
    <x v="26"/>
    <x v="1"/>
  </r>
  <r>
    <x v="2"/>
    <x v="1"/>
    <x v="676"/>
    <x v="1"/>
    <x v="7"/>
    <x v="51"/>
    <x v="3"/>
    <x v="57"/>
    <x v="80"/>
    <x v="1509"/>
    <x v="41"/>
    <x v="41"/>
    <x v="1"/>
  </r>
  <r>
    <x v="2"/>
    <x v="1"/>
    <x v="705"/>
    <x v="1"/>
    <x v="7"/>
    <x v="51"/>
    <x v="2"/>
    <x v="55"/>
    <x v="146"/>
    <x v="2268"/>
    <x v="33"/>
    <x v="33"/>
    <x v="1"/>
  </r>
  <r>
    <x v="2"/>
    <x v="1"/>
    <x v="705"/>
    <x v="1"/>
    <x v="7"/>
    <x v="51"/>
    <x v="1"/>
    <x v="43"/>
    <x v="82"/>
    <x v="1208"/>
    <x v="34"/>
    <x v="34"/>
    <x v="1"/>
  </r>
  <r>
    <x v="2"/>
    <x v="1"/>
    <x v="705"/>
    <x v="1"/>
    <x v="7"/>
    <x v="51"/>
    <x v="5"/>
    <x v="43"/>
    <x v="91"/>
    <x v="1309"/>
    <x v="40"/>
    <x v="40"/>
    <x v="1"/>
  </r>
  <r>
    <x v="2"/>
    <x v="1"/>
    <x v="705"/>
    <x v="1"/>
    <x v="7"/>
    <x v="51"/>
    <x v="4"/>
    <x v="46"/>
    <x v="80"/>
    <x v="1253"/>
    <x v="40"/>
    <x v="40"/>
    <x v="1"/>
  </r>
  <r>
    <x v="2"/>
    <x v="1"/>
    <x v="705"/>
    <x v="1"/>
    <x v="7"/>
    <x v="51"/>
    <x v="0"/>
    <x v="54"/>
    <x v="75"/>
    <x v="1338"/>
    <x v="26"/>
    <x v="26"/>
    <x v="1"/>
  </r>
  <r>
    <x v="2"/>
    <x v="1"/>
    <x v="705"/>
    <x v="1"/>
    <x v="7"/>
    <x v="51"/>
    <x v="3"/>
    <x v="58"/>
    <x v="103"/>
    <x v="1882"/>
    <x v="36"/>
    <x v="36"/>
    <x v="1"/>
  </r>
  <r>
    <x v="2"/>
    <x v="1"/>
    <x v="368"/>
    <x v="1"/>
    <x v="7"/>
    <x v="51"/>
    <x v="2"/>
    <x v="25"/>
    <x v="118"/>
    <x v="1062"/>
    <x v="36"/>
    <x v="36"/>
    <x v="1"/>
  </r>
  <r>
    <x v="2"/>
    <x v="1"/>
    <x v="368"/>
    <x v="1"/>
    <x v="7"/>
    <x v="51"/>
    <x v="1"/>
    <x v="26"/>
    <x v="63"/>
    <x v="540"/>
    <x v="33"/>
    <x v="33"/>
    <x v="1"/>
  </r>
  <r>
    <x v="2"/>
    <x v="1"/>
    <x v="368"/>
    <x v="1"/>
    <x v="7"/>
    <x v="51"/>
    <x v="5"/>
    <x v="17"/>
    <x v="59"/>
    <x v="311"/>
    <x v="37"/>
    <x v="37"/>
    <x v="1"/>
  </r>
  <r>
    <x v="2"/>
    <x v="1"/>
    <x v="368"/>
    <x v="1"/>
    <x v="7"/>
    <x v="51"/>
    <x v="4"/>
    <x v="20"/>
    <x v="27"/>
    <x v="121"/>
    <x v="36"/>
    <x v="36"/>
    <x v="1"/>
  </r>
  <r>
    <x v="2"/>
    <x v="1"/>
    <x v="368"/>
    <x v="1"/>
    <x v="7"/>
    <x v="51"/>
    <x v="0"/>
    <x v="34"/>
    <x v="36"/>
    <x v="368"/>
    <x v="26"/>
    <x v="26"/>
    <x v="1"/>
  </r>
  <r>
    <x v="2"/>
    <x v="1"/>
    <x v="368"/>
    <x v="1"/>
    <x v="7"/>
    <x v="51"/>
    <x v="3"/>
    <x v="26"/>
    <x v="57"/>
    <x v="468"/>
    <x v="41"/>
    <x v="41"/>
    <x v="1"/>
  </r>
  <r>
    <x v="2"/>
    <x v="1"/>
    <x v="397"/>
    <x v="1"/>
    <x v="7"/>
    <x v="51"/>
    <x v="2"/>
    <x v="27"/>
    <x v="127"/>
    <x v="1207"/>
    <x v="34"/>
    <x v="34"/>
    <x v="1"/>
  </r>
  <r>
    <x v="2"/>
    <x v="1"/>
    <x v="397"/>
    <x v="1"/>
    <x v="7"/>
    <x v="51"/>
    <x v="1"/>
    <x v="25"/>
    <x v="42"/>
    <x v="302"/>
    <x v="36"/>
    <x v="36"/>
    <x v="1"/>
  </r>
  <r>
    <x v="2"/>
    <x v="1"/>
    <x v="397"/>
    <x v="1"/>
    <x v="7"/>
    <x v="51"/>
    <x v="5"/>
    <x v="17"/>
    <x v="52"/>
    <x v="254"/>
    <x v="37"/>
    <x v="37"/>
    <x v="1"/>
  </r>
  <r>
    <x v="2"/>
    <x v="1"/>
    <x v="397"/>
    <x v="1"/>
    <x v="29"/>
    <x v="36"/>
    <x v="4"/>
    <x v="22"/>
    <x v="20"/>
    <x v="86"/>
    <x v="39"/>
    <x v="39"/>
    <x v="1"/>
  </r>
  <r>
    <x v="2"/>
    <x v="1"/>
    <x v="397"/>
    <x v="1"/>
    <x v="29"/>
    <x v="36"/>
    <x v="0"/>
    <x v="34"/>
    <x v="36"/>
    <x v="368"/>
    <x v="26"/>
    <x v="26"/>
    <x v="1"/>
  </r>
  <r>
    <x v="2"/>
    <x v="1"/>
    <x v="397"/>
    <x v="1"/>
    <x v="29"/>
    <x v="36"/>
    <x v="3"/>
    <x v="25"/>
    <x v="61"/>
    <x v="490"/>
    <x v="39"/>
    <x v="39"/>
    <x v="1"/>
  </r>
  <r>
    <x v="2"/>
    <x v="1"/>
    <x v="423"/>
    <x v="1"/>
    <x v="29"/>
    <x v="36"/>
    <x v="2"/>
    <x v="25"/>
    <x v="124"/>
    <x v="1112"/>
    <x v="32"/>
    <x v="32"/>
    <x v="1"/>
  </r>
  <r>
    <x v="2"/>
    <x v="1"/>
    <x v="423"/>
    <x v="1"/>
    <x v="29"/>
    <x v="36"/>
    <x v="1"/>
    <x v="25"/>
    <x v="47"/>
    <x v="346"/>
    <x v="35"/>
    <x v="35"/>
    <x v="1"/>
  </r>
  <r>
    <x v="2"/>
    <x v="1"/>
    <x v="423"/>
    <x v="1"/>
    <x v="29"/>
    <x v="36"/>
    <x v="5"/>
    <x v="17"/>
    <x v="48"/>
    <x v="221"/>
    <x v="39"/>
    <x v="39"/>
    <x v="1"/>
  </r>
  <r>
    <x v="2"/>
    <x v="1"/>
    <x v="423"/>
    <x v="1"/>
    <x v="29"/>
    <x v="36"/>
    <x v="4"/>
    <x v="20"/>
    <x v="12"/>
    <x v="44"/>
    <x v="38"/>
    <x v="38"/>
    <x v="1"/>
  </r>
  <r>
    <x v="2"/>
    <x v="1"/>
    <x v="423"/>
    <x v="1"/>
    <x v="29"/>
    <x v="36"/>
    <x v="0"/>
    <x v="36"/>
    <x v="24"/>
    <x v="237"/>
    <x v="31"/>
    <x v="31"/>
    <x v="1"/>
  </r>
  <r>
    <x v="2"/>
    <x v="1"/>
    <x v="423"/>
    <x v="1"/>
    <x v="29"/>
    <x v="36"/>
    <x v="3"/>
    <x v="25"/>
    <x v="50"/>
    <x v="376"/>
    <x v="36"/>
    <x v="36"/>
    <x v="1"/>
  </r>
  <r>
    <x v="2"/>
    <x v="1"/>
    <x v="455"/>
    <x v="1"/>
    <x v="29"/>
    <x v="36"/>
    <x v="2"/>
    <x v="27"/>
    <x v="113"/>
    <x v="1093"/>
    <x v="36"/>
    <x v="36"/>
    <x v="1"/>
  </r>
  <r>
    <x v="2"/>
    <x v="1"/>
    <x v="455"/>
    <x v="1"/>
    <x v="29"/>
    <x v="36"/>
    <x v="1"/>
    <x v="26"/>
    <x v="40"/>
    <x v="301"/>
    <x v="32"/>
    <x v="32"/>
    <x v="1"/>
  </r>
  <r>
    <x v="2"/>
    <x v="1"/>
    <x v="455"/>
    <x v="1"/>
    <x v="29"/>
    <x v="36"/>
    <x v="5"/>
    <x v="17"/>
    <x v="40"/>
    <x v="169"/>
    <x v="36"/>
    <x v="36"/>
    <x v="1"/>
  </r>
  <r>
    <x v="2"/>
    <x v="1"/>
    <x v="455"/>
    <x v="1"/>
    <x v="29"/>
    <x v="36"/>
    <x v="4"/>
    <x v="20"/>
    <x v="17"/>
    <x v="67"/>
    <x v="37"/>
    <x v="37"/>
    <x v="1"/>
  </r>
  <r>
    <x v="2"/>
    <x v="1"/>
    <x v="455"/>
    <x v="1"/>
    <x v="29"/>
    <x v="36"/>
    <x v="0"/>
    <x v="37"/>
    <x v="17"/>
    <x v="160"/>
    <x v="30"/>
    <x v="30"/>
    <x v="1"/>
  </r>
  <r>
    <x v="2"/>
    <x v="1"/>
    <x v="455"/>
    <x v="1"/>
    <x v="29"/>
    <x v="36"/>
    <x v="3"/>
    <x v="26"/>
    <x v="56"/>
    <x v="460"/>
    <x v="40"/>
    <x v="40"/>
    <x v="1"/>
  </r>
  <r>
    <x v="2"/>
    <x v="1"/>
    <x v="484"/>
    <x v="1"/>
    <x v="29"/>
    <x v="36"/>
    <x v="2"/>
    <x v="41"/>
    <x v="110"/>
    <x v="1499"/>
    <x v="33"/>
    <x v="33"/>
    <x v="1"/>
  </r>
  <r>
    <x v="2"/>
    <x v="1"/>
    <x v="484"/>
    <x v="1"/>
    <x v="29"/>
    <x v="36"/>
    <x v="1"/>
    <x v="34"/>
    <x v="56"/>
    <x v="615"/>
    <x v="36"/>
    <x v="36"/>
    <x v="1"/>
  </r>
  <r>
    <x v="2"/>
    <x v="1"/>
    <x v="484"/>
    <x v="1"/>
    <x v="29"/>
    <x v="36"/>
    <x v="5"/>
    <x v="31"/>
    <x v="62"/>
    <x v="631"/>
    <x v="36"/>
    <x v="36"/>
    <x v="1"/>
  </r>
  <r>
    <x v="2"/>
    <x v="1"/>
    <x v="484"/>
    <x v="1"/>
    <x v="29"/>
    <x v="36"/>
    <x v="4"/>
    <x v="31"/>
    <x v="45"/>
    <x v="430"/>
    <x v="36"/>
    <x v="36"/>
    <x v="1"/>
  </r>
  <r>
    <x v="2"/>
    <x v="1"/>
    <x v="484"/>
    <x v="1"/>
    <x v="29"/>
    <x v="36"/>
    <x v="0"/>
    <x v="40"/>
    <x v="56"/>
    <x v="733"/>
    <x v="27"/>
    <x v="27"/>
    <x v="1"/>
  </r>
  <r>
    <x v="2"/>
    <x v="1"/>
    <x v="484"/>
    <x v="1"/>
    <x v="29"/>
    <x v="36"/>
    <x v="3"/>
    <x v="44"/>
    <x v="84"/>
    <x v="1256"/>
    <x v="38"/>
    <x v="38"/>
    <x v="1"/>
  </r>
  <r>
    <x v="2"/>
    <x v="1"/>
    <x v="517"/>
    <x v="1"/>
    <x v="29"/>
    <x v="36"/>
    <x v="2"/>
    <x v="38"/>
    <x v="135"/>
    <x v="1680"/>
    <x v="32"/>
    <x v="32"/>
    <x v="1"/>
  </r>
  <r>
    <x v="2"/>
    <x v="1"/>
    <x v="517"/>
    <x v="1"/>
    <x v="29"/>
    <x v="36"/>
    <x v="1"/>
    <x v="37"/>
    <x v="87"/>
    <x v="1115"/>
    <x v="32"/>
    <x v="32"/>
    <x v="1"/>
  </r>
  <r>
    <x v="2"/>
    <x v="1"/>
    <x v="517"/>
    <x v="1"/>
    <x v="29"/>
    <x v="36"/>
    <x v="5"/>
    <x v="31"/>
    <x v="57"/>
    <x v="562"/>
    <x v="39"/>
    <x v="39"/>
    <x v="1"/>
  </r>
  <r>
    <x v="2"/>
    <x v="1"/>
    <x v="517"/>
    <x v="1"/>
    <x v="29"/>
    <x v="36"/>
    <x v="4"/>
    <x v="32"/>
    <x v="54"/>
    <x v="537"/>
    <x v="40"/>
    <x v="40"/>
    <x v="1"/>
  </r>
  <r>
    <x v="2"/>
    <x v="1"/>
    <x v="517"/>
    <x v="1"/>
    <x v="29"/>
    <x v="36"/>
    <x v="0"/>
    <x v="39"/>
    <x v="54"/>
    <x v="668"/>
    <x v="31"/>
    <x v="31"/>
    <x v="1"/>
  </r>
  <r>
    <x v="2"/>
    <x v="1"/>
    <x v="517"/>
    <x v="1"/>
    <x v="29"/>
    <x v="36"/>
    <x v="3"/>
    <x v="43"/>
    <x v="101"/>
    <x v="1441"/>
    <x v="36"/>
    <x v="36"/>
    <x v="1"/>
  </r>
  <r>
    <x v="2"/>
    <x v="1"/>
    <x v="545"/>
    <x v="1"/>
    <x v="29"/>
    <x v="36"/>
    <x v="2"/>
    <x v="40"/>
    <x v="164"/>
    <x v="2038"/>
    <x v="33"/>
    <x v="33"/>
    <x v="1"/>
  </r>
  <r>
    <x v="2"/>
    <x v="1"/>
    <x v="545"/>
    <x v="1"/>
    <x v="29"/>
    <x v="36"/>
    <x v="1"/>
    <x v="35"/>
    <x v="80"/>
    <x v="980"/>
    <x v="36"/>
    <x v="36"/>
    <x v="1"/>
  </r>
  <r>
    <x v="2"/>
    <x v="1"/>
    <x v="545"/>
    <x v="1"/>
    <x v="29"/>
    <x v="36"/>
    <x v="5"/>
    <x v="30"/>
    <x v="67"/>
    <x v="671"/>
    <x v="38"/>
    <x v="38"/>
    <x v="1"/>
  </r>
  <r>
    <x v="2"/>
    <x v="1"/>
    <x v="545"/>
    <x v="1"/>
    <x v="29"/>
    <x v="36"/>
    <x v="4"/>
    <x v="29"/>
    <x v="52"/>
    <x v="466"/>
    <x v="40"/>
    <x v="40"/>
    <x v="1"/>
  </r>
  <r>
    <x v="2"/>
    <x v="1"/>
    <x v="545"/>
    <x v="1"/>
    <x v="29"/>
    <x v="36"/>
    <x v="0"/>
    <x v="41"/>
    <x v="61"/>
    <x v="832"/>
    <x v="29"/>
    <x v="29"/>
    <x v="1"/>
  </r>
  <r>
    <x v="2"/>
    <x v="1"/>
    <x v="545"/>
    <x v="1"/>
    <x v="29"/>
    <x v="36"/>
    <x v="3"/>
    <x v="47"/>
    <x v="111"/>
    <x v="1690"/>
    <x v="39"/>
    <x v="39"/>
    <x v="1"/>
  </r>
  <r>
    <x v="2"/>
    <x v="1"/>
    <x v="577"/>
    <x v="1"/>
    <x v="29"/>
    <x v="36"/>
    <x v="2"/>
    <x v="40"/>
    <x v="157"/>
    <x v="1969"/>
    <x v="34"/>
    <x v="34"/>
    <x v="1"/>
  </r>
  <r>
    <x v="2"/>
    <x v="1"/>
    <x v="577"/>
    <x v="1"/>
    <x v="29"/>
    <x v="36"/>
    <x v="1"/>
    <x v="35"/>
    <x v="83"/>
    <x v="1015"/>
    <x v="33"/>
    <x v="33"/>
    <x v="1"/>
  </r>
  <r>
    <x v="2"/>
    <x v="1"/>
    <x v="577"/>
    <x v="1"/>
    <x v="29"/>
    <x v="36"/>
    <x v="5"/>
    <x v="30"/>
    <x v="62"/>
    <x v="612"/>
    <x v="40"/>
    <x v="40"/>
    <x v="1"/>
  </r>
  <r>
    <x v="2"/>
    <x v="1"/>
    <x v="577"/>
    <x v="1"/>
    <x v="29"/>
    <x v="36"/>
    <x v="4"/>
    <x v="29"/>
    <x v="41"/>
    <x v="351"/>
    <x v="37"/>
    <x v="37"/>
    <x v="1"/>
  </r>
  <r>
    <x v="2"/>
    <x v="1"/>
    <x v="577"/>
    <x v="1"/>
    <x v="29"/>
    <x v="36"/>
    <x v="0"/>
    <x v="39"/>
    <x v="35"/>
    <x v="427"/>
    <x v="29"/>
    <x v="29"/>
    <x v="1"/>
  </r>
  <r>
    <x v="2"/>
    <x v="1"/>
    <x v="577"/>
    <x v="1"/>
    <x v="29"/>
    <x v="36"/>
    <x v="3"/>
    <x v="45"/>
    <x v="87"/>
    <x v="1313"/>
    <x v="39"/>
    <x v="39"/>
    <x v="1"/>
  </r>
  <r>
    <x v="2"/>
    <x v="1"/>
    <x v="607"/>
    <x v="1"/>
    <x v="29"/>
    <x v="36"/>
    <x v="2"/>
    <x v="39"/>
    <x v="104"/>
    <x v="1373"/>
    <x v="35"/>
    <x v="35"/>
    <x v="1"/>
  </r>
  <r>
    <x v="2"/>
    <x v="1"/>
    <x v="607"/>
    <x v="1"/>
    <x v="29"/>
    <x v="36"/>
    <x v="1"/>
    <x v="34"/>
    <x v="59"/>
    <x v="657"/>
    <x v="36"/>
    <x v="36"/>
    <x v="1"/>
  </r>
  <r>
    <x v="2"/>
    <x v="1"/>
    <x v="607"/>
    <x v="1"/>
    <x v="29"/>
    <x v="36"/>
    <x v="5"/>
    <x v="32"/>
    <x v="40"/>
    <x v="386"/>
    <x v="39"/>
    <x v="39"/>
    <x v="1"/>
  </r>
  <r>
    <x v="2"/>
    <x v="1"/>
    <x v="607"/>
    <x v="1"/>
    <x v="29"/>
    <x v="36"/>
    <x v="4"/>
    <x v="30"/>
    <x v="27"/>
    <x v="216"/>
    <x v="39"/>
    <x v="39"/>
    <x v="1"/>
  </r>
  <r>
    <x v="2"/>
    <x v="1"/>
    <x v="607"/>
    <x v="1"/>
    <x v="29"/>
    <x v="36"/>
    <x v="0"/>
    <x v="40"/>
    <x v="30"/>
    <x v="368"/>
    <x v="27"/>
    <x v="27"/>
    <x v="1"/>
  </r>
  <r>
    <x v="2"/>
    <x v="1"/>
    <x v="607"/>
    <x v="1"/>
    <x v="29"/>
    <x v="36"/>
    <x v="3"/>
    <x v="43"/>
    <x v="60"/>
    <x v="862"/>
    <x v="39"/>
    <x v="39"/>
    <x v="1"/>
  </r>
  <r>
    <x v="2"/>
    <x v="1"/>
    <x v="639"/>
    <x v="1"/>
    <x v="29"/>
    <x v="36"/>
    <x v="2"/>
    <x v="46"/>
    <x v="100"/>
    <x v="1518"/>
    <x v="32"/>
    <x v="32"/>
    <x v="1"/>
  </r>
  <r>
    <x v="2"/>
    <x v="1"/>
    <x v="639"/>
    <x v="1"/>
    <x v="29"/>
    <x v="36"/>
    <x v="1"/>
    <x v="41"/>
    <x v="52"/>
    <x v="679"/>
    <x v="36"/>
    <x v="36"/>
    <x v="1"/>
  </r>
  <r>
    <x v="2"/>
    <x v="1"/>
    <x v="639"/>
    <x v="1"/>
    <x v="29"/>
    <x v="36"/>
    <x v="5"/>
    <x v="39"/>
    <x v="31"/>
    <x v="369"/>
    <x v="36"/>
    <x v="36"/>
    <x v="1"/>
  </r>
  <r>
    <x v="2"/>
    <x v="1"/>
    <x v="639"/>
    <x v="1"/>
    <x v="29"/>
    <x v="36"/>
    <x v="4"/>
    <x v="41"/>
    <x v="21"/>
    <x v="245"/>
    <x v="38"/>
    <x v="38"/>
    <x v="1"/>
  </r>
  <r>
    <x v="2"/>
    <x v="1"/>
    <x v="639"/>
    <x v="1"/>
    <x v="29"/>
    <x v="36"/>
    <x v="0"/>
    <x v="51"/>
    <x v="27"/>
    <x v="449"/>
    <x v="27"/>
    <x v="27"/>
    <x v="1"/>
  </r>
  <r>
    <x v="3"/>
    <x v="1"/>
    <x v="639"/>
    <x v="1"/>
    <x v="29"/>
    <x v="36"/>
    <x v="3"/>
    <x v="55"/>
    <x v="56"/>
    <x v="1008"/>
    <x v="39"/>
    <x v="39"/>
    <x v="1"/>
  </r>
  <r>
    <x v="3"/>
    <x v="1"/>
    <x v="669"/>
    <x v="1"/>
    <x v="29"/>
    <x v="36"/>
    <x v="2"/>
    <x v="52"/>
    <x v="90"/>
    <x v="1534"/>
    <x v="34"/>
    <x v="34"/>
    <x v="1"/>
  </r>
  <r>
    <x v="3"/>
    <x v="1"/>
    <x v="669"/>
    <x v="1"/>
    <x v="29"/>
    <x v="36"/>
    <x v="1"/>
    <x v="39"/>
    <x v="66"/>
    <x v="872"/>
    <x v="35"/>
    <x v="35"/>
    <x v="1"/>
  </r>
  <r>
    <x v="3"/>
    <x v="1"/>
    <x v="669"/>
    <x v="1"/>
    <x v="29"/>
    <x v="36"/>
    <x v="5"/>
    <x v="41"/>
    <x v="56"/>
    <x v="755"/>
    <x v="37"/>
    <x v="37"/>
    <x v="1"/>
  </r>
  <r>
    <x v="3"/>
    <x v="1"/>
    <x v="669"/>
    <x v="1"/>
    <x v="29"/>
    <x v="36"/>
    <x v="4"/>
    <x v="42"/>
    <x v="54"/>
    <x v="730"/>
    <x v="41"/>
    <x v="41"/>
    <x v="1"/>
  </r>
  <r>
    <x v="3"/>
    <x v="1"/>
    <x v="669"/>
    <x v="1"/>
    <x v="29"/>
    <x v="36"/>
    <x v="0"/>
    <x v="48"/>
    <x v="48"/>
    <x v="749"/>
    <x v="30"/>
    <x v="30"/>
    <x v="1"/>
  </r>
  <r>
    <x v="3"/>
    <x v="1"/>
    <x v="669"/>
    <x v="1"/>
    <x v="29"/>
    <x v="36"/>
    <x v="3"/>
    <x v="52"/>
    <x v="75"/>
    <x v="1293"/>
    <x v="39"/>
    <x v="39"/>
    <x v="1"/>
  </r>
  <r>
    <x v="3"/>
    <x v="1"/>
    <x v="698"/>
    <x v="1"/>
    <x v="29"/>
    <x v="36"/>
    <x v="2"/>
    <x v="48"/>
    <x v="128"/>
    <x v="1921"/>
    <x v="34"/>
    <x v="34"/>
    <x v="1"/>
  </r>
  <r>
    <x v="3"/>
    <x v="1"/>
    <x v="698"/>
    <x v="1"/>
    <x v="29"/>
    <x v="36"/>
    <x v="1"/>
    <x v="42"/>
    <x v="87"/>
    <x v="1240"/>
    <x v="34"/>
    <x v="34"/>
    <x v="1"/>
  </r>
  <r>
    <x v="3"/>
    <x v="1"/>
    <x v="698"/>
    <x v="1"/>
    <x v="29"/>
    <x v="36"/>
    <x v="5"/>
    <x v="42"/>
    <x v="75"/>
    <x v="1074"/>
    <x v="36"/>
    <x v="36"/>
    <x v="1"/>
  </r>
  <r>
    <x v="3"/>
    <x v="1"/>
    <x v="698"/>
    <x v="1"/>
    <x v="29"/>
    <x v="36"/>
    <x v="4"/>
    <x v="40"/>
    <x v="68"/>
    <x v="928"/>
    <x v="37"/>
    <x v="37"/>
    <x v="1"/>
  </r>
  <r>
    <x v="3"/>
    <x v="1"/>
    <x v="698"/>
    <x v="1"/>
    <x v="29"/>
    <x v="36"/>
    <x v="0"/>
    <x v="48"/>
    <x v="68"/>
    <x v="1103"/>
    <x v="31"/>
    <x v="31"/>
    <x v="1"/>
  </r>
  <r>
    <x v="3"/>
    <x v="1"/>
    <x v="698"/>
    <x v="1"/>
    <x v="29"/>
    <x v="36"/>
    <x v="3"/>
    <x v="52"/>
    <x v="83"/>
    <x v="1430"/>
    <x v="40"/>
    <x v="40"/>
    <x v="1"/>
  </r>
  <r>
    <x v="3"/>
    <x v="1"/>
    <x v="365"/>
    <x v="1"/>
    <x v="29"/>
    <x v="36"/>
    <x v="2"/>
    <x v="31"/>
    <x v="105"/>
    <x v="1145"/>
    <x v="37"/>
    <x v="37"/>
    <x v="1"/>
  </r>
  <r>
    <x v="3"/>
    <x v="1"/>
    <x v="365"/>
    <x v="1"/>
    <x v="29"/>
    <x v="36"/>
    <x v="1"/>
    <x v="30"/>
    <x v="72"/>
    <x v="740"/>
    <x v="38"/>
    <x v="38"/>
    <x v="1"/>
  </r>
  <r>
    <x v="3"/>
    <x v="1"/>
    <x v="365"/>
    <x v="1"/>
    <x v="29"/>
    <x v="36"/>
    <x v="5"/>
    <x v="21"/>
    <x v="74"/>
    <x v="534"/>
    <x v="26"/>
    <x v="26"/>
    <x v="1"/>
  </r>
  <r>
    <x v="3"/>
    <x v="1"/>
    <x v="365"/>
    <x v="1"/>
    <x v="29"/>
    <x v="36"/>
    <x v="4"/>
    <x v="26"/>
    <x v="31"/>
    <x v="208"/>
    <x v="30"/>
    <x v="30"/>
    <x v="1"/>
  </r>
  <r>
    <x v="3"/>
    <x v="1"/>
    <x v="365"/>
    <x v="1"/>
    <x v="29"/>
    <x v="36"/>
    <x v="0"/>
    <x v="42"/>
    <x v="49"/>
    <x v="655"/>
    <x v="27"/>
    <x v="27"/>
    <x v="1"/>
  </r>
  <r>
    <x v="3"/>
    <x v="1"/>
    <x v="365"/>
    <x v="1"/>
    <x v="29"/>
    <x v="36"/>
    <x v="3"/>
    <x v="30"/>
    <x v="67"/>
    <x v="671"/>
    <x v="36"/>
    <x v="36"/>
    <x v="1"/>
  </r>
  <r>
    <x v="3"/>
    <x v="1"/>
    <x v="394"/>
    <x v="1"/>
    <x v="29"/>
    <x v="36"/>
    <x v="2"/>
    <x v="32"/>
    <x v="128"/>
    <x v="1396"/>
    <x v="36"/>
    <x v="36"/>
    <x v="1"/>
  </r>
  <r>
    <x v="3"/>
    <x v="1"/>
    <x v="394"/>
    <x v="1"/>
    <x v="29"/>
    <x v="36"/>
    <x v="1"/>
    <x v="30"/>
    <x v="43"/>
    <x v="387"/>
    <x v="36"/>
    <x v="36"/>
    <x v="1"/>
  </r>
  <r>
    <x v="3"/>
    <x v="1"/>
    <x v="394"/>
    <x v="1"/>
    <x v="29"/>
    <x v="36"/>
    <x v="5"/>
    <x v="22"/>
    <x v="54"/>
    <x v="353"/>
    <x v="31"/>
    <x v="31"/>
    <x v="1"/>
  </r>
  <r>
    <x v="3"/>
    <x v="1"/>
    <x v="394"/>
    <x v="1"/>
    <x v="6"/>
    <x v="20"/>
    <x v="4"/>
    <x v="25"/>
    <x v="24"/>
    <x v="134"/>
    <x v="30"/>
    <x v="30"/>
    <x v="1"/>
  </r>
  <r>
    <x v="3"/>
    <x v="1"/>
    <x v="394"/>
    <x v="1"/>
    <x v="6"/>
    <x v="20"/>
    <x v="0"/>
    <x v="42"/>
    <x v="49"/>
    <x v="655"/>
    <x v="30"/>
    <x v="30"/>
    <x v="1"/>
  </r>
  <r>
    <x v="3"/>
    <x v="1"/>
    <x v="394"/>
    <x v="1"/>
    <x v="6"/>
    <x v="20"/>
    <x v="3"/>
    <x v="32"/>
    <x v="69"/>
    <x v="758"/>
    <x v="31"/>
    <x v="31"/>
    <x v="1"/>
  </r>
  <r>
    <x v="3"/>
    <x v="1"/>
    <x v="420"/>
    <x v="1"/>
    <x v="6"/>
    <x v="20"/>
    <x v="2"/>
    <x v="32"/>
    <x v="110"/>
    <x v="1224"/>
    <x v="36"/>
    <x v="36"/>
    <x v="1"/>
  </r>
  <r>
    <x v="3"/>
    <x v="1"/>
    <x v="420"/>
    <x v="1"/>
    <x v="6"/>
    <x v="20"/>
    <x v="1"/>
    <x v="31"/>
    <x v="45"/>
    <x v="430"/>
    <x v="40"/>
    <x v="40"/>
    <x v="1"/>
  </r>
  <r>
    <x v="3"/>
    <x v="1"/>
    <x v="420"/>
    <x v="1"/>
    <x v="6"/>
    <x v="20"/>
    <x v="5"/>
    <x v="22"/>
    <x v="56"/>
    <x v="381"/>
    <x v="31"/>
    <x v="31"/>
    <x v="1"/>
  </r>
  <r>
    <x v="3"/>
    <x v="1"/>
    <x v="420"/>
    <x v="1"/>
    <x v="6"/>
    <x v="20"/>
    <x v="4"/>
    <x v="25"/>
    <x v="20"/>
    <x v="107"/>
    <x v="28"/>
    <x v="28"/>
    <x v="1"/>
  </r>
  <r>
    <x v="3"/>
    <x v="1"/>
    <x v="420"/>
    <x v="1"/>
    <x v="6"/>
    <x v="20"/>
    <x v="0"/>
    <x v="41"/>
    <x v="28"/>
    <x v="351"/>
    <x v="26"/>
    <x v="26"/>
    <x v="1"/>
  </r>
  <r>
    <x v="3"/>
    <x v="1"/>
    <x v="420"/>
    <x v="1"/>
    <x v="6"/>
    <x v="20"/>
    <x v="3"/>
    <x v="31"/>
    <x v="60"/>
    <x v="611"/>
    <x v="35"/>
    <x v="35"/>
    <x v="1"/>
  </r>
  <r>
    <x v="3"/>
    <x v="1"/>
    <x v="452"/>
    <x v="1"/>
    <x v="6"/>
    <x v="20"/>
    <x v="2"/>
    <x v="29"/>
    <x v="129"/>
    <x v="1298"/>
    <x v="36"/>
    <x v="36"/>
    <x v="1"/>
  </r>
  <r>
    <x v="3"/>
    <x v="1"/>
    <x v="452"/>
    <x v="1"/>
    <x v="6"/>
    <x v="20"/>
    <x v="1"/>
    <x v="31"/>
    <x v="47"/>
    <x v="449"/>
    <x v="41"/>
    <x v="41"/>
    <x v="1"/>
  </r>
  <r>
    <x v="3"/>
    <x v="1"/>
    <x v="452"/>
    <x v="1"/>
    <x v="6"/>
    <x v="20"/>
    <x v="5"/>
    <x v="22"/>
    <x v="45"/>
    <x v="282"/>
    <x v="29"/>
    <x v="29"/>
    <x v="1"/>
  </r>
  <r>
    <x v="3"/>
    <x v="1"/>
    <x v="452"/>
    <x v="1"/>
    <x v="6"/>
    <x v="20"/>
    <x v="4"/>
    <x v="25"/>
    <x v="27"/>
    <x v="166"/>
    <x v="31"/>
    <x v="31"/>
    <x v="1"/>
  </r>
  <r>
    <x v="3"/>
    <x v="1"/>
    <x v="452"/>
    <x v="1"/>
    <x v="6"/>
    <x v="20"/>
    <x v="0"/>
    <x v="39"/>
    <x v="25"/>
    <x v="277"/>
    <x v="31"/>
    <x v="31"/>
    <x v="1"/>
  </r>
  <r>
    <x v="3"/>
    <x v="1"/>
    <x v="452"/>
    <x v="1"/>
    <x v="6"/>
    <x v="20"/>
    <x v="3"/>
    <x v="29"/>
    <x v="57"/>
    <x v="526"/>
    <x v="36"/>
    <x v="36"/>
    <x v="1"/>
  </r>
  <r>
    <x v="3"/>
    <x v="1"/>
    <x v="481"/>
    <x v="1"/>
    <x v="6"/>
    <x v="20"/>
    <x v="2"/>
    <x v="47"/>
    <x v="122"/>
    <x v="1811"/>
    <x v="37"/>
    <x v="37"/>
    <x v="1"/>
  </r>
  <r>
    <x v="3"/>
    <x v="1"/>
    <x v="481"/>
    <x v="1"/>
    <x v="6"/>
    <x v="20"/>
    <x v="1"/>
    <x v="41"/>
    <x v="60"/>
    <x v="822"/>
    <x v="39"/>
    <x v="39"/>
    <x v="1"/>
  </r>
  <r>
    <x v="3"/>
    <x v="1"/>
    <x v="481"/>
    <x v="1"/>
    <x v="6"/>
    <x v="20"/>
    <x v="5"/>
    <x v="36"/>
    <x v="61"/>
    <x v="729"/>
    <x v="26"/>
    <x v="26"/>
    <x v="1"/>
  </r>
  <r>
    <x v="3"/>
    <x v="1"/>
    <x v="481"/>
    <x v="1"/>
    <x v="6"/>
    <x v="20"/>
    <x v="4"/>
    <x v="37"/>
    <x v="52"/>
    <x v="610"/>
    <x v="27"/>
    <x v="27"/>
    <x v="1"/>
  </r>
  <r>
    <x v="3"/>
    <x v="1"/>
    <x v="481"/>
    <x v="1"/>
    <x v="6"/>
    <x v="20"/>
    <x v="0"/>
    <x v="43"/>
    <x v="58"/>
    <x v="821"/>
    <x v="30"/>
    <x v="30"/>
    <x v="1"/>
  </r>
  <r>
    <x v="3"/>
    <x v="1"/>
    <x v="481"/>
    <x v="1"/>
    <x v="6"/>
    <x v="20"/>
    <x v="3"/>
    <x v="48"/>
    <x v="94"/>
    <x v="1492"/>
    <x v="35"/>
    <x v="35"/>
    <x v="1"/>
  </r>
  <r>
    <x v="3"/>
    <x v="1"/>
    <x v="514"/>
    <x v="1"/>
    <x v="6"/>
    <x v="20"/>
    <x v="2"/>
    <x v="43"/>
    <x v="152"/>
    <x v="2022"/>
    <x v="41"/>
    <x v="41"/>
    <x v="1"/>
  </r>
  <r>
    <x v="3"/>
    <x v="1"/>
    <x v="514"/>
    <x v="1"/>
    <x v="6"/>
    <x v="20"/>
    <x v="1"/>
    <x v="41"/>
    <x v="77"/>
    <x v="1089"/>
    <x v="36"/>
    <x v="36"/>
    <x v="1"/>
  </r>
  <r>
    <x v="3"/>
    <x v="1"/>
    <x v="514"/>
    <x v="1"/>
    <x v="6"/>
    <x v="20"/>
    <x v="5"/>
    <x v="35"/>
    <x v="72"/>
    <x v="864"/>
    <x v="31"/>
    <x v="31"/>
    <x v="1"/>
  </r>
  <r>
    <x v="3"/>
    <x v="1"/>
    <x v="514"/>
    <x v="1"/>
    <x v="6"/>
    <x v="20"/>
    <x v="4"/>
    <x v="35"/>
    <x v="66"/>
    <x v="780"/>
    <x v="28"/>
    <x v="28"/>
    <x v="1"/>
  </r>
  <r>
    <x v="3"/>
    <x v="1"/>
    <x v="514"/>
    <x v="1"/>
    <x v="6"/>
    <x v="20"/>
    <x v="0"/>
    <x v="46"/>
    <x v="61"/>
    <x v="935"/>
    <x v="30"/>
    <x v="30"/>
    <x v="1"/>
  </r>
  <r>
    <x v="3"/>
    <x v="1"/>
    <x v="514"/>
    <x v="1"/>
    <x v="6"/>
    <x v="20"/>
    <x v="3"/>
    <x v="49"/>
    <x v="103"/>
    <x v="1649"/>
    <x v="35"/>
    <x v="35"/>
    <x v="1"/>
  </r>
  <r>
    <x v="3"/>
    <x v="1"/>
    <x v="542"/>
    <x v="1"/>
    <x v="6"/>
    <x v="20"/>
    <x v="2"/>
    <x v="47"/>
    <x v="165"/>
    <x v="2237"/>
    <x v="40"/>
    <x v="40"/>
    <x v="1"/>
  </r>
  <r>
    <x v="3"/>
    <x v="1"/>
    <x v="542"/>
    <x v="1"/>
    <x v="6"/>
    <x v="20"/>
    <x v="1"/>
    <x v="41"/>
    <x v="93"/>
    <x v="1296"/>
    <x v="39"/>
    <x v="39"/>
    <x v="1"/>
  </r>
  <r>
    <x v="3"/>
    <x v="1"/>
    <x v="542"/>
    <x v="1"/>
    <x v="6"/>
    <x v="20"/>
    <x v="5"/>
    <x v="37"/>
    <x v="67"/>
    <x v="833"/>
    <x v="30"/>
    <x v="30"/>
    <x v="1"/>
  </r>
  <r>
    <x v="3"/>
    <x v="1"/>
    <x v="542"/>
    <x v="1"/>
    <x v="6"/>
    <x v="20"/>
    <x v="4"/>
    <x v="35"/>
    <x v="66"/>
    <x v="780"/>
    <x v="30"/>
    <x v="30"/>
    <x v="1"/>
  </r>
  <r>
    <x v="3"/>
    <x v="1"/>
    <x v="542"/>
    <x v="1"/>
    <x v="6"/>
    <x v="20"/>
    <x v="0"/>
    <x v="46"/>
    <x v="67"/>
    <x v="1027"/>
    <x v="30"/>
    <x v="30"/>
    <x v="1"/>
  </r>
  <r>
    <x v="3"/>
    <x v="1"/>
    <x v="542"/>
    <x v="1"/>
    <x v="6"/>
    <x v="20"/>
    <x v="3"/>
    <x v="49"/>
    <x v="123"/>
    <x v="1886"/>
    <x v="34"/>
    <x v="34"/>
    <x v="1"/>
  </r>
  <r>
    <x v="3"/>
    <x v="1"/>
    <x v="574"/>
    <x v="1"/>
    <x v="6"/>
    <x v="20"/>
    <x v="2"/>
    <x v="44"/>
    <x v="141"/>
    <x v="1943"/>
    <x v="41"/>
    <x v="41"/>
    <x v="1"/>
  </r>
  <r>
    <x v="3"/>
    <x v="1"/>
    <x v="574"/>
    <x v="1"/>
    <x v="6"/>
    <x v="20"/>
    <x v="1"/>
    <x v="41"/>
    <x v="90"/>
    <x v="1250"/>
    <x v="41"/>
    <x v="41"/>
    <x v="1"/>
  </r>
  <r>
    <x v="3"/>
    <x v="1"/>
    <x v="574"/>
    <x v="1"/>
    <x v="6"/>
    <x v="20"/>
    <x v="5"/>
    <x v="34"/>
    <x v="70"/>
    <x v="817"/>
    <x v="28"/>
    <x v="28"/>
    <x v="1"/>
  </r>
  <r>
    <x v="3"/>
    <x v="1"/>
    <x v="574"/>
    <x v="1"/>
    <x v="6"/>
    <x v="20"/>
    <x v="4"/>
    <x v="34"/>
    <x v="56"/>
    <x v="615"/>
    <x v="27"/>
    <x v="27"/>
    <x v="1"/>
  </r>
  <r>
    <x v="3"/>
    <x v="1"/>
    <x v="574"/>
    <x v="1"/>
    <x v="6"/>
    <x v="20"/>
    <x v="0"/>
    <x v="44"/>
    <x v="41"/>
    <x v="573"/>
    <x v="30"/>
    <x v="30"/>
    <x v="1"/>
  </r>
  <r>
    <x v="3"/>
    <x v="1"/>
    <x v="574"/>
    <x v="1"/>
    <x v="6"/>
    <x v="20"/>
    <x v="3"/>
    <x v="48"/>
    <x v="87"/>
    <x v="1389"/>
    <x v="36"/>
    <x v="36"/>
    <x v="1"/>
  </r>
  <r>
    <x v="3"/>
    <x v="1"/>
    <x v="604"/>
    <x v="1"/>
    <x v="6"/>
    <x v="20"/>
    <x v="2"/>
    <x v="45"/>
    <x v="105"/>
    <x v="1568"/>
    <x v="40"/>
    <x v="40"/>
    <x v="1"/>
  </r>
  <r>
    <x v="3"/>
    <x v="1"/>
    <x v="604"/>
    <x v="1"/>
    <x v="6"/>
    <x v="20"/>
    <x v="1"/>
    <x v="40"/>
    <x v="62"/>
    <x v="825"/>
    <x v="38"/>
    <x v="38"/>
    <x v="1"/>
  </r>
  <r>
    <x v="3"/>
    <x v="1"/>
    <x v="604"/>
    <x v="1"/>
    <x v="6"/>
    <x v="20"/>
    <x v="5"/>
    <x v="34"/>
    <x v="49"/>
    <x v="519"/>
    <x v="30"/>
    <x v="30"/>
    <x v="1"/>
  </r>
  <r>
    <x v="3"/>
    <x v="1"/>
    <x v="604"/>
    <x v="1"/>
    <x v="6"/>
    <x v="20"/>
    <x v="4"/>
    <x v="34"/>
    <x v="35"/>
    <x v="354"/>
    <x v="31"/>
    <x v="31"/>
    <x v="1"/>
  </r>
  <r>
    <x v="3"/>
    <x v="1"/>
    <x v="604"/>
    <x v="1"/>
    <x v="6"/>
    <x v="20"/>
    <x v="0"/>
    <x v="43"/>
    <x v="40"/>
    <x v="542"/>
    <x v="28"/>
    <x v="28"/>
    <x v="1"/>
  </r>
  <r>
    <x v="3"/>
    <x v="1"/>
    <x v="604"/>
    <x v="1"/>
    <x v="6"/>
    <x v="20"/>
    <x v="3"/>
    <x v="47"/>
    <x v="68"/>
    <x v="1082"/>
    <x v="35"/>
    <x v="35"/>
    <x v="1"/>
  </r>
  <r>
    <x v="3"/>
    <x v="1"/>
    <x v="636"/>
    <x v="1"/>
    <x v="6"/>
    <x v="20"/>
    <x v="2"/>
    <x v="52"/>
    <x v="94"/>
    <x v="1602"/>
    <x v="41"/>
    <x v="41"/>
    <x v="1"/>
  </r>
  <r>
    <x v="3"/>
    <x v="1"/>
    <x v="636"/>
    <x v="1"/>
    <x v="6"/>
    <x v="20"/>
    <x v="1"/>
    <x v="45"/>
    <x v="59"/>
    <x v="888"/>
    <x v="36"/>
    <x v="36"/>
    <x v="1"/>
  </r>
  <r>
    <x v="3"/>
    <x v="1"/>
    <x v="636"/>
    <x v="1"/>
    <x v="6"/>
    <x v="20"/>
    <x v="5"/>
    <x v="46"/>
    <x v="38"/>
    <x v="556"/>
    <x v="29"/>
    <x v="29"/>
    <x v="1"/>
  </r>
  <r>
    <x v="3"/>
    <x v="1"/>
    <x v="636"/>
    <x v="1"/>
    <x v="6"/>
    <x v="20"/>
    <x v="4"/>
    <x v="43"/>
    <x v="27"/>
    <x v="359"/>
    <x v="26"/>
    <x v="26"/>
    <x v="1"/>
  </r>
  <r>
    <x v="3"/>
    <x v="1"/>
    <x v="636"/>
    <x v="1"/>
    <x v="6"/>
    <x v="20"/>
    <x v="0"/>
    <x v="57"/>
    <x v="31"/>
    <x v="585"/>
    <x v="28"/>
    <x v="28"/>
    <x v="1"/>
  </r>
  <r>
    <x v="1"/>
    <x v="1"/>
    <x v="636"/>
    <x v="1"/>
    <x v="6"/>
    <x v="20"/>
    <x v="3"/>
    <x v="56"/>
    <x v="61"/>
    <x v="1125"/>
    <x v="36"/>
    <x v="36"/>
    <x v="1"/>
  </r>
  <r>
    <x v="1"/>
    <x v="1"/>
    <x v="666"/>
    <x v="1"/>
    <x v="6"/>
    <x v="20"/>
    <x v="2"/>
    <x v="53"/>
    <x v="92"/>
    <x v="1600"/>
    <x v="36"/>
    <x v="36"/>
    <x v="1"/>
  </r>
  <r>
    <x v="1"/>
    <x v="1"/>
    <x v="666"/>
    <x v="1"/>
    <x v="6"/>
    <x v="20"/>
    <x v="1"/>
    <x v="44"/>
    <x v="69"/>
    <x v="1024"/>
    <x v="38"/>
    <x v="38"/>
    <x v="1"/>
  </r>
  <r>
    <x v="1"/>
    <x v="1"/>
    <x v="666"/>
    <x v="1"/>
    <x v="6"/>
    <x v="20"/>
    <x v="5"/>
    <x v="44"/>
    <x v="66"/>
    <x v="975"/>
    <x v="31"/>
    <x v="31"/>
    <x v="1"/>
  </r>
  <r>
    <x v="1"/>
    <x v="1"/>
    <x v="666"/>
    <x v="1"/>
    <x v="6"/>
    <x v="20"/>
    <x v="4"/>
    <x v="43"/>
    <x v="66"/>
    <x v="956"/>
    <x v="28"/>
    <x v="28"/>
    <x v="1"/>
  </r>
  <r>
    <x v="1"/>
    <x v="1"/>
    <x v="666"/>
    <x v="1"/>
    <x v="6"/>
    <x v="20"/>
    <x v="0"/>
    <x v="53"/>
    <x v="56"/>
    <x v="975"/>
    <x v="30"/>
    <x v="30"/>
    <x v="1"/>
  </r>
  <r>
    <x v="1"/>
    <x v="1"/>
    <x v="666"/>
    <x v="1"/>
    <x v="6"/>
    <x v="20"/>
    <x v="3"/>
    <x v="60"/>
    <x v="78"/>
    <x v="1531"/>
    <x v="33"/>
    <x v="33"/>
    <x v="1"/>
  </r>
  <r>
    <x v="1"/>
    <x v="1"/>
    <x v="695"/>
    <x v="1"/>
    <x v="6"/>
    <x v="20"/>
    <x v="2"/>
    <x v="52"/>
    <x v="129"/>
    <x v="2041"/>
    <x v="37"/>
    <x v="37"/>
    <x v="1"/>
  </r>
  <r>
    <x v="1"/>
    <x v="1"/>
    <x v="695"/>
    <x v="1"/>
    <x v="6"/>
    <x v="20"/>
    <x v="1"/>
    <x v="44"/>
    <x v="83"/>
    <x v="1242"/>
    <x v="37"/>
    <x v="37"/>
    <x v="1"/>
  </r>
  <r>
    <x v="1"/>
    <x v="1"/>
    <x v="695"/>
    <x v="1"/>
    <x v="6"/>
    <x v="20"/>
    <x v="5"/>
    <x v="43"/>
    <x v="73"/>
    <x v="1056"/>
    <x v="31"/>
    <x v="31"/>
    <x v="1"/>
  </r>
  <r>
    <x v="1"/>
    <x v="1"/>
    <x v="695"/>
    <x v="1"/>
    <x v="6"/>
    <x v="20"/>
    <x v="4"/>
    <x v="46"/>
    <x v="72"/>
    <x v="1113"/>
    <x v="28"/>
    <x v="28"/>
    <x v="1"/>
  </r>
  <r>
    <x v="1"/>
    <x v="1"/>
    <x v="695"/>
    <x v="1"/>
    <x v="6"/>
    <x v="20"/>
    <x v="0"/>
    <x v="53"/>
    <x v="64"/>
    <x v="1130"/>
    <x v="31"/>
    <x v="31"/>
    <x v="1"/>
  </r>
  <r>
    <x v="1"/>
    <x v="1"/>
    <x v="695"/>
    <x v="1"/>
    <x v="6"/>
    <x v="20"/>
    <x v="3"/>
    <x v="60"/>
    <x v="93"/>
    <x v="1780"/>
    <x v="32"/>
    <x v="32"/>
    <x v="1"/>
  </r>
  <r>
    <x v="1"/>
    <x v="1"/>
    <x v="368"/>
    <x v="1"/>
    <x v="6"/>
    <x v="20"/>
    <x v="2"/>
    <x v="27"/>
    <x v="96"/>
    <x v="931"/>
    <x v="32"/>
    <x v="32"/>
    <x v="1"/>
  </r>
  <r>
    <x v="1"/>
    <x v="1"/>
    <x v="368"/>
    <x v="1"/>
    <x v="6"/>
    <x v="20"/>
    <x v="1"/>
    <x v="27"/>
    <x v="52"/>
    <x v="431"/>
    <x v="31"/>
    <x v="31"/>
    <x v="1"/>
  </r>
  <r>
    <x v="1"/>
    <x v="1"/>
    <x v="368"/>
    <x v="1"/>
    <x v="6"/>
    <x v="20"/>
    <x v="5"/>
    <x v="17"/>
    <x v="52"/>
    <x v="254"/>
    <x v="41"/>
    <x v="41"/>
    <x v="1"/>
  </r>
  <r>
    <x v="1"/>
    <x v="1"/>
    <x v="368"/>
    <x v="1"/>
    <x v="6"/>
    <x v="20"/>
    <x v="4"/>
    <x v="22"/>
    <x v="10"/>
    <x v="40"/>
    <x v="39"/>
    <x v="39"/>
    <x v="1"/>
  </r>
  <r>
    <x v="1"/>
    <x v="1"/>
    <x v="368"/>
    <x v="1"/>
    <x v="6"/>
    <x v="20"/>
    <x v="0"/>
    <x v="37"/>
    <x v="23"/>
    <x v="234"/>
    <x v="26"/>
    <x v="26"/>
    <x v="1"/>
  </r>
  <r>
    <x v="1"/>
    <x v="1"/>
    <x v="368"/>
    <x v="1"/>
    <x v="6"/>
    <x v="20"/>
    <x v="3"/>
    <x v="26"/>
    <x v="52"/>
    <x v="415"/>
    <x v="40"/>
    <x v="40"/>
    <x v="1"/>
  </r>
  <r>
    <x v="1"/>
    <x v="1"/>
    <x v="397"/>
    <x v="1"/>
    <x v="6"/>
    <x v="20"/>
    <x v="2"/>
    <x v="27"/>
    <x v="100"/>
    <x v="967"/>
    <x v="35"/>
    <x v="35"/>
    <x v="1"/>
  </r>
  <r>
    <x v="1"/>
    <x v="1"/>
    <x v="397"/>
    <x v="1"/>
    <x v="6"/>
    <x v="20"/>
    <x v="1"/>
    <x v="27"/>
    <x v="26"/>
    <x v="169"/>
    <x v="33"/>
    <x v="33"/>
    <x v="1"/>
  </r>
  <r>
    <x v="1"/>
    <x v="1"/>
    <x v="397"/>
    <x v="1"/>
    <x v="6"/>
    <x v="20"/>
    <x v="5"/>
    <x v="17"/>
    <x v="38"/>
    <x v="159"/>
    <x v="36"/>
    <x v="36"/>
    <x v="1"/>
  </r>
  <r>
    <x v="1"/>
    <x v="1"/>
    <x v="397"/>
    <x v="1"/>
    <x v="38"/>
    <x v="43"/>
    <x v="4"/>
    <x v="22"/>
    <x v="4"/>
    <x v="16"/>
    <x v="40"/>
    <x v="40"/>
    <x v="1"/>
  </r>
  <r>
    <x v="1"/>
    <x v="1"/>
    <x v="397"/>
    <x v="1"/>
    <x v="38"/>
    <x v="43"/>
    <x v="0"/>
    <x v="34"/>
    <x v="25"/>
    <x v="229"/>
    <x v="27"/>
    <x v="27"/>
    <x v="1"/>
  </r>
  <r>
    <x v="1"/>
    <x v="1"/>
    <x v="397"/>
    <x v="1"/>
    <x v="38"/>
    <x v="43"/>
    <x v="3"/>
    <x v="26"/>
    <x v="54"/>
    <x v="432"/>
    <x v="39"/>
    <x v="39"/>
    <x v="1"/>
  </r>
  <r>
    <x v="1"/>
    <x v="1"/>
    <x v="423"/>
    <x v="1"/>
    <x v="38"/>
    <x v="43"/>
    <x v="2"/>
    <x v="27"/>
    <x v="92"/>
    <x v="892"/>
    <x v="36"/>
    <x v="36"/>
    <x v="1"/>
  </r>
  <r>
    <x v="1"/>
    <x v="1"/>
    <x v="423"/>
    <x v="1"/>
    <x v="38"/>
    <x v="43"/>
    <x v="1"/>
    <x v="27"/>
    <x v="33"/>
    <x v="248"/>
    <x v="31"/>
    <x v="31"/>
    <x v="1"/>
  </r>
  <r>
    <x v="1"/>
    <x v="1"/>
    <x v="423"/>
    <x v="1"/>
    <x v="38"/>
    <x v="43"/>
    <x v="5"/>
    <x v="16"/>
    <x v="40"/>
    <x v="157"/>
    <x v="38"/>
    <x v="38"/>
    <x v="1"/>
  </r>
  <r>
    <x v="1"/>
    <x v="1"/>
    <x v="423"/>
    <x v="1"/>
    <x v="38"/>
    <x v="43"/>
    <x v="4"/>
    <x v="22"/>
    <x v="3"/>
    <x v="4"/>
    <x v="36"/>
    <x v="36"/>
    <x v="1"/>
  </r>
  <r>
    <x v="1"/>
    <x v="1"/>
    <x v="423"/>
    <x v="1"/>
    <x v="38"/>
    <x v="43"/>
    <x v="0"/>
    <x v="37"/>
    <x v="10"/>
    <x v="89"/>
    <x v="31"/>
    <x v="31"/>
    <x v="1"/>
  </r>
  <r>
    <x v="1"/>
    <x v="1"/>
    <x v="423"/>
    <x v="1"/>
    <x v="38"/>
    <x v="43"/>
    <x v="3"/>
    <x v="25"/>
    <x v="40"/>
    <x v="284"/>
    <x v="40"/>
    <x v="40"/>
    <x v="1"/>
  </r>
  <r>
    <x v="1"/>
    <x v="1"/>
    <x v="455"/>
    <x v="1"/>
    <x v="38"/>
    <x v="43"/>
    <x v="2"/>
    <x v="25"/>
    <x v="92"/>
    <x v="832"/>
    <x v="35"/>
    <x v="35"/>
    <x v="1"/>
  </r>
  <r>
    <x v="1"/>
    <x v="1"/>
    <x v="455"/>
    <x v="1"/>
    <x v="38"/>
    <x v="43"/>
    <x v="1"/>
    <x v="25"/>
    <x v="23"/>
    <x v="129"/>
    <x v="36"/>
    <x v="36"/>
    <x v="1"/>
  </r>
  <r>
    <x v="1"/>
    <x v="1"/>
    <x v="455"/>
    <x v="1"/>
    <x v="38"/>
    <x v="43"/>
    <x v="5"/>
    <x v="17"/>
    <x v="26"/>
    <x v="85"/>
    <x v="38"/>
    <x v="38"/>
    <x v="1"/>
  </r>
  <r>
    <x v="1"/>
    <x v="1"/>
    <x v="455"/>
    <x v="1"/>
    <x v="38"/>
    <x v="43"/>
    <x v="4"/>
    <x v="22"/>
    <x v="4"/>
    <x v="16"/>
    <x v="39"/>
    <x v="39"/>
    <x v="1"/>
  </r>
  <r>
    <x v="1"/>
    <x v="1"/>
    <x v="455"/>
    <x v="1"/>
    <x v="38"/>
    <x v="43"/>
    <x v="0"/>
    <x v="37"/>
    <x v="6"/>
    <x v="52"/>
    <x v="26"/>
    <x v="26"/>
    <x v="1"/>
  </r>
  <r>
    <x v="1"/>
    <x v="1"/>
    <x v="455"/>
    <x v="1"/>
    <x v="38"/>
    <x v="43"/>
    <x v="3"/>
    <x v="26"/>
    <x v="39"/>
    <x v="289"/>
    <x v="38"/>
    <x v="38"/>
    <x v="1"/>
  </r>
  <r>
    <x v="1"/>
    <x v="1"/>
    <x v="484"/>
    <x v="1"/>
    <x v="38"/>
    <x v="43"/>
    <x v="2"/>
    <x v="42"/>
    <x v="102"/>
    <x v="1436"/>
    <x v="36"/>
    <x v="36"/>
    <x v="1"/>
  </r>
  <r>
    <x v="1"/>
    <x v="1"/>
    <x v="484"/>
    <x v="1"/>
    <x v="38"/>
    <x v="43"/>
    <x v="1"/>
    <x v="36"/>
    <x v="38"/>
    <x v="423"/>
    <x v="31"/>
    <x v="31"/>
    <x v="1"/>
  </r>
  <r>
    <x v="1"/>
    <x v="1"/>
    <x v="484"/>
    <x v="1"/>
    <x v="38"/>
    <x v="43"/>
    <x v="5"/>
    <x v="32"/>
    <x v="49"/>
    <x v="484"/>
    <x v="40"/>
    <x v="40"/>
    <x v="1"/>
  </r>
  <r>
    <x v="1"/>
    <x v="1"/>
    <x v="484"/>
    <x v="1"/>
    <x v="38"/>
    <x v="43"/>
    <x v="4"/>
    <x v="32"/>
    <x v="33"/>
    <x v="308"/>
    <x v="38"/>
    <x v="38"/>
    <x v="1"/>
  </r>
  <r>
    <x v="1"/>
    <x v="1"/>
    <x v="484"/>
    <x v="1"/>
    <x v="38"/>
    <x v="43"/>
    <x v="0"/>
    <x v="42"/>
    <x v="35"/>
    <x v="462"/>
    <x v="26"/>
    <x v="26"/>
    <x v="1"/>
  </r>
  <r>
    <x v="1"/>
    <x v="1"/>
    <x v="484"/>
    <x v="1"/>
    <x v="38"/>
    <x v="43"/>
    <x v="3"/>
    <x v="45"/>
    <x v="67"/>
    <x v="1007"/>
    <x v="39"/>
    <x v="39"/>
    <x v="1"/>
  </r>
  <r>
    <x v="1"/>
    <x v="1"/>
    <x v="517"/>
    <x v="1"/>
    <x v="38"/>
    <x v="43"/>
    <x v="2"/>
    <x v="40"/>
    <x v="118"/>
    <x v="1566"/>
    <x v="31"/>
    <x v="31"/>
    <x v="1"/>
  </r>
  <r>
    <x v="1"/>
    <x v="1"/>
    <x v="517"/>
    <x v="1"/>
    <x v="38"/>
    <x v="43"/>
    <x v="1"/>
    <x v="34"/>
    <x v="74"/>
    <x v="873"/>
    <x v="35"/>
    <x v="35"/>
    <x v="1"/>
  </r>
  <r>
    <x v="1"/>
    <x v="1"/>
    <x v="517"/>
    <x v="1"/>
    <x v="38"/>
    <x v="43"/>
    <x v="5"/>
    <x v="32"/>
    <x v="54"/>
    <x v="537"/>
    <x v="41"/>
    <x v="41"/>
    <x v="1"/>
  </r>
  <r>
    <x v="1"/>
    <x v="1"/>
    <x v="517"/>
    <x v="1"/>
    <x v="38"/>
    <x v="43"/>
    <x v="4"/>
    <x v="32"/>
    <x v="49"/>
    <x v="484"/>
    <x v="40"/>
    <x v="40"/>
    <x v="1"/>
  </r>
  <r>
    <x v="1"/>
    <x v="1"/>
    <x v="517"/>
    <x v="1"/>
    <x v="38"/>
    <x v="43"/>
    <x v="0"/>
    <x v="41"/>
    <x v="47"/>
    <x v="614"/>
    <x v="27"/>
    <x v="27"/>
    <x v="1"/>
  </r>
  <r>
    <x v="1"/>
    <x v="1"/>
    <x v="517"/>
    <x v="1"/>
    <x v="38"/>
    <x v="43"/>
    <x v="3"/>
    <x v="44"/>
    <x v="73"/>
    <x v="1084"/>
    <x v="37"/>
    <x v="37"/>
    <x v="1"/>
  </r>
  <r>
    <x v="1"/>
    <x v="1"/>
    <x v="545"/>
    <x v="1"/>
    <x v="38"/>
    <x v="43"/>
    <x v="2"/>
    <x v="39"/>
    <x v="145"/>
    <x v="1816"/>
    <x v="31"/>
    <x v="31"/>
    <x v="1"/>
  </r>
  <r>
    <x v="1"/>
    <x v="1"/>
    <x v="545"/>
    <x v="1"/>
    <x v="38"/>
    <x v="43"/>
    <x v="1"/>
    <x v="34"/>
    <x v="67"/>
    <x v="771"/>
    <x v="36"/>
    <x v="36"/>
    <x v="1"/>
  </r>
  <r>
    <x v="1"/>
    <x v="1"/>
    <x v="545"/>
    <x v="1"/>
    <x v="38"/>
    <x v="43"/>
    <x v="5"/>
    <x v="30"/>
    <x v="54"/>
    <x v="501"/>
    <x v="38"/>
    <x v="38"/>
    <x v="1"/>
  </r>
  <r>
    <x v="1"/>
    <x v="1"/>
    <x v="545"/>
    <x v="1"/>
    <x v="38"/>
    <x v="43"/>
    <x v="4"/>
    <x v="30"/>
    <x v="47"/>
    <x v="433"/>
    <x v="38"/>
    <x v="38"/>
    <x v="1"/>
  </r>
  <r>
    <x v="1"/>
    <x v="1"/>
    <x v="545"/>
    <x v="1"/>
    <x v="38"/>
    <x v="43"/>
    <x v="0"/>
    <x v="40"/>
    <x v="52"/>
    <x v="660"/>
    <x v="26"/>
    <x v="26"/>
    <x v="1"/>
  </r>
  <r>
    <x v="1"/>
    <x v="1"/>
    <x v="545"/>
    <x v="1"/>
    <x v="38"/>
    <x v="43"/>
    <x v="3"/>
    <x v="43"/>
    <x v="97"/>
    <x v="1394"/>
    <x v="36"/>
    <x v="36"/>
    <x v="1"/>
  </r>
  <r>
    <x v="1"/>
    <x v="1"/>
    <x v="577"/>
    <x v="1"/>
    <x v="38"/>
    <x v="43"/>
    <x v="2"/>
    <x v="39"/>
    <x v="123"/>
    <x v="1584"/>
    <x v="34"/>
    <x v="34"/>
    <x v="1"/>
  </r>
  <r>
    <x v="1"/>
    <x v="1"/>
    <x v="577"/>
    <x v="1"/>
    <x v="38"/>
    <x v="43"/>
    <x v="1"/>
    <x v="35"/>
    <x v="75"/>
    <x v="903"/>
    <x v="33"/>
    <x v="33"/>
    <x v="1"/>
  </r>
  <r>
    <x v="1"/>
    <x v="1"/>
    <x v="577"/>
    <x v="1"/>
    <x v="38"/>
    <x v="43"/>
    <x v="5"/>
    <x v="31"/>
    <x v="62"/>
    <x v="631"/>
    <x v="41"/>
    <x v="41"/>
    <x v="1"/>
  </r>
  <r>
    <x v="1"/>
    <x v="1"/>
    <x v="577"/>
    <x v="1"/>
    <x v="38"/>
    <x v="43"/>
    <x v="4"/>
    <x v="30"/>
    <x v="28"/>
    <x v="231"/>
    <x v="39"/>
    <x v="39"/>
    <x v="1"/>
  </r>
  <r>
    <x v="1"/>
    <x v="1"/>
    <x v="577"/>
    <x v="1"/>
    <x v="38"/>
    <x v="43"/>
    <x v="0"/>
    <x v="38"/>
    <x v="21"/>
    <x v="212"/>
    <x v="26"/>
    <x v="26"/>
    <x v="1"/>
  </r>
  <r>
    <x v="1"/>
    <x v="1"/>
    <x v="577"/>
    <x v="1"/>
    <x v="38"/>
    <x v="43"/>
    <x v="3"/>
    <x v="45"/>
    <x v="72"/>
    <x v="1094"/>
    <x v="40"/>
    <x v="40"/>
    <x v="1"/>
  </r>
  <r>
    <x v="1"/>
    <x v="1"/>
    <x v="607"/>
    <x v="1"/>
    <x v="38"/>
    <x v="43"/>
    <x v="2"/>
    <x v="38"/>
    <x v="92"/>
    <x v="1206"/>
    <x v="31"/>
    <x v="31"/>
    <x v="1"/>
  </r>
  <r>
    <x v="1"/>
    <x v="1"/>
    <x v="607"/>
    <x v="1"/>
    <x v="38"/>
    <x v="43"/>
    <x v="1"/>
    <x v="36"/>
    <x v="45"/>
    <x v="503"/>
    <x v="34"/>
    <x v="34"/>
    <x v="1"/>
  </r>
  <r>
    <x v="1"/>
    <x v="1"/>
    <x v="607"/>
    <x v="1"/>
    <x v="38"/>
    <x v="43"/>
    <x v="5"/>
    <x v="29"/>
    <x v="27"/>
    <x v="203"/>
    <x v="37"/>
    <x v="37"/>
    <x v="1"/>
  </r>
  <r>
    <x v="1"/>
    <x v="1"/>
    <x v="607"/>
    <x v="1"/>
    <x v="38"/>
    <x v="43"/>
    <x v="4"/>
    <x v="32"/>
    <x v="17"/>
    <x v="127"/>
    <x v="40"/>
    <x v="40"/>
    <x v="1"/>
  </r>
  <r>
    <x v="1"/>
    <x v="1"/>
    <x v="607"/>
    <x v="1"/>
    <x v="38"/>
    <x v="43"/>
    <x v="0"/>
    <x v="40"/>
    <x v="17"/>
    <x v="178"/>
    <x v="27"/>
    <x v="27"/>
    <x v="1"/>
  </r>
  <r>
    <x v="1"/>
    <x v="1"/>
    <x v="607"/>
    <x v="1"/>
    <x v="38"/>
    <x v="43"/>
    <x v="3"/>
    <x v="45"/>
    <x v="47"/>
    <x v="677"/>
    <x v="37"/>
    <x v="37"/>
    <x v="1"/>
  </r>
  <r>
    <x v="1"/>
    <x v="1"/>
    <x v="639"/>
    <x v="1"/>
    <x v="38"/>
    <x v="43"/>
    <x v="2"/>
    <x v="46"/>
    <x v="77"/>
    <x v="1203"/>
    <x v="36"/>
    <x v="36"/>
    <x v="1"/>
  </r>
  <r>
    <x v="1"/>
    <x v="1"/>
    <x v="639"/>
    <x v="1"/>
    <x v="38"/>
    <x v="43"/>
    <x v="1"/>
    <x v="39"/>
    <x v="45"/>
    <x v="548"/>
    <x v="35"/>
    <x v="35"/>
    <x v="1"/>
  </r>
  <r>
    <x v="1"/>
    <x v="1"/>
    <x v="639"/>
    <x v="1"/>
    <x v="38"/>
    <x v="43"/>
    <x v="5"/>
    <x v="38"/>
    <x v="19"/>
    <x v="188"/>
    <x v="38"/>
    <x v="38"/>
    <x v="1"/>
  </r>
  <r>
    <x v="1"/>
    <x v="1"/>
    <x v="639"/>
    <x v="1"/>
    <x v="38"/>
    <x v="43"/>
    <x v="4"/>
    <x v="40"/>
    <x v="13"/>
    <x v="133"/>
    <x v="36"/>
    <x v="36"/>
    <x v="1"/>
  </r>
  <r>
    <x v="1"/>
    <x v="1"/>
    <x v="639"/>
    <x v="1"/>
    <x v="38"/>
    <x v="43"/>
    <x v="0"/>
    <x v="48"/>
    <x v="9"/>
    <x v="125"/>
    <x v="26"/>
    <x v="26"/>
    <x v="1"/>
  </r>
  <r>
    <x v="3"/>
    <x v="1"/>
    <x v="639"/>
    <x v="1"/>
    <x v="38"/>
    <x v="43"/>
    <x v="3"/>
    <x v="57"/>
    <x v="47"/>
    <x v="878"/>
    <x v="37"/>
    <x v="37"/>
    <x v="1"/>
  </r>
  <r>
    <x v="3"/>
    <x v="1"/>
    <x v="669"/>
    <x v="1"/>
    <x v="38"/>
    <x v="43"/>
    <x v="2"/>
    <x v="48"/>
    <x v="78"/>
    <x v="1262"/>
    <x v="35"/>
    <x v="35"/>
    <x v="1"/>
  </r>
  <r>
    <x v="3"/>
    <x v="1"/>
    <x v="669"/>
    <x v="1"/>
    <x v="38"/>
    <x v="43"/>
    <x v="1"/>
    <x v="39"/>
    <x v="52"/>
    <x v="641"/>
    <x v="31"/>
    <x v="31"/>
    <x v="1"/>
  </r>
  <r>
    <x v="3"/>
    <x v="1"/>
    <x v="669"/>
    <x v="1"/>
    <x v="38"/>
    <x v="43"/>
    <x v="5"/>
    <x v="41"/>
    <x v="53"/>
    <x v="697"/>
    <x v="40"/>
    <x v="40"/>
    <x v="1"/>
  </r>
  <r>
    <x v="3"/>
    <x v="1"/>
    <x v="669"/>
    <x v="1"/>
    <x v="38"/>
    <x v="43"/>
    <x v="4"/>
    <x v="41"/>
    <x v="47"/>
    <x v="614"/>
    <x v="41"/>
    <x v="41"/>
    <x v="1"/>
  </r>
  <r>
    <x v="3"/>
    <x v="1"/>
    <x v="669"/>
    <x v="1"/>
    <x v="38"/>
    <x v="43"/>
    <x v="0"/>
    <x v="51"/>
    <x v="33"/>
    <x v="543"/>
    <x v="30"/>
    <x v="30"/>
    <x v="1"/>
  </r>
  <r>
    <x v="3"/>
    <x v="1"/>
    <x v="669"/>
    <x v="1"/>
    <x v="38"/>
    <x v="43"/>
    <x v="3"/>
    <x v="53"/>
    <x v="63"/>
    <x v="1115"/>
    <x v="38"/>
    <x v="38"/>
    <x v="1"/>
  </r>
  <r>
    <x v="3"/>
    <x v="1"/>
    <x v="698"/>
    <x v="1"/>
    <x v="38"/>
    <x v="43"/>
    <x v="2"/>
    <x v="47"/>
    <x v="115"/>
    <x v="1731"/>
    <x v="36"/>
    <x v="36"/>
    <x v="1"/>
  </r>
  <r>
    <x v="3"/>
    <x v="1"/>
    <x v="698"/>
    <x v="1"/>
    <x v="38"/>
    <x v="43"/>
    <x v="1"/>
    <x v="38"/>
    <x v="64"/>
    <x v="823"/>
    <x v="34"/>
    <x v="34"/>
    <x v="1"/>
  </r>
  <r>
    <x v="3"/>
    <x v="1"/>
    <x v="698"/>
    <x v="1"/>
    <x v="38"/>
    <x v="43"/>
    <x v="5"/>
    <x v="40"/>
    <x v="61"/>
    <x v="813"/>
    <x v="37"/>
    <x v="37"/>
    <x v="1"/>
  </r>
  <r>
    <x v="3"/>
    <x v="1"/>
    <x v="698"/>
    <x v="1"/>
    <x v="38"/>
    <x v="43"/>
    <x v="4"/>
    <x v="41"/>
    <x v="54"/>
    <x v="709"/>
    <x v="36"/>
    <x v="36"/>
    <x v="1"/>
  </r>
  <r>
    <x v="3"/>
    <x v="1"/>
    <x v="698"/>
    <x v="1"/>
    <x v="38"/>
    <x v="43"/>
    <x v="0"/>
    <x v="49"/>
    <x v="56"/>
    <x v="899"/>
    <x v="29"/>
    <x v="29"/>
    <x v="1"/>
  </r>
  <r>
    <x v="3"/>
    <x v="1"/>
    <x v="698"/>
    <x v="1"/>
    <x v="38"/>
    <x v="43"/>
    <x v="3"/>
    <x v="53"/>
    <x v="70"/>
    <x v="1228"/>
    <x v="41"/>
    <x v="41"/>
    <x v="1"/>
  </r>
  <r>
    <x v="3"/>
    <x v="1"/>
    <x v="375"/>
    <x v="1"/>
    <x v="38"/>
    <x v="43"/>
    <x v="2"/>
    <x v="31"/>
    <x v="106"/>
    <x v="1152"/>
    <x v="29"/>
    <x v="29"/>
    <x v="1"/>
  </r>
  <r>
    <x v="3"/>
    <x v="1"/>
    <x v="375"/>
    <x v="1"/>
    <x v="38"/>
    <x v="43"/>
    <x v="1"/>
    <x v="31"/>
    <x v="56"/>
    <x v="551"/>
    <x v="30"/>
    <x v="30"/>
    <x v="1"/>
  </r>
  <r>
    <x v="3"/>
    <x v="1"/>
    <x v="375"/>
    <x v="1"/>
    <x v="38"/>
    <x v="43"/>
    <x v="5"/>
    <x v="20"/>
    <x v="60"/>
    <x v="380"/>
    <x v="22"/>
    <x v="22"/>
    <x v="1"/>
  </r>
  <r>
    <x v="3"/>
    <x v="1"/>
    <x v="375"/>
    <x v="1"/>
    <x v="38"/>
    <x v="43"/>
    <x v="4"/>
    <x v="27"/>
    <x v="16"/>
    <x v="91"/>
    <x v="24"/>
    <x v="24"/>
    <x v="1"/>
  </r>
  <r>
    <x v="3"/>
    <x v="1"/>
    <x v="375"/>
    <x v="1"/>
    <x v="38"/>
    <x v="43"/>
    <x v="0"/>
    <x v="41"/>
    <x v="30"/>
    <x v="379"/>
    <x v="25"/>
    <x v="25"/>
    <x v="1"/>
  </r>
  <r>
    <x v="3"/>
    <x v="1"/>
    <x v="375"/>
    <x v="1"/>
    <x v="38"/>
    <x v="43"/>
    <x v="3"/>
    <x v="31"/>
    <x v="58"/>
    <x v="576"/>
    <x v="27"/>
    <x v="27"/>
    <x v="1"/>
  </r>
  <r>
    <x v="3"/>
    <x v="1"/>
    <x v="404"/>
    <x v="1"/>
    <x v="38"/>
    <x v="43"/>
    <x v="2"/>
    <x v="29"/>
    <x v="120"/>
    <x v="1219"/>
    <x v="27"/>
    <x v="27"/>
    <x v="1"/>
  </r>
  <r>
    <x v="3"/>
    <x v="1"/>
    <x v="404"/>
    <x v="1"/>
    <x v="38"/>
    <x v="43"/>
    <x v="1"/>
    <x v="31"/>
    <x v="30"/>
    <x v="265"/>
    <x v="28"/>
    <x v="28"/>
    <x v="1"/>
  </r>
  <r>
    <x v="3"/>
    <x v="1"/>
    <x v="404"/>
    <x v="1"/>
    <x v="38"/>
    <x v="43"/>
    <x v="5"/>
    <x v="22"/>
    <x v="49"/>
    <x v="316"/>
    <x v="24"/>
    <x v="24"/>
    <x v="1"/>
  </r>
  <r>
    <x v="3"/>
    <x v="1"/>
    <x v="404"/>
    <x v="1"/>
    <x v="20"/>
    <x v="8"/>
    <x v="4"/>
    <x v="25"/>
    <x v="56"/>
    <x v="441"/>
    <x v="24"/>
    <x v="24"/>
    <x v="1"/>
  </r>
  <r>
    <x v="3"/>
    <x v="1"/>
    <x v="404"/>
    <x v="1"/>
    <x v="20"/>
    <x v="8"/>
    <x v="0"/>
    <x v="41"/>
    <x v="30"/>
    <x v="379"/>
    <x v="24"/>
    <x v="24"/>
    <x v="1"/>
  </r>
  <r>
    <x v="3"/>
    <x v="1"/>
    <x v="404"/>
    <x v="1"/>
    <x v="20"/>
    <x v="8"/>
    <x v="3"/>
    <x v="31"/>
    <x v="62"/>
    <x v="631"/>
    <x v="30"/>
    <x v="30"/>
    <x v="1"/>
  </r>
  <r>
    <x v="3"/>
    <x v="1"/>
    <x v="430"/>
    <x v="1"/>
    <x v="20"/>
    <x v="8"/>
    <x v="2"/>
    <x v="31"/>
    <x v="107"/>
    <x v="1161"/>
    <x v="30"/>
    <x v="30"/>
    <x v="1"/>
  </r>
  <r>
    <x v="3"/>
    <x v="1"/>
    <x v="430"/>
    <x v="1"/>
    <x v="20"/>
    <x v="8"/>
    <x v="1"/>
    <x v="31"/>
    <x v="36"/>
    <x v="327"/>
    <x v="31"/>
    <x v="31"/>
    <x v="1"/>
  </r>
  <r>
    <x v="3"/>
    <x v="1"/>
    <x v="430"/>
    <x v="1"/>
    <x v="20"/>
    <x v="8"/>
    <x v="5"/>
    <x v="21"/>
    <x v="39"/>
    <x v="213"/>
    <x v="25"/>
    <x v="25"/>
    <x v="1"/>
  </r>
  <r>
    <x v="3"/>
    <x v="1"/>
    <x v="430"/>
    <x v="1"/>
    <x v="20"/>
    <x v="8"/>
    <x v="4"/>
    <x v="27"/>
    <x v="72"/>
    <x v="658"/>
    <x v="22"/>
    <x v="22"/>
    <x v="1"/>
  </r>
  <r>
    <x v="3"/>
    <x v="1"/>
    <x v="430"/>
    <x v="1"/>
    <x v="20"/>
    <x v="8"/>
    <x v="0"/>
    <x v="39"/>
    <x v="19"/>
    <x v="194"/>
    <x v="25"/>
    <x v="25"/>
    <x v="1"/>
  </r>
  <r>
    <x v="3"/>
    <x v="1"/>
    <x v="430"/>
    <x v="1"/>
    <x v="20"/>
    <x v="8"/>
    <x v="3"/>
    <x v="32"/>
    <x v="43"/>
    <x v="422"/>
    <x v="27"/>
    <x v="27"/>
    <x v="1"/>
  </r>
  <r>
    <x v="3"/>
    <x v="1"/>
    <x v="462"/>
    <x v="1"/>
    <x v="20"/>
    <x v="8"/>
    <x v="2"/>
    <x v="31"/>
    <x v="98"/>
    <x v="1069"/>
    <x v="31"/>
    <x v="31"/>
    <x v="1"/>
  </r>
  <r>
    <x v="3"/>
    <x v="1"/>
    <x v="462"/>
    <x v="1"/>
    <x v="20"/>
    <x v="8"/>
    <x v="1"/>
    <x v="30"/>
    <x v="34"/>
    <x v="293"/>
    <x v="30"/>
    <x v="30"/>
    <x v="1"/>
  </r>
  <r>
    <x v="3"/>
    <x v="1"/>
    <x v="462"/>
    <x v="1"/>
    <x v="20"/>
    <x v="8"/>
    <x v="5"/>
    <x v="22"/>
    <x v="30"/>
    <x v="161"/>
    <x v="21"/>
    <x v="21"/>
    <x v="1"/>
  </r>
  <r>
    <x v="3"/>
    <x v="1"/>
    <x v="462"/>
    <x v="1"/>
    <x v="20"/>
    <x v="8"/>
    <x v="4"/>
    <x v="25"/>
    <x v="25"/>
    <x v="143"/>
    <x v="25"/>
    <x v="25"/>
    <x v="1"/>
  </r>
  <r>
    <x v="3"/>
    <x v="1"/>
    <x v="462"/>
    <x v="1"/>
    <x v="20"/>
    <x v="8"/>
    <x v="0"/>
    <x v="42"/>
    <x v="23"/>
    <x v="280"/>
    <x v="24"/>
    <x v="24"/>
    <x v="1"/>
  </r>
  <r>
    <x v="3"/>
    <x v="1"/>
    <x v="462"/>
    <x v="1"/>
    <x v="20"/>
    <x v="8"/>
    <x v="3"/>
    <x v="32"/>
    <x v="68"/>
    <x v="746"/>
    <x v="30"/>
    <x v="30"/>
    <x v="1"/>
  </r>
  <r>
    <x v="3"/>
    <x v="1"/>
    <x v="491"/>
    <x v="1"/>
    <x v="20"/>
    <x v="8"/>
    <x v="2"/>
    <x v="46"/>
    <x v="109"/>
    <x v="1636"/>
    <x v="29"/>
    <x v="29"/>
    <x v="1"/>
  </r>
  <r>
    <x v="3"/>
    <x v="1"/>
    <x v="491"/>
    <x v="1"/>
    <x v="20"/>
    <x v="8"/>
    <x v="1"/>
    <x v="40"/>
    <x v="43"/>
    <x v="539"/>
    <x v="29"/>
    <x v="29"/>
    <x v="1"/>
  </r>
  <r>
    <x v="3"/>
    <x v="1"/>
    <x v="491"/>
    <x v="1"/>
    <x v="20"/>
    <x v="8"/>
    <x v="5"/>
    <x v="34"/>
    <x v="45"/>
    <x v="473"/>
    <x v="26"/>
    <x v="26"/>
    <x v="1"/>
  </r>
  <r>
    <x v="3"/>
    <x v="1"/>
    <x v="491"/>
    <x v="1"/>
    <x v="20"/>
    <x v="8"/>
    <x v="4"/>
    <x v="37"/>
    <x v="36"/>
    <x v="411"/>
    <x v="25"/>
    <x v="25"/>
    <x v="1"/>
  </r>
  <r>
    <x v="3"/>
    <x v="1"/>
    <x v="491"/>
    <x v="1"/>
    <x v="20"/>
    <x v="8"/>
    <x v="0"/>
    <x v="43"/>
    <x v="43"/>
    <x v="589"/>
    <x v="24"/>
    <x v="24"/>
    <x v="1"/>
  </r>
  <r>
    <x v="3"/>
    <x v="1"/>
    <x v="491"/>
    <x v="1"/>
    <x v="20"/>
    <x v="8"/>
    <x v="3"/>
    <x v="48"/>
    <x v="73"/>
    <x v="1164"/>
    <x v="27"/>
    <x v="27"/>
    <x v="1"/>
  </r>
  <r>
    <x v="3"/>
    <x v="1"/>
    <x v="524"/>
    <x v="1"/>
    <x v="20"/>
    <x v="8"/>
    <x v="2"/>
    <x v="44"/>
    <x v="134"/>
    <x v="1862"/>
    <x v="28"/>
    <x v="28"/>
    <x v="1"/>
  </r>
  <r>
    <x v="3"/>
    <x v="1"/>
    <x v="524"/>
    <x v="1"/>
    <x v="20"/>
    <x v="8"/>
    <x v="1"/>
    <x v="40"/>
    <x v="77"/>
    <x v="1063"/>
    <x v="28"/>
    <x v="28"/>
    <x v="1"/>
  </r>
  <r>
    <x v="3"/>
    <x v="1"/>
    <x v="524"/>
    <x v="1"/>
    <x v="20"/>
    <x v="8"/>
    <x v="5"/>
    <x v="35"/>
    <x v="56"/>
    <x v="632"/>
    <x v="22"/>
    <x v="22"/>
    <x v="1"/>
  </r>
  <r>
    <x v="3"/>
    <x v="1"/>
    <x v="524"/>
    <x v="1"/>
    <x v="20"/>
    <x v="8"/>
    <x v="4"/>
    <x v="34"/>
    <x v="54"/>
    <x v="578"/>
    <x v="21"/>
    <x v="21"/>
    <x v="1"/>
  </r>
  <r>
    <x v="3"/>
    <x v="1"/>
    <x v="524"/>
    <x v="1"/>
    <x v="20"/>
    <x v="8"/>
    <x v="0"/>
    <x v="44"/>
    <x v="48"/>
    <x v="676"/>
    <x v="24"/>
    <x v="24"/>
    <x v="1"/>
  </r>
  <r>
    <x v="3"/>
    <x v="1"/>
    <x v="524"/>
    <x v="1"/>
    <x v="20"/>
    <x v="8"/>
    <x v="3"/>
    <x v="47"/>
    <x v="83"/>
    <x v="1311"/>
    <x v="26"/>
    <x v="26"/>
    <x v="1"/>
  </r>
  <r>
    <x v="3"/>
    <x v="1"/>
    <x v="552"/>
    <x v="1"/>
    <x v="20"/>
    <x v="8"/>
    <x v="2"/>
    <x v="45"/>
    <x v="129"/>
    <x v="1842"/>
    <x v="28"/>
    <x v="28"/>
    <x v="1"/>
  </r>
  <r>
    <x v="3"/>
    <x v="1"/>
    <x v="552"/>
    <x v="1"/>
    <x v="20"/>
    <x v="8"/>
    <x v="1"/>
    <x v="42"/>
    <x v="87"/>
    <x v="1240"/>
    <x v="29"/>
    <x v="29"/>
    <x v="1"/>
  </r>
  <r>
    <x v="3"/>
    <x v="1"/>
    <x v="552"/>
    <x v="1"/>
    <x v="20"/>
    <x v="8"/>
    <x v="5"/>
    <x v="34"/>
    <x v="63"/>
    <x v="722"/>
    <x v="23"/>
    <x v="23"/>
    <x v="1"/>
  </r>
  <r>
    <x v="3"/>
    <x v="1"/>
    <x v="552"/>
    <x v="1"/>
    <x v="20"/>
    <x v="8"/>
    <x v="4"/>
    <x v="37"/>
    <x v="45"/>
    <x v="520"/>
    <x v="22"/>
    <x v="22"/>
    <x v="1"/>
  </r>
  <r>
    <x v="3"/>
    <x v="1"/>
    <x v="552"/>
    <x v="1"/>
    <x v="20"/>
    <x v="8"/>
    <x v="0"/>
    <x v="46"/>
    <x v="56"/>
    <x v="848"/>
    <x v="25"/>
    <x v="25"/>
    <x v="1"/>
  </r>
  <r>
    <x v="3"/>
    <x v="1"/>
    <x v="552"/>
    <x v="1"/>
    <x v="20"/>
    <x v="8"/>
    <x v="3"/>
    <x v="48"/>
    <x v="108"/>
    <x v="1684"/>
    <x v="28"/>
    <x v="28"/>
    <x v="1"/>
  </r>
  <r>
    <x v="3"/>
    <x v="1"/>
    <x v="584"/>
    <x v="1"/>
    <x v="20"/>
    <x v="8"/>
    <x v="2"/>
    <x v="43"/>
    <x v="139"/>
    <x v="1892"/>
    <x v="30"/>
    <x v="30"/>
    <x v="1"/>
  </r>
  <r>
    <x v="3"/>
    <x v="1"/>
    <x v="584"/>
    <x v="1"/>
    <x v="20"/>
    <x v="8"/>
    <x v="1"/>
    <x v="40"/>
    <x v="73"/>
    <x v="987"/>
    <x v="27"/>
    <x v="27"/>
    <x v="1"/>
  </r>
  <r>
    <x v="3"/>
    <x v="1"/>
    <x v="584"/>
    <x v="1"/>
    <x v="20"/>
    <x v="8"/>
    <x v="5"/>
    <x v="35"/>
    <x v="57"/>
    <x v="641"/>
    <x v="21"/>
    <x v="21"/>
    <x v="1"/>
  </r>
  <r>
    <x v="3"/>
    <x v="1"/>
    <x v="584"/>
    <x v="1"/>
    <x v="20"/>
    <x v="8"/>
    <x v="4"/>
    <x v="35"/>
    <x v="40"/>
    <x v="431"/>
    <x v="22"/>
    <x v="22"/>
    <x v="1"/>
  </r>
  <r>
    <x v="3"/>
    <x v="1"/>
    <x v="584"/>
    <x v="1"/>
    <x v="20"/>
    <x v="8"/>
    <x v="0"/>
    <x v="43"/>
    <x v="33"/>
    <x v="448"/>
    <x v="23"/>
    <x v="23"/>
    <x v="1"/>
  </r>
  <r>
    <x v="3"/>
    <x v="1"/>
    <x v="584"/>
    <x v="1"/>
    <x v="20"/>
    <x v="8"/>
    <x v="3"/>
    <x v="51"/>
    <x v="75"/>
    <x v="1271"/>
    <x v="31"/>
    <x v="31"/>
    <x v="1"/>
  </r>
  <r>
    <x v="3"/>
    <x v="1"/>
    <x v="614"/>
    <x v="1"/>
    <x v="20"/>
    <x v="8"/>
    <x v="2"/>
    <x v="46"/>
    <x v="115"/>
    <x v="1706"/>
    <x v="28"/>
    <x v="28"/>
    <x v="1"/>
  </r>
  <r>
    <x v="3"/>
    <x v="1"/>
    <x v="614"/>
    <x v="1"/>
    <x v="20"/>
    <x v="8"/>
    <x v="1"/>
    <x v="42"/>
    <x v="52"/>
    <x v="702"/>
    <x v="26"/>
    <x v="26"/>
    <x v="1"/>
  </r>
  <r>
    <x v="3"/>
    <x v="1"/>
    <x v="614"/>
    <x v="1"/>
    <x v="20"/>
    <x v="8"/>
    <x v="5"/>
    <x v="34"/>
    <x v="28"/>
    <x v="275"/>
    <x v="23"/>
    <x v="23"/>
    <x v="1"/>
  </r>
  <r>
    <x v="3"/>
    <x v="1"/>
    <x v="614"/>
    <x v="1"/>
    <x v="20"/>
    <x v="8"/>
    <x v="4"/>
    <x v="35"/>
    <x v="26"/>
    <x v="254"/>
    <x v="26"/>
    <x v="26"/>
    <x v="1"/>
  </r>
  <r>
    <x v="3"/>
    <x v="1"/>
    <x v="614"/>
    <x v="1"/>
    <x v="20"/>
    <x v="8"/>
    <x v="0"/>
    <x v="45"/>
    <x v="24"/>
    <x v="323"/>
    <x v="22"/>
    <x v="22"/>
    <x v="1"/>
  </r>
  <r>
    <x v="3"/>
    <x v="1"/>
    <x v="614"/>
    <x v="1"/>
    <x v="20"/>
    <x v="8"/>
    <x v="3"/>
    <x v="50"/>
    <x v="52"/>
    <x v="843"/>
    <x v="31"/>
    <x v="31"/>
    <x v="1"/>
  </r>
  <r>
    <x v="3"/>
    <x v="1"/>
    <x v="646"/>
    <x v="1"/>
    <x v="20"/>
    <x v="8"/>
    <x v="2"/>
    <x v="50"/>
    <x v="101"/>
    <x v="1638"/>
    <x v="31"/>
    <x v="31"/>
    <x v="1"/>
  </r>
  <r>
    <x v="3"/>
    <x v="1"/>
    <x v="646"/>
    <x v="1"/>
    <x v="20"/>
    <x v="8"/>
    <x v="1"/>
    <x v="46"/>
    <x v="45"/>
    <x v="662"/>
    <x v="31"/>
    <x v="31"/>
    <x v="1"/>
  </r>
  <r>
    <x v="3"/>
    <x v="1"/>
    <x v="646"/>
    <x v="1"/>
    <x v="20"/>
    <x v="8"/>
    <x v="5"/>
    <x v="46"/>
    <x v="24"/>
    <x v="332"/>
    <x v="21"/>
    <x v="21"/>
    <x v="1"/>
  </r>
  <r>
    <x v="3"/>
    <x v="1"/>
    <x v="646"/>
    <x v="1"/>
    <x v="20"/>
    <x v="8"/>
    <x v="4"/>
    <x v="47"/>
    <x v="17"/>
    <x v="236"/>
    <x v="24"/>
    <x v="24"/>
    <x v="1"/>
  </r>
  <r>
    <x v="3"/>
    <x v="1"/>
    <x v="646"/>
    <x v="1"/>
    <x v="20"/>
    <x v="8"/>
    <x v="0"/>
    <x v="55"/>
    <x v="17"/>
    <x v="296"/>
    <x v="21"/>
    <x v="21"/>
    <x v="1"/>
  </r>
  <r>
    <x v="0"/>
    <x v="1"/>
    <x v="646"/>
    <x v="1"/>
    <x v="20"/>
    <x v="8"/>
    <x v="3"/>
    <x v="59"/>
    <x v="54"/>
    <x v="1025"/>
    <x v="30"/>
    <x v="30"/>
    <x v="1"/>
  </r>
  <r>
    <x v="0"/>
    <x v="1"/>
    <x v="676"/>
    <x v="1"/>
    <x v="20"/>
    <x v="8"/>
    <x v="2"/>
    <x v="55"/>
    <x v="94"/>
    <x v="1676"/>
    <x v="29"/>
    <x v="29"/>
    <x v="1"/>
  </r>
  <r>
    <x v="0"/>
    <x v="1"/>
    <x v="676"/>
    <x v="1"/>
    <x v="20"/>
    <x v="8"/>
    <x v="1"/>
    <x v="45"/>
    <x v="74"/>
    <x v="1130"/>
    <x v="30"/>
    <x v="30"/>
    <x v="1"/>
  </r>
  <r>
    <x v="0"/>
    <x v="1"/>
    <x v="676"/>
    <x v="1"/>
    <x v="20"/>
    <x v="8"/>
    <x v="5"/>
    <x v="43"/>
    <x v="68"/>
    <x v="991"/>
    <x v="22"/>
    <x v="22"/>
    <x v="1"/>
  </r>
  <r>
    <x v="0"/>
    <x v="1"/>
    <x v="676"/>
    <x v="1"/>
    <x v="20"/>
    <x v="8"/>
    <x v="4"/>
    <x v="44"/>
    <x v="66"/>
    <x v="975"/>
    <x v="25"/>
    <x v="25"/>
    <x v="1"/>
  </r>
  <r>
    <x v="0"/>
    <x v="1"/>
    <x v="676"/>
    <x v="1"/>
    <x v="20"/>
    <x v="8"/>
    <x v="0"/>
    <x v="56"/>
    <x v="58"/>
    <x v="1061"/>
    <x v="24"/>
    <x v="24"/>
    <x v="1"/>
  </r>
  <r>
    <x v="0"/>
    <x v="1"/>
    <x v="676"/>
    <x v="1"/>
    <x v="20"/>
    <x v="8"/>
    <x v="3"/>
    <x v="57"/>
    <x v="80"/>
    <x v="1509"/>
    <x v="31"/>
    <x v="31"/>
    <x v="1"/>
  </r>
  <r>
    <x v="0"/>
    <x v="1"/>
    <x v="705"/>
    <x v="1"/>
    <x v="20"/>
    <x v="8"/>
    <x v="2"/>
    <x v="57"/>
    <x v="129"/>
    <x v="2154"/>
    <x v="27"/>
    <x v="27"/>
    <x v="1"/>
  </r>
  <r>
    <x v="0"/>
    <x v="1"/>
    <x v="705"/>
    <x v="1"/>
    <x v="20"/>
    <x v="8"/>
    <x v="1"/>
    <x v="46"/>
    <x v="87"/>
    <x v="1341"/>
    <x v="26"/>
    <x v="26"/>
    <x v="1"/>
  </r>
  <r>
    <x v="0"/>
    <x v="1"/>
    <x v="705"/>
    <x v="1"/>
    <x v="20"/>
    <x v="8"/>
    <x v="5"/>
    <x v="44"/>
    <x v="80"/>
    <x v="1207"/>
    <x v="25"/>
    <x v="25"/>
    <x v="1"/>
  </r>
  <r>
    <x v="0"/>
    <x v="1"/>
    <x v="705"/>
    <x v="1"/>
    <x v="20"/>
    <x v="8"/>
    <x v="4"/>
    <x v="45"/>
    <x v="62"/>
    <x v="927"/>
    <x v="24"/>
    <x v="24"/>
    <x v="1"/>
  </r>
  <r>
    <x v="0"/>
    <x v="1"/>
    <x v="705"/>
    <x v="1"/>
    <x v="20"/>
    <x v="8"/>
    <x v="0"/>
    <x v="55"/>
    <x v="69"/>
    <x v="1258"/>
    <x v="25"/>
    <x v="25"/>
    <x v="1"/>
  </r>
  <r>
    <x v="0"/>
    <x v="1"/>
    <x v="705"/>
    <x v="1"/>
    <x v="20"/>
    <x v="8"/>
    <x v="3"/>
    <x v="58"/>
    <x v="93"/>
    <x v="1730"/>
    <x v="30"/>
    <x v="30"/>
    <x v="1"/>
  </r>
  <r>
    <x v="0"/>
    <x v="1"/>
    <x v="372"/>
    <x v="1"/>
    <x v="20"/>
    <x v="8"/>
    <x v="2"/>
    <x v="37"/>
    <x v="131"/>
    <x v="1609"/>
    <x v="41"/>
    <x v="41"/>
    <x v="1"/>
  </r>
  <r>
    <x v="0"/>
    <x v="1"/>
    <x v="372"/>
    <x v="1"/>
    <x v="20"/>
    <x v="8"/>
    <x v="1"/>
    <x v="35"/>
    <x v="77"/>
    <x v="941"/>
    <x v="46"/>
    <x v="46"/>
    <x v="1"/>
  </r>
  <r>
    <x v="0"/>
    <x v="1"/>
    <x v="372"/>
    <x v="1"/>
    <x v="20"/>
    <x v="8"/>
    <x v="5"/>
    <x v="25"/>
    <x v="75"/>
    <x v="645"/>
    <x v="31"/>
    <x v="31"/>
    <x v="1"/>
  </r>
  <r>
    <x v="0"/>
    <x v="1"/>
    <x v="372"/>
    <x v="1"/>
    <x v="20"/>
    <x v="8"/>
    <x v="4"/>
    <x v="32"/>
    <x v="33"/>
    <x v="308"/>
    <x v="35"/>
    <x v="35"/>
    <x v="1"/>
  </r>
  <r>
    <x v="0"/>
    <x v="1"/>
    <x v="372"/>
    <x v="1"/>
    <x v="20"/>
    <x v="8"/>
    <x v="0"/>
    <x v="45"/>
    <x v="56"/>
    <x v="829"/>
    <x v="33"/>
    <x v="33"/>
    <x v="1"/>
  </r>
  <r>
    <x v="0"/>
    <x v="1"/>
    <x v="372"/>
    <x v="1"/>
    <x v="20"/>
    <x v="8"/>
    <x v="3"/>
    <x v="37"/>
    <x v="80"/>
    <x v="1032"/>
    <x v="37"/>
    <x v="37"/>
    <x v="1"/>
  </r>
  <r>
    <x v="0"/>
    <x v="1"/>
    <x v="401"/>
    <x v="1"/>
    <x v="20"/>
    <x v="8"/>
    <x v="2"/>
    <x v="34"/>
    <x v="145"/>
    <x v="1641"/>
    <x v="42"/>
    <x v="42"/>
    <x v="1"/>
  </r>
  <r>
    <x v="0"/>
    <x v="1"/>
    <x v="401"/>
    <x v="1"/>
    <x v="20"/>
    <x v="8"/>
    <x v="1"/>
    <x v="37"/>
    <x v="50"/>
    <x v="584"/>
    <x v="46"/>
    <x v="46"/>
    <x v="1"/>
  </r>
  <r>
    <x v="0"/>
    <x v="1"/>
    <x v="401"/>
    <x v="1"/>
    <x v="20"/>
    <x v="8"/>
    <x v="5"/>
    <x v="26"/>
    <x v="61"/>
    <x v="513"/>
    <x v="36"/>
    <x v="36"/>
    <x v="1"/>
  </r>
  <r>
    <x v="0"/>
    <x v="1"/>
    <x v="401"/>
    <x v="1"/>
    <x v="44"/>
    <x v="9"/>
    <x v="4"/>
    <x v="29"/>
    <x v="34"/>
    <x v="281"/>
    <x v="32"/>
    <x v="32"/>
    <x v="1"/>
  </r>
  <r>
    <x v="0"/>
    <x v="1"/>
    <x v="401"/>
    <x v="1"/>
    <x v="44"/>
    <x v="9"/>
    <x v="0"/>
    <x v="47"/>
    <x v="52"/>
    <x v="791"/>
    <x v="36"/>
    <x v="36"/>
    <x v="1"/>
  </r>
  <r>
    <x v="0"/>
    <x v="1"/>
    <x v="401"/>
    <x v="1"/>
    <x v="44"/>
    <x v="9"/>
    <x v="3"/>
    <x v="36"/>
    <x v="70"/>
    <x v="865"/>
    <x v="40"/>
    <x v="40"/>
    <x v="1"/>
  </r>
  <r>
    <x v="0"/>
    <x v="1"/>
    <x v="427"/>
    <x v="1"/>
    <x v="44"/>
    <x v="9"/>
    <x v="2"/>
    <x v="37"/>
    <x v="122"/>
    <x v="1501"/>
    <x v="46"/>
    <x v="46"/>
    <x v="1"/>
  </r>
  <r>
    <x v="0"/>
    <x v="1"/>
    <x v="427"/>
    <x v="1"/>
    <x v="44"/>
    <x v="9"/>
    <x v="1"/>
    <x v="35"/>
    <x v="58"/>
    <x v="655"/>
    <x v="43"/>
    <x v="43"/>
    <x v="1"/>
  </r>
  <r>
    <x v="0"/>
    <x v="1"/>
    <x v="427"/>
    <x v="1"/>
    <x v="44"/>
    <x v="9"/>
    <x v="5"/>
    <x v="27"/>
    <x v="63"/>
    <x v="561"/>
    <x v="35"/>
    <x v="35"/>
    <x v="1"/>
  </r>
  <r>
    <x v="0"/>
    <x v="1"/>
    <x v="427"/>
    <x v="1"/>
    <x v="44"/>
    <x v="9"/>
    <x v="4"/>
    <x v="29"/>
    <x v="27"/>
    <x v="203"/>
    <x v="35"/>
    <x v="35"/>
    <x v="1"/>
  </r>
  <r>
    <x v="0"/>
    <x v="1"/>
    <x v="427"/>
    <x v="1"/>
    <x v="44"/>
    <x v="9"/>
    <x v="0"/>
    <x v="44"/>
    <x v="36"/>
    <x v="498"/>
    <x v="35"/>
    <x v="35"/>
    <x v="1"/>
  </r>
  <r>
    <x v="0"/>
    <x v="1"/>
    <x v="427"/>
    <x v="1"/>
    <x v="44"/>
    <x v="9"/>
    <x v="3"/>
    <x v="34"/>
    <x v="66"/>
    <x v="760"/>
    <x v="41"/>
    <x v="41"/>
    <x v="1"/>
  </r>
  <r>
    <x v="0"/>
    <x v="1"/>
    <x v="459"/>
    <x v="1"/>
    <x v="44"/>
    <x v="9"/>
    <x v="2"/>
    <x v="34"/>
    <x v="117"/>
    <x v="1352"/>
    <x v="42"/>
    <x v="42"/>
    <x v="1"/>
  </r>
  <r>
    <x v="0"/>
    <x v="1"/>
    <x v="459"/>
    <x v="1"/>
    <x v="44"/>
    <x v="9"/>
    <x v="1"/>
    <x v="36"/>
    <x v="45"/>
    <x v="503"/>
    <x v="44"/>
    <x v="44"/>
    <x v="1"/>
  </r>
  <r>
    <x v="0"/>
    <x v="1"/>
    <x v="459"/>
    <x v="1"/>
    <x v="44"/>
    <x v="9"/>
    <x v="5"/>
    <x v="25"/>
    <x v="54"/>
    <x v="416"/>
    <x v="36"/>
    <x v="36"/>
    <x v="1"/>
  </r>
  <r>
    <x v="0"/>
    <x v="1"/>
    <x v="459"/>
    <x v="1"/>
    <x v="44"/>
    <x v="9"/>
    <x v="4"/>
    <x v="29"/>
    <x v="33"/>
    <x v="270"/>
    <x v="36"/>
    <x v="36"/>
    <x v="1"/>
  </r>
  <r>
    <x v="0"/>
    <x v="1"/>
    <x v="459"/>
    <x v="1"/>
    <x v="44"/>
    <x v="9"/>
    <x v="0"/>
    <x v="44"/>
    <x v="27"/>
    <x v="372"/>
    <x v="32"/>
    <x v="32"/>
    <x v="1"/>
  </r>
  <r>
    <x v="0"/>
    <x v="1"/>
    <x v="459"/>
    <x v="1"/>
    <x v="44"/>
    <x v="9"/>
    <x v="3"/>
    <x v="37"/>
    <x v="74"/>
    <x v="944"/>
    <x v="37"/>
    <x v="37"/>
    <x v="1"/>
  </r>
  <r>
    <x v="0"/>
    <x v="1"/>
    <x v="488"/>
    <x v="1"/>
    <x v="44"/>
    <x v="9"/>
    <x v="2"/>
    <x v="48"/>
    <x v="133"/>
    <x v="1970"/>
    <x v="43"/>
    <x v="43"/>
    <x v="1"/>
  </r>
  <r>
    <x v="0"/>
    <x v="1"/>
    <x v="488"/>
    <x v="1"/>
    <x v="44"/>
    <x v="9"/>
    <x v="1"/>
    <x v="47"/>
    <x v="66"/>
    <x v="1034"/>
    <x v="42"/>
    <x v="42"/>
    <x v="1"/>
  </r>
  <r>
    <x v="0"/>
    <x v="1"/>
    <x v="488"/>
    <x v="1"/>
    <x v="44"/>
    <x v="9"/>
    <x v="5"/>
    <x v="42"/>
    <x v="62"/>
    <x v="871"/>
    <x v="32"/>
    <x v="32"/>
    <x v="1"/>
  </r>
  <r>
    <x v="0"/>
    <x v="1"/>
    <x v="488"/>
    <x v="1"/>
    <x v="44"/>
    <x v="9"/>
    <x v="4"/>
    <x v="39"/>
    <x v="54"/>
    <x v="668"/>
    <x v="33"/>
    <x v="33"/>
    <x v="1"/>
  </r>
  <r>
    <x v="0"/>
    <x v="1"/>
    <x v="488"/>
    <x v="1"/>
    <x v="44"/>
    <x v="9"/>
    <x v="0"/>
    <x v="48"/>
    <x v="59"/>
    <x v="944"/>
    <x v="33"/>
    <x v="33"/>
    <x v="1"/>
  </r>
  <r>
    <x v="0"/>
    <x v="1"/>
    <x v="488"/>
    <x v="1"/>
    <x v="44"/>
    <x v="9"/>
    <x v="3"/>
    <x v="53"/>
    <x v="101"/>
    <x v="1716"/>
    <x v="38"/>
    <x v="38"/>
    <x v="1"/>
  </r>
  <r>
    <x v="0"/>
    <x v="1"/>
    <x v="521"/>
    <x v="1"/>
    <x v="44"/>
    <x v="9"/>
    <x v="2"/>
    <x v="51"/>
    <x v="141"/>
    <x v="2127"/>
    <x v="44"/>
    <x v="44"/>
    <x v="1"/>
  </r>
  <r>
    <x v="0"/>
    <x v="1"/>
    <x v="521"/>
    <x v="1"/>
    <x v="44"/>
    <x v="9"/>
    <x v="1"/>
    <x v="46"/>
    <x v="97"/>
    <x v="1474"/>
    <x v="45"/>
    <x v="45"/>
    <x v="1"/>
  </r>
  <r>
    <x v="0"/>
    <x v="1"/>
    <x v="521"/>
    <x v="1"/>
    <x v="44"/>
    <x v="9"/>
    <x v="5"/>
    <x v="38"/>
    <x v="67"/>
    <x v="860"/>
    <x v="33"/>
    <x v="33"/>
    <x v="1"/>
  </r>
  <r>
    <x v="0"/>
    <x v="1"/>
    <x v="521"/>
    <x v="1"/>
    <x v="44"/>
    <x v="9"/>
    <x v="4"/>
    <x v="40"/>
    <x v="74"/>
    <x v="1012"/>
    <x v="31"/>
    <x v="31"/>
    <x v="1"/>
  </r>
  <r>
    <x v="0"/>
    <x v="1"/>
    <x v="521"/>
    <x v="1"/>
    <x v="44"/>
    <x v="9"/>
    <x v="0"/>
    <x v="51"/>
    <x v="67"/>
    <x v="1134"/>
    <x v="36"/>
    <x v="36"/>
    <x v="1"/>
  </r>
  <r>
    <x v="0"/>
    <x v="1"/>
    <x v="521"/>
    <x v="1"/>
    <x v="44"/>
    <x v="9"/>
    <x v="3"/>
    <x v="55"/>
    <x v="98"/>
    <x v="1726"/>
    <x v="38"/>
    <x v="38"/>
    <x v="1"/>
  </r>
  <r>
    <x v="0"/>
    <x v="1"/>
    <x v="549"/>
    <x v="1"/>
    <x v="44"/>
    <x v="9"/>
    <x v="2"/>
    <x v="47"/>
    <x v="159"/>
    <x v="2181"/>
    <x v="43"/>
    <x v="43"/>
    <x v="1"/>
  </r>
  <r>
    <x v="0"/>
    <x v="1"/>
    <x v="549"/>
    <x v="1"/>
    <x v="44"/>
    <x v="9"/>
    <x v="1"/>
    <x v="44"/>
    <x v="96"/>
    <x v="1408"/>
    <x v="42"/>
    <x v="42"/>
    <x v="1"/>
  </r>
  <r>
    <x v="0"/>
    <x v="1"/>
    <x v="549"/>
    <x v="1"/>
    <x v="44"/>
    <x v="9"/>
    <x v="5"/>
    <x v="39"/>
    <x v="80"/>
    <x v="1088"/>
    <x v="34"/>
    <x v="34"/>
    <x v="1"/>
  </r>
  <r>
    <x v="0"/>
    <x v="1"/>
    <x v="549"/>
    <x v="1"/>
    <x v="44"/>
    <x v="9"/>
    <x v="4"/>
    <x v="39"/>
    <x v="74"/>
    <x v="988"/>
    <x v="35"/>
    <x v="35"/>
    <x v="1"/>
  </r>
  <r>
    <x v="0"/>
    <x v="1"/>
    <x v="549"/>
    <x v="1"/>
    <x v="44"/>
    <x v="9"/>
    <x v="0"/>
    <x v="47"/>
    <x v="77"/>
    <x v="1226"/>
    <x v="33"/>
    <x v="33"/>
    <x v="1"/>
  </r>
  <r>
    <x v="0"/>
    <x v="1"/>
    <x v="549"/>
    <x v="1"/>
    <x v="44"/>
    <x v="9"/>
    <x v="3"/>
    <x v="54"/>
    <x v="105"/>
    <x v="1803"/>
    <x v="38"/>
    <x v="38"/>
    <x v="1"/>
  </r>
  <r>
    <x v="0"/>
    <x v="1"/>
    <x v="581"/>
    <x v="1"/>
    <x v="44"/>
    <x v="9"/>
    <x v="2"/>
    <x v="51"/>
    <x v="153"/>
    <x v="2239"/>
    <x v="46"/>
    <x v="46"/>
    <x v="1"/>
  </r>
  <r>
    <x v="0"/>
    <x v="1"/>
    <x v="581"/>
    <x v="1"/>
    <x v="44"/>
    <x v="9"/>
    <x v="1"/>
    <x v="46"/>
    <x v="88"/>
    <x v="1353"/>
    <x v="45"/>
    <x v="45"/>
    <x v="1"/>
  </r>
  <r>
    <x v="0"/>
    <x v="1"/>
    <x v="581"/>
    <x v="1"/>
    <x v="44"/>
    <x v="9"/>
    <x v="5"/>
    <x v="41"/>
    <x v="87"/>
    <x v="1219"/>
    <x v="32"/>
    <x v="32"/>
    <x v="1"/>
  </r>
  <r>
    <x v="0"/>
    <x v="1"/>
    <x v="581"/>
    <x v="1"/>
    <x v="44"/>
    <x v="9"/>
    <x v="4"/>
    <x v="42"/>
    <x v="56"/>
    <x v="774"/>
    <x v="33"/>
    <x v="33"/>
    <x v="1"/>
  </r>
  <r>
    <x v="0"/>
    <x v="1"/>
    <x v="581"/>
    <x v="1"/>
    <x v="44"/>
    <x v="9"/>
    <x v="0"/>
    <x v="50"/>
    <x v="54"/>
    <x v="876"/>
    <x v="35"/>
    <x v="35"/>
    <x v="1"/>
  </r>
  <r>
    <x v="0"/>
    <x v="1"/>
    <x v="581"/>
    <x v="1"/>
    <x v="44"/>
    <x v="9"/>
    <x v="3"/>
    <x v="54"/>
    <x v="86"/>
    <x v="1526"/>
    <x v="37"/>
    <x v="37"/>
    <x v="1"/>
  </r>
  <r>
    <x v="0"/>
    <x v="1"/>
    <x v="611"/>
    <x v="1"/>
    <x v="44"/>
    <x v="9"/>
    <x v="2"/>
    <x v="49"/>
    <x v="117"/>
    <x v="1813"/>
    <x v="43"/>
    <x v="43"/>
    <x v="1"/>
  </r>
  <r>
    <x v="0"/>
    <x v="1"/>
    <x v="611"/>
    <x v="1"/>
    <x v="44"/>
    <x v="9"/>
    <x v="1"/>
    <x v="43"/>
    <x v="70"/>
    <x v="1017"/>
    <x v="46"/>
    <x v="46"/>
    <x v="1"/>
  </r>
  <r>
    <x v="0"/>
    <x v="1"/>
    <x v="611"/>
    <x v="1"/>
    <x v="44"/>
    <x v="9"/>
    <x v="5"/>
    <x v="39"/>
    <x v="45"/>
    <x v="548"/>
    <x v="36"/>
    <x v="36"/>
    <x v="1"/>
  </r>
  <r>
    <x v="0"/>
    <x v="1"/>
    <x v="611"/>
    <x v="1"/>
    <x v="44"/>
    <x v="9"/>
    <x v="4"/>
    <x v="38"/>
    <x v="41"/>
    <x v="484"/>
    <x v="35"/>
    <x v="35"/>
    <x v="1"/>
  </r>
  <r>
    <x v="0"/>
    <x v="1"/>
    <x v="611"/>
    <x v="1"/>
    <x v="44"/>
    <x v="9"/>
    <x v="0"/>
    <x v="51"/>
    <x v="39"/>
    <x v="642"/>
    <x v="33"/>
    <x v="33"/>
    <x v="1"/>
  </r>
  <r>
    <x v="0"/>
    <x v="1"/>
    <x v="611"/>
    <x v="1"/>
    <x v="44"/>
    <x v="9"/>
    <x v="3"/>
    <x v="52"/>
    <x v="64"/>
    <x v="1110"/>
    <x v="41"/>
    <x v="41"/>
    <x v="1"/>
  </r>
  <r>
    <x v="0"/>
    <x v="1"/>
    <x v="643"/>
    <x v="1"/>
    <x v="44"/>
    <x v="9"/>
    <x v="2"/>
    <x v="55"/>
    <x v="113"/>
    <x v="1928"/>
    <x v="46"/>
    <x v="46"/>
    <x v="1"/>
  </r>
  <r>
    <x v="0"/>
    <x v="1"/>
    <x v="643"/>
    <x v="1"/>
    <x v="44"/>
    <x v="9"/>
    <x v="1"/>
    <x v="47"/>
    <x v="62"/>
    <x v="969"/>
    <x v="45"/>
    <x v="45"/>
    <x v="1"/>
  </r>
  <r>
    <x v="0"/>
    <x v="1"/>
    <x v="643"/>
    <x v="1"/>
    <x v="44"/>
    <x v="9"/>
    <x v="5"/>
    <x v="52"/>
    <x v="43"/>
    <x v="731"/>
    <x v="36"/>
    <x v="36"/>
    <x v="1"/>
  </r>
  <r>
    <x v="0"/>
    <x v="1"/>
    <x v="643"/>
    <x v="1"/>
    <x v="44"/>
    <x v="9"/>
    <x v="4"/>
    <x v="48"/>
    <x v="35"/>
    <x v="536"/>
    <x v="34"/>
    <x v="34"/>
    <x v="1"/>
  </r>
  <r>
    <x v="0"/>
    <x v="1"/>
    <x v="643"/>
    <x v="1"/>
    <x v="44"/>
    <x v="9"/>
    <x v="0"/>
    <x v="59"/>
    <x v="40"/>
    <x v="783"/>
    <x v="34"/>
    <x v="34"/>
    <x v="1"/>
  </r>
  <r>
    <x v="5"/>
    <x v="1"/>
    <x v="643"/>
    <x v="1"/>
    <x v="44"/>
    <x v="9"/>
    <x v="3"/>
    <x v="64"/>
    <x v="67"/>
    <x v="1384"/>
    <x v="39"/>
    <x v="39"/>
    <x v="1"/>
  </r>
  <r>
    <x v="5"/>
    <x v="1"/>
    <x v="673"/>
    <x v="1"/>
    <x v="44"/>
    <x v="9"/>
    <x v="2"/>
    <x v="57"/>
    <x v="106"/>
    <x v="1897"/>
    <x v="46"/>
    <x v="46"/>
    <x v="1"/>
  </r>
  <r>
    <x v="5"/>
    <x v="1"/>
    <x v="673"/>
    <x v="1"/>
    <x v="44"/>
    <x v="9"/>
    <x v="1"/>
    <x v="48"/>
    <x v="67"/>
    <x v="1073"/>
    <x v="44"/>
    <x v="44"/>
    <x v="1"/>
  </r>
  <r>
    <x v="5"/>
    <x v="1"/>
    <x v="673"/>
    <x v="1"/>
    <x v="44"/>
    <x v="9"/>
    <x v="5"/>
    <x v="50"/>
    <x v="79"/>
    <x v="1315"/>
    <x v="34"/>
    <x v="34"/>
    <x v="1"/>
  </r>
  <r>
    <x v="0"/>
    <x v="1"/>
    <x v="673"/>
    <x v="1"/>
    <x v="44"/>
    <x v="9"/>
    <x v="4"/>
    <x v="48"/>
    <x v="62"/>
    <x v="982"/>
    <x v="36"/>
    <x v="36"/>
    <x v="1"/>
  </r>
  <r>
    <x v="0"/>
    <x v="1"/>
    <x v="673"/>
    <x v="1"/>
    <x v="44"/>
    <x v="9"/>
    <x v="0"/>
    <x v="60"/>
    <x v="66"/>
    <x v="1289"/>
    <x v="36"/>
    <x v="36"/>
    <x v="1"/>
  </r>
  <r>
    <x v="0"/>
    <x v="1"/>
    <x v="673"/>
    <x v="1"/>
    <x v="44"/>
    <x v="9"/>
    <x v="3"/>
    <x v="63"/>
    <x v="77"/>
    <x v="1586"/>
    <x v="39"/>
    <x v="39"/>
    <x v="1"/>
  </r>
  <r>
    <x v="0"/>
    <x v="1"/>
    <x v="702"/>
    <x v="1"/>
    <x v="44"/>
    <x v="9"/>
    <x v="2"/>
    <x v="57"/>
    <x v="146"/>
    <x v="2316"/>
    <x v="46"/>
    <x v="46"/>
    <x v="1"/>
  </r>
  <r>
    <x v="0"/>
    <x v="1"/>
    <x v="702"/>
    <x v="1"/>
    <x v="44"/>
    <x v="9"/>
    <x v="1"/>
    <x v="48"/>
    <x v="82"/>
    <x v="1321"/>
    <x v="41"/>
    <x v="41"/>
    <x v="1"/>
  </r>
  <r>
    <x v="0"/>
    <x v="1"/>
    <x v="702"/>
    <x v="1"/>
    <x v="44"/>
    <x v="9"/>
    <x v="5"/>
    <x v="48"/>
    <x v="94"/>
    <x v="1492"/>
    <x v="33"/>
    <x v="33"/>
    <x v="1"/>
  </r>
  <r>
    <x v="0"/>
    <x v="1"/>
    <x v="702"/>
    <x v="1"/>
    <x v="44"/>
    <x v="9"/>
    <x v="4"/>
    <x v="49"/>
    <x v="67"/>
    <x v="1096"/>
    <x v="31"/>
    <x v="31"/>
    <x v="1"/>
  </r>
  <r>
    <x v="0"/>
    <x v="1"/>
    <x v="702"/>
    <x v="1"/>
    <x v="44"/>
    <x v="9"/>
    <x v="0"/>
    <x v="60"/>
    <x v="67"/>
    <x v="1305"/>
    <x v="34"/>
    <x v="34"/>
    <x v="1"/>
  </r>
  <r>
    <x v="0"/>
    <x v="1"/>
    <x v="702"/>
    <x v="1"/>
    <x v="44"/>
    <x v="9"/>
    <x v="3"/>
    <x v="61"/>
    <x v="88"/>
    <x v="1718"/>
    <x v="38"/>
    <x v="38"/>
    <x v="1"/>
  </r>
  <r>
    <x v="0"/>
    <x v="1"/>
    <x v="379"/>
    <x v="1"/>
    <x v="44"/>
    <x v="9"/>
    <x v="2"/>
    <x v="42"/>
    <x v="111"/>
    <x v="1546"/>
    <x v="41"/>
    <x v="41"/>
    <x v="1"/>
  </r>
  <r>
    <x v="0"/>
    <x v="1"/>
    <x v="379"/>
    <x v="1"/>
    <x v="44"/>
    <x v="9"/>
    <x v="1"/>
    <x v="38"/>
    <x v="75"/>
    <x v="977"/>
    <x v="39"/>
    <x v="39"/>
    <x v="1"/>
  </r>
  <r>
    <x v="0"/>
    <x v="1"/>
    <x v="379"/>
    <x v="1"/>
    <x v="44"/>
    <x v="9"/>
    <x v="5"/>
    <x v="31"/>
    <x v="67"/>
    <x v="700"/>
    <x v="31"/>
    <x v="31"/>
    <x v="1"/>
  </r>
  <r>
    <x v="0"/>
    <x v="1"/>
    <x v="379"/>
    <x v="1"/>
    <x v="44"/>
    <x v="9"/>
    <x v="4"/>
    <x v="36"/>
    <x v="35"/>
    <x v="384"/>
    <x v="26"/>
    <x v="26"/>
    <x v="1"/>
  </r>
  <r>
    <x v="0"/>
    <x v="1"/>
    <x v="379"/>
    <x v="1"/>
    <x v="44"/>
    <x v="9"/>
    <x v="0"/>
    <x v="52"/>
    <x v="45"/>
    <x v="766"/>
    <x v="30"/>
    <x v="30"/>
    <x v="1"/>
  </r>
  <r>
    <x v="0"/>
    <x v="1"/>
    <x v="379"/>
    <x v="1"/>
    <x v="44"/>
    <x v="9"/>
    <x v="3"/>
    <x v="42"/>
    <x v="73"/>
    <x v="1032"/>
    <x v="31"/>
    <x v="31"/>
    <x v="1"/>
  </r>
  <r>
    <x v="0"/>
    <x v="1"/>
    <x v="408"/>
    <x v="1"/>
    <x v="44"/>
    <x v="9"/>
    <x v="2"/>
    <x v="42"/>
    <x v="157"/>
    <x v="2034"/>
    <x v="39"/>
    <x v="39"/>
    <x v="1"/>
  </r>
  <r>
    <x v="0"/>
    <x v="1"/>
    <x v="408"/>
    <x v="1"/>
    <x v="44"/>
    <x v="9"/>
    <x v="1"/>
    <x v="38"/>
    <x v="62"/>
    <x v="784"/>
    <x v="37"/>
    <x v="37"/>
    <x v="1"/>
  </r>
  <r>
    <x v="0"/>
    <x v="1"/>
    <x v="408"/>
    <x v="1"/>
    <x v="44"/>
    <x v="9"/>
    <x v="5"/>
    <x v="32"/>
    <x v="74"/>
    <x v="823"/>
    <x v="30"/>
    <x v="30"/>
    <x v="1"/>
  </r>
  <r>
    <x v="0"/>
    <x v="1"/>
    <x v="408"/>
    <x v="1"/>
    <x v="28"/>
    <x v="30"/>
    <x v="4"/>
    <x v="35"/>
    <x v="47"/>
    <x v="510"/>
    <x v="29"/>
    <x v="29"/>
    <x v="1"/>
  </r>
  <r>
    <x v="0"/>
    <x v="1"/>
    <x v="408"/>
    <x v="1"/>
    <x v="28"/>
    <x v="30"/>
    <x v="0"/>
    <x v="49"/>
    <x v="68"/>
    <x v="1122"/>
    <x v="29"/>
    <x v="29"/>
    <x v="1"/>
  </r>
  <r>
    <x v="0"/>
    <x v="1"/>
    <x v="408"/>
    <x v="1"/>
    <x v="28"/>
    <x v="30"/>
    <x v="3"/>
    <x v="39"/>
    <x v="80"/>
    <x v="1088"/>
    <x v="34"/>
    <x v="34"/>
    <x v="1"/>
  </r>
  <r>
    <x v="0"/>
    <x v="1"/>
    <x v="434"/>
    <x v="1"/>
    <x v="28"/>
    <x v="30"/>
    <x v="2"/>
    <x v="42"/>
    <x v="143"/>
    <x v="1901"/>
    <x v="36"/>
    <x v="36"/>
    <x v="1"/>
  </r>
  <r>
    <x v="0"/>
    <x v="1"/>
    <x v="434"/>
    <x v="1"/>
    <x v="28"/>
    <x v="30"/>
    <x v="1"/>
    <x v="42"/>
    <x v="57"/>
    <x v="786"/>
    <x v="37"/>
    <x v="37"/>
    <x v="1"/>
  </r>
  <r>
    <x v="0"/>
    <x v="1"/>
    <x v="434"/>
    <x v="1"/>
    <x v="28"/>
    <x v="30"/>
    <x v="5"/>
    <x v="31"/>
    <x v="62"/>
    <x v="631"/>
    <x v="27"/>
    <x v="27"/>
    <x v="1"/>
  </r>
  <r>
    <x v="0"/>
    <x v="1"/>
    <x v="434"/>
    <x v="1"/>
    <x v="28"/>
    <x v="30"/>
    <x v="4"/>
    <x v="37"/>
    <x v="27"/>
    <x v="295"/>
    <x v="28"/>
    <x v="28"/>
    <x v="1"/>
  </r>
  <r>
    <x v="0"/>
    <x v="1"/>
    <x v="434"/>
    <x v="1"/>
    <x v="28"/>
    <x v="30"/>
    <x v="0"/>
    <x v="51"/>
    <x v="49"/>
    <x v="814"/>
    <x v="31"/>
    <x v="31"/>
    <x v="1"/>
  </r>
  <r>
    <x v="0"/>
    <x v="1"/>
    <x v="434"/>
    <x v="1"/>
    <x v="28"/>
    <x v="30"/>
    <x v="3"/>
    <x v="38"/>
    <x v="62"/>
    <x v="784"/>
    <x v="33"/>
    <x v="33"/>
    <x v="1"/>
  </r>
  <r>
    <x v="0"/>
    <x v="1"/>
    <x v="466"/>
    <x v="1"/>
    <x v="28"/>
    <x v="30"/>
    <x v="2"/>
    <x v="41"/>
    <x v="133"/>
    <x v="1755"/>
    <x v="39"/>
    <x v="39"/>
    <x v="1"/>
  </r>
  <r>
    <x v="0"/>
    <x v="1"/>
    <x v="466"/>
    <x v="1"/>
    <x v="28"/>
    <x v="30"/>
    <x v="1"/>
    <x v="42"/>
    <x v="56"/>
    <x v="774"/>
    <x v="41"/>
    <x v="41"/>
    <x v="1"/>
  </r>
  <r>
    <x v="0"/>
    <x v="1"/>
    <x v="466"/>
    <x v="1"/>
    <x v="28"/>
    <x v="30"/>
    <x v="5"/>
    <x v="31"/>
    <x v="60"/>
    <x v="611"/>
    <x v="30"/>
    <x v="30"/>
    <x v="1"/>
  </r>
  <r>
    <x v="0"/>
    <x v="1"/>
    <x v="466"/>
    <x v="1"/>
    <x v="28"/>
    <x v="30"/>
    <x v="4"/>
    <x v="37"/>
    <x v="38"/>
    <x v="435"/>
    <x v="27"/>
    <x v="27"/>
    <x v="1"/>
  </r>
  <r>
    <x v="0"/>
    <x v="1"/>
    <x v="466"/>
    <x v="1"/>
    <x v="28"/>
    <x v="30"/>
    <x v="0"/>
    <x v="50"/>
    <x v="42"/>
    <x v="678"/>
    <x v="31"/>
    <x v="31"/>
    <x v="1"/>
  </r>
  <r>
    <x v="0"/>
    <x v="1"/>
    <x v="466"/>
    <x v="1"/>
    <x v="28"/>
    <x v="30"/>
    <x v="3"/>
    <x v="39"/>
    <x v="80"/>
    <x v="1088"/>
    <x v="32"/>
    <x v="32"/>
    <x v="1"/>
  </r>
  <r>
    <x v="0"/>
    <x v="1"/>
    <x v="495"/>
    <x v="1"/>
    <x v="28"/>
    <x v="30"/>
    <x v="2"/>
    <x v="57"/>
    <x v="150"/>
    <x v="2362"/>
    <x v="39"/>
    <x v="39"/>
    <x v="1"/>
  </r>
  <r>
    <x v="0"/>
    <x v="1"/>
    <x v="495"/>
    <x v="1"/>
    <x v="28"/>
    <x v="30"/>
    <x v="1"/>
    <x v="47"/>
    <x v="72"/>
    <x v="1134"/>
    <x v="40"/>
    <x v="40"/>
    <x v="1"/>
  </r>
  <r>
    <x v="0"/>
    <x v="1"/>
    <x v="495"/>
    <x v="1"/>
    <x v="28"/>
    <x v="30"/>
    <x v="5"/>
    <x v="44"/>
    <x v="80"/>
    <x v="1207"/>
    <x v="28"/>
    <x v="28"/>
    <x v="1"/>
  </r>
  <r>
    <x v="0"/>
    <x v="1"/>
    <x v="495"/>
    <x v="1"/>
    <x v="28"/>
    <x v="30"/>
    <x v="4"/>
    <x v="45"/>
    <x v="66"/>
    <x v="993"/>
    <x v="26"/>
    <x v="26"/>
    <x v="1"/>
  </r>
  <r>
    <x v="0"/>
    <x v="1"/>
    <x v="495"/>
    <x v="1"/>
    <x v="28"/>
    <x v="30"/>
    <x v="0"/>
    <x v="56"/>
    <x v="64"/>
    <x v="1187"/>
    <x v="31"/>
    <x v="31"/>
    <x v="1"/>
  </r>
  <r>
    <x v="0"/>
    <x v="1"/>
    <x v="495"/>
    <x v="1"/>
    <x v="28"/>
    <x v="30"/>
    <x v="3"/>
    <x v="58"/>
    <x v="96"/>
    <x v="1775"/>
    <x v="32"/>
    <x v="32"/>
    <x v="1"/>
  </r>
  <r>
    <x v="0"/>
    <x v="1"/>
    <x v="528"/>
    <x v="1"/>
    <x v="28"/>
    <x v="30"/>
    <x v="2"/>
    <x v="52"/>
    <x v="147"/>
    <x v="2201"/>
    <x v="39"/>
    <x v="39"/>
    <x v="1"/>
  </r>
  <r>
    <x v="0"/>
    <x v="1"/>
    <x v="528"/>
    <x v="1"/>
    <x v="28"/>
    <x v="30"/>
    <x v="1"/>
    <x v="49"/>
    <x v="103"/>
    <x v="1649"/>
    <x v="37"/>
    <x v="37"/>
    <x v="1"/>
  </r>
  <r>
    <x v="0"/>
    <x v="1"/>
    <x v="528"/>
    <x v="1"/>
    <x v="28"/>
    <x v="30"/>
    <x v="5"/>
    <x v="46"/>
    <x v="73"/>
    <x v="1126"/>
    <x v="30"/>
    <x v="30"/>
    <x v="1"/>
  </r>
  <r>
    <x v="0"/>
    <x v="1"/>
    <x v="528"/>
    <x v="1"/>
    <x v="28"/>
    <x v="30"/>
    <x v="4"/>
    <x v="45"/>
    <x v="75"/>
    <x v="1142"/>
    <x v="28"/>
    <x v="28"/>
    <x v="1"/>
  </r>
  <r>
    <x v="0"/>
    <x v="1"/>
    <x v="528"/>
    <x v="1"/>
    <x v="28"/>
    <x v="30"/>
    <x v="0"/>
    <x v="53"/>
    <x v="77"/>
    <x v="1360"/>
    <x v="29"/>
    <x v="29"/>
    <x v="1"/>
  </r>
  <r>
    <x v="0"/>
    <x v="1"/>
    <x v="528"/>
    <x v="1"/>
    <x v="28"/>
    <x v="30"/>
    <x v="3"/>
    <x v="59"/>
    <x v="118"/>
    <x v="2080"/>
    <x v="33"/>
    <x v="33"/>
    <x v="1"/>
  </r>
  <r>
    <x v="0"/>
    <x v="1"/>
    <x v="556"/>
    <x v="1"/>
    <x v="28"/>
    <x v="30"/>
    <x v="2"/>
    <x v="57"/>
    <x v="172"/>
    <x v="2517"/>
    <x v="39"/>
    <x v="39"/>
    <x v="1"/>
  </r>
  <r>
    <x v="0"/>
    <x v="1"/>
    <x v="556"/>
    <x v="1"/>
    <x v="28"/>
    <x v="30"/>
    <x v="1"/>
    <x v="48"/>
    <x v="111"/>
    <x v="1717"/>
    <x v="36"/>
    <x v="36"/>
    <x v="1"/>
  </r>
  <r>
    <x v="0"/>
    <x v="1"/>
    <x v="556"/>
    <x v="1"/>
    <x v="28"/>
    <x v="30"/>
    <x v="5"/>
    <x v="47"/>
    <x v="91"/>
    <x v="1414"/>
    <x v="27"/>
    <x v="27"/>
    <x v="1"/>
  </r>
  <r>
    <x v="0"/>
    <x v="1"/>
    <x v="556"/>
    <x v="1"/>
    <x v="28"/>
    <x v="30"/>
    <x v="4"/>
    <x v="46"/>
    <x v="70"/>
    <x v="1087"/>
    <x v="30"/>
    <x v="30"/>
    <x v="1"/>
  </r>
  <r>
    <x v="0"/>
    <x v="1"/>
    <x v="556"/>
    <x v="1"/>
    <x v="28"/>
    <x v="30"/>
    <x v="0"/>
    <x v="53"/>
    <x v="84"/>
    <x v="1469"/>
    <x v="27"/>
    <x v="27"/>
    <x v="1"/>
  </r>
  <r>
    <x v="0"/>
    <x v="1"/>
    <x v="556"/>
    <x v="1"/>
    <x v="28"/>
    <x v="30"/>
    <x v="3"/>
    <x v="57"/>
    <x v="117"/>
    <x v="2023"/>
    <x v="35"/>
    <x v="35"/>
    <x v="1"/>
  </r>
  <r>
    <x v="0"/>
    <x v="1"/>
    <x v="588"/>
    <x v="1"/>
    <x v="28"/>
    <x v="30"/>
    <x v="2"/>
    <x v="53"/>
    <x v="172"/>
    <x v="2440"/>
    <x v="37"/>
    <x v="37"/>
    <x v="1"/>
  </r>
  <r>
    <x v="0"/>
    <x v="1"/>
    <x v="588"/>
    <x v="1"/>
    <x v="28"/>
    <x v="30"/>
    <x v="1"/>
    <x v="51"/>
    <x v="115"/>
    <x v="1850"/>
    <x v="40"/>
    <x v="40"/>
    <x v="1"/>
  </r>
  <r>
    <x v="0"/>
    <x v="1"/>
    <x v="588"/>
    <x v="1"/>
    <x v="28"/>
    <x v="30"/>
    <x v="5"/>
    <x v="45"/>
    <x v="87"/>
    <x v="1313"/>
    <x v="31"/>
    <x v="31"/>
    <x v="1"/>
  </r>
  <r>
    <x v="0"/>
    <x v="1"/>
    <x v="588"/>
    <x v="1"/>
    <x v="28"/>
    <x v="30"/>
    <x v="4"/>
    <x v="44"/>
    <x v="59"/>
    <x v="870"/>
    <x v="28"/>
    <x v="28"/>
    <x v="1"/>
  </r>
  <r>
    <x v="0"/>
    <x v="1"/>
    <x v="588"/>
    <x v="1"/>
    <x v="28"/>
    <x v="30"/>
    <x v="0"/>
    <x v="52"/>
    <x v="60"/>
    <x v="1031"/>
    <x v="31"/>
    <x v="31"/>
    <x v="1"/>
  </r>
  <r>
    <x v="0"/>
    <x v="1"/>
    <x v="588"/>
    <x v="1"/>
    <x v="28"/>
    <x v="30"/>
    <x v="3"/>
    <x v="57"/>
    <x v="88"/>
    <x v="1625"/>
    <x v="33"/>
    <x v="33"/>
    <x v="1"/>
  </r>
  <r>
    <x v="0"/>
    <x v="1"/>
    <x v="618"/>
    <x v="1"/>
    <x v="28"/>
    <x v="30"/>
    <x v="2"/>
    <x v="52"/>
    <x v="133"/>
    <x v="2077"/>
    <x v="38"/>
    <x v="38"/>
    <x v="1"/>
  </r>
  <r>
    <x v="0"/>
    <x v="1"/>
    <x v="618"/>
    <x v="1"/>
    <x v="28"/>
    <x v="30"/>
    <x v="1"/>
    <x v="47"/>
    <x v="78"/>
    <x v="1238"/>
    <x v="38"/>
    <x v="38"/>
    <x v="1"/>
  </r>
  <r>
    <x v="0"/>
    <x v="1"/>
    <x v="618"/>
    <x v="1"/>
    <x v="28"/>
    <x v="30"/>
    <x v="5"/>
    <x v="45"/>
    <x v="62"/>
    <x v="927"/>
    <x v="29"/>
    <x v="29"/>
    <x v="1"/>
  </r>
  <r>
    <x v="0"/>
    <x v="1"/>
    <x v="618"/>
    <x v="1"/>
    <x v="28"/>
    <x v="30"/>
    <x v="4"/>
    <x v="46"/>
    <x v="45"/>
    <x v="662"/>
    <x v="28"/>
    <x v="28"/>
    <x v="1"/>
  </r>
  <r>
    <x v="0"/>
    <x v="1"/>
    <x v="618"/>
    <x v="1"/>
    <x v="28"/>
    <x v="30"/>
    <x v="0"/>
    <x v="57"/>
    <x v="52"/>
    <x v="964"/>
    <x v="29"/>
    <x v="29"/>
    <x v="1"/>
  </r>
  <r>
    <x v="0"/>
    <x v="1"/>
    <x v="618"/>
    <x v="1"/>
    <x v="28"/>
    <x v="30"/>
    <x v="3"/>
    <x v="61"/>
    <x v="80"/>
    <x v="1601"/>
    <x v="32"/>
    <x v="32"/>
    <x v="1"/>
  </r>
  <r>
    <x v="1"/>
    <x v="1"/>
    <x v="650"/>
    <x v="1"/>
    <x v="28"/>
    <x v="30"/>
    <x v="2"/>
    <x v="57"/>
    <x v="100"/>
    <x v="1800"/>
    <x v="39"/>
    <x v="39"/>
    <x v="1"/>
  </r>
  <r>
    <x v="1"/>
    <x v="1"/>
    <x v="650"/>
    <x v="1"/>
    <x v="28"/>
    <x v="30"/>
    <x v="1"/>
    <x v="55"/>
    <x v="69"/>
    <x v="1258"/>
    <x v="39"/>
    <x v="39"/>
    <x v="1"/>
  </r>
  <r>
    <x v="1"/>
    <x v="1"/>
    <x v="650"/>
    <x v="1"/>
    <x v="28"/>
    <x v="30"/>
    <x v="5"/>
    <x v="52"/>
    <x v="43"/>
    <x v="731"/>
    <x v="30"/>
    <x v="30"/>
    <x v="1"/>
  </r>
  <r>
    <x v="1"/>
    <x v="1"/>
    <x v="650"/>
    <x v="1"/>
    <x v="28"/>
    <x v="30"/>
    <x v="4"/>
    <x v="55"/>
    <x v="36"/>
    <x v="646"/>
    <x v="29"/>
    <x v="29"/>
    <x v="1"/>
  </r>
  <r>
    <x v="1"/>
    <x v="1"/>
    <x v="650"/>
    <x v="1"/>
    <x v="28"/>
    <x v="30"/>
    <x v="0"/>
    <x v="64"/>
    <x v="35"/>
    <x v="756"/>
    <x v="29"/>
    <x v="29"/>
    <x v="1"/>
  </r>
  <r>
    <x v="1"/>
    <x v="1"/>
    <x v="650"/>
    <x v="1"/>
    <x v="28"/>
    <x v="30"/>
    <x v="3"/>
    <x v="65"/>
    <x v="67"/>
    <x v="1402"/>
    <x v="34"/>
    <x v="34"/>
    <x v="1"/>
  </r>
  <r>
    <x v="1"/>
    <x v="1"/>
    <x v="680"/>
    <x v="1"/>
    <x v="28"/>
    <x v="30"/>
    <x v="2"/>
    <x v="61"/>
    <x v="98"/>
    <x v="1873"/>
    <x v="39"/>
    <x v="39"/>
    <x v="1"/>
  </r>
  <r>
    <x v="1"/>
    <x v="1"/>
    <x v="680"/>
    <x v="1"/>
    <x v="28"/>
    <x v="30"/>
    <x v="1"/>
    <x v="55"/>
    <x v="80"/>
    <x v="1459"/>
    <x v="38"/>
    <x v="38"/>
    <x v="1"/>
  </r>
  <r>
    <x v="1"/>
    <x v="1"/>
    <x v="680"/>
    <x v="1"/>
    <x v="28"/>
    <x v="30"/>
    <x v="5"/>
    <x v="56"/>
    <x v="86"/>
    <x v="1577"/>
    <x v="31"/>
    <x v="31"/>
    <x v="1"/>
  </r>
  <r>
    <x v="1"/>
    <x v="1"/>
    <x v="680"/>
    <x v="1"/>
    <x v="28"/>
    <x v="30"/>
    <x v="4"/>
    <x v="57"/>
    <x v="70"/>
    <x v="1308"/>
    <x v="26"/>
    <x v="26"/>
    <x v="1"/>
  </r>
  <r>
    <x v="1"/>
    <x v="1"/>
    <x v="680"/>
    <x v="1"/>
    <x v="28"/>
    <x v="30"/>
    <x v="0"/>
    <x v="64"/>
    <x v="67"/>
    <x v="1384"/>
    <x v="28"/>
    <x v="28"/>
    <x v="1"/>
  </r>
  <r>
    <x v="1"/>
    <x v="1"/>
    <x v="680"/>
    <x v="1"/>
    <x v="28"/>
    <x v="30"/>
    <x v="3"/>
    <x v="71"/>
    <x v="97"/>
    <x v="2071"/>
    <x v="33"/>
    <x v="33"/>
    <x v="1"/>
  </r>
  <r>
    <x v="1"/>
    <x v="1"/>
    <x v="709"/>
    <x v="1"/>
    <x v="28"/>
    <x v="30"/>
    <x v="2"/>
    <x v="64"/>
    <x v="147"/>
    <x v="2468"/>
    <x v="41"/>
    <x v="41"/>
    <x v="1"/>
  </r>
  <r>
    <x v="1"/>
    <x v="1"/>
    <x v="709"/>
    <x v="1"/>
    <x v="28"/>
    <x v="30"/>
    <x v="1"/>
    <x v="52"/>
    <x v="96"/>
    <x v="1626"/>
    <x v="41"/>
    <x v="41"/>
    <x v="1"/>
  </r>
  <r>
    <x v="1"/>
    <x v="1"/>
    <x v="709"/>
    <x v="1"/>
    <x v="28"/>
    <x v="30"/>
    <x v="5"/>
    <x v="55"/>
    <x v="90"/>
    <x v="1610"/>
    <x v="28"/>
    <x v="28"/>
    <x v="1"/>
  </r>
  <r>
    <x v="1"/>
    <x v="1"/>
    <x v="709"/>
    <x v="1"/>
    <x v="28"/>
    <x v="30"/>
    <x v="4"/>
    <x v="55"/>
    <x v="73"/>
    <x v="1312"/>
    <x v="30"/>
    <x v="30"/>
    <x v="1"/>
  </r>
  <r>
    <x v="1"/>
    <x v="1"/>
    <x v="709"/>
    <x v="1"/>
    <x v="28"/>
    <x v="30"/>
    <x v="0"/>
    <x v="67"/>
    <x v="87"/>
    <x v="1836"/>
    <x v="29"/>
    <x v="29"/>
    <x v="1"/>
  </r>
  <r>
    <x v="1"/>
    <x v="1"/>
    <x v="709"/>
    <x v="1"/>
    <x v="28"/>
    <x v="30"/>
    <x v="3"/>
    <x v="67"/>
    <x v="98"/>
    <x v="2004"/>
    <x v="35"/>
    <x v="35"/>
    <x v="1"/>
  </r>
  <r>
    <x v="1"/>
    <x v="1"/>
    <x v="382"/>
    <x v="1"/>
    <x v="28"/>
    <x v="30"/>
    <x v="2"/>
    <x v="45"/>
    <x v="125"/>
    <x v="1787"/>
    <x v="32"/>
    <x v="32"/>
    <x v="1"/>
  </r>
  <r>
    <x v="1"/>
    <x v="1"/>
    <x v="382"/>
    <x v="1"/>
    <x v="28"/>
    <x v="30"/>
    <x v="1"/>
    <x v="43"/>
    <x v="69"/>
    <x v="1005"/>
    <x v="33"/>
    <x v="33"/>
    <x v="1"/>
  </r>
  <r>
    <x v="1"/>
    <x v="1"/>
    <x v="382"/>
    <x v="1"/>
    <x v="28"/>
    <x v="30"/>
    <x v="5"/>
    <x v="37"/>
    <x v="74"/>
    <x v="944"/>
    <x v="21"/>
    <x v="21"/>
    <x v="1"/>
  </r>
  <r>
    <x v="1"/>
    <x v="1"/>
    <x v="382"/>
    <x v="1"/>
    <x v="28"/>
    <x v="30"/>
    <x v="4"/>
    <x v="42"/>
    <x v="28"/>
    <x v="363"/>
    <x v="23"/>
    <x v="23"/>
    <x v="1"/>
  </r>
  <r>
    <x v="1"/>
    <x v="1"/>
    <x v="382"/>
    <x v="1"/>
    <x v="28"/>
    <x v="30"/>
    <x v="0"/>
    <x v="53"/>
    <x v="43"/>
    <x v="747"/>
    <x v="23"/>
    <x v="23"/>
    <x v="1"/>
  </r>
  <r>
    <x v="1"/>
    <x v="1"/>
    <x v="382"/>
    <x v="1"/>
    <x v="28"/>
    <x v="30"/>
    <x v="3"/>
    <x v="47"/>
    <x v="64"/>
    <x v="1007"/>
    <x v="31"/>
    <x v="31"/>
    <x v="1"/>
  </r>
  <r>
    <x v="1"/>
    <x v="1"/>
    <x v="411"/>
    <x v="1"/>
    <x v="28"/>
    <x v="30"/>
    <x v="2"/>
    <x v="45"/>
    <x v="150"/>
    <x v="2063"/>
    <x v="31"/>
    <x v="31"/>
    <x v="1"/>
  </r>
  <r>
    <x v="1"/>
    <x v="1"/>
    <x v="411"/>
    <x v="1"/>
    <x v="28"/>
    <x v="30"/>
    <x v="1"/>
    <x v="46"/>
    <x v="48"/>
    <x v="713"/>
    <x v="32"/>
    <x v="32"/>
    <x v="1"/>
  </r>
  <r>
    <x v="1"/>
    <x v="1"/>
    <x v="411"/>
    <x v="1"/>
    <x v="28"/>
    <x v="30"/>
    <x v="5"/>
    <x v="36"/>
    <x v="68"/>
    <x v="835"/>
    <x v="26"/>
    <x v="26"/>
    <x v="1"/>
  </r>
  <r>
    <x v="1"/>
    <x v="1"/>
    <x v="0"/>
    <x v="1"/>
    <x v="31"/>
    <x v="35"/>
    <x v="2"/>
    <x v="27"/>
    <x v="296"/>
    <x v="2566"/>
    <x v="38"/>
    <x v="38"/>
    <x v="2"/>
  </r>
  <r>
    <x v="1"/>
    <x v="1"/>
    <x v="1"/>
    <x v="1"/>
    <x v="31"/>
    <x v="35"/>
    <x v="1"/>
    <x v="29"/>
    <x v="269"/>
    <x v="2412"/>
    <x v="21"/>
    <x v="21"/>
    <x v="2"/>
  </r>
  <r>
    <x v="1"/>
    <x v="1"/>
    <x v="2"/>
    <x v="1"/>
    <x v="31"/>
    <x v="35"/>
    <x v="5"/>
    <x v="25"/>
    <x v="285"/>
    <x v="2378"/>
    <x v="23"/>
    <x v="23"/>
    <x v="2"/>
  </r>
  <r>
    <x v="1"/>
    <x v="1"/>
    <x v="3"/>
    <x v="1"/>
    <x v="31"/>
    <x v="35"/>
    <x v="4"/>
    <x v="29"/>
    <x v="237"/>
    <x v="2226"/>
    <x v="23"/>
    <x v="23"/>
    <x v="2"/>
  </r>
  <r>
    <x v="1"/>
    <x v="1"/>
    <x v="4"/>
    <x v="1"/>
    <x v="31"/>
    <x v="35"/>
    <x v="0"/>
    <x v="36"/>
    <x v="258"/>
    <x v="2576"/>
    <x v="23"/>
    <x v="23"/>
    <x v="2"/>
  </r>
  <r>
    <x v="1"/>
    <x v="1"/>
    <x v="5"/>
    <x v="1"/>
    <x v="31"/>
    <x v="35"/>
    <x v="3"/>
    <x v="31"/>
    <x v="275"/>
    <x v="2516"/>
    <x v="18"/>
    <x v="18"/>
    <x v="2"/>
  </r>
  <r>
    <x v="1"/>
    <x v="1"/>
    <x v="6"/>
    <x v="1"/>
    <x v="31"/>
    <x v="35"/>
    <x v="2"/>
    <x v="26"/>
    <x v="297"/>
    <x v="2541"/>
    <x v="38"/>
    <x v="38"/>
    <x v="2"/>
  </r>
  <r>
    <x v="1"/>
    <x v="1"/>
    <x v="7"/>
    <x v="1"/>
    <x v="31"/>
    <x v="35"/>
    <x v="1"/>
    <x v="32"/>
    <x v="265"/>
    <x v="2495"/>
    <x v="19"/>
    <x v="19"/>
    <x v="2"/>
  </r>
  <r>
    <x v="1"/>
    <x v="1"/>
    <x v="20"/>
    <x v="1"/>
    <x v="31"/>
    <x v="35"/>
    <x v="5"/>
    <x v="25"/>
    <x v="271"/>
    <x v="2258"/>
    <x v="24"/>
    <x v="24"/>
    <x v="2"/>
  </r>
  <r>
    <x v="1"/>
    <x v="1"/>
    <x v="21"/>
    <x v="1"/>
    <x v="31"/>
    <x v="35"/>
    <x v="4"/>
    <x v="25"/>
    <x v="211"/>
    <x v="1868"/>
    <x v="24"/>
    <x v="24"/>
    <x v="2"/>
  </r>
  <r>
    <x v="1"/>
    <x v="1"/>
    <x v="22"/>
    <x v="1"/>
    <x v="31"/>
    <x v="35"/>
    <x v="0"/>
    <x v="36"/>
    <x v="258"/>
    <x v="2576"/>
    <x v="21"/>
    <x v="21"/>
    <x v="2"/>
  </r>
  <r>
    <x v="1"/>
    <x v="1"/>
    <x v="23"/>
    <x v="1"/>
    <x v="31"/>
    <x v="35"/>
    <x v="3"/>
    <x v="29"/>
    <x v="285"/>
    <x v="2524"/>
    <x v="15"/>
    <x v="15"/>
    <x v="2"/>
  </r>
  <r>
    <x v="1"/>
    <x v="1"/>
    <x v="24"/>
    <x v="1"/>
    <x v="31"/>
    <x v="35"/>
    <x v="2"/>
    <x v="33"/>
    <x v="298"/>
    <x v="2720"/>
    <x v="38"/>
    <x v="38"/>
    <x v="2"/>
  </r>
  <r>
    <x v="1"/>
    <x v="1"/>
    <x v="25"/>
    <x v="1"/>
    <x v="31"/>
    <x v="35"/>
    <x v="1"/>
    <x v="28"/>
    <x v="265"/>
    <x v="2356"/>
    <x v="22"/>
    <x v="22"/>
    <x v="2"/>
  </r>
  <r>
    <x v="1"/>
    <x v="1"/>
    <x v="26"/>
    <x v="1"/>
    <x v="31"/>
    <x v="35"/>
    <x v="5"/>
    <x v="20"/>
    <x v="264"/>
    <x v="1972"/>
    <x v="27"/>
    <x v="27"/>
    <x v="2"/>
  </r>
  <r>
    <x v="1"/>
    <x v="1"/>
    <x v="27"/>
    <x v="1"/>
    <x v="31"/>
    <x v="35"/>
    <x v="4"/>
    <x v="24"/>
    <x v="204"/>
    <x v="1767"/>
    <x v="26"/>
    <x v="26"/>
    <x v="2"/>
  </r>
  <r>
    <x v="1"/>
    <x v="1"/>
    <x v="28"/>
    <x v="1"/>
    <x v="31"/>
    <x v="35"/>
    <x v="0"/>
    <x v="36"/>
    <x v="245"/>
    <x v="2508"/>
    <x v="18"/>
    <x v="18"/>
    <x v="2"/>
  </r>
  <r>
    <x v="1"/>
    <x v="1"/>
    <x v="29"/>
    <x v="1"/>
    <x v="31"/>
    <x v="35"/>
    <x v="3"/>
    <x v="29"/>
    <x v="271"/>
    <x v="2428"/>
    <x v="13"/>
    <x v="13"/>
    <x v="2"/>
  </r>
  <r>
    <x v="1"/>
    <x v="1"/>
    <x v="30"/>
    <x v="1"/>
    <x v="31"/>
    <x v="35"/>
    <x v="2"/>
    <x v="26"/>
    <x v="292"/>
    <x v="2494"/>
    <x v="40"/>
    <x v="40"/>
    <x v="2"/>
  </r>
  <r>
    <x v="1"/>
    <x v="1"/>
    <x v="31"/>
    <x v="1"/>
    <x v="31"/>
    <x v="35"/>
    <x v="1"/>
    <x v="28"/>
    <x v="265"/>
    <x v="2356"/>
    <x v="19"/>
    <x v="19"/>
    <x v="2"/>
  </r>
  <r>
    <x v="1"/>
    <x v="1"/>
    <x v="32"/>
    <x v="1"/>
    <x v="31"/>
    <x v="35"/>
    <x v="5"/>
    <x v="21"/>
    <x v="265"/>
    <x v="2034"/>
    <x v="24"/>
    <x v="24"/>
    <x v="2"/>
  </r>
  <r>
    <x v="1"/>
    <x v="1"/>
    <x v="33"/>
    <x v="1"/>
    <x v="31"/>
    <x v="35"/>
    <x v="4"/>
    <x v="24"/>
    <x v="245"/>
    <x v="2057"/>
    <x v="23"/>
    <x v="23"/>
    <x v="2"/>
  </r>
  <r>
    <x v="1"/>
    <x v="1"/>
    <x v="34"/>
    <x v="1"/>
    <x v="31"/>
    <x v="35"/>
    <x v="0"/>
    <x v="37"/>
    <x v="237"/>
    <x v="2505"/>
    <x v="22"/>
    <x v="22"/>
    <x v="2"/>
  </r>
  <r>
    <x v="1"/>
    <x v="1"/>
    <x v="35"/>
    <x v="1"/>
    <x v="31"/>
    <x v="35"/>
    <x v="3"/>
    <x v="32"/>
    <x v="277"/>
    <x v="2558"/>
    <x v="13"/>
    <x v="13"/>
    <x v="2"/>
  </r>
  <r>
    <x v="1"/>
    <x v="1"/>
    <x v="36"/>
    <x v="1"/>
    <x v="31"/>
    <x v="35"/>
    <x v="2"/>
    <x v="37"/>
    <x v="291"/>
    <x v="2738"/>
    <x v="38"/>
    <x v="38"/>
    <x v="2"/>
  </r>
  <r>
    <x v="1"/>
    <x v="1"/>
    <x v="37"/>
    <x v="1"/>
    <x v="31"/>
    <x v="35"/>
    <x v="1"/>
    <x v="30"/>
    <x v="250"/>
    <x v="2341"/>
    <x v="21"/>
    <x v="21"/>
    <x v="2"/>
  </r>
  <r>
    <x v="1"/>
    <x v="1"/>
    <x v="38"/>
    <x v="1"/>
    <x v="31"/>
    <x v="35"/>
    <x v="5"/>
    <x v="29"/>
    <x v="244"/>
    <x v="2262"/>
    <x v="28"/>
    <x v="28"/>
    <x v="2"/>
  </r>
  <r>
    <x v="1"/>
    <x v="1"/>
    <x v="39"/>
    <x v="1"/>
    <x v="31"/>
    <x v="35"/>
    <x v="4"/>
    <x v="26"/>
    <x v="245"/>
    <x v="2142"/>
    <x v="26"/>
    <x v="26"/>
    <x v="2"/>
  </r>
  <r>
    <x v="1"/>
    <x v="1"/>
    <x v="40"/>
    <x v="1"/>
    <x v="31"/>
    <x v="35"/>
    <x v="0"/>
    <x v="40"/>
    <x v="236"/>
    <x v="2577"/>
    <x v="21"/>
    <x v="21"/>
    <x v="2"/>
  </r>
  <r>
    <x v="1"/>
    <x v="1"/>
    <x v="61"/>
    <x v="1"/>
    <x v="31"/>
    <x v="35"/>
    <x v="3"/>
    <x v="37"/>
    <x v="269"/>
    <x v="2645"/>
    <x v="15"/>
    <x v="15"/>
    <x v="2"/>
  </r>
  <r>
    <x v="1"/>
    <x v="1"/>
    <x v="62"/>
    <x v="1"/>
    <x v="31"/>
    <x v="35"/>
    <x v="2"/>
    <x v="40"/>
    <x v="300"/>
    <x v="2819"/>
    <x v="38"/>
    <x v="38"/>
    <x v="2"/>
  </r>
  <r>
    <x v="1"/>
    <x v="1"/>
    <x v="63"/>
    <x v="1"/>
    <x v="31"/>
    <x v="35"/>
    <x v="1"/>
    <x v="34"/>
    <x v="280"/>
    <x v="2634"/>
    <x v="20"/>
    <x v="20"/>
    <x v="2"/>
  </r>
  <r>
    <x v="1"/>
    <x v="1"/>
    <x v="64"/>
    <x v="1"/>
    <x v="31"/>
    <x v="35"/>
    <x v="5"/>
    <x v="30"/>
    <x v="250"/>
    <x v="2341"/>
    <x v="27"/>
    <x v="27"/>
    <x v="2"/>
  </r>
  <r>
    <x v="1"/>
    <x v="1"/>
    <x v="65"/>
    <x v="1"/>
    <x v="31"/>
    <x v="35"/>
    <x v="4"/>
    <x v="31"/>
    <x v="251"/>
    <x v="2388"/>
    <x v="24"/>
    <x v="24"/>
    <x v="2"/>
  </r>
  <r>
    <x v="1"/>
    <x v="1"/>
    <x v="66"/>
    <x v="1"/>
    <x v="31"/>
    <x v="35"/>
    <x v="0"/>
    <x v="38"/>
    <x v="244"/>
    <x v="2556"/>
    <x v="20"/>
    <x v="20"/>
    <x v="2"/>
  </r>
  <r>
    <x v="1"/>
    <x v="1"/>
    <x v="67"/>
    <x v="1"/>
    <x v="31"/>
    <x v="35"/>
    <x v="3"/>
    <x v="39"/>
    <x v="283"/>
    <x v="2736"/>
    <x v="18"/>
    <x v="18"/>
    <x v="2"/>
  </r>
  <r>
    <x v="1"/>
    <x v="1"/>
    <x v="68"/>
    <x v="1"/>
    <x v="31"/>
    <x v="35"/>
    <x v="2"/>
    <x v="37"/>
    <x v="305"/>
    <x v="2826"/>
    <x v="38"/>
    <x v="38"/>
    <x v="2"/>
  </r>
  <r>
    <x v="1"/>
    <x v="1"/>
    <x v="69"/>
    <x v="1"/>
    <x v="31"/>
    <x v="35"/>
    <x v="1"/>
    <x v="34"/>
    <x v="267"/>
    <x v="2562"/>
    <x v="23"/>
    <x v="23"/>
    <x v="2"/>
  </r>
  <r>
    <x v="1"/>
    <x v="1"/>
    <x v="70"/>
    <x v="1"/>
    <x v="31"/>
    <x v="35"/>
    <x v="5"/>
    <x v="28"/>
    <x v="249"/>
    <x v="2256"/>
    <x v="28"/>
    <x v="28"/>
    <x v="2"/>
  </r>
  <r>
    <x v="1"/>
    <x v="1"/>
    <x v="71"/>
    <x v="1"/>
    <x v="31"/>
    <x v="35"/>
    <x v="4"/>
    <x v="28"/>
    <x v="227"/>
    <x v="2125"/>
    <x v="23"/>
    <x v="23"/>
    <x v="2"/>
  </r>
  <r>
    <x v="1"/>
    <x v="1"/>
    <x v="72"/>
    <x v="1"/>
    <x v="31"/>
    <x v="35"/>
    <x v="0"/>
    <x v="39"/>
    <x v="234"/>
    <x v="2539"/>
    <x v="20"/>
    <x v="20"/>
    <x v="2"/>
  </r>
  <r>
    <x v="1"/>
    <x v="1"/>
    <x v="73"/>
    <x v="1"/>
    <x v="31"/>
    <x v="35"/>
    <x v="3"/>
    <x v="40"/>
    <x v="286"/>
    <x v="2759"/>
    <x v="13"/>
    <x v="13"/>
    <x v="2"/>
  </r>
  <r>
    <x v="1"/>
    <x v="1"/>
    <x v="74"/>
    <x v="1"/>
    <x v="31"/>
    <x v="35"/>
    <x v="2"/>
    <x v="34"/>
    <x v="294"/>
    <x v="2706"/>
    <x v="38"/>
    <x v="38"/>
    <x v="2"/>
  </r>
  <r>
    <x v="1"/>
    <x v="1"/>
    <x v="75"/>
    <x v="1"/>
    <x v="31"/>
    <x v="35"/>
    <x v="1"/>
    <x v="30"/>
    <x v="289"/>
    <x v="2584"/>
    <x v="20"/>
    <x v="20"/>
    <x v="2"/>
  </r>
  <r>
    <x v="1"/>
    <x v="1"/>
    <x v="76"/>
    <x v="1"/>
    <x v="31"/>
    <x v="35"/>
    <x v="5"/>
    <x v="30"/>
    <x v="264"/>
    <x v="2426"/>
    <x v="23"/>
    <x v="23"/>
    <x v="2"/>
  </r>
  <r>
    <x v="1"/>
    <x v="1"/>
    <x v="89"/>
    <x v="1"/>
    <x v="31"/>
    <x v="35"/>
    <x v="4"/>
    <x v="33"/>
    <x v="272"/>
    <x v="2556"/>
    <x v="26"/>
    <x v="26"/>
    <x v="2"/>
  </r>
  <r>
    <x v="4"/>
    <x v="1"/>
    <x v="106"/>
    <x v="1"/>
    <x v="31"/>
    <x v="35"/>
    <x v="0"/>
    <x v="36"/>
    <x v="235"/>
    <x v="2467"/>
    <x v="19"/>
    <x v="19"/>
    <x v="2"/>
  </r>
  <r>
    <x v="4"/>
    <x v="1"/>
    <x v="107"/>
    <x v="1"/>
    <x v="31"/>
    <x v="35"/>
    <x v="3"/>
    <x v="41"/>
    <x v="288"/>
    <x v="2775"/>
    <x v="16"/>
    <x v="16"/>
    <x v="2"/>
  </r>
  <r>
    <x v="4"/>
    <x v="1"/>
    <x v="108"/>
    <x v="1"/>
    <x v="31"/>
    <x v="35"/>
    <x v="2"/>
    <x v="32"/>
    <x v="302"/>
    <x v="2734"/>
    <x v="41"/>
    <x v="41"/>
    <x v="2"/>
  </r>
  <r>
    <x v="4"/>
    <x v="1"/>
    <x v="109"/>
    <x v="1"/>
    <x v="31"/>
    <x v="35"/>
    <x v="1"/>
    <x v="36"/>
    <x v="285"/>
    <x v="2690"/>
    <x v="19"/>
    <x v="19"/>
    <x v="2"/>
  </r>
  <r>
    <x v="4"/>
    <x v="1"/>
    <x v="110"/>
    <x v="1"/>
    <x v="31"/>
    <x v="35"/>
    <x v="5"/>
    <x v="29"/>
    <x v="265"/>
    <x v="2394"/>
    <x v="25"/>
    <x v="25"/>
    <x v="2"/>
  </r>
  <r>
    <x v="4"/>
    <x v="1"/>
    <x v="111"/>
    <x v="1"/>
    <x v="31"/>
    <x v="35"/>
    <x v="4"/>
    <x v="27"/>
    <x v="258"/>
    <x v="2266"/>
    <x v="25"/>
    <x v="25"/>
    <x v="2"/>
  </r>
  <r>
    <x v="4"/>
    <x v="1"/>
    <x v="112"/>
    <x v="1"/>
    <x v="31"/>
    <x v="35"/>
    <x v="0"/>
    <x v="37"/>
    <x v="265"/>
    <x v="2625"/>
    <x v="23"/>
    <x v="23"/>
    <x v="2"/>
  </r>
  <r>
    <x v="4"/>
    <x v="1"/>
    <x v="113"/>
    <x v="1"/>
    <x v="31"/>
    <x v="35"/>
    <x v="3"/>
    <x v="38"/>
    <x v="285"/>
    <x v="2727"/>
    <x v="16"/>
    <x v="16"/>
    <x v="2"/>
  </r>
  <r>
    <x v="4"/>
    <x v="1"/>
    <x v="114"/>
    <x v="1"/>
    <x v="31"/>
    <x v="35"/>
    <x v="0"/>
    <x v="44"/>
    <x v="245"/>
    <x v="2677"/>
    <x v="18"/>
    <x v="18"/>
    <x v="2"/>
  </r>
  <r>
    <x v="4"/>
    <x v="1"/>
    <x v="115"/>
    <x v="1"/>
    <x v="31"/>
    <x v="35"/>
    <x v="3"/>
    <x v="43"/>
    <x v="275"/>
    <x v="2757"/>
    <x v="14"/>
    <x v="14"/>
    <x v="2"/>
  </r>
  <r>
    <x v="4"/>
    <x v="1"/>
    <x v="116"/>
    <x v="1"/>
    <x v="31"/>
    <x v="35"/>
    <x v="2"/>
    <x v="39"/>
    <x v="301"/>
    <x v="2814"/>
    <x v="42"/>
    <x v="42"/>
    <x v="2"/>
  </r>
  <r>
    <x v="4"/>
    <x v="1"/>
    <x v="117"/>
    <x v="1"/>
    <x v="31"/>
    <x v="35"/>
    <x v="1"/>
    <x v="33"/>
    <x v="262"/>
    <x v="2511"/>
    <x v="22"/>
    <x v="22"/>
    <x v="2"/>
  </r>
  <r>
    <x v="4"/>
    <x v="1"/>
    <x v="118"/>
    <x v="1"/>
    <x v="31"/>
    <x v="35"/>
    <x v="5"/>
    <x v="36"/>
    <x v="248"/>
    <x v="2526"/>
    <x v="28"/>
    <x v="28"/>
    <x v="2"/>
  </r>
  <r>
    <x v="4"/>
    <x v="1"/>
    <x v="119"/>
    <x v="1"/>
    <x v="31"/>
    <x v="35"/>
    <x v="4"/>
    <x v="34"/>
    <x v="227"/>
    <x v="2361"/>
    <x v="23"/>
    <x v="23"/>
    <x v="2"/>
  </r>
  <r>
    <x v="4"/>
    <x v="1"/>
    <x v="120"/>
    <x v="1"/>
    <x v="31"/>
    <x v="35"/>
    <x v="0"/>
    <x v="40"/>
    <x v="236"/>
    <x v="2577"/>
    <x v="22"/>
    <x v="22"/>
    <x v="2"/>
  </r>
  <r>
    <x v="4"/>
    <x v="1"/>
    <x v="121"/>
    <x v="1"/>
    <x v="31"/>
    <x v="35"/>
    <x v="3"/>
    <x v="46"/>
    <x v="270"/>
    <x v="2776"/>
    <x v="14"/>
    <x v="14"/>
    <x v="2"/>
  </r>
  <r>
    <x v="4"/>
    <x v="1"/>
    <x v="122"/>
    <x v="1"/>
    <x v="31"/>
    <x v="35"/>
    <x v="2"/>
    <x v="41"/>
    <x v="303"/>
    <x v="2845"/>
    <x v="42"/>
    <x v="42"/>
    <x v="2"/>
  </r>
  <r>
    <x v="4"/>
    <x v="1"/>
    <x v="123"/>
    <x v="1"/>
    <x v="31"/>
    <x v="35"/>
    <x v="1"/>
    <x v="36"/>
    <x v="260"/>
    <x v="2588"/>
    <x v="21"/>
    <x v="21"/>
    <x v="2"/>
  </r>
  <r>
    <x v="4"/>
    <x v="1"/>
    <x v="124"/>
    <x v="1"/>
    <x v="31"/>
    <x v="35"/>
    <x v="5"/>
    <x v="35"/>
    <x v="277"/>
    <x v="2636"/>
    <x v="26"/>
    <x v="26"/>
    <x v="2"/>
  </r>
  <r>
    <x v="4"/>
    <x v="1"/>
    <x v="125"/>
    <x v="1"/>
    <x v="31"/>
    <x v="35"/>
    <x v="4"/>
    <x v="34"/>
    <x v="258"/>
    <x v="2518"/>
    <x v="26"/>
    <x v="26"/>
    <x v="2"/>
  </r>
  <r>
    <x v="4"/>
    <x v="1"/>
    <x v="126"/>
    <x v="1"/>
    <x v="31"/>
    <x v="35"/>
    <x v="0"/>
    <x v="41"/>
    <x v="235"/>
    <x v="2589"/>
    <x v="23"/>
    <x v="23"/>
    <x v="2"/>
  </r>
  <r>
    <x v="4"/>
    <x v="1"/>
    <x v="198"/>
    <x v="1"/>
    <x v="31"/>
    <x v="35"/>
    <x v="3"/>
    <x v="41"/>
    <x v="280"/>
    <x v="2750"/>
    <x v="16"/>
    <x v="16"/>
    <x v="2"/>
  </r>
  <r>
    <x v="3"/>
    <x v="3"/>
    <x v="199"/>
    <x v="1"/>
    <x v="31"/>
    <x v="35"/>
    <x v="2"/>
    <x v="13"/>
    <x v="227"/>
    <x v="1298"/>
    <x v="25"/>
    <x v="25"/>
    <x v="2"/>
  </r>
  <r>
    <x v="3"/>
    <x v="3"/>
    <x v="200"/>
    <x v="1"/>
    <x v="31"/>
    <x v="35"/>
    <x v="1"/>
    <x v="19"/>
    <x v="227"/>
    <x v="1680"/>
    <x v="23"/>
    <x v="23"/>
    <x v="2"/>
  </r>
  <r>
    <x v="3"/>
    <x v="3"/>
    <x v="201"/>
    <x v="1"/>
    <x v="31"/>
    <x v="35"/>
    <x v="5"/>
    <x v="20"/>
    <x v="202"/>
    <x v="1549"/>
    <x v="25"/>
    <x v="25"/>
    <x v="2"/>
  </r>
  <r>
    <x v="3"/>
    <x v="3"/>
    <x v="202"/>
    <x v="1"/>
    <x v="31"/>
    <x v="35"/>
    <x v="4"/>
    <x v="20"/>
    <x v="183"/>
    <x v="1368"/>
    <x v="38"/>
    <x v="38"/>
    <x v="2"/>
  </r>
  <r>
    <x v="3"/>
    <x v="3"/>
    <x v="203"/>
    <x v="2"/>
    <x v="42"/>
    <x v="22"/>
    <x v="0"/>
    <x v="19"/>
    <x v="153"/>
    <x v="1105"/>
    <x v="20"/>
    <x v="20"/>
    <x v="2"/>
  </r>
  <r>
    <x v="3"/>
    <x v="3"/>
    <x v="204"/>
    <x v="2"/>
    <x v="42"/>
    <x v="22"/>
    <x v="3"/>
    <x v="18"/>
    <x v="193"/>
    <x v="1348"/>
    <x v="42"/>
    <x v="42"/>
    <x v="2"/>
  </r>
  <r>
    <x v="3"/>
    <x v="3"/>
    <x v="205"/>
    <x v="2"/>
    <x v="42"/>
    <x v="22"/>
    <x v="2"/>
    <x v="13"/>
    <x v="215"/>
    <x v="1228"/>
    <x v="27"/>
    <x v="27"/>
    <x v="2"/>
  </r>
  <r>
    <x v="3"/>
    <x v="3"/>
    <x v="206"/>
    <x v="2"/>
    <x v="42"/>
    <x v="22"/>
    <x v="1"/>
    <x v="16"/>
    <x v="245"/>
    <x v="1597"/>
    <x v="28"/>
    <x v="28"/>
    <x v="2"/>
  </r>
  <r>
    <x v="3"/>
    <x v="3"/>
    <x v="207"/>
    <x v="2"/>
    <x v="42"/>
    <x v="22"/>
    <x v="5"/>
    <x v="20"/>
    <x v="201"/>
    <x v="1534"/>
    <x v="27"/>
    <x v="27"/>
    <x v="2"/>
  </r>
  <r>
    <x v="3"/>
    <x v="3"/>
    <x v="208"/>
    <x v="2"/>
    <x v="42"/>
    <x v="22"/>
    <x v="4"/>
    <x v="19"/>
    <x v="184"/>
    <x v="1333"/>
    <x v="36"/>
    <x v="36"/>
    <x v="2"/>
  </r>
  <r>
    <x v="3"/>
    <x v="3"/>
    <x v="209"/>
    <x v="2"/>
    <x v="42"/>
    <x v="22"/>
    <x v="0"/>
    <x v="21"/>
    <x v="138"/>
    <x v="1081"/>
    <x v="19"/>
    <x v="19"/>
    <x v="2"/>
  </r>
  <r>
    <x v="3"/>
    <x v="3"/>
    <x v="210"/>
    <x v="2"/>
    <x v="42"/>
    <x v="22"/>
    <x v="3"/>
    <x v="19"/>
    <x v="197"/>
    <x v="1443"/>
    <x v="41"/>
    <x v="41"/>
    <x v="2"/>
  </r>
  <r>
    <x v="3"/>
    <x v="3"/>
    <x v="211"/>
    <x v="2"/>
    <x v="42"/>
    <x v="22"/>
    <x v="2"/>
    <x v="13"/>
    <x v="258"/>
    <x v="1469"/>
    <x v="28"/>
    <x v="28"/>
    <x v="2"/>
  </r>
  <r>
    <x v="3"/>
    <x v="3"/>
    <x v="212"/>
    <x v="2"/>
    <x v="42"/>
    <x v="22"/>
    <x v="1"/>
    <x v="23"/>
    <x v="222"/>
    <x v="1860"/>
    <x v="25"/>
    <x v="25"/>
    <x v="2"/>
  </r>
  <r>
    <x v="3"/>
    <x v="3"/>
    <x v="213"/>
    <x v="2"/>
    <x v="42"/>
    <x v="22"/>
    <x v="5"/>
    <x v="16"/>
    <x v="193"/>
    <x v="1243"/>
    <x v="28"/>
    <x v="28"/>
    <x v="2"/>
  </r>
  <r>
    <x v="3"/>
    <x v="3"/>
    <x v="214"/>
    <x v="2"/>
    <x v="42"/>
    <x v="22"/>
    <x v="4"/>
    <x v="23"/>
    <x v="178"/>
    <x v="1469"/>
    <x v="34"/>
    <x v="34"/>
    <x v="2"/>
  </r>
  <r>
    <x v="3"/>
    <x v="3"/>
    <x v="215"/>
    <x v="2"/>
    <x v="42"/>
    <x v="22"/>
    <x v="0"/>
    <x v="28"/>
    <x v="134"/>
    <x v="1304"/>
    <x v="18"/>
    <x v="18"/>
    <x v="2"/>
  </r>
  <r>
    <x v="3"/>
    <x v="3"/>
    <x v="216"/>
    <x v="2"/>
    <x v="42"/>
    <x v="22"/>
    <x v="3"/>
    <x v="22"/>
    <x v="195"/>
    <x v="1591"/>
    <x v="41"/>
    <x v="41"/>
    <x v="2"/>
  </r>
  <r>
    <x v="3"/>
    <x v="3"/>
    <x v="217"/>
    <x v="2"/>
    <x v="42"/>
    <x v="22"/>
    <x v="2"/>
    <x v="16"/>
    <x v="258"/>
    <x v="1683"/>
    <x v="23"/>
    <x v="23"/>
    <x v="2"/>
  </r>
  <r>
    <x v="3"/>
    <x v="3"/>
    <x v="218"/>
    <x v="2"/>
    <x v="42"/>
    <x v="22"/>
    <x v="1"/>
    <x v="22"/>
    <x v="258"/>
    <x v="2048"/>
    <x v="27"/>
    <x v="27"/>
    <x v="2"/>
  </r>
  <r>
    <x v="3"/>
    <x v="3"/>
    <x v="219"/>
    <x v="2"/>
    <x v="42"/>
    <x v="22"/>
    <x v="5"/>
    <x v="17"/>
    <x v="198"/>
    <x v="1342"/>
    <x v="23"/>
    <x v="23"/>
    <x v="2"/>
  </r>
  <r>
    <x v="3"/>
    <x v="3"/>
    <x v="220"/>
    <x v="2"/>
    <x v="42"/>
    <x v="22"/>
    <x v="4"/>
    <x v="21"/>
    <x v="184"/>
    <x v="1432"/>
    <x v="34"/>
    <x v="34"/>
    <x v="2"/>
  </r>
  <r>
    <x v="4"/>
    <x v="3"/>
    <x v="221"/>
    <x v="2"/>
    <x v="42"/>
    <x v="22"/>
    <x v="0"/>
    <x v="27"/>
    <x v="156"/>
    <x v="1462"/>
    <x v="20"/>
    <x v="20"/>
    <x v="2"/>
  </r>
  <r>
    <x v="4"/>
    <x v="3"/>
    <x v="222"/>
    <x v="2"/>
    <x v="42"/>
    <x v="22"/>
    <x v="3"/>
    <x v="20"/>
    <x v="229"/>
    <x v="1744"/>
    <x v="41"/>
    <x v="41"/>
    <x v="2"/>
  </r>
  <r>
    <x v="4"/>
    <x v="3"/>
    <x v="223"/>
    <x v="2"/>
    <x v="42"/>
    <x v="22"/>
    <x v="2"/>
    <x v="17"/>
    <x v="265"/>
    <x v="1790"/>
    <x v="25"/>
    <x v="25"/>
    <x v="2"/>
  </r>
  <r>
    <x v="4"/>
    <x v="3"/>
    <x v="224"/>
    <x v="2"/>
    <x v="42"/>
    <x v="22"/>
    <x v="1"/>
    <x v="23"/>
    <x v="243"/>
    <x v="1994"/>
    <x v="28"/>
    <x v="28"/>
    <x v="2"/>
  </r>
  <r>
    <x v="4"/>
    <x v="3"/>
    <x v="225"/>
    <x v="2"/>
    <x v="42"/>
    <x v="22"/>
    <x v="5"/>
    <x v="16"/>
    <x v="204"/>
    <x v="1328"/>
    <x v="23"/>
    <x v="23"/>
    <x v="2"/>
  </r>
  <r>
    <x v="4"/>
    <x v="3"/>
    <x v="226"/>
    <x v="2"/>
    <x v="42"/>
    <x v="22"/>
    <x v="4"/>
    <x v="24"/>
    <x v="208"/>
    <x v="1795"/>
    <x v="37"/>
    <x v="37"/>
    <x v="2"/>
  </r>
  <r>
    <x v="4"/>
    <x v="3"/>
    <x v="227"/>
    <x v="2"/>
    <x v="42"/>
    <x v="22"/>
    <x v="0"/>
    <x v="28"/>
    <x v="157"/>
    <x v="1516"/>
    <x v="21"/>
    <x v="21"/>
    <x v="2"/>
  </r>
  <r>
    <x v="4"/>
    <x v="3"/>
    <x v="228"/>
    <x v="2"/>
    <x v="42"/>
    <x v="22"/>
    <x v="3"/>
    <x v="25"/>
    <x v="249"/>
    <x v="2124"/>
    <x v="43"/>
    <x v="43"/>
    <x v="2"/>
  </r>
  <r>
    <x v="4"/>
    <x v="3"/>
    <x v="229"/>
    <x v="2"/>
    <x v="42"/>
    <x v="22"/>
    <x v="2"/>
    <x v="21"/>
    <x v="249"/>
    <x v="1931"/>
    <x v="27"/>
    <x v="27"/>
    <x v="2"/>
  </r>
  <r>
    <x v="4"/>
    <x v="3"/>
    <x v="230"/>
    <x v="2"/>
    <x v="42"/>
    <x v="22"/>
    <x v="1"/>
    <x v="26"/>
    <x v="271"/>
    <x v="2303"/>
    <x v="28"/>
    <x v="28"/>
    <x v="2"/>
  </r>
  <r>
    <x v="4"/>
    <x v="3"/>
    <x v="231"/>
    <x v="2"/>
    <x v="42"/>
    <x v="22"/>
    <x v="5"/>
    <x v="20"/>
    <x v="223"/>
    <x v="1701"/>
    <x v="26"/>
    <x v="26"/>
    <x v="2"/>
  </r>
  <r>
    <x v="4"/>
    <x v="3"/>
    <x v="232"/>
    <x v="2"/>
    <x v="42"/>
    <x v="22"/>
    <x v="4"/>
    <x v="19"/>
    <x v="222"/>
    <x v="1637"/>
    <x v="34"/>
    <x v="34"/>
    <x v="2"/>
  </r>
  <r>
    <x v="4"/>
    <x v="3"/>
    <x v="233"/>
    <x v="2"/>
    <x v="42"/>
    <x v="22"/>
    <x v="0"/>
    <x v="22"/>
    <x v="191"/>
    <x v="1545"/>
    <x v="18"/>
    <x v="18"/>
    <x v="2"/>
  </r>
  <r>
    <x v="4"/>
    <x v="3"/>
    <x v="234"/>
    <x v="2"/>
    <x v="42"/>
    <x v="22"/>
    <x v="3"/>
    <x v="31"/>
    <x v="285"/>
    <x v="2585"/>
    <x v="43"/>
    <x v="43"/>
    <x v="2"/>
  </r>
  <r>
    <x v="4"/>
    <x v="3"/>
    <x v="235"/>
    <x v="2"/>
    <x v="42"/>
    <x v="22"/>
    <x v="2"/>
    <x v="22"/>
    <x v="249"/>
    <x v="1987"/>
    <x v="26"/>
    <x v="26"/>
    <x v="2"/>
  </r>
  <r>
    <x v="4"/>
    <x v="3"/>
    <x v="236"/>
    <x v="2"/>
    <x v="42"/>
    <x v="22"/>
    <x v="1"/>
    <x v="25"/>
    <x v="241"/>
    <x v="2081"/>
    <x v="28"/>
    <x v="28"/>
    <x v="2"/>
  </r>
  <r>
    <x v="4"/>
    <x v="3"/>
    <x v="237"/>
    <x v="2"/>
    <x v="42"/>
    <x v="22"/>
    <x v="5"/>
    <x v="22"/>
    <x v="293"/>
    <x v="2326"/>
    <x v="27"/>
    <x v="27"/>
    <x v="2"/>
  </r>
  <r>
    <x v="4"/>
    <x v="3"/>
    <x v="238"/>
    <x v="2"/>
    <x v="42"/>
    <x v="22"/>
    <x v="4"/>
    <x v="21"/>
    <x v="193"/>
    <x v="1509"/>
    <x v="38"/>
    <x v="38"/>
    <x v="2"/>
  </r>
  <r>
    <x v="4"/>
    <x v="3"/>
    <x v="239"/>
    <x v="2"/>
    <x v="42"/>
    <x v="22"/>
    <x v="0"/>
    <x v="26"/>
    <x v="187"/>
    <x v="1707"/>
    <x v="22"/>
    <x v="22"/>
    <x v="2"/>
  </r>
  <r>
    <x v="4"/>
    <x v="3"/>
    <x v="240"/>
    <x v="2"/>
    <x v="42"/>
    <x v="22"/>
    <x v="3"/>
    <x v="29"/>
    <x v="255"/>
    <x v="2331"/>
    <x v="38"/>
    <x v="38"/>
    <x v="2"/>
  </r>
  <r>
    <x v="4"/>
    <x v="3"/>
    <x v="241"/>
    <x v="2"/>
    <x v="42"/>
    <x v="22"/>
    <x v="2"/>
    <x v="20"/>
    <x v="257"/>
    <x v="1924"/>
    <x v="23"/>
    <x v="23"/>
    <x v="2"/>
  </r>
  <r>
    <x v="4"/>
    <x v="3"/>
    <x v="242"/>
    <x v="2"/>
    <x v="42"/>
    <x v="22"/>
    <x v="1"/>
    <x v="26"/>
    <x v="257"/>
    <x v="2218"/>
    <x v="24"/>
    <x v="24"/>
    <x v="2"/>
  </r>
  <r>
    <x v="4"/>
    <x v="3"/>
    <x v="243"/>
    <x v="2"/>
    <x v="42"/>
    <x v="22"/>
    <x v="5"/>
    <x v="22"/>
    <x v="293"/>
    <x v="2326"/>
    <x v="27"/>
    <x v="27"/>
    <x v="2"/>
  </r>
  <r>
    <x v="4"/>
    <x v="3"/>
    <x v="244"/>
    <x v="2"/>
    <x v="42"/>
    <x v="22"/>
    <x v="4"/>
    <x v="23"/>
    <x v="185"/>
    <x v="1557"/>
    <x v="34"/>
    <x v="34"/>
    <x v="2"/>
  </r>
  <r>
    <x v="4"/>
    <x v="3"/>
    <x v="245"/>
    <x v="2"/>
    <x v="42"/>
    <x v="22"/>
    <x v="0"/>
    <x v="28"/>
    <x v="195"/>
    <x v="1878"/>
    <x v="20"/>
    <x v="20"/>
    <x v="2"/>
  </r>
  <r>
    <x v="4"/>
    <x v="3"/>
    <x v="246"/>
    <x v="2"/>
    <x v="42"/>
    <x v="22"/>
    <x v="3"/>
    <x v="32"/>
    <x v="227"/>
    <x v="2286"/>
    <x v="40"/>
    <x v="40"/>
    <x v="2"/>
  </r>
  <r>
    <x v="4"/>
    <x v="3"/>
    <x v="247"/>
    <x v="2"/>
    <x v="42"/>
    <x v="22"/>
    <x v="2"/>
    <x v="26"/>
    <x v="223"/>
    <x v="2014"/>
    <x v="28"/>
    <x v="28"/>
    <x v="2"/>
  </r>
  <r>
    <x v="4"/>
    <x v="3"/>
    <x v="248"/>
    <x v="2"/>
    <x v="42"/>
    <x v="22"/>
    <x v="1"/>
    <x v="25"/>
    <x v="215"/>
    <x v="1915"/>
    <x v="23"/>
    <x v="23"/>
    <x v="2"/>
  </r>
  <r>
    <x v="4"/>
    <x v="3"/>
    <x v="249"/>
    <x v="2"/>
    <x v="42"/>
    <x v="22"/>
    <x v="5"/>
    <x v="29"/>
    <x v="265"/>
    <x v="2394"/>
    <x v="24"/>
    <x v="24"/>
    <x v="2"/>
  </r>
  <r>
    <x v="4"/>
    <x v="3"/>
    <x v="250"/>
    <x v="2"/>
    <x v="42"/>
    <x v="22"/>
    <x v="4"/>
    <x v="30"/>
    <x v="174"/>
    <x v="1756"/>
    <x v="36"/>
    <x v="36"/>
    <x v="2"/>
  </r>
  <r>
    <x v="4"/>
    <x v="3"/>
    <x v="251"/>
    <x v="2"/>
    <x v="42"/>
    <x v="22"/>
    <x v="0"/>
    <x v="29"/>
    <x v="179"/>
    <x v="1758"/>
    <x v="22"/>
    <x v="22"/>
    <x v="2"/>
  </r>
  <r>
    <x v="4"/>
    <x v="3"/>
    <x v="252"/>
    <x v="2"/>
    <x v="42"/>
    <x v="22"/>
    <x v="3"/>
    <x v="35"/>
    <x v="252"/>
    <x v="2515"/>
    <x v="43"/>
    <x v="43"/>
    <x v="2"/>
  </r>
  <r>
    <x v="4"/>
    <x v="3"/>
    <x v="253"/>
    <x v="2"/>
    <x v="42"/>
    <x v="22"/>
    <x v="2"/>
    <x v="24"/>
    <x v="229"/>
    <x v="1966"/>
    <x v="25"/>
    <x v="25"/>
    <x v="2"/>
  </r>
  <r>
    <x v="4"/>
    <x v="3"/>
    <x v="254"/>
    <x v="2"/>
    <x v="42"/>
    <x v="22"/>
    <x v="1"/>
    <x v="22"/>
    <x v="211"/>
    <x v="1714"/>
    <x v="25"/>
    <x v="25"/>
    <x v="2"/>
  </r>
  <r>
    <x v="4"/>
    <x v="3"/>
    <x v="255"/>
    <x v="2"/>
    <x v="42"/>
    <x v="22"/>
    <x v="5"/>
    <x v="32"/>
    <x v="215"/>
    <x v="2199"/>
    <x v="23"/>
    <x v="23"/>
    <x v="2"/>
  </r>
  <r>
    <x v="4"/>
    <x v="3"/>
    <x v="256"/>
    <x v="2"/>
    <x v="42"/>
    <x v="22"/>
    <x v="4"/>
    <x v="29"/>
    <x v="178"/>
    <x v="1744"/>
    <x v="33"/>
    <x v="33"/>
    <x v="2"/>
  </r>
  <r>
    <x v="4"/>
    <x v="3"/>
    <x v="257"/>
    <x v="2"/>
    <x v="42"/>
    <x v="22"/>
    <x v="0"/>
    <x v="28"/>
    <x v="160"/>
    <x v="1554"/>
    <x v="23"/>
    <x v="23"/>
    <x v="2"/>
  </r>
  <r>
    <x v="4"/>
    <x v="3"/>
    <x v="258"/>
    <x v="2"/>
    <x v="42"/>
    <x v="22"/>
    <x v="3"/>
    <x v="36"/>
    <x v="199"/>
    <x v="2211"/>
    <x v="40"/>
    <x v="40"/>
    <x v="2"/>
  </r>
  <r>
    <x v="4"/>
    <x v="3"/>
    <x v="286"/>
    <x v="2"/>
    <x v="42"/>
    <x v="22"/>
    <x v="2"/>
    <x v="27"/>
    <x v="227"/>
    <x v="2089"/>
    <x v="24"/>
    <x v="24"/>
    <x v="2"/>
  </r>
  <r>
    <x v="4"/>
    <x v="3"/>
    <x v="287"/>
    <x v="2"/>
    <x v="42"/>
    <x v="22"/>
    <x v="1"/>
    <x v="24"/>
    <x v="258"/>
    <x v="2133"/>
    <x v="26"/>
    <x v="26"/>
    <x v="2"/>
  </r>
  <r>
    <x v="4"/>
    <x v="3"/>
    <x v="288"/>
    <x v="2"/>
    <x v="42"/>
    <x v="22"/>
    <x v="5"/>
    <x v="27"/>
    <x v="237"/>
    <x v="2146"/>
    <x v="25"/>
    <x v="25"/>
    <x v="2"/>
  </r>
  <r>
    <x v="4"/>
    <x v="3"/>
    <x v="289"/>
    <x v="2"/>
    <x v="42"/>
    <x v="22"/>
    <x v="4"/>
    <x v="29"/>
    <x v="196"/>
    <x v="1936"/>
    <x v="36"/>
    <x v="36"/>
    <x v="2"/>
  </r>
  <r>
    <x v="4"/>
    <x v="3"/>
    <x v="290"/>
    <x v="2"/>
    <x v="42"/>
    <x v="22"/>
    <x v="0"/>
    <x v="23"/>
    <x v="171"/>
    <x v="1404"/>
    <x v="18"/>
    <x v="18"/>
    <x v="2"/>
  </r>
  <r>
    <x v="4"/>
    <x v="3"/>
    <x v="291"/>
    <x v="2"/>
    <x v="42"/>
    <x v="22"/>
    <x v="3"/>
    <x v="37"/>
    <x v="245"/>
    <x v="2533"/>
    <x v="43"/>
    <x v="43"/>
    <x v="2"/>
  </r>
  <r>
    <x v="4"/>
    <x v="3"/>
    <x v="292"/>
    <x v="2"/>
    <x v="42"/>
    <x v="22"/>
    <x v="2"/>
    <x v="25"/>
    <x v="277"/>
    <x v="2302"/>
    <x v="26"/>
    <x v="26"/>
    <x v="2"/>
  </r>
  <r>
    <x v="4"/>
    <x v="3"/>
    <x v="293"/>
    <x v="2"/>
    <x v="42"/>
    <x v="22"/>
    <x v="1"/>
    <x v="27"/>
    <x v="277"/>
    <x v="2391"/>
    <x v="28"/>
    <x v="28"/>
    <x v="2"/>
  </r>
  <r>
    <x v="4"/>
    <x v="3"/>
    <x v="294"/>
    <x v="2"/>
    <x v="42"/>
    <x v="22"/>
    <x v="5"/>
    <x v="31"/>
    <x v="252"/>
    <x v="2392"/>
    <x v="24"/>
    <x v="24"/>
    <x v="2"/>
  </r>
  <r>
    <x v="4"/>
    <x v="3"/>
    <x v="295"/>
    <x v="2"/>
    <x v="42"/>
    <x v="22"/>
    <x v="4"/>
    <x v="29"/>
    <x v="183"/>
    <x v="1790"/>
    <x v="38"/>
    <x v="38"/>
    <x v="2"/>
  </r>
  <r>
    <x v="4"/>
    <x v="3"/>
    <x v="296"/>
    <x v="2"/>
    <x v="42"/>
    <x v="22"/>
    <x v="0"/>
    <x v="23"/>
    <x v="181"/>
    <x v="1499"/>
    <x v="22"/>
    <x v="22"/>
    <x v="2"/>
  </r>
  <r>
    <x v="4"/>
    <x v="3"/>
    <x v="297"/>
    <x v="2"/>
    <x v="42"/>
    <x v="22"/>
    <x v="3"/>
    <x v="34"/>
    <x v="258"/>
    <x v="2518"/>
    <x v="41"/>
    <x v="41"/>
    <x v="2"/>
  </r>
  <r>
    <x v="5"/>
    <x v="0"/>
    <x v="298"/>
    <x v="2"/>
    <x v="42"/>
    <x v="22"/>
    <x v="2"/>
    <x v="23"/>
    <x v="223"/>
    <x v="1866"/>
    <x v="25"/>
    <x v="25"/>
    <x v="2"/>
  </r>
  <r>
    <x v="5"/>
    <x v="0"/>
    <x v="299"/>
    <x v="2"/>
    <x v="42"/>
    <x v="22"/>
    <x v="1"/>
    <x v="26"/>
    <x v="211"/>
    <x v="1918"/>
    <x v="9"/>
    <x v="9"/>
    <x v="2"/>
  </r>
  <r>
    <x v="5"/>
    <x v="0"/>
    <x v="300"/>
    <x v="2"/>
    <x v="42"/>
    <x v="22"/>
    <x v="5"/>
    <x v="26"/>
    <x v="228"/>
    <x v="2055"/>
    <x v="28"/>
    <x v="28"/>
    <x v="2"/>
  </r>
  <r>
    <x v="5"/>
    <x v="0"/>
    <x v="301"/>
    <x v="2"/>
    <x v="42"/>
    <x v="22"/>
    <x v="4"/>
    <x v="28"/>
    <x v="189"/>
    <x v="1810"/>
    <x v="22"/>
    <x v="22"/>
    <x v="2"/>
  </r>
  <r>
    <x v="5"/>
    <x v="0"/>
    <x v="302"/>
    <x v="4"/>
    <x v="4"/>
    <x v="46"/>
    <x v="0"/>
    <x v="31"/>
    <x v="150"/>
    <x v="1582"/>
    <x v="40"/>
    <x v="40"/>
    <x v="2"/>
  </r>
  <r>
    <x v="5"/>
    <x v="0"/>
    <x v="303"/>
    <x v="4"/>
    <x v="4"/>
    <x v="46"/>
    <x v="3"/>
    <x v="29"/>
    <x v="199"/>
    <x v="1958"/>
    <x v="7"/>
    <x v="7"/>
    <x v="2"/>
  </r>
  <r>
    <x v="5"/>
    <x v="0"/>
    <x v="304"/>
    <x v="4"/>
    <x v="4"/>
    <x v="46"/>
    <x v="2"/>
    <x v="21"/>
    <x v="245"/>
    <x v="1902"/>
    <x v="28"/>
    <x v="28"/>
    <x v="2"/>
  </r>
  <r>
    <x v="5"/>
    <x v="0"/>
    <x v="305"/>
    <x v="4"/>
    <x v="4"/>
    <x v="46"/>
    <x v="1"/>
    <x v="29"/>
    <x v="203"/>
    <x v="1993"/>
    <x v="11"/>
    <x v="11"/>
    <x v="2"/>
  </r>
  <r>
    <x v="5"/>
    <x v="0"/>
    <x v="306"/>
    <x v="4"/>
    <x v="4"/>
    <x v="46"/>
    <x v="5"/>
    <x v="33"/>
    <x v="210"/>
    <x v="2189"/>
    <x v="27"/>
    <x v="27"/>
    <x v="2"/>
  </r>
  <r>
    <x v="5"/>
    <x v="0"/>
    <x v="307"/>
    <x v="4"/>
    <x v="4"/>
    <x v="46"/>
    <x v="4"/>
    <x v="32"/>
    <x v="166"/>
    <x v="1757"/>
    <x v="20"/>
    <x v="20"/>
    <x v="2"/>
  </r>
  <r>
    <x v="5"/>
    <x v="0"/>
    <x v="308"/>
    <x v="4"/>
    <x v="4"/>
    <x v="46"/>
    <x v="0"/>
    <x v="35"/>
    <x v="143"/>
    <x v="1661"/>
    <x v="43"/>
    <x v="43"/>
    <x v="2"/>
  </r>
  <r>
    <x v="5"/>
    <x v="0"/>
    <x v="309"/>
    <x v="4"/>
    <x v="4"/>
    <x v="46"/>
    <x v="3"/>
    <x v="26"/>
    <x v="183"/>
    <x v="1661"/>
    <x v="8"/>
    <x v="8"/>
    <x v="2"/>
  </r>
  <r>
    <x v="5"/>
    <x v="0"/>
    <x v="310"/>
    <x v="4"/>
    <x v="4"/>
    <x v="46"/>
    <x v="2"/>
    <x v="29"/>
    <x v="229"/>
    <x v="2177"/>
    <x v="25"/>
    <x v="25"/>
    <x v="2"/>
  </r>
  <r>
    <x v="5"/>
    <x v="0"/>
    <x v="311"/>
    <x v="4"/>
    <x v="4"/>
    <x v="46"/>
    <x v="1"/>
    <x v="32"/>
    <x v="197"/>
    <x v="2065"/>
    <x v="9"/>
    <x v="9"/>
    <x v="2"/>
  </r>
  <r>
    <x v="5"/>
    <x v="0"/>
    <x v="312"/>
    <x v="4"/>
    <x v="4"/>
    <x v="46"/>
    <x v="5"/>
    <x v="40"/>
    <x v="183"/>
    <x v="2188"/>
    <x v="28"/>
    <x v="28"/>
    <x v="2"/>
  </r>
  <r>
    <x v="5"/>
    <x v="0"/>
    <x v="349"/>
    <x v="4"/>
    <x v="4"/>
    <x v="46"/>
    <x v="4"/>
    <x v="41"/>
    <x v="178"/>
    <x v="2177"/>
    <x v="18"/>
    <x v="18"/>
    <x v="2"/>
  </r>
  <r>
    <x v="5"/>
    <x v="0"/>
    <x v="350"/>
    <x v="4"/>
    <x v="4"/>
    <x v="46"/>
    <x v="0"/>
    <x v="44"/>
    <x v="148"/>
    <x v="2007"/>
    <x v="40"/>
    <x v="40"/>
    <x v="2"/>
  </r>
  <r>
    <x v="5"/>
    <x v="0"/>
    <x v="351"/>
    <x v="4"/>
    <x v="4"/>
    <x v="46"/>
    <x v="3"/>
    <x v="34"/>
    <x v="208"/>
    <x v="2214"/>
    <x v="6"/>
    <x v="6"/>
    <x v="2"/>
  </r>
  <r>
    <x v="5"/>
    <x v="0"/>
    <x v="352"/>
    <x v="4"/>
    <x v="4"/>
    <x v="46"/>
    <x v="2"/>
    <x v="33"/>
    <x v="228"/>
    <x v="2325"/>
    <x v="24"/>
    <x v="24"/>
    <x v="2"/>
  </r>
  <r>
    <x v="5"/>
    <x v="0"/>
    <x v="353"/>
    <x v="4"/>
    <x v="4"/>
    <x v="46"/>
    <x v="1"/>
    <x v="44"/>
    <x v="186"/>
    <x v="2354"/>
    <x v="11"/>
    <x v="11"/>
    <x v="2"/>
  </r>
  <r>
    <x v="5"/>
    <x v="0"/>
    <x v="354"/>
    <x v="4"/>
    <x v="4"/>
    <x v="46"/>
    <x v="5"/>
    <x v="39"/>
    <x v="214"/>
    <x v="2433"/>
    <x v="25"/>
    <x v="25"/>
    <x v="2"/>
  </r>
  <r>
    <x v="5"/>
    <x v="0"/>
    <x v="355"/>
    <x v="4"/>
    <x v="4"/>
    <x v="46"/>
    <x v="4"/>
    <x v="41"/>
    <x v="164"/>
    <x v="2067"/>
    <x v="20"/>
    <x v="20"/>
    <x v="2"/>
  </r>
  <r>
    <x v="5"/>
    <x v="0"/>
    <x v="356"/>
    <x v="4"/>
    <x v="4"/>
    <x v="46"/>
    <x v="0"/>
    <x v="40"/>
    <x v="137"/>
    <x v="1763"/>
    <x v="42"/>
    <x v="42"/>
    <x v="2"/>
  </r>
  <r>
    <x v="5"/>
    <x v="0"/>
    <x v="357"/>
    <x v="4"/>
    <x v="4"/>
    <x v="46"/>
    <x v="3"/>
    <x v="55"/>
    <x v="208"/>
    <x v="2696"/>
    <x v="5"/>
    <x v="5"/>
    <x v="2"/>
  </r>
  <r>
    <x v="5"/>
    <x v="0"/>
    <x v="358"/>
    <x v="4"/>
    <x v="4"/>
    <x v="46"/>
    <x v="2"/>
    <x v="37"/>
    <x v="227"/>
    <x v="2451"/>
    <x v="30"/>
    <x v="30"/>
    <x v="2"/>
  </r>
  <r>
    <x v="5"/>
    <x v="0"/>
    <x v="359"/>
    <x v="4"/>
    <x v="4"/>
    <x v="46"/>
    <x v="1"/>
    <x v="44"/>
    <x v="199"/>
    <x v="2452"/>
    <x v="13"/>
    <x v="13"/>
    <x v="2"/>
  </r>
  <r>
    <x v="5"/>
    <x v="0"/>
    <x v="360"/>
    <x v="4"/>
    <x v="4"/>
    <x v="46"/>
    <x v="5"/>
    <x v="39"/>
    <x v="194"/>
    <x v="2259"/>
    <x v="30"/>
    <x v="30"/>
    <x v="2"/>
  </r>
  <r>
    <x v="5"/>
    <x v="0"/>
    <x v="361"/>
    <x v="4"/>
    <x v="4"/>
    <x v="46"/>
    <x v="4"/>
    <x v="35"/>
    <x v="195"/>
    <x v="2150"/>
    <x v="28"/>
    <x v="28"/>
    <x v="2"/>
  </r>
  <r>
    <x v="5"/>
    <x v="0"/>
    <x v="362"/>
    <x v="4"/>
    <x v="4"/>
    <x v="46"/>
    <x v="0"/>
    <x v="42"/>
    <x v="159"/>
    <x v="2051"/>
    <x v="43"/>
    <x v="43"/>
    <x v="2"/>
  </r>
  <r>
    <x v="5"/>
    <x v="0"/>
    <x v="363"/>
    <x v="4"/>
    <x v="4"/>
    <x v="46"/>
    <x v="3"/>
    <x v="51"/>
    <x v="194"/>
    <x v="2565"/>
    <x v="9"/>
    <x v="9"/>
    <x v="2"/>
  </r>
  <r>
    <x v="5"/>
    <x v="0"/>
    <x v="364"/>
    <x v="4"/>
    <x v="4"/>
    <x v="46"/>
    <x v="2"/>
    <x v="34"/>
    <x v="281"/>
    <x v="2635"/>
    <x v="29"/>
    <x v="29"/>
    <x v="2"/>
  </r>
  <r>
    <x v="5"/>
    <x v="0"/>
    <x v="365"/>
    <x v="4"/>
    <x v="4"/>
    <x v="46"/>
    <x v="1"/>
    <x v="43"/>
    <x v="216"/>
    <x v="2540"/>
    <x v="16"/>
    <x v="16"/>
    <x v="2"/>
  </r>
  <r>
    <x v="5"/>
    <x v="0"/>
    <x v="366"/>
    <x v="4"/>
    <x v="4"/>
    <x v="46"/>
    <x v="5"/>
    <x v="35"/>
    <x v="237"/>
    <x v="2443"/>
    <x v="31"/>
    <x v="31"/>
    <x v="2"/>
  </r>
  <r>
    <x v="5"/>
    <x v="0"/>
    <x v="367"/>
    <x v="4"/>
    <x v="4"/>
    <x v="46"/>
    <x v="4"/>
    <x v="34"/>
    <x v="193"/>
    <x v="2090"/>
    <x v="27"/>
    <x v="27"/>
    <x v="2"/>
  </r>
  <r>
    <x v="5"/>
    <x v="0"/>
    <x v="368"/>
    <x v="4"/>
    <x v="4"/>
    <x v="46"/>
    <x v="0"/>
    <x v="37"/>
    <x v="172"/>
    <x v="1997"/>
    <x v="47"/>
    <x v="47"/>
    <x v="2"/>
  </r>
  <r>
    <x v="5"/>
    <x v="0"/>
    <x v="369"/>
    <x v="4"/>
    <x v="4"/>
    <x v="46"/>
    <x v="3"/>
    <x v="53"/>
    <x v="258"/>
    <x v="2810"/>
    <x v="12"/>
    <x v="12"/>
    <x v="2"/>
  </r>
  <r>
    <x v="5"/>
    <x v="0"/>
    <x v="370"/>
    <x v="4"/>
    <x v="4"/>
    <x v="46"/>
    <x v="2"/>
    <x v="34"/>
    <x v="279"/>
    <x v="2624"/>
    <x v="24"/>
    <x v="24"/>
    <x v="2"/>
  </r>
  <r>
    <x v="5"/>
    <x v="0"/>
    <x v="371"/>
    <x v="4"/>
    <x v="4"/>
    <x v="46"/>
    <x v="1"/>
    <x v="42"/>
    <x v="222"/>
    <x v="2547"/>
    <x v="10"/>
    <x v="10"/>
    <x v="2"/>
  </r>
  <r>
    <x v="5"/>
    <x v="0"/>
    <x v="372"/>
    <x v="4"/>
    <x v="4"/>
    <x v="46"/>
    <x v="5"/>
    <x v="39"/>
    <x v="223"/>
    <x v="2481"/>
    <x v="26"/>
    <x v="26"/>
    <x v="2"/>
  </r>
  <r>
    <x v="5"/>
    <x v="0"/>
    <x v="373"/>
    <x v="4"/>
    <x v="4"/>
    <x v="46"/>
    <x v="4"/>
    <x v="39"/>
    <x v="210"/>
    <x v="2396"/>
    <x v="22"/>
    <x v="22"/>
    <x v="2"/>
  </r>
  <r>
    <x v="5"/>
    <x v="0"/>
    <x v="374"/>
    <x v="4"/>
    <x v="4"/>
    <x v="46"/>
    <x v="0"/>
    <x v="37"/>
    <x v="204"/>
    <x v="2289"/>
    <x v="42"/>
    <x v="42"/>
    <x v="2"/>
  </r>
  <r>
    <x v="5"/>
    <x v="0"/>
    <x v="375"/>
    <x v="4"/>
    <x v="4"/>
    <x v="46"/>
    <x v="3"/>
    <x v="49"/>
    <x v="223"/>
    <x v="2680"/>
    <x v="5"/>
    <x v="5"/>
    <x v="2"/>
  </r>
  <r>
    <x v="5"/>
    <x v="0"/>
    <x v="376"/>
    <x v="4"/>
    <x v="4"/>
    <x v="46"/>
    <x v="2"/>
    <x v="38"/>
    <x v="255"/>
    <x v="2601"/>
    <x v="26"/>
    <x v="26"/>
    <x v="2"/>
  </r>
  <r>
    <x v="5"/>
    <x v="0"/>
    <x v="377"/>
    <x v="4"/>
    <x v="4"/>
    <x v="46"/>
    <x v="1"/>
    <x v="40"/>
    <x v="234"/>
    <x v="2567"/>
    <x v="8"/>
    <x v="8"/>
    <x v="2"/>
  </r>
  <r>
    <x v="5"/>
    <x v="0"/>
    <x v="378"/>
    <x v="4"/>
    <x v="4"/>
    <x v="46"/>
    <x v="5"/>
    <x v="44"/>
    <x v="211"/>
    <x v="2528"/>
    <x v="25"/>
    <x v="25"/>
    <x v="2"/>
  </r>
  <r>
    <x v="5"/>
    <x v="0"/>
    <x v="379"/>
    <x v="4"/>
    <x v="4"/>
    <x v="46"/>
    <x v="4"/>
    <x v="45"/>
    <x v="215"/>
    <x v="2583"/>
    <x v="20"/>
    <x v="20"/>
    <x v="2"/>
  </r>
  <r>
    <x v="5"/>
    <x v="0"/>
    <x v="380"/>
    <x v="4"/>
    <x v="4"/>
    <x v="46"/>
    <x v="0"/>
    <x v="52"/>
    <x v="222"/>
    <x v="2715"/>
    <x v="43"/>
    <x v="43"/>
    <x v="2"/>
  </r>
  <r>
    <x v="5"/>
    <x v="0"/>
    <x v="381"/>
    <x v="4"/>
    <x v="4"/>
    <x v="46"/>
    <x v="3"/>
    <x v="53"/>
    <x v="214"/>
    <x v="2698"/>
    <x v="8"/>
    <x v="8"/>
    <x v="2"/>
  </r>
  <r>
    <x v="5"/>
    <x v="0"/>
    <x v="382"/>
    <x v="4"/>
    <x v="4"/>
    <x v="46"/>
    <x v="2"/>
    <x v="33"/>
    <x v="243"/>
    <x v="2409"/>
    <x v="21"/>
    <x v="21"/>
    <x v="2"/>
  </r>
  <r>
    <x v="5"/>
    <x v="0"/>
    <x v="383"/>
    <x v="4"/>
    <x v="4"/>
    <x v="46"/>
    <x v="1"/>
    <x v="35"/>
    <x v="243"/>
    <x v="2475"/>
    <x v="3"/>
    <x v="3"/>
    <x v="2"/>
  </r>
  <r>
    <x v="5"/>
    <x v="0"/>
    <x v="384"/>
    <x v="4"/>
    <x v="4"/>
    <x v="46"/>
    <x v="5"/>
    <x v="32"/>
    <x v="211"/>
    <x v="2166"/>
    <x v="20"/>
    <x v="20"/>
    <x v="2"/>
  </r>
  <r>
    <x v="5"/>
    <x v="0"/>
    <x v="385"/>
    <x v="4"/>
    <x v="4"/>
    <x v="46"/>
    <x v="4"/>
    <x v="32"/>
    <x v="210"/>
    <x v="2160"/>
    <x v="13"/>
    <x v="13"/>
    <x v="2"/>
  </r>
  <r>
    <x v="5"/>
    <x v="0"/>
    <x v="386"/>
    <x v="4"/>
    <x v="4"/>
    <x v="46"/>
    <x v="0"/>
    <x v="36"/>
    <x v="194"/>
    <x v="2167"/>
    <x v="34"/>
    <x v="34"/>
    <x v="2"/>
  </r>
  <r>
    <x v="5"/>
    <x v="0"/>
    <x v="387"/>
    <x v="4"/>
    <x v="4"/>
    <x v="46"/>
    <x v="3"/>
    <x v="44"/>
    <x v="223"/>
    <x v="2593"/>
    <x v="2"/>
    <x v="2"/>
    <x v="2"/>
  </r>
  <r>
    <x v="5"/>
    <x v="0"/>
    <x v="388"/>
    <x v="4"/>
    <x v="4"/>
    <x v="46"/>
    <x v="2"/>
    <x v="29"/>
    <x v="245"/>
    <x v="2266"/>
    <x v="19"/>
    <x v="19"/>
    <x v="2"/>
  </r>
  <r>
    <x v="5"/>
    <x v="0"/>
    <x v="389"/>
    <x v="4"/>
    <x v="4"/>
    <x v="46"/>
    <x v="1"/>
    <x v="32"/>
    <x v="236"/>
    <x v="2338"/>
    <x v="4"/>
    <x v="4"/>
    <x v="2"/>
  </r>
  <r>
    <x v="5"/>
    <x v="0"/>
    <x v="390"/>
    <x v="4"/>
    <x v="4"/>
    <x v="46"/>
    <x v="5"/>
    <x v="35"/>
    <x v="183"/>
    <x v="2034"/>
    <x v="19"/>
    <x v="19"/>
    <x v="2"/>
  </r>
  <r>
    <x v="5"/>
    <x v="0"/>
    <x v="391"/>
    <x v="4"/>
    <x v="4"/>
    <x v="46"/>
    <x v="4"/>
    <x v="35"/>
    <x v="192"/>
    <x v="2111"/>
    <x v="17"/>
    <x v="17"/>
    <x v="2"/>
  </r>
  <r>
    <x v="5"/>
    <x v="0"/>
    <x v="392"/>
    <x v="4"/>
    <x v="4"/>
    <x v="46"/>
    <x v="0"/>
    <x v="43"/>
    <x v="191"/>
    <x v="2359"/>
    <x v="33"/>
    <x v="33"/>
    <x v="2"/>
  </r>
  <r>
    <x v="5"/>
    <x v="0"/>
    <x v="393"/>
    <x v="4"/>
    <x v="4"/>
    <x v="46"/>
    <x v="3"/>
    <x v="39"/>
    <x v="193"/>
    <x v="2254"/>
    <x v="1"/>
    <x v="1"/>
    <x v="2"/>
  </r>
  <r>
    <x v="5"/>
    <x v="0"/>
    <x v="394"/>
    <x v="4"/>
    <x v="4"/>
    <x v="46"/>
    <x v="2"/>
    <x v="32"/>
    <x v="222"/>
    <x v="2248"/>
    <x v="21"/>
    <x v="21"/>
    <x v="2"/>
  </r>
  <r>
    <x v="5"/>
    <x v="0"/>
    <x v="395"/>
    <x v="4"/>
    <x v="4"/>
    <x v="46"/>
    <x v="1"/>
    <x v="39"/>
    <x v="258"/>
    <x v="2644"/>
    <x v="6"/>
    <x v="6"/>
    <x v="2"/>
  </r>
  <r>
    <x v="5"/>
    <x v="0"/>
    <x v="396"/>
    <x v="4"/>
    <x v="4"/>
    <x v="46"/>
    <x v="5"/>
    <x v="33"/>
    <x v="210"/>
    <x v="2189"/>
    <x v="20"/>
    <x v="20"/>
    <x v="2"/>
  </r>
  <r>
    <x v="5"/>
    <x v="0"/>
    <x v="397"/>
    <x v="4"/>
    <x v="4"/>
    <x v="46"/>
    <x v="4"/>
    <x v="30"/>
    <x v="183"/>
    <x v="1836"/>
    <x v="15"/>
    <x v="15"/>
    <x v="2"/>
  </r>
  <r>
    <x v="5"/>
    <x v="0"/>
    <x v="398"/>
    <x v="4"/>
    <x v="4"/>
    <x v="46"/>
    <x v="0"/>
    <x v="44"/>
    <x v="195"/>
    <x v="2428"/>
    <x v="33"/>
    <x v="33"/>
    <x v="2"/>
  </r>
  <r>
    <x v="5"/>
    <x v="0"/>
    <x v="399"/>
    <x v="4"/>
    <x v="4"/>
    <x v="46"/>
    <x v="3"/>
    <x v="49"/>
    <x v="216"/>
    <x v="2655"/>
    <x v="2"/>
    <x v="2"/>
    <x v="2"/>
  </r>
  <r>
    <x v="5"/>
    <x v="0"/>
    <x v="400"/>
    <x v="4"/>
    <x v="4"/>
    <x v="46"/>
    <x v="2"/>
    <x v="33"/>
    <x v="270"/>
    <x v="2546"/>
    <x v="19"/>
    <x v="19"/>
    <x v="2"/>
  </r>
  <r>
    <x v="5"/>
    <x v="0"/>
    <x v="401"/>
    <x v="4"/>
    <x v="4"/>
    <x v="46"/>
    <x v="1"/>
    <x v="39"/>
    <x v="276"/>
    <x v="2701"/>
    <x v="7"/>
    <x v="7"/>
    <x v="2"/>
  </r>
  <r>
    <x v="5"/>
    <x v="0"/>
    <x v="402"/>
    <x v="4"/>
    <x v="4"/>
    <x v="46"/>
    <x v="5"/>
    <x v="37"/>
    <x v="216"/>
    <x v="2384"/>
    <x v="19"/>
    <x v="19"/>
    <x v="2"/>
  </r>
  <r>
    <x v="5"/>
    <x v="0"/>
    <x v="403"/>
    <x v="4"/>
    <x v="4"/>
    <x v="46"/>
    <x v="4"/>
    <x v="33"/>
    <x v="228"/>
    <x v="2325"/>
    <x v="16"/>
    <x v="16"/>
    <x v="2"/>
  </r>
  <r>
    <x v="5"/>
    <x v="0"/>
    <x v="404"/>
    <x v="4"/>
    <x v="4"/>
    <x v="46"/>
    <x v="0"/>
    <x v="36"/>
    <x v="208"/>
    <x v="2287"/>
    <x v="38"/>
    <x v="38"/>
    <x v="2"/>
  </r>
  <r>
    <x v="5"/>
    <x v="0"/>
    <x v="405"/>
    <x v="4"/>
    <x v="4"/>
    <x v="46"/>
    <x v="3"/>
    <x v="43"/>
    <x v="216"/>
    <x v="2540"/>
    <x v="3"/>
    <x v="3"/>
    <x v="2"/>
  </r>
  <r>
    <x v="2"/>
    <x v="2"/>
    <x v="406"/>
    <x v="4"/>
    <x v="4"/>
    <x v="46"/>
    <x v="2"/>
    <x v="19"/>
    <x v="193"/>
    <x v="1398"/>
    <x v="29"/>
    <x v="29"/>
    <x v="2"/>
  </r>
  <r>
    <x v="2"/>
    <x v="2"/>
    <x v="407"/>
    <x v="4"/>
    <x v="4"/>
    <x v="46"/>
    <x v="1"/>
    <x v="28"/>
    <x v="193"/>
    <x v="1851"/>
    <x v="16"/>
    <x v="16"/>
    <x v="2"/>
  </r>
  <r>
    <x v="2"/>
    <x v="2"/>
    <x v="426"/>
    <x v="4"/>
    <x v="4"/>
    <x v="46"/>
    <x v="5"/>
    <x v="29"/>
    <x v="187"/>
    <x v="1845"/>
    <x v="28"/>
    <x v="28"/>
    <x v="2"/>
  </r>
  <r>
    <x v="2"/>
    <x v="2"/>
    <x v="427"/>
    <x v="4"/>
    <x v="4"/>
    <x v="46"/>
    <x v="4"/>
    <x v="26"/>
    <x v="159"/>
    <x v="1443"/>
    <x v="24"/>
    <x v="24"/>
    <x v="2"/>
  </r>
  <r>
    <x v="2"/>
    <x v="2"/>
    <x v="428"/>
    <x v="4"/>
    <x v="4"/>
    <x v="28"/>
    <x v="0"/>
    <x v="29"/>
    <x v="134"/>
    <x v="1344"/>
    <x v="45"/>
    <x v="45"/>
    <x v="2"/>
  </r>
  <r>
    <x v="2"/>
    <x v="2"/>
    <x v="429"/>
    <x v="4"/>
    <x v="4"/>
    <x v="28"/>
    <x v="3"/>
    <x v="22"/>
    <x v="183"/>
    <x v="1463"/>
    <x v="9"/>
    <x v="9"/>
    <x v="2"/>
  </r>
  <r>
    <x v="2"/>
    <x v="2"/>
    <x v="430"/>
    <x v="4"/>
    <x v="4"/>
    <x v="28"/>
    <x v="2"/>
    <x v="21"/>
    <x v="204"/>
    <x v="1614"/>
    <x v="32"/>
    <x v="32"/>
    <x v="2"/>
  </r>
  <r>
    <x v="2"/>
    <x v="2"/>
    <x v="431"/>
    <x v="4"/>
    <x v="4"/>
    <x v="28"/>
    <x v="1"/>
    <x v="23"/>
    <x v="185"/>
    <x v="1557"/>
    <x v="17"/>
    <x v="17"/>
    <x v="2"/>
  </r>
  <r>
    <x v="2"/>
    <x v="2"/>
    <x v="432"/>
    <x v="4"/>
    <x v="4"/>
    <x v="28"/>
    <x v="5"/>
    <x v="26"/>
    <x v="192"/>
    <x v="1748"/>
    <x v="28"/>
    <x v="28"/>
    <x v="2"/>
  </r>
  <r>
    <x v="2"/>
    <x v="2"/>
    <x v="433"/>
    <x v="4"/>
    <x v="4"/>
    <x v="28"/>
    <x v="4"/>
    <x v="27"/>
    <x v="156"/>
    <x v="1462"/>
    <x v="27"/>
    <x v="27"/>
    <x v="2"/>
  </r>
  <r>
    <x v="2"/>
    <x v="2"/>
    <x v="434"/>
    <x v="4"/>
    <x v="4"/>
    <x v="28"/>
    <x v="0"/>
    <x v="33"/>
    <x v="120"/>
    <x v="1348"/>
    <x v="43"/>
    <x v="43"/>
    <x v="2"/>
  </r>
  <r>
    <x v="2"/>
    <x v="2"/>
    <x v="435"/>
    <x v="4"/>
    <x v="4"/>
    <x v="28"/>
    <x v="3"/>
    <x v="25"/>
    <x v="181"/>
    <x v="1599"/>
    <x v="12"/>
    <x v="12"/>
    <x v="2"/>
  </r>
  <r>
    <x v="2"/>
    <x v="2"/>
    <x v="436"/>
    <x v="4"/>
    <x v="4"/>
    <x v="28"/>
    <x v="2"/>
    <x v="17"/>
    <x v="223"/>
    <x v="1525"/>
    <x v="30"/>
    <x v="30"/>
    <x v="2"/>
  </r>
  <r>
    <x v="2"/>
    <x v="2"/>
    <x v="437"/>
    <x v="4"/>
    <x v="4"/>
    <x v="28"/>
    <x v="1"/>
    <x v="29"/>
    <x v="195"/>
    <x v="1922"/>
    <x v="14"/>
    <x v="14"/>
    <x v="2"/>
  </r>
  <r>
    <x v="2"/>
    <x v="2"/>
    <x v="438"/>
    <x v="4"/>
    <x v="4"/>
    <x v="28"/>
    <x v="5"/>
    <x v="26"/>
    <x v="191"/>
    <x v="1732"/>
    <x v="32"/>
    <x v="32"/>
    <x v="2"/>
  </r>
  <r>
    <x v="2"/>
    <x v="2"/>
    <x v="439"/>
    <x v="4"/>
    <x v="4"/>
    <x v="28"/>
    <x v="4"/>
    <x v="29"/>
    <x v="153"/>
    <x v="1525"/>
    <x v="25"/>
    <x v="25"/>
    <x v="2"/>
  </r>
  <r>
    <x v="2"/>
    <x v="2"/>
    <x v="440"/>
    <x v="4"/>
    <x v="4"/>
    <x v="28"/>
    <x v="0"/>
    <x v="29"/>
    <x v="108"/>
    <x v="1112"/>
    <x v="45"/>
    <x v="45"/>
    <x v="2"/>
  </r>
  <r>
    <x v="2"/>
    <x v="2"/>
    <x v="454"/>
    <x v="4"/>
    <x v="4"/>
    <x v="28"/>
    <x v="3"/>
    <x v="26"/>
    <x v="170"/>
    <x v="1543"/>
    <x v="9"/>
    <x v="9"/>
    <x v="2"/>
  </r>
  <r>
    <x v="2"/>
    <x v="2"/>
    <x v="455"/>
    <x v="4"/>
    <x v="4"/>
    <x v="28"/>
    <x v="2"/>
    <x v="24"/>
    <x v="211"/>
    <x v="1818"/>
    <x v="32"/>
    <x v="32"/>
    <x v="2"/>
  </r>
  <r>
    <x v="2"/>
    <x v="2"/>
    <x v="456"/>
    <x v="4"/>
    <x v="4"/>
    <x v="28"/>
    <x v="1"/>
    <x v="27"/>
    <x v="183"/>
    <x v="1703"/>
    <x v="15"/>
    <x v="15"/>
    <x v="2"/>
  </r>
  <r>
    <x v="2"/>
    <x v="2"/>
    <x v="457"/>
    <x v="4"/>
    <x v="4"/>
    <x v="28"/>
    <x v="5"/>
    <x v="31"/>
    <x v="179"/>
    <x v="1849"/>
    <x v="33"/>
    <x v="33"/>
    <x v="2"/>
  </r>
  <r>
    <x v="2"/>
    <x v="2"/>
    <x v="458"/>
    <x v="4"/>
    <x v="4"/>
    <x v="28"/>
    <x v="4"/>
    <x v="24"/>
    <x v="150"/>
    <x v="1290"/>
    <x v="24"/>
    <x v="24"/>
    <x v="2"/>
  </r>
  <r>
    <x v="2"/>
    <x v="2"/>
    <x v="459"/>
    <x v="4"/>
    <x v="4"/>
    <x v="28"/>
    <x v="0"/>
    <x v="31"/>
    <x v="128"/>
    <x v="1366"/>
    <x v="47"/>
    <x v="47"/>
    <x v="2"/>
  </r>
  <r>
    <x v="2"/>
    <x v="2"/>
    <x v="460"/>
    <x v="4"/>
    <x v="4"/>
    <x v="28"/>
    <x v="3"/>
    <x v="42"/>
    <x v="173"/>
    <x v="2170"/>
    <x v="13"/>
    <x v="13"/>
    <x v="2"/>
  </r>
  <r>
    <x v="2"/>
    <x v="2"/>
    <x v="461"/>
    <x v="4"/>
    <x v="4"/>
    <x v="28"/>
    <x v="2"/>
    <x v="25"/>
    <x v="204"/>
    <x v="1815"/>
    <x v="33"/>
    <x v="33"/>
    <x v="2"/>
  </r>
  <r>
    <x v="2"/>
    <x v="2"/>
    <x v="462"/>
    <x v="4"/>
    <x v="4"/>
    <x v="28"/>
    <x v="1"/>
    <x v="27"/>
    <x v="191"/>
    <x v="1782"/>
    <x v="16"/>
    <x v="16"/>
    <x v="2"/>
  </r>
  <r>
    <x v="2"/>
    <x v="2"/>
    <x v="463"/>
    <x v="4"/>
    <x v="4"/>
    <x v="28"/>
    <x v="5"/>
    <x v="29"/>
    <x v="185"/>
    <x v="1829"/>
    <x v="31"/>
    <x v="31"/>
    <x v="2"/>
  </r>
  <r>
    <x v="2"/>
    <x v="2"/>
    <x v="464"/>
    <x v="4"/>
    <x v="4"/>
    <x v="28"/>
    <x v="4"/>
    <x v="26"/>
    <x v="169"/>
    <x v="1532"/>
    <x v="24"/>
    <x v="24"/>
    <x v="2"/>
  </r>
  <r>
    <x v="2"/>
    <x v="2"/>
    <x v="465"/>
    <x v="4"/>
    <x v="4"/>
    <x v="28"/>
    <x v="0"/>
    <x v="31"/>
    <x v="120"/>
    <x v="1281"/>
    <x v="45"/>
    <x v="45"/>
    <x v="2"/>
  </r>
  <r>
    <x v="2"/>
    <x v="2"/>
    <x v="466"/>
    <x v="4"/>
    <x v="4"/>
    <x v="28"/>
    <x v="3"/>
    <x v="36"/>
    <x v="179"/>
    <x v="2045"/>
    <x v="8"/>
    <x v="8"/>
    <x v="2"/>
  </r>
  <r>
    <x v="2"/>
    <x v="2"/>
    <x v="467"/>
    <x v="4"/>
    <x v="4"/>
    <x v="28"/>
    <x v="2"/>
    <x v="29"/>
    <x v="251"/>
    <x v="2305"/>
    <x v="30"/>
    <x v="30"/>
    <x v="2"/>
  </r>
  <r>
    <x v="2"/>
    <x v="2"/>
    <x v="468"/>
    <x v="4"/>
    <x v="4"/>
    <x v="28"/>
    <x v="1"/>
    <x v="28"/>
    <x v="194"/>
    <x v="1857"/>
    <x v="16"/>
    <x v="16"/>
    <x v="2"/>
  </r>
  <r>
    <x v="2"/>
    <x v="2"/>
    <x v="469"/>
    <x v="4"/>
    <x v="4"/>
    <x v="28"/>
    <x v="5"/>
    <x v="28"/>
    <x v="199"/>
    <x v="1914"/>
    <x v="28"/>
    <x v="28"/>
    <x v="2"/>
  </r>
  <r>
    <x v="2"/>
    <x v="2"/>
    <x v="470"/>
    <x v="4"/>
    <x v="4"/>
    <x v="28"/>
    <x v="4"/>
    <x v="25"/>
    <x v="170"/>
    <x v="1490"/>
    <x v="23"/>
    <x v="23"/>
    <x v="2"/>
  </r>
  <r>
    <x v="2"/>
    <x v="2"/>
    <x v="471"/>
    <x v="4"/>
    <x v="4"/>
    <x v="28"/>
    <x v="0"/>
    <x v="32"/>
    <x v="143"/>
    <x v="1551"/>
    <x v="46"/>
    <x v="46"/>
    <x v="2"/>
  </r>
  <r>
    <x v="2"/>
    <x v="2"/>
    <x v="472"/>
    <x v="4"/>
    <x v="4"/>
    <x v="28"/>
    <x v="3"/>
    <x v="41"/>
    <x v="223"/>
    <x v="2529"/>
    <x v="8"/>
    <x v="8"/>
    <x v="2"/>
  </r>
  <r>
    <x v="2"/>
    <x v="2"/>
    <x v="473"/>
    <x v="4"/>
    <x v="4"/>
    <x v="28"/>
    <x v="2"/>
    <x v="23"/>
    <x v="241"/>
    <x v="1985"/>
    <x v="33"/>
    <x v="33"/>
    <x v="2"/>
  </r>
  <r>
    <x v="2"/>
    <x v="2"/>
    <x v="474"/>
    <x v="4"/>
    <x v="4"/>
    <x v="28"/>
    <x v="1"/>
    <x v="30"/>
    <x v="229"/>
    <x v="2217"/>
    <x v="15"/>
    <x v="15"/>
    <x v="2"/>
  </r>
  <r>
    <x v="2"/>
    <x v="2"/>
    <x v="475"/>
    <x v="4"/>
    <x v="4"/>
    <x v="28"/>
    <x v="5"/>
    <x v="26"/>
    <x v="204"/>
    <x v="1866"/>
    <x v="32"/>
    <x v="32"/>
    <x v="2"/>
  </r>
  <r>
    <x v="2"/>
    <x v="2"/>
    <x v="476"/>
    <x v="4"/>
    <x v="4"/>
    <x v="28"/>
    <x v="4"/>
    <x v="22"/>
    <x v="195"/>
    <x v="1591"/>
    <x v="26"/>
    <x v="26"/>
    <x v="2"/>
  </r>
  <r>
    <x v="2"/>
    <x v="2"/>
    <x v="477"/>
    <x v="4"/>
    <x v="4"/>
    <x v="28"/>
    <x v="0"/>
    <x v="31"/>
    <x v="193"/>
    <x v="1979"/>
    <x v="46"/>
    <x v="46"/>
    <x v="2"/>
  </r>
  <r>
    <x v="2"/>
    <x v="2"/>
    <x v="478"/>
    <x v="4"/>
    <x v="4"/>
    <x v="28"/>
    <x v="3"/>
    <x v="44"/>
    <x v="193"/>
    <x v="2402"/>
    <x v="9"/>
    <x v="9"/>
    <x v="2"/>
  </r>
  <r>
    <x v="2"/>
    <x v="2"/>
    <x v="479"/>
    <x v="4"/>
    <x v="4"/>
    <x v="28"/>
    <x v="2"/>
    <x v="29"/>
    <x v="258"/>
    <x v="2354"/>
    <x v="31"/>
    <x v="31"/>
    <x v="2"/>
  </r>
  <r>
    <x v="2"/>
    <x v="2"/>
    <x v="480"/>
    <x v="4"/>
    <x v="4"/>
    <x v="28"/>
    <x v="1"/>
    <x v="34"/>
    <x v="223"/>
    <x v="2324"/>
    <x v="17"/>
    <x v="17"/>
    <x v="2"/>
  </r>
  <r>
    <x v="2"/>
    <x v="2"/>
    <x v="481"/>
    <x v="4"/>
    <x v="4"/>
    <x v="28"/>
    <x v="5"/>
    <x v="27"/>
    <x v="198"/>
    <x v="1859"/>
    <x v="30"/>
    <x v="30"/>
    <x v="2"/>
  </r>
  <r>
    <x v="2"/>
    <x v="2"/>
    <x v="482"/>
    <x v="4"/>
    <x v="4"/>
    <x v="28"/>
    <x v="4"/>
    <x v="29"/>
    <x v="192"/>
    <x v="1887"/>
    <x v="24"/>
    <x v="24"/>
    <x v="2"/>
  </r>
  <r>
    <x v="2"/>
    <x v="2"/>
    <x v="483"/>
    <x v="4"/>
    <x v="4"/>
    <x v="28"/>
    <x v="0"/>
    <x v="36"/>
    <x v="196"/>
    <x v="2191"/>
    <x v="48"/>
    <x v="48"/>
    <x v="2"/>
  </r>
  <r>
    <x v="2"/>
    <x v="2"/>
    <x v="484"/>
    <x v="4"/>
    <x v="4"/>
    <x v="28"/>
    <x v="3"/>
    <x v="39"/>
    <x v="181"/>
    <x v="2148"/>
    <x v="9"/>
    <x v="9"/>
    <x v="2"/>
  </r>
  <r>
    <x v="2"/>
    <x v="2"/>
    <x v="485"/>
    <x v="4"/>
    <x v="4"/>
    <x v="28"/>
    <x v="2"/>
    <x v="31"/>
    <x v="245"/>
    <x v="2345"/>
    <x v="32"/>
    <x v="32"/>
    <x v="2"/>
  </r>
  <r>
    <x v="2"/>
    <x v="2"/>
    <x v="486"/>
    <x v="4"/>
    <x v="4"/>
    <x v="28"/>
    <x v="1"/>
    <x v="32"/>
    <x v="223"/>
    <x v="2253"/>
    <x v="13"/>
    <x v="13"/>
    <x v="2"/>
  </r>
  <r>
    <x v="2"/>
    <x v="2"/>
    <x v="487"/>
    <x v="4"/>
    <x v="4"/>
    <x v="28"/>
    <x v="5"/>
    <x v="31"/>
    <x v="183"/>
    <x v="1878"/>
    <x v="31"/>
    <x v="31"/>
    <x v="2"/>
  </r>
  <r>
    <x v="2"/>
    <x v="2"/>
    <x v="488"/>
    <x v="4"/>
    <x v="4"/>
    <x v="28"/>
    <x v="4"/>
    <x v="32"/>
    <x v="171"/>
    <x v="1798"/>
    <x v="26"/>
    <x v="26"/>
    <x v="2"/>
  </r>
  <r>
    <x v="2"/>
    <x v="2"/>
    <x v="489"/>
    <x v="4"/>
    <x v="4"/>
    <x v="28"/>
    <x v="0"/>
    <x v="37"/>
    <x v="171"/>
    <x v="1991"/>
    <x v="48"/>
    <x v="48"/>
    <x v="2"/>
  </r>
  <r>
    <x v="2"/>
    <x v="2"/>
    <x v="490"/>
    <x v="4"/>
    <x v="4"/>
    <x v="28"/>
    <x v="3"/>
    <x v="42"/>
    <x v="183"/>
    <x v="2252"/>
    <x v="8"/>
    <x v="8"/>
    <x v="2"/>
  </r>
  <r>
    <x v="2"/>
    <x v="2"/>
    <x v="491"/>
    <x v="4"/>
    <x v="4"/>
    <x v="28"/>
    <x v="2"/>
    <x v="29"/>
    <x v="216"/>
    <x v="2094"/>
    <x v="33"/>
    <x v="33"/>
    <x v="2"/>
  </r>
  <r>
    <x v="2"/>
    <x v="2"/>
    <x v="492"/>
    <x v="4"/>
    <x v="4"/>
    <x v="28"/>
    <x v="1"/>
    <x v="36"/>
    <x v="223"/>
    <x v="2395"/>
    <x v="16"/>
    <x v="16"/>
    <x v="2"/>
  </r>
  <r>
    <x v="2"/>
    <x v="2"/>
    <x v="493"/>
    <x v="4"/>
    <x v="4"/>
    <x v="28"/>
    <x v="5"/>
    <x v="26"/>
    <x v="181"/>
    <x v="1645"/>
    <x v="28"/>
    <x v="28"/>
    <x v="2"/>
  </r>
  <r>
    <x v="2"/>
    <x v="2"/>
    <x v="494"/>
    <x v="4"/>
    <x v="4"/>
    <x v="28"/>
    <x v="4"/>
    <x v="26"/>
    <x v="184"/>
    <x v="1682"/>
    <x v="28"/>
    <x v="28"/>
    <x v="2"/>
  </r>
  <r>
    <x v="2"/>
    <x v="2"/>
    <x v="495"/>
    <x v="4"/>
    <x v="4"/>
    <x v="28"/>
    <x v="0"/>
    <x v="39"/>
    <x v="183"/>
    <x v="2165"/>
    <x v="48"/>
    <x v="48"/>
    <x v="2"/>
  </r>
  <r>
    <x v="2"/>
    <x v="2"/>
    <x v="496"/>
    <x v="4"/>
    <x v="4"/>
    <x v="28"/>
    <x v="3"/>
    <x v="39"/>
    <x v="181"/>
    <x v="2148"/>
    <x v="10"/>
    <x v="10"/>
    <x v="2"/>
  </r>
  <r>
    <x v="2"/>
    <x v="2"/>
    <x v="497"/>
    <x v="4"/>
    <x v="4"/>
    <x v="28"/>
    <x v="2"/>
    <x v="33"/>
    <x v="229"/>
    <x v="2333"/>
    <x v="32"/>
    <x v="32"/>
    <x v="2"/>
  </r>
  <r>
    <x v="2"/>
    <x v="2"/>
    <x v="498"/>
    <x v="4"/>
    <x v="4"/>
    <x v="28"/>
    <x v="1"/>
    <x v="35"/>
    <x v="223"/>
    <x v="2364"/>
    <x v="16"/>
    <x v="16"/>
    <x v="2"/>
  </r>
  <r>
    <x v="2"/>
    <x v="2"/>
    <x v="499"/>
    <x v="4"/>
    <x v="4"/>
    <x v="28"/>
    <x v="5"/>
    <x v="28"/>
    <x v="192"/>
    <x v="1844"/>
    <x v="32"/>
    <x v="32"/>
    <x v="2"/>
  </r>
  <r>
    <x v="2"/>
    <x v="2"/>
    <x v="500"/>
    <x v="4"/>
    <x v="4"/>
    <x v="28"/>
    <x v="4"/>
    <x v="26"/>
    <x v="191"/>
    <x v="1732"/>
    <x v="28"/>
    <x v="28"/>
    <x v="2"/>
  </r>
  <r>
    <x v="2"/>
    <x v="2"/>
    <x v="501"/>
    <x v="4"/>
    <x v="4"/>
    <x v="28"/>
    <x v="0"/>
    <x v="39"/>
    <x v="178"/>
    <x v="2115"/>
    <x v="43"/>
    <x v="43"/>
    <x v="2"/>
  </r>
  <r>
    <x v="2"/>
    <x v="2"/>
    <x v="502"/>
    <x v="4"/>
    <x v="4"/>
    <x v="28"/>
    <x v="3"/>
    <x v="42"/>
    <x v="202"/>
    <x v="2432"/>
    <x v="10"/>
    <x v="10"/>
    <x v="2"/>
  </r>
  <r>
    <x v="2"/>
    <x v="2"/>
    <x v="503"/>
    <x v="4"/>
    <x v="4"/>
    <x v="28"/>
    <x v="2"/>
    <x v="32"/>
    <x v="265"/>
    <x v="2495"/>
    <x v="32"/>
    <x v="32"/>
    <x v="2"/>
  </r>
  <r>
    <x v="2"/>
    <x v="2"/>
    <x v="504"/>
    <x v="4"/>
    <x v="4"/>
    <x v="28"/>
    <x v="1"/>
    <x v="35"/>
    <x v="244"/>
    <x v="2478"/>
    <x v="14"/>
    <x v="14"/>
    <x v="2"/>
  </r>
  <r>
    <x v="2"/>
    <x v="2"/>
    <x v="505"/>
    <x v="4"/>
    <x v="4"/>
    <x v="28"/>
    <x v="5"/>
    <x v="32"/>
    <x v="197"/>
    <x v="2065"/>
    <x v="32"/>
    <x v="32"/>
    <x v="2"/>
  </r>
  <r>
    <x v="2"/>
    <x v="2"/>
    <x v="506"/>
    <x v="4"/>
    <x v="4"/>
    <x v="28"/>
    <x v="4"/>
    <x v="28"/>
    <x v="193"/>
    <x v="1851"/>
    <x v="26"/>
    <x v="26"/>
    <x v="2"/>
  </r>
  <r>
    <x v="2"/>
    <x v="2"/>
    <x v="507"/>
    <x v="4"/>
    <x v="4"/>
    <x v="28"/>
    <x v="0"/>
    <x v="36"/>
    <x v="189"/>
    <x v="2119"/>
    <x v="48"/>
    <x v="48"/>
    <x v="2"/>
  </r>
  <r>
    <x v="2"/>
    <x v="2"/>
    <x v="508"/>
    <x v="4"/>
    <x v="4"/>
    <x v="28"/>
    <x v="3"/>
    <x v="37"/>
    <x v="198"/>
    <x v="2239"/>
    <x v="11"/>
    <x v="11"/>
    <x v="2"/>
  </r>
  <r>
    <x v="1"/>
    <x v="1"/>
    <x v="509"/>
    <x v="4"/>
    <x v="4"/>
    <x v="28"/>
    <x v="2"/>
    <x v="29"/>
    <x v="127"/>
    <x v="1274"/>
    <x v="31"/>
    <x v="31"/>
    <x v="2"/>
  </r>
  <r>
    <x v="1"/>
    <x v="1"/>
    <x v="510"/>
    <x v="4"/>
    <x v="4"/>
    <x v="28"/>
    <x v="1"/>
    <x v="24"/>
    <x v="75"/>
    <x v="622"/>
    <x v="27"/>
    <x v="27"/>
    <x v="2"/>
  </r>
  <r>
    <x v="1"/>
    <x v="1"/>
    <x v="511"/>
    <x v="4"/>
    <x v="4"/>
    <x v="28"/>
    <x v="5"/>
    <x v="17"/>
    <x v="77"/>
    <x v="463"/>
    <x v="25"/>
    <x v="25"/>
    <x v="2"/>
  </r>
  <r>
    <x v="1"/>
    <x v="1"/>
    <x v="512"/>
    <x v="4"/>
    <x v="4"/>
    <x v="28"/>
    <x v="4"/>
    <x v="20"/>
    <x v="30"/>
    <x v="139"/>
    <x v="32"/>
    <x v="32"/>
    <x v="2"/>
  </r>
  <r>
    <x v="3"/>
    <x v="3"/>
    <x v="585"/>
    <x v="2"/>
    <x v="42"/>
    <x v="15"/>
    <x v="0"/>
    <x v="19"/>
    <x v="94"/>
    <x v="654"/>
    <x v="13"/>
    <x v="13"/>
    <x v="2"/>
  </r>
  <r>
    <x v="3"/>
    <x v="3"/>
    <x v="586"/>
    <x v="2"/>
    <x v="42"/>
    <x v="15"/>
    <x v="3"/>
    <x v="17"/>
    <x v="141"/>
    <x v="932"/>
    <x v="34"/>
    <x v="34"/>
    <x v="2"/>
  </r>
  <r>
    <x v="3"/>
    <x v="3"/>
    <x v="587"/>
    <x v="2"/>
    <x v="42"/>
    <x v="15"/>
    <x v="2"/>
    <x v="12"/>
    <x v="196"/>
    <x v="1049"/>
    <x v="18"/>
    <x v="18"/>
    <x v="2"/>
  </r>
  <r>
    <x v="3"/>
    <x v="3"/>
    <x v="588"/>
    <x v="2"/>
    <x v="42"/>
    <x v="15"/>
    <x v="1"/>
    <x v="16"/>
    <x v="185"/>
    <x v="1196"/>
    <x v="22"/>
    <x v="22"/>
    <x v="2"/>
  </r>
  <r>
    <x v="3"/>
    <x v="3"/>
    <x v="589"/>
    <x v="2"/>
    <x v="42"/>
    <x v="15"/>
    <x v="5"/>
    <x v="20"/>
    <x v="123"/>
    <x v="915"/>
    <x v="21"/>
    <x v="21"/>
    <x v="2"/>
  </r>
  <r>
    <x v="3"/>
    <x v="3"/>
    <x v="590"/>
    <x v="2"/>
    <x v="42"/>
    <x v="15"/>
    <x v="4"/>
    <x v="21"/>
    <x v="116"/>
    <x v="899"/>
    <x v="31"/>
    <x v="31"/>
    <x v="2"/>
  </r>
  <r>
    <x v="3"/>
    <x v="3"/>
    <x v="591"/>
    <x v="2"/>
    <x v="42"/>
    <x v="15"/>
    <x v="0"/>
    <x v="19"/>
    <x v="76"/>
    <x v="505"/>
    <x v="18"/>
    <x v="18"/>
    <x v="2"/>
  </r>
  <r>
    <x v="3"/>
    <x v="3"/>
    <x v="592"/>
    <x v="2"/>
    <x v="42"/>
    <x v="15"/>
    <x v="3"/>
    <x v="19"/>
    <x v="134"/>
    <x v="963"/>
    <x v="37"/>
    <x v="37"/>
    <x v="2"/>
  </r>
  <r>
    <x v="3"/>
    <x v="3"/>
    <x v="593"/>
    <x v="2"/>
    <x v="42"/>
    <x v="15"/>
    <x v="2"/>
    <x v="14"/>
    <x v="177"/>
    <x v="1019"/>
    <x v="25"/>
    <x v="25"/>
    <x v="2"/>
  </r>
  <r>
    <x v="3"/>
    <x v="3"/>
    <x v="594"/>
    <x v="2"/>
    <x v="42"/>
    <x v="15"/>
    <x v="1"/>
    <x v="24"/>
    <x v="201"/>
    <x v="1739"/>
    <x v="26"/>
    <x v="26"/>
    <x v="2"/>
  </r>
  <r>
    <x v="3"/>
    <x v="3"/>
    <x v="595"/>
    <x v="2"/>
    <x v="42"/>
    <x v="15"/>
    <x v="5"/>
    <x v="13"/>
    <x v="134"/>
    <x v="706"/>
    <x v="24"/>
    <x v="24"/>
    <x v="2"/>
  </r>
  <r>
    <x v="3"/>
    <x v="3"/>
    <x v="596"/>
    <x v="2"/>
    <x v="42"/>
    <x v="15"/>
    <x v="4"/>
    <x v="19"/>
    <x v="120"/>
    <x v="859"/>
    <x v="33"/>
    <x v="33"/>
    <x v="2"/>
  </r>
  <r>
    <x v="3"/>
    <x v="3"/>
    <x v="597"/>
    <x v="2"/>
    <x v="42"/>
    <x v="15"/>
    <x v="0"/>
    <x v="22"/>
    <x v="79"/>
    <x v="614"/>
    <x v="23"/>
    <x v="23"/>
    <x v="2"/>
  </r>
  <r>
    <x v="3"/>
    <x v="3"/>
    <x v="598"/>
    <x v="2"/>
    <x v="42"/>
    <x v="15"/>
    <x v="3"/>
    <x v="20"/>
    <x v="132"/>
    <x v="985"/>
    <x v="40"/>
    <x v="40"/>
    <x v="2"/>
  </r>
  <r>
    <x v="3"/>
    <x v="3"/>
    <x v="599"/>
    <x v="2"/>
    <x v="42"/>
    <x v="15"/>
    <x v="2"/>
    <x v="6"/>
    <x v="197"/>
    <x v="674"/>
    <x v="26"/>
    <x v="26"/>
    <x v="2"/>
  </r>
  <r>
    <x v="3"/>
    <x v="3"/>
    <x v="600"/>
    <x v="2"/>
    <x v="42"/>
    <x v="15"/>
    <x v="1"/>
    <x v="14"/>
    <x v="183"/>
    <x v="1061"/>
    <x v="26"/>
    <x v="26"/>
    <x v="2"/>
  </r>
  <r>
    <x v="3"/>
    <x v="3"/>
    <x v="601"/>
    <x v="2"/>
    <x v="42"/>
    <x v="15"/>
    <x v="5"/>
    <x v="13"/>
    <x v="156"/>
    <x v="840"/>
    <x v="25"/>
    <x v="25"/>
    <x v="2"/>
  </r>
  <r>
    <x v="3"/>
    <x v="3"/>
    <x v="602"/>
    <x v="2"/>
    <x v="42"/>
    <x v="15"/>
    <x v="4"/>
    <x v="13"/>
    <x v="128"/>
    <x v="665"/>
    <x v="35"/>
    <x v="35"/>
    <x v="2"/>
  </r>
  <r>
    <x v="3"/>
    <x v="3"/>
    <x v="603"/>
    <x v="2"/>
    <x v="42"/>
    <x v="15"/>
    <x v="0"/>
    <x v="19"/>
    <x v="89"/>
    <x v="613"/>
    <x v="22"/>
    <x v="22"/>
    <x v="2"/>
  </r>
  <r>
    <x v="3"/>
    <x v="3"/>
    <x v="604"/>
    <x v="2"/>
    <x v="42"/>
    <x v="15"/>
    <x v="3"/>
    <x v="15"/>
    <x v="183"/>
    <x v="1115"/>
    <x v="43"/>
    <x v="43"/>
    <x v="2"/>
  </r>
  <r>
    <x v="3"/>
    <x v="3"/>
    <x v="605"/>
    <x v="2"/>
    <x v="42"/>
    <x v="15"/>
    <x v="2"/>
    <x v="6"/>
    <x v="199"/>
    <x v="682"/>
    <x v="24"/>
    <x v="24"/>
    <x v="2"/>
  </r>
  <r>
    <x v="3"/>
    <x v="3"/>
    <x v="606"/>
    <x v="2"/>
    <x v="42"/>
    <x v="15"/>
    <x v="1"/>
    <x v="15"/>
    <x v="211"/>
    <x v="1312"/>
    <x v="28"/>
    <x v="28"/>
    <x v="2"/>
  </r>
  <r>
    <x v="3"/>
    <x v="3"/>
    <x v="607"/>
    <x v="2"/>
    <x v="42"/>
    <x v="15"/>
    <x v="5"/>
    <x v="12"/>
    <x v="174"/>
    <x v="897"/>
    <x v="26"/>
    <x v="26"/>
    <x v="2"/>
  </r>
  <r>
    <x v="3"/>
    <x v="3"/>
    <x v="608"/>
    <x v="2"/>
    <x v="42"/>
    <x v="15"/>
    <x v="4"/>
    <x v="20"/>
    <x v="159"/>
    <x v="1187"/>
    <x v="35"/>
    <x v="35"/>
    <x v="2"/>
  </r>
  <r>
    <x v="3"/>
    <x v="3"/>
    <x v="609"/>
    <x v="2"/>
    <x v="42"/>
    <x v="15"/>
    <x v="0"/>
    <x v="31"/>
    <x v="132"/>
    <x v="1397"/>
    <x v="22"/>
    <x v="22"/>
    <x v="2"/>
  </r>
  <r>
    <x v="3"/>
    <x v="3"/>
    <x v="610"/>
    <x v="2"/>
    <x v="42"/>
    <x v="15"/>
    <x v="3"/>
    <x v="27"/>
    <x v="223"/>
    <x v="2061"/>
    <x v="38"/>
    <x v="38"/>
    <x v="2"/>
  </r>
  <r>
    <x v="3"/>
    <x v="3"/>
    <x v="611"/>
    <x v="2"/>
    <x v="42"/>
    <x v="15"/>
    <x v="2"/>
    <x v="23"/>
    <x v="216"/>
    <x v="1815"/>
    <x v="23"/>
    <x v="23"/>
    <x v="2"/>
  </r>
  <r>
    <x v="3"/>
    <x v="3"/>
    <x v="612"/>
    <x v="2"/>
    <x v="42"/>
    <x v="15"/>
    <x v="1"/>
    <x v="33"/>
    <x v="236"/>
    <x v="2378"/>
    <x v="27"/>
    <x v="27"/>
    <x v="2"/>
  </r>
  <r>
    <x v="3"/>
    <x v="3"/>
    <x v="613"/>
    <x v="2"/>
    <x v="42"/>
    <x v="15"/>
    <x v="5"/>
    <x v="23"/>
    <x v="185"/>
    <x v="1557"/>
    <x v="25"/>
    <x v="25"/>
    <x v="2"/>
  </r>
  <r>
    <x v="3"/>
    <x v="3"/>
    <x v="614"/>
    <x v="2"/>
    <x v="42"/>
    <x v="15"/>
    <x v="4"/>
    <x v="22"/>
    <x v="168"/>
    <x v="1342"/>
    <x v="35"/>
    <x v="35"/>
    <x v="2"/>
  </r>
  <r>
    <x v="3"/>
    <x v="3"/>
    <x v="615"/>
    <x v="2"/>
    <x v="42"/>
    <x v="15"/>
    <x v="0"/>
    <x v="33"/>
    <x v="129"/>
    <x v="1441"/>
    <x v="23"/>
    <x v="23"/>
    <x v="2"/>
  </r>
  <r>
    <x v="3"/>
    <x v="3"/>
    <x v="616"/>
    <x v="2"/>
    <x v="42"/>
    <x v="15"/>
    <x v="3"/>
    <x v="35"/>
    <x v="236"/>
    <x v="2440"/>
    <x v="41"/>
    <x v="41"/>
    <x v="2"/>
  </r>
  <r>
    <x v="3"/>
    <x v="3"/>
    <x v="617"/>
    <x v="2"/>
    <x v="42"/>
    <x v="15"/>
    <x v="2"/>
    <x v="27"/>
    <x v="216"/>
    <x v="2012"/>
    <x v="28"/>
    <x v="28"/>
    <x v="2"/>
  </r>
  <r>
    <x v="3"/>
    <x v="3"/>
    <x v="618"/>
    <x v="2"/>
    <x v="42"/>
    <x v="15"/>
    <x v="1"/>
    <x v="27"/>
    <x v="223"/>
    <x v="2061"/>
    <x v="28"/>
    <x v="28"/>
    <x v="2"/>
  </r>
  <r>
    <x v="3"/>
    <x v="3"/>
    <x v="619"/>
    <x v="2"/>
    <x v="42"/>
    <x v="15"/>
    <x v="5"/>
    <x v="26"/>
    <x v="270"/>
    <x v="2300"/>
    <x v="28"/>
    <x v="28"/>
    <x v="2"/>
  </r>
  <r>
    <x v="3"/>
    <x v="3"/>
    <x v="620"/>
    <x v="2"/>
    <x v="42"/>
    <x v="15"/>
    <x v="4"/>
    <x v="25"/>
    <x v="175"/>
    <x v="1550"/>
    <x v="41"/>
    <x v="41"/>
    <x v="2"/>
  </r>
  <r>
    <x v="3"/>
    <x v="3"/>
    <x v="621"/>
    <x v="2"/>
    <x v="42"/>
    <x v="15"/>
    <x v="0"/>
    <x v="32"/>
    <x v="160"/>
    <x v="1711"/>
    <x v="24"/>
    <x v="24"/>
    <x v="2"/>
  </r>
  <r>
    <x v="3"/>
    <x v="3"/>
    <x v="622"/>
    <x v="2"/>
    <x v="42"/>
    <x v="15"/>
    <x v="3"/>
    <x v="40"/>
    <x v="229"/>
    <x v="2538"/>
    <x v="43"/>
    <x v="43"/>
    <x v="2"/>
  </r>
  <r>
    <x v="3"/>
    <x v="3"/>
    <x v="623"/>
    <x v="2"/>
    <x v="42"/>
    <x v="15"/>
    <x v="2"/>
    <x v="27"/>
    <x v="211"/>
    <x v="1966"/>
    <x v="29"/>
    <x v="29"/>
    <x v="2"/>
  </r>
  <r>
    <x v="3"/>
    <x v="3"/>
    <x v="624"/>
    <x v="2"/>
    <x v="42"/>
    <x v="15"/>
    <x v="1"/>
    <x v="36"/>
    <x v="216"/>
    <x v="2352"/>
    <x v="32"/>
    <x v="32"/>
    <x v="2"/>
  </r>
  <r>
    <x v="3"/>
    <x v="3"/>
    <x v="625"/>
    <x v="2"/>
    <x v="42"/>
    <x v="15"/>
    <x v="5"/>
    <x v="28"/>
    <x v="276"/>
    <x v="2427"/>
    <x v="33"/>
    <x v="33"/>
    <x v="2"/>
  </r>
  <r>
    <x v="3"/>
    <x v="3"/>
    <x v="626"/>
    <x v="2"/>
    <x v="42"/>
    <x v="15"/>
    <x v="4"/>
    <x v="31"/>
    <x v="137"/>
    <x v="1442"/>
    <x v="40"/>
    <x v="40"/>
    <x v="2"/>
  </r>
  <r>
    <x v="3"/>
    <x v="3"/>
    <x v="627"/>
    <x v="2"/>
    <x v="42"/>
    <x v="15"/>
    <x v="0"/>
    <x v="36"/>
    <x v="137"/>
    <x v="1629"/>
    <x v="27"/>
    <x v="27"/>
    <x v="2"/>
  </r>
  <r>
    <x v="3"/>
    <x v="3"/>
    <x v="628"/>
    <x v="2"/>
    <x v="42"/>
    <x v="15"/>
    <x v="3"/>
    <x v="36"/>
    <x v="204"/>
    <x v="2255"/>
    <x v="46"/>
    <x v="46"/>
    <x v="2"/>
  </r>
  <r>
    <x v="3"/>
    <x v="3"/>
    <x v="629"/>
    <x v="2"/>
    <x v="42"/>
    <x v="15"/>
    <x v="2"/>
    <x v="31"/>
    <x v="198"/>
    <x v="2033"/>
    <x v="32"/>
    <x v="32"/>
    <x v="2"/>
  </r>
  <r>
    <x v="3"/>
    <x v="3"/>
    <x v="630"/>
    <x v="2"/>
    <x v="42"/>
    <x v="15"/>
    <x v="1"/>
    <x v="31"/>
    <x v="177"/>
    <x v="1822"/>
    <x v="33"/>
    <x v="33"/>
    <x v="2"/>
  </r>
  <r>
    <x v="3"/>
    <x v="3"/>
    <x v="631"/>
    <x v="2"/>
    <x v="42"/>
    <x v="15"/>
    <x v="5"/>
    <x v="40"/>
    <x v="214"/>
    <x v="2460"/>
    <x v="31"/>
    <x v="31"/>
    <x v="2"/>
  </r>
  <r>
    <x v="3"/>
    <x v="3"/>
    <x v="632"/>
    <x v="2"/>
    <x v="42"/>
    <x v="15"/>
    <x v="4"/>
    <x v="34"/>
    <x v="115"/>
    <x v="1330"/>
    <x v="41"/>
    <x v="41"/>
    <x v="2"/>
  </r>
  <r>
    <x v="3"/>
    <x v="3"/>
    <x v="633"/>
    <x v="2"/>
    <x v="42"/>
    <x v="15"/>
    <x v="0"/>
    <x v="30"/>
    <x v="128"/>
    <x v="1327"/>
    <x v="26"/>
    <x v="26"/>
    <x v="2"/>
  </r>
  <r>
    <x v="3"/>
    <x v="3"/>
    <x v="634"/>
    <x v="2"/>
    <x v="42"/>
    <x v="15"/>
    <x v="3"/>
    <x v="26"/>
    <x v="201"/>
    <x v="1840"/>
    <x v="45"/>
    <x v="45"/>
    <x v="2"/>
  </r>
  <r>
    <x v="3"/>
    <x v="3"/>
    <x v="635"/>
    <x v="2"/>
    <x v="42"/>
    <x v="15"/>
    <x v="2"/>
    <x v="23"/>
    <x v="184"/>
    <x v="1538"/>
    <x v="30"/>
    <x v="30"/>
    <x v="2"/>
  </r>
  <r>
    <x v="3"/>
    <x v="3"/>
    <x v="636"/>
    <x v="2"/>
    <x v="42"/>
    <x v="15"/>
    <x v="1"/>
    <x v="22"/>
    <x v="189"/>
    <x v="1529"/>
    <x v="33"/>
    <x v="33"/>
    <x v="2"/>
  </r>
  <r>
    <x v="3"/>
    <x v="3"/>
    <x v="637"/>
    <x v="2"/>
    <x v="42"/>
    <x v="15"/>
    <x v="5"/>
    <x v="25"/>
    <x v="166"/>
    <x v="1460"/>
    <x v="30"/>
    <x v="30"/>
    <x v="2"/>
  </r>
  <r>
    <x v="3"/>
    <x v="3"/>
    <x v="638"/>
    <x v="2"/>
    <x v="42"/>
    <x v="15"/>
    <x v="4"/>
    <x v="23"/>
    <x v="125"/>
    <x v="1044"/>
    <x v="40"/>
    <x v="40"/>
    <x v="2"/>
  </r>
  <r>
    <x v="3"/>
    <x v="3"/>
    <x v="639"/>
    <x v="2"/>
    <x v="42"/>
    <x v="15"/>
    <x v="0"/>
    <x v="23"/>
    <x v="108"/>
    <x v="907"/>
    <x v="26"/>
    <x v="26"/>
    <x v="2"/>
  </r>
  <r>
    <x v="3"/>
    <x v="3"/>
    <x v="640"/>
    <x v="2"/>
    <x v="42"/>
    <x v="15"/>
    <x v="3"/>
    <x v="32"/>
    <x v="166"/>
    <x v="1757"/>
    <x v="44"/>
    <x v="44"/>
    <x v="2"/>
  </r>
  <r>
    <x v="3"/>
    <x v="3"/>
    <x v="641"/>
    <x v="2"/>
    <x v="42"/>
    <x v="15"/>
    <x v="2"/>
    <x v="24"/>
    <x v="194"/>
    <x v="1671"/>
    <x v="29"/>
    <x v="29"/>
    <x v="2"/>
  </r>
  <r>
    <x v="3"/>
    <x v="3"/>
    <x v="642"/>
    <x v="2"/>
    <x v="42"/>
    <x v="15"/>
    <x v="1"/>
    <x v="20"/>
    <x v="188"/>
    <x v="1414"/>
    <x v="31"/>
    <x v="31"/>
    <x v="2"/>
  </r>
  <r>
    <x v="3"/>
    <x v="3"/>
    <x v="643"/>
    <x v="2"/>
    <x v="42"/>
    <x v="15"/>
    <x v="5"/>
    <x v="44"/>
    <x v="195"/>
    <x v="2428"/>
    <x v="30"/>
    <x v="30"/>
    <x v="2"/>
  </r>
  <r>
    <x v="3"/>
    <x v="3"/>
    <x v="644"/>
    <x v="2"/>
    <x v="42"/>
    <x v="15"/>
    <x v="4"/>
    <x v="43"/>
    <x v="138"/>
    <x v="1883"/>
    <x v="38"/>
    <x v="38"/>
    <x v="2"/>
  </r>
  <r>
    <x v="3"/>
    <x v="3"/>
    <x v="645"/>
    <x v="2"/>
    <x v="42"/>
    <x v="15"/>
    <x v="0"/>
    <x v="39"/>
    <x v="140"/>
    <x v="1770"/>
    <x v="25"/>
    <x v="25"/>
    <x v="2"/>
  </r>
  <r>
    <x v="3"/>
    <x v="3"/>
    <x v="646"/>
    <x v="2"/>
    <x v="42"/>
    <x v="15"/>
    <x v="3"/>
    <x v="44"/>
    <x v="201"/>
    <x v="2473"/>
    <x v="47"/>
    <x v="47"/>
    <x v="2"/>
  </r>
  <r>
    <x v="3"/>
    <x v="3"/>
    <x v="647"/>
    <x v="2"/>
    <x v="42"/>
    <x v="15"/>
    <x v="2"/>
    <x v="39"/>
    <x v="237"/>
    <x v="2551"/>
    <x v="33"/>
    <x v="33"/>
    <x v="2"/>
  </r>
  <r>
    <x v="3"/>
    <x v="3"/>
    <x v="648"/>
    <x v="2"/>
    <x v="42"/>
    <x v="15"/>
    <x v="1"/>
    <x v="32"/>
    <x v="211"/>
    <x v="2166"/>
    <x v="28"/>
    <x v="28"/>
    <x v="2"/>
  </r>
  <r>
    <x v="3"/>
    <x v="3"/>
    <x v="649"/>
    <x v="2"/>
    <x v="42"/>
    <x v="15"/>
    <x v="5"/>
    <x v="39"/>
    <x v="203"/>
    <x v="2348"/>
    <x v="30"/>
    <x v="30"/>
    <x v="2"/>
  </r>
  <r>
    <x v="3"/>
    <x v="3"/>
    <x v="650"/>
    <x v="2"/>
    <x v="42"/>
    <x v="15"/>
    <x v="4"/>
    <x v="37"/>
    <x v="166"/>
    <x v="1949"/>
    <x v="42"/>
    <x v="42"/>
    <x v="2"/>
  </r>
  <r>
    <x v="3"/>
    <x v="3"/>
    <x v="651"/>
    <x v="2"/>
    <x v="42"/>
    <x v="15"/>
    <x v="0"/>
    <x v="40"/>
    <x v="146"/>
    <x v="1861"/>
    <x v="23"/>
    <x v="23"/>
    <x v="2"/>
  </r>
  <r>
    <x v="3"/>
    <x v="3"/>
    <x v="652"/>
    <x v="2"/>
    <x v="42"/>
    <x v="15"/>
    <x v="3"/>
    <x v="47"/>
    <x v="216"/>
    <x v="2621"/>
    <x v="46"/>
    <x v="46"/>
    <x v="2"/>
  </r>
  <r>
    <x v="1"/>
    <x v="1"/>
    <x v="653"/>
    <x v="2"/>
    <x v="42"/>
    <x v="15"/>
    <x v="2"/>
    <x v="27"/>
    <x v="108"/>
    <x v="1045"/>
    <x v="48"/>
    <x v="48"/>
    <x v="2"/>
  </r>
  <r>
    <x v="1"/>
    <x v="1"/>
    <x v="654"/>
    <x v="2"/>
    <x v="42"/>
    <x v="15"/>
    <x v="1"/>
    <x v="27"/>
    <x v="56"/>
    <x v="476"/>
    <x v="25"/>
    <x v="25"/>
    <x v="2"/>
  </r>
  <r>
    <x v="1"/>
    <x v="1"/>
    <x v="655"/>
    <x v="2"/>
    <x v="42"/>
    <x v="15"/>
    <x v="5"/>
    <x v="21"/>
    <x v="59"/>
    <x v="394"/>
    <x v="28"/>
    <x v="28"/>
    <x v="2"/>
  </r>
  <r>
    <x v="1"/>
    <x v="1"/>
    <x v="656"/>
    <x v="2"/>
    <x v="42"/>
    <x v="15"/>
    <x v="4"/>
    <x v="21"/>
    <x v="13"/>
    <x v="49"/>
    <x v="29"/>
    <x v="29"/>
    <x v="2"/>
  </r>
  <r>
    <x v="1"/>
    <x v="1"/>
    <x v="657"/>
    <x v="1"/>
    <x v="37"/>
    <x v="40"/>
    <x v="0"/>
    <x v="35"/>
    <x v="30"/>
    <x v="309"/>
    <x v="27"/>
    <x v="27"/>
    <x v="2"/>
  </r>
  <r>
    <x v="1"/>
    <x v="1"/>
    <x v="658"/>
    <x v="1"/>
    <x v="37"/>
    <x v="40"/>
    <x v="3"/>
    <x v="25"/>
    <x v="58"/>
    <x v="458"/>
    <x v="20"/>
    <x v="20"/>
    <x v="2"/>
  </r>
  <r>
    <x v="1"/>
    <x v="1"/>
    <x v="659"/>
    <x v="1"/>
    <x v="37"/>
    <x v="40"/>
    <x v="2"/>
    <x v="25"/>
    <x v="144"/>
    <x v="1279"/>
    <x v="46"/>
    <x v="46"/>
    <x v="2"/>
  </r>
  <r>
    <x v="1"/>
    <x v="1"/>
    <x v="660"/>
    <x v="1"/>
    <x v="37"/>
    <x v="40"/>
    <x v="1"/>
    <x v="25"/>
    <x v="33"/>
    <x v="217"/>
    <x v="26"/>
    <x v="26"/>
    <x v="2"/>
  </r>
  <r>
    <x v="1"/>
    <x v="1"/>
    <x v="661"/>
    <x v="1"/>
    <x v="37"/>
    <x v="40"/>
    <x v="5"/>
    <x v="18"/>
    <x v="43"/>
    <x v="196"/>
    <x v="31"/>
    <x v="31"/>
    <x v="2"/>
  </r>
  <r>
    <x v="1"/>
    <x v="1"/>
    <x v="662"/>
    <x v="1"/>
    <x v="37"/>
    <x v="40"/>
    <x v="4"/>
    <x v="21"/>
    <x v="8"/>
    <x v="25"/>
    <x v="28"/>
    <x v="28"/>
    <x v="2"/>
  </r>
  <r>
    <x v="1"/>
    <x v="1"/>
    <x v="663"/>
    <x v="1"/>
    <x v="37"/>
    <x v="40"/>
    <x v="0"/>
    <x v="32"/>
    <x v="29"/>
    <x v="266"/>
    <x v="23"/>
    <x v="23"/>
    <x v="2"/>
  </r>
  <r>
    <x v="1"/>
    <x v="1"/>
    <x v="664"/>
    <x v="1"/>
    <x v="37"/>
    <x v="40"/>
    <x v="3"/>
    <x v="23"/>
    <x v="61"/>
    <x v="455"/>
    <x v="21"/>
    <x v="21"/>
    <x v="2"/>
  </r>
  <r>
    <x v="1"/>
    <x v="1"/>
    <x v="665"/>
    <x v="1"/>
    <x v="37"/>
    <x v="40"/>
    <x v="2"/>
    <x v="32"/>
    <x v="135"/>
    <x v="1461"/>
    <x v="44"/>
    <x v="44"/>
    <x v="2"/>
  </r>
  <r>
    <x v="1"/>
    <x v="1"/>
    <x v="666"/>
    <x v="1"/>
    <x v="37"/>
    <x v="40"/>
    <x v="1"/>
    <x v="26"/>
    <x v="42"/>
    <x v="317"/>
    <x v="23"/>
    <x v="23"/>
    <x v="2"/>
  </r>
  <r>
    <x v="1"/>
    <x v="1"/>
    <x v="667"/>
    <x v="1"/>
    <x v="37"/>
    <x v="40"/>
    <x v="5"/>
    <x v="22"/>
    <x v="47"/>
    <x v="300"/>
    <x v="31"/>
    <x v="31"/>
    <x v="2"/>
  </r>
  <r>
    <x v="1"/>
    <x v="1"/>
    <x v="668"/>
    <x v="1"/>
    <x v="37"/>
    <x v="40"/>
    <x v="4"/>
    <x v="25"/>
    <x v="3"/>
    <x v="7"/>
    <x v="30"/>
    <x v="30"/>
    <x v="2"/>
  </r>
  <r>
    <x v="1"/>
    <x v="1"/>
    <x v="669"/>
    <x v="1"/>
    <x v="37"/>
    <x v="40"/>
    <x v="0"/>
    <x v="34"/>
    <x v="14"/>
    <x v="111"/>
    <x v="20"/>
    <x v="20"/>
    <x v="2"/>
  </r>
  <r>
    <x v="1"/>
    <x v="1"/>
    <x v="670"/>
    <x v="1"/>
    <x v="37"/>
    <x v="40"/>
    <x v="3"/>
    <x v="31"/>
    <x v="50"/>
    <x v="477"/>
    <x v="17"/>
    <x v="17"/>
    <x v="2"/>
  </r>
  <r>
    <x v="1"/>
    <x v="1"/>
    <x v="671"/>
    <x v="1"/>
    <x v="37"/>
    <x v="40"/>
    <x v="2"/>
    <x v="28"/>
    <x v="120"/>
    <x v="1184"/>
    <x v="43"/>
    <x v="43"/>
    <x v="2"/>
  </r>
  <r>
    <x v="1"/>
    <x v="1"/>
    <x v="672"/>
    <x v="1"/>
    <x v="37"/>
    <x v="40"/>
    <x v="1"/>
    <x v="30"/>
    <x v="40"/>
    <x v="355"/>
    <x v="18"/>
    <x v="18"/>
    <x v="2"/>
  </r>
  <r>
    <x v="1"/>
    <x v="1"/>
    <x v="673"/>
    <x v="1"/>
    <x v="37"/>
    <x v="40"/>
    <x v="5"/>
    <x v="20"/>
    <x v="40"/>
    <x v="206"/>
    <x v="28"/>
    <x v="28"/>
    <x v="2"/>
  </r>
  <r>
    <x v="1"/>
    <x v="1"/>
    <x v="674"/>
    <x v="1"/>
    <x v="37"/>
    <x v="40"/>
    <x v="4"/>
    <x v="29"/>
    <x v="14"/>
    <x v="85"/>
    <x v="24"/>
    <x v="24"/>
    <x v="2"/>
  </r>
  <r>
    <x v="1"/>
    <x v="1"/>
    <x v="675"/>
    <x v="1"/>
    <x v="37"/>
    <x v="40"/>
    <x v="0"/>
    <x v="38"/>
    <x v="16"/>
    <x v="156"/>
    <x v="23"/>
    <x v="23"/>
    <x v="2"/>
  </r>
  <r>
    <x v="1"/>
    <x v="1"/>
    <x v="676"/>
    <x v="1"/>
    <x v="37"/>
    <x v="40"/>
    <x v="3"/>
    <x v="32"/>
    <x v="53"/>
    <x v="529"/>
    <x v="13"/>
    <x v="13"/>
    <x v="2"/>
  </r>
  <r>
    <x v="1"/>
    <x v="1"/>
    <x v="677"/>
    <x v="1"/>
    <x v="37"/>
    <x v="40"/>
    <x v="2"/>
    <x v="37"/>
    <x v="129"/>
    <x v="1589"/>
    <x v="38"/>
    <x v="38"/>
    <x v="2"/>
  </r>
  <r>
    <x v="1"/>
    <x v="1"/>
    <x v="678"/>
    <x v="1"/>
    <x v="37"/>
    <x v="40"/>
    <x v="1"/>
    <x v="33"/>
    <x v="43"/>
    <x v="437"/>
    <x v="19"/>
    <x v="19"/>
    <x v="2"/>
  </r>
  <r>
    <x v="1"/>
    <x v="1"/>
    <x v="679"/>
    <x v="1"/>
    <x v="37"/>
    <x v="40"/>
    <x v="5"/>
    <x v="31"/>
    <x v="42"/>
    <x v="393"/>
    <x v="23"/>
    <x v="23"/>
    <x v="2"/>
  </r>
  <r>
    <x v="1"/>
    <x v="1"/>
    <x v="680"/>
    <x v="1"/>
    <x v="37"/>
    <x v="40"/>
    <x v="4"/>
    <x v="35"/>
    <x v="24"/>
    <x v="227"/>
    <x v="26"/>
    <x v="26"/>
    <x v="2"/>
  </r>
  <r>
    <x v="1"/>
    <x v="1"/>
    <x v="681"/>
    <x v="1"/>
    <x v="37"/>
    <x v="40"/>
    <x v="0"/>
    <x v="44"/>
    <x v="28"/>
    <x v="386"/>
    <x v="23"/>
    <x v="23"/>
    <x v="2"/>
  </r>
  <r>
    <x v="1"/>
    <x v="1"/>
    <x v="682"/>
    <x v="1"/>
    <x v="37"/>
    <x v="40"/>
    <x v="3"/>
    <x v="44"/>
    <x v="64"/>
    <x v="949"/>
    <x v="23"/>
    <x v="23"/>
    <x v="2"/>
  </r>
  <r>
    <x v="1"/>
    <x v="1"/>
    <x v="683"/>
    <x v="1"/>
    <x v="37"/>
    <x v="40"/>
    <x v="2"/>
    <x v="42"/>
    <x v="148"/>
    <x v="1948"/>
    <x v="43"/>
    <x v="43"/>
    <x v="2"/>
  </r>
  <r>
    <x v="1"/>
    <x v="1"/>
    <x v="684"/>
    <x v="1"/>
    <x v="37"/>
    <x v="40"/>
    <x v="1"/>
    <x v="34"/>
    <x v="70"/>
    <x v="817"/>
    <x v="25"/>
    <x v="25"/>
    <x v="2"/>
  </r>
  <r>
    <x v="1"/>
    <x v="1"/>
    <x v="685"/>
    <x v="1"/>
    <x v="37"/>
    <x v="40"/>
    <x v="5"/>
    <x v="35"/>
    <x v="43"/>
    <x v="466"/>
    <x v="29"/>
    <x v="29"/>
    <x v="2"/>
  </r>
  <r>
    <x v="1"/>
    <x v="1"/>
    <x v="686"/>
    <x v="1"/>
    <x v="37"/>
    <x v="40"/>
    <x v="4"/>
    <x v="36"/>
    <x v="42"/>
    <x v="469"/>
    <x v="33"/>
    <x v="33"/>
    <x v="2"/>
  </r>
  <r>
    <x v="1"/>
    <x v="1"/>
    <x v="687"/>
    <x v="1"/>
    <x v="37"/>
    <x v="40"/>
    <x v="0"/>
    <x v="36"/>
    <x v="37"/>
    <x v="408"/>
    <x v="28"/>
    <x v="28"/>
    <x v="2"/>
  </r>
  <r>
    <x v="1"/>
    <x v="1"/>
    <x v="688"/>
    <x v="1"/>
    <x v="37"/>
    <x v="40"/>
    <x v="3"/>
    <x v="45"/>
    <x v="87"/>
    <x v="1313"/>
    <x v="21"/>
    <x v="21"/>
    <x v="2"/>
  </r>
  <r>
    <x v="1"/>
    <x v="1"/>
    <x v="689"/>
    <x v="1"/>
    <x v="37"/>
    <x v="40"/>
    <x v="2"/>
    <x v="42"/>
    <x v="152"/>
    <x v="1990"/>
    <x v="43"/>
    <x v="43"/>
    <x v="2"/>
  </r>
  <r>
    <x v="1"/>
    <x v="1"/>
    <x v="690"/>
    <x v="1"/>
    <x v="37"/>
    <x v="40"/>
    <x v="1"/>
    <x v="38"/>
    <x v="81"/>
    <x v="1073"/>
    <x v="25"/>
    <x v="25"/>
    <x v="2"/>
  </r>
  <r>
    <x v="1"/>
    <x v="1"/>
    <x v="691"/>
    <x v="1"/>
    <x v="37"/>
    <x v="40"/>
    <x v="5"/>
    <x v="36"/>
    <x v="59"/>
    <x v="705"/>
    <x v="29"/>
    <x v="29"/>
    <x v="2"/>
  </r>
  <r>
    <x v="1"/>
    <x v="1"/>
    <x v="692"/>
    <x v="1"/>
    <x v="37"/>
    <x v="40"/>
    <x v="4"/>
    <x v="32"/>
    <x v="45"/>
    <x v="444"/>
    <x v="33"/>
    <x v="33"/>
    <x v="2"/>
  </r>
  <r>
    <x v="1"/>
    <x v="1"/>
    <x v="693"/>
    <x v="1"/>
    <x v="37"/>
    <x v="40"/>
    <x v="0"/>
    <x v="43"/>
    <x v="53"/>
    <x v="735"/>
    <x v="26"/>
    <x v="26"/>
    <x v="2"/>
  </r>
  <r>
    <x v="1"/>
    <x v="1"/>
    <x v="694"/>
    <x v="1"/>
    <x v="37"/>
    <x v="40"/>
    <x v="3"/>
    <x v="43"/>
    <x v="97"/>
    <x v="1394"/>
    <x v="22"/>
    <x v="22"/>
    <x v="2"/>
  </r>
  <r>
    <x v="1"/>
    <x v="1"/>
    <x v="695"/>
    <x v="1"/>
    <x v="37"/>
    <x v="40"/>
    <x v="2"/>
    <x v="44"/>
    <x v="156"/>
    <x v="2083"/>
    <x v="44"/>
    <x v="44"/>
    <x v="2"/>
  </r>
  <r>
    <x v="1"/>
    <x v="1"/>
    <x v="696"/>
    <x v="1"/>
    <x v="37"/>
    <x v="40"/>
    <x v="1"/>
    <x v="37"/>
    <x v="84"/>
    <x v="1084"/>
    <x v="28"/>
    <x v="28"/>
    <x v="2"/>
  </r>
  <r>
    <x v="1"/>
    <x v="1"/>
    <x v="697"/>
    <x v="1"/>
    <x v="37"/>
    <x v="40"/>
    <x v="5"/>
    <x v="31"/>
    <x v="65"/>
    <x v="673"/>
    <x v="33"/>
    <x v="33"/>
    <x v="2"/>
  </r>
  <r>
    <x v="1"/>
    <x v="1"/>
    <x v="698"/>
    <x v="1"/>
    <x v="37"/>
    <x v="40"/>
    <x v="4"/>
    <x v="36"/>
    <x v="51"/>
    <x v="579"/>
    <x v="32"/>
    <x v="32"/>
    <x v="2"/>
  </r>
  <r>
    <x v="1"/>
    <x v="1"/>
    <x v="699"/>
    <x v="1"/>
    <x v="37"/>
    <x v="40"/>
    <x v="0"/>
    <x v="39"/>
    <x v="43"/>
    <x v="526"/>
    <x v="25"/>
    <x v="25"/>
    <x v="2"/>
  </r>
  <r>
    <x v="1"/>
    <x v="1"/>
    <x v="700"/>
    <x v="1"/>
    <x v="37"/>
    <x v="40"/>
    <x v="3"/>
    <x v="42"/>
    <x v="103"/>
    <x v="1449"/>
    <x v="22"/>
    <x v="22"/>
    <x v="2"/>
  </r>
  <r>
    <x v="1"/>
    <x v="1"/>
    <x v="701"/>
    <x v="1"/>
    <x v="37"/>
    <x v="40"/>
    <x v="2"/>
    <x v="39"/>
    <x v="140"/>
    <x v="1770"/>
    <x v="38"/>
    <x v="38"/>
    <x v="2"/>
  </r>
  <r>
    <x v="1"/>
    <x v="1"/>
    <x v="702"/>
    <x v="1"/>
    <x v="37"/>
    <x v="40"/>
    <x v="1"/>
    <x v="33"/>
    <x v="75"/>
    <x v="859"/>
    <x v="20"/>
    <x v="20"/>
    <x v="2"/>
  </r>
  <r>
    <x v="1"/>
    <x v="1"/>
    <x v="703"/>
    <x v="1"/>
    <x v="37"/>
    <x v="40"/>
    <x v="5"/>
    <x v="25"/>
    <x v="49"/>
    <x v="366"/>
    <x v="26"/>
    <x v="26"/>
    <x v="2"/>
  </r>
  <r>
    <x v="1"/>
    <x v="1"/>
    <x v="704"/>
    <x v="1"/>
    <x v="37"/>
    <x v="40"/>
    <x v="4"/>
    <x v="25"/>
    <x v="42"/>
    <x v="302"/>
    <x v="27"/>
    <x v="27"/>
    <x v="2"/>
  </r>
  <r>
    <x v="1"/>
    <x v="1"/>
    <x v="705"/>
    <x v="1"/>
    <x v="37"/>
    <x v="40"/>
    <x v="0"/>
    <x v="29"/>
    <x v="30"/>
    <x v="240"/>
    <x v="20"/>
    <x v="20"/>
    <x v="2"/>
  </r>
  <r>
    <x v="1"/>
    <x v="1"/>
    <x v="706"/>
    <x v="1"/>
    <x v="37"/>
    <x v="40"/>
    <x v="3"/>
    <x v="41"/>
    <x v="65"/>
    <x v="894"/>
    <x v="17"/>
    <x v="17"/>
    <x v="2"/>
  </r>
  <r>
    <x v="1"/>
    <x v="1"/>
    <x v="707"/>
    <x v="1"/>
    <x v="37"/>
    <x v="40"/>
    <x v="2"/>
    <x v="40"/>
    <x v="104"/>
    <x v="1399"/>
    <x v="39"/>
    <x v="39"/>
    <x v="2"/>
  </r>
  <r>
    <x v="1"/>
    <x v="1"/>
    <x v="708"/>
    <x v="1"/>
    <x v="37"/>
    <x v="40"/>
    <x v="1"/>
    <x v="28"/>
    <x v="56"/>
    <x v="495"/>
    <x v="18"/>
    <x v="18"/>
    <x v="2"/>
  </r>
  <r>
    <x v="1"/>
    <x v="1"/>
    <x v="709"/>
    <x v="1"/>
    <x v="37"/>
    <x v="40"/>
    <x v="5"/>
    <x v="31"/>
    <x v="27"/>
    <x v="232"/>
    <x v="24"/>
    <x v="24"/>
    <x v="2"/>
  </r>
  <r>
    <x v="1"/>
    <x v="1"/>
    <x v="710"/>
    <x v="1"/>
    <x v="37"/>
    <x v="40"/>
    <x v="4"/>
    <x v="33"/>
    <x v="24"/>
    <x v="199"/>
    <x v="24"/>
    <x v="24"/>
    <x v="2"/>
  </r>
  <r>
    <x v="1"/>
    <x v="1"/>
    <x v="711"/>
    <x v="1"/>
    <x v="37"/>
    <x v="40"/>
    <x v="0"/>
    <x v="36"/>
    <x v="20"/>
    <x v="184"/>
    <x v="19"/>
    <x v="19"/>
    <x v="2"/>
  </r>
  <r>
    <x v="1"/>
    <x v="1"/>
    <x v="712"/>
    <x v="1"/>
    <x v="37"/>
    <x v="40"/>
    <x v="3"/>
    <x v="35"/>
    <x v="61"/>
    <x v="708"/>
    <x v="18"/>
    <x v="18"/>
    <x v="2"/>
  </r>
  <r>
    <x v="1"/>
    <x v="1"/>
    <x v="713"/>
    <x v="1"/>
    <x v="37"/>
    <x v="40"/>
    <x v="2"/>
    <x v="41"/>
    <x v="104"/>
    <x v="1428"/>
    <x v="46"/>
    <x v="46"/>
    <x v="2"/>
  </r>
  <r>
    <x v="1"/>
    <x v="1"/>
    <x v="714"/>
    <x v="1"/>
    <x v="37"/>
    <x v="40"/>
    <x v="1"/>
    <x v="36"/>
    <x v="56"/>
    <x v="649"/>
    <x v="28"/>
    <x v="28"/>
    <x v="2"/>
  </r>
  <r>
    <x v="1"/>
    <x v="1"/>
    <x v="715"/>
    <x v="1"/>
    <x v="37"/>
    <x v="40"/>
    <x v="5"/>
    <x v="40"/>
    <x v="55"/>
    <x v="707"/>
    <x v="30"/>
    <x v="30"/>
    <x v="2"/>
  </r>
  <r>
    <x v="1"/>
    <x v="1"/>
    <x v="716"/>
    <x v="1"/>
    <x v="37"/>
    <x v="40"/>
    <x v="4"/>
    <x v="36"/>
    <x v="49"/>
    <x v="549"/>
    <x v="32"/>
    <x v="32"/>
    <x v="2"/>
  </r>
  <r>
    <x v="1"/>
    <x v="1"/>
    <x v="717"/>
    <x v="1"/>
    <x v="37"/>
    <x v="40"/>
    <x v="0"/>
    <x v="44"/>
    <x v="37"/>
    <x v="515"/>
    <x v="25"/>
    <x v="25"/>
    <x v="2"/>
  </r>
  <r>
    <x v="1"/>
    <x v="1"/>
    <x v="718"/>
    <x v="1"/>
    <x v="37"/>
    <x v="40"/>
    <x v="3"/>
    <x v="46"/>
    <x v="62"/>
    <x v="948"/>
    <x v="22"/>
    <x v="22"/>
    <x v="2"/>
  </r>
  <r>
    <x v="1"/>
    <x v="1"/>
    <x v="719"/>
    <x v="1"/>
    <x v="37"/>
    <x v="40"/>
    <x v="2"/>
    <x v="46"/>
    <x v="123"/>
    <x v="1793"/>
    <x v="47"/>
    <x v="47"/>
    <x v="2"/>
  </r>
  <r>
    <x v="1"/>
    <x v="1"/>
    <x v="720"/>
    <x v="1"/>
    <x v="37"/>
    <x v="40"/>
    <x v="1"/>
    <x v="40"/>
    <x v="70"/>
    <x v="953"/>
    <x v="27"/>
    <x v="27"/>
    <x v="2"/>
  </r>
  <r>
    <x v="1"/>
    <x v="1"/>
    <x v="721"/>
    <x v="1"/>
    <x v="37"/>
    <x v="40"/>
    <x v="5"/>
    <x v="37"/>
    <x v="65"/>
    <x v="812"/>
    <x v="30"/>
    <x v="30"/>
    <x v="2"/>
  </r>
  <r>
    <x v="1"/>
    <x v="1"/>
    <x v="722"/>
    <x v="1"/>
    <x v="37"/>
    <x v="40"/>
    <x v="4"/>
    <x v="33"/>
    <x v="42"/>
    <x v="428"/>
    <x v="31"/>
    <x v="31"/>
    <x v="2"/>
  </r>
  <r>
    <x v="1"/>
    <x v="1"/>
    <x v="723"/>
    <x v="1"/>
    <x v="37"/>
    <x v="40"/>
    <x v="0"/>
    <x v="39"/>
    <x v="45"/>
    <x v="548"/>
    <x v="25"/>
    <x v="25"/>
    <x v="2"/>
  </r>
  <r>
    <x v="1"/>
    <x v="1"/>
    <x v="0"/>
    <x v="1"/>
    <x v="37"/>
    <x v="40"/>
    <x v="3"/>
    <x v="46"/>
    <x v="68"/>
    <x v="1055"/>
    <x v="18"/>
    <x v="18"/>
    <x v="2"/>
  </r>
  <r>
    <x v="5"/>
    <x v="0"/>
    <x v="1"/>
    <x v="1"/>
    <x v="37"/>
    <x v="40"/>
    <x v="2"/>
    <x v="20"/>
    <x v="137"/>
    <x v="1021"/>
    <x v="28"/>
    <x v="28"/>
    <x v="2"/>
  </r>
  <r>
    <x v="5"/>
    <x v="0"/>
    <x v="2"/>
    <x v="1"/>
    <x v="37"/>
    <x v="40"/>
    <x v="1"/>
    <x v="28"/>
    <x v="115"/>
    <x v="1141"/>
    <x v="17"/>
    <x v="17"/>
    <x v="2"/>
  </r>
  <r>
    <x v="5"/>
    <x v="0"/>
    <x v="3"/>
    <x v="1"/>
    <x v="37"/>
    <x v="40"/>
    <x v="5"/>
    <x v="29"/>
    <x v="120"/>
    <x v="1219"/>
    <x v="33"/>
    <x v="33"/>
    <x v="2"/>
  </r>
  <r>
    <x v="5"/>
    <x v="0"/>
    <x v="4"/>
    <x v="1"/>
    <x v="37"/>
    <x v="40"/>
    <x v="4"/>
    <x v="27"/>
    <x v="74"/>
    <x v="695"/>
    <x v="27"/>
    <x v="27"/>
    <x v="2"/>
  </r>
  <r>
    <x v="5"/>
    <x v="0"/>
    <x v="5"/>
    <x v="4"/>
    <x v="27"/>
    <x v="26"/>
    <x v="0"/>
    <x v="30"/>
    <x v="66"/>
    <x v="659"/>
    <x v="43"/>
    <x v="43"/>
    <x v="2"/>
  </r>
  <r>
    <x v="5"/>
    <x v="0"/>
    <x v="6"/>
    <x v="4"/>
    <x v="27"/>
    <x v="26"/>
    <x v="3"/>
    <x v="29"/>
    <x v="144"/>
    <x v="1435"/>
    <x v="10"/>
    <x v="10"/>
    <x v="2"/>
  </r>
  <r>
    <x v="5"/>
    <x v="0"/>
    <x v="7"/>
    <x v="4"/>
    <x v="27"/>
    <x v="26"/>
    <x v="2"/>
    <x v="20"/>
    <x v="150"/>
    <x v="1127"/>
    <x v="29"/>
    <x v="29"/>
    <x v="2"/>
  </r>
  <r>
    <x v="5"/>
    <x v="0"/>
    <x v="8"/>
    <x v="4"/>
    <x v="27"/>
    <x v="26"/>
    <x v="1"/>
    <x v="28"/>
    <x v="125"/>
    <x v="1225"/>
    <x v="17"/>
    <x v="17"/>
    <x v="2"/>
  </r>
  <r>
    <x v="5"/>
    <x v="0"/>
    <x v="9"/>
    <x v="4"/>
    <x v="27"/>
    <x v="26"/>
    <x v="5"/>
    <x v="24"/>
    <x v="120"/>
    <x v="1040"/>
    <x v="29"/>
    <x v="29"/>
    <x v="2"/>
  </r>
  <r>
    <x v="5"/>
    <x v="0"/>
    <x v="10"/>
    <x v="4"/>
    <x v="27"/>
    <x v="26"/>
    <x v="4"/>
    <x v="23"/>
    <x v="70"/>
    <x v="542"/>
    <x v="27"/>
    <x v="27"/>
    <x v="2"/>
  </r>
  <r>
    <x v="5"/>
    <x v="0"/>
    <x v="11"/>
    <x v="4"/>
    <x v="27"/>
    <x v="26"/>
    <x v="0"/>
    <x v="30"/>
    <x v="58"/>
    <x v="553"/>
    <x v="47"/>
    <x v="47"/>
    <x v="2"/>
  </r>
  <r>
    <x v="5"/>
    <x v="0"/>
    <x v="12"/>
    <x v="4"/>
    <x v="27"/>
    <x v="26"/>
    <x v="3"/>
    <x v="24"/>
    <x v="120"/>
    <x v="1040"/>
    <x v="9"/>
    <x v="9"/>
    <x v="2"/>
  </r>
  <r>
    <x v="5"/>
    <x v="0"/>
    <x v="13"/>
    <x v="4"/>
    <x v="27"/>
    <x v="26"/>
    <x v="2"/>
    <x v="24"/>
    <x v="159"/>
    <x v="1361"/>
    <x v="31"/>
    <x v="31"/>
    <x v="2"/>
  </r>
  <r>
    <x v="5"/>
    <x v="0"/>
    <x v="14"/>
    <x v="4"/>
    <x v="27"/>
    <x v="26"/>
    <x v="1"/>
    <x v="35"/>
    <x v="104"/>
    <x v="1258"/>
    <x v="18"/>
    <x v="18"/>
    <x v="2"/>
  </r>
  <r>
    <x v="5"/>
    <x v="0"/>
    <x v="15"/>
    <x v="4"/>
    <x v="27"/>
    <x v="26"/>
    <x v="5"/>
    <x v="36"/>
    <x v="108"/>
    <x v="1323"/>
    <x v="33"/>
    <x v="33"/>
    <x v="2"/>
  </r>
  <r>
    <x v="5"/>
    <x v="0"/>
    <x v="16"/>
    <x v="4"/>
    <x v="27"/>
    <x v="26"/>
    <x v="4"/>
    <x v="34"/>
    <x v="76"/>
    <x v="900"/>
    <x v="27"/>
    <x v="27"/>
    <x v="2"/>
  </r>
  <r>
    <x v="5"/>
    <x v="0"/>
    <x v="17"/>
    <x v="4"/>
    <x v="27"/>
    <x v="26"/>
    <x v="0"/>
    <x v="37"/>
    <x v="49"/>
    <x v="569"/>
    <x v="48"/>
    <x v="48"/>
    <x v="2"/>
  </r>
  <r>
    <x v="5"/>
    <x v="0"/>
    <x v="18"/>
    <x v="4"/>
    <x v="27"/>
    <x v="26"/>
    <x v="3"/>
    <x v="32"/>
    <x v="104"/>
    <x v="1163"/>
    <x v="12"/>
    <x v="12"/>
    <x v="2"/>
  </r>
  <r>
    <x v="5"/>
    <x v="0"/>
    <x v="19"/>
    <x v="4"/>
    <x v="27"/>
    <x v="26"/>
    <x v="2"/>
    <x v="34"/>
    <x v="149"/>
    <x v="1678"/>
    <x v="28"/>
    <x v="28"/>
    <x v="2"/>
  </r>
  <r>
    <x v="5"/>
    <x v="0"/>
    <x v="20"/>
    <x v="4"/>
    <x v="27"/>
    <x v="26"/>
    <x v="1"/>
    <x v="39"/>
    <x v="97"/>
    <x v="1284"/>
    <x v="15"/>
    <x v="15"/>
    <x v="2"/>
  </r>
  <r>
    <x v="5"/>
    <x v="0"/>
    <x v="21"/>
    <x v="4"/>
    <x v="27"/>
    <x v="26"/>
    <x v="5"/>
    <x v="40"/>
    <x v="101"/>
    <x v="1360"/>
    <x v="31"/>
    <x v="31"/>
    <x v="2"/>
  </r>
  <r>
    <x v="5"/>
    <x v="0"/>
    <x v="22"/>
    <x v="4"/>
    <x v="27"/>
    <x v="26"/>
    <x v="4"/>
    <x v="33"/>
    <x v="74"/>
    <x v="847"/>
    <x v="27"/>
    <x v="27"/>
    <x v="2"/>
  </r>
  <r>
    <x v="5"/>
    <x v="0"/>
    <x v="23"/>
    <x v="4"/>
    <x v="27"/>
    <x v="26"/>
    <x v="0"/>
    <x v="40"/>
    <x v="51"/>
    <x v="646"/>
    <x v="47"/>
    <x v="47"/>
    <x v="2"/>
  </r>
  <r>
    <x v="5"/>
    <x v="0"/>
    <x v="24"/>
    <x v="4"/>
    <x v="27"/>
    <x v="26"/>
    <x v="3"/>
    <x v="47"/>
    <x v="103"/>
    <x v="1596"/>
    <x v="13"/>
    <x v="13"/>
    <x v="2"/>
  </r>
  <r>
    <x v="5"/>
    <x v="0"/>
    <x v="25"/>
    <x v="4"/>
    <x v="27"/>
    <x v="26"/>
    <x v="2"/>
    <x v="36"/>
    <x v="149"/>
    <x v="1747"/>
    <x v="34"/>
    <x v="34"/>
    <x v="2"/>
  </r>
  <r>
    <x v="5"/>
    <x v="0"/>
    <x v="26"/>
    <x v="4"/>
    <x v="27"/>
    <x v="26"/>
    <x v="1"/>
    <x v="36"/>
    <x v="101"/>
    <x v="1244"/>
    <x v="21"/>
    <x v="21"/>
    <x v="2"/>
  </r>
  <r>
    <x v="5"/>
    <x v="0"/>
    <x v="27"/>
    <x v="4"/>
    <x v="27"/>
    <x v="26"/>
    <x v="5"/>
    <x v="42"/>
    <x v="112"/>
    <x v="1561"/>
    <x v="33"/>
    <x v="33"/>
    <x v="2"/>
  </r>
  <r>
    <x v="5"/>
    <x v="0"/>
    <x v="28"/>
    <x v="4"/>
    <x v="27"/>
    <x v="26"/>
    <x v="4"/>
    <x v="40"/>
    <x v="87"/>
    <x v="1193"/>
    <x v="32"/>
    <x v="32"/>
    <x v="2"/>
  </r>
  <r>
    <x v="5"/>
    <x v="0"/>
    <x v="29"/>
    <x v="4"/>
    <x v="27"/>
    <x v="26"/>
    <x v="0"/>
    <x v="36"/>
    <x v="55"/>
    <x v="628"/>
    <x v="52"/>
    <x v="52"/>
    <x v="2"/>
  </r>
  <r>
    <x v="5"/>
    <x v="0"/>
    <x v="30"/>
    <x v="4"/>
    <x v="27"/>
    <x v="26"/>
    <x v="3"/>
    <x v="47"/>
    <x v="120"/>
    <x v="1790"/>
    <x v="18"/>
    <x v="18"/>
    <x v="2"/>
  </r>
  <r>
    <x v="5"/>
    <x v="0"/>
    <x v="31"/>
    <x v="4"/>
    <x v="27"/>
    <x v="26"/>
    <x v="2"/>
    <x v="40"/>
    <x v="208"/>
    <x v="2411"/>
    <x v="36"/>
    <x v="36"/>
    <x v="2"/>
  </r>
  <r>
    <x v="5"/>
    <x v="0"/>
    <x v="32"/>
    <x v="4"/>
    <x v="27"/>
    <x v="26"/>
    <x v="1"/>
    <x v="44"/>
    <x v="159"/>
    <x v="2102"/>
    <x v="22"/>
    <x v="22"/>
    <x v="2"/>
  </r>
  <r>
    <x v="5"/>
    <x v="0"/>
    <x v="33"/>
    <x v="4"/>
    <x v="27"/>
    <x v="26"/>
    <x v="5"/>
    <x v="39"/>
    <x v="153"/>
    <x v="1903"/>
    <x v="34"/>
    <x v="34"/>
    <x v="2"/>
  </r>
  <r>
    <x v="5"/>
    <x v="0"/>
    <x v="34"/>
    <x v="4"/>
    <x v="27"/>
    <x v="26"/>
    <x v="4"/>
    <x v="40"/>
    <x v="125"/>
    <x v="1631"/>
    <x v="31"/>
    <x v="31"/>
    <x v="2"/>
  </r>
  <r>
    <x v="5"/>
    <x v="0"/>
    <x v="35"/>
    <x v="4"/>
    <x v="27"/>
    <x v="26"/>
    <x v="0"/>
    <x v="40"/>
    <x v="87"/>
    <x v="1193"/>
    <x v="51"/>
    <x v="51"/>
    <x v="2"/>
  </r>
  <r>
    <x v="5"/>
    <x v="0"/>
    <x v="36"/>
    <x v="4"/>
    <x v="27"/>
    <x v="26"/>
    <x v="3"/>
    <x v="50"/>
    <x v="168"/>
    <x v="2339"/>
    <x v="14"/>
    <x v="14"/>
    <x v="2"/>
  </r>
  <r>
    <x v="5"/>
    <x v="0"/>
    <x v="37"/>
    <x v="4"/>
    <x v="27"/>
    <x v="26"/>
    <x v="2"/>
    <x v="41"/>
    <x v="199"/>
    <x v="2377"/>
    <x v="30"/>
    <x v="30"/>
    <x v="2"/>
  </r>
  <r>
    <x v="5"/>
    <x v="0"/>
    <x v="38"/>
    <x v="4"/>
    <x v="27"/>
    <x v="26"/>
    <x v="1"/>
    <x v="39"/>
    <x v="178"/>
    <x v="2115"/>
    <x v="13"/>
    <x v="13"/>
    <x v="2"/>
  </r>
  <r>
    <x v="5"/>
    <x v="0"/>
    <x v="39"/>
    <x v="4"/>
    <x v="27"/>
    <x v="26"/>
    <x v="5"/>
    <x v="40"/>
    <x v="149"/>
    <x v="1889"/>
    <x v="31"/>
    <x v="31"/>
    <x v="2"/>
  </r>
  <r>
    <x v="5"/>
    <x v="0"/>
    <x v="40"/>
    <x v="4"/>
    <x v="27"/>
    <x v="26"/>
    <x v="4"/>
    <x v="39"/>
    <x v="120"/>
    <x v="1554"/>
    <x v="28"/>
    <x v="28"/>
    <x v="2"/>
  </r>
  <r>
    <x v="5"/>
    <x v="0"/>
    <x v="41"/>
    <x v="4"/>
    <x v="27"/>
    <x v="26"/>
    <x v="0"/>
    <x v="40"/>
    <x v="129"/>
    <x v="1686"/>
    <x v="45"/>
    <x v="45"/>
    <x v="2"/>
  </r>
  <r>
    <x v="5"/>
    <x v="0"/>
    <x v="42"/>
    <x v="4"/>
    <x v="27"/>
    <x v="26"/>
    <x v="3"/>
    <x v="54"/>
    <x v="148"/>
    <x v="2263"/>
    <x v="13"/>
    <x v="13"/>
    <x v="2"/>
  </r>
  <r>
    <x v="5"/>
    <x v="0"/>
    <x v="43"/>
    <x v="4"/>
    <x v="27"/>
    <x v="26"/>
    <x v="2"/>
    <x v="37"/>
    <x v="202"/>
    <x v="2276"/>
    <x v="32"/>
    <x v="32"/>
    <x v="2"/>
  </r>
  <r>
    <x v="5"/>
    <x v="0"/>
    <x v="44"/>
    <x v="4"/>
    <x v="27"/>
    <x v="26"/>
    <x v="1"/>
    <x v="49"/>
    <x v="181"/>
    <x v="2429"/>
    <x v="15"/>
    <x v="15"/>
    <x v="2"/>
  </r>
  <r>
    <x v="5"/>
    <x v="0"/>
    <x v="45"/>
    <x v="4"/>
    <x v="27"/>
    <x v="26"/>
    <x v="5"/>
    <x v="37"/>
    <x v="156"/>
    <x v="1858"/>
    <x v="28"/>
    <x v="28"/>
    <x v="2"/>
  </r>
  <r>
    <x v="5"/>
    <x v="0"/>
    <x v="46"/>
    <x v="4"/>
    <x v="27"/>
    <x v="26"/>
    <x v="4"/>
    <x v="35"/>
    <x v="131"/>
    <x v="1537"/>
    <x v="28"/>
    <x v="28"/>
    <x v="2"/>
  </r>
  <r>
    <x v="5"/>
    <x v="0"/>
    <x v="47"/>
    <x v="4"/>
    <x v="27"/>
    <x v="26"/>
    <x v="0"/>
    <x v="43"/>
    <x v="131"/>
    <x v="1797"/>
    <x v="45"/>
    <x v="45"/>
    <x v="2"/>
  </r>
  <r>
    <x v="5"/>
    <x v="0"/>
    <x v="48"/>
    <x v="4"/>
    <x v="27"/>
    <x v="26"/>
    <x v="3"/>
    <x v="48"/>
    <x v="108"/>
    <x v="1684"/>
    <x v="12"/>
    <x v="12"/>
    <x v="2"/>
  </r>
  <r>
    <x v="5"/>
    <x v="0"/>
    <x v="49"/>
    <x v="4"/>
    <x v="27"/>
    <x v="26"/>
    <x v="2"/>
    <x v="34"/>
    <x v="162"/>
    <x v="1804"/>
    <x v="24"/>
    <x v="24"/>
    <x v="2"/>
  </r>
  <r>
    <x v="5"/>
    <x v="0"/>
    <x v="50"/>
    <x v="4"/>
    <x v="27"/>
    <x v="26"/>
    <x v="1"/>
    <x v="44"/>
    <x v="157"/>
    <x v="2089"/>
    <x v="13"/>
    <x v="13"/>
    <x v="2"/>
  </r>
  <r>
    <x v="5"/>
    <x v="0"/>
    <x v="51"/>
    <x v="4"/>
    <x v="27"/>
    <x v="26"/>
    <x v="5"/>
    <x v="39"/>
    <x v="124"/>
    <x v="1594"/>
    <x v="27"/>
    <x v="27"/>
    <x v="2"/>
  </r>
  <r>
    <x v="5"/>
    <x v="0"/>
    <x v="52"/>
    <x v="4"/>
    <x v="27"/>
    <x v="26"/>
    <x v="4"/>
    <x v="36"/>
    <x v="104"/>
    <x v="1283"/>
    <x v="21"/>
    <x v="21"/>
    <x v="2"/>
  </r>
  <r>
    <x v="5"/>
    <x v="0"/>
    <x v="53"/>
    <x v="4"/>
    <x v="27"/>
    <x v="26"/>
    <x v="0"/>
    <x v="46"/>
    <x v="108"/>
    <x v="1625"/>
    <x v="39"/>
    <x v="39"/>
    <x v="2"/>
  </r>
  <r>
    <x v="5"/>
    <x v="0"/>
    <x v="54"/>
    <x v="4"/>
    <x v="27"/>
    <x v="26"/>
    <x v="3"/>
    <x v="47"/>
    <x v="120"/>
    <x v="1790"/>
    <x v="7"/>
    <x v="7"/>
    <x v="2"/>
  </r>
  <r>
    <x v="5"/>
    <x v="0"/>
    <x v="55"/>
    <x v="4"/>
    <x v="27"/>
    <x v="26"/>
    <x v="2"/>
    <x v="40"/>
    <x v="149"/>
    <x v="1889"/>
    <x v="26"/>
    <x v="26"/>
    <x v="2"/>
  </r>
  <r>
    <x v="5"/>
    <x v="0"/>
    <x v="56"/>
    <x v="4"/>
    <x v="27"/>
    <x v="26"/>
    <x v="1"/>
    <x v="43"/>
    <x v="169"/>
    <x v="2163"/>
    <x v="11"/>
    <x v="11"/>
    <x v="2"/>
  </r>
  <r>
    <x v="5"/>
    <x v="0"/>
    <x v="57"/>
    <x v="4"/>
    <x v="27"/>
    <x v="26"/>
    <x v="5"/>
    <x v="40"/>
    <x v="94"/>
    <x v="1278"/>
    <x v="28"/>
    <x v="28"/>
    <x v="2"/>
  </r>
  <r>
    <x v="5"/>
    <x v="0"/>
    <x v="58"/>
    <x v="4"/>
    <x v="27"/>
    <x v="26"/>
    <x v="4"/>
    <x v="36"/>
    <x v="100"/>
    <x v="1235"/>
    <x v="19"/>
    <x v="19"/>
    <x v="2"/>
  </r>
  <r>
    <x v="5"/>
    <x v="0"/>
    <x v="59"/>
    <x v="4"/>
    <x v="27"/>
    <x v="26"/>
    <x v="0"/>
    <x v="41"/>
    <x v="89"/>
    <x v="1239"/>
    <x v="40"/>
    <x v="40"/>
    <x v="2"/>
  </r>
  <r>
    <x v="5"/>
    <x v="0"/>
    <x v="60"/>
    <x v="4"/>
    <x v="27"/>
    <x v="26"/>
    <x v="3"/>
    <x v="46"/>
    <x v="101"/>
    <x v="1530"/>
    <x v="8"/>
    <x v="8"/>
    <x v="2"/>
  </r>
  <r>
    <x v="5"/>
    <x v="0"/>
    <x v="61"/>
    <x v="4"/>
    <x v="27"/>
    <x v="26"/>
    <x v="2"/>
    <x v="40"/>
    <x v="172"/>
    <x v="2093"/>
    <x v="28"/>
    <x v="28"/>
    <x v="2"/>
  </r>
  <r>
    <x v="5"/>
    <x v="0"/>
    <x v="62"/>
    <x v="4"/>
    <x v="27"/>
    <x v="26"/>
    <x v="1"/>
    <x v="45"/>
    <x v="175"/>
    <x v="2272"/>
    <x v="11"/>
    <x v="11"/>
    <x v="2"/>
  </r>
  <r>
    <x v="5"/>
    <x v="0"/>
    <x v="63"/>
    <x v="4"/>
    <x v="27"/>
    <x v="26"/>
    <x v="5"/>
    <x v="37"/>
    <x v="120"/>
    <x v="1480"/>
    <x v="28"/>
    <x v="28"/>
    <x v="2"/>
  </r>
  <r>
    <x v="5"/>
    <x v="0"/>
    <x v="64"/>
    <x v="4"/>
    <x v="27"/>
    <x v="26"/>
    <x v="4"/>
    <x v="36"/>
    <x v="112"/>
    <x v="1369"/>
    <x v="21"/>
    <x v="21"/>
    <x v="2"/>
  </r>
  <r>
    <x v="5"/>
    <x v="0"/>
    <x v="65"/>
    <x v="4"/>
    <x v="27"/>
    <x v="26"/>
    <x v="0"/>
    <x v="39"/>
    <x v="100"/>
    <x v="1316"/>
    <x v="40"/>
    <x v="40"/>
    <x v="2"/>
  </r>
  <r>
    <x v="5"/>
    <x v="0"/>
    <x v="66"/>
    <x v="4"/>
    <x v="27"/>
    <x v="26"/>
    <x v="3"/>
    <x v="44"/>
    <x v="140"/>
    <x v="1932"/>
    <x v="7"/>
    <x v="7"/>
    <x v="2"/>
  </r>
  <r>
    <x v="5"/>
    <x v="0"/>
    <x v="67"/>
    <x v="4"/>
    <x v="27"/>
    <x v="26"/>
    <x v="2"/>
    <x v="40"/>
    <x v="186"/>
    <x v="2232"/>
    <x v="23"/>
    <x v="23"/>
    <x v="2"/>
  </r>
  <r>
    <x v="5"/>
    <x v="0"/>
    <x v="68"/>
    <x v="4"/>
    <x v="27"/>
    <x v="26"/>
    <x v="1"/>
    <x v="43"/>
    <x v="182"/>
    <x v="2271"/>
    <x v="11"/>
    <x v="11"/>
    <x v="2"/>
  </r>
  <r>
    <x v="5"/>
    <x v="0"/>
    <x v="69"/>
    <x v="4"/>
    <x v="27"/>
    <x v="26"/>
    <x v="5"/>
    <x v="40"/>
    <x v="144"/>
    <x v="1843"/>
    <x v="28"/>
    <x v="28"/>
    <x v="2"/>
  </r>
  <r>
    <x v="5"/>
    <x v="0"/>
    <x v="70"/>
    <x v="4"/>
    <x v="27"/>
    <x v="26"/>
    <x v="4"/>
    <x v="33"/>
    <x v="144"/>
    <x v="1595"/>
    <x v="22"/>
    <x v="22"/>
    <x v="2"/>
  </r>
  <r>
    <x v="5"/>
    <x v="0"/>
    <x v="71"/>
    <x v="4"/>
    <x v="27"/>
    <x v="26"/>
    <x v="0"/>
    <x v="42"/>
    <x v="116"/>
    <x v="1601"/>
    <x v="40"/>
    <x v="40"/>
    <x v="2"/>
  </r>
  <r>
    <x v="5"/>
    <x v="0"/>
    <x v="72"/>
    <x v="4"/>
    <x v="27"/>
    <x v="26"/>
    <x v="3"/>
    <x v="49"/>
    <x v="148"/>
    <x v="2141"/>
    <x v="4"/>
    <x v="4"/>
    <x v="2"/>
  </r>
  <r>
    <x v="5"/>
    <x v="0"/>
    <x v="73"/>
    <x v="4"/>
    <x v="27"/>
    <x v="26"/>
    <x v="2"/>
    <x v="13"/>
    <x v="128"/>
    <x v="665"/>
    <x v="26"/>
    <x v="26"/>
    <x v="2"/>
  </r>
  <r>
    <x v="5"/>
    <x v="0"/>
    <x v="74"/>
    <x v="4"/>
    <x v="27"/>
    <x v="26"/>
    <x v="1"/>
    <x v="24"/>
    <x v="125"/>
    <x v="1085"/>
    <x v="11"/>
    <x v="11"/>
    <x v="2"/>
  </r>
  <r>
    <x v="5"/>
    <x v="0"/>
    <x v="75"/>
    <x v="4"/>
    <x v="27"/>
    <x v="26"/>
    <x v="5"/>
    <x v="19"/>
    <x v="108"/>
    <x v="772"/>
    <x v="28"/>
    <x v="28"/>
    <x v="2"/>
  </r>
  <r>
    <x v="5"/>
    <x v="0"/>
    <x v="76"/>
    <x v="4"/>
    <x v="27"/>
    <x v="26"/>
    <x v="4"/>
    <x v="19"/>
    <x v="79"/>
    <x v="529"/>
    <x v="20"/>
    <x v="20"/>
    <x v="2"/>
  </r>
  <r>
    <x v="3"/>
    <x v="3"/>
    <x v="431"/>
    <x v="2"/>
    <x v="41"/>
    <x v="25"/>
    <x v="0"/>
    <x v="23"/>
    <x v="103"/>
    <x v="873"/>
    <x v="20"/>
    <x v="20"/>
    <x v="2"/>
  </r>
  <r>
    <x v="3"/>
    <x v="3"/>
    <x v="432"/>
    <x v="2"/>
    <x v="41"/>
    <x v="25"/>
    <x v="3"/>
    <x v="17"/>
    <x v="148"/>
    <x v="975"/>
    <x v="39"/>
    <x v="39"/>
    <x v="2"/>
  </r>
  <r>
    <x v="3"/>
    <x v="3"/>
    <x v="433"/>
    <x v="2"/>
    <x v="41"/>
    <x v="25"/>
    <x v="2"/>
    <x v="11"/>
    <x v="176"/>
    <x v="858"/>
    <x v="23"/>
    <x v="23"/>
    <x v="2"/>
  </r>
  <r>
    <x v="3"/>
    <x v="3"/>
    <x v="434"/>
    <x v="2"/>
    <x v="41"/>
    <x v="25"/>
    <x v="1"/>
    <x v="16"/>
    <x v="189"/>
    <x v="1218"/>
    <x v="25"/>
    <x v="25"/>
    <x v="2"/>
  </r>
  <r>
    <x v="3"/>
    <x v="3"/>
    <x v="435"/>
    <x v="2"/>
    <x v="41"/>
    <x v="25"/>
    <x v="5"/>
    <x v="16"/>
    <x v="120"/>
    <x v="741"/>
    <x v="25"/>
    <x v="25"/>
    <x v="2"/>
  </r>
  <r>
    <x v="3"/>
    <x v="3"/>
    <x v="436"/>
    <x v="2"/>
    <x v="41"/>
    <x v="25"/>
    <x v="4"/>
    <x v="21"/>
    <x v="108"/>
    <x v="841"/>
    <x v="35"/>
    <x v="35"/>
    <x v="2"/>
  </r>
  <r>
    <x v="3"/>
    <x v="3"/>
    <x v="437"/>
    <x v="2"/>
    <x v="41"/>
    <x v="25"/>
    <x v="0"/>
    <x v="22"/>
    <x v="77"/>
    <x v="597"/>
    <x v="18"/>
    <x v="18"/>
    <x v="2"/>
  </r>
  <r>
    <x v="3"/>
    <x v="3"/>
    <x v="438"/>
    <x v="2"/>
    <x v="41"/>
    <x v="25"/>
    <x v="3"/>
    <x v="21"/>
    <x v="123"/>
    <x v="958"/>
    <x v="42"/>
    <x v="42"/>
    <x v="2"/>
  </r>
  <r>
    <x v="3"/>
    <x v="3"/>
    <x v="439"/>
    <x v="2"/>
    <x v="41"/>
    <x v="25"/>
    <x v="2"/>
    <x v="13"/>
    <x v="191"/>
    <x v="1064"/>
    <x v="29"/>
    <x v="29"/>
    <x v="2"/>
  </r>
  <r>
    <x v="3"/>
    <x v="3"/>
    <x v="440"/>
    <x v="2"/>
    <x v="41"/>
    <x v="25"/>
    <x v="1"/>
    <x v="24"/>
    <x v="171"/>
    <x v="1454"/>
    <x v="33"/>
    <x v="33"/>
    <x v="2"/>
  </r>
  <r>
    <x v="3"/>
    <x v="3"/>
    <x v="441"/>
    <x v="2"/>
    <x v="41"/>
    <x v="25"/>
    <x v="5"/>
    <x v="15"/>
    <x v="144"/>
    <x v="863"/>
    <x v="29"/>
    <x v="29"/>
    <x v="2"/>
  </r>
  <r>
    <x v="3"/>
    <x v="3"/>
    <x v="442"/>
    <x v="2"/>
    <x v="41"/>
    <x v="25"/>
    <x v="4"/>
    <x v="18"/>
    <x v="104"/>
    <x v="706"/>
    <x v="42"/>
    <x v="42"/>
    <x v="2"/>
  </r>
  <r>
    <x v="3"/>
    <x v="3"/>
    <x v="443"/>
    <x v="2"/>
    <x v="41"/>
    <x v="25"/>
    <x v="0"/>
    <x v="20"/>
    <x v="73"/>
    <x v="492"/>
    <x v="27"/>
    <x v="27"/>
    <x v="2"/>
  </r>
  <r>
    <x v="3"/>
    <x v="3"/>
    <x v="444"/>
    <x v="2"/>
    <x v="41"/>
    <x v="25"/>
    <x v="3"/>
    <x v="18"/>
    <x v="125"/>
    <x v="853"/>
    <x v="47"/>
    <x v="47"/>
    <x v="2"/>
  </r>
  <r>
    <x v="3"/>
    <x v="3"/>
    <x v="445"/>
    <x v="2"/>
    <x v="41"/>
    <x v="25"/>
    <x v="2"/>
    <x v="6"/>
    <x v="177"/>
    <x v="568"/>
    <x v="31"/>
    <x v="31"/>
    <x v="2"/>
  </r>
  <r>
    <x v="3"/>
    <x v="3"/>
    <x v="446"/>
    <x v="2"/>
    <x v="41"/>
    <x v="25"/>
    <x v="1"/>
    <x v="10"/>
    <x v="177"/>
    <x v="804"/>
    <x v="28"/>
    <x v="28"/>
    <x v="2"/>
  </r>
  <r>
    <x v="3"/>
    <x v="3"/>
    <x v="447"/>
    <x v="2"/>
    <x v="41"/>
    <x v="25"/>
    <x v="5"/>
    <x v="8"/>
    <x v="148"/>
    <x v="542"/>
    <x v="30"/>
    <x v="30"/>
    <x v="2"/>
  </r>
  <r>
    <x v="3"/>
    <x v="3"/>
    <x v="448"/>
    <x v="2"/>
    <x v="41"/>
    <x v="25"/>
    <x v="4"/>
    <x v="13"/>
    <x v="108"/>
    <x v="545"/>
    <x v="42"/>
    <x v="42"/>
    <x v="2"/>
  </r>
  <r>
    <x v="3"/>
    <x v="3"/>
    <x v="449"/>
    <x v="2"/>
    <x v="41"/>
    <x v="25"/>
    <x v="0"/>
    <x v="13"/>
    <x v="87"/>
    <x v="421"/>
    <x v="24"/>
    <x v="24"/>
    <x v="2"/>
  </r>
  <r>
    <x v="3"/>
    <x v="3"/>
    <x v="450"/>
    <x v="2"/>
    <x v="41"/>
    <x v="25"/>
    <x v="3"/>
    <x v="11"/>
    <x v="172"/>
    <x v="826"/>
    <x v="47"/>
    <x v="47"/>
    <x v="2"/>
  </r>
  <r>
    <x v="3"/>
    <x v="3"/>
    <x v="451"/>
    <x v="2"/>
    <x v="41"/>
    <x v="25"/>
    <x v="2"/>
    <x v="5"/>
    <x v="210"/>
    <x v="661"/>
    <x v="31"/>
    <x v="31"/>
    <x v="2"/>
  </r>
  <r>
    <x v="3"/>
    <x v="3"/>
    <x v="452"/>
    <x v="2"/>
    <x v="41"/>
    <x v="25"/>
    <x v="1"/>
    <x v="13"/>
    <x v="204"/>
    <x v="1155"/>
    <x v="30"/>
    <x v="30"/>
    <x v="2"/>
  </r>
  <r>
    <x v="3"/>
    <x v="3"/>
    <x v="453"/>
    <x v="2"/>
    <x v="41"/>
    <x v="25"/>
    <x v="5"/>
    <x v="7"/>
    <x v="178"/>
    <x v="632"/>
    <x v="32"/>
    <x v="32"/>
    <x v="2"/>
  </r>
  <r>
    <x v="3"/>
    <x v="3"/>
    <x v="454"/>
    <x v="2"/>
    <x v="41"/>
    <x v="25"/>
    <x v="4"/>
    <x v="13"/>
    <x v="156"/>
    <x v="840"/>
    <x v="40"/>
    <x v="40"/>
    <x v="2"/>
  </r>
  <r>
    <x v="3"/>
    <x v="3"/>
    <x v="455"/>
    <x v="2"/>
    <x v="41"/>
    <x v="25"/>
    <x v="0"/>
    <x v="26"/>
    <x v="112"/>
    <x v="1046"/>
    <x v="27"/>
    <x v="27"/>
    <x v="2"/>
  </r>
  <r>
    <x v="3"/>
    <x v="3"/>
    <x v="456"/>
    <x v="2"/>
    <x v="41"/>
    <x v="25"/>
    <x v="3"/>
    <x v="24"/>
    <x v="228"/>
    <x v="1960"/>
    <x v="45"/>
    <x v="45"/>
    <x v="2"/>
  </r>
  <r>
    <x v="3"/>
    <x v="3"/>
    <x v="457"/>
    <x v="2"/>
    <x v="41"/>
    <x v="25"/>
    <x v="2"/>
    <x v="21"/>
    <x v="216"/>
    <x v="1708"/>
    <x v="33"/>
    <x v="33"/>
    <x v="2"/>
  </r>
  <r>
    <x v="3"/>
    <x v="3"/>
    <x v="458"/>
    <x v="2"/>
    <x v="41"/>
    <x v="25"/>
    <x v="1"/>
    <x v="25"/>
    <x v="204"/>
    <x v="1815"/>
    <x v="33"/>
    <x v="33"/>
    <x v="2"/>
  </r>
  <r>
    <x v="3"/>
    <x v="3"/>
    <x v="459"/>
    <x v="2"/>
    <x v="41"/>
    <x v="25"/>
    <x v="5"/>
    <x v="19"/>
    <x v="176"/>
    <x v="1268"/>
    <x v="30"/>
    <x v="30"/>
    <x v="2"/>
  </r>
  <r>
    <x v="3"/>
    <x v="3"/>
    <x v="460"/>
    <x v="2"/>
    <x v="41"/>
    <x v="25"/>
    <x v="4"/>
    <x v="22"/>
    <x v="173"/>
    <x v="1381"/>
    <x v="42"/>
    <x v="42"/>
    <x v="2"/>
  </r>
  <r>
    <x v="3"/>
    <x v="3"/>
    <x v="461"/>
    <x v="2"/>
    <x v="41"/>
    <x v="25"/>
    <x v="0"/>
    <x v="23"/>
    <x v="129"/>
    <x v="1086"/>
    <x v="25"/>
    <x v="25"/>
    <x v="2"/>
  </r>
  <r>
    <x v="3"/>
    <x v="3"/>
    <x v="462"/>
    <x v="2"/>
    <x v="41"/>
    <x v="25"/>
    <x v="3"/>
    <x v="30"/>
    <x v="258"/>
    <x v="2391"/>
    <x v="45"/>
    <x v="45"/>
    <x v="2"/>
  </r>
  <r>
    <x v="3"/>
    <x v="3"/>
    <x v="463"/>
    <x v="2"/>
    <x v="41"/>
    <x v="25"/>
    <x v="2"/>
    <x v="22"/>
    <x v="229"/>
    <x v="1859"/>
    <x v="36"/>
    <x v="36"/>
    <x v="2"/>
  </r>
  <r>
    <x v="3"/>
    <x v="3"/>
    <x v="464"/>
    <x v="2"/>
    <x v="41"/>
    <x v="25"/>
    <x v="1"/>
    <x v="23"/>
    <x v="223"/>
    <x v="1866"/>
    <x v="36"/>
    <x v="36"/>
    <x v="2"/>
  </r>
  <r>
    <x v="3"/>
    <x v="3"/>
    <x v="465"/>
    <x v="2"/>
    <x v="41"/>
    <x v="25"/>
    <x v="5"/>
    <x v="23"/>
    <x v="270"/>
    <x v="2165"/>
    <x v="36"/>
    <x v="36"/>
    <x v="2"/>
  </r>
  <r>
    <x v="3"/>
    <x v="3"/>
    <x v="466"/>
    <x v="2"/>
    <x v="41"/>
    <x v="25"/>
    <x v="4"/>
    <x v="25"/>
    <x v="172"/>
    <x v="1509"/>
    <x v="47"/>
    <x v="47"/>
    <x v="2"/>
  </r>
  <r>
    <x v="3"/>
    <x v="3"/>
    <x v="467"/>
    <x v="2"/>
    <x v="41"/>
    <x v="25"/>
    <x v="0"/>
    <x v="26"/>
    <x v="159"/>
    <x v="1443"/>
    <x v="31"/>
    <x v="31"/>
    <x v="2"/>
  </r>
  <r>
    <x v="3"/>
    <x v="3"/>
    <x v="468"/>
    <x v="2"/>
    <x v="41"/>
    <x v="25"/>
    <x v="3"/>
    <x v="31"/>
    <x v="229"/>
    <x v="2258"/>
    <x v="48"/>
    <x v="48"/>
    <x v="2"/>
  </r>
  <r>
    <x v="3"/>
    <x v="3"/>
    <x v="469"/>
    <x v="2"/>
    <x v="41"/>
    <x v="25"/>
    <x v="2"/>
    <x v="22"/>
    <x v="199"/>
    <x v="1618"/>
    <x v="37"/>
    <x v="37"/>
    <x v="2"/>
  </r>
  <r>
    <x v="3"/>
    <x v="3"/>
    <x v="470"/>
    <x v="2"/>
    <x v="41"/>
    <x v="25"/>
    <x v="1"/>
    <x v="37"/>
    <x v="228"/>
    <x v="2457"/>
    <x v="37"/>
    <x v="37"/>
    <x v="2"/>
  </r>
  <r>
    <x v="3"/>
    <x v="3"/>
    <x v="471"/>
    <x v="2"/>
    <x v="41"/>
    <x v="25"/>
    <x v="5"/>
    <x v="32"/>
    <x v="264"/>
    <x v="2490"/>
    <x v="33"/>
    <x v="33"/>
    <x v="2"/>
  </r>
  <r>
    <x v="3"/>
    <x v="3"/>
    <x v="472"/>
    <x v="2"/>
    <x v="41"/>
    <x v="25"/>
    <x v="4"/>
    <x v="25"/>
    <x v="140"/>
    <x v="1250"/>
    <x v="45"/>
    <x v="45"/>
    <x v="2"/>
  </r>
  <r>
    <x v="3"/>
    <x v="3"/>
    <x v="473"/>
    <x v="2"/>
    <x v="41"/>
    <x v="25"/>
    <x v="0"/>
    <x v="28"/>
    <x v="123"/>
    <x v="1210"/>
    <x v="31"/>
    <x v="31"/>
    <x v="2"/>
  </r>
  <r>
    <x v="3"/>
    <x v="3"/>
    <x v="474"/>
    <x v="2"/>
    <x v="41"/>
    <x v="25"/>
    <x v="3"/>
    <x v="33"/>
    <x v="198"/>
    <x v="2101"/>
    <x v="53"/>
    <x v="53"/>
    <x v="2"/>
  </r>
  <r>
    <x v="3"/>
    <x v="3"/>
    <x v="475"/>
    <x v="2"/>
    <x v="41"/>
    <x v="25"/>
    <x v="2"/>
    <x v="33"/>
    <x v="182"/>
    <x v="1949"/>
    <x v="36"/>
    <x v="36"/>
    <x v="2"/>
  </r>
  <r>
    <x v="3"/>
    <x v="3"/>
    <x v="476"/>
    <x v="2"/>
    <x v="41"/>
    <x v="25"/>
    <x v="1"/>
    <x v="26"/>
    <x v="184"/>
    <x v="1682"/>
    <x v="33"/>
    <x v="33"/>
    <x v="2"/>
  </r>
  <r>
    <x v="3"/>
    <x v="3"/>
    <x v="477"/>
    <x v="2"/>
    <x v="41"/>
    <x v="25"/>
    <x v="5"/>
    <x v="33"/>
    <x v="177"/>
    <x v="1908"/>
    <x v="37"/>
    <x v="37"/>
    <x v="2"/>
  </r>
  <r>
    <x v="3"/>
    <x v="3"/>
    <x v="478"/>
    <x v="2"/>
    <x v="41"/>
    <x v="25"/>
    <x v="4"/>
    <x v="33"/>
    <x v="116"/>
    <x v="1308"/>
    <x v="43"/>
    <x v="43"/>
    <x v="2"/>
  </r>
  <r>
    <x v="3"/>
    <x v="3"/>
    <x v="479"/>
    <x v="2"/>
    <x v="41"/>
    <x v="25"/>
    <x v="0"/>
    <x v="32"/>
    <x v="101"/>
    <x v="1130"/>
    <x v="29"/>
    <x v="29"/>
    <x v="2"/>
  </r>
  <r>
    <x v="3"/>
    <x v="3"/>
    <x v="480"/>
    <x v="2"/>
    <x v="41"/>
    <x v="25"/>
    <x v="3"/>
    <x v="23"/>
    <x v="189"/>
    <x v="1580"/>
    <x v="48"/>
    <x v="48"/>
    <x v="2"/>
  </r>
  <r>
    <x v="3"/>
    <x v="3"/>
    <x v="481"/>
    <x v="2"/>
    <x v="41"/>
    <x v="25"/>
    <x v="2"/>
    <x v="21"/>
    <x v="175"/>
    <x v="1357"/>
    <x v="38"/>
    <x v="38"/>
    <x v="2"/>
  </r>
  <r>
    <x v="3"/>
    <x v="3"/>
    <x v="482"/>
    <x v="2"/>
    <x v="41"/>
    <x v="25"/>
    <x v="1"/>
    <x v="18"/>
    <x v="155"/>
    <x v="1070"/>
    <x v="34"/>
    <x v="34"/>
    <x v="2"/>
  </r>
  <r>
    <x v="3"/>
    <x v="3"/>
    <x v="483"/>
    <x v="2"/>
    <x v="41"/>
    <x v="25"/>
    <x v="5"/>
    <x v="20"/>
    <x v="141"/>
    <x v="1057"/>
    <x v="34"/>
    <x v="34"/>
    <x v="2"/>
  </r>
  <r>
    <x v="3"/>
    <x v="3"/>
    <x v="484"/>
    <x v="2"/>
    <x v="41"/>
    <x v="25"/>
    <x v="4"/>
    <x v="23"/>
    <x v="111"/>
    <x v="938"/>
    <x v="46"/>
    <x v="46"/>
    <x v="2"/>
  </r>
  <r>
    <x v="3"/>
    <x v="3"/>
    <x v="485"/>
    <x v="2"/>
    <x v="41"/>
    <x v="25"/>
    <x v="0"/>
    <x v="21"/>
    <x v="91"/>
    <x v="692"/>
    <x v="30"/>
    <x v="30"/>
    <x v="2"/>
  </r>
  <r>
    <x v="3"/>
    <x v="3"/>
    <x v="486"/>
    <x v="2"/>
    <x v="41"/>
    <x v="25"/>
    <x v="3"/>
    <x v="22"/>
    <x v="156"/>
    <x v="1251"/>
    <x v="53"/>
    <x v="53"/>
    <x v="2"/>
  </r>
  <r>
    <x v="3"/>
    <x v="3"/>
    <x v="487"/>
    <x v="2"/>
    <x v="41"/>
    <x v="25"/>
    <x v="2"/>
    <x v="17"/>
    <x v="177"/>
    <x v="1174"/>
    <x v="34"/>
    <x v="34"/>
    <x v="2"/>
  </r>
  <r>
    <x v="3"/>
    <x v="3"/>
    <x v="488"/>
    <x v="2"/>
    <x v="41"/>
    <x v="25"/>
    <x v="1"/>
    <x v="14"/>
    <x v="192"/>
    <x v="1131"/>
    <x v="35"/>
    <x v="35"/>
    <x v="2"/>
  </r>
  <r>
    <x v="3"/>
    <x v="3"/>
    <x v="489"/>
    <x v="2"/>
    <x v="41"/>
    <x v="25"/>
    <x v="5"/>
    <x v="30"/>
    <x v="178"/>
    <x v="1789"/>
    <x v="33"/>
    <x v="33"/>
    <x v="2"/>
  </r>
  <r>
    <x v="3"/>
    <x v="3"/>
    <x v="490"/>
    <x v="2"/>
    <x v="41"/>
    <x v="25"/>
    <x v="4"/>
    <x v="31"/>
    <x v="136"/>
    <x v="1433"/>
    <x v="48"/>
    <x v="48"/>
    <x v="2"/>
  </r>
  <r>
    <x v="3"/>
    <x v="3"/>
    <x v="491"/>
    <x v="2"/>
    <x v="41"/>
    <x v="25"/>
    <x v="0"/>
    <x v="36"/>
    <x v="120"/>
    <x v="1447"/>
    <x v="32"/>
    <x v="32"/>
    <x v="2"/>
  </r>
  <r>
    <x v="3"/>
    <x v="3"/>
    <x v="492"/>
    <x v="2"/>
    <x v="41"/>
    <x v="25"/>
    <x v="3"/>
    <x v="36"/>
    <x v="176"/>
    <x v="2008"/>
    <x v="52"/>
    <x v="52"/>
    <x v="2"/>
  </r>
  <r>
    <x v="3"/>
    <x v="3"/>
    <x v="493"/>
    <x v="2"/>
    <x v="41"/>
    <x v="25"/>
    <x v="2"/>
    <x v="32"/>
    <x v="211"/>
    <x v="2166"/>
    <x v="34"/>
    <x v="34"/>
    <x v="2"/>
  </r>
  <r>
    <x v="3"/>
    <x v="3"/>
    <x v="494"/>
    <x v="2"/>
    <x v="41"/>
    <x v="25"/>
    <x v="1"/>
    <x v="30"/>
    <x v="223"/>
    <x v="2175"/>
    <x v="35"/>
    <x v="35"/>
    <x v="2"/>
  </r>
  <r>
    <x v="3"/>
    <x v="3"/>
    <x v="495"/>
    <x v="2"/>
    <x v="41"/>
    <x v="25"/>
    <x v="5"/>
    <x v="37"/>
    <x v="183"/>
    <x v="2097"/>
    <x v="37"/>
    <x v="37"/>
    <x v="2"/>
  </r>
  <r>
    <x v="3"/>
    <x v="3"/>
    <x v="496"/>
    <x v="2"/>
    <x v="41"/>
    <x v="25"/>
    <x v="4"/>
    <x v="37"/>
    <x v="153"/>
    <x v="1831"/>
    <x v="46"/>
    <x v="46"/>
    <x v="2"/>
  </r>
  <r>
    <x v="3"/>
    <x v="3"/>
    <x v="497"/>
    <x v="2"/>
    <x v="41"/>
    <x v="25"/>
    <x v="0"/>
    <x v="31"/>
    <x v="138"/>
    <x v="1460"/>
    <x v="33"/>
    <x v="33"/>
    <x v="2"/>
  </r>
  <r>
    <x v="3"/>
    <x v="3"/>
    <x v="498"/>
    <x v="2"/>
    <x v="41"/>
    <x v="25"/>
    <x v="3"/>
    <x v="42"/>
    <x v="194"/>
    <x v="2356"/>
    <x v="49"/>
    <x v="49"/>
    <x v="2"/>
  </r>
  <r>
    <x v="1"/>
    <x v="1"/>
    <x v="499"/>
    <x v="2"/>
    <x v="41"/>
    <x v="25"/>
    <x v="2"/>
    <x v="20"/>
    <x v="120"/>
    <x v="893"/>
    <x v="30"/>
    <x v="30"/>
    <x v="2"/>
  </r>
  <r>
    <x v="1"/>
    <x v="1"/>
    <x v="500"/>
    <x v="2"/>
    <x v="41"/>
    <x v="25"/>
    <x v="1"/>
    <x v="16"/>
    <x v="58"/>
    <x v="277"/>
    <x v="27"/>
    <x v="27"/>
    <x v="2"/>
  </r>
  <r>
    <x v="1"/>
    <x v="1"/>
    <x v="501"/>
    <x v="2"/>
    <x v="41"/>
    <x v="25"/>
    <x v="5"/>
    <x v="12"/>
    <x v="61"/>
    <x v="216"/>
    <x v="25"/>
    <x v="25"/>
    <x v="2"/>
  </r>
  <r>
    <x v="1"/>
    <x v="1"/>
    <x v="502"/>
    <x v="2"/>
    <x v="41"/>
    <x v="25"/>
    <x v="4"/>
    <x v="15"/>
    <x v="13"/>
    <x v="28"/>
    <x v="29"/>
    <x v="29"/>
    <x v="2"/>
  </r>
  <r>
    <x v="3"/>
    <x v="3"/>
    <x v="575"/>
    <x v="2"/>
    <x v="0"/>
    <x v="6"/>
    <x v="0"/>
    <x v="24"/>
    <x v="95"/>
    <x v="827"/>
    <x v="27"/>
    <x v="27"/>
    <x v="2"/>
  </r>
  <r>
    <x v="3"/>
    <x v="3"/>
    <x v="576"/>
    <x v="2"/>
    <x v="0"/>
    <x v="6"/>
    <x v="3"/>
    <x v="17"/>
    <x v="131"/>
    <x v="861"/>
    <x v="45"/>
    <x v="45"/>
    <x v="2"/>
  </r>
  <r>
    <x v="3"/>
    <x v="3"/>
    <x v="577"/>
    <x v="2"/>
    <x v="0"/>
    <x v="6"/>
    <x v="2"/>
    <x v="9"/>
    <x v="179"/>
    <x v="764"/>
    <x v="33"/>
    <x v="33"/>
    <x v="2"/>
  </r>
  <r>
    <x v="3"/>
    <x v="3"/>
    <x v="578"/>
    <x v="2"/>
    <x v="0"/>
    <x v="6"/>
    <x v="1"/>
    <x v="19"/>
    <x v="168"/>
    <x v="1205"/>
    <x v="28"/>
    <x v="28"/>
    <x v="2"/>
  </r>
  <r>
    <x v="3"/>
    <x v="3"/>
    <x v="579"/>
    <x v="2"/>
    <x v="0"/>
    <x v="6"/>
    <x v="5"/>
    <x v="19"/>
    <x v="116"/>
    <x v="829"/>
    <x v="30"/>
    <x v="30"/>
    <x v="2"/>
  </r>
  <r>
    <x v="3"/>
    <x v="3"/>
    <x v="580"/>
    <x v="2"/>
    <x v="0"/>
    <x v="6"/>
    <x v="4"/>
    <x v="17"/>
    <x v="94"/>
    <x v="593"/>
    <x v="40"/>
    <x v="40"/>
    <x v="2"/>
  </r>
  <r>
    <x v="3"/>
    <x v="3"/>
    <x v="581"/>
    <x v="2"/>
    <x v="0"/>
    <x v="6"/>
    <x v="0"/>
    <x v="22"/>
    <x v="70"/>
    <x v="521"/>
    <x v="25"/>
    <x v="25"/>
    <x v="2"/>
  </r>
  <r>
    <x v="3"/>
    <x v="3"/>
    <x v="582"/>
    <x v="2"/>
    <x v="0"/>
    <x v="6"/>
    <x v="3"/>
    <x v="20"/>
    <x v="124"/>
    <x v="925"/>
    <x v="43"/>
    <x v="43"/>
    <x v="2"/>
  </r>
  <r>
    <x v="3"/>
    <x v="3"/>
    <x v="583"/>
    <x v="2"/>
    <x v="0"/>
    <x v="6"/>
    <x v="2"/>
    <x v="16"/>
    <x v="170"/>
    <x v="1076"/>
    <x v="35"/>
    <x v="35"/>
    <x v="2"/>
  </r>
  <r>
    <x v="3"/>
    <x v="3"/>
    <x v="584"/>
    <x v="2"/>
    <x v="0"/>
    <x v="6"/>
    <x v="1"/>
    <x v="25"/>
    <x v="170"/>
    <x v="1490"/>
    <x v="33"/>
    <x v="33"/>
    <x v="2"/>
  </r>
  <r>
    <x v="3"/>
    <x v="3"/>
    <x v="585"/>
    <x v="2"/>
    <x v="0"/>
    <x v="6"/>
    <x v="5"/>
    <x v="13"/>
    <x v="124"/>
    <x v="636"/>
    <x v="37"/>
    <x v="37"/>
    <x v="2"/>
  </r>
  <r>
    <x v="3"/>
    <x v="3"/>
    <x v="586"/>
    <x v="2"/>
    <x v="0"/>
    <x v="6"/>
    <x v="4"/>
    <x v="16"/>
    <x v="97"/>
    <x v="580"/>
    <x v="47"/>
    <x v="47"/>
    <x v="2"/>
  </r>
  <r>
    <x v="3"/>
    <x v="3"/>
    <x v="587"/>
    <x v="2"/>
    <x v="0"/>
    <x v="6"/>
    <x v="0"/>
    <x v="21"/>
    <x v="73"/>
    <x v="520"/>
    <x v="32"/>
    <x v="32"/>
    <x v="2"/>
  </r>
  <r>
    <x v="3"/>
    <x v="3"/>
    <x v="588"/>
    <x v="2"/>
    <x v="0"/>
    <x v="6"/>
    <x v="3"/>
    <x v="19"/>
    <x v="101"/>
    <x v="709"/>
    <x v="52"/>
    <x v="52"/>
    <x v="2"/>
  </r>
  <r>
    <x v="3"/>
    <x v="3"/>
    <x v="589"/>
    <x v="2"/>
    <x v="0"/>
    <x v="6"/>
    <x v="2"/>
    <x v="8"/>
    <x v="185"/>
    <x v="742"/>
    <x v="38"/>
    <x v="38"/>
    <x v="2"/>
  </r>
  <r>
    <x v="3"/>
    <x v="3"/>
    <x v="590"/>
    <x v="2"/>
    <x v="0"/>
    <x v="6"/>
    <x v="1"/>
    <x v="9"/>
    <x v="176"/>
    <x v="744"/>
    <x v="33"/>
    <x v="33"/>
    <x v="2"/>
  </r>
  <r>
    <x v="3"/>
    <x v="3"/>
    <x v="591"/>
    <x v="2"/>
    <x v="0"/>
    <x v="6"/>
    <x v="5"/>
    <x v="4"/>
    <x v="131"/>
    <x v="295"/>
    <x v="33"/>
    <x v="33"/>
    <x v="2"/>
  </r>
  <r>
    <x v="3"/>
    <x v="3"/>
    <x v="592"/>
    <x v="2"/>
    <x v="0"/>
    <x v="6"/>
    <x v="4"/>
    <x v="8"/>
    <x v="97"/>
    <x v="316"/>
    <x v="46"/>
    <x v="46"/>
    <x v="2"/>
  </r>
  <r>
    <x v="3"/>
    <x v="3"/>
    <x v="593"/>
    <x v="2"/>
    <x v="0"/>
    <x v="6"/>
    <x v="0"/>
    <x v="12"/>
    <x v="73"/>
    <x v="295"/>
    <x v="28"/>
    <x v="28"/>
    <x v="2"/>
  </r>
  <r>
    <x v="3"/>
    <x v="3"/>
    <x v="594"/>
    <x v="2"/>
    <x v="0"/>
    <x v="6"/>
    <x v="3"/>
    <x v="7"/>
    <x v="143"/>
    <x v="475"/>
    <x v="53"/>
    <x v="53"/>
    <x v="2"/>
  </r>
  <r>
    <x v="3"/>
    <x v="3"/>
    <x v="595"/>
    <x v="2"/>
    <x v="0"/>
    <x v="6"/>
    <x v="2"/>
    <x v="0"/>
    <x v="193"/>
    <x v="269"/>
    <x v="33"/>
    <x v="33"/>
    <x v="2"/>
  </r>
  <r>
    <x v="3"/>
    <x v="3"/>
    <x v="596"/>
    <x v="2"/>
    <x v="0"/>
    <x v="6"/>
    <x v="1"/>
    <x v="9"/>
    <x v="188"/>
    <x v="819"/>
    <x v="35"/>
    <x v="35"/>
    <x v="2"/>
  </r>
  <r>
    <x v="3"/>
    <x v="3"/>
    <x v="597"/>
    <x v="2"/>
    <x v="0"/>
    <x v="6"/>
    <x v="5"/>
    <x v="4"/>
    <x v="166"/>
    <x v="418"/>
    <x v="38"/>
    <x v="38"/>
    <x v="2"/>
  </r>
  <r>
    <x v="3"/>
    <x v="3"/>
    <x v="598"/>
    <x v="2"/>
    <x v="0"/>
    <x v="6"/>
    <x v="4"/>
    <x v="19"/>
    <x v="143"/>
    <x v="1025"/>
    <x v="47"/>
    <x v="47"/>
    <x v="2"/>
  </r>
  <r>
    <x v="3"/>
    <x v="3"/>
    <x v="599"/>
    <x v="2"/>
    <x v="0"/>
    <x v="6"/>
    <x v="0"/>
    <x v="32"/>
    <x v="112"/>
    <x v="1241"/>
    <x v="28"/>
    <x v="28"/>
    <x v="2"/>
  </r>
  <r>
    <x v="3"/>
    <x v="3"/>
    <x v="600"/>
    <x v="2"/>
    <x v="0"/>
    <x v="6"/>
    <x v="3"/>
    <x v="29"/>
    <x v="222"/>
    <x v="2129"/>
    <x v="52"/>
    <x v="52"/>
    <x v="2"/>
  </r>
  <r>
    <x v="3"/>
    <x v="3"/>
    <x v="601"/>
    <x v="2"/>
    <x v="0"/>
    <x v="6"/>
    <x v="2"/>
    <x v="23"/>
    <x v="194"/>
    <x v="1617"/>
    <x v="34"/>
    <x v="34"/>
    <x v="2"/>
  </r>
  <r>
    <x v="3"/>
    <x v="3"/>
    <x v="602"/>
    <x v="2"/>
    <x v="0"/>
    <x v="6"/>
    <x v="1"/>
    <x v="28"/>
    <x v="199"/>
    <x v="1914"/>
    <x v="33"/>
    <x v="33"/>
    <x v="2"/>
  </r>
  <r>
    <x v="3"/>
    <x v="3"/>
    <x v="603"/>
    <x v="2"/>
    <x v="0"/>
    <x v="6"/>
    <x v="5"/>
    <x v="28"/>
    <x v="195"/>
    <x v="1878"/>
    <x v="37"/>
    <x v="37"/>
    <x v="2"/>
  </r>
  <r>
    <x v="3"/>
    <x v="3"/>
    <x v="604"/>
    <x v="2"/>
    <x v="0"/>
    <x v="6"/>
    <x v="4"/>
    <x v="24"/>
    <x v="183"/>
    <x v="1569"/>
    <x v="46"/>
    <x v="46"/>
    <x v="2"/>
  </r>
  <r>
    <x v="3"/>
    <x v="3"/>
    <x v="605"/>
    <x v="2"/>
    <x v="0"/>
    <x v="6"/>
    <x v="0"/>
    <x v="31"/>
    <x v="143"/>
    <x v="1508"/>
    <x v="33"/>
    <x v="33"/>
    <x v="2"/>
  </r>
  <r>
    <x v="3"/>
    <x v="3"/>
    <x v="606"/>
    <x v="2"/>
    <x v="0"/>
    <x v="6"/>
    <x v="3"/>
    <x v="29"/>
    <x v="236"/>
    <x v="2221"/>
    <x v="50"/>
    <x v="50"/>
    <x v="2"/>
  </r>
  <r>
    <x v="3"/>
    <x v="3"/>
    <x v="607"/>
    <x v="2"/>
    <x v="0"/>
    <x v="6"/>
    <x v="2"/>
    <x v="24"/>
    <x v="216"/>
    <x v="1868"/>
    <x v="39"/>
    <x v="39"/>
    <x v="2"/>
  </r>
  <r>
    <x v="3"/>
    <x v="3"/>
    <x v="608"/>
    <x v="2"/>
    <x v="0"/>
    <x v="6"/>
    <x v="1"/>
    <x v="30"/>
    <x v="223"/>
    <x v="2175"/>
    <x v="41"/>
    <x v="41"/>
    <x v="2"/>
  </r>
  <r>
    <x v="3"/>
    <x v="3"/>
    <x v="609"/>
    <x v="2"/>
    <x v="0"/>
    <x v="6"/>
    <x v="5"/>
    <x v="24"/>
    <x v="270"/>
    <x v="2202"/>
    <x v="42"/>
    <x v="42"/>
    <x v="2"/>
  </r>
  <r>
    <x v="3"/>
    <x v="3"/>
    <x v="610"/>
    <x v="2"/>
    <x v="0"/>
    <x v="6"/>
    <x v="4"/>
    <x v="29"/>
    <x v="172"/>
    <x v="1687"/>
    <x v="53"/>
    <x v="53"/>
    <x v="2"/>
  </r>
  <r>
    <x v="3"/>
    <x v="3"/>
    <x v="611"/>
    <x v="2"/>
    <x v="0"/>
    <x v="6"/>
    <x v="0"/>
    <x v="28"/>
    <x v="156"/>
    <x v="1507"/>
    <x v="38"/>
    <x v="38"/>
    <x v="2"/>
  </r>
  <r>
    <x v="3"/>
    <x v="3"/>
    <x v="612"/>
    <x v="2"/>
    <x v="0"/>
    <x v="6"/>
    <x v="3"/>
    <x v="40"/>
    <x v="236"/>
    <x v="2577"/>
    <x v="56"/>
    <x v="56"/>
    <x v="2"/>
  </r>
  <r>
    <x v="3"/>
    <x v="3"/>
    <x v="613"/>
    <x v="2"/>
    <x v="0"/>
    <x v="6"/>
    <x v="2"/>
    <x v="20"/>
    <x v="199"/>
    <x v="1512"/>
    <x v="41"/>
    <x v="41"/>
    <x v="2"/>
  </r>
  <r>
    <x v="3"/>
    <x v="3"/>
    <x v="614"/>
    <x v="2"/>
    <x v="0"/>
    <x v="6"/>
    <x v="1"/>
    <x v="32"/>
    <x v="199"/>
    <x v="2078"/>
    <x v="40"/>
    <x v="40"/>
    <x v="2"/>
  </r>
  <r>
    <x v="3"/>
    <x v="3"/>
    <x v="615"/>
    <x v="2"/>
    <x v="0"/>
    <x v="6"/>
    <x v="5"/>
    <x v="29"/>
    <x v="234"/>
    <x v="2207"/>
    <x v="39"/>
    <x v="39"/>
    <x v="2"/>
  </r>
  <r>
    <x v="3"/>
    <x v="3"/>
    <x v="616"/>
    <x v="2"/>
    <x v="0"/>
    <x v="6"/>
    <x v="4"/>
    <x v="30"/>
    <x v="120"/>
    <x v="1248"/>
    <x v="50"/>
    <x v="50"/>
    <x v="2"/>
  </r>
  <r>
    <x v="3"/>
    <x v="3"/>
    <x v="617"/>
    <x v="2"/>
    <x v="0"/>
    <x v="6"/>
    <x v="0"/>
    <x v="35"/>
    <x v="120"/>
    <x v="1412"/>
    <x v="36"/>
    <x v="36"/>
    <x v="2"/>
  </r>
  <r>
    <x v="3"/>
    <x v="3"/>
    <x v="618"/>
    <x v="2"/>
    <x v="0"/>
    <x v="6"/>
    <x v="3"/>
    <x v="32"/>
    <x v="177"/>
    <x v="1865"/>
    <x v="57"/>
    <x v="57"/>
    <x v="2"/>
  </r>
  <r>
    <x v="3"/>
    <x v="3"/>
    <x v="619"/>
    <x v="2"/>
    <x v="0"/>
    <x v="6"/>
    <x v="2"/>
    <x v="31"/>
    <x v="179"/>
    <x v="1849"/>
    <x v="41"/>
    <x v="41"/>
    <x v="2"/>
  </r>
  <r>
    <x v="3"/>
    <x v="3"/>
    <x v="620"/>
    <x v="2"/>
    <x v="0"/>
    <x v="6"/>
    <x v="1"/>
    <x v="29"/>
    <x v="150"/>
    <x v="1495"/>
    <x v="41"/>
    <x v="41"/>
    <x v="2"/>
  </r>
  <r>
    <x v="3"/>
    <x v="3"/>
    <x v="621"/>
    <x v="2"/>
    <x v="0"/>
    <x v="6"/>
    <x v="5"/>
    <x v="40"/>
    <x v="184"/>
    <x v="2209"/>
    <x v="42"/>
    <x v="42"/>
    <x v="2"/>
  </r>
  <r>
    <x v="3"/>
    <x v="3"/>
    <x v="622"/>
    <x v="2"/>
    <x v="0"/>
    <x v="6"/>
    <x v="4"/>
    <x v="37"/>
    <x v="87"/>
    <x v="1115"/>
    <x v="52"/>
    <x v="52"/>
    <x v="2"/>
  </r>
  <r>
    <x v="3"/>
    <x v="3"/>
    <x v="623"/>
    <x v="2"/>
    <x v="0"/>
    <x v="6"/>
    <x v="0"/>
    <x v="28"/>
    <x v="97"/>
    <x v="971"/>
    <x v="34"/>
    <x v="34"/>
    <x v="2"/>
  </r>
  <r>
    <x v="3"/>
    <x v="3"/>
    <x v="624"/>
    <x v="2"/>
    <x v="0"/>
    <x v="6"/>
    <x v="3"/>
    <x v="19"/>
    <x v="166"/>
    <x v="1194"/>
    <x v="58"/>
    <x v="58"/>
    <x v="2"/>
  </r>
  <r>
    <x v="3"/>
    <x v="3"/>
    <x v="625"/>
    <x v="2"/>
    <x v="0"/>
    <x v="6"/>
    <x v="2"/>
    <x v="13"/>
    <x v="160"/>
    <x v="872"/>
    <x v="38"/>
    <x v="38"/>
    <x v="2"/>
  </r>
  <r>
    <x v="3"/>
    <x v="3"/>
    <x v="626"/>
    <x v="2"/>
    <x v="0"/>
    <x v="6"/>
    <x v="1"/>
    <x v="16"/>
    <x v="150"/>
    <x v="950"/>
    <x v="41"/>
    <x v="41"/>
    <x v="2"/>
  </r>
  <r>
    <x v="3"/>
    <x v="3"/>
    <x v="627"/>
    <x v="2"/>
    <x v="0"/>
    <x v="6"/>
    <x v="5"/>
    <x v="17"/>
    <x v="144"/>
    <x v="951"/>
    <x v="40"/>
    <x v="40"/>
    <x v="2"/>
  </r>
  <r>
    <x v="3"/>
    <x v="3"/>
    <x v="628"/>
    <x v="2"/>
    <x v="0"/>
    <x v="6"/>
    <x v="4"/>
    <x v="19"/>
    <x v="80"/>
    <x v="541"/>
    <x v="53"/>
    <x v="53"/>
    <x v="2"/>
  </r>
  <r>
    <x v="3"/>
    <x v="3"/>
    <x v="629"/>
    <x v="2"/>
    <x v="0"/>
    <x v="6"/>
    <x v="0"/>
    <x v="15"/>
    <x v="87"/>
    <x v="475"/>
    <x v="35"/>
    <x v="35"/>
    <x v="2"/>
  </r>
  <r>
    <x v="3"/>
    <x v="3"/>
    <x v="630"/>
    <x v="2"/>
    <x v="0"/>
    <x v="6"/>
    <x v="3"/>
    <x v="19"/>
    <x v="127"/>
    <x v="903"/>
    <x v="58"/>
    <x v="58"/>
    <x v="2"/>
  </r>
  <r>
    <x v="3"/>
    <x v="3"/>
    <x v="631"/>
    <x v="2"/>
    <x v="0"/>
    <x v="6"/>
    <x v="2"/>
    <x v="7"/>
    <x v="164"/>
    <x v="567"/>
    <x v="43"/>
    <x v="43"/>
    <x v="2"/>
  </r>
  <r>
    <x v="3"/>
    <x v="3"/>
    <x v="632"/>
    <x v="2"/>
    <x v="0"/>
    <x v="6"/>
    <x v="1"/>
    <x v="7"/>
    <x v="174"/>
    <x v="616"/>
    <x v="38"/>
    <x v="38"/>
    <x v="2"/>
  </r>
  <r>
    <x v="3"/>
    <x v="3"/>
    <x v="633"/>
    <x v="2"/>
    <x v="0"/>
    <x v="6"/>
    <x v="5"/>
    <x v="26"/>
    <x v="172"/>
    <x v="1561"/>
    <x v="41"/>
    <x v="41"/>
    <x v="2"/>
  </r>
  <r>
    <x v="3"/>
    <x v="3"/>
    <x v="634"/>
    <x v="2"/>
    <x v="0"/>
    <x v="6"/>
    <x v="4"/>
    <x v="29"/>
    <x v="115"/>
    <x v="1171"/>
    <x v="53"/>
    <x v="53"/>
    <x v="2"/>
  </r>
  <r>
    <x v="3"/>
    <x v="3"/>
    <x v="635"/>
    <x v="2"/>
    <x v="0"/>
    <x v="6"/>
    <x v="0"/>
    <x v="30"/>
    <x v="128"/>
    <x v="1327"/>
    <x v="34"/>
    <x v="34"/>
    <x v="2"/>
  </r>
  <r>
    <x v="3"/>
    <x v="3"/>
    <x v="636"/>
    <x v="2"/>
    <x v="0"/>
    <x v="6"/>
    <x v="3"/>
    <x v="38"/>
    <x v="164"/>
    <x v="1969"/>
    <x v="55"/>
    <x v="55"/>
    <x v="2"/>
  </r>
  <r>
    <x v="3"/>
    <x v="3"/>
    <x v="637"/>
    <x v="2"/>
    <x v="0"/>
    <x v="6"/>
    <x v="2"/>
    <x v="39"/>
    <x v="204"/>
    <x v="2358"/>
    <x v="42"/>
    <x v="42"/>
    <x v="2"/>
  </r>
  <r>
    <x v="3"/>
    <x v="3"/>
    <x v="638"/>
    <x v="2"/>
    <x v="0"/>
    <x v="6"/>
    <x v="1"/>
    <x v="33"/>
    <x v="211"/>
    <x v="2196"/>
    <x v="39"/>
    <x v="39"/>
    <x v="2"/>
  </r>
  <r>
    <x v="3"/>
    <x v="3"/>
    <x v="639"/>
    <x v="2"/>
    <x v="0"/>
    <x v="6"/>
    <x v="5"/>
    <x v="40"/>
    <x v="187"/>
    <x v="2236"/>
    <x v="40"/>
    <x v="40"/>
    <x v="2"/>
  </r>
  <r>
    <x v="3"/>
    <x v="3"/>
    <x v="640"/>
    <x v="2"/>
    <x v="0"/>
    <x v="6"/>
    <x v="4"/>
    <x v="45"/>
    <x v="169"/>
    <x v="2213"/>
    <x v="49"/>
    <x v="49"/>
    <x v="2"/>
  </r>
  <r>
    <x v="3"/>
    <x v="3"/>
    <x v="641"/>
    <x v="2"/>
    <x v="0"/>
    <x v="6"/>
    <x v="0"/>
    <x v="33"/>
    <x v="134"/>
    <x v="1488"/>
    <x v="33"/>
    <x v="33"/>
    <x v="2"/>
  </r>
  <r>
    <x v="3"/>
    <x v="3"/>
    <x v="642"/>
    <x v="2"/>
    <x v="0"/>
    <x v="6"/>
    <x v="3"/>
    <x v="49"/>
    <x v="194"/>
    <x v="2524"/>
    <x v="58"/>
    <x v="58"/>
    <x v="2"/>
  </r>
  <r>
    <x v="0"/>
    <x v="1"/>
    <x v="643"/>
    <x v="2"/>
    <x v="0"/>
    <x v="6"/>
    <x v="2"/>
    <x v="20"/>
    <x v="120"/>
    <x v="893"/>
    <x v="25"/>
    <x v="25"/>
    <x v="2"/>
  </r>
  <r>
    <x v="0"/>
    <x v="1"/>
    <x v="644"/>
    <x v="2"/>
    <x v="0"/>
    <x v="6"/>
    <x v="1"/>
    <x v="23"/>
    <x v="73"/>
    <x v="569"/>
    <x v="27"/>
    <x v="27"/>
    <x v="2"/>
  </r>
  <r>
    <x v="0"/>
    <x v="1"/>
    <x v="645"/>
    <x v="2"/>
    <x v="0"/>
    <x v="6"/>
    <x v="5"/>
    <x v="16"/>
    <x v="68"/>
    <x v="362"/>
    <x v="28"/>
    <x v="28"/>
    <x v="2"/>
  </r>
  <r>
    <x v="0"/>
    <x v="1"/>
    <x v="646"/>
    <x v="2"/>
    <x v="0"/>
    <x v="6"/>
    <x v="4"/>
    <x v="18"/>
    <x v="20"/>
    <x v="71"/>
    <x v="19"/>
    <x v="19"/>
    <x v="2"/>
  </r>
  <r>
    <x v="3"/>
    <x v="0"/>
    <x v="406"/>
    <x v="3"/>
    <x v="8"/>
    <x v="39"/>
    <x v="4"/>
    <x v="29"/>
    <x v="77"/>
    <x v="787"/>
    <x v="23"/>
    <x v="23"/>
    <x v="2"/>
  </r>
  <r>
    <x v="3"/>
    <x v="0"/>
    <x v="406"/>
    <x v="3"/>
    <x v="8"/>
    <x v="39"/>
    <x v="0"/>
    <x v="37"/>
    <x v="51"/>
    <x v="599"/>
    <x v="10"/>
    <x v="10"/>
    <x v="2"/>
  </r>
  <r>
    <x v="3"/>
    <x v="0"/>
    <x v="406"/>
    <x v="3"/>
    <x v="8"/>
    <x v="39"/>
    <x v="3"/>
    <x v="26"/>
    <x v="104"/>
    <x v="976"/>
    <x v="37"/>
    <x v="37"/>
    <x v="2"/>
  </r>
  <r>
    <x v="3"/>
    <x v="0"/>
    <x v="433"/>
    <x v="3"/>
    <x v="8"/>
    <x v="39"/>
    <x v="2"/>
    <x v="28"/>
    <x v="149"/>
    <x v="1438"/>
    <x v="20"/>
    <x v="20"/>
    <x v="2"/>
  </r>
  <r>
    <x v="3"/>
    <x v="0"/>
    <x v="433"/>
    <x v="3"/>
    <x v="8"/>
    <x v="39"/>
    <x v="1"/>
    <x v="37"/>
    <x v="104"/>
    <x v="1312"/>
    <x v="17"/>
    <x v="17"/>
    <x v="2"/>
  </r>
  <r>
    <x v="3"/>
    <x v="0"/>
    <x v="433"/>
    <x v="3"/>
    <x v="8"/>
    <x v="39"/>
    <x v="5"/>
    <x v="40"/>
    <x v="128"/>
    <x v="1675"/>
    <x v="18"/>
    <x v="18"/>
    <x v="2"/>
  </r>
  <r>
    <x v="3"/>
    <x v="0"/>
    <x v="433"/>
    <x v="3"/>
    <x v="8"/>
    <x v="39"/>
    <x v="4"/>
    <x v="35"/>
    <x v="95"/>
    <x v="1152"/>
    <x v="21"/>
    <x v="21"/>
    <x v="2"/>
  </r>
  <r>
    <x v="3"/>
    <x v="0"/>
    <x v="433"/>
    <x v="3"/>
    <x v="8"/>
    <x v="39"/>
    <x v="0"/>
    <x v="37"/>
    <x v="49"/>
    <x v="569"/>
    <x v="12"/>
    <x v="12"/>
    <x v="2"/>
  </r>
  <r>
    <x v="3"/>
    <x v="0"/>
    <x v="433"/>
    <x v="3"/>
    <x v="8"/>
    <x v="39"/>
    <x v="3"/>
    <x v="41"/>
    <x v="111"/>
    <x v="1511"/>
    <x v="33"/>
    <x v="33"/>
    <x v="2"/>
  </r>
  <r>
    <x v="4"/>
    <x v="0"/>
    <x v="465"/>
    <x v="3"/>
    <x v="8"/>
    <x v="39"/>
    <x v="2"/>
    <x v="40"/>
    <x v="149"/>
    <x v="1889"/>
    <x v="22"/>
    <x v="22"/>
    <x v="2"/>
  </r>
  <r>
    <x v="4"/>
    <x v="0"/>
    <x v="465"/>
    <x v="3"/>
    <x v="8"/>
    <x v="39"/>
    <x v="1"/>
    <x v="44"/>
    <x v="87"/>
    <x v="1286"/>
    <x v="13"/>
    <x v="13"/>
    <x v="2"/>
  </r>
  <r>
    <x v="4"/>
    <x v="0"/>
    <x v="465"/>
    <x v="3"/>
    <x v="8"/>
    <x v="39"/>
    <x v="5"/>
    <x v="42"/>
    <x v="112"/>
    <x v="1561"/>
    <x v="20"/>
    <x v="20"/>
    <x v="2"/>
  </r>
  <r>
    <x v="4"/>
    <x v="0"/>
    <x v="465"/>
    <x v="3"/>
    <x v="8"/>
    <x v="39"/>
    <x v="4"/>
    <x v="34"/>
    <x v="74"/>
    <x v="873"/>
    <x v="21"/>
    <x v="21"/>
    <x v="2"/>
  </r>
  <r>
    <x v="4"/>
    <x v="0"/>
    <x v="465"/>
    <x v="3"/>
    <x v="8"/>
    <x v="39"/>
    <x v="0"/>
    <x v="40"/>
    <x v="49"/>
    <x v="621"/>
    <x v="8"/>
    <x v="8"/>
    <x v="2"/>
  </r>
  <r>
    <x v="4"/>
    <x v="0"/>
    <x v="465"/>
    <x v="3"/>
    <x v="8"/>
    <x v="39"/>
    <x v="3"/>
    <x v="50"/>
    <x v="94"/>
    <x v="1555"/>
    <x v="36"/>
    <x v="36"/>
    <x v="2"/>
  </r>
  <r>
    <x v="4"/>
    <x v="0"/>
    <x v="496"/>
    <x v="3"/>
    <x v="8"/>
    <x v="39"/>
    <x v="2"/>
    <x v="37"/>
    <x v="175"/>
    <x v="2040"/>
    <x v="19"/>
    <x v="19"/>
    <x v="2"/>
  </r>
  <r>
    <x v="4"/>
    <x v="0"/>
    <x v="496"/>
    <x v="3"/>
    <x v="8"/>
    <x v="39"/>
    <x v="1"/>
    <x v="39"/>
    <x v="112"/>
    <x v="1457"/>
    <x v="14"/>
    <x v="14"/>
    <x v="2"/>
  </r>
  <r>
    <x v="4"/>
    <x v="0"/>
    <x v="496"/>
    <x v="3"/>
    <x v="8"/>
    <x v="39"/>
    <x v="5"/>
    <x v="39"/>
    <x v="112"/>
    <x v="1457"/>
    <x v="22"/>
    <x v="22"/>
    <x v="2"/>
  </r>
  <r>
    <x v="4"/>
    <x v="0"/>
    <x v="496"/>
    <x v="3"/>
    <x v="8"/>
    <x v="39"/>
    <x v="4"/>
    <x v="32"/>
    <x v="89"/>
    <x v="997"/>
    <x v="20"/>
    <x v="20"/>
    <x v="2"/>
  </r>
  <r>
    <x v="4"/>
    <x v="0"/>
    <x v="496"/>
    <x v="3"/>
    <x v="8"/>
    <x v="39"/>
    <x v="0"/>
    <x v="35"/>
    <x v="56"/>
    <x v="632"/>
    <x v="11"/>
    <x v="11"/>
    <x v="2"/>
  </r>
  <r>
    <x v="4"/>
    <x v="0"/>
    <x v="496"/>
    <x v="3"/>
    <x v="8"/>
    <x v="39"/>
    <x v="3"/>
    <x v="41"/>
    <x v="150"/>
    <x v="1941"/>
    <x v="33"/>
    <x v="33"/>
    <x v="2"/>
  </r>
  <r>
    <x v="4"/>
    <x v="0"/>
    <x v="526"/>
    <x v="3"/>
    <x v="8"/>
    <x v="39"/>
    <x v="2"/>
    <x v="43"/>
    <x v="229"/>
    <x v="2602"/>
    <x v="18"/>
    <x v="18"/>
    <x v="2"/>
  </r>
  <r>
    <x v="4"/>
    <x v="0"/>
    <x v="526"/>
    <x v="3"/>
    <x v="8"/>
    <x v="39"/>
    <x v="1"/>
    <x v="46"/>
    <x v="193"/>
    <x v="2449"/>
    <x v="15"/>
    <x v="15"/>
    <x v="2"/>
  </r>
  <r>
    <x v="4"/>
    <x v="0"/>
    <x v="526"/>
    <x v="3"/>
    <x v="8"/>
    <x v="39"/>
    <x v="5"/>
    <x v="53"/>
    <x v="202"/>
    <x v="2653"/>
    <x v="19"/>
    <x v="19"/>
    <x v="2"/>
  </r>
  <r>
    <x v="4"/>
    <x v="0"/>
    <x v="526"/>
    <x v="3"/>
    <x v="8"/>
    <x v="39"/>
    <x v="4"/>
    <x v="59"/>
    <x v="172"/>
    <x v="2553"/>
    <x v="23"/>
    <x v="23"/>
    <x v="2"/>
  </r>
  <r>
    <x v="4"/>
    <x v="0"/>
    <x v="526"/>
    <x v="3"/>
    <x v="8"/>
    <x v="39"/>
    <x v="0"/>
    <x v="64"/>
    <x v="132"/>
    <x v="2330"/>
    <x v="8"/>
    <x v="8"/>
    <x v="2"/>
  </r>
  <r>
    <x v="4"/>
    <x v="0"/>
    <x v="526"/>
    <x v="3"/>
    <x v="8"/>
    <x v="39"/>
    <x v="3"/>
    <x v="67"/>
    <x v="211"/>
    <x v="2809"/>
    <x v="33"/>
    <x v="33"/>
    <x v="2"/>
  </r>
  <r>
    <x v="4"/>
    <x v="0"/>
    <x v="555"/>
    <x v="3"/>
    <x v="8"/>
    <x v="39"/>
    <x v="2"/>
    <x v="61"/>
    <x v="251"/>
    <x v="2846"/>
    <x v="23"/>
    <x v="23"/>
    <x v="2"/>
  </r>
  <r>
    <x v="4"/>
    <x v="0"/>
    <x v="555"/>
    <x v="3"/>
    <x v="8"/>
    <x v="39"/>
    <x v="1"/>
    <x v="67"/>
    <x v="222"/>
    <x v="2832"/>
    <x v="14"/>
    <x v="14"/>
    <x v="2"/>
  </r>
  <r>
    <x v="4"/>
    <x v="0"/>
    <x v="555"/>
    <x v="3"/>
    <x v="8"/>
    <x v="39"/>
    <x v="5"/>
    <x v="65"/>
    <x v="202"/>
    <x v="2781"/>
    <x v="20"/>
    <x v="20"/>
    <x v="2"/>
  </r>
  <r>
    <x v="4"/>
    <x v="0"/>
    <x v="555"/>
    <x v="3"/>
    <x v="8"/>
    <x v="39"/>
    <x v="4"/>
    <x v="52"/>
    <x v="162"/>
    <x v="2343"/>
    <x v="19"/>
    <x v="19"/>
    <x v="2"/>
  </r>
  <r>
    <x v="4"/>
    <x v="0"/>
    <x v="555"/>
    <x v="3"/>
    <x v="8"/>
    <x v="39"/>
    <x v="0"/>
    <x v="61"/>
    <x v="181"/>
    <x v="2649"/>
    <x v="8"/>
    <x v="8"/>
    <x v="2"/>
  </r>
  <r>
    <x v="4"/>
    <x v="0"/>
    <x v="555"/>
    <x v="3"/>
    <x v="8"/>
    <x v="39"/>
    <x v="3"/>
    <x v="68"/>
    <x v="171"/>
    <x v="2673"/>
    <x v="33"/>
    <x v="33"/>
    <x v="2"/>
  </r>
  <r>
    <x v="4"/>
    <x v="0"/>
    <x v="587"/>
    <x v="3"/>
    <x v="8"/>
    <x v="39"/>
    <x v="2"/>
    <x v="61"/>
    <x v="215"/>
    <x v="2786"/>
    <x v="22"/>
    <x v="22"/>
    <x v="2"/>
  </r>
  <r>
    <x v="4"/>
    <x v="0"/>
    <x v="587"/>
    <x v="3"/>
    <x v="8"/>
    <x v="39"/>
    <x v="1"/>
    <x v="53"/>
    <x v="229"/>
    <x v="2750"/>
    <x v="13"/>
    <x v="13"/>
    <x v="2"/>
  </r>
  <r>
    <x v="4"/>
    <x v="0"/>
    <x v="587"/>
    <x v="3"/>
    <x v="8"/>
    <x v="39"/>
    <x v="5"/>
    <x v="55"/>
    <x v="197"/>
    <x v="2654"/>
    <x v="19"/>
    <x v="19"/>
    <x v="2"/>
  </r>
  <r>
    <x v="4"/>
    <x v="0"/>
    <x v="587"/>
    <x v="3"/>
    <x v="8"/>
    <x v="39"/>
    <x v="4"/>
    <x v="57"/>
    <x v="127"/>
    <x v="2118"/>
    <x v="19"/>
    <x v="19"/>
    <x v="2"/>
  </r>
  <r>
    <x v="4"/>
    <x v="0"/>
    <x v="587"/>
    <x v="3"/>
    <x v="8"/>
    <x v="39"/>
    <x v="0"/>
    <x v="56"/>
    <x v="144"/>
    <x v="2274"/>
    <x v="10"/>
    <x v="10"/>
    <x v="2"/>
  </r>
  <r>
    <x v="4"/>
    <x v="0"/>
    <x v="587"/>
    <x v="3"/>
    <x v="8"/>
    <x v="39"/>
    <x v="3"/>
    <x v="53"/>
    <x v="79"/>
    <x v="1386"/>
    <x v="35"/>
    <x v="35"/>
    <x v="2"/>
  </r>
  <r>
    <x v="4"/>
    <x v="0"/>
    <x v="619"/>
    <x v="3"/>
    <x v="8"/>
    <x v="39"/>
    <x v="2"/>
    <x v="37"/>
    <x v="134"/>
    <x v="1633"/>
    <x v="23"/>
    <x v="23"/>
    <x v="2"/>
  </r>
  <r>
    <x v="4"/>
    <x v="0"/>
    <x v="619"/>
    <x v="3"/>
    <x v="8"/>
    <x v="39"/>
    <x v="1"/>
    <x v="38"/>
    <x v="129"/>
    <x v="1617"/>
    <x v="17"/>
    <x v="17"/>
    <x v="2"/>
  </r>
  <r>
    <x v="4"/>
    <x v="0"/>
    <x v="619"/>
    <x v="3"/>
    <x v="8"/>
    <x v="39"/>
    <x v="5"/>
    <x v="32"/>
    <x v="79"/>
    <x v="888"/>
    <x v="19"/>
    <x v="19"/>
    <x v="2"/>
  </r>
  <r>
    <x v="4"/>
    <x v="0"/>
    <x v="619"/>
    <x v="3"/>
    <x v="8"/>
    <x v="39"/>
    <x v="4"/>
    <x v="37"/>
    <x v="64"/>
    <x v="798"/>
    <x v="23"/>
    <x v="23"/>
    <x v="2"/>
  </r>
  <r>
    <x v="4"/>
    <x v="0"/>
    <x v="619"/>
    <x v="3"/>
    <x v="8"/>
    <x v="39"/>
    <x v="0"/>
    <x v="47"/>
    <x v="77"/>
    <x v="1226"/>
    <x v="9"/>
    <x v="9"/>
    <x v="2"/>
  </r>
  <r>
    <x v="4"/>
    <x v="0"/>
    <x v="619"/>
    <x v="3"/>
    <x v="8"/>
    <x v="39"/>
    <x v="3"/>
    <x v="35"/>
    <x v="81"/>
    <x v="992"/>
    <x v="35"/>
    <x v="35"/>
    <x v="2"/>
  </r>
  <r>
    <x v="4"/>
    <x v="0"/>
    <x v="648"/>
    <x v="3"/>
    <x v="8"/>
    <x v="39"/>
    <x v="2"/>
    <x v="32"/>
    <x v="120"/>
    <x v="1313"/>
    <x v="23"/>
    <x v="23"/>
    <x v="2"/>
  </r>
  <r>
    <x v="4"/>
    <x v="0"/>
    <x v="648"/>
    <x v="3"/>
    <x v="8"/>
    <x v="39"/>
    <x v="1"/>
    <x v="36"/>
    <x v="166"/>
    <x v="1916"/>
    <x v="15"/>
    <x v="15"/>
    <x v="2"/>
  </r>
  <r>
    <x v="4"/>
    <x v="0"/>
    <x v="648"/>
    <x v="3"/>
    <x v="8"/>
    <x v="39"/>
    <x v="5"/>
    <x v="36"/>
    <x v="108"/>
    <x v="1323"/>
    <x v="20"/>
    <x v="20"/>
    <x v="2"/>
  </r>
  <r>
    <x v="4"/>
    <x v="0"/>
    <x v="648"/>
    <x v="3"/>
    <x v="8"/>
    <x v="39"/>
    <x v="4"/>
    <x v="33"/>
    <x v="101"/>
    <x v="1155"/>
    <x v="21"/>
    <x v="21"/>
    <x v="2"/>
  </r>
  <r>
    <x v="4"/>
    <x v="0"/>
    <x v="648"/>
    <x v="3"/>
    <x v="8"/>
    <x v="39"/>
    <x v="0"/>
    <x v="40"/>
    <x v="97"/>
    <x v="1310"/>
    <x v="8"/>
    <x v="8"/>
    <x v="2"/>
  </r>
  <r>
    <x v="4"/>
    <x v="0"/>
    <x v="648"/>
    <x v="3"/>
    <x v="8"/>
    <x v="39"/>
    <x v="3"/>
    <x v="46"/>
    <x v="120"/>
    <x v="1759"/>
    <x v="38"/>
    <x v="38"/>
    <x v="2"/>
  </r>
  <r>
    <x v="4"/>
    <x v="0"/>
    <x v="679"/>
    <x v="3"/>
    <x v="8"/>
    <x v="39"/>
    <x v="2"/>
    <x v="34"/>
    <x v="164"/>
    <x v="1821"/>
    <x v="20"/>
    <x v="20"/>
    <x v="2"/>
  </r>
  <r>
    <x v="4"/>
    <x v="0"/>
    <x v="679"/>
    <x v="3"/>
    <x v="8"/>
    <x v="39"/>
    <x v="1"/>
    <x v="39"/>
    <x v="197"/>
    <x v="2300"/>
    <x v="18"/>
    <x v="18"/>
    <x v="2"/>
  </r>
  <r>
    <x v="4"/>
    <x v="0"/>
    <x v="679"/>
    <x v="3"/>
    <x v="8"/>
    <x v="39"/>
    <x v="5"/>
    <x v="37"/>
    <x v="150"/>
    <x v="1799"/>
    <x v="23"/>
    <x v="23"/>
    <x v="2"/>
  </r>
  <r>
    <x v="4"/>
    <x v="0"/>
    <x v="679"/>
    <x v="3"/>
    <x v="8"/>
    <x v="39"/>
    <x v="4"/>
    <x v="40"/>
    <x v="148"/>
    <x v="1880"/>
    <x v="20"/>
    <x v="20"/>
    <x v="2"/>
  </r>
  <r>
    <x v="4"/>
    <x v="0"/>
    <x v="679"/>
    <x v="3"/>
    <x v="8"/>
    <x v="39"/>
    <x v="0"/>
    <x v="51"/>
    <x v="127"/>
    <x v="1980"/>
    <x v="13"/>
    <x v="13"/>
    <x v="2"/>
  </r>
  <r>
    <x v="4"/>
    <x v="0"/>
    <x v="679"/>
    <x v="3"/>
    <x v="8"/>
    <x v="39"/>
    <x v="3"/>
    <x v="59"/>
    <x v="173"/>
    <x v="2568"/>
    <x v="36"/>
    <x v="36"/>
    <x v="2"/>
  </r>
  <r>
    <x v="4"/>
    <x v="0"/>
    <x v="708"/>
    <x v="3"/>
    <x v="8"/>
    <x v="39"/>
    <x v="2"/>
    <x v="51"/>
    <x v="236"/>
    <x v="2744"/>
    <x v="22"/>
    <x v="22"/>
    <x v="2"/>
  </r>
  <r>
    <x v="4"/>
    <x v="0"/>
    <x v="708"/>
    <x v="3"/>
    <x v="8"/>
    <x v="39"/>
    <x v="1"/>
    <x v="48"/>
    <x v="216"/>
    <x v="2645"/>
    <x v="17"/>
    <x v="17"/>
    <x v="2"/>
  </r>
  <r>
    <x v="5"/>
    <x v="0"/>
    <x v="708"/>
    <x v="3"/>
    <x v="8"/>
    <x v="39"/>
    <x v="5"/>
    <x v="57"/>
    <x v="178"/>
    <x v="2566"/>
    <x v="19"/>
    <x v="19"/>
    <x v="2"/>
  </r>
  <r>
    <x v="5"/>
    <x v="0"/>
    <x v="708"/>
    <x v="3"/>
    <x v="8"/>
    <x v="39"/>
    <x v="4"/>
    <x v="51"/>
    <x v="178"/>
    <x v="2445"/>
    <x v="20"/>
    <x v="20"/>
    <x v="2"/>
  </r>
  <r>
    <x v="5"/>
    <x v="0"/>
    <x v="708"/>
    <x v="3"/>
    <x v="8"/>
    <x v="39"/>
    <x v="0"/>
    <x v="57"/>
    <x v="156"/>
    <x v="2404"/>
    <x v="12"/>
    <x v="12"/>
    <x v="2"/>
  </r>
  <r>
    <x v="5"/>
    <x v="0"/>
    <x v="708"/>
    <x v="3"/>
    <x v="8"/>
    <x v="39"/>
    <x v="3"/>
    <x v="57"/>
    <x v="174"/>
    <x v="2540"/>
    <x v="34"/>
    <x v="34"/>
    <x v="2"/>
  </r>
  <r>
    <x v="5"/>
    <x v="1"/>
    <x v="370"/>
    <x v="3"/>
    <x v="8"/>
    <x v="39"/>
    <x v="2"/>
    <x v="23"/>
    <x v="229"/>
    <x v="1915"/>
    <x v="37"/>
    <x v="37"/>
    <x v="2"/>
  </r>
  <r>
    <x v="5"/>
    <x v="1"/>
    <x v="370"/>
    <x v="3"/>
    <x v="8"/>
    <x v="39"/>
    <x v="1"/>
    <x v="29"/>
    <x v="191"/>
    <x v="1873"/>
    <x v="26"/>
    <x v="26"/>
    <x v="2"/>
  </r>
  <r>
    <x v="5"/>
    <x v="1"/>
    <x v="370"/>
    <x v="3"/>
    <x v="8"/>
    <x v="39"/>
    <x v="5"/>
    <x v="19"/>
    <x v="176"/>
    <x v="1268"/>
    <x v="15"/>
    <x v="15"/>
    <x v="2"/>
  </r>
  <r>
    <x v="5"/>
    <x v="1"/>
    <x v="370"/>
    <x v="3"/>
    <x v="8"/>
    <x v="39"/>
    <x v="4"/>
    <x v="23"/>
    <x v="148"/>
    <x v="1228"/>
    <x v="23"/>
    <x v="23"/>
    <x v="2"/>
  </r>
  <r>
    <x v="5"/>
    <x v="1"/>
    <x v="370"/>
    <x v="3"/>
    <x v="8"/>
    <x v="39"/>
    <x v="0"/>
    <x v="29"/>
    <x v="169"/>
    <x v="1664"/>
    <x v="27"/>
    <x v="27"/>
    <x v="2"/>
  </r>
  <r>
    <x v="5"/>
    <x v="1"/>
    <x v="370"/>
    <x v="3"/>
    <x v="8"/>
    <x v="39"/>
    <x v="3"/>
    <x v="28"/>
    <x v="191"/>
    <x v="1828"/>
    <x v="41"/>
    <x v="41"/>
    <x v="2"/>
  </r>
  <r>
    <x v="5"/>
    <x v="1"/>
    <x v="399"/>
    <x v="3"/>
    <x v="8"/>
    <x v="39"/>
    <x v="2"/>
    <x v="29"/>
    <x v="244"/>
    <x v="2262"/>
    <x v="33"/>
    <x v="33"/>
    <x v="2"/>
  </r>
  <r>
    <x v="5"/>
    <x v="1"/>
    <x v="399"/>
    <x v="3"/>
    <x v="8"/>
    <x v="39"/>
    <x v="1"/>
    <x v="24"/>
    <x v="143"/>
    <x v="1234"/>
    <x v="27"/>
    <x v="27"/>
    <x v="2"/>
  </r>
  <r>
    <x v="5"/>
    <x v="1"/>
    <x v="399"/>
    <x v="3"/>
    <x v="8"/>
    <x v="39"/>
    <x v="5"/>
    <x v="16"/>
    <x v="178"/>
    <x v="1133"/>
    <x v="18"/>
    <x v="18"/>
    <x v="2"/>
  </r>
  <r>
    <x v="1"/>
    <x v="0"/>
    <x v="413"/>
    <x v="3"/>
    <x v="45"/>
    <x v="44"/>
    <x v="4"/>
    <x v="21"/>
    <x v="53"/>
    <x v="328"/>
    <x v="27"/>
    <x v="27"/>
    <x v="2"/>
  </r>
  <r>
    <x v="1"/>
    <x v="0"/>
    <x v="413"/>
    <x v="3"/>
    <x v="45"/>
    <x v="44"/>
    <x v="0"/>
    <x v="22"/>
    <x v="28"/>
    <x v="149"/>
    <x v="31"/>
    <x v="31"/>
    <x v="2"/>
  </r>
  <r>
    <x v="1"/>
    <x v="0"/>
    <x v="413"/>
    <x v="3"/>
    <x v="45"/>
    <x v="44"/>
    <x v="3"/>
    <x v="23"/>
    <x v="89"/>
    <x v="736"/>
    <x v="22"/>
    <x v="22"/>
    <x v="2"/>
  </r>
  <r>
    <x v="1"/>
    <x v="0"/>
    <x v="440"/>
    <x v="3"/>
    <x v="45"/>
    <x v="44"/>
    <x v="2"/>
    <x v="23"/>
    <x v="140"/>
    <x v="1171"/>
    <x v="24"/>
    <x v="24"/>
    <x v="2"/>
  </r>
  <r>
    <x v="1"/>
    <x v="0"/>
    <x v="440"/>
    <x v="3"/>
    <x v="45"/>
    <x v="44"/>
    <x v="1"/>
    <x v="28"/>
    <x v="80"/>
    <x v="796"/>
    <x v="27"/>
    <x v="27"/>
    <x v="2"/>
  </r>
  <r>
    <x v="1"/>
    <x v="0"/>
    <x v="440"/>
    <x v="3"/>
    <x v="45"/>
    <x v="44"/>
    <x v="5"/>
    <x v="36"/>
    <x v="93"/>
    <x v="1157"/>
    <x v="27"/>
    <x v="27"/>
    <x v="2"/>
  </r>
  <r>
    <x v="1"/>
    <x v="0"/>
    <x v="440"/>
    <x v="3"/>
    <x v="45"/>
    <x v="44"/>
    <x v="4"/>
    <x v="31"/>
    <x v="64"/>
    <x v="661"/>
    <x v="25"/>
    <x v="25"/>
    <x v="2"/>
  </r>
  <r>
    <x v="1"/>
    <x v="0"/>
    <x v="440"/>
    <x v="3"/>
    <x v="45"/>
    <x v="44"/>
    <x v="0"/>
    <x v="36"/>
    <x v="23"/>
    <x v="222"/>
    <x v="28"/>
    <x v="28"/>
    <x v="2"/>
  </r>
  <r>
    <x v="1"/>
    <x v="0"/>
    <x v="440"/>
    <x v="3"/>
    <x v="45"/>
    <x v="44"/>
    <x v="3"/>
    <x v="28"/>
    <x v="84"/>
    <x v="836"/>
    <x v="22"/>
    <x v="22"/>
    <x v="2"/>
  </r>
  <r>
    <x v="1"/>
    <x v="0"/>
    <x v="472"/>
    <x v="3"/>
    <x v="45"/>
    <x v="44"/>
    <x v="2"/>
    <x v="31"/>
    <x v="127"/>
    <x v="1345"/>
    <x v="23"/>
    <x v="23"/>
    <x v="2"/>
  </r>
  <r>
    <x v="1"/>
    <x v="0"/>
    <x v="472"/>
    <x v="3"/>
    <x v="45"/>
    <x v="44"/>
    <x v="1"/>
    <x v="37"/>
    <x v="70"/>
    <x v="886"/>
    <x v="27"/>
    <x v="27"/>
    <x v="2"/>
  </r>
  <r>
    <x v="1"/>
    <x v="0"/>
    <x v="472"/>
    <x v="3"/>
    <x v="45"/>
    <x v="44"/>
    <x v="5"/>
    <x v="34"/>
    <x v="95"/>
    <x v="1128"/>
    <x v="23"/>
    <x v="23"/>
    <x v="2"/>
  </r>
  <r>
    <x v="1"/>
    <x v="0"/>
    <x v="472"/>
    <x v="3"/>
    <x v="45"/>
    <x v="44"/>
    <x v="4"/>
    <x v="25"/>
    <x v="56"/>
    <x v="441"/>
    <x v="28"/>
    <x v="28"/>
    <x v="2"/>
  </r>
  <r>
    <x v="1"/>
    <x v="0"/>
    <x v="472"/>
    <x v="3"/>
    <x v="45"/>
    <x v="44"/>
    <x v="0"/>
    <x v="33"/>
    <x v="29"/>
    <x v="276"/>
    <x v="28"/>
    <x v="28"/>
    <x v="2"/>
  </r>
  <r>
    <x v="1"/>
    <x v="0"/>
    <x v="472"/>
    <x v="3"/>
    <x v="45"/>
    <x v="44"/>
    <x v="3"/>
    <x v="40"/>
    <x v="74"/>
    <x v="1012"/>
    <x v="22"/>
    <x v="22"/>
    <x v="2"/>
  </r>
  <r>
    <x v="1"/>
    <x v="0"/>
    <x v="503"/>
    <x v="3"/>
    <x v="45"/>
    <x v="44"/>
    <x v="2"/>
    <x v="32"/>
    <x v="152"/>
    <x v="1634"/>
    <x v="26"/>
    <x v="26"/>
    <x v="2"/>
  </r>
  <r>
    <x v="1"/>
    <x v="0"/>
    <x v="503"/>
    <x v="3"/>
    <x v="45"/>
    <x v="44"/>
    <x v="1"/>
    <x v="33"/>
    <x v="87"/>
    <x v="1005"/>
    <x v="27"/>
    <x v="27"/>
    <x v="2"/>
  </r>
  <r>
    <x v="1"/>
    <x v="0"/>
    <x v="503"/>
    <x v="3"/>
    <x v="45"/>
    <x v="44"/>
    <x v="5"/>
    <x v="30"/>
    <x v="91"/>
    <x v="965"/>
    <x v="23"/>
    <x v="23"/>
    <x v="2"/>
  </r>
  <r>
    <x v="1"/>
    <x v="0"/>
    <x v="503"/>
    <x v="3"/>
    <x v="45"/>
    <x v="44"/>
    <x v="4"/>
    <x v="26"/>
    <x v="70"/>
    <x v="617"/>
    <x v="24"/>
    <x v="24"/>
    <x v="2"/>
  </r>
  <r>
    <x v="1"/>
    <x v="0"/>
    <x v="503"/>
    <x v="3"/>
    <x v="45"/>
    <x v="44"/>
    <x v="0"/>
    <x v="27"/>
    <x v="43"/>
    <x v="340"/>
    <x v="29"/>
    <x v="29"/>
    <x v="2"/>
  </r>
  <r>
    <x v="1"/>
    <x v="0"/>
    <x v="503"/>
    <x v="3"/>
    <x v="45"/>
    <x v="44"/>
    <x v="3"/>
    <x v="37"/>
    <x v="146"/>
    <x v="1755"/>
    <x v="21"/>
    <x v="21"/>
    <x v="2"/>
  </r>
  <r>
    <x v="1"/>
    <x v="0"/>
    <x v="533"/>
    <x v="3"/>
    <x v="45"/>
    <x v="44"/>
    <x v="2"/>
    <x v="30"/>
    <x v="199"/>
    <x v="1996"/>
    <x v="23"/>
    <x v="23"/>
    <x v="2"/>
  </r>
  <r>
    <x v="1"/>
    <x v="0"/>
    <x v="533"/>
    <x v="3"/>
    <x v="45"/>
    <x v="44"/>
    <x v="1"/>
    <x v="38"/>
    <x v="191"/>
    <x v="2199"/>
    <x v="27"/>
    <x v="27"/>
    <x v="2"/>
  </r>
  <r>
    <x v="1"/>
    <x v="0"/>
    <x v="533"/>
    <x v="3"/>
    <x v="45"/>
    <x v="44"/>
    <x v="5"/>
    <x v="51"/>
    <x v="181"/>
    <x v="2476"/>
    <x v="23"/>
    <x v="23"/>
    <x v="2"/>
  </r>
  <r>
    <x v="1"/>
    <x v="0"/>
    <x v="533"/>
    <x v="3"/>
    <x v="45"/>
    <x v="44"/>
    <x v="4"/>
    <x v="54"/>
    <x v="160"/>
    <x v="2381"/>
    <x v="27"/>
    <x v="27"/>
    <x v="2"/>
  </r>
  <r>
    <x v="1"/>
    <x v="0"/>
    <x v="533"/>
    <x v="3"/>
    <x v="45"/>
    <x v="44"/>
    <x v="0"/>
    <x v="61"/>
    <x v="108"/>
    <x v="2012"/>
    <x v="32"/>
    <x v="32"/>
    <x v="2"/>
  </r>
  <r>
    <x v="1"/>
    <x v="0"/>
    <x v="533"/>
    <x v="3"/>
    <x v="45"/>
    <x v="44"/>
    <x v="3"/>
    <x v="75"/>
    <x v="197"/>
    <x v="2823"/>
    <x v="23"/>
    <x v="23"/>
    <x v="2"/>
  </r>
  <r>
    <x v="1"/>
    <x v="0"/>
    <x v="562"/>
    <x v="3"/>
    <x v="45"/>
    <x v="44"/>
    <x v="2"/>
    <x v="53"/>
    <x v="229"/>
    <x v="2750"/>
    <x v="23"/>
    <x v="23"/>
    <x v="2"/>
  </r>
  <r>
    <x v="1"/>
    <x v="0"/>
    <x v="562"/>
    <x v="3"/>
    <x v="45"/>
    <x v="44"/>
    <x v="1"/>
    <x v="53"/>
    <x v="193"/>
    <x v="2592"/>
    <x v="24"/>
    <x v="24"/>
    <x v="2"/>
  </r>
  <r>
    <x v="1"/>
    <x v="0"/>
    <x v="562"/>
    <x v="3"/>
    <x v="45"/>
    <x v="44"/>
    <x v="5"/>
    <x v="55"/>
    <x v="181"/>
    <x v="2548"/>
    <x v="24"/>
    <x v="24"/>
    <x v="2"/>
  </r>
  <r>
    <x v="1"/>
    <x v="0"/>
    <x v="562"/>
    <x v="3"/>
    <x v="45"/>
    <x v="44"/>
    <x v="4"/>
    <x v="58"/>
    <x v="163"/>
    <x v="2484"/>
    <x v="28"/>
    <x v="28"/>
    <x v="2"/>
  </r>
  <r>
    <x v="1"/>
    <x v="0"/>
    <x v="562"/>
    <x v="3"/>
    <x v="45"/>
    <x v="44"/>
    <x v="0"/>
    <x v="65"/>
    <x v="183"/>
    <x v="2693"/>
    <x v="29"/>
    <x v="29"/>
    <x v="2"/>
  </r>
  <r>
    <x v="1"/>
    <x v="0"/>
    <x v="562"/>
    <x v="3"/>
    <x v="45"/>
    <x v="44"/>
    <x v="3"/>
    <x v="75"/>
    <x v="162"/>
    <x v="2700"/>
    <x v="19"/>
    <x v="19"/>
    <x v="2"/>
  </r>
  <r>
    <x v="1"/>
    <x v="0"/>
    <x v="594"/>
    <x v="3"/>
    <x v="45"/>
    <x v="44"/>
    <x v="2"/>
    <x v="60"/>
    <x v="229"/>
    <x v="2807"/>
    <x v="26"/>
    <x v="26"/>
    <x v="2"/>
  </r>
  <r>
    <x v="1"/>
    <x v="0"/>
    <x v="594"/>
    <x v="3"/>
    <x v="45"/>
    <x v="44"/>
    <x v="1"/>
    <x v="46"/>
    <x v="204"/>
    <x v="2534"/>
    <x v="28"/>
    <x v="28"/>
    <x v="2"/>
  </r>
  <r>
    <x v="1"/>
    <x v="0"/>
    <x v="594"/>
    <x v="3"/>
    <x v="45"/>
    <x v="44"/>
    <x v="5"/>
    <x v="46"/>
    <x v="185"/>
    <x v="2399"/>
    <x v="23"/>
    <x v="23"/>
    <x v="2"/>
  </r>
  <r>
    <x v="1"/>
    <x v="0"/>
    <x v="594"/>
    <x v="3"/>
    <x v="45"/>
    <x v="44"/>
    <x v="4"/>
    <x v="45"/>
    <x v="116"/>
    <x v="1689"/>
    <x v="25"/>
    <x v="25"/>
    <x v="2"/>
  </r>
  <r>
    <x v="1"/>
    <x v="0"/>
    <x v="594"/>
    <x v="3"/>
    <x v="45"/>
    <x v="44"/>
    <x v="0"/>
    <x v="44"/>
    <x v="112"/>
    <x v="1615"/>
    <x v="31"/>
    <x v="31"/>
    <x v="2"/>
  </r>
  <r>
    <x v="1"/>
    <x v="0"/>
    <x v="594"/>
    <x v="3"/>
    <x v="45"/>
    <x v="44"/>
    <x v="3"/>
    <x v="48"/>
    <x v="66"/>
    <x v="1056"/>
    <x v="20"/>
    <x v="20"/>
    <x v="2"/>
  </r>
  <r>
    <x v="1"/>
    <x v="0"/>
    <x v="626"/>
    <x v="3"/>
    <x v="45"/>
    <x v="44"/>
    <x v="2"/>
    <x v="28"/>
    <x v="128"/>
    <x v="1260"/>
    <x v="28"/>
    <x v="28"/>
    <x v="2"/>
  </r>
  <r>
    <x v="1"/>
    <x v="0"/>
    <x v="626"/>
    <x v="3"/>
    <x v="45"/>
    <x v="44"/>
    <x v="1"/>
    <x v="36"/>
    <x v="132"/>
    <x v="1585"/>
    <x v="25"/>
    <x v="25"/>
    <x v="2"/>
  </r>
  <r>
    <x v="1"/>
    <x v="0"/>
    <x v="626"/>
    <x v="3"/>
    <x v="45"/>
    <x v="44"/>
    <x v="5"/>
    <x v="27"/>
    <x v="64"/>
    <x v="573"/>
    <x v="26"/>
    <x v="26"/>
    <x v="2"/>
  </r>
  <r>
    <x v="1"/>
    <x v="0"/>
    <x v="626"/>
    <x v="3"/>
    <x v="45"/>
    <x v="44"/>
    <x v="4"/>
    <x v="30"/>
    <x v="58"/>
    <x v="553"/>
    <x v="26"/>
    <x v="26"/>
    <x v="2"/>
  </r>
  <r>
    <x v="1"/>
    <x v="0"/>
    <x v="626"/>
    <x v="3"/>
    <x v="45"/>
    <x v="44"/>
    <x v="0"/>
    <x v="32"/>
    <x v="61"/>
    <x v="637"/>
    <x v="33"/>
    <x v="33"/>
    <x v="2"/>
  </r>
  <r>
    <x v="1"/>
    <x v="0"/>
    <x v="626"/>
    <x v="3"/>
    <x v="45"/>
    <x v="44"/>
    <x v="3"/>
    <x v="26"/>
    <x v="68"/>
    <x v="603"/>
    <x v="22"/>
    <x v="22"/>
    <x v="2"/>
  </r>
  <r>
    <x v="1"/>
    <x v="0"/>
    <x v="655"/>
    <x v="3"/>
    <x v="45"/>
    <x v="44"/>
    <x v="2"/>
    <x v="21"/>
    <x v="100"/>
    <x v="774"/>
    <x v="26"/>
    <x v="26"/>
    <x v="2"/>
  </r>
  <r>
    <x v="1"/>
    <x v="0"/>
    <x v="655"/>
    <x v="3"/>
    <x v="45"/>
    <x v="44"/>
    <x v="1"/>
    <x v="32"/>
    <x v="150"/>
    <x v="1616"/>
    <x v="24"/>
    <x v="24"/>
    <x v="2"/>
  </r>
  <r>
    <x v="1"/>
    <x v="0"/>
    <x v="655"/>
    <x v="3"/>
    <x v="45"/>
    <x v="44"/>
    <x v="5"/>
    <x v="32"/>
    <x v="100"/>
    <x v="1120"/>
    <x v="28"/>
    <x v="28"/>
    <x v="2"/>
  </r>
  <r>
    <x v="1"/>
    <x v="0"/>
    <x v="655"/>
    <x v="3"/>
    <x v="45"/>
    <x v="44"/>
    <x v="4"/>
    <x v="24"/>
    <x v="83"/>
    <x v="715"/>
    <x v="23"/>
    <x v="23"/>
    <x v="2"/>
  </r>
  <r>
    <x v="1"/>
    <x v="0"/>
    <x v="655"/>
    <x v="3"/>
    <x v="45"/>
    <x v="44"/>
    <x v="0"/>
    <x v="35"/>
    <x v="87"/>
    <x v="1061"/>
    <x v="33"/>
    <x v="33"/>
    <x v="2"/>
  </r>
  <r>
    <x v="1"/>
    <x v="0"/>
    <x v="655"/>
    <x v="3"/>
    <x v="45"/>
    <x v="44"/>
    <x v="3"/>
    <x v="33"/>
    <x v="91"/>
    <x v="1047"/>
    <x v="18"/>
    <x v="18"/>
    <x v="2"/>
  </r>
  <r>
    <x v="1"/>
    <x v="0"/>
    <x v="686"/>
    <x v="3"/>
    <x v="45"/>
    <x v="44"/>
    <x v="2"/>
    <x v="27"/>
    <x v="150"/>
    <x v="1413"/>
    <x v="28"/>
    <x v="28"/>
    <x v="2"/>
  </r>
  <r>
    <x v="1"/>
    <x v="0"/>
    <x v="686"/>
    <x v="3"/>
    <x v="45"/>
    <x v="44"/>
    <x v="1"/>
    <x v="27"/>
    <x v="191"/>
    <x v="1782"/>
    <x v="23"/>
    <x v="23"/>
    <x v="2"/>
  </r>
  <r>
    <x v="1"/>
    <x v="0"/>
    <x v="686"/>
    <x v="3"/>
    <x v="45"/>
    <x v="44"/>
    <x v="5"/>
    <x v="26"/>
    <x v="123"/>
    <x v="1140"/>
    <x v="25"/>
    <x v="25"/>
    <x v="2"/>
  </r>
  <r>
    <x v="1"/>
    <x v="0"/>
    <x v="686"/>
    <x v="3"/>
    <x v="45"/>
    <x v="44"/>
    <x v="4"/>
    <x v="29"/>
    <x v="124"/>
    <x v="1250"/>
    <x v="25"/>
    <x v="25"/>
    <x v="2"/>
  </r>
  <r>
    <x v="1"/>
    <x v="0"/>
    <x v="686"/>
    <x v="3"/>
    <x v="45"/>
    <x v="44"/>
    <x v="0"/>
    <x v="49"/>
    <x v="116"/>
    <x v="1800"/>
    <x v="30"/>
    <x v="30"/>
    <x v="2"/>
  </r>
  <r>
    <x v="1"/>
    <x v="0"/>
    <x v="686"/>
    <x v="3"/>
    <x v="45"/>
    <x v="44"/>
    <x v="3"/>
    <x v="53"/>
    <x v="153"/>
    <x v="2289"/>
    <x v="19"/>
    <x v="19"/>
    <x v="2"/>
  </r>
  <r>
    <x v="1"/>
    <x v="0"/>
    <x v="715"/>
    <x v="3"/>
    <x v="45"/>
    <x v="44"/>
    <x v="2"/>
    <x v="42"/>
    <x v="211"/>
    <x v="2483"/>
    <x v="26"/>
    <x v="26"/>
    <x v="2"/>
  </r>
  <r>
    <x v="1"/>
    <x v="0"/>
    <x v="715"/>
    <x v="3"/>
    <x v="45"/>
    <x v="44"/>
    <x v="1"/>
    <x v="47"/>
    <x v="194"/>
    <x v="2482"/>
    <x v="27"/>
    <x v="27"/>
    <x v="2"/>
  </r>
  <r>
    <x v="3"/>
    <x v="0"/>
    <x v="715"/>
    <x v="3"/>
    <x v="45"/>
    <x v="44"/>
    <x v="5"/>
    <x v="46"/>
    <x v="143"/>
    <x v="2020"/>
    <x v="26"/>
    <x v="26"/>
    <x v="2"/>
  </r>
  <r>
    <x v="3"/>
    <x v="0"/>
    <x v="715"/>
    <x v="3"/>
    <x v="45"/>
    <x v="44"/>
    <x v="4"/>
    <x v="44"/>
    <x v="153"/>
    <x v="2061"/>
    <x v="25"/>
    <x v="25"/>
    <x v="2"/>
  </r>
  <r>
    <x v="3"/>
    <x v="0"/>
    <x v="715"/>
    <x v="3"/>
    <x v="45"/>
    <x v="44"/>
    <x v="0"/>
    <x v="52"/>
    <x v="136"/>
    <x v="2099"/>
    <x v="28"/>
    <x v="28"/>
    <x v="2"/>
  </r>
  <r>
    <x v="3"/>
    <x v="0"/>
    <x v="715"/>
    <x v="3"/>
    <x v="45"/>
    <x v="44"/>
    <x v="3"/>
    <x v="58"/>
    <x v="166"/>
    <x v="2502"/>
    <x v="21"/>
    <x v="21"/>
    <x v="2"/>
  </r>
  <r>
    <x v="3"/>
    <x v="1"/>
    <x v="377"/>
    <x v="3"/>
    <x v="45"/>
    <x v="44"/>
    <x v="2"/>
    <x v="16"/>
    <x v="199"/>
    <x v="1288"/>
    <x v="38"/>
    <x v="38"/>
    <x v="2"/>
  </r>
  <r>
    <x v="3"/>
    <x v="1"/>
    <x v="377"/>
    <x v="3"/>
    <x v="45"/>
    <x v="44"/>
    <x v="1"/>
    <x v="21"/>
    <x v="163"/>
    <x v="1263"/>
    <x v="33"/>
    <x v="33"/>
    <x v="2"/>
  </r>
  <r>
    <x v="3"/>
    <x v="1"/>
    <x v="377"/>
    <x v="3"/>
    <x v="45"/>
    <x v="44"/>
    <x v="5"/>
    <x v="11"/>
    <x v="153"/>
    <x v="726"/>
    <x v="18"/>
    <x v="18"/>
    <x v="2"/>
  </r>
  <r>
    <x v="3"/>
    <x v="1"/>
    <x v="377"/>
    <x v="3"/>
    <x v="45"/>
    <x v="44"/>
    <x v="4"/>
    <x v="14"/>
    <x v="116"/>
    <x v="632"/>
    <x v="28"/>
    <x v="28"/>
    <x v="2"/>
  </r>
  <r>
    <x v="3"/>
    <x v="1"/>
    <x v="377"/>
    <x v="3"/>
    <x v="45"/>
    <x v="44"/>
    <x v="0"/>
    <x v="23"/>
    <x v="120"/>
    <x v="1005"/>
    <x v="31"/>
    <x v="31"/>
    <x v="2"/>
  </r>
  <r>
    <x v="3"/>
    <x v="1"/>
    <x v="377"/>
    <x v="3"/>
    <x v="45"/>
    <x v="44"/>
    <x v="3"/>
    <x v="18"/>
    <x v="169"/>
    <x v="1160"/>
    <x v="44"/>
    <x v="44"/>
    <x v="2"/>
  </r>
  <r>
    <x v="3"/>
    <x v="1"/>
    <x v="406"/>
    <x v="3"/>
    <x v="45"/>
    <x v="44"/>
    <x v="2"/>
    <x v="19"/>
    <x v="216"/>
    <x v="1599"/>
    <x v="41"/>
    <x v="41"/>
    <x v="2"/>
  </r>
  <r>
    <x v="3"/>
    <x v="1"/>
    <x v="406"/>
    <x v="3"/>
    <x v="45"/>
    <x v="44"/>
    <x v="1"/>
    <x v="20"/>
    <x v="132"/>
    <x v="985"/>
    <x v="31"/>
    <x v="31"/>
    <x v="2"/>
  </r>
  <r>
    <x v="3"/>
    <x v="1"/>
    <x v="406"/>
    <x v="3"/>
    <x v="45"/>
    <x v="44"/>
    <x v="5"/>
    <x v="10"/>
    <x v="148"/>
    <x v="639"/>
    <x v="22"/>
    <x v="22"/>
    <x v="2"/>
  </r>
  <r>
    <x v="5"/>
    <x v="1"/>
    <x v="400"/>
    <x v="4"/>
    <x v="43"/>
    <x v="45"/>
    <x v="4"/>
    <x v="9"/>
    <x v="76"/>
    <x v="245"/>
    <x v="28"/>
    <x v="28"/>
    <x v="2"/>
  </r>
  <r>
    <x v="5"/>
    <x v="1"/>
    <x v="400"/>
    <x v="4"/>
    <x v="43"/>
    <x v="45"/>
    <x v="0"/>
    <x v="21"/>
    <x v="101"/>
    <x v="780"/>
    <x v="28"/>
    <x v="28"/>
    <x v="2"/>
  </r>
  <r>
    <x v="5"/>
    <x v="1"/>
    <x v="400"/>
    <x v="4"/>
    <x v="43"/>
    <x v="45"/>
    <x v="3"/>
    <x v="11"/>
    <x v="128"/>
    <x v="583"/>
    <x v="41"/>
    <x v="41"/>
    <x v="2"/>
  </r>
  <r>
    <x v="5"/>
    <x v="1"/>
    <x v="427"/>
    <x v="4"/>
    <x v="43"/>
    <x v="45"/>
    <x v="2"/>
    <x v="13"/>
    <x v="195"/>
    <x v="1100"/>
    <x v="29"/>
    <x v="29"/>
    <x v="2"/>
  </r>
  <r>
    <x v="5"/>
    <x v="1"/>
    <x v="427"/>
    <x v="4"/>
    <x v="43"/>
    <x v="45"/>
    <x v="1"/>
    <x v="15"/>
    <x v="87"/>
    <x v="475"/>
    <x v="26"/>
    <x v="26"/>
    <x v="2"/>
  </r>
  <r>
    <x v="5"/>
    <x v="1"/>
    <x v="427"/>
    <x v="4"/>
    <x v="43"/>
    <x v="45"/>
    <x v="5"/>
    <x v="9"/>
    <x v="120"/>
    <x v="458"/>
    <x v="25"/>
    <x v="25"/>
    <x v="2"/>
  </r>
  <r>
    <x v="5"/>
    <x v="1"/>
    <x v="427"/>
    <x v="4"/>
    <x v="43"/>
    <x v="45"/>
    <x v="4"/>
    <x v="13"/>
    <x v="62"/>
    <x v="250"/>
    <x v="28"/>
    <x v="28"/>
    <x v="2"/>
  </r>
  <r>
    <x v="5"/>
    <x v="1"/>
    <x v="427"/>
    <x v="4"/>
    <x v="43"/>
    <x v="45"/>
    <x v="0"/>
    <x v="21"/>
    <x v="74"/>
    <x v="534"/>
    <x v="26"/>
    <x v="26"/>
    <x v="2"/>
  </r>
  <r>
    <x v="5"/>
    <x v="1"/>
    <x v="427"/>
    <x v="4"/>
    <x v="43"/>
    <x v="45"/>
    <x v="3"/>
    <x v="14"/>
    <x v="120"/>
    <x v="655"/>
    <x v="43"/>
    <x v="43"/>
    <x v="2"/>
  </r>
  <r>
    <x v="5"/>
    <x v="1"/>
    <x v="459"/>
    <x v="4"/>
    <x v="43"/>
    <x v="45"/>
    <x v="2"/>
    <x v="13"/>
    <x v="170"/>
    <x v="921"/>
    <x v="32"/>
    <x v="32"/>
    <x v="2"/>
  </r>
  <r>
    <x v="5"/>
    <x v="1"/>
    <x v="459"/>
    <x v="4"/>
    <x v="43"/>
    <x v="45"/>
    <x v="1"/>
    <x v="13"/>
    <x v="92"/>
    <x v="455"/>
    <x v="23"/>
    <x v="23"/>
    <x v="2"/>
  </r>
  <r>
    <x v="5"/>
    <x v="1"/>
    <x v="459"/>
    <x v="4"/>
    <x v="43"/>
    <x v="45"/>
    <x v="5"/>
    <x v="3"/>
    <x v="89"/>
    <x v="132"/>
    <x v="27"/>
    <x v="27"/>
    <x v="2"/>
  </r>
  <r>
    <x v="5"/>
    <x v="1"/>
    <x v="459"/>
    <x v="4"/>
    <x v="43"/>
    <x v="45"/>
    <x v="4"/>
    <x v="7"/>
    <x v="62"/>
    <x v="126"/>
    <x v="31"/>
    <x v="31"/>
    <x v="2"/>
  </r>
  <r>
    <x v="5"/>
    <x v="1"/>
    <x v="459"/>
    <x v="4"/>
    <x v="43"/>
    <x v="45"/>
    <x v="0"/>
    <x v="17"/>
    <x v="73"/>
    <x v="425"/>
    <x v="25"/>
    <x v="25"/>
    <x v="2"/>
  </r>
  <r>
    <x v="5"/>
    <x v="1"/>
    <x v="459"/>
    <x v="4"/>
    <x v="43"/>
    <x v="45"/>
    <x v="3"/>
    <x v="13"/>
    <x v="116"/>
    <x v="595"/>
    <x v="38"/>
    <x v="38"/>
    <x v="2"/>
  </r>
  <r>
    <x v="5"/>
    <x v="1"/>
    <x v="490"/>
    <x v="4"/>
    <x v="43"/>
    <x v="45"/>
    <x v="2"/>
    <x v="20"/>
    <x v="195"/>
    <x v="1478"/>
    <x v="29"/>
    <x v="29"/>
    <x v="2"/>
  </r>
  <r>
    <x v="5"/>
    <x v="1"/>
    <x v="490"/>
    <x v="4"/>
    <x v="43"/>
    <x v="45"/>
    <x v="1"/>
    <x v="15"/>
    <x v="108"/>
    <x v="620"/>
    <x v="28"/>
    <x v="28"/>
    <x v="2"/>
  </r>
  <r>
    <x v="5"/>
    <x v="1"/>
    <x v="490"/>
    <x v="4"/>
    <x v="43"/>
    <x v="45"/>
    <x v="5"/>
    <x v="12"/>
    <x v="91"/>
    <x v="413"/>
    <x v="24"/>
    <x v="24"/>
    <x v="2"/>
  </r>
  <r>
    <x v="5"/>
    <x v="1"/>
    <x v="490"/>
    <x v="4"/>
    <x v="43"/>
    <x v="45"/>
    <x v="4"/>
    <x v="12"/>
    <x v="77"/>
    <x v="327"/>
    <x v="29"/>
    <x v="29"/>
    <x v="2"/>
  </r>
  <r>
    <x v="5"/>
    <x v="1"/>
    <x v="490"/>
    <x v="4"/>
    <x v="43"/>
    <x v="45"/>
    <x v="0"/>
    <x v="22"/>
    <x v="74"/>
    <x v="559"/>
    <x v="28"/>
    <x v="28"/>
    <x v="2"/>
  </r>
  <r>
    <x v="5"/>
    <x v="1"/>
    <x v="490"/>
    <x v="4"/>
    <x v="43"/>
    <x v="45"/>
    <x v="3"/>
    <x v="25"/>
    <x v="108"/>
    <x v="978"/>
    <x v="43"/>
    <x v="43"/>
    <x v="2"/>
  </r>
  <r>
    <x v="5"/>
    <x v="1"/>
    <x v="520"/>
    <x v="4"/>
    <x v="43"/>
    <x v="45"/>
    <x v="2"/>
    <x v="14"/>
    <x v="181"/>
    <x v="1048"/>
    <x v="29"/>
    <x v="29"/>
    <x v="2"/>
  </r>
  <r>
    <x v="5"/>
    <x v="1"/>
    <x v="520"/>
    <x v="4"/>
    <x v="43"/>
    <x v="45"/>
    <x v="1"/>
    <x v="11"/>
    <x v="112"/>
    <x v="492"/>
    <x v="26"/>
    <x v="26"/>
    <x v="2"/>
  </r>
  <r>
    <x v="5"/>
    <x v="1"/>
    <x v="520"/>
    <x v="4"/>
    <x v="43"/>
    <x v="45"/>
    <x v="5"/>
    <x v="6"/>
    <x v="108"/>
    <x v="292"/>
    <x v="23"/>
    <x v="23"/>
    <x v="2"/>
  </r>
  <r>
    <x v="5"/>
    <x v="1"/>
    <x v="520"/>
    <x v="4"/>
    <x v="43"/>
    <x v="45"/>
    <x v="4"/>
    <x v="6"/>
    <x v="112"/>
    <x v="308"/>
    <x v="29"/>
    <x v="29"/>
    <x v="2"/>
  </r>
  <r>
    <x v="5"/>
    <x v="1"/>
    <x v="520"/>
    <x v="4"/>
    <x v="43"/>
    <x v="45"/>
    <x v="0"/>
    <x v="17"/>
    <x v="112"/>
    <x v="726"/>
    <x v="23"/>
    <x v="23"/>
    <x v="2"/>
  </r>
  <r>
    <x v="5"/>
    <x v="1"/>
    <x v="520"/>
    <x v="4"/>
    <x v="43"/>
    <x v="45"/>
    <x v="3"/>
    <x v="25"/>
    <x v="166"/>
    <x v="1460"/>
    <x v="40"/>
    <x v="40"/>
    <x v="2"/>
  </r>
  <r>
    <x v="5"/>
    <x v="1"/>
    <x v="549"/>
    <x v="4"/>
    <x v="43"/>
    <x v="45"/>
    <x v="2"/>
    <x v="21"/>
    <x v="211"/>
    <x v="1663"/>
    <x v="29"/>
    <x v="29"/>
    <x v="2"/>
  </r>
  <r>
    <x v="5"/>
    <x v="1"/>
    <x v="549"/>
    <x v="4"/>
    <x v="43"/>
    <x v="45"/>
    <x v="1"/>
    <x v="13"/>
    <x v="159"/>
    <x v="859"/>
    <x v="25"/>
    <x v="25"/>
    <x v="2"/>
  </r>
  <r>
    <x v="5"/>
    <x v="1"/>
    <x v="549"/>
    <x v="4"/>
    <x v="43"/>
    <x v="45"/>
    <x v="5"/>
    <x v="12"/>
    <x v="136"/>
    <x v="666"/>
    <x v="25"/>
    <x v="25"/>
    <x v="2"/>
  </r>
  <r>
    <x v="5"/>
    <x v="1"/>
    <x v="549"/>
    <x v="4"/>
    <x v="43"/>
    <x v="45"/>
    <x v="4"/>
    <x v="9"/>
    <x v="108"/>
    <x v="404"/>
    <x v="33"/>
    <x v="33"/>
    <x v="2"/>
  </r>
  <r>
    <x v="5"/>
    <x v="1"/>
    <x v="549"/>
    <x v="4"/>
    <x v="43"/>
    <x v="45"/>
    <x v="0"/>
    <x v="21"/>
    <x v="120"/>
    <x v="934"/>
    <x v="24"/>
    <x v="24"/>
    <x v="2"/>
  </r>
  <r>
    <x v="5"/>
    <x v="1"/>
    <x v="549"/>
    <x v="4"/>
    <x v="43"/>
    <x v="45"/>
    <x v="3"/>
    <x v="25"/>
    <x v="178"/>
    <x v="1573"/>
    <x v="41"/>
    <x v="41"/>
    <x v="2"/>
  </r>
  <r>
    <x v="5"/>
    <x v="1"/>
    <x v="581"/>
    <x v="4"/>
    <x v="43"/>
    <x v="45"/>
    <x v="2"/>
    <x v="20"/>
    <x v="211"/>
    <x v="1610"/>
    <x v="33"/>
    <x v="33"/>
    <x v="2"/>
  </r>
  <r>
    <x v="5"/>
    <x v="1"/>
    <x v="581"/>
    <x v="4"/>
    <x v="43"/>
    <x v="45"/>
    <x v="1"/>
    <x v="21"/>
    <x v="156"/>
    <x v="1211"/>
    <x v="28"/>
    <x v="28"/>
    <x v="2"/>
  </r>
  <r>
    <x v="5"/>
    <x v="1"/>
    <x v="581"/>
    <x v="4"/>
    <x v="43"/>
    <x v="45"/>
    <x v="5"/>
    <x v="16"/>
    <x v="137"/>
    <x v="857"/>
    <x v="27"/>
    <x v="27"/>
    <x v="2"/>
  </r>
  <r>
    <x v="5"/>
    <x v="1"/>
    <x v="581"/>
    <x v="4"/>
    <x v="43"/>
    <x v="45"/>
    <x v="4"/>
    <x v="7"/>
    <x v="104"/>
    <x v="314"/>
    <x v="33"/>
    <x v="33"/>
    <x v="2"/>
  </r>
  <r>
    <x v="5"/>
    <x v="1"/>
    <x v="581"/>
    <x v="4"/>
    <x v="43"/>
    <x v="45"/>
    <x v="0"/>
    <x v="16"/>
    <x v="91"/>
    <x v="532"/>
    <x v="25"/>
    <x v="25"/>
    <x v="2"/>
  </r>
  <r>
    <x v="5"/>
    <x v="1"/>
    <x v="581"/>
    <x v="4"/>
    <x v="43"/>
    <x v="45"/>
    <x v="3"/>
    <x v="20"/>
    <x v="160"/>
    <x v="1201"/>
    <x v="43"/>
    <x v="43"/>
    <x v="2"/>
  </r>
  <r>
    <x v="5"/>
    <x v="1"/>
    <x v="613"/>
    <x v="4"/>
    <x v="43"/>
    <x v="45"/>
    <x v="2"/>
    <x v="16"/>
    <x v="195"/>
    <x v="1264"/>
    <x v="31"/>
    <x v="31"/>
    <x v="2"/>
  </r>
  <r>
    <x v="5"/>
    <x v="1"/>
    <x v="613"/>
    <x v="4"/>
    <x v="43"/>
    <x v="45"/>
    <x v="1"/>
    <x v="12"/>
    <x v="137"/>
    <x v="673"/>
    <x v="24"/>
    <x v="24"/>
    <x v="2"/>
  </r>
  <r>
    <x v="5"/>
    <x v="1"/>
    <x v="613"/>
    <x v="4"/>
    <x v="43"/>
    <x v="45"/>
    <x v="5"/>
    <x v="0"/>
    <x v="87"/>
    <x v="68"/>
    <x v="28"/>
    <x v="28"/>
    <x v="2"/>
  </r>
  <r>
    <x v="5"/>
    <x v="1"/>
    <x v="613"/>
    <x v="4"/>
    <x v="43"/>
    <x v="45"/>
    <x v="4"/>
    <x v="0"/>
    <x v="92"/>
    <x v="74"/>
    <x v="32"/>
    <x v="32"/>
    <x v="2"/>
  </r>
  <r>
    <x v="5"/>
    <x v="1"/>
    <x v="613"/>
    <x v="4"/>
    <x v="43"/>
    <x v="45"/>
    <x v="0"/>
    <x v="9"/>
    <x v="95"/>
    <x v="336"/>
    <x v="27"/>
    <x v="27"/>
    <x v="2"/>
  </r>
  <r>
    <x v="5"/>
    <x v="1"/>
    <x v="613"/>
    <x v="4"/>
    <x v="43"/>
    <x v="45"/>
    <x v="3"/>
    <x v="11"/>
    <x v="112"/>
    <x v="492"/>
    <x v="43"/>
    <x v="43"/>
    <x v="2"/>
  </r>
  <r>
    <x v="5"/>
    <x v="1"/>
    <x v="642"/>
    <x v="4"/>
    <x v="43"/>
    <x v="45"/>
    <x v="2"/>
    <x v="17"/>
    <x v="175"/>
    <x v="1159"/>
    <x v="33"/>
    <x v="33"/>
    <x v="2"/>
  </r>
  <r>
    <x v="5"/>
    <x v="1"/>
    <x v="642"/>
    <x v="4"/>
    <x v="43"/>
    <x v="45"/>
    <x v="1"/>
    <x v="7"/>
    <x v="112"/>
    <x v="343"/>
    <x v="26"/>
    <x v="26"/>
    <x v="2"/>
  </r>
  <r>
    <x v="5"/>
    <x v="1"/>
    <x v="642"/>
    <x v="4"/>
    <x v="43"/>
    <x v="45"/>
    <x v="5"/>
    <x v="6"/>
    <x v="74"/>
    <x v="156"/>
    <x v="27"/>
    <x v="27"/>
    <x v="2"/>
  </r>
  <r>
    <x v="5"/>
    <x v="1"/>
    <x v="642"/>
    <x v="4"/>
    <x v="43"/>
    <x v="45"/>
    <x v="4"/>
    <x v="6"/>
    <x v="77"/>
    <x v="168"/>
    <x v="32"/>
    <x v="32"/>
    <x v="2"/>
  </r>
  <r>
    <x v="5"/>
    <x v="1"/>
    <x v="642"/>
    <x v="4"/>
    <x v="43"/>
    <x v="45"/>
    <x v="0"/>
    <x v="13"/>
    <x v="70"/>
    <x v="303"/>
    <x v="25"/>
    <x v="25"/>
    <x v="2"/>
  </r>
  <r>
    <x v="5"/>
    <x v="1"/>
    <x v="642"/>
    <x v="4"/>
    <x v="43"/>
    <x v="45"/>
    <x v="3"/>
    <x v="18"/>
    <x v="120"/>
    <x v="821"/>
    <x v="40"/>
    <x v="40"/>
    <x v="2"/>
  </r>
  <r>
    <x v="5"/>
    <x v="1"/>
    <x v="673"/>
    <x v="4"/>
    <x v="43"/>
    <x v="45"/>
    <x v="2"/>
    <x v="15"/>
    <x v="143"/>
    <x v="856"/>
    <x v="29"/>
    <x v="29"/>
    <x v="2"/>
  </r>
  <r>
    <x v="5"/>
    <x v="1"/>
    <x v="673"/>
    <x v="4"/>
    <x v="43"/>
    <x v="45"/>
    <x v="1"/>
    <x v="7"/>
    <x v="116"/>
    <x v="360"/>
    <x v="25"/>
    <x v="25"/>
    <x v="2"/>
  </r>
  <r>
    <x v="5"/>
    <x v="1"/>
    <x v="673"/>
    <x v="4"/>
    <x v="43"/>
    <x v="45"/>
    <x v="5"/>
    <x v="7"/>
    <x v="89"/>
    <x v="249"/>
    <x v="28"/>
    <x v="28"/>
    <x v="2"/>
  </r>
  <r>
    <x v="5"/>
    <x v="1"/>
    <x v="673"/>
    <x v="4"/>
    <x v="43"/>
    <x v="45"/>
    <x v="4"/>
    <x v="8"/>
    <x v="104"/>
    <x v="347"/>
    <x v="28"/>
    <x v="28"/>
    <x v="2"/>
  </r>
  <r>
    <x v="5"/>
    <x v="1"/>
    <x v="673"/>
    <x v="4"/>
    <x v="43"/>
    <x v="45"/>
    <x v="0"/>
    <x v="21"/>
    <x v="103"/>
    <x v="801"/>
    <x v="24"/>
    <x v="24"/>
    <x v="2"/>
  </r>
  <r>
    <x v="5"/>
    <x v="1"/>
    <x v="673"/>
    <x v="4"/>
    <x v="43"/>
    <x v="45"/>
    <x v="3"/>
    <x v="28"/>
    <x v="137"/>
    <x v="1329"/>
    <x v="41"/>
    <x v="41"/>
    <x v="2"/>
  </r>
  <r>
    <x v="5"/>
    <x v="1"/>
    <x v="702"/>
    <x v="4"/>
    <x v="43"/>
    <x v="45"/>
    <x v="2"/>
    <x v="22"/>
    <x v="197"/>
    <x v="1611"/>
    <x v="32"/>
    <x v="32"/>
    <x v="2"/>
  </r>
  <r>
    <x v="5"/>
    <x v="1"/>
    <x v="702"/>
    <x v="4"/>
    <x v="43"/>
    <x v="45"/>
    <x v="1"/>
    <x v="15"/>
    <x v="148"/>
    <x v="886"/>
    <x v="28"/>
    <x v="28"/>
    <x v="2"/>
  </r>
  <r>
    <x v="5"/>
    <x v="1"/>
    <x v="702"/>
    <x v="4"/>
    <x v="43"/>
    <x v="45"/>
    <x v="5"/>
    <x v="13"/>
    <x v="132"/>
    <x v="695"/>
    <x v="23"/>
    <x v="23"/>
    <x v="2"/>
  </r>
  <r>
    <x v="5"/>
    <x v="1"/>
    <x v="702"/>
    <x v="4"/>
    <x v="43"/>
    <x v="45"/>
    <x v="4"/>
    <x v="15"/>
    <x v="116"/>
    <x v="669"/>
    <x v="28"/>
    <x v="28"/>
    <x v="2"/>
  </r>
  <r>
    <x v="5"/>
    <x v="1"/>
    <x v="702"/>
    <x v="4"/>
    <x v="43"/>
    <x v="45"/>
    <x v="0"/>
    <x v="20"/>
    <x v="104"/>
    <x v="777"/>
    <x v="27"/>
    <x v="27"/>
    <x v="2"/>
  </r>
  <r>
    <x v="5"/>
    <x v="1"/>
    <x v="702"/>
    <x v="4"/>
    <x v="43"/>
    <x v="45"/>
    <x v="3"/>
    <x v="22"/>
    <x v="148"/>
    <x v="1191"/>
    <x v="38"/>
    <x v="38"/>
    <x v="2"/>
  </r>
  <r>
    <x v="5"/>
    <x v="0"/>
    <x v="382"/>
    <x v="4"/>
    <x v="43"/>
    <x v="45"/>
    <x v="2"/>
    <x v="17"/>
    <x v="91"/>
    <x v="560"/>
    <x v="23"/>
    <x v="23"/>
    <x v="2"/>
  </r>
  <r>
    <x v="5"/>
    <x v="0"/>
    <x v="382"/>
    <x v="4"/>
    <x v="43"/>
    <x v="45"/>
    <x v="1"/>
    <x v="22"/>
    <x v="103"/>
    <x v="834"/>
    <x v="26"/>
    <x v="26"/>
    <x v="2"/>
  </r>
  <r>
    <x v="5"/>
    <x v="0"/>
    <x v="382"/>
    <x v="4"/>
    <x v="43"/>
    <x v="45"/>
    <x v="5"/>
    <x v="24"/>
    <x v="87"/>
    <x v="752"/>
    <x v="25"/>
    <x v="25"/>
    <x v="2"/>
  </r>
  <r>
    <x v="5"/>
    <x v="0"/>
    <x v="382"/>
    <x v="4"/>
    <x v="43"/>
    <x v="45"/>
    <x v="4"/>
    <x v="23"/>
    <x v="56"/>
    <x v="402"/>
    <x v="24"/>
    <x v="24"/>
    <x v="2"/>
  </r>
  <r>
    <x v="5"/>
    <x v="0"/>
    <x v="382"/>
    <x v="4"/>
    <x v="43"/>
    <x v="45"/>
    <x v="0"/>
    <x v="28"/>
    <x v="42"/>
    <x v="345"/>
    <x v="32"/>
    <x v="32"/>
    <x v="2"/>
  </r>
  <r>
    <x v="5"/>
    <x v="0"/>
    <x v="382"/>
    <x v="4"/>
    <x v="43"/>
    <x v="45"/>
    <x v="3"/>
    <x v="21"/>
    <x v="112"/>
    <x v="874"/>
    <x v="20"/>
    <x v="20"/>
    <x v="2"/>
  </r>
  <r>
    <x v="5"/>
    <x v="0"/>
    <x v="413"/>
    <x v="4"/>
    <x v="43"/>
    <x v="45"/>
    <x v="2"/>
    <x v="15"/>
    <x v="132"/>
    <x v="783"/>
    <x v="27"/>
    <x v="27"/>
    <x v="2"/>
  </r>
  <r>
    <x v="5"/>
    <x v="0"/>
    <x v="413"/>
    <x v="4"/>
    <x v="43"/>
    <x v="45"/>
    <x v="1"/>
    <x v="22"/>
    <x v="103"/>
    <x v="834"/>
    <x v="28"/>
    <x v="28"/>
    <x v="2"/>
  </r>
  <r>
    <x v="5"/>
    <x v="0"/>
    <x v="413"/>
    <x v="4"/>
    <x v="43"/>
    <x v="45"/>
    <x v="5"/>
    <x v="21"/>
    <x v="103"/>
    <x v="801"/>
    <x v="23"/>
    <x v="23"/>
    <x v="2"/>
  </r>
  <r>
    <x v="5"/>
    <x v="0"/>
    <x v="413"/>
    <x v="4"/>
    <x v="36"/>
    <x v="42"/>
    <x v="4"/>
    <x v="22"/>
    <x v="53"/>
    <x v="346"/>
    <x v="27"/>
    <x v="27"/>
    <x v="2"/>
  </r>
  <r>
    <x v="5"/>
    <x v="0"/>
    <x v="413"/>
    <x v="4"/>
    <x v="36"/>
    <x v="42"/>
    <x v="0"/>
    <x v="25"/>
    <x v="32"/>
    <x v="205"/>
    <x v="30"/>
    <x v="30"/>
    <x v="2"/>
  </r>
  <r>
    <x v="5"/>
    <x v="0"/>
    <x v="413"/>
    <x v="4"/>
    <x v="36"/>
    <x v="42"/>
    <x v="3"/>
    <x v="21"/>
    <x v="80"/>
    <x v="604"/>
    <x v="21"/>
    <x v="21"/>
    <x v="2"/>
  </r>
  <r>
    <x v="5"/>
    <x v="0"/>
    <x v="440"/>
    <x v="4"/>
    <x v="36"/>
    <x v="42"/>
    <x v="2"/>
    <x v="21"/>
    <x v="123"/>
    <x v="958"/>
    <x v="26"/>
    <x v="26"/>
    <x v="2"/>
  </r>
  <r>
    <x v="5"/>
    <x v="0"/>
    <x v="440"/>
    <x v="4"/>
    <x v="36"/>
    <x v="42"/>
    <x v="1"/>
    <x v="33"/>
    <x v="80"/>
    <x v="934"/>
    <x v="27"/>
    <x v="27"/>
    <x v="2"/>
  </r>
  <r>
    <x v="5"/>
    <x v="0"/>
    <x v="440"/>
    <x v="4"/>
    <x v="36"/>
    <x v="42"/>
    <x v="5"/>
    <x v="34"/>
    <x v="93"/>
    <x v="1109"/>
    <x v="24"/>
    <x v="24"/>
    <x v="2"/>
  </r>
  <r>
    <x v="5"/>
    <x v="0"/>
    <x v="440"/>
    <x v="4"/>
    <x v="36"/>
    <x v="42"/>
    <x v="4"/>
    <x v="32"/>
    <x v="62"/>
    <x v="650"/>
    <x v="23"/>
    <x v="23"/>
    <x v="2"/>
  </r>
  <r>
    <x v="5"/>
    <x v="0"/>
    <x v="440"/>
    <x v="4"/>
    <x v="36"/>
    <x v="42"/>
    <x v="0"/>
    <x v="36"/>
    <x v="20"/>
    <x v="184"/>
    <x v="30"/>
    <x v="30"/>
    <x v="2"/>
  </r>
  <r>
    <x v="5"/>
    <x v="0"/>
    <x v="440"/>
    <x v="4"/>
    <x v="36"/>
    <x v="42"/>
    <x v="3"/>
    <x v="33"/>
    <x v="74"/>
    <x v="847"/>
    <x v="21"/>
    <x v="21"/>
    <x v="2"/>
  </r>
  <r>
    <x v="5"/>
    <x v="0"/>
    <x v="472"/>
    <x v="4"/>
    <x v="36"/>
    <x v="42"/>
    <x v="2"/>
    <x v="37"/>
    <x v="144"/>
    <x v="1735"/>
    <x v="25"/>
    <x v="25"/>
    <x v="2"/>
  </r>
  <r>
    <x v="5"/>
    <x v="0"/>
    <x v="472"/>
    <x v="4"/>
    <x v="36"/>
    <x v="42"/>
    <x v="1"/>
    <x v="32"/>
    <x v="73"/>
    <x v="798"/>
    <x v="27"/>
    <x v="27"/>
    <x v="2"/>
  </r>
  <r>
    <x v="5"/>
    <x v="0"/>
    <x v="472"/>
    <x v="4"/>
    <x v="36"/>
    <x v="42"/>
    <x v="5"/>
    <x v="40"/>
    <x v="95"/>
    <x v="1287"/>
    <x v="27"/>
    <x v="27"/>
    <x v="2"/>
  </r>
  <r>
    <x v="5"/>
    <x v="0"/>
    <x v="472"/>
    <x v="4"/>
    <x v="36"/>
    <x v="42"/>
    <x v="4"/>
    <x v="27"/>
    <x v="58"/>
    <x v="495"/>
    <x v="23"/>
    <x v="23"/>
    <x v="2"/>
  </r>
  <r>
    <x v="5"/>
    <x v="0"/>
    <x v="472"/>
    <x v="4"/>
    <x v="36"/>
    <x v="42"/>
    <x v="0"/>
    <x v="29"/>
    <x v="28"/>
    <x v="215"/>
    <x v="28"/>
    <x v="28"/>
    <x v="2"/>
  </r>
  <r>
    <x v="5"/>
    <x v="0"/>
    <x v="472"/>
    <x v="4"/>
    <x v="36"/>
    <x v="42"/>
    <x v="3"/>
    <x v="42"/>
    <x v="74"/>
    <x v="1061"/>
    <x v="20"/>
    <x v="20"/>
    <x v="2"/>
  </r>
  <r>
    <x v="5"/>
    <x v="0"/>
    <x v="503"/>
    <x v="4"/>
    <x v="36"/>
    <x v="42"/>
    <x v="2"/>
    <x v="32"/>
    <x v="134"/>
    <x v="1454"/>
    <x v="28"/>
    <x v="28"/>
    <x v="2"/>
  </r>
  <r>
    <x v="5"/>
    <x v="0"/>
    <x v="503"/>
    <x v="4"/>
    <x v="36"/>
    <x v="42"/>
    <x v="1"/>
    <x v="29"/>
    <x v="91"/>
    <x v="936"/>
    <x v="26"/>
    <x v="26"/>
    <x v="2"/>
  </r>
  <r>
    <x v="5"/>
    <x v="0"/>
    <x v="503"/>
    <x v="4"/>
    <x v="36"/>
    <x v="42"/>
    <x v="5"/>
    <x v="32"/>
    <x v="100"/>
    <x v="1120"/>
    <x v="25"/>
    <x v="25"/>
    <x v="2"/>
  </r>
  <r>
    <x v="5"/>
    <x v="0"/>
    <x v="503"/>
    <x v="4"/>
    <x v="36"/>
    <x v="42"/>
    <x v="4"/>
    <x v="26"/>
    <x v="77"/>
    <x v="707"/>
    <x v="25"/>
    <x v="25"/>
    <x v="2"/>
  </r>
  <r>
    <x v="5"/>
    <x v="0"/>
    <x v="503"/>
    <x v="4"/>
    <x v="36"/>
    <x v="42"/>
    <x v="0"/>
    <x v="26"/>
    <x v="47"/>
    <x v="364"/>
    <x v="30"/>
    <x v="30"/>
    <x v="2"/>
  </r>
  <r>
    <x v="5"/>
    <x v="0"/>
    <x v="503"/>
    <x v="4"/>
    <x v="36"/>
    <x v="42"/>
    <x v="3"/>
    <x v="39"/>
    <x v="150"/>
    <x v="1874"/>
    <x v="22"/>
    <x v="22"/>
    <x v="2"/>
  </r>
  <r>
    <x v="5"/>
    <x v="0"/>
    <x v="533"/>
    <x v="4"/>
    <x v="36"/>
    <x v="42"/>
    <x v="2"/>
    <x v="36"/>
    <x v="204"/>
    <x v="2255"/>
    <x v="24"/>
    <x v="24"/>
    <x v="2"/>
  </r>
  <r>
    <x v="5"/>
    <x v="0"/>
    <x v="533"/>
    <x v="4"/>
    <x v="36"/>
    <x v="42"/>
    <x v="1"/>
    <x v="40"/>
    <x v="176"/>
    <x v="2135"/>
    <x v="27"/>
    <x v="27"/>
    <x v="2"/>
  </r>
  <r>
    <x v="5"/>
    <x v="0"/>
    <x v="533"/>
    <x v="4"/>
    <x v="36"/>
    <x v="42"/>
    <x v="5"/>
    <x v="46"/>
    <x v="181"/>
    <x v="2355"/>
    <x v="25"/>
    <x v="25"/>
    <x v="2"/>
  </r>
  <r>
    <x v="5"/>
    <x v="0"/>
    <x v="533"/>
    <x v="4"/>
    <x v="36"/>
    <x v="42"/>
    <x v="4"/>
    <x v="55"/>
    <x v="156"/>
    <x v="2366"/>
    <x v="27"/>
    <x v="27"/>
    <x v="2"/>
  </r>
  <r>
    <x v="5"/>
    <x v="0"/>
    <x v="533"/>
    <x v="4"/>
    <x v="36"/>
    <x v="42"/>
    <x v="0"/>
    <x v="60"/>
    <x v="120"/>
    <x v="2114"/>
    <x v="32"/>
    <x v="32"/>
    <x v="2"/>
  </r>
  <r>
    <x v="5"/>
    <x v="0"/>
    <x v="533"/>
    <x v="4"/>
    <x v="36"/>
    <x v="42"/>
    <x v="3"/>
    <x v="67"/>
    <x v="197"/>
    <x v="2777"/>
    <x v="19"/>
    <x v="19"/>
    <x v="2"/>
  </r>
  <r>
    <x v="5"/>
    <x v="0"/>
    <x v="562"/>
    <x v="4"/>
    <x v="36"/>
    <x v="42"/>
    <x v="2"/>
    <x v="53"/>
    <x v="252"/>
    <x v="2801"/>
    <x v="28"/>
    <x v="28"/>
    <x v="2"/>
  </r>
  <r>
    <x v="5"/>
    <x v="0"/>
    <x v="562"/>
    <x v="4"/>
    <x v="36"/>
    <x v="42"/>
    <x v="1"/>
    <x v="59"/>
    <x v="187"/>
    <x v="2654"/>
    <x v="27"/>
    <x v="27"/>
    <x v="2"/>
  </r>
  <r>
    <x v="5"/>
    <x v="0"/>
    <x v="562"/>
    <x v="4"/>
    <x v="36"/>
    <x v="42"/>
    <x v="5"/>
    <x v="59"/>
    <x v="191"/>
    <x v="2670"/>
    <x v="28"/>
    <x v="28"/>
    <x v="2"/>
  </r>
  <r>
    <x v="5"/>
    <x v="0"/>
    <x v="562"/>
    <x v="4"/>
    <x v="36"/>
    <x v="42"/>
    <x v="4"/>
    <x v="54"/>
    <x v="149"/>
    <x v="2269"/>
    <x v="27"/>
    <x v="27"/>
    <x v="2"/>
  </r>
  <r>
    <x v="5"/>
    <x v="0"/>
    <x v="562"/>
    <x v="4"/>
    <x v="36"/>
    <x v="42"/>
    <x v="0"/>
    <x v="61"/>
    <x v="173"/>
    <x v="2593"/>
    <x v="32"/>
    <x v="32"/>
    <x v="2"/>
  </r>
  <r>
    <x v="5"/>
    <x v="0"/>
    <x v="562"/>
    <x v="4"/>
    <x v="36"/>
    <x v="42"/>
    <x v="3"/>
    <x v="71"/>
    <x v="178"/>
    <x v="2734"/>
    <x v="21"/>
    <x v="21"/>
    <x v="2"/>
  </r>
  <r>
    <x v="5"/>
    <x v="0"/>
    <x v="594"/>
    <x v="4"/>
    <x v="36"/>
    <x v="42"/>
    <x v="2"/>
    <x v="62"/>
    <x v="216"/>
    <x v="2796"/>
    <x v="23"/>
    <x v="23"/>
    <x v="2"/>
  </r>
  <r>
    <x v="5"/>
    <x v="0"/>
    <x v="594"/>
    <x v="4"/>
    <x v="36"/>
    <x v="42"/>
    <x v="1"/>
    <x v="55"/>
    <x v="216"/>
    <x v="2732"/>
    <x v="28"/>
    <x v="28"/>
    <x v="2"/>
  </r>
  <r>
    <x v="5"/>
    <x v="0"/>
    <x v="594"/>
    <x v="4"/>
    <x v="36"/>
    <x v="42"/>
    <x v="5"/>
    <x v="43"/>
    <x v="185"/>
    <x v="2315"/>
    <x v="26"/>
    <x v="26"/>
    <x v="2"/>
  </r>
  <r>
    <x v="5"/>
    <x v="0"/>
    <x v="594"/>
    <x v="4"/>
    <x v="36"/>
    <x v="42"/>
    <x v="4"/>
    <x v="43"/>
    <x v="108"/>
    <x v="1541"/>
    <x v="24"/>
    <x v="24"/>
    <x v="2"/>
  </r>
  <r>
    <x v="5"/>
    <x v="0"/>
    <x v="594"/>
    <x v="4"/>
    <x v="36"/>
    <x v="42"/>
    <x v="0"/>
    <x v="46"/>
    <x v="116"/>
    <x v="1718"/>
    <x v="28"/>
    <x v="28"/>
    <x v="2"/>
  </r>
  <r>
    <x v="5"/>
    <x v="0"/>
    <x v="594"/>
    <x v="4"/>
    <x v="36"/>
    <x v="42"/>
    <x v="3"/>
    <x v="46"/>
    <x v="73"/>
    <x v="1126"/>
    <x v="23"/>
    <x v="23"/>
    <x v="2"/>
  </r>
  <r>
    <x v="5"/>
    <x v="0"/>
    <x v="626"/>
    <x v="4"/>
    <x v="36"/>
    <x v="42"/>
    <x v="2"/>
    <x v="27"/>
    <x v="128"/>
    <x v="1222"/>
    <x v="23"/>
    <x v="23"/>
    <x v="2"/>
  </r>
  <r>
    <x v="5"/>
    <x v="0"/>
    <x v="626"/>
    <x v="4"/>
    <x v="36"/>
    <x v="42"/>
    <x v="1"/>
    <x v="36"/>
    <x v="137"/>
    <x v="1629"/>
    <x v="24"/>
    <x v="24"/>
    <x v="2"/>
  </r>
  <r>
    <x v="5"/>
    <x v="0"/>
    <x v="626"/>
    <x v="4"/>
    <x v="36"/>
    <x v="42"/>
    <x v="5"/>
    <x v="32"/>
    <x v="68"/>
    <x v="746"/>
    <x v="28"/>
    <x v="28"/>
    <x v="2"/>
  </r>
  <r>
    <x v="5"/>
    <x v="0"/>
    <x v="626"/>
    <x v="4"/>
    <x v="36"/>
    <x v="42"/>
    <x v="4"/>
    <x v="31"/>
    <x v="51"/>
    <x v="489"/>
    <x v="28"/>
    <x v="28"/>
    <x v="2"/>
  </r>
  <r>
    <x v="5"/>
    <x v="0"/>
    <x v="626"/>
    <x v="4"/>
    <x v="36"/>
    <x v="42"/>
    <x v="0"/>
    <x v="41"/>
    <x v="63"/>
    <x v="874"/>
    <x v="28"/>
    <x v="28"/>
    <x v="2"/>
  </r>
  <r>
    <x v="5"/>
    <x v="0"/>
    <x v="626"/>
    <x v="4"/>
    <x v="36"/>
    <x v="42"/>
    <x v="3"/>
    <x v="29"/>
    <x v="70"/>
    <x v="695"/>
    <x v="18"/>
    <x v="18"/>
    <x v="2"/>
  </r>
  <r>
    <x v="5"/>
    <x v="0"/>
    <x v="655"/>
    <x v="4"/>
    <x v="36"/>
    <x v="42"/>
    <x v="2"/>
    <x v="22"/>
    <x v="100"/>
    <x v="804"/>
    <x v="25"/>
    <x v="25"/>
    <x v="2"/>
  </r>
  <r>
    <x v="5"/>
    <x v="0"/>
    <x v="655"/>
    <x v="4"/>
    <x v="36"/>
    <x v="42"/>
    <x v="1"/>
    <x v="30"/>
    <x v="156"/>
    <x v="1593"/>
    <x v="24"/>
    <x v="24"/>
    <x v="2"/>
  </r>
  <r>
    <x v="5"/>
    <x v="0"/>
    <x v="655"/>
    <x v="4"/>
    <x v="36"/>
    <x v="42"/>
    <x v="5"/>
    <x v="30"/>
    <x v="91"/>
    <x v="965"/>
    <x v="23"/>
    <x v="23"/>
    <x v="2"/>
  </r>
  <r>
    <x v="5"/>
    <x v="0"/>
    <x v="655"/>
    <x v="4"/>
    <x v="36"/>
    <x v="42"/>
    <x v="4"/>
    <x v="27"/>
    <x v="95"/>
    <x v="920"/>
    <x v="25"/>
    <x v="25"/>
    <x v="2"/>
  </r>
  <r>
    <x v="5"/>
    <x v="0"/>
    <x v="655"/>
    <x v="4"/>
    <x v="36"/>
    <x v="42"/>
    <x v="0"/>
    <x v="33"/>
    <x v="76"/>
    <x v="879"/>
    <x v="31"/>
    <x v="31"/>
    <x v="2"/>
  </r>
  <r>
    <x v="5"/>
    <x v="0"/>
    <x v="655"/>
    <x v="4"/>
    <x v="36"/>
    <x v="42"/>
    <x v="3"/>
    <x v="34"/>
    <x v="103"/>
    <x v="1220"/>
    <x v="23"/>
    <x v="23"/>
    <x v="2"/>
  </r>
  <r>
    <x v="5"/>
    <x v="0"/>
    <x v="686"/>
    <x v="4"/>
    <x v="36"/>
    <x v="42"/>
    <x v="2"/>
    <x v="27"/>
    <x v="166"/>
    <x v="1558"/>
    <x v="23"/>
    <x v="23"/>
    <x v="2"/>
  </r>
  <r>
    <x v="5"/>
    <x v="0"/>
    <x v="686"/>
    <x v="4"/>
    <x v="36"/>
    <x v="42"/>
    <x v="1"/>
    <x v="30"/>
    <x v="176"/>
    <x v="1774"/>
    <x v="25"/>
    <x v="25"/>
    <x v="2"/>
  </r>
  <r>
    <x v="5"/>
    <x v="0"/>
    <x v="686"/>
    <x v="4"/>
    <x v="36"/>
    <x v="42"/>
    <x v="5"/>
    <x v="25"/>
    <x v="131"/>
    <x v="1173"/>
    <x v="28"/>
    <x v="28"/>
    <x v="2"/>
  </r>
  <r>
    <x v="5"/>
    <x v="0"/>
    <x v="686"/>
    <x v="4"/>
    <x v="36"/>
    <x v="42"/>
    <x v="4"/>
    <x v="32"/>
    <x v="128"/>
    <x v="1396"/>
    <x v="27"/>
    <x v="27"/>
    <x v="2"/>
  </r>
  <r>
    <x v="5"/>
    <x v="0"/>
    <x v="686"/>
    <x v="4"/>
    <x v="36"/>
    <x v="42"/>
    <x v="0"/>
    <x v="43"/>
    <x v="125"/>
    <x v="1725"/>
    <x v="32"/>
    <x v="32"/>
    <x v="2"/>
  </r>
  <r>
    <x v="5"/>
    <x v="0"/>
    <x v="686"/>
    <x v="4"/>
    <x v="36"/>
    <x v="42"/>
    <x v="3"/>
    <x v="46"/>
    <x v="143"/>
    <x v="2020"/>
    <x v="23"/>
    <x v="23"/>
    <x v="2"/>
  </r>
  <r>
    <x v="5"/>
    <x v="0"/>
    <x v="715"/>
    <x v="4"/>
    <x v="36"/>
    <x v="42"/>
    <x v="2"/>
    <x v="44"/>
    <x v="194"/>
    <x v="2408"/>
    <x v="28"/>
    <x v="28"/>
    <x v="2"/>
  </r>
  <r>
    <x v="5"/>
    <x v="0"/>
    <x v="715"/>
    <x v="4"/>
    <x v="36"/>
    <x v="42"/>
    <x v="1"/>
    <x v="49"/>
    <x v="199"/>
    <x v="2564"/>
    <x v="26"/>
    <x v="26"/>
    <x v="2"/>
  </r>
  <r>
    <x v="5"/>
    <x v="0"/>
    <x v="715"/>
    <x v="4"/>
    <x v="36"/>
    <x v="42"/>
    <x v="5"/>
    <x v="41"/>
    <x v="169"/>
    <x v="2100"/>
    <x v="27"/>
    <x v="27"/>
    <x v="2"/>
  </r>
  <r>
    <x v="5"/>
    <x v="0"/>
    <x v="715"/>
    <x v="4"/>
    <x v="36"/>
    <x v="42"/>
    <x v="4"/>
    <x v="46"/>
    <x v="143"/>
    <x v="2020"/>
    <x v="25"/>
    <x v="25"/>
    <x v="2"/>
  </r>
  <r>
    <x v="5"/>
    <x v="0"/>
    <x v="715"/>
    <x v="4"/>
    <x v="36"/>
    <x v="42"/>
    <x v="0"/>
    <x v="47"/>
    <x v="136"/>
    <x v="1972"/>
    <x v="33"/>
    <x v="33"/>
    <x v="2"/>
  </r>
  <r>
    <x v="5"/>
    <x v="0"/>
    <x v="715"/>
    <x v="4"/>
    <x v="36"/>
    <x v="42"/>
    <x v="3"/>
    <x v="48"/>
    <x v="175"/>
    <x v="2360"/>
    <x v="20"/>
    <x v="20"/>
    <x v="2"/>
  </r>
  <r>
    <x v="5"/>
    <x v="0"/>
    <x v="375"/>
    <x v="4"/>
    <x v="36"/>
    <x v="42"/>
    <x v="2"/>
    <x v="21"/>
    <x v="101"/>
    <x v="780"/>
    <x v="28"/>
    <x v="28"/>
    <x v="2"/>
  </r>
  <r>
    <x v="5"/>
    <x v="0"/>
    <x v="375"/>
    <x v="4"/>
    <x v="36"/>
    <x v="42"/>
    <x v="1"/>
    <x v="24"/>
    <x v="104"/>
    <x v="909"/>
    <x v="30"/>
    <x v="30"/>
    <x v="2"/>
  </r>
  <r>
    <x v="5"/>
    <x v="0"/>
    <x v="375"/>
    <x v="4"/>
    <x v="36"/>
    <x v="42"/>
    <x v="5"/>
    <x v="26"/>
    <x v="108"/>
    <x v="1011"/>
    <x v="29"/>
    <x v="29"/>
    <x v="2"/>
  </r>
  <r>
    <x v="5"/>
    <x v="0"/>
    <x v="375"/>
    <x v="4"/>
    <x v="36"/>
    <x v="42"/>
    <x v="4"/>
    <x v="27"/>
    <x v="64"/>
    <x v="573"/>
    <x v="32"/>
    <x v="32"/>
    <x v="2"/>
  </r>
  <r>
    <x v="5"/>
    <x v="0"/>
    <x v="375"/>
    <x v="4"/>
    <x v="36"/>
    <x v="42"/>
    <x v="0"/>
    <x v="26"/>
    <x v="56"/>
    <x v="460"/>
    <x v="37"/>
    <x v="37"/>
    <x v="2"/>
  </r>
  <r>
    <x v="5"/>
    <x v="0"/>
    <x v="375"/>
    <x v="4"/>
    <x v="36"/>
    <x v="42"/>
    <x v="3"/>
    <x v="27"/>
    <x v="120"/>
    <x v="1148"/>
    <x v="26"/>
    <x v="26"/>
    <x v="2"/>
  </r>
  <r>
    <x v="5"/>
    <x v="0"/>
    <x v="406"/>
    <x v="4"/>
    <x v="36"/>
    <x v="42"/>
    <x v="2"/>
    <x v="17"/>
    <x v="152"/>
    <x v="1005"/>
    <x v="31"/>
    <x v="31"/>
    <x v="2"/>
  </r>
  <r>
    <x v="5"/>
    <x v="0"/>
    <x v="406"/>
    <x v="4"/>
    <x v="36"/>
    <x v="42"/>
    <x v="1"/>
    <x v="24"/>
    <x v="104"/>
    <x v="909"/>
    <x v="29"/>
    <x v="29"/>
    <x v="2"/>
  </r>
  <r>
    <x v="5"/>
    <x v="0"/>
    <x v="406"/>
    <x v="4"/>
    <x v="36"/>
    <x v="42"/>
    <x v="5"/>
    <x v="27"/>
    <x v="112"/>
    <x v="1084"/>
    <x v="29"/>
    <x v="29"/>
    <x v="2"/>
  </r>
  <r>
    <x v="5"/>
    <x v="0"/>
    <x v="406"/>
    <x v="2"/>
    <x v="17"/>
    <x v="34"/>
    <x v="4"/>
    <x v="26"/>
    <x v="62"/>
    <x v="522"/>
    <x v="33"/>
    <x v="33"/>
    <x v="2"/>
  </r>
  <r>
    <x v="5"/>
    <x v="0"/>
    <x v="406"/>
    <x v="2"/>
    <x v="17"/>
    <x v="34"/>
    <x v="0"/>
    <x v="26"/>
    <x v="42"/>
    <x v="317"/>
    <x v="33"/>
    <x v="33"/>
    <x v="2"/>
  </r>
  <r>
    <x v="5"/>
    <x v="0"/>
    <x v="406"/>
    <x v="2"/>
    <x v="17"/>
    <x v="34"/>
    <x v="3"/>
    <x v="25"/>
    <x v="111"/>
    <x v="1004"/>
    <x v="23"/>
    <x v="23"/>
    <x v="2"/>
  </r>
  <r>
    <x v="5"/>
    <x v="0"/>
    <x v="433"/>
    <x v="2"/>
    <x v="17"/>
    <x v="34"/>
    <x v="2"/>
    <x v="22"/>
    <x v="156"/>
    <x v="1251"/>
    <x v="32"/>
    <x v="32"/>
    <x v="2"/>
  </r>
  <r>
    <x v="5"/>
    <x v="0"/>
    <x v="433"/>
    <x v="2"/>
    <x v="17"/>
    <x v="34"/>
    <x v="1"/>
    <x v="31"/>
    <x v="101"/>
    <x v="1100"/>
    <x v="30"/>
    <x v="30"/>
    <x v="2"/>
  </r>
  <r>
    <x v="5"/>
    <x v="0"/>
    <x v="433"/>
    <x v="2"/>
    <x v="17"/>
    <x v="34"/>
    <x v="5"/>
    <x v="32"/>
    <x v="101"/>
    <x v="1130"/>
    <x v="31"/>
    <x v="31"/>
    <x v="2"/>
  </r>
  <r>
    <x v="5"/>
    <x v="0"/>
    <x v="433"/>
    <x v="2"/>
    <x v="17"/>
    <x v="34"/>
    <x v="4"/>
    <x v="36"/>
    <x v="79"/>
    <x v="983"/>
    <x v="29"/>
    <x v="29"/>
    <x v="2"/>
  </r>
  <r>
    <x v="5"/>
    <x v="0"/>
    <x v="433"/>
    <x v="2"/>
    <x v="17"/>
    <x v="34"/>
    <x v="0"/>
    <x v="33"/>
    <x v="39"/>
    <x v="388"/>
    <x v="37"/>
    <x v="37"/>
    <x v="2"/>
  </r>
  <r>
    <x v="5"/>
    <x v="0"/>
    <x v="433"/>
    <x v="2"/>
    <x v="17"/>
    <x v="34"/>
    <x v="3"/>
    <x v="22"/>
    <x v="91"/>
    <x v="724"/>
    <x v="23"/>
    <x v="23"/>
    <x v="2"/>
  </r>
  <r>
    <x v="5"/>
    <x v="0"/>
    <x v="465"/>
    <x v="2"/>
    <x v="17"/>
    <x v="34"/>
    <x v="2"/>
    <x v="31"/>
    <x v="146"/>
    <x v="1537"/>
    <x v="33"/>
    <x v="33"/>
    <x v="2"/>
  </r>
  <r>
    <x v="5"/>
    <x v="0"/>
    <x v="465"/>
    <x v="2"/>
    <x v="17"/>
    <x v="34"/>
    <x v="1"/>
    <x v="29"/>
    <x v="89"/>
    <x v="912"/>
    <x v="32"/>
    <x v="32"/>
    <x v="2"/>
  </r>
  <r>
    <x v="5"/>
    <x v="0"/>
    <x v="465"/>
    <x v="2"/>
    <x v="17"/>
    <x v="34"/>
    <x v="5"/>
    <x v="33"/>
    <x v="101"/>
    <x v="1155"/>
    <x v="28"/>
    <x v="28"/>
    <x v="2"/>
  </r>
  <r>
    <x v="5"/>
    <x v="0"/>
    <x v="465"/>
    <x v="2"/>
    <x v="17"/>
    <x v="34"/>
    <x v="4"/>
    <x v="20"/>
    <x v="75"/>
    <x v="518"/>
    <x v="31"/>
    <x v="31"/>
    <x v="2"/>
  </r>
  <r>
    <x v="5"/>
    <x v="0"/>
    <x v="465"/>
    <x v="2"/>
    <x v="17"/>
    <x v="34"/>
    <x v="0"/>
    <x v="27"/>
    <x v="45"/>
    <x v="360"/>
    <x v="37"/>
    <x v="37"/>
    <x v="2"/>
  </r>
  <r>
    <x v="5"/>
    <x v="0"/>
    <x v="465"/>
    <x v="2"/>
    <x v="17"/>
    <x v="34"/>
    <x v="3"/>
    <x v="32"/>
    <x v="103"/>
    <x v="1154"/>
    <x v="23"/>
    <x v="23"/>
    <x v="2"/>
  </r>
  <r>
    <x v="5"/>
    <x v="0"/>
    <x v="496"/>
    <x v="2"/>
    <x v="17"/>
    <x v="34"/>
    <x v="2"/>
    <x v="25"/>
    <x v="153"/>
    <x v="1358"/>
    <x v="29"/>
    <x v="29"/>
    <x v="2"/>
  </r>
  <r>
    <x v="5"/>
    <x v="0"/>
    <x v="496"/>
    <x v="2"/>
    <x v="17"/>
    <x v="34"/>
    <x v="1"/>
    <x v="33"/>
    <x v="108"/>
    <x v="1236"/>
    <x v="30"/>
    <x v="30"/>
    <x v="2"/>
  </r>
  <r>
    <x v="5"/>
    <x v="0"/>
    <x v="496"/>
    <x v="2"/>
    <x v="17"/>
    <x v="34"/>
    <x v="5"/>
    <x v="30"/>
    <x v="116"/>
    <x v="1217"/>
    <x v="28"/>
    <x v="28"/>
    <x v="2"/>
  </r>
  <r>
    <x v="5"/>
    <x v="0"/>
    <x v="496"/>
    <x v="2"/>
    <x v="17"/>
    <x v="34"/>
    <x v="4"/>
    <x v="26"/>
    <x v="83"/>
    <x v="775"/>
    <x v="29"/>
    <x v="29"/>
    <x v="2"/>
  </r>
  <r>
    <x v="5"/>
    <x v="0"/>
    <x v="496"/>
    <x v="2"/>
    <x v="17"/>
    <x v="34"/>
    <x v="0"/>
    <x v="25"/>
    <x v="63"/>
    <x v="520"/>
    <x v="34"/>
    <x v="34"/>
    <x v="2"/>
  </r>
  <r>
    <x v="5"/>
    <x v="0"/>
    <x v="496"/>
    <x v="2"/>
    <x v="17"/>
    <x v="34"/>
    <x v="3"/>
    <x v="39"/>
    <x v="155"/>
    <x v="1919"/>
    <x v="26"/>
    <x v="26"/>
    <x v="2"/>
  </r>
  <r>
    <x v="5"/>
    <x v="0"/>
    <x v="526"/>
    <x v="2"/>
    <x v="17"/>
    <x v="34"/>
    <x v="2"/>
    <x v="40"/>
    <x v="216"/>
    <x v="2472"/>
    <x v="33"/>
    <x v="33"/>
    <x v="2"/>
  </r>
  <r>
    <x v="5"/>
    <x v="0"/>
    <x v="526"/>
    <x v="2"/>
    <x v="17"/>
    <x v="34"/>
    <x v="1"/>
    <x v="48"/>
    <x v="193"/>
    <x v="2499"/>
    <x v="31"/>
    <x v="31"/>
    <x v="2"/>
  </r>
  <r>
    <x v="5"/>
    <x v="0"/>
    <x v="526"/>
    <x v="2"/>
    <x v="17"/>
    <x v="34"/>
    <x v="5"/>
    <x v="48"/>
    <x v="183"/>
    <x v="2415"/>
    <x v="30"/>
    <x v="30"/>
    <x v="2"/>
  </r>
  <r>
    <x v="5"/>
    <x v="0"/>
    <x v="526"/>
    <x v="2"/>
    <x v="17"/>
    <x v="34"/>
    <x v="4"/>
    <x v="52"/>
    <x v="160"/>
    <x v="2328"/>
    <x v="33"/>
    <x v="33"/>
    <x v="2"/>
  </r>
  <r>
    <x v="5"/>
    <x v="0"/>
    <x v="526"/>
    <x v="2"/>
    <x v="17"/>
    <x v="34"/>
    <x v="0"/>
    <x v="63"/>
    <x v="132"/>
    <x v="2307"/>
    <x v="33"/>
    <x v="33"/>
    <x v="2"/>
  </r>
  <r>
    <x v="5"/>
    <x v="0"/>
    <x v="526"/>
    <x v="2"/>
    <x v="17"/>
    <x v="34"/>
    <x v="3"/>
    <x v="73"/>
    <x v="211"/>
    <x v="2838"/>
    <x v="27"/>
    <x v="27"/>
    <x v="2"/>
  </r>
  <r>
    <x v="5"/>
    <x v="0"/>
    <x v="555"/>
    <x v="2"/>
    <x v="17"/>
    <x v="34"/>
    <x v="2"/>
    <x v="55"/>
    <x v="258"/>
    <x v="2824"/>
    <x v="29"/>
    <x v="29"/>
    <x v="2"/>
  </r>
  <r>
    <x v="5"/>
    <x v="0"/>
    <x v="555"/>
    <x v="2"/>
    <x v="17"/>
    <x v="34"/>
    <x v="1"/>
    <x v="60"/>
    <x v="211"/>
    <x v="2762"/>
    <x v="32"/>
    <x v="32"/>
    <x v="2"/>
  </r>
  <r>
    <x v="5"/>
    <x v="0"/>
    <x v="555"/>
    <x v="2"/>
    <x v="17"/>
    <x v="34"/>
    <x v="5"/>
    <x v="62"/>
    <x v="183"/>
    <x v="2665"/>
    <x v="33"/>
    <x v="33"/>
    <x v="2"/>
  </r>
  <r>
    <x v="5"/>
    <x v="0"/>
    <x v="555"/>
    <x v="2"/>
    <x v="17"/>
    <x v="34"/>
    <x v="4"/>
    <x v="55"/>
    <x v="173"/>
    <x v="2494"/>
    <x v="31"/>
    <x v="31"/>
    <x v="2"/>
  </r>
  <r>
    <x v="5"/>
    <x v="0"/>
    <x v="555"/>
    <x v="2"/>
    <x v="17"/>
    <x v="34"/>
    <x v="0"/>
    <x v="66"/>
    <x v="191"/>
    <x v="2740"/>
    <x v="35"/>
    <x v="35"/>
    <x v="2"/>
  </r>
  <r>
    <x v="5"/>
    <x v="0"/>
    <x v="555"/>
    <x v="2"/>
    <x v="17"/>
    <x v="34"/>
    <x v="3"/>
    <x v="74"/>
    <x v="181"/>
    <x v="2770"/>
    <x v="27"/>
    <x v="27"/>
    <x v="2"/>
  </r>
  <r>
    <x v="5"/>
    <x v="0"/>
    <x v="587"/>
    <x v="2"/>
    <x v="17"/>
    <x v="34"/>
    <x v="2"/>
    <x v="66"/>
    <x v="215"/>
    <x v="2815"/>
    <x v="33"/>
    <x v="33"/>
    <x v="2"/>
  </r>
  <r>
    <x v="5"/>
    <x v="0"/>
    <x v="587"/>
    <x v="2"/>
    <x v="17"/>
    <x v="34"/>
    <x v="1"/>
    <x v="50"/>
    <x v="216"/>
    <x v="2671"/>
    <x v="30"/>
    <x v="30"/>
    <x v="2"/>
  </r>
  <r>
    <x v="5"/>
    <x v="0"/>
    <x v="587"/>
    <x v="2"/>
    <x v="17"/>
    <x v="34"/>
    <x v="5"/>
    <x v="43"/>
    <x v="187"/>
    <x v="2327"/>
    <x v="28"/>
    <x v="28"/>
    <x v="2"/>
  </r>
  <r>
    <x v="5"/>
    <x v="0"/>
    <x v="587"/>
    <x v="2"/>
    <x v="17"/>
    <x v="34"/>
    <x v="4"/>
    <x v="48"/>
    <x v="123"/>
    <x v="1856"/>
    <x v="33"/>
    <x v="33"/>
    <x v="2"/>
  </r>
  <r>
    <x v="5"/>
    <x v="0"/>
    <x v="587"/>
    <x v="2"/>
    <x v="17"/>
    <x v="34"/>
    <x v="0"/>
    <x v="40"/>
    <x v="131"/>
    <x v="1704"/>
    <x v="35"/>
    <x v="35"/>
    <x v="2"/>
  </r>
  <r>
    <x v="5"/>
    <x v="0"/>
    <x v="587"/>
    <x v="2"/>
    <x v="17"/>
    <x v="34"/>
    <x v="3"/>
    <x v="39"/>
    <x v="84"/>
    <x v="1133"/>
    <x v="24"/>
    <x v="24"/>
    <x v="2"/>
  </r>
  <r>
    <x v="5"/>
    <x v="0"/>
    <x v="619"/>
    <x v="2"/>
    <x v="17"/>
    <x v="34"/>
    <x v="2"/>
    <x v="26"/>
    <x v="152"/>
    <x v="1389"/>
    <x v="28"/>
    <x v="28"/>
    <x v="2"/>
  </r>
  <r>
    <x v="5"/>
    <x v="0"/>
    <x v="619"/>
    <x v="2"/>
    <x v="17"/>
    <x v="34"/>
    <x v="1"/>
    <x v="33"/>
    <x v="152"/>
    <x v="1674"/>
    <x v="29"/>
    <x v="29"/>
    <x v="2"/>
  </r>
  <r>
    <x v="5"/>
    <x v="0"/>
    <x v="619"/>
    <x v="2"/>
    <x v="17"/>
    <x v="34"/>
    <x v="5"/>
    <x v="23"/>
    <x v="79"/>
    <x v="636"/>
    <x v="32"/>
    <x v="32"/>
    <x v="2"/>
  </r>
  <r>
    <x v="5"/>
    <x v="0"/>
    <x v="619"/>
    <x v="2"/>
    <x v="17"/>
    <x v="34"/>
    <x v="4"/>
    <x v="27"/>
    <x v="66"/>
    <x v="595"/>
    <x v="28"/>
    <x v="28"/>
    <x v="2"/>
  </r>
  <r>
    <x v="5"/>
    <x v="0"/>
    <x v="619"/>
    <x v="2"/>
    <x v="17"/>
    <x v="34"/>
    <x v="0"/>
    <x v="34"/>
    <x v="68"/>
    <x v="792"/>
    <x v="34"/>
    <x v="34"/>
    <x v="2"/>
  </r>
  <r>
    <x v="5"/>
    <x v="0"/>
    <x v="619"/>
    <x v="2"/>
    <x v="17"/>
    <x v="34"/>
    <x v="3"/>
    <x v="23"/>
    <x v="74"/>
    <x v="589"/>
    <x v="26"/>
    <x v="26"/>
    <x v="2"/>
  </r>
  <r>
    <x v="5"/>
    <x v="0"/>
    <x v="648"/>
    <x v="2"/>
    <x v="17"/>
    <x v="34"/>
    <x v="2"/>
    <x v="18"/>
    <x v="104"/>
    <x v="706"/>
    <x v="29"/>
    <x v="29"/>
    <x v="2"/>
  </r>
  <r>
    <x v="5"/>
    <x v="0"/>
    <x v="648"/>
    <x v="2"/>
    <x v="17"/>
    <x v="34"/>
    <x v="1"/>
    <x v="27"/>
    <x v="160"/>
    <x v="1504"/>
    <x v="31"/>
    <x v="31"/>
    <x v="2"/>
  </r>
  <r>
    <x v="5"/>
    <x v="0"/>
    <x v="648"/>
    <x v="2"/>
    <x v="17"/>
    <x v="34"/>
    <x v="5"/>
    <x v="26"/>
    <x v="108"/>
    <x v="1011"/>
    <x v="31"/>
    <x v="31"/>
    <x v="2"/>
  </r>
  <r>
    <x v="5"/>
    <x v="0"/>
    <x v="648"/>
    <x v="2"/>
    <x v="17"/>
    <x v="34"/>
    <x v="4"/>
    <x v="24"/>
    <x v="101"/>
    <x v="879"/>
    <x v="29"/>
    <x v="29"/>
    <x v="2"/>
  </r>
  <r>
    <x v="5"/>
    <x v="0"/>
    <x v="648"/>
    <x v="2"/>
    <x v="17"/>
    <x v="34"/>
    <x v="0"/>
    <x v="32"/>
    <x v="93"/>
    <x v="1048"/>
    <x v="34"/>
    <x v="34"/>
    <x v="2"/>
  </r>
  <r>
    <x v="5"/>
    <x v="0"/>
    <x v="648"/>
    <x v="2"/>
    <x v="17"/>
    <x v="34"/>
    <x v="3"/>
    <x v="37"/>
    <x v="120"/>
    <x v="1480"/>
    <x v="26"/>
    <x v="26"/>
    <x v="2"/>
  </r>
  <r>
    <x v="5"/>
    <x v="0"/>
    <x v="679"/>
    <x v="2"/>
    <x v="17"/>
    <x v="34"/>
    <x v="2"/>
    <x v="21"/>
    <x v="189"/>
    <x v="1472"/>
    <x v="33"/>
    <x v="33"/>
    <x v="2"/>
  </r>
  <r>
    <x v="5"/>
    <x v="0"/>
    <x v="679"/>
    <x v="2"/>
    <x v="17"/>
    <x v="34"/>
    <x v="1"/>
    <x v="28"/>
    <x v="193"/>
    <x v="1851"/>
    <x v="33"/>
    <x v="33"/>
    <x v="2"/>
  </r>
  <r>
    <x v="5"/>
    <x v="0"/>
    <x v="679"/>
    <x v="2"/>
    <x v="17"/>
    <x v="34"/>
    <x v="5"/>
    <x v="23"/>
    <x v="137"/>
    <x v="1144"/>
    <x v="32"/>
    <x v="32"/>
    <x v="2"/>
  </r>
  <r>
    <x v="5"/>
    <x v="0"/>
    <x v="679"/>
    <x v="2"/>
    <x v="17"/>
    <x v="34"/>
    <x v="4"/>
    <x v="33"/>
    <x v="134"/>
    <x v="1488"/>
    <x v="32"/>
    <x v="32"/>
    <x v="2"/>
  </r>
  <r>
    <x v="5"/>
    <x v="0"/>
    <x v="679"/>
    <x v="2"/>
    <x v="17"/>
    <x v="34"/>
    <x v="0"/>
    <x v="46"/>
    <x v="127"/>
    <x v="1841"/>
    <x v="33"/>
    <x v="33"/>
    <x v="2"/>
  </r>
  <r>
    <x v="5"/>
    <x v="0"/>
    <x v="679"/>
    <x v="2"/>
    <x v="17"/>
    <x v="34"/>
    <x v="3"/>
    <x v="57"/>
    <x v="157"/>
    <x v="2412"/>
    <x v="27"/>
    <x v="27"/>
    <x v="2"/>
  </r>
  <r>
    <x v="5"/>
    <x v="0"/>
    <x v="708"/>
    <x v="2"/>
    <x v="17"/>
    <x v="34"/>
    <x v="2"/>
    <x v="39"/>
    <x v="229"/>
    <x v="2514"/>
    <x v="32"/>
    <x v="32"/>
    <x v="2"/>
  </r>
  <r>
    <x v="5"/>
    <x v="0"/>
    <x v="708"/>
    <x v="2"/>
    <x v="17"/>
    <x v="34"/>
    <x v="1"/>
    <x v="45"/>
    <x v="211"/>
    <x v="2548"/>
    <x v="30"/>
    <x v="30"/>
    <x v="2"/>
  </r>
  <r>
    <x v="1"/>
    <x v="0"/>
    <x v="708"/>
    <x v="2"/>
    <x v="17"/>
    <x v="34"/>
    <x v="5"/>
    <x v="46"/>
    <x v="168"/>
    <x v="2234"/>
    <x v="29"/>
    <x v="29"/>
    <x v="2"/>
  </r>
  <r>
    <x v="1"/>
    <x v="0"/>
    <x v="708"/>
    <x v="2"/>
    <x v="17"/>
    <x v="34"/>
    <x v="4"/>
    <x v="46"/>
    <x v="168"/>
    <x v="2234"/>
    <x v="33"/>
    <x v="33"/>
    <x v="2"/>
  </r>
  <r>
    <x v="1"/>
    <x v="0"/>
    <x v="708"/>
    <x v="2"/>
    <x v="17"/>
    <x v="34"/>
    <x v="0"/>
    <x v="48"/>
    <x v="146"/>
    <x v="2097"/>
    <x v="34"/>
    <x v="34"/>
    <x v="2"/>
  </r>
  <r>
    <x v="1"/>
    <x v="0"/>
    <x v="708"/>
    <x v="2"/>
    <x v="17"/>
    <x v="34"/>
    <x v="3"/>
    <x v="52"/>
    <x v="170"/>
    <x v="2403"/>
    <x v="26"/>
    <x v="26"/>
    <x v="2"/>
  </r>
  <r>
    <x v="1"/>
    <x v="3"/>
    <x v="363"/>
    <x v="2"/>
    <x v="17"/>
    <x v="34"/>
    <x v="2"/>
    <x v="7"/>
    <x v="192"/>
    <x v="710"/>
    <x v="20"/>
    <x v="20"/>
    <x v="2"/>
  </r>
  <r>
    <x v="1"/>
    <x v="3"/>
    <x v="363"/>
    <x v="2"/>
    <x v="17"/>
    <x v="34"/>
    <x v="1"/>
    <x v="13"/>
    <x v="182"/>
    <x v="999"/>
    <x v="22"/>
    <x v="22"/>
    <x v="2"/>
  </r>
  <r>
    <x v="1"/>
    <x v="3"/>
    <x v="363"/>
    <x v="2"/>
    <x v="17"/>
    <x v="34"/>
    <x v="5"/>
    <x v="14"/>
    <x v="140"/>
    <x v="791"/>
    <x v="23"/>
    <x v="23"/>
    <x v="2"/>
  </r>
  <r>
    <x v="1"/>
    <x v="3"/>
    <x v="363"/>
    <x v="2"/>
    <x v="17"/>
    <x v="34"/>
    <x v="4"/>
    <x v="19"/>
    <x v="144"/>
    <x v="1033"/>
    <x v="28"/>
    <x v="28"/>
    <x v="2"/>
  </r>
  <r>
    <x v="1"/>
    <x v="3"/>
    <x v="363"/>
    <x v="2"/>
    <x v="17"/>
    <x v="34"/>
    <x v="0"/>
    <x v="21"/>
    <x v="92"/>
    <x v="708"/>
    <x v="14"/>
    <x v="14"/>
    <x v="2"/>
  </r>
  <r>
    <x v="5"/>
    <x v="3"/>
    <x v="363"/>
    <x v="2"/>
    <x v="17"/>
    <x v="34"/>
    <x v="3"/>
    <x v="16"/>
    <x v="127"/>
    <x v="786"/>
    <x v="36"/>
    <x v="36"/>
    <x v="2"/>
  </r>
  <r>
    <x v="1"/>
    <x v="3"/>
    <x v="393"/>
    <x v="2"/>
    <x v="17"/>
    <x v="34"/>
    <x v="2"/>
    <x v="11"/>
    <x v="174"/>
    <x v="847"/>
    <x v="18"/>
    <x v="18"/>
    <x v="2"/>
  </r>
  <r>
    <x v="1"/>
    <x v="3"/>
    <x v="393"/>
    <x v="2"/>
    <x v="17"/>
    <x v="34"/>
    <x v="1"/>
    <x v="21"/>
    <x v="157"/>
    <x v="1219"/>
    <x v="19"/>
    <x v="19"/>
    <x v="2"/>
  </r>
  <r>
    <x v="1"/>
    <x v="3"/>
    <x v="393"/>
    <x v="2"/>
    <x v="17"/>
    <x v="34"/>
    <x v="5"/>
    <x v="21"/>
    <x v="108"/>
    <x v="841"/>
    <x v="21"/>
    <x v="21"/>
    <x v="2"/>
  </r>
  <r>
    <x v="1"/>
    <x v="3"/>
    <x v="393"/>
    <x v="4"/>
    <x v="11"/>
    <x v="7"/>
    <x v="4"/>
    <x v="20"/>
    <x v="97"/>
    <x v="716"/>
    <x v="28"/>
    <x v="28"/>
    <x v="2"/>
  </r>
  <r>
    <x v="1"/>
    <x v="3"/>
    <x v="393"/>
    <x v="4"/>
    <x v="11"/>
    <x v="7"/>
    <x v="0"/>
    <x v="24"/>
    <x v="73"/>
    <x v="599"/>
    <x v="16"/>
    <x v="16"/>
    <x v="2"/>
  </r>
  <r>
    <x v="1"/>
    <x v="3"/>
    <x v="393"/>
    <x v="4"/>
    <x v="11"/>
    <x v="7"/>
    <x v="3"/>
    <x v="19"/>
    <x v="115"/>
    <x v="823"/>
    <x v="38"/>
    <x v="38"/>
    <x v="2"/>
  </r>
  <r>
    <x v="1"/>
    <x v="3"/>
    <x v="423"/>
    <x v="4"/>
    <x v="11"/>
    <x v="7"/>
    <x v="2"/>
    <x v="14"/>
    <x v="174"/>
    <x v="1005"/>
    <x v="23"/>
    <x v="23"/>
    <x v="2"/>
  </r>
  <r>
    <x v="1"/>
    <x v="3"/>
    <x v="423"/>
    <x v="4"/>
    <x v="11"/>
    <x v="7"/>
    <x v="1"/>
    <x v="20"/>
    <x v="164"/>
    <x v="1226"/>
    <x v="25"/>
    <x v="25"/>
    <x v="2"/>
  </r>
  <r>
    <x v="1"/>
    <x v="3"/>
    <x v="423"/>
    <x v="4"/>
    <x v="11"/>
    <x v="7"/>
    <x v="5"/>
    <x v="13"/>
    <x v="115"/>
    <x v="589"/>
    <x v="24"/>
    <x v="24"/>
    <x v="2"/>
  </r>
  <r>
    <x v="1"/>
    <x v="3"/>
    <x v="423"/>
    <x v="4"/>
    <x v="11"/>
    <x v="7"/>
    <x v="4"/>
    <x v="19"/>
    <x v="93"/>
    <x v="645"/>
    <x v="33"/>
    <x v="33"/>
    <x v="2"/>
  </r>
  <r>
    <x v="5"/>
    <x v="3"/>
    <x v="423"/>
    <x v="4"/>
    <x v="11"/>
    <x v="7"/>
    <x v="0"/>
    <x v="25"/>
    <x v="73"/>
    <x v="620"/>
    <x v="21"/>
    <x v="21"/>
    <x v="2"/>
  </r>
  <r>
    <x v="5"/>
    <x v="3"/>
    <x v="423"/>
    <x v="4"/>
    <x v="11"/>
    <x v="7"/>
    <x v="3"/>
    <x v="18"/>
    <x v="104"/>
    <x v="706"/>
    <x v="39"/>
    <x v="39"/>
    <x v="2"/>
  </r>
  <r>
    <x v="5"/>
    <x v="3"/>
    <x v="453"/>
    <x v="4"/>
    <x v="11"/>
    <x v="7"/>
    <x v="2"/>
    <x v="8"/>
    <x v="185"/>
    <x v="742"/>
    <x v="28"/>
    <x v="28"/>
    <x v="2"/>
  </r>
  <r>
    <x v="5"/>
    <x v="3"/>
    <x v="453"/>
    <x v="4"/>
    <x v="11"/>
    <x v="7"/>
    <x v="1"/>
    <x v="14"/>
    <x v="185"/>
    <x v="1091"/>
    <x v="25"/>
    <x v="25"/>
    <x v="2"/>
  </r>
  <r>
    <x v="5"/>
    <x v="3"/>
    <x v="453"/>
    <x v="4"/>
    <x v="11"/>
    <x v="7"/>
    <x v="5"/>
    <x v="12"/>
    <x v="140"/>
    <x v="700"/>
    <x v="23"/>
    <x v="23"/>
    <x v="2"/>
  </r>
  <r>
    <x v="5"/>
    <x v="3"/>
    <x v="453"/>
    <x v="4"/>
    <x v="11"/>
    <x v="7"/>
    <x v="4"/>
    <x v="13"/>
    <x v="97"/>
    <x v="478"/>
    <x v="35"/>
    <x v="35"/>
    <x v="2"/>
  </r>
  <r>
    <x v="5"/>
    <x v="3"/>
    <x v="453"/>
    <x v="4"/>
    <x v="11"/>
    <x v="7"/>
    <x v="0"/>
    <x v="20"/>
    <x v="75"/>
    <x v="518"/>
    <x v="18"/>
    <x v="18"/>
    <x v="2"/>
  </r>
  <r>
    <x v="5"/>
    <x v="3"/>
    <x v="453"/>
    <x v="4"/>
    <x v="11"/>
    <x v="7"/>
    <x v="3"/>
    <x v="16"/>
    <x v="153"/>
    <x v="968"/>
    <x v="43"/>
    <x v="43"/>
    <x v="2"/>
  </r>
  <r>
    <x v="5"/>
    <x v="3"/>
    <x v="483"/>
    <x v="4"/>
    <x v="11"/>
    <x v="7"/>
    <x v="2"/>
    <x v="7"/>
    <x v="183"/>
    <x v="655"/>
    <x v="28"/>
    <x v="28"/>
    <x v="2"/>
  </r>
  <r>
    <x v="5"/>
    <x v="3"/>
    <x v="483"/>
    <x v="4"/>
    <x v="11"/>
    <x v="7"/>
    <x v="1"/>
    <x v="15"/>
    <x v="210"/>
    <x v="1306"/>
    <x v="27"/>
    <x v="27"/>
    <x v="2"/>
  </r>
  <r>
    <x v="5"/>
    <x v="3"/>
    <x v="483"/>
    <x v="4"/>
    <x v="11"/>
    <x v="7"/>
    <x v="5"/>
    <x v="11"/>
    <x v="160"/>
    <x v="769"/>
    <x v="25"/>
    <x v="25"/>
    <x v="2"/>
  </r>
  <r>
    <x v="5"/>
    <x v="3"/>
    <x v="483"/>
    <x v="4"/>
    <x v="11"/>
    <x v="7"/>
    <x v="4"/>
    <x v="17"/>
    <x v="134"/>
    <x v="879"/>
    <x v="36"/>
    <x v="36"/>
    <x v="2"/>
  </r>
  <r>
    <x v="5"/>
    <x v="3"/>
    <x v="483"/>
    <x v="4"/>
    <x v="11"/>
    <x v="7"/>
    <x v="0"/>
    <x v="27"/>
    <x v="101"/>
    <x v="975"/>
    <x v="21"/>
    <x v="21"/>
    <x v="2"/>
  </r>
  <r>
    <x v="5"/>
    <x v="3"/>
    <x v="483"/>
    <x v="4"/>
    <x v="11"/>
    <x v="7"/>
    <x v="3"/>
    <x v="26"/>
    <x v="204"/>
    <x v="1866"/>
    <x v="41"/>
    <x v="41"/>
    <x v="2"/>
  </r>
  <r>
    <x v="5"/>
    <x v="3"/>
    <x v="513"/>
    <x v="4"/>
    <x v="11"/>
    <x v="7"/>
    <x v="2"/>
    <x v="24"/>
    <x v="199"/>
    <x v="1721"/>
    <x v="24"/>
    <x v="24"/>
    <x v="2"/>
  </r>
  <r>
    <x v="5"/>
    <x v="3"/>
    <x v="513"/>
    <x v="4"/>
    <x v="11"/>
    <x v="7"/>
    <x v="1"/>
    <x v="28"/>
    <x v="222"/>
    <x v="2092"/>
    <x v="27"/>
    <x v="27"/>
    <x v="2"/>
  </r>
  <r>
    <x v="5"/>
    <x v="3"/>
    <x v="513"/>
    <x v="4"/>
    <x v="11"/>
    <x v="7"/>
    <x v="5"/>
    <x v="27"/>
    <x v="162"/>
    <x v="1522"/>
    <x v="27"/>
    <x v="27"/>
    <x v="2"/>
  </r>
  <r>
    <x v="5"/>
    <x v="3"/>
    <x v="513"/>
    <x v="4"/>
    <x v="11"/>
    <x v="7"/>
    <x v="4"/>
    <x v="26"/>
    <x v="163"/>
    <x v="1482"/>
    <x v="35"/>
    <x v="35"/>
    <x v="2"/>
  </r>
  <r>
    <x v="5"/>
    <x v="3"/>
    <x v="513"/>
    <x v="4"/>
    <x v="11"/>
    <x v="7"/>
    <x v="0"/>
    <x v="36"/>
    <x v="137"/>
    <x v="1629"/>
    <x v="20"/>
    <x v="20"/>
    <x v="2"/>
  </r>
  <r>
    <x v="5"/>
    <x v="3"/>
    <x v="513"/>
    <x v="4"/>
    <x v="11"/>
    <x v="7"/>
    <x v="3"/>
    <x v="32"/>
    <x v="211"/>
    <x v="2166"/>
    <x v="41"/>
    <x v="41"/>
    <x v="2"/>
  </r>
  <r>
    <x v="5"/>
    <x v="3"/>
    <x v="545"/>
    <x v="4"/>
    <x v="11"/>
    <x v="7"/>
    <x v="2"/>
    <x v="28"/>
    <x v="223"/>
    <x v="2097"/>
    <x v="32"/>
    <x v="32"/>
    <x v="2"/>
  </r>
  <r>
    <x v="5"/>
    <x v="3"/>
    <x v="545"/>
    <x v="4"/>
    <x v="11"/>
    <x v="7"/>
    <x v="1"/>
    <x v="33"/>
    <x v="228"/>
    <x v="2325"/>
    <x v="29"/>
    <x v="29"/>
    <x v="2"/>
  </r>
  <r>
    <x v="5"/>
    <x v="3"/>
    <x v="545"/>
    <x v="4"/>
    <x v="11"/>
    <x v="7"/>
    <x v="5"/>
    <x v="27"/>
    <x v="234"/>
    <x v="2126"/>
    <x v="28"/>
    <x v="28"/>
    <x v="2"/>
  </r>
  <r>
    <x v="5"/>
    <x v="3"/>
    <x v="545"/>
    <x v="4"/>
    <x v="11"/>
    <x v="7"/>
    <x v="4"/>
    <x v="31"/>
    <x v="137"/>
    <x v="1442"/>
    <x v="39"/>
    <x v="39"/>
    <x v="2"/>
  </r>
  <r>
    <x v="5"/>
    <x v="3"/>
    <x v="545"/>
    <x v="4"/>
    <x v="11"/>
    <x v="7"/>
    <x v="0"/>
    <x v="36"/>
    <x v="150"/>
    <x v="1766"/>
    <x v="26"/>
    <x v="26"/>
    <x v="2"/>
  </r>
  <r>
    <x v="1"/>
    <x v="3"/>
    <x v="545"/>
    <x v="4"/>
    <x v="11"/>
    <x v="7"/>
    <x v="3"/>
    <x v="44"/>
    <x v="223"/>
    <x v="2593"/>
    <x v="45"/>
    <x v="45"/>
    <x v="2"/>
  </r>
  <r>
    <x v="1"/>
    <x v="3"/>
    <x v="578"/>
    <x v="4"/>
    <x v="11"/>
    <x v="7"/>
    <x v="2"/>
    <x v="31"/>
    <x v="199"/>
    <x v="2042"/>
    <x v="28"/>
    <x v="28"/>
    <x v="2"/>
  </r>
  <r>
    <x v="1"/>
    <x v="3"/>
    <x v="578"/>
    <x v="4"/>
    <x v="11"/>
    <x v="7"/>
    <x v="1"/>
    <x v="30"/>
    <x v="215"/>
    <x v="2123"/>
    <x v="29"/>
    <x v="29"/>
    <x v="2"/>
  </r>
  <r>
    <x v="1"/>
    <x v="3"/>
    <x v="578"/>
    <x v="4"/>
    <x v="11"/>
    <x v="7"/>
    <x v="5"/>
    <x v="32"/>
    <x v="257"/>
    <x v="2453"/>
    <x v="29"/>
    <x v="29"/>
    <x v="2"/>
  </r>
  <r>
    <x v="1"/>
    <x v="3"/>
    <x v="578"/>
    <x v="4"/>
    <x v="11"/>
    <x v="7"/>
    <x v="4"/>
    <x v="26"/>
    <x v="140"/>
    <x v="1285"/>
    <x v="41"/>
    <x v="41"/>
    <x v="2"/>
  </r>
  <r>
    <x v="3"/>
    <x v="3"/>
    <x v="578"/>
    <x v="4"/>
    <x v="11"/>
    <x v="7"/>
    <x v="0"/>
    <x v="32"/>
    <x v="144"/>
    <x v="1562"/>
    <x v="28"/>
    <x v="28"/>
    <x v="2"/>
  </r>
  <r>
    <x v="3"/>
    <x v="3"/>
    <x v="578"/>
    <x v="4"/>
    <x v="11"/>
    <x v="7"/>
    <x v="3"/>
    <x v="37"/>
    <x v="203"/>
    <x v="2284"/>
    <x v="47"/>
    <x v="47"/>
    <x v="2"/>
  </r>
  <r>
    <x v="3"/>
    <x v="3"/>
    <x v="606"/>
    <x v="4"/>
    <x v="11"/>
    <x v="7"/>
    <x v="2"/>
    <x v="34"/>
    <x v="196"/>
    <x v="2120"/>
    <x v="32"/>
    <x v="32"/>
    <x v="2"/>
  </r>
  <r>
    <x v="3"/>
    <x v="3"/>
    <x v="606"/>
    <x v="4"/>
    <x v="11"/>
    <x v="7"/>
    <x v="1"/>
    <x v="31"/>
    <x v="189"/>
    <x v="1946"/>
    <x v="29"/>
    <x v="29"/>
    <x v="2"/>
  </r>
  <r>
    <x v="3"/>
    <x v="3"/>
    <x v="606"/>
    <x v="4"/>
    <x v="11"/>
    <x v="7"/>
    <x v="5"/>
    <x v="36"/>
    <x v="177"/>
    <x v="2016"/>
    <x v="31"/>
    <x v="31"/>
    <x v="2"/>
  </r>
  <r>
    <x v="3"/>
    <x v="3"/>
    <x v="606"/>
    <x v="4"/>
    <x v="11"/>
    <x v="7"/>
    <x v="4"/>
    <x v="33"/>
    <x v="116"/>
    <x v="1308"/>
    <x v="41"/>
    <x v="41"/>
    <x v="2"/>
  </r>
  <r>
    <x v="3"/>
    <x v="3"/>
    <x v="606"/>
    <x v="4"/>
    <x v="11"/>
    <x v="7"/>
    <x v="0"/>
    <x v="35"/>
    <x v="120"/>
    <x v="1412"/>
    <x v="27"/>
    <x v="27"/>
    <x v="2"/>
  </r>
  <r>
    <x v="3"/>
    <x v="3"/>
    <x v="606"/>
    <x v="4"/>
    <x v="11"/>
    <x v="7"/>
    <x v="3"/>
    <x v="29"/>
    <x v="174"/>
    <x v="1716"/>
    <x v="44"/>
    <x v="44"/>
    <x v="2"/>
  </r>
  <r>
    <x v="3"/>
    <x v="3"/>
    <x v="635"/>
    <x v="4"/>
    <x v="11"/>
    <x v="7"/>
    <x v="2"/>
    <x v="23"/>
    <x v="175"/>
    <x v="1451"/>
    <x v="32"/>
    <x v="32"/>
    <x v="2"/>
  </r>
  <r>
    <x v="3"/>
    <x v="3"/>
    <x v="635"/>
    <x v="4"/>
    <x v="11"/>
    <x v="7"/>
    <x v="1"/>
    <x v="20"/>
    <x v="166"/>
    <x v="1238"/>
    <x v="29"/>
    <x v="29"/>
    <x v="2"/>
  </r>
  <r>
    <x v="3"/>
    <x v="3"/>
    <x v="635"/>
    <x v="4"/>
    <x v="11"/>
    <x v="7"/>
    <x v="5"/>
    <x v="24"/>
    <x v="156"/>
    <x v="1336"/>
    <x v="28"/>
    <x v="28"/>
    <x v="2"/>
  </r>
  <r>
    <x v="3"/>
    <x v="3"/>
    <x v="635"/>
    <x v="4"/>
    <x v="11"/>
    <x v="7"/>
    <x v="4"/>
    <x v="28"/>
    <x v="97"/>
    <x v="971"/>
    <x v="39"/>
    <x v="39"/>
    <x v="2"/>
  </r>
  <r>
    <x v="3"/>
    <x v="3"/>
    <x v="635"/>
    <x v="4"/>
    <x v="11"/>
    <x v="7"/>
    <x v="0"/>
    <x v="18"/>
    <x v="103"/>
    <x v="699"/>
    <x v="25"/>
    <x v="25"/>
    <x v="2"/>
  </r>
  <r>
    <x v="3"/>
    <x v="3"/>
    <x v="635"/>
    <x v="4"/>
    <x v="11"/>
    <x v="7"/>
    <x v="3"/>
    <x v="27"/>
    <x v="156"/>
    <x v="1462"/>
    <x v="45"/>
    <x v="45"/>
    <x v="2"/>
  </r>
  <r>
    <x v="3"/>
    <x v="3"/>
    <x v="667"/>
    <x v="4"/>
    <x v="11"/>
    <x v="7"/>
    <x v="2"/>
    <x v="20"/>
    <x v="177"/>
    <x v="1318"/>
    <x v="32"/>
    <x v="32"/>
    <x v="2"/>
  </r>
  <r>
    <x v="3"/>
    <x v="3"/>
    <x v="667"/>
    <x v="4"/>
    <x v="11"/>
    <x v="7"/>
    <x v="1"/>
    <x v="21"/>
    <x v="192"/>
    <x v="1500"/>
    <x v="29"/>
    <x v="29"/>
    <x v="2"/>
  </r>
  <r>
    <x v="3"/>
    <x v="3"/>
    <x v="667"/>
    <x v="4"/>
    <x v="11"/>
    <x v="7"/>
    <x v="5"/>
    <x v="35"/>
    <x v="183"/>
    <x v="2034"/>
    <x v="28"/>
    <x v="28"/>
    <x v="2"/>
  </r>
  <r>
    <x v="3"/>
    <x v="3"/>
    <x v="667"/>
    <x v="4"/>
    <x v="11"/>
    <x v="7"/>
    <x v="4"/>
    <x v="36"/>
    <x v="137"/>
    <x v="1629"/>
    <x v="38"/>
    <x v="38"/>
    <x v="2"/>
  </r>
  <r>
    <x v="3"/>
    <x v="3"/>
    <x v="667"/>
    <x v="4"/>
    <x v="11"/>
    <x v="7"/>
    <x v="0"/>
    <x v="34"/>
    <x v="128"/>
    <x v="1467"/>
    <x v="24"/>
    <x v="24"/>
    <x v="2"/>
  </r>
  <r>
    <x v="3"/>
    <x v="3"/>
    <x v="667"/>
    <x v="4"/>
    <x v="11"/>
    <x v="7"/>
    <x v="3"/>
    <x v="44"/>
    <x v="170"/>
    <x v="2192"/>
    <x v="45"/>
    <x v="45"/>
    <x v="2"/>
  </r>
  <r>
    <x v="1"/>
    <x v="3"/>
    <x v="696"/>
    <x v="4"/>
    <x v="11"/>
    <x v="7"/>
    <x v="2"/>
    <x v="33"/>
    <x v="204"/>
    <x v="2154"/>
    <x v="31"/>
    <x v="31"/>
    <x v="2"/>
  </r>
  <r>
    <x v="1"/>
    <x v="3"/>
    <x v="696"/>
    <x v="4"/>
    <x v="11"/>
    <x v="7"/>
    <x v="1"/>
    <x v="34"/>
    <x v="204"/>
    <x v="2182"/>
    <x v="32"/>
    <x v="32"/>
    <x v="2"/>
  </r>
  <r>
    <x v="1"/>
    <x v="3"/>
    <x v="696"/>
    <x v="4"/>
    <x v="11"/>
    <x v="7"/>
    <x v="5"/>
    <x v="40"/>
    <x v="192"/>
    <x v="2279"/>
    <x v="30"/>
    <x v="30"/>
    <x v="2"/>
  </r>
  <r>
    <x v="1"/>
    <x v="3"/>
    <x v="696"/>
    <x v="4"/>
    <x v="11"/>
    <x v="7"/>
    <x v="4"/>
    <x v="37"/>
    <x v="160"/>
    <x v="1903"/>
    <x v="38"/>
    <x v="38"/>
    <x v="2"/>
  </r>
  <r>
    <x v="1"/>
    <x v="3"/>
    <x v="696"/>
    <x v="4"/>
    <x v="11"/>
    <x v="7"/>
    <x v="0"/>
    <x v="36"/>
    <x v="127"/>
    <x v="1521"/>
    <x v="27"/>
    <x v="27"/>
    <x v="2"/>
  </r>
  <r>
    <x v="1"/>
    <x v="3"/>
    <x v="696"/>
    <x v="4"/>
    <x v="11"/>
    <x v="7"/>
    <x v="3"/>
    <x v="40"/>
    <x v="198"/>
    <x v="2335"/>
    <x v="47"/>
    <x v="47"/>
    <x v="2"/>
  </r>
  <r>
    <x v="1"/>
    <x v="0"/>
    <x v="381"/>
    <x v="4"/>
    <x v="11"/>
    <x v="7"/>
    <x v="2"/>
    <x v="16"/>
    <x v="116"/>
    <x v="714"/>
    <x v="26"/>
    <x v="26"/>
    <x v="2"/>
  </r>
  <r>
    <x v="1"/>
    <x v="0"/>
    <x v="381"/>
    <x v="4"/>
    <x v="11"/>
    <x v="7"/>
    <x v="1"/>
    <x v="23"/>
    <x v="120"/>
    <x v="1005"/>
    <x v="29"/>
    <x v="29"/>
    <x v="2"/>
  </r>
  <r>
    <x v="1"/>
    <x v="0"/>
    <x v="381"/>
    <x v="4"/>
    <x v="11"/>
    <x v="7"/>
    <x v="5"/>
    <x v="24"/>
    <x v="125"/>
    <x v="1085"/>
    <x v="25"/>
    <x v="25"/>
    <x v="2"/>
  </r>
  <r>
    <x v="1"/>
    <x v="0"/>
    <x v="381"/>
    <x v="4"/>
    <x v="11"/>
    <x v="7"/>
    <x v="4"/>
    <x v="23"/>
    <x v="73"/>
    <x v="569"/>
    <x v="23"/>
    <x v="23"/>
    <x v="2"/>
  </r>
  <r>
    <x v="1"/>
    <x v="0"/>
    <x v="381"/>
    <x v="4"/>
    <x v="11"/>
    <x v="7"/>
    <x v="0"/>
    <x v="28"/>
    <x v="56"/>
    <x v="495"/>
    <x v="20"/>
    <x v="20"/>
    <x v="2"/>
  </r>
  <r>
    <x v="1"/>
    <x v="0"/>
    <x v="381"/>
    <x v="4"/>
    <x v="11"/>
    <x v="7"/>
    <x v="3"/>
    <x v="20"/>
    <x v="120"/>
    <x v="893"/>
    <x v="13"/>
    <x v="13"/>
    <x v="2"/>
  </r>
  <r>
    <x v="1"/>
    <x v="0"/>
    <x v="412"/>
    <x v="4"/>
    <x v="11"/>
    <x v="7"/>
    <x v="2"/>
    <x v="14"/>
    <x v="140"/>
    <x v="791"/>
    <x v="23"/>
    <x v="23"/>
    <x v="2"/>
  </r>
  <r>
    <x v="1"/>
    <x v="0"/>
    <x v="412"/>
    <x v="4"/>
    <x v="11"/>
    <x v="7"/>
    <x v="1"/>
    <x v="21"/>
    <x v="108"/>
    <x v="841"/>
    <x v="29"/>
    <x v="29"/>
    <x v="2"/>
  </r>
  <r>
    <x v="1"/>
    <x v="0"/>
    <x v="412"/>
    <x v="4"/>
    <x v="11"/>
    <x v="7"/>
    <x v="5"/>
    <x v="21"/>
    <x v="104"/>
    <x v="810"/>
    <x v="28"/>
    <x v="28"/>
    <x v="2"/>
  </r>
  <r>
    <x v="1"/>
    <x v="0"/>
    <x v="412"/>
    <x v="4"/>
    <x v="2"/>
    <x v="41"/>
    <x v="4"/>
    <x v="19"/>
    <x v="56"/>
    <x v="323"/>
    <x v="28"/>
    <x v="28"/>
    <x v="2"/>
  </r>
  <r>
    <x v="1"/>
    <x v="0"/>
    <x v="412"/>
    <x v="4"/>
    <x v="2"/>
    <x v="41"/>
    <x v="0"/>
    <x v="29"/>
    <x v="40"/>
    <x v="340"/>
    <x v="23"/>
    <x v="23"/>
    <x v="2"/>
  </r>
  <r>
    <x v="1"/>
    <x v="0"/>
    <x v="412"/>
    <x v="4"/>
    <x v="2"/>
    <x v="41"/>
    <x v="3"/>
    <x v="24"/>
    <x v="97"/>
    <x v="844"/>
    <x v="13"/>
    <x v="13"/>
    <x v="2"/>
  </r>
  <r>
    <x v="1"/>
    <x v="0"/>
    <x v="439"/>
    <x v="4"/>
    <x v="2"/>
    <x v="41"/>
    <x v="2"/>
    <x v="22"/>
    <x v="138"/>
    <x v="1119"/>
    <x v="26"/>
    <x v="26"/>
    <x v="2"/>
  </r>
  <r>
    <x v="1"/>
    <x v="0"/>
    <x v="439"/>
    <x v="4"/>
    <x v="2"/>
    <x v="41"/>
    <x v="1"/>
    <x v="31"/>
    <x v="97"/>
    <x v="1060"/>
    <x v="30"/>
    <x v="30"/>
    <x v="2"/>
  </r>
  <r>
    <x v="1"/>
    <x v="0"/>
    <x v="439"/>
    <x v="4"/>
    <x v="2"/>
    <x v="41"/>
    <x v="5"/>
    <x v="30"/>
    <x v="100"/>
    <x v="1058"/>
    <x v="27"/>
    <x v="27"/>
    <x v="2"/>
  </r>
  <r>
    <x v="1"/>
    <x v="0"/>
    <x v="439"/>
    <x v="4"/>
    <x v="2"/>
    <x v="41"/>
    <x v="4"/>
    <x v="31"/>
    <x v="56"/>
    <x v="551"/>
    <x v="23"/>
    <x v="23"/>
    <x v="2"/>
  </r>
  <r>
    <x v="1"/>
    <x v="0"/>
    <x v="439"/>
    <x v="4"/>
    <x v="2"/>
    <x v="41"/>
    <x v="0"/>
    <x v="34"/>
    <x v="28"/>
    <x v="275"/>
    <x v="18"/>
    <x v="18"/>
    <x v="2"/>
  </r>
  <r>
    <x v="1"/>
    <x v="0"/>
    <x v="439"/>
    <x v="4"/>
    <x v="2"/>
    <x v="41"/>
    <x v="3"/>
    <x v="30"/>
    <x v="89"/>
    <x v="943"/>
    <x v="13"/>
    <x v="13"/>
    <x v="2"/>
  </r>
  <r>
    <x v="1"/>
    <x v="0"/>
    <x v="471"/>
    <x v="4"/>
    <x v="2"/>
    <x v="41"/>
    <x v="2"/>
    <x v="33"/>
    <x v="152"/>
    <x v="1674"/>
    <x v="24"/>
    <x v="24"/>
    <x v="2"/>
  </r>
  <r>
    <x v="1"/>
    <x v="0"/>
    <x v="471"/>
    <x v="4"/>
    <x v="2"/>
    <x v="41"/>
    <x v="1"/>
    <x v="30"/>
    <x v="74"/>
    <x v="773"/>
    <x v="30"/>
    <x v="30"/>
    <x v="2"/>
  </r>
  <r>
    <x v="1"/>
    <x v="0"/>
    <x v="471"/>
    <x v="4"/>
    <x v="2"/>
    <x v="41"/>
    <x v="5"/>
    <x v="35"/>
    <x v="103"/>
    <x v="1245"/>
    <x v="23"/>
    <x v="23"/>
    <x v="2"/>
  </r>
  <r>
    <x v="1"/>
    <x v="0"/>
    <x v="471"/>
    <x v="4"/>
    <x v="2"/>
    <x v="41"/>
    <x v="4"/>
    <x v="33"/>
    <x v="64"/>
    <x v="709"/>
    <x v="26"/>
    <x v="26"/>
    <x v="2"/>
  </r>
  <r>
    <x v="1"/>
    <x v="0"/>
    <x v="471"/>
    <x v="4"/>
    <x v="2"/>
    <x v="41"/>
    <x v="0"/>
    <x v="36"/>
    <x v="36"/>
    <x v="395"/>
    <x v="20"/>
    <x v="20"/>
    <x v="2"/>
  </r>
  <r>
    <x v="1"/>
    <x v="0"/>
    <x v="471"/>
    <x v="4"/>
    <x v="2"/>
    <x v="41"/>
    <x v="3"/>
    <x v="42"/>
    <x v="92"/>
    <x v="1307"/>
    <x v="16"/>
    <x v="16"/>
    <x v="2"/>
  </r>
  <r>
    <x v="1"/>
    <x v="0"/>
    <x v="502"/>
    <x v="4"/>
    <x v="2"/>
    <x v="41"/>
    <x v="2"/>
    <x v="31"/>
    <x v="160"/>
    <x v="1673"/>
    <x v="24"/>
    <x v="24"/>
    <x v="2"/>
  </r>
  <r>
    <x v="1"/>
    <x v="0"/>
    <x v="502"/>
    <x v="4"/>
    <x v="2"/>
    <x v="41"/>
    <x v="1"/>
    <x v="29"/>
    <x v="97"/>
    <x v="998"/>
    <x v="28"/>
    <x v="28"/>
    <x v="2"/>
  </r>
  <r>
    <x v="1"/>
    <x v="0"/>
    <x v="502"/>
    <x v="4"/>
    <x v="2"/>
    <x v="41"/>
    <x v="5"/>
    <x v="34"/>
    <x v="112"/>
    <x v="1301"/>
    <x v="24"/>
    <x v="24"/>
    <x v="2"/>
  </r>
  <r>
    <x v="1"/>
    <x v="0"/>
    <x v="502"/>
    <x v="4"/>
    <x v="2"/>
    <x v="41"/>
    <x v="4"/>
    <x v="32"/>
    <x v="76"/>
    <x v="855"/>
    <x v="23"/>
    <x v="23"/>
    <x v="2"/>
  </r>
  <r>
    <x v="1"/>
    <x v="0"/>
    <x v="502"/>
    <x v="4"/>
    <x v="2"/>
    <x v="41"/>
    <x v="0"/>
    <x v="32"/>
    <x v="51"/>
    <x v="505"/>
    <x v="19"/>
    <x v="19"/>
    <x v="2"/>
  </r>
  <r>
    <x v="1"/>
    <x v="0"/>
    <x v="502"/>
    <x v="4"/>
    <x v="2"/>
    <x v="41"/>
    <x v="3"/>
    <x v="46"/>
    <x v="104"/>
    <x v="1581"/>
    <x v="15"/>
    <x v="15"/>
    <x v="2"/>
  </r>
  <r>
    <x v="1"/>
    <x v="0"/>
    <x v="532"/>
    <x v="4"/>
    <x v="2"/>
    <x v="41"/>
    <x v="2"/>
    <x v="30"/>
    <x v="170"/>
    <x v="1712"/>
    <x v="25"/>
    <x v="25"/>
    <x v="2"/>
  </r>
  <r>
    <x v="1"/>
    <x v="0"/>
    <x v="532"/>
    <x v="4"/>
    <x v="2"/>
    <x v="41"/>
    <x v="1"/>
    <x v="29"/>
    <x v="123"/>
    <x v="1241"/>
    <x v="28"/>
    <x v="28"/>
    <x v="2"/>
  </r>
  <r>
    <x v="1"/>
    <x v="0"/>
    <x v="532"/>
    <x v="4"/>
    <x v="2"/>
    <x v="41"/>
    <x v="5"/>
    <x v="34"/>
    <x v="127"/>
    <x v="1449"/>
    <x v="24"/>
    <x v="24"/>
    <x v="2"/>
  </r>
  <r>
    <x v="1"/>
    <x v="0"/>
    <x v="532"/>
    <x v="4"/>
    <x v="2"/>
    <x v="41"/>
    <x v="4"/>
    <x v="31"/>
    <x v="87"/>
    <x v="952"/>
    <x v="26"/>
    <x v="26"/>
    <x v="2"/>
  </r>
  <r>
    <x v="1"/>
    <x v="0"/>
    <x v="532"/>
    <x v="4"/>
    <x v="2"/>
    <x v="41"/>
    <x v="0"/>
    <x v="36"/>
    <x v="59"/>
    <x v="705"/>
    <x v="20"/>
    <x v="20"/>
    <x v="2"/>
  </r>
  <r>
    <x v="1"/>
    <x v="0"/>
    <x v="532"/>
    <x v="4"/>
    <x v="2"/>
    <x v="41"/>
    <x v="3"/>
    <x v="39"/>
    <x v="137"/>
    <x v="1729"/>
    <x v="17"/>
    <x v="17"/>
    <x v="2"/>
  </r>
  <r>
    <x v="1"/>
    <x v="0"/>
    <x v="561"/>
    <x v="4"/>
    <x v="2"/>
    <x v="41"/>
    <x v="2"/>
    <x v="33"/>
    <x v="186"/>
    <x v="1999"/>
    <x v="23"/>
    <x v="23"/>
    <x v="2"/>
  </r>
  <r>
    <x v="1"/>
    <x v="0"/>
    <x v="561"/>
    <x v="4"/>
    <x v="2"/>
    <x v="41"/>
    <x v="1"/>
    <x v="33"/>
    <x v="141"/>
    <x v="1571"/>
    <x v="32"/>
    <x v="32"/>
    <x v="2"/>
  </r>
  <r>
    <x v="1"/>
    <x v="0"/>
    <x v="561"/>
    <x v="4"/>
    <x v="2"/>
    <x v="41"/>
    <x v="5"/>
    <x v="32"/>
    <x v="136"/>
    <x v="1470"/>
    <x v="25"/>
    <x v="25"/>
    <x v="2"/>
  </r>
  <r>
    <x v="1"/>
    <x v="0"/>
    <x v="561"/>
    <x v="4"/>
    <x v="2"/>
    <x v="41"/>
    <x v="4"/>
    <x v="29"/>
    <x v="94"/>
    <x v="973"/>
    <x v="24"/>
    <x v="24"/>
    <x v="2"/>
  </r>
  <r>
    <x v="1"/>
    <x v="0"/>
    <x v="561"/>
    <x v="4"/>
    <x v="2"/>
    <x v="41"/>
    <x v="0"/>
    <x v="33"/>
    <x v="125"/>
    <x v="1394"/>
    <x v="23"/>
    <x v="23"/>
    <x v="2"/>
  </r>
  <r>
    <x v="1"/>
    <x v="0"/>
    <x v="561"/>
    <x v="4"/>
    <x v="2"/>
    <x v="41"/>
    <x v="3"/>
    <x v="39"/>
    <x v="125"/>
    <x v="1604"/>
    <x v="16"/>
    <x v="16"/>
    <x v="2"/>
  </r>
  <r>
    <x v="1"/>
    <x v="0"/>
    <x v="593"/>
    <x v="4"/>
    <x v="2"/>
    <x v="41"/>
    <x v="2"/>
    <x v="34"/>
    <x v="170"/>
    <x v="1872"/>
    <x v="26"/>
    <x v="26"/>
    <x v="2"/>
  </r>
  <r>
    <x v="1"/>
    <x v="0"/>
    <x v="593"/>
    <x v="4"/>
    <x v="2"/>
    <x v="41"/>
    <x v="1"/>
    <x v="39"/>
    <x v="166"/>
    <x v="2019"/>
    <x v="28"/>
    <x v="28"/>
    <x v="2"/>
  </r>
  <r>
    <x v="1"/>
    <x v="0"/>
    <x v="593"/>
    <x v="4"/>
    <x v="2"/>
    <x v="41"/>
    <x v="5"/>
    <x v="30"/>
    <x v="132"/>
    <x v="1365"/>
    <x v="27"/>
    <x v="27"/>
    <x v="2"/>
  </r>
  <r>
    <x v="1"/>
    <x v="0"/>
    <x v="593"/>
    <x v="4"/>
    <x v="2"/>
    <x v="41"/>
    <x v="4"/>
    <x v="36"/>
    <x v="101"/>
    <x v="1244"/>
    <x v="28"/>
    <x v="28"/>
    <x v="2"/>
  </r>
  <r>
    <x v="1"/>
    <x v="0"/>
    <x v="593"/>
    <x v="4"/>
    <x v="2"/>
    <x v="41"/>
    <x v="0"/>
    <x v="38"/>
    <x v="116"/>
    <x v="1469"/>
    <x v="23"/>
    <x v="23"/>
    <x v="2"/>
  </r>
  <r>
    <x v="1"/>
    <x v="0"/>
    <x v="593"/>
    <x v="4"/>
    <x v="2"/>
    <x v="41"/>
    <x v="3"/>
    <x v="41"/>
    <x v="111"/>
    <x v="1511"/>
    <x v="14"/>
    <x v="14"/>
    <x v="2"/>
  </r>
  <r>
    <x v="1"/>
    <x v="0"/>
    <x v="625"/>
    <x v="4"/>
    <x v="2"/>
    <x v="41"/>
    <x v="2"/>
    <x v="28"/>
    <x v="160"/>
    <x v="1554"/>
    <x v="28"/>
    <x v="28"/>
    <x v="2"/>
  </r>
  <r>
    <x v="1"/>
    <x v="0"/>
    <x v="625"/>
    <x v="4"/>
    <x v="2"/>
    <x v="41"/>
    <x v="1"/>
    <x v="27"/>
    <x v="175"/>
    <x v="1635"/>
    <x v="33"/>
    <x v="33"/>
    <x v="2"/>
  </r>
  <r>
    <x v="1"/>
    <x v="0"/>
    <x v="625"/>
    <x v="4"/>
    <x v="2"/>
    <x v="41"/>
    <x v="5"/>
    <x v="27"/>
    <x v="125"/>
    <x v="1191"/>
    <x v="23"/>
    <x v="23"/>
    <x v="2"/>
  </r>
  <r>
    <x v="1"/>
    <x v="0"/>
    <x v="625"/>
    <x v="4"/>
    <x v="2"/>
    <x v="41"/>
    <x v="4"/>
    <x v="26"/>
    <x v="104"/>
    <x v="976"/>
    <x v="23"/>
    <x v="23"/>
    <x v="2"/>
  </r>
  <r>
    <x v="1"/>
    <x v="0"/>
    <x v="625"/>
    <x v="4"/>
    <x v="2"/>
    <x v="41"/>
    <x v="0"/>
    <x v="34"/>
    <x v="108"/>
    <x v="1266"/>
    <x v="19"/>
    <x v="19"/>
    <x v="2"/>
  </r>
  <r>
    <x v="1"/>
    <x v="0"/>
    <x v="625"/>
    <x v="4"/>
    <x v="2"/>
    <x v="41"/>
    <x v="3"/>
    <x v="36"/>
    <x v="112"/>
    <x v="1369"/>
    <x v="18"/>
    <x v="18"/>
    <x v="2"/>
  </r>
  <r>
    <x v="1"/>
    <x v="0"/>
    <x v="654"/>
    <x v="4"/>
    <x v="2"/>
    <x v="41"/>
    <x v="2"/>
    <x v="29"/>
    <x v="148"/>
    <x v="1469"/>
    <x v="28"/>
    <x v="28"/>
    <x v="2"/>
  </r>
  <r>
    <x v="1"/>
    <x v="0"/>
    <x v="654"/>
    <x v="4"/>
    <x v="2"/>
    <x v="41"/>
    <x v="1"/>
    <x v="26"/>
    <x v="152"/>
    <x v="1389"/>
    <x v="28"/>
    <x v="28"/>
    <x v="2"/>
  </r>
  <r>
    <x v="1"/>
    <x v="0"/>
    <x v="654"/>
    <x v="4"/>
    <x v="2"/>
    <x v="41"/>
    <x v="5"/>
    <x v="24"/>
    <x v="92"/>
    <x v="800"/>
    <x v="23"/>
    <x v="23"/>
    <x v="2"/>
  </r>
  <r>
    <x v="1"/>
    <x v="0"/>
    <x v="654"/>
    <x v="4"/>
    <x v="2"/>
    <x v="41"/>
    <x v="4"/>
    <x v="25"/>
    <x v="84"/>
    <x v="755"/>
    <x v="25"/>
    <x v="25"/>
    <x v="2"/>
  </r>
  <r>
    <x v="1"/>
    <x v="0"/>
    <x v="654"/>
    <x v="4"/>
    <x v="2"/>
    <x v="41"/>
    <x v="0"/>
    <x v="37"/>
    <x v="73"/>
    <x v="919"/>
    <x v="23"/>
    <x v="23"/>
    <x v="2"/>
  </r>
  <r>
    <x v="1"/>
    <x v="0"/>
    <x v="654"/>
    <x v="4"/>
    <x v="2"/>
    <x v="41"/>
    <x v="3"/>
    <x v="40"/>
    <x v="89"/>
    <x v="1215"/>
    <x v="15"/>
    <x v="15"/>
    <x v="2"/>
  </r>
  <r>
    <x v="1"/>
    <x v="0"/>
    <x v="685"/>
    <x v="4"/>
    <x v="2"/>
    <x v="41"/>
    <x v="2"/>
    <x v="24"/>
    <x v="129"/>
    <x v="1123"/>
    <x v="24"/>
    <x v="24"/>
    <x v="2"/>
  </r>
  <r>
    <x v="1"/>
    <x v="0"/>
    <x v="685"/>
    <x v="4"/>
    <x v="2"/>
    <x v="41"/>
    <x v="1"/>
    <x v="31"/>
    <x v="141"/>
    <x v="1487"/>
    <x v="33"/>
    <x v="33"/>
    <x v="2"/>
  </r>
  <r>
    <x v="1"/>
    <x v="0"/>
    <x v="685"/>
    <x v="4"/>
    <x v="2"/>
    <x v="41"/>
    <x v="5"/>
    <x v="26"/>
    <x v="104"/>
    <x v="976"/>
    <x v="25"/>
    <x v="25"/>
    <x v="2"/>
  </r>
  <r>
    <x v="1"/>
    <x v="0"/>
    <x v="685"/>
    <x v="4"/>
    <x v="2"/>
    <x v="41"/>
    <x v="4"/>
    <x v="26"/>
    <x v="97"/>
    <x v="905"/>
    <x v="28"/>
    <x v="28"/>
    <x v="2"/>
  </r>
  <r>
    <x v="1"/>
    <x v="0"/>
    <x v="685"/>
    <x v="4"/>
    <x v="2"/>
    <x v="41"/>
    <x v="0"/>
    <x v="37"/>
    <x v="81"/>
    <x v="1046"/>
    <x v="22"/>
    <x v="22"/>
    <x v="2"/>
  </r>
  <r>
    <x v="1"/>
    <x v="0"/>
    <x v="685"/>
    <x v="4"/>
    <x v="2"/>
    <x v="41"/>
    <x v="3"/>
    <x v="32"/>
    <x v="120"/>
    <x v="1313"/>
    <x v="14"/>
    <x v="14"/>
    <x v="2"/>
  </r>
  <r>
    <x v="1"/>
    <x v="0"/>
    <x v="714"/>
    <x v="4"/>
    <x v="2"/>
    <x v="41"/>
    <x v="2"/>
    <x v="28"/>
    <x v="170"/>
    <x v="1628"/>
    <x v="26"/>
    <x v="26"/>
    <x v="2"/>
  </r>
  <r>
    <x v="1"/>
    <x v="0"/>
    <x v="714"/>
    <x v="4"/>
    <x v="2"/>
    <x v="41"/>
    <x v="1"/>
    <x v="26"/>
    <x v="184"/>
    <x v="1682"/>
    <x v="32"/>
    <x v="32"/>
    <x v="2"/>
  </r>
  <r>
    <x v="2"/>
    <x v="0"/>
    <x v="714"/>
    <x v="4"/>
    <x v="2"/>
    <x v="41"/>
    <x v="5"/>
    <x v="28"/>
    <x v="116"/>
    <x v="1148"/>
    <x v="27"/>
    <x v="27"/>
    <x v="2"/>
  </r>
  <r>
    <x v="2"/>
    <x v="0"/>
    <x v="714"/>
    <x v="4"/>
    <x v="2"/>
    <x v="41"/>
    <x v="4"/>
    <x v="25"/>
    <x v="108"/>
    <x v="978"/>
    <x v="27"/>
    <x v="27"/>
    <x v="2"/>
  </r>
  <r>
    <x v="2"/>
    <x v="0"/>
    <x v="714"/>
    <x v="4"/>
    <x v="2"/>
    <x v="41"/>
    <x v="0"/>
    <x v="35"/>
    <x v="91"/>
    <x v="1106"/>
    <x v="20"/>
    <x v="20"/>
    <x v="2"/>
  </r>
  <r>
    <x v="2"/>
    <x v="0"/>
    <x v="714"/>
    <x v="4"/>
    <x v="2"/>
    <x v="41"/>
    <x v="3"/>
    <x v="36"/>
    <x v="115"/>
    <x v="1395"/>
    <x v="14"/>
    <x v="14"/>
    <x v="2"/>
  </r>
  <r>
    <x v="2"/>
    <x v="0"/>
    <x v="384"/>
    <x v="4"/>
    <x v="2"/>
    <x v="41"/>
    <x v="2"/>
    <x v="20"/>
    <x v="131"/>
    <x v="979"/>
    <x v="27"/>
    <x v="27"/>
    <x v="2"/>
  </r>
  <r>
    <x v="2"/>
    <x v="0"/>
    <x v="384"/>
    <x v="4"/>
    <x v="2"/>
    <x v="41"/>
    <x v="1"/>
    <x v="23"/>
    <x v="127"/>
    <x v="1061"/>
    <x v="33"/>
    <x v="33"/>
    <x v="2"/>
  </r>
  <r>
    <x v="2"/>
    <x v="0"/>
    <x v="384"/>
    <x v="4"/>
    <x v="2"/>
    <x v="41"/>
    <x v="5"/>
    <x v="25"/>
    <x v="136"/>
    <x v="1214"/>
    <x v="25"/>
    <x v="25"/>
    <x v="2"/>
  </r>
  <r>
    <x v="2"/>
    <x v="0"/>
    <x v="384"/>
    <x v="4"/>
    <x v="2"/>
    <x v="41"/>
    <x v="4"/>
    <x v="23"/>
    <x v="83"/>
    <x v="683"/>
    <x v="24"/>
    <x v="24"/>
    <x v="2"/>
  </r>
  <r>
    <x v="2"/>
    <x v="0"/>
    <x v="384"/>
    <x v="4"/>
    <x v="2"/>
    <x v="41"/>
    <x v="0"/>
    <x v="26"/>
    <x v="77"/>
    <x v="707"/>
    <x v="23"/>
    <x v="23"/>
    <x v="2"/>
  </r>
  <r>
    <x v="2"/>
    <x v="0"/>
    <x v="384"/>
    <x v="4"/>
    <x v="2"/>
    <x v="41"/>
    <x v="3"/>
    <x v="29"/>
    <x v="144"/>
    <x v="1435"/>
    <x v="13"/>
    <x v="13"/>
    <x v="2"/>
  </r>
  <r>
    <x v="2"/>
    <x v="0"/>
    <x v="415"/>
    <x v="4"/>
    <x v="2"/>
    <x v="41"/>
    <x v="2"/>
    <x v="20"/>
    <x v="150"/>
    <x v="1127"/>
    <x v="26"/>
    <x v="26"/>
    <x v="2"/>
  </r>
  <r>
    <x v="2"/>
    <x v="0"/>
    <x v="415"/>
    <x v="4"/>
    <x v="2"/>
    <x v="41"/>
    <x v="1"/>
    <x v="29"/>
    <x v="116"/>
    <x v="1182"/>
    <x v="33"/>
    <x v="33"/>
    <x v="2"/>
  </r>
  <r>
    <x v="2"/>
    <x v="0"/>
    <x v="415"/>
    <x v="4"/>
    <x v="2"/>
    <x v="41"/>
    <x v="5"/>
    <x v="28"/>
    <x v="112"/>
    <x v="1115"/>
    <x v="26"/>
    <x v="26"/>
    <x v="2"/>
  </r>
  <r>
    <x v="2"/>
    <x v="0"/>
    <x v="415"/>
    <x v="4"/>
    <x v="30"/>
    <x v="1"/>
    <x v="4"/>
    <x v="22"/>
    <x v="75"/>
    <x v="568"/>
    <x v="23"/>
    <x v="23"/>
    <x v="2"/>
  </r>
  <r>
    <x v="2"/>
    <x v="0"/>
    <x v="415"/>
    <x v="4"/>
    <x v="30"/>
    <x v="1"/>
    <x v="0"/>
    <x v="27"/>
    <x v="51"/>
    <x v="424"/>
    <x v="18"/>
    <x v="18"/>
    <x v="2"/>
  </r>
  <r>
    <x v="2"/>
    <x v="0"/>
    <x v="415"/>
    <x v="4"/>
    <x v="30"/>
    <x v="1"/>
    <x v="3"/>
    <x v="28"/>
    <x v="120"/>
    <x v="1184"/>
    <x v="14"/>
    <x v="14"/>
    <x v="2"/>
  </r>
  <r>
    <x v="2"/>
    <x v="0"/>
    <x v="442"/>
    <x v="4"/>
    <x v="30"/>
    <x v="1"/>
    <x v="2"/>
    <x v="23"/>
    <x v="163"/>
    <x v="1349"/>
    <x v="27"/>
    <x v="27"/>
    <x v="2"/>
  </r>
  <r>
    <x v="2"/>
    <x v="0"/>
    <x v="442"/>
    <x v="4"/>
    <x v="30"/>
    <x v="1"/>
    <x v="1"/>
    <x v="29"/>
    <x v="116"/>
    <x v="1182"/>
    <x v="31"/>
    <x v="31"/>
    <x v="2"/>
  </r>
  <r>
    <x v="2"/>
    <x v="0"/>
    <x v="442"/>
    <x v="4"/>
    <x v="30"/>
    <x v="1"/>
    <x v="5"/>
    <x v="37"/>
    <x v="104"/>
    <x v="1312"/>
    <x v="24"/>
    <x v="24"/>
    <x v="2"/>
  </r>
  <r>
    <x v="2"/>
    <x v="0"/>
    <x v="442"/>
    <x v="4"/>
    <x v="30"/>
    <x v="1"/>
    <x v="4"/>
    <x v="30"/>
    <x v="73"/>
    <x v="753"/>
    <x v="25"/>
    <x v="25"/>
    <x v="2"/>
  </r>
  <r>
    <x v="2"/>
    <x v="0"/>
    <x v="442"/>
    <x v="4"/>
    <x v="30"/>
    <x v="1"/>
    <x v="0"/>
    <x v="34"/>
    <x v="42"/>
    <x v="439"/>
    <x v="18"/>
    <x v="18"/>
    <x v="2"/>
  </r>
  <r>
    <x v="2"/>
    <x v="0"/>
    <x v="442"/>
    <x v="4"/>
    <x v="30"/>
    <x v="1"/>
    <x v="3"/>
    <x v="37"/>
    <x v="111"/>
    <x v="1388"/>
    <x v="17"/>
    <x v="17"/>
    <x v="2"/>
  </r>
  <r>
    <x v="2"/>
    <x v="0"/>
    <x v="474"/>
    <x v="4"/>
    <x v="30"/>
    <x v="1"/>
    <x v="2"/>
    <x v="34"/>
    <x v="143"/>
    <x v="1621"/>
    <x v="28"/>
    <x v="28"/>
    <x v="2"/>
  </r>
  <r>
    <x v="2"/>
    <x v="0"/>
    <x v="474"/>
    <x v="4"/>
    <x v="30"/>
    <x v="1"/>
    <x v="1"/>
    <x v="36"/>
    <x v="91"/>
    <x v="1132"/>
    <x v="32"/>
    <x v="32"/>
    <x v="2"/>
  </r>
  <r>
    <x v="2"/>
    <x v="0"/>
    <x v="474"/>
    <x v="4"/>
    <x v="30"/>
    <x v="1"/>
    <x v="5"/>
    <x v="37"/>
    <x v="120"/>
    <x v="1480"/>
    <x v="28"/>
    <x v="28"/>
    <x v="2"/>
  </r>
  <r>
    <x v="2"/>
    <x v="0"/>
    <x v="474"/>
    <x v="4"/>
    <x v="30"/>
    <x v="1"/>
    <x v="4"/>
    <x v="30"/>
    <x v="79"/>
    <x v="832"/>
    <x v="25"/>
    <x v="25"/>
    <x v="2"/>
  </r>
  <r>
    <x v="2"/>
    <x v="0"/>
    <x v="474"/>
    <x v="4"/>
    <x v="30"/>
    <x v="1"/>
    <x v="0"/>
    <x v="39"/>
    <x v="49"/>
    <x v="609"/>
    <x v="21"/>
    <x v="21"/>
    <x v="2"/>
  </r>
  <r>
    <x v="2"/>
    <x v="0"/>
    <x v="474"/>
    <x v="4"/>
    <x v="30"/>
    <x v="1"/>
    <x v="3"/>
    <x v="49"/>
    <x v="97"/>
    <x v="1567"/>
    <x v="14"/>
    <x v="14"/>
    <x v="2"/>
  </r>
  <r>
    <x v="2"/>
    <x v="0"/>
    <x v="505"/>
    <x v="4"/>
    <x v="30"/>
    <x v="1"/>
    <x v="2"/>
    <x v="36"/>
    <x v="160"/>
    <x v="1863"/>
    <x v="27"/>
    <x v="27"/>
    <x v="2"/>
  </r>
  <r>
    <x v="2"/>
    <x v="0"/>
    <x v="505"/>
    <x v="4"/>
    <x v="30"/>
    <x v="1"/>
    <x v="1"/>
    <x v="39"/>
    <x v="116"/>
    <x v="1504"/>
    <x v="28"/>
    <x v="28"/>
    <x v="2"/>
  </r>
  <r>
    <x v="2"/>
    <x v="0"/>
    <x v="505"/>
    <x v="4"/>
    <x v="30"/>
    <x v="1"/>
    <x v="5"/>
    <x v="39"/>
    <x v="115"/>
    <x v="1491"/>
    <x v="27"/>
    <x v="27"/>
    <x v="2"/>
  </r>
  <r>
    <x v="2"/>
    <x v="0"/>
    <x v="505"/>
    <x v="4"/>
    <x v="30"/>
    <x v="1"/>
    <x v="4"/>
    <x v="36"/>
    <x v="91"/>
    <x v="1132"/>
    <x v="27"/>
    <x v="27"/>
    <x v="2"/>
  </r>
  <r>
    <x v="2"/>
    <x v="0"/>
    <x v="505"/>
    <x v="4"/>
    <x v="30"/>
    <x v="1"/>
    <x v="0"/>
    <x v="38"/>
    <x v="64"/>
    <x v="823"/>
    <x v="21"/>
    <x v="21"/>
    <x v="2"/>
  </r>
  <r>
    <x v="2"/>
    <x v="0"/>
    <x v="505"/>
    <x v="4"/>
    <x v="30"/>
    <x v="1"/>
    <x v="3"/>
    <x v="49"/>
    <x v="112"/>
    <x v="1755"/>
    <x v="15"/>
    <x v="15"/>
    <x v="2"/>
  </r>
  <r>
    <x v="2"/>
    <x v="0"/>
    <x v="535"/>
    <x v="4"/>
    <x v="30"/>
    <x v="1"/>
    <x v="2"/>
    <x v="30"/>
    <x v="193"/>
    <x v="1938"/>
    <x v="25"/>
    <x v="25"/>
    <x v="2"/>
  </r>
  <r>
    <x v="2"/>
    <x v="0"/>
    <x v="535"/>
    <x v="4"/>
    <x v="30"/>
    <x v="1"/>
    <x v="1"/>
    <x v="40"/>
    <x v="163"/>
    <x v="2029"/>
    <x v="29"/>
    <x v="29"/>
    <x v="2"/>
  </r>
  <r>
    <x v="2"/>
    <x v="0"/>
    <x v="535"/>
    <x v="4"/>
    <x v="30"/>
    <x v="1"/>
    <x v="5"/>
    <x v="34"/>
    <x v="169"/>
    <x v="1864"/>
    <x v="26"/>
    <x v="26"/>
    <x v="2"/>
  </r>
  <r>
    <x v="2"/>
    <x v="0"/>
    <x v="535"/>
    <x v="4"/>
    <x v="30"/>
    <x v="1"/>
    <x v="4"/>
    <x v="30"/>
    <x v="108"/>
    <x v="1143"/>
    <x v="26"/>
    <x v="26"/>
    <x v="2"/>
  </r>
  <r>
    <x v="2"/>
    <x v="0"/>
    <x v="535"/>
    <x v="4"/>
    <x v="30"/>
    <x v="1"/>
    <x v="0"/>
    <x v="37"/>
    <x v="76"/>
    <x v="976"/>
    <x v="21"/>
    <x v="21"/>
    <x v="2"/>
  </r>
  <r>
    <x v="2"/>
    <x v="0"/>
    <x v="535"/>
    <x v="4"/>
    <x v="30"/>
    <x v="1"/>
    <x v="3"/>
    <x v="43"/>
    <x v="168"/>
    <x v="2154"/>
    <x v="14"/>
    <x v="14"/>
    <x v="2"/>
  </r>
  <r>
    <x v="2"/>
    <x v="0"/>
    <x v="564"/>
    <x v="4"/>
    <x v="30"/>
    <x v="1"/>
    <x v="2"/>
    <x v="34"/>
    <x v="211"/>
    <x v="2233"/>
    <x v="25"/>
    <x v="25"/>
    <x v="2"/>
  </r>
  <r>
    <x v="2"/>
    <x v="0"/>
    <x v="564"/>
    <x v="4"/>
    <x v="30"/>
    <x v="1"/>
    <x v="1"/>
    <x v="38"/>
    <x v="183"/>
    <x v="2125"/>
    <x v="29"/>
    <x v="29"/>
    <x v="2"/>
  </r>
  <r>
    <x v="2"/>
    <x v="0"/>
    <x v="564"/>
    <x v="4"/>
    <x v="30"/>
    <x v="1"/>
    <x v="5"/>
    <x v="32"/>
    <x v="149"/>
    <x v="1603"/>
    <x v="23"/>
    <x v="23"/>
    <x v="2"/>
  </r>
  <r>
    <x v="2"/>
    <x v="0"/>
    <x v="564"/>
    <x v="4"/>
    <x v="30"/>
    <x v="1"/>
    <x v="4"/>
    <x v="32"/>
    <x v="128"/>
    <x v="1396"/>
    <x v="28"/>
    <x v="28"/>
    <x v="2"/>
  </r>
  <r>
    <x v="2"/>
    <x v="0"/>
    <x v="564"/>
    <x v="4"/>
    <x v="30"/>
    <x v="1"/>
    <x v="0"/>
    <x v="33"/>
    <x v="138"/>
    <x v="1541"/>
    <x v="18"/>
    <x v="18"/>
    <x v="2"/>
  </r>
  <r>
    <x v="2"/>
    <x v="0"/>
    <x v="564"/>
    <x v="4"/>
    <x v="30"/>
    <x v="1"/>
    <x v="3"/>
    <x v="42"/>
    <x v="138"/>
    <x v="1851"/>
    <x v="18"/>
    <x v="18"/>
    <x v="2"/>
  </r>
  <r>
    <x v="2"/>
    <x v="0"/>
    <x v="596"/>
    <x v="4"/>
    <x v="30"/>
    <x v="1"/>
    <x v="2"/>
    <x v="33"/>
    <x v="193"/>
    <x v="2058"/>
    <x v="23"/>
    <x v="23"/>
    <x v="2"/>
  </r>
  <r>
    <x v="2"/>
    <x v="0"/>
    <x v="596"/>
    <x v="4"/>
    <x v="30"/>
    <x v="1"/>
    <x v="1"/>
    <x v="37"/>
    <x v="181"/>
    <x v="2084"/>
    <x v="30"/>
    <x v="30"/>
    <x v="2"/>
  </r>
  <r>
    <x v="2"/>
    <x v="0"/>
    <x v="596"/>
    <x v="4"/>
    <x v="30"/>
    <x v="1"/>
    <x v="5"/>
    <x v="39"/>
    <x v="141"/>
    <x v="1778"/>
    <x v="26"/>
    <x v="26"/>
    <x v="2"/>
  </r>
  <r>
    <x v="2"/>
    <x v="0"/>
    <x v="596"/>
    <x v="4"/>
    <x v="30"/>
    <x v="1"/>
    <x v="4"/>
    <x v="39"/>
    <x v="131"/>
    <x v="1673"/>
    <x v="23"/>
    <x v="23"/>
    <x v="2"/>
  </r>
  <r>
    <x v="2"/>
    <x v="0"/>
    <x v="596"/>
    <x v="4"/>
    <x v="30"/>
    <x v="1"/>
    <x v="0"/>
    <x v="41"/>
    <x v="140"/>
    <x v="1838"/>
    <x v="20"/>
    <x v="20"/>
    <x v="2"/>
  </r>
  <r>
    <x v="2"/>
    <x v="0"/>
    <x v="596"/>
    <x v="4"/>
    <x v="30"/>
    <x v="1"/>
    <x v="3"/>
    <x v="43"/>
    <x v="132"/>
    <x v="1807"/>
    <x v="18"/>
    <x v="18"/>
    <x v="2"/>
  </r>
  <r>
    <x v="2"/>
    <x v="0"/>
    <x v="628"/>
    <x v="4"/>
    <x v="30"/>
    <x v="1"/>
    <x v="2"/>
    <x v="30"/>
    <x v="179"/>
    <x v="1801"/>
    <x v="28"/>
    <x v="28"/>
    <x v="2"/>
  </r>
  <r>
    <x v="2"/>
    <x v="0"/>
    <x v="628"/>
    <x v="4"/>
    <x v="30"/>
    <x v="1"/>
    <x v="1"/>
    <x v="32"/>
    <x v="164"/>
    <x v="1742"/>
    <x v="32"/>
    <x v="32"/>
    <x v="2"/>
  </r>
  <r>
    <x v="2"/>
    <x v="0"/>
    <x v="628"/>
    <x v="4"/>
    <x v="30"/>
    <x v="1"/>
    <x v="5"/>
    <x v="32"/>
    <x v="127"/>
    <x v="1379"/>
    <x v="28"/>
    <x v="28"/>
    <x v="2"/>
  </r>
  <r>
    <x v="2"/>
    <x v="0"/>
    <x v="628"/>
    <x v="4"/>
    <x v="30"/>
    <x v="1"/>
    <x v="4"/>
    <x v="30"/>
    <x v="125"/>
    <x v="1292"/>
    <x v="27"/>
    <x v="27"/>
    <x v="2"/>
  </r>
  <r>
    <x v="2"/>
    <x v="0"/>
    <x v="628"/>
    <x v="4"/>
    <x v="30"/>
    <x v="1"/>
    <x v="0"/>
    <x v="33"/>
    <x v="125"/>
    <x v="1394"/>
    <x v="21"/>
    <x v="21"/>
    <x v="2"/>
  </r>
  <r>
    <x v="2"/>
    <x v="0"/>
    <x v="628"/>
    <x v="4"/>
    <x v="30"/>
    <x v="1"/>
    <x v="3"/>
    <x v="41"/>
    <x v="136"/>
    <x v="1786"/>
    <x v="16"/>
    <x v="16"/>
    <x v="2"/>
  </r>
  <r>
    <x v="2"/>
    <x v="0"/>
    <x v="657"/>
    <x v="4"/>
    <x v="30"/>
    <x v="1"/>
    <x v="2"/>
    <x v="28"/>
    <x v="149"/>
    <x v="1438"/>
    <x v="23"/>
    <x v="23"/>
    <x v="2"/>
  </r>
  <r>
    <x v="2"/>
    <x v="0"/>
    <x v="657"/>
    <x v="4"/>
    <x v="30"/>
    <x v="1"/>
    <x v="1"/>
    <x v="31"/>
    <x v="159"/>
    <x v="1657"/>
    <x v="29"/>
    <x v="29"/>
    <x v="2"/>
  </r>
  <r>
    <x v="2"/>
    <x v="0"/>
    <x v="657"/>
    <x v="4"/>
    <x v="30"/>
    <x v="1"/>
    <x v="5"/>
    <x v="27"/>
    <x v="101"/>
    <x v="975"/>
    <x v="26"/>
    <x v="26"/>
    <x v="2"/>
  </r>
  <r>
    <x v="2"/>
    <x v="0"/>
    <x v="657"/>
    <x v="4"/>
    <x v="30"/>
    <x v="1"/>
    <x v="4"/>
    <x v="28"/>
    <x v="93"/>
    <x v="934"/>
    <x v="28"/>
    <x v="28"/>
    <x v="2"/>
  </r>
  <r>
    <x v="2"/>
    <x v="0"/>
    <x v="657"/>
    <x v="4"/>
    <x v="30"/>
    <x v="1"/>
    <x v="0"/>
    <x v="34"/>
    <x v="95"/>
    <x v="1128"/>
    <x v="19"/>
    <x v="19"/>
    <x v="2"/>
  </r>
  <r>
    <x v="2"/>
    <x v="0"/>
    <x v="657"/>
    <x v="4"/>
    <x v="30"/>
    <x v="1"/>
    <x v="3"/>
    <x v="50"/>
    <x v="111"/>
    <x v="1773"/>
    <x v="17"/>
    <x v="17"/>
    <x v="2"/>
  </r>
  <r>
    <x v="2"/>
    <x v="0"/>
    <x v="688"/>
    <x v="4"/>
    <x v="30"/>
    <x v="1"/>
    <x v="2"/>
    <x v="40"/>
    <x v="153"/>
    <x v="1935"/>
    <x v="27"/>
    <x v="27"/>
    <x v="2"/>
  </r>
  <r>
    <x v="2"/>
    <x v="0"/>
    <x v="688"/>
    <x v="4"/>
    <x v="30"/>
    <x v="1"/>
    <x v="1"/>
    <x v="37"/>
    <x v="157"/>
    <x v="1866"/>
    <x v="29"/>
    <x v="29"/>
    <x v="2"/>
  </r>
  <r>
    <x v="2"/>
    <x v="0"/>
    <x v="688"/>
    <x v="4"/>
    <x v="30"/>
    <x v="1"/>
    <x v="5"/>
    <x v="39"/>
    <x v="128"/>
    <x v="1643"/>
    <x v="23"/>
    <x v="23"/>
    <x v="2"/>
  </r>
  <r>
    <x v="2"/>
    <x v="0"/>
    <x v="688"/>
    <x v="4"/>
    <x v="30"/>
    <x v="1"/>
    <x v="4"/>
    <x v="33"/>
    <x v="116"/>
    <x v="1308"/>
    <x v="27"/>
    <x v="27"/>
    <x v="2"/>
  </r>
  <r>
    <x v="2"/>
    <x v="0"/>
    <x v="688"/>
    <x v="4"/>
    <x v="30"/>
    <x v="1"/>
    <x v="0"/>
    <x v="47"/>
    <x v="111"/>
    <x v="1690"/>
    <x v="23"/>
    <x v="23"/>
    <x v="2"/>
  </r>
  <r>
    <x v="2"/>
    <x v="0"/>
    <x v="688"/>
    <x v="4"/>
    <x v="30"/>
    <x v="1"/>
    <x v="3"/>
    <x v="49"/>
    <x v="148"/>
    <x v="2141"/>
    <x v="16"/>
    <x v="16"/>
    <x v="2"/>
  </r>
  <r>
    <x v="2"/>
    <x v="0"/>
    <x v="717"/>
    <x v="4"/>
    <x v="30"/>
    <x v="1"/>
    <x v="2"/>
    <x v="37"/>
    <x v="202"/>
    <x v="2276"/>
    <x v="28"/>
    <x v="28"/>
    <x v="2"/>
  </r>
  <r>
    <x v="2"/>
    <x v="0"/>
    <x v="717"/>
    <x v="4"/>
    <x v="30"/>
    <x v="1"/>
    <x v="1"/>
    <x v="40"/>
    <x v="187"/>
    <x v="2236"/>
    <x v="33"/>
    <x v="33"/>
    <x v="2"/>
  </r>
  <r>
    <x v="3"/>
    <x v="0"/>
    <x v="717"/>
    <x v="4"/>
    <x v="30"/>
    <x v="1"/>
    <x v="5"/>
    <x v="37"/>
    <x v="129"/>
    <x v="1589"/>
    <x v="27"/>
    <x v="27"/>
    <x v="2"/>
  </r>
  <r>
    <x v="3"/>
    <x v="0"/>
    <x v="717"/>
    <x v="4"/>
    <x v="30"/>
    <x v="1"/>
    <x v="4"/>
    <x v="38"/>
    <x v="138"/>
    <x v="1716"/>
    <x v="26"/>
    <x v="26"/>
    <x v="2"/>
  </r>
  <r>
    <x v="3"/>
    <x v="0"/>
    <x v="717"/>
    <x v="4"/>
    <x v="30"/>
    <x v="1"/>
    <x v="0"/>
    <x v="48"/>
    <x v="108"/>
    <x v="1684"/>
    <x v="19"/>
    <x v="19"/>
    <x v="2"/>
  </r>
  <r>
    <x v="3"/>
    <x v="0"/>
    <x v="717"/>
    <x v="4"/>
    <x v="30"/>
    <x v="1"/>
    <x v="3"/>
    <x v="49"/>
    <x v="150"/>
    <x v="2169"/>
    <x v="13"/>
    <x v="13"/>
    <x v="2"/>
  </r>
  <r>
    <x v="3"/>
    <x v="0"/>
    <x v="371"/>
    <x v="4"/>
    <x v="30"/>
    <x v="1"/>
    <x v="2"/>
    <x v="17"/>
    <x v="128"/>
    <x v="838"/>
    <x v="32"/>
    <x v="32"/>
    <x v="2"/>
  </r>
  <r>
    <x v="3"/>
    <x v="0"/>
    <x v="371"/>
    <x v="4"/>
    <x v="30"/>
    <x v="1"/>
    <x v="1"/>
    <x v="20"/>
    <x v="120"/>
    <x v="893"/>
    <x v="33"/>
    <x v="33"/>
    <x v="2"/>
  </r>
  <r>
    <x v="3"/>
    <x v="0"/>
    <x v="371"/>
    <x v="4"/>
    <x v="30"/>
    <x v="1"/>
    <x v="5"/>
    <x v="25"/>
    <x v="120"/>
    <x v="1081"/>
    <x v="28"/>
    <x v="28"/>
    <x v="2"/>
  </r>
  <r>
    <x v="3"/>
    <x v="0"/>
    <x v="371"/>
    <x v="4"/>
    <x v="30"/>
    <x v="1"/>
    <x v="4"/>
    <x v="21"/>
    <x v="81"/>
    <x v="610"/>
    <x v="28"/>
    <x v="28"/>
    <x v="2"/>
  </r>
  <r>
    <x v="3"/>
    <x v="0"/>
    <x v="371"/>
    <x v="4"/>
    <x v="30"/>
    <x v="1"/>
    <x v="0"/>
    <x v="28"/>
    <x v="62"/>
    <x v="565"/>
    <x v="26"/>
    <x v="26"/>
    <x v="2"/>
  </r>
  <r>
    <x v="3"/>
    <x v="0"/>
    <x v="371"/>
    <x v="4"/>
    <x v="30"/>
    <x v="1"/>
    <x v="3"/>
    <x v="21"/>
    <x v="120"/>
    <x v="934"/>
    <x v="18"/>
    <x v="18"/>
    <x v="2"/>
  </r>
  <r>
    <x v="3"/>
    <x v="0"/>
    <x v="402"/>
    <x v="4"/>
    <x v="30"/>
    <x v="1"/>
    <x v="2"/>
    <x v="16"/>
    <x v="129"/>
    <x v="803"/>
    <x v="29"/>
    <x v="29"/>
    <x v="2"/>
  </r>
  <r>
    <x v="3"/>
    <x v="0"/>
    <x v="402"/>
    <x v="4"/>
    <x v="30"/>
    <x v="1"/>
    <x v="1"/>
    <x v="20"/>
    <x v="104"/>
    <x v="777"/>
    <x v="32"/>
    <x v="32"/>
    <x v="2"/>
  </r>
  <r>
    <x v="3"/>
    <x v="0"/>
    <x v="402"/>
    <x v="4"/>
    <x v="30"/>
    <x v="1"/>
    <x v="5"/>
    <x v="21"/>
    <x v="101"/>
    <x v="780"/>
    <x v="27"/>
    <x v="27"/>
    <x v="2"/>
  </r>
  <r>
    <x v="3"/>
    <x v="0"/>
    <x v="402"/>
    <x v="3"/>
    <x v="9"/>
    <x v="3"/>
    <x v="4"/>
    <x v="23"/>
    <x v="66"/>
    <x v="499"/>
    <x v="30"/>
    <x v="30"/>
    <x v="2"/>
  </r>
  <r>
    <x v="3"/>
    <x v="0"/>
    <x v="402"/>
    <x v="3"/>
    <x v="9"/>
    <x v="3"/>
    <x v="0"/>
    <x v="27"/>
    <x v="49"/>
    <x v="402"/>
    <x v="25"/>
    <x v="25"/>
    <x v="2"/>
  </r>
  <r>
    <x v="3"/>
    <x v="0"/>
    <x v="402"/>
    <x v="3"/>
    <x v="9"/>
    <x v="3"/>
    <x v="3"/>
    <x v="21"/>
    <x v="111"/>
    <x v="869"/>
    <x v="15"/>
    <x v="15"/>
    <x v="2"/>
  </r>
  <r>
    <x v="3"/>
    <x v="0"/>
    <x v="429"/>
    <x v="3"/>
    <x v="9"/>
    <x v="3"/>
    <x v="2"/>
    <x v="23"/>
    <x v="141"/>
    <x v="1181"/>
    <x v="29"/>
    <x v="29"/>
    <x v="2"/>
  </r>
  <r>
    <x v="3"/>
    <x v="0"/>
    <x v="429"/>
    <x v="3"/>
    <x v="9"/>
    <x v="3"/>
    <x v="1"/>
    <x v="30"/>
    <x v="94"/>
    <x v="1000"/>
    <x v="30"/>
    <x v="30"/>
    <x v="2"/>
  </r>
  <r>
    <x v="3"/>
    <x v="0"/>
    <x v="429"/>
    <x v="3"/>
    <x v="9"/>
    <x v="3"/>
    <x v="5"/>
    <x v="32"/>
    <x v="104"/>
    <x v="1163"/>
    <x v="24"/>
    <x v="24"/>
    <x v="2"/>
  </r>
  <r>
    <x v="3"/>
    <x v="0"/>
    <x v="429"/>
    <x v="3"/>
    <x v="9"/>
    <x v="3"/>
    <x v="4"/>
    <x v="31"/>
    <x v="64"/>
    <x v="661"/>
    <x v="31"/>
    <x v="31"/>
    <x v="2"/>
  </r>
  <r>
    <x v="3"/>
    <x v="0"/>
    <x v="429"/>
    <x v="3"/>
    <x v="9"/>
    <x v="3"/>
    <x v="0"/>
    <x v="34"/>
    <x v="34"/>
    <x v="342"/>
    <x v="27"/>
    <x v="27"/>
    <x v="2"/>
  </r>
  <r>
    <x v="3"/>
    <x v="0"/>
    <x v="429"/>
    <x v="3"/>
    <x v="9"/>
    <x v="3"/>
    <x v="3"/>
    <x v="33"/>
    <x v="93"/>
    <x v="1081"/>
    <x v="15"/>
    <x v="15"/>
    <x v="2"/>
  </r>
  <r>
    <x v="3"/>
    <x v="0"/>
    <x v="461"/>
    <x v="3"/>
    <x v="9"/>
    <x v="3"/>
    <x v="2"/>
    <x v="30"/>
    <x v="156"/>
    <x v="1593"/>
    <x v="29"/>
    <x v="29"/>
    <x v="2"/>
  </r>
  <r>
    <x v="3"/>
    <x v="0"/>
    <x v="461"/>
    <x v="3"/>
    <x v="9"/>
    <x v="3"/>
    <x v="1"/>
    <x v="33"/>
    <x v="92"/>
    <x v="1067"/>
    <x v="28"/>
    <x v="28"/>
    <x v="2"/>
  </r>
  <r>
    <x v="3"/>
    <x v="0"/>
    <x v="461"/>
    <x v="3"/>
    <x v="9"/>
    <x v="3"/>
    <x v="5"/>
    <x v="29"/>
    <x v="94"/>
    <x v="973"/>
    <x v="23"/>
    <x v="23"/>
    <x v="2"/>
  </r>
  <r>
    <x v="3"/>
    <x v="0"/>
    <x v="461"/>
    <x v="3"/>
    <x v="9"/>
    <x v="3"/>
    <x v="4"/>
    <x v="33"/>
    <x v="79"/>
    <x v="907"/>
    <x v="31"/>
    <x v="31"/>
    <x v="2"/>
  </r>
  <r>
    <x v="3"/>
    <x v="0"/>
    <x v="461"/>
    <x v="3"/>
    <x v="9"/>
    <x v="3"/>
    <x v="0"/>
    <x v="31"/>
    <x v="45"/>
    <x v="430"/>
    <x v="28"/>
    <x v="28"/>
    <x v="2"/>
  </r>
  <r>
    <x v="3"/>
    <x v="0"/>
    <x v="461"/>
    <x v="3"/>
    <x v="9"/>
    <x v="3"/>
    <x v="3"/>
    <x v="49"/>
    <x v="93"/>
    <x v="1509"/>
    <x v="14"/>
    <x v="14"/>
    <x v="2"/>
  </r>
  <r>
    <x v="3"/>
    <x v="0"/>
    <x v="492"/>
    <x v="3"/>
    <x v="9"/>
    <x v="3"/>
    <x v="2"/>
    <x v="30"/>
    <x v="163"/>
    <x v="1658"/>
    <x v="32"/>
    <x v="32"/>
    <x v="2"/>
  </r>
  <r>
    <x v="3"/>
    <x v="0"/>
    <x v="492"/>
    <x v="3"/>
    <x v="9"/>
    <x v="3"/>
    <x v="1"/>
    <x v="29"/>
    <x v="116"/>
    <x v="1182"/>
    <x v="31"/>
    <x v="31"/>
    <x v="2"/>
  </r>
  <r>
    <x v="3"/>
    <x v="0"/>
    <x v="492"/>
    <x v="3"/>
    <x v="9"/>
    <x v="3"/>
    <x v="5"/>
    <x v="33"/>
    <x v="125"/>
    <x v="1394"/>
    <x v="25"/>
    <x v="25"/>
    <x v="2"/>
  </r>
  <r>
    <x v="3"/>
    <x v="0"/>
    <x v="492"/>
    <x v="3"/>
    <x v="9"/>
    <x v="3"/>
    <x v="4"/>
    <x v="27"/>
    <x v="95"/>
    <x v="920"/>
    <x v="29"/>
    <x v="29"/>
    <x v="2"/>
  </r>
  <r>
    <x v="3"/>
    <x v="0"/>
    <x v="492"/>
    <x v="3"/>
    <x v="9"/>
    <x v="3"/>
    <x v="0"/>
    <x v="32"/>
    <x v="61"/>
    <x v="637"/>
    <x v="28"/>
    <x v="28"/>
    <x v="2"/>
  </r>
  <r>
    <x v="3"/>
    <x v="0"/>
    <x v="492"/>
    <x v="3"/>
    <x v="9"/>
    <x v="3"/>
    <x v="3"/>
    <x v="46"/>
    <x v="104"/>
    <x v="1581"/>
    <x v="17"/>
    <x v="17"/>
    <x v="2"/>
  </r>
  <r>
    <x v="3"/>
    <x v="0"/>
    <x v="522"/>
    <x v="3"/>
    <x v="9"/>
    <x v="3"/>
    <x v="2"/>
    <x v="28"/>
    <x v="177"/>
    <x v="1698"/>
    <x v="29"/>
    <x v="29"/>
    <x v="2"/>
  </r>
  <r>
    <x v="3"/>
    <x v="0"/>
    <x v="522"/>
    <x v="3"/>
    <x v="9"/>
    <x v="3"/>
    <x v="1"/>
    <x v="34"/>
    <x v="141"/>
    <x v="1608"/>
    <x v="30"/>
    <x v="30"/>
    <x v="2"/>
  </r>
  <r>
    <x v="3"/>
    <x v="0"/>
    <x v="522"/>
    <x v="3"/>
    <x v="9"/>
    <x v="3"/>
    <x v="5"/>
    <x v="32"/>
    <x v="137"/>
    <x v="1481"/>
    <x v="24"/>
    <x v="24"/>
    <x v="2"/>
  </r>
  <r>
    <x v="3"/>
    <x v="0"/>
    <x v="522"/>
    <x v="3"/>
    <x v="9"/>
    <x v="3"/>
    <x v="4"/>
    <x v="26"/>
    <x v="112"/>
    <x v="1046"/>
    <x v="29"/>
    <x v="29"/>
    <x v="2"/>
  </r>
  <r>
    <x v="3"/>
    <x v="0"/>
    <x v="522"/>
    <x v="3"/>
    <x v="9"/>
    <x v="3"/>
    <x v="0"/>
    <x v="35"/>
    <x v="77"/>
    <x v="941"/>
    <x v="25"/>
    <x v="25"/>
    <x v="2"/>
  </r>
  <r>
    <x v="3"/>
    <x v="0"/>
    <x v="522"/>
    <x v="3"/>
    <x v="9"/>
    <x v="3"/>
    <x v="3"/>
    <x v="46"/>
    <x v="166"/>
    <x v="2219"/>
    <x v="18"/>
    <x v="18"/>
    <x v="2"/>
  </r>
  <r>
    <x v="3"/>
    <x v="0"/>
    <x v="551"/>
    <x v="3"/>
    <x v="9"/>
    <x v="3"/>
    <x v="2"/>
    <x v="30"/>
    <x v="188"/>
    <x v="1898"/>
    <x v="32"/>
    <x v="32"/>
    <x v="2"/>
  </r>
  <r>
    <x v="3"/>
    <x v="0"/>
    <x v="551"/>
    <x v="3"/>
    <x v="9"/>
    <x v="3"/>
    <x v="1"/>
    <x v="30"/>
    <x v="150"/>
    <x v="1542"/>
    <x v="32"/>
    <x v="32"/>
    <x v="2"/>
  </r>
  <r>
    <x v="3"/>
    <x v="0"/>
    <x v="551"/>
    <x v="3"/>
    <x v="9"/>
    <x v="3"/>
    <x v="5"/>
    <x v="34"/>
    <x v="160"/>
    <x v="1788"/>
    <x v="27"/>
    <x v="27"/>
    <x v="2"/>
  </r>
  <r>
    <x v="3"/>
    <x v="0"/>
    <x v="551"/>
    <x v="3"/>
    <x v="9"/>
    <x v="3"/>
    <x v="4"/>
    <x v="32"/>
    <x v="108"/>
    <x v="1205"/>
    <x v="31"/>
    <x v="31"/>
    <x v="2"/>
  </r>
  <r>
    <x v="3"/>
    <x v="0"/>
    <x v="551"/>
    <x v="3"/>
    <x v="9"/>
    <x v="3"/>
    <x v="0"/>
    <x v="32"/>
    <x v="140"/>
    <x v="1520"/>
    <x v="24"/>
    <x v="24"/>
    <x v="2"/>
  </r>
  <r>
    <x v="3"/>
    <x v="0"/>
    <x v="551"/>
    <x v="3"/>
    <x v="9"/>
    <x v="3"/>
    <x v="3"/>
    <x v="44"/>
    <x v="136"/>
    <x v="1885"/>
    <x v="15"/>
    <x v="15"/>
    <x v="2"/>
  </r>
  <r>
    <x v="3"/>
    <x v="0"/>
    <x v="583"/>
    <x v="3"/>
    <x v="9"/>
    <x v="3"/>
    <x v="2"/>
    <x v="32"/>
    <x v="182"/>
    <x v="1912"/>
    <x v="32"/>
    <x v="32"/>
    <x v="2"/>
  </r>
  <r>
    <x v="3"/>
    <x v="0"/>
    <x v="583"/>
    <x v="3"/>
    <x v="9"/>
    <x v="3"/>
    <x v="1"/>
    <x v="37"/>
    <x v="174"/>
    <x v="2031"/>
    <x v="28"/>
    <x v="28"/>
    <x v="2"/>
  </r>
  <r>
    <x v="3"/>
    <x v="0"/>
    <x v="583"/>
    <x v="3"/>
    <x v="9"/>
    <x v="3"/>
    <x v="5"/>
    <x v="35"/>
    <x v="129"/>
    <x v="1516"/>
    <x v="28"/>
    <x v="28"/>
    <x v="2"/>
  </r>
  <r>
    <x v="3"/>
    <x v="0"/>
    <x v="583"/>
    <x v="3"/>
    <x v="9"/>
    <x v="3"/>
    <x v="4"/>
    <x v="35"/>
    <x v="128"/>
    <x v="1505"/>
    <x v="31"/>
    <x v="31"/>
    <x v="2"/>
  </r>
  <r>
    <x v="3"/>
    <x v="0"/>
    <x v="583"/>
    <x v="3"/>
    <x v="9"/>
    <x v="3"/>
    <x v="0"/>
    <x v="44"/>
    <x v="120"/>
    <x v="1703"/>
    <x v="25"/>
    <x v="25"/>
    <x v="2"/>
  </r>
  <r>
    <x v="3"/>
    <x v="0"/>
    <x v="583"/>
    <x v="3"/>
    <x v="9"/>
    <x v="3"/>
    <x v="3"/>
    <x v="43"/>
    <x v="108"/>
    <x v="1541"/>
    <x v="15"/>
    <x v="15"/>
    <x v="2"/>
  </r>
  <r>
    <x v="3"/>
    <x v="0"/>
    <x v="615"/>
    <x v="3"/>
    <x v="9"/>
    <x v="3"/>
    <x v="2"/>
    <x v="24"/>
    <x v="178"/>
    <x v="1522"/>
    <x v="32"/>
    <x v="32"/>
    <x v="2"/>
  </r>
  <r>
    <x v="3"/>
    <x v="0"/>
    <x v="615"/>
    <x v="3"/>
    <x v="9"/>
    <x v="3"/>
    <x v="1"/>
    <x v="31"/>
    <x v="173"/>
    <x v="1784"/>
    <x v="30"/>
    <x v="30"/>
    <x v="2"/>
  </r>
  <r>
    <x v="3"/>
    <x v="0"/>
    <x v="615"/>
    <x v="3"/>
    <x v="9"/>
    <x v="3"/>
    <x v="5"/>
    <x v="25"/>
    <x v="115"/>
    <x v="1034"/>
    <x v="23"/>
    <x v="23"/>
    <x v="2"/>
  </r>
  <r>
    <x v="3"/>
    <x v="0"/>
    <x v="615"/>
    <x v="3"/>
    <x v="9"/>
    <x v="3"/>
    <x v="4"/>
    <x v="28"/>
    <x v="101"/>
    <x v="1005"/>
    <x v="32"/>
    <x v="32"/>
    <x v="2"/>
  </r>
  <r>
    <x v="3"/>
    <x v="0"/>
    <x v="615"/>
    <x v="3"/>
    <x v="9"/>
    <x v="3"/>
    <x v="0"/>
    <x v="29"/>
    <x v="112"/>
    <x v="1146"/>
    <x v="23"/>
    <x v="23"/>
    <x v="2"/>
  </r>
  <r>
    <x v="3"/>
    <x v="0"/>
    <x v="615"/>
    <x v="3"/>
    <x v="9"/>
    <x v="3"/>
    <x v="3"/>
    <x v="39"/>
    <x v="115"/>
    <x v="1491"/>
    <x v="16"/>
    <x v="16"/>
    <x v="2"/>
  </r>
  <r>
    <x v="3"/>
    <x v="0"/>
    <x v="644"/>
    <x v="3"/>
    <x v="9"/>
    <x v="3"/>
    <x v="2"/>
    <x v="27"/>
    <x v="150"/>
    <x v="1413"/>
    <x v="32"/>
    <x v="32"/>
    <x v="2"/>
  </r>
  <r>
    <x v="3"/>
    <x v="0"/>
    <x v="644"/>
    <x v="3"/>
    <x v="9"/>
    <x v="3"/>
    <x v="1"/>
    <x v="27"/>
    <x v="150"/>
    <x v="1413"/>
    <x v="28"/>
    <x v="28"/>
    <x v="2"/>
  </r>
  <r>
    <x v="3"/>
    <x v="0"/>
    <x v="644"/>
    <x v="3"/>
    <x v="9"/>
    <x v="3"/>
    <x v="5"/>
    <x v="25"/>
    <x v="103"/>
    <x v="939"/>
    <x v="24"/>
    <x v="24"/>
    <x v="2"/>
  </r>
  <r>
    <x v="3"/>
    <x v="0"/>
    <x v="644"/>
    <x v="3"/>
    <x v="9"/>
    <x v="3"/>
    <x v="4"/>
    <x v="25"/>
    <x v="95"/>
    <x v="861"/>
    <x v="30"/>
    <x v="30"/>
    <x v="2"/>
  </r>
  <r>
    <x v="3"/>
    <x v="0"/>
    <x v="644"/>
    <x v="3"/>
    <x v="9"/>
    <x v="3"/>
    <x v="0"/>
    <x v="34"/>
    <x v="84"/>
    <x v="1001"/>
    <x v="26"/>
    <x v="26"/>
    <x v="2"/>
  </r>
  <r>
    <x v="3"/>
    <x v="0"/>
    <x v="644"/>
    <x v="3"/>
    <x v="9"/>
    <x v="3"/>
    <x v="3"/>
    <x v="39"/>
    <x v="91"/>
    <x v="1212"/>
    <x v="17"/>
    <x v="17"/>
    <x v="2"/>
  </r>
  <r>
    <x v="3"/>
    <x v="0"/>
    <x v="675"/>
    <x v="3"/>
    <x v="9"/>
    <x v="3"/>
    <x v="2"/>
    <x v="29"/>
    <x v="150"/>
    <x v="1495"/>
    <x v="28"/>
    <x v="28"/>
    <x v="2"/>
  </r>
  <r>
    <x v="3"/>
    <x v="0"/>
    <x v="675"/>
    <x v="3"/>
    <x v="9"/>
    <x v="3"/>
    <x v="1"/>
    <x v="33"/>
    <x v="160"/>
    <x v="1749"/>
    <x v="30"/>
    <x v="30"/>
    <x v="2"/>
  </r>
  <r>
    <x v="3"/>
    <x v="0"/>
    <x v="675"/>
    <x v="3"/>
    <x v="9"/>
    <x v="3"/>
    <x v="5"/>
    <x v="32"/>
    <x v="125"/>
    <x v="1363"/>
    <x v="26"/>
    <x v="26"/>
    <x v="2"/>
  </r>
  <r>
    <x v="3"/>
    <x v="0"/>
    <x v="675"/>
    <x v="3"/>
    <x v="9"/>
    <x v="3"/>
    <x v="4"/>
    <x v="30"/>
    <x v="120"/>
    <x v="1248"/>
    <x v="32"/>
    <x v="32"/>
    <x v="2"/>
  </r>
  <r>
    <x v="3"/>
    <x v="0"/>
    <x v="675"/>
    <x v="3"/>
    <x v="9"/>
    <x v="3"/>
    <x v="0"/>
    <x v="40"/>
    <x v="100"/>
    <x v="1347"/>
    <x v="24"/>
    <x v="24"/>
    <x v="2"/>
  </r>
  <r>
    <x v="3"/>
    <x v="0"/>
    <x v="675"/>
    <x v="3"/>
    <x v="9"/>
    <x v="3"/>
    <x v="3"/>
    <x v="39"/>
    <x v="136"/>
    <x v="1720"/>
    <x v="15"/>
    <x v="15"/>
    <x v="2"/>
  </r>
  <r>
    <x v="3"/>
    <x v="0"/>
    <x v="704"/>
    <x v="3"/>
    <x v="9"/>
    <x v="3"/>
    <x v="2"/>
    <x v="35"/>
    <x v="182"/>
    <x v="2026"/>
    <x v="33"/>
    <x v="33"/>
    <x v="2"/>
  </r>
  <r>
    <x v="3"/>
    <x v="0"/>
    <x v="704"/>
    <x v="3"/>
    <x v="9"/>
    <x v="3"/>
    <x v="1"/>
    <x v="32"/>
    <x v="192"/>
    <x v="2010"/>
    <x v="33"/>
    <x v="33"/>
    <x v="2"/>
  </r>
  <r>
    <x v="1"/>
    <x v="0"/>
    <x v="704"/>
    <x v="3"/>
    <x v="9"/>
    <x v="3"/>
    <x v="5"/>
    <x v="29"/>
    <x v="127"/>
    <x v="1274"/>
    <x v="28"/>
    <x v="28"/>
    <x v="2"/>
  </r>
  <r>
    <x v="1"/>
    <x v="0"/>
    <x v="704"/>
    <x v="3"/>
    <x v="9"/>
    <x v="3"/>
    <x v="4"/>
    <x v="33"/>
    <x v="123"/>
    <x v="1376"/>
    <x v="29"/>
    <x v="29"/>
    <x v="2"/>
  </r>
  <r>
    <x v="1"/>
    <x v="0"/>
    <x v="704"/>
    <x v="3"/>
    <x v="9"/>
    <x v="3"/>
    <x v="0"/>
    <x v="37"/>
    <x v="101"/>
    <x v="1272"/>
    <x v="24"/>
    <x v="24"/>
    <x v="2"/>
  </r>
  <r>
    <x v="1"/>
    <x v="0"/>
    <x v="704"/>
    <x v="3"/>
    <x v="9"/>
    <x v="3"/>
    <x v="3"/>
    <x v="40"/>
    <x v="138"/>
    <x v="1783"/>
    <x v="16"/>
    <x v="16"/>
    <x v="2"/>
  </r>
  <r>
    <x v="1"/>
    <x v="1"/>
    <x v="367"/>
    <x v="3"/>
    <x v="9"/>
    <x v="3"/>
    <x v="2"/>
    <x v="19"/>
    <x v="284"/>
    <x v="2074"/>
    <x v="33"/>
    <x v="33"/>
    <x v="2"/>
  </r>
  <r>
    <x v="1"/>
    <x v="1"/>
    <x v="367"/>
    <x v="3"/>
    <x v="9"/>
    <x v="3"/>
    <x v="1"/>
    <x v="23"/>
    <x v="216"/>
    <x v="1815"/>
    <x v="26"/>
    <x v="26"/>
    <x v="2"/>
  </r>
  <r>
    <x v="1"/>
    <x v="1"/>
    <x v="367"/>
    <x v="3"/>
    <x v="9"/>
    <x v="3"/>
    <x v="5"/>
    <x v="17"/>
    <x v="223"/>
    <x v="1525"/>
    <x v="18"/>
    <x v="18"/>
    <x v="2"/>
  </r>
  <r>
    <x v="1"/>
    <x v="1"/>
    <x v="367"/>
    <x v="3"/>
    <x v="9"/>
    <x v="3"/>
    <x v="4"/>
    <x v="18"/>
    <x v="182"/>
    <x v="1262"/>
    <x v="21"/>
    <x v="21"/>
    <x v="2"/>
  </r>
  <r>
    <x v="1"/>
    <x v="1"/>
    <x v="367"/>
    <x v="3"/>
    <x v="9"/>
    <x v="3"/>
    <x v="0"/>
    <x v="28"/>
    <x v="210"/>
    <x v="2001"/>
    <x v="25"/>
    <x v="25"/>
    <x v="2"/>
  </r>
  <r>
    <x v="1"/>
    <x v="1"/>
    <x v="367"/>
    <x v="3"/>
    <x v="9"/>
    <x v="3"/>
    <x v="3"/>
    <x v="23"/>
    <x v="237"/>
    <x v="1965"/>
    <x v="39"/>
    <x v="39"/>
    <x v="2"/>
  </r>
  <r>
    <x v="1"/>
    <x v="1"/>
    <x v="396"/>
    <x v="3"/>
    <x v="9"/>
    <x v="3"/>
    <x v="2"/>
    <x v="24"/>
    <x v="295"/>
    <x v="2431"/>
    <x v="34"/>
    <x v="34"/>
    <x v="2"/>
  </r>
  <r>
    <x v="1"/>
    <x v="1"/>
    <x v="396"/>
    <x v="3"/>
    <x v="9"/>
    <x v="3"/>
    <x v="1"/>
    <x v="20"/>
    <x v="210"/>
    <x v="1603"/>
    <x v="24"/>
    <x v="24"/>
    <x v="2"/>
  </r>
  <r>
    <x v="1"/>
    <x v="1"/>
    <x v="396"/>
    <x v="3"/>
    <x v="9"/>
    <x v="3"/>
    <x v="5"/>
    <x v="14"/>
    <x v="211"/>
    <x v="1258"/>
    <x v="16"/>
    <x v="16"/>
    <x v="2"/>
  </r>
  <r>
    <x v="1"/>
    <x v="1"/>
    <x v="407"/>
    <x v="2"/>
    <x v="23"/>
    <x v="24"/>
    <x v="4"/>
    <x v="12"/>
    <x v="80"/>
    <x v="348"/>
    <x v="32"/>
    <x v="32"/>
    <x v="2"/>
  </r>
  <r>
    <x v="1"/>
    <x v="1"/>
    <x v="407"/>
    <x v="2"/>
    <x v="23"/>
    <x v="24"/>
    <x v="0"/>
    <x v="19"/>
    <x v="116"/>
    <x v="829"/>
    <x v="25"/>
    <x v="25"/>
    <x v="2"/>
  </r>
  <r>
    <x v="1"/>
    <x v="1"/>
    <x v="407"/>
    <x v="2"/>
    <x v="23"/>
    <x v="24"/>
    <x v="3"/>
    <x v="13"/>
    <x v="138"/>
    <x v="735"/>
    <x v="43"/>
    <x v="43"/>
    <x v="2"/>
  </r>
  <r>
    <x v="1"/>
    <x v="1"/>
    <x v="433"/>
    <x v="2"/>
    <x v="23"/>
    <x v="24"/>
    <x v="2"/>
    <x v="13"/>
    <x v="192"/>
    <x v="1075"/>
    <x v="32"/>
    <x v="32"/>
    <x v="2"/>
  </r>
  <r>
    <x v="1"/>
    <x v="1"/>
    <x v="433"/>
    <x v="2"/>
    <x v="23"/>
    <x v="24"/>
    <x v="1"/>
    <x v="13"/>
    <x v="108"/>
    <x v="545"/>
    <x v="25"/>
    <x v="25"/>
    <x v="2"/>
  </r>
  <r>
    <x v="1"/>
    <x v="1"/>
    <x v="433"/>
    <x v="2"/>
    <x v="23"/>
    <x v="24"/>
    <x v="5"/>
    <x v="4"/>
    <x v="116"/>
    <x v="248"/>
    <x v="33"/>
    <x v="33"/>
    <x v="2"/>
  </r>
  <r>
    <x v="1"/>
    <x v="1"/>
    <x v="433"/>
    <x v="2"/>
    <x v="23"/>
    <x v="24"/>
    <x v="4"/>
    <x v="8"/>
    <x v="70"/>
    <x v="181"/>
    <x v="31"/>
    <x v="31"/>
    <x v="2"/>
  </r>
  <r>
    <x v="1"/>
    <x v="1"/>
    <x v="433"/>
    <x v="2"/>
    <x v="23"/>
    <x v="24"/>
    <x v="0"/>
    <x v="18"/>
    <x v="86"/>
    <x v="558"/>
    <x v="23"/>
    <x v="23"/>
    <x v="2"/>
  </r>
  <r>
    <x v="1"/>
    <x v="1"/>
    <x v="433"/>
    <x v="2"/>
    <x v="23"/>
    <x v="24"/>
    <x v="3"/>
    <x v="10"/>
    <x v="116"/>
    <x v="476"/>
    <x v="40"/>
    <x v="40"/>
    <x v="2"/>
  </r>
  <r>
    <x v="1"/>
    <x v="1"/>
    <x v="465"/>
    <x v="2"/>
    <x v="23"/>
    <x v="24"/>
    <x v="2"/>
    <x v="12"/>
    <x v="192"/>
    <x v="1014"/>
    <x v="30"/>
    <x v="30"/>
    <x v="2"/>
  </r>
  <r>
    <x v="1"/>
    <x v="1"/>
    <x v="465"/>
    <x v="2"/>
    <x v="23"/>
    <x v="24"/>
    <x v="1"/>
    <x v="13"/>
    <x v="97"/>
    <x v="478"/>
    <x v="26"/>
    <x v="26"/>
    <x v="2"/>
  </r>
  <r>
    <x v="1"/>
    <x v="1"/>
    <x v="465"/>
    <x v="2"/>
    <x v="23"/>
    <x v="24"/>
    <x v="5"/>
    <x v="4"/>
    <x v="104"/>
    <x v="201"/>
    <x v="31"/>
    <x v="31"/>
    <x v="2"/>
  </r>
  <r>
    <x v="1"/>
    <x v="1"/>
    <x v="465"/>
    <x v="2"/>
    <x v="23"/>
    <x v="24"/>
    <x v="4"/>
    <x v="9"/>
    <x v="79"/>
    <x v="259"/>
    <x v="29"/>
    <x v="29"/>
    <x v="2"/>
  </r>
  <r>
    <x v="1"/>
    <x v="1"/>
    <x v="465"/>
    <x v="2"/>
    <x v="23"/>
    <x v="24"/>
    <x v="0"/>
    <x v="23"/>
    <x v="80"/>
    <x v="655"/>
    <x v="26"/>
    <x v="26"/>
    <x v="2"/>
  </r>
  <r>
    <x v="1"/>
    <x v="1"/>
    <x v="465"/>
    <x v="2"/>
    <x v="23"/>
    <x v="24"/>
    <x v="3"/>
    <x v="15"/>
    <x v="127"/>
    <x v="745"/>
    <x v="39"/>
    <x v="39"/>
    <x v="2"/>
  </r>
  <r>
    <x v="1"/>
    <x v="1"/>
    <x v="494"/>
    <x v="2"/>
    <x v="23"/>
    <x v="24"/>
    <x v="2"/>
    <x v="20"/>
    <x v="202"/>
    <x v="1549"/>
    <x v="28"/>
    <x v="28"/>
    <x v="2"/>
  </r>
  <r>
    <x v="1"/>
    <x v="1"/>
    <x v="494"/>
    <x v="2"/>
    <x v="23"/>
    <x v="24"/>
    <x v="1"/>
    <x v="21"/>
    <x v="120"/>
    <x v="934"/>
    <x v="27"/>
    <x v="27"/>
    <x v="2"/>
  </r>
  <r>
    <x v="1"/>
    <x v="1"/>
    <x v="494"/>
    <x v="2"/>
    <x v="23"/>
    <x v="24"/>
    <x v="5"/>
    <x v="19"/>
    <x v="116"/>
    <x v="829"/>
    <x v="29"/>
    <x v="29"/>
    <x v="2"/>
  </r>
  <r>
    <x v="1"/>
    <x v="1"/>
    <x v="494"/>
    <x v="2"/>
    <x v="23"/>
    <x v="24"/>
    <x v="4"/>
    <x v="17"/>
    <x v="97"/>
    <x v="614"/>
    <x v="32"/>
    <x v="32"/>
    <x v="2"/>
  </r>
  <r>
    <x v="1"/>
    <x v="1"/>
    <x v="494"/>
    <x v="2"/>
    <x v="23"/>
    <x v="24"/>
    <x v="0"/>
    <x v="27"/>
    <x v="112"/>
    <x v="1084"/>
    <x v="26"/>
    <x v="26"/>
    <x v="2"/>
  </r>
  <r>
    <x v="1"/>
    <x v="1"/>
    <x v="494"/>
    <x v="2"/>
    <x v="23"/>
    <x v="24"/>
    <x v="3"/>
    <x v="28"/>
    <x v="129"/>
    <x v="1267"/>
    <x v="42"/>
    <x v="42"/>
    <x v="2"/>
  </r>
  <r>
    <x v="1"/>
    <x v="1"/>
    <x v="527"/>
    <x v="2"/>
    <x v="23"/>
    <x v="24"/>
    <x v="2"/>
    <x v="24"/>
    <x v="222"/>
    <x v="1913"/>
    <x v="30"/>
    <x v="30"/>
    <x v="2"/>
  </r>
  <r>
    <x v="1"/>
    <x v="1"/>
    <x v="527"/>
    <x v="2"/>
    <x v="23"/>
    <x v="24"/>
    <x v="1"/>
    <x v="22"/>
    <x v="129"/>
    <x v="1044"/>
    <x v="25"/>
    <x v="25"/>
    <x v="2"/>
  </r>
  <r>
    <x v="1"/>
    <x v="1"/>
    <x v="527"/>
    <x v="2"/>
    <x v="23"/>
    <x v="24"/>
    <x v="5"/>
    <x v="26"/>
    <x v="136"/>
    <x v="1249"/>
    <x v="32"/>
    <x v="32"/>
    <x v="2"/>
  </r>
  <r>
    <x v="1"/>
    <x v="1"/>
    <x v="527"/>
    <x v="2"/>
    <x v="23"/>
    <x v="24"/>
    <x v="4"/>
    <x v="27"/>
    <x v="128"/>
    <x v="1222"/>
    <x v="29"/>
    <x v="29"/>
    <x v="2"/>
  </r>
  <r>
    <x v="1"/>
    <x v="1"/>
    <x v="527"/>
    <x v="2"/>
    <x v="23"/>
    <x v="24"/>
    <x v="0"/>
    <x v="40"/>
    <x v="115"/>
    <x v="1527"/>
    <x v="24"/>
    <x v="24"/>
    <x v="2"/>
  </r>
  <r>
    <x v="1"/>
    <x v="1"/>
    <x v="527"/>
    <x v="2"/>
    <x v="23"/>
    <x v="24"/>
    <x v="3"/>
    <x v="44"/>
    <x v="189"/>
    <x v="2374"/>
    <x v="39"/>
    <x v="39"/>
    <x v="2"/>
  </r>
  <r>
    <x v="1"/>
    <x v="1"/>
    <x v="555"/>
    <x v="2"/>
    <x v="23"/>
    <x v="24"/>
    <x v="2"/>
    <x v="40"/>
    <x v="245"/>
    <x v="2600"/>
    <x v="32"/>
    <x v="32"/>
    <x v="2"/>
  </r>
  <r>
    <x v="4"/>
    <x v="1"/>
    <x v="555"/>
    <x v="2"/>
    <x v="23"/>
    <x v="24"/>
    <x v="1"/>
    <x v="35"/>
    <x v="168"/>
    <x v="1897"/>
    <x v="24"/>
    <x v="24"/>
    <x v="2"/>
  </r>
  <r>
    <x v="4"/>
    <x v="1"/>
    <x v="555"/>
    <x v="2"/>
    <x v="23"/>
    <x v="24"/>
    <x v="5"/>
    <x v="30"/>
    <x v="146"/>
    <x v="1493"/>
    <x v="28"/>
    <x v="28"/>
    <x v="2"/>
  </r>
  <r>
    <x v="4"/>
    <x v="1"/>
    <x v="555"/>
    <x v="2"/>
    <x v="23"/>
    <x v="24"/>
    <x v="4"/>
    <x v="26"/>
    <x v="123"/>
    <x v="1140"/>
    <x v="29"/>
    <x v="29"/>
    <x v="2"/>
  </r>
  <r>
    <x v="4"/>
    <x v="1"/>
    <x v="555"/>
    <x v="2"/>
    <x v="23"/>
    <x v="24"/>
    <x v="0"/>
    <x v="39"/>
    <x v="129"/>
    <x v="1652"/>
    <x v="23"/>
    <x v="23"/>
    <x v="2"/>
  </r>
  <r>
    <x v="4"/>
    <x v="1"/>
    <x v="555"/>
    <x v="2"/>
    <x v="23"/>
    <x v="24"/>
    <x v="3"/>
    <x v="42"/>
    <x v="182"/>
    <x v="2245"/>
    <x v="39"/>
    <x v="39"/>
    <x v="2"/>
  </r>
  <r>
    <x v="4"/>
    <x v="1"/>
    <x v="587"/>
    <x v="2"/>
    <x v="23"/>
    <x v="24"/>
    <x v="2"/>
    <x v="34"/>
    <x v="216"/>
    <x v="2281"/>
    <x v="31"/>
    <x v="31"/>
    <x v="2"/>
  </r>
  <r>
    <x v="4"/>
    <x v="1"/>
    <x v="587"/>
    <x v="2"/>
    <x v="23"/>
    <x v="24"/>
    <x v="1"/>
    <x v="37"/>
    <x v="173"/>
    <x v="2014"/>
    <x v="27"/>
    <x v="27"/>
    <x v="2"/>
  </r>
  <r>
    <x v="4"/>
    <x v="1"/>
    <x v="587"/>
    <x v="2"/>
    <x v="23"/>
    <x v="24"/>
    <x v="5"/>
    <x v="30"/>
    <x v="156"/>
    <x v="1593"/>
    <x v="30"/>
    <x v="30"/>
    <x v="2"/>
  </r>
  <r>
    <x v="4"/>
    <x v="1"/>
    <x v="587"/>
    <x v="2"/>
    <x v="23"/>
    <x v="24"/>
    <x v="4"/>
    <x v="25"/>
    <x v="127"/>
    <x v="1136"/>
    <x v="28"/>
    <x v="28"/>
    <x v="2"/>
  </r>
  <r>
    <x v="4"/>
    <x v="1"/>
    <x v="587"/>
    <x v="2"/>
    <x v="23"/>
    <x v="24"/>
    <x v="0"/>
    <x v="28"/>
    <x v="137"/>
    <x v="1329"/>
    <x v="28"/>
    <x v="28"/>
    <x v="2"/>
  </r>
  <r>
    <x v="4"/>
    <x v="1"/>
    <x v="587"/>
    <x v="2"/>
    <x v="23"/>
    <x v="24"/>
    <x v="3"/>
    <x v="35"/>
    <x v="179"/>
    <x v="2003"/>
    <x v="41"/>
    <x v="41"/>
    <x v="2"/>
  </r>
  <r>
    <x v="4"/>
    <x v="1"/>
    <x v="617"/>
    <x v="2"/>
    <x v="23"/>
    <x v="24"/>
    <x v="2"/>
    <x v="33"/>
    <x v="198"/>
    <x v="2101"/>
    <x v="30"/>
    <x v="30"/>
    <x v="2"/>
  </r>
  <r>
    <x v="4"/>
    <x v="1"/>
    <x v="617"/>
    <x v="2"/>
    <x v="23"/>
    <x v="24"/>
    <x v="1"/>
    <x v="26"/>
    <x v="137"/>
    <x v="1259"/>
    <x v="27"/>
    <x v="27"/>
    <x v="2"/>
  </r>
  <r>
    <x v="4"/>
    <x v="1"/>
    <x v="617"/>
    <x v="2"/>
    <x v="23"/>
    <x v="24"/>
    <x v="5"/>
    <x v="8"/>
    <x v="125"/>
    <x v="440"/>
    <x v="33"/>
    <x v="33"/>
    <x v="2"/>
  </r>
  <r>
    <x v="4"/>
    <x v="1"/>
    <x v="617"/>
    <x v="2"/>
    <x v="23"/>
    <x v="24"/>
    <x v="4"/>
    <x v="9"/>
    <x v="101"/>
    <x v="366"/>
    <x v="31"/>
    <x v="31"/>
    <x v="2"/>
  </r>
  <r>
    <x v="4"/>
    <x v="1"/>
    <x v="617"/>
    <x v="2"/>
    <x v="23"/>
    <x v="24"/>
    <x v="0"/>
    <x v="15"/>
    <x v="112"/>
    <x v="643"/>
    <x v="24"/>
    <x v="24"/>
    <x v="2"/>
  </r>
  <r>
    <x v="4"/>
    <x v="1"/>
    <x v="617"/>
    <x v="2"/>
    <x v="23"/>
    <x v="24"/>
    <x v="3"/>
    <x v="19"/>
    <x v="138"/>
    <x v="993"/>
    <x v="42"/>
    <x v="42"/>
    <x v="2"/>
  </r>
  <r>
    <x v="4"/>
    <x v="1"/>
    <x v="649"/>
    <x v="2"/>
    <x v="23"/>
    <x v="24"/>
    <x v="2"/>
    <x v="17"/>
    <x v="186"/>
    <x v="1250"/>
    <x v="32"/>
    <x v="32"/>
    <x v="2"/>
  </r>
  <r>
    <x v="4"/>
    <x v="1"/>
    <x v="649"/>
    <x v="2"/>
    <x v="23"/>
    <x v="24"/>
    <x v="1"/>
    <x v="10"/>
    <x v="143"/>
    <x v="617"/>
    <x v="23"/>
    <x v="23"/>
    <x v="2"/>
  </r>
  <r>
    <x v="4"/>
    <x v="1"/>
    <x v="649"/>
    <x v="2"/>
    <x v="23"/>
    <x v="24"/>
    <x v="5"/>
    <x v="12"/>
    <x v="101"/>
    <x v="470"/>
    <x v="33"/>
    <x v="33"/>
    <x v="2"/>
  </r>
  <r>
    <x v="4"/>
    <x v="1"/>
    <x v="649"/>
    <x v="2"/>
    <x v="23"/>
    <x v="24"/>
    <x v="4"/>
    <x v="13"/>
    <x v="91"/>
    <x v="442"/>
    <x v="31"/>
    <x v="31"/>
    <x v="2"/>
  </r>
  <r>
    <x v="4"/>
    <x v="1"/>
    <x v="649"/>
    <x v="2"/>
    <x v="23"/>
    <x v="24"/>
    <x v="0"/>
    <x v="18"/>
    <x v="87"/>
    <x v="565"/>
    <x v="28"/>
    <x v="28"/>
    <x v="2"/>
  </r>
  <r>
    <x v="3"/>
    <x v="1"/>
    <x v="649"/>
    <x v="2"/>
    <x v="23"/>
    <x v="24"/>
    <x v="3"/>
    <x v="20"/>
    <x v="140"/>
    <x v="1050"/>
    <x v="40"/>
    <x v="40"/>
    <x v="2"/>
  </r>
  <r>
    <x v="3"/>
    <x v="1"/>
    <x v="679"/>
    <x v="2"/>
    <x v="23"/>
    <x v="24"/>
    <x v="2"/>
    <x v="15"/>
    <x v="179"/>
    <x v="1095"/>
    <x v="30"/>
    <x v="30"/>
    <x v="2"/>
  </r>
  <r>
    <x v="3"/>
    <x v="1"/>
    <x v="679"/>
    <x v="2"/>
    <x v="23"/>
    <x v="24"/>
    <x v="1"/>
    <x v="8"/>
    <x v="132"/>
    <x v="472"/>
    <x v="24"/>
    <x v="24"/>
    <x v="2"/>
  </r>
  <r>
    <x v="3"/>
    <x v="1"/>
    <x v="679"/>
    <x v="2"/>
    <x v="23"/>
    <x v="24"/>
    <x v="5"/>
    <x v="15"/>
    <x v="100"/>
    <x v="561"/>
    <x v="28"/>
    <x v="28"/>
    <x v="2"/>
  </r>
  <r>
    <x v="3"/>
    <x v="1"/>
    <x v="679"/>
    <x v="2"/>
    <x v="23"/>
    <x v="24"/>
    <x v="4"/>
    <x v="36"/>
    <x v="132"/>
    <x v="1585"/>
    <x v="30"/>
    <x v="30"/>
    <x v="2"/>
  </r>
  <r>
    <x v="3"/>
    <x v="1"/>
    <x v="679"/>
    <x v="2"/>
    <x v="23"/>
    <x v="24"/>
    <x v="0"/>
    <x v="52"/>
    <x v="112"/>
    <x v="1840"/>
    <x v="26"/>
    <x v="26"/>
    <x v="2"/>
  </r>
  <r>
    <x v="3"/>
    <x v="1"/>
    <x v="679"/>
    <x v="2"/>
    <x v="23"/>
    <x v="24"/>
    <x v="3"/>
    <x v="44"/>
    <x v="146"/>
    <x v="1989"/>
    <x v="43"/>
    <x v="43"/>
    <x v="2"/>
  </r>
  <r>
    <x v="3"/>
    <x v="1"/>
    <x v="708"/>
    <x v="2"/>
    <x v="23"/>
    <x v="24"/>
    <x v="2"/>
    <x v="41"/>
    <x v="216"/>
    <x v="2496"/>
    <x v="33"/>
    <x v="33"/>
    <x v="2"/>
  </r>
  <r>
    <x v="3"/>
    <x v="1"/>
    <x v="708"/>
    <x v="2"/>
    <x v="23"/>
    <x v="24"/>
    <x v="1"/>
    <x v="37"/>
    <x v="175"/>
    <x v="2040"/>
    <x v="23"/>
    <x v="23"/>
    <x v="2"/>
  </r>
  <r>
    <x v="3"/>
    <x v="1"/>
    <x v="708"/>
    <x v="2"/>
    <x v="23"/>
    <x v="24"/>
    <x v="5"/>
    <x v="36"/>
    <x v="137"/>
    <x v="1629"/>
    <x v="31"/>
    <x v="31"/>
    <x v="2"/>
  </r>
  <r>
    <x v="3"/>
    <x v="1"/>
    <x v="708"/>
    <x v="2"/>
    <x v="23"/>
    <x v="24"/>
    <x v="4"/>
    <x v="34"/>
    <x v="123"/>
    <x v="1407"/>
    <x v="33"/>
    <x v="33"/>
    <x v="2"/>
  </r>
  <r>
    <x v="3"/>
    <x v="1"/>
    <x v="708"/>
    <x v="2"/>
    <x v="23"/>
    <x v="24"/>
    <x v="0"/>
    <x v="47"/>
    <x v="136"/>
    <x v="1972"/>
    <x v="24"/>
    <x v="24"/>
    <x v="2"/>
  </r>
  <r>
    <x v="3"/>
    <x v="1"/>
    <x v="708"/>
    <x v="2"/>
    <x v="23"/>
    <x v="24"/>
    <x v="3"/>
    <x v="46"/>
    <x v="155"/>
    <x v="2122"/>
    <x v="41"/>
    <x v="41"/>
    <x v="2"/>
  </r>
  <r>
    <x v="3"/>
    <x v="3"/>
    <x v="381"/>
    <x v="2"/>
    <x v="23"/>
    <x v="24"/>
    <x v="2"/>
    <x v="10"/>
    <x v="185"/>
    <x v="865"/>
    <x v="30"/>
    <x v="30"/>
    <x v="2"/>
  </r>
  <r>
    <x v="3"/>
    <x v="3"/>
    <x v="381"/>
    <x v="2"/>
    <x v="23"/>
    <x v="24"/>
    <x v="1"/>
    <x v="11"/>
    <x v="115"/>
    <x v="509"/>
    <x v="26"/>
    <x v="26"/>
    <x v="2"/>
  </r>
  <r>
    <x v="3"/>
    <x v="3"/>
    <x v="381"/>
    <x v="2"/>
    <x v="23"/>
    <x v="24"/>
    <x v="5"/>
    <x v="4"/>
    <x v="120"/>
    <x v="262"/>
    <x v="30"/>
    <x v="30"/>
    <x v="2"/>
  </r>
  <r>
    <x v="3"/>
    <x v="3"/>
    <x v="381"/>
    <x v="2"/>
    <x v="23"/>
    <x v="24"/>
    <x v="4"/>
    <x v="6"/>
    <x v="84"/>
    <x v="192"/>
    <x v="33"/>
    <x v="33"/>
    <x v="2"/>
  </r>
  <r>
    <x v="3"/>
    <x v="3"/>
    <x v="381"/>
    <x v="2"/>
    <x v="23"/>
    <x v="24"/>
    <x v="0"/>
    <x v="19"/>
    <x v="103"/>
    <x v="734"/>
    <x v="24"/>
    <x v="24"/>
    <x v="2"/>
  </r>
  <r>
    <x v="3"/>
    <x v="3"/>
    <x v="381"/>
    <x v="2"/>
    <x v="23"/>
    <x v="24"/>
    <x v="3"/>
    <x v="11"/>
    <x v="137"/>
    <x v="630"/>
    <x v="29"/>
    <x v="29"/>
    <x v="2"/>
  </r>
  <r>
    <x v="3"/>
    <x v="3"/>
    <x v="410"/>
    <x v="2"/>
    <x v="23"/>
    <x v="24"/>
    <x v="2"/>
    <x v="10"/>
    <x v="183"/>
    <x v="836"/>
    <x v="31"/>
    <x v="31"/>
    <x v="2"/>
  </r>
  <r>
    <x v="3"/>
    <x v="3"/>
    <x v="410"/>
    <x v="2"/>
    <x v="23"/>
    <x v="24"/>
    <x v="1"/>
    <x v="10"/>
    <x v="93"/>
    <x v="360"/>
    <x v="25"/>
    <x v="25"/>
    <x v="2"/>
  </r>
  <r>
    <x v="3"/>
    <x v="3"/>
    <x v="410"/>
    <x v="2"/>
    <x v="23"/>
    <x v="24"/>
    <x v="5"/>
    <x v="4"/>
    <x v="116"/>
    <x v="248"/>
    <x v="28"/>
    <x v="28"/>
    <x v="2"/>
  </r>
  <r>
    <x v="4"/>
    <x v="3"/>
    <x v="410"/>
    <x v="2"/>
    <x v="3"/>
    <x v="27"/>
    <x v="4"/>
    <x v="8"/>
    <x v="64"/>
    <x v="156"/>
    <x v="33"/>
    <x v="33"/>
    <x v="2"/>
  </r>
  <r>
    <x v="4"/>
    <x v="3"/>
    <x v="410"/>
    <x v="2"/>
    <x v="3"/>
    <x v="27"/>
    <x v="0"/>
    <x v="16"/>
    <x v="92"/>
    <x v="544"/>
    <x v="23"/>
    <x v="23"/>
    <x v="2"/>
  </r>
  <r>
    <x v="4"/>
    <x v="3"/>
    <x v="410"/>
    <x v="2"/>
    <x v="3"/>
    <x v="27"/>
    <x v="3"/>
    <x v="9"/>
    <x v="125"/>
    <x v="478"/>
    <x v="28"/>
    <x v="28"/>
    <x v="2"/>
  </r>
  <r>
    <x v="4"/>
    <x v="3"/>
    <x v="436"/>
    <x v="2"/>
    <x v="3"/>
    <x v="27"/>
    <x v="2"/>
    <x v="8"/>
    <x v="179"/>
    <x v="703"/>
    <x v="33"/>
    <x v="33"/>
    <x v="2"/>
  </r>
  <r>
    <x v="4"/>
    <x v="3"/>
    <x v="436"/>
    <x v="2"/>
    <x v="3"/>
    <x v="27"/>
    <x v="1"/>
    <x v="7"/>
    <x v="89"/>
    <x v="249"/>
    <x v="23"/>
    <x v="23"/>
    <x v="2"/>
  </r>
  <r>
    <x v="4"/>
    <x v="3"/>
    <x v="436"/>
    <x v="2"/>
    <x v="3"/>
    <x v="27"/>
    <x v="5"/>
    <x v="1"/>
    <x v="93"/>
    <x v="93"/>
    <x v="31"/>
    <x v="31"/>
    <x v="2"/>
  </r>
  <r>
    <x v="4"/>
    <x v="3"/>
    <x v="436"/>
    <x v="2"/>
    <x v="3"/>
    <x v="27"/>
    <x v="4"/>
    <x v="8"/>
    <x v="58"/>
    <x v="126"/>
    <x v="33"/>
    <x v="33"/>
    <x v="2"/>
  </r>
  <r>
    <x v="4"/>
    <x v="3"/>
    <x v="436"/>
    <x v="2"/>
    <x v="3"/>
    <x v="27"/>
    <x v="0"/>
    <x v="17"/>
    <x v="73"/>
    <x v="425"/>
    <x v="26"/>
    <x v="26"/>
    <x v="2"/>
  </r>
  <r>
    <x v="4"/>
    <x v="3"/>
    <x v="436"/>
    <x v="2"/>
    <x v="3"/>
    <x v="27"/>
    <x v="3"/>
    <x v="13"/>
    <x v="93"/>
    <x v="458"/>
    <x v="32"/>
    <x v="32"/>
    <x v="2"/>
  </r>
  <r>
    <x v="4"/>
    <x v="3"/>
    <x v="468"/>
    <x v="2"/>
    <x v="3"/>
    <x v="27"/>
    <x v="2"/>
    <x v="12"/>
    <x v="178"/>
    <x v="920"/>
    <x v="31"/>
    <x v="31"/>
    <x v="2"/>
  </r>
  <r>
    <x v="4"/>
    <x v="3"/>
    <x v="468"/>
    <x v="2"/>
    <x v="3"/>
    <x v="27"/>
    <x v="1"/>
    <x v="13"/>
    <x v="84"/>
    <x v="402"/>
    <x v="26"/>
    <x v="26"/>
    <x v="2"/>
  </r>
  <r>
    <x v="4"/>
    <x v="3"/>
    <x v="468"/>
    <x v="2"/>
    <x v="3"/>
    <x v="27"/>
    <x v="5"/>
    <x v="4"/>
    <x v="79"/>
    <x v="129"/>
    <x v="33"/>
    <x v="33"/>
    <x v="2"/>
  </r>
  <r>
    <x v="4"/>
    <x v="3"/>
    <x v="468"/>
    <x v="2"/>
    <x v="3"/>
    <x v="27"/>
    <x v="4"/>
    <x v="6"/>
    <x v="63"/>
    <x v="118"/>
    <x v="33"/>
    <x v="33"/>
    <x v="2"/>
  </r>
  <r>
    <x v="4"/>
    <x v="3"/>
    <x v="468"/>
    <x v="2"/>
    <x v="3"/>
    <x v="27"/>
    <x v="0"/>
    <x v="24"/>
    <x v="62"/>
    <x v="480"/>
    <x v="23"/>
    <x v="23"/>
    <x v="2"/>
  </r>
  <r>
    <x v="4"/>
    <x v="3"/>
    <x v="468"/>
    <x v="2"/>
    <x v="3"/>
    <x v="27"/>
    <x v="3"/>
    <x v="17"/>
    <x v="101"/>
    <x v="636"/>
    <x v="30"/>
    <x v="30"/>
    <x v="2"/>
  </r>
  <r>
    <x v="4"/>
    <x v="3"/>
    <x v="497"/>
    <x v="2"/>
    <x v="3"/>
    <x v="27"/>
    <x v="2"/>
    <x v="19"/>
    <x v="195"/>
    <x v="1422"/>
    <x v="32"/>
    <x v="32"/>
    <x v="2"/>
  </r>
  <r>
    <x v="4"/>
    <x v="3"/>
    <x v="497"/>
    <x v="2"/>
    <x v="3"/>
    <x v="27"/>
    <x v="1"/>
    <x v="21"/>
    <x v="97"/>
    <x v="750"/>
    <x v="28"/>
    <x v="28"/>
    <x v="2"/>
  </r>
  <r>
    <x v="4"/>
    <x v="3"/>
    <x v="497"/>
    <x v="2"/>
    <x v="3"/>
    <x v="27"/>
    <x v="5"/>
    <x v="20"/>
    <x v="100"/>
    <x v="739"/>
    <x v="30"/>
    <x v="30"/>
    <x v="2"/>
  </r>
  <r>
    <x v="4"/>
    <x v="3"/>
    <x v="497"/>
    <x v="2"/>
    <x v="3"/>
    <x v="27"/>
    <x v="4"/>
    <x v="17"/>
    <x v="74"/>
    <x v="437"/>
    <x v="33"/>
    <x v="33"/>
    <x v="2"/>
  </r>
  <r>
    <x v="4"/>
    <x v="3"/>
    <x v="497"/>
    <x v="2"/>
    <x v="3"/>
    <x v="27"/>
    <x v="0"/>
    <x v="25"/>
    <x v="92"/>
    <x v="832"/>
    <x v="25"/>
    <x v="25"/>
    <x v="2"/>
  </r>
  <r>
    <x v="4"/>
    <x v="3"/>
    <x v="497"/>
    <x v="2"/>
    <x v="3"/>
    <x v="27"/>
    <x v="3"/>
    <x v="26"/>
    <x v="125"/>
    <x v="1151"/>
    <x v="33"/>
    <x v="33"/>
    <x v="2"/>
  </r>
  <r>
    <x v="4"/>
    <x v="3"/>
    <x v="530"/>
    <x v="2"/>
    <x v="3"/>
    <x v="27"/>
    <x v="2"/>
    <x v="21"/>
    <x v="201"/>
    <x v="1590"/>
    <x v="30"/>
    <x v="30"/>
    <x v="2"/>
  </r>
  <r>
    <x v="4"/>
    <x v="3"/>
    <x v="530"/>
    <x v="2"/>
    <x v="3"/>
    <x v="27"/>
    <x v="1"/>
    <x v="18"/>
    <x v="128"/>
    <x v="882"/>
    <x v="25"/>
    <x v="25"/>
    <x v="2"/>
  </r>
  <r>
    <x v="4"/>
    <x v="3"/>
    <x v="530"/>
    <x v="2"/>
    <x v="3"/>
    <x v="27"/>
    <x v="5"/>
    <x v="21"/>
    <x v="104"/>
    <x v="810"/>
    <x v="31"/>
    <x v="31"/>
    <x v="2"/>
  </r>
  <r>
    <x v="4"/>
    <x v="3"/>
    <x v="530"/>
    <x v="2"/>
    <x v="3"/>
    <x v="27"/>
    <x v="4"/>
    <x v="22"/>
    <x v="104"/>
    <x v="844"/>
    <x v="30"/>
    <x v="30"/>
    <x v="2"/>
  </r>
  <r>
    <x v="4"/>
    <x v="3"/>
    <x v="530"/>
    <x v="2"/>
    <x v="3"/>
    <x v="27"/>
    <x v="0"/>
    <x v="30"/>
    <x v="97"/>
    <x v="1026"/>
    <x v="25"/>
    <x v="25"/>
    <x v="2"/>
  </r>
  <r>
    <x v="4"/>
    <x v="3"/>
    <x v="530"/>
    <x v="2"/>
    <x v="3"/>
    <x v="27"/>
    <x v="3"/>
    <x v="41"/>
    <x v="143"/>
    <x v="1866"/>
    <x v="29"/>
    <x v="29"/>
    <x v="2"/>
  </r>
  <r>
    <x v="4"/>
    <x v="3"/>
    <x v="558"/>
    <x v="2"/>
    <x v="3"/>
    <x v="27"/>
    <x v="2"/>
    <x v="32"/>
    <x v="228"/>
    <x v="2290"/>
    <x v="28"/>
    <x v="28"/>
    <x v="2"/>
  </r>
  <r>
    <x v="4"/>
    <x v="3"/>
    <x v="558"/>
    <x v="2"/>
    <x v="3"/>
    <x v="27"/>
    <x v="1"/>
    <x v="29"/>
    <x v="141"/>
    <x v="1409"/>
    <x v="23"/>
    <x v="23"/>
    <x v="2"/>
  </r>
  <r>
    <x v="4"/>
    <x v="3"/>
    <x v="558"/>
    <x v="2"/>
    <x v="3"/>
    <x v="27"/>
    <x v="5"/>
    <x v="25"/>
    <x v="120"/>
    <x v="1081"/>
    <x v="30"/>
    <x v="30"/>
    <x v="2"/>
  </r>
  <r>
    <x v="4"/>
    <x v="3"/>
    <x v="558"/>
    <x v="2"/>
    <x v="3"/>
    <x v="27"/>
    <x v="4"/>
    <x v="28"/>
    <x v="101"/>
    <x v="1005"/>
    <x v="29"/>
    <x v="29"/>
    <x v="2"/>
  </r>
  <r>
    <x v="4"/>
    <x v="3"/>
    <x v="558"/>
    <x v="2"/>
    <x v="3"/>
    <x v="27"/>
    <x v="0"/>
    <x v="33"/>
    <x v="128"/>
    <x v="1431"/>
    <x v="26"/>
    <x v="26"/>
    <x v="2"/>
  </r>
  <r>
    <x v="4"/>
    <x v="3"/>
    <x v="558"/>
    <x v="2"/>
    <x v="3"/>
    <x v="27"/>
    <x v="3"/>
    <x v="43"/>
    <x v="173"/>
    <x v="2194"/>
    <x v="32"/>
    <x v="32"/>
    <x v="2"/>
  </r>
  <r>
    <x v="4"/>
    <x v="3"/>
    <x v="590"/>
    <x v="2"/>
    <x v="3"/>
    <x v="27"/>
    <x v="2"/>
    <x v="36"/>
    <x v="199"/>
    <x v="2211"/>
    <x v="31"/>
    <x v="31"/>
    <x v="2"/>
  </r>
  <r>
    <x v="4"/>
    <x v="3"/>
    <x v="590"/>
    <x v="2"/>
    <x v="3"/>
    <x v="27"/>
    <x v="1"/>
    <x v="35"/>
    <x v="141"/>
    <x v="1640"/>
    <x v="25"/>
    <x v="25"/>
    <x v="2"/>
  </r>
  <r>
    <x v="4"/>
    <x v="3"/>
    <x v="590"/>
    <x v="2"/>
    <x v="3"/>
    <x v="27"/>
    <x v="5"/>
    <x v="33"/>
    <x v="115"/>
    <x v="1298"/>
    <x v="30"/>
    <x v="30"/>
    <x v="2"/>
  </r>
  <r>
    <x v="4"/>
    <x v="3"/>
    <x v="590"/>
    <x v="2"/>
    <x v="3"/>
    <x v="27"/>
    <x v="4"/>
    <x v="22"/>
    <x v="112"/>
    <x v="905"/>
    <x v="31"/>
    <x v="31"/>
    <x v="2"/>
  </r>
  <r>
    <x v="4"/>
    <x v="3"/>
    <x v="590"/>
    <x v="2"/>
    <x v="3"/>
    <x v="27"/>
    <x v="0"/>
    <x v="33"/>
    <x v="94"/>
    <x v="1092"/>
    <x v="23"/>
    <x v="23"/>
    <x v="2"/>
  </r>
  <r>
    <x v="4"/>
    <x v="3"/>
    <x v="590"/>
    <x v="2"/>
    <x v="3"/>
    <x v="27"/>
    <x v="3"/>
    <x v="33"/>
    <x v="169"/>
    <x v="1823"/>
    <x v="33"/>
    <x v="33"/>
    <x v="2"/>
  </r>
  <r>
    <x v="4"/>
    <x v="3"/>
    <x v="620"/>
    <x v="2"/>
    <x v="3"/>
    <x v="27"/>
    <x v="2"/>
    <x v="28"/>
    <x v="191"/>
    <x v="1828"/>
    <x v="29"/>
    <x v="29"/>
    <x v="2"/>
  </r>
  <r>
    <x v="4"/>
    <x v="3"/>
    <x v="620"/>
    <x v="2"/>
    <x v="3"/>
    <x v="27"/>
    <x v="1"/>
    <x v="19"/>
    <x v="115"/>
    <x v="823"/>
    <x v="27"/>
    <x v="27"/>
    <x v="2"/>
  </r>
  <r>
    <x v="4"/>
    <x v="3"/>
    <x v="620"/>
    <x v="2"/>
    <x v="3"/>
    <x v="27"/>
    <x v="5"/>
    <x v="4"/>
    <x v="103"/>
    <x v="197"/>
    <x v="33"/>
    <x v="33"/>
    <x v="2"/>
  </r>
  <r>
    <x v="4"/>
    <x v="3"/>
    <x v="620"/>
    <x v="2"/>
    <x v="3"/>
    <x v="27"/>
    <x v="4"/>
    <x v="5"/>
    <x v="86"/>
    <x v="173"/>
    <x v="28"/>
    <x v="28"/>
    <x v="2"/>
  </r>
  <r>
    <x v="4"/>
    <x v="3"/>
    <x v="620"/>
    <x v="2"/>
    <x v="3"/>
    <x v="27"/>
    <x v="0"/>
    <x v="11"/>
    <x v="92"/>
    <x v="387"/>
    <x v="25"/>
    <x v="25"/>
    <x v="2"/>
  </r>
  <r>
    <x v="4"/>
    <x v="3"/>
    <x v="620"/>
    <x v="2"/>
    <x v="3"/>
    <x v="27"/>
    <x v="3"/>
    <x v="15"/>
    <x v="120"/>
    <x v="701"/>
    <x v="28"/>
    <x v="28"/>
    <x v="2"/>
  </r>
  <r>
    <x v="4"/>
    <x v="3"/>
    <x v="652"/>
    <x v="2"/>
    <x v="3"/>
    <x v="27"/>
    <x v="2"/>
    <x v="14"/>
    <x v="157"/>
    <x v="893"/>
    <x v="31"/>
    <x v="31"/>
    <x v="2"/>
  </r>
  <r>
    <x v="4"/>
    <x v="3"/>
    <x v="652"/>
    <x v="2"/>
    <x v="3"/>
    <x v="27"/>
    <x v="1"/>
    <x v="7"/>
    <x v="112"/>
    <x v="343"/>
    <x v="26"/>
    <x v="26"/>
    <x v="2"/>
  </r>
  <r>
    <x v="4"/>
    <x v="3"/>
    <x v="652"/>
    <x v="2"/>
    <x v="3"/>
    <x v="27"/>
    <x v="5"/>
    <x v="9"/>
    <x v="81"/>
    <x v="270"/>
    <x v="32"/>
    <x v="32"/>
    <x v="2"/>
  </r>
  <r>
    <x v="4"/>
    <x v="3"/>
    <x v="652"/>
    <x v="2"/>
    <x v="3"/>
    <x v="27"/>
    <x v="4"/>
    <x v="8"/>
    <x v="77"/>
    <x v="218"/>
    <x v="31"/>
    <x v="31"/>
    <x v="2"/>
  </r>
  <r>
    <x v="4"/>
    <x v="3"/>
    <x v="652"/>
    <x v="2"/>
    <x v="3"/>
    <x v="27"/>
    <x v="0"/>
    <x v="14"/>
    <x v="75"/>
    <x v="363"/>
    <x v="23"/>
    <x v="23"/>
    <x v="2"/>
  </r>
  <r>
    <x v="5"/>
    <x v="3"/>
    <x v="652"/>
    <x v="2"/>
    <x v="3"/>
    <x v="27"/>
    <x v="3"/>
    <x v="13"/>
    <x v="112"/>
    <x v="569"/>
    <x v="31"/>
    <x v="31"/>
    <x v="2"/>
  </r>
  <r>
    <x v="5"/>
    <x v="3"/>
    <x v="682"/>
    <x v="2"/>
    <x v="3"/>
    <x v="27"/>
    <x v="2"/>
    <x v="11"/>
    <x v="153"/>
    <x v="726"/>
    <x v="32"/>
    <x v="32"/>
    <x v="2"/>
  </r>
  <r>
    <x v="5"/>
    <x v="3"/>
    <x v="682"/>
    <x v="2"/>
    <x v="3"/>
    <x v="27"/>
    <x v="1"/>
    <x v="4"/>
    <x v="97"/>
    <x v="182"/>
    <x v="28"/>
    <x v="28"/>
    <x v="2"/>
  </r>
  <r>
    <x v="5"/>
    <x v="3"/>
    <x v="682"/>
    <x v="2"/>
    <x v="3"/>
    <x v="27"/>
    <x v="5"/>
    <x v="12"/>
    <x v="84"/>
    <x v="372"/>
    <x v="29"/>
    <x v="29"/>
    <x v="2"/>
  </r>
  <r>
    <x v="5"/>
    <x v="3"/>
    <x v="682"/>
    <x v="2"/>
    <x v="3"/>
    <x v="27"/>
    <x v="4"/>
    <x v="34"/>
    <x v="108"/>
    <x v="1266"/>
    <x v="30"/>
    <x v="30"/>
    <x v="2"/>
  </r>
  <r>
    <x v="5"/>
    <x v="3"/>
    <x v="682"/>
    <x v="2"/>
    <x v="3"/>
    <x v="27"/>
    <x v="0"/>
    <x v="49"/>
    <x v="87"/>
    <x v="1412"/>
    <x v="27"/>
    <x v="27"/>
    <x v="2"/>
  </r>
  <r>
    <x v="5"/>
    <x v="3"/>
    <x v="682"/>
    <x v="2"/>
    <x v="3"/>
    <x v="27"/>
    <x v="3"/>
    <x v="46"/>
    <x v="115"/>
    <x v="1706"/>
    <x v="31"/>
    <x v="31"/>
    <x v="2"/>
  </r>
  <r>
    <x v="5"/>
    <x v="3"/>
    <x v="711"/>
    <x v="2"/>
    <x v="3"/>
    <x v="27"/>
    <x v="2"/>
    <x v="48"/>
    <x v="202"/>
    <x v="2570"/>
    <x v="32"/>
    <x v="32"/>
    <x v="2"/>
  </r>
  <r>
    <x v="5"/>
    <x v="3"/>
    <x v="711"/>
    <x v="2"/>
    <x v="3"/>
    <x v="27"/>
    <x v="1"/>
    <x v="39"/>
    <x v="134"/>
    <x v="1702"/>
    <x v="26"/>
    <x v="26"/>
    <x v="2"/>
  </r>
  <r>
    <x v="5"/>
    <x v="3"/>
    <x v="711"/>
    <x v="2"/>
    <x v="3"/>
    <x v="27"/>
    <x v="5"/>
    <x v="36"/>
    <x v="128"/>
    <x v="1544"/>
    <x v="30"/>
    <x v="30"/>
    <x v="2"/>
  </r>
  <r>
    <x v="5"/>
    <x v="3"/>
    <x v="711"/>
    <x v="2"/>
    <x v="3"/>
    <x v="27"/>
    <x v="4"/>
    <x v="33"/>
    <x v="104"/>
    <x v="1200"/>
    <x v="32"/>
    <x v="32"/>
    <x v="2"/>
  </r>
  <r>
    <x v="5"/>
    <x v="3"/>
    <x v="711"/>
    <x v="2"/>
    <x v="3"/>
    <x v="27"/>
    <x v="0"/>
    <x v="43"/>
    <x v="112"/>
    <x v="1589"/>
    <x v="26"/>
    <x v="26"/>
    <x v="2"/>
  </r>
  <r>
    <x v="5"/>
    <x v="3"/>
    <x v="711"/>
    <x v="2"/>
    <x v="3"/>
    <x v="27"/>
    <x v="3"/>
    <x v="48"/>
    <x v="148"/>
    <x v="2109"/>
    <x v="31"/>
    <x v="31"/>
    <x v="2"/>
  </r>
  <r>
    <x v="5"/>
    <x v="3"/>
    <x v="381"/>
    <x v="2"/>
    <x v="3"/>
    <x v="27"/>
    <x v="2"/>
    <x v="10"/>
    <x v="155"/>
    <x v="681"/>
    <x v="33"/>
    <x v="33"/>
    <x v="2"/>
  </r>
  <r>
    <x v="5"/>
    <x v="3"/>
    <x v="381"/>
    <x v="2"/>
    <x v="3"/>
    <x v="27"/>
    <x v="1"/>
    <x v="11"/>
    <x v="104"/>
    <x v="457"/>
    <x v="24"/>
    <x v="24"/>
    <x v="2"/>
  </r>
  <r>
    <x v="5"/>
    <x v="3"/>
    <x v="381"/>
    <x v="2"/>
    <x v="3"/>
    <x v="27"/>
    <x v="5"/>
    <x v="3"/>
    <x v="111"/>
    <x v="189"/>
    <x v="29"/>
    <x v="29"/>
    <x v="2"/>
  </r>
  <r>
    <x v="5"/>
    <x v="3"/>
    <x v="381"/>
    <x v="2"/>
    <x v="3"/>
    <x v="27"/>
    <x v="4"/>
    <x v="6"/>
    <x v="61"/>
    <x v="108"/>
    <x v="29"/>
    <x v="29"/>
    <x v="2"/>
  </r>
  <r>
    <x v="5"/>
    <x v="3"/>
    <x v="381"/>
    <x v="2"/>
    <x v="3"/>
    <x v="27"/>
    <x v="0"/>
    <x v="16"/>
    <x v="75"/>
    <x v="420"/>
    <x v="27"/>
    <x v="27"/>
    <x v="2"/>
  </r>
  <r>
    <x v="5"/>
    <x v="3"/>
    <x v="381"/>
    <x v="2"/>
    <x v="3"/>
    <x v="27"/>
    <x v="3"/>
    <x v="11"/>
    <x v="104"/>
    <x v="457"/>
    <x v="31"/>
    <x v="31"/>
    <x v="2"/>
  </r>
  <r>
    <x v="5"/>
    <x v="3"/>
    <x v="410"/>
    <x v="2"/>
    <x v="3"/>
    <x v="27"/>
    <x v="2"/>
    <x v="11"/>
    <x v="179"/>
    <x v="877"/>
    <x v="30"/>
    <x v="30"/>
    <x v="2"/>
  </r>
  <r>
    <x v="5"/>
    <x v="3"/>
    <x v="410"/>
    <x v="2"/>
    <x v="3"/>
    <x v="27"/>
    <x v="1"/>
    <x v="10"/>
    <x v="68"/>
    <x v="219"/>
    <x v="25"/>
    <x v="25"/>
    <x v="2"/>
  </r>
  <r>
    <x v="5"/>
    <x v="3"/>
    <x v="410"/>
    <x v="2"/>
    <x v="3"/>
    <x v="27"/>
    <x v="5"/>
    <x v="5"/>
    <x v="80"/>
    <x v="159"/>
    <x v="33"/>
    <x v="33"/>
    <x v="2"/>
  </r>
  <r>
    <x v="5"/>
    <x v="3"/>
    <x v="410"/>
    <x v="2"/>
    <x v="35"/>
    <x v="37"/>
    <x v="4"/>
    <x v="8"/>
    <x v="47"/>
    <x v="86"/>
    <x v="32"/>
    <x v="32"/>
    <x v="2"/>
  </r>
  <r>
    <x v="5"/>
    <x v="3"/>
    <x v="410"/>
    <x v="2"/>
    <x v="35"/>
    <x v="37"/>
    <x v="0"/>
    <x v="17"/>
    <x v="70"/>
    <x v="402"/>
    <x v="26"/>
    <x v="26"/>
    <x v="2"/>
  </r>
  <r>
    <x v="5"/>
    <x v="3"/>
    <x v="410"/>
    <x v="2"/>
    <x v="35"/>
    <x v="37"/>
    <x v="3"/>
    <x v="7"/>
    <x v="93"/>
    <x v="269"/>
    <x v="32"/>
    <x v="32"/>
    <x v="2"/>
  </r>
  <r>
    <x v="5"/>
    <x v="3"/>
    <x v="436"/>
    <x v="2"/>
    <x v="35"/>
    <x v="37"/>
    <x v="2"/>
    <x v="7"/>
    <x v="159"/>
    <x v="541"/>
    <x v="32"/>
    <x v="32"/>
    <x v="2"/>
  </r>
  <r>
    <x v="5"/>
    <x v="3"/>
    <x v="436"/>
    <x v="2"/>
    <x v="35"/>
    <x v="37"/>
    <x v="1"/>
    <x v="8"/>
    <x v="64"/>
    <x v="156"/>
    <x v="27"/>
    <x v="27"/>
    <x v="2"/>
  </r>
  <r>
    <x v="5"/>
    <x v="3"/>
    <x v="436"/>
    <x v="2"/>
    <x v="35"/>
    <x v="37"/>
    <x v="5"/>
    <x v="0"/>
    <x v="68"/>
    <x v="41"/>
    <x v="31"/>
    <x v="31"/>
    <x v="2"/>
  </r>
  <r>
    <x v="5"/>
    <x v="3"/>
    <x v="436"/>
    <x v="2"/>
    <x v="35"/>
    <x v="37"/>
    <x v="4"/>
    <x v="9"/>
    <x v="28"/>
    <x v="48"/>
    <x v="33"/>
    <x v="33"/>
    <x v="2"/>
  </r>
  <r>
    <x v="5"/>
    <x v="3"/>
    <x v="436"/>
    <x v="2"/>
    <x v="35"/>
    <x v="37"/>
    <x v="0"/>
    <x v="19"/>
    <x v="50"/>
    <x v="271"/>
    <x v="28"/>
    <x v="28"/>
    <x v="2"/>
  </r>
  <r>
    <x v="5"/>
    <x v="3"/>
    <x v="436"/>
    <x v="2"/>
    <x v="35"/>
    <x v="37"/>
    <x v="3"/>
    <x v="11"/>
    <x v="73"/>
    <x v="270"/>
    <x v="32"/>
    <x v="32"/>
    <x v="2"/>
  </r>
  <r>
    <x v="5"/>
    <x v="3"/>
    <x v="468"/>
    <x v="2"/>
    <x v="35"/>
    <x v="37"/>
    <x v="2"/>
    <x v="13"/>
    <x v="160"/>
    <x v="872"/>
    <x v="32"/>
    <x v="32"/>
    <x v="2"/>
  </r>
  <r>
    <x v="5"/>
    <x v="3"/>
    <x v="468"/>
    <x v="2"/>
    <x v="35"/>
    <x v="37"/>
    <x v="1"/>
    <x v="11"/>
    <x v="65"/>
    <x v="224"/>
    <x v="25"/>
    <x v="25"/>
    <x v="2"/>
  </r>
  <r>
    <x v="5"/>
    <x v="3"/>
    <x v="468"/>
    <x v="2"/>
    <x v="35"/>
    <x v="37"/>
    <x v="5"/>
    <x v="3"/>
    <x v="58"/>
    <x v="60"/>
    <x v="32"/>
    <x v="32"/>
    <x v="2"/>
  </r>
  <r>
    <x v="5"/>
    <x v="3"/>
    <x v="468"/>
    <x v="2"/>
    <x v="35"/>
    <x v="37"/>
    <x v="4"/>
    <x v="8"/>
    <x v="36"/>
    <x v="62"/>
    <x v="29"/>
    <x v="29"/>
    <x v="2"/>
  </r>
  <r>
    <x v="5"/>
    <x v="3"/>
    <x v="468"/>
    <x v="2"/>
    <x v="35"/>
    <x v="37"/>
    <x v="0"/>
    <x v="20"/>
    <x v="43"/>
    <x v="236"/>
    <x v="25"/>
    <x v="25"/>
    <x v="2"/>
  </r>
  <r>
    <x v="5"/>
    <x v="3"/>
    <x v="468"/>
    <x v="2"/>
    <x v="35"/>
    <x v="37"/>
    <x v="3"/>
    <x v="15"/>
    <x v="92"/>
    <x v="513"/>
    <x v="29"/>
    <x v="29"/>
    <x v="2"/>
  </r>
  <r>
    <x v="5"/>
    <x v="3"/>
    <x v="497"/>
    <x v="2"/>
    <x v="35"/>
    <x v="37"/>
    <x v="2"/>
    <x v="21"/>
    <x v="156"/>
    <x v="1211"/>
    <x v="29"/>
    <x v="29"/>
    <x v="2"/>
  </r>
  <r>
    <x v="5"/>
    <x v="3"/>
    <x v="497"/>
    <x v="2"/>
    <x v="35"/>
    <x v="37"/>
    <x v="1"/>
    <x v="22"/>
    <x v="76"/>
    <x v="588"/>
    <x v="24"/>
    <x v="24"/>
    <x v="2"/>
  </r>
  <r>
    <x v="5"/>
    <x v="3"/>
    <x v="497"/>
    <x v="2"/>
    <x v="35"/>
    <x v="37"/>
    <x v="5"/>
    <x v="20"/>
    <x v="73"/>
    <x v="492"/>
    <x v="28"/>
    <x v="28"/>
    <x v="2"/>
  </r>
  <r>
    <x v="5"/>
    <x v="3"/>
    <x v="497"/>
    <x v="2"/>
    <x v="35"/>
    <x v="37"/>
    <x v="4"/>
    <x v="19"/>
    <x v="61"/>
    <x v="367"/>
    <x v="28"/>
    <x v="28"/>
    <x v="2"/>
  </r>
  <r>
    <x v="5"/>
    <x v="3"/>
    <x v="497"/>
    <x v="2"/>
    <x v="35"/>
    <x v="37"/>
    <x v="0"/>
    <x v="26"/>
    <x v="66"/>
    <x v="569"/>
    <x v="27"/>
    <x v="27"/>
    <x v="2"/>
  </r>
  <r>
    <x v="5"/>
    <x v="3"/>
    <x v="497"/>
    <x v="2"/>
    <x v="35"/>
    <x v="37"/>
    <x v="3"/>
    <x v="26"/>
    <x v="97"/>
    <x v="905"/>
    <x v="31"/>
    <x v="31"/>
    <x v="2"/>
  </r>
  <r>
    <x v="5"/>
    <x v="3"/>
    <x v="530"/>
    <x v="2"/>
    <x v="35"/>
    <x v="37"/>
    <x v="2"/>
    <x v="25"/>
    <x v="168"/>
    <x v="1473"/>
    <x v="32"/>
    <x v="32"/>
    <x v="2"/>
  </r>
  <r>
    <x v="5"/>
    <x v="3"/>
    <x v="530"/>
    <x v="2"/>
    <x v="35"/>
    <x v="37"/>
    <x v="1"/>
    <x v="18"/>
    <x v="103"/>
    <x v="699"/>
    <x v="25"/>
    <x v="25"/>
    <x v="2"/>
  </r>
  <r>
    <x v="5"/>
    <x v="3"/>
    <x v="530"/>
    <x v="2"/>
    <x v="35"/>
    <x v="37"/>
    <x v="5"/>
    <x v="20"/>
    <x v="89"/>
    <x v="638"/>
    <x v="29"/>
    <x v="29"/>
    <x v="2"/>
  </r>
  <r>
    <x v="5"/>
    <x v="3"/>
    <x v="530"/>
    <x v="2"/>
    <x v="35"/>
    <x v="37"/>
    <x v="4"/>
    <x v="22"/>
    <x v="84"/>
    <x v="658"/>
    <x v="31"/>
    <x v="31"/>
    <x v="2"/>
  </r>
  <r>
    <x v="5"/>
    <x v="3"/>
    <x v="530"/>
    <x v="2"/>
    <x v="35"/>
    <x v="37"/>
    <x v="0"/>
    <x v="34"/>
    <x v="87"/>
    <x v="1030"/>
    <x v="24"/>
    <x v="24"/>
    <x v="2"/>
  </r>
  <r>
    <x v="5"/>
    <x v="3"/>
    <x v="530"/>
    <x v="2"/>
    <x v="35"/>
    <x v="37"/>
    <x v="3"/>
    <x v="33"/>
    <x v="123"/>
    <x v="1376"/>
    <x v="28"/>
    <x v="28"/>
    <x v="2"/>
  </r>
  <r>
    <x v="5"/>
    <x v="3"/>
    <x v="558"/>
    <x v="2"/>
    <x v="35"/>
    <x v="37"/>
    <x v="2"/>
    <x v="36"/>
    <x v="202"/>
    <x v="2244"/>
    <x v="28"/>
    <x v="28"/>
    <x v="2"/>
  </r>
  <r>
    <x v="5"/>
    <x v="3"/>
    <x v="558"/>
    <x v="2"/>
    <x v="35"/>
    <x v="37"/>
    <x v="1"/>
    <x v="28"/>
    <x v="115"/>
    <x v="1141"/>
    <x v="24"/>
    <x v="24"/>
    <x v="2"/>
  </r>
  <r>
    <x v="5"/>
    <x v="3"/>
    <x v="558"/>
    <x v="2"/>
    <x v="35"/>
    <x v="37"/>
    <x v="5"/>
    <x v="26"/>
    <x v="111"/>
    <x v="1036"/>
    <x v="29"/>
    <x v="29"/>
    <x v="2"/>
  </r>
  <r>
    <x v="5"/>
    <x v="3"/>
    <x v="558"/>
    <x v="2"/>
    <x v="35"/>
    <x v="37"/>
    <x v="4"/>
    <x v="29"/>
    <x v="89"/>
    <x v="912"/>
    <x v="32"/>
    <x v="32"/>
    <x v="2"/>
  </r>
  <r>
    <x v="5"/>
    <x v="3"/>
    <x v="558"/>
    <x v="2"/>
    <x v="35"/>
    <x v="37"/>
    <x v="0"/>
    <x v="36"/>
    <x v="97"/>
    <x v="1204"/>
    <x v="27"/>
    <x v="27"/>
    <x v="2"/>
  </r>
  <r>
    <x v="5"/>
    <x v="3"/>
    <x v="558"/>
    <x v="2"/>
    <x v="35"/>
    <x v="37"/>
    <x v="3"/>
    <x v="38"/>
    <x v="141"/>
    <x v="1743"/>
    <x v="33"/>
    <x v="33"/>
    <x v="2"/>
  </r>
  <r>
    <x v="5"/>
    <x v="3"/>
    <x v="590"/>
    <x v="2"/>
    <x v="35"/>
    <x v="37"/>
    <x v="2"/>
    <x v="34"/>
    <x v="196"/>
    <x v="2120"/>
    <x v="28"/>
    <x v="28"/>
    <x v="2"/>
  </r>
  <r>
    <x v="5"/>
    <x v="3"/>
    <x v="590"/>
    <x v="2"/>
    <x v="35"/>
    <x v="37"/>
    <x v="1"/>
    <x v="30"/>
    <x v="120"/>
    <x v="1248"/>
    <x v="28"/>
    <x v="28"/>
    <x v="2"/>
  </r>
  <r>
    <x v="5"/>
    <x v="3"/>
    <x v="590"/>
    <x v="2"/>
    <x v="35"/>
    <x v="37"/>
    <x v="5"/>
    <x v="31"/>
    <x v="94"/>
    <x v="1028"/>
    <x v="33"/>
    <x v="33"/>
    <x v="2"/>
  </r>
  <r>
    <x v="5"/>
    <x v="3"/>
    <x v="590"/>
    <x v="2"/>
    <x v="35"/>
    <x v="37"/>
    <x v="4"/>
    <x v="25"/>
    <x v="92"/>
    <x v="832"/>
    <x v="28"/>
    <x v="28"/>
    <x v="2"/>
  </r>
  <r>
    <x v="5"/>
    <x v="3"/>
    <x v="590"/>
    <x v="2"/>
    <x v="35"/>
    <x v="37"/>
    <x v="0"/>
    <x v="33"/>
    <x v="87"/>
    <x v="1005"/>
    <x v="23"/>
    <x v="23"/>
    <x v="2"/>
  </r>
  <r>
    <x v="5"/>
    <x v="3"/>
    <x v="590"/>
    <x v="2"/>
    <x v="35"/>
    <x v="37"/>
    <x v="3"/>
    <x v="33"/>
    <x v="144"/>
    <x v="1595"/>
    <x v="33"/>
    <x v="33"/>
    <x v="2"/>
  </r>
  <r>
    <x v="5"/>
    <x v="3"/>
    <x v="620"/>
    <x v="2"/>
    <x v="35"/>
    <x v="37"/>
    <x v="2"/>
    <x v="28"/>
    <x v="172"/>
    <x v="1644"/>
    <x v="32"/>
    <x v="32"/>
    <x v="2"/>
  </r>
  <r>
    <x v="5"/>
    <x v="3"/>
    <x v="620"/>
    <x v="2"/>
    <x v="35"/>
    <x v="37"/>
    <x v="1"/>
    <x v="21"/>
    <x v="108"/>
    <x v="841"/>
    <x v="27"/>
    <x v="27"/>
    <x v="2"/>
  </r>
  <r>
    <x v="5"/>
    <x v="3"/>
    <x v="620"/>
    <x v="2"/>
    <x v="35"/>
    <x v="37"/>
    <x v="5"/>
    <x v="5"/>
    <x v="75"/>
    <x v="136"/>
    <x v="28"/>
    <x v="28"/>
    <x v="2"/>
  </r>
  <r>
    <x v="5"/>
    <x v="3"/>
    <x v="620"/>
    <x v="2"/>
    <x v="35"/>
    <x v="37"/>
    <x v="4"/>
    <x v="5"/>
    <x v="68"/>
    <x v="115"/>
    <x v="28"/>
    <x v="28"/>
    <x v="2"/>
  </r>
  <r>
    <x v="5"/>
    <x v="3"/>
    <x v="620"/>
    <x v="2"/>
    <x v="35"/>
    <x v="37"/>
    <x v="0"/>
    <x v="13"/>
    <x v="64"/>
    <x v="266"/>
    <x v="24"/>
    <x v="24"/>
    <x v="2"/>
  </r>
  <r>
    <x v="5"/>
    <x v="3"/>
    <x v="620"/>
    <x v="2"/>
    <x v="35"/>
    <x v="37"/>
    <x v="3"/>
    <x v="16"/>
    <x v="100"/>
    <x v="602"/>
    <x v="33"/>
    <x v="33"/>
    <x v="2"/>
  </r>
  <r>
    <x v="5"/>
    <x v="3"/>
    <x v="652"/>
    <x v="2"/>
    <x v="35"/>
    <x v="37"/>
    <x v="2"/>
    <x v="13"/>
    <x v="150"/>
    <x v="807"/>
    <x v="33"/>
    <x v="33"/>
    <x v="2"/>
  </r>
  <r>
    <x v="5"/>
    <x v="3"/>
    <x v="652"/>
    <x v="2"/>
    <x v="35"/>
    <x v="37"/>
    <x v="1"/>
    <x v="7"/>
    <x v="93"/>
    <x v="269"/>
    <x v="28"/>
    <x v="28"/>
    <x v="2"/>
  </r>
  <r>
    <x v="5"/>
    <x v="3"/>
    <x v="652"/>
    <x v="2"/>
    <x v="35"/>
    <x v="37"/>
    <x v="5"/>
    <x v="7"/>
    <x v="61"/>
    <x v="123"/>
    <x v="28"/>
    <x v="28"/>
    <x v="2"/>
  </r>
  <r>
    <x v="5"/>
    <x v="3"/>
    <x v="652"/>
    <x v="2"/>
    <x v="35"/>
    <x v="37"/>
    <x v="4"/>
    <x v="8"/>
    <x v="51"/>
    <x v="100"/>
    <x v="28"/>
    <x v="28"/>
    <x v="2"/>
  </r>
  <r>
    <x v="5"/>
    <x v="3"/>
    <x v="652"/>
    <x v="2"/>
    <x v="35"/>
    <x v="37"/>
    <x v="0"/>
    <x v="15"/>
    <x v="56"/>
    <x v="248"/>
    <x v="24"/>
    <x v="24"/>
    <x v="2"/>
  </r>
  <r>
    <x v="2"/>
    <x v="3"/>
    <x v="652"/>
    <x v="2"/>
    <x v="35"/>
    <x v="37"/>
    <x v="3"/>
    <x v="15"/>
    <x v="83"/>
    <x v="456"/>
    <x v="33"/>
    <x v="33"/>
    <x v="2"/>
  </r>
  <r>
    <x v="2"/>
    <x v="3"/>
    <x v="682"/>
    <x v="2"/>
    <x v="35"/>
    <x v="37"/>
    <x v="2"/>
    <x v="9"/>
    <x v="144"/>
    <x v="575"/>
    <x v="30"/>
    <x v="30"/>
    <x v="2"/>
  </r>
  <r>
    <x v="2"/>
    <x v="3"/>
    <x v="682"/>
    <x v="2"/>
    <x v="35"/>
    <x v="37"/>
    <x v="1"/>
    <x v="4"/>
    <x v="79"/>
    <x v="129"/>
    <x v="24"/>
    <x v="24"/>
    <x v="2"/>
  </r>
  <r>
    <x v="2"/>
    <x v="3"/>
    <x v="682"/>
    <x v="2"/>
    <x v="35"/>
    <x v="37"/>
    <x v="5"/>
    <x v="12"/>
    <x v="67"/>
    <x v="261"/>
    <x v="29"/>
    <x v="29"/>
    <x v="2"/>
  </r>
  <r>
    <x v="2"/>
    <x v="3"/>
    <x v="682"/>
    <x v="2"/>
    <x v="35"/>
    <x v="37"/>
    <x v="4"/>
    <x v="30"/>
    <x v="74"/>
    <x v="773"/>
    <x v="33"/>
    <x v="33"/>
    <x v="2"/>
  </r>
  <r>
    <x v="2"/>
    <x v="3"/>
    <x v="682"/>
    <x v="2"/>
    <x v="35"/>
    <x v="37"/>
    <x v="0"/>
    <x v="53"/>
    <x v="70"/>
    <x v="1228"/>
    <x v="26"/>
    <x v="26"/>
    <x v="2"/>
  </r>
  <r>
    <x v="2"/>
    <x v="3"/>
    <x v="682"/>
    <x v="2"/>
    <x v="35"/>
    <x v="37"/>
    <x v="3"/>
    <x v="53"/>
    <x v="108"/>
    <x v="1815"/>
    <x v="29"/>
    <x v="29"/>
    <x v="2"/>
  </r>
  <r>
    <x v="2"/>
    <x v="3"/>
    <x v="711"/>
    <x v="2"/>
    <x v="35"/>
    <x v="37"/>
    <x v="2"/>
    <x v="48"/>
    <x v="174"/>
    <x v="2350"/>
    <x v="28"/>
    <x v="28"/>
    <x v="2"/>
  </r>
  <r>
    <x v="2"/>
    <x v="3"/>
    <x v="711"/>
    <x v="2"/>
    <x v="35"/>
    <x v="37"/>
    <x v="1"/>
    <x v="40"/>
    <x v="128"/>
    <x v="1675"/>
    <x v="24"/>
    <x v="24"/>
    <x v="2"/>
  </r>
  <r>
    <x v="2"/>
    <x v="3"/>
    <x v="711"/>
    <x v="2"/>
    <x v="35"/>
    <x v="37"/>
    <x v="5"/>
    <x v="37"/>
    <x v="111"/>
    <x v="1388"/>
    <x v="31"/>
    <x v="31"/>
    <x v="2"/>
  </r>
  <r>
    <x v="2"/>
    <x v="3"/>
    <x v="711"/>
    <x v="2"/>
    <x v="35"/>
    <x v="37"/>
    <x v="4"/>
    <x v="38"/>
    <x v="95"/>
    <x v="1238"/>
    <x v="31"/>
    <x v="31"/>
    <x v="2"/>
  </r>
  <r>
    <x v="2"/>
    <x v="3"/>
    <x v="711"/>
    <x v="2"/>
    <x v="35"/>
    <x v="37"/>
    <x v="0"/>
    <x v="48"/>
    <x v="80"/>
    <x v="1297"/>
    <x v="26"/>
    <x v="26"/>
    <x v="2"/>
  </r>
  <r>
    <x v="2"/>
    <x v="3"/>
    <x v="711"/>
    <x v="2"/>
    <x v="35"/>
    <x v="37"/>
    <x v="3"/>
    <x v="44"/>
    <x v="108"/>
    <x v="1573"/>
    <x v="29"/>
    <x v="29"/>
    <x v="2"/>
  </r>
  <r>
    <x v="2"/>
    <x v="3"/>
    <x v="374"/>
    <x v="2"/>
    <x v="35"/>
    <x v="37"/>
    <x v="2"/>
    <x v="10"/>
    <x v="153"/>
    <x v="669"/>
    <x v="24"/>
    <x v="24"/>
    <x v="2"/>
  </r>
  <r>
    <x v="2"/>
    <x v="3"/>
    <x v="374"/>
    <x v="2"/>
    <x v="35"/>
    <x v="37"/>
    <x v="1"/>
    <x v="9"/>
    <x v="87"/>
    <x v="299"/>
    <x v="24"/>
    <x v="24"/>
    <x v="2"/>
  </r>
  <r>
    <x v="2"/>
    <x v="3"/>
    <x v="374"/>
    <x v="2"/>
    <x v="35"/>
    <x v="37"/>
    <x v="5"/>
    <x v="5"/>
    <x v="97"/>
    <x v="210"/>
    <x v="26"/>
    <x v="26"/>
    <x v="2"/>
  </r>
  <r>
    <x v="2"/>
    <x v="3"/>
    <x v="374"/>
    <x v="2"/>
    <x v="35"/>
    <x v="37"/>
    <x v="4"/>
    <x v="9"/>
    <x v="58"/>
    <x v="143"/>
    <x v="26"/>
    <x v="26"/>
    <x v="2"/>
  </r>
  <r>
    <x v="2"/>
    <x v="3"/>
    <x v="374"/>
    <x v="2"/>
    <x v="35"/>
    <x v="37"/>
    <x v="0"/>
    <x v="21"/>
    <x v="73"/>
    <x v="520"/>
    <x v="27"/>
    <x v="27"/>
    <x v="2"/>
  </r>
  <r>
    <x v="2"/>
    <x v="3"/>
    <x v="374"/>
    <x v="2"/>
    <x v="35"/>
    <x v="37"/>
    <x v="3"/>
    <x v="10"/>
    <x v="100"/>
    <x v="396"/>
    <x v="23"/>
    <x v="23"/>
    <x v="2"/>
  </r>
  <r>
    <x v="2"/>
    <x v="3"/>
    <x v="403"/>
    <x v="2"/>
    <x v="35"/>
    <x v="37"/>
    <x v="2"/>
    <x v="11"/>
    <x v="178"/>
    <x v="870"/>
    <x v="26"/>
    <x v="26"/>
    <x v="2"/>
  </r>
  <r>
    <x v="2"/>
    <x v="3"/>
    <x v="403"/>
    <x v="2"/>
    <x v="35"/>
    <x v="37"/>
    <x v="1"/>
    <x v="10"/>
    <x v="62"/>
    <x v="181"/>
    <x v="27"/>
    <x v="27"/>
    <x v="2"/>
  </r>
  <r>
    <x v="2"/>
    <x v="3"/>
    <x v="403"/>
    <x v="2"/>
    <x v="35"/>
    <x v="37"/>
    <x v="5"/>
    <x v="4"/>
    <x v="74"/>
    <x v="113"/>
    <x v="25"/>
    <x v="25"/>
    <x v="2"/>
  </r>
  <r>
    <x v="3"/>
    <x v="1"/>
    <x v="394"/>
    <x v="1"/>
    <x v="6"/>
    <x v="20"/>
    <x v="4"/>
    <x v="17"/>
    <x v="28"/>
    <x v="102"/>
    <x v="19"/>
    <x v="19"/>
    <x v="2"/>
  </r>
  <r>
    <x v="3"/>
    <x v="1"/>
    <x v="394"/>
    <x v="1"/>
    <x v="6"/>
    <x v="20"/>
    <x v="0"/>
    <x v="32"/>
    <x v="55"/>
    <x v="547"/>
    <x v="23"/>
    <x v="23"/>
    <x v="2"/>
  </r>
  <r>
    <x v="3"/>
    <x v="1"/>
    <x v="394"/>
    <x v="1"/>
    <x v="6"/>
    <x v="20"/>
    <x v="3"/>
    <x v="25"/>
    <x v="79"/>
    <x v="697"/>
    <x v="25"/>
    <x v="25"/>
    <x v="2"/>
  </r>
  <r>
    <x v="3"/>
    <x v="1"/>
    <x v="420"/>
    <x v="1"/>
    <x v="6"/>
    <x v="20"/>
    <x v="2"/>
    <x v="19"/>
    <x v="159"/>
    <x v="1142"/>
    <x v="29"/>
    <x v="29"/>
    <x v="2"/>
  </r>
  <r>
    <x v="3"/>
    <x v="1"/>
    <x v="420"/>
    <x v="1"/>
    <x v="6"/>
    <x v="20"/>
    <x v="1"/>
    <x v="25"/>
    <x v="56"/>
    <x v="441"/>
    <x v="31"/>
    <x v="31"/>
    <x v="2"/>
  </r>
  <r>
    <x v="3"/>
    <x v="1"/>
    <x v="420"/>
    <x v="1"/>
    <x v="6"/>
    <x v="20"/>
    <x v="5"/>
    <x v="16"/>
    <x v="62"/>
    <x v="310"/>
    <x v="18"/>
    <x v="18"/>
    <x v="2"/>
  </r>
  <r>
    <x v="3"/>
    <x v="1"/>
    <x v="420"/>
    <x v="1"/>
    <x v="6"/>
    <x v="20"/>
    <x v="4"/>
    <x v="20"/>
    <x v="24"/>
    <x v="97"/>
    <x v="18"/>
    <x v="18"/>
    <x v="2"/>
  </r>
  <r>
    <x v="3"/>
    <x v="1"/>
    <x v="420"/>
    <x v="1"/>
    <x v="6"/>
    <x v="20"/>
    <x v="0"/>
    <x v="32"/>
    <x v="42"/>
    <x v="410"/>
    <x v="20"/>
    <x v="20"/>
    <x v="2"/>
  </r>
  <r>
    <x v="3"/>
    <x v="1"/>
    <x v="420"/>
    <x v="1"/>
    <x v="6"/>
    <x v="20"/>
    <x v="3"/>
    <x v="22"/>
    <x v="70"/>
    <x v="521"/>
    <x v="25"/>
    <x v="25"/>
    <x v="2"/>
  </r>
  <r>
    <x v="3"/>
    <x v="1"/>
    <x v="452"/>
    <x v="1"/>
    <x v="6"/>
    <x v="20"/>
    <x v="2"/>
    <x v="21"/>
    <x v="134"/>
    <x v="1040"/>
    <x v="32"/>
    <x v="32"/>
    <x v="2"/>
  </r>
  <r>
    <x v="3"/>
    <x v="1"/>
    <x v="452"/>
    <x v="1"/>
    <x v="6"/>
    <x v="20"/>
    <x v="1"/>
    <x v="23"/>
    <x v="53"/>
    <x v="366"/>
    <x v="30"/>
    <x v="30"/>
    <x v="2"/>
  </r>
  <r>
    <x v="3"/>
    <x v="1"/>
    <x v="452"/>
    <x v="1"/>
    <x v="6"/>
    <x v="20"/>
    <x v="5"/>
    <x v="13"/>
    <x v="53"/>
    <x v="183"/>
    <x v="22"/>
    <x v="22"/>
    <x v="2"/>
  </r>
  <r>
    <x v="3"/>
    <x v="1"/>
    <x v="452"/>
    <x v="1"/>
    <x v="6"/>
    <x v="20"/>
    <x v="4"/>
    <x v="19"/>
    <x v="30"/>
    <x v="131"/>
    <x v="18"/>
    <x v="18"/>
    <x v="2"/>
  </r>
  <r>
    <x v="3"/>
    <x v="1"/>
    <x v="452"/>
    <x v="1"/>
    <x v="6"/>
    <x v="20"/>
    <x v="0"/>
    <x v="30"/>
    <x v="29"/>
    <x v="242"/>
    <x v="20"/>
    <x v="20"/>
    <x v="2"/>
  </r>
  <r>
    <x v="3"/>
    <x v="1"/>
    <x v="452"/>
    <x v="1"/>
    <x v="6"/>
    <x v="20"/>
    <x v="3"/>
    <x v="19"/>
    <x v="77"/>
    <x v="514"/>
    <x v="28"/>
    <x v="28"/>
    <x v="2"/>
  </r>
  <r>
    <x v="3"/>
    <x v="1"/>
    <x v="481"/>
    <x v="1"/>
    <x v="6"/>
    <x v="20"/>
    <x v="2"/>
    <x v="33"/>
    <x v="167"/>
    <x v="1805"/>
    <x v="30"/>
    <x v="30"/>
    <x v="2"/>
  </r>
  <r>
    <x v="3"/>
    <x v="1"/>
    <x v="481"/>
    <x v="1"/>
    <x v="6"/>
    <x v="20"/>
    <x v="1"/>
    <x v="28"/>
    <x v="68"/>
    <x v="644"/>
    <x v="30"/>
    <x v="30"/>
    <x v="2"/>
  </r>
  <r>
    <x v="3"/>
    <x v="1"/>
    <x v="481"/>
    <x v="1"/>
    <x v="6"/>
    <x v="20"/>
    <x v="5"/>
    <x v="25"/>
    <x v="68"/>
    <x v="575"/>
    <x v="20"/>
    <x v="20"/>
    <x v="2"/>
  </r>
  <r>
    <x v="3"/>
    <x v="1"/>
    <x v="481"/>
    <x v="1"/>
    <x v="6"/>
    <x v="20"/>
    <x v="4"/>
    <x v="25"/>
    <x v="61"/>
    <x v="490"/>
    <x v="19"/>
    <x v="19"/>
    <x v="2"/>
  </r>
  <r>
    <x v="3"/>
    <x v="1"/>
    <x v="481"/>
    <x v="1"/>
    <x v="6"/>
    <x v="20"/>
    <x v="0"/>
    <x v="30"/>
    <x v="68"/>
    <x v="696"/>
    <x v="21"/>
    <x v="21"/>
    <x v="2"/>
  </r>
  <r>
    <x v="3"/>
    <x v="1"/>
    <x v="481"/>
    <x v="1"/>
    <x v="6"/>
    <x v="20"/>
    <x v="3"/>
    <x v="34"/>
    <x v="108"/>
    <x v="1266"/>
    <x v="28"/>
    <x v="28"/>
    <x v="2"/>
  </r>
  <r>
    <x v="3"/>
    <x v="1"/>
    <x v="514"/>
    <x v="1"/>
    <x v="6"/>
    <x v="20"/>
    <x v="2"/>
    <x v="33"/>
    <x v="179"/>
    <x v="1926"/>
    <x v="33"/>
    <x v="33"/>
    <x v="2"/>
  </r>
  <r>
    <x v="3"/>
    <x v="1"/>
    <x v="514"/>
    <x v="1"/>
    <x v="6"/>
    <x v="20"/>
    <x v="1"/>
    <x v="31"/>
    <x v="104"/>
    <x v="1137"/>
    <x v="33"/>
    <x v="33"/>
    <x v="2"/>
  </r>
  <r>
    <x v="3"/>
    <x v="1"/>
    <x v="514"/>
    <x v="1"/>
    <x v="6"/>
    <x v="20"/>
    <x v="5"/>
    <x v="28"/>
    <x v="79"/>
    <x v="780"/>
    <x v="19"/>
    <x v="19"/>
    <x v="2"/>
  </r>
  <r>
    <x v="3"/>
    <x v="1"/>
    <x v="514"/>
    <x v="1"/>
    <x v="6"/>
    <x v="20"/>
    <x v="4"/>
    <x v="28"/>
    <x v="70"/>
    <x v="663"/>
    <x v="21"/>
    <x v="21"/>
    <x v="2"/>
  </r>
  <r>
    <x v="3"/>
    <x v="1"/>
    <x v="514"/>
    <x v="1"/>
    <x v="6"/>
    <x v="20"/>
    <x v="0"/>
    <x v="29"/>
    <x v="75"/>
    <x v="758"/>
    <x v="18"/>
    <x v="18"/>
    <x v="2"/>
  </r>
  <r>
    <x v="3"/>
    <x v="1"/>
    <x v="514"/>
    <x v="1"/>
    <x v="6"/>
    <x v="20"/>
    <x v="3"/>
    <x v="32"/>
    <x v="108"/>
    <x v="1205"/>
    <x v="25"/>
    <x v="25"/>
    <x v="2"/>
  </r>
  <r>
    <x v="3"/>
    <x v="1"/>
    <x v="542"/>
    <x v="1"/>
    <x v="6"/>
    <x v="20"/>
    <x v="2"/>
    <x v="35"/>
    <x v="171"/>
    <x v="1920"/>
    <x v="31"/>
    <x v="31"/>
    <x v="2"/>
  </r>
  <r>
    <x v="3"/>
    <x v="1"/>
    <x v="542"/>
    <x v="1"/>
    <x v="6"/>
    <x v="20"/>
    <x v="1"/>
    <x v="31"/>
    <x v="101"/>
    <x v="1100"/>
    <x v="28"/>
    <x v="28"/>
    <x v="2"/>
  </r>
  <r>
    <x v="3"/>
    <x v="1"/>
    <x v="542"/>
    <x v="1"/>
    <x v="6"/>
    <x v="20"/>
    <x v="5"/>
    <x v="22"/>
    <x v="92"/>
    <x v="740"/>
    <x v="20"/>
    <x v="20"/>
    <x v="2"/>
  </r>
  <r>
    <x v="3"/>
    <x v="1"/>
    <x v="542"/>
    <x v="1"/>
    <x v="6"/>
    <x v="20"/>
    <x v="4"/>
    <x v="27"/>
    <x v="77"/>
    <x v="733"/>
    <x v="22"/>
    <x v="22"/>
    <x v="2"/>
  </r>
  <r>
    <x v="3"/>
    <x v="1"/>
    <x v="542"/>
    <x v="1"/>
    <x v="6"/>
    <x v="20"/>
    <x v="0"/>
    <x v="36"/>
    <x v="76"/>
    <x v="955"/>
    <x v="19"/>
    <x v="19"/>
    <x v="2"/>
  </r>
  <r>
    <x v="3"/>
    <x v="1"/>
    <x v="542"/>
    <x v="1"/>
    <x v="6"/>
    <x v="20"/>
    <x v="3"/>
    <x v="33"/>
    <x v="131"/>
    <x v="1460"/>
    <x v="24"/>
    <x v="24"/>
    <x v="2"/>
  </r>
  <r>
    <x v="3"/>
    <x v="1"/>
    <x v="574"/>
    <x v="1"/>
    <x v="6"/>
    <x v="20"/>
    <x v="2"/>
    <x v="33"/>
    <x v="170"/>
    <x v="1835"/>
    <x v="28"/>
    <x v="28"/>
    <x v="2"/>
  </r>
  <r>
    <x v="3"/>
    <x v="1"/>
    <x v="574"/>
    <x v="1"/>
    <x v="6"/>
    <x v="20"/>
    <x v="1"/>
    <x v="27"/>
    <x v="108"/>
    <x v="1045"/>
    <x v="29"/>
    <x v="29"/>
    <x v="2"/>
  </r>
  <r>
    <x v="3"/>
    <x v="1"/>
    <x v="574"/>
    <x v="1"/>
    <x v="6"/>
    <x v="20"/>
    <x v="5"/>
    <x v="29"/>
    <x v="89"/>
    <x v="912"/>
    <x v="21"/>
    <x v="21"/>
    <x v="2"/>
  </r>
  <r>
    <x v="3"/>
    <x v="1"/>
    <x v="574"/>
    <x v="1"/>
    <x v="6"/>
    <x v="20"/>
    <x v="4"/>
    <x v="25"/>
    <x v="59"/>
    <x v="474"/>
    <x v="19"/>
    <x v="19"/>
    <x v="2"/>
  </r>
  <r>
    <x v="3"/>
    <x v="1"/>
    <x v="574"/>
    <x v="1"/>
    <x v="6"/>
    <x v="20"/>
    <x v="0"/>
    <x v="36"/>
    <x v="51"/>
    <x v="579"/>
    <x v="19"/>
    <x v="19"/>
    <x v="2"/>
  </r>
  <r>
    <x v="3"/>
    <x v="1"/>
    <x v="574"/>
    <x v="1"/>
    <x v="6"/>
    <x v="20"/>
    <x v="3"/>
    <x v="37"/>
    <x v="104"/>
    <x v="1312"/>
    <x v="24"/>
    <x v="24"/>
    <x v="2"/>
  </r>
  <r>
    <x v="3"/>
    <x v="1"/>
    <x v="604"/>
    <x v="1"/>
    <x v="6"/>
    <x v="20"/>
    <x v="2"/>
    <x v="36"/>
    <x v="148"/>
    <x v="1737"/>
    <x v="33"/>
    <x v="33"/>
    <x v="2"/>
  </r>
  <r>
    <x v="3"/>
    <x v="1"/>
    <x v="604"/>
    <x v="1"/>
    <x v="6"/>
    <x v="20"/>
    <x v="1"/>
    <x v="33"/>
    <x v="76"/>
    <x v="879"/>
    <x v="33"/>
    <x v="33"/>
    <x v="2"/>
  </r>
  <r>
    <x v="3"/>
    <x v="1"/>
    <x v="604"/>
    <x v="1"/>
    <x v="6"/>
    <x v="20"/>
    <x v="5"/>
    <x v="26"/>
    <x v="53"/>
    <x v="425"/>
    <x v="18"/>
    <x v="18"/>
    <x v="2"/>
  </r>
  <r>
    <x v="3"/>
    <x v="1"/>
    <x v="604"/>
    <x v="1"/>
    <x v="6"/>
    <x v="20"/>
    <x v="4"/>
    <x v="23"/>
    <x v="47"/>
    <x v="316"/>
    <x v="20"/>
    <x v="20"/>
    <x v="2"/>
  </r>
  <r>
    <x v="3"/>
    <x v="1"/>
    <x v="604"/>
    <x v="1"/>
    <x v="6"/>
    <x v="20"/>
    <x v="0"/>
    <x v="34"/>
    <x v="47"/>
    <x v="493"/>
    <x v="22"/>
    <x v="22"/>
    <x v="2"/>
  </r>
  <r>
    <x v="3"/>
    <x v="1"/>
    <x v="604"/>
    <x v="1"/>
    <x v="6"/>
    <x v="20"/>
    <x v="3"/>
    <x v="38"/>
    <x v="68"/>
    <x v="885"/>
    <x v="28"/>
    <x v="28"/>
    <x v="2"/>
  </r>
  <r>
    <x v="3"/>
    <x v="1"/>
    <x v="636"/>
    <x v="1"/>
    <x v="6"/>
    <x v="20"/>
    <x v="2"/>
    <x v="39"/>
    <x v="132"/>
    <x v="1683"/>
    <x v="28"/>
    <x v="28"/>
    <x v="2"/>
  </r>
  <r>
    <x v="3"/>
    <x v="1"/>
    <x v="636"/>
    <x v="1"/>
    <x v="6"/>
    <x v="20"/>
    <x v="1"/>
    <x v="32"/>
    <x v="77"/>
    <x v="868"/>
    <x v="30"/>
    <x v="30"/>
    <x v="2"/>
  </r>
  <r>
    <x v="3"/>
    <x v="1"/>
    <x v="636"/>
    <x v="1"/>
    <x v="6"/>
    <x v="20"/>
    <x v="5"/>
    <x v="29"/>
    <x v="50"/>
    <x v="447"/>
    <x v="23"/>
    <x v="23"/>
    <x v="2"/>
  </r>
  <r>
    <x v="3"/>
    <x v="1"/>
    <x v="636"/>
    <x v="1"/>
    <x v="6"/>
    <x v="20"/>
    <x v="4"/>
    <x v="36"/>
    <x v="34"/>
    <x v="370"/>
    <x v="22"/>
    <x v="22"/>
    <x v="2"/>
  </r>
  <r>
    <x v="3"/>
    <x v="1"/>
    <x v="636"/>
    <x v="1"/>
    <x v="6"/>
    <x v="20"/>
    <x v="0"/>
    <x v="43"/>
    <x v="34"/>
    <x v="461"/>
    <x v="19"/>
    <x v="19"/>
    <x v="2"/>
  </r>
  <r>
    <x v="1"/>
    <x v="1"/>
    <x v="636"/>
    <x v="1"/>
    <x v="6"/>
    <x v="20"/>
    <x v="3"/>
    <x v="39"/>
    <x v="77"/>
    <x v="1037"/>
    <x v="28"/>
    <x v="28"/>
    <x v="2"/>
  </r>
  <r>
    <x v="1"/>
    <x v="1"/>
    <x v="666"/>
    <x v="1"/>
    <x v="6"/>
    <x v="20"/>
    <x v="2"/>
    <x v="44"/>
    <x v="128"/>
    <x v="1796"/>
    <x v="29"/>
    <x v="29"/>
    <x v="2"/>
  </r>
  <r>
    <x v="1"/>
    <x v="1"/>
    <x v="666"/>
    <x v="1"/>
    <x v="6"/>
    <x v="20"/>
    <x v="1"/>
    <x v="30"/>
    <x v="87"/>
    <x v="922"/>
    <x v="32"/>
    <x v="32"/>
    <x v="2"/>
  </r>
  <r>
    <x v="1"/>
    <x v="1"/>
    <x v="666"/>
    <x v="1"/>
    <x v="6"/>
    <x v="20"/>
    <x v="5"/>
    <x v="29"/>
    <x v="85"/>
    <x v="877"/>
    <x v="23"/>
    <x v="23"/>
    <x v="2"/>
  </r>
  <r>
    <x v="1"/>
    <x v="1"/>
    <x v="666"/>
    <x v="1"/>
    <x v="6"/>
    <x v="20"/>
    <x v="4"/>
    <x v="32"/>
    <x v="68"/>
    <x v="746"/>
    <x v="23"/>
    <x v="23"/>
    <x v="2"/>
  </r>
  <r>
    <x v="1"/>
    <x v="1"/>
    <x v="666"/>
    <x v="1"/>
    <x v="6"/>
    <x v="20"/>
    <x v="0"/>
    <x v="37"/>
    <x v="73"/>
    <x v="919"/>
    <x v="22"/>
    <x v="22"/>
    <x v="2"/>
  </r>
  <r>
    <x v="1"/>
    <x v="1"/>
    <x v="666"/>
    <x v="1"/>
    <x v="6"/>
    <x v="20"/>
    <x v="3"/>
    <x v="45"/>
    <x v="97"/>
    <x v="1453"/>
    <x v="25"/>
    <x v="25"/>
    <x v="2"/>
  </r>
  <r>
    <x v="1"/>
    <x v="1"/>
    <x v="695"/>
    <x v="1"/>
    <x v="6"/>
    <x v="20"/>
    <x v="2"/>
    <x v="38"/>
    <x v="150"/>
    <x v="1839"/>
    <x v="28"/>
    <x v="28"/>
    <x v="2"/>
  </r>
  <r>
    <x v="1"/>
    <x v="1"/>
    <x v="695"/>
    <x v="1"/>
    <x v="6"/>
    <x v="20"/>
    <x v="1"/>
    <x v="30"/>
    <x v="111"/>
    <x v="1167"/>
    <x v="31"/>
    <x v="31"/>
    <x v="2"/>
  </r>
  <r>
    <x v="1"/>
    <x v="1"/>
    <x v="695"/>
    <x v="1"/>
    <x v="6"/>
    <x v="20"/>
    <x v="5"/>
    <x v="36"/>
    <x v="97"/>
    <x v="1204"/>
    <x v="19"/>
    <x v="19"/>
    <x v="2"/>
  </r>
  <r>
    <x v="1"/>
    <x v="1"/>
    <x v="695"/>
    <x v="1"/>
    <x v="6"/>
    <x v="20"/>
    <x v="4"/>
    <x v="31"/>
    <x v="79"/>
    <x v="861"/>
    <x v="21"/>
    <x v="21"/>
    <x v="2"/>
  </r>
  <r>
    <x v="1"/>
    <x v="1"/>
    <x v="695"/>
    <x v="1"/>
    <x v="6"/>
    <x v="20"/>
    <x v="0"/>
    <x v="35"/>
    <x v="81"/>
    <x v="992"/>
    <x v="21"/>
    <x v="21"/>
    <x v="2"/>
  </r>
  <r>
    <x v="1"/>
    <x v="1"/>
    <x v="695"/>
    <x v="1"/>
    <x v="6"/>
    <x v="20"/>
    <x v="3"/>
    <x v="45"/>
    <x v="101"/>
    <x v="1499"/>
    <x v="23"/>
    <x v="23"/>
    <x v="2"/>
  </r>
  <r>
    <x v="1"/>
    <x v="1"/>
    <x v="368"/>
    <x v="1"/>
    <x v="6"/>
    <x v="20"/>
    <x v="2"/>
    <x v="16"/>
    <x v="128"/>
    <x v="795"/>
    <x v="28"/>
    <x v="28"/>
    <x v="2"/>
  </r>
  <r>
    <x v="1"/>
    <x v="1"/>
    <x v="368"/>
    <x v="1"/>
    <x v="6"/>
    <x v="20"/>
    <x v="1"/>
    <x v="21"/>
    <x v="65"/>
    <x v="453"/>
    <x v="26"/>
    <x v="26"/>
    <x v="2"/>
  </r>
  <r>
    <x v="1"/>
    <x v="1"/>
    <x v="368"/>
    <x v="1"/>
    <x v="6"/>
    <x v="20"/>
    <x v="5"/>
    <x v="12"/>
    <x v="59"/>
    <x v="203"/>
    <x v="28"/>
    <x v="28"/>
    <x v="2"/>
  </r>
  <r>
    <x v="1"/>
    <x v="1"/>
    <x v="368"/>
    <x v="1"/>
    <x v="6"/>
    <x v="20"/>
    <x v="4"/>
    <x v="17"/>
    <x v="14"/>
    <x v="39"/>
    <x v="32"/>
    <x v="32"/>
    <x v="2"/>
  </r>
  <r>
    <x v="1"/>
    <x v="1"/>
    <x v="368"/>
    <x v="1"/>
    <x v="6"/>
    <x v="20"/>
    <x v="0"/>
    <x v="27"/>
    <x v="33"/>
    <x v="248"/>
    <x v="22"/>
    <x v="22"/>
    <x v="2"/>
  </r>
  <r>
    <x v="1"/>
    <x v="1"/>
    <x v="368"/>
    <x v="1"/>
    <x v="6"/>
    <x v="20"/>
    <x v="3"/>
    <x v="19"/>
    <x v="59"/>
    <x v="351"/>
    <x v="33"/>
    <x v="33"/>
    <x v="2"/>
  </r>
  <r>
    <x v="1"/>
    <x v="1"/>
    <x v="397"/>
    <x v="1"/>
    <x v="6"/>
    <x v="20"/>
    <x v="2"/>
    <x v="17"/>
    <x v="140"/>
    <x v="925"/>
    <x v="26"/>
    <x v="26"/>
    <x v="2"/>
  </r>
  <r>
    <x v="1"/>
    <x v="1"/>
    <x v="397"/>
    <x v="1"/>
    <x v="6"/>
    <x v="20"/>
    <x v="1"/>
    <x v="17"/>
    <x v="30"/>
    <x v="111"/>
    <x v="25"/>
    <x v="25"/>
    <x v="2"/>
  </r>
  <r>
    <x v="1"/>
    <x v="1"/>
    <x v="397"/>
    <x v="1"/>
    <x v="6"/>
    <x v="20"/>
    <x v="5"/>
    <x v="11"/>
    <x v="42"/>
    <x v="106"/>
    <x v="29"/>
    <x v="29"/>
    <x v="2"/>
  </r>
  <r>
    <x v="1"/>
    <x v="1"/>
    <x v="397"/>
    <x v="1"/>
    <x v="38"/>
    <x v="43"/>
    <x v="4"/>
    <x v="13"/>
    <x v="7"/>
    <x v="10"/>
    <x v="31"/>
    <x v="31"/>
    <x v="2"/>
  </r>
  <r>
    <x v="1"/>
    <x v="1"/>
    <x v="397"/>
    <x v="1"/>
    <x v="38"/>
    <x v="43"/>
    <x v="0"/>
    <x v="27"/>
    <x v="29"/>
    <x v="199"/>
    <x v="22"/>
    <x v="22"/>
    <x v="2"/>
  </r>
  <r>
    <x v="1"/>
    <x v="1"/>
    <x v="397"/>
    <x v="1"/>
    <x v="38"/>
    <x v="43"/>
    <x v="3"/>
    <x v="20"/>
    <x v="63"/>
    <x v="415"/>
    <x v="33"/>
    <x v="33"/>
    <x v="2"/>
  </r>
  <r>
    <x v="1"/>
    <x v="1"/>
    <x v="423"/>
    <x v="1"/>
    <x v="38"/>
    <x v="43"/>
    <x v="2"/>
    <x v="19"/>
    <x v="135"/>
    <x v="970"/>
    <x v="23"/>
    <x v="23"/>
    <x v="2"/>
  </r>
  <r>
    <x v="1"/>
    <x v="1"/>
    <x v="423"/>
    <x v="1"/>
    <x v="38"/>
    <x v="43"/>
    <x v="1"/>
    <x v="20"/>
    <x v="34"/>
    <x v="165"/>
    <x v="25"/>
    <x v="25"/>
    <x v="2"/>
  </r>
  <r>
    <x v="1"/>
    <x v="1"/>
    <x v="423"/>
    <x v="1"/>
    <x v="38"/>
    <x v="43"/>
    <x v="5"/>
    <x v="10"/>
    <x v="45"/>
    <x v="105"/>
    <x v="33"/>
    <x v="33"/>
    <x v="2"/>
  </r>
  <r>
    <x v="1"/>
    <x v="1"/>
    <x v="423"/>
    <x v="1"/>
    <x v="38"/>
    <x v="43"/>
    <x v="4"/>
    <x v="13"/>
    <x v="3"/>
    <x v="1"/>
    <x v="33"/>
    <x v="33"/>
    <x v="2"/>
  </r>
  <r>
    <x v="1"/>
    <x v="1"/>
    <x v="423"/>
    <x v="1"/>
    <x v="38"/>
    <x v="43"/>
    <x v="0"/>
    <x v="26"/>
    <x v="15"/>
    <x v="82"/>
    <x v="22"/>
    <x v="22"/>
    <x v="2"/>
  </r>
  <r>
    <x v="1"/>
    <x v="1"/>
    <x v="423"/>
    <x v="1"/>
    <x v="38"/>
    <x v="43"/>
    <x v="3"/>
    <x v="18"/>
    <x v="47"/>
    <x v="233"/>
    <x v="30"/>
    <x v="30"/>
    <x v="2"/>
  </r>
  <r>
    <x v="1"/>
    <x v="1"/>
    <x v="455"/>
    <x v="1"/>
    <x v="38"/>
    <x v="43"/>
    <x v="2"/>
    <x v="21"/>
    <x v="112"/>
    <x v="874"/>
    <x v="28"/>
    <x v="28"/>
    <x v="2"/>
  </r>
  <r>
    <x v="1"/>
    <x v="1"/>
    <x v="455"/>
    <x v="1"/>
    <x v="38"/>
    <x v="43"/>
    <x v="1"/>
    <x v="16"/>
    <x v="29"/>
    <x v="98"/>
    <x v="26"/>
    <x v="26"/>
    <x v="2"/>
  </r>
  <r>
    <x v="1"/>
    <x v="1"/>
    <x v="455"/>
    <x v="1"/>
    <x v="38"/>
    <x v="43"/>
    <x v="5"/>
    <x v="9"/>
    <x v="33"/>
    <x v="61"/>
    <x v="28"/>
    <x v="28"/>
    <x v="2"/>
  </r>
  <r>
    <x v="1"/>
    <x v="1"/>
    <x v="455"/>
    <x v="1"/>
    <x v="38"/>
    <x v="43"/>
    <x v="4"/>
    <x v="14"/>
    <x v="8"/>
    <x v="14"/>
    <x v="31"/>
    <x v="31"/>
    <x v="2"/>
  </r>
  <r>
    <x v="1"/>
    <x v="1"/>
    <x v="455"/>
    <x v="1"/>
    <x v="38"/>
    <x v="43"/>
    <x v="0"/>
    <x v="26"/>
    <x v="6"/>
    <x v="27"/>
    <x v="18"/>
    <x v="18"/>
    <x v="2"/>
  </r>
  <r>
    <x v="1"/>
    <x v="1"/>
    <x v="455"/>
    <x v="1"/>
    <x v="38"/>
    <x v="43"/>
    <x v="3"/>
    <x v="19"/>
    <x v="49"/>
    <x v="266"/>
    <x v="30"/>
    <x v="30"/>
    <x v="2"/>
  </r>
  <r>
    <x v="1"/>
    <x v="1"/>
    <x v="484"/>
    <x v="1"/>
    <x v="38"/>
    <x v="43"/>
    <x v="2"/>
    <x v="32"/>
    <x v="129"/>
    <x v="1404"/>
    <x v="27"/>
    <x v="27"/>
    <x v="2"/>
  </r>
  <r>
    <x v="1"/>
    <x v="1"/>
    <x v="484"/>
    <x v="1"/>
    <x v="38"/>
    <x v="43"/>
    <x v="1"/>
    <x v="25"/>
    <x v="47"/>
    <x v="346"/>
    <x v="23"/>
    <x v="23"/>
    <x v="2"/>
  </r>
  <r>
    <x v="1"/>
    <x v="1"/>
    <x v="484"/>
    <x v="1"/>
    <x v="38"/>
    <x v="43"/>
    <x v="5"/>
    <x v="25"/>
    <x v="49"/>
    <x v="366"/>
    <x v="28"/>
    <x v="28"/>
    <x v="2"/>
  </r>
  <r>
    <x v="1"/>
    <x v="1"/>
    <x v="484"/>
    <x v="1"/>
    <x v="38"/>
    <x v="43"/>
    <x v="4"/>
    <x v="20"/>
    <x v="40"/>
    <x v="206"/>
    <x v="32"/>
    <x v="32"/>
    <x v="2"/>
  </r>
  <r>
    <x v="1"/>
    <x v="1"/>
    <x v="484"/>
    <x v="1"/>
    <x v="38"/>
    <x v="43"/>
    <x v="0"/>
    <x v="33"/>
    <x v="43"/>
    <x v="437"/>
    <x v="23"/>
    <x v="23"/>
    <x v="2"/>
  </r>
  <r>
    <x v="1"/>
    <x v="1"/>
    <x v="484"/>
    <x v="1"/>
    <x v="38"/>
    <x v="43"/>
    <x v="3"/>
    <x v="29"/>
    <x v="76"/>
    <x v="777"/>
    <x v="30"/>
    <x v="30"/>
    <x v="2"/>
  </r>
  <r>
    <x v="1"/>
    <x v="1"/>
    <x v="517"/>
    <x v="1"/>
    <x v="38"/>
    <x v="43"/>
    <x v="2"/>
    <x v="29"/>
    <x v="153"/>
    <x v="1525"/>
    <x v="26"/>
    <x v="26"/>
    <x v="2"/>
  </r>
  <r>
    <x v="1"/>
    <x v="1"/>
    <x v="517"/>
    <x v="1"/>
    <x v="38"/>
    <x v="43"/>
    <x v="1"/>
    <x v="28"/>
    <x v="87"/>
    <x v="871"/>
    <x v="25"/>
    <x v="25"/>
    <x v="2"/>
  </r>
  <r>
    <x v="1"/>
    <x v="1"/>
    <x v="517"/>
    <x v="1"/>
    <x v="38"/>
    <x v="43"/>
    <x v="5"/>
    <x v="25"/>
    <x v="61"/>
    <x v="490"/>
    <x v="28"/>
    <x v="28"/>
    <x v="2"/>
  </r>
  <r>
    <x v="1"/>
    <x v="1"/>
    <x v="517"/>
    <x v="1"/>
    <x v="38"/>
    <x v="43"/>
    <x v="4"/>
    <x v="19"/>
    <x v="58"/>
    <x v="335"/>
    <x v="32"/>
    <x v="32"/>
    <x v="2"/>
  </r>
  <r>
    <x v="1"/>
    <x v="1"/>
    <x v="517"/>
    <x v="1"/>
    <x v="38"/>
    <x v="43"/>
    <x v="0"/>
    <x v="32"/>
    <x v="55"/>
    <x v="547"/>
    <x v="21"/>
    <x v="21"/>
    <x v="2"/>
  </r>
  <r>
    <x v="1"/>
    <x v="1"/>
    <x v="517"/>
    <x v="1"/>
    <x v="38"/>
    <x v="43"/>
    <x v="3"/>
    <x v="36"/>
    <x v="100"/>
    <x v="1235"/>
    <x v="31"/>
    <x v="31"/>
    <x v="2"/>
  </r>
  <r>
    <x v="1"/>
    <x v="1"/>
    <x v="545"/>
    <x v="1"/>
    <x v="38"/>
    <x v="43"/>
    <x v="2"/>
    <x v="31"/>
    <x v="150"/>
    <x v="1582"/>
    <x v="24"/>
    <x v="24"/>
    <x v="2"/>
  </r>
  <r>
    <x v="1"/>
    <x v="1"/>
    <x v="545"/>
    <x v="1"/>
    <x v="38"/>
    <x v="43"/>
    <x v="1"/>
    <x v="25"/>
    <x v="95"/>
    <x v="861"/>
    <x v="23"/>
    <x v="23"/>
    <x v="2"/>
  </r>
  <r>
    <x v="1"/>
    <x v="1"/>
    <x v="545"/>
    <x v="1"/>
    <x v="38"/>
    <x v="43"/>
    <x v="5"/>
    <x v="20"/>
    <x v="64"/>
    <x v="422"/>
    <x v="31"/>
    <x v="31"/>
    <x v="2"/>
  </r>
  <r>
    <x v="1"/>
    <x v="1"/>
    <x v="545"/>
    <x v="1"/>
    <x v="38"/>
    <x v="43"/>
    <x v="4"/>
    <x v="24"/>
    <x v="49"/>
    <x v="347"/>
    <x v="32"/>
    <x v="32"/>
    <x v="2"/>
  </r>
  <r>
    <x v="1"/>
    <x v="1"/>
    <x v="545"/>
    <x v="1"/>
    <x v="38"/>
    <x v="43"/>
    <x v="0"/>
    <x v="26"/>
    <x v="56"/>
    <x v="460"/>
    <x v="20"/>
    <x v="20"/>
    <x v="2"/>
  </r>
  <r>
    <x v="1"/>
    <x v="1"/>
    <x v="545"/>
    <x v="1"/>
    <x v="38"/>
    <x v="43"/>
    <x v="3"/>
    <x v="31"/>
    <x v="116"/>
    <x v="1246"/>
    <x v="28"/>
    <x v="28"/>
    <x v="2"/>
  </r>
  <r>
    <x v="1"/>
    <x v="1"/>
    <x v="577"/>
    <x v="1"/>
    <x v="38"/>
    <x v="43"/>
    <x v="2"/>
    <x v="31"/>
    <x v="159"/>
    <x v="1657"/>
    <x v="27"/>
    <x v="27"/>
    <x v="2"/>
  </r>
  <r>
    <x v="1"/>
    <x v="1"/>
    <x v="577"/>
    <x v="1"/>
    <x v="38"/>
    <x v="43"/>
    <x v="1"/>
    <x v="24"/>
    <x v="92"/>
    <x v="800"/>
    <x v="24"/>
    <x v="24"/>
    <x v="2"/>
  </r>
  <r>
    <x v="1"/>
    <x v="1"/>
    <x v="577"/>
    <x v="1"/>
    <x v="38"/>
    <x v="43"/>
    <x v="5"/>
    <x v="23"/>
    <x v="70"/>
    <x v="542"/>
    <x v="29"/>
    <x v="29"/>
    <x v="2"/>
  </r>
  <r>
    <x v="1"/>
    <x v="1"/>
    <x v="577"/>
    <x v="1"/>
    <x v="38"/>
    <x v="43"/>
    <x v="4"/>
    <x v="22"/>
    <x v="36"/>
    <x v="200"/>
    <x v="29"/>
    <x v="29"/>
    <x v="2"/>
  </r>
  <r>
    <x v="1"/>
    <x v="1"/>
    <x v="577"/>
    <x v="1"/>
    <x v="38"/>
    <x v="43"/>
    <x v="0"/>
    <x v="30"/>
    <x v="29"/>
    <x v="242"/>
    <x v="22"/>
    <x v="22"/>
    <x v="2"/>
  </r>
  <r>
    <x v="1"/>
    <x v="1"/>
    <x v="577"/>
    <x v="1"/>
    <x v="38"/>
    <x v="43"/>
    <x v="3"/>
    <x v="31"/>
    <x v="79"/>
    <x v="861"/>
    <x v="33"/>
    <x v="33"/>
    <x v="2"/>
  </r>
  <r>
    <x v="1"/>
    <x v="1"/>
    <x v="607"/>
    <x v="1"/>
    <x v="38"/>
    <x v="43"/>
    <x v="2"/>
    <x v="32"/>
    <x v="108"/>
    <x v="1205"/>
    <x v="28"/>
    <x v="28"/>
    <x v="2"/>
  </r>
  <r>
    <x v="1"/>
    <x v="1"/>
    <x v="607"/>
    <x v="1"/>
    <x v="38"/>
    <x v="43"/>
    <x v="1"/>
    <x v="23"/>
    <x v="65"/>
    <x v="491"/>
    <x v="23"/>
    <x v="23"/>
    <x v="2"/>
  </r>
  <r>
    <x v="1"/>
    <x v="1"/>
    <x v="607"/>
    <x v="1"/>
    <x v="38"/>
    <x v="43"/>
    <x v="5"/>
    <x v="22"/>
    <x v="28"/>
    <x v="149"/>
    <x v="29"/>
    <x v="29"/>
    <x v="2"/>
  </r>
  <r>
    <x v="1"/>
    <x v="1"/>
    <x v="607"/>
    <x v="1"/>
    <x v="38"/>
    <x v="43"/>
    <x v="4"/>
    <x v="23"/>
    <x v="22"/>
    <x v="107"/>
    <x v="32"/>
    <x v="32"/>
    <x v="2"/>
  </r>
  <r>
    <x v="1"/>
    <x v="1"/>
    <x v="607"/>
    <x v="1"/>
    <x v="38"/>
    <x v="43"/>
    <x v="0"/>
    <x v="27"/>
    <x v="23"/>
    <x v="145"/>
    <x v="22"/>
    <x v="22"/>
    <x v="2"/>
  </r>
  <r>
    <x v="1"/>
    <x v="1"/>
    <x v="607"/>
    <x v="1"/>
    <x v="38"/>
    <x v="43"/>
    <x v="3"/>
    <x v="34"/>
    <x v="53"/>
    <x v="564"/>
    <x v="31"/>
    <x v="31"/>
    <x v="2"/>
  </r>
  <r>
    <x v="1"/>
    <x v="1"/>
    <x v="639"/>
    <x v="1"/>
    <x v="38"/>
    <x v="43"/>
    <x v="2"/>
    <x v="30"/>
    <x v="94"/>
    <x v="1000"/>
    <x v="27"/>
    <x v="27"/>
    <x v="2"/>
  </r>
  <r>
    <x v="1"/>
    <x v="1"/>
    <x v="639"/>
    <x v="1"/>
    <x v="38"/>
    <x v="43"/>
    <x v="1"/>
    <x v="31"/>
    <x v="56"/>
    <x v="551"/>
    <x v="24"/>
    <x v="24"/>
    <x v="2"/>
  </r>
  <r>
    <x v="1"/>
    <x v="1"/>
    <x v="639"/>
    <x v="1"/>
    <x v="38"/>
    <x v="43"/>
    <x v="5"/>
    <x v="33"/>
    <x v="20"/>
    <x v="163"/>
    <x v="30"/>
    <x v="30"/>
    <x v="2"/>
  </r>
  <r>
    <x v="1"/>
    <x v="1"/>
    <x v="639"/>
    <x v="1"/>
    <x v="38"/>
    <x v="43"/>
    <x v="4"/>
    <x v="32"/>
    <x v="13"/>
    <x v="94"/>
    <x v="31"/>
    <x v="31"/>
    <x v="2"/>
  </r>
  <r>
    <x v="1"/>
    <x v="1"/>
    <x v="639"/>
    <x v="1"/>
    <x v="38"/>
    <x v="43"/>
    <x v="0"/>
    <x v="33"/>
    <x v="13"/>
    <x v="98"/>
    <x v="19"/>
    <x v="19"/>
    <x v="2"/>
  </r>
  <r>
    <x v="3"/>
    <x v="1"/>
    <x v="639"/>
    <x v="1"/>
    <x v="38"/>
    <x v="43"/>
    <x v="3"/>
    <x v="40"/>
    <x v="55"/>
    <x v="707"/>
    <x v="30"/>
    <x v="30"/>
    <x v="2"/>
  </r>
  <r>
    <x v="3"/>
    <x v="1"/>
    <x v="669"/>
    <x v="1"/>
    <x v="38"/>
    <x v="43"/>
    <x v="2"/>
    <x v="33"/>
    <x v="87"/>
    <x v="1005"/>
    <x v="28"/>
    <x v="28"/>
    <x v="2"/>
  </r>
  <r>
    <x v="3"/>
    <x v="1"/>
    <x v="669"/>
    <x v="1"/>
    <x v="38"/>
    <x v="43"/>
    <x v="1"/>
    <x v="33"/>
    <x v="61"/>
    <x v="659"/>
    <x v="28"/>
    <x v="28"/>
    <x v="2"/>
  </r>
  <r>
    <x v="3"/>
    <x v="1"/>
    <x v="669"/>
    <x v="1"/>
    <x v="38"/>
    <x v="43"/>
    <x v="5"/>
    <x v="30"/>
    <x v="56"/>
    <x v="533"/>
    <x v="31"/>
    <x v="31"/>
    <x v="2"/>
  </r>
  <r>
    <x v="3"/>
    <x v="1"/>
    <x v="669"/>
    <x v="1"/>
    <x v="38"/>
    <x v="43"/>
    <x v="4"/>
    <x v="29"/>
    <x v="56"/>
    <x v="515"/>
    <x v="31"/>
    <x v="31"/>
    <x v="2"/>
  </r>
  <r>
    <x v="3"/>
    <x v="1"/>
    <x v="669"/>
    <x v="1"/>
    <x v="38"/>
    <x v="43"/>
    <x v="0"/>
    <x v="36"/>
    <x v="50"/>
    <x v="563"/>
    <x v="19"/>
    <x v="19"/>
    <x v="2"/>
  </r>
  <r>
    <x v="3"/>
    <x v="1"/>
    <x v="669"/>
    <x v="1"/>
    <x v="38"/>
    <x v="43"/>
    <x v="3"/>
    <x v="39"/>
    <x v="68"/>
    <x v="902"/>
    <x v="30"/>
    <x v="30"/>
    <x v="2"/>
  </r>
  <r>
    <x v="3"/>
    <x v="1"/>
    <x v="698"/>
    <x v="1"/>
    <x v="38"/>
    <x v="43"/>
    <x v="2"/>
    <x v="41"/>
    <x v="138"/>
    <x v="1815"/>
    <x v="25"/>
    <x v="25"/>
    <x v="2"/>
  </r>
  <r>
    <x v="3"/>
    <x v="1"/>
    <x v="698"/>
    <x v="1"/>
    <x v="38"/>
    <x v="43"/>
    <x v="1"/>
    <x v="30"/>
    <x v="84"/>
    <x v="892"/>
    <x v="23"/>
    <x v="23"/>
    <x v="2"/>
  </r>
  <r>
    <x v="3"/>
    <x v="1"/>
    <x v="698"/>
    <x v="1"/>
    <x v="38"/>
    <x v="43"/>
    <x v="5"/>
    <x v="33"/>
    <x v="73"/>
    <x v="824"/>
    <x v="33"/>
    <x v="33"/>
    <x v="2"/>
  </r>
  <r>
    <x v="3"/>
    <x v="1"/>
    <x v="698"/>
    <x v="1"/>
    <x v="38"/>
    <x v="43"/>
    <x v="4"/>
    <x v="27"/>
    <x v="63"/>
    <x v="561"/>
    <x v="29"/>
    <x v="29"/>
    <x v="2"/>
  </r>
  <r>
    <x v="3"/>
    <x v="1"/>
    <x v="698"/>
    <x v="1"/>
    <x v="38"/>
    <x v="43"/>
    <x v="0"/>
    <x v="34"/>
    <x v="61"/>
    <x v="684"/>
    <x v="23"/>
    <x v="23"/>
    <x v="2"/>
  </r>
  <r>
    <x v="3"/>
    <x v="1"/>
    <x v="698"/>
    <x v="1"/>
    <x v="38"/>
    <x v="43"/>
    <x v="3"/>
    <x v="44"/>
    <x v="92"/>
    <x v="1365"/>
    <x v="29"/>
    <x v="29"/>
    <x v="2"/>
  </r>
  <r>
    <x v="3"/>
    <x v="1"/>
    <x v="375"/>
    <x v="1"/>
    <x v="38"/>
    <x v="43"/>
    <x v="2"/>
    <x v="21"/>
    <x v="120"/>
    <x v="934"/>
    <x v="19"/>
    <x v="19"/>
    <x v="2"/>
  </r>
  <r>
    <x v="3"/>
    <x v="1"/>
    <x v="375"/>
    <x v="1"/>
    <x v="38"/>
    <x v="43"/>
    <x v="1"/>
    <x v="21"/>
    <x v="73"/>
    <x v="520"/>
    <x v="20"/>
    <x v="20"/>
    <x v="2"/>
  </r>
  <r>
    <x v="3"/>
    <x v="1"/>
    <x v="375"/>
    <x v="1"/>
    <x v="38"/>
    <x v="43"/>
    <x v="5"/>
    <x v="15"/>
    <x v="62"/>
    <x v="289"/>
    <x v="15"/>
    <x v="15"/>
    <x v="2"/>
  </r>
  <r>
    <x v="3"/>
    <x v="1"/>
    <x v="375"/>
    <x v="1"/>
    <x v="38"/>
    <x v="43"/>
    <x v="4"/>
    <x v="18"/>
    <x v="23"/>
    <x v="82"/>
    <x v="17"/>
    <x v="17"/>
    <x v="2"/>
  </r>
  <r>
    <x v="3"/>
    <x v="1"/>
    <x v="375"/>
    <x v="1"/>
    <x v="38"/>
    <x v="43"/>
    <x v="0"/>
    <x v="32"/>
    <x v="36"/>
    <x v="339"/>
    <x v="18"/>
    <x v="18"/>
    <x v="2"/>
  </r>
  <r>
    <x v="3"/>
    <x v="1"/>
    <x v="375"/>
    <x v="1"/>
    <x v="38"/>
    <x v="43"/>
    <x v="3"/>
    <x v="19"/>
    <x v="68"/>
    <x v="436"/>
    <x v="20"/>
    <x v="20"/>
    <x v="2"/>
  </r>
  <r>
    <x v="3"/>
    <x v="1"/>
    <x v="404"/>
    <x v="1"/>
    <x v="38"/>
    <x v="43"/>
    <x v="2"/>
    <x v="19"/>
    <x v="134"/>
    <x v="963"/>
    <x v="23"/>
    <x v="23"/>
    <x v="2"/>
  </r>
  <r>
    <x v="3"/>
    <x v="1"/>
    <x v="404"/>
    <x v="1"/>
    <x v="38"/>
    <x v="43"/>
    <x v="1"/>
    <x v="24"/>
    <x v="42"/>
    <x v="286"/>
    <x v="21"/>
    <x v="21"/>
    <x v="2"/>
  </r>
  <r>
    <x v="3"/>
    <x v="1"/>
    <x v="404"/>
    <x v="1"/>
    <x v="38"/>
    <x v="43"/>
    <x v="5"/>
    <x v="17"/>
    <x v="58"/>
    <x v="299"/>
    <x v="15"/>
    <x v="15"/>
    <x v="2"/>
  </r>
  <r>
    <x v="3"/>
    <x v="1"/>
    <x v="404"/>
    <x v="1"/>
    <x v="20"/>
    <x v="8"/>
    <x v="4"/>
    <x v="20"/>
    <x v="62"/>
    <x v="398"/>
    <x v="18"/>
    <x v="18"/>
    <x v="2"/>
  </r>
  <r>
    <x v="3"/>
    <x v="1"/>
    <x v="404"/>
    <x v="1"/>
    <x v="20"/>
    <x v="8"/>
    <x v="0"/>
    <x v="29"/>
    <x v="42"/>
    <x v="361"/>
    <x v="13"/>
    <x v="13"/>
    <x v="2"/>
  </r>
  <r>
    <x v="3"/>
    <x v="1"/>
    <x v="404"/>
    <x v="1"/>
    <x v="20"/>
    <x v="8"/>
    <x v="3"/>
    <x v="23"/>
    <x v="66"/>
    <x v="499"/>
    <x v="18"/>
    <x v="18"/>
    <x v="2"/>
  </r>
  <r>
    <x v="3"/>
    <x v="1"/>
    <x v="430"/>
    <x v="1"/>
    <x v="20"/>
    <x v="8"/>
    <x v="2"/>
    <x v="21"/>
    <x v="134"/>
    <x v="1040"/>
    <x v="20"/>
    <x v="20"/>
    <x v="2"/>
  </r>
  <r>
    <x v="3"/>
    <x v="1"/>
    <x v="430"/>
    <x v="1"/>
    <x v="20"/>
    <x v="8"/>
    <x v="1"/>
    <x v="24"/>
    <x v="50"/>
    <x v="357"/>
    <x v="20"/>
    <x v="20"/>
    <x v="2"/>
  </r>
  <r>
    <x v="3"/>
    <x v="1"/>
    <x v="430"/>
    <x v="1"/>
    <x v="20"/>
    <x v="8"/>
    <x v="5"/>
    <x v="16"/>
    <x v="49"/>
    <x v="207"/>
    <x v="18"/>
    <x v="18"/>
    <x v="2"/>
  </r>
  <r>
    <x v="3"/>
    <x v="1"/>
    <x v="430"/>
    <x v="1"/>
    <x v="20"/>
    <x v="8"/>
    <x v="4"/>
    <x v="18"/>
    <x v="76"/>
    <x v="480"/>
    <x v="14"/>
    <x v="14"/>
    <x v="2"/>
  </r>
  <r>
    <x v="3"/>
    <x v="1"/>
    <x v="430"/>
    <x v="1"/>
    <x v="20"/>
    <x v="8"/>
    <x v="0"/>
    <x v="29"/>
    <x v="21"/>
    <x v="141"/>
    <x v="16"/>
    <x v="16"/>
    <x v="2"/>
  </r>
  <r>
    <x v="3"/>
    <x v="1"/>
    <x v="430"/>
    <x v="1"/>
    <x v="20"/>
    <x v="8"/>
    <x v="3"/>
    <x v="24"/>
    <x v="56"/>
    <x v="424"/>
    <x v="23"/>
    <x v="23"/>
    <x v="2"/>
  </r>
  <r>
    <x v="3"/>
    <x v="1"/>
    <x v="462"/>
    <x v="1"/>
    <x v="20"/>
    <x v="8"/>
    <x v="2"/>
    <x v="21"/>
    <x v="128"/>
    <x v="996"/>
    <x v="19"/>
    <x v="19"/>
    <x v="2"/>
  </r>
  <r>
    <x v="3"/>
    <x v="1"/>
    <x v="462"/>
    <x v="1"/>
    <x v="20"/>
    <x v="8"/>
    <x v="1"/>
    <x v="21"/>
    <x v="40"/>
    <x v="227"/>
    <x v="22"/>
    <x v="22"/>
    <x v="2"/>
  </r>
  <r>
    <x v="3"/>
    <x v="1"/>
    <x v="462"/>
    <x v="1"/>
    <x v="20"/>
    <x v="8"/>
    <x v="5"/>
    <x v="15"/>
    <x v="40"/>
    <x v="145"/>
    <x v="17"/>
    <x v="17"/>
    <x v="2"/>
  </r>
  <r>
    <x v="3"/>
    <x v="1"/>
    <x v="462"/>
    <x v="1"/>
    <x v="20"/>
    <x v="8"/>
    <x v="4"/>
    <x v="16"/>
    <x v="28"/>
    <x v="94"/>
    <x v="14"/>
    <x v="14"/>
    <x v="2"/>
  </r>
  <r>
    <x v="3"/>
    <x v="1"/>
    <x v="462"/>
    <x v="1"/>
    <x v="20"/>
    <x v="8"/>
    <x v="0"/>
    <x v="26"/>
    <x v="33"/>
    <x v="234"/>
    <x v="13"/>
    <x v="13"/>
    <x v="2"/>
  </r>
  <r>
    <x v="3"/>
    <x v="1"/>
    <x v="462"/>
    <x v="1"/>
    <x v="20"/>
    <x v="8"/>
    <x v="3"/>
    <x v="23"/>
    <x v="77"/>
    <x v="621"/>
    <x v="22"/>
    <x v="22"/>
    <x v="2"/>
  </r>
  <r>
    <x v="3"/>
    <x v="1"/>
    <x v="491"/>
    <x v="1"/>
    <x v="20"/>
    <x v="8"/>
    <x v="2"/>
    <x v="34"/>
    <x v="150"/>
    <x v="1693"/>
    <x v="22"/>
    <x v="22"/>
    <x v="2"/>
  </r>
  <r>
    <x v="3"/>
    <x v="1"/>
    <x v="491"/>
    <x v="1"/>
    <x v="20"/>
    <x v="8"/>
    <x v="1"/>
    <x v="27"/>
    <x v="56"/>
    <x v="476"/>
    <x v="22"/>
    <x v="22"/>
    <x v="2"/>
  </r>
  <r>
    <x v="3"/>
    <x v="1"/>
    <x v="491"/>
    <x v="1"/>
    <x v="20"/>
    <x v="8"/>
    <x v="5"/>
    <x v="23"/>
    <x v="56"/>
    <x v="402"/>
    <x v="17"/>
    <x v="17"/>
    <x v="2"/>
  </r>
  <r>
    <x v="3"/>
    <x v="1"/>
    <x v="491"/>
    <x v="1"/>
    <x v="20"/>
    <x v="8"/>
    <x v="4"/>
    <x v="25"/>
    <x v="43"/>
    <x v="311"/>
    <x v="16"/>
    <x v="16"/>
    <x v="2"/>
  </r>
  <r>
    <x v="3"/>
    <x v="1"/>
    <x v="491"/>
    <x v="1"/>
    <x v="20"/>
    <x v="8"/>
    <x v="0"/>
    <x v="32"/>
    <x v="49"/>
    <x v="484"/>
    <x v="14"/>
    <x v="14"/>
    <x v="2"/>
  </r>
  <r>
    <x v="3"/>
    <x v="1"/>
    <x v="491"/>
    <x v="1"/>
    <x v="20"/>
    <x v="8"/>
    <x v="3"/>
    <x v="36"/>
    <x v="86"/>
    <x v="1080"/>
    <x v="20"/>
    <x v="20"/>
    <x v="2"/>
  </r>
  <r>
    <x v="3"/>
    <x v="1"/>
    <x v="524"/>
    <x v="1"/>
    <x v="20"/>
    <x v="8"/>
    <x v="2"/>
    <x v="32"/>
    <x v="172"/>
    <x v="1806"/>
    <x v="21"/>
    <x v="21"/>
    <x v="2"/>
  </r>
  <r>
    <x v="3"/>
    <x v="1"/>
    <x v="524"/>
    <x v="1"/>
    <x v="20"/>
    <x v="8"/>
    <x v="1"/>
    <x v="29"/>
    <x v="95"/>
    <x v="979"/>
    <x v="18"/>
    <x v="18"/>
    <x v="2"/>
  </r>
  <r>
    <x v="3"/>
    <x v="1"/>
    <x v="524"/>
    <x v="1"/>
    <x v="20"/>
    <x v="8"/>
    <x v="5"/>
    <x v="29"/>
    <x v="62"/>
    <x v="589"/>
    <x v="17"/>
    <x v="17"/>
    <x v="2"/>
  </r>
  <r>
    <x v="3"/>
    <x v="1"/>
    <x v="524"/>
    <x v="1"/>
    <x v="20"/>
    <x v="8"/>
    <x v="4"/>
    <x v="27"/>
    <x v="59"/>
    <x v="515"/>
    <x v="14"/>
    <x v="14"/>
    <x v="2"/>
  </r>
  <r>
    <x v="3"/>
    <x v="1"/>
    <x v="524"/>
    <x v="1"/>
    <x v="20"/>
    <x v="8"/>
    <x v="0"/>
    <x v="32"/>
    <x v="61"/>
    <x v="637"/>
    <x v="18"/>
    <x v="18"/>
    <x v="2"/>
  </r>
  <r>
    <x v="3"/>
    <x v="1"/>
    <x v="524"/>
    <x v="1"/>
    <x v="20"/>
    <x v="8"/>
    <x v="3"/>
    <x v="40"/>
    <x v="101"/>
    <x v="1360"/>
    <x v="21"/>
    <x v="21"/>
    <x v="2"/>
  </r>
  <r>
    <x v="3"/>
    <x v="1"/>
    <x v="552"/>
    <x v="1"/>
    <x v="20"/>
    <x v="8"/>
    <x v="2"/>
    <x v="30"/>
    <x v="157"/>
    <x v="1600"/>
    <x v="19"/>
    <x v="19"/>
    <x v="2"/>
  </r>
  <r>
    <x v="3"/>
    <x v="1"/>
    <x v="552"/>
    <x v="1"/>
    <x v="20"/>
    <x v="8"/>
    <x v="1"/>
    <x v="29"/>
    <x v="87"/>
    <x v="893"/>
    <x v="23"/>
    <x v="23"/>
    <x v="2"/>
  </r>
  <r>
    <x v="3"/>
    <x v="1"/>
    <x v="552"/>
    <x v="1"/>
    <x v="20"/>
    <x v="8"/>
    <x v="5"/>
    <x v="25"/>
    <x v="73"/>
    <x v="620"/>
    <x v="16"/>
    <x v="16"/>
    <x v="2"/>
  </r>
  <r>
    <x v="3"/>
    <x v="1"/>
    <x v="552"/>
    <x v="1"/>
    <x v="20"/>
    <x v="8"/>
    <x v="4"/>
    <x v="27"/>
    <x v="63"/>
    <x v="561"/>
    <x v="18"/>
    <x v="18"/>
    <x v="2"/>
  </r>
  <r>
    <x v="3"/>
    <x v="1"/>
    <x v="552"/>
    <x v="1"/>
    <x v="20"/>
    <x v="8"/>
    <x v="0"/>
    <x v="34"/>
    <x v="66"/>
    <x v="760"/>
    <x v="17"/>
    <x v="17"/>
    <x v="2"/>
  </r>
  <r>
    <x v="3"/>
    <x v="1"/>
    <x v="552"/>
    <x v="1"/>
    <x v="20"/>
    <x v="8"/>
    <x v="3"/>
    <x v="34"/>
    <x v="112"/>
    <x v="1301"/>
    <x v="18"/>
    <x v="18"/>
    <x v="2"/>
  </r>
  <r>
    <x v="3"/>
    <x v="1"/>
    <x v="584"/>
    <x v="1"/>
    <x v="20"/>
    <x v="8"/>
    <x v="2"/>
    <x v="33"/>
    <x v="172"/>
    <x v="1851"/>
    <x v="19"/>
    <x v="19"/>
    <x v="2"/>
  </r>
  <r>
    <x v="3"/>
    <x v="1"/>
    <x v="584"/>
    <x v="1"/>
    <x v="20"/>
    <x v="8"/>
    <x v="1"/>
    <x v="26"/>
    <x v="93"/>
    <x v="874"/>
    <x v="18"/>
    <x v="18"/>
    <x v="2"/>
  </r>
  <r>
    <x v="3"/>
    <x v="1"/>
    <x v="584"/>
    <x v="1"/>
    <x v="20"/>
    <x v="8"/>
    <x v="5"/>
    <x v="22"/>
    <x v="70"/>
    <x v="521"/>
    <x v="17"/>
    <x v="17"/>
    <x v="2"/>
  </r>
  <r>
    <x v="3"/>
    <x v="1"/>
    <x v="584"/>
    <x v="1"/>
    <x v="20"/>
    <x v="8"/>
    <x v="4"/>
    <x v="24"/>
    <x v="47"/>
    <x v="330"/>
    <x v="14"/>
    <x v="14"/>
    <x v="2"/>
  </r>
  <r>
    <x v="3"/>
    <x v="1"/>
    <x v="584"/>
    <x v="1"/>
    <x v="20"/>
    <x v="8"/>
    <x v="0"/>
    <x v="33"/>
    <x v="40"/>
    <x v="402"/>
    <x v="13"/>
    <x v="13"/>
    <x v="2"/>
  </r>
  <r>
    <x v="3"/>
    <x v="1"/>
    <x v="584"/>
    <x v="1"/>
    <x v="20"/>
    <x v="8"/>
    <x v="3"/>
    <x v="39"/>
    <x v="80"/>
    <x v="1088"/>
    <x v="21"/>
    <x v="21"/>
    <x v="2"/>
  </r>
  <r>
    <x v="3"/>
    <x v="1"/>
    <x v="614"/>
    <x v="1"/>
    <x v="20"/>
    <x v="8"/>
    <x v="2"/>
    <x v="29"/>
    <x v="132"/>
    <x v="1324"/>
    <x v="20"/>
    <x v="20"/>
    <x v="2"/>
  </r>
  <r>
    <x v="3"/>
    <x v="1"/>
    <x v="614"/>
    <x v="1"/>
    <x v="20"/>
    <x v="8"/>
    <x v="1"/>
    <x v="28"/>
    <x v="73"/>
    <x v="701"/>
    <x v="23"/>
    <x v="23"/>
    <x v="2"/>
  </r>
  <r>
    <x v="3"/>
    <x v="1"/>
    <x v="614"/>
    <x v="1"/>
    <x v="20"/>
    <x v="8"/>
    <x v="5"/>
    <x v="23"/>
    <x v="36"/>
    <x v="218"/>
    <x v="16"/>
    <x v="16"/>
    <x v="2"/>
  </r>
  <r>
    <x v="3"/>
    <x v="1"/>
    <x v="614"/>
    <x v="1"/>
    <x v="20"/>
    <x v="8"/>
    <x v="4"/>
    <x v="27"/>
    <x v="28"/>
    <x v="192"/>
    <x v="13"/>
    <x v="13"/>
    <x v="2"/>
  </r>
  <r>
    <x v="3"/>
    <x v="1"/>
    <x v="614"/>
    <x v="1"/>
    <x v="20"/>
    <x v="8"/>
    <x v="0"/>
    <x v="32"/>
    <x v="30"/>
    <x v="275"/>
    <x v="17"/>
    <x v="17"/>
    <x v="2"/>
  </r>
  <r>
    <x v="3"/>
    <x v="1"/>
    <x v="614"/>
    <x v="1"/>
    <x v="20"/>
    <x v="8"/>
    <x v="3"/>
    <x v="34"/>
    <x v="63"/>
    <x v="722"/>
    <x v="19"/>
    <x v="19"/>
    <x v="2"/>
  </r>
  <r>
    <x v="3"/>
    <x v="1"/>
    <x v="646"/>
    <x v="1"/>
    <x v="20"/>
    <x v="8"/>
    <x v="2"/>
    <x v="33"/>
    <x v="112"/>
    <x v="1272"/>
    <x v="19"/>
    <x v="19"/>
    <x v="2"/>
  </r>
  <r>
    <x v="3"/>
    <x v="1"/>
    <x v="646"/>
    <x v="1"/>
    <x v="20"/>
    <x v="8"/>
    <x v="1"/>
    <x v="30"/>
    <x v="56"/>
    <x v="533"/>
    <x v="21"/>
    <x v="21"/>
    <x v="2"/>
  </r>
  <r>
    <x v="3"/>
    <x v="1"/>
    <x v="646"/>
    <x v="1"/>
    <x v="20"/>
    <x v="8"/>
    <x v="5"/>
    <x v="34"/>
    <x v="27"/>
    <x v="265"/>
    <x v="16"/>
    <x v="16"/>
    <x v="2"/>
  </r>
  <r>
    <x v="3"/>
    <x v="1"/>
    <x v="646"/>
    <x v="1"/>
    <x v="20"/>
    <x v="8"/>
    <x v="4"/>
    <x v="31"/>
    <x v="22"/>
    <x v="166"/>
    <x v="13"/>
    <x v="13"/>
    <x v="2"/>
  </r>
  <r>
    <x v="3"/>
    <x v="1"/>
    <x v="646"/>
    <x v="1"/>
    <x v="20"/>
    <x v="8"/>
    <x v="0"/>
    <x v="44"/>
    <x v="24"/>
    <x v="313"/>
    <x v="14"/>
    <x v="14"/>
    <x v="2"/>
  </r>
  <r>
    <x v="0"/>
    <x v="1"/>
    <x v="646"/>
    <x v="1"/>
    <x v="20"/>
    <x v="8"/>
    <x v="3"/>
    <x v="44"/>
    <x v="56"/>
    <x v="809"/>
    <x v="21"/>
    <x v="21"/>
    <x v="2"/>
  </r>
  <r>
    <x v="0"/>
    <x v="1"/>
    <x v="676"/>
    <x v="1"/>
    <x v="20"/>
    <x v="8"/>
    <x v="2"/>
    <x v="42"/>
    <x v="101"/>
    <x v="1412"/>
    <x v="21"/>
    <x v="21"/>
    <x v="2"/>
  </r>
  <r>
    <x v="0"/>
    <x v="1"/>
    <x v="676"/>
    <x v="1"/>
    <x v="20"/>
    <x v="8"/>
    <x v="1"/>
    <x v="33"/>
    <x v="84"/>
    <x v="975"/>
    <x v="21"/>
    <x v="21"/>
    <x v="2"/>
  </r>
  <r>
    <x v="0"/>
    <x v="1"/>
    <x v="676"/>
    <x v="1"/>
    <x v="20"/>
    <x v="8"/>
    <x v="5"/>
    <x v="37"/>
    <x v="75"/>
    <x v="958"/>
    <x v="16"/>
    <x v="16"/>
    <x v="2"/>
  </r>
  <r>
    <x v="0"/>
    <x v="1"/>
    <x v="676"/>
    <x v="1"/>
    <x v="20"/>
    <x v="8"/>
    <x v="4"/>
    <x v="35"/>
    <x v="68"/>
    <x v="818"/>
    <x v="15"/>
    <x v="15"/>
    <x v="2"/>
  </r>
  <r>
    <x v="0"/>
    <x v="1"/>
    <x v="676"/>
    <x v="1"/>
    <x v="20"/>
    <x v="8"/>
    <x v="0"/>
    <x v="43"/>
    <x v="64"/>
    <x v="927"/>
    <x v="18"/>
    <x v="18"/>
    <x v="2"/>
  </r>
  <r>
    <x v="0"/>
    <x v="1"/>
    <x v="676"/>
    <x v="1"/>
    <x v="20"/>
    <x v="8"/>
    <x v="3"/>
    <x v="41"/>
    <x v="103"/>
    <x v="1419"/>
    <x v="21"/>
    <x v="21"/>
    <x v="2"/>
  </r>
  <r>
    <x v="0"/>
    <x v="1"/>
    <x v="705"/>
    <x v="1"/>
    <x v="20"/>
    <x v="8"/>
    <x v="2"/>
    <x v="44"/>
    <x v="155"/>
    <x v="2076"/>
    <x v="21"/>
    <x v="21"/>
    <x v="2"/>
  </r>
  <r>
    <x v="0"/>
    <x v="1"/>
    <x v="705"/>
    <x v="1"/>
    <x v="20"/>
    <x v="8"/>
    <x v="1"/>
    <x v="30"/>
    <x v="94"/>
    <x v="1000"/>
    <x v="18"/>
    <x v="18"/>
    <x v="2"/>
  </r>
  <r>
    <x v="0"/>
    <x v="1"/>
    <x v="705"/>
    <x v="1"/>
    <x v="20"/>
    <x v="8"/>
    <x v="5"/>
    <x v="29"/>
    <x v="93"/>
    <x v="964"/>
    <x v="13"/>
    <x v="13"/>
    <x v="2"/>
  </r>
  <r>
    <x v="0"/>
    <x v="1"/>
    <x v="705"/>
    <x v="1"/>
    <x v="20"/>
    <x v="8"/>
    <x v="4"/>
    <x v="36"/>
    <x v="87"/>
    <x v="1091"/>
    <x v="14"/>
    <x v="14"/>
    <x v="2"/>
  </r>
  <r>
    <x v="0"/>
    <x v="1"/>
    <x v="705"/>
    <x v="1"/>
    <x v="20"/>
    <x v="8"/>
    <x v="0"/>
    <x v="45"/>
    <x v="74"/>
    <x v="1130"/>
    <x v="15"/>
    <x v="15"/>
    <x v="2"/>
  </r>
  <r>
    <x v="0"/>
    <x v="1"/>
    <x v="705"/>
    <x v="1"/>
    <x v="20"/>
    <x v="8"/>
    <x v="3"/>
    <x v="44"/>
    <x v="108"/>
    <x v="1573"/>
    <x v="19"/>
    <x v="19"/>
    <x v="2"/>
  </r>
  <r>
    <x v="0"/>
    <x v="1"/>
    <x v="372"/>
    <x v="1"/>
    <x v="20"/>
    <x v="8"/>
    <x v="2"/>
    <x v="28"/>
    <x v="156"/>
    <x v="1507"/>
    <x v="38"/>
    <x v="38"/>
    <x v="2"/>
  </r>
  <r>
    <x v="0"/>
    <x v="1"/>
    <x v="372"/>
    <x v="1"/>
    <x v="20"/>
    <x v="8"/>
    <x v="1"/>
    <x v="29"/>
    <x v="89"/>
    <x v="912"/>
    <x v="35"/>
    <x v="35"/>
    <x v="2"/>
  </r>
  <r>
    <x v="0"/>
    <x v="1"/>
    <x v="372"/>
    <x v="1"/>
    <x v="20"/>
    <x v="8"/>
    <x v="5"/>
    <x v="20"/>
    <x v="83"/>
    <x v="598"/>
    <x v="26"/>
    <x v="26"/>
    <x v="2"/>
  </r>
  <r>
    <x v="0"/>
    <x v="1"/>
    <x v="372"/>
    <x v="1"/>
    <x v="20"/>
    <x v="8"/>
    <x v="4"/>
    <x v="22"/>
    <x v="42"/>
    <x v="260"/>
    <x v="25"/>
    <x v="25"/>
    <x v="2"/>
  </r>
  <r>
    <x v="0"/>
    <x v="1"/>
    <x v="372"/>
    <x v="1"/>
    <x v="20"/>
    <x v="8"/>
    <x v="0"/>
    <x v="30"/>
    <x v="58"/>
    <x v="553"/>
    <x v="27"/>
    <x v="27"/>
    <x v="2"/>
  </r>
  <r>
    <x v="0"/>
    <x v="1"/>
    <x v="372"/>
    <x v="1"/>
    <x v="20"/>
    <x v="8"/>
    <x v="3"/>
    <x v="27"/>
    <x v="86"/>
    <x v="829"/>
    <x v="29"/>
    <x v="29"/>
    <x v="2"/>
  </r>
  <r>
    <x v="0"/>
    <x v="1"/>
    <x v="401"/>
    <x v="1"/>
    <x v="20"/>
    <x v="8"/>
    <x v="2"/>
    <x v="26"/>
    <x v="160"/>
    <x v="1457"/>
    <x v="33"/>
    <x v="33"/>
    <x v="2"/>
  </r>
  <r>
    <x v="0"/>
    <x v="1"/>
    <x v="401"/>
    <x v="1"/>
    <x v="20"/>
    <x v="8"/>
    <x v="1"/>
    <x v="26"/>
    <x v="59"/>
    <x v="492"/>
    <x v="33"/>
    <x v="33"/>
    <x v="2"/>
  </r>
  <r>
    <x v="0"/>
    <x v="1"/>
    <x v="401"/>
    <x v="1"/>
    <x v="20"/>
    <x v="8"/>
    <x v="5"/>
    <x v="18"/>
    <x v="70"/>
    <x v="429"/>
    <x v="26"/>
    <x v="26"/>
    <x v="2"/>
  </r>
  <r>
    <x v="0"/>
    <x v="1"/>
    <x v="401"/>
    <x v="1"/>
    <x v="44"/>
    <x v="9"/>
    <x v="4"/>
    <x v="23"/>
    <x v="37"/>
    <x v="230"/>
    <x v="24"/>
    <x v="24"/>
    <x v="2"/>
  </r>
  <r>
    <x v="0"/>
    <x v="1"/>
    <x v="401"/>
    <x v="1"/>
    <x v="44"/>
    <x v="9"/>
    <x v="0"/>
    <x v="29"/>
    <x v="56"/>
    <x v="515"/>
    <x v="25"/>
    <x v="25"/>
    <x v="2"/>
  </r>
  <r>
    <x v="0"/>
    <x v="1"/>
    <x v="401"/>
    <x v="1"/>
    <x v="44"/>
    <x v="9"/>
    <x v="3"/>
    <x v="28"/>
    <x v="89"/>
    <x v="889"/>
    <x v="33"/>
    <x v="33"/>
    <x v="2"/>
  </r>
  <r>
    <x v="0"/>
    <x v="1"/>
    <x v="427"/>
    <x v="1"/>
    <x v="44"/>
    <x v="9"/>
    <x v="2"/>
    <x v="28"/>
    <x v="161"/>
    <x v="1563"/>
    <x v="35"/>
    <x v="35"/>
    <x v="2"/>
  </r>
  <r>
    <x v="0"/>
    <x v="1"/>
    <x v="427"/>
    <x v="1"/>
    <x v="44"/>
    <x v="9"/>
    <x v="1"/>
    <x v="29"/>
    <x v="66"/>
    <x v="636"/>
    <x v="36"/>
    <x v="36"/>
    <x v="2"/>
  </r>
  <r>
    <x v="0"/>
    <x v="1"/>
    <x v="427"/>
    <x v="1"/>
    <x v="44"/>
    <x v="9"/>
    <x v="5"/>
    <x v="16"/>
    <x v="70"/>
    <x v="377"/>
    <x v="24"/>
    <x v="24"/>
    <x v="2"/>
  </r>
  <r>
    <x v="0"/>
    <x v="1"/>
    <x v="427"/>
    <x v="1"/>
    <x v="44"/>
    <x v="9"/>
    <x v="4"/>
    <x v="23"/>
    <x v="28"/>
    <x v="156"/>
    <x v="26"/>
    <x v="26"/>
    <x v="2"/>
  </r>
  <r>
    <x v="0"/>
    <x v="1"/>
    <x v="427"/>
    <x v="1"/>
    <x v="44"/>
    <x v="9"/>
    <x v="0"/>
    <x v="29"/>
    <x v="45"/>
    <x v="394"/>
    <x v="25"/>
    <x v="25"/>
    <x v="2"/>
  </r>
  <r>
    <x v="0"/>
    <x v="1"/>
    <x v="427"/>
    <x v="1"/>
    <x v="44"/>
    <x v="9"/>
    <x v="3"/>
    <x v="22"/>
    <x v="79"/>
    <x v="614"/>
    <x v="32"/>
    <x v="32"/>
    <x v="2"/>
  </r>
  <r>
    <x v="0"/>
    <x v="1"/>
    <x v="459"/>
    <x v="1"/>
    <x v="44"/>
    <x v="9"/>
    <x v="2"/>
    <x v="23"/>
    <x v="146"/>
    <x v="1219"/>
    <x v="38"/>
    <x v="38"/>
    <x v="2"/>
  </r>
  <r>
    <x v="0"/>
    <x v="1"/>
    <x v="459"/>
    <x v="1"/>
    <x v="44"/>
    <x v="9"/>
    <x v="1"/>
    <x v="28"/>
    <x v="56"/>
    <x v="495"/>
    <x v="33"/>
    <x v="33"/>
    <x v="2"/>
  </r>
  <r>
    <x v="0"/>
    <x v="1"/>
    <x v="459"/>
    <x v="1"/>
    <x v="44"/>
    <x v="9"/>
    <x v="5"/>
    <x v="18"/>
    <x v="61"/>
    <x v="344"/>
    <x v="28"/>
    <x v="28"/>
    <x v="2"/>
  </r>
  <r>
    <x v="0"/>
    <x v="1"/>
    <x v="459"/>
    <x v="1"/>
    <x v="44"/>
    <x v="9"/>
    <x v="4"/>
    <x v="23"/>
    <x v="39"/>
    <x v="250"/>
    <x v="26"/>
    <x v="26"/>
    <x v="2"/>
  </r>
  <r>
    <x v="0"/>
    <x v="1"/>
    <x v="459"/>
    <x v="1"/>
    <x v="44"/>
    <x v="9"/>
    <x v="0"/>
    <x v="34"/>
    <x v="42"/>
    <x v="439"/>
    <x v="28"/>
    <x v="28"/>
    <x v="2"/>
  </r>
  <r>
    <x v="0"/>
    <x v="1"/>
    <x v="459"/>
    <x v="1"/>
    <x v="44"/>
    <x v="9"/>
    <x v="3"/>
    <x v="29"/>
    <x v="74"/>
    <x v="747"/>
    <x v="30"/>
    <x v="30"/>
    <x v="2"/>
  </r>
  <r>
    <x v="0"/>
    <x v="1"/>
    <x v="488"/>
    <x v="1"/>
    <x v="44"/>
    <x v="9"/>
    <x v="2"/>
    <x v="41"/>
    <x v="154"/>
    <x v="1974"/>
    <x v="37"/>
    <x v="37"/>
    <x v="2"/>
  </r>
  <r>
    <x v="0"/>
    <x v="1"/>
    <x v="488"/>
    <x v="1"/>
    <x v="44"/>
    <x v="9"/>
    <x v="1"/>
    <x v="34"/>
    <x v="77"/>
    <x v="913"/>
    <x v="37"/>
    <x v="37"/>
    <x v="2"/>
  </r>
  <r>
    <x v="0"/>
    <x v="1"/>
    <x v="488"/>
    <x v="1"/>
    <x v="44"/>
    <x v="9"/>
    <x v="5"/>
    <x v="30"/>
    <x v="79"/>
    <x v="832"/>
    <x v="23"/>
    <x v="23"/>
    <x v="2"/>
  </r>
  <r>
    <x v="0"/>
    <x v="1"/>
    <x v="488"/>
    <x v="1"/>
    <x v="44"/>
    <x v="9"/>
    <x v="4"/>
    <x v="33"/>
    <x v="68"/>
    <x v="770"/>
    <x v="26"/>
    <x v="26"/>
    <x v="2"/>
  </r>
  <r>
    <x v="0"/>
    <x v="1"/>
    <x v="488"/>
    <x v="1"/>
    <x v="44"/>
    <x v="9"/>
    <x v="0"/>
    <x v="39"/>
    <x v="75"/>
    <x v="1003"/>
    <x v="27"/>
    <x v="27"/>
    <x v="2"/>
  </r>
  <r>
    <x v="0"/>
    <x v="1"/>
    <x v="488"/>
    <x v="1"/>
    <x v="44"/>
    <x v="9"/>
    <x v="3"/>
    <x v="40"/>
    <x v="101"/>
    <x v="1360"/>
    <x v="32"/>
    <x v="32"/>
    <x v="2"/>
  </r>
  <r>
    <x v="0"/>
    <x v="1"/>
    <x v="521"/>
    <x v="1"/>
    <x v="44"/>
    <x v="9"/>
    <x v="2"/>
    <x v="40"/>
    <x v="171"/>
    <x v="2087"/>
    <x v="35"/>
    <x v="35"/>
    <x v="2"/>
  </r>
  <r>
    <x v="0"/>
    <x v="1"/>
    <x v="521"/>
    <x v="1"/>
    <x v="44"/>
    <x v="9"/>
    <x v="1"/>
    <x v="37"/>
    <x v="101"/>
    <x v="1272"/>
    <x v="36"/>
    <x v="36"/>
    <x v="2"/>
  </r>
  <r>
    <x v="0"/>
    <x v="1"/>
    <x v="521"/>
    <x v="1"/>
    <x v="44"/>
    <x v="9"/>
    <x v="5"/>
    <x v="28"/>
    <x v="86"/>
    <x v="859"/>
    <x v="25"/>
    <x v="25"/>
    <x v="2"/>
  </r>
  <r>
    <x v="0"/>
    <x v="1"/>
    <x v="521"/>
    <x v="1"/>
    <x v="44"/>
    <x v="9"/>
    <x v="4"/>
    <x v="31"/>
    <x v="84"/>
    <x v="920"/>
    <x v="26"/>
    <x v="26"/>
    <x v="2"/>
  </r>
  <r>
    <x v="0"/>
    <x v="1"/>
    <x v="521"/>
    <x v="1"/>
    <x v="44"/>
    <x v="9"/>
    <x v="0"/>
    <x v="37"/>
    <x v="87"/>
    <x v="1115"/>
    <x v="27"/>
    <x v="27"/>
    <x v="2"/>
  </r>
  <r>
    <x v="0"/>
    <x v="1"/>
    <x v="521"/>
    <x v="1"/>
    <x v="44"/>
    <x v="9"/>
    <x v="3"/>
    <x v="42"/>
    <x v="137"/>
    <x v="1830"/>
    <x v="31"/>
    <x v="31"/>
    <x v="2"/>
  </r>
  <r>
    <x v="0"/>
    <x v="1"/>
    <x v="549"/>
    <x v="1"/>
    <x v="44"/>
    <x v="9"/>
    <x v="2"/>
    <x v="38"/>
    <x v="182"/>
    <x v="2117"/>
    <x v="38"/>
    <x v="38"/>
    <x v="2"/>
  </r>
  <r>
    <x v="0"/>
    <x v="1"/>
    <x v="549"/>
    <x v="1"/>
    <x v="44"/>
    <x v="9"/>
    <x v="1"/>
    <x v="35"/>
    <x v="125"/>
    <x v="1463"/>
    <x v="36"/>
    <x v="36"/>
    <x v="2"/>
  </r>
  <r>
    <x v="0"/>
    <x v="1"/>
    <x v="549"/>
    <x v="1"/>
    <x v="44"/>
    <x v="9"/>
    <x v="5"/>
    <x v="26"/>
    <x v="91"/>
    <x v="845"/>
    <x v="23"/>
    <x v="23"/>
    <x v="2"/>
  </r>
  <r>
    <x v="0"/>
    <x v="1"/>
    <x v="549"/>
    <x v="1"/>
    <x v="44"/>
    <x v="9"/>
    <x v="4"/>
    <x v="29"/>
    <x v="79"/>
    <x v="805"/>
    <x v="28"/>
    <x v="28"/>
    <x v="2"/>
  </r>
  <r>
    <x v="0"/>
    <x v="1"/>
    <x v="549"/>
    <x v="1"/>
    <x v="44"/>
    <x v="9"/>
    <x v="0"/>
    <x v="32"/>
    <x v="95"/>
    <x v="1069"/>
    <x v="24"/>
    <x v="24"/>
    <x v="2"/>
  </r>
  <r>
    <x v="0"/>
    <x v="1"/>
    <x v="549"/>
    <x v="1"/>
    <x v="44"/>
    <x v="9"/>
    <x v="3"/>
    <x v="42"/>
    <x v="152"/>
    <x v="1990"/>
    <x v="33"/>
    <x v="33"/>
    <x v="2"/>
  </r>
  <r>
    <x v="0"/>
    <x v="1"/>
    <x v="581"/>
    <x v="1"/>
    <x v="44"/>
    <x v="9"/>
    <x v="2"/>
    <x v="35"/>
    <x v="185"/>
    <x v="2068"/>
    <x v="37"/>
    <x v="37"/>
    <x v="2"/>
  </r>
  <r>
    <x v="0"/>
    <x v="1"/>
    <x v="581"/>
    <x v="1"/>
    <x v="44"/>
    <x v="9"/>
    <x v="1"/>
    <x v="36"/>
    <x v="128"/>
    <x v="1544"/>
    <x v="38"/>
    <x v="38"/>
    <x v="2"/>
  </r>
  <r>
    <x v="0"/>
    <x v="1"/>
    <x v="581"/>
    <x v="1"/>
    <x v="44"/>
    <x v="9"/>
    <x v="5"/>
    <x v="27"/>
    <x v="97"/>
    <x v="940"/>
    <x v="25"/>
    <x v="25"/>
    <x v="2"/>
  </r>
  <r>
    <x v="0"/>
    <x v="1"/>
    <x v="581"/>
    <x v="1"/>
    <x v="44"/>
    <x v="9"/>
    <x v="4"/>
    <x v="33"/>
    <x v="70"/>
    <x v="790"/>
    <x v="28"/>
    <x v="28"/>
    <x v="2"/>
  </r>
  <r>
    <x v="0"/>
    <x v="1"/>
    <x v="581"/>
    <x v="1"/>
    <x v="44"/>
    <x v="9"/>
    <x v="0"/>
    <x v="36"/>
    <x v="59"/>
    <x v="705"/>
    <x v="25"/>
    <x v="25"/>
    <x v="2"/>
  </r>
  <r>
    <x v="0"/>
    <x v="1"/>
    <x v="581"/>
    <x v="1"/>
    <x v="44"/>
    <x v="9"/>
    <x v="3"/>
    <x v="37"/>
    <x v="116"/>
    <x v="1437"/>
    <x v="29"/>
    <x v="29"/>
    <x v="2"/>
  </r>
  <r>
    <x v="0"/>
    <x v="1"/>
    <x v="611"/>
    <x v="1"/>
    <x v="44"/>
    <x v="9"/>
    <x v="2"/>
    <x v="37"/>
    <x v="156"/>
    <x v="1858"/>
    <x v="35"/>
    <x v="35"/>
    <x v="2"/>
  </r>
  <r>
    <x v="0"/>
    <x v="1"/>
    <x v="611"/>
    <x v="1"/>
    <x v="44"/>
    <x v="9"/>
    <x v="1"/>
    <x v="35"/>
    <x v="92"/>
    <x v="1125"/>
    <x v="37"/>
    <x v="37"/>
    <x v="2"/>
  </r>
  <r>
    <x v="0"/>
    <x v="1"/>
    <x v="611"/>
    <x v="1"/>
    <x v="44"/>
    <x v="9"/>
    <x v="5"/>
    <x v="33"/>
    <x v="59"/>
    <x v="636"/>
    <x v="28"/>
    <x v="28"/>
    <x v="2"/>
  </r>
  <r>
    <x v="0"/>
    <x v="1"/>
    <x v="611"/>
    <x v="1"/>
    <x v="44"/>
    <x v="9"/>
    <x v="4"/>
    <x v="28"/>
    <x v="55"/>
    <x v="475"/>
    <x v="26"/>
    <x v="26"/>
    <x v="2"/>
  </r>
  <r>
    <x v="0"/>
    <x v="1"/>
    <x v="611"/>
    <x v="1"/>
    <x v="44"/>
    <x v="9"/>
    <x v="0"/>
    <x v="41"/>
    <x v="56"/>
    <x v="755"/>
    <x v="23"/>
    <x v="23"/>
    <x v="2"/>
  </r>
  <r>
    <x v="0"/>
    <x v="1"/>
    <x v="611"/>
    <x v="1"/>
    <x v="44"/>
    <x v="9"/>
    <x v="3"/>
    <x v="38"/>
    <x v="76"/>
    <x v="1002"/>
    <x v="32"/>
    <x v="32"/>
    <x v="2"/>
  </r>
  <r>
    <x v="0"/>
    <x v="1"/>
    <x v="643"/>
    <x v="1"/>
    <x v="44"/>
    <x v="9"/>
    <x v="2"/>
    <x v="37"/>
    <x v="136"/>
    <x v="1654"/>
    <x v="33"/>
    <x v="33"/>
    <x v="2"/>
  </r>
  <r>
    <x v="0"/>
    <x v="1"/>
    <x v="643"/>
    <x v="1"/>
    <x v="44"/>
    <x v="9"/>
    <x v="1"/>
    <x v="37"/>
    <x v="81"/>
    <x v="1046"/>
    <x v="35"/>
    <x v="35"/>
    <x v="2"/>
  </r>
  <r>
    <x v="0"/>
    <x v="1"/>
    <x v="643"/>
    <x v="1"/>
    <x v="44"/>
    <x v="9"/>
    <x v="5"/>
    <x v="33"/>
    <x v="55"/>
    <x v="569"/>
    <x v="23"/>
    <x v="23"/>
    <x v="2"/>
  </r>
  <r>
    <x v="0"/>
    <x v="1"/>
    <x v="643"/>
    <x v="1"/>
    <x v="44"/>
    <x v="9"/>
    <x v="4"/>
    <x v="39"/>
    <x v="50"/>
    <x v="618"/>
    <x v="23"/>
    <x v="23"/>
    <x v="2"/>
  </r>
  <r>
    <x v="0"/>
    <x v="1"/>
    <x v="643"/>
    <x v="1"/>
    <x v="44"/>
    <x v="9"/>
    <x v="0"/>
    <x v="48"/>
    <x v="47"/>
    <x v="732"/>
    <x v="23"/>
    <x v="23"/>
    <x v="2"/>
  </r>
  <r>
    <x v="5"/>
    <x v="1"/>
    <x v="643"/>
    <x v="1"/>
    <x v="44"/>
    <x v="9"/>
    <x v="3"/>
    <x v="47"/>
    <x v="74"/>
    <x v="1171"/>
    <x v="32"/>
    <x v="32"/>
    <x v="2"/>
  </r>
  <r>
    <x v="5"/>
    <x v="1"/>
    <x v="673"/>
    <x v="1"/>
    <x v="44"/>
    <x v="9"/>
    <x v="2"/>
    <x v="47"/>
    <x v="120"/>
    <x v="1790"/>
    <x v="36"/>
    <x v="36"/>
    <x v="2"/>
  </r>
  <r>
    <x v="5"/>
    <x v="1"/>
    <x v="673"/>
    <x v="1"/>
    <x v="44"/>
    <x v="9"/>
    <x v="1"/>
    <x v="40"/>
    <x v="80"/>
    <x v="1111"/>
    <x v="35"/>
    <x v="35"/>
    <x v="2"/>
  </r>
  <r>
    <x v="5"/>
    <x v="1"/>
    <x v="673"/>
    <x v="1"/>
    <x v="44"/>
    <x v="9"/>
    <x v="5"/>
    <x v="39"/>
    <x v="84"/>
    <x v="1133"/>
    <x v="23"/>
    <x v="23"/>
    <x v="2"/>
  </r>
  <r>
    <x v="0"/>
    <x v="1"/>
    <x v="673"/>
    <x v="1"/>
    <x v="44"/>
    <x v="9"/>
    <x v="4"/>
    <x v="35"/>
    <x v="79"/>
    <x v="964"/>
    <x v="25"/>
    <x v="25"/>
    <x v="2"/>
  </r>
  <r>
    <x v="0"/>
    <x v="1"/>
    <x v="673"/>
    <x v="1"/>
    <x v="44"/>
    <x v="9"/>
    <x v="0"/>
    <x v="43"/>
    <x v="75"/>
    <x v="1097"/>
    <x v="25"/>
    <x v="25"/>
    <x v="2"/>
  </r>
  <r>
    <x v="0"/>
    <x v="1"/>
    <x v="673"/>
    <x v="1"/>
    <x v="44"/>
    <x v="9"/>
    <x v="3"/>
    <x v="50"/>
    <x v="108"/>
    <x v="1733"/>
    <x v="33"/>
    <x v="33"/>
    <x v="2"/>
  </r>
  <r>
    <x v="0"/>
    <x v="1"/>
    <x v="702"/>
    <x v="1"/>
    <x v="44"/>
    <x v="9"/>
    <x v="2"/>
    <x v="41"/>
    <x v="162"/>
    <x v="2053"/>
    <x v="34"/>
    <x v="34"/>
    <x v="2"/>
  </r>
  <r>
    <x v="0"/>
    <x v="1"/>
    <x v="702"/>
    <x v="1"/>
    <x v="44"/>
    <x v="9"/>
    <x v="1"/>
    <x v="34"/>
    <x v="112"/>
    <x v="1301"/>
    <x v="37"/>
    <x v="37"/>
    <x v="2"/>
  </r>
  <r>
    <x v="0"/>
    <x v="1"/>
    <x v="702"/>
    <x v="1"/>
    <x v="44"/>
    <x v="9"/>
    <x v="5"/>
    <x v="37"/>
    <x v="111"/>
    <x v="1388"/>
    <x v="26"/>
    <x v="26"/>
    <x v="2"/>
  </r>
  <r>
    <x v="0"/>
    <x v="1"/>
    <x v="702"/>
    <x v="1"/>
    <x v="44"/>
    <x v="9"/>
    <x v="4"/>
    <x v="37"/>
    <x v="83"/>
    <x v="1068"/>
    <x v="28"/>
    <x v="28"/>
    <x v="2"/>
  </r>
  <r>
    <x v="0"/>
    <x v="1"/>
    <x v="702"/>
    <x v="1"/>
    <x v="44"/>
    <x v="9"/>
    <x v="0"/>
    <x v="41"/>
    <x v="86"/>
    <x v="1205"/>
    <x v="28"/>
    <x v="28"/>
    <x v="2"/>
  </r>
  <r>
    <x v="0"/>
    <x v="1"/>
    <x v="702"/>
    <x v="1"/>
    <x v="44"/>
    <x v="9"/>
    <x v="3"/>
    <x v="53"/>
    <x v="125"/>
    <x v="2011"/>
    <x v="33"/>
    <x v="33"/>
    <x v="2"/>
  </r>
  <r>
    <x v="0"/>
    <x v="1"/>
    <x v="379"/>
    <x v="1"/>
    <x v="44"/>
    <x v="9"/>
    <x v="2"/>
    <x v="27"/>
    <x v="150"/>
    <x v="1413"/>
    <x v="29"/>
    <x v="29"/>
    <x v="2"/>
  </r>
  <r>
    <x v="0"/>
    <x v="1"/>
    <x v="379"/>
    <x v="1"/>
    <x v="44"/>
    <x v="9"/>
    <x v="1"/>
    <x v="32"/>
    <x v="92"/>
    <x v="1038"/>
    <x v="29"/>
    <x v="29"/>
    <x v="2"/>
  </r>
  <r>
    <x v="0"/>
    <x v="1"/>
    <x v="379"/>
    <x v="1"/>
    <x v="44"/>
    <x v="9"/>
    <x v="5"/>
    <x v="21"/>
    <x v="83"/>
    <x v="624"/>
    <x v="22"/>
    <x v="22"/>
    <x v="2"/>
  </r>
  <r>
    <x v="0"/>
    <x v="1"/>
    <x v="379"/>
    <x v="1"/>
    <x v="44"/>
    <x v="9"/>
    <x v="4"/>
    <x v="29"/>
    <x v="49"/>
    <x v="437"/>
    <x v="18"/>
    <x v="18"/>
    <x v="2"/>
  </r>
  <r>
    <x v="0"/>
    <x v="1"/>
    <x v="379"/>
    <x v="1"/>
    <x v="44"/>
    <x v="9"/>
    <x v="0"/>
    <x v="36"/>
    <x v="61"/>
    <x v="729"/>
    <x v="19"/>
    <x v="19"/>
    <x v="2"/>
  </r>
  <r>
    <x v="0"/>
    <x v="1"/>
    <x v="379"/>
    <x v="1"/>
    <x v="44"/>
    <x v="9"/>
    <x v="3"/>
    <x v="28"/>
    <x v="83"/>
    <x v="828"/>
    <x v="26"/>
    <x v="26"/>
    <x v="2"/>
  </r>
  <r>
    <x v="0"/>
    <x v="1"/>
    <x v="408"/>
    <x v="1"/>
    <x v="44"/>
    <x v="9"/>
    <x v="2"/>
    <x v="27"/>
    <x v="162"/>
    <x v="1522"/>
    <x v="30"/>
    <x v="30"/>
    <x v="2"/>
  </r>
  <r>
    <x v="0"/>
    <x v="1"/>
    <x v="408"/>
    <x v="1"/>
    <x v="44"/>
    <x v="9"/>
    <x v="1"/>
    <x v="30"/>
    <x v="70"/>
    <x v="720"/>
    <x v="29"/>
    <x v="29"/>
    <x v="2"/>
  </r>
  <r>
    <x v="0"/>
    <x v="1"/>
    <x v="408"/>
    <x v="1"/>
    <x v="44"/>
    <x v="9"/>
    <x v="5"/>
    <x v="24"/>
    <x v="79"/>
    <x v="664"/>
    <x v="20"/>
    <x v="20"/>
    <x v="2"/>
  </r>
  <r>
    <x v="0"/>
    <x v="1"/>
    <x v="408"/>
    <x v="1"/>
    <x v="28"/>
    <x v="30"/>
    <x v="4"/>
    <x v="24"/>
    <x v="56"/>
    <x v="424"/>
    <x v="20"/>
    <x v="20"/>
    <x v="2"/>
  </r>
  <r>
    <x v="0"/>
    <x v="1"/>
    <x v="408"/>
    <x v="1"/>
    <x v="28"/>
    <x v="30"/>
    <x v="0"/>
    <x v="34"/>
    <x v="79"/>
    <x v="939"/>
    <x v="19"/>
    <x v="19"/>
    <x v="2"/>
  </r>
  <r>
    <x v="0"/>
    <x v="1"/>
    <x v="408"/>
    <x v="1"/>
    <x v="28"/>
    <x v="30"/>
    <x v="3"/>
    <x v="29"/>
    <x v="104"/>
    <x v="1077"/>
    <x v="26"/>
    <x v="26"/>
    <x v="2"/>
  </r>
  <r>
    <x v="0"/>
    <x v="1"/>
    <x v="434"/>
    <x v="1"/>
    <x v="28"/>
    <x v="30"/>
    <x v="2"/>
    <x v="32"/>
    <x v="164"/>
    <x v="1742"/>
    <x v="32"/>
    <x v="32"/>
    <x v="2"/>
  </r>
  <r>
    <x v="0"/>
    <x v="1"/>
    <x v="434"/>
    <x v="1"/>
    <x v="28"/>
    <x v="30"/>
    <x v="1"/>
    <x v="29"/>
    <x v="73"/>
    <x v="726"/>
    <x v="32"/>
    <x v="32"/>
    <x v="2"/>
  </r>
  <r>
    <x v="0"/>
    <x v="1"/>
    <x v="434"/>
    <x v="1"/>
    <x v="28"/>
    <x v="30"/>
    <x v="5"/>
    <x v="25"/>
    <x v="87"/>
    <x v="780"/>
    <x v="20"/>
    <x v="20"/>
    <x v="2"/>
  </r>
  <r>
    <x v="0"/>
    <x v="1"/>
    <x v="434"/>
    <x v="1"/>
    <x v="28"/>
    <x v="30"/>
    <x v="4"/>
    <x v="26"/>
    <x v="34"/>
    <x v="244"/>
    <x v="23"/>
    <x v="23"/>
    <x v="2"/>
  </r>
  <r>
    <x v="0"/>
    <x v="1"/>
    <x v="434"/>
    <x v="1"/>
    <x v="28"/>
    <x v="30"/>
    <x v="0"/>
    <x v="40"/>
    <x v="49"/>
    <x v="621"/>
    <x v="19"/>
    <x v="19"/>
    <x v="2"/>
  </r>
  <r>
    <x v="0"/>
    <x v="1"/>
    <x v="434"/>
    <x v="1"/>
    <x v="28"/>
    <x v="30"/>
    <x v="3"/>
    <x v="29"/>
    <x v="81"/>
    <x v="833"/>
    <x v="24"/>
    <x v="24"/>
    <x v="2"/>
  </r>
  <r>
    <x v="0"/>
    <x v="1"/>
    <x v="466"/>
    <x v="1"/>
    <x v="28"/>
    <x v="30"/>
    <x v="2"/>
    <x v="26"/>
    <x v="163"/>
    <x v="1482"/>
    <x v="28"/>
    <x v="28"/>
    <x v="2"/>
  </r>
  <r>
    <x v="0"/>
    <x v="1"/>
    <x v="466"/>
    <x v="1"/>
    <x v="28"/>
    <x v="30"/>
    <x v="1"/>
    <x v="31"/>
    <x v="70"/>
    <x v="743"/>
    <x v="28"/>
    <x v="28"/>
    <x v="2"/>
  </r>
  <r>
    <x v="0"/>
    <x v="1"/>
    <x v="466"/>
    <x v="1"/>
    <x v="28"/>
    <x v="30"/>
    <x v="5"/>
    <x v="19"/>
    <x v="66"/>
    <x v="416"/>
    <x v="20"/>
    <x v="20"/>
    <x v="2"/>
  </r>
  <r>
    <x v="0"/>
    <x v="1"/>
    <x v="466"/>
    <x v="1"/>
    <x v="28"/>
    <x v="30"/>
    <x v="4"/>
    <x v="28"/>
    <x v="42"/>
    <x v="345"/>
    <x v="18"/>
    <x v="18"/>
    <x v="2"/>
  </r>
  <r>
    <x v="0"/>
    <x v="1"/>
    <x v="466"/>
    <x v="1"/>
    <x v="28"/>
    <x v="30"/>
    <x v="0"/>
    <x v="33"/>
    <x v="50"/>
    <x v="512"/>
    <x v="19"/>
    <x v="19"/>
    <x v="2"/>
  </r>
  <r>
    <x v="0"/>
    <x v="1"/>
    <x v="466"/>
    <x v="1"/>
    <x v="28"/>
    <x v="30"/>
    <x v="3"/>
    <x v="26"/>
    <x v="83"/>
    <x v="775"/>
    <x v="23"/>
    <x v="23"/>
    <x v="2"/>
  </r>
  <r>
    <x v="0"/>
    <x v="1"/>
    <x v="495"/>
    <x v="1"/>
    <x v="28"/>
    <x v="30"/>
    <x v="2"/>
    <x v="40"/>
    <x v="172"/>
    <x v="2093"/>
    <x v="29"/>
    <x v="29"/>
    <x v="2"/>
  </r>
  <r>
    <x v="0"/>
    <x v="1"/>
    <x v="495"/>
    <x v="1"/>
    <x v="28"/>
    <x v="30"/>
    <x v="1"/>
    <x v="33"/>
    <x v="76"/>
    <x v="879"/>
    <x v="29"/>
    <x v="29"/>
    <x v="2"/>
  </r>
  <r>
    <x v="0"/>
    <x v="1"/>
    <x v="495"/>
    <x v="1"/>
    <x v="28"/>
    <x v="30"/>
    <x v="5"/>
    <x v="35"/>
    <x v="83"/>
    <x v="1015"/>
    <x v="20"/>
    <x v="20"/>
    <x v="2"/>
  </r>
  <r>
    <x v="0"/>
    <x v="1"/>
    <x v="495"/>
    <x v="1"/>
    <x v="28"/>
    <x v="30"/>
    <x v="4"/>
    <x v="34"/>
    <x v="75"/>
    <x v="884"/>
    <x v="20"/>
    <x v="20"/>
    <x v="2"/>
  </r>
  <r>
    <x v="0"/>
    <x v="1"/>
    <x v="495"/>
    <x v="1"/>
    <x v="28"/>
    <x v="30"/>
    <x v="0"/>
    <x v="45"/>
    <x v="74"/>
    <x v="1130"/>
    <x v="18"/>
    <x v="18"/>
    <x v="2"/>
  </r>
  <r>
    <x v="0"/>
    <x v="1"/>
    <x v="495"/>
    <x v="1"/>
    <x v="28"/>
    <x v="30"/>
    <x v="3"/>
    <x v="39"/>
    <x v="120"/>
    <x v="1554"/>
    <x v="25"/>
    <x v="25"/>
    <x v="2"/>
  </r>
  <r>
    <x v="0"/>
    <x v="1"/>
    <x v="528"/>
    <x v="1"/>
    <x v="28"/>
    <x v="30"/>
    <x v="2"/>
    <x v="37"/>
    <x v="186"/>
    <x v="2138"/>
    <x v="32"/>
    <x v="32"/>
    <x v="2"/>
  </r>
  <r>
    <x v="0"/>
    <x v="1"/>
    <x v="528"/>
    <x v="1"/>
    <x v="28"/>
    <x v="30"/>
    <x v="1"/>
    <x v="33"/>
    <x v="120"/>
    <x v="1348"/>
    <x v="33"/>
    <x v="33"/>
    <x v="2"/>
  </r>
  <r>
    <x v="0"/>
    <x v="1"/>
    <x v="528"/>
    <x v="1"/>
    <x v="28"/>
    <x v="30"/>
    <x v="5"/>
    <x v="36"/>
    <x v="91"/>
    <x v="1132"/>
    <x v="22"/>
    <x v="22"/>
    <x v="2"/>
  </r>
  <r>
    <x v="0"/>
    <x v="1"/>
    <x v="528"/>
    <x v="1"/>
    <x v="28"/>
    <x v="30"/>
    <x v="4"/>
    <x v="30"/>
    <x v="86"/>
    <x v="910"/>
    <x v="20"/>
    <x v="20"/>
    <x v="2"/>
  </r>
  <r>
    <x v="0"/>
    <x v="1"/>
    <x v="528"/>
    <x v="1"/>
    <x v="28"/>
    <x v="30"/>
    <x v="0"/>
    <x v="40"/>
    <x v="95"/>
    <x v="1287"/>
    <x v="23"/>
    <x v="23"/>
    <x v="2"/>
  </r>
  <r>
    <x v="0"/>
    <x v="1"/>
    <x v="528"/>
    <x v="1"/>
    <x v="28"/>
    <x v="30"/>
    <x v="3"/>
    <x v="43"/>
    <x v="140"/>
    <x v="1904"/>
    <x v="28"/>
    <x v="28"/>
    <x v="2"/>
  </r>
  <r>
    <x v="0"/>
    <x v="1"/>
    <x v="556"/>
    <x v="1"/>
    <x v="28"/>
    <x v="30"/>
    <x v="2"/>
    <x v="42"/>
    <x v="193"/>
    <x v="2344"/>
    <x v="28"/>
    <x v="28"/>
    <x v="2"/>
  </r>
  <r>
    <x v="0"/>
    <x v="1"/>
    <x v="556"/>
    <x v="1"/>
    <x v="28"/>
    <x v="30"/>
    <x v="1"/>
    <x v="40"/>
    <x v="128"/>
    <x v="1675"/>
    <x v="30"/>
    <x v="30"/>
    <x v="2"/>
  </r>
  <r>
    <x v="0"/>
    <x v="1"/>
    <x v="556"/>
    <x v="1"/>
    <x v="28"/>
    <x v="30"/>
    <x v="5"/>
    <x v="30"/>
    <x v="108"/>
    <x v="1143"/>
    <x v="22"/>
    <x v="22"/>
    <x v="2"/>
  </r>
  <r>
    <x v="0"/>
    <x v="1"/>
    <x v="556"/>
    <x v="1"/>
    <x v="28"/>
    <x v="30"/>
    <x v="4"/>
    <x v="32"/>
    <x v="89"/>
    <x v="997"/>
    <x v="21"/>
    <x v="21"/>
    <x v="2"/>
  </r>
  <r>
    <x v="0"/>
    <x v="1"/>
    <x v="556"/>
    <x v="1"/>
    <x v="28"/>
    <x v="30"/>
    <x v="0"/>
    <x v="40"/>
    <x v="100"/>
    <x v="1347"/>
    <x v="23"/>
    <x v="23"/>
    <x v="2"/>
  </r>
  <r>
    <x v="0"/>
    <x v="1"/>
    <x v="556"/>
    <x v="1"/>
    <x v="28"/>
    <x v="30"/>
    <x v="3"/>
    <x v="40"/>
    <x v="141"/>
    <x v="1809"/>
    <x v="26"/>
    <x v="26"/>
    <x v="2"/>
  </r>
  <r>
    <x v="0"/>
    <x v="1"/>
    <x v="588"/>
    <x v="1"/>
    <x v="28"/>
    <x v="30"/>
    <x v="2"/>
    <x v="41"/>
    <x v="177"/>
    <x v="2172"/>
    <x v="32"/>
    <x v="32"/>
    <x v="2"/>
  </r>
  <r>
    <x v="0"/>
    <x v="1"/>
    <x v="588"/>
    <x v="1"/>
    <x v="28"/>
    <x v="30"/>
    <x v="1"/>
    <x v="32"/>
    <x v="115"/>
    <x v="1269"/>
    <x v="33"/>
    <x v="33"/>
    <x v="2"/>
  </r>
  <r>
    <x v="0"/>
    <x v="1"/>
    <x v="588"/>
    <x v="1"/>
    <x v="28"/>
    <x v="30"/>
    <x v="5"/>
    <x v="32"/>
    <x v="94"/>
    <x v="1059"/>
    <x v="21"/>
    <x v="21"/>
    <x v="2"/>
  </r>
  <r>
    <x v="0"/>
    <x v="1"/>
    <x v="588"/>
    <x v="1"/>
    <x v="28"/>
    <x v="30"/>
    <x v="4"/>
    <x v="35"/>
    <x v="73"/>
    <x v="874"/>
    <x v="18"/>
    <x v="18"/>
    <x v="2"/>
  </r>
  <r>
    <x v="0"/>
    <x v="1"/>
    <x v="588"/>
    <x v="1"/>
    <x v="28"/>
    <x v="30"/>
    <x v="0"/>
    <x v="38"/>
    <x v="66"/>
    <x v="847"/>
    <x v="19"/>
    <x v="19"/>
    <x v="2"/>
  </r>
  <r>
    <x v="0"/>
    <x v="1"/>
    <x v="588"/>
    <x v="1"/>
    <x v="28"/>
    <x v="30"/>
    <x v="3"/>
    <x v="39"/>
    <x v="125"/>
    <x v="1604"/>
    <x v="23"/>
    <x v="23"/>
    <x v="2"/>
  </r>
  <r>
    <x v="0"/>
    <x v="1"/>
    <x v="618"/>
    <x v="1"/>
    <x v="28"/>
    <x v="30"/>
    <x v="2"/>
    <x v="44"/>
    <x v="169"/>
    <x v="2184"/>
    <x v="30"/>
    <x v="30"/>
    <x v="2"/>
  </r>
  <r>
    <x v="0"/>
    <x v="1"/>
    <x v="618"/>
    <x v="1"/>
    <x v="28"/>
    <x v="30"/>
    <x v="1"/>
    <x v="36"/>
    <x v="97"/>
    <x v="1204"/>
    <x v="28"/>
    <x v="28"/>
    <x v="2"/>
  </r>
  <r>
    <x v="0"/>
    <x v="1"/>
    <x v="618"/>
    <x v="1"/>
    <x v="28"/>
    <x v="30"/>
    <x v="5"/>
    <x v="36"/>
    <x v="64"/>
    <x v="778"/>
    <x v="19"/>
    <x v="19"/>
    <x v="2"/>
  </r>
  <r>
    <x v="0"/>
    <x v="1"/>
    <x v="618"/>
    <x v="1"/>
    <x v="28"/>
    <x v="30"/>
    <x v="4"/>
    <x v="34"/>
    <x v="61"/>
    <x v="684"/>
    <x v="23"/>
    <x v="23"/>
    <x v="2"/>
  </r>
  <r>
    <x v="0"/>
    <x v="1"/>
    <x v="618"/>
    <x v="1"/>
    <x v="28"/>
    <x v="30"/>
    <x v="0"/>
    <x v="41"/>
    <x v="58"/>
    <x v="780"/>
    <x v="22"/>
    <x v="22"/>
    <x v="2"/>
  </r>
  <r>
    <x v="0"/>
    <x v="1"/>
    <x v="618"/>
    <x v="1"/>
    <x v="28"/>
    <x v="30"/>
    <x v="3"/>
    <x v="46"/>
    <x v="86"/>
    <x v="1326"/>
    <x v="23"/>
    <x v="23"/>
    <x v="2"/>
  </r>
  <r>
    <x v="1"/>
    <x v="1"/>
    <x v="650"/>
    <x v="1"/>
    <x v="28"/>
    <x v="30"/>
    <x v="2"/>
    <x v="45"/>
    <x v="140"/>
    <x v="1964"/>
    <x v="28"/>
    <x v="28"/>
    <x v="2"/>
  </r>
  <r>
    <x v="1"/>
    <x v="1"/>
    <x v="650"/>
    <x v="1"/>
    <x v="28"/>
    <x v="30"/>
    <x v="1"/>
    <x v="37"/>
    <x v="81"/>
    <x v="1046"/>
    <x v="30"/>
    <x v="30"/>
    <x v="2"/>
  </r>
  <r>
    <x v="1"/>
    <x v="1"/>
    <x v="650"/>
    <x v="1"/>
    <x v="28"/>
    <x v="30"/>
    <x v="5"/>
    <x v="45"/>
    <x v="49"/>
    <x v="709"/>
    <x v="19"/>
    <x v="19"/>
    <x v="2"/>
  </r>
  <r>
    <x v="1"/>
    <x v="1"/>
    <x v="650"/>
    <x v="1"/>
    <x v="28"/>
    <x v="30"/>
    <x v="4"/>
    <x v="37"/>
    <x v="50"/>
    <x v="584"/>
    <x v="18"/>
    <x v="18"/>
    <x v="2"/>
  </r>
  <r>
    <x v="1"/>
    <x v="1"/>
    <x v="650"/>
    <x v="1"/>
    <x v="28"/>
    <x v="30"/>
    <x v="0"/>
    <x v="43"/>
    <x v="47"/>
    <x v="642"/>
    <x v="18"/>
    <x v="18"/>
    <x v="2"/>
  </r>
  <r>
    <x v="1"/>
    <x v="1"/>
    <x v="650"/>
    <x v="1"/>
    <x v="28"/>
    <x v="30"/>
    <x v="3"/>
    <x v="57"/>
    <x v="74"/>
    <x v="1386"/>
    <x v="25"/>
    <x v="25"/>
    <x v="2"/>
  </r>
  <r>
    <x v="1"/>
    <x v="1"/>
    <x v="680"/>
    <x v="1"/>
    <x v="28"/>
    <x v="30"/>
    <x v="2"/>
    <x v="52"/>
    <x v="128"/>
    <x v="2030"/>
    <x v="29"/>
    <x v="29"/>
    <x v="2"/>
  </r>
  <r>
    <x v="1"/>
    <x v="1"/>
    <x v="680"/>
    <x v="1"/>
    <x v="28"/>
    <x v="30"/>
    <x v="1"/>
    <x v="35"/>
    <x v="95"/>
    <x v="1152"/>
    <x v="29"/>
    <x v="29"/>
    <x v="2"/>
  </r>
  <r>
    <x v="1"/>
    <x v="1"/>
    <x v="680"/>
    <x v="1"/>
    <x v="28"/>
    <x v="30"/>
    <x v="5"/>
    <x v="44"/>
    <x v="95"/>
    <x v="1397"/>
    <x v="21"/>
    <x v="21"/>
    <x v="2"/>
  </r>
  <r>
    <x v="1"/>
    <x v="1"/>
    <x v="680"/>
    <x v="1"/>
    <x v="28"/>
    <x v="30"/>
    <x v="4"/>
    <x v="36"/>
    <x v="95"/>
    <x v="1186"/>
    <x v="20"/>
    <x v="20"/>
    <x v="2"/>
  </r>
  <r>
    <x v="1"/>
    <x v="1"/>
    <x v="680"/>
    <x v="1"/>
    <x v="28"/>
    <x v="30"/>
    <x v="0"/>
    <x v="52"/>
    <x v="79"/>
    <x v="1367"/>
    <x v="20"/>
    <x v="20"/>
    <x v="2"/>
  </r>
  <r>
    <x v="1"/>
    <x v="1"/>
    <x v="680"/>
    <x v="1"/>
    <x v="28"/>
    <x v="30"/>
    <x v="3"/>
    <x v="54"/>
    <x v="101"/>
    <x v="1740"/>
    <x v="27"/>
    <x v="27"/>
    <x v="2"/>
  </r>
  <r>
    <x v="1"/>
    <x v="1"/>
    <x v="709"/>
    <x v="1"/>
    <x v="28"/>
    <x v="30"/>
    <x v="2"/>
    <x v="42"/>
    <x v="174"/>
    <x v="2179"/>
    <x v="33"/>
    <x v="33"/>
    <x v="2"/>
  </r>
  <r>
    <x v="1"/>
    <x v="1"/>
    <x v="709"/>
    <x v="1"/>
    <x v="28"/>
    <x v="30"/>
    <x v="1"/>
    <x v="42"/>
    <x v="108"/>
    <x v="1509"/>
    <x v="28"/>
    <x v="28"/>
    <x v="2"/>
  </r>
  <r>
    <x v="1"/>
    <x v="1"/>
    <x v="709"/>
    <x v="1"/>
    <x v="28"/>
    <x v="30"/>
    <x v="5"/>
    <x v="40"/>
    <x v="108"/>
    <x v="1445"/>
    <x v="22"/>
    <x v="22"/>
    <x v="2"/>
  </r>
  <r>
    <x v="1"/>
    <x v="1"/>
    <x v="709"/>
    <x v="1"/>
    <x v="28"/>
    <x v="30"/>
    <x v="4"/>
    <x v="42"/>
    <x v="97"/>
    <x v="1370"/>
    <x v="21"/>
    <x v="21"/>
    <x v="2"/>
  </r>
  <r>
    <x v="1"/>
    <x v="1"/>
    <x v="709"/>
    <x v="1"/>
    <x v="28"/>
    <x v="30"/>
    <x v="0"/>
    <x v="43"/>
    <x v="103"/>
    <x v="1476"/>
    <x v="23"/>
    <x v="23"/>
    <x v="2"/>
  </r>
  <r>
    <x v="1"/>
    <x v="1"/>
    <x v="709"/>
    <x v="1"/>
    <x v="28"/>
    <x v="30"/>
    <x v="3"/>
    <x v="54"/>
    <x v="124"/>
    <x v="2027"/>
    <x v="26"/>
    <x v="26"/>
    <x v="2"/>
  </r>
  <r>
    <x v="1"/>
    <x v="1"/>
    <x v="382"/>
    <x v="1"/>
    <x v="28"/>
    <x v="30"/>
    <x v="2"/>
    <x v="29"/>
    <x v="143"/>
    <x v="1425"/>
    <x v="23"/>
    <x v="23"/>
    <x v="2"/>
  </r>
  <r>
    <x v="1"/>
    <x v="1"/>
    <x v="382"/>
    <x v="1"/>
    <x v="28"/>
    <x v="30"/>
    <x v="1"/>
    <x v="29"/>
    <x v="76"/>
    <x v="777"/>
    <x v="26"/>
    <x v="26"/>
    <x v="2"/>
  </r>
  <r>
    <x v="1"/>
    <x v="1"/>
    <x v="382"/>
    <x v="1"/>
    <x v="28"/>
    <x v="30"/>
    <x v="5"/>
    <x v="28"/>
    <x v="81"/>
    <x v="808"/>
    <x v="13"/>
    <x v="13"/>
    <x v="2"/>
  </r>
  <r>
    <x v="1"/>
    <x v="1"/>
    <x v="382"/>
    <x v="1"/>
    <x v="28"/>
    <x v="30"/>
    <x v="4"/>
    <x v="26"/>
    <x v="40"/>
    <x v="301"/>
    <x v="14"/>
    <x v="14"/>
    <x v="2"/>
  </r>
  <r>
    <x v="1"/>
    <x v="1"/>
    <x v="382"/>
    <x v="1"/>
    <x v="28"/>
    <x v="30"/>
    <x v="0"/>
    <x v="43"/>
    <x v="53"/>
    <x v="735"/>
    <x v="14"/>
    <x v="14"/>
    <x v="2"/>
  </r>
  <r>
    <x v="1"/>
    <x v="1"/>
    <x v="382"/>
    <x v="1"/>
    <x v="28"/>
    <x v="30"/>
    <x v="3"/>
    <x v="34"/>
    <x v="87"/>
    <x v="1030"/>
    <x v="18"/>
    <x v="18"/>
    <x v="2"/>
  </r>
  <r>
    <x v="1"/>
    <x v="1"/>
    <x v="411"/>
    <x v="1"/>
    <x v="28"/>
    <x v="30"/>
    <x v="2"/>
    <x v="34"/>
    <x v="160"/>
    <x v="1788"/>
    <x v="23"/>
    <x v="23"/>
    <x v="2"/>
  </r>
  <r>
    <x v="1"/>
    <x v="1"/>
    <x v="411"/>
    <x v="1"/>
    <x v="28"/>
    <x v="30"/>
    <x v="1"/>
    <x v="35"/>
    <x v="58"/>
    <x v="655"/>
    <x v="28"/>
    <x v="28"/>
    <x v="2"/>
  </r>
  <r>
    <x v="1"/>
    <x v="1"/>
    <x v="411"/>
    <x v="1"/>
    <x v="28"/>
    <x v="30"/>
    <x v="5"/>
    <x v="22"/>
    <x v="68"/>
    <x v="502"/>
    <x v="13"/>
    <x v="13"/>
    <x v="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7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8" firstHeaderRow="1" firstDataRow="1" firstDataCol="1"/>
  <pivotFields count="15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 outline="0">
      <items count="6">
        <item x="0"/>
        <item x="1"/>
        <item x="2"/>
        <item x="3"/>
        <item x="4"/>
        <item x="5"/>
      </items>
    </pivotField>
    <pivotField compact="0" showAll="0"/>
    <pivotField compact="0" showAll="0"/>
    <pivotField dataField="1" compact="0" showAll="0" outline="0"/>
    <pivotField compact="0" showAll="0"/>
    <pivotField compact="0" showAll="0"/>
    <pivotField compact="0" showAll="0"/>
    <pivotField compact="0" showAll="0"/>
    <pivotField compact="0" showAll="0"/>
  </pivotFields>
  <rowFields count="1">
    <field x="6"/>
  </rowFields>
  <rowItems count="7">
    <i>
      <x v="0"/>
    </i>
    <i>
      <x v="1"/>
    </i>
    <i>
      <x v="2"/>
    </i>
    <i>
      <x v="3"/>
    </i>
    <i>
      <x v="4"/>
    </i>
    <i>
      <x v="5"/>
    </i>
    <i t="grand">
      <x v="6"/>
    </i>
  </rowItems>
  <colItems count="1">
    <i t="grand">
      <x v="0"/>
    </i>
  </colItems>
  <dataFields count="1">
    <dataField name="Sum - Total Sales" fld="9" subtotal="sum" numFmtId="168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7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H10" firstHeaderRow="1" firstDataRow="2" firstDataCol="1"/>
  <pivotFields count="15">
    <pivotField compact="0" showAll="0"/>
    <pivotField compact="0" showAll="0"/>
    <pivotField compact="0" showAll="0"/>
    <pivotField axis="axisRow" compact="0" showAll="0" defaultSubtotal="0" outline="0">
      <items count="5">
        <item x="0"/>
        <item x="1"/>
        <item x="2"/>
        <item x="3"/>
        <item x="4"/>
      </items>
    </pivotField>
    <pivotField compact="0" showAll="0"/>
    <pivotField compact="0" showAll="0"/>
    <pivotField axis="axisCol" compact="0" showAll="0" defaultSubtotal="0" outline="0">
      <items count="6">
        <item x="0"/>
        <item x="1"/>
        <item x="2"/>
        <item x="3"/>
        <item x="4"/>
        <item x="5"/>
      </items>
    </pivotField>
    <pivotField compact="0" showAll="0"/>
    <pivotField dataField="1" compact="0" showAll="0" outline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3"/>
  </rowFields>
  <rowItems count="6">
    <i>
      <x v="0"/>
    </i>
    <i>
      <x v="1"/>
    </i>
    <i>
      <x v="2"/>
    </i>
    <i>
      <x v="3"/>
    </i>
    <i>
      <x v="4"/>
    </i>
    <i t="grand">
      <x v="5"/>
    </i>
  </rowItems>
  <colFields count="1">
    <field x="6"/>
  </colFields>
  <colItems count="7">
    <i>
      <x v="0"/>
    </i>
    <i>
      <x v="1"/>
    </i>
    <i>
      <x v="2"/>
    </i>
    <i>
      <x v="3"/>
    </i>
    <i>
      <x v="4"/>
    </i>
    <i>
      <x v="5"/>
    </i>
    <i t="grand">
      <x v="6"/>
    </i>
  </colItems>
  <dataFields count="1">
    <dataField name="Sum - Units Sold" fld="8" subtotal="sum" numFmtId="167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6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1:E9" firstHeaderRow="1" firstDataRow="2" firstDataCol="1"/>
  <pivotFields count="15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 outline="0">
      <items count="6">
        <item x="0"/>
        <item x="1"/>
        <item x="2"/>
        <item x="3"/>
        <item x="4"/>
        <item x="5"/>
      </items>
    </pivotField>
    <pivotField compact="0" showAll="0"/>
    <pivotField dataField="1" compact="0" showAll="0" outline="0"/>
    <pivotField compact="0" showAll="0"/>
    <pivotField compact="0" showAll="0"/>
    <pivotField compact="0" showAll="0"/>
    <pivotField axis="axisCol" compact="0" showAll="0" defaultSubtotal="0" outline="0">
      <items count="3">
        <item x="0"/>
        <item x="1"/>
        <item x="2"/>
      </items>
    </pivotField>
    <pivotField compact="0" showAll="0"/>
    <pivotField compact="0" showAll="0"/>
  </pivotFields>
  <rowFields count="1">
    <field x="6"/>
  </rowFields>
  <rowItems count="7">
    <i>
      <x v="0"/>
    </i>
    <i>
      <x v="1"/>
    </i>
    <i>
      <x v="2"/>
    </i>
    <i>
      <x v="3"/>
    </i>
    <i>
      <x v="4"/>
    </i>
    <i>
      <x v="5"/>
    </i>
    <i t="grand">
      <x v="6"/>
    </i>
  </rowItems>
  <colFields count="1">
    <field x="12"/>
  </colFields>
  <colItems count="4">
    <i>
      <x v="0"/>
    </i>
    <i>
      <x v="1"/>
    </i>
    <i>
      <x v="2"/>
    </i>
    <i t="grand">
      <x v="3"/>
    </i>
  </colItems>
  <dataFields count="1">
    <dataField name="Sum - Units Sold" fld="8" subtotal="sum" numFmtId="167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DataPilot5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1:B5" firstHeaderRow="1" firstDataRow="1" firstDataCol="1"/>
  <pivotFields count="15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 outline="0"/>
    <pivotField compact="0" showAll="0"/>
    <pivotField compact="0" showAll="0"/>
    <pivotField axis="axisRow" compact="0" showAll="0" defaultSubtotal="0" outline="0">
      <items count="3">
        <item x="0"/>
        <item x="1"/>
        <item x="2"/>
      </items>
    </pivotField>
    <pivotField compact="0" showAll="0"/>
    <pivotField compact="0" showAll="0"/>
  </pivotFields>
  <rowFields count="1">
    <field x="12"/>
  </rowFields>
  <rowItems count="4">
    <i>
      <x v="0"/>
    </i>
    <i>
      <x v="1"/>
    </i>
    <i>
      <x v="2"/>
    </i>
    <i t="grand">
      <x v="3"/>
    </i>
  </rowItems>
  <colItems count="1">
    <i t="grand">
      <x v="0"/>
    </i>
  </colItems>
  <dataFields count="1">
    <dataField name="Sum - Total Sales" fld="9" subtotal="sum" numFmtId="168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DataPilot4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1:B8" firstHeaderRow="1" firstDataRow="1" firstDataCol="1"/>
  <pivotFields count="15">
    <pivotField axis="axisRow" compact="0" showAll="0" defaultSubtotal="0" outline="0">
      <items count="6">
        <item x="0"/>
        <item x="1"/>
        <item x="2"/>
        <item x="3"/>
        <item x="4"/>
        <item x="5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 outline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0"/>
  </rowFields>
  <rowItems count="7">
    <i>
      <x v="0"/>
    </i>
    <i>
      <x v="1"/>
    </i>
    <i>
      <x v="2"/>
    </i>
    <i>
      <x v="3"/>
    </i>
    <i>
      <x v="4"/>
    </i>
    <i>
      <x v="5"/>
    </i>
    <i t="grand">
      <x v="6"/>
    </i>
  </rowItems>
  <colItems count="1">
    <i t="grand">
      <x v="0"/>
    </i>
  </colItems>
  <dataFields count="1">
    <dataField name="Sum - Units Sold" fld="8" subtotal="sum" numFmtId="167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DataPilot3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1:D36" firstHeaderRow="1" firstDataRow="1" firstDataCol="3"/>
  <pivotFields count="15">
    <pivotField compact="0" showAll="0"/>
    <pivotField compact="0" showAll="0"/>
    <pivotField axis="axisRow" compact="0" showAll="0" defaultSubtotal="0" outline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 outline="0"/>
    <pivotField compact="0" showAll="0"/>
    <pivotField compact="0" showAll="0"/>
    <pivotField compact="0" showAll="0"/>
    <pivotField compact="0" showAll="0"/>
    <pivotField axis="axisRow" compact="0" showAll="0" defaultSubtotal="0">
      <items count="6">
        <item x="0"/>
        <item x="1"/>
        <item x="2"/>
        <item x="3"/>
        <item x="4"/>
        <item x="5"/>
      </items>
    </pivotField>
    <pivotField axis="axisRow" compact="0" showAll="0" defaultSubtotal="0">
      <items count="4">
        <item x="0"/>
        <item x="1"/>
        <item x="2"/>
        <item x="3"/>
      </items>
    </pivotField>
  </pivotFields>
  <rowFields count="3">
    <field x="14"/>
    <field x="13"/>
    <field x="2"/>
  </rowFields>
  <rowItems count="35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 v="34"/>
    </i>
  </rowItems>
  <colItems count="1">
    <i t="grand">
      <x v="0"/>
    </i>
  </colItems>
  <dataFields count="1">
    <dataField name="Sum - Units Sold" fld="8" subtotal="sum" numFmtId="167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1:AZ8" firstHeaderRow="1" firstDataRow="2" firstDataCol="1"/>
  <pivotFields count="15">
    <pivotField compact="0" showAll="0"/>
    <pivotField compact="0" showAll="0"/>
    <pivotField compact="0" showAll="0"/>
    <pivotField axis="axisRow" compact="0" showAll="0" defaultSubtotal="0" outline="0">
      <items count="5">
        <item x="0"/>
        <item x="1"/>
        <item x="2"/>
        <item x="3"/>
        <item x="4"/>
      </items>
    </pivotField>
    <pivotField axis="axisCol" compact="0" showAll="0" defaultSubtotal="0" outline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compact="0" showAll="0"/>
    <pivotField compact="0" showAll="0"/>
    <pivotField compact="0" showAll="0"/>
    <pivotField compact="0" showAll="0"/>
    <pivotField dataField="1" compact="0" showAll="0" outline="0"/>
    <pivotField compact="0" showAll="0"/>
    <pivotField compact="0" showAll="0"/>
    <pivotField compact="0" showAll="0"/>
    <pivotField compact="0" showAll="0"/>
    <pivotField compact="0" showAll="0"/>
  </pivotFields>
  <rowFields count="1">
    <field x="3"/>
  </rowFields>
  <rowItems count="6">
    <i>
      <x v="0"/>
    </i>
    <i>
      <x v="1"/>
    </i>
    <i>
      <x v="2"/>
    </i>
    <i>
      <x v="3"/>
    </i>
    <i>
      <x v="4"/>
    </i>
    <i t="grand">
      <x v="5"/>
    </i>
  </rowItems>
  <colFields count="1">
    <field x="4"/>
  </colFields>
  <colItems count="51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 v="50"/>
    </i>
  </colItems>
  <dataFields count="1">
    <dataField name="Sum - Total Sales" fld="9" subtotal="sum" numFmtId="168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ivotTable" Target="../pivotTables/pivot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ivotTable" Target="../pivotTables/pivot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pivotTable" Target="../pivotTables/pivot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pivotTable" Target="../pivotTables/pivotTable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pivotTable" Target="../pivotTables/pivot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pivotTable" Target="../pivotTables/pivotTable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T5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23" activeCellId="0" sqref="E23"/>
    </sheetView>
  </sheetViews>
  <sheetFormatPr defaultColWidth="9.1484375" defaultRowHeight="12.8" customHeight="true" zeroHeight="false" outlineLevelRow="0" outlineLevelCol="0"/>
  <cols>
    <col collapsed="false" customWidth="false" hidden="false" outlineLevel="0" max="1024" min="1" style="1" width="9.14"/>
  </cols>
  <sheetData>
    <row r="1" customFormat="false" ht="13.8" hidden="false" customHeight="false" outlineLevel="0" collapsed="false"/>
    <row r="2" customFormat="false" ht="13.8" hidden="false" customHeight="false" outlineLevel="0" collapsed="false"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3.8" hidden="false" customHeight="false" outlineLevel="0" collapsed="false"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38.6" hidden="false" customHeight="false" outlineLevel="0" collapsed="false">
      <c r="D4" s="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1" customFormat="false" ht="13.8" hidden="false" customHeight="false" outlineLevel="0" collapsed="false"/>
  </sheetData>
  <mergeCells count="1">
    <mergeCell ref="G2:T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96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4" width="2.55"/>
    <col collapsed="false" customWidth="true" hidden="false" outlineLevel="0" max="2" min="2" style="4" width="11.57"/>
    <col collapsed="false" customWidth="true" hidden="false" outlineLevel="0" max="3" min="3" style="4" width="12.01"/>
    <col collapsed="false" customWidth="true" hidden="false" outlineLevel="0" max="4" min="4" style="4" width="13.67"/>
    <col collapsed="false" customWidth="true" hidden="false" outlineLevel="0" max="5" min="5" style="4" width="13"/>
    <col collapsed="false" customWidth="true" hidden="false" outlineLevel="0" max="6" min="6" style="4" width="12.11"/>
    <col collapsed="false" customWidth="true" hidden="false" outlineLevel="0" max="7" min="7" style="4" width="22.44"/>
    <col collapsed="false" customWidth="true" hidden="false" outlineLevel="0" max="8" min="8" style="4" width="18.41"/>
    <col collapsed="false" customWidth="true" hidden="false" outlineLevel="0" max="9" min="9" style="4" width="14"/>
    <col collapsed="false" customWidth="true" hidden="false" outlineLevel="0" max="10" min="10" style="4" width="11"/>
    <col collapsed="false" customWidth="true" hidden="false" outlineLevel="0" max="11" min="11" style="4" width="13.44"/>
    <col collapsed="false" customWidth="true" hidden="false" outlineLevel="0" max="12" min="12" style="4" width="16.11"/>
    <col collapsed="false" customWidth="true" hidden="false" outlineLevel="0" max="13" min="13" style="4" width="17.44"/>
    <col collapsed="false" customWidth="true" hidden="false" outlineLevel="0" max="14" min="14" style="4" width="16.55"/>
  </cols>
  <sheetData>
    <row r="1" customFormat="false" ht="6.75" hidden="false" customHeight="true" outlineLevel="0" collapsed="false"/>
    <row r="2" customFormat="false" ht="14.25" hidden="false" customHeight="true" outlineLevel="0" collapsed="false">
      <c r="C2" s="5" t="s">
        <v>1</v>
      </c>
      <c r="D2" s="5"/>
      <c r="E2" s="5"/>
      <c r="F2" s="5"/>
      <c r="G2" s="5"/>
      <c r="K2" s="4" t="s">
        <v>2</v>
      </c>
      <c r="L2" s="4" t="n">
        <f aca="false">SUM(K6:K9653)</f>
        <v>120166650</v>
      </c>
    </row>
    <row r="3" customFormat="false" ht="17.25" hidden="false" customHeight="true" outlineLevel="0" collapsed="false">
      <c r="B3" s="6"/>
      <c r="C3" s="5"/>
      <c r="D3" s="5"/>
      <c r="E3" s="5"/>
      <c r="F3" s="5"/>
      <c r="G3" s="5"/>
      <c r="H3" s="7"/>
      <c r="I3" s="7"/>
      <c r="J3" s="7"/>
      <c r="K3" s="7"/>
      <c r="L3" s="7"/>
      <c r="M3" s="7"/>
      <c r="N3" s="7"/>
    </row>
    <row r="4" customFormat="false" ht="14.25" hidden="false" customHeight="true" outlineLevel="0" collapsed="false"/>
    <row r="5" customFormat="false" ht="14.25" hidden="false" customHeight="true" outlineLevel="0" collapsed="false"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8" t="s">
        <v>10</v>
      </c>
      <c r="J5" s="8" t="s">
        <v>11</v>
      </c>
      <c r="K5" s="8" t="s">
        <v>12</v>
      </c>
      <c r="L5" s="8" t="s">
        <v>13</v>
      </c>
      <c r="M5" s="8" t="s">
        <v>14</v>
      </c>
      <c r="N5" s="8" t="s">
        <v>15</v>
      </c>
    </row>
    <row r="6" customFormat="false" ht="14.25" hidden="false" customHeight="true" outlineLevel="0" collapsed="false">
      <c r="B6" s="9" t="s">
        <v>16</v>
      </c>
      <c r="C6" s="9" t="n">
        <v>1185732</v>
      </c>
      <c r="D6" s="10" t="n">
        <v>43831</v>
      </c>
      <c r="E6" s="9" t="s">
        <v>17</v>
      </c>
      <c r="F6" s="9" t="s">
        <v>18</v>
      </c>
      <c r="G6" s="9" t="s">
        <v>18</v>
      </c>
      <c r="H6" s="11" t="s">
        <v>19</v>
      </c>
      <c r="I6" s="12" t="n">
        <v>50</v>
      </c>
      <c r="J6" s="13" t="n">
        <v>1200</v>
      </c>
      <c r="K6" s="14" t="n">
        <f aca="false">I6*J6</f>
        <v>60000</v>
      </c>
      <c r="L6" s="14" t="n">
        <f aca="false">($L$2*M6)/100</f>
        <v>600833.25</v>
      </c>
      <c r="M6" s="15" t="n">
        <v>0.5</v>
      </c>
      <c r="N6" s="9" t="s">
        <v>20</v>
      </c>
    </row>
    <row r="7" customFormat="false" ht="14.25" hidden="false" customHeight="true" outlineLevel="0" collapsed="false">
      <c r="B7" s="9" t="s">
        <v>16</v>
      </c>
      <c r="C7" s="9" t="n">
        <v>1185732</v>
      </c>
      <c r="D7" s="10" t="n">
        <v>43832</v>
      </c>
      <c r="E7" s="9" t="s">
        <v>17</v>
      </c>
      <c r="F7" s="9" t="s">
        <v>18</v>
      </c>
      <c r="G7" s="9" t="s">
        <v>18</v>
      </c>
      <c r="H7" s="11" t="s">
        <v>21</v>
      </c>
      <c r="I7" s="12" t="n">
        <v>50</v>
      </c>
      <c r="J7" s="13" t="n">
        <v>1000</v>
      </c>
      <c r="K7" s="14" t="n">
        <f aca="false">I7*J7</f>
        <v>50000</v>
      </c>
      <c r="L7" s="14" t="n">
        <f aca="false">($L$2*M7)/100</f>
        <v>360499.95</v>
      </c>
      <c r="M7" s="15" t="n">
        <v>0.3</v>
      </c>
      <c r="N7" s="9" t="s">
        <v>20</v>
      </c>
    </row>
    <row r="8" customFormat="false" ht="14.25" hidden="false" customHeight="true" outlineLevel="0" collapsed="false">
      <c r="B8" s="9" t="s">
        <v>16</v>
      </c>
      <c r="C8" s="9" t="n">
        <v>1185732</v>
      </c>
      <c r="D8" s="10" t="n">
        <v>43833</v>
      </c>
      <c r="E8" s="9" t="s">
        <v>17</v>
      </c>
      <c r="F8" s="9" t="s">
        <v>18</v>
      </c>
      <c r="G8" s="9" t="s">
        <v>18</v>
      </c>
      <c r="H8" s="11" t="s">
        <v>22</v>
      </c>
      <c r="I8" s="12" t="n">
        <v>40</v>
      </c>
      <c r="J8" s="13" t="n">
        <v>1000</v>
      </c>
      <c r="K8" s="14" t="n">
        <f aca="false">I8*J8</f>
        <v>40000</v>
      </c>
      <c r="L8" s="14" t="n">
        <f aca="false">($L$2*M8)/100</f>
        <v>420583.275</v>
      </c>
      <c r="M8" s="15" t="n">
        <v>0.35</v>
      </c>
      <c r="N8" s="9" t="s">
        <v>20</v>
      </c>
    </row>
    <row r="9" customFormat="false" ht="14.25" hidden="false" customHeight="true" outlineLevel="0" collapsed="false">
      <c r="B9" s="9" t="s">
        <v>16</v>
      </c>
      <c r="C9" s="9" t="n">
        <v>1185732</v>
      </c>
      <c r="D9" s="10" t="n">
        <v>43834</v>
      </c>
      <c r="E9" s="9" t="s">
        <v>17</v>
      </c>
      <c r="F9" s="9" t="s">
        <v>18</v>
      </c>
      <c r="G9" s="9" t="s">
        <v>18</v>
      </c>
      <c r="H9" s="11" t="s">
        <v>23</v>
      </c>
      <c r="I9" s="12" t="n">
        <v>45</v>
      </c>
      <c r="J9" s="13" t="n">
        <v>850</v>
      </c>
      <c r="K9" s="14" t="n">
        <f aca="false">I9*J9</f>
        <v>38250</v>
      </c>
      <c r="L9" s="14" t="n">
        <f aca="false">($L$2*M9)/100</f>
        <v>420583.275</v>
      </c>
      <c r="M9" s="15" t="n">
        <v>0.35</v>
      </c>
      <c r="N9" s="9" t="s">
        <v>20</v>
      </c>
    </row>
    <row r="10" customFormat="false" ht="14.25" hidden="false" customHeight="true" outlineLevel="0" collapsed="false">
      <c r="B10" s="9" t="s">
        <v>16</v>
      </c>
      <c r="C10" s="9" t="n">
        <v>1185732</v>
      </c>
      <c r="D10" s="10" t="n">
        <v>43835</v>
      </c>
      <c r="E10" s="9" t="s">
        <v>17</v>
      </c>
      <c r="F10" s="9" t="s">
        <v>18</v>
      </c>
      <c r="G10" s="9" t="s">
        <v>18</v>
      </c>
      <c r="H10" s="11" t="s">
        <v>24</v>
      </c>
      <c r="I10" s="12" t="n">
        <v>60</v>
      </c>
      <c r="J10" s="13" t="n">
        <v>900</v>
      </c>
      <c r="K10" s="14" t="n">
        <f aca="false">I10*J10</f>
        <v>54000</v>
      </c>
      <c r="L10" s="14" t="n">
        <f aca="false">($L$2*M10)/100</f>
        <v>360499.95</v>
      </c>
      <c r="M10" s="15" t="n">
        <v>0.3</v>
      </c>
      <c r="N10" s="9" t="s">
        <v>20</v>
      </c>
    </row>
    <row r="11" customFormat="false" ht="14.25" hidden="false" customHeight="true" outlineLevel="0" collapsed="false">
      <c r="B11" s="9" t="s">
        <v>16</v>
      </c>
      <c r="C11" s="9" t="n">
        <v>1185732</v>
      </c>
      <c r="D11" s="10" t="n">
        <v>43836</v>
      </c>
      <c r="E11" s="9" t="s">
        <v>17</v>
      </c>
      <c r="F11" s="9" t="s">
        <v>18</v>
      </c>
      <c r="G11" s="9" t="s">
        <v>18</v>
      </c>
      <c r="H11" s="11" t="s">
        <v>25</v>
      </c>
      <c r="I11" s="12" t="n">
        <v>50</v>
      </c>
      <c r="J11" s="13" t="n">
        <v>1000</v>
      </c>
      <c r="K11" s="14" t="n">
        <f aca="false">I11*J11</f>
        <v>50000</v>
      </c>
      <c r="L11" s="14" t="n">
        <f aca="false">($L$2*M11)/100</f>
        <v>300416.625</v>
      </c>
      <c r="M11" s="15" t="n">
        <v>0.25</v>
      </c>
      <c r="N11" s="9" t="s">
        <v>20</v>
      </c>
    </row>
    <row r="12" customFormat="false" ht="14.25" hidden="false" customHeight="true" outlineLevel="0" collapsed="false">
      <c r="B12" s="9" t="s">
        <v>16</v>
      </c>
      <c r="C12" s="9" t="n">
        <v>1185732</v>
      </c>
      <c r="D12" s="10" t="n">
        <v>43837</v>
      </c>
      <c r="E12" s="9" t="s">
        <v>17</v>
      </c>
      <c r="F12" s="9" t="s">
        <v>18</v>
      </c>
      <c r="G12" s="9" t="s">
        <v>18</v>
      </c>
      <c r="H12" s="11" t="s">
        <v>19</v>
      </c>
      <c r="I12" s="12" t="n">
        <v>50</v>
      </c>
      <c r="J12" s="13" t="n">
        <v>1250</v>
      </c>
      <c r="K12" s="14" t="n">
        <f aca="false">I12*J12</f>
        <v>62500</v>
      </c>
      <c r="L12" s="14" t="n">
        <f aca="false">($L$2*M12)/100</f>
        <v>600833.25</v>
      </c>
      <c r="M12" s="15" t="n">
        <v>0.5</v>
      </c>
      <c r="N12" s="9" t="s">
        <v>20</v>
      </c>
    </row>
    <row r="13" customFormat="false" ht="14.25" hidden="false" customHeight="true" outlineLevel="0" collapsed="false">
      <c r="B13" s="9" t="s">
        <v>16</v>
      </c>
      <c r="C13" s="9" t="n">
        <v>1185732</v>
      </c>
      <c r="D13" s="10" t="n">
        <v>43838</v>
      </c>
      <c r="E13" s="9" t="s">
        <v>17</v>
      </c>
      <c r="F13" s="9" t="s">
        <v>18</v>
      </c>
      <c r="G13" s="9" t="s">
        <v>18</v>
      </c>
      <c r="H13" s="11" t="s">
        <v>21</v>
      </c>
      <c r="I13" s="12" t="n">
        <v>50</v>
      </c>
      <c r="J13" s="13" t="n">
        <v>900</v>
      </c>
      <c r="K13" s="14" t="n">
        <f aca="false">I13*J13</f>
        <v>45000</v>
      </c>
      <c r="L13" s="14" t="n">
        <f aca="false">($L$2*M13)/100</f>
        <v>360499.95</v>
      </c>
      <c r="M13" s="15" t="n">
        <v>0.3</v>
      </c>
      <c r="N13" s="9" t="s">
        <v>26</v>
      </c>
    </row>
    <row r="14" customFormat="false" ht="14.25" hidden="false" customHeight="true" outlineLevel="0" collapsed="false">
      <c r="B14" s="9" t="s">
        <v>16</v>
      </c>
      <c r="C14" s="9" t="n">
        <v>1185732</v>
      </c>
      <c r="D14" s="10" t="n">
        <v>43851</v>
      </c>
      <c r="E14" s="9" t="s">
        <v>17</v>
      </c>
      <c r="F14" s="9" t="s">
        <v>18</v>
      </c>
      <c r="G14" s="9" t="s">
        <v>18</v>
      </c>
      <c r="H14" s="11" t="s">
        <v>22</v>
      </c>
      <c r="I14" s="12" t="n">
        <v>40</v>
      </c>
      <c r="J14" s="13" t="n">
        <v>950</v>
      </c>
      <c r="K14" s="14" t="n">
        <f aca="false">I14*J14</f>
        <v>38000</v>
      </c>
      <c r="L14" s="14" t="n">
        <f aca="false">($L$2*M14)/100</f>
        <v>420583.275</v>
      </c>
      <c r="M14" s="15" t="n">
        <v>0.35</v>
      </c>
      <c r="N14" s="9" t="s">
        <v>26</v>
      </c>
    </row>
    <row r="15" customFormat="false" ht="14.25" hidden="false" customHeight="true" outlineLevel="0" collapsed="false">
      <c r="B15" s="9" t="s">
        <v>16</v>
      </c>
      <c r="C15" s="9" t="n">
        <v>1185732</v>
      </c>
      <c r="D15" s="10" t="n">
        <v>43852</v>
      </c>
      <c r="E15" s="9" t="s">
        <v>17</v>
      </c>
      <c r="F15" s="9" t="s">
        <v>18</v>
      </c>
      <c r="G15" s="9" t="s">
        <v>18</v>
      </c>
      <c r="H15" s="11" t="s">
        <v>23</v>
      </c>
      <c r="I15" s="12" t="n">
        <v>45</v>
      </c>
      <c r="J15" s="13" t="n">
        <v>825</v>
      </c>
      <c r="K15" s="14" t="n">
        <f aca="false">I15*J15</f>
        <v>37125</v>
      </c>
      <c r="L15" s="14" t="n">
        <f aca="false">($L$2*M15)/100</f>
        <v>420583.275</v>
      </c>
      <c r="M15" s="15" t="n">
        <v>0.35</v>
      </c>
      <c r="N15" s="9" t="s">
        <v>26</v>
      </c>
    </row>
    <row r="16" customFormat="false" ht="14.25" hidden="false" customHeight="true" outlineLevel="0" collapsed="false">
      <c r="B16" s="9" t="s">
        <v>16</v>
      </c>
      <c r="C16" s="9" t="n">
        <v>1185732</v>
      </c>
      <c r="D16" s="10" t="n">
        <v>43853</v>
      </c>
      <c r="E16" s="9" t="s">
        <v>17</v>
      </c>
      <c r="F16" s="9" t="s">
        <v>18</v>
      </c>
      <c r="G16" s="9" t="s">
        <v>18</v>
      </c>
      <c r="H16" s="11" t="s">
        <v>24</v>
      </c>
      <c r="I16" s="12" t="n">
        <v>60</v>
      </c>
      <c r="J16" s="13" t="n">
        <v>900</v>
      </c>
      <c r="K16" s="14" t="n">
        <f aca="false">I16*J16</f>
        <v>54000</v>
      </c>
      <c r="L16" s="14" t="n">
        <f aca="false">($L$2*M16)/100</f>
        <v>360499.95</v>
      </c>
      <c r="M16" s="15" t="n">
        <v>0.3</v>
      </c>
      <c r="N16" s="9" t="s">
        <v>26</v>
      </c>
    </row>
    <row r="17" customFormat="false" ht="14.25" hidden="false" customHeight="true" outlineLevel="0" collapsed="false">
      <c r="B17" s="9" t="s">
        <v>16</v>
      </c>
      <c r="C17" s="9" t="n">
        <v>1185732</v>
      </c>
      <c r="D17" s="10" t="n">
        <v>43854</v>
      </c>
      <c r="E17" s="9" t="s">
        <v>17</v>
      </c>
      <c r="F17" s="9" t="s">
        <v>18</v>
      </c>
      <c r="G17" s="9" t="s">
        <v>18</v>
      </c>
      <c r="H17" s="11" t="s">
        <v>25</v>
      </c>
      <c r="I17" s="12" t="n">
        <v>50</v>
      </c>
      <c r="J17" s="13" t="n">
        <v>1000</v>
      </c>
      <c r="K17" s="14" t="n">
        <f aca="false">I17*J17</f>
        <v>50000</v>
      </c>
      <c r="L17" s="14" t="n">
        <f aca="false">($L$2*M17)/100</f>
        <v>300416.625</v>
      </c>
      <c r="M17" s="15" t="n">
        <v>0.25</v>
      </c>
      <c r="N17" s="9" t="s">
        <v>26</v>
      </c>
    </row>
    <row r="18" customFormat="false" ht="14.25" hidden="false" customHeight="true" outlineLevel="0" collapsed="false">
      <c r="B18" s="9" t="s">
        <v>16</v>
      </c>
      <c r="C18" s="9" t="n">
        <v>1185732</v>
      </c>
      <c r="D18" s="10" t="n">
        <v>43855</v>
      </c>
      <c r="E18" s="9" t="s">
        <v>17</v>
      </c>
      <c r="F18" s="9" t="s">
        <v>18</v>
      </c>
      <c r="G18" s="9" t="s">
        <v>18</v>
      </c>
      <c r="H18" s="11" t="s">
        <v>19</v>
      </c>
      <c r="I18" s="12" t="n">
        <v>50</v>
      </c>
      <c r="J18" s="13" t="n">
        <v>1220</v>
      </c>
      <c r="K18" s="14" t="n">
        <f aca="false">I18*J18</f>
        <v>61000</v>
      </c>
      <c r="L18" s="14" t="n">
        <f aca="false">($L$2*M18)/100</f>
        <v>600833.25</v>
      </c>
      <c r="M18" s="15" t="n">
        <v>0.5</v>
      </c>
      <c r="N18" s="9" t="s">
        <v>26</v>
      </c>
    </row>
    <row r="19" customFormat="false" ht="14.25" hidden="false" customHeight="true" outlineLevel="0" collapsed="false">
      <c r="B19" s="9" t="s">
        <v>16</v>
      </c>
      <c r="C19" s="9" t="n">
        <v>1185732</v>
      </c>
      <c r="D19" s="10" t="n">
        <v>43856</v>
      </c>
      <c r="E19" s="9" t="s">
        <v>17</v>
      </c>
      <c r="F19" s="9" t="s">
        <v>18</v>
      </c>
      <c r="G19" s="9" t="s">
        <v>18</v>
      </c>
      <c r="H19" s="11" t="s">
        <v>21</v>
      </c>
      <c r="I19" s="12" t="n">
        <v>50</v>
      </c>
      <c r="J19" s="13" t="n">
        <v>925</v>
      </c>
      <c r="K19" s="14" t="n">
        <f aca="false">I19*J19</f>
        <v>46250</v>
      </c>
      <c r="L19" s="14" t="n">
        <f aca="false">($L$2*M19)/100</f>
        <v>360499.95</v>
      </c>
      <c r="M19" s="15" t="n">
        <v>0.3</v>
      </c>
      <c r="N19" s="9" t="s">
        <v>26</v>
      </c>
    </row>
    <row r="20" customFormat="false" ht="14.25" hidden="false" customHeight="true" outlineLevel="0" collapsed="false">
      <c r="B20" s="9" t="s">
        <v>16</v>
      </c>
      <c r="C20" s="9" t="n">
        <v>1185732</v>
      </c>
      <c r="D20" s="10" t="n">
        <v>43857</v>
      </c>
      <c r="E20" s="9" t="s">
        <v>17</v>
      </c>
      <c r="F20" s="9" t="s">
        <v>18</v>
      </c>
      <c r="G20" s="9" t="s">
        <v>18</v>
      </c>
      <c r="H20" s="11" t="s">
        <v>22</v>
      </c>
      <c r="I20" s="12" t="n">
        <v>40</v>
      </c>
      <c r="J20" s="13" t="n">
        <v>950</v>
      </c>
      <c r="K20" s="14" t="n">
        <f aca="false">I20*J20</f>
        <v>38000</v>
      </c>
      <c r="L20" s="14" t="n">
        <f aca="false">($L$2*M20)/100</f>
        <v>420583.275</v>
      </c>
      <c r="M20" s="15" t="n">
        <v>0.35</v>
      </c>
      <c r="N20" s="9" t="s">
        <v>26</v>
      </c>
    </row>
    <row r="21" customFormat="false" ht="14.25" hidden="false" customHeight="true" outlineLevel="0" collapsed="false">
      <c r="B21" s="9" t="s">
        <v>16</v>
      </c>
      <c r="C21" s="9" t="n">
        <v>1185732</v>
      </c>
      <c r="D21" s="10" t="n">
        <v>43858</v>
      </c>
      <c r="E21" s="9" t="s">
        <v>17</v>
      </c>
      <c r="F21" s="9" t="s">
        <v>18</v>
      </c>
      <c r="G21" s="9" t="s">
        <v>18</v>
      </c>
      <c r="H21" s="11" t="s">
        <v>23</v>
      </c>
      <c r="I21" s="12" t="n">
        <v>45</v>
      </c>
      <c r="J21" s="13" t="n">
        <v>800</v>
      </c>
      <c r="K21" s="14" t="n">
        <f aca="false">I21*J21</f>
        <v>36000</v>
      </c>
      <c r="L21" s="14" t="n">
        <f aca="false">($L$2*M21)/100</f>
        <v>420583.275</v>
      </c>
      <c r="M21" s="15" t="n">
        <v>0.35</v>
      </c>
      <c r="N21" s="9" t="s">
        <v>26</v>
      </c>
    </row>
    <row r="22" customFormat="false" ht="14.25" hidden="false" customHeight="true" outlineLevel="0" collapsed="false">
      <c r="B22" s="9" t="s">
        <v>16</v>
      </c>
      <c r="C22" s="9" t="n">
        <v>1185732</v>
      </c>
      <c r="D22" s="10" t="n">
        <v>43859</v>
      </c>
      <c r="E22" s="9" t="s">
        <v>17</v>
      </c>
      <c r="F22" s="9" t="s">
        <v>18</v>
      </c>
      <c r="G22" s="9" t="s">
        <v>18</v>
      </c>
      <c r="H22" s="11" t="s">
        <v>24</v>
      </c>
      <c r="I22" s="12" t="n">
        <v>60</v>
      </c>
      <c r="J22" s="13" t="n">
        <v>850</v>
      </c>
      <c r="K22" s="14" t="n">
        <f aca="false">I22*J22</f>
        <v>51000</v>
      </c>
      <c r="L22" s="14" t="n">
        <f aca="false">($L$2*M22)/100</f>
        <v>360499.95</v>
      </c>
      <c r="M22" s="15" t="n">
        <v>0.3</v>
      </c>
      <c r="N22" s="9" t="s">
        <v>26</v>
      </c>
    </row>
    <row r="23" customFormat="false" ht="14.25" hidden="false" customHeight="true" outlineLevel="0" collapsed="false">
      <c r="B23" s="9" t="s">
        <v>16</v>
      </c>
      <c r="C23" s="9" t="n">
        <v>1185732</v>
      </c>
      <c r="D23" s="10" t="n">
        <v>43860</v>
      </c>
      <c r="E23" s="9" t="s">
        <v>17</v>
      </c>
      <c r="F23" s="9" t="s">
        <v>18</v>
      </c>
      <c r="G23" s="9" t="s">
        <v>18</v>
      </c>
      <c r="H23" s="11" t="s">
        <v>25</v>
      </c>
      <c r="I23" s="12" t="n">
        <v>50</v>
      </c>
      <c r="J23" s="13" t="n">
        <v>950</v>
      </c>
      <c r="K23" s="14" t="n">
        <f aca="false">I23*J23</f>
        <v>47500</v>
      </c>
      <c r="L23" s="14" t="n">
        <f aca="false">($L$2*M23)/100</f>
        <v>300416.625</v>
      </c>
      <c r="M23" s="15" t="n">
        <v>0.25</v>
      </c>
      <c r="N23" s="9" t="s">
        <v>26</v>
      </c>
    </row>
    <row r="24" customFormat="false" ht="14.25" hidden="false" customHeight="true" outlineLevel="0" collapsed="false">
      <c r="B24" s="9" t="s">
        <v>16</v>
      </c>
      <c r="C24" s="9" t="n">
        <v>1185732</v>
      </c>
      <c r="D24" s="10" t="n">
        <v>43861</v>
      </c>
      <c r="E24" s="9" t="s">
        <v>17</v>
      </c>
      <c r="F24" s="9" t="s">
        <v>18</v>
      </c>
      <c r="G24" s="9" t="s">
        <v>18</v>
      </c>
      <c r="H24" s="11" t="s">
        <v>19</v>
      </c>
      <c r="I24" s="12" t="n">
        <v>50</v>
      </c>
      <c r="J24" s="13" t="n">
        <v>1200</v>
      </c>
      <c r="K24" s="14" t="n">
        <f aca="false">I24*J24</f>
        <v>60000</v>
      </c>
      <c r="L24" s="14" t="n">
        <f aca="false">($L$2*M24)/100</f>
        <v>600833.25</v>
      </c>
      <c r="M24" s="15" t="n">
        <v>0.5</v>
      </c>
      <c r="N24" s="9" t="s">
        <v>26</v>
      </c>
    </row>
    <row r="25" customFormat="false" ht="14.25" hidden="false" customHeight="true" outlineLevel="0" collapsed="false">
      <c r="B25" s="9" t="s">
        <v>16</v>
      </c>
      <c r="C25" s="9" t="n">
        <v>1185732</v>
      </c>
      <c r="D25" s="10" t="n">
        <v>43862</v>
      </c>
      <c r="E25" s="9" t="s">
        <v>17</v>
      </c>
      <c r="F25" s="9" t="s">
        <v>18</v>
      </c>
      <c r="G25" s="9" t="s">
        <v>18</v>
      </c>
      <c r="H25" s="11" t="s">
        <v>21</v>
      </c>
      <c r="I25" s="12" t="n">
        <v>50</v>
      </c>
      <c r="J25" s="13" t="n">
        <v>900</v>
      </c>
      <c r="K25" s="14" t="n">
        <f aca="false">I25*J25</f>
        <v>45000</v>
      </c>
      <c r="L25" s="14" t="n">
        <f aca="false">($L$2*M25)/100</f>
        <v>360499.95</v>
      </c>
      <c r="M25" s="15" t="n">
        <v>0.3</v>
      </c>
      <c r="N25" s="9" t="s">
        <v>26</v>
      </c>
    </row>
    <row r="26" customFormat="false" ht="14.25" hidden="false" customHeight="true" outlineLevel="0" collapsed="false">
      <c r="B26" s="9" t="s">
        <v>16</v>
      </c>
      <c r="C26" s="9" t="n">
        <v>1185732</v>
      </c>
      <c r="D26" s="10" t="n">
        <v>43863</v>
      </c>
      <c r="E26" s="9" t="s">
        <v>17</v>
      </c>
      <c r="F26" s="9" t="s">
        <v>18</v>
      </c>
      <c r="G26" s="9" t="s">
        <v>18</v>
      </c>
      <c r="H26" s="11" t="s">
        <v>22</v>
      </c>
      <c r="I26" s="12" t="n">
        <v>40</v>
      </c>
      <c r="J26" s="13" t="n">
        <v>900</v>
      </c>
      <c r="K26" s="14" t="n">
        <f aca="false">I26*J26</f>
        <v>36000</v>
      </c>
      <c r="L26" s="14" t="n">
        <f aca="false">($L$2*M26)/100</f>
        <v>420583.275</v>
      </c>
      <c r="M26" s="15" t="n">
        <v>0.35</v>
      </c>
      <c r="N26" s="9" t="s">
        <v>26</v>
      </c>
    </row>
    <row r="27" customFormat="false" ht="14.25" hidden="false" customHeight="true" outlineLevel="0" collapsed="false">
      <c r="B27" s="9" t="s">
        <v>16</v>
      </c>
      <c r="C27" s="9" t="n">
        <v>1185732</v>
      </c>
      <c r="D27" s="10" t="n">
        <v>43864</v>
      </c>
      <c r="E27" s="9" t="s">
        <v>17</v>
      </c>
      <c r="F27" s="9" t="s">
        <v>18</v>
      </c>
      <c r="G27" s="9" t="s">
        <v>18</v>
      </c>
      <c r="H27" s="11" t="s">
        <v>23</v>
      </c>
      <c r="I27" s="12" t="n">
        <v>45</v>
      </c>
      <c r="J27" s="13" t="n">
        <v>825</v>
      </c>
      <c r="K27" s="14" t="n">
        <f aca="false">I27*J27</f>
        <v>37125</v>
      </c>
      <c r="L27" s="14" t="n">
        <f aca="false">($L$2*M27)/100</f>
        <v>420583.275</v>
      </c>
      <c r="M27" s="15" t="n">
        <v>0.35</v>
      </c>
      <c r="N27" s="9" t="s">
        <v>26</v>
      </c>
    </row>
    <row r="28" customFormat="false" ht="14.25" hidden="false" customHeight="true" outlineLevel="0" collapsed="false">
      <c r="B28" s="9" t="s">
        <v>16</v>
      </c>
      <c r="C28" s="9" t="n">
        <v>1185732</v>
      </c>
      <c r="D28" s="10" t="n">
        <v>43865</v>
      </c>
      <c r="E28" s="9" t="s">
        <v>17</v>
      </c>
      <c r="F28" s="9" t="s">
        <v>18</v>
      </c>
      <c r="G28" s="9" t="s">
        <v>18</v>
      </c>
      <c r="H28" s="11" t="s">
        <v>24</v>
      </c>
      <c r="I28" s="12" t="n">
        <v>60</v>
      </c>
      <c r="J28" s="13" t="n">
        <v>825</v>
      </c>
      <c r="K28" s="14" t="n">
        <f aca="false">I28*J28</f>
        <v>49500</v>
      </c>
      <c r="L28" s="14" t="n">
        <f aca="false">($L$2*M28)/100</f>
        <v>360499.95</v>
      </c>
      <c r="M28" s="15" t="n">
        <v>0.3</v>
      </c>
      <c r="N28" s="9" t="s">
        <v>26</v>
      </c>
    </row>
    <row r="29" customFormat="false" ht="14.25" hidden="false" customHeight="true" outlineLevel="0" collapsed="false">
      <c r="B29" s="9" t="s">
        <v>16</v>
      </c>
      <c r="C29" s="9" t="n">
        <v>1185732</v>
      </c>
      <c r="D29" s="10" t="n">
        <v>43866</v>
      </c>
      <c r="E29" s="9" t="s">
        <v>17</v>
      </c>
      <c r="F29" s="9" t="s">
        <v>18</v>
      </c>
      <c r="G29" s="9" t="s">
        <v>18</v>
      </c>
      <c r="H29" s="11" t="s">
        <v>25</v>
      </c>
      <c r="I29" s="12" t="n">
        <v>50</v>
      </c>
      <c r="J29" s="13" t="n">
        <v>950</v>
      </c>
      <c r="K29" s="14" t="n">
        <f aca="false">I29*J29</f>
        <v>47500</v>
      </c>
      <c r="L29" s="14" t="n">
        <f aca="false">($L$2*M29)/100</f>
        <v>300416.625</v>
      </c>
      <c r="M29" s="15" t="n">
        <v>0.25</v>
      </c>
      <c r="N29" s="9" t="s">
        <v>26</v>
      </c>
    </row>
    <row r="30" customFormat="false" ht="14.25" hidden="false" customHeight="true" outlineLevel="0" collapsed="false">
      <c r="B30" s="9" t="s">
        <v>16</v>
      </c>
      <c r="C30" s="9" t="n">
        <v>1185732</v>
      </c>
      <c r="D30" s="10" t="n">
        <v>43867</v>
      </c>
      <c r="E30" s="9" t="s">
        <v>17</v>
      </c>
      <c r="F30" s="9" t="s">
        <v>18</v>
      </c>
      <c r="G30" s="9" t="s">
        <v>18</v>
      </c>
      <c r="H30" s="11" t="s">
        <v>19</v>
      </c>
      <c r="I30" s="12" t="n">
        <v>60</v>
      </c>
      <c r="J30" s="13" t="n">
        <v>1220</v>
      </c>
      <c r="K30" s="14" t="n">
        <f aca="false">I30*J30</f>
        <v>73200</v>
      </c>
      <c r="L30" s="14" t="n">
        <f aca="false">($L$2*M30)/100</f>
        <v>600833.25</v>
      </c>
      <c r="M30" s="15" t="n">
        <v>0.5</v>
      </c>
      <c r="N30" s="9" t="s">
        <v>26</v>
      </c>
    </row>
    <row r="31" customFormat="false" ht="14.25" hidden="false" customHeight="true" outlineLevel="0" collapsed="false">
      <c r="B31" s="9" t="s">
        <v>16</v>
      </c>
      <c r="C31" s="9" t="n">
        <v>1185732</v>
      </c>
      <c r="D31" s="10" t="n">
        <v>43868</v>
      </c>
      <c r="E31" s="9" t="s">
        <v>17</v>
      </c>
      <c r="F31" s="9" t="s">
        <v>18</v>
      </c>
      <c r="G31" s="9" t="s">
        <v>18</v>
      </c>
      <c r="H31" s="11" t="s">
        <v>21</v>
      </c>
      <c r="I31" s="12" t="n">
        <v>55</v>
      </c>
      <c r="J31" s="13" t="n">
        <v>925</v>
      </c>
      <c r="K31" s="14" t="n">
        <f aca="false">I31*J31</f>
        <v>50875</v>
      </c>
      <c r="L31" s="14" t="n">
        <f aca="false">($L$2*M31)/100</f>
        <v>360499.95</v>
      </c>
      <c r="M31" s="15" t="n">
        <v>0.3</v>
      </c>
      <c r="N31" s="9" t="s">
        <v>26</v>
      </c>
    </row>
    <row r="32" customFormat="false" ht="14.25" hidden="false" customHeight="true" outlineLevel="0" collapsed="false">
      <c r="B32" s="9" t="s">
        <v>16</v>
      </c>
      <c r="C32" s="9" t="n">
        <v>1185732</v>
      </c>
      <c r="D32" s="10" t="n">
        <v>43869</v>
      </c>
      <c r="E32" s="9" t="s">
        <v>17</v>
      </c>
      <c r="F32" s="9" t="s">
        <v>18</v>
      </c>
      <c r="G32" s="9" t="s">
        <v>18</v>
      </c>
      <c r="H32" s="11" t="s">
        <v>22</v>
      </c>
      <c r="I32" s="12" t="n">
        <v>50</v>
      </c>
      <c r="J32" s="13" t="n">
        <v>900</v>
      </c>
      <c r="K32" s="14" t="n">
        <f aca="false">I32*J32</f>
        <v>45000</v>
      </c>
      <c r="L32" s="14" t="n">
        <f aca="false">($L$2*M32)/100</f>
        <v>420583.275</v>
      </c>
      <c r="M32" s="15" t="n">
        <v>0.35</v>
      </c>
      <c r="N32" s="9" t="s">
        <v>26</v>
      </c>
    </row>
    <row r="33" customFormat="false" ht="14.25" hidden="false" customHeight="true" outlineLevel="0" collapsed="false">
      <c r="B33" s="9" t="s">
        <v>16</v>
      </c>
      <c r="C33" s="9" t="n">
        <v>1185732</v>
      </c>
      <c r="D33" s="10" t="n">
        <v>43870</v>
      </c>
      <c r="E33" s="9" t="s">
        <v>17</v>
      </c>
      <c r="F33" s="9" t="s">
        <v>18</v>
      </c>
      <c r="G33" s="9" t="s">
        <v>18</v>
      </c>
      <c r="H33" s="11" t="s">
        <v>23</v>
      </c>
      <c r="I33" s="12" t="n">
        <v>50</v>
      </c>
      <c r="J33" s="13" t="n">
        <v>850</v>
      </c>
      <c r="K33" s="14" t="n">
        <f aca="false">I33*J33</f>
        <v>42500</v>
      </c>
      <c r="L33" s="14" t="n">
        <f aca="false">($L$2*M33)/100</f>
        <v>420583.275</v>
      </c>
      <c r="M33" s="15" t="n">
        <v>0.35</v>
      </c>
      <c r="N33" s="9" t="s">
        <v>26</v>
      </c>
    </row>
    <row r="34" customFormat="false" ht="14.25" hidden="false" customHeight="true" outlineLevel="0" collapsed="false">
      <c r="B34" s="9" t="s">
        <v>16</v>
      </c>
      <c r="C34" s="9" t="n">
        <v>1185732</v>
      </c>
      <c r="D34" s="10" t="n">
        <v>43871</v>
      </c>
      <c r="E34" s="9" t="s">
        <v>17</v>
      </c>
      <c r="F34" s="9" t="s">
        <v>18</v>
      </c>
      <c r="G34" s="9" t="s">
        <v>18</v>
      </c>
      <c r="H34" s="11" t="s">
        <v>24</v>
      </c>
      <c r="I34" s="12" t="n">
        <v>60</v>
      </c>
      <c r="J34" s="13" t="n">
        <v>875</v>
      </c>
      <c r="K34" s="14" t="n">
        <f aca="false">I34*J34</f>
        <v>52500</v>
      </c>
      <c r="L34" s="14" t="n">
        <f aca="false">($L$2*M34)/100</f>
        <v>360499.95</v>
      </c>
      <c r="M34" s="15" t="n">
        <v>0.3</v>
      </c>
      <c r="N34" s="9" t="s">
        <v>26</v>
      </c>
    </row>
    <row r="35" customFormat="false" ht="14.25" hidden="false" customHeight="true" outlineLevel="0" collapsed="false">
      <c r="B35" s="9" t="s">
        <v>16</v>
      </c>
      <c r="C35" s="9" t="n">
        <v>1185732</v>
      </c>
      <c r="D35" s="10" t="n">
        <v>43893</v>
      </c>
      <c r="E35" s="9" t="s">
        <v>17</v>
      </c>
      <c r="F35" s="9" t="s">
        <v>18</v>
      </c>
      <c r="G35" s="9" t="s">
        <v>18</v>
      </c>
      <c r="H35" s="11" t="s">
        <v>25</v>
      </c>
      <c r="I35" s="12" t="n">
        <v>65</v>
      </c>
      <c r="J35" s="13" t="n">
        <v>1000</v>
      </c>
      <c r="K35" s="14" t="n">
        <f aca="false">I35*J35</f>
        <v>65000</v>
      </c>
      <c r="L35" s="14" t="n">
        <f aca="false">($L$2*M35)/100</f>
        <v>300416.625</v>
      </c>
      <c r="M35" s="15" t="n">
        <v>0.25</v>
      </c>
      <c r="N35" s="9" t="s">
        <v>26</v>
      </c>
    </row>
    <row r="36" customFormat="false" ht="14.25" hidden="false" customHeight="true" outlineLevel="0" collapsed="false">
      <c r="B36" s="9" t="s">
        <v>16</v>
      </c>
      <c r="C36" s="9" t="n">
        <v>1185732</v>
      </c>
      <c r="D36" s="10" t="n">
        <v>43894</v>
      </c>
      <c r="E36" s="9" t="s">
        <v>17</v>
      </c>
      <c r="F36" s="9" t="s">
        <v>18</v>
      </c>
      <c r="G36" s="9" t="s">
        <v>18</v>
      </c>
      <c r="H36" s="11" t="s">
        <v>19</v>
      </c>
      <c r="I36" s="12" t="n">
        <v>60</v>
      </c>
      <c r="J36" s="13" t="n">
        <v>1250</v>
      </c>
      <c r="K36" s="14" t="n">
        <f aca="false">I36*J36</f>
        <v>75000</v>
      </c>
      <c r="L36" s="14" t="n">
        <f aca="false">($L$2*M36)/100</f>
        <v>600833.25</v>
      </c>
      <c r="M36" s="15" t="n">
        <v>0.5</v>
      </c>
      <c r="N36" s="9" t="s">
        <v>26</v>
      </c>
    </row>
    <row r="37" customFormat="false" ht="14.25" hidden="false" customHeight="true" outlineLevel="0" collapsed="false">
      <c r="B37" s="9" t="s">
        <v>16</v>
      </c>
      <c r="C37" s="9" t="n">
        <v>1185732</v>
      </c>
      <c r="D37" s="10" t="n">
        <v>43895</v>
      </c>
      <c r="E37" s="9" t="s">
        <v>17</v>
      </c>
      <c r="F37" s="9" t="s">
        <v>18</v>
      </c>
      <c r="G37" s="9" t="s">
        <v>18</v>
      </c>
      <c r="H37" s="11" t="s">
        <v>21</v>
      </c>
      <c r="I37" s="12" t="n">
        <v>55</v>
      </c>
      <c r="J37" s="13" t="n">
        <v>1000</v>
      </c>
      <c r="K37" s="14" t="n">
        <f aca="false">I37*J37</f>
        <v>55000</v>
      </c>
      <c r="L37" s="14" t="n">
        <f aca="false">($L$2*M37)/100</f>
        <v>360499.95</v>
      </c>
      <c r="M37" s="15" t="n">
        <v>0.3</v>
      </c>
      <c r="N37" s="9" t="s">
        <v>26</v>
      </c>
    </row>
    <row r="38" customFormat="false" ht="14.25" hidden="false" customHeight="true" outlineLevel="0" collapsed="false">
      <c r="B38" s="9" t="s">
        <v>16</v>
      </c>
      <c r="C38" s="9" t="n">
        <v>1185732</v>
      </c>
      <c r="D38" s="10" t="n">
        <v>43896</v>
      </c>
      <c r="E38" s="9" t="s">
        <v>17</v>
      </c>
      <c r="F38" s="9" t="s">
        <v>18</v>
      </c>
      <c r="G38" s="9" t="s">
        <v>18</v>
      </c>
      <c r="H38" s="11" t="s">
        <v>22</v>
      </c>
      <c r="I38" s="12" t="n">
        <v>50</v>
      </c>
      <c r="J38" s="13" t="n">
        <v>925</v>
      </c>
      <c r="K38" s="14" t="n">
        <f aca="false">I38*J38</f>
        <v>46250</v>
      </c>
      <c r="L38" s="14" t="n">
        <f aca="false">($L$2*M38)/100</f>
        <v>420583.275</v>
      </c>
      <c r="M38" s="15" t="n">
        <v>0.35</v>
      </c>
      <c r="N38" s="9" t="s">
        <v>26</v>
      </c>
    </row>
    <row r="39" customFormat="false" ht="14.25" hidden="false" customHeight="true" outlineLevel="0" collapsed="false">
      <c r="B39" s="9" t="s">
        <v>16</v>
      </c>
      <c r="C39" s="9" t="n">
        <v>1185732</v>
      </c>
      <c r="D39" s="10" t="n">
        <v>43897</v>
      </c>
      <c r="E39" s="9" t="s">
        <v>17</v>
      </c>
      <c r="F39" s="9" t="s">
        <v>18</v>
      </c>
      <c r="G39" s="9" t="s">
        <v>18</v>
      </c>
      <c r="H39" s="11" t="s">
        <v>23</v>
      </c>
      <c r="I39" s="12" t="n">
        <v>50</v>
      </c>
      <c r="J39" s="13" t="n">
        <v>900</v>
      </c>
      <c r="K39" s="14" t="n">
        <f aca="false">I39*J39</f>
        <v>45000</v>
      </c>
      <c r="L39" s="14" t="n">
        <f aca="false">($L$2*M39)/100</f>
        <v>420583.275</v>
      </c>
      <c r="M39" s="15" t="n">
        <v>0.35</v>
      </c>
      <c r="N39" s="9" t="s">
        <v>26</v>
      </c>
    </row>
    <row r="40" customFormat="false" ht="14.25" hidden="false" customHeight="true" outlineLevel="0" collapsed="false">
      <c r="B40" s="9" t="s">
        <v>16</v>
      </c>
      <c r="C40" s="9" t="n">
        <v>1185732</v>
      </c>
      <c r="D40" s="10" t="n">
        <v>43898</v>
      </c>
      <c r="E40" s="9" t="s">
        <v>17</v>
      </c>
      <c r="F40" s="9" t="s">
        <v>18</v>
      </c>
      <c r="G40" s="9" t="s">
        <v>18</v>
      </c>
      <c r="H40" s="11" t="s">
        <v>24</v>
      </c>
      <c r="I40" s="12" t="n">
        <v>60</v>
      </c>
      <c r="J40" s="13" t="n">
        <v>900</v>
      </c>
      <c r="K40" s="14" t="n">
        <f aca="false">I40*J40</f>
        <v>54000</v>
      </c>
      <c r="L40" s="14" t="n">
        <f aca="false">($L$2*M40)/100</f>
        <v>360499.95</v>
      </c>
      <c r="M40" s="15" t="n">
        <v>0.3</v>
      </c>
      <c r="N40" s="9" t="s">
        <v>26</v>
      </c>
    </row>
    <row r="41" customFormat="false" ht="14.25" hidden="false" customHeight="true" outlineLevel="0" collapsed="false">
      <c r="B41" s="9" t="s">
        <v>16</v>
      </c>
      <c r="C41" s="9" t="n">
        <v>1185732</v>
      </c>
      <c r="D41" s="10" t="n">
        <v>43899</v>
      </c>
      <c r="E41" s="9" t="s">
        <v>17</v>
      </c>
      <c r="F41" s="9" t="s">
        <v>18</v>
      </c>
      <c r="G41" s="9" t="s">
        <v>18</v>
      </c>
      <c r="H41" s="11" t="s">
        <v>25</v>
      </c>
      <c r="I41" s="12" t="n">
        <v>65</v>
      </c>
      <c r="J41" s="13" t="n">
        <v>1050</v>
      </c>
      <c r="K41" s="14" t="n">
        <f aca="false">I41*J41</f>
        <v>68250</v>
      </c>
      <c r="L41" s="14" t="n">
        <f aca="false">($L$2*M41)/100</f>
        <v>300416.625</v>
      </c>
      <c r="M41" s="15" t="n">
        <v>0.25</v>
      </c>
      <c r="N41" s="9" t="s">
        <v>26</v>
      </c>
    </row>
    <row r="42" customFormat="false" ht="14.25" hidden="false" customHeight="true" outlineLevel="0" collapsed="false">
      <c r="B42" s="9" t="s">
        <v>16</v>
      </c>
      <c r="C42" s="9" t="n">
        <v>1185732</v>
      </c>
      <c r="D42" s="10" t="n">
        <v>43900</v>
      </c>
      <c r="E42" s="9" t="s">
        <v>17</v>
      </c>
      <c r="F42" s="9" t="s">
        <v>18</v>
      </c>
      <c r="G42" s="9" t="s">
        <v>18</v>
      </c>
      <c r="H42" s="11" t="s">
        <v>19</v>
      </c>
      <c r="I42" s="12" t="n">
        <v>60</v>
      </c>
      <c r="J42" s="13" t="n">
        <v>1275</v>
      </c>
      <c r="K42" s="14" t="n">
        <f aca="false">I42*J42</f>
        <v>76500</v>
      </c>
      <c r="L42" s="14" t="n">
        <f aca="false">($L$2*M42)/100</f>
        <v>600833.25</v>
      </c>
      <c r="M42" s="15" t="n">
        <v>0.5</v>
      </c>
      <c r="N42" s="9" t="s">
        <v>26</v>
      </c>
    </row>
    <row r="43" customFormat="false" ht="14.25" hidden="false" customHeight="true" outlineLevel="0" collapsed="false">
      <c r="B43" s="9" t="s">
        <v>16</v>
      </c>
      <c r="C43" s="9" t="n">
        <v>1185732</v>
      </c>
      <c r="D43" s="10" t="n">
        <v>43901</v>
      </c>
      <c r="E43" s="9" t="s">
        <v>17</v>
      </c>
      <c r="F43" s="9" t="s">
        <v>18</v>
      </c>
      <c r="G43" s="9" t="s">
        <v>18</v>
      </c>
      <c r="H43" s="11" t="s">
        <v>21</v>
      </c>
      <c r="I43" s="12" t="n">
        <v>55</v>
      </c>
      <c r="J43" s="13" t="n">
        <v>1025</v>
      </c>
      <c r="K43" s="14" t="n">
        <f aca="false">I43*J43</f>
        <v>56375</v>
      </c>
      <c r="L43" s="14" t="n">
        <f aca="false">($L$2*M43)/100</f>
        <v>360499.95</v>
      </c>
      <c r="M43" s="15" t="n">
        <v>0.3</v>
      </c>
      <c r="N43" s="9" t="s">
        <v>26</v>
      </c>
    </row>
    <row r="44" customFormat="false" ht="14.25" hidden="false" customHeight="true" outlineLevel="0" collapsed="false">
      <c r="B44" s="9" t="s">
        <v>16</v>
      </c>
      <c r="C44" s="9" t="n">
        <v>1185732</v>
      </c>
      <c r="D44" s="10" t="n">
        <v>43902</v>
      </c>
      <c r="E44" s="9" t="s">
        <v>17</v>
      </c>
      <c r="F44" s="9" t="s">
        <v>18</v>
      </c>
      <c r="G44" s="9" t="s">
        <v>18</v>
      </c>
      <c r="H44" s="11" t="s">
        <v>22</v>
      </c>
      <c r="I44" s="12" t="n">
        <v>50</v>
      </c>
      <c r="J44" s="13" t="n">
        <v>950</v>
      </c>
      <c r="K44" s="14" t="n">
        <f aca="false">I44*J44</f>
        <v>47500</v>
      </c>
      <c r="L44" s="14" t="n">
        <f aca="false">($L$2*M44)/100</f>
        <v>420583.275</v>
      </c>
      <c r="M44" s="15" t="n">
        <v>0.35</v>
      </c>
      <c r="N44" s="9" t="s">
        <v>26</v>
      </c>
    </row>
    <row r="45" customFormat="false" ht="14.25" hidden="false" customHeight="true" outlineLevel="0" collapsed="false">
      <c r="B45" s="9" t="s">
        <v>16</v>
      </c>
      <c r="C45" s="9" t="n">
        <v>1185732</v>
      </c>
      <c r="D45" s="10" t="n">
        <v>43903</v>
      </c>
      <c r="E45" s="9" t="s">
        <v>17</v>
      </c>
      <c r="F45" s="9" t="s">
        <v>18</v>
      </c>
      <c r="G45" s="9" t="s">
        <v>18</v>
      </c>
      <c r="H45" s="11" t="s">
        <v>23</v>
      </c>
      <c r="I45" s="12" t="n">
        <v>50</v>
      </c>
      <c r="J45" s="13" t="n">
        <v>900</v>
      </c>
      <c r="K45" s="14" t="n">
        <f aca="false">I45*J45</f>
        <v>45000</v>
      </c>
      <c r="L45" s="14" t="n">
        <f aca="false">($L$2*M45)/100</f>
        <v>420583.275</v>
      </c>
      <c r="M45" s="15" t="n">
        <v>0.35</v>
      </c>
      <c r="N45" s="9" t="s">
        <v>26</v>
      </c>
    </row>
    <row r="46" customFormat="false" ht="14.25" hidden="false" customHeight="true" outlineLevel="0" collapsed="false">
      <c r="B46" s="9" t="s">
        <v>16</v>
      </c>
      <c r="C46" s="9" t="n">
        <v>1185732</v>
      </c>
      <c r="D46" s="10" t="n">
        <v>43904</v>
      </c>
      <c r="E46" s="9" t="s">
        <v>17</v>
      </c>
      <c r="F46" s="9" t="s">
        <v>18</v>
      </c>
      <c r="G46" s="9" t="s">
        <v>18</v>
      </c>
      <c r="H46" s="11" t="s">
        <v>24</v>
      </c>
      <c r="I46" s="12" t="n">
        <v>60</v>
      </c>
      <c r="J46" s="13" t="n">
        <v>925</v>
      </c>
      <c r="K46" s="14" t="n">
        <f aca="false">I46*J46</f>
        <v>55500</v>
      </c>
      <c r="L46" s="14" t="n">
        <f aca="false">($L$2*M46)/100</f>
        <v>360499.95</v>
      </c>
      <c r="M46" s="15" t="n">
        <v>0.3</v>
      </c>
      <c r="N46" s="9" t="s">
        <v>26</v>
      </c>
    </row>
    <row r="47" customFormat="false" ht="14.25" hidden="false" customHeight="true" outlineLevel="0" collapsed="false">
      <c r="B47" s="9" t="s">
        <v>16</v>
      </c>
      <c r="C47" s="9" t="n">
        <v>1185732</v>
      </c>
      <c r="D47" s="10" t="n">
        <v>43905</v>
      </c>
      <c r="E47" s="9" t="s">
        <v>17</v>
      </c>
      <c r="F47" s="9" t="s">
        <v>18</v>
      </c>
      <c r="G47" s="9" t="s">
        <v>18</v>
      </c>
      <c r="H47" s="11" t="s">
        <v>25</v>
      </c>
      <c r="I47" s="12" t="n">
        <v>65</v>
      </c>
      <c r="J47" s="13" t="n">
        <v>1100</v>
      </c>
      <c r="K47" s="14" t="n">
        <f aca="false">I47*J47</f>
        <v>71500</v>
      </c>
      <c r="L47" s="14" t="n">
        <f aca="false">($L$2*M47)/100</f>
        <v>300416.625</v>
      </c>
      <c r="M47" s="15" t="n">
        <v>0.25</v>
      </c>
      <c r="N47" s="9" t="s">
        <v>26</v>
      </c>
    </row>
    <row r="48" customFormat="false" ht="14.25" hidden="false" customHeight="true" outlineLevel="0" collapsed="false">
      <c r="B48" s="9" t="s">
        <v>16</v>
      </c>
      <c r="C48" s="9" t="n">
        <v>1185732</v>
      </c>
      <c r="D48" s="10" t="n">
        <v>43906</v>
      </c>
      <c r="E48" s="9" t="s">
        <v>17</v>
      </c>
      <c r="F48" s="9" t="s">
        <v>18</v>
      </c>
      <c r="G48" s="9" t="s">
        <v>18</v>
      </c>
      <c r="H48" s="11" t="s">
        <v>19</v>
      </c>
      <c r="I48" s="12" t="n">
        <v>60</v>
      </c>
      <c r="J48" s="13" t="n">
        <v>1250</v>
      </c>
      <c r="K48" s="14" t="n">
        <f aca="false">I48*J48</f>
        <v>75000</v>
      </c>
      <c r="L48" s="14" t="n">
        <f aca="false">($L$2*M48)/100</f>
        <v>600833.25</v>
      </c>
      <c r="M48" s="15" t="n">
        <v>0.5</v>
      </c>
      <c r="N48" s="9" t="s">
        <v>26</v>
      </c>
    </row>
    <row r="49" customFormat="false" ht="14.25" hidden="false" customHeight="true" outlineLevel="0" collapsed="false">
      <c r="B49" s="9" t="s">
        <v>16</v>
      </c>
      <c r="C49" s="9" t="n">
        <v>1185732</v>
      </c>
      <c r="D49" s="10" t="n">
        <v>43907</v>
      </c>
      <c r="E49" s="9" t="s">
        <v>17</v>
      </c>
      <c r="F49" s="9" t="s">
        <v>18</v>
      </c>
      <c r="G49" s="9" t="s">
        <v>18</v>
      </c>
      <c r="H49" s="11" t="s">
        <v>21</v>
      </c>
      <c r="I49" s="12" t="n">
        <v>55</v>
      </c>
      <c r="J49" s="13" t="n">
        <v>1025</v>
      </c>
      <c r="K49" s="14" t="n">
        <f aca="false">I49*J49</f>
        <v>56375</v>
      </c>
      <c r="L49" s="14" t="n">
        <f aca="false">($L$2*M49)/100</f>
        <v>360499.95</v>
      </c>
      <c r="M49" s="15" t="n">
        <v>0.3</v>
      </c>
      <c r="N49" s="9" t="s">
        <v>26</v>
      </c>
    </row>
    <row r="50" customFormat="false" ht="14.25" hidden="false" customHeight="true" outlineLevel="0" collapsed="false">
      <c r="B50" s="9" t="s">
        <v>16</v>
      </c>
      <c r="C50" s="9" t="n">
        <v>1185732</v>
      </c>
      <c r="D50" s="10" t="n">
        <v>43908</v>
      </c>
      <c r="E50" s="9" t="s">
        <v>17</v>
      </c>
      <c r="F50" s="9" t="s">
        <v>18</v>
      </c>
      <c r="G50" s="9" t="s">
        <v>18</v>
      </c>
      <c r="H50" s="11" t="s">
        <v>22</v>
      </c>
      <c r="I50" s="12" t="n">
        <v>50</v>
      </c>
      <c r="J50" s="13" t="n">
        <v>950</v>
      </c>
      <c r="K50" s="14" t="n">
        <f aca="false">I50*J50</f>
        <v>47500</v>
      </c>
      <c r="L50" s="14" t="n">
        <f aca="false">($L$2*M50)/100</f>
        <v>420583.275</v>
      </c>
      <c r="M50" s="15" t="n">
        <v>0.35</v>
      </c>
      <c r="N50" s="9" t="s">
        <v>26</v>
      </c>
    </row>
    <row r="51" customFormat="false" ht="14.25" hidden="false" customHeight="true" outlineLevel="0" collapsed="false">
      <c r="B51" s="9" t="s">
        <v>16</v>
      </c>
      <c r="C51" s="9" t="n">
        <v>1185732</v>
      </c>
      <c r="D51" s="10" t="n">
        <v>43921</v>
      </c>
      <c r="E51" s="9" t="s">
        <v>17</v>
      </c>
      <c r="F51" s="9" t="s">
        <v>18</v>
      </c>
      <c r="G51" s="9" t="s">
        <v>18</v>
      </c>
      <c r="H51" s="11" t="s">
        <v>23</v>
      </c>
      <c r="I51" s="12" t="n">
        <v>50</v>
      </c>
      <c r="J51" s="13" t="n">
        <v>925</v>
      </c>
      <c r="K51" s="14" t="n">
        <f aca="false">I51*J51</f>
        <v>46250</v>
      </c>
      <c r="L51" s="14" t="n">
        <f aca="false">($L$2*M51)/100</f>
        <v>420583.275</v>
      </c>
      <c r="M51" s="15" t="n">
        <v>0.35</v>
      </c>
      <c r="N51" s="9" t="s">
        <v>26</v>
      </c>
    </row>
    <row r="52" customFormat="false" ht="14.25" hidden="false" customHeight="true" outlineLevel="0" collapsed="false">
      <c r="B52" s="9" t="s">
        <v>27</v>
      </c>
      <c r="C52" s="9" t="n">
        <v>1185732</v>
      </c>
      <c r="D52" s="10" t="n">
        <v>43938</v>
      </c>
      <c r="E52" s="9" t="s">
        <v>17</v>
      </c>
      <c r="F52" s="9" t="s">
        <v>18</v>
      </c>
      <c r="G52" s="9" t="s">
        <v>18</v>
      </c>
      <c r="H52" s="11" t="s">
        <v>24</v>
      </c>
      <c r="I52" s="12" t="n">
        <v>60</v>
      </c>
      <c r="J52" s="13" t="n">
        <v>900</v>
      </c>
      <c r="K52" s="14" t="n">
        <f aca="false">I52*J52</f>
        <v>54000</v>
      </c>
      <c r="L52" s="14" t="n">
        <f aca="false">($L$2*M52)/100</f>
        <v>360499.95</v>
      </c>
      <c r="M52" s="15" t="n">
        <v>0.3</v>
      </c>
      <c r="N52" s="9" t="s">
        <v>26</v>
      </c>
    </row>
    <row r="53" customFormat="false" ht="14.25" hidden="false" customHeight="true" outlineLevel="0" collapsed="false">
      <c r="B53" s="9" t="s">
        <v>27</v>
      </c>
      <c r="C53" s="9" t="n">
        <v>1185732</v>
      </c>
      <c r="D53" s="10" t="n">
        <v>43939</v>
      </c>
      <c r="E53" s="9" t="s">
        <v>17</v>
      </c>
      <c r="F53" s="9" t="s">
        <v>18</v>
      </c>
      <c r="G53" s="9" t="s">
        <v>18</v>
      </c>
      <c r="H53" s="11" t="s">
        <v>25</v>
      </c>
      <c r="I53" s="12" t="n">
        <v>65</v>
      </c>
      <c r="J53" s="13" t="n">
        <v>1075</v>
      </c>
      <c r="K53" s="14" t="n">
        <f aca="false">I53*J53</f>
        <v>69875</v>
      </c>
      <c r="L53" s="14" t="n">
        <f aca="false">($L$2*M53)/100</f>
        <v>300416.625</v>
      </c>
      <c r="M53" s="15" t="n">
        <v>0.25</v>
      </c>
      <c r="N53" s="9" t="s">
        <v>26</v>
      </c>
    </row>
    <row r="54" customFormat="false" ht="14.25" hidden="false" customHeight="true" outlineLevel="0" collapsed="false">
      <c r="B54" s="9" t="s">
        <v>27</v>
      </c>
      <c r="C54" s="9" t="n">
        <v>1185732</v>
      </c>
      <c r="D54" s="10" t="n">
        <v>43940</v>
      </c>
      <c r="E54" s="9" t="s">
        <v>17</v>
      </c>
      <c r="F54" s="9" t="s">
        <v>18</v>
      </c>
      <c r="G54" s="9" t="s">
        <v>18</v>
      </c>
      <c r="H54" s="11" t="s">
        <v>19</v>
      </c>
      <c r="I54" s="12" t="n">
        <v>60</v>
      </c>
      <c r="J54" s="13" t="n">
        <v>1200</v>
      </c>
      <c r="K54" s="14" t="n">
        <f aca="false">I54*J54</f>
        <v>72000</v>
      </c>
      <c r="L54" s="14" t="n">
        <f aca="false">($L$2*M54)/100</f>
        <v>600833.25</v>
      </c>
      <c r="M54" s="15" t="n">
        <v>0.5</v>
      </c>
      <c r="N54" s="9" t="s">
        <v>26</v>
      </c>
    </row>
    <row r="55" customFormat="false" ht="14.25" hidden="false" customHeight="true" outlineLevel="0" collapsed="false">
      <c r="B55" s="9" t="s">
        <v>27</v>
      </c>
      <c r="C55" s="9" t="n">
        <v>1185732</v>
      </c>
      <c r="D55" s="10" t="n">
        <v>43941</v>
      </c>
      <c r="E55" s="9" t="s">
        <v>17</v>
      </c>
      <c r="F55" s="9" t="s">
        <v>18</v>
      </c>
      <c r="G55" s="9" t="s">
        <v>18</v>
      </c>
      <c r="H55" s="11" t="s">
        <v>21</v>
      </c>
      <c r="I55" s="12" t="n">
        <v>55</v>
      </c>
      <c r="J55" s="13" t="n">
        <v>1000</v>
      </c>
      <c r="K55" s="14" t="n">
        <f aca="false">I55*J55</f>
        <v>55000</v>
      </c>
      <c r="L55" s="14" t="n">
        <f aca="false">($L$2*M55)/100</f>
        <v>360499.95</v>
      </c>
      <c r="M55" s="15" t="n">
        <v>0.3</v>
      </c>
      <c r="N55" s="9" t="s">
        <v>26</v>
      </c>
    </row>
    <row r="56" customFormat="false" ht="14.25" hidden="false" customHeight="true" outlineLevel="0" collapsed="false">
      <c r="B56" s="9" t="s">
        <v>27</v>
      </c>
      <c r="C56" s="9" t="n">
        <v>1185732</v>
      </c>
      <c r="D56" s="10" t="n">
        <v>43942</v>
      </c>
      <c r="E56" s="9" t="s">
        <v>17</v>
      </c>
      <c r="F56" s="9" t="s">
        <v>18</v>
      </c>
      <c r="G56" s="9" t="s">
        <v>18</v>
      </c>
      <c r="H56" s="11" t="s">
        <v>22</v>
      </c>
      <c r="I56" s="12" t="n">
        <v>50</v>
      </c>
      <c r="J56" s="13" t="n">
        <v>925</v>
      </c>
      <c r="K56" s="14" t="n">
        <f aca="false">I56*J56</f>
        <v>46250</v>
      </c>
      <c r="L56" s="14" t="n">
        <f aca="false">($L$2*M56)/100</f>
        <v>420583.275</v>
      </c>
      <c r="M56" s="15" t="n">
        <v>0.35</v>
      </c>
      <c r="N56" s="9" t="s">
        <v>26</v>
      </c>
    </row>
    <row r="57" customFormat="false" ht="14.25" hidden="false" customHeight="true" outlineLevel="0" collapsed="false">
      <c r="B57" s="9" t="s">
        <v>27</v>
      </c>
      <c r="C57" s="9" t="n">
        <v>1185732</v>
      </c>
      <c r="D57" s="10" t="n">
        <v>43943</v>
      </c>
      <c r="E57" s="9" t="s">
        <v>17</v>
      </c>
      <c r="F57" s="9" t="s">
        <v>18</v>
      </c>
      <c r="G57" s="9" t="s">
        <v>18</v>
      </c>
      <c r="H57" s="11" t="s">
        <v>23</v>
      </c>
      <c r="I57" s="12" t="n">
        <v>50</v>
      </c>
      <c r="J57" s="13" t="n">
        <v>900</v>
      </c>
      <c r="K57" s="14" t="n">
        <f aca="false">I57*J57</f>
        <v>45000</v>
      </c>
      <c r="L57" s="14" t="n">
        <f aca="false">($L$2*M57)/100</f>
        <v>420583.275</v>
      </c>
      <c r="M57" s="15" t="n">
        <v>0.35</v>
      </c>
      <c r="N57" s="9" t="s">
        <v>26</v>
      </c>
    </row>
    <row r="58" customFormat="false" ht="14.25" hidden="false" customHeight="true" outlineLevel="0" collapsed="false">
      <c r="B58" s="9" t="s">
        <v>27</v>
      </c>
      <c r="C58" s="9" t="n">
        <v>1185732</v>
      </c>
      <c r="D58" s="10" t="n">
        <v>43944</v>
      </c>
      <c r="E58" s="9" t="s">
        <v>17</v>
      </c>
      <c r="F58" s="9" t="s">
        <v>18</v>
      </c>
      <c r="G58" s="9" t="s">
        <v>18</v>
      </c>
      <c r="H58" s="11" t="s">
        <v>24</v>
      </c>
      <c r="I58" s="12" t="n">
        <v>60</v>
      </c>
      <c r="J58" s="13" t="n">
        <v>900</v>
      </c>
      <c r="K58" s="14" t="n">
        <f aca="false">I58*J58</f>
        <v>54000</v>
      </c>
      <c r="L58" s="14" t="n">
        <f aca="false">($L$2*M58)/100</f>
        <v>360499.95</v>
      </c>
      <c r="M58" s="15" t="n">
        <v>0.3</v>
      </c>
      <c r="N58" s="9" t="s">
        <v>26</v>
      </c>
    </row>
    <row r="59" customFormat="false" ht="14.25" hidden="false" customHeight="true" outlineLevel="0" collapsed="false">
      <c r="B59" s="9" t="s">
        <v>27</v>
      </c>
      <c r="C59" s="9" t="n">
        <v>1185732</v>
      </c>
      <c r="D59" s="10" t="n">
        <v>43945</v>
      </c>
      <c r="E59" s="9" t="s">
        <v>17</v>
      </c>
      <c r="F59" s="9" t="s">
        <v>18</v>
      </c>
      <c r="G59" s="9" t="s">
        <v>18</v>
      </c>
      <c r="H59" s="11" t="s">
        <v>25</v>
      </c>
      <c r="I59" s="12" t="n">
        <v>65</v>
      </c>
      <c r="J59" s="13" t="n">
        <v>1000</v>
      </c>
      <c r="K59" s="14" t="n">
        <f aca="false">I59*J59</f>
        <v>65000</v>
      </c>
      <c r="L59" s="14" t="n">
        <f aca="false">($L$2*M59)/100</f>
        <v>300416.625</v>
      </c>
      <c r="M59" s="15" t="n">
        <v>0.25</v>
      </c>
      <c r="N59" s="9" t="s">
        <v>26</v>
      </c>
    </row>
    <row r="60" customFormat="false" ht="14.25" hidden="false" customHeight="true" outlineLevel="0" collapsed="false">
      <c r="B60" s="9" t="s">
        <v>27</v>
      </c>
      <c r="C60" s="9" t="n">
        <v>1185732</v>
      </c>
      <c r="D60" s="10" t="n">
        <v>43946</v>
      </c>
      <c r="E60" s="9" t="s">
        <v>17</v>
      </c>
      <c r="F60" s="9" t="s">
        <v>18</v>
      </c>
      <c r="G60" s="9" t="s">
        <v>18</v>
      </c>
      <c r="H60" s="11" t="s">
        <v>24</v>
      </c>
      <c r="I60" s="12" t="n">
        <v>65</v>
      </c>
      <c r="J60" s="13" t="n">
        <v>875</v>
      </c>
      <c r="K60" s="14" t="n">
        <f aca="false">I60*J60</f>
        <v>56875</v>
      </c>
      <c r="L60" s="14" t="n">
        <f aca="false">($L$2*M60)/100</f>
        <v>360499.95</v>
      </c>
      <c r="M60" s="15" t="n">
        <v>0.3</v>
      </c>
      <c r="N60" s="9" t="s">
        <v>26</v>
      </c>
    </row>
    <row r="61" customFormat="false" ht="14.25" hidden="false" customHeight="true" outlineLevel="0" collapsed="false">
      <c r="B61" s="9" t="s">
        <v>27</v>
      </c>
      <c r="C61" s="9" t="n">
        <v>1185732</v>
      </c>
      <c r="D61" s="10" t="n">
        <v>43947</v>
      </c>
      <c r="E61" s="9" t="s">
        <v>17</v>
      </c>
      <c r="F61" s="9" t="s">
        <v>18</v>
      </c>
      <c r="G61" s="9" t="s">
        <v>18</v>
      </c>
      <c r="H61" s="11" t="s">
        <v>25</v>
      </c>
      <c r="I61" s="12" t="n">
        <v>70</v>
      </c>
      <c r="J61" s="13" t="n">
        <v>1000</v>
      </c>
      <c r="K61" s="14" t="n">
        <f aca="false">I61*J61</f>
        <v>70000</v>
      </c>
      <c r="L61" s="14" t="n">
        <f aca="false">($L$2*M61)/100</f>
        <v>300416.625</v>
      </c>
      <c r="M61" s="15" t="n">
        <v>0.25</v>
      </c>
      <c r="N61" s="9" t="s">
        <v>26</v>
      </c>
    </row>
    <row r="62" customFormat="false" ht="14.25" hidden="false" customHeight="true" outlineLevel="0" collapsed="false">
      <c r="B62" s="9" t="s">
        <v>27</v>
      </c>
      <c r="C62" s="9" t="n">
        <v>1185732</v>
      </c>
      <c r="D62" s="10" t="n">
        <v>43948</v>
      </c>
      <c r="E62" s="9" t="s">
        <v>17</v>
      </c>
      <c r="F62" s="9" t="s">
        <v>18</v>
      </c>
      <c r="G62" s="9" t="s">
        <v>18</v>
      </c>
      <c r="H62" s="11" t="s">
        <v>19</v>
      </c>
      <c r="I62" s="12" t="n">
        <v>65</v>
      </c>
      <c r="J62" s="13" t="n">
        <v>1150</v>
      </c>
      <c r="K62" s="14" t="n">
        <f aca="false">I62*J62</f>
        <v>74750</v>
      </c>
      <c r="L62" s="14" t="n">
        <f aca="false">($L$2*M62)/100</f>
        <v>600833.25</v>
      </c>
      <c r="M62" s="15" t="n">
        <v>0.5</v>
      </c>
      <c r="N62" s="9" t="s">
        <v>26</v>
      </c>
    </row>
    <row r="63" customFormat="false" ht="14.25" hidden="false" customHeight="true" outlineLevel="0" collapsed="false">
      <c r="B63" s="9" t="s">
        <v>27</v>
      </c>
      <c r="C63" s="9" t="n">
        <v>1185732</v>
      </c>
      <c r="D63" s="10" t="n">
        <v>43949</v>
      </c>
      <c r="E63" s="9" t="s">
        <v>17</v>
      </c>
      <c r="F63" s="9" t="s">
        <v>18</v>
      </c>
      <c r="G63" s="9" t="s">
        <v>18</v>
      </c>
      <c r="H63" s="11" t="s">
        <v>21</v>
      </c>
      <c r="I63" s="12" t="n">
        <v>55</v>
      </c>
      <c r="J63" s="13" t="n">
        <v>975</v>
      </c>
      <c r="K63" s="14" t="n">
        <f aca="false">I63*J63</f>
        <v>53625</v>
      </c>
      <c r="L63" s="14" t="n">
        <f aca="false">($L$2*M63)/100</f>
        <v>360499.95</v>
      </c>
      <c r="M63" s="15" t="n">
        <v>0.3</v>
      </c>
      <c r="N63" s="9" t="s">
        <v>26</v>
      </c>
    </row>
    <row r="64" customFormat="false" ht="14.25" hidden="false" customHeight="true" outlineLevel="0" collapsed="false">
      <c r="B64" s="9" t="s">
        <v>27</v>
      </c>
      <c r="C64" s="9" t="n">
        <v>1185732</v>
      </c>
      <c r="D64" s="10" t="n">
        <v>43950</v>
      </c>
      <c r="E64" s="9" t="s">
        <v>17</v>
      </c>
      <c r="F64" s="9" t="s">
        <v>18</v>
      </c>
      <c r="G64" s="9" t="s">
        <v>18</v>
      </c>
      <c r="H64" s="11" t="s">
        <v>22</v>
      </c>
      <c r="I64" s="12" t="n">
        <v>55</v>
      </c>
      <c r="J64" s="13" t="n">
        <v>920</v>
      </c>
      <c r="K64" s="14" t="n">
        <f aca="false">I64*J64</f>
        <v>50600</v>
      </c>
      <c r="L64" s="14" t="n">
        <f aca="false">($L$2*M64)/100</f>
        <v>420583.275</v>
      </c>
      <c r="M64" s="15" t="n">
        <v>0.35</v>
      </c>
      <c r="N64" s="9" t="s">
        <v>26</v>
      </c>
    </row>
    <row r="65" customFormat="false" ht="14.25" hidden="false" customHeight="true" outlineLevel="0" collapsed="false">
      <c r="B65" s="9" t="s">
        <v>27</v>
      </c>
      <c r="C65" s="9" t="n">
        <v>1185732</v>
      </c>
      <c r="D65" s="10" t="n">
        <v>43951</v>
      </c>
      <c r="E65" s="9" t="s">
        <v>17</v>
      </c>
      <c r="F65" s="9" t="s">
        <v>18</v>
      </c>
      <c r="G65" s="9" t="s">
        <v>18</v>
      </c>
      <c r="H65" s="11" t="s">
        <v>23</v>
      </c>
      <c r="I65" s="12" t="n">
        <v>55</v>
      </c>
      <c r="J65" s="13" t="n">
        <v>900</v>
      </c>
      <c r="K65" s="14" t="n">
        <f aca="false">I65*J65</f>
        <v>49500</v>
      </c>
      <c r="L65" s="14" t="n">
        <f aca="false">($L$2*M65)/100</f>
        <v>420583.275</v>
      </c>
      <c r="M65" s="15" t="n">
        <v>0.35</v>
      </c>
      <c r="N65" s="9" t="s">
        <v>26</v>
      </c>
    </row>
    <row r="66" customFormat="false" ht="14.25" hidden="false" customHeight="true" outlineLevel="0" collapsed="false">
      <c r="B66" s="9" t="s">
        <v>27</v>
      </c>
      <c r="C66" s="9" t="n">
        <v>1185732</v>
      </c>
      <c r="D66" s="10" t="n">
        <v>43952</v>
      </c>
      <c r="E66" s="9" t="s">
        <v>17</v>
      </c>
      <c r="F66" s="9" t="s">
        <v>18</v>
      </c>
      <c r="G66" s="9" t="s">
        <v>18</v>
      </c>
      <c r="H66" s="11" t="s">
        <v>24</v>
      </c>
      <c r="I66" s="12" t="n">
        <v>65</v>
      </c>
      <c r="J66" s="13" t="n">
        <v>875</v>
      </c>
      <c r="K66" s="14" t="n">
        <f aca="false">I66*J66</f>
        <v>56875</v>
      </c>
      <c r="L66" s="14" t="n">
        <f aca="false">($L$2*M66)/100</f>
        <v>360499.95</v>
      </c>
      <c r="M66" s="15" t="n">
        <v>0.3</v>
      </c>
      <c r="N66" s="9" t="s">
        <v>26</v>
      </c>
    </row>
    <row r="67" customFormat="false" ht="14.25" hidden="false" customHeight="true" outlineLevel="0" collapsed="false">
      <c r="B67" s="9" t="s">
        <v>27</v>
      </c>
      <c r="C67" s="9" t="n">
        <v>1185732</v>
      </c>
      <c r="D67" s="10" t="n">
        <v>43953</v>
      </c>
      <c r="E67" s="9" t="s">
        <v>17</v>
      </c>
      <c r="F67" s="9" t="s">
        <v>18</v>
      </c>
      <c r="G67" s="9" t="s">
        <v>18</v>
      </c>
      <c r="H67" s="11" t="s">
        <v>25</v>
      </c>
      <c r="I67" s="12" t="n">
        <v>70</v>
      </c>
      <c r="J67" s="13" t="n">
        <v>975</v>
      </c>
      <c r="K67" s="14" t="n">
        <f aca="false">I67*J67</f>
        <v>68250</v>
      </c>
      <c r="L67" s="14" t="n">
        <f aca="false">($L$2*M67)/100</f>
        <v>300416.625</v>
      </c>
      <c r="M67" s="15" t="n">
        <v>0.25</v>
      </c>
      <c r="N67" s="9" t="s">
        <v>26</v>
      </c>
    </row>
    <row r="68" customFormat="false" ht="14.25" hidden="false" customHeight="true" outlineLevel="0" collapsed="false">
      <c r="B68" s="9" t="s">
        <v>27</v>
      </c>
      <c r="C68" s="9" t="n">
        <v>1185732</v>
      </c>
      <c r="D68" s="10" t="n">
        <v>43954</v>
      </c>
      <c r="E68" s="9" t="s">
        <v>17</v>
      </c>
      <c r="F68" s="9" t="s">
        <v>18</v>
      </c>
      <c r="G68" s="9" t="s">
        <v>18</v>
      </c>
      <c r="H68" s="11" t="s">
        <v>19</v>
      </c>
      <c r="I68" s="12" t="n">
        <v>65</v>
      </c>
      <c r="J68" s="13" t="n">
        <v>1200</v>
      </c>
      <c r="K68" s="14" t="n">
        <f aca="false">I68*J68</f>
        <v>78000</v>
      </c>
      <c r="L68" s="14" t="n">
        <f aca="false">($L$2*M68)/100</f>
        <v>600833.25</v>
      </c>
      <c r="M68" s="15" t="n">
        <v>0.5</v>
      </c>
      <c r="N68" s="9" t="s">
        <v>26</v>
      </c>
    </row>
    <row r="69" customFormat="false" ht="14.25" hidden="false" customHeight="true" outlineLevel="0" collapsed="false">
      <c r="B69" s="9" t="s">
        <v>27</v>
      </c>
      <c r="C69" s="9" t="n">
        <v>1185732</v>
      </c>
      <c r="D69" s="10" t="n">
        <v>43955</v>
      </c>
      <c r="E69" s="9" t="s">
        <v>17</v>
      </c>
      <c r="F69" s="9" t="s">
        <v>18</v>
      </c>
      <c r="G69" s="9" t="s">
        <v>18</v>
      </c>
      <c r="H69" s="11" t="s">
        <v>21</v>
      </c>
      <c r="I69" s="12" t="n">
        <v>55</v>
      </c>
      <c r="J69" s="13" t="n">
        <v>1000</v>
      </c>
      <c r="K69" s="14" t="n">
        <f aca="false">I69*J69</f>
        <v>55000</v>
      </c>
      <c r="L69" s="14" t="n">
        <f aca="false">($L$2*M69)/100</f>
        <v>360499.95</v>
      </c>
      <c r="M69" s="15" t="n">
        <v>0.3</v>
      </c>
      <c r="N69" s="9" t="s">
        <v>26</v>
      </c>
    </row>
    <row r="70" customFormat="false" ht="14.25" hidden="false" customHeight="true" outlineLevel="0" collapsed="false">
      <c r="B70" s="9" t="s">
        <v>27</v>
      </c>
      <c r="C70" s="9" t="n">
        <v>1185732</v>
      </c>
      <c r="D70" s="10" t="n">
        <v>43956</v>
      </c>
      <c r="E70" s="9" t="s">
        <v>17</v>
      </c>
      <c r="F70" s="9" t="s">
        <v>18</v>
      </c>
      <c r="G70" s="9" t="s">
        <v>18</v>
      </c>
      <c r="H70" s="11" t="s">
        <v>22</v>
      </c>
      <c r="I70" s="12" t="n">
        <v>55</v>
      </c>
      <c r="J70" s="13" t="n">
        <v>950</v>
      </c>
      <c r="K70" s="14" t="n">
        <f aca="false">I70*J70</f>
        <v>52250</v>
      </c>
      <c r="L70" s="14" t="n">
        <f aca="false">($L$2*M70)/100</f>
        <v>420583.275</v>
      </c>
      <c r="M70" s="15" t="n">
        <v>0.35</v>
      </c>
      <c r="N70" s="9" t="s">
        <v>26</v>
      </c>
    </row>
    <row r="71" customFormat="false" ht="14.25" hidden="false" customHeight="true" outlineLevel="0" collapsed="false">
      <c r="B71" s="9" t="s">
        <v>27</v>
      </c>
      <c r="C71" s="9" t="n">
        <v>1185732</v>
      </c>
      <c r="D71" s="10" t="n">
        <v>43957</v>
      </c>
      <c r="E71" s="9" t="s">
        <v>17</v>
      </c>
      <c r="F71" s="9" t="s">
        <v>18</v>
      </c>
      <c r="G71" s="9" t="s">
        <v>18</v>
      </c>
      <c r="H71" s="11" t="s">
        <v>23</v>
      </c>
      <c r="I71" s="12" t="n">
        <v>55</v>
      </c>
      <c r="J71" s="13" t="n">
        <v>900</v>
      </c>
      <c r="K71" s="14" t="n">
        <f aca="false">I71*J71</f>
        <v>49500</v>
      </c>
      <c r="L71" s="14" t="n">
        <f aca="false">($L$2*M71)/100</f>
        <v>420583.275</v>
      </c>
      <c r="M71" s="15" t="n">
        <v>0.35</v>
      </c>
      <c r="N71" s="9" t="s">
        <v>26</v>
      </c>
    </row>
    <row r="72" customFormat="false" ht="14.25" hidden="false" customHeight="true" outlineLevel="0" collapsed="false">
      <c r="B72" s="9" t="s">
        <v>27</v>
      </c>
      <c r="C72" s="9" t="n">
        <v>1185732</v>
      </c>
      <c r="D72" s="10" t="n">
        <v>43958</v>
      </c>
      <c r="E72" s="9" t="s">
        <v>17</v>
      </c>
      <c r="F72" s="9" t="s">
        <v>18</v>
      </c>
      <c r="G72" s="9" t="s">
        <v>18</v>
      </c>
      <c r="H72" s="11" t="s">
        <v>24</v>
      </c>
      <c r="I72" s="12" t="n">
        <v>65</v>
      </c>
      <c r="J72" s="13" t="n">
        <v>900</v>
      </c>
      <c r="K72" s="14" t="n">
        <f aca="false">I72*J72</f>
        <v>58500</v>
      </c>
      <c r="L72" s="14" t="n">
        <f aca="false">($L$2*M72)/100</f>
        <v>360499.95</v>
      </c>
      <c r="M72" s="15" t="n">
        <v>0.3</v>
      </c>
      <c r="N72" s="9" t="s">
        <v>26</v>
      </c>
    </row>
    <row r="73" customFormat="false" ht="14.25" hidden="false" customHeight="true" outlineLevel="0" collapsed="false">
      <c r="B73" s="9" t="s">
        <v>27</v>
      </c>
      <c r="C73" s="9" t="n">
        <v>1185732</v>
      </c>
      <c r="D73" s="10" t="n">
        <v>44030</v>
      </c>
      <c r="E73" s="9" t="s">
        <v>17</v>
      </c>
      <c r="F73" s="9" t="s">
        <v>18</v>
      </c>
      <c r="G73" s="9" t="s">
        <v>18</v>
      </c>
      <c r="H73" s="11" t="s">
        <v>25</v>
      </c>
      <c r="I73" s="12" t="n">
        <v>70</v>
      </c>
      <c r="J73" s="13" t="n">
        <v>1000</v>
      </c>
      <c r="K73" s="14" t="n">
        <f aca="false">I73*J73</f>
        <v>70000</v>
      </c>
      <c r="L73" s="14" t="n">
        <f aca="false">($L$2*M73)/100</f>
        <v>300416.625</v>
      </c>
      <c r="M73" s="15" t="n">
        <v>0.25</v>
      </c>
      <c r="N73" s="9" t="s">
        <v>26</v>
      </c>
    </row>
    <row r="74" customFormat="false" ht="14.25" hidden="false" customHeight="true" outlineLevel="0" collapsed="false">
      <c r="B74" s="9" t="s">
        <v>28</v>
      </c>
      <c r="C74" s="9" t="n">
        <v>1197831</v>
      </c>
      <c r="D74" s="10" t="n">
        <v>44031</v>
      </c>
      <c r="E74" s="9" t="s">
        <v>17</v>
      </c>
      <c r="F74" s="9" t="s">
        <v>18</v>
      </c>
      <c r="G74" s="9" t="s">
        <v>18</v>
      </c>
      <c r="H74" s="11" t="s">
        <v>19</v>
      </c>
      <c r="I74" s="12" t="n">
        <v>25</v>
      </c>
      <c r="J74" s="13" t="n">
        <v>900</v>
      </c>
      <c r="K74" s="14" t="n">
        <f aca="false">I74*J74</f>
        <v>22500</v>
      </c>
      <c r="L74" s="14" t="n">
        <f aca="false">($L$2*M74)/100</f>
        <v>420583.275</v>
      </c>
      <c r="M74" s="15" t="n">
        <v>0.35</v>
      </c>
      <c r="N74" s="9" t="s">
        <v>26</v>
      </c>
    </row>
    <row r="75" customFormat="false" ht="14.25" hidden="false" customHeight="true" outlineLevel="0" collapsed="false">
      <c r="B75" s="9" t="s">
        <v>28</v>
      </c>
      <c r="C75" s="9" t="n">
        <v>1197831</v>
      </c>
      <c r="D75" s="10" t="n">
        <v>44032</v>
      </c>
      <c r="E75" s="9" t="s">
        <v>17</v>
      </c>
      <c r="F75" s="9" t="s">
        <v>18</v>
      </c>
      <c r="G75" s="9" t="s">
        <v>18</v>
      </c>
      <c r="H75" s="11" t="s">
        <v>21</v>
      </c>
      <c r="I75" s="12" t="n">
        <v>35</v>
      </c>
      <c r="J75" s="13" t="n">
        <v>900</v>
      </c>
      <c r="K75" s="14" t="n">
        <f aca="false">I75*J75</f>
        <v>31500</v>
      </c>
      <c r="L75" s="14" t="n">
        <f aca="false">($L$2*M75)/100</f>
        <v>420583.275</v>
      </c>
      <c r="M75" s="15" t="n">
        <v>0.35</v>
      </c>
      <c r="N75" s="9" t="s">
        <v>26</v>
      </c>
    </row>
    <row r="76" customFormat="false" ht="14.25" hidden="false" customHeight="true" outlineLevel="0" collapsed="false">
      <c r="B76" s="9" t="s">
        <v>28</v>
      </c>
      <c r="C76" s="9" t="n">
        <v>1197831</v>
      </c>
      <c r="D76" s="10" t="n">
        <v>44033</v>
      </c>
      <c r="E76" s="9" t="s">
        <v>17</v>
      </c>
      <c r="F76" s="9" t="s">
        <v>18</v>
      </c>
      <c r="G76" s="9" t="s">
        <v>18</v>
      </c>
      <c r="H76" s="11" t="s">
        <v>22</v>
      </c>
      <c r="I76" s="12" t="n">
        <v>35</v>
      </c>
      <c r="J76" s="13" t="n">
        <v>700</v>
      </c>
      <c r="K76" s="14" t="n">
        <f aca="false">I76*J76</f>
        <v>24500</v>
      </c>
      <c r="L76" s="14" t="n">
        <f aca="false">($L$2*M76)/100</f>
        <v>420583.275</v>
      </c>
      <c r="M76" s="15" t="n">
        <v>0.35</v>
      </c>
      <c r="N76" s="9" t="s">
        <v>26</v>
      </c>
    </row>
    <row r="77" customFormat="false" ht="14.25" hidden="false" customHeight="true" outlineLevel="0" collapsed="false">
      <c r="B77" s="9" t="s">
        <v>28</v>
      </c>
      <c r="C77" s="9" t="n">
        <v>1197831</v>
      </c>
      <c r="D77" s="10" t="n">
        <v>44034</v>
      </c>
      <c r="E77" s="9" t="s">
        <v>17</v>
      </c>
      <c r="F77" s="9" t="s">
        <v>18</v>
      </c>
      <c r="G77" s="9" t="s">
        <v>18</v>
      </c>
      <c r="H77" s="11" t="s">
        <v>23</v>
      </c>
      <c r="I77" s="12" t="n">
        <v>35</v>
      </c>
      <c r="J77" s="13" t="n">
        <v>700</v>
      </c>
      <c r="K77" s="14" t="n">
        <f aca="false">I77*J77</f>
        <v>24500</v>
      </c>
      <c r="L77" s="14" t="n">
        <f aca="false">($L$2*M77)/100</f>
        <v>540749.925</v>
      </c>
      <c r="M77" s="15" t="n">
        <v>0.45</v>
      </c>
      <c r="N77" s="9" t="s">
        <v>26</v>
      </c>
    </row>
    <row r="78" customFormat="false" ht="14.25" hidden="false" customHeight="true" outlineLevel="0" collapsed="false">
      <c r="B78" s="9" t="s">
        <v>28</v>
      </c>
      <c r="C78" s="9" t="n">
        <v>1197831</v>
      </c>
      <c r="D78" s="10" t="n">
        <v>44035</v>
      </c>
      <c r="E78" s="9" t="s">
        <v>29</v>
      </c>
      <c r="F78" s="9" t="s">
        <v>30</v>
      </c>
      <c r="G78" s="9" t="s">
        <v>31</v>
      </c>
      <c r="H78" s="11" t="s">
        <v>24</v>
      </c>
      <c r="I78" s="12" t="n">
        <v>40</v>
      </c>
      <c r="J78" s="13" t="n">
        <v>550</v>
      </c>
      <c r="K78" s="14" t="n">
        <f aca="false">I78*J78</f>
        <v>22000</v>
      </c>
      <c r="L78" s="14" t="n">
        <f aca="false">($L$2*M78)/100</f>
        <v>360499.95</v>
      </c>
      <c r="M78" s="15" t="n">
        <v>0.3</v>
      </c>
      <c r="N78" s="9" t="s">
        <v>26</v>
      </c>
    </row>
    <row r="79" customFormat="false" ht="14.25" hidden="false" customHeight="true" outlineLevel="0" collapsed="false">
      <c r="B79" s="9" t="s">
        <v>28</v>
      </c>
      <c r="C79" s="9" t="n">
        <v>1197831</v>
      </c>
      <c r="D79" s="10" t="n">
        <v>44036</v>
      </c>
      <c r="E79" s="9" t="s">
        <v>29</v>
      </c>
      <c r="F79" s="9" t="s">
        <v>30</v>
      </c>
      <c r="G79" s="9" t="s">
        <v>31</v>
      </c>
      <c r="H79" s="11" t="s">
        <v>25</v>
      </c>
      <c r="I79" s="12" t="n">
        <v>35</v>
      </c>
      <c r="J79" s="13" t="n">
        <v>700</v>
      </c>
      <c r="K79" s="14" t="n">
        <f aca="false">I79*J79</f>
        <v>24500</v>
      </c>
      <c r="L79" s="14" t="n">
        <f aca="false">($L$2*M79)/100</f>
        <v>600833.25</v>
      </c>
      <c r="M79" s="15" t="n">
        <v>0.5</v>
      </c>
      <c r="N79" s="9" t="s">
        <v>26</v>
      </c>
    </row>
    <row r="80" customFormat="false" ht="14.25" hidden="false" customHeight="true" outlineLevel="0" collapsed="false">
      <c r="B80" s="9" t="s">
        <v>28</v>
      </c>
      <c r="C80" s="9" t="n">
        <v>1197831</v>
      </c>
      <c r="D80" s="10" t="n">
        <v>44037</v>
      </c>
      <c r="E80" s="9" t="s">
        <v>29</v>
      </c>
      <c r="F80" s="9" t="s">
        <v>30</v>
      </c>
      <c r="G80" s="9" t="s">
        <v>31</v>
      </c>
      <c r="H80" s="11" t="s">
        <v>19</v>
      </c>
      <c r="I80" s="12" t="n">
        <v>25</v>
      </c>
      <c r="J80" s="13" t="n">
        <v>850</v>
      </c>
      <c r="K80" s="14" t="n">
        <f aca="false">I80*J80</f>
        <v>21250</v>
      </c>
      <c r="L80" s="14" t="n">
        <f aca="false">($L$2*M80)/100</f>
        <v>420583.275</v>
      </c>
      <c r="M80" s="15" t="n">
        <v>0.35</v>
      </c>
      <c r="N80" s="9" t="s">
        <v>26</v>
      </c>
    </row>
    <row r="81" customFormat="false" ht="14.25" hidden="false" customHeight="true" outlineLevel="0" collapsed="false">
      <c r="B81" s="9" t="s">
        <v>28</v>
      </c>
      <c r="C81" s="9" t="n">
        <v>1197831</v>
      </c>
      <c r="D81" s="10" t="n">
        <v>44038</v>
      </c>
      <c r="E81" s="9" t="s">
        <v>29</v>
      </c>
      <c r="F81" s="9" t="s">
        <v>30</v>
      </c>
      <c r="G81" s="9" t="s">
        <v>31</v>
      </c>
      <c r="H81" s="11" t="s">
        <v>21</v>
      </c>
      <c r="I81" s="12" t="n">
        <v>35</v>
      </c>
      <c r="J81" s="13" t="n">
        <v>850</v>
      </c>
      <c r="K81" s="14" t="n">
        <f aca="false">I81*J81</f>
        <v>29750</v>
      </c>
      <c r="L81" s="14" t="n">
        <f aca="false">($L$2*M81)/100</f>
        <v>420583.275</v>
      </c>
      <c r="M81" s="15" t="n">
        <v>0.35</v>
      </c>
      <c r="N81" s="9" t="s">
        <v>26</v>
      </c>
    </row>
    <row r="82" customFormat="false" ht="14.25" hidden="false" customHeight="true" outlineLevel="0" collapsed="false">
      <c r="B82" s="9" t="s">
        <v>28</v>
      </c>
      <c r="C82" s="9" t="n">
        <v>1197831</v>
      </c>
      <c r="D82" s="10" t="n">
        <v>44039</v>
      </c>
      <c r="E82" s="9" t="s">
        <v>29</v>
      </c>
      <c r="F82" s="9" t="s">
        <v>30</v>
      </c>
      <c r="G82" s="9" t="s">
        <v>31</v>
      </c>
      <c r="H82" s="11" t="s">
        <v>22</v>
      </c>
      <c r="I82" s="12" t="n">
        <v>35</v>
      </c>
      <c r="J82" s="13" t="n">
        <v>675</v>
      </c>
      <c r="K82" s="14" t="n">
        <f aca="false">I82*J82</f>
        <v>23625</v>
      </c>
      <c r="L82" s="14" t="n">
        <f aca="false">($L$2*M82)/100</f>
        <v>420583.275</v>
      </c>
      <c r="M82" s="15" t="n">
        <v>0.35</v>
      </c>
      <c r="N82" s="9" t="s">
        <v>26</v>
      </c>
    </row>
    <row r="83" customFormat="false" ht="14.25" hidden="false" customHeight="true" outlineLevel="0" collapsed="false">
      <c r="B83" s="9" t="s">
        <v>28</v>
      </c>
      <c r="C83" s="9" t="n">
        <v>1197831</v>
      </c>
      <c r="D83" s="10" t="n">
        <v>44040</v>
      </c>
      <c r="E83" s="9" t="s">
        <v>29</v>
      </c>
      <c r="F83" s="9" t="s">
        <v>30</v>
      </c>
      <c r="G83" s="9" t="s">
        <v>31</v>
      </c>
      <c r="H83" s="11" t="s">
        <v>23</v>
      </c>
      <c r="I83" s="12" t="n">
        <v>35</v>
      </c>
      <c r="J83" s="13" t="n">
        <v>625</v>
      </c>
      <c r="K83" s="14" t="n">
        <f aca="false">I83*J83</f>
        <v>21875</v>
      </c>
      <c r="L83" s="14" t="n">
        <f aca="false">($L$2*M83)/100</f>
        <v>540749.925</v>
      </c>
      <c r="M83" s="15" t="n">
        <v>0.45</v>
      </c>
      <c r="N83" s="9" t="s">
        <v>26</v>
      </c>
    </row>
    <row r="84" customFormat="false" ht="14.25" hidden="false" customHeight="true" outlineLevel="0" collapsed="false">
      <c r="B84" s="9" t="s">
        <v>28</v>
      </c>
      <c r="C84" s="9" t="n">
        <v>1197831</v>
      </c>
      <c r="D84" s="10" t="n">
        <v>44041</v>
      </c>
      <c r="E84" s="9" t="s">
        <v>29</v>
      </c>
      <c r="F84" s="9" t="s">
        <v>30</v>
      </c>
      <c r="G84" s="9" t="s">
        <v>31</v>
      </c>
      <c r="H84" s="11" t="s">
        <v>24</v>
      </c>
      <c r="I84" s="12" t="n">
        <v>40</v>
      </c>
      <c r="J84" s="13" t="n">
        <v>500</v>
      </c>
      <c r="K84" s="14" t="n">
        <f aca="false">I84*J84</f>
        <v>20000</v>
      </c>
      <c r="L84" s="14" t="n">
        <f aca="false">($L$2*M84)/100</f>
        <v>360499.95</v>
      </c>
      <c r="M84" s="15" t="n">
        <v>0.3</v>
      </c>
      <c r="N84" s="9" t="s">
        <v>26</v>
      </c>
    </row>
    <row r="85" customFormat="false" ht="14.25" hidden="false" customHeight="true" outlineLevel="0" collapsed="false">
      <c r="B85" s="9" t="s">
        <v>28</v>
      </c>
      <c r="C85" s="9" t="n">
        <v>1197831</v>
      </c>
      <c r="D85" s="10" t="n">
        <v>44042</v>
      </c>
      <c r="E85" s="9" t="s">
        <v>29</v>
      </c>
      <c r="F85" s="9" t="s">
        <v>30</v>
      </c>
      <c r="G85" s="9" t="s">
        <v>31</v>
      </c>
      <c r="H85" s="11" t="s">
        <v>25</v>
      </c>
      <c r="I85" s="12" t="n">
        <v>35</v>
      </c>
      <c r="J85" s="13" t="n">
        <v>700</v>
      </c>
      <c r="K85" s="14" t="n">
        <f aca="false">I85*J85</f>
        <v>24500</v>
      </c>
      <c r="L85" s="14" t="n">
        <f aca="false">($L$2*M85)/100</f>
        <v>600833.25</v>
      </c>
      <c r="M85" s="15" t="n">
        <v>0.5</v>
      </c>
      <c r="N85" s="9" t="s">
        <v>26</v>
      </c>
    </row>
    <row r="86" customFormat="false" ht="14.25" hidden="false" customHeight="true" outlineLevel="0" collapsed="false">
      <c r="B86" s="9" t="s">
        <v>28</v>
      </c>
      <c r="C86" s="9" t="n">
        <v>1197831</v>
      </c>
      <c r="D86" s="10" t="n">
        <v>44043</v>
      </c>
      <c r="E86" s="9" t="s">
        <v>29</v>
      </c>
      <c r="F86" s="9" t="s">
        <v>30</v>
      </c>
      <c r="G86" s="9" t="s">
        <v>31</v>
      </c>
      <c r="H86" s="11" t="s">
        <v>19</v>
      </c>
      <c r="I86" s="12" t="n">
        <v>30</v>
      </c>
      <c r="J86" s="13" t="n">
        <v>875</v>
      </c>
      <c r="K86" s="14" t="n">
        <f aca="false">I86*J86</f>
        <v>26250</v>
      </c>
      <c r="L86" s="14" t="n">
        <f aca="false">($L$2*M86)/100</f>
        <v>420583.275</v>
      </c>
      <c r="M86" s="15" t="n">
        <v>0.35</v>
      </c>
      <c r="N86" s="9" t="s">
        <v>26</v>
      </c>
    </row>
    <row r="87" customFormat="false" ht="14.25" hidden="false" customHeight="true" outlineLevel="0" collapsed="false">
      <c r="B87" s="9" t="s">
        <v>28</v>
      </c>
      <c r="C87" s="9" t="n">
        <v>1197831</v>
      </c>
      <c r="D87" s="10" t="n">
        <v>44044</v>
      </c>
      <c r="E87" s="9" t="s">
        <v>29</v>
      </c>
      <c r="F87" s="9" t="s">
        <v>30</v>
      </c>
      <c r="G87" s="9" t="s">
        <v>31</v>
      </c>
      <c r="H87" s="11" t="s">
        <v>21</v>
      </c>
      <c r="I87" s="12" t="n">
        <v>40</v>
      </c>
      <c r="J87" s="13" t="n">
        <v>875</v>
      </c>
      <c r="K87" s="14" t="n">
        <f aca="false">I87*J87</f>
        <v>35000</v>
      </c>
      <c r="L87" s="14" t="n">
        <f aca="false">($L$2*M87)/100</f>
        <v>420583.275</v>
      </c>
      <c r="M87" s="15" t="n">
        <v>0.35</v>
      </c>
      <c r="N87" s="9" t="s">
        <v>26</v>
      </c>
    </row>
    <row r="88" customFormat="false" ht="14.25" hidden="false" customHeight="true" outlineLevel="0" collapsed="false">
      <c r="B88" s="9" t="s">
        <v>28</v>
      </c>
      <c r="C88" s="9" t="n">
        <v>1197831</v>
      </c>
      <c r="D88" s="10" t="n">
        <v>44045</v>
      </c>
      <c r="E88" s="9" t="s">
        <v>29</v>
      </c>
      <c r="F88" s="9" t="s">
        <v>30</v>
      </c>
      <c r="G88" s="9" t="s">
        <v>31</v>
      </c>
      <c r="H88" s="11" t="s">
        <v>22</v>
      </c>
      <c r="I88" s="12" t="n">
        <v>35</v>
      </c>
      <c r="J88" s="13" t="n">
        <v>700</v>
      </c>
      <c r="K88" s="14" t="n">
        <f aca="false">I88*J88</f>
        <v>24500</v>
      </c>
      <c r="L88" s="14" t="n">
        <f aca="false">($L$2*M88)/100</f>
        <v>420583.275</v>
      </c>
      <c r="M88" s="15" t="n">
        <v>0.35</v>
      </c>
      <c r="N88" s="9" t="s">
        <v>26</v>
      </c>
    </row>
    <row r="89" customFormat="false" ht="14.25" hidden="false" customHeight="true" outlineLevel="0" collapsed="false">
      <c r="B89" s="9" t="s">
        <v>28</v>
      </c>
      <c r="C89" s="9" t="n">
        <v>1197831</v>
      </c>
      <c r="D89" s="10" t="n">
        <v>44046</v>
      </c>
      <c r="E89" s="9" t="s">
        <v>29</v>
      </c>
      <c r="F89" s="9" t="s">
        <v>30</v>
      </c>
      <c r="G89" s="9" t="s">
        <v>31</v>
      </c>
      <c r="H89" s="11" t="s">
        <v>23</v>
      </c>
      <c r="I89" s="12" t="n">
        <v>40</v>
      </c>
      <c r="J89" s="13" t="n">
        <v>600</v>
      </c>
      <c r="K89" s="14" t="n">
        <f aca="false">I89*J89</f>
        <v>24000</v>
      </c>
      <c r="L89" s="14" t="n">
        <f aca="false">($L$2*M89)/100</f>
        <v>540749.925</v>
      </c>
      <c r="M89" s="15" t="n">
        <v>0.45</v>
      </c>
      <c r="N89" s="9" t="s">
        <v>26</v>
      </c>
    </row>
    <row r="90" customFormat="false" ht="14.25" hidden="false" customHeight="true" outlineLevel="0" collapsed="false">
      <c r="B90" s="9" t="s">
        <v>28</v>
      </c>
      <c r="C90" s="9" t="n">
        <v>1197831</v>
      </c>
      <c r="D90" s="10" t="n">
        <v>44047</v>
      </c>
      <c r="E90" s="9" t="s">
        <v>29</v>
      </c>
      <c r="F90" s="9" t="s">
        <v>30</v>
      </c>
      <c r="G90" s="9" t="s">
        <v>31</v>
      </c>
      <c r="H90" s="11" t="s">
        <v>24</v>
      </c>
      <c r="I90" s="12" t="n">
        <v>45</v>
      </c>
      <c r="J90" s="13" t="n">
        <v>500</v>
      </c>
      <c r="K90" s="14" t="n">
        <f aca="false">I90*J90</f>
        <v>22500</v>
      </c>
      <c r="L90" s="14" t="n">
        <f aca="false">($L$2*M90)/100</f>
        <v>360499.95</v>
      </c>
      <c r="M90" s="15" t="n">
        <v>0.3</v>
      </c>
      <c r="N90" s="9" t="s">
        <v>26</v>
      </c>
    </row>
    <row r="91" customFormat="false" ht="14.25" hidden="false" customHeight="true" outlineLevel="0" collapsed="false">
      <c r="B91" s="9" t="s">
        <v>28</v>
      </c>
      <c r="C91" s="9" t="n">
        <v>1197831</v>
      </c>
      <c r="D91" s="10" t="n">
        <v>44048</v>
      </c>
      <c r="E91" s="9" t="s">
        <v>29</v>
      </c>
      <c r="F91" s="9" t="s">
        <v>30</v>
      </c>
      <c r="G91" s="9" t="s">
        <v>31</v>
      </c>
      <c r="H91" s="11" t="s">
        <v>25</v>
      </c>
      <c r="I91" s="12" t="n">
        <v>40</v>
      </c>
      <c r="J91" s="13" t="n">
        <v>650</v>
      </c>
      <c r="K91" s="14" t="n">
        <f aca="false">I91*J91</f>
        <v>26000</v>
      </c>
      <c r="L91" s="14" t="n">
        <f aca="false">($L$2*M91)/100</f>
        <v>600833.25</v>
      </c>
      <c r="M91" s="15" t="n">
        <v>0.5</v>
      </c>
      <c r="N91" s="9" t="s">
        <v>26</v>
      </c>
    </row>
    <row r="92" customFormat="false" ht="14.25" hidden="false" customHeight="true" outlineLevel="0" collapsed="false">
      <c r="B92" s="9" t="s">
        <v>28</v>
      </c>
      <c r="C92" s="9" t="n">
        <v>1197831</v>
      </c>
      <c r="D92" s="10" t="n">
        <v>44049</v>
      </c>
      <c r="E92" s="9" t="s">
        <v>29</v>
      </c>
      <c r="F92" s="9" t="s">
        <v>30</v>
      </c>
      <c r="G92" s="9" t="s">
        <v>31</v>
      </c>
      <c r="H92" s="11" t="s">
        <v>19</v>
      </c>
      <c r="I92" s="12" t="n">
        <v>30</v>
      </c>
      <c r="J92" s="13" t="n">
        <v>900</v>
      </c>
      <c r="K92" s="14" t="n">
        <f aca="false">I92*J92</f>
        <v>27000</v>
      </c>
      <c r="L92" s="14" t="n">
        <f aca="false">($L$2*M92)/100</f>
        <v>420583.275</v>
      </c>
      <c r="M92" s="15" t="n">
        <v>0.35</v>
      </c>
      <c r="N92" s="9" t="s">
        <v>26</v>
      </c>
    </row>
    <row r="93" customFormat="false" ht="14.25" hidden="false" customHeight="true" outlineLevel="0" collapsed="false">
      <c r="B93" s="9" t="s">
        <v>28</v>
      </c>
      <c r="C93" s="9" t="n">
        <v>1197831</v>
      </c>
      <c r="D93" s="10" t="n">
        <v>44050</v>
      </c>
      <c r="E93" s="9" t="s">
        <v>29</v>
      </c>
      <c r="F93" s="9" t="s">
        <v>30</v>
      </c>
      <c r="G93" s="9" t="s">
        <v>31</v>
      </c>
      <c r="H93" s="11" t="s">
        <v>21</v>
      </c>
      <c r="I93" s="12" t="n">
        <v>40</v>
      </c>
      <c r="J93" s="13" t="n">
        <v>900</v>
      </c>
      <c r="K93" s="14" t="n">
        <f aca="false">I93*J93</f>
        <v>36000</v>
      </c>
      <c r="L93" s="14" t="n">
        <f aca="false">($L$2*M93)/100</f>
        <v>420583.275</v>
      </c>
      <c r="M93" s="15" t="n">
        <v>0.35</v>
      </c>
      <c r="N93" s="9" t="s">
        <v>26</v>
      </c>
    </row>
    <row r="94" customFormat="false" ht="14.25" hidden="false" customHeight="true" outlineLevel="0" collapsed="false">
      <c r="B94" s="9" t="s">
        <v>28</v>
      </c>
      <c r="C94" s="9" t="n">
        <v>1197831</v>
      </c>
      <c r="D94" s="10" t="n">
        <v>44051</v>
      </c>
      <c r="E94" s="9" t="s">
        <v>29</v>
      </c>
      <c r="F94" s="9" t="s">
        <v>30</v>
      </c>
      <c r="G94" s="9" t="s">
        <v>31</v>
      </c>
      <c r="H94" s="11" t="s">
        <v>22</v>
      </c>
      <c r="I94" s="12" t="n">
        <v>35</v>
      </c>
      <c r="J94" s="13" t="n">
        <v>725</v>
      </c>
      <c r="K94" s="14" t="n">
        <f aca="false">I94*J94</f>
        <v>25375</v>
      </c>
      <c r="L94" s="14" t="n">
        <f aca="false">($L$2*M94)/100</f>
        <v>420583.275</v>
      </c>
      <c r="M94" s="15" t="n">
        <v>0.35</v>
      </c>
      <c r="N94" s="9" t="s">
        <v>26</v>
      </c>
    </row>
    <row r="95" customFormat="false" ht="14.25" hidden="false" customHeight="true" outlineLevel="0" collapsed="false">
      <c r="B95" s="9" t="s">
        <v>28</v>
      </c>
      <c r="C95" s="9" t="n">
        <v>1197831</v>
      </c>
      <c r="D95" s="10" t="n">
        <v>44052</v>
      </c>
      <c r="E95" s="9" t="s">
        <v>29</v>
      </c>
      <c r="F95" s="9" t="s">
        <v>30</v>
      </c>
      <c r="G95" s="9" t="s">
        <v>31</v>
      </c>
      <c r="H95" s="11" t="s">
        <v>23</v>
      </c>
      <c r="I95" s="12" t="n">
        <v>40</v>
      </c>
      <c r="J95" s="13" t="n">
        <v>625</v>
      </c>
      <c r="K95" s="14" t="n">
        <f aca="false">I95*J95</f>
        <v>25000</v>
      </c>
      <c r="L95" s="14" t="n">
        <f aca="false">($L$2*M95)/100</f>
        <v>540749.925</v>
      </c>
      <c r="M95" s="15" t="n">
        <v>0.45</v>
      </c>
      <c r="N95" s="9" t="s">
        <v>26</v>
      </c>
    </row>
    <row r="96" customFormat="false" ht="14.25" hidden="false" customHeight="true" outlineLevel="0" collapsed="false">
      <c r="B96" s="9" t="s">
        <v>27</v>
      </c>
      <c r="C96" s="9" t="n">
        <v>1197831</v>
      </c>
      <c r="D96" s="10" t="n">
        <v>44053</v>
      </c>
      <c r="E96" s="9" t="s">
        <v>29</v>
      </c>
      <c r="F96" s="9" t="s">
        <v>30</v>
      </c>
      <c r="G96" s="9" t="s">
        <v>31</v>
      </c>
      <c r="H96" s="11" t="s">
        <v>24</v>
      </c>
      <c r="I96" s="12" t="n">
        <v>45</v>
      </c>
      <c r="J96" s="13" t="n">
        <v>525</v>
      </c>
      <c r="K96" s="14" t="n">
        <f aca="false">I96*J96</f>
        <v>23625</v>
      </c>
      <c r="L96" s="14" t="n">
        <f aca="false">($L$2*M96)/100</f>
        <v>360499.95</v>
      </c>
      <c r="M96" s="15" t="n">
        <v>0.3</v>
      </c>
      <c r="N96" s="9" t="s">
        <v>26</v>
      </c>
    </row>
    <row r="97" customFormat="false" ht="14.25" hidden="false" customHeight="true" outlineLevel="0" collapsed="false">
      <c r="B97" s="9" t="s">
        <v>27</v>
      </c>
      <c r="C97" s="9" t="n">
        <v>1197831</v>
      </c>
      <c r="D97" s="10" t="n">
        <v>44054</v>
      </c>
      <c r="E97" s="9" t="s">
        <v>29</v>
      </c>
      <c r="F97" s="9" t="s">
        <v>30</v>
      </c>
      <c r="G97" s="9" t="s">
        <v>31</v>
      </c>
      <c r="H97" s="11" t="s">
        <v>25</v>
      </c>
      <c r="I97" s="12" t="n">
        <v>40</v>
      </c>
      <c r="J97" s="13" t="n">
        <v>800</v>
      </c>
      <c r="K97" s="14" t="n">
        <f aca="false">I97*J97</f>
        <v>32000</v>
      </c>
      <c r="L97" s="14" t="n">
        <f aca="false">($L$2*M97)/100</f>
        <v>600833.25</v>
      </c>
      <c r="M97" s="15" t="n">
        <v>0.5</v>
      </c>
      <c r="N97" s="9" t="s">
        <v>26</v>
      </c>
    </row>
    <row r="98" customFormat="false" ht="14.25" hidden="false" customHeight="true" outlineLevel="0" collapsed="false">
      <c r="B98" s="9" t="s">
        <v>27</v>
      </c>
      <c r="C98" s="9" t="n">
        <v>1197831</v>
      </c>
      <c r="D98" s="10" t="n">
        <v>44055</v>
      </c>
      <c r="E98" s="9" t="s">
        <v>29</v>
      </c>
      <c r="F98" s="9" t="s">
        <v>30</v>
      </c>
      <c r="G98" s="9" t="s">
        <v>31</v>
      </c>
      <c r="H98" s="11" t="s">
        <v>19</v>
      </c>
      <c r="I98" s="12" t="n">
        <v>30</v>
      </c>
      <c r="J98" s="13" t="n">
        <v>925</v>
      </c>
      <c r="K98" s="14" t="n">
        <f aca="false">I98*J98</f>
        <v>27750</v>
      </c>
      <c r="L98" s="14" t="n">
        <f aca="false">($L$2*M98)/100</f>
        <v>420583.275</v>
      </c>
      <c r="M98" s="15" t="n">
        <v>0.35</v>
      </c>
      <c r="N98" s="9" t="s">
        <v>26</v>
      </c>
    </row>
    <row r="99" customFormat="false" ht="14.25" hidden="false" customHeight="true" outlineLevel="0" collapsed="false">
      <c r="B99" s="9" t="s">
        <v>27</v>
      </c>
      <c r="C99" s="9" t="n">
        <v>1197831</v>
      </c>
      <c r="D99" s="10" t="n">
        <v>44056</v>
      </c>
      <c r="E99" s="9" t="s">
        <v>29</v>
      </c>
      <c r="F99" s="9" t="s">
        <v>30</v>
      </c>
      <c r="G99" s="9" t="s">
        <v>31</v>
      </c>
      <c r="H99" s="11" t="s">
        <v>21</v>
      </c>
      <c r="I99" s="12" t="n">
        <v>40</v>
      </c>
      <c r="J99" s="13" t="n">
        <v>925</v>
      </c>
      <c r="K99" s="14" t="n">
        <f aca="false">I99*J99</f>
        <v>37000</v>
      </c>
      <c r="L99" s="14" t="n">
        <f aca="false">($L$2*M99)/100</f>
        <v>420583.275</v>
      </c>
      <c r="M99" s="15" t="n">
        <v>0.35</v>
      </c>
      <c r="N99" s="9" t="s">
        <v>26</v>
      </c>
    </row>
    <row r="100" customFormat="false" ht="14.25" hidden="false" customHeight="true" outlineLevel="0" collapsed="false">
      <c r="B100" s="9" t="s">
        <v>27</v>
      </c>
      <c r="C100" s="9" t="n">
        <v>1197831</v>
      </c>
      <c r="D100" s="10" t="n">
        <v>44057</v>
      </c>
      <c r="E100" s="9" t="s">
        <v>29</v>
      </c>
      <c r="F100" s="9" t="s">
        <v>30</v>
      </c>
      <c r="G100" s="9" t="s">
        <v>31</v>
      </c>
      <c r="H100" s="11" t="s">
        <v>22</v>
      </c>
      <c r="I100" s="12" t="n">
        <v>35</v>
      </c>
      <c r="J100" s="13" t="n">
        <v>775</v>
      </c>
      <c r="K100" s="14" t="n">
        <f aca="false">I100*J100</f>
        <v>27125</v>
      </c>
      <c r="L100" s="14" t="n">
        <f aca="false">($L$2*M100)/100</f>
        <v>420583.275</v>
      </c>
      <c r="M100" s="15" t="n">
        <v>0.35</v>
      </c>
      <c r="N100" s="9" t="s">
        <v>26</v>
      </c>
    </row>
    <row r="101" customFormat="false" ht="14.25" hidden="false" customHeight="true" outlineLevel="0" collapsed="false">
      <c r="B101" s="9" t="s">
        <v>27</v>
      </c>
      <c r="C101" s="9" t="n">
        <v>1197831</v>
      </c>
      <c r="D101" s="10" t="n">
        <v>44058</v>
      </c>
      <c r="E101" s="9" t="s">
        <v>29</v>
      </c>
      <c r="F101" s="9" t="s">
        <v>30</v>
      </c>
      <c r="G101" s="9" t="s">
        <v>31</v>
      </c>
      <c r="H101" s="11" t="s">
        <v>23</v>
      </c>
      <c r="I101" s="12" t="n">
        <v>40</v>
      </c>
      <c r="J101" s="13" t="n">
        <v>700</v>
      </c>
      <c r="K101" s="14" t="n">
        <f aca="false">I101*J101</f>
        <v>28000</v>
      </c>
      <c r="L101" s="14" t="n">
        <f aca="false">($L$2*M101)/100</f>
        <v>540749.925</v>
      </c>
      <c r="M101" s="15" t="n">
        <v>0.45</v>
      </c>
      <c r="N101" s="9" t="s">
        <v>26</v>
      </c>
    </row>
    <row r="102" customFormat="false" ht="14.25" hidden="false" customHeight="true" outlineLevel="0" collapsed="false">
      <c r="B102" s="9" t="s">
        <v>27</v>
      </c>
      <c r="C102" s="9" t="n">
        <v>1197831</v>
      </c>
      <c r="D102" s="10" t="n">
        <v>44059</v>
      </c>
      <c r="E102" s="9" t="s">
        <v>29</v>
      </c>
      <c r="F102" s="9" t="s">
        <v>30</v>
      </c>
      <c r="G102" s="9" t="s">
        <v>31</v>
      </c>
      <c r="H102" s="11" t="s">
        <v>24</v>
      </c>
      <c r="I102" s="12" t="n">
        <v>45</v>
      </c>
      <c r="J102" s="13" t="n">
        <v>600</v>
      </c>
      <c r="K102" s="14" t="n">
        <f aca="false">I102*J102</f>
        <v>27000</v>
      </c>
      <c r="L102" s="14" t="n">
        <f aca="false">($L$2*M102)/100</f>
        <v>360499.95</v>
      </c>
      <c r="M102" s="15" t="n">
        <v>0.3</v>
      </c>
      <c r="N102" s="9" t="s">
        <v>26</v>
      </c>
    </row>
    <row r="103" customFormat="false" ht="14.25" hidden="false" customHeight="true" outlineLevel="0" collapsed="false">
      <c r="B103" s="9" t="s">
        <v>27</v>
      </c>
      <c r="C103" s="9" t="n">
        <v>1197831</v>
      </c>
      <c r="D103" s="10" t="n">
        <v>44060</v>
      </c>
      <c r="E103" s="9" t="s">
        <v>29</v>
      </c>
      <c r="F103" s="9" t="s">
        <v>30</v>
      </c>
      <c r="G103" s="9" t="s">
        <v>31</v>
      </c>
      <c r="H103" s="11" t="s">
        <v>25</v>
      </c>
      <c r="I103" s="12" t="n">
        <v>40</v>
      </c>
      <c r="J103" s="13" t="n">
        <v>950</v>
      </c>
      <c r="K103" s="14" t="n">
        <f aca="false">I103*J103</f>
        <v>38000</v>
      </c>
      <c r="L103" s="14" t="n">
        <f aca="false">($L$2*M103)/100</f>
        <v>600833.25</v>
      </c>
      <c r="M103" s="15" t="n">
        <v>0.5</v>
      </c>
      <c r="N103" s="9" t="s">
        <v>26</v>
      </c>
    </row>
    <row r="104" customFormat="false" ht="14.25" hidden="false" customHeight="true" outlineLevel="0" collapsed="false">
      <c r="B104" s="9" t="s">
        <v>27</v>
      </c>
      <c r="C104" s="9" t="n">
        <v>1197831</v>
      </c>
      <c r="D104" s="10" t="n">
        <v>44061</v>
      </c>
      <c r="E104" s="9" t="s">
        <v>29</v>
      </c>
      <c r="F104" s="9" t="s">
        <v>30</v>
      </c>
      <c r="G104" s="9" t="s">
        <v>31</v>
      </c>
      <c r="H104" s="11" t="s">
        <v>19</v>
      </c>
      <c r="I104" s="12" t="n">
        <v>40</v>
      </c>
      <c r="J104" s="13" t="n">
        <v>950</v>
      </c>
      <c r="K104" s="14" t="n">
        <f aca="false">I104*J104</f>
        <v>38000</v>
      </c>
      <c r="L104" s="14" t="n">
        <f aca="false">($L$2*M104)/100</f>
        <v>420583.275</v>
      </c>
      <c r="M104" s="15" t="n">
        <v>0.35</v>
      </c>
      <c r="N104" s="9" t="s">
        <v>26</v>
      </c>
    </row>
    <row r="105" customFormat="false" ht="14.25" hidden="false" customHeight="true" outlineLevel="0" collapsed="false">
      <c r="B105" s="9" t="s">
        <v>27</v>
      </c>
      <c r="C105" s="9" t="n">
        <v>1197831</v>
      </c>
      <c r="D105" s="10" t="n">
        <v>44062</v>
      </c>
      <c r="E105" s="9" t="s">
        <v>29</v>
      </c>
      <c r="F105" s="9" t="s">
        <v>30</v>
      </c>
      <c r="G105" s="9" t="s">
        <v>31</v>
      </c>
      <c r="H105" s="11" t="s">
        <v>21</v>
      </c>
      <c r="I105" s="12" t="n">
        <v>45</v>
      </c>
      <c r="J105" s="13" t="n">
        <v>950</v>
      </c>
      <c r="K105" s="14" t="n">
        <f aca="false">I105*J105</f>
        <v>42750</v>
      </c>
      <c r="L105" s="14" t="n">
        <f aca="false">($L$2*M105)/100</f>
        <v>420583.275</v>
      </c>
      <c r="M105" s="15" t="n">
        <v>0.35</v>
      </c>
      <c r="N105" s="9" t="s">
        <v>26</v>
      </c>
    </row>
    <row r="106" customFormat="false" ht="14.25" hidden="false" customHeight="true" outlineLevel="0" collapsed="false">
      <c r="B106" s="9" t="s">
        <v>27</v>
      </c>
      <c r="C106" s="9" t="n">
        <v>1197831</v>
      </c>
      <c r="D106" s="10" t="n">
        <v>44063</v>
      </c>
      <c r="E106" s="9" t="s">
        <v>29</v>
      </c>
      <c r="F106" s="9" t="s">
        <v>30</v>
      </c>
      <c r="G106" s="9" t="s">
        <v>31</v>
      </c>
      <c r="H106" s="11" t="s">
        <v>22</v>
      </c>
      <c r="I106" s="12" t="n">
        <v>40</v>
      </c>
      <c r="J106" s="13" t="n">
        <v>800</v>
      </c>
      <c r="K106" s="14" t="n">
        <f aca="false">I106*J106</f>
        <v>32000</v>
      </c>
      <c r="L106" s="14" t="n">
        <f aca="false">($L$2*M106)/100</f>
        <v>420583.275</v>
      </c>
      <c r="M106" s="15" t="n">
        <v>0.35</v>
      </c>
      <c r="N106" s="9" t="s">
        <v>26</v>
      </c>
    </row>
    <row r="107" customFormat="false" ht="14.25" hidden="false" customHeight="true" outlineLevel="0" collapsed="false">
      <c r="B107" s="9" t="s">
        <v>27</v>
      </c>
      <c r="C107" s="9" t="n">
        <v>1197831</v>
      </c>
      <c r="D107" s="10" t="n">
        <v>44064</v>
      </c>
      <c r="E107" s="9" t="s">
        <v>29</v>
      </c>
      <c r="F107" s="9" t="s">
        <v>30</v>
      </c>
      <c r="G107" s="9" t="s">
        <v>31</v>
      </c>
      <c r="H107" s="11" t="s">
        <v>23</v>
      </c>
      <c r="I107" s="12" t="n">
        <v>40</v>
      </c>
      <c r="J107" s="13" t="n">
        <v>750</v>
      </c>
      <c r="K107" s="14" t="n">
        <f aca="false">I107*J107</f>
        <v>30000</v>
      </c>
      <c r="L107" s="14" t="n">
        <f aca="false">($L$2*M107)/100</f>
        <v>540749.925</v>
      </c>
      <c r="M107" s="15" t="n">
        <v>0.45</v>
      </c>
      <c r="N107" s="9" t="s">
        <v>26</v>
      </c>
    </row>
    <row r="108" customFormat="false" ht="14.25" hidden="false" customHeight="true" outlineLevel="0" collapsed="false">
      <c r="B108" s="9" t="s">
        <v>27</v>
      </c>
      <c r="C108" s="9" t="n">
        <v>1197831</v>
      </c>
      <c r="D108" s="10" t="n">
        <v>44065</v>
      </c>
      <c r="E108" s="9" t="s">
        <v>29</v>
      </c>
      <c r="F108" s="9" t="s">
        <v>30</v>
      </c>
      <c r="G108" s="9" t="s">
        <v>31</v>
      </c>
      <c r="H108" s="11" t="s">
        <v>24</v>
      </c>
      <c r="I108" s="12" t="n">
        <v>45</v>
      </c>
      <c r="J108" s="13" t="n">
        <v>650</v>
      </c>
      <c r="K108" s="14" t="n">
        <f aca="false">I108*J108</f>
        <v>29250</v>
      </c>
      <c r="L108" s="14" t="n">
        <f aca="false">($L$2*M108)/100</f>
        <v>360499.95</v>
      </c>
      <c r="M108" s="15" t="n">
        <v>0.3</v>
      </c>
      <c r="N108" s="9" t="s">
        <v>26</v>
      </c>
    </row>
    <row r="109" customFormat="false" ht="14.25" hidden="false" customHeight="true" outlineLevel="0" collapsed="false">
      <c r="B109" s="9" t="s">
        <v>27</v>
      </c>
      <c r="C109" s="9" t="n">
        <v>1197831</v>
      </c>
      <c r="D109" s="10" t="n">
        <v>44066</v>
      </c>
      <c r="E109" s="9" t="s">
        <v>29</v>
      </c>
      <c r="F109" s="9" t="s">
        <v>30</v>
      </c>
      <c r="G109" s="9" t="s">
        <v>31</v>
      </c>
      <c r="H109" s="11" t="s">
        <v>25</v>
      </c>
      <c r="I109" s="12" t="n">
        <v>50</v>
      </c>
      <c r="J109" s="13" t="n">
        <v>1000</v>
      </c>
      <c r="K109" s="14" t="n">
        <f aca="false">I109*J109</f>
        <v>50000</v>
      </c>
      <c r="L109" s="14" t="n">
        <f aca="false">($L$2*M109)/100</f>
        <v>600833.25</v>
      </c>
      <c r="M109" s="15" t="n">
        <v>0.5</v>
      </c>
      <c r="N109" s="9" t="s">
        <v>26</v>
      </c>
    </row>
    <row r="110" customFormat="false" ht="14.25" hidden="false" customHeight="true" outlineLevel="0" collapsed="false">
      <c r="B110" s="9" t="s">
        <v>27</v>
      </c>
      <c r="C110" s="9" t="n">
        <v>1197831</v>
      </c>
      <c r="D110" s="10" t="n">
        <v>44067</v>
      </c>
      <c r="E110" s="9" t="s">
        <v>29</v>
      </c>
      <c r="F110" s="9" t="s">
        <v>30</v>
      </c>
      <c r="G110" s="9" t="s">
        <v>31</v>
      </c>
      <c r="H110" s="11" t="s">
        <v>19</v>
      </c>
      <c r="I110" s="12" t="n">
        <v>40</v>
      </c>
      <c r="J110" s="13" t="n">
        <v>950</v>
      </c>
      <c r="K110" s="14" t="n">
        <f aca="false">I110*J110</f>
        <v>38000</v>
      </c>
      <c r="L110" s="14" t="n">
        <f aca="false">($L$2*M110)/100</f>
        <v>420583.275</v>
      </c>
      <c r="M110" s="15" t="n">
        <v>0.35</v>
      </c>
      <c r="N110" s="9" t="s">
        <v>26</v>
      </c>
    </row>
    <row r="111" customFormat="false" ht="14.25" hidden="false" customHeight="true" outlineLevel="0" collapsed="false">
      <c r="B111" s="9" t="s">
        <v>27</v>
      </c>
      <c r="C111" s="9" t="n">
        <v>1197831</v>
      </c>
      <c r="D111" s="10" t="n">
        <v>44068</v>
      </c>
      <c r="E111" s="9" t="s">
        <v>29</v>
      </c>
      <c r="F111" s="9" t="s">
        <v>30</v>
      </c>
      <c r="G111" s="9" t="s">
        <v>31</v>
      </c>
      <c r="H111" s="11" t="s">
        <v>21</v>
      </c>
      <c r="I111" s="12" t="n">
        <v>45</v>
      </c>
      <c r="J111" s="13" t="n">
        <v>950</v>
      </c>
      <c r="K111" s="14" t="n">
        <f aca="false">I111*J111</f>
        <v>42750</v>
      </c>
      <c r="L111" s="14" t="n">
        <f aca="false">($L$2*M111)/100</f>
        <v>420583.275</v>
      </c>
      <c r="M111" s="15" t="n">
        <v>0.35</v>
      </c>
      <c r="N111" s="9" t="s">
        <v>26</v>
      </c>
    </row>
    <row r="112" customFormat="false" ht="14.25" hidden="false" customHeight="true" outlineLevel="0" collapsed="false">
      <c r="B112" s="9" t="s">
        <v>27</v>
      </c>
      <c r="C112" s="9" t="n">
        <v>1197831</v>
      </c>
      <c r="D112" s="10" t="n">
        <v>44069</v>
      </c>
      <c r="E112" s="9" t="s">
        <v>29</v>
      </c>
      <c r="F112" s="9" t="s">
        <v>30</v>
      </c>
      <c r="G112" s="9" t="s">
        <v>31</v>
      </c>
      <c r="H112" s="11" t="s">
        <v>22</v>
      </c>
      <c r="I112" s="12" t="n">
        <v>40</v>
      </c>
      <c r="J112" s="13" t="n">
        <v>1100</v>
      </c>
      <c r="K112" s="14" t="n">
        <f aca="false">I112*J112</f>
        <v>44000</v>
      </c>
      <c r="L112" s="14" t="n">
        <f aca="false">($L$2*M112)/100</f>
        <v>420583.275</v>
      </c>
      <c r="M112" s="15" t="n">
        <v>0.35</v>
      </c>
      <c r="N112" s="9" t="s">
        <v>26</v>
      </c>
    </row>
    <row r="113" customFormat="false" ht="14.25" hidden="false" customHeight="true" outlineLevel="0" collapsed="false">
      <c r="B113" s="9" t="s">
        <v>27</v>
      </c>
      <c r="C113" s="9" t="n">
        <v>1197831</v>
      </c>
      <c r="D113" s="10" t="n">
        <v>44070</v>
      </c>
      <c r="E113" s="9" t="s">
        <v>29</v>
      </c>
      <c r="F113" s="9" t="s">
        <v>30</v>
      </c>
      <c r="G113" s="9" t="s">
        <v>31</v>
      </c>
      <c r="H113" s="11" t="s">
        <v>23</v>
      </c>
      <c r="I113" s="12" t="n">
        <v>40</v>
      </c>
      <c r="J113" s="13" t="n">
        <v>700</v>
      </c>
      <c r="K113" s="14" t="n">
        <f aca="false">I113*J113</f>
        <v>28000</v>
      </c>
      <c r="L113" s="14" t="n">
        <f aca="false">($L$2*M113)/100</f>
        <v>540749.925</v>
      </c>
      <c r="M113" s="15" t="n">
        <v>0.45</v>
      </c>
      <c r="N113" s="9" t="s">
        <v>26</v>
      </c>
    </row>
    <row r="114" customFormat="false" ht="14.25" hidden="false" customHeight="true" outlineLevel="0" collapsed="false">
      <c r="B114" s="9" t="s">
        <v>27</v>
      </c>
      <c r="C114" s="9" t="n">
        <v>1197831</v>
      </c>
      <c r="D114" s="10" t="n">
        <v>44071</v>
      </c>
      <c r="E114" s="9" t="s">
        <v>29</v>
      </c>
      <c r="F114" s="9" t="s">
        <v>30</v>
      </c>
      <c r="G114" s="9" t="s">
        <v>31</v>
      </c>
      <c r="H114" s="11" t="s">
        <v>24</v>
      </c>
      <c r="I114" s="12" t="n">
        <v>45</v>
      </c>
      <c r="J114" s="13" t="n">
        <v>700</v>
      </c>
      <c r="K114" s="14" t="n">
        <f aca="false">I114*J114</f>
        <v>31500</v>
      </c>
      <c r="L114" s="14" t="n">
        <f aca="false">($L$2*M114)/100</f>
        <v>360499.95</v>
      </c>
      <c r="M114" s="15" t="n">
        <v>0.3</v>
      </c>
      <c r="N114" s="9" t="s">
        <v>26</v>
      </c>
    </row>
    <row r="115" customFormat="false" ht="14.25" hidden="false" customHeight="true" outlineLevel="0" collapsed="false">
      <c r="B115" s="9" t="s">
        <v>27</v>
      </c>
      <c r="C115" s="9" t="n">
        <v>1197831</v>
      </c>
      <c r="D115" s="10" t="n">
        <v>44072</v>
      </c>
      <c r="E115" s="9" t="s">
        <v>29</v>
      </c>
      <c r="F115" s="9" t="s">
        <v>30</v>
      </c>
      <c r="G115" s="9" t="s">
        <v>31</v>
      </c>
      <c r="H115" s="11" t="s">
        <v>25</v>
      </c>
      <c r="I115" s="12" t="n">
        <v>50</v>
      </c>
      <c r="J115" s="13" t="n">
        <v>975</v>
      </c>
      <c r="K115" s="14" t="n">
        <f aca="false">I115*J115</f>
        <v>48750</v>
      </c>
      <c r="L115" s="14" t="n">
        <f aca="false">($L$2*M115)/100</f>
        <v>600833.25</v>
      </c>
      <c r="M115" s="15" t="n">
        <v>0.5</v>
      </c>
      <c r="N115" s="9" t="s">
        <v>26</v>
      </c>
    </row>
    <row r="116" customFormat="false" ht="14.25" hidden="false" customHeight="true" outlineLevel="0" collapsed="false">
      <c r="B116" s="9" t="s">
        <v>27</v>
      </c>
      <c r="C116" s="9" t="n">
        <v>1197831</v>
      </c>
      <c r="D116" s="10" t="n">
        <v>44073</v>
      </c>
      <c r="E116" s="9" t="s">
        <v>29</v>
      </c>
      <c r="F116" s="9" t="s">
        <v>30</v>
      </c>
      <c r="G116" s="9" t="s">
        <v>31</v>
      </c>
      <c r="H116" s="11" t="s">
        <v>19</v>
      </c>
      <c r="I116" s="12" t="n">
        <v>40</v>
      </c>
      <c r="J116" s="13" t="n">
        <v>925</v>
      </c>
      <c r="K116" s="14" t="n">
        <f aca="false">I116*J116</f>
        <v>37000</v>
      </c>
      <c r="L116" s="14" t="n">
        <f aca="false">($L$2*M116)/100</f>
        <v>420583.275</v>
      </c>
      <c r="M116" s="15" t="n">
        <v>0.35</v>
      </c>
      <c r="N116" s="9" t="s">
        <v>26</v>
      </c>
    </row>
    <row r="117" customFormat="false" ht="14.25" hidden="false" customHeight="true" outlineLevel="0" collapsed="false">
      <c r="B117" s="9" t="s">
        <v>27</v>
      </c>
      <c r="C117" s="9" t="n">
        <v>1197831</v>
      </c>
      <c r="D117" s="10" t="n">
        <v>44074</v>
      </c>
      <c r="E117" s="9" t="s">
        <v>29</v>
      </c>
      <c r="F117" s="9" t="s">
        <v>30</v>
      </c>
      <c r="G117" s="9" t="s">
        <v>31</v>
      </c>
      <c r="H117" s="11" t="s">
        <v>21</v>
      </c>
      <c r="I117" s="12" t="n">
        <v>45</v>
      </c>
      <c r="J117" s="13" t="n">
        <v>925</v>
      </c>
      <c r="K117" s="14" t="n">
        <f aca="false">I117*J117</f>
        <v>41625</v>
      </c>
      <c r="L117" s="14" t="n">
        <f aca="false">($L$2*M117)/100</f>
        <v>420583.275</v>
      </c>
      <c r="M117" s="15" t="n">
        <v>0.35</v>
      </c>
      <c r="N117" s="9" t="s">
        <v>26</v>
      </c>
    </row>
    <row r="118" customFormat="false" ht="14.25" hidden="false" customHeight="true" outlineLevel="0" collapsed="false">
      <c r="B118" s="9" t="s">
        <v>27</v>
      </c>
      <c r="C118" s="9" t="n">
        <v>1197831</v>
      </c>
      <c r="D118" s="10" t="n">
        <v>44075</v>
      </c>
      <c r="E118" s="9" t="s">
        <v>29</v>
      </c>
      <c r="F118" s="9" t="s">
        <v>30</v>
      </c>
      <c r="G118" s="9" t="s">
        <v>31</v>
      </c>
      <c r="H118" s="11" t="s">
        <v>22</v>
      </c>
      <c r="I118" s="12" t="n">
        <v>40</v>
      </c>
      <c r="J118" s="13" t="n">
        <v>1100</v>
      </c>
      <c r="K118" s="14" t="n">
        <f aca="false">I118*J118</f>
        <v>44000</v>
      </c>
      <c r="L118" s="14" t="n">
        <f aca="false">($L$2*M118)/100</f>
        <v>420583.275</v>
      </c>
      <c r="M118" s="15" t="n">
        <v>0.35</v>
      </c>
      <c r="N118" s="9" t="s">
        <v>26</v>
      </c>
    </row>
    <row r="119" customFormat="false" ht="14.25" hidden="false" customHeight="true" outlineLevel="0" collapsed="false">
      <c r="B119" s="9" t="s">
        <v>27</v>
      </c>
      <c r="C119" s="9" t="n">
        <v>1197831</v>
      </c>
      <c r="D119" s="10" t="n">
        <v>44076</v>
      </c>
      <c r="E119" s="9" t="s">
        <v>29</v>
      </c>
      <c r="F119" s="9" t="s">
        <v>30</v>
      </c>
      <c r="G119" s="9" t="s">
        <v>31</v>
      </c>
      <c r="H119" s="11" t="s">
        <v>23</v>
      </c>
      <c r="I119" s="12" t="n">
        <v>40</v>
      </c>
      <c r="J119" s="13" t="n">
        <v>650</v>
      </c>
      <c r="K119" s="14" t="n">
        <f aca="false">I119*J119</f>
        <v>26000</v>
      </c>
      <c r="L119" s="14" t="n">
        <f aca="false">($L$2*M119)/100</f>
        <v>540749.925</v>
      </c>
      <c r="M119" s="15" t="n">
        <v>0.45</v>
      </c>
      <c r="N119" s="9" t="s">
        <v>26</v>
      </c>
    </row>
    <row r="120" customFormat="false" ht="14.25" hidden="false" customHeight="true" outlineLevel="0" collapsed="false">
      <c r="B120" s="9" t="s">
        <v>27</v>
      </c>
      <c r="C120" s="9" t="n">
        <v>1197831</v>
      </c>
      <c r="D120" s="10" t="n">
        <v>44077</v>
      </c>
      <c r="E120" s="9" t="s">
        <v>29</v>
      </c>
      <c r="F120" s="9" t="s">
        <v>30</v>
      </c>
      <c r="G120" s="9" t="s">
        <v>31</v>
      </c>
      <c r="H120" s="11" t="s">
        <v>24</v>
      </c>
      <c r="I120" s="12" t="n">
        <v>45</v>
      </c>
      <c r="J120" s="13" t="n">
        <v>650</v>
      </c>
      <c r="K120" s="14" t="n">
        <f aca="false">I120*J120</f>
        <v>29250</v>
      </c>
      <c r="L120" s="14" t="n">
        <f aca="false">($L$2*M120)/100</f>
        <v>360499.95</v>
      </c>
      <c r="M120" s="15" t="n">
        <v>0.3</v>
      </c>
      <c r="N120" s="9" t="s">
        <v>26</v>
      </c>
    </row>
    <row r="121" customFormat="false" ht="14.25" hidden="false" customHeight="true" outlineLevel="0" collapsed="false">
      <c r="B121" s="9" t="s">
        <v>27</v>
      </c>
      <c r="C121" s="9" t="n">
        <v>1197831</v>
      </c>
      <c r="D121" s="10" t="n">
        <v>44078</v>
      </c>
      <c r="E121" s="9" t="s">
        <v>29</v>
      </c>
      <c r="F121" s="9" t="s">
        <v>30</v>
      </c>
      <c r="G121" s="9" t="s">
        <v>31</v>
      </c>
      <c r="H121" s="11" t="s">
        <v>25</v>
      </c>
      <c r="I121" s="12" t="n">
        <v>50</v>
      </c>
      <c r="J121" s="13" t="n">
        <v>900</v>
      </c>
      <c r="K121" s="14" t="n">
        <f aca="false">I121*J121</f>
        <v>45000</v>
      </c>
      <c r="L121" s="14" t="n">
        <f aca="false">($L$2*M121)/100</f>
        <v>600833.25</v>
      </c>
      <c r="M121" s="15" t="n">
        <v>0.5</v>
      </c>
      <c r="N121" s="9" t="s">
        <v>26</v>
      </c>
    </row>
    <row r="122" customFormat="false" ht="14.25" hidden="false" customHeight="true" outlineLevel="0" collapsed="false">
      <c r="B122" s="9" t="s">
        <v>27</v>
      </c>
      <c r="C122" s="9" t="n">
        <v>1197831</v>
      </c>
      <c r="D122" s="10" t="n">
        <v>44079</v>
      </c>
      <c r="E122" s="9" t="s">
        <v>29</v>
      </c>
      <c r="F122" s="9" t="s">
        <v>30</v>
      </c>
      <c r="G122" s="9" t="s">
        <v>31</v>
      </c>
      <c r="H122" s="11" t="s">
        <v>19</v>
      </c>
      <c r="I122" s="12" t="n">
        <v>45</v>
      </c>
      <c r="J122" s="13" t="n">
        <v>850</v>
      </c>
      <c r="K122" s="14" t="n">
        <f aca="false">I122*J122</f>
        <v>38250</v>
      </c>
      <c r="L122" s="14" t="n">
        <f aca="false">($L$2*M122)/100</f>
        <v>420583.275</v>
      </c>
      <c r="M122" s="15" t="n">
        <v>0.35</v>
      </c>
      <c r="N122" s="9" t="s">
        <v>26</v>
      </c>
    </row>
    <row r="123" customFormat="false" ht="14.25" hidden="false" customHeight="true" outlineLevel="0" collapsed="false">
      <c r="B123" s="9" t="s">
        <v>27</v>
      </c>
      <c r="C123" s="9" t="n">
        <v>1197831</v>
      </c>
      <c r="D123" s="10" t="n">
        <v>44080</v>
      </c>
      <c r="E123" s="9" t="s">
        <v>29</v>
      </c>
      <c r="F123" s="9" t="s">
        <v>30</v>
      </c>
      <c r="G123" s="9" t="s">
        <v>31</v>
      </c>
      <c r="H123" s="11" t="s">
        <v>21</v>
      </c>
      <c r="I123" s="12" t="n">
        <v>45</v>
      </c>
      <c r="J123" s="13" t="n">
        <v>850</v>
      </c>
      <c r="K123" s="14" t="n">
        <f aca="false">I123*J123</f>
        <v>38250</v>
      </c>
      <c r="L123" s="14" t="n">
        <f aca="false">($L$2*M123)/100</f>
        <v>420583.275</v>
      </c>
      <c r="M123" s="15" t="n">
        <v>0.35</v>
      </c>
      <c r="N123" s="9" t="s">
        <v>26</v>
      </c>
    </row>
    <row r="124" customFormat="false" ht="14.25" hidden="false" customHeight="true" outlineLevel="0" collapsed="false">
      <c r="B124" s="9" t="s">
        <v>27</v>
      </c>
      <c r="C124" s="9" t="n">
        <v>1197831</v>
      </c>
      <c r="D124" s="10" t="n">
        <v>44081</v>
      </c>
      <c r="E124" s="9" t="s">
        <v>29</v>
      </c>
      <c r="F124" s="9" t="s">
        <v>30</v>
      </c>
      <c r="G124" s="9" t="s">
        <v>31</v>
      </c>
      <c r="H124" s="11" t="s">
        <v>22</v>
      </c>
      <c r="I124" s="12" t="n">
        <v>50</v>
      </c>
      <c r="J124" s="13" t="n">
        <v>900</v>
      </c>
      <c r="K124" s="14" t="n">
        <f aca="false">I124*J124</f>
        <v>45000</v>
      </c>
      <c r="L124" s="14" t="n">
        <f aca="false">($L$2*M124)/100</f>
        <v>420583.275</v>
      </c>
      <c r="M124" s="15" t="n">
        <v>0.35</v>
      </c>
      <c r="N124" s="9" t="s">
        <v>26</v>
      </c>
    </row>
    <row r="125" customFormat="false" ht="14.25" hidden="false" customHeight="true" outlineLevel="0" collapsed="false">
      <c r="B125" s="9" t="s">
        <v>27</v>
      </c>
      <c r="C125" s="9" t="n">
        <v>1197831</v>
      </c>
      <c r="D125" s="10" t="n">
        <v>44082</v>
      </c>
      <c r="E125" s="9" t="s">
        <v>29</v>
      </c>
      <c r="F125" s="9" t="s">
        <v>30</v>
      </c>
      <c r="G125" s="9" t="s">
        <v>31</v>
      </c>
      <c r="H125" s="11" t="s">
        <v>23</v>
      </c>
      <c r="I125" s="12" t="n">
        <v>50</v>
      </c>
      <c r="J125" s="13" t="n">
        <v>625</v>
      </c>
      <c r="K125" s="14" t="n">
        <f aca="false">I125*J125</f>
        <v>31250</v>
      </c>
      <c r="L125" s="14" t="n">
        <f aca="false">($L$2*M125)/100</f>
        <v>540749.925</v>
      </c>
      <c r="M125" s="15" t="n">
        <v>0.45</v>
      </c>
      <c r="N125" s="9" t="s">
        <v>26</v>
      </c>
    </row>
    <row r="126" customFormat="false" ht="14.25" hidden="false" customHeight="true" outlineLevel="0" collapsed="false">
      <c r="B126" s="9" t="s">
        <v>27</v>
      </c>
      <c r="C126" s="9" t="n">
        <v>1197831</v>
      </c>
      <c r="D126" s="10" t="n">
        <v>44083</v>
      </c>
      <c r="E126" s="9" t="s">
        <v>29</v>
      </c>
      <c r="F126" s="9" t="s">
        <v>30</v>
      </c>
      <c r="G126" s="9" t="s">
        <v>31</v>
      </c>
      <c r="H126" s="11" t="s">
        <v>24</v>
      </c>
      <c r="I126" s="12" t="n">
        <v>45</v>
      </c>
      <c r="J126" s="13" t="n">
        <v>625</v>
      </c>
      <c r="K126" s="14" t="n">
        <f aca="false">I126*J126</f>
        <v>28125</v>
      </c>
      <c r="L126" s="14" t="n">
        <f aca="false">($L$2*M126)/100</f>
        <v>360499.95</v>
      </c>
      <c r="M126" s="15" t="n">
        <v>0.3</v>
      </c>
      <c r="N126" s="9" t="s">
        <v>26</v>
      </c>
    </row>
    <row r="127" customFormat="false" ht="14.25" hidden="false" customHeight="true" outlineLevel="0" collapsed="false">
      <c r="B127" s="9" t="s">
        <v>27</v>
      </c>
      <c r="C127" s="9" t="n">
        <v>1197831</v>
      </c>
      <c r="D127" s="10" t="n">
        <v>44084</v>
      </c>
      <c r="E127" s="9" t="s">
        <v>29</v>
      </c>
      <c r="F127" s="9" t="s">
        <v>30</v>
      </c>
      <c r="G127" s="9" t="s">
        <v>31</v>
      </c>
      <c r="H127" s="11" t="s">
        <v>25</v>
      </c>
      <c r="I127" s="12" t="n">
        <v>55</v>
      </c>
      <c r="J127" s="13" t="n">
        <v>850</v>
      </c>
      <c r="K127" s="14" t="n">
        <f aca="false">I127*J127</f>
        <v>46750</v>
      </c>
      <c r="L127" s="14" t="n">
        <f aca="false">($L$2*M127)/100</f>
        <v>600833.25</v>
      </c>
      <c r="M127" s="15" t="n">
        <v>0.5</v>
      </c>
      <c r="N127" s="9" t="s">
        <v>26</v>
      </c>
    </row>
    <row r="128" customFormat="false" ht="14.25" hidden="false" customHeight="true" outlineLevel="0" collapsed="false">
      <c r="B128" s="9" t="s">
        <v>27</v>
      </c>
      <c r="C128" s="9" t="n">
        <v>1197831</v>
      </c>
      <c r="D128" s="10" t="n">
        <v>44085</v>
      </c>
      <c r="E128" s="9" t="s">
        <v>29</v>
      </c>
      <c r="F128" s="9" t="s">
        <v>30</v>
      </c>
      <c r="G128" s="9" t="s">
        <v>31</v>
      </c>
      <c r="H128" s="11" t="s">
        <v>19</v>
      </c>
      <c r="I128" s="12" t="n">
        <v>45</v>
      </c>
      <c r="J128" s="13" t="n">
        <v>800</v>
      </c>
      <c r="K128" s="14" t="n">
        <f aca="false">I128*J128</f>
        <v>36000</v>
      </c>
      <c r="L128" s="14" t="n">
        <f aca="false">($L$2*M128)/100</f>
        <v>420583.275</v>
      </c>
      <c r="M128" s="15" t="n">
        <v>0.35</v>
      </c>
      <c r="N128" s="9" t="s">
        <v>26</v>
      </c>
    </row>
    <row r="129" customFormat="false" ht="14.25" hidden="false" customHeight="true" outlineLevel="0" collapsed="false">
      <c r="B129" s="9" t="s">
        <v>27</v>
      </c>
      <c r="C129" s="9" t="n">
        <v>1197831</v>
      </c>
      <c r="D129" s="10" t="n">
        <v>44086</v>
      </c>
      <c r="E129" s="9" t="s">
        <v>29</v>
      </c>
      <c r="F129" s="9" t="s">
        <v>30</v>
      </c>
      <c r="G129" s="9" t="s">
        <v>31</v>
      </c>
      <c r="H129" s="11" t="s">
        <v>21</v>
      </c>
      <c r="I129" s="12" t="n">
        <v>45</v>
      </c>
      <c r="J129" s="13" t="n">
        <v>800</v>
      </c>
      <c r="K129" s="14" t="n">
        <f aca="false">I129*J129</f>
        <v>36000</v>
      </c>
      <c r="L129" s="14" t="n">
        <f aca="false">($L$2*M129)/100</f>
        <v>420583.275</v>
      </c>
      <c r="M129" s="15" t="n">
        <v>0.35</v>
      </c>
      <c r="N129" s="9" t="s">
        <v>26</v>
      </c>
    </row>
    <row r="130" customFormat="false" ht="14.25" hidden="false" customHeight="true" outlineLevel="0" collapsed="false">
      <c r="B130" s="9" t="s">
        <v>27</v>
      </c>
      <c r="C130" s="9" t="n">
        <v>1197831</v>
      </c>
      <c r="D130" s="10" t="n">
        <v>44087</v>
      </c>
      <c r="E130" s="9" t="s">
        <v>29</v>
      </c>
      <c r="F130" s="9" t="s">
        <v>30</v>
      </c>
      <c r="G130" s="9" t="s">
        <v>31</v>
      </c>
      <c r="H130" s="11" t="s">
        <v>22</v>
      </c>
      <c r="I130" s="12" t="n">
        <v>50</v>
      </c>
      <c r="J130" s="13" t="n">
        <v>750</v>
      </c>
      <c r="K130" s="14" t="n">
        <f aca="false">I130*J130</f>
        <v>37500</v>
      </c>
      <c r="L130" s="14" t="n">
        <f aca="false">($L$2*M130)/100</f>
        <v>420583.275</v>
      </c>
      <c r="M130" s="15" t="n">
        <v>0.35</v>
      </c>
      <c r="N130" s="9" t="s">
        <v>26</v>
      </c>
    </row>
    <row r="131" customFormat="false" ht="14.25" hidden="false" customHeight="true" outlineLevel="0" collapsed="false">
      <c r="B131" s="9" t="s">
        <v>27</v>
      </c>
      <c r="C131" s="9" t="n">
        <v>1197831</v>
      </c>
      <c r="D131" s="10" t="n">
        <v>44088</v>
      </c>
      <c r="E131" s="9" t="s">
        <v>29</v>
      </c>
      <c r="F131" s="9" t="s">
        <v>30</v>
      </c>
      <c r="G131" s="9" t="s">
        <v>31</v>
      </c>
      <c r="H131" s="11" t="s">
        <v>23</v>
      </c>
      <c r="I131" s="12" t="n">
        <v>50</v>
      </c>
      <c r="J131" s="13" t="n">
        <v>600</v>
      </c>
      <c r="K131" s="14" t="n">
        <f aca="false">I131*J131</f>
        <v>30000</v>
      </c>
      <c r="L131" s="14" t="n">
        <f aca="false">($L$2*M131)/100</f>
        <v>540749.925</v>
      </c>
      <c r="M131" s="15" t="n">
        <v>0.45</v>
      </c>
      <c r="N131" s="9" t="s">
        <v>26</v>
      </c>
    </row>
    <row r="132" customFormat="false" ht="14.25" hidden="false" customHeight="true" outlineLevel="0" collapsed="false">
      <c r="B132" s="9" t="s">
        <v>27</v>
      </c>
      <c r="C132" s="9" t="n">
        <v>1197831</v>
      </c>
      <c r="D132" s="10" t="n">
        <v>44089</v>
      </c>
      <c r="E132" s="9" t="s">
        <v>29</v>
      </c>
      <c r="F132" s="9" t="s">
        <v>30</v>
      </c>
      <c r="G132" s="9" t="s">
        <v>31</v>
      </c>
      <c r="H132" s="11" t="s">
        <v>24</v>
      </c>
      <c r="I132" s="12" t="n">
        <v>45</v>
      </c>
      <c r="J132" s="13" t="n">
        <v>575</v>
      </c>
      <c r="K132" s="14" t="n">
        <f aca="false">I132*J132</f>
        <v>25875</v>
      </c>
      <c r="L132" s="14" t="n">
        <f aca="false">($L$2*M132)/100</f>
        <v>360499.95</v>
      </c>
      <c r="M132" s="15" t="n">
        <v>0.3</v>
      </c>
      <c r="N132" s="9" t="s">
        <v>26</v>
      </c>
    </row>
    <row r="133" customFormat="false" ht="14.25" hidden="false" customHeight="true" outlineLevel="0" collapsed="false">
      <c r="B133" s="9" t="s">
        <v>27</v>
      </c>
      <c r="C133" s="9" t="n">
        <v>1197831</v>
      </c>
      <c r="D133" s="10" t="n">
        <v>44090</v>
      </c>
      <c r="E133" s="9" t="s">
        <v>29</v>
      </c>
      <c r="F133" s="9" t="s">
        <v>30</v>
      </c>
      <c r="G133" s="9" t="s">
        <v>31</v>
      </c>
      <c r="H133" s="11" t="s">
        <v>25</v>
      </c>
      <c r="I133" s="12" t="n">
        <v>55</v>
      </c>
      <c r="J133" s="13" t="n">
        <v>750</v>
      </c>
      <c r="K133" s="14" t="n">
        <f aca="false">I133*J133</f>
        <v>41250</v>
      </c>
      <c r="L133" s="14" t="n">
        <f aca="false">($L$2*M133)/100</f>
        <v>600833.25</v>
      </c>
      <c r="M133" s="15" t="n">
        <v>0.5</v>
      </c>
      <c r="N133" s="9" t="s">
        <v>26</v>
      </c>
    </row>
    <row r="134" customFormat="false" ht="14.25" hidden="false" customHeight="true" outlineLevel="0" collapsed="false">
      <c r="B134" s="9" t="s">
        <v>27</v>
      </c>
      <c r="C134" s="9" t="n">
        <v>1197831</v>
      </c>
      <c r="D134" s="10" t="n">
        <v>44124</v>
      </c>
      <c r="E134" s="9" t="s">
        <v>29</v>
      </c>
      <c r="F134" s="9" t="s">
        <v>30</v>
      </c>
      <c r="G134" s="9" t="s">
        <v>31</v>
      </c>
      <c r="H134" s="11" t="s">
        <v>19</v>
      </c>
      <c r="I134" s="12" t="n">
        <v>45</v>
      </c>
      <c r="J134" s="13" t="n">
        <v>900</v>
      </c>
      <c r="K134" s="14" t="n">
        <f aca="false">I134*J134</f>
        <v>40500</v>
      </c>
      <c r="L134" s="14" t="n">
        <f aca="false">($L$2*M134)/100</f>
        <v>420583.275</v>
      </c>
      <c r="M134" s="15" t="n">
        <v>0.35</v>
      </c>
      <c r="N134" s="9" t="s">
        <v>26</v>
      </c>
    </row>
    <row r="135" customFormat="false" ht="14.25" hidden="false" customHeight="true" outlineLevel="0" collapsed="false">
      <c r="B135" s="9" t="s">
        <v>27</v>
      </c>
      <c r="C135" s="9" t="n">
        <v>1197831</v>
      </c>
      <c r="D135" s="10" t="n">
        <v>44125</v>
      </c>
      <c r="E135" s="9" t="s">
        <v>29</v>
      </c>
      <c r="F135" s="9" t="s">
        <v>30</v>
      </c>
      <c r="G135" s="9" t="s">
        <v>31</v>
      </c>
      <c r="H135" s="11" t="s">
        <v>21</v>
      </c>
      <c r="I135" s="12" t="n">
        <v>45</v>
      </c>
      <c r="J135" s="13" t="n">
        <v>900</v>
      </c>
      <c r="K135" s="14" t="n">
        <f aca="false">I135*J135</f>
        <v>40500</v>
      </c>
      <c r="L135" s="14" t="n">
        <f aca="false">($L$2*M135)/100</f>
        <v>420583.275</v>
      </c>
      <c r="M135" s="15" t="n">
        <v>0.35</v>
      </c>
      <c r="N135" s="9" t="s">
        <v>26</v>
      </c>
    </row>
    <row r="136" customFormat="false" ht="14.25" hidden="false" customHeight="true" outlineLevel="0" collapsed="false">
      <c r="B136" s="9" t="s">
        <v>27</v>
      </c>
      <c r="C136" s="9" t="n">
        <v>1197831</v>
      </c>
      <c r="D136" s="10" t="n">
        <v>44126</v>
      </c>
      <c r="E136" s="9" t="s">
        <v>29</v>
      </c>
      <c r="F136" s="9" t="s">
        <v>30</v>
      </c>
      <c r="G136" s="9" t="s">
        <v>31</v>
      </c>
      <c r="H136" s="11" t="s">
        <v>22</v>
      </c>
      <c r="I136" s="12" t="n">
        <v>50</v>
      </c>
      <c r="J136" s="13" t="n">
        <v>825</v>
      </c>
      <c r="K136" s="14" t="n">
        <f aca="false">I136*J136</f>
        <v>41250</v>
      </c>
      <c r="L136" s="14" t="n">
        <f aca="false">($L$2*M136)/100</f>
        <v>420583.275</v>
      </c>
      <c r="M136" s="15" t="n">
        <v>0.35</v>
      </c>
      <c r="N136" s="9" t="s">
        <v>26</v>
      </c>
    </row>
    <row r="137" customFormat="false" ht="14.25" hidden="false" customHeight="true" outlineLevel="0" collapsed="false">
      <c r="B137" s="9" t="s">
        <v>27</v>
      </c>
      <c r="C137" s="9" t="n">
        <v>1197831</v>
      </c>
      <c r="D137" s="10" t="n">
        <v>44127</v>
      </c>
      <c r="E137" s="9" t="s">
        <v>29</v>
      </c>
      <c r="F137" s="9" t="s">
        <v>30</v>
      </c>
      <c r="G137" s="9" t="s">
        <v>31</v>
      </c>
      <c r="H137" s="11" t="s">
        <v>23</v>
      </c>
      <c r="I137" s="12" t="n">
        <v>50</v>
      </c>
      <c r="J137" s="13" t="n">
        <v>675</v>
      </c>
      <c r="K137" s="14" t="n">
        <f aca="false">I137*J137</f>
        <v>33750</v>
      </c>
      <c r="L137" s="14" t="n">
        <f aca="false">($L$2*M137)/100</f>
        <v>540749.925</v>
      </c>
      <c r="M137" s="15" t="n">
        <v>0.45</v>
      </c>
      <c r="N137" s="9" t="s">
        <v>26</v>
      </c>
    </row>
    <row r="138" customFormat="false" ht="14.25" hidden="false" customHeight="true" outlineLevel="0" collapsed="false">
      <c r="B138" s="9" t="s">
        <v>27</v>
      </c>
      <c r="C138" s="9" t="n">
        <v>1197831</v>
      </c>
      <c r="D138" s="10" t="n">
        <v>44128</v>
      </c>
      <c r="E138" s="9" t="s">
        <v>29</v>
      </c>
      <c r="F138" s="9" t="s">
        <v>30</v>
      </c>
      <c r="G138" s="9" t="s">
        <v>31</v>
      </c>
      <c r="H138" s="11" t="s">
        <v>24</v>
      </c>
      <c r="I138" s="12" t="n">
        <v>45</v>
      </c>
      <c r="J138" s="13" t="n">
        <v>650</v>
      </c>
      <c r="K138" s="14" t="n">
        <f aca="false">I138*J138</f>
        <v>29250</v>
      </c>
      <c r="L138" s="14" t="n">
        <f aca="false">($L$2*M138)/100</f>
        <v>360499.95</v>
      </c>
      <c r="M138" s="15" t="n">
        <v>0.3</v>
      </c>
      <c r="N138" s="9" t="s">
        <v>26</v>
      </c>
    </row>
    <row r="139" customFormat="false" ht="14.25" hidden="false" customHeight="true" outlineLevel="0" collapsed="false">
      <c r="B139" s="9" t="s">
        <v>27</v>
      </c>
      <c r="C139" s="9" t="n">
        <v>1197831</v>
      </c>
      <c r="D139" s="10" t="n">
        <v>44129</v>
      </c>
      <c r="E139" s="9" t="s">
        <v>29</v>
      </c>
      <c r="F139" s="9" t="s">
        <v>30</v>
      </c>
      <c r="G139" s="9" t="s">
        <v>31</v>
      </c>
      <c r="H139" s="11" t="s">
        <v>25</v>
      </c>
      <c r="I139" s="12" t="n">
        <v>55</v>
      </c>
      <c r="J139" s="13" t="n">
        <v>850</v>
      </c>
      <c r="K139" s="14" t="n">
        <f aca="false">I139*J139</f>
        <v>46750</v>
      </c>
      <c r="L139" s="14" t="n">
        <f aca="false">($L$2*M139)/100</f>
        <v>600833.25</v>
      </c>
      <c r="M139" s="15" t="n">
        <v>0.5</v>
      </c>
      <c r="N139" s="9" t="s">
        <v>26</v>
      </c>
    </row>
    <row r="140" customFormat="false" ht="14.25" hidden="false" customHeight="true" outlineLevel="0" collapsed="false">
      <c r="B140" s="9" t="s">
        <v>27</v>
      </c>
      <c r="C140" s="9" t="n">
        <v>1197831</v>
      </c>
      <c r="D140" s="10" t="n">
        <v>44130</v>
      </c>
      <c r="E140" s="9" t="s">
        <v>29</v>
      </c>
      <c r="F140" s="9" t="s">
        <v>30</v>
      </c>
      <c r="G140" s="9" t="s">
        <v>31</v>
      </c>
      <c r="H140" s="11" t="s">
        <v>19</v>
      </c>
      <c r="I140" s="12" t="n">
        <v>45</v>
      </c>
      <c r="J140" s="13" t="n">
        <v>950</v>
      </c>
      <c r="K140" s="14" t="n">
        <f aca="false">I140*J140</f>
        <v>42750</v>
      </c>
      <c r="L140" s="14" t="n">
        <f aca="false">($L$2*M140)/100</f>
        <v>420583.275</v>
      </c>
      <c r="M140" s="15" t="n">
        <v>0.35</v>
      </c>
      <c r="N140" s="9" t="s">
        <v>26</v>
      </c>
    </row>
    <row r="141" customFormat="false" ht="14.25" hidden="false" customHeight="true" outlineLevel="0" collapsed="false">
      <c r="B141" s="9" t="s">
        <v>27</v>
      </c>
      <c r="C141" s="9" t="n">
        <v>1197831</v>
      </c>
      <c r="D141" s="10" t="n">
        <v>44131</v>
      </c>
      <c r="E141" s="9" t="s">
        <v>29</v>
      </c>
      <c r="F141" s="9" t="s">
        <v>30</v>
      </c>
      <c r="G141" s="9" t="s">
        <v>31</v>
      </c>
      <c r="H141" s="11" t="s">
        <v>21</v>
      </c>
      <c r="I141" s="12" t="n">
        <v>45</v>
      </c>
      <c r="J141" s="13" t="n">
        <v>950</v>
      </c>
      <c r="K141" s="14" t="n">
        <f aca="false">I141*J141</f>
        <v>42750</v>
      </c>
      <c r="L141" s="14" t="n">
        <f aca="false">($L$2*M141)/100</f>
        <v>420583.275</v>
      </c>
      <c r="M141" s="15" t="n">
        <v>0.35</v>
      </c>
      <c r="N141" s="9" t="s">
        <v>26</v>
      </c>
    </row>
    <row r="142" customFormat="false" ht="14.25" hidden="false" customHeight="true" outlineLevel="0" collapsed="false">
      <c r="B142" s="9" t="s">
        <v>27</v>
      </c>
      <c r="C142" s="9" t="n">
        <v>1197831</v>
      </c>
      <c r="D142" s="10" t="n">
        <v>44132</v>
      </c>
      <c r="E142" s="9" t="s">
        <v>29</v>
      </c>
      <c r="F142" s="9" t="s">
        <v>30</v>
      </c>
      <c r="G142" s="9" t="s">
        <v>31</v>
      </c>
      <c r="H142" s="11" t="s">
        <v>22</v>
      </c>
      <c r="I142" s="12" t="n">
        <v>50</v>
      </c>
      <c r="J142" s="13" t="n">
        <v>850</v>
      </c>
      <c r="K142" s="14" t="n">
        <f aca="false">I142*J142</f>
        <v>42500</v>
      </c>
      <c r="L142" s="14" t="n">
        <f aca="false">($L$2*M142)/100</f>
        <v>420583.275</v>
      </c>
      <c r="M142" s="15" t="n">
        <v>0.35</v>
      </c>
      <c r="N142" s="9" t="s">
        <v>26</v>
      </c>
    </row>
    <row r="143" customFormat="false" ht="14.25" hidden="false" customHeight="true" outlineLevel="0" collapsed="false">
      <c r="B143" s="9" t="s">
        <v>27</v>
      </c>
      <c r="C143" s="9" t="n">
        <v>1197831</v>
      </c>
      <c r="D143" s="10" t="n">
        <v>44133</v>
      </c>
      <c r="E143" s="9" t="s">
        <v>29</v>
      </c>
      <c r="F143" s="9" t="s">
        <v>30</v>
      </c>
      <c r="G143" s="9" t="s">
        <v>31</v>
      </c>
      <c r="H143" s="11" t="s">
        <v>23</v>
      </c>
      <c r="I143" s="12" t="n">
        <v>50</v>
      </c>
      <c r="J143" s="13" t="n">
        <v>700</v>
      </c>
      <c r="K143" s="14" t="n">
        <f aca="false">I143*J143</f>
        <v>35000</v>
      </c>
      <c r="L143" s="14" t="n">
        <f aca="false">($L$2*M143)/100</f>
        <v>540749.925</v>
      </c>
      <c r="M143" s="15" t="n">
        <v>0.45</v>
      </c>
      <c r="N143" s="9" t="s">
        <v>26</v>
      </c>
    </row>
    <row r="144" customFormat="false" ht="14.25" hidden="false" customHeight="true" outlineLevel="0" collapsed="false">
      <c r="B144" s="9" t="s">
        <v>27</v>
      </c>
      <c r="C144" s="9" t="n">
        <v>1197831</v>
      </c>
      <c r="D144" s="10" t="n">
        <v>44134</v>
      </c>
      <c r="E144" s="9" t="s">
        <v>29</v>
      </c>
      <c r="F144" s="9" t="s">
        <v>30</v>
      </c>
      <c r="G144" s="9" t="s">
        <v>31</v>
      </c>
      <c r="H144" s="11" t="s">
        <v>24</v>
      </c>
      <c r="I144" s="12" t="n">
        <v>45</v>
      </c>
      <c r="J144" s="13" t="n">
        <v>650</v>
      </c>
      <c r="K144" s="14" t="n">
        <f aca="false">I144*J144</f>
        <v>29250</v>
      </c>
      <c r="L144" s="14" t="n">
        <f aca="false">($L$2*M144)/100</f>
        <v>360499.95</v>
      </c>
      <c r="M144" s="15" t="n">
        <v>0.3</v>
      </c>
      <c r="N144" s="9" t="s">
        <v>26</v>
      </c>
    </row>
    <row r="145" customFormat="false" ht="14.25" hidden="false" customHeight="true" outlineLevel="0" collapsed="false">
      <c r="B145" s="9" t="s">
        <v>27</v>
      </c>
      <c r="C145" s="9" t="n">
        <v>1197831</v>
      </c>
      <c r="D145" s="10" t="n">
        <v>44135</v>
      </c>
      <c r="E145" s="9" t="s">
        <v>29</v>
      </c>
      <c r="F145" s="9" t="s">
        <v>30</v>
      </c>
      <c r="G145" s="9" t="s">
        <v>31</v>
      </c>
      <c r="H145" s="11" t="s">
        <v>25</v>
      </c>
      <c r="I145" s="12" t="n">
        <v>55</v>
      </c>
      <c r="J145" s="13" t="n">
        <v>900</v>
      </c>
      <c r="K145" s="14" t="n">
        <f aca="false">I145*J145</f>
        <v>49500</v>
      </c>
      <c r="L145" s="14" t="n">
        <f aca="false">($L$2*M145)/100</f>
        <v>600833.25</v>
      </c>
      <c r="M145" s="15" t="n">
        <v>0.5</v>
      </c>
      <c r="N145" s="9" t="s">
        <v>26</v>
      </c>
    </row>
    <row r="146" customFormat="false" ht="14.25" hidden="false" customHeight="true" outlineLevel="0" collapsed="false">
      <c r="B146" s="9" t="s">
        <v>32</v>
      </c>
      <c r="C146" s="9" t="n">
        <v>1128299</v>
      </c>
      <c r="D146" s="10" t="n">
        <v>44136</v>
      </c>
      <c r="E146" s="9" t="s">
        <v>29</v>
      </c>
      <c r="F146" s="9" t="s">
        <v>30</v>
      </c>
      <c r="G146" s="9" t="s">
        <v>31</v>
      </c>
      <c r="H146" s="11" t="s">
        <v>19</v>
      </c>
      <c r="I146" s="12" t="n">
        <v>40</v>
      </c>
      <c r="J146" s="13" t="n">
        <v>775</v>
      </c>
      <c r="K146" s="14" t="n">
        <f aca="false">I146*J146</f>
        <v>31000</v>
      </c>
      <c r="L146" s="14" t="n">
        <f aca="false">($L$2*M146)/100</f>
        <v>420583.275</v>
      </c>
      <c r="M146" s="15" t="n">
        <v>0.35</v>
      </c>
      <c r="N146" s="9" t="s">
        <v>26</v>
      </c>
    </row>
    <row r="147" customFormat="false" ht="14.25" hidden="false" customHeight="true" outlineLevel="0" collapsed="false">
      <c r="B147" s="9" t="s">
        <v>32</v>
      </c>
      <c r="C147" s="9" t="n">
        <v>1128299</v>
      </c>
      <c r="D147" s="10" t="n">
        <v>44137</v>
      </c>
      <c r="E147" s="9" t="s">
        <v>29</v>
      </c>
      <c r="F147" s="9" t="s">
        <v>30</v>
      </c>
      <c r="G147" s="9" t="s">
        <v>31</v>
      </c>
      <c r="H147" s="11" t="s">
        <v>21</v>
      </c>
      <c r="I147" s="12" t="n">
        <v>50</v>
      </c>
      <c r="J147" s="13" t="n">
        <v>775</v>
      </c>
      <c r="K147" s="14" t="n">
        <f aca="false">I147*J147</f>
        <v>38750</v>
      </c>
      <c r="L147" s="14" t="n">
        <f aca="false">($L$2*M147)/100</f>
        <v>240333.3</v>
      </c>
      <c r="M147" s="15" t="n">
        <v>0.2</v>
      </c>
      <c r="N147" s="9" t="s">
        <v>26</v>
      </c>
    </row>
    <row r="148" customFormat="false" ht="14.25" hidden="false" customHeight="true" outlineLevel="0" collapsed="false">
      <c r="B148" s="9" t="s">
        <v>32</v>
      </c>
      <c r="C148" s="9" t="n">
        <v>1128299</v>
      </c>
      <c r="D148" s="10" t="n">
        <v>44138</v>
      </c>
      <c r="E148" s="9" t="s">
        <v>29</v>
      </c>
      <c r="F148" s="9" t="s">
        <v>30</v>
      </c>
      <c r="G148" s="9" t="s">
        <v>31</v>
      </c>
      <c r="H148" s="11" t="s">
        <v>22</v>
      </c>
      <c r="I148" s="12" t="n">
        <v>50</v>
      </c>
      <c r="J148" s="13" t="n">
        <v>775</v>
      </c>
      <c r="K148" s="14" t="n">
        <f aca="false">I148*J148</f>
        <v>38750</v>
      </c>
      <c r="L148" s="14" t="n">
        <f aca="false">($L$2*M148)/100</f>
        <v>420583.275</v>
      </c>
      <c r="M148" s="15" t="n">
        <v>0.35</v>
      </c>
      <c r="N148" s="9" t="s">
        <v>26</v>
      </c>
    </row>
    <row r="149" customFormat="false" ht="14.25" hidden="false" customHeight="true" outlineLevel="0" collapsed="false">
      <c r="B149" s="9" t="s">
        <v>32</v>
      </c>
      <c r="C149" s="9" t="n">
        <v>1128299</v>
      </c>
      <c r="D149" s="10" t="n">
        <v>44139</v>
      </c>
      <c r="E149" s="9" t="s">
        <v>29</v>
      </c>
      <c r="F149" s="9" t="s">
        <v>30</v>
      </c>
      <c r="G149" s="9" t="s">
        <v>31</v>
      </c>
      <c r="H149" s="11" t="s">
        <v>23</v>
      </c>
      <c r="I149" s="12" t="n">
        <v>50</v>
      </c>
      <c r="J149" s="13" t="n">
        <v>625</v>
      </c>
      <c r="K149" s="14" t="n">
        <f aca="false">I149*J149</f>
        <v>31250</v>
      </c>
      <c r="L149" s="14" t="n">
        <f aca="false">($L$2*M149)/100</f>
        <v>360499.95</v>
      </c>
      <c r="M149" s="15" t="n">
        <v>0.3</v>
      </c>
      <c r="N149" s="9" t="s">
        <v>26</v>
      </c>
    </row>
    <row r="150" customFormat="false" ht="14.25" hidden="false" customHeight="true" outlineLevel="0" collapsed="false">
      <c r="B150" s="9" t="s">
        <v>32</v>
      </c>
      <c r="C150" s="9" t="n">
        <v>1128299</v>
      </c>
      <c r="D150" s="10" t="n">
        <v>44140</v>
      </c>
      <c r="E150" s="9" t="s">
        <v>33</v>
      </c>
      <c r="F150" s="9" t="s">
        <v>34</v>
      </c>
      <c r="G150" s="9" t="s">
        <v>35</v>
      </c>
      <c r="H150" s="11" t="s">
        <v>24</v>
      </c>
      <c r="I150" s="12" t="n">
        <v>55</v>
      </c>
      <c r="J150" s="13" t="n">
        <v>575</v>
      </c>
      <c r="K150" s="14" t="n">
        <f aca="false">I150*J150</f>
        <v>31625</v>
      </c>
      <c r="L150" s="14" t="n">
        <f aca="false">($L$2*M150)/100</f>
        <v>600833.25</v>
      </c>
      <c r="M150" s="15" t="n">
        <v>0.5</v>
      </c>
      <c r="N150" s="9" t="s">
        <v>26</v>
      </c>
    </row>
    <row r="151" customFormat="false" ht="14.25" hidden="false" customHeight="true" outlineLevel="0" collapsed="false">
      <c r="B151" s="9" t="s">
        <v>32</v>
      </c>
      <c r="C151" s="9" t="n">
        <v>1128299</v>
      </c>
      <c r="D151" s="10" t="n">
        <v>44141</v>
      </c>
      <c r="E151" s="9" t="s">
        <v>33</v>
      </c>
      <c r="F151" s="9" t="s">
        <v>34</v>
      </c>
      <c r="G151" s="9" t="s">
        <v>35</v>
      </c>
      <c r="H151" s="11" t="s">
        <v>25</v>
      </c>
      <c r="I151" s="12" t="n">
        <v>50</v>
      </c>
      <c r="J151" s="13" t="n">
        <v>775</v>
      </c>
      <c r="K151" s="14" t="n">
        <f aca="false">I151*J151</f>
        <v>38750</v>
      </c>
      <c r="L151" s="14" t="n">
        <f aca="false">($L$2*M151)/100</f>
        <v>180249.975</v>
      </c>
      <c r="M151" s="15" t="n">
        <v>0.15</v>
      </c>
      <c r="N151" s="9" t="s">
        <v>26</v>
      </c>
    </row>
    <row r="152" customFormat="false" ht="14.25" hidden="false" customHeight="true" outlineLevel="0" collapsed="false">
      <c r="B152" s="9" t="s">
        <v>32</v>
      </c>
      <c r="C152" s="9" t="n">
        <v>1128299</v>
      </c>
      <c r="D152" s="10" t="n">
        <v>44142</v>
      </c>
      <c r="E152" s="9" t="s">
        <v>33</v>
      </c>
      <c r="F152" s="9" t="s">
        <v>34</v>
      </c>
      <c r="G152" s="9" t="s">
        <v>35</v>
      </c>
      <c r="H152" s="11" t="s">
        <v>19</v>
      </c>
      <c r="I152" s="12" t="n">
        <v>40</v>
      </c>
      <c r="J152" s="13" t="n">
        <v>825</v>
      </c>
      <c r="K152" s="14" t="n">
        <f aca="false">I152*J152</f>
        <v>33000</v>
      </c>
      <c r="L152" s="14" t="n">
        <f aca="false">($L$2*M152)/100</f>
        <v>420583.275</v>
      </c>
      <c r="M152" s="15" t="n">
        <v>0.35</v>
      </c>
      <c r="N152" s="9" t="s">
        <v>26</v>
      </c>
    </row>
    <row r="153" customFormat="false" ht="14.25" hidden="false" customHeight="true" outlineLevel="0" collapsed="false">
      <c r="B153" s="9" t="s">
        <v>32</v>
      </c>
      <c r="C153" s="9" t="n">
        <v>1128299</v>
      </c>
      <c r="D153" s="10" t="n">
        <v>44143</v>
      </c>
      <c r="E153" s="9" t="s">
        <v>33</v>
      </c>
      <c r="F153" s="9" t="s">
        <v>34</v>
      </c>
      <c r="G153" s="9" t="s">
        <v>35</v>
      </c>
      <c r="H153" s="11" t="s">
        <v>21</v>
      </c>
      <c r="I153" s="12" t="n">
        <v>50</v>
      </c>
      <c r="J153" s="13" t="n">
        <v>725</v>
      </c>
      <c r="K153" s="14" t="n">
        <f aca="false">I153*J153</f>
        <v>36250</v>
      </c>
      <c r="L153" s="14" t="n">
        <f aca="false">($L$2*M153)/100</f>
        <v>240333.3</v>
      </c>
      <c r="M153" s="15" t="n">
        <v>0.2</v>
      </c>
      <c r="N153" s="9" t="s">
        <v>26</v>
      </c>
    </row>
    <row r="154" customFormat="false" ht="14.25" hidden="false" customHeight="true" outlineLevel="0" collapsed="false">
      <c r="B154" s="9" t="s">
        <v>32</v>
      </c>
      <c r="C154" s="9" t="n">
        <v>1128299</v>
      </c>
      <c r="D154" s="10" t="n">
        <v>44144</v>
      </c>
      <c r="E154" s="9" t="s">
        <v>33</v>
      </c>
      <c r="F154" s="9" t="s">
        <v>34</v>
      </c>
      <c r="G154" s="9" t="s">
        <v>35</v>
      </c>
      <c r="H154" s="11" t="s">
        <v>22</v>
      </c>
      <c r="I154" s="12" t="n">
        <v>50</v>
      </c>
      <c r="J154" s="13" t="n">
        <v>725</v>
      </c>
      <c r="K154" s="14" t="n">
        <f aca="false">I154*J154</f>
        <v>36250</v>
      </c>
      <c r="L154" s="14" t="n">
        <f aca="false">($L$2*M154)/100</f>
        <v>420583.275</v>
      </c>
      <c r="M154" s="15" t="n">
        <v>0.35</v>
      </c>
      <c r="N154" s="9" t="s">
        <v>26</v>
      </c>
    </row>
    <row r="155" customFormat="false" ht="14.25" hidden="false" customHeight="true" outlineLevel="0" collapsed="false">
      <c r="B155" s="9" t="s">
        <v>32</v>
      </c>
      <c r="C155" s="9" t="n">
        <v>1128299</v>
      </c>
      <c r="D155" s="10" t="n">
        <v>44145</v>
      </c>
      <c r="E155" s="9" t="s">
        <v>33</v>
      </c>
      <c r="F155" s="9" t="s">
        <v>34</v>
      </c>
      <c r="G155" s="9" t="s">
        <v>35</v>
      </c>
      <c r="H155" s="11" t="s">
        <v>23</v>
      </c>
      <c r="I155" s="12" t="n">
        <v>50</v>
      </c>
      <c r="J155" s="13" t="n">
        <v>575</v>
      </c>
      <c r="K155" s="14" t="n">
        <f aca="false">I155*J155</f>
        <v>28750</v>
      </c>
      <c r="L155" s="14" t="n">
        <f aca="false">($L$2*M155)/100</f>
        <v>360499.95</v>
      </c>
      <c r="M155" s="15" t="n">
        <v>0.3</v>
      </c>
      <c r="N155" s="9" t="s">
        <v>26</v>
      </c>
    </row>
    <row r="156" customFormat="false" ht="14.25" hidden="false" customHeight="true" outlineLevel="0" collapsed="false">
      <c r="B156" s="9" t="s">
        <v>32</v>
      </c>
      <c r="C156" s="9" t="n">
        <v>1128299</v>
      </c>
      <c r="D156" s="10" t="n">
        <v>44146</v>
      </c>
      <c r="E156" s="9" t="s">
        <v>33</v>
      </c>
      <c r="F156" s="9" t="s">
        <v>34</v>
      </c>
      <c r="G156" s="9" t="s">
        <v>35</v>
      </c>
      <c r="H156" s="11" t="s">
        <v>24</v>
      </c>
      <c r="I156" s="12" t="n">
        <v>55</v>
      </c>
      <c r="J156" s="13" t="n">
        <v>500</v>
      </c>
      <c r="K156" s="14" t="n">
        <f aca="false">I156*J156</f>
        <v>27500</v>
      </c>
      <c r="L156" s="14" t="n">
        <f aca="false">($L$2*M156)/100</f>
        <v>600833.25</v>
      </c>
      <c r="M156" s="15" t="n">
        <v>0.5</v>
      </c>
      <c r="N156" s="9" t="s">
        <v>26</v>
      </c>
    </row>
    <row r="157" customFormat="false" ht="14.25" hidden="false" customHeight="true" outlineLevel="0" collapsed="false">
      <c r="B157" s="9" t="s">
        <v>32</v>
      </c>
      <c r="C157" s="9" t="n">
        <v>1128299</v>
      </c>
      <c r="D157" s="10" t="n">
        <v>44147</v>
      </c>
      <c r="E157" s="9" t="s">
        <v>33</v>
      </c>
      <c r="F157" s="9" t="s">
        <v>34</v>
      </c>
      <c r="G157" s="9" t="s">
        <v>35</v>
      </c>
      <c r="H157" s="11" t="s">
        <v>25</v>
      </c>
      <c r="I157" s="12" t="n">
        <v>50</v>
      </c>
      <c r="J157" s="13" t="n">
        <v>700</v>
      </c>
      <c r="K157" s="14" t="n">
        <f aca="false">I157*J157</f>
        <v>35000</v>
      </c>
      <c r="L157" s="14" t="n">
        <f aca="false">($L$2*M157)/100</f>
        <v>180249.975</v>
      </c>
      <c r="M157" s="15" t="n">
        <v>0.15</v>
      </c>
      <c r="N157" s="9" t="s">
        <v>26</v>
      </c>
    </row>
    <row r="158" customFormat="false" ht="14.25" hidden="false" customHeight="true" outlineLevel="0" collapsed="false">
      <c r="B158" s="9" t="s">
        <v>32</v>
      </c>
      <c r="C158" s="9" t="n">
        <v>1128299</v>
      </c>
      <c r="D158" s="10" t="n">
        <v>44148</v>
      </c>
      <c r="E158" s="9" t="s">
        <v>33</v>
      </c>
      <c r="F158" s="9" t="s">
        <v>34</v>
      </c>
      <c r="G158" s="9" t="s">
        <v>35</v>
      </c>
      <c r="H158" s="11" t="s">
        <v>19</v>
      </c>
      <c r="I158" s="12" t="n">
        <v>50</v>
      </c>
      <c r="J158" s="13" t="n">
        <v>850</v>
      </c>
      <c r="K158" s="14" t="n">
        <f aca="false">I158*J158</f>
        <v>42500</v>
      </c>
      <c r="L158" s="14" t="n">
        <f aca="false">($L$2*M158)/100</f>
        <v>420583.275</v>
      </c>
      <c r="M158" s="15" t="n">
        <v>0.35</v>
      </c>
      <c r="N158" s="9" t="s">
        <v>26</v>
      </c>
    </row>
    <row r="159" customFormat="false" ht="14.25" hidden="false" customHeight="true" outlineLevel="0" collapsed="false">
      <c r="B159" s="9" t="s">
        <v>32</v>
      </c>
      <c r="C159" s="9" t="n">
        <v>1128299</v>
      </c>
      <c r="D159" s="10" t="n">
        <v>44149</v>
      </c>
      <c r="E159" s="9" t="s">
        <v>33</v>
      </c>
      <c r="F159" s="9" t="s">
        <v>34</v>
      </c>
      <c r="G159" s="9" t="s">
        <v>35</v>
      </c>
      <c r="H159" s="11" t="s">
        <v>21</v>
      </c>
      <c r="I159" s="12" t="n">
        <v>60</v>
      </c>
      <c r="J159" s="13" t="n">
        <v>700</v>
      </c>
      <c r="K159" s="14" t="n">
        <f aca="false">I159*J159</f>
        <v>42000</v>
      </c>
      <c r="L159" s="14" t="n">
        <f aca="false">($L$2*M159)/100</f>
        <v>240333.3</v>
      </c>
      <c r="M159" s="15" t="n">
        <v>0.2</v>
      </c>
      <c r="N159" s="9" t="s">
        <v>26</v>
      </c>
    </row>
    <row r="160" customFormat="false" ht="14.25" hidden="false" customHeight="true" outlineLevel="0" collapsed="false">
      <c r="B160" s="9" t="s">
        <v>32</v>
      </c>
      <c r="C160" s="9" t="n">
        <v>1128299</v>
      </c>
      <c r="D160" s="10" t="n">
        <v>44150</v>
      </c>
      <c r="E160" s="9" t="s">
        <v>33</v>
      </c>
      <c r="F160" s="9" t="s">
        <v>34</v>
      </c>
      <c r="G160" s="9" t="s">
        <v>35</v>
      </c>
      <c r="H160" s="11" t="s">
        <v>22</v>
      </c>
      <c r="I160" s="12" t="n">
        <v>60</v>
      </c>
      <c r="J160" s="13" t="n">
        <v>700</v>
      </c>
      <c r="K160" s="14" t="n">
        <f aca="false">I160*J160</f>
        <v>42000</v>
      </c>
      <c r="L160" s="14" t="n">
        <f aca="false">($L$2*M160)/100</f>
        <v>420583.275</v>
      </c>
      <c r="M160" s="15" t="n">
        <v>0.35</v>
      </c>
      <c r="N160" s="9" t="s">
        <v>26</v>
      </c>
    </row>
    <row r="161" customFormat="false" ht="14.25" hidden="false" customHeight="true" outlineLevel="0" collapsed="false">
      <c r="B161" s="9" t="s">
        <v>32</v>
      </c>
      <c r="C161" s="9" t="n">
        <v>1128299</v>
      </c>
      <c r="D161" s="10" t="n">
        <v>44187</v>
      </c>
      <c r="E161" s="9" t="s">
        <v>33</v>
      </c>
      <c r="F161" s="9" t="s">
        <v>34</v>
      </c>
      <c r="G161" s="9" t="s">
        <v>35</v>
      </c>
      <c r="H161" s="11" t="s">
        <v>23</v>
      </c>
      <c r="I161" s="12" t="n">
        <v>60</v>
      </c>
      <c r="J161" s="13" t="n">
        <v>600</v>
      </c>
      <c r="K161" s="14" t="n">
        <f aca="false">I161*J161</f>
        <v>36000</v>
      </c>
      <c r="L161" s="14" t="n">
        <f aca="false">($L$2*M161)/100</f>
        <v>360499.95</v>
      </c>
      <c r="M161" s="15" t="n">
        <v>0.3</v>
      </c>
      <c r="N161" s="9" t="s">
        <v>26</v>
      </c>
    </row>
    <row r="162" customFormat="false" ht="14.25" hidden="false" customHeight="true" outlineLevel="0" collapsed="false">
      <c r="B162" s="9" t="s">
        <v>32</v>
      </c>
      <c r="C162" s="9" t="n">
        <v>1128299</v>
      </c>
      <c r="D162" s="10" t="n">
        <v>44188</v>
      </c>
      <c r="E162" s="9" t="s">
        <v>33</v>
      </c>
      <c r="F162" s="9" t="s">
        <v>34</v>
      </c>
      <c r="G162" s="9" t="s">
        <v>35</v>
      </c>
      <c r="H162" s="11" t="s">
        <v>24</v>
      </c>
      <c r="I162" s="12" t="n">
        <v>65</v>
      </c>
      <c r="J162" s="13" t="n">
        <v>500</v>
      </c>
      <c r="K162" s="14" t="n">
        <f aca="false">I162*J162</f>
        <v>32500</v>
      </c>
      <c r="L162" s="14" t="n">
        <f aca="false">($L$2*M162)/100</f>
        <v>600833.25</v>
      </c>
      <c r="M162" s="15" t="n">
        <v>0.5</v>
      </c>
      <c r="N162" s="9" t="s">
        <v>26</v>
      </c>
    </row>
    <row r="163" customFormat="false" ht="14.25" hidden="false" customHeight="true" outlineLevel="0" collapsed="false">
      <c r="B163" s="9" t="s">
        <v>32</v>
      </c>
      <c r="C163" s="9" t="n">
        <v>1128299</v>
      </c>
      <c r="D163" s="10" t="n">
        <v>44189</v>
      </c>
      <c r="E163" s="9" t="s">
        <v>33</v>
      </c>
      <c r="F163" s="9" t="s">
        <v>34</v>
      </c>
      <c r="G163" s="9" t="s">
        <v>35</v>
      </c>
      <c r="H163" s="11" t="s">
        <v>25</v>
      </c>
      <c r="I163" s="12" t="n">
        <v>60</v>
      </c>
      <c r="J163" s="13" t="n">
        <v>700</v>
      </c>
      <c r="K163" s="14" t="n">
        <f aca="false">I163*J163</f>
        <v>42000</v>
      </c>
      <c r="L163" s="14" t="n">
        <f aca="false">($L$2*M163)/100</f>
        <v>180249.975</v>
      </c>
      <c r="M163" s="15" t="n">
        <v>0.15</v>
      </c>
      <c r="N163" s="9" t="s">
        <v>26</v>
      </c>
    </row>
    <row r="164" customFormat="false" ht="14.25" hidden="false" customHeight="true" outlineLevel="0" collapsed="false">
      <c r="B164" s="9" t="s">
        <v>32</v>
      </c>
      <c r="C164" s="9" t="n">
        <v>1128299</v>
      </c>
      <c r="D164" s="10" t="n">
        <v>44190</v>
      </c>
      <c r="E164" s="9" t="s">
        <v>33</v>
      </c>
      <c r="F164" s="9" t="s">
        <v>34</v>
      </c>
      <c r="G164" s="9" t="s">
        <v>35</v>
      </c>
      <c r="H164" s="11" t="s">
        <v>19</v>
      </c>
      <c r="I164" s="12" t="n">
        <v>60</v>
      </c>
      <c r="J164" s="13" t="n">
        <v>875</v>
      </c>
      <c r="K164" s="14" t="n">
        <f aca="false">I164*J164</f>
        <v>52500</v>
      </c>
      <c r="L164" s="14" t="n">
        <f aca="false">($L$2*M164)/100</f>
        <v>420583.275</v>
      </c>
      <c r="M164" s="15" t="n">
        <v>0.35</v>
      </c>
      <c r="N164" s="9" t="s">
        <v>26</v>
      </c>
    </row>
    <row r="165" customFormat="false" ht="14.25" hidden="false" customHeight="true" outlineLevel="0" collapsed="false">
      <c r="B165" s="9" t="s">
        <v>32</v>
      </c>
      <c r="C165" s="9" t="n">
        <v>1128299</v>
      </c>
      <c r="D165" s="10" t="n">
        <v>44191</v>
      </c>
      <c r="E165" s="9" t="s">
        <v>33</v>
      </c>
      <c r="F165" s="9" t="s">
        <v>34</v>
      </c>
      <c r="G165" s="9" t="s">
        <v>35</v>
      </c>
      <c r="H165" s="11" t="s">
        <v>21</v>
      </c>
      <c r="I165" s="12" t="n">
        <v>65</v>
      </c>
      <c r="J165" s="13" t="n">
        <v>675</v>
      </c>
      <c r="K165" s="14" t="n">
        <f aca="false">I165*J165</f>
        <v>43875</v>
      </c>
      <c r="L165" s="14" t="n">
        <f aca="false">($L$2*M165)/100</f>
        <v>240333.3</v>
      </c>
      <c r="M165" s="15" t="n">
        <v>0.2</v>
      </c>
      <c r="N165" s="9" t="s">
        <v>26</v>
      </c>
    </row>
    <row r="166" customFormat="false" ht="14.25" hidden="false" customHeight="true" outlineLevel="0" collapsed="false">
      <c r="B166" s="9" t="s">
        <v>32</v>
      </c>
      <c r="C166" s="9" t="n">
        <v>1128299</v>
      </c>
      <c r="D166" s="10" t="n">
        <v>44192</v>
      </c>
      <c r="E166" s="9" t="s">
        <v>33</v>
      </c>
      <c r="F166" s="9" t="s">
        <v>34</v>
      </c>
      <c r="G166" s="9" t="s">
        <v>35</v>
      </c>
      <c r="H166" s="11" t="s">
        <v>22</v>
      </c>
      <c r="I166" s="12" t="n">
        <v>65</v>
      </c>
      <c r="J166" s="13" t="n">
        <v>725</v>
      </c>
      <c r="K166" s="14" t="n">
        <f aca="false">I166*J166</f>
        <v>47125</v>
      </c>
      <c r="L166" s="14" t="n">
        <f aca="false">($L$2*M166)/100</f>
        <v>420583.275</v>
      </c>
      <c r="M166" s="15" t="n">
        <v>0.35</v>
      </c>
      <c r="N166" s="9" t="s">
        <v>26</v>
      </c>
    </row>
    <row r="167" customFormat="false" ht="14.25" hidden="false" customHeight="true" outlineLevel="0" collapsed="false">
      <c r="B167" s="9" t="s">
        <v>32</v>
      </c>
      <c r="C167" s="9" t="n">
        <v>1128299</v>
      </c>
      <c r="D167" s="10" t="n">
        <v>44193</v>
      </c>
      <c r="E167" s="9" t="s">
        <v>33</v>
      </c>
      <c r="F167" s="9" t="s">
        <v>34</v>
      </c>
      <c r="G167" s="9" t="s">
        <v>35</v>
      </c>
      <c r="H167" s="11" t="s">
        <v>23</v>
      </c>
      <c r="I167" s="12" t="n">
        <v>60</v>
      </c>
      <c r="J167" s="13" t="n">
        <v>625</v>
      </c>
      <c r="K167" s="14" t="n">
        <f aca="false">I167*J167</f>
        <v>37500</v>
      </c>
      <c r="L167" s="14" t="n">
        <f aca="false">($L$2*M167)/100</f>
        <v>360499.95</v>
      </c>
      <c r="M167" s="15" t="n">
        <v>0.3</v>
      </c>
      <c r="N167" s="9" t="s">
        <v>26</v>
      </c>
    </row>
    <row r="168" customFormat="false" ht="14.25" hidden="false" customHeight="true" outlineLevel="0" collapsed="false">
      <c r="B168" s="9" t="s">
        <v>32</v>
      </c>
      <c r="C168" s="9" t="n">
        <v>1128299</v>
      </c>
      <c r="D168" s="10" t="n">
        <v>44194</v>
      </c>
      <c r="E168" s="9" t="s">
        <v>33</v>
      </c>
      <c r="F168" s="9" t="s">
        <v>34</v>
      </c>
      <c r="G168" s="9" t="s">
        <v>35</v>
      </c>
      <c r="H168" s="11" t="s">
        <v>24</v>
      </c>
      <c r="I168" s="12" t="n">
        <v>65</v>
      </c>
      <c r="J168" s="13" t="n">
        <v>525</v>
      </c>
      <c r="K168" s="14" t="n">
        <f aca="false">I168*J168</f>
        <v>34125</v>
      </c>
      <c r="L168" s="14" t="n">
        <f aca="false">($L$2*M168)/100</f>
        <v>600833.25</v>
      </c>
      <c r="M168" s="15" t="n">
        <v>0.5</v>
      </c>
      <c r="N168" s="9" t="s">
        <v>26</v>
      </c>
    </row>
    <row r="169" customFormat="false" ht="14.25" hidden="false" customHeight="true" outlineLevel="0" collapsed="false">
      <c r="B169" s="9" t="s">
        <v>32</v>
      </c>
      <c r="C169" s="9" t="n">
        <v>1128299</v>
      </c>
      <c r="D169" s="10" t="n">
        <v>44195</v>
      </c>
      <c r="E169" s="9" t="s">
        <v>33</v>
      </c>
      <c r="F169" s="9" t="s">
        <v>34</v>
      </c>
      <c r="G169" s="9" t="s">
        <v>35</v>
      </c>
      <c r="H169" s="11" t="s">
        <v>25</v>
      </c>
      <c r="I169" s="12" t="n">
        <v>80</v>
      </c>
      <c r="J169" s="13" t="n">
        <v>700</v>
      </c>
      <c r="K169" s="14" t="n">
        <f aca="false">I169*J169</f>
        <v>56000</v>
      </c>
      <c r="L169" s="14" t="n">
        <f aca="false">($L$2*M169)/100</f>
        <v>180249.975</v>
      </c>
      <c r="M169" s="15" t="n">
        <v>0.15</v>
      </c>
      <c r="N169" s="9" t="s">
        <v>26</v>
      </c>
    </row>
    <row r="170" customFormat="false" ht="14.25" hidden="false" customHeight="true" outlineLevel="0" collapsed="false">
      <c r="B170" s="9" t="s">
        <v>32</v>
      </c>
      <c r="C170" s="9" t="n">
        <v>1128299</v>
      </c>
      <c r="D170" s="10" t="n">
        <v>44196</v>
      </c>
      <c r="E170" s="9" t="s">
        <v>33</v>
      </c>
      <c r="F170" s="9" t="s">
        <v>34</v>
      </c>
      <c r="G170" s="9" t="s">
        <v>35</v>
      </c>
      <c r="H170" s="11" t="s">
        <v>19</v>
      </c>
      <c r="I170" s="12" t="n">
        <v>60</v>
      </c>
      <c r="J170" s="13" t="n">
        <v>900</v>
      </c>
      <c r="K170" s="14" t="n">
        <f aca="false">I170*J170</f>
        <v>54000</v>
      </c>
      <c r="L170" s="14" t="n">
        <f aca="false">($L$2*M170)/100</f>
        <v>480666.6</v>
      </c>
      <c r="M170" s="15" t="n">
        <v>0.4</v>
      </c>
      <c r="N170" s="9" t="s">
        <v>26</v>
      </c>
    </row>
    <row r="171" customFormat="false" ht="14.25" hidden="false" customHeight="true" outlineLevel="0" collapsed="false">
      <c r="B171" s="9" t="s">
        <v>32</v>
      </c>
      <c r="C171" s="9" t="n">
        <v>1128299</v>
      </c>
      <c r="D171" s="10" t="n">
        <v>44197</v>
      </c>
      <c r="E171" s="9" t="s">
        <v>33</v>
      </c>
      <c r="F171" s="9" t="s">
        <v>34</v>
      </c>
      <c r="G171" s="9" t="s">
        <v>35</v>
      </c>
      <c r="H171" s="11" t="s">
        <v>21</v>
      </c>
      <c r="I171" s="12" t="n">
        <v>65</v>
      </c>
      <c r="J171" s="13" t="n">
        <v>750</v>
      </c>
      <c r="K171" s="14" t="n">
        <f aca="false">I171*J171</f>
        <v>48750</v>
      </c>
      <c r="L171" s="14" t="n">
        <f aca="false">($L$2*M171)/100</f>
        <v>300416.625</v>
      </c>
      <c r="M171" s="15" t="n">
        <v>0.25</v>
      </c>
      <c r="N171" s="9" t="s">
        <v>26</v>
      </c>
    </row>
    <row r="172" customFormat="false" ht="14.25" hidden="false" customHeight="true" outlineLevel="0" collapsed="false">
      <c r="B172" s="9" t="s">
        <v>32</v>
      </c>
      <c r="C172" s="9" t="n">
        <v>1128299</v>
      </c>
      <c r="D172" s="10" t="n">
        <v>44198</v>
      </c>
      <c r="E172" s="9" t="s">
        <v>33</v>
      </c>
      <c r="F172" s="9" t="s">
        <v>34</v>
      </c>
      <c r="G172" s="9" t="s">
        <v>35</v>
      </c>
      <c r="H172" s="11" t="s">
        <v>22</v>
      </c>
      <c r="I172" s="12" t="n">
        <v>65</v>
      </c>
      <c r="J172" s="13" t="n">
        <v>750</v>
      </c>
      <c r="K172" s="14" t="n">
        <f aca="false">I172*J172</f>
        <v>48750</v>
      </c>
      <c r="L172" s="14" t="n">
        <f aca="false">($L$2*M172)/100</f>
        <v>480666.6</v>
      </c>
      <c r="M172" s="15" t="n">
        <v>0.4</v>
      </c>
      <c r="N172" s="9" t="s">
        <v>26</v>
      </c>
    </row>
    <row r="173" customFormat="false" ht="14.25" hidden="false" customHeight="true" outlineLevel="0" collapsed="false">
      <c r="B173" s="9" t="s">
        <v>32</v>
      </c>
      <c r="C173" s="9" t="n">
        <v>1128299</v>
      </c>
      <c r="D173" s="10" t="n">
        <v>44199</v>
      </c>
      <c r="E173" s="9" t="s">
        <v>33</v>
      </c>
      <c r="F173" s="9" t="s">
        <v>34</v>
      </c>
      <c r="G173" s="9" t="s">
        <v>35</v>
      </c>
      <c r="H173" s="11" t="s">
        <v>23</v>
      </c>
      <c r="I173" s="12" t="n">
        <v>60</v>
      </c>
      <c r="J173" s="13" t="n">
        <v>650</v>
      </c>
      <c r="K173" s="14" t="n">
        <f aca="false">I173*J173</f>
        <v>39000</v>
      </c>
      <c r="L173" s="14" t="n">
        <f aca="false">($L$2*M173)/100</f>
        <v>420583.275</v>
      </c>
      <c r="M173" s="15" t="n">
        <v>0.35</v>
      </c>
      <c r="N173" s="9" t="s">
        <v>26</v>
      </c>
    </row>
    <row r="174" customFormat="false" ht="14.25" hidden="false" customHeight="true" outlineLevel="0" collapsed="false">
      <c r="B174" s="9" t="s">
        <v>32</v>
      </c>
      <c r="C174" s="9" t="n">
        <v>1128299</v>
      </c>
      <c r="D174" s="10" t="n">
        <v>44200</v>
      </c>
      <c r="E174" s="9" t="s">
        <v>33</v>
      </c>
      <c r="F174" s="9" t="s">
        <v>34</v>
      </c>
      <c r="G174" s="9" t="s">
        <v>35</v>
      </c>
      <c r="H174" s="11" t="s">
        <v>24</v>
      </c>
      <c r="I174" s="12" t="n">
        <v>65</v>
      </c>
      <c r="J174" s="13" t="n">
        <v>550</v>
      </c>
      <c r="K174" s="14" t="n">
        <f aca="false">I174*J174</f>
        <v>35750</v>
      </c>
      <c r="L174" s="14" t="n">
        <f aca="false">($L$2*M174)/100</f>
        <v>660916.575</v>
      </c>
      <c r="M174" s="15" t="n">
        <v>0.55</v>
      </c>
      <c r="N174" s="9" t="s">
        <v>26</v>
      </c>
    </row>
    <row r="175" customFormat="false" ht="14.25" hidden="false" customHeight="true" outlineLevel="0" collapsed="false">
      <c r="B175" s="9" t="s">
        <v>32</v>
      </c>
      <c r="C175" s="9" t="n">
        <v>1128299</v>
      </c>
      <c r="D175" s="10" t="n">
        <v>44201</v>
      </c>
      <c r="E175" s="9" t="s">
        <v>33</v>
      </c>
      <c r="F175" s="9" t="s">
        <v>34</v>
      </c>
      <c r="G175" s="9" t="s">
        <v>35</v>
      </c>
      <c r="H175" s="11" t="s">
        <v>25</v>
      </c>
      <c r="I175" s="12" t="n">
        <v>80</v>
      </c>
      <c r="J175" s="13" t="n">
        <v>725</v>
      </c>
      <c r="K175" s="14" t="n">
        <f aca="false">I175*J175</f>
        <v>58000</v>
      </c>
      <c r="L175" s="14" t="n">
        <f aca="false">($L$2*M175)/100</f>
        <v>240333.3</v>
      </c>
      <c r="M175" s="15" t="n">
        <v>0.2</v>
      </c>
      <c r="N175" s="9" t="s">
        <v>26</v>
      </c>
    </row>
    <row r="176" customFormat="false" ht="14.25" hidden="false" customHeight="true" outlineLevel="0" collapsed="false">
      <c r="B176" s="9" t="s">
        <v>32</v>
      </c>
      <c r="C176" s="9" t="n">
        <v>1128299</v>
      </c>
      <c r="D176" s="10" t="n">
        <v>44202</v>
      </c>
      <c r="E176" s="9" t="s">
        <v>33</v>
      </c>
      <c r="F176" s="9" t="s">
        <v>34</v>
      </c>
      <c r="G176" s="9" t="s">
        <v>35</v>
      </c>
      <c r="H176" s="11" t="s">
        <v>19</v>
      </c>
      <c r="I176" s="12" t="n">
        <v>60</v>
      </c>
      <c r="J176" s="13" t="n">
        <v>975</v>
      </c>
      <c r="K176" s="14" t="n">
        <f aca="false">I176*J176</f>
        <v>58500</v>
      </c>
      <c r="L176" s="14" t="n">
        <f aca="false">($L$2*M176)/100</f>
        <v>480666.6</v>
      </c>
      <c r="M176" s="15" t="n">
        <v>0.4</v>
      </c>
      <c r="N176" s="9" t="s">
        <v>26</v>
      </c>
    </row>
    <row r="177" customFormat="false" ht="14.25" hidden="false" customHeight="true" outlineLevel="0" collapsed="false">
      <c r="B177" s="9" t="s">
        <v>32</v>
      </c>
      <c r="C177" s="9" t="n">
        <v>1128299</v>
      </c>
      <c r="D177" s="10" t="n">
        <v>44203</v>
      </c>
      <c r="E177" s="9" t="s">
        <v>33</v>
      </c>
      <c r="F177" s="9" t="s">
        <v>34</v>
      </c>
      <c r="G177" s="9" t="s">
        <v>35</v>
      </c>
      <c r="H177" s="11" t="s">
        <v>21</v>
      </c>
      <c r="I177" s="12" t="n">
        <v>65</v>
      </c>
      <c r="J177" s="13" t="n">
        <v>825</v>
      </c>
      <c r="K177" s="14" t="n">
        <f aca="false">I177*J177</f>
        <v>53625</v>
      </c>
      <c r="L177" s="14" t="n">
        <f aca="false">($L$2*M177)/100</f>
        <v>300416.625</v>
      </c>
      <c r="M177" s="15" t="n">
        <v>0.25</v>
      </c>
      <c r="N177" s="9" t="s">
        <v>26</v>
      </c>
    </row>
    <row r="178" customFormat="false" ht="14.25" hidden="false" customHeight="true" outlineLevel="0" collapsed="false">
      <c r="B178" s="9" t="s">
        <v>32</v>
      </c>
      <c r="C178" s="9" t="n">
        <v>1128299</v>
      </c>
      <c r="D178" s="10" t="n">
        <v>44204</v>
      </c>
      <c r="E178" s="9" t="s">
        <v>33</v>
      </c>
      <c r="F178" s="9" t="s">
        <v>34</v>
      </c>
      <c r="G178" s="9" t="s">
        <v>35</v>
      </c>
      <c r="H178" s="11" t="s">
        <v>22</v>
      </c>
      <c r="I178" s="12" t="n">
        <v>65</v>
      </c>
      <c r="J178" s="13" t="n">
        <v>825</v>
      </c>
      <c r="K178" s="14" t="n">
        <f aca="false">I178*J178</f>
        <v>53625</v>
      </c>
      <c r="L178" s="14" t="n">
        <f aca="false">($L$2*M178)/100</f>
        <v>480666.6</v>
      </c>
      <c r="M178" s="15" t="n">
        <v>0.4</v>
      </c>
      <c r="N178" s="9" t="s">
        <v>26</v>
      </c>
    </row>
    <row r="179" customFormat="false" ht="14.25" hidden="false" customHeight="true" outlineLevel="0" collapsed="false">
      <c r="B179" s="9" t="s">
        <v>32</v>
      </c>
      <c r="C179" s="9" t="n">
        <v>1128299</v>
      </c>
      <c r="D179" s="10" t="n">
        <v>44205</v>
      </c>
      <c r="E179" s="9" t="s">
        <v>33</v>
      </c>
      <c r="F179" s="9" t="s">
        <v>34</v>
      </c>
      <c r="G179" s="9" t="s">
        <v>35</v>
      </c>
      <c r="H179" s="11" t="s">
        <v>23</v>
      </c>
      <c r="I179" s="12" t="n">
        <v>60</v>
      </c>
      <c r="J179" s="13" t="n">
        <v>700</v>
      </c>
      <c r="K179" s="14" t="n">
        <f aca="false">I179*J179</f>
        <v>42000</v>
      </c>
      <c r="L179" s="14" t="n">
        <f aca="false">($L$2*M179)/100</f>
        <v>420583.275</v>
      </c>
      <c r="M179" s="15" t="n">
        <v>0.35</v>
      </c>
      <c r="N179" s="9" t="s">
        <v>26</v>
      </c>
    </row>
    <row r="180" customFormat="false" ht="14.25" hidden="false" customHeight="true" outlineLevel="0" collapsed="false">
      <c r="B180" s="9" t="s">
        <v>32</v>
      </c>
      <c r="C180" s="9" t="n">
        <v>1128299</v>
      </c>
      <c r="D180" s="10" t="n">
        <v>44206</v>
      </c>
      <c r="E180" s="9" t="s">
        <v>33</v>
      </c>
      <c r="F180" s="9" t="s">
        <v>34</v>
      </c>
      <c r="G180" s="9" t="s">
        <v>35</v>
      </c>
      <c r="H180" s="11" t="s">
        <v>24</v>
      </c>
      <c r="I180" s="12" t="n">
        <v>65</v>
      </c>
      <c r="J180" s="13" t="n">
        <v>575</v>
      </c>
      <c r="K180" s="14" t="n">
        <f aca="false">I180*J180</f>
        <v>37375</v>
      </c>
      <c r="L180" s="14" t="n">
        <f aca="false">($L$2*M180)/100</f>
        <v>660916.575</v>
      </c>
      <c r="M180" s="15" t="n">
        <v>0.55</v>
      </c>
      <c r="N180" s="9" t="s">
        <v>26</v>
      </c>
    </row>
    <row r="181" customFormat="false" ht="14.25" hidden="false" customHeight="true" outlineLevel="0" collapsed="false">
      <c r="B181" s="9" t="s">
        <v>32</v>
      </c>
      <c r="C181" s="9" t="n">
        <v>1128299</v>
      </c>
      <c r="D181" s="10" t="n">
        <v>44207</v>
      </c>
      <c r="E181" s="9" t="s">
        <v>33</v>
      </c>
      <c r="F181" s="9" t="s">
        <v>34</v>
      </c>
      <c r="G181" s="9" t="s">
        <v>35</v>
      </c>
      <c r="H181" s="11" t="s">
        <v>25</v>
      </c>
      <c r="I181" s="12" t="n">
        <v>80</v>
      </c>
      <c r="J181" s="13" t="n">
        <v>875</v>
      </c>
      <c r="K181" s="14" t="n">
        <f aca="false">I181*J181</f>
        <v>70000</v>
      </c>
      <c r="L181" s="14" t="n">
        <f aca="false">($L$2*M181)/100</f>
        <v>240333.3</v>
      </c>
      <c r="M181" s="15" t="n">
        <v>0.2</v>
      </c>
      <c r="N181" s="9" t="s">
        <v>26</v>
      </c>
    </row>
    <row r="182" customFormat="false" ht="14.25" hidden="false" customHeight="true" outlineLevel="0" collapsed="false">
      <c r="B182" s="9" t="s">
        <v>32</v>
      </c>
      <c r="C182" s="9" t="n">
        <v>1128299</v>
      </c>
      <c r="D182" s="10" t="n">
        <v>44208</v>
      </c>
      <c r="E182" s="9" t="s">
        <v>33</v>
      </c>
      <c r="F182" s="9" t="s">
        <v>34</v>
      </c>
      <c r="G182" s="9" t="s">
        <v>35</v>
      </c>
      <c r="H182" s="11" t="s">
        <v>19</v>
      </c>
      <c r="I182" s="12" t="n">
        <v>60</v>
      </c>
      <c r="J182" s="13" t="n">
        <v>1025</v>
      </c>
      <c r="K182" s="14" t="n">
        <f aca="false">I182*J182</f>
        <v>61500</v>
      </c>
      <c r="L182" s="14" t="n">
        <f aca="false">($L$2*M182)/100</f>
        <v>420583.275</v>
      </c>
      <c r="M182" s="15" t="n">
        <v>0.35</v>
      </c>
      <c r="N182" s="9" t="s">
        <v>26</v>
      </c>
    </row>
    <row r="183" customFormat="false" ht="14.25" hidden="false" customHeight="true" outlineLevel="0" collapsed="false">
      <c r="B183" s="9" t="s">
        <v>32</v>
      </c>
      <c r="C183" s="9" t="n">
        <v>1128299</v>
      </c>
      <c r="D183" s="10" t="n">
        <v>44209</v>
      </c>
      <c r="E183" s="9" t="s">
        <v>33</v>
      </c>
      <c r="F183" s="9" t="s">
        <v>34</v>
      </c>
      <c r="G183" s="9" t="s">
        <v>35</v>
      </c>
      <c r="H183" s="11" t="s">
        <v>21</v>
      </c>
      <c r="I183" s="12" t="n">
        <v>65</v>
      </c>
      <c r="J183" s="13" t="n">
        <v>875</v>
      </c>
      <c r="K183" s="14" t="n">
        <f aca="false">I183*J183</f>
        <v>56875</v>
      </c>
      <c r="L183" s="14" t="n">
        <f aca="false">($L$2*M183)/100</f>
        <v>240333.3</v>
      </c>
      <c r="M183" s="15" t="n">
        <v>0.2</v>
      </c>
      <c r="N183" s="9" t="s">
        <v>26</v>
      </c>
    </row>
    <row r="184" customFormat="false" ht="14.25" hidden="false" customHeight="true" outlineLevel="0" collapsed="false">
      <c r="B184" s="9" t="s">
        <v>32</v>
      </c>
      <c r="C184" s="9" t="n">
        <v>1128299</v>
      </c>
      <c r="D184" s="10" t="n">
        <v>44210</v>
      </c>
      <c r="E184" s="9" t="s">
        <v>33</v>
      </c>
      <c r="F184" s="9" t="s">
        <v>34</v>
      </c>
      <c r="G184" s="9" t="s">
        <v>35</v>
      </c>
      <c r="H184" s="11" t="s">
        <v>22</v>
      </c>
      <c r="I184" s="12" t="n">
        <v>65</v>
      </c>
      <c r="J184" s="13" t="n">
        <v>825</v>
      </c>
      <c r="K184" s="14" t="n">
        <f aca="false">I184*J184</f>
        <v>53625</v>
      </c>
      <c r="L184" s="14" t="n">
        <f aca="false">($L$2*M184)/100</f>
        <v>420583.275</v>
      </c>
      <c r="M184" s="15" t="n">
        <v>0.35</v>
      </c>
      <c r="N184" s="9" t="s">
        <v>26</v>
      </c>
    </row>
    <row r="185" customFormat="false" ht="14.25" hidden="false" customHeight="true" outlineLevel="0" collapsed="false">
      <c r="B185" s="9" t="s">
        <v>32</v>
      </c>
      <c r="C185" s="9" t="n">
        <v>1128299</v>
      </c>
      <c r="D185" s="10" t="n">
        <v>44211</v>
      </c>
      <c r="E185" s="9" t="s">
        <v>33</v>
      </c>
      <c r="F185" s="9" t="s">
        <v>34</v>
      </c>
      <c r="G185" s="9" t="s">
        <v>35</v>
      </c>
      <c r="H185" s="11" t="s">
        <v>23</v>
      </c>
      <c r="I185" s="12" t="n">
        <v>60</v>
      </c>
      <c r="J185" s="13" t="n">
        <v>725</v>
      </c>
      <c r="K185" s="14" t="n">
        <f aca="false">I185*J185</f>
        <v>43500</v>
      </c>
      <c r="L185" s="14" t="n">
        <f aca="false">($L$2*M185)/100</f>
        <v>360499.95</v>
      </c>
      <c r="M185" s="15" t="n">
        <v>0.3</v>
      </c>
      <c r="N185" s="9" t="s">
        <v>26</v>
      </c>
    </row>
    <row r="186" customFormat="false" ht="14.25" hidden="false" customHeight="true" outlineLevel="0" collapsed="false">
      <c r="B186" s="9" t="s">
        <v>32</v>
      </c>
      <c r="C186" s="9" t="n">
        <v>1128299</v>
      </c>
      <c r="D186" s="10" t="n">
        <v>44212</v>
      </c>
      <c r="E186" s="9" t="s">
        <v>33</v>
      </c>
      <c r="F186" s="9" t="s">
        <v>34</v>
      </c>
      <c r="G186" s="9" t="s">
        <v>35</v>
      </c>
      <c r="H186" s="11" t="s">
        <v>24</v>
      </c>
      <c r="I186" s="12" t="n">
        <v>65</v>
      </c>
      <c r="J186" s="13" t="n">
        <v>775</v>
      </c>
      <c r="K186" s="14" t="n">
        <f aca="false">I186*J186</f>
        <v>50375</v>
      </c>
      <c r="L186" s="14" t="n">
        <f aca="false">($L$2*M186)/100</f>
        <v>600833.25</v>
      </c>
      <c r="M186" s="15" t="n">
        <v>0.5</v>
      </c>
      <c r="N186" s="9" t="s">
        <v>26</v>
      </c>
    </row>
    <row r="187" customFormat="false" ht="14.25" hidden="false" customHeight="true" outlineLevel="0" collapsed="false">
      <c r="B187" s="9" t="s">
        <v>32</v>
      </c>
      <c r="C187" s="9" t="n">
        <v>1128299</v>
      </c>
      <c r="D187" s="10" t="n">
        <v>44213</v>
      </c>
      <c r="E187" s="9" t="s">
        <v>33</v>
      </c>
      <c r="F187" s="9" t="s">
        <v>34</v>
      </c>
      <c r="G187" s="9" t="s">
        <v>35</v>
      </c>
      <c r="H187" s="11" t="s">
        <v>25</v>
      </c>
      <c r="I187" s="12" t="n">
        <v>80</v>
      </c>
      <c r="J187" s="13" t="n">
        <v>775</v>
      </c>
      <c r="K187" s="14" t="n">
        <f aca="false">I187*J187</f>
        <v>62000</v>
      </c>
      <c r="L187" s="14" t="n">
        <f aca="false">($L$2*M187)/100</f>
        <v>180249.975</v>
      </c>
      <c r="M187" s="15" t="n">
        <v>0.15</v>
      </c>
      <c r="N187" s="9" t="s">
        <v>26</v>
      </c>
    </row>
    <row r="188" customFormat="false" ht="14.25" hidden="false" customHeight="true" outlineLevel="0" collapsed="false">
      <c r="B188" s="9" t="s">
        <v>32</v>
      </c>
      <c r="C188" s="9" t="n">
        <v>1128299</v>
      </c>
      <c r="D188" s="10" t="n">
        <v>44214</v>
      </c>
      <c r="E188" s="9" t="s">
        <v>33</v>
      </c>
      <c r="F188" s="9" t="s">
        <v>34</v>
      </c>
      <c r="G188" s="9" t="s">
        <v>35</v>
      </c>
      <c r="H188" s="11" t="s">
        <v>19</v>
      </c>
      <c r="I188" s="12" t="n">
        <v>65</v>
      </c>
      <c r="J188" s="13" t="n">
        <v>975</v>
      </c>
      <c r="K188" s="14" t="n">
        <f aca="false">I188*J188</f>
        <v>63375</v>
      </c>
      <c r="L188" s="14" t="n">
        <f aca="false">($L$2*M188)/100</f>
        <v>420583.275</v>
      </c>
      <c r="M188" s="15" t="n">
        <v>0.35</v>
      </c>
      <c r="N188" s="9" t="s">
        <v>26</v>
      </c>
    </row>
    <row r="189" customFormat="false" ht="14.25" hidden="false" customHeight="true" outlineLevel="0" collapsed="false">
      <c r="B189" s="9" t="s">
        <v>32</v>
      </c>
      <c r="C189" s="9" t="n">
        <v>1128299</v>
      </c>
      <c r="D189" s="10" t="n">
        <v>44215</v>
      </c>
      <c r="E189" s="9" t="s">
        <v>33</v>
      </c>
      <c r="F189" s="9" t="s">
        <v>34</v>
      </c>
      <c r="G189" s="9" t="s">
        <v>35</v>
      </c>
      <c r="H189" s="11" t="s">
        <v>21</v>
      </c>
      <c r="I189" s="12" t="n">
        <v>70</v>
      </c>
      <c r="J189" s="13" t="n">
        <v>925</v>
      </c>
      <c r="K189" s="14" t="n">
        <f aca="false">I189*J189</f>
        <v>64750</v>
      </c>
      <c r="L189" s="14" t="n">
        <f aca="false">($L$2*M189)/100</f>
        <v>240333.3</v>
      </c>
      <c r="M189" s="15" t="n">
        <v>0.2</v>
      </c>
      <c r="N189" s="9" t="s">
        <v>26</v>
      </c>
    </row>
    <row r="190" customFormat="false" ht="14.25" hidden="false" customHeight="true" outlineLevel="0" collapsed="false">
      <c r="B190" s="9" t="s">
        <v>32</v>
      </c>
      <c r="C190" s="9" t="n">
        <v>1128299</v>
      </c>
      <c r="D190" s="10" t="n">
        <v>44216</v>
      </c>
      <c r="E190" s="9" t="s">
        <v>33</v>
      </c>
      <c r="F190" s="9" t="s">
        <v>34</v>
      </c>
      <c r="G190" s="9" t="s">
        <v>35</v>
      </c>
      <c r="H190" s="11" t="s">
        <v>22</v>
      </c>
      <c r="I190" s="12" t="n">
        <v>65</v>
      </c>
      <c r="J190" s="13" t="n">
        <v>800</v>
      </c>
      <c r="K190" s="14" t="n">
        <f aca="false">I190*J190</f>
        <v>52000</v>
      </c>
      <c r="L190" s="14" t="n">
        <f aca="false">($L$2*M190)/100</f>
        <v>420583.275</v>
      </c>
      <c r="M190" s="15" t="n">
        <v>0.35</v>
      </c>
      <c r="N190" s="9" t="s">
        <v>26</v>
      </c>
    </row>
    <row r="191" customFormat="false" ht="14.25" hidden="false" customHeight="true" outlineLevel="0" collapsed="false">
      <c r="B191" s="9" t="s">
        <v>32</v>
      </c>
      <c r="C191" s="9" t="n">
        <v>1128299</v>
      </c>
      <c r="D191" s="10" t="n">
        <v>44217</v>
      </c>
      <c r="E191" s="9" t="s">
        <v>33</v>
      </c>
      <c r="F191" s="9" t="s">
        <v>34</v>
      </c>
      <c r="G191" s="9" t="s">
        <v>35</v>
      </c>
      <c r="H191" s="11" t="s">
        <v>23</v>
      </c>
      <c r="I191" s="12" t="n">
        <v>65</v>
      </c>
      <c r="J191" s="13" t="n">
        <v>750</v>
      </c>
      <c r="K191" s="14" t="n">
        <f aca="false">I191*J191</f>
        <v>48750</v>
      </c>
      <c r="L191" s="14" t="n">
        <f aca="false">($L$2*M191)/100</f>
        <v>360499.95</v>
      </c>
      <c r="M191" s="15" t="n">
        <v>0.3</v>
      </c>
      <c r="N191" s="9" t="s">
        <v>26</v>
      </c>
    </row>
    <row r="192" customFormat="false" ht="14.25" hidden="false" customHeight="true" outlineLevel="0" collapsed="false">
      <c r="B192" s="9" t="s">
        <v>32</v>
      </c>
      <c r="C192" s="9" t="n">
        <v>1128299</v>
      </c>
      <c r="D192" s="10" t="n">
        <v>44218</v>
      </c>
      <c r="E192" s="9" t="s">
        <v>33</v>
      </c>
      <c r="F192" s="9" t="s">
        <v>34</v>
      </c>
      <c r="G192" s="9" t="s">
        <v>35</v>
      </c>
      <c r="H192" s="11" t="s">
        <v>24</v>
      </c>
      <c r="I192" s="12" t="n">
        <v>75</v>
      </c>
      <c r="J192" s="13" t="n">
        <v>750</v>
      </c>
      <c r="K192" s="14" t="n">
        <f aca="false">I192*J192</f>
        <v>56250</v>
      </c>
      <c r="L192" s="14" t="n">
        <f aca="false">($L$2*M192)/100</f>
        <v>600833.25</v>
      </c>
      <c r="M192" s="15" t="n">
        <v>0.5</v>
      </c>
      <c r="N192" s="9" t="s">
        <v>26</v>
      </c>
    </row>
    <row r="193" customFormat="false" ht="14.25" hidden="false" customHeight="true" outlineLevel="0" collapsed="false">
      <c r="B193" s="9" t="s">
        <v>32</v>
      </c>
      <c r="C193" s="9" t="n">
        <v>1128299</v>
      </c>
      <c r="D193" s="10" t="n">
        <v>44219</v>
      </c>
      <c r="E193" s="9" t="s">
        <v>33</v>
      </c>
      <c r="F193" s="9" t="s">
        <v>34</v>
      </c>
      <c r="G193" s="9" t="s">
        <v>35</v>
      </c>
      <c r="H193" s="11" t="s">
        <v>25</v>
      </c>
      <c r="I193" s="12" t="n">
        <v>80</v>
      </c>
      <c r="J193" s="13" t="n">
        <v>725</v>
      </c>
      <c r="K193" s="14" t="n">
        <f aca="false">I193*J193</f>
        <v>58000</v>
      </c>
      <c r="L193" s="14" t="n">
        <f aca="false">($L$2*M193)/100</f>
        <v>180249.975</v>
      </c>
      <c r="M193" s="15" t="n">
        <v>0.15</v>
      </c>
      <c r="N193" s="9" t="s">
        <v>26</v>
      </c>
    </row>
    <row r="194" customFormat="false" ht="14.25" hidden="false" customHeight="true" outlineLevel="0" collapsed="false">
      <c r="B194" s="9" t="s">
        <v>32</v>
      </c>
      <c r="C194" s="9" t="n">
        <v>1128299</v>
      </c>
      <c r="D194" s="10" t="n">
        <v>44220</v>
      </c>
      <c r="E194" s="9" t="s">
        <v>33</v>
      </c>
      <c r="F194" s="9" t="s">
        <v>34</v>
      </c>
      <c r="G194" s="9" t="s">
        <v>35</v>
      </c>
      <c r="H194" s="11" t="s">
        <v>19</v>
      </c>
      <c r="I194" s="12" t="n">
        <v>55</v>
      </c>
      <c r="J194" s="13" t="n">
        <v>925</v>
      </c>
      <c r="K194" s="14" t="n">
        <f aca="false">I194*J194</f>
        <v>50875</v>
      </c>
      <c r="L194" s="14" t="n">
        <f aca="false">($L$2*M194)/100</f>
        <v>360499.95</v>
      </c>
      <c r="M194" s="15" t="n">
        <v>0.3</v>
      </c>
      <c r="N194" s="9" t="s">
        <v>26</v>
      </c>
    </row>
    <row r="195" customFormat="false" ht="14.25" hidden="false" customHeight="true" outlineLevel="0" collapsed="false">
      <c r="B195" s="9" t="s">
        <v>32</v>
      </c>
      <c r="C195" s="9" t="n">
        <v>1128299</v>
      </c>
      <c r="D195" s="10" t="n">
        <v>44221</v>
      </c>
      <c r="E195" s="9" t="s">
        <v>33</v>
      </c>
      <c r="F195" s="9" t="s">
        <v>34</v>
      </c>
      <c r="G195" s="9" t="s">
        <v>35</v>
      </c>
      <c r="H195" s="11" t="s">
        <v>21</v>
      </c>
      <c r="I195" s="12" t="n">
        <v>60</v>
      </c>
      <c r="J195" s="13" t="n">
        <v>925</v>
      </c>
      <c r="K195" s="14" t="n">
        <f aca="false">I195*J195</f>
        <v>55500</v>
      </c>
      <c r="L195" s="14" t="n">
        <f aca="false">($L$2*M195)/100</f>
        <v>180249.975</v>
      </c>
      <c r="M195" s="15" t="n">
        <v>0.15</v>
      </c>
      <c r="N195" s="9" t="s">
        <v>26</v>
      </c>
    </row>
    <row r="196" customFormat="false" ht="14.25" hidden="false" customHeight="true" outlineLevel="0" collapsed="false">
      <c r="B196" s="9" t="s">
        <v>32</v>
      </c>
      <c r="C196" s="9" t="n">
        <v>1128299</v>
      </c>
      <c r="D196" s="10" t="n">
        <v>44222</v>
      </c>
      <c r="E196" s="9" t="s">
        <v>33</v>
      </c>
      <c r="F196" s="9" t="s">
        <v>34</v>
      </c>
      <c r="G196" s="9" t="s">
        <v>35</v>
      </c>
      <c r="H196" s="11" t="s">
        <v>22</v>
      </c>
      <c r="I196" s="12" t="n">
        <v>55</v>
      </c>
      <c r="J196" s="13" t="n">
        <v>775</v>
      </c>
      <c r="K196" s="14" t="n">
        <f aca="false">I196*J196</f>
        <v>42625</v>
      </c>
      <c r="L196" s="14" t="n">
        <f aca="false">($L$2*M196)/100</f>
        <v>360499.95</v>
      </c>
      <c r="M196" s="15" t="n">
        <v>0.3</v>
      </c>
      <c r="N196" s="9" t="s">
        <v>26</v>
      </c>
    </row>
    <row r="197" customFormat="false" ht="14.25" hidden="false" customHeight="true" outlineLevel="0" collapsed="false">
      <c r="B197" s="9" t="s">
        <v>32</v>
      </c>
      <c r="C197" s="9" t="n">
        <v>1128299</v>
      </c>
      <c r="D197" s="10" t="n">
        <v>44223</v>
      </c>
      <c r="E197" s="9" t="s">
        <v>33</v>
      </c>
      <c r="F197" s="9" t="s">
        <v>34</v>
      </c>
      <c r="G197" s="9" t="s">
        <v>35</v>
      </c>
      <c r="H197" s="11" t="s">
        <v>23</v>
      </c>
      <c r="I197" s="12" t="n">
        <v>55</v>
      </c>
      <c r="J197" s="13" t="n">
        <v>725</v>
      </c>
      <c r="K197" s="14" t="n">
        <f aca="false">I197*J197</f>
        <v>39875</v>
      </c>
      <c r="L197" s="14" t="n">
        <f aca="false">($L$2*M197)/100</f>
        <v>300416.625</v>
      </c>
      <c r="M197" s="15" t="n">
        <v>0.25</v>
      </c>
      <c r="N197" s="9" t="s">
        <v>26</v>
      </c>
    </row>
    <row r="198" customFormat="false" ht="14.25" hidden="false" customHeight="true" outlineLevel="0" collapsed="false">
      <c r="B198" s="9" t="s">
        <v>32</v>
      </c>
      <c r="C198" s="9" t="n">
        <v>1128299</v>
      </c>
      <c r="D198" s="10" t="n">
        <v>44224</v>
      </c>
      <c r="E198" s="9" t="s">
        <v>33</v>
      </c>
      <c r="F198" s="9" t="s">
        <v>34</v>
      </c>
      <c r="G198" s="9" t="s">
        <v>35</v>
      </c>
      <c r="H198" s="11" t="s">
        <v>24</v>
      </c>
      <c r="I198" s="12" t="n">
        <v>65</v>
      </c>
      <c r="J198" s="13" t="n">
        <v>725</v>
      </c>
      <c r="K198" s="14" t="n">
        <f aca="false">I198*J198</f>
        <v>47125</v>
      </c>
      <c r="L198" s="14" t="n">
        <f aca="false">($L$2*M198)/100</f>
        <v>540749.925</v>
      </c>
      <c r="M198" s="15" t="n">
        <v>0.45</v>
      </c>
      <c r="N198" s="9" t="s">
        <v>26</v>
      </c>
    </row>
    <row r="199" customFormat="false" ht="14.25" hidden="false" customHeight="true" outlineLevel="0" collapsed="false">
      <c r="B199" s="9" t="s">
        <v>32</v>
      </c>
      <c r="C199" s="9" t="n">
        <v>1128299</v>
      </c>
      <c r="D199" s="10" t="n">
        <v>44225</v>
      </c>
      <c r="E199" s="9" t="s">
        <v>33</v>
      </c>
      <c r="F199" s="9" t="s">
        <v>34</v>
      </c>
      <c r="G199" s="9" t="s">
        <v>35</v>
      </c>
      <c r="H199" s="11" t="s">
        <v>25</v>
      </c>
      <c r="I199" s="12" t="n">
        <v>70</v>
      </c>
      <c r="J199" s="13" t="n">
        <v>775</v>
      </c>
      <c r="K199" s="14" t="n">
        <f aca="false">I199*J199</f>
        <v>54250</v>
      </c>
      <c r="L199" s="14" t="n">
        <f aca="false">($L$2*M199)/100</f>
        <v>120166.65</v>
      </c>
      <c r="M199" s="15" t="n">
        <v>0.1</v>
      </c>
      <c r="N199" s="9" t="s">
        <v>26</v>
      </c>
    </row>
    <row r="200" customFormat="false" ht="14.25" hidden="false" customHeight="true" outlineLevel="0" collapsed="false">
      <c r="B200" s="9" t="s">
        <v>32</v>
      </c>
      <c r="C200" s="9" t="n">
        <v>1128299</v>
      </c>
      <c r="D200" s="10" t="n">
        <v>44226</v>
      </c>
      <c r="E200" s="9" t="s">
        <v>33</v>
      </c>
      <c r="F200" s="9" t="s">
        <v>34</v>
      </c>
      <c r="G200" s="9" t="s">
        <v>35</v>
      </c>
      <c r="H200" s="11" t="s">
        <v>19</v>
      </c>
      <c r="I200" s="12" t="n">
        <v>55</v>
      </c>
      <c r="J200" s="13" t="n">
        <v>875</v>
      </c>
      <c r="K200" s="14" t="n">
        <f aca="false">I200*J200</f>
        <v>48125</v>
      </c>
      <c r="L200" s="14" t="n">
        <f aca="false">($L$2*M200)/100</f>
        <v>360499.95</v>
      </c>
      <c r="M200" s="15" t="n">
        <v>0.3</v>
      </c>
      <c r="N200" s="9" t="s">
        <v>26</v>
      </c>
    </row>
    <row r="201" customFormat="false" ht="14.25" hidden="false" customHeight="true" outlineLevel="0" collapsed="false">
      <c r="B201" s="9" t="s">
        <v>32</v>
      </c>
      <c r="C201" s="9" t="n">
        <v>1128299</v>
      </c>
      <c r="D201" s="10" t="n">
        <v>44227</v>
      </c>
      <c r="E201" s="9" t="s">
        <v>33</v>
      </c>
      <c r="F201" s="9" t="s">
        <v>34</v>
      </c>
      <c r="G201" s="9" t="s">
        <v>35</v>
      </c>
      <c r="H201" s="11" t="s">
        <v>21</v>
      </c>
      <c r="I201" s="12" t="n">
        <v>60</v>
      </c>
      <c r="J201" s="13" t="n">
        <v>875</v>
      </c>
      <c r="K201" s="14" t="n">
        <f aca="false">I201*J201</f>
        <v>52500</v>
      </c>
      <c r="L201" s="14" t="n">
        <f aca="false">($L$2*M201)/100</f>
        <v>180249.975</v>
      </c>
      <c r="M201" s="15" t="n">
        <v>0.15</v>
      </c>
      <c r="N201" s="9" t="s">
        <v>26</v>
      </c>
    </row>
    <row r="202" customFormat="false" ht="14.25" hidden="false" customHeight="true" outlineLevel="0" collapsed="false">
      <c r="B202" s="9" t="s">
        <v>32</v>
      </c>
      <c r="C202" s="9" t="n">
        <v>1128299</v>
      </c>
      <c r="D202" s="10" t="n">
        <v>44228</v>
      </c>
      <c r="E202" s="9" t="s">
        <v>33</v>
      </c>
      <c r="F202" s="9" t="s">
        <v>34</v>
      </c>
      <c r="G202" s="9" t="s">
        <v>35</v>
      </c>
      <c r="H202" s="11" t="s">
        <v>22</v>
      </c>
      <c r="I202" s="12" t="n">
        <v>55</v>
      </c>
      <c r="J202" s="13" t="n">
        <v>700</v>
      </c>
      <c r="K202" s="14" t="n">
        <f aca="false">I202*J202</f>
        <v>38500</v>
      </c>
      <c r="L202" s="14" t="n">
        <f aca="false">($L$2*M202)/100</f>
        <v>360499.95</v>
      </c>
      <c r="M202" s="15" t="n">
        <v>0.3</v>
      </c>
      <c r="N202" s="9" t="s">
        <v>26</v>
      </c>
    </row>
    <row r="203" customFormat="false" ht="14.25" hidden="false" customHeight="true" outlineLevel="0" collapsed="false">
      <c r="B203" s="9" t="s">
        <v>32</v>
      </c>
      <c r="C203" s="9" t="n">
        <v>1128299</v>
      </c>
      <c r="D203" s="10" t="n">
        <v>44229</v>
      </c>
      <c r="E203" s="9" t="s">
        <v>33</v>
      </c>
      <c r="F203" s="9" t="s">
        <v>34</v>
      </c>
      <c r="G203" s="9" t="s">
        <v>35</v>
      </c>
      <c r="H203" s="11" t="s">
        <v>23</v>
      </c>
      <c r="I203" s="12" t="n">
        <v>55</v>
      </c>
      <c r="J203" s="13" t="n">
        <v>675</v>
      </c>
      <c r="K203" s="14" t="n">
        <f aca="false">I203*J203</f>
        <v>37125</v>
      </c>
      <c r="L203" s="14" t="n">
        <f aca="false">($L$2*M203)/100</f>
        <v>300416.625</v>
      </c>
      <c r="M203" s="15" t="n">
        <v>0.25</v>
      </c>
      <c r="N203" s="9" t="s">
        <v>26</v>
      </c>
    </row>
    <row r="204" customFormat="false" ht="14.25" hidden="false" customHeight="true" outlineLevel="0" collapsed="false">
      <c r="B204" s="9" t="s">
        <v>32</v>
      </c>
      <c r="C204" s="9" t="n">
        <v>1128299</v>
      </c>
      <c r="D204" s="10" t="n">
        <v>44230</v>
      </c>
      <c r="E204" s="9" t="s">
        <v>33</v>
      </c>
      <c r="F204" s="9" t="s">
        <v>34</v>
      </c>
      <c r="G204" s="9" t="s">
        <v>35</v>
      </c>
      <c r="H204" s="11" t="s">
        <v>24</v>
      </c>
      <c r="I204" s="12" t="n">
        <v>65</v>
      </c>
      <c r="J204" s="13" t="n">
        <v>650</v>
      </c>
      <c r="K204" s="14" t="n">
        <f aca="false">I204*J204</f>
        <v>42250</v>
      </c>
      <c r="L204" s="14" t="n">
        <f aca="false">($L$2*M204)/100</f>
        <v>540749.925</v>
      </c>
      <c r="M204" s="15" t="n">
        <v>0.45</v>
      </c>
      <c r="N204" s="9" t="s">
        <v>26</v>
      </c>
    </row>
    <row r="205" customFormat="false" ht="14.25" hidden="false" customHeight="true" outlineLevel="0" collapsed="false">
      <c r="B205" s="9" t="s">
        <v>32</v>
      </c>
      <c r="C205" s="9" t="n">
        <v>1128299</v>
      </c>
      <c r="D205" s="10" t="n">
        <v>44231</v>
      </c>
      <c r="E205" s="9" t="s">
        <v>33</v>
      </c>
      <c r="F205" s="9" t="s">
        <v>34</v>
      </c>
      <c r="G205" s="9" t="s">
        <v>35</v>
      </c>
      <c r="H205" s="11" t="s">
        <v>25</v>
      </c>
      <c r="I205" s="12" t="n">
        <v>70</v>
      </c>
      <c r="J205" s="13" t="n">
        <v>700</v>
      </c>
      <c r="K205" s="14" t="n">
        <f aca="false">I205*J205</f>
        <v>49000</v>
      </c>
      <c r="L205" s="14" t="n">
        <f aca="false">($L$2*M205)/100</f>
        <v>120166.65</v>
      </c>
      <c r="M205" s="15" t="n">
        <v>0.1</v>
      </c>
      <c r="N205" s="9" t="s">
        <v>26</v>
      </c>
    </row>
    <row r="206" customFormat="false" ht="14.25" hidden="false" customHeight="true" outlineLevel="0" collapsed="false">
      <c r="B206" s="9" t="s">
        <v>32</v>
      </c>
      <c r="C206" s="9" t="n">
        <v>1128299</v>
      </c>
      <c r="D206" s="10" t="n">
        <v>44232</v>
      </c>
      <c r="E206" s="9" t="s">
        <v>33</v>
      </c>
      <c r="F206" s="9" t="s">
        <v>34</v>
      </c>
      <c r="G206" s="9" t="s">
        <v>35</v>
      </c>
      <c r="H206" s="11" t="s">
        <v>19</v>
      </c>
      <c r="I206" s="12" t="n">
        <v>55</v>
      </c>
      <c r="J206" s="13" t="n">
        <v>875</v>
      </c>
      <c r="K206" s="14" t="n">
        <f aca="false">I206*J206</f>
        <v>48125</v>
      </c>
      <c r="L206" s="14" t="n">
        <f aca="false">($L$2*M206)/100</f>
        <v>360499.95</v>
      </c>
      <c r="M206" s="15" t="n">
        <v>0.3</v>
      </c>
      <c r="N206" s="9" t="s">
        <v>26</v>
      </c>
    </row>
    <row r="207" customFormat="false" ht="14.25" hidden="false" customHeight="true" outlineLevel="0" collapsed="false">
      <c r="B207" s="9" t="s">
        <v>32</v>
      </c>
      <c r="C207" s="9" t="n">
        <v>1128299</v>
      </c>
      <c r="D207" s="10" t="n">
        <v>44233</v>
      </c>
      <c r="E207" s="9" t="s">
        <v>33</v>
      </c>
      <c r="F207" s="9" t="s">
        <v>34</v>
      </c>
      <c r="G207" s="9" t="s">
        <v>35</v>
      </c>
      <c r="H207" s="11" t="s">
        <v>21</v>
      </c>
      <c r="I207" s="12" t="n">
        <v>60</v>
      </c>
      <c r="J207" s="13" t="n">
        <v>875</v>
      </c>
      <c r="K207" s="14" t="n">
        <f aca="false">I207*J207</f>
        <v>52500</v>
      </c>
      <c r="L207" s="14" t="n">
        <f aca="false">($L$2*M207)/100</f>
        <v>180249.975</v>
      </c>
      <c r="M207" s="15" t="n">
        <v>0.15</v>
      </c>
      <c r="N207" s="9" t="s">
        <v>26</v>
      </c>
    </row>
    <row r="208" customFormat="false" ht="14.25" hidden="false" customHeight="true" outlineLevel="0" collapsed="false">
      <c r="B208" s="9" t="s">
        <v>32</v>
      </c>
      <c r="C208" s="9" t="n">
        <v>1128299</v>
      </c>
      <c r="D208" s="10" t="n">
        <v>44234</v>
      </c>
      <c r="E208" s="9" t="s">
        <v>33</v>
      </c>
      <c r="F208" s="9" t="s">
        <v>34</v>
      </c>
      <c r="G208" s="9" t="s">
        <v>35</v>
      </c>
      <c r="H208" s="11" t="s">
        <v>22</v>
      </c>
      <c r="I208" s="12" t="n">
        <v>55</v>
      </c>
      <c r="J208" s="13" t="n">
        <v>725</v>
      </c>
      <c r="K208" s="14" t="n">
        <f aca="false">I208*J208</f>
        <v>39875</v>
      </c>
      <c r="L208" s="14" t="n">
        <f aca="false">($L$2*M208)/100</f>
        <v>360499.95</v>
      </c>
      <c r="M208" s="15" t="n">
        <v>0.3</v>
      </c>
      <c r="N208" s="9" t="s">
        <v>26</v>
      </c>
    </row>
    <row r="209" customFormat="false" ht="14.25" hidden="false" customHeight="true" outlineLevel="0" collapsed="false">
      <c r="B209" s="9" t="s">
        <v>32</v>
      </c>
      <c r="C209" s="9" t="n">
        <v>1128299</v>
      </c>
      <c r="D209" s="10" t="n">
        <v>44235</v>
      </c>
      <c r="E209" s="9" t="s">
        <v>33</v>
      </c>
      <c r="F209" s="9" t="s">
        <v>34</v>
      </c>
      <c r="G209" s="9" t="s">
        <v>35</v>
      </c>
      <c r="H209" s="11" t="s">
        <v>23</v>
      </c>
      <c r="I209" s="12" t="n">
        <v>55</v>
      </c>
      <c r="J209" s="13" t="n">
        <v>700</v>
      </c>
      <c r="K209" s="14" t="n">
        <f aca="false">I209*J209</f>
        <v>38500</v>
      </c>
      <c r="L209" s="14" t="n">
        <f aca="false">($L$2*M209)/100</f>
        <v>300416.625</v>
      </c>
      <c r="M209" s="15" t="n">
        <v>0.25</v>
      </c>
      <c r="N209" s="9" t="s">
        <v>26</v>
      </c>
    </row>
    <row r="210" customFormat="false" ht="14.25" hidden="false" customHeight="true" outlineLevel="0" collapsed="false">
      <c r="B210" s="9" t="s">
        <v>32</v>
      </c>
      <c r="C210" s="9" t="n">
        <v>1128299</v>
      </c>
      <c r="D210" s="10" t="n">
        <v>44236</v>
      </c>
      <c r="E210" s="9" t="s">
        <v>33</v>
      </c>
      <c r="F210" s="9" t="s">
        <v>34</v>
      </c>
      <c r="G210" s="9" t="s">
        <v>35</v>
      </c>
      <c r="H210" s="11" t="s">
        <v>24</v>
      </c>
      <c r="I210" s="12" t="n">
        <v>65</v>
      </c>
      <c r="J210" s="13" t="n">
        <v>650</v>
      </c>
      <c r="K210" s="14" t="n">
        <f aca="false">I210*J210</f>
        <v>42250</v>
      </c>
      <c r="L210" s="14" t="n">
        <f aca="false">($L$2*M210)/100</f>
        <v>540749.925</v>
      </c>
      <c r="M210" s="15" t="n">
        <v>0.45</v>
      </c>
      <c r="N210" s="9" t="s">
        <v>26</v>
      </c>
    </row>
    <row r="211" customFormat="false" ht="14.25" hidden="false" customHeight="true" outlineLevel="0" collapsed="false">
      <c r="B211" s="9" t="s">
        <v>32</v>
      </c>
      <c r="C211" s="9" t="n">
        <v>1128299</v>
      </c>
      <c r="D211" s="10" t="n">
        <v>44237</v>
      </c>
      <c r="E211" s="9" t="s">
        <v>33</v>
      </c>
      <c r="F211" s="9" t="s">
        <v>34</v>
      </c>
      <c r="G211" s="9" t="s">
        <v>35</v>
      </c>
      <c r="H211" s="11" t="s">
        <v>25</v>
      </c>
      <c r="I211" s="12" t="n">
        <v>70</v>
      </c>
      <c r="J211" s="13" t="n">
        <v>775</v>
      </c>
      <c r="K211" s="14" t="n">
        <f aca="false">I211*J211</f>
        <v>54250</v>
      </c>
      <c r="L211" s="14" t="n">
        <f aca="false">($L$2*M211)/100</f>
        <v>120166.65</v>
      </c>
      <c r="M211" s="15" t="n">
        <v>0.1</v>
      </c>
      <c r="N211" s="9" t="s">
        <v>26</v>
      </c>
    </row>
    <row r="212" customFormat="false" ht="14.25" hidden="false" customHeight="true" outlineLevel="0" collapsed="false">
      <c r="B212" s="9" t="s">
        <v>32</v>
      </c>
      <c r="C212" s="9" t="n">
        <v>1128299</v>
      </c>
      <c r="D212" s="10" t="n">
        <v>44238</v>
      </c>
      <c r="E212" s="9" t="s">
        <v>33</v>
      </c>
      <c r="F212" s="9" t="s">
        <v>34</v>
      </c>
      <c r="G212" s="9" t="s">
        <v>35</v>
      </c>
      <c r="H212" s="11" t="s">
        <v>19</v>
      </c>
      <c r="I212" s="12" t="n">
        <v>55</v>
      </c>
      <c r="J212" s="13" t="n">
        <v>975</v>
      </c>
      <c r="K212" s="14" t="n">
        <f aca="false">I212*J212</f>
        <v>53625</v>
      </c>
      <c r="L212" s="14" t="n">
        <f aca="false">($L$2*M212)/100</f>
        <v>360499.95</v>
      </c>
      <c r="M212" s="15" t="n">
        <v>0.3</v>
      </c>
      <c r="N212" s="9" t="s">
        <v>26</v>
      </c>
    </row>
    <row r="213" customFormat="false" ht="14.25" hidden="false" customHeight="true" outlineLevel="0" collapsed="false">
      <c r="B213" s="9" t="s">
        <v>32</v>
      </c>
      <c r="C213" s="9" t="n">
        <v>1128299</v>
      </c>
      <c r="D213" s="10" t="n">
        <v>44239</v>
      </c>
      <c r="E213" s="9" t="s">
        <v>33</v>
      </c>
      <c r="F213" s="9" t="s">
        <v>34</v>
      </c>
      <c r="G213" s="9" t="s">
        <v>35</v>
      </c>
      <c r="H213" s="11" t="s">
        <v>21</v>
      </c>
      <c r="I213" s="12" t="n">
        <v>60</v>
      </c>
      <c r="J213" s="13" t="n">
        <v>975</v>
      </c>
      <c r="K213" s="14" t="n">
        <f aca="false">I213*J213</f>
        <v>58500</v>
      </c>
      <c r="L213" s="14" t="n">
        <f aca="false">($L$2*M213)/100</f>
        <v>180249.975</v>
      </c>
      <c r="M213" s="15" t="n">
        <v>0.15</v>
      </c>
      <c r="N213" s="9" t="s">
        <v>26</v>
      </c>
    </row>
    <row r="214" customFormat="false" ht="14.25" hidden="false" customHeight="true" outlineLevel="0" collapsed="false">
      <c r="B214" s="9" t="s">
        <v>32</v>
      </c>
      <c r="C214" s="9" t="n">
        <v>1128299</v>
      </c>
      <c r="D214" s="10" t="n">
        <v>44240</v>
      </c>
      <c r="E214" s="9" t="s">
        <v>33</v>
      </c>
      <c r="F214" s="9" t="s">
        <v>34</v>
      </c>
      <c r="G214" s="9" t="s">
        <v>35</v>
      </c>
      <c r="H214" s="11" t="s">
        <v>22</v>
      </c>
      <c r="I214" s="12" t="n">
        <v>55</v>
      </c>
      <c r="J214" s="13" t="n">
        <v>775</v>
      </c>
      <c r="K214" s="14" t="n">
        <f aca="false">I214*J214</f>
        <v>42625</v>
      </c>
      <c r="L214" s="14" t="n">
        <f aca="false">($L$2*M214)/100</f>
        <v>360499.95</v>
      </c>
      <c r="M214" s="15" t="n">
        <v>0.3</v>
      </c>
      <c r="N214" s="9" t="s">
        <v>26</v>
      </c>
    </row>
    <row r="215" customFormat="false" ht="14.25" hidden="false" customHeight="true" outlineLevel="0" collapsed="false">
      <c r="B215" s="9" t="s">
        <v>32</v>
      </c>
      <c r="C215" s="9" t="n">
        <v>1128299</v>
      </c>
      <c r="D215" s="10" t="n">
        <v>44241</v>
      </c>
      <c r="E215" s="9" t="s">
        <v>33</v>
      </c>
      <c r="F215" s="9" t="s">
        <v>34</v>
      </c>
      <c r="G215" s="9" t="s">
        <v>35</v>
      </c>
      <c r="H215" s="11" t="s">
        <v>23</v>
      </c>
      <c r="I215" s="12" t="n">
        <v>55</v>
      </c>
      <c r="J215" s="13" t="n">
        <v>775</v>
      </c>
      <c r="K215" s="14" t="n">
        <f aca="false">I215*J215</f>
        <v>42625</v>
      </c>
      <c r="L215" s="14" t="n">
        <f aca="false">($L$2*M215)/100</f>
        <v>300416.625</v>
      </c>
      <c r="M215" s="15" t="n">
        <v>0.25</v>
      </c>
      <c r="N215" s="9" t="s">
        <v>26</v>
      </c>
    </row>
    <row r="216" customFormat="false" ht="14.25" hidden="false" customHeight="true" outlineLevel="0" collapsed="false">
      <c r="B216" s="9" t="s">
        <v>32</v>
      </c>
      <c r="C216" s="9" t="n">
        <v>1128299</v>
      </c>
      <c r="D216" s="10" t="n">
        <v>44242</v>
      </c>
      <c r="E216" s="9" t="s">
        <v>33</v>
      </c>
      <c r="F216" s="9" t="s">
        <v>34</v>
      </c>
      <c r="G216" s="9" t="s">
        <v>35</v>
      </c>
      <c r="H216" s="11" t="s">
        <v>24</v>
      </c>
      <c r="I216" s="12" t="n">
        <v>65</v>
      </c>
      <c r="J216" s="13" t="n">
        <v>700</v>
      </c>
      <c r="K216" s="14" t="n">
        <f aca="false">I216*J216</f>
        <v>45500</v>
      </c>
      <c r="L216" s="14" t="n">
        <f aca="false">($L$2*M216)/100</f>
        <v>540749.925</v>
      </c>
      <c r="M216" s="15" t="n">
        <v>0.45</v>
      </c>
      <c r="N216" s="9" t="s">
        <v>26</v>
      </c>
    </row>
    <row r="217" customFormat="false" ht="14.25" hidden="false" customHeight="true" outlineLevel="0" collapsed="false">
      <c r="B217" s="9" t="s">
        <v>32</v>
      </c>
      <c r="C217" s="9" t="n">
        <v>1128299</v>
      </c>
      <c r="D217" s="10" t="n">
        <v>44243</v>
      </c>
      <c r="E217" s="9" t="s">
        <v>33</v>
      </c>
      <c r="F217" s="9" t="s">
        <v>34</v>
      </c>
      <c r="G217" s="9" t="s">
        <v>35</v>
      </c>
      <c r="H217" s="11" t="s">
        <v>25</v>
      </c>
      <c r="I217" s="12" t="n">
        <v>70</v>
      </c>
      <c r="J217" s="13" t="n">
        <v>800</v>
      </c>
      <c r="K217" s="14" t="n">
        <f aca="false">I217*J217</f>
        <v>56000</v>
      </c>
      <c r="L217" s="14" t="n">
        <f aca="false">($L$2*M217)/100</f>
        <v>120166.65</v>
      </c>
      <c r="M217" s="15" t="n">
        <v>0.1</v>
      </c>
      <c r="N217" s="9" t="s">
        <v>26</v>
      </c>
    </row>
    <row r="218" customFormat="false" ht="14.25" hidden="false" customHeight="true" outlineLevel="0" collapsed="false">
      <c r="B218" s="9" t="s">
        <v>36</v>
      </c>
      <c r="C218" s="9" t="n">
        <v>1189833</v>
      </c>
      <c r="D218" s="10" t="n">
        <v>44244</v>
      </c>
      <c r="E218" s="9" t="s">
        <v>33</v>
      </c>
      <c r="F218" s="9" t="s">
        <v>34</v>
      </c>
      <c r="G218" s="9" t="s">
        <v>35</v>
      </c>
      <c r="H218" s="11" t="s">
        <v>19</v>
      </c>
      <c r="I218" s="12" t="n">
        <v>35</v>
      </c>
      <c r="J218" s="13" t="n">
        <v>700</v>
      </c>
      <c r="K218" s="14" t="n">
        <f aca="false">I218*J218</f>
        <v>24500</v>
      </c>
      <c r="L218" s="14" t="n">
        <f aca="false">($L$2*M218)/100</f>
        <v>480666.6</v>
      </c>
      <c r="M218" s="15" t="n">
        <v>0.4</v>
      </c>
      <c r="N218" s="9" t="s">
        <v>26</v>
      </c>
    </row>
    <row r="219" customFormat="false" ht="14.25" hidden="false" customHeight="true" outlineLevel="0" collapsed="false">
      <c r="B219" s="9" t="s">
        <v>36</v>
      </c>
      <c r="C219" s="9" t="n">
        <v>1189833</v>
      </c>
      <c r="D219" s="10" t="n">
        <v>44245</v>
      </c>
      <c r="E219" s="9" t="s">
        <v>33</v>
      </c>
      <c r="F219" s="9" t="s">
        <v>34</v>
      </c>
      <c r="G219" s="9" t="s">
        <v>35</v>
      </c>
      <c r="H219" s="11" t="s">
        <v>21</v>
      </c>
      <c r="I219" s="12" t="n">
        <v>45</v>
      </c>
      <c r="J219" s="13" t="n">
        <v>700</v>
      </c>
      <c r="K219" s="14" t="n">
        <f aca="false">I219*J219</f>
        <v>31500</v>
      </c>
      <c r="L219" s="14" t="n">
        <f aca="false">($L$2*M219)/100</f>
        <v>300416.625</v>
      </c>
      <c r="M219" s="15" t="n">
        <v>0.25</v>
      </c>
      <c r="N219" s="9" t="s">
        <v>26</v>
      </c>
    </row>
    <row r="220" customFormat="false" ht="14.25" hidden="false" customHeight="true" outlineLevel="0" collapsed="false">
      <c r="B220" s="9" t="s">
        <v>36</v>
      </c>
      <c r="C220" s="9" t="n">
        <v>1189833</v>
      </c>
      <c r="D220" s="10" t="n">
        <v>44264</v>
      </c>
      <c r="E220" s="9" t="s">
        <v>33</v>
      </c>
      <c r="F220" s="9" t="s">
        <v>34</v>
      </c>
      <c r="G220" s="9" t="s">
        <v>35</v>
      </c>
      <c r="H220" s="11" t="s">
        <v>22</v>
      </c>
      <c r="I220" s="12" t="n">
        <v>45</v>
      </c>
      <c r="J220" s="13" t="n">
        <v>700</v>
      </c>
      <c r="K220" s="14" t="n">
        <f aca="false">I220*J220</f>
        <v>31500</v>
      </c>
      <c r="L220" s="14" t="n">
        <f aca="false">($L$2*M220)/100</f>
        <v>480666.6</v>
      </c>
      <c r="M220" s="15" t="n">
        <v>0.4</v>
      </c>
      <c r="N220" s="9" t="s">
        <v>26</v>
      </c>
    </row>
    <row r="221" customFormat="false" ht="14.25" hidden="false" customHeight="true" outlineLevel="0" collapsed="false">
      <c r="B221" s="9" t="s">
        <v>36</v>
      </c>
      <c r="C221" s="9" t="n">
        <v>1189833</v>
      </c>
      <c r="D221" s="10" t="n">
        <v>44265</v>
      </c>
      <c r="E221" s="9" t="s">
        <v>33</v>
      </c>
      <c r="F221" s="9" t="s">
        <v>34</v>
      </c>
      <c r="G221" s="9" t="s">
        <v>35</v>
      </c>
      <c r="H221" s="11" t="s">
        <v>23</v>
      </c>
      <c r="I221" s="12" t="n">
        <v>45</v>
      </c>
      <c r="J221" s="13" t="n">
        <v>550</v>
      </c>
      <c r="K221" s="14" t="n">
        <f aca="false">I221*J221</f>
        <v>24750</v>
      </c>
      <c r="L221" s="14" t="n">
        <f aca="false">($L$2*M221)/100</f>
        <v>420583.275</v>
      </c>
      <c r="M221" s="15" t="n">
        <v>0.35</v>
      </c>
      <c r="N221" s="9" t="s">
        <v>26</v>
      </c>
    </row>
    <row r="222" customFormat="false" ht="14.25" hidden="false" customHeight="true" outlineLevel="0" collapsed="false">
      <c r="B222" s="9" t="s">
        <v>36</v>
      </c>
      <c r="C222" s="9" t="n">
        <v>1189833</v>
      </c>
      <c r="D222" s="10" t="n">
        <v>44266</v>
      </c>
      <c r="E222" s="9" t="s">
        <v>33</v>
      </c>
      <c r="F222" s="9" t="s">
        <v>34</v>
      </c>
      <c r="G222" s="9" t="s">
        <v>37</v>
      </c>
      <c r="H222" s="11" t="s">
        <v>24</v>
      </c>
      <c r="I222" s="12" t="n">
        <v>50</v>
      </c>
      <c r="J222" s="13" t="n">
        <v>500</v>
      </c>
      <c r="K222" s="14" t="n">
        <f aca="false">I222*J222</f>
        <v>25000</v>
      </c>
      <c r="L222" s="14" t="n">
        <f aca="false">($L$2*M222)/100</f>
        <v>660916.575</v>
      </c>
      <c r="M222" s="15" t="n">
        <v>0.55</v>
      </c>
      <c r="N222" s="9" t="s">
        <v>26</v>
      </c>
    </row>
    <row r="223" customFormat="false" ht="14.25" hidden="false" customHeight="true" outlineLevel="0" collapsed="false">
      <c r="B223" s="9" t="s">
        <v>36</v>
      </c>
      <c r="C223" s="9" t="n">
        <v>1189833</v>
      </c>
      <c r="D223" s="10" t="n">
        <v>44267</v>
      </c>
      <c r="E223" s="9" t="s">
        <v>33</v>
      </c>
      <c r="F223" s="9" t="s">
        <v>34</v>
      </c>
      <c r="G223" s="9" t="s">
        <v>37</v>
      </c>
      <c r="H223" s="11" t="s">
        <v>25</v>
      </c>
      <c r="I223" s="12" t="n">
        <v>45</v>
      </c>
      <c r="J223" s="13" t="n">
        <v>700</v>
      </c>
      <c r="K223" s="14" t="n">
        <f aca="false">I223*J223</f>
        <v>31500</v>
      </c>
      <c r="L223" s="14" t="n">
        <f aca="false">($L$2*M223)/100</f>
        <v>240333.3</v>
      </c>
      <c r="M223" s="15" t="n">
        <v>0.2</v>
      </c>
      <c r="N223" s="9" t="s">
        <v>26</v>
      </c>
    </row>
    <row r="224" customFormat="false" ht="14.25" hidden="false" customHeight="true" outlineLevel="0" collapsed="false">
      <c r="B224" s="9" t="s">
        <v>36</v>
      </c>
      <c r="C224" s="9" t="n">
        <v>1189833</v>
      </c>
      <c r="D224" s="10" t="n">
        <v>44268</v>
      </c>
      <c r="E224" s="9" t="s">
        <v>33</v>
      </c>
      <c r="F224" s="9" t="s">
        <v>34</v>
      </c>
      <c r="G224" s="9" t="s">
        <v>37</v>
      </c>
      <c r="H224" s="11" t="s">
        <v>19</v>
      </c>
      <c r="I224" s="12" t="n">
        <v>35</v>
      </c>
      <c r="J224" s="13" t="n">
        <v>750</v>
      </c>
      <c r="K224" s="14" t="n">
        <f aca="false">I224*J224</f>
        <v>26250</v>
      </c>
      <c r="L224" s="14" t="n">
        <f aca="false">($L$2*M224)/100</f>
        <v>480666.6</v>
      </c>
      <c r="M224" s="15" t="n">
        <v>0.4</v>
      </c>
      <c r="N224" s="9" t="s">
        <v>26</v>
      </c>
    </row>
    <row r="225" customFormat="false" ht="14.25" hidden="false" customHeight="true" outlineLevel="0" collapsed="false">
      <c r="B225" s="9" t="s">
        <v>36</v>
      </c>
      <c r="C225" s="9" t="n">
        <v>1189833</v>
      </c>
      <c r="D225" s="10" t="n">
        <v>44269</v>
      </c>
      <c r="E225" s="9" t="s">
        <v>33</v>
      </c>
      <c r="F225" s="9" t="s">
        <v>34</v>
      </c>
      <c r="G225" s="9" t="s">
        <v>37</v>
      </c>
      <c r="H225" s="11" t="s">
        <v>21</v>
      </c>
      <c r="I225" s="12" t="n">
        <v>45</v>
      </c>
      <c r="J225" s="13" t="n">
        <v>650</v>
      </c>
      <c r="K225" s="14" t="n">
        <f aca="false">I225*J225</f>
        <v>29250</v>
      </c>
      <c r="L225" s="14" t="n">
        <f aca="false">($L$2*M225)/100</f>
        <v>300416.625</v>
      </c>
      <c r="M225" s="15" t="n">
        <v>0.25</v>
      </c>
      <c r="N225" s="9" t="s">
        <v>26</v>
      </c>
    </row>
    <row r="226" customFormat="false" ht="14.25" hidden="false" customHeight="true" outlineLevel="0" collapsed="false">
      <c r="B226" s="9" t="s">
        <v>36</v>
      </c>
      <c r="C226" s="9" t="n">
        <v>1189833</v>
      </c>
      <c r="D226" s="10" t="n">
        <v>44270</v>
      </c>
      <c r="E226" s="9" t="s">
        <v>33</v>
      </c>
      <c r="F226" s="9" t="s">
        <v>34</v>
      </c>
      <c r="G226" s="9" t="s">
        <v>37</v>
      </c>
      <c r="H226" s="11" t="s">
        <v>22</v>
      </c>
      <c r="I226" s="12" t="n">
        <v>45</v>
      </c>
      <c r="J226" s="13" t="n">
        <v>675</v>
      </c>
      <c r="K226" s="14" t="n">
        <f aca="false">I226*J226</f>
        <v>30375</v>
      </c>
      <c r="L226" s="14" t="n">
        <f aca="false">($L$2*M226)/100</f>
        <v>480666.6</v>
      </c>
      <c r="M226" s="15" t="n">
        <v>0.4</v>
      </c>
      <c r="N226" s="9" t="s">
        <v>26</v>
      </c>
    </row>
    <row r="227" customFormat="false" ht="14.25" hidden="false" customHeight="true" outlineLevel="0" collapsed="false">
      <c r="B227" s="9" t="s">
        <v>36</v>
      </c>
      <c r="C227" s="9" t="n">
        <v>1189833</v>
      </c>
      <c r="D227" s="10" t="n">
        <v>44271</v>
      </c>
      <c r="E227" s="9" t="s">
        <v>33</v>
      </c>
      <c r="F227" s="9" t="s">
        <v>34</v>
      </c>
      <c r="G227" s="9" t="s">
        <v>37</v>
      </c>
      <c r="H227" s="11" t="s">
        <v>23</v>
      </c>
      <c r="I227" s="12" t="n">
        <v>45</v>
      </c>
      <c r="J227" s="13" t="n">
        <v>525</v>
      </c>
      <c r="K227" s="14" t="n">
        <f aca="false">I227*J227</f>
        <v>23625</v>
      </c>
      <c r="L227" s="14" t="n">
        <f aca="false">($L$2*M227)/100</f>
        <v>420583.275</v>
      </c>
      <c r="M227" s="15" t="n">
        <v>0.35</v>
      </c>
      <c r="N227" s="9" t="s">
        <v>26</v>
      </c>
    </row>
    <row r="228" customFormat="false" ht="14.25" hidden="false" customHeight="true" outlineLevel="0" collapsed="false">
      <c r="B228" s="9" t="s">
        <v>36</v>
      </c>
      <c r="C228" s="9" t="n">
        <v>1189833</v>
      </c>
      <c r="D228" s="10" t="n">
        <v>44272</v>
      </c>
      <c r="E228" s="9" t="s">
        <v>33</v>
      </c>
      <c r="F228" s="9" t="s">
        <v>34</v>
      </c>
      <c r="G228" s="9" t="s">
        <v>37</v>
      </c>
      <c r="H228" s="11" t="s">
        <v>24</v>
      </c>
      <c r="I228" s="12" t="n">
        <v>50</v>
      </c>
      <c r="J228" s="13" t="n">
        <v>450</v>
      </c>
      <c r="K228" s="14" t="n">
        <f aca="false">I228*J228</f>
        <v>22500</v>
      </c>
      <c r="L228" s="14" t="n">
        <f aca="false">($L$2*M228)/100</f>
        <v>660916.575</v>
      </c>
      <c r="M228" s="15" t="n">
        <v>0.55</v>
      </c>
      <c r="N228" s="9" t="s">
        <v>26</v>
      </c>
    </row>
    <row r="229" customFormat="false" ht="14.25" hidden="false" customHeight="true" outlineLevel="0" collapsed="false">
      <c r="B229" s="9" t="s">
        <v>36</v>
      </c>
      <c r="C229" s="9" t="n">
        <v>1189833</v>
      </c>
      <c r="D229" s="10" t="n">
        <v>44273</v>
      </c>
      <c r="E229" s="9" t="s">
        <v>33</v>
      </c>
      <c r="F229" s="9" t="s">
        <v>34</v>
      </c>
      <c r="G229" s="9" t="s">
        <v>37</v>
      </c>
      <c r="H229" s="11" t="s">
        <v>25</v>
      </c>
      <c r="I229" s="12" t="n">
        <v>45</v>
      </c>
      <c r="J229" s="13" t="n">
        <v>650</v>
      </c>
      <c r="K229" s="14" t="n">
        <f aca="false">I229*J229</f>
        <v>29250</v>
      </c>
      <c r="L229" s="14" t="n">
        <f aca="false">($L$2*M229)/100</f>
        <v>240333.3</v>
      </c>
      <c r="M229" s="15" t="n">
        <v>0.2</v>
      </c>
      <c r="N229" s="9" t="s">
        <v>26</v>
      </c>
    </row>
    <row r="230" customFormat="false" ht="14.25" hidden="false" customHeight="true" outlineLevel="0" collapsed="false">
      <c r="B230" s="9" t="s">
        <v>36</v>
      </c>
      <c r="C230" s="9" t="n">
        <v>1189833</v>
      </c>
      <c r="D230" s="10" t="n">
        <v>44274</v>
      </c>
      <c r="E230" s="9" t="s">
        <v>33</v>
      </c>
      <c r="F230" s="9" t="s">
        <v>34</v>
      </c>
      <c r="G230" s="9" t="s">
        <v>37</v>
      </c>
      <c r="H230" s="11" t="s">
        <v>19</v>
      </c>
      <c r="I230" s="12" t="n">
        <v>35</v>
      </c>
      <c r="J230" s="13" t="n">
        <v>800</v>
      </c>
      <c r="K230" s="14" t="n">
        <f aca="false">I230*J230</f>
        <v>28000</v>
      </c>
      <c r="L230" s="14" t="n">
        <f aca="false">($L$2*M230)/100</f>
        <v>480666.6</v>
      </c>
      <c r="M230" s="15" t="n">
        <v>0.4</v>
      </c>
      <c r="N230" s="9" t="s">
        <v>26</v>
      </c>
    </row>
    <row r="231" customFormat="false" ht="14.25" hidden="false" customHeight="true" outlineLevel="0" collapsed="false">
      <c r="B231" s="9" t="s">
        <v>36</v>
      </c>
      <c r="C231" s="9" t="n">
        <v>1189833</v>
      </c>
      <c r="D231" s="10" t="n">
        <v>44275</v>
      </c>
      <c r="E231" s="9" t="s">
        <v>33</v>
      </c>
      <c r="F231" s="9" t="s">
        <v>34</v>
      </c>
      <c r="G231" s="9" t="s">
        <v>37</v>
      </c>
      <c r="H231" s="11" t="s">
        <v>21</v>
      </c>
      <c r="I231" s="12" t="n">
        <v>45</v>
      </c>
      <c r="J231" s="13" t="n">
        <v>650</v>
      </c>
      <c r="K231" s="14" t="n">
        <f aca="false">I231*J231</f>
        <v>29250</v>
      </c>
      <c r="L231" s="14" t="n">
        <f aca="false">($L$2*M231)/100</f>
        <v>300416.625</v>
      </c>
      <c r="M231" s="15" t="n">
        <v>0.25</v>
      </c>
      <c r="N231" s="9" t="s">
        <v>26</v>
      </c>
    </row>
    <row r="232" customFormat="false" ht="14.25" hidden="false" customHeight="true" outlineLevel="0" collapsed="false">
      <c r="B232" s="9" t="s">
        <v>36</v>
      </c>
      <c r="C232" s="9" t="n">
        <v>1189833</v>
      </c>
      <c r="D232" s="10" t="n">
        <v>44276</v>
      </c>
      <c r="E232" s="9" t="s">
        <v>33</v>
      </c>
      <c r="F232" s="9" t="s">
        <v>34</v>
      </c>
      <c r="G232" s="9" t="s">
        <v>37</v>
      </c>
      <c r="H232" s="11" t="s">
        <v>22</v>
      </c>
      <c r="I232" s="12" t="n">
        <v>45</v>
      </c>
      <c r="J232" s="13" t="n">
        <v>650</v>
      </c>
      <c r="K232" s="14" t="n">
        <f aca="false">I232*J232</f>
        <v>29250</v>
      </c>
      <c r="L232" s="14" t="n">
        <f aca="false">($L$2*M232)/100</f>
        <v>480666.6</v>
      </c>
      <c r="M232" s="15" t="n">
        <v>0.4</v>
      </c>
      <c r="N232" s="9" t="s">
        <v>26</v>
      </c>
    </row>
    <row r="233" customFormat="false" ht="14.25" hidden="false" customHeight="true" outlineLevel="0" collapsed="false">
      <c r="B233" s="9" t="s">
        <v>36</v>
      </c>
      <c r="C233" s="9" t="n">
        <v>1189833</v>
      </c>
      <c r="D233" s="10" t="n">
        <v>44277</v>
      </c>
      <c r="E233" s="9" t="s">
        <v>33</v>
      </c>
      <c r="F233" s="9" t="s">
        <v>34</v>
      </c>
      <c r="G233" s="9" t="s">
        <v>37</v>
      </c>
      <c r="H233" s="11" t="s">
        <v>23</v>
      </c>
      <c r="I233" s="12" t="n">
        <v>45</v>
      </c>
      <c r="J233" s="13" t="n">
        <v>550</v>
      </c>
      <c r="K233" s="14" t="n">
        <f aca="false">I233*J233</f>
        <v>24750</v>
      </c>
      <c r="L233" s="14" t="n">
        <f aca="false">($L$2*M233)/100</f>
        <v>420583.275</v>
      </c>
      <c r="M233" s="15" t="n">
        <v>0.35</v>
      </c>
      <c r="N233" s="9" t="s">
        <v>26</v>
      </c>
    </row>
    <row r="234" customFormat="false" ht="14.25" hidden="false" customHeight="true" outlineLevel="0" collapsed="false">
      <c r="B234" s="9" t="s">
        <v>36</v>
      </c>
      <c r="C234" s="9" t="n">
        <v>1189833</v>
      </c>
      <c r="D234" s="10" t="n">
        <v>44278</v>
      </c>
      <c r="E234" s="9" t="s">
        <v>33</v>
      </c>
      <c r="F234" s="9" t="s">
        <v>34</v>
      </c>
      <c r="G234" s="9" t="s">
        <v>37</v>
      </c>
      <c r="H234" s="11" t="s">
        <v>24</v>
      </c>
      <c r="I234" s="12" t="n">
        <v>50</v>
      </c>
      <c r="J234" s="13" t="n">
        <v>425</v>
      </c>
      <c r="K234" s="14" t="n">
        <f aca="false">I234*J234</f>
        <v>21250</v>
      </c>
      <c r="L234" s="14" t="n">
        <f aca="false">($L$2*M234)/100</f>
        <v>660916.575</v>
      </c>
      <c r="M234" s="15" t="n">
        <v>0.55</v>
      </c>
      <c r="N234" s="9" t="s">
        <v>26</v>
      </c>
    </row>
    <row r="235" customFormat="false" ht="14.25" hidden="false" customHeight="true" outlineLevel="0" collapsed="false">
      <c r="B235" s="9" t="s">
        <v>36</v>
      </c>
      <c r="C235" s="9" t="n">
        <v>1189833</v>
      </c>
      <c r="D235" s="10" t="n">
        <v>44292</v>
      </c>
      <c r="E235" s="9" t="s">
        <v>33</v>
      </c>
      <c r="F235" s="9" t="s">
        <v>34</v>
      </c>
      <c r="G235" s="9" t="s">
        <v>37</v>
      </c>
      <c r="H235" s="11" t="s">
        <v>25</v>
      </c>
      <c r="I235" s="12" t="n">
        <v>45</v>
      </c>
      <c r="J235" s="13" t="n">
        <v>625</v>
      </c>
      <c r="K235" s="14" t="n">
        <f aca="false">I235*J235</f>
        <v>28125</v>
      </c>
      <c r="L235" s="14" t="n">
        <f aca="false">($L$2*M235)/100</f>
        <v>240333.3</v>
      </c>
      <c r="M235" s="15" t="n">
        <v>0.2</v>
      </c>
      <c r="N235" s="9" t="s">
        <v>26</v>
      </c>
    </row>
    <row r="236" customFormat="false" ht="14.25" hidden="false" customHeight="true" outlineLevel="0" collapsed="false">
      <c r="B236" s="9" t="s">
        <v>36</v>
      </c>
      <c r="C236" s="9" t="n">
        <v>1189833</v>
      </c>
      <c r="D236" s="10" t="n">
        <v>44293</v>
      </c>
      <c r="E236" s="9" t="s">
        <v>33</v>
      </c>
      <c r="F236" s="9" t="s">
        <v>34</v>
      </c>
      <c r="G236" s="9" t="s">
        <v>37</v>
      </c>
      <c r="H236" s="11" t="s">
        <v>19</v>
      </c>
      <c r="I236" s="12" t="n">
        <v>45</v>
      </c>
      <c r="J236" s="13" t="n">
        <v>800</v>
      </c>
      <c r="K236" s="14" t="n">
        <f aca="false">I236*J236</f>
        <v>36000</v>
      </c>
      <c r="L236" s="14" t="n">
        <f aca="false">($L$2*M236)/100</f>
        <v>480666.6</v>
      </c>
      <c r="M236" s="15" t="n">
        <v>0.4</v>
      </c>
      <c r="N236" s="9" t="s">
        <v>26</v>
      </c>
    </row>
    <row r="237" customFormat="false" ht="14.25" hidden="false" customHeight="true" outlineLevel="0" collapsed="false">
      <c r="B237" s="9" t="s">
        <v>36</v>
      </c>
      <c r="C237" s="9" t="n">
        <v>1189833</v>
      </c>
      <c r="D237" s="10" t="n">
        <v>44294</v>
      </c>
      <c r="E237" s="9" t="s">
        <v>33</v>
      </c>
      <c r="F237" s="9" t="s">
        <v>34</v>
      </c>
      <c r="G237" s="9" t="s">
        <v>37</v>
      </c>
      <c r="H237" s="11" t="s">
        <v>21</v>
      </c>
      <c r="I237" s="12" t="n">
        <v>50</v>
      </c>
      <c r="J237" s="13" t="n">
        <v>600</v>
      </c>
      <c r="K237" s="14" t="n">
        <f aca="false">I237*J237</f>
        <v>30000</v>
      </c>
      <c r="L237" s="14" t="n">
        <f aca="false">($L$2*M237)/100</f>
        <v>300416.625</v>
      </c>
      <c r="M237" s="15" t="n">
        <v>0.25</v>
      </c>
      <c r="N237" s="9" t="s">
        <v>26</v>
      </c>
    </row>
    <row r="238" customFormat="false" ht="14.25" hidden="false" customHeight="true" outlineLevel="0" collapsed="false">
      <c r="B238" s="9" t="s">
        <v>36</v>
      </c>
      <c r="C238" s="9" t="n">
        <v>1189833</v>
      </c>
      <c r="D238" s="10" t="n">
        <v>44295</v>
      </c>
      <c r="E238" s="9" t="s">
        <v>33</v>
      </c>
      <c r="F238" s="9" t="s">
        <v>34</v>
      </c>
      <c r="G238" s="9" t="s">
        <v>37</v>
      </c>
      <c r="H238" s="11" t="s">
        <v>22</v>
      </c>
      <c r="I238" s="12" t="n">
        <v>50</v>
      </c>
      <c r="J238" s="13" t="n">
        <v>625</v>
      </c>
      <c r="K238" s="14" t="n">
        <f aca="false">I238*J238</f>
        <v>31250</v>
      </c>
      <c r="L238" s="14" t="n">
        <f aca="false">($L$2*M238)/100</f>
        <v>480666.6</v>
      </c>
      <c r="M238" s="15" t="n">
        <v>0.4</v>
      </c>
      <c r="N238" s="9" t="s">
        <v>26</v>
      </c>
    </row>
    <row r="239" customFormat="false" ht="14.25" hidden="false" customHeight="true" outlineLevel="0" collapsed="false">
      <c r="B239" s="9" t="s">
        <v>36</v>
      </c>
      <c r="C239" s="9" t="n">
        <v>1189833</v>
      </c>
      <c r="D239" s="10" t="n">
        <v>44296</v>
      </c>
      <c r="E239" s="9" t="s">
        <v>33</v>
      </c>
      <c r="F239" s="9" t="s">
        <v>34</v>
      </c>
      <c r="G239" s="9" t="s">
        <v>37</v>
      </c>
      <c r="H239" s="11" t="s">
        <v>23</v>
      </c>
      <c r="I239" s="12" t="n">
        <v>45</v>
      </c>
      <c r="J239" s="13" t="n">
        <v>525</v>
      </c>
      <c r="K239" s="14" t="n">
        <f aca="false">I239*J239</f>
        <v>23625</v>
      </c>
      <c r="L239" s="14" t="n">
        <f aca="false">($L$2*M239)/100</f>
        <v>420583.275</v>
      </c>
      <c r="M239" s="15" t="n">
        <v>0.35</v>
      </c>
      <c r="N239" s="9" t="s">
        <v>26</v>
      </c>
    </row>
    <row r="240" customFormat="false" ht="14.25" hidden="false" customHeight="true" outlineLevel="0" collapsed="false">
      <c r="B240" s="9" t="s">
        <v>36</v>
      </c>
      <c r="C240" s="9" t="n">
        <v>1189833</v>
      </c>
      <c r="D240" s="10" t="n">
        <v>44297</v>
      </c>
      <c r="E240" s="9" t="s">
        <v>33</v>
      </c>
      <c r="F240" s="9" t="s">
        <v>34</v>
      </c>
      <c r="G240" s="9" t="s">
        <v>37</v>
      </c>
      <c r="H240" s="11" t="s">
        <v>24</v>
      </c>
      <c r="I240" s="12" t="n">
        <v>50</v>
      </c>
      <c r="J240" s="13" t="n">
        <v>425</v>
      </c>
      <c r="K240" s="14" t="n">
        <f aca="false">I240*J240</f>
        <v>21250</v>
      </c>
      <c r="L240" s="14" t="n">
        <f aca="false">($L$2*M240)/100</f>
        <v>660916.575</v>
      </c>
      <c r="M240" s="15" t="n">
        <v>0.55</v>
      </c>
      <c r="N240" s="9" t="s">
        <v>26</v>
      </c>
    </row>
    <row r="241" customFormat="false" ht="14.25" hidden="false" customHeight="true" outlineLevel="0" collapsed="false">
      <c r="B241" s="9" t="s">
        <v>36</v>
      </c>
      <c r="C241" s="9" t="n">
        <v>1189833</v>
      </c>
      <c r="D241" s="10" t="n">
        <v>44298</v>
      </c>
      <c r="E241" s="9" t="s">
        <v>33</v>
      </c>
      <c r="F241" s="9" t="s">
        <v>34</v>
      </c>
      <c r="G241" s="9" t="s">
        <v>37</v>
      </c>
      <c r="H241" s="11" t="s">
        <v>25</v>
      </c>
      <c r="I241" s="12" t="n">
        <v>65</v>
      </c>
      <c r="J241" s="13" t="n">
        <v>600</v>
      </c>
      <c r="K241" s="14" t="n">
        <f aca="false">I241*J241</f>
        <v>39000</v>
      </c>
      <c r="L241" s="14" t="n">
        <f aca="false">($L$2*M241)/100</f>
        <v>240333.3</v>
      </c>
      <c r="M241" s="15" t="n">
        <v>0.2</v>
      </c>
      <c r="N241" s="9" t="s">
        <v>26</v>
      </c>
    </row>
    <row r="242" customFormat="false" ht="14.25" hidden="false" customHeight="true" outlineLevel="0" collapsed="false">
      <c r="B242" s="9" t="s">
        <v>36</v>
      </c>
      <c r="C242" s="9" t="n">
        <v>1189833</v>
      </c>
      <c r="D242" s="10" t="n">
        <v>44299</v>
      </c>
      <c r="E242" s="9" t="s">
        <v>33</v>
      </c>
      <c r="F242" s="9" t="s">
        <v>34</v>
      </c>
      <c r="G242" s="9" t="s">
        <v>37</v>
      </c>
      <c r="H242" s="11" t="s">
        <v>19</v>
      </c>
      <c r="I242" s="12" t="n">
        <v>45</v>
      </c>
      <c r="J242" s="13" t="n">
        <v>800</v>
      </c>
      <c r="K242" s="14" t="n">
        <f aca="false">I242*J242</f>
        <v>36000</v>
      </c>
      <c r="L242" s="14" t="n">
        <f aca="false">($L$2*M242)/100</f>
        <v>480666.6</v>
      </c>
      <c r="M242" s="15" t="n">
        <v>0.4</v>
      </c>
      <c r="N242" s="9" t="s">
        <v>26</v>
      </c>
    </row>
    <row r="243" customFormat="false" ht="14.25" hidden="false" customHeight="true" outlineLevel="0" collapsed="false">
      <c r="B243" s="9" t="s">
        <v>36</v>
      </c>
      <c r="C243" s="9" t="n">
        <v>1189833</v>
      </c>
      <c r="D243" s="10" t="n">
        <v>44300</v>
      </c>
      <c r="E243" s="9" t="s">
        <v>33</v>
      </c>
      <c r="F243" s="9" t="s">
        <v>34</v>
      </c>
      <c r="G243" s="9" t="s">
        <v>37</v>
      </c>
      <c r="H243" s="11" t="s">
        <v>21</v>
      </c>
      <c r="I243" s="12" t="n">
        <v>50</v>
      </c>
      <c r="J243" s="13" t="n">
        <v>650</v>
      </c>
      <c r="K243" s="14" t="n">
        <f aca="false">I243*J243</f>
        <v>32500</v>
      </c>
      <c r="L243" s="14" t="n">
        <f aca="false">($L$2*M243)/100</f>
        <v>300416.625</v>
      </c>
      <c r="M243" s="15" t="n">
        <v>0.25</v>
      </c>
      <c r="N243" s="9" t="s">
        <v>26</v>
      </c>
    </row>
    <row r="244" customFormat="false" ht="14.25" hidden="false" customHeight="true" outlineLevel="0" collapsed="false">
      <c r="B244" s="9" t="s">
        <v>36</v>
      </c>
      <c r="C244" s="9" t="n">
        <v>1189833</v>
      </c>
      <c r="D244" s="10" t="n">
        <v>44301</v>
      </c>
      <c r="E244" s="9" t="s">
        <v>33</v>
      </c>
      <c r="F244" s="9" t="s">
        <v>34</v>
      </c>
      <c r="G244" s="9" t="s">
        <v>37</v>
      </c>
      <c r="H244" s="11" t="s">
        <v>22</v>
      </c>
      <c r="I244" s="12" t="n">
        <v>50</v>
      </c>
      <c r="J244" s="13" t="n">
        <v>650</v>
      </c>
      <c r="K244" s="14" t="n">
        <f aca="false">I244*J244</f>
        <v>32500</v>
      </c>
      <c r="L244" s="14" t="n">
        <f aca="false">($L$2*M244)/100</f>
        <v>480666.6</v>
      </c>
      <c r="M244" s="15" t="n">
        <v>0.4</v>
      </c>
      <c r="N244" s="9" t="s">
        <v>26</v>
      </c>
    </row>
    <row r="245" customFormat="false" ht="14.25" hidden="false" customHeight="true" outlineLevel="0" collapsed="false">
      <c r="B245" s="9" t="s">
        <v>36</v>
      </c>
      <c r="C245" s="9" t="n">
        <v>1189833</v>
      </c>
      <c r="D245" s="10" t="n">
        <v>44302</v>
      </c>
      <c r="E245" s="9" t="s">
        <v>33</v>
      </c>
      <c r="F245" s="9" t="s">
        <v>34</v>
      </c>
      <c r="G245" s="9" t="s">
        <v>37</v>
      </c>
      <c r="H245" s="11" t="s">
        <v>23</v>
      </c>
      <c r="I245" s="12" t="n">
        <v>45</v>
      </c>
      <c r="J245" s="13" t="n">
        <v>550</v>
      </c>
      <c r="K245" s="14" t="n">
        <f aca="false">I245*J245</f>
        <v>24750</v>
      </c>
      <c r="L245" s="14" t="n">
        <f aca="false">($L$2*M245)/100</f>
        <v>420583.275</v>
      </c>
      <c r="M245" s="15" t="n">
        <v>0.35</v>
      </c>
      <c r="N245" s="9" t="s">
        <v>26</v>
      </c>
    </row>
    <row r="246" customFormat="false" ht="14.25" hidden="false" customHeight="true" outlineLevel="0" collapsed="false">
      <c r="B246" s="9" t="s">
        <v>36</v>
      </c>
      <c r="C246" s="9" t="n">
        <v>1189833</v>
      </c>
      <c r="D246" s="10" t="n">
        <v>44303</v>
      </c>
      <c r="E246" s="9" t="s">
        <v>33</v>
      </c>
      <c r="F246" s="9" t="s">
        <v>34</v>
      </c>
      <c r="G246" s="9" t="s">
        <v>37</v>
      </c>
      <c r="H246" s="11" t="s">
        <v>24</v>
      </c>
      <c r="I246" s="12" t="n">
        <v>50</v>
      </c>
      <c r="J246" s="13" t="n">
        <v>450</v>
      </c>
      <c r="K246" s="14" t="n">
        <f aca="false">I246*J246</f>
        <v>22500</v>
      </c>
      <c r="L246" s="14" t="n">
        <f aca="false">($L$2*M246)/100</f>
        <v>660916.575</v>
      </c>
      <c r="M246" s="15" t="n">
        <v>0.55</v>
      </c>
      <c r="N246" s="9" t="s">
        <v>26</v>
      </c>
    </row>
    <row r="247" customFormat="false" ht="14.25" hidden="false" customHeight="true" outlineLevel="0" collapsed="false">
      <c r="B247" s="9" t="s">
        <v>36</v>
      </c>
      <c r="C247" s="9" t="n">
        <v>1189833</v>
      </c>
      <c r="D247" s="10" t="n">
        <v>44304</v>
      </c>
      <c r="E247" s="9" t="s">
        <v>33</v>
      </c>
      <c r="F247" s="9" t="s">
        <v>34</v>
      </c>
      <c r="G247" s="9" t="s">
        <v>37</v>
      </c>
      <c r="H247" s="11" t="s">
        <v>25</v>
      </c>
      <c r="I247" s="12" t="n">
        <v>65</v>
      </c>
      <c r="J247" s="13" t="n">
        <v>625</v>
      </c>
      <c r="K247" s="14" t="n">
        <f aca="false">I247*J247</f>
        <v>40625</v>
      </c>
      <c r="L247" s="14" t="n">
        <f aca="false">($L$2*M247)/100</f>
        <v>240333.3</v>
      </c>
      <c r="M247" s="15" t="n">
        <v>0.2</v>
      </c>
      <c r="N247" s="9" t="s">
        <v>26</v>
      </c>
    </row>
    <row r="248" customFormat="false" ht="14.25" hidden="false" customHeight="true" outlineLevel="0" collapsed="false">
      <c r="B248" s="9" t="s">
        <v>36</v>
      </c>
      <c r="C248" s="9" t="n">
        <v>1189833</v>
      </c>
      <c r="D248" s="10" t="n">
        <v>44305</v>
      </c>
      <c r="E248" s="9" t="s">
        <v>33</v>
      </c>
      <c r="F248" s="9" t="s">
        <v>34</v>
      </c>
      <c r="G248" s="9" t="s">
        <v>37</v>
      </c>
      <c r="H248" s="11" t="s">
        <v>19</v>
      </c>
      <c r="I248" s="12" t="n">
        <v>45</v>
      </c>
      <c r="J248" s="13" t="n">
        <v>900</v>
      </c>
      <c r="K248" s="14" t="n">
        <f aca="false">I248*J248</f>
        <v>40500</v>
      </c>
      <c r="L248" s="14" t="n">
        <f aca="false">($L$2*M248)/100</f>
        <v>480666.6</v>
      </c>
      <c r="M248" s="15" t="n">
        <v>0.4</v>
      </c>
      <c r="N248" s="9" t="s">
        <v>26</v>
      </c>
    </row>
    <row r="249" customFormat="false" ht="14.25" hidden="false" customHeight="true" outlineLevel="0" collapsed="false">
      <c r="B249" s="9" t="s">
        <v>36</v>
      </c>
      <c r="C249" s="9" t="n">
        <v>1189833</v>
      </c>
      <c r="D249" s="10" t="n">
        <v>44306</v>
      </c>
      <c r="E249" s="9" t="s">
        <v>33</v>
      </c>
      <c r="F249" s="9" t="s">
        <v>34</v>
      </c>
      <c r="G249" s="9" t="s">
        <v>37</v>
      </c>
      <c r="H249" s="11" t="s">
        <v>21</v>
      </c>
      <c r="I249" s="12" t="n">
        <v>50</v>
      </c>
      <c r="J249" s="13" t="n">
        <v>750</v>
      </c>
      <c r="K249" s="14" t="n">
        <f aca="false">I249*J249</f>
        <v>37500</v>
      </c>
      <c r="L249" s="14" t="n">
        <f aca="false">($L$2*M249)/100</f>
        <v>300416.625</v>
      </c>
      <c r="M249" s="15" t="n">
        <v>0.25</v>
      </c>
      <c r="N249" s="9" t="s">
        <v>26</v>
      </c>
    </row>
    <row r="250" customFormat="false" ht="14.25" hidden="false" customHeight="true" outlineLevel="0" collapsed="false">
      <c r="B250" s="9" t="s">
        <v>36</v>
      </c>
      <c r="C250" s="9" t="n">
        <v>1189833</v>
      </c>
      <c r="D250" s="10" t="n">
        <v>44307</v>
      </c>
      <c r="E250" s="9" t="s">
        <v>33</v>
      </c>
      <c r="F250" s="9" t="s">
        <v>34</v>
      </c>
      <c r="G250" s="9" t="s">
        <v>37</v>
      </c>
      <c r="H250" s="11" t="s">
        <v>22</v>
      </c>
      <c r="I250" s="12" t="n">
        <v>50</v>
      </c>
      <c r="J250" s="13" t="n">
        <v>750</v>
      </c>
      <c r="K250" s="14" t="n">
        <f aca="false">I250*J250</f>
        <v>37500</v>
      </c>
      <c r="L250" s="14" t="n">
        <f aca="false">($L$2*M250)/100</f>
        <v>480666.6</v>
      </c>
      <c r="M250" s="15" t="n">
        <v>0.4</v>
      </c>
      <c r="N250" s="9" t="s">
        <v>26</v>
      </c>
    </row>
    <row r="251" customFormat="false" ht="14.25" hidden="false" customHeight="true" outlineLevel="0" collapsed="false">
      <c r="B251" s="9" t="s">
        <v>36</v>
      </c>
      <c r="C251" s="9" t="n">
        <v>1189833</v>
      </c>
      <c r="D251" s="10" t="n">
        <v>44308</v>
      </c>
      <c r="E251" s="9" t="s">
        <v>33</v>
      </c>
      <c r="F251" s="9" t="s">
        <v>34</v>
      </c>
      <c r="G251" s="9" t="s">
        <v>37</v>
      </c>
      <c r="H251" s="11" t="s">
        <v>23</v>
      </c>
      <c r="I251" s="12" t="n">
        <v>45</v>
      </c>
      <c r="J251" s="13" t="n">
        <v>625</v>
      </c>
      <c r="K251" s="14" t="n">
        <f aca="false">I251*J251</f>
        <v>28125</v>
      </c>
      <c r="L251" s="14" t="n">
        <f aca="false">($L$2*M251)/100</f>
        <v>420583.275</v>
      </c>
      <c r="M251" s="15" t="n">
        <v>0.35</v>
      </c>
      <c r="N251" s="9" t="s">
        <v>26</v>
      </c>
    </row>
    <row r="252" customFormat="false" ht="14.25" hidden="false" customHeight="true" outlineLevel="0" collapsed="false">
      <c r="B252" s="9" t="s">
        <v>36</v>
      </c>
      <c r="C252" s="9" t="n">
        <v>1189833</v>
      </c>
      <c r="D252" s="10" t="n">
        <v>44309</v>
      </c>
      <c r="E252" s="9" t="s">
        <v>33</v>
      </c>
      <c r="F252" s="9" t="s">
        <v>34</v>
      </c>
      <c r="G252" s="9" t="s">
        <v>37</v>
      </c>
      <c r="H252" s="11" t="s">
        <v>24</v>
      </c>
      <c r="I252" s="12" t="n">
        <v>50</v>
      </c>
      <c r="J252" s="13" t="n">
        <v>500</v>
      </c>
      <c r="K252" s="14" t="n">
        <f aca="false">I252*J252</f>
        <v>25000</v>
      </c>
      <c r="L252" s="14" t="n">
        <f aca="false">($L$2*M252)/100</f>
        <v>660916.575</v>
      </c>
      <c r="M252" s="15" t="n">
        <v>0.55</v>
      </c>
      <c r="N252" s="9" t="s">
        <v>26</v>
      </c>
    </row>
    <row r="253" customFormat="false" ht="14.25" hidden="false" customHeight="true" outlineLevel="0" collapsed="false">
      <c r="B253" s="9" t="s">
        <v>36</v>
      </c>
      <c r="C253" s="9" t="n">
        <v>1189833</v>
      </c>
      <c r="D253" s="10" t="n">
        <v>44310</v>
      </c>
      <c r="E253" s="9" t="s">
        <v>33</v>
      </c>
      <c r="F253" s="9" t="s">
        <v>34</v>
      </c>
      <c r="G253" s="9" t="s">
        <v>37</v>
      </c>
      <c r="H253" s="11" t="s">
        <v>25</v>
      </c>
      <c r="I253" s="12" t="n">
        <v>65</v>
      </c>
      <c r="J253" s="13" t="n">
        <v>800</v>
      </c>
      <c r="K253" s="14" t="n">
        <f aca="false">I253*J253</f>
        <v>52000</v>
      </c>
      <c r="L253" s="14" t="n">
        <f aca="false">($L$2*M253)/100</f>
        <v>240333.3</v>
      </c>
      <c r="M253" s="15" t="n">
        <v>0.2</v>
      </c>
      <c r="N253" s="9" t="s">
        <v>26</v>
      </c>
    </row>
    <row r="254" customFormat="false" ht="14.25" hidden="false" customHeight="true" outlineLevel="0" collapsed="false">
      <c r="B254" s="9" t="s">
        <v>36</v>
      </c>
      <c r="C254" s="9" t="n">
        <v>1189833</v>
      </c>
      <c r="D254" s="10" t="n">
        <v>44311</v>
      </c>
      <c r="E254" s="9" t="s">
        <v>33</v>
      </c>
      <c r="F254" s="9" t="s">
        <v>34</v>
      </c>
      <c r="G254" s="9" t="s">
        <v>37</v>
      </c>
      <c r="H254" s="11" t="s">
        <v>19</v>
      </c>
      <c r="I254" s="12" t="n">
        <v>45</v>
      </c>
      <c r="J254" s="13" t="n">
        <v>950</v>
      </c>
      <c r="K254" s="14" t="n">
        <f aca="false">I254*J254</f>
        <v>42750</v>
      </c>
      <c r="L254" s="14" t="n">
        <f aca="false">($L$2*M254)/100</f>
        <v>480666.6</v>
      </c>
      <c r="M254" s="15" t="n">
        <v>0.4</v>
      </c>
      <c r="N254" s="9" t="s">
        <v>26</v>
      </c>
    </row>
    <row r="255" customFormat="false" ht="14.25" hidden="false" customHeight="true" outlineLevel="0" collapsed="false">
      <c r="B255" s="9" t="s">
        <v>36</v>
      </c>
      <c r="C255" s="9" t="n">
        <v>1189833</v>
      </c>
      <c r="D255" s="10" t="n">
        <v>44312</v>
      </c>
      <c r="E255" s="9" t="s">
        <v>33</v>
      </c>
      <c r="F255" s="9" t="s">
        <v>34</v>
      </c>
      <c r="G255" s="9" t="s">
        <v>37</v>
      </c>
      <c r="H255" s="11" t="s">
        <v>21</v>
      </c>
      <c r="I255" s="12" t="n">
        <v>50</v>
      </c>
      <c r="J255" s="13" t="n">
        <v>800</v>
      </c>
      <c r="K255" s="14" t="n">
        <f aca="false">I255*J255</f>
        <v>40000</v>
      </c>
      <c r="L255" s="14" t="n">
        <f aca="false">($L$2*M255)/100</f>
        <v>300416.625</v>
      </c>
      <c r="M255" s="15" t="n">
        <v>0.25</v>
      </c>
      <c r="N255" s="9" t="s">
        <v>26</v>
      </c>
    </row>
    <row r="256" customFormat="false" ht="14.25" hidden="false" customHeight="true" outlineLevel="0" collapsed="false">
      <c r="B256" s="9" t="s">
        <v>36</v>
      </c>
      <c r="C256" s="9" t="n">
        <v>1189833</v>
      </c>
      <c r="D256" s="10" t="n">
        <v>44313</v>
      </c>
      <c r="E256" s="9" t="s">
        <v>33</v>
      </c>
      <c r="F256" s="9" t="s">
        <v>34</v>
      </c>
      <c r="G256" s="9" t="s">
        <v>37</v>
      </c>
      <c r="H256" s="11" t="s">
        <v>22</v>
      </c>
      <c r="I256" s="12" t="n">
        <v>50</v>
      </c>
      <c r="J256" s="13" t="n">
        <v>750</v>
      </c>
      <c r="K256" s="14" t="n">
        <f aca="false">I256*J256</f>
        <v>37500</v>
      </c>
      <c r="L256" s="14" t="n">
        <f aca="false">($L$2*M256)/100</f>
        <v>480666.6</v>
      </c>
      <c r="M256" s="15" t="n">
        <v>0.4</v>
      </c>
      <c r="N256" s="9" t="s">
        <v>26</v>
      </c>
    </row>
    <row r="257" customFormat="false" ht="14.25" hidden="false" customHeight="true" outlineLevel="0" collapsed="false">
      <c r="B257" s="9" t="s">
        <v>36</v>
      </c>
      <c r="C257" s="9" t="n">
        <v>1189833</v>
      </c>
      <c r="D257" s="10" t="n">
        <v>44314</v>
      </c>
      <c r="E257" s="9" t="s">
        <v>33</v>
      </c>
      <c r="F257" s="9" t="s">
        <v>34</v>
      </c>
      <c r="G257" s="9" t="s">
        <v>37</v>
      </c>
      <c r="H257" s="11" t="s">
        <v>23</v>
      </c>
      <c r="I257" s="12" t="n">
        <v>45</v>
      </c>
      <c r="J257" s="13" t="n">
        <v>650</v>
      </c>
      <c r="K257" s="14" t="n">
        <f aca="false">I257*J257</f>
        <v>29250</v>
      </c>
      <c r="L257" s="14" t="n">
        <f aca="false">($L$2*M257)/100</f>
        <v>420583.275</v>
      </c>
      <c r="M257" s="15" t="n">
        <v>0.35</v>
      </c>
      <c r="N257" s="9" t="s">
        <v>26</v>
      </c>
    </row>
    <row r="258" customFormat="false" ht="14.25" hidden="false" customHeight="true" outlineLevel="0" collapsed="false">
      <c r="B258" s="9" t="s">
        <v>36</v>
      </c>
      <c r="C258" s="9" t="n">
        <v>1189833</v>
      </c>
      <c r="D258" s="10" t="n">
        <v>44315</v>
      </c>
      <c r="E258" s="9" t="s">
        <v>33</v>
      </c>
      <c r="F258" s="9" t="s">
        <v>34</v>
      </c>
      <c r="G258" s="9" t="s">
        <v>37</v>
      </c>
      <c r="H258" s="11" t="s">
        <v>24</v>
      </c>
      <c r="I258" s="12" t="n">
        <v>50</v>
      </c>
      <c r="J258" s="13" t="n">
        <v>700</v>
      </c>
      <c r="K258" s="14" t="n">
        <f aca="false">I258*J258</f>
        <v>35000</v>
      </c>
      <c r="L258" s="14" t="n">
        <f aca="false">($L$2*M258)/100</f>
        <v>660916.575</v>
      </c>
      <c r="M258" s="15" t="n">
        <v>0.55</v>
      </c>
      <c r="N258" s="9" t="s">
        <v>26</v>
      </c>
    </row>
    <row r="259" customFormat="false" ht="14.25" hidden="false" customHeight="true" outlineLevel="0" collapsed="false">
      <c r="B259" s="9" t="s">
        <v>36</v>
      </c>
      <c r="C259" s="9" t="n">
        <v>1189833</v>
      </c>
      <c r="D259" s="10" t="n">
        <v>44316</v>
      </c>
      <c r="E259" s="9" t="s">
        <v>33</v>
      </c>
      <c r="F259" s="9" t="s">
        <v>34</v>
      </c>
      <c r="G259" s="9" t="s">
        <v>37</v>
      </c>
      <c r="H259" s="11" t="s">
        <v>25</v>
      </c>
      <c r="I259" s="12" t="n">
        <v>65</v>
      </c>
      <c r="J259" s="13" t="n">
        <v>700</v>
      </c>
      <c r="K259" s="14" t="n">
        <f aca="false">I259*J259</f>
        <v>45500</v>
      </c>
      <c r="L259" s="14" t="n">
        <f aca="false">($L$2*M259)/100</f>
        <v>240333.3</v>
      </c>
      <c r="M259" s="15" t="n">
        <v>0.2</v>
      </c>
      <c r="N259" s="9" t="s">
        <v>26</v>
      </c>
    </row>
    <row r="260" customFormat="false" ht="14.25" hidden="false" customHeight="true" outlineLevel="0" collapsed="false">
      <c r="B260" s="9" t="s">
        <v>36</v>
      </c>
      <c r="C260" s="9" t="n">
        <v>1189833</v>
      </c>
      <c r="D260" s="10" t="n">
        <v>44317</v>
      </c>
      <c r="E260" s="9" t="s">
        <v>33</v>
      </c>
      <c r="F260" s="9" t="s">
        <v>34</v>
      </c>
      <c r="G260" s="9" t="s">
        <v>37</v>
      </c>
      <c r="H260" s="11" t="s">
        <v>19</v>
      </c>
      <c r="I260" s="12" t="n">
        <v>50</v>
      </c>
      <c r="J260" s="13" t="n">
        <v>900</v>
      </c>
      <c r="K260" s="14" t="n">
        <f aca="false">I260*J260</f>
        <v>45000</v>
      </c>
      <c r="L260" s="14" t="n">
        <f aca="false">($L$2*M260)/100</f>
        <v>480666.6</v>
      </c>
      <c r="M260" s="15" t="n">
        <v>0.4</v>
      </c>
      <c r="N260" s="9" t="s">
        <v>26</v>
      </c>
    </row>
    <row r="261" customFormat="false" ht="14.25" hidden="false" customHeight="true" outlineLevel="0" collapsed="false">
      <c r="B261" s="9" t="s">
        <v>36</v>
      </c>
      <c r="C261" s="9" t="n">
        <v>1189833</v>
      </c>
      <c r="D261" s="10" t="n">
        <v>44318</v>
      </c>
      <c r="E261" s="9" t="s">
        <v>33</v>
      </c>
      <c r="F261" s="9" t="s">
        <v>34</v>
      </c>
      <c r="G261" s="9" t="s">
        <v>37</v>
      </c>
      <c r="H261" s="11" t="s">
        <v>21</v>
      </c>
      <c r="I261" s="12" t="n">
        <v>55</v>
      </c>
      <c r="J261" s="13" t="n">
        <v>850</v>
      </c>
      <c r="K261" s="14" t="n">
        <f aca="false">I261*J261</f>
        <v>46750</v>
      </c>
      <c r="L261" s="14" t="n">
        <f aca="false">($L$2*M261)/100</f>
        <v>300416.625</v>
      </c>
      <c r="M261" s="15" t="n">
        <v>0.25</v>
      </c>
      <c r="N261" s="9" t="s">
        <v>26</v>
      </c>
    </row>
    <row r="262" customFormat="false" ht="14.25" hidden="false" customHeight="true" outlineLevel="0" collapsed="false">
      <c r="B262" s="9" t="s">
        <v>36</v>
      </c>
      <c r="C262" s="9" t="n">
        <v>1189833</v>
      </c>
      <c r="D262" s="10" t="n">
        <v>44319</v>
      </c>
      <c r="E262" s="9" t="s">
        <v>33</v>
      </c>
      <c r="F262" s="9" t="s">
        <v>34</v>
      </c>
      <c r="G262" s="9" t="s">
        <v>37</v>
      </c>
      <c r="H262" s="11" t="s">
        <v>22</v>
      </c>
      <c r="I262" s="12" t="n">
        <v>50</v>
      </c>
      <c r="J262" s="13" t="n">
        <v>725</v>
      </c>
      <c r="K262" s="14" t="n">
        <f aca="false">I262*J262</f>
        <v>36250</v>
      </c>
      <c r="L262" s="14" t="n">
        <f aca="false">($L$2*M262)/100</f>
        <v>480666.6</v>
      </c>
      <c r="M262" s="15" t="n">
        <v>0.4</v>
      </c>
      <c r="N262" s="9" t="s">
        <v>26</v>
      </c>
    </row>
    <row r="263" customFormat="false" ht="14.25" hidden="false" customHeight="true" outlineLevel="0" collapsed="false">
      <c r="B263" s="9" t="s">
        <v>36</v>
      </c>
      <c r="C263" s="9" t="n">
        <v>1189833</v>
      </c>
      <c r="D263" s="10" t="n">
        <v>44320</v>
      </c>
      <c r="E263" s="9" t="s">
        <v>33</v>
      </c>
      <c r="F263" s="9" t="s">
        <v>34</v>
      </c>
      <c r="G263" s="9" t="s">
        <v>37</v>
      </c>
      <c r="H263" s="11" t="s">
        <v>23</v>
      </c>
      <c r="I263" s="12" t="n">
        <v>50</v>
      </c>
      <c r="J263" s="13" t="n">
        <v>675</v>
      </c>
      <c r="K263" s="14" t="n">
        <f aca="false">I263*J263</f>
        <v>33750</v>
      </c>
      <c r="L263" s="14" t="n">
        <f aca="false">($L$2*M263)/100</f>
        <v>420583.275</v>
      </c>
      <c r="M263" s="15" t="n">
        <v>0.35</v>
      </c>
      <c r="N263" s="9" t="s">
        <v>26</v>
      </c>
    </row>
    <row r="264" customFormat="false" ht="14.25" hidden="false" customHeight="true" outlineLevel="0" collapsed="false">
      <c r="B264" s="9" t="s">
        <v>36</v>
      </c>
      <c r="C264" s="9" t="n">
        <v>1189833</v>
      </c>
      <c r="D264" s="10" t="n">
        <v>44321</v>
      </c>
      <c r="E264" s="9" t="s">
        <v>33</v>
      </c>
      <c r="F264" s="9" t="s">
        <v>34</v>
      </c>
      <c r="G264" s="9" t="s">
        <v>37</v>
      </c>
      <c r="H264" s="11" t="s">
        <v>24</v>
      </c>
      <c r="I264" s="12" t="n">
        <v>60</v>
      </c>
      <c r="J264" s="13" t="n">
        <v>675</v>
      </c>
      <c r="K264" s="14" t="n">
        <f aca="false">I264*J264</f>
        <v>40500</v>
      </c>
      <c r="L264" s="14" t="n">
        <f aca="false">($L$2*M264)/100</f>
        <v>660916.575</v>
      </c>
      <c r="M264" s="15" t="n">
        <v>0.55</v>
      </c>
      <c r="N264" s="9" t="s">
        <v>26</v>
      </c>
    </row>
    <row r="265" customFormat="false" ht="14.25" hidden="false" customHeight="true" outlineLevel="0" collapsed="false">
      <c r="B265" s="9" t="s">
        <v>36</v>
      </c>
      <c r="C265" s="9" t="n">
        <v>1189833</v>
      </c>
      <c r="D265" s="10" t="n">
        <v>44322</v>
      </c>
      <c r="E265" s="9" t="s">
        <v>33</v>
      </c>
      <c r="F265" s="9" t="s">
        <v>34</v>
      </c>
      <c r="G265" s="9" t="s">
        <v>37</v>
      </c>
      <c r="H265" s="11" t="s">
        <v>25</v>
      </c>
      <c r="I265" s="12" t="n">
        <v>65</v>
      </c>
      <c r="J265" s="13" t="n">
        <v>650</v>
      </c>
      <c r="K265" s="14" t="n">
        <f aca="false">I265*J265</f>
        <v>42250</v>
      </c>
      <c r="L265" s="14" t="n">
        <f aca="false">($L$2*M265)/100</f>
        <v>240333.3</v>
      </c>
      <c r="M265" s="15" t="n">
        <v>0.2</v>
      </c>
      <c r="N265" s="9" t="s">
        <v>26</v>
      </c>
    </row>
    <row r="266" customFormat="false" ht="14.25" hidden="false" customHeight="true" outlineLevel="0" collapsed="false">
      <c r="B266" s="9" t="s">
        <v>36</v>
      </c>
      <c r="C266" s="9" t="n">
        <v>1189833</v>
      </c>
      <c r="D266" s="10" t="n">
        <v>44323</v>
      </c>
      <c r="E266" s="9" t="s">
        <v>33</v>
      </c>
      <c r="F266" s="9" t="s">
        <v>34</v>
      </c>
      <c r="G266" s="9" t="s">
        <v>37</v>
      </c>
      <c r="H266" s="11" t="s">
        <v>19</v>
      </c>
      <c r="I266" s="12" t="n">
        <v>50</v>
      </c>
      <c r="J266" s="13" t="n">
        <v>850</v>
      </c>
      <c r="K266" s="14" t="n">
        <f aca="false">I266*J266</f>
        <v>42500</v>
      </c>
      <c r="L266" s="14" t="n">
        <f aca="false">($L$2*M266)/100</f>
        <v>480666.6</v>
      </c>
      <c r="M266" s="15" t="n">
        <v>0.4</v>
      </c>
      <c r="N266" s="9" t="s">
        <v>26</v>
      </c>
    </row>
    <row r="267" customFormat="false" ht="14.25" hidden="false" customHeight="true" outlineLevel="0" collapsed="false">
      <c r="B267" s="9" t="s">
        <v>36</v>
      </c>
      <c r="C267" s="9" t="n">
        <v>1189833</v>
      </c>
      <c r="D267" s="10" t="n">
        <v>44324</v>
      </c>
      <c r="E267" s="9" t="s">
        <v>33</v>
      </c>
      <c r="F267" s="9" t="s">
        <v>34</v>
      </c>
      <c r="G267" s="9" t="s">
        <v>37</v>
      </c>
      <c r="H267" s="11" t="s">
        <v>21</v>
      </c>
      <c r="I267" s="12" t="n">
        <v>55</v>
      </c>
      <c r="J267" s="13" t="n">
        <v>850</v>
      </c>
      <c r="K267" s="14" t="n">
        <f aca="false">I267*J267</f>
        <v>46750</v>
      </c>
      <c r="L267" s="14" t="n">
        <f aca="false">($L$2*M267)/100</f>
        <v>300416.625</v>
      </c>
      <c r="M267" s="15" t="n">
        <v>0.25</v>
      </c>
      <c r="N267" s="9" t="s">
        <v>26</v>
      </c>
    </row>
    <row r="268" customFormat="false" ht="14.25" hidden="false" customHeight="true" outlineLevel="0" collapsed="false">
      <c r="B268" s="9" t="s">
        <v>36</v>
      </c>
      <c r="C268" s="9" t="n">
        <v>1189833</v>
      </c>
      <c r="D268" s="10" t="n">
        <v>44325</v>
      </c>
      <c r="E268" s="9" t="s">
        <v>33</v>
      </c>
      <c r="F268" s="9" t="s">
        <v>34</v>
      </c>
      <c r="G268" s="9" t="s">
        <v>37</v>
      </c>
      <c r="H268" s="11" t="s">
        <v>22</v>
      </c>
      <c r="I268" s="12" t="n">
        <v>50</v>
      </c>
      <c r="J268" s="13" t="n">
        <v>700</v>
      </c>
      <c r="K268" s="14" t="n">
        <f aca="false">I268*J268</f>
        <v>35000</v>
      </c>
      <c r="L268" s="14" t="n">
        <f aca="false">($L$2*M268)/100</f>
        <v>480666.6</v>
      </c>
      <c r="M268" s="15" t="n">
        <v>0.4</v>
      </c>
      <c r="N268" s="9" t="s">
        <v>26</v>
      </c>
    </row>
    <row r="269" customFormat="false" ht="14.25" hidden="false" customHeight="true" outlineLevel="0" collapsed="false">
      <c r="B269" s="9" t="s">
        <v>36</v>
      </c>
      <c r="C269" s="9" t="n">
        <v>1189833</v>
      </c>
      <c r="D269" s="10" t="n">
        <v>44326</v>
      </c>
      <c r="E269" s="9" t="s">
        <v>33</v>
      </c>
      <c r="F269" s="9" t="s">
        <v>34</v>
      </c>
      <c r="G269" s="9" t="s">
        <v>37</v>
      </c>
      <c r="H269" s="11" t="s">
        <v>23</v>
      </c>
      <c r="I269" s="12" t="n">
        <v>50</v>
      </c>
      <c r="J269" s="13" t="n">
        <v>650</v>
      </c>
      <c r="K269" s="14" t="n">
        <f aca="false">I269*J269</f>
        <v>32500</v>
      </c>
      <c r="L269" s="14" t="n">
        <f aca="false">($L$2*M269)/100</f>
        <v>420583.275</v>
      </c>
      <c r="M269" s="15" t="n">
        <v>0.35</v>
      </c>
      <c r="N269" s="9" t="s">
        <v>26</v>
      </c>
    </row>
    <row r="270" customFormat="false" ht="14.25" hidden="false" customHeight="true" outlineLevel="0" collapsed="false">
      <c r="B270" s="9" t="s">
        <v>36</v>
      </c>
      <c r="C270" s="9" t="n">
        <v>1189833</v>
      </c>
      <c r="D270" s="10" t="n">
        <v>44327</v>
      </c>
      <c r="E270" s="9" t="s">
        <v>33</v>
      </c>
      <c r="F270" s="9" t="s">
        <v>34</v>
      </c>
      <c r="G270" s="9" t="s">
        <v>37</v>
      </c>
      <c r="H270" s="11" t="s">
        <v>24</v>
      </c>
      <c r="I270" s="12" t="n">
        <v>60</v>
      </c>
      <c r="J270" s="13" t="n">
        <v>650</v>
      </c>
      <c r="K270" s="14" t="n">
        <f aca="false">I270*J270</f>
        <v>39000</v>
      </c>
      <c r="L270" s="14" t="n">
        <f aca="false">($L$2*M270)/100</f>
        <v>660916.575</v>
      </c>
      <c r="M270" s="15" t="n">
        <v>0.55</v>
      </c>
      <c r="N270" s="9" t="s">
        <v>26</v>
      </c>
    </row>
    <row r="271" customFormat="false" ht="14.25" hidden="false" customHeight="true" outlineLevel="0" collapsed="false">
      <c r="B271" s="9" t="s">
        <v>36</v>
      </c>
      <c r="C271" s="9" t="n">
        <v>1189833</v>
      </c>
      <c r="D271" s="10" t="n">
        <v>44328</v>
      </c>
      <c r="E271" s="9" t="s">
        <v>33</v>
      </c>
      <c r="F271" s="9" t="s">
        <v>34</v>
      </c>
      <c r="G271" s="9" t="s">
        <v>37</v>
      </c>
      <c r="H271" s="11" t="s">
        <v>25</v>
      </c>
      <c r="I271" s="12" t="n">
        <v>65</v>
      </c>
      <c r="J271" s="13" t="n">
        <v>700</v>
      </c>
      <c r="K271" s="14" t="n">
        <f aca="false">I271*J271</f>
        <v>45500</v>
      </c>
      <c r="L271" s="14" t="n">
        <f aca="false">($L$2*M271)/100</f>
        <v>240333.3</v>
      </c>
      <c r="M271" s="15" t="n">
        <v>0.2</v>
      </c>
      <c r="N271" s="9" t="s">
        <v>26</v>
      </c>
    </row>
    <row r="272" customFormat="false" ht="14.25" hidden="false" customHeight="true" outlineLevel="0" collapsed="false">
      <c r="B272" s="9" t="s">
        <v>36</v>
      </c>
      <c r="C272" s="9" t="n">
        <v>1189833</v>
      </c>
      <c r="D272" s="10" t="n">
        <v>44329</v>
      </c>
      <c r="E272" s="9" t="s">
        <v>33</v>
      </c>
      <c r="F272" s="9" t="s">
        <v>34</v>
      </c>
      <c r="G272" s="9" t="s">
        <v>37</v>
      </c>
      <c r="H272" s="11" t="s">
        <v>19</v>
      </c>
      <c r="I272" s="12" t="n">
        <v>50</v>
      </c>
      <c r="J272" s="13" t="n">
        <v>800</v>
      </c>
      <c r="K272" s="14" t="n">
        <f aca="false">I272*J272</f>
        <v>40000</v>
      </c>
      <c r="L272" s="14" t="n">
        <f aca="false">($L$2*M272)/100</f>
        <v>480666.6</v>
      </c>
      <c r="M272" s="15" t="n">
        <v>0.4</v>
      </c>
      <c r="N272" s="9" t="s">
        <v>26</v>
      </c>
    </row>
    <row r="273" customFormat="false" ht="14.25" hidden="false" customHeight="true" outlineLevel="0" collapsed="false">
      <c r="B273" s="9" t="s">
        <v>36</v>
      </c>
      <c r="C273" s="9" t="n">
        <v>1189833</v>
      </c>
      <c r="D273" s="10" t="n">
        <v>44330</v>
      </c>
      <c r="E273" s="9" t="s">
        <v>33</v>
      </c>
      <c r="F273" s="9" t="s">
        <v>34</v>
      </c>
      <c r="G273" s="9" t="s">
        <v>37</v>
      </c>
      <c r="H273" s="11" t="s">
        <v>21</v>
      </c>
      <c r="I273" s="12" t="n">
        <v>55</v>
      </c>
      <c r="J273" s="13" t="n">
        <v>800</v>
      </c>
      <c r="K273" s="14" t="n">
        <f aca="false">I273*J273</f>
        <v>44000</v>
      </c>
      <c r="L273" s="14" t="n">
        <f aca="false">($L$2*M273)/100</f>
        <v>300416.625</v>
      </c>
      <c r="M273" s="15" t="n">
        <v>0.25</v>
      </c>
      <c r="N273" s="9" t="s">
        <v>26</v>
      </c>
    </row>
    <row r="274" customFormat="false" ht="14.25" hidden="false" customHeight="true" outlineLevel="0" collapsed="false">
      <c r="B274" s="9" t="s">
        <v>36</v>
      </c>
      <c r="C274" s="9" t="n">
        <v>1189833</v>
      </c>
      <c r="D274" s="10" t="n">
        <v>44331</v>
      </c>
      <c r="E274" s="9" t="s">
        <v>33</v>
      </c>
      <c r="F274" s="9" t="s">
        <v>34</v>
      </c>
      <c r="G274" s="9" t="s">
        <v>37</v>
      </c>
      <c r="H274" s="11" t="s">
        <v>22</v>
      </c>
      <c r="I274" s="12" t="n">
        <v>50</v>
      </c>
      <c r="J274" s="13" t="n">
        <v>650</v>
      </c>
      <c r="K274" s="14" t="n">
        <f aca="false">I274*J274</f>
        <v>32500</v>
      </c>
      <c r="L274" s="14" t="n">
        <f aca="false">($L$2*M274)/100</f>
        <v>480666.6</v>
      </c>
      <c r="M274" s="15" t="n">
        <v>0.4</v>
      </c>
      <c r="N274" s="9" t="s">
        <v>26</v>
      </c>
    </row>
    <row r="275" customFormat="false" ht="14.25" hidden="false" customHeight="true" outlineLevel="0" collapsed="false">
      <c r="B275" s="9" t="s">
        <v>36</v>
      </c>
      <c r="C275" s="9" t="n">
        <v>1189833</v>
      </c>
      <c r="D275" s="10" t="n">
        <v>44332</v>
      </c>
      <c r="E275" s="9" t="s">
        <v>33</v>
      </c>
      <c r="F275" s="9" t="s">
        <v>34</v>
      </c>
      <c r="G275" s="9" t="s">
        <v>37</v>
      </c>
      <c r="H275" s="11" t="s">
        <v>23</v>
      </c>
      <c r="I275" s="12" t="n">
        <v>50</v>
      </c>
      <c r="J275" s="13" t="n">
        <v>625</v>
      </c>
      <c r="K275" s="14" t="n">
        <f aca="false">I275*J275</f>
        <v>31250</v>
      </c>
      <c r="L275" s="14" t="n">
        <f aca="false">($L$2*M275)/100</f>
        <v>420583.275</v>
      </c>
      <c r="M275" s="15" t="n">
        <v>0.35</v>
      </c>
      <c r="N275" s="9" t="s">
        <v>26</v>
      </c>
    </row>
    <row r="276" customFormat="false" ht="14.25" hidden="false" customHeight="true" outlineLevel="0" collapsed="false">
      <c r="B276" s="9" t="s">
        <v>36</v>
      </c>
      <c r="C276" s="9" t="n">
        <v>1189833</v>
      </c>
      <c r="D276" s="10" t="n">
        <v>44333</v>
      </c>
      <c r="E276" s="9" t="s">
        <v>33</v>
      </c>
      <c r="F276" s="9" t="s">
        <v>34</v>
      </c>
      <c r="G276" s="9" t="s">
        <v>37</v>
      </c>
      <c r="H276" s="11" t="s">
        <v>24</v>
      </c>
      <c r="I276" s="12" t="n">
        <v>60</v>
      </c>
      <c r="J276" s="13" t="n">
        <v>600</v>
      </c>
      <c r="K276" s="14" t="n">
        <f aca="false">I276*J276</f>
        <v>36000</v>
      </c>
      <c r="L276" s="14" t="n">
        <f aca="false">($L$2*M276)/100</f>
        <v>660916.575</v>
      </c>
      <c r="M276" s="15" t="n">
        <v>0.55</v>
      </c>
      <c r="N276" s="9" t="s">
        <v>26</v>
      </c>
    </row>
    <row r="277" customFormat="false" ht="14.25" hidden="false" customHeight="true" outlineLevel="0" collapsed="false">
      <c r="B277" s="9" t="s">
        <v>36</v>
      </c>
      <c r="C277" s="9" t="n">
        <v>1189833</v>
      </c>
      <c r="D277" s="10" t="n">
        <v>44334</v>
      </c>
      <c r="E277" s="9" t="s">
        <v>33</v>
      </c>
      <c r="F277" s="9" t="s">
        <v>34</v>
      </c>
      <c r="G277" s="9" t="s">
        <v>37</v>
      </c>
      <c r="H277" s="11" t="s">
        <v>25</v>
      </c>
      <c r="I277" s="12" t="n">
        <v>65</v>
      </c>
      <c r="J277" s="13" t="n">
        <v>650</v>
      </c>
      <c r="K277" s="14" t="n">
        <f aca="false">I277*J277</f>
        <v>42250</v>
      </c>
      <c r="L277" s="14" t="n">
        <f aca="false">($L$2*M277)/100</f>
        <v>240333.3</v>
      </c>
      <c r="M277" s="15" t="n">
        <v>0.2</v>
      </c>
      <c r="N277" s="9" t="s">
        <v>26</v>
      </c>
    </row>
    <row r="278" customFormat="false" ht="14.25" hidden="false" customHeight="true" outlineLevel="0" collapsed="false">
      <c r="B278" s="9" t="s">
        <v>36</v>
      </c>
      <c r="C278" s="9" t="n">
        <v>1189833</v>
      </c>
      <c r="D278" s="10" t="n">
        <v>44335</v>
      </c>
      <c r="E278" s="9" t="s">
        <v>33</v>
      </c>
      <c r="F278" s="9" t="s">
        <v>34</v>
      </c>
      <c r="G278" s="9" t="s">
        <v>37</v>
      </c>
      <c r="H278" s="11" t="s">
        <v>19</v>
      </c>
      <c r="I278" s="12" t="n">
        <v>50</v>
      </c>
      <c r="J278" s="13" t="n">
        <v>825</v>
      </c>
      <c r="K278" s="14" t="n">
        <f aca="false">I278*J278</f>
        <v>41250</v>
      </c>
      <c r="L278" s="14" t="n">
        <f aca="false">($L$2*M278)/100</f>
        <v>480666.6</v>
      </c>
      <c r="M278" s="15" t="n">
        <v>0.4</v>
      </c>
      <c r="N278" s="9" t="s">
        <v>26</v>
      </c>
    </row>
    <row r="279" customFormat="false" ht="14.25" hidden="false" customHeight="true" outlineLevel="0" collapsed="false">
      <c r="B279" s="9" t="s">
        <v>36</v>
      </c>
      <c r="C279" s="9" t="n">
        <v>1189833</v>
      </c>
      <c r="D279" s="10" t="n">
        <v>44336</v>
      </c>
      <c r="E279" s="9" t="s">
        <v>33</v>
      </c>
      <c r="F279" s="9" t="s">
        <v>34</v>
      </c>
      <c r="G279" s="9" t="s">
        <v>37</v>
      </c>
      <c r="H279" s="11" t="s">
        <v>21</v>
      </c>
      <c r="I279" s="12" t="n">
        <v>55</v>
      </c>
      <c r="J279" s="13" t="n">
        <v>825</v>
      </c>
      <c r="K279" s="14" t="n">
        <f aca="false">I279*J279</f>
        <v>45375</v>
      </c>
      <c r="L279" s="14" t="n">
        <f aca="false">($L$2*M279)/100</f>
        <v>300416.625</v>
      </c>
      <c r="M279" s="15" t="n">
        <v>0.25</v>
      </c>
      <c r="N279" s="9" t="s">
        <v>26</v>
      </c>
    </row>
    <row r="280" customFormat="false" ht="14.25" hidden="false" customHeight="true" outlineLevel="0" collapsed="false">
      <c r="B280" s="9" t="s">
        <v>36</v>
      </c>
      <c r="C280" s="9" t="n">
        <v>1189833</v>
      </c>
      <c r="D280" s="10" t="n">
        <v>44337</v>
      </c>
      <c r="E280" s="9" t="s">
        <v>33</v>
      </c>
      <c r="F280" s="9" t="s">
        <v>34</v>
      </c>
      <c r="G280" s="9" t="s">
        <v>37</v>
      </c>
      <c r="H280" s="11" t="s">
        <v>22</v>
      </c>
      <c r="I280" s="12" t="n">
        <v>50</v>
      </c>
      <c r="J280" s="13" t="n">
        <v>675</v>
      </c>
      <c r="K280" s="14" t="n">
        <f aca="false">I280*J280</f>
        <v>33750</v>
      </c>
      <c r="L280" s="14" t="n">
        <f aca="false">($L$2*M280)/100</f>
        <v>480666.6</v>
      </c>
      <c r="M280" s="15" t="n">
        <v>0.4</v>
      </c>
      <c r="N280" s="9" t="s">
        <v>26</v>
      </c>
    </row>
    <row r="281" customFormat="false" ht="14.25" hidden="false" customHeight="true" outlineLevel="0" collapsed="false">
      <c r="B281" s="9" t="s">
        <v>36</v>
      </c>
      <c r="C281" s="9" t="n">
        <v>1189833</v>
      </c>
      <c r="D281" s="10" t="n">
        <v>44338</v>
      </c>
      <c r="E281" s="9" t="s">
        <v>33</v>
      </c>
      <c r="F281" s="9" t="s">
        <v>34</v>
      </c>
      <c r="G281" s="9" t="s">
        <v>37</v>
      </c>
      <c r="H281" s="11" t="s">
        <v>23</v>
      </c>
      <c r="I281" s="12" t="n">
        <v>50</v>
      </c>
      <c r="J281" s="13" t="n">
        <v>650</v>
      </c>
      <c r="K281" s="14" t="n">
        <f aca="false">I281*J281</f>
        <v>32500</v>
      </c>
      <c r="L281" s="14" t="n">
        <f aca="false">($L$2*M281)/100</f>
        <v>420583.275</v>
      </c>
      <c r="M281" s="15" t="n">
        <v>0.35</v>
      </c>
      <c r="N281" s="9" t="s">
        <v>26</v>
      </c>
    </row>
    <row r="282" customFormat="false" ht="14.25" hidden="false" customHeight="true" outlineLevel="0" collapsed="false">
      <c r="B282" s="9" t="s">
        <v>36</v>
      </c>
      <c r="C282" s="9" t="n">
        <v>1189833</v>
      </c>
      <c r="D282" s="10" t="n">
        <v>44339</v>
      </c>
      <c r="E282" s="9" t="s">
        <v>33</v>
      </c>
      <c r="F282" s="9" t="s">
        <v>34</v>
      </c>
      <c r="G282" s="9" t="s">
        <v>37</v>
      </c>
      <c r="H282" s="11" t="s">
        <v>24</v>
      </c>
      <c r="I282" s="12" t="n">
        <v>60</v>
      </c>
      <c r="J282" s="13" t="n">
        <v>600</v>
      </c>
      <c r="K282" s="14" t="n">
        <f aca="false">I282*J282</f>
        <v>36000</v>
      </c>
      <c r="L282" s="14" t="n">
        <f aca="false">($L$2*M282)/100</f>
        <v>660916.575</v>
      </c>
      <c r="M282" s="15" t="n">
        <v>0.55</v>
      </c>
      <c r="N282" s="9" t="s">
        <v>26</v>
      </c>
    </row>
    <row r="283" customFormat="false" ht="14.25" hidden="false" customHeight="true" outlineLevel="0" collapsed="false">
      <c r="B283" s="9" t="s">
        <v>36</v>
      </c>
      <c r="C283" s="9" t="n">
        <v>1189833</v>
      </c>
      <c r="D283" s="10" t="n">
        <v>44340</v>
      </c>
      <c r="E283" s="9" t="s">
        <v>33</v>
      </c>
      <c r="F283" s="9" t="s">
        <v>34</v>
      </c>
      <c r="G283" s="9" t="s">
        <v>37</v>
      </c>
      <c r="H283" s="11" t="s">
        <v>25</v>
      </c>
      <c r="I283" s="12" t="n">
        <v>65</v>
      </c>
      <c r="J283" s="13" t="n">
        <v>700</v>
      </c>
      <c r="K283" s="14" t="n">
        <f aca="false">I283*J283</f>
        <v>45500</v>
      </c>
      <c r="L283" s="14" t="n">
        <f aca="false">($L$2*M283)/100</f>
        <v>240333.3</v>
      </c>
      <c r="M283" s="15" t="n">
        <v>0.2</v>
      </c>
      <c r="N283" s="9" t="s">
        <v>26</v>
      </c>
    </row>
    <row r="284" customFormat="false" ht="14.25" hidden="false" customHeight="true" outlineLevel="0" collapsed="false">
      <c r="B284" s="9" t="s">
        <v>36</v>
      </c>
      <c r="C284" s="9" t="n">
        <v>1189833</v>
      </c>
      <c r="D284" s="10" t="n">
        <v>44341</v>
      </c>
      <c r="E284" s="9" t="s">
        <v>33</v>
      </c>
      <c r="F284" s="9" t="s">
        <v>34</v>
      </c>
      <c r="G284" s="9" t="s">
        <v>37</v>
      </c>
      <c r="H284" s="11" t="s">
        <v>19</v>
      </c>
      <c r="I284" s="12" t="n">
        <v>50</v>
      </c>
      <c r="J284" s="13" t="n">
        <v>900</v>
      </c>
      <c r="K284" s="14" t="n">
        <f aca="false">I284*J284</f>
        <v>45000</v>
      </c>
      <c r="L284" s="14" t="n">
        <f aca="false">($L$2*M284)/100</f>
        <v>480666.6</v>
      </c>
      <c r="M284" s="15" t="n">
        <v>0.4</v>
      </c>
      <c r="N284" s="9" t="s">
        <v>26</v>
      </c>
    </row>
    <row r="285" customFormat="false" ht="14.25" hidden="false" customHeight="true" outlineLevel="0" collapsed="false">
      <c r="B285" s="9" t="s">
        <v>36</v>
      </c>
      <c r="C285" s="9" t="n">
        <v>1189833</v>
      </c>
      <c r="D285" s="10" t="n">
        <v>44342</v>
      </c>
      <c r="E285" s="9" t="s">
        <v>33</v>
      </c>
      <c r="F285" s="9" t="s">
        <v>34</v>
      </c>
      <c r="G285" s="9" t="s">
        <v>37</v>
      </c>
      <c r="H285" s="11" t="s">
        <v>21</v>
      </c>
      <c r="I285" s="12" t="n">
        <v>55</v>
      </c>
      <c r="J285" s="13" t="n">
        <v>900</v>
      </c>
      <c r="K285" s="14" t="n">
        <f aca="false">I285*J285</f>
        <v>49500</v>
      </c>
      <c r="L285" s="14" t="n">
        <f aca="false">($L$2*M285)/100</f>
        <v>300416.625</v>
      </c>
      <c r="M285" s="15" t="n">
        <v>0.25</v>
      </c>
      <c r="N285" s="9" t="s">
        <v>26</v>
      </c>
    </row>
    <row r="286" customFormat="false" ht="14.25" hidden="false" customHeight="true" outlineLevel="0" collapsed="false">
      <c r="B286" s="9" t="s">
        <v>36</v>
      </c>
      <c r="C286" s="9" t="n">
        <v>1189833</v>
      </c>
      <c r="D286" s="10" t="n">
        <v>44343</v>
      </c>
      <c r="E286" s="9" t="s">
        <v>33</v>
      </c>
      <c r="F286" s="9" t="s">
        <v>34</v>
      </c>
      <c r="G286" s="9" t="s">
        <v>37</v>
      </c>
      <c r="H286" s="11" t="s">
        <v>22</v>
      </c>
      <c r="I286" s="12" t="n">
        <v>50</v>
      </c>
      <c r="J286" s="13" t="n">
        <v>700</v>
      </c>
      <c r="K286" s="14" t="n">
        <f aca="false">I286*J286</f>
        <v>35000</v>
      </c>
      <c r="L286" s="14" t="n">
        <f aca="false">($L$2*M286)/100</f>
        <v>480666.6</v>
      </c>
      <c r="M286" s="15" t="n">
        <v>0.4</v>
      </c>
      <c r="N286" s="9" t="s">
        <v>26</v>
      </c>
    </row>
    <row r="287" customFormat="false" ht="14.25" hidden="false" customHeight="true" outlineLevel="0" collapsed="false">
      <c r="B287" s="9" t="s">
        <v>36</v>
      </c>
      <c r="C287" s="9" t="n">
        <v>1189833</v>
      </c>
      <c r="D287" s="10" t="n">
        <v>44344</v>
      </c>
      <c r="E287" s="9" t="s">
        <v>33</v>
      </c>
      <c r="F287" s="9" t="s">
        <v>34</v>
      </c>
      <c r="G287" s="9" t="s">
        <v>37</v>
      </c>
      <c r="H287" s="11" t="s">
        <v>23</v>
      </c>
      <c r="I287" s="12" t="n">
        <v>50</v>
      </c>
      <c r="J287" s="13" t="n">
        <v>700</v>
      </c>
      <c r="K287" s="14" t="n">
        <f aca="false">I287*J287</f>
        <v>35000</v>
      </c>
      <c r="L287" s="14" t="n">
        <f aca="false">($L$2*M287)/100</f>
        <v>420583.275</v>
      </c>
      <c r="M287" s="15" t="n">
        <v>0.35</v>
      </c>
      <c r="N287" s="9" t="s">
        <v>26</v>
      </c>
    </row>
    <row r="288" customFormat="false" ht="14.25" hidden="false" customHeight="true" outlineLevel="0" collapsed="false">
      <c r="B288" s="9" t="s">
        <v>36</v>
      </c>
      <c r="C288" s="9" t="n">
        <v>1189833</v>
      </c>
      <c r="D288" s="10" t="n">
        <v>44345</v>
      </c>
      <c r="E288" s="9" t="s">
        <v>33</v>
      </c>
      <c r="F288" s="9" t="s">
        <v>34</v>
      </c>
      <c r="G288" s="9" t="s">
        <v>37</v>
      </c>
      <c r="H288" s="11" t="s">
        <v>24</v>
      </c>
      <c r="I288" s="12" t="n">
        <v>60</v>
      </c>
      <c r="J288" s="13" t="n">
        <v>625</v>
      </c>
      <c r="K288" s="14" t="n">
        <f aca="false">I288*J288</f>
        <v>37500</v>
      </c>
      <c r="L288" s="14" t="n">
        <f aca="false">($L$2*M288)/100</f>
        <v>660916.575</v>
      </c>
      <c r="M288" s="15" t="n">
        <v>0.55</v>
      </c>
      <c r="N288" s="9" t="s">
        <v>26</v>
      </c>
    </row>
    <row r="289" customFormat="false" ht="14.25" hidden="false" customHeight="true" outlineLevel="0" collapsed="false">
      <c r="B289" s="9" t="s">
        <v>36</v>
      </c>
      <c r="C289" s="9" t="n">
        <v>1189833</v>
      </c>
      <c r="D289" s="10" t="n">
        <v>44346</v>
      </c>
      <c r="E289" s="9" t="s">
        <v>33</v>
      </c>
      <c r="F289" s="9" t="s">
        <v>34</v>
      </c>
      <c r="G289" s="9" t="s">
        <v>37</v>
      </c>
      <c r="H289" s="11" t="s">
        <v>25</v>
      </c>
      <c r="I289" s="12" t="n">
        <v>65</v>
      </c>
      <c r="J289" s="13" t="n">
        <v>725</v>
      </c>
      <c r="K289" s="14" t="n">
        <f aca="false">I289*J289</f>
        <v>47125</v>
      </c>
      <c r="L289" s="14" t="n">
        <f aca="false">($L$2*M289)/100</f>
        <v>240333.3</v>
      </c>
      <c r="M289" s="15" t="n">
        <v>0.2</v>
      </c>
      <c r="N289" s="9" t="s">
        <v>26</v>
      </c>
    </row>
    <row r="290" customFormat="false" ht="14.25" hidden="false" customHeight="true" outlineLevel="0" collapsed="false">
      <c r="B290" s="9" t="s">
        <v>16</v>
      </c>
      <c r="C290" s="9" t="n">
        <v>1185732</v>
      </c>
      <c r="D290" s="10" t="n">
        <v>44347</v>
      </c>
      <c r="E290" s="9" t="s">
        <v>33</v>
      </c>
      <c r="F290" s="9" t="s">
        <v>34</v>
      </c>
      <c r="G290" s="9" t="s">
        <v>37</v>
      </c>
      <c r="H290" s="11" t="s">
        <v>19</v>
      </c>
      <c r="I290" s="12" t="n">
        <v>45</v>
      </c>
      <c r="J290" s="13" t="n">
        <v>475</v>
      </c>
      <c r="K290" s="14" t="n">
        <f aca="false">I290*J290</f>
        <v>21375</v>
      </c>
      <c r="L290" s="14" t="n">
        <f aca="false">($L$2*M290)/100</f>
        <v>480666.6</v>
      </c>
      <c r="M290" s="15" t="n">
        <v>0.4</v>
      </c>
      <c r="N290" s="9" t="s">
        <v>26</v>
      </c>
    </row>
    <row r="291" customFormat="false" ht="14.25" hidden="false" customHeight="true" outlineLevel="0" collapsed="false">
      <c r="B291" s="9" t="s">
        <v>16</v>
      </c>
      <c r="C291" s="9" t="n">
        <v>1185732</v>
      </c>
      <c r="D291" s="10" t="n">
        <v>44348</v>
      </c>
      <c r="E291" s="9" t="s">
        <v>33</v>
      </c>
      <c r="F291" s="9" t="s">
        <v>34</v>
      </c>
      <c r="G291" s="9" t="s">
        <v>37</v>
      </c>
      <c r="H291" s="11" t="s">
        <v>21</v>
      </c>
      <c r="I291" s="12" t="n">
        <v>45</v>
      </c>
      <c r="J291" s="13" t="n">
        <v>275</v>
      </c>
      <c r="K291" s="14" t="n">
        <f aca="false">I291*J291</f>
        <v>12375</v>
      </c>
      <c r="L291" s="14" t="n">
        <f aca="false">($L$2*M291)/100</f>
        <v>420583.275</v>
      </c>
      <c r="M291" s="15" t="n">
        <v>0.35</v>
      </c>
      <c r="N291" s="9" t="s">
        <v>26</v>
      </c>
    </row>
    <row r="292" customFormat="false" ht="14.25" hidden="false" customHeight="true" outlineLevel="0" collapsed="false">
      <c r="B292" s="9" t="s">
        <v>16</v>
      </c>
      <c r="C292" s="9" t="n">
        <v>1185732</v>
      </c>
      <c r="D292" s="10" t="n">
        <v>44349</v>
      </c>
      <c r="E292" s="9" t="s">
        <v>33</v>
      </c>
      <c r="F292" s="9" t="s">
        <v>34</v>
      </c>
      <c r="G292" s="9" t="s">
        <v>37</v>
      </c>
      <c r="H292" s="11" t="s">
        <v>22</v>
      </c>
      <c r="I292" s="12" t="n">
        <v>35</v>
      </c>
      <c r="J292" s="13" t="n">
        <v>275</v>
      </c>
      <c r="K292" s="14" t="n">
        <f aca="false">I292*J292</f>
        <v>9625</v>
      </c>
      <c r="L292" s="14" t="n">
        <f aca="false">($L$2*M292)/100</f>
        <v>420583.275</v>
      </c>
      <c r="M292" s="15" t="n">
        <v>0.35</v>
      </c>
      <c r="N292" s="9" t="s">
        <v>26</v>
      </c>
    </row>
    <row r="293" customFormat="false" ht="14.25" hidden="false" customHeight="true" outlineLevel="0" collapsed="false">
      <c r="B293" s="9" t="s">
        <v>16</v>
      </c>
      <c r="C293" s="9" t="n">
        <v>1185732</v>
      </c>
      <c r="D293" s="10" t="n">
        <v>44350</v>
      </c>
      <c r="E293" s="9" t="s">
        <v>33</v>
      </c>
      <c r="F293" s="9" t="s">
        <v>34</v>
      </c>
      <c r="G293" s="9" t="s">
        <v>37</v>
      </c>
      <c r="H293" s="11" t="s">
        <v>23</v>
      </c>
      <c r="I293" s="12" t="n">
        <v>40</v>
      </c>
      <c r="J293" s="13" t="n">
        <v>125</v>
      </c>
      <c r="K293" s="14" t="n">
        <f aca="false">I293*J293</f>
        <v>5000</v>
      </c>
      <c r="L293" s="14" t="n">
        <f aca="false">($L$2*M293)/100</f>
        <v>480666.6</v>
      </c>
      <c r="M293" s="15" t="n">
        <v>0.4</v>
      </c>
      <c r="N293" s="9" t="s">
        <v>26</v>
      </c>
    </row>
    <row r="294" customFormat="false" ht="14.25" hidden="false" customHeight="true" outlineLevel="0" collapsed="false">
      <c r="B294" s="9" t="s">
        <v>16</v>
      </c>
      <c r="C294" s="9" t="n">
        <v>1185732</v>
      </c>
      <c r="D294" s="10" t="n">
        <v>44351</v>
      </c>
      <c r="E294" s="9" t="s">
        <v>38</v>
      </c>
      <c r="F294" s="9" t="s">
        <v>39</v>
      </c>
      <c r="G294" s="9" t="s">
        <v>40</v>
      </c>
      <c r="H294" s="11" t="s">
        <v>24</v>
      </c>
      <c r="I294" s="12" t="n">
        <v>55</v>
      </c>
      <c r="J294" s="13" t="n">
        <v>175</v>
      </c>
      <c r="K294" s="14" t="n">
        <f aca="false">I294*J294</f>
        <v>9625</v>
      </c>
      <c r="L294" s="14" t="n">
        <f aca="false">($L$2*M294)/100</f>
        <v>420583.275</v>
      </c>
      <c r="M294" s="15" t="n">
        <v>0.35</v>
      </c>
      <c r="N294" s="9" t="s">
        <v>26</v>
      </c>
    </row>
    <row r="295" customFormat="false" ht="14.25" hidden="false" customHeight="true" outlineLevel="0" collapsed="false">
      <c r="B295" s="9" t="s">
        <v>16</v>
      </c>
      <c r="C295" s="9" t="n">
        <v>1185732</v>
      </c>
      <c r="D295" s="10" t="n">
        <v>44352</v>
      </c>
      <c r="E295" s="9" t="s">
        <v>38</v>
      </c>
      <c r="F295" s="9" t="s">
        <v>39</v>
      </c>
      <c r="G295" s="9" t="s">
        <v>40</v>
      </c>
      <c r="H295" s="11" t="s">
        <v>25</v>
      </c>
      <c r="I295" s="12" t="n">
        <v>45</v>
      </c>
      <c r="J295" s="13" t="n">
        <v>275</v>
      </c>
      <c r="K295" s="14" t="n">
        <f aca="false">I295*J295</f>
        <v>12375</v>
      </c>
      <c r="L295" s="14" t="n">
        <f aca="false">($L$2*M295)/100</f>
        <v>600833.25</v>
      </c>
      <c r="M295" s="15" t="n">
        <v>0.5</v>
      </c>
      <c r="N295" s="9" t="s">
        <v>26</v>
      </c>
    </row>
    <row r="296" customFormat="false" ht="14.25" hidden="false" customHeight="true" outlineLevel="0" collapsed="false">
      <c r="B296" s="9" t="s">
        <v>16</v>
      </c>
      <c r="C296" s="9" t="n">
        <v>1185732</v>
      </c>
      <c r="D296" s="10" t="n">
        <v>44353</v>
      </c>
      <c r="E296" s="9" t="s">
        <v>38</v>
      </c>
      <c r="F296" s="9" t="s">
        <v>39</v>
      </c>
      <c r="G296" s="9" t="s">
        <v>40</v>
      </c>
      <c r="H296" s="11" t="s">
        <v>19</v>
      </c>
      <c r="I296" s="12" t="n">
        <v>45</v>
      </c>
      <c r="J296" s="13" t="n">
        <v>525</v>
      </c>
      <c r="K296" s="14" t="n">
        <f aca="false">I296*J296</f>
        <v>23625</v>
      </c>
      <c r="L296" s="14" t="n">
        <f aca="false">($L$2*M296)/100</f>
        <v>480666.6</v>
      </c>
      <c r="M296" s="15" t="n">
        <v>0.4</v>
      </c>
      <c r="N296" s="9" t="s">
        <v>26</v>
      </c>
    </row>
    <row r="297" customFormat="false" ht="14.25" hidden="false" customHeight="true" outlineLevel="0" collapsed="false">
      <c r="B297" s="9" t="s">
        <v>16</v>
      </c>
      <c r="C297" s="9" t="n">
        <v>1185732</v>
      </c>
      <c r="D297" s="10" t="n">
        <v>44354</v>
      </c>
      <c r="E297" s="9" t="s">
        <v>38</v>
      </c>
      <c r="F297" s="9" t="s">
        <v>39</v>
      </c>
      <c r="G297" s="9" t="s">
        <v>40</v>
      </c>
      <c r="H297" s="11" t="s">
        <v>21</v>
      </c>
      <c r="I297" s="12" t="n">
        <v>45</v>
      </c>
      <c r="J297" s="13" t="n">
        <v>175</v>
      </c>
      <c r="K297" s="14" t="n">
        <f aca="false">I297*J297</f>
        <v>7875</v>
      </c>
      <c r="L297" s="14" t="n">
        <f aca="false">($L$2*M297)/100</f>
        <v>420583.275</v>
      </c>
      <c r="M297" s="15" t="n">
        <v>0.35</v>
      </c>
      <c r="N297" s="9" t="s">
        <v>26</v>
      </c>
    </row>
    <row r="298" customFormat="false" ht="14.25" hidden="false" customHeight="true" outlineLevel="0" collapsed="false">
      <c r="B298" s="9" t="s">
        <v>16</v>
      </c>
      <c r="C298" s="9" t="n">
        <v>1185732</v>
      </c>
      <c r="D298" s="10" t="n">
        <v>44355</v>
      </c>
      <c r="E298" s="9" t="s">
        <v>38</v>
      </c>
      <c r="F298" s="9" t="s">
        <v>39</v>
      </c>
      <c r="G298" s="9" t="s">
        <v>40</v>
      </c>
      <c r="H298" s="11" t="s">
        <v>22</v>
      </c>
      <c r="I298" s="12" t="n">
        <v>35</v>
      </c>
      <c r="J298" s="13" t="n">
        <v>225</v>
      </c>
      <c r="K298" s="14" t="n">
        <f aca="false">I298*J298</f>
        <v>7875</v>
      </c>
      <c r="L298" s="14" t="n">
        <f aca="false">($L$2*M298)/100</f>
        <v>420583.275</v>
      </c>
      <c r="M298" s="15" t="n">
        <v>0.35</v>
      </c>
      <c r="N298" s="9" t="s">
        <v>26</v>
      </c>
    </row>
    <row r="299" customFormat="false" ht="14.25" hidden="false" customHeight="true" outlineLevel="0" collapsed="false">
      <c r="B299" s="9" t="s">
        <v>16</v>
      </c>
      <c r="C299" s="9" t="n">
        <v>1185732</v>
      </c>
      <c r="D299" s="10" t="n">
        <v>44356</v>
      </c>
      <c r="E299" s="9" t="s">
        <v>38</v>
      </c>
      <c r="F299" s="9" t="s">
        <v>39</v>
      </c>
      <c r="G299" s="9" t="s">
        <v>40</v>
      </c>
      <c r="H299" s="11" t="s">
        <v>23</v>
      </c>
      <c r="I299" s="12" t="n">
        <v>40</v>
      </c>
      <c r="J299" s="13" t="n">
        <v>100</v>
      </c>
      <c r="K299" s="14" t="n">
        <f aca="false">I299*J299</f>
        <v>4000</v>
      </c>
      <c r="L299" s="14" t="n">
        <f aca="false">($L$2*M299)/100</f>
        <v>480666.6</v>
      </c>
      <c r="M299" s="15" t="n">
        <v>0.4</v>
      </c>
      <c r="N299" s="9" t="s">
        <v>26</v>
      </c>
    </row>
    <row r="300" customFormat="false" ht="14.25" hidden="false" customHeight="true" outlineLevel="0" collapsed="false">
      <c r="B300" s="9" t="s">
        <v>16</v>
      </c>
      <c r="C300" s="9" t="n">
        <v>1185732</v>
      </c>
      <c r="D300" s="10" t="n">
        <v>44357</v>
      </c>
      <c r="E300" s="9" t="s">
        <v>38</v>
      </c>
      <c r="F300" s="9" t="s">
        <v>39</v>
      </c>
      <c r="G300" s="9" t="s">
        <v>40</v>
      </c>
      <c r="H300" s="11" t="s">
        <v>24</v>
      </c>
      <c r="I300" s="12" t="n">
        <v>55</v>
      </c>
      <c r="J300" s="13" t="n">
        <v>175</v>
      </c>
      <c r="K300" s="14" t="n">
        <f aca="false">I300*J300</f>
        <v>9625</v>
      </c>
      <c r="L300" s="14" t="n">
        <f aca="false">($L$2*M300)/100</f>
        <v>420583.275</v>
      </c>
      <c r="M300" s="15" t="n">
        <v>0.35</v>
      </c>
      <c r="N300" s="9" t="s">
        <v>26</v>
      </c>
    </row>
    <row r="301" customFormat="false" ht="14.25" hidden="false" customHeight="true" outlineLevel="0" collapsed="false">
      <c r="B301" s="9" t="s">
        <v>16</v>
      </c>
      <c r="C301" s="9" t="n">
        <v>1185732</v>
      </c>
      <c r="D301" s="10" t="n">
        <v>44358</v>
      </c>
      <c r="E301" s="9" t="s">
        <v>38</v>
      </c>
      <c r="F301" s="9" t="s">
        <v>39</v>
      </c>
      <c r="G301" s="9" t="s">
        <v>40</v>
      </c>
      <c r="H301" s="11" t="s">
        <v>25</v>
      </c>
      <c r="I301" s="12" t="n">
        <v>45</v>
      </c>
      <c r="J301" s="13" t="n">
        <v>275</v>
      </c>
      <c r="K301" s="14" t="n">
        <f aca="false">I301*J301</f>
        <v>12375</v>
      </c>
      <c r="L301" s="14" t="n">
        <f aca="false">($L$2*M301)/100</f>
        <v>600833.25</v>
      </c>
      <c r="M301" s="15" t="n">
        <v>0.5</v>
      </c>
      <c r="N301" s="9" t="s">
        <v>26</v>
      </c>
    </row>
    <row r="302" customFormat="false" ht="14.25" hidden="false" customHeight="true" outlineLevel="0" collapsed="false">
      <c r="B302" s="9" t="s">
        <v>16</v>
      </c>
      <c r="C302" s="9" t="n">
        <v>1185732</v>
      </c>
      <c r="D302" s="10" t="n">
        <v>44359</v>
      </c>
      <c r="E302" s="9" t="s">
        <v>38</v>
      </c>
      <c r="F302" s="9" t="s">
        <v>39</v>
      </c>
      <c r="G302" s="9" t="s">
        <v>40</v>
      </c>
      <c r="H302" s="11" t="s">
        <v>19</v>
      </c>
      <c r="I302" s="12" t="n">
        <v>50</v>
      </c>
      <c r="J302" s="13" t="n">
        <v>495</v>
      </c>
      <c r="K302" s="14" t="n">
        <f aca="false">I302*J302</f>
        <v>24750</v>
      </c>
      <c r="L302" s="14" t="n">
        <f aca="false">($L$2*M302)/100</f>
        <v>480666.6</v>
      </c>
      <c r="M302" s="15" t="n">
        <v>0.4</v>
      </c>
      <c r="N302" s="9" t="s">
        <v>26</v>
      </c>
    </row>
    <row r="303" customFormat="false" ht="14.25" hidden="false" customHeight="true" outlineLevel="0" collapsed="false">
      <c r="B303" s="9" t="s">
        <v>16</v>
      </c>
      <c r="C303" s="9" t="n">
        <v>1185732</v>
      </c>
      <c r="D303" s="10" t="n">
        <v>44360</v>
      </c>
      <c r="E303" s="9" t="s">
        <v>38</v>
      </c>
      <c r="F303" s="9" t="s">
        <v>39</v>
      </c>
      <c r="G303" s="9" t="s">
        <v>40</v>
      </c>
      <c r="H303" s="11" t="s">
        <v>21</v>
      </c>
      <c r="I303" s="12" t="n">
        <v>50</v>
      </c>
      <c r="J303" s="13" t="n">
        <v>200</v>
      </c>
      <c r="K303" s="14" t="n">
        <f aca="false">I303*J303</f>
        <v>10000</v>
      </c>
      <c r="L303" s="14" t="n">
        <f aca="false">($L$2*M303)/100</f>
        <v>420583.275</v>
      </c>
      <c r="M303" s="15" t="n">
        <v>0.35</v>
      </c>
      <c r="N303" s="9" t="s">
        <v>26</v>
      </c>
    </row>
    <row r="304" customFormat="false" ht="14.25" hidden="false" customHeight="true" outlineLevel="0" collapsed="false">
      <c r="B304" s="9" t="s">
        <v>16</v>
      </c>
      <c r="C304" s="9" t="n">
        <v>1185732</v>
      </c>
      <c r="D304" s="10" t="n">
        <v>44361</v>
      </c>
      <c r="E304" s="9" t="s">
        <v>38</v>
      </c>
      <c r="F304" s="9" t="s">
        <v>39</v>
      </c>
      <c r="G304" s="9" t="s">
        <v>40</v>
      </c>
      <c r="H304" s="11" t="s">
        <v>22</v>
      </c>
      <c r="I304" s="12" t="n">
        <v>40</v>
      </c>
      <c r="J304" s="13" t="n">
        <v>225</v>
      </c>
      <c r="K304" s="14" t="n">
        <f aca="false">I304*J304</f>
        <v>9000</v>
      </c>
      <c r="L304" s="14" t="n">
        <f aca="false">($L$2*M304)/100</f>
        <v>420583.275</v>
      </c>
      <c r="M304" s="15" t="n">
        <v>0.35</v>
      </c>
      <c r="N304" s="9" t="s">
        <v>26</v>
      </c>
    </row>
    <row r="305" customFormat="false" ht="14.25" hidden="false" customHeight="true" outlineLevel="0" collapsed="false">
      <c r="B305" s="9" t="s">
        <v>16</v>
      </c>
      <c r="C305" s="9" t="n">
        <v>1185732</v>
      </c>
      <c r="D305" s="10" t="n">
        <v>44362</v>
      </c>
      <c r="E305" s="9" t="s">
        <v>38</v>
      </c>
      <c r="F305" s="9" t="s">
        <v>39</v>
      </c>
      <c r="G305" s="9" t="s">
        <v>40</v>
      </c>
      <c r="H305" s="11" t="s">
        <v>23</v>
      </c>
      <c r="I305" s="12" t="n">
        <v>45</v>
      </c>
      <c r="J305" s="13" t="n">
        <v>75</v>
      </c>
      <c r="K305" s="14" t="n">
        <f aca="false">I305*J305</f>
        <v>3375</v>
      </c>
      <c r="L305" s="14" t="n">
        <f aca="false">($L$2*M305)/100</f>
        <v>480666.6</v>
      </c>
      <c r="M305" s="15" t="n">
        <v>0.4</v>
      </c>
      <c r="N305" s="9" t="s">
        <v>26</v>
      </c>
    </row>
    <row r="306" customFormat="false" ht="14.25" hidden="false" customHeight="true" outlineLevel="0" collapsed="false">
      <c r="B306" s="9" t="s">
        <v>16</v>
      </c>
      <c r="C306" s="9" t="n">
        <v>1185732</v>
      </c>
      <c r="D306" s="10" t="n">
        <v>44363</v>
      </c>
      <c r="E306" s="9" t="s">
        <v>38</v>
      </c>
      <c r="F306" s="9" t="s">
        <v>39</v>
      </c>
      <c r="G306" s="9" t="s">
        <v>40</v>
      </c>
      <c r="H306" s="11" t="s">
        <v>24</v>
      </c>
      <c r="I306" s="12" t="n">
        <v>60</v>
      </c>
      <c r="J306" s="13" t="n">
        <v>125</v>
      </c>
      <c r="K306" s="14" t="n">
        <f aca="false">I306*J306</f>
        <v>7500</v>
      </c>
      <c r="L306" s="14" t="n">
        <f aca="false">($L$2*M306)/100</f>
        <v>420583.275</v>
      </c>
      <c r="M306" s="15" t="n">
        <v>0.35</v>
      </c>
      <c r="N306" s="9" t="s">
        <v>26</v>
      </c>
    </row>
    <row r="307" customFormat="false" ht="14.25" hidden="false" customHeight="true" outlineLevel="0" collapsed="false">
      <c r="B307" s="9" t="s">
        <v>16</v>
      </c>
      <c r="C307" s="9" t="n">
        <v>1185732</v>
      </c>
      <c r="D307" s="10" t="n">
        <v>44364</v>
      </c>
      <c r="E307" s="9" t="s">
        <v>38</v>
      </c>
      <c r="F307" s="9" t="s">
        <v>39</v>
      </c>
      <c r="G307" s="9" t="s">
        <v>40</v>
      </c>
      <c r="H307" s="11" t="s">
        <v>25</v>
      </c>
      <c r="I307" s="12" t="n">
        <v>50</v>
      </c>
      <c r="J307" s="13" t="n">
        <v>225</v>
      </c>
      <c r="K307" s="14" t="n">
        <f aca="false">I307*J307</f>
        <v>11250</v>
      </c>
      <c r="L307" s="14" t="n">
        <f aca="false">($L$2*M307)/100</f>
        <v>600833.25</v>
      </c>
      <c r="M307" s="15" t="n">
        <v>0.5</v>
      </c>
      <c r="N307" s="9" t="s">
        <v>26</v>
      </c>
    </row>
    <row r="308" customFormat="false" ht="14.25" hidden="false" customHeight="true" outlineLevel="0" collapsed="false">
      <c r="B308" s="9" t="s">
        <v>16</v>
      </c>
      <c r="C308" s="9" t="n">
        <v>1185732</v>
      </c>
      <c r="D308" s="10" t="n">
        <v>44365</v>
      </c>
      <c r="E308" s="9" t="s">
        <v>38</v>
      </c>
      <c r="F308" s="9" t="s">
        <v>39</v>
      </c>
      <c r="G308" s="9" t="s">
        <v>40</v>
      </c>
      <c r="H308" s="11" t="s">
        <v>19</v>
      </c>
      <c r="I308" s="12" t="n">
        <v>50</v>
      </c>
      <c r="J308" s="13" t="n">
        <v>450</v>
      </c>
      <c r="K308" s="14" t="n">
        <f aca="false">I308*J308</f>
        <v>22500</v>
      </c>
      <c r="L308" s="14" t="n">
        <f aca="false">($L$2*M308)/100</f>
        <v>480666.6</v>
      </c>
      <c r="M308" s="15" t="n">
        <v>0.4</v>
      </c>
      <c r="N308" s="9" t="s">
        <v>26</v>
      </c>
    </row>
    <row r="309" customFormat="false" ht="14.25" hidden="false" customHeight="true" outlineLevel="0" collapsed="false">
      <c r="B309" s="9" t="s">
        <v>16</v>
      </c>
      <c r="C309" s="9" t="n">
        <v>1185732</v>
      </c>
      <c r="D309" s="10" t="n">
        <v>44366</v>
      </c>
      <c r="E309" s="9" t="s">
        <v>38</v>
      </c>
      <c r="F309" s="9" t="s">
        <v>39</v>
      </c>
      <c r="G309" s="9" t="s">
        <v>40</v>
      </c>
      <c r="H309" s="11" t="s">
        <v>21</v>
      </c>
      <c r="I309" s="12" t="n">
        <v>50</v>
      </c>
      <c r="J309" s="13" t="n">
        <v>150</v>
      </c>
      <c r="K309" s="14" t="n">
        <f aca="false">I309*J309</f>
        <v>7500</v>
      </c>
      <c r="L309" s="14" t="n">
        <f aca="false">($L$2*M309)/100</f>
        <v>420583.275</v>
      </c>
      <c r="M309" s="15" t="n">
        <v>0.35</v>
      </c>
      <c r="N309" s="9" t="s">
        <v>26</v>
      </c>
    </row>
    <row r="310" customFormat="false" ht="14.25" hidden="false" customHeight="true" outlineLevel="0" collapsed="false">
      <c r="B310" s="9" t="s">
        <v>16</v>
      </c>
      <c r="C310" s="9" t="n">
        <v>1185732</v>
      </c>
      <c r="D310" s="10" t="n">
        <v>44367</v>
      </c>
      <c r="E310" s="9" t="s">
        <v>38</v>
      </c>
      <c r="F310" s="9" t="s">
        <v>39</v>
      </c>
      <c r="G310" s="9" t="s">
        <v>40</v>
      </c>
      <c r="H310" s="11" t="s">
        <v>22</v>
      </c>
      <c r="I310" s="12" t="n">
        <v>40</v>
      </c>
      <c r="J310" s="13" t="n">
        <v>150</v>
      </c>
      <c r="K310" s="14" t="n">
        <f aca="false">I310*J310</f>
        <v>6000</v>
      </c>
      <c r="L310" s="14" t="n">
        <f aca="false">($L$2*M310)/100</f>
        <v>420583.275</v>
      </c>
      <c r="M310" s="15" t="n">
        <v>0.35</v>
      </c>
      <c r="N310" s="9" t="s">
        <v>26</v>
      </c>
    </row>
    <row r="311" customFormat="false" ht="14.25" hidden="false" customHeight="true" outlineLevel="0" collapsed="false">
      <c r="B311" s="9" t="s">
        <v>16</v>
      </c>
      <c r="C311" s="9" t="n">
        <v>1185732</v>
      </c>
      <c r="D311" s="10" t="n">
        <v>44368</v>
      </c>
      <c r="E311" s="9" t="s">
        <v>38</v>
      </c>
      <c r="F311" s="9" t="s">
        <v>39</v>
      </c>
      <c r="G311" s="9" t="s">
        <v>40</v>
      </c>
      <c r="H311" s="11" t="s">
        <v>23</v>
      </c>
      <c r="I311" s="12" t="n">
        <v>45</v>
      </c>
      <c r="J311" s="13" t="n">
        <v>75</v>
      </c>
      <c r="K311" s="14" t="n">
        <f aca="false">I311*J311</f>
        <v>3375</v>
      </c>
      <c r="L311" s="14" t="n">
        <f aca="false">($L$2*M311)/100</f>
        <v>480666.6</v>
      </c>
      <c r="M311" s="15" t="n">
        <v>0.4</v>
      </c>
      <c r="N311" s="9" t="s">
        <v>26</v>
      </c>
    </row>
    <row r="312" customFormat="false" ht="14.25" hidden="false" customHeight="true" outlineLevel="0" collapsed="false">
      <c r="B312" s="9" t="s">
        <v>16</v>
      </c>
      <c r="C312" s="9" t="n">
        <v>1185732</v>
      </c>
      <c r="D312" s="10" t="n">
        <v>44369</v>
      </c>
      <c r="E312" s="9" t="s">
        <v>38</v>
      </c>
      <c r="F312" s="9" t="s">
        <v>39</v>
      </c>
      <c r="G312" s="9" t="s">
        <v>40</v>
      </c>
      <c r="H312" s="11" t="s">
        <v>24</v>
      </c>
      <c r="I312" s="12" t="n">
        <v>60</v>
      </c>
      <c r="J312" s="13" t="n">
        <v>100</v>
      </c>
      <c r="K312" s="14" t="n">
        <f aca="false">I312*J312</f>
        <v>6000</v>
      </c>
      <c r="L312" s="14" t="n">
        <f aca="false">($L$2*M312)/100</f>
        <v>420583.275</v>
      </c>
      <c r="M312" s="15" t="n">
        <v>0.35</v>
      </c>
      <c r="N312" s="9" t="s">
        <v>26</v>
      </c>
    </row>
    <row r="313" customFormat="false" ht="14.25" hidden="false" customHeight="true" outlineLevel="0" collapsed="false">
      <c r="B313" s="9" t="s">
        <v>16</v>
      </c>
      <c r="C313" s="9" t="n">
        <v>1185732</v>
      </c>
      <c r="D313" s="10" t="n">
        <v>44370</v>
      </c>
      <c r="E313" s="9" t="s">
        <v>38</v>
      </c>
      <c r="F313" s="9" t="s">
        <v>39</v>
      </c>
      <c r="G313" s="9" t="s">
        <v>40</v>
      </c>
      <c r="H313" s="11" t="s">
        <v>25</v>
      </c>
      <c r="I313" s="12" t="n">
        <v>50</v>
      </c>
      <c r="J313" s="13" t="n">
        <v>225</v>
      </c>
      <c r="K313" s="14" t="n">
        <f aca="false">I313*J313</f>
        <v>11250</v>
      </c>
      <c r="L313" s="14" t="n">
        <f aca="false">($L$2*M313)/100</f>
        <v>600833.25</v>
      </c>
      <c r="M313" s="15" t="n">
        <v>0.5</v>
      </c>
      <c r="N313" s="9" t="s">
        <v>26</v>
      </c>
    </row>
    <row r="314" customFormat="false" ht="14.25" hidden="false" customHeight="true" outlineLevel="0" collapsed="false">
      <c r="B314" s="9" t="s">
        <v>16</v>
      </c>
      <c r="C314" s="9" t="n">
        <v>1185732</v>
      </c>
      <c r="D314" s="10" t="n">
        <v>44371</v>
      </c>
      <c r="E314" s="9" t="s">
        <v>38</v>
      </c>
      <c r="F314" s="9" t="s">
        <v>39</v>
      </c>
      <c r="G314" s="9" t="s">
        <v>40</v>
      </c>
      <c r="H314" s="11" t="s">
        <v>19</v>
      </c>
      <c r="I314" s="12" t="n">
        <v>60</v>
      </c>
      <c r="J314" s="13" t="n">
        <v>495</v>
      </c>
      <c r="K314" s="14" t="n">
        <f aca="false">I314*J314</f>
        <v>29700</v>
      </c>
      <c r="L314" s="14" t="n">
        <f aca="false">($L$2*M314)/100</f>
        <v>480666.6</v>
      </c>
      <c r="M314" s="15" t="n">
        <v>0.4</v>
      </c>
      <c r="N314" s="9" t="s">
        <v>26</v>
      </c>
    </row>
    <row r="315" customFormat="false" ht="14.25" hidden="false" customHeight="true" outlineLevel="0" collapsed="false">
      <c r="B315" s="9" t="s">
        <v>16</v>
      </c>
      <c r="C315" s="9" t="n">
        <v>1185732</v>
      </c>
      <c r="D315" s="10" t="n">
        <v>44372</v>
      </c>
      <c r="E315" s="9" t="s">
        <v>38</v>
      </c>
      <c r="F315" s="9" t="s">
        <v>39</v>
      </c>
      <c r="G315" s="9" t="s">
        <v>40</v>
      </c>
      <c r="H315" s="11" t="s">
        <v>21</v>
      </c>
      <c r="I315" s="12" t="n">
        <v>55</v>
      </c>
      <c r="J315" s="13" t="n">
        <v>200</v>
      </c>
      <c r="K315" s="14" t="n">
        <f aca="false">I315*J315</f>
        <v>11000</v>
      </c>
      <c r="L315" s="14" t="n">
        <f aca="false">($L$2*M315)/100</f>
        <v>420583.275</v>
      </c>
      <c r="M315" s="15" t="n">
        <v>0.35</v>
      </c>
      <c r="N315" s="9" t="s">
        <v>26</v>
      </c>
    </row>
    <row r="316" customFormat="false" ht="14.25" hidden="false" customHeight="true" outlineLevel="0" collapsed="false">
      <c r="B316" s="9" t="s">
        <v>16</v>
      </c>
      <c r="C316" s="9" t="n">
        <v>1185732</v>
      </c>
      <c r="D316" s="10" t="n">
        <v>44373</v>
      </c>
      <c r="E316" s="9" t="s">
        <v>38</v>
      </c>
      <c r="F316" s="9" t="s">
        <v>39</v>
      </c>
      <c r="G316" s="9" t="s">
        <v>40</v>
      </c>
      <c r="H316" s="11" t="s">
        <v>22</v>
      </c>
      <c r="I316" s="12" t="n">
        <v>50</v>
      </c>
      <c r="J316" s="13" t="n">
        <v>175</v>
      </c>
      <c r="K316" s="14" t="n">
        <f aca="false">I316*J316</f>
        <v>8750</v>
      </c>
      <c r="L316" s="14" t="n">
        <f aca="false">($L$2*M316)/100</f>
        <v>420583.275</v>
      </c>
      <c r="M316" s="15" t="n">
        <v>0.35</v>
      </c>
      <c r="N316" s="9" t="s">
        <v>26</v>
      </c>
    </row>
    <row r="317" customFormat="false" ht="14.25" hidden="false" customHeight="true" outlineLevel="0" collapsed="false">
      <c r="B317" s="9" t="s">
        <v>16</v>
      </c>
      <c r="C317" s="9" t="n">
        <v>1185732</v>
      </c>
      <c r="D317" s="10" t="n">
        <v>44374</v>
      </c>
      <c r="E317" s="9" t="s">
        <v>38</v>
      </c>
      <c r="F317" s="9" t="s">
        <v>39</v>
      </c>
      <c r="G317" s="9" t="s">
        <v>40</v>
      </c>
      <c r="H317" s="11" t="s">
        <v>23</v>
      </c>
      <c r="I317" s="12" t="n">
        <v>50</v>
      </c>
      <c r="J317" s="13" t="n">
        <v>100</v>
      </c>
      <c r="K317" s="14" t="n">
        <f aca="false">I317*J317</f>
        <v>5000</v>
      </c>
      <c r="L317" s="14" t="n">
        <f aca="false">($L$2*M317)/100</f>
        <v>480666.6</v>
      </c>
      <c r="M317" s="15" t="n">
        <v>0.4</v>
      </c>
      <c r="N317" s="9" t="s">
        <v>26</v>
      </c>
    </row>
    <row r="318" customFormat="false" ht="14.25" hidden="false" customHeight="true" outlineLevel="0" collapsed="false">
      <c r="B318" s="9" t="s">
        <v>16</v>
      </c>
      <c r="C318" s="9" t="n">
        <v>1185732</v>
      </c>
      <c r="D318" s="10" t="n">
        <v>44375</v>
      </c>
      <c r="E318" s="9" t="s">
        <v>38</v>
      </c>
      <c r="F318" s="9" t="s">
        <v>39</v>
      </c>
      <c r="G318" s="9" t="s">
        <v>40</v>
      </c>
      <c r="H318" s="11" t="s">
        <v>24</v>
      </c>
      <c r="I318" s="12" t="n">
        <v>60</v>
      </c>
      <c r="J318" s="13" t="n">
        <v>125</v>
      </c>
      <c r="K318" s="14" t="n">
        <f aca="false">I318*J318</f>
        <v>7500</v>
      </c>
      <c r="L318" s="14" t="n">
        <f aca="false">($L$2*M318)/100</f>
        <v>420583.275</v>
      </c>
      <c r="M318" s="15" t="n">
        <v>0.35</v>
      </c>
      <c r="N318" s="9" t="s">
        <v>26</v>
      </c>
    </row>
    <row r="319" customFormat="false" ht="14.25" hidden="false" customHeight="true" outlineLevel="0" collapsed="false">
      <c r="B319" s="9" t="s">
        <v>16</v>
      </c>
      <c r="C319" s="9" t="n">
        <v>1185732</v>
      </c>
      <c r="D319" s="10" t="n">
        <v>44376</v>
      </c>
      <c r="E319" s="9" t="s">
        <v>38</v>
      </c>
      <c r="F319" s="9" t="s">
        <v>39</v>
      </c>
      <c r="G319" s="9" t="s">
        <v>40</v>
      </c>
      <c r="H319" s="11" t="s">
        <v>25</v>
      </c>
      <c r="I319" s="12" t="n">
        <v>65</v>
      </c>
      <c r="J319" s="13" t="n">
        <v>250</v>
      </c>
      <c r="K319" s="14" t="n">
        <f aca="false">I319*J319</f>
        <v>16250</v>
      </c>
      <c r="L319" s="14" t="n">
        <f aca="false">($L$2*M319)/100</f>
        <v>600833.25</v>
      </c>
      <c r="M319" s="15" t="n">
        <v>0.5</v>
      </c>
      <c r="N319" s="9" t="s">
        <v>26</v>
      </c>
    </row>
    <row r="320" customFormat="false" ht="14.25" hidden="false" customHeight="true" outlineLevel="0" collapsed="false">
      <c r="B320" s="9" t="s">
        <v>16</v>
      </c>
      <c r="C320" s="9" t="n">
        <v>1185732</v>
      </c>
      <c r="D320" s="10" t="n">
        <v>44377</v>
      </c>
      <c r="E320" s="9" t="s">
        <v>38</v>
      </c>
      <c r="F320" s="9" t="s">
        <v>39</v>
      </c>
      <c r="G320" s="9" t="s">
        <v>40</v>
      </c>
      <c r="H320" s="11" t="s">
        <v>19</v>
      </c>
      <c r="I320" s="12" t="n">
        <v>50</v>
      </c>
      <c r="J320" s="13" t="n">
        <v>500</v>
      </c>
      <c r="K320" s="14" t="n">
        <f aca="false">I320*J320</f>
        <v>25000</v>
      </c>
      <c r="L320" s="14" t="n">
        <f aca="false">($L$2*M320)/100</f>
        <v>480666.6</v>
      </c>
      <c r="M320" s="15" t="n">
        <v>0.4</v>
      </c>
      <c r="N320" s="9" t="s">
        <v>26</v>
      </c>
    </row>
    <row r="321" customFormat="false" ht="14.25" hidden="false" customHeight="true" outlineLevel="0" collapsed="false">
      <c r="B321" s="9" t="s">
        <v>16</v>
      </c>
      <c r="C321" s="9" t="n">
        <v>1185732</v>
      </c>
      <c r="D321" s="10" t="n">
        <v>44378</v>
      </c>
      <c r="E321" s="9" t="s">
        <v>38</v>
      </c>
      <c r="F321" s="9" t="s">
        <v>39</v>
      </c>
      <c r="G321" s="9" t="s">
        <v>40</v>
      </c>
      <c r="H321" s="11" t="s">
        <v>21</v>
      </c>
      <c r="I321" s="12" t="n">
        <v>45</v>
      </c>
      <c r="J321" s="13" t="n">
        <v>250</v>
      </c>
      <c r="K321" s="14" t="n">
        <f aca="false">I321*J321</f>
        <v>11250</v>
      </c>
      <c r="L321" s="14" t="n">
        <f aca="false">($L$2*M321)/100</f>
        <v>420583.275</v>
      </c>
      <c r="M321" s="15" t="n">
        <v>0.35</v>
      </c>
      <c r="N321" s="9" t="s">
        <v>26</v>
      </c>
    </row>
    <row r="322" customFormat="false" ht="14.25" hidden="false" customHeight="true" outlineLevel="0" collapsed="false">
      <c r="B322" s="9" t="s">
        <v>16</v>
      </c>
      <c r="C322" s="9" t="n">
        <v>1185732</v>
      </c>
      <c r="D322" s="10" t="n">
        <v>44379</v>
      </c>
      <c r="E322" s="9" t="s">
        <v>38</v>
      </c>
      <c r="F322" s="9" t="s">
        <v>39</v>
      </c>
      <c r="G322" s="9" t="s">
        <v>40</v>
      </c>
      <c r="H322" s="11" t="s">
        <v>22</v>
      </c>
      <c r="I322" s="12" t="n">
        <v>40</v>
      </c>
      <c r="J322" s="13" t="n">
        <v>200</v>
      </c>
      <c r="K322" s="14" t="n">
        <f aca="false">I322*J322</f>
        <v>8000</v>
      </c>
      <c r="L322" s="14" t="n">
        <f aca="false">($L$2*M322)/100</f>
        <v>420583.275</v>
      </c>
      <c r="M322" s="15" t="n">
        <v>0.35</v>
      </c>
      <c r="N322" s="9" t="s">
        <v>26</v>
      </c>
    </row>
    <row r="323" customFormat="false" ht="14.25" hidden="false" customHeight="true" outlineLevel="0" collapsed="false">
      <c r="B323" s="9" t="s">
        <v>16</v>
      </c>
      <c r="C323" s="9" t="n">
        <v>1185732</v>
      </c>
      <c r="D323" s="10" t="n">
        <v>44380</v>
      </c>
      <c r="E323" s="9" t="s">
        <v>38</v>
      </c>
      <c r="F323" s="9" t="s">
        <v>39</v>
      </c>
      <c r="G323" s="9" t="s">
        <v>40</v>
      </c>
      <c r="H323" s="11" t="s">
        <v>23</v>
      </c>
      <c r="I323" s="12" t="n">
        <v>40</v>
      </c>
      <c r="J323" s="13" t="n">
        <v>175</v>
      </c>
      <c r="K323" s="14" t="n">
        <f aca="false">I323*J323</f>
        <v>7000</v>
      </c>
      <c r="L323" s="14" t="n">
        <f aca="false">($L$2*M323)/100</f>
        <v>480666.6</v>
      </c>
      <c r="M323" s="15" t="n">
        <v>0.4</v>
      </c>
      <c r="N323" s="9" t="s">
        <v>26</v>
      </c>
    </row>
    <row r="324" customFormat="false" ht="14.25" hidden="false" customHeight="true" outlineLevel="0" collapsed="false">
      <c r="B324" s="9" t="s">
        <v>16</v>
      </c>
      <c r="C324" s="9" t="n">
        <v>1185732</v>
      </c>
      <c r="D324" s="10" t="n">
        <v>44381</v>
      </c>
      <c r="E324" s="9" t="s">
        <v>38</v>
      </c>
      <c r="F324" s="9" t="s">
        <v>39</v>
      </c>
      <c r="G324" s="9" t="s">
        <v>40</v>
      </c>
      <c r="H324" s="11" t="s">
        <v>24</v>
      </c>
      <c r="I324" s="12" t="n">
        <v>50</v>
      </c>
      <c r="J324" s="13" t="n">
        <v>175</v>
      </c>
      <c r="K324" s="14" t="n">
        <f aca="false">I324*J324</f>
        <v>8750</v>
      </c>
      <c r="L324" s="14" t="n">
        <f aca="false">($L$2*M324)/100</f>
        <v>420583.275</v>
      </c>
      <c r="M324" s="15" t="n">
        <v>0.35</v>
      </c>
      <c r="N324" s="9" t="s">
        <v>26</v>
      </c>
    </row>
    <row r="325" customFormat="false" ht="14.25" hidden="false" customHeight="true" outlineLevel="0" collapsed="false">
      <c r="B325" s="9" t="s">
        <v>16</v>
      </c>
      <c r="C325" s="9" t="n">
        <v>1185732</v>
      </c>
      <c r="D325" s="10" t="n">
        <v>44382</v>
      </c>
      <c r="E325" s="9" t="s">
        <v>38</v>
      </c>
      <c r="F325" s="9" t="s">
        <v>39</v>
      </c>
      <c r="G325" s="9" t="s">
        <v>40</v>
      </c>
      <c r="H325" s="11" t="s">
        <v>25</v>
      </c>
      <c r="I325" s="12" t="n">
        <v>55</v>
      </c>
      <c r="J325" s="13" t="n">
        <v>350</v>
      </c>
      <c r="K325" s="14" t="n">
        <f aca="false">I325*J325</f>
        <v>19250</v>
      </c>
      <c r="L325" s="14" t="n">
        <f aca="false">($L$2*M325)/100</f>
        <v>600833.25</v>
      </c>
      <c r="M325" s="15" t="n">
        <v>0.5</v>
      </c>
      <c r="N325" s="9" t="s">
        <v>26</v>
      </c>
    </row>
    <row r="326" customFormat="false" ht="14.25" hidden="false" customHeight="true" outlineLevel="0" collapsed="false">
      <c r="B326" s="9" t="s">
        <v>16</v>
      </c>
      <c r="C326" s="9" t="n">
        <v>1185732</v>
      </c>
      <c r="D326" s="10" t="n">
        <v>44383</v>
      </c>
      <c r="E326" s="9" t="s">
        <v>38</v>
      </c>
      <c r="F326" s="9" t="s">
        <v>39</v>
      </c>
      <c r="G326" s="9" t="s">
        <v>40</v>
      </c>
      <c r="H326" s="11" t="s">
        <v>19</v>
      </c>
      <c r="I326" s="12" t="n">
        <v>50</v>
      </c>
      <c r="J326" s="13" t="n">
        <v>575</v>
      </c>
      <c r="K326" s="14" t="n">
        <f aca="false">I326*J326</f>
        <v>28750</v>
      </c>
      <c r="L326" s="14" t="n">
        <f aca="false">($L$2*M326)/100</f>
        <v>480666.6</v>
      </c>
      <c r="M326" s="15" t="n">
        <v>0.4</v>
      </c>
      <c r="N326" s="9" t="s">
        <v>26</v>
      </c>
    </row>
    <row r="327" customFormat="false" ht="14.25" hidden="false" customHeight="true" outlineLevel="0" collapsed="false">
      <c r="B327" s="9" t="s">
        <v>16</v>
      </c>
      <c r="C327" s="9" t="n">
        <v>1185732</v>
      </c>
      <c r="D327" s="10" t="n">
        <v>44384</v>
      </c>
      <c r="E327" s="9" t="s">
        <v>38</v>
      </c>
      <c r="F327" s="9" t="s">
        <v>39</v>
      </c>
      <c r="G327" s="9" t="s">
        <v>40</v>
      </c>
      <c r="H327" s="11" t="s">
        <v>21</v>
      </c>
      <c r="I327" s="12" t="n">
        <v>45</v>
      </c>
      <c r="J327" s="13" t="n">
        <v>325</v>
      </c>
      <c r="K327" s="14" t="n">
        <f aca="false">I327*J327</f>
        <v>14625</v>
      </c>
      <c r="L327" s="14" t="n">
        <f aca="false">($L$2*M327)/100</f>
        <v>420583.275</v>
      </c>
      <c r="M327" s="15" t="n">
        <v>0.35</v>
      </c>
      <c r="N327" s="9" t="s">
        <v>26</v>
      </c>
    </row>
    <row r="328" customFormat="false" ht="14.25" hidden="false" customHeight="true" outlineLevel="0" collapsed="false">
      <c r="B328" s="9" t="s">
        <v>16</v>
      </c>
      <c r="C328" s="9" t="n">
        <v>1185732</v>
      </c>
      <c r="D328" s="10" t="n">
        <v>44385</v>
      </c>
      <c r="E328" s="9" t="s">
        <v>38</v>
      </c>
      <c r="F328" s="9" t="s">
        <v>39</v>
      </c>
      <c r="G328" s="9" t="s">
        <v>40</v>
      </c>
      <c r="H328" s="11" t="s">
        <v>22</v>
      </c>
      <c r="I328" s="12" t="n">
        <v>40</v>
      </c>
      <c r="J328" s="13" t="n">
        <v>250</v>
      </c>
      <c r="K328" s="14" t="n">
        <f aca="false">I328*J328</f>
        <v>10000</v>
      </c>
      <c r="L328" s="14" t="n">
        <f aca="false">($L$2*M328)/100</f>
        <v>420583.275</v>
      </c>
      <c r="M328" s="15" t="n">
        <v>0.35</v>
      </c>
      <c r="N328" s="9" t="s">
        <v>26</v>
      </c>
    </row>
    <row r="329" customFormat="false" ht="14.25" hidden="false" customHeight="true" outlineLevel="0" collapsed="false">
      <c r="B329" s="9" t="s">
        <v>16</v>
      </c>
      <c r="C329" s="9" t="n">
        <v>1185732</v>
      </c>
      <c r="D329" s="10" t="n">
        <v>44386</v>
      </c>
      <c r="E329" s="9" t="s">
        <v>38</v>
      </c>
      <c r="F329" s="9" t="s">
        <v>39</v>
      </c>
      <c r="G329" s="9" t="s">
        <v>40</v>
      </c>
      <c r="H329" s="11" t="s">
        <v>23</v>
      </c>
      <c r="I329" s="12" t="n">
        <v>40</v>
      </c>
      <c r="J329" s="13" t="n">
        <v>200</v>
      </c>
      <c r="K329" s="14" t="n">
        <f aca="false">I329*J329</f>
        <v>8000</v>
      </c>
      <c r="L329" s="14" t="n">
        <f aca="false">($L$2*M329)/100</f>
        <v>480666.6</v>
      </c>
      <c r="M329" s="15" t="n">
        <v>0.4</v>
      </c>
      <c r="N329" s="9" t="s">
        <v>26</v>
      </c>
    </row>
    <row r="330" customFormat="false" ht="14.25" hidden="false" customHeight="true" outlineLevel="0" collapsed="false">
      <c r="B330" s="9" t="s">
        <v>16</v>
      </c>
      <c r="C330" s="9" t="n">
        <v>1185732</v>
      </c>
      <c r="D330" s="10" t="n">
        <v>44387</v>
      </c>
      <c r="E330" s="9" t="s">
        <v>38</v>
      </c>
      <c r="F330" s="9" t="s">
        <v>39</v>
      </c>
      <c r="G330" s="9" t="s">
        <v>40</v>
      </c>
      <c r="H330" s="11" t="s">
        <v>24</v>
      </c>
      <c r="I330" s="12" t="n">
        <v>50</v>
      </c>
      <c r="J330" s="13" t="n">
        <v>225</v>
      </c>
      <c r="K330" s="14" t="n">
        <f aca="false">I330*J330</f>
        <v>11250</v>
      </c>
      <c r="L330" s="14" t="n">
        <f aca="false">($L$2*M330)/100</f>
        <v>420583.275</v>
      </c>
      <c r="M330" s="15" t="n">
        <v>0.35</v>
      </c>
      <c r="N330" s="9" t="s">
        <v>26</v>
      </c>
    </row>
    <row r="331" customFormat="false" ht="14.25" hidden="false" customHeight="true" outlineLevel="0" collapsed="false">
      <c r="B331" s="9" t="s">
        <v>16</v>
      </c>
      <c r="C331" s="9" t="n">
        <v>1185732</v>
      </c>
      <c r="D331" s="10" t="n">
        <v>44388</v>
      </c>
      <c r="E331" s="9" t="s">
        <v>38</v>
      </c>
      <c r="F331" s="9" t="s">
        <v>39</v>
      </c>
      <c r="G331" s="9" t="s">
        <v>40</v>
      </c>
      <c r="H331" s="11" t="s">
        <v>25</v>
      </c>
      <c r="I331" s="12" t="n">
        <v>55</v>
      </c>
      <c r="J331" s="13" t="n">
        <v>400</v>
      </c>
      <c r="K331" s="14" t="n">
        <f aca="false">I331*J331</f>
        <v>22000</v>
      </c>
      <c r="L331" s="14" t="n">
        <f aca="false">($L$2*M331)/100</f>
        <v>600833.25</v>
      </c>
      <c r="M331" s="15" t="n">
        <v>0.5</v>
      </c>
      <c r="N331" s="9" t="s">
        <v>26</v>
      </c>
    </row>
    <row r="332" customFormat="false" ht="14.25" hidden="false" customHeight="true" outlineLevel="0" collapsed="false">
      <c r="B332" s="9" t="s">
        <v>16</v>
      </c>
      <c r="C332" s="9" t="n">
        <v>1185732</v>
      </c>
      <c r="D332" s="10" t="n">
        <v>44389</v>
      </c>
      <c r="E332" s="9" t="s">
        <v>38</v>
      </c>
      <c r="F332" s="9" t="s">
        <v>39</v>
      </c>
      <c r="G332" s="9" t="s">
        <v>40</v>
      </c>
      <c r="H332" s="11" t="s">
        <v>19</v>
      </c>
      <c r="I332" s="12" t="n">
        <v>50</v>
      </c>
      <c r="J332" s="13" t="n">
        <v>550</v>
      </c>
      <c r="K332" s="14" t="n">
        <f aca="false">I332*J332</f>
        <v>27500</v>
      </c>
      <c r="L332" s="14" t="n">
        <f aca="false">($L$2*M332)/100</f>
        <v>480666.6</v>
      </c>
      <c r="M332" s="15" t="n">
        <v>0.4</v>
      </c>
      <c r="N332" s="9" t="s">
        <v>26</v>
      </c>
    </row>
    <row r="333" customFormat="false" ht="14.25" hidden="false" customHeight="true" outlineLevel="0" collapsed="false">
      <c r="B333" s="9" t="s">
        <v>16</v>
      </c>
      <c r="C333" s="9" t="n">
        <v>1185732</v>
      </c>
      <c r="D333" s="10" t="n">
        <v>44390</v>
      </c>
      <c r="E333" s="9" t="s">
        <v>38</v>
      </c>
      <c r="F333" s="9" t="s">
        <v>39</v>
      </c>
      <c r="G333" s="9" t="s">
        <v>40</v>
      </c>
      <c r="H333" s="11" t="s">
        <v>21</v>
      </c>
      <c r="I333" s="12" t="n">
        <v>45</v>
      </c>
      <c r="J333" s="13" t="n">
        <v>325</v>
      </c>
      <c r="K333" s="14" t="n">
        <f aca="false">I333*J333</f>
        <v>14625</v>
      </c>
      <c r="L333" s="14" t="n">
        <f aca="false">($L$2*M333)/100</f>
        <v>420583.275</v>
      </c>
      <c r="M333" s="15" t="n">
        <v>0.35</v>
      </c>
      <c r="N333" s="9" t="s">
        <v>26</v>
      </c>
    </row>
    <row r="334" customFormat="false" ht="14.25" hidden="false" customHeight="true" outlineLevel="0" collapsed="false">
      <c r="B334" s="9" t="s">
        <v>16</v>
      </c>
      <c r="C334" s="9" t="n">
        <v>1185732</v>
      </c>
      <c r="D334" s="10" t="n">
        <v>44391</v>
      </c>
      <c r="E334" s="9" t="s">
        <v>38</v>
      </c>
      <c r="F334" s="9" t="s">
        <v>39</v>
      </c>
      <c r="G334" s="9" t="s">
        <v>40</v>
      </c>
      <c r="H334" s="11" t="s">
        <v>22</v>
      </c>
      <c r="I334" s="12" t="n">
        <v>40</v>
      </c>
      <c r="J334" s="13" t="n">
        <v>250</v>
      </c>
      <c r="K334" s="14" t="n">
        <f aca="false">I334*J334</f>
        <v>10000</v>
      </c>
      <c r="L334" s="14" t="n">
        <f aca="false">($L$2*M334)/100</f>
        <v>420583.275</v>
      </c>
      <c r="M334" s="15" t="n">
        <v>0.35</v>
      </c>
      <c r="N334" s="9" t="s">
        <v>26</v>
      </c>
    </row>
    <row r="335" customFormat="false" ht="14.25" hidden="false" customHeight="true" outlineLevel="0" collapsed="false">
      <c r="B335" s="9" t="s">
        <v>16</v>
      </c>
      <c r="C335" s="9" t="n">
        <v>1185732</v>
      </c>
      <c r="D335" s="10" t="n">
        <v>44392</v>
      </c>
      <c r="E335" s="9" t="s">
        <v>38</v>
      </c>
      <c r="F335" s="9" t="s">
        <v>39</v>
      </c>
      <c r="G335" s="9" t="s">
        <v>40</v>
      </c>
      <c r="H335" s="11" t="s">
        <v>23</v>
      </c>
      <c r="I335" s="12" t="n">
        <v>40</v>
      </c>
      <c r="J335" s="13" t="n">
        <v>225</v>
      </c>
      <c r="K335" s="14" t="n">
        <f aca="false">I335*J335</f>
        <v>9000</v>
      </c>
      <c r="L335" s="14" t="n">
        <f aca="false">($L$2*M335)/100</f>
        <v>480666.6</v>
      </c>
      <c r="M335" s="15" t="n">
        <v>0.4</v>
      </c>
      <c r="N335" s="9" t="s">
        <v>26</v>
      </c>
    </row>
    <row r="336" customFormat="false" ht="14.25" hidden="false" customHeight="true" outlineLevel="0" collapsed="false">
      <c r="B336" s="9" t="s">
        <v>16</v>
      </c>
      <c r="C336" s="9" t="n">
        <v>1185732</v>
      </c>
      <c r="D336" s="10" t="n">
        <v>44393</v>
      </c>
      <c r="E336" s="9" t="s">
        <v>38</v>
      </c>
      <c r="F336" s="9" t="s">
        <v>39</v>
      </c>
      <c r="G336" s="9" t="s">
        <v>40</v>
      </c>
      <c r="H336" s="11" t="s">
        <v>24</v>
      </c>
      <c r="I336" s="12" t="n">
        <v>50</v>
      </c>
      <c r="J336" s="13" t="n">
        <v>200</v>
      </c>
      <c r="K336" s="14" t="n">
        <f aca="false">I336*J336</f>
        <v>10000</v>
      </c>
      <c r="L336" s="14" t="n">
        <f aca="false">($L$2*M336)/100</f>
        <v>420583.275</v>
      </c>
      <c r="M336" s="15" t="n">
        <v>0.35</v>
      </c>
      <c r="N336" s="9" t="s">
        <v>26</v>
      </c>
    </row>
    <row r="337" customFormat="false" ht="14.25" hidden="false" customHeight="true" outlineLevel="0" collapsed="false">
      <c r="B337" s="9" t="s">
        <v>16</v>
      </c>
      <c r="C337" s="9" t="n">
        <v>1185732</v>
      </c>
      <c r="D337" s="10" t="n">
        <v>44394</v>
      </c>
      <c r="E337" s="9" t="s">
        <v>38</v>
      </c>
      <c r="F337" s="9" t="s">
        <v>39</v>
      </c>
      <c r="G337" s="9" t="s">
        <v>40</v>
      </c>
      <c r="H337" s="11" t="s">
        <v>25</v>
      </c>
      <c r="I337" s="12" t="n">
        <v>55</v>
      </c>
      <c r="J337" s="13" t="n">
        <v>375</v>
      </c>
      <c r="K337" s="14" t="n">
        <f aca="false">I337*J337</f>
        <v>20625</v>
      </c>
      <c r="L337" s="14" t="n">
        <f aca="false">($L$2*M337)/100</f>
        <v>600833.25</v>
      </c>
      <c r="M337" s="15" t="n">
        <v>0.5</v>
      </c>
      <c r="N337" s="9" t="s">
        <v>26</v>
      </c>
    </row>
    <row r="338" customFormat="false" ht="14.25" hidden="false" customHeight="true" outlineLevel="0" collapsed="false">
      <c r="B338" s="9" t="s">
        <v>16</v>
      </c>
      <c r="C338" s="9" t="n">
        <v>1185732</v>
      </c>
      <c r="D338" s="10" t="n">
        <v>44395</v>
      </c>
      <c r="E338" s="9" t="s">
        <v>38</v>
      </c>
      <c r="F338" s="9" t="s">
        <v>39</v>
      </c>
      <c r="G338" s="9" t="s">
        <v>40</v>
      </c>
      <c r="H338" s="11" t="s">
        <v>19</v>
      </c>
      <c r="I338" s="12" t="n">
        <v>50</v>
      </c>
      <c r="J338" s="13" t="n">
        <v>500</v>
      </c>
      <c r="K338" s="14" t="n">
        <f aca="false">I338*J338</f>
        <v>25000</v>
      </c>
      <c r="L338" s="14" t="n">
        <f aca="false">($L$2*M338)/100</f>
        <v>480666.6</v>
      </c>
      <c r="M338" s="15" t="n">
        <v>0.4</v>
      </c>
      <c r="N338" s="9" t="s">
        <v>26</v>
      </c>
    </row>
    <row r="339" customFormat="false" ht="14.25" hidden="false" customHeight="true" outlineLevel="0" collapsed="false">
      <c r="B339" s="9" t="s">
        <v>16</v>
      </c>
      <c r="C339" s="9" t="n">
        <v>1185732</v>
      </c>
      <c r="D339" s="10" t="n">
        <v>44396</v>
      </c>
      <c r="E339" s="9" t="s">
        <v>38</v>
      </c>
      <c r="F339" s="9" t="s">
        <v>39</v>
      </c>
      <c r="G339" s="9" t="s">
        <v>40</v>
      </c>
      <c r="H339" s="11" t="s">
        <v>21</v>
      </c>
      <c r="I339" s="12" t="n">
        <v>45</v>
      </c>
      <c r="J339" s="13" t="n">
        <v>300</v>
      </c>
      <c r="K339" s="14" t="n">
        <f aca="false">I339*J339</f>
        <v>13500</v>
      </c>
      <c r="L339" s="14" t="n">
        <f aca="false">($L$2*M339)/100</f>
        <v>420583.275</v>
      </c>
      <c r="M339" s="15" t="n">
        <v>0.35</v>
      </c>
      <c r="N339" s="9" t="s">
        <v>26</v>
      </c>
    </row>
    <row r="340" customFormat="false" ht="14.25" hidden="false" customHeight="true" outlineLevel="0" collapsed="false">
      <c r="B340" s="9" t="s">
        <v>16</v>
      </c>
      <c r="C340" s="9" t="n">
        <v>1185732</v>
      </c>
      <c r="D340" s="10" t="n">
        <v>44397</v>
      </c>
      <c r="E340" s="9" t="s">
        <v>38</v>
      </c>
      <c r="F340" s="9" t="s">
        <v>39</v>
      </c>
      <c r="G340" s="9" t="s">
        <v>40</v>
      </c>
      <c r="H340" s="11" t="s">
        <v>22</v>
      </c>
      <c r="I340" s="12" t="n">
        <v>40</v>
      </c>
      <c r="J340" s="13" t="n">
        <v>200</v>
      </c>
      <c r="K340" s="14" t="n">
        <f aca="false">I340*J340</f>
        <v>8000</v>
      </c>
      <c r="L340" s="14" t="n">
        <f aca="false">($L$2*M340)/100</f>
        <v>420583.275</v>
      </c>
      <c r="M340" s="15" t="n">
        <v>0.35</v>
      </c>
      <c r="N340" s="9" t="s">
        <v>26</v>
      </c>
    </row>
    <row r="341" customFormat="false" ht="14.25" hidden="false" customHeight="true" outlineLevel="0" collapsed="false">
      <c r="B341" s="9" t="s">
        <v>16</v>
      </c>
      <c r="C341" s="9" t="n">
        <v>1185732</v>
      </c>
      <c r="D341" s="10" t="n">
        <v>44398</v>
      </c>
      <c r="E341" s="9" t="s">
        <v>38</v>
      </c>
      <c r="F341" s="9" t="s">
        <v>39</v>
      </c>
      <c r="G341" s="9" t="s">
        <v>40</v>
      </c>
      <c r="H341" s="11" t="s">
        <v>23</v>
      </c>
      <c r="I341" s="12" t="n">
        <v>40</v>
      </c>
      <c r="J341" s="13" t="n">
        <v>175</v>
      </c>
      <c r="K341" s="14" t="n">
        <f aca="false">I341*J341</f>
        <v>7000</v>
      </c>
      <c r="L341" s="14" t="n">
        <f aca="false">($L$2*M341)/100</f>
        <v>480666.6</v>
      </c>
      <c r="M341" s="15" t="n">
        <v>0.4</v>
      </c>
      <c r="N341" s="9" t="s">
        <v>26</v>
      </c>
    </row>
    <row r="342" customFormat="false" ht="14.25" hidden="false" customHeight="true" outlineLevel="0" collapsed="false">
      <c r="B342" s="9" t="s">
        <v>16</v>
      </c>
      <c r="C342" s="9" t="n">
        <v>1185732</v>
      </c>
      <c r="D342" s="10" t="n">
        <v>44399</v>
      </c>
      <c r="E342" s="9" t="s">
        <v>38</v>
      </c>
      <c r="F342" s="9" t="s">
        <v>39</v>
      </c>
      <c r="G342" s="9" t="s">
        <v>40</v>
      </c>
      <c r="H342" s="11" t="s">
        <v>24</v>
      </c>
      <c r="I342" s="12" t="n">
        <v>50</v>
      </c>
      <c r="J342" s="13" t="n">
        <v>175</v>
      </c>
      <c r="K342" s="14" t="n">
        <f aca="false">I342*J342</f>
        <v>8750</v>
      </c>
      <c r="L342" s="14" t="n">
        <f aca="false">($L$2*M342)/100</f>
        <v>420583.275</v>
      </c>
      <c r="M342" s="15" t="n">
        <v>0.35</v>
      </c>
      <c r="N342" s="9" t="s">
        <v>26</v>
      </c>
    </row>
    <row r="343" customFormat="false" ht="14.25" hidden="false" customHeight="true" outlineLevel="0" collapsed="false">
      <c r="B343" s="9" t="s">
        <v>16</v>
      </c>
      <c r="C343" s="9" t="n">
        <v>1185732</v>
      </c>
      <c r="D343" s="10" t="n">
        <v>44400</v>
      </c>
      <c r="E343" s="9" t="s">
        <v>38</v>
      </c>
      <c r="F343" s="9" t="s">
        <v>39</v>
      </c>
      <c r="G343" s="9" t="s">
        <v>40</v>
      </c>
      <c r="H343" s="11" t="s">
        <v>25</v>
      </c>
      <c r="I343" s="12" t="n">
        <v>55</v>
      </c>
      <c r="J343" s="13" t="n">
        <v>250</v>
      </c>
      <c r="K343" s="14" t="n">
        <f aca="false">I343*J343</f>
        <v>13750</v>
      </c>
      <c r="L343" s="14" t="n">
        <f aca="false">($L$2*M343)/100</f>
        <v>600833.25</v>
      </c>
      <c r="M343" s="15" t="n">
        <v>0.5</v>
      </c>
      <c r="N343" s="9" t="s">
        <v>26</v>
      </c>
    </row>
    <row r="344" customFormat="false" ht="14.25" hidden="false" customHeight="true" outlineLevel="0" collapsed="false">
      <c r="B344" s="9" t="s">
        <v>16</v>
      </c>
      <c r="C344" s="9" t="n">
        <v>1185732</v>
      </c>
      <c r="D344" s="10" t="n">
        <v>44401</v>
      </c>
      <c r="E344" s="9" t="s">
        <v>38</v>
      </c>
      <c r="F344" s="9" t="s">
        <v>39</v>
      </c>
      <c r="G344" s="9" t="s">
        <v>40</v>
      </c>
      <c r="H344" s="11" t="s">
        <v>19</v>
      </c>
      <c r="I344" s="12" t="n">
        <v>60</v>
      </c>
      <c r="J344" s="13" t="n">
        <v>425</v>
      </c>
      <c r="K344" s="14" t="n">
        <f aca="false">I344*J344</f>
        <v>25500</v>
      </c>
      <c r="L344" s="14" t="n">
        <f aca="false">($L$2*M344)/100</f>
        <v>480666.6</v>
      </c>
      <c r="M344" s="15" t="n">
        <v>0.4</v>
      </c>
      <c r="N344" s="9" t="s">
        <v>26</v>
      </c>
    </row>
    <row r="345" customFormat="false" ht="14.25" hidden="false" customHeight="true" outlineLevel="0" collapsed="false">
      <c r="B345" s="9" t="s">
        <v>16</v>
      </c>
      <c r="C345" s="9" t="n">
        <v>1185732</v>
      </c>
      <c r="D345" s="10" t="n">
        <v>44402</v>
      </c>
      <c r="E345" s="9" t="s">
        <v>38</v>
      </c>
      <c r="F345" s="9" t="s">
        <v>39</v>
      </c>
      <c r="G345" s="9" t="s">
        <v>40</v>
      </c>
      <c r="H345" s="11" t="s">
        <v>21</v>
      </c>
      <c r="I345" s="12" t="n">
        <v>50</v>
      </c>
      <c r="J345" s="13" t="n">
        <v>250</v>
      </c>
      <c r="K345" s="14" t="n">
        <f aca="false">I345*J345</f>
        <v>12500</v>
      </c>
      <c r="L345" s="14" t="n">
        <f aca="false">($L$2*M345)/100</f>
        <v>420583.275</v>
      </c>
      <c r="M345" s="15" t="n">
        <v>0.35</v>
      </c>
      <c r="N345" s="9" t="s">
        <v>26</v>
      </c>
    </row>
    <row r="346" customFormat="false" ht="14.25" hidden="false" customHeight="true" outlineLevel="0" collapsed="false">
      <c r="B346" s="9" t="s">
        <v>16</v>
      </c>
      <c r="C346" s="9" t="n">
        <v>1185732</v>
      </c>
      <c r="D346" s="10" t="n">
        <v>44403</v>
      </c>
      <c r="E346" s="9" t="s">
        <v>38</v>
      </c>
      <c r="F346" s="9" t="s">
        <v>39</v>
      </c>
      <c r="G346" s="9" t="s">
        <v>40</v>
      </c>
      <c r="H346" s="11" t="s">
        <v>22</v>
      </c>
      <c r="I346" s="12" t="n">
        <v>50</v>
      </c>
      <c r="J346" s="13" t="n">
        <v>150</v>
      </c>
      <c r="K346" s="14" t="n">
        <f aca="false">I346*J346</f>
        <v>7500</v>
      </c>
      <c r="L346" s="14" t="n">
        <f aca="false">($L$2*M346)/100</f>
        <v>420583.275</v>
      </c>
      <c r="M346" s="15" t="n">
        <v>0.35</v>
      </c>
      <c r="N346" s="9" t="s">
        <v>26</v>
      </c>
    </row>
    <row r="347" customFormat="false" ht="14.25" hidden="false" customHeight="true" outlineLevel="0" collapsed="false">
      <c r="B347" s="9" t="s">
        <v>16</v>
      </c>
      <c r="C347" s="9" t="n">
        <v>1185732</v>
      </c>
      <c r="D347" s="10" t="n">
        <v>44404</v>
      </c>
      <c r="E347" s="9" t="s">
        <v>38</v>
      </c>
      <c r="F347" s="9" t="s">
        <v>39</v>
      </c>
      <c r="G347" s="9" t="s">
        <v>40</v>
      </c>
      <c r="H347" s="11" t="s">
        <v>23</v>
      </c>
      <c r="I347" s="12" t="n">
        <v>50</v>
      </c>
      <c r="J347" s="13" t="n">
        <v>125</v>
      </c>
      <c r="K347" s="14" t="n">
        <f aca="false">I347*J347</f>
        <v>6250</v>
      </c>
      <c r="L347" s="14" t="n">
        <f aca="false">($L$2*M347)/100</f>
        <v>480666.6</v>
      </c>
      <c r="M347" s="15" t="n">
        <v>0.4</v>
      </c>
      <c r="N347" s="9" t="s">
        <v>26</v>
      </c>
    </row>
    <row r="348" customFormat="false" ht="14.25" hidden="false" customHeight="true" outlineLevel="0" collapsed="false">
      <c r="B348" s="9" t="s">
        <v>16</v>
      </c>
      <c r="C348" s="9" t="n">
        <v>1185732</v>
      </c>
      <c r="D348" s="10" t="n">
        <v>44405</v>
      </c>
      <c r="E348" s="9" t="s">
        <v>38</v>
      </c>
      <c r="F348" s="9" t="s">
        <v>39</v>
      </c>
      <c r="G348" s="9" t="s">
        <v>40</v>
      </c>
      <c r="H348" s="11" t="s">
        <v>24</v>
      </c>
      <c r="I348" s="12" t="n">
        <v>60</v>
      </c>
      <c r="J348" s="13" t="n">
        <v>125</v>
      </c>
      <c r="K348" s="14" t="n">
        <f aca="false">I348*J348</f>
        <v>7500</v>
      </c>
      <c r="L348" s="14" t="n">
        <f aca="false">($L$2*M348)/100</f>
        <v>420583.275</v>
      </c>
      <c r="M348" s="15" t="n">
        <v>0.35</v>
      </c>
      <c r="N348" s="9" t="s">
        <v>26</v>
      </c>
    </row>
    <row r="349" customFormat="false" ht="14.25" hidden="false" customHeight="true" outlineLevel="0" collapsed="false">
      <c r="B349" s="9" t="s">
        <v>16</v>
      </c>
      <c r="C349" s="9" t="n">
        <v>1185732</v>
      </c>
      <c r="D349" s="10" t="n">
        <v>44406</v>
      </c>
      <c r="E349" s="9" t="s">
        <v>38</v>
      </c>
      <c r="F349" s="9" t="s">
        <v>39</v>
      </c>
      <c r="G349" s="9" t="s">
        <v>40</v>
      </c>
      <c r="H349" s="11" t="s">
        <v>25</v>
      </c>
      <c r="I349" s="12" t="n">
        <v>65</v>
      </c>
      <c r="J349" s="13" t="n">
        <v>250</v>
      </c>
      <c r="K349" s="14" t="n">
        <f aca="false">I349*J349</f>
        <v>16250</v>
      </c>
      <c r="L349" s="14" t="n">
        <f aca="false">($L$2*M349)/100</f>
        <v>600833.25</v>
      </c>
      <c r="M349" s="15" t="n">
        <v>0.5</v>
      </c>
      <c r="N349" s="9" t="s">
        <v>26</v>
      </c>
    </row>
    <row r="350" customFormat="false" ht="14.25" hidden="false" customHeight="true" outlineLevel="0" collapsed="false">
      <c r="B350" s="9" t="s">
        <v>16</v>
      </c>
      <c r="C350" s="9" t="n">
        <v>1185732</v>
      </c>
      <c r="D350" s="10" t="n">
        <v>44407</v>
      </c>
      <c r="E350" s="9" t="s">
        <v>38</v>
      </c>
      <c r="F350" s="9" t="s">
        <v>39</v>
      </c>
      <c r="G350" s="9" t="s">
        <v>40</v>
      </c>
      <c r="H350" s="11" t="s">
        <v>19</v>
      </c>
      <c r="I350" s="12" t="n">
        <v>60</v>
      </c>
      <c r="J350" s="13" t="n">
        <v>400</v>
      </c>
      <c r="K350" s="14" t="n">
        <f aca="false">I350*J350</f>
        <v>24000</v>
      </c>
      <c r="L350" s="14" t="n">
        <f aca="false">($L$2*M350)/100</f>
        <v>480666.6</v>
      </c>
      <c r="M350" s="15" t="n">
        <v>0.4</v>
      </c>
      <c r="N350" s="9" t="s">
        <v>26</v>
      </c>
    </row>
    <row r="351" customFormat="false" ht="14.25" hidden="false" customHeight="true" outlineLevel="0" collapsed="false">
      <c r="B351" s="9" t="s">
        <v>16</v>
      </c>
      <c r="C351" s="9" t="n">
        <v>1185732</v>
      </c>
      <c r="D351" s="10" t="n">
        <v>44408</v>
      </c>
      <c r="E351" s="9" t="s">
        <v>38</v>
      </c>
      <c r="F351" s="9" t="s">
        <v>39</v>
      </c>
      <c r="G351" s="9" t="s">
        <v>40</v>
      </c>
      <c r="H351" s="11" t="s">
        <v>21</v>
      </c>
      <c r="I351" s="12" t="n">
        <v>50</v>
      </c>
      <c r="J351" s="13" t="n">
        <v>250</v>
      </c>
      <c r="K351" s="14" t="n">
        <f aca="false">I351*J351</f>
        <v>12500</v>
      </c>
      <c r="L351" s="14" t="n">
        <f aca="false">($L$2*M351)/100</f>
        <v>420583.275</v>
      </c>
      <c r="M351" s="15" t="n">
        <v>0.35</v>
      </c>
      <c r="N351" s="9" t="s">
        <v>26</v>
      </c>
    </row>
    <row r="352" customFormat="false" ht="14.25" hidden="false" customHeight="true" outlineLevel="0" collapsed="false">
      <c r="B352" s="9" t="s">
        <v>16</v>
      </c>
      <c r="C352" s="9" t="n">
        <v>1185732</v>
      </c>
      <c r="D352" s="10" t="n">
        <v>44409</v>
      </c>
      <c r="E352" s="9" t="s">
        <v>38</v>
      </c>
      <c r="F352" s="9" t="s">
        <v>39</v>
      </c>
      <c r="G352" s="9" t="s">
        <v>40</v>
      </c>
      <c r="H352" s="11" t="s">
        <v>22</v>
      </c>
      <c r="I352" s="12" t="n">
        <v>50</v>
      </c>
      <c r="J352" s="13" t="n">
        <v>195</v>
      </c>
      <c r="K352" s="14" t="n">
        <f aca="false">I352*J352</f>
        <v>9750</v>
      </c>
      <c r="L352" s="14" t="n">
        <f aca="false">($L$2*M352)/100</f>
        <v>420583.275</v>
      </c>
      <c r="M352" s="15" t="n">
        <v>0.35</v>
      </c>
      <c r="N352" s="9" t="s">
        <v>26</v>
      </c>
    </row>
    <row r="353" customFormat="false" ht="14.25" hidden="false" customHeight="true" outlineLevel="0" collapsed="false">
      <c r="B353" s="9" t="s">
        <v>16</v>
      </c>
      <c r="C353" s="9" t="n">
        <v>1185732</v>
      </c>
      <c r="D353" s="10" t="n">
        <v>44410</v>
      </c>
      <c r="E353" s="9" t="s">
        <v>38</v>
      </c>
      <c r="F353" s="9" t="s">
        <v>39</v>
      </c>
      <c r="G353" s="9" t="s">
        <v>40</v>
      </c>
      <c r="H353" s="11" t="s">
        <v>23</v>
      </c>
      <c r="I353" s="12" t="n">
        <v>50</v>
      </c>
      <c r="J353" s="13" t="n">
        <v>175</v>
      </c>
      <c r="K353" s="14" t="n">
        <f aca="false">I353*J353</f>
        <v>8750</v>
      </c>
      <c r="L353" s="14" t="n">
        <f aca="false">($L$2*M353)/100</f>
        <v>480666.6</v>
      </c>
      <c r="M353" s="15" t="n">
        <v>0.4</v>
      </c>
      <c r="N353" s="9" t="s">
        <v>26</v>
      </c>
    </row>
    <row r="354" customFormat="false" ht="14.25" hidden="false" customHeight="true" outlineLevel="0" collapsed="false">
      <c r="B354" s="9" t="s">
        <v>16</v>
      </c>
      <c r="C354" s="9" t="n">
        <v>1185732</v>
      </c>
      <c r="D354" s="10" t="n">
        <v>44411</v>
      </c>
      <c r="E354" s="9" t="s">
        <v>38</v>
      </c>
      <c r="F354" s="9" t="s">
        <v>39</v>
      </c>
      <c r="G354" s="9" t="s">
        <v>40</v>
      </c>
      <c r="H354" s="11" t="s">
        <v>24</v>
      </c>
      <c r="I354" s="12" t="n">
        <v>60</v>
      </c>
      <c r="J354" s="13" t="n">
        <v>150</v>
      </c>
      <c r="K354" s="14" t="n">
        <f aca="false">I354*J354</f>
        <v>9000</v>
      </c>
      <c r="L354" s="14" t="n">
        <f aca="false">($L$2*M354)/100</f>
        <v>420583.275</v>
      </c>
      <c r="M354" s="15" t="n">
        <v>0.35</v>
      </c>
      <c r="N354" s="9" t="s">
        <v>26</v>
      </c>
    </row>
    <row r="355" customFormat="false" ht="14.25" hidden="false" customHeight="true" outlineLevel="0" collapsed="false">
      <c r="B355" s="9" t="s">
        <v>16</v>
      </c>
      <c r="C355" s="9" t="n">
        <v>1185732</v>
      </c>
      <c r="D355" s="10" t="n">
        <v>44412</v>
      </c>
      <c r="E355" s="9" t="s">
        <v>38</v>
      </c>
      <c r="F355" s="9" t="s">
        <v>39</v>
      </c>
      <c r="G355" s="9" t="s">
        <v>40</v>
      </c>
      <c r="H355" s="11" t="s">
        <v>25</v>
      </c>
      <c r="I355" s="12" t="n">
        <v>65</v>
      </c>
      <c r="J355" s="13" t="n">
        <v>250</v>
      </c>
      <c r="K355" s="14" t="n">
        <f aca="false">I355*J355</f>
        <v>16250</v>
      </c>
      <c r="L355" s="14" t="n">
        <f aca="false">($L$2*M355)/100</f>
        <v>600833.25</v>
      </c>
      <c r="M355" s="15" t="n">
        <v>0.5</v>
      </c>
      <c r="N355" s="9" t="s">
        <v>26</v>
      </c>
    </row>
    <row r="356" customFormat="false" ht="14.25" hidden="false" customHeight="true" outlineLevel="0" collapsed="false">
      <c r="B356" s="9" t="s">
        <v>16</v>
      </c>
      <c r="C356" s="9" t="n">
        <v>1185732</v>
      </c>
      <c r="D356" s="10" t="n">
        <v>44413</v>
      </c>
      <c r="E356" s="9" t="s">
        <v>38</v>
      </c>
      <c r="F356" s="9" t="s">
        <v>39</v>
      </c>
      <c r="G356" s="9" t="s">
        <v>40</v>
      </c>
      <c r="H356" s="11" t="s">
        <v>19</v>
      </c>
      <c r="I356" s="12" t="n">
        <v>60</v>
      </c>
      <c r="J356" s="13" t="n">
        <v>500</v>
      </c>
      <c r="K356" s="14" t="n">
        <f aca="false">I356*J356</f>
        <v>30000</v>
      </c>
      <c r="L356" s="14" t="n">
        <f aca="false">($L$2*M356)/100</f>
        <v>480666.6</v>
      </c>
      <c r="M356" s="15" t="n">
        <v>0.4</v>
      </c>
      <c r="N356" s="9" t="s">
        <v>26</v>
      </c>
    </row>
    <row r="357" customFormat="false" ht="14.25" hidden="false" customHeight="true" outlineLevel="0" collapsed="false">
      <c r="B357" s="9" t="s">
        <v>16</v>
      </c>
      <c r="C357" s="9" t="n">
        <v>1185732</v>
      </c>
      <c r="D357" s="10" t="n">
        <v>44414</v>
      </c>
      <c r="E357" s="9" t="s">
        <v>38</v>
      </c>
      <c r="F357" s="9" t="s">
        <v>39</v>
      </c>
      <c r="G357" s="9" t="s">
        <v>40</v>
      </c>
      <c r="H357" s="11" t="s">
        <v>21</v>
      </c>
      <c r="I357" s="12" t="n">
        <v>50</v>
      </c>
      <c r="J357" s="13" t="n">
        <v>300</v>
      </c>
      <c r="K357" s="14" t="n">
        <f aca="false">I357*J357</f>
        <v>15000</v>
      </c>
      <c r="L357" s="14" t="n">
        <f aca="false">($L$2*M357)/100</f>
        <v>420583.275</v>
      </c>
      <c r="M357" s="15" t="n">
        <v>0.35</v>
      </c>
      <c r="N357" s="9" t="s">
        <v>26</v>
      </c>
    </row>
    <row r="358" customFormat="false" ht="14.25" hidden="false" customHeight="true" outlineLevel="0" collapsed="false">
      <c r="B358" s="9" t="s">
        <v>16</v>
      </c>
      <c r="C358" s="9" t="n">
        <v>1185732</v>
      </c>
      <c r="D358" s="10" t="n">
        <v>44415</v>
      </c>
      <c r="E358" s="9" t="s">
        <v>38</v>
      </c>
      <c r="F358" s="9" t="s">
        <v>39</v>
      </c>
      <c r="G358" s="9" t="s">
        <v>40</v>
      </c>
      <c r="H358" s="11" t="s">
        <v>22</v>
      </c>
      <c r="I358" s="12" t="n">
        <v>50</v>
      </c>
      <c r="J358" s="13" t="n">
        <v>250</v>
      </c>
      <c r="K358" s="14" t="n">
        <f aca="false">I358*J358</f>
        <v>12500</v>
      </c>
      <c r="L358" s="14" t="n">
        <f aca="false">($L$2*M358)/100</f>
        <v>420583.275</v>
      </c>
      <c r="M358" s="15" t="n">
        <v>0.35</v>
      </c>
      <c r="N358" s="9" t="s">
        <v>26</v>
      </c>
    </row>
    <row r="359" customFormat="false" ht="14.25" hidden="false" customHeight="true" outlineLevel="0" collapsed="false">
      <c r="B359" s="9" t="s">
        <v>16</v>
      </c>
      <c r="C359" s="9" t="n">
        <v>1185732</v>
      </c>
      <c r="D359" s="10" t="n">
        <v>44416</v>
      </c>
      <c r="E359" s="9" t="s">
        <v>38</v>
      </c>
      <c r="F359" s="9" t="s">
        <v>39</v>
      </c>
      <c r="G359" s="9" t="s">
        <v>40</v>
      </c>
      <c r="H359" s="11" t="s">
        <v>23</v>
      </c>
      <c r="I359" s="12" t="n">
        <v>50</v>
      </c>
      <c r="J359" s="13" t="n">
        <v>200</v>
      </c>
      <c r="K359" s="14" t="n">
        <f aca="false">I359*J359</f>
        <v>10000</v>
      </c>
      <c r="L359" s="14" t="n">
        <f aca="false">($L$2*M359)/100</f>
        <v>480666.6</v>
      </c>
      <c r="M359" s="15" t="n">
        <v>0.4</v>
      </c>
      <c r="N359" s="9" t="s">
        <v>26</v>
      </c>
    </row>
    <row r="360" customFormat="false" ht="14.25" hidden="false" customHeight="true" outlineLevel="0" collapsed="false">
      <c r="B360" s="9" t="s">
        <v>16</v>
      </c>
      <c r="C360" s="9" t="n">
        <v>1185732</v>
      </c>
      <c r="D360" s="10" t="n">
        <v>44417</v>
      </c>
      <c r="E360" s="9" t="s">
        <v>38</v>
      </c>
      <c r="F360" s="9" t="s">
        <v>39</v>
      </c>
      <c r="G360" s="9" t="s">
        <v>40</v>
      </c>
      <c r="H360" s="11" t="s">
        <v>24</v>
      </c>
      <c r="I360" s="12" t="n">
        <v>60</v>
      </c>
      <c r="J360" s="13" t="n">
        <v>200</v>
      </c>
      <c r="K360" s="14" t="n">
        <f aca="false">I360*J360</f>
        <v>12000</v>
      </c>
      <c r="L360" s="14" t="n">
        <f aca="false">($L$2*M360)/100</f>
        <v>420583.275</v>
      </c>
      <c r="M360" s="15" t="n">
        <v>0.35</v>
      </c>
      <c r="N360" s="9" t="s">
        <v>26</v>
      </c>
    </row>
    <row r="361" customFormat="false" ht="14.25" hidden="false" customHeight="true" outlineLevel="0" collapsed="false">
      <c r="B361" s="9" t="s">
        <v>16</v>
      </c>
      <c r="C361" s="9" t="n">
        <v>1185732</v>
      </c>
      <c r="D361" s="10" t="n">
        <v>44418</v>
      </c>
      <c r="E361" s="9" t="s">
        <v>38</v>
      </c>
      <c r="F361" s="9" t="s">
        <v>39</v>
      </c>
      <c r="G361" s="9" t="s">
        <v>40</v>
      </c>
      <c r="H361" s="11" t="s">
        <v>25</v>
      </c>
      <c r="I361" s="12" t="n">
        <v>65</v>
      </c>
      <c r="J361" s="13" t="n">
        <v>300</v>
      </c>
      <c r="K361" s="14" t="n">
        <f aca="false">I361*J361</f>
        <v>19500</v>
      </c>
      <c r="L361" s="14" t="n">
        <f aca="false">($L$2*M361)/100</f>
        <v>600833.25</v>
      </c>
      <c r="M361" s="15" t="n">
        <v>0.5</v>
      </c>
      <c r="N361" s="9" t="s">
        <v>26</v>
      </c>
    </row>
    <row r="362" customFormat="false" ht="14.25" hidden="false" customHeight="true" outlineLevel="0" collapsed="false">
      <c r="B362" s="9" t="s">
        <v>28</v>
      </c>
      <c r="C362" s="9" t="n">
        <v>1197831</v>
      </c>
      <c r="D362" s="10" t="n">
        <v>44419</v>
      </c>
      <c r="E362" s="9" t="s">
        <v>38</v>
      </c>
      <c r="F362" s="9" t="s">
        <v>39</v>
      </c>
      <c r="G362" s="9" t="s">
        <v>40</v>
      </c>
      <c r="H362" s="11" t="s">
        <v>19</v>
      </c>
      <c r="I362" s="12" t="n">
        <v>20</v>
      </c>
      <c r="J362" s="13" t="n">
        <v>725</v>
      </c>
      <c r="K362" s="14" t="n">
        <f aca="false">I362*J362</f>
        <v>14500</v>
      </c>
      <c r="L362" s="14" t="n">
        <f aca="false">($L$2*M362)/100</f>
        <v>360499.95</v>
      </c>
      <c r="M362" s="15" t="n">
        <v>0.3</v>
      </c>
      <c r="N362" s="9" t="s">
        <v>26</v>
      </c>
    </row>
    <row r="363" customFormat="false" ht="14.25" hidden="false" customHeight="true" outlineLevel="0" collapsed="false">
      <c r="B363" s="9" t="s">
        <v>28</v>
      </c>
      <c r="C363" s="9" t="n">
        <v>1197831</v>
      </c>
      <c r="D363" s="10" t="n">
        <v>44420</v>
      </c>
      <c r="E363" s="9" t="s">
        <v>38</v>
      </c>
      <c r="F363" s="9" t="s">
        <v>39</v>
      </c>
      <c r="G363" s="9" t="s">
        <v>40</v>
      </c>
      <c r="H363" s="11" t="s">
        <v>21</v>
      </c>
      <c r="I363" s="12" t="n">
        <v>30</v>
      </c>
      <c r="J363" s="13" t="n">
        <v>725</v>
      </c>
      <c r="K363" s="14" t="n">
        <f aca="false">I363*J363</f>
        <v>21750</v>
      </c>
      <c r="L363" s="14" t="n">
        <f aca="false">($L$2*M363)/100</f>
        <v>360499.95</v>
      </c>
      <c r="M363" s="15" t="n">
        <v>0.3</v>
      </c>
      <c r="N363" s="9" t="s">
        <v>26</v>
      </c>
    </row>
    <row r="364" customFormat="false" ht="14.25" hidden="false" customHeight="true" outlineLevel="0" collapsed="false">
      <c r="B364" s="9" t="s">
        <v>28</v>
      </c>
      <c r="C364" s="9" t="n">
        <v>1197831</v>
      </c>
      <c r="D364" s="10" t="n">
        <v>44421</v>
      </c>
      <c r="E364" s="9" t="s">
        <v>38</v>
      </c>
      <c r="F364" s="9" t="s">
        <v>39</v>
      </c>
      <c r="G364" s="9" t="s">
        <v>40</v>
      </c>
      <c r="H364" s="11" t="s">
        <v>22</v>
      </c>
      <c r="I364" s="12" t="n">
        <v>30</v>
      </c>
      <c r="J364" s="13" t="n">
        <v>525</v>
      </c>
      <c r="K364" s="14" t="n">
        <f aca="false">I364*J364</f>
        <v>15750</v>
      </c>
      <c r="L364" s="14" t="n">
        <f aca="false">($L$2*M364)/100</f>
        <v>360499.95</v>
      </c>
      <c r="M364" s="15" t="n">
        <v>0.3</v>
      </c>
      <c r="N364" s="9" t="s">
        <v>26</v>
      </c>
    </row>
    <row r="365" customFormat="false" ht="14.25" hidden="false" customHeight="true" outlineLevel="0" collapsed="false">
      <c r="B365" s="9" t="s">
        <v>28</v>
      </c>
      <c r="C365" s="9" t="n">
        <v>1197831</v>
      </c>
      <c r="D365" s="10" t="n">
        <v>44422</v>
      </c>
      <c r="E365" s="9" t="s">
        <v>38</v>
      </c>
      <c r="F365" s="9" t="s">
        <v>39</v>
      </c>
      <c r="G365" s="9" t="s">
        <v>40</v>
      </c>
      <c r="H365" s="11" t="s">
        <v>23</v>
      </c>
      <c r="I365" s="12" t="n">
        <v>35</v>
      </c>
      <c r="J365" s="13" t="n">
        <v>525</v>
      </c>
      <c r="K365" s="14" t="n">
        <f aca="false">I365*J365</f>
        <v>18375</v>
      </c>
      <c r="L365" s="14" t="n">
        <f aca="false">($L$2*M365)/100</f>
        <v>480666.6</v>
      </c>
      <c r="M365" s="15" t="n">
        <v>0.4</v>
      </c>
      <c r="N365" s="9" t="s">
        <v>26</v>
      </c>
    </row>
    <row r="366" customFormat="false" ht="14.25" hidden="false" customHeight="true" outlineLevel="0" collapsed="false">
      <c r="B366" s="9" t="s">
        <v>28</v>
      </c>
      <c r="C366" s="9" t="n">
        <v>1197831</v>
      </c>
      <c r="D366" s="10" t="n">
        <v>44423</v>
      </c>
      <c r="E366" s="9" t="s">
        <v>29</v>
      </c>
      <c r="F366" s="9" t="s">
        <v>30</v>
      </c>
      <c r="G366" s="9" t="s">
        <v>41</v>
      </c>
      <c r="H366" s="11" t="s">
        <v>24</v>
      </c>
      <c r="I366" s="12" t="n">
        <v>40</v>
      </c>
      <c r="J366" s="13" t="n">
        <v>375</v>
      </c>
      <c r="K366" s="14" t="n">
        <f aca="false">I366*J366</f>
        <v>15000</v>
      </c>
      <c r="L366" s="14" t="n">
        <f aca="false">($L$2*M366)/100</f>
        <v>300416.625</v>
      </c>
      <c r="M366" s="15" t="n">
        <v>0.25</v>
      </c>
      <c r="N366" s="9" t="s">
        <v>26</v>
      </c>
    </row>
    <row r="367" customFormat="false" ht="14.25" hidden="false" customHeight="true" outlineLevel="0" collapsed="false">
      <c r="B367" s="9" t="s">
        <v>28</v>
      </c>
      <c r="C367" s="9" t="n">
        <v>1197831</v>
      </c>
      <c r="D367" s="10" t="n">
        <v>44424</v>
      </c>
      <c r="E367" s="9" t="s">
        <v>29</v>
      </c>
      <c r="F367" s="9" t="s">
        <v>30</v>
      </c>
      <c r="G367" s="9" t="s">
        <v>41</v>
      </c>
      <c r="H367" s="11" t="s">
        <v>25</v>
      </c>
      <c r="I367" s="12" t="n">
        <v>35</v>
      </c>
      <c r="J367" s="13" t="n">
        <v>525</v>
      </c>
      <c r="K367" s="14" t="n">
        <f aca="false">I367*J367</f>
        <v>18375</v>
      </c>
      <c r="L367" s="14" t="n">
        <f aca="false">($L$2*M367)/100</f>
        <v>540749.925</v>
      </c>
      <c r="M367" s="15" t="n">
        <v>0.45</v>
      </c>
      <c r="N367" s="9" t="s">
        <v>26</v>
      </c>
    </row>
    <row r="368" customFormat="false" ht="14.25" hidden="false" customHeight="true" outlineLevel="0" collapsed="false">
      <c r="B368" s="9" t="s">
        <v>28</v>
      </c>
      <c r="C368" s="9" t="n">
        <v>1197831</v>
      </c>
      <c r="D368" s="10" t="n">
        <v>44425</v>
      </c>
      <c r="E368" s="9" t="s">
        <v>29</v>
      </c>
      <c r="F368" s="9" t="s">
        <v>30</v>
      </c>
      <c r="G368" s="9" t="s">
        <v>41</v>
      </c>
      <c r="H368" s="11" t="s">
        <v>19</v>
      </c>
      <c r="I368" s="12" t="n">
        <v>25</v>
      </c>
      <c r="J368" s="13" t="n">
        <v>675</v>
      </c>
      <c r="K368" s="14" t="n">
        <f aca="false">I368*J368</f>
        <v>16875</v>
      </c>
      <c r="L368" s="14" t="n">
        <f aca="false">($L$2*M368)/100</f>
        <v>360499.95</v>
      </c>
      <c r="M368" s="15" t="n">
        <v>0.3</v>
      </c>
      <c r="N368" s="9" t="s">
        <v>26</v>
      </c>
    </row>
    <row r="369" customFormat="false" ht="14.25" hidden="false" customHeight="true" outlineLevel="0" collapsed="false">
      <c r="B369" s="9" t="s">
        <v>28</v>
      </c>
      <c r="C369" s="9" t="n">
        <v>1197831</v>
      </c>
      <c r="D369" s="10" t="n">
        <v>44426</v>
      </c>
      <c r="E369" s="9" t="s">
        <v>29</v>
      </c>
      <c r="F369" s="9" t="s">
        <v>30</v>
      </c>
      <c r="G369" s="9" t="s">
        <v>41</v>
      </c>
      <c r="H369" s="11" t="s">
        <v>21</v>
      </c>
      <c r="I369" s="12" t="n">
        <v>35</v>
      </c>
      <c r="J369" s="13" t="n">
        <v>650</v>
      </c>
      <c r="K369" s="14" t="n">
        <f aca="false">I369*J369</f>
        <v>22750</v>
      </c>
      <c r="L369" s="14" t="n">
        <f aca="false">($L$2*M369)/100</f>
        <v>360499.95</v>
      </c>
      <c r="M369" s="15" t="n">
        <v>0.3</v>
      </c>
      <c r="N369" s="9" t="s">
        <v>26</v>
      </c>
    </row>
    <row r="370" customFormat="false" ht="14.25" hidden="false" customHeight="true" outlineLevel="0" collapsed="false">
      <c r="B370" s="9" t="s">
        <v>28</v>
      </c>
      <c r="C370" s="9" t="n">
        <v>1197831</v>
      </c>
      <c r="D370" s="10" t="n">
        <v>44427</v>
      </c>
      <c r="E370" s="9" t="s">
        <v>29</v>
      </c>
      <c r="F370" s="9" t="s">
        <v>30</v>
      </c>
      <c r="G370" s="9" t="s">
        <v>41</v>
      </c>
      <c r="H370" s="11" t="s">
        <v>22</v>
      </c>
      <c r="I370" s="12" t="n">
        <v>35</v>
      </c>
      <c r="J370" s="13" t="n">
        <v>475</v>
      </c>
      <c r="K370" s="14" t="n">
        <f aca="false">I370*J370</f>
        <v>16625</v>
      </c>
      <c r="L370" s="14" t="n">
        <f aca="false">($L$2*M370)/100</f>
        <v>360499.95</v>
      </c>
      <c r="M370" s="15" t="n">
        <v>0.3</v>
      </c>
      <c r="N370" s="9" t="s">
        <v>26</v>
      </c>
    </row>
    <row r="371" customFormat="false" ht="14.25" hidden="false" customHeight="true" outlineLevel="0" collapsed="false">
      <c r="B371" s="9" t="s">
        <v>28</v>
      </c>
      <c r="C371" s="9" t="n">
        <v>1197831</v>
      </c>
      <c r="D371" s="10" t="n">
        <v>44428</v>
      </c>
      <c r="E371" s="9" t="s">
        <v>29</v>
      </c>
      <c r="F371" s="9" t="s">
        <v>30</v>
      </c>
      <c r="G371" s="9" t="s">
        <v>41</v>
      </c>
      <c r="H371" s="11" t="s">
        <v>23</v>
      </c>
      <c r="I371" s="12" t="n">
        <v>35</v>
      </c>
      <c r="J371" s="13" t="n">
        <v>425</v>
      </c>
      <c r="K371" s="14" t="n">
        <f aca="false">I371*J371</f>
        <v>14875</v>
      </c>
      <c r="L371" s="14" t="n">
        <f aca="false">($L$2*M371)/100</f>
        <v>480666.6</v>
      </c>
      <c r="M371" s="15" t="n">
        <v>0.4</v>
      </c>
      <c r="N371" s="9" t="s">
        <v>26</v>
      </c>
    </row>
    <row r="372" customFormat="false" ht="14.25" hidden="false" customHeight="true" outlineLevel="0" collapsed="false">
      <c r="B372" s="9" t="s">
        <v>28</v>
      </c>
      <c r="C372" s="9" t="n">
        <v>1197831</v>
      </c>
      <c r="D372" s="10" t="n">
        <v>44429</v>
      </c>
      <c r="E372" s="9" t="s">
        <v>29</v>
      </c>
      <c r="F372" s="9" t="s">
        <v>30</v>
      </c>
      <c r="G372" s="9" t="s">
        <v>41</v>
      </c>
      <c r="H372" s="11" t="s">
        <v>24</v>
      </c>
      <c r="I372" s="12" t="n">
        <v>40</v>
      </c>
      <c r="J372" s="13" t="n">
        <v>300</v>
      </c>
      <c r="K372" s="14" t="n">
        <f aca="false">I372*J372</f>
        <v>12000</v>
      </c>
      <c r="L372" s="14" t="n">
        <f aca="false">($L$2*M372)/100</f>
        <v>300416.625</v>
      </c>
      <c r="M372" s="15" t="n">
        <v>0.25</v>
      </c>
      <c r="N372" s="9" t="s">
        <v>26</v>
      </c>
    </row>
    <row r="373" customFormat="false" ht="14.25" hidden="false" customHeight="true" outlineLevel="0" collapsed="false">
      <c r="B373" s="9" t="s">
        <v>28</v>
      </c>
      <c r="C373" s="9" t="n">
        <v>1197831</v>
      </c>
      <c r="D373" s="10" t="n">
        <v>44430</v>
      </c>
      <c r="E373" s="9" t="s">
        <v>29</v>
      </c>
      <c r="F373" s="9" t="s">
        <v>30</v>
      </c>
      <c r="G373" s="9" t="s">
        <v>41</v>
      </c>
      <c r="H373" s="11" t="s">
        <v>25</v>
      </c>
      <c r="I373" s="12" t="n">
        <v>35</v>
      </c>
      <c r="J373" s="13" t="n">
        <v>500</v>
      </c>
      <c r="K373" s="14" t="n">
        <f aca="false">I373*J373</f>
        <v>17500</v>
      </c>
      <c r="L373" s="14" t="n">
        <f aca="false">($L$2*M373)/100</f>
        <v>540749.925</v>
      </c>
      <c r="M373" s="15" t="n">
        <v>0.45</v>
      </c>
      <c r="N373" s="9" t="s">
        <v>26</v>
      </c>
    </row>
    <row r="374" customFormat="false" ht="14.25" hidden="false" customHeight="true" outlineLevel="0" collapsed="false">
      <c r="B374" s="9" t="s">
        <v>28</v>
      </c>
      <c r="C374" s="9" t="n">
        <v>1197831</v>
      </c>
      <c r="D374" s="10" t="n">
        <v>44431</v>
      </c>
      <c r="E374" s="9" t="s">
        <v>29</v>
      </c>
      <c r="F374" s="9" t="s">
        <v>30</v>
      </c>
      <c r="G374" s="9" t="s">
        <v>41</v>
      </c>
      <c r="H374" s="11" t="s">
        <v>19</v>
      </c>
      <c r="I374" s="12" t="n">
        <v>30</v>
      </c>
      <c r="J374" s="13" t="n">
        <v>675</v>
      </c>
      <c r="K374" s="14" t="n">
        <f aca="false">I374*J374</f>
        <v>20250</v>
      </c>
      <c r="L374" s="14" t="n">
        <f aca="false">($L$2*M374)/100</f>
        <v>420583.275</v>
      </c>
      <c r="M374" s="15" t="n">
        <v>0.35</v>
      </c>
      <c r="N374" s="9" t="s">
        <v>26</v>
      </c>
    </row>
    <row r="375" customFormat="false" ht="14.25" hidden="false" customHeight="true" outlineLevel="0" collapsed="false">
      <c r="B375" s="9" t="s">
        <v>28</v>
      </c>
      <c r="C375" s="9" t="n">
        <v>1197831</v>
      </c>
      <c r="D375" s="10" t="n">
        <v>44432</v>
      </c>
      <c r="E375" s="9" t="s">
        <v>29</v>
      </c>
      <c r="F375" s="9" t="s">
        <v>30</v>
      </c>
      <c r="G375" s="9" t="s">
        <v>41</v>
      </c>
      <c r="H375" s="11" t="s">
        <v>21</v>
      </c>
      <c r="I375" s="12" t="n">
        <v>40</v>
      </c>
      <c r="J375" s="13" t="n">
        <v>675</v>
      </c>
      <c r="K375" s="14" t="n">
        <f aca="false">I375*J375</f>
        <v>27000</v>
      </c>
      <c r="L375" s="14" t="n">
        <f aca="false">($L$2*M375)/100</f>
        <v>420583.275</v>
      </c>
      <c r="M375" s="15" t="n">
        <v>0.35</v>
      </c>
      <c r="N375" s="9" t="s">
        <v>26</v>
      </c>
    </row>
    <row r="376" customFormat="false" ht="14.25" hidden="false" customHeight="true" outlineLevel="0" collapsed="false">
      <c r="B376" s="9" t="s">
        <v>28</v>
      </c>
      <c r="C376" s="9" t="n">
        <v>1197831</v>
      </c>
      <c r="D376" s="10" t="n">
        <v>44433</v>
      </c>
      <c r="E376" s="9" t="s">
        <v>29</v>
      </c>
      <c r="F376" s="9" t="s">
        <v>30</v>
      </c>
      <c r="G376" s="9" t="s">
        <v>41</v>
      </c>
      <c r="H376" s="11" t="s">
        <v>22</v>
      </c>
      <c r="I376" s="12" t="n">
        <v>30</v>
      </c>
      <c r="J376" s="13" t="n">
        <v>500</v>
      </c>
      <c r="K376" s="14" t="n">
        <f aca="false">I376*J376</f>
        <v>15000</v>
      </c>
      <c r="L376" s="14" t="n">
        <f aca="false">($L$2*M376)/100</f>
        <v>420583.275</v>
      </c>
      <c r="M376" s="15" t="n">
        <v>0.35</v>
      </c>
      <c r="N376" s="9" t="s">
        <v>26</v>
      </c>
    </row>
    <row r="377" customFormat="false" ht="14.25" hidden="false" customHeight="true" outlineLevel="0" collapsed="false">
      <c r="B377" s="9" t="s">
        <v>28</v>
      </c>
      <c r="C377" s="9" t="n">
        <v>1197831</v>
      </c>
      <c r="D377" s="10" t="n">
        <v>44434</v>
      </c>
      <c r="E377" s="9" t="s">
        <v>29</v>
      </c>
      <c r="F377" s="9" t="s">
        <v>30</v>
      </c>
      <c r="G377" s="9" t="s">
        <v>41</v>
      </c>
      <c r="H377" s="11" t="s">
        <v>23</v>
      </c>
      <c r="I377" s="12" t="n">
        <v>35</v>
      </c>
      <c r="J377" s="13" t="n">
        <v>400</v>
      </c>
      <c r="K377" s="14" t="n">
        <f aca="false">I377*J377</f>
        <v>14000</v>
      </c>
      <c r="L377" s="14" t="n">
        <f aca="false">($L$2*M377)/100</f>
        <v>540749.925</v>
      </c>
      <c r="M377" s="15" t="n">
        <v>0.45</v>
      </c>
      <c r="N377" s="9" t="s">
        <v>26</v>
      </c>
    </row>
    <row r="378" customFormat="false" ht="14.25" hidden="false" customHeight="true" outlineLevel="0" collapsed="false">
      <c r="B378" s="9" t="s">
        <v>28</v>
      </c>
      <c r="C378" s="9" t="n">
        <v>1197831</v>
      </c>
      <c r="D378" s="10" t="n">
        <v>44435</v>
      </c>
      <c r="E378" s="9" t="s">
        <v>29</v>
      </c>
      <c r="F378" s="9" t="s">
        <v>30</v>
      </c>
      <c r="G378" s="9" t="s">
        <v>41</v>
      </c>
      <c r="H378" s="11" t="s">
        <v>24</v>
      </c>
      <c r="I378" s="12" t="n">
        <v>40</v>
      </c>
      <c r="J378" s="13" t="n">
        <v>300</v>
      </c>
      <c r="K378" s="14" t="n">
        <f aca="false">I378*J378</f>
        <v>12000</v>
      </c>
      <c r="L378" s="14" t="n">
        <f aca="false">($L$2*M378)/100</f>
        <v>360499.95</v>
      </c>
      <c r="M378" s="15" t="n">
        <v>0.3</v>
      </c>
      <c r="N378" s="9" t="s">
        <v>26</v>
      </c>
    </row>
    <row r="379" customFormat="false" ht="14.25" hidden="false" customHeight="true" outlineLevel="0" collapsed="false">
      <c r="B379" s="9" t="s">
        <v>28</v>
      </c>
      <c r="C379" s="9" t="n">
        <v>1197831</v>
      </c>
      <c r="D379" s="10" t="n">
        <v>44436</v>
      </c>
      <c r="E379" s="9" t="s">
        <v>29</v>
      </c>
      <c r="F379" s="9" t="s">
        <v>30</v>
      </c>
      <c r="G379" s="9" t="s">
        <v>41</v>
      </c>
      <c r="H379" s="11" t="s">
        <v>25</v>
      </c>
      <c r="I379" s="12" t="n">
        <v>35</v>
      </c>
      <c r="J379" s="13" t="n">
        <v>450</v>
      </c>
      <c r="K379" s="14" t="n">
        <f aca="false">I379*J379</f>
        <v>15750</v>
      </c>
      <c r="L379" s="14" t="n">
        <f aca="false">($L$2*M379)/100</f>
        <v>600833.25</v>
      </c>
      <c r="M379" s="15" t="n">
        <v>0.5</v>
      </c>
      <c r="N379" s="9" t="s">
        <v>26</v>
      </c>
    </row>
    <row r="380" customFormat="false" ht="14.25" hidden="false" customHeight="true" outlineLevel="0" collapsed="false">
      <c r="B380" s="9" t="s">
        <v>28</v>
      </c>
      <c r="C380" s="9" t="n">
        <v>1197831</v>
      </c>
      <c r="D380" s="10" t="n">
        <v>44437</v>
      </c>
      <c r="E380" s="9" t="s">
        <v>29</v>
      </c>
      <c r="F380" s="9" t="s">
        <v>30</v>
      </c>
      <c r="G380" s="9" t="s">
        <v>41</v>
      </c>
      <c r="H380" s="11" t="s">
        <v>19</v>
      </c>
      <c r="I380" s="12" t="n">
        <v>20</v>
      </c>
      <c r="J380" s="13" t="n">
        <v>700</v>
      </c>
      <c r="K380" s="14" t="n">
        <f aca="false">I380*J380</f>
        <v>14000</v>
      </c>
      <c r="L380" s="14" t="n">
        <f aca="false">($L$2*M380)/100</f>
        <v>420583.275</v>
      </c>
      <c r="M380" s="15" t="n">
        <v>0.35</v>
      </c>
      <c r="N380" s="9" t="s">
        <v>26</v>
      </c>
    </row>
    <row r="381" customFormat="false" ht="14.25" hidden="false" customHeight="true" outlineLevel="0" collapsed="false">
      <c r="B381" s="9" t="s">
        <v>28</v>
      </c>
      <c r="C381" s="9" t="n">
        <v>1197831</v>
      </c>
      <c r="D381" s="10" t="n">
        <v>44438</v>
      </c>
      <c r="E381" s="9" t="s">
        <v>29</v>
      </c>
      <c r="F381" s="9" t="s">
        <v>30</v>
      </c>
      <c r="G381" s="9" t="s">
        <v>41</v>
      </c>
      <c r="H381" s="11" t="s">
        <v>21</v>
      </c>
      <c r="I381" s="12" t="n">
        <v>30</v>
      </c>
      <c r="J381" s="13" t="n">
        <v>700</v>
      </c>
      <c r="K381" s="14" t="n">
        <f aca="false">I381*J381</f>
        <v>21000</v>
      </c>
      <c r="L381" s="14" t="n">
        <f aca="false">($L$2*M381)/100</f>
        <v>420583.275</v>
      </c>
      <c r="M381" s="15" t="n">
        <v>0.35</v>
      </c>
      <c r="N381" s="9" t="s">
        <v>26</v>
      </c>
    </row>
    <row r="382" customFormat="false" ht="14.25" hidden="false" customHeight="true" outlineLevel="0" collapsed="false">
      <c r="B382" s="9" t="s">
        <v>28</v>
      </c>
      <c r="C382" s="9" t="n">
        <v>1197831</v>
      </c>
      <c r="D382" s="10" t="n">
        <v>44439</v>
      </c>
      <c r="E382" s="9" t="s">
        <v>29</v>
      </c>
      <c r="F382" s="9" t="s">
        <v>30</v>
      </c>
      <c r="G382" s="9" t="s">
        <v>41</v>
      </c>
      <c r="H382" s="11" t="s">
        <v>22</v>
      </c>
      <c r="I382" s="12" t="n">
        <v>25</v>
      </c>
      <c r="J382" s="13" t="n">
        <v>525</v>
      </c>
      <c r="K382" s="14" t="n">
        <f aca="false">I382*J382</f>
        <v>13125</v>
      </c>
      <c r="L382" s="14" t="n">
        <f aca="false">($L$2*M382)/100</f>
        <v>420583.275</v>
      </c>
      <c r="M382" s="15" t="n">
        <v>0.35</v>
      </c>
      <c r="N382" s="9" t="s">
        <v>26</v>
      </c>
    </row>
    <row r="383" customFormat="false" ht="14.25" hidden="false" customHeight="true" outlineLevel="0" collapsed="false">
      <c r="B383" s="9" t="s">
        <v>28</v>
      </c>
      <c r="C383" s="9" t="n">
        <v>1197831</v>
      </c>
      <c r="D383" s="10" t="n">
        <v>44440</v>
      </c>
      <c r="E383" s="9" t="s">
        <v>29</v>
      </c>
      <c r="F383" s="9" t="s">
        <v>30</v>
      </c>
      <c r="G383" s="9" t="s">
        <v>41</v>
      </c>
      <c r="H383" s="11" t="s">
        <v>23</v>
      </c>
      <c r="I383" s="12" t="n">
        <v>30</v>
      </c>
      <c r="J383" s="13" t="n">
        <v>425</v>
      </c>
      <c r="K383" s="14" t="n">
        <f aca="false">I383*J383</f>
        <v>12750</v>
      </c>
      <c r="L383" s="14" t="n">
        <f aca="false">($L$2*M383)/100</f>
        <v>540749.925</v>
      </c>
      <c r="M383" s="15" t="n">
        <v>0.45</v>
      </c>
      <c r="N383" s="9" t="s">
        <v>26</v>
      </c>
    </row>
    <row r="384" customFormat="false" ht="14.25" hidden="false" customHeight="true" outlineLevel="0" collapsed="false">
      <c r="B384" s="9" t="s">
        <v>28</v>
      </c>
      <c r="C384" s="9" t="n">
        <v>1197831</v>
      </c>
      <c r="D384" s="10" t="n">
        <v>44441</v>
      </c>
      <c r="E384" s="9" t="s">
        <v>29</v>
      </c>
      <c r="F384" s="9" t="s">
        <v>30</v>
      </c>
      <c r="G384" s="9" t="s">
        <v>41</v>
      </c>
      <c r="H384" s="11" t="s">
        <v>24</v>
      </c>
      <c r="I384" s="12" t="n">
        <v>35</v>
      </c>
      <c r="J384" s="13" t="n">
        <v>325</v>
      </c>
      <c r="K384" s="14" t="n">
        <f aca="false">I384*J384</f>
        <v>11375</v>
      </c>
      <c r="L384" s="14" t="n">
        <f aca="false">($L$2*M384)/100</f>
        <v>360499.95</v>
      </c>
      <c r="M384" s="15" t="n">
        <v>0.3</v>
      </c>
      <c r="N384" s="9" t="s">
        <v>26</v>
      </c>
    </row>
    <row r="385" customFormat="false" ht="14.25" hidden="false" customHeight="true" outlineLevel="0" collapsed="false">
      <c r="B385" s="9" t="s">
        <v>28</v>
      </c>
      <c r="C385" s="9" t="n">
        <v>1197831</v>
      </c>
      <c r="D385" s="10" t="n">
        <v>44442</v>
      </c>
      <c r="E385" s="9" t="s">
        <v>29</v>
      </c>
      <c r="F385" s="9" t="s">
        <v>30</v>
      </c>
      <c r="G385" s="9" t="s">
        <v>41</v>
      </c>
      <c r="H385" s="11" t="s">
        <v>25</v>
      </c>
      <c r="I385" s="12" t="n">
        <v>30</v>
      </c>
      <c r="J385" s="13" t="n">
        <v>600</v>
      </c>
      <c r="K385" s="14" t="n">
        <f aca="false">I385*J385</f>
        <v>18000</v>
      </c>
      <c r="L385" s="14" t="n">
        <f aca="false">($L$2*M385)/100</f>
        <v>600833.25</v>
      </c>
      <c r="M385" s="15" t="n">
        <v>0.5</v>
      </c>
      <c r="N385" s="9" t="s">
        <v>26</v>
      </c>
    </row>
    <row r="386" customFormat="false" ht="14.25" hidden="false" customHeight="true" outlineLevel="0" collapsed="false">
      <c r="B386" s="9" t="s">
        <v>28</v>
      </c>
      <c r="C386" s="9" t="n">
        <v>1197831</v>
      </c>
      <c r="D386" s="10" t="n">
        <v>44443</v>
      </c>
      <c r="E386" s="9" t="s">
        <v>29</v>
      </c>
      <c r="F386" s="9" t="s">
        <v>30</v>
      </c>
      <c r="G386" s="9" t="s">
        <v>41</v>
      </c>
      <c r="H386" s="11" t="s">
        <v>19</v>
      </c>
      <c r="I386" s="12" t="n">
        <v>20</v>
      </c>
      <c r="J386" s="13" t="n">
        <v>750</v>
      </c>
      <c r="K386" s="14" t="n">
        <f aca="false">I386*J386</f>
        <v>15000</v>
      </c>
      <c r="L386" s="14" t="n">
        <f aca="false">($L$2*M386)/100</f>
        <v>420583.275</v>
      </c>
      <c r="M386" s="15" t="n">
        <v>0.35</v>
      </c>
      <c r="N386" s="9" t="s">
        <v>26</v>
      </c>
    </row>
    <row r="387" customFormat="false" ht="14.25" hidden="false" customHeight="true" outlineLevel="0" collapsed="false">
      <c r="B387" s="9" t="s">
        <v>28</v>
      </c>
      <c r="C387" s="9" t="n">
        <v>1197831</v>
      </c>
      <c r="D387" s="10" t="n">
        <v>44444</v>
      </c>
      <c r="E387" s="9" t="s">
        <v>29</v>
      </c>
      <c r="F387" s="9" t="s">
        <v>30</v>
      </c>
      <c r="G387" s="9" t="s">
        <v>41</v>
      </c>
      <c r="H387" s="11" t="s">
        <v>21</v>
      </c>
      <c r="I387" s="12" t="n">
        <v>30</v>
      </c>
      <c r="J387" s="13" t="n">
        <v>775</v>
      </c>
      <c r="K387" s="14" t="n">
        <f aca="false">I387*J387</f>
        <v>23250</v>
      </c>
      <c r="L387" s="14" t="n">
        <f aca="false">($L$2*M387)/100</f>
        <v>420583.275</v>
      </c>
      <c r="M387" s="15" t="n">
        <v>0.35</v>
      </c>
      <c r="N387" s="9" t="s">
        <v>26</v>
      </c>
    </row>
    <row r="388" customFormat="false" ht="14.25" hidden="false" customHeight="true" outlineLevel="0" collapsed="false">
      <c r="B388" s="9" t="s">
        <v>28</v>
      </c>
      <c r="C388" s="9" t="n">
        <v>1197831</v>
      </c>
      <c r="D388" s="10" t="n">
        <v>44445</v>
      </c>
      <c r="E388" s="9" t="s">
        <v>29</v>
      </c>
      <c r="F388" s="9" t="s">
        <v>30</v>
      </c>
      <c r="G388" s="9" t="s">
        <v>41</v>
      </c>
      <c r="H388" s="11" t="s">
        <v>22</v>
      </c>
      <c r="I388" s="12" t="n">
        <v>25</v>
      </c>
      <c r="J388" s="13" t="n">
        <v>625</v>
      </c>
      <c r="K388" s="14" t="n">
        <f aca="false">I388*J388</f>
        <v>15625</v>
      </c>
      <c r="L388" s="14" t="n">
        <f aca="false">($L$2*M388)/100</f>
        <v>420583.275</v>
      </c>
      <c r="M388" s="15" t="n">
        <v>0.35</v>
      </c>
      <c r="N388" s="9" t="s">
        <v>26</v>
      </c>
    </row>
    <row r="389" customFormat="false" ht="14.25" hidden="false" customHeight="true" outlineLevel="0" collapsed="false">
      <c r="B389" s="9" t="s">
        <v>28</v>
      </c>
      <c r="C389" s="9" t="n">
        <v>1197831</v>
      </c>
      <c r="D389" s="10" t="n">
        <v>44446</v>
      </c>
      <c r="E389" s="9" t="s">
        <v>29</v>
      </c>
      <c r="F389" s="9" t="s">
        <v>30</v>
      </c>
      <c r="G389" s="9" t="s">
        <v>41</v>
      </c>
      <c r="H389" s="11" t="s">
        <v>23</v>
      </c>
      <c r="I389" s="12" t="n">
        <v>35</v>
      </c>
      <c r="J389" s="13" t="n">
        <v>550</v>
      </c>
      <c r="K389" s="14" t="n">
        <f aca="false">I389*J389</f>
        <v>19250</v>
      </c>
      <c r="L389" s="14" t="n">
        <f aca="false">($L$2*M389)/100</f>
        <v>540749.925</v>
      </c>
      <c r="M389" s="15" t="n">
        <v>0.45</v>
      </c>
      <c r="N389" s="9" t="s">
        <v>26</v>
      </c>
    </row>
    <row r="390" customFormat="false" ht="14.25" hidden="false" customHeight="true" outlineLevel="0" collapsed="false">
      <c r="B390" s="9" t="s">
        <v>28</v>
      </c>
      <c r="C390" s="9" t="n">
        <v>1197831</v>
      </c>
      <c r="D390" s="10" t="n">
        <v>44447</v>
      </c>
      <c r="E390" s="9" t="s">
        <v>29</v>
      </c>
      <c r="F390" s="9" t="s">
        <v>30</v>
      </c>
      <c r="G390" s="9" t="s">
        <v>41</v>
      </c>
      <c r="H390" s="11" t="s">
        <v>24</v>
      </c>
      <c r="I390" s="12" t="n">
        <v>50</v>
      </c>
      <c r="J390" s="13" t="n">
        <v>450</v>
      </c>
      <c r="K390" s="14" t="n">
        <f aca="false">I390*J390</f>
        <v>22500</v>
      </c>
      <c r="L390" s="14" t="n">
        <f aca="false">($L$2*M390)/100</f>
        <v>360499.95</v>
      </c>
      <c r="M390" s="15" t="n">
        <v>0.3</v>
      </c>
      <c r="N390" s="9" t="s">
        <v>26</v>
      </c>
    </row>
    <row r="391" customFormat="false" ht="14.25" hidden="false" customHeight="true" outlineLevel="0" collapsed="false">
      <c r="B391" s="9" t="s">
        <v>28</v>
      </c>
      <c r="C391" s="9" t="n">
        <v>1197831</v>
      </c>
      <c r="D391" s="10" t="n">
        <v>44448</v>
      </c>
      <c r="E391" s="9" t="s">
        <v>29</v>
      </c>
      <c r="F391" s="9" t="s">
        <v>30</v>
      </c>
      <c r="G391" s="9" t="s">
        <v>41</v>
      </c>
      <c r="H391" s="11" t="s">
        <v>25</v>
      </c>
      <c r="I391" s="12" t="n">
        <v>45</v>
      </c>
      <c r="J391" s="13" t="n">
        <v>800</v>
      </c>
      <c r="K391" s="14" t="n">
        <f aca="false">I391*J391</f>
        <v>36000</v>
      </c>
      <c r="L391" s="14" t="n">
        <f aca="false">($L$2*M391)/100</f>
        <v>600833.25</v>
      </c>
      <c r="M391" s="15" t="n">
        <v>0.5</v>
      </c>
      <c r="N391" s="9" t="s">
        <v>26</v>
      </c>
    </row>
    <row r="392" customFormat="false" ht="14.25" hidden="false" customHeight="true" outlineLevel="0" collapsed="false">
      <c r="B392" s="9" t="s">
        <v>28</v>
      </c>
      <c r="C392" s="9" t="n">
        <v>1197831</v>
      </c>
      <c r="D392" s="10" t="n">
        <v>44449</v>
      </c>
      <c r="E392" s="9" t="s">
        <v>29</v>
      </c>
      <c r="F392" s="9" t="s">
        <v>30</v>
      </c>
      <c r="G392" s="9" t="s">
        <v>41</v>
      </c>
      <c r="H392" s="11" t="s">
        <v>19</v>
      </c>
      <c r="I392" s="12" t="n">
        <v>45</v>
      </c>
      <c r="J392" s="13" t="n">
        <v>800</v>
      </c>
      <c r="K392" s="14" t="n">
        <f aca="false">I392*J392</f>
        <v>36000</v>
      </c>
      <c r="L392" s="14" t="n">
        <f aca="false">($L$2*M392)/100</f>
        <v>420583.275</v>
      </c>
      <c r="M392" s="15" t="n">
        <v>0.35</v>
      </c>
      <c r="N392" s="9" t="s">
        <v>26</v>
      </c>
    </row>
    <row r="393" customFormat="false" ht="14.25" hidden="false" customHeight="true" outlineLevel="0" collapsed="false">
      <c r="B393" s="9" t="s">
        <v>28</v>
      </c>
      <c r="C393" s="9" t="n">
        <v>1197831</v>
      </c>
      <c r="D393" s="10" t="n">
        <v>44450</v>
      </c>
      <c r="E393" s="9" t="s">
        <v>29</v>
      </c>
      <c r="F393" s="9" t="s">
        <v>30</v>
      </c>
      <c r="G393" s="9" t="s">
        <v>41</v>
      </c>
      <c r="H393" s="11" t="s">
        <v>21</v>
      </c>
      <c r="I393" s="12" t="n">
        <v>50</v>
      </c>
      <c r="J393" s="13" t="n">
        <v>800</v>
      </c>
      <c r="K393" s="14" t="n">
        <f aca="false">I393*J393</f>
        <v>40000</v>
      </c>
      <c r="L393" s="14" t="n">
        <f aca="false">($L$2*M393)/100</f>
        <v>420583.275</v>
      </c>
      <c r="M393" s="15" t="n">
        <v>0.35</v>
      </c>
      <c r="N393" s="9" t="s">
        <v>26</v>
      </c>
    </row>
    <row r="394" customFormat="false" ht="14.25" hidden="false" customHeight="true" outlineLevel="0" collapsed="false">
      <c r="B394" s="9" t="s">
        <v>28</v>
      </c>
      <c r="C394" s="9" t="n">
        <v>1197831</v>
      </c>
      <c r="D394" s="10" t="n">
        <v>44451</v>
      </c>
      <c r="E394" s="9" t="s">
        <v>29</v>
      </c>
      <c r="F394" s="9" t="s">
        <v>30</v>
      </c>
      <c r="G394" s="9" t="s">
        <v>41</v>
      </c>
      <c r="H394" s="11" t="s">
        <v>22</v>
      </c>
      <c r="I394" s="12" t="n">
        <v>45</v>
      </c>
      <c r="J394" s="13" t="n">
        <v>650</v>
      </c>
      <c r="K394" s="14" t="n">
        <f aca="false">I394*J394</f>
        <v>29250</v>
      </c>
      <c r="L394" s="14" t="n">
        <f aca="false">($L$2*M394)/100</f>
        <v>420583.275</v>
      </c>
      <c r="M394" s="15" t="n">
        <v>0.35</v>
      </c>
      <c r="N394" s="9" t="s">
        <v>26</v>
      </c>
    </row>
    <row r="395" customFormat="false" ht="14.25" hidden="false" customHeight="true" outlineLevel="0" collapsed="false">
      <c r="B395" s="9" t="s">
        <v>28</v>
      </c>
      <c r="C395" s="9" t="n">
        <v>1197831</v>
      </c>
      <c r="D395" s="10" t="n">
        <v>44452</v>
      </c>
      <c r="E395" s="9" t="s">
        <v>29</v>
      </c>
      <c r="F395" s="9" t="s">
        <v>30</v>
      </c>
      <c r="G395" s="9" t="s">
        <v>41</v>
      </c>
      <c r="H395" s="11" t="s">
        <v>23</v>
      </c>
      <c r="I395" s="12" t="n">
        <v>45</v>
      </c>
      <c r="J395" s="13" t="n">
        <v>600</v>
      </c>
      <c r="K395" s="14" t="n">
        <f aca="false">I395*J395</f>
        <v>27000</v>
      </c>
      <c r="L395" s="14" t="n">
        <f aca="false">($L$2*M395)/100</f>
        <v>540749.925</v>
      </c>
      <c r="M395" s="15" t="n">
        <v>0.45</v>
      </c>
      <c r="N395" s="9" t="s">
        <v>26</v>
      </c>
    </row>
    <row r="396" customFormat="false" ht="14.25" hidden="false" customHeight="true" outlineLevel="0" collapsed="false">
      <c r="B396" s="9" t="s">
        <v>28</v>
      </c>
      <c r="C396" s="9" t="n">
        <v>1197831</v>
      </c>
      <c r="D396" s="10" t="n">
        <v>44453</v>
      </c>
      <c r="E396" s="9" t="s">
        <v>29</v>
      </c>
      <c r="F396" s="9" t="s">
        <v>30</v>
      </c>
      <c r="G396" s="9" t="s">
        <v>41</v>
      </c>
      <c r="H396" s="11" t="s">
        <v>24</v>
      </c>
      <c r="I396" s="12" t="n">
        <v>50</v>
      </c>
      <c r="J396" s="13" t="n">
        <v>500</v>
      </c>
      <c r="K396" s="14" t="n">
        <f aca="false">I396*J396</f>
        <v>25000</v>
      </c>
      <c r="L396" s="14" t="n">
        <f aca="false">($L$2*M396)/100</f>
        <v>360499.95</v>
      </c>
      <c r="M396" s="15" t="n">
        <v>0.3</v>
      </c>
      <c r="N396" s="9" t="s">
        <v>26</v>
      </c>
    </row>
    <row r="397" customFormat="false" ht="14.25" hidden="false" customHeight="true" outlineLevel="0" collapsed="false">
      <c r="B397" s="9" t="s">
        <v>28</v>
      </c>
      <c r="C397" s="9" t="n">
        <v>1197831</v>
      </c>
      <c r="D397" s="10" t="n">
        <v>44454</v>
      </c>
      <c r="E397" s="9" t="s">
        <v>29</v>
      </c>
      <c r="F397" s="9" t="s">
        <v>30</v>
      </c>
      <c r="G397" s="9" t="s">
        <v>41</v>
      </c>
      <c r="H397" s="11" t="s">
        <v>25</v>
      </c>
      <c r="I397" s="12" t="n">
        <v>55</v>
      </c>
      <c r="J397" s="13" t="n">
        <v>875</v>
      </c>
      <c r="K397" s="14" t="n">
        <f aca="false">I397*J397</f>
        <v>48125</v>
      </c>
      <c r="L397" s="14" t="n">
        <f aca="false">($L$2*M397)/100</f>
        <v>600833.25</v>
      </c>
      <c r="M397" s="15" t="n">
        <v>0.5</v>
      </c>
      <c r="N397" s="9" t="s">
        <v>26</v>
      </c>
    </row>
    <row r="398" customFormat="false" ht="14.25" hidden="false" customHeight="true" outlineLevel="0" collapsed="false">
      <c r="B398" s="9" t="s">
        <v>28</v>
      </c>
      <c r="C398" s="9" t="n">
        <v>1197831</v>
      </c>
      <c r="D398" s="10" t="n">
        <v>44455</v>
      </c>
      <c r="E398" s="9" t="s">
        <v>29</v>
      </c>
      <c r="F398" s="9" t="s">
        <v>30</v>
      </c>
      <c r="G398" s="9" t="s">
        <v>41</v>
      </c>
      <c r="H398" s="11" t="s">
        <v>19</v>
      </c>
      <c r="I398" s="12" t="n">
        <v>45</v>
      </c>
      <c r="J398" s="13" t="n">
        <v>825</v>
      </c>
      <c r="K398" s="14" t="n">
        <f aca="false">I398*J398</f>
        <v>37125</v>
      </c>
      <c r="L398" s="14" t="n">
        <f aca="false">($L$2*M398)/100</f>
        <v>480666.6</v>
      </c>
      <c r="M398" s="15" t="n">
        <v>0.4</v>
      </c>
      <c r="N398" s="9" t="s">
        <v>26</v>
      </c>
    </row>
    <row r="399" customFormat="false" ht="14.25" hidden="false" customHeight="true" outlineLevel="0" collapsed="false">
      <c r="B399" s="9" t="s">
        <v>28</v>
      </c>
      <c r="C399" s="9" t="n">
        <v>1197831</v>
      </c>
      <c r="D399" s="10" t="n">
        <v>44456</v>
      </c>
      <c r="E399" s="9" t="s">
        <v>29</v>
      </c>
      <c r="F399" s="9" t="s">
        <v>30</v>
      </c>
      <c r="G399" s="9" t="s">
        <v>41</v>
      </c>
      <c r="H399" s="11" t="s">
        <v>21</v>
      </c>
      <c r="I399" s="12" t="n">
        <v>50</v>
      </c>
      <c r="J399" s="13" t="n">
        <v>825</v>
      </c>
      <c r="K399" s="14" t="n">
        <f aca="false">I399*J399</f>
        <v>41250</v>
      </c>
      <c r="L399" s="14" t="n">
        <f aca="false">($L$2*M399)/100</f>
        <v>480666.6</v>
      </c>
      <c r="M399" s="15" t="n">
        <v>0.4</v>
      </c>
      <c r="N399" s="9" t="s">
        <v>26</v>
      </c>
    </row>
    <row r="400" customFormat="false" ht="14.25" hidden="false" customHeight="true" outlineLevel="0" collapsed="false">
      <c r="B400" s="9" t="s">
        <v>28</v>
      </c>
      <c r="C400" s="9" t="n">
        <v>1197831</v>
      </c>
      <c r="D400" s="10" t="n">
        <v>44457</v>
      </c>
      <c r="E400" s="9" t="s">
        <v>29</v>
      </c>
      <c r="F400" s="9" t="s">
        <v>30</v>
      </c>
      <c r="G400" s="9" t="s">
        <v>41</v>
      </c>
      <c r="H400" s="11" t="s">
        <v>22</v>
      </c>
      <c r="I400" s="12" t="n">
        <v>45</v>
      </c>
      <c r="J400" s="13" t="n">
        <v>975</v>
      </c>
      <c r="K400" s="14" t="n">
        <f aca="false">I400*J400</f>
        <v>43875</v>
      </c>
      <c r="L400" s="14" t="n">
        <f aca="false">($L$2*M400)/100</f>
        <v>480666.6</v>
      </c>
      <c r="M400" s="15" t="n">
        <v>0.4</v>
      </c>
      <c r="N400" s="9" t="s">
        <v>26</v>
      </c>
    </row>
    <row r="401" customFormat="false" ht="14.25" hidden="false" customHeight="true" outlineLevel="0" collapsed="false">
      <c r="B401" s="9" t="s">
        <v>28</v>
      </c>
      <c r="C401" s="9" t="n">
        <v>1197831</v>
      </c>
      <c r="D401" s="10" t="n">
        <v>44458</v>
      </c>
      <c r="E401" s="9" t="s">
        <v>29</v>
      </c>
      <c r="F401" s="9" t="s">
        <v>30</v>
      </c>
      <c r="G401" s="9" t="s">
        <v>41</v>
      </c>
      <c r="H401" s="11" t="s">
        <v>23</v>
      </c>
      <c r="I401" s="12" t="n">
        <v>45</v>
      </c>
      <c r="J401" s="13" t="n">
        <v>575</v>
      </c>
      <c r="K401" s="14" t="n">
        <f aca="false">I401*J401</f>
        <v>25875</v>
      </c>
      <c r="L401" s="14" t="n">
        <f aca="false">($L$2*M401)/100</f>
        <v>600833.25</v>
      </c>
      <c r="M401" s="15" t="n">
        <v>0.5</v>
      </c>
      <c r="N401" s="9" t="s">
        <v>26</v>
      </c>
    </row>
    <row r="402" customFormat="false" ht="14.25" hidden="false" customHeight="true" outlineLevel="0" collapsed="false">
      <c r="B402" s="9" t="s">
        <v>28</v>
      </c>
      <c r="C402" s="9" t="n">
        <v>1197831</v>
      </c>
      <c r="D402" s="10" t="n">
        <v>44459</v>
      </c>
      <c r="E402" s="9" t="s">
        <v>29</v>
      </c>
      <c r="F402" s="9" t="s">
        <v>30</v>
      </c>
      <c r="G402" s="9" t="s">
        <v>41</v>
      </c>
      <c r="H402" s="11" t="s">
        <v>24</v>
      </c>
      <c r="I402" s="12" t="n">
        <v>50</v>
      </c>
      <c r="J402" s="13" t="n">
        <v>575</v>
      </c>
      <c r="K402" s="14" t="n">
        <f aca="false">I402*J402</f>
        <v>28750</v>
      </c>
      <c r="L402" s="14" t="n">
        <f aca="false">($L$2*M402)/100</f>
        <v>420583.275</v>
      </c>
      <c r="M402" s="15" t="n">
        <v>0.35</v>
      </c>
      <c r="N402" s="9" t="s">
        <v>26</v>
      </c>
    </row>
    <row r="403" customFormat="false" ht="14.25" hidden="false" customHeight="true" outlineLevel="0" collapsed="false">
      <c r="B403" s="9" t="s">
        <v>28</v>
      </c>
      <c r="C403" s="9" t="n">
        <v>1197831</v>
      </c>
      <c r="D403" s="10" t="n">
        <v>44460</v>
      </c>
      <c r="E403" s="9" t="s">
        <v>29</v>
      </c>
      <c r="F403" s="9" t="s">
        <v>30</v>
      </c>
      <c r="G403" s="9" t="s">
        <v>41</v>
      </c>
      <c r="H403" s="11" t="s">
        <v>25</v>
      </c>
      <c r="I403" s="12" t="n">
        <v>60</v>
      </c>
      <c r="J403" s="13" t="n">
        <v>850</v>
      </c>
      <c r="K403" s="14" t="n">
        <f aca="false">I403*J403</f>
        <v>51000</v>
      </c>
      <c r="L403" s="14" t="n">
        <f aca="false">($L$2*M403)/100</f>
        <v>660916.575</v>
      </c>
      <c r="M403" s="15" t="n">
        <v>0.55</v>
      </c>
      <c r="N403" s="9" t="s">
        <v>26</v>
      </c>
    </row>
    <row r="404" customFormat="false" ht="14.25" hidden="false" customHeight="true" outlineLevel="0" collapsed="false">
      <c r="B404" s="9" t="s">
        <v>28</v>
      </c>
      <c r="C404" s="9" t="n">
        <v>1197831</v>
      </c>
      <c r="D404" s="10" t="n">
        <v>44461</v>
      </c>
      <c r="E404" s="9" t="s">
        <v>29</v>
      </c>
      <c r="F404" s="9" t="s">
        <v>30</v>
      </c>
      <c r="G404" s="9" t="s">
        <v>41</v>
      </c>
      <c r="H404" s="11" t="s">
        <v>19</v>
      </c>
      <c r="I404" s="12" t="n">
        <v>50</v>
      </c>
      <c r="J404" s="13" t="n">
        <v>800</v>
      </c>
      <c r="K404" s="14" t="n">
        <f aca="false">I404*J404</f>
        <v>40000</v>
      </c>
      <c r="L404" s="14" t="n">
        <f aca="false">($L$2*M404)/100</f>
        <v>480666.6</v>
      </c>
      <c r="M404" s="15" t="n">
        <v>0.4</v>
      </c>
      <c r="N404" s="9" t="s">
        <v>26</v>
      </c>
    </row>
    <row r="405" customFormat="false" ht="14.25" hidden="false" customHeight="true" outlineLevel="0" collapsed="false">
      <c r="B405" s="9" t="s">
        <v>28</v>
      </c>
      <c r="C405" s="9" t="n">
        <v>1197831</v>
      </c>
      <c r="D405" s="10" t="n">
        <v>44462</v>
      </c>
      <c r="E405" s="9" t="s">
        <v>29</v>
      </c>
      <c r="F405" s="9" t="s">
        <v>30</v>
      </c>
      <c r="G405" s="9" t="s">
        <v>41</v>
      </c>
      <c r="H405" s="11" t="s">
        <v>21</v>
      </c>
      <c r="I405" s="12" t="n">
        <v>55</v>
      </c>
      <c r="J405" s="13" t="n">
        <v>800</v>
      </c>
      <c r="K405" s="14" t="n">
        <f aca="false">I405*J405</f>
        <v>44000</v>
      </c>
      <c r="L405" s="14" t="n">
        <f aca="false">($L$2*M405)/100</f>
        <v>480666.6</v>
      </c>
      <c r="M405" s="15" t="n">
        <v>0.4</v>
      </c>
      <c r="N405" s="9" t="s">
        <v>26</v>
      </c>
    </row>
    <row r="406" customFormat="false" ht="14.25" hidden="false" customHeight="true" outlineLevel="0" collapsed="false">
      <c r="B406" s="9" t="s">
        <v>28</v>
      </c>
      <c r="C406" s="9" t="n">
        <v>1197831</v>
      </c>
      <c r="D406" s="10" t="n">
        <v>44463</v>
      </c>
      <c r="E406" s="9" t="s">
        <v>29</v>
      </c>
      <c r="F406" s="9" t="s">
        <v>30</v>
      </c>
      <c r="G406" s="9" t="s">
        <v>41</v>
      </c>
      <c r="H406" s="11" t="s">
        <v>22</v>
      </c>
      <c r="I406" s="12" t="n">
        <v>50</v>
      </c>
      <c r="J406" s="13" t="n">
        <v>975</v>
      </c>
      <c r="K406" s="14" t="n">
        <f aca="false">I406*J406</f>
        <v>48750</v>
      </c>
      <c r="L406" s="14" t="n">
        <f aca="false">($L$2*M406)/100</f>
        <v>480666.6</v>
      </c>
      <c r="M406" s="15" t="n">
        <v>0.4</v>
      </c>
      <c r="N406" s="9" t="s">
        <v>26</v>
      </c>
    </row>
    <row r="407" customFormat="false" ht="14.25" hidden="false" customHeight="true" outlineLevel="0" collapsed="false">
      <c r="B407" s="9" t="s">
        <v>28</v>
      </c>
      <c r="C407" s="9" t="n">
        <v>1197831</v>
      </c>
      <c r="D407" s="10" t="n">
        <v>44464</v>
      </c>
      <c r="E407" s="9" t="s">
        <v>29</v>
      </c>
      <c r="F407" s="9" t="s">
        <v>30</v>
      </c>
      <c r="G407" s="9" t="s">
        <v>41</v>
      </c>
      <c r="H407" s="11" t="s">
        <v>23</v>
      </c>
      <c r="I407" s="12" t="n">
        <v>50</v>
      </c>
      <c r="J407" s="13" t="n">
        <v>525</v>
      </c>
      <c r="K407" s="14" t="n">
        <f aca="false">I407*J407</f>
        <v>26250</v>
      </c>
      <c r="L407" s="14" t="n">
        <f aca="false">($L$2*M407)/100</f>
        <v>600833.25</v>
      </c>
      <c r="M407" s="15" t="n">
        <v>0.5</v>
      </c>
      <c r="N407" s="9" t="s">
        <v>26</v>
      </c>
    </row>
    <row r="408" customFormat="false" ht="14.25" hidden="false" customHeight="true" outlineLevel="0" collapsed="false">
      <c r="B408" s="9" t="s">
        <v>28</v>
      </c>
      <c r="C408" s="9" t="n">
        <v>1197831</v>
      </c>
      <c r="D408" s="10" t="n">
        <v>44465</v>
      </c>
      <c r="E408" s="9" t="s">
        <v>29</v>
      </c>
      <c r="F408" s="9" t="s">
        <v>30</v>
      </c>
      <c r="G408" s="9" t="s">
        <v>41</v>
      </c>
      <c r="H408" s="11" t="s">
        <v>24</v>
      </c>
      <c r="I408" s="12" t="n">
        <v>55</v>
      </c>
      <c r="J408" s="13" t="n">
        <v>525</v>
      </c>
      <c r="K408" s="14" t="n">
        <f aca="false">I408*J408</f>
        <v>28875</v>
      </c>
      <c r="L408" s="14" t="n">
        <f aca="false">($L$2*M408)/100</f>
        <v>420583.275</v>
      </c>
      <c r="M408" s="15" t="n">
        <v>0.35</v>
      </c>
      <c r="N408" s="9" t="s">
        <v>26</v>
      </c>
    </row>
    <row r="409" customFormat="false" ht="14.25" hidden="false" customHeight="true" outlineLevel="0" collapsed="false">
      <c r="B409" s="9" t="s">
        <v>28</v>
      </c>
      <c r="C409" s="9" t="n">
        <v>1197831</v>
      </c>
      <c r="D409" s="10" t="n">
        <v>44466</v>
      </c>
      <c r="E409" s="9" t="s">
        <v>29</v>
      </c>
      <c r="F409" s="9" t="s">
        <v>30</v>
      </c>
      <c r="G409" s="9" t="s">
        <v>41</v>
      </c>
      <c r="H409" s="11" t="s">
        <v>25</v>
      </c>
      <c r="I409" s="12" t="n">
        <v>60</v>
      </c>
      <c r="J409" s="13" t="n">
        <v>775</v>
      </c>
      <c r="K409" s="14" t="n">
        <f aca="false">I409*J409</f>
        <v>46500</v>
      </c>
      <c r="L409" s="14" t="n">
        <f aca="false">($L$2*M409)/100</f>
        <v>660916.575</v>
      </c>
      <c r="M409" s="15" t="n">
        <v>0.55</v>
      </c>
      <c r="N409" s="9" t="s">
        <v>26</v>
      </c>
    </row>
    <row r="410" customFormat="false" ht="14.25" hidden="false" customHeight="true" outlineLevel="0" collapsed="false">
      <c r="B410" s="9" t="s">
        <v>28</v>
      </c>
      <c r="C410" s="9" t="n">
        <v>1197831</v>
      </c>
      <c r="D410" s="10" t="n">
        <v>44467</v>
      </c>
      <c r="E410" s="9" t="s">
        <v>29</v>
      </c>
      <c r="F410" s="9" t="s">
        <v>30</v>
      </c>
      <c r="G410" s="9" t="s">
        <v>41</v>
      </c>
      <c r="H410" s="11" t="s">
        <v>19</v>
      </c>
      <c r="I410" s="12" t="n">
        <v>55</v>
      </c>
      <c r="J410" s="13" t="n">
        <v>725</v>
      </c>
      <c r="K410" s="14" t="n">
        <f aca="false">I410*J410</f>
        <v>39875</v>
      </c>
      <c r="L410" s="14" t="n">
        <f aca="false">($L$2*M410)/100</f>
        <v>480666.6</v>
      </c>
      <c r="M410" s="15" t="n">
        <v>0.4</v>
      </c>
      <c r="N410" s="9" t="s">
        <v>26</v>
      </c>
    </row>
    <row r="411" customFormat="false" ht="14.25" hidden="false" customHeight="true" outlineLevel="0" collapsed="false">
      <c r="B411" s="9" t="s">
        <v>28</v>
      </c>
      <c r="C411" s="9" t="n">
        <v>1197831</v>
      </c>
      <c r="D411" s="10" t="n">
        <v>44468</v>
      </c>
      <c r="E411" s="9" t="s">
        <v>29</v>
      </c>
      <c r="F411" s="9" t="s">
        <v>30</v>
      </c>
      <c r="G411" s="9" t="s">
        <v>41</v>
      </c>
      <c r="H411" s="11" t="s">
        <v>21</v>
      </c>
      <c r="I411" s="12" t="n">
        <v>55</v>
      </c>
      <c r="J411" s="13" t="n">
        <v>675</v>
      </c>
      <c r="K411" s="14" t="n">
        <f aca="false">I411*J411</f>
        <v>37125</v>
      </c>
      <c r="L411" s="14" t="n">
        <f aca="false">($L$2*M411)/100</f>
        <v>480666.6</v>
      </c>
      <c r="M411" s="15" t="n">
        <v>0.4</v>
      </c>
      <c r="N411" s="9" t="s">
        <v>26</v>
      </c>
    </row>
    <row r="412" customFormat="false" ht="14.25" hidden="false" customHeight="true" outlineLevel="0" collapsed="false">
      <c r="B412" s="9" t="s">
        <v>28</v>
      </c>
      <c r="C412" s="9" t="n">
        <v>1197831</v>
      </c>
      <c r="D412" s="10" t="n">
        <v>44469</v>
      </c>
      <c r="E412" s="9" t="s">
        <v>29</v>
      </c>
      <c r="F412" s="9" t="s">
        <v>30</v>
      </c>
      <c r="G412" s="9" t="s">
        <v>41</v>
      </c>
      <c r="H412" s="11" t="s">
        <v>22</v>
      </c>
      <c r="I412" s="12" t="n">
        <v>60</v>
      </c>
      <c r="J412" s="13" t="n">
        <v>725</v>
      </c>
      <c r="K412" s="14" t="n">
        <f aca="false">I412*J412</f>
        <v>43500</v>
      </c>
      <c r="L412" s="14" t="n">
        <f aca="false">($L$2*M412)/100</f>
        <v>480666.6</v>
      </c>
      <c r="M412" s="15" t="n">
        <v>0.4</v>
      </c>
      <c r="N412" s="9" t="s">
        <v>26</v>
      </c>
    </row>
    <row r="413" customFormat="false" ht="14.25" hidden="false" customHeight="true" outlineLevel="0" collapsed="false">
      <c r="B413" s="9" t="s">
        <v>28</v>
      </c>
      <c r="C413" s="9" t="n">
        <v>1197831</v>
      </c>
      <c r="D413" s="10" t="n">
        <v>44470</v>
      </c>
      <c r="E413" s="9" t="s">
        <v>29</v>
      </c>
      <c r="F413" s="9" t="s">
        <v>30</v>
      </c>
      <c r="G413" s="9" t="s">
        <v>41</v>
      </c>
      <c r="H413" s="11" t="s">
        <v>23</v>
      </c>
      <c r="I413" s="12" t="n">
        <v>60</v>
      </c>
      <c r="J413" s="13" t="n">
        <v>450</v>
      </c>
      <c r="K413" s="14" t="n">
        <f aca="false">I413*J413</f>
        <v>27000</v>
      </c>
      <c r="L413" s="14" t="n">
        <f aca="false">($L$2*M413)/100</f>
        <v>600833.25</v>
      </c>
      <c r="M413" s="15" t="n">
        <v>0.5</v>
      </c>
      <c r="N413" s="9" t="s">
        <v>26</v>
      </c>
    </row>
    <row r="414" customFormat="false" ht="14.25" hidden="false" customHeight="true" outlineLevel="0" collapsed="false">
      <c r="B414" s="9" t="s">
        <v>28</v>
      </c>
      <c r="C414" s="9" t="n">
        <v>1197831</v>
      </c>
      <c r="D414" s="10" t="n">
        <v>44471</v>
      </c>
      <c r="E414" s="9" t="s">
        <v>29</v>
      </c>
      <c r="F414" s="9" t="s">
        <v>30</v>
      </c>
      <c r="G414" s="9" t="s">
        <v>41</v>
      </c>
      <c r="H414" s="11" t="s">
        <v>24</v>
      </c>
      <c r="I414" s="12" t="n">
        <v>55</v>
      </c>
      <c r="J414" s="13" t="n">
        <v>450</v>
      </c>
      <c r="K414" s="14" t="n">
        <f aca="false">I414*J414</f>
        <v>24750</v>
      </c>
      <c r="L414" s="14" t="n">
        <f aca="false">($L$2*M414)/100</f>
        <v>420583.275</v>
      </c>
      <c r="M414" s="15" t="n">
        <v>0.35</v>
      </c>
      <c r="N414" s="9" t="s">
        <v>26</v>
      </c>
    </row>
    <row r="415" customFormat="false" ht="14.25" hidden="false" customHeight="true" outlineLevel="0" collapsed="false">
      <c r="B415" s="9" t="s">
        <v>28</v>
      </c>
      <c r="C415" s="9" t="n">
        <v>1197831</v>
      </c>
      <c r="D415" s="10" t="n">
        <v>44472</v>
      </c>
      <c r="E415" s="9" t="s">
        <v>29</v>
      </c>
      <c r="F415" s="9" t="s">
        <v>30</v>
      </c>
      <c r="G415" s="9" t="s">
        <v>41</v>
      </c>
      <c r="H415" s="11" t="s">
        <v>25</v>
      </c>
      <c r="I415" s="12" t="n">
        <v>50</v>
      </c>
      <c r="J415" s="13" t="n">
        <v>675</v>
      </c>
      <c r="K415" s="14" t="n">
        <f aca="false">I415*J415</f>
        <v>33750</v>
      </c>
      <c r="L415" s="14" t="n">
        <f aca="false">($L$2*M415)/100</f>
        <v>660916.575</v>
      </c>
      <c r="M415" s="15" t="n">
        <v>0.55</v>
      </c>
      <c r="N415" s="9" t="s">
        <v>26</v>
      </c>
    </row>
    <row r="416" customFormat="false" ht="14.25" hidden="false" customHeight="true" outlineLevel="0" collapsed="false">
      <c r="B416" s="9" t="s">
        <v>28</v>
      </c>
      <c r="C416" s="9" t="n">
        <v>1197831</v>
      </c>
      <c r="D416" s="10" t="n">
        <v>44473</v>
      </c>
      <c r="E416" s="9" t="s">
        <v>29</v>
      </c>
      <c r="F416" s="9" t="s">
        <v>30</v>
      </c>
      <c r="G416" s="9" t="s">
        <v>41</v>
      </c>
      <c r="H416" s="11" t="s">
        <v>19</v>
      </c>
      <c r="I416" s="12" t="n">
        <v>40</v>
      </c>
      <c r="J416" s="13" t="n">
        <v>625</v>
      </c>
      <c r="K416" s="14" t="n">
        <f aca="false">I416*J416</f>
        <v>25000</v>
      </c>
      <c r="L416" s="14" t="n">
        <f aca="false">($L$2*M416)/100</f>
        <v>480666.6</v>
      </c>
      <c r="M416" s="15" t="n">
        <v>0.4</v>
      </c>
      <c r="N416" s="9" t="s">
        <v>26</v>
      </c>
    </row>
    <row r="417" customFormat="false" ht="14.25" hidden="false" customHeight="true" outlineLevel="0" collapsed="false">
      <c r="B417" s="9" t="s">
        <v>28</v>
      </c>
      <c r="C417" s="9" t="n">
        <v>1197831</v>
      </c>
      <c r="D417" s="10" t="n">
        <v>44474</v>
      </c>
      <c r="E417" s="9" t="s">
        <v>29</v>
      </c>
      <c r="F417" s="9" t="s">
        <v>30</v>
      </c>
      <c r="G417" s="9" t="s">
        <v>41</v>
      </c>
      <c r="H417" s="11" t="s">
        <v>21</v>
      </c>
      <c r="I417" s="12" t="n">
        <v>40</v>
      </c>
      <c r="J417" s="13" t="n">
        <v>625</v>
      </c>
      <c r="K417" s="14" t="n">
        <f aca="false">I417*J417</f>
        <v>25000</v>
      </c>
      <c r="L417" s="14" t="n">
        <f aca="false">($L$2*M417)/100</f>
        <v>480666.6</v>
      </c>
      <c r="M417" s="15" t="n">
        <v>0.4</v>
      </c>
      <c r="N417" s="9" t="s">
        <v>26</v>
      </c>
    </row>
    <row r="418" customFormat="false" ht="14.25" hidden="false" customHeight="true" outlineLevel="0" collapsed="false">
      <c r="B418" s="9" t="s">
        <v>28</v>
      </c>
      <c r="C418" s="9" t="n">
        <v>1197831</v>
      </c>
      <c r="D418" s="10" t="n">
        <v>44475</v>
      </c>
      <c r="E418" s="9" t="s">
        <v>29</v>
      </c>
      <c r="F418" s="9" t="s">
        <v>30</v>
      </c>
      <c r="G418" s="9" t="s">
        <v>41</v>
      </c>
      <c r="H418" s="11" t="s">
        <v>22</v>
      </c>
      <c r="I418" s="12" t="n">
        <v>45</v>
      </c>
      <c r="J418" s="13" t="n">
        <v>575</v>
      </c>
      <c r="K418" s="14" t="n">
        <f aca="false">I418*J418</f>
        <v>25875</v>
      </c>
      <c r="L418" s="14" t="n">
        <f aca="false">($L$2*M418)/100</f>
        <v>480666.6</v>
      </c>
      <c r="M418" s="15" t="n">
        <v>0.4</v>
      </c>
      <c r="N418" s="9" t="s">
        <v>26</v>
      </c>
    </row>
    <row r="419" customFormat="false" ht="14.25" hidden="false" customHeight="true" outlineLevel="0" collapsed="false">
      <c r="B419" s="9" t="s">
        <v>28</v>
      </c>
      <c r="C419" s="9" t="n">
        <v>1197831</v>
      </c>
      <c r="D419" s="10" t="n">
        <v>44476</v>
      </c>
      <c r="E419" s="9" t="s">
        <v>29</v>
      </c>
      <c r="F419" s="9" t="s">
        <v>30</v>
      </c>
      <c r="G419" s="9" t="s">
        <v>41</v>
      </c>
      <c r="H419" s="11" t="s">
        <v>23</v>
      </c>
      <c r="I419" s="12" t="n">
        <v>45</v>
      </c>
      <c r="J419" s="13" t="n">
        <v>425</v>
      </c>
      <c r="K419" s="14" t="n">
        <f aca="false">I419*J419</f>
        <v>19125</v>
      </c>
      <c r="L419" s="14" t="n">
        <f aca="false">($L$2*M419)/100</f>
        <v>600833.25</v>
      </c>
      <c r="M419" s="15" t="n">
        <v>0.5</v>
      </c>
      <c r="N419" s="9" t="s">
        <v>26</v>
      </c>
    </row>
    <row r="420" customFormat="false" ht="14.25" hidden="false" customHeight="true" outlineLevel="0" collapsed="false">
      <c r="B420" s="9" t="s">
        <v>28</v>
      </c>
      <c r="C420" s="9" t="n">
        <v>1197831</v>
      </c>
      <c r="D420" s="10" t="n">
        <v>44477</v>
      </c>
      <c r="E420" s="9" t="s">
        <v>29</v>
      </c>
      <c r="F420" s="9" t="s">
        <v>30</v>
      </c>
      <c r="G420" s="9" t="s">
        <v>41</v>
      </c>
      <c r="H420" s="11" t="s">
        <v>24</v>
      </c>
      <c r="I420" s="12" t="n">
        <v>40</v>
      </c>
      <c r="J420" s="13" t="n">
        <v>400</v>
      </c>
      <c r="K420" s="14" t="n">
        <f aca="false">I420*J420</f>
        <v>16000</v>
      </c>
      <c r="L420" s="14" t="n">
        <f aca="false">($L$2*M420)/100</f>
        <v>420583.275</v>
      </c>
      <c r="M420" s="15" t="n">
        <v>0.35</v>
      </c>
      <c r="N420" s="9" t="s">
        <v>26</v>
      </c>
    </row>
    <row r="421" customFormat="false" ht="14.25" hidden="false" customHeight="true" outlineLevel="0" collapsed="false">
      <c r="B421" s="9" t="s">
        <v>28</v>
      </c>
      <c r="C421" s="9" t="n">
        <v>1197831</v>
      </c>
      <c r="D421" s="10" t="n">
        <v>44478</v>
      </c>
      <c r="E421" s="9" t="s">
        <v>29</v>
      </c>
      <c r="F421" s="9" t="s">
        <v>30</v>
      </c>
      <c r="G421" s="9" t="s">
        <v>41</v>
      </c>
      <c r="H421" s="11" t="s">
        <v>25</v>
      </c>
      <c r="I421" s="12" t="n">
        <v>50</v>
      </c>
      <c r="J421" s="13" t="n">
        <v>575</v>
      </c>
      <c r="K421" s="14" t="n">
        <f aca="false">I421*J421</f>
        <v>28750</v>
      </c>
      <c r="L421" s="14" t="n">
        <f aca="false">($L$2*M421)/100</f>
        <v>660916.575</v>
      </c>
      <c r="M421" s="15" t="n">
        <v>0.55</v>
      </c>
      <c r="N421" s="9" t="s">
        <v>26</v>
      </c>
    </row>
    <row r="422" customFormat="false" ht="14.25" hidden="false" customHeight="true" outlineLevel="0" collapsed="false">
      <c r="B422" s="9" t="s">
        <v>28</v>
      </c>
      <c r="C422" s="9" t="n">
        <v>1197831</v>
      </c>
      <c r="D422" s="10" t="n">
        <v>44479</v>
      </c>
      <c r="E422" s="9" t="s">
        <v>29</v>
      </c>
      <c r="F422" s="9" t="s">
        <v>30</v>
      </c>
      <c r="G422" s="9" t="s">
        <v>41</v>
      </c>
      <c r="H422" s="11" t="s">
        <v>19</v>
      </c>
      <c r="I422" s="12" t="n">
        <v>40</v>
      </c>
      <c r="J422" s="13" t="n">
        <v>725</v>
      </c>
      <c r="K422" s="14" t="n">
        <f aca="false">I422*J422</f>
        <v>29000</v>
      </c>
      <c r="L422" s="14" t="n">
        <f aca="false">($L$2*M422)/100</f>
        <v>480666.6</v>
      </c>
      <c r="M422" s="15" t="n">
        <v>0.4</v>
      </c>
      <c r="N422" s="9" t="s">
        <v>26</v>
      </c>
    </row>
    <row r="423" customFormat="false" ht="14.25" hidden="false" customHeight="true" outlineLevel="0" collapsed="false">
      <c r="B423" s="9" t="s">
        <v>28</v>
      </c>
      <c r="C423" s="9" t="n">
        <v>1197831</v>
      </c>
      <c r="D423" s="10" t="n">
        <v>44480</v>
      </c>
      <c r="E423" s="9" t="s">
        <v>29</v>
      </c>
      <c r="F423" s="9" t="s">
        <v>30</v>
      </c>
      <c r="G423" s="9" t="s">
        <v>41</v>
      </c>
      <c r="H423" s="11" t="s">
        <v>21</v>
      </c>
      <c r="I423" s="12" t="n">
        <v>40</v>
      </c>
      <c r="J423" s="13" t="n">
        <v>725</v>
      </c>
      <c r="K423" s="14" t="n">
        <f aca="false">I423*J423</f>
        <v>29000</v>
      </c>
      <c r="L423" s="14" t="n">
        <f aca="false">($L$2*M423)/100</f>
        <v>480666.6</v>
      </c>
      <c r="M423" s="15" t="n">
        <v>0.4</v>
      </c>
      <c r="N423" s="9" t="s">
        <v>26</v>
      </c>
    </row>
    <row r="424" customFormat="false" ht="14.25" hidden="false" customHeight="true" outlineLevel="0" collapsed="false">
      <c r="B424" s="9" t="s">
        <v>28</v>
      </c>
      <c r="C424" s="9" t="n">
        <v>1197831</v>
      </c>
      <c r="D424" s="10" t="n">
        <v>44481</v>
      </c>
      <c r="E424" s="9" t="s">
        <v>29</v>
      </c>
      <c r="F424" s="9" t="s">
        <v>30</v>
      </c>
      <c r="G424" s="9" t="s">
        <v>41</v>
      </c>
      <c r="H424" s="11" t="s">
        <v>22</v>
      </c>
      <c r="I424" s="12" t="n">
        <v>65</v>
      </c>
      <c r="J424" s="13" t="n">
        <v>650</v>
      </c>
      <c r="K424" s="14" t="n">
        <f aca="false">I424*J424</f>
        <v>42250</v>
      </c>
      <c r="L424" s="14" t="n">
        <f aca="false">($L$2*M424)/100</f>
        <v>480666.6</v>
      </c>
      <c r="M424" s="15" t="n">
        <v>0.4</v>
      </c>
      <c r="N424" s="9" t="s">
        <v>26</v>
      </c>
    </row>
    <row r="425" customFormat="false" ht="14.25" hidden="false" customHeight="true" outlineLevel="0" collapsed="false">
      <c r="B425" s="9" t="s">
        <v>28</v>
      </c>
      <c r="C425" s="9" t="n">
        <v>1197831</v>
      </c>
      <c r="D425" s="10" t="n">
        <v>44482</v>
      </c>
      <c r="E425" s="9" t="s">
        <v>29</v>
      </c>
      <c r="F425" s="9" t="s">
        <v>30</v>
      </c>
      <c r="G425" s="9" t="s">
        <v>41</v>
      </c>
      <c r="H425" s="11" t="s">
        <v>23</v>
      </c>
      <c r="I425" s="12" t="n">
        <v>65</v>
      </c>
      <c r="J425" s="13" t="n">
        <v>500</v>
      </c>
      <c r="K425" s="14" t="n">
        <f aca="false">I425*J425</f>
        <v>32500</v>
      </c>
      <c r="L425" s="14" t="n">
        <f aca="false">($L$2*M425)/100</f>
        <v>600833.25</v>
      </c>
      <c r="M425" s="15" t="n">
        <v>0.5</v>
      </c>
      <c r="N425" s="9" t="s">
        <v>26</v>
      </c>
    </row>
    <row r="426" customFormat="false" ht="14.25" hidden="false" customHeight="true" outlineLevel="0" collapsed="false">
      <c r="B426" s="9" t="s">
        <v>28</v>
      </c>
      <c r="C426" s="9" t="n">
        <v>1197831</v>
      </c>
      <c r="D426" s="10" t="n">
        <v>44483</v>
      </c>
      <c r="E426" s="9" t="s">
        <v>29</v>
      </c>
      <c r="F426" s="9" t="s">
        <v>30</v>
      </c>
      <c r="G426" s="9" t="s">
        <v>41</v>
      </c>
      <c r="H426" s="11" t="s">
        <v>24</v>
      </c>
      <c r="I426" s="12" t="n">
        <v>60</v>
      </c>
      <c r="J426" s="13" t="n">
        <v>475</v>
      </c>
      <c r="K426" s="14" t="n">
        <f aca="false">I426*J426</f>
        <v>28500</v>
      </c>
      <c r="L426" s="14" t="n">
        <f aca="false">($L$2*M426)/100</f>
        <v>420583.275</v>
      </c>
      <c r="M426" s="15" t="n">
        <v>0.35</v>
      </c>
      <c r="N426" s="9" t="s">
        <v>26</v>
      </c>
    </row>
    <row r="427" customFormat="false" ht="14.25" hidden="false" customHeight="true" outlineLevel="0" collapsed="false">
      <c r="B427" s="9" t="s">
        <v>28</v>
      </c>
      <c r="C427" s="9" t="n">
        <v>1197831</v>
      </c>
      <c r="D427" s="10" t="n">
        <v>44484</v>
      </c>
      <c r="E427" s="9" t="s">
        <v>29</v>
      </c>
      <c r="F427" s="9" t="s">
        <v>30</v>
      </c>
      <c r="G427" s="9" t="s">
        <v>41</v>
      </c>
      <c r="H427" s="11" t="s">
        <v>25</v>
      </c>
      <c r="I427" s="12" t="n">
        <v>70</v>
      </c>
      <c r="J427" s="13" t="n">
        <v>675</v>
      </c>
      <c r="K427" s="14" t="n">
        <f aca="false">I427*J427</f>
        <v>47250</v>
      </c>
      <c r="L427" s="14" t="n">
        <f aca="false">($L$2*M427)/100</f>
        <v>660916.575</v>
      </c>
      <c r="M427" s="15" t="n">
        <v>0.55</v>
      </c>
      <c r="N427" s="9" t="s">
        <v>26</v>
      </c>
    </row>
    <row r="428" customFormat="false" ht="14.25" hidden="false" customHeight="true" outlineLevel="0" collapsed="false">
      <c r="B428" s="9" t="s">
        <v>28</v>
      </c>
      <c r="C428" s="9" t="n">
        <v>1197831</v>
      </c>
      <c r="D428" s="10" t="n">
        <v>44485</v>
      </c>
      <c r="E428" s="9" t="s">
        <v>29</v>
      </c>
      <c r="F428" s="9" t="s">
        <v>30</v>
      </c>
      <c r="G428" s="9" t="s">
        <v>41</v>
      </c>
      <c r="H428" s="11" t="s">
        <v>19</v>
      </c>
      <c r="I428" s="12" t="n">
        <v>60</v>
      </c>
      <c r="J428" s="13" t="n">
        <v>825</v>
      </c>
      <c r="K428" s="14" t="n">
        <f aca="false">I428*J428</f>
        <v>49500</v>
      </c>
      <c r="L428" s="14" t="n">
        <f aca="false">($L$2*M428)/100</f>
        <v>480666.6</v>
      </c>
      <c r="M428" s="15" t="n">
        <v>0.4</v>
      </c>
      <c r="N428" s="9" t="s">
        <v>26</v>
      </c>
    </row>
    <row r="429" customFormat="false" ht="14.25" hidden="false" customHeight="true" outlineLevel="0" collapsed="false">
      <c r="B429" s="9" t="s">
        <v>28</v>
      </c>
      <c r="C429" s="9" t="n">
        <v>1197831</v>
      </c>
      <c r="D429" s="10" t="n">
        <v>44486</v>
      </c>
      <c r="E429" s="9" t="s">
        <v>29</v>
      </c>
      <c r="F429" s="9" t="s">
        <v>30</v>
      </c>
      <c r="G429" s="9" t="s">
        <v>41</v>
      </c>
      <c r="H429" s="11" t="s">
        <v>21</v>
      </c>
      <c r="I429" s="12" t="n">
        <v>60</v>
      </c>
      <c r="J429" s="13" t="n">
        <v>825</v>
      </c>
      <c r="K429" s="14" t="n">
        <f aca="false">I429*J429</f>
        <v>49500</v>
      </c>
      <c r="L429" s="14" t="n">
        <f aca="false">($L$2*M429)/100</f>
        <v>480666.6</v>
      </c>
      <c r="M429" s="15" t="n">
        <v>0.4</v>
      </c>
      <c r="N429" s="9" t="s">
        <v>26</v>
      </c>
    </row>
    <row r="430" customFormat="false" ht="14.25" hidden="false" customHeight="true" outlineLevel="0" collapsed="false">
      <c r="B430" s="9" t="s">
        <v>28</v>
      </c>
      <c r="C430" s="9" t="n">
        <v>1197831</v>
      </c>
      <c r="D430" s="10" t="n">
        <v>44487</v>
      </c>
      <c r="E430" s="9" t="s">
        <v>29</v>
      </c>
      <c r="F430" s="9" t="s">
        <v>30</v>
      </c>
      <c r="G430" s="9" t="s">
        <v>41</v>
      </c>
      <c r="H430" s="11" t="s">
        <v>22</v>
      </c>
      <c r="I430" s="12" t="n">
        <v>65</v>
      </c>
      <c r="J430" s="13" t="n">
        <v>725</v>
      </c>
      <c r="K430" s="14" t="n">
        <f aca="false">I430*J430</f>
        <v>47125</v>
      </c>
      <c r="L430" s="14" t="n">
        <f aca="false">($L$2*M430)/100</f>
        <v>480666.6</v>
      </c>
      <c r="M430" s="15" t="n">
        <v>0.4</v>
      </c>
      <c r="N430" s="9" t="s">
        <v>26</v>
      </c>
    </row>
    <row r="431" customFormat="false" ht="14.25" hidden="false" customHeight="true" outlineLevel="0" collapsed="false">
      <c r="B431" s="9" t="s">
        <v>28</v>
      </c>
      <c r="C431" s="9" t="n">
        <v>1197831</v>
      </c>
      <c r="D431" s="10" t="n">
        <v>44488</v>
      </c>
      <c r="E431" s="9" t="s">
        <v>29</v>
      </c>
      <c r="F431" s="9" t="s">
        <v>30</v>
      </c>
      <c r="G431" s="9" t="s">
        <v>41</v>
      </c>
      <c r="H431" s="11" t="s">
        <v>23</v>
      </c>
      <c r="I431" s="12" t="n">
        <v>65</v>
      </c>
      <c r="J431" s="13" t="n">
        <v>575</v>
      </c>
      <c r="K431" s="14" t="n">
        <f aca="false">I431*J431</f>
        <v>37375</v>
      </c>
      <c r="L431" s="14" t="n">
        <f aca="false">($L$2*M431)/100</f>
        <v>600833.25</v>
      </c>
      <c r="M431" s="15" t="n">
        <v>0.5</v>
      </c>
      <c r="N431" s="9" t="s">
        <v>26</v>
      </c>
    </row>
    <row r="432" customFormat="false" ht="14.25" hidden="false" customHeight="true" outlineLevel="0" collapsed="false">
      <c r="B432" s="9" t="s">
        <v>28</v>
      </c>
      <c r="C432" s="9" t="n">
        <v>1197831</v>
      </c>
      <c r="D432" s="10" t="n">
        <v>44489</v>
      </c>
      <c r="E432" s="9" t="s">
        <v>29</v>
      </c>
      <c r="F432" s="9" t="s">
        <v>30</v>
      </c>
      <c r="G432" s="9" t="s">
        <v>41</v>
      </c>
      <c r="H432" s="11" t="s">
        <v>24</v>
      </c>
      <c r="I432" s="12" t="n">
        <v>60</v>
      </c>
      <c r="J432" s="13" t="n">
        <v>525</v>
      </c>
      <c r="K432" s="14" t="n">
        <f aca="false">I432*J432</f>
        <v>31500</v>
      </c>
      <c r="L432" s="14" t="n">
        <f aca="false">($L$2*M432)/100</f>
        <v>420583.275</v>
      </c>
      <c r="M432" s="15" t="n">
        <v>0.35</v>
      </c>
      <c r="N432" s="9" t="s">
        <v>26</v>
      </c>
    </row>
    <row r="433" customFormat="false" ht="14.25" hidden="false" customHeight="true" outlineLevel="0" collapsed="false">
      <c r="B433" s="9" t="s">
        <v>28</v>
      </c>
      <c r="C433" s="9" t="n">
        <v>1197831</v>
      </c>
      <c r="D433" s="10" t="n">
        <v>44490</v>
      </c>
      <c r="E433" s="9" t="s">
        <v>29</v>
      </c>
      <c r="F433" s="9" t="s">
        <v>30</v>
      </c>
      <c r="G433" s="9" t="s">
        <v>41</v>
      </c>
      <c r="H433" s="11" t="s">
        <v>25</v>
      </c>
      <c r="I433" s="12" t="n">
        <v>70</v>
      </c>
      <c r="J433" s="13" t="n">
        <v>775</v>
      </c>
      <c r="K433" s="14" t="n">
        <f aca="false">I433*J433</f>
        <v>54250</v>
      </c>
      <c r="L433" s="14" t="n">
        <f aca="false">($L$2*M433)/100</f>
        <v>660916.575</v>
      </c>
      <c r="M433" s="15" t="n">
        <v>0.55</v>
      </c>
      <c r="N433" s="9" t="s">
        <v>26</v>
      </c>
    </row>
    <row r="434" customFormat="false" ht="14.25" hidden="false" customHeight="true" outlineLevel="0" collapsed="false">
      <c r="B434" s="9" t="s">
        <v>16</v>
      </c>
      <c r="C434" s="9" t="n">
        <v>1185732</v>
      </c>
      <c r="D434" s="10" t="n">
        <v>44491</v>
      </c>
      <c r="E434" s="9" t="s">
        <v>29</v>
      </c>
      <c r="F434" s="9" t="s">
        <v>30</v>
      </c>
      <c r="G434" s="9" t="s">
        <v>41</v>
      </c>
      <c r="H434" s="11" t="s">
        <v>19</v>
      </c>
      <c r="I434" s="12" t="n">
        <v>45</v>
      </c>
      <c r="J434" s="13" t="n">
        <v>425</v>
      </c>
      <c r="K434" s="14" t="n">
        <f aca="false">I434*J434</f>
        <v>19125</v>
      </c>
      <c r="L434" s="14" t="n">
        <f aca="false">($L$2*M434)/100</f>
        <v>660916.575</v>
      </c>
      <c r="M434" s="15" t="n">
        <v>0.55</v>
      </c>
      <c r="N434" s="9" t="s">
        <v>26</v>
      </c>
    </row>
    <row r="435" customFormat="false" ht="14.25" hidden="false" customHeight="true" outlineLevel="0" collapsed="false">
      <c r="B435" s="9" t="s">
        <v>16</v>
      </c>
      <c r="C435" s="9" t="n">
        <v>1185732</v>
      </c>
      <c r="D435" s="10" t="n">
        <v>44492</v>
      </c>
      <c r="E435" s="9" t="s">
        <v>29</v>
      </c>
      <c r="F435" s="9" t="s">
        <v>30</v>
      </c>
      <c r="G435" s="9" t="s">
        <v>41</v>
      </c>
      <c r="H435" s="11" t="s">
        <v>21</v>
      </c>
      <c r="I435" s="12" t="n">
        <v>45</v>
      </c>
      <c r="J435" s="13" t="n">
        <v>225</v>
      </c>
      <c r="K435" s="14" t="n">
        <f aca="false">I435*J435</f>
        <v>10125</v>
      </c>
      <c r="L435" s="14" t="n">
        <f aca="false">($L$2*M435)/100</f>
        <v>420583.275</v>
      </c>
      <c r="M435" s="15" t="n">
        <v>0.35</v>
      </c>
      <c r="N435" s="9" t="s">
        <v>26</v>
      </c>
    </row>
    <row r="436" customFormat="false" ht="14.25" hidden="false" customHeight="true" outlineLevel="0" collapsed="false">
      <c r="B436" s="9" t="s">
        <v>16</v>
      </c>
      <c r="C436" s="9" t="n">
        <v>1185732</v>
      </c>
      <c r="D436" s="10" t="n">
        <v>44493</v>
      </c>
      <c r="E436" s="9" t="s">
        <v>29</v>
      </c>
      <c r="F436" s="9" t="s">
        <v>30</v>
      </c>
      <c r="G436" s="9" t="s">
        <v>41</v>
      </c>
      <c r="H436" s="11" t="s">
        <v>22</v>
      </c>
      <c r="I436" s="12" t="n">
        <v>35</v>
      </c>
      <c r="J436" s="13" t="n">
        <v>225</v>
      </c>
      <c r="K436" s="14" t="n">
        <f aca="false">I436*J436</f>
        <v>7875</v>
      </c>
      <c r="L436" s="14" t="n">
        <f aca="false">($L$2*M436)/100</f>
        <v>480666.6</v>
      </c>
      <c r="M436" s="15" t="n">
        <v>0.4</v>
      </c>
      <c r="N436" s="9" t="s">
        <v>26</v>
      </c>
    </row>
    <row r="437" customFormat="false" ht="14.25" hidden="false" customHeight="true" outlineLevel="0" collapsed="false">
      <c r="B437" s="9" t="s">
        <v>16</v>
      </c>
      <c r="C437" s="9" t="n">
        <v>1185732</v>
      </c>
      <c r="D437" s="10" t="n">
        <v>44494</v>
      </c>
      <c r="E437" s="9" t="s">
        <v>29</v>
      </c>
      <c r="F437" s="9" t="s">
        <v>30</v>
      </c>
      <c r="G437" s="9" t="s">
        <v>41</v>
      </c>
      <c r="H437" s="11" t="s">
        <v>23</v>
      </c>
      <c r="I437" s="12" t="n">
        <v>40</v>
      </c>
      <c r="J437" s="13" t="n">
        <v>75</v>
      </c>
      <c r="K437" s="14" t="n">
        <f aca="false">I437*J437</f>
        <v>3000</v>
      </c>
      <c r="L437" s="14" t="n">
        <f aca="false">($L$2*M437)/100</f>
        <v>480666.6</v>
      </c>
      <c r="M437" s="15" t="n">
        <v>0.4</v>
      </c>
      <c r="N437" s="9" t="s">
        <v>26</v>
      </c>
    </row>
    <row r="438" customFormat="false" ht="14.25" hidden="false" customHeight="true" outlineLevel="0" collapsed="false">
      <c r="B438" s="9" t="s">
        <v>16</v>
      </c>
      <c r="C438" s="9" t="n">
        <v>1185732</v>
      </c>
      <c r="D438" s="10" t="n">
        <v>44495</v>
      </c>
      <c r="E438" s="9" t="s">
        <v>17</v>
      </c>
      <c r="F438" s="9" t="s">
        <v>42</v>
      </c>
      <c r="G438" s="9" t="s">
        <v>43</v>
      </c>
      <c r="H438" s="11" t="s">
        <v>24</v>
      </c>
      <c r="I438" s="12" t="n">
        <v>55</v>
      </c>
      <c r="J438" s="13" t="n">
        <v>125</v>
      </c>
      <c r="K438" s="14" t="n">
        <f aca="false">I438*J438</f>
        <v>6875</v>
      </c>
      <c r="L438" s="14" t="n">
        <f aca="false">($L$2*M438)/100</f>
        <v>420583.275</v>
      </c>
      <c r="M438" s="15" t="n">
        <v>0.35</v>
      </c>
      <c r="N438" s="9" t="s">
        <v>26</v>
      </c>
    </row>
    <row r="439" customFormat="false" ht="14.25" hidden="false" customHeight="true" outlineLevel="0" collapsed="false">
      <c r="B439" s="9" t="s">
        <v>16</v>
      </c>
      <c r="C439" s="9" t="n">
        <v>1185732</v>
      </c>
      <c r="D439" s="10" t="n">
        <v>44496</v>
      </c>
      <c r="E439" s="9" t="s">
        <v>17</v>
      </c>
      <c r="F439" s="9" t="s">
        <v>42</v>
      </c>
      <c r="G439" s="9" t="s">
        <v>43</v>
      </c>
      <c r="H439" s="11" t="s">
        <v>25</v>
      </c>
      <c r="I439" s="12" t="n">
        <v>45</v>
      </c>
      <c r="J439" s="13" t="n">
        <v>225</v>
      </c>
      <c r="K439" s="14" t="n">
        <f aca="false">I439*J439</f>
        <v>10125</v>
      </c>
      <c r="L439" s="14" t="n">
        <f aca="false">($L$2*M439)/100</f>
        <v>360499.95</v>
      </c>
      <c r="M439" s="15" t="n">
        <v>0.3</v>
      </c>
      <c r="N439" s="9" t="s">
        <v>26</v>
      </c>
    </row>
    <row r="440" customFormat="false" ht="14.25" hidden="false" customHeight="true" outlineLevel="0" collapsed="false">
      <c r="B440" s="9" t="s">
        <v>16</v>
      </c>
      <c r="C440" s="9" t="n">
        <v>1185732</v>
      </c>
      <c r="D440" s="10" t="n">
        <v>44497</v>
      </c>
      <c r="E440" s="9" t="s">
        <v>17</v>
      </c>
      <c r="F440" s="9" t="s">
        <v>42</v>
      </c>
      <c r="G440" s="9" t="s">
        <v>43</v>
      </c>
      <c r="H440" s="11" t="s">
        <v>19</v>
      </c>
      <c r="I440" s="12" t="n">
        <v>45</v>
      </c>
      <c r="J440" s="13" t="n">
        <v>475</v>
      </c>
      <c r="K440" s="14" t="n">
        <f aca="false">I440*J440</f>
        <v>21375</v>
      </c>
      <c r="L440" s="14" t="n">
        <f aca="false">($L$2*M440)/100</f>
        <v>660916.575</v>
      </c>
      <c r="M440" s="15" t="n">
        <v>0.55</v>
      </c>
      <c r="N440" s="9" t="s">
        <v>26</v>
      </c>
    </row>
    <row r="441" customFormat="false" ht="14.25" hidden="false" customHeight="true" outlineLevel="0" collapsed="false">
      <c r="B441" s="9" t="s">
        <v>16</v>
      </c>
      <c r="C441" s="9" t="n">
        <v>1185732</v>
      </c>
      <c r="D441" s="10" t="n">
        <v>44498</v>
      </c>
      <c r="E441" s="9" t="s">
        <v>17</v>
      </c>
      <c r="F441" s="9" t="s">
        <v>42</v>
      </c>
      <c r="G441" s="9" t="s">
        <v>43</v>
      </c>
      <c r="H441" s="11" t="s">
        <v>21</v>
      </c>
      <c r="I441" s="12" t="n">
        <v>45</v>
      </c>
      <c r="J441" s="13" t="n">
        <v>125</v>
      </c>
      <c r="K441" s="14" t="n">
        <f aca="false">I441*J441</f>
        <v>5625</v>
      </c>
      <c r="L441" s="14" t="n">
        <f aca="false">($L$2*M441)/100</f>
        <v>420583.275</v>
      </c>
      <c r="M441" s="15" t="n">
        <v>0.35</v>
      </c>
      <c r="N441" s="9" t="s">
        <v>26</v>
      </c>
    </row>
    <row r="442" customFormat="false" ht="14.25" hidden="false" customHeight="true" outlineLevel="0" collapsed="false">
      <c r="B442" s="9" t="s">
        <v>16</v>
      </c>
      <c r="C442" s="9" t="n">
        <v>1185732</v>
      </c>
      <c r="D442" s="10" t="n">
        <v>44499</v>
      </c>
      <c r="E442" s="9" t="s">
        <v>17</v>
      </c>
      <c r="F442" s="9" t="s">
        <v>42</v>
      </c>
      <c r="G442" s="9" t="s">
        <v>43</v>
      </c>
      <c r="H442" s="11" t="s">
        <v>22</v>
      </c>
      <c r="I442" s="12" t="n">
        <v>35</v>
      </c>
      <c r="J442" s="13" t="n">
        <v>175</v>
      </c>
      <c r="K442" s="14" t="n">
        <f aca="false">I442*J442</f>
        <v>6125</v>
      </c>
      <c r="L442" s="14" t="n">
        <f aca="false">($L$2*M442)/100</f>
        <v>480666.6</v>
      </c>
      <c r="M442" s="15" t="n">
        <v>0.4</v>
      </c>
      <c r="N442" s="9" t="s">
        <v>26</v>
      </c>
    </row>
    <row r="443" customFormat="false" ht="14.25" hidden="false" customHeight="true" outlineLevel="0" collapsed="false">
      <c r="B443" s="9" t="s">
        <v>16</v>
      </c>
      <c r="C443" s="9" t="n">
        <v>1185732</v>
      </c>
      <c r="D443" s="10" t="n">
        <v>44500</v>
      </c>
      <c r="E443" s="9" t="s">
        <v>17</v>
      </c>
      <c r="F443" s="9" t="s">
        <v>42</v>
      </c>
      <c r="G443" s="9" t="s">
        <v>43</v>
      </c>
      <c r="H443" s="11" t="s">
        <v>23</v>
      </c>
      <c r="I443" s="12" t="n">
        <v>40</v>
      </c>
      <c r="J443" s="13" t="n">
        <v>50</v>
      </c>
      <c r="K443" s="14" t="n">
        <f aca="false">I443*J443</f>
        <v>2000</v>
      </c>
      <c r="L443" s="14" t="n">
        <f aca="false">($L$2*M443)/100</f>
        <v>480666.6</v>
      </c>
      <c r="M443" s="15" t="n">
        <v>0.4</v>
      </c>
      <c r="N443" s="9" t="s">
        <v>26</v>
      </c>
    </row>
    <row r="444" customFormat="false" ht="14.25" hidden="false" customHeight="true" outlineLevel="0" collapsed="false">
      <c r="B444" s="9" t="s">
        <v>16</v>
      </c>
      <c r="C444" s="9" t="n">
        <v>1185732</v>
      </c>
      <c r="D444" s="10" t="n">
        <v>44501</v>
      </c>
      <c r="E444" s="9" t="s">
        <v>17</v>
      </c>
      <c r="F444" s="9" t="s">
        <v>42</v>
      </c>
      <c r="G444" s="9" t="s">
        <v>43</v>
      </c>
      <c r="H444" s="11" t="s">
        <v>24</v>
      </c>
      <c r="I444" s="12" t="n">
        <v>55</v>
      </c>
      <c r="J444" s="13" t="n">
        <v>125</v>
      </c>
      <c r="K444" s="14" t="n">
        <f aca="false">I444*J444</f>
        <v>6875</v>
      </c>
      <c r="L444" s="14" t="n">
        <f aca="false">($L$2*M444)/100</f>
        <v>420583.275</v>
      </c>
      <c r="M444" s="15" t="n">
        <v>0.35</v>
      </c>
      <c r="N444" s="9" t="s">
        <v>26</v>
      </c>
    </row>
    <row r="445" customFormat="false" ht="14.25" hidden="false" customHeight="true" outlineLevel="0" collapsed="false">
      <c r="B445" s="9" t="s">
        <v>16</v>
      </c>
      <c r="C445" s="9" t="n">
        <v>1185732</v>
      </c>
      <c r="D445" s="10" t="n">
        <v>44502</v>
      </c>
      <c r="E445" s="9" t="s">
        <v>17</v>
      </c>
      <c r="F445" s="9" t="s">
        <v>42</v>
      </c>
      <c r="G445" s="9" t="s">
        <v>43</v>
      </c>
      <c r="H445" s="11" t="s">
        <v>25</v>
      </c>
      <c r="I445" s="12" t="n">
        <v>45</v>
      </c>
      <c r="J445" s="13" t="n">
        <v>225</v>
      </c>
      <c r="K445" s="14" t="n">
        <f aca="false">I445*J445</f>
        <v>10125</v>
      </c>
      <c r="L445" s="14" t="n">
        <f aca="false">($L$2*M445)/100</f>
        <v>360499.95</v>
      </c>
      <c r="M445" s="15" t="n">
        <v>0.3</v>
      </c>
      <c r="N445" s="9" t="s">
        <v>26</v>
      </c>
    </row>
    <row r="446" customFormat="false" ht="14.25" hidden="false" customHeight="true" outlineLevel="0" collapsed="false">
      <c r="B446" s="9" t="s">
        <v>16</v>
      </c>
      <c r="C446" s="9" t="n">
        <v>1185732</v>
      </c>
      <c r="D446" s="10" t="n">
        <v>44503</v>
      </c>
      <c r="E446" s="9" t="s">
        <v>17</v>
      </c>
      <c r="F446" s="9" t="s">
        <v>42</v>
      </c>
      <c r="G446" s="9" t="s">
        <v>43</v>
      </c>
      <c r="H446" s="11" t="s">
        <v>19</v>
      </c>
      <c r="I446" s="12" t="n">
        <v>50</v>
      </c>
      <c r="J446" s="13" t="n">
        <v>445</v>
      </c>
      <c r="K446" s="14" t="n">
        <f aca="false">I446*J446</f>
        <v>22250</v>
      </c>
      <c r="L446" s="14" t="n">
        <f aca="false">($L$2*M446)/100</f>
        <v>660916.575</v>
      </c>
      <c r="M446" s="15" t="n">
        <v>0.55</v>
      </c>
      <c r="N446" s="9" t="s">
        <v>26</v>
      </c>
    </row>
    <row r="447" customFormat="false" ht="14.25" hidden="false" customHeight="true" outlineLevel="0" collapsed="false">
      <c r="B447" s="9" t="s">
        <v>16</v>
      </c>
      <c r="C447" s="9" t="n">
        <v>1185732</v>
      </c>
      <c r="D447" s="10" t="n">
        <v>44504</v>
      </c>
      <c r="E447" s="9" t="s">
        <v>17</v>
      </c>
      <c r="F447" s="9" t="s">
        <v>42</v>
      </c>
      <c r="G447" s="9" t="s">
        <v>43</v>
      </c>
      <c r="H447" s="11" t="s">
        <v>21</v>
      </c>
      <c r="I447" s="12" t="n">
        <v>50</v>
      </c>
      <c r="J447" s="13" t="n">
        <v>150</v>
      </c>
      <c r="K447" s="14" t="n">
        <f aca="false">I447*J447</f>
        <v>7500</v>
      </c>
      <c r="L447" s="14" t="n">
        <f aca="false">($L$2*M447)/100</f>
        <v>420583.275</v>
      </c>
      <c r="M447" s="15" t="n">
        <v>0.35</v>
      </c>
      <c r="N447" s="9" t="s">
        <v>26</v>
      </c>
    </row>
    <row r="448" customFormat="false" ht="14.25" hidden="false" customHeight="true" outlineLevel="0" collapsed="false">
      <c r="B448" s="9" t="s">
        <v>16</v>
      </c>
      <c r="C448" s="9" t="n">
        <v>1185732</v>
      </c>
      <c r="D448" s="10" t="n">
        <v>44505</v>
      </c>
      <c r="E448" s="9" t="s">
        <v>17</v>
      </c>
      <c r="F448" s="9" t="s">
        <v>42</v>
      </c>
      <c r="G448" s="9" t="s">
        <v>43</v>
      </c>
      <c r="H448" s="11" t="s">
        <v>22</v>
      </c>
      <c r="I448" s="12" t="n">
        <v>40</v>
      </c>
      <c r="J448" s="13" t="n">
        <v>175</v>
      </c>
      <c r="K448" s="14" t="n">
        <f aca="false">I448*J448</f>
        <v>7000</v>
      </c>
      <c r="L448" s="14" t="n">
        <f aca="false">($L$2*M448)/100</f>
        <v>480666.6</v>
      </c>
      <c r="M448" s="15" t="n">
        <v>0.4</v>
      </c>
      <c r="N448" s="9" t="s">
        <v>26</v>
      </c>
    </row>
    <row r="449" customFormat="false" ht="14.25" hidden="false" customHeight="true" outlineLevel="0" collapsed="false">
      <c r="B449" s="9" t="s">
        <v>16</v>
      </c>
      <c r="C449" s="9" t="n">
        <v>1185732</v>
      </c>
      <c r="D449" s="10" t="n">
        <v>44506</v>
      </c>
      <c r="E449" s="9" t="s">
        <v>17</v>
      </c>
      <c r="F449" s="9" t="s">
        <v>42</v>
      </c>
      <c r="G449" s="9" t="s">
        <v>43</v>
      </c>
      <c r="H449" s="11" t="s">
        <v>23</v>
      </c>
      <c r="I449" s="12" t="n">
        <v>45</v>
      </c>
      <c r="J449" s="13" t="n">
        <v>25</v>
      </c>
      <c r="K449" s="14" t="n">
        <f aca="false">I449*J449</f>
        <v>1125</v>
      </c>
      <c r="L449" s="14" t="n">
        <f aca="false">($L$2*M449)/100</f>
        <v>480666.6</v>
      </c>
      <c r="M449" s="15" t="n">
        <v>0.4</v>
      </c>
      <c r="N449" s="9" t="s">
        <v>26</v>
      </c>
    </row>
    <row r="450" customFormat="false" ht="14.25" hidden="false" customHeight="true" outlineLevel="0" collapsed="false">
      <c r="B450" s="9" t="s">
        <v>16</v>
      </c>
      <c r="C450" s="9" t="n">
        <v>1185732</v>
      </c>
      <c r="D450" s="10" t="n">
        <v>44507</v>
      </c>
      <c r="E450" s="9" t="s">
        <v>17</v>
      </c>
      <c r="F450" s="9" t="s">
        <v>42</v>
      </c>
      <c r="G450" s="9" t="s">
        <v>43</v>
      </c>
      <c r="H450" s="11" t="s">
        <v>24</v>
      </c>
      <c r="I450" s="12" t="n">
        <v>60</v>
      </c>
      <c r="J450" s="13" t="n">
        <v>75</v>
      </c>
      <c r="K450" s="14" t="n">
        <f aca="false">I450*J450</f>
        <v>4500</v>
      </c>
      <c r="L450" s="14" t="n">
        <f aca="false">($L$2*M450)/100</f>
        <v>360499.95</v>
      </c>
      <c r="M450" s="15" t="n">
        <v>0.3</v>
      </c>
      <c r="N450" s="9" t="s">
        <v>26</v>
      </c>
    </row>
    <row r="451" customFormat="false" ht="14.25" hidden="false" customHeight="true" outlineLevel="0" collapsed="false">
      <c r="B451" s="9" t="s">
        <v>16</v>
      </c>
      <c r="C451" s="9" t="n">
        <v>1185732</v>
      </c>
      <c r="D451" s="10" t="n">
        <v>44508</v>
      </c>
      <c r="E451" s="9" t="s">
        <v>17</v>
      </c>
      <c r="F451" s="9" t="s">
        <v>42</v>
      </c>
      <c r="G451" s="9" t="s">
        <v>43</v>
      </c>
      <c r="H451" s="11" t="s">
        <v>25</v>
      </c>
      <c r="I451" s="12" t="n">
        <v>50</v>
      </c>
      <c r="J451" s="13" t="n">
        <v>175</v>
      </c>
      <c r="K451" s="14" t="n">
        <f aca="false">I451*J451</f>
        <v>8750</v>
      </c>
      <c r="L451" s="14" t="n">
        <f aca="false">($L$2*M451)/100</f>
        <v>300416.625</v>
      </c>
      <c r="M451" s="15" t="n">
        <v>0.25</v>
      </c>
      <c r="N451" s="9" t="s">
        <v>26</v>
      </c>
    </row>
    <row r="452" customFormat="false" ht="14.25" hidden="false" customHeight="true" outlineLevel="0" collapsed="false">
      <c r="B452" s="9" t="s">
        <v>16</v>
      </c>
      <c r="C452" s="9" t="n">
        <v>1185732</v>
      </c>
      <c r="D452" s="10" t="n">
        <v>44509</v>
      </c>
      <c r="E452" s="9" t="s">
        <v>17</v>
      </c>
      <c r="F452" s="9" t="s">
        <v>42</v>
      </c>
      <c r="G452" s="9" t="s">
        <v>43</v>
      </c>
      <c r="H452" s="11" t="s">
        <v>19</v>
      </c>
      <c r="I452" s="12" t="n">
        <v>50</v>
      </c>
      <c r="J452" s="13" t="n">
        <v>450</v>
      </c>
      <c r="K452" s="14" t="n">
        <f aca="false">I452*J452</f>
        <v>22500</v>
      </c>
      <c r="L452" s="14" t="n">
        <f aca="false">($L$2*M452)/100</f>
        <v>600833.25</v>
      </c>
      <c r="M452" s="15" t="n">
        <v>0.5</v>
      </c>
      <c r="N452" s="9" t="s">
        <v>26</v>
      </c>
    </row>
    <row r="453" customFormat="false" ht="14.25" hidden="false" customHeight="true" outlineLevel="0" collapsed="false">
      <c r="B453" s="9" t="s">
        <v>16</v>
      </c>
      <c r="C453" s="9" t="n">
        <v>1185732</v>
      </c>
      <c r="D453" s="10" t="n">
        <v>44510</v>
      </c>
      <c r="E453" s="9" t="s">
        <v>17</v>
      </c>
      <c r="F453" s="9" t="s">
        <v>42</v>
      </c>
      <c r="G453" s="9" t="s">
        <v>43</v>
      </c>
      <c r="H453" s="11" t="s">
        <v>21</v>
      </c>
      <c r="I453" s="12" t="n">
        <v>50</v>
      </c>
      <c r="J453" s="13" t="n">
        <v>150</v>
      </c>
      <c r="K453" s="14" t="n">
        <f aca="false">I453*J453</f>
        <v>7500</v>
      </c>
      <c r="L453" s="14" t="n">
        <f aca="false">($L$2*M453)/100</f>
        <v>360499.95</v>
      </c>
      <c r="M453" s="15" t="n">
        <v>0.3</v>
      </c>
      <c r="N453" s="9" t="s">
        <v>26</v>
      </c>
    </row>
    <row r="454" customFormat="false" ht="14.25" hidden="false" customHeight="true" outlineLevel="0" collapsed="false">
      <c r="B454" s="9" t="s">
        <v>16</v>
      </c>
      <c r="C454" s="9" t="n">
        <v>1185732</v>
      </c>
      <c r="D454" s="10" t="n">
        <v>44511</v>
      </c>
      <c r="E454" s="9" t="s">
        <v>17</v>
      </c>
      <c r="F454" s="9" t="s">
        <v>42</v>
      </c>
      <c r="G454" s="9" t="s">
        <v>43</v>
      </c>
      <c r="H454" s="11" t="s">
        <v>22</v>
      </c>
      <c r="I454" s="12" t="n">
        <v>40</v>
      </c>
      <c r="J454" s="13" t="n">
        <v>150</v>
      </c>
      <c r="K454" s="14" t="n">
        <f aca="false">I454*J454</f>
        <v>6000</v>
      </c>
      <c r="L454" s="14" t="n">
        <f aca="false">($L$2*M454)/100</f>
        <v>420583.275</v>
      </c>
      <c r="M454" s="15" t="n">
        <v>0.35</v>
      </c>
      <c r="N454" s="9" t="s">
        <v>26</v>
      </c>
    </row>
    <row r="455" customFormat="false" ht="14.25" hidden="false" customHeight="true" outlineLevel="0" collapsed="false">
      <c r="B455" s="9" t="s">
        <v>16</v>
      </c>
      <c r="C455" s="9" t="n">
        <v>1185732</v>
      </c>
      <c r="D455" s="10" t="n">
        <v>44512</v>
      </c>
      <c r="E455" s="9" t="s">
        <v>17</v>
      </c>
      <c r="F455" s="9" t="s">
        <v>42</v>
      </c>
      <c r="G455" s="9" t="s">
        <v>43</v>
      </c>
      <c r="H455" s="11" t="s">
        <v>23</v>
      </c>
      <c r="I455" s="12" t="n">
        <v>45</v>
      </c>
      <c r="J455" s="13" t="n">
        <v>75</v>
      </c>
      <c r="K455" s="14" t="n">
        <f aca="false">I455*J455</f>
        <v>3375</v>
      </c>
      <c r="L455" s="14" t="n">
        <f aca="false">($L$2*M455)/100</f>
        <v>420583.275</v>
      </c>
      <c r="M455" s="15" t="n">
        <v>0.35</v>
      </c>
      <c r="N455" s="9" t="s">
        <v>26</v>
      </c>
    </row>
    <row r="456" customFormat="false" ht="14.25" hidden="false" customHeight="true" outlineLevel="0" collapsed="false">
      <c r="B456" s="9" t="s">
        <v>16</v>
      </c>
      <c r="C456" s="9" t="n">
        <v>1185732</v>
      </c>
      <c r="D456" s="10" t="n">
        <v>44513</v>
      </c>
      <c r="E456" s="9" t="s">
        <v>17</v>
      </c>
      <c r="F456" s="9" t="s">
        <v>42</v>
      </c>
      <c r="G456" s="9" t="s">
        <v>43</v>
      </c>
      <c r="H456" s="11" t="s">
        <v>24</v>
      </c>
      <c r="I456" s="12" t="n">
        <v>60</v>
      </c>
      <c r="J456" s="13" t="n">
        <v>75</v>
      </c>
      <c r="K456" s="14" t="n">
        <f aca="false">I456*J456</f>
        <v>4500</v>
      </c>
      <c r="L456" s="14" t="n">
        <f aca="false">($L$2*M456)/100</f>
        <v>360499.95</v>
      </c>
      <c r="M456" s="15" t="n">
        <v>0.3</v>
      </c>
      <c r="N456" s="9" t="s">
        <v>26</v>
      </c>
    </row>
    <row r="457" customFormat="false" ht="14.25" hidden="false" customHeight="true" outlineLevel="0" collapsed="false">
      <c r="B457" s="9" t="s">
        <v>16</v>
      </c>
      <c r="C457" s="9" t="n">
        <v>1185732</v>
      </c>
      <c r="D457" s="10" t="n">
        <v>44514</v>
      </c>
      <c r="E457" s="9" t="s">
        <v>17</v>
      </c>
      <c r="F457" s="9" t="s">
        <v>42</v>
      </c>
      <c r="G457" s="9" t="s">
        <v>43</v>
      </c>
      <c r="H457" s="11" t="s">
        <v>25</v>
      </c>
      <c r="I457" s="12" t="n">
        <v>50</v>
      </c>
      <c r="J457" s="13" t="n">
        <v>200</v>
      </c>
      <c r="K457" s="14" t="n">
        <f aca="false">I457*J457</f>
        <v>10000</v>
      </c>
      <c r="L457" s="14" t="n">
        <f aca="false">($L$2*M457)/100</f>
        <v>300416.625</v>
      </c>
      <c r="M457" s="15" t="n">
        <v>0.25</v>
      </c>
      <c r="N457" s="9" t="s">
        <v>26</v>
      </c>
    </row>
    <row r="458" customFormat="false" ht="14.25" hidden="false" customHeight="true" outlineLevel="0" collapsed="false">
      <c r="B458" s="9" t="s">
        <v>16</v>
      </c>
      <c r="C458" s="9" t="n">
        <v>1185732</v>
      </c>
      <c r="D458" s="10" t="n">
        <v>44515</v>
      </c>
      <c r="E458" s="9" t="s">
        <v>17</v>
      </c>
      <c r="F458" s="9" t="s">
        <v>42</v>
      </c>
      <c r="G458" s="9" t="s">
        <v>43</v>
      </c>
      <c r="H458" s="11" t="s">
        <v>19</v>
      </c>
      <c r="I458" s="12" t="n">
        <v>60</v>
      </c>
      <c r="J458" s="13" t="n">
        <v>470</v>
      </c>
      <c r="K458" s="14" t="n">
        <f aca="false">I458*J458</f>
        <v>28200</v>
      </c>
      <c r="L458" s="14" t="n">
        <f aca="false">($L$2*M458)/100</f>
        <v>600833.25</v>
      </c>
      <c r="M458" s="15" t="n">
        <v>0.5</v>
      </c>
      <c r="N458" s="9" t="s">
        <v>26</v>
      </c>
    </row>
    <row r="459" customFormat="false" ht="14.25" hidden="false" customHeight="true" outlineLevel="0" collapsed="false">
      <c r="B459" s="9" t="s">
        <v>16</v>
      </c>
      <c r="C459" s="9" t="n">
        <v>1185732</v>
      </c>
      <c r="D459" s="10" t="n">
        <v>44516</v>
      </c>
      <c r="E459" s="9" t="s">
        <v>17</v>
      </c>
      <c r="F459" s="9" t="s">
        <v>42</v>
      </c>
      <c r="G459" s="9" t="s">
        <v>43</v>
      </c>
      <c r="H459" s="11" t="s">
        <v>21</v>
      </c>
      <c r="I459" s="12" t="n">
        <v>60</v>
      </c>
      <c r="J459" s="13" t="n">
        <v>175</v>
      </c>
      <c r="K459" s="14" t="n">
        <f aca="false">I459*J459</f>
        <v>10500</v>
      </c>
      <c r="L459" s="14" t="n">
        <f aca="false">($L$2*M459)/100</f>
        <v>360499.95</v>
      </c>
      <c r="M459" s="15" t="n">
        <v>0.3</v>
      </c>
      <c r="N459" s="9" t="s">
        <v>26</v>
      </c>
    </row>
    <row r="460" customFormat="false" ht="14.25" hidden="false" customHeight="true" outlineLevel="0" collapsed="false">
      <c r="B460" s="9" t="s">
        <v>16</v>
      </c>
      <c r="C460" s="9" t="n">
        <v>1185732</v>
      </c>
      <c r="D460" s="10" t="n">
        <v>44517</v>
      </c>
      <c r="E460" s="9" t="s">
        <v>17</v>
      </c>
      <c r="F460" s="9" t="s">
        <v>42</v>
      </c>
      <c r="G460" s="9" t="s">
        <v>43</v>
      </c>
      <c r="H460" s="11" t="s">
        <v>22</v>
      </c>
      <c r="I460" s="12" t="n">
        <v>55</v>
      </c>
      <c r="J460" s="13" t="n">
        <v>150</v>
      </c>
      <c r="K460" s="14" t="n">
        <f aca="false">I460*J460</f>
        <v>8250</v>
      </c>
      <c r="L460" s="14" t="n">
        <f aca="false">($L$2*M460)/100</f>
        <v>420583.275</v>
      </c>
      <c r="M460" s="15" t="n">
        <v>0.35</v>
      </c>
      <c r="N460" s="9" t="s">
        <v>26</v>
      </c>
    </row>
    <row r="461" customFormat="false" ht="14.25" hidden="false" customHeight="true" outlineLevel="0" collapsed="false">
      <c r="B461" s="9" t="s">
        <v>16</v>
      </c>
      <c r="C461" s="9" t="n">
        <v>1185732</v>
      </c>
      <c r="D461" s="10" t="n">
        <v>44518</v>
      </c>
      <c r="E461" s="9" t="s">
        <v>17</v>
      </c>
      <c r="F461" s="9" t="s">
        <v>42</v>
      </c>
      <c r="G461" s="9" t="s">
        <v>43</v>
      </c>
      <c r="H461" s="11" t="s">
        <v>23</v>
      </c>
      <c r="I461" s="12" t="n">
        <v>55</v>
      </c>
      <c r="J461" s="13" t="n">
        <v>100</v>
      </c>
      <c r="K461" s="14" t="n">
        <f aca="false">I461*J461</f>
        <v>5500</v>
      </c>
      <c r="L461" s="14" t="n">
        <f aca="false">($L$2*M461)/100</f>
        <v>420583.275</v>
      </c>
      <c r="M461" s="15" t="n">
        <v>0.35</v>
      </c>
      <c r="N461" s="9" t="s">
        <v>26</v>
      </c>
    </row>
    <row r="462" customFormat="false" ht="14.25" hidden="false" customHeight="true" outlineLevel="0" collapsed="false">
      <c r="B462" s="9" t="s">
        <v>16</v>
      </c>
      <c r="C462" s="9" t="n">
        <v>1185732</v>
      </c>
      <c r="D462" s="10" t="n">
        <v>44519</v>
      </c>
      <c r="E462" s="9" t="s">
        <v>17</v>
      </c>
      <c r="F462" s="9" t="s">
        <v>42</v>
      </c>
      <c r="G462" s="9" t="s">
        <v>43</v>
      </c>
      <c r="H462" s="11" t="s">
        <v>24</v>
      </c>
      <c r="I462" s="12" t="n">
        <v>65</v>
      </c>
      <c r="J462" s="13" t="n">
        <v>125</v>
      </c>
      <c r="K462" s="14" t="n">
        <f aca="false">I462*J462</f>
        <v>8125</v>
      </c>
      <c r="L462" s="14" t="n">
        <f aca="false">($L$2*M462)/100</f>
        <v>360499.95</v>
      </c>
      <c r="M462" s="15" t="n">
        <v>0.3</v>
      </c>
      <c r="N462" s="9" t="s">
        <v>26</v>
      </c>
    </row>
    <row r="463" customFormat="false" ht="14.25" hidden="false" customHeight="true" outlineLevel="0" collapsed="false">
      <c r="B463" s="9" t="s">
        <v>16</v>
      </c>
      <c r="C463" s="9" t="n">
        <v>1185732</v>
      </c>
      <c r="D463" s="10" t="n">
        <v>44520</v>
      </c>
      <c r="E463" s="9" t="s">
        <v>17</v>
      </c>
      <c r="F463" s="9" t="s">
        <v>42</v>
      </c>
      <c r="G463" s="9" t="s">
        <v>43</v>
      </c>
      <c r="H463" s="11" t="s">
        <v>25</v>
      </c>
      <c r="I463" s="12" t="n">
        <v>70</v>
      </c>
      <c r="J463" s="13" t="n">
        <v>250</v>
      </c>
      <c r="K463" s="14" t="n">
        <f aca="false">I463*J463</f>
        <v>17500</v>
      </c>
      <c r="L463" s="14" t="n">
        <f aca="false">($L$2*M463)/100</f>
        <v>360499.95</v>
      </c>
      <c r="M463" s="15" t="n">
        <v>0.3</v>
      </c>
      <c r="N463" s="9" t="s">
        <v>26</v>
      </c>
    </row>
    <row r="464" customFormat="false" ht="14.25" hidden="false" customHeight="true" outlineLevel="0" collapsed="false">
      <c r="B464" s="9" t="s">
        <v>16</v>
      </c>
      <c r="C464" s="9" t="n">
        <v>1185732</v>
      </c>
      <c r="D464" s="10" t="n">
        <v>44521</v>
      </c>
      <c r="E464" s="9" t="s">
        <v>17</v>
      </c>
      <c r="F464" s="9" t="s">
        <v>42</v>
      </c>
      <c r="G464" s="9" t="s">
        <v>43</v>
      </c>
      <c r="H464" s="11" t="s">
        <v>19</v>
      </c>
      <c r="I464" s="12" t="n">
        <v>65</v>
      </c>
      <c r="J464" s="13" t="n">
        <v>500</v>
      </c>
      <c r="K464" s="14" t="n">
        <f aca="false">I464*J464</f>
        <v>32500</v>
      </c>
      <c r="L464" s="14" t="n">
        <f aca="false">($L$2*M464)/100</f>
        <v>660916.575</v>
      </c>
      <c r="M464" s="15" t="n">
        <v>0.55</v>
      </c>
      <c r="N464" s="9" t="s">
        <v>26</v>
      </c>
    </row>
    <row r="465" customFormat="false" ht="14.25" hidden="false" customHeight="true" outlineLevel="0" collapsed="false">
      <c r="B465" s="9" t="s">
        <v>16</v>
      </c>
      <c r="C465" s="9" t="n">
        <v>1185732</v>
      </c>
      <c r="D465" s="10" t="n">
        <v>44522</v>
      </c>
      <c r="E465" s="9" t="s">
        <v>17</v>
      </c>
      <c r="F465" s="9" t="s">
        <v>42</v>
      </c>
      <c r="G465" s="9" t="s">
        <v>43</v>
      </c>
      <c r="H465" s="11" t="s">
        <v>21</v>
      </c>
      <c r="I465" s="12" t="n">
        <v>60</v>
      </c>
      <c r="J465" s="13" t="n">
        <v>250</v>
      </c>
      <c r="K465" s="14" t="n">
        <f aca="false">I465*J465</f>
        <v>15000</v>
      </c>
      <c r="L465" s="14" t="n">
        <f aca="false">($L$2*M465)/100</f>
        <v>420583.275</v>
      </c>
      <c r="M465" s="15" t="n">
        <v>0.35</v>
      </c>
      <c r="N465" s="9" t="s">
        <v>26</v>
      </c>
    </row>
    <row r="466" customFormat="false" ht="14.25" hidden="false" customHeight="true" outlineLevel="0" collapsed="false">
      <c r="B466" s="9" t="s">
        <v>16</v>
      </c>
      <c r="C466" s="9" t="n">
        <v>1185732</v>
      </c>
      <c r="D466" s="10" t="n">
        <v>44523</v>
      </c>
      <c r="E466" s="9" t="s">
        <v>17</v>
      </c>
      <c r="F466" s="9" t="s">
        <v>42</v>
      </c>
      <c r="G466" s="9" t="s">
        <v>43</v>
      </c>
      <c r="H466" s="11" t="s">
        <v>22</v>
      </c>
      <c r="I466" s="12" t="n">
        <v>55</v>
      </c>
      <c r="J466" s="13" t="n">
        <v>175</v>
      </c>
      <c r="K466" s="14" t="n">
        <f aca="false">I466*J466</f>
        <v>9625</v>
      </c>
      <c r="L466" s="14" t="n">
        <f aca="false">($L$2*M466)/100</f>
        <v>480666.6</v>
      </c>
      <c r="M466" s="15" t="n">
        <v>0.4</v>
      </c>
      <c r="N466" s="9" t="s">
        <v>26</v>
      </c>
    </row>
    <row r="467" customFormat="false" ht="14.25" hidden="false" customHeight="true" outlineLevel="0" collapsed="false">
      <c r="B467" s="9" t="s">
        <v>16</v>
      </c>
      <c r="C467" s="9" t="n">
        <v>1185732</v>
      </c>
      <c r="D467" s="10" t="n">
        <v>44524</v>
      </c>
      <c r="E467" s="9" t="s">
        <v>17</v>
      </c>
      <c r="F467" s="9" t="s">
        <v>42</v>
      </c>
      <c r="G467" s="9" t="s">
        <v>43</v>
      </c>
      <c r="H467" s="11" t="s">
        <v>23</v>
      </c>
      <c r="I467" s="12" t="n">
        <v>55</v>
      </c>
      <c r="J467" s="13" t="n">
        <v>150</v>
      </c>
      <c r="K467" s="14" t="n">
        <f aca="false">I467*J467</f>
        <v>8250</v>
      </c>
      <c r="L467" s="14" t="n">
        <f aca="false">($L$2*M467)/100</f>
        <v>480666.6</v>
      </c>
      <c r="M467" s="15" t="n">
        <v>0.4</v>
      </c>
      <c r="N467" s="9" t="s">
        <v>26</v>
      </c>
    </row>
    <row r="468" customFormat="false" ht="14.25" hidden="false" customHeight="true" outlineLevel="0" collapsed="false">
      <c r="B468" s="9" t="s">
        <v>16</v>
      </c>
      <c r="C468" s="9" t="n">
        <v>1185732</v>
      </c>
      <c r="D468" s="10" t="n">
        <v>44525</v>
      </c>
      <c r="E468" s="9" t="s">
        <v>17</v>
      </c>
      <c r="F468" s="9" t="s">
        <v>42</v>
      </c>
      <c r="G468" s="9" t="s">
        <v>43</v>
      </c>
      <c r="H468" s="11" t="s">
        <v>24</v>
      </c>
      <c r="I468" s="12" t="n">
        <v>65</v>
      </c>
      <c r="J468" s="13" t="n">
        <v>150</v>
      </c>
      <c r="K468" s="14" t="n">
        <f aca="false">I468*J468</f>
        <v>9750</v>
      </c>
      <c r="L468" s="14" t="n">
        <f aca="false">($L$2*M468)/100</f>
        <v>420583.275</v>
      </c>
      <c r="M468" s="15" t="n">
        <v>0.35</v>
      </c>
      <c r="N468" s="9" t="s">
        <v>26</v>
      </c>
    </row>
    <row r="469" customFormat="false" ht="14.25" hidden="false" customHeight="true" outlineLevel="0" collapsed="false">
      <c r="B469" s="9" t="s">
        <v>16</v>
      </c>
      <c r="C469" s="9" t="n">
        <v>1185732</v>
      </c>
      <c r="D469" s="10" t="n">
        <v>44526</v>
      </c>
      <c r="E469" s="9" t="s">
        <v>17</v>
      </c>
      <c r="F469" s="9" t="s">
        <v>42</v>
      </c>
      <c r="G469" s="9" t="s">
        <v>43</v>
      </c>
      <c r="H469" s="11" t="s">
        <v>25</v>
      </c>
      <c r="I469" s="12" t="n">
        <v>70</v>
      </c>
      <c r="J469" s="13" t="n">
        <v>300</v>
      </c>
      <c r="K469" s="14" t="n">
        <f aca="false">I469*J469</f>
        <v>21000</v>
      </c>
      <c r="L469" s="14" t="n">
        <f aca="false">($L$2*M469)/100</f>
        <v>360499.95</v>
      </c>
      <c r="M469" s="15" t="n">
        <v>0.3</v>
      </c>
      <c r="N469" s="9" t="s">
        <v>26</v>
      </c>
    </row>
    <row r="470" customFormat="false" ht="14.25" hidden="false" customHeight="true" outlineLevel="0" collapsed="false">
      <c r="B470" s="9" t="s">
        <v>16</v>
      </c>
      <c r="C470" s="9" t="n">
        <v>1185732</v>
      </c>
      <c r="D470" s="10" t="n">
        <v>44527</v>
      </c>
      <c r="E470" s="9" t="s">
        <v>17</v>
      </c>
      <c r="F470" s="9" t="s">
        <v>42</v>
      </c>
      <c r="G470" s="9" t="s">
        <v>43</v>
      </c>
      <c r="H470" s="11" t="s">
        <v>19</v>
      </c>
      <c r="I470" s="12" t="n">
        <v>65</v>
      </c>
      <c r="J470" s="13" t="n">
        <v>500</v>
      </c>
      <c r="K470" s="14" t="n">
        <f aca="false">I470*J470</f>
        <v>32500</v>
      </c>
      <c r="L470" s="14" t="n">
        <f aca="false">($L$2*M470)/100</f>
        <v>660916.575</v>
      </c>
      <c r="M470" s="15" t="n">
        <v>0.55</v>
      </c>
      <c r="N470" s="9" t="s">
        <v>26</v>
      </c>
    </row>
    <row r="471" customFormat="false" ht="14.25" hidden="false" customHeight="true" outlineLevel="0" collapsed="false">
      <c r="B471" s="9" t="s">
        <v>16</v>
      </c>
      <c r="C471" s="9" t="n">
        <v>1185732</v>
      </c>
      <c r="D471" s="10" t="n">
        <v>44528</v>
      </c>
      <c r="E471" s="9" t="s">
        <v>17</v>
      </c>
      <c r="F471" s="9" t="s">
        <v>42</v>
      </c>
      <c r="G471" s="9" t="s">
        <v>43</v>
      </c>
      <c r="H471" s="11" t="s">
        <v>21</v>
      </c>
      <c r="I471" s="12" t="n">
        <v>60</v>
      </c>
      <c r="J471" s="13" t="n">
        <v>300</v>
      </c>
      <c r="K471" s="14" t="n">
        <f aca="false">I471*J471</f>
        <v>18000</v>
      </c>
      <c r="L471" s="14" t="n">
        <f aca="false">($L$2*M471)/100</f>
        <v>420583.275</v>
      </c>
      <c r="M471" s="15" t="n">
        <v>0.35</v>
      </c>
      <c r="N471" s="9" t="s">
        <v>26</v>
      </c>
    </row>
    <row r="472" customFormat="false" ht="14.25" hidden="false" customHeight="true" outlineLevel="0" collapsed="false">
      <c r="B472" s="9" t="s">
        <v>16</v>
      </c>
      <c r="C472" s="9" t="n">
        <v>1185732</v>
      </c>
      <c r="D472" s="10" t="n">
        <v>44529</v>
      </c>
      <c r="E472" s="9" t="s">
        <v>17</v>
      </c>
      <c r="F472" s="9" t="s">
        <v>42</v>
      </c>
      <c r="G472" s="9" t="s">
        <v>43</v>
      </c>
      <c r="H472" s="11" t="s">
        <v>22</v>
      </c>
      <c r="I472" s="12" t="n">
        <v>55</v>
      </c>
      <c r="J472" s="13" t="n">
        <v>225</v>
      </c>
      <c r="K472" s="14" t="n">
        <f aca="false">I472*J472</f>
        <v>12375</v>
      </c>
      <c r="L472" s="14" t="n">
        <f aca="false">($L$2*M472)/100</f>
        <v>480666.6</v>
      </c>
      <c r="M472" s="15" t="n">
        <v>0.4</v>
      </c>
      <c r="N472" s="9" t="s">
        <v>26</v>
      </c>
    </row>
    <row r="473" customFormat="false" ht="14.25" hidden="false" customHeight="true" outlineLevel="0" collapsed="false">
      <c r="B473" s="9" t="s">
        <v>16</v>
      </c>
      <c r="C473" s="9" t="n">
        <v>1185732</v>
      </c>
      <c r="D473" s="10" t="n">
        <v>44530</v>
      </c>
      <c r="E473" s="9" t="s">
        <v>17</v>
      </c>
      <c r="F473" s="9" t="s">
        <v>42</v>
      </c>
      <c r="G473" s="9" t="s">
        <v>43</v>
      </c>
      <c r="H473" s="11" t="s">
        <v>23</v>
      </c>
      <c r="I473" s="12" t="n">
        <v>55</v>
      </c>
      <c r="J473" s="13" t="n">
        <v>175</v>
      </c>
      <c r="K473" s="14" t="n">
        <f aca="false">I473*J473</f>
        <v>9625</v>
      </c>
      <c r="L473" s="14" t="n">
        <f aca="false">($L$2*M473)/100</f>
        <v>480666.6</v>
      </c>
      <c r="M473" s="15" t="n">
        <v>0.4</v>
      </c>
      <c r="N473" s="9" t="s">
        <v>26</v>
      </c>
    </row>
    <row r="474" customFormat="false" ht="14.25" hidden="false" customHeight="true" outlineLevel="0" collapsed="false">
      <c r="B474" s="9" t="s">
        <v>16</v>
      </c>
      <c r="C474" s="9" t="n">
        <v>1185732</v>
      </c>
      <c r="D474" s="10" t="n">
        <v>44531</v>
      </c>
      <c r="E474" s="9" t="s">
        <v>17</v>
      </c>
      <c r="F474" s="9" t="s">
        <v>42</v>
      </c>
      <c r="G474" s="9" t="s">
        <v>43</v>
      </c>
      <c r="H474" s="11" t="s">
        <v>24</v>
      </c>
      <c r="I474" s="12" t="n">
        <v>65</v>
      </c>
      <c r="J474" s="13" t="n">
        <v>200</v>
      </c>
      <c r="K474" s="14" t="n">
        <f aca="false">I474*J474</f>
        <v>13000</v>
      </c>
      <c r="L474" s="14" t="n">
        <f aca="false">($L$2*M474)/100</f>
        <v>420583.275</v>
      </c>
      <c r="M474" s="15" t="n">
        <v>0.35</v>
      </c>
      <c r="N474" s="9" t="s">
        <v>26</v>
      </c>
    </row>
    <row r="475" customFormat="false" ht="14.25" hidden="false" customHeight="true" outlineLevel="0" collapsed="false">
      <c r="B475" s="9" t="s">
        <v>16</v>
      </c>
      <c r="C475" s="9" t="n">
        <v>1185732</v>
      </c>
      <c r="D475" s="10" t="n">
        <v>44532</v>
      </c>
      <c r="E475" s="9" t="s">
        <v>17</v>
      </c>
      <c r="F475" s="9" t="s">
        <v>42</v>
      </c>
      <c r="G475" s="9" t="s">
        <v>43</v>
      </c>
      <c r="H475" s="11" t="s">
        <v>25</v>
      </c>
      <c r="I475" s="12" t="n">
        <v>70</v>
      </c>
      <c r="J475" s="13" t="n">
        <v>375</v>
      </c>
      <c r="K475" s="14" t="n">
        <f aca="false">I475*J475</f>
        <v>26250</v>
      </c>
      <c r="L475" s="14" t="n">
        <f aca="false">($L$2*M475)/100</f>
        <v>360499.95</v>
      </c>
      <c r="M475" s="15" t="n">
        <v>0.3</v>
      </c>
      <c r="N475" s="9" t="s">
        <v>26</v>
      </c>
    </row>
    <row r="476" customFormat="false" ht="14.25" hidden="false" customHeight="true" outlineLevel="0" collapsed="false">
      <c r="B476" s="9" t="s">
        <v>16</v>
      </c>
      <c r="C476" s="9" t="n">
        <v>1185732</v>
      </c>
      <c r="D476" s="10" t="n">
        <v>44533</v>
      </c>
      <c r="E476" s="9" t="s">
        <v>17</v>
      </c>
      <c r="F476" s="9" t="s">
        <v>42</v>
      </c>
      <c r="G476" s="9" t="s">
        <v>43</v>
      </c>
      <c r="H476" s="11" t="s">
        <v>19</v>
      </c>
      <c r="I476" s="12" t="n">
        <v>65</v>
      </c>
      <c r="J476" s="13" t="n">
        <v>525</v>
      </c>
      <c r="K476" s="14" t="n">
        <f aca="false">I476*J476</f>
        <v>34125</v>
      </c>
      <c r="L476" s="14" t="n">
        <f aca="false">($L$2*M476)/100</f>
        <v>660916.575</v>
      </c>
      <c r="M476" s="15" t="n">
        <v>0.55</v>
      </c>
      <c r="N476" s="9" t="s">
        <v>26</v>
      </c>
    </row>
    <row r="477" customFormat="false" ht="14.25" hidden="false" customHeight="true" outlineLevel="0" collapsed="false">
      <c r="B477" s="9" t="s">
        <v>16</v>
      </c>
      <c r="C477" s="9" t="n">
        <v>1185732</v>
      </c>
      <c r="D477" s="10" t="n">
        <v>44534</v>
      </c>
      <c r="E477" s="9" t="s">
        <v>17</v>
      </c>
      <c r="F477" s="9" t="s">
        <v>42</v>
      </c>
      <c r="G477" s="9" t="s">
        <v>43</v>
      </c>
      <c r="H477" s="11" t="s">
        <v>21</v>
      </c>
      <c r="I477" s="12" t="n">
        <v>60</v>
      </c>
      <c r="J477" s="13" t="n">
        <v>300</v>
      </c>
      <c r="K477" s="14" t="n">
        <f aca="false">I477*J477</f>
        <v>18000</v>
      </c>
      <c r="L477" s="14" t="n">
        <f aca="false">($L$2*M477)/100</f>
        <v>420583.275</v>
      </c>
      <c r="M477" s="15" t="n">
        <v>0.35</v>
      </c>
      <c r="N477" s="9" t="s">
        <v>26</v>
      </c>
    </row>
    <row r="478" customFormat="false" ht="14.25" hidden="false" customHeight="true" outlineLevel="0" collapsed="false">
      <c r="B478" s="9" t="s">
        <v>16</v>
      </c>
      <c r="C478" s="9" t="n">
        <v>1185732</v>
      </c>
      <c r="D478" s="10" t="n">
        <v>44535</v>
      </c>
      <c r="E478" s="9" t="s">
        <v>17</v>
      </c>
      <c r="F478" s="9" t="s">
        <v>42</v>
      </c>
      <c r="G478" s="9" t="s">
        <v>43</v>
      </c>
      <c r="H478" s="11" t="s">
        <v>22</v>
      </c>
      <c r="I478" s="12" t="n">
        <v>55</v>
      </c>
      <c r="J478" s="13" t="n">
        <v>225</v>
      </c>
      <c r="K478" s="14" t="n">
        <f aca="false">I478*J478</f>
        <v>12375</v>
      </c>
      <c r="L478" s="14" t="n">
        <f aca="false">($L$2*M478)/100</f>
        <v>480666.6</v>
      </c>
      <c r="M478" s="15" t="n">
        <v>0.4</v>
      </c>
      <c r="N478" s="9" t="s">
        <v>26</v>
      </c>
    </row>
    <row r="479" customFormat="false" ht="14.25" hidden="false" customHeight="true" outlineLevel="0" collapsed="false">
      <c r="B479" s="9" t="s">
        <v>16</v>
      </c>
      <c r="C479" s="9" t="n">
        <v>1185732</v>
      </c>
      <c r="D479" s="10" t="n">
        <v>44536</v>
      </c>
      <c r="E479" s="9" t="s">
        <v>17</v>
      </c>
      <c r="F479" s="9" t="s">
        <v>42</v>
      </c>
      <c r="G479" s="9" t="s">
        <v>43</v>
      </c>
      <c r="H479" s="11" t="s">
        <v>23</v>
      </c>
      <c r="I479" s="12" t="n">
        <v>55</v>
      </c>
      <c r="J479" s="13" t="n">
        <v>200</v>
      </c>
      <c r="K479" s="14" t="n">
        <f aca="false">I479*J479</f>
        <v>11000</v>
      </c>
      <c r="L479" s="14" t="n">
        <f aca="false">($L$2*M479)/100</f>
        <v>480666.6</v>
      </c>
      <c r="M479" s="15" t="n">
        <v>0.4</v>
      </c>
      <c r="N479" s="9" t="s">
        <v>26</v>
      </c>
    </row>
    <row r="480" customFormat="false" ht="14.25" hidden="false" customHeight="true" outlineLevel="0" collapsed="false">
      <c r="B480" s="9" t="s">
        <v>16</v>
      </c>
      <c r="C480" s="9" t="n">
        <v>1185732</v>
      </c>
      <c r="D480" s="10" t="n">
        <v>44537</v>
      </c>
      <c r="E480" s="9" t="s">
        <v>17</v>
      </c>
      <c r="F480" s="9" t="s">
        <v>42</v>
      </c>
      <c r="G480" s="9" t="s">
        <v>43</v>
      </c>
      <c r="H480" s="11" t="s">
        <v>24</v>
      </c>
      <c r="I480" s="12" t="n">
        <v>65</v>
      </c>
      <c r="J480" s="13" t="n">
        <v>175</v>
      </c>
      <c r="K480" s="14" t="n">
        <f aca="false">I480*J480</f>
        <v>11375</v>
      </c>
      <c r="L480" s="14" t="n">
        <f aca="false">($L$2*M480)/100</f>
        <v>420583.275</v>
      </c>
      <c r="M480" s="15" t="n">
        <v>0.35</v>
      </c>
      <c r="N480" s="9" t="s">
        <v>26</v>
      </c>
    </row>
    <row r="481" customFormat="false" ht="14.25" hidden="false" customHeight="true" outlineLevel="0" collapsed="false">
      <c r="B481" s="9" t="s">
        <v>16</v>
      </c>
      <c r="C481" s="9" t="n">
        <v>1185732</v>
      </c>
      <c r="D481" s="10" t="n">
        <v>44538</v>
      </c>
      <c r="E481" s="9" t="s">
        <v>17</v>
      </c>
      <c r="F481" s="9" t="s">
        <v>42</v>
      </c>
      <c r="G481" s="9" t="s">
        <v>43</v>
      </c>
      <c r="H481" s="11" t="s">
        <v>25</v>
      </c>
      <c r="I481" s="12" t="n">
        <v>70</v>
      </c>
      <c r="J481" s="13" t="n">
        <v>350</v>
      </c>
      <c r="K481" s="14" t="n">
        <f aca="false">I481*J481</f>
        <v>24500</v>
      </c>
      <c r="L481" s="14" t="n">
        <f aca="false">($L$2*M481)/100</f>
        <v>360499.95</v>
      </c>
      <c r="M481" s="15" t="n">
        <v>0.3</v>
      </c>
      <c r="N481" s="9" t="s">
        <v>26</v>
      </c>
    </row>
    <row r="482" customFormat="false" ht="14.25" hidden="false" customHeight="true" outlineLevel="0" collapsed="false">
      <c r="B482" s="9" t="s">
        <v>16</v>
      </c>
      <c r="C482" s="9" t="n">
        <v>1185732</v>
      </c>
      <c r="D482" s="10" t="n">
        <v>44539</v>
      </c>
      <c r="E482" s="9" t="s">
        <v>17</v>
      </c>
      <c r="F482" s="9" t="s">
        <v>42</v>
      </c>
      <c r="G482" s="9" t="s">
        <v>43</v>
      </c>
      <c r="H482" s="11" t="s">
        <v>19</v>
      </c>
      <c r="I482" s="12" t="n">
        <v>65</v>
      </c>
      <c r="J482" s="13" t="n">
        <v>475</v>
      </c>
      <c r="K482" s="14" t="n">
        <f aca="false">I482*J482</f>
        <v>30875</v>
      </c>
      <c r="L482" s="14" t="n">
        <f aca="false">($L$2*M482)/100</f>
        <v>600833.25</v>
      </c>
      <c r="M482" s="15" t="n">
        <v>0.5</v>
      </c>
      <c r="N482" s="9" t="s">
        <v>26</v>
      </c>
    </row>
    <row r="483" customFormat="false" ht="14.25" hidden="false" customHeight="true" outlineLevel="0" collapsed="false">
      <c r="B483" s="9" t="s">
        <v>16</v>
      </c>
      <c r="C483" s="9" t="n">
        <v>1185732</v>
      </c>
      <c r="D483" s="10" t="n">
        <v>44540</v>
      </c>
      <c r="E483" s="9" t="s">
        <v>17</v>
      </c>
      <c r="F483" s="9" t="s">
        <v>42</v>
      </c>
      <c r="G483" s="9" t="s">
        <v>43</v>
      </c>
      <c r="H483" s="11" t="s">
        <v>21</v>
      </c>
      <c r="I483" s="12" t="n">
        <v>50</v>
      </c>
      <c r="J483" s="13" t="n">
        <v>275</v>
      </c>
      <c r="K483" s="14" t="n">
        <f aca="false">I483*J483</f>
        <v>13750</v>
      </c>
      <c r="L483" s="14" t="n">
        <f aca="false">($L$2*M483)/100</f>
        <v>360499.95</v>
      </c>
      <c r="M483" s="15" t="n">
        <v>0.3</v>
      </c>
      <c r="N483" s="9" t="s">
        <v>26</v>
      </c>
    </row>
    <row r="484" customFormat="false" ht="14.25" hidden="false" customHeight="true" outlineLevel="0" collapsed="false">
      <c r="B484" s="9" t="s">
        <v>16</v>
      </c>
      <c r="C484" s="9" t="n">
        <v>1185732</v>
      </c>
      <c r="D484" s="10" t="n">
        <v>44541</v>
      </c>
      <c r="E484" s="9" t="s">
        <v>17</v>
      </c>
      <c r="F484" s="9" t="s">
        <v>42</v>
      </c>
      <c r="G484" s="9" t="s">
        <v>43</v>
      </c>
      <c r="H484" s="11" t="s">
        <v>22</v>
      </c>
      <c r="I484" s="12" t="n">
        <v>45</v>
      </c>
      <c r="J484" s="13" t="n">
        <v>200</v>
      </c>
      <c r="K484" s="14" t="n">
        <f aca="false">I484*J484</f>
        <v>9000</v>
      </c>
      <c r="L484" s="14" t="n">
        <f aca="false">($L$2*M484)/100</f>
        <v>420583.275</v>
      </c>
      <c r="M484" s="15" t="n">
        <v>0.35</v>
      </c>
      <c r="N484" s="9" t="s">
        <v>26</v>
      </c>
    </row>
    <row r="485" customFormat="false" ht="14.25" hidden="false" customHeight="true" outlineLevel="0" collapsed="false">
      <c r="B485" s="9" t="s">
        <v>16</v>
      </c>
      <c r="C485" s="9" t="n">
        <v>1185732</v>
      </c>
      <c r="D485" s="10" t="n">
        <v>44542</v>
      </c>
      <c r="E485" s="9" t="s">
        <v>17</v>
      </c>
      <c r="F485" s="9" t="s">
        <v>42</v>
      </c>
      <c r="G485" s="9" t="s">
        <v>43</v>
      </c>
      <c r="H485" s="11" t="s">
        <v>23</v>
      </c>
      <c r="I485" s="12" t="n">
        <v>45</v>
      </c>
      <c r="J485" s="13" t="n">
        <v>175</v>
      </c>
      <c r="K485" s="14" t="n">
        <f aca="false">I485*J485</f>
        <v>7875</v>
      </c>
      <c r="L485" s="14" t="n">
        <f aca="false">($L$2*M485)/100</f>
        <v>420583.275</v>
      </c>
      <c r="M485" s="15" t="n">
        <v>0.35</v>
      </c>
      <c r="N485" s="9" t="s">
        <v>26</v>
      </c>
    </row>
    <row r="486" customFormat="false" ht="14.25" hidden="false" customHeight="true" outlineLevel="0" collapsed="false">
      <c r="B486" s="9" t="s">
        <v>16</v>
      </c>
      <c r="C486" s="9" t="n">
        <v>1185732</v>
      </c>
      <c r="D486" s="10" t="n">
        <v>44543</v>
      </c>
      <c r="E486" s="9" t="s">
        <v>17</v>
      </c>
      <c r="F486" s="9" t="s">
        <v>42</v>
      </c>
      <c r="G486" s="9" t="s">
        <v>43</v>
      </c>
      <c r="H486" s="11" t="s">
        <v>24</v>
      </c>
      <c r="I486" s="12" t="n">
        <v>55</v>
      </c>
      <c r="J486" s="13" t="n">
        <v>125</v>
      </c>
      <c r="K486" s="14" t="n">
        <f aca="false">I486*J486</f>
        <v>6875</v>
      </c>
      <c r="L486" s="14" t="n">
        <f aca="false">($L$2*M486)/100</f>
        <v>360499.95</v>
      </c>
      <c r="M486" s="15" t="n">
        <v>0.3</v>
      </c>
      <c r="N486" s="9" t="s">
        <v>26</v>
      </c>
    </row>
    <row r="487" customFormat="false" ht="14.25" hidden="false" customHeight="true" outlineLevel="0" collapsed="false">
      <c r="B487" s="9" t="s">
        <v>16</v>
      </c>
      <c r="C487" s="9" t="n">
        <v>1185732</v>
      </c>
      <c r="D487" s="10" t="n">
        <v>44544</v>
      </c>
      <c r="E487" s="9" t="s">
        <v>17</v>
      </c>
      <c r="F487" s="9" t="s">
        <v>42</v>
      </c>
      <c r="G487" s="9" t="s">
        <v>43</v>
      </c>
      <c r="H487" s="11" t="s">
        <v>25</v>
      </c>
      <c r="I487" s="12" t="n">
        <v>60</v>
      </c>
      <c r="J487" s="13" t="n">
        <v>225</v>
      </c>
      <c r="K487" s="14" t="n">
        <f aca="false">I487*J487</f>
        <v>13500</v>
      </c>
      <c r="L487" s="14" t="n">
        <f aca="false">($L$2*M487)/100</f>
        <v>300416.625</v>
      </c>
      <c r="M487" s="15" t="n">
        <v>0.25</v>
      </c>
      <c r="N487" s="9" t="s">
        <v>26</v>
      </c>
    </row>
    <row r="488" customFormat="false" ht="14.25" hidden="false" customHeight="true" outlineLevel="0" collapsed="false">
      <c r="B488" s="9" t="s">
        <v>16</v>
      </c>
      <c r="C488" s="9" t="n">
        <v>1185732</v>
      </c>
      <c r="D488" s="10" t="n">
        <v>44545</v>
      </c>
      <c r="E488" s="9" t="s">
        <v>17</v>
      </c>
      <c r="F488" s="9" t="s">
        <v>42</v>
      </c>
      <c r="G488" s="9" t="s">
        <v>43</v>
      </c>
      <c r="H488" s="11" t="s">
        <v>19</v>
      </c>
      <c r="I488" s="12" t="n">
        <v>60</v>
      </c>
      <c r="J488" s="13" t="n">
        <v>400</v>
      </c>
      <c r="K488" s="14" t="n">
        <f aca="false">I488*J488</f>
        <v>24000</v>
      </c>
      <c r="L488" s="14" t="n">
        <f aca="false">($L$2*M488)/100</f>
        <v>600833.25</v>
      </c>
      <c r="M488" s="15" t="n">
        <v>0.5</v>
      </c>
      <c r="N488" s="9" t="s">
        <v>26</v>
      </c>
    </row>
    <row r="489" customFormat="false" ht="14.25" hidden="false" customHeight="true" outlineLevel="0" collapsed="false">
      <c r="B489" s="9" t="s">
        <v>16</v>
      </c>
      <c r="C489" s="9" t="n">
        <v>1185732</v>
      </c>
      <c r="D489" s="10" t="n">
        <v>44546</v>
      </c>
      <c r="E489" s="9" t="s">
        <v>17</v>
      </c>
      <c r="F489" s="9" t="s">
        <v>42</v>
      </c>
      <c r="G489" s="9" t="s">
        <v>43</v>
      </c>
      <c r="H489" s="11" t="s">
        <v>21</v>
      </c>
      <c r="I489" s="12" t="n">
        <v>50</v>
      </c>
      <c r="J489" s="13" t="n">
        <v>225</v>
      </c>
      <c r="K489" s="14" t="n">
        <f aca="false">I489*J489</f>
        <v>11250</v>
      </c>
      <c r="L489" s="14" t="n">
        <f aca="false">($L$2*M489)/100</f>
        <v>360499.95</v>
      </c>
      <c r="M489" s="15" t="n">
        <v>0.3</v>
      </c>
      <c r="N489" s="9" t="s">
        <v>26</v>
      </c>
    </row>
    <row r="490" customFormat="false" ht="14.25" hidden="false" customHeight="true" outlineLevel="0" collapsed="false">
      <c r="B490" s="9" t="s">
        <v>16</v>
      </c>
      <c r="C490" s="9" t="n">
        <v>1185732</v>
      </c>
      <c r="D490" s="10" t="n">
        <v>44547</v>
      </c>
      <c r="E490" s="9" t="s">
        <v>17</v>
      </c>
      <c r="F490" s="9" t="s">
        <v>42</v>
      </c>
      <c r="G490" s="9" t="s">
        <v>43</v>
      </c>
      <c r="H490" s="11" t="s">
        <v>22</v>
      </c>
      <c r="I490" s="12" t="n">
        <v>50</v>
      </c>
      <c r="J490" s="13" t="n">
        <v>125</v>
      </c>
      <c r="K490" s="14" t="n">
        <f aca="false">I490*J490</f>
        <v>6250</v>
      </c>
      <c r="L490" s="14" t="n">
        <f aca="false">($L$2*M490)/100</f>
        <v>420583.275</v>
      </c>
      <c r="M490" s="15" t="n">
        <v>0.35</v>
      </c>
      <c r="N490" s="9" t="s">
        <v>26</v>
      </c>
    </row>
    <row r="491" customFormat="false" ht="14.25" hidden="false" customHeight="true" outlineLevel="0" collapsed="false">
      <c r="B491" s="9" t="s">
        <v>16</v>
      </c>
      <c r="C491" s="9" t="n">
        <v>1185732</v>
      </c>
      <c r="D491" s="10" t="n">
        <v>44548</v>
      </c>
      <c r="E491" s="9" t="s">
        <v>17</v>
      </c>
      <c r="F491" s="9" t="s">
        <v>42</v>
      </c>
      <c r="G491" s="9" t="s">
        <v>43</v>
      </c>
      <c r="H491" s="11" t="s">
        <v>23</v>
      </c>
      <c r="I491" s="12" t="n">
        <v>50</v>
      </c>
      <c r="J491" s="13" t="n">
        <v>100</v>
      </c>
      <c r="K491" s="14" t="n">
        <f aca="false">I491*J491</f>
        <v>5000</v>
      </c>
      <c r="L491" s="14" t="n">
        <f aca="false">($L$2*M491)/100</f>
        <v>420583.275</v>
      </c>
      <c r="M491" s="15" t="n">
        <v>0.35</v>
      </c>
      <c r="N491" s="9" t="s">
        <v>26</v>
      </c>
    </row>
    <row r="492" customFormat="false" ht="14.25" hidden="false" customHeight="true" outlineLevel="0" collapsed="false">
      <c r="B492" s="9" t="s">
        <v>16</v>
      </c>
      <c r="C492" s="9" t="n">
        <v>1185732</v>
      </c>
      <c r="D492" s="10" t="n">
        <v>44549</v>
      </c>
      <c r="E492" s="9" t="s">
        <v>17</v>
      </c>
      <c r="F492" s="9" t="s">
        <v>42</v>
      </c>
      <c r="G492" s="9" t="s">
        <v>43</v>
      </c>
      <c r="H492" s="11" t="s">
        <v>24</v>
      </c>
      <c r="I492" s="12" t="n">
        <v>60</v>
      </c>
      <c r="J492" s="13" t="n">
        <v>100</v>
      </c>
      <c r="K492" s="14" t="n">
        <f aca="false">I492*J492</f>
        <v>6000</v>
      </c>
      <c r="L492" s="14" t="n">
        <f aca="false">($L$2*M492)/100</f>
        <v>360499.95</v>
      </c>
      <c r="M492" s="15" t="n">
        <v>0.3</v>
      </c>
      <c r="N492" s="9" t="s">
        <v>26</v>
      </c>
    </row>
    <row r="493" customFormat="false" ht="14.25" hidden="false" customHeight="true" outlineLevel="0" collapsed="false">
      <c r="B493" s="9" t="s">
        <v>16</v>
      </c>
      <c r="C493" s="9" t="n">
        <v>1185732</v>
      </c>
      <c r="D493" s="10" t="n">
        <v>44550</v>
      </c>
      <c r="E493" s="9" t="s">
        <v>17</v>
      </c>
      <c r="F493" s="9" t="s">
        <v>42</v>
      </c>
      <c r="G493" s="9" t="s">
        <v>43</v>
      </c>
      <c r="H493" s="11" t="s">
        <v>25</v>
      </c>
      <c r="I493" s="12" t="n">
        <v>65</v>
      </c>
      <c r="J493" s="13" t="n">
        <v>225</v>
      </c>
      <c r="K493" s="14" t="n">
        <f aca="false">I493*J493</f>
        <v>14625</v>
      </c>
      <c r="L493" s="14" t="n">
        <f aca="false">($L$2*M493)/100</f>
        <v>300416.625</v>
      </c>
      <c r="M493" s="15" t="n">
        <v>0.25</v>
      </c>
      <c r="N493" s="9" t="s">
        <v>26</v>
      </c>
    </row>
    <row r="494" customFormat="false" ht="14.25" hidden="false" customHeight="true" outlineLevel="0" collapsed="false">
      <c r="B494" s="9" t="s">
        <v>16</v>
      </c>
      <c r="C494" s="9" t="n">
        <v>1185732</v>
      </c>
      <c r="D494" s="10" t="n">
        <v>44551</v>
      </c>
      <c r="E494" s="9" t="s">
        <v>17</v>
      </c>
      <c r="F494" s="9" t="s">
        <v>42</v>
      </c>
      <c r="G494" s="9" t="s">
        <v>43</v>
      </c>
      <c r="H494" s="11" t="s">
        <v>19</v>
      </c>
      <c r="I494" s="12" t="n">
        <v>70</v>
      </c>
      <c r="J494" s="13" t="n">
        <v>375</v>
      </c>
      <c r="K494" s="14" t="n">
        <f aca="false">I494*J494</f>
        <v>26250</v>
      </c>
      <c r="L494" s="14" t="n">
        <f aca="false">($L$2*M494)/100</f>
        <v>660916.575</v>
      </c>
      <c r="M494" s="15" t="n">
        <v>0.55</v>
      </c>
      <c r="N494" s="9" t="s">
        <v>26</v>
      </c>
    </row>
    <row r="495" customFormat="false" ht="14.25" hidden="false" customHeight="true" outlineLevel="0" collapsed="false">
      <c r="B495" s="9" t="s">
        <v>16</v>
      </c>
      <c r="C495" s="9" t="n">
        <v>1185732</v>
      </c>
      <c r="D495" s="10" t="n">
        <v>44552</v>
      </c>
      <c r="E495" s="9" t="s">
        <v>17</v>
      </c>
      <c r="F495" s="9" t="s">
        <v>42</v>
      </c>
      <c r="G495" s="9" t="s">
        <v>43</v>
      </c>
      <c r="H495" s="11" t="s">
        <v>21</v>
      </c>
      <c r="I495" s="12" t="n">
        <v>60</v>
      </c>
      <c r="J495" s="13" t="n">
        <v>200</v>
      </c>
      <c r="K495" s="14" t="n">
        <f aca="false">I495*J495</f>
        <v>12000</v>
      </c>
      <c r="L495" s="14" t="n">
        <f aca="false">($L$2*M495)/100</f>
        <v>420583.275</v>
      </c>
      <c r="M495" s="15" t="n">
        <v>0.35</v>
      </c>
      <c r="N495" s="9" t="s">
        <v>26</v>
      </c>
    </row>
    <row r="496" customFormat="false" ht="14.25" hidden="false" customHeight="true" outlineLevel="0" collapsed="false">
      <c r="B496" s="9" t="s">
        <v>16</v>
      </c>
      <c r="C496" s="9" t="n">
        <v>1185732</v>
      </c>
      <c r="D496" s="10" t="n">
        <v>44553</v>
      </c>
      <c r="E496" s="9" t="s">
        <v>17</v>
      </c>
      <c r="F496" s="9" t="s">
        <v>42</v>
      </c>
      <c r="G496" s="9" t="s">
        <v>43</v>
      </c>
      <c r="H496" s="11" t="s">
        <v>22</v>
      </c>
      <c r="I496" s="12" t="n">
        <v>60</v>
      </c>
      <c r="J496" s="13" t="n">
        <v>195</v>
      </c>
      <c r="K496" s="14" t="n">
        <f aca="false">I496*J496</f>
        <v>11700</v>
      </c>
      <c r="L496" s="14" t="n">
        <f aca="false">($L$2*M496)/100</f>
        <v>480666.6</v>
      </c>
      <c r="M496" s="15" t="n">
        <v>0.4</v>
      </c>
      <c r="N496" s="9" t="s">
        <v>26</v>
      </c>
    </row>
    <row r="497" customFormat="false" ht="14.25" hidden="false" customHeight="true" outlineLevel="0" collapsed="false">
      <c r="B497" s="9" t="s">
        <v>16</v>
      </c>
      <c r="C497" s="9" t="n">
        <v>1185732</v>
      </c>
      <c r="D497" s="10" t="n">
        <v>44554</v>
      </c>
      <c r="E497" s="9" t="s">
        <v>17</v>
      </c>
      <c r="F497" s="9" t="s">
        <v>42</v>
      </c>
      <c r="G497" s="9" t="s">
        <v>43</v>
      </c>
      <c r="H497" s="11" t="s">
        <v>23</v>
      </c>
      <c r="I497" s="12" t="n">
        <v>60</v>
      </c>
      <c r="J497" s="13" t="n">
        <v>175</v>
      </c>
      <c r="K497" s="14" t="n">
        <f aca="false">I497*J497</f>
        <v>10500</v>
      </c>
      <c r="L497" s="14" t="n">
        <f aca="false">($L$2*M497)/100</f>
        <v>480666.6</v>
      </c>
      <c r="M497" s="15" t="n">
        <v>0.4</v>
      </c>
      <c r="N497" s="9" t="s">
        <v>26</v>
      </c>
    </row>
    <row r="498" customFormat="false" ht="14.25" hidden="false" customHeight="true" outlineLevel="0" collapsed="false">
      <c r="B498" s="9" t="s">
        <v>16</v>
      </c>
      <c r="C498" s="9" t="n">
        <v>1185732</v>
      </c>
      <c r="D498" s="10" t="n">
        <v>44555</v>
      </c>
      <c r="E498" s="9" t="s">
        <v>17</v>
      </c>
      <c r="F498" s="9" t="s">
        <v>42</v>
      </c>
      <c r="G498" s="9" t="s">
        <v>43</v>
      </c>
      <c r="H498" s="11" t="s">
        <v>24</v>
      </c>
      <c r="I498" s="12" t="n">
        <v>70</v>
      </c>
      <c r="J498" s="13" t="n">
        <v>150</v>
      </c>
      <c r="K498" s="14" t="n">
        <f aca="false">I498*J498</f>
        <v>10500</v>
      </c>
      <c r="L498" s="14" t="n">
        <f aca="false">($L$2*M498)/100</f>
        <v>420583.275</v>
      </c>
      <c r="M498" s="15" t="n">
        <v>0.35</v>
      </c>
      <c r="N498" s="9" t="s">
        <v>26</v>
      </c>
    </row>
    <row r="499" customFormat="false" ht="14.25" hidden="false" customHeight="true" outlineLevel="0" collapsed="false">
      <c r="B499" s="9" t="s">
        <v>16</v>
      </c>
      <c r="C499" s="9" t="n">
        <v>1185732</v>
      </c>
      <c r="D499" s="10" t="n">
        <v>44556</v>
      </c>
      <c r="E499" s="9" t="s">
        <v>17</v>
      </c>
      <c r="F499" s="9" t="s">
        <v>42</v>
      </c>
      <c r="G499" s="9" t="s">
        <v>43</v>
      </c>
      <c r="H499" s="11" t="s">
        <v>25</v>
      </c>
      <c r="I499" s="12" t="n">
        <v>75</v>
      </c>
      <c r="J499" s="13" t="n">
        <v>250</v>
      </c>
      <c r="K499" s="14" t="n">
        <f aca="false">I499*J499</f>
        <v>18750</v>
      </c>
      <c r="L499" s="14" t="n">
        <f aca="false">($L$2*M499)/100</f>
        <v>360499.95</v>
      </c>
      <c r="M499" s="15" t="n">
        <v>0.3</v>
      </c>
      <c r="N499" s="9" t="s">
        <v>26</v>
      </c>
    </row>
    <row r="500" customFormat="false" ht="14.25" hidden="false" customHeight="true" outlineLevel="0" collapsed="false">
      <c r="B500" s="9" t="s">
        <v>16</v>
      </c>
      <c r="C500" s="9" t="n">
        <v>1185732</v>
      </c>
      <c r="D500" s="10" t="n">
        <v>44557</v>
      </c>
      <c r="E500" s="9" t="s">
        <v>17</v>
      </c>
      <c r="F500" s="9" t="s">
        <v>42</v>
      </c>
      <c r="G500" s="9" t="s">
        <v>43</v>
      </c>
      <c r="H500" s="11" t="s">
        <v>19</v>
      </c>
      <c r="I500" s="12" t="n">
        <v>70</v>
      </c>
      <c r="J500" s="13" t="n">
        <v>475</v>
      </c>
      <c r="K500" s="14" t="n">
        <f aca="false">I500*J500</f>
        <v>33250</v>
      </c>
      <c r="L500" s="14" t="n">
        <f aca="false">($L$2*M500)/100</f>
        <v>660916.575</v>
      </c>
      <c r="M500" s="15" t="n">
        <v>0.55</v>
      </c>
      <c r="N500" s="9" t="s">
        <v>26</v>
      </c>
    </row>
    <row r="501" customFormat="false" ht="14.25" hidden="false" customHeight="true" outlineLevel="0" collapsed="false">
      <c r="B501" s="9" t="s">
        <v>16</v>
      </c>
      <c r="C501" s="9" t="n">
        <v>1185732</v>
      </c>
      <c r="D501" s="10" t="n">
        <v>44558</v>
      </c>
      <c r="E501" s="9" t="s">
        <v>17</v>
      </c>
      <c r="F501" s="9" t="s">
        <v>42</v>
      </c>
      <c r="G501" s="9" t="s">
        <v>43</v>
      </c>
      <c r="H501" s="11" t="s">
        <v>21</v>
      </c>
      <c r="I501" s="12" t="n">
        <v>60</v>
      </c>
      <c r="J501" s="13" t="n">
        <v>275</v>
      </c>
      <c r="K501" s="14" t="n">
        <f aca="false">I501*J501</f>
        <v>16500</v>
      </c>
      <c r="L501" s="14" t="n">
        <f aca="false">($L$2*M501)/100</f>
        <v>420583.275</v>
      </c>
      <c r="M501" s="15" t="n">
        <v>0.35</v>
      </c>
      <c r="N501" s="9" t="s">
        <v>26</v>
      </c>
    </row>
    <row r="502" customFormat="false" ht="14.25" hidden="false" customHeight="true" outlineLevel="0" collapsed="false">
      <c r="B502" s="9" t="s">
        <v>16</v>
      </c>
      <c r="C502" s="9" t="n">
        <v>1185732</v>
      </c>
      <c r="D502" s="10" t="n">
        <v>44559</v>
      </c>
      <c r="E502" s="9" t="s">
        <v>17</v>
      </c>
      <c r="F502" s="9" t="s">
        <v>42</v>
      </c>
      <c r="G502" s="9" t="s">
        <v>43</v>
      </c>
      <c r="H502" s="11" t="s">
        <v>22</v>
      </c>
      <c r="I502" s="12" t="n">
        <v>60</v>
      </c>
      <c r="J502" s="13" t="n">
        <v>225</v>
      </c>
      <c r="K502" s="14" t="n">
        <f aca="false">I502*J502</f>
        <v>13500</v>
      </c>
      <c r="L502" s="14" t="n">
        <f aca="false">($L$2*M502)/100</f>
        <v>480666.6</v>
      </c>
      <c r="M502" s="15" t="n">
        <v>0.4</v>
      </c>
      <c r="N502" s="9" t="s">
        <v>26</v>
      </c>
    </row>
    <row r="503" customFormat="false" ht="14.25" hidden="false" customHeight="true" outlineLevel="0" collapsed="false">
      <c r="B503" s="9" t="s">
        <v>16</v>
      </c>
      <c r="C503" s="9" t="n">
        <v>1185732</v>
      </c>
      <c r="D503" s="10" t="n">
        <v>44560</v>
      </c>
      <c r="E503" s="9" t="s">
        <v>17</v>
      </c>
      <c r="F503" s="9" t="s">
        <v>42</v>
      </c>
      <c r="G503" s="9" t="s">
        <v>43</v>
      </c>
      <c r="H503" s="11" t="s">
        <v>23</v>
      </c>
      <c r="I503" s="12" t="n">
        <v>60</v>
      </c>
      <c r="J503" s="13" t="n">
        <v>175</v>
      </c>
      <c r="K503" s="14" t="n">
        <f aca="false">I503*J503</f>
        <v>10500</v>
      </c>
      <c r="L503" s="14" t="n">
        <f aca="false">($L$2*M503)/100</f>
        <v>480666.6</v>
      </c>
      <c r="M503" s="15" t="n">
        <v>0.4</v>
      </c>
      <c r="N503" s="9" t="s">
        <v>26</v>
      </c>
    </row>
    <row r="504" customFormat="false" ht="14.25" hidden="false" customHeight="true" outlineLevel="0" collapsed="false">
      <c r="B504" s="9" t="s">
        <v>16</v>
      </c>
      <c r="C504" s="9" t="n">
        <v>1185732</v>
      </c>
      <c r="D504" s="10" t="n">
        <v>44561</v>
      </c>
      <c r="E504" s="9" t="s">
        <v>17</v>
      </c>
      <c r="F504" s="9" t="s">
        <v>42</v>
      </c>
      <c r="G504" s="9" t="s">
        <v>43</v>
      </c>
      <c r="H504" s="11" t="s">
        <v>24</v>
      </c>
      <c r="I504" s="12" t="n">
        <v>70</v>
      </c>
      <c r="J504" s="13" t="n">
        <v>175</v>
      </c>
      <c r="K504" s="14" t="n">
        <f aca="false">I504*J504</f>
        <v>12250</v>
      </c>
      <c r="L504" s="14" t="n">
        <f aca="false">($L$2*M504)/100</f>
        <v>420583.275</v>
      </c>
      <c r="M504" s="15" t="n">
        <v>0.35</v>
      </c>
      <c r="N504" s="9" t="s">
        <v>26</v>
      </c>
    </row>
    <row r="505" customFormat="false" ht="14.25" hidden="false" customHeight="true" outlineLevel="0" collapsed="false">
      <c r="B505" s="9" t="s">
        <v>16</v>
      </c>
      <c r="C505" s="9" t="n">
        <v>1185732</v>
      </c>
      <c r="D505" s="10" t="n">
        <v>43831</v>
      </c>
      <c r="E505" s="9" t="s">
        <v>17</v>
      </c>
      <c r="F505" s="9" t="s">
        <v>42</v>
      </c>
      <c r="G505" s="9" t="s">
        <v>43</v>
      </c>
      <c r="H505" s="11" t="s">
        <v>25</v>
      </c>
      <c r="I505" s="12" t="n">
        <v>75</v>
      </c>
      <c r="J505" s="13" t="n">
        <v>275</v>
      </c>
      <c r="K505" s="14" t="n">
        <f aca="false">I505*J505</f>
        <v>20625</v>
      </c>
      <c r="L505" s="14" t="n">
        <f aca="false">($L$2*M505)/100</f>
        <v>360499.95</v>
      </c>
      <c r="M505" s="15" t="n">
        <v>0.3</v>
      </c>
      <c r="N505" s="9" t="s">
        <v>26</v>
      </c>
    </row>
    <row r="506" customFormat="false" ht="14.25" hidden="false" customHeight="true" outlineLevel="0" collapsed="false">
      <c r="B506" s="9" t="s">
        <v>32</v>
      </c>
      <c r="C506" s="9" t="n">
        <v>1128299</v>
      </c>
      <c r="D506" s="10" t="n">
        <v>43832</v>
      </c>
      <c r="E506" s="9" t="s">
        <v>17</v>
      </c>
      <c r="F506" s="9" t="s">
        <v>42</v>
      </c>
      <c r="G506" s="9" t="s">
        <v>43</v>
      </c>
      <c r="H506" s="11" t="s">
        <v>19</v>
      </c>
      <c r="I506" s="12" t="n">
        <v>35</v>
      </c>
      <c r="J506" s="13" t="n">
        <v>450</v>
      </c>
      <c r="K506" s="14" t="n">
        <f aca="false">I506*J506</f>
        <v>15750</v>
      </c>
      <c r="L506" s="14" t="n">
        <f aca="false">($L$2*M506)/100</f>
        <v>480666.6</v>
      </c>
      <c r="M506" s="15" t="n">
        <v>0.4</v>
      </c>
      <c r="N506" s="9" t="s">
        <v>26</v>
      </c>
    </row>
    <row r="507" customFormat="false" ht="14.25" hidden="false" customHeight="true" outlineLevel="0" collapsed="false">
      <c r="B507" s="9" t="s">
        <v>32</v>
      </c>
      <c r="C507" s="9" t="n">
        <v>1128299</v>
      </c>
      <c r="D507" s="10" t="n">
        <v>43833</v>
      </c>
      <c r="E507" s="9" t="s">
        <v>17</v>
      </c>
      <c r="F507" s="9" t="s">
        <v>42</v>
      </c>
      <c r="G507" s="9" t="s">
        <v>43</v>
      </c>
      <c r="H507" s="11" t="s">
        <v>21</v>
      </c>
      <c r="I507" s="12" t="n">
        <v>45</v>
      </c>
      <c r="J507" s="13" t="n">
        <v>450</v>
      </c>
      <c r="K507" s="14" t="n">
        <f aca="false">I507*J507</f>
        <v>20250</v>
      </c>
      <c r="L507" s="14" t="n">
        <f aca="false">($L$2*M507)/100</f>
        <v>300416.625</v>
      </c>
      <c r="M507" s="15" t="n">
        <v>0.25</v>
      </c>
      <c r="N507" s="9" t="s">
        <v>26</v>
      </c>
    </row>
    <row r="508" customFormat="false" ht="14.25" hidden="false" customHeight="true" outlineLevel="0" collapsed="false">
      <c r="B508" s="9" t="s">
        <v>32</v>
      </c>
      <c r="C508" s="9" t="n">
        <v>1128299</v>
      </c>
      <c r="D508" s="10" t="n">
        <v>43834</v>
      </c>
      <c r="E508" s="9" t="s">
        <v>17</v>
      </c>
      <c r="F508" s="9" t="s">
        <v>42</v>
      </c>
      <c r="G508" s="9" t="s">
        <v>43</v>
      </c>
      <c r="H508" s="11" t="s">
        <v>22</v>
      </c>
      <c r="I508" s="12" t="n">
        <v>45</v>
      </c>
      <c r="J508" s="13" t="n">
        <v>450</v>
      </c>
      <c r="K508" s="14" t="n">
        <f aca="false">I508*J508</f>
        <v>20250</v>
      </c>
      <c r="L508" s="14" t="n">
        <f aca="false">($L$2*M508)/100</f>
        <v>480666.6</v>
      </c>
      <c r="M508" s="15" t="n">
        <v>0.4</v>
      </c>
      <c r="N508" s="9" t="s">
        <v>26</v>
      </c>
    </row>
    <row r="509" customFormat="false" ht="14.25" hidden="false" customHeight="true" outlineLevel="0" collapsed="false">
      <c r="B509" s="9" t="s">
        <v>32</v>
      </c>
      <c r="C509" s="9" t="n">
        <v>1128299</v>
      </c>
      <c r="D509" s="10" t="n">
        <v>43835</v>
      </c>
      <c r="E509" s="9" t="s">
        <v>17</v>
      </c>
      <c r="F509" s="9" t="s">
        <v>42</v>
      </c>
      <c r="G509" s="9" t="s">
        <v>43</v>
      </c>
      <c r="H509" s="11" t="s">
        <v>23</v>
      </c>
      <c r="I509" s="12" t="n">
        <v>45</v>
      </c>
      <c r="J509" s="13" t="n">
        <v>300</v>
      </c>
      <c r="K509" s="14" t="n">
        <f aca="false">I509*J509</f>
        <v>13500</v>
      </c>
      <c r="L509" s="14" t="n">
        <f aca="false">($L$2*M509)/100</f>
        <v>420583.275</v>
      </c>
      <c r="M509" s="15" t="n">
        <v>0.35</v>
      </c>
      <c r="N509" s="9" t="s">
        <v>26</v>
      </c>
    </row>
    <row r="510" customFormat="false" ht="14.25" hidden="false" customHeight="true" outlineLevel="0" collapsed="false">
      <c r="B510" s="9" t="s">
        <v>32</v>
      </c>
      <c r="C510" s="9" t="n">
        <v>1128299</v>
      </c>
      <c r="D510" s="10" t="n">
        <v>43836</v>
      </c>
      <c r="E510" s="9" t="s">
        <v>33</v>
      </c>
      <c r="F510" s="9" t="s">
        <v>44</v>
      </c>
      <c r="G510" s="9" t="s">
        <v>45</v>
      </c>
      <c r="H510" s="11" t="s">
        <v>24</v>
      </c>
      <c r="I510" s="12" t="n">
        <v>50</v>
      </c>
      <c r="J510" s="13" t="n">
        <v>250</v>
      </c>
      <c r="K510" s="14" t="n">
        <f aca="false">I510*J510</f>
        <v>12500</v>
      </c>
      <c r="L510" s="14" t="n">
        <f aca="false">($L$2*M510)/100</f>
        <v>660916.575</v>
      </c>
      <c r="M510" s="15" t="n">
        <v>0.55</v>
      </c>
      <c r="N510" s="9" t="s">
        <v>26</v>
      </c>
    </row>
    <row r="511" customFormat="false" ht="14.25" hidden="false" customHeight="true" outlineLevel="0" collapsed="false">
      <c r="B511" s="9" t="s">
        <v>32</v>
      </c>
      <c r="C511" s="9" t="n">
        <v>1128299</v>
      </c>
      <c r="D511" s="10" t="n">
        <v>43837</v>
      </c>
      <c r="E511" s="9" t="s">
        <v>33</v>
      </c>
      <c r="F511" s="9" t="s">
        <v>44</v>
      </c>
      <c r="G511" s="9" t="s">
        <v>45</v>
      </c>
      <c r="H511" s="11" t="s">
        <v>25</v>
      </c>
      <c r="I511" s="12" t="n">
        <v>45</v>
      </c>
      <c r="J511" s="13" t="n">
        <v>475</v>
      </c>
      <c r="K511" s="14" t="n">
        <f aca="false">I511*J511</f>
        <v>21375</v>
      </c>
      <c r="L511" s="14" t="n">
        <f aca="false">($L$2*M511)/100</f>
        <v>240333.3</v>
      </c>
      <c r="M511" s="15" t="n">
        <v>0.2</v>
      </c>
      <c r="N511" s="9" t="s">
        <v>26</v>
      </c>
    </row>
    <row r="512" customFormat="false" ht="14.25" hidden="false" customHeight="true" outlineLevel="0" collapsed="false">
      <c r="B512" s="9" t="s">
        <v>32</v>
      </c>
      <c r="C512" s="9" t="n">
        <v>1128299</v>
      </c>
      <c r="D512" s="10" t="n">
        <v>43838</v>
      </c>
      <c r="E512" s="9" t="s">
        <v>33</v>
      </c>
      <c r="F512" s="9" t="s">
        <v>44</v>
      </c>
      <c r="G512" s="9" t="s">
        <v>45</v>
      </c>
      <c r="H512" s="11" t="s">
        <v>19</v>
      </c>
      <c r="I512" s="12" t="n">
        <v>35</v>
      </c>
      <c r="J512" s="13" t="n">
        <v>525</v>
      </c>
      <c r="K512" s="14" t="n">
        <f aca="false">I512*J512</f>
        <v>18375</v>
      </c>
      <c r="L512" s="14" t="n">
        <f aca="false">($L$2*M512)/100</f>
        <v>480666.6</v>
      </c>
      <c r="M512" s="15" t="n">
        <v>0.4</v>
      </c>
      <c r="N512" s="9" t="s">
        <v>26</v>
      </c>
    </row>
    <row r="513" customFormat="false" ht="14.25" hidden="false" customHeight="true" outlineLevel="0" collapsed="false">
      <c r="B513" s="9" t="s">
        <v>32</v>
      </c>
      <c r="C513" s="9" t="n">
        <v>1128299</v>
      </c>
      <c r="D513" s="10" t="n">
        <v>43839</v>
      </c>
      <c r="E513" s="9" t="s">
        <v>33</v>
      </c>
      <c r="F513" s="9" t="s">
        <v>44</v>
      </c>
      <c r="G513" s="9" t="s">
        <v>45</v>
      </c>
      <c r="H513" s="11" t="s">
        <v>21</v>
      </c>
      <c r="I513" s="12" t="n">
        <v>45</v>
      </c>
      <c r="J513" s="13" t="n">
        <v>425</v>
      </c>
      <c r="K513" s="14" t="n">
        <f aca="false">I513*J513</f>
        <v>19125</v>
      </c>
      <c r="L513" s="14" t="n">
        <f aca="false">($L$2*M513)/100</f>
        <v>300416.625</v>
      </c>
      <c r="M513" s="15" t="n">
        <v>0.25</v>
      </c>
      <c r="N513" s="9" t="s">
        <v>26</v>
      </c>
    </row>
    <row r="514" customFormat="false" ht="14.25" hidden="false" customHeight="true" outlineLevel="0" collapsed="false">
      <c r="B514" s="9" t="s">
        <v>32</v>
      </c>
      <c r="C514" s="9" t="n">
        <v>1128299</v>
      </c>
      <c r="D514" s="10" t="n">
        <v>43840</v>
      </c>
      <c r="E514" s="9" t="s">
        <v>33</v>
      </c>
      <c r="F514" s="9" t="s">
        <v>44</v>
      </c>
      <c r="G514" s="9" t="s">
        <v>45</v>
      </c>
      <c r="H514" s="11" t="s">
        <v>22</v>
      </c>
      <c r="I514" s="12" t="n">
        <v>45</v>
      </c>
      <c r="J514" s="13" t="n">
        <v>425</v>
      </c>
      <c r="K514" s="14" t="n">
        <f aca="false">I514*J514</f>
        <v>19125</v>
      </c>
      <c r="L514" s="14" t="n">
        <f aca="false">($L$2*M514)/100</f>
        <v>480666.6</v>
      </c>
      <c r="M514" s="15" t="n">
        <v>0.4</v>
      </c>
      <c r="N514" s="9" t="s">
        <v>26</v>
      </c>
    </row>
    <row r="515" customFormat="false" ht="14.25" hidden="false" customHeight="true" outlineLevel="0" collapsed="false">
      <c r="B515" s="9" t="s">
        <v>32</v>
      </c>
      <c r="C515" s="9" t="n">
        <v>1128299</v>
      </c>
      <c r="D515" s="10" t="n">
        <v>43841</v>
      </c>
      <c r="E515" s="9" t="s">
        <v>33</v>
      </c>
      <c r="F515" s="9" t="s">
        <v>44</v>
      </c>
      <c r="G515" s="9" t="s">
        <v>45</v>
      </c>
      <c r="H515" s="11" t="s">
        <v>23</v>
      </c>
      <c r="I515" s="12" t="n">
        <v>45</v>
      </c>
      <c r="J515" s="13" t="n">
        <v>275</v>
      </c>
      <c r="K515" s="14" t="n">
        <f aca="false">I515*J515</f>
        <v>12375</v>
      </c>
      <c r="L515" s="14" t="n">
        <f aca="false">($L$2*M515)/100</f>
        <v>420583.275</v>
      </c>
      <c r="M515" s="15" t="n">
        <v>0.35</v>
      </c>
      <c r="N515" s="9" t="s">
        <v>26</v>
      </c>
    </row>
    <row r="516" customFormat="false" ht="14.25" hidden="false" customHeight="true" outlineLevel="0" collapsed="false">
      <c r="B516" s="9" t="s">
        <v>32</v>
      </c>
      <c r="C516" s="9" t="n">
        <v>1128299</v>
      </c>
      <c r="D516" s="10" t="n">
        <v>43842</v>
      </c>
      <c r="E516" s="9" t="s">
        <v>33</v>
      </c>
      <c r="F516" s="9" t="s">
        <v>44</v>
      </c>
      <c r="G516" s="9" t="s">
        <v>45</v>
      </c>
      <c r="H516" s="11" t="s">
        <v>24</v>
      </c>
      <c r="I516" s="12" t="n">
        <v>50</v>
      </c>
      <c r="J516" s="13" t="n">
        <v>200</v>
      </c>
      <c r="K516" s="14" t="n">
        <f aca="false">I516*J516</f>
        <v>10000</v>
      </c>
      <c r="L516" s="14" t="n">
        <f aca="false">($L$2*M516)/100</f>
        <v>660916.575</v>
      </c>
      <c r="M516" s="15" t="n">
        <v>0.55</v>
      </c>
      <c r="N516" s="9" t="s">
        <v>26</v>
      </c>
    </row>
    <row r="517" customFormat="false" ht="14.25" hidden="false" customHeight="true" outlineLevel="0" collapsed="false">
      <c r="B517" s="9" t="s">
        <v>32</v>
      </c>
      <c r="C517" s="9" t="n">
        <v>1128299</v>
      </c>
      <c r="D517" s="10" t="n">
        <v>43843</v>
      </c>
      <c r="E517" s="9" t="s">
        <v>33</v>
      </c>
      <c r="F517" s="9" t="s">
        <v>44</v>
      </c>
      <c r="G517" s="9" t="s">
        <v>45</v>
      </c>
      <c r="H517" s="11" t="s">
        <v>25</v>
      </c>
      <c r="I517" s="12" t="n">
        <v>45</v>
      </c>
      <c r="J517" s="13" t="n">
        <v>400</v>
      </c>
      <c r="K517" s="14" t="n">
        <f aca="false">I517*J517</f>
        <v>18000</v>
      </c>
      <c r="L517" s="14" t="n">
        <f aca="false">($L$2*M517)/100</f>
        <v>240333.3</v>
      </c>
      <c r="M517" s="15" t="n">
        <v>0.2</v>
      </c>
      <c r="N517" s="9" t="s">
        <v>26</v>
      </c>
    </row>
    <row r="518" customFormat="false" ht="14.25" hidden="false" customHeight="true" outlineLevel="0" collapsed="false">
      <c r="B518" s="9" t="s">
        <v>32</v>
      </c>
      <c r="C518" s="9" t="n">
        <v>1128299</v>
      </c>
      <c r="D518" s="10" t="n">
        <v>43844</v>
      </c>
      <c r="E518" s="9" t="s">
        <v>33</v>
      </c>
      <c r="F518" s="9" t="s">
        <v>44</v>
      </c>
      <c r="G518" s="9" t="s">
        <v>45</v>
      </c>
      <c r="H518" s="11" t="s">
        <v>19</v>
      </c>
      <c r="I518" s="12" t="n">
        <v>45</v>
      </c>
      <c r="J518" s="13" t="n">
        <v>550</v>
      </c>
      <c r="K518" s="14" t="n">
        <f aca="false">I518*J518</f>
        <v>24750</v>
      </c>
      <c r="L518" s="14" t="n">
        <f aca="false">($L$2*M518)/100</f>
        <v>480666.6</v>
      </c>
      <c r="M518" s="15" t="n">
        <v>0.4</v>
      </c>
      <c r="N518" s="9" t="s">
        <v>26</v>
      </c>
    </row>
    <row r="519" customFormat="false" ht="14.25" hidden="false" customHeight="true" outlineLevel="0" collapsed="false">
      <c r="B519" s="9" t="s">
        <v>32</v>
      </c>
      <c r="C519" s="9" t="n">
        <v>1128299</v>
      </c>
      <c r="D519" s="10" t="n">
        <v>43845</v>
      </c>
      <c r="E519" s="9" t="s">
        <v>33</v>
      </c>
      <c r="F519" s="9" t="s">
        <v>44</v>
      </c>
      <c r="G519" s="9" t="s">
        <v>45</v>
      </c>
      <c r="H519" s="11" t="s">
        <v>21</v>
      </c>
      <c r="I519" s="12" t="n">
        <v>55</v>
      </c>
      <c r="J519" s="13" t="n">
        <v>400</v>
      </c>
      <c r="K519" s="14" t="n">
        <f aca="false">I519*J519</f>
        <v>22000</v>
      </c>
      <c r="L519" s="14" t="n">
        <f aca="false">($L$2*M519)/100</f>
        <v>300416.625</v>
      </c>
      <c r="M519" s="15" t="n">
        <v>0.25</v>
      </c>
      <c r="N519" s="9" t="s">
        <v>26</v>
      </c>
    </row>
    <row r="520" customFormat="false" ht="14.25" hidden="false" customHeight="true" outlineLevel="0" collapsed="false">
      <c r="B520" s="9" t="s">
        <v>32</v>
      </c>
      <c r="C520" s="9" t="n">
        <v>1128299</v>
      </c>
      <c r="D520" s="10" t="n">
        <v>43846</v>
      </c>
      <c r="E520" s="9" t="s">
        <v>33</v>
      </c>
      <c r="F520" s="9" t="s">
        <v>44</v>
      </c>
      <c r="G520" s="9" t="s">
        <v>45</v>
      </c>
      <c r="H520" s="11" t="s">
        <v>22</v>
      </c>
      <c r="I520" s="12" t="n">
        <v>55</v>
      </c>
      <c r="J520" s="13" t="n">
        <v>400</v>
      </c>
      <c r="K520" s="14" t="n">
        <f aca="false">I520*J520</f>
        <v>22000</v>
      </c>
      <c r="L520" s="14" t="n">
        <f aca="false">($L$2*M520)/100</f>
        <v>480666.6</v>
      </c>
      <c r="M520" s="15" t="n">
        <v>0.4</v>
      </c>
      <c r="N520" s="9" t="s">
        <v>26</v>
      </c>
    </row>
    <row r="521" customFormat="false" ht="14.25" hidden="false" customHeight="true" outlineLevel="0" collapsed="false">
      <c r="B521" s="9" t="s">
        <v>32</v>
      </c>
      <c r="C521" s="9" t="n">
        <v>1128299</v>
      </c>
      <c r="D521" s="10" t="n">
        <v>43847</v>
      </c>
      <c r="E521" s="9" t="s">
        <v>33</v>
      </c>
      <c r="F521" s="9" t="s">
        <v>44</v>
      </c>
      <c r="G521" s="9" t="s">
        <v>45</v>
      </c>
      <c r="H521" s="11" t="s">
        <v>23</v>
      </c>
      <c r="I521" s="12" t="n">
        <v>55</v>
      </c>
      <c r="J521" s="13" t="n">
        <v>300</v>
      </c>
      <c r="K521" s="14" t="n">
        <f aca="false">I521*J521</f>
        <v>16500</v>
      </c>
      <c r="L521" s="14" t="n">
        <f aca="false">($L$2*M521)/100</f>
        <v>420583.275</v>
      </c>
      <c r="M521" s="15" t="n">
        <v>0.35</v>
      </c>
      <c r="N521" s="9" t="s">
        <v>26</v>
      </c>
    </row>
    <row r="522" customFormat="false" ht="14.25" hidden="false" customHeight="true" outlineLevel="0" collapsed="false">
      <c r="B522" s="9" t="s">
        <v>32</v>
      </c>
      <c r="C522" s="9" t="n">
        <v>1128299</v>
      </c>
      <c r="D522" s="10" t="n">
        <v>43848</v>
      </c>
      <c r="E522" s="9" t="s">
        <v>33</v>
      </c>
      <c r="F522" s="9" t="s">
        <v>44</v>
      </c>
      <c r="G522" s="9" t="s">
        <v>45</v>
      </c>
      <c r="H522" s="11" t="s">
        <v>24</v>
      </c>
      <c r="I522" s="12" t="n">
        <v>60</v>
      </c>
      <c r="J522" s="13" t="n">
        <v>175</v>
      </c>
      <c r="K522" s="14" t="n">
        <f aca="false">I522*J522</f>
        <v>10500</v>
      </c>
      <c r="L522" s="14" t="n">
        <f aca="false">($L$2*M522)/100</f>
        <v>660916.575</v>
      </c>
      <c r="M522" s="15" t="n">
        <v>0.55</v>
      </c>
      <c r="N522" s="9" t="s">
        <v>26</v>
      </c>
    </row>
    <row r="523" customFormat="false" ht="14.25" hidden="false" customHeight="true" outlineLevel="0" collapsed="false">
      <c r="B523" s="9" t="s">
        <v>32</v>
      </c>
      <c r="C523" s="9" t="n">
        <v>1128299</v>
      </c>
      <c r="D523" s="10" t="n">
        <v>43849</v>
      </c>
      <c r="E523" s="9" t="s">
        <v>33</v>
      </c>
      <c r="F523" s="9" t="s">
        <v>44</v>
      </c>
      <c r="G523" s="9" t="s">
        <v>45</v>
      </c>
      <c r="H523" s="11" t="s">
        <v>25</v>
      </c>
      <c r="I523" s="12" t="n">
        <v>55</v>
      </c>
      <c r="J523" s="13" t="n">
        <v>375</v>
      </c>
      <c r="K523" s="14" t="n">
        <f aca="false">I523*J523</f>
        <v>20625</v>
      </c>
      <c r="L523" s="14" t="n">
        <f aca="false">($L$2*M523)/100</f>
        <v>240333.3</v>
      </c>
      <c r="M523" s="15" t="n">
        <v>0.2</v>
      </c>
      <c r="N523" s="9" t="s">
        <v>26</v>
      </c>
    </row>
    <row r="524" customFormat="false" ht="14.25" hidden="false" customHeight="true" outlineLevel="0" collapsed="false">
      <c r="B524" s="9" t="s">
        <v>32</v>
      </c>
      <c r="C524" s="9" t="n">
        <v>1128299</v>
      </c>
      <c r="D524" s="10" t="n">
        <v>43850</v>
      </c>
      <c r="E524" s="9" t="s">
        <v>33</v>
      </c>
      <c r="F524" s="9" t="s">
        <v>44</v>
      </c>
      <c r="G524" s="9" t="s">
        <v>45</v>
      </c>
      <c r="H524" s="11" t="s">
        <v>19</v>
      </c>
      <c r="I524" s="12" t="n">
        <v>60</v>
      </c>
      <c r="J524" s="13" t="n">
        <v>550</v>
      </c>
      <c r="K524" s="14" t="n">
        <f aca="false">I524*J524</f>
        <v>33000</v>
      </c>
      <c r="L524" s="14" t="n">
        <f aca="false">($L$2*M524)/100</f>
        <v>480666.6</v>
      </c>
      <c r="M524" s="15" t="n">
        <v>0.4</v>
      </c>
      <c r="N524" s="9" t="s">
        <v>26</v>
      </c>
    </row>
    <row r="525" customFormat="false" ht="14.25" hidden="false" customHeight="true" outlineLevel="0" collapsed="false">
      <c r="B525" s="9" t="s">
        <v>32</v>
      </c>
      <c r="C525" s="9" t="n">
        <v>1128299</v>
      </c>
      <c r="D525" s="10" t="n">
        <v>43851</v>
      </c>
      <c r="E525" s="9" t="s">
        <v>33</v>
      </c>
      <c r="F525" s="9" t="s">
        <v>44</v>
      </c>
      <c r="G525" s="9" t="s">
        <v>45</v>
      </c>
      <c r="H525" s="11" t="s">
        <v>21</v>
      </c>
      <c r="I525" s="12" t="n">
        <v>65</v>
      </c>
      <c r="J525" s="13" t="n">
        <v>350</v>
      </c>
      <c r="K525" s="14" t="n">
        <f aca="false">I525*J525</f>
        <v>22750</v>
      </c>
      <c r="L525" s="14" t="n">
        <f aca="false">($L$2*M525)/100</f>
        <v>300416.625</v>
      </c>
      <c r="M525" s="15" t="n">
        <v>0.25</v>
      </c>
      <c r="N525" s="9" t="s">
        <v>26</v>
      </c>
    </row>
    <row r="526" customFormat="false" ht="14.25" hidden="false" customHeight="true" outlineLevel="0" collapsed="false">
      <c r="B526" s="9" t="s">
        <v>32</v>
      </c>
      <c r="C526" s="9" t="n">
        <v>1128299</v>
      </c>
      <c r="D526" s="10" t="n">
        <v>43852</v>
      </c>
      <c r="E526" s="9" t="s">
        <v>33</v>
      </c>
      <c r="F526" s="9" t="s">
        <v>44</v>
      </c>
      <c r="G526" s="9" t="s">
        <v>45</v>
      </c>
      <c r="H526" s="11" t="s">
        <v>22</v>
      </c>
      <c r="I526" s="12" t="n">
        <v>65</v>
      </c>
      <c r="J526" s="13" t="n">
        <v>400</v>
      </c>
      <c r="K526" s="14" t="n">
        <f aca="false">I526*J526</f>
        <v>26000</v>
      </c>
      <c r="L526" s="14" t="n">
        <f aca="false">($L$2*M526)/100</f>
        <v>480666.6</v>
      </c>
      <c r="M526" s="15" t="n">
        <v>0.4</v>
      </c>
      <c r="N526" s="9" t="s">
        <v>26</v>
      </c>
    </row>
    <row r="527" customFormat="false" ht="14.25" hidden="false" customHeight="true" outlineLevel="0" collapsed="false">
      <c r="B527" s="9" t="s">
        <v>32</v>
      </c>
      <c r="C527" s="9" t="n">
        <v>1128299</v>
      </c>
      <c r="D527" s="10" t="n">
        <v>43853</v>
      </c>
      <c r="E527" s="9" t="s">
        <v>33</v>
      </c>
      <c r="F527" s="9" t="s">
        <v>44</v>
      </c>
      <c r="G527" s="9" t="s">
        <v>45</v>
      </c>
      <c r="H527" s="11" t="s">
        <v>23</v>
      </c>
      <c r="I527" s="12" t="n">
        <v>60</v>
      </c>
      <c r="J527" s="13" t="n">
        <v>300</v>
      </c>
      <c r="K527" s="14" t="n">
        <f aca="false">I527*J527</f>
        <v>18000</v>
      </c>
      <c r="L527" s="14" t="n">
        <f aca="false">($L$2*M527)/100</f>
        <v>420583.275</v>
      </c>
      <c r="M527" s="15" t="n">
        <v>0.35</v>
      </c>
      <c r="N527" s="9" t="s">
        <v>26</v>
      </c>
    </row>
    <row r="528" customFormat="false" ht="14.25" hidden="false" customHeight="true" outlineLevel="0" collapsed="false">
      <c r="B528" s="9" t="s">
        <v>32</v>
      </c>
      <c r="C528" s="9" t="n">
        <v>1128299</v>
      </c>
      <c r="D528" s="10" t="n">
        <v>43854</v>
      </c>
      <c r="E528" s="9" t="s">
        <v>33</v>
      </c>
      <c r="F528" s="9" t="s">
        <v>44</v>
      </c>
      <c r="G528" s="9" t="s">
        <v>45</v>
      </c>
      <c r="H528" s="11" t="s">
        <v>24</v>
      </c>
      <c r="I528" s="12" t="n">
        <v>65</v>
      </c>
      <c r="J528" s="13" t="n">
        <v>200</v>
      </c>
      <c r="K528" s="14" t="n">
        <f aca="false">I528*J528</f>
        <v>13000</v>
      </c>
      <c r="L528" s="14" t="n">
        <f aca="false">($L$2*M528)/100</f>
        <v>660916.575</v>
      </c>
      <c r="M528" s="15" t="n">
        <v>0.55</v>
      </c>
      <c r="N528" s="9" t="s">
        <v>26</v>
      </c>
    </row>
    <row r="529" customFormat="false" ht="14.25" hidden="false" customHeight="true" outlineLevel="0" collapsed="false">
      <c r="B529" s="9" t="s">
        <v>32</v>
      </c>
      <c r="C529" s="9" t="n">
        <v>1128299</v>
      </c>
      <c r="D529" s="10" t="n">
        <v>43855</v>
      </c>
      <c r="E529" s="9" t="s">
        <v>33</v>
      </c>
      <c r="F529" s="9" t="s">
        <v>44</v>
      </c>
      <c r="G529" s="9" t="s">
        <v>45</v>
      </c>
      <c r="H529" s="11" t="s">
        <v>25</v>
      </c>
      <c r="I529" s="12" t="n">
        <v>80</v>
      </c>
      <c r="J529" s="13" t="n">
        <v>350</v>
      </c>
      <c r="K529" s="14" t="n">
        <f aca="false">I529*J529</f>
        <v>28000</v>
      </c>
      <c r="L529" s="14" t="n">
        <f aca="false">($L$2*M529)/100</f>
        <v>240333.3</v>
      </c>
      <c r="M529" s="15" t="n">
        <v>0.2</v>
      </c>
      <c r="N529" s="9" t="s">
        <v>26</v>
      </c>
    </row>
    <row r="530" customFormat="false" ht="14.25" hidden="false" customHeight="true" outlineLevel="0" collapsed="false">
      <c r="B530" s="9" t="s">
        <v>32</v>
      </c>
      <c r="C530" s="9" t="n">
        <v>1128299</v>
      </c>
      <c r="D530" s="10" t="n">
        <v>43856</v>
      </c>
      <c r="E530" s="9" t="s">
        <v>33</v>
      </c>
      <c r="F530" s="9" t="s">
        <v>44</v>
      </c>
      <c r="G530" s="9" t="s">
        <v>45</v>
      </c>
      <c r="H530" s="11" t="s">
        <v>19</v>
      </c>
      <c r="I530" s="12" t="n">
        <v>60</v>
      </c>
      <c r="J530" s="13" t="n">
        <v>550</v>
      </c>
      <c r="K530" s="14" t="n">
        <f aca="false">I530*J530</f>
        <v>33000</v>
      </c>
      <c r="L530" s="14" t="n">
        <f aca="false">($L$2*M530)/100</f>
        <v>540749.925</v>
      </c>
      <c r="M530" s="15" t="n">
        <v>0.45</v>
      </c>
      <c r="N530" s="9" t="s">
        <v>26</v>
      </c>
    </row>
    <row r="531" customFormat="false" ht="14.25" hidden="false" customHeight="true" outlineLevel="0" collapsed="false">
      <c r="B531" s="9" t="s">
        <v>32</v>
      </c>
      <c r="C531" s="9" t="n">
        <v>1128299</v>
      </c>
      <c r="D531" s="10" t="n">
        <v>43857</v>
      </c>
      <c r="E531" s="9" t="s">
        <v>33</v>
      </c>
      <c r="F531" s="9" t="s">
        <v>44</v>
      </c>
      <c r="G531" s="9" t="s">
        <v>45</v>
      </c>
      <c r="H531" s="11" t="s">
        <v>21</v>
      </c>
      <c r="I531" s="12" t="n">
        <v>65</v>
      </c>
      <c r="J531" s="13" t="n">
        <v>400</v>
      </c>
      <c r="K531" s="14" t="n">
        <f aca="false">I531*J531</f>
        <v>26000</v>
      </c>
      <c r="L531" s="14" t="n">
        <f aca="false">($L$2*M531)/100</f>
        <v>360499.95</v>
      </c>
      <c r="M531" s="15" t="n">
        <v>0.3</v>
      </c>
      <c r="N531" s="9" t="s">
        <v>26</v>
      </c>
    </row>
    <row r="532" customFormat="false" ht="14.25" hidden="false" customHeight="true" outlineLevel="0" collapsed="false">
      <c r="B532" s="9" t="s">
        <v>32</v>
      </c>
      <c r="C532" s="9" t="n">
        <v>1128299</v>
      </c>
      <c r="D532" s="10" t="n">
        <v>43858</v>
      </c>
      <c r="E532" s="9" t="s">
        <v>33</v>
      </c>
      <c r="F532" s="9" t="s">
        <v>44</v>
      </c>
      <c r="G532" s="9" t="s">
        <v>45</v>
      </c>
      <c r="H532" s="11" t="s">
        <v>22</v>
      </c>
      <c r="I532" s="12" t="n">
        <v>65</v>
      </c>
      <c r="J532" s="13" t="n">
        <v>400</v>
      </c>
      <c r="K532" s="14" t="n">
        <f aca="false">I532*J532</f>
        <v>26000</v>
      </c>
      <c r="L532" s="14" t="n">
        <f aca="false">($L$2*M532)/100</f>
        <v>540749.925</v>
      </c>
      <c r="M532" s="15" t="n">
        <v>0.45</v>
      </c>
      <c r="N532" s="9" t="s">
        <v>26</v>
      </c>
    </row>
    <row r="533" customFormat="false" ht="14.25" hidden="false" customHeight="true" outlineLevel="0" collapsed="false">
      <c r="B533" s="9" t="s">
        <v>32</v>
      </c>
      <c r="C533" s="9" t="n">
        <v>1128299</v>
      </c>
      <c r="D533" s="10" t="n">
        <v>43859</v>
      </c>
      <c r="E533" s="9" t="s">
        <v>33</v>
      </c>
      <c r="F533" s="9" t="s">
        <v>44</v>
      </c>
      <c r="G533" s="9" t="s">
        <v>45</v>
      </c>
      <c r="H533" s="11" t="s">
        <v>23</v>
      </c>
      <c r="I533" s="12" t="n">
        <v>60</v>
      </c>
      <c r="J533" s="13" t="n">
        <v>300</v>
      </c>
      <c r="K533" s="14" t="n">
        <f aca="false">I533*J533</f>
        <v>18000</v>
      </c>
      <c r="L533" s="14" t="n">
        <f aca="false">($L$2*M533)/100</f>
        <v>480666.6</v>
      </c>
      <c r="M533" s="15" t="n">
        <v>0.4</v>
      </c>
      <c r="N533" s="9" t="s">
        <v>26</v>
      </c>
    </row>
    <row r="534" customFormat="false" ht="14.25" hidden="false" customHeight="true" outlineLevel="0" collapsed="false">
      <c r="B534" s="9" t="s">
        <v>32</v>
      </c>
      <c r="C534" s="9" t="n">
        <v>1128299</v>
      </c>
      <c r="D534" s="10" t="n">
        <v>43860</v>
      </c>
      <c r="E534" s="9" t="s">
        <v>33</v>
      </c>
      <c r="F534" s="9" t="s">
        <v>44</v>
      </c>
      <c r="G534" s="9" t="s">
        <v>45</v>
      </c>
      <c r="H534" s="11" t="s">
        <v>24</v>
      </c>
      <c r="I534" s="12" t="n">
        <v>65</v>
      </c>
      <c r="J534" s="13" t="n">
        <v>200</v>
      </c>
      <c r="K534" s="14" t="n">
        <f aca="false">I534*J534</f>
        <v>13000</v>
      </c>
      <c r="L534" s="14" t="n">
        <f aca="false">($L$2*M534)/100</f>
        <v>720999.9</v>
      </c>
      <c r="M534" s="15" t="n">
        <v>0.6</v>
      </c>
      <c r="N534" s="9" t="s">
        <v>26</v>
      </c>
    </row>
    <row r="535" customFormat="false" ht="14.25" hidden="false" customHeight="true" outlineLevel="0" collapsed="false">
      <c r="B535" s="9" t="s">
        <v>32</v>
      </c>
      <c r="C535" s="9" t="n">
        <v>1128299</v>
      </c>
      <c r="D535" s="10" t="n">
        <v>43861</v>
      </c>
      <c r="E535" s="9" t="s">
        <v>33</v>
      </c>
      <c r="F535" s="9" t="s">
        <v>44</v>
      </c>
      <c r="G535" s="9" t="s">
        <v>45</v>
      </c>
      <c r="H535" s="11" t="s">
        <v>25</v>
      </c>
      <c r="I535" s="12" t="n">
        <v>80</v>
      </c>
      <c r="J535" s="13" t="n">
        <v>450</v>
      </c>
      <c r="K535" s="14" t="n">
        <f aca="false">I535*J535</f>
        <v>36000</v>
      </c>
      <c r="L535" s="14" t="n">
        <f aca="false">($L$2*M535)/100</f>
        <v>300416.625</v>
      </c>
      <c r="M535" s="15" t="n">
        <v>0.25</v>
      </c>
      <c r="N535" s="9" t="s">
        <v>26</v>
      </c>
    </row>
    <row r="536" customFormat="false" ht="14.25" hidden="false" customHeight="true" outlineLevel="0" collapsed="false">
      <c r="B536" s="9" t="s">
        <v>32</v>
      </c>
      <c r="C536" s="9" t="n">
        <v>1128299</v>
      </c>
      <c r="D536" s="10" t="n">
        <v>43862</v>
      </c>
      <c r="E536" s="9" t="s">
        <v>33</v>
      </c>
      <c r="F536" s="9" t="s">
        <v>44</v>
      </c>
      <c r="G536" s="9" t="s">
        <v>45</v>
      </c>
      <c r="H536" s="11" t="s">
        <v>19</v>
      </c>
      <c r="I536" s="12" t="n">
        <v>60</v>
      </c>
      <c r="J536" s="13" t="n">
        <v>700</v>
      </c>
      <c r="K536" s="14" t="n">
        <f aca="false">I536*J536</f>
        <v>42000</v>
      </c>
      <c r="L536" s="14" t="n">
        <f aca="false">($L$2*M536)/100</f>
        <v>540749.925</v>
      </c>
      <c r="M536" s="15" t="n">
        <v>0.45</v>
      </c>
      <c r="N536" s="9" t="s">
        <v>26</v>
      </c>
    </row>
    <row r="537" customFormat="false" ht="14.25" hidden="false" customHeight="true" outlineLevel="0" collapsed="false">
      <c r="B537" s="9" t="s">
        <v>32</v>
      </c>
      <c r="C537" s="9" t="n">
        <v>1128299</v>
      </c>
      <c r="D537" s="10" t="n">
        <v>43863</v>
      </c>
      <c r="E537" s="9" t="s">
        <v>33</v>
      </c>
      <c r="F537" s="9" t="s">
        <v>44</v>
      </c>
      <c r="G537" s="9" t="s">
        <v>45</v>
      </c>
      <c r="H537" s="11" t="s">
        <v>21</v>
      </c>
      <c r="I537" s="12" t="n">
        <v>65</v>
      </c>
      <c r="J537" s="13" t="n">
        <v>550</v>
      </c>
      <c r="K537" s="14" t="n">
        <f aca="false">I537*J537</f>
        <v>35750</v>
      </c>
      <c r="L537" s="14" t="n">
        <f aca="false">($L$2*M537)/100</f>
        <v>360499.95</v>
      </c>
      <c r="M537" s="15" t="n">
        <v>0.3</v>
      </c>
      <c r="N537" s="9" t="s">
        <v>26</v>
      </c>
    </row>
    <row r="538" customFormat="false" ht="14.25" hidden="false" customHeight="true" outlineLevel="0" collapsed="false">
      <c r="B538" s="9" t="s">
        <v>32</v>
      </c>
      <c r="C538" s="9" t="n">
        <v>1128299</v>
      </c>
      <c r="D538" s="10" t="n">
        <v>43864</v>
      </c>
      <c r="E538" s="9" t="s">
        <v>33</v>
      </c>
      <c r="F538" s="9" t="s">
        <v>44</v>
      </c>
      <c r="G538" s="9" t="s">
        <v>45</v>
      </c>
      <c r="H538" s="11" t="s">
        <v>22</v>
      </c>
      <c r="I538" s="12" t="n">
        <v>65</v>
      </c>
      <c r="J538" s="13" t="n">
        <v>550</v>
      </c>
      <c r="K538" s="14" t="n">
        <f aca="false">I538*J538</f>
        <v>35750</v>
      </c>
      <c r="L538" s="14" t="n">
        <f aca="false">($L$2*M538)/100</f>
        <v>540749.925</v>
      </c>
      <c r="M538" s="15" t="n">
        <v>0.45</v>
      </c>
      <c r="N538" s="9" t="s">
        <v>26</v>
      </c>
    </row>
    <row r="539" customFormat="false" ht="14.25" hidden="false" customHeight="true" outlineLevel="0" collapsed="false">
      <c r="B539" s="9" t="s">
        <v>32</v>
      </c>
      <c r="C539" s="9" t="n">
        <v>1128299</v>
      </c>
      <c r="D539" s="10" t="n">
        <v>43865</v>
      </c>
      <c r="E539" s="9" t="s">
        <v>33</v>
      </c>
      <c r="F539" s="9" t="s">
        <v>44</v>
      </c>
      <c r="G539" s="9" t="s">
        <v>45</v>
      </c>
      <c r="H539" s="11" t="s">
        <v>23</v>
      </c>
      <c r="I539" s="12" t="n">
        <v>60</v>
      </c>
      <c r="J539" s="13" t="n">
        <v>425</v>
      </c>
      <c r="K539" s="14" t="n">
        <f aca="false">I539*J539</f>
        <v>25500</v>
      </c>
      <c r="L539" s="14" t="n">
        <f aca="false">($L$2*M539)/100</f>
        <v>480666.6</v>
      </c>
      <c r="M539" s="15" t="n">
        <v>0.4</v>
      </c>
      <c r="N539" s="9" t="s">
        <v>26</v>
      </c>
    </row>
    <row r="540" customFormat="false" ht="14.25" hidden="false" customHeight="true" outlineLevel="0" collapsed="false">
      <c r="B540" s="9" t="s">
        <v>32</v>
      </c>
      <c r="C540" s="9" t="n">
        <v>1128299</v>
      </c>
      <c r="D540" s="10" t="n">
        <v>43866</v>
      </c>
      <c r="E540" s="9" t="s">
        <v>33</v>
      </c>
      <c r="F540" s="9" t="s">
        <v>44</v>
      </c>
      <c r="G540" s="9" t="s">
        <v>45</v>
      </c>
      <c r="H540" s="11" t="s">
        <v>24</v>
      </c>
      <c r="I540" s="12" t="n">
        <v>65</v>
      </c>
      <c r="J540" s="13" t="n">
        <v>300</v>
      </c>
      <c r="K540" s="14" t="n">
        <f aca="false">I540*J540</f>
        <v>19500</v>
      </c>
      <c r="L540" s="14" t="n">
        <f aca="false">($L$2*M540)/100</f>
        <v>720999.9</v>
      </c>
      <c r="M540" s="15" t="n">
        <v>0.6</v>
      </c>
      <c r="N540" s="9" t="s">
        <v>26</v>
      </c>
    </row>
    <row r="541" customFormat="false" ht="14.25" hidden="false" customHeight="true" outlineLevel="0" collapsed="false">
      <c r="B541" s="9" t="s">
        <v>32</v>
      </c>
      <c r="C541" s="9" t="n">
        <v>1128299</v>
      </c>
      <c r="D541" s="10" t="n">
        <v>43867</v>
      </c>
      <c r="E541" s="9" t="s">
        <v>33</v>
      </c>
      <c r="F541" s="9" t="s">
        <v>44</v>
      </c>
      <c r="G541" s="9" t="s">
        <v>45</v>
      </c>
      <c r="H541" s="11" t="s">
        <v>25</v>
      </c>
      <c r="I541" s="12" t="n">
        <v>80</v>
      </c>
      <c r="J541" s="13" t="n">
        <v>600</v>
      </c>
      <c r="K541" s="14" t="n">
        <f aca="false">I541*J541</f>
        <v>48000</v>
      </c>
      <c r="L541" s="14" t="n">
        <f aca="false">($L$2*M541)/100</f>
        <v>300416.625</v>
      </c>
      <c r="M541" s="15" t="n">
        <v>0.25</v>
      </c>
      <c r="N541" s="9" t="s">
        <v>26</v>
      </c>
    </row>
    <row r="542" customFormat="false" ht="14.25" hidden="false" customHeight="true" outlineLevel="0" collapsed="false">
      <c r="B542" s="9" t="s">
        <v>32</v>
      </c>
      <c r="C542" s="9" t="n">
        <v>1128299</v>
      </c>
      <c r="D542" s="10" t="n">
        <v>43868</v>
      </c>
      <c r="E542" s="9" t="s">
        <v>33</v>
      </c>
      <c r="F542" s="9" t="s">
        <v>44</v>
      </c>
      <c r="G542" s="9" t="s">
        <v>45</v>
      </c>
      <c r="H542" s="11" t="s">
        <v>19</v>
      </c>
      <c r="I542" s="12" t="n">
        <v>60</v>
      </c>
      <c r="J542" s="13" t="n">
        <v>750</v>
      </c>
      <c r="K542" s="14" t="n">
        <f aca="false">I542*J542</f>
        <v>45000</v>
      </c>
      <c r="L542" s="14" t="n">
        <f aca="false">($L$2*M542)/100</f>
        <v>480666.6</v>
      </c>
      <c r="M542" s="15" t="n">
        <v>0.4</v>
      </c>
      <c r="N542" s="9" t="s">
        <v>26</v>
      </c>
    </row>
    <row r="543" customFormat="false" ht="14.25" hidden="false" customHeight="true" outlineLevel="0" collapsed="false">
      <c r="B543" s="9" t="s">
        <v>32</v>
      </c>
      <c r="C543" s="9" t="n">
        <v>1128299</v>
      </c>
      <c r="D543" s="10" t="n">
        <v>43869</v>
      </c>
      <c r="E543" s="9" t="s">
        <v>33</v>
      </c>
      <c r="F543" s="9" t="s">
        <v>44</v>
      </c>
      <c r="G543" s="9" t="s">
        <v>45</v>
      </c>
      <c r="H543" s="11" t="s">
        <v>21</v>
      </c>
      <c r="I543" s="12" t="n">
        <v>65</v>
      </c>
      <c r="J543" s="13" t="n">
        <v>600</v>
      </c>
      <c r="K543" s="14" t="n">
        <f aca="false">I543*J543</f>
        <v>39000</v>
      </c>
      <c r="L543" s="14" t="n">
        <f aca="false">($L$2*M543)/100</f>
        <v>300416.625</v>
      </c>
      <c r="M543" s="15" t="n">
        <v>0.25</v>
      </c>
      <c r="N543" s="9" t="s">
        <v>26</v>
      </c>
    </row>
    <row r="544" customFormat="false" ht="14.25" hidden="false" customHeight="true" outlineLevel="0" collapsed="false">
      <c r="B544" s="9" t="s">
        <v>32</v>
      </c>
      <c r="C544" s="9" t="n">
        <v>1128299</v>
      </c>
      <c r="D544" s="10" t="n">
        <v>43870</v>
      </c>
      <c r="E544" s="9" t="s">
        <v>33</v>
      </c>
      <c r="F544" s="9" t="s">
        <v>44</v>
      </c>
      <c r="G544" s="9" t="s">
        <v>45</v>
      </c>
      <c r="H544" s="11" t="s">
        <v>22</v>
      </c>
      <c r="I544" s="12" t="n">
        <v>65</v>
      </c>
      <c r="J544" s="13" t="n">
        <v>550</v>
      </c>
      <c r="K544" s="14" t="n">
        <f aca="false">I544*J544</f>
        <v>35750</v>
      </c>
      <c r="L544" s="14" t="n">
        <f aca="false">($L$2*M544)/100</f>
        <v>480666.6</v>
      </c>
      <c r="M544" s="15" t="n">
        <v>0.4</v>
      </c>
      <c r="N544" s="9" t="s">
        <v>20</v>
      </c>
    </row>
    <row r="545" customFormat="false" ht="14.25" hidden="false" customHeight="true" outlineLevel="0" collapsed="false">
      <c r="B545" s="9" t="s">
        <v>32</v>
      </c>
      <c r="C545" s="9" t="n">
        <v>1128299</v>
      </c>
      <c r="D545" s="10" t="n">
        <v>43871</v>
      </c>
      <c r="E545" s="9" t="s">
        <v>33</v>
      </c>
      <c r="F545" s="9" t="s">
        <v>44</v>
      </c>
      <c r="G545" s="9" t="s">
        <v>45</v>
      </c>
      <c r="H545" s="11" t="s">
        <v>23</v>
      </c>
      <c r="I545" s="12" t="n">
        <v>60</v>
      </c>
      <c r="J545" s="13" t="n">
        <v>450</v>
      </c>
      <c r="K545" s="14" t="n">
        <f aca="false">I545*J545</f>
        <v>27000</v>
      </c>
      <c r="L545" s="14" t="n">
        <f aca="false">($L$2*M545)/100</f>
        <v>420583.275</v>
      </c>
      <c r="M545" s="15" t="n">
        <v>0.35</v>
      </c>
      <c r="N545" s="9" t="s">
        <v>20</v>
      </c>
    </row>
    <row r="546" customFormat="false" ht="14.25" hidden="false" customHeight="true" outlineLevel="0" collapsed="false">
      <c r="B546" s="9" t="s">
        <v>32</v>
      </c>
      <c r="C546" s="9" t="n">
        <v>1128299</v>
      </c>
      <c r="D546" s="10" t="n">
        <v>43872</v>
      </c>
      <c r="E546" s="9" t="s">
        <v>33</v>
      </c>
      <c r="F546" s="9" t="s">
        <v>44</v>
      </c>
      <c r="G546" s="9" t="s">
        <v>45</v>
      </c>
      <c r="H546" s="11" t="s">
        <v>24</v>
      </c>
      <c r="I546" s="12" t="n">
        <v>65</v>
      </c>
      <c r="J546" s="13" t="n">
        <v>500</v>
      </c>
      <c r="K546" s="14" t="n">
        <f aca="false">I546*J546</f>
        <v>32500</v>
      </c>
      <c r="L546" s="14" t="n">
        <f aca="false">($L$2*M546)/100</f>
        <v>660916.575</v>
      </c>
      <c r="M546" s="15" t="n">
        <v>0.55</v>
      </c>
      <c r="N546" s="9" t="s">
        <v>20</v>
      </c>
    </row>
    <row r="547" customFormat="false" ht="14.25" hidden="false" customHeight="true" outlineLevel="0" collapsed="false">
      <c r="B547" s="9" t="s">
        <v>32</v>
      </c>
      <c r="C547" s="9" t="n">
        <v>1128299</v>
      </c>
      <c r="D547" s="10" t="n">
        <v>43873</v>
      </c>
      <c r="E547" s="9" t="s">
        <v>33</v>
      </c>
      <c r="F547" s="9" t="s">
        <v>44</v>
      </c>
      <c r="G547" s="9" t="s">
        <v>45</v>
      </c>
      <c r="H547" s="11" t="s">
        <v>25</v>
      </c>
      <c r="I547" s="12" t="n">
        <v>80</v>
      </c>
      <c r="J547" s="13" t="n">
        <v>500</v>
      </c>
      <c r="K547" s="14" t="n">
        <f aca="false">I547*J547</f>
        <v>40000</v>
      </c>
      <c r="L547" s="14" t="n">
        <f aca="false">($L$2*M547)/100</f>
        <v>240333.3</v>
      </c>
      <c r="M547" s="15" t="n">
        <v>0.2</v>
      </c>
      <c r="N547" s="9" t="s">
        <v>20</v>
      </c>
    </row>
    <row r="548" customFormat="false" ht="14.25" hidden="false" customHeight="true" outlineLevel="0" collapsed="false">
      <c r="B548" s="9" t="s">
        <v>32</v>
      </c>
      <c r="C548" s="9" t="n">
        <v>1128299</v>
      </c>
      <c r="D548" s="10" t="n">
        <v>43874</v>
      </c>
      <c r="E548" s="9" t="s">
        <v>33</v>
      </c>
      <c r="F548" s="9" t="s">
        <v>44</v>
      </c>
      <c r="G548" s="9" t="s">
        <v>45</v>
      </c>
      <c r="H548" s="11" t="s">
        <v>19</v>
      </c>
      <c r="I548" s="12" t="n">
        <v>65</v>
      </c>
      <c r="J548" s="13" t="n">
        <v>700</v>
      </c>
      <c r="K548" s="14" t="n">
        <f aca="false">I548*J548</f>
        <v>45500</v>
      </c>
      <c r="L548" s="14" t="n">
        <f aca="false">($L$2*M548)/100</f>
        <v>480666.6</v>
      </c>
      <c r="M548" s="15" t="n">
        <v>0.4</v>
      </c>
      <c r="N548" s="9" t="s">
        <v>20</v>
      </c>
    </row>
    <row r="549" customFormat="false" ht="14.25" hidden="false" customHeight="true" outlineLevel="0" collapsed="false">
      <c r="B549" s="9" t="s">
        <v>32</v>
      </c>
      <c r="C549" s="9" t="n">
        <v>1128299</v>
      </c>
      <c r="D549" s="10" t="n">
        <v>43875</v>
      </c>
      <c r="E549" s="9" t="s">
        <v>33</v>
      </c>
      <c r="F549" s="9" t="s">
        <v>44</v>
      </c>
      <c r="G549" s="9" t="s">
        <v>45</v>
      </c>
      <c r="H549" s="11" t="s">
        <v>21</v>
      </c>
      <c r="I549" s="12" t="n">
        <v>70</v>
      </c>
      <c r="J549" s="13" t="n">
        <v>650</v>
      </c>
      <c r="K549" s="14" t="n">
        <f aca="false">I549*J549</f>
        <v>45500</v>
      </c>
      <c r="L549" s="14" t="n">
        <f aca="false">($L$2*M549)/100</f>
        <v>300416.625</v>
      </c>
      <c r="M549" s="15" t="n">
        <v>0.25</v>
      </c>
      <c r="N549" s="9" t="s">
        <v>20</v>
      </c>
    </row>
    <row r="550" customFormat="false" ht="14.25" hidden="false" customHeight="true" outlineLevel="0" collapsed="false">
      <c r="B550" s="9" t="s">
        <v>32</v>
      </c>
      <c r="C550" s="9" t="n">
        <v>1128299</v>
      </c>
      <c r="D550" s="10" t="n">
        <v>43876</v>
      </c>
      <c r="E550" s="9" t="s">
        <v>33</v>
      </c>
      <c r="F550" s="9" t="s">
        <v>44</v>
      </c>
      <c r="G550" s="9" t="s">
        <v>45</v>
      </c>
      <c r="H550" s="11" t="s">
        <v>22</v>
      </c>
      <c r="I550" s="12" t="n">
        <v>65</v>
      </c>
      <c r="J550" s="13" t="n">
        <v>525</v>
      </c>
      <c r="K550" s="14" t="n">
        <f aca="false">I550*J550</f>
        <v>34125</v>
      </c>
      <c r="L550" s="14" t="n">
        <f aca="false">($L$2*M550)/100</f>
        <v>480666.6</v>
      </c>
      <c r="M550" s="15" t="n">
        <v>0.4</v>
      </c>
      <c r="N550" s="9" t="s">
        <v>20</v>
      </c>
    </row>
    <row r="551" customFormat="false" ht="14.25" hidden="false" customHeight="true" outlineLevel="0" collapsed="false">
      <c r="B551" s="9" t="s">
        <v>32</v>
      </c>
      <c r="C551" s="9" t="n">
        <v>1128299</v>
      </c>
      <c r="D551" s="10" t="n">
        <v>43877</v>
      </c>
      <c r="E551" s="9" t="s">
        <v>33</v>
      </c>
      <c r="F551" s="9" t="s">
        <v>44</v>
      </c>
      <c r="G551" s="9" t="s">
        <v>45</v>
      </c>
      <c r="H551" s="11" t="s">
        <v>23</v>
      </c>
      <c r="I551" s="12" t="n">
        <v>65</v>
      </c>
      <c r="J551" s="13" t="n">
        <v>475</v>
      </c>
      <c r="K551" s="14" t="n">
        <f aca="false">I551*J551</f>
        <v>30875</v>
      </c>
      <c r="L551" s="14" t="n">
        <f aca="false">($L$2*M551)/100</f>
        <v>420583.275</v>
      </c>
      <c r="M551" s="15" t="n">
        <v>0.35</v>
      </c>
      <c r="N551" s="9" t="s">
        <v>20</v>
      </c>
    </row>
    <row r="552" customFormat="false" ht="14.25" hidden="false" customHeight="true" outlineLevel="0" collapsed="false">
      <c r="B552" s="9" t="s">
        <v>32</v>
      </c>
      <c r="C552" s="9" t="n">
        <v>1128299</v>
      </c>
      <c r="D552" s="10" t="n">
        <v>43878</v>
      </c>
      <c r="E552" s="9" t="s">
        <v>33</v>
      </c>
      <c r="F552" s="9" t="s">
        <v>44</v>
      </c>
      <c r="G552" s="9" t="s">
        <v>45</v>
      </c>
      <c r="H552" s="11" t="s">
        <v>24</v>
      </c>
      <c r="I552" s="12" t="n">
        <v>75</v>
      </c>
      <c r="J552" s="13" t="n">
        <v>475</v>
      </c>
      <c r="K552" s="14" t="n">
        <f aca="false">I552*J552</f>
        <v>35625</v>
      </c>
      <c r="L552" s="14" t="n">
        <f aca="false">($L$2*M552)/100</f>
        <v>660916.575</v>
      </c>
      <c r="M552" s="15" t="n">
        <v>0.55</v>
      </c>
      <c r="N552" s="9" t="s">
        <v>20</v>
      </c>
    </row>
    <row r="553" customFormat="false" ht="14.25" hidden="false" customHeight="true" outlineLevel="0" collapsed="false">
      <c r="B553" s="9" t="s">
        <v>32</v>
      </c>
      <c r="C553" s="9" t="n">
        <v>1128299</v>
      </c>
      <c r="D553" s="10" t="n">
        <v>43879</v>
      </c>
      <c r="E553" s="9" t="s">
        <v>33</v>
      </c>
      <c r="F553" s="9" t="s">
        <v>44</v>
      </c>
      <c r="G553" s="9" t="s">
        <v>45</v>
      </c>
      <c r="H553" s="11" t="s">
        <v>25</v>
      </c>
      <c r="I553" s="12" t="n">
        <v>80</v>
      </c>
      <c r="J553" s="13" t="n">
        <v>400</v>
      </c>
      <c r="K553" s="14" t="n">
        <f aca="false">I553*J553</f>
        <v>32000</v>
      </c>
      <c r="L553" s="14" t="n">
        <f aca="false">($L$2*M553)/100</f>
        <v>240333.3</v>
      </c>
      <c r="M553" s="15" t="n">
        <v>0.2</v>
      </c>
      <c r="N553" s="9" t="s">
        <v>20</v>
      </c>
    </row>
    <row r="554" customFormat="false" ht="14.25" hidden="false" customHeight="true" outlineLevel="0" collapsed="false">
      <c r="B554" s="9" t="s">
        <v>32</v>
      </c>
      <c r="C554" s="9" t="n">
        <v>1128299</v>
      </c>
      <c r="D554" s="10" t="n">
        <v>43880</v>
      </c>
      <c r="E554" s="9" t="s">
        <v>33</v>
      </c>
      <c r="F554" s="9" t="s">
        <v>44</v>
      </c>
      <c r="G554" s="9" t="s">
        <v>45</v>
      </c>
      <c r="H554" s="11" t="s">
        <v>19</v>
      </c>
      <c r="I554" s="12" t="n">
        <v>60</v>
      </c>
      <c r="J554" s="13" t="n">
        <v>600</v>
      </c>
      <c r="K554" s="14" t="n">
        <f aca="false">I554*J554</f>
        <v>36000</v>
      </c>
      <c r="L554" s="14" t="n">
        <f aca="false">($L$2*M554)/100</f>
        <v>420583.275</v>
      </c>
      <c r="M554" s="15" t="n">
        <v>0.35</v>
      </c>
      <c r="N554" s="9" t="s">
        <v>20</v>
      </c>
    </row>
    <row r="555" customFormat="false" ht="14.25" hidden="false" customHeight="true" outlineLevel="0" collapsed="false">
      <c r="B555" s="9" t="s">
        <v>32</v>
      </c>
      <c r="C555" s="9" t="n">
        <v>1128299</v>
      </c>
      <c r="D555" s="10" t="n">
        <v>43881</v>
      </c>
      <c r="E555" s="9" t="s">
        <v>33</v>
      </c>
      <c r="F555" s="9" t="s">
        <v>44</v>
      </c>
      <c r="G555" s="9" t="s">
        <v>45</v>
      </c>
      <c r="H555" s="11" t="s">
        <v>21</v>
      </c>
      <c r="I555" s="12" t="n">
        <v>65</v>
      </c>
      <c r="J555" s="13" t="n">
        <v>600</v>
      </c>
      <c r="K555" s="14" t="n">
        <f aca="false">I555*J555</f>
        <v>39000</v>
      </c>
      <c r="L555" s="14" t="n">
        <f aca="false">($L$2*M555)/100</f>
        <v>240333.3</v>
      </c>
      <c r="M555" s="15" t="n">
        <v>0.2</v>
      </c>
      <c r="N555" s="9" t="s">
        <v>20</v>
      </c>
    </row>
    <row r="556" customFormat="false" ht="14.25" hidden="false" customHeight="true" outlineLevel="0" collapsed="false">
      <c r="B556" s="9" t="s">
        <v>32</v>
      </c>
      <c r="C556" s="9" t="n">
        <v>1128299</v>
      </c>
      <c r="D556" s="10" t="n">
        <v>43882</v>
      </c>
      <c r="E556" s="9" t="s">
        <v>33</v>
      </c>
      <c r="F556" s="9" t="s">
        <v>44</v>
      </c>
      <c r="G556" s="9" t="s">
        <v>45</v>
      </c>
      <c r="H556" s="11" t="s">
        <v>22</v>
      </c>
      <c r="I556" s="12" t="n">
        <v>60</v>
      </c>
      <c r="J556" s="13" t="n">
        <v>450</v>
      </c>
      <c r="K556" s="14" t="n">
        <f aca="false">I556*J556</f>
        <v>27000</v>
      </c>
      <c r="L556" s="14" t="n">
        <f aca="false">($L$2*M556)/100</f>
        <v>420583.275</v>
      </c>
      <c r="M556" s="15" t="n">
        <v>0.35</v>
      </c>
      <c r="N556" s="9" t="s">
        <v>20</v>
      </c>
    </row>
    <row r="557" customFormat="false" ht="14.25" hidden="false" customHeight="true" outlineLevel="0" collapsed="false">
      <c r="B557" s="9" t="s">
        <v>32</v>
      </c>
      <c r="C557" s="9" t="n">
        <v>1128299</v>
      </c>
      <c r="D557" s="10" t="n">
        <v>43883</v>
      </c>
      <c r="E557" s="9" t="s">
        <v>33</v>
      </c>
      <c r="F557" s="9" t="s">
        <v>44</v>
      </c>
      <c r="G557" s="9" t="s">
        <v>45</v>
      </c>
      <c r="H557" s="11" t="s">
        <v>23</v>
      </c>
      <c r="I557" s="12" t="n">
        <v>60</v>
      </c>
      <c r="J557" s="13" t="n">
        <v>400</v>
      </c>
      <c r="K557" s="14" t="n">
        <f aca="false">I557*J557</f>
        <v>24000</v>
      </c>
      <c r="L557" s="14" t="n">
        <f aca="false">($L$2*M557)/100</f>
        <v>360499.95</v>
      </c>
      <c r="M557" s="15" t="n">
        <v>0.3</v>
      </c>
      <c r="N557" s="9" t="s">
        <v>20</v>
      </c>
    </row>
    <row r="558" customFormat="false" ht="14.25" hidden="false" customHeight="true" outlineLevel="0" collapsed="false">
      <c r="B558" s="9" t="s">
        <v>32</v>
      </c>
      <c r="C558" s="9" t="n">
        <v>1128299</v>
      </c>
      <c r="D558" s="10" t="n">
        <v>43884</v>
      </c>
      <c r="E558" s="9" t="s">
        <v>33</v>
      </c>
      <c r="F558" s="9" t="s">
        <v>44</v>
      </c>
      <c r="G558" s="9" t="s">
        <v>45</v>
      </c>
      <c r="H558" s="11" t="s">
        <v>24</v>
      </c>
      <c r="I558" s="12" t="n">
        <v>70</v>
      </c>
      <c r="J558" s="13" t="n">
        <v>400</v>
      </c>
      <c r="K558" s="14" t="n">
        <f aca="false">I558*J558</f>
        <v>28000</v>
      </c>
      <c r="L558" s="14" t="n">
        <f aca="false">($L$2*M558)/100</f>
        <v>600833.25</v>
      </c>
      <c r="M558" s="15" t="n">
        <v>0.5</v>
      </c>
      <c r="N558" s="9" t="s">
        <v>20</v>
      </c>
    </row>
    <row r="559" customFormat="false" ht="14.25" hidden="false" customHeight="true" outlineLevel="0" collapsed="false">
      <c r="B559" s="9" t="s">
        <v>32</v>
      </c>
      <c r="C559" s="9" t="n">
        <v>1128299</v>
      </c>
      <c r="D559" s="10" t="n">
        <v>43885</v>
      </c>
      <c r="E559" s="9" t="s">
        <v>33</v>
      </c>
      <c r="F559" s="9" t="s">
        <v>44</v>
      </c>
      <c r="G559" s="9" t="s">
        <v>45</v>
      </c>
      <c r="H559" s="11" t="s">
        <v>25</v>
      </c>
      <c r="I559" s="12" t="n">
        <v>75</v>
      </c>
      <c r="J559" s="13" t="n">
        <v>450</v>
      </c>
      <c r="K559" s="14" t="n">
        <f aca="false">I559*J559</f>
        <v>33750</v>
      </c>
      <c r="L559" s="14" t="n">
        <f aca="false">($L$2*M559)/100</f>
        <v>180249.975</v>
      </c>
      <c r="M559" s="15" t="n">
        <v>0.15</v>
      </c>
      <c r="N559" s="9" t="s">
        <v>20</v>
      </c>
    </row>
    <row r="560" customFormat="false" ht="14.25" hidden="false" customHeight="true" outlineLevel="0" collapsed="false">
      <c r="B560" s="9" t="s">
        <v>32</v>
      </c>
      <c r="C560" s="9" t="n">
        <v>1128299</v>
      </c>
      <c r="D560" s="10" t="n">
        <v>43886</v>
      </c>
      <c r="E560" s="9" t="s">
        <v>33</v>
      </c>
      <c r="F560" s="9" t="s">
        <v>44</v>
      </c>
      <c r="G560" s="9" t="s">
        <v>45</v>
      </c>
      <c r="H560" s="11" t="s">
        <v>19</v>
      </c>
      <c r="I560" s="12" t="n">
        <v>60</v>
      </c>
      <c r="J560" s="13" t="n">
        <v>550</v>
      </c>
      <c r="K560" s="14" t="n">
        <f aca="false">I560*J560</f>
        <v>33000</v>
      </c>
      <c r="L560" s="14" t="n">
        <f aca="false">($L$2*M560)/100</f>
        <v>420583.275</v>
      </c>
      <c r="M560" s="15" t="n">
        <v>0.35</v>
      </c>
      <c r="N560" s="9" t="s">
        <v>20</v>
      </c>
    </row>
    <row r="561" customFormat="false" ht="14.25" hidden="false" customHeight="true" outlineLevel="0" collapsed="false">
      <c r="B561" s="9" t="s">
        <v>32</v>
      </c>
      <c r="C561" s="9" t="n">
        <v>1128299</v>
      </c>
      <c r="D561" s="10" t="n">
        <v>43887</v>
      </c>
      <c r="E561" s="9" t="s">
        <v>33</v>
      </c>
      <c r="F561" s="9" t="s">
        <v>44</v>
      </c>
      <c r="G561" s="9" t="s">
        <v>45</v>
      </c>
      <c r="H561" s="11" t="s">
        <v>21</v>
      </c>
      <c r="I561" s="12" t="n">
        <v>65</v>
      </c>
      <c r="J561" s="13" t="n">
        <v>550</v>
      </c>
      <c r="K561" s="14" t="n">
        <f aca="false">I561*J561</f>
        <v>35750</v>
      </c>
      <c r="L561" s="14" t="n">
        <f aca="false">($L$2*M561)/100</f>
        <v>240333.3</v>
      </c>
      <c r="M561" s="15" t="n">
        <v>0.2</v>
      </c>
      <c r="N561" s="9" t="s">
        <v>20</v>
      </c>
    </row>
    <row r="562" customFormat="false" ht="14.25" hidden="false" customHeight="true" outlineLevel="0" collapsed="false">
      <c r="B562" s="9" t="s">
        <v>32</v>
      </c>
      <c r="C562" s="9" t="n">
        <v>1128299</v>
      </c>
      <c r="D562" s="10" t="n">
        <v>43888</v>
      </c>
      <c r="E562" s="9" t="s">
        <v>33</v>
      </c>
      <c r="F562" s="9" t="s">
        <v>44</v>
      </c>
      <c r="G562" s="9" t="s">
        <v>45</v>
      </c>
      <c r="H562" s="11" t="s">
        <v>22</v>
      </c>
      <c r="I562" s="12" t="n">
        <v>60</v>
      </c>
      <c r="J562" s="13" t="n">
        <v>375</v>
      </c>
      <c r="K562" s="14" t="n">
        <f aca="false">I562*J562</f>
        <v>22500</v>
      </c>
      <c r="L562" s="14" t="n">
        <f aca="false">($L$2*M562)/100</f>
        <v>420583.275</v>
      </c>
      <c r="M562" s="15" t="n">
        <v>0.35</v>
      </c>
      <c r="N562" s="9" t="s">
        <v>20</v>
      </c>
    </row>
    <row r="563" customFormat="false" ht="14.25" hidden="false" customHeight="true" outlineLevel="0" collapsed="false">
      <c r="B563" s="9" t="s">
        <v>32</v>
      </c>
      <c r="C563" s="9" t="n">
        <v>1128299</v>
      </c>
      <c r="D563" s="10" t="n">
        <v>43889</v>
      </c>
      <c r="E563" s="9" t="s">
        <v>33</v>
      </c>
      <c r="F563" s="9" t="s">
        <v>44</v>
      </c>
      <c r="G563" s="9" t="s">
        <v>45</v>
      </c>
      <c r="H563" s="11" t="s">
        <v>23</v>
      </c>
      <c r="I563" s="12" t="n">
        <v>60</v>
      </c>
      <c r="J563" s="13" t="n">
        <v>350</v>
      </c>
      <c r="K563" s="14" t="n">
        <f aca="false">I563*J563</f>
        <v>21000</v>
      </c>
      <c r="L563" s="14" t="n">
        <f aca="false">($L$2*M563)/100</f>
        <v>360499.95</v>
      </c>
      <c r="M563" s="15" t="n">
        <v>0.3</v>
      </c>
      <c r="N563" s="9" t="s">
        <v>20</v>
      </c>
    </row>
    <row r="564" customFormat="false" ht="14.25" hidden="false" customHeight="true" outlineLevel="0" collapsed="false">
      <c r="B564" s="9" t="s">
        <v>32</v>
      </c>
      <c r="C564" s="9" t="n">
        <v>1128299</v>
      </c>
      <c r="D564" s="10" t="n">
        <v>43891</v>
      </c>
      <c r="E564" s="9" t="s">
        <v>33</v>
      </c>
      <c r="F564" s="9" t="s">
        <v>44</v>
      </c>
      <c r="G564" s="9" t="s">
        <v>45</v>
      </c>
      <c r="H564" s="11" t="s">
        <v>24</v>
      </c>
      <c r="I564" s="12" t="n">
        <v>70</v>
      </c>
      <c r="J564" s="13" t="n">
        <v>325</v>
      </c>
      <c r="K564" s="14" t="n">
        <f aca="false">I564*J564</f>
        <v>22750</v>
      </c>
      <c r="L564" s="14" t="n">
        <f aca="false">($L$2*M564)/100</f>
        <v>600833.25</v>
      </c>
      <c r="M564" s="15" t="n">
        <v>0.5</v>
      </c>
      <c r="N564" s="9" t="s">
        <v>20</v>
      </c>
    </row>
    <row r="565" customFormat="false" ht="14.25" hidden="false" customHeight="true" outlineLevel="0" collapsed="false">
      <c r="B565" s="9" t="s">
        <v>32</v>
      </c>
      <c r="C565" s="9" t="n">
        <v>1128299</v>
      </c>
      <c r="D565" s="10" t="n">
        <v>43892</v>
      </c>
      <c r="E565" s="9" t="s">
        <v>33</v>
      </c>
      <c r="F565" s="9" t="s">
        <v>44</v>
      </c>
      <c r="G565" s="9" t="s">
        <v>45</v>
      </c>
      <c r="H565" s="11" t="s">
        <v>25</v>
      </c>
      <c r="I565" s="12" t="n">
        <v>75</v>
      </c>
      <c r="J565" s="13" t="n">
        <v>375</v>
      </c>
      <c r="K565" s="14" t="n">
        <f aca="false">I565*J565</f>
        <v>28125</v>
      </c>
      <c r="L565" s="14" t="n">
        <f aca="false">($L$2*M565)/100</f>
        <v>180249.975</v>
      </c>
      <c r="M565" s="15" t="n">
        <v>0.15</v>
      </c>
      <c r="N565" s="9" t="s">
        <v>20</v>
      </c>
    </row>
    <row r="566" customFormat="false" ht="14.25" hidden="false" customHeight="true" outlineLevel="0" collapsed="false">
      <c r="B566" s="9" t="s">
        <v>32</v>
      </c>
      <c r="C566" s="9" t="n">
        <v>1128299</v>
      </c>
      <c r="D566" s="10" t="n">
        <v>43893</v>
      </c>
      <c r="E566" s="9" t="s">
        <v>33</v>
      </c>
      <c r="F566" s="9" t="s">
        <v>44</v>
      </c>
      <c r="G566" s="9" t="s">
        <v>45</v>
      </c>
      <c r="H566" s="11" t="s">
        <v>19</v>
      </c>
      <c r="I566" s="12" t="n">
        <v>60</v>
      </c>
      <c r="J566" s="13" t="n">
        <v>575</v>
      </c>
      <c r="K566" s="14" t="n">
        <f aca="false">I566*J566</f>
        <v>34500</v>
      </c>
      <c r="L566" s="14" t="n">
        <f aca="false">($L$2*M566)/100</f>
        <v>420583.275</v>
      </c>
      <c r="M566" s="15" t="n">
        <v>0.35</v>
      </c>
      <c r="N566" s="9" t="s">
        <v>20</v>
      </c>
    </row>
    <row r="567" customFormat="false" ht="14.25" hidden="false" customHeight="true" outlineLevel="0" collapsed="false">
      <c r="B567" s="9" t="s">
        <v>32</v>
      </c>
      <c r="C567" s="9" t="n">
        <v>1128299</v>
      </c>
      <c r="D567" s="10" t="n">
        <v>43894</v>
      </c>
      <c r="E567" s="9" t="s">
        <v>33</v>
      </c>
      <c r="F567" s="9" t="s">
        <v>44</v>
      </c>
      <c r="G567" s="9" t="s">
        <v>45</v>
      </c>
      <c r="H567" s="11" t="s">
        <v>21</v>
      </c>
      <c r="I567" s="12" t="n">
        <v>65</v>
      </c>
      <c r="J567" s="13" t="n">
        <v>575</v>
      </c>
      <c r="K567" s="14" t="n">
        <f aca="false">I567*J567</f>
        <v>37375</v>
      </c>
      <c r="L567" s="14" t="n">
        <f aca="false">($L$2*M567)/100</f>
        <v>240333.3</v>
      </c>
      <c r="M567" s="15" t="n">
        <v>0.2</v>
      </c>
      <c r="N567" s="9" t="s">
        <v>20</v>
      </c>
    </row>
    <row r="568" customFormat="false" ht="14.25" hidden="false" customHeight="true" outlineLevel="0" collapsed="false">
      <c r="B568" s="9" t="s">
        <v>32</v>
      </c>
      <c r="C568" s="9" t="n">
        <v>1128299</v>
      </c>
      <c r="D568" s="10" t="n">
        <v>43895</v>
      </c>
      <c r="E568" s="9" t="s">
        <v>33</v>
      </c>
      <c r="F568" s="9" t="s">
        <v>44</v>
      </c>
      <c r="G568" s="9" t="s">
        <v>45</v>
      </c>
      <c r="H568" s="11" t="s">
        <v>22</v>
      </c>
      <c r="I568" s="12" t="n">
        <v>60</v>
      </c>
      <c r="J568" s="13" t="n">
        <v>425</v>
      </c>
      <c r="K568" s="14" t="n">
        <f aca="false">I568*J568</f>
        <v>25500</v>
      </c>
      <c r="L568" s="14" t="n">
        <f aca="false">($L$2*M568)/100</f>
        <v>420583.275</v>
      </c>
      <c r="M568" s="15" t="n">
        <v>0.35</v>
      </c>
      <c r="N568" s="9" t="s">
        <v>20</v>
      </c>
    </row>
    <row r="569" customFormat="false" ht="14.25" hidden="false" customHeight="true" outlineLevel="0" collapsed="false">
      <c r="B569" s="9" t="s">
        <v>32</v>
      </c>
      <c r="C569" s="9" t="n">
        <v>1128299</v>
      </c>
      <c r="D569" s="10" t="n">
        <v>43896</v>
      </c>
      <c r="E569" s="9" t="s">
        <v>33</v>
      </c>
      <c r="F569" s="9" t="s">
        <v>44</v>
      </c>
      <c r="G569" s="9" t="s">
        <v>45</v>
      </c>
      <c r="H569" s="11" t="s">
        <v>23</v>
      </c>
      <c r="I569" s="12" t="n">
        <v>60</v>
      </c>
      <c r="J569" s="13" t="n">
        <v>400</v>
      </c>
      <c r="K569" s="14" t="n">
        <f aca="false">I569*J569</f>
        <v>24000</v>
      </c>
      <c r="L569" s="14" t="n">
        <f aca="false">($L$2*M569)/100</f>
        <v>360499.95</v>
      </c>
      <c r="M569" s="15" t="n">
        <v>0.3</v>
      </c>
      <c r="N569" s="9" t="s">
        <v>20</v>
      </c>
    </row>
    <row r="570" customFormat="false" ht="14.25" hidden="false" customHeight="true" outlineLevel="0" collapsed="false">
      <c r="B570" s="9" t="s">
        <v>32</v>
      </c>
      <c r="C570" s="9" t="n">
        <v>1128299</v>
      </c>
      <c r="D570" s="10" t="n">
        <v>43897</v>
      </c>
      <c r="E570" s="9" t="s">
        <v>33</v>
      </c>
      <c r="F570" s="9" t="s">
        <v>44</v>
      </c>
      <c r="G570" s="9" t="s">
        <v>45</v>
      </c>
      <c r="H570" s="11" t="s">
        <v>24</v>
      </c>
      <c r="I570" s="12" t="n">
        <v>70</v>
      </c>
      <c r="J570" s="13" t="n">
        <v>350</v>
      </c>
      <c r="K570" s="14" t="n">
        <f aca="false">I570*J570</f>
        <v>24500</v>
      </c>
      <c r="L570" s="14" t="n">
        <f aca="false">($L$2*M570)/100</f>
        <v>600833.25</v>
      </c>
      <c r="M570" s="15" t="n">
        <v>0.5</v>
      </c>
      <c r="N570" s="9" t="s">
        <v>20</v>
      </c>
    </row>
    <row r="571" customFormat="false" ht="14.25" hidden="false" customHeight="true" outlineLevel="0" collapsed="false">
      <c r="B571" s="9" t="s">
        <v>32</v>
      </c>
      <c r="C571" s="9" t="n">
        <v>1128299</v>
      </c>
      <c r="D571" s="10" t="n">
        <v>43898</v>
      </c>
      <c r="E571" s="9" t="s">
        <v>33</v>
      </c>
      <c r="F571" s="9" t="s">
        <v>44</v>
      </c>
      <c r="G571" s="9" t="s">
        <v>45</v>
      </c>
      <c r="H571" s="11" t="s">
        <v>25</v>
      </c>
      <c r="I571" s="12" t="n">
        <v>75</v>
      </c>
      <c r="J571" s="13" t="n">
        <v>475</v>
      </c>
      <c r="K571" s="14" t="n">
        <f aca="false">I571*J571</f>
        <v>35625</v>
      </c>
      <c r="L571" s="14" t="n">
        <f aca="false">($L$2*M571)/100</f>
        <v>180249.975</v>
      </c>
      <c r="M571" s="15" t="n">
        <v>0.15</v>
      </c>
      <c r="N571" s="9" t="s">
        <v>20</v>
      </c>
    </row>
    <row r="572" customFormat="false" ht="14.25" hidden="false" customHeight="true" outlineLevel="0" collapsed="false">
      <c r="B572" s="9" t="s">
        <v>32</v>
      </c>
      <c r="C572" s="9" t="n">
        <v>1128299</v>
      </c>
      <c r="D572" s="10" t="n">
        <v>43899</v>
      </c>
      <c r="E572" s="9" t="s">
        <v>33</v>
      </c>
      <c r="F572" s="9" t="s">
        <v>44</v>
      </c>
      <c r="G572" s="9" t="s">
        <v>45</v>
      </c>
      <c r="H572" s="11" t="s">
        <v>19</v>
      </c>
      <c r="I572" s="12" t="n">
        <v>60</v>
      </c>
      <c r="J572" s="13" t="n">
        <v>675</v>
      </c>
      <c r="K572" s="14" t="n">
        <f aca="false">I572*J572</f>
        <v>40500</v>
      </c>
      <c r="L572" s="14" t="n">
        <f aca="false">($L$2*M572)/100</f>
        <v>420583.275</v>
      </c>
      <c r="M572" s="15" t="n">
        <v>0.35</v>
      </c>
      <c r="N572" s="9" t="s">
        <v>20</v>
      </c>
    </row>
    <row r="573" customFormat="false" ht="14.25" hidden="false" customHeight="true" outlineLevel="0" collapsed="false">
      <c r="B573" s="9" t="s">
        <v>32</v>
      </c>
      <c r="C573" s="9" t="n">
        <v>1128299</v>
      </c>
      <c r="D573" s="10" t="n">
        <v>43900</v>
      </c>
      <c r="E573" s="9" t="s">
        <v>33</v>
      </c>
      <c r="F573" s="9" t="s">
        <v>44</v>
      </c>
      <c r="G573" s="9" t="s">
        <v>45</v>
      </c>
      <c r="H573" s="11" t="s">
        <v>21</v>
      </c>
      <c r="I573" s="12" t="n">
        <v>65</v>
      </c>
      <c r="J573" s="13" t="n">
        <v>675</v>
      </c>
      <c r="K573" s="14" t="n">
        <f aca="false">I573*J573</f>
        <v>43875</v>
      </c>
      <c r="L573" s="14" t="n">
        <f aca="false">($L$2*M573)/100</f>
        <v>240333.3</v>
      </c>
      <c r="M573" s="15" t="n">
        <v>0.2</v>
      </c>
      <c r="N573" s="9" t="s">
        <v>20</v>
      </c>
    </row>
    <row r="574" customFormat="false" ht="14.25" hidden="false" customHeight="true" outlineLevel="0" collapsed="false">
      <c r="B574" s="9" t="s">
        <v>32</v>
      </c>
      <c r="C574" s="9" t="n">
        <v>1128299</v>
      </c>
      <c r="D574" s="10" t="n">
        <v>43901</v>
      </c>
      <c r="E574" s="9" t="s">
        <v>33</v>
      </c>
      <c r="F574" s="9" t="s">
        <v>44</v>
      </c>
      <c r="G574" s="9" t="s">
        <v>45</v>
      </c>
      <c r="H574" s="11" t="s">
        <v>22</v>
      </c>
      <c r="I574" s="12" t="n">
        <v>60</v>
      </c>
      <c r="J574" s="13" t="n">
        <v>475</v>
      </c>
      <c r="K574" s="14" t="n">
        <f aca="false">I574*J574</f>
        <v>28500</v>
      </c>
      <c r="L574" s="14" t="n">
        <f aca="false">($L$2*M574)/100</f>
        <v>420583.275</v>
      </c>
      <c r="M574" s="15" t="n">
        <v>0.35</v>
      </c>
      <c r="N574" s="9" t="s">
        <v>20</v>
      </c>
    </row>
    <row r="575" customFormat="false" ht="14.25" hidden="false" customHeight="true" outlineLevel="0" collapsed="false">
      <c r="B575" s="9" t="s">
        <v>32</v>
      </c>
      <c r="C575" s="9" t="n">
        <v>1128299</v>
      </c>
      <c r="D575" s="10" t="n">
        <v>43902</v>
      </c>
      <c r="E575" s="9" t="s">
        <v>33</v>
      </c>
      <c r="F575" s="9" t="s">
        <v>44</v>
      </c>
      <c r="G575" s="9" t="s">
        <v>45</v>
      </c>
      <c r="H575" s="11" t="s">
        <v>23</v>
      </c>
      <c r="I575" s="12" t="n">
        <v>60</v>
      </c>
      <c r="J575" s="13" t="n">
        <v>475</v>
      </c>
      <c r="K575" s="14" t="n">
        <f aca="false">I575*J575</f>
        <v>28500</v>
      </c>
      <c r="L575" s="14" t="n">
        <f aca="false">($L$2*M575)/100</f>
        <v>360499.95</v>
      </c>
      <c r="M575" s="15" t="n">
        <v>0.3</v>
      </c>
      <c r="N575" s="9" t="s">
        <v>20</v>
      </c>
    </row>
    <row r="576" customFormat="false" ht="14.25" hidden="false" customHeight="true" outlineLevel="0" collapsed="false">
      <c r="B576" s="9" t="s">
        <v>32</v>
      </c>
      <c r="C576" s="9" t="n">
        <v>1128299</v>
      </c>
      <c r="D576" s="10" t="n">
        <v>43903</v>
      </c>
      <c r="E576" s="9" t="s">
        <v>33</v>
      </c>
      <c r="F576" s="9" t="s">
        <v>44</v>
      </c>
      <c r="G576" s="9" t="s">
        <v>45</v>
      </c>
      <c r="H576" s="11" t="s">
        <v>24</v>
      </c>
      <c r="I576" s="12" t="n">
        <v>70</v>
      </c>
      <c r="J576" s="13" t="n">
        <v>400</v>
      </c>
      <c r="K576" s="14" t="n">
        <f aca="false">I576*J576</f>
        <v>28000</v>
      </c>
      <c r="L576" s="14" t="n">
        <f aca="false">($L$2*M576)/100</f>
        <v>600833.25</v>
      </c>
      <c r="M576" s="15" t="n">
        <v>0.5</v>
      </c>
      <c r="N576" s="9" t="s">
        <v>20</v>
      </c>
    </row>
    <row r="577" customFormat="false" ht="14.25" hidden="false" customHeight="true" outlineLevel="0" collapsed="false">
      <c r="B577" s="9" t="s">
        <v>32</v>
      </c>
      <c r="C577" s="9" t="n">
        <v>1128299</v>
      </c>
      <c r="D577" s="10" t="n">
        <v>43904</v>
      </c>
      <c r="E577" s="9" t="s">
        <v>33</v>
      </c>
      <c r="F577" s="9" t="s">
        <v>44</v>
      </c>
      <c r="G577" s="9" t="s">
        <v>45</v>
      </c>
      <c r="H577" s="11" t="s">
        <v>25</v>
      </c>
      <c r="I577" s="12" t="n">
        <v>75</v>
      </c>
      <c r="J577" s="13" t="n">
        <v>500</v>
      </c>
      <c r="K577" s="14" t="n">
        <f aca="false">I577*J577</f>
        <v>37500</v>
      </c>
      <c r="L577" s="14" t="n">
        <f aca="false">($L$2*M577)/100</f>
        <v>180249.975</v>
      </c>
      <c r="M577" s="15" t="n">
        <v>0.15</v>
      </c>
      <c r="N577" s="9" t="s">
        <v>20</v>
      </c>
    </row>
    <row r="578" customFormat="false" ht="14.25" hidden="false" customHeight="true" outlineLevel="0" collapsed="false">
      <c r="B578" s="9" t="s">
        <v>32</v>
      </c>
      <c r="C578" s="9" t="n">
        <v>1128299</v>
      </c>
      <c r="D578" s="10" t="n">
        <v>43905</v>
      </c>
      <c r="E578" s="9" t="s">
        <v>33</v>
      </c>
      <c r="F578" s="9" t="s">
        <v>44</v>
      </c>
      <c r="G578" s="9" t="s">
        <v>45</v>
      </c>
      <c r="H578" s="11" t="s">
        <v>19</v>
      </c>
      <c r="I578" s="12" t="n">
        <v>30</v>
      </c>
      <c r="J578" s="13" t="n">
        <v>425</v>
      </c>
      <c r="K578" s="14" t="n">
        <f aca="false">I578*J578</f>
        <v>12750</v>
      </c>
      <c r="L578" s="14" t="n">
        <f aca="false">($L$2*M578)/100</f>
        <v>420583.275</v>
      </c>
      <c r="M578" s="15" t="n">
        <v>0.35</v>
      </c>
      <c r="N578" s="9" t="s">
        <v>20</v>
      </c>
    </row>
    <row r="579" customFormat="false" ht="14.25" hidden="false" customHeight="true" outlineLevel="0" collapsed="false">
      <c r="B579" s="9" t="s">
        <v>32</v>
      </c>
      <c r="C579" s="9" t="n">
        <v>1128299</v>
      </c>
      <c r="D579" s="10" t="n">
        <v>43906</v>
      </c>
      <c r="E579" s="9" t="s">
        <v>33</v>
      </c>
      <c r="F579" s="9" t="s">
        <v>44</v>
      </c>
      <c r="G579" s="9" t="s">
        <v>45</v>
      </c>
      <c r="H579" s="11" t="s">
        <v>21</v>
      </c>
      <c r="I579" s="12" t="n">
        <v>40</v>
      </c>
      <c r="J579" s="13" t="n">
        <v>425</v>
      </c>
      <c r="K579" s="14" t="n">
        <f aca="false">I579*J579</f>
        <v>17000</v>
      </c>
      <c r="L579" s="14" t="n">
        <f aca="false">($L$2*M579)/100</f>
        <v>240333.3</v>
      </c>
      <c r="M579" s="15" t="n">
        <v>0.2</v>
      </c>
      <c r="N579" s="9" t="s">
        <v>20</v>
      </c>
    </row>
    <row r="580" customFormat="false" ht="14.25" hidden="false" customHeight="true" outlineLevel="0" collapsed="false">
      <c r="B580" s="9" t="s">
        <v>32</v>
      </c>
      <c r="C580" s="9" t="n">
        <v>1128299</v>
      </c>
      <c r="D580" s="10" t="n">
        <v>43907</v>
      </c>
      <c r="E580" s="9" t="s">
        <v>33</v>
      </c>
      <c r="F580" s="9" t="s">
        <v>44</v>
      </c>
      <c r="G580" s="9" t="s">
        <v>45</v>
      </c>
      <c r="H580" s="11" t="s">
        <v>22</v>
      </c>
      <c r="I580" s="12" t="n">
        <v>40</v>
      </c>
      <c r="J580" s="13" t="n">
        <v>425</v>
      </c>
      <c r="K580" s="14" t="n">
        <f aca="false">I580*J580</f>
        <v>17000</v>
      </c>
      <c r="L580" s="14" t="n">
        <f aca="false">($L$2*M580)/100</f>
        <v>420583.275</v>
      </c>
      <c r="M580" s="15" t="n">
        <v>0.35</v>
      </c>
      <c r="N580" s="9" t="s">
        <v>20</v>
      </c>
    </row>
    <row r="581" customFormat="false" ht="14.25" hidden="false" customHeight="true" outlineLevel="0" collapsed="false">
      <c r="B581" s="9" t="s">
        <v>32</v>
      </c>
      <c r="C581" s="9" t="n">
        <v>1128299</v>
      </c>
      <c r="D581" s="10" t="n">
        <v>43908</v>
      </c>
      <c r="E581" s="9" t="s">
        <v>33</v>
      </c>
      <c r="F581" s="9" t="s">
        <v>44</v>
      </c>
      <c r="G581" s="9" t="s">
        <v>45</v>
      </c>
      <c r="H581" s="11" t="s">
        <v>23</v>
      </c>
      <c r="I581" s="12" t="n">
        <v>40</v>
      </c>
      <c r="J581" s="13" t="n">
        <v>275</v>
      </c>
      <c r="K581" s="14" t="n">
        <f aca="false">I581*J581</f>
        <v>11000</v>
      </c>
      <c r="L581" s="14" t="n">
        <f aca="false">($L$2*M581)/100</f>
        <v>360499.95</v>
      </c>
      <c r="M581" s="15" t="n">
        <v>0.3</v>
      </c>
      <c r="N581" s="9" t="s">
        <v>20</v>
      </c>
    </row>
    <row r="582" customFormat="false" ht="14.25" hidden="false" customHeight="true" outlineLevel="0" collapsed="false">
      <c r="B582" s="9" t="s">
        <v>32</v>
      </c>
      <c r="C582" s="9" t="n">
        <v>1128299</v>
      </c>
      <c r="D582" s="10" t="n">
        <v>43909</v>
      </c>
      <c r="E582" s="9" t="s">
        <v>33</v>
      </c>
      <c r="F582" s="9" t="s">
        <v>46</v>
      </c>
      <c r="G582" s="9" t="s">
        <v>47</v>
      </c>
      <c r="H582" s="11" t="s">
        <v>24</v>
      </c>
      <c r="I582" s="12" t="n">
        <v>45</v>
      </c>
      <c r="J582" s="13" t="n">
        <v>225</v>
      </c>
      <c r="K582" s="14" t="n">
        <f aca="false">I582*J582</f>
        <v>10125</v>
      </c>
      <c r="L582" s="14" t="n">
        <f aca="false">($L$2*M582)/100</f>
        <v>600833.25</v>
      </c>
      <c r="M582" s="15" t="n">
        <v>0.5</v>
      </c>
      <c r="N582" s="9" t="s">
        <v>20</v>
      </c>
    </row>
    <row r="583" customFormat="false" ht="14.25" hidden="false" customHeight="true" outlineLevel="0" collapsed="false">
      <c r="B583" s="9" t="s">
        <v>32</v>
      </c>
      <c r="C583" s="9" t="n">
        <v>1128299</v>
      </c>
      <c r="D583" s="10" t="n">
        <v>43910</v>
      </c>
      <c r="E583" s="9" t="s">
        <v>33</v>
      </c>
      <c r="F583" s="9" t="s">
        <v>46</v>
      </c>
      <c r="G583" s="9" t="s">
        <v>47</v>
      </c>
      <c r="H583" s="11" t="s">
        <v>25</v>
      </c>
      <c r="I583" s="12" t="n">
        <v>40</v>
      </c>
      <c r="J583" s="13" t="n">
        <v>475</v>
      </c>
      <c r="K583" s="14" t="n">
        <f aca="false">I583*J583</f>
        <v>19000</v>
      </c>
      <c r="L583" s="14" t="n">
        <f aca="false">($L$2*M583)/100</f>
        <v>180249.975</v>
      </c>
      <c r="M583" s="15" t="n">
        <v>0.15</v>
      </c>
      <c r="N583" s="9" t="s">
        <v>20</v>
      </c>
    </row>
    <row r="584" customFormat="false" ht="14.25" hidden="false" customHeight="true" outlineLevel="0" collapsed="false">
      <c r="B584" s="9" t="s">
        <v>32</v>
      </c>
      <c r="C584" s="9" t="n">
        <v>1128299</v>
      </c>
      <c r="D584" s="10" t="n">
        <v>43911</v>
      </c>
      <c r="E584" s="9" t="s">
        <v>33</v>
      </c>
      <c r="F584" s="9" t="s">
        <v>46</v>
      </c>
      <c r="G584" s="9" t="s">
        <v>47</v>
      </c>
      <c r="H584" s="11" t="s">
        <v>19</v>
      </c>
      <c r="I584" s="12" t="n">
        <v>30</v>
      </c>
      <c r="J584" s="13" t="n">
        <v>525</v>
      </c>
      <c r="K584" s="14" t="n">
        <f aca="false">I584*J584</f>
        <v>15750</v>
      </c>
      <c r="L584" s="14" t="n">
        <f aca="false">($L$2*M584)/100</f>
        <v>420583.275</v>
      </c>
      <c r="M584" s="15" t="n">
        <v>0.35</v>
      </c>
      <c r="N584" s="9" t="s">
        <v>20</v>
      </c>
    </row>
    <row r="585" customFormat="false" ht="14.25" hidden="false" customHeight="true" outlineLevel="0" collapsed="false">
      <c r="B585" s="9" t="s">
        <v>32</v>
      </c>
      <c r="C585" s="9" t="n">
        <v>1128299</v>
      </c>
      <c r="D585" s="10" t="n">
        <v>43912</v>
      </c>
      <c r="E585" s="9" t="s">
        <v>33</v>
      </c>
      <c r="F585" s="9" t="s">
        <v>46</v>
      </c>
      <c r="G585" s="9" t="s">
        <v>47</v>
      </c>
      <c r="H585" s="11" t="s">
        <v>21</v>
      </c>
      <c r="I585" s="12" t="n">
        <v>40</v>
      </c>
      <c r="J585" s="13" t="n">
        <v>425</v>
      </c>
      <c r="K585" s="14" t="n">
        <f aca="false">I585*J585</f>
        <v>17000</v>
      </c>
      <c r="L585" s="14" t="n">
        <f aca="false">($L$2*M585)/100</f>
        <v>240333.3</v>
      </c>
      <c r="M585" s="15" t="n">
        <v>0.2</v>
      </c>
      <c r="N585" s="9" t="s">
        <v>20</v>
      </c>
    </row>
    <row r="586" customFormat="false" ht="14.25" hidden="false" customHeight="true" outlineLevel="0" collapsed="false">
      <c r="B586" s="9" t="s">
        <v>32</v>
      </c>
      <c r="C586" s="9" t="n">
        <v>1128299</v>
      </c>
      <c r="D586" s="10" t="n">
        <v>43913</v>
      </c>
      <c r="E586" s="9" t="s">
        <v>33</v>
      </c>
      <c r="F586" s="9" t="s">
        <v>46</v>
      </c>
      <c r="G586" s="9" t="s">
        <v>47</v>
      </c>
      <c r="H586" s="11" t="s">
        <v>22</v>
      </c>
      <c r="I586" s="12" t="n">
        <v>40</v>
      </c>
      <c r="J586" s="13" t="n">
        <v>425</v>
      </c>
      <c r="K586" s="14" t="n">
        <f aca="false">I586*J586</f>
        <v>17000</v>
      </c>
      <c r="L586" s="14" t="n">
        <f aca="false">($L$2*M586)/100</f>
        <v>420583.275</v>
      </c>
      <c r="M586" s="15" t="n">
        <v>0.35</v>
      </c>
      <c r="N586" s="9" t="s">
        <v>20</v>
      </c>
    </row>
    <row r="587" customFormat="false" ht="14.25" hidden="false" customHeight="true" outlineLevel="0" collapsed="false">
      <c r="B587" s="9" t="s">
        <v>32</v>
      </c>
      <c r="C587" s="9" t="n">
        <v>1128299</v>
      </c>
      <c r="D587" s="10" t="n">
        <v>43914</v>
      </c>
      <c r="E587" s="9" t="s">
        <v>33</v>
      </c>
      <c r="F587" s="9" t="s">
        <v>46</v>
      </c>
      <c r="G587" s="9" t="s">
        <v>47</v>
      </c>
      <c r="H587" s="11" t="s">
        <v>23</v>
      </c>
      <c r="I587" s="12" t="n">
        <v>40</v>
      </c>
      <c r="J587" s="13" t="n">
        <v>275</v>
      </c>
      <c r="K587" s="14" t="n">
        <f aca="false">I587*J587</f>
        <v>11000</v>
      </c>
      <c r="L587" s="14" t="n">
        <f aca="false">($L$2*M587)/100</f>
        <v>360499.95</v>
      </c>
      <c r="M587" s="15" t="n">
        <v>0.3</v>
      </c>
      <c r="N587" s="9" t="s">
        <v>20</v>
      </c>
    </row>
    <row r="588" customFormat="false" ht="14.25" hidden="false" customHeight="true" outlineLevel="0" collapsed="false">
      <c r="B588" s="9" t="s">
        <v>32</v>
      </c>
      <c r="C588" s="9" t="n">
        <v>1128299</v>
      </c>
      <c r="D588" s="10" t="n">
        <v>43915</v>
      </c>
      <c r="E588" s="9" t="s">
        <v>33</v>
      </c>
      <c r="F588" s="9" t="s">
        <v>46</v>
      </c>
      <c r="G588" s="9" t="s">
        <v>47</v>
      </c>
      <c r="H588" s="11" t="s">
        <v>24</v>
      </c>
      <c r="I588" s="12" t="n">
        <v>45</v>
      </c>
      <c r="J588" s="13" t="n">
        <v>200</v>
      </c>
      <c r="K588" s="14" t="n">
        <f aca="false">I588*J588</f>
        <v>9000</v>
      </c>
      <c r="L588" s="14" t="n">
        <f aca="false">($L$2*M588)/100</f>
        <v>600833.25</v>
      </c>
      <c r="M588" s="15" t="n">
        <v>0.5</v>
      </c>
      <c r="N588" s="9" t="s">
        <v>20</v>
      </c>
    </row>
    <row r="589" customFormat="false" ht="14.25" hidden="false" customHeight="true" outlineLevel="0" collapsed="false">
      <c r="B589" s="9" t="s">
        <v>32</v>
      </c>
      <c r="C589" s="9" t="n">
        <v>1128299</v>
      </c>
      <c r="D589" s="10" t="n">
        <v>43916</v>
      </c>
      <c r="E589" s="9" t="s">
        <v>33</v>
      </c>
      <c r="F589" s="9" t="s">
        <v>46</v>
      </c>
      <c r="G589" s="9" t="s">
        <v>47</v>
      </c>
      <c r="H589" s="11" t="s">
        <v>25</v>
      </c>
      <c r="I589" s="12" t="n">
        <v>40</v>
      </c>
      <c r="J589" s="13" t="n">
        <v>400</v>
      </c>
      <c r="K589" s="14" t="n">
        <f aca="false">I589*J589</f>
        <v>16000</v>
      </c>
      <c r="L589" s="14" t="n">
        <f aca="false">($L$2*M589)/100</f>
        <v>180249.975</v>
      </c>
      <c r="M589" s="15" t="n">
        <v>0.15</v>
      </c>
      <c r="N589" s="9" t="s">
        <v>20</v>
      </c>
    </row>
    <row r="590" customFormat="false" ht="14.25" hidden="false" customHeight="true" outlineLevel="0" collapsed="false">
      <c r="B590" s="9" t="s">
        <v>32</v>
      </c>
      <c r="C590" s="9" t="n">
        <v>1128299</v>
      </c>
      <c r="D590" s="10" t="n">
        <v>43917</v>
      </c>
      <c r="E590" s="9" t="s">
        <v>33</v>
      </c>
      <c r="F590" s="9" t="s">
        <v>46</v>
      </c>
      <c r="G590" s="9" t="s">
        <v>47</v>
      </c>
      <c r="H590" s="11" t="s">
        <v>19</v>
      </c>
      <c r="I590" s="12" t="n">
        <v>40</v>
      </c>
      <c r="J590" s="13" t="n">
        <v>550</v>
      </c>
      <c r="K590" s="14" t="n">
        <f aca="false">I590*J590</f>
        <v>22000</v>
      </c>
      <c r="L590" s="14" t="n">
        <f aca="false">($L$2*M590)/100</f>
        <v>420583.275</v>
      </c>
      <c r="M590" s="15" t="n">
        <v>0.35</v>
      </c>
      <c r="N590" s="9" t="s">
        <v>20</v>
      </c>
    </row>
    <row r="591" customFormat="false" ht="14.25" hidden="false" customHeight="true" outlineLevel="0" collapsed="false">
      <c r="B591" s="9" t="s">
        <v>32</v>
      </c>
      <c r="C591" s="9" t="n">
        <v>1128299</v>
      </c>
      <c r="D591" s="10" t="n">
        <v>43918</v>
      </c>
      <c r="E591" s="9" t="s">
        <v>33</v>
      </c>
      <c r="F591" s="9" t="s">
        <v>46</v>
      </c>
      <c r="G591" s="9" t="s">
        <v>47</v>
      </c>
      <c r="H591" s="11" t="s">
        <v>21</v>
      </c>
      <c r="I591" s="12" t="n">
        <v>50</v>
      </c>
      <c r="J591" s="13" t="n">
        <v>400</v>
      </c>
      <c r="K591" s="14" t="n">
        <f aca="false">I591*J591</f>
        <v>20000</v>
      </c>
      <c r="L591" s="14" t="n">
        <f aca="false">($L$2*M591)/100</f>
        <v>240333.3</v>
      </c>
      <c r="M591" s="15" t="n">
        <v>0.2</v>
      </c>
      <c r="N591" s="9" t="s">
        <v>20</v>
      </c>
    </row>
    <row r="592" customFormat="false" ht="14.25" hidden="false" customHeight="true" outlineLevel="0" collapsed="false">
      <c r="B592" s="9" t="s">
        <v>32</v>
      </c>
      <c r="C592" s="9" t="n">
        <v>1128299</v>
      </c>
      <c r="D592" s="10" t="n">
        <v>43919</v>
      </c>
      <c r="E592" s="9" t="s">
        <v>33</v>
      </c>
      <c r="F592" s="9" t="s">
        <v>46</v>
      </c>
      <c r="G592" s="9" t="s">
        <v>47</v>
      </c>
      <c r="H592" s="11" t="s">
        <v>22</v>
      </c>
      <c r="I592" s="12" t="n">
        <v>55</v>
      </c>
      <c r="J592" s="13" t="n">
        <v>400</v>
      </c>
      <c r="K592" s="14" t="n">
        <f aca="false">I592*J592</f>
        <v>22000</v>
      </c>
      <c r="L592" s="14" t="n">
        <f aca="false">($L$2*M592)/100</f>
        <v>420583.275</v>
      </c>
      <c r="M592" s="15" t="n">
        <v>0.35</v>
      </c>
      <c r="N592" s="9" t="s">
        <v>20</v>
      </c>
    </row>
    <row r="593" customFormat="false" ht="14.25" hidden="false" customHeight="true" outlineLevel="0" collapsed="false">
      <c r="B593" s="9" t="s">
        <v>32</v>
      </c>
      <c r="C593" s="9" t="n">
        <v>1128299</v>
      </c>
      <c r="D593" s="10" t="n">
        <v>43920</v>
      </c>
      <c r="E593" s="9" t="s">
        <v>33</v>
      </c>
      <c r="F593" s="9" t="s">
        <v>46</v>
      </c>
      <c r="G593" s="9" t="s">
        <v>47</v>
      </c>
      <c r="H593" s="11" t="s">
        <v>23</v>
      </c>
      <c r="I593" s="12" t="n">
        <v>55</v>
      </c>
      <c r="J593" s="13" t="n">
        <v>300</v>
      </c>
      <c r="K593" s="14" t="n">
        <f aca="false">I593*J593</f>
        <v>16500</v>
      </c>
      <c r="L593" s="14" t="n">
        <f aca="false">($L$2*M593)/100</f>
        <v>360499.95</v>
      </c>
      <c r="M593" s="15" t="n">
        <v>0.3</v>
      </c>
      <c r="N593" s="9" t="s">
        <v>20</v>
      </c>
    </row>
    <row r="594" customFormat="false" ht="14.25" hidden="false" customHeight="true" outlineLevel="0" collapsed="false">
      <c r="B594" s="9" t="s">
        <v>32</v>
      </c>
      <c r="C594" s="9" t="n">
        <v>1128299</v>
      </c>
      <c r="D594" s="10" t="n">
        <v>43921</v>
      </c>
      <c r="E594" s="9" t="s">
        <v>33</v>
      </c>
      <c r="F594" s="9" t="s">
        <v>46</v>
      </c>
      <c r="G594" s="9" t="s">
        <v>47</v>
      </c>
      <c r="H594" s="11" t="s">
        <v>24</v>
      </c>
      <c r="I594" s="12" t="n">
        <v>60</v>
      </c>
      <c r="J594" s="13" t="n">
        <v>150</v>
      </c>
      <c r="K594" s="14" t="n">
        <f aca="false">I594*J594</f>
        <v>9000</v>
      </c>
      <c r="L594" s="14" t="n">
        <f aca="false">($L$2*M594)/100</f>
        <v>600833.25</v>
      </c>
      <c r="M594" s="15" t="n">
        <v>0.5</v>
      </c>
      <c r="N594" s="9" t="s">
        <v>20</v>
      </c>
    </row>
    <row r="595" customFormat="false" ht="14.25" hidden="false" customHeight="true" outlineLevel="0" collapsed="false">
      <c r="B595" s="9" t="s">
        <v>32</v>
      </c>
      <c r="C595" s="9" t="n">
        <v>1128299</v>
      </c>
      <c r="D595" s="10" t="n">
        <v>43922</v>
      </c>
      <c r="E595" s="9" t="s">
        <v>33</v>
      </c>
      <c r="F595" s="9" t="s">
        <v>46</v>
      </c>
      <c r="G595" s="9" t="s">
        <v>47</v>
      </c>
      <c r="H595" s="11" t="s">
        <v>25</v>
      </c>
      <c r="I595" s="12" t="n">
        <v>55</v>
      </c>
      <c r="J595" s="13" t="n">
        <v>350</v>
      </c>
      <c r="K595" s="14" t="n">
        <f aca="false">I595*J595</f>
        <v>19250</v>
      </c>
      <c r="L595" s="14" t="n">
        <f aca="false">($L$2*M595)/100</f>
        <v>180249.975</v>
      </c>
      <c r="M595" s="15" t="n">
        <v>0.15</v>
      </c>
      <c r="N595" s="9" t="s">
        <v>20</v>
      </c>
    </row>
    <row r="596" customFormat="false" ht="14.25" hidden="false" customHeight="true" outlineLevel="0" collapsed="false">
      <c r="B596" s="9" t="s">
        <v>32</v>
      </c>
      <c r="C596" s="9" t="n">
        <v>1128299</v>
      </c>
      <c r="D596" s="10" t="n">
        <v>43923</v>
      </c>
      <c r="E596" s="9" t="s">
        <v>33</v>
      </c>
      <c r="F596" s="9" t="s">
        <v>46</v>
      </c>
      <c r="G596" s="9" t="s">
        <v>47</v>
      </c>
      <c r="H596" s="11" t="s">
        <v>19</v>
      </c>
      <c r="I596" s="12" t="n">
        <v>60</v>
      </c>
      <c r="J596" s="13" t="n">
        <v>525</v>
      </c>
      <c r="K596" s="14" t="n">
        <f aca="false">I596*J596</f>
        <v>31500</v>
      </c>
      <c r="L596" s="14" t="n">
        <f aca="false">($L$2*M596)/100</f>
        <v>420583.275</v>
      </c>
      <c r="M596" s="15" t="n">
        <v>0.35</v>
      </c>
      <c r="N596" s="9" t="s">
        <v>20</v>
      </c>
    </row>
    <row r="597" customFormat="false" ht="14.25" hidden="false" customHeight="true" outlineLevel="0" collapsed="false">
      <c r="B597" s="9" t="s">
        <v>32</v>
      </c>
      <c r="C597" s="9" t="n">
        <v>1128299</v>
      </c>
      <c r="D597" s="10" t="n">
        <v>43924</v>
      </c>
      <c r="E597" s="9" t="s">
        <v>33</v>
      </c>
      <c r="F597" s="9" t="s">
        <v>46</v>
      </c>
      <c r="G597" s="9" t="s">
        <v>47</v>
      </c>
      <c r="H597" s="11" t="s">
        <v>21</v>
      </c>
      <c r="I597" s="12" t="n">
        <v>65</v>
      </c>
      <c r="J597" s="13" t="n">
        <v>325</v>
      </c>
      <c r="K597" s="14" t="n">
        <f aca="false">I597*J597</f>
        <v>21125</v>
      </c>
      <c r="L597" s="14" t="n">
        <f aca="false">($L$2*M597)/100</f>
        <v>240333.3</v>
      </c>
      <c r="M597" s="15" t="n">
        <v>0.2</v>
      </c>
      <c r="N597" s="9" t="s">
        <v>20</v>
      </c>
    </row>
    <row r="598" customFormat="false" ht="14.25" hidden="false" customHeight="true" outlineLevel="0" collapsed="false">
      <c r="B598" s="9" t="s">
        <v>32</v>
      </c>
      <c r="C598" s="9" t="n">
        <v>1128299</v>
      </c>
      <c r="D598" s="10" t="n">
        <v>43925</v>
      </c>
      <c r="E598" s="9" t="s">
        <v>33</v>
      </c>
      <c r="F598" s="9" t="s">
        <v>46</v>
      </c>
      <c r="G598" s="9" t="s">
        <v>47</v>
      </c>
      <c r="H598" s="11" t="s">
        <v>22</v>
      </c>
      <c r="I598" s="12" t="n">
        <v>65</v>
      </c>
      <c r="J598" s="13" t="n">
        <v>375</v>
      </c>
      <c r="K598" s="14" t="n">
        <f aca="false">I598*J598</f>
        <v>24375</v>
      </c>
      <c r="L598" s="14" t="n">
        <f aca="false">($L$2*M598)/100</f>
        <v>420583.275</v>
      </c>
      <c r="M598" s="15" t="n">
        <v>0.35</v>
      </c>
      <c r="N598" s="9" t="s">
        <v>20</v>
      </c>
    </row>
    <row r="599" customFormat="false" ht="14.25" hidden="false" customHeight="true" outlineLevel="0" collapsed="false">
      <c r="B599" s="9" t="s">
        <v>32</v>
      </c>
      <c r="C599" s="9" t="n">
        <v>1128299</v>
      </c>
      <c r="D599" s="10" t="n">
        <v>43926</v>
      </c>
      <c r="E599" s="9" t="s">
        <v>33</v>
      </c>
      <c r="F599" s="9" t="s">
        <v>46</v>
      </c>
      <c r="G599" s="9" t="s">
        <v>47</v>
      </c>
      <c r="H599" s="11" t="s">
        <v>23</v>
      </c>
      <c r="I599" s="12" t="n">
        <v>60</v>
      </c>
      <c r="J599" s="13" t="n">
        <v>275</v>
      </c>
      <c r="K599" s="14" t="n">
        <f aca="false">I599*J599</f>
        <v>16500</v>
      </c>
      <c r="L599" s="14" t="n">
        <f aca="false">($L$2*M599)/100</f>
        <v>360499.95</v>
      </c>
      <c r="M599" s="15" t="n">
        <v>0.3</v>
      </c>
      <c r="N599" s="9" t="s">
        <v>20</v>
      </c>
    </row>
    <row r="600" customFormat="false" ht="14.25" hidden="false" customHeight="true" outlineLevel="0" collapsed="false">
      <c r="B600" s="9" t="s">
        <v>32</v>
      </c>
      <c r="C600" s="9" t="n">
        <v>1128299</v>
      </c>
      <c r="D600" s="10" t="n">
        <v>43927</v>
      </c>
      <c r="E600" s="9" t="s">
        <v>33</v>
      </c>
      <c r="F600" s="9" t="s">
        <v>46</v>
      </c>
      <c r="G600" s="9" t="s">
        <v>47</v>
      </c>
      <c r="H600" s="11" t="s">
        <v>24</v>
      </c>
      <c r="I600" s="12" t="n">
        <v>65</v>
      </c>
      <c r="J600" s="13" t="n">
        <v>175</v>
      </c>
      <c r="K600" s="14" t="n">
        <f aca="false">I600*J600</f>
        <v>11375</v>
      </c>
      <c r="L600" s="14" t="n">
        <f aca="false">($L$2*M600)/100</f>
        <v>600833.25</v>
      </c>
      <c r="M600" s="15" t="n">
        <v>0.5</v>
      </c>
      <c r="N600" s="9" t="s">
        <v>20</v>
      </c>
    </row>
    <row r="601" customFormat="false" ht="14.25" hidden="false" customHeight="true" outlineLevel="0" collapsed="false">
      <c r="B601" s="9" t="s">
        <v>32</v>
      </c>
      <c r="C601" s="9" t="n">
        <v>1128299</v>
      </c>
      <c r="D601" s="10" t="n">
        <v>43928</v>
      </c>
      <c r="E601" s="9" t="s">
        <v>33</v>
      </c>
      <c r="F601" s="9" t="s">
        <v>46</v>
      </c>
      <c r="G601" s="9" t="s">
        <v>47</v>
      </c>
      <c r="H601" s="11" t="s">
        <v>25</v>
      </c>
      <c r="I601" s="12" t="n">
        <v>80</v>
      </c>
      <c r="J601" s="13" t="n">
        <v>325</v>
      </c>
      <c r="K601" s="14" t="n">
        <f aca="false">I601*J601</f>
        <v>26000</v>
      </c>
      <c r="L601" s="14" t="n">
        <f aca="false">($L$2*M601)/100</f>
        <v>180249.975</v>
      </c>
      <c r="M601" s="15" t="n">
        <v>0.15</v>
      </c>
      <c r="N601" s="9" t="s">
        <v>20</v>
      </c>
    </row>
    <row r="602" customFormat="false" ht="14.25" hidden="false" customHeight="true" outlineLevel="0" collapsed="false">
      <c r="B602" s="9" t="s">
        <v>32</v>
      </c>
      <c r="C602" s="9" t="n">
        <v>1128299</v>
      </c>
      <c r="D602" s="10" t="n">
        <v>43929</v>
      </c>
      <c r="E602" s="9" t="s">
        <v>33</v>
      </c>
      <c r="F602" s="9" t="s">
        <v>46</v>
      </c>
      <c r="G602" s="9" t="s">
        <v>47</v>
      </c>
      <c r="H602" s="11" t="s">
        <v>19</v>
      </c>
      <c r="I602" s="12" t="n">
        <v>60</v>
      </c>
      <c r="J602" s="13" t="n">
        <v>525</v>
      </c>
      <c r="K602" s="14" t="n">
        <f aca="false">I602*J602</f>
        <v>31500</v>
      </c>
      <c r="L602" s="14" t="n">
        <f aca="false">($L$2*M602)/100</f>
        <v>600833.25</v>
      </c>
      <c r="M602" s="15" t="n">
        <v>0.5</v>
      </c>
      <c r="N602" s="9" t="s">
        <v>20</v>
      </c>
    </row>
    <row r="603" customFormat="false" ht="14.25" hidden="false" customHeight="true" outlineLevel="0" collapsed="false">
      <c r="B603" s="9" t="s">
        <v>32</v>
      </c>
      <c r="C603" s="9" t="n">
        <v>1128299</v>
      </c>
      <c r="D603" s="10" t="n">
        <v>43930</v>
      </c>
      <c r="E603" s="9" t="s">
        <v>33</v>
      </c>
      <c r="F603" s="9" t="s">
        <v>46</v>
      </c>
      <c r="G603" s="9" t="s">
        <v>47</v>
      </c>
      <c r="H603" s="11" t="s">
        <v>21</v>
      </c>
      <c r="I603" s="12" t="n">
        <v>65</v>
      </c>
      <c r="J603" s="13" t="n">
        <v>375</v>
      </c>
      <c r="K603" s="14" t="n">
        <f aca="false">I603*J603</f>
        <v>24375</v>
      </c>
      <c r="L603" s="14" t="n">
        <f aca="false">($L$2*M603)/100</f>
        <v>420583.275</v>
      </c>
      <c r="M603" s="15" t="n">
        <v>0.35</v>
      </c>
      <c r="N603" s="9" t="s">
        <v>20</v>
      </c>
    </row>
    <row r="604" customFormat="false" ht="14.25" hidden="false" customHeight="true" outlineLevel="0" collapsed="false">
      <c r="B604" s="9" t="s">
        <v>32</v>
      </c>
      <c r="C604" s="9" t="n">
        <v>1128299</v>
      </c>
      <c r="D604" s="10" t="n">
        <v>43931</v>
      </c>
      <c r="E604" s="9" t="s">
        <v>33</v>
      </c>
      <c r="F604" s="9" t="s">
        <v>46</v>
      </c>
      <c r="G604" s="9" t="s">
        <v>47</v>
      </c>
      <c r="H604" s="11" t="s">
        <v>22</v>
      </c>
      <c r="I604" s="12" t="n">
        <v>65</v>
      </c>
      <c r="J604" s="13" t="n">
        <v>375</v>
      </c>
      <c r="K604" s="14" t="n">
        <f aca="false">I604*J604</f>
        <v>24375</v>
      </c>
      <c r="L604" s="14" t="n">
        <f aca="false">($L$2*M604)/100</f>
        <v>600833.25</v>
      </c>
      <c r="M604" s="15" t="n">
        <v>0.5</v>
      </c>
      <c r="N604" s="9" t="s">
        <v>20</v>
      </c>
    </row>
    <row r="605" customFormat="false" ht="14.25" hidden="false" customHeight="true" outlineLevel="0" collapsed="false">
      <c r="B605" s="9" t="s">
        <v>32</v>
      </c>
      <c r="C605" s="9" t="n">
        <v>1128299</v>
      </c>
      <c r="D605" s="10" t="n">
        <v>43932</v>
      </c>
      <c r="E605" s="9" t="s">
        <v>33</v>
      </c>
      <c r="F605" s="9" t="s">
        <v>46</v>
      </c>
      <c r="G605" s="9" t="s">
        <v>47</v>
      </c>
      <c r="H605" s="11" t="s">
        <v>23</v>
      </c>
      <c r="I605" s="12" t="n">
        <v>60</v>
      </c>
      <c r="J605" s="13" t="n">
        <v>275</v>
      </c>
      <c r="K605" s="14" t="n">
        <f aca="false">I605*J605</f>
        <v>16500</v>
      </c>
      <c r="L605" s="14" t="n">
        <f aca="false">($L$2*M605)/100</f>
        <v>540749.925</v>
      </c>
      <c r="M605" s="15" t="n">
        <v>0.45</v>
      </c>
      <c r="N605" s="9" t="s">
        <v>20</v>
      </c>
    </row>
    <row r="606" customFormat="false" ht="14.25" hidden="false" customHeight="true" outlineLevel="0" collapsed="false">
      <c r="B606" s="9" t="s">
        <v>32</v>
      </c>
      <c r="C606" s="9" t="n">
        <v>1128299</v>
      </c>
      <c r="D606" s="10" t="n">
        <v>43933</v>
      </c>
      <c r="E606" s="9" t="s">
        <v>33</v>
      </c>
      <c r="F606" s="9" t="s">
        <v>46</v>
      </c>
      <c r="G606" s="9" t="s">
        <v>47</v>
      </c>
      <c r="H606" s="11" t="s">
        <v>24</v>
      </c>
      <c r="I606" s="12" t="n">
        <v>65</v>
      </c>
      <c r="J606" s="13" t="n">
        <v>175</v>
      </c>
      <c r="K606" s="14" t="n">
        <f aca="false">I606*J606</f>
        <v>11375</v>
      </c>
      <c r="L606" s="14" t="n">
        <f aca="false">($L$2*M606)/100</f>
        <v>781083.225</v>
      </c>
      <c r="M606" s="15" t="n">
        <v>0.65</v>
      </c>
      <c r="N606" s="9" t="s">
        <v>20</v>
      </c>
    </row>
    <row r="607" customFormat="false" ht="14.25" hidden="false" customHeight="true" outlineLevel="0" collapsed="false">
      <c r="B607" s="9" t="s">
        <v>32</v>
      </c>
      <c r="C607" s="9" t="n">
        <v>1128299</v>
      </c>
      <c r="D607" s="10" t="n">
        <v>43934</v>
      </c>
      <c r="E607" s="9" t="s">
        <v>33</v>
      </c>
      <c r="F607" s="9" t="s">
        <v>46</v>
      </c>
      <c r="G607" s="9" t="s">
        <v>47</v>
      </c>
      <c r="H607" s="11" t="s">
        <v>25</v>
      </c>
      <c r="I607" s="12" t="n">
        <v>80</v>
      </c>
      <c r="J607" s="13" t="n">
        <v>475</v>
      </c>
      <c r="K607" s="14" t="n">
        <f aca="false">I607*J607</f>
        <v>38000</v>
      </c>
      <c r="L607" s="14" t="n">
        <f aca="false">($L$2*M607)/100</f>
        <v>360499.95</v>
      </c>
      <c r="M607" s="15" t="n">
        <v>0.3</v>
      </c>
      <c r="N607" s="9" t="s">
        <v>20</v>
      </c>
    </row>
    <row r="608" customFormat="false" ht="14.25" hidden="false" customHeight="true" outlineLevel="0" collapsed="false">
      <c r="B608" s="9" t="s">
        <v>32</v>
      </c>
      <c r="C608" s="9" t="n">
        <v>1128299</v>
      </c>
      <c r="D608" s="10" t="n">
        <v>43935</v>
      </c>
      <c r="E608" s="9" t="s">
        <v>33</v>
      </c>
      <c r="F608" s="9" t="s">
        <v>46</v>
      </c>
      <c r="G608" s="9" t="s">
        <v>47</v>
      </c>
      <c r="H608" s="11" t="s">
        <v>19</v>
      </c>
      <c r="I608" s="12" t="n">
        <v>60</v>
      </c>
      <c r="J608" s="13" t="n">
        <v>725</v>
      </c>
      <c r="K608" s="14" t="n">
        <f aca="false">I608*J608</f>
        <v>43500</v>
      </c>
      <c r="L608" s="14" t="n">
        <f aca="false">($L$2*M608)/100</f>
        <v>600833.25</v>
      </c>
      <c r="M608" s="15" t="n">
        <v>0.5</v>
      </c>
      <c r="N608" s="9" t="s">
        <v>20</v>
      </c>
    </row>
    <row r="609" customFormat="false" ht="14.25" hidden="false" customHeight="true" outlineLevel="0" collapsed="false">
      <c r="B609" s="9" t="s">
        <v>32</v>
      </c>
      <c r="C609" s="9" t="n">
        <v>1128299</v>
      </c>
      <c r="D609" s="10" t="n">
        <v>43936</v>
      </c>
      <c r="E609" s="9" t="s">
        <v>33</v>
      </c>
      <c r="F609" s="9" t="s">
        <v>46</v>
      </c>
      <c r="G609" s="9" t="s">
        <v>47</v>
      </c>
      <c r="H609" s="11" t="s">
        <v>21</v>
      </c>
      <c r="I609" s="12" t="n">
        <v>65</v>
      </c>
      <c r="J609" s="13" t="n">
        <v>575</v>
      </c>
      <c r="K609" s="14" t="n">
        <f aca="false">I609*J609</f>
        <v>37375</v>
      </c>
      <c r="L609" s="14" t="n">
        <f aca="false">($L$2*M609)/100</f>
        <v>420583.275</v>
      </c>
      <c r="M609" s="15" t="n">
        <v>0.35</v>
      </c>
      <c r="N609" s="9" t="s">
        <v>20</v>
      </c>
    </row>
    <row r="610" customFormat="false" ht="14.25" hidden="false" customHeight="true" outlineLevel="0" collapsed="false">
      <c r="B610" s="9" t="s">
        <v>32</v>
      </c>
      <c r="C610" s="9" t="n">
        <v>1128299</v>
      </c>
      <c r="D610" s="10" t="n">
        <v>43937</v>
      </c>
      <c r="E610" s="9" t="s">
        <v>33</v>
      </c>
      <c r="F610" s="9" t="s">
        <v>46</v>
      </c>
      <c r="G610" s="9" t="s">
        <v>47</v>
      </c>
      <c r="H610" s="11" t="s">
        <v>22</v>
      </c>
      <c r="I610" s="12" t="n">
        <v>65</v>
      </c>
      <c r="J610" s="13" t="n">
        <v>575</v>
      </c>
      <c r="K610" s="14" t="n">
        <f aca="false">I610*J610</f>
        <v>37375</v>
      </c>
      <c r="L610" s="14" t="n">
        <f aca="false">($L$2*M610)/100</f>
        <v>600833.25</v>
      </c>
      <c r="M610" s="15" t="n">
        <v>0.5</v>
      </c>
      <c r="N610" s="9" t="s">
        <v>20</v>
      </c>
    </row>
    <row r="611" customFormat="false" ht="14.25" hidden="false" customHeight="true" outlineLevel="0" collapsed="false">
      <c r="B611" s="9" t="s">
        <v>32</v>
      </c>
      <c r="C611" s="9" t="n">
        <v>1128299</v>
      </c>
      <c r="D611" s="10" t="n">
        <v>43938</v>
      </c>
      <c r="E611" s="9" t="s">
        <v>33</v>
      </c>
      <c r="F611" s="9" t="s">
        <v>46</v>
      </c>
      <c r="G611" s="9" t="s">
        <v>47</v>
      </c>
      <c r="H611" s="11" t="s">
        <v>23</v>
      </c>
      <c r="I611" s="12" t="n">
        <v>65</v>
      </c>
      <c r="J611" s="13" t="n">
        <v>450</v>
      </c>
      <c r="K611" s="14" t="n">
        <f aca="false">I611*J611</f>
        <v>29250</v>
      </c>
      <c r="L611" s="14" t="n">
        <f aca="false">($L$2*M611)/100</f>
        <v>540749.925</v>
      </c>
      <c r="M611" s="15" t="n">
        <v>0.45</v>
      </c>
      <c r="N611" s="9" t="s">
        <v>20</v>
      </c>
    </row>
    <row r="612" customFormat="false" ht="14.25" hidden="false" customHeight="true" outlineLevel="0" collapsed="false">
      <c r="B612" s="9" t="s">
        <v>32</v>
      </c>
      <c r="C612" s="9" t="n">
        <v>1128299</v>
      </c>
      <c r="D612" s="10" t="n">
        <v>43939</v>
      </c>
      <c r="E612" s="9" t="s">
        <v>33</v>
      </c>
      <c r="F612" s="9" t="s">
        <v>46</v>
      </c>
      <c r="G612" s="9" t="s">
        <v>47</v>
      </c>
      <c r="H612" s="11" t="s">
        <v>24</v>
      </c>
      <c r="I612" s="12" t="n">
        <v>70</v>
      </c>
      <c r="J612" s="13" t="n">
        <v>325</v>
      </c>
      <c r="K612" s="14" t="n">
        <f aca="false">I612*J612</f>
        <v>22750</v>
      </c>
      <c r="L612" s="14" t="n">
        <f aca="false">($L$2*M612)/100</f>
        <v>781083.225</v>
      </c>
      <c r="M612" s="15" t="n">
        <v>0.65</v>
      </c>
      <c r="N612" s="9" t="s">
        <v>20</v>
      </c>
    </row>
    <row r="613" customFormat="false" ht="14.25" hidden="false" customHeight="true" outlineLevel="0" collapsed="false">
      <c r="B613" s="9" t="s">
        <v>32</v>
      </c>
      <c r="C613" s="9" t="n">
        <v>1128299</v>
      </c>
      <c r="D613" s="10" t="n">
        <v>43940</v>
      </c>
      <c r="E613" s="9" t="s">
        <v>33</v>
      </c>
      <c r="F613" s="9" t="s">
        <v>46</v>
      </c>
      <c r="G613" s="9" t="s">
        <v>47</v>
      </c>
      <c r="H613" s="11" t="s">
        <v>25</v>
      </c>
      <c r="I613" s="12" t="n">
        <v>85</v>
      </c>
      <c r="J613" s="13" t="n">
        <v>625</v>
      </c>
      <c r="K613" s="14" t="n">
        <f aca="false">I613*J613</f>
        <v>53125</v>
      </c>
      <c r="L613" s="14" t="n">
        <f aca="false">($L$2*M613)/100</f>
        <v>360499.95</v>
      </c>
      <c r="M613" s="15" t="n">
        <v>0.3</v>
      </c>
      <c r="N613" s="9" t="s">
        <v>20</v>
      </c>
    </row>
    <row r="614" customFormat="false" ht="14.25" hidden="false" customHeight="true" outlineLevel="0" collapsed="false">
      <c r="B614" s="9" t="s">
        <v>32</v>
      </c>
      <c r="C614" s="9" t="n">
        <v>1128299</v>
      </c>
      <c r="D614" s="10" t="n">
        <v>43941</v>
      </c>
      <c r="E614" s="9" t="s">
        <v>33</v>
      </c>
      <c r="F614" s="9" t="s">
        <v>46</v>
      </c>
      <c r="G614" s="9" t="s">
        <v>47</v>
      </c>
      <c r="H614" s="11" t="s">
        <v>19</v>
      </c>
      <c r="I614" s="12" t="n">
        <v>65</v>
      </c>
      <c r="J614" s="13" t="n">
        <v>775</v>
      </c>
      <c r="K614" s="14" t="n">
        <f aca="false">I614*J614</f>
        <v>50375</v>
      </c>
      <c r="L614" s="14" t="n">
        <f aca="false">($L$2*M614)/100</f>
        <v>540749.925</v>
      </c>
      <c r="M614" s="15" t="n">
        <v>0.45</v>
      </c>
      <c r="N614" s="9" t="s">
        <v>20</v>
      </c>
    </row>
    <row r="615" customFormat="false" ht="14.25" hidden="false" customHeight="true" outlineLevel="0" collapsed="false">
      <c r="B615" s="9" t="s">
        <v>32</v>
      </c>
      <c r="C615" s="9" t="n">
        <v>1128299</v>
      </c>
      <c r="D615" s="10" t="n">
        <v>43942</v>
      </c>
      <c r="E615" s="9" t="s">
        <v>33</v>
      </c>
      <c r="F615" s="9" t="s">
        <v>46</v>
      </c>
      <c r="G615" s="9" t="s">
        <v>47</v>
      </c>
      <c r="H615" s="11" t="s">
        <v>21</v>
      </c>
      <c r="I615" s="12" t="n">
        <v>70</v>
      </c>
      <c r="J615" s="13" t="n">
        <v>625</v>
      </c>
      <c r="K615" s="14" t="n">
        <f aca="false">I615*J615</f>
        <v>43750</v>
      </c>
      <c r="L615" s="14" t="n">
        <f aca="false">($L$2*M615)/100</f>
        <v>360499.95</v>
      </c>
      <c r="M615" s="15" t="n">
        <v>0.3</v>
      </c>
      <c r="N615" s="9" t="s">
        <v>20</v>
      </c>
    </row>
    <row r="616" customFormat="false" ht="14.25" hidden="false" customHeight="true" outlineLevel="0" collapsed="false">
      <c r="B616" s="9" t="s">
        <v>32</v>
      </c>
      <c r="C616" s="9" t="n">
        <v>1128299</v>
      </c>
      <c r="D616" s="10" t="n">
        <v>43943</v>
      </c>
      <c r="E616" s="9" t="s">
        <v>33</v>
      </c>
      <c r="F616" s="9" t="s">
        <v>46</v>
      </c>
      <c r="G616" s="9" t="s">
        <v>47</v>
      </c>
      <c r="H616" s="11" t="s">
        <v>22</v>
      </c>
      <c r="I616" s="12" t="n">
        <v>70</v>
      </c>
      <c r="J616" s="13" t="n">
        <v>575</v>
      </c>
      <c r="K616" s="14" t="n">
        <f aca="false">I616*J616</f>
        <v>40250</v>
      </c>
      <c r="L616" s="14" t="n">
        <f aca="false">($L$2*M616)/100</f>
        <v>540749.925</v>
      </c>
      <c r="M616" s="15" t="n">
        <v>0.45</v>
      </c>
      <c r="N616" s="9" t="s">
        <v>20</v>
      </c>
    </row>
    <row r="617" customFormat="false" ht="14.25" hidden="false" customHeight="true" outlineLevel="0" collapsed="false">
      <c r="B617" s="9" t="s">
        <v>32</v>
      </c>
      <c r="C617" s="9" t="n">
        <v>1128299</v>
      </c>
      <c r="D617" s="10" t="n">
        <v>43944</v>
      </c>
      <c r="E617" s="9" t="s">
        <v>33</v>
      </c>
      <c r="F617" s="9" t="s">
        <v>46</v>
      </c>
      <c r="G617" s="9" t="s">
        <v>47</v>
      </c>
      <c r="H617" s="11" t="s">
        <v>23</v>
      </c>
      <c r="I617" s="12" t="n">
        <v>65</v>
      </c>
      <c r="J617" s="13" t="n">
        <v>475</v>
      </c>
      <c r="K617" s="14" t="n">
        <f aca="false">I617*J617</f>
        <v>30875</v>
      </c>
      <c r="L617" s="14" t="n">
        <f aca="false">($L$2*M617)/100</f>
        <v>480666.6</v>
      </c>
      <c r="M617" s="15" t="n">
        <v>0.4</v>
      </c>
      <c r="N617" s="9" t="s">
        <v>20</v>
      </c>
    </row>
    <row r="618" customFormat="false" ht="14.25" hidden="false" customHeight="true" outlineLevel="0" collapsed="false">
      <c r="B618" s="9" t="s">
        <v>32</v>
      </c>
      <c r="C618" s="9" t="n">
        <v>1128299</v>
      </c>
      <c r="D618" s="10" t="n">
        <v>43945</v>
      </c>
      <c r="E618" s="9" t="s">
        <v>33</v>
      </c>
      <c r="F618" s="9" t="s">
        <v>46</v>
      </c>
      <c r="G618" s="9" t="s">
        <v>47</v>
      </c>
      <c r="H618" s="11" t="s">
        <v>24</v>
      </c>
      <c r="I618" s="12" t="n">
        <v>70</v>
      </c>
      <c r="J618" s="13" t="n">
        <v>525</v>
      </c>
      <c r="K618" s="14" t="n">
        <f aca="false">I618*J618</f>
        <v>36750</v>
      </c>
      <c r="L618" s="14" t="n">
        <f aca="false">($L$2*M618)/100</f>
        <v>720999.9</v>
      </c>
      <c r="M618" s="15" t="n">
        <v>0.6</v>
      </c>
      <c r="N618" s="9" t="s">
        <v>20</v>
      </c>
    </row>
    <row r="619" customFormat="false" ht="14.25" hidden="false" customHeight="true" outlineLevel="0" collapsed="false">
      <c r="B619" s="9" t="s">
        <v>32</v>
      </c>
      <c r="C619" s="9" t="n">
        <v>1128299</v>
      </c>
      <c r="D619" s="10" t="n">
        <v>43946</v>
      </c>
      <c r="E619" s="9" t="s">
        <v>33</v>
      </c>
      <c r="F619" s="9" t="s">
        <v>46</v>
      </c>
      <c r="G619" s="9" t="s">
        <v>47</v>
      </c>
      <c r="H619" s="11" t="s">
        <v>25</v>
      </c>
      <c r="I619" s="12" t="n">
        <v>85</v>
      </c>
      <c r="J619" s="13" t="n">
        <v>525</v>
      </c>
      <c r="K619" s="14" t="n">
        <f aca="false">I619*J619</f>
        <v>44625</v>
      </c>
      <c r="L619" s="14" t="n">
        <f aca="false">($L$2*M619)/100</f>
        <v>300416.625</v>
      </c>
      <c r="M619" s="15" t="n">
        <v>0.25</v>
      </c>
      <c r="N619" s="9" t="s">
        <v>20</v>
      </c>
    </row>
    <row r="620" customFormat="false" ht="14.25" hidden="false" customHeight="true" outlineLevel="0" collapsed="false">
      <c r="B620" s="9" t="s">
        <v>32</v>
      </c>
      <c r="C620" s="9" t="n">
        <v>1128299</v>
      </c>
      <c r="D620" s="10" t="n">
        <v>43947</v>
      </c>
      <c r="E620" s="9" t="s">
        <v>33</v>
      </c>
      <c r="F620" s="9" t="s">
        <v>46</v>
      </c>
      <c r="G620" s="9" t="s">
        <v>47</v>
      </c>
      <c r="H620" s="11" t="s">
        <v>19</v>
      </c>
      <c r="I620" s="12" t="n">
        <v>70</v>
      </c>
      <c r="J620" s="13" t="n">
        <v>725</v>
      </c>
      <c r="K620" s="14" t="n">
        <f aca="false">I620*J620</f>
        <v>50750</v>
      </c>
      <c r="L620" s="14" t="n">
        <f aca="false">($L$2*M620)/100</f>
        <v>540749.925</v>
      </c>
      <c r="M620" s="15" t="n">
        <v>0.45</v>
      </c>
      <c r="N620" s="9" t="s">
        <v>20</v>
      </c>
    </row>
    <row r="621" customFormat="false" ht="14.25" hidden="false" customHeight="true" outlineLevel="0" collapsed="false">
      <c r="B621" s="9" t="s">
        <v>32</v>
      </c>
      <c r="C621" s="9" t="n">
        <v>1128299</v>
      </c>
      <c r="D621" s="10" t="n">
        <v>43948</v>
      </c>
      <c r="E621" s="9" t="s">
        <v>33</v>
      </c>
      <c r="F621" s="9" t="s">
        <v>46</v>
      </c>
      <c r="G621" s="9" t="s">
        <v>47</v>
      </c>
      <c r="H621" s="11" t="s">
        <v>21</v>
      </c>
      <c r="I621" s="12" t="n">
        <v>75</v>
      </c>
      <c r="J621" s="13" t="n">
        <v>675</v>
      </c>
      <c r="K621" s="14" t="n">
        <f aca="false">I621*J621</f>
        <v>50625</v>
      </c>
      <c r="L621" s="14" t="n">
        <f aca="false">($L$2*M621)/100</f>
        <v>360499.95</v>
      </c>
      <c r="M621" s="15" t="n">
        <v>0.3</v>
      </c>
      <c r="N621" s="9" t="s">
        <v>20</v>
      </c>
    </row>
    <row r="622" customFormat="false" ht="14.25" hidden="false" customHeight="true" outlineLevel="0" collapsed="false">
      <c r="B622" s="9" t="s">
        <v>32</v>
      </c>
      <c r="C622" s="9" t="n">
        <v>1128299</v>
      </c>
      <c r="D622" s="10" t="n">
        <v>43949</v>
      </c>
      <c r="E622" s="9" t="s">
        <v>33</v>
      </c>
      <c r="F622" s="9" t="s">
        <v>46</v>
      </c>
      <c r="G622" s="9" t="s">
        <v>47</v>
      </c>
      <c r="H622" s="11" t="s">
        <v>22</v>
      </c>
      <c r="I622" s="12" t="n">
        <v>70</v>
      </c>
      <c r="J622" s="13" t="n">
        <v>550</v>
      </c>
      <c r="K622" s="14" t="n">
        <f aca="false">I622*J622</f>
        <v>38500</v>
      </c>
      <c r="L622" s="14" t="n">
        <f aca="false">($L$2*M622)/100</f>
        <v>540749.925</v>
      </c>
      <c r="M622" s="15" t="n">
        <v>0.45</v>
      </c>
      <c r="N622" s="9" t="s">
        <v>20</v>
      </c>
    </row>
    <row r="623" customFormat="false" ht="14.25" hidden="false" customHeight="true" outlineLevel="0" collapsed="false">
      <c r="B623" s="9" t="s">
        <v>32</v>
      </c>
      <c r="C623" s="9" t="n">
        <v>1128299</v>
      </c>
      <c r="D623" s="10" t="n">
        <v>43950</v>
      </c>
      <c r="E623" s="9" t="s">
        <v>33</v>
      </c>
      <c r="F623" s="9" t="s">
        <v>46</v>
      </c>
      <c r="G623" s="9" t="s">
        <v>47</v>
      </c>
      <c r="H623" s="11" t="s">
        <v>23</v>
      </c>
      <c r="I623" s="12" t="n">
        <v>70</v>
      </c>
      <c r="J623" s="13" t="n">
        <v>500</v>
      </c>
      <c r="K623" s="14" t="n">
        <f aca="false">I623*J623</f>
        <v>35000</v>
      </c>
      <c r="L623" s="14" t="n">
        <f aca="false">($L$2*M623)/100</f>
        <v>480666.6</v>
      </c>
      <c r="M623" s="15" t="n">
        <v>0.4</v>
      </c>
      <c r="N623" s="9" t="s">
        <v>20</v>
      </c>
    </row>
    <row r="624" customFormat="false" ht="14.25" hidden="false" customHeight="true" outlineLevel="0" collapsed="false">
      <c r="B624" s="9" t="s">
        <v>32</v>
      </c>
      <c r="C624" s="9" t="n">
        <v>1128299</v>
      </c>
      <c r="D624" s="10" t="n">
        <v>43951</v>
      </c>
      <c r="E624" s="9" t="s">
        <v>33</v>
      </c>
      <c r="F624" s="9" t="s">
        <v>46</v>
      </c>
      <c r="G624" s="9" t="s">
        <v>47</v>
      </c>
      <c r="H624" s="11" t="s">
        <v>24</v>
      </c>
      <c r="I624" s="12" t="n">
        <v>75</v>
      </c>
      <c r="J624" s="13" t="n">
        <v>500</v>
      </c>
      <c r="K624" s="14" t="n">
        <f aca="false">I624*J624</f>
        <v>37500</v>
      </c>
      <c r="L624" s="14" t="n">
        <f aca="false">($L$2*M624)/100</f>
        <v>720999.9</v>
      </c>
      <c r="M624" s="15" t="n">
        <v>0.6</v>
      </c>
      <c r="N624" s="9" t="s">
        <v>20</v>
      </c>
    </row>
    <row r="625" customFormat="false" ht="14.25" hidden="false" customHeight="true" outlineLevel="0" collapsed="false">
      <c r="B625" s="9" t="s">
        <v>32</v>
      </c>
      <c r="C625" s="9" t="n">
        <v>1128299</v>
      </c>
      <c r="D625" s="10" t="n">
        <v>43952</v>
      </c>
      <c r="E625" s="9" t="s">
        <v>33</v>
      </c>
      <c r="F625" s="9" t="s">
        <v>46</v>
      </c>
      <c r="G625" s="9" t="s">
        <v>47</v>
      </c>
      <c r="H625" s="11" t="s">
        <v>25</v>
      </c>
      <c r="I625" s="12" t="n">
        <v>80</v>
      </c>
      <c r="J625" s="13" t="n">
        <v>400</v>
      </c>
      <c r="K625" s="14" t="n">
        <f aca="false">I625*J625</f>
        <v>32000</v>
      </c>
      <c r="L625" s="14" t="n">
        <f aca="false">($L$2*M625)/100</f>
        <v>300416.625</v>
      </c>
      <c r="M625" s="15" t="n">
        <v>0.25</v>
      </c>
      <c r="N625" s="9" t="s">
        <v>20</v>
      </c>
    </row>
    <row r="626" customFormat="false" ht="14.25" hidden="false" customHeight="true" outlineLevel="0" collapsed="false">
      <c r="B626" s="9" t="s">
        <v>32</v>
      </c>
      <c r="C626" s="9" t="n">
        <v>1128299</v>
      </c>
      <c r="D626" s="10" t="n">
        <v>43953</v>
      </c>
      <c r="E626" s="9" t="s">
        <v>33</v>
      </c>
      <c r="F626" s="9" t="s">
        <v>46</v>
      </c>
      <c r="G626" s="9" t="s">
        <v>47</v>
      </c>
      <c r="H626" s="11" t="s">
        <v>19</v>
      </c>
      <c r="I626" s="12" t="n">
        <v>65</v>
      </c>
      <c r="J626" s="13" t="n">
        <v>600</v>
      </c>
      <c r="K626" s="14" t="n">
        <f aca="false">I626*J626</f>
        <v>39000</v>
      </c>
      <c r="L626" s="14" t="n">
        <f aca="false">($L$2*M626)/100</f>
        <v>480666.6</v>
      </c>
      <c r="M626" s="15" t="n">
        <v>0.4</v>
      </c>
      <c r="N626" s="9" t="s">
        <v>20</v>
      </c>
    </row>
    <row r="627" customFormat="false" ht="14.25" hidden="false" customHeight="true" outlineLevel="0" collapsed="false">
      <c r="B627" s="9" t="s">
        <v>32</v>
      </c>
      <c r="C627" s="9" t="n">
        <v>1128299</v>
      </c>
      <c r="D627" s="10" t="n">
        <v>43954</v>
      </c>
      <c r="E627" s="9" t="s">
        <v>33</v>
      </c>
      <c r="F627" s="9" t="s">
        <v>46</v>
      </c>
      <c r="G627" s="9" t="s">
        <v>47</v>
      </c>
      <c r="H627" s="11" t="s">
        <v>21</v>
      </c>
      <c r="I627" s="12" t="n">
        <v>70</v>
      </c>
      <c r="J627" s="13" t="n">
        <v>600</v>
      </c>
      <c r="K627" s="14" t="n">
        <f aca="false">I627*J627</f>
        <v>42000</v>
      </c>
      <c r="L627" s="14" t="n">
        <f aca="false">($L$2*M627)/100</f>
        <v>300416.625</v>
      </c>
      <c r="M627" s="15" t="n">
        <v>0.25</v>
      </c>
      <c r="N627" s="9" t="s">
        <v>20</v>
      </c>
    </row>
    <row r="628" customFormat="false" ht="14.25" hidden="false" customHeight="true" outlineLevel="0" collapsed="false">
      <c r="B628" s="9" t="s">
        <v>32</v>
      </c>
      <c r="C628" s="9" t="n">
        <v>1128299</v>
      </c>
      <c r="D628" s="10" t="n">
        <v>43955</v>
      </c>
      <c r="E628" s="9" t="s">
        <v>33</v>
      </c>
      <c r="F628" s="9" t="s">
        <v>46</v>
      </c>
      <c r="G628" s="9" t="s">
        <v>47</v>
      </c>
      <c r="H628" s="11" t="s">
        <v>22</v>
      </c>
      <c r="I628" s="12" t="n">
        <v>65</v>
      </c>
      <c r="J628" s="13" t="n">
        <v>450</v>
      </c>
      <c r="K628" s="14" t="n">
        <f aca="false">I628*J628</f>
        <v>29250</v>
      </c>
      <c r="L628" s="14" t="n">
        <f aca="false">($L$2*M628)/100</f>
        <v>480666.6</v>
      </c>
      <c r="M628" s="15" t="n">
        <v>0.4</v>
      </c>
      <c r="N628" s="9" t="s">
        <v>20</v>
      </c>
    </row>
    <row r="629" customFormat="false" ht="14.25" hidden="false" customHeight="true" outlineLevel="0" collapsed="false">
      <c r="B629" s="9" t="s">
        <v>32</v>
      </c>
      <c r="C629" s="9" t="n">
        <v>1128299</v>
      </c>
      <c r="D629" s="10" t="n">
        <v>43956</v>
      </c>
      <c r="E629" s="9" t="s">
        <v>33</v>
      </c>
      <c r="F629" s="9" t="s">
        <v>46</v>
      </c>
      <c r="G629" s="9" t="s">
        <v>47</v>
      </c>
      <c r="H629" s="11" t="s">
        <v>23</v>
      </c>
      <c r="I629" s="12" t="n">
        <v>65</v>
      </c>
      <c r="J629" s="13" t="n">
        <v>400</v>
      </c>
      <c r="K629" s="14" t="n">
        <f aca="false">I629*J629</f>
        <v>26000</v>
      </c>
      <c r="L629" s="14" t="n">
        <f aca="false">($L$2*M629)/100</f>
        <v>420583.275</v>
      </c>
      <c r="M629" s="15" t="n">
        <v>0.35</v>
      </c>
      <c r="N629" s="9" t="s">
        <v>20</v>
      </c>
    </row>
    <row r="630" customFormat="false" ht="14.25" hidden="false" customHeight="true" outlineLevel="0" collapsed="false">
      <c r="B630" s="9" t="s">
        <v>32</v>
      </c>
      <c r="C630" s="9" t="n">
        <v>1128299</v>
      </c>
      <c r="D630" s="10" t="n">
        <v>43957</v>
      </c>
      <c r="E630" s="9" t="s">
        <v>33</v>
      </c>
      <c r="F630" s="9" t="s">
        <v>46</v>
      </c>
      <c r="G630" s="9" t="s">
        <v>47</v>
      </c>
      <c r="H630" s="11" t="s">
        <v>24</v>
      </c>
      <c r="I630" s="12" t="n">
        <v>75</v>
      </c>
      <c r="J630" s="13" t="n">
        <v>400</v>
      </c>
      <c r="K630" s="14" t="n">
        <f aca="false">I630*J630</f>
        <v>30000</v>
      </c>
      <c r="L630" s="14" t="n">
        <f aca="false">($L$2*M630)/100</f>
        <v>660916.575</v>
      </c>
      <c r="M630" s="15" t="n">
        <v>0.55</v>
      </c>
      <c r="N630" s="9" t="s">
        <v>20</v>
      </c>
    </row>
    <row r="631" customFormat="false" ht="14.25" hidden="false" customHeight="true" outlineLevel="0" collapsed="false">
      <c r="B631" s="9" t="s">
        <v>32</v>
      </c>
      <c r="C631" s="9" t="n">
        <v>1128299</v>
      </c>
      <c r="D631" s="10" t="n">
        <v>43958</v>
      </c>
      <c r="E631" s="9" t="s">
        <v>33</v>
      </c>
      <c r="F631" s="9" t="s">
        <v>46</v>
      </c>
      <c r="G631" s="9" t="s">
        <v>47</v>
      </c>
      <c r="H631" s="11" t="s">
        <v>25</v>
      </c>
      <c r="I631" s="12" t="n">
        <v>70</v>
      </c>
      <c r="J631" s="13" t="n">
        <v>425</v>
      </c>
      <c r="K631" s="14" t="n">
        <f aca="false">I631*J631</f>
        <v>29750</v>
      </c>
      <c r="L631" s="14" t="n">
        <f aca="false">($L$2*M631)/100</f>
        <v>240333.3</v>
      </c>
      <c r="M631" s="15" t="n">
        <v>0.2</v>
      </c>
      <c r="N631" s="9" t="s">
        <v>20</v>
      </c>
    </row>
    <row r="632" customFormat="false" ht="14.25" hidden="false" customHeight="true" outlineLevel="0" collapsed="false">
      <c r="B632" s="9" t="s">
        <v>32</v>
      </c>
      <c r="C632" s="9" t="n">
        <v>1128299</v>
      </c>
      <c r="D632" s="10" t="n">
        <v>43959</v>
      </c>
      <c r="E632" s="9" t="s">
        <v>33</v>
      </c>
      <c r="F632" s="9" t="s">
        <v>46</v>
      </c>
      <c r="G632" s="9" t="s">
        <v>47</v>
      </c>
      <c r="H632" s="11" t="s">
        <v>19</v>
      </c>
      <c r="I632" s="12" t="n">
        <v>55</v>
      </c>
      <c r="J632" s="13" t="n">
        <v>525</v>
      </c>
      <c r="K632" s="14" t="n">
        <f aca="false">I632*J632</f>
        <v>28875</v>
      </c>
      <c r="L632" s="14" t="n">
        <f aca="false">($L$2*M632)/100</f>
        <v>480666.6</v>
      </c>
      <c r="M632" s="15" t="n">
        <v>0.4</v>
      </c>
      <c r="N632" s="9" t="s">
        <v>20</v>
      </c>
    </row>
    <row r="633" customFormat="false" ht="14.25" hidden="false" customHeight="true" outlineLevel="0" collapsed="false">
      <c r="B633" s="9" t="s">
        <v>32</v>
      </c>
      <c r="C633" s="9" t="n">
        <v>1128299</v>
      </c>
      <c r="D633" s="10" t="n">
        <v>43960</v>
      </c>
      <c r="E633" s="9" t="s">
        <v>33</v>
      </c>
      <c r="F633" s="9" t="s">
        <v>46</v>
      </c>
      <c r="G633" s="9" t="s">
        <v>47</v>
      </c>
      <c r="H633" s="11" t="s">
        <v>21</v>
      </c>
      <c r="I633" s="12" t="n">
        <v>60</v>
      </c>
      <c r="J633" s="13" t="n">
        <v>525</v>
      </c>
      <c r="K633" s="14" t="n">
        <f aca="false">I633*J633</f>
        <v>31500</v>
      </c>
      <c r="L633" s="14" t="n">
        <f aca="false">($L$2*M633)/100</f>
        <v>300416.625</v>
      </c>
      <c r="M633" s="15" t="n">
        <v>0.25</v>
      </c>
      <c r="N633" s="9" t="s">
        <v>20</v>
      </c>
    </row>
    <row r="634" customFormat="false" ht="14.25" hidden="false" customHeight="true" outlineLevel="0" collapsed="false">
      <c r="B634" s="9" t="s">
        <v>32</v>
      </c>
      <c r="C634" s="9" t="n">
        <v>1128299</v>
      </c>
      <c r="D634" s="10" t="n">
        <v>43961</v>
      </c>
      <c r="E634" s="9" t="s">
        <v>33</v>
      </c>
      <c r="F634" s="9" t="s">
        <v>46</v>
      </c>
      <c r="G634" s="9" t="s">
        <v>47</v>
      </c>
      <c r="H634" s="11" t="s">
        <v>22</v>
      </c>
      <c r="I634" s="12" t="n">
        <v>55</v>
      </c>
      <c r="J634" s="13" t="n">
        <v>350</v>
      </c>
      <c r="K634" s="14" t="n">
        <f aca="false">I634*J634</f>
        <v>19250</v>
      </c>
      <c r="L634" s="14" t="n">
        <f aca="false">($L$2*M634)/100</f>
        <v>480666.6</v>
      </c>
      <c r="M634" s="15" t="n">
        <v>0.4</v>
      </c>
      <c r="N634" s="9" t="s">
        <v>20</v>
      </c>
    </row>
    <row r="635" customFormat="false" ht="14.25" hidden="false" customHeight="true" outlineLevel="0" collapsed="false">
      <c r="B635" s="9" t="s">
        <v>32</v>
      </c>
      <c r="C635" s="9" t="n">
        <v>1128299</v>
      </c>
      <c r="D635" s="10" t="n">
        <v>43962</v>
      </c>
      <c r="E635" s="9" t="s">
        <v>33</v>
      </c>
      <c r="F635" s="9" t="s">
        <v>46</v>
      </c>
      <c r="G635" s="9" t="s">
        <v>47</v>
      </c>
      <c r="H635" s="11" t="s">
        <v>23</v>
      </c>
      <c r="I635" s="12" t="n">
        <v>55</v>
      </c>
      <c r="J635" s="13" t="n">
        <v>325</v>
      </c>
      <c r="K635" s="14" t="n">
        <f aca="false">I635*J635</f>
        <v>17875</v>
      </c>
      <c r="L635" s="14" t="n">
        <f aca="false">($L$2*M635)/100</f>
        <v>420583.275</v>
      </c>
      <c r="M635" s="15" t="n">
        <v>0.35</v>
      </c>
      <c r="N635" s="9" t="s">
        <v>20</v>
      </c>
    </row>
    <row r="636" customFormat="false" ht="14.25" hidden="false" customHeight="true" outlineLevel="0" collapsed="false">
      <c r="B636" s="9" t="s">
        <v>32</v>
      </c>
      <c r="C636" s="9" t="n">
        <v>1128299</v>
      </c>
      <c r="D636" s="10" t="n">
        <v>43963</v>
      </c>
      <c r="E636" s="9" t="s">
        <v>33</v>
      </c>
      <c r="F636" s="9" t="s">
        <v>46</v>
      </c>
      <c r="G636" s="9" t="s">
        <v>47</v>
      </c>
      <c r="H636" s="11" t="s">
        <v>24</v>
      </c>
      <c r="I636" s="12" t="n">
        <v>65</v>
      </c>
      <c r="J636" s="13" t="n">
        <v>300</v>
      </c>
      <c r="K636" s="14" t="n">
        <f aca="false">I636*J636</f>
        <v>19500</v>
      </c>
      <c r="L636" s="14" t="n">
        <f aca="false">($L$2*M636)/100</f>
        <v>660916.575</v>
      </c>
      <c r="M636" s="15" t="n">
        <v>0.55</v>
      </c>
      <c r="N636" s="9" t="s">
        <v>20</v>
      </c>
    </row>
    <row r="637" customFormat="false" ht="14.25" hidden="false" customHeight="true" outlineLevel="0" collapsed="false">
      <c r="B637" s="9" t="s">
        <v>32</v>
      </c>
      <c r="C637" s="9" t="n">
        <v>1128299</v>
      </c>
      <c r="D637" s="10" t="n">
        <v>43964</v>
      </c>
      <c r="E637" s="9" t="s">
        <v>33</v>
      </c>
      <c r="F637" s="9" t="s">
        <v>46</v>
      </c>
      <c r="G637" s="9" t="s">
        <v>47</v>
      </c>
      <c r="H637" s="11" t="s">
        <v>25</v>
      </c>
      <c r="I637" s="12" t="n">
        <v>70</v>
      </c>
      <c r="J637" s="13" t="n">
        <v>350</v>
      </c>
      <c r="K637" s="14" t="n">
        <f aca="false">I637*J637</f>
        <v>24500</v>
      </c>
      <c r="L637" s="14" t="n">
        <f aca="false">($L$2*M637)/100</f>
        <v>240333.3</v>
      </c>
      <c r="M637" s="15" t="n">
        <v>0.2</v>
      </c>
      <c r="N637" s="9" t="s">
        <v>20</v>
      </c>
    </row>
    <row r="638" customFormat="false" ht="14.25" hidden="false" customHeight="true" outlineLevel="0" collapsed="false">
      <c r="B638" s="9" t="s">
        <v>32</v>
      </c>
      <c r="C638" s="9" t="n">
        <v>1128299</v>
      </c>
      <c r="D638" s="10" t="n">
        <v>43965</v>
      </c>
      <c r="E638" s="9" t="s">
        <v>33</v>
      </c>
      <c r="F638" s="9" t="s">
        <v>46</v>
      </c>
      <c r="G638" s="9" t="s">
        <v>47</v>
      </c>
      <c r="H638" s="11" t="s">
        <v>19</v>
      </c>
      <c r="I638" s="12" t="n">
        <v>55</v>
      </c>
      <c r="J638" s="13" t="n">
        <v>575</v>
      </c>
      <c r="K638" s="14" t="n">
        <f aca="false">I638*J638</f>
        <v>31625</v>
      </c>
      <c r="L638" s="14" t="n">
        <f aca="false">($L$2*M638)/100</f>
        <v>480666.6</v>
      </c>
      <c r="M638" s="15" t="n">
        <v>0.4</v>
      </c>
      <c r="N638" s="9" t="s">
        <v>20</v>
      </c>
    </row>
    <row r="639" customFormat="false" ht="14.25" hidden="false" customHeight="true" outlineLevel="0" collapsed="false">
      <c r="B639" s="9" t="s">
        <v>32</v>
      </c>
      <c r="C639" s="9" t="n">
        <v>1128299</v>
      </c>
      <c r="D639" s="10" t="n">
        <v>43966</v>
      </c>
      <c r="E639" s="9" t="s">
        <v>33</v>
      </c>
      <c r="F639" s="9" t="s">
        <v>46</v>
      </c>
      <c r="G639" s="9" t="s">
        <v>47</v>
      </c>
      <c r="H639" s="11" t="s">
        <v>21</v>
      </c>
      <c r="I639" s="12" t="n">
        <v>60</v>
      </c>
      <c r="J639" s="13" t="n">
        <v>575</v>
      </c>
      <c r="K639" s="14" t="n">
        <f aca="false">I639*J639</f>
        <v>34500</v>
      </c>
      <c r="L639" s="14" t="n">
        <f aca="false">($L$2*M639)/100</f>
        <v>300416.625</v>
      </c>
      <c r="M639" s="15" t="n">
        <v>0.25</v>
      </c>
      <c r="N639" s="9" t="s">
        <v>20</v>
      </c>
    </row>
    <row r="640" customFormat="false" ht="14.25" hidden="false" customHeight="true" outlineLevel="0" collapsed="false">
      <c r="B640" s="9" t="s">
        <v>32</v>
      </c>
      <c r="C640" s="9" t="n">
        <v>1128299</v>
      </c>
      <c r="D640" s="10" t="n">
        <v>43967</v>
      </c>
      <c r="E640" s="9" t="s">
        <v>33</v>
      </c>
      <c r="F640" s="9" t="s">
        <v>46</v>
      </c>
      <c r="G640" s="9" t="s">
        <v>47</v>
      </c>
      <c r="H640" s="11" t="s">
        <v>22</v>
      </c>
      <c r="I640" s="12" t="n">
        <v>55</v>
      </c>
      <c r="J640" s="13" t="n">
        <v>425</v>
      </c>
      <c r="K640" s="14" t="n">
        <f aca="false">I640*J640</f>
        <v>23375</v>
      </c>
      <c r="L640" s="14" t="n">
        <f aca="false">($L$2*M640)/100</f>
        <v>480666.6</v>
      </c>
      <c r="M640" s="15" t="n">
        <v>0.4</v>
      </c>
      <c r="N640" s="9" t="s">
        <v>20</v>
      </c>
    </row>
    <row r="641" customFormat="false" ht="14.25" hidden="false" customHeight="true" outlineLevel="0" collapsed="false">
      <c r="B641" s="9" t="s">
        <v>32</v>
      </c>
      <c r="C641" s="9" t="n">
        <v>1128299</v>
      </c>
      <c r="D641" s="10" t="n">
        <v>43968</v>
      </c>
      <c r="E641" s="9" t="s">
        <v>33</v>
      </c>
      <c r="F641" s="9" t="s">
        <v>46</v>
      </c>
      <c r="G641" s="9" t="s">
        <v>47</v>
      </c>
      <c r="H641" s="11" t="s">
        <v>23</v>
      </c>
      <c r="I641" s="12" t="n">
        <v>65</v>
      </c>
      <c r="J641" s="13" t="n">
        <v>400</v>
      </c>
      <c r="K641" s="14" t="n">
        <f aca="false">I641*J641</f>
        <v>26000</v>
      </c>
      <c r="L641" s="14" t="n">
        <f aca="false">($L$2*M641)/100</f>
        <v>420583.275</v>
      </c>
      <c r="M641" s="15" t="n">
        <v>0.35</v>
      </c>
      <c r="N641" s="9" t="s">
        <v>20</v>
      </c>
    </row>
    <row r="642" customFormat="false" ht="14.25" hidden="false" customHeight="true" outlineLevel="0" collapsed="false">
      <c r="B642" s="9" t="s">
        <v>32</v>
      </c>
      <c r="C642" s="9" t="n">
        <v>1128299</v>
      </c>
      <c r="D642" s="10" t="n">
        <v>43969</v>
      </c>
      <c r="E642" s="9" t="s">
        <v>33</v>
      </c>
      <c r="F642" s="9" t="s">
        <v>46</v>
      </c>
      <c r="G642" s="9" t="s">
        <v>47</v>
      </c>
      <c r="H642" s="11" t="s">
        <v>24</v>
      </c>
      <c r="I642" s="12" t="n">
        <v>75</v>
      </c>
      <c r="J642" s="13" t="n">
        <v>375</v>
      </c>
      <c r="K642" s="14" t="n">
        <f aca="false">I642*J642</f>
        <v>28125</v>
      </c>
      <c r="L642" s="14" t="n">
        <f aca="false">($L$2*M642)/100</f>
        <v>660916.575</v>
      </c>
      <c r="M642" s="15" t="n">
        <v>0.55</v>
      </c>
      <c r="N642" s="9" t="s">
        <v>20</v>
      </c>
    </row>
    <row r="643" customFormat="false" ht="14.25" hidden="false" customHeight="true" outlineLevel="0" collapsed="false">
      <c r="B643" s="9" t="s">
        <v>32</v>
      </c>
      <c r="C643" s="9" t="n">
        <v>1128299</v>
      </c>
      <c r="D643" s="10" t="n">
        <v>43970</v>
      </c>
      <c r="E643" s="9" t="s">
        <v>33</v>
      </c>
      <c r="F643" s="9" t="s">
        <v>46</v>
      </c>
      <c r="G643" s="9" t="s">
        <v>47</v>
      </c>
      <c r="H643" s="11" t="s">
        <v>25</v>
      </c>
      <c r="I643" s="12" t="n">
        <v>80</v>
      </c>
      <c r="J643" s="13" t="n">
        <v>500</v>
      </c>
      <c r="K643" s="14" t="n">
        <f aca="false">I643*J643</f>
        <v>40000</v>
      </c>
      <c r="L643" s="14" t="n">
        <f aca="false">($L$2*M643)/100</f>
        <v>240333.3</v>
      </c>
      <c r="M643" s="15" t="n">
        <v>0.2</v>
      </c>
      <c r="N643" s="9" t="s">
        <v>20</v>
      </c>
    </row>
    <row r="644" customFormat="false" ht="14.25" hidden="false" customHeight="true" outlineLevel="0" collapsed="false">
      <c r="B644" s="9" t="s">
        <v>32</v>
      </c>
      <c r="C644" s="9" t="n">
        <v>1128299</v>
      </c>
      <c r="D644" s="10" t="n">
        <v>43971</v>
      </c>
      <c r="E644" s="9" t="s">
        <v>33</v>
      </c>
      <c r="F644" s="9" t="s">
        <v>46</v>
      </c>
      <c r="G644" s="9" t="s">
        <v>47</v>
      </c>
      <c r="H644" s="11" t="s">
        <v>19</v>
      </c>
      <c r="I644" s="12" t="n">
        <v>65</v>
      </c>
      <c r="J644" s="13" t="n">
        <v>700</v>
      </c>
      <c r="K644" s="14" t="n">
        <f aca="false">I644*J644</f>
        <v>45500</v>
      </c>
      <c r="L644" s="14" t="n">
        <f aca="false">($L$2*M644)/100</f>
        <v>480666.6</v>
      </c>
      <c r="M644" s="15" t="n">
        <v>0.4</v>
      </c>
      <c r="N644" s="9" t="s">
        <v>20</v>
      </c>
    </row>
    <row r="645" customFormat="false" ht="14.25" hidden="false" customHeight="true" outlineLevel="0" collapsed="false">
      <c r="B645" s="9" t="s">
        <v>32</v>
      </c>
      <c r="C645" s="9" t="n">
        <v>1128299</v>
      </c>
      <c r="D645" s="10" t="n">
        <v>43972</v>
      </c>
      <c r="E645" s="9" t="s">
        <v>33</v>
      </c>
      <c r="F645" s="9" t="s">
        <v>46</v>
      </c>
      <c r="G645" s="9" t="s">
        <v>47</v>
      </c>
      <c r="H645" s="11" t="s">
        <v>21</v>
      </c>
      <c r="I645" s="12" t="n">
        <v>70</v>
      </c>
      <c r="J645" s="13" t="n">
        <v>700</v>
      </c>
      <c r="K645" s="14" t="n">
        <f aca="false">I645*J645</f>
        <v>49000</v>
      </c>
      <c r="L645" s="14" t="n">
        <f aca="false">($L$2*M645)/100</f>
        <v>300416.625</v>
      </c>
      <c r="M645" s="15" t="n">
        <v>0.25</v>
      </c>
      <c r="N645" s="9" t="s">
        <v>20</v>
      </c>
    </row>
    <row r="646" customFormat="false" ht="14.25" hidden="false" customHeight="true" outlineLevel="0" collapsed="false">
      <c r="B646" s="9" t="s">
        <v>32</v>
      </c>
      <c r="C646" s="9" t="n">
        <v>1128299</v>
      </c>
      <c r="D646" s="10" t="n">
        <v>43973</v>
      </c>
      <c r="E646" s="9" t="s">
        <v>33</v>
      </c>
      <c r="F646" s="9" t="s">
        <v>46</v>
      </c>
      <c r="G646" s="9" t="s">
        <v>47</v>
      </c>
      <c r="H646" s="11" t="s">
        <v>22</v>
      </c>
      <c r="I646" s="12" t="n">
        <v>65</v>
      </c>
      <c r="J646" s="13" t="n">
        <v>500</v>
      </c>
      <c r="K646" s="14" t="n">
        <f aca="false">I646*J646</f>
        <v>32500</v>
      </c>
      <c r="L646" s="14" t="n">
        <f aca="false">($L$2*M646)/100</f>
        <v>480666.6</v>
      </c>
      <c r="M646" s="15" t="n">
        <v>0.4</v>
      </c>
      <c r="N646" s="9" t="s">
        <v>20</v>
      </c>
    </row>
    <row r="647" customFormat="false" ht="14.25" hidden="false" customHeight="true" outlineLevel="0" collapsed="false">
      <c r="B647" s="9" t="s">
        <v>32</v>
      </c>
      <c r="C647" s="9" t="n">
        <v>1128299</v>
      </c>
      <c r="D647" s="10" t="n">
        <v>43974</v>
      </c>
      <c r="E647" s="9" t="s">
        <v>33</v>
      </c>
      <c r="F647" s="9" t="s">
        <v>46</v>
      </c>
      <c r="G647" s="9" t="s">
        <v>47</v>
      </c>
      <c r="H647" s="11" t="s">
        <v>23</v>
      </c>
      <c r="I647" s="12" t="n">
        <v>65</v>
      </c>
      <c r="J647" s="13" t="n">
        <v>500</v>
      </c>
      <c r="K647" s="14" t="n">
        <f aca="false">I647*J647</f>
        <v>32500</v>
      </c>
      <c r="L647" s="14" t="n">
        <f aca="false">($L$2*M647)/100</f>
        <v>420583.275</v>
      </c>
      <c r="M647" s="15" t="n">
        <v>0.35</v>
      </c>
      <c r="N647" s="9" t="s">
        <v>20</v>
      </c>
    </row>
    <row r="648" customFormat="false" ht="14.25" hidden="false" customHeight="true" outlineLevel="0" collapsed="false">
      <c r="B648" s="9" t="s">
        <v>32</v>
      </c>
      <c r="C648" s="9" t="n">
        <v>1128299</v>
      </c>
      <c r="D648" s="10" t="n">
        <v>43975</v>
      </c>
      <c r="E648" s="9" t="s">
        <v>33</v>
      </c>
      <c r="F648" s="9" t="s">
        <v>46</v>
      </c>
      <c r="G648" s="9" t="s">
        <v>47</v>
      </c>
      <c r="H648" s="11" t="s">
        <v>24</v>
      </c>
      <c r="I648" s="12" t="n">
        <v>75</v>
      </c>
      <c r="J648" s="13" t="n">
        <v>425</v>
      </c>
      <c r="K648" s="14" t="n">
        <f aca="false">I648*J648</f>
        <v>31875</v>
      </c>
      <c r="L648" s="14" t="n">
        <f aca="false">($L$2*M648)/100</f>
        <v>660916.575</v>
      </c>
      <c r="M648" s="15" t="n">
        <v>0.55</v>
      </c>
      <c r="N648" s="9" t="s">
        <v>20</v>
      </c>
    </row>
    <row r="649" customFormat="false" ht="14.25" hidden="false" customHeight="true" outlineLevel="0" collapsed="false">
      <c r="B649" s="9" t="s">
        <v>32</v>
      </c>
      <c r="C649" s="9" t="n">
        <v>1128299</v>
      </c>
      <c r="D649" s="10" t="n">
        <v>43976</v>
      </c>
      <c r="E649" s="9" t="s">
        <v>33</v>
      </c>
      <c r="F649" s="9" t="s">
        <v>46</v>
      </c>
      <c r="G649" s="9" t="s">
        <v>47</v>
      </c>
      <c r="H649" s="11" t="s">
        <v>25</v>
      </c>
      <c r="I649" s="12" t="n">
        <v>80</v>
      </c>
      <c r="J649" s="13" t="n">
        <v>525</v>
      </c>
      <c r="K649" s="14" t="n">
        <f aca="false">I649*J649</f>
        <v>42000</v>
      </c>
      <c r="L649" s="14" t="n">
        <f aca="false">($L$2*M649)/100</f>
        <v>240333.3</v>
      </c>
      <c r="M649" s="15" t="n">
        <v>0.2</v>
      </c>
      <c r="N649" s="9" t="s">
        <v>20</v>
      </c>
    </row>
    <row r="650" customFormat="false" ht="14.25" hidden="false" customHeight="true" outlineLevel="0" collapsed="false">
      <c r="B650" s="9" t="s">
        <v>32</v>
      </c>
      <c r="C650" s="9" t="n">
        <v>1128299</v>
      </c>
      <c r="D650" s="10" t="n">
        <v>43977</v>
      </c>
      <c r="E650" s="9" t="s">
        <v>33</v>
      </c>
      <c r="F650" s="9" t="s">
        <v>46</v>
      </c>
      <c r="G650" s="9" t="s">
        <v>47</v>
      </c>
      <c r="H650" s="11" t="s">
        <v>19</v>
      </c>
      <c r="I650" s="12" t="n">
        <v>40</v>
      </c>
      <c r="J650" s="13" t="n">
        <v>450</v>
      </c>
      <c r="K650" s="14" t="n">
        <f aca="false">I650*J650</f>
        <v>18000</v>
      </c>
      <c r="L650" s="14" t="n">
        <f aca="false">($L$2*M650)/100</f>
        <v>360499.95</v>
      </c>
      <c r="M650" s="15" t="n">
        <v>0.3</v>
      </c>
      <c r="N650" s="9" t="s">
        <v>20</v>
      </c>
    </row>
    <row r="651" customFormat="false" ht="14.25" hidden="false" customHeight="true" outlineLevel="0" collapsed="false">
      <c r="B651" s="9" t="s">
        <v>32</v>
      </c>
      <c r="C651" s="9" t="n">
        <v>1128299</v>
      </c>
      <c r="D651" s="10" t="n">
        <v>43978</v>
      </c>
      <c r="E651" s="9" t="s">
        <v>33</v>
      </c>
      <c r="F651" s="9" t="s">
        <v>46</v>
      </c>
      <c r="G651" s="9" t="s">
        <v>47</v>
      </c>
      <c r="H651" s="11" t="s">
        <v>21</v>
      </c>
      <c r="I651" s="12" t="n">
        <v>50</v>
      </c>
      <c r="J651" s="13" t="n">
        <v>450</v>
      </c>
      <c r="K651" s="14" t="n">
        <f aca="false">I651*J651</f>
        <v>22500</v>
      </c>
      <c r="L651" s="14" t="n">
        <f aca="false">($L$2*M651)/100</f>
        <v>300416.625</v>
      </c>
      <c r="M651" s="15" t="n">
        <v>0.25</v>
      </c>
      <c r="N651" s="9" t="s">
        <v>20</v>
      </c>
    </row>
    <row r="652" customFormat="false" ht="14.25" hidden="false" customHeight="true" outlineLevel="0" collapsed="false">
      <c r="B652" s="9" t="s">
        <v>32</v>
      </c>
      <c r="C652" s="9" t="n">
        <v>1128299</v>
      </c>
      <c r="D652" s="10" t="n">
        <v>43979</v>
      </c>
      <c r="E652" s="9" t="s">
        <v>33</v>
      </c>
      <c r="F652" s="9" t="s">
        <v>46</v>
      </c>
      <c r="G652" s="9" t="s">
        <v>47</v>
      </c>
      <c r="H652" s="11" t="s">
        <v>22</v>
      </c>
      <c r="I652" s="12" t="n">
        <v>50</v>
      </c>
      <c r="J652" s="13" t="n">
        <v>450</v>
      </c>
      <c r="K652" s="14" t="n">
        <f aca="false">I652*J652</f>
        <v>22500</v>
      </c>
      <c r="L652" s="14" t="n">
        <f aca="false">($L$2*M652)/100</f>
        <v>300416.625</v>
      </c>
      <c r="M652" s="15" t="n">
        <v>0.25</v>
      </c>
      <c r="N652" s="9" t="s">
        <v>20</v>
      </c>
    </row>
    <row r="653" customFormat="false" ht="14.25" hidden="false" customHeight="true" outlineLevel="0" collapsed="false">
      <c r="B653" s="9" t="s">
        <v>32</v>
      </c>
      <c r="C653" s="9" t="n">
        <v>1128299</v>
      </c>
      <c r="D653" s="10" t="n">
        <v>43980</v>
      </c>
      <c r="E653" s="9" t="s">
        <v>33</v>
      </c>
      <c r="F653" s="9" t="s">
        <v>46</v>
      </c>
      <c r="G653" s="9" t="s">
        <v>47</v>
      </c>
      <c r="H653" s="11" t="s">
        <v>23</v>
      </c>
      <c r="I653" s="12" t="n">
        <v>50</v>
      </c>
      <c r="J653" s="13" t="n">
        <v>300</v>
      </c>
      <c r="K653" s="14" t="n">
        <f aca="false">I653*J653</f>
        <v>15000</v>
      </c>
      <c r="L653" s="14" t="n">
        <f aca="false">($L$2*M653)/100</f>
        <v>360499.95</v>
      </c>
      <c r="M653" s="15" t="n">
        <v>0.3</v>
      </c>
      <c r="N653" s="9" t="s">
        <v>20</v>
      </c>
    </row>
    <row r="654" customFormat="false" ht="14.25" hidden="false" customHeight="true" outlineLevel="0" collapsed="false">
      <c r="B654" s="9" t="s">
        <v>32</v>
      </c>
      <c r="C654" s="9" t="n">
        <v>1128299</v>
      </c>
      <c r="D654" s="10" t="n">
        <v>43981</v>
      </c>
      <c r="E654" s="9" t="s">
        <v>33</v>
      </c>
      <c r="F654" s="9" t="s">
        <v>48</v>
      </c>
      <c r="G654" s="9" t="s">
        <v>49</v>
      </c>
      <c r="H654" s="11" t="s">
        <v>24</v>
      </c>
      <c r="I654" s="12" t="n">
        <v>55</v>
      </c>
      <c r="J654" s="13" t="n">
        <v>250</v>
      </c>
      <c r="K654" s="14" t="n">
        <f aca="false">I654*J654</f>
        <v>13750</v>
      </c>
      <c r="L654" s="14" t="n">
        <f aca="false">($L$2*M654)/100</f>
        <v>300416.625</v>
      </c>
      <c r="M654" s="15" t="n">
        <v>0.25</v>
      </c>
      <c r="N654" s="9" t="s">
        <v>20</v>
      </c>
    </row>
    <row r="655" customFormat="false" ht="14.25" hidden="false" customHeight="true" outlineLevel="0" collapsed="false">
      <c r="B655" s="9" t="s">
        <v>32</v>
      </c>
      <c r="C655" s="9" t="n">
        <v>1128299</v>
      </c>
      <c r="D655" s="10" t="n">
        <v>43982</v>
      </c>
      <c r="E655" s="9" t="s">
        <v>33</v>
      </c>
      <c r="F655" s="9" t="s">
        <v>48</v>
      </c>
      <c r="G655" s="9" t="s">
        <v>49</v>
      </c>
      <c r="H655" s="11" t="s">
        <v>25</v>
      </c>
      <c r="I655" s="12" t="n">
        <v>50</v>
      </c>
      <c r="J655" s="13" t="n">
        <v>500</v>
      </c>
      <c r="K655" s="14" t="n">
        <f aca="false">I655*J655</f>
        <v>25000</v>
      </c>
      <c r="L655" s="14" t="n">
        <f aca="false">($L$2*M655)/100</f>
        <v>240333.3</v>
      </c>
      <c r="M655" s="15" t="n">
        <v>0.2</v>
      </c>
      <c r="N655" s="9" t="s">
        <v>20</v>
      </c>
    </row>
    <row r="656" customFormat="false" ht="14.25" hidden="false" customHeight="true" outlineLevel="0" collapsed="false">
      <c r="B656" s="9" t="s">
        <v>32</v>
      </c>
      <c r="C656" s="9" t="n">
        <v>1128299</v>
      </c>
      <c r="D656" s="10" t="n">
        <v>43983</v>
      </c>
      <c r="E656" s="9" t="s">
        <v>33</v>
      </c>
      <c r="F656" s="9" t="s">
        <v>48</v>
      </c>
      <c r="G656" s="9" t="s">
        <v>49</v>
      </c>
      <c r="H656" s="11" t="s">
        <v>19</v>
      </c>
      <c r="I656" s="12" t="n">
        <v>40</v>
      </c>
      <c r="J656" s="13" t="n">
        <v>550</v>
      </c>
      <c r="K656" s="14" t="n">
        <f aca="false">I656*J656</f>
        <v>22000</v>
      </c>
      <c r="L656" s="14" t="n">
        <f aca="false">($L$2*M656)/100</f>
        <v>360499.95</v>
      </c>
      <c r="M656" s="15" t="n">
        <v>0.3</v>
      </c>
      <c r="N656" s="9" t="s">
        <v>20</v>
      </c>
    </row>
    <row r="657" customFormat="false" ht="14.25" hidden="false" customHeight="true" outlineLevel="0" collapsed="false">
      <c r="B657" s="9" t="s">
        <v>32</v>
      </c>
      <c r="C657" s="9" t="n">
        <v>1128299</v>
      </c>
      <c r="D657" s="10" t="n">
        <v>43984</v>
      </c>
      <c r="E657" s="9" t="s">
        <v>33</v>
      </c>
      <c r="F657" s="9" t="s">
        <v>48</v>
      </c>
      <c r="G657" s="9" t="s">
        <v>49</v>
      </c>
      <c r="H657" s="11" t="s">
        <v>21</v>
      </c>
      <c r="I657" s="12" t="n">
        <v>50</v>
      </c>
      <c r="J657" s="13" t="n">
        <v>450</v>
      </c>
      <c r="K657" s="14" t="n">
        <f aca="false">I657*J657</f>
        <v>22500</v>
      </c>
      <c r="L657" s="14" t="n">
        <f aca="false">($L$2*M657)/100</f>
        <v>300416.625</v>
      </c>
      <c r="M657" s="15" t="n">
        <v>0.25</v>
      </c>
      <c r="N657" s="9" t="s">
        <v>20</v>
      </c>
    </row>
    <row r="658" customFormat="false" ht="14.25" hidden="false" customHeight="true" outlineLevel="0" collapsed="false">
      <c r="B658" s="9" t="s">
        <v>32</v>
      </c>
      <c r="C658" s="9" t="n">
        <v>1128299</v>
      </c>
      <c r="D658" s="10" t="n">
        <v>43985</v>
      </c>
      <c r="E658" s="9" t="s">
        <v>33</v>
      </c>
      <c r="F658" s="9" t="s">
        <v>48</v>
      </c>
      <c r="G658" s="9" t="s">
        <v>49</v>
      </c>
      <c r="H658" s="11" t="s">
        <v>22</v>
      </c>
      <c r="I658" s="12" t="n">
        <v>50</v>
      </c>
      <c r="J658" s="13" t="n">
        <v>450</v>
      </c>
      <c r="K658" s="14" t="n">
        <f aca="false">I658*J658</f>
        <v>22500</v>
      </c>
      <c r="L658" s="14" t="n">
        <f aca="false">($L$2*M658)/100</f>
        <v>300416.625</v>
      </c>
      <c r="M658" s="15" t="n">
        <v>0.25</v>
      </c>
      <c r="N658" s="9" t="s">
        <v>20</v>
      </c>
    </row>
    <row r="659" customFormat="false" ht="14.25" hidden="false" customHeight="true" outlineLevel="0" collapsed="false">
      <c r="B659" s="9" t="s">
        <v>32</v>
      </c>
      <c r="C659" s="9" t="n">
        <v>1128299</v>
      </c>
      <c r="D659" s="10" t="n">
        <v>43986</v>
      </c>
      <c r="E659" s="9" t="s">
        <v>33</v>
      </c>
      <c r="F659" s="9" t="s">
        <v>48</v>
      </c>
      <c r="G659" s="9" t="s">
        <v>49</v>
      </c>
      <c r="H659" s="11" t="s">
        <v>23</v>
      </c>
      <c r="I659" s="12" t="n">
        <v>50</v>
      </c>
      <c r="J659" s="13" t="n">
        <v>300</v>
      </c>
      <c r="K659" s="14" t="n">
        <f aca="false">I659*J659</f>
        <v>15000</v>
      </c>
      <c r="L659" s="14" t="n">
        <f aca="false">($L$2*M659)/100</f>
        <v>360499.95</v>
      </c>
      <c r="M659" s="15" t="n">
        <v>0.3</v>
      </c>
      <c r="N659" s="9" t="s">
        <v>20</v>
      </c>
    </row>
    <row r="660" customFormat="false" ht="14.25" hidden="false" customHeight="true" outlineLevel="0" collapsed="false">
      <c r="B660" s="9" t="s">
        <v>32</v>
      </c>
      <c r="C660" s="9" t="n">
        <v>1128299</v>
      </c>
      <c r="D660" s="10" t="n">
        <v>43987</v>
      </c>
      <c r="E660" s="9" t="s">
        <v>33</v>
      </c>
      <c r="F660" s="9" t="s">
        <v>48</v>
      </c>
      <c r="G660" s="9" t="s">
        <v>49</v>
      </c>
      <c r="H660" s="11" t="s">
        <v>24</v>
      </c>
      <c r="I660" s="12" t="n">
        <v>55</v>
      </c>
      <c r="J660" s="13" t="n">
        <v>225</v>
      </c>
      <c r="K660" s="14" t="n">
        <f aca="false">I660*J660</f>
        <v>12375</v>
      </c>
      <c r="L660" s="14" t="n">
        <f aca="false">($L$2*M660)/100</f>
        <v>300416.625</v>
      </c>
      <c r="M660" s="15" t="n">
        <v>0.25</v>
      </c>
      <c r="N660" s="9" t="s">
        <v>20</v>
      </c>
    </row>
    <row r="661" customFormat="false" ht="14.25" hidden="false" customHeight="true" outlineLevel="0" collapsed="false">
      <c r="B661" s="9" t="s">
        <v>32</v>
      </c>
      <c r="C661" s="9" t="n">
        <v>1128299</v>
      </c>
      <c r="D661" s="10" t="n">
        <v>43988</v>
      </c>
      <c r="E661" s="9" t="s">
        <v>33</v>
      </c>
      <c r="F661" s="9" t="s">
        <v>48</v>
      </c>
      <c r="G661" s="9" t="s">
        <v>49</v>
      </c>
      <c r="H661" s="11" t="s">
        <v>25</v>
      </c>
      <c r="I661" s="12" t="n">
        <v>50</v>
      </c>
      <c r="J661" s="13" t="n">
        <v>425</v>
      </c>
      <c r="K661" s="14" t="n">
        <f aca="false">I661*J661</f>
        <v>21250</v>
      </c>
      <c r="L661" s="14" t="n">
        <f aca="false">($L$2*M661)/100</f>
        <v>240333.3</v>
      </c>
      <c r="M661" s="15" t="n">
        <v>0.2</v>
      </c>
      <c r="N661" s="9" t="s">
        <v>20</v>
      </c>
    </row>
    <row r="662" customFormat="false" ht="14.25" hidden="false" customHeight="true" outlineLevel="0" collapsed="false">
      <c r="B662" s="9" t="s">
        <v>32</v>
      </c>
      <c r="C662" s="9" t="n">
        <v>1128299</v>
      </c>
      <c r="D662" s="10" t="n">
        <v>43989</v>
      </c>
      <c r="E662" s="9" t="s">
        <v>33</v>
      </c>
      <c r="F662" s="9" t="s">
        <v>48</v>
      </c>
      <c r="G662" s="9" t="s">
        <v>49</v>
      </c>
      <c r="H662" s="11" t="s">
        <v>19</v>
      </c>
      <c r="I662" s="12" t="n">
        <v>50</v>
      </c>
      <c r="J662" s="13" t="n">
        <v>575</v>
      </c>
      <c r="K662" s="14" t="n">
        <f aca="false">I662*J662</f>
        <v>28750</v>
      </c>
      <c r="L662" s="14" t="n">
        <f aca="false">($L$2*M662)/100</f>
        <v>360499.95</v>
      </c>
      <c r="M662" s="15" t="n">
        <v>0.3</v>
      </c>
      <c r="N662" s="9" t="s">
        <v>20</v>
      </c>
    </row>
    <row r="663" customFormat="false" ht="14.25" hidden="false" customHeight="true" outlineLevel="0" collapsed="false">
      <c r="B663" s="9" t="s">
        <v>32</v>
      </c>
      <c r="C663" s="9" t="n">
        <v>1128299</v>
      </c>
      <c r="D663" s="10" t="n">
        <v>43990</v>
      </c>
      <c r="E663" s="9" t="s">
        <v>33</v>
      </c>
      <c r="F663" s="9" t="s">
        <v>48</v>
      </c>
      <c r="G663" s="9" t="s">
        <v>49</v>
      </c>
      <c r="H663" s="11" t="s">
        <v>21</v>
      </c>
      <c r="I663" s="12" t="n">
        <v>60</v>
      </c>
      <c r="J663" s="13" t="n">
        <v>425</v>
      </c>
      <c r="K663" s="14" t="n">
        <f aca="false">I663*J663</f>
        <v>25500</v>
      </c>
      <c r="L663" s="14" t="n">
        <f aca="false">($L$2*M663)/100</f>
        <v>300416.625</v>
      </c>
      <c r="M663" s="15" t="n">
        <v>0.25</v>
      </c>
      <c r="N663" s="9" t="s">
        <v>20</v>
      </c>
    </row>
    <row r="664" customFormat="false" ht="14.25" hidden="false" customHeight="true" outlineLevel="0" collapsed="false">
      <c r="B664" s="9" t="s">
        <v>32</v>
      </c>
      <c r="C664" s="9" t="n">
        <v>1128299</v>
      </c>
      <c r="D664" s="10" t="n">
        <v>43991</v>
      </c>
      <c r="E664" s="9" t="s">
        <v>33</v>
      </c>
      <c r="F664" s="9" t="s">
        <v>48</v>
      </c>
      <c r="G664" s="9" t="s">
        <v>49</v>
      </c>
      <c r="H664" s="11" t="s">
        <v>22</v>
      </c>
      <c r="I664" s="12" t="n">
        <v>65</v>
      </c>
      <c r="J664" s="13" t="n">
        <v>425</v>
      </c>
      <c r="K664" s="14" t="n">
        <f aca="false">I664*J664</f>
        <v>27625</v>
      </c>
      <c r="L664" s="14" t="n">
        <f aca="false">($L$2*M664)/100</f>
        <v>300416.625</v>
      </c>
      <c r="M664" s="15" t="n">
        <v>0.25</v>
      </c>
      <c r="N664" s="9" t="s">
        <v>20</v>
      </c>
    </row>
    <row r="665" customFormat="false" ht="14.25" hidden="false" customHeight="true" outlineLevel="0" collapsed="false">
      <c r="B665" s="9" t="s">
        <v>32</v>
      </c>
      <c r="C665" s="9" t="n">
        <v>1128299</v>
      </c>
      <c r="D665" s="10" t="n">
        <v>43992</v>
      </c>
      <c r="E665" s="9" t="s">
        <v>33</v>
      </c>
      <c r="F665" s="9" t="s">
        <v>48</v>
      </c>
      <c r="G665" s="9" t="s">
        <v>49</v>
      </c>
      <c r="H665" s="11" t="s">
        <v>23</v>
      </c>
      <c r="I665" s="12" t="n">
        <v>65</v>
      </c>
      <c r="J665" s="13" t="n">
        <v>325</v>
      </c>
      <c r="K665" s="14" t="n">
        <f aca="false">I665*J665</f>
        <v>21125</v>
      </c>
      <c r="L665" s="14" t="n">
        <f aca="false">($L$2*M665)/100</f>
        <v>360499.95</v>
      </c>
      <c r="M665" s="15" t="n">
        <v>0.3</v>
      </c>
      <c r="N665" s="9" t="s">
        <v>20</v>
      </c>
    </row>
    <row r="666" customFormat="false" ht="14.25" hidden="false" customHeight="true" outlineLevel="0" collapsed="false">
      <c r="B666" s="9" t="s">
        <v>32</v>
      </c>
      <c r="C666" s="9" t="n">
        <v>1128299</v>
      </c>
      <c r="D666" s="10" t="n">
        <v>43993</v>
      </c>
      <c r="E666" s="9" t="s">
        <v>33</v>
      </c>
      <c r="F666" s="9" t="s">
        <v>48</v>
      </c>
      <c r="G666" s="9" t="s">
        <v>49</v>
      </c>
      <c r="H666" s="11" t="s">
        <v>24</v>
      </c>
      <c r="I666" s="12" t="n">
        <v>70</v>
      </c>
      <c r="J666" s="13" t="n">
        <v>175</v>
      </c>
      <c r="K666" s="14" t="n">
        <f aca="false">I666*J666</f>
        <v>12250</v>
      </c>
      <c r="L666" s="14" t="n">
        <f aca="false">($L$2*M666)/100</f>
        <v>300416.625</v>
      </c>
      <c r="M666" s="15" t="n">
        <v>0.25</v>
      </c>
      <c r="N666" s="9" t="s">
        <v>20</v>
      </c>
    </row>
    <row r="667" customFormat="false" ht="14.25" hidden="false" customHeight="true" outlineLevel="0" collapsed="false">
      <c r="B667" s="9" t="s">
        <v>32</v>
      </c>
      <c r="C667" s="9" t="n">
        <v>1128299</v>
      </c>
      <c r="D667" s="10" t="n">
        <v>43994</v>
      </c>
      <c r="E667" s="9" t="s">
        <v>33</v>
      </c>
      <c r="F667" s="9" t="s">
        <v>48</v>
      </c>
      <c r="G667" s="9" t="s">
        <v>49</v>
      </c>
      <c r="H667" s="11" t="s">
        <v>25</v>
      </c>
      <c r="I667" s="12" t="n">
        <v>65</v>
      </c>
      <c r="J667" s="13" t="n">
        <v>375</v>
      </c>
      <c r="K667" s="14" t="n">
        <f aca="false">I667*J667</f>
        <v>24375</v>
      </c>
      <c r="L667" s="14" t="n">
        <f aca="false">($L$2*M667)/100</f>
        <v>240333.3</v>
      </c>
      <c r="M667" s="15" t="n">
        <v>0.2</v>
      </c>
      <c r="N667" s="9" t="s">
        <v>20</v>
      </c>
    </row>
    <row r="668" customFormat="false" ht="14.25" hidden="false" customHeight="true" outlineLevel="0" collapsed="false">
      <c r="B668" s="9" t="s">
        <v>32</v>
      </c>
      <c r="C668" s="9" t="n">
        <v>1128299</v>
      </c>
      <c r="D668" s="10" t="n">
        <v>43995</v>
      </c>
      <c r="E668" s="9" t="s">
        <v>33</v>
      </c>
      <c r="F668" s="9" t="s">
        <v>48</v>
      </c>
      <c r="G668" s="9" t="s">
        <v>49</v>
      </c>
      <c r="H668" s="11" t="s">
        <v>19</v>
      </c>
      <c r="I668" s="12" t="n">
        <v>70</v>
      </c>
      <c r="J668" s="13" t="n">
        <v>550</v>
      </c>
      <c r="K668" s="14" t="n">
        <f aca="false">I668*J668</f>
        <v>38500</v>
      </c>
      <c r="L668" s="14" t="n">
        <f aca="false">($L$2*M668)/100</f>
        <v>360499.95</v>
      </c>
      <c r="M668" s="15" t="n">
        <v>0.3</v>
      </c>
      <c r="N668" s="9" t="s">
        <v>20</v>
      </c>
    </row>
    <row r="669" customFormat="false" ht="14.25" hidden="false" customHeight="true" outlineLevel="0" collapsed="false">
      <c r="B669" s="9" t="s">
        <v>32</v>
      </c>
      <c r="C669" s="9" t="n">
        <v>1128299</v>
      </c>
      <c r="D669" s="10" t="n">
        <v>43996</v>
      </c>
      <c r="E669" s="9" t="s">
        <v>33</v>
      </c>
      <c r="F669" s="9" t="s">
        <v>48</v>
      </c>
      <c r="G669" s="9" t="s">
        <v>49</v>
      </c>
      <c r="H669" s="11" t="s">
        <v>21</v>
      </c>
      <c r="I669" s="12" t="n">
        <v>75</v>
      </c>
      <c r="J669" s="13" t="n">
        <v>350</v>
      </c>
      <c r="K669" s="14" t="n">
        <f aca="false">I669*J669</f>
        <v>26250</v>
      </c>
      <c r="L669" s="14" t="n">
        <f aca="false">($L$2*M669)/100</f>
        <v>300416.625</v>
      </c>
      <c r="M669" s="15" t="n">
        <v>0.25</v>
      </c>
      <c r="N669" s="9" t="s">
        <v>20</v>
      </c>
    </row>
    <row r="670" customFormat="false" ht="14.25" hidden="false" customHeight="true" outlineLevel="0" collapsed="false">
      <c r="B670" s="9" t="s">
        <v>32</v>
      </c>
      <c r="C670" s="9" t="n">
        <v>1128299</v>
      </c>
      <c r="D670" s="10" t="n">
        <v>43997</v>
      </c>
      <c r="E670" s="9" t="s">
        <v>33</v>
      </c>
      <c r="F670" s="9" t="s">
        <v>48</v>
      </c>
      <c r="G670" s="9" t="s">
        <v>49</v>
      </c>
      <c r="H670" s="11" t="s">
        <v>22</v>
      </c>
      <c r="I670" s="12" t="n">
        <v>75</v>
      </c>
      <c r="J670" s="13" t="n">
        <v>400</v>
      </c>
      <c r="K670" s="14" t="n">
        <f aca="false">I670*J670</f>
        <v>30000</v>
      </c>
      <c r="L670" s="14" t="n">
        <f aca="false">($L$2*M670)/100</f>
        <v>300416.625</v>
      </c>
      <c r="M670" s="15" t="n">
        <v>0.25</v>
      </c>
      <c r="N670" s="9" t="s">
        <v>20</v>
      </c>
    </row>
    <row r="671" customFormat="false" ht="14.25" hidden="false" customHeight="true" outlineLevel="0" collapsed="false">
      <c r="B671" s="9" t="s">
        <v>32</v>
      </c>
      <c r="C671" s="9" t="n">
        <v>1128299</v>
      </c>
      <c r="D671" s="10" t="n">
        <v>43998</v>
      </c>
      <c r="E671" s="9" t="s">
        <v>33</v>
      </c>
      <c r="F671" s="9" t="s">
        <v>48</v>
      </c>
      <c r="G671" s="9" t="s">
        <v>49</v>
      </c>
      <c r="H671" s="11" t="s">
        <v>23</v>
      </c>
      <c r="I671" s="12" t="n">
        <v>60</v>
      </c>
      <c r="J671" s="13" t="n">
        <v>300</v>
      </c>
      <c r="K671" s="14" t="n">
        <f aca="false">I671*J671</f>
        <v>18000</v>
      </c>
      <c r="L671" s="14" t="n">
        <f aca="false">($L$2*M671)/100</f>
        <v>360499.95</v>
      </c>
      <c r="M671" s="15" t="n">
        <v>0.3</v>
      </c>
      <c r="N671" s="9" t="s">
        <v>20</v>
      </c>
    </row>
    <row r="672" customFormat="false" ht="14.25" hidden="false" customHeight="true" outlineLevel="0" collapsed="false">
      <c r="B672" s="9" t="s">
        <v>32</v>
      </c>
      <c r="C672" s="9" t="n">
        <v>1128299</v>
      </c>
      <c r="D672" s="10" t="n">
        <v>43999</v>
      </c>
      <c r="E672" s="9" t="s">
        <v>33</v>
      </c>
      <c r="F672" s="9" t="s">
        <v>48</v>
      </c>
      <c r="G672" s="9" t="s">
        <v>49</v>
      </c>
      <c r="H672" s="11" t="s">
        <v>24</v>
      </c>
      <c r="I672" s="12" t="n">
        <v>65</v>
      </c>
      <c r="J672" s="13" t="n">
        <v>200</v>
      </c>
      <c r="K672" s="14" t="n">
        <f aca="false">I672*J672</f>
        <v>13000</v>
      </c>
      <c r="L672" s="14" t="n">
        <f aca="false">($L$2*M672)/100</f>
        <v>300416.625</v>
      </c>
      <c r="M672" s="15" t="n">
        <v>0.25</v>
      </c>
      <c r="N672" s="9" t="s">
        <v>20</v>
      </c>
    </row>
    <row r="673" customFormat="false" ht="14.25" hidden="false" customHeight="true" outlineLevel="0" collapsed="false">
      <c r="B673" s="9" t="s">
        <v>32</v>
      </c>
      <c r="C673" s="9" t="n">
        <v>1128299</v>
      </c>
      <c r="D673" s="10" t="n">
        <v>44000</v>
      </c>
      <c r="E673" s="9" t="s">
        <v>33</v>
      </c>
      <c r="F673" s="9" t="s">
        <v>48</v>
      </c>
      <c r="G673" s="9" t="s">
        <v>49</v>
      </c>
      <c r="H673" s="11" t="s">
        <v>25</v>
      </c>
      <c r="I673" s="12" t="n">
        <v>80</v>
      </c>
      <c r="J673" s="13" t="n">
        <v>350</v>
      </c>
      <c r="K673" s="14" t="n">
        <f aca="false">I673*J673</f>
        <v>28000</v>
      </c>
      <c r="L673" s="14" t="n">
        <f aca="false">($L$2*M673)/100</f>
        <v>240333.3</v>
      </c>
      <c r="M673" s="15" t="n">
        <v>0.2</v>
      </c>
      <c r="N673" s="9" t="s">
        <v>20</v>
      </c>
    </row>
    <row r="674" customFormat="false" ht="14.25" hidden="false" customHeight="true" outlineLevel="0" collapsed="false">
      <c r="B674" s="9" t="s">
        <v>32</v>
      </c>
      <c r="C674" s="9" t="n">
        <v>1128299</v>
      </c>
      <c r="D674" s="10" t="n">
        <v>44001</v>
      </c>
      <c r="E674" s="9" t="s">
        <v>33</v>
      </c>
      <c r="F674" s="9" t="s">
        <v>48</v>
      </c>
      <c r="G674" s="9" t="s">
        <v>49</v>
      </c>
      <c r="H674" s="11" t="s">
        <v>19</v>
      </c>
      <c r="I674" s="12" t="n">
        <v>60</v>
      </c>
      <c r="J674" s="13" t="n">
        <v>550</v>
      </c>
      <c r="K674" s="14" t="n">
        <f aca="false">I674*J674</f>
        <v>33000</v>
      </c>
      <c r="L674" s="14" t="n">
        <f aca="false">($L$2*M674)/100</f>
        <v>360499.95</v>
      </c>
      <c r="M674" s="15" t="n">
        <v>0.3</v>
      </c>
      <c r="N674" s="9" t="s">
        <v>20</v>
      </c>
    </row>
    <row r="675" customFormat="false" ht="14.25" hidden="false" customHeight="true" outlineLevel="0" collapsed="false">
      <c r="B675" s="9" t="s">
        <v>32</v>
      </c>
      <c r="C675" s="9" t="n">
        <v>1128299</v>
      </c>
      <c r="D675" s="10" t="n">
        <v>44002</v>
      </c>
      <c r="E675" s="9" t="s">
        <v>33</v>
      </c>
      <c r="F675" s="9" t="s">
        <v>48</v>
      </c>
      <c r="G675" s="9" t="s">
        <v>49</v>
      </c>
      <c r="H675" s="11" t="s">
        <v>21</v>
      </c>
      <c r="I675" s="12" t="n">
        <v>65</v>
      </c>
      <c r="J675" s="13" t="n">
        <v>400</v>
      </c>
      <c r="K675" s="14" t="n">
        <f aca="false">I675*J675</f>
        <v>26000</v>
      </c>
      <c r="L675" s="14" t="n">
        <f aca="false">($L$2*M675)/100</f>
        <v>300416.625</v>
      </c>
      <c r="M675" s="15" t="n">
        <v>0.25</v>
      </c>
      <c r="N675" s="9" t="s">
        <v>20</v>
      </c>
    </row>
    <row r="676" customFormat="false" ht="14.25" hidden="false" customHeight="true" outlineLevel="0" collapsed="false">
      <c r="B676" s="9" t="s">
        <v>32</v>
      </c>
      <c r="C676" s="9" t="n">
        <v>1128299</v>
      </c>
      <c r="D676" s="10" t="n">
        <v>44003</v>
      </c>
      <c r="E676" s="9" t="s">
        <v>33</v>
      </c>
      <c r="F676" s="9" t="s">
        <v>48</v>
      </c>
      <c r="G676" s="9" t="s">
        <v>49</v>
      </c>
      <c r="H676" s="11" t="s">
        <v>22</v>
      </c>
      <c r="I676" s="12" t="n">
        <v>65</v>
      </c>
      <c r="J676" s="13" t="n">
        <v>400</v>
      </c>
      <c r="K676" s="14" t="n">
        <f aca="false">I676*J676</f>
        <v>26000</v>
      </c>
      <c r="L676" s="14" t="n">
        <f aca="false">($L$2*M676)/100</f>
        <v>300416.625</v>
      </c>
      <c r="M676" s="15" t="n">
        <v>0.25</v>
      </c>
      <c r="N676" s="9" t="s">
        <v>20</v>
      </c>
    </row>
    <row r="677" customFormat="false" ht="14.25" hidden="false" customHeight="true" outlineLevel="0" collapsed="false">
      <c r="B677" s="9" t="s">
        <v>32</v>
      </c>
      <c r="C677" s="9" t="n">
        <v>1128299</v>
      </c>
      <c r="D677" s="10" t="n">
        <v>44004</v>
      </c>
      <c r="E677" s="9" t="s">
        <v>33</v>
      </c>
      <c r="F677" s="9" t="s">
        <v>48</v>
      </c>
      <c r="G677" s="9" t="s">
        <v>49</v>
      </c>
      <c r="H677" s="11" t="s">
        <v>23</v>
      </c>
      <c r="I677" s="12" t="n">
        <v>60</v>
      </c>
      <c r="J677" s="13" t="n">
        <v>300</v>
      </c>
      <c r="K677" s="14" t="n">
        <f aca="false">I677*J677</f>
        <v>18000</v>
      </c>
      <c r="L677" s="14" t="n">
        <f aca="false">($L$2*M677)/100</f>
        <v>360499.95</v>
      </c>
      <c r="M677" s="15" t="n">
        <v>0.3</v>
      </c>
      <c r="N677" s="9" t="s">
        <v>20</v>
      </c>
    </row>
    <row r="678" customFormat="false" ht="14.25" hidden="false" customHeight="true" outlineLevel="0" collapsed="false">
      <c r="B678" s="9" t="s">
        <v>32</v>
      </c>
      <c r="C678" s="9" t="n">
        <v>1128299</v>
      </c>
      <c r="D678" s="10" t="n">
        <v>44005</v>
      </c>
      <c r="E678" s="9" t="s">
        <v>33</v>
      </c>
      <c r="F678" s="9" t="s">
        <v>48</v>
      </c>
      <c r="G678" s="9" t="s">
        <v>49</v>
      </c>
      <c r="H678" s="11" t="s">
        <v>24</v>
      </c>
      <c r="I678" s="12" t="n">
        <v>65</v>
      </c>
      <c r="J678" s="13" t="n">
        <v>200</v>
      </c>
      <c r="K678" s="14" t="n">
        <f aca="false">I678*J678</f>
        <v>13000</v>
      </c>
      <c r="L678" s="14" t="n">
        <f aca="false">($L$2*M678)/100</f>
        <v>300416.625</v>
      </c>
      <c r="M678" s="15" t="n">
        <v>0.25</v>
      </c>
      <c r="N678" s="9" t="s">
        <v>20</v>
      </c>
    </row>
    <row r="679" customFormat="false" ht="14.25" hidden="false" customHeight="true" outlineLevel="0" collapsed="false">
      <c r="B679" s="9" t="s">
        <v>32</v>
      </c>
      <c r="C679" s="9" t="n">
        <v>1128299</v>
      </c>
      <c r="D679" s="10" t="n">
        <v>44006</v>
      </c>
      <c r="E679" s="9" t="s">
        <v>33</v>
      </c>
      <c r="F679" s="9" t="s">
        <v>48</v>
      </c>
      <c r="G679" s="9" t="s">
        <v>49</v>
      </c>
      <c r="H679" s="11" t="s">
        <v>25</v>
      </c>
      <c r="I679" s="12" t="n">
        <v>80</v>
      </c>
      <c r="J679" s="13" t="n">
        <v>500</v>
      </c>
      <c r="K679" s="14" t="n">
        <f aca="false">I679*J679</f>
        <v>40000</v>
      </c>
      <c r="L679" s="14" t="n">
        <f aca="false">($L$2*M679)/100</f>
        <v>240333.3</v>
      </c>
      <c r="M679" s="15" t="n">
        <v>0.2</v>
      </c>
      <c r="N679" s="9" t="s">
        <v>20</v>
      </c>
    </row>
    <row r="680" customFormat="false" ht="14.25" hidden="false" customHeight="true" outlineLevel="0" collapsed="false">
      <c r="B680" s="9" t="s">
        <v>32</v>
      </c>
      <c r="C680" s="9" t="n">
        <v>1128299</v>
      </c>
      <c r="D680" s="10" t="n">
        <v>44007</v>
      </c>
      <c r="E680" s="9" t="s">
        <v>33</v>
      </c>
      <c r="F680" s="9" t="s">
        <v>48</v>
      </c>
      <c r="G680" s="9" t="s">
        <v>49</v>
      </c>
      <c r="H680" s="11" t="s">
        <v>19</v>
      </c>
      <c r="I680" s="12" t="n">
        <v>75</v>
      </c>
      <c r="J680" s="13" t="n">
        <v>750</v>
      </c>
      <c r="K680" s="14" t="n">
        <f aca="false">I680*J680</f>
        <v>56250</v>
      </c>
      <c r="L680" s="14" t="n">
        <f aca="false">($L$2*M680)/100</f>
        <v>360499.95</v>
      </c>
      <c r="M680" s="15" t="n">
        <v>0.3</v>
      </c>
      <c r="N680" s="9" t="s">
        <v>20</v>
      </c>
    </row>
    <row r="681" customFormat="false" ht="14.25" hidden="false" customHeight="true" outlineLevel="0" collapsed="false">
      <c r="B681" s="9" t="s">
        <v>32</v>
      </c>
      <c r="C681" s="9" t="n">
        <v>1128299</v>
      </c>
      <c r="D681" s="10" t="n">
        <v>44008</v>
      </c>
      <c r="E681" s="9" t="s">
        <v>33</v>
      </c>
      <c r="F681" s="9" t="s">
        <v>48</v>
      </c>
      <c r="G681" s="9" t="s">
        <v>49</v>
      </c>
      <c r="H681" s="11" t="s">
        <v>21</v>
      </c>
      <c r="I681" s="12" t="n">
        <v>80</v>
      </c>
      <c r="J681" s="13" t="n">
        <v>625</v>
      </c>
      <c r="K681" s="14" t="n">
        <f aca="false">I681*J681</f>
        <v>50000</v>
      </c>
      <c r="L681" s="14" t="n">
        <f aca="false">($L$2*M681)/100</f>
        <v>300416.625</v>
      </c>
      <c r="M681" s="15" t="n">
        <v>0.25</v>
      </c>
      <c r="N681" s="9" t="s">
        <v>20</v>
      </c>
    </row>
    <row r="682" customFormat="false" ht="14.25" hidden="false" customHeight="true" outlineLevel="0" collapsed="false">
      <c r="B682" s="9" t="s">
        <v>32</v>
      </c>
      <c r="C682" s="9" t="n">
        <v>1128299</v>
      </c>
      <c r="D682" s="10" t="n">
        <v>44009</v>
      </c>
      <c r="E682" s="9" t="s">
        <v>33</v>
      </c>
      <c r="F682" s="9" t="s">
        <v>48</v>
      </c>
      <c r="G682" s="9" t="s">
        <v>49</v>
      </c>
      <c r="H682" s="11" t="s">
        <v>22</v>
      </c>
      <c r="I682" s="12" t="n">
        <v>80</v>
      </c>
      <c r="J682" s="13" t="n">
        <v>625</v>
      </c>
      <c r="K682" s="14" t="n">
        <f aca="false">I682*J682</f>
        <v>50000</v>
      </c>
      <c r="L682" s="14" t="n">
        <f aca="false">($L$2*M682)/100</f>
        <v>300416.625</v>
      </c>
      <c r="M682" s="15" t="n">
        <v>0.25</v>
      </c>
      <c r="N682" s="9" t="s">
        <v>20</v>
      </c>
    </row>
    <row r="683" customFormat="false" ht="14.25" hidden="false" customHeight="true" outlineLevel="0" collapsed="false">
      <c r="B683" s="9" t="s">
        <v>32</v>
      </c>
      <c r="C683" s="9" t="n">
        <v>1128299</v>
      </c>
      <c r="D683" s="10" t="n">
        <v>44010</v>
      </c>
      <c r="E683" s="9" t="s">
        <v>33</v>
      </c>
      <c r="F683" s="9" t="s">
        <v>48</v>
      </c>
      <c r="G683" s="9" t="s">
        <v>49</v>
      </c>
      <c r="H683" s="11" t="s">
        <v>23</v>
      </c>
      <c r="I683" s="12" t="n">
        <v>80</v>
      </c>
      <c r="J683" s="13" t="n">
        <v>500</v>
      </c>
      <c r="K683" s="14" t="n">
        <f aca="false">I683*J683</f>
        <v>40000</v>
      </c>
      <c r="L683" s="14" t="n">
        <f aca="false">($L$2*M683)/100</f>
        <v>360499.95</v>
      </c>
      <c r="M683" s="15" t="n">
        <v>0.3</v>
      </c>
      <c r="N683" s="9" t="s">
        <v>20</v>
      </c>
    </row>
    <row r="684" customFormat="false" ht="14.25" hidden="false" customHeight="true" outlineLevel="0" collapsed="false">
      <c r="B684" s="9" t="s">
        <v>32</v>
      </c>
      <c r="C684" s="9" t="n">
        <v>1128299</v>
      </c>
      <c r="D684" s="10" t="n">
        <v>44011</v>
      </c>
      <c r="E684" s="9" t="s">
        <v>33</v>
      </c>
      <c r="F684" s="9" t="s">
        <v>48</v>
      </c>
      <c r="G684" s="9" t="s">
        <v>49</v>
      </c>
      <c r="H684" s="11" t="s">
        <v>24</v>
      </c>
      <c r="I684" s="12" t="n">
        <v>85</v>
      </c>
      <c r="J684" s="13" t="n">
        <v>375</v>
      </c>
      <c r="K684" s="14" t="n">
        <f aca="false">I684*J684</f>
        <v>31875</v>
      </c>
      <c r="L684" s="14" t="n">
        <f aca="false">($L$2*M684)/100</f>
        <v>300416.625</v>
      </c>
      <c r="M684" s="15" t="n">
        <v>0.25</v>
      </c>
      <c r="N684" s="9" t="s">
        <v>20</v>
      </c>
    </row>
    <row r="685" customFormat="false" ht="14.25" hidden="false" customHeight="true" outlineLevel="0" collapsed="false">
      <c r="B685" s="9" t="s">
        <v>32</v>
      </c>
      <c r="C685" s="9" t="n">
        <v>1128299</v>
      </c>
      <c r="D685" s="10" t="n">
        <v>44012</v>
      </c>
      <c r="E685" s="9" t="s">
        <v>33</v>
      </c>
      <c r="F685" s="9" t="s">
        <v>48</v>
      </c>
      <c r="G685" s="9" t="s">
        <v>49</v>
      </c>
      <c r="H685" s="11" t="s">
        <v>25</v>
      </c>
      <c r="I685" s="12" t="n">
        <v>100</v>
      </c>
      <c r="J685" s="13" t="n">
        <v>675</v>
      </c>
      <c r="K685" s="14" t="n">
        <f aca="false">I685*J685</f>
        <v>67500</v>
      </c>
      <c r="L685" s="14" t="n">
        <f aca="false">($L$2*M685)/100</f>
        <v>240333.3</v>
      </c>
      <c r="M685" s="15" t="n">
        <v>0.2</v>
      </c>
      <c r="N685" s="9" t="s">
        <v>20</v>
      </c>
    </row>
    <row r="686" customFormat="false" ht="14.25" hidden="false" customHeight="true" outlineLevel="0" collapsed="false">
      <c r="B686" s="9" t="s">
        <v>32</v>
      </c>
      <c r="C686" s="9" t="n">
        <v>1128299</v>
      </c>
      <c r="D686" s="10" t="n">
        <v>44013</v>
      </c>
      <c r="E686" s="9" t="s">
        <v>33</v>
      </c>
      <c r="F686" s="9" t="s">
        <v>48</v>
      </c>
      <c r="G686" s="9" t="s">
        <v>49</v>
      </c>
      <c r="H686" s="11" t="s">
        <v>19</v>
      </c>
      <c r="I686" s="12" t="n">
        <v>80</v>
      </c>
      <c r="J686" s="13" t="n">
        <v>825</v>
      </c>
      <c r="K686" s="14" t="n">
        <f aca="false">I686*J686</f>
        <v>66000</v>
      </c>
      <c r="L686" s="14" t="n">
        <f aca="false">($L$2*M686)/100</f>
        <v>360499.95</v>
      </c>
      <c r="M686" s="15" t="n">
        <v>0.3</v>
      </c>
      <c r="N686" s="9" t="s">
        <v>20</v>
      </c>
    </row>
    <row r="687" customFormat="false" ht="14.25" hidden="false" customHeight="true" outlineLevel="0" collapsed="false">
      <c r="B687" s="9" t="s">
        <v>32</v>
      </c>
      <c r="C687" s="9" t="n">
        <v>1128299</v>
      </c>
      <c r="D687" s="10" t="n">
        <v>44014</v>
      </c>
      <c r="E687" s="9" t="s">
        <v>33</v>
      </c>
      <c r="F687" s="9" t="s">
        <v>48</v>
      </c>
      <c r="G687" s="9" t="s">
        <v>49</v>
      </c>
      <c r="H687" s="11" t="s">
        <v>21</v>
      </c>
      <c r="I687" s="12" t="n">
        <v>85</v>
      </c>
      <c r="J687" s="13" t="n">
        <v>675</v>
      </c>
      <c r="K687" s="14" t="n">
        <f aca="false">I687*J687</f>
        <v>57375</v>
      </c>
      <c r="L687" s="14" t="n">
        <f aca="false">($L$2*M687)/100</f>
        <v>300416.625</v>
      </c>
      <c r="M687" s="15" t="n">
        <v>0.25</v>
      </c>
      <c r="N687" s="9" t="s">
        <v>20</v>
      </c>
    </row>
    <row r="688" customFormat="false" ht="14.25" hidden="false" customHeight="true" outlineLevel="0" collapsed="false">
      <c r="B688" s="9" t="s">
        <v>32</v>
      </c>
      <c r="C688" s="9" t="n">
        <v>1128299</v>
      </c>
      <c r="D688" s="10" t="n">
        <v>44015</v>
      </c>
      <c r="E688" s="9" t="s">
        <v>33</v>
      </c>
      <c r="F688" s="9" t="s">
        <v>48</v>
      </c>
      <c r="G688" s="9" t="s">
        <v>49</v>
      </c>
      <c r="H688" s="11" t="s">
        <v>22</v>
      </c>
      <c r="I688" s="12" t="n">
        <v>85</v>
      </c>
      <c r="J688" s="13" t="n">
        <v>625</v>
      </c>
      <c r="K688" s="14" t="n">
        <f aca="false">I688*J688</f>
        <v>53125</v>
      </c>
      <c r="L688" s="14" t="n">
        <f aca="false">($L$2*M688)/100</f>
        <v>300416.625</v>
      </c>
      <c r="M688" s="15" t="n">
        <v>0.25</v>
      </c>
      <c r="N688" s="9" t="s">
        <v>20</v>
      </c>
    </row>
    <row r="689" customFormat="false" ht="14.25" hidden="false" customHeight="true" outlineLevel="0" collapsed="false">
      <c r="B689" s="9" t="s">
        <v>32</v>
      </c>
      <c r="C689" s="9" t="n">
        <v>1128299</v>
      </c>
      <c r="D689" s="10" t="n">
        <v>44016</v>
      </c>
      <c r="E689" s="9" t="s">
        <v>33</v>
      </c>
      <c r="F689" s="9" t="s">
        <v>48</v>
      </c>
      <c r="G689" s="9" t="s">
        <v>49</v>
      </c>
      <c r="H689" s="11" t="s">
        <v>23</v>
      </c>
      <c r="I689" s="12" t="n">
        <v>80</v>
      </c>
      <c r="J689" s="13" t="n">
        <v>525</v>
      </c>
      <c r="K689" s="14" t="n">
        <f aca="false">I689*J689</f>
        <v>42000</v>
      </c>
      <c r="L689" s="14" t="n">
        <f aca="false">($L$2*M689)/100</f>
        <v>360499.95</v>
      </c>
      <c r="M689" s="15" t="n">
        <v>0.3</v>
      </c>
      <c r="N689" s="9" t="s">
        <v>20</v>
      </c>
    </row>
    <row r="690" customFormat="false" ht="14.25" hidden="false" customHeight="true" outlineLevel="0" collapsed="false">
      <c r="B690" s="9" t="s">
        <v>32</v>
      </c>
      <c r="C690" s="9" t="n">
        <v>1128299</v>
      </c>
      <c r="D690" s="10" t="n">
        <v>44017</v>
      </c>
      <c r="E690" s="9" t="s">
        <v>33</v>
      </c>
      <c r="F690" s="9" t="s">
        <v>48</v>
      </c>
      <c r="G690" s="9" t="s">
        <v>49</v>
      </c>
      <c r="H690" s="11" t="s">
        <v>24</v>
      </c>
      <c r="I690" s="12" t="n">
        <v>85</v>
      </c>
      <c r="J690" s="13" t="n">
        <v>575</v>
      </c>
      <c r="K690" s="14" t="n">
        <f aca="false">I690*J690</f>
        <v>48875</v>
      </c>
      <c r="L690" s="14" t="n">
        <f aca="false">($L$2*M690)/100</f>
        <v>300416.625</v>
      </c>
      <c r="M690" s="15" t="n">
        <v>0.25</v>
      </c>
      <c r="N690" s="9" t="s">
        <v>20</v>
      </c>
    </row>
    <row r="691" customFormat="false" ht="14.25" hidden="false" customHeight="true" outlineLevel="0" collapsed="false">
      <c r="B691" s="9" t="s">
        <v>32</v>
      </c>
      <c r="C691" s="9" t="n">
        <v>1128299</v>
      </c>
      <c r="D691" s="10" t="n">
        <v>44018</v>
      </c>
      <c r="E691" s="9" t="s">
        <v>33</v>
      </c>
      <c r="F691" s="9" t="s">
        <v>48</v>
      </c>
      <c r="G691" s="9" t="s">
        <v>49</v>
      </c>
      <c r="H691" s="11" t="s">
        <v>25</v>
      </c>
      <c r="I691" s="12" t="n">
        <v>100</v>
      </c>
      <c r="J691" s="13" t="n">
        <v>575</v>
      </c>
      <c r="K691" s="14" t="n">
        <f aca="false">I691*J691</f>
        <v>57500</v>
      </c>
      <c r="L691" s="14" t="n">
        <f aca="false">($L$2*M691)/100</f>
        <v>240333.3</v>
      </c>
      <c r="M691" s="15" t="n">
        <v>0.2</v>
      </c>
      <c r="N691" s="9" t="s">
        <v>20</v>
      </c>
    </row>
    <row r="692" customFormat="false" ht="14.25" hidden="false" customHeight="true" outlineLevel="0" collapsed="false">
      <c r="B692" s="9" t="s">
        <v>32</v>
      </c>
      <c r="C692" s="9" t="n">
        <v>1128299</v>
      </c>
      <c r="D692" s="10" t="n">
        <v>44019</v>
      </c>
      <c r="E692" s="9" t="s">
        <v>33</v>
      </c>
      <c r="F692" s="9" t="s">
        <v>48</v>
      </c>
      <c r="G692" s="9" t="s">
        <v>49</v>
      </c>
      <c r="H692" s="11" t="s">
        <v>19</v>
      </c>
      <c r="I692" s="12" t="n">
        <v>85</v>
      </c>
      <c r="J692" s="13" t="n">
        <v>775</v>
      </c>
      <c r="K692" s="14" t="n">
        <f aca="false">I692*J692</f>
        <v>65875</v>
      </c>
      <c r="L692" s="14" t="n">
        <f aca="false">($L$2*M692)/100</f>
        <v>360499.95</v>
      </c>
      <c r="M692" s="15" t="n">
        <v>0.3</v>
      </c>
      <c r="N692" s="9" t="s">
        <v>20</v>
      </c>
    </row>
    <row r="693" customFormat="false" ht="14.25" hidden="false" customHeight="true" outlineLevel="0" collapsed="false">
      <c r="B693" s="9" t="s">
        <v>32</v>
      </c>
      <c r="C693" s="9" t="n">
        <v>1128299</v>
      </c>
      <c r="D693" s="10" t="n">
        <v>44020</v>
      </c>
      <c r="E693" s="9" t="s">
        <v>33</v>
      </c>
      <c r="F693" s="9" t="s">
        <v>48</v>
      </c>
      <c r="G693" s="9" t="s">
        <v>49</v>
      </c>
      <c r="H693" s="11" t="s">
        <v>21</v>
      </c>
      <c r="I693" s="12" t="n">
        <v>80</v>
      </c>
      <c r="J693" s="13" t="n">
        <v>750</v>
      </c>
      <c r="K693" s="14" t="n">
        <f aca="false">I693*J693</f>
        <v>60000</v>
      </c>
      <c r="L693" s="14" t="n">
        <f aca="false">($L$2*M693)/100</f>
        <v>300416.625</v>
      </c>
      <c r="M693" s="15" t="n">
        <v>0.25</v>
      </c>
      <c r="N693" s="9" t="s">
        <v>20</v>
      </c>
    </row>
    <row r="694" customFormat="false" ht="14.25" hidden="false" customHeight="true" outlineLevel="0" collapsed="false">
      <c r="B694" s="9" t="s">
        <v>32</v>
      </c>
      <c r="C694" s="9" t="n">
        <v>1128299</v>
      </c>
      <c r="D694" s="10" t="n">
        <v>44021</v>
      </c>
      <c r="E694" s="9" t="s">
        <v>33</v>
      </c>
      <c r="F694" s="9" t="s">
        <v>48</v>
      </c>
      <c r="G694" s="9" t="s">
        <v>49</v>
      </c>
      <c r="H694" s="11" t="s">
        <v>22</v>
      </c>
      <c r="I694" s="12" t="n">
        <v>75</v>
      </c>
      <c r="J694" s="13" t="n">
        <v>625</v>
      </c>
      <c r="K694" s="14" t="n">
        <f aca="false">I694*J694</f>
        <v>46875</v>
      </c>
      <c r="L694" s="14" t="n">
        <f aca="false">($L$2*M694)/100</f>
        <v>300416.625</v>
      </c>
      <c r="M694" s="15" t="n">
        <v>0.25</v>
      </c>
      <c r="N694" s="9" t="s">
        <v>20</v>
      </c>
    </row>
    <row r="695" customFormat="false" ht="14.25" hidden="false" customHeight="true" outlineLevel="0" collapsed="false">
      <c r="B695" s="9" t="s">
        <v>32</v>
      </c>
      <c r="C695" s="9" t="n">
        <v>1128299</v>
      </c>
      <c r="D695" s="10" t="n">
        <v>44022</v>
      </c>
      <c r="E695" s="9" t="s">
        <v>33</v>
      </c>
      <c r="F695" s="9" t="s">
        <v>48</v>
      </c>
      <c r="G695" s="9" t="s">
        <v>49</v>
      </c>
      <c r="H695" s="11" t="s">
        <v>23</v>
      </c>
      <c r="I695" s="12" t="n">
        <v>75</v>
      </c>
      <c r="J695" s="13" t="n">
        <v>575</v>
      </c>
      <c r="K695" s="14" t="n">
        <f aca="false">I695*J695</f>
        <v>43125</v>
      </c>
      <c r="L695" s="14" t="n">
        <f aca="false">($L$2*M695)/100</f>
        <v>360499.95</v>
      </c>
      <c r="M695" s="15" t="n">
        <v>0.3</v>
      </c>
      <c r="N695" s="9" t="s">
        <v>20</v>
      </c>
    </row>
    <row r="696" customFormat="false" ht="14.25" hidden="false" customHeight="true" outlineLevel="0" collapsed="false">
      <c r="B696" s="9" t="s">
        <v>32</v>
      </c>
      <c r="C696" s="9" t="n">
        <v>1128299</v>
      </c>
      <c r="D696" s="10" t="n">
        <v>44023</v>
      </c>
      <c r="E696" s="9" t="s">
        <v>33</v>
      </c>
      <c r="F696" s="9" t="s">
        <v>48</v>
      </c>
      <c r="G696" s="9" t="s">
        <v>49</v>
      </c>
      <c r="H696" s="11" t="s">
        <v>24</v>
      </c>
      <c r="I696" s="12" t="n">
        <v>75</v>
      </c>
      <c r="J696" s="13" t="n">
        <v>575</v>
      </c>
      <c r="K696" s="14" t="n">
        <f aca="false">I696*J696</f>
        <v>43125</v>
      </c>
      <c r="L696" s="14" t="n">
        <f aca="false">($L$2*M696)/100</f>
        <v>300416.625</v>
      </c>
      <c r="M696" s="15" t="n">
        <v>0.25</v>
      </c>
      <c r="N696" s="9" t="s">
        <v>20</v>
      </c>
    </row>
    <row r="697" customFormat="false" ht="14.25" hidden="false" customHeight="true" outlineLevel="0" collapsed="false">
      <c r="B697" s="9" t="s">
        <v>32</v>
      </c>
      <c r="C697" s="9" t="n">
        <v>1128299</v>
      </c>
      <c r="D697" s="10" t="n">
        <v>44024</v>
      </c>
      <c r="E697" s="9" t="s">
        <v>33</v>
      </c>
      <c r="F697" s="9" t="s">
        <v>48</v>
      </c>
      <c r="G697" s="9" t="s">
        <v>49</v>
      </c>
      <c r="H697" s="11" t="s">
        <v>25</v>
      </c>
      <c r="I697" s="12" t="n">
        <v>80</v>
      </c>
      <c r="J697" s="13" t="n">
        <v>400</v>
      </c>
      <c r="K697" s="14" t="n">
        <f aca="false">I697*J697</f>
        <v>32000</v>
      </c>
      <c r="L697" s="14" t="n">
        <f aca="false">($L$2*M697)/100</f>
        <v>240333.3</v>
      </c>
      <c r="M697" s="15" t="n">
        <v>0.2</v>
      </c>
      <c r="N697" s="9" t="s">
        <v>20</v>
      </c>
    </row>
    <row r="698" customFormat="false" ht="14.25" hidden="false" customHeight="true" outlineLevel="0" collapsed="false">
      <c r="B698" s="9" t="s">
        <v>32</v>
      </c>
      <c r="C698" s="9" t="n">
        <v>1128299</v>
      </c>
      <c r="D698" s="10" t="n">
        <v>44025</v>
      </c>
      <c r="E698" s="9" t="s">
        <v>33</v>
      </c>
      <c r="F698" s="9" t="s">
        <v>48</v>
      </c>
      <c r="G698" s="9" t="s">
        <v>49</v>
      </c>
      <c r="H698" s="11" t="s">
        <v>19</v>
      </c>
      <c r="I698" s="12" t="n">
        <v>70</v>
      </c>
      <c r="J698" s="13" t="n">
        <v>600</v>
      </c>
      <c r="K698" s="14" t="n">
        <f aca="false">I698*J698</f>
        <v>42000</v>
      </c>
      <c r="L698" s="14" t="n">
        <f aca="false">($L$2*M698)/100</f>
        <v>360499.95</v>
      </c>
      <c r="M698" s="15" t="n">
        <v>0.3</v>
      </c>
      <c r="N698" s="9" t="s">
        <v>20</v>
      </c>
    </row>
    <row r="699" customFormat="false" ht="14.25" hidden="false" customHeight="true" outlineLevel="0" collapsed="false">
      <c r="B699" s="9" t="s">
        <v>32</v>
      </c>
      <c r="C699" s="9" t="n">
        <v>1128299</v>
      </c>
      <c r="D699" s="10" t="n">
        <v>44026</v>
      </c>
      <c r="E699" s="9" t="s">
        <v>33</v>
      </c>
      <c r="F699" s="9" t="s">
        <v>48</v>
      </c>
      <c r="G699" s="9" t="s">
        <v>49</v>
      </c>
      <c r="H699" s="11" t="s">
        <v>21</v>
      </c>
      <c r="I699" s="12" t="n">
        <v>75</v>
      </c>
      <c r="J699" s="13" t="n">
        <v>600</v>
      </c>
      <c r="K699" s="14" t="n">
        <f aca="false">I699*J699</f>
        <v>45000</v>
      </c>
      <c r="L699" s="14" t="n">
        <f aca="false">($L$2*M699)/100</f>
        <v>300416.625</v>
      </c>
      <c r="M699" s="15" t="n">
        <v>0.25</v>
      </c>
      <c r="N699" s="9" t="s">
        <v>20</v>
      </c>
    </row>
    <row r="700" customFormat="false" ht="14.25" hidden="false" customHeight="true" outlineLevel="0" collapsed="false">
      <c r="B700" s="9" t="s">
        <v>32</v>
      </c>
      <c r="C700" s="9" t="n">
        <v>1128299</v>
      </c>
      <c r="D700" s="10" t="n">
        <v>44027</v>
      </c>
      <c r="E700" s="9" t="s">
        <v>33</v>
      </c>
      <c r="F700" s="9" t="s">
        <v>48</v>
      </c>
      <c r="G700" s="9" t="s">
        <v>49</v>
      </c>
      <c r="H700" s="11" t="s">
        <v>22</v>
      </c>
      <c r="I700" s="12" t="n">
        <v>70</v>
      </c>
      <c r="J700" s="13" t="n">
        <v>450</v>
      </c>
      <c r="K700" s="14" t="n">
        <f aca="false">I700*J700</f>
        <v>31500</v>
      </c>
      <c r="L700" s="14" t="n">
        <f aca="false">($L$2*M700)/100</f>
        <v>300416.625</v>
      </c>
      <c r="M700" s="15" t="n">
        <v>0.25</v>
      </c>
      <c r="N700" s="9" t="s">
        <v>20</v>
      </c>
    </row>
    <row r="701" customFormat="false" ht="14.25" hidden="false" customHeight="true" outlineLevel="0" collapsed="false">
      <c r="B701" s="9" t="s">
        <v>32</v>
      </c>
      <c r="C701" s="9" t="n">
        <v>1128299</v>
      </c>
      <c r="D701" s="10" t="n">
        <v>44028</v>
      </c>
      <c r="E701" s="9" t="s">
        <v>33</v>
      </c>
      <c r="F701" s="9" t="s">
        <v>48</v>
      </c>
      <c r="G701" s="9" t="s">
        <v>49</v>
      </c>
      <c r="H701" s="11" t="s">
        <v>23</v>
      </c>
      <c r="I701" s="12" t="n">
        <v>70</v>
      </c>
      <c r="J701" s="13" t="n">
        <v>400</v>
      </c>
      <c r="K701" s="14" t="n">
        <f aca="false">I701*J701</f>
        <v>28000</v>
      </c>
      <c r="L701" s="14" t="n">
        <f aca="false">($L$2*M701)/100</f>
        <v>360499.95</v>
      </c>
      <c r="M701" s="15" t="n">
        <v>0.3</v>
      </c>
      <c r="N701" s="9" t="s">
        <v>20</v>
      </c>
    </row>
    <row r="702" customFormat="false" ht="14.25" hidden="false" customHeight="true" outlineLevel="0" collapsed="false">
      <c r="B702" s="9" t="s">
        <v>32</v>
      </c>
      <c r="C702" s="9" t="n">
        <v>1128299</v>
      </c>
      <c r="D702" s="10" t="n">
        <v>44029</v>
      </c>
      <c r="E702" s="9" t="s">
        <v>33</v>
      </c>
      <c r="F702" s="9" t="s">
        <v>48</v>
      </c>
      <c r="G702" s="9" t="s">
        <v>49</v>
      </c>
      <c r="H702" s="11" t="s">
        <v>24</v>
      </c>
      <c r="I702" s="12" t="n">
        <v>80</v>
      </c>
      <c r="J702" s="13" t="n">
        <v>425</v>
      </c>
      <c r="K702" s="14" t="n">
        <f aca="false">I702*J702</f>
        <v>34000</v>
      </c>
      <c r="L702" s="14" t="n">
        <f aca="false">($L$2*M702)/100</f>
        <v>300416.625</v>
      </c>
      <c r="M702" s="15" t="n">
        <v>0.25</v>
      </c>
      <c r="N702" s="9" t="s">
        <v>20</v>
      </c>
    </row>
    <row r="703" customFormat="false" ht="14.25" hidden="false" customHeight="true" outlineLevel="0" collapsed="false">
      <c r="B703" s="9" t="s">
        <v>32</v>
      </c>
      <c r="C703" s="9" t="n">
        <v>1128299</v>
      </c>
      <c r="D703" s="10" t="n">
        <v>44030</v>
      </c>
      <c r="E703" s="9" t="s">
        <v>33</v>
      </c>
      <c r="F703" s="9" t="s">
        <v>48</v>
      </c>
      <c r="G703" s="9" t="s">
        <v>49</v>
      </c>
      <c r="H703" s="11" t="s">
        <v>25</v>
      </c>
      <c r="I703" s="12" t="n">
        <v>65</v>
      </c>
      <c r="J703" s="13" t="n">
        <v>450</v>
      </c>
      <c r="K703" s="14" t="n">
        <f aca="false">I703*J703</f>
        <v>29250</v>
      </c>
      <c r="L703" s="14" t="n">
        <f aca="false">($L$2*M703)/100</f>
        <v>240333.3</v>
      </c>
      <c r="M703" s="15" t="n">
        <v>0.2</v>
      </c>
      <c r="N703" s="9" t="s">
        <v>20</v>
      </c>
    </row>
    <row r="704" customFormat="false" ht="14.25" hidden="false" customHeight="true" outlineLevel="0" collapsed="false">
      <c r="B704" s="9" t="s">
        <v>32</v>
      </c>
      <c r="C704" s="9" t="n">
        <v>1128299</v>
      </c>
      <c r="D704" s="10" t="n">
        <v>44031</v>
      </c>
      <c r="E704" s="9" t="s">
        <v>33</v>
      </c>
      <c r="F704" s="9" t="s">
        <v>48</v>
      </c>
      <c r="G704" s="9" t="s">
        <v>49</v>
      </c>
      <c r="H704" s="11" t="s">
        <v>19</v>
      </c>
      <c r="I704" s="12" t="n">
        <v>60</v>
      </c>
      <c r="J704" s="13" t="n">
        <v>550</v>
      </c>
      <c r="K704" s="14" t="n">
        <f aca="false">I704*J704</f>
        <v>33000</v>
      </c>
      <c r="L704" s="14" t="n">
        <f aca="false">($L$2*M704)/100</f>
        <v>360499.95</v>
      </c>
      <c r="M704" s="15" t="n">
        <v>0.3</v>
      </c>
      <c r="N704" s="9" t="s">
        <v>20</v>
      </c>
    </row>
    <row r="705" customFormat="false" ht="14.25" hidden="false" customHeight="true" outlineLevel="0" collapsed="false">
      <c r="B705" s="9" t="s">
        <v>32</v>
      </c>
      <c r="C705" s="9" t="n">
        <v>1128299</v>
      </c>
      <c r="D705" s="10" t="n">
        <v>44032</v>
      </c>
      <c r="E705" s="9" t="s">
        <v>33</v>
      </c>
      <c r="F705" s="9" t="s">
        <v>48</v>
      </c>
      <c r="G705" s="9" t="s">
        <v>49</v>
      </c>
      <c r="H705" s="11" t="s">
        <v>21</v>
      </c>
      <c r="I705" s="12" t="n">
        <v>65</v>
      </c>
      <c r="J705" s="13" t="n">
        <v>550</v>
      </c>
      <c r="K705" s="14" t="n">
        <f aca="false">I705*J705</f>
        <v>35750</v>
      </c>
      <c r="L705" s="14" t="n">
        <f aca="false">($L$2*M705)/100</f>
        <v>300416.625</v>
      </c>
      <c r="M705" s="15" t="n">
        <v>0.25</v>
      </c>
      <c r="N705" s="9" t="s">
        <v>20</v>
      </c>
    </row>
    <row r="706" customFormat="false" ht="14.25" hidden="false" customHeight="true" outlineLevel="0" collapsed="false">
      <c r="B706" s="9" t="s">
        <v>32</v>
      </c>
      <c r="C706" s="9" t="n">
        <v>1128299</v>
      </c>
      <c r="D706" s="10" t="n">
        <v>44033</v>
      </c>
      <c r="E706" s="9" t="s">
        <v>33</v>
      </c>
      <c r="F706" s="9" t="s">
        <v>48</v>
      </c>
      <c r="G706" s="9" t="s">
        <v>49</v>
      </c>
      <c r="H706" s="11" t="s">
        <v>22</v>
      </c>
      <c r="I706" s="12" t="n">
        <v>60</v>
      </c>
      <c r="J706" s="13" t="n">
        <v>375</v>
      </c>
      <c r="K706" s="14" t="n">
        <f aca="false">I706*J706</f>
        <v>22500</v>
      </c>
      <c r="L706" s="14" t="n">
        <f aca="false">($L$2*M706)/100</f>
        <v>300416.625</v>
      </c>
      <c r="M706" s="15" t="n">
        <v>0.25</v>
      </c>
      <c r="N706" s="9" t="s">
        <v>20</v>
      </c>
    </row>
    <row r="707" customFormat="false" ht="14.25" hidden="false" customHeight="true" outlineLevel="0" collapsed="false">
      <c r="B707" s="9" t="s">
        <v>32</v>
      </c>
      <c r="C707" s="9" t="n">
        <v>1128299</v>
      </c>
      <c r="D707" s="10" t="n">
        <v>44034</v>
      </c>
      <c r="E707" s="9" t="s">
        <v>33</v>
      </c>
      <c r="F707" s="9" t="s">
        <v>48</v>
      </c>
      <c r="G707" s="9" t="s">
        <v>49</v>
      </c>
      <c r="H707" s="11" t="s">
        <v>23</v>
      </c>
      <c r="I707" s="12" t="n">
        <v>60</v>
      </c>
      <c r="J707" s="13" t="n">
        <v>350</v>
      </c>
      <c r="K707" s="14" t="n">
        <f aca="false">I707*J707</f>
        <v>21000</v>
      </c>
      <c r="L707" s="14" t="n">
        <f aca="false">($L$2*M707)/100</f>
        <v>360499.95</v>
      </c>
      <c r="M707" s="15" t="n">
        <v>0.3</v>
      </c>
      <c r="N707" s="9" t="s">
        <v>20</v>
      </c>
    </row>
    <row r="708" customFormat="false" ht="14.25" hidden="false" customHeight="true" outlineLevel="0" collapsed="false">
      <c r="B708" s="9" t="s">
        <v>32</v>
      </c>
      <c r="C708" s="9" t="n">
        <v>1128299</v>
      </c>
      <c r="D708" s="10" t="n">
        <v>44035</v>
      </c>
      <c r="E708" s="9" t="s">
        <v>33</v>
      </c>
      <c r="F708" s="9" t="s">
        <v>48</v>
      </c>
      <c r="G708" s="9" t="s">
        <v>49</v>
      </c>
      <c r="H708" s="11" t="s">
        <v>24</v>
      </c>
      <c r="I708" s="12" t="n">
        <v>70</v>
      </c>
      <c r="J708" s="13" t="n">
        <v>325</v>
      </c>
      <c r="K708" s="14" t="n">
        <f aca="false">I708*J708</f>
        <v>22750</v>
      </c>
      <c r="L708" s="14" t="n">
        <f aca="false">($L$2*M708)/100</f>
        <v>300416.625</v>
      </c>
      <c r="M708" s="15" t="n">
        <v>0.25</v>
      </c>
      <c r="N708" s="9" t="s">
        <v>20</v>
      </c>
    </row>
    <row r="709" customFormat="false" ht="14.25" hidden="false" customHeight="true" outlineLevel="0" collapsed="false">
      <c r="B709" s="9" t="s">
        <v>32</v>
      </c>
      <c r="C709" s="9" t="n">
        <v>1128299</v>
      </c>
      <c r="D709" s="10" t="n">
        <v>44036</v>
      </c>
      <c r="E709" s="9" t="s">
        <v>33</v>
      </c>
      <c r="F709" s="9" t="s">
        <v>48</v>
      </c>
      <c r="G709" s="9" t="s">
        <v>49</v>
      </c>
      <c r="H709" s="11" t="s">
        <v>25</v>
      </c>
      <c r="I709" s="12" t="n">
        <v>75</v>
      </c>
      <c r="J709" s="13" t="n">
        <v>375</v>
      </c>
      <c r="K709" s="14" t="n">
        <f aca="false">I709*J709</f>
        <v>28125</v>
      </c>
      <c r="L709" s="14" t="n">
        <f aca="false">($L$2*M709)/100</f>
        <v>240333.3</v>
      </c>
      <c r="M709" s="15" t="n">
        <v>0.2</v>
      </c>
      <c r="N709" s="9" t="s">
        <v>20</v>
      </c>
    </row>
    <row r="710" customFormat="false" ht="14.25" hidden="false" customHeight="true" outlineLevel="0" collapsed="false">
      <c r="B710" s="9" t="s">
        <v>32</v>
      </c>
      <c r="C710" s="9" t="n">
        <v>1128299</v>
      </c>
      <c r="D710" s="10" t="n">
        <v>44037</v>
      </c>
      <c r="E710" s="9" t="s">
        <v>33</v>
      </c>
      <c r="F710" s="9" t="s">
        <v>48</v>
      </c>
      <c r="G710" s="9" t="s">
        <v>49</v>
      </c>
      <c r="H710" s="11" t="s">
        <v>19</v>
      </c>
      <c r="I710" s="12" t="n">
        <v>60</v>
      </c>
      <c r="J710" s="13" t="n">
        <v>600</v>
      </c>
      <c r="K710" s="14" t="n">
        <f aca="false">I710*J710</f>
        <v>36000</v>
      </c>
      <c r="L710" s="14" t="n">
        <f aca="false">($L$2*M710)/100</f>
        <v>360499.95</v>
      </c>
      <c r="M710" s="15" t="n">
        <v>0.3</v>
      </c>
      <c r="N710" s="9" t="s">
        <v>20</v>
      </c>
    </row>
    <row r="711" customFormat="false" ht="14.25" hidden="false" customHeight="true" outlineLevel="0" collapsed="false">
      <c r="B711" s="9" t="s">
        <v>32</v>
      </c>
      <c r="C711" s="9" t="n">
        <v>1128299</v>
      </c>
      <c r="D711" s="10" t="n">
        <v>44038</v>
      </c>
      <c r="E711" s="9" t="s">
        <v>33</v>
      </c>
      <c r="F711" s="9" t="s">
        <v>48</v>
      </c>
      <c r="G711" s="9" t="s">
        <v>49</v>
      </c>
      <c r="H711" s="11" t="s">
        <v>21</v>
      </c>
      <c r="I711" s="12" t="n">
        <v>65</v>
      </c>
      <c r="J711" s="13" t="n">
        <v>625</v>
      </c>
      <c r="K711" s="14" t="n">
        <f aca="false">I711*J711</f>
        <v>40625</v>
      </c>
      <c r="L711" s="14" t="n">
        <f aca="false">($L$2*M711)/100</f>
        <v>300416.625</v>
      </c>
      <c r="M711" s="15" t="n">
        <v>0.25</v>
      </c>
      <c r="N711" s="9" t="s">
        <v>20</v>
      </c>
    </row>
    <row r="712" customFormat="false" ht="14.25" hidden="false" customHeight="true" outlineLevel="0" collapsed="false">
      <c r="B712" s="9" t="s">
        <v>32</v>
      </c>
      <c r="C712" s="9" t="n">
        <v>1128299</v>
      </c>
      <c r="D712" s="10" t="n">
        <v>44039</v>
      </c>
      <c r="E712" s="9" t="s">
        <v>33</v>
      </c>
      <c r="F712" s="9" t="s">
        <v>48</v>
      </c>
      <c r="G712" s="9" t="s">
        <v>49</v>
      </c>
      <c r="H712" s="11" t="s">
        <v>22</v>
      </c>
      <c r="I712" s="12" t="n">
        <v>60</v>
      </c>
      <c r="J712" s="13" t="n">
        <v>475</v>
      </c>
      <c r="K712" s="14" t="n">
        <f aca="false">I712*J712</f>
        <v>28500</v>
      </c>
      <c r="L712" s="14" t="n">
        <f aca="false">($L$2*M712)/100</f>
        <v>300416.625</v>
      </c>
      <c r="M712" s="15" t="n">
        <v>0.25</v>
      </c>
      <c r="N712" s="9" t="s">
        <v>20</v>
      </c>
    </row>
    <row r="713" customFormat="false" ht="14.25" hidden="false" customHeight="true" outlineLevel="0" collapsed="false">
      <c r="B713" s="9" t="s">
        <v>32</v>
      </c>
      <c r="C713" s="9" t="n">
        <v>1128299</v>
      </c>
      <c r="D713" s="10" t="n">
        <v>44040</v>
      </c>
      <c r="E713" s="9" t="s">
        <v>33</v>
      </c>
      <c r="F713" s="9" t="s">
        <v>48</v>
      </c>
      <c r="G713" s="9" t="s">
        <v>49</v>
      </c>
      <c r="H713" s="11" t="s">
        <v>23</v>
      </c>
      <c r="I713" s="12" t="n">
        <v>70</v>
      </c>
      <c r="J713" s="13" t="n">
        <v>450</v>
      </c>
      <c r="K713" s="14" t="n">
        <f aca="false">I713*J713</f>
        <v>31500</v>
      </c>
      <c r="L713" s="14" t="n">
        <f aca="false">($L$2*M713)/100</f>
        <v>360499.95</v>
      </c>
      <c r="M713" s="15" t="n">
        <v>0.3</v>
      </c>
      <c r="N713" s="9" t="s">
        <v>20</v>
      </c>
    </row>
    <row r="714" customFormat="false" ht="14.25" hidden="false" customHeight="true" outlineLevel="0" collapsed="false">
      <c r="B714" s="9" t="s">
        <v>32</v>
      </c>
      <c r="C714" s="9" t="n">
        <v>1128299</v>
      </c>
      <c r="D714" s="10" t="n">
        <v>44041</v>
      </c>
      <c r="E714" s="9" t="s">
        <v>33</v>
      </c>
      <c r="F714" s="9" t="s">
        <v>48</v>
      </c>
      <c r="G714" s="9" t="s">
        <v>49</v>
      </c>
      <c r="H714" s="11" t="s">
        <v>24</v>
      </c>
      <c r="I714" s="12" t="n">
        <v>90</v>
      </c>
      <c r="J714" s="13" t="n">
        <v>425</v>
      </c>
      <c r="K714" s="14" t="n">
        <f aca="false">I714*J714</f>
        <v>38250</v>
      </c>
      <c r="L714" s="14" t="n">
        <f aca="false">($L$2*M714)/100</f>
        <v>300416.625</v>
      </c>
      <c r="M714" s="15" t="n">
        <v>0.25</v>
      </c>
      <c r="N714" s="9" t="s">
        <v>20</v>
      </c>
    </row>
    <row r="715" customFormat="false" ht="14.25" hidden="false" customHeight="true" outlineLevel="0" collapsed="false">
      <c r="B715" s="9" t="s">
        <v>32</v>
      </c>
      <c r="C715" s="9" t="n">
        <v>1128299</v>
      </c>
      <c r="D715" s="10" t="n">
        <v>44042</v>
      </c>
      <c r="E715" s="9" t="s">
        <v>33</v>
      </c>
      <c r="F715" s="9" t="s">
        <v>48</v>
      </c>
      <c r="G715" s="9" t="s">
        <v>49</v>
      </c>
      <c r="H715" s="11" t="s">
        <v>25</v>
      </c>
      <c r="I715" s="12" t="n">
        <v>95</v>
      </c>
      <c r="J715" s="13" t="n">
        <v>550</v>
      </c>
      <c r="K715" s="14" t="n">
        <f aca="false">I715*J715</f>
        <v>52250</v>
      </c>
      <c r="L715" s="14" t="n">
        <f aca="false">($L$2*M715)/100</f>
        <v>240333.3</v>
      </c>
      <c r="M715" s="15" t="n">
        <v>0.2</v>
      </c>
      <c r="N715" s="9" t="s">
        <v>20</v>
      </c>
    </row>
    <row r="716" customFormat="false" ht="14.25" hidden="false" customHeight="true" outlineLevel="0" collapsed="false">
      <c r="B716" s="9" t="s">
        <v>32</v>
      </c>
      <c r="C716" s="9" t="n">
        <v>1128299</v>
      </c>
      <c r="D716" s="10" t="n">
        <v>44043</v>
      </c>
      <c r="E716" s="9" t="s">
        <v>33</v>
      </c>
      <c r="F716" s="9" t="s">
        <v>48</v>
      </c>
      <c r="G716" s="9" t="s">
        <v>49</v>
      </c>
      <c r="H716" s="11" t="s">
        <v>19</v>
      </c>
      <c r="I716" s="12" t="n">
        <v>80</v>
      </c>
      <c r="J716" s="13" t="n">
        <v>750</v>
      </c>
      <c r="K716" s="14" t="n">
        <f aca="false">I716*J716</f>
        <v>60000</v>
      </c>
      <c r="L716" s="14" t="n">
        <f aca="false">($L$2*M716)/100</f>
        <v>360499.95</v>
      </c>
      <c r="M716" s="15" t="n">
        <v>0.3</v>
      </c>
      <c r="N716" s="9" t="s">
        <v>20</v>
      </c>
    </row>
    <row r="717" customFormat="false" ht="14.25" hidden="false" customHeight="true" outlineLevel="0" collapsed="false">
      <c r="B717" s="9" t="s">
        <v>32</v>
      </c>
      <c r="C717" s="9" t="n">
        <v>1128299</v>
      </c>
      <c r="D717" s="10" t="n">
        <v>44044</v>
      </c>
      <c r="E717" s="9" t="s">
        <v>33</v>
      </c>
      <c r="F717" s="9" t="s">
        <v>48</v>
      </c>
      <c r="G717" s="9" t="s">
        <v>49</v>
      </c>
      <c r="H717" s="11" t="s">
        <v>21</v>
      </c>
      <c r="I717" s="12" t="n">
        <v>85</v>
      </c>
      <c r="J717" s="13" t="n">
        <v>750</v>
      </c>
      <c r="K717" s="14" t="n">
        <f aca="false">I717*J717</f>
        <v>63750</v>
      </c>
      <c r="L717" s="14" t="n">
        <f aca="false">($L$2*M717)/100</f>
        <v>300416.625</v>
      </c>
      <c r="M717" s="15" t="n">
        <v>0.25</v>
      </c>
      <c r="N717" s="9" t="s">
        <v>20</v>
      </c>
    </row>
    <row r="718" customFormat="false" ht="14.25" hidden="false" customHeight="true" outlineLevel="0" collapsed="false">
      <c r="B718" s="9" t="s">
        <v>32</v>
      </c>
      <c r="C718" s="9" t="n">
        <v>1128299</v>
      </c>
      <c r="D718" s="10" t="n">
        <v>44045</v>
      </c>
      <c r="E718" s="9" t="s">
        <v>33</v>
      </c>
      <c r="F718" s="9" t="s">
        <v>48</v>
      </c>
      <c r="G718" s="9" t="s">
        <v>49</v>
      </c>
      <c r="H718" s="11" t="s">
        <v>22</v>
      </c>
      <c r="I718" s="12" t="n">
        <v>80</v>
      </c>
      <c r="J718" s="13" t="n">
        <v>550</v>
      </c>
      <c r="K718" s="14" t="n">
        <f aca="false">I718*J718</f>
        <v>44000</v>
      </c>
      <c r="L718" s="14" t="n">
        <f aca="false">($L$2*M718)/100</f>
        <v>300416.625</v>
      </c>
      <c r="M718" s="15" t="n">
        <v>0.25</v>
      </c>
      <c r="N718" s="9" t="s">
        <v>20</v>
      </c>
    </row>
    <row r="719" customFormat="false" ht="14.25" hidden="false" customHeight="true" outlineLevel="0" collapsed="false">
      <c r="B719" s="9" t="s">
        <v>32</v>
      </c>
      <c r="C719" s="9" t="n">
        <v>1128299</v>
      </c>
      <c r="D719" s="10" t="n">
        <v>44046</v>
      </c>
      <c r="E719" s="9" t="s">
        <v>33</v>
      </c>
      <c r="F719" s="9" t="s">
        <v>48</v>
      </c>
      <c r="G719" s="9" t="s">
        <v>49</v>
      </c>
      <c r="H719" s="11" t="s">
        <v>23</v>
      </c>
      <c r="I719" s="12" t="n">
        <v>80</v>
      </c>
      <c r="J719" s="13" t="n">
        <v>550</v>
      </c>
      <c r="K719" s="14" t="n">
        <f aca="false">I719*J719</f>
        <v>44000</v>
      </c>
      <c r="L719" s="14" t="n">
        <f aca="false">($L$2*M719)/100</f>
        <v>360499.95</v>
      </c>
      <c r="M719" s="15" t="n">
        <v>0.3</v>
      </c>
      <c r="N719" s="9" t="s">
        <v>20</v>
      </c>
    </row>
    <row r="720" customFormat="false" ht="14.25" hidden="false" customHeight="true" outlineLevel="0" collapsed="false">
      <c r="B720" s="9" t="s">
        <v>32</v>
      </c>
      <c r="C720" s="9" t="n">
        <v>1128299</v>
      </c>
      <c r="D720" s="10" t="n">
        <v>44047</v>
      </c>
      <c r="E720" s="9" t="s">
        <v>33</v>
      </c>
      <c r="F720" s="9" t="s">
        <v>48</v>
      </c>
      <c r="G720" s="9" t="s">
        <v>49</v>
      </c>
      <c r="H720" s="11" t="s">
        <v>24</v>
      </c>
      <c r="I720" s="12" t="n">
        <v>90</v>
      </c>
      <c r="J720" s="13" t="n">
        <v>475</v>
      </c>
      <c r="K720" s="14" t="n">
        <f aca="false">I720*J720</f>
        <v>42750</v>
      </c>
      <c r="L720" s="14" t="n">
        <f aca="false">($L$2*M720)/100</f>
        <v>300416.625</v>
      </c>
      <c r="M720" s="15" t="n">
        <v>0.25</v>
      </c>
      <c r="N720" s="9" t="s">
        <v>20</v>
      </c>
    </row>
    <row r="721" customFormat="false" ht="14.25" hidden="false" customHeight="true" outlineLevel="0" collapsed="false">
      <c r="B721" s="9" t="s">
        <v>32</v>
      </c>
      <c r="C721" s="9" t="n">
        <v>1128299</v>
      </c>
      <c r="D721" s="10" t="n">
        <v>44048</v>
      </c>
      <c r="E721" s="9" t="s">
        <v>33</v>
      </c>
      <c r="F721" s="9" t="s">
        <v>48</v>
      </c>
      <c r="G721" s="9" t="s">
        <v>49</v>
      </c>
      <c r="H721" s="11" t="s">
        <v>25</v>
      </c>
      <c r="I721" s="12" t="n">
        <v>95</v>
      </c>
      <c r="J721" s="13" t="n">
        <v>575</v>
      </c>
      <c r="K721" s="14" t="n">
        <f aca="false">I721*J721</f>
        <v>54625</v>
      </c>
      <c r="L721" s="14" t="n">
        <f aca="false">($L$2*M721)/100</f>
        <v>240333.3</v>
      </c>
      <c r="M721" s="15" t="n">
        <v>0.2</v>
      </c>
      <c r="N721" s="9" t="s">
        <v>20</v>
      </c>
    </row>
    <row r="722" customFormat="false" ht="14.25" hidden="false" customHeight="true" outlineLevel="0" collapsed="false">
      <c r="B722" s="9" t="s">
        <v>16</v>
      </c>
      <c r="C722" s="9" t="n">
        <v>1185732</v>
      </c>
      <c r="D722" s="10" t="n">
        <v>44049</v>
      </c>
      <c r="E722" s="9" t="s">
        <v>33</v>
      </c>
      <c r="F722" s="9" t="s">
        <v>48</v>
      </c>
      <c r="G722" s="9" t="s">
        <v>49</v>
      </c>
      <c r="H722" s="11" t="s">
        <v>19</v>
      </c>
      <c r="I722" s="12" t="n">
        <v>45</v>
      </c>
      <c r="J722" s="13" t="n">
        <v>1050</v>
      </c>
      <c r="K722" s="14" t="n">
        <f aca="false">I722*J722</f>
        <v>47250</v>
      </c>
      <c r="L722" s="14" t="n">
        <f aca="false">($L$2*M722)/100</f>
        <v>540749.925</v>
      </c>
      <c r="M722" s="15" t="n">
        <v>0.45</v>
      </c>
      <c r="N722" s="9" t="s">
        <v>20</v>
      </c>
    </row>
    <row r="723" customFormat="false" ht="14.25" hidden="false" customHeight="true" outlineLevel="0" collapsed="false">
      <c r="B723" s="9" t="s">
        <v>16</v>
      </c>
      <c r="C723" s="9" t="n">
        <v>1185732</v>
      </c>
      <c r="D723" s="10" t="n">
        <v>44050</v>
      </c>
      <c r="E723" s="9" t="s">
        <v>33</v>
      </c>
      <c r="F723" s="9" t="s">
        <v>48</v>
      </c>
      <c r="G723" s="9" t="s">
        <v>49</v>
      </c>
      <c r="H723" s="11" t="s">
        <v>21</v>
      </c>
      <c r="I723" s="12" t="n">
        <v>45</v>
      </c>
      <c r="J723" s="13" t="n">
        <v>850</v>
      </c>
      <c r="K723" s="14" t="n">
        <f aca="false">I723*J723</f>
        <v>38250</v>
      </c>
      <c r="L723" s="14" t="n">
        <f aca="false">($L$2*M723)/100</f>
        <v>420583.275</v>
      </c>
      <c r="M723" s="15" t="n">
        <v>0.35</v>
      </c>
      <c r="N723" s="9" t="s">
        <v>20</v>
      </c>
    </row>
    <row r="724" customFormat="false" ht="14.25" hidden="false" customHeight="true" outlineLevel="0" collapsed="false">
      <c r="B724" s="9" t="s">
        <v>16</v>
      </c>
      <c r="C724" s="9" t="n">
        <v>1185732</v>
      </c>
      <c r="D724" s="10" t="n">
        <v>44051</v>
      </c>
      <c r="E724" s="9" t="s">
        <v>33</v>
      </c>
      <c r="F724" s="9" t="s">
        <v>48</v>
      </c>
      <c r="G724" s="9" t="s">
        <v>49</v>
      </c>
      <c r="H724" s="11" t="s">
        <v>22</v>
      </c>
      <c r="I724" s="12" t="n">
        <v>35</v>
      </c>
      <c r="J724" s="13" t="n">
        <v>850</v>
      </c>
      <c r="K724" s="14" t="n">
        <f aca="false">I724*J724</f>
        <v>29750</v>
      </c>
      <c r="L724" s="14" t="n">
        <f aca="false">($L$2*M724)/100</f>
        <v>300416.625</v>
      </c>
      <c r="M724" s="15" t="n">
        <v>0.25</v>
      </c>
      <c r="N724" s="9" t="s">
        <v>20</v>
      </c>
    </row>
    <row r="725" customFormat="false" ht="14.25" hidden="false" customHeight="true" outlineLevel="0" collapsed="false">
      <c r="B725" s="9" t="s">
        <v>16</v>
      </c>
      <c r="C725" s="9" t="n">
        <v>1185732</v>
      </c>
      <c r="D725" s="10" t="n">
        <v>44052</v>
      </c>
      <c r="E725" s="9" t="s">
        <v>33</v>
      </c>
      <c r="F725" s="9" t="s">
        <v>48</v>
      </c>
      <c r="G725" s="9" t="s">
        <v>49</v>
      </c>
      <c r="H725" s="11" t="s">
        <v>23</v>
      </c>
      <c r="I725" s="12" t="n">
        <v>40</v>
      </c>
      <c r="J725" s="13" t="n">
        <v>700</v>
      </c>
      <c r="K725" s="14" t="n">
        <f aca="false">I725*J725</f>
        <v>28000</v>
      </c>
      <c r="L725" s="14" t="n">
        <f aca="false">($L$2*M725)/100</f>
        <v>360499.95</v>
      </c>
      <c r="M725" s="15" t="n">
        <v>0.3</v>
      </c>
      <c r="N725" s="9" t="s">
        <v>20</v>
      </c>
    </row>
    <row r="726" customFormat="false" ht="14.25" hidden="false" customHeight="true" outlineLevel="0" collapsed="false">
      <c r="B726" s="9" t="s">
        <v>16</v>
      </c>
      <c r="C726" s="9" t="n">
        <v>1185732</v>
      </c>
      <c r="D726" s="10" t="n">
        <v>44053</v>
      </c>
      <c r="E726" s="9" t="s">
        <v>50</v>
      </c>
      <c r="F726" s="9" t="s">
        <v>51</v>
      </c>
      <c r="G726" s="9" t="s">
        <v>52</v>
      </c>
      <c r="H726" s="11" t="s">
        <v>24</v>
      </c>
      <c r="I726" s="12" t="n">
        <v>55</v>
      </c>
      <c r="J726" s="13" t="n">
        <v>750</v>
      </c>
      <c r="K726" s="14" t="n">
        <f aca="false">I726*J726</f>
        <v>41250</v>
      </c>
      <c r="L726" s="14" t="n">
        <f aca="false">($L$2*M726)/100</f>
        <v>420583.275</v>
      </c>
      <c r="M726" s="15" t="n">
        <v>0.35</v>
      </c>
      <c r="N726" s="9" t="s">
        <v>20</v>
      </c>
    </row>
    <row r="727" customFormat="false" ht="14.25" hidden="false" customHeight="true" outlineLevel="0" collapsed="false">
      <c r="B727" s="9" t="s">
        <v>16</v>
      </c>
      <c r="C727" s="9" t="n">
        <v>1185732</v>
      </c>
      <c r="D727" s="10" t="n">
        <v>44054</v>
      </c>
      <c r="E727" s="9" t="s">
        <v>50</v>
      </c>
      <c r="F727" s="9" t="s">
        <v>51</v>
      </c>
      <c r="G727" s="9" t="s">
        <v>52</v>
      </c>
      <c r="H727" s="11" t="s">
        <v>25</v>
      </c>
      <c r="I727" s="12" t="n">
        <v>45</v>
      </c>
      <c r="J727" s="13" t="n">
        <v>850</v>
      </c>
      <c r="K727" s="14" t="n">
        <f aca="false">I727*J727</f>
        <v>38250</v>
      </c>
      <c r="L727" s="14" t="n">
        <f aca="false">($L$2*M727)/100</f>
        <v>600833.25</v>
      </c>
      <c r="M727" s="15" t="n">
        <v>0.5</v>
      </c>
      <c r="N727" s="9" t="s">
        <v>20</v>
      </c>
    </row>
    <row r="728" customFormat="false" ht="14.25" hidden="false" customHeight="true" outlineLevel="0" collapsed="false">
      <c r="B728" s="9" t="s">
        <v>16</v>
      </c>
      <c r="C728" s="9" t="n">
        <v>1185732</v>
      </c>
      <c r="D728" s="10" t="n">
        <v>44055</v>
      </c>
      <c r="E728" s="9" t="s">
        <v>50</v>
      </c>
      <c r="F728" s="9" t="s">
        <v>51</v>
      </c>
      <c r="G728" s="9" t="s">
        <v>52</v>
      </c>
      <c r="H728" s="11" t="s">
        <v>19</v>
      </c>
      <c r="I728" s="12" t="n">
        <v>45</v>
      </c>
      <c r="J728" s="13" t="n">
        <v>1100</v>
      </c>
      <c r="K728" s="14" t="n">
        <f aca="false">I728*J728</f>
        <v>49500</v>
      </c>
      <c r="L728" s="14" t="n">
        <f aca="false">($L$2*M728)/100</f>
        <v>540749.925</v>
      </c>
      <c r="M728" s="15" t="n">
        <v>0.45</v>
      </c>
      <c r="N728" s="9" t="s">
        <v>20</v>
      </c>
    </row>
    <row r="729" customFormat="false" ht="14.25" hidden="false" customHeight="true" outlineLevel="0" collapsed="false">
      <c r="B729" s="9" t="s">
        <v>16</v>
      </c>
      <c r="C729" s="9" t="n">
        <v>1185732</v>
      </c>
      <c r="D729" s="10" t="n">
        <v>44056</v>
      </c>
      <c r="E729" s="9" t="s">
        <v>50</v>
      </c>
      <c r="F729" s="9" t="s">
        <v>51</v>
      </c>
      <c r="G729" s="9" t="s">
        <v>52</v>
      </c>
      <c r="H729" s="11" t="s">
        <v>21</v>
      </c>
      <c r="I729" s="12" t="n">
        <v>45</v>
      </c>
      <c r="J729" s="13" t="n">
        <v>750</v>
      </c>
      <c r="K729" s="14" t="n">
        <f aca="false">I729*J729</f>
        <v>33750</v>
      </c>
      <c r="L729" s="14" t="n">
        <f aca="false">($L$2*M729)/100</f>
        <v>420583.275</v>
      </c>
      <c r="M729" s="15" t="n">
        <v>0.35</v>
      </c>
      <c r="N729" s="9" t="s">
        <v>20</v>
      </c>
    </row>
    <row r="730" customFormat="false" ht="14.25" hidden="false" customHeight="true" outlineLevel="0" collapsed="false">
      <c r="B730" s="9" t="s">
        <v>16</v>
      </c>
      <c r="C730" s="9" t="n">
        <v>1185732</v>
      </c>
      <c r="D730" s="10" t="n">
        <v>44057</v>
      </c>
      <c r="E730" s="9" t="s">
        <v>50</v>
      </c>
      <c r="F730" s="9" t="s">
        <v>51</v>
      </c>
      <c r="G730" s="9" t="s">
        <v>52</v>
      </c>
      <c r="H730" s="11" t="s">
        <v>22</v>
      </c>
      <c r="I730" s="12" t="n">
        <v>35</v>
      </c>
      <c r="J730" s="13" t="n">
        <v>800</v>
      </c>
      <c r="K730" s="14" t="n">
        <f aca="false">I730*J730</f>
        <v>28000</v>
      </c>
      <c r="L730" s="14" t="n">
        <f aca="false">($L$2*M730)/100</f>
        <v>300416.625</v>
      </c>
      <c r="M730" s="15" t="n">
        <v>0.25</v>
      </c>
      <c r="N730" s="9" t="s">
        <v>20</v>
      </c>
    </row>
    <row r="731" customFormat="false" ht="14.25" hidden="false" customHeight="true" outlineLevel="0" collapsed="false">
      <c r="B731" s="9" t="s">
        <v>32</v>
      </c>
      <c r="C731" s="9" t="n">
        <v>1185732</v>
      </c>
      <c r="D731" s="10" t="n">
        <v>44058</v>
      </c>
      <c r="E731" s="9" t="s">
        <v>50</v>
      </c>
      <c r="F731" s="9" t="s">
        <v>51</v>
      </c>
      <c r="G731" s="9" t="s">
        <v>52</v>
      </c>
      <c r="H731" s="11" t="s">
        <v>23</v>
      </c>
      <c r="I731" s="12" t="n">
        <v>40</v>
      </c>
      <c r="J731" s="13" t="n">
        <v>675</v>
      </c>
      <c r="K731" s="14" t="n">
        <f aca="false">I731*J731</f>
        <v>27000</v>
      </c>
      <c r="L731" s="14" t="n">
        <f aca="false">($L$2*M731)/100</f>
        <v>360499.95</v>
      </c>
      <c r="M731" s="15" t="n">
        <v>0.3</v>
      </c>
      <c r="N731" s="9" t="s">
        <v>20</v>
      </c>
    </row>
    <row r="732" customFormat="false" ht="14.25" hidden="false" customHeight="true" outlineLevel="0" collapsed="false">
      <c r="B732" s="9" t="s">
        <v>16</v>
      </c>
      <c r="C732" s="9" t="n">
        <v>1185732</v>
      </c>
      <c r="D732" s="10" t="n">
        <v>44059</v>
      </c>
      <c r="E732" s="9" t="s">
        <v>50</v>
      </c>
      <c r="F732" s="9" t="s">
        <v>51</v>
      </c>
      <c r="G732" s="9" t="s">
        <v>52</v>
      </c>
      <c r="H732" s="11" t="s">
        <v>24</v>
      </c>
      <c r="I732" s="12" t="n">
        <v>55</v>
      </c>
      <c r="J732" s="13" t="n">
        <v>750</v>
      </c>
      <c r="K732" s="14" t="n">
        <f aca="false">I732*J732</f>
        <v>41250</v>
      </c>
      <c r="L732" s="14" t="n">
        <f aca="false">($L$2*M732)/100</f>
        <v>420583.275</v>
      </c>
      <c r="M732" s="15" t="n">
        <v>0.35</v>
      </c>
      <c r="N732" s="9" t="s">
        <v>20</v>
      </c>
    </row>
    <row r="733" customFormat="false" ht="14.25" hidden="false" customHeight="true" outlineLevel="0" collapsed="false">
      <c r="B733" s="9" t="s">
        <v>16</v>
      </c>
      <c r="C733" s="9" t="n">
        <v>1185732</v>
      </c>
      <c r="D733" s="10" t="n">
        <v>44060</v>
      </c>
      <c r="E733" s="9" t="s">
        <v>50</v>
      </c>
      <c r="F733" s="9" t="s">
        <v>51</v>
      </c>
      <c r="G733" s="9" t="s">
        <v>52</v>
      </c>
      <c r="H733" s="11" t="s">
        <v>25</v>
      </c>
      <c r="I733" s="12" t="n">
        <v>45</v>
      </c>
      <c r="J733" s="13" t="n">
        <v>850</v>
      </c>
      <c r="K733" s="14" t="n">
        <f aca="false">I733*J733</f>
        <v>38250</v>
      </c>
      <c r="L733" s="14" t="n">
        <f aca="false">($L$2*M733)/100</f>
        <v>600833.25</v>
      </c>
      <c r="M733" s="15" t="n">
        <v>0.5</v>
      </c>
      <c r="N733" s="9" t="s">
        <v>20</v>
      </c>
    </row>
    <row r="734" customFormat="false" ht="14.25" hidden="false" customHeight="true" outlineLevel="0" collapsed="false">
      <c r="B734" s="9" t="s">
        <v>16</v>
      </c>
      <c r="C734" s="9" t="n">
        <v>1185732</v>
      </c>
      <c r="D734" s="10" t="n">
        <v>44061</v>
      </c>
      <c r="E734" s="9" t="s">
        <v>50</v>
      </c>
      <c r="F734" s="9" t="s">
        <v>51</v>
      </c>
      <c r="G734" s="9" t="s">
        <v>52</v>
      </c>
      <c r="H734" s="11" t="s">
        <v>19</v>
      </c>
      <c r="I734" s="12" t="n">
        <v>45</v>
      </c>
      <c r="J734" s="13" t="n">
        <v>1070</v>
      </c>
      <c r="K734" s="14" t="n">
        <f aca="false">I734*J734</f>
        <v>48150</v>
      </c>
      <c r="L734" s="14" t="n">
        <f aca="false">($L$2*M734)/100</f>
        <v>540749.925</v>
      </c>
      <c r="M734" s="15" t="n">
        <v>0.45</v>
      </c>
      <c r="N734" s="9" t="s">
        <v>20</v>
      </c>
    </row>
    <row r="735" customFormat="false" ht="14.25" hidden="false" customHeight="true" outlineLevel="0" collapsed="false">
      <c r="B735" s="9" t="s">
        <v>16</v>
      </c>
      <c r="C735" s="9" t="n">
        <v>1185732</v>
      </c>
      <c r="D735" s="10" t="n">
        <v>44062</v>
      </c>
      <c r="E735" s="9" t="s">
        <v>50</v>
      </c>
      <c r="F735" s="9" t="s">
        <v>51</v>
      </c>
      <c r="G735" s="9" t="s">
        <v>52</v>
      </c>
      <c r="H735" s="11" t="s">
        <v>21</v>
      </c>
      <c r="I735" s="12" t="n">
        <v>45</v>
      </c>
      <c r="J735" s="13" t="n">
        <v>750</v>
      </c>
      <c r="K735" s="14" t="n">
        <f aca="false">I735*J735</f>
        <v>33750</v>
      </c>
      <c r="L735" s="14" t="n">
        <f aca="false">($L$2*M735)/100</f>
        <v>420583.275</v>
      </c>
      <c r="M735" s="15" t="n">
        <v>0.35</v>
      </c>
      <c r="N735" s="9" t="s">
        <v>20</v>
      </c>
    </row>
    <row r="736" customFormat="false" ht="14.25" hidden="false" customHeight="true" outlineLevel="0" collapsed="false">
      <c r="B736" s="9" t="s">
        <v>16</v>
      </c>
      <c r="C736" s="9" t="n">
        <v>1185732</v>
      </c>
      <c r="D736" s="10" t="n">
        <v>44063</v>
      </c>
      <c r="E736" s="9" t="s">
        <v>50</v>
      </c>
      <c r="F736" s="9" t="s">
        <v>51</v>
      </c>
      <c r="G736" s="9" t="s">
        <v>52</v>
      </c>
      <c r="H736" s="11" t="s">
        <v>22</v>
      </c>
      <c r="I736" s="12" t="n">
        <v>35</v>
      </c>
      <c r="J736" s="13" t="n">
        <v>775</v>
      </c>
      <c r="K736" s="14" t="n">
        <f aca="false">I736*J736</f>
        <v>27125</v>
      </c>
      <c r="L736" s="14" t="n">
        <f aca="false">($L$2*M736)/100</f>
        <v>300416.625</v>
      </c>
      <c r="M736" s="15" t="n">
        <v>0.25</v>
      </c>
      <c r="N736" s="9" t="s">
        <v>20</v>
      </c>
    </row>
    <row r="737" customFormat="false" ht="14.25" hidden="false" customHeight="true" outlineLevel="0" collapsed="false">
      <c r="B737" s="9" t="s">
        <v>16</v>
      </c>
      <c r="C737" s="9" t="n">
        <v>1185732</v>
      </c>
      <c r="D737" s="10" t="n">
        <v>44064</v>
      </c>
      <c r="E737" s="9" t="s">
        <v>50</v>
      </c>
      <c r="F737" s="9" t="s">
        <v>51</v>
      </c>
      <c r="G737" s="9" t="s">
        <v>52</v>
      </c>
      <c r="H737" s="11" t="s">
        <v>23</v>
      </c>
      <c r="I737" s="12" t="n">
        <v>40</v>
      </c>
      <c r="J737" s="13" t="n">
        <v>625</v>
      </c>
      <c r="K737" s="14" t="n">
        <f aca="false">I737*J737</f>
        <v>25000</v>
      </c>
      <c r="L737" s="14" t="n">
        <f aca="false">($L$2*M737)/100</f>
        <v>360499.95</v>
      </c>
      <c r="M737" s="15" t="n">
        <v>0.3</v>
      </c>
      <c r="N737" s="9" t="s">
        <v>20</v>
      </c>
    </row>
    <row r="738" customFormat="false" ht="14.25" hidden="false" customHeight="true" outlineLevel="0" collapsed="false">
      <c r="B738" s="9" t="s">
        <v>16</v>
      </c>
      <c r="C738" s="9" t="n">
        <v>1185732</v>
      </c>
      <c r="D738" s="10" t="n">
        <v>44065</v>
      </c>
      <c r="E738" s="9" t="s">
        <v>50</v>
      </c>
      <c r="F738" s="9" t="s">
        <v>51</v>
      </c>
      <c r="G738" s="9" t="s">
        <v>52</v>
      </c>
      <c r="H738" s="11" t="s">
        <v>24</v>
      </c>
      <c r="I738" s="12" t="n">
        <v>55</v>
      </c>
      <c r="J738" s="13" t="n">
        <v>675</v>
      </c>
      <c r="K738" s="14" t="n">
        <f aca="false">I738*J738</f>
        <v>37125</v>
      </c>
      <c r="L738" s="14" t="n">
        <f aca="false">($L$2*M738)/100</f>
        <v>420583.275</v>
      </c>
      <c r="M738" s="15" t="n">
        <v>0.35</v>
      </c>
      <c r="N738" s="9" t="s">
        <v>20</v>
      </c>
    </row>
    <row r="739" customFormat="false" ht="14.25" hidden="false" customHeight="true" outlineLevel="0" collapsed="false">
      <c r="B739" s="9" t="s">
        <v>16</v>
      </c>
      <c r="C739" s="9" t="n">
        <v>1185732</v>
      </c>
      <c r="D739" s="10" t="n">
        <v>44066</v>
      </c>
      <c r="E739" s="9" t="s">
        <v>50</v>
      </c>
      <c r="F739" s="9" t="s">
        <v>51</v>
      </c>
      <c r="G739" s="9" t="s">
        <v>52</v>
      </c>
      <c r="H739" s="11" t="s">
        <v>25</v>
      </c>
      <c r="I739" s="12" t="n">
        <v>45</v>
      </c>
      <c r="J739" s="13" t="n">
        <v>775</v>
      </c>
      <c r="K739" s="14" t="n">
        <f aca="false">I739*J739</f>
        <v>34875</v>
      </c>
      <c r="L739" s="14" t="n">
        <f aca="false">($L$2*M739)/100</f>
        <v>600833.25</v>
      </c>
      <c r="M739" s="15" t="n">
        <v>0.5</v>
      </c>
      <c r="N739" s="9" t="s">
        <v>20</v>
      </c>
    </row>
    <row r="740" customFormat="false" ht="14.25" hidden="false" customHeight="true" outlineLevel="0" collapsed="false">
      <c r="B740" s="9" t="s">
        <v>16</v>
      </c>
      <c r="C740" s="9" t="n">
        <v>1185732</v>
      </c>
      <c r="D740" s="10" t="n">
        <v>43945</v>
      </c>
      <c r="E740" s="9" t="s">
        <v>50</v>
      </c>
      <c r="F740" s="9" t="s">
        <v>51</v>
      </c>
      <c r="G740" s="9" t="s">
        <v>52</v>
      </c>
      <c r="H740" s="11" t="s">
        <v>19</v>
      </c>
      <c r="I740" s="12" t="n">
        <v>45</v>
      </c>
      <c r="J740" s="13" t="n">
        <v>1025</v>
      </c>
      <c r="K740" s="14" t="n">
        <f aca="false">I740*J740</f>
        <v>46125</v>
      </c>
      <c r="L740" s="14" t="n">
        <f aca="false">($L$2*M740)/100</f>
        <v>540749.925</v>
      </c>
      <c r="M740" s="15" t="n">
        <v>0.45</v>
      </c>
      <c r="N740" s="9" t="s">
        <v>20</v>
      </c>
    </row>
    <row r="741" customFormat="false" ht="14.25" hidden="false" customHeight="true" outlineLevel="0" collapsed="false">
      <c r="B741" s="9" t="s">
        <v>16</v>
      </c>
      <c r="C741" s="9" t="n">
        <v>1185732</v>
      </c>
      <c r="D741" s="10" t="n">
        <v>43945</v>
      </c>
      <c r="E741" s="9" t="s">
        <v>50</v>
      </c>
      <c r="F741" s="9" t="s">
        <v>51</v>
      </c>
      <c r="G741" s="9" t="s">
        <v>52</v>
      </c>
      <c r="H741" s="11" t="s">
        <v>21</v>
      </c>
      <c r="I741" s="12" t="n">
        <v>45</v>
      </c>
      <c r="J741" s="13" t="n">
        <v>725</v>
      </c>
      <c r="K741" s="14" t="n">
        <f aca="false">I741*J741</f>
        <v>32625</v>
      </c>
      <c r="L741" s="14" t="n">
        <f aca="false">($L$2*M741)/100</f>
        <v>420583.275</v>
      </c>
      <c r="M741" s="15" t="n">
        <v>0.35</v>
      </c>
      <c r="N741" s="9" t="s">
        <v>20</v>
      </c>
    </row>
    <row r="742" customFormat="false" ht="14.25" hidden="false" customHeight="true" outlineLevel="0" collapsed="false">
      <c r="B742" s="9" t="s">
        <v>32</v>
      </c>
      <c r="C742" s="9" t="n">
        <v>1185732</v>
      </c>
      <c r="D742" s="10" t="n">
        <v>43945</v>
      </c>
      <c r="E742" s="9" t="s">
        <v>50</v>
      </c>
      <c r="F742" s="9" t="s">
        <v>51</v>
      </c>
      <c r="G742" s="9" t="s">
        <v>52</v>
      </c>
      <c r="H742" s="11" t="s">
        <v>22</v>
      </c>
      <c r="I742" s="12" t="n">
        <v>35</v>
      </c>
      <c r="J742" s="13" t="n">
        <v>725</v>
      </c>
      <c r="K742" s="14" t="n">
        <f aca="false">I742*J742</f>
        <v>25375</v>
      </c>
      <c r="L742" s="14" t="n">
        <f aca="false">($L$2*M742)/100</f>
        <v>300416.625</v>
      </c>
      <c r="M742" s="15" t="n">
        <v>0.25</v>
      </c>
      <c r="N742" s="9" t="s">
        <v>20</v>
      </c>
    </row>
    <row r="743" customFormat="false" ht="14.25" hidden="false" customHeight="true" outlineLevel="0" collapsed="false">
      <c r="B743" s="9" t="s">
        <v>32</v>
      </c>
      <c r="C743" s="9" t="n">
        <v>1185732</v>
      </c>
      <c r="D743" s="10" t="n">
        <v>43945</v>
      </c>
      <c r="E743" s="9" t="s">
        <v>50</v>
      </c>
      <c r="F743" s="9" t="s">
        <v>51</v>
      </c>
      <c r="G743" s="9" t="s">
        <v>52</v>
      </c>
      <c r="H743" s="11" t="s">
        <v>23</v>
      </c>
      <c r="I743" s="12" t="n">
        <v>40</v>
      </c>
      <c r="J743" s="13" t="n">
        <v>650</v>
      </c>
      <c r="K743" s="14" t="n">
        <f aca="false">I743*J743</f>
        <v>26000</v>
      </c>
      <c r="L743" s="14" t="n">
        <f aca="false">($L$2*M743)/100</f>
        <v>360499.95</v>
      </c>
      <c r="M743" s="15" t="n">
        <v>0.3</v>
      </c>
      <c r="N743" s="9" t="s">
        <v>20</v>
      </c>
    </row>
    <row r="744" customFormat="false" ht="14.25" hidden="false" customHeight="true" outlineLevel="0" collapsed="false">
      <c r="B744" s="9" t="s">
        <v>32</v>
      </c>
      <c r="C744" s="9" t="n">
        <v>1185732</v>
      </c>
      <c r="D744" s="10" t="n">
        <v>43945</v>
      </c>
      <c r="E744" s="9" t="s">
        <v>50</v>
      </c>
      <c r="F744" s="9" t="s">
        <v>51</v>
      </c>
      <c r="G744" s="9" t="s">
        <v>52</v>
      </c>
      <c r="H744" s="11" t="s">
        <v>24</v>
      </c>
      <c r="I744" s="12" t="n">
        <v>55</v>
      </c>
      <c r="J744" s="13" t="n">
        <v>675</v>
      </c>
      <c r="K744" s="14" t="n">
        <f aca="false">I744*J744</f>
        <v>37125</v>
      </c>
      <c r="L744" s="14" t="n">
        <f aca="false">($L$2*M744)/100</f>
        <v>420583.275</v>
      </c>
      <c r="M744" s="15" t="n">
        <v>0.35</v>
      </c>
      <c r="N744" s="9" t="s">
        <v>20</v>
      </c>
    </row>
    <row r="745" customFormat="false" ht="14.25" hidden="false" customHeight="true" outlineLevel="0" collapsed="false">
      <c r="B745" s="9" t="s">
        <v>32</v>
      </c>
      <c r="C745" s="9" t="n">
        <v>1185732</v>
      </c>
      <c r="D745" s="10" t="n">
        <v>43945</v>
      </c>
      <c r="E745" s="9" t="s">
        <v>50</v>
      </c>
      <c r="F745" s="9" t="s">
        <v>51</v>
      </c>
      <c r="G745" s="9" t="s">
        <v>52</v>
      </c>
      <c r="H745" s="11" t="s">
        <v>25</v>
      </c>
      <c r="I745" s="12" t="n">
        <v>45</v>
      </c>
      <c r="J745" s="13" t="n">
        <v>800</v>
      </c>
      <c r="K745" s="14" t="n">
        <f aca="false">I745*J745</f>
        <v>36000</v>
      </c>
      <c r="L745" s="14" t="n">
        <f aca="false">($L$2*M745)/100</f>
        <v>600833.25</v>
      </c>
      <c r="M745" s="15" t="n">
        <v>0.5</v>
      </c>
      <c r="N745" s="9" t="s">
        <v>20</v>
      </c>
    </row>
    <row r="746" customFormat="false" ht="14.25" hidden="false" customHeight="true" outlineLevel="0" collapsed="false">
      <c r="B746" s="9" t="s">
        <v>32</v>
      </c>
      <c r="C746" s="9" t="n">
        <v>1185732</v>
      </c>
      <c r="D746" s="10" t="n">
        <v>43945</v>
      </c>
      <c r="E746" s="9" t="s">
        <v>50</v>
      </c>
      <c r="F746" s="9" t="s">
        <v>51</v>
      </c>
      <c r="G746" s="9" t="s">
        <v>52</v>
      </c>
      <c r="H746" s="11" t="s">
        <v>19</v>
      </c>
      <c r="I746" s="12" t="n">
        <v>55</v>
      </c>
      <c r="J746" s="13" t="n">
        <v>1070</v>
      </c>
      <c r="K746" s="14" t="n">
        <f aca="false">I746*J746</f>
        <v>58850</v>
      </c>
      <c r="L746" s="14" t="n">
        <f aca="false">($L$2*M746)/100</f>
        <v>540749.925</v>
      </c>
      <c r="M746" s="15" t="n">
        <v>0.45</v>
      </c>
      <c r="N746" s="9" t="s">
        <v>20</v>
      </c>
    </row>
    <row r="747" customFormat="false" ht="14.25" hidden="false" customHeight="true" outlineLevel="0" collapsed="false">
      <c r="B747" s="9" t="s">
        <v>32</v>
      </c>
      <c r="C747" s="9" t="n">
        <v>1185732</v>
      </c>
      <c r="D747" s="10" t="n">
        <v>43945</v>
      </c>
      <c r="E747" s="9" t="s">
        <v>50</v>
      </c>
      <c r="F747" s="9" t="s">
        <v>51</v>
      </c>
      <c r="G747" s="9" t="s">
        <v>52</v>
      </c>
      <c r="H747" s="11" t="s">
        <v>21</v>
      </c>
      <c r="I747" s="12" t="n">
        <v>55</v>
      </c>
      <c r="J747" s="13" t="n">
        <v>775</v>
      </c>
      <c r="K747" s="14" t="n">
        <f aca="false">I747*J747</f>
        <v>42625</v>
      </c>
      <c r="L747" s="14" t="n">
        <f aca="false">($L$2*M747)/100</f>
        <v>420583.275</v>
      </c>
      <c r="M747" s="15" t="n">
        <v>0.35</v>
      </c>
      <c r="N747" s="9" t="s">
        <v>20</v>
      </c>
    </row>
    <row r="748" customFormat="false" ht="14.25" hidden="false" customHeight="true" outlineLevel="0" collapsed="false">
      <c r="B748" s="9" t="s">
        <v>32</v>
      </c>
      <c r="C748" s="9" t="n">
        <v>1185732</v>
      </c>
      <c r="D748" s="10" t="n">
        <v>43945</v>
      </c>
      <c r="E748" s="9" t="s">
        <v>50</v>
      </c>
      <c r="F748" s="9" t="s">
        <v>51</v>
      </c>
      <c r="G748" s="9" t="s">
        <v>52</v>
      </c>
      <c r="H748" s="11" t="s">
        <v>22</v>
      </c>
      <c r="I748" s="12" t="n">
        <v>50</v>
      </c>
      <c r="J748" s="13" t="n">
        <v>750</v>
      </c>
      <c r="K748" s="14" t="n">
        <f aca="false">I748*J748</f>
        <v>37500</v>
      </c>
      <c r="L748" s="14" t="n">
        <f aca="false">($L$2*M748)/100</f>
        <v>300416.625</v>
      </c>
      <c r="M748" s="15" t="n">
        <v>0.25</v>
      </c>
      <c r="N748" s="9" t="s">
        <v>20</v>
      </c>
    </row>
    <row r="749" customFormat="false" ht="14.25" hidden="false" customHeight="true" outlineLevel="0" collapsed="false">
      <c r="B749" s="9" t="s">
        <v>32</v>
      </c>
      <c r="C749" s="9" t="n">
        <v>1185732</v>
      </c>
      <c r="D749" s="10" t="n">
        <v>43945</v>
      </c>
      <c r="E749" s="9" t="s">
        <v>50</v>
      </c>
      <c r="F749" s="9" t="s">
        <v>51</v>
      </c>
      <c r="G749" s="9" t="s">
        <v>52</v>
      </c>
      <c r="H749" s="11" t="s">
        <v>23</v>
      </c>
      <c r="I749" s="12" t="n">
        <v>50</v>
      </c>
      <c r="J749" s="13" t="n">
        <v>700</v>
      </c>
      <c r="K749" s="14" t="n">
        <f aca="false">I749*J749</f>
        <v>35000</v>
      </c>
      <c r="L749" s="14" t="n">
        <f aca="false">($L$2*M749)/100</f>
        <v>360499.95</v>
      </c>
      <c r="M749" s="15" t="n">
        <v>0.3</v>
      </c>
      <c r="N749" s="9" t="s">
        <v>20</v>
      </c>
    </row>
    <row r="750" customFormat="false" ht="14.25" hidden="false" customHeight="true" outlineLevel="0" collapsed="false">
      <c r="B750" s="9" t="s">
        <v>32</v>
      </c>
      <c r="C750" s="9" t="n">
        <v>1185732</v>
      </c>
      <c r="D750" s="10" t="n">
        <v>43945</v>
      </c>
      <c r="E750" s="9" t="s">
        <v>50</v>
      </c>
      <c r="F750" s="9" t="s">
        <v>51</v>
      </c>
      <c r="G750" s="9" t="s">
        <v>52</v>
      </c>
      <c r="H750" s="11" t="s">
        <v>24</v>
      </c>
      <c r="I750" s="12" t="n">
        <v>60</v>
      </c>
      <c r="J750" s="13" t="n">
        <v>725</v>
      </c>
      <c r="K750" s="14" t="n">
        <f aca="false">I750*J750</f>
        <v>43500</v>
      </c>
      <c r="L750" s="14" t="n">
        <f aca="false">($L$2*M750)/100</f>
        <v>420583.275</v>
      </c>
      <c r="M750" s="15" t="n">
        <v>0.35</v>
      </c>
      <c r="N750" s="9" t="s">
        <v>20</v>
      </c>
    </row>
    <row r="751" customFormat="false" ht="14.25" hidden="false" customHeight="true" outlineLevel="0" collapsed="false">
      <c r="B751" s="9" t="s">
        <v>32</v>
      </c>
      <c r="C751" s="9" t="n">
        <v>1185732</v>
      </c>
      <c r="D751" s="10" t="n">
        <v>43945</v>
      </c>
      <c r="E751" s="9" t="s">
        <v>50</v>
      </c>
      <c r="F751" s="9" t="s">
        <v>51</v>
      </c>
      <c r="G751" s="9" t="s">
        <v>52</v>
      </c>
      <c r="H751" s="11" t="s">
        <v>25</v>
      </c>
      <c r="I751" s="12" t="n">
        <v>65</v>
      </c>
      <c r="J751" s="13" t="n">
        <v>825</v>
      </c>
      <c r="K751" s="14" t="n">
        <f aca="false">I751*J751</f>
        <v>53625</v>
      </c>
      <c r="L751" s="14" t="n">
        <f aca="false">($L$2*M751)/100</f>
        <v>600833.25</v>
      </c>
      <c r="M751" s="15" t="n">
        <v>0.5</v>
      </c>
      <c r="N751" s="9" t="s">
        <v>20</v>
      </c>
    </row>
    <row r="752" customFormat="false" ht="14.25" hidden="false" customHeight="true" outlineLevel="0" collapsed="false">
      <c r="B752" s="9" t="s">
        <v>32</v>
      </c>
      <c r="C752" s="9" t="n">
        <v>1185732</v>
      </c>
      <c r="D752" s="10" t="n">
        <v>43945</v>
      </c>
      <c r="E752" s="9" t="s">
        <v>50</v>
      </c>
      <c r="F752" s="9" t="s">
        <v>51</v>
      </c>
      <c r="G752" s="9" t="s">
        <v>52</v>
      </c>
      <c r="H752" s="11" t="s">
        <v>19</v>
      </c>
      <c r="I752" s="12" t="n">
        <v>60</v>
      </c>
      <c r="J752" s="13" t="n">
        <v>1075</v>
      </c>
      <c r="K752" s="14" t="n">
        <f aca="false">I752*J752</f>
        <v>64500</v>
      </c>
      <c r="L752" s="14" t="n">
        <f aca="false">($L$2*M752)/100</f>
        <v>540749.925</v>
      </c>
      <c r="M752" s="15" t="n">
        <v>0.45</v>
      </c>
      <c r="N752" s="9" t="s">
        <v>20</v>
      </c>
    </row>
    <row r="753" customFormat="false" ht="14.25" hidden="false" customHeight="true" outlineLevel="0" collapsed="false">
      <c r="B753" s="9" t="s">
        <v>32</v>
      </c>
      <c r="C753" s="9" t="n">
        <v>1185732</v>
      </c>
      <c r="D753" s="10" t="n">
        <v>43945</v>
      </c>
      <c r="E753" s="9" t="s">
        <v>50</v>
      </c>
      <c r="F753" s="9" t="s">
        <v>51</v>
      </c>
      <c r="G753" s="9" t="s">
        <v>52</v>
      </c>
      <c r="H753" s="11" t="s">
        <v>21</v>
      </c>
      <c r="I753" s="12" t="n">
        <v>55</v>
      </c>
      <c r="J753" s="13" t="n">
        <v>825</v>
      </c>
      <c r="K753" s="14" t="n">
        <f aca="false">I753*J753</f>
        <v>45375</v>
      </c>
      <c r="L753" s="14" t="n">
        <f aca="false">($L$2*M753)/100</f>
        <v>420583.275</v>
      </c>
      <c r="M753" s="15" t="n">
        <v>0.35</v>
      </c>
      <c r="N753" s="9" t="s">
        <v>20</v>
      </c>
    </row>
    <row r="754" customFormat="false" ht="14.25" hidden="false" customHeight="true" outlineLevel="0" collapsed="false">
      <c r="B754" s="9" t="s">
        <v>32</v>
      </c>
      <c r="C754" s="9" t="n">
        <v>1185732</v>
      </c>
      <c r="D754" s="10" t="n">
        <v>44081</v>
      </c>
      <c r="E754" s="9" t="s">
        <v>50</v>
      </c>
      <c r="F754" s="9" t="s">
        <v>51</v>
      </c>
      <c r="G754" s="9" t="s">
        <v>52</v>
      </c>
      <c r="H754" s="11" t="s">
        <v>22</v>
      </c>
      <c r="I754" s="12" t="n">
        <v>50</v>
      </c>
      <c r="J754" s="13" t="n">
        <v>800</v>
      </c>
      <c r="K754" s="14" t="n">
        <f aca="false">I754*J754</f>
        <v>40000</v>
      </c>
      <c r="L754" s="14" t="n">
        <f aca="false">($L$2*M754)/100</f>
        <v>300416.625</v>
      </c>
      <c r="M754" s="15" t="n">
        <v>0.25</v>
      </c>
      <c r="N754" s="9" t="s">
        <v>20</v>
      </c>
    </row>
    <row r="755" customFormat="false" ht="14.25" hidden="false" customHeight="true" outlineLevel="0" collapsed="false">
      <c r="B755" s="9" t="s">
        <v>32</v>
      </c>
      <c r="C755" s="9" t="n">
        <v>1185732</v>
      </c>
      <c r="D755" s="10" t="n">
        <v>44082</v>
      </c>
      <c r="E755" s="9" t="s">
        <v>50</v>
      </c>
      <c r="F755" s="9" t="s">
        <v>51</v>
      </c>
      <c r="G755" s="9" t="s">
        <v>52</v>
      </c>
      <c r="H755" s="11" t="s">
        <v>23</v>
      </c>
      <c r="I755" s="12" t="n">
        <v>50</v>
      </c>
      <c r="J755" s="13" t="n">
        <v>775</v>
      </c>
      <c r="K755" s="14" t="n">
        <f aca="false">I755*J755</f>
        <v>38750</v>
      </c>
      <c r="L755" s="14" t="n">
        <f aca="false">($L$2*M755)/100</f>
        <v>360499.95</v>
      </c>
      <c r="M755" s="15" t="n">
        <v>0.3</v>
      </c>
      <c r="N755" s="9" t="s">
        <v>20</v>
      </c>
    </row>
    <row r="756" customFormat="false" ht="14.25" hidden="false" customHeight="true" outlineLevel="0" collapsed="false">
      <c r="B756" s="9" t="s">
        <v>32</v>
      </c>
      <c r="C756" s="9" t="n">
        <v>1185732</v>
      </c>
      <c r="D756" s="10" t="n">
        <v>44083</v>
      </c>
      <c r="E756" s="9" t="s">
        <v>50</v>
      </c>
      <c r="F756" s="9" t="s">
        <v>51</v>
      </c>
      <c r="G756" s="9" t="s">
        <v>52</v>
      </c>
      <c r="H756" s="11" t="s">
        <v>24</v>
      </c>
      <c r="I756" s="12" t="n">
        <v>65</v>
      </c>
      <c r="J756" s="13" t="n">
        <v>775</v>
      </c>
      <c r="K756" s="14" t="n">
        <f aca="false">I756*J756</f>
        <v>50375</v>
      </c>
      <c r="L756" s="14" t="n">
        <f aca="false">($L$2*M756)/100</f>
        <v>420583.275</v>
      </c>
      <c r="M756" s="15" t="n">
        <v>0.35</v>
      </c>
      <c r="N756" s="9" t="s">
        <v>20</v>
      </c>
    </row>
    <row r="757" customFormat="false" ht="14.25" hidden="false" customHeight="true" outlineLevel="0" collapsed="false">
      <c r="B757" s="9" t="s">
        <v>32</v>
      </c>
      <c r="C757" s="9" t="n">
        <v>1185732</v>
      </c>
      <c r="D757" s="10" t="n">
        <v>44084</v>
      </c>
      <c r="E757" s="9" t="s">
        <v>50</v>
      </c>
      <c r="F757" s="9" t="s">
        <v>51</v>
      </c>
      <c r="G757" s="9" t="s">
        <v>52</v>
      </c>
      <c r="H757" s="11" t="s">
        <v>25</v>
      </c>
      <c r="I757" s="12" t="n">
        <v>70</v>
      </c>
      <c r="J757" s="13" t="n">
        <v>925</v>
      </c>
      <c r="K757" s="14" t="n">
        <f aca="false">I757*J757</f>
        <v>64750</v>
      </c>
      <c r="L757" s="14" t="n">
        <f aca="false">($L$2*M757)/100</f>
        <v>600833.25</v>
      </c>
      <c r="M757" s="15" t="n">
        <v>0.5</v>
      </c>
      <c r="N757" s="9" t="s">
        <v>20</v>
      </c>
    </row>
    <row r="758" customFormat="false" ht="14.25" hidden="false" customHeight="true" outlineLevel="0" collapsed="false">
      <c r="B758" s="9" t="s">
        <v>32</v>
      </c>
      <c r="C758" s="9" t="n">
        <v>1185732</v>
      </c>
      <c r="D758" s="10" t="n">
        <v>44085</v>
      </c>
      <c r="E758" s="9" t="s">
        <v>50</v>
      </c>
      <c r="F758" s="9" t="s">
        <v>51</v>
      </c>
      <c r="G758" s="9" t="s">
        <v>52</v>
      </c>
      <c r="H758" s="11" t="s">
        <v>19</v>
      </c>
      <c r="I758" s="12" t="n">
        <v>65</v>
      </c>
      <c r="J758" s="13" t="n">
        <v>1150</v>
      </c>
      <c r="K758" s="14" t="n">
        <f aca="false">I758*J758</f>
        <v>74750</v>
      </c>
      <c r="L758" s="14" t="n">
        <f aca="false">($L$2*M758)/100</f>
        <v>540749.925</v>
      </c>
      <c r="M758" s="15" t="n">
        <v>0.45</v>
      </c>
      <c r="N758" s="9" t="s">
        <v>20</v>
      </c>
    </row>
    <row r="759" customFormat="false" ht="14.25" hidden="false" customHeight="true" outlineLevel="0" collapsed="false">
      <c r="B759" s="9" t="s">
        <v>32</v>
      </c>
      <c r="C759" s="9" t="n">
        <v>1185732</v>
      </c>
      <c r="D759" s="10" t="n">
        <v>44086</v>
      </c>
      <c r="E759" s="9" t="s">
        <v>50</v>
      </c>
      <c r="F759" s="9" t="s">
        <v>51</v>
      </c>
      <c r="G759" s="9" t="s">
        <v>52</v>
      </c>
      <c r="H759" s="11" t="s">
        <v>21</v>
      </c>
      <c r="I759" s="12" t="n">
        <v>60</v>
      </c>
      <c r="J759" s="13" t="n">
        <v>900</v>
      </c>
      <c r="K759" s="14" t="n">
        <f aca="false">I759*J759</f>
        <v>54000</v>
      </c>
      <c r="L759" s="14" t="n">
        <f aca="false">($L$2*M759)/100</f>
        <v>420583.275</v>
      </c>
      <c r="M759" s="15" t="n">
        <v>0.35</v>
      </c>
      <c r="N759" s="9" t="s">
        <v>20</v>
      </c>
    </row>
    <row r="760" customFormat="false" ht="14.25" hidden="false" customHeight="true" outlineLevel="0" collapsed="false">
      <c r="B760" s="9" t="s">
        <v>32</v>
      </c>
      <c r="C760" s="9" t="n">
        <v>1185732</v>
      </c>
      <c r="D760" s="10" t="n">
        <v>44087</v>
      </c>
      <c r="E760" s="9" t="s">
        <v>50</v>
      </c>
      <c r="F760" s="9" t="s">
        <v>51</v>
      </c>
      <c r="G760" s="9" t="s">
        <v>52</v>
      </c>
      <c r="H760" s="11" t="s">
        <v>22</v>
      </c>
      <c r="I760" s="12" t="n">
        <v>55</v>
      </c>
      <c r="J760" s="13" t="n">
        <v>825</v>
      </c>
      <c r="K760" s="14" t="n">
        <f aca="false">I760*J760</f>
        <v>45375</v>
      </c>
      <c r="L760" s="14" t="n">
        <f aca="false">($L$2*M760)/100</f>
        <v>300416.625</v>
      </c>
      <c r="M760" s="15" t="n">
        <v>0.25</v>
      </c>
      <c r="N760" s="9" t="s">
        <v>20</v>
      </c>
    </row>
    <row r="761" customFormat="false" ht="14.25" hidden="false" customHeight="true" outlineLevel="0" collapsed="false">
      <c r="B761" s="9" t="s">
        <v>32</v>
      </c>
      <c r="C761" s="9" t="n">
        <v>1185732</v>
      </c>
      <c r="D761" s="10" t="n">
        <v>44088</v>
      </c>
      <c r="E761" s="9" t="s">
        <v>50</v>
      </c>
      <c r="F761" s="9" t="s">
        <v>51</v>
      </c>
      <c r="G761" s="9" t="s">
        <v>52</v>
      </c>
      <c r="H761" s="11" t="s">
        <v>23</v>
      </c>
      <c r="I761" s="12" t="n">
        <v>55</v>
      </c>
      <c r="J761" s="13" t="n">
        <v>775</v>
      </c>
      <c r="K761" s="14" t="n">
        <f aca="false">I761*J761</f>
        <v>42625</v>
      </c>
      <c r="L761" s="14" t="n">
        <f aca="false">($L$2*M761)/100</f>
        <v>360499.95</v>
      </c>
      <c r="M761" s="15" t="n">
        <v>0.3</v>
      </c>
      <c r="N761" s="9" t="s">
        <v>20</v>
      </c>
    </row>
    <row r="762" customFormat="false" ht="14.25" hidden="false" customHeight="true" outlineLevel="0" collapsed="false">
      <c r="B762" s="9" t="s">
        <v>32</v>
      </c>
      <c r="C762" s="9" t="n">
        <v>1185732</v>
      </c>
      <c r="D762" s="10" t="n">
        <v>44089</v>
      </c>
      <c r="E762" s="9" t="s">
        <v>50</v>
      </c>
      <c r="F762" s="9" t="s">
        <v>51</v>
      </c>
      <c r="G762" s="9" t="s">
        <v>52</v>
      </c>
      <c r="H762" s="11" t="s">
        <v>24</v>
      </c>
      <c r="I762" s="12" t="n">
        <v>65</v>
      </c>
      <c r="J762" s="13" t="n">
        <v>800</v>
      </c>
      <c r="K762" s="14" t="n">
        <f aca="false">I762*J762</f>
        <v>52000</v>
      </c>
      <c r="L762" s="14" t="n">
        <f aca="false">($L$2*M762)/100</f>
        <v>420583.275</v>
      </c>
      <c r="M762" s="15" t="n">
        <v>0.35</v>
      </c>
      <c r="N762" s="9" t="s">
        <v>20</v>
      </c>
    </row>
    <row r="763" customFormat="false" ht="14.25" hidden="false" customHeight="true" outlineLevel="0" collapsed="false">
      <c r="B763" s="9" t="s">
        <v>32</v>
      </c>
      <c r="C763" s="9" t="n">
        <v>1185732</v>
      </c>
      <c r="D763" s="10" t="n">
        <v>44090</v>
      </c>
      <c r="E763" s="9" t="s">
        <v>50</v>
      </c>
      <c r="F763" s="9" t="s">
        <v>51</v>
      </c>
      <c r="G763" s="9" t="s">
        <v>52</v>
      </c>
      <c r="H763" s="11" t="s">
        <v>25</v>
      </c>
      <c r="I763" s="12" t="n">
        <v>70</v>
      </c>
      <c r="J763" s="13" t="n">
        <v>975</v>
      </c>
      <c r="K763" s="14" t="n">
        <f aca="false">I763*J763</f>
        <v>68250</v>
      </c>
      <c r="L763" s="14" t="n">
        <f aca="false">($L$2*M763)/100</f>
        <v>600833.25</v>
      </c>
      <c r="M763" s="15" t="n">
        <v>0.5</v>
      </c>
      <c r="N763" s="9" t="s">
        <v>20</v>
      </c>
    </row>
    <row r="764" customFormat="false" ht="14.25" hidden="false" customHeight="true" outlineLevel="0" collapsed="false">
      <c r="B764" s="9" t="s">
        <v>32</v>
      </c>
      <c r="C764" s="9" t="n">
        <v>1185732</v>
      </c>
      <c r="D764" s="10" t="n">
        <v>44091</v>
      </c>
      <c r="E764" s="9" t="s">
        <v>50</v>
      </c>
      <c r="F764" s="9" t="s">
        <v>51</v>
      </c>
      <c r="G764" s="9" t="s">
        <v>52</v>
      </c>
      <c r="H764" s="11" t="s">
        <v>19</v>
      </c>
      <c r="I764" s="12" t="n">
        <v>65</v>
      </c>
      <c r="J764" s="13" t="n">
        <v>1125</v>
      </c>
      <c r="K764" s="14" t="n">
        <f aca="false">I764*J764</f>
        <v>73125</v>
      </c>
      <c r="L764" s="14" t="n">
        <f aca="false">($L$2*M764)/100</f>
        <v>540749.925</v>
      </c>
      <c r="M764" s="15" t="n">
        <v>0.45</v>
      </c>
      <c r="N764" s="9" t="s">
        <v>20</v>
      </c>
    </row>
    <row r="765" customFormat="false" ht="14.25" hidden="false" customHeight="true" outlineLevel="0" collapsed="false">
      <c r="B765" s="9" t="s">
        <v>32</v>
      </c>
      <c r="C765" s="9" t="n">
        <v>1185732</v>
      </c>
      <c r="D765" s="10" t="n">
        <v>44092</v>
      </c>
      <c r="E765" s="9" t="s">
        <v>50</v>
      </c>
      <c r="F765" s="9" t="s">
        <v>51</v>
      </c>
      <c r="G765" s="9" t="s">
        <v>52</v>
      </c>
      <c r="H765" s="11" t="s">
        <v>21</v>
      </c>
      <c r="I765" s="12" t="n">
        <v>60</v>
      </c>
      <c r="J765" s="13" t="n">
        <v>900</v>
      </c>
      <c r="K765" s="14" t="n">
        <f aca="false">I765*J765</f>
        <v>54000</v>
      </c>
      <c r="L765" s="14" t="n">
        <f aca="false">($L$2*M765)/100</f>
        <v>420583.275</v>
      </c>
      <c r="M765" s="15" t="n">
        <v>0.35</v>
      </c>
      <c r="N765" s="9" t="s">
        <v>20</v>
      </c>
    </row>
    <row r="766" customFormat="false" ht="14.25" hidden="false" customHeight="true" outlineLevel="0" collapsed="false">
      <c r="B766" s="9" t="s">
        <v>32</v>
      </c>
      <c r="C766" s="9" t="n">
        <v>1185732</v>
      </c>
      <c r="D766" s="10" t="n">
        <v>44093</v>
      </c>
      <c r="E766" s="9" t="s">
        <v>50</v>
      </c>
      <c r="F766" s="9" t="s">
        <v>51</v>
      </c>
      <c r="G766" s="9" t="s">
        <v>52</v>
      </c>
      <c r="H766" s="11" t="s">
        <v>22</v>
      </c>
      <c r="I766" s="12" t="n">
        <v>55</v>
      </c>
      <c r="J766" s="13" t="n">
        <v>825</v>
      </c>
      <c r="K766" s="14" t="n">
        <f aca="false">I766*J766</f>
        <v>45375</v>
      </c>
      <c r="L766" s="14" t="n">
        <f aca="false">($L$2*M766)/100</f>
        <v>300416.625</v>
      </c>
      <c r="M766" s="15" t="n">
        <v>0.25</v>
      </c>
      <c r="N766" s="9" t="s">
        <v>20</v>
      </c>
    </row>
    <row r="767" customFormat="false" ht="14.25" hidden="false" customHeight="true" outlineLevel="0" collapsed="false">
      <c r="B767" s="9" t="s">
        <v>16</v>
      </c>
      <c r="C767" s="9" t="n">
        <v>1185732</v>
      </c>
      <c r="D767" s="10" t="n">
        <v>44094</v>
      </c>
      <c r="E767" s="9" t="s">
        <v>50</v>
      </c>
      <c r="F767" s="9" t="s">
        <v>51</v>
      </c>
      <c r="G767" s="9" t="s">
        <v>52</v>
      </c>
      <c r="H767" s="11" t="s">
        <v>23</v>
      </c>
      <c r="I767" s="12" t="n">
        <v>45</v>
      </c>
      <c r="J767" s="13" t="n">
        <v>775</v>
      </c>
      <c r="K767" s="14" t="n">
        <f aca="false">I767*J767</f>
        <v>34875</v>
      </c>
      <c r="L767" s="14" t="n">
        <f aca="false">($L$2*M767)/100</f>
        <v>360499.95</v>
      </c>
      <c r="M767" s="15" t="n">
        <v>0.3</v>
      </c>
      <c r="N767" s="9" t="s">
        <v>20</v>
      </c>
    </row>
    <row r="768" customFormat="false" ht="14.25" hidden="false" customHeight="true" outlineLevel="0" collapsed="false">
      <c r="B768" s="9" t="s">
        <v>16</v>
      </c>
      <c r="C768" s="9" t="n">
        <v>1185732</v>
      </c>
      <c r="D768" s="10" t="n">
        <v>44095</v>
      </c>
      <c r="E768" s="9" t="s">
        <v>50</v>
      </c>
      <c r="F768" s="9" t="s">
        <v>51</v>
      </c>
      <c r="G768" s="9" t="s">
        <v>52</v>
      </c>
      <c r="H768" s="11" t="s">
        <v>24</v>
      </c>
      <c r="I768" s="12" t="n">
        <v>55</v>
      </c>
      <c r="J768" s="13" t="n">
        <v>750</v>
      </c>
      <c r="K768" s="14" t="n">
        <f aca="false">I768*J768</f>
        <v>41250</v>
      </c>
      <c r="L768" s="14" t="n">
        <f aca="false">($L$2*M768)/100</f>
        <v>420583.275</v>
      </c>
      <c r="M768" s="15" t="n">
        <v>0.35</v>
      </c>
      <c r="N768" s="9" t="s">
        <v>20</v>
      </c>
    </row>
    <row r="769" customFormat="false" ht="14.25" hidden="false" customHeight="true" outlineLevel="0" collapsed="false">
      <c r="B769" s="9" t="s">
        <v>16</v>
      </c>
      <c r="C769" s="9" t="n">
        <v>1185732</v>
      </c>
      <c r="D769" s="10" t="n">
        <v>44096</v>
      </c>
      <c r="E769" s="9" t="s">
        <v>50</v>
      </c>
      <c r="F769" s="9" t="s">
        <v>51</v>
      </c>
      <c r="G769" s="9" t="s">
        <v>52</v>
      </c>
      <c r="H769" s="11" t="s">
        <v>25</v>
      </c>
      <c r="I769" s="12" t="n">
        <v>60</v>
      </c>
      <c r="J769" s="13" t="n">
        <v>925</v>
      </c>
      <c r="K769" s="14" t="n">
        <f aca="false">I769*J769</f>
        <v>55500</v>
      </c>
      <c r="L769" s="14" t="n">
        <f aca="false">($L$2*M769)/100</f>
        <v>600833.25</v>
      </c>
      <c r="M769" s="15" t="n">
        <v>0.5</v>
      </c>
      <c r="N769" s="9" t="s">
        <v>20</v>
      </c>
    </row>
    <row r="770" customFormat="false" ht="14.25" hidden="false" customHeight="true" outlineLevel="0" collapsed="false">
      <c r="B770" s="9" t="s">
        <v>16</v>
      </c>
      <c r="C770" s="9" t="n">
        <v>1185732</v>
      </c>
      <c r="D770" s="10" t="n">
        <v>44097</v>
      </c>
      <c r="E770" s="9" t="s">
        <v>50</v>
      </c>
      <c r="F770" s="9" t="s">
        <v>51</v>
      </c>
      <c r="G770" s="9" t="s">
        <v>52</v>
      </c>
      <c r="H770" s="11" t="s">
        <v>19</v>
      </c>
      <c r="I770" s="12" t="n">
        <v>55</v>
      </c>
      <c r="J770" s="13" t="n">
        <v>1050</v>
      </c>
      <c r="K770" s="14" t="n">
        <f aca="false">I770*J770</f>
        <v>57750</v>
      </c>
      <c r="L770" s="14" t="n">
        <f aca="false">($L$2*M770)/100</f>
        <v>540749.925</v>
      </c>
      <c r="M770" s="15" t="n">
        <v>0.45</v>
      </c>
      <c r="N770" s="9" t="s">
        <v>20</v>
      </c>
    </row>
    <row r="771" customFormat="false" ht="14.25" hidden="false" customHeight="true" outlineLevel="0" collapsed="false">
      <c r="B771" s="9" t="s">
        <v>16</v>
      </c>
      <c r="C771" s="9" t="n">
        <v>1185732</v>
      </c>
      <c r="D771" s="10" t="n">
        <v>44098</v>
      </c>
      <c r="E771" s="9" t="s">
        <v>50</v>
      </c>
      <c r="F771" s="9" t="s">
        <v>51</v>
      </c>
      <c r="G771" s="9" t="s">
        <v>52</v>
      </c>
      <c r="H771" s="11" t="s">
        <v>21</v>
      </c>
      <c r="I771" s="12" t="n">
        <v>50</v>
      </c>
      <c r="J771" s="13" t="n">
        <v>850</v>
      </c>
      <c r="K771" s="14" t="n">
        <f aca="false">I771*J771</f>
        <v>42500</v>
      </c>
      <c r="L771" s="14" t="n">
        <f aca="false">($L$2*M771)/100</f>
        <v>420583.275</v>
      </c>
      <c r="M771" s="15" t="n">
        <v>0.35</v>
      </c>
      <c r="N771" s="9" t="s">
        <v>20</v>
      </c>
    </row>
    <row r="772" customFormat="false" ht="14.25" hidden="false" customHeight="true" outlineLevel="0" collapsed="false">
      <c r="B772" s="9" t="s">
        <v>28</v>
      </c>
      <c r="C772" s="9" t="n">
        <v>1185732</v>
      </c>
      <c r="D772" s="10" t="n">
        <v>44099</v>
      </c>
      <c r="E772" s="9" t="s">
        <v>50</v>
      </c>
      <c r="F772" s="9" t="s">
        <v>51</v>
      </c>
      <c r="G772" s="9" t="s">
        <v>52</v>
      </c>
      <c r="H772" s="11" t="s">
        <v>22</v>
      </c>
      <c r="I772" s="12" t="n">
        <v>45</v>
      </c>
      <c r="J772" s="13" t="n">
        <v>750</v>
      </c>
      <c r="K772" s="14" t="n">
        <f aca="false">I772*J772</f>
        <v>33750</v>
      </c>
      <c r="L772" s="14" t="n">
        <f aca="false">($L$2*M772)/100</f>
        <v>300416.625</v>
      </c>
      <c r="M772" s="15" t="n">
        <v>0.25</v>
      </c>
      <c r="N772" s="9" t="s">
        <v>20</v>
      </c>
    </row>
    <row r="773" customFormat="false" ht="14.25" hidden="false" customHeight="true" outlineLevel="0" collapsed="false">
      <c r="B773" s="9" t="s">
        <v>28</v>
      </c>
      <c r="C773" s="9" t="n">
        <v>1185732</v>
      </c>
      <c r="D773" s="10" t="n">
        <v>44100</v>
      </c>
      <c r="E773" s="9" t="s">
        <v>50</v>
      </c>
      <c r="F773" s="9" t="s">
        <v>51</v>
      </c>
      <c r="G773" s="9" t="s">
        <v>52</v>
      </c>
      <c r="H773" s="11" t="s">
        <v>23</v>
      </c>
      <c r="I773" s="12" t="n">
        <v>45</v>
      </c>
      <c r="J773" s="13" t="n">
        <v>725</v>
      </c>
      <c r="K773" s="14" t="n">
        <f aca="false">I773*J773</f>
        <v>32625</v>
      </c>
      <c r="L773" s="14" t="n">
        <f aca="false">($L$2*M773)/100</f>
        <v>360499.95</v>
      </c>
      <c r="M773" s="15" t="n">
        <v>0.3</v>
      </c>
      <c r="N773" s="9" t="s">
        <v>20</v>
      </c>
    </row>
    <row r="774" customFormat="false" ht="14.25" hidden="false" customHeight="true" outlineLevel="0" collapsed="false">
      <c r="B774" s="9" t="s">
        <v>28</v>
      </c>
      <c r="C774" s="9" t="n">
        <v>1185732</v>
      </c>
      <c r="D774" s="10" t="n">
        <v>44101</v>
      </c>
      <c r="E774" s="9" t="s">
        <v>50</v>
      </c>
      <c r="F774" s="9" t="s">
        <v>51</v>
      </c>
      <c r="G774" s="9" t="s">
        <v>52</v>
      </c>
      <c r="H774" s="11" t="s">
        <v>24</v>
      </c>
      <c r="I774" s="12" t="n">
        <v>55</v>
      </c>
      <c r="J774" s="13" t="n">
        <v>725</v>
      </c>
      <c r="K774" s="14" t="n">
        <f aca="false">I774*J774</f>
        <v>39875</v>
      </c>
      <c r="L774" s="14" t="n">
        <f aca="false">($L$2*M774)/100</f>
        <v>420583.275</v>
      </c>
      <c r="M774" s="15" t="n">
        <v>0.35</v>
      </c>
      <c r="N774" s="9" t="s">
        <v>20</v>
      </c>
    </row>
    <row r="775" customFormat="false" ht="14.25" hidden="false" customHeight="true" outlineLevel="0" collapsed="false">
      <c r="B775" s="9" t="s">
        <v>28</v>
      </c>
      <c r="C775" s="9" t="n">
        <v>1185732</v>
      </c>
      <c r="D775" s="10" t="n">
        <v>44102</v>
      </c>
      <c r="E775" s="9" t="s">
        <v>50</v>
      </c>
      <c r="F775" s="9" t="s">
        <v>51</v>
      </c>
      <c r="G775" s="9" t="s">
        <v>52</v>
      </c>
      <c r="H775" s="11" t="s">
        <v>25</v>
      </c>
      <c r="I775" s="12" t="n">
        <v>60</v>
      </c>
      <c r="J775" s="13" t="n">
        <v>825</v>
      </c>
      <c r="K775" s="14" t="n">
        <f aca="false">I775*J775</f>
        <v>49500</v>
      </c>
      <c r="L775" s="14" t="n">
        <f aca="false">($L$2*M775)/100</f>
        <v>600833.25</v>
      </c>
      <c r="M775" s="15" t="n">
        <v>0.5</v>
      </c>
      <c r="N775" s="9" t="s">
        <v>20</v>
      </c>
    </row>
    <row r="776" customFormat="false" ht="14.25" hidden="false" customHeight="true" outlineLevel="0" collapsed="false">
      <c r="B776" s="9" t="s">
        <v>28</v>
      </c>
      <c r="C776" s="9" t="n">
        <v>1185732</v>
      </c>
      <c r="D776" s="10" t="n">
        <v>44103</v>
      </c>
      <c r="E776" s="9" t="s">
        <v>50</v>
      </c>
      <c r="F776" s="9" t="s">
        <v>51</v>
      </c>
      <c r="G776" s="9" t="s">
        <v>52</v>
      </c>
      <c r="H776" s="11" t="s">
        <v>19</v>
      </c>
      <c r="I776" s="12" t="n">
        <v>60</v>
      </c>
      <c r="J776" s="13" t="n">
        <v>1000</v>
      </c>
      <c r="K776" s="14" t="n">
        <f aca="false">I776*J776</f>
        <v>60000</v>
      </c>
      <c r="L776" s="14" t="n">
        <f aca="false">($L$2*M776)/100</f>
        <v>540749.925</v>
      </c>
      <c r="M776" s="15" t="n">
        <v>0.45</v>
      </c>
      <c r="N776" s="9" t="s">
        <v>20</v>
      </c>
    </row>
    <row r="777" customFormat="false" ht="14.25" hidden="false" customHeight="true" outlineLevel="0" collapsed="false">
      <c r="B777" s="9" t="s">
        <v>28</v>
      </c>
      <c r="C777" s="9" t="n">
        <v>1185732</v>
      </c>
      <c r="D777" s="10" t="n">
        <v>44104</v>
      </c>
      <c r="E777" s="9" t="s">
        <v>50</v>
      </c>
      <c r="F777" s="9" t="s">
        <v>51</v>
      </c>
      <c r="G777" s="9" t="s">
        <v>52</v>
      </c>
      <c r="H777" s="11" t="s">
        <v>21</v>
      </c>
      <c r="I777" s="12" t="n">
        <v>50</v>
      </c>
      <c r="J777" s="13" t="n">
        <v>825</v>
      </c>
      <c r="K777" s="14" t="n">
        <f aca="false">I777*J777</f>
        <v>41250</v>
      </c>
      <c r="L777" s="14" t="n">
        <f aca="false">($L$2*M777)/100</f>
        <v>420583.275</v>
      </c>
      <c r="M777" s="15" t="n">
        <v>0.35</v>
      </c>
      <c r="N777" s="9" t="s">
        <v>20</v>
      </c>
    </row>
    <row r="778" customFormat="false" ht="14.25" hidden="false" customHeight="true" outlineLevel="0" collapsed="false">
      <c r="B778" s="9" t="s">
        <v>28</v>
      </c>
      <c r="C778" s="9" t="n">
        <v>1185732</v>
      </c>
      <c r="D778" s="10" t="n">
        <v>44105</v>
      </c>
      <c r="E778" s="9" t="s">
        <v>50</v>
      </c>
      <c r="F778" s="9" t="s">
        <v>51</v>
      </c>
      <c r="G778" s="9" t="s">
        <v>52</v>
      </c>
      <c r="H778" s="11" t="s">
        <v>22</v>
      </c>
      <c r="I778" s="12" t="n">
        <v>50</v>
      </c>
      <c r="J778" s="13" t="n">
        <v>725</v>
      </c>
      <c r="K778" s="14" t="n">
        <f aca="false">I778*J778</f>
        <v>36250</v>
      </c>
      <c r="L778" s="14" t="n">
        <f aca="false">($L$2*M778)/100</f>
        <v>300416.625</v>
      </c>
      <c r="M778" s="15" t="n">
        <v>0.25</v>
      </c>
      <c r="N778" s="9" t="s">
        <v>20</v>
      </c>
    </row>
    <row r="779" customFormat="false" ht="14.25" hidden="false" customHeight="true" outlineLevel="0" collapsed="false">
      <c r="B779" s="9" t="s">
        <v>28</v>
      </c>
      <c r="C779" s="9" t="n">
        <v>1185732</v>
      </c>
      <c r="D779" s="10" t="n">
        <v>44106</v>
      </c>
      <c r="E779" s="9" t="s">
        <v>50</v>
      </c>
      <c r="F779" s="9" t="s">
        <v>51</v>
      </c>
      <c r="G779" s="9" t="s">
        <v>52</v>
      </c>
      <c r="H779" s="11" t="s">
        <v>23</v>
      </c>
      <c r="I779" s="12" t="n">
        <v>50</v>
      </c>
      <c r="J779" s="13" t="n">
        <v>700</v>
      </c>
      <c r="K779" s="14" t="n">
        <f aca="false">I779*J779</f>
        <v>35000</v>
      </c>
      <c r="L779" s="14" t="n">
        <f aca="false">($L$2*M779)/100</f>
        <v>360499.95</v>
      </c>
      <c r="M779" s="15" t="n">
        <v>0.3</v>
      </c>
      <c r="N779" s="9" t="s">
        <v>20</v>
      </c>
    </row>
    <row r="780" customFormat="false" ht="14.25" hidden="false" customHeight="true" outlineLevel="0" collapsed="false">
      <c r="B780" s="9" t="s">
        <v>28</v>
      </c>
      <c r="C780" s="9" t="n">
        <v>1185732</v>
      </c>
      <c r="D780" s="10" t="n">
        <v>44107</v>
      </c>
      <c r="E780" s="9" t="s">
        <v>50</v>
      </c>
      <c r="F780" s="9" t="s">
        <v>51</v>
      </c>
      <c r="G780" s="9" t="s">
        <v>52</v>
      </c>
      <c r="H780" s="11" t="s">
        <v>24</v>
      </c>
      <c r="I780" s="12" t="n">
        <v>60</v>
      </c>
      <c r="J780" s="13" t="n">
        <v>700</v>
      </c>
      <c r="K780" s="14" t="n">
        <f aca="false">I780*J780</f>
        <v>42000</v>
      </c>
      <c r="L780" s="14" t="n">
        <f aca="false">($L$2*M780)/100</f>
        <v>420583.275</v>
      </c>
      <c r="M780" s="15" t="n">
        <v>0.35</v>
      </c>
      <c r="N780" s="9" t="s">
        <v>20</v>
      </c>
    </row>
    <row r="781" customFormat="false" ht="14.25" hidden="false" customHeight="true" outlineLevel="0" collapsed="false">
      <c r="B781" s="9" t="s">
        <v>28</v>
      </c>
      <c r="C781" s="9" t="n">
        <v>1185732</v>
      </c>
      <c r="D781" s="10" t="n">
        <v>44108</v>
      </c>
      <c r="E781" s="9" t="s">
        <v>50</v>
      </c>
      <c r="F781" s="9" t="s">
        <v>51</v>
      </c>
      <c r="G781" s="9" t="s">
        <v>52</v>
      </c>
      <c r="H781" s="11" t="s">
        <v>25</v>
      </c>
      <c r="I781" s="12" t="n">
        <v>65</v>
      </c>
      <c r="J781" s="13" t="n">
        <v>825</v>
      </c>
      <c r="K781" s="14" t="n">
        <f aca="false">I781*J781</f>
        <v>53625</v>
      </c>
      <c r="L781" s="14" t="n">
        <f aca="false">($L$2*M781)/100</f>
        <v>600833.25</v>
      </c>
      <c r="M781" s="15" t="n">
        <v>0.5</v>
      </c>
      <c r="N781" s="9" t="s">
        <v>20</v>
      </c>
    </row>
    <row r="782" customFormat="false" ht="14.25" hidden="false" customHeight="true" outlineLevel="0" collapsed="false">
      <c r="B782" s="9" t="s">
        <v>28</v>
      </c>
      <c r="C782" s="9" t="n">
        <v>1185732</v>
      </c>
      <c r="D782" s="10" t="n">
        <v>44109</v>
      </c>
      <c r="E782" s="9" t="s">
        <v>50</v>
      </c>
      <c r="F782" s="9" t="s">
        <v>51</v>
      </c>
      <c r="G782" s="9" t="s">
        <v>52</v>
      </c>
      <c r="H782" s="11" t="s">
        <v>19</v>
      </c>
      <c r="I782" s="12" t="n">
        <v>60</v>
      </c>
      <c r="J782" s="13" t="n">
        <v>975</v>
      </c>
      <c r="K782" s="14" t="n">
        <f aca="false">I782*J782</f>
        <v>58500</v>
      </c>
      <c r="L782" s="14" t="n">
        <f aca="false">($L$2*M782)/100</f>
        <v>540749.925</v>
      </c>
      <c r="M782" s="15" t="n">
        <v>0.45</v>
      </c>
      <c r="N782" s="9" t="s">
        <v>20</v>
      </c>
    </row>
    <row r="783" customFormat="false" ht="14.25" hidden="false" customHeight="true" outlineLevel="0" collapsed="false">
      <c r="B783" s="9" t="s">
        <v>28</v>
      </c>
      <c r="C783" s="9" t="n">
        <v>1185732</v>
      </c>
      <c r="D783" s="10" t="n">
        <v>44110</v>
      </c>
      <c r="E783" s="9" t="s">
        <v>50</v>
      </c>
      <c r="F783" s="9" t="s">
        <v>51</v>
      </c>
      <c r="G783" s="9" t="s">
        <v>52</v>
      </c>
      <c r="H783" s="11" t="s">
        <v>21</v>
      </c>
      <c r="I783" s="12" t="n">
        <v>50</v>
      </c>
      <c r="J783" s="13" t="n">
        <v>800</v>
      </c>
      <c r="K783" s="14" t="n">
        <f aca="false">I783*J783</f>
        <v>40000</v>
      </c>
      <c r="L783" s="14" t="n">
        <f aca="false">($L$2*M783)/100</f>
        <v>420583.275</v>
      </c>
      <c r="M783" s="15" t="n">
        <v>0.35</v>
      </c>
      <c r="N783" s="9" t="s">
        <v>20</v>
      </c>
    </row>
    <row r="784" customFormat="false" ht="14.25" hidden="false" customHeight="true" outlineLevel="0" collapsed="false">
      <c r="B784" s="9" t="s">
        <v>28</v>
      </c>
      <c r="C784" s="9" t="n">
        <v>1185732</v>
      </c>
      <c r="D784" s="10" t="n">
        <v>44111</v>
      </c>
      <c r="E784" s="9" t="s">
        <v>50</v>
      </c>
      <c r="F784" s="9" t="s">
        <v>51</v>
      </c>
      <c r="G784" s="9" t="s">
        <v>52</v>
      </c>
      <c r="H784" s="11" t="s">
        <v>22</v>
      </c>
      <c r="I784" s="12" t="n">
        <v>50</v>
      </c>
      <c r="J784" s="13" t="n">
        <v>745</v>
      </c>
      <c r="K784" s="14" t="n">
        <f aca="false">I784*J784</f>
        <v>37250</v>
      </c>
      <c r="L784" s="14" t="n">
        <f aca="false">($L$2*M784)/100</f>
        <v>300416.625</v>
      </c>
      <c r="M784" s="15" t="n">
        <v>0.25</v>
      </c>
      <c r="N784" s="9" t="s">
        <v>20</v>
      </c>
    </row>
    <row r="785" customFormat="false" ht="14.25" hidden="false" customHeight="true" outlineLevel="0" collapsed="false">
      <c r="B785" s="9" t="s">
        <v>28</v>
      </c>
      <c r="C785" s="9" t="n">
        <v>1185732</v>
      </c>
      <c r="D785" s="10" t="n">
        <v>44112</v>
      </c>
      <c r="E785" s="9" t="s">
        <v>50</v>
      </c>
      <c r="F785" s="9" t="s">
        <v>51</v>
      </c>
      <c r="G785" s="9" t="s">
        <v>52</v>
      </c>
      <c r="H785" s="11" t="s">
        <v>23</v>
      </c>
      <c r="I785" s="12" t="n">
        <v>50</v>
      </c>
      <c r="J785" s="13" t="n">
        <v>775</v>
      </c>
      <c r="K785" s="14" t="n">
        <f aca="false">I785*J785</f>
        <v>38750</v>
      </c>
      <c r="L785" s="14" t="n">
        <f aca="false">($L$2*M785)/100</f>
        <v>360499.95</v>
      </c>
      <c r="M785" s="15" t="n">
        <v>0.3</v>
      </c>
      <c r="N785" s="9" t="s">
        <v>20</v>
      </c>
    </row>
    <row r="786" customFormat="false" ht="14.25" hidden="false" customHeight="true" outlineLevel="0" collapsed="false">
      <c r="B786" s="9" t="s">
        <v>28</v>
      </c>
      <c r="C786" s="9" t="n">
        <v>1185732</v>
      </c>
      <c r="D786" s="10" t="n">
        <v>44113</v>
      </c>
      <c r="E786" s="9" t="s">
        <v>50</v>
      </c>
      <c r="F786" s="9" t="s">
        <v>51</v>
      </c>
      <c r="G786" s="9" t="s">
        <v>52</v>
      </c>
      <c r="H786" s="11" t="s">
        <v>24</v>
      </c>
      <c r="I786" s="12" t="n">
        <v>65</v>
      </c>
      <c r="J786" s="13" t="n">
        <v>750</v>
      </c>
      <c r="K786" s="14" t="n">
        <f aca="false">I786*J786</f>
        <v>48750</v>
      </c>
      <c r="L786" s="14" t="n">
        <f aca="false">($L$2*M786)/100</f>
        <v>420583.275</v>
      </c>
      <c r="M786" s="15" t="n">
        <v>0.35</v>
      </c>
      <c r="N786" s="9" t="s">
        <v>20</v>
      </c>
    </row>
    <row r="787" customFormat="false" ht="14.25" hidden="false" customHeight="true" outlineLevel="0" collapsed="false">
      <c r="B787" s="9" t="s">
        <v>28</v>
      </c>
      <c r="C787" s="9" t="n">
        <v>1185732</v>
      </c>
      <c r="D787" s="10" t="n">
        <v>44114</v>
      </c>
      <c r="E787" s="9" t="s">
        <v>50</v>
      </c>
      <c r="F787" s="9" t="s">
        <v>51</v>
      </c>
      <c r="G787" s="9" t="s">
        <v>52</v>
      </c>
      <c r="H787" s="11" t="s">
        <v>25</v>
      </c>
      <c r="I787" s="12" t="n">
        <v>70</v>
      </c>
      <c r="J787" s="13" t="n">
        <v>850</v>
      </c>
      <c r="K787" s="14" t="n">
        <f aca="false">I787*J787</f>
        <v>59500</v>
      </c>
      <c r="L787" s="14" t="n">
        <f aca="false">($L$2*M787)/100</f>
        <v>600833.25</v>
      </c>
      <c r="M787" s="15" t="n">
        <v>0.5</v>
      </c>
      <c r="N787" s="9" t="s">
        <v>20</v>
      </c>
    </row>
    <row r="788" customFormat="false" ht="14.25" hidden="false" customHeight="true" outlineLevel="0" collapsed="false">
      <c r="B788" s="9" t="s">
        <v>28</v>
      </c>
      <c r="C788" s="9" t="n">
        <v>1185732</v>
      </c>
      <c r="D788" s="10" t="n">
        <v>43975</v>
      </c>
      <c r="E788" s="9" t="s">
        <v>50</v>
      </c>
      <c r="F788" s="9" t="s">
        <v>51</v>
      </c>
      <c r="G788" s="9" t="s">
        <v>52</v>
      </c>
      <c r="H788" s="11" t="s">
        <v>19</v>
      </c>
      <c r="I788" s="12" t="n">
        <v>65</v>
      </c>
      <c r="J788" s="13" t="n">
        <v>1075</v>
      </c>
      <c r="K788" s="14" t="n">
        <f aca="false">I788*J788</f>
        <v>69875</v>
      </c>
      <c r="L788" s="14" t="n">
        <f aca="false">($L$2*M788)/100</f>
        <v>540749.925</v>
      </c>
      <c r="M788" s="15" t="n">
        <v>0.45</v>
      </c>
      <c r="N788" s="9" t="s">
        <v>20</v>
      </c>
    </row>
    <row r="789" customFormat="false" ht="14.25" hidden="false" customHeight="true" outlineLevel="0" collapsed="false">
      <c r="B789" s="9" t="s">
        <v>28</v>
      </c>
      <c r="C789" s="9" t="n">
        <v>1185732</v>
      </c>
      <c r="D789" s="10" t="n">
        <v>43975</v>
      </c>
      <c r="E789" s="9" t="s">
        <v>50</v>
      </c>
      <c r="F789" s="9" t="s">
        <v>51</v>
      </c>
      <c r="G789" s="9" t="s">
        <v>52</v>
      </c>
      <c r="H789" s="11" t="s">
        <v>21</v>
      </c>
      <c r="I789" s="12" t="n">
        <v>55</v>
      </c>
      <c r="J789" s="13" t="n">
        <v>875</v>
      </c>
      <c r="K789" s="14" t="n">
        <f aca="false">I789*J789</f>
        <v>48125</v>
      </c>
      <c r="L789" s="14" t="n">
        <f aca="false">($L$2*M789)/100</f>
        <v>420583.275</v>
      </c>
      <c r="M789" s="15" t="n">
        <v>0.35</v>
      </c>
      <c r="N789" s="9" t="s">
        <v>20</v>
      </c>
    </row>
    <row r="790" customFormat="false" ht="14.25" hidden="false" customHeight="true" outlineLevel="0" collapsed="false">
      <c r="B790" s="9" t="s">
        <v>28</v>
      </c>
      <c r="C790" s="9" t="n">
        <v>1185732</v>
      </c>
      <c r="D790" s="10" t="n">
        <v>43975</v>
      </c>
      <c r="E790" s="9" t="s">
        <v>50</v>
      </c>
      <c r="F790" s="9" t="s">
        <v>51</v>
      </c>
      <c r="G790" s="9" t="s">
        <v>52</v>
      </c>
      <c r="H790" s="11" t="s">
        <v>22</v>
      </c>
      <c r="I790" s="12" t="n">
        <v>55</v>
      </c>
      <c r="J790" s="13" t="n">
        <v>825</v>
      </c>
      <c r="K790" s="14" t="n">
        <f aca="false">I790*J790</f>
        <v>45375</v>
      </c>
      <c r="L790" s="14" t="n">
        <f aca="false">($L$2*M790)/100</f>
        <v>300416.625</v>
      </c>
      <c r="M790" s="15" t="n">
        <v>0.25</v>
      </c>
      <c r="N790" s="9" t="s">
        <v>20</v>
      </c>
    </row>
    <row r="791" customFormat="false" ht="14.25" hidden="false" customHeight="true" outlineLevel="0" collapsed="false">
      <c r="B791" s="9" t="s">
        <v>28</v>
      </c>
      <c r="C791" s="9" t="n">
        <v>1185732</v>
      </c>
      <c r="D791" s="10" t="n">
        <v>43975</v>
      </c>
      <c r="E791" s="9" t="s">
        <v>50</v>
      </c>
      <c r="F791" s="9" t="s">
        <v>51</v>
      </c>
      <c r="G791" s="9" t="s">
        <v>52</v>
      </c>
      <c r="H791" s="11" t="s">
        <v>23</v>
      </c>
      <c r="I791" s="12" t="n">
        <v>55</v>
      </c>
      <c r="J791" s="13" t="n">
        <v>775</v>
      </c>
      <c r="K791" s="14" t="n">
        <f aca="false">I791*J791</f>
        <v>42625</v>
      </c>
      <c r="L791" s="14" t="n">
        <f aca="false">($L$2*M791)/100</f>
        <v>360499.95</v>
      </c>
      <c r="M791" s="15" t="n">
        <v>0.3</v>
      </c>
      <c r="N791" s="9" t="s">
        <v>20</v>
      </c>
    </row>
    <row r="792" customFormat="false" ht="14.25" hidden="false" customHeight="true" outlineLevel="0" collapsed="false">
      <c r="B792" s="9" t="s">
        <v>16</v>
      </c>
      <c r="C792" s="9" t="n">
        <v>1185732</v>
      </c>
      <c r="D792" s="10" t="n">
        <v>43975</v>
      </c>
      <c r="E792" s="9" t="s">
        <v>50</v>
      </c>
      <c r="F792" s="9" t="s">
        <v>51</v>
      </c>
      <c r="G792" s="9" t="s">
        <v>52</v>
      </c>
      <c r="H792" s="11" t="s">
        <v>24</v>
      </c>
      <c r="I792" s="12" t="n">
        <v>65</v>
      </c>
      <c r="J792" s="13" t="n">
        <v>775</v>
      </c>
      <c r="K792" s="14" t="n">
        <f aca="false">I792*J792</f>
        <v>50375</v>
      </c>
      <c r="L792" s="14" t="n">
        <f aca="false">($L$2*M792)/100</f>
        <v>420583.275</v>
      </c>
      <c r="M792" s="15" t="n">
        <v>0.35</v>
      </c>
      <c r="N792" s="9" t="s">
        <v>20</v>
      </c>
    </row>
    <row r="793" customFormat="false" ht="14.25" hidden="false" customHeight="true" outlineLevel="0" collapsed="false">
      <c r="B793" s="9" t="s">
        <v>16</v>
      </c>
      <c r="C793" s="9" t="n">
        <v>1185732</v>
      </c>
      <c r="D793" s="10" t="n">
        <v>43975</v>
      </c>
      <c r="E793" s="9" t="s">
        <v>50</v>
      </c>
      <c r="F793" s="9" t="s">
        <v>51</v>
      </c>
      <c r="G793" s="9" t="s">
        <v>52</v>
      </c>
      <c r="H793" s="11" t="s">
        <v>25</v>
      </c>
      <c r="I793" s="12" t="n">
        <v>70</v>
      </c>
      <c r="J793" s="13" t="n">
        <v>875</v>
      </c>
      <c r="K793" s="14" t="n">
        <f aca="false">I793*J793</f>
        <v>61250</v>
      </c>
      <c r="L793" s="14" t="n">
        <f aca="false">($L$2*M793)/100</f>
        <v>600833.25</v>
      </c>
      <c r="M793" s="15" t="n">
        <v>0.5</v>
      </c>
      <c r="N793" s="9" t="s">
        <v>20</v>
      </c>
    </row>
    <row r="794" customFormat="false" ht="14.25" hidden="false" customHeight="true" outlineLevel="0" collapsed="false">
      <c r="B794" s="9" t="s">
        <v>16</v>
      </c>
      <c r="C794" s="9" t="n">
        <v>1185732</v>
      </c>
      <c r="D794" s="10" t="n">
        <v>44121</v>
      </c>
      <c r="E794" s="9" t="s">
        <v>50</v>
      </c>
      <c r="F794" s="9" t="s">
        <v>51</v>
      </c>
      <c r="G794" s="9" t="s">
        <v>52</v>
      </c>
      <c r="H794" s="11" t="s">
        <v>19</v>
      </c>
      <c r="I794" s="12" t="n">
        <v>35</v>
      </c>
      <c r="J794" s="13" t="n">
        <v>450</v>
      </c>
      <c r="K794" s="14" t="n">
        <f aca="false">I794*J794</f>
        <v>15750</v>
      </c>
      <c r="L794" s="14" t="n">
        <f aca="false">($L$2*M794)/100</f>
        <v>420583.275</v>
      </c>
      <c r="M794" s="15" t="n">
        <v>0.35</v>
      </c>
      <c r="N794" s="9" t="s">
        <v>20</v>
      </c>
    </row>
    <row r="795" customFormat="false" ht="14.25" hidden="false" customHeight="true" outlineLevel="0" collapsed="false">
      <c r="B795" s="9" t="s">
        <v>16</v>
      </c>
      <c r="C795" s="9" t="n">
        <v>1185732</v>
      </c>
      <c r="D795" s="10" t="n">
        <v>44122</v>
      </c>
      <c r="E795" s="9" t="s">
        <v>50</v>
      </c>
      <c r="F795" s="9" t="s">
        <v>51</v>
      </c>
      <c r="G795" s="9" t="s">
        <v>52</v>
      </c>
      <c r="H795" s="11" t="s">
        <v>21</v>
      </c>
      <c r="I795" s="12" t="n">
        <v>35</v>
      </c>
      <c r="J795" s="13" t="n">
        <v>250</v>
      </c>
      <c r="K795" s="14" t="n">
        <f aca="false">I795*J795</f>
        <v>8750</v>
      </c>
      <c r="L795" s="14" t="n">
        <f aca="false">($L$2*M795)/100</f>
        <v>360499.95</v>
      </c>
      <c r="M795" s="15" t="n">
        <v>0.3</v>
      </c>
      <c r="N795" s="9" t="s">
        <v>20</v>
      </c>
    </row>
    <row r="796" customFormat="false" ht="14.25" hidden="false" customHeight="true" outlineLevel="0" collapsed="false">
      <c r="B796" s="9" t="s">
        <v>16</v>
      </c>
      <c r="C796" s="9" t="n">
        <v>1185732</v>
      </c>
      <c r="D796" s="10" t="n">
        <v>44123</v>
      </c>
      <c r="E796" s="9" t="s">
        <v>50</v>
      </c>
      <c r="F796" s="9" t="s">
        <v>51</v>
      </c>
      <c r="G796" s="9" t="s">
        <v>52</v>
      </c>
      <c r="H796" s="11" t="s">
        <v>22</v>
      </c>
      <c r="I796" s="12" t="n">
        <v>25</v>
      </c>
      <c r="J796" s="13" t="n">
        <v>250</v>
      </c>
      <c r="K796" s="14" t="n">
        <f aca="false">I796*J796</f>
        <v>6250</v>
      </c>
      <c r="L796" s="14" t="n">
        <f aca="false">($L$2*M796)/100</f>
        <v>360499.95</v>
      </c>
      <c r="M796" s="15" t="n">
        <v>0.3</v>
      </c>
      <c r="N796" s="9" t="s">
        <v>20</v>
      </c>
    </row>
    <row r="797" customFormat="false" ht="14.25" hidden="false" customHeight="true" outlineLevel="0" collapsed="false">
      <c r="B797" s="9" t="s">
        <v>16</v>
      </c>
      <c r="C797" s="9" t="n">
        <v>1185732</v>
      </c>
      <c r="D797" s="10" t="n">
        <v>44124</v>
      </c>
      <c r="E797" s="9" t="s">
        <v>50</v>
      </c>
      <c r="F797" s="9" t="s">
        <v>51</v>
      </c>
      <c r="G797" s="9" t="s">
        <v>52</v>
      </c>
      <c r="H797" s="11" t="s">
        <v>23</v>
      </c>
      <c r="I797" s="12" t="n">
        <v>30</v>
      </c>
      <c r="J797" s="13" t="n">
        <v>100</v>
      </c>
      <c r="K797" s="14" t="n">
        <f aca="false">I797*J797</f>
        <v>3000</v>
      </c>
      <c r="L797" s="14" t="n">
        <f aca="false">($L$2*M797)/100</f>
        <v>420583.275</v>
      </c>
      <c r="M797" s="15" t="n">
        <v>0.35</v>
      </c>
      <c r="N797" s="9" t="s">
        <v>20</v>
      </c>
    </row>
    <row r="798" customFormat="false" ht="14.25" hidden="false" customHeight="true" outlineLevel="0" collapsed="false">
      <c r="B798" s="9" t="s">
        <v>16</v>
      </c>
      <c r="C798" s="9" t="n">
        <v>1185732</v>
      </c>
      <c r="D798" s="10" t="n">
        <v>44125</v>
      </c>
      <c r="E798" s="9" t="s">
        <v>38</v>
      </c>
      <c r="F798" s="9" t="s">
        <v>53</v>
      </c>
      <c r="G798" s="9" t="s">
        <v>54</v>
      </c>
      <c r="H798" s="11" t="s">
        <v>24</v>
      </c>
      <c r="I798" s="12" t="n">
        <v>45</v>
      </c>
      <c r="J798" s="13" t="n">
        <v>150</v>
      </c>
      <c r="K798" s="14" t="n">
        <f aca="false">I798*J798</f>
        <v>6750</v>
      </c>
      <c r="L798" s="14" t="n">
        <f aca="false">($L$2*M798)/100</f>
        <v>360499.95</v>
      </c>
      <c r="M798" s="15" t="n">
        <v>0.3</v>
      </c>
      <c r="N798" s="9" t="s">
        <v>20</v>
      </c>
    </row>
    <row r="799" customFormat="false" ht="14.25" hidden="false" customHeight="true" outlineLevel="0" collapsed="false">
      <c r="B799" s="9" t="s">
        <v>16</v>
      </c>
      <c r="C799" s="9" t="n">
        <v>1185732</v>
      </c>
      <c r="D799" s="10" t="n">
        <v>44126</v>
      </c>
      <c r="E799" s="9" t="s">
        <v>38</v>
      </c>
      <c r="F799" s="9" t="s">
        <v>53</v>
      </c>
      <c r="G799" s="9" t="s">
        <v>54</v>
      </c>
      <c r="H799" s="11" t="s">
        <v>25</v>
      </c>
      <c r="I799" s="12" t="n">
        <v>35</v>
      </c>
      <c r="J799" s="13" t="n">
        <v>250</v>
      </c>
      <c r="K799" s="14" t="n">
        <f aca="false">I799*J799</f>
        <v>8750</v>
      </c>
      <c r="L799" s="14" t="n">
        <f aca="false">($L$2*M799)/100</f>
        <v>540749.925</v>
      </c>
      <c r="M799" s="15" t="n">
        <v>0.45</v>
      </c>
      <c r="N799" s="9" t="s">
        <v>20</v>
      </c>
    </row>
    <row r="800" customFormat="false" ht="14.25" hidden="false" customHeight="true" outlineLevel="0" collapsed="false">
      <c r="B800" s="9" t="s">
        <v>16</v>
      </c>
      <c r="C800" s="9" t="n">
        <v>1185732</v>
      </c>
      <c r="D800" s="10" t="n">
        <v>44127</v>
      </c>
      <c r="E800" s="9" t="s">
        <v>38</v>
      </c>
      <c r="F800" s="9" t="s">
        <v>53</v>
      </c>
      <c r="G800" s="9" t="s">
        <v>54</v>
      </c>
      <c r="H800" s="11" t="s">
        <v>19</v>
      </c>
      <c r="I800" s="12" t="n">
        <v>35</v>
      </c>
      <c r="J800" s="13" t="n">
        <v>500</v>
      </c>
      <c r="K800" s="14" t="n">
        <f aca="false">I800*J800</f>
        <v>17500</v>
      </c>
      <c r="L800" s="14" t="n">
        <f aca="false">($L$2*M800)/100</f>
        <v>420583.275</v>
      </c>
      <c r="M800" s="15" t="n">
        <v>0.35</v>
      </c>
      <c r="N800" s="9" t="s">
        <v>20</v>
      </c>
    </row>
    <row r="801" customFormat="false" ht="14.25" hidden="false" customHeight="true" outlineLevel="0" collapsed="false">
      <c r="B801" s="9" t="s">
        <v>16</v>
      </c>
      <c r="C801" s="9" t="n">
        <v>1185732</v>
      </c>
      <c r="D801" s="10" t="n">
        <v>44128</v>
      </c>
      <c r="E801" s="9" t="s">
        <v>38</v>
      </c>
      <c r="F801" s="9" t="s">
        <v>53</v>
      </c>
      <c r="G801" s="9" t="s">
        <v>54</v>
      </c>
      <c r="H801" s="11" t="s">
        <v>21</v>
      </c>
      <c r="I801" s="12" t="n">
        <v>35</v>
      </c>
      <c r="J801" s="13" t="n">
        <v>150</v>
      </c>
      <c r="K801" s="14" t="n">
        <f aca="false">I801*J801</f>
        <v>5250</v>
      </c>
      <c r="L801" s="14" t="n">
        <f aca="false">($L$2*M801)/100</f>
        <v>360499.95</v>
      </c>
      <c r="M801" s="15" t="n">
        <v>0.3</v>
      </c>
      <c r="N801" s="9" t="s">
        <v>20</v>
      </c>
    </row>
    <row r="802" customFormat="false" ht="14.25" hidden="false" customHeight="true" outlineLevel="0" collapsed="false">
      <c r="B802" s="9" t="s">
        <v>16</v>
      </c>
      <c r="C802" s="9" t="n">
        <v>1185732</v>
      </c>
      <c r="D802" s="10" t="n">
        <v>44129</v>
      </c>
      <c r="E802" s="9" t="s">
        <v>38</v>
      </c>
      <c r="F802" s="9" t="s">
        <v>53</v>
      </c>
      <c r="G802" s="9" t="s">
        <v>54</v>
      </c>
      <c r="H802" s="11" t="s">
        <v>22</v>
      </c>
      <c r="I802" s="12" t="n">
        <v>25</v>
      </c>
      <c r="J802" s="13" t="n">
        <v>200</v>
      </c>
      <c r="K802" s="14" t="n">
        <f aca="false">I802*J802</f>
        <v>5000</v>
      </c>
      <c r="L802" s="14" t="n">
        <f aca="false">($L$2*M802)/100</f>
        <v>360499.95</v>
      </c>
      <c r="M802" s="15" t="n">
        <v>0.3</v>
      </c>
      <c r="N802" s="9" t="s">
        <v>20</v>
      </c>
    </row>
    <row r="803" customFormat="false" ht="14.25" hidden="false" customHeight="true" outlineLevel="0" collapsed="false">
      <c r="B803" s="9" t="s">
        <v>16</v>
      </c>
      <c r="C803" s="9" t="n">
        <v>1185732</v>
      </c>
      <c r="D803" s="10" t="n">
        <v>44130</v>
      </c>
      <c r="E803" s="9" t="s">
        <v>38</v>
      </c>
      <c r="F803" s="9" t="s">
        <v>53</v>
      </c>
      <c r="G803" s="9" t="s">
        <v>54</v>
      </c>
      <c r="H803" s="11" t="s">
        <v>23</v>
      </c>
      <c r="I803" s="12" t="n">
        <v>30</v>
      </c>
      <c r="J803" s="13" t="n">
        <v>75</v>
      </c>
      <c r="K803" s="14" t="n">
        <f aca="false">I803*J803</f>
        <v>2250</v>
      </c>
      <c r="L803" s="14" t="n">
        <f aca="false">($L$2*M803)/100</f>
        <v>420583.275</v>
      </c>
      <c r="M803" s="15" t="n">
        <v>0.35</v>
      </c>
      <c r="N803" s="9" t="s">
        <v>20</v>
      </c>
    </row>
    <row r="804" customFormat="false" ht="14.25" hidden="false" customHeight="true" outlineLevel="0" collapsed="false">
      <c r="B804" s="9" t="s">
        <v>16</v>
      </c>
      <c r="C804" s="9" t="n">
        <v>1185732</v>
      </c>
      <c r="D804" s="10" t="n">
        <v>44131</v>
      </c>
      <c r="E804" s="9" t="s">
        <v>38</v>
      </c>
      <c r="F804" s="9" t="s">
        <v>53</v>
      </c>
      <c r="G804" s="9" t="s">
        <v>54</v>
      </c>
      <c r="H804" s="11" t="s">
        <v>24</v>
      </c>
      <c r="I804" s="12" t="n">
        <v>45</v>
      </c>
      <c r="J804" s="13" t="n">
        <v>150</v>
      </c>
      <c r="K804" s="14" t="n">
        <f aca="false">I804*J804</f>
        <v>6750</v>
      </c>
      <c r="L804" s="14" t="n">
        <f aca="false">($L$2*M804)/100</f>
        <v>360499.95</v>
      </c>
      <c r="M804" s="15" t="n">
        <v>0.3</v>
      </c>
      <c r="N804" s="9" t="s">
        <v>20</v>
      </c>
    </row>
    <row r="805" customFormat="false" ht="14.25" hidden="false" customHeight="true" outlineLevel="0" collapsed="false">
      <c r="B805" s="9" t="s">
        <v>16</v>
      </c>
      <c r="C805" s="9" t="n">
        <v>1185732</v>
      </c>
      <c r="D805" s="10" t="n">
        <v>44132</v>
      </c>
      <c r="E805" s="9" t="s">
        <v>38</v>
      </c>
      <c r="F805" s="9" t="s">
        <v>53</v>
      </c>
      <c r="G805" s="9" t="s">
        <v>54</v>
      </c>
      <c r="H805" s="11" t="s">
        <v>25</v>
      </c>
      <c r="I805" s="12" t="n">
        <v>35</v>
      </c>
      <c r="J805" s="13" t="n">
        <v>225</v>
      </c>
      <c r="K805" s="14" t="n">
        <f aca="false">I805*J805</f>
        <v>7875</v>
      </c>
      <c r="L805" s="14" t="n">
        <f aca="false">($L$2*M805)/100</f>
        <v>540749.925</v>
      </c>
      <c r="M805" s="15" t="n">
        <v>0.45</v>
      </c>
      <c r="N805" s="9" t="s">
        <v>20</v>
      </c>
    </row>
    <row r="806" customFormat="false" ht="14.25" hidden="false" customHeight="true" outlineLevel="0" collapsed="false">
      <c r="B806" s="9" t="s">
        <v>16</v>
      </c>
      <c r="C806" s="9" t="n">
        <v>1185732</v>
      </c>
      <c r="D806" s="10" t="n">
        <v>44133</v>
      </c>
      <c r="E806" s="9" t="s">
        <v>38</v>
      </c>
      <c r="F806" s="9" t="s">
        <v>53</v>
      </c>
      <c r="G806" s="9" t="s">
        <v>54</v>
      </c>
      <c r="H806" s="11" t="s">
        <v>19</v>
      </c>
      <c r="I806" s="12" t="n">
        <v>40</v>
      </c>
      <c r="J806" s="13" t="n">
        <v>445</v>
      </c>
      <c r="K806" s="14" t="n">
        <f aca="false">I806*J806</f>
        <v>17800</v>
      </c>
      <c r="L806" s="14" t="n">
        <f aca="false">($L$2*M806)/100</f>
        <v>420583.275</v>
      </c>
      <c r="M806" s="15" t="n">
        <v>0.35</v>
      </c>
      <c r="N806" s="9" t="s">
        <v>20</v>
      </c>
    </row>
    <row r="807" customFormat="false" ht="14.25" hidden="false" customHeight="true" outlineLevel="0" collapsed="false">
      <c r="B807" s="9" t="s">
        <v>16</v>
      </c>
      <c r="C807" s="9" t="n">
        <v>1185732</v>
      </c>
      <c r="D807" s="10" t="n">
        <v>44134</v>
      </c>
      <c r="E807" s="9" t="s">
        <v>38</v>
      </c>
      <c r="F807" s="9" t="s">
        <v>53</v>
      </c>
      <c r="G807" s="9" t="s">
        <v>54</v>
      </c>
      <c r="H807" s="11" t="s">
        <v>21</v>
      </c>
      <c r="I807" s="12" t="n">
        <v>40</v>
      </c>
      <c r="J807" s="13" t="n">
        <v>125</v>
      </c>
      <c r="K807" s="14" t="n">
        <f aca="false">I807*J807</f>
        <v>5000</v>
      </c>
      <c r="L807" s="14" t="n">
        <f aca="false">($L$2*M807)/100</f>
        <v>360499.95</v>
      </c>
      <c r="M807" s="15" t="n">
        <v>0.3</v>
      </c>
      <c r="N807" s="9" t="s">
        <v>20</v>
      </c>
    </row>
    <row r="808" customFormat="false" ht="14.25" hidden="false" customHeight="true" outlineLevel="0" collapsed="false">
      <c r="B808" s="9" t="s">
        <v>16</v>
      </c>
      <c r="C808" s="9" t="n">
        <v>1185732</v>
      </c>
      <c r="D808" s="10" t="n">
        <v>44135</v>
      </c>
      <c r="E808" s="9" t="s">
        <v>38</v>
      </c>
      <c r="F808" s="9" t="s">
        <v>53</v>
      </c>
      <c r="G808" s="9" t="s">
        <v>54</v>
      </c>
      <c r="H808" s="11" t="s">
        <v>22</v>
      </c>
      <c r="I808" s="12" t="n">
        <v>30</v>
      </c>
      <c r="J808" s="13" t="n">
        <v>175</v>
      </c>
      <c r="K808" s="14" t="n">
        <f aca="false">I808*J808</f>
        <v>5250</v>
      </c>
      <c r="L808" s="14" t="n">
        <f aca="false">($L$2*M808)/100</f>
        <v>360499.95</v>
      </c>
      <c r="M808" s="15" t="n">
        <v>0.3</v>
      </c>
      <c r="N808" s="9" t="s">
        <v>20</v>
      </c>
    </row>
    <row r="809" customFormat="false" ht="14.25" hidden="false" customHeight="true" outlineLevel="0" collapsed="false">
      <c r="B809" s="9" t="s">
        <v>16</v>
      </c>
      <c r="C809" s="9" t="n">
        <v>1185732</v>
      </c>
      <c r="D809" s="10" t="n">
        <v>44136</v>
      </c>
      <c r="E809" s="9" t="s">
        <v>38</v>
      </c>
      <c r="F809" s="9" t="s">
        <v>53</v>
      </c>
      <c r="G809" s="9" t="s">
        <v>54</v>
      </c>
      <c r="H809" s="11" t="s">
        <v>23</v>
      </c>
      <c r="I809" s="12" t="n">
        <v>35</v>
      </c>
      <c r="J809" s="13" t="n">
        <v>25</v>
      </c>
      <c r="K809" s="14" t="n">
        <f aca="false">I809*J809</f>
        <v>875</v>
      </c>
      <c r="L809" s="14" t="n">
        <f aca="false">($L$2*M809)/100</f>
        <v>420583.275</v>
      </c>
      <c r="M809" s="15" t="n">
        <v>0.35</v>
      </c>
      <c r="N809" s="9" t="s">
        <v>20</v>
      </c>
    </row>
    <row r="810" customFormat="false" ht="14.25" hidden="false" customHeight="true" outlineLevel="0" collapsed="false">
      <c r="B810" s="9" t="s">
        <v>16</v>
      </c>
      <c r="C810" s="9" t="n">
        <v>1185732</v>
      </c>
      <c r="D810" s="10" t="n">
        <v>44137</v>
      </c>
      <c r="E810" s="9" t="s">
        <v>38</v>
      </c>
      <c r="F810" s="9" t="s">
        <v>53</v>
      </c>
      <c r="G810" s="9" t="s">
        <v>54</v>
      </c>
      <c r="H810" s="11" t="s">
        <v>24</v>
      </c>
      <c r="I810" s="12" t="n">
        <v>50</v>
      </c>
      <c r="J810" s="13" t="n">
        <v>75</v>
      </c>
      <c r="K810" s="14" t="n">
        <f aca="false">I810*J810</f>
        <v>3750</v>
      </c>
      <c r="L810" s="14" t="n">
        <f aca="false">($L$2*M810)/100</f>
        <v>360499.95</v>
      </c>
      <c r="M810" s="15" t="n">
        <v>0.3</v>
      </c>
      <c r="N810" s="9" t="s">
        <v>20</v>
      </c>
    </row>
    <row r="811" customFormat="false" ht="14.25" hidden="false" customHeight="true" outlineLevel="0" collapsed="false">
      <c r="B811" s="9" t="s">
        <v>16</v>
      </c>
      <c r="C811" s="9" t="n">
        <v>1185732</v>
      </c>
      <c r="D811" s="10" t="n">
        <v>44138</v>
      </c>
      <c r="E811" s="9" t="s">
        <v>38</v>
      </c>
      <c r="F811" s="9" t="s">
        <v>53</v>
      </c>
      <c r="G811" s="9" t="s">
        <v>54</v>
      </c>
      <c r="H811" s="11" t="s">
        <v>25</v>
      </c>
      <c r="I811" s="12" t="n">
        <v>40</v>
      </c>
      <c r="J811" s="13" t="n">
        <v>175</v>
      </c>
      <c r="K811" s="14" t="n">
        <f aca="false">I811*J811</f>
        <v>7000</v>
      </c>
      <c r="L811" s="14" t="n">
        <f aca="false">($L$2*M811)/100</f>
        <v>540749.925</v>
      </c>
      <c r="M811" s="15" t="n">
        <v>0.45</v>
      </c>
      <c r="N811" s="9" t="s">
        <v>20</v>
      </c>
    </row>
    <row r="812" customFormat="false" ht="14.25" hidden="false" customHeight="true" outlineLevel="0" collapsed="false">
      <c r="B812" s="9" t="s">
        <v>16</v>
      </c>
      <c r="C812" s="9" t="n">
        <v>1185732</v>
      </c>
      <c r="D812" s="10" t="n">
        <v>44139</v>
      </c>
      <c r="E812" s="9" t="s">
        <v>38</v>
      </c>
      <c r="F812" s="9" t="s">
        <v>53</v>
      </c>
      <c r="G812" s="9" t="s">
        <v>54</v>
      </c>
      <c r="H812" s="11" t="s">
        <v>19</v>
      </c>
      <c r="I812" s="12" t="n">
        <v>40</v>
      </c>
      <c r="J812" s="13" t="n">
        <v>400</v>
      </c>
      <c r="K812" s="14" t="n">
        <f aca="false">I812*J812</f>
        <v>16000</v>
      </c>
      <c r="L812" s="14" t="n">
        <f aca="false">($L$2*M812)/100</f>
        <v>420583.275</v>
      </c>
      <c r="M812" s="15" t="n">
        <v>0.35</v>
      </c>
      <c r="N812" s="9" t="s">
        <v>20</v>
      </c>
    </row>
    <row r="813" customFormat="false" ht="14.25" hidden="false" customHeight="true" outlineLevel="0" collapsed="false">
      <c r="B813" s="9" t="s">
        <v>16</v>
      </c>
      <c r="C813" s="9" t="n">
        <v>1185732</v>
      </c>
      <c r="D813" s="10" t="n">
        <v>44140</v>
      </c>
      <c r="E813" s="9" t="s">
        <v>38</v>
      </c>
      <c r="F813" s="9" t="s">
        <v>53</v>
      </c>
      <c r="G813" s="9" t="s">
        <v>54</v>
      </c>
      <c r="H813" s="11" t="s">
        <v>21</v>
      </c>
      <c r="I813" s="12" t="n">
        <v>40</v>
      </c>
      <c r="J813" s="13" t="n">
        <v>100</v>
      </c>
      <c r="K813" s="14" t="n">
        <f aca="false">I813*J813</f>
        <v>4000</v>
      </c>
      <c r="L813" s="14" t="n">
        <f aca="false">($L$2*M813)/100</f>
        <v>360499.95</v>
      </c>
      <c r="M813" s="15" t="n">
        <v>0.3</v>
      </c>
      <c r="N813" s="9" t="s">
        <v>20</v>
      </c>
    </row>
    <row r="814" customFormat="false" ht="14.25" hidden="false" customHeight="true" outlineLevel="0" collapsed="false">
      <c r="B814" s="9" t="s">
        <v>16</v>
      </c>
      <c r="C814" s="9" t="n">
        <v>1185732</v>
      </c>
      <c r="D814" s="10" t="n">
        <v>44141</v>
      </c>
      <c r="E814" s="9" t="s">
        <v>38</v>
      </c>
      <c r="F814" s="9" t="s">
        <v>53</v>
      </c>
      <c r="G814" s="9" t="s">
        <v>54</v>
      </c>
      <c r="H814" s="11" t="s">
        <v>22</v>
      </c>
      <c r="I814" s="12" t="n">
        <v>30</v>
      </c>
      <c r="J814" s="13" t="n">
        <v>100</v>
      </c>
      <c r="K814" s="14" t="n">
        <f aca="false">I814*J814</f>
        <v>3000</v>
      </c>
      <c r="L814" s="14" t="n">
        <f aca="false">($L$2*M814)/100</f>
        <v>360499.95</v>
      </c>
      <c r="M814" s="15" t="n">
        <v>0.3</v>
      </c>
      <c r="N814" s="9" t="s">
        <v>20</v>
      </c>
    </row>
    <row r="815" customFormat="false" ht="14.25" hidden="false" customHeight="true" outlineLevel="0" collapsed="false">
      <c r="B815" s="9" t="s">
        <v>16</v>
      </c>
      <c r="C815" s="9" t="n">
        <v>1185732</v>
      </c>
      <c r="D815" s="10" t="n">
        <v>44142</v>
      </c>
      <c r="E815" s="9" t="s">
        <v>38</v>
      </c>
      <c r="F815" s="9" t="s">
        <v>53</v>
      </c>
      <c r="G815" s="9" t="s">
        <v>54</v>
      </c>
      <c r="H815" s="11" t="s">
        <v>23</v>
      </c>
      <c r="I815" s="12" t="n">
        <v>35</v>
      </c>
      <c r="J815" s="13" t="n">
        <v>25</v>
      </c>
      <c r="K815" s="14" t="n">
        <f aca="false">I815*J815</f>
        <v>875</v>
      </c>
      <c r="L815" s="14" t="n">
        <f aca="false">($L$2*M815)/100</f>
        <v>420583.275</v>
      </c>
      <c r="M815" s="15" t="n">
        <v>0.35</v>
      </c>
      <c r="N815" s="9" t="s">
        <v>20</v>
      </c>
    </row>
    <row r="816" customFormat="false" ht="14.25" hidden="false" customHeight="true" outlineLevel="0" collapsed="false">
      <c r="B816" s="9" t="s">
        <v>16</v>
      </c>
      <c r="C816" s="9" t="n">
        <v>1185732</v>
      </c>
      <c r="D816" s="10" t="n">
        <v>44143</v>
      </c>
      <c r="E816" s="9" t="s">
        <v>38</v>
      </c>
      <c r="F816" s="9" t="s">
        <v>53</v>
      </c>
      <c r="G816" s="9" t="s">
        <v>54</v>
      </c>
      <c r="H816" s="11" t="s">
        <v>24</v>
      </c>
      <c r="I816" s="12" t="n">
        <v>50</v>
      </c>
      <c r="J816" s="13" t="n">
        <v>50</v>
      </c>
      <c r="K816" s="14" t="n">
        <f aca="false">I816*J816</f>
        <v>2500</v>
      </c>
      <c r="L816" s="14" t="n">
        <f aca="false">($L$2*M816)/100</f>
        <v>360499.95</v>
      </c>
      <c r="M816" s="15" t="n">
        <v>0.3</v>
      </c>
      <c r="N816" s="9" t="s">
        <v>20</v>
      </c>
    </row>
    <row r="817" customFormat="false" ht="14.25" hidden="false" customHeight="true" outlineLevel="0" collapsed="false">
      <c r="B817" s="9" t="s">
        <v>16</v>
      </c>
      <c r="C817" s="9" t="n">
        <v>1185732</v>
      </c>
      <c r="D817" s="10" t="n">
        <v>44144</v>
      </c>
      <c r="E817" s="9" t="s">
        <v>38</v>
      </c>
      <c r="F817" s="9" t="s">
        <v>53</v>
      </c>
      <c r="G817" s="9" t="s">
        <v>54</v>
      </c>
      <c r="H817" s="11" t="s">
        <v>25</v>
      </c>
      <c r="I817" s="12" t="n">
        <v>40</v>
      </c>
      <c r="J817" s="13" t="n">
        <v>175</v>
      </c>
      <c r="K817" s="14" t="n">
        <f aca="false">I817*J817</f>
        <v>7000</v>
      </c>
      <c r="L817" s="14" t="n">
        <f aca="false">($L$2*M817)/100</f>
        <v>540749.925</v>
      </c>
      <c r="M817" s="15" t="n">
        <v>0.45</v>
      </c>
      <c r="N817" s="9" t="s">
        <v>20</v>
      </c>
    </row>
    <row r="818" customFormat="false" ht="14.25" hidden="false" customHeight="true" outlineLevel="0" collapsed="false">
      <c r="B818" s="9" t="s">
        <v>16</v>
      </c>
      <c r="C818" s="9" t="n">
        <v>1185732</v>
      </c>
      <c r="D818" s="10" t="n">
        <v>44145</v>
      </c>
      <c r="E818" s="9" t="s">
        <v>38</v>
      </c>
      <c r="F818" s="9" t="s">
        <v>53</v>
      </c>
      <c r="G818" s="9" t="s">
        <v>54</v>
      </c>
      <c r="H818" s="11" t="s">
        <v>19</v>
      </c>
      <c r="I818" s="12" t="n">
        <v>50</v>
      </c>
      <c r="J818" s="13" t="n">
        <v>445</v>
      </c>
      <c r="K818" s="14" t="n">
        <f aca="false">I818*J818</f>
        <v>22250</v>
      </c>
      <c r="L818" s="14" t="n">
        <f aca="false">($L$2*M818)/100</f>
        <v>420583.275</v>
      </c>
      <c r="M818" s="15" t="n">
        <v>0.35</v>
      </c>
      <c r="N818" s="9" t="s">
        <v>20</v>
      </c>
    </row>
    <row r="819" customFormat="false" ht="14.25" hidden="false" customHeight="true" outlineLevel="0" collapsed="false">
      <c r="B819" s="9" t="s">
        <v>16</v>
      </c>
      <c r="C819" s="9" t="n">
        <v>1185732</v>
      </c>
      <c r="D819" s="10" t="n">
        <v>44146</v>
      </c>
      <c r="E819" s="9" t="s">
        <v>38</v>
      </c>
      <c r="F819" s="9" t="s">
        <v>53</v>
      </c>
      <c r="G819" s="9" t="s">
        <v>54</v>
      </c>
      <c r="H819" s="11" t="s">
        <v>21</v>
      </c>
      <c r="I819" s="12" t="n">
        <v>45</v>
      </c>
      <c r="J819" s="13" t="n">
        <v>150</v>
      </c>
      <c r="K819" s="14" t="n">
        <f aca="false">I819*J819</f>
        <v>6750</v>
      </c>
      <c r="L819" s="14" t="n">
        <f aca="false">($L$2*M819)/100</f>
        <v>360499.95</v>
      </c>
      <c r="M819" s="15" t="n">
        <v>0.3</v>
      </c>
      <c r="N819" s="9" t="s">
        <v>20</v>
      </c>
    </row>
    <row r="820" customFormat="false" ht="14.25" hidden="false" customHeight="true" outlineLevel="0" collapsed="false">
      <c r="B820" s="9" t="s">
        <v>16</v>
      </c>
      <c r="C820" s="9" t="n">
        <v>1185732</v>
      </c>
      <c r="D820" s="10" t="n">
        <v>44147</v>
      </c>
      <c r="E820" s="9" t="s">
        <v>38</v>
      </c>
      <c r="F820" s="9" t="s">
        <v>53</v>
      </c>
      <c r="G820" s="9" t="s">
        <v>54</v>
      </c>
      <c r="H820" s="11" t="s">
        <v>22</v>
      </c>
      <c r="I820" s="12" t="n">
        <v>40</v>
      </c>
      <c r="J820" s="13" t="n">
        <v>125</v>
      </c>
      <c r="K820" s="14" t="n">
        <f aca="false">I820*J820</f>
        <v>5000</v>
      </c>
      <c r="L820" s="14" t="n">
        <f aca="false">($L$2*M820)/100</f>
        <v>360499.95</v>
      </c>
      <c r="M820" s="15" t="n">
        <v>0.3</v>
      </c>
      <c r="N820" s="9" t="s">
        <v>20</v>
      </c>
    </row>
    <row r="821" customFormat="false" ht="14.25" hidden="false" customHeight="true" outlineLevel="0" collapsed="false">
      <c r="B821" s="9" t="s">
        <v>16</v>
      </c>
      <c r="C821" s="9" t="n">
        <v>1185732</v>
      </c>
      <c r="D821" s="10" t="n">
        <v>44148</v>
      </c>
      <c r="E821" s="9" t="s">
        <v>38</v>
      </c>
      <c r="F821" s="9" t="s">
        <v>53</v>
      </c>
      <c r="G821" s="9" t="s">
        <v>54</v>
      </c>
      <c r="H821" s="11" t="s">
        <v>23</v>
      </c>
      <c r="I821" s="12" t="n">
        <v>40</v>
      </c>
      <c r="J821" s="13" t="n">
        <v>50</v>
      </c>
      <c r="K821" s="14" t="n">
        <f aca="false">I821*J821</f>
        <v>2000</v>
      </c>
      <c r="L821" s="14" t="n">
        <f aca="false">($L$2*M821)/100</f>
        <v>420583.275</v>
      </c>
      <c r="M821" s="15" t="n">
        <v>0.35</v>
      </c>
      <c r="N821" s="9" t="s">
        <v>20</v>
      </c>
    </row>
    <row r="822" customFormat="false" ht="14.25" hidden="false" customHeight="true" outlineLevel="0" collapsed="false">
      <c r="B822" s="9" t="s">
        <v>16</v>
      </c>
      <c r="C822" s="9" t="n">
        <v>1185732</v>
      </c>
      <c r="D822" s="10" t="n">
        <v>44149</v>
      </c>
      <c r="E822" s="9" t="s">
        <v>38</v>
      </c>
      <c r="F822" s="9" t="s">
        <v>53</v>
      </c>
      <c r="G822" s="9" t="s">
        <v>54</v>
      </c>
      <c r="H822" s="11" t="s">
        <v>24</v>
      </c>
      <c r="I822" s="12" t="n">
        <v>55</v>
      </c>
      <c r="J822" s="13" t="n">
        <v>75</v>
      </c>
      <c r="K822" s="14" t="n">
        <f aca="false">I822*J822</f>
        <v>4125</v>
      </c>
      <c r="L822" s="14" t="n">
        <f aca="false">($L$2*M822)/100</f>
        <v>360499.95</v>
      </c>
      <c r="M822" s="15" t="n">
        <v>0.3</v>
      </c>
      <c r="N822" s="9" t="s">
        <v>20</v>
      </c>
    </row>
    <row r="823" customFormat="false" ht="14.25" hidden="false" customHeight="true" outlineLevel="0" collapsed="false">
      <c r="B823" s="9" t="s">
        <v>16</v>
      </c>
      <c r="C823" s="9" t="n">
        <v>1185732</v>
      </c>
      <c r="D823" s="10" t="n">
        <v>44150</v>
      </c>
      <c r="E823" s="9" t="s">
        <v>38</v>
      </c>
      <c r="F823" s="9" t="s">
        <v>53</v>
      </c>
      <c r="G823" s="9" t="s">
        <v>54</v>
      </c>
      <c r="H823" s="11" t="s">
        <v>25</v>
      </c>
      <c r="I823" s="12" t="n">
        <v>60</v>
      </c>
      <c r="J823" s="13" t="n">
        <v>175</v>
      </c>
      <c r="K823" s="14" t="n">
        <f aca="false">I823*J823</f>
        <v>10500</v>
      </c>
      <c r="L823" s="14" t="n">
        <f aca="false">($L$2*M823)/100</f>
        <v>540749.925</v>
      </c>
      <c r="M823" s="15" t="n">
        <v>0.45</v>
      </c>
      <c r="N823" s="9" t="s">
        <v>20</v>
      </c>
    </row>
    <row r="824" customFormat="false" ht="14.25" hidden="false" customHeight="true" outlineLevel="0" collapsed="false">
      <c r="B824" s="9" t="s">
        <v>16</v>
      </c>
      <c r="C824" s="9" t="n">
        <v>1185732</v>
      </c>
      <c r="D824" s="10" t="n">
        <v>44151</v>
      </c>
      <c r="E824" s="9" t="s">
        <v>38</v>
      </c>
      <c r="F824" s="9" t="s">
        <v>53</v>
      </c>
      <c r="G824" s="9" t="s">
        <v>54</v>
      </c>
      <c r="H824" s="11" t="s">
        <v>19</v>
      </c>
      <c r="I824" s="12" t="n">
        <v>45</v>
      </c>
      <c r="J824" s="13" t="n">
        <v>425</v>
      </c>
      <c r="K824" s="14" t="n">
        <f aca="false">I824*J824</f>
        <v>19125</v>
      </c>
      <c r="L824" s="14" t="n">
        <f aca="false">($L$2*M824)/100</f>
        <v>420583.275</v>
      </c>
      <c r="M824" s="15" t="n">
        <v>0.35</v>
      </c>
      <c r="N824" s="9" t="s">
        <v>26</v>
      </c>
    </row>
    <row r="825" customFormat="false" ht="14.25" hidden="false" customHeight="true" outlineLevel="0" collapsed="false">
      <c r="B825" s="9" t="s">
        <v>16</v>
      </c>
      <c r="C825" s="9" t="n">
        <v>1185732</v>
      </c>
      <c r="D825" s="10" t="n">
        <v>44152</v>
      </c>
      <c r="E825" s="9" t="s">
        <v>38</v>
      </c>
      <c r="F825" s="9" t="s">
        <v>53</v>
      </c>
      <c r="G825" s="9" t="s">
        <v>54</v>
      </c>
      <c r="H825" s="11" t="s">
        <v>21</v>
      </c>
      <c r="I825" s="12" t="n">
        <v>40</v>
      </c>
      <c r="J825" s="13" t="n">
        <v>175</v>
      </c>
      <c r="K825" s="14" t="n">
        <f aca="false">I825*J825</f>
        <v>7000</v>
      </c>
      <c r="L825" s="14" t="n">
        <f aca="false">($L$2*M825)/100</f>
        <v>360499.95</v>
      </c>
      <c r="M825" s="15" t="n">
        <v>0.3</v>
      </c>
      <c r="N825" s="9" t="s">
        <v>26</v>
      </c>
    </row>
    <row r="826" customFormat="false" ht="14.25" hidden="false" customHeight="true" outlineLevel="0" collapsed="false">
      <c r="B826" s="9" t="s">
        <v>16</v>
      </c>
      <c r="C826" s="9" t="n">
        <v>1185732</v>
      </c>
      <c r="D826" s="10" t="n">
        <v>44153</v>
      </c>
      <c r="E826" s="9" t="s">
        <v>38</v>
      </c>
      <c r="F826" s="9" t="s">
        <v>53</v>
      </c>
      <c r="G826" s="9" t="s">
        <v>54</v>
      </c>
      <c r="H826" s="11" t="s">
        <v>22</v>
      </c>
      <c r="I826" s="12" t="n">
        <v>35</v>
      </c>
      <c r="J826" s="13" t="n">
        <v>175</v>
      </c>
      <c r="K826" s="14" t="n">
        <f aca="false">I826*J826</f>
        <v>6125</v>
      </c>
      <c r="L826" s="14" t="n">
        <f aca="false">($L$2*M826)/100</f>
        <v>360499.95</v>
      </c>
      <c r="M826" s="15" t="n">
        <v>0.3</v>
      </c>
      <c r="N826" s="9" t="s">
        <v>26</v>
      </c>
    </row>
    <row r="827" customFormat="false" ht="14.25" hidden="false" customHeight="true" outlineLevel="0" collapsed="false">
      <c r="B827" s="9" t="s">
        <v>16</v>
      </c>
      <c r="C827" s="9" t="n">
        <v>1185732</v>
      </c>
      <c r="D827" s="10" t="n">
        <v>44154</v>
      </c>
      <c r="E827" s="9" t="s">
        <v>38</v>
      </c>
      <c r="F827" s="9" t="s">
        <v>53</v>
      </c>
      <c r="G827" s="9" t="s">
        <v>54</v>
      </c>
      <c r="H827" s="11" t="s">
        <v>23</v>
      </c>
      <c r="I827" s="12" t="n">
        <v>35</v>
      </c>
      <c r="J827" s="13" t="n">
        <v>150</v>
      </c>
      <c r="K827" s="14" t="n">
        <f aca="false">I827*J827</f>
        <v>5250</v>
      </c>
      <c r="L827" s="14" t="n">
        <f aca="false">($L$2*M827)/100</f>
        <v>420583.275</v>
      </c>
      <c r="M827" s="15" t="n">
        <v>0.35</v>
      </c>
      <c r="N827" s="9" t="s">
        <v>26</v>
      </c>
    </row>
    <row r="828" customFormat="false" ht="14.25" hidden="false" customHeight="true" outlineLevel="0" collapsed="false">
      <c r="B828" s="9" t="s">
        <v>16</v>
      </c>
      <c r="C828" s="9" t="n">
        <v>1185732</v>
      </c>
      <c r="D828" s="10" t="n">
        <v>44155</v>
      </c>
      <c r="E828" s="9" t="s">
        <v>38</v>
      </c>
      <c r="F828" s="9" t="s">
        <v>53</v>
      </c>
      <c r="G828" s="9" t="s">
        <v>54</v>
      </c>
      <c r="H828" s="11" t="s">
        <v>24</v>
      </c>
      <c r="I828" s="12" t="n">
        <v>50</v>
      </c>
      <c r="J828" s="13" t="n">
        <v>150</v>
      </c>
      <c r="K828" s="14" t="n">
        <f aca="false">I828*J828</f>
        <v>7500</v>
      </c>
      <c r="L828" s="14" t="n">
        <f aca="false">($L$2*M828)/100</f>
        <v>360499.95</v>
      </c>
      <c r="M828" s="15" t="n">
        <v>0.3</v>
      </c>
      <c r="N828" s="9" t="s">
        <v>26</v>
      </c>
    </row>
    <row r="829" customFormat="false" ht="14.25" hidden="false" customHeight="true" outlineLevel="0" collapsed="false">
      <c r="B829" s="9" t="s">
        <v>16</v>
      </c>
      <c r="C829" s="9" t="n">
        <v>1185732</v>
      </c>
      <c r="D829" s="10" t="n">
        <v>44156</v>
      </c>
      <c r="E829" s="9" t="s">
        <v>38</v>
      </c>
      <c r="F829" s="9" t="s">
        <v>53</v>
      </c>
      <c r="G829" s="9" t="s">
        <v>54</v>
      </c>
      <c r="H829" s="11" t="s">
        <v>25</v>
      </c>
      <c r="I829" s="12" t="n">
        <v>55</v>
      </c>
      <c r="J829" s="13" t="n">
        <v>325</v>
      </c>
      <c r="K829" s="14" t="n">
        <f aca="false">I829*J829</f>
        <v>17875</v>
      </c>
      <c r="L829" s="14" t="n">
        <f aca="false">($L$2*M829)/100</f>
        <v>540749.925</v>
      </c>
      <c r="M829" s="15" t="n">
        <v>0.45</v>
      </c>
      <c r="N829" s="9" t="s">
        <v>26</v>
      </c>
    </row>
    <row r="830" customFormat="false" ht="14.25" hidden="false" customHeight="true" outlineLevel="0" collapsed="false">
      <c r="B830" s="9" t="s">
        <v>16</v>
      </c>
      <c r="C830" s="9" t="n">
        <v>1185732</v>
      </c>
      <c r="D830" s="10" t="n">
        <v>44157</v>
      </c>
      <c r="E830" s="9" t="s">
        <v>38</v>
      </c>
      <c r="F830" s="9" t="s">
        <v>53</v>
      </c>
      <c r="G830" s="9" t="s">
        <v>54</v>
      </c>
      <c r="H830" s="11" t="s">
        <v>19</v>
      </c>
      <c r="I830" s="12" t="n">
        <v>50</v>
      </c>
      <c r="J830" s="13" t="n">
        <v>550</v>
      </c>
      <c r="K830" s="14" t="n">
        <f aca="false">I830*J830</f>
        <v>27500</v>
      </c>
      <c r="L830" s="14" t="n">
        <f aca="false">($L$2*M830)/100</f>
        <v>420583.275</v>
      </c>
      <c r="M830" s="15" t="n">
        <v>0.35</v>
      </c>
      <c r="N830" s="9" t="s">
        <v>26</v>
      </c>
    </row>
    <row r="831" customFormat="false" ht="14.25" hidden="false" customHeight="true" outlineLevel="0" collapsed="false">
      <c r="B831" s="9" t="s">
        <v>16</v>
      </c>
      <c r="C831" s="9" t="n">
        <v>1185732</v>
      </c>
      <c r="D831" s="10" t="n">
        <v>44158</v>
      </c>
      <c r="E831" s="9" t="s">
        <v>38</v>
      </c>
      <c r="F831" s="9" t="s">
        <v>53</v>
      </c>
      <c r="G831" s="9" t="s">
        <v>54</v>
      </c>
      <c r="H831" s="11" t="s">
        <v>21</v>
      </c>
      <c r="I831" s="12" t="n">
        <v>45</v>
      </c>
      <c r="J831" s="13" t="n">
        <v>300</v>
      </c>
      <c r="K831" s="14" t="n">
        <f aca="false">I831*J831</f>
        <v>13500</v>
      </c>
      <c r="L831" s="14" t="n">
        <f aca="false">($L$2*M831)/100</f>
        <v>360499.95</v>
      </c>
      <c r="M831" s="15" t="n">
        <v>0.3</v>
      </c>
      <c r="N831" s="9" t="s">
        <v>26</v>
      </c>
    </row>
    <row r="832" customFormat="false" ht="14.25" hidden="false" customHeight="true" outlineLevel="0" collapsed="false">
      <c r="B832" s="9" t="s">
        <v>16</v>
      </c>
      <c r="C832" s="9" t="n">
        <v>1185732</v>
      </c>
      <c r="D832" s="10" t="n">
        <v>44159</v>
      </c>
      <c r="E832" s="9" t="s">
        <v>38</v>
      </c>
      <c r="F832" s="9" t="s">
        <v>53</v>
      </c>
      <c r="G832" s="9" t="s">
        <v>54</v>
      </c>
      <c r="H832" s="11" t="s">
        <v>22</v>
      </c>
      <c r="I832" s="12" t="n">
        <v>40</v>
      </c>
      <c r="J832" s="13" t="n">
        <v>225</v>
      </c>
      <c r="K832" s="14" t="n">
        <f aca="false">I832*J832</f>
        <v>9000</v>
      </c>
      <c r="L832" s="14" t="n">
        <f aca="false">($L$2*M832)/100</f>
        <v>360499.95</v>
      </c>
      <c r="M832" s="15" t="n">
        <v>0.3</v>
      </c>
      <c r="N832" s="9" t="s">
        <v>26</v>
      </c>
    </row>
    <row r="833" customFormat="false" ht="14.25" hidden="false" customHeight="true" outlineLevel="0" collapsed="false">
      <c r="B833" s="9" t="s">
        <v>16</v>
      </c>
      <c r="C833" s="9" t="n">
        <v>1185732</v>
      </c>
      <c r="D833" s="10" t="n">
        <v>44160</v>
      </c>
      <c r="E833" s="9" t="s">
        <v>38</v>
      </c>
      <c r="F833" s="9" t="s">
        <v>53</v>
      </c>
      <c r="G833" s="9" t="s">
        <v>54</v>
      </c>
      <c r="H833" s="11" t="s">
        <v>23</v>
      </c>
      <c r="I833" s="12" t="n">
        <v>40</v>
      </c>
      <c r="J833" s="13" t="n">
        <v>175</v>
      </c>
      <c r="K833" s="14" t="n">
        <f aca="false">I833*J833</f>
        <v>7000</v>
      </c>
      <c r="L833" s="14" t="n">
        <f aca="false">($L$2*M833)/100</f>
        <v>420583.275</v>
      </c>
      <c r="M833" s="15" t="n">
        <v>0.35</v>
      </c>
      <c r="N833" s="9" t="s">
        <v>26</v>
      </c>
    </row>
    <row r="834" customFormat="false" ht="14.25" hidden="false" customHeight="true" outlineLevel="0" collapsed="false">
      <c r="B834" s="9" t="s">
        <v>16</v>
      </c>
      <c r="C834" s="9" t="n">
        <v>1185732</v>
      </c>
      <c r="D834" s="10" t="n">
        <v>44161</v>
      </c>
      <c r="E834" s="9" t="s">
        <v>38</v>
      </c>
      <c r="F834" s="9" t="s">
        <v>53</v>
      </c>
      <c r="G834" s="9" t="s">
        <v>54</v>
      </c>
      <c r="H834" s="11" t="s">
        <v>24</v>
      </c>
      <c r="I834" s="12" t="n">
        <v>50</v>
      </c>
      <c r="J834" s="13" t="n">
        <v>200</v>
      </c>
      <c r="K834" s="14" t="n">
        <f aca="false">I834*J834</f>
        <v>10000</v>
      </c>
      <c r="L834" s="14" t="n">
        <f aca="false">($L$2*M834)/100</f>
        <v>360499.95</v>
      </c>
      <c r="M834" s="15" t="n">
        <v>0.3</v>
      </c>
      <c r="N834" s="9" t="s">
        <v>26</v>
      </c>
    </row>
    <row r="835" customFormat="false" ht="14.25" hidden="false" customHeight="true" outlineLevel="0" collapsed="false">
      <c r="B835" s="9" t="s">
        <v>16</v>
      </c>
      <c r="C835" s="9" t="n">
        <v>1185732</v>
      </c>
      <c r="D835" s="10" t="n">
        <v>44162</v>
      </c>
      <c r="E835" s="9" t="s">
        <v>38</v>
      </c>
      <c r="F835" s="9" t="s">
        <v>53</v>
      </c>
      <c r="G835" s="9" t="s">
        <v>54</v>
      </c>
      <c r="H835" s="11" t="s">
        <v>25</v>
      </c>
      <c r="I835" s="12" t="n">
        <v>55</v>
      </c>
      <c r="J835" s="13" t="n">
        <v>375</v>
      </c>
      <c r="K835" s="14" t="n">
        <f aca="false">I835*J835</f>
        <v>20625</v>
      </c>
      <c r="L835" s="14" t="n">
        <f aca="false">($L$2*M835)/100</f>
        <v>540749.925</v>
      </c>
      <c r="M835" s="15" t="n">
        <v>0.45</v>
      </c>
      <c r="N835" s="9" t="s">
        <v>26</v>
      </c>
    </row>
    <row r="836" customFormat="false" ht="14.25" hidden="false" customHeight="true" outlineLevel="0" collapsed="false">
      <c r="B836" s="9" t="s">
        <v>16</v>
      </c>
      <c r="C836" s="9" t="n">
        <v>1185732</v>
      </c>
      <c r="D836" s="10" t="n">
        <v>44163</v>
      </c>
      <c r="E836" s="9" t="s">
        <v>38</v>
      </c>
      <c r="F836" s="9" t="s">
        <v>53</v>
      </c>
      <c r="G836" s="9" t="s">
        <v>54</v>
      </c>
      <c r="H836" s="11" t="s">
        <v>19</v>
      </c>
      <c r="I836" s="12" t="n">
        <v>50</v>
      </c>
      <c r="J836" s="13" t="n">
        <v>525</v>
      </c>
      <c r="K836" s="14" t="n">
        <f aca="false">I836*J836</f>
        <v>26250</v>
      </c>
      <c r="L836" s="14" t="n">
        <f aca="false">($L$2*M836)/100</f>
        <v>420583.275</v>
      </c>
      <c r="M836" s="15" t="n">
        <v>0.35</v>
      </c>
      <c r="N836" s="9" t="s">
        <v>26</v>
      </c>
    </row>
    <row r="837" customFormat="false" ht="14.25" hidden="false" customHeight="true" outlineLevel="0" collapsed="false">
      <c r="B837" s="9" t="s">
        <v>16</v>
      </c>
      <c r="C837" s="9" t="n">
        <v>1185732</v>
      </c>
      <c r="D837" s="10" t="n">
        <v>44164</v>
      </c>
      <c r="E837" s="9" t="s">
        <v>38</v>
      </c>
      <c r="F837" s="9" t="s">
        <v>53</v>
      </c>
      <c r="G837" s="9" t="s">
        <v>54</v>
      </c>
      <c r="H837" s="11" t="s">
        <v>21</v>
      </c>
      <c r="I837" s="12" t="n">
        <v>45</v>
      </c>
      <c r="J837" s="13" t="n">
        <v>300</v>
      </c>
      <c r="K837" s="14" t="n">
        <f aca="false">I837*J837</f>
        <v>13500</v>
      </c>
      <c r="L837" s="14" t="n">
        <f aca="false">($L$2*M837)/100</f>
        <v>360499.95</v>
      </c>
      <c r="M837" s="15" t="n">
        <v>0.3</v>
      </c>
      <c r="N837" s="9" t="s">
        <v>26</v>
      </c>
    </row>
    <row r="838" customFormat="false" ht="14.25" hidden="false" customHeight="true" outlineLevel="0" collapsed="false">
      <c r="B838" s="9" t="s">
        <v>16</v>
      </c>
      <c r="C838" s="9" t="n">
        <v>1185732</v>
      </c>
      <c r="D838" s="10" t="n">
        <v>44165</v>
      </c>
      <c r="E838" s="9" t="s">
        <v>38</v>
      </c>
      <c r="F838" s="9" t="s">
        <v>53</v>
      </c>
      <c r="G838" s="9" t="s">
        <v>54</v>
      </c>
      <c r="H838" s="11" t="s">
        <v>22</v>
      </c>
      <c r="I838" s="12" t="n">
        <v>40</v>
      </c>
      <c r="J838" s="13" t="n">
        <v>225</v>
      </c>
      <c r="K838" s="14" t="n">
        <f aca="false">I838*J838</f>
        <v>9000</v>
      </c>
      <c r="L838" s="14" t="n">
        <f aca="false">($L$2*M838)/100</f>
        <v>360499.95</v>
      </c>
      <c r="M838" s="15" t="n">
        <v>0.3</v>
      </c>
      <c r="N838" s="9" t="s">
        <v>26</v>
      </c>
    </row>
    <row r="839" customFormat="false" ht="14.25" hidden="false" customHeight="true" outlineLevel="0" collapsed="false">
      <c r="B839" s="9" t="s">
        <v>16</v>
      </c>
      <c r="C839" s="9" t="n">
        <v>1185732</v>
      </c>
      <c r="D839" s="10" t="n">
        <v>44166</v>
      </c>
      <c r="E839" s="9" t="s">
        <v>38</v>
      </c>
      <c r="F839" s="9" t="s">
        <v>53</v>
      </c>
      <c r="G839" s="9" t="s">
        <v>54</v>
      </c>
      <c r="H839" s="11" t="s">
        <v>23</v>
      </c>
      <c r="I839" s="12" t="n">
        <v>35</v>
      </c>
      <c r="J839" s="13" t="n">
        <v>175</v>
      </c>
      <c r="K839" s="14" t="n">
        <f aca="false">I839*J839</f>
        <v>6125</v>
      </c>
      <c r="L839" s="14" t="n">
        <f aca="false">($L$2*M839)/100</f>
        <v>420583.275</v>
      </c>
      <c r="M839" s="15" t="n">
        <v>0.35</v>
      </c>
      <c r="N839" s="9" t="s">
        <v>26</v>
      </c>
    </row>
    <row r="840" customFormat="false" ht="14.25" hidden="false" customHeight="true" outlineLevel="0" collapsed="false">
      <c r="B840" s="9" t="s">
        <v>16</v>
      </c>
      <c r="C840" s="9" t="n">
        <v>1185732</v>
      </c>
      <c r="D840" s="10" t="n">
        <v>44167</v>
      </c>
      <c r="E840" s="9" t="s">
        <v>38</v>
      </c>
      <c r="F840" s="9" t="s">
        <v>53</v>
      </c>
      <c r="G840" s="9" t="s">
        <v>54</v>
      </c>
      <c r="H840" s="11" t="s">
        <v>24</v>
      </c>
      <c r="I840" s="12" t="n">
        <v>45</v>
      </c>
      <c r="J840" s="13" t="n">
        <v>150</v>
      </c>
      <c r="K840" s="14" t="n">
        <f aca="false">I840*J840</f>
        <v>6750</v>
      </c>
      <c r="L840" s="14" t="n">
        <f aca="false">($L$2*M840)/100</f>
        <v>360499.95</v>
      </c>
      <c r="M840" s="15" t="n">
        <v>0.3</v>
      </c>
      <c r="N840" s="9" t="s">
        <v>26</v>
      </c>
    </row>
    <row r="841" customFormat="false" ht="14.25" hidden="false" customHeight="true" outlineLevel="0" collapsed="false">
      <c r="B841" s="9" t="s">
        <v>16</v>
      </c>
      <c r="C841" s="9" t="n">
        <v>1185732</v>
      </c>
      <c r="D841" s="10" t="n">
        <v>44168</v>
      </c>
      <c r="E841" s="9" t="s">
        <v>38</v>
      </c>
      <c r="F841" s="9" t="s">
        <v>53</v>
      </c>
      <c r="G841" s="9" t="s">
        <v>54</v>
      </c>
      <c r="H841" s="11" t="s">
        <v>25</v>
      </c>
      <c r="I841" s="12" t="n">
        <v>50</v>
      </c>
      <c r="J841" s="13" t="n">
        <v>325</v>
      </c>
      <c r="K841" s="14" t="n">
        <f aca="false">I841*J841</f>
        <v>16250</v>
      </c>
      <c r="L841" s="14" t="n">
        <f aca="false">($L$2*M841)/100</f>
        <v>540749.925</v>
      </c>
      <c r="M841" s="15" t="n">
        <v>0.45</v>
      </c>
      <c r="N841" s="9" t="s">
        <v>26</v>
      </c>
    </row>
    <row r="842" customFormat="false" ht="14.25" hidden="false" customHeight="true" outlineLevel="0" collapsed="false">
      <c r="B842" s="9" t="s">
        <v>16</v>
      </c>
      <c r="C842" s="9" t="n">
        <v>1185732</v>
      </c>
      <c r="D842" s="10" t="n">
        <v>44169</v>
      </c>
      <c r="E842" s="9" t="s">
        <v>38</v>
      </c>
      <c r="F842" s="9" t="s">
        <v>53</v>
      </c>
      <c r="G842" s="9" t="s">
        <v>54</v>
      </c>
      <c r="H842" s="11" t="s">
        <v>19</v>
      </c>
      <c r="I842" s="12" t="n">
        <v>45</v>
      </c>
      <c r="J842" s="13" t="n">
        <v>450</v>
      </c>
      <c r="K842" s="14" t="n">
        <f aca="false">I842*J842</f>
        <v>20250</v>
      </c>
      <c r="L842" s="14" t="n">
        <f aca="false">($L$2*M842)/100</f>
        <v>420583.275</v>
      </c>
      <c r="M842" s="15" t="n">
        <v>0.35</v>
      </c>
      <c r="N842" s="9" t="s">
        <v>26</v>
      </c>
    </row>
    <row r="843" customFormat="false" ht="14.25" hidden="false" customHeight="true" outlineLevel="0" collapsed="false">
      <c r="B843" s="9" t="s">
        <v>16</v>
      </c>
      <c r="C843" s="9" t="n">
        <v>1185732</v>
      </c>
      <c r="D843" s="10" t="n">
        <v>44170</v>
      </c>
      <c r="E843" s="9" t="s">
        <v>38</v>
      </c>
      <c r="F843" s="9" t="s">
        <v>53</v>
      </c>
      <c r="G843" s="9" t="s">
        <v>54</v>
      </c>
      <c r="H843" s="11" t="s">
        <v>21</v>
      </c>
      <c r="I843" s="12" t="n">
        <v>40</v>
      </c>
      <c r="J843" s="13" t="n">
        <v>250</v>
      </c>
      <c r="K843" s="14" t="n">
        <f aca="false">I843*J843</f>
        <v>10000</v>
      </c>
      <c r="L843" s="14" t="n">
        <f aca="false">($L$2*M843)/100</f>
        <v>360499.95</v>
      </c>
      <c r="M843" s="15" t="n">
        <v>0.3</v>
      </c>
      <c r="N843" s="9" t="s">
        <v>26</v>
      </c>
    </row>
    <row r="844" customFormat="false" ht="14.25" hidden="false" customHeight="true" outlineLevel="0" collapsed="false">
      <c r="B844" s="9" t="s">
        <v>16</v>
      </c>
      <c r="C844" s="9" t="n">
        <v>1185732</v>
      </c>
      <c r="D844" s="10" t="n">
        <v>44171</v>
      </c>
      <c r="E844" s="9" t="s">
        <v>38</v>
      </c>
      <c r="F844" s="9" t="s">
        <v>53</v>
      </c>
      <c r="G844" s="9" t="s">
        <v>54</v>
      </c>
      <c r="H844" s="11" t="s">
        <v>22</v>
      </c>
      <c r="I844" s="12" t="n">
        <v>25</v>
      </c>
      <c r="J844" s="13" t="n">
        <v>150</v>
      </c>
      <c r="K844" s="14" t="n">
        <f aca="false">I844*J844</f>
        <v>3750</v>
      </c>
      <c r="L844" s="14" t="n">
        <f aca="false">($L$2*M844)/100</f>
        <v>360499.95</v>
      </c>
      <c r="M844" s="15" t="n">
        <v>0.3</v>
      </c>
      <c r="N844" s="9" t="s">
        <v>26</v>
      </c>
    </row>
    <row r="845" customFormat="false" ht="14.25" hidden="false" customHeight="true" outlineLevel="0" collapsed="false">
      <c r="B845" s="9" t="s">
        <v>16</v>
      </c>
      <c r="C845" s="9" t="n">
        <v>1185732</v>
      </c>
      <c r="D845" s="10" t="n">
        <v>44172</v>
      </c>
      <c r="E845" s="9" t="s">
        <v>38</v>
      </c>
      <c r="F845" s="9" t="s">
        <v>53</v>
      </c>
      <c r="G845" s="9" t="s">
        <v>54</v>
      </c>
      <c r="H845" s="11" t="s">
        <v>23</v>
      </c>
      <c r="I845" s="12" t="n">
        <v>25</v>
      </c>
      <c r="J845" s="13" t="n">
        <v>125</v>
      </c>
      <c r="K845" s="14" t="n">
        <f aca="false">I845*J845</f>
        <v>3125</v>
      </c>
      <c r="L845" s="14" t="n">
        <f aca="false">($L$2*M845)/100</f>
        <v>420583.275</v>
      </c>
      <c r="M845" s="15" t="n">
        <v>0.35</v>
      </c>
      <c r="N845" s="9" t="s">
        <v>26</v>
      </c>
    </row>
    <row r="846" customFormat="false" ht="14.25" hidden="false" customHeight="true" outlineLevel="0" collapsed="false">
      <c r="B846" s="9" t="s">
        <v>16</v>
      </c>
      <c r="C846" s="9" t="n">
        <v>1185732</v>
      </c>
      <c r="D846" s="10" t="n">
        <v>44173</v>
      </c>
      <c r="E846" s="9" t="s">
        <v>38</v>
      </c>
      <c r="F846" s="9" t="s">
        <v>53</v>
      </c>
      <c r="G846" s="9" t="s">
        <v>54</v>
      </c>
      <c r="H846" s="11" t="s">
        <v>24</v>
      </c>
      <c r="I846" s="12" t="n">
        <v>35</v>
      </c>
      <c r="J846" s="13" t="n">
        <v>125</v>
      </c>
      <c r="K846" s="14" t="n">
        <f aca="false">I846*J846</f>
        <v>4375</v>
      </c>
      <c r="L846" s="14" t="n">
        <f aca="false">($L$2*M846)/100</f>
        <v>360499.95</v>
      </c>
      <c r="M846" s="15" t="n">
        <v>0.3</v>
      </c>
      <c r="N846" s="9" t="s">
        <v>26</v>
      </c>
    </row>
    <row r="847" customFormat="false" ht="14.25" hidden="false" customHeight="true" outlineLevel="0" collapsed="false">
      <c r="B847" s="9" t="s">
        <v>16</v>
      </c>
      <c r="C847" s="9" t="n">
        <v>1185732</v>
      </c>
      <c r="D847" s="10" t="n">
        <v>44174</v>
      </c>
      <c r="E847" s="9" t="s">
        <v>38</v>
      </c>
      <c r="F847" s="9" t="s">
        <v>53</v>
      </c>
      <c r="G847" s="9" t="s">
        <v>54</v>
      </c>
      <c r="H847" s="11" t="s">
        <v>25</v>
      </c>
      <c r="I847" s="12" t="n">
        <v>40</v>
      </c>
      <c r="J847" s="13" t="n">
        <v>200</v>
      </c>
      <c r="K847" s="14" t="n">
        <f aca="false">I847*J847</f>
        <v>8000</v>
      </c>
      <c r="L847" s="14" t="n">
        <f aca="false">($L$2*M847)/100</f>
        <v>540749.925</v>
      </c>
      <c r="M847" s="15" t="n">
        <v>0.45</v>
      </c>
      <c r="N847" s="9" t="s">
        <v>26</v>
      </c>
    </row>
    <row r="848" customFormat="false" ht="14.25" hidden="false" customHeight="true" outlineLevel="0" collapsed="false">
      <c r="B848" s="9" t="s">
        <v>16</v>
      </c>
      <c r="C848" s="9" t="n">
        <v>1185732</v>
      </c>
      <c r="D848" s="10" t="n">
        <v>44175</v>
      </c>
      <c r="E848" s="9" t="s">
        <v>38</v>
      </c>
      <c r="F848" s="9" t="s">
        <v>53</v>
      </c>
      <c r="G848" s="9" t="s">
        <v>54</v>
      </c>
      <c r="H848" s="11" t="s">
        <v>19</v>
      </c>
      <c r="I848" s="12" t="n">
        <v>45</v>
      </c>
      <c r="J848" s="13" t="n">
        <v>375</v>
      </c>
      <c r="K848" s="14" t="n">
        <f aca="false">I848*J848</f>
        <v>16875</v>
      </c>
      <c r="L848" s="14" t="n">
        <f aca="false">($L$2*M848)/100</f>
        <v>420583.275</v>
      </c>
      <c r="M848" s="15" t="n">
        <v>0.35</v>
      </c>
      <c r="N848" s="9" t="s">
        <v>26</v>
      </c>
    </row>
    <row r="849" customFormat="false" ht="14.25" hidden="false" customHeight="true" outlineLevel="0" collapsed="false">
      <c r="B849" s="9" t="s">
        <v>16</v>
      </c>
      <c r="C849" s="9" t="n">
        <v>1185732</v>
      </c>
      <c r="D849" s="10" t="n">
        <v>44176</v>
      </c>
      <c r="E849" s="9" t="s">
        <v>38</v>
      </c>
      <c r="F849" s="9" t="s">
        <v>53</v>
      </c>
      <c r="G849" s="9" t="s">
        <v>54</v>
      </c>
      <c r="H849" s="11" t="s">
        <v>21</v>
      </c>
      <c r="I849" s="12" t="n">
        <v>35</v>
      </c>
      <c r="J849" s="13" t="n">
        <v>200</v>
      </c>
      <c r="K849" s="14" t="n">
        <f aca="false">I849*J849</f>
        <v>7000</v>
      </c>
      <c r="L849" s="14" t="n">
        <f aca="false">($L$2*M849)/100</f>
        <v>360499.95</v>
      </c>
      <c r="M849" s="15" t="n">
        <v>0.3</v>
      </c>
      <c r="N849" s="9" t="s">
        <v>26</v>
      </c>
    </row>
    <row r="850" customFormat="false" ht="14.25" hidden="false" customHeight="true" outlineLevel="0" collapsed="false">
      <c r="B850" s="9" t="s">
        <v>16</v>
      </c>
      <c r="C850" s="9" t="n">
        <v>1185732</v>
      </c>
      <c r="D850" s="10" t="n">
        <v>44177</v>
      </c>
      <c r="E850" s="9" t="s">
        <v>38</v>
      </c>
      <c r="F850" s="9" t="s">
        <v>53</v>
      </c>
      <c r="G850" s="9" t="s">
        <v>54</v>
      </c>
      <c r="H850" s="11" t="s">
        <v>22</v>
      </c>
      <c r="I850" s="12" t="n">
        <v>35</v>
      </c>
      <c r="J850" s="13" t="n">
        <v>100</v>
      </c>
      <c r="K850" s="14" t="n">
        <f aca="false">I850*J850</f>
        <v>3500</v>
      </c>
      <c r="L850" s="14" t="n">
        <f aca="false">($L$2*M850)/100</f>
        <v>360499.95</v>
      </c>
      <c r="M850" s="15" t="n">
        <v>0.3</v>
      </c>
      <c r="N850" s="9" t="s">
        <v>26</v>
      </c>
    </row>
    <row r="851" customFormat="false" ht="14.25" hidden="false" customHeight="true" outlineLevel="0" collapsed="false">
      <c r="B851" s="9" t="s">
        <v>16</v>
      </c>
      <c r="C851" s="9" t="n">
        <v>1185732</v>
      </c>
      <c r="D851" s="10" t="n">
        <v>44178</v>
      </c>
      <c r="E851" s="9" t="s">
        <v>38</v>
      </c>
      <c r="F851" s="9" t="s">
        <v>53</v>
      </c>
      <c r="G851" s="9" t="s">
        <v>54</v>
      </c>
      <c r="H851" s="11" t="s">
        <v>23</v>
      </c>
      <c r="I851" s="12" t="n">
        <v>35</v>
      </c>
      <c r="J851" s="13" t="n">
        <v>75</v>
      </c>
      <c r="K851" s="14" t="n">
        <f aca="false">I851*J851</f>
        <v>2625</v>
      </c>
      <c r="L851" s="14" t="n">
        <f aca="false">($L$2*M851)/100</f>
        <v>420583.275</v>
      </c>
      <c r="M851" s="15" t="n">
        <v>0.35</v>
      </c>
      <c r="N851" s="9" t="s">
        <v>26</v>
      </c>
    </row>
    <row r="852" customFormat="false" ht="14.25" hidden="false" customHeight="true" outlineLevel="0" collapsed="false">
      <c r="B852" s="9" t="s">
        <v>16</v>
      </c>
      <c r="C852" s="9" t="n">
        <v>1185732</v>
      </c>
      <c r="D852" s="10" t="n">
        <v>44179</v>
      </c>
      <c r="E852" s="9" t="s">
        <v>38</v>
      </c>
      <c r="F852" s="9" t="s">
        <v>53</v>
      </c>
      <c r="G852" s="9" t="s">
        <v>54</v>
      </c>
      <c r="H852" s="11" t="s">
        <v>24</v>
      </c>
      <c r="I852" s="12" t="n">
        <v>45</v>
      </c>
      <c r="J852" s="13" t="n">
        <v>75</v>
      </c>
      <c r="K852" s="14" t="n">
        <f aca="false">I852*J852</f>
        <v>3375</v>
      </c>
      <c r="L852" s="14" t="n">
        <f aca="false">($L$2*M852)/100</f>
        <v>360499.95</v>
      </c>
      <c r="M852" s="15" t="n">
        <v>0.3</v>
      </c>
      <c r="N852" s="9" t="s">
        <v>26</v>
      </c>
    </row>
    <row r="853" customFormat="false" ht="14.25" hidden="false" customHeight="true" outlineLevel="0" collapsed="false">
      <c r="B853" s="9" t="s">
        <v>16</v>
      </c>
      <c r="C853" s="9" t="n">
        <v>1185732</v>
      </c>
      <c r="D853" s="10" t="n">
        <v>44180</v>
      </c>
      <c r="E853" s="9" t="s">
        <v>38</v>
      </c>
      <c r="F853" s="9" t="s">
        <v>53</v>
      </c>
      <c r="G853" s="9" t="s">
        <v>54</v>
      </c>
      <c r="H853" s="11" t="s">
        <v>25</v>
      </c>
      <c r="I853" s="12" t="n">
        <v>50</v>
      </c>
      <c r="J853" s="13" t="n">
        <v>200</v>
      </c>
      <c r="K853" s="14" t="n">
        <f aca="false">I853*J853</f>
        <v>10000</v>
      </c>
      <c r="L853" s="14" t="n">
        <f aca="false">($L$2*M853)/100</f>
        <v>540749.925</v>
      </c>
      <c r="M853" s="15" t="n">
        <v>0.45</v>
      </c>
      <c r="N853" s="9" t="s">
        <v>26</v>
      </c>
    </row>
    <row r="854" customFormat="false" ht="14.25" hidden="false" customHeight="true" outlineLevel="0" collapsed="false">
      <c r="B854" s="9" t="s">
        <v>16</v>
      </c>
      <c r="C854" s="9" t="n">
        <v>1185732</v>
      </c>
      <c r="D854" s="10" t="n">
        <v>44181</v>
      </c>
      <c r="E854" s="9" t="s">
        <v>38</v>
      </c>
      <c r="F854" s="9" t="s">
        <v>53</v>
      </c>
      <c r="G854" s="9" t="s">
        <v>54</v>
      </c>
      <c r="H854" s="11" t="s">
        <v>19</v>
      </c>
      <c r="I854" s="12" t="n">
        <v>50</v>
      </c>
      <c r="J854" s="13" t="n">
        <v>350</v>
      </c>
      <c r="K854" s="14" t="n">
        <f aca="false">I854*J854</f>
        <v>17500</v>
      </c>
      <c r="L854" s="14" t="n">
        <f aca="false">($L$2*M854)/100</f>
        <v>420583.275</v>
      </c>
      <c r="M854" s="15" t="n">
        <v>0.35</v>
      </c>
      <c r="N854" s="9" t="s">
        <v>26</v>
      </c>
    </row>
    <row r="855" customFormat="false" ht="14.25" hidden="false" customHeight="true" outlineLevel="0" collapsed="false">
      <c r="B855" s="9" t="s">
        <v>16</v>
      </c>
      <c r="C855" s="9" t="n">
        <v>1185732</v>
      </c>
      <c r="D855" s="10" t="n">
        <v>44182</v>
      </c>
      <c r="E855" s="9" t="s">
        <v>38</v>
      </c>
      <c r="F855" s="9" t="s">
        <v>53</v>
      </c>
      <c r="G855" s="9" t="s">
        <v>54</v>
      </c>
      <c r="H855" s="11" t="s">
        <v>21</v>
      </c>
      <c r="I855" s="12" t="n">
        <v>40</v>
      </c>
      <c r="J855" s="13" t="n">
        <v>200</v>
      </c>
      <c r="K855" s="14" t="n">
        <f aca="false">I855*J855</f>
        <v>8000</v>
      </c>
      <c r="L855" s="14" t="n">
        <f aca="false">($L$2*M855)/100</f>
        <v>360499.95</v>
      </c>
      <c r="M855" s="15" t="n">
        <v>0.3</v>
      </c>
      <c r="N855" s="9" t="s">
        <v>26</v>
      </c>
    </row>
    <row r="856" customFormat="false" ht="14.25" hidden="false" customHeight="true" outlineLevel="0" collapsed="false">
      <c r="B856" s="9" t="s">
        <v>16</v>
      </c>
      <c r="C856" s="9" t="n">
        <v>1185732</v>
      </c>
      <c r="D856" s="10" t="n">
        <v>44183</v>
      </c>
      <c r="E856" s="9" t="s">
        <v>38</v>
      </c>
      <c r="F856" s="9" t="s">
        <v>53</v>
      </c>
      <c r="G856" s="9" t="s">
        <v>54</v>
      </c>
      <c r="H856" s="11" t="s">
        <v>22</v>
      </c>
      <c r="I856" s="12" t="n">
        <v>40</v>
      </c>
      <c r="J856" s="13" t="n">
        <v>145</v>
      </c>
      <c r="K856" s="14" t="n">
        <f aca="false">I856*J856</f>
        <v>5800</v>
      </c>
      <c r="L856" s="14" t="n">
        <f aca="false">($L$2*M856)/100</f>
        <v>360499.95</v>
      </c>
      <c r="M856" s="15" t="n">
        <v>0.3</v>
      </c>
      <c r="N856" s="9" t="s">
        <v>26</v>
      </c>
    </row>
    <row r="857" customFormat="false" ht="14.25" hidden="false" customHeight="true" outlineLevel="0" collapsed="false">
      <c r="B857" s="9" t="s">
        <v>16</v>
      </c>
      <c r="C857" s="9" t="n">
        <v>1185732</v>
      </c>
      <c r="D857" s="10" t="n">
        <v>44184</v>
      </c>
      <c r="E857" s="9" t="s">
        <v>38</v>
      </c>
      <c r="F857" s="9" t="s">
        <v>53</v>
      </c>
      <c r="G857" s="9" t="s">
        <v>54</v>
      </c>
      <c r="H857" s="11" t="s">
        <v>23</v>
      </c>
      <c r="I857" s="12" t="n">
        <v>40</v>
      </c>
      <c r="J857" s="13" t="n">
        <v>150</v>
      </c>
      <c r="K857" s="14" t="n">
        <f aca="false">I857*J857</f>
        <v>6000</v>
      </c>
      <c r="L857" s="14" t="n">
        <f aca="false">($L$2*M857)/100</f>
        <v>420583.275</v>
      </c>
      <c r="M857" s="15" t="n">
        <v>0.35</v>
      </c>
      <c r="N857" s="9" t="s">
        <v>26</v>
      </c>
    </row>
    <row r="858" customFormat="false" ht="14.25" hidden="false" customHeight="true" outlineLevel="0" collapsed="false">
      <c r="B858" s="9" t="s">
        <v>16</v>
      </c>
      <c r="C858" s="9" t="n">
        <v>1185732</v>
      </c>
      <c r="D858" s="10" t="n">
        <v>44185</v>
      </c>
      <c r="E858" s="9" t="s">
        <v>38</v>
      </c>
      <c r="F858" s="9" t="s">
        <v>53</v>
      </c>
      <c r="G858" s="9" t="s">
        <v>54</v>
      </c>
      <c r="H858" s="11" t="s">
        <v>24</v>
      </c>
      <c r="I858" s="12" t="n">
        <v>55</v>
      </c>
      <c r="J858" s="13" t="n">
        <v>125</v>
      </c>
      <c r="K858" s="14" t="n">
        <f aca="false">I858*J858</f>
        <v>6875</v>
      </c>
      <c r="L858" s="14" t="n">
        <f aca="false">($L$2*M858)/100</f>
        <v>360499.95</v>
      </c>
      <c r="M858" s="15" t="n">
        <v>0.3</v>
      </c>
      <c r="N858" s="9" t="s">
        <v>26</v>
      </c>
    </row>
    <row r="859" customFormat="false" ht="14.25" hidden="false" customHeight="true" outlineLevel="0" collapsed="false">
      <c r="B859" s="9" t="s">
        <v>16</v>
      </c>
      <c r="C859" s="9" t="n">
        <v>1185732</v>
      </c>
      <c r="D859" s="10" t="n">
        <v>44186</v>
      </c>
      <c r="E859" s="9" t="s">
        <v>38</v>
      </c>
      <c r="F859" s="9" t="s">
        <v>53</v>
      </c>
      <c r="G859" s="9" t="s">
        <v>54</v>
      </c>
      <c r="H859" s="11" t="s">
        <v>25</v>
      </c>
      <c r="I859" s="12" t="n">
        <v>60</v>
      </c>
      <c r="J859" s="13" t="n">
        <v>225</v>
      </c>
      <c r="K859" s="14" t="n">
        <f aca="false">I859*J859</f>
        <v>13500</v>
      </c>
      <c r="L859" s="14" t="n">
        <f aca="false">($L$2*M859)/100</f>
        <v>540749.925</v>
      </c>
      <c r="M859" s="15" t="n">
        <v>0.45</v>
      </c>
      <c r="N859" s="9" t="s">
        <v>26</v>
      </c>
    </row>
    <row r="860" customFormat="false" ht="14.25" hidden="false" customHeight="true" outlineLevel="0" collapsed="false">
      <c r="B860" s="9" t="s">
        <v>16</v>
      </c>
      <c r="C860" s="9" t="n">
        <v>1185732</v>
      </c>
      <c r="D860" s="10" t="n">
        <v>44187</v>
      </c>
      <c r="E860" s="9" t="s">
        <v>38</v>
      </c>
      <c r="F860" s="9" t="s">
        <v>53</v>
      </c>
      <c r="G860" s="9" t="s">
        <v>54</v>
      </c>
      <c r="H860" s="11" t="s">
        <v>19</v>
      </c>
      <c r="I860" s="12" t="n">
        <v>55</v>
      </c>
      <c r="J860" s="13" t="n">
        <v>475</v>
      </c>
      <c r="K860" s="14" t="n">
        <f aca="false">I860*J860</f>
        <v>26125</v>
      </c>
      <c r="L860" s="14" t="n">
        <f aca="false">($L$2*M860)/100</f>
        <v>420583.275</v>
      </c>
      <c r="M860" s="15" t="n">
        <v>0.35</v>
      </c>
      <c r="N860" s="9" t="s">
        <v>26</v>
      </c>
    </row>
    <row r="861" customFormat="false" ht="14.25" hidden="false" customHeight="true" outlineLevel="0" collapsed="false">
      <c r="B861" s="9" t="s">
        <v>16</v>
      </c>
      <c r="C861" s="9" t="n">
        <v>1185732</v>
      </c>
      <c r="D861" s="10" t="n">
        <v>44188</v>
      </c>
      <c r="E861" s="9" t="s">
        <v>38</v>
      </c>
      <c r="F861" s="9" t="s">
        <v>53</v>
      </c>
      <c r="G861" s="9" t="s">
        <v>54</v>
      </c>
      <c r="H861" s="11" t="s">
        <v>21</v>
      </c>
      <c r="I861" s="12" t="n">
        <v>45</v>
      </c>
      <c r="J861" s="13" t="n">
        <v>275</v>
      </c>
      <c r="K861" s="14" t="n">
        <f aca="false">I861*J861</f>
        <v>12375</v>
      </c>
      <c r="L861" s="14" t="n">
        <f aca="false">($L$2*M861)/100</f>
        <v>360499.95</v>
      </c>
      <c r="M861" s="15" t="n">
        <v>0.3</v>
      </c>
      <c r="N861" s="9" t="s">
        <v>26</v>
      </c>
    </row>
    <row r="862" customFormat="false" ht="14.25" hidden="false" customHeight="true" outlineLevel="0" collapsed="false">
      <c r="B862" s="9" t="s">
        <v>16</v>
      </c>
      <c r="C862" s="9" t="n">
        <v>1185732</v>
      </c>
      <c r="D862" s="10" t="n">
        <v>44189</v>
      </c>
      <c r="E862" s="9" t="s">
        <v>38</v>
      </c>
      <c r="F862" s="9" t="s">
        <v>53</v>
      </c>
      <c r="G862" s="9" t="s">
        <v>54</v>
      </c>
      <c r="H862" s="11" t="s">
        <v>22</v>
      </c>
      <c r="I862" s="12" t="n">
        <v>45</v>
      </c>
      <c r="J862" s="13" t="n">
        <v>225</v>
      </c>
      <c r="K862" s="14" t="n">
        <f aca="false">I862*J862</f>
        <v>10125</v>
      </c>
      <c r="L862" s="14" t="n">
        <f aca="false">($L$2*M862)/100</f>
        <v>360499.95</v>
      </c>
      <c r="M862" s="15" t="n">
        <v>0.3</v>
      </c>
      <c r="N862" s="9" t="s">
        <v>26</v>
      </c>
    </row>
    <row r="863" customFormat="false" ht="14.25" hidden="false" customHeight="true" outlineLevel="0" collapsed="false">
      <c r="B863" s="9" t="s">
        <v>16</v>
      </c>
      <c r="C863" s="9" t="n">
        <v>1185732</v>
      </c>
      <c r="D863" s="10" t="n">
        <v>44190</v>
      </c>
      <c r="E863" s="9" t="s">
        <v>38</v>
      </c>
      <c r="F863" s="9" t="s">
        <v>53</v>
      </c>
      <c r="G863" s="9" t="s">
        <v>54</v>
      </c>
      <c r="H863" s="11" t="s">
        <v>23</v>
      </c>
      <c r="I863" s="12" t="n">
        <v>45</v>
      </c>
      <c r="J863" s="13" t="n">
        <v>175</v>
      </c>
      <c r="K863" s="14" t="n">
        <f aca="false">I863*J863</f>
        <v>7875</v>
      </c>
      <c r="L863" s="14" t="n">
        <f aca="false">($L$2*M863)/100</f>
        <v>420583.275</v>
      </c>
      <c r="M863" s="15" t="n">
        <v>0.35</v>
      </c>
      <c r="N863" s="9" t="s">
        <v>26</v>
      </c>
    </row>
    <row r="864" customFormat="false" ht="14.25" hidden="false" customHeight="true" outlineLevel="0" collapsed="false">
      <c r="B864" s="9" t="s">
        <v>16</v>
      </c>
      <c r="C864" s="9" t="n">
        <v>1185732</v>
      </c>
      <c r="D864" s="10" t="n">
        <v>44191</v>
      </c>
      <c r="E864" s="9" t="s">
        <v>38</v>
      </c>
      <c r="F864" s="9" t="s">
        <v>53</v>
      </c>
      <c r="G864" s="9" t="s">
        <v>54</v>
      </c>
      <c r="H864" s="11" t="s">
        <v>24</v>
      </c>
      <c r="I864" s="12" t="n">
        <v>55</v>
      </c>
      <c r="J864" s="13" t="n">
        <v>175</v>
      </c>
      <c r="K864" s="14" t="n">
        <f aca="false">I864*J864</f>
        <v>9625</v>
      </c>
      <c r="L864" s="14" t="n">
        <f aca="false">($L$2*M864)/100</f>
        <v>360499.95</v>
      </c>
      <c r="M864" s="15" t="n">
        <v>0.3</v>
      </c>
      <c r="N864" s="9" t="s">
        <v>26</v>
      </c>
    </row>
    <row r="865" customFormat="false" ht="14.25" hidden="false" customHeight="true" outlineLevel="0" collapsed="false">
      <c r="B865" s="9" t="s">
        <v>16</v>
      </c>
      <c r="C865" s="9" t="n">
        <v>1185732</v>
      </c>
      <c r="D865" s="10" t="n">
        <v>44192</v>
      </c>
      <c r="E865" s="9" t="s">
        <v>38</v>
      </c>
      <c r="F865" s="9" t="s">
        <v>53</v>
      </c>
      <c r="G865" s="9" t="s">
        <v>54</v>
      </c>
      <c r="H865" s="11" t="s">
        <v>25</v>
      </c>
      <c r="I865" s="12" t="n">
        <v>60</v>
      </c>
      <c r="J865" s="13" t="n">
        <v>275</v>
      </c>
      <c r="K865" s="14" t="n">
        <f aca="false">I865*J865</f>
        <v>16500</v>
      </c>
      <c r="L865" s="14" t="n">
        <f aca="false">($L$2*M865)/100</f>
        <v>540749.925</v>
      </c>
      <c r="M865" s="15" t="n">
        <v>0.45</v>
      </c>
      <c r="N865" s="9" t="s">
        <v>26</v>
      </c>
    </row>
    <row r="866" customFormat="false" ht="14.25" hidden="false" customHeight="true" outlineLevel="0" collapsed="false">
      <c r="B866" s="9" t="s">
        <v>36</v>
      </c>
      <c r="C866" s="9" t="n">
        <v>1189833</v>
      </c>
      <c r="D866" s="10" t="n">
        <v>44193</v>
      </c>
      <c r="E866" s="9" t="s">
        <v>38</v>
      </c>
      <c r="F866" s="9" t="s">
        <v>53</v>
      </c>
      <c r="G866" s="9" t="s">
        <v>54</v>
      </c>
      <c r="H866" s="11" t="s">
        <v>19</v>
      </c>
      <c r="I866" s="12" t="n">
        <v>35</v>
      </c>
      <c r="J866" s="13" t="n">
        <v>475</v>
      </c>
      <c r="K866" s="14" t="n">
        <f aca="false">I866*J866</f>
        <v>16625</v>
      </c>
      <c r="L866" s="14" t="n">
        <f aca="false">($L$2*M866)/100</f>
        <v>540749.925</v>
      </c>
      <c r="M866" s="15" t="n">
        <v>0.45</v>
      </c>
      <c r="N866" s="9" t="s">
        <v>26</v>
      </c>
    </row>
    <row r="867" customFormat="false" ht="14.25" hidden="false" customHeight="true" outlineLevel="0" collapsed="false">
      <c r="B867" s="9" t="s">
        <v>36</v>
      </c>
      <c r="C867" s="9" t="n">
        <v>1189833</v>
      </c>
      <c r="D867" s="10" t="n">
        <v>44194</v>
      </c>
      <c r="E867" s="9" t="s">
        <v>38</v>
      </c>
      <c r="F867" s="9" t="s">
        <v>53</v>
      </c>
      <c r="G867" s="9" t="s">
        <v>54</v>
      </c>
      <c r="H867" s="11" t="s">
        <v>21</v>
      </c>
      <c r="I867" s="12" t="n">
        <v>45</v>
      </c>
      <c r="J867" s="13" t="n">
        <v>475</v>
      </c>
      <c r="K867" s="14" t="n">
        <f aca="false">I867*J867</f>
        <v>21375</v>
      </c>
      <c r="L867" s="14" t="n">
        <f aca="false">($L$2*M867)/100</f>
        <v>360499.95</v>
      </c>
      <c r="M867" s="15" t="n">
        <v>0.3</v>
      </c>
      <c r="N867" s="9" t="s">
        <v>26</v>
      </c>
    </row>
    <row r="868" customFormat="false" ht="14.25" hidden="false" customHeight="true" outlineLevel="0" collapsed="false">
      <c r="B868" s="9" t="s">
        <v>36</v>
      </c>
      <c r="C868" s="9" t="n">
        <v>1189833</v>
      </c>
      <c r="D868" s="10" t="n">
        <v>44195</v>
      </c>
      <c r="E868" s="9" t="s">
        <v>38</v>
      </c>
      <c r="F868" s="9" t="s">
        <v>53</v>
      </c>
      <c r="G868" s="9" t="s">
        <v>54</v>
      </c>
      <c r="H868" s="11" t="s">
        <v>22</v>
      </c>
      <c r="I868" s="12" t="n">
        <v>45</v>
      </c>
      <c r="J868" s="13" t="n">
        <v>475</v>
      </c>
      <c r="K868" s="14" t="n">
        <f aca="false">I868*J868</f>
        <v>21375</v>
      </c>
      <c r="L868" s="14" t="n">
        <f aca="false">($L$2*M868)/100</f>
        <v>540749.925</v>
      </c>
      <c r="M868" s="15" t="n">
        <v>0.45</v>
      </c>
      <c r="N868" s="9" t="s">
        <v>26</v>
      </c>
    </row>
    <row r="869" customFormat="false" ht="14.25" hidden="false" customHeight="true" outlineLevel="0" collapsed="false">
      <c r="B869" s="9" t="s">
        <v>36</v>
      </c>
      <c r="C869" s="9" t="n">
        <v>1189833</v>
      </c>
      <c r="D869" s="10" t="n">
        <v>44196</v>
      </c>
      <c r="E869" s="9" t="s">
        <v>38</v>
      </c>
      <c r="F869" s="9" t="s">
        <v>53</v>
      </c>
      <c r="G869" s="9" t="s">
        <v>54</v>
      </c>
      <c r="H869" s="11" t="s">
        <v>23</v>
      </c>
      <c r="I869" s="12" t="n">
        <v>45</v>
      </c>
      <c r="J869" s="13" t="n">
        <v>325</v>
      </c>
      <c r="K869" s="14" t="n">
        <f aca="false">I869*J869</f>
        <v>14625</v>
      </c>
      <c r="L869" s="14" t="n">
        <f aca="false">($L$2*M869)/100</f>
        <v>480666.6</v>
      </c>
      <c r="M869" s="15" t="n">
        <v>0.4</v>
      </c>
      <c r="N869" s="9" t="s">
        <v>26</v>
      </c>
    </row>
    <row r="870" customFormat="false" ht="14.25" hidden="false" customHeight="true" outlineLevel="0" collapsed="false">
      <c r="B870" s="9" t="s">
        <v>36</v>
      </c>
      <c r="C870" s="9" t="n">
        <v>1189833</v>
      </c>
      <c r="D870" s="10" t="n">
        <v>44197</v>
      </c>
      <c r="E870" s="9" t="s">
        <v>38</v>
      </c>
      <c r="F870" s="9" t="s">
        <v>55</v>
      </c>
      <c r="G870" s="9" t="s">
        <v>56</v>
      </c>
      <c r="H870" s="11" t="s">
        <v>24</v>
      </c>
      <c r="I870" s="12" t="n">
        <v>50</v>
      </c>
      <c r="J870" s="13" t="n">
        <v>275</v>
      </c>
      <c r="K870" s="14" t="n">
        <f aca="false">I870*J870</f>
        <v>13750</v>
      </c>
      <c r="L870" s="14" t="n">
        <f aca="false">($L$2*M870)/100</f>
        <v>720999.9</v>
      </c>
      <c r="M870" s="15" t="n">
        <v>0.6</v>
      </c>
      <c r="N870" s="9" t="s">
        <v>26</v>
      </c>
    </row>
    <row r="871" customFormat="false" ht="14.25" hidden="false" customHeight="true" outlineLevel="0" collapsed="false">
      <c r="B871" s="9" t="s">
        <v>36</v>
      </c>
      <c r="C871" s="9" t="n">
        <v>1189833</v>
      </c>
      <c r="D871" s="10" t="n">
        <v>44198</v>
      </c>
      <c r="E871" s="9" t="s">
        <v>38</v>
      </c>
      <c r="F871" s="9" t="s">
        <v>55</v>
      </c>
      <c r="G871" s="9" t="s">
        <v>56</v>
      </c>
      <c r="H871" s="11" t="s">
        <v>25</v>
      </c>
      <c r="I871" s="12" t="n">
        <v>45</v>
      </c>
      <c r="J871" s="13" t="n">
        <v>475</v>
      </c>
      <c r="K871" s="14" t="n">
        <f aca="false">I871*J871</f>
        <v>21375</v>
      </c>
      <c r="L871" s="14" t="n">
        <f aca="false">($L$2*M871)/100</f>
        <v>300416.625</v>
      </c>
      <c r="M871" s="15" t="n">
        <v>0.25</v>
      </c>
      <c r="N871" s="9" t="s">
        <v>26</v>
      </c>
    </row>
    <row r="872" customFormat="false" ht="14.25" hidden="false" customHeight="true" outlineLevel="0" collapsed="false">
      <c r="B872" s="9" t="s">
        <v>36</v>
      </c>
      <c r="C872" s="9" t="n">
        <v>1189833</v>
      </c>
      <c r="D872" s="10" t="n">
        <v>44199</v>
      </c>
      <c r="E872" s="9" t="s">
        <v>38</v>
      </c>
      <c r="F872" s="9" t="s">
        <v>55</v>
      </c>
      <c r="G872" s="9" t="s">
        <v>56</v>
      </c>
      <c r="H872" s="11" t="s">
        <v>19</v>
      </c>
      <c r="I872" s="12" t="n">
        <v>35</v>
      </c>
      <c r="J872" s="13" t="n">
        <v>525</v>
      </c>
      <c r="K872" s="14" t="n">
        <f aca="false">I872*J872</f>
        <v>18375</v>
      </c>
      <c r="L872" s="14" t="n">
        <f aca="false">($L$2*M872)/100</f>
        <v>540749.925</v>
      </c>
      <c r="M872" s="15" t="n">
        <v>0.45</v>
      </c>
      <c r="N872" s="9" t="s">
        <v>26</v>
      </c>
    </row>
    <row r="873" customFormat="false" ht="14.25" hidden="false" customHeight="true" outlineLevel="0" collapsed="false">
      <c r="B873" s="9" t="s">
        <v>36</v>
      </c>
      <c r="C873" s="9" t="n">
        <v>1189833</v>
      </c>
      <c r="D873" s="10" t="n">
        <v>44200</v>
      </c>
      <c r="E873" s="9" t="s">
        <v>38</v>
      </c>
      <c r="F873" s="9" t="s">
        <v>55</v>
      </c>
      <c r="G873" s="9" t="s">
        <v>56</v>
      </c>
      <c r="H873" s="11" t="s">
        <v>21</v>
      </c>
      <c r="I873" s="12" t="n">
        <v>45</v>
      </c>
      <c r="J873" s="13" t="n">
        <v>425</v>
      </c>
      <c r="K873" s="14" t="n">
        <f aca="false">I873*J873</f>
        <v>19125</v>
      </c>
      <c r="L873" s="14" t="n">
        <f aca="false">($L$2*M873)/100</f>
        <v>360499.95</v>
      </c>
      <c r="M873" s="15" t="n">
        <v>0.3</v>
      </c>
      <c r="N873" s="9" t="s">
        <v>26</v>
      </c>
    </row>
    <row r="874" customFormat="false" ht="14.25" hidden="false" customHeight="true" outlineLevel="0" collapsed="false">
      <c r="B874" s="9" t="s">
        <v>36</v>
      </c>
      <c r="C874" s="9" t="n">
        <v>1189833</v>
      </c>
      <c r="D874" s="10" t="n">
        <v>44201</v>
      </c>
      <c r="E874" s="9" t="s">
        <v>38</v>
      </c>
      <c r="F874" s="9" t="s">
        <v>55</v>
      </c>
      <c r="G874" s="9" t="s">
        <v>56</v>
      </c>
      <c r="H874" s="11" t="s">
        <v>22</v>
      </c>
      <c r="I874" s="12" t="n">
        <v>45</v>
      </c>
      <c r="J874" s="13" t="n">
        <v>450</v>
      </c>
      <c r="K874" s="14" t="n">
        <f aca="false">I874*J874</f>
        <v>20250</v>
      </c>
      <c r="L874" s="14" t="n">
        <f aca="false">($L$2*M874)/100</f>
        <v>540749.925</v>
      </c>
      <c r="M874" s="15" t="n">
        <v>0.45</v>
      </c>
      <c r="N874" s="9" t="s">
        <v>26</v>
      </c>
    </row>
    <row r="875" customFormat="false" ht="14.25" hidden="false" customHeight="true" outlineLevel="0" collapsed="false">
      <c r="B875" s="9" t="s">
        <v>36</v>
      </c>
      <c r="C875" s="9" t="n">
        <v>1189833</v>
      </c>
      <c r="D875" s="10" t="n">
        <v>44202</v>
      </c>
      <c r="E875" s="9" t="s">
        <v>38</v>
      </c>
      <c r="F875" s="9" t="s">
        <v>55</v>
      </c>
      <c r="G875" s="9" t="s">
        <v>56</v>
      </c>
      <c r="H875" s="11" t="s">
        <v>23</v>
      </c>
      <c r="I875" s="12" t="n">
        <v>45</v>
      </c>
      <c r="J875" s="13" t="n">
        <v>300</v>
      </c>
      <c r="K875" s="14" t="n">
        <f aca="false">I875*J875</f>
        <v>13500</v>
      </c>
      <c r="L875" s="14" t="n">
        <f aca="false">($L$2*M875)/100</f>
        <v>480666.6</v>
      </c>
      <c r="M875" s="15" t="n">
        <v>0.4</v>
      </c>
      <c r="N875" s="9" t="s">
        <v>26</v>
      </c>
    </row>
    <row r="876" customFormat="false" ht="14.25" hidden="false" customHeight="true" outlineLevel="0" collapsed="false">
      <c r="B876" s="9" t="s">
        <v>36</v>
      </c>
      <c r="C876" s="9" t="n">
        <v>1189833</v>
      </c>
      <c r="D876" s="10" t="n">
        <v>44203</v>
      </c>
      <c r="E876" s="9" t="s">
        <v>38</v>
      </c>
      <c r="F876" s="9" t="s">
        <v>55</v>
      </c>
      <c r="G876" s="9" t="s">
        <v>56</v>
      </c>
      <c r="H876" s="11" t="s">
        <v>24</v>
      </c>
      <c r="I876" s="12" t="n">
        <v>50</v>
      </c>
      <c r="J876" s="13" t="n">
        <v>225</v>
      </c>
      <c r="K876" s="14" t="n">
        <f aca="false">I876*J876</f>
        <v>11250</v>
      </c>
      <c r="L876" s="14" t="n">
        <f aca="false">($L$2*M876)/100</f>
        <v>720999.9</v>
      </c>
      <c r="M876" s="15" t="n">
        <v>0.6</v>
      </c>
      <c r="N876" s="9" t="s">
        <v>26</v>
      </c>
    </row>
    <row r="877" customFormat="false" ht="14.25" hidden="false" customHeight="true" outlineLevel="0" collapsed="false">
      <c r="B877" s="9" t="s">
        <v>36</v>
      </c>
      <c r="C877" s="9" t="n">
        <v>1189833</v>
      </c>
      <c r="D877" s="10" t="n">
        <v>44204</v>
      </c>
      <c r="E877" s="9" t="s">
        <v>38</v>
      </c>
      <c r="F877" s="9" t="s">
        <v>55</v>
      </c>
      <c r="G877" s="9" t="s">
        <v>56</v>
      </c>
      <c r="H877" s="11" t="s">
        <v>25</v>
      </c>
      <c r="I877" s="12" t="n">
        <v>45</v>
      </c>
      <c r="J877" s="13" t="n">
        <v>425</v>
      </c>
      <c r="K877" s="14" t="n">
        <f aca="false">I877*J877</f>
        <v>19125</v>
      </c>
      <c r="L877" s="14" t="n">
        <f aca="false">($L$2*M877)/100</f>
        <v>300416.625</v>
      </c>
      <c r="M877" s="15" t="n">
        <v>0.25</v>
      </c>
      <c r="N877" s="9" t="s">
        <v>26</v>
      </c>
    </row>
    <row r="878" customFormat="false" ht="14.25" hidden="false" customHeight="true" outlineLevel="0" collapsed="false">
      <c r="B878" s="9" t="s">
        <v>36</v>
      </c>
      <c r="C878" s="9" t="n">
        <v>1189833</v>
      </c>
      <c r="D878" s="10" t="n">
        <v>44205</v>
      </c>
      <c r="E878" s="9" t="s">
        <v>38</v>
      </c>
      <c r="F878" s="9" t="s">
        <v>55</v>
      </c>
      <c r="G878" s="9" t="s">
        <v>56</v>
      </c>
      <c r="H878" s="11" t="s">
        <v>19</v>
      </c>
      <c r="I878" s="12" t="n">
        <v>35</v>
      </c>
      <c r="J878" s="13" t="n">
        <v>575</v>
      </c>
      <c r="K878" s="14" t="n">
        <f aca="false">I878*J878</f>
        <v>20125</v>
      </c>
      <c r="L878" s="14" t="n">
        <f aca="false">($L$2*M878)/100</f>
        <v>540749.925</v>
      </c>
      <c r="M878" s="15" t="n">
        <v>0.45</v>
      </c>
      <c r="N878" s="9" t="s">
        <v>26</v>
      </c>
    </row>
    <row r="879" customFormat="false" ht="14.25" hidden="false" customHeight="true" outlineLevel="0" collapsed="false">
      <c r="B879" s="9" t="s">
        <v>36</v>
      </c>
      <c r="C879" s="9" t="n">
        <v>1189833</v>
      </c>
      <c r="D879" s="10" t="n">
        <v>44206</v>
      </c>
      <c r="E879" s="9" t="s">
        <v>38</v>
      </c>
      <c r="F879" s="9" t="s">
        <v>55</v>
      </c>
      <c r="G879" s="9" t="s">
        <v>56</v>
      </c>
      <c r="H879" s="11" t="s">
        <v>21</v>
      </c>
      <c r="I879" s="12" t="n">
        <v>45</v>
      </c>
      <c r="J879" s="13" t="n">
        <v>425</v>
      </c>
      <c r="K879" s="14" t="n">
        <f aca="false">I879*J879</f>
        <v>19125</v>
      </c>
      <c r="L879" s="14" t="n">
        <f aca="false">($L$2*M879)/100</f>
        <v>360499.95</v>
      </c>
      <c r="M879" s="15" t="n">
        <v>0.3</v>
      </c>
      <c r="N879" s="9" t="s">
        <v>26</v>
      </c>
    </row>
    <row r="880" customFormat="false" ht="14.25" hidden="false" customHeight="true" outlineLevel="0" collapsed="false">
      <c r="B880" s="9" t="s">
        <v>36</v>
      </c>
      <c r="C880" s="9" t="n">
        <v>1189833</v>
      </c>
      <c r="D880" s="10" t="n">
        <v>44207</v>
      </c>
      <c r="E880" s="9" t="s">
        <v>38</v>
      </c>
      <c r="F880" s="9" t="s">
        <v>55</v>
      </c>
      <c r="G880" s="9" t="s">
        <v>56</v>
      </c>
      <c r="H880" s="11" t="s">
        <v>22</v>
      </c>
      <c r="I880" s="12" t="n">
        <v>45</v>
      </c>
      <c r="J880" s="13" t="n">
        <v>425</v>
      </c>
      <c r="K880" s="14" t="n">
        <f aca="false">I880*J880</f>
        <v>19125</v>
      </c>
      <c r="L880" s="14" t="n">
        <f aca="false">($L$2*M880)/100</f>
        <v>540749.925</v>
      </c>
      <c r="M880" s="15" t="n">
        <v>0.45</v>
      </c>
      <c r="N880" s="9" t="s">
        <v>26</v>
      </c>
    </row>
    <row r="881" customFormat="false" ht="14.25" hidden="false" customHeight="true" outlineLevel="0" collapsed="false">
      <c r="B881" s="9" t="s">
        <v>36</v>
      </c>
      <c r="C881" s="9" t="n">
        <v>1189833</v>
      </c>
      <c r="D881" s="10" t="n">
        <v>44208</v>
      </c>
      <c r="E881" s="9" t="s">
        <v>38</v>
      </c>
      <c r="F881" s="9" t="s">
        <v>55</v>
      </c>
      <c r="G881" s="9" t="s">
        <v>56</v>
      </c>
      <c r="H881" s="11" t="s">
        <v>23</v>
      </c>
      <c r="I881" s="12" t="n">
        <v>45</v>
      </c>
      <c r="J881" s="13" t="n">
        <v>325</v>
      </c>
      <c r="K881" s="14" t="n">
        <f aca="false">I881*J881</f>
        <v>14625</v>
      </c>
      <c r="L881" s="14" t="n">
        <f aca="false">($L$2*M881)/100</f>
        <v>480666.6</v>
      </c>
      <c r="M881" s="15" t="n">
        <v>0.4</v>
      </c>
      <c r="N881" s="9" t="s">
        <v>26</v>
      </c>
    </row>
    <row r="882" customFormat="false" ht="14.25" hidden="false" customHeight="true" outlineLevel="0" collapsed="false">
      <c r="B882" s="9" t="s">
        <v>36</v>
      </c>
      <c r="C882" s="9" t="n">
        <v>1189833</v>
      </c>
      <c r="D882" s="10" t="n">
        <v>44209</v>
      </c>
      <c r="E882" s="9" t="s">
        <v>38</v>
      </c>
      <c r="F882" s="9" t="s">
        <v>55</v>
      </c>
      <c r="G882" s="9" t="s">
        <v>56</v>
      </c>
      <c r="H882" s="11" t="s">
        <v>24</v>
      </c>
      <c r="I882" s="12" t="n">
        <v>50</v>
      </c>
      <c r="J882" s="13" t="n">
        <v>200</v>
      </c>
      <c r="K882" s="14" t="n">
        <f aca="false">I882*J882</f>
        <v>10000</v>
      </c>
      <c r="L882" s="14" t="n">
        <f aca="false">($L$2*M882)/100</f>
        <v>720999.9</v>
      </c>
      <c r="M882" s="15" t="n">
        <v>0.6</v>
      </c>
      <c r="N882" s="9" t="s">
        <v>26</v>
      </c>
    </row>
    <row r="883" customFormat="false" ht="14.25" hidden="false" customHeight="true" outlineLevel="0" collapsed="false">
      <c r="B883" s="9" t="s">
        <v>36</v>
      </c>
      <c r="C883" s="9" t="n">
        <v>1189833</v>
      </c>
      <c r="D883" s="10" t="n">
        <v>44210</v>
      </c>
      <c r="E883" s="9" t="s">
        <v>38</v>
      </c>
      <c r="F883" s="9" t="s">
        <v>55</v>
      </c>
      <c r="G883" s="9" t="s">
        <v>56</v>
      </c>
      <c r="H883" s="11" t="s">
        <v>25</v>
      </c>
      <c r="I883" s="12" t="n">
        <v>45</v>
      </c>
      <c r="J883" s="13" t="n">
        <v>400</v>
      </c>
      <c r="K883" s="14" t="n">
        <f aca="false">I883*J883</f>
        <v>18000</v>
      </c>
      <c r="L883" s="14" t="n">
        <f aca="false">($L$2*M883)/100</f>
        <v>300416.625</v>
      </c>
      <c r="M883" s="15" t="n">
        <v>0.25</v>
      </c>
      <c r="N883" s="9" t="s">
        <v>26</v>
      </c>
    </row>
    <row r="884" customFormat="false" ht="14.25" hidden="false" customHeight="true" outlineLevel="0" collapsed="false">
      <c r="B884" s="9" t="s">
        <v>36</v>
      </c>
      <c r="C884" s="9" t="n">
        <v>1189833</v>
      </c>
      <c r="D884" s="10" t="n">
        <v>44211</v>
      </c>
      <c r="E884" s="9" t="s">
        <v>38</v>
      </c>
      <c r="F884" s="9" t="s">
        <v>55</v>
      </c>
      <c r="G884" s="9" t="s">
        <v>56</v>
      </c>
      <c r="H884" s="11" t="s">
        <v>19</v>
      </c>
      <c r="I884" s="12" t="n">
        <v>45</v>
      </c>
      <c r="J884" s="13" t="n">
        <v>575</v>
      </c>
      <c r="K884" s="14" t="n">
        <f aca="false">I884*J884</f>
        <v>25875</v>
      </c>
      <c r="L884" s="14" t="n">
        <f aca="false">($L$2*M884)/100</f>
        <v>540749.925</v>
      </c>
      <c r="M884" s="15" t="n">
        <v>0.45</v>
      </c>
      <c r="N884" s="9" t="s">
        <v>26</v>
      </c>
    </row>
    <row r="885" customFormat="false" ht="14.25" hidden="false" customHeight="true" outlineLevel="0" collapsed="false">
      <c r="B885" s="9" t="s">
        <v>36</v>
      </c>
      <c r="C885" s="9" t="n">
        <v>1189833</v>
      </c>
      <c r="D885" s="10" t="n">
        <v>44212</v>
      </c>
      <c r="E885" s="9" t="s">
        <v>38</v>
      </c>
      <c r="F885" s="9" t="s">
        <v>55</v>
      </c>
      <c r="G885" s="9" t="s">
        <v>56</v>
      </c>
      <c r="H885" s="11" t="s">
        <v>21</v>
      </c>
      <c r="I885" s="12" t="n">
        <v>45</v>
      </c>
      <c r="J885" s="13" t="n">
        <v>375</v>
      </c>
      <c r="K885" s="14" t="n">
        <f aca="false">I885*J885</f>
        <v>16875</v>
      </c>
      <c r="L885" s="14" t="n">
        <f aca="false">($L$2*M885)/100</f>
        <v>360499.95</v>
      </c>
      <c r="M885" s="15" t="n">
        <v>0.3</v>
      </c>
      <c r="N885" s="9" t="s">
        <v>26</v>
      </c>
    </row>
    <row r="886" customFormat="false" ht="14.25" hidden="false" customHeight="true" outlineLevel="0" collapsed="false">
      <c r="B886" s="9" t="s">
        <v>36</v>
      </c>
      <c r="C886" s="9" t="n">
        <v>1189833</v>
      </c>
      <c r="D886" s="10" t="n">
        <v>44213</v>
      </c>
      <c r="E886" s="9" t="s">
        <v>38</v>
      </c>
      <c r="F886" s="9" t="s">
        <v>55</v>
      </c>
      <c r="G886" s="9" t="s">
        <v>56</v>
      </c>
      <c r="H886" s="11" t="s">
        <v>22</v>
      </c>
      <c r="I886" s="12" t="n">
        <v>45</v>
      </c>
      <c r="J886" s="13" t="n">
        <v>400</v>
      </c>
      <c r="K886" s="14" t="n">
        <f aca="false">I886*J886</f>
        <v>18000</v>
      </c>
      <c r="L886" s="14" t="n">
        <f aca="false">($L$2*M886)/100</f>
        <v>540749.925</v>
      </c>
      <c r="M886" s="15" t="n">
        <v>0.45</v>
      </c>
      <c r="N886" s="9" t="s">
        <v>26</v>
      </c>
    </row>
    <row r="887" customFormat="false" ht="14.25" hidden="false" customHeight="true" outlineLevel="0" collapsed="false">
      <c r="B887" s="9" t="s">
        <v>36</v>
      </c>
      <c r="C887" s="9" t="n">
        <v>1189833</v>
      </c>
      <c r="D887" s="10" t="n">
        <v>44214</v>
      </c>
      <c r="E887" s="9" t="s">
        <v>38</v>
      </c>
      <c r="F887" s="9" t="s">
        <v>55</v>
      </c>
      <c r="G887" s="9" t="s">
        <v>56</v>
      </c>
      <c r="H887" s="11" t="s">
        <v>23</v>
      </c>
      <c r="I887" s="12" t="n">
        <v>40</v>
      </c>
      <c r="J887" s="13" t="n">
        <v>300</v>
      </c>
      <c r="K887" s="14" t="n">
        <f aca="false">I887*J887</f>
        <v>12000</v>
      </c>
      <c r="L887" s="14" t="n">
        <f aca="false">($L$2*M887)/100</f>
        <v>480666.6</v>
      </c>
      <c r="M887" s="15" t="n">
        <v>0.4</v>
      </c>
      <c r="N887" s="9" t="s">
        <v>26</v>
      </c>
    </row>
    <row r="888" customFormat="false" ht="14.25" hidden="false" customHeight="true" outlineLevel="0" collapsed="false">
      <c r="B888" s="9" t="s">
        <v>36</v>
      </c>
      <c r="C888" s="9" t="n">
        <v>1189833</v>
      </c>
      <c r="D888" s="10" t="n">
        <v>44215</v>
      </c>
      <c r="E888" s="9" t="s">
        <v>38</v>
      </c>
      <c r="F888" s="9" t="s">
        <v>55</v>
      </c>
      <c r="G888" s="9" t="s">
        <v>56</v>
      </c>
      <c r="H888" s="11" t="s">
        <v>24</v>
      </c>
      <c r="I888" s="12" t="n">
        <v>45</v>
      </c>
      <c r="J888" s="13" t="n">
        <v>200</v>
      </c>
      <c r="K888" s="14" t="n">
        <f aca="false">I888*J888</f>
        <v>9000</v>
      </c>
      <c r="L888" s="14" t="n">
        <f aca="false">($L$2*M888)/100</f>
        <v>720999.9</v>
      </c>
      <c r="M888" s="15" t="n">
        <v>0.6</v>
      </c>
      <c r="N888" s="9" t="s">
        <v>26</v>
      </c>
    </row>
    <row r="889" customFormat="false" ht="14.25" hidden="false" customHeight="true" outlineLevel="0" collapsed="false">
      <c r="B889" s="9" t="s">
        <v>36</v>
      </c>
      <c r="C889" s="9" t="n">
        <v>1189833</v>
      </c>
      <c r="D889" s="10" t="n">
        <v>44216</v>
      </c>
      <c r="E889" s="9" t="s">
        <v>38</v>
      </c>
      <c r="F889" s="9" t="s">
        <v>55</v>
      </c>
      <c r="G889" s="9" t="s">
        <v>56</v>
      </c>
      <c r="H889" s="11" t="s">
        <v>25</v>
      </c>
      <c r="I889" s="12" t="n">
        <v>60</v>
      </c>
      <c r="J889" s="13" t="n">
        <v>375</v>
      </c>
      <c r="K889" s="14" t="n">
        <f aca="false">I889*J889</f>
        <v>22500</v>
      </c>
      <c r="L889" s="14" t="n">
        <f aca="false">($L$2*M889)/100</f>
        <v>300416.625</v>
      </c>
      <c r="M889" s="15" t="n">
        <v>0.25</v>
      </c>
      <c r="N889" s="9" t="s">
        <v>26</v>
      </c>
    </row>
    <row r="890" customFormat="false" ht="14.25" hidden="false" customHeight="true" outlineLevel="0" collapsed="false">
      <c r="B890" s="9" t="s">
        <v>36</v>
      </c>
      <c r="C890" s="9" t="n">
        <v>1189833</v>
      </c>
      <c r="D890" s="10" t="n">
        <v>44217</v>
      </c>
      <c r="E890" s="9" t="s">
        <v>38</v>
      </c>
      <c r="F890" s="9" t="s">
        <v>55</v>
      </c>
      <c r="G890" s="9" t="s">
        <v>56</v>
      </c>
      <c r="H890" s="11" t="s">
        <v>19</v>
      </c>
      <c r="I890" s="12" t="n">
        <v>40</v>
      </c>
      <c r="J890" s="13" t="n">
        <v>575</v>
      </c>
      <c r="K890" s="14" t="n">
        <f aca="false">I890*J890</f>
        <v>23000</v>
      </c>
      <c r="L890" s="14" t="n">
        <f aca="false">($L$2*M890)/100</f>
        <v>540749.925</v>
      </c>
      <c r="M890" s="15" t="n">
        <v>0.45</v>
      </c>
      <c r="N890" s="9" t="s">
        <v>26</v>
      </c>
    </row>
    <row r="891" customFormat="false" ht="14.25" hidden="false" customHeight="true" outlineLevel="0" collapsed="false">
      <c r="B891" s="9" t="s">
        <v>36</v>
      </c>
      <c r="C891" s="9" t="n">
        <v>1189833</v>
      </c>
      <c r="D891" s="10" t="n">
        <v>44218</v>
      </c>
      <c r="E891" s="9" t="s">
        <v>38</v>
      </c>
      <c r="F891" s="9" t="s">
        <v>55</v>
      </c>
      <c r="G891" s="9" t="s">
        <v>56</v>
      </c>
      <c r="H891" s="11" t="s">
        <v>21</v>
      </c>
      <c r="I891" s="12" t="n">
        <v>45</v>
      </c>
      <c r="J891" s="13" t="n">
        <v>425</v>
      </c>
      <c r="K891" s="14" t="n">
        <f aca="false">I891*J891</f>
        <v>19125</v>
      </c>
      <c r="L891" s="14" t="n">
        <f aca="false">($L$2*M891)/100</f>
        <v>360499.95</v>
      </c>
      <c r="M891" s="15" t="n">
        <v>0.3</v>
      </c>
      <c r="N891" s="9" t="s">
        <v>26</v>
      </c>
    </row>
    <row r="892" customFormat="false" ht="14.25" hidden="false" customHeight="true" outlineLevel="0" collapsed="false">
      <c r="B892" s="9" t="s">
        <v>36</v>
      </c>
      <c r="C892" s="9" t="n">
        <v>1189833</v>
      </c>
      <c r="D892" s="10" t="n">
        <v>44219</v>
      </c>
      <c r="E892" s="9" t="s">
        <v>38</v>
      </c>
      <c r="F892" s="9" t="s">
        <v>55</v>
      </c>
      <c r="G892" s="9" t="s">
        <v>56</v>
      </c>
      <c r="H892" s="11" t="s">
        <v>22</v>
      </c>
      <c r="I892" s="12" t="n">
        <v>45</v>
      </c>
      <c r="J892" s="13" t="n">
        <v>425</v>
      </c>
      <c r="K892" s="14" t="n">
        <f aca="false">I892*J892</f>
        <v>19125</v>
      </c>
      <c r="L892" s="14" t="n">
        <f aca="false">($L$2*M892)/100</f>
        <v>540749.925</v>
      </c>
      <c r="M892" s="15" t="n">
        <v>0.45</v>
      </c>
      <c r="N892" s="9" t="s">
        <v>26</v>
      </c>
    </row>
    <row r="893" customFormat="false" ht="14.25" hidden="false" customHeight="true" outlineLevel="0" collapsed="false">
      <c r="B893" s="9" t="s">
        <v>36</v>
      </c>
      <c r="C893" s="9" t="n">
        <v>1189833</v>
      </c>
      <c r="D893" s="10" t="n">
        <v>44220</v>
      </c>
      <c r="E893" s="9" t="s">
        <v>38</v>
      </c>
      <c r="F893" s="9" t="s">
        <v>55</v>
      </c>
      <c r="G893" s="9" t="s">
        <v>56</v>
      </c>
      <c r="H893" s="11" t="s">
        <v>23</v>
      </c>
      <c r="I893" s="12" t="n">
        <v>40</v>
      </c>
      <c r="J893" s="13" t="n">
        <v>325</v>
      </c>
      <c r="K893" s="14" t="n">
        <f aca="false">I893*J893</f>
        <v>13000</v>
      </c>
      <c r="L893" s="14" t="n">
        <f aca="false">($L$2*M893)/100</f>
        <v>480666.6</v>
      </c>
      <c r="M893" s="15" t="n">
        <v>0.4</v>
      </c>
      <c r="N893" s="9" t="s">
        <v>26</v>
      </c>
    </row>
    <row r="894" customFormat="false" ht="14.25" hidden="false" customHeight="true" outlineLevel="0" collapsed="false">
      <c r="B894" s="9" t="s">
        <v>36</v>
      </c>
      <c r="C894" s="9" t="n">
        <v>1189833</v>
      </c>
      <c r="D894" s="10" t="n">
        <v>44221</v>
      </c>
      <c r="E894" s="9" t="s">
        <v>38</v>
      </c>
      <c r="F894" s="9" t="s">
        <v>55</v>
      </c>
      <c r="G894" s="9" t="s">
        <v>56</v>
      </c>
      <c r="H894" s="11" t="s">
        <v>24</v>
      </c>
      <c r="I894" s="12" t="n">
        <v>45</v>
      </c>
      <c r="J894" s="13" t="n">
        <v>225</v>
      </c>
      <c r="K894" s="14" t="n">
        <f aca="false">I894*J894</f>
        <v>10125</v>
      </c>
      <c r="L894" s="14" t="n">
        <f aca="false">($L$2*M894)/100</f>
        <v>720999.9</v>
      </c>
      <c r="M894" s="15" t="n">
        <v>0.6</v>
      </c>
      <c r="N894" s="9" t="s">
        <v>26</v>
      </c>
    </row>
    <row r="895" customFormat="false" ht="14.25" hidden="false" customHeight="true" outlineLevel="0" collapsed="false">
      <c r="B895" s="9" t="s">
        <v>36</v>
      </c>
      <c r="C895" s="9" t="n">
        <v>1189833</v>
      </c>
      <c r="D895" s="10" t="n">
        <v>44222</v>
      </c>
      <c r="E895" s="9" t="s">
        <v>38</v>
      </c>
      <c r="F895" s="9" t="s">
        <v>55</v>
      </c>
      <c r="G895" s="9" t="s">
        <v>56</v>
      </c>
      <c r="H895" s="11" t="s">
        <v>25</v>
      </c>
      <c r="I895" s="12" t="n">
        <v>60</v>
      </c>
      <c r="J895" s="13" t="n">
        <v>400</v>
      </c>
      <c r="K895" s="14" t="n">
        <f aca="false">I895*J895</f>
        <v>24000</v>
      </c>
      <c r="L895" s="14" t="n">
        <f aca="false">($L$2*M895)/100</f>
        <v>300416.625</v>
      </c>
      <c r="M895" s="15" t="n">
        <v>0.25</v>
      </c>
      <c r="N895" s="9" t="s">
        <v>26</v>
      </c>
    </row>
    <row r="896" customFormat="false" ht="14.25" hidden="false" customHeight="true" outlineLevel="0" collapsed="false">
      <c r="B896" s="9" t="s">
        <v>36</v>
      </c>
      <c r="C896" s="9" t="n">
        <v>1189833</v>
      </c>
      <c r="D896" s="10" t="n">
        <v>44223</v>
      </c>
      <c r="E896" s="9" t="s">
        <v>38</v>
      </c>
      <c r="F896" s="9" t="s">
        <v>55</v>
      </c>
      <c r="G896" s="9" t="s">
        <v>56</v>
      </c>
      <c r="H896" s="11" t="s">
        <v>19</v>
      </c>
      <c r="I896" s="12" t="n">
        <v>40</v>
      </c>
      <c r="J896" s="13" t="n">
        <v>675</v>
      </c>
      <c r="K896" s="14" t="n">
        <f aca="false">I896*J896</f>
        <v>27000</v>
      </c>
      <c r="L896" s="14" t="n">
        <f aca="false">($L$2*M896)/100</f>
        <v>540749.925</v>
      </c>
      <c r="M896" s="15" t="n">
        <v>0.45</v>
      </c>
      <c r="N896" s="9" t="s">
        <v>26</v>
      </c>
    </row>
    <row r="897" customFormat="false" ht="14.25" hidden="false" customHeight="true" outlineLevel="0" collapsed="false">
      <c r="B897" s="9" t="s">
        <v>36</v>
      </c>
      <c r="C897" s="9" t="n">
        <v>1189833</v>
      </c>
      <c r="D897" s="10" t="n">
        <v>44224</v>
      </c>
      <c r="E897" s="9" t="s">
        <v>38</v>
      </c>
      <c r="F897" s="9" t="s">
        <v>55</v>
      </c>
      <c r="G897" s="9" t="s">
        <v>56</v>
      </c>
      <c r="H897" s="11" t="s">
        <v>21</v>
      </c>
      <c r="I897" s="12" t="n">
        <v>45</v>
      </c>
      <c r="J897" s="13" t="n">
        <v>525</v>
      </c>
      <c r="K897" s="14" t="n">
        <f aca="false">I897*J897</f>
        <v>23625</v>
      </c>
      <c r="L897" s="14" t="n">
        <f aca="false">($L$2*M897)/100</f>
        <v>360499.95</v>
      </c>
      <c r="M897" s="15" t="n">
        <v>0.3</v>
      </c>
      <c r="N897" s="9" t="s">
        <v>26</v>
      </c>
    </row>
    <row r="898" customFormat="false" ht="14.25" hidden="false" customHeight="true" outlineLevel="0" collapsed="false">
      <c r="B898" s="9" t="s">
        <v>36</v>
      </c>
      <c r="C898" s="9" t="n">
        <v>1189833</v>
      </c>
      <c r="D898" s="10" t="n">
        <v>44225</v>
      </c>
      <c r="E898" s="9" t="s">
        <v>38</v>
      </c>
      <c r="F898" s="9" t="s">
        <v>55</v>
      </c>
      <c r="G898" s="9" t="s">
        <v>56</v>
      </c>
      <c r="H898" s="11" t="s">
        <v>22</v>
      </c>
      <c r="I898" s="12" t="n">
        <v>45</v>
      </c>
      <c r="J898" s="13" t="n">
        <v>550</v>
      </c>
      <c r="K898" s="14" t="n">
        <f aca="false">I898*J898</f>
        <v>24750</v>
      </c>
      <c r="L898" s="14" t="n">
        <f aca="false">($L$2*M898)/100</f>
        <v>540749.925</v>
      </c>
      <c r="M898" s="15" t="n">
        <v>0.45</v>
      </c>
      <c r="N898" s="9" t="s">
        <v>26</v>
      </c>
    </row>
    <row r="899" customFormat="false" ht="14.25" hidden="false" customHeight="true" outlineLevel="0" collapsed="false">
      <c r="B899" s="9" t="s">
        <v>36</v>
      </c>
      <c r="C899" s="9" t="n">
        <v>1189833</v>
      </c>
      <c r="D899" s="10" t="n">
        <v>44226</v>
      </c>
      <c r="E899" s="9" t="s">
        <v>38</v>
      </c>
      <c r="F899" s="9" t="s">
        <v>55</v>
      </c>
      <c r="G899" s="9" t="s">
        <v>56</v>
      </c>
      <c r="H899" s="11" t="s">
        <v>23</v>
      </c>
      <c r="I899" s="12" t="n">
        <v>40</v>
      </c>
      <c r="J899" s="13" t="n">
        <v>425</v>
      </c>
      <c r="K899" s="14" t="n">
        <f aca="false">I899*J899</f>
        <v>17000</v>
      </c>
      <c r="L899" s="14" t="n">
        <f aca="false">($L$2*M899)/100</f>
        <v>480666.6</v>
      </c>
      <c r="M899" s="15" t="n">
        <v>0.4</v>
      </c>
      <c r="N899" s="9" t="s">
        <v>26</v>
      </c>
    </row>
    <row r="900" customFormat="false" ht="14.25" hidden="false" customHeight="true" outlineLevel="0" collapsed="false">
      <c r="B900" s="9" t="s">
        <v>36</v>
      </c>
      <c r="C900" s="9" t="n">
        <v>1189833</v>
      </c>
      <c r="D900" s="10" t="n">
        <v>44227</v>
      </c>
      <c r="E900" s="9" t="s">
        <v>38</v>
      </c>
      <c r="F900" s="9" t="s">
        <v>55</v>
      </c>
      <c r="G900" s="9" t="s">
        <v>56</v>
      </c>
      <c r="H900" s="11" t="s">
        <v>24</v>
      </c>
      <c r="I900" s="12" t="n">
        <v>45</v>
      </c>
      <c r="J900" s="13" t="n">
        <v>300</v>
      </c>
      <c r="K900" s="14" t="n">
        <f aca="false">I900*J900</f>
        <v>13500</v>
      </c>
      <c r="L900" s="14" t="n">
        <f aca="false">($L$2*M900)/100</f>
        <v>720999.9</v>
      </c>
      <c r="M900" s="15" t="n">
        <v>0.6</v>
      </c>
      <c r="N900" s="9" t="s">
        <v>26</v>
      </c>
    </row>
    <row r="901" customFormat="false" ht="14.25" hidden="false" customHeight="true" outlineLevel="0" collapsed="false">
      <c r="B901" s="9" t="s">
        <v>36</v>
      </c>
      <c r="C901" s="9" t="n">
        <v>1189833</v>
      </c>
      <c r="D901" s="10" t="n">
        <v>44228</v>
      </c>
      <c r="E901" s="9" t="s">
        <v>38</v>
      </c>
      <c r="F901" s="9" t="s">
        <v>55</v>
      </c>
      <c r="G901" s="9" t="s">
        <v>56</v>
      </c>
      <c r="H901" s="11" t="s">
        <v>25</v>
      </c>
      <c r="I901" s="12" t="n">
        <v>60</v>
      </c>
      <c r="J901" s="13" t="n">
        <v>600</v>
      </c>
      <c r="K901" s="14" t="n">
        <f aca="false">I901*J901</f>
        <v>36000</v>
      </c>
      <c r="L901" s="14" t="n">
        <f aca="false">($L$2*M901)/100</f>
        <v>300416.625</v>
      </c>
      <c r="M901" s="15" t="n">
        <v>0.25</v>
      </c>
      <c r="N901" s="9" t="s">
        <v>26</v>
      </c>
    </row>
    <row r="902" customFormat="false" ht="14.25" hidden="false" customHeight="true" outlineLevel="0" collapsed="false">
      <c r="B902" s="9" t="s">
        <v>36</v>
      </c>
      <c r="C902" s="9" t="n">
        <v>1189833</v>
      </c>
      <c r="D902" s="10" t="n">
        <v>44229</v>
      </c>
      <c r="E902" s="9" t="s">
        <v>38</v>
      </c>
      <c r="F902" s="9" t="s">
        <v>55</v>
      </c>
      <c r="G902" s="9" t="s">
        <v>56</v>
      </c>
      <c r="H902" s="11" t="s">
        <v>19</v>
      </c>
      <c r="I902" s="12" t="n">
        <v>40</v>
      </c>
      <c r="J902" s="13" t="n">
        <v>750</v>
      </c>
      <c r="K902" s="14" t="n">
        <f aca="false">I902*J902</f>
        <v>30000</v>
      </c>
      <c r="L902" s="14" t="n">
        <f aca="false">($L$2*M902)/100</f>
        <v>540749.925</v>
      </c>
      <c r="M902" s="15" t="n">
        <v>0.45</v>
      </c>
      <c r="N902" s="9" t="s">
        <v>26</v>
      </c>
    </row>
    <row r="903" customFormat="false" ht="14.25" hidden="false" customHeight="true" outlineLevel="0" collapsed="false">
      <c r="B903" s="9" t="s">
        <v>36</v>
      </c>
      <c r="C903" s="9" t="n">
        <v>1189833</v>
      </c>
      <c r="D903" s="10" t="n">
        <v>44230</v>
      </c>
      <c r="E903" s="9" t="s">
        <v>38</v>
      </c>
      <c r="F903" s="9" t="s">
        <v>55</v>
      </c>
      <c r="G903" s="9" t="s">
        <v>56</v>
      </c>
      <c r="H903" s="11" t="s">
        <v>21</v>
      </c>
      <c r="I903" s="12" t="n">
        <v>45</v>
      </c>
      <c r="J903" s="13" t="n">
        <v>600</v>
      </c>
      <c r="K903" s="14" t="n">
        <f aca="false">I903*J903</f>
        <v>27000</v>
      </c>
      <c r="L903" s="14" t="n">
        <f aca="false">($L$2*M903)/100</f>
        <v>360499.95</v>
      </c>
      <c r="M903" s="15" t="n">
        <v>0.3</v>
      </c>
      <c r="N903" s="9" t="s">
        <v>26</v>
      </c>
    </row>
    <row r="904" customFormat="false" ht="14.25" hidden="false" customHeight="true" outlineLevel="0" collapsed="false">
      <c r="B904" s="9" t="s">
        <v>36</v>
      </c>
      <c r="C904" s="9" t="n">
        <v>1189833</v>
      </c>
      <c r="D904" s="10" t="n">
        <v>44231</v>
      </c>
      <c r="E904" s="9" t="s">
        <v>38</v>
      </c>
      <c r="F904" s="9" t="s">
        <v>55</v>
      </c>
      <c r="G904" s="9" t="s">
        <v>56</v>
      </c>
      <c r="H904" s="11" t="s">
        <v>22</v>
      </c>
      <c r="I904" s="12" t="n">
        <v>45</v>
      </c>
      <c r="J904" s="13" t="n">
        <v>550</v>
      </c>
      <c r="K904" s="14" t="n">
        <f aca="false">I904*J904</f>
        <v>24750</v>
      </c>
      <c r="L904" s="14" t="n">
        <f aca="false">($L$2*M904)/100</f>
        <v>540749.925</v>
      </c>
      <c r="M904" s="15" t="n">
        <v>0.45</v>
      </c>
      <c r="N904" s="9" t="s">
        <v>26</v>
      </c>
    </row>
    <row r="905" customFormat="false" ht="14.25" hidden="false" customHeight="true" outlineLevel="0" collapsed="false">
      <c r="B905" s="9" t="s">
        <v>36</v>
      </c>
      <c r="C905" s="9" t="n">
        <v>1189833</v>
      </c>
      <c r="D905" s="10" t="n">
        <v>44232</v>
      </c>
      <c r="E905" s="9" t="s">
        <v>38</v>
      </c>
      <c r="F905" s="9" t="s">
        <v>55</v>
      </c>
      <c r="G905" s="9" t="s">
        <v>56</v>
      </c>
      <c r="H905" s="11" t="s">
        <v>23</v>
      </c>
      <c r="I905" s="12" t="n">
        <v>40</v>
      </c>
      <c r="J905" s="13" t="n">
        <v>450</v>
      </c>
      <c r="K905" s="14" t="n">
        <f aca="false">I905*J905</f>
        <v>18000</v>
      </c>
      <c r="L905" s="14" t="n">
        <f aca="false">($L$2*M905)/100</f>
        <v>480666.6</v>
      </c>
      <c r="M905" s="15" t="n">
        <v>0.4</v>
      </c>
      <c r="N905" s="9" t="s">
        <v>26</v>
      </c>
    </row>
    <row r="906" customFormat="false" ht="14.25" hidden="false" customHeight="true" outlineLevel="0" collapsed="false">
      <c r="B906" s="9" t="s">
        <v>36</v>
      </c>
      <c r="C906" s="9" t="n">
        <v>1189833</v>
      </c>
      <c r="D906" s="10" t="n">
        <v>44233</v>
      </c>
      <c r="E906" s="9" t="s">
        <v>38</v>
      </c>
      <c r="F906" s="9" t="s">
        <v>55</v>
      </c>
      <c r="G906" s="9" t="s">
        <v>56</v>
      </c>
      <c r="H906" s="11" t="s">
        <v>24</v>
      </c>
      <c r="I906" s="12" t="n">
        <v>45</v>
      </c>
      <c r="J906" s="13" t="n">
        <v>475</v>
      </c>
      <c r="K906" s="14" t="n">
        <f aca="false">I906*J906</f>
        <v>21375</v>
      </c>
      <c r="L906" s="14" t="n">
        <f aca="false">($L$2*M906)/100</f>
        <v>720999.9</v>
      </c>
      <c r="M906" s="15" t="n">
        <v>0.6</v>
      </c>
      <c r="N906" s="9" t="s">
        <v>26</v>
      </c>
    </row>
    <row r="907" customFormat="false" ht="14.25" hidden="false" customHeight="true" outlineLevel="0" collapsed="false">
      <c r="B907" s="9" t="s">
        <v>36</v>
      </c>
      <c r="C907" s="9" t="n">
        <v>1189833</v>
      </c>
      <c r="D907" s="10" t="n">
        <v>44234</v>
      </c>
      <c r="E907" s="9" t="s">
        <v>38</v>
      </c>
      <c r="F907" s="9" t="s">
        <v>55</v>
      </c>
      <c r="G907" s="9" t="s">
        <v>56</v>
      </c>
      <c r="H907" s="11" t="s">
        <v>25</v>
      </c>
      <c r="I907" s="12" t="n">
        <v>60</v>
      </c>
      <c r="J907" s="13" t="n">
        <v>475</v>
      </c>
      <c r="K907" s="14" t="n">
        <f aca="false">I907*J907</f>
        <v>28500</v>
      </c>
      <c r="L907" s="14" t="n">
        <f aca="false">($L$2*M907)/100</f>
        <v>300416.625</v>
      </c>
      <c r="M907" s="15" t="n">
        <v>0.25</v>
      </c>
      <c r="N907" s="9" t="s">
        <v>26</v>
      </c>
    </row>
    <row r="908" customFormat="false" ht="14.25" hidden="false" customHeight="true" outlineLevel="0" collapsed="false">
      <c r="B908" s="9" t="s">
        <v>36</v>
      </c>
      <c r="C908" s="9" t="n">
        <v>1189833</v>
      </c>
      <c r="D908" s="10" t="n">
        <v>44235</v>
      </c>
      <c r="E908" s="9" t="s">
        <v>38</v>
      </c>
      <c r="F908" s="9" t="s">
        <v>55</v>
      </c>
      <c r="G908" s="9" t="s">
        <v>56</v>
      </c>
      <c r="H908" s="11" t="s">
        <v>19</v>
      </c>
      <c r="I908" s="12" t="n">
        <v>45</v>
      </c>
      <c r="J908" s="13" t="n">
        <v>675</v>
      </c>
      <c r="K908" s="14" t="n">
        <f aca="false">I908*J908</f>
        <v>30375</v>
      </c>
      <c r="L908" s="14" t="n">
        <f aca="false">($L$2*M908)/100</f>
        <v>540749.925</v>
      </c>
      <c r="M908" s="15" t="n">
        <v>0.45</v>
      </c>
      <c r="N908" s="9" t="s">
        <v>26</v>
      </c>
    </row>
    <row r="909" customFormat="false" ht="14.25" hidden="false" customHeight="true" outlineLevel="0" collapsed="false">
      <c r="B909" s="9" t="s">
        <v>36</v>
      </c>
      <c r="C909" s="9" t="n">
        <v>1189833</v>
      </c>
      <c r="D909" s="10" t="n">
        <v>44236</v>
      </c>
      <c r="E909" s="9" t="s">
        <v>38</v>
      </c>
      <c r="F909" s="9" t="s">
        <v>55</v>
      </c>
      <c r="G909" s="9" t="s">
        <v>56</v>
      </c>
      <c r="H909" s="11" t="s">
        <v>21</v>
      </c>
      <c r="I909" s="12" t="n">
        <v>55</v>
      </c>
      <c r="J909" s="13" t="n">
        <v>625</v>
      </c>
      <c r="K909" s="14" t="n">
        <f aca="false">I909*J909</f>
        <v>34375</v>
      </c>
      <c r="L909" s="14" t="n">
        <f aca="false">($L$2*M909)/100</f>
        <v>360499.95</v>
      </c>
      <c r="M909" s="15" t="n">
        <v>0.3</v>
      </c>
      <c r="N909" s="9" t="s">
        <v>26</v>
      </c>
    </row>
    <row r="910" customFormat="false" ht="14.25" hidden="false" customHeight="true" outlineLevel="0" collapsed="false">
      <c r="B910" s="9" t="s">
        <v>36</v>
      </c>
      <c r="C910" s="9" t="n">
        <v>1189833</v>
      </c>
      <c r="D910" s="10" t="n">
        <v>44237</v>
      </c>
      <c r="E910" s="9" t="s">
        <v>38</v>
      </c>
      <c r="F910" s="9" t="s">
        <v>55</v>
      </c>
      <c r="G910" s="9" t="s">
        <v>56</v>
      </c>
      <c r="H910" s="11" t="s">
        <v>22</v>
      </c>
      <c r="I910" s="12" t="n">
        <v>50</v>
      </c>
      <c r="J910" s="13" t="n">
        <v>500</v>
      </c>
      <c r="K910" s="14" t="n">
        <f aca="false">I910*J910</f>
        <v>25000</v>
      </c>
      <c r="L910" s="14" t="n">
        <f aca="false">($L$2*M910)/100</f>
        <v>540749.925</v>
      </c>
      <c r="M910" s="15" t="n">
        <v>0.45</v>
      </c>
      <c r="N910" s="9" t="s">
        <v>26</v>
      </c>
    </row>
    <row r="911" customFormat="false" ht="14.25" hidden="false" customHeight="true" outlineLevel="0" collapsed="false">
      <c r="B911" s="9" t="s">
        <v>36</v>
      </c>
      <c r="C911" s="9" t="n">
        <v>1189833</v>
      </c>
      <c r="D911" s="10" t="n">
        <v>44238</v>
      </c>
      <c r="E911" s="9" t="s">
        <v>38</v>
      </c>
      <c r="F911" s="9" t="s">
        <v>55</v>
      </c>
      <c r="G911" s="9" t="s">
        <v>56</v>
      </c>
      <c r="H911" s="11" t="s">
        <v>23</v>
      </c>
      <c r="I911" s="12" t="n">
        <v>45</v>
      </c>
      <c r="J911" s="13" t="n">
        <v>425</v>
      </c>
      <c r="K911" s="14" t="n">
        <f aca="false">I911*J911</f>
        <v>19125</v>
      </c>
      <c r="L911" s="14" t="n">
        <f aca="false">($L$2*M911)/100</f>
        <v>480666.6</v>
      </c>
      <c r="M911" s="15" t="n">
        <v>0.4</v>
      </c>
      <c r="N911" s="9" t="s">
        <v>26</v>
      </c>
    </row>
    <row r="912" customFormat="false" ht="14.25" hidden="false" customHeight="true" outlineLevel="0" collapsed="false">
      <c r="B912" s="9" t="s">
        <v>36</v>
      </c>
      <c r="C912" s="9" t="n">
        <v>1189833</v>
      </c>
      <c r="D912" s="10" t="n">
        <v>44239</v>
      </c>
      <c r="E912" s="9" t="s">
        <v>38</v>
      </c>
      <c r="F912" s="9" t="s">
        <v>55</v>
      </c>
      <c r="G912" s="9" t="s">
        <v>56</v>
      </c>
      <c r="H912" s="11" t="s">
        <v>24</v>
      </c>
      <c r="I912" s="12" t="n">
        <v>55</v>
      </c>
      <c r="J912" s="13" t="n">
        <v>425</v>
      </c>
      <c r="K912" s="14" t="n">
        <f aca="false">I912*J912</f>
        <v>23375</v>
      </c>
      <c r="L912" s="14" t="n">
        <f aca="false">($L$2*M912)/100</f>
        <v>720999.9</v>
      </c>
      <c r="M912" s="15" t="n">
        <v>0.6</v>
      </c>
      <c r="N912" s="9" t="s">
        <v>26</v>
      </c>
    </row>
    <row r="913" customFormat="false" ht="14.25" hidden="false" customHeight="true" outlineLevel="0" collapsed="false">
      <c r="B913" s="9" t="s">
        <v>36</v>
      </c>
      <c r="C913" s="9" t="n">
        <v>1189833</v>
      </c>
      <c r="D913" s="10" t="n">
        <v>44240</v>
      </c>
      <c r="E913" s="9" t="s">
        <v>38</v>
      </c>
      <c r="F913" s="9" t="s">
        <v>55</v>
      </c>
      <c r="G913" s="9" t="s">
        <v>56</v>
      </c>
      <c r="H913" s="11" t="s">
        <v>25</v>
      </c>
      <c r="I913" s="12" t="n">
        <v>60</v>
      </c>
      <c r="J913" s="13" t="n">
        <v>400</v>
      </c>
      <c r="K913" s="14" t="n">
        <f aca="false">I913*J913</f>
        <v>24000</v>
      </c>
      <c r="L913" s="14" t="n">
        <f aca="false">($L$2*M913)/100</f>
        <v>300416.625</v>
      </c>
      <c r="M913" s="15" t="n">
        <v>0.25</v>
      </c>
      <c r="N913" s="9" t="s">
        <v>26</v>
      </c>
    </row>
    <row r="914" customFormat="false" ht="14.25" hidden="false" customHeight="true" outlineLevel="0" collapsed="false">
      <c r="B914" s="9" t="s">
        <v>36</v>
      </c>
      <c r="C914" s="9" t="n">
        <v>1189833</v>
      </c>
      <c r="D914" s="10" t="n">
        <v>44241</v>
      </c>
      <c r="E914" s="9" t="s">
        <v>38</v>
      </c>
      <c r="F914" s="9" t="s">
        <v>55</v>
      </c>
      <c r="G914" s="9" t="s">
        <v>56</v>
      </c>
      <c r="H914" s="11" t="s">
        <v>19</v>
      </c>
      <c r="I914" s="12" t="n">
        <v>45</v>
      </c>
      <c r="J914" s="13" t="n">
        <v>600</v>
      </c>
      <c r="K914" s="14" t="n">
        <f aca="false">I914*J914</f>
        <v>27000</v>
      </c>
      <c r="L914" s="14" t="n">
        <f aca="false">($L$2*M914)/100</f>
        <v>540749.925</v>
      </c>
      <c r="M914" s="15" t="n">
        <v>0.45</v>
      </c>
      <c r="N914" s="9" t="s">
        <v>26</v>
      </c>
    </row>
    <row r="915" customFormat="false" ht="14.25" hidden="false" customHeight="true" outlineLevel="0" collapsed="false">
      <c r="B915" s="9" t="s">
        <v>36</v>
      </c>
      <c r="C915" s="9" t="n">
        <v>1189833</v>
      </c>
      <c r="D915" s="10" t="n">
        <v>44242</v>
      </c>
      <c r="E915" s="9" t="s">
        <v>38</v>
      </c>
      <c r="F915" s="9" t="s">
        <v>55</v>
      </c>
      <c r="G915" s="9" t="s">
        <v>56</v>
      </c>
      <c r="H915" s="11" t="s">
        <v>21</v>
      </c>
      <c r="I915" s="12" t="n">
        <v>50</v>
      </c>
      <c r="J915" s="13" t="n">
        <v>600</v>
      </c>
      <c r="K915" s="14" t="n">
        <f aca="false">I915*J915</f>
        <v>30000</v>
      </c>
      <c r="L915" s="14" t="n">
        <f aca="false">($L$2*M915)/100</f>
        <v>360499.95</v>
      </c>
      <c r="M915" s="15" t="n">
        <v>0.3</v>
      </c>
      <c r="N915" s="9" t="s">
        <v>26</v>
      </c>
    </row>
    <row r="916" customFormat="false" ht="14.25" hidden="false" customHeight="true" outlineLevel="0" collapsed="false">
      <c r="B916" s="9" t="s">
        <v>36</v>
      </c>
      <c r="C916" s="9" t="n">
        <v>1189833</v>
      </c>
      <c r="D916" s="10" t="n">
        <v>44243</v>
      </c>
      <c r="E916" s="9" t="s">
        <v>38</v>
      </c>
      <c r="F916" s="9" t="s">
        <v>55</v>
      </c>
      <c r="G916" s="9" t="s">
        <v>56</v>
      </c>
      <c r="H916" s="11" t="s">
        <v>22</v>
      </c>
      <c r="I916" s="12" t="n">
        <v>45</v>
      </c>
      <c r="J916" s="13" t="n">
        <v>450</v>
      </c>
      <c r="K916" s="14" t="n">
        <f aca="false">I916*J916</f>
        <v>20250</v>
      </c>
      <c r="L916" s="14" t="n">
        <f aca="false">($L$2*M916)/100</f>
        <v>540749.925</v>
      </c>
      <c r="M916" s="15" t="n">
        <v>0.45</v>
      </c>
      <c r="N916" s="9" t="s">
        <v>26</v>
      </c>
    </row>
    <row r="917" customFormat="false" ht="14.25" hidden="false" customHeight="true" outlineLevel="0" collapsed="false">
      <c r="B917" s="9" t="s">
        <v>36</v>
      </c>
      <c r="C917" s="9" t="n">
        <v>1189833</v>
      </c>
      <c r="D917" s="10" t="n">
        <v>44244</v>
      </c>
      <c r="E917" s="9" t="s">
        <v>38</v>
      </c>
      <c r="F917" s="9" t="s">
        <v>55</v>
      </c>
      <c r="G917" s="9" t="s">
        <v>56</v>
      </c>
      <c r="H917" s="11" t="s">
        <v>23</v>
      </c>
      <c r="I917" s="12" t="n">
        <v>45</v>
      </c>
      <c r="J917" s="13" t="n">
        <v>400</v>
      </c>
      <c r="K917" s="14" t="n">
        <f aca="false">I917*J917</f>
        <v>18000</v>
      </c>
      <c r="L917" s="14" t="n">
        <f aca="false">($L$2*M917)/100</f>
        <v>480666.6</v>
      </c>
      <c r="M917" s="15" t="n">
        <v>0.4</v>
      </c>
      <c r="N917" s="9" t="s">
        <v>26</v>
      </c>
    </row>
    <row r="918" customFormat="false" ht="14.25" hidden="false" customHeight="true" outlineLevel="0" collapsed="false">
      <c r="B918" s="9" t="s">
        <v>36</v>
      </c>
      <c r="C918" s="9" t="n">
        <v>1189833</v>
      </c>
      <c r="D918" s="10" t="n">
        <v>44245</v>
      </c>
      <c r="E918" s="9" t="s">
        <v>38</v>
      </c>
      <c r="F918" s="9" t="s">
        <v>55</v>
      </c>
      <c r="G918" s="9" t="s">
        <v>56</v>
      </c>
      <c r="H918" s="11" t="s">
        <v>24</v>
      </c>
      <c r="I918" s="12" t="n">
        <v>55</v>
      </c>
      <c r="J918" s="13" t="n">
        <v>400</v>
      </c>
      <c r="K918" s="14" t="n">
        <f aca="false">I918*J918</f>
        <v>22000</v>
      </c>
      <c r="L918" s="14" t="n">
        <f aca="false">($L$2*M918)/100</f>
        <v>720999.9</v>
      </c>
      <c r="M918" s="15" t="n">
        <v>0.6</v>
      </c>
      <c r="N918" s="9" t="s">
        <v>26</v>
      </c>
    </row>
    <row r="919" customFormat="false" ht="14.25" hidden="false" customHeight="true" outlineLevel="0" collapsed="false">
      <c r="B919" s="9" t="s">
        <v>36</v>
      </c>
      <c r="C919" s="9" t="n">
        <v>1189833</v>
      </c>
      <c r="D919" s="10" t="n">
        <v>44246</v>
      </c>
      <c r="E919" s="9" t="s">
        <v>38</v>
      </c>
      <c r="F919" s="9" t="s">
        <v>55</v>
      </c>
      <c r="G919" s="9" t="s">
        <v>56</v>
      </c>
      <c r="H919" s="11" t="s">
        <v>25</v>
      </c>
      <c r="I919" s="12" t="n">
        <v>60</v>
      </c>
      <c r="J919" s="13" t="n">
        <v>450</v>
      </c>
      <c r="K919" s="14" t="n">
        <f aca="false">I919*J919</f>
        <v>27000</v>
      </c>
      <c r="L919" s="14" t="n">
        <f aca="false">($L$2*M919)/100</f>
        <v>300416.625</v>
      </c>
      <c r="M919" s="15" t="n">
        <v>0.25</v>
      </c>
      <c r="N919" s="9" t="s">
        <v>26</v>
      </c>
    </row>
    <row r="920" customFormat="false" ht="14.25" hidden="false" customHeight="true" outlineLevel="0" collapsed="false">
      <c r="B920" s="9" t="s">
        <v>36</v>
      </c>
      <c r="C920" s="9" t="n">
        <v>1189833</v>
      </c>
      <c r="D920" s="10" t="n">
        <v>44247</v>
      </c>
      <c r="E920" s="9" t="s">
        <v>38</v>
      </c>
      <c r="F920" s="9" t="s">
        <v>55</v>
      </c>
      <c r="G920" s="9" t="s">
        <v>56</v>
      </c>
      <c r="H920" s="11" t="s">
        <v>19</v>
      </c>
      <c r="I920" s="12" t="n">
        <v>45</v>
      </c>
      <c r="J920" s="13" t="n">
        <v>550</v>
      </c>
      <c r="K920" s="14" t="n">
        <f aca="false">I920*J920</f>
        <v>24750</v>
      </c>
      <c r="L920" s="14" t="n">
        <f aca="false">($L$2*M920)/100</f>
        <v>540749.925</v>
      </c>
      <c r="M920" s="15" t="n">
        <v>0.45</v>
      </c>
      <c r="N920" s="9" t="s">
        <v>26</v>
      </c>
    </row>
    <row r="921" customFormat="false" ht="14.25" hidden="false" customHeight="true" outlineLevel="0" collapsed="false">
      <c r="B921" s="9" t="s">
        <v>36</v>
      </c>
      <c r="C921" s="9" t="n">
        <v>1189833</v>
      </c>
      <c r="D921" s="10" t="n">
        <v>44248</v>
      </c>
      <c r="E921" s="9" t="s">
        <v>38</v>
      </c>
      <c r="F921" s="9" t="s">
        <v>55</v>
      </c>
      <c r="G921" s="9" t="s">
        <v>56</v>
      </c>
      <c r="H921" s="11" t="s">
        <v>21</v>
      </c>
      <c r="I921" s="12" t="n">
        <v>50</v>
      </c>
      <c r="J921" s="13" t="n">
        <v>550</v>
      </c>
      <c r="K921" s="14" t="n">
        <f aca="false">I921*J921</f>
        <v>27500</v>
      </c>
      <c r="L921" s="14" t="n">
        <f aca="false">($L$2*M921)/100</f>
        <v>360499.95</v>
      </c>
      <c r="M921" s="15" t="n">
        <v>0.3</v>
      </c>
      <c r="N921" s="9" t="s">
        <v>26</v>
      </c>
    </row>
    <row r="922" customFormat="false" ht="14.25" hidden="false" customHeight="true" outlineLevel="0" collapsed="false">
      <c r="B922" s="9" t="s">
        <v>36</v>
      </c>
      <c r="C922" s="9" t="n">
        <v>1189833</v>
      </c>
      <c r="D922" s="10" t="n">
        <v>44249</v>
      </c>
      <c r="E922" s="9" t="s">
        <v>38</v>
      </c>
      <c r="F922" s="9" t="s">
        <v>55</v>
      </c>
      <c r="G922" s="9" t="s">
        <v>56</v>
      </c>
      <c r="H922" s="11" t="s">
        <v>22</v>
      </c>
      <c r="I922" s="12" t="n">
        <v>45</v>
      </c>
      <c r="J922" s="13" t="n">
        <v>400</v>
      </c>
      <c r="K922" s="14" t="n">
        <f aca="false">I922*J922</f>
        <v>18000</v>
      </c>
      <c r="L922" s="14" t="n">
        <f aca="false">($L$2*M922)/100</f>
        <v>540749.925</v>
      </c>
      <c r="M922" s="15" t="n">
        <v>0.45</v>
      </c>
      <c r="N922" s="9" t="s">
        <v>26</v>
      </c>
    </row>
    <row r="923" customFormat="false" ht="14.25" hidden="false" customHeight="true" outlineLevel="0" collapsed="false">
      <c r="B923" s="9" t="s">
        <v>36</v>
      </c>
      <c r="C923" s="9" t="n">
        <v>1189833</v>
      </c>
      <c r="D923" s="10" t="n">
        <v>44250</v>
      </c>
      <c r="E923" s="9" t="s">
        <v>38</v>
      </c>
      <c r="F923" s="9" t="s">
        <v>55</v>
      </c>
      <c r="G923" s="9" t="s">
        <v>56</v>
      </c>
      <c r="H923" s="11" t="s">
        <v>23</v>
      </c>
      <c r="I923" s="12" t="n">
        <v>45</v>
      </c>
      <c r="J923" s="13" t="n">
        <v>375</v>
      </c>
      <c r="K923" s="14" t="n">
        <f aca="false">I923*J923</f>
        <v>16875</v>
      </c>
      <c r="L923" s="14" t="n">
        <f aca="false">($L$2*M923)/100</f>
        <v>480666.6</v>
      </c>
      <c r="M923" s="15" t="n">
        <v>0.4</v>
      </c>
      <c r="N923" s="9" t="s">
        <v>26</v>
      </c>
    </row>
    <row r="924" customFormat="false" ht="14.25" hidden="false" customHeight="true" outlineLevel="0" collapsed="false">
      <c r="B924" s="9" t="s">
        <v>36</v>
      </c>
      <c r="C924" s="9" t="n">
        <v>1189833</v>
      </c>
      <c r="D924" s="10" t="n">
        <v>44251</v>
      </c>
      <c r="E924" s="9" t="s">
        <v>38</v>
      </c>
      <c r="F924" s="9" t="s">
        <v>55</v>
      </c>
      <c r="G924" s="9" t="s">
        <v>56</v>
      </c>
      <c r="H924" s="11" t="s">
        <v>24</v>
      </c>
      <c r="I924" s="12" t="n">
        <v>55</v>
      </c>
      <c r="J924" s="13" t="n">
        <v>350</v>
      </c>
      <c r="K924" s="14" t="n">
        <f aca="false">I924*J924</f>
        <v>19250</v>
      </c>
      <c r="L924" s="14" t="n">
        <f aca="false">($L$2*M924)/100</f>
        <v>720999.9</v>
      </c>
      <c r="M924" s="15" t="n">
        <v>0.6</v>
      </c>
      <c r="N924" s="9" t="s">
        <v>26</v>
      </c>
    </row>
    <row r="925" customFormat="false" ht="14.25" hidden="false" customHeight="true" outlineLevel="0" collapsed="false">
      <c r="B925" s="9" t="s">
        <v>36</v>
      </c>
      <c r="C925" s="9" t="n">
        <v>1189833</v>
      </c>
      <c r="D925" s="10" t="n">
        <v>44252</v>
      </c>
      <c r="E925" s="9" t="s">
        <v>38</v>
      </c>
      <c r="F925" s="9" t="s">
        <v>55</v>
      </c>
      <c r="G925" s="9" t="s">
        <v>56</v>
      </c>
      <c r="H925" s="11" t="s">
        <v>25</v>
      </c>
      <c r="I925" s="12" t="n">
        <v>60</v>
      </c>
      <c r="J925" s="13" t="n">
        <v>400</v>
      </c>
      <c r="K925" s="14" t="n">
        <f aca="false">I925*J925</f>
        <v>24000</v>
      </c>
      <c r="L925" s="14" t="n">
        <f aca="false">($L$2*M925)/100</f>
        <v>300416.625</v>
      </c>
      <c r="M925" s="15" t="n">
        <v>0.25</v>
      </c>
      <c r="N925" s="9" t="s">
        <v>26</v>
      </c>
    </row>
    <row r="926" customFormat="false" ht="14.25" hidden="false" customHeight="true" outlineLevel="0" collapsed="false">
      <c r="B926" s="9" t="s">
        <v>36</v>
      </c>
      <c r="C926" s="9" t="n">
        <v>1189833</v>
      </c>
      <c r="D926" s="10" t="n">
        <v>44253</v>
      </c>
      <c r="E926" s="9" t="s">
        <v>38</v>
      </c>
      <c r="F926" s="9" t="s">
        <v>55</v>
      </c>
      <c r="G926" s="9" t="s">
        <v>56</v>
      </c>
      <c r="H926" s="11" t="s">
        <v>19</v>
      </c>
      <c r="I926" s="12" t="n">
        <v>40</v>
      </c>
      <c r="J926" s="13" t="n">
        <v>575</v>
      </c>
      <c r="K926" s="14" t="n">
        <f aca="false">I926*J926</f>
        <v>23000</v>
      </c>
      <c r="L926" s="14" t="n">
        <f aca="false">($L$2*M926)/100</f>
        <v>540749.925</v>
      </c>
      <c r="M926" s="15" t="n">
        <v>0.45</v>
      </c>
      <c r="N926" s="9" t="s">
        <v>26</v>
      </c>
    </row>
    <row r="927" customFormat="false" ht="14.25" hidden="false" customHeight="true" outlineLevel="0" collapsed="false">
      <c r="B927" s="9" t="s">
        <v>36</v>
      </c>
      <c r="C927" s="9" t="n">
        <v>1189833</v>
      </c>
      <c r="D927" s="10" t="n">
        <v>44254</v>
      </c>
      <c r="E927" s="9" t="s">
        <v>38</v>
      </c>
      <c r="F927" s="9" t="s">
        <v>55</v>
      </c>
      <c r="G927" s="9" t="s">
        <v>56</v>
      </c>
      <c r="H927" s="11" t="s">
        <v>21</v>
      </c>
      <c r="I927" s="12" t="n">
        <v>45</v>
      </c>
      <c r="J927" s="13" t="n">
        <v>575</v>
      </c>
      <c r="K927" s="14" t="n">
        <f aca="false">I927*J927</f>
        <v>25875</v>
      </c>
      <c r="L927" s="14" t="n">
        <f aca="false">($L$2*M927)/100</f>
        <v>360499.95</v>
      </c>
      <c r="M927" s="15" t="n">
        <v>0.3</v>
      </c>
      <c r="N927" s="9" t="s">
        <v>26</v>
      </c>
    </row>
    <row r="928" customFormat="false" ht="14.25" hidden="false" customHeight="true" outlineLevel="0" collapsed="false">
      <c r="B928" s="9" t="s">
        <v>36</v>
      </c>
      <c r="C928" s="9" t="n">
        <v>1189833</v>
      </c>
      <c r="D928" s="10" t="n">
        <v>44255</v>
      </c>
      <c r="E928" s="9" t="s">
        <v>38</v>
      </c>
      <c r="F928" s="9" t="s">
        <v>55</v>
      </c>
      <c r="G928" s="9" t="s">
        <v>56</v>
      </c>
      <c r="H928" s="11" t="s">
        <v>22</v>
      </c>
      <c r="I928" s="12" t="n">
        <v>40</v>
      </c>
      <c r="J928" s="13" t="n">
        <v>425</v>
      </c>
      <c r="K928" s="14" t="n">
        <f aca="false">I928*J928</f>
        <v>17000</v>
      </c>
      <c r="L928" s="14" t="n">
        <f aca="false">($L$2*M928)/100</f>
        <v>540749.925</v>
      </c>
      <c r="M928" s="15" t="n">
        <v>0.45</v>
      </c>
      <c r="N928" s="9" t="s">
        <v>26</v>
      </c>
    </row>
    <row r="929" customFormat="false" ht="14.25" hidden="false" customHeight="true" outlineLevel="0" collapsed="false">
      <c r="B929" s="9" t="s">
        <v>36</v>
      </c>
      <c r="C929" s="9" t="n">
        <v>1189833</v>
      </c>
      <c r="D929" s="10" t="n">
        <v>44256</v>
      </c>
      <c r="E929" s="9" t="s">
        <v>38</v>
      </c>
      <c r="F929" s="9" t="s">
        <v>55</v>
      </c>
      <c r="G929" s="9" t="s">
        <v>56</v>
      </c>
      <c r="H929" s="11" t="s">
        <v>23</v>
      </c>
      <c r="I929" s="12" t="n">
        <v>40</v>
      </c>
      <c r="J929" s="13" t="n">
        <v>425</v>
      </c>
      <c r="K929" s="14" t="n">
        <f aca="false">I929*J929</f>
        <v>17000</v>
      </c>
      <c r="L929" s="14" t="n">
        <f aca="false">($L$2*M929)/100</f>
        <v>480666.6</v>
      </c>
      <c r="M929" s="15" t="n">
        <v>0.4</v>
      </c>
      <c r="N929" s="9" t="s">
        <v>26</v>
      </c>
    </row>
    <row r="930" customFormat="false" ht="14.25" hidden="false" customHeight="true" outlineLevel="0" collapsed="false">
      <c r="B930" s="9" t="s">
        <v>36</v>
      </c>
      <c r="C930" s="9" t="n">
        <v>1189833</v>
      </c>
      <c r="D930" s="10" t="n">
        <v>44257</v>
      </c>
      <c r="E930" s="9" t="s">
        <v>38</v>
      </c>
      <c r="F930" s="9" t="s">
        <v>55</v>
      </c>
      <c r="G930" s="9" t="s">
        <v>56</v>
      </c>
      <c r="H930" s="11" t="s">
        <v>24</v>
      </c>
      <c r="I930" s="12" t="n">
        <v>55</v>
      </c>
      <c r="J930" s="13" t="n">
        <v>375</v>
      </c>
      <c r="K930" s="14" t="n">
        <f aca="false">I930*J930</f>
        <v>20625</v>
      </c>
      <c r="L930" s="14" t="n">
        <f aca="false">($L$2*M930)/100</f>
        <v>720999.9</v>
      </c>
      <c r="M930" s="15" t="n">
        <v>0.6</v>
      </c>
      <c r="N930" s="9" t="s">
        <v>26</v>
      </c>
    </row>
    <row r="931" customFormat="false" ht="14.25" hidden="false" customHeight="true" outlineLevel="0" collapsed="false">
      <c r="B931" s="9" t="s">
        <v>36</v>
      </c>
      <c r="C931" s="9" t="n">
        <v>1189833</v>
      </c>
      <c r="D931" s="10" t="n">
        <v>44258</v>
      </c>
      <c r="E931" s="9" t="s">
        <v>38</v>
      </c>
      <c r="F931" s="9" t="s">
        <v>55</v>
      </c>
      <c r="G931" s="9" t="s">
        <v>56</v>
      </c>
      <c r="H931" s="11" t="s">
        <v>25</v>
      </c>
      <c r="I931" s="12" t="n">
        <v>60</v>
      </c>
      <c r="J931" s="13" t="n">
        <v>475</v>
      </c>
      <c r="K931" s="14" t="n">
        <f aca="false">I931*J931</f>
        <v>28500</v>
      </c>
      <c r="L931" s="14" t="n">
        <f aca="false">($L$2*M931)/100</f>
        <v>300416.625</v>
      </c>
      <c r="M931" s="15" t="n">
        <v>0.25</v>
      </c>
      <c r="N931" s="9" t="s">
        <v>26</v>
      </c>
    </row>
    <row r="932" customFormat="false" ht="14.25" hidden="false" customHeight="true" outlineLevel="0" collapsed="false">
      <c r="B932" s="9" t="s">
        <v>36</v>
      </c>
      <c r="C932" s="9" t="n">
        <v>1189833</v>
      </c>
      <c r="D932" s="10" t="n">
        <v>44259</v>
      </c>
      <c r="E932" s="9" t="s">
        <v>38</v>
      </c>
      <c r="F932" s="9" t="s">
        <v>55</v>
      </c>
      <c r="G932" s="9" t="s">
        <v>56</v>
      </c>
      <c r="H932" s="11" t="s">
        <v>19</v>
      </c>
      <c r="I932" s="12" t="n">
        <v>45</v>
      </c>
      <c r="J932" s="13" t="n">
        <v>675</v>
      </c>
      <c r="K932" s="14" t="n">
        <f aca="false">I932*J932</f>
        <v>30375</v>
      </c>
      <c r="L932" s="14" t="n">
        <f aca="false">($L$2*M932)/100</f>
        <v>540749.925</v>
      </c>
      <c r="M932" s="15" t="n">
        <v>0.45</v>
      </c>
      <c r="N932" s="9" t="s">
        <v>26</v>
      </c>
    </row>
    <row r="933" customFormat="false" ht="14.25" hidden="false" customHeight="true" outlineLevel="0" collapsed="false">
      <c r="B933" s="9" t="s">
        <v>36</v>
      </c>
      <c r="C933" s="9" t="n">
        <v>1189833</v>
      </c>
      <c r="D933" s="10" t="n">
        <v>44260</v>
      </c>
      <c r="E933" s="9" t="s">
        <v>38</v>
      </c>
      <c r="F933" s="9" t="s">
        <v>55</v>
      </c>
      <c r="G933" s="9" t="s">
        <v>56</v>
      </c>
      <c r="H933" s="11" t="s">
        <v>21</v>
      </c>
      <c r="I933" s="12" t="n">
        <v>50</v>
      </c>
      <c r="J933" s="13" t="n">
        <v>675</v>
      </c>
      <c r="K933" s="14" t="n">
        <f aca="false">I933*J933</f>
        <v>33750</v>
      </c>
      <c r="L933" s="14" t="n">
        <f aca="false">($L$2*M933)/100</f>
        <v>360499.95</v>
      </c>
      <c r="M933" s="15" t="n">
        <v>0.3</v>
      </c>
      <c r="N933" s="9" t="s">
        <v>26</v>
      </c>
    </row>
    <row r="934" customFormat="false" ht="14.25" hidden="false" customHeight="true" outlineLevel="0" collapsed="false">
      <c r="B934" s="9" t="s">
        <v>36</v>
      </c>
      <c r="C934" s="9" t="n">
        <v>1189833</v>
      </c>
      <c r="D934" s="10" t="n">
        <v>44261</v>
      </c>
      <c r="E934" s="9" t="s">
        <v>38</v>
      </c>
      <c r="F934" s="9" t="s">
        <v>55</v>
      </c>
      <c r="G934" s="9" t="s">
        <v>56</v>
      </c>
      <c r="H934" s="11" t="s">
        <v>22</v>
      </c>
      <c r="I934" s="12" t="n">
        <v>45</v>
      </c>
      <c r="J934" s="13" t="n">
        <v>475</v>
      </c>
      <c r="K934" s="14" t="n">
        <f aca="false">I934*J934</f>
        <v>21375</v>
      </c>
      <c r="L934" s="14" t="n">
        <f aca="false">($L$2*M934)/100</f>
        <v>540749.925</v>
      </c>
      <c r="M934" s="15" t="n">
        <v>0.45</v>
      </c>
      <c r="N934" s="9" t="s">
        <v>26</v>
      </c>
    </row>
    <row r="935" customFormat="false" ht="14.25" hidden="false" customHeight="true" outlineLevel="0" collapsed="false">
      <c r="B935" s="9" t="s">
        <v>36</v>
      </c>
      <c r="C935" s="9" t="n">
        <v>1189833</v>
      </c>
      <c r="D935" s="10" t="n">
        <v>44262</v>
      </c>
      <c r="E935" s="9" t="s">
        <v>38</v>
      </c>
      <c r="F935" s="9" t="s">
        <v>55</v>
      </c>
      <c r="G935" s="9" t="s">
        <v>56</v>
      </c>
      <c r="H935" s="11" t="s">
        <v>23</v>
      </c>
      <c r="I935" s="12" t="n">
        <v>45</v>
      </c>
      <c r="J935" s="13" t="n">
        <v>475</v>
      </c>
      <c r="K935" s="14" t="n">
        <f aca="false">I935*J935</f>
        <v>21375</v>
      </c>
      <c r="L935" s="14" t="n">
        <f aca="false">($L$2*M935)/100</f>
        <v>480666.6</v>
      </c>
      <c r="M935" s="15" t="n">
        <v>0.4</v>
      </c>
      <c r="N935" s="9" t="s">
        <v>26</v>
      </c>
    </row>
    <row r="936" customFormat="false" ht="14.25" hidden="false" customHeight="true" outlineLevel="0" collapsed="false">
      <c r="B936" s="9" t="s">
        <v>36</v>
      </c>
      <c r="C936" s="9" t="n">
        <v>1189833</v>
      </c>
      <c r="D936" s="10" t="n">
        <v>44263</v>
      </c>
      <c r="E936" s="9" t="s">
        <v>38</v>
      </c>
      <c r="F936" s="9" t="s">
        <v>55</v>
      </c>
      <c r="G936" s="9" t="s">
        <v>56</v>
      </c>
      <c r="H936" s="11" t="s">
        <v>24</v>
      </c>
      <c r="I936" s="12" t="n">
        <v>55</v>
      </c>
      <c r="J936" s="13" t="n">
        <v>400</v>
      </c>
      <c r="K936" s="14" t="n">
        <f aca="false">I936*J936</f>
        <v>22000</v>
      </c>
      <c r="L936" s="14" t="n">
        <f aca="false">($L$2*M936)/100</f>
        <v>720999.9</v>
      </c>
      <c r="M936" s="15" t="n">
        <v>0.6</v>
      </c>
      <c r="N936" s="9" t="s">
        <v>26</v>
      </c>
    </row>
    <row r="937" customFormat="false" ht="14.25" hidden="false" customHeight="true" outlineLevel="0" collapsed="false">
      <c r="B937" s="9" t="s">
        <v>36</v>
      </c>
      <c r="C937" s="9" t="n">
        <v>1189833</v>
      </c>
      <c r="D937" s="10" t="n">
        <v>44264</v>
      </c>
      <c r="E937" s="9" t="s">
        <v>38</v>
      </c>
      <c r="F937" s="9" t="s">
        <v>55</v>
      </c>
      <c r="G937" s="9" t="s">
        <v>56</v>
      </c>
      <c r="H937" s="11" t="s">
        <v>25</v>
      </c>
      <c r="I937" s="12" t="n">
        <v>60</v>
      </c>
      <c r="J937" s="13" t="n">
        <v>500</v>
      </c>
      <c r="K937" s="14" t="n">
        <f aca="false">I937*J937</f>
        <v>30000</v>
      </c>
      <c r="L937" s="14" t="n">
        <f aca="false">($L$2*M937)/100</f>
        <v>300416.625</v>
      </c>
      <c r="M937" s="15" t="n">
        <v>0.25</v>
      </c>
      <c r="N937" s="9" t="s">
        <v>26</v>
      </c>
    </row>
    <row r="938" customFormat="false" ht="14.25" hidden="false" customHeight="true" outlineLevel="0" collapsed="false">
      <c r="B938" s="9" t="s">
        <v>28</v>
      </c>
      <c r="C938" s="9" t="n">
        <v>1197831</v>
      </c>
      <c r="D938" s="10" t="n">
        <v>44265</v>
      </c>
      <c r="E938" s="9" t="s">
        <v>38</v>
      </c>
      <c r="F938" s="9" t="s">
        <v>55</v>
      </c>
      <c r="G938" s="9" t="s">
        <v>56</v>
      </c>
      <c r="H938" s="11" t="s">
        <v>19</v>
      </c>
      <c r="I938" s="12" t="n">
        <v>20</v>
      </c>
      <c r="J938" s="13" t="n">
        <v>700</v>
      </c>
      <c r="K938" s="14" t="n">
        <f aca="false">I938*J938</f>
        <v>14000</v>
      </c>
      <c r="L938" s="14" t="n">
        <f aca="false">($L$2*M938)/100</f>
        <v>420583.275</v>
      </c>
      <c r="M938" s="15" t="n">
        <v>0.35</v>
      </c>
      <c r="N938" s="9" t="s">
        <v>26</v>
      </c>
    </row>
    <row r="939" customFormat="false" ht="14.25" hidden="false" customHeight="true" outlineLevel="0" collapsed="false">
      <c r="B939" s="9" t="s">
        <v>28</v>
      </c>
      <c r="C939" s="9" t="n">
        <v>1197831</v>
      </c>
      <c r="D939" s="10" t="n">
        <v>44266</v>
      </c>
      <c r="E939" s="9" t="s">
        <v>38</v>
      </c>
      <c r="F939" s="9" t="s">
        <v>55</v>
      </c>
      <c r="G939" s="9" t="s">
        <v>56</v>
      </c>
      <c r="H939" s="11" t="s">
        <v>21</v>
      </c>
      <c r="I939" s="12" t="n">
        <v>30</v>
      </c>
      <c r="J939" s="13" t="n">
        <v>700</v>
      </c>
      <c r="K939" s="14" t="n">
        <f aca="false">I939*J939</f>
        <v>21000</v>
      </c>
      <c r="L939" s="14" t="n">
        <f aca="false">($L$2*M939)/100</f>
        <v>420583.275</v>
      </c>
      <c r="M939" s="15" t="n">
        <v>0.35</v>
      </c>
      <c r="N939" s="9" t="s">
        <v>26</v>
      </c>
    </row>
    <row r="940" customFormat="false" ht="14.25" hidden="false" customHeight="true" outlineLevel="0" collapsed="false">
      <c r="B940" s="9" t="s">
        <v>28</v>
      </c>
      <c r="C940" s="9" t="n">
        <v>1197831</v>
      </c>
      <c r="D940" s="10" t="n">
        <v>44267</v>
      </c>
      <c r="E940" s="9" t="s">
        <v>38</v>
      </c>
      <c r="F940" s="9" t="s">
        <v>55</v>
      </c>
      <c r="G940" s="9" t="s">
        <v>56</v>
      </c>
      <c r="H940" s="11" t="s">
        <v>22</v>
      </c>
      <c r="I940" s="12" t="n">
        <v>30</v>
      </c>
      <c r="J940" s="13" t="n">
        <v>500</v>
      </c>
      <c r="K940" s="14" t="n">
        <f aca="false">I940*J940</f>
        <v>15000</v>
      </c>
      <c r="L940" s="14" t="n">
        <f aca="false">($L$2*M940)/100</f>
        <v>420583.275</v>
      </c>
      <c r="M940" s="15" t="n">
        <v>0.35</v>
      </c>
      <c r="N940" s="9" t="s">
        <v>26</v>
      </c>
    </row>
    <row r="941" customFormat="false" ht="14.25" hidden="false" customHeight="true" outlineLevel="0" collapsed="false">
      <c r="B941" s="9" t="s">
        <v>28</v>
      </c>
      <c r="C941" s="9" t="n">
        <v>1197831</v>
      </c>
      <c r="D941" s="10" t="n">
        <v>44268</v>
      </c>
      <c r="E941" s="9" t="s">
        <v>38</v>
      </c>
      <c r="F941" s="9" t="s">
        <v>55</v>
      </c>
      <c r="G941" s="9" t="s">
        <v>56</v>
      </c>
      <c r="H941" s="11" t="s">
        <v>23</v>
      </c>
      <c r="I941" s="12" t="n">
        <v>35</v>
      </c>
      <c r="J941" s="13" t="n">
        <v>500</v>
      </c>
      <c r="K941" s="14" t="n">
        <f aca="false">I941*J941</f>
        <v>17500</v>
      </c>
      <c r="L941" s="14" t="n">
        <f aca="false">($L$2*M941)/100</f>
        <v>540749.925</v>
      </c>
      <c r="M941" s="15" t="n">
        <v>0.45</v>
      </c>
      <c r="N941" s="9" t="s">
        <v>26</v>
      </c>
    </row>
    <row r="942" customFormat="false" ht="14.25" hidden="false" customHeight="true" outlineLevel="0" collapsed="false">
      <c r="B942" s="9" t="s">
        <v>28</v>
      </c>
      <c r="C942" s="9" t="n">
        <v>1197831</v>
      </c>
      <c r="D942" s="10" t="n">
        <v>44269</v>
      </c>
      <c r="E942" s="9" t="s">
        <v>29</v>
      </c>
      <c r="F942" s="9" t="s">
        <v>57</v>
      </c>
      <c r="G942" s="9" t="s">
        <v>58</v>
      </c>
      <c r="H942" s="11" t="s">
        <v>24</v>
      </c>
      <c r="I942" s="12" t="n">
        <v>40</v>
      </c>
      <c r="J942" s="13" t="n">
        <v>350</v>
      </c>
      <c r="K942" s="14" t="n">
        <f aca="false">I942*J942</f>
        <v>14000</v>
      </c>
      <c r="L942" s="14" t="n">
        <f aca="false">($L$2*M942)/100</f>
        <v>360499.95</v>
      </c>
      <c r="M942" s="15" t="n">
        <v>0.3</v>
      </c>
      <c r="N942" s="9" t="s">
        <v>26</v>
      </c>
    </row>
    <row r="943" customFormat="false" ht="14.25" hidden="false" customHeight="true" outlineLevel="0" collapsed="false">
      <c r="B943" s="9" t="s">
        <v>28</v>
      </c>
      <c r="C943" s="9" t="n">
        <v>1197831</v>
      </c>
      <c r="D943" s="10" t="n">
        <v>44270</v>
      </c>
      <c r="E943" s="9" t="s">
        <v>29</v>
      </c>
      <c r="F943" s="9" t="s">
        <v>57</v>
      </c>
      <c r="G943" s="9" t="s">
        <v>58</v>
      </c>
      <c r="H943" s="11" t="s">
        <v>25</v>
      </c>
      <c r="I943" s="12" t="n">
        <v>35</v>
      </c>
      <c r="J943" s="13" t="n">
        <v>500</v>
      </c>
      <c r="K943" s="14" t="n">
        <f aca="false">I943*J943</f>
        <v>17500</v>
      </c>
      <c r="L943" s="14" t="n">
        <f aca="false">($L$2*M943)/100</f>
        <v>600833.25</v>
      </c>
      <c r="M943" s="15" t="n">
        <v>0.5</v>
      </c>
      <c r="N943" s="9" t="s">
        <v>26</v>
      </c>
    </row>
    <row r="944" customFormat="false" ht="14.25" hidden="false" customHeight="true" outlineLevel="0" collapsed="false">
      <c r="B944" s="9" t="s">
        <v>28</v>
      </c>
      <c r="C944" s="9" t="n">
        <v>1197831</v>
      </c>
      <c r="D944" s="10" t="n">
        <v>44271</v>
      </c>
      <c r="E944" s="9" t="s">
        <v>29</v>
      </c>
      <c r="F944" s="9" t="s">
        <v>57</v>
      </c>
      <c r="G944" s="9" t="s">
        <v>58</v>
      </c>
      <c r="H944" s="11" t="s">
        <v>19</v>
      </c>
      <c r="I944" s="12" t="n">
        <v>25</v>
      </c>
      <c r="J944" s="13" t="n">
        <v>650</v>
      </c>
      <c r="K944" s="14" t="n">
        <f aca="false">I944*J944</f>
        <v>16250</v>
      </c>
      <c r="L944" s="14" t="n">
        <f aca="false">($L$2*M944)/100</f>
        <v>420583.275</v>
      </c>
      <c r="M944" s="15" t="n">
        <v>0.35</v>
      </c>
      <c r="N944" s="9" t="s">
        <v>26</v>
      </c>
    </row>
    <row r="945" customFormat="false" ht="14.25" hidden="false" customHeight="true" outlineLevel="0" collapsed="false">
      <c r="B945" s="9" t="s">
        <v>28</v>
      </c>
      <c r="C945" s="9" t="n">
        <v>1197831</v>
      </c>
      <c r="D945" s="10" t="n">
        <v>44272</v>
      </c>
      <c r="E945" s="9" t="s">
        <v>29</v>
      </c>
      <c r="F945" s="9" t="s">
        <v>57</v>
      </c>
      <c r="G945" s="9" t="s">
        <v>58</v>
      </c>
      <c r="H945" s="11" t="s">
        <v>21</v>
      </c>
      <c r="I945" s="12" t="n">
        <v>35</v>
      </c>
      <c r="J945" s="13" t="n">
        <v>625</v>
      </c>
      <c r="K945" s="14" t="n">
        <f aca="false">I945*J945</f>
        <v>21875</v>
      </c>
      <c r="L945" s="14" t="n">
        <f aca="false">($L$2*M945)/100</f>
        <v>420583.275</v>
      </c>
      <c r="M945" s="15" t="n">
        <v>0.35</v>
      </c>
      <c r="N945" s="9" t="s">
        <v>26</v>
      </c>
    </row>
    <row r="946" customFormat="false" ht="14.25" hidden="false" customHeight="true" outlineLevel="0" collapsed="false">
      <c r="B946" s="9" t="s">
        <v>28</v>
      </c>
      <c r="C946" s="9" t="n">
        <v>1197831</v>
      </c>
      <c r="D946" s="10" t="n">
        <v>44273</v>
      </c>
      <c r="E946" s="9" t="s">
        <v>29</v>
      </c>
      <c r="F946" s="9" t="s">
        <v>57</v>
      </c>
      <c r="G946" s="9" t="s">
        <v>58</v>
      </c>
      <c r="H946" s="11" t="s">
        <v>22</v>
      </c>
      <c r="I946" s="12" t="n">
        <v>35</v>
      </c>
      <c r="J946" s="13" t="n">
        <v>450</v>
      </c>
      <c r="K946" s="14" t="n">
        <f aca="false">I946*J946</f>
        <v>15750</v>
      </c>
      <c r="L946" s="14" t="n">
        <f aca="false">($L$2*M946)/100</f>
        <v>420583.275</v>
      </c>
      <c r="M946" s="15" t="n">
        <v>0.35</v>
      </c>
      <c r="N946" s="9" t="s">
        <v>26</v>
      </c>
    </row>
    <row r="947" customFormat="false" ht="14.25" hidden="false" customHeight="true" outlineLevel="0" collapsed="false">
      <c r="B947" s="9" t="s">
        <v>28</v>
      </c>
      <c r="C947" s="9" t="n">
        <v>1197831</v>
      </c>
      <c r="D947" s="10" t="n">
        <v>44274</v>
      </c>
      <c r="E947" s="9" t="s">
        <v>29</v>
      </c>
      <c r="F947" s="9" t="s">
        <v>57</v>
      </c>
      <c r="G947" s="9" t="s">
        <v>58</v>
      </c>
      <c r="H947" s="11" t="s">
        <v>23</v>
      </c>
      <c r="I947" s="12" t="n">
        <v>35</v>
      </c>
      <c r="J947" s="13" t="n">
        <v>400</v>
      </c>
      <c r="K947" s="14" t="n">
        <f aca="false">I947*J947</f>
        <v>14000</v>
      </c>
      <c r="L947" s="14" t="n">
        <f aca="false">($L$2*M947)/100</f>
        <v>540749.925</v>
      </c>
      <c r="M947" s="15" t="n">
        <v>0.45</v>
      </c>
      <c r="N947" s="9" t="s">
        <v>26</v>
      </c>
    </row>
    <row r="948" customFormat="false" ht="14.25" hidden="false" customHeight="true" outlineLevel="0" collapsed="false">
      <c r="B948" s="9" t="s">
        <v>28</v>
      </c>
      <c r="C948" s="9" t="n">
        <v>1197831</v>
      </c>
      <c r="D948" s="10" t="n">
        <v>44275</v>
      </c>
      <c r="E948" s="9" t="s">
        <v>29</v>
      </c>
      <c r="F948" s="9" t="s">
        <v>57</v>
      </c>
      <c r="G948" s="9" t="s">
        <v>58</v>
      </c>
      <c r="H948" s="11" t="s">
        <v>24</v>
      </c>
      <c r="I948" s="12" t="n">
        <v>40</v>
      </c>
      <c r="J948" s="13" t="n">
        <v>275</v>
      </c>
      <c r="K948" s="14" t="n">
        <f aca="false">I948*J948</f>
        <v>11000</v>
      </c>
      <c r="L948" s="14" t="n">
        <f aca="false">($L$2*M948)/100</f>
        <v>360499.95</v>
      </c>
      <c r="M948" s="15" t="n">
        <v>0.3</v>
      </c>
      <c r="N948" s="9" t="s">
        <v>26</v>
      </c>
    </row>
    <row r="949" customFormat="false" ht="14.25" hidden="false" customHeight="true" outlineLevel="0" collapsed="false">
      <c r="B949" s="9" t="s">
        <v>28</v>
      </c>
      <c r="C949" s="9" t="n">
        <v>1197831</v>
      </c>
      <c r="D949" s="10" t="n">
        <v>44276</v>
      </c>
      <c r="E949" s="9" t="s">
        <v>29</v>
      </c>
      <c r="F949" s="9" t="s">
        <v>57</v>
      </c>
      <c r="G949" s="9" t="s">
        <v>58</v>
      </c>
      <c r="H949" s="11" t="s">
        <v>25</v>
      </c>
      <c r="I949" s="12" t="n">
        <v>35</v>
      </c>
      <c r="J949" s="13" t="n">
        <v>475</v>
      </c>
      <c r="K949" s="14" t="n">
        <f aca="false">I949*J949</f>
        <v>16625</v>
      </c>
      <c r="L949" s="14" t="n">
        <f aca="false">($L$2*M949)/100</f>
        <v>600833.25</v>
      </c>
      <c r="M949" s="15" t="n">
        <v>0.5</v>
      </c>
      <c r="N949" s="9" t="s">
        <v>26</v>
      </c>
    </row>
    <row r="950" customFormat="false" ht="14.25" hidden="false" customHeight="true" outlineLevel="0" collapsed="false">
      <c r="B950" s="9" t="s">
        <v>28</v>
      </c>
      <c r="C950" s="9" t="n">
        <v>1197831</v>
      </c>
      <c r="D950" s="10" t="n">
        <v>44277</v>
      </c>
      <c r="E950" s="9" t="s">
        <v>29</v>
      </c>
      <c r="F950" s="9" t="s">
        <v>57</v>
      </c>
      <c r="G950" s="9" t="s">
        <v>58</v>
      </c>
      <c r="H950" s="11" t="s">
        <v>19</v>
      </c>
      <c r="I950" s="12" t="n">
        <v>30</v>
      </c>
      <c r="J950" s="13" t="n">
        <v>650</v>
      </c>
      <c r="K950" s="14" t="n">
        <f aca="false">I950*J950</f>
        <v>19500</v>
      </c>
      <c r="L950" s="14" t="n">
        <f aca="false">($L$2*M950)/100</f>
        <v>480666.6</v>
      </c>
      <c r="M950" s="15" t="n">
        <v>0.4</v>
      </c>
      <c r="N950" s="9" t="s">
        <v>26</v>
      </c>
    </row>
    <row r="951" customFormat="false" ht="14.25" hidden="false" customHeight="true" outlineLevel="0" collapsed="false">
      <c r="B951" s="9" t="s">
        <v>28</v>
      </c>
      <c r="C951" s="9" t="n">
        <v>1197831</v>
      </c>
      <c r="D951" s="10" t="n">
        <v>44278</v>
      </c>
      <c r="E951" s="9" t="s">
        <v>29</v>
      </c>
      <c r="F951" s="9" t="s">
        <v>57</v>
      </c>
      <c r="G951" s="9" t="s">
        <v>58</v>
      </c>
      <c r="H951" s="11" t="s">
        <v>21</v>
      </c>
      <c r="I951" s="12" t="n">
        <v>40</v>
      </c>
      <c r="J951" s="13" t="n">
        <v>650</v>
      </c>
      <c r="K951" s="14" t="n">
        <f aca="false">I951*J951</f>
        <v>26000</v>
      </c>
      <c r="L951" s="14" t="n">
        <f aca="false">($L$2*M951)/100</f>
        <v>480666.6</v>
      </c>
      <c r="M951" s="15" t="n">
        <v>0.4</v>
      </c>
      <c r="N951" s="9" t="s">
        <v>26</v>
      </c>
    </row>
    <row r="952" customFormat="false" ht="14.25" hidden="false" customHeight="true" outlineLevel="0" collapsed="false">
      <c r="B952" s="9" t="s">
        <v>28</v>
      </c>
      <c r="C952" s="9" t="n">
        <v>1197831</v>
      </c>
      <c r="D952" s="10" t="n">
        <v>44279</v>
      </c>
      <c r="E952" s="9" t="s">
        <v>29</v>
      </c>
      <c r="F952" s="9" t="s">
        <v>57</v>
      </c>
      <c r="G952" s="9" t="s">
        <v>58</v>
      </c>
      <c r="H952" s="11" t="s">
        <v>22</v>
      </c>
      <c r="I952" s="12" t="n">
        <v>30</v>
      </c>
      <c r="J952" s="13" t="n">
        <v>475</v>
      </c>
      <c r="K952" s="14" t="n">
        <f aca="false">I952*J952</f>
        <v>14250</v>
      </c>
      <c r="L952" s="14" t="n">
        <f aca="false">($L$2*M952)/100</f>
        <v>480666.6</v>
      </c>
      <c r="M952" s="15" t="n">
        <v>0.4</v>
      </c>
      <c r="N952" s="9" t="s">
        <v>26</v>
      </c>
    </row>
    <row r="953" customFormat="false" ht="14.25" hidden="false" customHeight="true" outlineLevel="0" collapsed="false">
      <c r="B953" s="9" t="s">
        <v>28</v>
      </c>
      <c r="C953" s="9" t="n">
        <v>1197831</v>
      </c>
      <c r="D953" s="10" t="n">
        <v>44280</v>
      </c>
      <c r="E953" s="9" t="s">
        <v>29</v>
      </c>
      <c r="F953" s="9" t="s">
        <v>57</v>
      </c>
      <c r="G953" s="9" t="s">
        <v>58</v>
      </c>
      <c r="H953" s="11" t="s">
        <v>23</v>
      </c>
      <c r="I953" s="12" t="n">
        <v>35</v>
      </c>
      <c r="J953" s="13" t="n">
        <v>375</v>
      </c>
      <c r="K953" s="14" t="n">
        <f aca="false">I953*J953</f>
        <v>13125</v>
      </c>
      <c r="L953" s="14" t="n">
        <f aca="false">($L$2*M953)/100</f>
        <v>600833.25</v>
      </c>
      <c r="M953" s="15" t="n">
        <v>0.5</v>
      </c>
      <c r="N953" s="9" t="s">
        <v>26</v>
      </c>
    </row>
    <row r="954" customFormat="false" ht="14.25" hidden="false" customHeight="true" outlineLevel="0" collapsed="false">
      <c r="B954" s="9" t="s">
        <v>28</v>
      </c>
      <c r="C954" s="9" t="n">
        <v>1197831</v>
      </c>
      <c r="D954" s="10" t="n">
        <v>44281</v>
      </c>
      <c r="E954" s="9" t="s">
        <v>29</v>
      </c>
      <c r="F954" s="9" t="s">
        <v>57</v>
      </c>
      <c r="G954" s="9" t="s">
        <v>58</v>
      </c>
      <c r="H954" s="11" t="s">
        <v>24</v>
      </c>
      <c r="I954" s="12" t="n">
        <v>40</v>
      </c>
      <c r="J954" s="13" t="n">
        <v>275</v>
      </c>
      <c r="K954" s="14" t="n">
        <f aca="false">I954*J954</f>
        <v>11000</v>
      </c>
      <c r="L954" s="14" t="n">
        <f aca="false">($L$2*M954)/100</f>
        <v>420583.275</v>
      </c>
      <c r="M954" s="15" t="n">
        <v>0.35</v>
      </c>
      <c r="N954" s="9" t="s">
        <v>26</v>
      </c>
    </row>
    <row r="955" customFormat="false" ht="14.25" hidden="false" customHeight="true" outlineLevel="0" collapsed="false">
      <c r="B955" s="9" t="s">
        <v>28</v>
      </c>
      <c r="C955" s="9" t="n">
        <v>1197831</v>
      </c>
      <c r="D955" s="10" t="n">
        <v>44282</v>
      </c>
      <c r="E955" s="9" t="s">
        <v>29</v>
      </c>
      <c r="F955" s="9" t="s">
        <v>57</v>
      </c>
      <c r="G955" s="9" t="s">
        <v>58</v>
      </c>
      <c r="H955" s="11" t="s">
        <v>25</v>
      </c>
      <c r="I955" s="12" t="n">
        <v>35</v>
      </c>
      <c r="J955" s="13" t="n">
        <v>425</v>
      </c>
      <c r="K955" s="14" t="n">
        <f aca="false">I955*J955</f>
        <v>14875</v>
      </c>
      <c r="L955" s="14" t="n">
        <f aca="false">($L$2*M955)/100</f>
        <v>660916.575</v>
      </c>
      <c r="M955" s="15" t="n">
        <v>0.55</v>
      </c>
      <c r="N955" s="9" t="s">
        <v>26</v>
      </c>
    </row>
    <row r="956" customFormat="false" ht="14.25" hidden="false" customHeight="true" outlineLevel="0" collapsed="false">
      <c r="B956" s="9" t="s">
        <v>28</v>
      </c>
      <c r="C956" s="9" t="n">
        <v>1197831</v>
      </c>
      <c r="D956" s="10" t="n">
        <v>44283</v>
      </c>
      <c r="E956" s="9" t="s">
        <v>29</v>
      </c>
      <c r="F956" s="9" t="s">
        <v>57</v>
      </c>
      <c r="G956" s="9" t="s">
        <v>58</v>
      </c>
      <c r="H956" s="11" t="s">
        <v>19</v>
      </c>
      <c r="I956" s="12" t="n">
        <v>20</v>
      </c>
      <c r="J956" s="13" t="n">
        <v>675</v>
      </c>
      <c r="K956" s="14" t="n">
        <f aca="false">I956*J956</f>
        <v>13500</v>
      </c>
      <c r="L956" s="14" t="n">
        <f aca="false">($L$2*M956)/100</f>
        <v>480666.6</v>
      </c>
      <c r="M956" s="15" t="n">
        <v>0.4</v>
      </c>
      <c r="N956" s="9" t="s">
        <v>26</v>
      </c>
    </row>
    <row r="957" customFormat="false" ht="14.25" hidden="false" customHeight="true" outlineLevel="0" collapsed="false">
      <c r="B957" s="9" t="s">
        <v>28</v>
      </c>
      <c r="C957" s="9" t="n">
        <v>1197831</v>
      </c>
      <c r="D957" s="10" t="n">
        <v>44284</v>
      </c>
      <c r="E957" s="9" t="s">
        <v>29</v>
      </c>
      <c r="F957" s="9" t="s">
        <v>57</v>
      </c>
      <c r="G957" s="9" t="s">
        <v>58</v>
      </c>
      <c r="H957" s="11" t="s">
        <v>21</v>
      </c>
      <c r="I957" s="12" t="n">
        <v>25</v>
      </c>
      <c r="J957" s="13" t="n">
        <v>675</v>
      </c>
      <c r="K957" s="14" t="n">
        <f aca="false">I957*J957</f>
        <v>16875</v>
      </c>
      <c r="L957" s="14" t="n">
        <f aca="false">($L$2*M957)/100</f>
        <v>480666.6</v>
      </c>
      <c r="M957" s="15" t="n">
        <v>0.4</v>
      </c>
      <c r="N957" s="9" t="s">
        <v>26</v>
      </c>
    </row>
    <row r="958" customFormat="false" ht="14.25" hidden="false" customHeight="true" outlineLevel="0" collapsed="false">
      <c r="B958" s="9" t="s">
        <v>28</v>
      </c>
      <c r="C958" s="9" t="n">
        <v>1197831</v>
      </c>
      <c r="D958" s="10" t="n">
        <v>44285</v>
      </c>
      <c r="E958" s="9" t="s">
        <v>29</v>
      </c>
      <c r="F958" s="9" t="s">
        <v>57</v>
      </c>
      <c r="G958" s="9" t="s">
        <v>58</v>
      </c>
      <c r="H958" s="11" t="s">
        <v>22</v>
      </c>
      <c r="I958" s="12" t="n">
        <v>20</v>
      </c>
      <c r="J958" s="13" t="n">
        <v>500</v>
      </c>
      <c r="K958" s="14" t="n">
        <f aca="false">I958*J958</f>
        <v>10000</v>
      </c>
      <c r="L958" s="14" t="n">
        <f aca="false">($L$2*M958)/100</f>
        <v>480666.6</v>
      </c>
      <c r="M958" s="15" t="n">
        <v>0.4</v>
      </c>
      <c r="N958" s="9" t="s">
        <v>26</v>
      </c>
    </row>
    <row r="959" customFormat="false" ht="14.25" hidden="false" customHeight="true" outlineLevel="0" collapsed="false">
      <c r="B959" s="9" t="s">
        <v>28</v>
      </c>
      <c r="C959" s="9" t="n">
        <v>1197831</v>
      </c>
      <c r="D959" s="10" t="n">
        <v>44286</v>
      </c>
      <c r="E959" s="9" t="s">
        <v>29</v>
      </c>
      <c r="F959" s="9" t="s">
        <v>57</v>
      </c>
      <c r="G959" s="9" t="s">
        <v>58</v>
      </c>
      <c r="H959" s="11" t="s">
        <v>23</v>
      </c>
      <c r="I959" s="12" t="n">
        <v>25</v>
      </c>
      <c r="J959" s="13" t="n">
        <v>400</v>
      </c>
      <c r="K959" s="14" t="n">
        <f aca="false">I959*J959</f>
        <v>10000</v>
      </c>
      <c r="L959" s="14" t="n">
        <f aca="false">($L$2*M959)/100</f>
        <v>600833.25</v>
      </c>
      <c r="M959" s="15" t="n">
        <v>0.5</v>
      </c>
      <c r="N959" s="9" t="s">
        <v>26</v>
      </c>
    </row>
    <row r="960" customFormat="false" ht="14.25" hidden="false" customHeight="true" outlineLevel="0" collapsed="false">
      <c r="B960" s="9" t="s">
        <v>28</v>
      </c>
      <c r="C960" s="9" t="n">
        <v>1197831</v>
      </c>
      <c r="D960" s="10" t="n">
        <v>44287</v>
      </c>
      <c r="E960" s="9" t="s">
        <v>29</v>
      </c>
      <c r="F960" s="9" t="s">
        <v>57</v>
      </c>
      <c r="G960" s="9" t="s">
        <v>58</v>
      </c>
      <c r="H960" s="11" t="s">
        <v>24</v>
      </c>
      <c r="I960" s="12" t="n">
        <v>30</v>
      </c>
      <c r="J960" s="13" t="n">
        <v>300</v>
      </c>
      <c r="K960" s="14" t="n">
        <f aca="false">I960*J960</f>
        <v>9000</v>
      </c>
      <c r="L960" s="14" t="n">
        <f aca="false">($L$2*M960)/100</f>
        <v>420583.275</v>
      </c>
      <c r="M960" s="15" t="n">
        <v>0.35</v>
      </c>
      <c r="N960" s="9" t="s">
        <v>26</v>
      </c>
    </row>
    <row r="961" customFormat="false" ht="14.25" hidden="false" customHeight="true" outlineLevel="0" collapsed="false">
      <c r="B961" s="9" t="s">
        <v>28</v>
      </c>
      <c r="C961" s="9" t="n">
        <v>1197831</v>
      </c>
      <c r="D961" s="10" t="n">
        <v>44288</v>
      </c>
      <c r="E961" s="9" t="s">
        <v>29</v>
      </c>
      <c r="F961" s="9" t="s">
        <v>57</v>
      </c>
      <c r="G961" s="9" t="s">
        <v>58</v>
      </c>
      <c r="H961" s="11" t="s">
        <v>25</v>
      </c>
      <c r="I961" s="12" t="n">
        <v>25</v>
      </c>
      <c r="J961" s="13" t="n">
        <v>575</v>
      </c>
      <c r="K961" s="14" t="n">
        <f aca="false">I961*J961</f>
        <v>14375</v>
      </c>
      <c r="L961" s="14" t="n">
        <f aca="false">($L$2*M961)/100</f>
        <v>660916.575</v>
      </c>
      <c r="M961" s="15" t="n">
        <v>0.55</v>
      </c>
      <c r="N961" s="9" t="s">
        <v>26</v>
      </c>
    </row>
    <row r="962" customFormat="false" ht="14.25" hidden="false" customHeight="true" outlineLevel="0" collapsed="false">
      <c r="B962" s="9" t="s">
        <v>28</v>
      </c>
      <c r="C962" s="9" t="n">
        <v>1197831</v>
      </c>
      <c r="D962" s="10" t="n">
        <v>44289</v>
      </c>
      <c r="E962" s="9" t="s">
        <v>29</v>
      </c>
      <c r="F962" s="9" t="s">
        <v>57</v>
      </c>
      <c r="G962" s="9" t="s">
        <v>58</v>
      </c>
      <c r="H962" s="11" t="s">
        <v>19</v>
      </c>
      <c r="I962" s="12" t="n">
        <v>15</v>
      </c>
      <c r="J962" s="13" t="n">
        <v>725</v>
      </c>
      <c r="K962" s="14" t="n">
        <f aca="false">I962*J962</f>
        <v>10875</v>
      </c>
      <c r="L962" s="14" t="n">
        <f aca="false">($L$2*M962)/100</f>
        <v>480666.6</v>
      </c>
      <c r="M962" s="15" t="n">
        <v>0.4</v>
      </c>
      <c r="N962" s="9" t="s">
        <v>26</v>
      </c>
    </row>
    <row r="963" customFormat="false" ht="14.25" hidden="false" customHeight="true" outlineLevel="0" collapsed="false">
      <c r="B963" s="9" t="s">
        <v>28</v>
      </c>
      <c r="C963" s="9" t="n">
        <v>1197831</v>
      </c>
      <c r="D963" s="10" t="n">
        <v>44290</v>
      </c>
      <c r="E963" s="9" t="s">
        <v>29</v>
      </c>
      <c r="F963" s="9" t="s">
        <v>57</v>
      </c>
      <c r="G963" s="9" t="s">
        <v>58</v>
      </c>
      <c r="H963" s="11" t="s">
        <v>21</v>
      </c>
      <c r="I963" s="12" t="n">
        <v>25</v>
      </c>
      <c r="J963" s="13" t="n">
        <v>750</v>
      </c>
      <c r="K963" s="14" t="n">
        <f aca="false">I963*J963</f>
        <v>18750</v>
      </c>
      <c r="L963" s="14" t="n">
        <f aca="false">($L$2*M963)/100</f>
        <v>480666.6</v>
      </c>
      <c r="M963" s="15" t="n">
        <v>0.4</v>
      </c>
      <c r="N963" s="9" t="s">
        <v>26</v>
      </c>
    </row>
    <row r="964" customFormat="false" ht="14.25" hidden="false" customHeight="true" outlineLevel="0" collapsed="false">
      <c r="B964" s="9" t="s">
        <v>28</v>
      </c>
      <c r="C964" s="9" t="n">
        <v>1197831</v>
      </c>
      <c r="D964" s="10" t="n">
        <v>44291</v>
      </c>
      <c r="E964" s="9" t="s">
        <v>29</v>
      </c>
      <c r="F964" s="9" t="s">
        <v>57</v>
      </c>
      <c r="G964" s="9" t="s">
        <v>58</v>
      </c>
      <c r="H964" s="11" t="s">
        <v>22</v>
      </c>
      <c r="I964" s="12" t="n">
        <v>20</v>
      </c>
      <c r="J964" s="13" t="n">
        <v>600</v>
      </c>
      <c r="K964" s="14" t="n">
        <f aca="false">I964*J964</f>
        <v>12000</v>
      </c>
      <c r="L964" s="14" t="n">
        <f aca="false">($L$2*M964)/100</f>
        <v>480666.6</v>
      </c>
      <c r="M964" s="15" t="n">
        <v>0.4</v>
      </c>
      <c r="N964" s="9" t="s">
        <v>26</v>
      </c>
    </row>
    <row r="965" customFormat="false" ht="14.25" hidden="false" customHeight="true" outlineLevel="0" collapsed="false">
      <c r="B965" s="9" t="s">
        <v>28</v>
      </c>
      <c r="C965" s="9" t="n">
        <v>1197831</v>
      </c>
      <c r="D965" s="10" t="n">
        <v>44292</v>
      </c>
      <c r="E965" s="9" t="s">
        <v>29</v>
      </c>
      <c r="F965" s="9" t="s">
        <v>57</v>
      </c>
      <c r="G965" s="9" t="s">
        <v>58</v>
      </c>
      <c r="H965" s="11" t="s">
        <v>23</v>
      </c>
      <c r="I965" s="12" t="n">
        <v>30</v>
      </c>
      <c r="J965" s="13" t="n">
        <v>525</v>
      </c>
      <c r="K965" s="14" t="n">
        <f aca="false">I965*J965</f>
        <v>15750</v>
      </c>
      <c r="L965" s="14" t="n">
        <f aca="false">($L$2*M965)/100</f>
        <v>600833.25</v>
      </c>
      <c r="M965" s="15" t="n">
        <v>0.5</v>
      </c>
      <c r="N965" s="9" t="s">
        <v>26</v>
      </c>
    </row>
    <row r="966" customFormat="false" ht="14.25" hidden="false" customHeight="true" outlineLevel="0" collapsed="false">
      <c r="B966" s="9" t="s">
        <v>28</v>
      </c>
      <c r="C966" s="9" t="n">
        <v>1197831</v>
      </c>
      <c r="D966" s="10" t="n">
        <v>44293</v>
      </c>
      <c r="E966" s="9" t="s">
        <v>29</v>
      </c>
      <c r="F966" s="9" t="s">
        <v>57</v>
      </c>
      <c r="G966" s="9" t="s">
        <v>58</v>
      </c>
      <c r="H966" s="11" t="s">
        <v>24</v>
      </c>
      <c r="I966" s="12" t="n">
        <v>45</v>
      </c>
      <c r="J966" s="13" t="n">
        <v>425</v>
      </c>
      <c r="K966" s="14" t="n">
        <f aca="false">I966*J966</f>
        <v>19125</v>
      </c>
      <c r="L966" s="14" t="n">
        <f aca="false">($L$2*M966)/100</f>
        <v>420583.275</v>
      </c>
      <c r="M966" s="15" t="n">
        <v>0.35</v>
      </c>
      <c r="N966" s="9" t="s">
        <v>26</v>
      </c>
    </row>
    <row r="967" customFormat="false" ht="14.25" hidden="false" customHeight="true" outlineLevel="0" collapsed="false">
      <c r="B967" s="9" t="s">
        <v>28</v>
      </c>
      <c r="C967" s="9" t="n">
        <v>1197831</v>
      </c>
      <c r="D967" s="10" t="n">
        <v>44294</v>
      </c>
      <c r="E967" s="9" t="s">
        <v>29</v>
      </c>
      <c r="F967" s="9" t="s">
        <v>57</v>
      </c>
      <c r="G967" s="9" t="s">
        <v>58</v>
      </c>
      <c r="H967" s="11" t="s">
        <v>25</v>
      </c>
      <c r="I967" s="12" t="n">
        <v>40</v>
      </c>
      <c r="J967" s="13" t="n">
        <v>775</v>
      </c>
      <c r="K967" s="14" t="n">
        <f aca="false">I967*J967</f>
        <v>31000</v>
      </c>
      <c r="L967" s="14" t="n">
        <f aca="false">($L$2*M967)/100</f>
        <v>660916.575</v>
      </c>
      <c r="M967" s="15" t="n">
        <v>0.55</v>
      </c>
      <c r="N967" s="9" t="s">
        <v>26</v>
      </c>
    </row>
    <row r="968" customFormat="false" ht="14.25" hidden="false" customHeight="true" outlineLevel="0" collapsed="false">
      <c r="B968" s="9" t="s">
        <v>28</v>
      </c>
      <c r="C968" s="9" t="n">
        <v>1197831</v>
      </c>
      <c r="D968" s="10" t="n">
        <v>44295</v>
      </c>
      <c r="E968" s="9" t="s">
        <v>29</v>
      </c>
      <c r="F968" s="9" t="s">
        <v>57</v>
      </c>
      <c r="G968" s="9" t="s">
        <v>58</v>
      </c>
      <c r="H968" s="11" t="s">
        <v>19</v>
      </c>
      <c r="I968" s="12" t="n">
        <v>40</v>
      </c>
      <c r="J968" s="13" t="n">
        <v>775</v>
      </c>
      <c r="K968" s="14" t="n">
        <f aca="false">I968*J968</f>
        <v>31000</v>
      </c>
      <c r="L968" s="14" t="n">
        <f aca="false">($L$2*M968)/100</f>
        <v>480666.6</v>
      </c>
      <c r="M968" s="15" t="n">
        <v>0.4</v>
      </c>
      <c r="N968" s="9" t="s">
        <v>26</v>
      </c>
    </row>
    <row r="969" customFormat="false" ht="14.25" hidden="false" customHeight="true" outlineLevel="0" collapsed="false">
      <c r="B969" s="9" t="s">
        <v>28</v>
      </c>
      <c r="C969" s="9" t="n">
        <v>1197831</v>
      </c>
      <c r="D969" s="10" t="n">
        <v>44296</v>
      </c>
      <c r="E969" s="9" t="s">
        <v>29</v>
      </c>
      <c r="F969" s="9" t="s">
        <v>57</v>
      </c>
      <c r="G969" s="9" t="s">
        <v>58</v>
      </c>
      <c r="H969" s="11" t="s">
        <v>21</v>
      </c>
      <c r="I969" s="12" t="n">
        <v>45</v>
      </c>
      <c r="J969" s="13" t="n">
        <v>775</v>
      </c>
      <c r="K969" s="14" t="n">
        <f aca="false">I969*J969</f>
        <v>34875</v>
      </c>
      <c r="L969" s="14" t="n">
        <f aca="false">($L$2*M969)/100</f>
        <v>480666.6</v>
      </c>
      <c r="M969" s="15" t="n">
        <v>0.4</v>
      </c>
      <c r="N969" s="9" t="s">
        <v>26</v>
      </c>
    </row>
    <row r="970" customFormat="false" ht="14.25" hidden="false" customHeight="true" outlineLevel="0" collapsed="false">
      <c r="B970" s="9" t="s">
        <v>28</v>
      </c>
      <c r="C970" s="9" t="n">
        <v>1197831</v>
      </c>
      <c r="D970" s="10" t="n">
        <v>44297</v>
      </c>
      <c r="E970" s="9" t="s">
        <v>29</v>
      </c>
      <c r="F970" s="9" t="s">
        <v>57</v>
      </c>
      <c r="G970" s="9" t="s">
        <v>58</v>
      </c>
      <c r="H970" s="11" t="s">
        <v>22</v>
      </c>
      <c r="I970" s="12" t="n">
        <v>40</v>
      </c>
      <c r="J970" s="13" t="n">
        <v>650</v>
      </c>
      <c r="K970" s="14" t="n">
        <f aca="false">I970*J970</f>
        <v>26000</v>
      </c>
      <c r="L970" s="14" t="n">
        <f aca="false">($L$2*M970)/100</f>
        <v>480666.6</v>
      </c>
      <c r="M970" s="15" t="n">
        <v>0.4</v>
      </c>
      <c r="N970" s="9" t="s">
        <v>26</v>
      </c>
    </row>
    <row r="971" customFormat="false" ht="14.25" hidden="false" customHeight="true" outlineLevel="0" collapsed="false">
      <c r="B971" s="9" t="s">
        <v>28</v>
      </c>
      <c r="C971" s="9" t="n">
        <v>1197831</v>
      </c>
      <c r="D971" s="10" t="n">
        <v>44298</v>
      </c>
      <c r="E971" s="9" t="s">
        <v>29</v>
      </c>
      <c r="F971" s="9" t="s">
        <v>57</v>
      </c>
      <c r="G971" s="9" t="s">
        <v>58</v>
      </c>
      <c r="H971" s="11" t="s">
        <v>23</v>
      </c>
      <c r="I971" s="12" t="n">
        <v>40</v>
      </c>
      <c r="J971" s="13" t="n">
        <v>600</v>
      </c>
      <c r="K971" s="14" t="n">
        <f aca="false">I971*J971</f>
        <v>24000</v>
      </c>
      <c r="L971" s="14" t="n">
        <f aca="false">($L$2*M971)/100</f>
        <v>600833.25</v>
      </c>
      <c r="M971" s="15" t="n">
        <v>0.5</v>
      </c>
      <c r="N971" s="9" t="s">
        <v>26</v>
      </c>
    </row>
    <row r="972" customFormat="false" ht="14.25" hidden="false" customHeight="true" outlineLevel="0" collapsed="false">
      <c r="B972" s="9" t="s">
        <v>28</v>
      </c>
      <c r="C972" s="9" t="n">
        <v>1197831</v>
      </c>
      <c r="D972" s="10" t="n">
        <v>44299</v>
      </c>
      <c r="E972" s="9" t="s">
        <v>29</v>
      </c>
      <c r="F972" s="9" t="s">
        <v>57</v>
      </c>
      <c r="G972" s="9" t="s">
        <v>58</v>
      </c>
      <c r="H972" s="11" t="s">
        <v>24</v>
      </c>
      <c r="I972" s="12" t="n">
        <v>45</v>
      </c>
      <c r="J972" s="13" t="n">
        <v>500</v>
      </c>
      <c r="K972" s="14" t="n">
        <f aca="false">I972*J972</f>
        <v>22500</v>
      </c>
      <c r="L972" s="14" t="n">
        <f aca="false">($L$2*M972)/100</f>
        <v>420583.275</v>
      </c>
      <c r="M972" s="15" t="n">
        <v>0.35</v>
      </c>
      <c r="N972" s="9" t="s">
        <v>26</v>
      </c>
    </row>
    <row r="973" customFormat="false" ht="14.25" hidden="false" customHeight="true" outlineLevel="0" collapsed="false">
      <c r="B973" s="9" t="s">
        <v>28</v>
      </c>
      <c r="C973" s="9" t="n">
        <v>1197831</v>
      </c>
      <c r="D973" s="10" t="n">
        <v>44300</v>
      </c>
      <c r="E973" s="9" t="s">
        <v>29</v>
      </c>
      <c r="F973" s="9" t="s">
        <v>57</v>
      </c>
      <c r="G973" s="9" t="s">
        <v>58</v>
      </c>
      <c r="H973" s="11" t="s">
        <v>25</v>
      </c>
      <c r="I973" s="12" t="n">
        <v>50</v>
      </c>
      <c r="J973" s="13" t="n">
        <v>875</v>
      </c>
      <c r="K973" s="14" t="n">
        <f aca="false">I973*J973</f>
        <v>43750</v>
      </c>
      <c r="L973" s="14" t="n">
        <f aca="false">($L$2*M973)/100</f>
        <v>660916.575</v>
      </c>
      <c r="M973" s="15" t="n">
        <v>0.55</v>
      </c>
      <c r="N973" s="9" t="s">
        <v>26</v>
      </c>
    </row>
    <row r="974" customFormat="false" ht="14.25" hidden="false" customHeight="true" outlineLevel="0" collapsed="false">
      <c r="B974" s="9" t="s">
        <v>28</v>
      </c>
      <c r="C974" s="9" t="n">
        <v>1197831</v>
      </c>
      <c r="D974" s="10" t="n">
        <v>44301</v>
      </c>
      <c r="E974" s="9" t="s">
        <v>29</v>
      </c>
      <c r="F974" s="9" t="s">
        <v>57</v>
      </c>
      <c r="G974" s="9" t="s">
        <v>58</v>
      </c>
      <c r="H974" s="11" t="s">
        <v>19</v>
      </c>
      <c r="I974" s="12" t="n">
        <v>40</v>
      </c>
      <c r="J974" s="13" t="n">
        <v>825</v>
      </c>
      <c r="K974" s="14" t="n">
        <f aca="false">I974*J974</f>
        <v>33000</v>
      </c>
      <c r="L974" s="14" t="n">
        <f aca="false">($L$2*M974)/100</f>
        <v>540749.925</v>
      </c>
      <c r="M974" s="15" t="n">
        <v>0.45</v>
      </c>
      <c r="N974" s="9" t="s">
        <v>26</v>
      </c>
    </row>
    <row r="975" customFormat="false" ht="14.25" hidden="false" customHeight="true" outlineLevel="0" collapsed="false">
      <c r="B975" s="9" t="s">
        <v>28</v>
      </c>
      <c r="C975" s="9" t="n">
        <v>1197831</v>
      </c>
      <c r="D975" s="10" t="n">
        <v>44302</v>
      </c>
      <c r="E975" s="9" t="s">
        <v>29</v>
      </c>
      <c r="F975" s="9" t="s">
        <v>57</v>
      </c>
      <c r="G975" s="9" t="s">
        <v>58</v>
      </c>
      <c r="H975" s="11" t="s">
        <v>21</v>
      </c>
      <c r="I975" s="12" t="n">
        <v>45</v>
      </c>
      <c r="J975" s="13" t="n">
        <v>825</v>
      </c>
      <c r="K975" s="14" t="n">
        <f aca="false">I975*J975</f>
        <v>37125</v>
      </c>
      <c r="L975" s="14" t="n">
        <f aca="false">($L$2*M975)/100</f>
        <v>540749.925</v>
      </c>
      <c r="M975" s="15" t="n">
        <v>0.45</v>
      </c>
      <c r="N975" s="9" t="s">
        <v>26</v>
      </c>
    </row>
    <row r="976" customFormat="false" ht="14.25" hidden="false" customHeight="true" outlineLevel="0" collapsed="false">
      <c r="B976" s="9" t="s">
        <v>28</v>
      </c>
      <c r="C976" s="9" t="n">
        <v>1197831</v>
      </c>
      <c r="D976" s="10" t="n">
        <v>44303</v>
      </c>
      <c r="E976" s="9" t="s">
        <v>29</v>
      </c>
      <c r="F976" s="9" t="s">
        <v>57</v>
      </c>
      <c r="G976" s="9" t="s">
        <v>58</v>
      </c>
      <c r="H976" s="11" t="s">
        <v>22</v>
      </c>
      <c r="I976" s="12" t="n">
        <v>40</v>
      </c>
      <c r="J976" s="13" t="n">
        <v>975</v>
      </c>
      <c r="K976" s="14" t="n">
        <f aca="false">I976*J976</f>
        <v>39000</v>
      </c>
      <c r="L976" s="14" t="n">
        <f aca="false">($L$2*M976)/100</f>
        <v>540749.925</v>
      </c>
      <c r="M976" s="15" t="n">
        <v>0.45</v>
      </c>
      <c r="N976" s="9" t="s">
        <v>26</v>
      </c>
    </row>
    <row r="977" customFormat="false" ht="14.25" hidden="false" customHeight="true" outlineLevel="0" collapsed="false">
      <c r="B977" s="9" t="s">
        <v>28</v>
      </c>
      <c r="C977" s="9" t="n">
        <v>1197831</v>
      </c>
      <c r="D977" s="10" t="n">
        <v>44304</v>
      </c>
      <c r="E977" s="9" t="s">
        <v>29</v>
      </c>
      <c r="F977" s="9" t="s">
        <v>57</v>
      </c>
      <c r="G977" s="9" t="s">
        <v>58</v>
      </c>
      <c r="H977" s="11" t="s">
        <v>23</v>
      </c>
      <c r="I977" s="12" t="n">
        <v>40</v>
      </c>
      <c r="J977" s="13" t="n">
        <v>575</v>
      </c>
      <c r="K977" s="14" t="n">
        <f aca="false">I977*J977</f>
        <v>23000</v>
      </c>
      <c r="L977" s="14" t="n">
        <f aca="false">($L$2*M977)/100</f>
        <v>660916.575</v>
      </c>
      <c r="M977" s="15" t="n">
        <v>0.55</v>
      </c>
      <c r="N977" s="9" t="s">
        <v>26</v>
      </c>
    </row>
    <row r="978" customFormat="false" ht="14.25" hidden="false" customHeight="true" outlineLevel="0" collapsed="false">
      <c r="B978" s="9" t="s">
        <v>28</v>
      </c>
      <c r="C978" s="9" t="n">
        <v>1197831</v>
      </c>
      <c r="D978" s="10" t="n">
        <v>44305</v>
      </c>
      <c r="E978" s="9" t="s">
        <v>29</v>
      </c>
      <c r="F978" s="9" t="s">
        <v>57</v>
      </c>
      <c r="G978" s="9" t="s">
        <v>58</v>
      </c>
      <c r="H978" s="11" t="s">
        <v>24</v>
      </c>
      <c r="I978" s="12" t="n">
        <v>45</v>
      </c>
      <c r="J978" s="13" t="n">
        <v>550</v>
      </c>
      <c r="K978" s="14" t="n">
        <f aca="false">I978*J978</f>
        <v>24750</v>
      </c>
      <c r="L978" s="14" t="n">
        <f aca="false">($L$2*M978)/100</f>
        <v>480666.6</v>
      </c>
      <c r="M978" s="15" t="n">
        <v>0.4</v>
      </c>
      <c r="N978" s="9" t="s">
        <v>26</v>
      </c>
    </row>
    <row r="979" customFormat="false" ht="14.25" hidden="false" customHeight="true" outlineLevel="0" collapsed="false">
      <c r="B979" s="9" t="s">
        <v>28</v>
      </c>
      <c r="C979" s="9" t="n">
        <v>1197831</v>
      </c>
      <c r="D979" s="10" t="n">
        <v>44306</v>
      </c>
      <c r="E979" s="9" t="s">
        <v>29</v>
      </c>
      <c r="F979" s="9" t="s">
        <v>57</v>
      </c>
      <c r="G979" s="9" t="s">
        <v>58</v>
      </c>
      <c r="H979" s="11" t="s">
        <v>25</v>
      </c>
      <c r="I979" s="12" t="n">
        <v>55</v>
      </c>
      <c r="J979" s="13" t="n">
        <v>825</v>
      </c>
      <c r="K979" s="14" t="n">
        <f aca="false">I979*J979</f>
        <v>45375</v>
      </c>
      <c r="L979" s="14" t="n">
        <f aca="false">($L$2*M979)/100</f>
        <v>720999.9</v>
      </c>
      <c r="M979" s="15" t="n">
        <v>0.6</v>
      </c>
      <c r="N979" s="9" t="s">
        <v>26</v>
      </c>
    </row>
    <row r="980" customFormat="false" ht="14.25" hidden="false" customHeight="true" outlineLevel="0" collapsed="false">
      <c r="B980" s="9" t="s">
        <v>28</v>
      </c>
      <c r="C980" s="9" t="n">
        <v>1197831</v>
      </c>
      <c r="D980" s="10" t="n">
        <v>44307</v>
      </c>
      <c r="E980" s="9" t="s">
        <v>29</v>
      </c>
      <c r="F980" s="9" t="s">
        <v>57</v>
      </c>
      <c r="G980" s="9" t="s">
        <v>58</v>
      </c>
      <c r="H980" s="11" t="s">
        <v>19</v>
      </c>
      <c r="I980" s="12" t="n">
        <v>45</v>
      </c>
      <c r="J980" s="13" t="n">
        <v>775</v>
      </c>
      <c r="K980" s="14" t="n">
        <f aca="false">I980*J980</f>
        <v>34875</v>
      </c>
      <c r="L980" s="14" t="n">
        <f aca="false">($L$2*M980)/100</f>
        <v>540749.925</v>
      </c>
      <c r="M980" s="15" t="n">
        <v>0.45</v>
      </c>
      <c r="N980" s="9" t="s">
        <v>26</v>
      </c>
    </row>
    <row r="981" customFormat="false" ht="14.25" hidden="false" customHeight="true" outlineLevel="0" collapsed="false">
      <c r="B981" s="9" t="s">
        <v>28</v>
      </c>
      <c r="C981" s="9" t="n">
        <v>1197831</v>
      </c>
      <c r="D981" s="10" t="n">
        <v>44308</v>
      </c>
      <c r="E981" s="9" t="s">
        <v>29</v>
      </c>
      <c r="F981" s="9" t="s">
        <v>57</v>
      </c>
      <c r="G981" s="9" t="s">
        <v>58</v>
      </c>
      <c r="H981" s="11" t="s">
        <v>21</v>
      </c>
      <c r="I981" s="12" t="n">
        <v>55</v>
      </c>
      <c r="J981" s="13" t="n">
        <v>775</v>
      </c>
      <c r="K981" s="14" t="n">
        <f aca="false">I981*J981</f>
        <v>42625</v>
      </c>
      <c r="L981" s="14" t="n">
        <f aca="false">($L$2*M981)/100</f>
        <v>540749.925</v>
      </c>
      <c r="M981" s="15" t="n">
        <v>0.45</v>
      </c>
      <c r="N981" s="9" t="s">
        <v>26</v>
      </c>
    </row>
    <row r="982" customFormat="false" ht="14.25" hidden="false" customHeight="true" outlineLevel="0" collapsed="false">
      <c r="B982" s="9" t="s">
        <v>28</v>
      </c>
      <c r="C982" s="9" t="n">
        <v>1197831</v>
      </c>
      <c r="D982" s="10" t="n">
        <v>44309</v>
      </c>
      <c r="E982" s="9" t="s">
        <v>29</v>
      </c>
      <c r="F982" s="9" t="s">
        <v>57</v>
      </c>
      <c r="G982" s="9" t="s">
        <v>58</v>
      </c>
      <c r="H982" s="11" t="s">
        <v>22</v>
      </c>
      <c r="I982" s="12" t="n">
        <v>50</v>
      </c>
      <c r="J982" s="13" t="n">
        <v>950</v>
      </c>
      <c r="K982" s="14" t="n">
        <f aca="false">I982*J982</f>
        <v>47500</v>
      </c>
      <c r="L982" s="14" t="n">
        <f aca="false">($L$2*M982)/100</f>
        <v>540749.925</v>
      </c>
      <c r="M982" s="15" t="n">
        <v>0.45</v>
      </c>
      <c r="N982" s="9" t="s">
        <v>26</v>
      </c>
    </row>
    <row r="983" customFormat="false" ht="14.25" hidden="false" customHeight="true" outlineLevel="0" collapsed="false">
      <c r="B983" s="9" t="s">
        <v>28</v>
      </c>
      <c r="C983" s="9" t="n">
        <v>1197831</v>
      </c>
      <c r="D983" s="10" t="n">
        <v>44310</v>
      </c>
      <c r="E983" s="9" t="s">
        <v>29</v>
      </c>
      <c r="F983" s="9" t="s">
        <v>57</v>
      </c>
      <c r="G983" s="9" t="s">
        <v>58</v>
      </c>
      <c r="H983" s="11" t="s">
        <v>23</v>
      </c>
      <c r="I983" s="12" t="n">
        <v>45</v>
      </c>
      <c r="J983" s="13" t="n">
        <v>475</v>
      </c>
      <c r="K983" s="14" t="n">
        <f aca="false">I983*J983</f>
        <v>21375</v>
      </c>
      <c r="L983" s="14" t="n">
        <f aca="false">($L$2*M983)/100</f>
        <v>660916.575</v>
      </c>
      <c r="M983" s="15" t="n">
        <v>0.55</v>
      </c>
      <c r="N983" s="9" t="s">
        <v>26</v>
      </c>
    </row>
    <row r="984" customFormat="false" ht="14.25" hidden="false" customHeight="true" outlineLevel="0" collapsed="false">
      <c r="B984" s="9" t="s">
        <v>28</v>
      </c>
      <c r="C984" s="9" t="n">
        <v>1197831</v>
      </c>
      <c r="D984" s="10" t="n">
        <v>44311</v>
      </c>
      <c r="E984" s="9" t="s">
        <v>29</v>
      </c>
      <c r="F984" s="9" t="s">
        <v>57</v>
      </c>
      <c r="G984" s="9" t="s">
        <v>58</v>
      </c>
      <c r="H984" s="11" t="s">
        <v>24</v>
      </c>
      <c r="I984" s="12" t="n">
        <v>50</v>
      </c>
      <c r="J984" s="13" t="n">
        <v>475</v>
      </c>
      <c r="K984" s="14" t="n">
        <f aca="false">I984*J984</f>
        <v>23750</v>
      </c>
      <c r="L984" s="14" t="n">
        <f aca="false">($L$2*M984)/100</f>
        <v>480666.6</v>
      </c>
      <c r="M984" s="15" t="n">
        <v>0.4</v>
      </c>
      <c r="N984" s="9" t="s">
        <v>26</v>
      </c>
    </row>
    <row r="985" customFormat="false" ht="14.25" hidden="false" customHeight="true" outlineLevel="0" collapsed="false">
      <c r="B985" s="9" t="s">
        <v>28</v>
      </c>
      <c r="C985" s="9" t="n">
        <v>1197831</v>
      </c>
      <c r="D985" s="10" t="n">
        <v>44312</v>
      </c>
      <c r="E985" s="9" t="s">
        <v>29</v>
      </c>
      <c r="F985" s="9" t="s">
        <v>57</v>
      </c>
      <c r="G985" s="9" t="s">
        <v>58</v>
      </c>
      <c r="H985" s="11" t="s">
        <v>25</v>
      </c>
      <c r="I985" s="12" t="n">
        <v>55</v>
      </c>
      <c r="J985" s="13" t="n">
        <v>725</v>
      </c>
      <c r="K985" s="14" t="n">
        <f aca="false">I985*J985</f>
        <v>39875</v>
      </c>
      <c r="L985" s="14" t="n">
        <f aca="false">($L$2*M985)/100</f>
        <v>720999.9</v>
      </c>
      <c r="M985" s="15" t="n">
        <v>0.6</v>
      </c>
      <c r="N985" s="9" t="s">
        <v>26</v>
      </c>
    </row>
    <row r="986" customFormat="false" ht="14.25" hidden="false" customHeight="true" outlineLevel="0" collapsed="false">
      <c r="B986" s="9" t="s">
        <v>28</v>
      </c>
      <c r="C986" s="9" t="n">
        <v>1197831</v>
      </c>
      <c r="D986" s="10" t="n">
        <v>44313</v>
      </c>
      <c r="E986" s="9" t="s">
        <v>29</v>
      </c>
      <c r="F986" s="9" t="s">
        <v>57</v>
      </c>
      <c r="G986" s="9" t="s">
        <v>58</v>
      </c>
      <c r="H986" s="11" t="s">
        <v>19</v>
      </c>
      <c r="I986" s="12" t="n">
        <v>50</v>
      </c>
      <c r="J986" s="13" t="n">
        <v>675</v>
      </c>
      <c r="K986" s="14" t="n">
        <f aca="false">I986*J986</f>
        <v>33750</v>
      </c>
      <c r="L986" s="14" t="n">
        <f aca="false">($L$2*M986)/100</f>
        <v>540749.925</v>
      </c>
      <c r="M986" s="15" t="n">
        <v>0.45</v>
      </c>
      <c r="N986" s="9" t="s">
        <v>26</v>
      </c>
    </row>
    <row r="987" customFormat="false" ht="14.25" hidden="false" customHeight="true" outlineLevel="0" collapsed="false">
      <c r="B987" s="9" t="s">
        <v>28</v>
      </c>
      <c r="C987" s="9" t="n">
        <v>1197831</v>
      </c>
      <c r="D987" s="10" t="n">
        <v>44314</v>
      </c>
      <c r="E987" s="9" t="s">
        <v>29</v>
      </c>
      <c r="F987" s="9" t="s">
        <v>57</v>
      </c>
      <c r="G987" s="9" t="s">
        <v>58</v>
      </c>
      <c r="H987" s="11" t="s">
        <v>21</v>
      </c>
      <c r="I987" s="12" t="n">
        <v>50</v>
      </c>
      <c r="J987" s="13" t="n">
        <v>625</v>
      </c>
      <c r="K987" s="14" t="n">
        <f aca="false">I987*J987</f>
        <v>31250</v>
      </c>
      <c r="L987" s="14" t="n">
        <f aca="false">($L$2*M987)/100</f>
        <v>540749.925</v>
      </c>
      <c r="M987" s="15" t="n">
        <v>0.45</v>
      </c>
      <c r="N987" s="9" t="s">
        <v>26</v>
      </c>
    </row>
    <row r="988" customFormat="false" ht="14.25" hidden="false" customHeight="true" outlineLevel="0" collapsed="false">
      <c r="B988" s="9" t="s">
        <v>28</v>
      </c>
      <c r="C988" s="9" t="n">
        <v>1197831</v>
      </c>
      <c r="D988" s="10" t="n">
        <v>44315</v>
      </c>
      <c r="E988" s="9" t="s">
        <v>29</v>
      </c>
      <c r="F988" s="9" t="s">
        <v>57</v>
      </c>
      <c r="G988" s="9" t="s">
        <v>58</v>
      </c>
      <c r="H988" s="11" t="s">
        <v>22</v>
      </c>
      <c r="I988" s="12" t="n">
        <v>55</v>
      </c>
      <c r="J988" s="13" t="n">
        <v>675</v>
      </c>
      <c r="K988" s="14" t="n">
        <f aca="false">I988*J988</f>
        <v>37125</v>
      </c>
      <c r="L988" s="14" t="n">
        <f aca="false">($L$2*M988)/100</f>
        <v>540749.925</v>
      </c>
      <c r="M988" s="15" t="n">
        <v>0.45</v>
      </c>
      <c r="N988" s="9" t="s">
        <v>26</v>
      </c>
    </row>
    <row r="989" customFormat="false" ht="14.25" hidden="false" customHeight="true" outlineLevel="0" collapsed="false">
      <c r="B989" s="9" t="s">
        <v>28</v>
      </c>
      <c r="C989" s="9" t="n">
        <v>1197831</v>
      </c>
      <c r="D989" s="10" t="n">
        <v>44316</v>
      </c>
      <c r="E989" s="9" t="s">
        <v>29</v>
      </c>
      <c r="F989" s="9" t="s">
        <v>57</v>
      </c>
      <c r="G989" s="9" t="s">
        <v>58</v>
      </c>
      <c r="H989" s="11" t="s">
        <v>23</v>
      </c>
      <c r="I989" s="12" t="n">
        <v>55</v>
      </c>
      <c r="J989" s="13" t="n">
        <v>400</v>
      </c>
      <c r="K989" s="14" t="n">
        <f aca="false">I989*J989</f>
        <v>22000</v>
      </c>
      <c r="L989" s="14" t="n">
        <f aca="false">($L$2*M989)/100</f>
        <v>660916.575</v>
      </c>
      <c r="M989" s="15" t="n">
        <v>0.55</v>
      </c>
      <c r="N989" s="9" t="s">
        <v>26</v>
      </c>
    </row>
    <row r="990" customFormat="false" ht="14.25" hidden="false" customHeight="true" outlineLevel="0" collapsed="false">
      <c r="B990" s="9" t="s">
        <v>28</v>
      </c>
      <c r="C990" s="9" t="n">
        <v>1197831</v>
      </c>
      <c r="D990" s="10" t="n">
        <v>44317</v>
      </c>
      <c r="E990" s="9" t="s">
        <v>29</v>
      </c>
      <c r="F990" s="9" t="s">
        <v>57</v>
      </c>
      <c r="G990" s="9" t="s">
        <v>58</v>
      </c>
      <c r="H990" s="11" t="s">
        <v>24</v>
      </c>
      <c r="I990" s="12" t="n">
        <v>50</v>
      </c>
      <c r="J990" s="13" t="n">
        <v>400</v>
      </c>
      <c r="K990" s="14" t="n">
        <f aca="false">I990*J990</f>
        <v>20000</v>
      </c>
      <c r="L990" s="14" t="n">
        <f aca="false">($L$2*M990)/100</f>
        <v>480666.6</v>
      </c>
      <c r="M990" s="15" t="n">
        <v>0.4</v>
      </c>
      <c r="N990" s="9" t="s">
        <v>26</v>
      </c>
    </row>
    <row r="991" customFormat="false" ht="14.25" hidden="false" customHeight="true" outlineLevel="0" collapsed="false">
      <c r="B991" s="9" t="s">
        <v>28</v>
      </c>
      <c r="C991" s="9" t="n">
        <v>1197831</v>
      </c>
      <c r="D991" s="10" t="n">
        <v>44318</v>
      </c>
      <c r="E991" s="9" t="s">
        <v>29</v>
      </c>
      <c r="F991" s="9" t="s">
        <v>57</v>
      </c>
      <c r="G991" s="9" t="s">
        <v>58</v>
      </c>
      <c r="H991" s="11" t="s">
        <v>25</v>
      </c>
      <c r="I991" s="12" t="n">
        <v>45</v>
      </c>
      <c r="J991" s="13" t="n">
        <v>625</v>
      </c>
      <c r="K991" s="14" t="n">
        <f aca="false">I991*J991</f>
        <v>28125</v>
      </c>
      <c r="L991" s="14" t="n">
        <f aca="false">($L$2*M991)/100</f>
        <v>720999.9</v>
      </c>
      <c r="M991" s="15" t="n">
        <v>0.6</v>
      </c>
      <c r="N991" s="9" t="s">
        <v>26</v>
      </c>
    </row>
    <row r="992" customFormat="false" ht="14.25" hidden="false" customHeight="true" outlineLevel="0" collapsed="false">
      <c r="B992" s="9" t="s">
        <v>28</v>
      </c>
      <c r="C992" s="9" t="n">
        <v>1197831</v>
      </c>
      <c r="D992" s="10" t="n">
        <v>44319</v>
      </c>
      <c r="E992" s="9" t="s">
        <v>29</v>
      </c>
      <c r="F992" s="9" t="s">
        <v>57</v>
      </c>
      <c r="G992" s="9" t="s">
        <v>58</v>
      </c>
      <c r="H992" s="11" t="s">
        <v>19</v>
      </c>
      <c r="I992" s="12" t="n">
        <v>35</v>
      </c>
      <c r="J992" s="13" t="n">
        <v>575</v>
      </c>
      <c r="K992" s="14" t="n">
        <f aca="false">I992*J992</f>
        <v>20125</v>
      </c>
      <c r="L992" s="14" t="n">
        <f aca="false">($L$2*M992)/100</f>
        <v>540749.925</v>
      </c>
      <c r="M992" s="15" t="n">
        <v>0.45</v>
      </c>
      <c r="N992" s="9" t="s">
        <v>26</v>
      </c>
    </row>
    <row r="993" customFormat="false" ht="14.25" hidden="false" customHeight="true" outlineLevel="0" collapsed="false">
      <c r="B993" s="9" t="s">
        <v>28</v>
      </c>
      <c r="C993" s="9" t="n">
        <v>1197831</v>
      </c>
      <c r="D993" s="10" t="n">
        <v>44320</v>
      </c>
      <c r="E993" s="9" t="s">
        <v>29</v>
      </c>
      <c r="F993" s="9" t="s">
        <v>57</v>
      </c>
      <c r="G993" s="9" t="s">
        <v>58</v>
      </c>
      <c r="H993" s="11" t="s">
        <v>21</v>
      </c>
      <c r="I993" s="12" t="n">
        <v>35</v>
      </c>
      <c r="J993" s="13" t="n">
        <v>575</v>
      </c>
      <c r="K993" s="14" t="n">
        <f aca="false">I993*J993</f>
        <v>20125</v>
      </c>
      <c r="L993" s="14" t="n">
        <f aca="false">($L$2*M993)/100</f>
        <v>540749.925</v>
      </c>
      <c r="M993" s="15" t="n">
        <v>0.45</v>
      </c>
      <c r="N993" s="9" t="s">
        <v>26</v>
      </c>
    </row>
    <row r="994" customFormat="false" ht="14.25" hidden="false" customHeight="true" outlineLevel="0" collapsed="false">
      <c r="B994" s="9" t="s">
        <v>28</v>
      </c>
      <c r="C994" s="9" t="n">
        <v>1197831</v>
      </c>
      <c r="D994" s="10" t="n">
        <v>44321</v>
      </c>
      <c r="E994" s="9" t="s">
        <v>29</v>
      </c>
      <c r="F994" s="9" t="s">
        <v>57</v>
      </c>
      <c r="G994" s="9" t="s">
        <v>58</v>
      </c>
      <c r="H994" s="11" t="s">
        <v>22</v>
      </c>
      <c r="I994" s="12" t="n">
        <v>40</v>
      </c>
      <c r="J994" s="13" t="n">
        <v>525</v>
      </c>
      <c r="K994" s="14" t="n">
        <f aca="false">I994*J994</f>
        <v>21000</v>
      </c>
      <c r="L994" s="14" t="n">
        <f aca="false">($L$2*M994)/100</f>
        <v>540749.925</v>
      </c>
      <c r="M994" s="15" t="n">
        <v>0.45</v>
      </c>
      <c r="N994" s="9" t="s">
        <v>26</v>
      </c>
    </row>
    <row r="995" customFormat="false" ht="14.25" hidden="false" customHeight="true" outlineLevel="0" collapsed="false">
      <c r="B995" s="9" t="s">
        <v>28</v>
      </c>
      <c r="C995" s="9" t="n">
        <v>1197831</v>
      </c>
      <c r="D995" s="10" t="n">
        <v>44322</v>
      </c>
      <c r="E995" s="9" t="s">
        <v>29</v>
      </c>
      <c r="F995" s="9" t="s">
        <v>57</v>
      </c>
      <c r="G995" s="9" t="s">
        <v>58</v>
      </c>
      <c r="H995" s="11" t="s">
        <v>23</v>
      </c>
      <c r="I995" s="12" t="n">
        <v>40</v>
      </c>
      <c r="J995" s="13" t="n">
        <v>375</v>
      </c>
      <c r="K995" s="14" t="n">
        <f aca="false">I995*J995</f>
        <v>15000</v>
      </c>
      <c r="L995" s="14" t="n">
        <f aca="false">($L$2*M995)/100</f>
        <v>660916.575</v>
      </c>
      <c r="M995" s="15" t="n">
        <v>0.55</v>
      </c>
      <c r="N995" s="9" t="s">
        <v>26</v>
      </c>
    </row>
    <row r="996" customFormat="false" ht="14.25" hidden="false" customHeight="true" outlineLevel="0" collapsed="false">
      <c r="B996" s="9" t="s">
        <v>28</v>
      </c>
      <c r="C996" s="9" t="n">
        <v>1197831</v>
      </c>
      <c r="D996" s="10" t="n">
        <v>44323</v>
      </c>
      <c r="E996" s="9" t="s">
        <v>29</v>
      </c>
      <c r="F996" s="9" t="s">
        <v>57</v>
      </c>
      <c r="G996" s="9" t="s">
        <v>58</v>
      </c>
      <c r="H996" s="11" t="s">
        <v>24</v>
      </c>
      <c r="I996" s="12" t="n">
        <v>35</v>
      </c>
      <c r="J996" s="13" t="n">
        <v>350</v>
      </c>
      <c r="K996" s="14" t="n">
        <f aca="false">I996*J996</f>
        <v>12250</v>
      </c>
      <c r="L996" s="14" t="n">
        <f aca="false">($L$2*M996)/100</f>
        <v>480666.6</v>
      </c>
      <c r="M996" s="15" t="n">
        <v>0.4</v>
      </c>
      <c r="N996" s="9" t="s">
        <v>26</v>
      </c>
    </row>
    <row r="997" customFormat="false" ht="14.25" hidden="false" customHeight="true" outlineLevel="0" collapsed="false">
      <c r="B997" s="9" t="s">
        <v>28</v>
      </c>
      <c r="C997" s="9" t="n">
        <v>1197831</v>
      </c>
      <c r="D997" s="10" t="n">
        <v>44324</v>
      </c>
      <c r="E997" s="9" t="s">
        <v>29</v>
      </c>
      <c r="F997" s="9" t="s">
        <v>57</v>
      </c>
      <c r="G997" s="9" t="s">
        <v>58</v>
      </c>
      <c r="H997" s="11" t="s">
        <v>25</v>
      </c>
      <c r="I997" s="12" t="n">
        <v>45</v>
      </c>
      <c r="J997" s="13" t="n">
        <v>525</v>
      </c>
      <c r="K997" s="14" t="n">
        <f aca="false">I997*J997</f>
        <v>23625</v>
      </c>
      <c r="L997" s="14" t="n">
        <f aca="false">($L$2*M997)/100</f>
        <v>720999.9</v>
      </c>
      <c r="M997" s="15" t="n">
        <v>0.6</v>
      </c>
      <c r="N997" s="9" t="s">
        <v>26</v>
      </c>
    </row>
    <row r="998" customFormat="false" ht="14.25" hidden="false" customHeight="true" outlineLevel="0" collapsed="false">
      <c r="B998" s="9" t="s">
        <v>28</v>
      </c>
      <c r="C998" s="9" t="n">
        <v>1197831</v>
      </c>
      <c r="D998" s="10" t="n">
        <v>44325</v>
      </c>
      <c r="E998" s="9" t="s">
        <v>29</v>
      </c>
      <c r="F998" s="9" t="s">
        <v>57</v>
      </c>
      <c r="G998" s="9" t="s">
        <v>58</v>
      </c>
      <c r="H998" s="11" t="s">
        <v>19</v>
      </c>
      <c r="I998" s="12" t="n">
        <v>30</v>
      </c>
      <c r="J998" s="13" t="n">
        <v>675</v>
      </c>
      <c r="K998" s="14" t="n">
        <f aca="false">I998*J998</f>
        <v>20250</v>
      </c>
      <c r="L998" s="14" t="n">
        <f aca="false">($L$2*M998)/100</f>
        <v>540749.925</v>
      </c>
      <c r="M998" s="15" t="n">
        <v>0.45</v>
      </c>
      <c r="N998" s="9" t="s">
        <v>26</v>
      </c>
    </row>
    <row r="999" customFormat="false" ht="14.25" hidden="false" customHeight="true" outlineLevel="0" collapsed="false">
      <c r="B999" s="9" t="s">
        <v>28</v>
      </c>
      <c r="C999" s="9" t="n">
        <v>1197831</v>
      </c>
      <c r="D999" s="10" t="n">
        <v>44326</v>
      </c>
      <c r="E999" s="9" t="s">
        <v>29</v>
      </c>
      <c r="F999" s="9" t="s">
        <v>57</v>
      </c>
      <c r="G999" s="9" t="s">
        <v>58</v>
      </c>
      <c r="H999" s="11" t="s">
        <v>21</v>
      </c>
      <c r="I999" s="12" t="n">
        <v>30</v>
      </c>
      <c r="J999" s="13" t="n">
        <v>675</v>
      </c>
      <c r="K999" s="14" t="n">
        <f aca="false">I999*J999</f>
        <v>20250</v>
      </c>
      <c r="L999" s="14" t="n">
        <f aca="false">($L$2*M999)/100</f>
        <v>540749.925</v>
      </c>
      <c r="M999" s="15" t="n">
        <v>0.45</v>
      </c>
      <c r="N999" s="9" t="s">
        <v>26</v>
      </c>
    </row>
    <row r="1000" customFormat="false" ht="14.25" hidden="false" customHeight="true" outlineLevel="0" collapsed="false">
      <c r="B1000" s="9" t="s">
        <v>28</v>
      </c>
      <c r="C1000" s="9" t="n">
        <v>1197831</v>
      </c>
      <c r="D1000" s="10" t="n">
        <v>44327</v>
      </c>
      <c r="E1000" s="9" t="s">
        <v>29</v>
      </c>
      <c r="F1000" s="9" t="s">
        <v>57</v>
      </c>
      <c r="G1000" s="9" t="s">
        <v>58</v>
      </c>
      <c r="H1000" s="11" t="s">
        <v>22</v>
      </c>
      <c r="I1000" s="12" t="n">
        <v>55</v>
      </c>
      <c r="J1000" s="13" t="n">
        <v>600</v>
      </c>
      <c r="K1000" s="14" t="n">
        <f aca="false">I1000*J1000</f>
        <v>33000</v>
      </c>
      <c r="L1000" s="14" t="n">
        <f aca="false">($L$2*M1000)/100</f>
        <v>540749.925</v>
      </c>
      <c r="M1000" s="15" t="n">
        <v>0.45</v>
      </c>
      <c r="N1000" s="9" t="s">
        <v>26</v>
      </c>
    </row>
    <row r="1001" customFormat="false" ht="14.25" hidden="false" customHeight="true" outlineLevel="0" collapsed="false">
      <c r="B1001" s="9" t="s">
        <v>28</v>
      </c>
      <c r="C1001" s="9" t="n">
        <v>1197831</v>
      </c>
      <c r="D1001" s="10" t="n">
        <v>44328</v>
      </c>
      <c r="E1001" s="9" t="s">
        <v>29</v>
      </c>
      <c r="F1001" s="9" t="s">
        <v>57</v>
      </c>
      <c r="G1001" s="9" t="s">
        <v>58</v>
      </c>
      <c r="H1001" s="11" t="s">
        <v>23</v>
      </c>
      <c r="I1001" s="12" t="n">
        <v>55</v>
      </c>
      <c r="J1001" s="13" t="n">
        <v>475</v>
      </c>
      <c r="K1001" s="14" t="n">
        <f aca="false">I1001*J1001</f>
        <v>26125</v>
      </c>
      <c r="L1001" s="14" t="n">
        <f aca="false">($L$2*M1001)/100</f>
        <v>660916.575</v>
      </c>
      <c r="M1001" s="15" t="n">
        <v>0.55</v>
      </c>
      <c r="N1001" s="9" t="s">
        <v>26</v>
      </c>
    </row>
    <row r="1002" customFormat="false" ht="14.25" hidden="false" customHeight="true" outlineLevel="0" collapsed="false">
      <c r="B1002" s="9" t="s">
        <v>28</v>
      </c>
      <c r="C1002" s="9" t="n">
        <v>1197831</v>
      </c>
      <c r="D1002" s="10" t="n">
        <v>44329</v>
      </c>
      <c r="E1002" s="9" t="s">
        <v>29</v>
      </c>
      <c r="F1002" s="9" t="s">
        <v>57</v>
      </c>
      <c r="G1002" s="9" t="s">
        <v>58</v>
      </c>
      <c r="H1002" s="11" t="s">
        <v>24</v>
      </c>
      <c r="I1002" s="12" t="n">
        <v>55</v>
      </c>
      <c r="J1002" s="13" t="n">
        <v>450</v>
      </c>
      <c r="K1002" s="14" t="n">
        <f aca="false">I1002*J1002</f>
        <v>24750</v>
      </c>
      <c r="L1002" s="14" t="n">
        <f aca="false">($L$2*M1002)/100</f>
        <v>480666.6</v>
      </c>
      <c r="M1002" s="15" t="n">
        <v>0.4</v>
      </c>
      <c r="N1002" s="9" t="s">
        <v>26</v>
      </c>
    </row>
    <row r="1003" customFormat="false" ht="14.25" hidden="false" customHeight="true" outlineLevel="0" collapsed="false">
      <c r="B1003" s="9" t="s">
        <v>28</v>
      </c>
      <c r="C1003" s="9" t="n">
        <v>1197831</v>
      </c>
      <c r="D1003" s="10" t="n">
        <v>44330</v>
      </c>
      <c r="E1003" s="9" t="s">
        <v>29</v>
      </c>
      <c r="F1003" s="9" t="s">
        <v>57</v>
      </c>
      <c r="G1003" s="9" t="s">
        <v>58</v>
      </c>
      <c r="H1003" s="11" t="s">
        <v>25</v>
      </c>
      <c r="I1003" s="12" t="n">
        <v>65</v>
      </c>
      <c r="J1003" s="13" t="n">
        <v>650</v>
      </c>
      <c r="K1003" s="14" t="n">
        <f aca="false">I1003*J1003</f>
        <v>42250</v>
      </c>
      <c r="L1003" s="14" t="n">
        <f aca="false">($L$2*M1003)/100</f>
        <v>720999.9</v>
      </c>
      <c r="M1003" s="15" t="n">
        <v>0.6</v>
      </c>
      <c r="N1003" s="9" t="s">
        <v>26</v>
      </c>
    </row>
    <row r="1004" customFormat="false" ht="14.25" hidden="false" customHeight="true" outlineLevel="0" collapsed="false">
      <c r="B1004" s="9" t="s">
        <v>28</v>
      </c>
      <c r="C1004" s="9" t="n">
        <v>1197831</v>
      </c>
      <c r="D1004" s="10" t="n">
        <v>44331</v>
      </c>
      <c r="E1004" s="9" t="s">
        <v>29</v>
      </c>
      <c r="F1004" s="9" t="s">
        <v>57</v>
      </c>
      <c r="G1004" s="9" t="s">
        <v>58</v>
      </c>
      <c r="H1004" s="11" t="s">
        <v>19</v>
      </c>
      <c r="I1004" s="12" t="n">
        <v>55</v>
      </c>
      <c r="J1004" s="13" t="n">
        <v>800</v>
      </c>
      <c r="K1004" s="14" t="n">
        <f aca="false">I1004*J1004</f>
        <v>44000</v>
      </c>
      <c r="L1004" s="14" t="n">
        <f aca="false">($L$2*M1004)/100</f>
        <v>540749.925</v>
      </c>
      <c r="M1004" s="15" t="n">
        <v>0.45</v>
      </c>
      <c r="N1004" s="9" t="s">
        <v>26</v>
      </c>
    </row>
    <row r="1005" customFormat="false" ht="14.25" hidden="false" customHeight="true" outlineLevel="0" collapsed="false">
      <c r="B1005" s="9" t="s">
        <v>28</v>
      </c>
      <c r="C1005" s="9" t="n">
        <v>1197831</v>
      </c>
      <c r="D1005" s="10" t="n">
        <v>44332</v>
      </c>
      <c r="E1005" s="9" t="s">
        <v>29</v>
      </c>
      <c r="F1005" s="9" t="s">
        <v>57</v>
      </c>
      <c r="G1005" s="9" t="s">
        <v>58</v>
      </c>
      <c r="H1005" s="11" t="s">
        <v>21</v>
      </c>
      <c r="I1005" s="12" t="n">
        <v>55</v>
      </c>
      <c r="J1005" s="13" t="n">
        <v>800</v>
      </c>
      <c r="K1005" s="14" t="n">
        <f aca="false">I1005*J1005</f>
        <v>44000</v>
      </c>
      <c r="L1005" s="14" t="n">
        <f aca="false">($L$2*M1005)/100</f>
        <v>540749.925</v>
      </c>
      <c r="M1005" s="15" t="n">
        <v>0.45</v>
      </c>
      <c r="N1005" s="9" t="s">
        <v>26</v>
      </c>
    </row>
    <row r="1006" customFormat="false" ht="14.25" hidden="false" customHeight="true" outlineLevel="0" collapsed="false">
      <c r="B1006" s="9" t="s">
        <v>28</v>
      </c>
      <c r="C1006" s="9" t="n">
        <v>1197831</v>
      </c>
      <c r="D1006" s="10" t="n">
        <v>44333</v>
      </c>
      <c r="E1006" s="9" t="s">
        <v>29</v>
      </c>
      <c r="F1006" s="9" t="s">
        <v>57</v>
      </c>
      <c r="G1006" s="9" t="s">
        <v>58</v>
      </c>
      <c r="H1006" s="11" t="s">
        <v>22</v>
      </c>
      <c r="I1006" s="12" t="n">
        <v>60</v>
      </c>
      <c r="J1006" s="13" t="n">
        <v>700</v>
      </c>
      <c r="K1006" s="14" t="n">
        <f aca="false">I1006*J1006</f>
        <v>42000</v>
      </c>
      <c r="L1006" s="14" t="n">
        <f aca="false">($L$2*M1006)/100</f>
        <v>540749.925</v>
      </c>
      <c r="M1006" s="15" t="n">
        <v>0.45</v>
      </c>
      <c r="N1006" s="9" t="s">
        <v>26</v>
      </c>
    </row>
    <row r="1007" customFormat="false" ht="14.25" hidden="false" customHeight="true" outlineLevel="0" collapsed="false">
      <c r="B1007" s="9" t="s">
        <v>28</v>
      </c>
      <c r="C1007" s="9" t="n">
        <v>1197831</v>
      </c>
      <c r="D1007" s="10" t="n">
        <v>44334</v>
      </c>
      <c r="E1007" s="9" t="s">
        <v>29</v>
      </c>
      <c r="F1007" s="9" t="s">
        <v>57</v>
      </c>
      <c r="G1007" s="9" t="s">
        <v>58</v>
      </c>
      <c r="H1007" s="11" t="s">
        <v>23</v>
      </c>
      <c r="I1007" s="12" t="n">
        <v>60</v>
      </c>
      <c r="J1007" s="13" t="n">
        <v>550</v>
      </c>
      <c r="K1007" s="14" t="n">
        <f aca="false">I1007*J1007</f>
        <v>33000</v>
      </c>
      <c r="L1007" s="14" t="n">
        <f aca="false">($L$2*M1007)/100</f>
        <v>660916.575</v>
      </c>
      <c r="M1007" s="15" t="n">
        <v>0.55</v>
      </c>
      <c r="N1007" s="9" t="s">
        <v>26</v>
      </c>
    </row>
    <row r="1008" customFormat="false" ht="14.25" hidden="false" customHeight="true" outlineLevel="0" collapsed="false">
      <c r="B1008" s="9" t="s">
        <v>28</v>
      </c>
      <c r="C1008" s="9" t="n">
        <v>1197831</v>
      </c>
      <c r="D1008" s="10" t="n">
        <v>44335</v>
      </c>
      <c r="E1008" s="9" t="s">
        <v>29</v>
      </c>
      <c r="F1008" s="9" t="s">
        <v>57</v>
      </c>
      <c r="G1008" s="9" t="s">
        <v>58</v>
      </c>
      <c r="H1008" s="11" t="s">
        <v>24</v>
      </c>
      <c r="I1008" s="12" t="n">
        <v>55</v>
      </c>
      <c r="J1008" s="13" t="n">
        <v>500</v>
      </c>
      <c r="K1008" s="14" t="n">
        <f aca="false">I1008*J1008</f>
        <v>27500</v>
      </c>
      <c r="L1008" s="14" t="n">
        <f aca="false">($L$2*M1008)/100</f>
        <v>480666.6</v>
      </c>
      <c r="M1008" s="15" t="n">
        <v>0.4</v>
      </c>
      <c r="N1008" s="9" t="s">
        <v>26</v>
      </c>
    </row>
    <row r="1009" customFormat="false" ht="14.25" hidden="false" customHeight="true" outlineLevel="0" collapsed="false">
      <c r="B1009" s="9" t="s">
        <v>28</v>
      </c>
      <c r="C1009" s="9" t="n">
        <v>1197831</v>
      </c>
      <c r="D1009" s="10" t="n">
        <v>44336</v>
      </c>
      <c r="E1009" s="9" t="s">
        <v>29</v>
      </c>
      <c r="F1009" s="9" t="s">
        <v>57</v>
      </c>
      <c r="G1009" s="9" t="s">
        <v>58</v>
      </c>
      <c r="H1009" s="11" t="s">
        <v>25</v>
      </c>
      <c r="I1009" s="12" t="n">
        <v>65</v>
      </c>
      <c r="J1009" s="13" t="n">
        <v>750</v>
      </c>
      <c r="K1009" s="14" t="n">
        <f aca="false">I1009*J1009</f>
        <v>48750</v>
      </c>
      <c r="L1009" s="14" t="n">
        <f aca="false">($L$2*M1009)/100</f>
        <v>720999.9</v>
      </c>
      <c r="M1009" s="15" t="n">
        <v>0.6</v>
      </c>
      <c r="N1009" s="9" t="s">
        <v>26</v>
      </c>
    </row>
    <row r="1010" customFormat="false" ht="14.25" hidden="false" customHeight="true" outlineLevel="0" collapsed="false">
      <c r="B1010" s="9" t="s">
        <v>16</v>
      </c>
      <c r="C1010" s="9" t="n">
        <v>1185732</v>
      </c>
      <c r="D1010" s="10" t="n">
        <v>44337</v>
      </c>
      <c r="E1010" s="9" t="s">
        <v>29</v>
      </c>
      <c r="F1010" s="9" t="s">
        <v>57</v>
      </c>
      <c r="G1010" s="9" t="s">
        <v>58</v>
      </c>
      <c r="H1010" s="11" t="s">
        <v>19</v>
      </c>
      <c r="I1010" s="12" t="n">
        <v>35</v>
      </c>
      <c r="J1010" s="13" t="n">
        <v>425</v>
      </c>
      <c r="K1010" s="14" t="n">
        <f aca="false">I1010*J1010</f>
        <v>14875</v>
      </c>
      <c r="L1010" s="14" t="n">
        <f aca="false">($L$2*M1010)/100</f>
        <v>480666.6</v>
      </c>
      <c r="M1010" s="15" t="n">
        <v>0.4</v>
      </c>
      <c r="N1010" s="9" t="s">
        <v>26</v>
      </c>
    </row>
    <row r="1011" customFormat="false" ht="14.25" hidden="false" customHeight="true" outlineLevel="0" collapsed="false">
      <c r="B1011" s="9" t="s">
        <v>16</v>
      </c>
      <c r="C1011" s="9" t="n">
        <v>1185732</v>
      </c>
      <c r="D1011" s="10" t="n">
        <v>44338</v>
      </c>
      <c r="E1011" s="9" t="s">
        <v>29</v>
      </c>
      <c r="F1011" s="9" t="s">
        <v>57</v>
      </c>
      <c r="G1011" s="9" t="s">
        <v>58</v>
      </c>
      <c r="H1011" s="11" t="s">
        <v>21</v>
      </c>
      <c r="I1011" s="12" t="n">
        <v>35</v>
      </c>
      <c r="J1011" s="13" t="n">
        <v>225</v>
      </c>
      <c r="K1011" s="14" t="n">
        <f aca="false">I1011*J1011</f>
        <v>7875</v>
      </c>
      <c r="L1011" s="14" t="n">
        <f aca="false">($L$2*M1011)/100</f>
        <v>420583.275</v>
      </c>
      <c r="M1011" s="15" t="n">
        <v>0.35</v>
      </c>
      <c r="N1011" s="9" t="s">
        <v>26</v>
      </c>
    </row>
    <row r="1012" customFormat="false" ht="14.25" hidden="false" customHeight="true" outlineLevel="0" collapsed="false">
      <c r="B1012" s="9" t="s">
        <v>16</v>
      </c>
      <c r="C1012" s="9" t="n">
        <v>1185732</v>
      </c>
      <c r="D1012" s="10" t="n">
        <v>44339</v>
      </c>
      <c r="E1012" s="9" t="s">
        <v>29</v>
      </c>
      <c r="F1012" s="9" t="s">
        <v>57</v>
      </c>
      <c r="G1012" s="9" t="s">
        <v>58</v>
      </c>
      <c r="H1012" s="11" t="s">
        <v>22</v>
      </c>
      <c r="I1012" s="12" t="n">
        <v>25</v>
      </c>
      <c r="J1012" s="13" t="n">
        <v>225</v>
      </c>
      <c r="K1012" s="14" t="n">
        <f aca="false">I1012*J1012</f>
        <v>5625</v>
      </c>
      <c r="L1012" s="14" t="n">
        <f aca="false">($L$2*M1012)/100</f>
        <v>420583.275</v>
      </c>
      <c r="M1012" s="15" t="n">
        <v>0.35</v>
      </c>
      <c r="N1012" s="9" t="s">
        <v>26</v>
      </c>
    </row>
    <row r="1013" customFormat="false" ht="14.25" hidden="false" customHeight="true" outlineLevel="0" collapsed="false">
      <c r="B1013" s="9" t="s">
        <v>16</v>
      </c>
      <c r="C1013" s="9" t="n">
        <v>1185732</v>
      </c>
      <c r="D1013" s="10" t="n">
        <v>44340</v>
      </c>
      <c r="E1013" s="9" t="s">
        <v>29</v>
      </c>
      <c r="F1013" s="9" t="s">
        <v>57</v>
      </c>
      <c r="G1013" s="9" t="s">
        <v>58</v>
      </c>
      <c r="H1013" s="11" t="s">
        <v>23</v>
      </c>
      <c r="I1013" s="12" t="n">
        <v>30</v>
      </c>
      <c r="J1013" s="13" t="n">
        <v>75</v>
      </c>
      <c r="K1013" s="14" t="n">
        <f aca="false">I1013*J1013</f>
        <v>2250</v>
      </c>
      <c r="L1013" s="14" t="n">
        <f aca="false">($L$2*M1013)/100</f>
        <v>480666.6</v>
      </c>
      <c r="M1013" s="15" t="n">
        <v>0.4</v>
      </c>
      <c r="N1013" s="9" t="s">
        <v>26</v>
      </c>
    </row>
    <row r="1014" customFormat="false" ht="14.25" hidden="false" customHeight="true" outlineLevel="0" collapsed="false">
      <c r="B1014" s="9" t="s">
        <v>16</v>
      </c>
      <c r="C1014" s="9" t="n">
        <v>1185732</v>
      </c>
      <c r="D1014" s="10" t="n">
        <v>44341</v>
      </c>
      <c r="E1014" s="9" t="s">
        <v>38</v>
      </c>
      <c r="F1014" s="9" t="s">
        <v>59</v>
      </c>
      <c r="G1014" s="9" t="s">
        <v>60</v>
      </c>
      <c r="H1014" s="11" t="s">
        <v>24</v>
      </c>
      <c r="I1014" s="12" t="n">
        <v>45</v>
      </c>
      <c r="J1014" s="13" t="n">
        <v>125</v>
      </c>
      <c r="K1014" s="14" t="n">
        <f aca="false">I1014*J1014</f>
        <v>5625</v>
      </c>
      <c r="L1014" s="14" t="n">
        <f aca="false">($L$2*M1014)/100</f>
        <v>420583.275</v>
      </c>
      <c r="M1014" s="15" t="n">
        <v>0.35</v>
      </c>
      <c r="N1014" s="9" t="s">
        <v>26</v>
      </c>
    </row>
    <row r="1015" customFormat="false" ht="14.25" hidden="false" customHeight="true" outlineLevel="0" collapsed="false">
      <c r="B1015" s="9" t="s">
        <v>16</v>
      </c>
      <c r="C1015" s="9" t="n">
        <v>1185732</v>
      </c>
      <c r="D1015" s="10" t="n">
        <v>44342</v>
      </c>
      <c r="E1015" s="9" t="s">
        <v>38</v>
      </c>
      <c r="F1015" s="9" t="s">
        <v>59</v>
      </c>
      <c r="G1015" s="9" t="s">
        <v>60</v>
      </c>
      <c r="H1015" s="11" t="s">
        <v>25</v>
      </c>
      <c r="I1015" s="12" t="n">
        <v>35</v>
      </c>
      <c r="J1015" s="13" t="n">
        <v>225</v>
      </c>
      <c r="K1015" s="14" t="n">
        <f aca="false">I1015*J1015</f>
        <v>7875</v>
      </c>
      <c r="L1015" s="14" t="n">
        <f aca="false">($L$2*M1015)/100</f>
        <v>600833.25</v>
      </c>
      <c r="M1015" s="15" t="n">
        <v>0.5</v>
      </c>
      <c r="N1015" s="9" t="s">
        <v>26</v>
      </c>
    </row>
    <row r="1016" customFormat="false" ht="14.25" hidden="false" customHeight="true" outlineLevel="0" collapsed="false">
      <c r="B1016" s="9" t="s">
        <v>16</v>
      </c>
      <c r="C1016" s="9" t="n">
        <v>1185732</v>
      </c>
      <c r="D1016" s="10" t="n">
        <v>44343</v>
      </c>
      <c r="E1016" s="9" t="s">
        <v>38</v>
      </c>
      <c r="F1016" s="9" t="s">
        <v>59</v>
      </c>
      <c r="G1016" s="9" t="s">
        <v>60</v>
      </c>
      <c r="H1016" s="11" t="s">
        <v>19</v>
      </c>
      <c r="I1016" s="12" t="n">
        <v>35</v>
      </c>
      <c r="J1016" s="13" t="n">
        <v>475</v>
      </c>
      <c r="K1016" s="14" t="n">
        <f aca="false">I1016*J1016</f>
        <v>16625</v>
      </c>
      <c r="L1016" s="14" t="n">
        <f aca="false">($L$2*M1016)/100</f>
        <v>480666.6</v>
      </c>
      <c r="M1016" s="15" t="n">
        <v>0.4</v>
      </c>
      <c r="N1016" s="9" t="s">
        <v>26</v>
      </c>
    </row>
    <row r="1017" customFormat="false" ht="14.25" hidden="false" customHeight="true" outlineLevel="0" collapsed="false">
      <c r="B1017" s="9" t="s">
        <v>16</v>
      </c>
      <c r="C1017" s="9" t="n">
        <v>1185732</v>
      </c>
      <c r="D1017" s="10" t="n">
        <v>44344</v>
      </c>
      <c r="E1017" s="9" t="s">
        <v>38</v>
      </c>
      <c r="F1017" s="9" t="s">
        <v>59</v>
      </c>
      <c r="G1017" s="9" t="s">
        <v>60</v>
      </c>
      <c r="H1017" s="11" t="s">
        <v>21</v>
      </c>
      <c r="I1017" s="12" t="n">
        <v>35</v>
      </c>
      <c r="J1017" s="13" t="n">
        <v>125</v>
      </c>
      <c r="K1017" s="14" t="n">
        <f aca="false">I1017*J1017</f>
        <v>4375</v>
      </c>
      <c r="L1017" s="14" t="n">
        <f aca="false">($L$2*M1017)/100</f>
        <v>420583.275</v>
      </c>
      <c r="M1017" s="15" t="n">
        <v>0.35</v>
      </c>
      <c r="N1017" s="9" t="s">
        <v>26</v>
      </c>
    </row>
    <row r="1018" customFormat="false" ht="14.25" hidden="false" customHeight="true" outlineLevel="0" collapsed="false">
      <c r="B1018" s="9" t="s">
        <v>16</v>
      </c>
      <c r="C1018" s="9" t="n">
        <v>1185732</v>
      </c>
      <c r="D1018" s="10" t="n">
        <v>44345</v>
      </c>
      <c r="E1018" s="9" t="s">
        <v>38</v>
      </c>
      <c r="F1018" s="9" t="s">
        <v>59</v>
      </c>
      <c r="G1018" s="9" t="s">
        <v>60</v>
      </c>
      <c r="H1018" s="11" t="s">
        <v>22</v>
      </c>
      <c r="I1018" s="12" t="n">
        <v>25</v>
      </c>
      <c r="J1018" s="13" t="n">
        <v>175</v>
      </c>
      <c r="K1018" s="14" t="n">
        <f aca="false">I1018*J1018</f>
        <v>4375</v>
      </c>
      <c r="L1018" s="14" t="n">
        <f aca="false">($L$2*M1018)/100</f>
        <v>420583.275</v>
      </c>
      <c r="M1018" s="15" t="n">
        <v>0.35</v>
      </c>
      <c r="N1018" s="9" t="s">
        <v>26</v>
      </c>
    </row>
    <row r="1019" customFormat="false" ht="14.25" hidden="false" customHeight="true" outlineLevel="0" collapsed="false">
      <c r="B1019" s="9" t="s">
        <v>16</v>
      </c>
      <c r="C1019" s="9" t="n">
        <v>1185732</v>
      </c>
      <c r="D1019" s="10" t="n">
        <v>44346</v>
      </c>
      <c r="E1019" s="9" t="s">
        <v>38</v>
      </c>
      <c r="F1019" s="9" t="s">
        <v>59</v>
      </c>
      <c r="G1019" s="9" t="s">
        <v>60</v>
      </c>
      <c r="H1019" s="11" t="s">
        <v>23</v>
      </c>
      <c r="I1019" s="12" t="n">
        <v>30</v>
      </c>
      <c r="J1019" s="13" t="n">
        <v>50</v>
      </c>
      <c r="K1019" s="14" t="n">
        <f aca="false">I1019*J1019</f>
        <v>1500</v>
      </c>
      <c r="L1019" s="14" t="n">
        <f aca="false">($L$2*M1019)/100</f>
        <v>480666.6</v>
      </c>
      <c r="M1019" s="15" t="n">
        <v>0.4</v>
      </c>
      <c r="N1019" s="9" t="s">
        <v>26</v>
      </c>
    </row>
    <row r="1020" customFormat="false" ht="14.25" hidden="false" customHeight="true" outlineLevel="0" collapsed="false">
      <c r="B1020" s="9" t="s">
        <v>16</v>
      </c>
      <c r="C1020" s="9" t="n">
        <v>1185732</v>
      </c>
      <c r="D1020" s="10" t="n">
        <v>44347</v>
      </c>
      <c r="E1020" s="9" t="s">
        <v>38</v>
      </c>
      <c r="F1020" s="9" t="s">
        <v>59</v>
      </c>
      <c r="G1020" s="9" t="s">
        <v>60</v>
      </c>
      <c r="H1020" s="11" t="s">
        <v>24</v>
      </c>
      <c r="I1020" s="12" t="n">
        <v>45</v>
      </c>
      <c r="J1020" s="13" t="n">
        <v>125</v>
      </c>
      <c r="K1020" s="14" t="n">
        <f aca="false">I1020*J1020</f>
        <v>5625</v>
      </c>
      <c r="L1020" s="14" t="n">
        <f aca="false">($L$2*M1020)/100</f>
        <v>420583.275</v>
      </c>
      <c r="M1020" s="15" t="n">
        <v>0.35</v>
      </c>
      <c r="N1020" s="9" t="s">
        <v>26</v>
      </c>
    </row>
    <row r="1021" customFormat="false" ht="14.25" hidden="false" customHeight="true" outlineLevel="0" collapsed="false">
      <c r="B1021" s="9" t="s">
        <v>16</v>
      </c>
      <c r="C1021" s="9" t="n">
        <v>1185732</v>
      </c>
      <c r="D1021" s="10" t="n">
        <v>44348</v>
      </c>
      <c r="E1021" s="9" t="s">
        <v>38</v>
      </c>
      <c r="F1021" s="9" t="s">
        <v>59</v>
      </c>
      <c r="G1021" s="9" t="s">
        <v>60</v>
      </c>
      <c r="H1021" s="11" t="s">
        <v>25</v>
      </c>
      <c r="I1021" s="12" t="n">
        <v>35</v>
      </c>
      <c r="J1021" s="13" t="n">
        <v>200</v>
      </c>
      <c r="K1021" s="14" t="n">
        <f aca="false">I1021*J1021</f>
        <v>7000</v>
      </c>
      <c r="L1021" s="14" t="n">
        <f aca="false">($L$2*M1021)/100</f>
        <v>600833.25</v>
      </c>
      <c r="M1021" s="15" t="n">
        <v>0.5</v>
      </c>
      <c r="N1021" s="9" t="s">
        <v>26</v>
      </c>
    </row>
    <row r="1022" customFormat="false" ht="14.25" hidden="false" customHeight="true" outlineLevel="0" collapsed="false">
      <c r="B1022" s="9" t="s">
        <v>16</v>
      </c>
      <c r="C1022" s="9" t="n">
        <v>1185732</v>
      </c>
      <c r="D1022" s="10" t="n">
        <v>44349</v>
      </c>
      <c r="E1022" s="9" t="s">
        <v>38</v>
      </c>
      <c r="F1022" s="9" t="s">
        <v>59</v>
      </c>
      <c r="G1022" s="9" t="s">
        <v>60</v>
      </c>
      <c r="H1022" s="11" t="s">
        <v>19</v>
      </c>
      <c r="I1022" s="12" t="n">
        <v>40</v>
      </c>
      <c r="J1022" s="13" t="n">
        <v>420</v>
      </c>
      <c r="K1022" s="14" t="n">
        <f aca="false">I1022*J1022</f>
        <v>16800</v>
      </c>
      <c r="L1022" s="14" t="n">
        <f aca="false">($L$2*M1022)/100</f>
        <v>480666.6</v>
      </c>
      <c r="M1022" s="15" t="n">
        <v>0.4</v>
      </c>
      <c r="N1022" s="9" t="s">
        <v>26</v>
      </c>
    </row>
    <row r="1023" customFormat="false" ht="14.25" hidden="false" customHeight="true" outlineLevel="0" collapsed="false">
      <c r="B1023" s="9" t="s">
        <v>16</v>
      </c>
      <c r="C1023" s="9" t="n">
        <v>1185732</v>
      </c>
      <c r="D1023" s="10" t="n">
        <v>44350</v>
      </c>
      <c r="E1023" s="9" t="s">
        <v>38</v>
      </c>
      <c r="F1023" s="9" t="s">
        <v>59</v>
      </c>
      <c r="G1023" s="9" t="s">
        <v>60</v>
      </c>
      <c r="H1023" s="11" t="s">
        <v>21</v>
      </c>
      <c r="I1023" s="12" t="n">
        <v>40</v>
      </c>
      <c r="J1023" s="13" t="n">
        <v>100</v>
      </c>
      <c r="K1023" s="14" t="n">
        <f aca="false">I1023*J1023</f>
        <v>4000</v>
      </c>
      <c r="L1023" s="14" t="n">
        <f aca="false">($L$2*M1023)/100</f>
        <v>420583.275</v>
      </c>
      <c r="M1023" s="15" t="n">
        <v>0.35</v>
      </c>
      <c r="N1023" s="9" t="s">
        <v>26</v>
      </c>
    </row>
    <row r="1024" customFormat="false" ht="14.25" hidden="false" customHeight="true" outlineLevel="0" collapsed="false">
      <c r="B1024" s="9" t="s">
        <v>16</v>
      </c>
      <c r="C1024" s="9" t="n">
        <v>1185732</v>
      </c>
      <c r="D1024" s="10" t="n">
        <v>44351</v>
      </c>
      <c r="E1024" s="9" t="s">
        <v>38</v>
      </c>
      <c r="F1024" s="9" t="s">
        <v>59</v>
      </c>
      <c r="G1024" s="9" t="s">
        <v>60</v>
      </c>
      <c r="H1024" s="11" t="s">
        <v>22</v>
      </c>
      <c r="I1024" s="12" t="n">
        <v>30</v>
      </c>
      <c r="J1024" s="13" t="n">
        <v>150</v>
      </c>
      <c r="K1024" s="14" t="n">
        <f aca="false">I1024*J1024</f>
        <v>4500</v>
      </c>
      <c r="L1024" s="14" t="n">
        <f aca="false">($L$2*M1024)/100</f>
        <v>420583.275</v>
      </c>
      <c r="M1024" s="15" t="n">
        <v>0.35</v>
      </c>
      <c r="N1024" s="9" t="s">
        <v>26</v>
      </c>
    </row>
    <row r="1025" customFormat="false" ht="14.25" hidden="false" customHeight="true" outlineLevel="0" collapsed="false">
      <c r="B1025" s="9" t="s">
        <v>16</v>
      </c>
      <c r="C1025" s="9" t="n">
        <v>1185732</v>
      </c>
      <c r="D1025" s="10" t="n">
        <v>44352</v>
      </c>
      <c r="E1025" s="9" t="s">
        <v>38</v>
      </c>
      <c r="F1025" s="9" t="s">
        <v>59</v>
      </c>
      <c r="G1025" s="9" t="s">
        <v>60</v>
      </c>
      <c r="H1025" s="11" t="s">
        <v>23</v>
      </c>
      <c r="I1025" s="12" t="n">
        <v>35</v>
      </c>
      <c r="J1025" s="13" t="n">
        <v>0</v>
      </c>
      <c r="K1025" s="14" t="n">
        <f aca="false">I1025*J1025</f>
        <v>0</v>
      </c>
      <c r="L1025" s="14" t="n">
        <f aca="false">($L$2*M1025)/100</f>
        <v>480666.6</v>
      </c>
      <c r="M1025" s="15" t="n">
        <v>0.4</v>
      </c>
      <c r="N1025" s="9" t="s">
        <v>26</v>
      </c>
    </row>
    <row r="1026" customFormat="false" ht="14.25" hidden="false" customHeight="true" outlineLevel="0" collapsed="false">
      <c r="B1026" s="9" t="s">
        <v>16</v>
      </c>
      <c r="C1026" s="9" t="n">
        <v>1185732</v>
      </c>
      <c r="D1026" s="10" t="n">
        <v>44353</v>
      </c>
      <c r="E1026" s="9" t="s">
        <v>38</v>
      </c>
      <c r="F1026" s="9" t="s">
        <v>59</v>
      </c>
      <c r="G1026" s="9" t="s">
        <v>60</v>
      </c>
      <c r="H1026" s="11" t="s">
        <v>24</v>
      </c>
      <c r="I1026" s="12" t="n">
        <v>50</v>
      </c>
      <c r="J1026" s="13" t="n">
        <v>50</v>
      </c>
      <c r="K1026" s="14" t="n">
        <f aca="false">I1026*J1026</f>
        <v>2500</v>
      </c>
      <c r="L1026" s="14" t="n">
        <f aca="false">($L$2*M1026)/100</f>
        <v>420583.275</v>
      </c>
      <c r="M1026" s="15" t="n">
        <v>0.35</v>
      </c>
      <c r="N1026" s="9" t="s">
        <v>26</v>
      </c>
    </row>
    <row r="1027" customFormat="false" ht="14.25" hidden="false" customHeight="true" outlineLevel="0" collapsed="false">
      <c r="B1027" s="9" t="s">
        <v>16</v>
      </c>
      <c r="C1027" s="9" t="n">
        <v>1185732</v>
      </c>
      <c r="D1027" s="10" t="n">
        <v>44354</v>
      </c>
      <c r="E1027" s="9" t="s">
        <v>38</v>
      </c>
      <c r="F1027" s="9" t="s">
        <v>59</v>
      </c>
      <c r="G1027" s="9" t="s">
        <v>60</v>
      </c>
      <c r="H1027" s="11" t="s">
        <v>25</v>
      </c>
      <c r="I1027" s="12" t="n">
        <v>40</v>
      </c>
      <c r="J1027" s="13" t="n">
        <v>150</v>
      </c>
      <c r="K1027" s="14" t="n">
        <f aca="false">I1027*J1027</f>
        <v>6000</v>
      </c>
      <c r="L1027" s="14" t="n">
        <f aca="false">($L$2*M1027)/100</f>
        <v>600833.25</v>
      </c>
      <c r="M1027" s="15" t="n">
        <v>0.5</v>
      </c>
      <c r="N1027" s="9" t="s">
        <v>26</v>
      </c>
    </row>
    <row r="1028" customFormat="false" ht="14.25" hidden="false" customHeight="true" outlineLevel="0" collapsed="false">
      <c r="B1028" s="9" t="s">
        <v>16</v>
      </c>
      <c r="C1028" s="9" t="n">
        <v>1185732</v>
      </c>
      <c r="D1028" s="10" t="n">
        <v>44355</v>
      </c>
      <c r="E1028" s="9" t="s">
        <v>38</v>
      </c>
      <c r="F1028" s="9" t="s">
        <v>59</v>
      </c>
      <c r="G1028" s="9" t="s">
        <v>60</v>
      </c>
      <c r="H1028" s="11" t="s">
        <v>19</v>
      </c>
      <c r="I1028" s="12" t="n">
        <v>40</v>
      </c>
      <c r="J1028" s="13" t="n">
        <v>375</v>
      </c>
      <c r="K1028" s="14" t="n">
        <f aca="false">I1028*J1028</f>
        <v>15000</v>
      </c>
      <c r="L1028" s="14" t="n">
        <f aca="false">($L$2*M1028)/100</f>
        <v>480666.6</v>
      </c>
      <c r="M1028" s="15" t="n">
        <v>0.4</v>
      </c>
      <c r="N1028" s="9" t="s">
        <v>26</v>
      </c>
    </row>
    <row r="1029" customFormat="false" ht="14.25" hidden="false" customHeight="true" outlineLevel="0" collapsed="false">
      <c r="B1029" s="9" t="s">
        <v>16</v>
      </c>
      <c r="C1029" s="9" t="n">
        <v>1185732</v>
      </c>
      <c r="D1029" s="10" t="n">
        <v>44356</v>
      </c>
      <c r="E1029" s="9" t="s">
        <v>38</v>
      </c>
      <c r="F1029" s="9" t="s">
        <v>59</v>
      </c>
      <c r="G1029" s="9" t="s">
        <v>60</v>
      </c>
      <c r="H1029" s="11" t="s">
        <v>21</v>
      </c>
      <c r="I1029" s="12" t="n">
        <v>35</v>
      </c>
      <c r="J1029" s="13" t="n">
        <v>75</v>
      </c>
      <c r="K1029" s="14" t="n">
        <f aca="false">I1029*J1029</f>
        <v>2625</v>
      </c>
      <c r="L1029" s="14" t="n">
        <f aca="false">($L$2*M1029)/100</f>
        <v>420583.275</v>
      </c>
      <c r="M1029" s="15" t="n">
        <v>0.35</v>
      </c>
      <c r="N1029" s="9" t="s">
        <v>26</v>
      </c>
    </row>
    <row r="1030" customFormat="false" ht="14.25" hidden="false" customHeight="true" outlineLevel="0" collapsed="false">
      <c r="B1030" s="9" t="s">
        <v>16</v>
      </c>
      <c r="C1030" s="9" t="n">
        <v>1185732</v>
      </c>
      <c r="D1030" s="10" t="n">
        <v>44357</v>
      </c>
      <c r="E1030" s="9" t="s">
        <v>38</v>
      </c>
      <c r="F1030" s="9" t="s">
        <v>59</v>
      </c>
      <c r="G1030" s="9" t="s">
        <v>60</v>
      </c>
      <c r="H1030" s="11" t="s">
        <v>22</v>
      </c>
      <c r="I1030" s="12" t="n">
        <v>25</v>
      </c>
      <c r="J1030" s="13" t="n">
        <v>75</v>
      </c>
      <c r="K1030" s="14" t="n">
        <f aca="false">I1030*J1030</f>
        <v>1875</v>
      </c>
      <c r="L1030" s="14" t="n">
        <f aca="false">($L$2*M1030)/100</f>
        <v>420583.275</v>
      </c>
      <c r="M1030" s="15" t="n">
        <v>0.35</v>
      </c>
      <c r="N1030" s="9" t="s">
        <v>26</v>
      </c>
    </row>
    <row r="1031" customFormat="false" ht="14.25" hidden="false" customHeight="true" outlineLevel="0" collapsed="false">
      <c r="B1031" s="9" t="s">
        <v>16</v>
      </c>
      <c r="C1031" s="9" t="n">
        <v>1185732</v>
      </c>
      <c r="D1031" s="10" t="n">
        <v>44358</v>
      </c>
      <c r="E1031" s="9" t="s">
        <v>38</v>
      </c>
      <c r="F1031" s="9" t="s">
        <v>59</v>
      </c>
      <c r="G1031" s="9" t="s">
        <v>60</v>
      </c>
      <c r="H1031" s="11" t="s">
        <v>23</v>
      </c>
      <c r="I1031" s="12" t="n">
        <v>30</v>
      </c>
      <c r="J1031" s="13" t="n">
        <v>0</v>
      </c>
      <c r="K1031" s="14" t="n">
        <f aca="false">I1031*J1031</f>
        <v>0</v>
      </c>
      <c r="L1031" s="14" t="n">
        <f aca="false">($L$2*M1031)/100</f>
        <v>480666.6</v>
      </c>
      <c r="M1031" s="15" t="n">
        <v>0.4</v>
      </c>
      <c r="N1031" s="9" t="s">
        <v>26</v>
      </c>
    </row>
    <row r="1032" customFormat="false" ht="14.25" hidden="false" customHeight="true" outlineLevel="0" collapsed="false">
      <c r="B1032" s="9" t="s">
        <v>16</v>
      </c>
      <c r="C1032" s="9" t="n">
        <v>1185732</v>
      </c>
      <c r="D1032" s="10" t="n">
        <v>44359</v>
      </c>
      <c r="E1032" s="9" t="s">
        <v>38</v>
      </c>
      <c r="F1032" s="9" t="s">
        <v>59</v>
      </c>
      <c r="G1032" s="9" t="s">
        <v>60</v>
      </c>
      <c r="H1032" s="11" t="s">
        <v>24</v>
      </c>
      <c r="I1032" s="12" t="n">
        <v>45</v>
      </c>
      <c r="J1032" s="13" t="n">
        <v>25</v>
      </c>
      <c r="K1032" s="14" t="n">
        <f aca="false">I1032*J1032</f>
        <v>1125</v>
      </c>
      <c r="L1032" s="14" t="n">
        <f aca="false">($L$2*M1032)/100</f>
        <v>420583.275</v>
      </c>
      <c r="M1032" s="15" t="n">
        <v>0.35</v>
      </c>
      <c r="N1032" s="9" t="s">
        <v>26</v>
      </c>
    </row>
    <row r="1033" customFormat="false" ht="14.25" hidden="false" customHeight="true" outlineLevel="0" collapsed="false">
      <c r="B1033" s="9" t="s">
        <v>16</v>
      </c>
      <c r="C1033" s="9" t="n">
        <v>1185732</v>
      </c>
      <c r="D1033" s="10" t="n">
        <v>44360</v>
      </c>
      <c r="E1033" s="9" t="s">
        <v>38</v>
      </c>
      <c r="F1033" s="9" t="s">
        <v>59</v>
      </c>
      <c r="G1033" s="9" t="s">
        <v>60</v>
      </c>
      <c r="H1033" s="11" t="s">
        <v>25</v>
      </c>
      <c r="I1033" s="12" t="n">
        <v>35</v>
      </c>
      <c r="J1033" s="13" t="n">
        <v>150</v>
      </c>
      <c r="K1033" s="14" t="n">
        <f aca="false">I1033*J1033</f>
        <v>5250</v>
      </c>
      <c r="L1033" s="14" t="n">
        <f aca="false">($L$2*M1033)/100</f>
        <v>600833.25</v>
      </c>
      <c r="M1033" s="15" t="n">
        <v>0.5</v>
      </c>
      <c r="N1033" s="9" t="s">
        <v>26</v>
      </c>
    </row>
    <row r="1034" customFormat="false" ht="14.25" hidden="false" customHeight="true" outlineLevel="0" collapsed="false">
      <c r="B1034" s="9" t="s">
        <v>16</v>
      </c>
      <c r="C1034" s="9" t="n">
        <v>1185732</v>
      </c>
      <c r="D1034" s="10" t="n">
        <v>44361</v>
      </c>
      <c r="E1034" s="9" t="s">
        <v>38</v>
      </c>
      <c r="F1034" s="9" t="s">
        <v>59</v>
      </c>
      <c r="G1034" s="9" t="s">
        <v>60</v>
      </c>
      <c r="H1034" s="11" t="s">
        <v>19</v>
      </c>
      <c r="I1034" s="12" t="n">
        <v>45</v>
      </c>
      <c r="J1034" s="13" t="n">
        <v>420</v>
      </c>
      <c r="K1034" s="14" t="n">
        <f aca="false">I1034*J1034</f>
        <v>18900</v>
      </c>
      <c r="L1034" s="14" t="n">
        <f aca="false">($L$2*M1034)/100</f>
        <v>480666.6</v>
      </c>
      <c r="M1034" s="15" t="n">
        <v>0.4</v>
      </c>
      <c r="N1034" s="9" t="s">
        <v>26</v>
      </c>
    </row>
    <row r="1035" customFormat="false" ht="14.25" hidden="false" customHeight="true" outlineLevel="0" collapsed="false">
      <c r="B1035" s="9" t="s">
        <v>16</v>
      </c>
      <c r="C1035" s="9" t="n">
        <v>1185732</v>
      </c>
      <c r="D1035" s="10" t="n">
        <v>44362</v>
      </c>
      <c r="E1035" s="9" t="s">
        <v>38</v>
      </c>
      <c r="F1035" s="9" t="s">
        <v>59</v>
      </c>
      <c r="G1035" s="9" t="s">
        <v>60</v>
      </c>
      <c r="H1035" s="11" t="s">
        <v>21</v>
      </c>
      <c r="I1035" s="12" t="n">
        <v>40</v>
      </c>
      <c r="J1035" s="13" t="n">
        <v>125</v>
      </c>
      <c r="K1035" s="14" t="n">
        <f aca="false">I1035*J1035</f>
        <v>5000</v>
      </c>
      <c r="L1035" s="14" t="n">
        <f aca="false">($L$2*M1035)/100</f>
        <v>420583.275</v>
      </c>
      <c r="M1035" s="15" t="n">
        <v>0.35</v>
      </c>
      <c r="N1035" s="9" t="s">
        <v>26</v>
      </c>
    </row>
    <row r="1036" customFormat="false" ht="14.25" hidden="false" customHeight="true" outlineLevel="0" collapsed="false">
      <c r="B1036" s="9" t="s">
        <v>16</v>
      </c>
      <c r="C1036" s="9" t="n">
        <v>1185732</v>
      </c>
      <c r="D1036" s="10" t="n">
        <v>44363</v>
      </c>
      <c r="E1036" s="9" t="s">
        <v>38</v>
      </c>
      <c r="F1036" s="9" t="s">
        <v>59</v>
      </c>
      <c r="G1036" s="9" t="s">
        <v>60</v>
      </c>
      <c r="H1036" s="11" t="s">
        <v>22</v>
      </c>
      <c r="I1036" s="12" t="n">
        <v>35</v>
      </c>
      <c r="J1036" s="13" t="n">
        <v>100</v>
      </c>
      <c r="K1036" s="14" t="n">
        <f aca="false">I1036*J1036</f>
        <v>3500</v>
      </c>
      <c r="L1036" s="14" t="n">
        <f aca="false">($L$2*M1036)/100</f>
        <v>420583.275</v>
      </c>
      <c r="M1036" s="15" t="n">
        <v>0.35</v>
      </c>
      <c r="N1036" s="9" t="s">
        <v>26</v>
      </c>
    </row>
    <row r="1037" customFormat="false" ht="14.25" hidden="false" customHeight="true" outlineLevel="0" collapsed="false">
      <c r="B1037" s="9" t="s">
        <v>16</v>
      </c>
      <c r="C1037" s="9" t="n">
        <v>1185732</v>
      </c>
      <c r="D1037" s="10" t="n">
        <v>44364</v>
      </c>
      <c r="E1037" s="9" t="s">
        <v>38</v>
      </c>
      <c r="F1037" s="9" t="s">
        <v>59</v>
      </c>
      <c r="G1037" s="9" t="s">
        <v>60</v>
      </c>
      <c r="H1037" s="11" t="s">
        <v>23</v>
      </c>
      <c r="I1037" s="12" t="n">
        <v>35</v>
      </c>
      <c r="J1037" s="13" t="n">
        <v>25</v>
      </c>
      <c r="K1037" s="14" t="n">
        <f aca="false">I1037*J1037</f>
        <v>875</v>
      </c>
      <c r="L1037" s="14" t="n">
        <f aca="false">($L$2*M1037)/100</f>
        <v>480666.6</v>
      </c>
      <c r="M1037" s="15" t="n">
        <v>0.4</v>
      </c>
      <c r="N1037" s="9" t="s">
        <v>26</v>
      </c>
    </row>
    <row r="1038" customFormat="false" ht="14.25" hidden="false" customHeight="true" outlineLevel="0" collapsed="false">
      <c r="B1038" s="9" t="s">
        <v>16</v>
      </c>
      <c r="C1038" s="9" t="n">
        <v>1185732</v>
      </c>
      <c r="D1038" s="10" t="n">
        <v>44365</v>
      </c>
      <c r="E1038" s="9" t="s">
        <v>38</v>
      </c>
      <c r="F1038" s="9" t="s">
        <v>59</v>
      </c>
      <c r="G1038" s="9" t="s">
        <v>60</v>
      </c>
      <c r="H1038" s="11" t="s">
        <v>24</v>
      </c>
      <c r="I1038" s="12" t="n">
        <v>50</v>
      </c>
      <c r="J1038" s="13" t="n">
        <v>50</v>
      </c>
      <c r="K1038" s="14" t="n">
        <f aca="false">I1038*J1038</f>
        <v>2500</v>
      </c>
      <c r="L1038" s="14" t="n">
        <f aca="false">($L$2*M1038)/100</f>
        <v>420583.275</v>
      </c>
      <c r="M1038" s="15" t="n">
        <v>0.35</v>
      </c>
      <c r="N1038" s="9" t="s">
        <v>26</v>
      </c>
    </row>
    <row r="1039" customFormat="false" ht="14.25" hidden="false" customHeight="true" outlineLevel="0" collapsed="false">
      <c r="B1039" s="9" t="s">
        <v>16</v>
      </c>
      <c r="C1039" s="9" t="n">
        <v>1185732</v>
      </c>
      <c r="D1039" s="10" t="n">
        <v>44366</v>
      </c>
      <c r="E1039" s="9" t="s">
        <v>38</v>
      </c>
      <c r="F1039" s="9" t="s">
        <v>59</v>
      </c>
      <c r="G1039" s="9" t="s">
        <v>60</v>
      </c>
      <c r="H1039" s="11" t="s">
        <v>25</v>
      </c>
      <c r="I1039" s="12" t="n">
        <v>55</v>
      </c>
      <c r="J1039" s="13" t="n">
        <v>150</v>
      </c>
      <c r="K1039" s="14" t="n">
        <f aca="false">I1039*J1039</f>
        <v>8250</v>
      </c>
      <c r="L1039" s="14" t="n">
        <f aca="false">($L$2*M1039)/100</f>
        <v>600833.25</v>
      </c>
      <c r="M1039" s="15" t="n">
        <v>0.5</v>
      </c>
      <c r="N1039" s="9" t="s">
        <v>26</v>
      </c>
    </row>
    <row r="1040" customFormat="false" ht="14.25" hidden="false" customHeight="true" outlineLevel="0" collapsed="false">
      <c r="B1040" s="9" t="s">
        <v>16</v>
      </c>
      <c r="C1040" s="9" t="n">
        <v>1185732</v>
      </c>
      <c r="D1040" s="10" t="n">
        <v>44367</v>
      </c>
      <c r="E1040" s="9" t="s">
        <v>38</v>
      </c>
      <c r="F1040" s="9" t="s">
        <v>59</v>
      </c>
      <c r="G1040" s="9" t="s">
        <v>60</v>
      </c>
      <c r="H1040" s="11" t="s">
        <v>19</v>
      </c>
      <c r="I1040" s="12" t="n">
        <v>40</v>
      </c>
      <c r="J1040" s="13" t="n">
        <v>400</v>
      </c>
      <c r="K1040" s="14" t="n">
        <f aca="false">I1040*J1040</f>
        <v>16000</v>
      </c>
      <c r="L1040" s="14" t="n">
        <f aca="false">($L$2*M1040)/100</f>
        <v>480666.6</v>
      </c>
      <c r="M1040" s="15" t="n">
        <v>0.4</v>
      </c>
      <c r="N1040" s="9" t="s">
        <v>26</v>
      </c>
    </row>
    <row r="1041" customFormat="false" ht="14.25" hidden="false" customHeight="true" outlineLevel="0" collapsed="false">
      <c r="B1041" s="9" t="s">
        <v>16</v>
      </c>
      <c r="C1041" s="9" t="n">
        <v>1185732</v>
      </c>
      <c r="D1041" s="10" t="n">
        <v>44368</v>
      </c>
      <c r="E1041" s="9" t="s">
        <v>38</v>
      </c>
      <c r="F1041" s="9" t="s">
        <v>59</v>
      </c>
      <c r="G1041" s="9" t="s">
        <v>60</v>
      </c>
      <c r="H1041" s="11" t="s">
        <v>21</v>
      </c>
      <c r="I1041" s="12" t="n">
        <v>35</v>
      </c>
      <c r="J1041" s="13" t="n">
        <v>150</v>
      </c>
      <c r="K1041" s="14" t="n">
        <f aca="false">I1041*J1041</f>
        <v>5250</v>
      </c>
      <c r="L1041" s="14" t="n">
        <f aca="false">($L$2*M1041)/100</f>
        <v>420583.275</v>
      </c>
      <c r="M1041" s="15" t="n">
        <v>0.35</v>
      </c>
      <c r="N1041" s="9" t="s">
        <v>26</v>
      </c>
    </row>
    <row r="1042" customFormat="false" ht="14.25" hidden="false" customHeight="true" outlineLevel="0" collapsed="false">
      <c r="B1042" s="9" t="s">
        <v>16</v>
      </c>
      <c r="C1042" s="9" t="n">
        <v>1185732</v>
      </c>
      <c r="D1042" s="10" t="n">
        <v>44369</v>
      </c>
      <c r="E1042" s="9" t="s">
        <v>38</v>
      </c>
      <c r="F1042" s="9" t="s">
        <v>59</v>
      </c>
      <c r="G1042" s="9" t="s">
        <v>60</v>
      </c>
      <c r="H1042" s="11" t="s">
        <v>22</v>
      </c>
      <c r="I1042" s="12" t="n">
        <v>30</v>
      </c>
      <c r="J1042" s="13" t="n">
        <v>175</v>
      </c>
      <c r="K1042" s="14" t="n">
        <f aca="false">I1042*J1042</f>
        <v>5250</v>
      </c>
      <c r="L1042" s="14" t="n">
        <f aca="false">($L$2*M1042)/100</f>
        <v>420583.275</v>
      </c>
      <c r="M1042" s="15" t="n">
        <v>0.35</v>
      </c>
      <c r="N1042" s="9" t="s">
        <v>26</v>
      </c>
    </row>
    <row r="1043" customFormat="false" ht="14.25" hidden="false" customHeight="true" outlineLevel="0" collapsed="false">
      <c r="B1043" s="9" t="s">
        <v>16</v>
      </c>
      <c r="C1043" s="9" t="n">
        <v>1185732</v>
      </c>
      <c r="D1043" s="10" t="n">
        <v>44370</v>
      </c>
      <c r="E1043" s="9" t="s">
        <v>38</v>
      </c>
      <c r="F1043" s="9" t="s">
        <v>59</v>
      </c>
      <c r="G1043" s="9" t="s">
        <v>60</v>
      </c>
      <c r="H1043" s="11" t="s">
        <v>23</v>
      </c>
      <c r="I1043" s="12" t="n">
        <v>30</v>
      </c>
      <c r="J1043" s="13" t="n">
        <v>150</v>
      </c>
      <c r="K1043" s="14" t="n">
        <f aca="false">I1043*J1043</f>
        <v>4500</v>
      </c>
      <c r="L1043" s="14" t="n">
        <f aca="false">($L$2*M1043)/100</f>
        <v>480666.6</v>
      </c>
      <c r="M1043" s="15" t="n">
        <v>0.4</v>
      </c>
      <c r="N1043" s="9" t="s">
        <v>26</v>
      </c>
    </row>
    <row r="1044" customFormat="false" ht="14.25" hidden="false" customHeight="true" outlineLevel="0" collapsed="false">
      <c r="B1044" s="9" t="s">
        <v>16</v>
      </c>
      <c r="C1044" s="9" t="n">
        <v>1185732</v>
      </c>
      <c r="D1044" s="10" t="n">
        <v>44371</v>
      </c>
      <c r="E1044" s="9" t="s">
        <v>38</v>
      </c>
      <c r="F1044" s="9" t="s">
        <v>59</v>
      </c>
      <c r="G1044" s="9" t="s">
        <v>60</v>
      </c>
      <c r="H1044" s="11" t="s">
        <v>24</v>
      </c>
      <c r="I1044" s="12" t="n">
        <v>45</v>
      </c>
      <c r="J1044" s="13" t="n">
        <v>150</v>
      </c>
      <c r="K1044" s="14" t="n">
        <f aca="false">I1044*J1044</f>
        <v>6750</v>
      </c>
      <c r="L1044" s="14" t="n">
        <f aca="false">($L$2*M1044)/100</f>
        <v>420583.275</v>
      </c>
      <c r="M1044" s="15" t="n">
        <v>0.35</v>
      </c>
      <c r="N1044" s="9" t="s">
        <v>26</v>
      </c>
    </row>
    <row r="1045" customFormat="false" ht="14.25" hidden="false" customHeight="true" outlineLevel="0" collapsed="false">
      <c r="B1045" s="9" t="s">
        <v>16</v>
      </c>
      <c r="C1045" s="9" t="n">
        <v>1185732</v>
      </c>
      <c r="D1045" s="10" t="n">
        <v>44372</v>
      </c>
      <c r="E1045" s="9" t="s">
        <v>38</v>
      </c>
      <c r="F1045" s="9" t="s">
        <v>59</v>
      </c>
      <c r="G1045" s="9" t="s">
        <v>60</v>
      </c>
      <c r="H1045" s="11" t="s">
        <v>25</v>
      </c>
      <c r="I1045" s="12" t="n">
        <v>50</v>
      </c>
      <c r="J1045" s="13" t="n">
        <v>325</v>
      </c>
      <c r="K1045" s="14" t="n">
        <f aca="false">I1045*J1045</f>
        <v>16250</v>
      </c>
      <c r="L1045" s="14" t="n">
        <f aca="false">($L$2*M1045)/100</f>
        <v>600833.25</v>
      </c>
      <c r="M1045" s="15" t="n">
        <v>0.5</v>
      </c>
      <c r="N1045" s="9" t="s">
        <v>26</v>
      </c>
    </row>
    <row r="1046" customFormat="false" ht="14.25" hidden="false" customHeight="true" outlineLevel="0" collapsed="false">
      <c r="B1046" s="9" t="s">
        <v>16</v>
      </c>
      <c r="C1046" s="9" t="n">
        <v>1185732</v>
      </c>
      <c r="D1046" s="10" t="n">
        <v>44373</v>
      </c>
      <c r="E1046" s="9" t="s">
        <v>38</v>
      </c>
      <c r="F1046" s="9" t="s">
        <v>59</v>
      </c>
      <c r="G1046" s="9" t="s">
        <v>60</v>
      </c>
      <c r="H1046" s="11" t="s">
        <v>19</v>
      </c>
      <c r="I1046" s="12" t="n">
        <v>45</v>
      </c>
      <c r="J1046" s="13" t="n">
        <v>550</v>
      </c>
      <c r="K1046" s="14" t="n">
        <f aca="false">I1046*J1046</f>
        <v>24750</v>
      </c>
      <c r="L1046" s="14" t="n">
        <f aca="false">($L$2*M1046)/100</f>
        <v>480666.6</v>
      </c>
      <c r="M1046" s="15" t="n">
        <v>0.4</v>
      </c>
      <c r="N1046" s="9" t="s">
        <v>26</v>
      </c>
    </row>
    <row r="1047" customFormat="false" ht="14.25" hidden="false" customHeight="true" outlineLevel="0" collapsed="false">
      <c r="B1047" s="9" t="s">
        <v>16</v>
      </c>
      <c r="C1047" s="9" t="n">
        <v>1185732</v>
      </c>
      <c r="D1047" s="10" t="n">
        <v>44374</v>
      </c>
      <c r="E1047" s="9" t="s">
        <v>38</v>
      </c>
      <c r="F1047" s="9" t="s">
        <v>59</v>
      </c>
      <c r="G1047" s="9" t="s">
        <v>60</v>
      </c>
      <c r="H1047" s="11" t="s">
        <v>21</v>
      </c>
      <c r="I1047" s="12" t="n">
        <v>40</v>
      </c>
      <c r="J1047" s="13" t="n">
        <v>300</v>
      </c>
      <c r="K1047" s="14" t="n">
        <f aca="false">I1047*J1047</f>
        <v>12000</v>
      </c>
      <c r="L1047" s="14" t="n">
        <f aca="false">($L$2*M1047)/100</f>
        <v>420583.275</v>
      </c>
      <c r="M1047" s="15" t="n">
        <v>0.35</v>
      </c>
      <c r="N1047" s="9" t="s">
        <v>26</v>
      </c>
    </row>
    <row r="1048" customFormat="false" ht="14.25" hidden="false" customHeight="true" outlineLevel="0" collapsed="false">
      <c r="B1048" s="9" t="s">
        <v>16</v>
      </c>
      <c r="C1048" s="9" t="n">
        <v>1185732</v>
      </c>
      <c r="D1048" s="10" t="n">
        <v>44375</v>
      </c>
      <c r="E1048" s="9" t="s">
        <v>38</v>
      </c>
      <c r="F1048" s="9" t="s">
        <v>59</v>
      </c>
      <c r="G1048" s="9" t="s">
        <v>60</v>
      </c>
      <c r="H1048" s="11" t="s">
        <v>22</v>
      </c>
      <c r="I1048" s="12" t="n">
        <v>35</v>
      </c>
      <c r="J1048" s="13" t="n">
        <v>225</v>
      </c>
      <c r="K1048" s="14" t="n">
        <f aca="false">I1048*J1048</f>
        <v>7875</v>
      </c>
      <c r="L1048" s="14" t="n">
        <f aca="false">($L$2*M1048)/100</f>
        <v>420583.275</v>
      </c>
      <c r="M1048" s="15" t="n">
        <v>0.35</v>
      </c>
      <c r="N1048" s="9" t="s">
        <v>26</v>
      </c>
    </row>
    <row r="1049" customFormat="false" ht="14.25" hidden="false" customHeight="true" outlineLevel="0" collapsed="false">
      <c r="B1049" s="9" t="s">
        <v>16</v>
      </c>
      <c r="C1049" s="9" t="n">
        <v>1185732</v>
      </c>
      <c r="D1049" s="10" t="n">
        <v>44376</v>
      </c>
      <c r="E1049" s="9" t="s">
        <v>38</v>
      </c>
      <c r="F1049" s="9" t="s">
        <v>59</v>
      </c>
      <c r="G1049" s="9" t="s">
        <v>60</v>
      </c>
      <c r="H1049" s="11" t="s">
        <v>23</v>
      </c>
      <c r="I1049" s="12" t="n">
        <v>35</v>
      </c>
      <c r="J1049" s="13" t="n">
        <v>175</v>
      </c>
      <c r="K1049" s="14" t="n">
        <f aca="false">I1049*J1049</f>
        <v>6125</v>
      </c>
      <c r="L1049" s="14" t="n">
        <f aca="false">($L$2*M1049)/100</f>
        <v>480666.6</v>
      </c>
      <c r="M1049" s="15" t="n">
        <v>0.4</v>
      </c>
      <c r="N1049" s="9" t="s">
        <v>26</v>
      </c>
    </row>
    <row r="1050" customFormat="false" ht="14.25" hidden="false" customHeight="true" outlineLevel="0" collapsed="false">
      <c r="B1050" s="9" t="s">
        <v>16</v>
      </c>
      <c r="C1050" s="9" t="n">
        <v>1185732</v>
      </c>
      <c r="D1050" s="10" t="n">
        <v>44377</v>
      </c>
      <c r="E1050" s="9" t="s">
        <v>38</v>
      </c>
      <c r="F1050" s="9" t="s">
        <v>59</v>
      </c>
      <c r="G1050" s="9" t="s">
        <v>60</v>
      </c>
      <c r="H1050" s="11" t="s">
        <v>24</v>
      </c>
      <c r="I1050" s="12" t="n">
        <v>45</v>
      </c>
      <c r="J1050" s="13" t="n">
        <v>175</v>
      </c>
      <c r="K1050" s="14" t="n">
        <f aca="false">I1050*J1050</f>
        <v>7875</v>
      </c>
      <c r="L1050" s="14" t="n">
        <f aca="false">($L$2*M1050)/100</f>
        <v>420583.275</v>
      </c>
      <c r="M1050" s="15" t="n">
        <v>0.35</v>
      </c>
      <c r="N1050" s="9" t="s">
        <v>26</v>
      </c>
    </row>
    <row r="1051" customFormat="false" ht="14.25" hidden="false" customHeight="true" outlineLevel="0" collapsed="false">
      <c r="B1051" s="9" t="s">
        <v>16</v>
      </c>
      <c r="C1051" s="9" t="n">
        <v>1185732</v>
      </c>
      <c r="D1051" s="10" t="n">
        <v>44378</v>
      </c>
      <c r="E1051" s="9" t="s">
        <v>38</v>
      </c>
      <c r="F1051" s="9" t="s">
        <v>59</v>
      </c>
      <c r="G1051" s="9" t="s">
        <v>60</v>
      </c>
      <c r="H1051" s="11" t="s">
        <v>25</v>
      </c>
      <c r="I1051" s="12" t="n">
        <v>50</v>
      </c>
      <c r="J1051" s="13" t="n">
        <v>350</v>
      </c>
      <c r="K1051" s="14" t="n">
        <f aca="false">I1051*J1051</f>
        <v>17500</v>
      </c>
      <c r="L1051" s="14" t="n">
        <f aca="false">($L$2*M1051)/100</f>
        <v>600833.25</v>
      </c>
      <c r="M1051" s="15" t="n">
        <v>0.5</v>
      </c>
      <c r="N1051" s="9" t="s">
        <v>26</v>
      </c>
    </row>
    <row r="1052" customFormat="false" ht="14.25" hidden="false" customHeight="true" outlineLevel="0" collapsed="false">
      <c r="B1052" s="9" t="s">
        <v>16</v>
      </c>
      <c r="C1052" s="9" t="n">
        <v>1185732</v>
      </c>
      <c r="D1052" s="10" t="n">
        <v>44379</v>
      </c>
      <c r="E1052" s="9" t="s">
        <v>38</v>
      </c>
      <c r="F1052" s="9" t="s">
        <v>59</v>
      </c>
      <c r="G1052" s="9" t="s">
        <v>60</v>
      </c>
      <c r="H1052" s="11" t="s">
        <v>19</v>
      </c>
      <c r="I1052" s="12" t="n">
        <v>45</v>
      </c>
      <c r="J1052" s="13" t="n">
        <v>500</v>
      </c>
      <c r="K1052" s="14" t="n">
        <f aca="false">I1052*J1052</f>
        <v>22500</v>
      </c>
      <c r="L1052" s="14" t="n">
        <f aca="false">($L$2*M1052)/100</f>
        <v>480666.6</v>
      </c>
      <c r="M1052" s="15" t="n">
        <v>0.4</v>
      </c>
      <c r="N1052" s="9" t="s">
        <v>26</v>
      </c>
    </row>
    <row r="1053" customFormat="false" ht="14.25" hidden="false" customHeight="true" outlineLevel="0" collapsed="false">
      <c r="B1053" s="9" t="s">
        <v>16</v>
      </c>
      <c r="C1053" s="9" t="n">
        <v>1185732</v>
      </c>
      <c r="D1053" s="10" t="n">
        <v>44380</v>
      </c>
      <c r="E1053" s="9" t="s">
        <v>38</v>
      </c>
      <c r="F1053" s="9" t="s">
        <v>59</v>
      </c>
      <c r="G1053" s="9" t="s">
        <v>60</v>
      </c>
      <c r="H1053" s="11" t="s">
        <v>21</v>
      </c>
      <c r="I1053" s="12" t="n">
        <v>45</v>
      </c>
      <c r="J1053" s="13" t="n">
        <v>275</v>
      </c>
      <c r="K1053" s="14" t="n">
        <f aca="false">I1053*J1053</f>
        <v>12375</v>
      </c>
      <c r="L1053" s="14" t="n">
        <f aca="false">($L$2*M1053)/100</f>
        <v>420583.275</v>
      </c>
      <c r="M1053" s="15" t="n">
        <v>0.35</v>
      </c>
      <c r="N1053" s="9" t="s">
        <v>26</v>
      </c>
    </row>
    <row r="1054" customFormat="false" ht="14.25" hidden="false" customHeight="true" outlineLevel="0" collapsed="false">
      <c r="B1054" s="9" t="s">
        <v>16</v>
      </c>
      <c r="C1054" s="9" t="n">
        <v>1185732</v>
      </c>
      <c r="D1054" s="10" t="n">
        <v>44381</v>
      </c>
      <c r="E1054" s="9" t="s">
        <v>38</v>
      </c>
      <c r="F1054" s="9" t="s">
        <v>59</v>
      </c>
      <c r="G1054" s="9" t="s">
        <v>60</v>
      </c>
      <c r="H1054" s="11" t="s">
        <v>22</v>
      </c>
      <c r="I1054" s="12" t="n">
        <v>40</v>
      </c>
      <c r="J1054" s="13" t="n">
        <v>200</v>
      </c>
      <c r="K1054" s="14" t="n">
        <f aca="false">I1054*J1054</f>
        <v>8000</v>
      </c>
      <c r="L1054" s="14" t="n">
        <f aca="false">($L$2*M1054)/100</f>
        <v>420583.275</v>
      </c>
      <c r="M1054" s="15" t="n">
        <v>0.35</v>
      </c>
      <c r="N1054" s="9" t="s">
        <v>26</v>
      </c>
    </row>
    <row r="1055" customFormat="false" ht="14.25" hidden="false" customHeight="true" outlineLevel="0" collapsed="false">
      <c r="B1055" s="9" t="s">
        <v>16</v>
      </c>
      <c r="C1055" s="9" t="n">
        <v>1185732</v>
      </c>
      <c r="D1055" s="10" t="n">
        <v>44382</v>
      </c>
      <c r="E1055" s="9" t="s">
        <v>38</v>
      </c>
      <c r="F1055" s="9" t="s">
        <v>59</v>
      </c>
      <c r="G1055" s="9" t="s">
        <v>60</v>
      </c>
      <c r="H1055" s="11" t="s">
        <v>23</v>
      </c>
      <c r="I1055" s="12" t="n">
        <v>30</v>
      </c>
      <c r="J1055" s="13" t="n">
        <v>125</v>
      </c>
      <c r="K1055" s="14" t="n">
        <f aca="false">I1055*J1055</f>
        <v>3750</v>
      </c>
      <c r="L1055" s="14" t="n">
        <f aca="false">($L$2*M1055)/100</f>
        <v>480666.6</v>
      </c>
      <c r="M1055" s="15" t="n">
        <v>0.4</v>
      </c>
      <c r="N1055" s="9" t="s">
        <v>26</v>
      </c>
    </row>
    <row r="1056" customFormat="false" ht="14.25" hidden="false" customHeight="true" outlineLevel="0" collapsed="false">
      <c r="B1056" s="9" t="s">
        <v>16</v>
      </c>
      <c r="C1056" s="9" t="n">
        <v>1185732</v>
      </c>
      <c r="D1056" s="10" t="n">
        <v>44383</v>
      </c>
      <c r="E1056" s="9" t="s">
        <v>38</v>
      </c>
      <c r="F1056" s="9" t="s">
        <v>59</v>
      </c>
      <c r="G1056" s="9" t="s">
        <v>60</v>
      </c>
      <c r="H1056" s="11" t="s">
        <v>24</v>
      </c>
      <c r="I1056" s="12" t="n">
        <v>40</v>
      </c>
      <c r="J1056" s="13" t="n">
        <v>100</v>
      </c>
      <c r="K1056" s="14" t="n">
        <f aca="false">I1056*J1056</f>
        <v>4000</v>
      </c>
      <c r="L1056" s="14" t="n">
        <f aca="false">($L$2*M1056)/100</f>
        <v>420583.275</v>
      </c>
      <c r="M1056" s="15" t="n">
        <v>0.35</v>
      </c>
      <c r="N1056" s="9" t="s">
        <v>26</v>
      </c>
    </row>
    <row r="1057" customFormat="false" ht="14.25" hidden="false" customHeight="true" outlineLevel="0" collapsed="false">
      <c r="B1057" s="9" t="s">
        <v>16</v>
      </c>
      <c r="C1057" s="9" t="n">
        <v>1185732</v>
      </c>
      <c r="D1057" s="10" t="n">
        <v>44384</v>
      </c>
      <c r="E1057" s="9" t="s">
        <v>38</v>
      </c>
      <c r="F1057" s="9" t="s">
        <v>59</v>
      </c>
      <c r="G1057" s="9" t="s">
        <v>60</v>
      </c>
      <c r="H1057" s="11" t="s">
        <v>25</v>
      </c>
      <c r="I1057" s="12" t="n">
        <v>45</v>
      </c>
      <c r="J1057" s="13" t="n">
        <v>275</v>
      </c>
      <c r="K1057" s="14" t="n">
        <f aca="false">I1057*J1057</f>
        <v>12375</v>
      </c>
      <c r="L1057" s="14" t="n">
        <f aca="false">($L$2*M1057)/100</f>
        <v>600833.25</v>
      </c>
      <c r="M1057" s="15" t="n">
        <v>0.5</v>
      </c>
      <c r="N1057" s="9" t="s">
        <v>26</v>
      </c>
    </row>
    <row r="1058" customFormat="false" ht="14.25" hidden="false" customHeight="true" outlineLevel="0" collapsed="false">
      <c r="B1058" s="9" t="s">
        <v>16</v>
      </c>
      <c r="C1058" s="9" t="n">
        <v>1185732</v>
      </c>
      <c r="D1058" s="10" t="n">
        <v>44385</v>
      </c>
      <c r="E1058" s="9" t="s">
        <v>38</v>
      </c>
      <c r="F1058" s="9" t="s">
        <v>59</v>
      </c>
      <c r="G1058" s="9" t="s">
        <v>60</v>
      </c>
      <c r="H1058" s="11" t="s">
        <v>19</v>
      </c>
      <c r="I1058" s="12" t="n">
        <v>40</v>
      </c>
      <c r="J1058" s="13" t="n">
        <v>400</v>
      </c>
      <c r="K1058" s="14" t="n">
        <f aca="false">I1058*J1058</f>
        <v>16000</v>
      </c>
      <c r="L1058" s="14" t="n">
        <f aca="false">($L$2*M1058)/100</f>
        <v>480666.6</v>
      </c>
      <c r="M1058" s="15" t="n">
        <v>0.4</v>
      </c>
      <c r="N1058" s="9" t="s">
        <v>26</v>
      </c>
    </row>
    <row r="1059" customFormat="false" ht="14.25" hidden="false" customHeight="true" outlineLevel="0" collapsed="false">
      <c r="B1059" s="9" t="s">
        <v>16</v>
      </c>
      <c r="C1059" s="9" t="n">
        <v>1185732</v>
      </c>
      <c r="D1059" s="10" t="n">
        <v>44386</v>
      </c>
      <c r="E1059" s="9" t="s">
        <v>38</v>
      </c>
      <c r="F1059" s="9" t="s">
        <v>59</v>
      </c>
      <c r="G1059" s="9" t="s">
        <v>60</v>
      </c>
      <c r="H1059" s="11" t="s">
        <v>21</v>
      </c>
      <c r="I1059" s="12" t="n">
        <v>35</v>
      </c>
      <c r="J1059" s="13" t="n">
        <v>200</v>
      </c>
      <c r="K1059" s="14" t="n">
        <f aca="false">I1059*J1059</f>
        <v>7000</v>
      </c>
      <c r="L1059" s="14" t="n">
        <f aca="false">($L$2*M1059)/100</f>
        <v>420583.275</v>
      </c>
      <c r="M1059" s="15" t="n">
        <v>0.35</v>
      </c>
      <c r="N1059" s="9" t="s">
        <v>26</v>
      </c>
    </row>
    <row r="1060" customFormat="false" ht="14.25" hidden="false" customHeight="true" outlineLevel="0" collapsed="false">
      <c r="B1060" s="9" t="s">
        <v>16</v>
      </c>
      <c r="C1060" s="9" t="n">
        <v>1185732</v>
      </c>
      <c r="D1060" s="10" t="n">
        <v>44387</v>
      </c>
      <c r="E1060" s="9" t="s">
        <v>38</v>
      </c>
      <c r="F1060" s="9" t="s">
        <v>59</v>
      </c>
      <c r="G1060" s="9" t="s">
        <v>60</v>
      </c>
      <c r="H1060" s="11" t="s">
        <v>22</v>
      </c>
      <c r="I1060" s="12" t="n">
        <v>20</v>
      </c>
      <c r="J1060" s="13" t="n">
        <v>100</v>
      </c>
      <c r="K1060" s="14" t="n">
        <f aca="false">I1060*J1060</f>
        <v>2000</v>
      </c>
      <c r="L1060" s="14" t="n">
        <f aca="false">($L$2*M1060)/100</f>
        <v>420583.275</v>
      </c>
      <c r="M1060" s="15" t="n">
        <v>0.35</v>
      </c>
      <c r="N1060" s="9" t="s">
        <v>26</v>
      </c>
    </row>
    <row r="1061" customFormat="false" ht="14.25" hidden="false" customHeight="true" outlineLevel="0" collapsed="false">
      <c r="B1061" s="9" t="s">
        <v>16</v>
      </c>
      <c r="C1061" s="9" t="n">
        <v>1185732</v>
      </c>
      <c r="D1061" s="10" t="n">
        <v>44388</v>
      </c>
      <c r="E1061" s="9" t="s">
        <v>38</v>
      </c>
      <c r="F1061" s="9" t="s">
        <v>59</v>
      </c>
      <c r="G1061" s="9" t="s">
        <v>60</v>
      </c>
      <c r="H1061" s="11" t="s">
        <v>23</v>
      </c>
      <c r="I1061" s="12" t="n">
        <v>20</v>
      </c>
      <c r="J1061" s="13" t="n">
        <v>75</v>
      </c>
      <c r="K1061" s="14" t="n">
        <f aca="false">I1061*J1061</f>
        <v>1500</v>
      </c>
      <c r="L1061" s="14" t="n">
        <f aca="false">($L$2*M1061)/100</f>
        <v>480666.6</v>
      </c>
      <c r="M1061" s="15" t="n">
        <v>0.4</v>
      </c>
      <c r="N1061" s="9" t="s">
        <v>26</v>
      </c>
    </row>
    <row r="1062" customFormat="false" ht="14.25" hidden="false" customHeight="true" outlineLevel="0" collapsed="false">
      <c r="B1062" s="9" t="s">
        <v>16</v>
      </c>
      <c r="C1062" s="9" t="n">
        <v>1185732</v>
      </c>
      <c r="D1062" s="10" t="n">
        <v>44389</v>
      </c>
      <c r="E1062" s="9" t="s">
        <v>38</v>
      </c>
      <c r="F1062" s="9" t="s">
        <v>59</v>
      </c>
      <c r="G1062" s="9" t="s">
        <v>60</v>
      </c>
      <c r="H1062" s="11" t="s">
        <v>24</v>
      </c>
      <c r="I1062" s="12" t="n">
        <v>30</v>
      </c>
      <c r="J1062" s="13" t="n">
        <v>75</v>
      </c>
      <c r="K1062" s="14" t="n">
        <f aca="false">I1062*J1062</f>
        <v>2250</v>
      </c>
      <c r="L1062" s="14" t="n">
        <f aca="false">($L$2*M1062)/100</f>
        <v>420583.275</v>
      </c>
      <c r="M1062" s="15" t="n">
        <v>0.35</v>
      </c>
      <c r="N1062" s="9" t="s">
        <v>26</v>
      </c>
    </row>
    <row r="1063" customFormat="false" ht="14.25" hidden="false" customHeight="true" outlineLevel="0" collapsed="false">
      <c r="B1063" s="9" t="s">
        <v>16</v>
      </c>
      <c r="C1063" s="9" t="n">
        <v>1185732</v>
      </c>
      <c r="D1063" s="10" t="n">
        <v>44390</v>
      </c>
      <c r="E1063" s="9" t="s">
        <v>38</v>
      </c>
      <c r="F1063" s="9" t="s">
        <v>59</v>
      </c>
      <c r="G1063" s="9" t="s">
        <v>60</v>
      </c>
      <c r="H1063" s="11" t="s">
        <v>25</v>
      </c>
      <c r="I1063" s="12" t="n">
        <v>35</v>
      </c>
      <c r="J1063" s="13" t="n">
        <v>150</v>
      </c>
      <c r="K1063" s="14" t="n">
        <f aca="false">I1063*J1063</f>
        <v>5250</v>
      </c>
      <c r="L1063" s="14" t="n">
        <f aca="false">($L$2*M1063)/100</f>
        <v>600833.25</v>
      </c>
      <c r="M1063" s="15" t="n">
        <v>0.5</v>
      </c>
      <c r="N1063" s="9" t="s">
        <v>26</v>
      </c>
    </row>
    <row r="1064" customFormat="false" ht="14.25" hidden="false" customHeight="true" outlineLevel="0" collapsed="false">
      <c r="B1064" s="9" t="s">
        <v>16</v>
      </c>
      <c r="C1064" s="9" t="n">
        <v>1185732</v>
      </c>
      <c r="D1064" s="10" t="n">
        <v>44391</v>
      </c>
      <c r="E1064" s="9" t="s">
        <v>38</v>
      </c>
      <c r="F1064" s="9" t="s">
        <v>59</v>
      </c>
      <c r="G1064" s="9" t="s">
        <v>60</v>
      </c>
      <c r="H1064" s="11" t="s">
        <v>19</v>
      </c>
      <c r="I1064" s="12" t="n">
        <v>40</v>
      </c>
      <c r="J1064" s="13" t="n">
        <v>325</v>
      </c>
      <c r="K1064" s="14" t="n">
        <f aca="false">I1064*J1064</f>
        <v>13000</v>
      </c>
      <c r="L1064" s="14" t="n">
        <f aca="false">($L$2*M1064)/100</f>
        <v>480666.6</v>
      </c>
      <c r="M1064" s="15" t="n">
        <v>0.4</v>
      </c>
      <c r="N1064" s="9" t="s">
        <v>26</v>
      </c>
    </row>
    <row r="1065" customFormat="false" ht="14.25" hidden="false" customHeight="true" outlineLevel="0" collapsed="false">
      <c r="B1065" s="9" t="s">
        <v>16</v>
      </c>
      <c r="C1065" s="9" t="n">
        <v>1185732</v>
      </c>
      <c r="D1065" s="10" t="n">
        <v>44392</v>
      </c>
      <c r="E1065" s="9" t="s">
        <v>38</v>
      </c>
      <c r="F1065" s="9" t="s">
        <v>59</v>
      </c>
      <c r="G1065" s="9" t="s">
        <v>60</v>
      </c>
      <c r="H1065" s="11" t="s">
        <v>21</v>
      </c>
      <c r="I1065" s="12" t="n">
        <v>30</v>
      </c>
      <c r="J1065" s="13" t="n">
        <v>150</v>
      </c>
      <c r="K1065" s="14" t="n">
        <f aca="false">I1065*J1065</f>
        <v>4500</v>
      </c>
      <c r="L1065" s="14" t="n">
        <f aca="false">($L$2*M1065)/100</f>
        <v>420583.275</v>
      </c>
      <c r="M1065" s="15" t="n">
        <v>0.35</v>
      </c>
      <c r="N1065" s="9" t="s">
        <v>26</v>
      </c>
    </row>
    <row r="1066" customFormat="false" ht="14.25" hidden="false" customHeight="true" outlineLevel="0" collapsed="false">
      <c r="B1066" s="9" t="s">
        <v>16</v>
      </c>
      <c r="C1066" s="9" t="n">
        <v>1185732</v>
      </c>
      <c r="D1066" s="10" t="n">
        <v>44393</v>
      </c>
      <c r="E1066" s="9" t="s">
        <v>38</v>
      </c>
      <c r="F1066" s="9" t="s">
        <v>59</v>
      </c>
      <c r="G1066" s="9" t="s">
        <v>60</v>
      </c>
      <c r="H1066" s="11" t="s">
        <v>22</v>
      </c>
      <c r="I1066" s="12" t="n">
        <v>30</v>
      </c>
      <c r="J1066" s="13" t="n">
        <v>50</v>
      </c>
      <c r="K1066" s="14" t="n">
        <f aca="false">I1066*J1066</f>
        <v>1500</v>
      </c>
      <c r="L1066" s="14" t="n">
        <f aca="false">($L$2*M1066)/100</f>
        <v>420583.275</v>
      </c>
      <c r="M1066" s="15" t="n">
        <v>0.35</v>
      </c>
      <c r="N1066" s="9" t="s">
        <v>26</v>
      </c>
    </row>
    <row r="1067" customFormat="false" ht="14.25" hidden="false" customHeight="true" outlineLevel="0" collapsed="false">
      <c r="B1067" s="9" t="s">
        <v>16</v>
      </c>
      <c r="C1067" s="9" t="n">
        <v>1185732</v>
      </c>
      <c r="D1067" s="10" t="n">
        <v>44394</v>
      </c>
      <c r="E1067" s="9" t="s">
        <v>38</v>
      </c>
      <c r="F1067" s="9" t="s">
        <v>59</v>
      </c>
      <c r="G1067" s="9" t="s">
        <v>60</v>
      </c>
      <c r="H1067" s="11" t="s">
        <v>23</v>
      </c>
      <c r="I1067" s="12" t="n">
        <v>30</v>
      </c>
      <c r="J1067" s="13" t="n">
        <v>25</v>
      </c>
      <c r="K1067" s="14" t="n">
        <f aca="false">I1067*J1067</f>
        <v>750</v>
      </c>
      <c r="L1067" s="14" t="n">
        <f aca="false">($L$2*M1067)/100</f>
        <v>480666.6</v>
      </c>
      <c r="M1067" s="15" t="n">
        <v>0.4</v>
      </c>
      <c r="N1067" s="9" t="s">
        <v>26</v>
      </c>
    </row>
    <row r="1068" customFormat="false" ht="14.25" hidden="false" customHeight="true" outlineLevel="0" collapsed="false">
      <c r="B1068" s="9" t="s">
        <v>16</v>
      </c>
      <c r="C1068" s="9" t="n">
        <v>1185732</v>
      </c>
      <c r="D1068" s="10" t="n">
        <v>44395</v>
      </c>
      <c r="E1068" s="9" t="s">
        <v>38</v>
      </c>
      <c r="F1068" s="9" t="s">
        <v>59</v>
      </c>
      <c r="G1068" s="9" t="s">
        <v>60</v>
      </c>
      <c r="H1068" s="11" t="s">
        <v>24</v>
      </c>
      <c r="I1068" s="12" t="n">
        <v>40</v>
      </c>
      <c r="J1068" s="13" t="n">
        <v>25</v>
      </c>
      <c r="K1068" s="14" t="n">
        <f aca="false">I1068*J1068</f>
        <v>1000</v>
      </c>
      <c r="L1068" s="14" t="n">
        <f aca="false">($L$2*M1068)/100</f>
        <v>420583.275</v>
      </c>
      <c r="M1068" s="15" t="n">
        <v>0.35</v>
      </c>
      <c r="N1068" s="9" t="s">
        <v>26</v>
      </c>
    </row>
    <row r="1069" customFormat="false" ht="14.25" hidden="false" customHeight="true" outlineLevel="0" collapsed="false">
      <c r="B1069" s="9" t="s">
        <v>16</v>
      </c>
      <c r="C1069" s="9" t="n">
        <v>1185732</v>
      </c>
      <c r="D1069" s="10" t="n">
        <v>44396</v>
      </c>
      <c r="E1069" s="9" t="s">
        <v>38</v>
      </c>
      <c r="F1069" s="9" t="s">
        <v>59</v>
      </c>
      <c r="G1069" s="9" t="s">
        <v>60</v>
      </c>
      <c r="H1069" s="11" t="s">
        <v>25</v>
      </c>
      <c r="I1069" s="12" t="n">
        <v>45</v>
      </c>
      <c r="J1069" s="13" t="n">
        <v>150</v>
      </c>
      <c r="K1069" s="14" t="n">
        <f aca="false">I1069*J1069</f>
        <v>6750</v>
      </c>
      <c r="L1069" s="14" t="n">
        <f aca="false">($L$2*M1069)/100</f>
        <v>600833.25</v>
      </c>
      <c r="M1069" s="15" t="n">
        <v>0.5</v>
      </c>
      <c r="N1069" s="9" t="s">
        <v>26</v>
      </c>
    </row>
    <row r="1070" customFormat="false" ht="14.25" hidden="false" customHeight="true" outlineLevel="0" collapsed="false">
      <c r="B1070" s="9" t="s">
        <v>16</v>
      </c>
      <c r="C1070" s="9" t="n">
        <v>1185732</v>
      </c>
      <c r="D1070" s="10" t="n">
        <v>44397</v>
      </c>
      <c r="E1070" s="9" t="s">
        <v>38</v>
      </c>
      <c r="F1070" s="9" t="s">
        <v>59</v>
      </c>
      <c r="G1070" s="9" t="s">
        <v>60</v>
      </c>
      <c r="H1070" s="11" t="s">
        <v>19</v>
      </c>
      <c r="I1070" s="12" t="n">
        <v>40</v>
      </c>
      <c r="J1070" s="13" t="n">
        <v>300</v>
      </c>
      <c r="K1070" s="14" t="n">
        <f aca="false">I1070*J1070</f>
        <v>12000</v>
      </c>
      <c r="L1070" s="14" t="n">
        <f aca="false">($L$2*M1070)/100</f>
        <v>480666.6</v>
      </c>
      <c r="M1070" s="15" t="n">
        <v>0.4</v>
      </c>
      <c r="N1070" s="9" t="s">
        <v>26</v>
      </c>
    </row>
    <row r="1071" customFormat="false" ht="14.25" hidden="false" customHeight="true" outlineLevel="0" collapsed="false">
      <c r="B1071" s="9" t="s">
        <v>16</v>
      </c>
      <c r="C1071" s="9" t="n">
        <v>1185732</v>
      </c>
      <c r="D1071" s="10" t="n">
        <v>44398</v>
      </c>
      <c r="E1071" s="9" t="s">
        <v>38</v>
      </c>
      <c r="F1071" s="9" t="s">
        <v>59</v>
      </c>
      <c r="G1071" s="9" t="s">
        <v>60</v>
      </c>
      <c r="H1071" s="11" t="s">
        <v>21</v>
      </c>
      <c r="I1071" s="12" t="n">
        <v>30</v>
      </c>
      <c r="J1071" s="13" t="n">
        <v>150</v>
      </c>
      <c r="K1071" s="14" t="n">
        <f aca="false">I1071*J1071</f>
        <v>4500</v>
      </c>
      <c r="L1071" s="14" t="n">
        <f aca="false">($L$2*M1071)/100</f>
        <v>420583.275</v>
      </c>
      <c r="M1071" s="15" t="n">
        <v>0.35</v>
      </c>
      <c r="N1071" s="9" t="s">
        <v>26</v>
      </c>
    </row>
    <row r="1072" customFormat="false" ht="14.25" hidden="false" customHeight="true" outlineLevel="0" collapsed="false">
      <c r="B1072" s="9" t="s">
        <v>16</v>
      </c>
      <c r="C1072" s="9" t="n">
        <v>1185732</v>
      </c>
      <c r="D1072" s="10" t="n">
        <v>44399</v>
      </c>
      <c r="E1072" s="9" t="s">
        <v>38</v>
      </c>
      <c r="F1072" s="9" t="s">
        <v>59</v>
      </c>
      <c r="G1072" s="9" t="s">
        <v>60</v>
      </c>
      <c r="H1072" s="11" t="s">
        <v>22</v>
      </c>
      <c r="I1072" s="12" t="n">
        <v>30</v>
      </c>
      <c r="J1072" s="13" t="n">
        <v>95</v>
      </c>
      <c r="K1072" s="14" t="n">
        <f aca="false">I1072*J1072</f>
        <v>2850</v>
      </c>
      <c r="L1072" s="14" t="n">
        <f aca="false">($L$2*M1072)/100</f>
        <v>420583.275</v>
      </c>
      <c r="M1072" s="15" t="n">
        <v>0.35</v>
      </c>
      <c r="N1072" s="9" t="s">
        <v>26</v>
      </c>
    </row>
    <row r="1073" customFormat="false" ht="14.25" hidden="false" customHeight="true" outlineLevel="0" collapsed="false">
      <c r="B1073" s="9" t="s">
        <v>16</v>
      </c>
      <c r="C1073" s="9" t="n">
        <v>1185732</v>
      </c>
      <c r="D1073" s="10" t="n">
        <v>44400</v>
      </c>
      <c r="E1073" s="9" t="s">
        <v>38</v>
      </c>
      <c r="F1073" s="9" t="s">
        <v>59</v>
      </c>
      <c r="G1073" s="9" t="s">
        <v>60</v>
      </c>
      <c r="H1073" s="11" t="s">
        <v>23</v>
      </c>
      <c r="I1073" s="12" t="n">
        <v>30</v>
      </c>
      <c r="J1073" s="13" t="n">
        <v>125</v>
      </c>
      <c r="K1073" s="14" t="n">
        <f aca="false">I1073*J1073</f>
        <v>3750</v>
      </c>
      <c r="L1073" s="14" t="n">
        <f aca="false">($L$2*M1073)/100</f>
        <v>480666.6</v>
      </c>
      <c r="M1073" s="15" t="n">
        <v>0.4</v>
      </c>
      <c r="N1073" s="9" t="s">
        <v>26</v>
      </c>
    </row>
    <row r="1074" customFormat="false" ht="14.25" hidden="false" customHeight="true" outlineLevel="0" collapsed="false">
      <c r="B1074" s="9" t="s">
        <v>16</v>
      </c>
      <c r="C1074" s="9" t="n">
        <v>1185732</v>
      </c>
      <c r="D1074" s="10" t="n">
        <v>44401</v>
      </c>
      <c r="E1074" s="9" t="s">
        <v>38</v>
      </c>
      <c r="F1074" s="9" t="s">
        <v>59</v>
      </c>
      <c r="G1074" s="9" t="s">
        <v>60</v>
      </c>
      <c r="H1074" s="11" t="s">
        <v>24</v>
      </c>
      <c r="I1074" s="12" t="n">
        <v>50</v>
      </c>
      <c r="J1074" s="13" t="n">
        <v>100</v>
      </c>
      <c r="K1074" s="14" t="n">
        <f aca="false">I1074*J1074</f>
        <v>5000</v>
      </c>
      <c r="L1074" s="14" t="n">
        <f aca="false">($L$2*M1074)/100</f>
        <v>420583.275</v>
      </c>
      <c r="M1074" s="15" t="n">
        <v>0.35</v>
      </c>
      <c r="N1074" s="9" t="s">
        <v>26</v>
      </c>
    </row>
    <row r="1075" customFormat="false" ht="14.25" hidden="false" customHeight="true" outlineLevel="0" collapsed="false">
      <c r="B1075" s="9" t="s">
        <v>16</v>
      </c>
      <c r="C1075" s="9" t="n">
        <v>1185732</v>
      </c>
      <c r="D1075" s="10" t="n">
        <v>44402</v>
      </c>
      <c r="E1075" s="9" t="s">
        <v>38</v>
      </c>
      <c r="F1075" s="9" t="s">
        <v>59</v>
      </c>
      <c r="G1075" s="9" t="s">
        <v>60</v>
      </c>
      <c r="H1075" s="11" t="s">
        <v>25</v>
      </c>
      <c r="I1075" s="12" t="n">
        <v>55</v>
      </c>
      <c r="J1075" s="13" t="n">
        <v>200</v>
      </c>
      <c r="K1075" s="14" t="n">
        <f aca="false">I1075*J1075</f>
        <v>11000</v>
      </c>
      <c r="L1075" s="14" t="n">
        <f aca="false">($L$2*M1075)/100</f>
        <v>600833.25</v>
      </c>
      <c r="M1075" s="15" t="n">
        <v>0.5</v>
      </c>
      <c r="N1075" s="9" t="s">
        <v>26</v>
      </c>
    </row>
    <row r="1076" customFormat="false" ht="14.25" hidden="false" customHeight="true" outlineLevel="0" collapsed="false">
      <c r="B1076" s="9" t="s">
        <v>16</v>
      </c>
      <c r="C1076" s="9" t="n">
        <v>1185732</v>
      </c>
      <c r="D1076" s="10" t="n">
        <v>44403</v>
      </c>
      <c r="E1076" s="9" t="s">
        <v>38</v>
      </c>
      <c r="F1076" s="9" t="s">
        <v>59</v>
      </c>
      <c r="G1076" s="9" t="s">
        <v>60</v>
      </c>
      <c r="H1076" s="11" t="s">
        <v>19</v>
      </c>
      <c r="I1076" s="12" t="n">
        <v>50</v>
      </c>
      <c r="J1076" s="13" t="n">
        <v>450</v>
      </c>
      <c r="K1076" s="14" t="n">
        <f aca="false">I1076*J1076</f>
        <v>22500</v>
      </c>
      <c r="L1076" s="14" t="n">
        <f aca="false">($L$2*M1076)/100</f>
        <v>480666.6</v>
      </c>
      <c r="M1076" s="15" t="n">
        <v>0.4</v>
      </c>
      <c r="N1076" s="9" t="s">
        <v>26</v>
      </c>
    </row>
    <row r="1077" customFormat="false" ht="14.25" hidden="false" customHeight="true" outlineLevel="0" collapsed="false">
      <c r="B1077" s="9" t="s">
        <v>16</v>
      </c>
      <c r="C1077" s="9" t="n">
        <v>1185732</v>
      </c>
      <c r="D1077" s="10" t="n">
        <v>44404</v>
      </c>
      <c r="E1077" s="9" t="s">
        <v>38</v>
      </c>
      <c r="F1077" s="9" t="s">
        <v>59</v>
      </c>
      <c r="G1077" s="9" t="s">
        <v>60</v>
      </c>
      <c r="H1077" s="11" t="s">
        <v>21</v>
      </c>
      <c r="I1077" s="12" t="n">
        <v>40</v>
      </c>
      <c r="J1077" s="13" t="n">
        <v>250</v>
      </c>
      <c r="K1077" s="14" t="n">
        <f aca="false">I1077*J1077</f>
        <v>10000</v>
      </c>
      <c r="L1077" s="14" t="n">
        <f aca="false">($L$2*M1077)/100</f>
        <v>420583.275</v>
      </c>
      <c r="M1077" s="15" t="n">
        <v>0.35</v>
      </c>
      <c r="N1077" s="9" t="s">
        <v>26</v>
      </c>
    </row>
    <row r="1078" customFormat="false" ht="14.25" hidden="false" customHeight="true" outlineLevel="0" collapsed="false">
      <c r="B1078" s="9" t="s">
        <v>16</v>
      </c>
      <c r="C1078" s="9" t="n">
        <v>1185732</v>
      </c>
      <c r="D1078" s="10" t="n">
        <v>44405</v>
      </c>
      <c r="E1078" s="9" t="s">
        <v>38</v>
      </c>
      <c r="F1078" s="9" t="s">
        <v>59</v>
      </c>
      <c r="G1078" s="9" t="s">
        <v>60</v>
      </c>
      <c r="H1078" s="11" t="s">
        <v>22</v>
      </c>
      <c r="I1078" s="12" t="n">
        <v>40</v>
      </c>
      <c r="J1078" s="13" t="n">
        <v>200</v>
      </c>
      <c r="K1078" s="14" t="n">
        <f aca="false">I1078*J1078</f>
        <v>8000</v>
      </c>
      <c r="L1078" s="14" t="n">
        <f aca="false">($L$2*M1078)/100</f>
        <v>420583.275</v>
      </c>
      <c r="M1078" s="15" t="n">
        <v>0.35</v>
      </c>
      <c r="N1078" s="9" t="s">
        <v>26</v>
      </c>
    </row>
    <row r="1079" customFormat="false" ht="14.25" hidden="false" customHeight="true" outlineLevel="0" collapsed="false">
      <c r="B1079" s="9" t="s">
        <v>16</v>
      </c>
      <c r="C1079" s="9" t="n">
        <v>1185732</v>
      </c>
      <c r="D1079" s="10" t="n">
        <v>44406</v>
      </c>
      <c r="E1079" s="9" t="s">
        <v>38</v>
      </c>
      <c r="F1079" s="9" t="s">
        <v>59</v>
      </c>
      <c r="G1079" s="9" t="s">
        <v>60</v>
      </c>
      <c r="H1079" s="11" t="s">
        <v>23</v>
      </c>
      <c r="I1079" s="12" t="n">
        <v>40</v>
      </c>
      <c r="J1079" s="13" t="n">
        <v>150</v>
      </c>
      <c r="K1079" s="14" t="n">
        <f aca="false">I1079*J1079</f>
        <v>6000</v>
      </c>
      <c r="L1079" s="14" t="n">
        <f aca="false">($L$2*M1079)/100</f>
        <v>480666.6</v>
      </c>
      <c r="M1079" s="15" t="n">
        <v>0.4</v>
      </c>
      <c r="N1079" s="9" t="s">
        <v>26</v>
      </c>
    </row>
    <row r="1080" customFormat="false" ht="14.25" hidden="false" customHeight="true" outlineLevel="0" collapsed="false">
      <c r="B1080" s="9" t="s">
        <v>16</v>
      </c>
      <c r="C1080" s="9" t="n">
        <v>1185732</v>
      </c>
      <c r="D1080" s="10" t="n">
        <v>44407</v>
      </c>
      <c r="E1080" s="9" t="s">
        <v>38</v>
      </c>
      <c r="F1080" s="9" t="s">
        <v>59</v>
      </c>
      <c r="G1080" s="9" t="s">
        <v>60</v>
      </c>
      <c r="H1080" s="11" t="s">
        <v>24</v>
      </c>
      <c r="I1080" s="12" t="n">
        <v>50</v>
      </c>
      <c r="J1080" s="13" t="n">
        <v>150</v>
      </c>
      <c r="K1080" s="14" t="n">
        <f aca="false">I1080*J1080</f>
        <v>7500</v>
      </c>
      <c r="L1080" s="14" t="n">
        <f aca="false">($L$2*M1080)/100</f>
        <v>420583.275</v>
      </c>
      <c r="M1080" s="15" t="n">
        <v>0.35</v>
      </c>
      <c r="N1080" s="9" t="s">
        <v>26</v>
      </c>
    </row>
    <row r="1081" customFormat="false" ht="14.25" hidden="false" customHeight="true" outlineLevel="0" collapsed="false">
      <c r="B1081" s="9" t="s">
        <v>16</v>
      </c>
      <c r="C1081" s="9" t="n">
        <v>1185732</v>
      </c>
      <c r="D1081" s="10" t="n">
        <v>44408</v>
      </c>
      <c r="E1081" s="9" t="s">
        <v>38</v>
      </c>
      <c r="F1081" s="9" t="s">
        <v>59</v>
      </c>
      <c r="G1081" s="9" t="s">
        <v>60</v>
      </c>
      <c r="H1081" s="11" t="s">
        <v>25</v>
      </c>
      <c r="I1081" s="12" t="n">
        <v>55</v>
      </c>
      <c r="J1081" s="13" t="n">
        <v>250</v>
      </c>
      <c r="K1081" s="14" t="n">
        <f aca="false">I1081*J1081</f>
        <v>13750</v>
      </c>
      <c r="L1081" s="14" t="n">
        <f aca="false">($L$2*M1081)/100</f>
        <v>600833.25</v>
      </c>
      <c r="M1081" s="15" t="n">
        <v>0.5</v>
      </c>
      <c r="N1081" s="9" t="s">
        <v>26</v>
      </c>
    </row>
    <row r="1082" customFormat="false" ht="14.25" hidden="false" customHeight="true" outlineLevel="0" collapsed="false">
      <c r="B1082" s="9" t="s">
        <v>28</v>
      </c>
      <c r="C1082" s="9" t="n">
        <v>1197831</v>
      </c>
      <c r="D1082" s="10" t="n">
        <v>44409</v>
      </c>
      <c r="E1082" s="9" t="s">
        <v>38</v>
      </c>
      <c r="F1082" s="9" t="s">
        <v>59</v>
      </c>
      <c r="G1082" s="9" t="s">
        <v>60</v>
      </c>
      <c r="H1082" s="11" t="s">
        <v>19</v>
      </c>
      <c r="I1082" s="12" t="n">
        <v>20</v>
      </c>
      <c r="J1082" s="13" t="n">
        <v>675</v>
      </c>
      <c r="K1082" s="14" t="n">
        <f aca="false">I1082*J1082</f>
        <v>13500</v>
      </c>
      <c r="L1082" s="14" t="n">
        <f aca="false">($L$2*M1082)/100</f>
        <v>480666.6</v>
      </c>
      <c r="M1082" s="15" t="n">
        <v>0.4</v>
      </c>
      <c r="N1082" s="9" t="s">
        <v>26</v>
      </c>
    </row>
    <row r="1083" customFormat="false" ht="14.25" hidden="false" customHeight="true" outlineLevel="0" collapsed="false">
      <c r="B1083" s="9" t="s">
        <v>28</v>
      </c>
      <c r="C1083" s="9" t="n">
        <v>1197831</v>
      </c>
      <c r="D1083" s="10" t="n">
        <v>44410</v>
      </c>
      <c r="E1083" s="9" t="s">
        <v>38</v>
      </c>
      <c r="F1083" s="9" t="s">
        <v>59</v>
      </c>
      <c r="G1083" s="9" t="s">
        <v>60</v>
      </c>
      <c r="H1083" s="11" t="s">
        <v>21</v>
      </c>
      <c r="I1083" s="12" t="n">
        <v>30</v>
      </c>
      <c r="J1083" s="13" t="n">
        <v>675</v>
      </c>
      <c r="K1083" s="14" t="n">
        <f aca="false">I1083*J1083</f>
        <v>20250</v>
      </c>
      <c r="L1083" s="14" t="n">
        <f aca="false">($L$2*M1083)/100</f>
        <v>480666.6</v>
      </c>
      <c r="M1083" s="15" t="n">
        <v>0.4</v>
      </c>
      <c r="N1083" s="9" t="s">
        <v>26</v>
      </c>
    </row>
    <row r="1084" customFormat="false" ht="14.25" hidden="false" customHeight="true" outlineLevel="0" collapsed="false">
      <c r="B1084" s="9" t="s">
        <v>28</v>
      </c>
      <c r="C1084" s="9" t="n">
        <v>1197831</v>
      </c>
      <c r="D1084" s="10" t="n">
        <v>44411</v>
      </c>
      <c r="E1084" s="9" t="s">
        <v>38</v>
      </c>
      <c r="F1084" s="9" t="s">
        <v>59</v>
      </c>
      <c r="G1084" s="9" t="s">
        <v>60</v>
      </c>
      <c r="H1084" s="11" t="s">
        <v>22</v>
      </c>
      <c r="I1084" s="12" t="n">
        <v>30</v>
      </c>
      <c r="J1084" s="13" t="n">
        <v>475</v>
      </c>
      <c r="K1084" s="14" t="n">
        <f aca="false">I1084*J1084</f>
        <v>14250</v>
      </c>
      <c r="L1084" s="14" t="n">
        <f aca="false">($L$2*M1084)/100</f>
        <v>480666.6</v>
      </c>
      <c r="M1084" s="15" t="n">
        <v>0.4</v>
      </c>
      <c r="N1084" s="9" t="s">
        <v>26</v>
      </c>
    </row>
    <row r="1085" customFormat="false" ht="14.25" hidden="false" customHeight="true" outlineLevel="0" collapsed="false">
      <c r="B1085" s="9" t="s">
        <v>28</v>
      </c>
      <c r="C1085" s="9" t="n">
        <v>1197831</v>
      </c>
      <c r="D1085" s="10" t="n">
        <v>44412</v>
      </c>
      <c r="E1085" s="9" t="s">
        <v>38</v>
      </c>
      <c r="F1085" s="9" t="s">
        <v>59</v>
      </c>
      <c r="G1085" s="9" t="s">
        <v>60</v>
      </c>
      <c r="H1085" s="11" t="s">
        <v>23</v>
      </c>
      <c r="I1085" s="12" t="n">
        <v>35</v>
      </c>
      <c r="J1085" s="13" t="n">
        <v>475</v>
      </c>
      <c r="K1085" s="14" t="n">
        <f aca="false">I1085*J1085</f>
        <v>16625</v>
      </c>
      <c r="L1085" s="14" t="n">
        <f aca="false">($L$2*M1085)/100</f>
        <v>600833.25</v>
      </c>
      <c r="M1085" s="15" t="n">
        <v>0.5</v>
      </c>
      <c r="N1085" s="9" t="s">
        <v>26</v>
      </c>
    </row>
    <row r="1086" customFormat="false" ht="14.25" hidden="false" customHeight="true" outlineLevel="0" collapsed="false">
      <c r="B1086" s="9" t="s">
        <v>28</v>
      </c>
      <c r="C1086" s="9" t="n">
        <v>1197831</v>
      </c>
      <c r="D1086" s="10" t="n">
        <v>44413</v>
      </c>
      <c r="E1086" s="9" t="s">
        <v>29</v>
      </c>
      <c r="F1086" s="9" t="s">
        <v>61</v>
      </c>
      <c r="G1086" s="9" t="s">
        <v>62</v>
      </c>
      <c r="H1086" s="11" t="s">
        <v>24</v>
      </c>
      <c r="I1086" s="12" t="n">
        <v>40</v>
      </c>
      <c r="J1086" s="13" t="n">
        <v>325</v>
      </c>
      <c r="K1086" s="14" t="n">
        <f aca="false">I1086*J1086</f>
        <v>13000</v>
      </c>
      <c r="L1086" s="14" t="n">
        <f aca="false">($L$2*M1086)/100</f>
        <v>420583.275</v>
      </c>
      <c r="M1086" s="15" t="n">
        <v>0.35</v>
      </c>
      <c r="N1086" s="9" t="s">
        <v>26</v>
      </c>
    </row>
    <row r="1087" customFormat="false" ht="14.25" hidden="false" customHeight="true" outlineLevel="0" collapsed="false">
      <c r="B1087" s="9" t="s">
        <v>28</v>
      </c>
      <c r="C1087" s="9" t="n">
        <v>1197831</v>
      </c>
      <c r="D1087" s="10" t="n">
        <v>44414</v>
      </c>
      <c r="E1087" s="9" t="s">
        <v>29</v>
      </c>
      <c r="F1087" s="9" t="s">
        <v>61</v>
      </c>
      <c r="G1087" s="9" t="s">
        <v>62</v>
      </c>
      <c r="H1087" s="11" t="s">
        <v>25</v>
      </c>
      <c r="I1087" s="12" t="n">
        <v>35</v>
      </c>
      <c r="J1087" s="13" t="n">
        <v>475</v>
      </c>
      <c r="K1087" s="14" t="n">
        <f aca="false">I1087*J1087</f>
        <v>16625</v>
      </c>
      <c r="L1087" s="14" t="n">
        <f aca="false">($L$2*M1087)/100</f>
        <v>660916.575</v>
      </c>
      <c r="M1087" s="15" t="n">
        <v>0.55</v>
      </c>
      <c r="N1087" s="9" t="s">
        <v>26</v>
      </c>
    </row>
    <row r="1088" customFormat="false" ht="14.25" hidden="false" customHeight="true" outlineLevel="0" collapsed="false">
      <c r="B1088" s="9" t="s">
        <v>28</v>
      </c>
      <c r="C1088" s="9" t="n">
        <v>1197831</v>
      </c>
      <c r="D1088" s="10" t="n">
        <v>44415</v>
      </c>
      <c r="E1088" s="9" t="s">
        <v>29</v>
      </c>
      <c r="F1088" s="9" t="s">
        <v>61</v>
      </c>
      <c r="G1088" s="9" t="s">
        <v>62</v>
      </c>
      <c r="H1088" s="11" t="s">
        <v>19</v>
      </c>
      <c r="I1088" s="12" t="n">
        <v>25</v>
      </c>
      <c r="J1088" s="13" t="n">
        <v>625</v>
      </c>
      <c r="K1088" s="14" t="n">
        <f aca="false">I1088*J1088</f>
        <v>15625</v>
      </c>
      <c r="L1088" s="14" t="n">
        <f aca="false">($L$2*M1088)/100</f>
        <v>480666.6</v>
      </c>
      <c r="M1088" s="15" t="n">
        <v>0.4</v>
      </c>
      <c r="N1088" s="9" t="s">
        <v>26</v>
      </c>
    </row>
    <row r="1089" customFormat="false" ht="14.25" hidden="false" customHeight="true" outlineLevel="0" collapsed="false">
      <c r="B1089" s="9" t="s">
        <v>28</v>
      </c>
      <c r="C1089" s="9" t="n">
        <v>1197831</v>
      </c>
      <c r="D1089" s="10" t="n">
        <v>44416</v>
      </c>
      <c r="E1089" s="9" t="s">
        <v>29</v>
      </c>
      <c r="F1089" s="9" t="s">
        <v>61</v>
      </c>
      <c r="G1089" s="9" t="s">
        <v>62</v>
      </c>
      <c r="H1089" s="11" t="s">
        <v>21</v>
      </c>
      <c r="I1089" s="12" t="n">
        <v>35</v>
      </c>
      <c r="J1089" s="13" t="n">
        <v>600</v>
      </c>
      <c r="K1089" s="14" t="n">
        <f aca="false">I1089*J1089</f>
        <v>21000</v>
      </c>
      <c r="L1089" s="14" t="n">
        <f aca="false">($L$2*M1089)/100</f>
        <v>480666.6</v>
      </c>
      <c r="M1089" s="15" t="n">
        <v>0.4</v>
      </c>
      <c r="N1089" s="9" t="s">
        <v>26</v>
      </c>
    </row>
    <row r="1090" customFormat="false" ht="14.25" hidden="false" customHeight="true" outlineLevel="0" collapsed="false">
      <c r="B1090" s="9" t="s">
        <v>28</v>
      </c>
      <c r="C1090" s="9" t="n">
        <v>1197831</v>
      </c>
      <c r="D1090" s="10" t="n">
        <v>44417</v>
      </c>
      <c r="E1090" s="9" t="s">
        <v>29</v>
      </c>
      <c r="F1090" s="9" t="s">
        <v>61</v>
      </c>
      <c r="G1090" s="9" t="s">
        <v>62</v>
      </c>
      <c r="H1090" s="11" t="s">
        <v>22</v>
      </c>
      <c r="I1090" s="12" t="n">
        <v>35</v>
      </c>
      <c r="J1090" s="13" t="n">
        <v>425</v>
      </c>
      <c r="K1090" s="14" t="n">
        <f aca="false">I1090*J1090</f>
        <v>14875</v>
      </c>
      <c r="L1090" s="14" t="n">
        <f aca="false">($L$2*M1090)/100</f>
        <v>480666.6</v>
      </c>
      <c r="M1090" s="15" t="n">
        <v>0.4</v>
      </c>
      <c r="N1090" s="9" t="s">
        <v>26</v>
      </c>
    </row>
    <row r="1091" customFormat="false" ht="14.25" hidden="false" customHeight="true" outlineLevel="0" collapsed="false">
      <c r="B1091" s="9" t="s">
        <v>28</v>
      </c>
      <c r="C1091" s="9" t="n">
        <v>1197831</v>
      </c>
      <c r="D1091" s="10" t="n">
        <v>44418</v>
      </c>
      <c r="E1091" s="9" t="s">
        <v>29</v>
      </c>
      <c r="F1091" s="9" t="s">
        <v>61</v>
      </c>
      <c r="G1091" s="9" t="s">
        <v>62</v>
      </c>
      <c r="H1091" s="11" t="s">
        <v>23</v>
      </c>
      <c r="I1091" s="12" t="n">
        <v>35</v>
      </c>
      <c r="J1091" s="13" t="n">
        <v>375</v>
      </c>
      <c r="K1091" s="14" t="n">
        <f aca="false">I1091*J1091</f>
        <v>13125</v>
      </c>
      <c r="L1091" s="14" t="n">
        <f aca="false">($L$2*M1091)/100</f>
        <v>600833.25</v>
      </c>
      <c r="M1091" s="15" t="n">
        <v>0.5</v>
      </c>
      <c r="N1091" s="9" t="s">
        <v>26</v>
      </c>
    </row>
    <row r="1092" customFormat="false" ht="14.25" hidden="false" customHeight="true" outlineLevel="0" collapsed="false">
      <c r="B1092" s="9" t="s">
        <v>28</v>
      </c>
      <c r="C1092" s="9" t="n">
        <v>1197831</v>
      </c>
      <c r="D1092" s="10" t="n">
        <v>44419</v>
      </c>
      <c r="E1092" s="9" t="s">
        <v>29</v>
      </c>
      <c r="F1092" s="9" t="s">
        <v>61</v>
      </c>
      <c r="G1092" s="9" t="s">
        <v>62</v>
      </c>
      <c r="H1092" s="11" t="s">
        <v>24</v>
      </c>
      <c r="I1092" s="12" t="n">
        <v>40</v>
      </c>
      <c r="J1092" s="13" t="n">
        <v>250</v>
      </c>
      <c r="K1092" s="14" t="n">
        <f aca="false">I1092*J1092</f>
        <v>10000</v>
      </c>
      <c r="L1092" s="14" t="n">
        <f aca="false">($L$2*M1092)/100</f>
        <v>420583.275</v>
      </c>
      <c r="M1092" s="15" t="n">
        <v>0.35</v>
      </c>
      <c r="N1092" s="9" t="s">
        <v>26</v>
      </c>
    </row>
    <row r="1093" customFormat="false" ht="14.25" hidden="false" customHeight="true" outlineLevel="0" collapsed="false">
      <c r="B1093" s="9" t="s">
        <v>28</v>
      </c>
      <c r="C1093" s="9" t="n">
        <v>1197831</v>
      </c>
      <c r="D1093" s="10" t="n">
        <v>44420</v>
      </c>
      <c r="E1093" s="9" t="s">
        <v>29</v>
      </c>
      <c r="F1093" s="9" t="s">
        <v>61</v>
      </c>
      <c r="G1093" s="9" t="s">
        <v>62</v>
      </c>
      <c r="H1093" s="11" t="s">
        <v>25</v>
      </c>
      <c r="I1093" s="12" t="n">
        <v>35</v>
      </c>
      <c r="J1093" s="13" t="n">
        <v>450</v>
      </c>
      <c r="K1093" s="14" t="n">
        <f aca="false">I1093*J1093</f>
        <v>15750</v>
      </c>
      <c r="L1093" s="14" t="n">
        <f aca="false">($L$2*M1093)/100</f>
        <v>660916.575</v>
      </c>
      <c r="M1093" s="15" t="n">
        <v>0.55</v>
      </c>
      <c r="N1093" s="9" t="s">
        <v>26</v>
      </c>
    </row>
    <row r="1094" customFormat="false" ht="14.25" hidden="false" customHeight="true" outlineLevel="0" collapsed="false">
      <c r="B1094" s="9" t="s">
        <v>28</v>
      </c>
      <c r="C1094" s="9" t="n">
        <v>1197831</v>
      </c>
      <c r="D1094" s="10" t="n">
        <v>44421</v>
      </c>
      <c r="E1094" s="9" t="s">
        <v>29</v>
      </c>
      <c r="F1094" s="9" t="s">
        <v>61</v>
      </c>
      <c r="G1094" s="9" t="s">
        <v>62</v>
      </c>
      <c r="H1094" s="11" t="s">
        <v>19</v>
      </c>
      <c r="I1094" s="12" t="n">
        <v>30</v>
      </c>
      <c r="J1094" s="13" t="n">
        <v>625</v>
      </c>
      <c r="K1094" s="14" t="n">
        <f aca="false">I1094*J1094</f>
        <v>18750</v>
      </c>
      <c r="L1094" s="14" t="n">
        <f aca="false">($L$2*M1094)/100</f>
        <v>540749.925</v>
      </c>
      <c r="M1094" s="15" t="n">
        <v>0.45</v>
      </c>
      <c r="N1094" s="9" t="s">
        <v>26</v>
      </c>
    </row>
    <row r="1095" customFormat="false" ht="14.25" hidden="false" customHeight="true" outlineLevel="0" collapsed="false">
      <c r="B1095" s="9" t="s">
        <v>28</v>
      </c>
      <c r="C1095" s="9" t="n">
        <v>1197831</v>
      </c>
      <c r="D1095" s="10" t="n">
        <v>44422</v>
      </c>
      <c r="E1095" s="9" t="s">
        <v>29</v>
      </c>
      <c r="F1095" s="9" t="s">
        <v>61</v>
      </c>
      <c r="G1095" s="9" t="s">
        <v>62</v>
      </c>
      <c r="H1095" s="11" t="s">
        <v>21</v>
      </c>
      <c r="I1095" s="12" t="n">
        <v>40</v>
      </c>
      <c r="J1095" s="13" t="n">
        <v>625</v>
      </c>
      <c r="K1095" s="14" t="n">
        <f aca="false">I1095*J1095</f>
        <v>25000</v>
      </c>
      <c r="L1095" s="14" t="n">
        <f aca="false">($L$2*M1095)/100</f>
        <v>540749.925</v>
      </c>
      <c r="M1095" s="15" t="n">
        <v>0.45</v>
      </c>
      <c r="N1095" s="9" t="s">
        <v>26</v>
      </c>
    </row>
    <row r="1096" customFormat="false" ht="14.25" hidden="false" customHeight="true" outlineLevel="0" collapsed="false">
      <c r="B1096" s="9" t="s">
        <v>28</v>
      </c>
      <c r="C1096" s="9" t="n">
        <v>1197831</v>
      </c>
      <c r="D1096" s="10" t="n">
        <v>44423</v>
      </c>
      <c r="E1096" s="9" t="s">
        <v>29</v>
      </c>
      <c r="F1096" s="9" t="s">
        <v>61</v>
      </c>
      <c r="G1096" s="9" t="s">
        <v>62</v>
      </c>
      <c r="H1096" s="11" t="s">
        <v>22</v>
      </c>
      <c r="I1096" s="12" t="n">
        <v>30</v>
      </c>
      <c r="J1096" s="13" t="n">
        <v>450</v>
      </c>
      <c r="K1096" s="14" t="n">
        <f aca="false">I1096*J1096</f>
        <v>13500</v>
      </c>
      <c r="L1096" s="14" t="n">
        <f aca="false">($L$2*M1096)/100</f>
        <v>540749.925</v>
      </c>
      <c r="M1096" s="15" t="n">
        <v>0.45</v>
      </c>
      <c r="N1096" s="9" t="s">
        <v>26</v>
      </c>
    </row>
    <row r="1097" customFormat="false" ht="14.25" hidden="false" customHeight="true" outlineLevel="0" collapsed="false">
      <c r="B1097" s="9" t="s">
        <v>28</v>
      </c>
      <c r="C1097" s="9" t="n">
        <v>1197831</v>
      </c>
      <c r="D1097" s="10" t="n">
        <v>44424</v>
      </c>
      <c r="E1097" s="9" t="s">
        <v>29</v>
      </c>
      <c r="F1097" s="9" t="s">
        <v>61</v>
      </c>
      <c r="G1097" s="9" t="s">
        <v>62</v>
      </c>
      <c r="H1097" s="11" t="s">
        <v>23</v>
      </c>
      <c r="I1097" s="12" t="n">
        <v>35</v>
      </c>
      <c r="J1097" s="13" t="n">
        <v>350</v>
      </c>
      <c r="K1097" s="14" t="n">
        <f aca="false">I1097*J1097</f>
        <v>12250</v>
      </c>
      <c r="L1097" s="14" t="n">
        <f aca="false">($L$2*M1097)/100</f>
        <v>660916.575</v>
      </c>
      <c r="M1097" s="15" t="n">
        <v>0.55</v>
      </c>
      <c r="N1097" s="9" t="s">
        <v>26</v>
      </c>
    </row>
    <row r="1098" customFormat="false" ht="14.25" hidden="false" customHeight="true" outlineLevel="0" collapsed="false">
      <c r="B1098" s="9" t="s">
        <v>28</v>
      </c>
      <c r="C1098" s="9" t="n">
        <v>1197831</v>
      </c>
      <c r="D1098" s="10" t="n">
        <v>44425</v>
      </c>
      <c r="E1098" s="9" t="s">
        <v>29</v>
      </c>
      <c r="F1098" s="9" t="s">
        <v>61</v>
      </c>
      <c r="G1098" s="9" t="s">
        <v>62</v>
      </c>
      <c r="H1098" s="11" t="s">
        <v>24</v>
      </c>
      <c r="I1098" s="12" t="n">
        <v>40</v>
      </c>
      <c r="J1098" s="13" t="n">
        <v>250</v>
      </c>
      <c r="K1098" s="14" t="n">
        <f aca="false">I1098*J1098</f>
        <v>10000</v>
      </c>
      <c r="L1098" s="14" t="n">
        <f aca="false">($L$2*M1098)/100</f>
        <v>480666.6</v>
      </c>
      <c r="M1098" s="15" t="n">
        <v>0.4</v>
      </c>
      <c r="N1098" s="9" t="s">
        <v>26</v>
      </c>
    </row>
    <row r="1099" customFormat="false" ht="14.25" hidden="false" customHeight="true" outlineLevel="0" collapsed="false">
      <c r="B1099" s="9" t="s">
        <v>28</v>
      </c>
      <c r="C1099" s="9" t="n">
        <v>1197831</v>
      </c>
      <c r="D1099" s="10" t="n">
        <v>44426</v>
      </c>
      <c r="E1099" s="9" t="s">
        <v>29</v>
      </c>
      <c r="F1099" s="9" t="s">
        <v>61</v>
      </c>
      <c r="G1099" s="9" t="s">
        <v>62</v>
      </c>
      <c r="H1099" s="11" t="s">
        <v>25</v>
      </c>
      <c r="I1099" s="12" t="n">
        <v>35</v>
      </c>
      <c r="J1099" s="13" t="n">
        <v>400</v>
      </c>
      <c r="K1099" s="14" t="n">
        <f aca="false">I1099*J1099</f>
        <v>14000</v>
      </c>
      <c r="L1099" s="14" t="n">
        <f aca="false">($L$2*M1099)/100</f>
        <v>720999.9</v>
      </c>
      <c r="M1099" s="15" t="n">
        <v>0.6</v>
      </c>
      <c r="N1099" s="9" t="s">
        <v>26</v>
      </c>
    </row>
    <row r="1100" customFormat="false" ht="14.25" hidden="false" customHeight="true" outlineLevel="0" collapsed="false">
      <c r="B1100" s="9" t="s">
        <v>28</v>
      </c>
      <c r="C1100" s="9" t="n">
        <v>1197831</v>
      </c>
      <c r="D1100" s="10" t="n">
        <v>44427</v>
      </c>
      <c r="E1100" s="9" t="s">
        <v>29</v>
      </c>
      <c r="F1100" s="9" t="s">
        <v>61</v>
      </c>
      <c r="G1100" s="9" t="s">
        <v>62</v>
      </c>
      <c r="H1100" s="11" t="s">
        <v>19</v>
      </c>
      <c r="I1100" s="12" t="n">
        <v>20</v>
      </c>
      <c r="J1100" s="13" t="n">
        <v>650</v>
      </c>
      <c r="K1100" s="14" t="n">
        <f aca="false">I1100*J1100</f>
        <v>13000</v>
      </c>
      <c r="L1100" s="14" t="n">
        <f aca="false">($L$2*M1100)/100</f>
        <v>540749.925</v>
      </c>
      <c r="M1100" s="15" t="n">
        <v>0.45</v>
      </c>
      <c r="N1100" s="9" t="s">
        <v>26</v>
      </c>
    </row>
    <row r="1101" customFormat="false" ht="14.25" hidden="false" customHeight="true" outlineLevel="0" collapsed="false">
      <c r="B1101" s="9" t="s">
        <v>28</v>
      </c>
      <c r="C1101" s="9" t="n">
        <v>1197831</v>
      </c>
      <c r="D1101" s="10" t="n">
        <v>44428</v>
      </c>
      <c r="E1101" s="9" t="s">
        <v>29</v>
      </c>
      <c r="F1101" s="9" t="s">
        <v>61</v>
      </c>
      <c r="G1101" s="9" t="s">
        <v>62</v>
      </c>
      <c r="H1101" s="11" t="s">
        <v>21</v>
      </c>
      <c r="I1101" s="12" t="n">
        <v>20</v>
      </c>
      <c r="J1101" s="13" t="n">
        <v>650</v>
      </c>
      <c r="K1101" s="14" t="n">
        <f aca="false">I1101*J1101</f>
        <v>13000</v>
      </c>
      <c r="L1101" s="14" t="n">
        <f aca="false">($L$2*M1101)/100</f>
        <v>540749.925</v>
      </c>
      <c r="M1101" s="15" t="n">
        <v>0.45</v>
      </c>
      <c r="N1101" s="9" t="s">
        <v>26</v>
      </c>
    </row>
    <row r="1102" customFormat="false" ht="14.25" hidden="false" customHeight="true" outlineLevel="0" collapsed="false">
      <c r="B1102" s="9" t="s">
        <v>28</v>
      </c>
      <c r="C1102" s="9" t="n">
        <v>1197831</v>
      </c>
      <c r="D1102" s="10" t="n">
        <v>44429</v>
      </c>
      <c r="E1102" s="9" t="s">
        <v>29</v>
      </c>
      <c r="F1102" s="9" t="s">
        <v>61</v>
      </c>
      <c r="G1102" s="9" t="s">
        <v>62</v>
      </c>
      <c r="H1102" s="11" t="s">
        <v>22</v>
      </c>
      <c r="I1102" s="12" t="n">
        <v>15</v>
      </c>
      <c r="J1102" s="13" t="n">
        <v>475</v>
      </c>
      <c r="K1102" s="14" t="n">
        <f aca="false">I1102*J1102</f>
        <v>7125</v>
      </c>
      <c r="L1102" s="14" t="n">
        <f aca="false">($L$2*M1102)/100</f>
        <v>540749.925</v>
      </c>
      <c r="M1102" s="15" t="n">
        <v>0.45</v>
      </c>
      <c r="N1102" s="9" t="s">
        <v>26</v>
      </c>
    </row>
    <row r="1103" customFormat="false" ht="14.25" hidden="false" customHeight="true" outlineLevel="0" collapsed="false">
      <c r="B1103" s="9" t="s">
        <v>28</v>
      </c>
      <c r="C1103" s="9" t="n">
        <v>1197831</v>
      </c>
      <c r="D1103" s="10" t="n">
        <v>44430</v>
      </c>
      <c r="E1103" s="9" t="s">
        <v>29</v>
      </c>
      <c r="F1103" s="9" t="s">
        <v>61</v>
      </c>
      <c r="G1103" s="9" t="s">
        <v>62</v>
      </c>
      <c r="H1103" s="11" t="s">
        <v>23</v>
      </c>
      <c r="I1103" s="12" t="n">
        <v>20</v>
      </c>
      <c r="J1103" s="13" t="n">
        <v>375</v>
      </c>
      <c r="K1103" s="14" t="n">
        <f aca="false">I1103*J1103</f>
        <v>7500</v>
      </c>
      <c r="L1103" s="14" t="n">
        <f aca="false">($L$2*M1103)/100</f>
        <v>660916.575</v>
      </c>
      <c r="M1103" s="15" t="n">
        <v>0.55</v>
      </c>
      <c r="N1103" s="9" t="s">
        <v>26</v>
      </c>
    </row>
    <row r="1104" customFormat="false" ht="14.25" hidden="false" customHeight="true" outlineLevel="0" collapsed="false">
      <c r="B1104" s="9" t="s">
        <v>28</v>
      </c>
      <c r="C1104" s="9" t="n">
        <v>1197831</v>
      </c>
      <c r="D1104" s="10" t="n">
        <v>44431</v>
      </c>
      <c r="E1104" s="9" t="s">
        <v>29</v>
      </c>
      <c r="F1104" s="9" t="s">
        <v>61</v>
      </c>
      <c r="G1104" s="9" t="s">
        <v>62</v>
      </c>
      <c r="H1104" s="11" t="s">
        <v>24</v>
      </c>
      <c r="I1104" s="12" t="n">
        <v>25</v>
      </c>
      <c r="J1104" s="13" t="n">
        <v>275</v>
      </c>
      <c r="K1104" s="14" t="n">
        <f aca="false">I1104*J1104</f>
        <v>6875</v>
      </c>
      <c r="L1104" s="14" t="n">
        <f aca="false">($L$2*M1104)/100</f>
        <v>480666.6</v>
      </c>
      <c r="M1104" s="15" t="n">
        <v>0.4</v>
      </c>
      <c r="N1104" s="9" t="s">
        <v>26</v>
      </c>
    </row>
    <row r="1105" customFormat="false" ht="14.25" hidden="false" customHeight="true" outlineLevel="0" collapsed="false">
      <c r="B1105" s="9" t="s">
        <v>28</v>
      </c>
      <c r="C1105" s="9" t="n">
        <v>1197831</v>
      </c>
      <c r="D1105" s="10" t="n">
        <v>44432</v>
      </c>
      <c r="E1105" s="9" t="s">
        <v>29</v>
      </c>
      <c r="F1105" s="9" t="s">
        <v>61</v>
      </c>
      <c r="G1105" s="9" t="s">
        <v>62</v>
      </c>
      <c r="H1105" s="11" t="s">
        <v>25</v>
      </c>
      <c r="I1105" s="12" t="n">
        <v>20</v>
      </c>
      <c r="J1105" s="13" t="n">
        <v>550</v>
      </c>
      <c r="K1105" s="14" t="n">
        <f aca="false">I1105*J1105</f>
        <v>11000</v>
      </c>
      <c r="L1105" s="14" t="n">
        <f aca="false">($L$2*M1105)/100</f>
        <v>720999.9</v>
      </c>
      <c r="M1105" s="15" t="n">
        <v>0.6</v>
      </c>
      <c r="N1105" s="9" t="s">
        <v>26</v>
      </c>
    </row>
    <row r="1106" customFormat="false" ht="14.25" hidden="false" customHeight="true" outlineLevel="0" collapsed="false">
      <c r="B1106" s="9" t="s">
        <v>28</v>
      </c>
      <c r="C1106" s="9" t="n">
        <v>1197831</v>
      </c>
      <c r="D1106" s="10" t="n">
        <v>44433</v>
      </c>
      <c r="E1106" s="9" t="s">
        <v>29</v>
      </c>
      <c r="F1106" s="9" t="s">
        <v>61</v>
      </c>
      <c r="G1106" s="9" t="s">
        <v>62</v>
      </c>
      <c r="H1106" s="11" t="s">
        <v>19</v>
      </c>
      <c r="I1106" s="12" t="n">
        <v>10</v>
      </c>
      <c r="J1106" s="13" t="n">
        <v>700</v>
      </c>
      <c r="K1106" s="14" t="n">
        <f aca="false">I1106*J1106</f>
        <v>7000</v>
      </c>
      <c r="L1106" s="14" t="n">
        <f aca="false">($L$2*M1106)/100</f>
        <v>540749.925</v>
      </c>
      <c r="M1106" s="15" t="n">
        <v>0.45</v>
      </c>
      <c r="N1106" s="9" t="s">
        <v>26</v>
      </c>
    </row>
    <row r="1107" customFormat="false" ht="14.25" hidden="false" customHeight="true" outlineLevel="0" collapsed="false">
      <c r="B1107" s="9" t="s">
        <v>28</v>
      </c>
      <c r="C1107" s="9" t="n">
        <v>1197831</v>
      </c>
      <c r="D1107" s="10" t="n">
        <v>44434</v>
      </c>
      <c r="E1107" s="9" t="s">
        <v>29</v>
      </c>
      <c r="F1107" s="9" t="s">
        <v>61</v>
      </c>
      <c r="G1107" s="9" t="s">
        <v>62</v>
      </c>
      <c r="H1107" s="11" t="s">
        <v>21</v>
      </c>
      <c r="I1107" s="12" t="n">
        <v>20</v>
      </c>
      <c r="J1107" s="13" t="n">
        <v>725</v>
      </c>
      <c r="K1107" s="14" t="n">
        <f aca="false">I1107*J1107</f>
        <v>14500</v>
      </c>
      <c r="L1107" s="14" t="n">
        <f aca="false">($L$2*M1107)/100</f>
        <v>540749.925</v>
      </c>
      <c r="M1107" s="15" t="n">
        <v>0.45</v>
      </c>
      <c r="N1107" s="9" t="s">
        <v>26</v>
      </c>
    </row>
    <row r="1108" customFormat="false" ht="14.25" hidden="false" customHeight="true" outlineLevel="0" collapsed="false">
      <c r="B1108" s="9" t="s">
        <v>28</v>
      </c>
      <c r="C1108" s="9" t="n">
        <v>1197831</v>
      </c>
      <c r="D1108" s="10" t="n">
        <v>44435</v>
      </c>
      <c r="E1108" s="9" t="s">
        <v>29</v>
      </c>
      <c r="F1108" s="9" t="s">
        <v>61</v>
      </c>
      <c r="G1108" s="9" t="s">
        <v>62</v>
      </c>
      <c r="H1108" s="11" t="s">
        <v>22</v>
      </c>
      <c r="I1108" s="12" t="n">
        <v>15</v>
      </c>
      <c r="J1108" s="13" t="n">
        <v>575</v>
      </c>
      <c r="K1108" s="14" t="n">
        <f aca="false">I1108*J1108</f>
        <v>8625</v>
      </c>
      <c r="L1108" s="14" t="n">
        <f aca="false">($L$2*M1108)/100</f>
        <v>540749.925</v>
      </c>
      <c r="M1108" s="15" t="n">
        <v>0.45</v>
      </c>
      <c r="N1108" s="9" t="s">
        <v>26</v>
      </c>
    </row>
    <row r="1109" customFormat="false" ht="14.25" hidden="false" customHeight="true" outlineLevel="0" collapsed="false">
      <c r="B1109" s="9" t="s">
        <v>28</v>
      </c>
      <c r="C1109" s="9" t="n">
        <v>1197831</v>
      </c>
      <c r="D1109" s="10" t="n">
        <v>44436</v>
      </c>
      <c r="E1109" s="9" t="s">
        <v>29</v>
      </c>
      <c r="F1109" s="9" t="s">
        <v>61</v>
      </c>
      <c r="G1109" s="9" t="s">
        <v>62</v>
      </c>
      <c r="H1109" s="11" t="s">
        <v>23</v>
      </c>
      <c r="I1109" s="12" t="n">
        <v>35</v>
      </c>
      <c r="J1109" s="13" t="n">
        <v>500</v>
      </c>
      <c r="K1109" s="14" t="n">
        <f aca="false">I1109*J1109</f>
        <v>17500</v>
      </c>
      <c r="L1109" s="14" t="n">
        <f aca="false">($L$2*M1109)/100</f>
        <v>660916.575</v>
      </c>
      <c r="M1109" s="15" t="n">
        <v>0.55</v>
      </c>
      <c r="N1109" s="9" t="s">
        <v>26</v>
      </c>
    </row>
    <row r="1110" customFormat="false" ht="14.25" hidden="false" customHeight="true" outlineLevel="0" collapsed="false">
      <c r="B1110" s="9" t="s">
        <v>28</v>
      </c>
      <c r="C1110" s="9" t="n">
        <v>1197831</v>
      </c>
      <c r="D1110" s="10" t="n">
        <v>44437</v>
      </c>
      <c r="E1110" s="9" t="s">
        <v>29</v>
      </c>
      <c r="F1110" s="9" t="s">
        <v>61</v>
      </c>
      <c r="G1110" s="9" t="s">
        <v>62</v>
      </c>
      <c r="H1110" s="11" t="s">
        <v>24</v>
      </c>
      <c r="I1110" s="12" t="n">
        <v>50</v>
      </c>
      <c r="J1110" s="13" t="n">
        <v>400</v>
      </c>
      <c r="K1110" s="14" t="n">
        <f aca="false">I1110*J1110</f>
        <v>20000</v>
      </c>
      <c r="L1110" s="14" t="n">
        <f aca="false">($L$2*M1110)/100</f>
        <v>480666.6</v>
      </c>
      <c r="M1110" s="15" t="n">
        <v>0.4</v>
      </c>
      <c r="N1110" s="9" t="s">
        <v>26</v>
      </c>
    </row>
    <row r="1111" customFormat="false" ht="14.25" hidden="false" customHeight="true" outlineLevel="0" collapsed="false">
      <c r="B1111" s="9" t="s">
        <v>28</v>
      </c>
      <c r="C1111" s="9" t="n">
        <v>1197831</v>
      </c>
      <c r="D1111" s="10" t="n">
        <v>44438</v>
      </c>
      <c r="E1111" s="9" t="s">
        <v>29</v>
      </c>
      <c r="F1111" s="9" t="s">
        <v>61</v>
      </c>
      <c r="G1111" s="9" t="s">
        <v>62</v>
      </c>
      <c r="H1111" s="11" t="s">
        <v>25</v>
      </c>
      <c r="I1111" s="12" t="n">
        <v>45</v>
      </c>
      <c r="J1111" s="13" t="n">
        <v>750</v>
      </c>
      <c r="K1111" s="14" t="n">
        <f aca="false">I1111*J1111</f>
        <v>33750</v>
      </c>
      <c r="L1111" s="14" t="n">
        <f aca="false">($L$2*M1111)/100</f>
        <v>720999.9</v>
      </c>
      <c r="M1111" s="15" t="n">
        <v>0.6</v>
      </c>
      <c r="N1111" s="9" t="s">
        <v>26</v>
      </c>
    </row>
    <row r="1112" customFormat="false" ht="14.25" hidden="false" customHeight="true" outlineLevel="0" collapsed="false">
      <c r="B1112" s="9" t="s">
        <v>28</v>
      </c>
      <c r="C1112" s="9" t="n">
        <v>1197831</v>
      </c>
      <c r="D1112" s="10" t="n">
        <v>44439</v>
      </c>
      <c r="E1112" s="9" t="s">
        <v>29</v>
      </c>
      <c r="F1112" s="9" t="s">
        <v>61</v>
      </c>
      <c r="G1112" s="9" t="s">
        <v>62</v>
      </c>
      <c r="H1112" s="11" t="s">
        <v>19</v>
      </c>
      <c r="I1112" s="12" t="n">
        <v>45</v>
      </c>
      <c r="J1112" s="13" t="n">
        <v>750</v>
      </c>
      <c r="K1112" s="14" t="n">
        <f aca="false">I1112*J1112</f>
        <v>33750</v>
      </c>
      <c r="L1112" s="14" t="n">
        <f aca="false">($L$2*M1112)/100</f>
        <v>540749.925</v>
      </c>
      <c r="M1112" s="15" t="n">
        <v>0.45</v>
      </c>
      <c r="N1112" s="9" t="s">
        <v>26</v>
      </c>
    </row>
    <row r="1113" customFormat="false" ht="14.25" hidden="false" customHeight="true" outlineLevel="0" collapsed="false">
      <c r="B1113" s="9" t="s">
        <v>28</v>
      </c>
      <c r="C1113" s="9" t="n">
        <v>1197831</v>
      </c>
      <c r="D1113" s="10" t="n">
        <v>44440</v>
      </c>
      <c r="E1113" s="9" t="s">
        <v>29</v>
      </c>
      <c r="F1113" s="9" t="s">
        <v>61</v>
      </c>
      <c r="G1113" s="9" t="s">
        <v>62</v>
      </c>
      <c r="H1113" s="11" t="s">
        <v>21</v>
      </c>
      <c r="I1113" s="12" t="n">
        <v>50</v>
      </c>
      <c r="J1113" s="13" t="n">
        <v>750</v>
      </c>
      <c r="K1113" s="14" t="n">
        <f aca="false">I1113*J1113</f>
        <v>37500</v>
      </c>
      <c r="L1113" s="14" t="n">
        <f aca="false">($L$2*M1113)/100</f>
        <v>540749.925</v>
      </c>
      <c r="M1113" s="15" t="n">
        <v>0.45</v>
      </c>
      <c r="N1113" s="9" t="s">
        <v>26</v>
      </c>
    </row>
    <row r="1114" customFormat="false" ht="14.25" hidden="false" customHeight="true" outlineLevel="0" collapsed="false">
      <c r="B1114" s="9" t="s">
        <v>28</v>
      </c>
      <c r="C1114" s="9" t="n">
        <v>1197831</v>
      </c>
      <c r="D1114" s="10" t="n">
        <v>44441</v>
      </c>
      <c r="E1114" s="9" t="s">
        <v>29</v>
      </c>
      <c r="F1114" s="9" t="s">
        <v>61</v>
      </c>
      <c r="G1114" s="9" t="s">
        <v>62</v>
      </c>
      <c r="H1114" s="11" t="s">
        <v>22</v>
      </c>
      <c r="I1114" s="12" t="n">
        <v>45</v>
      </c>
      <c r="J1114" s="13" t="n">
        <v>650</v>
      </c>
      <c r="K1114" s="14" t="n">
        <f aca="false">I1114*J1114</f>
        <v>29250</v>
      </c>
      <c r="L1114" s="14" t="n">
        <f aca="false">($L$2*M1114)/100</f>
        <v>540749.925</v>
      </c>
      <c r="M1114" s="15" t="n">
        <v>0.45</v>
      </c>
      <c r="N1114" s="9" t="s">
        <v>26</v>
      </c>
    </row>
    <row r="1115" customFormat="false" ht="14.25" hidden="false" customHeight="true" outlineLevel="0" collapsed="false">
      <c r="B1115" s="9" t="s">
        <v>28</v>
      </c>
      <c r="C1115" s="9" t="n">
        <v>1197831</v>
      </c>
      <c r="D1115" s="10" t="n">
        <v>44442</v>
      </c>
      <c r="E1115" s="9" t="s">
        <v>29</v>
      </c>
      <c r="F1115" s="9" t="s">
        <v>61</v>
      </c>
      <c r="G1115" s="9" t="s">
        <v>62</v>
      </c>
      <c r="H1115" s="11" t="s">
        <v>23</v>
      </c>
      <c r="I1115" s="12" t="n">
        <v>45</v>
      </c>
      <c r="J1115" s="13" t="n">
        <v>600</v>
      </c>
      <c r="K1115" s="14" t="n">
        <f aca="false">I1115*J1115</f>
        <v>27000</v>
      </c>
      <c r="L1115" s="14" t="n">
        <f aca="false">($L$2*M1115)/100</f>
        <v>660916.575</v>
      </c>
      <c r="M1115" s="15" t="n">
        <v>0.55</v>
      </c>
      <c r="N1115" s="9" t="s">
        <v>26</v>
      </c>
    </row>
    <row r="1116" customFormat="false" ht="14.25" hidden="false" customHeight="true" outlineLevel="0" collapsed="false">
      <c r="B1116" s="9" t="s">
        <v>28</v>
      </c>
      <c r="C1116" s="9" t="n">
        <v>1197831</v>
      </c>
      <c r="D1116" s="10" t="n">
        <v>44443</v>
      </c>
      <c r="E1116" s="9" t="s">
        <v>29</v>
      </c>
      <c r="F1116" s="9" t="s">
        <v>61</v>
      </c>
      <c r="G1116" s="9" t="s">
        <v>62</v>
      </c>
      <c r="H1116" s="11" t="s">
        <v>24</v>
      </c>
      <c r="I1116" s="12" t="n">
        <v>50</v>
      </c>
      <c r="J1116" s="13" t="n">
        <v>500</v>
      </c>
      <c r="K1116" s="14" t="n">
        <f aca="false">I1116*J1116</f>
        <v>25000</v>
      </c>
      <c r="L1116" s="14" t="n">
        <f aca="false">($L$2*M1116)/100</f>
        <v>480666.6</v>
      </c>
      <c r="M1116" s="15" t="n">
        <v>0.4</v>
      </c>
      <c r="N1116" s="9" t="s">
        <v>26</v>
      </c>
    </row>
    <row r="1117" customFormat="false" ht="14.25" hidden="false" customHeight="true" outlineLevel="0" collapsed="false">
      <c r="B1117" s="9" t="s">
        <v>28</v>
      </c>
      <c r="C1117" s="9" t="n">
        <v>1197831</v>
      </c>
      <c r="D1117" s="10" t="n">
        <v>44444</v>
      </c>
      <c r="E1117" s="9" t="s">
        <v>29</v>
      </c>
      <c r="F1117" s="9" t="s">
        <v>61</v>
      </c>
      <c r="G1117" s="9" t="s">
        <v>62</v>
      </c>
      <c r="H1117" s="11" t="s">
        <v>25</v>
      </c>
      <c r="I1117" s="12" t="n">
        <v>55</v>
      </c>
      <c r="J1117" s="13" t="n">
        <v>875</v>
      </c>
      <c r="K1117" s="14" t="n">
        <f aca="false">I1117*J1117</f>
        <v>48125</v>
      </c>
      <c r="L1117" s="14" t="n">
        <f aca="false">($L$2*M1117)/100</f>
        <v>720999.9</v>
      </c>
      <c r="M1117" s="15" t="n">
        <v>0.6</v>
      </c>
      <c r="N1117" s="9" t="s">
        <v>26</v>
      </c>
    </row>
    <row r="1118" customFormat="false" ht="14.25" hidden="false" customHeight="true" outlineLevel="0" collapsed="false">
      <c r="B1118" s="9" t="s">
        <v>28</v>
      </c>
      <c r="C1118" s="9" t="n">
        <v>1197831</v>
      </c>
      <c r="D1118" s="10" t="n">
        <v>44445</v>
      </c>
      <c r="E1118" s="9" t="s">
        <v>29</v>
      </c>
      <c r="F1118" s="9" t="s">
        <v>61</v>
      </c>
      <c r="G1118" s="9" t="s">
        <v>62</v>
      </c>
      <c r="H1118" s="11" t="s">
        <v>19</v>
      </c>
      <c r="I1118" s="12" t="n">
        <v>45</v>
      </c>
      <c r="J1118" s="13" t="n">
        <v>825</v>
      </c>
      <c r="K1118" s="14" t="n">
        <f aca="false">I1118*J1118</f>
        <v>37125</v>
      </c>
      <c r="L1118" s="14" t="n">
        <f aca="false">($L$2*M1118)/100</f>
        <v>600833.25</v>
      </c>
      <c r="M1118" s="15" t="n">
        <v>0.5</v>
      </c>
      <c r="N1118" s="9" t="s">
        <v>26</v>
      </c>
    </row>
    <row r="1119" customFormat="false" ht="14.25" hidden="false" customHeight="true" outlineLevel="0" collapsed="false">
      <c r="B1119" s="9" t="s">
        <v>28</v>
      </c>
      <c r="C1119" s="9" t="n">
        <v>1197831</v>
      </c>
      <c r="D1119" s="10" t="n">
        <v>44446</v>
      </c>
      <c r="E1119" s="9" t="s">
        <v>29</v>
      </c>
      <c r="F1119" s="9" t="s">
        <v>61</v>
      </c>
      <c r="G1119" s="9" t="s">
        <v>62</v>
      </c>
      <c r="H1119" s="11" t="s">
        <v>21</v>
      </c>
      <c r="I1119" s="12" t="n">
        <v>50</v>
      </c>
      <c r="J1119" s="13" t="n">
        <v>825</v>
      </c>
      <c r="K1119" s="14" t="n">
        <f aca="false">I1119*J1119</f>
        <v>41250</v>
      </c>
      <c r="L1119" s="14" t="n">
        <f aca="false">($L$2*M1119)/100</f>
        <v>600833.25</v>
      </c>
      <c r="M1119" s="15" t="n">
        <v>0.5</v>
      </c>
      <c r="N1119" s="9" t="s">
        <v>26</v>
      </c>
    </row>
    <row r="1120" customFormat="false" ht="14.25" hidden="false" customHeight="true" outlineLevel="0" collapsed="false">
      <c r="B1120" s="9" t="s">
        <v>28</v>
      </c>
      <c r="C1120" s="9" t="n">
        <v>1197831</v>
      </c>
      <c r="D1120" s="10" t="n">
        <v>44447</v>
      </c>
      <c r="E1120" s="9" t="s">
        <v>29</v>
      </c>
      <c r="F1120" s="9" t="s">
        <v>61</v>
      </c>
      <c r="G1120" s="9" t="s">
        <v>62</v>
      </c>
      <c r="H1120" s="11" t="s">
        <v>22</v>
      </c>
      <c r="I1120" s="12" t="n">
        <v>45</v>
      </c>
      <c r="J1120" s="13" t="n">
        <v>975</v>
      </c>
      <c r="K1120" s="14" t="n">
        <f aca="false">I1120*J1120</f>
        <v>43875</v>
      </c>
      <c r="L1120" s="14" t="n">
        <f aca="false">($L$2*M1120)/100</f>
        <v>600833.25</v>
      </c>
      <c r="M1120" s="15" t="n">
        <v>0.5</v>
      </c>
      <c r="N1120" s="9" t="s">
        <v>26</v>
      </c>
    </row>
    <row r="1121" customFormat="false" ht="14.25" hidden="false" customHeight="true" outlineLevel="0" collapsed="false">
      <c r="B1121" s="9" t="s">
        <v>28</v>
      </c>
      <c r="C1121" s="9" t="n">
        <v>1197831</v>
      </c>
      <c r="D1121" s="10" t="n">
        <v>44448</v>
      </c>
      <c r="E1121" s="9" t="s">
        <v>29</v>
      </c>
      <c r="F1121" s="9" t="s">
        <v>61</v>
      </c>
      <c r="G1121" s="9" t="s">
        <v>62</v>
      </c>
      <c r="H1121" s="11" t="s">
        <v>23</v>
      </c>
      <c r="I1121" s="12" t="n">
        <v>45</v>
      </c>
      <c r="J1121" s="13" t="n">
        <v>575</v>
      </c>
      <c r="K1121" s="14" t="n">
        <f aca="false">I1121*J1121</f>
        <v>25875</v>
      </c>
      <c r="L1121" s="14" t="n">
        <f aca="false">($L$2*M1121)/100</f>
        <v>720999.9</v>
      </c>
      <c r="M1121" s="15" t="n">
        <v>0.6</v>
      </c>
      <c r="N1121" s="9" t="s">
        <v>26</v>
      </c>
    </row>
    <row r="1122" customFormat="false" ht="14.25" hidden="false" customHeight="true" outlineLevel="0" collapsed="false">
      <c r="B1122" s="9" t="s">
        <v>28</v>
      </c>
      <c r="C1122" s="9" t="n">
        <v>1197831</v>
      </c>
      <c r="D1122" s="10" t="n">
        <v>44449</v>
      </c>
      <c r="E1122" s="9" t="s">
        <v>29</v>
      </c>
      <c r="F1122" s="9" t="s">
        <v>61</v>
      </c>
      <c r="G1122" s="9" t="s">
        <v>62</v>
      </c>
      <c r="H1122" s="11" t="s">
        <v>24</v>
      </c>
      <c r="I1122" s="12" t="n">
        <v>50</v>
      </c>
      <c r="J1122" s="13" t="n">
        <v>525</v>
      </c>
      <c r="K1122" s="14" t="n">
        <f aca="false">I1122*J1122</f>
        <v>26250</v>
      </c>
      <c r="L1122" s="14" t="n">
        <f aca="false">($L$2*M1122)/100</f>
        <v>540749.925</v>
      </c>
      <c r="M1122" s="15" t="n">
        <v>0.45</v>
      </c>
      <c r="N1122" s="9" t="s">
        <v>26</v>
      </c>
    </row>
    <row r="1123" customFormat="false" ht="14.25" hidden="false" customHeight="true" outlineLevel="0" collapsed="false">
      <c r="B1123" s="9" t="s">
        <v>28</v>
      </c>
      <c r="C1123" s="9" t="n">
        <v>1197831</v>
      </c>
      <c r="D1123" s="10" t="n">
        <v>44450</v>
      </c>
      <c r="E1123" s="9" t="s">
        <v>29</v>
      </c>
      <c r="F1123" s="9" t="s">
        <v>61</v>
      </c>
      <c r="G1123" s="9" t="s">
        <v>62</v>
      </c>
      <c r="H1123" s="11" t="s">
        <v>25</v>
      </c>
      <c r="I1123" s="12" t="n">
        <v>60</v>
      </c>
      <c r="J1123" s="13" t="n">
        <v>800</v>
      </c>
      <c r="K1123" s="14" t="n">
        <f aca="false">I1123*J1123</f>
        <v>48000</v>
      </c>
      <c r="L1123" s="14" t="n">
        <f aca="false">($L$2*M1123)/100</f>
        <v>781083.225</v>
      </c>
      <c r="M1123" s="15" t="n">
        <v>0.65</v>
      </c>
      <c r="N1123" s="9" t="s">
        <v>26</v>
      </c>
    </row>
    <row r="1124" customFormat="false" ht="14.25" hidden="false" customHeight="true" outlineLevel="0" collapsed="false">
      <c r="B1124" s="9" t="s">
        <v>28</v>
      </c>
      <c r="C1124" s="9" t="n">
        <v>1197831</v>
      </c>
      <c r="D1124" s="10" t="n">
        <v>44451</v>
      </c>
      <c r="E1124" s="9" t="s">
        <v>29</v>
      </c>
      <c r="F1124" s="9" t="s">
        <v>61</v>
      </c>
      <c r="G1124" s="9" t="s">
        <v>62</v>
      </c>
      <c r="H1124" s="11" t="s">
        <v>19</v>
      </c>
      <c r="I1124" s="12" t="n">
        <v>40</v>
      </c>
      <c r="J1124" s="13" t="n">
        <v>750</v>
      </c>
      <c r="K1124" s="14" t="n">
        <f aca="false">I1124*J1124</f>
        <v>30000</v>
      </c>
      <c r="L1124" s="14" t="n">
        <f aca="false">($L$2*M1124)/100</f>
        <v>600833.25</v>
      </c>
      <c r="M1124" s="15" t="n">
        <v>0.5</v>
      </c>
      <c r="N1124" s="9" t="s">
        <v>26</v>
      </c>
    </row>
    <row r="1125" customFormat="false" ht="14.25" hidden="false" customHeight="true" outlineLevel="0" collapsed="false">
      <c r="B1125" s="9" t="s">
        <v>28</v>
      </c>
      <c r="C1125" s="9" t="n">
        <v>1197831</v>
      </c>
      <c r="D1125" s="10" t="n">
        <v>44452</v>
      </c>
      <c r="E1125" s="9" t="s">
        <v>29</v>
      </c>
      <c r="F1125" s="9" t="s">
        <v>61</v>
      </c>
      <c r="G1125" s="9" t="s">
        <v>62</v>
      </c>
      <c r="H1125" s="11" t="s">
        <v>21</v>
      </c>
      <c r="I1125" s="12" t="n">
        <v>55</v>
      </c>
      <c r="J1125" s="13" t="n">
        <v>750</v>
      </c>
      <c r="K1125" s="14" t="n">
        <f aca="false">I1125*J1125</f>
        <v>41250</v>
      </c>
      <c r="L1125" s="14" t="n">
        <f aca="false">($L$2*M1125)/100</f>
        <v>600833.25</v>
      </c>
      <c r="M1125" s="15" t="n">
        <v>0.5</v>
      </c>
      <c r="N1125" s="9" t="s">
        <v>26</v>
      </c>
    </row>
    <row r="1126" customFormat="false" ht="14.25" hidden="false" customHeight="true" outlineLevel="0" collapsed="false">
      <c r="B1126" s="9" t="s">
        <v>28</v>
      </c>
      <c r="C1126" s="9" t="n">
        <v>1197831</v>
      </c>
      <c r="D1126" s="10" t="n">
        <v>44453</v>
      </c>
      <c r="E1126" s="9" t="s">
        <v>29</v>
      </c>
      <c r="F1126" s="9" t="s">
        <v>61</v>
      </c>
      <c r="G1126" s="9" t="s">
        <v>62</v>
      </c>
      <c r="H1126" s="11" t="s">
        <v>22</v>
      </c>
      <c r="I1126" s="12" t="n">
        <v>55</v>
      </c>
      <c r="J1126" s="13" t="n">
        <v>925</v>
      </c>
      <c r="K1126" s="14" t="n">
        <f aca="false">I1126*J1126</f>
        <v>50875</v>
      </c>
      <c r="L1126" s="14" t="n">
        <f aca="false">($L$2*M1126)/100</f>
        <v>600833.25</v>
      </c>
      <c r="M1126" s="15" t="n">
        <v>0.5</v>
      </c>
      <c r="N1126" s="9" t="s">
        <v>26</v>
      </c>
    </row>
    <row r="1127" customFormat="false" ht="14.25" hidden="false" customHeight="true" outlineLevel="0" collapsed="false">
      <c r="B1127" s="9" t="s">
        <v>28</v>
      </c>
      <c r="C1127" s="9" t="n">
        <v>1197831</v>
      </c>
      <c r="D1127" s="10" t="n">
        <v>44454</v>
      </c>
      <c r="E1127" s="9" t="s">
        <v>29</v>
      </c>
      <c r="F1127" s="9" t="s">
        <v>61</v>
      </c>
      <c r="G1127" s="9" t="s">
        <v>62</v>
      </c>
      <c r="H1127" s="11" t="s">
        <v>23</v>
      </c>
      <c r="I1127" s="12" t="n">
        <v>50</v>
      </c>
      <c r="J1127" s="13" t="n">
        <v>425</v>
      </c>
      <c r="K1127" s="14" t="n">
        <f aca="false">I1127*J1127</f>
        <v>21250</v>
      </c>
      <c r="L1127" s="14" t="n">
        <f aca="false">($L$2*M1127)/100</f>
        <v>720999.9</v>
      </c>
      <c r="M1127" s="15" t="n">
        <v>0.6</v>
      </c>
      <c r="N1127" s="9" t="s">
        <v>26</v>
      </c>
    </row>
    <row r="1128" customFormat="false" ht="14.25" hidden="false" customHeight="true" outlineLevel="0" collapsed="false">
      <c r="B1128" s="9" t="s">
        <v>28</v>
      </c>
      <c r="C1128" s="9" t="n">
        <v>1197831</v>
      </c>
      <c r="D1128" s="10" t="n">
        <v>44455</v>
      </c>
      <c r="E1128" s="9" t="s">
        <v>29</v>
      </c>
      <c r="F1128" s="9" t="s">
        <v>61</v>
      </c>
      <c r="G1128" s="9" t="s">
        <v>62</v>
      </c>
      <c r="H1128" s="11" t="s">
        <v>24</v>
      </c>
      <c r="I1128" s="12" t="n">
        <v>55</v>
      </c>
      <c r="J1128" s="13" t="n">
        <v>425</v>
      </c>
      <c r="K1128" s="14" t="n">
        <f aca="false">I1128*J1128</f>
        <v>23375</v>
      </c>
      <c r="L1128" s="14" t="n">
        <f aca="false">($L$2*M1128)/100</f>
        <v>540749.925</v>
      </c>
      <c r="M1128" s="15" t="n">
        <v>0.45</v>
      </c>
      <c r="N1128" s="9" t="s">
        <v>26</v>
      </c>
    </row>
    <row r="1129" customFormat="false" ht="14.25" hidden="false" customHeight="true" outlineLevel="0" collapsed="false">
      <c r="B1129" s="9" t="s">
        <v>28</v>
      </c>
      <c r="C1129" s="9" t="n">
        <v>1197831</v>
      </c>
      <c r="D1129" s="10" t="n">
        <v>44456</v>
      </c>
      <c r="E1129" s="9" t="s">
        <v>29</v>
      </c>
      <c r="F1129" s="9" t="s">
        <v>61</v>
      </c>
      <c r="G1129" s="9" t="s">
        <v>62</v>
      </c>
      <c r="H1129" s="11" t="s">
        <v>25</v>
      </c>
      <c r="I1129" s="12" t="n">
        <v>60</v>
      </c>
      <c r="J1129" s="13" t="n">
        <v>675</v>
      </c>
      <c r="K1129" s="14" t="n">
        <f aca="false">I1129*J1129</f>
        <v>40500</v>
      </c>
      <c r="L1129" s="14" t="n">
        <f aca="false">($L$2*M1129)/100</f>
        <v>781083.225</v>
      </c>
      <c r="M1129" s="15" t="n">
        <v>0.65</v>
      </c>
      <c r="N1129" s="9" t="s">
        <v>26</v>
      </c>
    </row>
    <row r="1130" customFormat="false" ht="14.25" hidden="false" customHeight="true" outlineLevel="0" collapsed="false">
      <c r="B1130" s="9" t="s">
        <v>28</v>
      </c>
      <c r="C1130" s="9" t="n">
        <v>1197831</v>
      </c>
      <c r="D1130" s="10" t="n">
        <v>44457</v>
      </c>
      <c r="E1130" s="9" t="s">
        <v>29</v>
      </c>
      <c r="F1130" s="9" t="s">
        <v>61</v>
      </c>
      <c r="G1130" s="9" t="s">
        <v>62</v>
      </c>
      <c r="H1130" s="11" t="s">
        <v>19</v>
      </c>
      <c r="I1130" s="12" t="n">
        <v>55</v>
      </c>
      <c r="J1130" s="13" t="n">
        <v>625</v>
      </c>
      <c r="K1130" s="14" t="n">
        <f aca="false">I1130*J1130</f>
        <v>34375</v>
      </c>
      <c r="L1130" s="14" t="n">
        <f aca="false">($L$2*M1130)/100</f>
        <v>600833.25</v>
      </c>
      <c r="M1130" s="15" t="n">
        <v>0.5</v>
      </c>
      <c r="N1130" s="9" t="s">
        <v>26</v>
      </c>
    </row>
    <row r="1131" customFormat="false" ht="14.25" hidden="false" customHeight="true" outlineLevel="0" collapsed="false">
      <c r="B1131" s="9" t="s">
        <v>28</v>
      </c>
      <c r="C1131" s="9" t="n">
        <v>1197831</v>
      </c>
      <c r="D1131" s="10" t="n">
        <v>44458</v>
      </c>
      <c r="E1131" s="9" t="s">
        <v>29</v>
      </c>
      <c r="F1131" s="9" t="s">
        <v>61</v>
      </c>
      <c r="G1131" s="9" t="s">
        <v>62</v>
      </c>
      <c r="H1131" s="11" t="s">
        <v>21</v>
      </c>
      <c r="I1131" s="12" t="n">
        <v>55</v>
      </c>
      <c r="J1131" s="13" t="n">
        <v>575</v>
      </c>
      <c r="K1131" s="14" t="n">
        <f aca="false">I1131*J1131</f>
        <v>31625</v>
      </c>
      <c r="L1131" s="14" t="n">
        <f aca="false">($L$2*M1131)/100</f>
        <v>600833.25</v>
      </c>
      <c r="M1131" s="15" t="n">
        <v>0.5</v>
      </c>
      <c r="N1131" s="9" t="s">
        <v>26</v>
      </c>
    </row>
    <row r="1132" customFormat="false" ht="14.25" hidden="false" customHeight="true" outlineLevel="0" collapsed="false">
      <c r="B1132" s="9" t="s">
        <v>28</v>
      </c>
      <c r="C1132" s="9" t="n">
        <v>1197831</v>
      </c>
      <c r="D1132" s="10" t="n">
        <v>44459</v>
      </c>
      <c r="E1132" s="9" t="s">
        <v>29</v>
      </c>
      <c r="F1132" s="9" t="s">
        <v>61</v>
      </c>
      <c r="G1132" s="9" t="s">
        <v>62</v>
      </c>
      <c r="H1132" s="11" t="s">
        <v>22</v>
      </c>
      <c r="I1132" s="12" t="n">
        <v>60</v>
      </c>
      <c r="J1132" s="13" t="n">
        <v>625</v>
      </c>
      <c r="K1132" s="14" t="n">
        <f aca="false">I1132*J1132</f>
        <v>37500</v>
      </c>
      <c r="L1132" s="14" t="n">
        <f aca="false">($L$2*M1132)/100</f>
        <v>600833.25</v>
      </c>
      <c r="M1132" s="15" t="n">
        <v>0.5</v>
      </c>
      <c r="N1132" s="9" t="s">
        <v>26</v>
      </c>
    </row>
    <row r="1133" customFormat="false" ht="14.25" hidden="false" customHeight="true" outlineLevel="0" collapsed="false">
      <c r="B1133" s="9" t="s">
        <v>28</v>
      </c>
      <c r="C1133" s="9" t="n">
        <v>1197831</v>
      </c>
      <c r="D1133" s="10" t="n">
        <v>44460</v>
      </c>
      <c r="E1133" s="9" t="s">
        <v>29</v>
      </c>
      <c r="F1133" s="9" t="s">
        <v>61</v>
      </c>
      <c r="G1133" s="9" t="s">
        <v>62</v>
      </c>
      <c r="H1133" s="11" t="s">
        <v>23</v>
      </c>
      <c r="I1133" s="12" t="n">
        <v>60</v>
      </c>
      <c r="J1133" s="13" t="n">
        <v>350</v>
      </c>
      <c r="K1133" s="14" t="n">
        <f aca="false">I1133*J1133</f>
        <v>21000</v>
      </c>
      <c r="L1133" s="14" t="n">
        <f aca="false">($L$2*M1133)/100</f>
        <v>720999.9</v>
      </c>
      <c r="M1133" s="15" t="n">
        <v>0.6</v>
      </c>
      <c r="N1133" s="9" t="s">
        <v>26</v>
      </c>
    </row>
    <row r="1134" customFormat="false" ht="14.25" hidden="false" customHeight="true" outlineLevel="0" collapsed="false">
      <c r="B1134" s="9" t="s">
        <v>28</v>
      </c>
      <c r="C1134" s="9" t="n">
        <v>1197831</v>
      </c>
      <c r="D1134" s="10" t="n">
        <v>44461</v>
      </c>
      <c r="E1134" s="9" t="s">
        <v>29</v>
      </c>
      <c r="F1134" s="9" t="s">
        <v>61</v>
      </c>
      <c r="G1134" s="9" t="s">
        <v>62</v>
      </c>
      <c r="H1134" s="11" t="s">
        <v>24</v>
      </c>
      <c r="I1134" s="12" t="n">
        <v>45</v>
      </c>
      <c r="J1134" s="13" t="n">
        <v>350</v>
      </c>
      <c r="K1134" s="14" t="n">
        <f aca="false">I1134*J1134</f>
        <v>15750</v>
      </c>
      <c r="L1134" s="14" t="n">
        <f aca="false">($L$2*M1134)/100</f>
        <v>540749.925</v>
      </c>
      <c r="M1134" s="15" t="n">
        <v>0.45</v>
      </c>
      <c r="N1134" s="9" t="s">
        <v>26</v>
      </c>
    </row>
    <row r="1135" customFormat="false" ht="14.25" hidden="false" customHeight="true" outlineLevel="0" collapsed="false">
      <c r="B1135" s="9" t="s">
        <v>28</v>
      </c>
      <c r="C1135" s="9" t="n">
        <v>1197831</v>
      </c>
      <c r="D1135" s="10" t="n">
        <v>44462</v>
      </c>
      <c r="E1135" s="9" t="s">
        <v>29</v>
      </c>
      <c r="F1135" s="9" t="s">
        <v>61</v>
      </c>
      <c r="G1135" s="9" t="s">
        <v>62</v>
      </c>
      <c r="H1135" s="11" t="s">
        <v>25</v>
      </c>
      <c r="I1135" s="12" t="n">
        <v>40</v>
      </c>
      <c r="J1135" s="13" t="n">
        <v>575</v>
      </c>
      <c r="K1135" s="14" t="n">
        <f aca="false">I1135*J1135</f>
        <v>23000</v>
      </c>
      <c r="L1135" s="14" t="n">
        <f aca="false">($L$2*M1135)/100</f>
        <v>781083.225</v>
      </c>
      <c r="M1135" s="15" t="n">
        <v>0.65</v>
      </c>
      <c r="N1135" s="9" t="s">
        <v>26</v>
      </c>
    </row>
    <row r="1136" customFormat="false" ht="14.25" hidden="false" customHeight="true" outlineLevel="0" collapsed="false">
      <c r="B1136" s="9" t="s">
        <v>28</v>
      </c>
      <c r="C1136" s="9" t="n">
        <v>1197831</v>
      </c>
      <c r="D1136" s="10" t="n">
        <v>44463</v>
      </c>
      <c r="E1136" s="9" t="s">
        <v>29</v>
      </c>
      <c r="F1136" s="9" t="s">
        <v>61</v>
      </c>
      <c r="G1136" s="9" t="s">
        <v>62</v>
      </c>
      <c r="H1136" s="11" t="s">
        <v>19</v>
      </c>
      <c r="I1136" s="12" t="n">
        <v>30</v>
      </c>
      <c r="J1136" s="13" t="n">
        <v>525</v>
      </c>
      <c r="K1136" s="14" t="n">
        <f aca="false">I1136*J1136</f>
        <v>15750</v>
      </c>
      <c r="L1136" s="14" t="n">
        <f aca="false">($L$2*M1136)/100</f>
        <v>600833.25</v>
      </c>
      <c r="M1136" s="15" t="n">
        <v>0.5</v>
      </c>
      <c r="N1136" s="9" t="s">
        <v>26</v>
      </c>
    </row>
    <row r="1137" customFormat="false" ht="14.25" hidden="false" customHeight="true" outlineLevel="0" collapsed="false">
      <c r="B1137" s="9" t="s">
        <v>28</v>
      </c>
      <c r="C1137" s="9" t="n">
        <v>1197831</v>
      </c>
      <c r="D1137" s="10" t="n">
        <v>44464</v>
      </c>
      <c r="E1137" s="9" t="s">
        <v>29</v>
      </c>
      <c r="F1137" s="9" t="s">
        <v>61</v>
      </c>
      <c r="G1137" s="9" t="s">
        <v>62</v>
      </c>
      <c r="H1137" s="11" t="s">
        <v>21</v>
      </c>
      <c r="I1137" s="12" t="n">
        <v>30</v>
      </c>
      <c r="J1137" s="13" t="n">
        <v>525</v>
      </c>
      <c r="K1137" s="14" t="n">
        <f aca="false">I1137*J1137</f>
        <v>15750</v>
      </c>
      <c r="L1137" s="14" t="n">
        <f aca="false">($L$2*M1137)/100</f>
        <v>600833.25</v>
      </c>
      <c r="M1137" s="15" t="n">
        <v>0.5</v>
      </c>
      <c r="N1137" s="9" t="s">
        <v>26</v>
      </c>
    </row>
    <row r="1138" customFormat="false" ht="14.25" hidden="false" customHeight="true" outlineLevel="0" collapsed="false">
      <c r="B1138" s="9" t="s">
        <v>28</v>
      </c>
      <c r="C1138" s="9" t="n">
        <v>1197831</v>
      </c>
      <c r="D1138" s="10" t="n">
        <v>44465</v>
      </c>
      <c r="E1138" s="9" t="s">
        <v>29</v>
      </c>
      <c r="F1138" s="9" t="s">
        <v>61</v>
      </c>
      <c r="G1138" s="9" t="s">
        <v>62</v>
      </c>
      <c r="H1138" s="11" t="s">
        <v>22</v>
      </c>
      <c r="I1138" s="12" t="n">
        <v>35</v>
      </c>
      <c r="J1138" s="13" t="n">
        <v>475</v>
      </c>
      <c r="K1138" s="14" t="n">
        <f aca="false">I1138*J1138</f>
        <v>16625</v>
      </c>
      <c r="L1138" s="14" t="n">
        <f aca="false">($L$2*M1138)/100</f>
        <v>600833.25</v>
      </c>
      <c r="M1138" s="15" t="n">
        <v>0.5</v>
      </c>
      <c r="N1138" s="9" t="s">
        <v>26</v>
      </c>
    </row>
    <row r="1139" customFormat="false" ht="14.25" hidden="false" customHeight="true" outlineLevel="0" collapsed="false">
      <c r="B1139" s="9" t="s">
        <v>28</v>
      </c>
      <c r="C1139" s="9" t="n">
        <v>1197831</v>
      </c>
      <c r="D1139" s="10" t="n">
        <v>44466</v>
      </c>
      <c r="E1139" s="9" t="s">
        <v>29</v>
      </c>
      <c r="F1139" s="9" t="s">
        <v>61</v>
      </c>
      <c r="G1139" s="9" t="s">
        <v>62</v>
      </c>
      <c r="H1139" s="11" t="s">
        <v>23</v>
      </c>
      <c r="I1139" s="12" t="n">
        <v>35</v>
      </c>
      <c r="J1139" s="13" t="n">
        <v>325</v>
      </c>
      <c r="K1139" s="14" t="n">
        <f aca="false">I1139*J1139</f>
        <v>11375</v>
      </c>
      <c r="L1139" s="14" t="n">
        <f aca="false">($L$2*M1139)/100</f>
        <v>720999.9</v>
      </c>
      <c r="M1139" s="15" t="n">
        <v>0.6</v>
      </c>
      <c r="N1139" s="9" t="s">
        <v>26</v>
      </c>
    </row>
    <row r="1140" customFormat="false" ht="14.25" hidden="false" customHeight="true" outlineLevel="0" collapsed="false">
      <c r="B1140" s="9" t="s">
        <v>28</v>
      </c>
      <c r="C1140" s="9" t="n">
        <v>1197831</v>
      </c>
      <c r="D1140" s="10" t="n">
        <v>44467</v>
      </c>
      <c r="E1140" s="9" t="s">
        <v>29</v>
      </c>
      <c r="F1140" s="9" t="s">
        <v>61</v>
      </c>
      <c r="G1140" s="9" t="s">
        <v>62</v>
      </c>
      <c r="H1140" s="11" t="s">
        <v>24</v>
      </c>
      <c r="I1140" s="12" t="n">
        <v>30</v>
      </c>
      <c r="J1140" s="13" t="n">
        <v>300</v>
      </c>
      <c r="K1140" s="14" t="n">
        <f aca="false">I1140*J1140</f>
        <v>9000</v>
      </c>
      <c r="L1140" s="14" t="n">
        <f aca="false">($L$2*M1140)/100</f>
        <v>540749.925</v>
      </c>
      <c r="M1140" s="15" t="n">
        <v>0.45</v>
      </c>
      <c r="N1140" s="9" t="s">
        <v>26</v>
      </c>
    </row>
    <row r="1141" customFormat="false" ht="14.25" hidden="false" customHeight="true" outlineLevel="0" collapsed="false">
      <c r="B1141" s="9" t="s">
        <v>28</v>
      </c>
      <c r="C1141" s="9" t="n">
        <v>1197831</v>
      </c>
      <c r="D1141" s="10" t="n">
        <v>44468</v>
      </c>
      <c r="E1141" s="9" t="s">
        <v>29</v>
      </c>
      <c r="F1141" s="9" t="s">
        <v>61</v>
      </c>
      <c r="G1141" s="9" t="s">
        <v>62</v>
      </c>
      <c r="H1141" s="11" t="s">
        <v>25</v>
      </c>
      <c r="I1141" s="12" t="n">
        <v>40</v>
      </c>
      <c r="J1141" s="13" t="n">
        <v>475</v>
      </c>
      <c r="K1141" s="14" t="n">
        <f aca="false">I1141*J1141</f>
        <v>19000</v>
      </c>
      <c r="L1141" s="14" t="n">
        <f aca="false">($L$2*M1141)/100</f>
        <v>781083.225</v>
      </c>
      <c r="M1141" s="15" t="n">
        <v>0.65</v>
      </c>
      <c r="N1141" s="9" t="s">
        <v>26</v>
      </c>
    </row>
    <row r="1142" customFormat="false" ht="14.25" hidden="false" customHeight="true" outlineLevel="0" collapsed="false">
      <c r="B1142" s="9" t="s">
        <v>28</v>
      </c>
      <c r="C1142" s="9" t="n">
        <v>1197831</v>
      </c>
      <c r="D1142" s="10" t="n">
        <v>44469</v>
      </c>
      <c r="E1142" s="9" t="s">
        <v>29</v>
      </c>
      <c r="F1142" s="9" t="s">
        <v>61</v>
      </c>
      <c r="G1142" s="9" t="s">
        <v>62</v>
      </c>
      <c r="H1142" s="11" t="s">
        <v>19</v>
      </c>
      <c r="I1142" s="12" t="n">
        <v>20</v>
      </c>
      <c r="J1142" s="13" t="n">
        <v>625</v>
      </c>
      <c r="K1142" s="14" t="n">
        <f aca="false">I1142*J1142</f>
        <v>12500</v>
      </c>
      <c r="L1142" s="14" t="n">
        <f aca="false">($L$2*M1142)/100</f>
        <v>600833.25</v>
      </c>
      <c r="M1142" s="15" t="n">
        <v>0.5</v>
      </c>
      <c r="N1142" s="9" t="s">
        <v>26</v>
      </c>
    </row>
    <row r="1143" customFormat="false" ht="14.25" hidden="false" customHeight="true" outlineLevel="0" collapsed="false">
      <c r="B1143" s="9" t="s">
        <v>28</v>
      </c>
      <c r="C1143" s="9" t="n">
        <v>1197831</v>
      </c>
      <c r="D1143" s="10" t="n">
        <v>44470</v>
      </c>
      <c r="E1143" s="9" t="s">
        <v>29</v>
      </c>
      <c r="F1143" s="9" t="s">
        <v>61</v>
      </c>
      <c r="G1143" s="9" t="s">
        <v>62</v>
      </c>
      <c r="H1143" s="11" t="s">
        <v>21</v>
      </c>
      <c r="I1143" s="12" t="n">
        <v>20</v>
      </c>
      <c r="J1143" s="13" t="n">
        <v>625</v>
      </c>
      <c r="K1143" s="14" t="n">
        <f aca="false">I1143*J1143</f>
        <v>12500</v>
      </c>
      <c r="L1143" s="14" t="n">
        <f aca="false">($L$2*M1143)/100</f>
        <v>600833.25</v>
      </c>
      <c r="M1143" s="15" t="n">
        <v>0.5</v>
      </c>
      <c r="N1143" s="9" t="s">
        <v>26</v>
      </c>
    </row>
    <row r="1144" customFormat="false" ht="14.25" hidden="false" customHeight="true" outlineLevel="0" collapsed="false">
      <c r="B1144" s="9" t="s">
        <v>28</v>
      </c>
      <c r="C1144" s="9" t="n">
        <v>1197831</v>
      </c>
      <c r="D1144" s="10" t="n">
        <v>44471</v>
      </c>
      <c r="E1144" s="9" t="s">
        <v>29</v>
      </c>
      <c r="F1144" s="9" t="s">
        <v>61</v>
      </c>
      <c r="G1144" s="9" t="s">
        <v>62</v>
      </c>
      <c r="H1144" s="11" t="s">
        <v>22</v>
      </c>
      <c r="I1144" s="12" t="n">
        <v>45</v>
      </c>
      <c r="J1144" s="13" t="n">
        <v>575</v>
      </c>
      <c r="K1144" s="14" t="n">
        <f aca="false">I1144*J1144</f>
        <v>25875</v>
      </c>
      <c r="L1144" s="14" t="n">
        <f aca="false">($L$2*M1144)/100</f>
        <v>600833.25</v>
      </c>
      <c r="M1144" s="15" t="n">
        <v>0.5</v>
      </c>
      <c r="N1144" s="9" t="s">
        <v>26</v>
      </c>
    </row>
    <row r="1145" customFormat="false" ht="14.25" hidden="false" customHeight="true" outlineLevel="0" collapsed="false">
      <c r="B1145" s="9" t="s">
        <v>28</v>
      </c>
      <c r="C1145" s="9" t="n">
        <v>1197831</v>
      </c>
      <c r="D1145" s="10" t="n">
        <v>44472</v>
      </c>
      <c r="E1145" s="9" t="s">
        <v>29</v>
      </c>
      <c r="F1145" s="9" t="s">
        <v>61</v>
      </c>
      <c r="G1145" s="9" t="s">
        <v>62</v>
      </c>
      <c r="H1145" s="11" t="s">
        <v>23</v>
      </c>
      <c r="I1145" s="12" t="n">
        <v>45</v>
      </c>
      <c r="J1145" s="13" t="n">
        <v>450</v>
      </c>
      <c r="K1145" s="14" t="n">
        <f aca="false">I1145*J1145</f>
        <v>20250</v>
      </c>
      <c r="L1145" s="14" t="n">
        <f aca="false">($L$2*M1145)/100</f>
        <v>720999.9</v>
      </c>
      <c r="M1145" s="15" t="n">
        <v>0.6</v>
      </c>
      <c r="N1145" s="9" t="s">
        <v>26</v>
      </c>
    </row>
    <row r="1146" customFormat="false" ht="14.25" hidden="false" customHeight="true" outlineLevel="0" collapsed="false">
      <c r="B1146" s="9" t="s">
        <v>28</v>
      </c>
      <c r="C1146" s="9" t="n">
        <v>1197831</v>
      </c>
      <c r="D1146" s="10" t="n">
        <v>44473</v>
      </c>
      <c r="E1146" s="9" t="s">
        <v>29</v>
      </c>
      <c r="F1146" s="9" t="s">
        <v>61</v>
      </c>
      <c r="G1146" s="9" t="s">
        <v>62</v>
      </c>
      <c r="H1146" s="11" t="s">
        <v>24</v>
      </c>
      <c r="I1146" s="12" t="n">
        <v>50</v>
      </c>
      <c r="J1146" s="13" t="n">
        <v>425</v>
      </c>
      <c r="K1146" s="14" t="n">
        <f aca="false">I1146*J1146</f>
        <v>21250</v>
      </c>
      <c r="L1146" s="14" t="n">
        <f aca="false">($L$2*M1146)/100</f>
        <v>540749.925</v>
      </c>
      <c r="M1146" s="15" t="n">
        <v>0.45</v>
      </c>
      <c r="N1146" s="9" t="s">
        <v>26</v>
      </c>
    </row>
    <row r="1147" customFormat="false" ht="14.25" hidden="false" customHeight="true" outlineLevel="0" collapsed="false">
      <c r="B1147" s="9" t="s">
        <v>28</v>
      </c>
      <c r="C1147" s="9" t="n">
        <v>1197831</v>
      </c>
      <c r="D1147" s="10" t="n">
        <v>44474</v>
      </c>
      <c r="E1147" s="9" t="s">
        <v>29</v>
      </c>
      <c r="F1147" s="9" t="s">
        <v>61</v>
      </c>
      <c r="G1147" s="9" t="s">
        <v>62</v>
      </c>
      <c r="H1147" s="11" t="s">
        <v>25</v>
      </c>
      <c r="I1147" s="12" t="n">
        <v>60</v>
      </c>
      <c r="J1147" s="13" t="n">
        <v>625</v>
      </c>
      <c r="K1147" s="14" t="n">
        <f aca="false">I1147*J1147</f>
        <v>37500</v>
      </c>
      <c r="L1147" s="14" t="n">
        <f aca="false">($L$2*M1147)/100</f>
        <v>781083.225</v>
      </c>
      <c r="M1147" s="15" t="n">
        <v>0.65</v>
      </c>
      <c r="N1147" s="9" t="s">
        <v>26</v>
      </c>
    </row>
    <row r="1148" customFormat="false" ht="14.25" hidden="false" customHeight="true" outlineLevel="0" collapsed="false">
      <c r="B1148" s="9" t="s">
        <v>28</v>
      </c>
      <c r="C1148" s="9" t="n">
        <v>1197831</v>
      </c>
      <c r="D1148" s="10" t="n">
        <v>44475</v>
      </c>
      <c r="E1148" s="9" t="s">
        <v>29</v>
      </c>
      <c r="F1148" s="9" t="s">
        <v>61</v>
      </c>
      <c r="G1148" s="9" t="s">
        <v>62</v>
      </c>
      <c r="H1148" s="11" t="s">
        <v>19</v>
      </c>
      <c r="I1148" s="12" t="n">
        <v>60</v>
      </c>
      <c r="J1148" s="13" t="n">
        <v>775</v>
      </c>
      <c r="K1148" s="14" t="n">
        <f aca="false">I1148*J1148</f>
        <v>46500</v>
      </c>
      <c r="L1148" s="14" t="n">
        <f aca="false">($L$2*M1148)/100</f>
        <v>600833.25</v>
      </c>
      <c r="M1148" s="15" t="n">
        <v>0.5</v>
      </c>
      <c r="N1148" s="9" t="s">
        <v>26</v>
      </c>
    </row>
    <row r="1149" customFormat="false" ht="14.25" hidden="false" customHeight="true" outlineLevel="0" collapsed="false">
      <c r="B1149" s="9" t="s">
        <v>28</v>
      </c>
      <c r="C1149" s="9" t="n">
        <v>1197831</v>
      </c>
      <c r="D1149" s="10" t="n">
        <v>44476</v>
      </c>
      <c r="E1149" s="9" t="s">
        <v>29</v>
      </c>
      <c r="F1149" s="9" t="s">
        <v>61</v>
      </c>
      <c r="G1149" s="9" t="s">
        <v>62</v>
      </c>
      <c r="H1149" s="11" t="s">
        <v>21</v>
      </c>
      <c r="I1149" s="12" t="n">
        <v>60</v>
      </c>
      <c r="J1149" s="13" t="n">
        <v>775</v>
      </c>
      <c r="K1149" s="14" t="n">
        <f aca="false">I1149*J1149</f>
        <v>46500</v>
      </c>
      <c r="L1149" s="14" t="n">
        <f aca="false">($L$2*M1149)/100</f>
        <v>600833.25</v>
      </c>
      <c r="M1149" s="15" t="n">
        <v>0.5</v>
      </c>
      <c r="N1149" s="9" t="s">
        <v>26</v>
      </c>
    </row>
    <row r="1150" customFormat="false" ht="14.25" hidden="false" customHeight="true" outlineLevel="0" collapsed="false">
      <c r="B1150" s="9" t="s">
        <v>28</v>
      </c>
      <c r="C1150" s="9" t="n">
        <v>1197831</v>
      </c>
      <c r="D1150" s="10" t="n">
        <v>44477</v>
      </c>
      <c r="E1150" s="9" t="s">
        <v>29</v>
      </c>
      <c r="F1150" s="9" t="s">
        <v>61</v>
      </c>
      <c r="G1150" s="9" t="s">
        <v>62</v>
      </c>
      <c r="H1150" s="11" t="s">
        <v>22</v>
      </c>
      <c r="I1150" s="12" t="n">
        <v>65</v>
      </c>
      <c r="J1150" s="13" t="n">
        <v>700</v>
      </c>
      <c r="K1150" s="14" t="n">
        <f aca="false">I1150*J1150</f>
        <v>45500</v>
      </c>
      <c r="L1150" s="14" t="n">
        <f aca="false">($L$2*M1150)/100</f>
        <v>600833.25</v>
      </c>
      <c r="M1150" s="15" t="n">
        <v>0.5</v>
      </c>
      <c r="N1150" s="9" t="s">
        <v>26</v>
      </c>
    </row>
    <row r="1151" customFormat="false" ht="14.25" hidden="false" customHeight="true" outlineLevel="0" collapsed="false">
      <c r="B1151" s="9" t="s">
        <v>28</v>
      </c>
      <c r="C1151" s="9" t="n">
        <v>1197831</v>
      </c>
      <c r="D1151" s="10" t="n">
        <v>44478</v>
      </c>
      <c r="E1151" s="9" t="s">
        <v>29</v>
      </c>
      <c r="F1151" s="9" t="s">
        <v>61</v>
      </c>
      <c r="G1151" s="9" t="s">
        <v>62</v>
      </c>
      <c r="H1151" s="11" t="s">
        <v>23</v>
      </c>
      <c r="I1151" s="12" t="n">
        <v>65</v>
      </c>
      <c r="J1151" s="13" t="n">
        <v>550</v>
      </c>
      <c r="K1151" s="14" t="n">
        <f aca="false">I1151*J1151</f>
        <v>35750</v>
      </c>
      <c r="L1151" s="14" t="n">
        <f aca="false">($L$2*M1151)/100</f>
        <v>720999.9</v>
      </c>
      <c r="M1151" s="15" t="n">
        <v>0.6</v>
      </c>
      <c r="N1151" s="9" t="s">
        <v>26</v>
      </c>
    </row>
    <row r="1152" customFormat="false" ht="14.25" hidden="false" customHeight="true" outlineLevel="0" collapsed="false">
      <c r="B1152" s="9" t="s">
        <v>28</v>
      </c>
      <c r="C1152" s="9" t="n">
        <v>1197831</v>
      </c>
      <c r="D1152" s="10" t="n">
        <v>44479</v>
      </c>
      <c r="E1152" s="9" t="s">
        <v>29</v>
      </c>
      <c r="F1152" s="9" t="s">
        <v>61</v>
      </c>
      <c r="G1152" s="9" t="s">
        <v>62</v>
      </c>
      <c r="H1152" s="11" t="s">
        <v>24</v>
      </c>
      <c r="I1152" s="12" t="n">
        <v>60</v>
      </c>
      <c r="J1152" s="13" t="n">
        <v>500</v>
      </c>
      <c r="K1152" s="14" t="n">
        <f aca="false">I1152*J1152</f>
        <v>30000</v>
      </c>
      <c r="L1152" s="14" t="n">
        <f aca="false">($L$2*M1152)/100</f>
        <v>540749.925</v>
      </c>
      <c r="M1152" s="15" t="n">
        <v>0.45</v>
      </c>
      <c r="N1152" s="9" t="s">
        <v>26</v>
      </c>
    </row>
    <row r="1153" customFormat="false" ht="14.25" hidden="false" customHeight="true" outlineLevel="0" collapsed="false">
      <c r="B1153" s="9" t="s">
        <v>28</v>
      </c>
      <c r="C1153" s="9" t="n">
        <v>1197831</v>
      </c>
      <c r="D1153" s="10" t="n">
        <v>44480</v>
      </c>
      <c r="E1153" s="9" t="s">
        <v>29</v>
      </c>
      <c r="F1153" s="9" t="s">
        <v>61</v>
      </c>
      <c r="G1153" s="9" t="s">
        <v>62</v>
      </c>
      <c r="H1153" s="11" t="s">
        <v>25</v>
      </c>
      <c r="I1153" s="12" t="n">
        <v>70</v>
      </c>
      <c r="J1153" s="13" t="n">
        <v>750</v>
      </c>
      <c r="K1153" s="14" t="n">
        <f aca="false">I1153*J1153</f>
        <v>52500</v>
      </c>
      <c r="L1153" s="14" t="n">
        <f aca="false">($L$2*M1153)/100</f>
        <v>781083.225</v>
      </c>
      <c r="M1153" s="15" t="n">
        <v>0.65</v>
      </c>
      <c r="N1153" s="9" t="s">
        <v>26</v>
      </c>
    </row>
    <row r="1154" customFormat="false" ht="14.25" hidden="false" customHeight="true" outlineLevel="0" collapsed="false">
      <c r="B1154" s="9" t="s">
        <v>63</v>
      </c>
      <c r="C1154" s="9" t="n">
        <v>1185732</v>
      </c>
      <c r="D1154" s="10" t="n">
        <v>44481</v>
      </c>
      <c r="E1154" s="9" t="s">
        <v>29</v>
      </c>
      <c r="F1154" s="9" t="s">
        <v>61</v>
      </c>
      <c r="G1154" s="9" t="s">
        <v>62</v>
      </c>
      <c r="H1154" s="11" t="s">
        <v>19</v>
      </c>
      <c r="I1154" s="12" t="n">
        <v>40</v>
      </c>
      <c r="J1154" s="13" t="n">
        <v>450</v>
      </c>
      <c r="K1154" s="14" t="n">
        <f aca="false">I1154*J1154</f>
        <v>18000</v>
      </c>
      <c r="L1154" s="14" t="n">
        <f aca="false">($L$2*M1154)/100</f>
        <v>420583.275</v>
      </c>
      <c r="M1154" s="15" t="n">
        <v>0.35</v>
      </c>
      <c r="N1154" s="9" t="s">
        <v>26</v>
      </c>
    </row>
    <row r="1155" customFormat="false" ht="14.25" hidden="false" customHeight="true" outlineLevel="0" collapsed="false">
      <c r="B1155" s="9" t="s">
        <v>63</v>
      </c>
      <c r="C1155" s="9" t="n">
        <v>1185732</v>
      </c>
      <c r="D1155" s="10" t="n">
        <v>44482</v>
      </c>
      <c r="E1155" s="9" t="s">
        <v>29</v>
      </c>
      <c r="F1155" s="9" t="s">
        <v>61</v>
      </c>
      <c r="G1155" s="9" t="s">
        <v>62</v>
      </c>
      <c r="H1155" s="11" t="s">
        <v>21</v>
      </c>
      <c r="I1155" s="12" t="n">
        <v>40</v>
      </c>
      <c r="J1155" s="13" t="n">
        <v>250</v>
      </c>
      <c r="K1155" s="14" t="n">
        <f aca="false">I1155*J1155</f>
        <v>10000</v>
      </c>
      <c r="L1155" s="14" t="n">
        <f aca="false">($L$2*M1155)/100</f>
        <v>420583.275</v>
      </c>
      <c r="M1155" s="15" t="n">
        <v>0.35</v>
      </c>
      <c r="N1155" s="9" t="s">
        <v>26</v>
      </c>
    </row>
    <row r="1156" customFormat="false" ht="14.25" hidden="false" customHeight="true" outlineLevel="0" collapsed="false">
      <c r="B1156" s="9" t="s">
        <v>63</v>
      </c>
      <c r="C1156" s="9" t="n">
        <v>1185732</v>
      </c>
      <c r="D1156" s="10" t="n">
        <v>44483</v>
      </c>
      <c r="E1156" s="9" t="s">
        <v>29</v>
      </c>
      <c r="F1156" s="9" t="s">
        <v>61</v>
      </c>
      <c r="G1156" s="9" t="s">
        <v>62</v>
      </c>
      <c r="H1156" s="11" t="s">
        <v>22</v>
      </c>
      <c r="I1156" s="12" t="n">
        <v>30</v>
      </c>
      <c r="J1156" s="13" t="n">
        <v>250</v>
      </c>
      <c r="K1156" s="14" t="n">
        <f aca="false">I1156*J1156</f>
        <v>7500</v>
      </c>
      <c r="L1156" s="14" t="n">
        <f aca="false">($L$2*M1156)/100</f>
        <v>480666.6</v>
      </c>
      <c r="M1156" s="15" t="n">
        <v>0.4</v>
      </c>
      <c r="N1156" s="9" t="s">
        <v>26</v>
      </c>
    </row>
    <row r="1157" customFormat="false" ht="14.25" hidden="false" customHeight="true" outlineLevel="0" collapsed="false">
      <c r="B1157" s="9" t="s">
        <v>63</v>
      </c>
      <c r="C1157" s="9" t="n">
        <v>1185732</v>
      </c>
      <c r="D1157" s="10" t="n">
        <v>44484</v>
      </c>
      <c r="E1157" s="9" t="s">
        <v>29</v>
      </c>
      <c r="F1157" s="9" t="s">
        <v>61</v>
      </c>
      <c r="G1157" s="9" t="s">
        <v>62</v>
      </c>
      <c r="H1157" s="11" t="s">
        <v>23</v>
      </c>
      <c r="I1157" s="12" t="n">
        <v>35</v>
      </c>
      <c r="J1157" s="13" t="n">
        <v>100</v>
      </c>
      <c r="K1157" s="14" t="n">
        <f aca="false">I1157*J1157</f>
        <v>3500</v>
      </c>
      <c r="L1157" s="14" t="n">
        <f aca="false">($L$2*M1157)/100</f>
        <v>360499.95</v>
      </c>
      <c r="M1157" s="15" t="n">
        <v>0.3</v>
      </c>
      <c r="N1157" s="9" t="s">
        <v>26</v>
      </c>
    </row>
    <row r="1158" customFormat="false" ht="14.25" hidden="false" customHeight="true" outlineLevel="0" collapsed="false">
      <c r="B1158" s="9" t="s">
        <v>63</v>
      </c>
      <c r="C1158" s="9" t="n">
        <v>1185732</v>
      </c>
      <c r="D1158" s="10" t="n">
        <v>44485</v>
      </c>
      <c r="E1158" s="9" t="s">
        <v>17</v>
      </c>
      <c r="F1158" s="9" t="s">
        <v>64</v>
      </c>
      <c r="G1158" s="9" t="s">
        <v>65</v>
      </c>
      <c r="H1158" s="11" t="s">
        <v>24</v>
      </c>
      <c r="I1158" s="12" t="n">
        <v>50</v>
      </c>
      <c r="J1158" s="13" t="n">
        <v>150</v>
      </c>
      <c r="K1158" s="14" t="n">
        <f aca="false">I1158*J1158</f>
        <v>7500</v>
      </c>
      <c r="L1158" s="14" t="n">
        <f aca="false">($L$2*M1158)/100</f>
        <v>300416.625</v>
      </c>
      <c r="M1158" s="15" t="n">
        <v>0.25</v>
      </c>
      <c r="N1158" s="9" t="s">
        <v>26</v>
      </c>
    </row>
    <row r="1159" customFormat="false" ht="14.25" hidden="false" customHeight="true" outlineLevel="0" collapsed="false">
      <c r="B1159" s="9" t="s">
        <v>63</v>
      </c>
      <c r="C1159" s="9" t="n">
        <v>1185732</v>
      </c>
      <c r="D1159" s="10" t="n">
        <v>44486</v>
      </c>
      <c r="E1159" s="9" t="s">
        <v>17</v>
      </c>
      <c r="F1159" s="9" t="s">
        <v>64</v>
      </c>
      <c r="G1159" s="9" t="s">
        <v>65</v>
      </c>
      <c r="H1159" s="11" t="s">
        <v>25</v>
      </c>
      <c r="I1159" s="12" t="n">
        <v>40</v>
      </c>
      <c r="J1159" s="13" t="n">
        <v>250</v>
      </c>
      <c r="K1159" s="14" t="n">
        <f aca="false">I1159*J1159</f>
        <v>10000</v>
      </c>
      <c r="L1159" s="14" t="n">
        <f aca="false">($L$2*M1159)/100</f>
        <v>480666.6</v>
      </c>
      <c r="M1159" s="15" t="n">
        <v>0.4</v>
      </c>
      <c r="N1159" s="9" t="s">
        <v>26</v>
      </c>
    </row>
    <row r="1160" customFormat="false" ht="14.25" hidden="false" customHeight="true" outlineLevel="0" collapsed="false">
      <c r="B1160" s="9" t="s">
        <v>63</v>
      </c>
      <c r="C1160" s="9" t="n">
        <v>1185732</v>
      </c>
      <c r="D1160" s="10" t="n">
        <v>44487</v>
      </c>
      <c r="E1160" s="9" t="s">
        <v>17</v>
      </c>
      <c r="F1160" s="9" t="s">
        <v>64</v>
      </c>
      <c r="G1160" s="9" t="s">
        <v>65</v>
      </c>
      <c r="H1160" s="11" t="s">
        <v>19</v>
      </c>
      <c r="I1160" s="12" t="n">
        <v>40</v>
      </c>
      <c r="J1160" s="13" t="n">
        <v>500</v>
      </c>
      <c r="K1160" s="14" t="n">
        <f aca="false">I1160*J1160</f>
        <v>20000</v>
      </c>
      <c r="L1160" s="14" t="n">
        <f aca="false">($L$2*M1160)/100</f>
        <v>420583.275</v>
      </c>
      <c r="M1160" s="15" t="n">
        <v>0.35</v>
      </c>
      <c r="N1160" s="9" t="s">
        <v>26</v>
      </c>
    </row>
    <row r="1161" customFormat="false" ht="14.25" hidden="false" customHeight="true" outlineLevel="0" collapsed="false">
      <c r="B1161" s="9" t="s">
        <v>63</v>
      </c>
      <c r="C1161" s="9" t="n">
        <v>1185732</v>
      </c>
      <c r="D1161" s="10" t="n">
        <v>44488</v>
      </c>
      <c r="E1161" s="9" t="s">
        <v>17</v>
      </c>
      <c r="F1161" s="9" t="s">
        <v>64</v>
      </c>
      <c r="G1161" s="9" t="s">
        <v>65</v>
      </c>
      <c r="H1161" s="11" t="s">
        <v>21</v>
      </c>
      <c r="I1161" s="12" t="n">
        <v>40</v>
      </c>
      <c r="J1161" s="13" t="n">
        <v>150</v>
      </c>
      <c r="K1161" s="14" t="n">
        <f aca="false">I1161*J1161</f>
        <v>6000</v>
      </c>
      <c r="L1161" s="14" t="n">
        <f aca="false">($L$2*M1161)/100</f>
        <v>420583.275</v>
      </c>
      <c r="M1161" s="15" t="n">
        <v>0.35</v>
      </c>
      <c r="N1161" s="9" t="s">
        <v>26</v>
      </c>
    </row>
    <row r="1162" customFormat="false" ht="14.25" hidden="false" customHeight="true" outlineLevel="0" collapsed="false">
      <c r="B1162" s="9" t="s">
        <v>63</v>
      </c>
      <c r="C1162" s="9" t="n">
        <v>1185732</v>
      </c>
      <c r="D1162" s="10" t="n">
        <v>44489</v>
      </c>
      <c r="E1162" s="9" t="s">
        <v>17</v>
      </c>
      <c r="F1162" s="9" t="s">
        <v>64</v>
      </c>
      <c r="G1162" s="9" t="s">
        <v>65</v>
      </c>
      <c r="H1162" s="11" t="s">
        <v>22</v>
      </c>
      <c r="I1162" s="12" t="n">
        <v>30</v>
      </c>
      <c r="J1162" s="13" t="n">
        <v>200</v>
      </c>
      <c r="K1162" s="14" t="n">
        <f aca="false">I1162*J1162</f>
        <v>6000</v>
      </c>
      <c r="L1162" s="14" t="n">
        <f aca="false">($L$2*M1162)/100</f>
        <v>480666.6</v>
      </c>
      <c r="M1162" s="15" t="n">
        <v>0.4</v>
      </c>
      <c r="N1162" s="9" t="s">
        <v>26</v>
      </c>
    </row>
    <row r="1163" customFormat="false" ht="14.25" hidden="false" customHeight="true" outlineLevel="0" collapsed="false">
      <c r="B1163" s="9" t="s">
        <v>63</v>
      </c>
      <c r="C1163" s="9" t="n">
        <v>1185732</v>
      </c>
      <c r="D1163" s="10" t="n">
        <v>44490</v>
      </c>
      <c r="E1163" s="9" t="s">
        <v>17</v>
      </c>
      <c r="F1163" s="9" t="s">
        <v>64</v>
      </c>
      <c r="G1163" s="9" t="s">
        <v>65</v>
      </c>
      <c r="H1163" s="11" t="s">
        <v>23</v>
      </c>
      <c r="I1163" s="12" t="n">
        <v>35</v>
      </c>
      <c r="J1163" s="13" t="n">
        <v>75</v>
      </c>
      <c r="K1163" s="14" t="n">
        <f aca="false">I1163*J1163</f>
        <v>2625</v>
      </c>
      <c r="L1163" s="14" t="n">
        <f aca="false">($L$2*M1163)/100</f>
        <v>360499.95</v>
      </c>
      <c r="M1163" s="15" t="n">
        <v>0.3</v>
      </c>
      <c r="N1163" s="9" t="s">
        <v>26</v>
      </c>
    </row>
    <row r="1164" customFormat="false" ht="14.25" hidden="false" customHeight="true" outlineLevel="0" collapsed="false">
      <c r="B1164" s="9" t="s">
        <v>63</v>
      </c>
      <c r="C1164" s="9" t="n">
        <v>1185732</v>
      </c>
      <c r="D1164" s="10" t="n">
        <v>44491</v>
      </c>
      <c r="E1164" s="9" t="s">
        <v>17</v>
      </c>
      <c r="F1164" s="9" t="s">
        <v>64</v>
      </c>
      <c r="G1164" s="9" t="s">
        <v>65</v>
      </c>
      <c r="H1164" s="11" t="s">
        <v>24</v>
      </c>
      <c r="I1164" s="12" t="n">
        <v>50</v>
      </c>
      <c r="J1164" s="13" t="n">
        <v>150</v>
      </c>
      <c r="K1164" s="14" t="n">
        <f aca="false">I1164*J1164</f>
        <v>7500</v>
      </c>
      <c r="L1164" s="14" t="n">
        <f aca="false">($L$2*M1164)/100</f>
        <v>300416.625</v>
      </c>
      <c r="M1164" s="15" t="n">
        <v>0.25</v>
      </c>
      <c r="N1164" s="9" t="s">
        <v>26</v>
      </c>
    </row>
    <row r="1165" customFormat="false" ht="14.25" hidden="false" customHeight="true" outlineLevel="0" collapsed="false">
      <c r="B1165" s="9" t="s">
        <v>63</v>
      </c>
      <c r="C1165" s="9" t="n">
        <v>1185732</v>
      </c>
      <c r="D1165" s="10" t="n">
        <v>44492</v>
      </c>
      <c r="E1165" s="9" t="s">
        <v>17</v>
      </c>
      <c r="F1165" s="9" t="s">
        <v>64</v>
      </c>
      <c r="G1165" s="9" t="s">
        <v>65</v>
      </c>
      <c r="H1165" s="11" t="s">
        <v>25</v>
      </c>
      <c r="I1165" s="12" t="n">
        <v>40</v>
      </c>
      <c r="J1165" s="13" t="n">
        <v>250</v>
      </c>
      <c r="K1165" s="14" t="n">
        <f aca="false">I1165*J1165</f>
        <v>10000</v>
      </c>
      <c r="L1165" s="14" t="n">
        <f aca="false">($L$2*M1165)/100</f>
        <v>480666.6</v>
      </c>
      <c r="M1165" s="15" t="n">
        <v>0.4</v>
      </c>
      <c r="N1165" s="9" t="s">
        <v>26</v>
      </c>
    </row>
    <row r="1166" customFormat="false" ht="14.25" hidden="false" customHeight="true" outlineLevel="0" collapsed="false">
      <c r="B1166" s="9" t="s">
        <v>63</v>
      </c>
      <c r="C1166" s="9" t="n">
        <v>1185732</v>
      </c>
      <c r="D1166" s="10" t="n">
        <v>44493</v>
      </c>
      <c r="E1166" s="9" t="s">
        <v>17</v>
      </c>
      <c r="F1166" s="9" t="s">
        <v>64</v>
      </c>
      <c r="G1166" s="9" t="s">
        <v>65</v>
      </c>
      <c r="H1166" s="11" t="s">
        <v>19</v>
      </c>
      <c r="I1166" s="12" t="n">
        <v>40</v>
      </c>
      <c r="J1166" s="13" t="n">
        <v>470</v>
      </c>
      <c r="K1166" s="14" t="n">
        <f aca="false">I1166*J1166</f>
        <v>18800</v>
      </c>
      <c r="L1166" s="14" t="n">
        <f aca="false">($L$2*M1166)/100</f>
        <v>420583.275</v>
      </c>
      <c r="M1166" s="15" t="n">
        <v>0.35</v>
      </c>
      <c r="N1166" s="9" t="s">
        <v>26</v>
      </c>
    </row>
    <row r="1167" customFormat="false" ht="14.25" hidden="false" customHeight="true" outlineLevel="0" collapsed="false">
      <c r="B1167" s="9" t="s">
        <v>63</v>
      </c>
      <c r="C1167" s="9" t="n">
        <v>1185732</v>
      </c>
      <c r="D1167" s="10" t="n">
        <v>44494</v>
      </c>
      <c r="E1167" s="9" t="s">
        <v>17</v>
      </c>
      <c r="F1167" s="9" t="s">
        <v>64</v>
      </c>
      <c r="G1167" s="9" t="s">
        <v>65</v>
      </c>
      <c r="H1167" s="11" t="s">
        <v>21</v>
      </c>
      <c r="I1167" s="12" t="n">
        <v>40</v>
      </c>
      <c r="J1167" s="13" t="n">
        <v>175</v>
      </c>
      <c r="K1167" s="14" t="n">
        <f aca="false">I1167*J1167</f>
        <v>7000</v>
      </c>
      <c r="L1167" s="14" t="n">
        <f aca="false">($L$2*M1167)/100</f>
        <v>420583.275</v>
      </c>
      <c r="M1167" s="15" t="n">
        <v>0.35</v>
      </c>
      <c r="N1167" s="9" t="s">
        <v>26</v>
      </c>
    </row>
    <row r="1168" customFormat="false" ht="14.25" hidden="false" customHeight="true" outlineLevel="0" collapsed="false">
      <c r="B1168" s="9" t="s">
        <v>63</v>
      </c>
      <c r="C1168" s="9" t="n">
        <v>1185732</v>
      </c>
      <c r="D1168" s="10" t="n">
        <v>44495</v>
      </c>
      <c r="E1168" s="9" t="s">
        <v>17</v>
      </c>
      <c r="F1168" s="9" t="s">
        <v>64</v>
      </c>
      <c r="G1168" s="9" t="s">
        <v>65</v>
      </c>
      <c r="H1168" s="11" t="s">
        <v>22</v>
      </c>
      <c r="I1168" s="12" t="n">
        <v>30</v>
      </c>
      <c r="J1168" s="13" t="n">
        <v>200</v>
      </c>
      <c r="K1168" s="14" t="n">
        <f aca="false">I1168*J1168</f>
        <v>6000</v>
      </c>
      <c r="L1168" s="14" t="n">
        <f aca="false">($L$2*M1168)/100</f>
        <v>480666.6</v>
      </c>
      <c r="M1168" s="15" t="n">
        <v>0.4</v>
      </c>
      <c r="N1168" s="9" t="s">
        <v>26</v>
      </c>
    </row>
    <row r="1169" customFormat="false" ht="14.25" hidden="false" customHeight="true" outlineLevel="0" collapsed="false">
      <c r="B1169" s="9" t="s">
        <v>63</v>
      </c>
      <c r="C1169" s="9" t="n">
        <v>1185732</v>
      </c>
      <c r="D1169" s="10" t="n">
        <v>44496</v>
      </c>
      <c r="E1169" s="9" t="s">
        <v>17</v>
      </c>
      <c r="F1169" s="9" t="s">
        <v>64</v>
      </c>
      <c r="G1169" s="9" t="s">
        <v>65</v>
      </c>
      <c r="H1169" s="11" t="s">
        <v>23</v>
      </c>
      <c r="I1169" s="12" t="n">
        <v>35</v>
      </c>
      <c r="J1169" s="13" t="n">
        <v>50</v>
      </c>
      <c r="K1169" s="14" t="n">
        <f aca="false">I1169*J1169</f>
        <v>1750</v>
      </c>
      <c r="L1169" s="14" t="n">
        <f aca="false">($L$2*M1169)/100</f>
        <v>360499.95</v>
      </c>
      <c r="M1169" s="15" t="n">
        <v>0.3</v>
      </c>
      <c r="N1169" s="9" t="s">
        <v>26</v>
      </c>
    </row>
    <row r="1170" customFormat="false" ht="14.25" hidden="false" customHeight="true" outlineLevel="0" collapsed="false">
      <c r="B1170" s="9" t="s">
        <v>63</v>
      </c>
      <c r="C1170" s="9" t="n">
        <v>1185732</v>
      </c>
      <c r="D1170" s="10" t="n">
        <v>44497</v>
      </c>
      <c r="E1170" s="9" t="s">
        <v>17</v>
      </c>
      <c r="F1170" s="9" t="s">
        <v>64</v>
      </c>
      <c r="G1170" s="9" t="s">
        <v>65</v>
      </c>
      <c r="H1170" s="11" t="s">
        <v>24</v>
      </c>
      <c r="I1170" s="12" t="n">
        <v>50</v>
      </c>
      <c r="J1170" s="13" t="n">
        <v>100</v>
      </c>
      <c r="K1170" s="14" t="n">
        <f aca="false">I1170*J1170</f>
        <v>5000</v>
      </c>
      <c r="L1170" s="14" t="n">
        <f aca="false">($L$2*M1170)/100</f>
        <v>300416.625</v>
      </c>
      <c r="M1170" s="15" t="n">
        <v>0.25</v>
      </c>
      <c r="N1170" s="9" t="s">
        <v>26</v>
      </c>
    </row>
    <row r="1171" customFormat="false" ht="14.25" hidden="false" customHeight="true" outlineLevel="0" collapsed="false">
      <c r="B1171" s="9" t="s">
        <v>63</v>
      </c>
      <c r="C1171" s="9" t="n">
        <v>1185732</v>
      </c>
      <c r="D1171" s="10" t="n">
        <v>44498</v>
      </c>
      <c r="E1171" s="9" t="s">
        <v>17</v>
      </c>
      <c r="F1171" s="9" t="s">
        <v>64</v>
      </c>
      <c r="G1171" s="9" t="s">
        <v>65</v>
      </c>
      <c r="H1171" s="11" t="s">
        <v>25</v>
      </c>
      <c r="I1171" s="12" t="n">
        <v>40</v>
      </c>
      <c r="J1171" s="13" t="n">
        <v>200</v>
      </c>
      <c r="K1171" s="14" t="n">
        <f aca="false">I1171*J1171</f>
        <v>8000</v>
      </c>
      <c r="L1171" s="14" t="n">
        <f aca="false">($L$2*M1171)/100</f>
        <v>480666.6</v>
      </c>
      <c r="M1171" s="15" t="n">
        <v>0.4</v>
      </c>
      <c r="N1171" s="9" t="s">
        <v>26</v>
      </c>
    </row>
    <row r="1172" customFormat="false" ht="14.25" hidden="false" customHeight="true" outlineLevel="0" collapsed="false">
      <c r="B1172" s="9" t="s">
        <v>63</v>
      </c>
      <c r="C1172" s="9" t="n">
        <v>1185732</v>
      </c>
      <c r="D1172" s="10" t="n">
        <v>44499</v>
      </c>
      <c r="E1172" s="9" t="s">
        <v>17</v>
      </c>
      <c r="F1172" s="9" t="s">
        <v>64</v>
      </c>
      <c r="G1172" s="9" t="s">
        <v>65</v>
      </c>
      <c r="H1172" s="11" t="s">
        <v>19</v>
      </c>
      <c r="I1172" s="12" t="n">
        <v>40</v>
      </c>
      <c r="J1172" s="13" t="n">
        <v>450</v>
      </c>
      <c r="K1172" s="14" t="n">
        <f aca="false">I1172*J1172</f>
        <v>18000</v>
      </c>
      <c r="L1172" s="14" t="n">
        <f aca="false">($L$2*M1172)/100</f>
        <v>420583.275</v>
      </c>
      <c r="M1172" s="15" t="n">
        <v>0.35</v>
      </c>
      <c r="N1172" s="9" t="s">
        <v>26</v>
      </c>
    </row>
    <row r="1173" customFormat="false" ht="14.25" hidden="false" customHeight="true" outlineLevel="0" collapsed="false">
      <c r="B1173" s="9" t="s">
        <v>63</v>
      </c>
      <c r="C1173" s="9" t="n">
        <v>1185732</v>
      </c>
      <c r="D1173" s="10" t="n">
        <v>44500</v>
      </c>
      <c r="E1173" s="9" t="s">
        <v>17</v>
      </c>
      <c r="F1173" s="9" t="s">
        <v>64</v>
      </c>
      <c r="G1173" s="9" t="s">
        <v>65</v>
      </c>
      <c r="H1173" s="11" t="s">
        <v>21</v>
      </c>
      <c r="I1173" s="12" t="n">
        <v>40</v>
      </c>
      <c r="J1173" s="13" t="n">
        <v>150</v>
      </c>
      <c r="K1173" s="14" t="n">
        <f aca="false">I1173*J1173</f>
        <v>6000</v>
      </c>
      <c r="L1173" s="14" t="n">
        <f aca="false">($L$2*M1173)/100</f>
        <v>420583.275</v>
      </c>
      <c r="M1173" s="15" t="n">
        <v>0.35</v>
      </c>
      <c r="N1173" s="9" t="s">
        <v>26</v>
      </c>
    </row>
    <row r="1174" customFormat="false" ht="14.25" hidden="false" customHeight="true" outlineLevel="0" collapsed="false">
      <c r="B1174" s="9" t="s">
        <v>63</v>
      </c>
      <c r="C1174" s="9" t="n">
        <v>1185732</v>
      </c>
      <c r="D1174" s="10" t="n">
        <v>44501</v>
      </c>
      <c r="E1174" s="9" t="s">
        <v>17</v>
      </c>
      <c r="F1174" s="9" t="s">
        <v>64</v>
      </c>
      <c r="G1174" s="9" t="s">
        <v>65</v>
      </c>
      <c r="H1174" s="11" t="s">
        <v>22</v>
      </c>
      <c r="I1174" s="12" t="n">
        <v>30</v>
      </c>
      <c r="J1174" s="13" t="n">
        <v>150</v>
      </c>
      <c r="K1174" s="14" t="n">
        <f aca="false">I1174*J1174</f>
        <v>4500</v>
      </c>
      <c r="L1174" s="14" t="n">
        <f aca="false">($L$2*M1174)/100</f>
        <v>480666.6</v>
      </c>
      <c r="M1174" s="15" t="n">
        <v>0.4</v>
      </c>
      <c r="N1174" s="9" t="s">
        <v>26</v>
      </c>
    </row>
    <row r="1175" customFormat="false" ht="14.25" hidden="false" customHeight="true" outlineLevel="0" collapsed="false">
      <c r="B1175" s="9" t="s">
        <v>63</v>
      </c>
      <c r="C1175" s="9" t="n">
        <v>1185732</v>
      </c>
      <c r="D1175" s="10" t="n">
        <v>44502</v>
      </c>
      <c r="E1175" s="9" t="s">
        <v>17</v>
      </c>
      <c r="F1175" s="9" t="s">
        <v>64</v>
      </c>
      <c r="G1175" s="9" t="s">
        <v>65</v>
      </c>
      <c r="H1175" s="11" t="s">
        <v>23</v>
      </c>
      <c r="I1175" s="12" t="n">
        <v>35</v>
      </c>
      <c r="J1175" s="13" t="n">
        <v>75</v>
      </c>
      <c r="K1175" s="14" t="n">
        <f aca="false">I1175*J1175</f>
        <v>2625</v>
      </c>
      <c r="L1175" s="14" t="n">
        <f aca="false">($L$2*M1175)/100</f>
        <v>360499.95</v>
      </c>
      <c r="M1175" s="15" t="n">
        <v>0.3</v>
      </c>
      <c r="N1175" s="9" t="s">
        <v>26</v>
      </c>
    </row>
    <row r="1176" customFormat="false" ht="14.25" hidden="false" customHeight="true" outlineLevel="0" collapsed="false">
      <c r="B1176" s="9" t="s">
        <v>63</v>
      </c>
      <c r="C1176" s="9" t="n">
        <v>1185732</v>
      </c>
      <c r="D1176" s="10" t="n">
        <v>44503</v>
      </c>
      <c r="E1176" s="9" t="s">
        <v>17</v>
      </c>
      <c r="F1176" s="9" t="s">
        <v>64</v>
      </c>
      <c r="G1176" s="9" t="s">
        <v>65</v>
      </c>
      <c r="H1176" s="11" t="s">
        <v>24</v>
      </c>
      <c r="I1176" s="12" t="n">
        <v>50</v>
      </c>
      <c r="J1176" s="13" t="n">
        <v>75</v>
      </c>
      <c r="K1176" s="14" t="n">
        <f aca="false">I1176*J1176</f>
        <v>3750</v>
      </c>
      <c r="L1176" s="14" t="n">
        <f aca="false">($L$2*M1176)/100</f>
        <v>300416.625</v>
      </c>
      <c r="M1176" s="15" t="n">
        <v>0.25</v>
      </c>
      <c r="N1176" s="9" t="s">
        <v>26</v>
      </c>
    </row>
    <row r="1177" customFormat="false" ht="14.25" hidden="false" customHeight="true" outlineLevel="0" collapsed="false">
      <c r="B1177" s="9" t="s">
        <v>63</v>
      </c>
      <c r="C1177" s="9" t="n">
        <v>1185732</v>
      </c>
      <c r="D1177" s="10" t="n">
        <v>44504</v>
      </c>
      <c r="E1177" s="9" t="s">
        <v>17</v>
      </c>
      <c r="F1177" s="9" t="s">
        <v>64</v>
      </c>
      <c r="G1177" s="9" t="s">
        <v>65</v>
      </c>
      <c r="H1177" s="11" t="s">
        <v>25</v>
      </c>
      <c r="I1177" s="12" t="n">
        <v>40</v>
      </c>
      <c r="J1177" s="13" t="n">
        <v>225</v>
      </c>
      <c r="K1177" s="14" t="n">
        <f aca="false">I1177*J1177</f>
        <v>9000</v>
      </c>
      <c r="L1177" s="14" t="n">
        <f aca="false">($L$2*M1177)/100</f>
        <v>480666.6</v>
      </c>
      <c r="M1177" s="15" t="n">
        <v>0.4</v>
      </c>
      <c r="N1177" s="9" t="s">
        <v>26</v>
      </c>
    </row>
    <row r="1178" customFormat="false" ht="14.25" hidden="false" customHeight="true" outlineLevel="0" collapsed="false">
      <c r="B1178" s="9" t="s">
        <v>63</v>
      </c>
      <c r="C1178" s="9" t="n">
        <v>1185732</v>
      </c>
      <c r="D1178" s="10" t="n">
        <v>44505</v>
      </c>
      <c r="E1178" s="9" t="s">
        <v>17</v>
      </c>
      <c r="F1178" s="9" t="s">
        <v>64</v>
      </c>
      <c r="G1178" s="9" t="s">
        <v>65</v>
      </c>
      <c r="H1178" s="11" t="s">
        <v>19</v>
      </c>
      <c r="I1178" s="12" t="n">
        <v>55</v>
      </c>
      <c r="J1178" s="13" t="n">
        <v>495</v>
      </c>
      <c r="K1178" s="14" t="n">
        <f aca="false">I1178*J1178</f>
        <v>27225</v>
      </c>
      <c r="L1178" s="14" t="n">
        <f aca="false">($L$2*M1178)/100</f>
        <v>420583.275</v>
      </c>
      <c r="M1178" s="15" t="n">
        <v>0.35</v>
      </c>
      <c r="N1178" s="9" t="s">
        <v>26</v>
      </c>
    </row>
    <row r="1179" customFormat="false" ht="14.25" hidden="false" customHeight="true" outlineLevel="0" collapsed="false">
      <c r="B1179" s="9" t="s">
        <v>63</v>
      </c>
      <c r="C1179" s="9" t="n">
        <v>1185732</v>
      </c>
      <c r="D1179" s="10" t="n">
        <v>44506</v>
      </c>
      <c r="E1179" s="9" t="s">
        <v>17</v>
      </c>
      <c r="F1179" s="9" t="s">
        <v>64</v>
      </c>
      <c r="G1179" s="9" t="s">
        <v>65</v>
      </c>
      <c r="H1179" s="11" t="s">
        <v>21</v>
      </c>
      <c r="I1179" s="12" t="n">
        <v>50</v>
      </c>
      <c r="J1179" s="13" t="n">
        <v>200</v>
      </c>
      <c r="K1179" s="14" t="n">
        <f aca="false">I1179*J1179</f>
        <v>10000</v>
      </c>
      <c r="L1179" s="14" t="n">
        <f aca="false">($L$2*M1179)/100</f>
        <v>420583.275</v>
      </c>
      <c r="M1179" s="15" t="n">
        <v>0.35</v>
      </c>
      <c r="N1179" s="9" t="s">
        <v>26</v>
      </c>
    </row>
    <row r="1180" customFormat="false" ht="14.25" hidden="false" customHeight="true" outlineLevel="0" collapsed="false">
      <c r="B1180" s="9" t="s">
        <v>63</v>
      </c>
      <c r="C1180" s="9" t="n">
        <v>1185732</v>
      </c>
      <c r="D1180" s="10" t="n">
        <v>44507</v>
      </c>
      <c r="E1180" s="9" t="s">
        <v>17</v>
      </c>
      <c r="F1180" s="9" t="s">
        <v>64</v>
      </c>
      <c r="G1180" s="9" t="s">
        <v>65</v>
      </c>
      <c r="H1180" s="11" t="s">
        <v>22</v>
      </c>
      <c r="I1180" s="12" t="n">
        <v>45</v>
      </c>
      <c r="J1180" s="13" t="n">
        <v>175</v>
      </c>
      <c r="K1180" s="14" t="n">
        <f aca="false">I1180*J1180</f>
        <v>7875</v>
      </c>
      <c r="L1180" s="14" t="n">
        <f aca="false">($L$2*M1180)/100</f>
        <v>480666.6</v>
      </c>
      <c r="M1180" s="15" t="n">
        <v>0.4</v>
      </c>
      <c r="N1180" s="9" t="s">
        <v>26</v>
      </c>
    </row>
    <row r="1181" customFormat="false" ht="14.25" hidden="false" customHeight="true" outlineLevel="0" collapsed="false">
      <c r="B1181" s="9" t="s">
        <v>63</v>
      </c>
      <c r="C1181" s="9" t="n">
        <v>1185732</v>
      </c>
      <c r="D1181" s="10" t="n">
        <v>44508</v>
      </c>
      <c r="E1181" s="9" t="s">
        <v>17</v>
      </c>
      <c r="F1181" s="9" t="s">
        <v>64</v>
      </c>
      <c r="G1181" s="9" t="s">
        <v>65</v>
      </c>
      <c r="H1181" s="11" t="s">
        <v>23</v>
      </c>
      <c r="I1181" s="12" t="n">
        <v>45</v>
      </c>
      <c r="J1181" s="13" t="n">
        <v>125</v>
      </c>
      <c r="K1181" s="14" t="n">
        <f aca="false">I1181*J1181</f>
        <v>5625</v>
      </c>
      <c r="L1181" s="14" t="n">
        <f aca="false">($L$2*M1181)/100</f>
        <v>360499.95</v>
      </c>
      <c r="M1181" s="15" t="n">
        <v>0.3</v>
      </c>
      <c r="N1181" s="9" t="s">
        <v>26</v>
      </c>
    </row>
    <row r="1182" customFormat="false" ht="14.25" hidden="false" customHeight="true" outlineLevel="0" collapsed="false">
      <c r="B1182" s="9" t="s">
        <v>63</v>
      </c>
      <c r="C1182" s="9" t="n">
        <v>1185732</v>
      </c>
      <c r="D1182" s="10" t="n">
        <v>44509</v>
      </c>
      <c r="E1182" s="9" t="s">
        <v>17</v>
      </c>
      <c r="F1182" s="9" t="s">
        <v>64</v>
      </c>
      <c r="G1182" s="9" t="s">
        <v>65</v>
      </c>
      <c r="H1182" s="11" t="s">
        <v>24</v>
      </c>
      <c r="I1182" s="12" t="n">
        <v>55</v>
      </c>
      <c r="J1182" s="13" t="n">
        <v>150</v>
      </c>
      <c r="K1182" s="14" t="n">
        <f aca="false">I1182*J1182</f>
        <v>8250</v>
      </c>
      <c r="L1182" s="14" t="n">
        <f aca="false">($L$2*M1182)/100</f>
        <v>300416.625</v>
      </c>
      <c r="M1182" s="15" t="n">
        <v>0.25</v>
      </c>
      <c r="N1182" s="9" t="s">
        <v>26</v>
      </c>
    </row>
    <row r="1183" customFormat="false" ht="14.25" hidden="false" customHeight="true" outlineLevel="0" collapsed="false">
      <c r="B1183" s="9" t="s">
        <v>63</v>
      </c>
      <c r="C1183" s="9" t="n">
        <v>1185732</v>
      </c>
      <c r="D1183" s="10" t="n">
        <v>44510</v>
      </c>
      <c r="E1183" s="9" t="s">
        <v>17</v>
      </c>
      <c r="F1183" s="9" t="s">
        <v>64</v>
      </c>
      <c r="G1183" s="9" t="s">
        <v>65</v>
      </c>
      <c r="H1183" s="11" t="s">
        <v>25</v>
      </c>
      <c r="I1183" s="12" t="n">
        <v>60</v>
      </c>
      <c r="J1183" s="13" t="n">
        <v>275</v>
      </c>
      <c r="K1183" s="14" t="n">
        <f aca="false">I1183*J1183</f>
        <v>16500</v>
      </c>
      <c r="L1183" s="14" t="n">
        <f aca="false">($L$2*M1183)/100</f>
        <v>480666.6</v>
      </c>
      <c r="M1183" s="15" t="n">
        <v>0.4</v>
      </c>
      <c r="N1183" s="9" t="s">
        <v>26</v>
      </c>
    </row>
    <row r="1184" customFormat="false" ht="14.25" hidden="false" customHeight="true" outlineLevel="0" collapsed="false">
      <c r="B1184" s="9" t="s">
        <v>63</v>
      </c>
      <c r="C1184" s="9" t="n">
        <v>1185732</v>
      </c>
      <c r="D1184" s="10" t="n">
        <v>44511</v>
      </c>
      <c r="E1184" s="9" t="s">
        <v>17</v>
      </c>
      <c r="F1184" s="9" t="s">
        <v>64</v>
      </c>
      <c r="G1184" s="9" t="s">
        <v>65</v>
      </c>
      <c r="H1184" s="11" t="s">
        <v>19</v>
      </c>
      <c r="I1184" s="12" t="n">
        <v>55</v>
      </c>
      <c r="J1184" s="13" t="n">
        <v>525</v>
      </c>
      <c r="K1184" s="14" t="n">
        <f aca="false">I1184*J1184</f>
        <v>28875</v>
      </c>
      <c r="L1184" s="14" t="n">
        <f aca="false">($L$2*M1184)/100</f>
        <v>420583.275</v>
      </c>
      <c r="M1184" s="15" t="n">
        <v>0.35</v>
      </c>
      <c r="N1184" s="9" t="s">
        <v>26</v>
      </c>
    </row>
    <row r="1185" customFormat="false" ht="14.25" hidden="false" customHeight="true" outlineLevel="0" collapsed="false">
      <c r="B1185" s="9" t="s">
        <v>63</v>
      </c>
      <c r="C1185" s="9" t="n">
        <v>1185732</v>
      </c>
      <c r="D1185" s="10" t="n">
        <v>44512</v>
      </c>
      <c r="E1185" s="9" t="s">
        <v>17</v>
      </c>
      <c r="F1185" s="9" t="s">
        <v>64</v>
      </c>
      <c r="G1185" s="9" t="s">
        <v>65</v>
      </c>
      <c r="H1185" s="11" t="s">
        <v>21</v>
      </c>
      <c r="I1185" s="12" t="n">
        <v>50</v>
      </c>
      <c r="J1185" s="13" t="n">
        <v>275</v>
      </c>
      <c r="K1185" s="14" t="n">
        <f aca="false">I1185*J1185</f>
        <v>13750</v>
      </c>
      <c r="L1185" s="14" t="n">
        <f aca="false">($L$2*M1185)/100</f>
        <v>420583.275</v>
      </c>
      <c r="M1185" s="15" t="n">
        <v>0.35</v>
      </c>
      <c r="N1185" s="9" t="s">
        <v>26</v>
      </c>
    </row>
    <row r="1186" customFormat="false" ht="14.25" hidden="false" customHeight="true" outlineLevel="0" collapsed="false">
      <c r="B1186" s="9" t="s">
        <v>63</v>
      </c>
      <c r="C1186" s="9" t="n">
        <v>1185732</v>
      </c>
      <c r="D1186" s="10" t="n">
        <v>44513</v>
      </c>
      <c r="E1186" s="9" t="s">
        <v>17</v>
      </c>
      <c r="F1186" s="9" t="s">
        <v>64</v>
      </c>
      <c r="G1186" s="9" t="s">
        <v>65</v>
      </c>
      <c r="H1186" s="11" t="s">
        <v>22</v>
      </c>
      <c r="I1186" s="12" t="n">
        <v>45</v>
      </c>
      <c r="J1186" s="13" t="n">
        <v>200</v>
      </c>
      <c r="K1186" s="14" t="n">
        <f aca="false">I1186*J1186</f>
        <v>9000</v>
      </c>
      <c r="L1186" s="14" t="n">
        <f aca="false">($L$2*M1186)/100</f>
        <v>480666.6</v>
      </c>
      <c r="M1186" s="15" t="n">
        <v>0.4</v>
      </c>
      <c r="N1186" s="9" t="s">
        <v>26</v>
      </c>
    </row>
    <row r="1187" customFormat="false" ht="14.25" hidden="false" customHeight="true" outlineLevel="0" collapsed="false">
      <c r="B1187" s="9" t="s">
        <v>63</v>
      </c>
      <c r="C1187" s="9" t="n">
        <v>1185732</v>
      </c>
      <c r="D1187" s="10" t="n">
        <v>44514</v>
      </c>
      <c r="E1187" s="9" t="s">
        <v>17</v>
      </c>
      <c r="F1187" s="9" t="s">
        <v>64</v>
      </c>
      <c r="G1187" s="9" t="s">
        <v>65</v>
      </c>
      <c r="H1187" s="11" t="s">
        <v>23</v>
      </c>
      <c r="I1187" s="12" t="n">
        <v>45</v>
      </c>
      <c r="J1187" s="13" t="n">
        <v>175</v>
      </c>
      <c r="K1187" s="14" t="n">
        <f aca="false">I1187*J1187</f>
        <v>7875</v>
      </c>
      <c r="L1187" s="14" t="n">
        <f aca="false">($L$2*M1187)/100</f>
        <v>360499.95</v>
      </c>
      <c r="M1187" s="15" t="n">
        <v>0.3</v>
      </c>
      <c r="N1187" s="9" t="s">
        <v>26</v>
      </c>
    </row>
    <row r="1188" customFormat="false" ht="14.25" hidden="false" customHeight="true" outlineLevel="0" collapsed="false">
      <c r="B1188" s="9" t="s">
        <v>63</v>
      </c>
      <c r="C1188" s="9" t="n">
        <v>1185732</v>
      </c>
      <c r="D1188" s="10" t="n">
        <v>44515</v>
      </c>
      <c r="E1188" s="9" t="s">
        <v>17</v>
      </c>
      <c r="F1188" s="9" t="s">
        <v>64</v>
      </c>
      <c r="G1188" s="9" t="s">
        <v>65</v>
      </c>
      <c r="H1188" s="11" t="s">
        <v>24</v>
      </c>
      <c r="I1188" s="12" t="n">
        <v>55</v>
      </c>
      <c r="J1188" s="13" t="n">
        <v>175</v>
      </c>
      <c r="K1188" s="14" t="n">
        <f aca="false">I1188*J1188</f>
        <v>9625</v>
      </c>
      <c r="L1188" s="14" t="n">
        <f aca="false">($L$2*M1188)/100</f>
        <v>300416.625</v>
      </c>
      <c r="M1188" s="15" t="n">
        <v>0.25</v>
      </c>
      <c r="N1188" s="9" t="s">
        <v>26</v>
      </c>
    </row>
    <row r="1189" customFormat="false" ht="14.25" hidden="false" customHeight="true" outlineLevel="0" collapsed="false">
      <c r="B1189" s="9" t="s">
        <v>63</v>
      </c>
      <c r="C1189" s="9" t="n">
        <v>1185732</v>
      </c>
      <c r="D1189" s="10" t="n">
        <v>44516</v>
      </c>
      <c r="E1189" s="9" t="s">
        <v>17</v>
      </c>
      <c r="F1189" s="9" t="s">
        <v>64</v>
      </c>
      <c r="G1189" s="9" t="s">
        <v>65</v>
      </c>
      <c r="H1189" s="11" t="s">
        <v>25</v>
      </c>
      <c r="I1189" s="12" t="n">
        <v>60</v>
      </c>
      <c r="J1189" s="13" t="n">
        <v>325</v>
      </c>
      <c r="K1189" s="14" t="n">
        <f aca="false">I1189*J1189</f>
        <v>19500</v>
      </c>
      <c r="L1189" s="14" t="n">
        <f aca="false">($L$2*M1189)/100</f>
        <v>480666.6</v>
      </c>
      <c r="M1189" s="15" t="n">
        <v>0.4</v>
      </c>
      <c r="N1189" s="9" t="s">
        <v>26</v>
      </c>
    </row>
    <row r="1190" customFormat="false" ht="14.25" hidden="false" customHeight="true" outlineLevel="0" collapsed="false">
      <c r="B1190" s="9" t="s">
        <v>63</v>
      </c>
      <c r="C1190" s="9" t="n">
        <v>1185732</v>
      </c>
      <c r="D1190" s="10" t="n">
        <v>44517</v>
      </c>
      <c r="E1190" s="9" t="s">
        <v>17</v>
      </c>
      <c r="F1190" s="9" t="s">
        <v>64</v>
      </c>
      <c r="G1190" s="9" t="s">
        <v>65</v>
      </c>
      <c r="H1190" s="11" t="s">
        <v>19</v>
      </c>
      <c r="I1190" s="12" t="n">
        <v>55</v>
      </c>
      <c r="J1190" s="13" t="n">
        <v>550</v>
      </c>
      <c r="K1190" s="14" t="n">
        <f aca="false">I1190*J1190</f>
        <v>30250</v>
      </c>
      <c r="L1190" s="14" t="n">
        <f aca="false">($L$2*M1190)/100</f>
        <v>420583.275</v>
      </c>
      <c r="M1190" s="15" t="n">
        <v>0.35</v>
      </c>
      <c r="N1190" s="9" t="s">
        <v>26</v>
      </c>
    </row>
    <row r="1191" customFormat="false" ht="14.25" hidden="false" customHeight="true" outlineLevel="0" collapsed="false">
      <c r="B1191" s="9" t="s">
        <v>63</v>
      </c>
      <c r="C1191" s="9" t="n">
        <v>1185732</v>
      </c>
      <c r="D1191" s="10" t="n">
        <v>44518</v>
      </c>
      <c r="E1191" s="9" t="s">
        <v>17</v>
      </c>
      <c r="F1191" s="9" t="s">
        <v>64</v>
      </c>
      <c r="G1191" s="9" t="s">
        <v>65</v>
      </c>
      <c r="H1191" s="11" t="s">
        <v>21</v>
      </c>
      <c r="I1191" s="12" t="n">
        <v>50</v>
      </c>
      <c r="J1191" s="13" t="n">
        <v>300</v>
      </c>
      <c r="K1191" s="14" t="n">
        <f aca="false">I1191*J1191</f>
        <v>15000</v>
      </c>
      <c r="L1191" s="14" t="n">
        <f aca="false">($L$2*M1191)/100</f>
        <v>420583.275</v>
      </c>
      <c r="M1191" s="15" t="n">
        <v>0.35</v>
      </c>
      <c r="N1191" s="9" t="s">
        <v>26</v>
      </c>
    </row>
    <row r="1192" customFormat="false" ht="14.25" hidden="false" customHeight="true" outlineLevel="0" collapsed="false">
      <c r="B1192" s="9" t="s">
        <v>63</v>
      </c>
      <c r="C1192" s="9" t="n">
        <v>1185732</v>
      </c>
      <c r="D1192" s="10" t="n">
        <v>44519</v>
      </c>
      <c r="E1192" s="9" t="s">
        <v>17</v>
      </c>
      <c r="F1192" s="9" t="s">
        <v>64</v>
      </c>
      <c r="G1192" s="9" t="s">
        <v>65</v>
      </c>
      <c r="H1192" s="11" t="s">
        <v>22</v>
      </c>
      <c r="I1192" s="12" t="n">
        <v>45</v>
      </c>
      <c r="J1192" s="13" t="n">
        <v>225</v>
      </c>
      <c r="K1192" s="14" t="n">
        <f aca="false">I1192*J1192</f>
        <v>10125</v>
      </c>
      <c r="L1192" s="14" t="n">
        <f aca="false">($L$2*M1192)/100</f>
        <v>480666.6</v>
      </c>
      <c r="M1192" s="15" t="n">
        <v>0.4</v>
      </c>
      <c r="N1192" s="9" t="s">
        <v>26</v>
      </c>
    </row>
    <row r="1193" customFormat="false" ht="14.25" hidden="false" customHeight="true" outlineLevel="0" collapsed="false">
      <c r="B1193" s="9" t="s">
        <v>63</v>
      </c>
      <c r="C1193" s="9" t="n">
        <v>1185732</v>
      </c>
      <c r="D1193" s="10" t="n">
        <v>44520</v>
      </c>
      <c r="E1193" s="9" t="s">
        <v>17</v>
      </c>
      <c r="F1193" s="9" t="s">
        <v>64</v>
      </c>
      <c r="G1193" s="9" t="s">
        <v>65</v>
      </c>
      <c r="H1193" s="11" t="s">
        <v>23</v>
      </c>
      <c r="I1193" s="12" t="n">
        <v>45</v>
      </c>
      <c r="J1193" s="13" t="n">
        <v>175</v>
      </c>
      <c r="K1193" s="14" t="n">
        <f aca="false">I1193*J1193</f>
        <v>7875</v>
      </c>
      <c r="L1193" s="14" t="n">
        <f aca="false">($L$2*M1193)/100</f>
        <v>360499.95</v>
      </c>
      <c r="M1193" s="15" t="n">
        <v>0.3</v>
      </c>
      <c r="N1193" s="9" t="s">
        <v>26</v>
      </c>
    </row>
    <row r="1194" customFormat="false" ht="14.25" hidden="false" customHeight="true" outlineLevel="0" collapsed="false">
      <c r="B1194" s="9" t="s">
        <v>63</v>
      </c>
      <c r="C1194" s="9" t="n">
        <v>1185732</v>
      </c>
      <c r="D1194" s="10" t="n">
        <v>44521</v>
      </c>
      <c r="E1194" s="9" t="s">
        <v>17</v>
      </c>
      <c r="F1194" s="9" t="s">
        <v>64</v>
      </c>
      <c r="G1194" s="9" t="s">
        <v>65</v>
      </c>
      <c r="H1194" s="11" t="s">
        <v>24</v>
      </c>
      <c r="I1194" s="12" t="n">
        <v>55</v>
      </c>
      <c r="J1194" s="13" t="n">
        <v>200</v>
      </c>
      <c r="K1194" s="14" t="n">
        <f aca="false">I1194*J1194</f>
        <v>11000</v>
      </c>
      <c r="L1194" s="14" t="n">
        <f aca="false">($L$2*M1194)/100</f>
        <v>300416.625</v>
      </c>
      <c r="M1194" s="15" t="n">
        <v>0.25</v>
      </c>
      <c r="N1194" s="9" t="s">
        <v>26</v>
      </c>
    </row>
    <row r="1195" customFormat="false" ht="14.25" hidden="false" customHeight="true" outlineLevel="0" collapsed="false">
      <c r="B1195" s="9" t="s">
        <v>63</v>
      </c>
      <c r="C1195" s="9" t="n">
        <v>1185732</v>
      </c>
      <c r="D1195" s="10" t="n">
        <v>44550</v>
      </c>
      <c r="E1195" s="9" t="s">
        <v>17</v>
      </c>
      <c r="F1195" s="9" t="s">
        <v>64</v>
      </c>
      <c r="G1195" s="9" t="s">
        <v>65</v>
      </c>
      <c r="H1195" s="11" t="s">
        <v>25</v>
      </c>
      <c r="I1195" s="12" t="n">
        <v>60</v>
      </c>
      <c r="J1195" s="13" t="n">
        <v>375</v>
      </c>
      <c r="K1195" s="14" t="n">
        <f aca="false">I1195*J1195</f>
        <v>22500</v>
      </c>
      <c r="L1195" s="14" t="n">
        <f aca="false">($L$2*M1195)/100</f>
        <v>480666.6</v>
      </c>
      <c r="M1195" s="15" t="n">
        <v>0.4</v>
      </c>
      <c r="N1195" s="9" t="s">
        <v>26</v>
      </c>
    </row>
    <row r="1196" customFormat="false" ht="14.25" hidden="false" customHeight="true" outlineLevel="0" collapsed="false">
      <c r="B1196" s="9" t="s">
        <v>63</v>
      </c>
      <c r="C1196" s="9" t="n">
        <v>1185732</v>
      </c>
      <c r="D1196" s="10" t="n">
        <v>44551</v>
      </c>
      <c r="E1196" s="9" t="s">
        <v>17</v>
      </c>
      <c r="F1196" s="9" t="s">
        <v>64</v>
      </c>
      <c r="G1196" s="9" t="s">
        <v>65</v>
      </c>
      <c r="H1196" s="11" t="s">
        <v>19</v>
      </c>
      <c r="I1196" s="12" t="n">
        <v>55</v>
      </c>
      <c r="J1196" s="13" t="n">
        <v>525</v>
      </c>
      <c r="K1196" s="14" t="n">
        <f aca="false">I1196*J1196</f>
        <v>28875</v>
      </c>
      <c r="L1196" s="14" t="n">
        <f aca="false">($L$2*M1196)/100</f>
        <v>420583.275</v>
      </c>
      <c r="M1196" s="15" t="n">
        <v>0.35</v>
      </c>
      <c r="N1196" s="9" t="s">
        <v>26</v>
      </c>
    </row>
    <row r="1197" customFormat="false" ht="14.25" hidden="false" customHeight="true" outlineLevel="0" collapsed="false">
      <c r="B1197" s="9" t="s">
        <v>63</v>
      </c>
      <c r="C1197" s="9" t="n">
        <v>1185732</v>
      </c>
      <c r="D1197" s="10" t="n">
        <v>44552</v>
      </c>
      <c r="E1197" s="9" t="s">
        <v>17</v>
      </c>
      <c r="F1197" s="9" t="s">
        <v>64</v>
      </c>
      <c r="G1197" s="9" t="s">
        <v>65</v>
      </c>
      <c r="H1197" s="11" t="s">
        <v>21</v>
      </c>
      <c r="I1197" s="12" t="n">
        <v>50</v>
      </c>
      <c r="J1197" s="13" t="n">
        <v>300</v>
      </c>
      <c r="K1197" s="14" t="n">
        <f aca="false">I1197*J1197</f>
        <v>15000</v>
      </c>
      <c r="L1197" s="14" t="n">
        <f aca="false">($L$2*M1197)/100</f>
        <v>420583.275</v>
      </c>
      <c r="M1197" s="15" t="n">
        <v>0.35</v>
      </c>
      <c r="N1197" s="9" t="s">
        <v>26</v>
      </c>
    </row>
    <row r="1198" customFormat="false" ht="14.25" hidden="false" customHeight="true" outlineLevel="0" collapsed="false">
      <c r="B1198" s="9" t="s">
        <v>63</v>
      </c>
      <c r="C1198" s="9" t="n">
        <v>1185732</v>
      </c>
      <c r="D1198" s="10" t="n">
        <v>44553</v>
      </c>
      <c r="E1198" s="9" t="s">
        <v>17</v>
      </c>
      <c r="F1198" s="9" t="s">
        <v>64</v>
      </c>
      <c r="G1198" s="9" t="s">
        <v>65</v>
      </c>
      <c r="H1198" s="11" t="s">
        <v>22</v>
      </c>
      <c r="I1198" s="12" t="n">
        <v>45</v>
      </c>
      <c r="J1198" s="13" t="n">
        <v>225</v>
      </c>
      <c r="K1198" s="14" t="n">
        <f aca="false">I1198*J1198</f>
        <v>10125</v>
      </c>
      <c r="L1198" s="14" t="n">
        <f aca="false">($L$2*M1198)/100</f>
        <v>480666.6</v>
      </c>
      <c r="M1198" s="15" t="n">
        <v>0.4</v>
      </c>
      <c r="N1198" s="9" t="s">
        <v>26</v>
      </c>
    </row>
    <row r="1199" customFormat="false" ht="14.25" hidden="false" customHeight="true" outlineLevel="0" collapsed="false">
      <c r="B1199" s="9" t="s">
        <v>63</v>
      </c>
      <c r="C1199" s="9" t="n">
        <v>1185732</v>
      </c>
      <c r="D1199" s="10" t="n">
        <v>44554</v>
      </c>
      <c r="E1199" s="9" t="s">
        <v>17</v>
      </c>
      <c r="F1199" s="9" t="s">
        <v>64</v>
      </c>
      <c r="G1199" s="9" t="s">
        <v>65</v>
      </c>
      <c r="H1199" s="11" t="s">
        <v>23</v>
      </c>
      <c r="I1199" s="12" t="n">
        <v>45</v>
      </c>
      <c r="J1199" s="13" t="n">
        <v>175</v>
      </c>
      <c r="K1199" s="14" t="n">
        <f aca="false">I1199*J1199</f>
        <v>7875</v>
      </c>
      <c r="L1199" s="14" t="n">
        <f aca="false">($L$2*M1199)/100</f>
        <v>360499.95</v>
      </c>
      <c r="M1199" s="15" t="n">
        <v>0.3</v>
      </c>
      <c r="N1199" s="9" t="s">
        <v>26</v>
      </c>
    </row>
    <row r="1200" customFormat="false" ht="14.25" hidden="false" customHeight="true" outlineLevel="0" collapsed="false">
      <c r="B1200" s="9" t="s">
        <v>63</v>
      </c>
      <c r="C1200" s="9" t="n">
        <v>1185732</v>
      </c>
      <c r="D1200" s="10" t="n">
        <v>44555</v>
      </c>
      <c r="E1200" s="9" t="s">
        <v>17</v>
      </c>
      <c r="F1200" s="9" t="s">
        <v>64</v>
      </c>
      <c r="G1200" s="9" t="s">
        <v>65</v>
      </c>
      <c r="H1200" s="11" t="s">
        <v>24</v>
      </c>
      <c r="I1200" s="12" t="n">
        <v>55</v>
      </c>
      <c r="J1200" s="13" t="n">
        <v>150</v>
      </c>
      <c r="K1200" s="14" t="n">
        <f aca="false">I1200*J1200</f>
        <v>8250</v>
      </c>
      <c r="L1200" s="14" t="n">
        <f aca="false">($L$2*M1200)/100</f>
        <v>300416.625</v>
      </c>
      <c r="M1200" s="15" t="n">
        <v>0.25</v>
      </c>
      <c r="N1200" s="9" t="s">
        <v>26</v>
      </c>
    </row>
    <row r="1201" customFormat="false" ht="14.25" hidden="false" customHeight="true" outlineLevel="0" collapsed="false">
      <c r="B1201" s="9" t="s">
        <v>63</v>
      </c>
      <c r="C1201" s="9" t="n">
        <v>1185732</v>
      </c>
      <c r="D1201" s="10" t="n">
        <v>44556</v>
      </c>
      <c r="E1201" s="9" t="s">
        <v>17</v>
      </c>
      <c r="F1201" s="9" t="s">
        <v>64</v>
      </c>
      <c r="G1201" s="9" t="s">
        <v>65</v>
      </c>
      <c r="H1201" s="11" t="s">
        <v>25</v>
      </c>
      <c r="I1201" s="12" t="n">
        <v>60</v>
      </c>
      <c r="J1201" s="13" t="n">
        <v>325</v>
      </c>
      <c r="K1201" s="14" t="n">
        <f aca="false">I1201*J1201</f>
        <v>19500</v>
      </c>
      <c r="L1201" s="14" t="n">
        <f aca="false">($L$2*M1201)/100</f>
        <v>480666.6</v>
      </c>
      <c r="M1201" s="15" t="n">
        <v>0.4</v>
      </c>
      <c r="N1201" s="9" t="s">
        <v>26</v>
      </c>
    </row>
    <row r="1202" customFormat="false" ht="14.25" hidden="false" customHeight="true" outlineLevel="0" collapsed="false">
      <c r="B1202" s="9" t="s">
        <v>63</v>
      </c>
      <c r="C1202" s="9" t="n">
        <v>1185732</v>
      </c>
      <c r="D1202" s="10" t="n">
        <v>44557</v>
      </c>
      <c r="E1202" s="9" t="s">
        <v>17</v>
      </c>
      <c r="F1202" s="9" t="s">
        <v>64</v>
      </c>
      <c r="G1202" s="9" t="s">
        <v>65</v>
      </c>
      <c r="H1202" s="11" t="s">
        <v>19</v>
      </c>
      <c r="I1202" s="12" t="n">
        <v>55</v>
      </c>
      <c r="J1202" s="13" t="n">
        <v>450</v>
      </c>
      <c r="K1202" s="14" t="n">
        <f aca="false">I1202*J1202</f>
        <v>24750</v>
      </c>
      <c r="L1202" s="14" t="n">
        <f aca="false">($L$2*M1202)/100</f>
        <v>420583.275</v>
      </c>
      <c r="M1202" s="15" t="n">
        <v>0.35</v>
      </c>
      <c r="N1202" s="9" t="s">
        <v>26</v>
      </c>
    </row>
    <row r="1203" customFormat="false" ht="14.25" hidden="false" customHeight="true" outlineLevel="0" collapsed="false">
      <c r="B1203" s="9" t="s">
        <v>63</v>
      </c>
      <c r="C1203" s="9" t="n">
        <v>1185732</v>
      </c>
      <c r="D1203" s="10" t="n">
        <v>44558</v>
      </c>
      <c r="E1203" s="9" t="s">
        <v>17</v>
      </c>
      <c r="F1203" s="9" t="s">
        <v>64</v>
      </c>
      <c r="G1203" s="9" t="s">
        <v>65</v>
      </c>
      <c r="H1203" s="11" t="s">
        <v>21</v>
      </c>
      <c r="I1203" s="12" t="n">
        <v>50</v>
      </c>
      <c r="J1203" s="13" t="n">
        <v>250</v>
      </c>
      <c r="K1203" s="14" t="n">
        <f aca="false">I1203*J1203</f>
        <v>12500</v>
      </c>
      <c r="L1203" s="14" t="n">
        <f aca="false">($L$2*M1203)/100</f>
        <v>420583.275</v>
      </c>
      <c r="M1203" s="15" t="n">
        <v>0.35</v>
      </c>
      <c r="N1203" s="9" t="s">
        <v>26</v>
      </c>
    </row>
    <row r="1204" customFormat="false" ht="14.25" hidden="false" customHeight="true" outlineLevel="0" collapsed="false">
      <c r="B1204" s="9" t="s">
        <v>63</v>
      </c>
      <c r="C1204" s="9" t="n">
        <v>1185732</v>
      </c>
      <c r="D1204" s="10" t="n">
        <v>44559</v>
      </c>
      <c r="E1204" s="9" t="s">
        <v>17</v>
      </c>
      <c r="F1204" s="9" t="s">
        <v>64</v>
      </c>
      <c r="G1204" s="9" t="s">
        <v>65</v>
      </c>
      <c r="H1204" s="11" t="s">
        <v>22</v>
      </c>
      <c r="I1204" s="12" t="n">
        <v>45</v>
      </c>
      <c r="J1204" s="13" t="n">
        <v>150</v>
      </c>
      <c r="K1204" s="14" t="n">
        <f aca="false">I1204*J1204</f>
        <v>6750</v>
      </c>
      <c r="L1204" s="14" t="n">
        <f aca="false">($L$2*M1204)/100</f>
        <v>480666.6</v>
      </c>
      <c r="M1204" s="15" t="n">
        <v>0.4</v>
      </c>
      <c r="N1204" s="9" t="s">
        <v>26</v>
      </c>
    </row>
    <row r="1205" customFormat="false" ht="14.25" hidden="false" customHeight="true" outlineLevel="0" collapsed="false">
      <c r="B1205" s="9" t="s">
        <v>63</v>
      </c>
      <c r="C1205" s="9" t="n">
        <v>1185732</v>
      </c>
      <c r="D1205" s="10" t="n">
        <v>44560</v>
      </c>
      <c r="E1205" s="9" t="s">
        <v>17</v>
      </c>
      <c r="F1205" s="9" t="s">
        <v>64</v>
      </c>
      <c r="G1205" s="9" t="s">
        <v>65</v>
      </c>
      <c r="H1205" s="11" t="s">
        <v>23</v>
      </c>
      <c r="I1205" s="12" t="n">
        <v>45</v>
      </c>
      <c r="J1205" s="13" t="n">
        <v>125</v>
      </c>
      <c r="K1205" s="14" t="n">
        <f aca="false">I1205*J1205</f>
        <v>5625</v>
      </c>
      <c r="L1205" s="14" t="n">
        <f aca="false">($L$2*M1205)/100</f>
        <v>360499.95</v>
      </c>
      <c r="M1205" s="15" t="n">
        <v>0.3</v>
      </c>
      <c r="N1205" s="9" t="s">
        <v>26</v>
      </c>
    </row>
    <row r="1206" customFormat="false" ht="14.25" hidden="false" customHeight="true" outlineLevel="0" collapsed="false">
      <c r="B1206" s="9" t="s">
        <v>63</v>
      </c>
      <c r="C1206" s="9" t="n">
        <v>1185732</v>
      </c>
      <c r="D1206" s="10" t="n">
        <v>44561</v>
      </c>
      <c r="E1206" s="9" t="s">
        <v>17</v>
      </c>
      <c r="F1206" s="9" t="s">
        <v>64</v>
      </c>
      <c r="G1206" s="9" t="s">
        <v>65</v>
      </c>
      <c r="H1206" s="11" t="s">
        <v>24</v>
      </c>
      <c r="I1206" s="12" t="n">
        <v>55</v>
      </c>
      <c r="J1206" s="13" t="n">
        <v>125</v>
      </c>
      <c r="K1206" s="14" t="n">
        <f aca="false">I1206*J1206</f>
        <v>6875</v>
      </c>
      <c r="L1206" s="14" t="n">
        <f aca="false">($L$2*M1206)/100</f>
        <v>300416.625</v>
      </c>
      <c r="M1206" s="15" t="n">
        <v>0.25</v>
      </c>
      <c r="N1206" s="9" t="s">
        <v>26</v>
      </c>
    </row>
    <row r="1207" customFormat="false" ht="14.25" hidden="false" customHeight="true" outlineLevel="0" collapsed="false">
      <c r="B1207" s="9" t="s">
        <v>63</v>
      </c>
      <c r="C1207" s="9" t="n">
        <v>1185732</v>
      </c>
      <c r="D1207" s="10" t="n">
        <v>44456</v>
      </c>
      <c r="E1207" s="9" t="s">
        <v>17</v>
      </c>
      <c r="F1207" s="9" t="s">
        <v>64</v>
      </c>
      <c r="G1207" s="9" t="s">
        <v>65</v>
      </c>
      <c r="H1207" s="11" t="s">
        <v>25</v>
      </c>
      <c r="I1207" s="12" t="n">
        <v>60</v>
      </c>
      <c r="J1207" s="13" t="n">
        <v>225</v>
      </c>
      <c r="K1207" s="14" t="n">
        <f aca="false">I1207*J1207</f>
        <v>13500</v>
      </c>
      <c r="L1207" s="14" t="n">
        <f aca="false">($L$2*M1207)/100</f>
        <v>480666.6</v>
      </c>
      <c r="M1207" s="15" t="n">
        <v>0.4</v>
      </c>
      <c r="N1207" s="9" t="s">
        <v>26</v>
      </c>
    </row>
    <row r="1208" customFormat="false" ht="14.25" hidden="false" customHeight="true" outlineLevel="0" collapsed="false">
      <c r="B1208" s="9" t="s">
        <v>63</v>
      </c>
      <c r="C1208" s="9" t="n">
        <v>1185732</v>
      </c>
      <c r="D1208" s="10" t="n">
        <v>44488</v>
      </c>
      <c r="E1208" s="9" t="s">
        <v>17</v>
      </c>
      <c r="F1208" s="9" t="s">
        <v>64</v>
      </c>
      <c r="G1208" s="9" t="s">
        <v>65</v>
      </c>
      <c r="H1208" s="11" t="s">
        <v>19</v>
      </c>
      <c r="I1208" s="12" t="n">
        <v>60</v>
      </c>
      <c r="J1208" s="13" t="n">
        <v>400</v>
      </c>
      <c r="K1208" s="14" t="n">
        <f aca="false">I1208*J1208</f>
        <v>24000</v>
      </c>
      <c r="L1208" s="14" t="n">
        <f aca="false">($L$2*M1208)/100</f>
        <v>420583.275</v>
      </c>
      <c r="M1208" s="15" t="n">
        <v>0.35</v>
      </c>
      <c r="N1208" s="9" t="s">
        <v>26</v>
      </c>
    </row>
    <row r="1209" customFormat="false" ht="14.25" hidden="false" customHeight="true" outlineLevel="0" collapsed="false">
      <c r="B1209" s="9" t="s">
        <v>63</v>
      </c>
      <c r="C1209" s="9" t="n">
        <v>1185732</v>
      </c>
      <c r="D1209" s="10" t="n">
        <v>44488</v>
      </c>
      <c r="E1209" s="9" t="s">
        <v>17</v>
      </c>
      <c r="F1209" s="9" t="s">
        <v>64</v>
      </c>
      <c r="G1209" s="9" t="s">
        <v>65</v>
      </c>
      <c r="H1209" s="11" t="s">
        <v>21</v>
      </c>
      <c r="I1209" s="12" t="n">
        <v>55</v>
      </c>
      <c r="J1209" s="13" t="n">
        <v>225</v>
      </c>
      <c r="K1209" s="14" t="n">
        <f aca="false">I1209*J1209</f>
        <v>12375</v>
      </c>
      <c r="L1209" s="14" t="n">
        <f aca="false">($L$2*M1209)/100</f>
        <v>420583.275</v>
      </c>
      <c r="M1209" s="15" t="n">
        <v>0.35</v>
      </c>
      <c r="N1209" s="9" t="s">
        <v>26</v>
      </c>
    </row>
    <row r="1210" customFormat="false" ht="14.25" hidden="false" customHeight="true" outlineLevel="0" collapsed="false">
      <c r="B1210" s="9" t="s">
        <v>63</v>
      </c>
      <c r="C1210" s="9" t="n">
        <v>1185732</v>
      </c>
      <c r="D1210" s="10" t="n">
        <v>44488</v>
      </c>
      <c r="E1210" s="9" t="s">
        <v>17</v>
      </c>
      <c r="F1210" s="9" t="s">
        <v>64</v>
      </c>
      <c r="G1210" s="9" t="s">
        <v>65</v>
      </c>
      <c r="H1210" s="11" t="s">
        <v>22</v>
      </c>
      <c r="I1210" s="12" t="n">
        <v>55</v>
      </c>
      <c r="J1210" s="13" t="n">
        <v>125</v>
      </c>
      <c r="K1210" s="14" t="n">
        <f aca="false">I1210*J1210</f>
        <v>6875</v>
      </c>
      <c r="L1210" s="14" t="n">
        <f aca="false">($L$2*M1210)/100</f>
        <v>480666.6</v>
      </c>
      <c r="M1210" s="15" t="n">
        <v>0.4</v>
      </c>
      <c r="N1210" s="9" t="s">
        <v>26</v>
      </c>
    </row>
    <row r="1211" customFormat="false" ht="14.25" hidden="false" customHeight="true" outlineLevel="0" collapsed="false">
      <c r="B1211" s="9" t="s">
        <v>63</v>
      </c>
      <c r="C1211" s="9" t="n">
        <v>1185732</v>
      </c>
      <c r="D1211" s="10" t="n">
        <v>44488</v>
      </c>
      <c r="E1211" s="9" t="s">
        <v>17</v>
      </c>
      <c r="F1211" s="9" t="s">
        <v>64</v>
      </c>
      <c r="G1211" s="9" t="s">
        <v>65</v>
      </c>
      <c r="H1211" s="11" t="s">
        <v>23</v>
      </c>
      <c r="I1211" s="12" t="n">
        <v>55</v>
      </c>
      <c r="J1211" s="13" t="n">
        <v>100</v>
      </c>
      <c r="K1211" s="14" t="n">
        <f aca="false">I1211*J1211</f>
        <v>5500</v>
      </c>
      <c r="L1211" s="14" t="n">
        <f aca="false">($L$2*M1211)/100</f>
        <v>360499.95</v>
      </c>
      <c r="M1211" s="15" t="n">
        <v>0.3</v>
      </c>
      <c r="N1211" s="9" t="s">
        <v>26</v>
      </c>
    </row>
    <row r="1212" customFormat="false" ht="14.25" hidden="false" customHeight="true" outlineLevel="0" collapsed="false">
      <c r="B1212" s="9" t="s">
        <v>63</v>
      </c>
      <c r="C1212" s="9" t="n">
        <v>1185732</v>
      </c>
      <c r="D1212" s="10" t="n">
        <v>44488</v>
      </c>
      <c r="E1212" s="9" t="s">
        <v>17</v>
      </c>
      <c r="F1212" s="9" t="s">
        <v>64</v>
      </c>
      <c r="G1212" s="9" t="s">
        <v>65</v>
      </c>
      <c r="H1212" s="11" t="s">
        <v>24</v>
      </c>
      <c r="I1212" s="12" t="n">
        <v>65</v>
      </c>
      <c r="J1212" s="13" t="n">
        <v>100</v>
      </c>
      <c r="K1212" s="14" t="n">
        <f aca="false">I1212*J1212</f>
        <v>6500</v>
      </c>
      <c r="L1212" s="14" t="n">
        <f aca="false">($L$2*M1212)/100</f>
        <v>300416.625</v>
      </c>
      <c r="M1212" s="15" t="n">
        <v>0.25</v>
      </c>
      <c r="N1212" s="9" t="s">
        <v>26</v>
      </c>
    </row>
    <row r="1213" customFormat="false" ht="14.25" hidden="false" customHeight="true" outlineLevel="0" collapsed="false">
      <c r="B1213" s="9" t="s">
        <v>63</v>
      </c>
      <c r="C1213" s="9" t="n">
        <v>1185732</v>
      </c>
      <c r="D1213" s="10" t="n">
        <v>44488</v>
      </c>
      <c r="E1213" s="9" t="s">
        <v>17</v>
      </c>
      <c r="F1213" s="9" t="s">
        <v>64</v>
      </c>
      <c r="G1213" s="9" t="s">
        <v>65</v>
      </c>
      <c r="H1213" s="11" t="s">
        <v>25</v>
      </c>
      <c r="I1213" s="12" t="n">
        <v>70</v>
      </c>
      <c r="J1213" s="13" t="n">
        <v>225</v>
      </c>
      <c r="K1213" s="14" t="n">
        <f aca="false">I1213*J1213</f>
        <v>15750</v>
      </c>
      <c r="L1213" s="14" t="n">
        <f aca="false">($L$2*M1213)/100</f>
        <v>480666.6</v>
      </c>
      <c r="M1213" s="15" t="n">
        <v>0.4</v>
      </c>
      <c r="N1213" s="9" t="s">
        <v>26</v>
      </c>
    </row>
    <row r="1214" customFormat="false" ht="14.25" hidden="false" customHeight="true" outlineLevel="0" collapsed="false">
      <c r="B1214" s="9" t="s">
        <v>63</v>
      </c>
      <c r="C1214" s="9" t="n">
        <v>1185732</v>
      </c>
      <c r="D1214" s="10" t="n">
        <v>44518</v>
      </c>
      <c r="E1214" s="9" t="s">
        <v>17</v>
      </c>
      <c r="F1214" s="9" t="s">
        <v>64</v>
      </c>
      <c r="G1214" s="9" t="s">
        <v>65</v>
      </c>
      <c r="H1214" s="11" t="s">
        <v>19</v>
      </c>
      <c r="I1214" s="12" t="n">
        <v>65</v>
      </c>
      <c r="J1214" s="13" t="n">
        <v>375</v>
      </c>
      <c r="K1214" s="14" t="n">
        <f aca="false">I1214*J1214</f>
        <v>24375</v>
      </c>
      <c r="L1214" s="14" t="n">
        <f aca="false">($L$2*M1214)/100</f>
        <v>420583.275</v>
      </c>
      <c r="M1214" s="15" t="n">
        <v>0.35</v>
      </c>
      <c r="N1214" s="9" t="s">
        <v>26</v>
      </c>
    </row>
    <row r="1215" customFormat="false" ht="14.25" hidden="false" customHeight="true" outlineLevel="0" collapsed="false">
      <c r="B1215" s="9" t="s">
        <v>63</v>
      </c>
      <c r="C1215" s="9" t="n">
        <v>1185732</v>
      </c>
      <c r="D1215" s="10" t="n">
        <v>44518</v>
      </c>
      <c r="E1215" s="9" t="s">
        <v>17</v>
      </c>
      <c r="F1215" s="9" t="s">
        <v>64</v>
      </c>
      <c r="G1215" s="9" t="s">
        <v>65</v>
      </c>
      <c r="H1215" s="11" t="s">
        <v>21</v>
      </c>
      <c r="I1215" s="12" t="n">
        <v>55</v>
      </c>
      <c r="J1215" s="13" t="n">
        <v>200</v>
      </c>
      <c r="K1215" s="14" t="n">
        <f aca="false">I1215*J1215</f>
        <v>11000</v>
      </c>
      <c r="L1215" s="14" t="n">
        <f aca="false">($L$2*M1215)/100</f>
        <v>420583.275</v>
      </c>
      <c r="M1215" s="15" t="n">
        <v>0.35</v>
      </c>
      <c r="N1215" s="9" t="s">
        <v>26</v>
      </c>
    </row>
    <row r="1216" customFormat="false" ht="14.25" hidden="false" customHeight="true" outlineLevel="0" collapsed="false">
      <c r="B1216" s="9" t="s">
        <v>63</v>
      </c>
      <c r="C1216" s="9" t="n">
        <v>1185732</v>
      </c>
      <c r="D1216" s="10" t="n">
        <v>44518</v>
      </c>
      <c r="E1216" s="9" t="s">
        <v>17</v>
      </c>
      <c r="F1216" s="9" t="s">
        <v>64</v>
      </c>
      <c r="G1216" s="9" t="s">
        <v>65</v>
      </c>
      <c r="H1216" s="11" t="s">
        <v>22</v>
      </c>
      <c r="I1216" s="12" t="n">
        <v>55</v>
      </c>
      <c r="J1216" s="13" t="n">
        <v>195</v>
      </c>
      <c r="K1216" s="14" t="n">
        <f aca="false">I1216*J1216</f>
        <v>10725</v>
      </c>
      <c r="L1216" s="14" t="n">
        <f aca="false">($L$2*M1216)/100</f>
        <v>480666.6</v>
      </c>
      <c r="M1216" s="15" t="n">
        <v>0.4</v>
      </c>
      <c r="N1216" s="9" t="s">
        <v>26</v>
      </c>
    </row>
    <row r="1217" customFormat="false" ht="14.25" hidden="false" customHeight="true" outlineLevel="0" collapsed="false">
      <c r="B1217" s="9" t="s">
        <v>63</v>
      </c>
      <c r="C1217" s="9" t="n">
        <v>1185732</v>
      </c>
      <c r="D1217" s="10" t="n">
        <v>44518</v>
      </c>
      <c r="E1217" s="9" t="s">
        <v>17</v>
      </c>
      <c r="F1217" s="9" t="s">
        <v>64</v>
      </c>
      <c r="G1217" s="9" t="s">
        <v>65</v>
      </c>
      <c r="H1217" s="11" t="s">
        <v>23</v>
      </c>
      <c r="I1217" s="12" t="n">
        <v>55</v>
      </c>
      <c r="J1217" s="13" t="n">
        <v>175</v>
      </c>
      <c r="K1217" s="14" t="n">
        <f aca="false">I1217*J1217</f>
        <v>9625</v>
      </c>
      <c r="L1217" s="14" t="n">
        <f aca="false">($L$2*M1217)/100</f>
        <v>360499.95</v>
      </c>
      <c r="M1217" s="15" t="n">
        <v>0.3</v>
      </c>
      <c r="N1217" s="9" t="s">
        <v>26</v>
      </c>
    </row>
    <row r="1218" customFormat="false" ht="14.25" hidden="false" customHeight="true" outlineLevel="0" collapsed="false">
      <c r="B1218" s="9" t="s">
        <v>63</v>
      </c>
      <c r="C1218" s="9" t="n">
        <v>1185732</v>
      </c>
      <c r="D1218" s="10" t="n">
        <v>44518</v>
      </c>
      <c r="E1218" s="9" t="s">
        <v>17</v>
      </c>
      <c r="F1218" s="9" t="s">
        <v>64</v>
      </c>
      <c r="G1218" s="9" t="s">
        <v>65</v>
      </c>
      <c r="H1218" s="11" t="s">
        <v>24</v>
      </c>
      <c r="I1218" s="12" t="n">
        <v>65</v>
      </c>
      <c r="J1218" s="13" t="n">
        <v>150</v>
      </c>
      <c r="K1218" s="14" t="n">
        <f aca="false">I1218*J1218</f>
        <v>9750</v>
      </c>
      <c r="L1218" s="14" t="n">
        <f aca="false">($L$2*M1218)/100</f>
        <v>300416.625</v>
      </c>
      <c r="M1218" s="15" t="n">
        <v>0.25</v>
      </c>
      <c r="N1218" s="9" t="s">
        <v>26</v>
      </c>
    </row>
    <row r="1219" customFormat="false" ht="14.25" hidden="false" customHeight="true" outlineLevel="0" collapsed="false">
      <c r="B1219" s="9" t="s">
        <v>63</v>
      </c>
      <c r="C1219" s="9" t="n">
        <v>1185732</v>
      </c>
      <c r="D1219" s="10" t="n">
        <v>44518</v>
      </c>
      <c r="E1219" s="9" t="s">
        <v>17</v>
      </c>
      <c r="F1219" s="9" t="s">
        <v>64</v>
      </c>
      <c r="G1219" s="9" t="s">
        <v>65</v>
      </c>
      <c r="H1219" s="11" t="s">
        <v>25</v>
      </c>
      <c r="I1219" s="12" t="n">
        <v>70</v>
      </c>
      <c r="J1219" s="13" t="n">
        <v>250</v>
      </c>
      <c r="K1219" s="14" t="n">
        <f aca="false">I1219*J1219</f>
        <v>17500</v>
      </c>
      <c r="L1219" s="14" t="n">
        <f aca="false">($L$2*M1219)/100</f>
        <v>480666.6</v>
      </c>
      <c r="M1219" s="15" t="n">
        <v>0.4</v>
      </c>
      <c r="N1219" s="9" t="s">
        <v>26</v>
      </c>
    </row>
    <row r="1220" customFormat="false" ht="14.25" hidden="false" customHeight="true" outlineLevel="0" collapsed="false">
      <c r="B1220" s="9" t="s">
        <v>63</v>
      </c>
      <c r="C1220" s="9" t="n">
        <v>1185732</v>
      </c>
      <c r="D1220" s="10" t="n">
        <v>44547</v>
      </c>
      <c r="E1220" s="9" t="s">
        <v>17</v>
      </c>
      <c r="F1220" s="9" t="s">
        <v>64</v>
      </c>
      <c r="G1220" s="9" t="s">
        <v>65</v>
      </c>
      <c r="H1220" s="11" t="s">
        <v>19</v>
      </c>
      <c r="I1220" s="12" t="n">
        <v>65</v>
      </c>
      <c r="J1220" s="13" t="n">
        <v>475</v>
      </c>
      <c r="K1220" s="14" t="n">
        <f aca="false">I1220*J1220</f>
        <v>30875</v>
      </c>
      <c r="L1220" s="14" t="n">
        <f aca="false">($L$2*M1220)/100</f>
        <v>420583.275</v>
      </c>
      <c r="M1220" s="15" t="n">
        <v>0.35</v>
      </c>
      <c r="N1220" s="9" t="s">
        <v>26</v>
      </c>
    </row>
    <row r="1221" customFormat="false" ht="14.25" hidden="false" customHeight="true" outlineLevel="0" collapsed="false">
      <c r="B1221" s="9" t="s">
        <v>63</v>
      </c>
      <c r="C1221" s="9" t="n">
        <v>1185732</v>
      </c>
      <c r="D1221" s="10" t="n">
        <v>44547</v>
      </c>
      <c r="E1221" s="9" t="s">
        <v>17</v>
      </c>
      <c r="F1221" s="9" t="s">
        <v>64</v>
      </c>
      <c r="G1221" s="9" t="s">
        <v>65</v>
      </c>
      <c r="H1221" s="11" t="s">
        <v>21</v>
      </c>
      <c r="I1221" s="12" t="n">
        <v>55</v>
      </c>
      <c r="J1221" s="13" t="n">
        <v>275</v>
      </c>
      <c r="K1221" s="14" t="n">
        <f aca="false">I1221*J1221</f>
        <v>15125</v>
      </c>
      <c r="L1221" s="14" t="n">
        <f aca="false">($L$2*M1221)/100</f>
        <v>420583.275</v>
      </c>
      <c r="M1221" s="15" t="n">
        <v>0.35</v>
      </c>
      <c r="N1221" s="9" t="s">
        <v>26</v>
      </c>
    </row>
    <row r="1222" customFormat="false" ht="14.25" hidden="false" customHeight="true" outlineLevel="0" collapsed="false">
      <c r="B1222" s="9" t="s">
        <v>63</v>
      </c>
      <c r="C1222" s="9" t="n">
        <v>1185732</v>
      </c>
      <c r="D1222" s="10" t="n">
        <v>44547</v>
      </c>
      <c r="E1222" s="9" t="s">
        <v>17</v>
      </c>
      <c r="F1222" s="9" t="s">
        <v>64</v>
      </c>
      <c r="G1222" s="9" t="s">
        <v>65</v>
      </c>
      <c r="H1222" s="11" t="s">
        <v>22</v>
      </c>
      <c r="I1222" s="12" t="n">
        <v>55</v>
      </c>
      <c r="J1222" s="13" t="n">
        <v>250</v>
      </c>
      <c r="K1222" s="14" t="n">
        <f aca="false">I1222*J1222</f>
        <v>13750</v>
      </c>
      <c r="L1222" s="14" t="n">
        <f aca="false">($L$2*M1222)/100</f>
        <v>480666.6</v>
      </c>
      <c r="M1222" s="15" t="n">
        <v>0.4</v>
      </c>
      <c r="N1222" s="9" t="s">
        <v>26</v>
      </c>
    </row>
    <row r="1223" customFormat="false" ht="14.25" hidden="false" customHeight="true" outlineLevel="0" collapsed="false">
      <c r="B1223" s="9" t="s">
        <v>63</v>
      </c>
      <c r="C1223" s="9" t="n">
        <v>1185732</v>
      </c>
      <c r="D1223" s="10" t="n">
        <v>44547</v>
      </c>
      <c r="E1223" s="9" t="s">
        <v>17</v>
      </c>
      <c r="F1223" s="9" t="s">
        <v>64</v>
      </c>
      <c r="G1223" s="9" t="s">
        <v>65</v>
      </c>
      <c r="H1223" s="11" t="s">
        <v>23</v>
      </c>
      <c r="I1223" s="12" t="n">
        <v>55</v>
      </c>
      <c r="J1223" s="13" t="n">
        <v>200</v>
      </c>
      <c r="K1223" s="14" t="n">
        <f aca="false">I1223*J1223</f>
        <v>11000</v>
      </c>
      <c r="L1223" s="14" t="n">
        <f aca="false">($L$2*M1223)/100</f>
        <v>360499.95</v>
      </c>
      <c r="M1223" s="15" t="n">
        <v>0.3</v>
      </c>
      <c r="N1223" s="9" t="s">
        <v>26</v>
      </c>
    </row>
    <row r="1224" customFormat="false" ht="14.25" hidden="false" customHeight="true" outlineLevel="0" collapsed="false">
      <c r="B1224" s="9" t="s">
        <v>63</v>
      </c>
      <c r="C1224" s="9" t="n">
        <v>1185732</v>
      </c>
      <c r="D1224" s="10" t="n">
        <v>44547</v>
      </c>
      <c r="E1224" s="9" t="s">
        <v>17</v>
      </c>
      <c r="F1224" s="9" t="s">
        <v>64</v>
      </c>
      <c r="G1224" s="9" t="s">
        <v>65</v>
      </c>
      <c r="H1224" s="11" t="s">
        <v>24</v>
      </c>
      <c r="I1224" s="12" t="n">
        <v>65</v>
      </c>
      <c r="J1224" s="13" t="n">
        <v>200</v>
      </c>
      <c r="K1224" s="14" t="n">
        <f aca="false">I1224*J1224</f>
        <v>13000</v>
      </c>
      <c r="L1224" s="14" t="n">
        <f aca="false">($L$2*M1224)/100</f>
        <v>300416.625</v>
      </c>
      <c r="M1224" s="15" t="n">
        <v>0.25</v>
      </c>
      <c r="N1224" s="9" t="s">
        <v>26</v>
      </c>
    </row>
    <row r="1225" customFormat="false" ht="14.25" hidden="false" customHeight="true" outlineLevel="0" collapsed="false">
      <c r="B1225" s="9" t="s">
        <v>63</v>
      </c>
      <c r="C1225" s="9" t="n">
        <v>1185732</v>
      </c>
      <c r="D1225" s="10" t="n">
        <v>44547</v>
      </c>
      <c r="E1225" s="9" t="s">
        <v>17</v>
      </c>
      <c r="F1225" s="9" t="s">
        <v>64</v>
      </c>
      <c r="G1225" s="9" t="s">
        <v>65</v>
      </c>
      <c r="H1225" s="11" t="s">
        <v>25</v>
      </c>
      <c r="I1225" s="12" t="n">
        <v>70</v>
      </c>
      <c r="J1225" s="13" t="n">
        <v>300</v>
      </c>
      <c r="K1225" s="14" t="n">
        <f aca="false">I1225*J1225</f>
        <v>21000</v>
      </c>
      <c r="L1225" s="14" t="n">
        <f aca="false">($L$2*M1225)/100</f>
        <v>480666.6</v>
      </c>
      <c r="M1225" s="15" t="n">
        <v>0.4</v>
      </c>
      <c r="N1225" s="9" t="s">
        <v>26</v>
      </c>
    </row>
    <row r="1226" customFormat="false" ht="14.25" hidden="false" customHeight="true" outlineLevel="0" collapsed="false">
      <c r="B1226" s="9" t="s">
        <v>32</v>
      </c>
      <c r="C1226" s="9" t="n">
        <v>1128299</v>
      </c>
      <c r="D1226" s="10" t="n">
        <v>44206</v>
      </c>
      <c r="E1226" s="9" t="s">
        <v>17</v>
      </c>
      <c r="F1226" s="9" t="s">
        <v>64</v>
      </c>
      <c r="G1226" s="9" t="s">
        <v>65</v>
      </c>
      <c r="H1226" s="11" t="s">
        <v>19</v>
      </c>
      <c r="I1226" s="12" t="n">
        <v>35</v>
      </c>
      <c r="J1226" s="13" t="n">
        <v>375</v>
      </c>
      <c r="K1226" s="14" t="n">
        <f aca="false">I1226*J1226</f>
        <v>13125</v>
      </c>
      <c r="L1226" s="14" t="n">
        <f aca="false">($L$2*M1226)/100</f>
        <v>300416.625</v>
      </c>
      <c r="M1226" s="15" t="n">
        <v>0.25</v>
      </c>
      <c r="N1226" s="9" t="s">
        <v>26</v>
      </c>
    </row>
    <row r="1227" customFormat="false" ht="14.25" hidden="false" customHeight="true" outlineLevel="0" collapsed="false">
      <c r="B1227" s="9" t="s">
        <v>32</v>
      </c>
      <c r="C1227" s="9" t="n">
        <v>1128299</v>
      </c>
      <c r="D1227" s="10" t="n">
        <v>44206</v>
      </c>
      <c r="E1227" s="9" t="s">
        <v>17</v>
      </c>
      <c r="F1227" s="9" t="s">
        <v>64</v>
      </c>
      <c r="G1227" s="9" t="s">
        <v>65</v>
      </c>
      <c r="H1227" s="11" t="s">
        <v>21</v>
      </c>
      <c r="I1227" s="12" t="n">
        <v>45</v>
      </c>
      <c r="J1227" s="13" t="n">
        <v>375</v>
      </c>
      <c r="K1227" s="14" t="n">
        <f aca="false">I1227*J1227</f>
        <v>16875</v>
      </c>
      <c r="L1227" s="14" t="n">
        <f aca="false">($L$2*M1227)/100</f>
        <v>240333.3</v>
      </c>
      <c r="M1227" s="15" t="n">
        <v>0.2</v>
      </c>
      <c r="N1227" s="9" t="s">
        <v>26</v>
      </c>
    </row>
    <row r="1228" customFormat="false" ht="14.25" hidden="false" customHeight="true" outlineLevel="0" collapsed="false">
      <c r="B1228" s="9" t="s">
        <v>32</v>
      </c>
      <c r="C1228" s="9" t="n">
        <v>1128299</v>
      </c>
      <c r="D1228" s="10" t="n">
        <v>44206</v>
      </c>
      <c r="E1228" s="9" t="s">
        <v>17</v>
      </c>
      <c r="F1228" s="9" t="s">
        <v>64</v>
      </c>
      <c r="G1228" s="9" t="s">
        <v>65</v>
      </c>
      <c r="H1228" s="11" t="s">
        <v>22</v>
      </c>
      <c r="I1228" s="12" t="n">
        <v>45</v>
      </c>
      <c r="J1228" s="13" t="n">
        <v>375</v>
      </c>
      <c r="K1228" s="14" t="n">
        <f aca="false">I1228*J1228</f>
        <v>16875</v>
      </c>
      <c r="L1228" s="14" t="n">
        <f aca="false">($L$2*M1228)/100</f>
        <v>300416.625</v>
      </c>
      <c r="M1228" s="15" t="n">
        <v>0.25</v>
      </c>
      <c r="N1228" s="9" t="s">
        <v>26</v>
      </c>
    </row>
    <row r="1229" customFormat="false" ht="14.25" hidden="false" customHeight="true" outlineLevel="0" collapsed="false">
      <c r="B1229" s="9" t="s">
        <v>32</v>
      </c>
      <c r="C1229" s="9" t="n">
        <v>1128299</v>
      </c>
      <c r="D1229" s="10" t="n">
        <v>44206</v>
      </c>
      <c r="E1229" s="9" t="s">
        <v>17</v>
      </c>
      <c r="F1229" s="9" t="s">
        <v>64</v>
      </c>
      <c r="G1229" s="9" t="s">
        <v>65</v>
      </c>
      <c r="H1229" s="11" t="s">
        <v>23</v>
      </c>
      <c r="I1229" s="12" t="n">
        <v>45</v>
      </c>
      <c r="J1229" s="13" t="n">
        <v>225</v>
      </c>
      <c r="K1229" s="14" t="n">
        <f aca="false">I1229*J1229</f>
        <v>10125</v>
      </c>
      <c r="L1229" s="14" t="n">
        <f aca="false">($L$2*M1229)/100</f>
        <v>300416.625</v>
      </c>
      <c r="M1229" s="15" t="n">
        <v>0.25</v>
      </c>
      <c r="N1229" s="9" t="s">
        <v>26</v>
      </c>
    </row>
    <row r="1230" customFormat="false" ht="14.25" hidden="false" customHeight="true" outlineLevel="0" collapsed="false">
      <c r="B1230" s="9" t="s">
        <v>63</v>
      </c>
      <c r="C1230" s="9" t="n">
        <v>1185732</v>
      </c>
      <c r="D1230" s="10" t="n">
        <v>44220</v>
      </c>
      <c r="E1230" s="9" t="s">
        <v>33</v>
      </c>
      <c r="F1230" s="9" t="s">
        <v>66</v>
      </c>
      <c r="G1230" s="9" t="s">
        <v>67</v>
      </c>
      <c r="H1230" s="11" t="s">
        <v>25</v>
      </c>
      <c r="I1230" s="12" t="n">
        <v>55</v>
      </c>
      <c r="J1230" s="13" t="n">
        <v>300</v>
      </c>
      <c r="K1230" s="14" t="n">
        <f aca="false">I1230*J1230</f>
        <v>16500</v>
      </c>
      <c r="L1230" s="14" t="n">
        <f aca="false">($L$2*M1230)/100</f>
        <v>360499.95</v>
      </c>
      <c r="M1230" s="15" t="n">
        <v>0.3</v>
      </c>
      <c r="N1230" s="9" t="s">
        <v>26</v>
      </c>
    </row>
    <row r="1231" customFormat="false" ht="14.25" hidden="false" customHeight="true" outlineLevel="0" collapsed="false">
      <c r="B1231" s="9" t="s">
        <v>63</v>
      </c>
      <c r="C1231" s="9" t="n">
        <v>1185732</v>
      </c>
      <c r="D1231" s="10" t="n">
        <v>44249</v>
      </c>
      <c r="E1231" s="9" t="s">
        <v>33</v>
      </c>
      <c r="F1231" s="9" t="s">
        <v>66</v>
      </c>
      <c r="G1231" s="9" t="s">
        <v>67</v>
      </c>
      <c r="H1231" s="11" t="s">
        <v>19</v>
      </c>
      <c r="I1231" s="12" t="n">
        <v>55</v>
      </c>
      <c r="J1231" s="13" t="n">
        <v>575</v>
      </c>
      <c r="K1231" s="14" t="n">
        <f aca="false">I1231*J1231</f>
        <v>31625</v>
      </c>
      <c r="L1231" s="14" t="n">
        <f aca="false">($L$2*M1231)/100</f>
        <v>420583.275</v>
      </c>
      <c r="M1231" s="15" t="n">
        <v>0.35</v>
      </c>
      <c r="N1231" s="9" t="s">
        <v>26</v>
      </c>
    </row>
    <row r="1232" customFormat="false" ht="14.25" hidden="false" customHeight="true" outlineLevel="0" collapsed="false">
      <c r="B1232" s="9" t="s">
        <v>63</v>
      </c>
      <c r="C1232" s="9" t="n">
        <v>1185732</v>
      </c>
      <c r="D1232" s="10" t="n">
        <v>44249</v>
      </c>
      <c r="E1232" s="9" t="s">
        <v>33</v>
      </c>
      <c r="F1232" s="9" t="s">
        <v>66</v>
      </c>
      <c r="G1232" s="9" t="s">
        <v>67</v>
      </c>
      <c r="H1232" s="11" t="s">
        <v>21</v>
      </c>
      <c r="I1232" s="12" t="n">
        <v>55</v>
      </c>
      <c r="J1232" s="13" t="n">
        <v>225</v>
      </c>
      <c r="K1232" s="14" t="n">
        <f aca="false">I1232*J1232</f>
        <v>12375</v>
      </c>
      <c r="L1232" s="14" t="n">
        <f aca="false">($L$2*M1232)/100</f>
        <v>420583.275</v>
      </c>
      <c r="M1232" s="15" t="n">
        <v>0.35</v>
      </c>
      <c r="N1232" s="9" t="s">
        <v>26</v>
      </c>
    </row>
    <row r="1233" customFormat="false" ht="14.25" hidden="false" customHeight="true" outlineLevel="0" collapsed="false">
      <c r="B1233" s="9" t="s">
        <v>63</v>
      </c>
      <c r="C1233" s="9" t="n">
        <v>1185732</v>
      </c>
      <c r="D1233" s="10" t="n">
        <v>44249</v>
      </c>
      <c r="E1233" s="9" t="s">
        <v>33</v>
      </c>
      <c r="F1233" s="9" t="s">
        <v>66</v>
      </c>
      <c r="G1233" s="9" t="s">
        <v>67</v>
      </c>
      <c r="H1233" s="11" t="s">
        <v>22</v>
      </c>
      <c r="I1233" s="12" t="n">
        <v>45</v>
      </c>
      <c r="J1233" s="13" t="n">
        <v>275</v>
      </c>
      <c r="K1233" s="14" t="n">
        <f aca="false">I1233*J1233</f>
        <v>12375</v>
      </c>
      <c r="L1233" s="14" t="n">
        <f aca="false">($L$2*M1233)/100</f>
        <v>300416.625</v>
      </c>
      <c r="M1233" s="15" t="n">
        <v>0.25</v>
      </c>
      <c r="N1233" s="9" t="s">
        <v>26</v>
      </c>
    </row>
    <row r="1234" customFormat="false" ht="14.25" hidden="false" customHeight="true" outlineLevel="0" collapsed="false">
      <c r="B1234" s="9" t="s">
        <v>63</v>
      </c>
      <c r="C1234" s="9" t="n">
        <v>1185732</v>
      </c>
      <c r="D1234" s="10" t="n">
        <v>44249</v>
      </c>
      <c r="E1234" s="9" t="s">
        <v>33</v>
      </c>
      <c r="F1234" s="9" t="s">
        <v>66</v>
      </c>
      <c r="G1234" s="9" t="s">
        <v>67</v>
      </c>
      <c r="H1234" s="11" t="s">
        <v>23</v>
      </c>
      <c r="I1234" s="12" t="n">
        <v>50</v>
      </c>
      <c r="J1234" s="13" t="n">
        <v>175</v>
      </c>
      <c r="K1234" s="14" t="n">
        <f aca="false">I1234*J1234</f>
        <v>8750</v>
      </c>
      <c r="L1234" s="14" t="n">
        <f aca="false">($L$2*M1234)/100</f>
        <v>300416.625</v>
      </c>
      <c r="M1234" s="15" t="n">
        <v>0.25</v>
      </c>
      <c r="N1234" s="9" t="s">
        <v>26</v>
      </c>
    </row>
    <row r="1235" customFormat="false" ht="14.25" hidden="false" customHeight="true" outlineLevel="0" collapsed="false">
      <c r="B1235" s="9" t="s">
        <v>63</v>
      </c>
      <c r="C1235" s="9" t="n">
        <v>1185732</v>
      </c>
      <c r="D1235" s="10" t="n">
        <v>44249</v>
      </c>
      <c r="E1235" s="9" t="s">
        <v>33</v>
      </c>
      <c r="F1235" s="9" t="s">
        <v>66</v>
      </c>
      <c r="G1235" s="9" t="s">
        <v>67</v>
      </c>
      <c r="H1235" s="11" t="s">
        <v>24</v>
      </c>
      <c r="I1235" s="12" t="n">
        <v>65</v>
      </c>
      <c r="J1235" s="13" t="n">
        <v>250</v>
      </c>
      <c r="K1235" s="14" t="n">
        <f aca="false">I1235*J1235</f>
        <v>16250</v>
      </c>
      <c r="L1235" s="14" t="n">
        <f aca="false">($L$2*M1235)/100</f>
        <v>300416.625</v>
      </c>
      <c r="M1235" s="15" t="n">
        <v>0.25</v>
      </c>
      <c r="N1235" s="9" t="s">
        <v>26</v>
      </c>
    </row>
    <row r="1236" customFormat="false" ht="14.25" hidden="false" customHeight="true" outlineLevel="0" collapsed="false">
      <c r="B1236" s="9" t="s">
        <v>63</v>
      </c>
      <c r="C1236" s="9" t="n">
        <v>1185732</v>
      </c>
      <c r="D1236" s="10" t="n">
        <v>44249</v>
      </c>
      <c r="E1236" s="9" t="s">
        <v>33</v>
      </c>
      <c r="F1236" s="9" t="s">
        <v>66</v>
      </c>
      <c r="G1236" s="9" t="s">
        <v>67</v>
      </c>
      <c r="H1236" s="11" t="s">
        <v>25</v>
      </c>
      <c r="I1236" s="12" t="n">
        <v>55</v>
      </c>
      <c r="J1236" s="13" t="n">
        <v>350</v>
      </c>
      <c r="K1236" s="14" t="n">
        <f aca="false">I1236*J1236</f>
        <v>19250</v>
      </c>
      <c r="L1236" s="14" t="n">
        <f aca="false">($L$2*M1236)/100</f>
        <v>360499.95</v>
      </c>
      <c r="M1236" s="15" t="n">
        <v>0.3</v>
      </c>
      <c r="N1236" s="9" t="s">
        <v>26</v>
      </c>
    </row>
    <row r="1237" customFormat="false" ht="14.25" hidden="false" customHeight="true" outlineLevel="0" collapsed="false">
      <c r="B1237" s="9" t="s">
        <v>63</v>
      </c>
      <c r="C1237" s="9" t="n">
        <v>1185732</v>
      </c>
      <c r="D1237" s="10" t="n">
        <v>44275</v>
      </c>
      <c r="E1237" s="9" t="s">
        <v>33</v>
      </c>
      <c r="F1237" s="9" t="s">
        <v>66</v>
      </c>
      <c r="G1237" s="9" t="s">
        <v>67</v>
      </c>
      <c r="H1237" s="11" t="s">
        <v>19</v>
      </c>
      <c r="I1237" s="12" t="n">
        <v>55</v>
      </c>
      <c r="J1237" s="13" t="n">
        <v>545</v>
      </c>
      <c r="K1237" s="14" t="n">
        <f aca="false">I1237*J1237</f>
        <v>29975</v>
      </c>
      <c r="L1237" s="14" t="n">
        <f aca="false">($L$2*M1237)/100</f>
        <v>420583.275</v>
      </c>
      <c r="M1237" s="15" t="n">
        <v>0.35</v>
      </c>
      <c r="N1237" s="9" t="s">
        <v>26</v>
      </c>
    </row>
    <row r="1238" customFormat="false" ht="14.25" hidden="false" customHeight="true" outlineLevel="0" collapsed="false">
      <c r="B1238" s="9" t="s">
        <v>63</v>
      </c>
      <c r="C1238" s="9" t="n">
        <v>1185732</v>
      </c>
      <c r="D1238" s="10" t="n">
        <v>44275</v>
      </c>
      <c r="E1238" s="9" t="s">
        <v>33</v>
      </c>
      <c r="F1238" s="9" t="s">
        <v>66</v>
      </c>
      <c r="G1238" s="9" t="s">
        <v>67</v>
      </c>
      <c r="H1238" s="11" t="s">
        <v>21</v>
      </c>
      <c r="I1238" s="12" t="n">
        <v>55</v>
      </c>
      <c r="J1238" s="13" t="n">
        <v>250</v>
      </c>
      <c r="K1238" s="14" t="n">
        <f aca="false">I1238*J1238</f>
        <v>13750</v>
      </c>
      <c r="L1238" s="14" t="n">
        <f aca="false">($L$2*M1238)/100</f>
        <v>420583.275</v>
      </c>
      <c r="M1238" s="15" t="n">
        <v>0.35</v>
      </c>
      <c r="N1238" s="9" t="s">
        <v>26</v>
      </c>
    </row>
    <row r="1239" customFormat="false" ht="14.25" hidden="false" customHeight="true" outlineLevel="0" collapsed="false">
      <c r="B1239" s="9" t="s">
        <v>63</v>
      </c>
      <c r="C1239" s="9" t="n">
        <v>1185732</v>
      </c>
      <c r="D1239" s="10" t="n">
        <v>44275</v>
      </c>
      <c r="E1239" s="9" t="s">
        <v>33</v>
      </c>
      <c r="F1239" s="9" t="s">
        <v>66</v>
      </c>
      <c r="G1239" s="9" t="s">
        <v>67</v>
      </c>
      <c r="H1239" s="11" t="s">
        <v>22</v>
      </c>
      <c r="I1239" s="12" t="n">
        <v>45</v>
      </c>
      <c r="J1239" s="13" t="n">
        <v>275</v>
      </c>
      <c r="K1239" s="14" t="n">
        <f aca="false">I1239*J1239</f>
        <v>12375</v>
      </c>
      <c r="L1239" s="14" t="n">
        <f aca="false">($L$2*M1239)/100</f>
        <v>300416.625</v>
      </c>
      <c r="M1239" s="15" t="n">
        <v>0.25</v>
      </c>
      <c r="N1239" s="9" t="s">
        <v>26</v>
      </c>
    </row>
    <row r="1240" customFormat="false" ht="14.25" hidden="false" customHeight="true" outlineLevel="0" collapsed="false">
      <c r="B1240" s="9" t="s">
        <v>63</v>
      </c>
      <c r="C1240" s="9" t="n">
        <v>1185732</v>
      </c>
      <c r="D1240" s="10" t="n">
        <v>44275</v>
      </c>
      <c r="E1240" s="9" t="s">
        <v>33</v>
      </c>
      <c r="F1240" s="9" t="s">
        <v>66</v>
      </c>
      <c r="G1240" s="9" t="s">
        <v>67</v>
      </c>
      <c r="H1240" s="11" t="s">
        <v>23</v>
      </c>
      <c r="I1240" s="12" t="n">
        <v>50</v>
      </c>
      <c r="J1240" s="13" t="n">
        <v>125</v>
      </c>
      <c r="K1240" s="14" t="n">
        <f aca="false">I1240*J1240</f>
        <v>6250</v>
      </c>
      <c r="L1240" s="14" t="n">
        <f aca="false">($L$2*M1240)/100</f>
        <v>300416.625</v>
      </c>
      <c r="M1240" s="15" t="n">
        <v>0.25</v>
      </c>
      <c r="N1240" s="9" t="s">
        <v>26</v>
      </c>
    </row>
    <row r="1241" customFormat="false" ht="14.25" hidden="false" customHeight="true" outlineLevel="0" collapsed="false">
      <c r="B1241" s="9" t="s">
        <v>63</v>
      </c>
      <c r="C1241" s="9" t="n">
        <v>1185732</v>
      </c>
      <c r="D1241" s="10" t="n">
        <v>44275</v>
      </c>
      <c r="E1241" s="9" t="s">
        <v>33</v>
      </c>
      <c r="F1241" s="9" t="s">
        <v>66</v>
      </c>
      <c r="G1241" s="9" t="s">
        <v>67</v>
      </c>
      <c r="H1241" s="11" t="s">
        <v>24</v>
      </c>
      <c r="I1241" s="12" t="n">
        <v>65</v>
      </c>
      <c r="J1241" s="13" t="n">
        <v>175</v>
      </c>
      <c r="K1241" s="14" t="n">
        <f aca="false">I1241*J1241</f>
        <v>11375</v>
      </c>
      <c r="L1241" s="14" t="n">
        <f aca="false">($L$2*M1241)/100</f>
        <v>300416.625</v>
      </c>
      <c r="M1241" s="15" t="n">
        <v>0.25</v>
      </c>
      <c r="N1241" s="9" t="s">
        <v>26</v>
      </c>
    </row>
    <row r="1242" customFormat="false" ht="14.25" hidden="false" customHeight="true" outlineLevel="0" collapsed="false">
      <c r="B1242" s="9" t="s">
        <v>63</v>
      </c>
      <c r="C1242" s="9" t="n">
        <v>1185732</v>
      </c>
      <c r="D1242" s="10" t="n">
        <v>44275</v>
      </c>
      <c r="E1242" s="9" t="s">
        <v>33</v>
      </c>
      <c r="F1242" s="9" t="s">
        <v>66</v>
      </c>
      <c r="G1242" s="9" t="s">
        <v>67</v>
      </c>
      <c r="H1242" s="11" t="s">
        <v>25</v>
      </c>
      <c r="I1242" s="12" t="n">
        <v>55</v>
      </c>
      <c r="J1242" s="13" t="n">
        <v>275</v>
      </c>
      <c r="K1242" s="14" t="n">
        <f aca="false">I1242*J1242</f>
        <v>15125</v>
      </c>
      <c r="L1242" s="14" t="n">
        <f aca="false">($L$2*M1242)/100</f>
        <v>360499.95</v>
      </c>
      <c r="M1242" s="15" t="n">
        <v>0.3</v>
      </c>
      <c r="N1242" s="9" t="s">
        <v>26</v>
      </c>
    </row>
    <row r="1243" customFormat="false" ht="14.25" hidden="false" customHeight="true" outlineLevel="0" collapsed="false">
      <c r="B1243" s="9" t="s">
        <v>63</v>
      </c>
      <c r="C1243" s="9" t="n">
        <v>1185732</v>
      </c>
      <c r="D1243" s="10" t="n">
        <v>44307</v>
      </c>
      <c r="E1243" s="9" t="s">
        <v>33</v>
      </c>
      <c r="F1243" s="9" t="s">
        <v>66</v>
      </c>
      <c r="G1243" s="9" t="s">
        <v>67</v>
      </c>
      <c r="H1243" s="11" t="s">
        <v>19</v>
      </c>
      <c r="I1243" s="12" t="n">
        <v>55</v>
      </c>
      <c r="J1243" s="13" t="n">
        <v>525</v>
      </c>
      <c r="K1243" s="14" t="n">
        <f aca="false">I1243*J1243</f>
        <v>28875</v>
      </c>
      <c r="L1243" s="14" t="n">
        <f aca="false">($L$2*M1243)/100</f>
        <v>420583.275</v>
      </c>
      <c r="M1243" s="15" t="n">
        <v>0.35</v>
      </c>
      <c r="N1243" s="9" t="s">
        <v>26</v>
      </c>
    </row>
    <row r="1244" customFormat="false" ht="14.25" hidden="false" customHeight="true" outlineLevel="0" collapsed="false">
      <c r="B1244" s="9" t="s">
        <v>63</v>
      </c>
      <c r="C1244" s="9" t="n">
        <v>1185732</v>
      </c>
      <c r="D1244" s="10" t="n">
        <v>44307</v>
      </c>
      <c r="E1244" s="9" t="s">
        <v>33</v>
      </c>
      <c r="F1244" s="9" t="s">
        <v>66</v>
      </c>
      <c r="G1244" s="9" t="s">
        <v>67</v>
      </c>
      <c r="H1244" s="11" t="s">
        <v>21</v>
      </c>
      <c r="I1244" s="12" t="n">
        <v>55</v>
      </c>
      <c r="J1244" s="13" t="n">
        <v>225</v>
      </c>
      <c r="K1244" s="14" t="n">
        <f aca="false">I1244*J1244</f>
        <v>12375</v>
      </c>
      <c r="L1244" s="14" t="n">
        <f aca="false">($L$2*M1244)/100</f>
        <v>420583.275</v>
      </c>
      <c r="M1244" s="15" t="n">
        <v>0.35</v>
      </c>
      <c r="N1244" s="9" t="s">
        <v>26</v>
      </c>
    </row>
    <row r="1245" customFormat="false" ht="14.25" hidden="false" customHeight="true" outlineLevel="0" collapsed="false">
      <c r="B1245" s="9" t="s">
        <v>63</v>
      </c>
      <c r="C1245" s="9" t="n">
        <v>1185732</v>
      </c>
      <c r="D1245" s="10" t="n">
        <v>44307</v>
      </c>
      <c r="E1245" s="9" t="s">
        <v>33</v>
      </c>
      <c r="F1245" s="9" t="s">
        <v>66</v>
      </c>
      <c r="G1245" s="9" t="s">
        <v>67</v>
      </c>
      <c r="H1245" s="11" t="s">
        <v>22</v>
      </c>
      <c r="I1245" s="12" t="n">
        <v>45</v>
      </c>
      <c r="J1245" s="13" t="n">
        <v>225</v>
      </c>
      <c r="K1245" s="14" t="n">
        <f aca="false">I1245*J1245</f>
        <v>10125</v>
      </c>
      <c r="L1245" s="14" t="n">
        <f aca="false">($L$2*M1245)/100</f>
        <v>300416.625</v>
      </c>
      <c r="M1245" s="15" t="n">
        <v>0.25</v>
      </c>
      <c r="N1245" s="9" t="s">
        <v>26</v>
      </c>
    </row>
    <row r="1246" customFormat="false" ht="14.25" hidden="false" customHeight="true" outlineLevel="0" collapsed="false">
      <c r="B1246" s="9" t="s">
        <v>63</v>
      </c>
      <c r="C1246" s="9" t="n">
        <v>1185732</v>
      </c>
      <c r="D1246" s="10" t="n">
        <v>44307</v>
      </c>
      <c r="E1246" s="9" t="s">
        <v>33</v>
      </c>
      <c r="F1246" s="9" t="s">
        <v>66</v>
      </c>
      <c r="G1246" s="9" t="s">
        <v>67</v>
      </c>
      <c r="H1246" s="11" t="s">
        <v>23</v>
      </c>
      <c r="I1246" s="12" t="n">
        <v>50</v>
      </c>
      <c r="J1246" s="13" t="n">
        <v>150</v>
      </c>
      <c r="K1246" s="14" t="n">
        <f aca="false">I1246*J1246</f>
        <v>7500</v>
      </c>
      <c r="L1246" s="14" t="n">
        <f aca="false">($L$2*M1246)/100</f>
        <v>300416.625</v>
      </c>
      <c r="M1246" s="15" t="n">
        <v>0.25</v>
      </c>
      <c r="N1246" s="9" t="s">
        <v>26</v>
      </c>
    </row>
    <row r="1247" customFormat="false" ht="14.25" hidden="false" customHeight="true" outlineLevel="0" collapsed="false">
      <c r="B1247" s="9" t="s">
        <v>63</v>
      </c>
      <c r="C1247" s="9" t="n">
        <v>1185732</v>
      </c>
      <c r="D1247" s="10" t="n">
        <v>44307</v>
      </c>
      <c r="E1247" s="9" t="s">
        <v>33</v>
      </c>
      <c r="F1247" s="9" t="s">
        <v>66</v>
      </c>
      <c r="G1247" s="9" t="s">
        <v>67</v>
      </c>
      <c r="H1247" s="11" t="s">
        <v>24</v>
      </c>
      <c r="I1247" s="12" t="n">
        <v>60</v>
      </c>
      <c r="J1247" s="13" t="n">
        <v>150</v>
      </c>
      <c r="K1247" s="14" t="n">
        <f aca="false">I1247*J1247</f>
        <v>9000</v>
      </c>
      <c r="L1247" s="14" t="n">
        <f aca="false">($L$2*M1247)/100</f>
        <v>300416.625</v>
      </c>
      <c r="M1247" s="15" t="n">
        <v>0.25</v>
      </c>
      <c r="N1247" s="9" t="s">
        <v>26</v>
      </c>
    </row>
    <row r="1248" customFormat="false" ht="14.25" hidden="false" customHeight="true" outlineLevel="0" collapsed="false">
      <c r="B1248" s="9" t="s">
        <v>63</v>
      </c>
      <c r="C1248" s="9" t="n">
        <v>1185732</v>
      </c>
      <c r="D1248" s="10" t="n">
        <v>44307</v>
      </c>
      <c r="E1248" s="9" t="s">
        <v>33</v>
      </c>
      <c r="F1248" s="9" t="s">
        <v>66</v>
      </c>
      <c r="G1248" s="9" t="s">
        <v>67</v>
      </c>
      <c r="H1248" s="11" t="s">
        <v>25</v>
      </c>
      <c r="I1248" s="12" t="n">
        <v>50</v>
      </c>
      <c r="J1248" s="13" t="n">
        <v>300</v>
      </c>
      <c r="K1248" s="14" t="n">
        <f aca="false">I1248*J1248</f>
        <v>15000</v>
      </c>
      <c r="L1248" s="14" t="n">
        <f aca="false">($L$2*M1248)/100</f>
        <v>360499.95</v>
      </c>
      <c r="M1248" s="15" t="n">
        <v>0.3</v>
      </c>
      <c r="N1248" s="9" t="s">
        <v>26</v>
      </c>
    </row>
    <row r="1249" customFormat="false" ht="14.25" hidden="false" customHeight="true" outlineLevel="0" collapsed="false">
      <c r="B1249" s="9" t="s">
        <v>63</v>
      </c>
      <c r="C1249" s="9" t="n">
        <v>1185732</v>
      </c>
      <c r="D1249" s="10" t="n">
        <v>44336</v>
      </c>
      <c r="E1249" s="9" t="s">
        <v>33</v>
      </c>
      <c r="F1249" s="9" t="s">
        <v>66</v>
      </c>
      <c r="G1249" s="9" t="s">
        <v>67</v>
      </c>
      <c r="H1249" s="11" t="s">
        <v>19</v>
      </c>
      <c r="I1249" s="12" t="n">
        <v>65</v>
      </c>
      <c r="J1249" s="13" t="n">
        <v>570</v>
      </c>
      <c r="K1249" s="14" t="n">
        <f aca="false">I1249*J1249</f>
        <v>37050</v>
      </c>
      <c r="L1249" s="14" t="n">
        <f aca="false">($L$2*M1249)/100</f>
        <v>420583.275</v>
      </c>
      <c r="M1249" s="15" t="n">
        <v>0.35</v>
      </c>
      <c r="N1249" s="9" t="s">
        <v>26</v>
      </c>
    </row>
    <row r="1250" customFormat="false" ht="14.25" hidden="false" customHeight="true" outlineLevel="0" collapsed="false">
      <c r="B1250" s="9" t="s">
        <v>63</v>
      </c>
      <c r="C1250" s="9" t="n">
        <v>1185732</v>
      </c>
      <c r="D1250" s="10" t="n">
        <v>44336</v>
      </c>
      <c r="E1250" s="9" t="s">
        <v>33</v>
      </c>
      <c r="F1250" s="9" t="s">
        <v>66</v>
      </c>
      <c r="G1250" s="9" t="s">
        <v>67</v>
      </c>
      <c r="H1250" s="11" t="s">
        <v>21</v>
      </c>
      <c r="I1250" s="12" t="n">
        <v>60</v>
      </c>
      <c r="J1250" s="13" t="n">
        <v>275</v>
      </c>
      <c r="K1250" s="14" t="n">
        <f aca="false">I1250*J1250</f>
        <v>16500</v>
      </c>
      <c r="L1250" s="14" t="n">
        <f aca="false">($L$2*M1250)/100</f>
        <v>420583.275</v>
      </c>
      <c r="M1250" s="15" t="n">
        <v>0.35</v>
      </c>
      <c r="N1250" s="9" t="s">
        <v>26</v>
      </c>
    </row>
    <row r="1251" customFormat="false" ht="14.25" hidden="false" customHeight="true" outlineLevel="0" collapsed="false">
      <c r="B1251" s="9" t="s">
        <v>63</v>
      </c>
      <c r="C1251" s="9" t="n">
        <v>1185732</v>
      </c>
      <c r="D1251" s="10" t="n">
        <v>44336</v>
      </c>
      <c r="E1251" s="9" t="s">
        <v>33</v>
      </c>
      <c r="F1251" s="9" t="s">
        <v>66</v>
      </c>
      <c r="G1251" s="9" t="s">
        <v>67</v>
      </c>
      <c r="H1251" s="11" t="s">
        <v>22</v>
      </c>
      <c r="I1251" s="12" t="n">
        <v>55</v>
      </c>
      <c r="J1251" s="13" t="n">
        <v>300</v>
      </c>
      <c r="K1251" s="14" t="n">
        <f aca="false">I1251*J1251</f>
        <v>16500</v>
      </c>
      <c r="L1251" s="14" t="n">
        <f aca="false">($L$2*M1251)/100</f>
        <v>300416.625</v>
      </c>
      <c r="M1251" s="15" t="n">
        <v>0.25</v>
      </c>
      <c r="N1251" s="9" t="s">
        <v>26</v>
      </c>
    </row>
    <row r="1252" customFormat="false" ht="14.25" hidden="false" customHeight="true" outlineLevel="0" collapsed="false">
      <c r="B1252" s="9" t="s">
        <v>63</v>
      </c>
      <c r="C1252" s="9" t="n">
        <v>1185732</v>
      </c>
      <c r="D1252" s="10" t="n">
        <v>44336</v>
      </c>
      <c r="E1252" s="9" t="s">
        <v>33</v>
      </c>
      <c r="F1252" s="9" t="s">
        <v>66</v>
      </c>
      <c r="G1252" s="9" t="s">
        <v>67</v>
      </c>
      <c r="H1252" s="11" t="s">
        <v>23</v>
      </c>
      <c r="I1252" s="12" t="n">
        <v>55</v>
      </c>
      <c r="J1252" s="13" t="n">
        <v>250</v>
      </c>
      <c r="K1252" s="14" t="n">
        <f aca="false">I1252*J1252</f>
        <v>13750</v>
      </c>
      <c r="L1252" s="14" t="n">
        <f aca="false">($L$2*M1252)/100</f>
        <v>300416.625</v>
      </c>
      <c r="M1252" s="15" t="n">
        <v>0.25</v>
      </c>
      <c r="N1252" s="9" t="s">
        <v>26</v>
      </c>
    </row>
    <row r="1253" customFormat="false" ht="14.25" hidden="false" customHeight="true" outlineLevel="0" collapsed="false">
      <c r="B1253" s="9" t="s">
        <v>63</v>
      </c>
      <c r="C1253" s="9" t="n">
        <v>1185732</v>
      </c>
      <c r="D1253" s="10" t="n">
        <v>44336</v>
      </c>
      <c r="E1253" s="9" t="s">
        <v>33</v>
      </c>
      <c r="F1253" s="9" t="s">
        <v>66</v>
      </c>
      <c r="G1253" s="9" t="s">
        <v>67</v>
      </c>
      <c r="H1253" s="11" t="s">
        <v>24</v>
      </c>
      <c r="I1253" s="12" t="n">
        <v>65</v>
      </c>
      <c r="J1253" s="13" t="n">
        <v>275</v>
      </c>
      <c r="K1253" s="14" t="n">
        <f aca="false">I1253*J1253</f>
        <v>17875</v>
      </c>
      <c r="L1253" s="14" t="n">
        <f aca="false">($L$2*M1253)/100</f>
        <v>300416.625</v>
      </c>
      <c r="M1253" s="15" t="n">
        <v>0.25</v>
      </c>
      <c r="N1253" s="9" t="s">
        <v>26</v>
      </c>
    </row>
    <row r="1254" customFormat="false" ht="14.25" hidden="false" customHeight="true" outlineLevel="0" collapsed="false">
      <c r="B1254" s="9" t="s">
        <v>63</v>
      </c>
      <c r="C1254" s="9" t="n">
        <v>1185732</v>
      </c>
      <c r="D1254" s="10" t="n">
        <v>44336</v>
      </c>
      <c r="E1254" s="9" t="s">
        <v>33</v>
      </c>
      <c r="F1254" s="9" t="s">
        <v>66</v>
      </c>
      <c r="G1254" s="9" t="s">
        <v>67</v>
      </c>
      <c r="H1254" s="11" t="s">
        <v>25</v>
      </c>
      <c r="I1254" s="12" t="n">
        <v>70</v>
      </c>
      <c r="J1254" s="13" t="n">
        <v>400</v>
      </c>
      <c r="K1254" s="14" t="n">
        <f aca="false">I1254*J1254</f>
        <v>28000</v>
      </c>
      <c r="L1254" s="14" t="n">
        <f aca="false">($L$2*M1254)/100</f>
        <v>360499.95</v>
      </c>
      <c r="M1254" s="15" t="n">
        <v>0.3</v>
      </c>
      <c r="N1254" s="9" t="s">
        <v>26</v>
      </c>
    </row>
    <row r="1255" customFormat="false" ht="14.25" hidden="false" customHeight="true" outlineLevel="0" collapsed="false">
      <c r="B1255" s="9" t="s">
        <v>63</v>
      </c>
      <c r="C1255" s="9" t="n">
        <v>1185732</v>
      </c>
      <c r="D1255" s="10" t="n">
        <v>44369</v>
      </c>
      <c r="E1255" s="9" t="s">
        <v>33</v>
      </c>
      <c r="F1255" s="9" t="s">
        <v>66</v>
      </c>
      <c r="G1255" s="9" t="s">
        <v>67</v>
      </c>
      <c r="H1255" s="11" t="s">
        <v>19</v>
      </c>
      <c r="I1255" s="12" t="n">
        <v>65</v>
      </c>
      <c r="J1255" s="13" t="n">
        <v>650</v>
      </c>
      <c r="K1255" s="14" t="n">
        <f aca="false">I1255*J1255</f>
        <v>42250</v>
      </c>
      <c r="L1255" s="14" t="n">
        <f aca="false">($L$2*M1255)/100</f>
        <v>420583.275</v>
      </c>
      <c r="M1255" s="15" t="n">
        <v>0.35</v>
      </c>
      <c r="N1255" s="9" t="s">
        <v>26</v>
      </c>
    </row>
    <row r="1256" customFormat="false" ht="14.25" hidden="false" customHeight="true" outlineLevel="0" collapsed="false">
      <c r="B1256" s="9" t="s">
        <v>63</v>
      </c>
      <c r="C1256" s="9" t="n">
        <v>1185732</v>
      </c>
      <c r="D1256" s="10" t="n">
        <v>44369</v>
      </c>
      <c r="E1256" s="9" t="s">
        <v>33</v>
      </c>
      <c r="F1256" s="9" t="s">
        <v>66</v>
      </c>
      <c r="G1256" s="9" t="s">
        <v>67</v>
      </c>
      <c r="H1256" s="11" t="s">
        <v>21</v>
      </c>
      <c r="I1256" s="12" t="n">
        <v>60</v>
      </c>
      <c r="J1256" s="13" t="n">
        <v>400</v>
      </c>
      <c r="K1256" s="14" t="n">
        <f aca="false">I1256*J1256</f>
        <v>24000</v>
      </c>
      <c r="L1256" s="14" t="n">
        <f aca="false">($L$2*M1256)/100</f>
        <v>420583.275</v>
      </c>
      <c r="M1256" s="15" t="n">
        <v>0.35</v>
      </c>
      <c r="N1256" s="9" t="s">
        <v>26</v>
      </c>
    </row>
    <row r="1257" customFormat="false" ht="14.25" hidden="false" customHeight="true" outlineLevel="0" collapsed="false">
      <c r="B1257" s="9" t="s">
        <v>63</v>
      </c>
      <c r="C1257" s="9" t="n">
        <v>1185732</v>
      </c>
      <c r="D1257" s="10" t="n">
        <v>44369</v>
      </c>
      <c r="E1257" s="9" t="s">
        <v>33</v>
      </c>
      <c r="F1257" s="9" t="s">
        <v>66</v>
      </c>
      <c r="G1257" s="9" t="s">
        <v>67</v>
      </c>
      <c r="H1257" s="11" t="s">
        <v>22</v>
      </c>
      <c r="I1257" s="12" t="n">
        <v>55</v>
      </c>
      <c r="J1257" s="13" t="n">
        <v>325</v>
      </c>
      <c r="K1257" s="14" t="n">
        <f aca="false">I1257*J1257</f>
        <v>17875</v>
      </c>
      <c r="L1257" s="14" t="n">
        <f aca="false">($L$2*M1257)/100</f>
        <v>300416.625</v>
      </c>
      <c r="M1257" s="15" t="n">
        <v>0.25</v>
      </c>
      <c r="N1257" s="9" t="s">
        <v>26</v>
      </c>
    </row>
    <row r="1258" customFormat="false" ht="14.25" hidden="false" customHeight="true" outlineLevel="0" collapsed="false">
      <c r="B1258" s="9" t="s">
        <v>63</v>
      </c>
      <c r="C1258" s="9" t="n">
        <v>1185732</v>
      </c>
      <c r="D1258" s="10" t="n">
        <v>44369</v>
      </c>
      <c r="E1258" s="9" t="s">
        <v>33</v>
      </c>
      <c r="F1258" s="9" t="s">
        <v>66</v>
      </c>
      <c r="G1258" s="9" t="s">
        <v>67</v>
      </c>
      <c r="H1258" s="11" t="s">
        <v>23</v>
      </c>
      <c r="I1258" s="12" t="n">
        <v>55</v>
      </c>
      <c r="J1258" s="13" t="n">
        <v>300</v>
      </c>
      <c r="K1258" s="14" t="n">
        <f aca="false">I1258*J1258</f>
        <v>16500</v>
      </c>
      <c r="L1258" s="14" t="n">
        <f aca="false">($L$2*M1258)/100</f>
        <v>300416.625</v>
      </c>
      <c r="M1258" s="15" t="n">
        <v>0.25</v>
      </c>
      <c r="N1258" s="9" t="s">
        <v>26</v>
      </c>
    </row>
    <row r="1259" customFormat="false" ht="14.25" hidden="false" customHeight="true" outlineLevel="0" collapsed="false">
      <c r="B1259" s="9" t="s">
        <v>63</v>
      </c>
      <c r="C1259" s="9" t="n">
        <v>1185732</v>
      </c>
      <c r="D1259" s="10" t="n">
        <v>44369</v>
      </c>
      <c r="E1259" s="9" t="s">
        <v>33</v>
      </c>
      <c r="F1259" s="9" t="s">
        <v>66</v>
      </c>
      <c r="G1259" s="9" t="s">
        <v>67</v>
      </c>
      <c r="H1259" s="11" t="s">
        <v>24</v>
      </c>
      <c r="I1259" s="12" t="n">
        <v>65</v>
      </c>
      <c r="J1259" s="13" t="n">
        <v>300</v>
      </c>
      <c r="K1259" s="14" t="n">
        <f aca="false">I1259*J1259</f>
        <v>19500</v>
      </c>
      <c r="L1259" s="14" t="n">
        <f aca="false">($L$2*M1259)/100</f>
        <v>300416.625</v>
      </c>
      <c r="M1259" s="15" t="n">
        <v>0.25</v>
      </c>
      <c r="N1259" s="9" t="s">
        <v>26</v>
      </c>
    </row>
    <row r="1260" customFormat="false" ht="14.25" hidden="false" customHeight="true" outlineLevel="0" collapsed="false">
      <c r="B1260" s="9" t="s">
        <v>63</v>
      </c>
      <c r="C1260" s="9" t="n">
        <v>1185732</v>
      </c>
      <c r="D1260" s="10" t="n">
        <v>44369</v>
      </c>
      <c r="E1260" s="9" t="s">
        <v>33</v>
      </c>
      <c r="F1260" s="9" t="s">
        <v>66</v>
      </c>
      <c r="G1260" s="9" t="s">
        <v>67</v>
      </c>
      <c r="H1260" s="11" t="s">
        <v>25</v>
      </c>
      <c r="I1260" s="12" t="n">
        <v>70</v>
      </c>
      <c r="J1260" s="13" t="n">
        <v>450</v>
      </c>
      <c r="K1260" s="14" t="n">
        <f aca="false">I1260*J1260</f>
        <v>31500</v>
      </c>
      <c r="L1260" s="14" t="n">
        <f aca="false">($L$2*M1260)/100</f>
        <v>360499.95</v>
      </c>
      <c r="M1260" s="15" t="n">
        <v>0.3</v>
      </c>
      <c r="N1260" s="9" t="s">
        <v>26</v>
      </c>
    </row>
    <row r="1261" customFormat="false" ht="14.25" hidden="false" customHeight="true" outlineLevel="0" collapsed="false">
      <c r="B1261" s="9" t="s">
        <v>63</v>
      </c>
      <c r="C1261" s="9" t="n">
        <v>1185732</v>
      </c>
      <c r="D1261" s="10" t="n">
        <v>44397</v>
      </c>
      <c r="E1261" s="9" t="s">
        <v>33</v>
      </c>
      <c r="F1261" s="9" t="s">
        <v>66</v>
      </c>
      <c r="G1261" s="9" t="s">
        <v>67</v>
      </c>
      <c r="H1261" s="11" t="s">
        <v>19</v>
      </c>
      <c r="I1261" s="12" t="n">
        <v>65</v>
      </c>
      <c r="J1261" s="13" t="n">
        <v>675</v>
      </c>
      <c r="K1261" s="14" t="n">
        <f aca="false">I1261*J1261</f>
        <v>43875</v>
      </c>
      <c r="L1261" s="14" t="n">
        <f aca="false">($L$2*M1261)/100</f>
        <v>420583.275</v>
      </c>
      <c r="M1261" s="15" t="n">
        <v>0.35</v>
      </c>
      <c r="N1261" s="9" t="s">
        <v>26</v>
      </c>
    </row>
    <row r="1262" customFormat="false" ht="14.25" hidden="false" customHeight="true" outlineLevel="0" collapsed="false">
      <c r="B1262" s="9" t="s">
        <v>63</v>
      </c>
      <c r="C1262" s="9" t="n">
        <v>1185732</v>
      </c>
      <c r="D1262" s="10" t="n">
        <v>44397</v>
      </c>
      <c r="E1262" s="9" t="s">
        <v>33</v>
      </c>
      <c r="F1262" s="9" t="s">
        <v>66</v>
      </c>
      <c r="G1262" s="9" t="s">
        <v>67</v>
      </c>
      <c r="H1262" s="11" t="s">
        <v>21</v>
      </c>
      <c r="I1262" s="12" t="n">
        <v>60</v>
      </c>
      <c r="J1262" s="13" t="n">
        <v>425</v>
      </c>
      <c r="K1262" s="14" t="n">
        <f aca="false">I1262*J1262</f>
        <v>25500</v>
      </c>
      <c r="L1262" s="14" t="n">
        <f aca="false">($L$2*M1262)/100</f>
        <v>420583.275</v>
      </c>
      <c r="M1262" s="15" t="n">
        <v>0.35</v>
      </c>
      <c r="N1262" s="9" t="s">
        <v>26</v>
      </c>
    </row>
    <row r="1263" customFormat="false" ht="14.25" hidden="false" customHeight="true" outlineLevel="0" collapsed="false">
      <c r="B1263" s="9" t="s">
        <v>63</v>
      </c>
      <c r="C1263" s="9" t="n">
        <v>1185732</v>
      </c>
      <c r="D1263" s="10" t="n">
        <v>44397</v>
      </c>
      <c r="E1263" s="9" t="s">
        <v>33</v>
      </c>
      <c r="F1263" s="9" t="s">
        <v>66</v>
      </c>
      <c r="G1263" s="9" t="s">
        <v>67</v>
      </c>
      <c r="H1263" s="11" t="s">
        <v>22</v>
      </c>
      <c r="I1263" s="12" t="n">
        <v>55</v>
      </c>
      <c r="J1263" s="13" t="n">
        <v>350</v>
      </c>
      <c r="K1263" s="14" t="n">
        <f aca="false">I1263*J1263</f>
        <v>19250</v>
      </c>
      <c r="L1263" s="14" t="n">
        <f aca="false">($L$2*M1263)/100</f>
        <v>300416.625</v>
      </c>
      <c r="M1263" s="15" t="n">
        <v>0.25</v>
      </c>
      <c r="N1263" s="9" t="s">
        <v>26</v>
      </c>
    </row>
    <row r="1264" customFormat="false" ht="14.25" hidden="false" customHeight="true" outlineLevel="0" collapsed="false">
      <c r="B1264" s="9" t="s">
        <v>63</v>
      </c>
      <c r="C1264" s="9" t="n">
        <v>1185732</v>
      </c>
      <c r="D1264" s="10" t="n">
        <v>44397</v>
      </c>
      <c r="E1264" s="9" t="s">
        <v>33</v>
      </c>
      <c r="F1264" s="9" t="s">
        <v>66</v>
      </c>
      <c r="G1264" s="9" t="s">
        <v>67</v>
      </c>
      <c r="H1264" s="11" t="s">
        <v>23</v>
      </c>
      <c r="I1264" s="12" t="n">
        <v>55</v>
      </c>
      <c r="J1264" s="13" t="n">
        <v>300</v>
      </c>
      <c r="K1264" s="14" t="n">
        <f aca="false">I1264*J1264</f>
        <v>16500</v>
      </c>
      <c r="L1264" s="14" t="n">
        <f aca="false">($L$2*M1264)/100</f>
        <v>300416.625</v>
      </c>
      <c r="M1264" s="15" t="n">
        <v>0.25</v>
      </c>
      <c r="N1264" s="9" t="s">
        <v>26</v>
      </c>
    </row>
    <row r="1265" customFormat="false" ht="14.25" hidden="false" customHeight="true" outlineLevel="0" collapsed="false">
      <c r="B1265" s="9" t="s">
        <v>63</v>
      </c>
      <c r="C1265" s="9" t="n">
        <v>1185732</v>
      </c>
      <c r="D1265" s="10" t="n">
        <v>44397</v>
      </c>
      <c r="E1265" s="9" t="s">
        <v>33</v>
      </c>
      <c r="F1265" s="9" t="s">
        <v>66</v>
      </c>
      <c r="G1265" s="9" t="s">
        <v>67</v>
      </c>
      <c r="H1265" s="11" t="s">
        <v>24</v>
      </c>
      <c r="I1265" s="12" t="n">
        <v>65</v>
      </c>
      <c r="J1265" s="13" t="n">
        <v>325</v>
      </c>
      <c r="K1265" s="14" t="n">
        <f aca="false">I1265*J1265</f>
        <v>21125</v>
      </c>
      <c r="L1265" s="14" t="n">
        <f aca="false">($L$2*M1265)/100</f>
        <v>300416.625</v>
      </c>
      <c r="M1265" s="15" t="n">
        <v>0.25</v>
      </c>
      <c r="N1265" s="9" t="s">
        <v>26</v>
      </c>
    </row>
    <row r="1266" customFormat="false" ht="14.25" hidden="false" customHeight="true" outlineLevel="0" collapsed="false">
      <c r="B1266" s="9" t="s">
        <v>63</v>
      </c>
      <c r="C1266" s="9" t="n">
        <v>1185732</v>
      </c>
      <c r="D1266" s="10" t="n">
        <v>44397</v>
      </c>
      <c r="E1266" s="9" t="s">
        <v>33</v>
      </c>
      <c r="F1266" s="9" t="s">
        <v>66</v>
      </c>
      <c r="G1266" s="9" t="s">
        <v>67</v>
      </c>
      <c r="H1266" s="11" t="s">
        <v>25</v>
      </c>
      <c r="I1266" s="12" t="n">
        <v>70</v>
      </c>
      <c r="J1266" s="13" t="n">
        <v>500</v>
      </c>
      <c r="K1266" s="14" t="n">
        <f aca="false">I1266*J1266</f>
        <v>35000</v>
      </c>
      <c r="L1266" s="14" t="n">
        <f aca="false">($L$2*M1266)/100</f>
        <v>360499.95</v>
      </c>
      <c r="M1266" s="15" t="n">
        <v>0.3</v>
      </c>
      <c r="N1266" s="9" t="s">
        <v>26</v>
      </c>
    </row>
    <row r="1267" customFormat="false" ht="14.25" hidden="false" customHeight="true" outlineLevel="0" collapsed="false">
      <c r="B1267" s="9" t="s">
        <v>63</v>
      </c>
      <c r="C1267" s="9" t="n">
        <v>1185732</v>
      </c>
      <c r="D1267" s="10" t="n">
        <v>44429</v>
      </c>
      <c r="E1267" s="9" t="s">
        <v>33</v>
      </c>
      <c r="F1267" s="9" t="s">
        <v>66</v>
      </c>
      <c r="G1267" s="9" t="s">
        <v>67</v>
      </c>
      <c r="H1267" s="11" t="s">
        <v>19</v>
      </c>
      <c r="I1267" s="12" t="n">
        <v>65</v>
      </c>
      <c r="J1267" s="13" t="n">
        <v>650</v>
      </c>
      <c r="K1267" s="14" t="n">
        <f aca="false">I1267*J1267</f>
        <v>42250</v>
      </c>
      <c r="L1267" s="14" t="n">
        <f aca="false">($L$2*M1267)/100</f>
        <v>420583.275</v>
      </c>
      <c r="M1267" s="15" t="n">
        <v>0.35</v>
      </c>
      <c r="N1267" s="9" t="s">
        <v>26</v>
      </c>
    </row>
    <row r="1268" customFormat="false" ht="14.25" hidden="false" customHeight="true" outlineLevel="0" collapsed="false">
      <c r="B1268" s="9" t="s">
        <v>63</v>
      </c>
      <c r="C1268" s="9" t="n">
        <v>1185732</v>
      </c>
      <c r="D1268" s="10" t="n">
        <v>44429</v>
      </c>
      <c r="E1268" s="9" t="s">
        <v>33</v>
      </c>
      <c r="F1268" s="9" t="s">
        <v>66</v>
      </c>
      <c r="G1268" s="9" t="s">
        <v>67</v>
      </c>
      <c r="H1268" s="11" t="s">
        <v>21</v>
      </c>
      <c r="I1268" s="12" t="n">
        <v>60</v>
      </c>
      <c r="J1268" s="13" t="n">
        <v>425</v>
      </c>
      <c r="K1268" s="14" t="n">
        <f aca="false">I1268*J1268</f>
        <v>25500</v>
      </c>
      <c r="L1268" s="14" t="n">
        <f aca="false">($L$2*M1268)/100</f>
        <v>420583.275</v>
      </c>
      <c r="M1268" s="15" t="n">
        <v>0.35</v>
      </c>
      <c r="N1268" s="9" t="s">
        <v>26</v>
      </c>
    </row>
    <row r="1269" customFormat="false" ht="14.25" hidden="false" customHeight="true" outlineLevel="0" collapsed="false">
      <c r="B1269" s="9" t="s">
        <v>63</v>
      </c>
      <c r="C1269" s="9" t="n">
        <v>1185732</v>
      </c>
      <c r="D1269" s="10" t="n">
        <v>44429</v>
      </c>
      <c r="E1269" s="9" t="s">
        <v>33</v>
      </c>
      <c r="F1269" s="9" t="s">
        <v>66</v>
      </c>
      <c r="G1269" s="9" t="s">
        <v>67</v>
      </c>
      <c r="H1269" s="11" t="s">
        <v>22</v>
      </c>
      <c r="I1269" s="12" t="n">
        <v>55</v>
      </c>
      <c r="J1269" s="13" t="n">
        <v>350</v>
      </c>
      <c r="K1269" s="14" t="n">
        <f aca="false">I1269*J1269</f>
        <v>19250</v>
      </c>
      <c r="L1269" s="14" t="n">
        <f aca="false">($L$2*M1269)/100</f>
        <v>300416.625</v>
      </c>
      <c r="M1269" s="15" t="n">
        <v>0.25</v>
      </c>
      <c r="N1269" s="9" t="s">
        <v>26</v>
      </c>
    </row>
    <row r="1270" customFormat="false" ht="14.25" hidden="false" customHeight="true" outlineLevel="0" collapsed="false">
      <c r="B1270" s="9" t="s">
        <v>63</v>
      </c>
      <c r="C1270" s="9" t="n">
        <v>1185732</v>
      </c>
      <c r="D1270" s="10" t="n">
        <v>44429</v>
      </c>
      <c r="E1270" s="9" t="s">
        <v>33</v>
      </c>
      <c r="F1270" s="9" t="s">
        <v>66</v>
      </c>
      <c r="G1270" s="9" t="s">
        <v>67</v>
      </c>
      <c r="H1270" s="11" t="s">
        <v>23</v>
      </c>
      <c r="I1270" s="12" t="n">
        <v>55</v>
      </c>
      <c r="J1270" s="13" t="n">
        <v>250</v>
      </c>
      <c r="K1270" s="14" t="n">
        <f aca="false">I1270*J1270</f>
        <v>13750</v>
      </c>
      <c r="L1270" s="14" t="n">
        <f aca="false">($L$2*M1270)/100</f>
        <v>300416.625</v>
      </c>
      <c r="M1270" s="15" t="n">
        <v>0.25</v>
      </c>
      <c r="N1270" s="9" t="s">
        <v>26</v>
      </c>
    </row>
    <row r="1271" customFormat="false" ht="14.25" hidden="false" customHeight="true" outlineLevel="0" collapsed="false">
      <c r="B1271" s="9" t="s">
        <v>63</v>
      </c>
      <c r="C1271" s="9" t="n">
        <v>1185732</v>
      </c>
      <c r="D1271" s="10" t="n">
        <v>44429</v>
      </c>
      <c r="E1271" s="9" t="s">
        <v>33</v>
      </c>
      <c r="F1271" s="9" t="s">
        <v>66</v>
      </c>
      <c r="G1271" s="9" t="s">
        <v>67</v>
      </c>
      <c r="H1271" s="11" t="s">
        <v>24</v>
      </c>
      <c r="I1271" s="12" t="n">
        <v>65</v>
      </c>
      <c r="J1271" s="13" t="n">
        <v>225</v>
      </c>
      <c r="K1271" s="14" t="n">
        <f aca="false">I1271*J1271</f>
        <v>14625</v>
      </c>
      <c r="L1271" s="14" t="n">
        <f aca="false">($L$2*M1271)/100</f>
        <v>300416.625</v>
      </c>
      <c r="M1271" s="15" t="n">
        <v>0.25</v>
      </c>
      <c r="N1271" s="9" t="s">
        <v>26</v>
      </c>
    </row>
    <row r="1272" customFormat="false" ht="14.25" hidden="false" customHeight="true" outlineLevel="0" collapsed="false">
      <c r="B1272" s="9" t="s">
        <v>63</v>
      </c>
      <c r="C1272" s="9" t="n">
        <v>1185732</v>
      </c>
      <c r="D1272" s="10" t="n">
        <v>44429</v>
      </c>
      <c r="E1272" s="9" t="s">
        <v>33</v>
      </c>
      <c r="F1272" s="9" t="s">
        <v>66</v>
      </c>
      <c r="G1272" s="9" t="s">
        <v>67</v>
      </c>
      <c r="H1272" s="11" t="s">
        <v>25</v>
      </c>
      <c r="I1272" s="12" t="n">
        <v>70</v>
      </c>
      <c r="J1272" s="13" t="n">
        <v>400</v>
      </c>
      <c r="K1272" s="14" t="n">
        <f aca="false">I1272*J1272</f>
        <v>28000</v>
      </c>
      <c r="L1272" s="14" t="n">
        <f aca="false">($L$2*M1272)/100</f>
        <v>360499.95</v>
      </c>
      <c r="M1272" s="15" t="n">
        <v>0.3</v>
      </c>
      <c r="N1272" s="9" t="s">
        <v>26</v>
      </c>
    </row>
    <row r="1273" customFormat="false" ht="14.25" hidden="false" customHeight="true" outlineLevel="0" collapsed="false">
      <c r="B1273" s="9" t="s">
        <v>63</v>
      </c>
      <c r="C1273" s="9" t="n">
        <v>1185732</v>
      </c>
      <c r="D1273" s="10" t="n">
        <v>44459</v>
      </c>
      <c r="E1273" s="9" t="s">
        <v>33</v>
      </c>
      <c r="F1273" s="9" t="s">
        <v>66</v>
      </c>
      <c r="G1273" s="9" t="s">
        <v>67</v>
      </c>
      <c r="H1273" s="11" t="s">
        <v>19</v>
      </c>
      <c r="I1273" s="12" t="n">
        <v>65</v>
      </c>
      <c r="J1273" s="13" t="n">
        <v>525</v>
      </c>
      <c r="K1273" s="14" t="n">
        <f aca="false">I1273*J1273</f>
        <v>34125</v>
      </c>
      <c r="L1273" s="14" t="n">
        <f aca="false">($L$2*M1273)/100</f>
        <v>420583.275</v>
      </c>
      <c r="M1273" s="15" t="n">
        <v>0.35</v>
      </c>
      <c r="N1273" s="9" t="s">
        <v>26</v>
      </c>
    </row>
    <row r="1274" customFormat="false" ht="14.25" hidden="false" customHeight="true" outlineLevel="0" collapsed="false">
      <c r="B1274" s="9" t="s">
        <v>63</v>
      </c>
      <c r="C1274" s="9" t="n">
        <v>1185732</v>
      </c>
      <c r="D1274" s="10" t="n">
        <v>44459</v>
      </c>
      <c r="E1274" s="9" t="s">
        <v>33</v>
      </c>
      <c r="F1274" s="9" t="s">
        <v>66</v>
      </c>
      <c r="G1274" s="9" t="s">
        <v>67</v>
      </c>
      <c r="H1274" s="11" t="s">
        <v>21</v>
      </c>
      <c r="I1274" s="12" t="n">
        <v>60</v>
      </c>
      <c r="J1274" s="13" t="n">
        <v>325</v>
      </c>
      <c r="K1274" s="14" t="n">
        <f aca="false">I1274*J1274</f>
        <v>19500</v>
      </c>
      <c r="L1274" s="14" t="n">
        <f aca="false">($L$2*M1274)/100</f>
        <v>420583.275</v>
      </c>
      <c r="M1274" s="15" t="n">
        <v>0.35</v>
      </c>
      <c r="N1274" s="9" t="s">
        <v>26</v>
      </c>
    </row>
    <row r="1275" customFormat="false" ht="14.25" hidden="false" customHeight="true" outlineLevel="0" collapsed="false">
      <c r="B1275" s="9" t="s">
        <v>63</v>
      </c>
      <c r="C1275" s="9" t="n">
        <v>1185732</v>
      </c>
      <c r="D1275" s="10" t="n">
        <v>44459</v>
      </c>
      <c r="E1275" s="9" t="s">
        <v>33</v>
      </c>
      <c r="F1275" s="9" t="s">
        <v>66</v>
      </c>
      <c r="G1275" s="9" t="s">
        <v>67</v>
      </c>
      <c r="H1275" s="11" t="s">
        <v>22</v>
      </c>
      <c r="I1275" s="12" t="n">
        <v>55</v>
      </c>
      <c r="J1275" s="13" t="n">
        <v>225</v>
      </c>
      <c r="K1275" s="14" t="n">
        <f aca="false">I1275*J1275</f>
        <v>12375</v>
      </c>
      <c r="L1275" s="14" t="n">
        <f aca="false">($L$2*M1275)/100</f>
        <v>300416.625</v>
      </c>
      <c r="M1275" s="15" t="n">
        <v>0.25</v>
      </c>
      <c r="N1275" s="9" t="s">
        <v>26</v>
      </c>
    </row>
    <row r="1276" customFormat="false" ht="14.25" hidden="false" customHeight="true" outlineLevel="0" collapsed="false">
      <c r="B1276" s="9" t="s">
        <v>63</v>
      </c>
      <c r="C1276" s="9" t="n">
        <v>1185732</v>
      </c>
      <c r="D1276" s="10" t="n">
        <v>44459</v>
      </c>
      <c r="E1276" s="9" t="s">
        <v>33</v>
      </c>
      <c r="F1276" s="9" t="s">
        <v>66</v>
      </c>
      <c r="G1276" s="9" t="s">
        <v>67</v>
      </c>
      <c r="H1276" s="11" t="s">
        <v>23</v>
      </c>
      <c r="I1276" s="12" t="n">
        <v>55</v>
      </c>
      <c r="J1276" s="13" t="n">
        <v>200</v>
      </c>
      <c r="K1276" s="14" t="n">
        <f aca="false">I1276*J1276</f>
        <v>11000</v>
      </c>
      <c r="L1276" s="14" t="n">
        <f aca="false">($L$2*M1276)/100</f>
        <v>300416.625</v>
      </c>
      <c r="M1276" s="15" t="n">
        <v>0.25</v>
      </c>
      <c r="N1276" s="9" t="s">
        <v>26</v>
      </c>
    </row>
    <row r="1277" customFormat="false" ht="14.25" hidden="false" customHeight="true" outlineLevel="0" collapsed="false">
      <c r="B1277" s="9" t="s">
        <v>63</v>
      </c>
      <c r="C1277" s="9" t="n">
        <v>1185732</v>
      </c>
      <c r="D1277" s="10" t="n">
        <v>44459</v>
      </c>
      <c r="E1277" s="9" t="s">
        <v>33</v>
      </c>
      <c r="F1277" s="9" t="s">
        <v>66</v>
      </c>
      <c r="G1277" s="9" t="s">
        <v>67</v>
      </c>
      <c r="H1277" s="11" t="s">
        <v>24</v>
      </c>
      <c r="I1277" s="12" t="n">
        <v>65</v>
      </c>
      <c r="J1277" s="13" t="n">
        <v>200</v>
      </c>
      <c r="K1277" s="14" t="n">
        <f aca="false">I1277*J1277</f>
        <v>13000</v>
      </c>
      <c r="L1277" s="14" t="n">
        <f aca="false">($L$2*M1277)/100</f>
        <v>300416.625</v>
      </c>
      <c r="M1277" s="15" t="n">
        <v>0.25</v>
      </c>
      <c r="N1277" s="9" t="s">
        <v>26</v>
      </c>
    </row>
    <row r="1278" customFormat="false" ht="14.25" hidden="false" customHeight="true" outlineLevel="0" collapsed="false">
      <c r="B1278" s="9" t="s">
        <v>63</v>
      </c>
      <c r="C1278" s="9" t="n">
        <v>1185732</v>
      </c>
      <c r="D1278" s="10" t="n">
        <v>44459</v>
      </c>
      <c r="E1278" s="9" t="s">
        <v>33</v>
      </c>
      <c r="F1278" s="9" t="s">
        <v>66</v>
      </c>
      <c r="G1278" s="9" t="s">
        <v>67</v>
      </c>
      <c r="H1278" s="11" t="s">
        <v>25</v>
      </c>
      <c r="I1278" s="12" t="n">
        <v>70</v>
      </c>
      <c r="J1278" s="13" t="n">
        <v>300</v>
      </c>
      <c r="K1278" s="14" t="n">
        <f aca="false">I1278*J1278</f>
        <v>21000</v>
      </c>
      <c r="L1278" s="14" t="n">
        <f aca="false">($L$2*M1278)/100</f>
        <v>360499.95</v>
      </c>
      <c r="M1278" s="15" t="n">
        <v>0.3</v>
      </c>
      <c r="N1278" s="9" t="s">
        <v>26</v>
      </c>
    </row>
    <row r="1279" customFormat="false" ht="14.25" hidden="false" customHeight="true" outlineLevel="0" collapsed="false">
      <c r="B1279" s="9" t="s">
        <v>63</v>
      </c>
      <c r="C1279" s="9" t="n">
        <v>1185732</v>
      </c>
      <c r="D1279" s="10" t="n">
        <v>44491</v>
      </c>
      <c r="E1279" s="9" t="s">
        <v>33</v>
      </c>
      <c r="F1279" s="9" t="s">
        <v>66</v>
      </c>
      <c r="G1279" s="9" t="s">
        <v>67</v>
      </c>
      <c r="H1279" s="11" t="s">
        <v>19</v>
      </c>
      <c r="I1279" s="12" t="n">
        <v>70</v>
      </c>
      <c r="J1279" s="13" t="n">
        <v>450</v>
      </c>
      <c r="K1279" s="14" t="n">
        <f aca="false">I1279*J1279</f>
        <v>31500</v>
      </c>
      <c r="L1279" s="14" t="n">
        <f aca="false">($L$2*M1279)/100</f>
        <v>420583.275</v>
      </c>
      <c r="M1279" s="15" t="n">
        <v>0.35</v>
      </c>
      <c r="N1279" s="9" t="s">
        <v>26</v>
      </c>
    </row>
    <row r="1280" customFormat="false" ht="14.25" hidden="false" customHeight="true" outlineLevel="0" collapsed="false">
      <c r="B1280" s="9" t="s">
        <v>63</v>
      </c>
      <c r="C1280" s="9" t="n">
        <v>1185732</v>
      </c>
      <c r="D1280" s="10" t="n">
        <v>44491</v>
      </c>
      <c r="E1280" s="9" t="s">
        <v>33</v>
      </c>
      <c r="F1280" s="9" t="s">
        <v>66</v>
      </c>
      <c r="G1280" s="9" t="s">
        <v>67</v>
      </c>
      <c r="H1280" s="11" t="s">
        <v>21</v>
      </c>
      <c r="I1280" s="12" t="n">
        <v>65</v>
      </c>
      <c r="J1280" s="13" t="n">
        <v>275</v>
      </c>
      <c r="K1280" s="14" t="n">
        <f aca="false">I1280*J1280</f>
        <v>17875</v>
      </c>
      <c r="L1280" s="14" t="n">
        <f aca="false">($L$2*M1280)/100</f>
        <v>420583.275</v>
      </c>
      <c r="M1280" s="15" t="n">
        <v>0.35</v>
      </c>
      <c r="N1280" s="9" t="s">
        <v>26</v>
      </c>
    </row>
    <row r="1281" customFormat="false" ht="14.25" hidden="false" customHeight="true" outlineLevel="0" collapsed="false">
      <c r="B1281" s="9" t="s">
        <v>63</v>
      </c>
      <c r="C1281" s="9" t="n">
        <v>1185732</v>
      </c>
      <c r="D1281" s="10" t="n">
        <v>44491</v>
      </c>
      <c r="E1281" s="9" t="s">
        <v>33</v>
      </c>
      <c r="F1281" s="9" t="s">
        <v>66</v>
      </c>
      <c r="G1281" s="9" t="s">
        <v>67</v>
      </c>
      <c r="H1281" s="11" t="s">
        <v>22</v>
      </c>
      <c r="I1281" s="12" t="n">
        <v>65</v>
      </c>
      <c r="J1281" s="13" t="n">
        <v>175</v>
      </c>
      <c r="K1281" s="14" t="n">
        <f aca="false">I1281*J1281</f>
        <v>11375</v>
      </c>
      <c r="L1281" s="14" t="n">
        <f aca="false">($L$2*M1281)/100</f>
        <v>300416.625</v>
      </c>
      <c r="M1281" s="15" t="n">
        <v>0.25</v>
      </c>
      <c r="N1281" s="9" t="s">
        <v>26</v>
      </c>
    </row>
    <row r="1282" customFormat="false" ht="14.25" hidden="false" customHeight="true" outlineLevel="0" collapsed="false">
      <c r="B1282" s="9" t="s">
        <v>63</v>
      </c>
      <c r="C1282" s="9" t="n">
        <v>1185732</v>
      </c>
      <c r="D1282" s="10" t="n">
        <v>44491</v>
      </c>
      <c r="E1282" s="9" t="s">
        <v>33</v>
      </c>
      <c r="F1282" s="9" t="s">
        <v>66</v>
      </c>
      <c r="G1282" s="9" t="s">
        <v>67</v>
      </c>
      <c r="H1282" s="11" t="s">
        <v>23</v>
      </c>
      <c r="I1282" s="12" t="n">
        <v>65</v>
      </c>
      <c r="J1282" s="13" t="n">
        <v>150</v>
      </c>
      <c r="K1282" s="14" t="n">
        <f aca="false">I1282*J1282</f>
        <v>9750</v>
      </c>
      <c r="L1282" s="14" t="n">
        <f aca="false">($L$2*M1282)/100</f>
        <v>300416.625</v>
      </c>
      <c r="M1282" s="15" t="n">
        <v>0.25</v>
      </c>
      <c r="N1282" s="9" t="s">
        <v>26</v>
      </c>
    </row>
    <row r="1283" customFormat="false" ht="14.25" hidden="false" customHeight="true" outlineLevel="0" collapsed="false">
      <c r="B1283" s="9" t="s">
        <v>63</v>
      </c>
      <c r="C1283" s="9" t="n">
        <v>1185732</v>
      </c>
      <c r="D1283" s="10" t="n">
        <v>44491</v>
      </c>
      <c r="E1283" s="9" t="s">
        <v>33</v>
      </c>
      <c r="F1283" s="9" t="s">
        <v>66</v>
      </c>
      <c r="G1283" s="9" t="s">
        <v>67</v>
      </c>
      <c r="H1283" s="11" t="s">
        <v>24</v>
      </c>
      <c r="I1283" s="12" t="n">
        <v>75</v>
      </c>
      <c r="J1283" s="13" t="n">
        <v>150</v>
      </c>
      <c r="K1283" s="14" t="n">
        <f aca="false">I1283*J1283</f>
        <v>11250</v>
      </c>
      <c r="L1283" s="14" t="n">
        <f aca="false">($L$2*M1283)/100</f>
        <v>300416.625</v>
      </c>
      <c r="M1283" s="15" t="n">
        <v>0.25</v>
      </c>
      <c r="N1283" s="9" t="s">
        <v>26</v>
      </c>
    </row>
    <row r="1284" customFormat="false" ht="14.25" hidden="false" customHeight="true" outlineLevel="0" collapsed="false">
      <c r="B1284" s="9" t="s">
        <v>63</v>
      </c>
      <c r="C1284" s="9" t="n">
        <v>1185732</v>
      </c>
      <c r="D1284" s="10" t="n">
        <v>44491</v>
      </c>
      <c r="E1284" s="9" t="s">
        <v>33</v>
      </c>
      <c r="F1284" s="9" t="s">
        <v>66</v>
      </c>
      <c r="G1284" s="9" t="s">
        <v>67</v>
      </c>
      <c r="H1284" s="11" t="s">
        <v>25</v>
      </c>
      <c r="I1284" s="12" t="n">
        <v>80</v>
      </c>
      <c r="J1284" s="13" t="n">
        <v>275</v>
      </c>
      <c r="K1284" s="14" t="n">
        <f aca="false">I1284*J1284</f>
        <v>22000</v>
      </c>
      <c r="L1284" s="14" t="n">
        <f aca="false">($L$2*M1284)/100</f>
        <v>360499.95</v>
      </c>
      <c r="M1284" s="15" t="n">
        <v>0.3</v>
      </c>
      <c r="N1284" s="9" t="s">
        <v>26</v>
      </c>
    </row>
    <row r="1285" customFormat="false" ht="14.25" hidden="false" customHeight="true" outlineLevel="0" collapsed="false">
      <c r="B1285" s="9" t="s">
        <v>63</v>
      </c>
      <c r="C1285" s="9" t="n">
        <v>1185732</v>
      </c>
      <c r="D1285" s="10" t="n">
        <v>44521</v>
      </c>
      <c r="E1285" s="9" t="s">
        <v>33</v>
      </c>
      <c r="F1285" s="9" t="s">
        <v>66</v>
      </c>
      <c r="G1285" s="9" t="s">
        <v>67</v>
      </c>
      <c r="H1285" s="11" t="s">
        <v>19</v>
      </c>
      <c r="I1285" s="12" t="n">
        <v>75</v>
      </c>
      <c r="J1285" s="13" t="n">
        <v>425</v>
      </c>
      <c r="K1285" s="14" t="n">
        <f aca="false">I1285*J1285</f>
        <v>31875</v>
      </c>
      <c r="L1285" s="14" t="n">
        <f aca="false">($L$2*M1285)/100</f>
        <v>420583.275</v>
      </c>
      <c r="M1285" s="15" t="n">
        <v>0.35</v>
      </c>
      <c r="N1285" s="9" t="s">
        <v>26</v>
      </c>
    </row>
    <row r="1286" customFormat="false" ht="14.25" hidden="false" customHeight="true" outlineLevel="0" collapsed="false">
      <c r="B1286" s="9" t="s">
        <v>63</v>
      </c>
      <c r="C1286" s="9" t="n">
        <v>1185732</v>
      </c>
      <c r="D1286" s="10" t="n">
        <v>44521</v>
      </c>
      <c r="E1286" s="9" t="s">
        <v>33</v>
      </c>
      <c r="F1286" s="9" t="s">
        <v>66</v>
      </c>
      <c r="G1286" s="9" t="s">
        <v>67</v>
      </c>
      <c r="H1286" s="11" t="s">
        <v>21</v>
      </c>
      <c r="I1286" s="12" t="n">
        <v>65</v>
      </c>
      <c r="J1286" s="13" t="n">
        <v>300</v>
      </c>
      <c r="K1286" s="14" t="n">
        <f aca="false">I1286*J1286</f>
        <v>19500</v>
      </c>
      <c r="L1286" s="14" t="n">
        <f aca="false">($L$2*M1286)/100</f>
        <v>420583.275</v>
      </c>
      <c r="M1286" s="15" t="n">
        <v>0.35</v>
      </c>
      <c r="N1286" s="9" t="s">
        <v>26</v>
      </c>
    </row>
    <row r="1287" customFormat="false" ht="14.25" hidden="false" customHeight="true" outlineLevel="0" collapsed="false">
      <c r="B1287" s="9" t="s">
        <v>63</v>
      </c>
      <c r="C1287" s="9" t="n">
        <v>1185732</v>
      </c>
      <c r="D1287" s="10" t="n">
        <v>44521</v>
      </c>
      <c r="E1287" s="9" t="s">
        <v>33</v>
      </c>
      <c r="F1287" s="9" t="s">
        <v>66</v>
      </c>
      <c r="G1287" s="9" t="s">
        <v>67</v>
      </c>
      <c r="H1287" s="11" t="s">
        <v>22</v>
      </c>
      <c r="I1287" s="12" t="n">
        <v>65</v>
      </c>
      <c r="J1287" s="13" t="n">
        <v>320</v>
      </c>
      <c r="K1287" s="14" t="n">
        <f aca="false">I1287*J1287</f>
        <v>20800</v>
      </c>
      <c r="L1287" s="14" t="n">
        <f aca="false">($L$2*M1287)/100</f>
        <v>300416.625</v>
      </c>
      <c r="M1287" s="15" t="n">
        <v>0.25</v>
      </c>
      <c r="N1287" s="9" t="s">
        <v>26</v>
      </c>
    </row>
    <row r="1288" customFormat="false" ht="14.25" hidden="false" customHeight="true" outlineLevel="0" collapsed="false">
      <c r="B1288" s="9" t="s">
        <v>63</v>
      </c>
      <c r="C1288" s="9" t="n">
        <v>1185732</v>
      </c>
      <c r="D1288" s="10" t="n">
        <v>44521</v>
      </c>
      <c r="E1288" s="9" t="s">
        <v>33</v>
      </c>
      <c r="F1288" s="9" t="s">
        <v>66</v>
      </c>
      <c r="G1288" s="9" t="s">
        <v>67</v>
      </c>
      <c r="H1288" s="11" t="s">
        <v>23</v>
      </c>
      <c r="I1288" s="12" t="n">
        <v>65</v>
      </c>
      <c r="J1288" s="13" t="n">
        <v>300</v>
      </c>
      <c r="K1288" s="14" t="n">
        <f aca="false">I1288*J1288</f>
        <v>19500</v>
      </c>
      <c r="L1288" s="14" t="n">
        <f aca="false">($L$2*M1288)/100</f>
        <v>300416.625</v>
      </c>
      <c r="M1288" s="15" t="n">
        <v>0.25</v>
      </c>
      <c r="N1288" s="9" t="s">
        <v>26</v>
      </c>
    </row>
    <row r="1289" customFormat="false" ht="14.25" hidden="false" customHeight="true" outlineLevel="0" collapsed="false">
      <c r="B1289" s="9" t="s">
        <v>63</v>
      </c>
      <c r="C1289" s="9" t="n">
        <v>1185732</v>
      </c>
      <c r="D1289" s="10" t="n">
        <v>44521</v>
      </c>
      <c r="E1289" s="9" t="s">
        <v>33</v>
      </c>
      <c r="F1289" s="9" t="s">
        <v>66</v>
      </c>
      <c r="G1289" s="9" t="s">
        <v>67</v>
      </c>
      <c r="H1289" s="11" t="s">
        <v>24</v>
      </c>
      <c r="I1289" s="12" t="n">
        <v>75</v>
      </c>
      <c r="J1289" s="13" t="n">
        <v>275</v>
      </c>
      <c r="K1289" s="14" t="n">
        <f aca="false">I1289*J1289</f>
        <v>20625</v>
      </c>
      <c r="L1289" s="14" t="n">
        <f aca="false">($L$2*M1289)/100</f>
        <v>300416.625</v>
      </c>
      <c r="M1289" s="15" t="n">
        <v>0.25</v>
      </c>
      <c r="N1289" s="9" t="s">
        <v>26</v>
      </c>
    </row>
    <row r="1290" customFormat="false" ht="14.25" hidden="false" customHeight="true" outlineLevel="0" collapsed="false">
      <c r="B1290" s="9" t="s">
        <v>63</v>
      </c>
      <c r="C1290" s="9" t="n">
        <v>1185732</v>
      </c>
      <c r="D1290" s="10" t="n">
        <v>44521</v>
      </c>
      <c r="E1290" s="9" t="s">
        <v>33</v>
      </c>
      <c r="F1290" s="9" t="s">
        <v>66</v>
      </c>
      <c r="G1290" s="9" t="s">
        <v>67</v>
      </c>
      <c r="H1290" s="11" t="s">
        <v>25</v>
      </c>
      <c r="I1290" s="12" t="n">
        <v>80</v>
      </c>
      <c r="J1290" s="13" t="n">
        <v>375</v>
      </c>
      <c r="K1290" s="14" t="n">
        <f aca="false">I1290*J1290</f>
        <v>30000</v>
      </c>
      <c r="L1290" s="14" t="n">
        <f aca="false">($L$2*M1290)/100</f>
        <v>360499.95</v>
      </c>
      <c r="M1290" s="15" t="n">
        <v>0.3</v>
      </c>
      <c r="N1290" s="9" t="s">
        <v>26</v>
      </c>
    </row>
    <row r="1291" customFormat="false" ht="14.25" hidden="false" customHeight="true" outlineLevel="0" collapsed="false">
      <c r="B1291" s="9" t="s">
        <v>63</v>
      </c>
      <c r="C1291" s="9" t="n">
        <v>1185732</v>
      </c>
      <c r="D1291" s="10" t="n">
        <v>44550</v>
      </c>
      <c r="E1291" s="9" t="s">
        <v>33</v>
      </c>
      <c r="F1291" s="9" t="s">
        <v>66</v>
      </c>
      <c r="G1291" s="9" t="s">
        <v>67</v>
      </c>
      <c r="H1291" s="11" t="s">
        <v>19</v>
      </c>
      <c r="I1291" s="12" t="n">
        <v>75</v>
      </c>
      <c r="J1291" s="13" t="n">
        <v>600</v>
      </c>
      <c r="K1291" s="14" t="n">
        <f aca="false">I1291*J1291</f>
        <v>45000</v>
      </c>
      <c r="L1291" s="14" t="n">
        <f aca="false">($L$2*M1291)/100</f>
        <v>420583.275</v>
      </c>
      <c r="M1291" s="15" t="n">
        <v>0.35</v>
      </c>
      <c r="N1291" s="9" t="s">
        <v>26</v>
      </c>
    </row>
    <row r="1292" customFormat="false" ht="14.25" hidden="false" customHeight="true" outlineLevel="0" collapsed="false">
      <c r="B1292" s="9" t="s">
        <v>63</v>
      </c>
      <c r="C1292" s="9" t="n">
        <v>1185732</v>
      </c>
      <c r="D1292" s="10" t="n">
        <v>44550</v>
      </c>
      <c r="E1292" s="9" t="s">
        <v>33</v>
      </c>
      <c r="F1292" s="9" t="s">
        <v>66</v>
      </c>
      <c r="G1292" s="9" t="s">
        <v>67</v>
      </c>
      <c r="H1292" s="11" t="s">
        <v>21</v>
      </c>
      <c r="I1292" s="12" t="n">
        <v>65</v>
      </c>
      <c r="J1292" s="13" t="n">
        <v>400</v>
      </c>
      <c r="K1292" s="14" t="n">
        <f aca="false">I1292*J1292</f>
        <v>26000</v>
      </c>
      <c r="L1292" s="14" t="n">
        <f aca="false">($L$2*M1292)/100</f>
        <v>420583.275</v>
      </c>
      <c r="M1292" s="15" t="n">
        <v>0.35</v>
      </c>
      <c r="N1292" s="9" t="s">
        <v>26</v>
      </c>
    </row>
    <row r="1293" customFormat="false" ht="14.25" hidden="false" customHeight="true" outlineLevel="0" collapsed="false">
      <c r="B1293" s="9" t="s">
        <v>16</v>
      </c>
      <c r="C1293" s="9" t="n">
        <v>1128299</v>
      </c>
      <c r="D1293" s="10" t="n">
        <v>44206</v>
      </c>
      <c r="E1293" s="9" t="s">
        <v>33</v>
      </c>
      <c r="F1293" s="9" t="s">
        <v>66</v>
      </c>
      <c r="G1293" s="9" t="s">
        <v>67</v>
      </c>
      <c r="H1293" s="11" t="s">
        <v>19</v>
      </c>
      <c r="I1293" s="12" t="n">
        <v>35</v>
      </c>
      <c r="J1293" s="13" t="n">
        <v>375</v>
      </c>
      <c r="K1293" s="14" t="n">
        <f aca="false">I1293*J1293</f>
        <v>13125</v>
      </c>
      <c r="L1293" s="14" t="n">
        <f aca="false">($L$2*M1293)/100</f>
        <v>300416.625</v>
      </c>
      <c r="M1293" s="15" t="n">
        <v>0.25</v>
      </c>
      <c r="N1293" s="9" t="s">
        <v>26</v>
      </c>
    </row>
    <row r="1294" customFormat="false" ht="14.25" hidden="false" customHeight="true" outlineLevel="0" collapsed="false">
      <c r="B1294" s="9" t="s">
        <v>16</v>
      </c>
      <c r="C1294" s="9" t="n">
        <v>1128299</v>
      </c>
      <c r="D1294" s="10" t="n">
        <v>44206</v>
      </c>
      <c r="E1294" s="9" t="s">
        <v>33</v>
      </c>
      <c r="F1294" s="9" t="s">
        <v>66</v>
      </c>
      <c r="G1294" s="9" t="s">
        <v>67</v>
      </c>
      <c r="H1294" s="11" t="s">
        <v>21</v>
      </c>
      <c r="I1294" s="12" t="n">
        <v>45</v>
      </c>
      <c r="J1294" s="13" t="n">
        <v>375</v>
      </c>
      <c r="K1294" s="14" t="n">
        <f aca="false">I1294*J1294</f>
        <v>16875</v>
      </c>
      <c r="L1294" s="14" t="n">
        <f aca="false">($L$2*M1294)/100</f>
        <v>240333.3</v>
      </c>
      <c r="M1294" s="15" t="n">
        <v>0.2</v>
      </c>
      <c r="N1294" s="9" t="s">
        <v>26</v>
      </c>
    </row>
    <row r="1295" customFormat="false" ht="14.25" hidden="false" customHeight="true" outlineLevel="0" collapsed="false">
      <c r="B1295" s="9" t="s">
        <v>16</v>
      </c>
      <c r="C1295" s="9" t="n">
        <v>1128299</v>
      </c>
      <c r="D1295" s="10" t="n">
        <v>44206</v>
      </c>
      <c r="E1295" s="9" t="s">
        <v>33</v>
      </c>
      <c r="F1295" s="9" t="s">
        <v>66</v>
      </c>
      <c r="G1295" s="9" t="s">
        <v>67</v>
      </c>
      <c r="H1295" s="11" t="s">
        <v>22</v>
      </c>
      <c r="I1295" s="12" t="n">
        <v>45</v>
      </c>
      <c r="J1295" s="13" t="n">
        <v>375</v>
      </c>
      <c r="K1295" s="14" t="n">
        <f aca="false">I1295*J1295</f>
        <v>16875</v>
      </c>
      <c r="L1295" s="14" t="n">
        <f aca="false">($L$2*M1295)/100</f>
        <v>300416.625</v>
      </c>
      <c r="M1295" s="15" t="n">
        <v>0.25</v>
      </c>
      <c r="N1295" s="9" t="s">
        <v>26</v>
      </c>
    </row>
    <row r="1296" customFormat="false" ht="14.25" hidden="false" customHeight="true" outlineLevel="0" collapsed="false">
      <c r="B1296" s="9" t="s">
        <v>16</v>
      </c>
      <c r="C1296" s="9" t="n">
        <v>1128299</v>
      </c>
      <c r="D1296" s="10" t="n">
        <v>44206</v>
      </c>
      <c r="E1296" s="9" t="s">
        <v>33</v>
      </c>
      <c r="F1296" s="9" t="s">
        <v>66</v>
      </c>
      <c r="G1296" s="9" t="s">
        <v>67</v>
      </c>
      <c r="H1296" s="11" t="s">
        <v>23</v>
      </c>
      <c r="I1296" s="12" t="n">
        <v>45</v>
      </c>
      <c r="J1296" s="13" t="n">
        <v>225</v>
      </c>
      <c r="K1296" s="14" t="n">
        <f aca="false">I1296*J1296</f>
        <v>10125</v>
      </c>
      <c r="L1296" s="14" t="n">
        <f aca="false">($L$2*M1296)/100</f>
        <v>300416.625</v>
      </c>
      <c r="M1296" s="15" t="n">
        <v>0.25</v>
      </c>
      <c r="N1296" s="9" t="s">
        <v>26</v>
      </c>
    </row>
    <row r="1297" customFormat="false" ht="14.25" hidden="false" customHeight="true" outlineLevel="0" collapsed="false">
      <c r="B1297" s="9" t="s">
        <v>16</v>
      </c>
      <c r="C1297" s="9" t="n">
        <v>1128299</v>
      </c>
      <c r="D1297" s="10" t="n">
        <v>44206</v>
      </c>
      <c r="E1297" s="9" t="s">
        <v>33</v>
      </c>
      <c r="F1297" s="9" t="s">
        <v>66</v>
      </c>
      <c r="G1297" s="9" t="s">
        <v>67</v>
      </c>
      <c r="H1297" s="11" t="s">
        <v>24</v>
      </c>
      <c r="I1297" s="12" t="n">
        <v>50</v>
      </c>
      <c r="J1297" s="13" t="n">
        <v>175</v>
      </c>
      <c r="K1297" s="14" t="n">
        <f aca="false">I1297*J1297</f>
        <v>8750</v>
      </c>
      <c r="L1297" s="14" t="n">
        <f aca="false">($L$2*M1297)/100</f>
        <v>180249.975</v>
      </c>
      <c r="M1297" s="15" t="n">
        <v>0.15</v>
      </c>
      <c r="N1297" s="9" t="s">
        <v>26</v>
      </c>
    </row>
    <row r="1298" customFormat="false" ht="14.25" hidden="false" customHeight="true" outlineLevel="0" collapsed="false">
      <c r="B1298" s="9" t="s">
        <v>16</v>
      </c>
      <c r="C1298" s="9" t="n">
        <v>1128299</v>
      </c>
      <c r="D1298" s="10" t="n">
        <v>44206</v>
      </c>
      <c r="E1298" s="9" t="s">
        <v>33</v>
      </c>
      <c r="F1298" s="9" t="s">
        <v>66</v>
      </c>
      <c r="G1298" s="9" t="s">
        <v>67</v>
      </c>
      <c r="H1298" s="11" t="s">
        <v>25</v>
      </c>
      <c r="I1298" s="12" t="n">
        <v>45</v>
      </c>
      <c r="J1298" s="13" t="n">
        <v>425</v>
      </c>
      <c r="K1298" s="14" t="n">
        <f aca="false">I1298*J1298</f>
        <v>19125</v>
      </c>
      <c r="L1298" s="14" t="n">
        <f aca="false">($L$2*M1298)/100</f>
        <v>480666.6</v>
      </c>
      <c r="M1298" s="15" t="n">
        <v>0.4</v>
      </c>
      <c r="N1298" s="9" t="s">
        <v>26</v>
      </c>
    </row>
    <row r="1299" customFormat="false" ht="14.25" hidden="false" customHeight="true" outlineLevel="0" collapsed="false">
      <c r="B1299" s="9" t="s">
        <v>16</v>
      </c>
      <c r="C1299" s="9" t="n">
        <v>1128299</v>
      </c>
      <c r="D1299" s="10" t="n">
        <v>44237</v>
      </c>
      <c r="E1299" s="9" t="s">
        <v>33</v>
      </c>
      <c r="F1299" s="9" t="s">
        <v>66</v>
      </c>
      <c r="G1299" s="9" t="s">
        <v>67</v>
      </c>
      <c r="H1299" s="11" t="s">
        <v>19</v>
      </c>
      <c r="I1299" s="12" t="n">
        <v>35</v>
      </c>
      <c r="J1299" s="13" t="n">
        <v>475</v>
      </c>
      <c r="K1299" s="14" t="n">
        <f aca="false">I1299*J1299</f>
        <v>16625</v>
      </c>
      <c r="L1299" s="14" t="n">
        <f aca="false">($L$2*M1299)/100</f>
        <v>300416.625</v>
      </c>
      <c r="M1299" s="15" t="n">
        <v>0.25</v>
      </c>
      <c r="N1299" s="9" t="s">
        <v>26</v>
      </c>
    </row>
    <row r="1300" customFormat="false" ht="14.25" hidden="false" customHeight="true" outlineLevel="0" collapsed="false">
      <c r="B1300" s="9" t="s">
        <v>16</v>
      </c>
      <c r="C1300" s="9" t="n">
        <v>1128299</v>
      </c>
      <c r="D1300" s="10" t="n">
        <v>44237</v>
      </c>
      <c r="E1300" s="9" t="s">
        <v>33</v>
      </c>
      <c r="F1300" s="9" t="s">
        <v>66</v>
      </c>
      <c r="G1300" s="9" t="s">
        <v>67</v>
      </c>
      <c r="H1300" s="11" t="s">
        <v>21</v>
      </c>
      <c r="I1300" s="12" t="n">
        <v>45</v>
      </c>
      <c r="J1300" s="13" t="n">
        <v>375</v>
      </c>
      <c r="K1300" s="14" t="n">
        <f aca="false">I1300*J1300</f>
        <v>16875</v>
      </c>
      <c r="L1300" s="14" t="n">
        <f aca="false">($L$2*M1300)/100</f>
        <v>240333.3</v>
      </c>
      <c r="M1300" s="15" t="n">
        <v>0.2</v>
      </c>
      <c r="N1300" s="9" t="s">
        <v>26</v>
      </c>
    </row>
    <row r="1301" customFormat="false" ht="14.25" hidden="false" customHeight="true" outlineLevel="0" collapsed="false">
      <c r="B1301" s="9" t="s">
        <v>16</v>
      </c>
      <c r="C1301" s="9" t="n">
        <v>1128299</v>
      </c>
      <c r="D1301" s="10" t="n">
        <v>44237</v>
      </c>
      <c r="E1301" s="9" t="s">
        <v>33</v>
      </c>
      <c r="F1301" s="9" t="s">
        <v>66</v>
      </c>
      <c r="G1301" s="9" t="s">
        <v>67</v>
      </c>
      <c r="H1301" s="11" t="s">
        <v>22</v>
      </c>
      <c r="I1301" s="12" t="n">
        <v>45</v>
      </c>
      <c r="J1301" s="13" t="n">
        <v>375</v>
      </c>
      <c r="K1301" s="14" t="n">
        <f aca="false">I1301*J1301</f>
        <v>16875</v>
      </c>
      <c r="L1301" s="14" t="n">
        <f aca="false">($L$2*M1301)/100</f>
        <v>300416.625</v>
      </c>
      <c r="M1301" s="15" t="n">
        <v>0.25</v>
      </c>
      <c r="N1301" s="9" t="s">
        <v>26</v>
      </c>
    </row>
    <row r="1302" customFormat="false" ht="14.25" hidden="false" customHeight="true" outlineLevel="0" collapsed="false">
      <c r="B1302" s="9" t="s">
        <v>16</v>
      </c>
      <c r="C1302" s="9" t="n">
        <v>1128299</v>
      </c>
      <c r="D1302" s="10" t="n">
        <v>44237</v>
      </c>
      <c r="E1302" s="9" t="s">
        <v>33</v>
      </c>
      <c r="F1302" s="9" t="s">
        <v>68</v>
      </c>
      <c r="G1302" s="9" t="s">
        <v>69</v>
      </c>
      <c r="H1302" s="11" t="s">
        <v>23</v>
      </c>
      <c r="I1302" s="12" t="n">
        <v>45</v>
      </c>
      <c r="J1302" s="13" t="n">
        <v>225</v>
      </c>
      <c r="K1302" s="14" t="n">
        <f aca="false">I1302*J1302</f>
        <v>10125</v>
      </c>
      <c r="L1302" s="14" t="n">
        <f aca="false">($L$2*M1302)/100</f>
        <v>300416.625</v>
      </c>
      <c r="M1302" s="15" t="n">
        <v>0.25</v>
      </c>
      <c r="N1302" s="9" t="s">
        <v>26</v>
      </c>
    </row>
    <row r="1303" customFormat="false" ht="14.25" hidden="false" customHeight="true" outlineLevel="0" collapsed="false">
      <c r="B1303" s="9" t="s">
        <v>16</v>
      </c>
      <c r="C1303" s="9" t="n">
        <v>1128299</v>
      </c>
      <c r="D1303" s="10" t="n">
        <v>44237</v>
      </c>
      <c r="E1303" s="9" t="s">
        <v>33</v>
      </c>
      <c r="F1303" s="9" t="s">
        <v>68</v>
      </c>
      <c r="G1303" s="9" t="s">
        <v>69</v>
      </c>
      <c r="H1303" s="11" t="s">
        <v>24</v>
      </c>
      <c r="I1303" s="12" t="n">
        <v>50</v>
      </c>
      <c r="J1303" s="13" t="n">
        <v>150</v>
      </c>
      <c r="K1303" s="14" t="n">
        <f aca="false">I1303*J1303</f>
        <v>7500</v>
      </c>
      <c r="L1303" s="14" t="n">
        <f aca="false">($L$2*M1303)/100</f>
        <v>180249.975</v>
      </c>
      <c r="M1303" s="15" t="n">
        <v>0.15</v>
      </c>
      <c r="N1303" s="9" t="s">
        <v>26</v>
      </c>
    </row>
    <row r="1304" customFormat="false" ht="14.25" hidden="false" customHeight="true" outlineLevel="0" collapsed="false">
      <c r="B1304" s="9" t="s">
        <v>16</v>
      </c>
      <c r="C1304" s="9" t="n">
        <v>1128299</v>
      </c>
      <c r="D1304" s="10" t="n">
        <v>44237</v>
      </c>
      <c r="E1304" s="9" t="s">
        <v>33</v>
      </c>
      <c r="F1304" s="9" t="s">
        <v>68</v>
      </c>
      <c r="G1304" s="9" t="s">
        <v>69</v>
      </c>
      <c r="H1304" s="11" t="s">
        <v>25</v>
      </c>
      <c r="I1304" s="12" t="n">
        <v>45</v>
      </c>
      <c r="J1304" s="13" t="n">
        <v>350</v>
      </c>
      <c r="K1304" s="14" t="n">
        <f aca="false">I1304*J1304</f>
        <v>15750</v>
      </c>
      <c r="L1304" s="14" t="n">
        <f aca="false">($L$2*M1304)/100</f>
        <v>480666.6</v>
      </c>
      <c r="M1304" s="15" t="n">
        <v>0.4</v>
      </c>
      <c r="N1304" s="9" t="s">
        <v>26</v>
      </c>
    </row>
    <row r="1305" customFormat="false" ht="14.25" hidden="false" customHeight="true" outlineLevel="0" collapsed="false">
      <c r="B1305" s="9" t="s">
        <v>16</v>
      </c>
      <c r="C1305" s="9" t="n">
        <v>1128299</v>
      </c>
      <c r="D1305" s="10" t="n">
        <v>44264</v>
      </c>
      <c r="E1305" s="9" t="s">
        <v>33</v>
      </c>
      <c r="F1305" s="9" t="s">
        <v>68</v>
      </c>
      <c r="G1305" s="9" t="s">
        <v>69</v>
      </c>
      <c r="H1305" s="11" t="s">
        <v>19</v>
      </c>
      <c r="I1305" s="12" t="n">
        <v>45</v>
      </c>
      <c r="J1305" s="13" t="n">
        <v>500</v>
      </c>
      <c r="K1305" s="14" t="n">
        <f aca="false">I1305*J1305</f>
        <v>22500</v>
      </c>
      <c r="L1305" s="14" t="n">
        <f aca="false">($L$2*M1305)/100</f>
        <v>300416.625</v>
      </c>
      <c r="M1305" s="15" t="n">
        <v>0.25</v>
      </c>
      <c r="N1305" s="9" t="s">
        <v>26</v>
      </c>
    </row>
    <row r="1306" customFormat="false" ht="14.25" hidden="false" customHeight="true" outlineLevel="0" collapsed="false">
      <c r="B1306" s="9" t="s">
        <v>16</v>
      </c>
      <c r="C1306" s="9" t="n">
        <v>1128299</v>
      </c>
      <c r="D1306" s="10" t="n">
        <v>44264</v>
      </c>
      <c r="E1306" s="9" t="s">
        <v>33</v>
      </c>
      <c r="F1306" s="9" t="s">
        <v>68</v>
      </c>
      <c r="G1306" s="9" t="s">
        <v>69</v>
      </c>
      <c r="H1306" s="11" t="s">
        <v>21</v>
      </c>
      <c r="I1306" s="12" t="n">
        <v>55</v>
      </c>
      <c r="J1306" s="13" t="n">
        <v>350</v>
      </c>
      <c r="K1306" s="14" t="n">
        <f aca="false">I1306*J1306</f>
        <v>19250</v>
      </c>
      <c r="L1306" s="14" t="n">
        <f aca="false">($L$2*M1306)/100</f>
        <v>240333.3</v>
      </c>
      <c r="M1306" s="15" t="n">
        <v>0.2</v>
      </c>
      <c r="N1306" s="9" t="s">
        <v>26</v>
      </c>
    </row>
    <row r="1307" customFormat="false" ht="14.25" hidden="false" customHeight="true" outlineLevel="0" collapsed="false">
      <c r="B1307" s="9" t="s">
        <v>16</v>
      </c>
      <c r="C1307" s="9" t="n">
        <v>1128299</v>
      </c>
      <c r="D1307" s="10" t="n">
        <v>44264</v>
      </c>
      <c r="E1307" s="9" t="s">
        <v>33</v>
      </c>
      <c r="F1307" s="9" t="s">
        <v>68</v>
      </c>
      <c r="G1307" s="9" t="s">
        <v>69</v>
      </c>
      <c r="H1307" s="11" t="s">
        <v>22</v>
      </c>
      <c r="I1307" s="12" t="n">
        <v>60</v>
      </c>
      <c r="J1307" s="13" t="n">
        <v>375</v>
      </c>
      <c r="K1307" s="14" t="n">
        <f aca="false">I1307*J1307</f>
        <v>22500</v>
      </c>
      <c r="L1307" s="14" t="n">
        <f aca="false">($L$2*M1307)/100</f>
        <v>300416.625</v>
      </c>
      <c r="M1307" s="15" t="n">
        <v>0.25</v>
      </c>
      <c r="N1307" s="9" t="s">
        <v>26</v>
      </c>
    </row>
    <row r="1308" customFormat="false" ht="14.25" hidden="false" customHeight="true" outlineLevel="0" collapsed="false">
      <c r="B1308" s="9" t="s">
        <v>16</v>
      </c>
      <c r="C1308" s="9" t="n">
        <v>1128299</v>
      </c>
      <c r="D1308" s="10" t="n">
        <v>44264</v>
      </c>
      <c r="E1308" s="9" t="s">
        <v>33</v>
      </c>
      <c r="F1308" s="9" t="s">
        <v>68</v>
      </c>
      <c r="G1308" s="9" t="s">
        <v>69</v>
      </c>
      <c r="H1308" s="11" t="s">
        <v>23</v>
      </c>
      <c r="I1308" s="12" t="n">
        <v>55</v>
      </c>
      <c r="J1308" s="13" t="n">
        <v>275</v>
      </c>
      <c r="K1308" s="14" t="n">
        <f aca="false">I1308*J1308</f>
        <v>15125</v>
      </c>
      <c r="L1308" s="14" t="n">
        <f aca="false">($L$2*M1308)/100</f>
        <v>300416.625</v>
      </c>
      <c r="M1308" s="15" t="n">
        <v>0.25</v>
      </c>
      <c r="N1308" s="9" t="s">
        <v>26</v>
      </c>
    </row>
    <row r="1309" customFormat="false" ht="14.25" hidden="false" customHeight="true" outlineLevel="0" collapsed="false">
      <c r="B1309" s="9" t="s">
        <v>16</v>
      </c>
      <c r="C1309" s="9" t="n">
        <v>1128299</v>
      </c>
      <c r="D1309" s="10" t="n">
        <v>44264</v>
      </c>
      <c r="E1309" s="9" t="s">
        <v>33</v>
      </c>
      <c r="F1309" s="9" t="s">
        <v>68</v>
      </c>
      <c r="G1309" s="9" t="s">
        <v>69</v>
      </c>
      <c r="H1309" s="11" t="s">
        <v>24</v>
      </c>
      <c r="I1309" s="12" t="n">
        <v>60</v>
      </c>
      <c r="J1309" s="13" t="n">
        <v>125</v>
      </c>
      <c r="K1309" s="14" t="n">
        <f aca="false">I1309*J1309</f>
        <v>7500</v>
      </c>
      <c r="L1309" s="14" t="n">
        <f aca="false">($L$2*M1309)/100</f>
        <v>180249.975</v>
      </c>
      <c r="M1309" s="15" t="n">
        <v>0.15</v>
      </c>
      <c r="N1309" s="9" t="s">
        <v>26</v>
      </c>
    </row>
    <row r="1310" customFormat="false" ht="14.25" hidden="false" customHeight="true" outlineLevel="0" collapsed="false">
      <c r="B1310" s="9" t="s">
        <v>16</v>
      </c>
      <c r="C1310" s="9" t="n">
        <v>1128299</v>
      </c>
      <c r="D1310" s="10" t="n">
        <v>44264</v>
      </c>
      <c r="E1310" s="9" t="s">
        <v>33</v>
      </c>
      <c r="F1310" s="9" t="s">
        <v>68</v>
      </c>
      <c r="G1310" s="9" t="s">
        <v>69</v>
      </c>
      <c r="H1310" s="11" t="s">
        <v>25</v>
      </c>
      <c r="I1310" s="12" t="n">
        <v>55</v>
      </c>
      <c r="J1310" s="13" t="n">
        <v>325</v>
      </c>
      <c r="K1310" s="14" t="n">
        <f aca="false">I1310*J1310</f>
        <v>17875</v>
      </c>
      <c r="L1310" s="14" t="n">
        <f aca="false">($L$2*M1310)/100</f>
        <v>480666.6</v>
      </c>
      <c r="M1310" s="15" t="n">
        <v>0.4</v>
      </c>
      <c r="N1310" s="9" t="s">
        <v>26</v>
      </c>
    </row>
    <row r="1311" customFormat="false" ht="14.25" hidden="false" customHeight="true" outlineLevel="0" collapsed="false">
      <c r="B1311" s="9" t="s">
        <v>16</v>
      </c>
      <c r="C1311" s="9" t="n">
        <v>1128299</v>
      </c>
      <c r="D1311" s="10" t="n">
        <v>44296</v>
      </c>
      <c r="E1311" s="9" t="s">
        <v>33</v>
      </c>
      <c r="F1311" s="9" t="s">
        <v>68</v>
      </c>
      <c r="G1311" s="9" t="s">
        <v>69</v>
      </c>
      <c r="H1311" s="11" t="s">
        <v>19</v>
      </c>
      <c r="I1311" s="12" t="n">
        <v>60</v>
      </c>
      <c r="J1311" s="13" t="n">
        <v>500</v>
      </c>
      <c r="K1311" s="14" t="n">
        <f aca="false">I1311*J1311</f>
        <v>30000</v>
      </c>
      <c r="L1311" s="14" t="n">
        <f aca="false">($L$2*M1311)/100</f>
        <v>300416.625</v>
      </c>
      <c r="M1311" s="15" t="n">
        <v>0.25</v>
      </c>
      <c r="N1311" s="9" t="s">
        <v>26</v>
      </c>
    </row>
    <row r="1312" customFormat="false" ht="14.25" hidden="false" customHeight="true" outlineLevel="0" collapsed="false">
      <c r="B1312" s="9" t="s">
        <v>16</v>
      </c>
      <c r="C1312" s="9" t="n">
        <v>1128299</v>
      </c>
      <c r="D1312" s="10" t="n">
        <v>44296</v>
      </c>
      <c r="E1312" s="9" t="s">
        <v>33</v>
      </c>
      <c r="F1312" s="9" t="s">
        <v>68</v>
      </c>
      <c r="G1312" s="9" t="s">
        <v>69</v>
      </c>
      <c r="H1312" s="11" t="s">
        <v>21</v>
      </c>
      <c r="I1312" s="12" t="n">
        <v>65</v>
      </c>
      <c r="J1312" s="13" t="n">
        <v>300</v>
      </c>
      <c r="K1312" s="14" t="n">
        <f aca="false">I1312*J1312</f>
        <v>19500</v>
      </c>
      <c r="L1312" s="14" t="n">
        <f aca="false">($L$2*M1312)/100</f>
        <v>240333.3</v>
      </c>
      <c r="M1312" s="15" t="n">
        <v>0.2</v>
      </c>
      <c r="N1312" s="9" t="s">
        <v>26</v>
      </c>
    </row>
    <row r="1313" customFormat="false" ht="14.25" hidden="false" customHeight="true" outlineLevel="0" collapsed="false">
      <c r="B1313" s="9" t="s">
        <v>16</v>
      </c>
      <c r="C1313" s="9" t="n">
        <v>1128299</v>
      </c>
      <c r="D1313" s="10" t="n">
        <v>44296</v>
      </c>
      <c r="E1313" s="9" t="s">
        <v>33</v>
      </c>
      <c r="F1313" s="9" t="s">
        <v>68</v>
      </c>
      <c r="G1313" s="9" t="s">
        <v>69</v>
      </c>
      <c r="H1313" s="11" t="s">
        <v>22</v>
      </c>
      <c r="I1313" s="12" t="n">
        <v>65</v>
      </c>
      <c r="J1313" s="13" t="n">
        <v>350</v>
      </c>
      <c r="K1313" s="14" t="n">
        <f aca="false">I1313*J1313</f>
        <v>22750</v>
      </c>
      <c r="L1313" s="14" t="n">
        <f aca="false">($L$2*M1313)/100</f>
        <v>300416.625</v>
      </c>
      <c r="M1313" s="15" t="n">
        <v>0.25</v>
      </c>
      <c r="N1313" s="9" t="s">
        <v>26</v>
      </c>
    </row>
    <row r="1314" customFormat="false" ht="14.25" hidden="false" customHeight="true" outlineLevel="0" collapsed="false">
      <c r="B1314" s="9" t="s">
        <v>16</v>
      </c>
      <c r="C1314" s="9" t="n">
        <v>1128299</v>
      </c>
      <c r="D1314" s="10" t="n">
        <v>44296</v>
      </c>
      <c r="E1314" s="9" t="s">
        <v>33</v>
      </c>
      <c r="F1314" s="9" t="s">
        <v>68</v>
      </c>
      <c r="G1314" s="9" t="s">
        <v>69</v>
      </c>
      <c r="H1314" s="11" t="s">
        <v>23</v>
      </c>
      <c r="I1314" s="12" t="n">
        <v>50</v>
      </c>
      <c r="J1314" s="13" t="n">
        <v>250</v>
      </c>
      <c r="K1314" s="14" t="n">
        <f aca="false">I1314*J1314</f>
        <v>12500</v>
      </c>
      <c r="L1314" s="14" t="n">
        <f aca="false">($L$2*M1314)/100</f>
        <v>300416.625</v>
      </c>
      <c r="M1314" s="15" t="n">
        <v>0.25</v>
      </c>
      <c r="N1314" s="9" t="s">
        <v>26</v>
      </c>
    </row>
    <row r="1315" customFormat="false" ht="14.25" hidden="false" customHeight="true" outlineLevel="0" collapsed="false">
      <c r="B1315" s="9" t="s">
        <v>16</v>
      </c>
      <c r="C1315" s="9" t="n">
        <v>1128299</v>
      </c>
      <c r="D1315" s="10" t="n">
        <v>44296</v>
      </c>
      <c r="E1315" s="9" t="s">
        <v>33</v>
      </c>
      <c r="F1315" s="9" t="s">
        <v>68</v>
      </c>
      <c r="G1315" s="9" t="s">
        <v>69</v>
      </c>
      <c r="H1315" s="11" t="s">
        <v>24</v>
      </c>
      <c r="I1315" s="12" t="n">
        <v>55</v>
      </c>
      <c r="J1315" s="13" t="n">
        <v>150</v>
      </c>
      <c r="K1315" s="14" t="n">
        <f aca="false">I1315*J1315</f>
        <v>8250</v>
      </c>
      <c r="L1315" s="14" t="n">
        <f aca="false">($L$2*M1315)/100</f>
        <v>180249.975</v>
      </c>
      <c r="M1315" s="15" t="n">
        <v>0.15</v>
      </c>
      <c r="N1315" s="9" t="s">
        <v>26</v>
      </c>
    </row>
    <row r="1316" customFormat="false" ht="14.25" hidden="false" customHeight="true" outlineLevel="0" collapsed="false">
      <c r="B1316" s="9" t="s">
        <v>16</v>
      </c>
      <c r="C1316" s="9" t="n">
        <v>1128299</v>
      </c>
      <c r="D1316" s="10" t="n">
        <v>44296</v>
      </c>
      <c r="E1316" s="9" t="s">
        <v>33</v>
      </c>
      <c r="F1316" s="9" t="s">
        <v>68</v>
      </c>
      <c r="G1316" s="9" t="s">
        <v>69</v>
      </c>
      <c r="H1316" s="11" t="s">
        <v>25</v>
      </c>
      <c r="I1316" s="12" t="n">
        <v>70</v>
      </c>
      <c r="J1316" s="13" t="n">
        <v>325</v>
      </c>
      <c r="K1316" s="14" t="n">
        <f aca="false">I1316*J1316</f>
        <v>22750</v>
      </c>
      <c r="L1316" s="14" t="n">
        <f aca="false">($L$2*M1316)/100</f>
        <v>480666.6</v>
      </c>
      <c r="M1316" s="15" t="n">
        <v>0.4</v>
      </c>
      <c r="N1316" s="9" t="s">
        <v>26</v>
      </c>
    </row>
    <row r="1317" customFormat="false" ht="14.25" hidden="false" customHeight="true" outlineLevel="0" collapsed="false">
      <c r="B1317" s="9" t="s">
        <v>16</v>
      </c>
      <c r="C1317" s="9" t="n">
        <v>1128299</v>
      </c>
      <c r="D1317" s="10" t="n">
        <v>44327</v>
      </c>
      <c r="E1317" s="9" t="s">
        <v>33</v>
      </c>
      <c r="F1317" s="9" t="s">
        <v>68</v>
      </c>
      <c r="G1317" s="9" t="s">
        <v>69</v>
      </c>
      <c r="H1317" s="11" t="s">
        <v>19</v>
      </c>
      <c r="I1317" s="12" t="n">
        <v>55</v>
      </c>
      <c r="J1317" s="13" t="n">
        <v>525</v>
      </c>
      <c r="K1317" s="14" t="n">
        <f aca="false">I1317*J1317</f>
        <v>28875</v>
      </c>
      <c r="L1317" s="14" t="n">
        <f aca="false">($L$2*M1317)/100</f>
        <v>300416.625</v>
      </c>
      <c r="M1317" s="15" t="n">
        <v>0.25</v>
      </c>
      <c r="N1317" s="9" t="s">
        <v>26</v>
      </c>
    </row>
    <row r="1318" customFormat="false" ht="14.25" hidden="false" customHeight="true" outlineLevel="0" collapsed="false">
      <c r="B1318" s="9" t="s">
        <v>16</v>
      </c>
      <c r="C1318" s="9" t="n">
        <v>1128299</v>
      </c>
      <c r="D1318" s="10" t="n">
        <v>44327</v>
      </c>
      <c r="E1318" s="9" t="s">
        <v>33</v>
      </c>
      <c r="F1318" s="9" t="s">
        <v>68</v>
      </c>
      <c r="G1318" s="9" t="s">
        <v>69</v>
      </c>
      <c r="H1318" s="11" t="s">
        <v>21</v>
      </c>
      <c r="I1318" s="12" t="n">
        <v>60</v>
      </c>
      <c r="J1318" s="13" t="n">
        <v>375</v>
      </c>
      <c r="K1318" s="14" t="n">
        <f aca="false">I1318*J1318</f>
        <v>22500</v>
      </c>
      <c r="L1318" s="14" t="n">
        <f aca="false">($L$2*M1318)/100</f>
        <v>240333.3</v>
      </c>
      <c r="M1318" s="15" t="n">
        <v>0.2</v>
      </c>
      <c r="N1318" s="9" t="s">
        <v>26</v>
      </c>
    </row>
    <row r="1319" customFormat="false" ht="14.25" hidden="false" customHeight="true" outlineLevel="0" collapsed="false">
      <c r="B1319" s="9" t="s">
        <v>16</v>
      </c>
      <c r="C1319" s="9" t="n">
        <v>1128299</v>
      </c>
      <c r="D1319" s="10" t="n">
        <v>44327</v>
      </c>
      <c r="E1319" s="9" t="s">
        <v>33</v>
      </c>
      <c r="F1319" s="9" t="s">
        <v>68</v>
      </c>
      <c r="G1319" s="9" t="s">
        <v>69</v>
      </c>
      <c r="H1319" s="11" t="s">
        <v>22</v>
      </c>
      <c r="I1319" s="12" t="n">
        <v>60</v>
      </c>
      <c r="J1319" s="13" t="n">
        <v>375</v>
      </c>
      <c r="K1319" s="14" t="n">
        <f aca="false">I1319*J1319</f>
        <v>22500</v>
      </c>
      <c r="L1319" s="14" t="n">
        <f aca="false">($L$2*M1319)/100</f>
        <v>300416.625</v>
      </c>
      <c r="M1319" s="15" t="n">
        <v>0.25</v>
      </c>
      <c r="N1319" s="9" t="s">
        <v>26</v>
      </c>
    </row>
    <row r="1320" customFormat="false" ht="14.25" hidden="false" customHeight="true" outlineLevel="0" collapsed="false">
      <c r="B1320" s="9" t="s">
        <v>16</v>
      </c>
      <c r="C1320" s="9" t="n">
        <v>1128299</v>
      </c>
      <c r="D1320" s="10" t="n">
        <v>44327</v>
      </c>
      <c r="E1320" s="9" t="s">
        <v>33</v>
      </c>
      <c r="F1320" s="9" t="s">
        <v>68</v>
      </c>
      <c r="G1320" s="9" t="s">
        <v>69</v>
      </c>
      <c r="H1320" s="11" t="s">
        <v>23</v>
      </c>
      <c r="I1320" s="12" t="n">
        <v>55</v>
      </c>
      <c r="J1320" s="13" t="n">
        <v>275</v>
      </c>
      <c r="K1320" s="14" t="n">
        <f aca="false">I1320*J1320</f>
        <v>15125</v>
      </c>
      <c r="L1320" s="14" t="n">
        <f aca="false">($L$2*M1320)/100</f>
        <v>300416.625</v>
      </c>
      <c r="M1320" s="15" t="n">
        <v>0.25</v>
      </c>
      <c r="N1320" s="9" t="s">
        <v>26</v>
      </c>
    </row>
    <row r="1321" customFormat="false" ht="14.25" hidden="false" customHeight="true" outlineLevel="0" collapsed="false">
      <c r="B1321" s="9" t="s">
        <v>16</v>
      </c>
      <c r="C1321" s="9" t="n">
        <v>1128299</v>
      </c>
      <c r="D1321" s="10" t="n">
        <v>44327</v>
      </c>
      <c r="E1321" s="9" t="s">
        <v>33</v>
      </c>
      <c r="F1321" s="9" t="s">
        <v>68</v>
      </c>
      <c r="G1321" s="9" t="s">
        <v>69</v>
      </c>
      <c r="H1321" s="11" t="s">
        <v>24</v>
      </c>
      <c r="I1321" s="12" t="n">
        <v>60</v>
      </c>
      <c r="J1321" s="13" t="n">
        <v>175</v>
      </c>
      <c r="K1321" s="14" t="n">
        <f aca="false">I1321*J1321</f>
        <v>10500</v>
      </c>
      <c r="L1321" s="14" t="n">
        <f aca="false">($L$2*M1321)/100</f>
        <v>180249.975</v>
      </c>
      <c r="M1321" s="15" t="n">
        <v>0.15</v>
      </c>
      <c r="N1321" s="9" t="s">
        <v>26</v>
      </c>
    </row>
    <row r="1322" customFormat="false" ht="14.25" hidden="false" customHeight="true" outlineLevel="0" collapsed="false">
      <c r="B1322" s="9" t="s">
        <v>16</v>
      </c>
      <c r="C1322" s="9" t="n">
        <v>1128299</v>
      </c>
      <c r="D1322" s="10" t="n">
        <v>44327</v>
      </c>
      <c r="E1322" s="9" t="s">
        <v>33</v>
      </c>
      <c r="F1322" s="9" t="s">
        <v>68</v>
      </c>
      <c r="G1322" s="9" t="s">
        <v>69</v>
      </c>
      <c r="H1322" s="11" t="s">
        <v>25</v>
      </c>
      <c r="I1322" s="12" t="n">
        <v>75</v>
      </c>
      <c r="J1322" s="13" t="n">
        <v>475</v>
      </c>
      <c r="K1322" s="14" t="n">
        <f aca="false">I1322*J1322</f>
        <v>35625</v>
      </c>
      <c r="L1322" s="14" t="n">
        <f aca="false">($L$2*M1322)/100</f>
        <v>480666.6</v>
      </c>
      <c r="M1322" s="15" t="n">
        <v>0.4</v>
      </c>
      <c r="N1322" s="9" t="s">
        <v>26</v>
      </c>
    </row>
    <row r="1323" customFormat="false" ht="14.25" hidden="false" customHeight="true" outlineLevel="0" collapsed="false">
      <c r="B1323" s="9" t="s">
        <v>16</v>
      </c>
      <c r="C1323" s="9" t="n">
        <v>1128299</v>
      </c>
      <c r="D1323" s="10" t="n">
        <v>44357</v>
      </c>
      <c r="E1323" s="9" t="s">
        <v>33</v>
      </c>
      <c r="F1323" s="9" t="s">
        <v>68</v>
      </c>
      <c r="G1323" s="9" t="s">
        <v>69</v>
      </c>
      <c r="H1323" s="11" t="s">
        <v>19</v>
      </c>
      <c r="I1323" s="12" t="n">
        <v>70</v>
      </c>
      <c r="J1323" s="13" t="n">
        <v>725</v>
      </c>
      <c r="K1323" s="14" t="n">
        <f aca="false">I1323*J1323</f>
        <v>50750</v>
      </c>
      <c r="L1323" s="14" t="n">
        <f aca="false">($L$2*M1323)/100</f>
        <v>300416.625</v>
      </c>
      <c r="M1323" s="15" t="n">
        <v>0.25</v>
      </c>
      <c r="N1323" s="9" t="s">
        <v>26</v>
      </c>
    </row>
    <row r="1324" customFormat="false" ht="14.25" hidden="false" customHeight="true" outlineLevel="0" collapsed="false">
      <c r="B1324" s="9" t="s">
        <v>16</v>
      </c>
      <c r="C1324" s="9" t="n">
        <v>1128299</v>
      </c>
      <c r="D1324" s="10" t="n">
        <v>44357</v>
      </c>
      <c r="E1324" s="9" t="s">
        <v>33</v>
      </c>
      <c r="F1324" s="9" t="s">
        <v>68</v>
      </c>
      <c r="G1324" s="9" t="s">
        <v>69</v>
      </c>
      <c r="H1324" s="11" t="s">
        <v>21</v>
      </c>
      <c r="I1324" s="12" t="n">
        <v>75</v>
      </c>
      <c r="J1324" s="13" t="n">
        <v>600</v>
      </c>
      <c r="K1324" s="14" t="n">
        <f aca="false">I1324*J1324</f>
        <v>45000</v>
      </c>
      <c r="L1324" s="14" t="n">
        <f aca="false">($L$2*M1324)/100</f>
        <v>240333.3</v>
      </c>
      <c r="M1324" s="15" t="n">
        <v>0.2</v>
      </c>
      <c r="N1324" s="9" t="s">
        <v>26</v>
      </c>
    </row>
    <row r="1325" customFormat="false" ht="14.25" hidden="false" customHeight="true" outlineLevel="0" collapsed="false">
      <c r="B1325" s="9" t="s">
        <v>16</v>
      </c>
      <c r="C1325" s="9" t="n">
        <v>1128299</v>
      </c>
      <c r="D1325" s="10" t="n">
        <v>44357</v>
      </c>
      <c r="E1325" s="9" t="s">
        <v>33</v>
      </c>
      <c r="F1325" s="9" t="s">
        <v>68</v>
      </c>
      <c r="G1325" s="9" t="s">
        <v>69</v>
      </c>
      <c r="H1325" s="11" t="s">
        <v>22</v>
      </c>
      <c r="I1325" s="12" t="n">
        <v>75</v>
      </c>
      <c r="J1325" s="13" t="n">
        <v>600</v>
      </c>
      <c r="K1325" s="14" t="n">
        <f aca="false">I1325*J1325</f>
        <v>45000</v>
      </c>
      <c r="L1325" s="14" t="n">
        <f aca="false">($L$2*M1325)/100</f>
        <v>300416.625</v>
      </c>
      <c r="M1325" s="15" t="n">
        <v>0.25</v>
      </c>
      <c r="N1325" s="9" t="s">
        <v>26</v>
      </c>
    </row>
    <row r="1326" customFormat="false" ht="14.25" hidden="false" customHeight="true" outlineLevel="0" collapsed="false">
      <c r="B1326" s="9" t="s">
        <v>16</v>
      </c>
      <c r="C1326" s="9" t="n">
        <v>1128299</v>
      </c>
      <c r="D1326" s="10" t="n">
        <v>44357</v>
      </c>
      <c r="E1326" s="9" t="s">
        <v>33</v>
      </c>
      <c r="F1326" s="9" t="s">
        <v>68</v>
      </c>
      <c r="G1326" s="9" t="s">
        <v>69</v>
      </c>
      <c r="H1326" s="11" t="s">
        <v>23</v>
      </c>
      <c r="I1326" s="12" t="n">
        <v>75</v>
      </c>
      <c r="J1326" s="13" t="n">
        <v>475</v>
      </c>
      <c r="K1326" s="14" t="n">
        <f aca="false">I1326*J1326</f>
        <v>35625</v>
      </c>
      <c r="L1326" s="14" t="n">
        <f aca="false">($L$2*M1326)/100</f>
        <v>300416.625</v>
      </c>
      <c r="M1326" s="15" t="n">
        <v>0.25</v>
      </c>
      <c r="N1326" s="9" t="s">
        <v>26</v>
      </c>
    </row>
    <row r="1327" customFormat="false" ht="14.25" hidden="false" customHeight="true" outlineLevel="0" collapsed="false">
      <c r="B1327" s="9" t="s">
        <v>16</v>
      </c>
      <c r="C1327" s="9" t="n">
        <v>1128299</v>
      </c>
      <c r="D1327" s="10" t="n">
        <v>44357</v>
      </c>
      <c r="E1327" s="9" t="s">
        <v>33</v>
      </c>
      <c r="F1327" s="9" t="s">
        <v>68</v>
      </c>
      <c r="G1327" s="9" t="s">
        <v>69</v>
      </c>
      <c r="H1327" s="11" t="s">
        <v>24</v>
      </c>
      <c r="I1327" s="12" t="n">
        <v>85</v>
      </c>
      <c r="J1327" s="13" t="n">
        <v>350</v>
      </c>
      <c r="K1327" s="14" t="n">
        <f aca="false">I1327*J1327</f>
        <v>29750</v>
      </c>
      <c r="L1327" s="14" t="n">
        <f aca="false">($L$2*M1327)/100</f>
        <v>180249.975</v>
      </c>
      <c r="M1327" s="15" t="n">
        <v>0.15</v>
      </c>
      <c r="N1327" s="9" t="s">
        <v>26</v>
      </c>
    </row>
    <row r="1328" customFormat="false" ht="14.25" hidden="false" customHeight="true" outlineLevel="0" collapsed="false">
      <c r="B1328" s="9" t="s">
        <v>16</v>
      </c>
      <c r="C1328" s="9" t="n">
        <v>1128299</v>
      </c>
      <c r="D1328" s="10" t="n">
        <v>44357</v>
      </c>
      <c r="E1328" s="9" t="s">
        <v>33</v>
      </c>
      <c r="F1328" s="9" t="s">
        <v>68</v>
      </c>
      <c r="G1328" s="9" t="s">
        <v>69</v>
      </c>
      <c r="H1328" s="11" t="s">
        <v>25</v>
      </c>
      <c r="I1328" s="12" t="n">
        <v>100</v>
      </c>
      <c r="J1328" s="13" t="n">
        <v>650</v>
      </c>
      <c r="K1328" s="14" t="n">
        <f aca="false">I1328*J1328</f>
        <v>65000</v>
      </c>
      <c r="L1328" s="14" t="n">
        <f aca="false">($L$2*M1328)/100</f>
        <v>480666.6</v>
      </c>
      <c r="M1328" s="15" t="n">
        <v>0.4</v>
      </c>
      <c r="N1328" s="9" t="s">
        <v>26</v>
      </c>
    </row>
    <row r="1329" customFormat="false" ht="14.25" hidden="false" customHeight="true" outlineLevel="0" collapsed="false">
      <c r="B1329" s="9" t="s">
        <v>16</v>
      </c>
      <c r="C1329" s="9" t="n">
        <v>1128299</v>
      </c>
      <c r="D1329" s="10" t="n">
        <v>44386</v>
      </c>
      <c r="E1329" s="9" t="s">
        <v>33</v>
      </c>
      <c r="F1329" s="9" t="s">
        <v>68</v>
      </c>
      <c r="G1329" s="9" t="s">
        <v>69</v>
      </c>
      <c r="H1329" s="11" t="s">
        <v>19</v>
      </c>
      <c r="I1329" s="12" t="n">
        <v>80</v>
      </c>
      <c r="J1329" s="13" t="n">
        <v>800</v>
      </c>
      <c r="K1329" s="14" t="n">
        <f aca="false">I1329*J1329</f>
        <v>64000</v>
      </c>
      <c r="L1329" s="14" t="n">
        <f aca="false">($L$2*M1329)/100</f>
        <v>300416.625</v>
      </c>
      <c r="M1329" s="15" t="n">
        <v>0.25</v>
      </c>
      <c r="N1329" s="9" t="s">
        <v>26</v>
      </c>
    </row>
    <row r="1330" customFormat="false" ht="14.25" hidden="false" customHeight="true" outlineLevel="0" collapsed="false">
      <c r="B1330" s="9" t="s">
        <v>16</v>
      </c>
      <c r="C1330" s="9" t="n">
        <v>1128299</v>
      </c>
      <c r="D1330" s="10" t="n">
        <v>44386</v>
      </c>
      <c r="E1330" s="9" t="s">
        <v>33</v>
      </c>
      <c r="F1330" s="9" t="s">
        <v>68</v>
      </c>
      <c r="G1330" s="9" t="s">
        <v>69</v>
      </c>
      <c r="H1330" s="11" t="s">
        <v>21</v>
      </c>
      <c r="I1330" s="12" t="n">
        <v>85</v>
      </c>
      <c r="J1330" s="13" t="n">
        <v>650</v>
      </c>
      <c r="K1330" s="14" t="n">
        <f aca="false">I1330*J1330</f>
        <v>55250</v>
      </c>
      <c r="L1330" s="14" t="n">
        <f aca="false">($L$2*M1330)/100</f>
        <v>240333.3</v>
      </c>
      <c r="M1330" s="15" t="n">
        <v>0.2</v>
      </c>
      <c r="N1330" s="9" t="s">
        <v>26</v>
      </c>
    </row>
    <row r="1331" customFormat="false" ht="14.25" hidden="false" customHeight="true" outlineLevel="0" collapsed="false">
      <c r="B1331" s="9" t="s">
        <v>16</v>
      </c>
      <c r="C1331" s="9" t="n">
        <v>1128299</v>
      </c>
      <c r="D1331" s="10" t="n">
        <v>44386</v>
      </c>
      <c r="E1331" s="9" t="s">
        <v>33</v>
      </c>
      <c r="F1331" s="9" t="s">
        <v>68</v>
      </c>
      <c r="G1331" s="9" t="s">
        <v>69</v>
      </c>
      <c r="H1331" s="11" t="s">
        <v>22</v>
      </c>
      <c r="I1331" s="12" t="n">
        <v>85</v>
      </c>
      <c r="J1331" s="13" t="n">
        <v>600</v>
      </c>
      <c r="K1331" s="14" t="n">
        <f aca="false">I1331*J1331</f>
        <v>51000</v>
      </c>
      <c r="L1331" s="14" t="n">
        <f aca="false">($L$2*M1331)/100</f>
        <v>300416.625</v>
      </c>
      <c r="M1331" s="15" t="n">
        <v>0.25</v>
      </c>
      <c r="N1331" s="9" t="s">
        <v>26</v>
      </c>
    </row>
    <row r="1332" customFormat="false" ht="14.25" hidden="false" customHeight="true" outlineLevel="0" collapsed="false">
      <c r="B1332" s="9" t="s">
        <v>16</v>
      </c>
      <c r="C1332" s="9" t="n">
        <v>1128299</v>
      </c>
      <c r="D1332" s="10" t="n">
        <v>44386</v>
      </c>
      <c r="E1332" s="9" t="s">
        <v>33</v>
      </c>
      <c r="F1332" s="9" t="s">
        <v>68</v>
      </c>
      <c r="G1332" s="9" t="s">
        <v>69</v>
      </c>
      <c r="H1332" s="11" t="s">
        <v>23</v>
      </c>
      <c r="I1332" s="12" t="n">
        <v>80</v>
      </c>
      <c r="J1332" s="13" t="n">
        <v>500</v>
      </c>
      <c r="K1332" s="14" t="n">
        <f aca="false">I1332*J1332</f>
        <v>40000</v>
      </c>
      <c r="L1332" s="14" t="n">
        <f aca="false">($L$2*M1332)/100</f>
        <v>300416.625</v>
      </c>
      <c r="M1332" s="15" t="n">
        <v>0.25</v>
      </c>
      <c r="N1332" s="9" t="s">
        <v>26</v>
      </c>
    </row>
    <row r="1333" customFormat="false" ht="14.25" hidden="false" customHeight="true" outlineLevel="0" collapsed="false">
      <c r="B1333" s="9" t="s">
        <v>16</v>
      </c>
      <c r="C1333" s="9" t="n">
        <v>1128299</v>
      </c>
      <c r="D1333" s="10" t="n">
        <v>44386</v>
      </c>
      <c r="E1333" s="9" t="s">
        <v>33</v>
      </c>
      <c r="F1333" s="9" t="s">
        <v>68</v>
      </c>
      <c r="G1333" s="9" t="s">
        <v>69</v>
      </c>
      <c r="H1333" s="11" t="s">
        <v>24</v>
      </c>
      <c r="I1333" s="12" t="n">
        <v>85</v>
      </c>
      <c r="J1333" s="13" t="n">
        <v>550</v>
      </c>
      <c r="K1333" s="14" t="n">
        <f aca="false">I1333*J1333</f>
        <v>46750</v>
      </c>
      <c r="L1333" s="14" t="n">
        <f aca="false">($L$2*M1333)/100</f>
        <v>180249.975</v>
      </c>
      <c r="M1333" s="15" t="n">
        <v>0.15</v>
      </c>
      <c r="N1333" s="9" t="s">
        <v>26</v>
      </c>
    </row>
    <row r="1334" customFormat="false" ht="14.25" hidden="false" customHeight="true" outlineLevel="0" collapsed="false">
      <c r="B1334" s="9" t="s">
        <v>16</v>
      </c>
      <c r="C1334" s="9" t="n">
        <v>1128299</v>
      </c>
      <c r="D1334" s="10" t="n">
        <v>44386</v>
      </c>
      <c r="E1334" s="9" t="s">
        <v>33</v>
      </c>
      <c r="F1334" s="9" t="s">
        <v>68</v>
      </c>
      <c r="G1334" s="9" t="s">
        <v>69</v>
      </c>
      <c r="H1334" s="11" t="s">
        <v>25</v>
      </c>
      <c r="I1334" s="12" t="n">
        <v>100</v>
      </c>
      <c r="J1334" s="13" t="n">
        <v>550</v>
      </c>
      <c r="K1334" s="14" t="n">
        <f aca="false">I1334*J1334</f>
        <v>55000</v>
      </c>
      <c r="L1334" s="14" t="n">
        <f aca="false">($L$2*M1334)/100</f>
        <v>480666.6</v>
      </c>
      <c r="M1334" s="15" t="n">
        <v>0.4</v>
      </c>
      <c r="N1334" s="9" t="s">
        <v>26</v>
      </c>
    </row>
    <row r="1335" customFormat="false" ht="14.25" hidden="false" customHeight="true" outlineLevel="0" collapsed="false">
      <c r="B1335" s="9" t="s">
        <v>16</v>
      </c>
      <c r="C1335" s="9" t="n">
        <v>1128299</v>
      </c>
      <c r="D1335" s="10" t="n">
        <v>44418</v>
      </c>
      <c r="E1335" s="9" t="s">
        <v>33</v>
      </c>
      <c r="F1335" s="9" t="s">
        <v>68</v>
      </c>
      <c r="G1335" s="9" t="s">
        <v>69</v>
      </c>
      <c r="H1335" s="11" t="s">
        <v>19</v>
      </c>
      <c r="I1335" s="12" t="n">
        <v>85</v>
      </c>
      <c r="J1335" s="13" t="n">
        <v>750</v>
      </c>
      <c r="K1335" s="14" t="n">
        <f aca="false">I1335*J1335</f>
        <v>63750</v>
      </c>
      <c r="L1335" s="14" t="n">
        <f aca="false">($L$2*M1335)/100</f>
        <v>300416.625</v>
      </c>
      <c r="M1335" s="15" t="n">
        <v>0.25</v>
      </c>
      <c r="N1335" s="9" t="s">
        <v>26</v>
      </c>
    </row>
    <row r="1336" customFormat="false" ht="14.25" hidden="false" customHeight="true" outlineLevel="0" collapsed="false">
      <c r="B1336" s="9" t="s">
        <v>16</v>
      </c>
      <c r="C1336" s="9" t="n">
        <v>1128299</v>
      </c>
      <c r="D1336" s="10" t="n">
        <v>44418</v>
      </c>
      <c r="E1336" s="9" t="s">
        <v>33</v>
      </c>
      <c r="F1336" s="9" t="s">
        <v>68</v>
      </c>
      <c r="G1336" s="9" t="s">
        <v>69</v>
      </c>
      <c r="H1336" s="11" t="s">
        <v>21</v>
      </c>
      <c r="I1336" s="12" t="n">
        <v>75</v>
      </c>
      <c r="J1336" s="13" t="n">
        <v>725</v>
      </c>
      <c r="K1336" s="14" t="n">
        <f aca="false">I1336*J1336</f>
        <v>54375</v>
      </c>
      <c r="L1336" s="14" t="n">
        <f aca="false">($L$2*M1336)/100</f>
        <v>240333.3</v>
      </c>
      <c r="M1336" s="15" t="n">
        <v>0.2</v>
      </c>
      <c r="N1336" s="9" t="s">
        <v>26</v>
      </c>
    </row>
    <row r="1337" customFormat="false" ht="14.25" hidden="false" customHeight="true" outlineLevel="0" collapsed="false">
      <c r="B1337" s="9" t="s">
        <v>16</v>
      </c>
      <c r="C1337" s="9" t="n">
        <v>1128299</v>
      </c>
      <c r="D1337" s="10" t="n">
        <v>44418</v>
      </c>
      <c r="E1337" s="9" t="s">
        <v>33</v>
      </c>
      <c r="F1337" s="9" t="s">
        <v>68</v>
      </c>
      <c r="G1337" s="9" t="s">
        <v>69</v>
      </c>
      <c r="H1337" s="11" t="s">
        <v>22</v>
      </c>
      <c r="I1337" s="12" t="n">
        <v>70</v>
      </c>
      <c r="J1337" s="13" t="n">
        <v>600</v>
      </c>
      <c r="K1337" s="14" t="n">
        <f aca="false">I1337*J1337</f>
        <v>42000</v>
      </c>
      <c r="L1337" s="14" t="n">
        <f aca="false">($L$2*M1337)/100</f>
        <v>300416.625</v>
      </c>
      <c r="M1337" s="15" t="n">
        <v>0.25</v>
      </c>
      <c r="N1337" s="9" t="s">
        <v>26</v>
      </c>
    </row>
    <row r="1338" customFormat="false" ht="14.25" hidden="false" customHeight="true" outlineLevel="0" collapsed="false">
      <c r="B1338" s="9" t="s">
        <v>16</v>
      </c>
      <c r="C1338" s="9" t="n">
        <v>1128299</v>
      </c>
      <c r="D1338" s="10" t="n">
        <v>44418</v>
      </c>
      <c r="E1338" s="9" t="s">
        <v>33</v>
      </c>
      <c r="F1338" s="9" t="s">
        <v>68</v>
      </c>
      <c r="G1338" s="9" t="s">
        <v>69</v>
      </c>
      <c r="H1338" s="11" t="s">
        <v>23</v>
      </c>
      <c r="I1338" s="12" t="n">
        <v>70</v>
      </c>
      <c r="J1338" s="13" t="n">
        <v>525</v>
      </c>
      <c r="K1338" s="14" t="n">
        <f aca="false">I1338*J1338</f>
        <v>36750</v>
      </c>
      <c r="L1338" s="14" t="n">
        <f aca="false">($L$2*M1338)/100</f>
        <v>300416.625</v>
      </c>
      <c r="M1338" s="15" t="n">
        <v>0.25</v>
      </c>
      <c r="N1338" s="9" t="s">
        <v>26</v>
      </c>
    </row>
    <row r="1339" customFormat="false" ht="14.25" hidden="false" customHeight="true" outlineLevel="0" collapsed="false">
      <c r="B1339" s="9" t="s">
        <v>27</v>
      </c>
      <c r="C1339" s="9" t="n">
        <v>1128299</v>
      </c>
      <c r="D1339" s="10" t="n">
        <v>44418</v>
      </c>
      <c r="E1339" s="9" t="s">
        <v>33</v>
      </c>
      <c r="F1339" s="9" t="s">
        <v>68</v>
      </c>
      <c r="G1339" s="9" t="s">
        <v>69</v>
      </c>
      <c r="H1339" s="11" t="s">
        <v>24</v>
      </c>
      <c r="I1339" s="12" t="n">
        <v>70</v>
      </c>
      <c r="J1339" s="13" t="n">
        <v>525</v>
      </c>
      <c r="K1339" s="14" t="n">
        <f aca="false">I1339*J1339</f>
        <v>36750</v>
      </c>
      <c r="L1339" s="14" t="n">
        <f aca="false">($L$2*M1339)/100</f>
        <v>180249.975</v>
      </c>
      <c r="M1339" s="15" t="n">
        <v>0.15</v>
      </c>
      <c r="N1339" s="9" t="s">
        <v>26</v>
      </c>
    </row>
    <row r="1340" customFormat="false" ht="14.25" hidden="false" customHeight="true" outlineLevel="0" collapsed="false">
      <c r="B1340" s="9" t="s">
        <v>27</v>
      </c>
      <c r="C1340" s="9" t="n">
        <v>1128299</v>
      </c>
      <c r="D1340" s="10" t="n">
        <v>44418</v>
      </c>
      <c r="E1340" s="9" t="s">
        <v>33</v>
      </c>
      <c r="F1340" s="9" t="s">
        <v>68</v>
      </c>
      <c r="G1340" s="9" t="s">
        <v>69</v>
      </c>
      <c r="H1340" s="11" t="s">
        <v>25</v>
      </c>
      <c r="I1340" s="12" t="n">
        <v>75</v>
      </c>
      <c r="J1340" s="13" t="n">
        <v>350</v>
      </c>
      <c r="K1340" s="14" t="n">
        <f aca="false">I1340*J1340</f>
        <v>26250</v>
      </c>
      <c r="L1340" s="14" t="n">
        <f aca="false">($L$2*M1340)/100</f>
        <v>480666.6</v>
      </c>
      <c r="M1340" s="15" t="n">
        <v>0.4</v>
      </c>
      <c r="N1340" s="9" t="s">
        <v>26</v>
      </c>
    </row>
    <row r="1341" customFormat="false" ht="14.25" hidden="false" customHeight="true" outlineLevel="0" collapsed="false">
      <c r="B1341" s="9" t="s">
        <v>27</v>
      </c>
      <c r="C1341" s="9" t="n">
        <v>1128299</v>
      </c>
      <c r="D1341" s="10" t="n">
        <v>44450</v>
      </c>
      <c r="E1341" s="9" t="s">
        <v>33</v>
      </c>
      <c r="F1341" s="9" t="s">
        <v>68</v>
      </c>
      <c r="G1341" s="9" t="s">
        <v>69</v>
      </c>
      <c r="H1341" s="11" t="s">
        <v>19</v>
      </c>
      <c r="I1341" s="12" t="n">
        <v>65</v>
      </c>
      <c r="J1341" s="13" t="n">
        <v>550</v>
      </c>
      <c r="K1341" s="14" t="n">
        <f aca="false">I1341*J1341</f>
        <v>35750</v>
      </c>
      <c r="L1341" s="14" t="n">
        <f aca="false">($L$2*M1341)/100</f>
        <v>300416.625</v>
      </c>
      <c r="M1341" s="15" t="n">
        <v>0.25</v>
      </c>
      <c r="N1341" s="9" t="s">
        <v>26</v>
      </c>
    </row>
    <row r="1342" customFormat="false" ht="14.25" hidden="false" customHeight="true" outlineLevel="0" collapsed="false">
      <c r="B1342" s="9" t="s">
        <v>27</v>
      </c>
      <c r="C1342" s="9" t="n">
        <v>1128299</v>
      </c>
      <c r="D1342" s="10" t="n">
        <v>44450</v>
      </c>
      <c r="E1342" s="9" t="s">
        <v>33</v>
      </c>
      <c r="F1342" s="9" t="s">
        <v>68</v>
      </c>
      <c r="G1342" s="9" t="s">
        <v>69</v>
      </c>
      <c r="H1342" s="11" t="s">
        <v>21</v>
      </c>
      <c r="I1342" s="12" t="n">
        <v>70</v>
      </c>
      <c r="J1342" s="13" t="n">
        <v>550</v>
      </c>
      <c r="K1342" s="14" t="n">
        <f aca="false">I1342*J1342</f>
        <v>38500</v>
      </c>
      <c r="L1342" s="14" t="n">
        <f aca="false">($L$2*M1342)/100</f>
        <v>240333.3</v>
      </c>
      <c r="M1342" s="15" t="n">
        <v>0.2</v>
      </c>
      <c r="N1342" s="9" t="s">
        <v>26</v>
      </c>
    </row>
    <row r="1343" customFormat="false" ht="14.25" hidden="false" customHeight="true" outlineLevel="0" collapsed="false">
      <c r="B1343" s="9" t="s">
        <v>27</v>
      </c>
      <c r="C1343" s="9" t="n">
        <v>1128299</v>
      </c>
      <c r="D1343" s="10" t="n">
        <v>44450</v>
      </c>
      <c r="E1343" s="9" t="s">
        <v>33</v>
      </c>
      <c r="F1343" s="9" t="s">
        <v>68</v>
      </c>
      <c r="G1343" s="9" t="s">
        <v>69</v>
      </c>
      <c r="H1343" s="11" t="s">
        <v>22</v>
      </c>
      <c r="I1343" s="12" t="n">
        <v>65</v>
      </c>
      <c r="J1343" s="13" t="n">
        <v>375</v>
      </c>
      <c r="K1343" s="14" t="n">
        <f aca="false">I1343*J1343</f>
        <v>24375</v>
      </c>
      <c r="L1343" s="14" t="n">
        <f aca="false">($L$2*M1343)/100</f>
        <v>300416.625</v>
      </c>
      <c r="M1343" s="15" t="n">
        <v>0.25</v>
      </c>
      <c r="N1343" s="9" t="s">
        <v>26</v>
      </c>
    </row>
    <row r="1344" customFormat="false" ht="14.25" hidden="false" customHeight="true" outlineLevel="0" collapsed="false">
      <c r="B1344" s="9" t="s">
        <v>27</v>
      </c>
      <c r="C1344" s="9" t="n">
        <v>1128299</v>
      </c>
      <c r="D1344" s="10" t="n">
        <v>44450</v>
      </c>
      <c r="E1344" s="9" t="s">
        <v>33</v>
      </c>
      <c r="F1344" s="9" t="s">
        <v>68</v>
      </c>
      <c r="G1344" s="9" t="s">
        <v>69</v>
      </c>
      <c r="H1344" s="11" t="s">
        <v>23</v>
      </c>
      <c r="I1344" s="12" t="n">
        <v>65</v>
      </c>
      <c r="J1344" s="13" t="n">
        <v>325</v>
      </c>
      <c r="K1344" s="14" t="n">
        <f aca="false">I1344*J1344</f>
        <v>21125</v>
      </c>
      <c r="L1344" s="14" t="n">
        <f aca="false">($L$2*M1344)/100</f>
        <v>300416.625</v>
      </c>
      <c r="M1344" s="15" t="n">
        <v>0.25</v>
      </c>
      <c r="N1344" s="9" t="s">
        <v>26</v>
      </c>
    </row>
    <row r="1345" customFormat="false" ht="14.25" hidden="false" customHeight="true" outlineLevel="0" collapsed="false">
      <c r="B1345" s="9" t="s">
        <v>27</v>
      </c>
      <c r="C1345" s="9" t="n">
        <v>1128299</v>
      </c>
      <c r="D1345" s="10" t="n">
        <v>44450</v>
      </c>
      <c r="E1345" s="9" t="s">
        <v>33</v>
      </c>
      <c r="F1345" s="9" t="s">
        <v>68</v>
      </c>
      <c r="G1345" s="9" t="s">
        <v>69</v>
      </c>
      <c r="H1345" s="11" t="s">
        <v>24</v>
      </c>
      <c r="I1345" s="12" t="n">
        <v>75</v>
      </c>
      <c r="J1345" s="13" t="n">
        <v>350</v>
      </c>
      <c r="K1345" s="14" t="n">
        <f aca="false">I1345*J1345</f>
        <v>26250</v>
      </c>
      <c r="L1345" s="14" t="n">
        <f aca="false">($L$2*M1345)/100</f>
        <v>180249.975</v>
      </c>
      <c r="M1345" s="15" t="n">
        <v>0.15</v>
      </c>
      <c r="N1345" s="9" t="s">
        <v>26</v>
      </c>
    </row>
    <row r="1346" customFormat="false" ht="14.25" hidden="false" customHeight="true" outlineLevel="0" collapsed="false">
      <c r="B1346" s="9" t="s">
        <v>27</v>
      </c>
      <c r="C1346" s="9" t="n">
        <v>1128299</v>
      </c>
      <c r="D1346" s="10" t="n">
        <v>44450</v>
      </c>
      <c r="E1346" s="9" t="s">
        <v>33</v>
      </c>
      <c r="F1346" s="9" t="s">
        <v>68</v>
      </c>
      <c r="G1346" s="9" t="s">
        <v>69</v>
      </c>
      <c r="H1346" s="11" t="s">
        <v>25</v>
      </c>
      <c r="I1346" s="12" t="n">
        <v>60</v>
      </c>
      <c r="J1346" s="13" t="n">
        <v>375</v>
      </c>
      <c r="K1346" s="14" t="n">
        <f aca="false">I1346*J1346</f>
        <v>22500</v>
      </c>
      <c r="L1346" s="14" t="n">
        <f aca="false">($L$2*M1346)/100</f>
        <v>480666.6</v>
      </c>
      <c r="M1346" s="15" t="n">
        <v>0.4</v>
      </c>
      <c r="N1346" s="9" t="s">
        <v>26</v>
      </c>
    </row>
    <row r="1347" customFormat="false" ht="14.25" hidden="false" customHeight="true" outlineLevel="0" collapsed="false">
      <c r="B1347" s="9" t="s">
        <v>27</v>
      </c>
      <c r="C1347" s="9" t="n">
        <v>1128299</v>
      </c>
      <c r="D1347" s="10" t="n">
        <v>44479</v>
      </c>
      <c r="E1347" s="9" t="s">
        <v>33</v>
      </c>
      <c r="F1347" s="9" t="s">
        <v>68</v>
      </c>
      <c r="G1347" s="9" t="s">
        <v>69</v>
      </c>
      <c r="H1347" s="11" t="s">
        <v>19</v>
      </c>
      <c r="I1347" s="12" t="n">
        <v>55</v>
      </c>
      <c r="J1347" s="13" t="n">
        <v>475</v>
      </c>
      <c r="K1347" s="14" t="n">
        <f aca="false">I1347*J1347</f>
        <v>26125</v>
      </c>
      <c r="L1347" s="14" t="n">
        <f aca="false">($L$2*M1347)/100</f>
        <v>300416.625</v>
      </c>
      <c r="M1347" s="15" t="n">
        <v>0.25</v>
      </c>
      <c r="N1347" s="9" t="s">
        <v>26</v>
      </c>
    </row>
    <row r="1348" customFormat="false" ht="14.25" hidden="false" customHeight="true" outlineLevel="0" collapsed="false">
      <c r="B1348" s="9" t="s">
        <v>27</v>
      </c>
      <c r="C1348" s="9" t="n">
        <v>1128299</v>
      </c>
      <c r="D1348" s="10" t="n">
        <v>44479</v>
      </c>
      <c r="E1348" s="9" t="s">
        <v>33</v>
      </c>
      <c r="F1348" s="9" t="s">
        <v>68</v>
      </c>
      <c r="G1348" s="9" t="s">
        <v>69</v>
      </c>
      <c r="H1348" s="11" t="s">
        <v>21</v>
      </c>
      <c r="I1348" s="12" t="n">
        <v>65</v>
      </c>
      <c r="J1348" s="13" t="n">
        <v>475</v>
      </c>
      <c r="K1348" s="14" t="n">
        <f aca="false">I1348*J1348</f>
        <v>30875</v>
      </c>
      <c r="L1348" s="14" t="n">
        <f aca="false">($L$2*M1348)/100</f>
        <v>240333.3</v>
      </c>
      <c r="M1348" s="15" t="n">
        <v>0.2</v>
      </c>
      <c r="N1348" s="9" t="s">
        <v>26</v>
      </c>
    </row>
    <row r="1349" customFormat="false" ht="14.25" hidden="false" customHeight="true" outlineLevel="0" collapsed="false">
      <c r="B1349" s="9" t="s">
        <v>27</v>
      </c>
      <c r="C1349" s="9" t="n">
        <v>1128299</v>
      </c>
      <c r="D1349" s="10" t="n">
        <v>44479</v>
      </c>
      <c r="E1349" s="9" t="s">
        <v>33</v>
      </c>
      <c r="F1349" s="9" t="s">
        <v>68</v>
      </c>
      <c r="G1349" s="9" t="s">
        <v>69</v>
      </c>
      <c r="H1349" s="11" t="s">
        <v>22</v>
      </c>
      <c r="I1349" s="12" t="n">
        <v>60</v>
      </c>
      <c r="J1349" s="13" t="n">
        <v>300</v>
      </c>
      <c r="K1349" s="14" t="n">
        <f aca="false">I1349*J1349</f>
        <v>18000</v>
      </c>
      <c r="L1349" s="14" t="n">
        <f aca="false">($L$2*M1349)/100</f>
        <v>300416.625</v>
      </c>
      <c r="M1349" s="15" t="n">
        <v>0.25</v>
      </c>
      <c r="N1349" s="9" t="s">
        <v>26</v>
      </c>
    </row>
    <row r="1350" customFormat="false" ht="14.25" hidden="false" customHeight="true" outlineLevel="0" collapsed="false">
      <c r="B1350" s="9" t="s">
        <v>27</v>
      </c>
      <c r="C1350" s="9" t="n">
        <v>1128299</v>
      </c>
      <c r="D1350" s="10" t="n">
        <v>44479</v>
      </c>
      <c r="E1350" s="9" t="s">
        <v>33</v>
      </c>
      <c r="F1350" s="9" t="s">
        <v>68</v>
      </c>
      <c r="G1350" s="9" t="s">
        <v>69</v>
      </c>
      <c r="H1350" s="11" t="s">
        <v>23</v>
      </c>
      <c r="I1350" s="12" t="n">
        <v>55</v>
      </c>
      <c r="J1350" s="13" t="n">
        <v>275</v>
      </c>
      <c r="K1350" s="14" t="n">
        <f aca="false">I1350*J1350</f>
        <v>15125</v>
      </c>
      <c r="L1350" s="14" t="n">
        <f aca="false">($L$2*M1350)/100</f>
        <v>300416.625</v>
      </c>
      <c r="M1350" s="15" t="n">
        <v>0.25</v>
      </c>
      <c r="N1350" s="9" t="s">
        <v>26</v>
      </c>
    </row>
    <row r="1351" customFormat="false" ht="14.25" hidden="false" customHeight="true" outlineLevel="0" collapsed="false">
      <c r="B1351" s="9" t="s">
        <v>27</v>
      </c>
      <c r="C1351" s="9" t="n">
        <v>1128299</v>
      </c>
      <c r="D1351" s="10" t="n">
        <v>44479</v>
      </c>
      <c r="E1351" s="9" t="s">
        <v>33</v>
      </c>
      <c r="F1351" s="9" t="s">
        <v>68</v>
      </c>
      <c r="G1351" s="9" t="s">
        <v>69</v>
      </c>
      <c r="H1351" s="11" t="s">
        <v>24</v>
      </c>
      <c r="I1351" s="12" t="n">
        <v>65</v>
      </c>
      <c r="J1351" s="13" t="n">
        <v>250</v>
      </c>
      <c r="K1351" s="14" t="n">
        <f aca="false">I1351*J1351</f>
        <v>16250</v>
      </c>
      <c r="L1351" s="14" t="n">
        <f aca="false">($L$2*M1351)/100</f>
        <v>180249.975</v>
      </c>
      <c r="M1351" s="15" t="n">
        <v>0.15</v>
      </c>
      <c r="N1351" s="9" t="s">
        <v>26</v>
      </c>
    </row>
    <row r="1352" customFormat="false" ht="14.25" hidden="false" customHeight="true" outlineLevel="0" collapsed="false">
      <c r="B1352" s="9" t="s">
        <v>27</v>
      </c>
      <c r="C1352" s="9" t="n">
        <v>1128299</v>
      </c>
      <c r="D1352" s="10" t="n">
        <v>44479</v>
      </c>
      <c r="E1352" s="9" t="s">
        <v>33</v>
      </c>
      <c r="F1352" s="9" t="s">
        <v>68</v>
      </c>
      <c r="G1352" s="9" t="s">
        <v>69</v>
      </c>
      <c r="H1352" s="11" t="s">
        <v>25</v>
      </c>
      <c r="I1352" s="12" t="n">
        <v>70</v>
      </c>
      <c r="J1352" s="13" t="n">
        <v>300</v>
      </c>
      <c r="K1352" s="14" t="n">
        <f aca="false">I1352*J1352</f>
        <v>21000</v>
      </c>
      <c r="L1352" s="14" t="n">
        <f aca="false">($L$2*M1352)/100</f>
        <v>480666.6</v>
      </c>
      <c r="M1352" s="15" t="n">
        <v>0.4</v>
      </c>
      <c r="N1352" s="9" t="s">
        <v>26</v>
      </c>
    </row>
    <row r="1353" customFormat="false" ht="14.25" hidden="false" customHeight="true" outlineLevel="0" collapsed="false">
      <c r="B1353" s="9" t="s">
        <v>27</v>
      </c>
      <c r="C1353" s="9" t="n">
        <v>1128299</v>
      </c>
      <c r="D1353" s="10" t="n">
        <v>44510</v>
      </c>
      <c r="E1353" s="9" t="s">
        <v>33</v>
      </c>
      <c r="F1353" s="9" t="s">
        <v>68</v>
      </c>
      <c r="G1353" s="9" t="s">
        <v>69</v>
      </c>
      <c r="H1353" s="11" t="s">
        <v>19</v>
      </c>
      <c r="I1353" s="12" t="n">
        <v>55</v>
      </c>
      <c r="J1353" s="13" t="n">
        <v>525</v>
      </c>
      <c r="K1353" s="14" t="n">
        <f aca="false">I1353*J1353</f>
        <v>28875</v>
      </c>
      <c r="L1353" s="14" t="n">
        <f aca="false">($L$2*M1353)/100</f>
        <v>300416.625</v>
      </c>
      <c r="M1353" s="15" t="n">
        <v>0.25</v>
      </c>
      <c r="N1353" s="9" t="s">
        <v>26</v>
      </c>
    </row>
    <row r="1354" customFormat="false" ht="14.25" hidden="false" customHeight="true" outlineLevel="0" collapsed="false">
      <c r="B1354" s="9" t="s">
        <v>27</v>
      </c>
      <c r="C1354" s="9" t="n">
        <v>1128299</v>
      </c>
      <c r="D1354" s="10" t="n">
        <v>44510</v>
      </c>
      <c r="E1354" s="9" t="s">
        <v>33</v>
      </c>
      <c r="F1354" s="9" t="s">
        <v>68</v>
      </c>
      <c r="G1354" s="9" t="s">
        <v>69</v>
      </c>
      <c r="H1354" s="11" t="s">
        <v>21</v>
      </c>
      <c r="I1354" s="12" t="n">
        <v>60</v>
      </c>
      <c r="J1354" s="13" t="n">
        <v>600</v>
      </c>
      <c r="K1354" s="14" t="n">
        <f aca="false">I1354*J1354</f>
        <v>36000</v>
      </c>
      <c r="L1354" s="14" t="n">
        <f aca="false">($L$2*M1354)/100</f>
        <v>240333.3</v>
      </c>
      <c r="M1354" s="15" t="n">
        <v>0.2</v>
      </c>
      <c r="N1354" s="9" t="s">
        <v>26</v>
      </c>
    </row>
    <row r="1355" customFormat="false" ht="14.25" hidden="false" customHeight="true" outlineLevel="0" collapsed="false">
      <c r="B1355" s="9" t="s">
        <v>27</v>
      </c>
      <c r="C1355" s="9" t="n">
        <v>1128299</v>
      </c>
      <c r="D1355" s="10" t="n">
        <v>44510</v>
      </c>
      <c r="E1355" s="9" t="s">
        <v>33</v>
      </c>
      <c r="F1355" s="9" t="s">
        <v>68</v>
      </c>
      <c r="G1355" s="9" t="s">
        <v>69</v>
      </c>
      <c r="H1355" s="11" t="s">
        <v>22</v>
      </c>
      <c r="I1355" s="12" t="n">
        <v>55</v>
      </c>
      <c r="J1355" s="13" t="n">
        <v>425</v>
      </c>
      <c r="K1355" s="14" t="n">
        <f aca="false">I1355*J1355</f>
        <v>23375</v>
      </c>
      <c r="L1355" s="14" t="n">
        <f aca="false">($L$2*M1355)/100</f>
        <v>300416.625</v>
      </c>
      <c r="M1355" s="15" t="n">
        <v>0.25</v>
      </c>
      <c r="N1355" s="9" t="s">
        <v>26</v>
      </c>
    </row>
    <row r="1356" customFormat="false" ht="14.25" hidden="false" customHeight="true" outlineLevel="0" collapsed="false">
      <c r="B1356" s="9" t="s">
        <v>27</v>
      </c>
      <c r="C1356" s="9" t="n">
        <v>1128299</v>
      </c>
      <c r="D1356" s="10" t="n">
        <v>44510</v>
      </c>
      <c r="E1356" s="9" t="s">
        <v>33</v>
      </c>
      <c r="F1356" s="9" t="s">
        <v>68</v>
      </c>
      <c r="G1356" s="9" t="s">
        <v>69</v>
      </c>
      <c r="H1356" s="11" t="s">
        <v>23</v>
      </c>
      <c r="I1356" s="12" t="n">
        <v>65</v>
      </c>
      <c r="J1356" s="13" t="n">
        <v>400</v>
      </c>
      <c r="K1356" s="14" t="n">
        <f aca="false">I1356*J1356</f>
        <v>26000</v>
      </c>
      <c r="L1356" s="14" t="n">
        <f aca="false">($L$2*M1356)/100</f>
        <v>300416.625</v>
      </c>
      <c r="M1356" s="15" t="n">
        <v>0.25</v>
      </c>
      <c r="N1356" s="9" t="s">
        <v>26</v>
      </c>
    </row>
    <row r="1357" customFormat="false" ht="14.25" hidden="false" customHeight="true" outlineLevel="0" collapsed="false">
      <c r="B1357" s="9" t="s">
        <v>27</v>
      </c>
      <c r="C1357" s="9" t="n">
        <v>1128299</v>
      </c>
      <c r="D1357" s="10" t="n">
        <v>44510</v>
      </c>
      <c r="E1357" s="9" t="s">
        <v>33</v>
      </c>
      <c r="F1357" s="9" t="s">
        <v>68</v>
      </c>
      <c r="G1357" s="9" t="s">
        <v>69</v>
      </c>
      <c r="H1357" s="11" t="s">
        <v>24</v>
      </c>
      <c r="I1357" s="12" t="n">
        <v>85</v>
      </c>
      <c r="J1357" s="13" t="n">
        <v>375</v>
      </c>
      <c r="K1357" s="14" t="n">
        <f aca="false">I1357*J1357</f>
        <v>31875</v>
      </c>
      <c r="L1357" s="14" t="n">
        <f aca="false">($L$2*M1357)/100</f>
        <v>180249.975</v>
      </c>
      <c r="M1357" s="15" t="n">
        <v>0.15</v>
      </c>
      <c r="N1357" s="9" t="s">
        <v>26</v>
      </c>
    </row>
    <row r="1358" customFormat="false" ht="14.25" hidden="false" customHeight="true" outlineLevel="0" collapsed="false">
      <c r="B1358" s="9" t="s">
        <v>27</v>
      </c>
      <c r="C1358" s="9" t="n">
        <v>1128299</v>
      </c>
      <c r="D1358" s="10" t="n">
        <v>44510</v>
      </c>
      <c r="E1358" s="9" t="s">
        <v>33</v>
      </c>
      <c r="F1358" s="9" t="s">
        <v>68</v>
      </c>
      <c r="G1358" s="9" t="s">
        <v>69</v>
      </c>
      <c r="H1358" s="11" t="s">
        <v>25</v>
      </c>
      <c r="I1358" s="12" t="n">
        <v>90</v>
      </c>
      <c r="J1358" s="13" t="n">
        <v>500</v>
      </c>
      <c r="K1358" s="14" t="n">
        <f aca="false">I1358*J1358</f>
        <v>45000</v>
      </c>
      <c r="L1358" s="14" t="n">
        <f aca="false">($L$2*M1358)/100</f>
        <v>480666.6</v>
      </c>
      <c r="M1358" s="15" t="n">
        <v>0.4</v>
      </c>
      <c r="N1358" s="9" t="s">
        <v>26</v>
      </c>
    </row>
    <row r="1359" customFormat="false" ht="14.25" hidden="false" customHeight="true" outlineLevel="0" collapsed="false">
      <c r="B1359" s="9" t="s">
        <v>27</v>
      </c>
      <c r="C1359" s="9" t="n">
        <v>1128299</v>
      </c>
      <c r="D1359" s="10" t="n">
        <v>44539</v>
      </c>
      <c r="E1359" s="9" t="s">
        <v>33</v>
      </c>
      <c r="F1359" s="9" t="s">
        <v>68</v>
      </c>
      <c r="G1359" s="9" t="s">
        <v>69</v>
      </c>
      <c r="H1359" s="11" t="s">
        <v>19</v>
      </c>
      <c r="I1359" s="12" t="n">
        <v>75</v>
      </c>
      <c r="J1359" s="13" t="n">
        <v>700</v>
      </c>
      <c r="K1359" s="14" t="n">
        <f aca="false">I1359*J1359</f>
        <v>52500</v>
      </c>
      <c r="L1359" s="14" t="n">
        <f aca="false">($L$2*M1359)/100</f>
        <v>300416.625</v>
      </c>
      <c r="M1359" s="15" t="n">
        <v>0.25</v>
      </c>
      <c r="N1359" s="9" t="s">
        <v>26</v>
      </c>
    </row>
    <row r="1360" customFormat="false" ht="14.25" hidden="false" customHeight="true" outlineLevel="0" collapsed="false">
      <c r="B1360" s="9" t="s">
        <v>27</v>
      </c>
      <c r="C1360" s="9" t="n">
        <v>1128299</v>
      </c>
      <c r="D1360" s="10" t="n">
        <v>44539</v>
      </c>
      <c r="E1360" s="9" t="s">
        <v>33</v>
      </c>
      <c r="F1360" s="9" t="s">
        <v>68</v>
      </c>
      <c r="G1360" s="9" t="s">
        <v>69</v>
      </c>
      <c r="H1360" s="11" t="s">
        <v>21</v>
      </c>
      <c r="I1360" s="12" t="n">
        <v>85</v>
      </c>
      <c r="J1360" s="13" t="n">
        <v>700</v>
      </c>
      <c r="K1360" s="14" t="n">
        <f aca="false">I1360*J1360</f>
        <v>59500</v>
      </c>
      <c r="L1360" s="14" t="n">
        <f aca="false">($L$2*M1360)/100</f>
        <v>240333.3</v>
      </c>
      <c r="M1360" s="15" t="n">
        <v>0.2</v>
      </c>
      <c r="N1360" s="9" t="s">
        <v>26</v>
      </c>
    </row>
    <row r="1361" customFormat="false" ht="14.25" hidden="false" customHeight="true" outlineLevel="0" collapsed="false">
      <c r="B1361" s="9" t="s">
        <v>28</v>
      </c>
      <c r="C1361" s="9" t="n">
        <v>1128299</v>
      </c>
      <c r="D1361" s="10" t="n">
        <v>44539</v>
      </c>
      <c r="E1361" s="9" t="s">
        <v>33</v>
      </c>
      <c r="F1361" s="9" t="s">
        <v>68</v>
      </c>
      <c r="G1361" s="9" t="s">
        <v>69</v>
      </c>
      <c r="H1361" s="11" t="s">
        <v>22</v>
      </c>
      <c r="I1361" s="12" t="n">
        <v>80</v>
      </c>
      <c r="J1361" s="13" t="n">
        <v>500</v>
      </c>
      <c r="K1361" s="14" t="n">
        <f aca="false">I1361*J1361</f>
        <v>40000</v>
      </c>
      <c r="L1361" s="14" t="n">
        <f aca="false">($L$2*M1361)/100</f>
        <v>300416.625</v>
      </c>
      <c r="M1361" s="15" t="n">
        <v>0.25</v>
      </c>
      <c r="N1361" s="9" t="s">
        <v>26</v>
      </c>
    </row>
    <row r="1362" customFormat="false" ht="14.25" hidden="false" customHeight="true" outlineLevel="0" collapsed="false">
      <c r="B1362" s="9" t="s">
        <v>28</v>
      </c>
      <c r="C1362" s="9" t="n">
        <v>1128299</v>
      </c>
      <c r="D1362" s="10" t="n">
        <v>44539</v>
      </c>
      <c r="E1362" s="9" t="s">
        <v>33</v>
      </c>
      <c r="F1362" s="9" t="s">
        <v>68</v>
      </c>
      <c r="G1362" s="9" t="s">
        <v>69</v>
      </c>
      <c r="H1362" s="11" t="s">
        <v>23</v>
      </c>
      <c r="I1362" s="12" t="n">
        <v>80</v>
      </c>
      <c r="J1362" s="13" t="n">
        <v>500</v>
      </c>
      <c r="K1362" s="14" t="n">
        <f aca="false">I1362*J1362</f>
        <v>40000</v>
      </c>
      <c r="L1362" s="14" t="n">
        <f aca="false">($L$2*M1362)/100</f>
        <v>300416.625</v>
      </c>
      <c r="M1362" s="15" t="n">
        <v>0.25</v>
      </c>
      <c r="N1362" s="9" t="s">
        <v>26</v>
      </c>
    </row>
    <row r="1363" customFormat="false" ht="14.25" hidden="false" customHeight="true" outlineLevel="0" collapsed="false">
      <c r="B1363" s="9" t="s">
        <v>28</v>
      </c>
      <c r="C1363" s="9" t="n">
        <v>1128299</v>
      </c>
      <c r="D1363" s="10" t="n">
        <v>44539</v>
      </c>
      <c r="E1363" s="9" t="s">
        <v>33</v>
      </c>
      <c r="F1363" s="9" t="s">
        <v>68</v>
      </c>
      <c r="G1363" s="9" t="s">
        <v>69</v>
      </c>
      <c r="H1363" s="11" t="s">
        <v>24</v>
      </c>
      <c r="I1363" s="12" t="n">
        <v>90</v>
      </c>
      <c r="J1363" s="13" t="n">
        <v>425</v>
      </c>
      <c r="K1363" s="14" t="n">
        <f aca="false">I1363*J1363</f>
        <v>38250</v>
      </c>
      <c r="L1363" s="14" t="n">
        <f aca="false">($L$2*M1363)/100</f>
        <v>180249.975</v>
      </c>
      <c r="M1363" s="15" t="n">
        <v>0.15</v>
      </c>
      <c r="N1363" s="9" t="s">
        <v>26</v>
      </c>
    </row>
    <row r="1364" customFormat="false" ht="14.25" hidden="false" customHeight="true" outlineLevel="0" collapsed="false">
      <c r="B1364" s="9" t="s">
        <v>28</v>
      </c>
      <c r="C1364" s="9" t="n">
        <v>1128299</v>
      </c>
      <c r="D1364" s="10" t="n">
        <v>44539</v>
      </c>
      <c r="E1364" s="9" t="s">
        <v>33</v>
      </c>
      <c r="F1364" s="9" t="s">
        <v>68</v>
      </c>
      <c r="G1364" s="9" t="s">
        <v>69</v>
      </c>
      <c r="H1364" s="11" t="s">
        <v>25</v>
      </c>
      <c r="I1364" s="12" t="n">
        <v>95</v>
      </c>
      <c r="J1364" s="13" t="n">
        <v>525</v>
      </c>
      <c r="K1364" s="14" t="n">
        <f aca="false">I1364*J1364</f>
        <v>49875</v>
      </c>
      <c r="L1364" s="14" t="n">
        <f aca="false">($L$2*M1364)/100</f>
        <v>480666.6</v>
      </c>
      <c r="M1364" s="15" t="n">
        <v>0.4</v>
      </c>
      <c r="N1364" s="9" t="s">
        <v>26</v>
      </c>
    </row>
    <row r="1365" customFormat="false" ht="14.25" hidden="false" customHeight="true" outlineLevel="0" collapsed="false">
      <c r="B1365" s="9" t="s">
        <v>28</v>
      </c>
      <c r="C1365" s="9" t="n">
        <v>1128299</v>
      </c>
      <c r="D1365" s="10" t="n">
        <v>44213</v>
      </c>
      <c r="E1365" s="9" t="s">
        <v>33</v>
      </c>
      <c r="F1365" s="9" t="s">
        <v>68</v>
      </c>
      <c r="G1365" s="9" t="s">
        <v>69</v>
      </c>
      <c r="H1365" s="11" t="s">
        <v>19</v>
      </c>
      <c r="I1365" s="12" t="n">
        <v>40</v>
      </c>
      <c r="J1365" s="13" t="n">
        <v>425</v>
      </c>
      <c r="K1365" s="14" t="n">
        <f aca="false">I1365*J1365</f>
        <v>17000</v>
      </c>
      <c r="L1365" s="14" t="n">
        <f aca="false">($L$2*M1365)/100</f>
        <v>360499.95</v>
      </c>
      <c r="M1365" s="15" t="n">
        <v>0.3</v>
      </c>
      <c r="N1365" s="9" t="s">
        <v>26</v>
      </c>
    </row>
    <row r="1366" customFormat="false" ht="14.25" hidden="false" customHeight="true" outlineLevel="0" collapsed="false">
      <c r="B1366" s="9" t="s">
        <v>28</v>
      </c>
      <c r="C1366" s="9" t="n">
        <v>1128299</v>
      </c>
      <c r="D1366" s="10" t="n">
        <v>44213</v>
      </c>
      <c r="E1366" s="9" t="s">
        <v>33</v>
      </c>
      <c r="F1366" s="9" t="s">
        <v>68</v>
      </c>
      <c r="G1366" s="9" t="s">
        <v>69</v>
      </c>
      <c r="H1366" s="11" t="s">
        <v>21</v>
      </c>
      <c r="I1366" s="12" t="n">
        <v>50</v>
      </c>
      <c r="J1366" s="13" t="n">
        <v>425</v>
      </c>
      <c r="K1366" s="14" t="n">
        <f aca="false">I1366*J1366</f>
        <v>21250</v>
      </c>
      <c r="L1366" s="14" t="n">
        <f aca="false">($L$2*M1366)/100</f>
        <v>300416.625</v>
      </c>
      <c r="M1366" s="15" t="n">
        <v>0.25</v>
      </c>
      <c r="N1366" s="9" t="s">
        <v>26</v>
      </c>
    </row>
    <row r="1367" customFormat="false" ht="14.25" hidden="false" customHeight="true" outlineLevel="0" collapsed="false">
      <c r="B1367" s="9" t="s">
        <v>28</v>
      </c>
      <c r="C1367" s="9" t="n">
        <v>1128299</v>
      </c>
      <c r="D1367" s="10" t="n">
        <v>44213</v>
      </c>
      <c r="E1367" s="9" t="s">
        <v>33</v>
      </c>
      <c r="F1367" s="9" t="s">
        <v>68</v>
      </c>
      <c r="G1367" s="9" t="s">
        <v>69</v>
      </c>
      <c r="H1367" s="11" t="s">
        <v>22</v>
      </c>
      <c r="I1367" s="12" t="n">
        <v>50</v>
      </c>
      <c r="J1367" s="13" t="n">
        <v>425</v>
      </c>
      <c r="K1367" s="14" t="n">
        <f aca="false">I1367*J1367</f>
        <v>21250</v>
      </c>
      <c r="L1367" s="14" t="n">
        <f aca="false">($L$2*M1367)/100</f>
        <v>360499.95</v>
      </c>
      <c r="M1367" s="15" t="n">
        <v>0.3</v>
      </c>
      <c r="N1367" s="9" t="s">
        <v>26</v>
      </c>
    </row>
    <row r="1368" customFormat="false" ht="14.25" hidden="false" customHeight="true" outlineLevel="0" collapsed="false">
      <c r="B1368" s="9" t="s">
        <v>28</v>
      </c>
      <c r="C1368" s="9" t="n">
        <v>1128299</v>
      </c>
      <c r="D1368" s="10" t="n">
        <v>44213</v>
      </c>
      <c r="E1368" s="9" t="s">
        <v>33</v>
      </c>
      <c r="F1368" s="9" t="s">
        <v>68</v>
      </c>
      <c r="G1368" s="9" t="s">
        <v>69</v>
      </c>
      <c r="H1368" s="11" t="s">
        <v>23</v>
      </c>
      <c r="I1368" s="12" t="n">
        <v>50</v>
      </c>
      <c r="J1368" s="13" t="n">
        <v>275</v>
      </c>
      <c r="K1368" s="14" t="n">
        <f aca="false">I1368*J1368</f>
        <v>13750</v>
      </c>
      <c r="L1368" s="14" t="n">
        <f aca="false">($L$2*M1368)/100</f>
        <v>360499.95</v>
      </c>
      <c r="M1368" s="15" t="n">
        <v>0.3</v>
      </c>
      <c r="N1368" s="9" t="s">
        <v>26</v>
      </c>
    </row>
    <row r="1369" customFormat="false" ht="14.25" hidden="false" customHeight="true" outlineLevel="0" collapsed="false">
      <c r="B1369" s="9" t="s">
        <v>28</v>
      </c>
      <c r="C1369" s="9" t="n">
        <v>1128299</v>
      </c>
      <c r="D1369" s="10" t="n">
        <v>44213</v>
      </c>
      <c r="E1369" s="9" t="s">
        <v>33</v>
      </c>
      <c r="F1369" s="9" t="s">
        <v>68</v>
      </c>
      <c r="G1369" s="9" t="s">
        <v>69</v>
      </c>
      <c r="H1369" s="11" t="s">
        <v>24</v>
      </c>
      <c r="I1369" s="12" t="n">
        <v>55</v>
      </c>
      <c r="J1369" s="13" t="n">
        <v>225</v>
      </c>
      <c r="K1369" s="14" t="n">
        <f aca="false">I1369*J1369</f>
        <v>12375</v>
      </c>
      <c r="L1369" s="14" t="n">
        <f aca="false">($L$2*M1369)/100</f>
        <v>240333.3</v>
      </c>
      <c r="M1369" s="15" t="n">
        <v>0.2</v>
      </c>
      <c r="N1369" s="9" t="s">
        <v>26</v>
      </c>
    </row>
    <row r="1370" customFormat="false" ht="14.25" hidden="false" customHeight="true" outlineLevel="0" collapsed="false">
      <c r="B1370" s="9" t="s">
        <v>28</v>
      </c>
      <c r="C1370" s="9" t="n">
        <v>1128299</v>
      </c>
      <c r="D1370" s="10" t="n">
        <v>44213</v>
      </c>
      <c r="E1370" s="9" t="s">
        <v>33</v>
      </c>
      <c r="F1370" s="9" t="s">
        <v>68</v>
      </c>
      <c r="G1370" s="9" t="s">
        <v>69</v>
      </c>
      <c r="H1370" s="11" t="s">
        <v>25</v>
      </c>
      <c r="I1370" s="12" t="n">
        <v>50</v>
      </c>
      <c r="J1370" s="13" t="n">
        <v>475</v>
      </c>
      <c r="K1370" s="14" t="n">
        <f aca="false">I1370*J1370</f>
        <v>23750</v>
      </c>
      <c r="L1370" s="14" t="n">
        <f aca="false">($L$2*M1370)/100</f>
        <v>540749.925</v>
      </c>
      <c r="M1370" s="15" t="n">
        <v>0.45</v>
      </c>
      <c r="N1370" s="9" t="s">
        <v>26</v>
      </c>
    </row>
    <row r="1371" customFormat="false" ht="14.25" hidden="false" customHeight="true" outlineLevel="0" collapsed="false">
      <c r="B1371" s="9" t="s">
        <v>28</v>
      </c>
      <c r="C1371" s="9" t="n">
        <v>1128299</v>
      </c>
      <c r="D1371" s="10" t="n">
        <v>44244</v>
      </c>
      <c r="E1371" s="9" t="s">
        <v>33</v>
      </c>
      <c r="F1371" s="9" t="s">
        <v>68</v>
      </c>
      <c r="G1371" s="9" t="s">
        <v>69</v>
      </c>
      <c r="H1371" s="11" t="s">
        <v>19</v>
      </c>
      <c r="I1371" s="12" t="n">
        <v>40</v>
      </c>
      <c r="J1371" s="13" t="n">
        <v>525</v>
      </c>
      <c r="K1371" s="14" t="n">
        <f aca="false">I1371*J1371</f>
        <v>21000</v>
      </c>
      <c r="L1371" s="14" t="n">
        <f aca="false">($L$2*M1371)/100</f>
        <v>360499.95</v>
      </c>
      <c r="M1371" s="15" t="n">
        <v>0.3</v>
      </c>
      <c r="N1371" s="9" t="s">
        <v>26</v>
      </c>
    </row>
    <row r="1372" customFormat="false" ht="14.25" hidden="false" customHeight="true" outlineLevel="0" collapsed="false">
      <c r="B1372" s="9" t="s">
        <v>28</v>
      </c>
      <c r="C1372" s="9" t="n">
        <v>1128299</v>
      </c>
      <c r="D1372" s="10" t="n">
        <v>44244</v>
      </c>
      <c r="E1372" s="9" t="s">
        <v>33</v>
      </c>
      <c r="F1372" s="9" t="s">
        <v>68</v>
      </c>
      <c r="G1372" s="9" t="s">
        <v>69</v>
      </c>
      <c r="H1372" s="11" t="s">
        <v>21</v>
      </c>
      <c r="I1372" s="12" t="n">
        <v>50</v>
      </c>
      <c r="J1372" s="13" t="n">
        <v>425</v>
      </c>
      <c r="K1372" s="14" t="n">
        <f aca="false">I1372*J1372</f>
        <v>21250</v>
      </c>
      <c r="L1372" s="14" t="n">
        <f aca="false">($L$2*M1372)/100</f>
        <v>300416.625</v>
      </c>
      <c r="M1372" s="15" t="n">
        <v>0.25</v>
      </c>
      <c r="N1372" s="9" t="s">
        <v>26</v>
      </c>
    </row>
    <row r="1373" customFormat="false" ht="14.25" hidden="false" customHeight="true" outlineLevel="0" collapsed="false">
      <c r="B1373" s="9" t="s">
        <v>28</v>
      </c>
      <c r="C1373" s="9" t="n">
        <v>1128299</v>
      </c>
      <c r="D1373" s="10" t="n">
        <v>44244</v>
      </c>
      <c r="E1373" s="9" t="s">
        <v>33</v>
      </c>
      <c r="F1373" s="9" t="s">
        <v>68</v>
      </c>
      <c r="G1373" s="9" t="s">
        <v>69</v>
      </c>
      <c r="H1373" s="11" t="s">
        <v>22</v>
      </c>
      <c r="I1373" s="12" t="n">
        <v>50</v>
      </c>
      <c r="J1373" s="13" t="n">
        <v>425</v>
      </c>
      <c r="K1373" s="14" t="n">
        <f aca="false">I1373*J1373</f>
        <v>21250</v>
      </c>
      <c r="L1373" s="14" t="n">
        <f aca="false">($L$2*M1373)/100</f>
        <v>360499.95</v>
      </c>
      <c r="M1373" s="15" t="n">
        <v>0.3</v>
      </c>
      <c r="N1373" s="9" t="s">
        <v>26</v>
      </c>
    </row>
    <row r="1374" customFormat="false" ht="14.25" hidden="false" customHeight="true" outlineLevel="0" collapsed="false">
      <c r="B1374" s="9" t="s">
        <v>28</v>
      </c>
      <c r="C1374" s="9" t="n">
        <v>1128299</v>
      </c>
      <c r="D1374" s="10" t="n">
        <v>44244</v>
      </c>
      <c r="E1374" s="9" t="s">
        <v>50</v>
      </c>
      <c r="F1374" s="9" t="s">
        <v>51</v>
      </c>
      <c r="G1374" s="9" t="s">
        <v>70</v>
      </c>
      <c r="H1374" s="11" t="s">
        <v>23</v>
      </c>
      <c r="I1374" s="12" t="n">
        <v>50</v>
      </c>
      <c r="J1374" s="13" t="n">
        <v>275</v>
      </c>
      <c r="K1374" s="14" t="n">
        <f aca="false">I1374*J1374</f>
        <v>13750</v>
      </c>
      <c r="L1374" s="14" t="n">
        <f aca="false">($L$2*M1374)/100</f>
        <v>360499.95</v>
      </c>
      <c r="M1374" s="15" t="n">
        <v>0.3</v>
      </c>
      <c r="N1374" s="9" t="s">
        <v>26</v>
      </c>
    </row>
    <row r="1375" customFormat="false" ht="14.25" hidden="false" customHeight="true" outlineLevel="0" collapsed="false">
      <c r="B1375" s="9" t="s">
        <v>28</v>
      </c>
      <c r="C1375" s="9" t="n">
        <v>1128299</v>
      </c>
      <c r="D1375" s="10" t="n">
        <v>44244</v>
      </c>
      <c r="E1375" s="9" t="s">
        <v>50</v>
      </c>
      <c r="F1375" s="9" t="s">
        <v>51</v>
      </c>
      <c r="G1375" s="9" t="s">
        <v>70</v>
      </c>
      <c r="H1375" s="11" t="s">
        <v>24</v>
      </c>
      <c r="I1375" s="12" t="n">
        <v>55</v>
      </c>
      <c r="J1375" s="13" t="n">
        <v>200</v>
      </c>
      <c r="K1375" s="14" t="n">
        <f aca="false">I1375*J1375</f>
        <v>11000</v>
      </c>
      <c r="L1375" s="14" t="n">
        <f aca="false">($L$2*M1375)/100</f>
        <v>240333.3</v>
      </c>
      <c r="M1375" s="15" t="n">
        <v>0.2</v>
      </c>
      <c r="N1375" s="9" t="s">
        <v>26</v>
      </c>
    </row>
    <row r="1376" customFormat="false" ht="14.25" hidden="false" customHeight="true" outlineLevel="0" collapsed="false">
      <c r="B1376" s="9" t="s">
        <v>28</v>
      </c>
      <c r="C1376" s="9" t="n">
        <v>1128299</v>
      </c>
      <c r="D1376" s="10" t="n">
        <v>44244</v>
      </c>
      <c r="E1376" s="9" t="s">
        <v>50</v>
      </c>
      <c r="F1376" s="9" t="s">
        <v>51</v>
      </c>
      <c r="G1376" s="9" t="s">
        <v>70</v>
      </c>
      <c r="H1376" s="11" t="s">
        <v>25</v>
      </c>
      <c r="I1376" s="12" t="n">
        <v>50</v>
      </c>
      <c r="J1376" s="13" t="n">
        <v>400</v>
      </c>
      <c r="K1376" s="14" t="n">
        <f aca="false">I1376*J1376</f>
        <v>20000</v>
      </c>
      <c r="L1376" s="14" t="n">
        <f aca="false">($L$2*M1376)/100</f>
        <v>540749.925</v>
      </c>
      <c r="M1376" s="15" t="n">
        <v>0.45</v>
      </c>
      <c r="N1376" s="9" t="s">
        <v>26</v>
      </c>
    </row>
    <row r="1377" customFormat="false" ht="14.25" hidden="false" customHeight="true" outlineLevel="0" collapsed="false">
      <c r="B1377" s="9" t="s">
        <v>28</v>
      </c>
      <c r="C1377" s="9" t="n">
        <v>1128299</v>
      </c>
      <c r="D1377" s="10" t="n">
        <v>44271</v>
      </c>
      <c r="E1377" s="9" t="s">
        <v>50</v>
      </c>
      <c r="F1377" s="9" t="s">
        <v>51</v>
      </c>
      <c r="G1377" s="9" t="s">
        <v>70</v>
      </c>
      <c r="H1377" s="11" t="s">
        <v>19</v>
      </c>
      <c r="I1377" s="12" t="n">
        <v>50</v>
      </c>
      <c r="J1377" s="13" t="n">
        <v>550</v>
      </c>
      <c r="K1377" s="14" t="n">
        <f aca="false">I1377*J1377</f>
        <v>27500</v>
      </c>
      <c r="L1377" s="14" t="n">
        <f aca="false">($L$2*M1377)/100</f>
        <v>360499.95</v>
      </c>
      <c r="M1377" s="15" t="n">
        <v>0.3</v>
      </c>
      <c r="N1377" s="9" t="s">
        <v>26</v>
      </c>
    </row>
    <row r="1378" customFormat="false" ht="14.25" hidden="false" customHeight="true" outlineLevel="0" collapsed="false">
      <c r="B1378" s="9" t="s">
        <v>28</v>
      </c>
      <c r="C1378" s="9" t="n">
        <v>1128299</v>
      </c>
      <c r="D1378" s="10" t="n">
        <v>44271</v>
      </c>
      <c r="E1378" s="9" t="s">
        <v>50</v>
      </c>
      <c r="F1378" s="9" t="s">
        <v>51</v>
      </c>
      <c r="G1378" s="9" t="s">
        <v>70</v>
      </c>
      <c r="H1378" s="11" t="s">
        <v>21</v>
      </c>
      <c r="I1378" s="12" t="n">
        <v>60</v>
      </c>
      <c r="J1378" s="13" t="n">
        <v>400</v>
      </c>
      <c r="K1378" s="14" t="n">
        <f aca="false">I1378*J1378</f>
        <v>24000</v>
      </c>
      <c r="L1378" s="14" t="n">
        <f aca="false">($L$2*M1378)/100</f>
        <v>300416.625</v>
      </c>
      <c r="M1378" s="15" t="n">
        <v>0.25</v>
      </c>
      <c r="N1378" s="9" t="s">
        <v>26</v>
      </c>
    </row>
    <row r="1379" customFormat="false" ht="14.25" hidden="false" customHeight="true" outlineLevel="0" collapsed="false">
      <c r="B1379" s="9" t="s">
        <v>28</v>
      </c>
      <c r="C1379" s="9" t="n">
        <v>1128299</v>
      </c>
      <c r="D1379" s="10" t="n">
        <v>44271</v>
      </c>
      <c r="E1379" s="9" t="s">
        <v>50</v>
      </c>
      <c r="F1379" s="9" t="s">
        <v>51</v>
      </c>
      <c r="G1379" s="9" t="s">
        <v>70</v>
      </c>
      <c r="H1379" s="11" t="s">
        <v>22</v>
      </c>
      <c r="I1379" s="12" t="n">
        <v>65</v>
      </c>
      <c r="J1379" s="13" t="n">
        <v>425</v>
      </c>
      <c r="K1379" s="14" t="n">
        <f aca="false">I1379*J1379</f>
        <v>27625</v>
      </c>
      <c r="L1379" s="14" t="n">
        <f aca="false">($L$2*M1379)/100</f>
        <v>360499.95</v>
      </c>
      <c r="M1379" s="15" t="n">
        <v>0.3</v>
      </c>
      <c r="N1379" s="9" t="s">
        <v>26</v>
      </c>
    </row>
    <row r="1380" customFormat="false" ht="14.25" hidden="false" customHeight="true" outlineLevel="0" collapsed="false">
      <c r="B1380" s="9" t="s">
        <v>28</v>
      </c>
      <c r="C1380" s="9" t="n">
        <v>1128299</v>
      </c>
      <c r="D1380" s="10" t="n">
        <v>44271</v>
      </c>
      <c r="E1380" s="9" t="s">
        <v>50</v>
      </c>
      <c r="F1380" s="9" t="s">
        <v>51</v>
      </c>
      <c r="G1380" s="9" t="s">
        <v>70</v>
      </c>
      <c r="H1380" s="11" t="s">
        <v>23</v>
      </c>
      <c r="I1380" s="12" t="n">
        <v>60</v>
      </c>
      <c r="J1380" s="13" t="n">
        <v>325</v>
      </c>
      <c r="K1380" s="14" t="n">
        <f aca="false">I1380*J1380</f>
        <v>19500</v>
      </c>
      <c r="L1380" s="14" t="n">
        <f aca="false">($L$2*M1380)/100</f>
        <v>360499.95</v>
      </c>
      <c r="M1380" s="15" t="n">
        <v>0.3</v>
      </c>
      <c r="N1380" s="9" t="s">
        <v>26</v>
      </c>
    </row>
    <row r="1381" customFormat="false" ht="14.25" hidden="false" customHeight="true" outlineLevel="0" collapsed="false">
      <c r="B1381" s="9" t="s">
        <v>28</v>
      </c>
      <c r="C1381" s="9" t="n">
        <v>1128299</v>
      </c>
      <c r="D1381" s="10" t="n">
        <v>44271</v>
      </c>
      <c r="E1381" s="9" t="s">
        <v>50</v>
      </c>
      <c r="F1381" s="9" t="s">
        <v>51</v>
      </c>
      <c r="G1381" s="9" t="s">
        <v>70</v>
      </c>
      <c r="H1381" s="11" t="s">
        <v>24</v>
      </c>
      <c r="I1381" s="12" t="n">
        <v>65</v>
      </c>
      <c r="J1381" s="13" t="n">
        <v>175</v>
      </c>
      <c r="K1381" s="14" t="n">
        <f aca="false">I1381*J1381</f>
        <v>11375</v>
      </c>
      <c r="L1381" s="14" t="n">
        <f aca="false">($L$2*M1381)/100</f>
        <v>240333.3</v>
      </c>
      <c r="M1381" s="15" t="n">
        <v>0.2</v>
      </c>
      <c r="N1381" s="9" t="s">
        <v>26</v>
      </c>
    </row>
    <row r="1382" customFormat="false" ht="14.25" hidden="false" customHeight="true" outlineLevel="0" collapsed="false">
      <c r="B1382" s="9" t="s">
        <v>28</v>
      </c>
      <c r="C1382" s="9" t="n">
        <v>1128299</v>
      </c>
      <c r="D1382" s="10" t="n">
        <v>44271</v>
      </c>
      <c r="E1382" s="9" t="s">
        <v>50</v>
      </c>
      <c r="F1382" s="9" t="s">
        <v>51</v>
      </c>
      <c r="G1382" s="9" t="s">
        <v>70</v>
      </c>
      <c r="H1382" s="11" t="s">
        <v>25</v>
      </c>
      <c r="I1382" s="12" t="n">
        <v>60</v>
      </c>
      <c r="J1382" s="13" t="n">
        <v>375</v>
      </c>
      <c r="K1382" s="14" t="n">
        <f aca="false">I1382*J1382</f>
        <v>22500</v>
      </c>
      <c r="L1382" s="14" t="n">
        <f aca="false">($L$2*M1382)/100</f>
        <v>540749.925</v>
      </c>
      <c r="M1382" s="15" t="n">
        <v>0.45</v>
      </c>
      <c r="N1382" s="9" t="s">
        <v>26</v>
      </c>
    </row>
    <row r="1383" customFormat="false" ht="14.25" hidden="false" customHeight="true" outlineLevel="0" collapsed="false">
      <c r="B1383" s="9" t="s">
        <v>27</v>
      </c>
      <c r="C1383" s="9" t="n">
        <v>1128299</v>
      </c>
      <c r="D1383" s="10" t="n">
        <v>44303</v>
      </c>
      <c r="E1383" s="9" t="s">
        <v>50</v>
      </c>
      <c r="F1383" s="9" t="s">
        <v>51</v>
      </c>
      <c r="G1383" s="9" t="s">
        <v>70</v>
      </c>
      <c r="H1383" s="11" t="s">
        <v>19</v>
      </c>
      <c r="I1383" s="12" t="n">
        <v>65</v>
      </c>
      <c r="J1383" s="13" t="n">
        <v>550</v>
      </c>
      <c r="K1383" s="14" t="n">
        <f aca="false">I1383*J1383</f>
        <v>35750</v>
      </c>
      <c r="L1383" s="14" t="n">
        <f aca="false">($L$2*M1383)/100</f>
        <v>360499.95</v>
      </c>
      <c r="M1383" s="15" t="n">
        <v>0.3</v>
      </c>
      <c r="N1383" s="9" t="s">
        <v>26</v>
      </c>
    </row>
    <row r="1384" customFormat="false" ht="14.25" hidden="false" customHeight="true" outlineLevel="0" collapsed="false">
      <c r="B1384" s="9" t="s">
        <v>27</v>
      </c>
      <c r="C1384" s="9" t="n">
        <v>1128299</v>
      </c>
      <c r="D1384" s="10" t="n">
        <v>44303</v>
      </c>
      <c r="E1384" s="9" t="s">
        <v>50</v>
      </c>
      <c r="F1384" s="9" t="s">
        <v>51</v>
      </c>
      <c r="G1384" s="9" t="s">
        <v>70</v>
      </c>
      <c r="H1384" s="11" t="s">
        <v>21</v>
      </c>
      <c r="I1384" s="12" t="n">
        <v>70</v>
      </c>
      <c r="J1384" s="13" t="n">
        <v>350</v>
      </c>
      <c r="K1384" s="14" t="n">
        <f aca="false">I1384*J1384</f>
        <v>24500</v>
      </c>
      <c r="L1384" s="14" t="n">
        <f aca="false">($L$2*M1384)/100</f>
        <v>300416.625</v>
      </c>
      <c r="M1384" s="15" t="n">
        <v>0.25</v>
      </c>
      <c r="N1384" s="9" t="s">
        <v>26</v>
      </c>
    </row>
    <row r="1385" customFormat="false" ht="14.25" hidden="false" customHeight="true" outlineLevel="0" collapsed="false">
      <c r="B1385" s="9" t="s">
        <v>27</v>
      </c>
      <c r="C1385" s="9" t="n">
        <v>1128299</v>
      </c>
      <c r="D1385" s="10" t="n">
        <v>44303</v>
      </c>
      <c r="E1385" s="9" t="s">
        <v>50</v>
      </c>
      <c r="F1385" s="9" t="s">
        <v>51</v>
      </c>
      <c r="G1385" s="9" t="s">
        <v>70</v>
      </c>
      <c r="H1385" s="11" t="s">
        <v>22</v>
      </c>
      <c r="I1385" s="12" t="n">
        <v>70</v>
      </c>
      <c r="J1385" s="13" t="n">
        <v>400</v>
      </c>
      <c r="K1385" s="14" t="n">
        <f aca="false">I1385*J1385</f>
        <v>28000</v>
      </c>
      <c r="L1385" s="14" t="n">
        <f aca="false">($L$2*M1385)/100</f>
        <v>360499.95</v>
      </c>
      <c r="M1385" s="15" t="n">
        <v>0.3</v>
      </c>
      <c r="N1385" s="9" t="s">
        <v>26</v>
      </c>
    </row>
    <row r="1386" customFormat="false" ht="14.25" hidden="false" customHeight="true" outlineLevel="0" collapsed="false">
      <c r="B1386" s="9" t="s">
        <v>27</v>
      </c>
      <c r="C1386" s="9" t="n">
        <v>1128299</v>
      </c>
      <c r="D1386" s="10" t="n">
        <v>44303</v>
      </c>
      <c r="E1386" s="9" t="s">
        <v>50</v>
      </c>
      <c r="F1386" s="9" t="s">
        <v>51</v>
      </c>
      <c r="G1386" s="9" t="s">
        <v>70</v>
      </c>
      <c r="H1386" s="11" t="s">
        <v>23</v>
      </c>
      <c r="I1386" s="12" t="n">
        <v>55</v>
      </c>
      <c r="J1386" s="13" t="n">
        <v>300</v>
      </c>
      <c r="K1386" s="14" t="n">
        <f aca="false">I1386*J1386</f>
        <v>16500</v>
      </c>
      <c r="L1386" s="14" t="n">
        <f aca="false">($L$2*M1386)/100</f>
        <v>360499.95</v>
      </c>
      <c r="M1386" s="15" t="n">
        <v>0.3</v>
      </c>
      <c r="N1386" s="9" t="s">
        <v>26</v>
      </c>
    </row>
    <row r="1387" customFormat="false" ht="14.25" hidden="false" customHeight="true" outlineLevel="0" collapsed="false">
      <c r="B1387" s="9" t="s">
        <v>27</v>
      </c>
      <c r="C1387" s="9" t="n">
        <v>1128299</v>
      </c>
      <c r="D1387" s="10" t="n">
        <v>44303</v>
      </c>
      <c r="E1387" s="9" t="s">
        <v>50</v>
      </c>
      <c r="F1387" s="9" t="s">
        <v>51</v>
      </c>
      <c r="G1387" s="9" t="s">
        <v>70</v>
      </c>
      <c r="H1387" s="11" t="s">
        <v>24</v>
      </c>
      <c r="I1387" s="12" t="n">
        <v>60</v>
      </c>
      <c r="J1387" s="13" t="n">
        <v>200</v>
      </c>
      <c r="K1387" s="14" t="n">
        <f aca="false">I1387*J1387</f>
        <v>12000</v>
      </c>
      <c r="L1387" s="14" t="n">
        <f aca="false">($L$2*M1387)/100</f>
        <v>240333.3</v>
      </c>
      <c r="M1387" s="15" t="n">
        <v>0.2</v>
      </c>
      <c r="N1387" s="9" t="s">
        <v>26</v>
      </c>
    </row>
    <row r="1388" customFormat="false" ht="14.25" hidden="false" customHeight="true" outlineLevel="0" collapsed="false">
      <c r="B1388" s="9" t="s">
        <v>27</v>
      </c>
      <c r="C1388" s="9" t="n">
        <v>1128299</v>
      </c>
      <c r="D1388" s="10" t="n">
        <v>44303</v>
      </c>
      <c r="E1388" s="9" t="s">
        <v>50</v>
      </c>
      <c r="F1388" s="9" t="s">
        <v>51</v>
      </c>
      <c r="G1388" s="9" t="s">
        <v>70</v>
      </c>
      <c r="H1388" s="11" t="s">
        <v>25</v>
      </c>
      <c r="I1388" s="12" t="n">
        <v>75</v>
      </c>
      <c r="J1388" s="13" t="n">
        <v>375</v>
      </c>
      <c r="K1388" s="14" t="n">
        <f aca="false">I1388*J1388</f>
        <v>28125</v>
      </c>
      <c r="L1388" s="14" t="n">
        <f aca="false">($L$2*M1388)/100</f>
        <v>540749.925</v>
      </c>
      <c r="M1388" s="15" t="n">
        <v>0.45</v>
      </c>
      <c r="N1388" s="9" t="s">
        <v>26</v>
      </c>
    </row>
    <row r="1389" customFormat="false" ht="14.25" hidden="false" customHeight="true" outlineLevel="0" collapsed="false">
      <c r="B1389" s="9" t="s">
        <v>27</v>
      </c>
      <c r="C1389" s="9" t="n">
        <v>1128299</v>
      </c>
      <c r="D1389" s="10" t="n">
        <v>44334</v>
      </c>
      <c r="E1389" s="9" t="s">
        <v>50</v>
      </c>
      <c r="F1389" s="9" t="s">
        <v>51</v>
      </c>
      <c r="G1389" s="9" t="s">
        <v>70</v>
      </c>
      <c r="H1389" s="11" t="s">
        <v>19</v>
      </c>
      <c r="I1389" s="12" t="n">
        <v>60</v>
      </c>
      <c r="J1389" s="13" t="n">
        <v>575</v>
      </c>
      <c r="K1389" s="14" t="n">
        <f aca="false">I1389*J1389</f>
        <v>34500</v>
      </c>
      <c r="L1389" s="14" t="n">
        <f aca="false">($L$2*M1389)/100</f>
        <v>360499.95</v>
      </c>
      <c r="M1389" s="15" t="n">
        <v>0.3</v>
      </c>
      <c r="N1389" s="9" t="s">
        <v>26</v>
      </c>
    </row>
    <row r="1390" customFormat="false" ht="14.25" hidden="false" customHeight="true" outlineLevel="0" collapsed="false">
      <c r="B1390" s="9" t="s">
        <v>27</v>
      </c>
      <c r="C1390" s="9" t="n">
        <v>1128299</v>
      </c>
      <c r="D1390" s="10" t="n">
        <v>44334</v>
      </c>
      <c r="E1390" s="9" t="s">
        <v>50</v>
      </c>
      <c r="F1390" s="9" t="s">
        <v>51</v>
      </c>
      <c r="G1390" s="9" t="s">
        <v>70</v>
      </c>
      <c r="H1390" s="11" t="s">
        <v>21</v>
      </c>
      <c r="I1390" s="12" t="n">
        <v>65</v>
      </c>
      <c r="J1390" s="13" t="n">
        <v>425</v>
      </c>
      <c r="K1390" s="14" t="n">
        <f aca="false">I1390*J1390</f>
        <v>27625</v>
      </c>
      <c r="L1390" s="14" t="n">
        <f aca="false">($L$2*M1390)/100</f>
        <v>300416.625</v>
      </c>
      <c r="M1390" s="15" t="n">
        <v>0.25</v>
      </c>
      <c r="N1390" s="9" t="s">
        <v>26</v>
      </c>
    </row>
    <row r="1391" customFormat="false" ht="14.25" hidden="false" customHeight="true" outlineLevel="0" collapsed="false">
      <c r="B1391" s="9" t="s">
        <v>27</v>
      </c>
      <c r="C1391" s="9" t="n">
        <v>1128299</v>
      </c>
      <c r="D1391" s="10" t="n">
        <v>44334</v>
      </c>
      <c r="E1391" s="9" t="s">
        <v>50</v>
      </c>
      <c r="F1391" s="9" t="s">
        <v>51</v>
      </c>
      <c r="G1391" s="9" t="s">
        <v>70</v>
      </c>
      <c r="H1391" s="11" t="s">
        <v>22</v>
      </c>
      <c r="I1391" s="12" t="n">
        <v>65</v>
      </c>
      <c r="J1391" s="13" t="n">
        <v>425</v>
      </c>
      <c r="K1391" s="14" t="n">
        <f aca="false">I1391*J1391</f>
        <v>27625</v>
      </c>
      <c r="L1391" s="14" t="n">
        <f aca="false">($L$2*M1391)/100</f>
        <v>360499.95</v>
      </c>
      <c r="M1391" s="15" t="n">
        <v>0.3</v>
      </c>
      <c r="N1391" s="9" t="s">
        <v>26</v>
      </c>
    </row>
    <row r="1392" customFormat="false" ht="14.25" hidden="false" customHeight="true" outlineLevel="0" collapsed="false">
      <c r="B1392" s="9" t="s">
        <v>27</v>
      </c>
      <c r="C1392" s="9" t="n">
        <v>1128299</v>
      </c>
      <c r="D1392" s="10" t="n">
        <v>44334</v>
      </c>
      <c r="E1392" s="9" t="s">
        <v>50</v>
      </c>
      <c r="F1392" s="9" t="s">
        <v>51</v>
      </c>
      <c r="G1392" s="9" t="s">
        <v>70</v>
      </c>
      <c r="H1392" s="11" t="s">
        <v>23</v>
      </c>
      <c r="I1392" s="12" t="n">
        <v>60</v>
      </c>
      <c r="J1392" s="13" t="n">
        <v>325</v>
      </c>
      <c r="K1392" s="14" t="n">
        <f aca="false">I1392*J1392</f>
        <v>19500</v>
      </c>
      <c r="L1392" s="14" t="n">
        <f aca="false">($L$2*M1392)/100</f>
        <v>360499.95</v>
      </c>
      <c r="M1392" s="15" t="n">
        <v>0.3</v>
      </c>
      <c r="N1392" s="9" t="s">
        <v>26</v>
      </c>
    </row>
    <row r="1393" customFormat="false" ht="14.25" hidden="false" customHeight="true" outlineLevel="0" collapsed="false">
      <c r="B1393" s="9" t="s">
        <v>27</v>
      </c>
      <c r="C1393" s="9" t="n">
        <v>1128299</v>
      </c>
      <c r="D1393" s="10" t="n">
        <v>44334</v>
      </c>
      <c r="E1393" s="9" t="s">
        <v>50</v>
      </c>
      <c r="F1393" s="9" t="s">
        <v>51</v>
      </c>
      <c r="G1393" s="9" t="s">
        <v>70</v>
      </c>
      <c r="H1393" s="11" t="s">
        <v>24</v>
      </c>
      <c r="I1393" s="12" t="n">
        <v>55</v>
      </c>
      <c r="J1393" s="13" t="n">
        <v>225</v>
      </c>
      <c r="K1393" s="14" t="n">
        <f aca="false">I1393*J1393</f>
        <v>12375</v>
      </c>
      <c r="L1393" s="14" t="n">
        <f aca="false">($L$2*M1393)/100</f>
        <v>240333.3</v>
      </c>
      <c r="M1393" s="15" t="n">
        <v>0.2</v>
      </c>
      <c r="N1393" s="9" t="s">
        <v>26</v>
      </c>
    </row>
    <row r="1394" customFormat="false" ht="14.25" hidden="false" customHeight="true" outlineLevel="0" collapsed="false">
      <c r="B1394" s="9" t="s">
        <v>27</v>
      </c>
      <c r="C1394" s="9" t="n">
        <v>1128299</v>
      </c>
      <c r="D1394" s="10" t="n">
        <v>44334</v>
      </c>
      <c r="E1394" s="9" t="s">
        <v>50</v>
      </c>
      <c r="F1394" s="9" t="s">
        <v>51</v>
      </c>
      <c r="G1394" s="9" t="s">
        <v>70</v>
      </c>
      <c r="H1394" s="11" t="s">
        <v>25</v>
      </c>
      <c r="I1394" s="12" t="n">
        <v>70</v>
      </c>
      <c r="J1394" s="13" t="n">
        <v>575</v>
      </c>
      <c r="K1394" s="14" t="n">
        <f aca="false">I1394*J1394</f>
        <v>40250</v>
      </c>
      <c r="L1394" s="14" t="n">
        <f aca="false">($L$2*M1394)/100</f>
        <v>540749.925</v>
      </c>
      <c r="M1394" s="15" t="n">
        <v>0.45</v>
      </c>
      <c r="N1394" s="9" t="s">
        <v>26</v>
      </c>
    </row>
    <row r="1395" customFormat="false" ht="14.25" hidden="false" customHeight="true" outlineLevel="0" collapsed="false">
      <c r="B1395" s="9" t="s">
        <v>27</v>
      </c>
      <c r="C1395" s="9" t="n">
        <v>1128299</v>
      </c>
      <c r="D1395" s="10" t="n">
        <v>44364</v>
      </c>
      <c r="E1395" s="9" t="s">
        <v>50</v>
      </c>
      <c r="F1395" s="9" t="s">
        <v>51</v>
      </c>
      <c r="G1395" s="9" t="s">
        <v>70</v>
      </c>
      <c r="H1395" s="11" t="s">
        <v>19</v>
      </c>
      <c r="I1395" s="12" t="n">
        <v>65</v>
      </c>
      <c r="J1395" s="13" t="n">
        <v>825</v>
      </c>
      <c r="K1395" s="14" t="n">
        <f aca="false">I1395*J1395</f>
        <v>53625</v>
      </c>
      <c r="L1395" s="14" t="n">
        <f aca="false">($L$2*M1395)/100</f>
        <v>360499.95</v>
      </c>
      <c r="M1395" s="15" t="n">
        <v>0.3</v>
      </c>
      <c r="N1395" s="9" t="s">
        <v>26</v>
      </c>
    </row>
    <row r="1396" customFormat="false" ht="14.25" hidden="false" customHeight="true" outlineLevel="0" collapsed="false">
      <c r="B1396" s="9" t="s">
        <v>27</v>
      </c>
      <c r="C1396" s="9" t="n">
        <v>1128299</v>
      </c>
      <c r="D1396" s="10" t="n">
        <v>44364</v>
      </c>
      <c r="E1396" s="9" t="s">
        <v>50</v>
      </c>
      <c r="F1396" s="9" t="s">
        <v>51</v>
      </c>
      <c r="G1396" s="9" t="s">
        <v>70</v>
      </c>
      <c r="H1396" s="11" t="s">
        <v>21</v>
      </c>
      <c r="I1396" s="12" t="n">
        <v>70</v>
      </c>
      <c r="J1396" s="13" t="n">
        <v>700</v>
      </c>
      <c r="K1396" s="14" t="n">
        <f aca="false">I1396*J1396</f>
        <v>49000</v>
      </c>
      <c r="L1396" s="14" t="n">
        <f aca="false">($L$2*M1396)/100</f>
        <v>300416.625</v>
      </c>
      <c r="M1396" s="15" t="n">
        <v>0.25</v>
      </c>
      <c r="N1396" s="9" t="s">
        <v>20</v>
      </c>
    </row>
    <row r="1397" customFormat="false" ht="14.25" hidden="false" customHeight="true" outlineLevel="0" collapsed="false">
      <c r="B1397" s="9" t="s">
        <v>27</v>
      </c>
      <c r="C1397" s="9" t="n">
        <v>1128299</v>
      </c>
      <c r="D1397" s="10" t="n">
        <v>44364</v>
      </c>
      <c r="E1397" s="9" t="s">
        <v>50</v>
      </c>
      <c r="F1397" s="9" t="s">
        <v>51</v>
      </c>
      <c r="G1397" s="9" t="s">
        <v>70</v>
      </c>
      <c r="H1397" s="11" t="s">
        <v>22</v>
      </c>
      <c r="I1397" s="12" t="n">
        <v>85</v>
      </c>
      <c r="J1397" s="13" t="n">
        <v>700</v>
      </c>
      <c r="K1397" s="14" t="n">
        <f aca="false">I1397*J1397</f>
        <v>59500</v>
      </c>
      <c r="L1397" s="14" t="n">
        <f aca="false">($L$2*M1397)/100</f>
        <v>360499.95</v>
      </c>
      <c r="M1397" s="15" t="n">
        <v>0.3</v>
      </c>
      <c r="N1397" s="9" t="s">
        <v>20</v>
      </c>
    </row>
    <row r="1398" customFormat="false" ht="14.25" hidden="false" customHeight="true" outlineLevel="0" collapsed="false">
      <c r="B1398" s="9" t="s">
        <v>27</v>
      </c>
      <c r="C1398" s="9" t="n">
        <v>1128299</v>
      </c>
      <c r="D1398" s="10" t="n">
        <v>44364</v>
      </c>
      <c r="E1398" s="9" t="s">
        <v>50</v>
      </c>
      <c r="F1398" s="9" t="s">
        <v>51</v>
      </c>
      <c r="G1398" s="9" t="s">
        <v>70</v>
      </c>
      <c r="H1398" s="11" t="s">
        <v>23</v>
      </c>
      <c r="I1398" s="12" t="n">
        <v>85</v>
      </c>
      <c r="J1398" s="13" t="n">
        <v>575</v>
      </c>
      <c r="K1398" s="14" t="n">
        <f aca="false">I1398*J1398</f>
        <v>48875</v>
      </c>
      <c r="L1398" s="14" t="n">
        <f aca="false">($L$2*M1398)/100</f>
        <v>360499.95</v>
      </c>
      <c r="M1398" s="15" t="n">
        <v>0.3</v>
      </c>
      <c r="N1398" s="9" t="s">
        <v>20</v>
      </c>
    </row>
    <row r="1399" customFormat="false" ht="14.25" hidden="false" customHeight="true" outlineLevel="0" collapsed="false">
      <c r="B1399" s="9" t="s">
        <v>27</v>
      </c>
      <c r="C1399" s="9" t="n">
        <v>1128299</v>
      </c>
      <c r="D1399" s="10" t="n">
        <v>44364</v>
      </c>
      <c r="E1399" s="9" t="s">
        <v>50</v>
      </c>
      <c r="F1399" s="9" t="s">
        <v>51</v>
      </c>
      <c r="G1399" s="9" t="s">
        <v>70</v>
      </c>
      <c r="H1399" s="11" t="s">
        <v>24</v>
      </c>
      <c r="I1399" s="12" t="n">
        <v>95</v>
      </c>
      <c r="J1399" s="13" t="n">
        <v>450</v>
      </c>
      <c r="K1399" s="14" t="n">
        <f aca="false">I1399*J1399</f>
        <v>42750</v>
      </c>
      <c r="L1399" s="14" t="n">
        <f aca="false">($L$2*M1399)/100</f>
        <v>240333.3</v>
      </c>
      <c r="M1399" s="15" t="n">
        <v>0.2</v>
      </c>
      <c r="N1399" s="9" t="s">
        <v>20</v>
      </c>
    </row>
    <row r="1400" customFormat="false" ht="14.25" hidden="false" customHeight="true" outlineLevel="0" collapsed="false">
      <c r="B1400" s="9" t="s">
        <v>27</v>
      </c>
      <c r="C1400" s="9" t="n">
        <v>1128299</v>
      </c>
      <c r="D1400" s="10" t="n">
        <v>44364</v>
      </c>
      <c r="E1400" s="9" t="s">
        <v>50</v>
      </c>
      <c r="F1400" s="9" t="s">
        <v>51</v>
      </c>
      <c r="G1400" s="9" t="s">
        <v>70</v>
      </c>
      <c r="H1400" s="11" t="s">
        <v>25</v>
      </c>
      <c r="I1400" s="12" t="n">
        <v>110</v>
      </c>
      <c r="J1400" s="13" t="n">
        <v>750</v>
      </c>
      <c r="K1400" s="14" t="n">
        <f aca="false">I1400*J1400</f>
        <v>82500</v>
      </c>
      <c r="L1400" s="14" t="n">
        <f aca="false">($L$2*M1400)/100</f>
        <v>540749.925</v>
      </c>
      <c r="M1400" s="15" t="n">
        <v>0.45</v>
      </c>
      <c r="N1400" s="9" t="s">
        <v>20</v>
      </c>
    </row>
    <row r="1401" customFormat="false" ht="14.25" hidden="false" customHeight="true" outlineLevel="0" collapsed="false">
      <c r="B1401" s="9" t="s">
        <v>27</v>
      </c>
      <c r="C1401" s="9" t="n">
        <v>1128299</v>
      </c>
      <c r="D1401" s="10" t="n">
        <v>44393</v>
      </c>
      <c r="E1401" s="9" t="s">
        <v>50</v>
      </c>
      <c r="F1401" s="9" t="s">
        <v>51</v>
      </c>
      <c r="G1401" s="9" t="s">
        <v>70</v>
      </c>
      <c r="H1401" s="11" t="s">
        <v>19</v>
      </c>
      <c r="I1401" s="12" t="n">
        <v>90</v>
      </c>
      <c r="J1401" s="13" t="n">
        <v>900</v>
      </c>
      <c r="K1401" s="14" t="n">
        <f aca="false">I1401*J1401</f>
        <v>81000</v>
      </c>
      <c r="L1401" s="14" t="n">
        <f aca="false">($L$2*M1401)/100</f>
        <v>360499.95</v>
      </c>
      <c r="M1401" s="15" t="n">
        <v>0.3</v>
      </c>
      <c r="N1401" s="9" t="s">
        <v>20</v>
      </c>
    </row>
    <row r="1402" customFormat="false" ht="14.25" hidden="false" customHeight="true" outlineLevel="0" collapsed="false">
      <c r="B1402" s="9" t="s">
        <v>27</v>
      </c>
      <c r="C1402" s="9" t="n">
        <v>1128299</v>
      </c>
      <c r="D1402" s="10" t="n">
        <v>44393</v>
      </c>
      <c r="E1402" s="9" t="s">
        <v>50</v>
      </c>
      <c r="F1402" s="9" t="s">
        <v>51</v>
      </c>
      <c r="G1402" s="9" t="s">
        <v>70</v>
      </c>
      <c r="H1402" s="11" t="s">
        <v>21</v>
      </c>
      <c r="I1402" s="12" t="n">
        <v>95</v>
      </c>
      <c r="J1402" s="13" t="n">
        <v>750</v>
      </c>
      <c r="K1402" s="14" t="n">
        <f aca="false">I1402*J1402</f>
        <v>71250</v>
      </c>
      <c r="L1402" s="14" t="n">
        <f aca="false">($L$2*M1402)/100</f>
        <v>300416.625</v>
      </c>
      <c r="M1402" s="15" t="n">
        <v>0.25</v>
      </c>
      <c r="N1402" s="9" t="s">
        <v>20</v>
      </c>
    </row>
    <row r="1403" customFormat="false" ht="14.25" hidden="false" customHeight="true" outlineLevel="0" collapsed="false">
      <c r="B1403" s="9" t="s">
        <v>27</v>
      </c>
      <c r="C1403" s="9" t="n">
        <v>1128299</v>
      </c>
      <c r="D1403" s="10" t="n">
        <v>44393</v>
      </c>
      <c r="E1403" s="9" t="s">
        <v>50</v>
      </c>
      <c r="F1403" s="9" t="s">
        <v>51</v>
      </c>
      <c r="G1403" s="9" t="s">
        <v>70</v>
      </c>
      <c r="H1403" s="11" t="s">
        <v>22</v>
      </c>
      <c r="I1403" s="12" t="n">
        <v>95</v>
      </c>
      <c r="J1403" s="13" t="n">
        <v>700</v>
      </c>
      <c r="K1403" s="14" t="n">
        <f aca="false">I1403*J1403</f>
        <v>66500</v>
      </c>
      <c r="L1403" s="14" t="n">
        <f aca="false">($L$2*M1403)/100</f>
        <v>360499.95</v>
      </c>
      <c r="M1403" s="15" t="n">
        <v>0.3</v>
      </c>
      <c r="N1403" s="9" t="s">
        <v>20</v>
      </c>
    </row>
    <row r="1404" customFormat="false" ht="14.25" hidden="false" customHeight="true" outlineLevel="0" collapsed="false">
      <c r="B1404" s="9" t="s">
        <v>27</v>
      </c>
      <c r="C1404" s="9" t="n">
        <v>1128299</v>
      </c>
      <c r="D1404" s="10" t="n">
        <v>44393</v>
      </c>
      <c r="E1404" s="9" t="s">
        <v>50</v>
      </c>
      <c r="F1404" s="9" t="s">
        <v>51</v>
      </c>
      <c r="G1404" s="9" t="s">
        <v>70</v>
      </c>
      <c r="H1404" s="11" t="s">
        <v>23</v>
      </c>
      <c r="I1404" s="12" t="n">
        <v>90</v>
      </c>
      <c r="J1404" s="13" t="n">
        <v>600</v>
      </c>
      <c r="K1404" s="14" t="n">
        <f aca="false">I1404*J1404</f>
        <v>54000</v>
      </c>
      <c r="L1404" s="14" t="n">
        <f aca="false">($L$2*M1404)/100</f>
        <v>360499.95</v>
      </c>
      <c r="M1404" s="15" t="n">
        <v>0.3</v>
      </c>
      <c r="N1404" s="9" t="s">
        <v>20</v>
      </c>
    </row>
    <row r="1405" customFormat="false" ht="14.25" hidden="false" customHeight="true" outlineLevel="0" collapsed="false">
      <c r="B1405" s="9" t="s">
        <v>27</v>
      </c>
      <c r="C1405" s="9" t="n">
        <v>1128299</v>
      </c>
      <c r="D1405" s="10" t="n">
        <v>44393</v>
      </c>
      <c r="E1405" s="9" t="s">
        <v>50</v>
      </c>
      <c r="F1405" s="9" t="s">
        <v>51</v>
      </c>
      <c r="G1405" s="9" t="s">
        <v>70</v>
      </c>
      <c r="H1405" s="11" t="s">
        <v>24</v>
      </c>
      <c r="I1405" s="12" t="n">
        <v>95</v>
      </c>
      <c r="J1405" s="13" t="n">
        <v>650</v>
      </c>
      <c r="K1405" s="14" t="n">
        <f aca="false">I1405*J1405</f>
        <v>61750</v>
      </c>
      <c r="L1405" s="14" t="n">
        <f aca="false">($L$2*M1405)/100</f>
        <v>240333.3</v>
      </c>
      <c r="M1405" s="15" t="n">
        <v>0.2</v>
      </c>
      <c r="N1405" s="9" t="s">
        <v>20</v>
      </c>
    </row>
    <row r="1406" customFormat="false" ht="14.25" hidden="false" customHeight="true" outlineLevel="0" collapsed="false">
      <c r="B1406" s="9" t="s">
        <v>27</v>
      </c>
      <c r="C1406" s="9" t="n">
        <v>1128299</v>
      </c>
      <c r="D1406" s="10" t="n">
        <v>44393</v>
      </c>
      <c r="E1406" s="9" t="s">
        <v>50</v>
      </c>
      <c r="F1406" s="9" t="s">
        <v>51</v>
      </c>
      <c r="G1406" s="9" t="s">
        <v>70</v>
      </c>
      <c r="H1406" s="11" t="s">
        <v>25</v>
      </c>
      <c r="I1406" s="12" t="n">
        <v>110</v>
      </c>
      <c r="J1406" s="13" t="n">
        <v>650</v>
      </c>
      <c r="K1406" s="14" t="n">
        <f aca="false">I1406*J1406</f>
        <v>71500</v>
      </c>
      <c r="L1406" s="14" t="n">
        <f aca="false">($L$2*M1406)/100</f>
        <v>540749.925</v>
      </c>
      <c r="M1406" s="15" t="n">
        <v>0.45</v>
      </c>
      <c r="N1406" s="9" t="s">
        <v>20</v>
      </c>
    </row>
    <row r="1407" customFormat="false" ht="14.25" hidden="false" customHeight="true" outlineLevel="0" collapsed="false">
      <c r="B1407" s="9" t="s">
        <v>27</v>
      </c>
      <c r="C1407" s="9" t="n">
        <v>1128299</v>
      </c>
      <c r="D1407" s="10" t="n">
        <v>44425</v>
      </c>
      <c r="E1407" s="9" t="s">
        <v>50</v>
      </c>
      <c r="F1407" s="9" t="s">
        <v>51</v>
      </c>
      <c r="G1407" s="9" t="s">
        <v>70</v>
      </c>
      <c r="H1407" s="11" t="s">
        <v>19</v>
      </c>
      <c r="I1407" s="12" t="n">
        <v>95</v>
      </c>
      <c r="J1407" s="13" t="n">
        <v>850</v>
      </c>
      <c r="K1407" s="14" t="n">
        <f aca="false">I1407*J1407</f>
        <v>80750</v>
      </c>
      <c r="L1407" s="14" t="n">
        <f aca="false">($L$2*M1407)/100</f>
        <v>360499.95</v>
      </c>
      <c r="M1407" s="15" t="n">
        <v>0.3</v>
      </c>
      <c r="N1407" s="9" t="s">
        <v>20</v>
      </c>
    </row>
    <row r="1408" customFormat="false" ht="14.25" hidden="false" customHeight="true" outlineLevel="0" collapsed="false">
      <c r="B1408" s="9" t="s">
        <v>27</v>
      </c>
      <c r="C1408" s="9" t="n">
        <v>1128299</v>
      </c>
      <c r="D1408" s="10" t="n">
        <v>44425</v>
      </c>
      <c r="E1408" s="9" t="s">
        <v>50</v>
      </c>
      <c r="F1408" s="9" t="s">
        <v>51</v>
      </c>
      <c r="G1408" s="9" t="s">
        <v>70</v>
      </c>
      <c r="H1408" s="11" t="s">
        <v>21</v>
      </c>
      <c r="I1408" s="12" t="n">
        <v>85</v>
      </c>
      <c r="J1408" s="13" t="n">
        <v>825</v>
      </c>
      <c r="K1408" s="14" t="n">
        <f aca="false">I1408*J1408</f>
        <v>70125</v>
      </c>
      <c r="L1408" s="14" t="n">
        <f aca="false">($L$2*M1408)/100</f>
        <v>300416.625</v>
      </c>
      <c r="M1408" s="15" t="n">
        <v>0.25</v>
      </c>
      <c r="N1408" s="9" t="s">
        <v>20</v>
      </c>
    </row>
    <row r="1409" customFormat="false" ht="14.25" hidden="false" customHeight="true" outlineLevel="0" collapsed="false">
      <c r="B1409" s="9" t="s">
        <v>27</v>
      </c>
      <c r="C1409" s="9" t="n">
        <v>1128299</v>
      </c>
      <c r="D1409" s="10" t="n">
        <v>44425</v>
      </c>
      <c r="E1409" s="9" t="s">
        <v>50</v>
      </c>
      <c r="F1409" s="9" t="s">
        <v>51</v>
      </c>
      <c r="G1409" s="9" t="s">
        <v>70</v>
      </c>
      <c r="H1409" s="11" t="s">
        <v>22</v>
      </c>
      <c r="I1409" s="12" t="n">
        <v>80</v>
      </c>
      <c r="J1409" s="13" t="n">
        <v>700</v>
      </c>
      <c r="K1409" s="14" t="n">
        <f aca="false">I1409*J1409</f>
        <v>56000</v>
      </c>
      <c r="L1409" s="14" t="n">
        <f aca="false">($L$2*M1409)/100</f>
        <v>360499.95</v>
      </c>
      <c r="M1409" s="15" t="n">
        <v>0.3</v>
      </c>
      <c r="N1409" s="9" t="s">
        <v>20</v>
      </c>
    </row>
    <row r="1410" customFormat="false" ht="14.25" hidden="false" customHeight="true" outlineLevel="0" collapsed="false">
      <c r="B1410" s="9" t="s">
        <v>27</v>
      </c>
      <c r="C1410" s="9" t="n">
        <v>1128299</v>
      </c>
      <c r="D1410" s="10" t="n">
        <v>44425</v>
      </c>
      <c r="E1410" s="9" t="s">
        <v>50</v>
      </c>
      <c r="F1410" s="9" t="s">
        <v>51</v>
      </c>
      <c r="G1410" s="9" t="s">
        <v>70</v>
      </c>
      <c r="H1410" s="11" t="s">
        <v>23</v>
      </c>
      <c r="I1410" s="12" t="n">
        <v>80</v>
      </c>
      <c r="J1410" s="13" t="n">
        <v>475</v>
      </c>
      <c r="K1410" s="14" t="n">
        <f aca="false">I1410*J1410</f>
        <v>38000</v>
      </c>
      <c r="L1410" s="14" t="n">
        <f aca="false">($L$2*M1410)/100</f>
        <v>360499.95</v>
      </c>
      <c r="M1410" s="15" t="n">
        <v>0.3</v>
      </c>
      <c r="N1410" s="9" t="s">
        <v>20</v>
      </c>
    </row>
    <row r="1411" customFormat="false" ht="14.25" hidden="false" customHeight="true" outlineLevel="0" collapsed="false">
      <c r="B1411" s="9" t="s">
        <v>27</v>
      </c>
      <c r="C1411" s="9" t="n">
        <v>1128299</v>
      </c>
      <c r="D1411" s="10" t="n">
        <v>44425</v>
      </c>
      <c r="E1411" s="9" t="s">
        <v>50</v>
      </c>
      <c r="F1411" s="9" t="s">
        <v>51</v>
      </c>
      <c r="G1411" s="9" t="s">
        <v>70</v>
      </c>
      <c r="H1411" s="11" t="s">
        <v>24</v>
      </c>
      <c r="I1411" s="12" t="n">
        <v>80</v>
      </c>
      <c r="J1411" s="13" t="n">
        <v>475</v>
      </c>
      <c r="K1411" s="14" t="n">
        <f aca="false">I1411*J1411</f>
        <v>38000</v>
      </c>
      <c r="L1411" s="14" t="n">
        <f aca="false">($L$2*M1411)/100</f>
        <v>240333.3</v>
      </c>
      <c r="M1411" s="15" t="n">
        <v>0.2</v>
      </c>
      <c r="N1411" s="9" t="s">
        <v>20</v>
      </c>
    </row>
    <row r="1412" customFormat="false" ht="14.25" hidden="false" customHeight="true" outlineLevel="0" collapsed="false">
      <c r="B1412" s="9" t="s">
        <v>27</v>
      </c>
      <c r="C1412" s="9" t="n">
        <v>1128299</v>
      </c>
      <c r="D1412" s="10" t="n">
        <v>44425</v>
      </c>
      <c r="E1412" s="9" t="s">
        <v>50</v>
      </c>
      <c r="F1412" s="9" t="s">
        <v>51</v>
      </c>
      <c r="G1412" s="9" t="s">
        <v>70</v>
      </c>
      <c r="H1412" s="11" t="s">
        <v>25</v>
      </c>
      <c r="I1412" s="12" t="n">
        <v>85</v>
      </c>
      <c r="J1412" s="13" t="n">
        <v>300</v>
      </c>
      <c r="K1412" s="14" t="n">
        <f aca="false">I1412*J1412</f>
        <v>25500</v>
      </c>
      <c r="L1412" s="14" t="n">
        <f aca="false">($L$2*M1412)/100</f>
        <v>540749.925</v>
      </c>
      <c r="M1412" s="15" t="n">
        <v>0.45</v>
      </c>
      <c r="N1412" s="9" t="s">
        <v>20</v>
      </c>
    </row>
    <row r="1413" customFormat="false" ht="14.25" hidden="false" customHeight="true" outlineLevel="0" collapsed="false">
      <c r="B1413" s="9" t="s">
        <v>27</v>
      </c>
      <c r="C1413" s="9" t="n">
        <v>1128299</v>
      </c>
      <c r="D1413" s="10" t="n">
        <v>44457</v>
      </c>
      <c r="E1413" s="9" t="s">
        <v>50</v>
      </c>
      <c r="F1413" s="9" t="s">
        <v>51</v>
      </c>
      <c r="G1413" s="9" t="s">
        <v>70</v>
      </c>
      <c r="H1413" s="11" t="s">
        <v>19</v>
      </c>
      <c r="I1413" s="12" t="n">
        <v>60</v>
      </c>
      <c r="J1413" s="13" t="n">
        <v>500</v>
      </c>
      <c r="K1413" s="14" t="n">
        <f aca="false">I1413*J1413</f>
        <v>30000</v>
      </c>
      <c r="L1413" s="14" t="n">
        <f aca="false">($L$2*M1413)/100</f>
        <v>360499.95</v>
      </c>
      <c r="M1413" s="15" t="n">
        <v>0.3</v>
      </c>
      <c r="N1413" s="9" t="s">
        <v>20</v>
      </c>
    </row>
    <row r="1414" customFormat="false" ht="14.25" hidden="false" customHeight="true" outlineLevel="0" collapsed="false">
      <c r="B1414" s="9" t="s">
        <v>27</v>
      </c>
      <c r="C1414" s="9" t="n">
        <v>1128299</v>
      </c>
      <c r="D1414" s="10" t="n">
        <v>44457</v>
      </c>
      <c r="E1414" s="9" t="s">
        <v>50</v>
      </c>
      <c r="F1414" s="9" t="s">
        <v>51</v>
      </c>
      <c r="G1414" s="9" t="s">
        <v>70</v>
      </c>
      <c r="H1414" s="11" t="s">
        <v>21</v>
      </c>
      <c r="I1414" s="12" t="n">
        <v>65</v>
      </c>
      <c r="J1414" s="13" t="n">
        <v>500</v>
      </c>
      <c r="K1414" s="14" t="n">
        <f aca="false">I1414*J1414</f>
        <v>32500</v>
      </c>
      <c r="L1414" s="14" t="n">
        <f aca="false">($L$2*M1414)/100</f>
        <v>300416.625</v>
      </c>
      <c r="M1414" s="15" t="n">
        <v>0.25</v>
      </c>
      <c r="N1414" s="9" t="s">
        <v>20</v>
      </c>
    </row>
    <row r="1415" customFormat="false" ht="14.25" hidden="false" customHeight="true" outlineLevel="0" collapsed="false">
      <c r="B1415" s="9" t="s">
        <v>27</v>
      </c>
      <c r="C1415" s="9" t="n">
        <v>1128299</v>
      </c>
      <c r="D1415" s="10" t="n">
        <v>44457</v>
      </c>
      <c r="E1415" s="9" t="s">
        <v>50</v>
      </c>
      <c r="F1415" s="9" t="s">
        <v>51</v>
      </c>
      <c r="G1415" s="9" t="s">
        <v>70</v>
      </c>
      <c r="H1415" s="11" t="s">
        <v>22</v>
      </c>
      <c r="I1415" s="12" t="n">
        <v>60</v>
      </c>
      <c r="J1415" s="13" t="n">
        <v>300</v>
      </c>
      <c r="K1415" s="14" t="n">
        <f aca="false">I1415*J1415</f>
        <v>18000</v>
      </c>
      <c r="L1415" s="14" t="n">
        <f aca="false">($L$2*M1415)/100</f>
        <v>360499.95</v>
      </c>
      <c r="M1415" s="15" t="n">
        <v>0.3</v>
      </c>
      <c r="N1415" s="9" t="s">
        <v>20</v>
      </c>
    </row>
    <row r="1416" customFormat="false" ht="14.25" hidden="false" customHeight="true" outlineLevel="0" collapsed="false">
      <c r="B1416" s="9" t="s">
        <v>27</v>
      </c>
      <c r="C1416" s="9" t="n">
        <v>1128299</v>
      </c>
      <c r="D1416" s="10" t="n">
        <v>44457</v>
      </c>
      <c r="E1416" s="9" t="s">
        <v>50</v>
      </c>
      <c r="F1416" s="9" t="s">
        <v>51</v>
      </c>
      <c r="G1416" s="9" t="s">
        <v>70</v>
      </c>
      <c r="H1416" s="11" t="s">
        <v>23</v>
      </c>
      <c r="I1416" s="12" t="n">
        <v>60</v>
      </c>
      <c r="J1416" s="13" t="n">
        <v>250</v>
      </c>
      <c r="K1416" s="14" t="n">
        <f aca="false">I1416*J1416</f>
        <v>15000</v>
      </c>
      <c r="L1416" s="14" t="n">
        <f aca="false">($L$2*M1416)/100</f>
        <v>360499.95</v>
      </c>
      <c r="M1416" s="15" t="n">
        <v>0.3</v>
      </c>
      <c r="N1416" s="9" t="s">
        <v>20</v>
      </c>
    </row>
    <row r="1417" customFormat="false" ht="14.25" hidden="false" customHeight="true" outlineLevel="0" collapsed="false">
      <c r="B1417" s="9" t="s">
        <v>27</v>
      </c>
      <c r="C1417" s="9" t="n">
        <v>1128299</v>
      </c>
      <c r="D1417" s="10" t="n">
        <v>44457</v>
      </c>
      <c r="E1417" s="9" t="s">
        <v>50</v>
      </c>
      <c r="F1417" s="9" t="s">
        <v>51</v>
      </c>
      <c r="G1417" s="9" t="s">
        <v>70</v>
      </c>
      <c r="H1417" s="11" t="s">
        <v>24</v>
      </c>
      <c r="I1417" s="12" t="n">
        <v>70</v>
      </c>
      <c r="J1417" s="13" t="n">
        <v>275</v>
      </c>
      <c r="K1417" s="14" t="n">
        <f aca="false">I1417*J1417</f>
        <v>19250</v>
      </c>
      <c r="L1417" s="14" t="n">
        <f aca="false">($L$2*M1417)/100</f>
        <v>240333.3</v>
      </c>
      <c r="M1417" s="15" t="n">
        <v>0.2</v>
      </c>
      <c r="N1417" s="9" t="s">
        <v>20</v>
      </c>
    </row>
    <row r="1418" customFormat="false" ht="14.25" hidden="false" customHeight="true" outlineLevel="0" collapsed="false">
      <c r="B1418" s="9" t="s">
        <v>27</v>
      </c>
      <c r="C1418" s="9" t="n">
        <v>1128299</v>
      </c>
      <c r="D1418" s="10" t="n">
        <v>44457</v>
      </c>
      <c r="E1418" s="9" t="s">
        <v>50</v>
      </c>
      <c r="F1418" s="9" t="s">
        <v>51</v>
      </c>
      <c r="G1418" s="9" t="s">
        <v>70</v>
      </c>
      <c r="H1418" s="11" t="s">
        <v>25</v>
      </c>
      <c r="I1418" s="12" t="n">
        <v>55</v>
      </c>
      <c r="J1418" s="13" t="n">
        <v>300</v>
      </c>
      <c r="K1418" s="14" t="n">
        <f aca="false">I1418*J1418</f>
        <v>16500</v>
      </c>
      <c r="L1418" s="14" t="n">
        <f aca="false">($L$2*M1418)/100</f>
        <v>540749.925</v>
      </c>
      <c r="M1418" s="15" t="n">
        <v>0.45</v>
      </c>
      <c r="N1418" s="9" t="s">
        <v>20</v>
      </c>
    </row>
    <row r="1419" customFormat="false" ht="14.25" hidden="false" customHeight="true" outlineLevel="0" collapsed="false">
      <c r="B1419" s="9" t="s">
        <v>27</v>
      </c>
      <c r="C1419" s="9" t="n">
        <v>1128299</v>
      </c>
      <c r="D1419" s="10" t="n">
        <v>44486</v>
      </c>
      <c r="E1419" s="9" t="s">
        <v>50</v>
      </c>
      <c r="F1419" s="9" t="s">
        <v>51</v>
      </c>
      <c r="G1419" s="9" t="s">
        <v>70</v>
      </c>
      <c r="H1419" s="11" t="s">
        <v>19</v>
      </c>
      <c r="I1419" s="12" t="n">
        <v>50</v>
      </c>
      <c r="J1419" s="13" t="n">
        <v>400</v>
      </c>
      <c r="K1419" s="14" t="n">
        <f aca="false">I1419*J1419</f>
        <v>20000</v>
      </c>
      <c r="L1419" s="14" t="n">
        <f aca="false">($L$2*M1419)/100</f>
        <v>360499.95</v>
      </c>
      <c r="M1419" s="15" t="n">
        <v>0.3</v>
      </c>
      <c r="N1419" s="9" t="s">
        <v>20</v>
      </c>
    </row>
    <row r="1420" customFormat="false" ht="14.25" hidden="false" customHeight="true" outlineLevel="0" collapsed="false">
      <c r="B1420" s="9" t="s">
        <v>27</v>
      </c>
      <c r="C1420" s="9" t="n">
        <v>1128299</v>
      </c>
      <c r="D1420" s="10" t="n">
        <v>44486</v>
      </c>
      <c r="E1420" s="9" t="s">
        <v>50</v>
      </c>
      <c r="F1420" s="9" t="s">
        <v>51</v>
      </c>
      <c r="G1420" s="9" t="s">
        <v>70</v>
      </c>
      <c r="H1420" s="11" t="s">
        <v>21</v>
      </c>
      <c r="I1420" s="12" t="n">
        <v>65</v>
      </c>
      <c r="J1420" s="13" t="n">
        <v>575</v>
      </c>
      <c r="K1420" s="14" t="n">
        <f aca="false">I1420*J1420</f>
        <v>37375</v>
      </c>
      <c r="L1420" s="14" t="n">
        <f aca="false">($L$2*M1420)/100</f>
        <v>300416.625</v>
      </c>
      <c r="M1420" s="15" t="n">
        <v>0.25</v>
      </c>
      <c r="N1420" s="9" t="s">
        <v>20</v>
      </c>
    </row>
    <row r="1421" customFormat="false" ht="14.25" hidden="false" customHeight="true" outlineLevel="0" collapsed="false">
      <c r="B1421" s="9" t="s">
        <v>27</v>
      </c>
      <c r="C1421" s="9" t="n">
        <v>1128299</v>
      </c>
      <c r="D1421" s="10" t="n">
        <v>44486</v>
      </c>
      <c r="E1421" s="9" t="s">
        <v>50</v>
      </c>
      <c r="F1421" s="9" t="s">
        <v>51</v>
      </c>
      <c r="G1421" s="9" t="s">
        <v>70</v>
      </c>
      <c r="H1421" s="11" t="s">
        <v>22</v>
      </c>
      <c r="I1421" s="12" t="n">
        <v>60</v>
      </c>
      <c r="J1421" s="13" t="n">
        <v>400</v>
      </c>
      <c r="K1421" s="14" t="n">
        <f aca="false">I1421*J1421</f>
        <v>24000</v>
      </c>
      <c r="L1421" s="14" t="n">
        <f aca="false">($L$2*M1421)/100</f>
        <v>360499.95</v>
      </c>
      <c r="M1421" s="15" t="n">
        <v>0.3</v>
      </c>
      <c r="N1421" s="9" t="s">
        <v>20</v>
      </c>
    </row>
    <row r="1422" customFormat="false" ht="14.25" hidden="false" customHeight="true" outlineLevel="0" collapsed="false">
      <c r="B1422" s="9" t="s">
        <v>27</v>
      </c>
      <c r="C1422" s="9" t="n">
        <v>1128299</v>
      </c>
      <c r="D1422" s="10" t="n">
        <v>44486</v>
      </c>
      <c r="E1422" s="9" t="s">
        <v>50</v>
      </c>
      <c r="F1422" s="9" t="s">
        <v>51</v>
      </c>
      <c r="G1422" s="9" t="s">
        <v>70</v>
      </c>
      <c r="H1422" s="11" t="s">
        <v>23</v>
      </c>
      <c r="I1422" s="12" t="n">
        <v>55</v>
      </c>
      <c r="J1422" s="13" t="n">
        <v>375</v>
      </c>
      <c r="K1422" s="14" t="n">
        <f aca="false">I1422*J1422</f>
        <v>20625</v>
      </c>
      <c r="L1422" s="14" t="n">
        <f aca="false">($L$2*M1422)/100</f>
        <v>360499.95</v>
      </c>
      <c r="M1422" s="15" t="n">
        <v>0.3</v>
      </c>
      <c r="N1422" s="9" t="s">
        <v>20</v>
      </c>
    </row>
    <row r="1423" customFormat="false" ht="14.25" hidden="false" customHeight="true" outlineLevel="0" collapsed="false">
      <c r="B1423" s="9" t="s">
        <v>27</v>
      </c>
      <c r="C1423" s="9" t="n">
        <v>1128299</v>
      </c>
      <c r="D1423" s="10" t="n">
        <v>44486</v>
      </c>
      <c r="E1423" s="9" t="s">
        <v>50</v>
      </c>
      <c r="F1423" s="9" t="s">
        <v>51</v>
      </c>
      <c r="G1423" s="9" t="s">
        <v>70</v>
      </c>
      <c r="H1423" s="11" t="s">
        <v>24</v>
      </c>
      <c r="I1423" s="12" t="n">
        <v>65</v>
      </c>
      <c r="J1423" s="13" t="n">
        <v>350</v>
      </c>
      <c r="K1423" s="14" t="n">
        <f aca="false">I1423*J1423</f>
        <v>22750</v>
      </c>
      <c r="L1423" s="14" t="n">
        <f aca="false">($L$2*M1423)/100</f>
        <v>240333.3</v>
      </c>
      <c r="M1423" s="15" t="n">
        <v>0.2</v>
      </c>
      <c r="N1423" s="9" t="s">
        <v>20</v>
      </c>
    </row>
    <row r="1424" customFormat="false" ht="14.25" hidden="false" customHeight="true" outlineLevel="0" collapsed="false">
      <c r="B1424" s="9" t="s">
        <v>27</v>
      </c>
      <c r="C1424" s="9" t="n">
        <v>1128299</v>
      </c>
      <c r="D1424" s="10" t="n">
        <v>44486</v>
      </c>
      <c r="E1424" s="9" t="s">
        <v>50</v>
      </c>
      <c r="F1424" s="9" t="s">
        <v>51</v>
      </c>
      <c r="G1424" s="9" t="s">
        <v>70</v>
      </c>
      <c r="H1424" s="11" t="s">
        <v>25</v>
      </c>
      <c r="I1424" s="12" t="n">
        <v>70</v>
      </c>
      <c r="J1424" s="13" t="n">
        <v>400</v>
      </c>
      <c r="K1424" s="14" t="n">
        <f aca="false">I1424*J1424</f>
        <v>28000</v>
      </c>
      <c r="L1424" s="14" t="n">
        <f aca="false">($L$2*M1424)/100</f>
        <v>540749.925</v>
      </c>
      <c r="M1424" s="15" t="n">
        <v>0.45</v>
      </c>
      <c r="N1424" s="9" t="s">
        <v>20</v>
      </c>
    </row>
    <row r="1425" customFormat="false" ht="14.25" hidden="false" customHeight="true" outlineLevel="0" collapsed="false">
      <c r="B1425" s="9" t="s">
        <v>27</v>
      </c>
      <c r="C1425" s="9" t="n">
        <v>1128299</v>
      </c>
      <c r="D1425" s="10" t="n">
        <v>44517</v>
      </c>
      <c r="E1425" s="9" t="s">
        <v>50</v>
      </c>
      <c r="F1425" s="9" t="s">
        <v>51</v>
      </c>
      <c r="G1425" s="9" t="s">
        <v>70</v>
      </c>
      <c r="H1425" s="11" t="s">
        <v>19</v>
      </c>
      <c r="I1425" s="12" t="n">
        <v>55</v>
      </c>
      <c r="J1425" s="13" t="n">
        <v>625</v>
      </c>
      <c r="K1425" s="14" t="n">
        <f aca="false">I1425*J1425</f>
        <v>34375</v>
      </c>
      <c r="L1425" s="14" t="n">
        <f aca="false">($L$2*M1425)/100</f>
        <v>360499.95</v>
      </c>
      <c r="M1425" s="15" t="n">
        <v>0.3</v>
      </c>
      <c r="N1425" s="9" t="s">
        <v>20</v>
      </c>
    </row>
    <row r="1426" customFormat="false" ht="14.25" hidden="false" customHeight="true" outlineLevel="0" collapsed="false">
      <c r="B1426" s="9" t="s">
        <v>27</v>
      </c>
      <c r="C1426" s="9" t="n">
        <v>1128299</v>
      </c>
      <c r="D1426" s="10" t="n">
        <v>44517</v>
      </c>
      <c r="E1426" s="9" t="s">
        <v>50</v>
      </c>
      <c r="F1426" s="9" t="s">
        <v>51</v>
      </c>
      <c r="G1426" s="9" t="s">
        <v>70</v>
      </c>
      <c r="H1426" s="11" t="s">
        <v>21</v>
      </c>
      <c r="I1426" s="12" t="n">
        <v>60</v>
      </c>
      <c r="J1426" s="13" t="n">
        <v>700</v>
      </c>
      <c r="K1426" s="14" t="n">
        <f aca="false">I1426*J1426</f>
        <v>42000</v>
      </c>
      <c r="L1426" s="14" t="n">
        <f aca="false">($L$2*M1426)/100</f>
        <v>300416.625</v>
      </c>
      <c r="M1426" s="15" t="n">
        <v>0.25</v>
      </c>
      <c r="N1426" s="9" t="s">
        <v>20</v>
      </c>
    </row>
    <row r="1427" customFormat="false" ht="14.25" hidden="false" customHeight="true" outlineLevel="0" collapsed="false">
      <c r="B1427" s="9" t="s">
        <v>27</v>
      </c>
      <c r="C1427" s="9" t="n">
        <v>1128299</v>
      </c>
      <c r="D1427" s="10" t="n">
        <v>44517</v>
      </c>
      <c r="E1427" s="9" t="s">
        <v>50</v>
      </c>
      <c r="F1427" s="9" t="s">
        <v>51</v>
      </c>
      <c r="G1427" s="9" t="s">
        <v>70</v>
      </c>
      <c r="H1427" s="11" t="s">
        <v>22</v>
      </c>
      <c r="I1427" s="12" t="n">
        <v>55</v>
      </c>
      <c r="J1427" s="13" t="n">
        <v>525</v>
      </c>
      <c r="K1427" s="14" t="n">
        <f aca="false">I1427*J1427</f>
        <v>28875</v>
      </c>
      <c r="L1427" s="14" t="n">
        <f aca="false">($L$2*M1427)/100</f>
        <v>360499.95</v>
      </c>
      <c r="M1427" s="15" t="n">
        <v>0.3</v>
      </c>
      <c r="N1427" s="9" t="s">
        <v>20</v>
      </c>
    </row>
    <row r="1428" customFormat="false" ht="14.25" hidden="false" customHeight="true" outlineLevel="0" collapsed="false">
      <c r="B1428" s="9" t="s">
        <v>27</v>
      </c>
      <c r="C1428" s="9" t="n">
        <v>1128299</v>
      </c>
      <c r="D1428" s="10" t="n">
        <v>44517</v>
      </c>
      <c r="E1428" s="9" t="s">
        <v>50</v>
      </c>
      <c r="F1428" s="9" t="s">
        <v>51</v>
      </c>
      <c r="G1428" s="9" t="s">
        <v>70</v>
      </c>
      <c r="H1428" s="11" t="s">
        <v>23</v>
      </c>
      <c r="I1428" s="12" t="n">
        <v>65</v>
      </c>
      <c r="J1428" s="13" t="n">
        <v>500</v>
      </c>
      <c r="K1428" s="14" t="n">
        <f aca="false">I1428*J1428</f>
        <v>32500</v>
      </c>
      <c r="L1428" s="14" t="n">
        <f aca="false">($L$2*M1428)/100</f>
        <v>360499.95</v>
      </c>
      <c r="M1428" s="15" t="n">
        <v>0.3</v>
      </c>
      <c r="N1428" s="9" t="s">
        <v>20</v>
      </c>
    </row>
    <row r="1429" customFormat="false" ht="14.25" hidden="false" customHeight="true" outlineLevel="0" collapsed="false">
      <c r="B1429" s="9" t="s">
        <v>27</v>
      </c>
      <c r="C1429" s="9" t="n">
        <v>1128299</v>
      </c>
      <c r="D1429" s="10" t="n">
        <v>44517</v>
      </c>
      <c r="E1429" s="9" t="s">
        <v>50</v>
      </c>
      <c r="F1429" s="9" t="s">
        <v>51</v>
      </c>
      <c r="G1429" s="9" t="s">
        <v>70</v>
      </c>
      <c r="H1429" s="11" t="s">
        <v>24</v>
      </c>
      <c r="I1429" s="12" t="n">
        <v>85</v>
      </c>
      <c r="J1429" s="13" t="n">
        <v>475</v>
      </c>
      <c r="K1429" s="14" t="n">
        <f aca="false">I1429*J1429</f>
        <v>40375</v>
      </c>
      <c r="L1429" s="14" t="n">
        <f aca="false">($L$2*M1429)/100</f>
        <v>240333.3</v>
      </c>
      <c r="M1429" s="15" t="n">
        <v>0.2</v>
      </c>
      <c r="N1429" s="9" t="s">
        <v>20</v>
      </c>
    </row>
    <row r="1430" customFormat="false" ht="14.25" hidden="false" customHeight="true" outlineLevel="0" collapsed="false">
      <c r="B1430" s="9" t="s">
        <v>27</v>
      </c>
      <c r="C1430" s="9" t="n">
        <v>1128299</v>
      </c>
      <c r="D1430" s="10" t="n">
        <v>44517</v>
      </c>
      <c r="E1430" s="9" t="s">
        <v>50</v>
      </c>
      <c r="F1430" s="9" t="s">
        <v>51</v>
      </c>
      <c r="G1430" s="9" t="s">
        <v>70</v>
      </c>
      <c r="H1430" s="11" t="s">
        <v>25</v>
      </c>
      <c r="I1430" s="12" t="n">
        <v>90</v>
      </c>
      <c r="J1430" s="13" t="n">
        <v>600</v>
      </c>
      <c r="K1430" s="14" t="n">
        <f aca="false">I1430*J1430</f>
        <v>54000</v>
      </c>
      <c r="L1430" s="14" t="n">
        <f aca="false">($L$2*M1430)/100</f>
        <v>540749.925</v>
      </c>
      <c r="M1430" s="15" t="n">
        <v>0.45</v>
      </c>
      <c r="N1430" s="9" t="s">
        <v>20</v>
      </c>
    </row>
    <row r="1431" customFormat="false" ht="14.25" hidden="false" customHeight="true" outlineLevel="0" collapsed="false">
      <c r="B1431" s="9" t="s">
        <v>27</v>
      </c>
      <c r="C1431" s="9" t="n">
        <v>1128299</v>
      </c>
      <c r="D1431" s="10" t="n">
        <v>44546</v>
      </c>
      <c r="E1431" s="9" t="s">
        <v>50</v>
      </c>
      <c r="F1431" s="9" t="s">
        <v>51</v>
      </c>
      <c r="G1431" s="9" t="s">
        <v>70</v>
      </c>
      <c r="H1431" s="11" t="s">
        <v>19</v>
      </c>
      <c r="I1431" s="12" t="n">
        <v>75</v>
      </c>
      <c r="J1431" s="13" t="n">
        <v>800</v>
      </c>
      <c r="K1431" s="14" t="n">
        <f aca="false">I1431*J1431</f>
        <v>60000</v>
      </c>
      <c r="L1431" s="14" t="n">
        <f aca="false">($L$2*M1431)/100</f>
        <v>360499.95</v>
      </c>
      <c r="M1431" s="15" t="n">
        <v>0.3</v>
      </c>
      <c r="N1431" s="9" t="s">
        <v>20</v>
      </c>
    </row>
    <row r="1432" customFormat="false" ht="14.25" hidden="false" customHeight="true" outlineLevel="0" collapsed="false">
      <c r="B1432" s="9" t="s">
        <v>27</v>
      </c>
      <c r="C1432" s="9" t="n">
        <v>1128299</v>
      </c>
      <c r="D1432" s="10" t="n">
        <v>44546</v>
      </c>
      <c r="E1432" s="9" t="s">
        <v>50</v>
      </c>
      <c r="F1432" s="9" t="s">
        <v>51</v>
      </c>
      <c r="G1432" s="9" t="s">
        <v>70</v>
      </c>
      <c r="H1432" s="11" t="s">
        <v>21</v>
      </c>
      <c r="I1432" s="12" t="n">
        <v>85</v>
      </c>
      <c r="J1432" s="13" t="n">
        <v>800</v>
      </c>
      <c r="K1432" s="14" t="n">
        <f aca="false">I1432*J1432</f>
        <v>68000</v>
      </c>
      <c r="L1432" s="14" t="n">
        <f aca="false">($L$2*M1432)/100</f>
        <v>300416.625</v>
      </c>
      <c r="M1432" s="15" t="n">
        <v>0.25</v>
      </c>
      <c r="N1432" s="9" t="s">
        <v>20</v>
      </c>
    </row>
    <row r="1433" customFormat="false" ht="14.25" hidden="false" customHeight="true" outlineLevel="0" collapsed="false">
      <c r="B1433" s="9" t="s">
        <v>32</v>
      </c>
      <c r="C1433" s="9" t="n">
        <v>1128299</v>
      </c>
      <c r="D1433" s="10" t="n">
        <v>44546</v>
      </c>
      <c r="E1433" s="9" t="s">
        <v>50</v>
      </c>
      <c r="F1433" s="9" t="s">
        <v>51</v>
      </c>
      <c r="G1433" s="9" t="s">
        <v>70</v>
      </c>
      <c r="H1433" s="11" t="s">
        <v>22</v>
      </c>
      <c r="I1433" s="12" t="n">
        <v>80</v>
      </c>
      <c r="J1433" s="13" t="n">
        <v>600</v>
      </c>
      <c r="K1433" s="14" t="n">
        <f aca="false">I1433*J1433</f>
        <v>48000</v>
      </c>
      <c r="L1433" s="14" t="n">
        <f aca="false">($L$2*M1433)/100</f>
        <v>360499.95</v>
      </c>
      <c r="M1433" s="15" t="n">
        <v>0.3</v>
      </c>
      <c r="N1433" s="9" t="s">
        <v>20</v>
      </c>
    </row>
    <row r="1434" customFormat="false" ht="14.25" hidden="false" customHeight="true" outlineLevel="0" collapsed="false">
      <c r="B1434" s="9" t="s">
        <v>32</v>
      </c>
      <c r="C1434" s="9" t="n">
        <v>1128299</v>
      </c>
      <c r="D1434" s="10" t="n">
        <v>44546</v>
      </c>
      <c r="E1434" s="9" t="s">
        <v>50</v>
      </c>
      <c r="F1434" s="9" t="s">
        <v>51</v>
      </c>
      <c r="G1434" s="9" t="s">
        <v>70</v>
      </c>
      <c r="H1434" s="11" t="s">
        <v>23</v>
      </c>
      <c r="I1434" s="12" t="n">
        <v>80</v>
      </c>
      <c r="J1434" s="13" t="n">
        <v>600</v>
      </c>
      <c r="K1434" s="14" t="n">
        <f aca="false">I1434*J1434</f>
        <v>48000</v>
      </c>
      <c r="L1434" s="14" t="n">
        <f aca="false">($L$2*M1434)/100</f>
        <v>360499.95</v>
      </c>
      <c r="M1434" s="15" t="n">
        <v>0.3</v>
      </c>
      <c r="N1434" s="9" t="s">
        <v>20</v>
      </c>
    </row>
    <row r="1435" customFormat="false" ht="14.25" hidden="false" customHeight="true" outlineLevel="0" collapsed="false">
      <c r="B1435" s="9" t="s">
        <v>32</v>
      </c>
      <c r="C1435" s="9" t="n">
        <v>1128299</v>
      </c>
      <c r="D1435" s="10" t="n">
        <v>44546</v>
      </c>
      <c r="E1435" s="9" t="s">
        <v>50</v>
      </c>
      <c r="F1435" s="9" t="s">
        <v>51</v>
      </c>
      <c r="G1435" s="9" t="s">
        <v>70</v>
      </c>
      <c r="H1435" s="11" t="s">
        <v>24</v>
      </c>
      <c r="I1435" s="12" t="n">
        <v>90</v>
      </c>
      <c r="J1435" s="13" t="n">
        <v>525</v>
      </c>
      <c r="K1435" s="14" t="n">
        <f aca="false">I1435*J1435</f>
        <v>47250</v>
      </c>
      <c r="L1435" s="14" t="n">
        <f aca="false">($L$2*M1435)/100</f>
        <v>240333.3</v>
      </c>
      <c r="M1435" s="15" t="n">
        <v>0.2</v>
      </c>
      <c r="N1435" s="9" t="s">
        <v>20</v>
      </c>
    </row>
    <row r="1436" customFormat="false" ht="14.25" hidden="false" customHeight="true" outlineLevel="0" collapsed="false">
      <c r="B1436" s="9" t="s">
        <v>32</v>
      </c>
      <c r="C1436" s="9" t="n">
        <v>1128299</v>
      </c>
      <c r="D1436" s="10" t="n">
        <v>44546</v>
      </c>
      <c r="E1436" s="9" t="s">
        <v>50</v>
      </c>
      <c r="F1436" s="9" t="s">
        <v>51</v>
      </c>
      <c r="G1436" s="9" t="s">
        <v>70</v>
      </c>
      <c r="H1436" s="11" t="s">
        <v>25</v>
      </c>
      <c r="I1436" s="12" t="n">
        <v>95</v>
      </c>
      <c r="J1436" s="13" t="n">
        <v>625</v>
      </c>
      <c r="K1436" s="14" t="n">
        <f aca="false">I1436*J1436</f>
        <v>59375</v>
      </c>
      <c r="L1436" s="14" t="n">
        <f aca="false">($L$2*M1436)/100</f>
        <v>540749.925</v>
      </c>
      <c r="M1436" s="15" t="n">
        <v>0.45</v>
      </c>
      <c r="N1436" s="9" t="s">
        <v>20</v>
      </c>
    </row>
    <row r="1437" customFormat="false" ht="14.25" hidden="false" customHeight="true" outlineLevel="0" collapsed="false">
      <c r="B1437" s="9" t="s">
        <v>32</v>
      </c>
      <c r="C1437" s="9" t="n">
        <v>1185732</v>
      </c>
      <c r="D1437" s="10" t="n">
        <v>44208</v>
      </c>
      <c r="E1437" s="9" t="s">
        <v>50</v>
      </c>
      <c r="F1437" s="9" t="s">
        <v>51</v>
      </c>
      <c r="G1437" s="9" t="s">
        <v>70</v>
      </c>
      <c r="H1437" s="11" t="s">
        <v>19</v>
      </c>
      <c r="I1437" s="12" t="n">
        <v>45</v>
      </c>
      <c r="J1437" s="13" t="n">
        <v>850</v>
      </c>
      <c r="K1437" s="14" t="n">
        <f aca="false">I1437*J1437</f>
        <v>38250</v>
      </c>
      <c r="L1437" s="14" t="n">
        <f aca="false">($L$2*M1437)/100</f>
        <v>540749.925</v>
      </c>
      <c r="M1437" s="15" t="n">
        <v>0.45</v>
      </c>
      <c r="N1437" s="9" t="s">
        <v>20</v>
      </c>
    </row>
    <row r="1438" customFormat="false" ht="14.25" hidden="false" customHeight="true" outlineLevel="0" collapsed="false">
      <c r="B1438" s="9" t="s">
        <v>32</v>
      </c>
      <c r="C1438" s="9" t="n">
        <v>1185732</v>
      </c>
      <c r="D1438" s="10" t="n">
        <v>44208</v>
      </c>
      <c r="E1438" s="9" t="s">
        <v>50</v>
      </c>
      <c r="F1438" s="9" t="s">
        <v>51</v>
      </c>
      <c r="G1438" s="9" t="s">
        <v>70</v>
      </c>
      <c r="H1438" s="11" t="s">
        <v>21</v>
      </c>
      <c r="I1438" s="12" t="n">
        <v>45</v>
      </c>
      <c r="J1438" s="13" t="n">
        <v>650</v>
      </c>
      <c r="K1438" s="14" t="n">
        <f aca="false">I1438*J1438</f>
        <v>29250</v>
      </c>
      <c r="L1438" s="14" t="n">
        <f aca="false">($L$2*M1438)/100</f>
        <v>420583.275</v>
      </c>
      <c r="M1438" s="15" t="n">
        <v>0.35</v>
      </c>
      <c r="N1438" s="9" t="s">
        <v>20</v>
      </c>
    </row>
    <row r="1439" customFormat="false" ht="14.25" hidden="false" customHeight="true" outlineLevel="0" collapsed="false">
      <c r="B1439" s="9" t="s">
        <v>32</v>
      </c>
      <c r="C1439" s="9" t="n">
        <v>1185732</v>
      </c>
      <c r="D1439" s="10" t="n">
        <v>44208</v>
      </c>
      <c r="E1439" s="9" t="s">
        <v>50</v>
      </c>
      <c r="F1439" s="9" t="s">
        <v>51</v>
      </c>
      <c r="G1439" s="9" t="s">
        <v>70</v>
      </c>
      <c r="H1439" s="11" t="s">
        <v>22</v>
      </c>
      <c r="I1439" s="12" t="n">
        <v>35</v>
      </c>
      <c r="J1439" s="13" t="n">
        <v>650</v>
      </c>
      <c r="K1439" s="14" t="n">
        <f aca="false">I1439*J1439</f>
        <v>22750</v>
      </c>
      <c r="L1439" s="14" t="n">
        <f aca="false">($L$2*M1439)/100</f>
        <v>300416.625</v>
      </c>
      <c r="M1439" s="15" t="n">
        <v>0.25</v>
      </c>
      <c r="N1439" s="9" t="s">
        <v>20</v>
      </c>
    </row>
    <row r="1440" customFormat="false" ht="14.25" hidden="false" customHeight="true" outlineLevel="0" collapsed="false">
      <c r="B1440" s="9" t="s">
        <v>32</v>
      </c>
      <c r="C1440" s="9" t="n">
        <v>1185732</v>
      </c>
      <c r="D1440" s="10" t="n">
        <v>44208</v>
      </c>
      <c r="E1440" s="9" t="s">
        <v>50</v>
      </c>
      <c r="F1440" s="9" t="s">
        <v>51</v>
      </c>
      <c r="G1440" s="9" t="s">
        <v>70</v>
      </c>
      <c r="H1440" s="11" t="s">
        <v>23</v>
      </c>
      <c r="I1440" s="12" t="n">
        <v>40</v>
      </c>
      <c r="J1440" s="13" t="n">
        <v>500</v>
      </c>
      <c r="K1440" s="14" t="n">
        <f aca="false">I1440*J1440</f>
        <v>20000</v>
      </c>
      <c r="L1440" s="14" t="n">
        <f aca="false">($L$2*M1440)/100</f>
        <v>360499.95</v>
      </c>
      <c r="M1440" s="15" t="n">
        <v>0.3</v>
      </c>
      <c r="N1440" s="9" t="s">
        <v>20</v>
      </c>
    </row>
    <row r="1441" customFormat="false" ht="14.25" hidden="false" customHeight="true" outlineLevel="0" collapsed="false">
      <c r="B1441" s="9" t="s">
        <v>32</v>
      </c>
      <c r="C1441" s="9" t="n">
        <v>1185732</v>
      </c>
      <c r="D1441" s="10" t="n">
        <v>44208</v>
      </c>
      <c r="E1441" s="9" t="s">
        <v>50</v>
      </c>
      <c r="F1441" s="9" t="s">
        <v>51</v>
      </c>
      <c r="G1441" s="9" t="s">
        <v>70</v>
      </c>
      <c r="H1441" s="11" t="s">
        <v>24</v>
      </c>
      <c r="I1441" s="12" t="n">
        <v>55</v>
      </c>
      <c r="J1441" s="13" t="n">
        <v>550</v>
      </c>
      <c r="K1441" s="14" t="n">
        <f aca="false">I1441*J1441</f>
        <v>30250</v>
      </c>
      <c r="L1441" s="14" t="n">
        <f aca="false">($L$2*M1441)/100</f>
        <v>420583.275</v>
      </c>
      <c r="M1441" s="15" t="n">
        <v>0.35</v>
      </c>
      <c r="N1441" s="9" t="s">
        <v>20</v>
      </c>
    </row>
    <row r="1442" customFormat="false" ht="14.25" hidden="false" customHeight="true" outlineLevel="0" collapsed="false">
      <c r="B1442" s="9" t="s">
        <v>32</v>
      </c>
      <c r="C1442" s="9" t="n">
        <v>1185732</v>
      </c>
      <c r="D1442" s="10" t="n">
        <v>44208</v>
      </c>
      <c r="E1442" s="9" t="s">
        <v>50</v>
      </c>
      <c r="F1442" s="9" t="s">
        <v>51</v>
      </c>
      <c r="G1442" s="9" t="s">
        <v>70</v>
      </c>
      <c r="H1442" s="11" t="s">
        <v>25</v>
      </c>
      <c r="I1442" s="12" t="n">
        <v>45</v>
      </c>
      <c r="J1442" s="13" t="n">
        <v>650</v>
      </c>
      <c r="K1442" s="14" t="n">
        <f aca="false">I1442*J1442</f>
        <v>29250</v>
      </c>
      <c r="L1442" s="14" t="n">
        <f aca="false">($L$2*M1442)/100</f>
        <v>600833.25</v>
      </c>
      <c r="M1442" s="15" t="n">
        <v>0.5</v>
      </c>
      <c r="N1442" s="9" t="s">
        <v>20</v>
      </c>
    </row>
    <row r="1443" customFormat="false" ht="14.25" hidden="false" customHeight="true" outlineLevel="0" collapsed="false">
      <c r="B1443" s="9" t="s">
        <v>32</v>
      </c>
      <c r="C1443" s="9" t="n">
        <v>1185732</v>
      </c>
      <c r="D1443" s="10" t="n">
        <v>44237</v>
      </c>
      <c r="E1443" s="9" t="s">
        <v>50</v>
      </c>
      <c r="F1443" s="9" t="s">
        <v>51</v>
      </c>
      <c r="G1443" s="9" t="s">
        <v>70</v>
      </c>
      <c r="H1443" s="11" t="s">
        <v>19</v>
      </c>
      <c r="I1443" s="12" t="n">
        <v>45</v>
      </c>
      <c r="J1443" s="13" t="n">
        <v>900</v>
      </c>
      <c r="K1443" s="14" t="n">
        <f aca="false">I1443*J1443</f>
        <v>40500</v>
      </c>
      <c r="L1443" s="14" t="n">
        <f aca="false">($L$2*M1443)/100</f>
        <v>540749.925</v>
      </c>
      <c r="M1443" s="15" t="n">
        <v>0.45</v>
      </c>
      <c r="N1443" s="9" t="s">
        <v>20</v>
      </c>
    </row>
    <row r="1444" customFormat="false" ht="14.25" hidden="false" customHeight="true" outlineLevel="0" collapsed="false">
      <c r="B1444" s="9" t="s">
        <v>32</v>
      </c>
      <c r="C1444" s="9" t="n">
        <v>1185732</v>
      </c>
      <c r="D1444" s="10" t="n">
        <v>44237</v>
      </c>
      <c r="E1444" s="9" t="s">
        <v>50</v>
      </c>
      <c r="F1444" s="9" t="s">
        <v>51</v>
      </c>
      <c r="G1444" s="9" t="s">
        <v>70</v>
      </c>
      <c r="H1444" s="11" t="s">
        <v>21</v>
      </c>
      <c r="I1444" s="12" t="n">
        <v>45</v>
      </c>
      <c r="J1444" s="13" t="n">
        <v>550</v>
      </c>
      <c r="K1444" s="14" t="n">
        <f aca="false">I1444*J1444</f>
        <v>24750</v>
      </c>
      <c r="L1444" s="14" t="n">
        <f aca="false">($L$2*M1444)/100</f>
        <v>420583.275</v>
      </c>
      <c r="M1444" s="15" t="n">
        <v>0.35</v>
      </c>
      <c r="N1444" s="9" t="s">
        <v>20</v>
      </c>
    </row>
    <row r="1445" customFormat="false" ht="14.25" hidden="false" customHeight="true" outlineLevel="0" collapsed="false">
      <c r="B1445" s="9" t="s">
        <v>32</v>
      </c>
      <c r="C1445" s="9" t="n">
        <v>1185732</v>
      </c>
      <c r="D1445" s="10" t="n">
        <v>44237</v>
      </c>
      <c r="E1445" s="9" t="s">
        <v>50</v>
      </c>
      <c r="F1445" s="9" t="s">
        <v>51</v>
      </c>
      <c r="G1445" s="9" t="s">
        <v>70</v>
      </c>
      <c r="H1445" s="11" t="s">
        <v>22</v>
      </c>
      <c r="I1445" s="12" t="n">
        <v>35</v>
      </c>
      <c r="J1445" s="13" t="n">
        <v>600</v>
      </c>
      <c r="K1445" s="14" t="n">
        <f aca="false">I1445*J1445</f>
        <v>21000</v>
      </c>
      <c r="L1445" s="14" t="n">
        <f aca="false">($L$2*M1445)/100</f>
        <v>300416.625</v>
      </c>
      <c r="M1445" s="15" t="n">
        <v>0.25</v>
      </c>
      <c r="N1445" s="9" t="s">
        <v>20</v>
      </c>
    </row>
    <row r="1446" customFormat="false" ht="14.25" hidden="false" customHeight="true" outlineLevel="0" collapsed="false">
      <c r="B1446" s="9" t="s">
        <v>32</v>
      </c>
      <c r="C1446" s="9" t="n">
        <v>1185732</v>
      </c>
      <c r="D1446" s="10" t="n">
        <v>44237</v>
      </c>
      <c r="E1446" s="9" t="s">
        <v>17</v>
      </c>
      <c r="F1446" s="9" t="s">
        <v>18</v>
      </c>
      <c r="G1446" s="9" t="s">
        <v>71</v>
      </c>
      <c r="H1446" s="11" t="s">
        <v>23</v>
      </c>
      <c r="I1446" s="12" t="n">
        <v>40</v>
      </c>
      <c r="J1446" s="13" t="n">
        <v>475</v>
      </c>
      <c r="K1446" s="14" t="n">
        <f aca="false">I1446*J1446</f>
        <v>19000</v>
      </c>
      <c r="L1446" s="14" t="n">
        <f aca="false">($L$2*M1446)/100</f>
        <v>360499.95</v>
      </c>
      <c r="M1446" s="15" t="n">
        <v>0.3</v>
      </c>
      <c r="N1446" s="9" t="s">
        <v>20</v>
      </c>
    </row>
    <row r="1447" customFormat="false" ht="14.25" hidden="false" customHeight="true" outlineLevel="0" collapsed="false">
      <c r="B1447" s="9" t="s">
        <v>32</v>
      </c>
      <c r="C1447" s="9" t="n">
        <v>1185732</v>
      </c>
      <c r="D1447" s="10" t="n">
        <v>44237</v>
      </c>
      <c r="E1447" s="9" t="s">
        <v>17</v>
      </c>
      <c r="F1447" s="9" t="s">
        <v>18</v>
      </c>
      <c r="G1447" s="9" t="s">
        <v>71</v>
      </c>
      <c r="H1447" s="11" t="s">
        <v>24</v>
      </c>
      <c r="I1447" s="12" t="n">
        <v>55</v>
      </c>
      <c r="J1447" s="13" t="n">
        <v>550</v>
      </c>
      <c r="K1447" s="14" t="n">
        <f aca="false">I1447*J1447</f>
        <v>30250</v>
      </c>
      <c r="L1447" s="14" t="n">
        <f aca="false">($L$2*M1447)/100</f>
        <v>420583.275</v>
      </c>
      <c r="M1447" s="15" t="n">
        <v>0.35</v>
      </c>
      <c r="N1447" s="9" t="s">
        <v>20</v>
      </c>
    </row>
    <row r="1448" customFormat="false" ht="14.25" hidden="false" customHeight="true" outlineLevel="0" collapsed="false">
      <c r="B1448" s="9" t="s">
        <v>32</v>
      </c>
      <c r="C1448" s="9" t="n">
        <v>1185732</v>
      </c>
      <c r="D1448" s="10" t="n">
        <v>44237</v>
      </c>
      <c r="E1448" s="9" t="s">
        <v>17</v>
      </c>
      <c r="F1448" s="9" t="s">
        <v>18</v>
      </c>
      <c r="G1448" s="9" t="s">
        <v>71</v>
      </c>
      <c r="H1448" s="11" t="s">
        <v>25</v>
      </c>
      <c r="I1448" s="12" t="n">
        <v>45</v>
      </c>
      <c r="J1448" s="13" t="n">
        <v>650</v>
      </c>
      <c r="K1448" s="14" t="n">
        <f aca="false">I1448*J1448</f>
        <v>29250</v>
      </c>
      <c r="L1448" s="14" t="n">
        <f aca="false">($L$2*M1448)/100</f>
        <v>600833.25</v>
      </c>
      <c r="M1448" s="15" t="n">
        <v>0.5</v>
      </c>
      <c r="N1448" s="9" t="s">
        <v>20</v>
      </c>
    </row>
    <row r="1449" customFormat="false" ht="14.25" hidden="false" customHeight="true" outlineLevel="0" collapsed="false">
      <c r="B1449" s="9" t="s">
        <v>32</v>
      </c>
      <c r="C1449" s="9" t="n">
        <v>1185732</v>
      </c>
      <c r="D1449" s="10" t="n">
        <v>44263</v>
      </c>
      <c r="E1449" s="9" t="s">
        <v>17</v>
      </c>
      <c r="F1449" s="9" t="s">
        <v>18</v>
      </c>
      <c r="G1449" s="9" t="s">
        <v>71</v>
      </c>
      <c r="H1449" s="11" t="s">
        <v>19</v>
      </c>
      <c r="I1449" s="12" t="n">
        <v>45</v>
      </c>
      <c r="J1449" s="13" t="n">
        <v>870</v>
      </c>
      <c r="K1449" s="14" t="n">
        <f aca="false">I1449*J1449</f>
        <v>39150</v>
      </c>
      <c r="L1449" s="14" t="n">
        <f aca="false">($L$2*M1449)/100</f>
        <v>540749.925</v>
      </c>
      <c r="M1449" s="15" t="n">
        <v>0.45</v>
      </c>
      <c r="N1449" s="9" t="s">
        <v>20</v>
      </c>
    </row>
    <row r="1450" customFormat="false" ht="14.25" hidden="false" customHeight="true" outlineLevel="0" collapsed="false">
      <c r="B1450" s="9" t="s">
        <v>32</v>
      </c>
      <c r="C1450" s="9" t="n">
        <v>1185732</v>
      </c>
      <c r="D1450" s="10" t="n">
        <v>44263</v>
      </c>
      <c r="E1450" s="9" t="s">
        <v>17</v>
      </c>
      <c r="F1450" s="9" t="s">
        <v>18</v>
      </c>
      <c r="G1450" s="9" t="s">
        <v>71</v>
      </c>
      <c r="H1450" s="11" t="s">
        <v>21</v>
      </c>
      <c r="I1450" s="12" t="n">
        <v>45</v>
      </c>
      <c r="J1450" s="13" t="n">
        <v>550</v>
      </c>
      <c r="K1450" s="14" t="n">
        <f aca="false">I1450*J1450</f>
        <v>24750</v>
      </c>
      <c r="L1450" s="14" t="n">
        <f aca="false">($L$2*M1450)/100</f>
        <v>420583.275</v>
      </c>
      <c r="M1450" s="15" t="n">
        <v>0.35</v>
      </c>
      <c r="N1450" s="9" t="s">
        <v>20</v>
      </c>
    </row>
    <row r="1451" customFormat="false" ht="14.25" hidden="false" customHeight="true" outlineLevel="0" collapsed="false">
      <c r="B1451" s="9" t="s">
        <v>32</v>
      </c>
      <c r="C1451" s="9" t="n">
        <v>1185732</v>
      </c>
      <c r="D1451" s="10" t="n">
        <v>44263</v>
      </c>
      <c r="E1451" s="9" t="s">
        <v>17</v>
      </c>
      <c r="F1451" s="9" t="s">
        <v>18</v>
      </c>
      <c r="G1451" s="9" t="s">
        <v>71</v>
      </c>
      <c r="H1451" s="11" t="s">
        <v>22</v>
      </c>
      <c r="I1451" s="12" t="n">
        <v>35</v>
      </c>
      <c r="J1451" s="13" t="n">
        <v>575</v>
      </c>
      <c r="K1451" s="14" t="n">
        <f aca="false">I1451*J1451</f>
        <v>20125</v>
      </c>
      <c r="L1451" s="14" t="n">
        <f aca="false">($L$2*M1451)/100</f>
        <v>300416.625</v>
      </c>
      <c r="M1451" s="15" t="n">
        <v>0.25</v>
      </c>
      <c r="N1451" s="9" t="s">
        <v>20</v>
      </c>
    </row>
    <row r="1452" customFormat="false" ht="14.25" hidden="false" customHeight="true" outlineLevel="0" collapsed="false">
      <c r="B1452" s="9" t="s">
        <v>32</v>
      </c>
      <c r="C1452" s="9" t="n">
        <v>1185732</v>
      </c>
      <c r="D1452" s="10" t="n">
        <v>44263</v>
      </c>
      <c r="E1452" s="9" t="s">
        <v>17</v>
      </c>
      <c r="F1452" s="9" t="s">
        <v>18</v>
      </c>
      <c r="G1452" s="9" t="s">
        <v>71</v>
      </c>
      <c r="H1452" s="11" t="s">
        <v>23</v>
      </c>
      <c r="I1452" s="12" t="n">
        <v>40</v>
      </c>
      <c r="J1452" s="13" t="n">
        <v>425</v>
      </c>
      <c r="K1452" s="14" t="n">
        <f aca="false">I1452*J1452</f>
        <v>17000</v>
      </c>
      <c r="L1452" s="14" t="n">
        <f aca="false">($L$2*M1452)/100</f>
        <v>360499.95</v>
      </c>
      <c r="M1452" s="15" t="n">
        <v>0.3</v>
      </c>
      <c r="N1452" s="9" t="s">
        <v>20</v>
      </c>
    </row>
    <row r="1453" customFormat="false" ht="14.25" hidden="false" customHeight="true" outlineLevel="0" collapsed="false">
      <c r="B1453" s="9" t="s">
        <v>32</v>
      </c>
      <c r="C1453" s="9" t="n">
        <v>1185732</v>
      </c>
      <c r="D1453" s="10" t="n">
        <v>44263</v>
      </c>
      <c r="E1453" s="9" t="s">
        <v>17</v>
      </c>
      <c r="F1453" s="9" t="s">
        <v>18</v>
      </c>
      <c r="G1453" s="9" t="s">
        <v>71</v>
      </c>
      <c r="H1453" s="11" t="s">
        <v>24</v>
      </c>
      <c r="I1453" s="12" t="n">
        <v>55</v>
      </c>
      <c r="J1453" s="13" t="n">
        <v>475</v>
      </c>
      <c r="K1453" s="14" t="n">
        <f aca="false">I1453*J1453</f>
        <v>26125</v>
      </c>
      <c r="L1453" s="14" t="n">
        <f aca="false">($L$2*M1453)/100</f>
        <v>420583.275</v>
      </c>
      <c r="M1453" s="15" t="n">
        <v>0.35</v>
      </c>
      <c r="N1453" s="9" t="s">
        <v>20</v>
      </c>
    </row>
    <row r="1454" customFormat="false" ht="14.25" hidden="false" customHeight="true" outlineLevel="0" collapsed="false">
      <c r="B1454" s="9" t="s">
        <v>32</v>
      </c>
      <c r="C1454" s="9" t="n">
        <v>1185732</v>
      </c>
      <c r="D1454" s="10" t="n">
        <v>44263</v>
      </c>
      <c r="E1454" s="9" t="s">
        <v>17</v>
      </c>
      <c r="F1454" s="9" t="s">
        <v>18</v>
      </c>
      <c r="G1454" s="9" t="s">
        <v>71</v>
      </c>
      <c r="H1454" s="11" t="s">
        <v>25</v>
      </c>
      <c r="I1454" s="12" t="n">
        <v>45</v>
      </c>
      <c r="J1454" s="13" t="n">
        <v>575</v>
      </c>
      <c r="K1454" s="14" t="n">
        <f aca="false">I1454*J1454</f>
        <v>25875</v>
      </c>
      <c r="L1454" s="14" t="n">
        <f aca="false">($L$2*M1454)/100</f>
        <v>600833.25</v>
      </c>
      <c r="M1454" s="15" t="n">
        <v>0.5</v>
      </c>
      <c r="N1454" s="9" t="s">
        <v>20</v>
      </c>
    </row>
    <row r="1455" customFormat="false" ht="14.25" hidden="false" customHeight="true" outlineLevel="0" collapsed="false">
      <c r="B1455" s="9" t="s">
        <v>32</v>
      </c>
      <c r="C1455" s="9" t="n">
        <v>1185732</v>
      </c>
      <c r="D1455" s="10" t="n">
        <v>44295</v>
      </c>
      <c r="E1455" s="9" t="s">
        <v>17</v>
      </c>
      <c r="F1455" s="9" t="s">
        <v>18</v>
      </c>
      <c r="G1455" s="9" t="s">
        <v>71</v>
      </c>
      <c r="H1455" s="11" t="s">
        <v>19</v>
      </c>
      <c r="I1455" s="12" t="n">
        <v>45</v>
      </c>
      <c r="J1455" s="13" t="n">
        <v>825</v>
      </c>
      <c r="K1455" s="14" t="n">
        <f aca="false">I1455*J1455</f>
        <v>37125</v>
      </c>
      <c r="L1455" s="14" t="n">
        <f aca="false">($L$2*M1455)/100</f>
        <v>540749.925</v>
      </c>
      <c r="M1455" s="15" t="n">
        <v>0.45</v>
      </c>
      <c r="N1455" s="9" t="s">
        <v>20</v>
      </c>
    </row>
    <row r="1456" customFormat="false" ht="14.25" hidden="false" customHeight="true" outlineLevel="0" collapsed="false">
      <c r="B1456" s="9" t="s">
        <v>32</v>
      </c>
      <c r="C1456" s="9" t="n">
        <v>1185732</v>
      </c>
      <c r="D1456" s="10" t="n">
        <v>44295</v>
      </c>
      <c r="E1456" s="9" t="s">
        <v>17</v>
      </c>
      <c r="F1456" s="9" t="s">
        <v>18</v>
      </c>
      <c r="G1456" s="9" t="s">
        <v>71</v>
      </c>
      <c r="H1456" s="11" t="s">
        <v>21</v>
      </c>
      <c r="I1456" s="12" t="n">
        <v>45</v>
      </c>
      <c r="J1456" s="13" t="n">
        <v>525</v>
      </c>
      <c r="K1456" s="14" t="n">
        <f aca="false">I1456*J1456</f>
        <v>23625</v>
      </c>
      <c r="L1456" s="14" t="n">
        <f aca="false">($L$2*M1456)/100</f>
        <v>420583.275</v>
      </c>
      <c r="M1456" s="15" t="n">
        <v>0.35</v>
      </c>
      <c r="N1456" s="9" t="s">
        <v>20</v>
      </c>
    </row>
    <row r="1457" customFormat="false" ht="14.25" hidden="false" customHeight="true" outlineLevel="0" collapsed="false">
      <c r="B1457" s="9" t="s">
        <v>32</v>
      </c>
      <c r="C1457" s="9" t="n">
        <v>1185732</v>
      </c>
      <c r="D1457" s="10" t="n">
        <v>44295</v>
      </c>
      <c r="E1457" s="9" t="s">
        <v>17</v>
      </c>
      <c r="F1457" s="9" t="s">
        <v>18</v>
      </c>
      <c r="G1457" s="9" t="s">
        <v>71</v>
      </c>
      <c r="H1457" s="11" t="s">
        <v>22</v>
      </c>
      <c r="I1457" s="12" t="n">
        <v>35</v>
      </c>
      <c r="J1457" s="13" t="n">
        <v>525</v>
      </c>
      <c r="K1457" s="14" t="n">
        <f aca="false">I1457*J1457</f>
        <v>18375</v>
      </c>
      <c r="L1457" s="14" t="n">
        <f aca="false">($L$2*M1457)/100</f>
        <v>300416.625</v>
      </c>
      <c r="M1457" s="15" t="n">
        <v>0.25</v>
      </c>
      <c r="N1457" s="9" t="s">
        <v>20</v>
      </c>
    </row>
    <row r="1458" customFormat="false" ht="14.25" hidden="false" customHeight="true" outlineLevel="0" collapsed="false">
      <c r="B1458" s="9" t="s">
        <v>32</v>
      </c>
      <c r="C1458" s="9" t="n">
        <v>1185732</v>
      </c>
      <c r="D1458" s="10" t="n">
        <v>44295</v>
      </c>
      <c r="E1458" s="9" t="s">
        <v>17</v>
      </c>
      <c r="F1458" s="9" t="s">
        <v>18</v>
      </c>
      <c r="G1458" s="9" t="s">
        <v>71</v>
      </c>
      <c r="H1458" s="11" t="s">
        <v>23</v>
      </c>
      <c r="I1458" s="12" t="n">
        <v>40</v>
      </c>
      <c r="J1458" s="13" t="n">
        <v>450</v>
      </c>
      <c r="K1458" s="14" t="n">
        <f aca="false">I1458*J1458</f>
        <v>18000</v>
      </c>
      <c r="L1458" s="14" t="n">
        <f aca="false">($L$2*M1458)/100</f>
        <v>360499.95</v>
      </c>
      <c r="M1458" s="15" t="n">
        <v>0.3</v>
      </c>
      <c r="N1458" s="9" t="s">
        <v>20</v>
      </c>
    </row>
    <row r="1459" customFormat="false" ht="14.25" hidden="false" customHeight="true" outlineLevel="0" collapsed="false">
      <c r="B1459" s="9" t="s">
        <v>32</v>
      </c>
      <c r="C1459" s="9" t="n">
        <v>1185732</v>
      </c>
      <c r="D1459" s="10" t="n">
        <v>44295</v>
      </c>
      <c r="E1459" s="9" t="s">
        <v>17</v>
      </c>
      <c r="F1459" s="9" t="s">
        <v>18</v>
      </c>
      <c r="G1459" s="9" t="s">
        <v>71</v>
      </c>
      <c r="H1459" s="11" t="s">
        <v>24</v>
      </c>
      <c r="I1459" s="12" t="n">
        <v>55</v>
      </c>
      <c r="J1459" s="13" t="n">
        <v>475</v>
      </c>
      <c r="K1459" s="14" t="n">
        <f aca="false">I1459*J1459</f>
        <v>26125</v>
      </c>
      <c r="L1459" s="14" t="n">
        <f aca="false">($L$2*M1459)/100</f>
        <v>420583.275</v>
      </c>
      <c r="M1459" s="15" t="n">
        <v>0.35</v>
      </c>
      <c r="N1459" s="9" t="s">
        <v>20</v>
      </c>
    </row>
    <row r="1460" customFormat="false" ht="14.25" hidden="false" customHeight="true" outlineLevel="0" collapsed="false">
      <c r="B1460" s="9" t="s">
        <v>32</v>
      </c>
      <c r="C1460" s="9" t="n">
        <v>1185732</v>
      </c>
      <c r="D1460" s="10" t="n">
        <v>44295</v>
      </c>
      <c r="E1460" s="9" t="s">
        <v>17</v>
      </c>
      <c r="F1460" s="9" t="s">
        <v>18</v>
      </c>
      <c r="G1460" s="9" t="s">
        <v>71</v>
      </c>
      <c r="H1460" s="11" t="s">
        <v>25</v>
      </c>
      <c r="I1460" s="12" t="n">
        <v>45</v>
      </c>
      <c r="J1460" s="13" t="n">
        <v>600</v>
      </c>
      <c r="K1460" s="14" t="n">
        <f aca="false">I1460*J1460</f>
        <v>27000</v>
      </c>
      <c r="L1460" s="14" t="n">
        <f aca="false">($L$2*M1460)/100</f>
        <v>600833.25</v>
      </c>
      <c r="M1460" s="15" t="n">
        <v>0.5</v>
      </c>
      <c r="N1460" s="9" t="s">
        <v>20</v>
      </c>
    </row>
    <row r="1461" customFormat="false" ht="14.25" hidden="false" customHeight="true" outlineLevel="0" collapsed="false">
      <c r="B1461" s="9" t="s">
        <v>32</v>
      </c>
      <c r="C1461" s="9" t="n">
        <v>1185732</v>
      </c>
      <c r="D1461" s="10" t="n">
        <v>44324</v>
      </c>
      <c r="E1461" s="9" t="s">
        <v>17</v>
      </c>
      <c r="F1461" s="9" t="s">
        <v>18</v>
      </c>
      <c r="G1461" s="9" t="s">
        <v>71</v>
      </c>
      <c r="H1461" s="11" t="s">
        <v>19</v>
      </c>
      <c r="I1461" s="12" t="n">
        <v>55</v>
      </c>
      <c r="J1461" s="13" t="n">
        <v>870</v>
      </c>
      <c r="K1461" s="14" t="n">
        <f aca="false">I1461*J1461</f>
        <v>47850</v>
      </c>
      <c r="L1461" s="14" t="n">
        <f aca="false">($L$2*M1461)/100</f>
        <v>540749.925</v>
      </c>
      <c r="M1461" s="15" t="n">
        <v>0.45</v>
      </c>
      <c r="N1461" s="9" t="s">
        <v>20</v>
      </c>
    </row>
    <row r="1462" customFormat="false" ht="14.25" hidden="false" customHeight="true" outlineLevel="0" collapsed="false">
      <c r="B1462" s="9" t="s">
        <v>32</v>
      </c>
      <c r="C1462" s="9" t="n">
        <v>1185732</v>
      </c>
      <c r="D1462" s="10" t="n">
        <v>44324</v>
      </c>
      <c r="E1462" s="9" t="s">
        <v>17</v>
      </c>
      <c r="F1462" s="9" t="s">
        <v>18</v>
      </c>
      <c r="G1462" s="9" t="s">
        <v>71</v>
      </c>
      <c r="H1462" s="11" t="s">
        <v>21</v>
      </c>
      <c r="I1462" s="12" t="n">
        <v>55</v>
      </c>
      <c r="J1462" s="13" t="n">
        <v>575</v>
      </c>
      <c r="K1462" s="14" t="n">
        <f aca="false">I1462*J1462</f>
        <v>31625</v>
      </c>
      <c r="L1462" s="14" t="n">
        <f aca="false">($L$2*M1462)/100</f>
        <v>420583.275</v>
      </c>
      <c r="M1462" s="15" t="n">
        <v>0.35</v>
      </c>
      <c r="N1462" s="9" t="s">
        <v>20</v>
      </c>
    </row>
    <row r="1463" customFormat="false" ht="14.25" hidden="false" customHeight="true" outlineLevel="0" collapsed="false">
      <c r="B1463" s="9" t="s">
        <v>32</v>
      </c>
      <c r="C1463" s="9" t="n">
        <v>1185732</v>
      </c>
      <c r="D1463" s="10" t="n">
        <v>44324</v>
      </c>
      <c r="E1463" s="9" t="s">
        <v>17</v>
      </c>
      <c r="F1463" s="9" t="s">
        <v>18</v>
      </c>
      <c r="G1463" s="9" t="s">
        <v>71</v>
      </c>
      <c r="H1463" s="11" t="s">
        <v>22</v>
      </c>
      <c r="I1463" s="12" t="n">
        <v>50</v>
      </c>
      <c r="J1463" s="13" t="n">
        <v>550</v>
      </c>
      <c r="K1463" s="14" t="n">
        <f aca="false">I1463*J1463</f>
        <v>27500</v>
      </c>
      <c r="L1463" s="14" t="n">
        <f aca="false">($L$2*M1463)/100</f>
        <v>300416.625</v>
      </c>
      <c r="M1463" s="15" t="n">
        <v>0.25</v>
      </c>
      <c r="N1463" s="9" t="s">
        <v>20</v>
      </c>
    </row>
    <row r="1464" customFormat="false" ht="14.25" hidden="false" customHeight="true" outlineLevel="0" collapsed="false">
      <c r="B1464" s="9" t="s">
        <v>32</v>
      </c>
      <c r="C1464" s="9" t="n">
        <v>1185732</v>
      </c>
      <c r="D1464" s="10" t="n">
        <v>44324</v>
      </c>
      <c r="E1464" s="9" t="s">
        <v>17</v>
      </c>
      <c r="F1464" s="9" t="s">
        <v>18</v>
      </c>
      <c r="G1464" s="9" t="s">
        <v>71</v>
      </c>
      <c r="H1464" s="11" t="s">
        <v>23</v>
      </c>
      <c r="I1464" s="12" t="n">
        <v>50</v>
      </c>
      <c r="J1464" s="13" t="n">
        <v>500</v>
      </c>
      <c r="K1464" s="14" t="n">
        <f aca="false">I1464*J1464</f>
        <v>25000</v>
      </c>
      <c r="L1464" s="14" t="n">
        <f aca="false">($L$2*M1464)/100</f>
        <v>360499.95</v>
      </c>
      <c r="M1464" s="15" t="n">
        <v>0.3</v>
      </c>
      <c r="N1464" s="9" t="s">
        <v>20</v>
      </c>
    </row>
    <row r="1465" customFormat="false" ht="14.25" hidden="false" customHeight="true" outlineLevel="0" collapsed="false">
      <c r="B1465" s="9" t="s">
        <v>32</v>
      </c>
      <c r="C1465" s="9" t="n">
        <v>1185732</v>
      </c>
      <c r="D1465" s="10" t="n">
        <v>44324</v>
      </c>
      <c r="E1465" s="9" t="s">
        <v>17</v>
      </c>
      <c r="F1465" s="9" t="s">
        <v>18</v>
      </c>
      <c r="G1465" s="9" t="s">
        <v>71</v>
      </c>
      <c r="H1465" s="11" t="s">
        <v>24</v>
      </c>
      <c r="I1465" s="12" t="n">
        <v>60</v>
      </c>
      <c r="J1465" s="13" t="n">
        <v>525</v>
      </c>
      <c r="K1465" s="14" t="n">
        <f aca="false">I1465*J1465</f>
        <v>31500</v>
      </c>
      <c r="L1465" s="14" t="n">
        <f aca="false">($L$2*M1465)/100</f>
        <v>420583.275</v>
      </c>
      <c r="M1465" s="15" t="n">
        <v>0.35</v>
      </c>
      <c r="N1465" s="9" t="s">
        <v>20</v>
      </c>
    </row>
    <row r="1466" customFormat="false" ht="14.25" hidden="false" customHeight="true" outlineLevel="0" collapsed="false">
      <c r="B1466" s="9" t="s">
        <v>32</v>
      </c>
      <c r="C1466" s="9" t="n">
        <v>1185732</v>
      </c>
      <c r="D1466" s="10" t="n">
        <v>44324</v>
      </c>
      <c r="E1466" s="9" t="s">
        <v>17</v>
      </c>
      <c r="F1466" s="9" t="s">
        <v>18</v>
      </c>
      <c r="G1466" s="9" t="s">
        <v>71</v>
      </c>
      <c r="H1466" s="11" t="s">
        <v>25</v>
      </c>
      <c r="I1466" s="12" t="n">
        <v>65</v>
      </c>
      <c r="J1466" s="13" t="n">
        <v>625</v>
      </c>
      <c r="K1466" s="14" t="n">
        <f aca="false">I1466*J1466</f>
        <v>40625</v>
      </c>
      <c r="L1466" s="14" t="n">
        <f aca="false">($L$2*M1466)/100</f>
        <v>600833.25</v>
      </c>
      <c r="M1466" s="15" t="n">
        <v>0.5</v>
      </c>
      <c r="N1466" s="9" t="s">
        <v>20</v>
      </c>
    </row>
    <row r="1467" customFormat="false" ht="14.25" hidden="false" customHeight="true" outlineLevel="0" collapsed="false">
      <c r="B1467" s="9" t="s">
        <v>32</v>
      </c>
      <c r="C1467" s="9" t="n">
        <v>1185732</v>
      </c>
      <c r="D1467" s="10" t="n">
        <v>44357</v>
      </c>
      <c r="E1467" s="9" t="s">
        <v>17</v>
      </c>
      <c r="F1467" s="9" t="s">
        <v>18</v>
      </c>
      <c r="G1467" s="9" t="s">
        <v>71</v>
      </c>
      <c r="H1467" s="11" t="s">
        <v>19</v>
      </c>
      <c r="I1467" s="12" t="n">
        <v>60</v>
      </c>
      <c r="J1467" s="13" t="n">
        <v>875</v>
      </c>
      <c r="K1467" s="14" t="n">
        <f aca="false">I1467*J1467</f>
        <v>52500</v>
      </c>
      <c r="L1467" s="14" t="n">
        <f aca="false">($L$2*M1467)/100</f>
        <v>540749.925</v>
      </c>
      <c r="M1467" s="15" t="n">
        <v>0.45</v>
      </c>
      <c r="N1467" s="9" t="s">
        <v>20</v>
      </c>
    </row>
    <row r="1468" customFormat="false" ht="14.25" hidden="false" customHeight="true" outlineLevel="0" collapsed="false">
      <c r="B1468" s="9" t="s">
        <v>32</v>
      </c>
      <c r="C1468" s="9" t="n">
        <v>1185732</v>
      </c>
      <c r="D1468" s="10" t="n">
        <v>44357</v>
      </c>
      <c r="E1468" s="9" t="s">
        <v>17</v>
      </c>
      <c r="F1468" s="9" t="s">
        <v>18</v>
      </c>
      <c r="G1468" s="9" t="s">
        <v>71</v>
      </c>
      <c r="H1468" s="11" t="s">
        <v>21</v>
      </c>
      <c r="I1468" s="12" t="n">
        <v>55</v>
      </c>
      <c r="J1468" s="13" t="n">
        <v>625</v>
      </c>
      <c r="K1468" s="14" t="n">
        <f aca="false">I1468*J1468</f>
        <v>34375</v>
      </c>
      <c r="L1468" s="14" t="n">
        <f aca="false">($L$2*M1468)/100</f>
        <v>420583.275</v>
      </c>
      <c r="M1468" s="15" t="n">
        <v>0.35</v>
      </c>
      <c r="N1468" s="9" t="s">
        <v>20</v>
      </c>
    </row>
    <row r="1469" customFormat="false" ht="14.25" hidden="false" customHeight="true" outlineLevel="0" collapsed="false">
      <c r="B1469" s="9" t="s">
        <v>32</v>
      </c>
      <c r="C1469" s="9" t="n">
        <v>1185732</v>
      </c>
      <c r="D1469" s="10" t="n">
        <v>44357</v>
      </c>
      <c r="E1469" s="9" t="s">
        <v>17</v>
      </c>
      <c r="F1469" s="9" t="s">
        <v>18</v>
      </c>
      <c r="G1469" s="9" t="s">
        <v>71</v>
      </c>
      <c r="H1469" s="11" t="s">
        <v>22</v>
      </c>
      <c r="I1469" s="12" t="n">
        <v>50</v>
      </c>
      <c r="J1469" s="13" t="n">
        <v>600</v>
      </c>
      <c r="K1469" s="14" t="n">
        <f aca="false">I1469*J1469</f>
        <v>30000</v>
      </c>
      <c r="L1469" s="14" t="n">
        <f aca="false">($L$2*M1469)/100</f>
        <v>300416.625</v>
      </c>
      <c r="M1469" s="15" t="n">
        <v>0.25</v>
      </c>
      <c r="N1469" s="9" t="s">
        <v>20</v>
      </c>
    </row>
    <row r="1470" customFormat="false" ht="14.25" hidden="false" customHeight="true" outlineLevel="0" collapsed="false">
      <c r="B1470" s="9" t="s">
        <v>32</v>
      </c>
      <c r="C1470" s="9" t="n">
        <v>1185732</v>
      </c>
      <c r="D1470" s="10" t="n">
        <v>44357</v>
      </c>
      <c r="E1470" s="9" t="s">
        <v>17</v>
      </c>
      <c r="F1470" s="9" t="s">
        <v>18</v>
      </c>
      <c r="G1470" s="9" t="s">
        <v>71</v>
      </c>
      <c r="H1470" s="11" t="s">
        <v>23</v>
      </c>
      <c r="I1470" s="12" t="n">
        <v>50</v>
      </c>
      <c r="J1470" s="13" t="n">
        <v>575</v>
      </c>
      <c r="K1470" s="14" t="n">
        <f aca="false">I1470*J1470</f>
        <v>28750</v>
      </c>
      <c r="L1470" s="14" t="n">
        <f aca="false">($L$2*M1470)/100</f>
        <v>360499.95</v>
      </c>
      <c r="M1470" s="15" t="n">
        <v>0.3</v>
      </c>
      <c r="N1470" s="9" t="s">
        <v>20</v>
      </c>
    </row>
    <row r="1471" customFormat="false" ht="14.25" hidden="false" customHeight="true" outlineLevel="0" collapsed="false">
      <c r="B1471" s="9" t="s">
        <v>32</v>
      </c>
      <c r="C1471" s="9" t="n">
        <v>1185732</v>
      </c>
      <c r="D1471" s="10" t="n">
        <v>44357</v>
      </c>
      <c r="E1471" s="9" t="s">
        <v>17</v>
      </c>
      <c r="F1471" s="9" t="s">
        <v>18</v>
      </c>
      <c r="G1471" s="9" t="s">
        <v>71</v>
      </c>
      <c r="H1471" s="11" t="s">
        <v>24</v>
      </c>
      <c r="I1471" s="12" t="n">
        <v>65</v>
      </c>
      <c r="J1471" s="13" t="n">
        <v>575</v>
      </c>
      <c r="K1471" s="14" t="n">
        <f aca="false">I1471*J1471</f>
        <v>37375</v>
      </c>
      <c r="L1471" s="14" t="n">
        <f aca="false">($L$2*M1471)/100</f>
        <v>420583.275</v>
      </c>
      <c r="M1471" s="15" t="n">
        <v>0.35</v>
      </c>
      <c r="N1471" s="9" t="s">
        <v>20</v>
      </c>
    </row>
    <row r="1472" customFormat="false" ht="14.25" hidden="false" customHeight="true" outlineLevel="0" collapsed="false">
      <c r="B1472" s="9" t="s">
        <v>32</v>
      </c>
      <c r="C1472" s="9" t="n">
        <v>1185732</v>
      </c>
      <c r="D1472" s="10" t="n">
        <v>44357</v>
      </c>
      <c r="E1472" s="9" t="s">
        <v>17</v>
      </c>
      <c r="F1472" s="9" t="s">
        <v>18</v>
      </c>
      <c r="G1472" s="9" t="s">
        <v>71</v>
      </c>
      <c r="H1472" s="11" t="s">
        <v>25</v>
      </c>
      <c r="I1472" s="12" t="n">
        <v>70</v>
      </c>
      <c r="J1472" s="13" t="n">
        <v>725</v>
      </c>
      <c r="K1472" s="14" t="n">
        <f aca="false">I1472*J1472</f>
        <v>50750</v>
      </c>
      <c r="L1472" s="14" t="n">
        <f aca="false">($L$2*M1472)/100</f>
        <v>600833.25</v>
      </c>
      <c r="M1472" s="15" t="n">
        <v>0.5</v>
      </c>
      <c r="N1472" s="9" t="s">
        <v>20</v>
      </c>
    </row>
    <row r="1473" customFormat="false" ht="14.25" hidden="false" customHeight="true" outlineLevel="0" collapsed="false">
      <c r="B1473" s="9" t="s">
        <v>32</v>
      </c>
      <c r="C1473" s="9" t="n">
        <v>1185732</v>
      </c>
      <c r="D1473" s="10" t="n">
        <v>44385</v>
      </c>
      <c r="E1473" s="9" t="s">
        <v>17</v>
      </c>
      <c r="F1473" s="9" t="s">
        <v>18</v>
      </c>
      <c r="G1473" s="9" t="s">
        <v>71</v>
      </c>
      <c r="H1473" s="11" t="s">
        <v>19</v>
      </c>
      <c r="I1473" s="12" t="n">
        <v>65</v>
      </c>
      <c r="J1473" s="13" t="n">
        <v>950</v>
      </c>
      <c r="K1473" s="14" t="n">
        <f aca="false">I1473*J1473</f>
        <v>61750</v>
      </c>
      <c r="L1473" s="14" t="n">
        <f aca="false">($L$2*M1473)/100</f>
        <v>540749.925</v>
      </c>
      <c r="M1473" s="15" t="n">
        <v>0.45</v>
      </c>
      <c r="N1473" s="9" t="s">
        <v>20</v>
      </c>
    </row>
    <row r="1474" customFormat="false" ht="14.25" hidden="false" customHeight="true" outlineLevel="0" collapsed="false">
      <c r="B1474" s="9" t="s">
        <v>32</v>
      </c>
      <c r="C1474" s="9" t="n">
        <v>1185732</v>
      </c>
      <c r="D1474" s="10" t="n">
        <v>44385</v>
      </c>
      <c r="E1474" s="9" t="s">
        <v>17</v>
      </c>
      <c r="F1474" s="9" t="s">
        <v>18</v>
      </c>
      <c r="G1474" s="9" t="s">
        <v>71</v>
      </c>
      <c r="H1474" s="11" t="s">
        <v>21</v>
      </c>
      <c r="I1474" s="12" t="n">
        <v>60</v>
      </c>
      <c r="J1474" s="13" t="n">
        <v>700</v>
      </c>
      <c r="K1474" s="14" t="n">
        <f aca="false">I1474*J1474</f>
        <v>42000</v>
      </c>
      <c r="L1474" s="14" t="n">
        <f aca="false">($L$2*M1474)/100</f>
        <v>420583.275</v>
      </c>
      <c r="M1474" s="15" t="n">
        <v>0.35</v>
      </c>
      <c r="N1474" s="9" t="s">
        <v>20</v>
      </c>
    </row>
    <row r="1475" customFormat="false" ht="14.25" hidden="false" customHeight="true" outlineLevel="0" collapsed="false">
      <c r="B1475" s="9" t="s">
        <v>32</v>
      </c>
      <c r="C1475" s="9" t="n">
        <v>1185732</v>
      </c>
      <c r="D1475" s="10" t="n">
        <v>44385</v>
      </c>
      <c r="E1475" s="9" t="s">
        <v>17</v>
      </c>
      <c r="F1475" s="9" t="s">
        <v>18</v>
      </c>
      <c r="G1475" s="9" t="s">
        <v>71</v>
      </c>
      <c r="H1475" s="11" t="s">
        <v>22</v>
      </c>
      <c r="I1475" s="12" t="n">
        <v>55</v>
      </c>
      <c r="J1475" s="13" t="n">
        <v>625</v>
      </c>
      <c r="K1475" s="14" t="n">
        <f aca="false">I1475*J1475</f>
        <v>34375</v>
      </c>
      <c r="L1475" s="14" t="n">
        <f aca="false">($L$2*M1475)/100</f>
        <v>300416.625</v>
      </c>
      <c r="M1475" s="15" t="n">
        <v>0.25</v>
      </c>
      <c r="N1475" s="9" t="s">
        <v>20</v>
      </c>
    </row>
    <row r="1476" customFormat="false" ht="14.25" hidden="false" customHeight="true" outlineLevel="0" collapsed="false">
      <c r="B1476" s="9" t="s">
        <v>32</v>
      </c>
      <c r="C1476" s="9" t="n">
        <v>1185732</v>
      </c>
      <c r="D1476" s="10" t="n">
        <v>44385</v>
      </c>
      <c r="E1476" s="9" t="s">
        <v>17</v>
      </c>
      <c r="F1476" s="9" t="s">
        <v>18</v>
      </c>
      <c r="G1476" s="9" t="s">
        <v>71</v>
      </c>
      <c r="H1476" s="11" t="s">
        <v>23</v>
      </c>
      <c r="I1476" s="12" t="n">
        <v>55</v>
      </c>
      <c r="J1476" s="13" t="n">
        <v>575</v>
      </c>
      <c r="K1476" s="14" t="n">
        <f aca="false">I1476*J1476</f>
        <v>31625</v>
      </c>
      <c r="L1476" s="14" t="n">
        <f aca="false">($L$2*M1476)/100</f>
        <v>360499.95</v>
      </c>
      <c r="M1476" s="15" t="n">
        <v>0.3</v>
      </c>
      <c r="N1476" s="9" t="s">
        <v>20</v>
      </c>
    </row>
    <row r="1477" customFormat="false" ht="14.25" hidden="false" customHeight="true" outlineLevel="0" collapsed="false">
      <c r="B1477" s="9" t="s">
        <v>32</v>
      </c>
      <c r="C1477" s="9" t="n">
        <v>1185732</v>
      </c>
      <c r="D1477" s="10" t="n">
        <v>44385</v>
      </c>
      <c r="E1477" s="9" t="s">
        <v>17</v>
      </c>
      <c r="F1477" s="9" t="s">
        <v>18</v>
      </c>
      <c r="G1477" s="9" t="s">
        <v>71</v>
      </c>
      <c r="H1477" s="11" t="s">
        <v>24</v>
      </c>
      <c r="I1477" s="12" t="n">
        <v>65</v>
      </c>
      <c r="J1477" s="13" t="n">
        <v>600</v>
      </c>
      <c r="K1477" s="14" t="n">
        <f aca="false">I1477*J1477</f>
        <v>39000</v>
      </c>
      <c r="L1477" s="14" t="n">
        <f aca="false">($L$2*M1477)/100</f>
        <v>420583.275</v>
      </c>
      <c r="M1477" s="15" t="n">
        <v>0.35</v>
      </c>
      <c r="N1477" s="9" t="s">
        <v>20</v>
      </c>
    </row>
    <row r="1478" customFormat="false" ht="14.25" hidden="false" customHeight="true" outlineLevel="0" collapsed="false">
      <c r="B1478" s="9" t="s">
        <v>32</v>
      </c>
      <c r="C1478" s="9" t="n">
        <v>1185732</v>
      </c>
      <c r="D1478" s="10" t="n">
        <v>44385</v>
      </c>
      <c r="E1478" s="9" t="s">
        <v>17</v>
      </c>
      <c r="F1478" s="9" t="s">
        <v>18</v>
      </c>
      <c r="G1478" s="9" t="s">
        <v>71</v>
      </c>
      <c r="H1478" s="11" t="s">
        <v>25</v>
      </c>
      <c r="I1478" s="12" t="n">
        <v>70</v>
      </c>
      <c r="J1478" s="13" t="n">
        <v>775</v>
      </c>
      <c r="K1478" s="14" t="n">
        <f aca="false">I1478*J1478</f>
        <v>54250</v>
      </c>
      <c r="L1478" s="14" t="n">
        <f aca="false">($L$2*M1478)/100</f>
        <v>600833.25</v>
      </c>
      <c r="M1478" s="15" t="n">
        <v>0.5</v>
      </c>
      <c r="N1478" s="9" t="s">
        <v>20</v>
      </c>
    </row>
    <row r="1479" customFormat="false" ht="14.25" hidden="false" customHeight="true" outlineLevel="0" collapsed="false">
      <c r="B1479" s="9" t="s">
        <v>32</v>
      </c>
      <c r="C1479" s="9" t="n">
        <v>1185732</v>
      </c>
      <c r="D1479" s="10" t="n">
        <v>44417</v>
      </c>
      <c r="E1479" s="9" t="s">
        <v>17</v>
      </c>
      <c r="F1479" s="9" t="s">
        <v>18</v>
      </c>
      <c r="G1479" s="9" t="s">
        <v>71</v>
      </c>
      <c r="H1479" s="11" t="s">
        <v>19</v>
      </c>
      <c r="I1479" s="12" t="n">
        <v>65</v>
      </c>
      <c r="J1479" s="13" t="n">
        <v>925</v>
      </c>
      <c r="K1479" s="14" t="n">
        <f aca="false">I1479*J1479</f>
        <v>60125</v>
      </c>
      <c r="L1479" s="14" t="n">
        <f aca="false">($L$2*M1479)/100</f>
        <v>540749.925</v>
      </c>
      <c r="M1479" s="15" t="n">
        <v>0.45</v>
      </c>
      <c r="N1479" s="9" t="s">
        <v>20</v>
      </c>
    </row>
    <row r="1480" customFormat="false" ht="14.25" hidden="false" customHeight="true" outlineLevel="0" collapsed="false">
      <c r="B1480" s="9" t="s">
        <v>32</v>
      </c>
      <c r="C1480" s="9" t="n">
        <v>1185732</v>
      </c>
      <c r="D1480" s="10" t="n">
        <v>44417</v>
      </c>
      <c r="E1480" s="9" t="s">
        <v>17</v>
      </c>
      <c r="F1480" s="9" t="s">
        <v>18</v>
      </c>
      <c r="G1480" s="9" t="s">
        <v>71</v>
      </c>
      <c r="H1480" s="11" t="s">
        <v>21</v>
      </c>
      <c r="I1480" s="12" t="n">
        <v>60</v>
      </c>
      <c r="J1480" s="13" t="n">
        <v>700</v>
      </c>
      <c r="K1480" s="14" t="n">
        <f aca="false">I1480*J1480</f>
        <v>42000</v>
      </c>
      <c r="L1480" s="14" t="n">
        <f aca="false">($L$2*M1480)/100</f>
        <v>420583.275</v>
      </c>
      <c r="M1480" s="15" t="n">
        <v>0.35</v>
      </c>
      <c r="N1480" s="9" t="s">
        <v>20</v>
      </c>
    </row>
    <row r="1481" customFormat="false" ht="14.25" hidden="false" customHeight="true" outlineLevel="0" collapsed="false">
      <c r="B1481" s="9" t="s">
        <v>32</v>
      </c>
      <c r="C1481" s="9" t="n">
        <v>1185732</v>
      </c>
      <c r="D1481" s="10" t="n">
        <v>44417</v>
      </c>
      <c r="E1481" s="9" t="s">
        <v>17</v>
      </c>
      <c r="F1481" s="9" t="s">
        <v>18</v>
      </c>
      <c r="G1481" s="9" t="s">
        <v>71</v>
      </c>
      <c r="H1481" s="11" t="s">
        <v>22</v>
      </c>
      <c r="I1481" s="12" t="n">
        <v>55</v>
      </c>
      <c r="J1481" s="13" t="n">
        <v>625</v>
      </c>
      <c r="K1481" s="14" t="n">
        <f aca="false">I1481*J1481</f>
        <v>34375</v>
      </c>
      <c r="L1481" s="14" t="n">
        <f aca="false">($L$2*M1481)/100</f>
        <v>300416.625</v>
      </c>
      <c r="M1481" s="15" t="n">
        <v>0.25</v>
      </c>
      <c r="N1481" s="9" t="s">
        <v>20</v>
      </c>
    </row>
    <row r="1482" customFormat="false" ht="14.25" hidden="false" customHeight="true" outlineLevel="0" collapsed="false">
      <c r="B1482" s="9" t="s">
        <v>32</v>
      </c>
      <c r="C1482" s="9" t="n">
        <v>1185732</v>
      </c>
      <c r="D1482" s="10" t="n">
        <v>44417</v>
      </c>
      <c r="E1482" s="9" t="s">
        <v>17</v>
      </c>
      <c r="F1482" s="9" t="s">
        <v>18</v>
      </c>
      <c r="G1482" s="9" t="s">
        <v>71</v>
      </c>
      <c r="H1482" s="11" t="s">
        <v>23</v>
      </c>
      <c r="I1482" s="12" t="n">
        <v>45</v>
      </c>
      <c r="J1482" s="13" t="n">
        <v>575</v>
      </c>
      <c r="K1482" s="14" t="n">
        <f aca="false">I1482*J1482</f>
        <v>25875</v>
      </c>
      <c r="L1482" s="14" t="n">
        <f aca="false">($L$2*M1482)/100</f>
        <v>360499.95</v>
      </c>
      <c r="M1482" s="15" t="n">
        <v>0.3</v>
      </c>
      <c r="N1482" s="9" t="s">
        <v>20</v>
      </c>
    </row>
    <row r="1483" customFormat="false" ht="14.25" hidden="false" customHeight="true" outlineLevel="0" collapsed="false">
      <c r="B1483" s="9" t="s">
        <v>32</v>
      </c>
      <c r="C1483" s="9" t="n">
        <v>1185732</v>
      </c>
      <c r="D1483" s="10" t="n">
        <v>44417</v>
      </c>
      <c r="E1483" s="9" t="s">
        <v>17</v>
      </c>
      <c r="F1483" s="9" t="s">
        <v>18</v>
      </c>
      <c r="G1483" s="9" t="s">
        <v>71</v>
      </c>
      <c r="H1483" s="11" t="s">
        <v>24</v>
      </c>
      <c r="I1483" s="12" t="n">
        <v>55</v>
      </c>
      <c r="J1483" s="13" t="n">
        <v>550</v>
      </c>
      <c r="K1483" s="14" t="n">
        <f aca="false">I1483*J1483</f>
        <v>30250</v>
      </c>
      <c r="L1483" s="14" t="n">
        <f aca="false">($L$2*M1483)/100</f>
        <v>420583.275</v>
      </c>
      <c r="M1483" s="15" t="n">
        <v>0.35</v>
      </c>
      <c r="N1483" s="9" t="s">
        <v>20</v>
      </c>
    </row>
    <row r="1484" customFormat="false" ht="14.25" hidden="false" customHeight="true" outlineLevel="0" collapsed="false">
      <c r="B1484" s="9" t="s">
        <v>32</v>
      </c>
      <c r="C1484" s="9" t="n">
        <v>1185732</v>
      </c>
      <c r="D1484" s="10" t="n">
        <v>44417</v>
      </c>
      <c r="E1484" s="9" t="s">
        <v>17</v>
      </c>
      <c r="F1484" s="9" t="s">
        <v>18</v>
      </c>
      <c r="G1484" s="9" t="s">
        <v>71</v>
      </c>
      <c r="H1484" s="11" t="s">
        <v>25</v>
      </c>
      <c r="I1484" s="12" t="n">
        <v>60</v>
      </c>
      <c r="J1484" s="13" t="n">
        <v>725</v>
      </c>
      <c r="K1484" s="14" t="n">
        <f aca="false">I1484*J1484</f>
        <v>43500</v>
      </c>
      <c r="L1484" s="14" t="n">
        <f aca="false">($L$2*M1484)/100</f>
        <v>600833.25</v>
      </c>
      <c r="M1484" s="15" t="n">
        <v>0.5</v>
      </c>
      <c r="N1484" s="9" t="s">
        <v>20</v>
      </c>
    </row>
    <row r="1485" customFormat="false" ht="14.25" hidden="false" customHeight="true" outlineLevel="0" collapsed="false">
      <c r="B1485" s="9" t="s">
        <v>32</v>
      </c>
      <c r="C1485" s="9" t="n">
        <v>1185732</v>
      </c>
      <c r="D1485" s="10" t="n">
        <v>44447</v>
      </c>
      <c r="E1485" s="9" t="s">
        <v>17</v>
      </c>
      <c r="F1485" s="9" t="s">
        <v>18</v>
      </c>
      <c r="G1485" s="9" t="s">
        <v>71</v>
      </c>
      <c r="H1485" s="11" t="s">
        <v>19</v>
      </c>
      <c r="I1485" s="12" t="n">
        <v>55</v>
      </c>
      <c r="J1485" s="13" t="n">
        <v>850</v>
      </c>
      <c r="K1485" s="14" t="n">
        <f aca="false">I1485*J1485</f>
        <v>46750</v>
      </c>
      <c r="L1485" s="14" t="n">
        <f aca="false">($L$2*M1485)/100</f>
        <v>540749.925</v>
      </c>
      <c r="M1485" s="15" t="n">
        <v>0.45</v>
      </c>
      <c r="N1485" s="9" t="s">
        <v>20</v>
      </c>
    </row>
    <row r="1486" customFormat="false" ht="14.25" hidden="false" customHeight="true" outlineLevel="0" collapsed="false">
      <c r="B1486" s="9" t="s">
        <v>32</v>
      </c>
      <c r="C1486" s="9" t="n">
        <v>1185732</v>
      </c>
      <c r="D1486" s="10" t="n">
        <v>44447</v>
      </c>
      <c r="E1486" s="9" t="s">
        <v>17</v>
      </c>
      <c r="F1486" s="9" t="s">
        <v>18</v>
      </c>
      <c r="G1486" s="9" t="s">
        <v>71</v>
      </c>
      <c r="H1486" s="11" t="s">
        <v>21</v>
      </c>
      <c r="I1486" s="12" t="n">
        <v>50</v>
      </c>
      <c r="J1486" s="13" t="n">
        <v>650</v>
      </c>
      <c r="K1486" s="14" t="n">
        <f aca="false">I1486*J1486</f>
        <v>32500</v>
      </c>
      <c r="L1486" s="14" t="n">
        <f aca="false">($L$2*M1486)/100</f>
        <v>420583.275</v>
      </c>
      <c r="M1486" s="15" t="n">
        <v>0.35</v>
      </c>
      <c r="N1486" s="9" t="s">
        <v>20</v>
      </c>
    </row>
    <row r="1487" customFormat="false" ht="14.25" hidden="false" customHeight="true" outlineLevel="0" collapsed="false">
      <c r="B1487" s="9" t="s">
        <v>32</v>
      </c>
      <c r="C1487" s="9" t="n">
        <v>1185732</v>
      </c>
      <c r="D1487" s="10" t="n">
        <v>44447</v>
      </c>
      <c r="E1487" s="9" t="s">
        <v>17</v>
      </c>
      <c r="F1487" s="9" t="s">
        <v>18</v>
      </c>
      <c r="G1487" s="9" t="s">
        <v>71</v>
      </c>
      <c r="H1487" s="11" t="s">
        <v>22</v>
      </c>
      <c r="I1487" s="12" t="n">
        <v>45</v>
      </c>
      <c r="J1487" s="13" t="n">
        <v>550</v>
      </c>
      <c r="K1487" s="14" t="n">
        <f aca="false">I1487*J1487</f>
        <v>24750</v>
      </c>
      <c r="L1487" s="14" t="n">
        <f aca="false">($L$2*M1487)/100</f>
        <v>300416.625</v>
      </c>
      <c r="M1487" s="15" t="n">
        <v>0.25</v>
      </c>
      <c r="N1487" s="9" t="s">
        <v>20</v>
      </c>
    </row>
    <row r="1488" customFormat="false" ht="14.25" hidden="false" customHeight="true" outlineLevel="0" collapsed="false">
      <c r="B1488" s="9" t="s">
        <v>32</v>
      </c>
      <c r="C1488" s="9" t="n">
        <v>1185732</v>
      </c>
      <c r="D1488" s="10" t="n">
        <v>44447</v>
      </c>
      <c r="E1488" s="9" t="s">
        <v>17</v>
      </c>
      <c r="F1488" s="9" t="s">
        <v>18</v>
      </c>
      <c r="G1488" s="9" t="s">
        <v>71</v>
      </c>
      <c r="H1488" s="11" t="s">
        <v>23</v>
      </c>
      <c r="I1488" s="12" t="n">
        <v>45</v>
      </c>
      <c r="J1488" s="13" t="n">
        <v>525</v>
      </c>
      <c r="K1488" s="14" t="n">
        <f aca="false">I1488*J1488</f>
        <v>23625</v>
      </c>
      <c r="L1488" s="14" t="n">
        <f aca="false">($L$2*M1488)/100</f>
        <v>360499.95</v>
      </c>
      <c r="M1488" s="15" t="n">
        <v>0.3</v>
      </c>
      <c r="N1488" s="9" t="s">
        <v>20</v>
      </c>
    </row>
    <row r="1489" customFormat="false" ht="14.25" hidden="false" customHeight="true" outlineLevel="0" collapsed="false">
      <c r="B1489" s="9" t="s">
        <v>32</v>
      </c>
      <c r="C1489" s="9" t="n">
        <v>1185732</v>
      </c>
      <c r="D1489" s="10" t="n">
        <v>44447</v>
      </c>
      <c r="E1489" s="9" t="s">
        <v>17</v>
      </c>
      <c r="F1489" s="9" t="s">
        <v>18</v>
      </c>
      <c r="G1489" s="9" t="s">
        <v>71</v>
      </c>
      <c r="H1489" s="11" t="s">
        <v>24</v>
      </c>
      <c r="I1489" s="12" t="n">
        <v>55</v>
      </c>
      <c r="J1489" s="13" t="n">
        <v>525</v>
      </c>
      <c r="K1489" s="14" t="n">
        <f aca="false">I1489*J1489</f>
        <v>28875</v>
      </c>
      <c r="L1489" s="14" t="n">
        <f aca="false">($L$2*M1489)/100</f>
        <v>420583.275</v>
      </c>
      <c r="M1489" s="15" t="n">
        <v>0.35</v>
      </c>
      <c r="N1489" s="9" t="s">
        <v>20</v>
      </c>
    </row>
    <row r="1490" customFormat="false" ht="14.25" hidden="false" customHeight="true" outlineLevel="0" collapsed="false">
      <c r="B1490" s="9" t="s">
        <v>32</v>
      </c>
      <c r="C1490" s="9" t="n">
        <v>1185732</v>
      </c>
      <c r="D1490" s="10" t="n">
        <v>44447</v>
      </c>
      <c r="E1490" s="9" t="s">
        <v>17</v>
      </c>
      <c r="F1490" s="9" t="s">
        <v>18</v>
      </c>
      <c r="G1490" s="9" t="s">
        <v>71</v>
      </c>
      <c r="H1490" s="11" t="s">
        <v>25</v>
      </c>
      <c r="I1490" s="12" t="n">
        <v>60</v>
      </c>
      <c r="J1490" s="13" t="n">
        <v>625</v>
      </c>
      <c r="K1490" s="14" t="n">
        <f aca="false">I1490*J1490</f>
        <v>37500</v>
      </c>
      <c r="L1490" s="14" t="n">
        <f aca="false">($L$2*M1490)/100</f>
        <v>600833.25</v>
      </c>
      <c r="M1490" s="15" t="n">
        <v>0.5</v>
      </c>
      <c r="N1490" s="9" t="s">
        <v>20</v>
      </c>
    </row>
    <row r="1491" customFormat="false" ht="14.25" hidden="false" customHeight="true" outlineLevel="0" collapsed="false">
      <c r="B1491" s="9" t="s">
        <v>32</v>
      </c>
      <c r="C1491" s="9" t="n">
        <v>1185732</v>
      </c>
      <c r="D1491" s="10" t="n">
        <v>44479</v>
      </c>
      <c r="E1491" s="9" t="s">
        <v>17</v>
      </c>
      <c r="F1491" s="9" t="s">
        <v>18</v>
      </c>
      <c r="G1491" s="9" t="s">
        <v>71</v>
      </c>
      <c r="H1491" s="11" t="s">
        <v>19</v>
      </c>
      <c r="I1491" s="12" t="n">
        <v>60</v>
      </c>
      <c r="J1491" s="13" t="n">
        <v>800</v>
      </c>
      <c r="K1491" s="14" t="n">
        <f aca="false">I1491*J1491</f>
        <v>48000</v>
      </c>
      <c r="L1491" s="14" t="n">
        <f aca="false">($L$2*M1491)/100</f>
        <v>540749.925</v>
      </c>
      <c r="M1491" s="15" t="n">
        <v>0.45</v>
      </c>
      <c r="N1491" s="9" t="s">
        <v>20</v>
      </c>
    </row>
    <row r="1492" customFormat="false" ht="14.25" hidden="false" customHeight="true" outlineLevel="0" collapsed="false">
      <c r="B1492" s="9" t="s">
        <v>32</v>
      </c>
      <c r="C1492" s="9" t="n">
        <v>1185732</v>
      </c>
      <c r="D1492" s="10" t="n">
        <v>44479</v>
      </c>
      <c r="E1492" s="9" t="s">
        <v>17</v>
      </c>
      <c r="F1492" s="9" t="s">
        <v>18</v>
      </c>
      <c r="G1492" s="9" t="s">
        <v>71</v>
      </c>
      <c r="H1492" s="11" t="s">
        <v>21</v>
      </c>
      <c r="I1492" s="12" t="n">
        <v>50</v>
      </c>
      <c r="J1492" s="13" t="n">
        <v>625</v>
      </c>
      <c r="K1492" s="14" t="n">
        <f aca="false">I1492*J1492</f>
        <v>31250</v>
      </c>
      <c r="L1492" s="14" t="n">
        <f aca="false">($L$2*M1492)/100</f>
        <v>420583.275</v>
      </c>
      <c r="M1492" s="15" t="n">
        <v>0.35</v>
      </c>
      <c r="N1492" s="9" t="s">
        <v>20</v>
      </c>
    </row>
    <row r="1493" customFormat="false" ht="14.25" hidden="false" customHeight="true" outlineLevel="0" collapsed="false">
      <c r="B1493" s="9" t="s">
        <v>32</v>
      </c>
      <c r="C1493" s="9" t="n">
        <v>1185732</v>
      </c>
      <c r="D1493" s="10" t="n">
        <v>44479</v>
      </c>
      <c r="E1493" s="9" t="s">
        <v>17</v>
      </c>
      <c r="F1493" s="9" t="s">
        <v>18</v>
      </c>
      <c r="G1493" s="9" t="s">
        <v>71</v>
      </c>
      <c r="H1493" s="11" t="s">
        <v>22</v>
      </c>
      <c r="I1493" s="12" t="n">
        <v>50</v>
      </c>
      <c r="J1493" s="13" t="n">
        <v>525</v>
      </c>
      <c r="K1493" s="14" t="n">
        <f aca="false">I1493*J1493</f>
        <v>26250</v>
      </c>
      <c r="L1493" s="14" t="n">
        <f aca="false">($L$2*M1493)/100</f>
        <v>300416.625</v>
      </c>
      <c r="M1493" s="15" t="n">
        <v>0.25</v>
      </c>
      <c r="N1493" s="9" t="s">
        <v>20</v>
      </c>
    </row>
    <row r="1494" customFormat="false" ht="14.25" hidden="false" customHeight="true" outlineLevel="0" collapsed="false">
      <c r="B1494" s="9" t="s">
        <v>32</v>
      </c>
      <c r="C1494" s="9" t="n">
        <v>1185732</v>
      </c>
      <c r="D1494" s="10" t="n">
        <v>44479</v>
      </c>
      <c r="E1494" s="9" t="s">
        <v>17</v>
      </c>
      <c r="F1494" s="9" t="s">
        <v>18</v>
      </c>
      <c r="G1494" s="9" t="s">
        <v>71</v>
      </c>
      <c r="H1494" s="11" t="s">
        <v>23</v>
      </c>
      <c r="I1494" s="12" t="n">
        <v>50</v>
      </c>
      <c r="J1494" s="13" t="n">
        <v>500</v>
      </c>
      <c r="K1494" s="14" t="n">
        <f aca="false">I1494*J1494</f>
        <v>25000</v>
      </c>
      <c r="L1494" s="14" t="n">
        <f aca="false">($L$2*M1494)/100</f>
        <v>360499.95</v>
      </c>
      <c r="M1494" s="15" t="n">
        <v>0.3</v>
      </c>
      <c r="N1494" s="9" t="s">
        <v>20</v>
      </c>
    </row>
    <row r="1495" customFormat="false" ht="14.25" hidden="false" customHeight="true" outlineLevel="0" collapsed="false">
      <c r="B1495" s="9" t="s">
        <v>32</v>
      </c>
      <c r="C1495" s="9" t="n">
        <v>1185732</v>
      </c>
      <c r="D1495" s="10" t="n">
        <v>44479</v>
      </c>
      <c r="E1495" s="9" t="s">
        <v>17</v>
      </c>
      <c r="F1495" s="9" t="s">
        <v>18</v>
      </c>
      <c r="G1495" s="9" t="s">
        <v>71</v>
      </c>
      <c r="H1495" s="11" t="s">
        <v>24</v>
      </c>
      <c r="I1495" s="12" t="n">
        <v>60</v>
      </c>
      <c r="J1495" s="13" t="n">
        <v>500</v>
      </c>
      <c r="K1495" s="14" t="n">
        <f aca="false">I1495*J1495</f>
        <v>30000</v>
      </c>
      <c r="L1495" s="14" t="n">
        <f aca="false">($L$2*M1495)/100</f>
        <v>420583.275</v>
      </c>
      <c r="M1495" s="15" t="n">
        <v>0.35</v>
      </c>
      <c r="N1495" s="9" t="s">
        <v>20</v>
      </c>
    </row>
    <row r="1496" customFormat="false" ht="14.25" hidden="false" customHeight="true" outlineLevel="0" collapsed="false">
      <c r="B1496" s="9" t="s">
        <v>32</v>
      </c>
      <c r="C1496" s="9" t="n">
        <v>1185732</v>
      </c>
      <c r="D1496" s="10" t="n">
        <v>44479</v>
      </c>
      <c r="E1496" s="9" t="s">
        <v>17</v>
      </c>
      <c r="F1496" s="9" t="s">
        <v>18</v>
      </c>
      <c r="G1496" s="9" t="s">
        <v>71</v>
      </c>
      <c r="H1496" s="11" t="s">
        <v>25</v>
      </c>
      <c r="I1496" s="12" t="n">
        <v>65</v>
      </c>
      <c r="J1496" s="13" t="n">
        <v>625</v>
      </c>
      <c r="K1496" s="14" t="n">
        <f aca="false">I1496*J1496</f>
        <v>40625</v>
      </c>
      <c r="L1496" s="14" t="n">
        <f aca="false">($L$2*M1496)/100</f>
        <v>600833.25</v>
      </c>
      <c r="M1496" s="15" t="n">
        <v>0.5</v>
      </c>
      <c r="N1496" s="9" t="s">
        <v>20</v>
      </c>
    </row>
    <row r="1497" customFormat="false" ht="14.25" hidden="false" customHeight="true" outlineLevel="0" collapsed="false">
      <c r="B1497" s="9" t="s">
        <v>32</v>
      </c>
      <c r="C1497" s="9" t="n">
        <v>1185732</v>
      </c>
      <c r="D1497" s="10" t="n">
        <v>44509</v>
      </c>
      <c r="E1497" s="9" t="s">
        <v>17</v>
      </c>
      <c r="F1497" s="9" t="s">
        <v>18</v>
      </c>
      <c r="G1497" s="9" t="s">
        <v>71</v>
      </c>
      <c r="H1497" s="11" t="s">
        <v>19</v>
      </c>
      <c r="I1497" s="12" t="n">
        <v>60</v>
      </c>
      <c r="J1497" s="13" t="n">
        <v>775</v>
      </c>
      <c r="K1497" s="14" t="n">
        <f aca="false">I1497*J1497</f>
        <v>46500</v>
      </c>
      <c r="L1497" s="14" t="n">
        <f aca="false">($L$2*M1497)/100</f>
        <v>540749.925</v>
      </c>
      <c r="M1497" s="15" t="n">
        <v>0.45</v>
      </c>
      <c r="N1497" s="9" t="s">
        <v>20</v>
      </c>
    </row>
    <row r="1498" customFormat="false" ht="14.25" hidden="false" customHeight="true" outlineLevel="0" collapsed="false">
      <c r="B1498" s="9" t="s">
        <v>32</v>
      </c>
      <c r="C1498" s="9" t="n">
        <v>1185732</v>
      </c>
      <c r="D1498" s="10" t="n">
        <v>44509</v>
      </c>
      <c r="E1498" s="9" t="s">
        <v>17</v>
      </c>
      <c r="F1498" s="9" t="s">
        <v>18</v>
      </c>
      <c r="G1498" s="9" t="s">
        <v>71</v>
      </c>
      <c r="H1498" s="11" t="s">
        <v>21</v>
      </c>
      <c r="I1498" s="12" t="n">
        <v>50</v>
      </c>
      <c r="J1498" s="13" t="n">
        <v>600</v>
      </c>
      <c r="K1498" s="14" t="n">
        <f aca="false">I1498*J1498</f>
        <v>30000</v>
      </c>
      <c r="L1498" s="14" t="n">
        <f aca="false">($L$2*M1498)/100</f>
        <v>420583.275</v>
      </c>
      <c r="M1498" s="15" t="n">
        <v>0.35</v>
      </c>
      <c r="N1498" s="9" t="s">
        <v>20</v>
      </c>
    </row>
    <row r="1499" customFormat="false" ht="14.25" hidden="false" customHeight="true" outlineLevel="0" collapsed="false">
      <c r="B1499" s="9" t="s">
        <v>32</v>
      </c>
      <c r="C1499" s="9" t="n">
        <v>1185732</v>
      </c>
      <c r="D1499" s="10" t="n">
        <v>44509</v>
      </c>
      <c r="E1499" s="9" t="s">
        <v>17</v>
      </c>
      <c r="F1499" s="9" t="s">
        <v>18</v>
      </c>
      <c r="G1499" s="9" t="s">
        <v>71</v>
      </c>
      <c r="H1499" s="11" t="s">
        <v>22</v>
      </c>
      <c r="I1499" s="12" t="n">
        <v>50</v>
      </c>
      <c r="J1499" s="13" t="n">
        <v>545</v>
      </c>
      <c r="K1499" s="14" t="n">
        <f aca="false">I1499*J1499</f>
        <v>27250</v>
      </c>
      <c r="L1499" s="14" t="n">
        <f aca="false">($L$2*M1499)/100</f>
        <v>300416.625</v>
      </c>
      <c r="M1499" s="15" t="n">
        <v>0.25</v>
      </c>
      <c r="N1499" s="9" t="s">
        <v>20</v>
      </c>
    </row>
    <row r="1500" customFormat="false" ht="14.25" hidden="false" customHeight="true" outlineLevel="0" collapsed="false">
      <c r="B1500" s="9" t="s">
        <v>32</v>
      </c>
      <c r="C1500" s="9" t="n">
        <v>1185732</v>
      </c>
      <c r="D1500" s="10" t="n">
        <v>44509</v>
      </c>
      <c r="E1500" s="9" t="s">
        <v>17</v>
      </c>
      <c r="F1500" s="9" t="s">
        <v>18</v>
      </c>
      <c r="G1500" s="9" t="s">
        <v>71</v>
      </c>
      <c r="H1500" s="11" t="s">
        <v>23</v>
      </c>
      <c r="I1500" s="12" t="n">
        <v>50</v>
      </c>
      <c r="J1500" s="13" t="n">
        <v>575</v>
      </c>
      <c r="K1500" s="14" t="n">
        <f aca="false">I1500*J1500</f>
        <v>28750</v>
      </c>
      <c r="L1500" s="14" t="n">
        <f aca="false">($L$2*M1500)/100</f>
        <v>360499.95</v>
      </c>
      <c r="M1500" s="15" t="n">
        <v>0.3</v>
      </c>
      <c r="N1500" s="9" t="s">
        <v>20</v>
      </c>
    </row>
    <row r="1501" customFormat="false" ht="14.25" hidden="false" customHeight="true" outlineLevel="0" collapsed="false">
      <c r="B1501" s="9" t="s">
        <v>32</v>
      </c>
      <c r="C1501" s="9" t="n">
        <v>1185732</v>
      </c>
      <c r="D1501" s="10" t="n">
        <v>44509</v>
      </c>
      <c r="E1501" s="9" t="s">
        <v>17</v>
      </c>
      <c r="F1501" s="9" t="s">
        <v>18</v>
      </c>
      <c r="G1501" s="9" t="s">
        <v>71</v>
      </c>
      <c r="H1501" s="11" t="s">
        <v>24</v>
      </c>
      <c r="I1501" s="12" t="n">
        <v>65</v>
      </c>
      <c r="J1501" s="13" t="n">
        <v>550</v>
      </c>
      <c r="K1501" s="14" t="n">
        <f aca="false">I1501*J1501</f>
        <v>35750</v>
      </c>
      <c r="L1501" s="14" t="n">
        <f aca="false">($L$2*M1501)/100</f>
        <v>420583.275</v>
      </c>
      <c r="M1501" s="15" t="n">
        <v>0.35</v>
      </c>
      <c r="N1501" s="9" t="s">
        <v>20</v>
      </c>
    </row>
    <row r="1502" customFormat="false" ht="14.25" hidden="false" customHeight="true" outlineLevel="0" collapsed="false">
      <c r="B1502" s="9" t="s">
        <v>32</v>
      </c>
      <c r="C1502" s="9" t="n">
        <v>1185732</v>
      </c>
      <c r="D1502" s="10" t="n">
        <v>44509</v>
      </c>
      <c r="E1502" s="9" t="s">
        <v>17</v>
      </c>
      <c r="F1502" s="9" t="s">
        <v>18</v>
      </c>
      <c r="G1502" s="9" t="s">
        <v>71</v>
      </c>
      <c r="H1502" s="11" t="s">
        <v>25</v>
      </c>
      <c r="I1502" s="12" t="n">
        <v>70</v>
      </c>
      <c r="J1502" s="13" t="n">
        <v>650</v>
      </c>
      <c r="K1502" s="14" t="n">
        <f aca="false">I1502*J1502</f>
        <v>45500</v>
      </c>
      <c r="L1502" s="14" t="n">
        <f aca="false">($L$2*M1502)/100</f>
        <v>600833.25</v>
      </c>
      <c r="M1502" s="15" t="n">
        <v>0.5</v>
      </c>
      <c r="N1502" s="9" t="s">
        <v>20</v>
      </c>
    </row>
    <row r="1503" customFormat="false" ht="14.25" hidden="false" customHeight="true" outlineLevel="0" collapsed="false">
      <c r="B1503" s="9" t="s">
        <v>32</v>
      </c>
      <c r="C1503" s="9" t="n">
        <v>1185732</v>
      </c>
      <c r="D1503" s="10" t="n">
        <v>44538</v>
      </c>
      <c r="E1503" s="9" t="s">
        <v>17</v>
      </c>
      <c r="F1503" s="9" t="s">
        <v>18</v>
      </c>
      <c r="G1503" s="9" t="s">
        <v>71</v>
      </c>
      <c r="H1503" s="11" t="s">
        <v>19</v>
      </c>
      <c r="I1503" s="12" t="n">
        <v>65</v>
      </c>
      <c r="J1503" s="13" t="n">
        <v>875</v>
      </c>
      <c r="K1503" s="14" t="n">
        <f aca="false">I1503*J1503</f>
        <v>56875</v>
      </c>
      <c r="L1503" s="14" t="n">
        <f aca="false">($L$2*M1503)/100</f>
        <v>540749.925</v>
      </c>
      <c r="M1503" s="15" t="n">
        <v>0.45</v>
      </c>
      <c r="N1503" s="9" t="s">
        <v>20</v>
      </c>
    </row>
    <row r="1504" customFormat="false" ht="14.25" hidden="false" customHeight="true" outlineLevel="0" collapsed="false">
      <c r="B1504" s="9" t="s">
        <v>32</v>
      </c>
      <c r="C1504" s="9" t="n">
        <v>1185732</v>
      </c>
      <c r="D1504" s="10" t="n">
        <v>44538</v>
      </c>
      <c r="E1504" s="9" t="s">
        <v>17</v>
      </c>
      <c r="F1504" s="9" t="s">
        <v>18</v>
      </c>
      <c r="G1504" s="9" t="s">
        <v>71</v>
      </c>
      <c r="H1504" s="11" t="s">
        <v>21</v>
      </c>
      <c r="I1504" s="12" t="n">
        <v>55</v>
      </c>
      <c r="J1504" s="13" t="n">
        <v>675</v>
      </c>
      <c r="K1504" s="14" t="n">
        <f aca="false">I1504*J1504</f>
        <v>37125</v>
      </c>
      <c r="L1504" s="14" t="n">
        <f aca="false">($L$2*M1504)/100</f>
        <v>420583.275</v>
      </c>
      <c r="M1504" s="15" t="n">
        <v>0.35</v>
      </c>
      <c r="N1504" s="9" t="s">
        <v>20</v>
      </c>
    </row>
    <row r="1505" customFormat="false" ht="14.25" hidden="false" customHeight="true" outlineLevel="0" collapsed="false">
      <c r="B1505" s="9" t="s">
        <v>36</v>
      </c>
      <c r="C1505" s="9" t="n">
        <v>1185732</v>
      </c>
      <c r="D1505" s="10" t="n">
        <v>44538</v>
      </c>
      <c r="E1505" s="9" t="s">
        <v>17</v>
      </c>
      <c r="F1505" s="9" t="s">
        <v>18</v>
      </c>
      <c r="G1505" s="9" t="s">
        <v>71</v>
      </c>
      <c r="H1505" s="11" t="s">
        <v>22</v>
      </c>
      <c r="I1505" s="12" t="n">
        <v>55</v>
      </c>
      <c r="J1505" s="13" t="n">
        <v>625</v>
      </c>
      <c r="K1505" s="14" t="n">
        <f aca="false">I1505*J1505</f>
        <v>34375</v>
      </c>
      <c r="L1505" s="14" t="n">
        <f aca="false">($L$2*M1505)/100</f>
        <v>300416.625</v>
      </c>
      <c r="M1505" s="15" t="n">
        <v>0.25</v>
      </c>
      <c r="N1505" s="9" t="s">
        <v>20</v>
      </c>
    </row>
    <row r="1506" customFormat="false" ht="14.25" hidden="false" customHeight="true" outlineLevel="0" collapsed="false">
      <c r="B1506" s="9" t="s">
        <v>36</v>
      </c>
      <c r="C1506" s="9" t="n">
        <v>1185732</v>
      </c>
      <c r="D1506" s="10" t="n">
        <v>44538</v>
      </c>
      <c r="E1506" s="9" t="s">
        <v>17</v>
      </c>
      <c r="F1506" s="9" t="s">
        <v>18</v>
      </c>
      <c r="G1506" s="9" t="s">
        <v>71</v>
      </c>
      <c r="H1506" s="11" t="s">
        <v>23</v>
      </c>
      <c r="I1506" s="12" t="n">
        <v>55</v>
      </c>
      <c r="J1506" s="13" t="n">
        <v>575</v>
      </c>
      <c r="K1506" s="14" t="n">
        <f aca="false">I1506*J1506</f>
        <v>31625</v>
      </c>
      <c r="L1506" s="14" t="n">
        <f aca="false">($L$2*M1506)/100</f>
        <v>360499.95</v>
      </c>
      <c r="M1506" s="15" t="n">
        <v>0.3</v>
      </c>
      <c r="N1506" s="9" t="s">
        <v>20</v>
      </c>
    </row>
    <row r="1507" customFormat="false" ht="14.25" hidden="false" customHeight="true" outlineLevel="0" collapsed="false">
      <c r="B1507" s="9" t="s">
        <v>36</v>
      </c>
      <c r="C1507" s="9" t="n">
        <v>1185732</v>
      </c>
      <c r="D1507" s="10" t="n">
        <v>44538</v>
      </c>
      <c r="E1507" s="9" t="s">
        <v>17</v>
      </c>
      <c r="F1507" s="9" t="s">
        <v>18</v>
      </c>
      <c r="G1507" s="9" t="s">
        <v>71</v>
      </c>
      <c r="H1507" s="11" t="s">
        <v>24</v>
      </c>
      <c r="I1507" s="12" t="n">
        <v>65</v>
      </c>
      <c r="J1507" s="13" t="n">
        <v>575</v>
      </c>
      <c r="K1507" s="14" t="n">
        <f aca="false">I1507*J1507</f>
        <v>37375</v>
      </c>
      <c r="L1507" s="14" t="n">
        <f aca="false">($L$2*M1507)/100</f>
        <v>420583.275</v>
      </c>
      <c r="M1507" s="15" t="n">
        <v>0.35</v>
      </c>
      <c r="N1507" s="9" t="s">
        <v>20</v>
      </c>
    </row>
    <row r="1508" customFormat="false" ht="14.25" hidden="false" customHeight="true" outlineLevel="0" collapsed="false">
      <c r="B1508" s="9" t="s">
        <v>36</v>
      </c>
      <c r="C1508" s="9" t="n">
        <v>1185732</v>
      </c>
      <c r="D1508" s="10" t="n">
        <v>44538</v>
      </c>
      <c r="E1508" s="9" t="s">
        <v>17</v>
      </c>
      <c r="F1508" s="9" t="s">
        <v>18</v>
      </c>
      <c r="G1508" s="9" t="s">
        <v>71</v>
      </c>
      <c r="H1508" s="11" t="s">
        <v>25</v>
      </c>
      <c r="I1508" s="12" t="n">
        <v>70</v>
      </c>
      <c r="J1508" s="13" t="n">
        <v>675</v>
      </c>
      <c r="K1508" s="14" t="n">
        <f aca="false">I1508*J1508</f>
        <v>47250</v>
      </c>
      <c r="L1508" s="14" t="n">
        <f aca="false">($L$2*M1508)/100</f>
        <v>600833.25</v>
      </c>
      <c r="M1508" s="15" t="n">
        <v>0.5</v>
      </c>
      <c r="N1508" s="9" t="s">
        <v>20</v>
      </c>
    </row>
    <row r="1509" customFormat="false" ht="14.25" hidden="false" customHeight="true" outlineLevel="0" collapsed="false">
      <c r="B1509" s="9" t="s">
        <v>36</v>
      </c>
      <c r="C1509" s="9" t="n">
        <v>1185732</v>
      </c>
      <c r="D1509" s="10" t="n">
        <v>44210</v>
      </c>
      <c r="E1509" s="9" t="s">
        <v>17</v>
      </c>
      <c r="F1509" s="9" t="s">
        <v>18</v>
      </c>
      <c r="G1509" s="9" t="s">
        <v>71</v>
      </c>
      <c r="H1509" s="11" t="s">
        <v>19</v>
      </c>
      <c r="I1509" s="12" t="n">
        <v>40</v>
      </c>
      <c r="J1509" s="13" t="n">
        <v>800</v>
      </c>
      <c r="K1509" s="14" t="n">
        <f aca="false">I1509*J1509</f>
        <v>32000</v>
      </c>
      <c r="L1509" s="14" t="n">
        <f aca="false">($L$2*M1509)/100</f>
        <v>600833.25</v>
      </c>
      <c r="M1509" s="15" t="n">
        <v>0.5</v>
      </c>
      <c r="N1509" s="9" t="s">
        <v>20</v>
      </c>
    </row>
    <row r="1510" customFormat="false" ht="14.25" hidden="false" customHeight="true" outlineLevel="0" collapsed="false">
      <c r="B1510" s="9" t="s">
        <v>36</v>
      </c>
      <c r="C1510" s="9" t="n">
        <v>1185732</v>
      </c>
      <c r="D1510" s="10" t="n">
        <v>44210</v>
      </c>
      <c r="E1510" s="9" t="s">
        <v>17</v>
      </c>
      <c r="F1510" s="9" t="s">
        <v>18</v>
      </c>
      <c r="G1510" s="9" t="s">
        <v>71</v>
      </c>
      <c r="H1510" s="11" t="s">
        <v>21</v>
      </c>
      <c r="I1510" s="12" t="n">
        <v>40</v>
      </c>
      <c r="J1510" s="13" t="n">
        <v>600</v>
      </c>
      <c r="K1510" s="14" t="n">
        <f aca="false">I1510*J1510</f>
        <v>24000</v>
      </c>
      <c r="L1510" s="14" t="n">
        <f aca="false">($L$2*M1510)/100</f>
        <v>360499.95</v>
      </c>
      <c r="M1510" s="15" t="n">
        <v>0.3</v>
      </c>
      <c r="N1510" s="9" t="s">
        <v>20</v>
      </c>
    </row>
    <row r="1511" customFormat="false" ht="14.25" hidden="false" customHeight="true" outlineLevel="0" collapsed="false">
      <c r="B1511" s="9" t="s">
        <v>36</v>
      </c>
      <c r="C1511" s="9" t="n">
        <v>1185732</v>
      </c>
      <c r="D1511" s="10" t="n">
        <v>44210</v>
      </c>
      <c r="E1511" s="9" t="s">
        <v>17</v>
      </c>
      <c r="F1511" s="9" t="s">
        <v>18</v>
      </c>
      <c r="G1511" s="9" t="s">
        <v>71</v>
      </c>
      <c r="H1511" s="11" t="s">
        <v>22</v>
      </c>
      <c r="I1511" s="12" t="n">
        <v>30</v>
      </c>
      <c r="J1511" s="13" t="n">
        <v>600</v>
      </c>
      <c r="K1511" s="14" t="n">
        <f aca="false">I1511*J1511</f>
        <v>18000</v>
      </c>
      <c r="L1511" s="14" t="n">
        <f aca="false">($L$2*M1511)/100</f>
        <v>420583.275</v>
      </c>
      <c r="M1511" s="15" t="n">
        <v>0.35</v>
      </c>
      <c r="N1511" s="9" t="s">
        <v>20</v>
      </c>
    </row>
    <row r="1512" customFormat="false" ht="14.25" hidden="false" customHeight="true" outlineLevel="0" collapsed="false">
      <c r="B1512" s="9" t="s">
        <v>36</v>
      </c>
      <c r="C1512" s="9" t="n">
        <v>1185732</v>
      </c>
      <c r="D1512" s="10" t="n">
        <v>44210</v>
      </c>
      <c r="E1512" s="9" t="s">
        <v>17</v>
      </c>
      <c r="F1512" s="9" t="s">
        <v>18</v>
      </c>
      <c r="G1512" s="9" t="s">
        <v>71</v>
      </c>
      <c r="H1512" s="11" t="s">
        <v>23</v>
      </c>
      <c r="I1512" s="12" t="n">
        <v>35</v>
      </c>
      <c r="J1512" s="13" t="n">
        <v>450</v>
      </c>
      <c r="K1512" s="14" t="n">
        <f aca="false">I1512*J1512</f>
        <v>15750</v>
      </c>
      <c r="L1512" s="14" t="n">
        <f aca="false">($L$2*M1512)/100</f>
        <v>420583.275</v>
      </c>
      <c r="M1512" s="15" t="n">
        <v>0.35</v>
      </c>
      <c r="N1512" s="9" t="s">
        <v>20</v>
      </c>
    </row>
    <row r="1513" customFormat="false" ht="14.25" hidden="false" customHeight="true" outlineLevel="0" collapsed="false">
      <c r="B1513" s="9" t="s">
        <v>36</v>
      </c>
      <c r="C1513" s="9" t="n">
        <v>1185732</v>
      </c>
      <c r="D1513" s="10" t="n">
        <v>44210</v>
      </c>
      <c r="E1513" s="9" t="s">
        <v>17</v>
      </c>
      <c r="F1513" s="9" t="s">
        <v>18</v>
      </c>
      <c r="G1513" s="9" t="s">
        <v>71</v>
      </c>
      <c r="H1513" s="11" t="s">
        <v>24</v>
      </c>
      <c r="I1513" s="12" t="n">
        <v>50</v>
      </c>
      <c r="J1513" s="13" t="n">
        <v>500</v>
      </c>
      <c r="K1513" s="14" t="n">
        <f aca="false">I1513*J1513</f>
        <v>25000</v>
      </c>
      <c r="L1513" s="14" t="n">
        <f aca="false">($L$2*M1513)/100</f>
        <v>360499.95</v>
      </c>
      <c r="M1513" s="15" t="n">
        <v>0.3</v>
      </c>
      <c r="N1513" s="9" t="s">
        <v>20</v>
      </c>
    </row>
    <row r="1514" customFormat="false" ht="14.25" hidden="false" customHeight="true" outlineLevel="0" collapsed="false">
      <c r="B1514" s="9" t="s">
        <v>36</v>
      </c>
      <c r="C1514" s="9" t="n">
        <v>1185732</v>
      </c>
      <c r="D1514" s="10" t="n">
        <v>44210</v>
      </c>
      <c r="E1514" s="9" t="s">
        <v>17</v>
      </c>
      <c r="F1514" s="9" t="s">
        <v>18</v>
      </c>
      <c r="G1514" s="9" t="s">
        <v>71</v>
      </c>
      <c r="H1514" s="11" t="s">
        <v>25</v>
      </c>
      <c r="I1514" s="12" t="n">
        <v>40</v>
      </c>
      <c r="J1514" s="13" t="n">
        <v>600</v>
      </c>
      <c r="K1514" s="14" t="n">
        <f aca="false">I1514*J1514</f>
        <v>24000</v>
      </c>
      <c r="L1514" s="14" t="n">
        <f aca="false">($L$2*M1514)/100</f>
        <v>300416.625</v>
      </c>
      <c r="M1514" s="15" t="n">
        <v>0.25</v>
      </c>
      <c r="N1514" s="9" t="s">
        <v>20</v>
      </c>
    </row>
    <row r="1515" customFormat="false" ht="14.25" hidden="false" customHeight="true" outlineLevel="0" collapsed="false">
      <c r="B1515" s="9" t="s">
        <v>36</v>
      </c>
      <c r="C1515" s="9" t="n">
        <v>1185732</v>
      </c>
      <c r="D1515" s="10" t="n">
        <v>44239</v>
      </c>
      <c r="E1515" s="9" t="s">
        <v>17</v>
      </c>
      <c r="F1515" s="9" t="s">
        <v>18</v>
      </c>
      <c r="G1515" s="9" t="s">
        <v>71</v>
      </c>
      <c r="H1515" s="11" t="s">
        <v>19</v>
      </c>
      <c r="I1515" s="12" t="n">
        <v>40</v>
      </c>
      <c r="J1515" s="13" t="n">
        <v>850</v>
      </c>
      <c r="K1515" s="14" t="n">
        <f aca="false">I1515*J1515</f>
        <v>34000</v>
      </c>
      <c r="L1515" s="14" t="n">
        <f aca="false">($L$2*M1515)/100</f>
        <v>600833.25</v>
      </c>
      <c r="M1515" s="15" t="n">
        <v>0.5</v>
      </c>
      <c r="N1515" s="9" t="s">
        <v>20</v>
      </c>
    </row>
    <row r="1516" customFormat="false" ht="14.25" hidden="false" customHeight="true" outlineLevel="0" collapsed="false">
      <c r="B1516" s="9" t="s">
        <v>36</v>
      </c>
      <c r="C1516" s="9" t="n">
        <v>1185732</v>
      </c>
      <c r="D1516" s="10" t="n">
        <v>44239</v>
      </c>
      <c r="E1516" s="9" t="s">
        <v>17</v>
      </c>
      <c r="F1516" s="9" t="s">
        <v>18</v>
      </c>
      <c r="G1516" s="9" t="s">
        <v>71</v>
      </c>
      <c r="H1516" s="11" t="s">
        <v>21</v>
      </c>
      <c r="I1516" s="12" t="n">
        <v>40</v>
      </c>
      <c r="J1516" s="13" t="n">
        <v>500</v>
      </c>
      <c r="K1516" s="14" t="n">
        <f aca="false">I1516*J1516</f>
        <v>20000</v>
      </c>
      <c r="L1516" s="14" t="n">
        <f aca="false">($L$2*M1516)/100</f>
        <v>360499.95</v>
      </c>
      <c r="M1516" s="15" t="n">
        <v>0.3</v>
      </c>
      <c r="N1516" s="9" t="s">
        <v>20</v>
      </c>
    </row>
    <row r="1517" customFormat="false" ht="14.25" hidden="false" customHeight="true" outlineLevel="0" collapsed="false">
      <c r="B1517" s="9" t="s">
        <v>36</v>
      </c>
      <c r="C1517" s="9" t="n">
        <v>1185732</v>
      </c>
      <c r="D1517" s="10" t="n">
        <v>44239</v>
      </c>
      <c r="E1517" s="9" t="s">
        <v>17</v>
      </c>
      <c r="F1517" s="9" t="s">
        <v>18</v>
      </c>
      <c r="G1517" s="9" t="s">
        <v>71</v>
      </c>
      <c r="H1517" s="11" t="s">
        <v>22</v>
      </c>
      <c r="I1517" s="12" t="n">
        <v>30</v>
      </c>
      <c r="J1517" s="13" t="n">
        <v>550</v>
      </c>
      <c r="K1517" s="14" t="n">
        <f aca="false">I1517*J1517</f>
        <v>16500</v>
      </c>
      <c r="L1517" s="14" t="n">
        <f aca="false">($L$2*M1517)/100</f>
        <v>420583.275</v>
      </c>
      <c r="M1517" s="15" t="n">
        <v>0.35</v>
      </c>
      <c r="N1517" s="9" t="s">
        <v>20</v>
      </c>
    </row>
    <row r="1518" customFormat="false" ht="14.25" hidden="false" customHeight="true" outlineLevel="0" collapsed="false">
      <c r="B1518" s="9" t="s">
        <v>36</v>
      </c>
      <c r="C1518" s="9" t="n">
        <v>1185732</v>
      </c>
      <c r="D1518" s="10" t="n">
        <v>44239</v>
      </c>
      <c r="E1518" s="9" t="s">
        <v>33</v>
      </c>
      <c r="F1518" s="9" t="s">
        <v>72</v>
      </c>
      <c r="G1518" s="9" t="s">
        <v>73</v>
      </c>
      <c r="H1518" s="11" t="s">
        <v>23</v>
      </c>
      <c r="I1518" s="12" t="n">
        <v>35</v>
      </c>
      <c r="J1518" s="13" t="n">
        <v>425</v>
      </c>
      <c r="K1518" s="14" t="n">
        <f aca="false">I1518*J1518</f>
        <v>14875</v>
      </c>
      <c r="L1518" s="14" t="n">
        <f aca="false">($L$2*M1518)/100</f>
        <v>420583.275</v>
      </c>
      <c r="M1518" s="15" t="n">
        <v>0.35</v>
      </c>
      <c r="N1518" s="9" t="s">
        <v>20</v>
      </c>
    </row>
    <row r="1519" customFormat="false" ht="14.25" hidden="false" customHeight="true" outlineLevel="0" collapsed="false">
      <c r="B1519" s="9" t="s">
        <v>36</v>
      </c>
      <c r="C1519" s="9" t="n">
        <v>1185732</v>
      </c>
      <c r="D1519" s="10" t="n">
        <v>44239</v>
      </c>
      <c r="E1519" s="9" t="s">
        <v>33</v>
      </c>
      <c r="F1519" s="9" t="s">
        <v>72</v>
      </c>
      <c r="G1519" s="9" t="s">
        <v>73</v>
      </c>
      <c r="H1519" s="11" t="s">
        <v>24</v>
      </c>
      <c r="I1519" s="12" t="n">
        <v>50</v>
      </c>
      <c r="J1519" s="13" t="n">
        <v>500</v>
      </c>
      <c r="K1519" s="14" t="n">
        <f aca="false">I1519*J1519</f>
        <v>25000</v>
      </c>
      <c r="L1519" s="14" t="n">
        <f aca="false">($L$2*M1519)/100</f>
        <v>360499.95</v>
      </c>
      <c r="M1519" s="15" t="n">
        <v>0.3</v>
      </c>
      <c r="N1519" s="9" t="s">
        <v>20</v>
      </c>
    </row>
    <row r="1520" customFormat="false" ht="14.25" hidden="false" customHeight="true" outlineLevel="0" collapsed="false">
      <c r="B1520" s="9" t="s">
        <v>36</v>
      </c>
      <c r="C1520" s="9" t="n">
        <v>1185732</v>
      </c>
      <c r="D1520" s="10" t="n">
        <v>44239</v>
      </c>
      <c r="E1520" s="9" t="s">
        <v>33</v>
      </c>
      <c r="F1520" s="9" t="s">
        <v>72</v>
      </c>
      <c r="G1520" s="9" t="s">
        <v>73</v>
      </c>
      <c r="H1520" s="11" t="s">
        <v>25</v>
      </c>
      <c r="I1520" s="12" t="n">
        <v>40</v>
      </c>
      <c r="J1520" s="13" t="n">
        <v>600</v>
      </c>
      <c r="K1520" s="14" t="n">
        <f aca="false">I1520*J1520</f>
        <v>24000</v>
      </c>
      <c r="L1520" s="14" t="n">
        <f aca="false">($L$2*M1520)/100</f>
        <v>300416.625</v>
      </c>
      <c r="M1520" s="15" t="n">
        <v>0.25</v>
      </c>
      <c r="N1520" s="9" t="s">
        <v>20</v>
      </c>
    </row>
    <row r="1521" customFormat="false" ht="14.25" hidden="false" customHeight="true" outlineLevel="0" collapsed="false">
      <c r="B1521" s="9" t="s">
        <v>36</v>
      </c>
      <c r="C1521" s="9" t="n">
        <v>1185732</v>
      </c>
      <c r="D1521" s="10" t="n">
        <v>44265</v>
      </c>
      <c r="E1521" s="9" t="s">
        <v>33</v>
      </c>
      <c r="F1521" s="9" t="s">
        <v>72</v>
      </c>
      <c r="G1521" s="9" t="s">
        <v>73</v>
      </c>
      <c r="H1521" s="11" t="s">
        <v>19</v>
      </c>
      <c r="I1521" s="12" t="n">
        <v>40</v>
      </c>
      <c r="J1521" s="13" t="n">
        <v>820</v>
      </c>
      <c r="K1521" s="14" t="n">
        <f aca="false">I1521*J1521</f>
        <v>32800</v>
      </c>
      <c r="L1521" s="14" t="n">
        <f aca="false">($L$2*M1521)/100</f>
        <v>600833.25</v>
      </c>
      <c r="M1521" s="15" t="n">
        <v>0.5</v>
      </c>
      <c r="N1521" s="9" t="s">
        <v>20</v>
      </c>
    </row>
    <row r="1522" customFormat="false" ht="14.25" hidden="false" customHeight="true" outlineLevel="0" collapsed="false">
      <c r="B1522" s="9" t="s">
        <v>36</v>
      </c>
      <c r="C1522" s="9" t="n">
        <v>1185732</v>
      </c>
      <c r="D1522" s="10" t="n">
        <v>44265</v>
      </c>
      <c r="E1522" s="9" t="s">
        <v>33</v>
      </c>
      <c r="F1522" s="9" t="s">
        <v>72</v>
      </c>
      <c r="G1522" s="9" t="s">
        <v>73</v>
      </c>
      <c r="H1522" s="11" t="s">
        <v>21</v>
      </c>
      <c r="I1522" s="12" t="n">
        <v>40</v>
      </c>
      <c r="J1522" s="13" t="n">
        <v>525</v>
      </c>
      <c r="K1522" s="14" t="n">
        <f aca="false">I1522*J1522</f>
        <v>21000</v>
      </c>
      <c r="L1522" s="14" t="n">
        <f aca="false">($L$2*M1522)/100</f>
        <v>360499.95</v>
      </c>
      <c r="M1522" s="15" t="n">
        <v>0.3</v>
      </c>
      <c r="N1522" s="9" t="s">
        <v>20</v>
      </c>
    </row>
    <row r="1523" customFormat="false" ht="14.25" hidden="false" customHeight="true" outlineLevel="0" collapsed="false">
      <c r="B1523" s="9" t="s">
        <v>36</v>
      </c>
      <c r="C1523" s="9" t="n">
        <v>1185732</v>
      </c>
      <c r="D1523" s="10" t="n">
        <v>44265</v>
      </c>
      <c r="E1523" s="9" t="s">
        <v>33</v>
      </c>
      <c r="F1523" s="9" t="s">
        <v>72</v>
      </c>
      <c r="G1523" s="9" t="s">
        <v>73</v>
      </c>
      <c r="H1523" s="11" t="s">
        <v>22</v>
      </c>
      <c r="I1523" s="12" t="n">
        <v>30</v>
      </c>
      <c r="J1523" s="13" t="n">
        <v>550</v>
      </c>
      <c r="K1523" s="14" t="n">
        <f aca="false">I1523*J1523</f>
        <v>16500</v>
      </c>
      <c r="L1523" s="14" t="n">
        <f aca="false">($L$2*M1523)/100</f>
        <v>420583.275</v>
      </c>
      <c r="M1523" s="15" t="n">
        <v>0.35</v>
      </c>
      <c r="N1523" s="9" t="s">
        <v>20</v>
      </c>
    </row>
    <row r="1524" customFormat="false" ht="14.25" hidden="false" customHeight="true" outlineLevel="0" collapsed="false">
      <c r="B1524" s="9" t="s">
        <v>36</v>
      </c>
      <c r="C1524" s="9" t="n">
        <v>1185732</v>
      </c>
      <c r="D1524" s="10" t="n">
        <v>44265</v>
      </c>
      <c r="E1524" s="9" t="s">
        <v>33</v>
      </c>
      <c r="F1524" s="9" t="s">
        <v>72</v>
      </c>
      <c r="G1524" s="9" t="s">
        <v>73</v>
      </c>
      <c r="H1524" s="11" t="s">
        <v>23</v>
      </c>
      <c r="I1524" s="12" t="n">
        <v>35</v>
      </c>
      <c r="J1524" s="13" t="n">
        <v>400</v>
      </c>
      <c r="K1524" s="14" t="n">
        <f aca="false">I1524*J1524</f>
        <v>14000</v>
      </c>
      <c r="L1524" s="14" t="n">
        <f aca="false">($L$2*M1524)/100</f>
        <v>420583.275</v>
      </c>
      <c r="M1524" s="15" t="n">
        <v>0.35</v>
      </c>
      <c r="N1524" s="9" t="s">
        <v>20</v>
      </c>
    </row>
    <row r="1525" customFormat="false" ht="14.25" hidden="false" customHeight="true" outlineLevel="0" collapsed="false">
      <c r="B1525" s="9" t="s">
        <v>36</v>
      </c>
      <c r="C1525" s="9" t="n">
        <v>1185732</v>
      </c>
      <c r="D1525" s="10" t="n">
        <v>44265</v>
      </c>
      <c r="E1525" s="9" t="s">
        <v>33</v>
      </c>
      <c r="F1525" s="9" t="s">
        <v>72</v>
      </c>
      <c r="G1525" s="9" t="s">
        <v>73</v>
      </c>
      <c r="H1525" s="11" t="s">
        <v>24</v>
      </c>
      <c r="I1525" s="12" t="n">
        <v>50</v>
      </c>
      <c r="J1525" s="13" t="n">
        <v>450</v>
      </c>
      <c r="K1525" s="14" t="n">
        <f aca="false">I1525*J1525</f>
        <v>22500</v>
      </c>
      <c r="L1525" s="14" t="n">
        <f aca="false">($L$2*M1525)/100</f>
        <v>360499.95</v>
      </c>
      <c r="M1525" s="15" t="n">
        <v>0.3</v>
      </c>
      <c r="N1525" s="9" t="s">
        <v>20</v>
      </c>
    </row>
    <row r="1526" customFormat="false" ht="14.25" hidden="false" customHeight="true" outlineLevel="0" collapsed="false">
      <c r="B1526" s="9" t="s">
        <v>36</v>
      </c>
      <c r="C1526" s="9" t="n">
        <v>1185732</v>
      </c>
      <c r="D1526" s="10" t="n">
        <v>44265</v>
      </c>
      <c r="E1526" s="9" t="s">
        <v>33</v>
      </c>
      <c r="F1526" s="9" t="s">
        <v>72</v>
      </c>
      <c r="G1526" s="9" t="s">
        <v>73</v>
      </c>
      <c r="H1526" s="11" t="s">
        <v>25</v>
      </c>
      <c r="I1526" s="12" t="n">
        <v>40</v>
      </c>
      <c r="J1526" s="13" t="n">
        <v>550</v>
      </c>
      <c r="K1526" s="14" t="n">
        <f aca="false">I1526*J1526</f>
        <v>22000</v>
      </c>
      <c r="L1526" s="14" t="n">
        <f aca="false">($L$2*M1526)/100</f>
        <v>300416.625</v>
      </c>
      <c r="M1526" s="15" t="n">
        <v>0.25</v>
      </c>
      <c r="N1526" s="9" t="s">
        <v>20</v>
      </c>
    </row>
    <row r="1527" customFormat="false" ht="14.25" hidden="false" customHeight="true" outlineLevel="0" collapsed="false">
      <c r="B1527" s="9" t="s">
        <v>36</v>
      </c>
      <c r="C1527" s="9" t="n">
        <v>1185732</v>
      </c>
      <c r="D1527" s="10" t="n">
        <v>44297</v>
      </c>
      <c r="E1527" s="9" t="s">
        <v>33</v>
      </c>
      <c r="F1527" s="9" t="s">
        <v>72</v>
      </c>
      <c r="G1527" s="9" t="s">
        <v>73</v>
      </c>
      <c r="H1527" s="11" t="s">
        <v>19</v>
      </c>
      <c r="I1527" s="12" t="n">
        <v>40</v>
      </c>
      <c r="J1527" s="13" t="n">
        <v>800</v>
      </c>
      <c r="K1527" s="14" t="n">
        <f aca="false">I1527*J1527</f>
        <v>32000</v>
      </c>
      <c r="L1527" s="14" t="n">
        <f aca="false">($L$2*M1527)/100</f>
        <v>600833.25</v>
      </c>
      <c r="M1527" s="15" t="n">
        <v>0.5</v>
      </c>
      <c r="N1527" s="9" t="s">
        <v>20</v>
      </c>
    </row>
    <row r="1528" customFormat="false" ht="14.25" hidden="false" customHeight="true" outlineLevel="0" collapsed="false">
      <c r="B1528" s="9" t="s">
        <v>36</v>
      </c>
      <c r="C1528" s="9" t="n">
        <v>1185732</v>
      </c>
      <c r="D1528" s="10" t="n">
        <v>44297</v>
      </c>
      <c r="E1528" s="9" t="s">
        <v>33</v>
      </c>
      <c r="F1528" s="9" t="s">
        <v>72</v>
      </c>
      <c r="G1528" s="9" t="s">
        <v>73</v>
      </c>
      <c r="H1528" s="11" t="s">
        <v>21</v>
      </c>
      <c r="I1528" s="12" t="n">
        <v>40</v>
      </c>
      <c r="J1528" s="13" t="n">
        <v>500</v>
      </c>
      <c r="K1528" s="14" t="n">
        <f aca="false">I1528*J1528</f>
        <v>20000</v>
      </c>
      <c r="L1528" s="14" t="n">
        <f aca="false">($L$2*M1528)/100</f>
        <v>360499.95</v>
      </c>
      <c r="M1528" s="15" t="n">
        <v>0.3</v>
      </c>
      <c r="N1528" s="9" t="s">
        <v>20</v>
      </c>
    </row>
    <row r="1529" customFormat="false" ht="14.25" hidden="false" customHeight="true" outlineLevel="0" collapsed="false">
      <c r="B1529" s="9" t="s">
        <v>36</v>
      </c>
      <c r="C1529" s="9" t="n">
        <v>1185732</v>
      </c>
      <c r="D1529" s="10" t="n">
        <v>44297</v>
      </c>
      <c r="E1529" s="9" t="s">
        <v>33</v>
      </c>
      <c r="F1529" s="9" t="s">
        <v>72</v>
      </c>
      <c r="G1529" s="9" t="s">
        <v>73</v>
      </c>
      <c r="H1529" s="11" t="s">
        <v>22</v>
      </c>
      <c r="I1529" s="12" t="n">
        <v>30</v>
      </c>
      <c r="J1529" s="13" t="n">
        <v>500</v>
      </c>
      <c r="K1529" s="14" t="n">
        <f aca="false">I1529*J1529</f>
        <v>15000</v>
      </c>
      <c r="L1529" s="14" t="n">
        <f aca="false">($L$2*M1529)/100</f>
        <v>420583.275</v>
      </c>
      <c r="M1529" s="15" t="n">
        <v>0.35</v>
      </c>
      <c r="N1529" s="9" t="s">
        <v>20</v>
      </c>
    </row>
    <row r="1530" customFormat="false" ht="14.25" hidden="false" customHeight="true" outlineLevel="0" collapsed="false">
      <c r="B1530" s="9" t="s">
        <v>36</v>
      </c>
      <c r="C1530" s="9" t="n">
        <v>1185732</v>
      </c>
      <c r="D1530" s="10" t="n">
        <v>44297</v>
      </c>
      <c r="E1530" s="9" t="s">
        <v>33</v>
      </c>
      <c r="F1530" s="9" t="s">
        <v>72</v>
      </c>
      <c r="G1530" s="9" t="s">
        <v>73</v>
      </c>
      <c r="H1530" s="11" t="s">
        <v>23</v>
      </c>
      <c r="I1530" s="12" t="n">
        <v>35</v>
      </c>
      <c r="J1530" s="13" t="n">
        <v>425</v>
      </c>
      <c r="K1530" s="14" t="n">
        <f aca="false">I1530*J1530</f>
        <v>14875</v>
      </c>
      <c r="L1530" s="14" t="n">
        <f aca="false">($L$2*M1530)/100</f>
        <v>420583.275</v>
      </c>
      <c r="M1530" s="15" t="n">
        <v>0.35</v>
      </c>
      <c r="N1530" s="9" t="s">
        <v>20</v>
      </c>
    </row>
    <row r="1531" customFormat="false" ht="14.25" hidden="false" customHeight="true" outlineLevel="0" collapsed="false">
      <c r="B1531" s="9" t="s">
        <v>36</v>
      </c>
      <c r="C1531" s="9" t="n">
        <v>1185732</v>
      </c>
      <c r="D1531" s="10" t="n">
        <v>44297</v>
      </c>
      <c r="E1531" s="9" t="s">
        <v>33</v>
      </c>
      <c r="F1531" s="9" t="s">
        <v>72</v>
      </c>
      <c r="G1531" s="9" t="s">
        <v>73</v>
      </c>
      <c r="H1531" s="11" t="s">
        <v>24</v>
      </c>
      <c r="I1531" s="12" t="n">
        <v>50</v>
      </c>
      <c r="J1531" s="13" t="n">
        <v>425</v>
      </c>
      <c r="K1531" s="14" t="n">
        <f aca="false">I1531*J1531</f>
        <v>21250</v>
      </c>
      <c r="L1531" s="14" t="n">
        <f aca="false">($L$2*M1531)/100</f>
        <v>360499.95</v>
      </c>
      <c r="M1531" s="15" t="n">
        <v>0.3</v>
      </c>
      <c r="N1531" s="9" t="s">
        <v>20</v>
      </c>
    </row>
    <row r="1532" customFormat="false" ht="14.25" hidden="false" customHeight="true" outlineLevel="0" collapsed="false">
      <c r="B1532" s="9" t="s">
        <v>36</v>
      </c>
      <c r="C1532" s="9" t="n">
        <v>1185732</v>
      </c>
      <c r="D1532" s="10" t="n">
        <v>44297</v>
      </c>
      <c r="E1532" s="9" t="s">
        <v>33</v>
      </c>
      <c r="F1532" s="9" t="s">
        <v>72</v>
      </c>
      <c r="G1532" s="9" t="s">
        <v>73</v>
      </c>
      <c r="H1532" s="11" t="s">
        <v>25</v>
      </c>
      <c r="I1532" s="12" t="n">
        <v>40</v>
      </c>
      <c r="J1532" s="13" t="n">
        <v>550</v>
      </c>
      <c r="K1532" s="14" t="n">
        <f aca="false">I1532*J1532</f>
        <v>22000</v>
      </c>
      <c r="L1532" s="14" t="n">
        <f aca="false">($L$2*M1532)/100</f>
        <v>300416.625</v>
      </c>
      <c r="M1532" s="15" t="n">
        <v>0.25</v>
      </c>
      <c r="N1532" s="9" t="s">
        <v>20</v>
      </c>
    </row>
    <row r="1533" customFormat="false" ht="14.25" hidden="false" customHeight="true" outlineLevel="0" collapsed="false">
      <c r="B1533" s="9" t="s">
        <v>36</v>
      </c>
      <c r="C1533" s="9" t="n">
        <v>1185732</v>
      </c>
      <c r="D1533" s="10" t="n">
        <v>44326</v>
      </c>
      <c r="E1533" s="9" t="s">
        <v>33</v>
      </c>
      <c r="F1533" s="9" t="s">
        <v>72</v>
      </c>
      <c r="G1533" s="9" t="s">
        <v>73</v>
      </c>
      <c r="H1533" s="11" t="s">
        <v>19</v>
      </c>
      <c r="I1533" s="12" t="n">
        <v>50</v>
      </c>
      <c r="J1533" s="13" t="n">
        <v>820</v>
      </c>
      <c r="K1533" s="14" t="n">
        <f aca="false">I1533*J1533</f>
        <v>41000</v>
      </c>
      <c r="L1533" s="14" t="n">
        <f aca="false">($L$2*M1533)/100</f>
        <v>600833.25</v>
      </c>
      <c r="M1533" s="15" t="n">
        <v>0.5</v>
      </c>
      <c r="N1533" s="9" t="s">
        <v>20</v>
      </c>
    </row>
    <row r="1534" customFormat="false" ht="14.25" hidden="false" customHeight="true" outlineLevel="0" collapsed="false">
      <c r="B1534" s="9" t="s">
        <v>36</v>
      </c>
      <c r="C1534" s="9" t="n">
        <v>1185732</v>
      </c>
      <c r="D1534" s="10" t="n">
        <v>44326</v>
      </c>
      <c r="E1534" s="9" t="s">
        <v>33</v>
      </c>
      <c r="F1534" s="9" t="s">
        <v>72</v>
      </c>
      <c r="G1534" s="9" t="s">
        <v>73</v>
      </c>
      <c r="H1534" s="11" t="s">
        <v>21</v>
      </c>
      <c r="I1534" s="12" t="n">
        <v>45</v>
      </c>
      <c r="J1534" s="13" t="n">
        <v>525</v>
      </c>
      <c r="K1534" s="14" t="n">
        <f aca="false">I1534*J1534</f>
        <v>23625</v>
      </c>
      <c r="L1534" s="14" t="n">
        <f aca="false">($L$2*M1534)/100</f>
        <v>360499.95</v>
      </c>
      <c r="M1534" s="15" t="n">
        <v>0.3</v>
      </c>
      <c r="N1534" s="9" t="s">
        <v>20</v>
      </c>
    </row>
    <row r="1535" customFormat="false" ht="14.25" hidden="false" customHeight="true" outlineLevel="0" collapsed="false">
      <c r="B1535" s="9" t="s">
        <v>36</v>
      </c>
      <c r="C1535" s="9" t="n">
        <v>1185732</v>
      </c>
      <c r="D1535" s="10" t="n">
        <v>44326</v>
      </c>
      <c r="E1535" s="9" t="s">
        <v>33</v>
      </c>
      <c r="F1535" s="9" t="s">
        <v>72</v>
      </c>
      <c r="G1535" s="9" t="s">
        <v>73</v>
      </c>
      <c r="H1535" s="11" t="s">
        <v>22</v>
      </c>
      <c r="I1535" s="12" t="n">
        <v>40</v>
      </c>
      <c r="J1535" s="13" t="n">
        <v>500</v>
      </c>
      <c r="K1535" s="14" t="n">
        <f aca="false">I1535*J1535</f>
        <v>20000</v>
      </c>
      <c r="L1535" s="14" t="n">
        <f aca="false">($L$2*M1535)/100</f>
        <v>420583.275</v>
      </c>
      <c r="M1535" s="15" t="n">
        <v>0.35</v>
      </c>
      <c r="N1535" s="9" t="s">
        <v>20</v>
      </c>
    </row>
    <row r="1536" customFormat="false" ht="14.25" hidden="false" customHeight="true" outlineLevel="0" collapsed="false">
      <c r="B1536" s="9" t="s">
        <v>36</v>
      </c>
      <c r="C1536" s="9" t="n">
        <v>1185732</v>
      </c>
      <c r="D1536" s="10" t="n">
        <v>44326</v>
      </c>
      <c r="E1536" s="9" t="s">
        <v>33</v>
      </c>
      <c r="F1536" s="9" t="s">
        <v>72</v>
      </c>
      <c r="G1536" s="9" t="s">
        <v>73</v>
      </c>
      <c r="H1536" s="11" t="s">
        <v>23</v>
      </c>
      <c r="I1536" s="12" t="n">
        <v>40</v>
      </c>
      <c r="J1536" s="13" t="n">
        <v>450</v>
      </c>
      <c r="K1536" s="14" t="n">
        <f aca="false">I1536*J1536</f>
        <v>18000</v>
      </c>
      <c r="L1536" s="14" t="n">
        <f aca="false">($L$2*M1536)/100</f>
        <v>420583.275</v>
      </c>
      <c r="M1536" s="15" t="n">
        <v>0.35</v>
      </c>
      <c r="N1536" s="9" t="s">
        <v>20</v>
      </c>
    </row>
    <row r="1537" customFormat="false" ht="14.25" hidden="false" customHeight="true" outlineLevel="0" collapsed="false">
      <c r="B1537" s="9" t="s">
        <v>36</v>
      </c>
      <c r="C1537" s="9" t="n">
        <v>1185732</v>
      </c>
      <c r="D1537" s="10" t="n">
        <v>44326</v>
      </c>
      <c r="E1537" s="9" t="s">
        <v>33</v>
      </c>
      <c r="F1537" s="9" t="s">
        <v>72</v>
      </c>
      <c r="G1537" s="9" t="s">
        <v>73</v>
      </c>
      <c r="H1537" s="11" t="s">
        <v>24</v>
      </c>
      <c r="I1537" s="12" t="n">
        <v>50</v>
      </c>
      <c r="J1537" s="13" t="n">
        <v>475</v>
      </c>
      <c r="K1537" s="14" t="n">
        <f aca="false">I1537*J1537</f>
        <v>23750</v>
      </c>
      <c r="L1537" s="14" t="n">
        <f aca="false">($L$2*M1537)/100</f>
        <v>360499.95</v>
      </c>
      <c r="M1537" s="15" t="n">
        <v>0.3</v>
      </c>
      <c r="N1537" s="9" t="s">
        <v>20</v>
      </c>
    </row>
    <row r="1538" customFormat="false" ht="14.25" hidden="false" customHeight="true" outlineLevel="0" collapsed="false">
      <c r="B1538" s="9" t="s">
        <v>36</v>
      </c>
      <c r="C1538" s="9" t="n">
        <v>1185732</v>
      </c>
      <c r="D1538" s="10" t="n">
        <v>44326</v>
      </c>
      <c r="E1538" s="9" t="s">
        <v>33</v>
      </c>
      <c r="F1538" s="9" t="s">
        <v>72</v>
      </c>
      <c r="G1538" s="9" t="s">
        <v>73</v>
      </c>
      <c r="H1538" s="11" t="s">
        <v>25</v>
      </c>
      <c r="I1538" s="12" t="n">
        <v>55</v>
      </c>
      <c r="J1538" s="13" t="n">
        <v>600</v>
      </c>
      <c r="K1538" s="14" t="n">
        <f aca="false">I1538*J1538</f>
        <v>33000</v>
      </c>
      <c r="L1538" s="14" t="n">
        <f aca="false">($L$2*M1538)/100</f>
        <v>300416.625</v>
      </c>
      <c r="M1538" s="15" t="n">
        <v>0.25</v>
      </c>
      <c r="N1538" s="9" t="s">
        <v>20</v>
      </c>
    </row>
    <row r="1539" customFormat="false" ht="14.25" hidden="false" customHeight="true" outlineLevel="0" collapsed="false">
      <c r="B1539" s="9" t="s">
        <v>36</v>
      </c>
      <c r="C1539" s="9" t="n">
        <v>1185732</v>
      </c>
      <c r="D1539" s="10" t="n">
        <v>44359</v>
      </c>
      <c r="E1539" s="9" t="s">
        <v>33</v>
      </c>
      <c r="F1539" s="9" t="s">
        <v>72</v>
      </c>
      <c r="G1539" s="9" t="s">
        <v>73</v>
      </c>
      <c r="H1539" s="11" t="s">
        <v>19</v>
      </c>
      <c r="I1539" s="12" t="n">
        <v>50</v>
      </c>
      <c r="J1539" s="13" t="n">
        <v>850</v>
      </c>
      <c r="K1539" s="14" t="n">
        <f aca="false">I1539*J1539</f>
        <v>42500</v>
      </c>
      <c r="L1539" s="14" t="n">
        <f aca="false">($L$2*M1539)/100</f>
        <v>600833.25</v>
      </c>
      <c r="M1539" s="15" t="n">
        <v>0.5</v>
      </c>
      <c r="N1539" s="9" t="s">
        <v>20</v>
      </c>
    </row>
    <row r="1540" customFormat="false" ht="14.25" hidden="false" customHeight="true" outlineLevel="0" collapsed="false">
      <c r="B1540" s="9" t="s">
        <v>36</v>
      </c>
      <c r="C1540" s="9" t="n">
        <v>1185732</v>
      </c>
      <c r="D1540" s="10" t="n">
        <v>44359</v>
      </c>
      <c r="E1540" s="9" t="s">
        <v>33</v>
      </c>
      <c r="F1540" s="9" t="s">
        <v>72</v>
      </c>
      <c r="G1540" s="9" t="s">
        <v>73</v>
      </c>
      <c r="H1540" s="11" t="s">
        <v>21</v>
      </c>
      <c r="I1540" s="12" t="n">
        <v>45</v>
      </c>
      <c r="J1540" s="13" t="n">
        <v>600</v>
      </c>
      <c r="K1540" s="14" t="n">
        <f aca="false">I1540*J1540</f>
        <v>27000</v>
      </c>
      <c r="L1540" s="14" t="n">
        <f aca="false">($L$2*M1540)/100</f>
        <v>360499.95</v>
      </c>
      <c r="M1540" s="15" t="n">
        <v>0.3</v>
      </c>
      <c r="N1540" s="9" t="s">
        <v>20</v>
      </c>
    </row>
    <row r="1541" customFormat="false" ht="14.25" hidden="false" customHeight="true" outlineLevel="0" collapsed="false">
      <c r="B1541" s="9" t="s">
        <v>36</v>
      </c>
      <c r="C1541" s="9" t="n">
        <v>1185732</v>
      </c>
      <c r="D1541" s="10" t="n">
        <v>44359</v>
      </c>
      <c r="E1541" s="9" t="s">
        <v>33</v>
      </c>
      <c r="F1541" s="9" t="s">
        <v>72</v>
      </c>
      <c r="G1541" s="9" t="s">
        <v>73</v>
      </c>
      <c r="H1541" s="11" t="s">
        <v>22</v>
      </c>
      <c r="I1541" s="12" t="n">
        <v>40</v>
      </c>
      <c r="J1541" s="13" t="n">
        <v>525</v>
      </c>
      <c r="K1541" s="14" t="n">
        <f aca="false">I1541*J1541</f>
        <v>21000</v>
      </c>
      <c r="L1541" s="14" t="n">
        <f aca="false">($L$2*M1541)/100</f>
        <v>420583.275</v>
      </c>
      <c r="M1541" s="15" t="n">
        <v>0.35</v>
      </c>
      <c r="N1541" s="9" t="s">
        <v>20</v>
      </c>
    </row>
    <row r="1542" customFormat="false" ht="14.25" hidden="false" customHeight="true" outlineLevel="0" collapsed="false">
      <c r="B1542" s="9" t="s">
        <v>36</v>
      </c>
      <c r="C1542" s="9" t="n">
        <v>1185732</v>
      </c>
      <c r="D1542" s="10" t="n">
        <v>44359</v>
      </c>
      <c r="E1542" s="9" t="s">
        <v>33</v>
      </c>
      <c r="F1542" s="9" t="s">
        <v>72</v>
      </c>
      <c r="G1542" s="9" t="s">
        <v>73</v>
      </c>
      <c r="H1542" s="11" t="s">
        <v>23</v>
      </c>
      <c r="I1542" s="12" t="n">
        <v>40</v>
      </c>
      <c r="J1542" s="13" t="n">
        <v>500</v>
      </c>
      <c r="K1542" s="14" t="n">
        <f aca="false">I1542*J1542</f>
        <v>20000</v>
      </c>
      <c r="L1542" s="14" t="n">
        <f aca="false">($L$2*M1542)/100</f>
        <v>420583.275</v>
      </c>
      <c r="M1542" s="15" t="n">
        <v>0.35</v>
      </c>
      <c r="N1542" s="9" t="s">
        <v>20</v>
      </c>
    </row>
    <row r="1543" customFormat="false" ht="14.25" hidden="false" customHeight="true" outlineLevel="0" collapsed="false">
      <c r="B1543" s="9" t="s">
        <v>36</v>
      </c>
      <c r="C1543" s="9" t="n">
        <v>1185732</v>
      </c>
      <c r="D1543" s="10" t="n">
        <v>44359</v>
      </c>
      <c r="E1543" s="9" t="s">
        <v>33</v>
      </c>
      <c r="F1543" s="9" t="s">
        <v>72</v>
      </c>
      <c r="G1543" s="9" t="s">
        <v>73</v>
      </c>
      <c r="H1543" s="11" t="s">
        <v>24</v>
      </c>
      <c r="I1543" s="12" t="n">
        <v>50</v>
      </c>
      <c r="J1543" s="13" t="n">
        <v>500</v>
      </c>
      <c r="K1543" s="14" t="n">
        <f aca="false">I1543*J1543</f>
        <v>25000</v>
      </c>
      <c r="L1543" s="14" t="n">
        <f aca="false">($L$2*M1543)/100</f>
        <v>360499.95</v>
      </c>
      <c r="M1543" s="15" t="n">
        <v>0.3</v>
      </c>
      <c r="N1543" s="9" t="s">
        <v>20</v>
      </c>
    </row>
    <row r="1544" customFormat="false" ht="14.25" hidden="false" customHeight="true" outlineLevel="0" collapsed="false">
      <c r="B1544" s="9" t="s">
        <v>36</v>
      </c>
      <c r="C1544" s="9" t="n">
        <v>1185732</v>
      </c>
      <c r="D1544" s="10" t="n">
        <v>44359</v>
      </c>
      <c r="E1544" s="9" t="s">
        <v>33</v>
      </c>
      <c r="F1544" s="9" t="s">
        <v>72</v>
      </c>
      <c r="G1544" s="9" t="s">
        <v>73</v>
      </c>
      <c r="H1544" s="11" t="s">
        <v>25</v>
      </c>
      <c r="I1544" s="12" t="n">
        <v>55</v>
      </c>
      <c r="J1544" s="13" t="n">
        <v>650</v>
      </c>
      <c r="K1544" s="14" t="n">
        <f aca="false">I1544*J1544</f>
        <v>35750</v>
      </c>
      <c r="L1544" s="14" t="n">
        <f aca="false">($L$2*M1544)/100</f>
        <v>300416.625</v>
      </c>
      <c r="M1544" s="15" t="n">
        <v>0.25</v>
      </c>
      <c r="N1544" s="9" t="s">
        <v>20</v>
      </c>
    </row>
    <row r="1545" customFormat="false" ht="14.25" hidden="false" customHeight="true" outlineLevel="0" collapsed="false">
      <c r="B1545" s="9" t="s">
        <v>36</v>
      </c>
      <c r="C1545" s="9" t="n">
        <v>1185732</v>
      </c>
      <c r="D1545" s="10" t="n">
        <v>44387</v>
      </c>
      <c r="E1545" s="9" t="s">
        <v>33</v>
      </c>
      <c r="F1545" s="9" t="s">
        <v>72</v>
      </c>
      <c r="G1545" s="9" t="s">
        <v>73</v>
      </c>
      <c r="H1545" s="11" t="s">
        <v>19</v>
      </c>
      <c r="I1545" s="12" t="n">
        <v>50</v>
      </c>
      <c r="J1545" s="13" t="n">
        <v>875</v>
      </c>
      <c r="K1545" s="14" t="n">
        <f aca="false">I1545*J1545</f>
        <v>43750</v>
      </c>
      <c r="L1545" s="14" t="n">
        <f aca="false">($L$2*M1545)/100</f>
        <v>600833.25</v>
      </c>
      <c r="M1545" s="15" t="n">
        <v>0.5</v>
      </c>
      <c r="N1545" s="9" t="s">
        <v>20</v>
      </c>
    </row>
    <row r="1546" customFormat="false" ht="14.25" hidden="false" customHeight="true" outlineLevel="0" collapsed="false">
      <c r="B1546" s="9" t="s">
        <v>36</v>
      </c>
      <c r="C1546" s="9" t="n">
        <v>1185732</v>
      </c>
      <c r="D1546" s="10" t="n">
        <v>44387</v>
      </c>
      <c r="E1546" s="9" t="s">
        <v>33</v>
      </c>
      <c r="F1546" s="9" t="s">
        <v>72</v>
      </c>
      <c r="G1546" s="9" t="s">
        <v>73</v>
      </c>
      <c r="H1546" s="11" t="s">
        <v>21</v>
      </c>
      <c r="I1546" s="12" t="n">
        <v>45</v>
      </c>
      <c r="J1546" s="13" t="n">
        <v>625</v>
      </c>
      <c r="K1546" s="14" t="n">
        <f aca="false">I1546*J1546</f>
        <v>28125</v>
      </c>
      <c r="L1546" s="14" t="n">
        <f aca="false">($L$2*M1546)/100</f>
        <v>360499.95</v>
      </c>
      <c r="M1546" s="15" t="n">
        <v>0.3</v>
      </c>
      <c r="N1546" s="9" t="s">
        <v>20</v>
      </c>
    </row>
    <row r="1547" customFormat="false" ht="14.25" hidden="false" customHeight="true" outlineLevel="0" collapsed="false">
      <c r="B1547" s="9" t="s">
        <v>36</v>
      </c>
      <c r="C1547" s="9" t="n">
        <v>1185732</v>
      </c>
      <c r="D1547" s="10" t="n">
        <v>44387</v>
      </c>
      <c r="E1547" s="9" t="s">
        <v>33</v>
      </c>
      <c r="F1547" s="9" t="s">
        <v>72</v>
      </c>
      <c r="G1547" s="9" t="s">
        <v>73</v>
      </c>
      <c r="H1547" s="11" t="s">
        <v>22</v>
      </c>
      <c r="I1547" s="12" t="n">
        <v>40</v>
      </c>
      <c r="J1547" s="13" t="n">
        <v>550</v>
      </c>
      <c r="K1547" s="14" t="n">
        <f aca="false">I1547*J1547</f>
        <v>22000</v>
      </c>
      <c r="L1547" s="14" t="n">
        <f aca="false">($L$2*M1547)/100</f>
        <v>420583.275</v>
      </c>
      <c r="M1547" s="15" t="n">
        <v>0.35</v>
      </c>
      <c r="N1547" s="9" t="s">
        <v>20</v>
      </c>
    </row>
    <row r="1548" customFormat="false" ht="14.25" hidden="false" customHeight="true" outlineLevel="0" collapsed="false">
      <c r="B1548" s="9" t="s">
        <v>36</v>
      </c>
      <c r="C1548" s="9" t="n">
        <v>1185732</v>
      </c>
      <c r="D1548" s="10" t="n">
        <v>44387</v>
      </c>
      <c r="E1548" s="9" t="s">
        <v>33</v>
      </c>
      <c r="F1548" s="9" t="s">
        <v>72</v>
      </c>
      <c r="G1548" s="9" t="s">
        <v>73</v>
      </c>
      <c r="H1548" s="11" t="s">
        <v>23</v>
      </c>
      <c r="I1548" s="12" t="n">
        <v>40</v>
      </c>
      <c r="J1548" s="13" t="n">
        <v>500</v>
      </c>
      <c r="K1548" s="14" t="n">
        <f aca="false">I1548*J1548</f>
        <v>20000</v>
      </c>
      <c r="L1548" s="14" t="n">
        <f aca="false">($L$2*M1548)/100</f>
        <v>420583.275</v>
      </c>
      <c r="M1548" s="15" t="n">
        <v>0.35</v>
      </c>
      <c r="N1548" s="9" t="s">
        <v>20</v>
      </c>
    </row>
    <row r="1549" customFormat="false" ht="14.25" hidden="false" customHeight="true" outlineLevel="0" collapsed="false">
      <c r="B1549" s="9" t="s">
        <v>36</v>
      </c>
      <c r="C1549" s="9" t="n">
        <v>1185732</v>
      </c>
      <c r="D1549" s="10" t="n">
        <v>44387</v>
      </c>
      <c r="E1549" s="9" t="s">
        <v>33</v>
      </c>
      <c r="F1549" s="9" t="s">
        <v>72</v>
      </c>
      <c r="G1549" s="9" t="s">
        <v>73</v>
      </c>
      <c r="H1549" s="11" t="s">
        <v>24</v>
      </c>
      <c r="I1549" s="12" t="n">
        <v>50</v>
      </c>
      <c r="J1549" s="13" t="n">
        <v>525</v>
      </c>
      <c r="K1549" s="14" t="n">
        <f aca="false">I1549*J1549</f>
        <v>26250</v>
      </c>
      <c r="L1549" s="14" t="n">
        <f aca="false">($L$2*M1549)/100</f>
        <v>360499.95</v>
      </c>
      <c r="M1549" s="15" t="n">
        <v>0.3</v>
      </c>
      <c r="N1549" s="9" t="s">
        <v>20</v>
      </c>
    </row>
    <row r="1550" customFormat="false" ht="14.25" hidden="false" customHeight="true" outlineLevel="0" collapsed="false">
      <c r="B1550" s="9" t="s">
        <v>36</v>
      </c>
      <c r="C1550" s="9" t="n">
        <v>1185732</v>
      </c>
      <c r="D1550" s="10" t="n">
        <v>44387</v>
      </c>
      <c r="E1550" s="9" t="s">
        <v>33</v>
      </c>
      <c r="F1550" s="9" t="s">
        <v>72</v>
      </c>
      <c r="G1550" s="9" t="s">
        <v>73</v>
      </c>
      <c r="H1550" s="11" t="s">
        <v>25</v>
      </c>
      <c r="I1550" s="12" t="n">
        <v>55</v>
      </c>
      <c r="J1550" s="13" t="n">
        <v>700</v>
      </c>
      <c r="K1550" s="14" t="n">
        <f aca="false">I1550*J1550</f>
        <v>38500</v>
      </c>
      <c r="L1550" s="14" t="n">
        <f aca="false">($L$2*M1550)/100</f>
        <v>300416.625</v>
      </c>
      <c r="M1550" s="15" t="n">
        <v>0.25</v>
      </c>
      <c r="N1550" s="9" t="s">
        <v>20</v>
      </c>
    </row>
    <row r="1551" customFormat="false" ht="14.25" hidden="false" customHeight="true" outlineLevel="0" collapsed="false">
      <c r="B1551" s="9" t="s">
        <v>36</v>
      </c>
      <c r="C1551" s="9" t="n">
        <v>1185732</v>
      </c>
      <c r="D1551" s="10" t="n">
        <v>44419</v>
      </c>
      <c r="E1551" s="9" t="s">
        <v>33</v>
      </c>
      <c r="F1551" s="9" t="s">
        <v>72</v>
      </c>
      <c r="G1551" s="9" t="s">
        <v>73</v>
      </c>
      <c r="H1551" s="11" t="s">
        <v>19</v>
      </c>
      <c r="I1551" s="12" t="n">
        <v>50</v>
      </c>
      <c r="J1551" s="13" t="n">
        <v>850</v>
      </c>
      <c r="K1551" s="14" t="n">
        <f aca="false">I1551*J1551</f>
        <v>42500</v>
      </c>
      <c r="L1551" s="14" t="n">
        <f aca="false">($L$2*M1551)/100</f>
        <v>600833.25</v>
      </c>
      <c r="M1551" s="15" t="n">
        <v>0.5</v>
      </c>
      <c r="N1551" s="9" t="s">
        <v>20</v>
      </c>
    </row>
    <row r="1552" customFormat="false" ht="14.25" hidden="false" customHeight="true" outlineLevel="0" collapsed="false">
      <c r="B1552" s="9" t="s">
        <v>36</v>
      </c>
      <c r="C1552" s="9" t="n">
        <v>1185732</v>
      </c>
      <c r="D1552" s="10" t="n">
        <v>44419</v>
      </c>
      <c r="E1552" s="9" t="s">
        <v>33</v>
      </c>
      <c r="F1552" s="9" t="s">
        <v>72</v>
      </c>
      <c r="G1552" s="9" t="s">
        <v>73</v>
      </c>
      <c r="H1552" s="11" t="s">
        <v>21</v>
      </c>
      <c r="I1552" s="12" t="n">
        <v>45</v>
      </c>
      <c r="J1552" s="13" t="n">
        <v>625</v>
      </c>
      <c r="K1552" s="14" t="n">
        <f aca="false">I1552*J1552</f>
        <v>28125</v>
      </c>
      <c r="L1552" s="14" t="n">
        <f aca="false">($L$2*M1552)/100</f>
        <v>360499.95</v>
      </c>
      <c r="M1552" s="15" t="n">
        <v>0.3</v>
      </c>
      <c r="N1552" s="9" t="s">
        <v>20</v>
      </c>
    </row>
    <row r="1553" customFormat="false" ht="14.25" hidden="false" customHeight="true" outlineLevel="0" collapsed="false">
      <c r="B1553" s="9" t="s">
        <v>36</v>
      </c>
      <c r="C1553" s="9" t="n">
        <v>1185732</v>
      </c>
      <c r="D1553" s="10" t="n">
        <v>44419</v>
      </c>
      <c r="E1553" s="9" t="s">
        <v>33</v>
      </c>
      <c r="F1553" s="9" t="s">
        <v>72</v>
      </c>
      <c r="G1553" s="9" t="s">
        <v>73</v>
      </c>
      <c r="H1553" s="11" t="s">
        <v>22</v>
      </c>
      <c r="I1553" s="12" t="n">
        <v>40</v>
      </c>
      <c r="J1553" s="13" t="n">
        <v>550</v>
      </c>
      <c r="K1553" s="14" t="n">
        <f aca="false">I1553*J1553</f>
        <v>22000</v>
      </c>
      <c r="L1553" s="14" t="n">
        <f aca="false">($L$2*M1553)/100</f>
        <v>420583.275</v>
      </c>
      <c r="M1553" s="15" t="n">
        <v>0.35</v>
      </c>
      <c r="N1553" s="9" t="s">
        <v>20</v>
      </c>
    </row>
    <row r="1554" customFormat="false" ht="14.25" hidden="false" customHeight="true" outlineLevel="0" collapsed="false">
      <c r="B1554" s="9" t="s">
        <v>36</v>
      </c>
      <c r="C1554" s="9" t="n">
        <v>1185732</v>
      </c>
      <c r="D1554" s="10" t="n">
        <v>44419</v>
      </c>
      <c r="E1554" s="9" t="s">
        <v>33</v>
      </c>
      <c r="F1554" s="9" t="s">
        <v>72</v>
      </c>
      <c r="G1554" s="9" t="s">
        <v>73</v>
      </c>
      <c r="H1554" s="11" t="s">
        <v>23</v>
      </c>
      <c r="I1554" s="12" t="n">
        <v>40</v>
      </c>
      <c r="J1554" s="13" t="n">
        <v>525</v>
      </c>
      <c r="K1554" s="14" t="n">
        <f aca="false">I1554*J1554</f>
        <v>21000</v>
      </c>
      <c r="L1554" s="14" t="n">
        <f aca="false">($L$2*M1554)/100</f>
        <v>420583.275</v>
      </c>
      <c r="M1554" s="15" t="n">
        <v>0.35</v>
      </c>
      <c r="N1554" s="9" t="s">
        <v>20</v>
      </c>
    </row>
    <row r="1555" customFormat="false" ht="14.25" hidden="false" customHeight="true" outlineLevel="0" collapsed="false">
      <c r="B1555" s="9" t="s">
        <v>36</v>
      </c>
      <c r="C1555" s="9" t="n">
        <v>1185732</v>
      </c>
      <c r="D1555" s="10" t="n">
        <v>44419</v>
      </c>
      <c r="E1555" s="9" t="s">
        <v>33</v>
      </c>
      <c r="F1555" s="9" t="s">
        <v>72</v>
      </c>
      <c r="G1555" s="9" t="s">
        <v>73</v>
      </c>
      <c r="H1555" s="11" t="s">
        <v>24</v>
      </c>
      <c r="I1555" s="12" t="n">
        <v>50</v>
      </c>
      <c r="J1555" s="13" t="n">
        <v>500</v>
      </c>
      <c r="K1555" s="14" t="n">
        <f aca="false">I1555*J1555</f>
        <v>25000</v>
      </c>
      <c r="L1555" s="14" t="n">
        <f aca="false">($L$2*M1555)/100</f>
        <v>360499.95</v>
      </c>
      <c r="M1555" s="15" t="n">
        <v>0.3</v>
      </c>
      <c r="N1555" s="9" t="s">
        <v>20</v>
      </c>
    </row>
    <row r="1556" customFormat="false" ht="14.25" hidden="false" customHeight="true" outlineLevel="0" collapsed="false">
      <c r="B1556" s="9" t="s">
        <v>36</v>
      </c>
      <c r="C1556" s="9" t="n">
        <v>1185732</v>
      </c>
      <c r="D1556" s="10" t="n">
        <v>44419</v>
      </c>
      <c r="E1556" s="9" t="s">
        <v>33</v>
      </c>
      <c r="F1556" s="9" t="s">
        <v>72</v>
      </c>
      <c r="G1556" s="9" t="s">
        <v>73</v>
      </c>
      <c r="H1556" s="11" t="s">
        <v>25</v>
      </c>
      <c r="I1556" s="12" t="n">
        <v>55</v>
      </c>
      <c r="J1556" s="13" t="n">
        <v>675</v>
      </c>
      <c r="K1556" s="14" t="n">
        <f aca="false">I1556*J1556</f>
        <v>37125</v>
      </c>
      <c r="L1556" s="14" t="n">
        <f aca="false">($L$2*M1556)/100</f>
        <v>300416.625</v>
      </c>
      <c r="M1556" s="15" t="n">
        <v>0.25</v>
      </c>
      <c r="N1556" s="9" t="s">
        <v>20</v>
      </c>
    </row>
    <row r="1557" customFormat="false" ht="14.25" hidden="false" customHeight="true" outlineLevel="0" collapsed="false">
      <c r="B1557" s="9" t="s">
        <v>36</v>
      </c>
      <c r="C1557" s="9" t="n">
        <v>1185732</v>
      </c>
      <c r="D1557" s="10" t="n">
        <v>44449</v>
      </c>
      <c r="E1557" s="9" t="s">
        <v>33</v>
      </c>
      <c r="F1557" s="9" t="s">
        <v>72</v>
      </c>
      <c r="G1557" s="9" t="s">
        <v>73</v>
      </c>
      <c r="H1557" s="11" t="s">
        <v>19</v>
      </c>
      <c r="I1557" s="12" t="n">
        <v>50</v>
      </c>
      <c r="J1557" s="13" t="n">
        <v>800</v>
      </c>
      <c r="K1557" s="14" t="n">
        <f aca="false">I1557*J1557</f>
        <v>40000</v>
      </c>
      <c r="L1557" s="14" t="n">
        <f aca="false">($L$2*M1557)/100</f>
        <v>600833.25</v>
      </c>
      <c r="M1557" s="15" t="n">
        <v>0.5</v>
      </c>
      <c r="N1557" s="9" t="s">
        <v>20</v>
      </c>
    </row>
    <row r="1558" customFormat="false" ht="14.25" hidden="false" customHeight="true" outlineLevel="0" collapsed="false">
      <c r="B1558" s="9" t="s">
        <v>36</v>
      </c>
      <c r="C1558" s="9" t="n">
        <v>1185732</v>
      </c>
      <c r="D1558" s="10" t="n">
        <v>44449</v>
      </c>
      <c r="E1558" s="9" t="s">
        <v>33</v>
      </c>
      <c r="F1558" s="9" t="s">
        <v>72</v>
      </c>
      <c r="G1558" s="9" t="s">
        <v>73</v>
      </c>
      <c r="H1558" s="11" t="s">
        <v>21</v>
      </c>
      <c r="I1558" s="12" t="n">
        <v>45</v>
      </c>
      <c r="J1558" s="13" t="n">
        <v>600</v>
      </c>
      <c r="K1558" s="14" t="n">
        <f aca="false">I1558*J1558</f>
        <v>27000</v>
      </c>
      <c r="L1558" s="14" t="n">
        <f aca="false">($L$2*M1558)/100</f>
        <v>360499.95</v>
      </c>
      <c r="M1558" s="15" t="n">
        <v>0.3</v>
      </c>
      <c r="N1558" s="9" t="s">
        <v>20</v>
      </c>
    </row>
    <row r="1559" customFormat="false" ht="14.25" hidden="false" customHeight="true" outlineLevel="0" collapsed="false">
      <c r="B1559" s="9" t="s">
        <v>36</v>
      </c>
      <c r="C1559" s="9" t="n">
        <v>1185732</v>
      </c>
      <c r="D1559" s="10" t="n">
        <v>44449</v>
      </c>
      <c r="E1559" s="9" t="s">
        <v>33</v>
      </c>
      <c r="F1559" s="9" t="s">
        <v>72</v>
      </c>
      <c r="G1559" s="9" t="s">
        <v>73</v>
      </c>
      <c r="H1559" s="11" t="s">
        <v>22</v>
      </c>
      <c r="I1559" s="12" t="n">
        <v>40</v>
      </c>
      <c r="J1559" s="13" t="n">
        <v>525</v>
      </c>
      <c r="K1559" s="14" t="n">
        <f aca="false">I1559*J1559</f>
        <v>21000</v>
      </c>
      <c r="L1559" s="14" t="n">
        <f aca="false">($L$2*M1559)/100</f>
        <v>420583.275</v>
      </c>
      <c r="M1559" s="15" t="n">
        <v>0.35</v>
      </c>
      <c r="N1559" s="9" t="s">
        <v>20</v>
      </c>
    </row>
    <row r="1560" customFormat="false" ht="14.25" hidden="false" customHeight="true" outlineLevel="0" collapsed="false">
      <c r="B1560" s="9" t="s">
        <v>36</v>
      </c>
      <c r="C1560" s="9" t="n">
        <v>1185732</v>
      </c>
      <c r="D1560" s="10" t="n">
        <v>44449</v>
      </c>
      <c r="E1560" s="9" t="s">
        <v>33</v>
      </c>
      <c r="F1560" s="9" t="s">
        <v>72</v>
      </c>
      <c r="G1560" s="9" t="s">
        <v>73</v>
      </c>
      <c r="H1560" s="11" t="s">
        <v>23</v>
      </c>
      <c r="I1560" s="12" t="n">
        <v>40</v>
      </c>
      <c r="J1560" s="13" t="n">
        <v>500</v>
      </c>
      <c r="K1560" s="14" t="n">
        <f aca="false">I1560*J1560</f>
        <v>20000</v>
      </c>
      <c r="L1560" s="14" t="n">
        <f aca="false">($L$2*M1560)/100</f>
        <v>420583.275</v>
      </c>
      <c r="M1560" s="15" t="n">
        <v>0.35</v>
      </c>
      <c r="N1560" s="9" t="s">
        <v>20</v>
      </c>
    </row>
    <row r="1561" customFormat="false" ht="14.25" hidden="false" customHeight="true" outlineLevel="0" collapsed="false">
      <c r="B1561" s="9" t="s">
        <v>36</v>
      </c>
      <c r="C1561" s="9" t="n">
        <v>1185732</v>
      </c>
      <c r="D1561" s="10" t="n">
        <v>44449</v>
      </c>
      <c r="E1561" s="9" t="s">
        <v>33</v>
      </c>
      <c r="F1561" s="9" t="s">
        <v>72</v>
      </c>
      <c r="G1561" s="9" t="s">
        <v>73</v>
      </c>
      <c r="H1561" s="11" t="s">
        <v>24</v>
      </c>
      <c r="I1561" s="12" t="n">
        <v>50</v>
      </c>
      <c r="J1561" s="13" t="n">
        <v>500</v>
      </c>
      <c r="K1561" s="14" t="n">
        <f aca="false">I1561*J1561</f>
        <v>25000</v>
      </c>
      <c r="L1561" s="14" t="n">
        <f aca="false">($L$2*M1561)/100</f>
        <v>360499.95</v>
      </c>
      <c r="M1561" s="15" t="n">
        <v>0.3</v>
      </c>
      <c r="N1561" s="9" t="s">
        <v>20</v>
      </c>
    </row>
    <row r="1562" customFormat="false" ht="14.25" hidden="false" customHeight="true" outlineLevel="0" collapsed="false">
      <c r="B1562" s="9" t="s">
        <v>36</v>
      </c>
      <c r="C1562" s="9" t="n">
        <v>1185732</v>
      </c>
      <c r="D1562" s="10" t="n">
        <v>44449</v>
      </c>
      <c r="E1562" s="9" t="s">
        <v>33</v>
      </c>
      <c r="F1562" s="9" t="s">
        <v>72</v>
      </c>
      <c r="G1562" s="9" t="s">
        <v>73</v>
      </c>
      <c r="H1562" s="11" t="s">
        <v>25</v>
      </c>
      <c r="I1562" s="12" t="n">
        <v>55</v>
      </c>
      <c r="J1562" s="13" t="n">
        <v>600</v>
      </c>
      <c r="K1562" s="14" t="n">
        <f aca="false">I1562*J1562</f>
        <v>33000</v>
      </c>
      <c r="L1562" s="14" t="n">
        <f aca="false">($L$2*M1562)/100</f>
        <v>300416.625</v>
      </c>
      <c r="M1562" s="15" t="n">
        <v>0.25</v>
      </c>
      <c r="N1562" s="9" t="s">
        <v>20</v>
      </c>
    </row>
    <row r="1563" customFormat="false" ht="14.25" hidden="false" customHeight="true" outlineLevel="0" collapsed="false">
      <c r="B1563" s="9" t="s">
        <v>36</v>
      </c>
      <c r="C1563" s="9" t="n">
        <v>1185732</v>
      </c>
      <c r="D1563" s="10" t="n">
        <v>44481</v>
      </c>
      <c r="E1563" s="9" t="s">
        <v>33</v>
      </c>
      <c r="F1563" s="9" t="s">
        <v>72</v>
      </c>
      <c r="G1563" s="9" t="s">
        <v>73</v>
      </c>
      <c r="H1563" s="11" t="s">
        <v>19</v>
      </c>
      <c r="I1563" s="12" t="n">
        <v>55</v>
      </c>
      <c r="J1563" s="13" t="n">
        <v>775</v>
      </c>
      <c r="K1563" s="14" t="n">
        <f aca="false">I1563*J1563</f>
        <v>42625</v>
      </c>
      <c r="L1563" s="14" t="n">
        <f aca="false">($L$2*M1563)/100</f>
        <v>600833.25</v>
      </c>
      <c r="M1563" s="15" t="n">
        <v>0.5</v>
      </c>
      <c r="N1563" s="9" t="s">
        <v>20</v>
      </c>
    </row>
    <row r="1564" customFormat="false" ht="14.25" hidden="false" customHeight="true" outlineLevel="0" collapsed="false">
      <c r="B1564" s="9" t="s">
        <v>36</v>
      </c>
      <c r="C1564" s="9" t="n">
        <v>1185732</v>
      </c>
      <c r="D1564" s="10" t="n">
        <v>44481</v>
      </c>
      <c r="E1564" s="9" t="s">
        <v>33</v>
      </c>
      <c r="F1564" s="9" t="s">
        <v>72</v>
      </c>
      <c r="G1564" s="9" t="s">
        <v>73</v>
      </c>
      <c r="H1564" s="11" t="s">
        <v>21</v>
      </c>
      <c r="I1564" s="12" t="n">
        <v>45</v>
      </c>
      <c r="J1564" s="13" t="n">
        <v>600</v>
      </c>
      <c r="K1564" s="14" t="n">
        <f aca="false">I1564*J1564</f>
        <v>27000</v>
      </c>
      <c r="L1564" s="14" t="n">
        <f aca="false">($L$2*M1564)/100</f>
        <v>360499.95</v>
      </c>
      <c r="M1564" s="15" t="n">
        <v>0.3</v>
      </c>
      <c r="N1564" s="9" t="s">
        <v>20</v>
      </c>
    </row>
    <row r="1565" customFormat="false" ht="14.25" hidden="false" customHeight="true" outlineLevel="0" collapsed="false">
      <c r="B1565" s="9" t="s">
        <v>36</v>
      </c>
      <c r="C1565" s="9" t="n">
        <v>1185732</v>
      </c>
      <c r="D1565" s="10" t="n">
        <v>44481</v>
      </c>
      <c r="E1565" s="9" t="s">
        <v>33</v>
      </c>
      <c r="F1565" s="9" t="s">
        <v>72</v>
      </c>
      <c r="G1565" s="9" t="s">
        <v>73</v>
      </c>
      <c r="H1565" s="11" t="s">
        <v>22</v>
      </c>
      <c r="I1565" s="12" t="n">
        <v>45</v>
      </c>
      <c r="J1565" s="13" t="n">
        <v>500</v>
      </c>
      <c r="K1565" s="14" t="n">
        <f aca="false">I1565*J1565</f>
        <v>22500</v>
      </c>
      <c r="L1565" s="14" t="n">
        <f aca="false">($L$2*M1565)/100</f>
        <v>420583.275</v>
      </c>
      <c r="M1565" s="15" t="n">
        <v>0.35</v>
      </c>
      <c r="N1565" s="9" t="s">
        <v>20</v>
      </c>
    </row>
    <row r="1566" customFormat="false" ht="14.25" hidden="false" customHeight="true" outlineLevel="0" collapsed="false">
      <c r="B1566" s="9" t="s">
        <v>36</v>
      </c>
      <c r="C1566" s="9" t="n">
        <v>1185732</v>
      </c>
      <c r="D1566" s="10" t="n">
        <v>44481</v>
      </c>
      <c r="E1566" s="9" t="s">
        <v>33</v>
      </c>
      <c r="F1566" s="9" t="s">
        <v>72</v>
      </c>
      <c r="G1566" s="9" t="s">
        <v>73</v>
      </c>
      <c r="H1566" s="11" t="s">
        <v>23</v>
      </c>
      <c r="I1566" s="12" t="n">
        <v>45</v>
      </c>
      <c r="J1566" s="13" t="n">
        <v>475</v>
      </c>
      <c r="K1566" s="14" t="n">
        <f aca="false">I1566*J1566</f>
        <v>21375</v>
      </c>
      <c r="L1566" s="14" t="n">
        <f aca="false">($L$2*M1566)/100</f>
        <v>420583.275</v>
      </c>
      <c r="M1566" s="15" t="n">
        <v>0.35</v>
      </c>
      <c r="N1566" s="9" t="s">
        <v>20</v>
      </c>
    </row>
    <row r="1567" customFormat="false" ht="14.25" hidden="false" customHeight="true" outlineLevel="0" collapsed="false">
      <c r="B1567" s="9" t="s">
        <v>36</v>
      </c>
      <c r="C1567" s="9" t="n">
        <v>1185732</v>
      </c>
      <c r="D1567" s="10" t="n">
        <v>44481</v>
      </c>
      <c r="E1567" s="9" t="s">
        <v>33</v>
      </c>
      <c r="F1567" s="9" t="s">
        <v>72</v>
      </c>
      <c r="G1567" s="9" t="s">
        <v>73</v>
      </c>
      <c r="H1567" s="11" t="s">
        <v>24</v>
      </c>
      <c r="I1567" s="12" t="n">
        <v>55</v>
      </c>
      <c r="J1567" s="13" t="n">
        <v>475</v>
      </c>
      <c r="K1567" s="14" t="n">
        <f aca="false">I1567*J1567</f>
        <v>26125</v>
      </c>
      <c r="L1567" s="14" t="n">
        <f aca="false">($L$2*M1567)/100</f>
        <v>360499.95</v>
      </c>
      <c r="M1567" s="15" t="n">
        <v>0.3</v>
      </c>
      <c r="N1567" s="9" t="s">
        <v>20</v>
      </c>
    </row>
    <row r="1568" customFormat="false" ht="14.25" hidden="false" customHeight="true" outlineLevel="0" collapsed="false">
      <c r="B1568" s="9" t="s">
        <v>36</v>
      </c>
      <c r="C1568" s="9" t="n">
        <v>1185732</v>
      </c>
      <c r="D1568" s="10" t="n">
        <v>44481</v>
      </c>
      <c r="E1568" s="9" t="s">
        <v>33</v>
      </c>
      <c r="F1568" s="9" t="s">
        <v>72</v>
      </c>
      <c r="G1568" s="9" t="s">
        <v>73</v>
      </c>
      <c r="H1568" s="11" t="s">
        <v>25</v>
      </c>
      <c r="I1568" s="12" t="n">
        <v>60</v>
      </c>
      <c r="J1568" s="13" t="n">
        <v>600</v>
      </c>
      <c r="K1568" s="14" t="n">
        <f aca="false">I1568*J1568</f>
        <v>36000</v>
      </c>
      <c r="L1568" s="14" t="n">
        <f aca="false">($L$2*M1568)/100</f>
        <v>300416.625</v>
      </c>
      <c r="M1568" s="15" t="n">
        <v>0.25</v>
      </c>
      <c r="N1568" s="9" t="s">
        <v>20</v>
      </c>
    </row>
    <row r="1569" customFormat="false" ht="14.25" hidden="false" customHeight="true" outlineLevel="0" collapsed="false">
      <c r="B1569" s="9" t="s">
        <v>36</v>
      </c>
      <c r="C1569" s="9" t="n">
        <v>1185732</v>
      </c>
      <c r="D1569" s="10" t="n">
        <v>44511</v>
      </c>
      <c r="E1569" s="9" t="s">
        <v>33</v>
      </c>
      <c r="F1569" s="9" t="s">
        <v>72</v>
      </c>
      <c r="G1569" s="9" t="s">
        <v>73</v>
      </c>
      <c r="H1569" s="11" t="s">
        <v>19</v>
      </c>
      <c r="I1569" s="12" t="n">
        <v>55</v>
      </c>
      <c r="J1569" s="13" t="n">
        <v>750</v>
      </c>
      <c r="K1569" s="14" t="n">
        <f aca="false">I1569*J1569</f>
        <v>41250</v>
      </c>
      <c r="L1569" s="14" t="n">
        <f aca="false">($L$2*M1569)/100</f>
        <v>600833.25</v>
      </c>
      <c r="M1569" s="15" t="n">
        <v>0.5</v>
      </c>
      <c r="N1569" s="9" t="s">
        <v>20</v>
      </c>
    </row>
    <row r="1570" customFormat="false" ht="14.25" hidden="false" customHeight="true" outlineLevel="0" collapsed="false">
      <c r="B1570" s="9" t="s">
        <v>36</v>
      </c>
      <c r="C1570" s="9" t="n">
        <v>1185732</v>
      </c>
      <c r="D1570" s="10" t="n">
        <v>44511</v>
      </c>
      <c r="E1570" s="9" t="s">
        <v>33</v>
      </c>
      <c r="F1570" s="9" t="s">
        <v>72</v>
      </c>
      <c r="G1570" s="9" t="s">
        <v>73</v>
      </c>
      <c r="H1570" s="11" t="s">
        <v>21</v>
      </c>
      <c r="I1570" s="12" t="n">
        <v>45</v>
      </c>
      <c r="J1570" s="13" t="n">
        <v>575</v>
      </c>
      <c r="K1570" s="14" t="n">
        <f aca="false">I1570*J1570</f>
        <v>25875</v>
      </c>
      <c r="L1570" s="14" t="n">
        <f aca="false">($L$2*M1570)/100</f>
        <v>360499.95</v>
      </c>
      <c r="M1570" s="15" t="n">
        <v>0.3</v>
      </c>
      <c r="N1570" s="9" t="s">
        <v>20</v>
      </c>
    </row>
    <row r="1571" customFormat="false" ht="14.25" hidden="false" customHeight="true" outlineLevel="0" collapsed="false">
      <c r="B1571" s="9" t="s">
        <v>36</v>
      </c>
      <c r="C1571" s="9" t="n">
        <v>1185732</v>
      </c>
      <c r="D1571" s="10" t="n">
        <v>44511</v>
      </c>
      <c r="E1571" s="9" t="s">
        <v>33</v>
      </c>
      <c r="F1571" s="9" t="s">
        <v>72</v>
      </c>
      <c r="G1571" s="9" t="s">
        <v>73</v>
      </c>
      <c r="H1571" s="11" t="s">
        <v>22</v>
      </c>
      <c r="I1571" s="12" t="n">
        <v>45</v>
      </c>
      <c r="J1571" s="13" t="n">
        <v>520</v>
      </c>
      <c r="K1571" s="14" t="n">
        <f aca="false">I1571*J1571</f>
        <v>23400</v>
      </c>
      <c r="L1571" s="14" t="n">
        <f aca="false">($L$2*M1571)/100</f>
        <v>420583.275</v>
      </c>
      <c r="M1571" s="15" t="n">
        <v>0.35</v>
      </c>
      <c r="N1571" s="9" t="s">
        <v>20</v>
      </c>
    </row>
    <row r="1572" customFormat="false" ht="14.25" hidden="false" customHeight="true" outlineLevel="0" collapsed="false">
      <c r="B1572" s="9" t="s">
        <v>36</v>
      </c>
      <c r="C1572" s="9" t="n">
        <v>1185732</v>
      </c>
      <c r="D1572" s="10" t="n">
        <v>44511</v>
      </c>
      <c r="E1572" s="9" t="s">
        <v>33</v>
      </c>
      <c r="F1572" s="9" t="s">
        <v>72</v>
      </c>
      <c r="G1572" s="9" t="s">
        <v>73</v>
      </c>
      <c r="H1572" s="11" t="s">
        <v>23</v>
      </c>
      <c r="I1572" s="12" t="n">
        <v>45</v>
      </c>
      <c r="J1572" s="13" t="n">
        <v>500</v>
      </c>
      <c r="K1572" s="14" t="n">
        <f aca="false">I1572*J1572</f>
        <v>22500</v>
      </c>
      <c r="L1572" s="14" t="n">
        <f aca="false">($L$2*M1572)/100</f>
        <v>420583.275</v>
      </c>
      <c r="M1572" s="15" t="n">
        <v>0.35</v>
      </c>
      <c r="N1572" s="9" t="s">
        <v>20</v>
      </c>
    </row>
    <row r="1573" customFormat="false" ht="14.25" hidden="false" customHeight="true" outlineLevel="0" collapsed="false">
      <c r="B1573" s="9" t="s">
        <v>36</v>
      </c>
      <c r="C1573" s="9" t="n">
        <v>1185732</v>
      </c>
      <c r="D1573" s="10" t="n">
        <v>44511</v>
      </c>
      <c r="E1573" s="9" t="s">
        <v>33</v>
      </c>
      <c r="F1573" s="9" t="s">
        <v>72</v>
      </c>
      <c r="G1573" s="9" t="s">
        <v>73</v>
      </c>
      <c r="H1573" s="11" t="s">
        <v>24</v>
      </c>
      <c r="I1573" s="12" t="n">
        <v>55</v>
      </c>
      <c r="J1573" s="13" t="n">
        <v>475</v>
      </c>
      <c r="K1573" s="14" t="n">
        <f aca="false">I1573*J1573</f>
        <v>26125</v>
      </c>
      <c r="L1573" s="14" t="n">
        <f aca="false">($L$2*M1573)/100</f>
        <v>360499.95</v>
      </c>
      <c r="M1573" s="15" t="n">
        <v>0.3</v>
      </c>
      <c r="N1573" s="9" t="s">
        <v>20</v>
      </c>
    </row>
    <row r="1574" customFormat="false" ht="14.25" hidden="false" customHeight="true" outlineLevel="0" collapsed="false">
      <c r="B1574" s="9" t="s">
        <v>36</v>
      </c>
      <c r="C1574" s="9" t="n">
        <v>1185732</v>
      </c>
      <c r="D1574" s="10" t="n">
        <v>44511</v>
      </c>
      <c r="E1574" s="9" t="s">
        <v>33</v>
      </c>
      <c r="F1574" s="9" t="s">
        <v>72</v>
      </c>
      <c r="G1574" s="9" t="s">
        <v>73</v>
      </c>
      <c r="H1574" s="11" t="s">
        <v>25</v>
      </c>
      <c r="I1574" s="12" t="n">
        <v>60</v>
      </c>
      <c r="J1574" s="13" t="n">
        <v>575</v>
      </c>
      <c r="K1574" s="14" t="n">
        <f aca="false">I1574*J1574</f>
        <v>34500</v>
      </c>
      <c r="L1574" s="14" t="n">
        <f aca="false">($L$2*M1574)/100</f>
        <v>300416.625</v>
      </c>
      <c r="M1574" s="15" t="n">
        <v>0.25</v>
      </c>
      <c r="N1574" s="9" t="s">
        <v>20</v>
      </c>
    </row>
    <row r="1575" customFormat="false" ht="14.25" hidden="false" customHeight="true" outlineLevel="0" collapsed="false">
      <c r="B1575" s="9" t="s">
        <v>36</v>
      </c>
      <c r="C1575" s="9" t="n">
        <v>1185732</v>
      </c>
      <c r="D1575" s="10" t="n">
        <v>44540</v>
      </c>
      <c r="E1575" s="9" t="s">
        <v>33</v>
      </c>
      <c r="F1575" s="9" t="s">
        <v>72</v>
      </c>
      <c r="G1575" s="9" t="s">
        <v>73</v>
      </c>
      <c r="H1575" s="11" t="s">
        <v>19</v>
      </c>
      <c r="I1575" s="12" t="n">
        <v>55</v>
      </c>
      <c r="J1575" s="13" t="n">
        <v>800</v>
      </c>
      <c r="K1575" s="14" t="n">
        <f aca="false">I1575*J1575</f>
        <v>44000</v>
      </c>
      <c r="L1575" s="14" t="n">
        <f aca="false">($L$2*M1575)/100</f>
        <v>600833.25</v>
      </c>
      <c r="M1575" s="15" t="n">
        <v>0.5</v>
      </c>
      <c r="N1575" s="9" t="s">
        <v>20</v>
      </c>
    </row>
    <row r="1576" customFormat="false" ht="14.25" hidden="false" customHeight="true" outlineLevel="0" collapsed="false">
      <c r="B1576" s="9" t="s">
        <v>36</v>
      </c>
      <c r="C1576" s="9" t="n">
        <v>1185732</v>
      </c>
      <c r="D1576" s="10" t="n">
        <v>44540</v>
      </c>
      <c r="E1576" s="9" t="s">
        <v>33</v>
      </c>
      <c r="F1576" s="9" t="s">
        <v>72</v>
      </c>
      <c r="G1576" s="9" t="s">
        <v>73</v>
      </c>
      <c r="H1576" s="11" t="s">
        <v>21</v>
      </c>
      <c r="I1576" s="12" t="n">
        <v>45</v>
      </c>
      <c r="J1576" s="13" t="n">
        <v>600</v>
      </c>
      <c r="K1576" s="14" t="n">
        <f aca="false">I1576*J1576</f>
        <v>27000</v>
      </c>
      <c r="L1576" s="14" t="n">
        <f aca="false">($L$2*M1576)/100</f>
        <v>360499.95</v>
      </c>
      <c r="M1576" s="15" t="n">
        <v>0.3</v>
      </c>
      <c r="N1576" s="9" t="s">
        <v>20</v>
      </c>
    </row>
    <row r="1577" customFormat="false" ht="14.25" hidden="false" customHeight="true" outlineLevel="0" collapsed="false">
      <c r="B1577" s="9" t="s">
        <v>16</v>
      </c>
      <c r="C1577" s="9" t="n">
        <v>1185732</v>
      </c>
      <c r="D1577" s="10" t="n">
        <v>44540</v>
      </c>
      <c r="E1577" s="9" t="s">
        <v>33</v>
      </c>
      <c r="F1577" s="9" t="s">
        <v>72</v>
      </c>
      <c r="G1577" s="9" t="s">
        <v>73</v>
      </c>
      <c r="H1577" s="11" t="s">
        <v>22</v>
      </c>
      <c r="I1577" s="12" t="n">
        <v>45</v>
      </c>
      <c r="J1577" s="13" t="n">
        <v>550</v>
      </c>
      <c r="K1577" s="14" t="n">
        <f aca="false">I1577*J1577</f>
        <v>24750</v>
      </c>
      <c r="L1577" s="14" t="n">
        <f aca="false">($L$2*M1577)/100</f>
        <v>420583.275</v>
      </c>
      <c r="M1577" s="15" t="n">
        <v>0.35</v>
      </c>
      <c r="N1577" s="9" t="s">
        <v>20</v>
      </c>
    </row>
    <row r="1578" customFormat="false" ht="14.25" hidden="false" customHeight="true" outlineLevel="0" collapsed="false">
      <c r="B1578" s="9" t="s">
        <v>16</v>
      </c>
      <c r="C1578" s="9" t="n">
        <v>1185732</v>
      </c>
      <c r="D1578" s="10" t="n">
        <v>44540</v>
      </c>
      <c r="E1578" s="9" t="s">
        <v>33</v>
      </c>
      <c r="F1578" s="9" t="s">
        <v>72</v>
      </c>
      <c r="G1578" s="9" t="s">
        <v>73</v>
      </c>
      <c r="H1578" s="11" t="s">
        <v>23</v>
      </c>
      <c r="I1578" s="12" t="n">
        <v>45</v>
      </c>
      <c r="J1578" s="13" t="n">
        <v>500</v>
      </c>
      <c r="K1578" s="14" t="n">
        <f aca="false">I1578*J1578</f>
        <v>22500</v>
      </c>
      <c r="L1578" s="14" t="n">
        <f aca="false">($L$2*M1578)/100</f>
        <v>420583.275</v>
      </c>
      <c r="M1578" s="15" t="n">
        <v>0.35</v>
      </c>
      <c r="N1578" s="9" t="s">
        <v>20</v>
      </c>
    </row>
    <row r="1579" customFormat="false" ht="14.25" hidden="false" customHeight="true" outlineLevel="0" collapsed="false">
      <c r="B1579" s="9" t="s">
        <v>16</v>
      </c>
      <c r="C1579" s="9" t="n">
        <v>1185732</v>
      </c>
      <c r="D1579" s="10" t="n">
        <v>44540</v>
      </c>
      <c r="E1579" s="9" t="s">
        <v>33</v>
      </c>
      <c r="F1579" s="9" t="s">
        <v>72</v>
      </c>
      <c r="G1579" s="9" t="s">
        <v>73</v>
      </c>
      <c r="H1579" s="11" t="s">
        <v>24</v>
      </c>
      <c r="I1579" s="12" t="n">
        <v>55</v>
      </c>
      <c r="J1579" s="13" t="n">
        <v>500</v>
      </c>
      <c r="K1579" s="14" t="n">
        <f aca="false">I1579*J1579</f>
        <v>27500</v>
      </c>
      <c r="L1579" s="14" t="n">
        <f aca="false">($L$2*M1579)/100</f>
        <v>360499.95</v>
      </c>
      <c r="M1579" s="15" t="n">
        <v>0.3</v>
      </c>
      <c r="N1579" s="9" t="s">
        <v>20</v>
      </c>
    </row>
    <row r="1580" customFormat="false" ht="14.25" hidden="false" customHeight="true" outlineLevel="0" collapsed="false">
      <c r="B1580" s="9" t="s">
        <v>16</v>
      </c>
      <c r="C1580" s="9" t="n">
        <v>1185732</v>
      </c>
      <c r="D1580" s="10" t="n">
        <v>44540</v>
      </c>
      <c r="E1580" s="9" t="s">
        <v>33</v>
      </c>
      <c r="F1580" s="9" t="s">
        <v>72</v>
      </c>
      <c r="G1580" s="9" t="s">
        <v>73</v>
      </c>
      <c r="H1580" s="11" t="s">
        <v>25</v>
      </c>
      <c r="I1580" s="12" t="n">
        <v>60</v>
      </c>
      <c r="J1580" s="13" t="n">
        <v>600</v>
      </c>
      <c r="K1580" s="14" t="n">
        <f aca="false">I1580*J1580</f>
        <v>36000</v>
      </c>
      <c r="L1580" s="14" t="n">
        <f aca="false">($L$2*M1580)/100</f>
        <v>300416.625</v>
      </c>
      <c r="M1580" s="15" t="n">
        <v>0.25</v>
      </c>
      <c r="N1580" s="9" t="s">
        <v>20</v>
      </c>
    </row>
    <row r="1581" customFormat="false" ht="14.25" hidden="false" customHeight="true" outlineLevel="0" collapsed="false">
      <c r="B1581" s="9" t="s">
        <v>16</v>
      </c>
      <c r="C1581" s="9" t="n">
        <v>1128299</v>
      </c>
      <c r="D1581" s="10" t="n">
        <v>44220</v>
      </c>
      <c r="E1581" s="9" t="s">
        <v>33</v>
      </c>
      <c r="F1581" s="9" t="s">
        <v>72</v>
      </c>
      <c r="G1581" s="9" t="s">
        <v>73</v>
      </c>
      <c r="H1581" s="11" t="s">
        <v>19</v>
      </c>
      <c r="I1581" s="12" t="n">
        <v>30</v>
      </c>
      <c r="J1581" s="13" t="n">
        <v>350</v>
      </c>
      <c r="K1581" s="14" t="n">
        <f aca="false">I1581*J1581</f>
        <v>10500</v>
      </c>
      <c r="L1581" s="14" t="n">
        <f aca="false">($L$2*M1581)/100</f>
        <v>420583.275</v>
      </c>
      <c r="M1581" s="15" t="n">
        <v>0.35</v>
      </c>
      <c r="N1581" s="9" t="s">
        <v>20</v>
      </c>
    </row>
    <row r="1582" customFormat="false" ht="14.25" hidden="false" customHeight="true" outlineLevel="0" collapsed="false">
      <c r="B1582" s="9" t="s">
        <v>16</v>
      </c>
      <c r="C1582" s="9" t="n">
        <v>1128299</v>
      </c>
      <c r="D1582" s="10" t="n">
        <v>44220</v>
      </c>
      <c r="E1582" s="9" t="s">
        <v>33</v>
      </c>
      <c r="F1582" s="9" t="s">
        <v>72</v>
      </c>
      <c r="G1582" s="9" t="s">
        <v>73</v>
      </c>
      <c r="H1582" s="11" t="s">
        <v>21</v>
      </c>
      <c r="I1582" s="12" t="n">
        <v>40</v>
      </c>
      <c r="J1582" s="13" t="n">
        <v>350</v>
      </c>
      <c r="K1582" s="14" t="n">
        <f aca="false">I1582*J1582</f>
        <v>14000</v>
      </c>
      <c r="L1582" s="14" t="n">
        <f aca="false">($L$2*M1582)/100</f>
        <v>420583.275</v>
      </c>
      <c r="M1582" s="15" t="n">
        <v>0.35</v>
      </c>
      <c r="N1582" s="9" t="s">
        <v>20</v>
      </c>
    </row>
    <row r="1583" customFormat="false" ht="14.25" hidden="false" customHeight="true" outlineLevel="0" collapsed="false">
      <c r="B1583" s="9" t="s">
        <v>16</v>
      </c>
      <c r="C1583" s="9" t="n">
        <v>1128299</v>
      </c>
      <c r="D1583" s="10" t="n">
        <v>44220</v>
      </c>
      <c r="E1583" s="9" t="s">
        <v>33</v>
      </c>
      <c r="F1583" s="9" t="s">
        <v>72</v>
      </c>
      <c r="G1583" s="9" t="s">
        <v>73</v>
      </c>
      <c r="H1583" s="11" t="s">
        <v>22</v>
      </c>
      <c r="I1583" s="12" t="n">
        <v>40</v>
      </c>
      <c r="J1583" s="13" t="n">
        <v>350</v>
      </c>
      <c r="K1583" s="14" t="n">
        <f aca="false">I1583*J1583</f>
        <v>14000</v>
      </c>
      <c r="L1583" s="14" t="n">
        <f aca="false">($L$2*M1583)/100</f>
        <v>420583.275</v>
      </c>
      <c r="M1583" s="15" t="n">
        <v>0.35</v>
      </c>
      <c r="N1583" s="9" t="s">
        <v>20</v>
      </c>
    </row>
    <row r="1584" customFormat="false" ht="14.25" hidden="false" customHeight="true" outlineLevel="0" collapsed="false">
      <c r="B1584" s="9" t="s">
        <v>16</v>
      </c>
      <c r="C1584" s="9" t="n">
        <v>1128299</v>
      </c>
      <c r="D1584" s="10" t="n">
        <v>44220</v>
      </c>
      <c r="E1584" s="9" t="s">
        <v>33</v>
      </c>
      <c r="F1584" s="9" t="s">
        <v>72</v>
      </c>
      <c r="G1584" s="9" t="s">
        <v>73</v>
      </c>
      <c r="H1584" s="11" t="s">
        <v>23</v>
      </c>
      <c r="I1584" s="12" t="n">
        <v>40</v>
      </c>
      <c r="J1584" s="13" t="n">
        <v>200</v>
      </c>
      <c r="K1584" s="14" t="n">
        <f aca="false">I1584*J1584</f>
        <v>8000</v>
      </c>
      <c r="L1584" s="14" t="n">
        <f aca="false">($L$2*M1584)/100</f>
        <v>420583.275</v>
      </c>
      <c r="M1584" s="15" t="n">
        <v>0.35</v>
      </c>
      <c r="N1584" s="9" t="s">
        <v>20</v>
      </c>
    </row>
    <row r="1585" customFormat="false" ht="14.25" hidden="false" customHeight="true" outlineLevel="0" collapsed="false">
      <c r="B1585" s="9" t="s">
        <v>16</v>
      </c>
      <c r="C1585" s="9" t="n">
        <v>1128299</v>
      </c>
      <c r="D1585" s="10" t="n">
        <v>44220</v>
      </c>
      <c r="E1585" s="9" t="s">
        <v>33</v>
      </c>
      <c r="F1585" s="9" t="s">
        <v>72</v>
      </c>
      <c r="G1585" s="9" t="s">
        <v>73</v>
      </c>
      <c r="H1585" s="11" t="s">
        <v>24</v>
      </c>
      <c r="I1585" s="12" t="n">
        <v>45</v>
      </c>
      <c r="J1585" s="13" t="n">
        <v>150</v>
      </c>
      <c r="K1585" s="14" t="n">
        <f aca="false">I1585*J1585</f>
        <v>6750</v>
      </c>
      <c r="L1585" s="14" t="n">
        <f aca="false">($L$2*M1585)/100</f>
        <v>480666.6</v>
      </c>
      <c r="M1585" s="15" t="n">
        <v>0.4</v>
      </c>
      <c r="N1585" s="9" t="s">
        <v>20</v>
      </c>
    </row>
    <row r="1586" customFormat="false" ht="14.25" hidden="false" customHeight="true" outlineLevel="0" collapsed="false">
      <c r="B1586" s="9" t="s">
        <v>16</v>
      </c>
      <c r="C1586" s="9" t="n">
        <v>1128299</v>
      </c>
      <c r="D1586" s="10" t="n">
        <v>44220</v>
      </c>
      <c r="E1586" s="9" t="s">
        <v>33</v>
      </c>
      <c r="F1586" s="9" t="s">
        <v>72</v>
      </c>
      <c r="G1586" s="9" t="s">
        <v>73</v>
      </c>
      <c r="H1586" s="11" t="s">
        <v>25</v>
      </c>
      <c r="I1586" s="12" t="n">
        <v>40</v>
      </c>
      <c r="J1586" s="13" t="n">
        <v>400</v>
      </c>
      <c r="K1586" s="14" t="n">
        <f aca="false">I1586*J1586</f>
        <v>16000</v>
      </c>
      <c r="L1586" s="14" t="n">
        <f aca="false">($L$2*M1586)/100</f>
        <v>360499.95</v>
      </c>
      <c r="M1586" s="15" t="n">
        <v>0.3</v>
      </c>
      <c r="N1586" s="9" t="s">
        <v>20</v>
      </c>
    </row>
    <row r="1587" customFormat="false" ht="14.25" hidden="false" customHeight="true" outlineLevel="0" collapsed="false">
      <c r="B1587" s="9" t="s">
        <v>16</v>
      </c>
      <c r="C1587" s="9" t="n">
        <v>1128299</v>
      </c>
      <c r="D1587" s="10" t="n">
        <v>44251</v>
      </c>
      <c r="E1587" s="9" t="s">
        <v>33</v>
      </c>
      <c r="F1587" s="9" t="s">
        <v>72</v>
      </c>
      <c r="G1587" s="9" t="s">
        <v>73</v>
      </c>
      <c r="H1587" s="11" t="s">
        <v>19</v>
      </c>
      <c r="I1587" s="12" t="n">
        <v>30</v>
      </c>
      <c r="J1587" s="13" t="n">
        <v>450</v>
      </c>
      <c r="K1587" s="14" t="n">
        <f aca="false">I1587*J1587</f>
        <v>13500</v>
      </c>
      <c r="L1587" s="14" t="n">
        <f aca="false">($L$2*M1587)/100</f>
        <v>420583.275</v>
      </c>
      <c r="M1587" s="15" t="n">
        <v>0.35</v>
      </c>
      <c r="N1587" s="9" t="s">
        <v>20</v>
      </c>
    </row>
    <row r="1588" customFormat="false" ht="14.25" hidden="false" customHeight="true" outlineLevel="0" collapsed="false">
      <c r="B1588" s="9" t="s">
        <v>16</v>
      </c>
      <c r="C1588" s="9" t="n">
        <v>1128299</v>
      </c>
      <c r="D1588" s="10" t="n">
        <v>44251</v>
      </c>
      <c r="E1588" s="9" t="s">
        <v>33</v>
      </c>
      <c r="F1588" s="9" t="s">
        <v>72</v>
      </c>
      <c r="G1588" s="9" t="s">
        <v>73</v>
      </c>
      <c r="H1588" s="11" t="s">
        <v>21</v>
      </c>
      <c r="I1588" s="12" t="n">
        <v>40</v>
      </c>
      <c r="J1588" s="13" t="n">
        <v>350</v>
      </c>
      <c r="K1588" s="14" t="n">
        <f aca="false">I1588*J1588</f>
        <v>14000</v>
      </c>
      <c r="L1588" s="14" t="n">
        <f aca="false">($L$2*M1588)/100</f>
        <v>420583.275</v>
      </c>
      <c r="M1588" s="15" t="n">
        <v>0.35</v>
      </c>
      <c r="N1588" s="9" t="s">
        <v>20</v>
      </c>
    </row>
    <row r="1589" customFormat="false" ht="14.25" hidden="false" customHeight="true" outlineLevel="0" collapsed="false">
      <c r="B1589" s="9" t="s">
        <v>16</v>
      </c>
      <c r="C1589" s="9" t="n">
        <v>1128299</v>
      </c>
      <c r="D1589" s="10" t="n">
        <v>44251</v>
      </c>
      <c r="E1589" s="9" t="s">
        <v>33</v>
      </c>
      <c r="F1589" s="9" t="s">
        <v>72</v>
      </c>
      <c r="G1589" s="9" t="s">
        <v>73</v>
      </c>
      <c r="H1589" s="11" t="s">
        <v>22</v>
      </c>
      <c r="I1589" s="12" t="n">
        <v>40</v>
      </c>
      <c r="J1589" s="13" t="n">
        <v>350</v>
      </c>
      <c r="K1589" s="14" t="n">
        <f aca="false">I1589*J1589</f>
        <v>14000</v>
      </c>
      <c r="L1589" s="14" t="n">
        <f aca="false">($L$2*M1589)/100</f>
        <v>420583.275</v>
      </c>
      <c r="M1589" s="15" t="n">
        <v>0.35</v>
      </c>
      <c r="N1589" s="9" t="s">
        <v>20</v>
      </c>
    </row>
    <row r="1590" customFormat="false" ht="14.25" hidden="false" customHeight="true" outlineLevel="0" collapsed="false">
      <c r="B1590" s="9" t="s">
        <v>16</v>
      </c>
      <c r="C1590" s="9" t="n">
        <v>1128299</v>
      </c>
      <c r="D1590" s="10" t="n">
        <v>44251</v>
      </c>
      <c r="E1590" s="9" t="s">
        <v>50</v>
      </c>
      <c r="F1590" s="9" t="s">
        <v>74</v>
      </c>
      <c r="G1590" s="9" t="s">
        <v>75</v>
      </c>
      <c r="H1590" s="11" t="s">
        <v>23</v>
      </c>
      <c r="I1590" s="12" t="n">
        <v>40</v>
      </c>
      <c r="J1590" s="13" t="n">
        <v>200</v>
      </c>
      <c r="K1590" s="14" t="n">
        <f aca="false">I1590*J1590</f>
        <v>8000</v>
      </c>
      <c r="L1590" s="14" t="n">
        <f aca="false">($L$2*M1590)/100</f>
        <v>420583.275</v>
      </c>
      <c r="M1590" s="15" t="n">
        <v>0.35</v>
      </c>
      <c r="N1590" s="9" t="s">
        <v>20</v>
      </c>
    </row>
    <row r="1591" customFormat="false" ht="14.25" hidden="false" customHeight="true" outlineLevel="0" collapsed="false">
      <c r="B1591" s="9" t="s">
        <v>16</v>
      </c>
      <c r="C1591" s="9" t="n">
        <v>1128299</v>
      </c>
      <c r="D1591" s="10" t="n">
        <v>44251</v>
      </c>
      <c r="E1591" s="9" t="s">
        <v>50</v>
      </c>
      <c r="F1591" s="9" t="s">
        <v>74</v>
      </c>
      <c r="G1591" s="9" t="s">
        <v>75</v>
      </c>
      <c r="H1591" s="11" t="s">
        <v>24</v>
      </c>
      <c r="I1591" s="12" t="n">
        <v>45</v>
      </c>
      <c r="J1591" s="13" t="n">
        <v>125</v>
      </c>
      <c r="K1591" s="14" t="n">
        <f aca="false">I1591*J1591</f>
        <v>5625</v>
      </c>
      <c r="L1591" s="14" t="n">
        <f aca="false">($L$2*M1591)/100</f>
        <v>480666.6</v>
      </c>
      <c r="M1591" s="15" t="n">
        <v>0.4</v>
      </c>
      <c r="N1591" s="9" t="s">
        <v>20</v>
      </c>
    </row>
    <row r="1592" customFormat="false" ht="14.25" hidden="false" customHeight="true" outlineLevel="0" collapsed="false">
      <c r="B1592" s="9" t="s">
        <v>16</v>
      </c>
      <c r="C1592" s="9" t="n">
        <v>1128299</v>
      </c>
      <c r="D1592" s="10" t="n">
        <v>44251</v>
      </c>
      <c r="E1592" s="9" t="s">
        <v>50</v>
      </c>
      <c r="F1592" s="9" t="s">
        <v>74</v>
      </c>
      <c r="G1592" s="9" t="s">
        <v>75</v>
      </c>
      <c r="H1592" s="11" t="s">
        <v>25</v>
      </c>
      <c r="I1592" s="12" t="n">
        <v>40</v>
      </c>
      <c r="J1592" s="13" t="n">
        <v>325</v>
      </c>
      <c r="K1592" s="14" t="n">
        <f aca="false">I1592*J1592</f>
        <v>13000</v>
      </c>
      <c r="L1592" s="14" t="n">
        <f aca="false">($L$2*M1592)/100</f>
        <v>360499.95</v>
      </c>
      <c r="M1592" s="15" t="n">
        <v>0.3</v>
      </c>
      <c r="N1592" s="9" t="s">
        <v>20</v>
      </c>
    </row>
    <row r="1593" customFormat="false" ht="14.25" hidden="false" customHeight="true" outlineLevel="0" collapsed="false">
      <c r="B1593" s="9" t="s">
        <v>16</v>
      </c>
      <c r="C1593" s="9" t="n">
        <v>1128299</v>
      </c>
      <c r="D1593" s="10" t="n">
        <v>44278</v>
      </c>
      <c r="E1593" s="9" t="s">
        <v>50</v>
      </c>
      <c r="F1593" s="9" t="s">
        <v>74</v>
      </c>
      <c r="G1593" s="9" t="s">
        <v>75</v>
      </c>
      <c r="H1593" s="11" t="s">
        <v>19</v>
      </c>
      <c r="I1593" s="12" t="n">
        <v>40</v>
      </c>
      <c r="J1593" s="13" t="n">
        <v>475</v>
      </c>
      <c r="K1593" s="14" t="n">
        <f aca="false">I1593*J1593</f>
        <v>19000</v>
      </c>
      <c r="L1593" s="14" t="n">
        <f aca="false">($L$2*M1593)/100</f>
        <v>420583.275</v>
      </c>
      <c r="M1593" s="15" t="n">
        <v>0.35</v>
      </c>
      <c r="N1593" s="9" t="s">
        <v>20</v>
      </c>
    </row>
    <row r="1594" customFormat="false" ht="14.25" hidden="false" customHeight="true" outlineLevel="0" collapsed="false">
      <c r="B1594" s="9" t="s">
        <v>16</v>
      </c>
      <c r="C1594" s="9" t="n">
        <v>1128299</v>
      </c>
      <c r="D1594" s="10" t="n">
        <v>44278</v>
      </c>
      <c r="E1594" s="9" t="s">
        <v>50</v>
      </c>
      <c r="F1594" s="9" t="s">
        <v>74</v>
      </c>
      <c r="G1594" s="9" t="s">
        <v>75</v>
      </c>
      <c r="H1594" s="11" t="s">
        <v>21</v>
      </c>
      <c r="I1594" s="12" t="n">
        <v>50</v>
      </c>
      <c r="J1594" s="13" t="n">
        <v>325</v>
      </c>
      <c r="K1594" s="14" t="n">
        <f aca="false">I1594*J1594</f>
        <v>16250</v>
      </c>
      <c r="L1594" s="14" t="n">
        <f aca="false">($L$2*M1594)/100</f>
        <v>420583.275</v>
      </c>
      <c r="M1594" s="15" t="n">
        <v>0.35</v>
      </c>
      <c r="N1594" s="9" t="s">
        <v>20</v>
      </c>
    </row>
    <row r="1595" customFormat="false" ht="14.25" hidden="false" customHeight="true" outlineLevel="0" collapsed="false">
      <c r="B1595" s="9" t="s">
        <v>16</v>
      </c>
      <c r="C1595" s="9" t="n">
        <v>1128299</v>
      </c>
      <c r="D1595" s="10" t="n">
        <v>44278</v>
      </c>
      <c r="E1595" s="9" t="s">
        <v>50</v>
      </c>
      <c r="F1595" s="9" t="s">
        <v>74</v>
      </c>
      <c r="G1595" s="9" t="s">
        <v>75</v>
      </c>
      <c r="H1595" s="11" t="s">
        <v>22</v>
      </c>
      <c r="I1595" s="12" t="n">
        <v>55</v>
      </c>
      <c r="J1595" s="13" t="n">
        <v>350</v>
      </c>
      <c r="K1595" s="14" t="n">
        <f aca="false">I1595*J1595</f>
        <v>19250</v>
      </c>
      <c r="L1595" s="14" t="n">
        <f aca="false">($L$2*M1595)/100</f>
        <v>420583.275</v>
      </c>
      <c r="M1595" s="15" t="n">
        <v>0.35</v>
      </c>
      <c r="N1595" s="9" t="s">
        <v>20</v>
      </c>
    </row>
    <row r="1596" customFormat="false" ht="14.25" hidden="false" customHeight="true" outlineLevel="0" collapsed="false">
      <c r="B1596" s="9" t="s">
        <v>16</v>
      </c>
      <c r="C1596" s="9" t="n">
        <v>1128299</v>
      </c>
      <c r="D1596" s="10" t="n">
        <v>44278</v>
      </c>
      <c r="E1596" s="9" t="s">
        <v>50</v>
      </c>
      <c r="F1596" s="9" t="s">
        <v>74</v>
      </c>
      <c r="G1596" s="9" t="s">
        <v>75</v>
      </c>
      <c r="H1596" s="11" t="s">
        <v>23</v>
      </c>
      <c r="I1596" s="12" t="n">
        <v>50</v>
      </c>
      <c r="J1596" s="13" t="n">
        <v>250</v>
      </c>
      <c r="K1596" s="14" t="n">
        <f aca="false">I1596*J1596</f>
        <v>12500</v>
      </c>
      <c r="L1596" s="14" t="n">
        <f aca="false">($L$2*M1596)/100</f>
        <v>420583.275</v>
      </c>
      <c r="M1596" s="15" t="n">
        <v>0.35</v>
      </c>
      <c r="N1596" s="9" t="s">
        <v>20</v>
      </c>
    </row>
    <row r="1597" customFormat="false" ht="14.25" hidden="false" customHeight="true" outlineLevel="0" collapsed="false">
      <c r="B1597" s="9" t="s">
        <v>16</v>
      </c>
      <c r="C1597" s="9" t="n">
        <v>1128299</v>
      </c>
      <c r="D1597" s="10" t="n">
        <v>44278</v>
      </c>
      <c r="E1597" s="9" t="s">
        <v>50</v>
      </c>
      <c r="F1597" s="9" t="s">
        <v>74</v>
      </c>
      <c r="G1597" s="9" t="s">
        <v>75</v>
      </c>
      <c r="H1597" s="11" t="s">
        <v>24</v>
      </c>
      <c r="I1597" s="12" t="n">
        <v>55</v>
      </c>
      <c r="J1597" s="13" t="n">
        <v>100</v>
      </c>
      <c r="K1597" s="14" t="n">
        <f aca="false">I1597*J1597</f>
        <v>5500</v>
      </c>
      <c r="L1597" s="14" t="n">
        <f aca="false">($L$2*M1597)/100</f>
        <v>480666.6</v>
      </c>
      <c r="M1597" s="15" t="n">
        <v>0.4</v>
      </c>
      <c r="N1597" s="9" t="s">
        <v>20</v>
      </c>
    </row>
    <row r="1598" customFormat="false" ht="14.25" hidden="false" customHeight="true" outlineLevel="0" collapsed="false">
      <c r="B1598" s="9" t="s">
        <v>16</v>
      </c>
      <c r="C1598" s="9" t="n">
        <v>1128299</v>
      </c>
      <c r="D1598" s="10" t="n">
        <v>44278</v>
      </c>
      <c r="E1598" s="9" t="s">
        <v>50</v>
      </c>
      <c r="F1598" s="9" t="s">
        <v>74</v>
      </c>
      <c r="G1598" s="9" t="s">
        <v>75</v>
      </c>
      <c r="H1598" s="11" t="s">
        <v>25</v>
      </c>
      <c r="I1598" s="12" t="n">
        <v>50</v>
      </c>
      <c r="J1598" s="13" t="n">
        <v>300</v>
      </c>
      <c r="K1598" s="14" t="n">
        <f aca="false">I1598*J1598</f>
        <v>15000</v>
      </c>
      <c r="L1598" s="14" t="n">
        <f aca="false">($L$2*M1598)/100</f>
        <v>360499.95</v>
      </c>
      <c r="M1598" s="15" t="n">
        <v>0.3</v>
      </c>
      <c r="N1598" s="9" t="s">
        <v>20</v>
      </c>
    </row>
    <row r="1599" customFormat="false" ht="14.25" hidden="false" customHeight="true" outlineLevel="0" collapsed="false">
      <c r="B1599" s="9" t="s">
        <v>16</v>
      </c>
      <c r="C1599" s="9" t="n">
        <v>1128299</v>
      </c>
      <c r="D1599" s="10" t="n">
        <v>44310</v>
      </c>
      <c r="E1599" s="9" t="s">
        <v>50</v>
      </c>
      <c r="F1599" s="9" t="s">
        <v>74</v>
      </c>
      <c r="G1599" s="9" t="s">
        <v>75</v>
      </c>
      <c r="H1599" s="11" t="s">
        <v>19</v>
      </c>
      <c r="I1599" s="12" t="n">
        <v>55</v>
      </c>
      <c r="J1599" s="13" t="n">
        <v>475</v>
      </c>
      <c r="K1599" s="14" t="n">
        <f aca="false">I1599*J1599</f>
        <v>26125</v>
      </c>
      <c r="L1599" s="14" t="n">
        <f aca="false">($L$2*M1599)/100</f>
        <v>420583.275</v>
      </c>
      <c r="M1599" s="15" t="n">
        <v>0.35</v>
      </c>
      <c r="N1599" s="9" t="s">
        <v>20</v>
      </c>
    </row>
    <row r="1600" customFormat="false" ht="14.25" hidden="false" customHeight="true" outlineLevel="0" collapsed="false">
      <c r="B1600" s="9" t="s">
        <v>16</v>
      </c>
      <c r="C1600" s="9" t="n">
        <v>1128299</v>
      </c>
      <c r="D1600" s="10" t="n">
        <v>44310</v>
      </c>
      <c r="E1600" s="9" t="s">
        <v>50</v>
      </c>
      <c r="F1600" s="9" t="s">
        <v>74</v>
      </c>
      <c r="G1600" s="9" t="s">
        <v>75</v>
      </c>
      <c r="H1600" s="11" t="s">
        <v>21</v>
      </c>
      <c r="I1600" s="12" t="n">
        <v>60</v>
      </c>
      <c r="J1600" s="13" t="n">
        <v>275</v>
      </c>
      <c r="K1600" s="14" t="n">
        <f aca="false">I1600*J1600</f>
        <v>16500</v>
      </c>
      <c r="L1600" s="14" t="n">
        <f aca="false">($L$2*M1600)/100</f>
        <v>420583.275</v>
      </c>
      <c r="M1600" s="15" t="n">
        <v>0.35</v>
      </c>
      <c r="N1600" s="9" t="s">
        <v>20</v>
      </c>
    </row>
    <row r="1601" customFormat="false" ht="14.25" hidden="false" customHeight="true" outlineLevel="0" collapsed="false">
      <c r="B1601" s="9" t="s">
        <v>16</v>
      </c>
      <c r="C1601" s="9" t="n">
        <v>1128299</v>
      </c>
      <c r="D1601" s="10" t="n">
        <v>44310</v>
      </c>
      <c r="E1601" s="9" t="s">
        <v>50</v>
      </c>
      <c r="F1601" s="9" t="s">
        <v>74</v>
      </c>
      <c r="G1601" s="9" t="s">
        <v>75</v>
      </c>
      <c r="H1601" s="11" t="s">
        <v>22</v>
      </c>
      <c r="I1601" s="12" t="n">
        <v>60</v>
      </c>
      <c r="J1601" s="13" t="n">
        <v>325</v>
      </c>
      <c r="K1601" s="14" t="n">
        <f aca="false">I1601*J1601</f>
        <v>19500</v>
      </c>
      <c r="L1601" s="14" t="n">
        <f aca="false">($L$2*M1601)/100</f>
        <v>420583.275</v>
      </c>
      <c r="M1601" s="15" t="n">
        <v>0.35</v>
      </c>
      <c r="N1601" s="9" t="s">
        <v>20</v>
      </c>
    </row>
    <row r="1602" customFormat="false" ht="14.25" hidden="false" customHeight="true" outlineLevel="0" collapsed="false">
      <c r="B1602" s="9" t="s">
        <v>16</v>
      </c>
      <c r="C1602" s="9" t="n">
        <v>1128299</v>
      </c>
      <c r="D1602" s="10" t="n">
        <v>44310</v>
      </c>
      <c r="E1602" s="9" t="s">
        <v>50</v>
      </c>
      <c r="F1602" s="9" t="s">
        <v>74</v>
      </c>
      <c r="G1602" s="9" t="s">
        <v>75</v>
      </c>
      <c r="H1602" s="11" t="s">
        <v>23</v>
      </c>
      <c r="I1602" s="12" t="n">
        <v>45</v>
      </c>
      <c r="J1602" s="13" t="n">
        <v>225</v>
      </c>
      <c r="K1602" s="14" t="n">
        <f aca="false">I1602*J1602</f>
        <v>10125</v>
      </c>
      <c r="L1602" s="14" t="n">
        <f aca="false">($L$2*M1602)/100</f>
        <v>420583.275</v>
      </c>
      <c r="M1602" s="15" t="n">
        <v>0.35</v>
      </c>
      <c r="N1602" s="9" t="s">
        <v>20</v>
      </c>
    </row>
    <row r="1603" customFormat="false" ht="14.25" hidden="false" customHeight="true" outlineLevel="0" collapsed="false">
      <c r="B1603" s="9" t="s">
        <v>16</v>
      </c>
      <c r="C1603" s="9" t="n">
        <v>1128299</v>
      </c>
      <c r="D1603" s="10" t="n">
        <v>44310</v>
      </c>
      <c r="E1603" s="9" t="s">
        <v>50</v>
      </c>
      <c r="F1603" s="9" t="s">
        <v>74</v>
      </c>
      <c r="G1603" s="9" t="s">
        <v>75</v>
      </c>
      <c r="H1603" s="11" t="s">
        <v>24</v>
      </c>
      <c r="I1603" s="12" t="n">
        <v>50</v>
      </c>
      <c r="J1603" s="13" t="n">
        <v>125</v>
      </c>
      <c r="K1603" s="14" t="n">
        <f aca="false">I1603*J1603</f>
        <v>6250</v>
      </c>
      <c r="L1603" s="14" t="n">
        <f aca="false">($L$2*M1603)/100</f>
        <v>480666.6</v>
      </c>
      <c r="M1603" s="15" t="n">
        <v>0.4</v>
      </c>
      <c r="N1603" s="9" t="s">
        <v>20</v>
      </c>
    </row>
    <row r="1604" customFormat="false" ht="14.25" hidden="false" customHeight="true" outlineLevel="0" collapsed="false">
      <c r="B1604" s="9" t="s">
        <v>16</v>
      </c>
      <c r="C1604" s="9" t="n">
        <v>1128299</v>
      </c>
      <c r="D1604" s="10" t="n">
        <v>44310</v>
      </c>
      <c r="E1604" s="9" t="s">
        <v>50</v>
      </c>
      <c r="F1604" s="9" t="s">
        <v>74</v>
      </c>
      <c r="G1604" s="9" t="s">
        <v>75</v>
      </c>
      <c r="H1604" s="11" t="s">
        <v>25</v>
      </c>
      <c r="I1604" s="12" t="n">
        <v>65</v>
      </c>
      <c r="J1604" s="13" t="n">
        <v>300</v>
      </c>
      <c r="K1604" s="14" t="n">
        <f aca="false">I1604*J1604</f>
        <v>19500</v>
      </c>
      <c r="L1604" s="14" t="n">
        <f aca="false">($L$2*M1604)/100</f>
        <v>360499.95</v>
      </c>
      <c r="M1604" s="15" t="n">
        <v>0.3</v>
      </c>
      <c r="N1604" s="9" t="s">
        <v>20</v>
      </c>
    </row>
    <row r="1605" customFormat="false" ht="14.25" hidden="false" customHeight="true" outlineLevel="0" collapsed="false">
      <c r="B1605" s="9" t="s">
        <v>16</v>
      </c>
      <c r="C1605" s="9" t="n">
        <v>1128299</v>
      </c>
      <c r="D1605" s="10" t="n">
        <v>44341</v>
      </c>
      <c r="E1605" s="9" t="s">
        <v>50</v>
      </c>
      <c r="F1605" s="9" t="s">
        <v>74</v>
      </c>
      <c r="G1605" s="9" t="s">
        <v>75</v>
      </c>
      <c r="H1605" s="11" t="s">
        <v>19</v>
      </c>
      <c r="I1605" s="12" t="n">
        <v>50</v>
      </c>
      <c r="J1605" s="13" t="n">
        <v>500</v>
      </c>
      <c r="K1605" s="14" t="n">
        <f aca="false">I1605*J1605</f>
        <v>25000</v>
      </c>
      <c r="L1605" s="14" t="n">
        <f aca="false">($L$2*M1605)/100</f>
        <v>420583.275</v>
      </c>
      <c r="M1605" s="15" t="n">
        <v>0.35</v>
      </c>
      <c r="N1605" s="9" t="s">
        <v>20</v>
      </c>
    </row>
    <row r="1606" customFormat="false" ht="14.25" hidden="false" customHeight="true" outlineLevel="0" collapsed="false">
      <c r="B1606" s="9" t="s">
        <v>16</v>
      </c>
      <c r="C1606" s="9" t="n">
        <v>1128299</v>
      </c>
      <c r="D1606" s="10" t="n">
        <v>44341</v>
      </c>
      <c r="E1606" s="9" t="s">
        <v>50</v>
      </c>
      <c r="F1606" s="9" t="s">
        <v>74</v>
      </c>
      <c r="G1606" s="9" t="s">
        <v>75</v>
      </c>
      <c r="H1606" s="11" t="s">
        <v>21</v>
      </c>
      <c r="I1606" s="12" t="n">
        <v>55</v>
      </c>
      <c r="J1606" s="13" t="n">
        <v>350</v>
      </c>
      <c r="K1606" s="14" t="n">
        <f aca="false">I1606*J1606</f>
        <v>19250</v>
      </c>
      <c r="L1606" s="14" t="n">
        <f aca="false">($L$2*M1606)/100</f>
        <v>420583.275</v>
      </c>
      <c r="M1606" s="15" t="n">
        <v>0.35</v>
      </c>
      <c r="N1606" s="9" t="s">
        <v>20</v>
      </c>
    </row>
    <row r="1607" customFormat="false" ht="14.25" hidden="false" customHeight="true" outlineLevel="0" collapsed="false">
      <c r="B1607" s="9" t="s">
        <v>16</v>
      </c>
      <c r="C1607" s="9" t="n">
        <v>1128299</v>
      </c>
      <c r="D1607" s="10" t="n">
        <v>44341</v>
      </c>
      <c r="E1607" s="9" t="s">
        <v>50</v>
      </c>
      <c r="F1607" s="9" t="s">
        <v>74</v>
      </c>
      <c r="G1607" s="9" t="s">
        <v>75</v>
      </c>
      <c r="H1607" s="11" t="s">
        <v>22</v>
      </c>
      <c r="I1607" s="12" t="n">
        <v>55</v>
      </c>
      <c r="J1607" s="13" t="n">
        <v>350</v>
      </c>
      <c r="K1607" s="14" t="n">
        <f aca="false">I1607*J1607</f>
        <v>19250</v>
      </c>
      <c r="L1607" s="14" t="n">
        <f aca="false">($L$2*M1607)/100</f>
        <v>420583.275</v>
      </c>
      <c r="M1607" s="15" t="n">
        <v>0.35</v>
      </c>
      <c r="N1607" s="9" t="s">
        <v>20</v>
      </c>
    </row>
    <row r="1608" customFormat="false" ht="14.25" hidden="false" customHeight="true" outlineLevel="0" collapsed="false">
      <c r="B1608" s="9" t="s">
        <v>16</v>
      </c>
      <c r="C1608" s="9" t="n">
        <v>1128299</v>
      </c>
      <c r="D1608" s="10" t="n">
        <v>44341</v>
      </c>
      <c r="E1608" s="9" t="s">
        <v>50</v>
      </c>
      <c r="F1608" s="9" t="s">
        <v>74</v>
      </c>
      <c r="G1608" s="9" t="s">
        <v>75</v>
      </c>
      <c r="H1608" s="11" t="s">
        <v>23</v>
      </c>
      <c r="I1608" s="12" t="n">
        <v>50</v>
      </c>
      <c r="J1608" s="13" t="n">
        <v>275</v>
      </c>
      <c r="K1608" s="14" t="n">
        <f aca="false">I1608*J1608</f>
        <v>13750</v>
      </c>
      <c r="L1608" s="14" t="n">
        <f aca="false">($L$2*M1608)/100</f>
        <v>420583.275</v>
      </c>
      <c r="M1608" s="15" t="n">
        <v>0.35</v>
      </c>
      <c r="N1608" s="9" t="s">
        <v>20</v>
      </c>
    </row>
    <row r="1609" customFormat="false" ht="14.25" hidden="false" customHeight="true" outlineLevel="0" collapsed="false">
      <c r="B1609" s="9" t="s">
        <v>16</v>
      </c>
      <c r="C1609" s="9" t="n">
        <v>1128299</v>
      </c>
      <c r="D1609" s="10" t="n">
        <v>44341</v>
      </c>
      <c r="E1609" s="9" t="s">
        <v>50</v>
      </c>
      <c r="F1609" s="9" t="s">
        <v>74</v>
      </c>
      <c r="G1609" s="9" t="s">
        <v>75</v>
      </c>
      <c r="H1609" s="11" t="s">
        <v>24</v>
      </c>
      <c r="I1609" s="12" t="n">
        <v>45</v>
      </c>
      <c r="J1609" s="13" t="n">
        <v>175</v>
      </c>
      <c r="K1609" s="14" t="n">
        <f aca="false">I1609*J1609</f>
        <v>7875</v>
      </c>
      <c r="L1609" s="14" t="n">
        <f aca="false">($L$2*M1609)/100</f>
        <v>480666.6</v>
      </c>
      <c r="M1609" s="15" t="n">
        <v>0.4</v>
      </c>
      <c r="N1609" s="9" t="s">
        <v>20</v>
      </c>
    </row>
    <row r="1610" customFormat="false" ht="14.25" hidden="false" customHeight="true" outlineLevel="0" collapsed="false">
      <c r="B1610" s="9" t="s">
        <v>16</v>
      </c>
      <c r="C1610" s="9" t="n">
        <v>1128299</v>
      </c>
      <c r="D1610" s="10" t="n">
        <v>44341</v>
      </c>
      <c r="E1610" s="9" t="s">
        <v>50</v>
      </c>
      <c r="F1610" s="9" t="s">
        <v>74</v>
      </c>
      <c r="G1610" s="9" t="s">
        <v>75</v>
      </c>
      <c r="H1610" s="11" t="s">
        <v>25</v>
      </c>
      <c r="I1610" s="12" t="n">
        <v>60</v>
      </c>
      <c r="J1610" s="13" t="n">
        <v>525</v>
      </c>
      <c r="K1610" s="14" t="n">
        <f aca="false">I1610*J1610</f>
        <v>31500</v>
      </c>
      <c r="L1610" s="14" t="n">
        <f aca="false">($L$2*M1610)/100</f>
        <v>360499.95</v>
      </c>
      <c r="M1610" s="15" t="n">
        <v>0.3</v>
      </c>
      <c r="N1610" s="9" t="s">
        <v>20</v>
      </c>
    </row>
    <row r="1611" customFormat="false" ht="14.25" hidden="false" customHeight="true" outlineLevel="0" collapsed="false">
      <c r="B1611" s="9" t="s">
        <v>16</v>
      </c>
      <c r="C1611" s="9" t="n">
        <v>1128299</v>
      </c>
      <c r="D1611" s="10" t="n">
        <v>44371</v>
      </c>
      <c r="E1611" s="9" t="s">
        <v>50</v>
      </c>
      <c r="F1611" s="9" t="s">
        <v>74</v>
      </c>
      <c r="G1611" s="9" t="s">
        <v>75</v>
      </c>
      <c r="H1611" s="11" t="s">
        <v>19</v>
      </c>
      <c r="I1611" s="12" t="n">
        <v>55</v>
      </c>
      <c r="J1611" s="13" t="n">
        <v>775</v>
      </c>
      <c r="K1611" s="14" t="n">
        <f aca="false">I1611*J1611</f>
        <v>42625</v>
      </c>
      <c r="L1611" s="14" t="n">
        <f aca="false">($L$2*M1611)/100</f>
        <v>420583.275</v>
      </c>
      <c r="M1611" s="15" t="n">
        <v>0.35</v>
      </c>
      <c r="N1611" s="9" t="s">
        <v>20</v>
      </c>
    </row>
    <row r="1612" customFormat="false" ht="14.25" hidden="false" customHeight="true" outlineLevel="0" collapsed="false">
      <c r="B1612" s="9" t="s">
        <v>16</v>
      </c>
      <c r="C1612" s="9" t="n">
        <v>1128299</v>
      </c>
      <c r="D1612" s="10" t="n">
        <v>44371</v>
      </c>
      <c r="E1612" s="9" t="s">
        <v>50</v>
      </c>
      <c r="F1612" s="9" t="s">
        <v>74</v>
      </c>
      <c r="G1612" s="9" t="s">
        <v>75</v>
      </c>
      <c r="H1612" s="11" t="s">
        <v>21</v>
      </c>
      <c r="I1612" s="12" t="n">
        <v>65</v>
      </c>
      <c r="J1612" s="13" t="n">
        <v>650</v>
      </c>
      <c r="K1612" s="14" t="n">
        <f aca="false">I1612*J1612</f>
        <v>42250</v>
      </c>
      <c r="L1612" s="14" t="n">
        <f aca="false">($L$2*M1612)/100</f>
        <v>420583.275</v>
      </c>
      <c r="M1612" s="15" t="n">
        <v>0.35</v>
      </c>
      <c r="N1612" s="9" t="s">
        <v>20</v>
      </c>
    </row>
    <row r="1613" customFormat="false" ht="14.25" hidden="false" customHeight="true" outlineLevel="0" collapsed="false">
      <c r="B1613" s="9" t="s">
        <v>16</v>
      </c>
      <c r="C1613" s="9" t="n">
        <v>1128299</v>
      </c>
      <c r="D1613" s="10" t="n">
        <v>44371</v>
      </c>
      <c r="E1613" s="9" t="s">
        <v>50</v>
      </c>
      <c r="F1613" s="9" t="s">
        <v>74</v>
      </c>
      <c r="G1613" s="9" t="s">
        <v>75</v>
      </c>
      <c r="H1613" s="11" t="s">
        <v>22</v>
      </c>
      <c r="I1613" s="12" t="n">
        <v>80</v>
      </c>
      <c r="J1613" s="13" t="n">
        <v>650</v>
      </c>
      <c r="K1613" s="14" t="n">
        <f aca="false">I1613*J1613</f>
        <v>52000</v>
      </c>
      <c r="L1613" s="14" t="n">
        <f aca="false">($L$2*M1613)/100</f>
        <v>420583.275</v>
      </c>
      <c r="M1613" s="15" t="n">
        <v>0.35</v>
      </c>
      <c r="N1613" s="9" t="s">
        <v>20</v>
      </c>
    </row>
    <row r="1614" customFormat="false" ht="14.25" hidden="false" customHeight="true" outlineLevel="0" collapsed="false">
      <c r="B1614" s="9" t="s">
        <v>16</v>
      </c>
      <c r="C1614" s="9" t="n">
        <v>1128299</v>
      </c>
      <c r="D1614" s="10" t="n">
        <v>44371</v>
      </c>
      <c r="E1614" s="9" t="s">
        <v>50</v>
      </c>
      <c r="F1614" s="9" t="s">
        <v>74</v>
      </c>
      <c r="G1614" s="9" t="s">
        <v>75</v>
      </c>
      <c r="H1614" s="11" t="s">
        <v>23</v>
      </c>
      <c r="I1614" s="12" t="n">
        <v>80</v>
      </c>
      <c r="J1614" s="13" t="n">
        <v>525</v>
      </c>
      <c r="K1614" s="14" t="n">
        <f aca="false">I1614*J1614</f>
        <v>42000</v>
      </c>
      <c r="L1614" s="14" t="n">
        <f aca="false">($L$2*M1614)/100</f>
        <v>420583.275</v>
      </c>
      <c r="M1614" s="15" t="n">
        <v>0.35</v>
      </c>
      <c r="N1614" s="9" t="s">
        <v>20</v>
      </c>
    </row>
    <row r="1615" customFormat="false" ht="14.25" hidden="false" customHeight="true" outlineLevel="0" collapsed="false">
      <c r="B1615" s="9" t="s">
        <v>16</v>
      </c>
      <c r="C1615" s="9" t="n">
        <v>1128299</v>
      </c>
      <c r="D1615" s="10" t="n">
        <v>44371</v>
      </c>
      <c r="E1615" s="9" t="s">
        <v>50</v>
      </c>
      <c r="F1615" s="9" t="s">
        <v>74</v>
      </c>
      <c r="G1615" s="9" t="s">
        <v>75</v>
      </c>
      <c r="H1615" s="11" t="s">
        <v>24</v>
      </c>
      <c r="I1615" s="12" t="n">
        <v>90</v>
      </c>
      <c r="J1615" s="13" t="n">
        <v>400</v>
      </c>
      <c r="K1615" s="14" t="n">
        <f aca="false">I1615*J1615</f>
        <v>36000</v>
      </c>
      <c r="L1615" s="14" t="n">
        <f aca="false">($L$2*M1615)/100</f>
        <v>480666.6</v>
      </c>
      <c r="M1615" s="15" t="n">
        <v>0.4</v>
      </c>
      <c r="N1615" s="9" t="s">
        <v>20</v>
      </c>
    </row>
    <row r="1616" customFormat="false" ht="14.25" hidden="false" customHeight="true" outlineLevel="0" collapsed="false">
      <c r="B1616" s="9" t="s">
        <v>16</v>
      </c>
      <c r="C1616" s="9" t="n">
        <v>1128299</v>
      </c>
      <c r="D1616" s="10" t="n">
        <v>44371</v>
      </c>
      <c r="E1616" s="9" t="s">
        <v>50</v>
      </c>
      <c r="F1616" s="9" t="s">
        <v>74</v>
      </c>
      <c r="G1616" s="9" t="s">
        <v>75</v>
      </c>
      <c r="H1616" s="11" t="s">
        <v>25</v>
      </c>
      <c r="I1616" s="12" t="n">
        <v>105</v>
      </c>
      <c r="J1616" s="13" t="n">
        <v>700</v>
      </c>
      <c r="K1616" s="14" t="n">
        <f aca="false">I1616*J1616</f>
        <v>73500</v>
      </c>
      <c r="L1616" s="14" t="n">
        <f aca="false">($L$2*M1616)/100</f>
        <v>360499.95</v>
      </c>
      <c r="M1616" s="15" t="n">
        <v>0.3</v>
      </c>
      <c r="N1616" s="9" t="s">
        <v>20</v>
      </c>
    </row>
    <row r="1617" customFormat="false" ht="14.25" hidden="false" customHeight="true" outlineLevel="0" collapsed="false">
      <c r="B1617" s="9" t="s">
        <v>16</v>
      </c>
      <c r="C1617" s="9" t="n">
        <v>1128299</v>
      </c>
      <c r="D1617" s="10" t="n">
        <v>44400</v>
      </c>
      <c r="E1617" s="9" t="s">
        <v>50</v>
      </c>
      <c r="F1617" s="9" t="s">
        <v>74</v>
      </c>
      <c r="G1617" s="9" t="s">
        <v>75</v>
      </c>
      <c r="H1617" s="11" t="s">
        <v>19</v>
      </c>
      <c r="I1617" s="12" t="n">
        <v>85</v>
      </c>
      <c r="J1617" s="13" t="n">
        <v>850</v>
      </c>
      <c r="K1617" s="14" t="n">
        <f aca="false">I1617*J1617</f>
        <v>72250</v>
      </c>
      <c r="L1617" s="14" t="n">
        <f aca="false">($L$2*M1617)/100</f>
        <v>420583.275</v>
      </c>
      <c r="M1617" s="15" t="n">
        <v>0.35</v>
      </c>
      <c r="N1617" s="9" t="s">
        <v>20</v>
      </c>
    </row>
    <row r="1618" customFormat="false" ht="14.25" hidden="false" customHeight="true" outlineLevel="0" collapsed="false">
      <c r="B1618" s="9" t="s">
        <v>16</v>
      </c>
      <c r="C1618" s="9" t="n">
        <v>1128299</v>
      </c>
      <c r="D1618" s="10" t="n">
        <v>44400</v>
      </c>
      <c r="E1618" s="9" t="s">
        <v>50</v>
      </c>
      <c r="F1618" s="9" t="s">
        <v>74</v>
      </c>
      <c r="G1618" s="9" t="s">
        <v>75</v>
      </c>
      <c r="H1618" s="11" t="s">
        <v>21</v>
      </c>
      <c r="I1618" s="12" t="n">
        <v>90</v>
      </c>
      <c r="J1618" s="13" t="n">
        <v>700</v>
      </c>
      <c r="K1618" s="14" t="n">
        <f aca="false">I1618*J1618</f>
        <v>63000</v>
      </c>
      <c r="L1618" s="14" t="n">
        <f aca="false">($L$2*M1618)/100</f>
        <v>420583.275</v>
      </c>
      <c r="M1618" s="15" t="n">
        <v>0.35</v>
      </c>
      <c r="N1618" s="9" t="s">
        <v>20</v>
      </c>
    </row>
    <row r="1619" customFormat="false" ht="14.25" hidden="false" customHeight="true" outlineLevel="0" collapsed="false">
      <c r="B1619" s="9" t="s">
        <v>16</v>
      </c>
      <c r="C1619" s="9" t="n">
        <v>1128299</v>
      </c>
      <c r="D1619" s="10" t="n">
        <v>44400</v>
      </c>
      <c r="E1619" s="9" t="s">
        <v>50</v>
      </c>
      <c r="F1619" s="9" t="s">
        <v>74</v>
      </c>
      <c r="G1619" s="9" t="s">
        <v>75</v>
      </c>
      <c r="H1619" s="11" t="s">
        <v>22</v>
      </c>
      <c r="I1619" s="12" t="n">
        <v>90</v>
      </c>
      <c r="J1619" s="13" t="n">
        <v>650</v>
      </c>
      <c r="K1619" s="14" t="n">
        <f aca="false">I1619*J1619</f>
        <v>58500</v>
      </c>
      <c r="L1619" s="14" t="n">
        <f aca="false">($L$2*M1619)/100</f>
        <v>420583.275</v>
      </c>
      <c r="M1619" s="15" t="n">
        <v>0.35</v>
      </c>
      <c r="N1619" s="9" t="s">
        <v>20</v>
      </c>
    </row>
    <row r="1620" customFormat="false" ht="14.25" hidden="false" customHeight="true" outlineLevel="0" collapsed="false">
      <c r="B1620" s="9" t="s">
        <v>16</v>
      </c>
      <c r="C1620" s="9" t="n">
        <v>1128299</v>
      </c>
      <c r="D1620" s="10" t="n">
        <v>44400</v>
      </c>
      <c r="E1620" s="9" t="s">
        <v>50</v>
      </c>
      <c r="F1620" s="9" t="s">
        <v>74</v>
      </c>
      <c r="G1620" s="9" t="s">
        <v>75</v>
      </c>
      <c r="H1620" s="11" t="s">
        <v>23</v>
      </c>
      <c r="I1620" s="12" t="n">
        <v>85</v>
      </c>
      <c r="J1620" s="13" t="n">
        <v>550</v>
      </c>
      <c r="K1620" s="14" t="n">
        <f aca="false">I1620*J1620</f>
        <v>46750</v>
      </c>
      <c r="L1620" s="14" t="n">
        <f aca="false">($L$2*M1620)/100</f>
        <v>420583.275</v>
      </c>
      <c r="M1620" s="15" t="n">
        <v>0.35</v>
      </c>
      <c r="N1620" s="9" t="s">
        <v>20</v>
      </c>
    </row>
    <row r="1621" customFormat="false" ht="14.25" hidden="false" customHeight="true" outlineLevel="0" collapsed="false">
      <c r="B1621" s="9" t="s">
        <v>16</v>
      </c>
      <c r="C1621" s="9" t="n">
        <v>1128299</v>
      </c>
      <c r="D1621" s="10" t="n">
        <v>44400</v>
      </c>
      <c r="E1621" s="9" t="s">
        <v>50</v>
      </c>
      <c r="F1621" s="9" t="s">
        <v>74</v>
      </c>
      <c r="G1621" s="9" t="s">
        <v>75</v>
      </c>
      <c r="H1621" s="11" t="s">
        <v>24</v>
      </c>
      <c r="I1621" s="12" t="n">
        <v>90</v>
      </c>
      <c r="J1621" s="13" t="n">
        <v>600</v>
      </c>
      <c r="K1621" s="14" t="n">
        <f aca="false">I1621*J1621</f>
        <v>54000</v>
      </c>
      <c r="L1621" s="14" t="n">
        <f aca="false">($L$2*M1621)/100</f>
        <v>480666.6</v>
      </c>
      <c r="M1621" s="15" t="n">
        <v>0.4</v>
      </c>
      <c r="N1621" s="9" t="s">
        <v>20</v>
      </c>
    </row>
    <row r="1622" customFormat="false" ht="14.25" hidden="false" customHeight="true" outlineLevel="0" collapsed="false">
      <c r="B1622" s="9" t="s">
        <v>16</v>
      </c>
      <c r="C1622" s="9" t="n">
        <v>1128299</v>
      </c>
      <c r="D1622" s="10" t="n">
        <v>44400</v>
      </c>
      <c r="E1622" s="9" t="s">
        <v>50</v>
      </c>
      <c r="F1622" s="9" t="s">
        <v>74</v>
      </c>
      <c r="G1622" s="9" t="s">
        <v>75</v>
      </c>
      <c r="H1622" s="11" t="s">
        <v>25</v>
      </c>
      <c r="I1622" s="12" t="n">
        <v>105</v>
      </c>
      <c r="J1622" s="13" t="n">
        <v>600</v>
      </c>
      <c r="K1622" s="14" t="n">
        <f aca="false">I1622*J1622</f>
        <v>63000</v>
      </c>
      <c r="L1622" s="14" t="n">
        <f aca="false">($L$2*M1622)/100</f>
        <v>360499.95</v>
      </c>
      <c r="M1622" s="15" t="n">
        <v>0.3</v>
      </c>
      <c r="N1622" s="9" t="s">
        <v>20</v>
      </c>
    </row>
    <row r="1623" customFormat="false" ht="14.25" hidden="false" customHeight="true" outlineLevel="0" collapsed="false">
      <c r="B1623" s="9" t="s">
        <v>16</v>
      </c>
      <c r="C1623" s="9" t="n">
        <v>1128299</v>
      </c>
      <c r="D1623" s="10" t="n">
        <v>44432</v>
      </c>
      <c r="E1623" s="9" t="s">
        <v>50</v>
      </c>
      <c r="F1623" s="9" t="s">
        <v>74</v>
      </c>
      <c r="G1623" s="9" t="s">
        <v>75</v>
      </c>
      <c r="H1623" s="11" t="s">
        <v>19</v>
      </c>
      <c r="I1623" s="12" t="n">
        <v>90</v>
      </c>
      <c r="J1623" s="13" t="n">
        <v>800</v>
      </c>
      <c r="K1623" s="14" t="n">
        <f aca="false">I1623*J1623</f>
        <v>72000</v>
      </c>
      <c r="L1623" s="14" t="n">
        <f aca="false">($L$2*M1623)/100</f>
        <v>420583.275</v>
      </c>
      <c r="M1623" s="15" t="n">
        <v>0.35</v>
      </c>
      <c r="N1623" s="9" t="s">
        <v>20</v>
      </c>
    </row>
    <row r="1624" customFormat="false" ht="14.25" hidden="false" customHeight="true" outlineLevel="0" collapsed="false">
      <c r="B1624" s="9" t="s">
        <v>16</v>
      </c>
      <c r="C1624" s="9" t="n">
        <v>1128299</v>
      </c>
      <c r="D1624" s="10" t="n">
        <v>44432</v>
      </c>
      <c r="E1624" s="9" t="s">
        <v>50</v>
      </c>
      <c r="F1624" s="9" t="s">
        <v>74</v>
      </c>
      <c r="G1624" s="9" t="s">
        <v>75</v>
      </c>
      <c r="H1624" s="11" t="s">
        <v>21</v>
      </c>
      <c r="I1624" s="12" t="n">
        <v>80</v>
      </c>
      <c r="J1624" s="13" t="n">
        <v>775</v>
      </c>
      <c r="K1624" s="14" t="n">
        <f aca="false">I1624*J1624</f>
        <v>62000</v>
      </c>
      <c r="L1624" s="14" t="n">
        <f aca="false">($L$2*M1624)/100</f>
        <v>420583.275</v>
      </c>
      <c r="M1624" s="15" t="n">
        <v>0.35</v>
      </c>
      <c r="N1624" s="9" t="s">
        <v>20</v>
      </c>
    </row>
    <row r="1625" customFormat="false" ht="14.25" hidden="false" customHeight="true" outlineLevel="0" collapsed="false">
      <c r="B1625" s="9" t="s">
        <v>16</v>
      </c>
      <c r="C1625" s="9" t="n">
        <v>1128299</v>
      </c>
      <c r="D1625" s="10" t="n">
        <v>44432</v>
      </c>
      <c r="E1625" s="9" t="s">
        <v>50</v>
      </c>
      <c r="F1625" s="9" t="s">
        <v>74</v>
      </c>
      <c r="G1625" s="9" t="s">
        <v>75</v>
      </c>
      <c r="H1625" s="11" t="s">
        <v>22</v>
      </c>
      <c r="I1625" s="12" t="n">
        <v>70</v>
      </c>
      <c r="J1625" s="13" t="n">
        <v>650</v>
      </c>
      <c r="K1625" s="14" t="n">
        <f aca="false">I1625*J1625</f>
        <v>45500</v>
      </c>
      <c r="L1625" s="14" t="n">
        <f aca="false">($L$2*M1625)/100</f>
        <v>420583.275</v>
      </c>
      <c r="M1625" s="15" t="n">
        <v>0.35</v>
      </c>
      <c r="N1625" s="9" t="s">
        <v>20</v>
      </c>
    </row>
    <row r="1626" customFormat="false" ht="14.25" hidden="false" customHeight="true" outlineLevel="0" collapsed="false">
      <c r="B1626" s="9" t="s">
        <v>16</v>
      </c>
      <c r="C1626" s="9" t="n">
        <v>1128299</v>
      </c>
      <c r="D1626" s="10" t="n">
        <v>44432</v>
      </c>
      <c r="E1626" s="9" t="s">
        <v>50</v>
      </c>
      <c r="F1626" s="9" t="s">
        <v>74</v>
      </c>
      <c r="G1626" s="9" t="s">
        <v>75</v>
      </c>
      <c r="H1626" s="11" t="s">
        <v>23</v>
      </c>
      <c r="I1626" s="12" t="n">
        <v>70</v>
      </c>
      <c r="J1626" s="13" t="n">
        <v>425</v>
      </c>
      <c r="K1626" s="14" t="n">
        <f aca="false">I1626*J1626</f>
        <v>29750</v>
      </c>
      <c r="L1626" s="14" t="n">
        <f aca="false">($L$2*M1626)/100</f>
        <v>420583.275</v>
      </c>
      <c r="M1626" s="15" t="n">
        <v>0.35</v>
      </c>
      <c r="N1626" s="9" t="s">
        <v>20</v>
      </c>
    </row>
    <row r="1627" customFormat="false" ht="14.25" hidden="false" customHeight="true" outlineLevel="0" collapsed="false">
      <c r="B1627" s="9" t="s">
        <v>16</v>
      </c>
      <c r="C1627" s="9" t="n">
        <v>1128299</v>
      </c>
      <c r="D1627" s="10" t="n">
        <v>44432</v>
      </c>
      <c r="E1627" s="9" t="s">
        <v>50</v>
      </c>
      <c r="F1627" s="9" t="s">
        <v>74</v>
      </c>
      <c r="G1627" s="9" t="s">
        <v>75</v>
      </c>
      <c r="H1627" s="11" t="s">
        <v>24</v>
      </c>
      <c r="I1627" s="12" t="n">
        <v>70</v>
      </c>
      <c r="J1627" s="13" t="n">
        <v>425</v>
      </c>
      <c r="K1627" s="14" t="n">
        <f aca="false">I1627*J1627</f>
        <v>29750</v>
      </c>
      <c r="L1627" s="14" t="n">
        <f aca="false">($L$2*M1627)/100</f>
        <v>480666.6</v>
      </c>
      <c r="M1627" s="15" t="n">
        <v>0.4</v>
      </c>
      <c r="N1627" s="9" t="s">
        <v>20</v>
      </c>
    </row>
    <row r="1628" customFormat="false" ht="14.25" hidden="false" customHeight="true" outlineLevel="0" collapsed="false">
      <c r="B1628" s="9" t="s">
        <v>16</v>
      </c>
      <c r="C1628" s="9" t="n">
        <v>1128299</v>
      </c>
      <c r="D1628" s="10" t="n">
        <v>44432</v>
      </c>
      <c r="E1628" s="9" t="s">
        <v>50</v>
      </c>
      <c r="F1628" s="9" t="s">
        <v>74</v>
      </c>
      <c r="G1628" s="9" t="s">
        <v>75</v>
      </c>
      <c r="H1628" s="11" t="s">
        <v>25</v>
      </c>
      <c r="I1628" s="12" t="n">
        <v>75</v>
      </c>
      <c r="J1628" s="13" t="n">
        <v>250</v>
      </c>
      <c r="K1628" s="14" t="n">
        <f aca="false">I1628*J1628</f>
        <v>18750</v>
      </c>
      <c r="L1628" s="14" t="n">
        <f aca="false">($L$2*M1628)/100</f>
        <v>360499.95</v>
      </c>
      <c r="M1628" s="15" t="n">
        <v>0.3</v>
      </c>
      <c r="N1628" s="9" t="s">
        <v>20</v>
      </c>
    </row>
    <row r="1629" customFormat="false" ht="14.25" hidden="false" customHeight="true" outlineLevel="0" collapsed="false">
      <c r="B1629" s="9" t="s">
        <v>16</v>
      </c>
      <c r="C1629" s="9" t="n">
        <v>1128299</v>
      </c>
      <c r="D1629" s="10" t="n">
        <v>44464</v>
      </c>
      <c r="E1629" s="9" t="s">
        <v>50</v>
      </c>
      <c r="F1629" s="9" t="s">
        <v>74</v>
      </c>
      <c r="G1629" s="9" t="s">
        <v>75</v>
      </c>
      <c r="H1629" s="11" t="s">
        <v>19</v>
      </c>
      <c r="I1629" s="12" t="n">
        <v>50</v>
      </c>
      <c r="J1629" s="13" t="n">
        <v>450</v>
      </c>
      <c r="K1629" s="14" t="n">
        <f aca="false">I1629*J1629</f>
        <v>22500</v>
      </c>
      <c r="L1629" s="14" t="n">
        <f aca="false">($L$2*M1629)/100</f>
        <v>420583.275</v>
      </c>
      <c r="M1629" s="15" t="n">
        <v>0.35</v>
      </c>
      <c r="N1629" s="9" t="s">
        <v>20</v>
      </c>
    </row>
    <row r="1630" customFormat="false" ht="14.25" hidden="false" customHeight="true" outlineLevel="0" collapsed="false">
      <c r="B1630" s="9" t="s">
        <v>16</v>
      </c>
      <c r="C1630" s="9" t="n">
        <v>1128299</v>
      </c>
      <c r="D1630" s="10" t="n">
        <v>44464</v>
      </c>
      <c r="E1630" s="9" t="s">
        <v>50</v>
      </c>
      <c r="F1630" s="9" t="s">
        <v>74</v>
      </c>
      <c r="G1630" s="9" t="s">
        <v>75</v>
      </c>
      <c r="H1630" s="11" t="s">
        <v>21</v>
      </c>
      <c r="I1630" s="12" t="n">
        <v>55</v>
      </c>
      <c r="J1630" s="13" t="n">
        <v>450</v>
      </c>
      <c r="K1630" s="14" t="n">
        <f aca="false">I1630*J1630</f>
        <v>24750</v>
      </c>
      <c r="L1630" s="14" t="n">
        <f aca="false">($L$2*M1630)/100</f>
        <v>420583.275</v>
      </c>
      <c r="M1630" s="15" t="n">
        <v>0.35</v>
      </c>
      <c r="N1630" s="9" t="s">
        <v>20</v>
      </c>
    </row>
    <row r="1631" customFormat="false" ht="14.25" hidden="false" customHeight="true" outlineLevel="0" collapsed="false">
      <c r="B1631" s="9" t="s">
        <v>16</v>
      </c>
      <c r="C1631" s="9" t="n">
        <v>1128299</v>
      </c>
      <c r="D1631" s="10" t="n">
        <v>44464</v>
      </c>
      <c r="E1631" s="9" t="s">
        <v>50</v>
      </c>
      <c r="F1631" s="9" t="s">
        <v>74</v>
      </c>
      <c r="G1631" s="9" t="s">
        <v>75</v>
      </c>
      <c r="H1631" s="11" t="s">
        <v>22</v>
      </c>
      <c r="I1631" s="12" t="n">
        <v>50</v>
      </c>
      <c r="J1631" s="13" t="n">
        <v>250</v>
      </c>
      <c r="K1631" s="14" t="n">
        <f aca="false">I1631*J1631</f>
        <v>12500</v>
      </c>
      <c r="L1631" s="14" t="n">
        <f aca="false">($L$2*M1631)/100</f>
        <v>420583.275</v>
      </c>
      <c r="M1631" s="15" t="n">
        <v>0.35</v>
      </c>
      <c r="N1631" s="9" t="s">
        <v>20</v>
      </c>
    </row>
    <row r="1632" customFormat="false" ht="14.25" hidden="false" customHeight="true" outlineLevel="0" collapsed="false">
      <c r="B1632" s="9" t="s">
        <v>16</v>
      </c>
      <c r="C1632" s="9" t="n">
        <v>1128299</v>
      </c>
      <c r="D1632" s="10" t="n">
        <v>44464</v>
      </c>
      <c r="E1632" s="9" t="s">
        <v>50</v>
      </c>
      <c r="F1632" s="9" t="s">
        <v>74</v>
      </c>
      <c r="G1632" s="9" t="s">
        <v>75</v>
      </c>
      <c r="H1632" s="11" t="s">
        <v>23</v>
      </c>
      <c r="I1632" s="12" t="n">
        <v>50</v>
      </c>
      <c r="J1632" s="13" t="n">
        <v>200</v>
      </c>
      <c r="K1632" s="14" t="n">
        <f aca="false">I1632*J1632</f>
        <v>10000</v>
      </c>
      <c r="L1632" s="14" t="n">
        <f aca="false">($L$2*M1632)/100</f>
        <v>420583.275</v>
      </c>
      <c r="M1632" s="15" t="n">
        <v>0.35</v>
      </c>
      <c r="N1632" s="9" t="s">
        <v>20</v>
      </c>
    </row>
    <row r="1633" customFormat="false" ht="14.25" hidden="false" customHeight="true" outlineLevel="0" collapsed="false">
      <c r="B1633" s="9" t="s">
        <v>16</v>
      </c>
      <c r="C1633" s="9" t="n">
        <v>1128299</v>
      </c>
      <c r="D1633" s="10" t="n">
        <v>44464</v>
      </c>
      <c r="E1633" s="9" t="s">
        <v>50</v>
      </c>
      <c r="F1633" s="9" t="s">
        <v>74</v>
      </c>
      <c r="G1633" s="9" t="s">
        <v>75</v>
      </c>
      <c r="H1633" s="11" t="s">
        <v>24</v>
      </c>
      <c r="I1633" s="12" t="n">
        <v>60</v>
      </c>
      <c r="J1633" s="13" t="n">
        <v>225</v>
      </c>
      <c r="K1633" s="14" t="n">
        <f aca="false">I1633*J1633</f>
        <v>13500</v>
      </c>
      <c r="L1633" s="14" t="n">
        <f aca="false">($L$2*M1633)/100</f>
        <v>480666.6</v>
      </c>
      <c r="M1633" s="15" t="n">
        <v>0.4</v>
      </c>
      <c r="N1633" s="9" t="s">
        <v>20</v>
      </c>
    </row>
    <row r="1634" customFormat="false" ht="14.25" hidden="false" customHeight="true" outlineLevel="0" collapsed="false">
      <c r="B1634" s="9" t="s">
        <v>16</v>
      </c>
      <c r="C1634" s="9" t="n">
        <v>1128299</v>
      </c>
      <c r="D1634" s="10" t="n">
        <v>44464</v>
      </c>
      <c r="E1634" s="9" t="s">
        <v>50</v>
      </c>
      <c r="F1634" s="9" t="s">
        <v>74</v>
      </c>
      <c r="G1634" s="9" t="s">
        <v>75</v>
      </c>
      <c r="H1634" s="11" t="s">
        <v>25</v>
      </c>
      <c r="I1634" s="12" t="n">
        <v>45</v>
      </c>
      <c r="J1634" s="13" t="n">
        <v>250</v>
      </c>
      <c r="K1634" s="14" t="n">
        <f aca="false">I1634*J1634</f>
        <v>11250</v>
      </c>
      <c r="L1634" s="14" t="n">
        <f aca="false">($L$2*M1634)/100</f>
        <v>360499.95</v>
      </c>
      <c r="M1634" s="15" t="n">
        <v>0.3</v>
      </c>
      <c r="N1634" s="9" t="s">
        <v>20</v>
      </c>
    </row>
    <row r="1635" customFormat="false" ht="14.25" hidden="false" customHeight="true" outlineLevel="0" collapsed="false">
      <c r="B1635" s="9" t="s">
        <v>16</v>
      </c>
      <c r="C1635" s="9" t="n">
        <v>1128299</v>
      </c>
      <c r="D1635" s="10" t="n">
        <v>44493</v>
      </c>
      <c r="E1635" s="9" t="s">
        <v>50</v>
      </c>
      <c r="F1635" s="9" t="s">
        <v>74</v>
      </c>
      <c r="G1635" s="9" t="s">
        <v>75</v>
      </c>
      <c r="H1635" s="11" t="s">
        <v>19</v>
      </c>
      <c r="I1635" s="12" t="n">
        <v>40</v>
      </c>
      <c r="J1635" s="13" t="n">
        <v>350</v>
      </c>
      <c r="K1635" s="14" t="n">
        <f aca="false">I1635*J1635</f>
        <v>14000</v>
      </c>
      <c r="L1635" s="14" t="n">
        <f aca="false">($L$2*M1635)/100</f>
        <v>420583.275</v>
      </c>
      <c r="M1635" s="15" t="n">
        <v>0.35</v>
      </c>
      <c r="N1635" s="9" t="s">
        <v>20</v>
      </c>
    </row>
    <row r="1636" customFormat="false" ht="14.25" hidden="false" customHeight="true" outlineLevel="0" collapsed="false">
      <c r="B1636" s="9" t="s">
        <v>16</v>
      </c>
      <c r="C1636" s="9" t="n">
        <v>1128299</v>
      </c>
      <c r="D1636" s="10" t="n">
        <v>44493</v>
      </c>
      <c r="E1636" s="9" t="s">
        <v>50</v>
      </c>
      <c r="F1636" s="9" t="s">
        <v>74</v>
      </c>
      <c r="G1636" s="9" t="s">
        <v>75</v>
      </c>
      <c r="H1636" s="11" t="s">
        <v>21</v>
      </c>
      <c r="I1636" s="12" t="n">
        <v>55</v>
      </c>
      <c r="J1636" s="13" t="n">
        <v>525</v>
      </c>
      <c r="K1636" s="14" t="n">
        <f aca="false">I1636*J1636</f>
        <v>28875</v>
      </c>
      <c r="L1636" s="14" t="n">
        <f aca="false">($L$2*M1636)/100</f>
        <v>420583.275</v>
      </c>
      <c r="M1636" s="15" t="n">
        <v>0.35</v>
      </c>
      <c r="N1636" s="9" t="s">
        <v>20</v>
      </c>
    </row>
    <row r="1637" customFormat="false" ht="14.25" hidden="false" customHeight="true" outlineLevel="0" collapsed="false">
      <c r="B1637" s="9" t="s">
        <v>16</v>
      </c>
      <c r="C1637" s="9" t="n">
        <v>1128299</v>
      </c>
      <c r="D1637" s="10" t="n">
        <v>44493</v>
      </c>
      <c r="E1637" s="9" t="s">
        <v>50</v>
      </c>
      <c r="F1637" s="9" t="s">
        <v>74</v>
      </c>
      <c r="G1637" s="9" t="s">
        <v>75</v>
      </c>
      <c r="H1637" s="11" t="s">
        <v>22</v>
      </c>
      <c r="I1637" s="12" t="n">
        <v>50</v>
      </c>
      <c r="J1637" s="13" t="n">
        <v>350</v>
      </c>
      <c r="K1637" s="14" t="n">
        <f aca="false">I1637*J1637</f>
        <v>17500</v>
      </c>
      <c r="L1637" s="14" t="n">
        <f aca="false">($L$2*M1637)/100</f>
        <v>420583.275</v>
      </c>
      <c r="M1637" s="15" t="n">
        <v>0.35</v>
      </c>
      <c r="N1637" s="9" t="s">
        <v>20</v>
      </c>
    </row>
    <row r="1638" customFormat="false" ht="14.25" hidden="false" customHeight="true" outlineLevel="0" collapsed="false">
      <c r="B1638" s="9" t="s">
        <v>16</v>
      </c>
      <c r="C1638" s="9" t="n">
        <v>1128299</v>
      </c>
      <c r="D1638" s="10" t="n">
        <v>44493</v>
      </c>
      <c r="E1638" s="9" t="s">
        <v>50</v>
      </c>
      <c r="F1638" s="9" t="s">
        <v>74</v>
      </c>
      <c r="G1638" s="9" t="s">
        <v>75</v>
      </c>
      <c r="H1638" s="11" t="s">
        <v>23</v>
      </c>
      <c r="I1638" s="12" t="n">
        <v>45</v>
      </c>
      <c r="J1638" s="13" t="n">
        <v>325</v>
      </c>
      <c r="K1638" s="14" t="n">
        <f aca="false">I1638*J1638</f>
        <v>14625</v>
      </c>
      <c r="L1638" s="14" t="n">
        <f aca="false">($L$2*M1638)/100</f>
        <v>420583.275</v>
      </c>
      <c r="M1638" s="15" t="n">
        <v>0.35</v>
      </c>
      <c r="N1638" s="9" t="s">
        <v>20</v>
      </c>
    </row>
    <row r="1639" customFormat="false" ht="14.25" hidden="false" customHeight="true" outlineLevel="0" collapsed="false">
      <c r="B1639" s="9" t="s">
        <v>16</v>
      </c>
      <c r="C1639" s="9" t="n">
        <v>1128299</v>
      </c>
      <c r="D1639" s="10" t="n">
        <v>44493</v>
      </c>
      <c r="E1639" s="9" t="s">
        <v>50</v>
      </c>
      <c r="F1639" s="9" t="s">
        <v>74</v>
      </c>
      <c r="G1639" s="9" t="s">
        <v>75</v>
      </c>
      <c r="H1639" s="11" t="s">
        <v>24</v>
      </c>
      <c r="I1639" s="12" t="n">
        <v>55</v>
      </c>
      <c r="J1639" s="13" t="n">
        <v>300</v>
      </c>
      <c r="K1639" s="14" t="n">
        <f aca="false">I1639*J1639</f>
        <v>16500</v>
      </c>
      <c r="L1639" s="14" t="n">
        <f aca="false">($L$2*M1639)/100</f>
        <v>480666.6</v>
      </c>
      <c r="M1639" s="15" t="n">
        <v>0.4</v>
      </c>
      <c r="N1639" s="9" t="s">
        <v>20</v>
      </c>
    </row>
    <row r="1640" customFormat="false" ht="14.25" hidden="false" customHeight="true" outlineLevel="0" collapsed="false">
      <c r="B1640" s="9" t="s">
        <v>16</v>
      </c>
      <c r="C1640" s="9" t="n">
        <v>1128299</v>
      </c>
      <c r="D1640" s="10" t="n">
        <v>44493</v>
      </c>
      <c r="E1640" s="9" t="s">
        <v>50</v>
      </c>
      <c r="F1640" s="9" t="s">
        <v>74</v>
      </c>
      <c r="G1640" s="9" t="s">
        <v>75</v>
      </c>
      <c r="H1640" s="11" t="s">
        <v>25</v>
      </c>
      <c r="I1640" s="12" t="n">
        <v>60</v>
      </c>
      <c r="J1640" s="13" t="n">
        <v>350</v>
      </c>
      <c r="K1640" s="14" t="n">
        <f aca="false">I1640*J1640</f>
        <v>21000</v>
      </c>
      <c r="L1640" s="14" t="n">
        <f aca="false">($L$2*M1640)/100</f>
        <v>360499.95</v>
      </c>
      <c r="M1640" s="15" t="n">
        <v>0.3</v>
      </c>
      <c r="N1640" s="9" t="s">
        <v>20</v>
      </c>
    </row>
    <row r="1641" customFormat="false" ht="14.25" hidden="false" customHeight="true" outlineLevel="0" collapsed="false">
      <c r="B1641" s="9" t="s">
        <v>16</v>
      </c>
      <c r="C1641" s="9" t="n">
        <v>1128299</v>
      </c>
      <c r="D1641" s="10" t="n">
        <v>44524</v>
      </c>
      <c r="E1641" s="9" t="s">
        <v>50</v>
      </c>
      <c r="F1641" s="9" t="s">
        <v>74</v>
      </c>
      <c r="G1641" s="9" t="s">
        <v>75</v>
      </c>
      <c r="H1641" s="11" t="s">
        <v>19</v>
      </c>
      <c r="I1641" s="12" t="n">
        <v>45</v>
      </c>
      <c r="J1641" s="13" t="n">
        <v>575</v>
      </c>
      <c r="K1641" s="14" t="n">
        <f aca="false">I1641*J1641</f>
        <v>25875</v>
      </c>
      <c r="L1641" s="14" t="n">
        <f aca="false">($L$2*M1641)/100</f>
        <v>420583.275</v>
      </c>
      <c r="M1641" s="15" t="n">
        <v>0.35</v>
      </c>
      <c r="N1641" s="9" t="s">
        <v>20</v>
      </c>
    </row>
    <row r="1642" customFormat="false" ht="14.25" hidden="false" customHeight="true" outlineLevel="0" collapsed="false">
      <c r="B1642" s="9" t="s">
        <v>16</v>
      </c>
      <c r="C1642" s="9" t="n">
        <v>1128299</v>
      </c>
      <c r="D1642" s="10" t="n">
        <v>44524</v>
      </c>
      <c r="E1642" s="9" t="s">
        <v>50</v>
      </c>
      <c r="F1642" s="9" t="s">
        <v>74</v>
      </c>
      <c r="G1642" s="9" t="s">
        <v>75</v>
      </c>
      <c r="H1642" s="11" t="s">
        <v>21</v>
      </c>
      <c r="I1642" s="12" t="n">
        <v>50</v>
      </c>
      <c r="J1642" s="13" t="n">
        <v>650</v>
      </c>
      <c r="K1642" s="14" t="n">
        <f aca="false">I1642*J1642</f>
        <v>32500</v>
      </c>
      <c r="L1642" s="14" t="n">
        <f aca="false">($L$2*M1642)/100</f>
        <v>420583.275</v>
      </c>
      <c r="M1642" s="15" t="n">
        <v>0.35</v>
      </c>
      <c r="N1642" s="9" t="s">
        <v>20</v>
      </c>
    </row>
    <row r="1643" customFormat="false" ht="14.25" hidden="false" customHeight="true" outlineLevel="0" collapsed="false">
      <c r="B1643" s="9" t="s">
        <v>16</v>
      </c>
      <c r="C1643" s="9" t="n">
        <v>1128299</v>
      </c>
      <c r="D1643" s="10" t="n">
        <v>44524</v>
      </c>
      <c r="E1643" s="9" t="s">
        <v>50</v>
      </c>
      <c r="F1643" s="9" t="s">
        <v>74</v>
      </c>
      <c r="G1643" s="9" t="s">
        <v>75</v>
      </c>
      <c r="H1643" s="11" t="s">
        <v>22</v>
      </c>
      <c r="I1643" s="12" t="n">
        <v>45</v>
      </c>
      <c r="J1643" s="13" t="n">
        <v>475</v>
      </c>
      <c r="K1643" s="14" t="n">
        <f aca="false">I1643*J1643</f>
        <v>21375</v>
      </c>
      <c r="L1643" s="14" t="n">
        <f aca="false">($L$2*M1643)/100</f>
        <v>420583.275</v>
      </c>
      <c r="M1643" s="15" t="n">
        <v>0.35</v>
      </c>
      <c r="N1643" s="9" t="s">
        <v>20</v>
      </c>
    </row>
    <row r="1644" customFormat="false" ht="14.25" hidden="false" customHeight="true" outlineLevel="0" collapsed="false">
      <c r="B1644" s="9" t="s">
        <v>16</v>
      </c>
      <c r="C1644" s="9" t="n">
        <v>1128299</v>
      </c>
      <c r="D1644" s="10" t="n">
        <v>44524</v>
      </c>
      <c r="E1644" s="9" t="s">
        <v>50</v>
      </c>
      <c r="F1644" s="9" t="s">
        <v>74</v>
      </c>
      <c r="G1644" s="9" t="s">
        <v>75</v>
      </c>
      <c r="H1644" s="11" t="s">
        <v>23</v>
      </c>
      <c r="I1644" s="12" t="n">
        <v>55</v>
      </c>
      <c r="J1644" s="13" t="n">
        <v>450</v>
      </c>
      <c r="K1644" s="14" t="n">
        <f aca="false">I1644*J1644</f>
        <v>24750</v>
      </c>
      <c r="L1644" s="14" t="n">
        <f aca="false">($L$2*M1644)/100</f>
        <v>420583.275</v>
      </c>
      <c r="M1644" s="15" t="n">
        <v>0.35</v>
      </c>
      <c r="N1644" s="9" t="s">
        <v>20</v>
      </c>
    </row>
    <row r="1645" customFormat="false" ht="14.25" hidden="false" customHeight="true" outlineLevel="0" collapsed="false">
      <c r="B1645" s="9" t="s">
        <v>16</v>
      </c>
      <c r="C1645" s="9" t="n">
        <v>1128299</v>
      </c>
      <c r="D1645" s="10" t="n">
        <v>44524</v>
      </c>
      <c r="E1645" s="9" t="s">
        <v>50</v>
      </c>
      <c r="F1645" s="9" t="s">
        <v>74</v>
      </c>
      <c r="G1645" s="9" t="s">
        <v>75</v>
      </c>
      <c r="H1645" s="11" t="s">
        <v>24</v>
      </c>
      <c r="I1645" s="12" t="n">
        <v>75</v>
      </c>
      <c r="J1645" s="13" t="n">
        <v>425</v>
      </c>
      <c r="K1645" s="14" t="n">
        <f aca="false">I1645*J1645</f>
        <v>31875</v>
      </c>
      <c r="L1645" s="14" t="n">
        <f aca="false">($L$2*M1645)/100</f>
        <v>480666.6</v>
      </c>
      <c r="M1645" s="15" t="n">
        <v>0.4</v>
      </c>
      <c r="N1645" s="9" t="s">
        <v>20</v>
      </c>
    </row>
    <row r="1646" customFormat="false" ht="14.25" hidden="false" customHeight="true" outlineLevel="0" collapsed="false">
      <c r="B1646" s="9" t="s">
        <v>16</v>
      </c>
      <c r="C1646" s="9" t="n">
        <v>1128299</v>
      </c>
      <c r="D1646" s="10" t="n">
        <v>44524</v>
      </c>
      <c r="E1646" s="9" t="s">
        <v>50</v>
      </c>
      <c r="F1646" s="9" t="s">
        <v>74</v>
      </c>
      <c r="G1646" s="9" t="s">
        <v>75</v>
      </c>
      <c r="H1646" s="11" t="s">
        <v>25</v>
      </c>
      <c r="I1646" s="12" t="n">
        <v>80</v>
      </c>
      <c r="J1646" s="13" t="n">
        <v>550</v>
      </c>
      <c r="K1646" s="14" t="n">
        <f aca="false">I1646*J1646</f>
        <v>44000</v>
      </c>
      <c r="L1646" s="14" t="n">
        <f aca="false">($L$2*M1646)/100</f>
        <v>360499.95</v>
      </c>
      <c r="M1646" s="15" t="n">
        <v>0.3</v>
      </c>
      <c r="N1646" s="9" t="s">
        <v>20</v>
      </c>
    </row>
    <row r="1647" customFormat="false" ht="14.25" hidden="false" customHeight="true" outlineLevel="0" collapsed="false">
      <c r="B1647" s="9" t="s">
        <v>16</v>
      </c>
      <c r="C1647" s="9" t="n">
        <v>1128299</v>
      </c>
      <c r="D1647" s="10" t="n">
        <v>44553</v>
      </c>
      <c r="E1647" s="9" t="s">
        <v>50</v>
      </c>
      <c r="F1647" s="9" t="s">
        <v>74</v>
      </c>
      <c r="G1647" s="9" t="s">
        <v>75</v>
      </c>
      <c r="H1647" s="11" t="s">
        <v>19</v>
      </c>
      <c r="I1647" s="12" t="n">
        <v>65</v>
      </c>
      <c r="J1647" s="13" t="n">
        <v>750</v>
      </c>
      <c r="K1647" s="14" t="n">
        <f aca="false">I1647*J1647</f>
        <v>48750</v>
      </c>
      <c r="L1647" s="14" t="n">
        <f aca="false">($L$2*M1647)/100</f>
        <v>420583.275</v>
      </c>
      <c r="M1647" s="15" t="n">
        <v>0.35</v>
      </c>
      <c r="N1647" s="9" t="s">
        <v>20</v>
      </c>
    </row>
    <row r="1648" customFormat="false" ht="14.25" hidden="false" customHeight="true" outlineLevel="0" collapsed="false">
      <c r="B1648" s="9" t="s">
        <v>16</v>
      </c>
      <c r="C1648" s="9" t="n">
        <v>1128299</v>
      </c>
      <c r="D1648" s="10" t="n">
        <v>44553</v>
      </c>
      <c r="E1648" s="9" t="s">
        <v>50</v>
      </c>
      <c r="F1648" s="9" t="s">
        <v>74</v>
      </c>
      <c r="G1648" s="9" t="s">
        <v>75</v>
      </c>
      <c r="H1648" s="11" t="s">
        <v>21</v>
      </c>
      <c r="I1648" s="12" t="n">
        <v>75</v>
      </c>
      <c r="J1648" s="13" t="n">
        <v>750</v>
      </c>
      <c r="K1648" s="14" t="n">
        <f aca="false">I1648*J1648</f>
        <v>56250</v>
      </c>
      <c r="L1648" s="14" t="n">
        <f aca="false">($L$2*M1648)/100</f>
        <v>420583.275</v>
      </c>
      <c r="M1648" s="15" t="n">
        <v>0.35</v>
      </c>
      <c r="N1648" s="9" t="s">
        <v>20</v>
      </c>
    </row>
    <row r="1649" customFormat="false" ht="14.25" hidden="false" customHeight="true" outlineLevel="0" collapsed="false">
      <c r="B1649" s="9" t="s">
        <v>28</v>
      </c>
      <c r="C1649" s="9" t="n">
        <v>1128299</v>
      </c>
      <c r="D1649" s="10" t="n">
        <v>44553</v>
      </c>
      <c r="E1649" s="9" t="s">
        <v>50</v>
      </c>
      <c r="F1649" s="9" t="s">
        <v>74</v>
      </c>
      <c r="G1649" s="9" t="s">
        <v>75</v>
      </c>
      <c r="H1649" s="11" t="s">
        <v>22</v>
      </c>
      <c r="I1649" s="12" t="n">
        <v>70</v>
      </c>
      <c r="J1649" s="13" t="n">
        <v>550</v>
      </c>
      <c r="K1649" s="14" t="n">
        <f aca="false">I1649*J1649</f>
        <v>38500</v>
      </c>
      <c r="L1649" s="14" t="n">
        <f aca="false">($L$2*M1649)/100</f>
        <v>420583.275</v>
      </c>
      <c r="M1649" s="15" t="n">
        <v>0.35</v>
      </c>
      <c r="N1649" s="9" t="s">
        <v>20</v>
      </c>
    </row>
    <row r="1650" customFormat="false" ht="14.25" hidden="false" customHeight="true" outlineLevel="0" collapsed="false">
      <c r="B1650" s="9" t="s">
        <v>28</v>
      </c>
      <c r="C1650" s="9" t="n">
        <v>1128299</v>
      </c>
      <c r="D1650" s="10" t="n">
        <v>44553</v>
      </c>
      <c r="E1650" s="9" t="s">
        <v>50</v>
      </c>
      <c r="F1650" s="9" t="s">
        <v>74</v>
      </c>
      <c r="G1650" s="9" t="s">
        <v>75</v>
      </c>
      <c r="H1650" s="11" t="s">
        <v>23</v>
      </c>
      <c r="I1650" s="12" t="n">
        <v>70</v>
      </c>
      <c r="J1650" s="13" t="n">
        <v>550</v>
      </c>
      <c r="K1650" s="14" t="n">
        <f aca="false">I1650*J1650</f>
        <v>38500</v>
      </c>
      <c r="L1650" s="14" t="n">
        <f aca="false">($L$2*M1650)/100</f>
        <v>420583.275</v>
      </c>
      <c r="M1650" s="15" t="n">
        <v>0.35</v>
      </c>
      <c r="N1650" s="9" t="s">
        <v>20</v>
      </c>
    </row>
    <row r="1651" customFormat="false" ht="14.25" hidden="false" customHeight="true" outlineLevel="0" collapsed="false">
      <c r="B1651" s="9" t="s">
        <v>28</v>
      </c>
      <c r="C1651" s="9" t="n">
        <v>1128299</v>
      </c>
      <c r="D1651" s="10" t="n">
        <v>44553</v>
      </c>
      <c r="E1651" s="9" t="s">
        <v>50</v>
      </c>
      <c r="F1651" s="9" t="s">
        <v>74</v>
      </c>
      <c r="G1651" s="9" t="s">
        <v>75</v>
      </c>
      <c r="H1651" s="11" t="s">
        <v>24</v>
      </c>
      <c r="I1651" s="12" t="n">
        <v>80</v>
      </c>
      <c r="J1651" s="13" t="n">
        <v>475</v>
      </c>
      <c r="K1651" s="14" t="n">
        <f aca="false">I1651*J1651</f>
        <v>38000</v>
      </c>
      <c r="L1651" s="14" t="n">
        <f aca="false">($L$2*M1651)/100</f>
        <v>480666.6</v>
      </c>
      <c r="M1651" s="15" t="n">
        <v>0.4</v>
      </c>
      <c r="N1651" s="9" t="s">
        <v>20</v>
      </c>
    </row>
    <row r="1652" customFormat="false" ht="14.25" hidden="false" customHeight="true" outlineLevel="0" collapsed="false">
      <c r="B1652" s="9" t="s">
        <v>28</v>
      </c>
      <c r="C1652" s="9" t="n">
        <v>1128299</v>
      </c>
      <c r="D1652" s="10" t="n">
        <v>44553</v>
      </c>
      <c r="E1652" s="9" t="s">
        <v>50</v>
      </c>
      <c r="F1652" s="9" t="s">
        <v>74</v>
      </c>
      <c r="G1652" s="9" t="s">
        <v>75</v>
      </c>
      <c r="H1652" s="11" t="s">
        <v>25</v>
      </c>
      <c r="I1652" s="12" t="n">
        <v>85</v>
      </c>
      <c r="J1652" s="13" t="n">
        <v>575</v>
      </c>
      <c r="K1652" s="14" t="n">
        <f aca="false">I1652*J1652</f>
        <v>48875</v>
      </c>
      <c r="L1652" s="14" t="n">
        <f aca="false">($L$2*M1652)/100</f>
        <v>360499.95</v>
      </c>
      <c r="M1652" s="15" t="n">
        <v>0.3</v>
      </c>
      <c r="N1652" s="9" t="s">
        <v>20</v>
      </c>
    </row>
    <row r="1653" customFormat="false" ht="14.25" hidden="false" customHeight="true" outlineLevel="0" collapsed="false">
      <c r="B1653" s="9" t="s">
        <v>28</v>
      </c>
      <c r="C1653" s="9" t="n">
        <v>1185732</v>
      </c>
      <c r="D1653" s="10" t="n">
        <v>44215</v>
      </c>
      <c r="E1653" s="9" t="s">
        <v>50</v>
      </c>
      <c r="F1653" s="9" t="s">
        <v>74</v>
      </c>
      <c r="G1653" s="9" t="s">
        <v>75</v>
      </c>
      <c r="H1653" s="11" t="s">
        <v>19</v>
      </c>
      <c r="I1653" s="12" t="n">
        <v>35</v>
      </c>
      <c r="J1653" s="13" t="n">
        <v>750</v>
      </c>
      <c r="K1653" s="14" t="n">
        <f aca="false">I1653*J1653</f>
        <v>26250</v>
      </c>
      <c r="L1653" s="14" t="n">
        <f aca="false">($L$2*M1653)/100</f>
        <v>600833.25</v>
      </c>
      <c r="M1653" s="15" t="n">
        <v>0.5</v>
      </c>
      <c r="N1653" s="9" t="s">
        <v>20</v>
      </c>
    </row>
    <row r="1654" customFormat="false" ht="14.25" hidden="false" customHeight="true" outlineLevel="0" collapsed="false">
      <c r="B1654" s="9" t="s">
        <v>28</v>
      </c>
      <c r="C1654" s="9" t="n">
        <v>1185732</v>
      </c>
      <c r="D1654" s="10" t="n">
        <v>44215</v>
      </c>
      <c r="E1654" s="9" t="s">
        <v>50</v>
      </c>
      <c r="F1654" s="9" t="s">
        <v>74</v>
      </c>
      <c r="G1654" s="9" t="s">
        <v>75</v>
      </c>
      <c r="H1654" s="11" t="s">
        <v>21</v>
      </c>
      <c r="I1654" s="12" t="n">
        <v>35</v>
      </c>
      <c r="J1654" s="13" t="n">
        <v>550</v>
      </c>
      <c r="K1654" s="14" t="n">
        <f aca="false">I1654*J1654</f>
        <v>19250</v>
      </c>
      <c r="L1654" s="14" t="n">
        <f aca="false">($L$2*M1654)/100</f>
        <v>480666.6</v>
      </c>
      <c r="M1654" s="15" t="n">
        <v>0.4</v>
      </c>
      <c r="N1654" s="9" t="s">
        <v>20</v>
      </c>
    </row>
    <row r="1655" customFormat="false" ht="14.25" hidden="false" customHeight="true" outlineLevel="0" collapsed="false">
      <c r="B1655" s="9" t="s">
        <v>28</v>
      </c>
      <c r="C1655" s="9" t="n">
        <v>1185732</v>
      </c>
      <c r="D1655" s="10" t="n">
        <v>44215</v>
      </c>
      <c r="E1655" s="9" t="s">
        <v>50</v>
      </c>
      <c r="F1655" s="9" t="s">
        <v>74</v>
      </c>
      <c r="G1655" s="9" t="s">
        <v>75</v>
      </c>
      <c r="H1655" s="11" t="s">
        <v>22</v>
      </c>
      <c r="I1655" s="12" t="n">
        <v>25</v>
      </c>
      <c r="J1655" s="13" t="n">
        <v>550</v>
      </c>
      <c r="K1655" s="14" t="n">
        <f aca="false">I1655*J1655</f>
        <v>13750</v>
      </c>
      <c r="L1655" s="14" t="n">
        <f aca="false">($L$2*M1655)/100</f>
        <v>360499.95</v>
      </c>
      <c r="M1655" s="15" t="n">
        <v>0.3</v>
      </c>
      <c r="N1655" s="9" t="s">
        <v>20</v>
      </c>
    </row>
    <row r="1656" customFormat="false" ht="14.25" hidden="false" customHeight="true" outlineLevel="0" collapsed="false">
      <c r="B1656" s="9" t="s">
        <v>28</v>
      </c>
      <c r="C1656" s="9" t="n">
        <v>1185732</v>
      </c>
      <c r="D1656" s="10" t="n">
        <v>44215</v>
      </c>
      <c r="E1656" s="9" t="s">
        <v>50</v>
      </c>
      <c r="F1656" s="9" t="s">
        <v>74</v>
      </c>
      <c r="G1656" s="9" t="s">
        <v>75</v>
      </c>
      <c r="H1656" s="11" t="s">
        <v>23</v>
      </c>
      <c r="I1656" s="12" t="n">
        <v>30</v>
      </c>
      <c r="J1656" s="13" t="n">
        <v>400</v>
      </c>
      <c r="K1656" s="14" t="n">
        <f aca="false">I1656*J1656</f>
        <v>12000</v>
      </c>
      <c r="L1656" s="14" t="n">
        <f aca="false">($L$2*M1656)/100</f>
        <v>420583.275</v>
      </c>
      <c r="M1656" s="15" t="n">
        <v>0.35</v>
      </c>
      <c r="N1656" s="9" t="s">
        <v>20</v>
      </c>
    </row>
    <row r="1657" customFormat="false" ht="14.25" hidden="false" customHeight="true" outlineLevel="0" collapsed="false">
      <c r="B1657" s="9" t="s">
        <v>28</v>
      </c>
      <c r="C1657" s="9" t="n">
        <v>1185732</v>
      </c>
      <c r="D1657" s="10" t="n">
        <v>44215</v>
      </c>
      <c r="E1657" s="9" t="s">
        <v>50</v>
      </c>
      <c r="F1657" s="9" t="s">
        <v>74</v>
      </c>
      <c r="G1657" s="9" t="s">
        <v>75</v>
      </c>
      <c r="H1657" s="11" t="s">
        <v>24</v>
      </c>
      <c r="I1657" s="12" t="n">
        <v>45</v>
      </c>
      <c r="J1657" s="13" t="n">
        <v>450</v>
      </c>
      <c r="K1657" s="14" t="n">
        <f aca="false">I1657*J1657</f>
        <v>20250</v>
      </c>
      <c r="L1657" s="14" t="n">
        <f aca="false">($L$2*M1657)/100</f>
        <v>480666.6</v>
      </c>
      <c r="M1657" s="15" t="n">
        <v>0.4</v>
      </c>
      <c r="N1657" s="9" t="s">
        <v>20</v>
      </c>
    </row>
    <row r="1658" customFormat="false" ht="14.25" hidden="false" customHeight="true" outlineLevel="0" collapsed="false">
      <c r="B1658" s="9" t="s">
        <v>28</v>
      </c>
      <c r="C1658" s="9" t="n">
        <v>1185732</v>
      </c>
      <c r="D1658" s="10" t="n">
        <v>44215</v>
      </c>
      <c r="E1658" s="9" t="s">
        <v>50</v>
      </c>
      <c r="F1658" s="9" t="s">
        <v>74</v>
      </c>
      <c r="G1658" s="9" t="s">
        <v>75</v>
      </c>
      <c r="H1658" s="11" t="s">
        <v>25</v>
      </c>
      <c r="I1658" s="12" t="n">
        <v>35</v>
      </c>
      <c r="J1658" s="13" t="n">
        <v>550</v>
      </c>
      <c r="K1658" s="14" t="n">
        <f aca="false">I1658*J1658</f>
        <v>19250</v>
      </c>
      <c r="L1658" s="14" t="n">
        <f aca="false">($L$2*M1658)/100</f>
        <v>660916.575</v>
      </c>
      <c r="M1658" s="15" t="n">
        <v>0.55</v>
      </c>
      <c r="N1658" s="9" t="s">
        <v>20</v>
      </c>
    </row>
    <row r="1659" customFormat="false" ht="14.25" hidden="false" customHeight="true" outlineLevel="0" collapsed="false">
      <c r="B1659" s="9" t="s">
        <v>28</v>
      </c>
      <c r="C1659" s="9" t="n">
        <v>1185732</v>
      </c>
      <c r="D1659" s="10" t="n">
        <v>44244</v>
      </c>
      <c r="E1659" s="9" t="s">
        <v>50</v>
      </c>
      <c r="F1659" s="9" t="s">
        <v>74</v>
      </c>
      <c r="G1659" s="9" t="s">
        <v>75</v>
      </c>
      <c r="H1659" s="11" t="s">
        <v>19</v>
      </c>
      <c r="I1659" s="12" t="n">
        <v>35</v>
      </c>
      <c r="J1659" s="13" t="n">
        <v>800</v>
      </c>
      <c r="K1659" s="14" t="n">
        <f aca="false">I1659*J1659</f>
        <v>28000</v>
      </c>
      <c r="L1659" s="14" t="n">
        <f aca="false">($L$2*M1659)/100</f>
        <v>600833.25</v>
      </c>
      <c r="M1659" s="15" t="n">
        <v>0.5</v>
      </c>
      <c r="N1659" s="9" t="s">
        <v>20</v>
      </c>
    </row>
    <row r="1660" customFormat="false" ht="14.25" hidden="false" customHeight="true" outlineLevel="0" collapsed="false">
      <c r="B1660" s="9" t="s">
        <v>28</v>
      </c>
      <c r="C1660" s="9" t="n">
        <v>1185732</v>
      </c>
      <c r="D1660" s="10" t="n">
        <v>44244</v>
      </c>
      <c r="E1660" s="9" t="s">
        <v>50</v>
      </c>
      <c r="F1660" s="9" t="s">
        <v>74</v>
      </c>
      <c r="G1660" s="9" t="s">
        <v>75</v>
      </c>
      <c r="H1660" s="11" t="s">
        <v>21</v>
      </c>
      <c r="I1660" s="12" t="n">
        <v>35</v>
      </c>
      <c r="J1660" s="13" t="n">
        <v>450</v>
      </c>
      <c r="K1660" s="14" t="n">
        <f aca="false">I1660*J1660</f>
        <v>15750</v>
      </c>
      <c r="L1660" s="14" t="n">
        <f aca="false">($L$2*M1660)/100</f>
        <v>480666.6</v>
      </c>
      <c r="M1660" s="15" t="n">
        <v>0.4</v>
      </c>
      <c r="N1660" s="9" t="s">
        <v>20</v>
      </c>
    </row>
    <row r="1661" customFormat="false" ht="14.25" hidden="false" customHeight="true" outlineLevel="0" collapsed="false">
      <c r="B1661" s="9" t="s">
        <v>28</v>
      </c>
      <c r="C1661" s="9" t="n">
        <v>1185732</v>
      </c>
      <c r="D1661" s="10" t="n">
        <v>44244</v>
      </c>
      <c r="E1661" s="9" t="s">
        <v>50</v>
      </c>
      <c r="F1661" s="9" t="s">
        <v>74</v>
      </c>
      <c r="G1661" s="9" t="s">
        <v>75</v>
      </c>
      <c r="H1661" s="11" t="s">
        <v>22</v>
      </c>
      <c r="I1661" s="12" t="n">
        <v>25</v>
      </c>
      <c r="J1661" s="13" t="n">
        <v>500</v>
      </c>
      <c r="K1661" s="14" t="n">
        <f aca="false">I1661*J1661</f>
        <v>12500</v>
      </c>
      <c r="L1661" s="14" t="n">
        <f aca="false">($L$2*M1661)/100</f>
        <v>360499.95</v>
      </c>
      <c r="M1661" s="15" t="n">
        <v>0.3</v>
      </c>
      <c r="N1661" s="9" t="s">
        <v>20</v>
      </c>
    </row>
    <row r="1662" customFormat="false" ht="14.25" hidden="false" customHeight="true" outlineLevel="0" collapsed="false">
      <c r="B1662" s="9" t="s">
        <v>28</v>
      </c>
      <c r="C1662" s="9" t="n">
        <v>1185732</v>
      </c>
      <c r="D1662" s="10" t="n">
        <v>44244</v>
      </c>
      <c r="E1662" s="9" t="s">
        <v>38</v>
      </c>
      <c r="F1662" s="9" t="s">
        <v>76</v>
      </c>
      <c r="G1662" s="9" t="s">
        <v>77</v>
      </c>
      <c r="H1662" s="11" t="s">
        <v>23</v>
      </c>
      <c r="I1662" s="12" t="n">
        <v>30</v>
      </c>
      <c r="J1662" s="13" t="n">
        <v>375</v>
      </c>
      <c r="K1662" s="14" t="n">
        <f aca="false">I1662*J1662</f>
        <v>11250</v>
      </c>
      <c r="L1662" s="14" t="n">
        <f aca="false">($L$2*M1662)/100</f>
        <v>420583.275</v>
      </c>
      <c r="M1662" s="15" t="n">
        <v>0.35</v>
      </c>
      <c r="N1662" s="9" t="s">
        <v>20</v>
      </c>
    </row>
    <row r="1663" customFormat="false" ht="14.25" hidden="false" customHeight="true" outlineLevel="0" collapsed="false">
      <c r="B1663" s="9" t="s">
        <v>28</v>
      </c>
      <c r="C1663" s="9" t="n">
        <v>1185732</v>
      </c>
      <c r="D1663" s="10" t="n">
        <v>44244</v>
      </c>
      <c r="E1663" s="9" t="s">
        <v>38</v>
      </c>
      <c r="F1663" s="9" t="s">
        <v>76</v>
      </c>
      <c r="G1663" s="9" t="s">
        <v>77</v>
      </c>
      <c r="H1663" s="11" t="s">
        <v>24</v>
      </c>
      <c r="I1663" s="12" t="n">
        <v>45</v>
      </c>
      <c r="J1663" s="13" t="n">
        <v>450</v>
      </c>
      <c r="K1663" s="14" t="n">
        <f aca="false">I1663*J1663</f>
        <v>20250</v>
      </c>
      <c r="L1663" s="14" t="n">
        <f aca="false">($L$2*M1663)/100</f>
        <v>480666.6</v>
      </c>
      <c r="M1663" s="15" t="n">
        <v>0.4</v>
      </c>
      <c r="N1663" s="9" t="s">
        <v>20</v>
      </c>
    </row>
    <row r="1664" customFormat="false" ht="14.25" hidden="false" customHeight="true" outlineLevel="0" collapsed="false">
      <c r="B1664" s="9" t="s">
        <v>28</v>
      </c>
      <c r="C1664" s="9" t="n">
        <v>1185732</v>
      </c>
      <c r="D1664" s="10" t="n">
        <v>44244</v>
      </c>
      <c r="E1664" s="9" t="s">
        <v>38</v>
      </c>
      <c r="F1664" s="9" t="s">
        <v>76</v>
      </c>
      <c r="G1664" s="9" t="s">
        <v>77</v>
      </c>
      <c r="H1664" s="11" t="s">
        <v>25</v>
      </c>
      <c r="I1664" s="12" t="n">
        <v>35</v>
      </c>
      <c r="J1664" s="13" t="n">
        <v>550</v>
      </c>
      <c r="K1664" s="14" t="n">
        <f aca="false">I1664*J1664</f>
        <v>19250</v>
      </c>
      <c r="L1664" s="14" t="n">
        <f aca="false">($L$2*M1664)/100</f>
        <v>660916.575</v>
      </c>
      <c r="M1664" s="15" t="n">
        <v>0.55</v>
      </c>
      <c r="N1664" s="9" t="s">
        <v>20</v>
      </c>
    </row>
    <row r="1665" customFormat="false" ht="14.25" hidden="false" customHeight="true" outlineLevel="0" collapsed="false">
      <c r="B1665" s="9" t="s">
        <v>28</v>
      </c>
      <c r="C1665" s="9" t="n">
        <v>1185732</v>
      </c>
      <c r="D1665" s="10" t="n">
        <v>44270</v>
      </c>
      <c r="E1665" s="9" t="s">
        <v>38</v>
      </c>
      <c r="F1665" s="9" t="s">
        <v>76</v>
      </c>
      <c r="G1665" s="9" t="s">
        <v>77</v>
      </c>
      <c r="H1665" s="11" t="s">
        <v>19</v>
      </c>
      <c r="I1665" s="12" t="n">
        <v>35</v>
      </c>
      <c r="J1665" s="13" t="n">
        <v>770</v>
      </c>
      <c r="K1665" s="14" t="n">
        <f aca="false">I1665*J1665</f>
        <v>26950</v>
      </c>
      <c r="L1665" s="14" t="n">
        <f aca="false">($L$2*M1665)/100</f>
        <v>600833.25</v>
      </c>
      <c r="M1665" s="15" t="n">
        <v>0.5</v>
      </c>
      <c r="N1665" s="9" t="s">
        <v>20</v>
      </c>
    </row>
    <row r="1666" customFormat="false" ht="14.25" hidden="false" customHeight="true" outlineLevel="0" collapsed="false">
      <c r="B1666" s="9" t="s">
        <v>28</v>
      </c>
      <c r="C1666" s="9" t="n">
        <v>1185732</v>
      </c>
      <c r="D1666" s="10" t="n">
        <v>44270</v>
      </c>
      <c r="E1666" s="9" t="s">
        <v>38</v>
      </c>
      <c r="F1666" s="9" t="s">
        <v>76</v>
      </c>
      <c r="G1666" s="9" t="s">
        <v>77</v>
      </c>
      <c r="H1666" s="11" t="s">
        <v>21</v>
      </c>
      <c r="I1666" s="12" t="n">
        <v>35</v>
      </c>
      <c r="J1666" s="13" t="n">
        <v>450</v>
      </c>
      <c r="K1666" s="14" t="n">
        <f aca="false">I1666*J1666</f>
        <v>15750</v>
      </c>
      <c r="L1666" s="14" t="n">
        <f aca="false">($L$2*M1666)/100</f>
        <v>480666.6</v>
      </c>
      <c r="M1666" s="15" t="n">
        <v>0.4</v>
      </c>
      <c r="N1666" s="9" t="s">
        <v>20</v>
      </c>
    </row>
    <row r="1667" customFormat="false" ht="14.25" hidden="false" customHeight="true" outlineLevel="0" collapsed="false">
      <c r="B1667" s="9" t="s">
        <v>28</v>
      </c>
      <c r="C1667" s="9" t="n">
        <v>1185732</v>
      </c>
      <c r="D1667" s="10" t="n">
        <v>44270</v>
      </c>
      <c r="E1667" s="9" t="s">
        <v>38</v>
      </c>
      <c r="F1667" s="9" t="s">
        <v>76</v>
      </c>
      <c r="G1667" s="9" t="s">
        <v>77</v>
      </c>
      <c r="H1667" s="11" t="s">
        <v>22</v>
      </c>
      <c r="I1667" s="12" t="n">
        <v>25</v>
      </c>
      <c r="J1667" s="13" t="n">
        <v>475</v>
      </c>
      <c r="K1667" s="14" t="n">
        <f aca="false">I1667*J1667</f>
        <v>11875</v>
      </c>
      <c r="L1667" s="14" t="n">
        <f aca="false">($L$2*M1667)/100</f>
        <v>360499.95</v>
      </c>
      <c r="M1667" s="15" t="n">
        <v>0.3</v>
      </c>
      <c r="N1667" s="9" t="s">
        <v>20</v>
      </c>
    </row>
    <row r="1668" customFormat="false" ht="14.25" hidden="false" customHeight="true" outlineLevel="0" collapsed="false">
      <c r="B1668" s="9" t="s">
        <v>28</v>
      </c>
      <c r="C1668" s="9" t="n">
        <v>1185732</v>
      </c>
      <c r="D1668" s="10" t="n">
        <v>44270</v>
      </c>
      <c r="E1668" s="9" t="s">
        <v>38</v>
      </c>
      <c r="F1668" s="9" t="s">
        <v>76</v>
      </c>
      <c r="G1668" s="9" t="s">
        <v>77</v>
      </c>
      <c r="H1668" s="11" t="s">
        <v>23</v>
      </c>
      <c r="I1668" s="12" t="n">
        <v>30</v>
      </c>
      <c r="J1668" s="13" t="n">
        <v>325</v>
      </c>
      <c r="K1668" s="14" t="n">
        <f aca="false">I1668*J1668</f>
        <v>9750</v>
      </c>
      <c r="L1668" s="14" t="n">
        <f aca="false">($L$2*M1668)/100</f>
        <v>420583.275</v>
      </c>
      <c r="M1668" s="15" t="n">
        <v>0.35</v>
      </c>
      <c r="N1668" s="9" t="s">
        <v>20</v>
      </c>
    </row>
    <row r="1669" customFormat="false" ht="14.25" hidden="false" customHeight="true" outlineLevel="0" collapsed="false">
      <c r="B1669" s="9" t="s">
        <v>28</v>
      </c>
      <c r="C1669" s="9" t="n">
        <v>1185732</v>
      </c>
      <c r="D1669" s="10" t="n">
        <v>44270</v>
      </c>
      <c r="E1669" s="9" t="s">
        <v>38</v>
      </c>
      <c r="F1669" s="9" t="s">
        <v>76</v>
      </c>
      <c r="G1669" s="9" t="s">
        <v>77</v>
      </c>
      <c r="H1669" s="11" t="s">
        <v>24</v>
      </c>
      <c r="I1669" s="12" t="n">
        <v>45</v>
      </c>
      <c r="J1669" s="13" t="n">
        <v>375</v>
      </c>
      <c r="K1669" s="14" t="n">
        <f aca="false">I1669*J1669</f>
        <v>16875</v>
      </c>
      <c r="L1669" s="14" t="n">
        <f aca="false">($L$2*M1669)/100</f>
        <v>480666.6</v>
      </c>
      <c r="M1669" s="15" t="n">
        <v>0.4</v>
      </c>
      <c r="N1669" s="9" t="s">
        <v>20</v>
      </c>
    </row>
    <row r="1670" customFormat="false" ht="14.25" hidden="false" customHeight="true" outlineLevel="0" collapsed="false">
      <c r="B1670" s="9" t="s">
        <v>28</v>
      </c>
      <c r="C1670" s="9" t="n">
        <v>1185732</v>
      </c>
      <c r="D1670" s="10" t="n">
        <v>44270</v>
      </c>
      <c r="E1670" s="9" t="s">
        <v>38</v>
      </c>
      <c r="F1670" s="9" t="s">
        <v>76</v>
      </c>
      <c r="G1670" s="9" t="s">
        <v>77</v>
      </c>
      <c r="H1670" s="11" t="s">
        <v>25</v>
      </c>
      <c r="I1670" s="12" t="n">
        <v>35</v>
      </c>
      <c r="J1670" s="13" t="n">
        <v>475</v>
      </c>
      <c r="K1670" s="14" t="n">
        <f aca="false">I1670*J1670</f>
        <v>16625</v>
      </c>
      <c r="L1670" s="14" t="n">
        <f aca="false">($L$2*M1670)/100</f>
        <v>660916.575</v>
      </c>
      <c r="M1670" s="15" t="n">
        <v>0.55</v>
      </c>
      <c r="N1670" s="9" t="s">
        <v>20</v>
      </c>
    </row>
    <row r="1671" customFormat="false" ht="14.25" hidden="false" customHeight="true" outlineLevel="0" collapsed="false">
      <c r="B1671" s="9" t="s">
        <v>28</v>
      </c>
      <c r="C1671" s="9" t="n">
        <v>1185732</v>
      </c>
      <c r="D1671" s="10" t="n">
        <v>44302</v>
      </c>
      <c r="E1671" s="9" t="s">
        <v>38</v>
      </c>
      <c r="F1671" s="9" t="s">
        <v>76</v>
      </c>
      <c r="G1671" s="9" t="s">
        <v>77</v>
      </c>
      <c r="H1671" s="11" t="s">
        <v>19</v>
      </c>
      <c r="I1671" s="12" t="n">
        <v>35</v>
      </c>
      <c r="J1671" s="13" t="n">
        <v>725</v>
      </c>
      <c r="K1671" s="14" t="n">
        <f aca="false">I1671*J1671</f>
        <v>25375</v>
      </c>
      <c r="L1671" s="14" t="n">
        <f aca="false">($L$2*M1671)/100</f>
        <v>600833.25</v>
      </c>
      <c r="M1671" s="15" t="n">
        <v>0.5</v>
      </c>
      <c r="N1671" s="9" t="s">
        <v>20</v>
      </c>
    </row>
    <row r="1672" customFormat="false" ht="14.25" hidden="false" customHeight="true" outlineLevel="0" collapsed="false">
      <c r="B1672" s="9" t="s">
        <v>28</v>
      </c>
      <c r="C1672" s="9" t="n">
        <v>1185732</v>
      </c>
      <c r="D1672" s="10" t="n">
        <v>44302</v>
      </c>
      <c r="E1672" s="9" t="s">
        <v>38</v>
      </c>
      <c r="F1672" s="9" t="s">
        <v>76</v>
      </c>
      <c r="G1672" s="9" t="s">
        <v>77</v>
      </c>
      <c r="H1672" s="11" t="s">
        <v>21</v>
      </c>
      <c r="I1672" s="12" t="n">
        <v>40</v>
      </c>
      <c r="J1672" s="13" t="n">
        <v>425</v>
      </c>
      <c r="K1672" s="14" t="n">
        <f aca="false">I1672*J1672</f>
        <v>17000</v>
      </c>
      <c r="L1672" s="14" t="n">
        <f aca="false">($L$2*M1672)/100</f>
        <v>480666.6</v>
      </c>
      <c r="M1672" s="15" t="n">
        <v>0.4</v>
      </c>
      <c r="N1672" s="9" t="s">
        <v>20</v>
      </c>
    </row>
    <row r="1673" customFormat="false" ht="14.25" hidden="false" customHeight="true" outlineLevel="0" collapsed="false">
      <c r="B1673" s="9" t="s">
        <v>28</v>
      </c>
      <c r="C1673" s="9" t="n">
        <v>1185732</v>
      </c>
      <c r="D1673" s="10" t="n">
        <v>44302</v>
      </c>
      <c r="E1673" s="9" t="s">
        <v>38</v>
      </c>
      <c r="F1673" s="9" t="s">
        <v>76</v>
      </c>
      <c r="G1673" s="9" t="s">
        <v>77</v>
      </c>
      <c r="H1673" s="11" t="s">
        <v>22</v>
      </c>
      <c r="I1673" s="12" t="n">
        <v>30</v>
      </c>
      <c r="J1673" s="13" t="n">
        <v>450</v>
      </c>
      <c r="K1673" s="14" t="n">
        <f aca="false">I1673*J1673</f>
        <v>13500</v>
      </c>
      <c r="L1673" s="14" t="n">
        <f aca="false">($L$2*M1673)/100</f>
        <v>360499.95</v>
      </c>
      <c r="M1673" s="15" t="n">
        <v>0.3</v>
      </c>
      <c r="N1673" s="9" t="s">
        <v>20</v>
      </c>
    </row>
    <row r="1674" customFormat="false" ht="14.25" hidden="false" customHeight="true" outlineLevel="0" collapsed="false">
      <c r="B1674" s="9" t="s">
        <v>28</v>
      </c>
      <c r="C1674" s="9" t="n">
        <v>1185732</v>
      </c>
      <c r="D1674" s="10" t="n">
        <v>44302</v>
      </c>
      <c r="E1674" s="9" t="s">
        <v>38</v>
      </c>
      <c r="F1674" s="9" t="s">
        <v>76</v>
      </c>
      <c r="G1674" s="9" t="s">
        <v>77</v>
      </c>
      <c r="H1674" s="11" t="s">
        <v>23</v>
      </c>
      <c r="I1674" s="12" t="n">
        <v>35</v>
      </c>
      <c r="J1674" s="13" t="n">
        <v>375</v>
      </c>
      <c r="K1674" s="14" t="n">
        <f aca="false">I1674*J1674</f>
        <v>13125</v>
      </c>
      <c r="L1674" s="14" t="n">
        <f aca="false">($L$2*M1674)/100</f>
        <v>420583.275</v>
      </c>
      <c r="M1674" s="15" t="n">
        <v>0.35</v>
      </c>
      <c r="N1674" s="9" t="s">
        <v>20</v>
      </c>
    </row>
    <row r="1675" customFormat="false" ht="14.25" hidden="false" customHeight="true" outlineLevel="0" collapsed="false">
      <c r="B1675" s="9" t="s">
        <v>28</v>
      </c>
      <c r="C1675" s="9" t="n">
        <v>1185732</v>
      </c>
      <c r="D1675" s="10" t="n">
        <v>44302</v>
      </c>
      <c r="E1675" s="9" t="s">
        <v>38</v>
      </c>
      <c r="F1675" s="9" t="s">
        <v>76</v>
      </c>
      <c r="G1675" s="9" t="s">
        <v>77</v>
      </c>
      <c r="H1675" s="11" t="s">
        <v>24</v>
      </c>
      <c r="I1675" s="12" t="n">
        <v>50</v>
      </c>
      <c r="J1675" s="13" t="n">
        <v>400</v>
      </c>
      <c r="K1675" s="14" t="n">
        <f aca="false">I1675*J1675</f>
        <v>20000</v>
      </c>
      <c r="L1675" s="14" t="n">
        <f aca="false">($L$2*M1675)/100</f>
        <v>480666.6</v>
      </c>
      <c r="M1675" s="15" t="n">
        <v>0.4</v>
      </c>
      <c r="N1675" s="9" t="s">
        <v>20</v>
      </c>
    </row>
    <row r="1676" customFormat="false" ht="14.25" hidden="false" customHeight="true" outlineLevel="0" collapsed="false">
      <c r="B1676" s="9" t="s">
        <v>28</v>
      </c>
      <c r="C1676" s="9" t="n">
        <v>1185732</v>
      </c>
      <c r="D1676" s="10" t="n">
        <v>44302</v>
      </c>
      <c r="E1676" s="9" t="s">
        <v>38</v>
      </c>
      <c r="F1676" s="9" t="s">
        <v>76</v>
      </c>
      <c r="G1676" s="9" t="s">
        <v>77</v>
      </c>
      <c r="H1676" s="11" t="s">
        <v>25</v>
      </c>
      <c r="I1676" s="12" t="n">
        <v>40</v>
      </c>
      <c r="J1676" s="13" t="n">
        <v>525</v>
      </c>
      <c r="K1676" s="14" t="n">
        <f aca="false">I1676*J1676</f>
        <v>21000</v>
      </c>
      <c r="L1676" s="14" t="n">
        <f aca="false">($L$2*M1676)/100</f>
        <v>660916.575</v>
      </c>
      <c r="M1676" s="15" t="n">
        <v>0.55</v>
      </c>
      <c r="N1676" s="9" t="s">
        <v>20</v>
      </c>
    </row>
    <row r="1677" customFormat="false" ht="14.25" hidden="false" customHeight="true" outlineLevel="0" collapsed="false">
      <c r="B1677" s="9" t="s">
        <v>28</v>
      </c>
      <c r="C1677" s="9" t="n">
        <v>1185732</v>
      </c>
      <c r="D1677" s="10" t="n">
        <v>44331</v>
      </c>
      <c r="E1677" s="9" t="s">
        <v>38</v>
      </c>
      <c r="F1677" s="9" t="s">
        <v>76</v>
      </c>
      <c r="G1677" s="9" t="s">
        <v>77</v>
      </c>
      <c r="H1677" s="11" t="s">
        <v>19</v>
      </c>
      <c r="I1677" s="12" t="n">
        <v>50</v>
      </c>
      <c r="J1677" s="13" t="n">
        <v>795</v>
      </c>
      <c r="K1677" s="14" t="n">
        <f aca="false">I1677*J1677</f>
        <v>39750</v>
      </c>
      <c r="L1677" s="14" t="n">
        <f aca="false">($L$2*M1677)/100</f>
        <v>600833.25</v>
      </c>
      <c r="M1677" s="15" t="n">
        <v>0.5</v>
      </c>
      <c r="N1677" s="9" t="s">
        <v>20</v>
      </c>
    </row>
    <row r="1678" customFormat="false" ht="14.25" hidden="false" customHeight="true" outlineLevel="0" collapsed="false">
      <c r="B1678" s="9" t="s">
        <v>28</v>
      </c>
      <c r="C1678" s="9" t="n">
        <v>1185732</v>
      </c>
      <c r="D1678" s="10" t="n">
        <v>44331</v>
      </c>
      <c r="E1678" s="9" t="s">
        <v>38</v>
      </c>
      <c r="F1678" s="9" t="s">
        <v>76</v>
      </c>
      <c r="G1678" s="9" t="s">
        <v>77</v>
      </c>
      <c r="H1678" s="11" t="s">
        <v>21</v>
      </c>
      <c r="I1678" s="12" t="n">
        <v>50</v>
      </c>
      <c r="J1678" s="13" t="n">
        <v>500</v>
      </c>
      <c r="K1678" s="14" t="n">
        <f aca="false">I1678*J1678</f>
        <v>25000</v>
      </c>
      <c r="L1678" s="14" t="n">
        <f aca="false">($L$2*M1678)/100</f>
        <v>480666.6</v>
      </c>
      <c r="M1678" s="15" t="n">
        <v>0.4</v>
      </c>
      <c r="N1678" s="9" t="s">
        <v>20</v>
      </c>
    </row>
    <row r="1679" customFormat="false" ht="14.25" hidden="false" customHeight="true" outlineLevel="0" collapsed="false">
      <c r="B1679" s="9" t="s">
        <v>28</v>
      </c>
      <c r="C1679" s="9" t="n">
        <v>1185732</v>
      </c>
      <c r="D1679" s="10" t="n">
        <v>44331</v>
      </c>
      <c r="E1679" s="9" t="s">
        <v>38</v>
      </c>
      <c r="F1679" s="9" t="s">
        <v>76</v>
      </c>
      <c r="G1679" s="9" t="s">
        <v>77</v>
      </c>
      <c r="H1679" s="11" t="s">
        <v>22</v>
      </c>
      <c r="I1679" s="12" t="n">
        <v>45</v>
      </c>
      <c r="J1679" s="13" t="n">
        <v>475</v>
      </c>
      <c r="K1679" s="14" t="n">
        <f aca="false">I1679*J1679</f>
        <v>21375</v>
      </c>
      <c r="L1679" s="14" t="n">
        <f aca="false">($L$2*M1679)/100</f>
        <v>360499.95</v>
      </c>
      <c r="M1679" s="15" t="n">
        <v>0.3</v>
      </c>
      <c r="N1679" s="9" t="s">
        <v>20</v>
      </c>
    </row>
    <row r="1680" customFormat="false" ht="14.25" hidden="false" customHeight="true" outlineLevel="0" collapsed="false">
      <c r="B1680" s="9" t="s">
        <v>28</v>
      </c>
      <c r="C1680" s="9" t="n">
        <v>1185732</v>
      </c>
      <c r="D1680" s="10" t="n">
        <v>44331</v>
      </c>
      <c r="E1680" s="9" t="s">
        <v>38</v>
      </c>
      <c r="F1680" s="9" t="s">
        <v>76</v>
      </c>
      <c r="G1680" s="9" t="s">
        <v>77</v>
      </c>
      <c r="H1680" s="11" t="s">
        <v>23</v>
      </c>
      <c r="I1680" s="12" t="n">
        <v>45</v>
      </c>
      <c r="J1680" s="13" t="n">
        <v>450</v>
      </c>
      <c r="K1680" s="14" t="n">
        <f aca="false">I1680*J1680</f>
        <v>20250</v>
      </c>
      <c r="L1680" s="14" t="n">
        <f aca="false">($L$2*M1680)/100</f>
        <v>420583.275</v>
      </c>
      <c r="M1680" s="15" t="n">
        <v>0.35</v>
      </c>
      <c r="N1680" s="9" t="s">
        <v>20</v>
      </c>
    </row>
    <row r="1681" customFormat="false" ht="14.25" hidden="false" customHeight="true" outlineLevel="0" collapsed="false">
      <c r="B1681" s="9" t="s">
        <v>28</v>
      </c>
      <c r="C1681" s="9" t="n">
        <v>1185732</v>
      </c>
      <c r="D1681" s="10" t="n">
        <v>44331</v>
      </c>
      <c r="E1681" s="9" t="s">
        <v>38</v>
      </c>
      <c r="F1681" s="9" t="s">
        <v>76</v>
      </c>
      <c r="G1681" s="9" t="s">
        <v>77</v>
      </c>
      <c r="H1681" s="11" t="s">
        <v>24</v>
      </c>
      <c r="I1681" s="12" t="n">
        <v>55</v>
      </c>
      <c r="J1681" s="13" t="n">
        <v>475</v>
      </c>
      <c r="K1681" s="14" t="n">
        <f aca="false">I1681*J1681</f>
        <v>26125</v>
      </c>
      <c r="L1681" s="14" t="n">
        <f aca="false">($L$2*M1681)/100</f>
        <v>480666.6</v>
      </c>
      <c r="M1681" s="15" t="n">
        <v>0.4</v>
      </c>
      <c r="N1681" s="9" t="s">
        <v>20</v>
      </c>
    </row>
    <row r="1682" customFormat="false" ht="14.25" hidden="false" customHeight="true" outlineLevel="0" collapsed="false">
      <c r="B1682" s="9" t="s">
        <v>28</v>
      </c>
      <c r="C1682" s="9" t="n">
        <v>1185732</v>
      </c>
      <c r="D1682" s="10" t="n">
        <v>44331</v>
      </c>
      <c r="E1682" s="9" t="s">
        <v>38</v>
      </c>
      <c r="F1682" s="9" t="s">
        <v>76</v>
      </c>
      <c r="G1682" s="9" t="s">
        <v>77</v>
      </c>
      <c r="H1682" s="11" t="s">
        <v>25</v>
      </c>
      <c r="I1682" s="12" t="n">
        <v>60</v>
      </c>
      <c r="J1682" s="13" t="n">
        <v>575</v>
      </c>
      <c r="K1682" s="14" t="n">
        <f aca="false">I1682*J1682</f>
        <v>34500</v>
      </c>
      <c r="L1682" s="14" t="n">
        <f aca="false">($L$2*M1682)/100</f>
        <v>660916.575</v>
      </c>
      <c r="M1682" s="15" t="n">
        <v>0.55</v>
      </c>
      <c r="N1682" s="9" t="s">
        <v>20</v>
      </c>
    </row>
    <row r="1683" customFormat="false" ht="14.25" hidden="false" customHeight="true" outlineLevel="0" collapsed="false">
      <c r="B1683" s="9" t="s">
        <v>28</v>
      </c>
      <c r="C1683" s="9" t="n">
        <v>1185732</v>
      </c>
      <c r="D1683" s="10" t="n">
        <v>44364</v>
      </c>
      <c r="E1683" s="9" t="s">
        <v>38</v>
      </c>
      <c r="F1683" s="9" t="s">
        <v>76</v>
      </c>
      <c r="G1683" s="9" t="s">
        <v>77</v>
      </c>
      <c r="H1683" s="11" t="s">
        <v>19</v>
      </c>
      <c r="I1683" s="12" t="n">
        <v>55</v>
      </c>
      <c r="J1683" s="13" t="n">
        <v>825</v>
      </c>
      <c r="K1683" s="14" t="n">
        <f aca="false">I1683*J1683</f>
        <v>45375</v>
      </c>
      <c r="L1683" s="14" t="n">
        <f aca="false">($L$2*M1683)/100</f>
        <v>600833.25</v>
      </c>
      <c r="M1683" s="15" t="n">
        <v>0.5</v>
      </c>
      <c r="N1683" s="9" t="s">
        <v>20</v>
      </c>
    </row>
    <row r="1684" customFormat="false" ht="14.25" hidden="false" customHeight="true" outlineLevel="0" collapsed="false">
      <c r="B1684" s="9" t="s">
        <v>28</v>
      </c>
      <c r="C1684" s="9" t="n">
        <v>1185732</v>
      </c>
      <c r="D1684" s="10" t="n">
        <v>44364</v>
      </c>
      <c r="E1684" s="9" t="s">
        <v>38</v>
      </c>
      <c r="F1684" s="9" t="s">
        <v>76</v>
      </c>
      <c r="G1684" s="9" t="s">
        <v>77</v>
      </c>
      <c r="H1684" s="11" t="s">
        <v>21</v>
      </c>
      <c r="I1684" s="12" t="n">
        <v>50</v>
      </c>
      <c r="J1684" s="13" t="n">
        <v>575</v>
      </c>
      <c r="K1684" s="14" t="n">
        <f aca="false">I1684*J1684</f>
        <v>28750</v>
      </c>
      <c r="L1684" s="14" t="n">
        <f aca="false">($L$2*M1684)/100</f>
        <v>480666.6</v>
      </c>
      <c r="M1684" s="15" t="n">
        <v>0.4</v>
      </c>
      <c r="N1684" s="9" t="s">
        <v>20</v>
      </c>
    </row>
    <row r="1685" customFormat="false" ht="14.25" hidden="false" customHeight="true" outlineLevel="0" collapsed="false">
      <c r="B1685" s="9" t="s">
        <v>28</v>
      </c>
      <c r="C1685" s="9" t="n">
        <v>1185732</v>
      </c>
      <c r="D1685" s="10" t="n">
        <v>44364</v>
      </c>
      <c r="E1685" s="9" t="s">
        <v>38</v>
      </c>
      <c r="F1685" s="9" t="s">
        <v>76</v>
      </c>
      <c r="G1685" s="9" t="s">
        <v>77</v>
      </c>
      <c r="H1685" s="11" t="s">
        <v>22</v>
      </c>
      <c r="I1685" s="12" t="n">
        <v>45</v>
      </c>
      <c r="J1685" s="13" t="n">
        <v>550</v>
      </c>
      <c r="K1685" s="14" t="n">
        <f aca="false">I1685*J1685</f>
        <v>24750</v>
      </c>
      <c r="L1685" s="14" t="n">
        <f aca="false">($L$2*M1685)/100</f>
        <v>360499.95</v>
      </c>
      <c r="M1685" s="15" t="n">
        <v>0.3</v>
      </c>
      <c r="N1685" s="9" t="s">
        <v>20</v>
      </c>
    </row>
    <row r="1686" customFormat="false" ht="14.25" hidden="false" customHeight="true" outlineLevel="0" collapsed="false">
      <c r="B1686" s="9" t="s">
        <v>28</v>
      </c>
      <c r="C1686" s="9" t="n">
        <v>1185732</v>
      </c>
      <c r="D1686" s="10" t="n">
        <v>44364</v>
      </c>
      <c r="E1686" s="9" t="s">
        <v>38</v>
      </c>
      <c r="F1686" s="9" t="s">
        <v>76</v>
      </c>
      <c r="G1686" s="9" t="s">
        <v>77</v>
      </c>
      <c r="H1686" s="11" t="s">
        <v>23</v>
      </c>
      <c r="I1686" s="12" t="n">
        <v>45</v>
      </c>
      <c r="J1686" s="13" t="n">
        <v>525</v>
      </c>
      <c r="K1686" s="14" t="n">
        <f aca="false">I1686*J1686</f>
        <v>23625</v>
      </c>
      <c r="L1686" s="14" t="n">
        <f aca="false">($L$2*M1686)/100</f>
        <v>420583.275</v>
      </c>
      <c r="M1686" s="15" t="n">
        <v>0.35</v>
      </c>
      <c r="N1686" s="9" t="s">
        <v>20</v>
      </c>
    </row>
    <row r="1687" customFormat="false" ht="14.25" hidden="false" customHeight="true" outlineLevel="0" collapsed="false">
      <c r="B1687" s="9" t="s">
        <v>28</v>
      </c>
      <c r="C1687" s="9" t="n">
        <v>1185732</v>
      </c>
      <c r="D1687" s="10" t="n">
        <v>44364</v>
      </c>
      <c r="E1687" s="9" t="s">
        <v>38</v>
      </c>
      <c r="F1687" s="9" t="s">
        <v>76</v>
      </c>
      <c r="G1687" s="9" t="s">
        <v>77</v>
      </c>
      <c r="H1687" s="11" t="s">
        <v>24</v>
      </c>
      <c r="I1687" s="12" t="n">
        <v>60</v>
      </c>
      <c r="J1687" s="13" t="n">
        <v>525</v>
      </c>
      <c r="K1687" s="14" t="n">
        <f aca="false">I1687*J1687</f>
        <v>31500</v>
      </c>
      <c r="L1687" s="14" t="n">
        <f aca="false">($L$2*M1687)/100</f>
        <v>480666.6</v>
      </c>
      <c r="M1687" s="15" t="n">
        <v>0.4</v>
      </c>
      <c r="N1687" s="9" t="s">
        <v>20</v>
      </c>
    </row>
    <row r="1688" customFormat="false" ht="14.25" hidden="false" customHeight="true" outlineLevel="0" collapsed="false">
      <c r="B1688" s="9" t="s">
        <v>28</v>
      </c>
      <c r="C1688" s="9" t="n">
        <v>1185732</v>
      </c>
      <c r="D1688" s="10" t="n">
        <v>44364</v>
      </c>
      <c r="E1688" s="9" t="s">
        <v>38</v>
      </c>
      <c r="F1688" s="9" t="s">
        <v>76</v>
      </c>
      <c r="G1688" s="9" t="s">
        <v>77</v>
      </c>
      <c r="H1688" s="11" t="s">
        <v>25</v>
      </c>
      <c r="I1688" s="12" t="n">
        <v>65</v>
      </c>
      <c r="J1688" s="13" t="n">
        <v>675</v>
      </c>
      <c r="K1688" s="14" t="n">
        <f aca="false">I1688*J1688</f>
        <v>43875</v>
      </c>
      <c r="L1688" s="14" t="n">
        <f aca="false">($L$2*M1688)/100</f>
        <v>660916.575</v>
      </c>
      <c r="M1688" s="15" t="n">
        <v>0.55</v>
      </c>
      <c r="N1688" s="9" t="s">
        <v>20</v>
      </c>
    </row>
    <row r="1689" customFormat="false" ht="14.25" hidden="false" customHeight="true" outlineLevel="0" collapsed="false">
      <c r="B1689" s="9" t="s">
        <v>28</v>
      </c>
      <c r="C1689" s="9" t="n">
        <v>1185732</v>
      </c>
      <c r="D1689" s="10" t="n">
        <v>44392</v>
      </c>
      <c r="E1689" s="9" t="s">
        <v>38</v>
      </c>
      <c r="F1689" s="9" t="s">
        <v>76</v>
      </c>
      <c r="G1689" s="9" t="s">
        <v>77</v>
      </c>
      <c r="H1689" s="11" t="s">
        <v>19</v>
      </c>
      <c r="I1689" s="12" t="n">
        <v>60</v>
      </c>
      <c r="J1689" s="13" t="n">
        <v>900</v>
      </c>
      <c r="K1689" s="14" t="n">
        <f aca="false">I1689*J1689</f>
        <v>54000</v>
      </c>
      <c r="L1689" s="14" t="n">
        <f aca="false">($L$2*M1689)/100</f>
        <v>600833.25</v>
      </c>
      <c r="M1689" s="15" t="n">
        <v>0.5</v>
      </c>
      <c r="N1689" s="9" t="s">
        <v>20</v>
      </c>
    </row>
    <row r="1690" customFormat="false" ht="14.25" hidden="false" customHeight="true" outlineLevel="0" collapsed="false">
      <c r="B1690" s="9" t="s">
        <v>28</v>
      </c>
      <c r="C1690" s="9" t="n">
        <v>1185732</v>
      </c>
      <c r="D1690" s="10" t="n">
        <v>44392</v>
      </c>
      <c r="E1690" s="9" t="s">
        <v>38</v>
      </c>
      <c r="F1690" s="9" t="s">
        <v>76</v>
      </c>
      <c r="G1690" s="9" t="s">
        <v>77</v>
      </c>
      <c r="H1690" s="11" t="s">
        <v>21</v>
      </c>
      <c r="I1690" s="12" t="n">
        <v>55</v>
      </c>
      <c r="J1690" s="13" t="n">
        <v>650</v>
      </c>
      <c r="K1690" s="14" t="n">
        <f aca="false">I1690*J1690</f>
        <v>35750</v>
      </c>
      <c r="L1690" s="14" t="n">
        <f aca="false">($L$2*M1690)/100</f>
        <v>480666.6</v>
      </c>
      <c r="M1690" s="15" t="n">
        <v>0.4</v>
      </c>
      <c r="N1690" s="9" t="s">
        <v>20</v>
      </c>
    </row>
    <row r="1691" customFormat="false" ht="14.25" hidden="false" customHeight="true" outlineLevel="0" collapsed="false">
      <c r="B1691" s="9" t="s">
        <v>28</v>
      </c>
      <c r="C1691" s="9" t="n">
        <v>1185732</v>
      </c>
      <c r="D1691" s="10" t="n">
        <v>44392</v>
      </c>
      <c r="E1691" s="9" t="s">
        <v>38</v>
      </c>
      <c r="F1691" s="9" t="s">
        <v>76</v>
      </c>
      <c r="G1691" s="9" t="s">
        <v>77</v>
      </c>
      <c r="H1691" s="11" t="s">
        <v>22</v>
      </c>
      <c r="I1691" s="12" t="n">
        <v>50</v>
      </c>
      <c r="J1691" s="13" t="n">
        <v>575</v>
      </c>
      <c r="K1691" s="14" t="n">
        <f aca="false">I1691*J1691</f>
        <v>28750</v>
      </c>
      <c r="L1691" s="14" t="n">
        <f aca="false">($L$2*M1691)/100</f>
        <v>360499.95</v>
      </c>
      <c r="M1691" s="15" t="n">
        <v>0.3</v>
      </c>
      <c r="N1691" s="9" t="s">
        <v>20</v>
      </c>
    </row>
    <row r="1692" customFormat="false" ht="14.25" hidden="false" customHeight="true" outlineLevel="0" collapsed="false">
      <c r="B1692" s="9" t="s">
        <v>28</v>
      </c>
      <c r="C1692" s="9" t="n">
        <v>1185732</v>
      </c>
      <c r="D1692" s="10" t="n">
        <v>44392</v>
      </c>
      <c r="E1692" s="9" t="s">
        <v>38</v>
      </c>
      <c r="F1692" s="9" t="s">
        <v>76</v>
      </c>
      <c r="G1692" s="9" t="s">
        <v>77</v>
      </c>
      <c r="H1692" s="11" t="s">
        <v>23</v>
      </c>
      <c r="I1692" s="12" t="n">
        <v>50</v>
      </c>
      <c r="J1692" s="13" t="n">
        <v>525</v>
      </c>
      <c r="K1692" s="14" t="n">
        <f aca="false">I1692*J1692</f>
        <v>26250</v>
      </c>
      <c r="L1692" s="14" t="n">
        <f aca="false">($L$2*M1692)/100</f>
        <v>420583.275</v>
      </c>
      <c r="M1692" s="15" t="n">
        <v>0.35</v>
      </c>
      <c r="N1692" s="9" t="s">
        <v>20</v>
      </c>
    </row>
    <row r="1693" customFormat="false" ht="14.25" hidden="false" customHeight="true" outlineLevel="0" collapsed="false">
      <c r="B1693" s="9" t="s">
        <v>28</v>
      </c>
      <c r="C1693" s="9" t="n">
        <v>1185732</v>
      </c>
      <c r="D1693" s="10" t="n">
        <v>44392</v>
      </c>
      <c r="E1693" s="9" t="s">
        <v>38</v>
      </c>
      <c r="F1693" s="9" t="s">
        <v>76</v>
      </c>
      <c r="G1693" s="9" t="s">
        <v>77</v>
      </c>
      <c r="H1693" s="11" t="s">
        <v>24</v>
      </c>
      <c r="I1693" s="12" t="n">
        <v>60</v>
      </c>
      <c r="J1693" s="13" t="n">
        <v>550</v>
      </c>
      <c r="K1693" s="14" t="n">
        <f aca="false">I1693*J1693</f>
        <v>33000</v>
      </c>
      <c r="L1693" s="14" t="n">
        <f aca="false">($L$2*M1693)/100</f>
        <v>480666.6</v>
      </c>
      <c r="M1693" s="15" t="n">
        <v>0.4</v>
      </c>
      <c r="N1693" s="9" t="s">
        <v>20</v>
      </c>
    </row>
    <row r="1694" customFormat="false" ht="14.25" hidden="false" customHeight="true" outlineLevel="0" collapsed="false">
      <c r="B1694" s="9" t="s">
        <v>28</v>
      </c>
      <c r="C1694" s="9" t="n">
        <v>1185732</v>
      </c>
      <c r="D1694" s="10" t="n">
        <v>44392</v>
      </c>
      <c r="E1694" s="9" t="s">
        <v>38</v>
      </c>
      <c r="F1694" s="9" t="s">
        <v>76</v>
      </c>
      <c r="G1694" s="9" t="s">
        <v>77</v>
      </c>
      <c r="H1694" s="11" t="s">
        <v>25</v>
      </c>
      <c r="I1694" s="12" t="n">
        <v>65</v>
      </c>
      <c r="J1694" s="13" t="n">
        <v>725</v>
      </c>
      <c r="K1694" s="14" t="n">
        <f aca="false">I1694*J1694</f>
        <v>47125</v>
      </c>
      <c r="L1694" s="14" t="n">
        <f aca="false">($L$2*M1694)/100</f>
        <v>660916.575</v>
      </c>
      <c r="M1694" s="15" t="n">
        <v>0.55</v>
      </c>
      <c r="N1694" s="9" t="s">
        <v>20</v>
      </c>
    </row>
    <row r="1695" customFormat="false" ht="14.25" hidden="false" customHeight="true" outlineLevel="0" collapsed="false">
      <c r="B1695" s="9" t="s">
        <v>28</v>
      </c>
      <c r="C1695" s="9" t="n">
        <v>1185732</v>
      </c>
      <c r="D1695" s="10" t="n">
        <v>44424</v>
      </c>
      <c r="E1695" s="9" t="s">
        <v>38</v>
      </c>
      <c r="F1695" s="9" t="s">
        <v>76</v>
      </c>
      <c r="G1695" s="9" t="s">
        <v>77</v>
      </c>
      <c r="H1695" s="11" t="s">
        <v>19</v>
      </c>
      <c r="I1695" s="12" t="n">
        <v>60</v>
      </c>
      <c r="J1695" s="13" t="n">
        <v>875</v>
      </c>
      <c r="K1695" s="14" t="n">
        <f aca="false">I1695*J1695</f>
        <v>52500</v>
      </c>
      <c r="L1695" s="14" t="n">
        <f aca="false">($L$2*M1695)/100</f>
        <v>600833.25</v>
      </c>
      <c r="M1695" s="15" t="n">
        <v>0.5</v>
      </c>
      <c r="N1695" s="9" t="s">
        <v>20</v>
      </c>
    </row>
    <row r="1696" customFormat="false" ht="14.25" hidden="false" customHeight="true" outlineLevel="0" collapsed="false">
      <c r="B1696" s="9" t="s">
        <v>28</v>
      </c>
      <c r="C1696" s="9" t="n">
        <v>1185732</v>
      </c>
      <c r="D1696" s="10" t="n">
        <v>44424</v>
      </c>
      <c r="E1696" s="9" t="s">
        <v>38</v>
      </c>
      <c r="F1696" s="9" t="s">
        <v>76</v>
      </c>
      <c r="G1696" s="9" t="s">
        <v>77</v>
      </c>
      <c r="H1696" s="11" t="s">
        <v>21</v>
      </c>
      <c r="I1696" s="12" t="n">
        <v>55</v>
      </c>
      <c r="J1696" s="13" t="n">
        <v>650</v>
      </c>
      <c r="K1696" s="14" t="n">
        <f aca="false">I1696*J1696</f>
        <v>35750</v>
      </c>
      <c r="L1696" s="14" t="n">
        <f aca="false">($L$2*M1696)/100</f>
        <v>480666.6</v>
      </c>
      <c r="M1696" s="15" t="n">
        <v>0.4</v>
      </c>
      <c r="N1696" s="9" t="s">
        <v>20</v>
      </c>
    </row>
    <row r="1697" customFormat="false" ht="14.25" hidden="false" customHeight="true" outlineLevel="0" collapsed="false">
      <c r="B1697" s="9" t="s">
        <v>28</v>
      </c>
      <c r="C1697" s="9" t="n">
        <v>1185732</v>
      </c>
      <c r="D1697" s="10" t="n">
        <v>44424</v>
      </c>
      <c r="E1697" s="9" t="s">
        <v>38</v>
      </c>
      <c r="F1697" s="9" t="s">
        <v>76</v>
      </c>
      <c r="G1697" s="9" t="s">
        <v>77</v>
      </c>
      <c r="H1697" s="11" t="s">
        <v>22</v>
      </c>
      <c r="I1697" s="12" t="n">
        <v>45</v>
      </c>
      <c r="J1697" s="13" t="n">
        <v>575</v>
      </c>
      <c r="K1697" s="14" t="n">
        <f aca="false">I1697*J1697</f>
        <v>25875</v>
      </c>
      <c r="L1697" s="14" t="n">
        <f aca="false">($L$2*M1697)/100</f>
        <v>360499.95</v>
      </c>
      <c r="M1697" s="15" t="n">
        <v>0.3</v>
      </c>
      <c r="N1697" s="9" t="s">
        <v>20</v>
      </c>
    </row>
    <row r="1698" customFormat="false" ht="14.25" hidden="false" customHeight="true" outlineLevel="0" collapsed="false">
      <c r="B1698" s="9" t="s">
        <v>28</v>
      </c>
      <c r="C1698" s="9" t="n">
        <v>1185732</v>
      </c>
      <c r="D1698" s="10" t="n">
        <v>44424</v>
      </c>
      <c r="E1698" s="9" t="s">
        <v>38</v>
      </c>
      <c r="F1698" s="9" t="s">
        <v>76</v>
      </c>
      <c r="G1698" s="9" t="s">
        <v>77</v>
      </c>
      <c r="H1698" s="11" t="s">
        <v>23</v>
      </c>
      <c r="I1698" s="12" t="n">
        <v>35</v>
      </c>
      <c r="J1698" s="13" t="n">
        <v>525</v>
      </c>
      <c r="K1698" s="14" t="n">
        <f aca="false">I1698*J1698</f>
        <v>18375</v>
      </c>
      <c r="L1698" s="14" t="n">
        <f aca="false">($L$2*M1698)/100</f>
        <v>420583.275</v>
      </c>
      <c r="M1698" s="15" t="n">
        <v>0.35</v>
      </c>
      <c r="N1698" s="9" t="s">
        <v>20</v>
      </c>
    </row>
    <row r="1699" customFormat="false" ht="14.25" hidden="false" customHeight="true" outlineLevel="0" collapsed="false">
      <c r="B1699" s="9" t="s">
        <v>28</v>
      </c>
      <c r="C1699" s="9" t="n">
        <v>1185732</v>
      </c>
      <c r="D1699" s="10" t="n">
        <v>44424</v>
      </c>
      <c r="E1699" s="9" t="s">
        <v>38</v>
      </c>
      <c r="F1699" s="9" t="s">
        <v>76</v>
      </c>
      <c r="G1699" s="9" t="s">
        <v>77</v>
      </c>
      <c r="H1699" s="11" t="s">
        <v>24</v>
      </c>
      <c r="I1699" s="12" t="n">
        <v>45</v>
      </c>
      <c r="J1699" s="13" t="n">
        <v>500</v>
      </c>
      <c r="K1699" s="14" t="n">
        <f aca="false">I1699*J1699</f>
        <v>22500</v>
      </c>
      <c r="L1699" s="14" t="n">
        <f aca="false">($L$2*M1699)/100</f>
        <v>480666.6</v>
      </c>
      <c r="M1699" s="15" t="n">
        <v>0.4</v>
      </c>
      <c r="N1699" s="9" t="s">
        <v>20</v>
      </c>
    </row>
    <row r="1700" customFormat="false" ht="14.25" hidden="false" customHeight="true" outlineLevel="0" collapsed="false">
      <c r="B1700" s="9" t="s">
        <v>28</v>
      </c>
      <c r="C1700" s="9" t="n">
        <v>1185732</v>
      </c>
      <c r="D1700" s="10" t="n">
        <v>44424</v>
      </c>
      <c r="E1700" s="9" t="s">
        <v>38</v>
      </c>
      <c r="F1700" s="9" t="s">
        <v>76</v>
      </c>
      <c r="G1700" s="9" t="s">
        <v>77</v>
      </c>
      <c r="H1700" s="11" t="s">
        <v>25</v>
      </c>
      <c r="I1700" s="12" t="n">
        <v>50</v>
      </c>
      <c r="J1700" s="13" t="n">
        <v>675</v>
      </c>
      <c r="K1700" s="14" t="n">
        <f aca="false">I1700*J1700</f>
        <v>33750</v>
      </c>
      <c r="L1700" s="14" t="n">
        <f aca="false">($L$2*M1700)/100</f>
        <v>660916.575</v>
      </c>
      <c r="M1700" s="15" t="n">
        <v>0.55</v>
      </c>
      <c r="N1700" s="9" t="s">
        <v>20</v>
      </c>
    </row>
    <row r="1701" customFormat="false" ht="14.25" hidden="false" customHeight="true" outlineLevel="0" collapsed="false">
      <c r="B1701" s="9" t="s">
        <v>28</v>
      </c>
      <c r="C1701" s="9" t="n">
        <v>1185732</v>
      </c>
      <c r="D1701" s="10" t="n">
        <v>44454</v>
      </c>
      <c r="E1701" s="9" t="s">
        <v>38</v>
      </c>
      <c r="F1701" s="9" t="s">
        <v>76</v>
      </c>
      <c r="G1701" s="9" t="s">
        <v>77</v>
      </c>
      <c r="H1701" s="11" t="s">
        <v>19</v>
      </c>
      <c r="I1701" s="12" t="n">
        <v>45</v>
      </c>
      <c r="J1701" s="13" t="n">
        <v>800</v>
      </c>
      <c r="K1701" s="14" t="n">
        <f aca="false">I1701*J1701</f>
        <v>36000</v>
      </c>
      <c r="L1701" s="14" t="n">
        <f aca="false">($L$2*M1701)/100</f>
        <v>600833.25</v>
      </c>
      <c r="M1701" s="15" t="n">
        <v>0.5</v>
      </c>
      <c r="N1701" s="9" t="s">
        <v>20</v>
      </c>
    </row>
    <row r="1702" customFormat="false" ht="14.25" hidden="false" customHeight="true" outlineLevel="0" collapsed="false">
      <c r="B1702" s="9" t="s">
        <v>28</v>
      </c>
      <c r="C1702" s="9" t="n">
        <v>1185732</v>
      </c>
      <c r="D1702" s="10" t="n">
        <v>44454</v>
      </c>
      <c r="E1702" s="9" t="s">
        <v>38</v>
      </c>
      <c r="F1702" s="9" t="s">
        <v>76</v>
      </c>
      <c r="G1702" s="9" t="s">
        <v>77</v>
      </c>
      <c r="H1702" s="11" t="s">
        <v>21</v>
      </c>
      <c r="I1702" s="12" t="n">
        <v>40</v>
      </c>
      <c r="J1702" s="13" t="n">
        <v>600</v>
      </c>
      <c r="K1702" s="14" t="n">
        <f aca="false">I1702*J1702</f>
        <v>24000</v>
      </c>
      <c r="L1702" s="14" t="n">
        <f aca="false">($L$2*M1702)/100</f>
        <v>480666.6</v>
      </c>
      <c r="M1702" s="15" t="n">
        <v>0.4</v>
      </c>
      <c r="N1702" s="9" t="s">
        <v>20</v>
      </c>
    </row>
    <row r="1703" customFormat="false" ht="14.25" hidden="false" customHeight="true" outlineLevel="0" collapsed="false">
      <c r="B1703" s="9" t="s">
        <v>28</v>
      </c>
      <c r="C1703" s="9" t="n">
        <v>1185732</v>
      </c>
      <c r="D1703" s="10" t="n">
        <v>44454</v>
      </c>
      <c r="E1703" s="9" t="s">
        <v>38</v>
      </c>
      <c r="F1703" s="9" t="s">
        <v>76</v>
      </c>
      <c r="G1703" s="9" t="s">
        <v>77</v>
      </c>
      <c r="H1703" s="11" t="s">
        <v>22</v>
      </c>
      <c r="I1703" s="12" t="n">
        <v>35</v>
      </c>
      <c r="J1703" s="13" t="n">
        <v>500</v>
      </c>
      <c r="K1703" s="14" t="n">
        <f aca="false">I1703*J1703</f>
        <v>17500</v>
      </c>
      <c r="L1703" s="14" t="n">
        <f aca="false">($L$2*M1703)/100</f>
        <v>360499.95</v>
      </c>
      <c r="M1703" s="15" t="n">
        <v>0.3</v>
      </c>
      <c r="N1703" s="9" t="s">
        <v>20</v>
      </c>
    </row>
    <row r="1704" customFormat="false" ht="14.25" hidden="false" customHeight="true" outlineLevel="0" collapsed="false">
      <c r="B1704" s="9" t="s">
        <v>28</v>
      </c>
      <c r="C1704" s="9" t="n">
        <v>1185732</v>
      </c>
      <c r="D1704" s="10" t="n">
        <v>44454</v>
      </c>
      <c r="E1704" s="9" t="s">
        <v>38</v>
      </c>
      <c r="F1704" s="9" t="s">
        <v>76</v>
      </c>
      <c r="G1704" s="9" t="s">
        <v>77</v>
      </c>
      <c r="H1704" s="11" t="s">
        <v>23</v>
      </c>
      <c r="I1704" s="12" t="n">
        <v>35</v>
      </c>
      <c r="J1704" s="13" t="n">
        <v>475</v>
      </c>
      <c r="K1704" s="14" t="n">
        <f aca="false">I1704*J1704</f>
        <v>16625</v>
      </c>
      <c r="L1704" s="14" t="n">
        <f aca="false">($L$2*M1704)/100</f>
        <v>420583.275</v>
      </c>
      <c r="M1704" s="15" t="n">
        <v>0.35</v>
      </c>
      <c r="N1704" s="9" t="s">
        <v>20</v>
      </c>
    </row>
    <row r="1705" customFormat="false" ht="14.25" hidden="false" customHeight="true" outlineLevel="0" collapsed="false">
      <c r="B1705" s="9" t="s">
        <v>28</v>
      </c>
      <c r="C1705" s="9" t="n">
        <v>1185732</v>
      </c>
      <c r="D1705" s="10" t="n">
        <v>44454</v>
      </c>
      <c r="E1705" s="9" t="s">
        <v>38</v>
      </c>
      <c r="F1705" s="9" t="s">
        <v>76</v>
      </c>
      <c r="G1705" s="9" t="s">
        <v>77</v>
      </c>
      <c r="H1705" s="11" t="s">
        <v>24</v>
      </c>
      <c r="I1705" s="12" t="n">
        <v>45</v>
      </c>
      <c r="J1705" s="13" t="n">
        <v>475</v>
      </c>
      <c r="K1705" s="14" t="n">
        <f aca="false">I1705*J1705</f>
        <v>21375</v>
      </c>
      <c r="L1705" s="14" t="n">
        <f aca="false">($L$2*M1705)/100</f>
        <v>480666.6</v>
      </c>
      <c r="M1705" s="15" t="n">
        <v>0.4</v>
      </c>
      <c r="N1705" s="9" t="s">
        <v>20</v>
      </c>
    </row>
    <row r="1706" customFormat="false" ht="14.25" hidden="false" customHeight="true" outlineLevel="0" collapsed="false">
      <c r="B1706" s="9" t="s">
        <v>28</v>
      </c>
      <c r="C1706" s="9" t="n">
        <v>1185732</v>
      </c>
      <c r="D1706" s="10" t="n">
        <v>44454</v>
      </c>
      <c r="E1706" s="9" t="s">
        <v>38</v>
      </c>
      <c r="F1706" s="9" t="s">
        <v>76</v>
      </c>
      <c r="G1706" s="9" t="s">
        <v>77</v>
      </c>
      <c r="H1706" s="11" t="s">
        <v>25</v>
      </c>
      <c r="I1706" s="12" t="n">
        <v>50</v>
      </c>
      <c r="J1706" s="13" t="n">
        <v>575</v>
      </c>
      <c r="K1706" s="14" t="n">
        <f aca="false">I1706*J1706</f>
        <v>28750</v>
      </c>
      <c r="L1706" s="14" t="n">
        <f aca="false">($L$2*M1706)/100</f>
        <v>660916.575</v>
      </c>
      <c r="M1706" s="15" t="n">
        <v>0.55</v>
      </c>
      <c r="N1706" s="9" t="s">
        <v>20</v>
      </c>
    </row>
    <row r="1707" customFormat="false" ht="14.25" hidden="false" customHeight="true" outlineLevel="0" collapsed="false">
      <c r="B1707" s="9" t="s">
        <v>28</v>
      </c>
      <c r="C1707" s="9" t="n">
        <v>1185732</v>
      </c>
      <c r="D1707" s="10" t="n">
        <v>44486</v>
      </c>
      <c r="E1707" s="9" t="s">
        <v>38</v>
      </c>
      <c r="F1707" s="9" t="s">
        <v>76</v>
      </c>
      <c r="G1707" s="9" t="s">
        <v>77</v>
      </c>
      <c r="H1707" s="11" t="s">
        <v>19</v>
      </c>
      <c r="I1707" s="12" t="n">
        <v>50</v>
      </c>
      <c r="J1707" s="13" t="n">
        <v>750</v>
      </c>
      <c r="K1707" s="14" t="n">
        <f aca="false">I1707*J1707</f>
        <v>37500</v>
      </c>
      <c r="L1707" s="14" t="n">
        <f aca="false">($L$2*M1707)/100</f>
        <v>600833.25</v>
      </c>
      <c r="M1707" s="15" t="n">
        <v>0.5</v>
      </c>
      <c r="N1707" s="9" t="s">
        <v>20</v>
      </c>
    </row>
    <row r="1708" customFormat="false" ht="14.25" hidden="false" customHeight="true" outlineLevel="0" collapsed="false">
      <c r="B1708" s="9" t="s">
        <v>28</v>
      </c>
      <c r="C1708" s="9" t="n">
        <v>1185732</v>
      </c>
      <c r="D1708" s="10" t="n">
        <v>44486</v>
      </c>
      <c r="E1708" s="9" t="s">
        <v>38</v>
      </c>
      <c r="F1708" s="9" t="s">
        <v>76</v>
      </c>
      <c r="G1708" s="9" t="s">
        <v>77</v>
      </c>
      <c r="H1708" s="11" t="s">
        <v>21</v>
      </c>
      <c r="I1708" s="12" t="n">
        <v>40</v>
      </c>
      <c r="J1708" s="13" t="n">
        <v>575</v>
      </c>
      <c r="K1708" s="14" t="n">
        <f aca="false">I1708*J1708</f>
        <v>23000</v>
      </c>
      <c r="L1708" s="14" t="n">
        <f aca="false">($L$2*M1708)/100</f>
        <v>480666.6</v>
      </c>
      <c r="M1708" s="15" t="n">
        <v>0.4</v>
      </c>
      <c r="N1708" s="9" t="s">
        <v>20</v>
      </c>
    </row>
    <row r="1709" customFormat="false" ht="14.25" hidden="false" customHeight="true" outlineLevel="0" collapsed="false">
      <c r="B1709" s="9" t="s">
        <v>28</v>
      </c>
      <c r="C1709" s="9" t="n">
        <v>1185732</v>
      </c>
      <c r="D1709" s="10" t="n">
        <v>44486</v>
      </c>
      <c r="E1709" s="9" t="s">
        <v>38</v>
      </c>
      <c r="F1709" s="9" t="s">
        <v>76</v>
      </c>
      <c r="G1709" s="9" t="s">
        <v>77</v>
      </c>
      <c r="H1709" s="11" t="s">
        <v>22</v>
      </c>
      <c r="I1709" s="12" t="n">
        <v>40</v>
      </c>
      <c r="J1709" s="13" t="n">
        <v>425</v>
      </c>
      <c r="K1709" s="14" t="n">
        <f aca="false">I1709*J1709</f>
        <v>17000</v>
      </c>
      <c r="L1709" s="14" t="n">
        <f aca="false">($L$2*M1709)/100</f>
        <v>360499.95</v>
      </c>
      <c r="M1709" s="15" t="n">
        <v>0.3</v>
      </c>
      <c r="N1709" s="9" t="s">
        <v>20</v>
      </c>
    </row>
    <row r="1710" customFormat="false" ht="14.25" hidden="false" customHeight="true" outlineLevel="0" collapsed="false">
      <c r="B1710" s="9" t="s">
        <v>28</v>
      </c>
      <c r="C1710" s="9" t="n">
        <v>1185732</v>
      </c>
      <c r="D1710" s="10" t="n">
        <v>44486</v>
      </c>
      <c r="E1710" s="9" t="s">
        <v>38</v>
      </c>
      <c r="F1710" s="9" t="s">
        <v>76</v>
      </c>
      <c r="G1710" s="9" t="s">
        <v>77</v>
      </c>
      <c r="H1710" s="11" t="s">
        <v>23</v>
      </c>
      <c r="I1710" s="12" t="n">
        <v>40</v>
      </c>
      <c r="J1710" s="13" t="n">
        <v>400</v>
      </c>
      <c r="K1710" s="14" t="n">
        <f aca="false">I1710*J1710</f>
        <v>16000</v>
      </c>
      <c r="L1710" s="14" t="n">
        <f aca="false">($L$2*M1710)/100</f>
        <v>420583.275</v>
      </c>
      <c r="M1710" s="15" t="n">
        <v>0.35</v>
      </c>
      <c r="N1710" s="9" t="s">
        <v>20</v>
      </c>
    </row>
    <row r="1711" customFormat="false" ht="14.25" hidden="false" customHeight="true" outlineLevel="0" collapsed="false">
      <c r="B1711" s="9" t="s">
        <v>28</v>
      </c>
      <c r="C1711" s="9" t="n">
        <v>1185732</v>
      </c>
      <c r="D1711" s="10" t="n">
        <v>44486</v>
      </c>
      <c r="E1711" s="9" t="s">
        <v>38</v>
      </c>
      <c r="F1711" s="9" t="s">
        <v>76</v>
      </c>
      <c r="G1711" s="9" t="s">
        <v>77</v>
      </c>
      <c r="H1711" s="11" t="s">
        <v>24</v>
      </c>
      <c r="I1711" s="12" t="n">
        <v>50</v>
      </c>
      <c r="J1711" s="13" t="n">
        <v>400</v>
      </c>
      <c r="K1711" s="14" t="n">
        <f aca="false">I1711*J1711</f>
        <v>20000</v>
      </c>
      <c r="L1711" s="14" t="n">
        <f aca="false">($L$2*M1711)/100</f>
        <v>480666.6</v>
      </c>
      <c r="M1711" s="15" t="n">
        <v>0.4</v>
      </c>
      <c r="N1711" s="9" t="s">
        <v>20</v>
      </c>
    </row>
    <row r="1712" customFormat="false" ht="14.25" hidden="false" customHeight="true" outlineLevel="0" collapsed="false">
      <c r="B1712" s="9" t="s">
        <v>28</v>
      </c>
      <c r="C1712" s="9" t="n">
        <v>1185732</v>
      </c>
      <c r="D1712" s="10" t="n">
        <v>44486</v>
      </c>
      <c r="E1712" s="9" t="s">
        <v>38</v>
      </c>
      <c r="F1712" s="9" t="s">
        <v>76</v>
      </c>
      <c r="G1712" s="9" t="s">
        <v>77</v>
      </c>
      <c r="H1712" s="11" t="s">
        <v>25</v>
      </c>
      <c r="I1712" s="12" t="n">
        <v>55</v>
      </c>
      <c r="J1712" s="13" t="n">
        <v>525</v>
      </c>
      <c r="K1712" s="14" t="n">
        <f aca="false">I1712*J1712</f>
        <v>28875</v>
      </c>
      <c r="L1712" s="14" t="n">
        <f aca="false">($L$2*M1712)/100</f>
        <v>660916.575</v>
      </c>
      <c r="M1712" s="15" t="n">
        <v>0.55</v>
      </c>
      <c r="N1712" s="9" t="s">
        <v>20</v>
      </c>
    </row>
    <row r="1713" customFormat="false" ht="14.25" hidden="false" customHeight="true" outlineLevel="0" collapsed="false">
      <c r="B1713" s="9" t="s">
        <v>28</v>
      </c>
      <c r="C1713" s="9" t="n">
        <v>1185732</v>
      </c>
      <c r="D1713" s="10" t="n">
        <v>44516</v>
      </c>
      <c r="E1713" s="9" t="s">
        <v>38</v>
      </c>
      <c r="F1713" s="9" t="s">
        <v>76</v>
      </c>
      <c r="G1713" s="9" t="s">
        <v>77</v>
      </c>
      <c r="H1713" s="11" t="s">
        <v>19</v>
      </c>
      <c r="I1713" s="12" t="n">
        <v>50</v>
      </c>
      <c r="J1713" s="13" t="n">
        <v>675</v>
      </c>
      <c r="K1713" s="14" t="n">
        <f aca="false">I1713*J1713</f>
        <v>33750</v>
      </c>
      <c r="L1713" s="14" t="n">
        <f aca="false">($L$2*M1713)/100</f>
        <v>600833.25</v>
      </c>
      <c r="M1713" s="15" t="n">
        <v>0.5</v>
      </c>
      <c r="N1713" s="9" t="s">
        <v>20</v>
      </c>
    </row>
    <row r="1714" customFormat="false" ht="14.25" hidden="false" customHeight="true" outlineLevel="0" collapsed="false">
      <c r="B1714" s="9" t="s">
        <v>28</v>
      </c>
      <c r="C1714" s="9" t="n">
        <v>1185732</v>
      </c>
      <c r="D1714" s="10" t="n">
        <v>44516</v>
      </c>
      <c r="E1714" s="9" t="s">
        <v>38</v>
      </c>
      <c r="F1714" s="9" t="s">
        <v>76</v>
      </c>
      <c r="G1714" s="9" t="s">
        <v>77</v>
      </c>
      <c r="H1714" s="11" t="s">
        <v>21</v>
      </c>
      <c r="I1714" s="12" t="n">
        <v>45</v>
      </c>
      <c r="J1714" s="13" t="n">
        <v>500</v>
      </c>
      <c r="K1714" s="14" t="n">
        <f aca="false">I1714*J1714</f>
        <v>22500</v>
      </c>
      <c r="L1714" s="14" t="n">
        <f aca="false">($L$2*M1714)/100</f>
        <v>480666.6</v>
      </c>
      <c r="M1714" s="15" t="n">
        <v>0.4</v>
      </c>
      <c r="N1714" s="9" t="s">
        <v>20</v>
      </c>
    </row>
    <row r="1715" customFormat="false" ht="14.25" hidden="false" customHeight="true" outlineLevel="0" collapsed="false">
      <c r="B1715" s="9" t="s">
        <v>28</v>
      </c>
      <c r="C1715" s="9" t="n">
        <v>1185732</v>
      </c>
      <c r="D1715" s="10" t="n">
        <v>44516</v>
      </c>
      <c r="E1715" s="9" t="s">
        <v>38</v>
      </c>
      <c r="F1715" s="9" t="s">
        <v>76</v>
      </c>
      <c r="G1715" s="9" t="s">
        <v>77</v>
      </c>
      <c r="H1715" s="11" t="s">
        <v>22</v>
      </c>
      <c r="I1715" s="12" t="n">
        <v>45</v>
      </c>
      <c r="J1715" s="13" t="n">
        <v>445</v>
      </c>
      <c r="K1715" s="14" t="n">
        <f aca="false">I1715*J1715</f>
        <v>20025</v>
      </c>
      <c r="L1715" s="14" t="n">
        <f aca="false">($L$2*M1715)/100</f>
        <v>360499.95</v>
      </c>
      <c r="M1715" s="15" t="n">
        <v>0.3</v>
      </c>
      <c r="N1715" s="9" t="s">
        <v>20</v>
      </c>
    </row>
    <row r="1716" customFormat="false" ht="14.25" hidden="false" customHeight="true" outlineLevel="0" collapsed="false">
      <c r="B1716" s="9" t="s">
        <v>28</v>
      </c>
      <c r="C1716" s="9" t="n">
        <v>1185732</v>
      </c>
      <c r="D1716" s="10" t="n">
        <v>44516</v>
      </c>
      <c r="E1716" s="9" t="s">
        <v>38</v>
      </c>
      <c r="F1716" s="9" t="s">
        <v>76</v>
      </c>
      <c r="G1716" s="9" t="s">
        <v>77</v>
      </c>
      <c r="H1716" s="11" t="s">
        <v>23</v>
      </c>
      <c r="I1716" s="12" t="n">
        <v>45</v>
      </c>
      <c r="J1716" s="13" t="n">
        <v>475</v>
      </c>
      <c r="K1716" s="14" t="n">
        <f aca="false">I1716*J1716</f>
        <v>21375</v>
      </c>
      <c r="L1716" s="14" t="n">
        <f aca="false">($L$2*M1716)/100</f>
        <v>420583.275</v>
      </c>
      <c r="M1716" s="15" t="n">
        <v>0.35</v>
      </c>
      <c r="N1716" s="9" t="s">
        <v>20</v>
      </c>
    </row>
    <row r="1717" customFormat="false" ht="14.25" hidden="false" customHeight="true" outlineLevel="0" collapsed="false">
      <c r="B1717" s="9" t="s">
        <v>28</v>
      </c>
      <c r="C1717" s="9" t="n">
        <v>1185732</v>
      </c>
      <c r="D1717" s="10" t="n">
        <v>44516</v>
      </c>
      <c r="E1717" s="9" t="s">
        <v>38</v>
      </c>
      <c r="F1717" s="9" t="s">
        <v>76</v>
      </c>
      <c r="G1717" s="9" t="s">
        <v>77</v>
      </c>
      <c r="H1717" s="11" t="s">
        <v>24</v>
      </c>
      <c r="I1717" s="12" t="n">
        <v>60</v>
      </c>
      <c r="J1717" s="13" t="n">
        <v>450</v>
      </c>
      <c r="K1717" s="14" t="n">
        <f aca="false">I1717*J1717</f>
        <v>27000</v>
      </c>
      <c r="L1717" s="14" t="n">
        <f aca="false">($L$2*M1717)/100</f>
        <v>480666.6</v>
      </c>
      <c r="M1717" s="15" t="n">
        <v>0.4</v>
      </c>
      <c r="N1717" s="9" t="s">
        <v>20</v>
      </c>
    </row>
    <row r="1718" customFormat="false" ht="14.25" hidden="false" customHeight="true" outlineLevel="0" collapsed="false">
      <c r="B1718" s="9" t="s">
        <v>28</v>
      </c>
      <c r="C1718" s="9" t="n">
        <v>1185732</v>
      </c>
      <c r="D1718" s="10" t="n">
        <v>44516</v>
      </c>
      <c r="E1718" s="9" t="s">
        <v>38</v>
      </c>
      <c r="F1718" s="9" t="s">
        <v>76</v>
      </c>
      <c r="G1718" s="9" t="s">
        <v>77</v>
      </c>
      <c r="H1718" s="11" t="s">
        <v>25</v>
      </c>
      <c r="I1718" s="12" t="n">
        <v>65</v>
      </c>
      <c r="J1718" s="13" t="n">
        <v>625</v>
      </c>
      <c r="K1718" s="14" t="n">
        <f aca="false">I1718*J1718</f>
        <v>40625</v>
      </c>
      <c r="L1718" s="14" t="n">
        <f aca="false">($L$2*M1718)/100</f>
        <v>660916.575</v>
      </c>
      <c r="M1718" s="15" t="n">
        <v>0.55</v>
      </c>
      <c r="N1718" s="9" t="s">
        <v>20</v>
      </c>
    </row>
    <row r="1719" customFormat="false" ht="14.25" hidden="false" customHeight="true" outlineLevel="0" collapsed="false">
      <c r="B1719" s="9" t="s">
        <v>28</v>
      </c>
      <c r="C1719" s="9" t="n">
        <v>1185732</v>
      </c>
      <c r="D1719" s="10" t="n">
        <v>44545</v>
      </c>
      <c r="E1719" s="9" t="s">
        <v>38</v>
      </c>
      <c r="F1719" s="9" t="s">
        <v>76</v>
      </c>
      <c r="G1719" s="9" t="s">
        <v>77</v>
      </c>
      <c r="H1719" s="11" t="s">
        <v>19</v>
      </c>
      <c r="I1719" s="12" t="n">
        <v>60</v>
      </c>
      <c r="J1719" s="13" t="n">
        <v>850</v>
      </c>
      <c r="K1719" s="14" t="n">
        <f aca="false">I1719*J1719</f>
        <v>51000</v>
      </c>
      <c r="L1719" s="14" t="n">
        <f aca="false">($L$2*M1719)/100</f>
        <v>600833.25</v>
      </c>
      <c r="M1719" s="15" t="n">
        <v>0.5</v>
      </c>
      <c r="N1719" s="9" t="s">
        <v>20</v>
      </c>
    </row>
    <row r="1720" customFormat="false" ht="14.25" hidden="false" customHeight="true" outlineLevel="0" collapsed="false">
      <c r="B1720" s="9" t="s">
        <v>28</v>
      </c>
      <c r="C1720" s="9" t="n">
        <v>1185732</v>
      </c>
      <c r="D1720" s="10" t="n">
        <v>44545</v>
      </c>
      <c r="E1720" s="9" t="s">
        <v>38</v>
      </c>
      <c r="F1720" s="9" t="s">
        <v>76</v>
      </c>
      <c r="G1720" s="9" t="s">
        <v>77</v>
      </c>
      <c r="H1720" s="11" t="s">
        <v>21</v>
      </c>
      <c r="I1720" s="12" t="n">
        <v>50</v>
      </c>
      <c r="J1720" s="13" t="n">
        <v>650</v>
      </c>
      <c r="K1720" s="14" t="n">
        <f aca="false">I1720*J1720</f>
        <v>32500</v>
      </c>
      <c r="L1720" s="14" t="n">
        <f aca="false">($L$2*M1720)/100</f>
        <v>480666.6</v>
      </c>
      <c r="M1720" s="15" t="n">
        <v>0.4</v>
      </c>
      <c r="N1720" s="9" t="s">
        <v>20</v>
      </c>
    </row>
    <row r="1721" customFormat="false" ht="14.25" hidden="false" customHeight="true" outlineLevel="0" collapsed="false">
      <c r="B1721" s="9" t="s">
        <v>16</v>
      </c>
      <c r="C1721" s="9" t="n">
        <v>1185732</v>
      </c>
      <c r="D1721" s="10" t="n">
        <v>44545</v>
      </c>
      <c r="E1721" s="9" t="s">
        <v>38</v>
      </c>
      <c r="F1721" s="9" t="s">
        <v>76</v>
      </c>
      <c r="G1721" s="9" t="s">
        <v>77</v>
      </c>
      <c r="H1721" s="11" t="s">
        <v>22</v>
      </c>
      <c r="I1721" s="12" t="n">
        <v>50</v>
      </c>
      <c r="J1721" s="13" t="n">
        <v>600</v>
      </c>
      <c r="K1721" s="14" t="n">
        <f aca="false">I1721*J1721</f>
        <v>30000</v>
      </c>
      <c r="L1721" s="14" t="n">
        <f aca="false">($L$2*M1721)/100</f>
        <v>360499.95</v>
      </c>
      <c r="M1721" s="15" t="n">
        <v>0.3</v>
      </c>
      <c r="N1721" s="9" t="s">
        <v>20</v>
      </c>
    </row>
    <row r="1722" customFormat="false" ht="14.25" hidden="false" customHeight="true" outlineLevel="0" collapsed="false">
      <c r="B1722" s="9" t="s">
        <v>16</v>
      </c>
      <c r="C1722" s="9" t="n">
        <v>1185732</v>
      </c>
      <c r="D1722" s="10" t="n">
        <v>44545</v>
      </c>
      <c r="E1722" s="9" t="s">
        <v>38</v>
      </c>
      <c r="F1722" s="9" t="s">
        <v>76</v>
      </c>
      <c r="G1722" s="9" t="s">
        <v>77</v>
      </c>
      <c r="H1722" s="11" t="s">
        <v>23</v>
      </c>
      <c r="I1722" s="12" t="n">
        <v>50</v>
      </c>
      <c r="J1722" s="13" t="n">
        <v>550</v>
      </c>
      <c r="K1722" s="14" t="n">
        <f aca="false">I1722*J1722</f>
        <v>27500</v>
      </c>
      <c r="L1722" s="14" t="n">
        <f aca="false">($L$2*M1722)/100</f>
        <v>420583.275</v>
      </c>
      <c r="M1722" s="15" t="n">
        <v>0.35</v>
      </c>
      <c r="N1722" s="9" t="s">
        <v>20</v>
      </c>
    </row>
    <row r="1723" customFormat="false" ht="14.25" hidden="false" customHeight="true" outlineLevel="0" collapsed="false">
      <c r="B1723" s="9" t="s">
        <v>16</v>
      </c>
      <c r="C1723" s="9" t="n">
        <v>1185732</v>
      </c>
      <c r="D1723" s="10" t="n">
        <v>44545</v>
      </c>
      <c r="E1723" s="9" t="s">
        <v>38</v>
      </c>
      <c r="F1723" s="9" t="s">
        <v>76</v>
      </c>
      <c r="G1723" s="9" t="s">
        <v>77</v>
      </c>
      <c r="H1723" s="11" t="s">
        <v>24</v>
      </c>
      <c r="I1723" s="12" t="n">
        <v>60</v>
      </c>
      <c r="J1723" s="13" t="n">
        <v>550</v>
      </c>
      <c r="K1723" s="14" t="n">
        <f aca="false">I1723*J1723</f>
        <v>33000</v>
      </c>
      <c r="L1723" s="14" t="n">
        <f aca="false">($L$2*M1723)/100</f>
        <v>480666.6</v>
      </c>
      <c r="M1723" s="15" t="n">
        <v>0.4</v>
      </c>
      <c r="N1723" s="9" t="s">
        <v>20</v>
      </c>
    </row>
    <row r="1724" customFormat="false" ht="14.25" hidden="false" customHeight="true" outlineLevel="0" collapsed="false">
      <c r="B1724" s="9" t="s">
        <v>16</v>
      </c>
      <c r="C1724" s="9" t="n">
        <v>1185732</v>
      </c>
      <c r="D1724" s="10" t="n">
        <v>44545</v>
      </c>
      <c r="E1724" s="9" t="s">
        <v>38</v>
      </c>
      <c r="F1724" s="9" t="s">
        <v>76</v>
      </c>
      <c r="G1724" s="9" t="s">
        <v>77</v>
      </c>
      <c r="H1724" s="11" t="s">
        <v>25</v>
      </c>
      <c r="I1724" s="12" t="n">
        <v>65</v>
      </c>
      <c r="J1724" s="13" t="n">
        <v>650</v>
      </c>
      <c r="K1724" s="14" t="n">
        <f aca="false">I1724*J1724</f>
        <v>42250</v>
      </c>
      <c r="L1724" s="14" t="n">
        <f aca="false">($L$2*M1724)/100</f>
        <v>660916.575</v>
      </c>
      <c r="M1724" s="15" t="n">
        <v>0.55</v>
      </c>
      <c r="N1724" s="9" t="s">
        <v>20</v>
      </c>
    </row>
    <row r="1725" customFormat="false" ht="14.25" hidden="false" customHeight="true" outlineLevel="0" collapsed="false">
      <c r="B1725" s="9" t="s">
        <v>16</v>
      </c>
      <c r="C1725" s="9" t="n">
        <v>1185732</v>
      </c>
      <c r="D1725" s="10" t="n">
        <v>44214</v>
      </c>
      <c r="E1725" s="9" t="s">
        <v>38</v>
      </c>
      <c r="F1725" s="9" t="s">
        <v>76</v>
      </c>
      <c r="G1725" s="9" t="s">
        <v>77</v>
      </c>
      <c r="H1725" s="11" t="s">
        <v>19</v>
      </c>
      <c r="I1725" s="12" t="n">
        <v>30</v>
      </c>
      <c r="J1725" s="13" t="n">
        <v>625</v>
      </c>
      <c r="K1725" s="14" t="n">
        <f aca="false">I1725*J1725</f>
        <v>18750</v>
      </c>
      <c r="L1725" s="14" t="n">
        <f aca="false">($L$2*M1725)/100</f>
        <v>480666.6</v>
      </c>
      <c r="M1725" s="15" t="n">
        <v>0.4</v>
      </c>
      <c r="N1725" s="9" t="s">
        <v>20</v>
      </c>
    </row>
    <row r="1726" customFormat="false" ht="14.25" hidden="false" customHeight="true" outlineLevel="0" collapsed="false">
      <c r="B1726" s="9" t="s">
        <v>16</v>
      </c>
      <c r="C1726" s="9" t="n">
        <v>1185732</v>
      </c>
      <c r="D1726" s="10" t="n">
        <v>44214</v>
      </c>
      <c r="E1726" s="9" t="s">
        <v>38</v>
      </c>
      <c r="F1726" s="9" t="s">
        <v>76</v>
      </c>
      <c r="G1726" s="9" t="s">
        <v>77</v>
      </c>
      <c r="H1726" s="11" t="s">
        <v>21</v>
      </c>
      <c r="I1726" s="12" t="n">
        <v>30</v>
      </c>
      <c r="J1726" s="13" t="n">
        <v>425</v>
      </c>
      <c r="K1726" s="14" t="n">
        <f aca="false">I1726*J1726</f>
        <v>12750</v>
      </c>
      <c r="L1726" s="14" t="n">
        <f aca="false">($L$2*M1726)/100</f>
        <v>420583.275</v>
      </c>
      <c r="M1726" s="15" t="n">
        <v>0.35</v>
      </c>
      <c r="N1726" s="9" t="s">
        <v>20</v>
      </c>
    </row>
    <row r="1727" customFormat="false" ht="14.25" hidden="false" customHeight="true" outlineLevel="0" collapsed="false">
      <c r="B1727" s="9" t="s">
        <v>16</v>
      </c>
      <c r="C1727" s="9" t="n">
        <v>1185732</v>
      </c>
      <c r="D1727" s="10" t="n">
        <v>44214</v>
      </c>
      <c r="E1727" s="9" t="s">
        <v>38</v>
      </c>
      <c r="F1727" s="9" t="s">
        <v>76</v>
      </c>
      <c r="G1727" s="9" t="s">
        <v>77</v>
      </c>
      <c r="H1727" s="11" t="s">
        <v>22</v>
      </c>
      <c r="I1727" s="12" t="n">
        <v>20</v>
      </c>
      <c r="J1727" s="13" t="n">
        <v>425</v>
      </c>
      <c r="K1727" s="14" t="n">
        <f aca="false">I1727*J1727</f>
        <v>8500</v>
      </c>
      <c r="L1727" s="14" t="n">
        <f aca="false">($L$2*M1727)/100</f>
        <v>420583.275</v>
      </c>
      <c r="M1727" s="15" t="n">
        <v>0.35</v>
      </c>
      <c r="N1727" s="9" t="s">
        <v>20</v>
      </c>
    </row>
    <row r="1728" customFormat="false" ht="14.25" hidden="false" customHeight="true" outlineLevel="0" collapsed="false">
      <c r="B1728" s="9" t="s">
        <v>16</v>
      </c>
      <c r="C1728" s="9" t="n">
        <v>1185732</v>
      </c>
      <c r="D1728" s="10" t="n">
        <v>44214</v>
      </c>
      <c r="E1728" s="9" t="s">
        <v>38</v>
      </c>
      <c r="F1728" s="9" t="s">
        <v>76</v>
      </c>
      <c r="G1728" s="9" t="s">
        <v>77</v>
      </c>
      <c r="H1728" s="11" t="s">
        <v>23</v>
      </c>
      <c r="I1728" s="12" t="n">
        <v>25</v>
      </c>
      <c r="J1728" s="13" t="n">
        <v>275</v>
      </c>
      <c r="K1728" s="14" t="n">
        <f aca="false">I1728*J1728</f>
        <v>6875</v>
      </c>
      <c r="L1728" s="14" t="n">
        <f aca="false">($L$2*M1728)/100</f>
        <v>480666.6</v>
      </c>
      <c r="M1728" s="15" t="n">
        <v>0.4</v>
      </c>
      <c r="N1728" s="9" t="s">
        <v>20</v>
      </c>
    </row>
    <row r="1729" customFormat="false" ht="14.25" hidden="false" customHeight="true" outlineLevel="0" collapsed="false">
      <c r="B1729" s="9" t="s">
        <v>16</v>
      </c>
      <c r="C1729" s="9" t="n">
        <v>1185732</v>
      </c>
      <c r="D1729" s="10" t="n">
        <v>44214</v>
      </c>
      <c r="E1729" s="9" t="s">
        <v>38</v>
      </c>
      <c r="F1729" s="9" t="s">
        <v>76</v>
      </c>
      <c r="G1729" s="9" t="s">
        <v>77</v>
      </c>
      <c r="H1729" s="11" t="s">
        <v>24</v>
      </c>
      <c r="I1729" s="12" t="n">
        <v>40</v>
      </c>
      <c r="J1729" s="13" t="n">
        <v>325</v>
      </c>
      <c r="K1729" s="14" t="n">
        <f aca="false">I1729*J1729</f>
        <v>13000</v>
      </c>
      <c r="L1729" s="14" t="n">
        <f aca="false">($L$2*M1729)/100</f>
        <v>420583.275</v>
      </c>
      <c r="M1729" s="15" t="n">
        <v>0.35</v>
      </c>
      <c r="N1729" s="9" t="s">
        <v>20</v>
      </c>
    </row>
    <row r="1730" customFormat="false" ht="14.25" hidden="false" customHeight="true" outlineLevel="0" collapsed="false">
      <c r="B1730" s="9" t="s">
        <v>16</v>
      </c>
      <c r="C1730" s="9" t="n">
        <v>1185732</v>
      </c>
      <c r="D1730" s="10" t="n">
        <v>44214</v>
      </c>
      <c r="E1730" s="9" t="s">
        <v>38</v>
      </c>
      <c r="F1730" s="9" t="s">
        <v>76</v>
      </c>
      <c r="G1730" s="9" t="s">
        <v>77</v>
      </c>
      <c r="H1730" s="11" t="s">
        <v>25</v>
      </c>
      <c r="I1730" s="12" t="n">
        <v>30</v>
      </c>
      <c r="J1730" s="13" t="n">
        <v>425</v>
      </c>
      <c r="K1730" s="14" t="n">
        <f aca="false">I1730*J1730</f>
        <v>12750</v>
      </c>
      <c r="L1730" s="14" t="n">
        <f aca="false">($L$2*M1730)/100</f>
        <v>600833.25</v>
      </c>
      <c r="M1730" s="15" t="n">
        <v>0.5</v>
      </c>
      <c r="N1730" s="9" t="s">
        <v>20</v>
      </c>
    </row>
    <row r="1731" customFormat="false" ht="14.25" hidden="false" customHeight="true" outlineLevel="0" collapsed="false">
      <c r="B1731" s="9" t="s">
        <v>16</v>
      </c>
      <c r="C1731" s="9" t="n">
        <v>1185732</v>
      </c>
      <c r="D1731" s="10" t="n">
        <v>44245</v>
      </c>
      <c r="E1731" s="9" t="s">
        <v>38</v>
      </c>
      <c r="F1731" s="9" t="s">
        <v>76</v>
      </c>
      <c r="G1731" s="9" t="s">
        <v>77</v>
      </c>
      <c r="H1731" s="11" t="s">
        <v>19</v>
      </c>
      <c r="I1731" s="12" t="n">
        <v>30</v>
      </c>
      <c r="J1731" s="13" t="n">
        <v>675</v>
      </c>
      <c r="K1731" s="14" t="n">
        <f aca="false">I1731*J1731</f>
        <v>20250</v>
      </c>
      <c r="L1731" s="14" t="n">
        <f aca="false">($L$2*M1731)/100</f>
        <v>480666.6</v>
      </c>
      <c r="M1731" s="15" t="n">
        <v>0.4</v>
      </c>
      <c r="N1731" s="9" t="s">
        <v>20</v>
      </c>
    </row>
    <row r="1732" customFormat="false" ht="14.25" hidden="false" customHeight="true" outlineLevel="0" collapsed="false">
      <c r="B1732" s="9" t="s">
        <v>16</v>
      </c>
      <c r="C1732" s="9" t="n">
        <v>1185732</v>
      </c>
      <c r="D1732" s="10" t="n">
        <v>44245</v>
      </c>
      <c r="E1732" s="9" t="s">
        <v>38</v>
      </c>
      <c r="F1732" s="9" t="s">
        <v>76</v>
      </c>
      <c r="G1732" s="9" t="s">
        <v>77</v>
      </c>
      <c r="H1732" s="11" t="s">
        <v>21</v>
      </c>
      <c r="I1732" s="12" t="n">
        <v>30</v>
      </c>
      <c r="J1732" s="13" t="n">
        <v>325</v>
      </c>
      <c r="K1732" s="14" t="n">
        <f aca="false">I1732*J1732</f>
        <v>9750</v>
      </c>
      <c r="L1732" s="14" t="n">
        <f aca="false">($L$2*M1732)/100</f>
        <v>420583.275</v>
      </c>
      <c r="M1732" s="15" t="n">
        <v>0.35</v>
      </c>
      <c r="N1732" s="9" t="s">
        <v>20</v>
      </c>
    </row>
    <row r="1733" customFormat="false" ht="14.25" hidden="false" customHeight="true" outlineLevel="0" collapsed="false">
      <c r="B1733" s="9" t="s">
        <v>16</v>
      </c>
      <c r="C1733" s="9" t="n">
        <v>1185732</v>
      </c>
      <c r="D1733" s="10" t="n">
        <v>44245</v>
      </c>
      <c r="E1733" s="9" t="s">
        <v>38</v>
      </c>
      <c r="F1733" s="9" t="s">
        <v>76</v>
      </c>
      <c r="G1733" s="9" t="s">
        <v>77</v>
      </c>
      <c r="H1733" s="11" t="s">
        <v>22</v>
      </c>
      <c r="I1733" s="12" t="n">
        <v>20</v>
      </c>
      <c r="J1733" s="13" t="n">
        <v>375</v>
      </c>
      <c r="K1733" s="14" t="n">
        <f aca="false">I1733*J1733</f>
        <v>7500</v>
      </c>
      <c r="L1733" s="14" t="n">
        <f aca="false">($L$2*M1733)/100</f>
        <v>420583.275</v>
      </c>
      <c r="M1733" s="15" t="n">
        <v>0.35</v>
      </c>
      <c r="N1733" s="9" t="s">
        <v>20</v>
      </c>
    </row>
    <row r="1734" customFormat="false" ht="14.25" hidden="false" customHeight="true" outlineLevel="0" collapsed="false">
      <c r="B1734" s="9" t="s">
        <v>16</v>
      </c>
      <c r="C1734" s="9" t="n">
        <v>1185732</v>
      </c>
      <c r="D1734" s="10" t="n">
        <v>44245</v>
      </c>
      <c r="E1734" s="9" t="s">
        <v>38</v>
      </c>
      <c r="F1734" s="9" t="s">
        <v>78</v>
      </c>
      <c r="G1734" s="9" t="s">
        <v>79</v>
      </c>
      <c r="H1734" s="11" t="s">
        <v>23</v>
      </c>
      <c r="I1734" s="12" t="n">
        <v>25</v>
      </c>
      <c r="J1734" s="13" t="n">
        <v>250</v>
      </c>
      <c r="K1734" s="14" t="n">
        <f aca="false">I1734*J1734</f>
        <v>6250</v>
      </c>
      <c r="L1734" s="14" t="n">
        <f aca="false">($L$2*M1734)/100</f>
        <v>480666.6</v>
      </c>
      <c r="M1734" s="15" t="n">
        <v>0.4</v>
      </c>
      <c r="N1734" s="9" t="s">
        <v>20</v>
      </c>
    </row>
    <row r="1735" customFormat="false" ht="14.25" hidden="false" customHeight="true" outlineLevel="0" collapsed="false">
      <c r="B1735" s="9" t="s">
        <v>16</v>
      </c>
      <c r="C1735" s="9" t="n">
        <v>1185732</v>
      </c>
      <c r="D1735" s="10" t="n">
        <v>44245</v>
      </c>
      <c r="E1735" s="9" t="s">
        <v>38</v>
      </c>
      <c r="F1735" s="9" t="s">
        <v>78</v>
      </c>
      <c r="G1735" s="9" t="s">
        <v>79</v>
      </c>
      <c r="H1735" s="11" t="s">
        <v>24</v>
      </c>
      <c r="I1735" s="12" t="n">
        <v>40</v>
      </c>
      <c r="J1735" s="13" t="n">
        <v>325</v>
      </c>
      <c r="K1735" s="14" t="n">
        <f aca="false">I1735*J1735</f>
        <v>13000</v>
      </c>
      <c r="L1735" s="14" t="n">
        <f aca="false">($L$2*M1735)/100</f>
        <v>420583.275</v>
      </c>
      <c r="M1735" s="15" t="n">
        <v>0.35</v>
      </c>
      <c r="N1735" s="9" t="s">
        <v>20</v>
      </c>
    </row>
    <row r="1736" customFormat="false" ht="14.25" hidden="false" customHeight="true" outlineLevel="0" collapsed="false">
      <c r="B1736" s="9" t="s">
        <v>16</v>
      </c>
      <c r="C1736" s="9" t="n">
        <v>1185732</v>
      </c>
      <c r="D1736" s="10" t="n">
        <v>44245</v>
      </c>
      <c r="E1736" s="9" t="s">
        <v>38</v>
      </c>
      <c r="F1736" s="9" t="s">
        <v>78</v>
      </c>
      <c r="G1736" s="9" t="s">
        <v>79</v>
      </c>
      <c r="H1736" s="11" t="s">
        <v>25</v>
      </c>
      <c r="I1736" s="12" t="n">
        <v>30</v>
      </c>
      <c r="J1736" s="13" t="n">
        <v>400</v>
      </c>
      <c r="K1736" s="14" t="n">
        <f aca="false">I1736*J1736</f>
        <v>12000</v>
      </c>
      <c r="L1736" s="14" t="n">
        <f aca="false">($L$2*M1736)/100</f>
        <v>600833.25</v>
      </c>
      <c r="M1736" s="15" t="n">
        <v>0.5</v>
      </c>
      <c r="N1736" s="9" t="s">
        <v>20</v>
      </c>
    </row>
    <row r="1737" customFormat="false" ht="14.25" hidden="false" customHeight="true" outlineLevel="0" collapsed="false">
      <c r="B1737" s="9" t="s">
        <v>16</v>
      </c>
      <c r="C1737" s="9" t="n">
        <v>1185732</v>
      </c>
      <c r="D1737" s="10" t="n">
        <v>44272</v>
      </c>
      <c r="E1737" s="9" t="s">
        <v>38</v>
      </c>
      <c r="F1737" s="9" t="s">
        <v>78</v>
      </c>
      <c r="G1737" s="9" t="s">
        <v>79</v>
      </c>
      <c r="H1737" s="11" t="s">
        <v>19</v>
      </c>
      <c r="I1737" s="12" t="n">
        <v>35</v>
      </c>
      <c r="J1737" s="13" t="n">
        <v>620</v>
      </c>
      <c r="K1737" s="14" t="n">
        <f aca="false">I1737*J1737</f>
        <v>21700</v>
      </c>
      <c r="L1737" s="14" t="n">
        <f aca="false">($L$2*M1737)/100</f>
        <v>480666.6</v>
      </c>
      <c r="M1737" s="15" t="n">
        <v>0.4</v>
      </c>
      <c r="N1737" s="9" t="s">
        <v>20</v>
      </c>
    </row>
    <row r="1738" customFormat="false" ht="14.25" hidden="false" customHeight="true" outlineLevel="0" collapsed="false">
      <c r="B1738" s="9" t="s">
        <v>16</v>
      </c>
      <c r="C1738" s="9" t="n">
        <v>1185732</v>
      </c>
      <c r="D1738" s="10" t="n">
        <v>44272</v>
      </c>
      <c r="E1738" s="9" t="s">
        <v>38</v>
      </c>
      <c r="F1738" s="9" t="s">
        <v>78</v>
      </c>
      <c r="G1738" s="9" t="s">
        <v>79</v>
      </c>
      <c r="H1738" s="11" t="s">
        <v>21</v>
      </c>
      <c r="I1738" s="12" t="n">
        <v>35</v>
      </c>
      <c r="J1738" s="13" t="n">
        <v>300</v>
      </c>
      <c r="K1738" s="14" t="n">
        <f aca="false">I1738*J1738</f>
        <v>10500</v>
      </c>
      <c r="L1738" s="14" t="n">
        <f aca="false">($L$2*M1738)/100</f>
        <v>420583.275</v>
      </c>
      <c r="M1738" s="15" t="n">
        <v>0.35</v>
      </c>
      <c r="N1738" s="9" t="s">
        <v>20</v>
      </c>
    </row>
    <row r="1739" customFormat="false" ht="14.25" hidden="false" customHeight="true" outlineLevel="0" collapsed="false">
      <c r="B1739" s="9" t="s">
        <v>16</v>
      </c>
      <c r="C1739" s="9" t="n">
        <v>1185732</v>
      </c>
      <c r="D1739" s="10" t="n">
        <v>44272</v>
      </c>
      <c r="E1739" s="9" t="s">
        <v>38</v>
      </c>
      <c r="F1739" s="9" t="s">
        <v>78</v>
      </c>
      <c r="G1739" s="9" t="s">
        <v>79</v>
      </c>
      <c r="H1739" s="11" t="s">
        <v>22</v>
      </c>
      <c r="I1739" s="12" t="n">
        <v>25</v>
      </c>
      <c r="J1739" s="13" t="n">
        <v>350</v>
      </c>
      <c r="K1739" s="14" t="n">
        <f aca="false">I1739*J1739</f>
        <v>8750</v>
      </c>
      <c r="L1739" s="14" t="n">
        <f aca="false">($L$2*M1739)/100</f>
        <v>420583.275</v>
      </c>
      <c r="M1739" s="15" t="n">
        <v>0.35</v>
      </c>
      <c r="N1739" s="9" t="s">
        <v>20</v>
      </c>
    </row>
    <row r="1740" customFormat="false" ht="14.25" hidden="false" customHeight="true" outlineLevel="0" collapsed="false">
      <c r="B1740" s="9" t="s">
        <v>16</v>
      </c>
      <c r="C1740" s="9" t="n">
        <v>1185732</v>
      </c>
      <c r="D1740" s="10" t="n">
        <v>44272</v>
      </c>
      <c r="E1740" s="9" t="s">
        <v>38</v>
      </c>
      <c r="F1740" s="9" t="s">
        <v>78</v>
      </c>
      <c r="G1740" s="9" t="s">
        <v>79</v>
      </c>
      <c r="H1740" s="11" t="s">
        <v>23</v>
      </c>
      <c r="I1740" s="12" t="n">
        <v>30</v>
      </c>
      <c r="J1740" s="13" t="n">
        <v>200</v>
      </c>
      <c r="K1740" s="14" t="n">
        <f aca="false">I1740*J1740</f>
        <v>6000</v>
      </c>
      <c r="L1740" s="14" t="n">
        <f aca="false">($L$2*M1740)/100</f>
        <v>480666.6</v>
      </c>
      <c r="M1740" s="15" t="n">
        <v>0.4</v>
      </c>
      <c r="N1740" s="9" t="s">
        <v>20</v>
      </c>
    </row>
    <row r="1741" customFormat="false" ht="14.25" hidden="false" customHeight="true" outlineLevel="0" collapsed="false">
      <c r="B1741" s="9" t="s">
        <v>16</v>
      </c>
      <c r="C1741" s="9" t="n">
        <v>1185732</v>
      </c>
      <c r="D1741" s="10" t="n">
        <v>44272</v>
      </c>
      <c r="E1741" s="9" t="s">
        <v>38</v>
      </c>
      <c r="F1741" s="9" t="s">
        <v>78</v>
      </c>
      <c r="G1741" s="9" t="s">
        <v>79</v>
      </c>
      <c r="H1741" s="11" t="s">
        <v>24</v>
      </c>
      <c r="I1741" s="12" t="n">
        <v>45</v>
      </c>
      <c r="J1741" s="13" t="n">
        <v>250</v>
      </c>
      <c r="K1741" s="14" t="n">
        <f aca="false">I1741*J1741</f>
        <v>11250</v>
      </c>
      <c r="L1741" s="14" t="n">
        <f aca="false">($L$2*M1741)/100</f>
        <v>420583.275</v>
      </c>
      <c r="M1741" s="15" t="n">
        <v>0.35</v>
      </c>
      <c r="N1741" s="9" t="s">
        <v>20</v>
      </c>
    </row>
    <row r="1742" customFormat="false" ht="14.25" hidden="false" customHeight="true" outlineLevel="0" collapsed="false">
      <c r="B1742" s="9" t="s">
        <v>16</v>
      </c>
      <c r="C1742" s="9" t="n">
        <v>1185732</v>
      </c>
      <c r="D1742" s="10" t="n">
        <v>44272</v>
      </c>
      <c r="E1742" s="9" t="s">
        <v>38</v>
      </c>
      <c r="F1742" s="9" t="s">
        <v>78</v>
      </c>
      <c r="G1742" s="9" t="s">
        <v>79</v>
      </c>
      <c r="H1742" s="11" t="s">
        <v>25</v>
      </c>
      <c r="I1742" s="12" t="n">
        <v>35</v>
      </c>
      <c r="J1742" s="13" t="n">
        <v>350</v>
      </c>
      <c r="K1742" s="14" t="n">
        <f aca="false">I1742*J1742</f>
        <v>12250</v>
      </c>
      <c r="L1742" s="14" t="n">
        <f aca="false">($L$2*M1742)/100</f>
        <v>600833.25</v>
      </c>
      <c r="M1742" s="15" t="n">
        <v>0.5</v>
      </c>
      <c r="N1742" s="9" t="s">
        <v>20</v>
      </c>
    </row>
    <row r="1743" customFormat="false" ht="14.25" hidden="false" customHeight="true" outlineLevel="0" collapsed="false">
      <c r="B1743" s="9" t="s">
        <v>16</v>
      </c>
      <c r="C1743" s="9" t="n">
        <v>1185732</v>
      </c>
      <c r="D1743" s="10" t="n">
        <v>44304</v>
      </c>
      <c r="E1743" s="9" t="s">
        <v>38</v>
      </c>
      <c r="F1743" s="9" t="s">
        <v>78</v>
      </c>
      <c r="G1743" s="9" t="s">
        <v>79</v>
      </c>
      <c r="H1743" s="11" t="s">
        <v>19</v>
      </c>
      <c r="I1743" s="12" t="n">
        <v>35</v>
      </c>
      <c r="J1743" s="13" t="n">
        <v>575</v>
      </c>
      <c r="K1743" s="14" t="n">
        <f aca="false">I1743*J1743</f>
        <v>20125</v>
      </c>
      <c r="L1743" s="14" t="n">
        <f aca="false">($L$2*M1743)/100</f>
        <v>480666.6</v>
      </c>
      <c r="M1743" s="15" t="n">
        <v>0.4</v>
      </c>
      <c r="N1743" s="9" t="s">
        <v>20</v>
      </c>
    </row>
    <row r="1744" customFormat="false" ht="14.25" hidden="false" customHeight="true" outlineLevel="0" collapsed="false">
      <c r="B1744" s="9" t="s">
        <v>16</v>
      </c>
      <c r="C1744" s="9" t="n">
        <v>1185732</v>
      </c>
      <c r="D1744" s="10" t="n">
        <v>44304</v>
      </c>
      <c r="E1744" s="9" t="s">
        <v>38</v>
      </c>
      <c r="F1744" s="9" t="s">
        <v>78</v>
      </c>
      <c r="G1744" s="9" t="s">
        <v>79</v>
      </c>
      <c r="H1744" s="11" t="s">
        <v>21</v>
      </c>
      <c r="I1744" s="12" t="n">
        <v>30</v>
      </c>
      <c r="J1744" s="13" t="n">
        <v>275</v>
      </c>
      <c r="K1744" s="14" t="n">
        <f aca="false">I1744*J1744</f>
        <v>8250</v>
      </c>
      <c r="L1744" s="14" t="n">
        <f aca="false">($L$2*M1744)/100</f>
        <v>420583.275</v>
      </c>
      <c r="M1744" s="15" t="n">
        <v>0.35</v>
      </c>
      <c r="N1744" s="9" t="s">
        <v>20</v>
      </c>
    </row>
    <row r="1745" customFormat="false" ht="14.25" hidden="false" customHeight="true" outlineLevel="0" collapsed="false">
      <c r="B1745" s="9" t="s">
        <v>16</v>
      </c>
      <c r="C1745" s="9" t="n">
        <v>1185732</v>
      </c>
      <c r="D1745" s="10" t="n">
        <v>44304</v>
      </c>
      <c r="E1745" s="9" t="s">
        <v>38</v>
      </c>
      <c r="F1745" s="9" t="s">
        <v>78</v>
      </c>
      <c r="G1745" s="9" t="s">
        <v>79</v>
      </c>
      <c r="H1745" s="11" t="s">
        <v>22</v>
      </c>
      <c r="I1745" s="12" t="n">
        <v>20</v>
      </c>
      <c r="J1745" s="13" t="n">
        <v>275</v>
      </c>
      <c r="K1745" s="14" t="n">
        <f aca="false">I1745*J1745</f>
        <v>5500</v>
      </c>
      <c r="L1745" s="14" t="n">
        <f aca="false">($L$2*M1745)/100</f>
        <v>420583.275</v>
      </c>
      <c r="M1745" s="15" t="n">
        <v>0.35</v>
      </c>
      <c r="N1745" s="9" t="s">
        <v>20</v>
      </c>
    </row>
    <row r="1746" customFormat="false" ht="14.25" hidden="false" customHeight="true" outlineLevel="0" collapsed="false">
      <c r="B1746" s="9" t="s">
        <v>16</v>
      </c>
      <c r="C1746" s="9" t="n">
        <v>1185732</v>
      </c>
      <c r="D1746" s="10" t="n">
        <v>44304</v>
      </c>
      <c r="E1746" s="9" t="s">
        <v>38</v>
      </c>
      <c r="F1746" s="9" t="s">
        <v>78</v>
      </c>
      <c r="G1746" s="9" t="s">
        <v>79</v>
      </c>
      <c r="H1746" s="11" t="s">
        <v>23</v>
      </c>
      <c r="I1746" s="12" t="n">
        <v>25</v>
      </c>
      <c r="J1746" s="13" t="n">
        <v>200</v>
      </c>
      <c r="K1746" s="14" t="n">
        <f aca="false">I1746*J1746</f>
        <v>5000</v>
      </c>
      <c r="L1746" s="14" t="n">
        <f aca="false">($L$2*M1746)/100</f>
        <v>480666.6</v>
      </c>
      <c r="M1746" s="15" t="n">
        <v>0.4</v>
      </c>
      <c r="N1746" s="9" t="s">
        <v>20</v>
      </c>
    </row>
    <row r="1747" customFormat="false" ht="14.25" hidden="false" customHeight="true" outlineLevel="0" collapsed="false">
      <c r="B1747" s="9" t="s">
        <v>16</v>
      </c>
      <c r="C1747" s="9" t="n">
        <v>1185732</v>
      </c>
      <c r="D1747" s="10" t="n">
        <v>44304</v>
      </c>
      <c r="E1747" s="9" t="s">
        <v>38</v>
      </c>
      <c r="F1747" s="9" t="s">
        <v>78</v>
      </c>
      <c r="G1747" s="9" t="s">
        <v>79</v>
      </c>
      <c r="H1747" s="11" t="s">
        <v>24</v>
      </c>
      <c r="I1747" s="12" t="n">
        <v>40</v>
      </c>
      <c r="J1747" s="13" t="n">
        <v>225</v>
      </c>
      <c r="K1747" s="14" t="n">
        <f aca="false">I1747*J1747</f>
        <v>9000</v>
      </c>
      <c r="L1747" s="14" t="n">
        <f aca="false">($L$2*M1747)/100</f>
        <v>420583.275</v>
      </c>
      <c r="M1747" s="15" t="n">
        <v>0.35</v>
      </c>
      <c r="N1747" s="9" t="s">
        <v>20</v>
      </c>
    </row>
    <row r="1748" customFormat="false" ht="14.25" hidden="false" customHeight="true" outlineLevel="0" collapsed="false">
      <c r="B1748" s="9" t="s">
        <v>16</v>
      </c>
      <c r="C1748" s="9" t="n">
        <v>1185732</v>
      </c>
      <c r="D1748" s="10" t="n">
        <v>44304</v>
      </c>
      <c r="E1748" s="9" t="s">
        <v>38</v>
      </c>
      <c r="F1748" s="9" t="s">
        <v>78</v>
      </c>
      <c r="G1748" s="9" t="s">
        <v>79</v>
      </c>
      <c r="H1748" s="11" t="s">
        <v>25</v>
      </c>
      <c r="I1748" s="12" t="n">
        <v>30</v>
      </c>
      <c r="J1748" s="13" t="n">
        <v>350</v>
      </c>
      <c r="K1748" s="14" t="n">
        <f aca="false">I1748*J1748</f>
        <v>10500</v>
      </c>
      <c r="L1748" s="14" t="n">
        <f aca="false">($L$2*M1748)/100</f>
        <v>600833.25</v>
      </c>
      <c r="M1748" s="15" t="n">
        <v>0.5</v>
      </c>
      <c r="N1748" s="9" t="s">
        <v>20</v>
      </c>
    </row>
    <row r="1749" customFormat="false" ht="14.25" hidden="false" customHeight="true" outlineLevel="0" collapsed="false">
      <c r="B1749" s="9" t="s">
        <v>16</v>
      </c>
      <c r="C1749" s="9" t="n">
        <v>1185732</v>
      </c>
      <c r="D1749" s="10" t="n">
        <v>44335</v>
      </c>
      <c r="E1749" s="9" t="s">
        <v>38</v>
      </c>
      <c r="F1749" s="9" t="s">
        <v>78</v>
      </c>
      <c r="G1749" s="9" t="s">
        <v>79</v>
      </c>
      <c r="H1749" s="11" t="s">
        <v>19</v>
      </c>
      <c r="I1749" s="12" t="n">
        <v>40</v>
      </c>
      <c r="J1749" s="13" t="n">
        <v>620</v>
      </c>
      <c r="K1749" s="14" t="n">
        <f aca="false">I1749*J1749</f>
        <v>24800</v>
      </c>
      <c r="L1749" s="14" t="n">
        <f aca="false">($L$2*M1749)/100</f>
        <v>480666.6</v>
      </c>
      <c r="M1749" s="15" t="n">
        <v>0.4</v>
      </c>
      <c r="N1749" s="9" t="s">
        <v>20</v>
      </c>
    </row>
    <row r="1750" customFormat="false" ht="14.25" hidden="false" customHeight="true" outlineLevel="0" collapsed="false">
      <c r="B1750" s="9" t="s">
        <v>16</v>
      </c>
      <c r="C1750" s="9" t="n">
        <v>1185732</v>
      </c>
      <c r="D1750" s="10" t="n">
        <v>44335</v>
      </c>
      <c r="E1750" s="9" t="s">
        <v>38</v>
      </c>
      <c r="F1750" s="9" t="s">
        <v>78</v>
      </c>
      <c r="G1750" s="9" t="s">
        <v>79</v>
      </c>
      <c r="H1750" s="11" t="s">
        <v>21</v>
      </c>
      <c r="I1750" s="12" t="n">
        <v>35</v>
      </c>
      <c r="J1750" s="13" t="n">
        <v>325</v>
      </c>
      <c r="K1750" s="14" t="n">
        <f aca="false">I1750*J1750</f>
        <v>11375</v>
      </c>
      <c r="L1750" s="14" t="n">
        <f aca="false">($L$2*M1750)/100</f>
        <v>420583.275</v>
      </c>
      <c r="M1750" s="15" t="n">
        <v>0.35</v>
      </c>
      <c r="N1750" s="9" t="s">
        <v>20</v>
      </c>
    </row>
    <row r="1751" customFormat="false" ht="14.25" hidden="false" customHeight="true" outlineLevel="0" collapsed="false">
      <c r="B1751" s="9" t="s">
        <v>16</v>
      </c>
      <c r="C1751" s="9" t="n">
        <v>1185732</v>
      </c>
      <c r="D1751" s="10" t="n">
        <v>44335</v>
      </c>
      <c r="E1751" s="9" t="s">
        <v>38</v>
      </c>
      <c r="F1751" s="9" t="s">
        <v>78</v>
      </c>
      <c r="G1751" s="9" t="s">
        <v>79</v>
      </c>
      <c r="H1751" s="11" t="s">
        <v>22</v>
      </c>
      <c r="I1751" s="12" t="n">
        <v>30</v>
      </c>
      <c r="J1751" s="13" t="n">
        <v>300</v>
      </c>
      <c r="K1751" s="14" t="n">
        <f aca="false">I1751*J1751</f>
        <v>9000</v>
      </c>
      <c r="L1751" s="14" t="n">
        <f aca="false">($L$2*M1751)/100</f>
        <v>420583.275</v>
      </c>
      <c r="M1751" s="15" t="n">
        <v>0.35</v>
      </c>
      <c r="N1751" s="9" t="s">
        <v>20</v>
      </c>
    </row>
    <row r="1752" customFormat="false" ht="14.25" hidden="false" customHeight="true" outlineLevel="0" collapsed="false">
      <c r="B1752" s="9" t="s">
        <v>16</v>
      </c>
      <c r="C1752" s="9" t="n">
        <v>1185732</v>
      </c>
      <c r="D1752" s="10" t="n">
        <v>44335</v>
      </c>
      <c r="E1752" s="9" t="s">
        <v>38</v>
      </c>
      <c r="F1752" s="9" t="s">
        <v>78</v>
      </c>
      <c r="G1752" s="9" t="s">
        <v>79</v>
      </c>
      <c r="H1752" s="11" t="s">
        <v>23</v>
      </c>
      <c r="I1752" s="12" t="n">
        <v>30</v>
      </c>
      <c r="J1752" s="13" t="n">
        <v>225</v>
      </c>
      <c r="K1752" s="14" t="n">
        <f aca="false">I1752*J1752</f>
        <v>6750</v>
      </c>
      <c r="L1752" s="14" t="n">
        <f aca="false">($L$2*M1752)/100</f>
        <v>480666.6</v>
      </c>
      <c r="M1752" s="15" t="n">
        <v>0.4</v>
      </c>
      <c r="N1752" s="9" t="s">
        <v>20</v>
      </c>
    </row>
    <row r="1753" customFormat="false" ht="14.25" hidden="false" customHeight="true" outlineLevel="0" collapsed="false">
      <c r="B1753" s="9" t="s">
        <v>16</v>
      </c>
      <c r="C1753" s="9" t="n">
        <v>1185732</v>
      </c>
      <c r="D1753" s="10" t="n">
        <v>44335</v>
      </c>
      <c r="E1753" s="9" t="s">
        <v>38</v>
      </c>
      <c r="F1753" s="9" t="s">
        <v>78</v>
      </c>
      <c r="G1753" s="9" t="s">
        <v>79</v>
      </c>
      <c r="H1753" s="11" t="s">
        <v>24</v>
      </c>
      <c r="I1753" s="12" t="n">
        <v>45</v>
      </c>
      <c r="J1753" s="13" t="n">
        <v>250</v>
      </c>
      <c r="K1753" s="14" t="n">
        <f aca="false">I1753*J1753</f>
        <v>11250</v>
      </c>
      <c r="L1753" s="14" t="n">
        <f aca="false">($L$2*M1753)/100</f>
        <v>420583.275</v>
      </c>
      <c r="M1753" s="15" t="n">
        <v>0.35</v>
      </c>
      <c r="N1753" s="9" t="s">
        <v>20</v>
      </c>
    </row>
    <row r="1754" customFormat="false" ht="14.25" hidden="false" customHeight="true" outlineLevel="0" collapsed="false">
      <c r="B1754" s="9" t="s">
        <v>16</v>
      </c>
      <c r="C1754" s="9" t="n">
        <v>1185732</v>
      </c>
      <c r="D1754" s="10" t="n">
        <v>44335</v>
      </c>
      <c r="E1754" s="9" t="s">
        <v>38</v>
      </c>
      <c r="F1754" s="9" t="s">
        <v>78</v>
      </c>
      <c r="G1754" s="9" t="s">
        <v>79</v>
      </c>
      <c r="H1754" s="11" t="s">
        <v>25</v>
      </c>
      <c r="I1754" s="12" t="n">
        <v>50</v>
      </c>
      <c r="J1754" s="13" t="n">
        <v>350</v>
      </c>
      <c r="K1754" s="14" t="n">
        <f aca="false">I1754*J1754</f>
        <v>17500</v>
      </c>
      <c r="L1754" s="14" t="n">
        <f aca="false">($L$2*M1754)/100</f>
        <v>600833.25</v>
      </c>
      <c r="M1754" s="15" t="n">
        <v>0.5</v>
      </c>
      <c r="N1754" s="9" t="s">
        <v>20</v>
      </c>
    </row>
    <row r="1755" customFormat="false" ht="14.25" hidden="false" customHeight="true" outlineLevel="0" collapsed="false">
      <c r="B1755" s="9" t="s">
        <v>16</v>
      </c>
      <c r="C1755" s="9" t="n">
        <v>1185732</v>
      </c>
      <c r="D1755" s="10" t="n">
        <v>44365</v>
      </c>
      <c r="E1755" s="9" t="s">
        <v>38</v>
      </c>
      <c r="F1755" s="9" t="s">
        <v>78</v>
      </c>
      <c r="G1755" s="9" t="s">
        <v>79</v>
      </c>
      <c r="H1755" s="11" t="s">
        <v>19</v>
      </c>
      <c r="I1755" s="12" t="n">
        <v>35</v>
      </c>
      <c r="J1755" s="13" t="n">
        <v>600</v>
      </c>
      <c r="K1755" s="14" t="n">
        <f aca="false">I1755*J1755</f>
        <v>21000</v>
      </c>
      <c r="L1755" s="14" t="n">
        <f aca="false">($L$2*M1755)/100</f>
        <v>480666.6</v>
      </c>
      <c r="M1755" s="15" t="n">
        <v>0.4</v>
      </c>
      <c r="N1755" s="9" t="s">
        <v>20</v>
      </c>
    </row>
    <row r="1756" customFormat="false" ht="14.25" hidden="false" customHeight="true" outlineLevel="0" collapsed="false">
      <c r="B1756" s="9" t="s">
        <v>16</v>
      </c>
      <c r="C1756" s="9" t="n">
        <v>1185732</v>
      </c>
      <c r="D1756" s="10" t="n">
        <v>44365</v>
      </c>
      <c r="E1756" s="9" t="s">
        <v>38</v>
      </c>
      <c r="F1756" s="9" t="s">
        <v>78</v>
      </c>
      <c r="G1756" s="9" t="s">
        <v>79</v>
      </c>
      <c r="H1756" s="11" t="s">
        <v>21</v>
      </c>
      <c r="I1756" s="12" t="n">
        <v>30</v>
      </c>
      <c r="J1756" s="13" t="n">
        <v>350</v>
      </c>
      <c r="K1756" s="14" t="n">
        <f aca="false">I1756*J1756</f>
        <v>10500</v>
      </c>
      <c r="L1756" s="14" t="n">
        <f aca="false">($L$2*M1756)/100</f>
        <v>420583.275</v>
      </c>
      <c r="M1756" s="15" t="n">
        <v>0.35</v>
      </c>
      <c r="N1756" s="9" t="s">
        <v>20</v>
      </c>
    </row>
    <row r="1757" customFormat="false" ht="14.25" hidden="false" customHeight="true" outlineLevel="0" collapsed="false">
      <c r="B1757" s="9" t="s">
        <v>16</v>
      </c>
      <c r="C1757" s="9" t="n">
        <v>1185732</v>
      </c>
      <c r="D1757" s="10" t="n">
        <v>44365</v>
      </c>
      <c r="E1757" s="9" t="s">
        <v>38</v>
      </c>
      <c r="F1757" s="9" t="s">
        <v>78</v>
      </c>
      <c r="G1757" s="9" t="s">
        <v>79</v>
      </c>
      <c r="H1757" s="11" t="s">
        <v>22</v>
      </c>
      <c r="I1757" s="12" t="n">
        <v>25</v>
      </c>
      <c r="J1757" s="13" t="n">
        <v>375</v>
      </c>
      <c r="K1757" s="14" t="n">
        <f aca="false">I1757*J1757</f>
        <v>9375</v>
      </c>
      <c r="L1757" s="14" t="n">
        <f aca="false">($L$2*M1757)/100</f>
        <v>420583.275</v>
      </c>
      <c r="M1757" s="15" t="n">
        <v>0.35</v>
      </c>
      <c r="N1757" s="9" t="s">
        <v>20</v>
      </c>
    </row>
    <row r="1758" customFormat="false" ht="14.25" hidden="false" customHeight="true" outlineLevel="0" collapsed="false">
      <c r="B1758" s="9" t="s">
        <v>16</v>
      </c>
      <c r="C1758" s="9" t="n">
        <v>1185732</v>
      </c>
      <c r="D1758" s="10" t="n">
        <v>44365</v>
      </c>
      <c r="E1758" s="9" t="s">
        <v>38</v>
      </c>
      <c r="F1758" s="9" t="s">
        <v>78</v>
      </c>
      <c r="G1758" s="9" t="s">
        <v>79</v>
      </c>
      <c r="H1758" s="11" t="s">
        <v>23</v>
      </c>
      <c r="I1758" s="12" t="n">
        <v>25</v>
      </c>
      <c r="J1758" s="13" t="n">
        <v>350</v>
      </c>
      <c r="K1758" s="14" t="n">
        <f aca="false">I1758*J1758</f>
        <v>8750</v>
      </c>
      <c r="L1758" s="14" t="n">
        <f aca="false">($L$2*M1758)/100</f>
        <v>480666.6</v>
      </c>
      <c r="M1758" s="15" t="n">
        <v>0.4</v>
      </c>
      <c r="N1758" s="9" t="s">
        <v>20</v>
      </c>
    </row>
    <row r="1759" customFormat="false" ht="14.25" hidden="false" customHeight="true" outlineLevel="0" collapsed="false">
      <c r="B1759" s="9" t="s">
        <v>16</v>
      </c>
      <c r="C1759" s="9" t="n">
        <v>1185732</v>
      </c>
      <c r="D1759" s="10" t="n">
        <v>44365</v>
      </c>
      <c r="E1759" s="9" t="s">
        <v>38</v>
      </c>
      <c r="F1759" s="9" t="s">
        <v>78</v>
      </c>
      <c r="G1759" s="9" t="s">
        <v>79</v>
      </c>
      <c r="H1759" s="11" t="s">
        <v>24</v>
      </c>
      <c r="I1759" s="12" t="n">
        <v>40</v>
      </c>
      <c r="J1759" s="13" t="n">
        <v>350</v>
      </c>
      <c r="K1759" s="14" t="n">
        <f aca="false">I1759*J1759</f>
        <v>14000</v>
      </c>
      <c r="L1759" s="14" t="n">
        <f aca="false">($L$2*M1759)/100</f>
        <v>420583.275</v>
      </c>
      <c r="M1759" s="15" t="n">
        <v>0.35</v>
      </c>
      <c r="N1759" s="9" t="s">
        <v>20</v>
      </c>
    </row>
    <row r="1760" customFormat="false" ht="14.25" hidden="false" customHeight="true" outlineLevel="0" collapsed="false">
      <c r="B1760" s="9" t="s">
        <v>16</v>
      </c>
      <c r="C1760" s="9" t="n">
        <v>1185732</v>
      </c>
      <c r="D1760" s="10" t="n">
        <v>44365</v>
      </c>
      <c r="E1760" s="9" t="s">
        <v>38</v>
      </c>
      <c r="F1760" s="9" t="s">
        <v>78</v>
      </c>
      <c r="G1760" s="9" t="s">
        <v>79</v>
      </c>
      <c r="H1760" s="11" t="s">
        <v>25</v>
      </c>
      <c r="I1760" s="12" t="n">
        <v>45</v>
      </c>
      <c r="J1760" s="13" t="n">
        <v>525</v>
      </c>
      <c r="K1760" s="14" t="n">
        <f aca="false">I1760*J1760</f>
        <v>23625</v>
      </c>
      <c r="L1760" s="14" t="n">
        <f aca="false">($L$2*M1760)/100</f>
        <v>600833.25</v>
      </c>
      <c r="M1760" s="15" t="n">
        <v>0.5</v>
      </c>
      <c r="N1760" s="9" t="s">
        <v>20</v>
      </c>
    </row>
    <row r="1761" customFormat="false" ht="14.25" hidden="false" customHeight="true" outlineLevel="0" collapsed="false">
      <c r="B1761" s="9" t="s">
        <v>16</v>
      </c>
      <c r="C1761" s="9" t="n">
        <v>1185732</v>
      </c>
      <c r="D1761" s="10" t="n">
        <v>44394</v>
      </c>
      <c r="E1761" s="9" t="s">
        <v>38</v>
      </c>
      <c r="F1761" s="9" t="s">
        <v>78</v>
      </c>
      <c r="G1761" s="9" t="s">
        <v>79</v>
      </c>
      <c r="H1761" s="11" t="s">
        <v>19</v>
      </c>
      <c r="I1761" s="12" t="n">
        <v>40</v>
      </c>
      <c r="J1761" s="13" t="n">
        <v>750</v>
      </c>
      <c r="K1761" s="14" t="n">
        <f aca="false">I1761*J1761</f>
        <v>30000</v>
      </c>
      <c r="L1761" s="14" t="n">
        <f aca="false">($L$2*M1761)/100</f>
        <v>480666.6</v>
      </c>
      <c r="M1761" s="15" t="n">
        <v>0.4</v>
      </c>
      <c r="N1761" s="9" t="s">
        <v>20</v>
      </c>
    </row>
    <row r="1762" customFormat="false" ht="14.25" hidden="false" customHeight="true" outlineLevel="0" collapsed="false">
      <c r="B1762" s="9" t="s">
        <v>16</v>
      </c>
      <c r="C1762" s="9" t="n">
        <v>1185732</v>
      </c>
      <c r="D1762" s="10" t="n">
        <v>44394</v>
      </c>
      <c r="E1762" s="9" t="s">
        <v>38</v>
      </c>
      <c r="F1762" s="9" t="s">
        <v>78</v>
      </c>
      <c r="G1762" s="9" t="s">
        <v>79</v>
      </c>
      <c r="H1762" s="11" t="s">
        <v>21</v>
      </c>
      <c r="I1762" s="12" t="n">
        <v>35</v>
      </c>
      <c r="J1762" s="13" t="n">
        <v>500</v>
      </c>
      <c r="K1762" s="14" t="n">
        <f aca="false">I1762*J1762</f>
        <v>17500</v>
      </c>
      <c r="L1762" s="14" t="n">
        <f aca="false">($L$2*M1762)/100</f>
        <v>420583.275</v>
      </c>
      <c r="M1762" s="15" t="n">
        <v>0.35</v>
      </c>
      <c r="N1762" s="9" t="s">
        <v>20</v>
      </c>
    </row>
    <row r="1763" customFormat="false" ht="14.25" hidden="false" customHeight="true" outlineLevel="0" collapsed="false">
      <c r="B1763" s="9" t="s">
        <v>16</v>
      </c>
      <c r="C1763" s="9" t="n">
        <v>1185732</v>
      </c>
      <c r="D1763" s="10" t="n">
        <v>44394</v>
      </c>
      <c r="E1763" s="9" t="s">
        <v>38</v>
      </c>
      <c r="F1763" s="9" t="s">
        <v>78</v>
      </c>
      <c r="G1763" s="9" t="s">
        <v>79</v>
      </c>
      <c r="H1763" s="11" t="s">
        <v>22</v>
      </c>
      <c r="I1763" s="12" t="n">
        <v>30</v>
      </c>
      <c r="J1763" s="13" t="n">
        <v>425</v>
      </c>
      <c r="K1763" s="14" t="n">
        <f aca="false">I1763*J1763</f>
        <v>12750</v>
      </c>
      <c r="L1763" s="14" t="n">
        <f aca="false">($L$2*M1763)/100</f>
        <v>420583.275</v>
      </c>
      <c r="M1763" s="15" t="n">
        <v>0.35</v>
      </c>
      <c r="N1763" s="9" t="s">
        <v>20</v>
      </c>
    </row>
    <row r="1764" customFormat="false" ht="14.25" hidden="false" customHeight="true" outlineLevel="0" collapsed="false">
      <c r="B1764" s="9" t="s">
        <v>16</v>
      </c>
      <c r="C1764" s="9" t="n">
        <v>1185732</v>
      </c>
      <c r="D1764" s="10" t="n">
        <v>44394</v>
      </c>
      <c r="E1764" s="9" t="s">
        <v>38</v>
      </c>
      <c r="F1764" s="9" t="s">
        <v>78</v>
      </c>
      <c r="G1764" s="9" t="s">
        <v>79</v>
      </c>
      <c r="H1764" s="11" t="s">
        <v>23</v>
      </c>
      <c r="I1764" s="12" t="n">
        <v>30</v>
      </c>
      <c r="J1764" s="13" t="n">
        <v>375</v>
      </c>
      <c r="K1764" s="14" t="n">
        <f aca="false">I1764*J1764</f>
        <v>11250</v>
      </c>
      <c r="L1764" s="14" t="n">
        <f aca="false">($L$2*M1764)/100</f>
        <v>480666.6</v>
      </c>
      <c r="M1764" s="15" t="n">
        <v>0.4</v>
      </c>
      <c r="N1764" s="9" t="s">
        <v>20</v>
      </c>
    </row>
    <row r="1765" customFormat="false" ht="14.25" hidden="false" customHeight="true" outlineLevel="0" collapsed="false">
      <c r="B1765" s="9" t="s">
        <v>16</v>
      </c>
      <c r="C1765" s="9" t="n">
        <v>1185732</v>
      </c>
      <c r="D1765" s="10" t="n">
        <v>44394</v>
      </c>
      <c r="E1765" s="9" t="s">
        <v>38</v>
      </c>
      <c r="F1765" s="9" t="s">
        <v>78</v>
      </c>
      <c r="G1765" s="9" t="s">
        <v>79</v>
      </c>
      <c r="H1765" s="11" t="s">
        <v>24</v>
      </c>
      <c r="I1765" s="12" t="n">
        <v>40</v>
      </c>
      <c r="J1765" s="13" t="n">
        <v>375</v>
      </c>
      <c r="K1765" s="14" t="n">
        <f aca="false">I1765*J1765</f>
        <v>15000</v>
      </c>
      <c r="L1765" s="14" t="n">
        <f aca="false">($L$2*M1765)/100</f>
        <v>420583.275</v>
      </c>
      <c r="M1765" s="15" t="n">
        <v>0.35</v>
      </c>
      <c r="N1765" s="9" t="s">
        <v>20</v>
      </c>
    </row>
    <row r="1766" customFormat="false" ht="14.25" hidden="false" customHeight="true" outlineLevel="0" collapsed="false">
      <c r="B1766" s="9" t="s">
        <v>16</v>
      </c>
      <c r="C1766" s="9" t="n">
        <v>1185732</v>
      </c>
      <c r="D1766" s="10" t="n">
        <v>44394</v>
      </c>
      <c r="E1766" s="9" t="s">
        <v>38</v>
      </c>
      <c r="F1766" s="9" t="s">
        <v>78</v>
      </c>
      <c r="G1766" s="9" t="s">
        <v>79</v>
      </c>
      <c r="H1766" s="11" t="s">
        <v>25</v>
      </c>
      <c r="I1766" s="12" t="n">
        <v>45</v>
      </c>
      <c r="J1766" s="13" t="n">
        <v>550</v>
      </c>
      <c r="K1766" s="14" t="n">
        <f aca="false">I1766*J1766</f>
        <v>24750</v>
      </c>
      <c r="L1766" s="14" t="n">
        <f aca="false">($L$2*M1766)/100</f>
        <v>600833.25</v>
      </c>
      <c r="M1766" s="15" t="n">
        <v>0.5</v>
      </c>
      <c r="N1766" s="9" t="s">
        <v>20</v>
      </c>
    </row>
    <row r="1767" customFormat="false" ht="14.25" hidden="false" customHeight="true" outlineLevel="0" collapsed="false">
      <c r="B1767" s="9" t="s">
        <v>16</v>
      </c>
      <c r="C1767" s="9" t="n">
        <v>1185732</v>
      </c>
      <c r="D1767" s="10" t="n">
        <v>44426</v>
      </c>
      <c r="E1767" s="9" t="s">
        <v>38</v>
      </c>
      <c r="F1767" s="9" t="s">
        <v>78</v>
      </c>
      <c r="G1767" s="9" t="s">
        <v>79</v>
      </c>
      <c r="H1767" s="11" t="s">
        <v>19</v>
      </c>
      <c r="I1767" s="12" t="n">
        <v>40</v>
      </c>
      <c r="J1767" s="13" t="n">
        <v>700</v>
      </c>
      <c r="K1767" s="14" t="n">
        <f aca="false">I1767*J1767</f>
        <v>28000</v>
      </c>
      <c r="L1767" s="14" t="n">
        <f aca="false">($L$2*M1767)/100</f>
        <v>480666.6</v>
      </c>
      <c r="M1767" s="15" t="n">
        <v>0.4</v>
      </c>
      <c r="N1767" s="9" t="s">
        <v>20</v>
      </c>
    </row>
    <row r="1768" customFormat="false" ht="14.25" hidden="false" customHeight="true" outlineLevel="0" collapsed="false">
      <c r="B1768" s="9" t="s">
        <v>16</v>
      </c>
      <c r="C1768" s="9" t="n">
        <v>1185732</v>
      </c>
      <c r="D1768" s="10" t="n">
        <v>44426</v>
      </c>
      <c r="E1768" s="9" t="s">
        <v>38</v>
      </c>
      <c r="F1768" s="9" t="s">
        <v>78</v>
      </c>
      <c r="G1768" s="9" t="s">
        <v>79</v>
      </c>
      <c r="H1768" s="11" t="s">
        <v>21</v>
      </c>
      <c r="I1768" s="12" t="n">
        <v>40</v>
      </c>
      <c r="J1768" s="13" t="n">
        <v>475</v>
      </c>
      <c r="K1768" s="14" t="n">
        <f aca="false">I1768*J1768</f>
        <v>19000</v>
      </c>
      <c r="L1768" s="14" t="n">
        <f aca="false">($L$2*M1768)/100</f>
        <v>420583.275</v>
      </c>
      <c r="M1768" s="15" t="n">
        <v>0.35</v>
      </c>
      <c r="N1768" s="9" t="s">
        <v>20</v>
      </c>
    </row>
    <row r="1769" customFormat="false" ht="14.25" hidden="false" customHeight="true" outlineLevel="0" collapsed="false">
      <c r="B1769" s="9" t="s">
        <v>16</v>
      </c>
      <c r="C1769" s="9" t="n">
        <v>1185732</v>
      </c>
      <c r="D1769" s="10" t="n">
        <v>44426</v>
      </c>
      <c r="E1769" s="9" t="s">
        <v>38</v>
      </c>
      <c r="F1769" s="9" t="s">
        <v>78</v>
      </c>
      <c r="G1769" s="9" t="s">
        <v>79</v>
      </c>
      <c r="H1769" s="11" t="s">
        <v>22</v>
      </c>
      <c r="I1769" s="12" t="n">
        <v>35</v>
      </c>
      <c r="J1769" s="13" t="n">
        <v>400</v>
      </c>
      <c r="K1769" s="14" t="n">
        <f aca="false">I1769*J1769</f>
        <v>14000</v>
      </c>
      <c r="L1769" s="14" t="n">
        <f aca="false">($L$2*M1769)/100</f>
        <v>420583.275</v>
      </c>
      <c r="M1769" s="15" t="n">
        <v>0.35</v>
      </c>
      <c r="N1769" s="9" t="s">
        <v>20</v>
      </c>
    </row>
    <row r="1770" customFormat="false" ht="14.25" hidden="false" customHeight="true" outlineLevel="0" collapsed="false">
      <c r="B1770" s="9" t="s">
        <v>16</v>
      </c>
      <c r="C1770" s="9" t="n">
        <v>1185732</v>
      </c>
      <c r="D1770" s="10" t="n">
        <v>44426</v>
      </c>
      <c r="E1770" s="9" t="s">
        <v>38</v>
      </c>
      <c r="F1770" s="9" t="s">
        <v>78</v>
      </c>
      <c r="G1770" s="9" t="s">
        <v>79</v>
      </c>
      <c r="H1770" s="11" t="s">
        <v>23</v>
      </c>
      <c r="I1770" s="12" t="n">
        <v>25</v>
      </c>
      <c r="J1770" s="13" t="n">
        <v>325</v>
      </c>
      <c r="K1770" s="14" t="n">
        <f aca="false">I1770*J1770</f>
        <v>8125</v>
      </c>
      <c r="L1770" s="14" t="n">
        <f aca="false">($L$2*M1770)/100</f>
        <v>480666.6</v>
      </c>
      <c r="M1770" s="15" t="n">
        <v>0.4</v>
      </c>
      <c r="N1770" s="9" t="s">
        <v>20</v>
      </c>
    </row>
    <row r="1771" customFormat="false" ht="14.25" hidden="false" customHeight="true" outlineLevel="0" collapsed="false">
      <c r="B1771" s="9" t="s">
        <v>16</v>
      </c>
      <c r="C1771" s="9" t="n">
        <v>1185732</v>
      </c>
      <c r="D1771" s="10" t="n">
        <v>44426</v>
      </c>
      <c r="E1771" s="9" t="s">
        <v>38</v>
      </c>
      <c r="F1771" s="9" t="s">
        <v>78</v>
      </c>
      <c r="G1771" s="9" t="s">
        <v>79</v>
      </c>
      <c r="H1771" s="11" t="s">
        <v>24</v>
      </c>
      <c r="I1771" s="12" t="n">
        <v>35</v>
      </c>
      <c r="J1771" s="13" t="n">
        <v>300</v>
      </c>
      <c r="K1771" s="14" t="n">
        <f aca="false">I1771*J1771</f>
        <v>10500</v>
      </c>
      <c r="L1771" s="14" t="n">
        <f aca="false">($L$2*M1771)/100</f>
        <v>420583.275</v>
      </c>
      <c r="M1771" s="15" t="n">
        <v>0.35</v>
      </c>
      <c r="N1771" s="9" t="s">
        <v>20</v>
      </c>
    </row>
    <row r="1772" customFormat="false" ht="14.25" hidden="false" customHeight="true" outlineLevel="0" collapsed="false">
      <c r="B1772" s="9" t="s">
        <v>16</v>
      </c>
      <c r="C1772" s="9" t="n">
        <v>1185732</v>
      </c>
      <c r="D1772" s="10" t="n">
        <v>44426</v>
      </c>
      <c r="E1772" s="9" t="s">
        <v>38</v>
      </c>
      <c r="F1772" s="9" t="s">
        <v>78</v>
      </c>
      <c r="G1772" s="9" t="s">
        <v>79</v>
      </c>
      <c r="H1772" s="11" t="s">
        <v>25</v>
      </c>
      <c r="I1772" s="12" t="n">
        <v>40</v>
      </c>
      <c r="J1772" s="13" t="n">
        <v>475</v>
      </c>
      <c r="K1772" s="14" t="n">
        <f aca="false">I1772*J1772</f>
        <v>19000</v>
      </c>
      <c r="L1772" s="14" t="n">
        <f aca="false">($L$2*M1772)/100</f>
        <v>600833.25</v>
      </c>
      <c r="M1772" s="15" t="n">
        <v>0.5</v>
      </c>
      <c r="N1772" s="9" t="s">
        <v>20</v>
      </c>
    </row>
    <row r="1773" customFormat="false" ht="14.25" hidden="false" customHeight="true" outlineLevel="0" collapsed="false">
      <c r="B1773" s="9" t="s">
        <v>16</v>
      </c>
      <c r="C1773" s="9" t="n">
        <v>1185732</v>
      </c>
      <c r="D1773" s="10" t="n">
        <v>44458</v>
      </c>
      <c r="E1773" s="9" t="s">
        <v>38</v>
      </c>
      <c r="F1773" s="9" t="s">
        <v>78</v>
      </c>
      <c r="G1773" s="9" t="s">
        <v>79</v>
      </c>
      <c r="H1773" s="11" t="s">
        <v>19</v>
      </c>
      <c r="I1773" s="12" t="n">
        <v>35</v>
      </c>
      <c r="J1773" s="13" t="n">
        <v>600</v>
      </c>
      <c r="K1773" s="14" t="n">
        <f aca="false">I1773*J1773</f>
        <v>21000</v>
      </c>
      <c r="L1773" s="14" t="n">
        <f aca="false">($L$2*M1773)/100</f>
        <v>480666.6</v>
      </c>
      <c r="M1773" s="15" t="n">
        <v>0.4</v>
      </c>
      <c r="N1773" s="9" t="s">
        <v>20</v>
      </c>
    </row>
    <row r="1774" customFormat="false" ht="14.25" hidden="false" customHeight="true" outlineLevel="0" collapsed="false">
      <c r="B1774" s="9" t="s">
        <v>16</v>
      </c>
      <c r="C1774" s="9" t="n">
        <v>1185732</v>
      </c>
      <c r="D1774" s="10" t="n">
        <v>44458</v>
      </c>
      <c r="E1774" s="9" t="s">
        <v>38</v>
      </c>
      <c r="F1774" s="9" t="s">
        <v>78</v>
      </c>
      <c r="G1774" s="9" t="s">
        <v>79</v>
      </c>
      <c r="H1774" s="11" t="s">
        <v>21</v>
      </c>
      <c r="I1774" s="12" t="n">
        <v>30</v>
      </c>
      <c r="J1774" s="13" t="n">
        <v>400</v>
      </c>
      <c r="K1774" s="14" t="n">
        <f aca="false">I1774*J1774</f>
        <v>12000</v>
      </c>
      <c r="L1774" s="14" t="n">
        <f aca="false">($L$2*M1774)/100</f>
        <v>420583.275</v>
      </c>
      <c r="M1774" s="15" t="n">
        <v>0.35</v>
      </c>
      <c r="N1774" s="9" t="s">
        <v>20</v>
      </c>
    </row>
    <row r="1775" customFormat="false" ht="14.25" hidden="false" customHeight="true" outlineLevel="0" collapsed="false">
      <c r="B1775" s="9" t="s">
        <v>16</v>
      </c>
      <c r="C1775" s="9" t="n">
        <v>1185732</v>
      </c>
      <c r="D1775" s="10" t="n">
        <v>44458</v>
      </c>
      <c r="E1775" s="9" t="s">
        <v>38</v>
      </c>
      <c r="F1775" s="9" t="s">
        <v>78</v>
      </c>
      <c r="G1775" s="9" t="s">
        <v>79</v>
      </c>
      <c r="H1775" s="11" t="s">
        <v>22</v>
      </c>
      <c r="I1775" s="12" t="n">
        <v>15</v>
      </c>
      <c r="J1775" s="13" t="n">
        <v>300</v>
      </c>
      <c r="K1775" s="14" t="n">
        <f aca="false">I1775*J1775</f>
        <v>4500</v>
      </c>
      <c r="L1775" s="14" t="n">
        <f aca="false">($L$2*M1775)/100</f>
        <v>420583.275</v>
      </c>
      <c r="M1775" s="15" t="n">
        <v>0.35</v>
      </c>
      <c r="N1775" s="9" t="s">
        <v>20</v>
      </c>
    </row>
    <row r="1776" customFormat="false" ht="14.25" hidden="false" customHeight="true" outlineLevel="0" collapsed="false">
      <c r="B1776" s="9" t="s">
        <v>16</v>
      </c>
      <c r="C1776" s="9" t="n">
        <v>1185732</v>
      </c>
      <c r="D1776" s="10" t="n">
        <v>44458</v>
      </c>
      <c r="E1776" s="9" t="s">
        <v>38</v>
      </c>
      <c r="F1776" s="9" t="s">
        <v>78</v>
      </c>
      <c r="G1776" s="9" t="s">
        <v>79</v>
      </c>
      <c r="H1776" s="11" t="s">
        <v>23</v>
      </c>
      <c r="I1776" s="12" t="n">
        <v>15</v>
      </c>
      <c r="J1776" s="13" t="n">
        <v>275</v>
      </c>
      <c r="K1776" s="14" t="n">
        <f aca="false">I1776*J1776</f>
        <v>4125</v>
      </c>
      <c r="L1776" s="14" t="n">
        <f aca="false">($L$2*M1776)/100</f>
        <v>480666.6</v>
      </c>
      <c r="M1776" s="15" t="n">
        <v>0.4</v>
      </c>
      <c r="N1776" s="9" t="s">
        <v>20</v>
      </c>
    </row>
    <row r="1777" customFormat="false" ht="14.25" hidden="false" customHeight="true" outlineLevel="0" collapsed="false">
      <c r="B1777" s="9" t="s">
        <v>16</v>
      </c>
      <c r="C1777" s="9" t="n">
        <v>1185732</v>
      </c>
      <c r="D1777" s="10" t="n">
        <v>44458</v>
      </c>
      <c r="E1777" s="9" t="s">
        <v>38</v>
      </c>
      <c r="F1777" s="9" t="s">
        <v>78</v>
      </c>
      <c r="G1777" s="9" t="s">
        <v>79</v>
      </c>
      <c r="H1777" s="11" t="s">
        <v>24</v>
      </c>
      <c r="I1777" s="12" t="n">
        <v>25</v>
      </c>
      <c r="J1777" s="13" t="n">
        <v>275</v>
      </c>
      <c r="K1777" s="14" t="n">
        <f aca="false">I1777*J1777</f>
        <v>6875</v>
      </c>
      <c r="L1777" s="14" t="n">
        <f aca="false">($L$2*M1777)/100</f>
        <v>420583.275</v>
      </c>
      <c r="M1777" s="15" t="n">
        <v>0.35</v>
      </c>
      <c r="N1777" s="9" t="s">
        <v>20</v>
      </c>
    </row>
    <row r="1778" customFormat="false" ht="14.25" hidden="false" customHeight="true" outlineLevel="0" collapsed="false">
      <c r="B1778" s="9" t="s">
        <v>16</v>
      </c>
      <c r="C1778" s="9" t="n">
        <v>1185732</v>
      </c>
      <c r="D1778" s="10" t="n">
        <v>44458</v>
      </c>
      <c r="E1778" s="9" t="s">
        <v>38</v>
      </c>
      <c r="F1778" s="9" t="s">
        <v>78</v>
      </c>
      <c r="G1778" s="9" t="s">
        <v>79</v>
      </c>
      <c r="H1778" s="11" t="s">
        <v>25</v>
      </c>
      <c r="I1778" s="12" t="n">
        <v>30</v>
      </c>
      <c r="J1778" s="13" t="n">
        <v>350</v>
      </c>
      <c r="K1778" s="14" t="n">
        <f aca="false">I1778*J1778</f>
        <v>10500</v>
      </c>
      <c r="L1778" s="14" t="n">
        <f aca="false">($L$2*M1778)/100</f>
        <v>600833.25</v>
      </c>
      <c r="M1778" s="15" t="n">
        <v>0.5</v>
      </c>
      <c r="N1778" s="9" t="s">
        <v>20</v>
      </c>
    </row>
    <row r="1779" customFormat="false" ht="14.25" hidden="false" customHeight="true" outlineLevel="0" collapsed="false">
      <c r="B1779" s="9" t="s">
        <v>16</v>
      </c>
      <c r="C1779" s="9" t="n">
        <v>1185732</v>
      </c>
      <c r="D1779" s="10" t="n">
        <v>44487</v>
      </c>
      <c r="E1779" s="9" t="s">
        <v>38</v>
      </c>
      <c r="F1779" s="9" t="s">
        <v>78</v>
      </c>
      <c r="G1779" s="9" t="s">
        <v>79</v>
      </c>
      <c r="H1779" s="11" t="s">
        <v>19</v>
      </c>
      <c r="I1779" s="12" t="n">
        <v>35</v>
      </c>
      <c r="J1779" s="13" t="n">
        <v>525</v>
      </c>
      <c r="K1779" s="14" t="n">
        <f aca="false">I1779*J1779</f>
        <v>18375</v>
      </c>
      <c r="L1779" s="14" t="n">
        <f aca="false">($L$2*M1779)/100</f>
        <v>480666.6</v>
      </c>
      <c r="M1779" s="15" t="n">
        <v>0.4</v>
      </c>
      <c r="N1779" s="9" t="s">
        <v>20</v>
      </c>
    </row>
    <row r="1780" customFormat="false" ht="14.25" hidden="false" customHeight="true" outlineLevel="0" collapsed="false">
      <c r="B1780" s="9" t="s">
        <v>16</v>
      </c>
      <c r="C1780" s="9" t="n">
        <v>1185732</v>
      </c>
      <c r="D1780" s="10" t="n">
        <v>44487</v>
      </c>
      <c r="E1780" s="9" t="s">
        <v>38</v>
      </c>
      <c r="F1780" s="9" t="s">
        <v>78</v>
      </c>
      <c r="G1780" s="9" t="s">
        <v>79</v>
      </c>
      <c r="H1780" s="11" t="s">
        <v>21</v>
      </c>
      <c r="I1780" s="12" t="n">
        <v>25</v>
      </c>
      <c r="J1780" s="13" t="n">
        <v>350</v>
      </c>
      <c r="K1780" s="14" t="n">
        <f aca="false">I1780*J1780</f>
        <v>8750</v>
      </c>
      <c r="L1780" s="14" t="n">
        <f aca="false">($L$2*M1780)/100</f>
        <v>420583.275</v>
      </c>
      <c r="M1780" s="15" t="n">
        <v>0.35</v>
      </c>
      <c r="N1780" s="9" t="s">
        <v>20</v>
      </c>
    </row>
    <row r="1781" customFormat="false" ht="14.25" hidden="false" customHeight="true" outlineLevel="0" collapsed="false">
      <c r="B1781" s="9" t="s">
        <v>16</v>
      </c>
      <c r="C1781" s="9" t="n">
        <v>1185732</v>
      </c>
      <c r="D1781" s="10" t="n">
        <v>44487</v>
      </c>
      <c r="E1781" s="9" t="s">
        <v>38</v>
      </c>
      <c r="F1781" s="9" t="s">
        <v>78</v>
      </c>
      <c r="G1781" s="9" t="s">
        <v>79</v>
      </c>
      <c r="H1781" s="11" t="s">
        <v>22</v>
      </c>
      <c r="I1781" s="12" t="n">
        <v>25</v>
      </c>
      <c r="J1781" s="13" t="n">
        <v>250</v>
      </c>
      <c r="K1781" s="14" t="n">
        <f aca="false">I1781*J1781</f>
        <v>6250</v>
      </c>
      <c r="L1781" s="14" t="n">
        <f aca="false">($L$2*M1781)/100</f>
        <v>420583.275</v>
      </c>
      <c r="M1781" s="15" t="n">
        <v>0.35</v>
      </c>
      <c r="N1781" s="9" t="s">
        <v>20</v>
      </c>
    </row>
    <row r="1782" customFormat="false" ht="14.25" hidden="false" customHeight="true" outlineLevel="0" collapsed="false">
      <c r="B1782" s="9" t="s">
        <v>16</v>
      </c>
      <c r="C1782" s="9" t="n">
        <v>1185732</v>
      </c>
      <c r="D1782" s="10" t="n">
        <v>44487</v>
      </c>
      <c r="E1782" s="9" t="s">
        <v>38</v>
      </c>
      <c r="F1782" s="9" t="s">
        <v>78</v>
      </c>
      <c r="G1782" s="9" t="s">
        <v>79</v>
      </c>
      <c r="H1782" s="11" t="s">
        <v>23</v>
      </c>
      <c r="I1782" s="12" t="n">
        <v>25</v>
      </c>
      <c r="J1782" s="13" t="n">
        <v>225</v>
      </c>
      <c r="K1782" s="14" t="n">
        <f aca="false">I1782*J1782</f>
        <v>5625</v>
      </c>
      <c r="L1782" s="14" t="n">
        <f aca="false">($L$2*M1782)/100</f>
        <v>480666.6</v>
      </c>
      <c r="M1782" s="15" t="n">
        <v>0.4</v>
      </c>
      <c r="N1782" s="9" t="s">
        <v>20</v>
      </c>
    </row>
    <row r="1783" customFormat="false" ht="14.25" hidden="false" customHeight="true" outlineLevel="0" collapsed="false">
      <c r="B1783" s="9" t="s">
        <v>16</v>
      </c>
      <c r="C1783" s="9" t="n">
        <v>1185732</v>
      </c>
      <c r="D1783" s="10" t="n">
        <v>44487</v>
      </c>
      <c r="E1783" s="9" t="s">
        <v>38</v>
      </c>
      <c r="F1783" s="9" t="s">
        <v>78</v>
      </c>
      <c r="G1783" s="9" t="s">
        <v>79</v>
      </c>
      <c r="H1783" s="11" t="s">
        <v>24</v>
      </c>
      <c r="I1783" s="12" t="n">
        <v>35</v>
      </c>
      <c r="J1783" s="13" t="n">
        <v>225</v>
      </c>
      <c r="K1783" s="14" t="n">
        <f aca="false">I1783*J1783</f>
        <v>7875</v>
      </c>
      <c r="L1783" s="14" t="n">
        <f aca="false">($L$2*M1783)/100</f>
        <v>420583.275</v>
      </c>
      <c r="M1783" s="15" t="n">
        <v>0.35</v>
      </c>
      <c r="N1783" s="9" t="s">
        <v>20</v>
      </c>
    </row>
    <row r="1784" customFormat="false" ht="14.25" hidden="false" customHeight="true" outlineLevel="0" collapsed="false">
      <c r="B1784" s="9" t="s">
        <v>16</v>
      </c>
      <c r="C1784" s="9" t="n">
        <v>1185732</v>
      </c>
      <c r="D1784" s="10" t="n">
        <v>44487</v>
      </c>
      <c r="E1784" s="9" t="s">
        <v>38</v>
      </c>
      <c r="F1784" s="9" t="s">
        <v>78</v>
      </c>
      <c r="G1784" s="9" t="s">
        <v>79</v>
      </c>
      <c r="H1784" s="11" t="s">
        <v>25</v>
      </c>
      <c r="I1784" s="12" t="n">
        <v>40</v>
      </c>
      <c r="J1784" s="13" t="n">
        <v>350</v>
      </c>
      <c r="K1784" s="14" t="n">
        <f aca="false">I1784*J1784</f>
        <v>14000</v>
      </c>
      <c r="L1784" s="14" t="n">
        <f aca="false">($L$2*M1784)/100</f>
        <v>600833.25</v>
      </c>
      <c r="M1784" s="15" t="n">
        <v>0.5</v>
      </c>
      <c r="N1784" s="9" t="s">
        <v>20</v>
      </c>
    </row>
    <row r="1785" customFormat="false" ht="14.25" hidden="false" customHeight="true" outlineLevel="0" collapsed="false">
      <c r="B1785" s="9" t="s">
        <v>16</v>
      </c>
      <c r="C1785" s="9" t="n">
        <v>1185732</v>
      </c>
      <c r="D1785" s="10" t="n">
        <v>44518</v>
      </c>
      <c r="E1785" s="9" t="s">
        <v>38</v>
      </c>
      <c r="F1785" s="9" t="s">
        <v>78</v>
      </c>
      <c r="G1785" s="9" t="s">
        <v>79</v>
      </c>
      <c r="H1785" s="11" t="s">
        <v>19</v>
      </c>
      <c r="I1785" s="12" t="n">
        <v>35</v>
      </c>
      <c r="J1785" s="13" t="n">
        <v>500</v>
      </c>
      <c r="K1785" s="14" t="n">
        <f aca="false">I1785*J1785</f>
        <v>17500</v>
      </c>
      <c r="L1785" s="14" t="n">
        <f aca="false">($L$2*M1785)/100</f>
        <v>480666.6</v>
      </c>
      <c r="M1785" s="15" t="n">
        <v>0.4</v>
      </c>
      <c r="N1785" s="9" t="s">
        <v>20</v>
      </c>
    </row>
    <row r="1786" customFormat="false" ht="14.25" hidden="false" customHeight="true" outlineLevel="0" collapsed="false">
      <c r="B1786" s="9" t="s">
        <v>16</v>
      </c>
      <c r="C1786" s="9" t="n">
        <v>1185732</v>
      </c>
      <c r="D1786" s="10" t="n">
        <v>44518</v>
      </c>
      <c r="E1786" s="9" t="s">
        <v>38</v>
      </c>
      <c r="F1786" s="9" t="s">
        <v>78</v>
      </c>
      <c r="G1786" s="9" t="s">
        <v>79</v>
      </c>
      <c r="H1786" s="11" t="s">
        <v>21</v>
      </c>
      <c r="I1786" s="12" t="n">
        <v>25</v>
      </c>
      <c r="J1786" s="13" t="n">
        <v>350</v>
      </c>
      <c r="K1786" s="14" t="n">
        <f aca="false">I1786*J1786</f>
        <v>8750</v>
      </c>
      <c r="L1786" s="14" t="n">
        <f aca="false">($L$2*M1786)/100</f>
        <v>420583.275</v>
      </c>
      <c r="M1786" s="15" t="n">
        <v>0.35</v>
      </c>
      <c r="N1786" s="9" t="s">
        <v>20</v>
      </c>
    </row>
    <row r="1787" customFormat="false" ht="14.25" hidden="false" customHeight="true" outlineLevel="0" collapsed="false">
      <c r="B1787" s="9" t="s">
        <v>16</v>
      </c>
      <c r="C1787" s="9" t="n">
        <v>1185732</v>
      </c>
      <c r="D1787" s="10" t="n">
        <v>44518</v>
      </c>
      <c r="E1787" s="9" t="s">
        <v>38</v>
      </c>
      <c r="F1787" s="9" t="s">
        <v>78</v>
      </c>
      <c r="G1787" s="9" t="s">
        <v>79</v>
      </c>
      <c r="H1787" s="11" t="s">
        <v>22</v>
      </c>
      <c r="I1787" s="12" t="n">
        <v>25</v>
      </c>
      <c r="J1787" s="13" t="n">
        <v>295</v>
      </c>
      <c r="K1787" s="14" t="n">
        <f aca="false">I1787*J1787</f>
        <v>7375</v>
      </c>
      <c r="L1787" s="14" t="n">
        <f aca="false">($L$2*M1787)/100</f>
        <v>420583.275</v>
      </c>
      <c r="M1787" s="15" t="n">
        <v>0.35</v>
      </c>
      <c r="N1787" s="9" t="s">
        <v>20</v>
      </c>
    </row>
    <row r="1788" customFormat="false" ht="14.25" hidden="false" customHeight="true" outlineLevel="0" collapsed="false">
      <c r="B1788" s="9" t="s">
        <v>16</v>
      </c>
      <c r="C1788" s="9" t="n">
        <v>1185732</v>
      </c>
      <c r="D1788" s="10" t="n">
        <v>44518</v>
      </c>
      <c r="E1788" s="9" t="s">
        <v>38</v>
      </c>
      <c r="F1788" s="9" t="s">
        <v>78</v>
      </c>
      <c r="G1788" s="9" t="s">
        <v>79</v>
      </c>
      <c r="H1788" s="11" t="s">
        <v>23</v>
      </c>
      <c r="I1788" s="12" t="n">
        <v>25</v>
      </c>
      <c r="J1788" s="13" t="n">
        <v>325</v>
      </c>
      <c r="K1788" s="14" t="n">
        <f aca="false">I1788*J1788</f>
        <v>8125</v>
      </c>
      <c r="L1788" s="14" t="n">
        <f aca="false">($L$2*M1788)/100</f>
        <v>480666.6</v>
      </c>
      <c r="M1788" s="15" t="n">
        <v>0.4</v>
      </c>
      <c r="N1788" s="9" t="s">
        <v>20</v>
      </c>
    </row>
    <row r="1789" customFormat="false" ht="14.25" hidden="false" customHeight="true" outlineLevel="0" collapsed="false">
      <c r="B1789" s="9" t="s">
        <v>16</v>
      </c>
      <c r="C1789" s="9" t="n">
        <v>1185732</v>
      </c>
      <c r="D1789" s="10" t="n">
        <v>44518</v>
      </c>
      <c r="E1789" s="9" t="s">
        <v>38</v>
      </c>
      <c r="F1789" s="9" t="s">
        <v>78</v>
      </c>
      <c r="G1789" s="9" t="s">
        <v>79</v>
      </c>
      <c r="H1789" s="11" t="s">
        <v>24</v>
      </c>
      <c r="I1789" s="12" t="n">
        <v>45</v>
      </c>
      <c r="J1789" s="13" t="n">
        <v>300</v>
      </c>
      <c r="K1789" s="14" t="n">
        <f aca="false">I1789*J1789</f>
        <v>13500</v>
      </c>
      <c r="L1789" s="14" t="n">
        <f aca="false">($L$2*M1789)/100</f>
        <v>420583.275</v>
      </c>
      <c r="M1789" s="15" t="n">
        <v>0.35</v>
      </c>
      <c r="N1789" s="9" t="s">
        <v>20</v>
      </c>
    </row>
    <row r="1790" customFormat="false" ht="14.25" hidden="false" customHeight="true" outlineLevel="0" collapsed="false">
      <c r="B1790" s="9" t="s">
        <v>16</v>
      </c>
      <c r="C1790" s="9" t="n">
        <v>1185732</v>
      </c>
      <c r="D1790" s="10" t="n">
        <v>44518</v>
      </c>
      <c r="E1790" s="9" t="s">
        <v>38</v>
      </c>
      <c r="F1790" s="9" t="s">
        <v>78</v>
      </c>
      <c r="G1790" s="9" t="s">
        <v>79</v>
      </c>
      <c r="H1790" s="11" t="s">
        <v>25</v>
      </c>
      <c r="I1790" s="12" t="n">
        <v>50</v>
      </c>
      <c r="J1790" s="13" t="n">
        <v>400</v>
      </c>
      <c r="K1790" s="14" t="n">
        <f aca="false">I1790*J1790</f>
        <v>20000</v>
      </c>
      <c r="L1790" s="14" t="n">
        <f aca="false">($L$2*M1790)/100</f>
        <v>600833.25</v>
      </c>
      <c r="M1790" s="15" t="n">
        <v>0.5</v>
      </c>
      <c r="N1790" s="9" t="s">
        <v>20</v>
      </c>
    </row>
    <row r="1791" customFormat="false" ht="14.25" hidden="false" customHeight="true" outlineLevel="0" collapsed="false">
      <c r="B1791" s="9" t="s">
        <v>16</v>
      </c>
      <c r="C1791" s="9" t="n">
        <v>1185732</v>
      </c>
      <c r="D1791" s="10" t="n">
        <v>44547</v>
      </c>
      <c r="E1791" s="9" t="s">
        <v>38</v>
      </c>
      <c r="F1791" s="9" t="s">
        <v>78</v>
      </c>
      <c r="G1791" s="9" t="s">
        <v>79</v>
      </c>
      <c r="H1791" s="11" t="s">
        <v>19</v>
      </c>
      <c r="I1791" s="12" t="n">
        <v>45</v>
      </c>
      <c r="J1791" s="13" t="n">
        <v>650</v>
      </c>
      <c r="K1791" s="14" t="n">
        <f aca="false">I1791*J1791</f>
        <v>29250</v>
      </c>
      <c r="L1791" s="14" t="n">
        <f aca="false">($L$2*M1791)/100</f>
        <v>480666.6</v>
      </c>
      <c r="M1791" s="15" t="n">
        <v>0.4</v>
      </c>
      <c r="N1791" s="9" t="s">
        <v>20</v>
      </c>
    </row>
    <row r="1792" customFormat="false" ht="14.25" hidden="false" customHeight="true" outlineLevel="0" collapsed="false">
      <c r="B1792" s="9" t="s">
        <v>16</v>
      </c>
      <c r="C1792" s="9" t="n">
        <v>1185732</v>
      </c>
      <c r="D1792" s="10" t="n">
        <v>44547</v>
      </c>
      <c r="E1792" s="9" t="s">
        <v>38</v>
      </c>
      <c r="F1792" s="9" t="s">
        <v>78</v>
      </c>
      <c r="G1792" s="9" t="s">
        <v>79</v>
      </c>
      <c r="H1792" s="11" t="s">
        <v>21</v>
      </c>
      <c r="I1792" s="12" t="n">
        <v>35</v>
      </c>
      <c r="J1792" s="13" t="n">
        <v>450</v>
      </c>
      <c r="K1792" s="14" t="n">
        <f aca="false">I1792*J1792</f>
        <v>15750</v>
      </c>
      <c r="L1792" s="14" t="n">
        <f aca="false">($L$2*M1792)/100</f>
        <v>420583.275</v>
      </c>
      <c r="M1792" s="15" t="n">
        <v>0.35</v>
      </c>
      <c r="N1792" s="9" t="s">
        <v>20</v>
      </c>
    </row>
    <row r="1793" customFormat="false" ht="14.25" hidden="false" customHeight="true" outlineLevel="0" collapsed="false">
      <c r="B1793" s="9" t="s">
        <v>32</v>
      </c>
      <c r="C1793" s="9" t="n">
        <v>1185732</v>
      </c>
      <c r="D1793" s="10" t="n">
        <v>44547</v>
      </c>
      <c r="E1793" s="9" t="s">
        <v>38</v>
      </c>
      <c r="F1793" s="9" t="s">
        <v>78</v>
      </c>
      <c r="G1793" s="9" t="s">
        <v>79</v>
      </c>
      <c r="H1793" s="11" t="s">
        <v>22</v>
      </c>
      <c r="I1793" s="12" t="n">
        <v>35</v>
      </c>
      <c r="J1793" s="13" t="n">
        <v>400</v>
      </c>
      <c r="K1793" s="14" t="n">
        <f aca="false">I1793*J1793</f>
        <v>14000</v>
      </c>
      <c r="L1793" s="14" t="n">
        <f aca="false">($L$2*M1793)/100</f>
        <v>420583.275</v>
      </c>
      <c r="M1793" s="15" t="n">
        <v>0.35</v>
      </c>
      <c r="N1793" s="9" t="s">
        <v>20</v>
      </c>
    </row>
    <row r="1794" customFormat="false" ht="14.25" hidden="false" customHeight="true" outlineLevel="0" collapsed="false">
      <c r="B1794" s="9" t="s">
        <v>32</v>
      </c>
      <c r="C1794" s="9" t="n">
        <v>1185732</v>
      </c>
      <c r="D1794" s="10" t="n">
        <v>44547</v>
      </c>
      <c r="E1794" s="9" t="s">
        <v>38</v>
      </c>
      <c r="F1794" s="9" t="s">
        <v>78</v>
      </c>
      <c r="G1794" s="9" t="s">
        <v>79</v>
      </c>
      <c r="H1794" s="11" t="s">
        <v>23</v>
      </c>
      <c r="I1794" s="12" t="n">
        <v>35</v>
      </c>
      <c r="J1794" s="13" t="n">
        <v>350</v>
      </c>
      <c r="K1794" s="14" t="n">
        <f aca="false">I1794*J1794</f>
        <v>12250</v>
      </c>
      <c r="L1794" s="14" t="n">
        <f aca="false">($L$2*M1794)/100</f>
        <v>480666.6</v>
      </c>
      <c r="M1794" s="15" t="n">
        <v>0.4</v>
      </c>
      <c r="N1794" s="9" t="s">
        <v>20</v>
      </c>
    </row>
    <row r="1795" customFormat="false" ht="14.25" hidden="false" customHeight="true" outlineLevel="0" collapsed="false">
      <c r="B1795" s="9" t="s">
        <v>32</v>
      </c>
      <c r="C1795" s="9" t="n">
        <v>1185732</v>
      </c>
      <c r="D1795" s="10" t="n">
        <v>44547</v>
      </c>
      <c r="E1795" s="9" t="s">
        <v>38</v>
      </c>
      <c r="F1795" s="9" t="s">
        <v>78</v>
      </c>
      <c r="G1795" s="9" t="s">
        <v>79</v>
      </c>
      <c r="H1795" s="11" t="s">
        <v>24</v>
      </c>
      <c r="I1795" s="12" t="n">
        <v>45</v>
      </c>
      <c r="J1795" s="13" t="n">
        <v>350</v>
      </c>
      <c r="K1795" s="14" t="n">
        <f aca="false">I1795*J1795</f>
        <v>15750</v>
      </c>
      <c r="L1795" s="14" t="n">
        <f aca="false">($L$2*M1795)/100</f>
        <v>420583.275</v>
      </c>
      <c r="M1795" s="15" t="n">
        <v>0.35</v>
      </c>
      <c r="N1795" s="9" t="s">
        <v>20</v>
      </c>
    </row>
    <row r="1796" customFormat="false" ht="14.25" hidden="false" customHeight="true" outlineLevel="0" collapsed="false">
      <c r="B1796" s="9" t="s">
        <v>32</v>
      </c>
      <c r="C1796" s="9" t="n">
        <v>1185732</v>
      </c>
      <c r="D1796" s="10" t="n">
        <v>44547</v>
      </c>
      <c r="E1796" s="9" t="s">
        <v>38</v>
      </c>
      <c r="F1796" s="9" t="s">
        <v>78</v>
      </c>
      <c r="G1796" s="9" t="s">
        <v>79</v>
      </c>
      <c r="H1796" s="11" t="s">
        <v>25</v>
      </c>
      <c r="I1796" s="12" t="n">
        <v>50</v>
      </c>
      <c r="J1796" s="13" t="n">
        <v>450</v>
      </c>
      <c r="K1796" s="14" t="n">
        <f aca="false">I1796*J1796</f>
        <v>22500</v>
      </c>
      <c r="L1796" s="14" t="n">
        <f aca="false">($L$2*M1796)/100</f>
        <v>600833.25</v>
      </c>
      <c r="M1796" s="15" t="n">
        <v>0.5</v>
      </c>
      <c r="N1796" s="9" t="s">
        <v>20</v>
      </c>
    </row>
    <row r="1797" customFormat="false" ht="14.25" hidden="false" customHeight="true" outlineLevel="0" collapsed="false">
      <c r="B1797" s="9" t="s">
        <v>32</v>
      </c>
      <c r="C1797" s="9" t="n">
        <v>1185732</v>
      </c>
      <c r="D1797" s="10" t="n">
        <v>44207</v>
      </c>
      <c r="E1797" s="9" t="s">
        <v>38</v>
      </c>
      <c r="F1797" s="9" t="s">
        <v>78</v>
      </c>
      <c r="G1797" s="9" t="s">
        <v>79</v>
      </c>
      <c r="H1797" s="11" t="s">
        <v>19</v>
      </c>
      <c r="I1797" s="12" t="n">
        <v>25</v>
      </c>
      <c r="J1797" s="13" t="n">
        <v>675</v>
      </c>
      <c r="K1797" s="14" t="n">
        <f aca="false">I1797*J1797</f>
        <v>16875</v>
      </c>
      <c r="L1797" s="14" t="n">
        <f aca="false">($L$2*M1797)/100</f>
        <v>480666.6</v>
      </c>
      <c r="M1797" s="15" t="n">
        <v>0.4</v>
      </c>
      <c r="N1797" s="9" t="s">
        <v>20</v>
      </c>
    </row>
    <row r="1798" customFormat="false" ht="14.25" hidden="false" customHeight="true" outlineLevel="0" collapsed="false">
      <c r="B1798" s="9" t="s">
        <v>32</v>
      </c>
      <c r="C1798" s="9" t="n">
        <v>1185732</v>
      </c>
      <c r="D1798" s="10" t="n">
        <v>44207</v>
      </c>
      <c r="E1798" s="9" t="s">
        <v>38</v>
      </c>
      <c r="F1798" s="9" t="s">
        <v>78</v>
      </c>
      <c r="G1798" s="9" t="s">
        <v>79</v>
      </c>
      <c r="H1798" s="11" t="s">
        <v>21</v>
      </c>
      <c r="I1798" s="12" t="n">
        <v>25</v>
      </c>
      <c r="J1798" s="13" t="n">
        <v>475</v>
      </c>
      <c r="K1798" s="14" t="n">
        <f aca="false">I1798*J1798</f>
        <v>11875</v>
      </c>
      <c r="L1798" s="14" t="n">
        <f aca="false">($L$2*M1798)/100</f>
        <v>420583.275</v>
      </c>
      <c r="M1798" s="15" t="n">
        <v>0.35</v>
      </c>
      <c r="N1798" s="9" t="s">
        <v>20</v>
      </c>
    </row>
    <row r="1799" customFormat="false" ht="14.25" hidden="false" customHeight="true" outlineLevel="0" collapsed="false">
      <c r="B1799" s="9" t="s">
        <v>32</v>
      </c>
      <c r="C1799" s="9" t="n">
        <v>1185732</v>
      </c>
      <c r="D1799" s="10" t="n">
        <v>44207</v>
      </c>
      <c r="E1799" s="9" t="s">
        <v>38</v>
      </c>
      <c r="F1799" s="9" t="s">
        <v>78</v>
      </c>
      <c r="G1799" s="9" t="s">
        <v>79</v>
      </c>
      <c r="H1799" s="11" t="s">
        <v>22</v>
      </c>
      <c r="I1799" s="12" t="n">
        <v>15</v>
      </c>
      <c r="J1799" s="13" t="n">
        <v>475</v>
      </c>
      <c r="K1799" s="14" t="n">
        <f aca="false">I1799*J1799</f>
        <v>7125</v>
      </c>
      <c r="L1799" s="14" t="n">
        <f aca="false">($L$2*M1799)/100</f>
        <v>420583.275</v>
      </c>
      <c r="M1799" s="15" t="n">
        <v>0.35</v>
      </c>
      <c r="N1799" s="9" t="s">
        <v>20</v>
      </c>
    </row>
    <row r="1800" customFormat="false" ht="14.25" hidden="false" customHeight="true" outlineLevel="0" collapsed="false">
      <c r="B1800" s="9" t="s">
        <v>32</v>
      </c>
      <c r="C1800" s="9" t="n">
        <v>1185732</v>
      </c>
      <c r="D1800" s="10" t="n">
        <v>44207</v>
      </c>
      <c r="E1800" s="9" t="s">
        <v>38</v>
      </c>
      <c r="F1800" s="9" t="s">
        <v>78</v>
      </c>
      <c r="G1800" s="9" t="s">
        <v>79</v>
      </c>
      <c r="H1800" s="11" t="s">
        <v>23</v>
      </c>
      <c r="I1800" s="12" t="n">
        <v>20</v>
      </c>
      <c r="J1800" s="13" t="n">
        <v>325</v>
      </c>
      <c r="K1800" s="14" t="n">
        <f aca="false">I1800*J1800</f>
        <v>6500</v>
      </c>
      <c r="L1800" s="14" t="n">
        <f aca="false">($L$2*M1800)/100</f>
        <v>480666.6</v>
      </c>
      <c r="M1800" s="15" t="n">
        <v>0.4</v>
      </c>
      <c r="N1800" s="9" t="s">
        <v>20</v>
      </c>
    </row>
    <row r="1801" customFormat="false" ht="14.25" hidden="false" customHeight="true" outlineLevel="0" collapsed="false">
      <c r="B1801" s="9" t="s">
        <v>32</v>
      </c>
      <c r="C1801" s="9" t="n">
        <v>1185732</v>
      </c>
      <c r="D1801" s="10" t="n">
        <v>44207</v>
      </c>
      <c r="E1801" s="9" t="s">
        <v>38</v>
      </c>
      <c r="F1801" s="9" t="s">
        <v>78</v>
      </c>
      <c r="G1801" s="9" t="s">
        <v>79</v>
      </c>
      <c r="H1801" s="11" t="s">
        <v>24</v>
      </c>
      <c r="I1801" s="12" t="n">
        <v>35</v>
      </c>
      <c r="J1801" s="13" t="n">
        <v>375</v>
      </c>
      <c r="K1801" s="14" t="n">
        <f aca="false">I1801*J1801</f>
        <v>13125</v>
      </c>
      <c r="L1801" s="14" t="n">
        <f aca="false">($L$2*M1801)/100</f>
        <v>420583.275</v>
      </c>
      <c r="M1801" s="15" t="n">
        <v>0.35</v>
      </c>
      <c r="N1801" s="9" t="s">
        <v>20</v>
      </c>
    </row>
    <row r="1802" customFormat="false" ht="14.25" hidden="false" customHeight="true" outlineLevel="0" collapsed="false">
      <c r="B1802" s="9" t="s">
        <v>32</v>
      </c>
      <c r="C1802" s="9" t="n">
        <v>1185732</v>
      </c>
      <c r="D1802" s="10" t="n">
        <v>44207</v>
      </c>
      <c r="E1802" s="9" t="s">
        <v>38</v>
      </c>
      <c r="F1802" s="9" t="s">
        <v>78</v>
      </c>
      <c r="G1802" s="9" t="s">
        <v>79</v>
      </c>
      <c r="H1802" s="11" t="s">
        <v>25</v>
      </c>
      <c r="I1802" s="12" t="n">
        <v>25</v>
      </c>
      <c r="J1802" s="13" t="n">
        <v>475</v>
      </c>
      <c r="K1802" s="14" t="n">
        <f aca="false">I1802*J1802</f>
        <v>11875</v>
      </c>
      <c r="L1802" s="14" t="n">
        <f aca="false">($L$2*M1802)/100</f>
        <v>600833.25</v>
      </c>
      <c r="M1802" s="15" t="n">
        <v>0.5</v>
      </c>
      <c r="N1802" s="9" t="s">
        <v>20</v>
      </c>
    </row>
    <row r="1803" customFormat="false" ht="14.25" hidden="false" customHeight="true" outlineLevel="0" collapsed="false">
      <c r="B1803" s="9" t="s">
        <v>32</v>
      </c>
      <c r="C1803" s="9" t="n">
        <v>1185732</v>
      </c>
      <c r="D1803" s="10" t="n">
        <v>44238</v>
      </c>
      <c r="E1803" s="9" t="s">
        <v>38</v>
      </c>
      <c r="F1803" s="9" t="s">
        <v>78</v>
      </c>
      <c r="G1803" s="9" t="s">
        <v>79</v>
      </c>
      <c r="H1803" s="11" t="s">
        <v>19</v>
      </c>
      <c r="I1803" s="12" t="n">
        <v>25</v>
      </c>
      <c r="J1803" s="13" t="n">
        <v>725</v>
      </c>
      <c r="K1803" s="14" t="n">
        <f aca="false">I1803*J1803</f>
        <v>18125</v>
      </c>
      <c r="L1803" s="14" t="n">
        <f aca="false">($L$2*M1803)/100</f>
        <v>480666.6</v>
      </c>
      <c r="M1803" s="15" t="n">
        <v>0.4</v>
      </c>
      <c r="N1803" s="9" t="s">
        <v>20</v>
      </c>
    </row>
    <row r="1804" customFormat="false" ht="14.25" hidden="false" customHeight="true" outlineLevel="0" collapsed="false">
      <c r="B1804" s="9" t="s">
        <v>32</v>
      </c>
      <c r="C1804" s="9" t="n">
        <v>1185732</v>
      </c>
      <c r="D1804" s="10" t="n">
        <v>44238</v>
      </c>
      <c r="E1804" s="9" t="s">
        <v>38</v>
      </c>
      <c r="F1804" s="9" t="s">
        <v>78</v>
      </c>
      <c r="G1804" s="9" t="s">
        <v>79</v>
      </c>
      <c r="H1804" s="11" t="s">
        <v>21</v>
      </c>
      <c r="I1804" s="12" t="n">
        <v>25</v>
      </c>
      <c r="J1804" s="13" t="n">
        <v>375</v>
      </c>
      <c r="K1804" s="14" t="n">
        <f aca="false">I1804*J1804</f>
        <v>9375</v>
      </c>
      <c r="L1804" s="14" t="n">
        <f aca="false">($L$2*M1804)/100</f>
        <v>420583.275</v>
      </c>
      <c r="M1804" s="15" t="n">
        <v>0.35</v>
      </c>
      <c r="N1804" s="9" t="s">
        <v>20</v>
      </c>
    </row>
    <row r="1805" customFormat="false" ht="14.25" hidden="false" customHeight="true" outlineLevel="0" collapsed="false">
      <c r="B1805" s="9" t="s">
        <v>32</v>
      </c>
      <c r="C1805" s="9" t="n">
        <v>1185732</v>
      </c>
      <c r="D1805" s="10" t="n">
        <v>44238</v>
      </c>
      <c r="E1805" s="9" t="s">
        <v>38</v>
      </c>
      <c r="F1805" s="9" t="s">
        <v>78</v>
      </c>
      <c r="G1805" s="9" t="s">
        <v>79</v>
      </c>
      <c r="H1805" s="11" t="s">
        <v>22</v>
      </c>
      <c r="I1805" s="12" t="n">
        <v>15</v>
      </c>
      <c r="J1805" s="13" t="n">
        <v>425</v>
      </c>
      <c r="K1805" s="14" t="n">
        <f aca="false">I1805*J1805</f>
        <v>6375</v>
      </c>
      <c r="L1805" s="14" t="n">
        <f aca="false">($L$2*M1805)/100</f>
        <v>420583.275</v>
      </c>
      <c r="M1805" s="15" t="n">
        <v>0.35</v>
      </c>
      <c r="N1805" s="9" t="s">
        <v>20</v>
      </c>
    </row>
    <row r="1806" customFormat="false" ht="14.25" hidden="false" customHeight="true" outlineLevel="0" collapsed="false">
      <c r="B1806" s="9" t="s">
        <v>32</v>
      </c>
      <c r="C1806" s="9" t="n">
        <v>1185732</v>
      </c>
      <c r="D1806" s="10" t="n">
        <v>44238</v>
      </c>
      <c r="E1806" s="9" t="s">
        <v>33</v>
      </c>
      <c r="F1806" s="9" t="s">
        <v>80</v>
      </c>
      <c r="G1806" s="9" t="s">
        <v>81</v>
      </c>
      <c r="H1806" s="11" t="s">
        <v>23</v>
      </c>
      <c r="I1806" s="12" t="n">
        <v>20</v>
      </c>
      <c r="J1806" s="13" t="n">
        <v>300</v>
      </c>
      <c r="K1806" s="14" t="n">
        <f aca="false">I1806*J1806</f>
        <v>6000</v>
      </c>
      <c r="L1806" s="14" t="n">
        <f aca="false">($L$2*M1806)/100</f>
        <v>480666.6</v>
      </c>
      <c r="M1806" s="15" t="n">
        <v>0.4</v>
      </c>
      <c r="N1806" s="9" t="s">
        <v>20</v>
      </c>
    </row>
    <row r="1807" customFormat="false" ht="14.25" hidden="false" customHeight="true" outlineLevel="0" collapsed="false">
      <c r="B1807" s="9" t="s">
        <v>32</v>
      </c>
      <c r="C1807" s="9" t="n">
        <v>1185732</v>
      </c>
      <c r="D1807" s="10" t="n">
        <v>44238</v>
      </c>
      <c r="E1807" s="9" t="s">
        <v>33</v>
      </c>
      <c r="F1807" s="9" t="s">
        <v>80</v>
      </c>
      <c r="G1807" s="9" t="s">
        <v>81</v>
      </c>
      <c r="H1807" s="11" t="s">
        <v>24</v>
      </c>
      <c r="I1807" s="12" t="n">
        <v>35</v>
      </c>
      <c r="J1807" s="13" t="n">
        <v>375</v>
      </c>
      <c r="K1807" s="14" t="n">
        <f aca="false">I1807*J1807</f>
        <v>13125</v>
      </c>
      <c r="L1807" s="14" t="n">
        <f aca="false">($L$2*M1807)/100</f>
        <v>420583.275</v>
      </c>
      <c r="M1807" s="15" t="n">
        <v>0.35</v>
      </c>
      <c r="N1807" s="9" t="s">
        <v>20</v>
      </c>
    </row>
    <row r="1808" customFormat="false" ht="14.25" hidden="false" customHeight="true" outlineLevel="0" collapsed="false">
      <c r="B1808" s="9" t="s">
        <v>32</v>
      </c>
      <c r="C1808" s="9" t="n">
        <v>1185732</v>
      </c>
      <c r="D1808" s="10" t="n">
        <v>44238</v>
      </c>
      <c r="E1808" s="9" t="s">
        <v>33</v>
      </c>
      <c r="F1808" s="9" t="s">
        <v>80</v>
      </c>
      <c r="G1808" s="9" t="s">
        <v>81</v>
      </c>
      <c r="H1808" s="11" t="s">
        <v>25</v>
      </c>
      <c r="I1808" s="12" t="n">
        <v>25</v>
      </c>
      <c r="J1808" s="13" t="n">
        <v>450</v>
      </c>
      <c r="K1808" s="14" t="n">
        <f aca="false">I1808*J1808</f>
        <v>11250</v>
      </c>
      <c r="L1808" s="14" t="n">
        <f aca="false">($L$2*M1808)/100</f>
        <v>600833.25</v>
      </c>
      <c r="M1808" s="15" t="n">
        <v>0.5</v>
      </c>
      <c r="N1808" s="9" t="s">
        <v>20</v>
      </c>
    </row>
    <row r="1809" customFormat="false" ht="14.25" hidden="false" customHeight="true" outlineLevel="0" collapsed="false">
      <c r="B1809" s="9" t="s">
        <v>32</v>
      </c>
      <c r="C1809" s="9" t="n">
        <v>1185732</v>
      </c>
      <c r="D1809" s="10" t="n">
        <v>44265</v>
      </c>
      <c r="E1809" s="9" t="s">
        <v>33</v>
      </c>
      <c r="F1809" s="9" t="s">
        <v>80</v>
      </c>
      <c r="G1809" s="9" t="s">
        <v>81</v>
      </c>
      <c r="H1809" s="11" t="s">
        <v>19</v>
      </c>
      <c r="I1809" s="12" t="n">
        <v>30</v>
      </c>
      <c r="J1809" s="13" t="n">
        <v>670</v>
      </c>
      <c r="K1809" s="14" t="n">
        <f aca="false">I1809*J1809</f>
        <v>20100</v>
      </c>
      <c r="L1809" s="14" t="n">
        <f aca="false">($L$2*M1809)/100</f>
        <v>480666.6</v>
      </c>
      <c r="M1809" s="15" t="n">
        <v>0.4</v>
      </c>
      <c r="N1809" s="9" t="s">
        <v>20</v>
      </c>
    </row>
    <row r="1810" customFormat="false" ht="14.25" hidden="false" customHeight="true" outlineLevel="0" collapsed="false">
      <c r="B1810" s="9" t="s">
        <v>32</v>
      </c>
      <c r="C1810" s="9" t="n">
        <v>1185732</v>
      </c>
      <c r="D1810" s="10" t="n">
        <v>44265</v>
      </c>
      <c r="E1810" s="9" t="s">
        <v>33</v>
      </c>
      <c r="F1810" s="9" t="s">
        <v>80</v>
      </c>
      <c r="G1810" s="9" t="s">
        <v>81</v>
      </c>
      <c r="H1810" s="11" t="s">
        <v>21</v>
      </c>
      <c r="I1810" s="12" t="n">
        <v>30</v>
      </c>
      <c r="J1810" s="13" t="n">
        <v>350</v>
      </c>
      <c r="K1810" s="14" t="n">
        <f aca="false">I1810*J1810</f>
        <v>10500</v>
      </c>
      <c r="L1810" s="14" t="n">
        <f aca="false">($L$2*M1810)/100</f>
        <v>420583.275</v>
      </c>
      <c r="M1810" s="15" t="n">
        <v>0.35</v>
      </c>
      <c r="N1810" s="9" t="s">
        <v>20</v>
      </c>
    </row>
    <row r="1811" customFormat="false" ht="14.25" hidden="false" customHeight="true" outlineLevel="0" collapsed="false">
      <c r="B1811" s="9" t="s">
        <v>32</v>
      </c>
      <c r="C1811" s="9" t="n">
        <v>1185732</v>
      </c>
      <c r="D1811" s="10" t="n">
        <v>44265</v>
      </c>
      <c r="E1811" s="9" t="s">
        <v>33</v>
      </c>
      <c r="F1811" s="9" t="s">
        <v>80</v>
      </c>
      <c r="G1811" s="9" t="s">
        <v>81</v>
      </c>
      <c r="H1811" s="11" t="s">
        <v>22</v>
      </c>
      <c r="I1811" s="12" t="n">
        <v>20</v>
      </c>
      <c r="J1811" s="13" t="n">
        <v>400</v>
      </c>
      <c r="K1811" s="14" t="n">
        <f aca="false">I1811*J1811</f>
        <v>8000</v>
      </c>
      <c r="L1811" s="14" t="n">
        <f aca="false">($L$2*M1811)/100</f>
        <v>420583.275</v>
      </c>
      <c r="M1811" s="15" t="n">
        <v>0.35</v>
      </c>
      <c r="N1811" s="9" t="s">
        <v>20</v>
      </c>
    </row>
    <row r="1812" customFormat="false" ht="14.25" hidden="false" customHeight="true" outlineLevel="0" collapsed="false">
      <c r="B1812" s="9" t="s">
        <v>32</v>
      </c>
      <c r="C1812" s="9" t="n">
        <v>1185732</v>
      </c>
      <c r="D1812" s="10" t="n">
        <v>44265</v>
      </c>
      <c r="E1812" s="9" t="s">
        <v>33</v>
      </c>
      <c r="F1812" s="9" t="s">
        <v>80</v>
      </c>
      <c r="G1812" s="9" t="s">
        <v>81</v>
      </c>
      <c r="H1812" s="11" t="s">
        <v>23</v>
      </c>
      <c r="I1812" s="12" t="n">
        <v>25</v>
      </c>
      <c r="J1812" s="13" t="n">
        <v>250</v>
      </c>
      <c r="K1812" s="14" t="n">
        <f aca="false">I1812*J1812</f>
        <v>6250</v>
      </c>
      <c r="L1812" s="14" t="n">
        <f aca="false">($L$2*M1812)/100</f>
        <v>480666.6</v>
      </c>
      <c r="M1812" s="15" t="n">
        <v>0.4</v>
      </c>
      <c r="N1812" s="9" t="s">
        <v>20</v>
      </c>
    </row>
    <row r="1813" customFormat="false" ht="14.25" hidden="false" customHeight="true" outlineLevel="0" collapsed="false">
      <c r="B1813" s="9" t="s">
        <v>32</v>
      </c>
      <c r="C1813" s="9" t="n">
        <v>1185732</v>
      </c>
      <c r="D1813" s="10" t="n">
        <v>44265</v>
      </c>
      <c r="E1813" s="9" t="s">
        <v>33</v>
      </c>
      <c r="F1813" s="9" t="s">
        <v>80</v>
      </c>
      <c r="G1813" s="9" t="s">
        <v>81</v>
      </c>
      <c r="H1813" s="11" t="s">
        <v>24</v>
      </c>
      <c r="I1813" s="12" t="n">
        <v>40</v>
      </c>
      <c r="J1813" s="13" t="n">
        <v>300</v>
      </c>
      <c r="K1813" s="14" t="n">
        <f aca="false">I1813*J1813</f>
        <v>12000</v>
      </c>
      <c r="L1813" s="14" t="n">
        <f aca="false">($L$2*M1813)/100</f>
        <v>420583.275</v>
      </c>
      <c r="M1813" s="15" t="n">
        <v>0.35</v>
      </c>
      <c r="N1813" s="9" t="s">
        <v>20</v>
      </c>
    </row>
    <row r="1814" customFormat="false" ht="14.25" hidden="false" customHeight="true" outlineLevel="0" collapsed="false">
      <c r="B1814" s="9" t="s">
        <v>32</v>
      </c>
      <c r="C1814" s="9" t="n">
        <v>1185732</v>
      </c>
      <c r="D1814" s="10" t="n">
        <v>44265</v>
      </c>
      <c r="E1814" s="9" t="s">
        <v>33</v>
      </c>
      <c r="F1814" s="9" t="s">
        <v>80</v>
      </c>
      <c r="G1814" s="9" t="s">
        <v>81</v>
      </c>
      <c r="H1814" s="11" t="s">
        <v>25</v>
      </c>
      <c r="I1814" s="12" t="n">
        <v>30</v>
      </c>
      <c r="J1814" s="13" t="n">
        <v>400</v>
      </c>
      <c r="K1814" s="14" t="n">
        <f aca="false">I1814*J1814</f>
        <v>12000</v>
      </c>
      <c r="L1814" s="14" t="n">
        <f aca="false">($L$2*M1814)/100</f>
        <v>600833.25</v>
      </c>
      <c r="M1814" s="15" t="n">
        <v>0.5</v>
      </c>
      <c r="N1814" s="9" t="s">
        <v>20</v>
      </c>
    </row>
    <row r="1815" customFormat="false" ht="14.25" hidden="false" customHeight="true" outlineLevel="0" collapsed="false">
      <c r="B1815" s="9" t="s">
        <v>32</v>
      </c>
      <c r="C1815" s="9" t="n">
        <v>1185732</v>
      </c>
      <c r="D1815" s="10" t="n">
        <v>44297</v>
      </c>
      <c r="E1815" s="9" t="s">
        <v>33</v>
      </c>
      <c r="F1815" s="9" t="s">
        <v>80</v>
      </c>
      <c r="G1815" s="9" t="s">
        <v>81</v>
      </c>
      <c r="H1815" s="11" t="s">
        <v>19</v>
      </c>
      <c r="I1815" s="12" t="n">
        <v>30</v>
      </c>
      <c r="J1815" s="13" t="n">
        <v>625</v>
      </c>
      <c r="K1815" s="14" t="n">
        <f aca="false">I1815*J1815</f>
        <v>18750</v>
      </c>
      <c r="L1815" s="14" t="n">
        <f aca="false">($L$2*M1815)/100</f>
        <v>480666.6</v>
      </c>
      <c r="M1815" s="15" t="n">
        <v>0.4</v>
      </c>
      <c r="N1815" s="9" t="s">
        <v>20</v>
      </c>
    </row>
    <row r="1816" customFormat="false" ht="14.25" hidden="false" customHeight="true" outlineLevel="0" collapsed="false">
      <c r="B1816" s="9" t="s">
        <v>32</v>
      </c>
      <c r="C1816" s="9" t="n">
        <v>1185732</v>
      </c>
      <c r="D1816" s="10" t="n">
        <v>44297</v>
      </c>
      <c r="E1816" s="9" t="s">
        <v>33</v>
      </c>
      <c r="F1816" s="9" t="s">
        <v>80</v>
      </c>
      <c r="G1816" s="9" t="s">
        <v>81</v>
      </c>
      <c r="H1816" s="11" t="s">
        <v>21</v>
      </c>
      <c r="I1816" s="12" t="n">
        <v>25</v>
      </c>
      <c r="J1816" s="13" t="n">
        <v>325</v>
      </c>
      <c r="K1816" s="14" t="n">
        <f aca="false">I1816*J1816</f>
        <v>8125</v>
      </c>
      <c r="L1816" s="14" t="n">
        <f aca="false">($L$2*M1816)/100</f>
        <v>420583.275</v>
      </c>
      <c r="M1816" s="15" t="n">
        <v>0.35</v>
      </c>
      <c r="N1816" s="9" t="s">
        <v>20</v>
      </c>
    </row>
    <row r="1817" customFormat="false" ht="14.25" hidden="false" customHeight="true" outlineLevel="0" collapsed="false">
      <c r="B1817" s="9" t="s">
        <v>32</v>
      </c>
      <c r="C1817" s="9" t="n">
        <v>1185732</v>
      </c>
      <c r="D1817" s="10" t="n">
        <v>44297</v>
      </c>
      <c r="E1817" s="9" t="s">
        <v>33</v>
      </c>
      <c r="F1817" s="9" t="s">
        <v>80</v>
      </c>
      <c r="G1817" s="9" t="s">
        <v>81</v>
      </c>
      <c r="H1817" s="11" t="s">
        <v>22</v>
      </c>
      <c r="I1817" s="12" t="n">
        <v>15</v>
      </c>
      <c r="J1817" s="13" t="n">
        <v>325</v>
      </c>
      <c r="K1817" s="14" t="n">
        <f aca="false">I1817*J1817</f>
        <v>4875</v>
      </c>
      <c r="L1817" s="14" t="n">
        <f aca="false">($L$2*M1817)/100</f>
        <v>420583.275</v>
      </c>
      <c r="M1817" s="15" t="n">
        <v>0.35</v>
      </c>
      <c r="N1817" s="9" t="s">
        <v>20</v>
      </c>
    </row>
    <row r="1818" customFormat="false" ht="14.25" hidden="false" customHeight="true" outlineLevel="0" collapsed="false">
      <c r="B1818" s="9" t="s">
        <v>32</v>
      </c>
      <c r="C1818" s="9" t="n">
        <v>1185732</v>
      </c>
      <c r="D1818" s="10" t="n">
        <v>44297</v>
      </c>
      <c r="E1818" s="9" t="s">
        <v>33</v>
      </c>
      <c r="F1818" s="9" t="s">
        <v>80</v>
      </c>
      <c r="G1818" s="9" t="s">
        <v>81</v>
      </c>
      <c r="H1818" s="11" t="s">
        <v>23</v>
      </c>
      <c r="I1818" s="12" t="n">
        <v>20</v>
      </c>
      <c r="J1818" s="13" t="n">
        <v>250</v>
      </c>
      <c r="K1818" s="14" t="n">
        <f aca="false">I1818*J1818</f>
        <v>5000</v>
      </c>
      <c r="L1818" s="14" t="n">
        <f aca="false">($L$2*M1818)/100</f>
        <v>480666.6</v>
      </c>
      <c r="M1818" s="15" t="n">
        <v>0.4</v>
      </c>
      <c r="N1818" s="9" t="s">
        <v>20</v>
      </c>
    </row>
    <row r="1819" customFormat="false" ht="14.25" hidden="false" customHeight="true" outlineLevel="0" collapsed="false">
      <c r="B1819" s="9" t="s">
        <v>32</v>
      </c>
      <c r="C1819" s="9" t="n">
        <v>1185732</v>
      </c>
      <c r="D1819" s="10" t="n">
        <v>44297</v>
      </c>
      <c r="E1819" s="9" t="s">
        <v>33</v>
      </c>
      <c r="F1819" s="9" t="s">
        <v>80</v>
      </c>
      <c r="G1819" s="9" t="s">
        <v>81</v>
      </c>
      <c r="H1819" s="11" t="s">
        <v>24</v>
      </c>
      <c r="I1819" s="12" t="n">
        <v>35</v>
      </c>
      <c r="J1819" s="13" t="n">
        <v>275</v>
      </c>
      <c r="K1819" s="14" t="n">
        <f aca="false">I1819*J1819</f>
        <v>9625</v>
      </c>
      <c r="L1819" s="14" t="n">
        <f aca="false">($L$2*M1819)/100</f>
        <v>420583.275</v>
      </c>
      <c r="M1819" s="15" t="n">
        <v>0.35</v>
      </c>
      <c r="N1819" s="9" t="s">
        <v>20</v>
      </c>
    </row>
    <row r="1820" customFormat="false" ht="14.25" hidden="false" customHeight="true" outlineLevel="0" collapsed="false">
      <c r="B1820" s="9" t="s">
        <v>32</v>
      </c>
      <c r="C1820" s="9" t="n">
        <v>1185732</v>
      </c>
      <c r="D1820" s="10" t="n">
        <v>44297</v>
      </c>
      <c r="E1820" s="9" t="s">
        <v>33</v>
      </c>
      <c r="F1820" s="9" t="s">
        <v>80</v>
      </c>
      <c r="G1820" s="9" t="s">
        <v>81</v>
      </c>
      <c r="H1820" s="11" t="s">
        <v>25</v>
      </c>
      <c r="I1820" s="12" t="n">
        <v>25</v>
      </c>
      <c r="J1820" s="13" t="n">
        <v>400</v>
      </c>
      <c r="K1820" s="14" t="n">
        <f aca="false">I1820*J1820</f>
        <v>10000</v>
      </c>
      <c r="L1820" s="14" t="n">
        <f aca="false">($L$2*M1820)/100</f>
        <v>600833.25</v>
      </c>
      <c r="M1820" s="15" t="n">
        <v>0.5</v>
      </c>
      <c r="N1820" s="9" t="s">
        <v>20</v>
      </c>
    </row>
    <row r="1821" customFormat="false" ht="14.25" hidden="false" customHeight="true" outlineLevel="0" collapsed="false">
      <c r="B1821" s="9" t="s">
        <v>32</v>
      </c>
      <c r="C1821" s="9" t="n">
        <v>1185732</v>
      </c>
      <c r="D1821" s="10" t="n">
        <v>44328</v>
      </c>
      <c r="E1821" s="9" t="s">
        <v>33</v>
      </c>
      <c r="F1821" s="9" t="s">
        <v>80</v>
      </c>
      <c r="G1821" s="9" t="s">
        <v>81</v>
      </c>
      <c r="H1821" s="11" t="s">
        <v>19</v>
      </c>
      <c r="I1821" s="12" t="n">
        <v>35</v>
      </c>
      <c r="J1821" s="13" t="n">
        <v>670</v>
      </c>
      <c r="K1821" s="14" t="n">
        <f aca="false">I1821*J1821</f>
        <v>23450</v>
      </c>
      <c r="L1821" s="14" t="n">
        <f aca="false">($L$2*M1821)/100</f>
        <v>480666.6</v>
      </c>
      <c r="M1821" s="15" t="n">
        <v>0.4</v>
      </c>
      <c r="N1821" s="9" t="s">
        <v>20</v>
      </c>
    </row>
    <row r="1822" customFormat="false" ht="14.25" hidden="false" customHeight="true" outlineLevel="0" collapsed="false">
      <c r="B1822" s="9" t="s">
        <v>32</v>
      </c>
      <c r="C1822" s="9" t="n">
        <v>1185732</v>
      </c>
      <c r="D1822" s="10" t="n">
        <v>44328</v>
      </c>
      <c r="E1822" s="9" t="s">
        <v>33</v>
      </c>
      <c r="F1822" s="9" t="s">
        <v>80</v>
      </c>
      <c r="G1822" s="9" t="s">
        <v>81</v>
      </c>
      <c r="H1822" s="11" t="s">
        <v>21</v>
      </c>
      <c r="I1822" s="12" t="n">
        <v>30</v>
      </c>
      <c r="J1822" s="13" t="n">
        <v>375</v>
      </c>
      <c r="K1822" s="14" t="n">
        <f aca="false">I1822*J1822</f>
        <v>11250</v>
      </c>
      <c r="L1822" s="14" t="n">
        <f aca="false">($L$2*M1822)/100</f>
        <v>420583.275</v>
      </c>
      <c r="M1822" s="15" t="n">
        <v>0.35</v>
      </c>
      <c r="N1822" s="9" t="s">
        <v>20</v>
      </c>
    </row>
    <row r="1823" customFormat="false" ht="14.25" hidden="false" customHeight="true" outlineLevel="0" collapsed="false">
      <c r="B1823" s="9" t="s">
        <v>32</v>
      </c>
      <c r="C1823" s="9" t="n">
        <v>1185732</v>
      </c>
      <c r="D1823" s="10" t="n">
        <v>44328</v>
      </c>
      <c r="E1823" s="9" t="s">
        <v>33</v>
      </c>
      <c r="F1823" s="9" t="s">
        <v>80</v>
      </c>
      <c r="G1823" s="9" t="s">
        <v>81</v>
      </c>
      <c r="H1823" s="11" t="s">
        <v>22</v>
      </c>
      <c r="I1823" s="12" t="n">
        <v>25</v>
      </c>
      <c r="J1823" s="13" t="n">
        <v>350</v>
      </c>
      <c r="K1823" s="14" t="n">
        <f aca="false">I1823*J1823</f>
        <v>8750</v>
      </c>
      <c r="L1823" s="14" t="n">
        <f aca="false">($L$2*M1823)/100</f>
        <v>420583.275</v>
      </c>
      <c r="M1823" s="15" t="n">
        <v>0.35</v>
      </c>
      <c r="N1823" s="9" t="s">
        <v>20</v>
      </c>
    </row>
    <row r="1824" customFormat="false" ht="14.25" hidden="false" customHeight="true" outlineLevel="0" collapsed="false">
      <c r="B1824" s="9" t="s">
        <v>32</v>
      </c>
      <c r="C1824" s="9" t="n">
        <v>1185732</v>
      </c>
      <c r="D1824" s="10" t="n">
        <v>44328</v>
      </c>
      <c r="E1824" s="9" t="s">
        <v>33</v>
      </c>
      <c r="F1824" s="9" t="s">
        <v>80</v>
      </c>
      <c r="G1824" s="9" t="s">
        <v>81</v>
      </c>
      <c r="H1824" s="11" t="s">
        <v>23</v>
      </c>
      <c r="I1824" s="12" t="n">
        <v>25</v>
      </c>
      <c r="J1824" s="13" t="n">
        <v>275</v>
      </c>
      <c r="K1824" s="14" t="n">
        <f aca="false">I1824*J1824</f>
        <v>6875</v>
      </c>
      <c r="L1824" s="14" t="n">
        <f aca="false">($L$2*M1824)/100</f>
        <v>480666.6</v>
      </c>
      <c r="M1824" s="15" t="n">
        <v>0.4</v>
      </c>
      <c r="N1824" s="9" t="s">
        <v>20</v>
      </c>
    </row>
    <row r="1825" customFormat="false" ht="14.25" hidden="false" customHeight="true" outlineLevel="0" collapsed="false">
      <c r="B1825" s="9" t="s">
        <v>32</v>
      </c>
      <c r="C1825" s="9" t="n">
        <v>1185732</v>
      </c>
      <c r="D1825" s="10" t="n">
        <v>44328</v>
      </c>
      <c r="E1825" s="9" t="s">
        <v>33</v>
      </c>
      <c r="F1825" s="9" t="s">
        <v>80</v>
      </c>
      <c r="G1825" s="9" t="s">
        <v>81</v>
      </c>
      <c r="H1825" s="11" t="s">
        <v>24</v>
      </c>
      <c r="I1825" s="12" t="n">
        <v>40</v>
      </c>
      <c r="J1825" s="13" t="n">
        <v>300</v>
      </c>
      <c r="K1825" s="14" t="n">
        <f aca="false">I1825*J1825</f>
        <v>12000</v>
      </c>
      <c r="L1825" s="14" t="n">
        <f aca="false">($L$2*M1825)/100</f>
        <v>420583.275</v>
      </c>
      <c r="M1825" s="15" t="n">
        <v>0.35</v>
      </c>
      <c r="N1825" s="9" t="s">
        <v>20</v>
      </c>
    </row>
    <row r="1826" customFormat="false" ht="14.25" hidden="false" customHeight="true" outlineLevel="0" collapsed="false">
      <c r="B1826" s="9" t="s">
        <v>32</v>
      </c>
      <c r="C1826" s="9" t="n">
        <v>1185732</v>
      </c>
      <c r="D1826" s="10" t="n">
        <v>44328</v>
      </c>
      <c r="E1826" s="9" t="s">
        <v>33</v>
      </c>
      <c r="F1826" s="9" t="s">
        <v>80</v>
      </c>
      <c r="G1826" s="9" t="s">
        <v>81</v>
      </c>
      <c r="H1826" s="11" t="s">
        <v>25</v>
      </c>
      <c r="I1826" s="12" t="n">
        <v>45</v>
      </c>
      <c r="J1826" s="13" t="n">
        <v>400</v>
      </c>
      <c r="K1826" s="14" t="n">
        <f aca="false">I1826*J1826</f>
        <v>18000</v>
      </c>
      <c r="L1826" s="14" t="n">
        <f aca="false">($L$2*M1826)/100</f>
        <v>600833.25</v>
      </c>
      <c r="M1826" s="15" t="n">
        <v>0.5</v>
      </c>
      <c r="N1826" s="9" t="s">
        <v>20</v>
      </c>
    </row>
    <row r="1827" customFormat="false" ht="14.25" hidden="false" customHeight="true" outlineLevel="0" collapsed="false">
      <c r="B1827" s="9" t="s">
        <v>32</v>
      </c>
      <c r="C1827" s="9" t="n">
        <v>1185732</v>
      </c>
      <c r="D1827" s="10" t="n">
        <v>44358</v>
      </c>
      <c r="E1827" s="9" t="s">
        <v>33</v>
      </c>
      <c r="F1827" s="9" t="s">
        <v>80</v>
      </c>
      <c r="G1827" s="9" t="s">
        <v>81</v>
      </c>
      <c r="H1827" s="11" t="s">
        <v>19</v>
      </c>
      <c r="I1827" s="12" t="n">
        <v>30</v>
      </c>
      <c r="J1827" s="13" t="n">
        <v>650</v>
      </c>
      <c r="K1827" s="14" t="n">
        <f aca="false">I1827*J1827</f>
        <v>19500</v>
      </c>
      <c r="L1827" s="14" t="n">
        <f aca="false">($L$2*M1827)/100</f>
        <v>480666.6</v>
      </c>
      <c r="M1827" s="15" t="n">
        <v>0.4</v>
      </c>
      <c r="N1827" s="9" t="s">
        <v>20</v>
      </c>
    </row>
    <row r="1828" customFormat="false" ht="14.25" hidden="false" customHeight="true" outlineLevel="0" collapsed="false">
      <c r="B1828" s="9" t="s">
        <v>32</v>
      </c>
      <c r="C1828" s="9" t="n">
        <v>1185732</v>
      </c>
      <c r="D1828" s="10" t="n">
        <v>44358</v>
      </c>
      <c r="E1828" s="9" t="s">
        <v>33</v>
      </c>
      <c r="F1828" s="9" t="s">
        <v>80</v>
      </c>
      <c r="G1828" s="9" t="s">
        <v>81</v>
      </c>
      <c r="H1828" s="11" t="s">
        <v>21</v>
      </c>
      <c r="I1828" s="12" t="n">
        <v>25</v>
      </c>
      <c r="J1828" s="13" t="n">
        <v>400</v>
      </c>
      <c r="K1828" s="14" t="n">
        <f aca="false">I1828*J1828</f>
        <v>10000</v>
      </c>
      <c r="L1828" s="14" t="n">
        <f aca="false">($L$2*M1828)/100</f>
        <v>420583.275</v>
      </c>
      <c r="M1828" s="15" t="n">
        <v>0.35</v>
      </c>
      <c r="N1828" s="9" t="s">
        <v>20</v>
      </c>
    </row>
    <row r="1829" customFormat="false" ht="14.25" hidden="false" customHeight="true" outlineLevel="0" collapsed="false">
      <c r="B1829" s="9" t="s">
        <v>32</v>
      </c>
      <c r="C1829" s="9" t="n">
        <v>1185732</v>
      </c>
      <c r="D1829" s="10" t="n">
        <v>44358</v>
      </c>
      <c r="E1829" s="9" t="s">
        <v>33</v>
      </c>
      <c r="F1829" s="9" t="s">
        <v>80</v>
      </c>
      <c r="G1829" s="9" t="s">
        <v>81</v>
      </c>
      <c r="H1829" s="11" t="s">
        <v>22</v>
      </c>
      <c r="I1829" s="12" t="n">
        <v>20</v>
      </c>
      <c r="J1829" s="13" t="n">
        <v>425</v>
      </c>
      <c r="K1829" s="14" t="n">
        <f aca="false">I1829*J1829</f>
        <v>8500</v>
      </c>
      <c r="L1829" s="14" t="n">
        <f aca="false">($L$2*M1829)/100</f>
        <v>420583.275</v>
      </c>
      <c r="M1829" s="15" t="n">
        <v>0.35</v>
      </c>
      <c r="N1829" s="9" t="s">
        <v>20</v>
      </c>
    </row>
    <row r="1830" customFormat="false" ht="14.25" hidden="false" customHeight="true" outlineLevel="0" collapsed="false">
      <c r="B1830" s="9" t="s">
        <v>32</v>
      </c>
      <c r="C1830" s="9" t="n">
        <v>1185732</v>
      </c>
      <c r="D1830" s="10" t="n">
        <v>44358</v>
      </c>
      <c r="E1830" s="9" t="s">
        <v>33</v>
      </c>
      <c r="F1830" s="9" t="s">
        <v>80</v>
      </c>
      <c r="G1830" s="9" t="s">
        <v>81</v>
      </c>
      <c r="H1830" s="11" t="s">
        <v>23</v>
      </c>
      <c r="I1830" s="12" t="n">
        <v>20</v>
      </c>
      <c r="J1830" s="13" t="n">
        <v>400</v>
      </c>
      <c r="K1830" s="14" t="n">
        <f aca="false">I1830*J1830</f>
        <v>8000</v>
      </c>
      <c r="L1830" s="14" t="n">
        <f aca="false">($L$2*M1830)/100</f>
        <v>480666.6</v>
      </c>
      <c r="M1830" s="15" t="n">
        <v>0.4</v>
      </c>
      <c r="N1830" s="9" t="s">
        <v>20</v>
      </c>
    </row>
    <row r="1831" customFormat="false" ht="14.25" hidden="false" customHeight="true" outlineLevel="0" collapsed="false">
      <c r="B1831" s="9" t="s">
        <v>32</v>
      </c>
      <c r="C1831" s="9" t="n">
        <v>1185732</v>
      </c>
      <c r="D1831" s="10" t="n">
        <v>44358</v>
      </c>
      <c r="E1831" s="9" t="s">
        <v>33</v>
      </c>
      <c r="F1831" s="9" t="s">
        <v>80</v>
      </c>
      <c r="G1831" s="9" t="s">
        <v>81</v>
      </c>
      <c r="H1831" s="11" t="s">
        <v>24</v>
      </c>
      <c r="I1831" s="12" t="n">
        <v>35</v>
      </c>
      <c r="J1831" s="13" t="n">
        <v>400</v>
      </c>
      <c r="K1831" s="14" t="n">
        <f aca="false">I1831*J1831</f>
        <v>14000</v>
      </c>
      <c r="L1831" s="14" t="n">
        <f aca="false">($L$2*M1831)/100</f>
        <v>420583.275</v>
      </c>
      <c r="M1831" s="15" t="n">
        <v>0.35</v>
      </c>
      <c r="N1831" s="9" t="s">
        <v>20</v>
      </c>
    </row>
    <row r="1832" customFormat="false" ht="14.25" hidden="false" customHeight="true" outlineLevel="0" collapsed="false">
      <c r="B1832" s="9" t="s">
        <v>32</v>
      </c>
      <c r="C1832" s="9" t="n">
        <v>1185732</v>
      </c>
      <c r="D1832" s="10" t="n">
        <v>44358</v>
      </c>
      <c r="E1832" s="9" t="s">
        <v>33</v>
      </c>
      <c r="F1832" s="9" t="s">
        <v>80</v>
      </c>
      <c r="G1832" s="9" t="s">
        <v>81</v>
      </c>
      <c r="H1832" s="11" t="s">
        <v>25</v>
      </c>
      <c r="I1832" s="12" t="n">
        <v>40</v>
      </c>
      <c r="J1832" s="13" t="n">
        <v>575</v>
      </c>
      <c r="K1832" s="14" t="n">
        <f aca="false">I1832*J1832</f>
        <v>23000</v>
      </c>
      <c r="L1832" s="14" t="n">
        <f aca="false">($L$2*M1832)/100</f>
        <v>600833.25</v>
      </c>
      <c r="M1832" s="15" t="n">
        <v>0.5</v>
      </c>
      <c r="N1832" s="9" t="s">
        <v>20</v>
      </c>
    </row>
    <row r="1833" customFormat="false" ht="14.25" hidden="false" customHeight="true" outlineLevel="0" collapsed="false">
      <c r="B1833" s="9" t="s">
        <v>32</v>
      </c>
      <c r="C1833" s="9" t="n">
        <v>1185732</v>
      </c>
      <c r="D1833" s="10" t="n">
        <v>44387</v>
      </c>
      <c r="E1833" s="9" t="s">
        <v>33</v>
      </c>
      <c r="F1833" s="9" t="s">
        <v>80</v>
      </c>
      <c r="G1833" s="9" t="s">
        <v>81</v>
      </c>
      <c r="H1833" s="11" t="s">
        <v>19</v>
      </c>
      <c r="I1833" s="12" t="n">
        <v>35</v>
      </c>
      <c r="J1833" s="13" t="n">
        <v>800</v>
      </c>
      <c r="K1833" s="14" t="n">
        <f aca="false">I1833*J1833</f>
        <v>28000</v>
      </c>
      <c r="L1833" s="14" t="n">
        <f aca="false">($L$2*M1833)/100</f>
        <v>480666.6</v>
      </c>
      <c r="M1833" s="15" t="n">
        <v>0.4</v>
      </c>
      <c r="N1833" s="9" t="s">
        <v>20</v>
      </c>
    </row>
    <row r="1834" customFormat="false" ht="14.25" hidden="false" customHeight="true" outlineLevel="0" collapsed="false">
      <c r="B1834" s="9" t="s">
        <v>32</v>
      </c>
      <c r="C1834" s="9" t="n">
        <v>1185732</v>
      </c>
      <c r="D1834" s="10" t="n">
        <v>44387</v>
      </c>
      <c r="E1834" s="9" t="s">
        <v>33</v>
      </c>
      <c r="F1834" s="9" t="s">
        <v>80</v>
      </c>
      <c r="G1834" s="9" t="s">
        <v>81</v>
      </c>
      <c r="H1834" s="11" t="s">
        <v>21</v>
      </c>
      <c r="I1834" s="12" t="n">
        <v>30</v>
      </c>
      <c r="J1834" s="13" t="n">
        <v>550</v>
      </c>
      <c r="K1834" s="14" t="n">
        <f aca="false">I1834*J1834</f>
        <v>16500</v>
      </c>
      <c r="L1834" s="14" t="n">
        <f aca="false">($L$2*M1834)/100</f>
        <v>420583.275</v>
      </c>
      <c r="M1834" s="15" t="n">
        <v>0.35</v>
      </c>
      <c r="N1834" s="9" t="s">
        <v>20</v>
      </c>
    </row>
    <row r="1835" customFormat="false" ht="14.25" hidden="false" customHeight="true" outlineLevel="0" collapsed="false">
      <c r="B1835" s="9" t="s">
        <v>32</v>
      </c>
      <c r="C1835" s="9" t="n">
        <v>1185732</v>
      </c>
      <c r="D1835" s="10" t="n">
        <v>44387</v>
      </c>
      <c r="E1835" s="9" t="s">
        <v>33</v>
      </c>
      <c r="F1835" s="9" t="s">
        <v>80</v>
      </c>
      <c r="G1835" s="9" t="s">
        <v>81</v>
      </c>
      <c r="H1835" s="11" t="s">
        <v>22</v>
      </c>
      <c r="I1835" s="12" t="n">
        <v>25</v>
      </c>
      <c r="J1835" s="13" t="n">
        <v>475</v>
      </c>
      <c r="K1835" s="14" t="n">
        <f aca="false">I1835*J1835</f>
        <v>11875</v>
      </c>
      <c r="L1835" s="14" t="n">
        <f aca="false">($L$2*M1835)/100</f>
        <v>420583.275</v>
      </c>
      <c r="M1835" s="15" t="n">
        <v>0.35</v>
      </c>
      <c r="N1835" s="9" t="s">
        <v>20</v>
      </c>
    </row>
    <row r="1836" customFormat="false" ht="14.25" hidden="false" customHeight="true" outlineLevel="0" collapsed="false">
      <c r="B1836" s="9" t="s">
        <v>32</v>
      </c>
      <c r="C1836" s="9" t="n">
        <v>1185732</v>
      </c>
      <c r="D1836" s="10" t="n">
        <v>44387</v>
      </c>
      <c r="E1836" s="9" t="s">
        <v>33</v>
      </c>
      <c r="F1836" s="9" t="s">
        <v>80</v>
      </c>
      <c r="G1836" s="9" t="s">
        <v>81</v>
      </c>
      <c r="H1836" s="11" t="s">
        <v>23</v>
      </c>
      <c r="I1836" s="12" t="n">
        <v>25</v>
      </c>
      <c r="J1836" s="13" t="n">
        <v>425</v>
      </c>
      <c r="K1836" s="14" t="n">
        <f aca="false">I1836*J1836</f>
        <v>10625</v>
      </c>
      <c r="L1836" s="14" t="n">
        <f aca="false">($L$2*M1836)/100</f>
        <v>480666.6</v>
      </c>
      <c r="M1836" s="15" t="n">
        <v>0.4</v>
      </c>
      <c r="N1836" s="9" t="s">
        <v>20</v>
      </c>
    </row>
    <row r="1837" customFormat="false" ht="14.25" hidden="false" customHeight="true" outlineLevel="0" collapsed="false">
      <c r="B1837" s="9" t="s">
        <v>32</v>
      </c>
      <c r="C1837" s="9" t="n">
        <v>1185732</v>
      </c>
      <c r="D1837" s="10" t="n">
        <v>44387</v>
      </c>
      <c r="E1837" s="9" t="s">
        <v>33</v>
      </c>
      <c r="F1837" s="9" t="s">
        <v>80</v>
      </c>
      <c r="G1837" s="9" t="s">
        <v>81</v>
      </c>
      <c r="H1837" s="11" t="s">
        <v>24</v>
      </c>
      <c r="I1837" s="12" t="n">
        <v>35</v>
      </c>
      <c r="J1837" s="13" t="n">
        <v>425</v>
      </c>
      <c r="K1837" s="14" t="n">
        <f aca="false">I1837*J1837</f>
        <v>14875</v>
      </c>
      <c r="L1837" s="14" t="n">
        <f aca="false">($L$2*M1837)/100</f>
        <v>420583.275</v>
      </c>
      <c r="M1837" s="15" t="n">
        <v>0.35</v>
      </c>
      <c r="N1837" s="9" t="s">
        <v>20</v>
      </c>
    </row>
    <row r="1838" customFormat="false" ht="14.25" hidden="false" customHeight="true" outlineLevel="0" collapsed="false">
      <c r="B1838" s="9" t="s">
        <v>32</v>
      </c>
      <c r="C1838" s="9" t="n">
        <v>1185732</v>
      </c>
      <c r="D1838" s="10" t="n">
        <v>44387</v>
      </c>
      <c r="E1838" s="9" t="s">
        <v>33</v>
      </c>
      <c r="F1838" s="9" t="s">
        <v>80</v>
      </c>
      <c r="G1838" s="9" t="s">
        <v>81</v>
      </c>
      <c r="H1838" s="11" t="s">
        <v>25</v>
      </c>
      <c r="I1838" s="12" t="n">
        <v>40</v>
      </c>
      <c r="J1838" s="13" t="n">
        <v>600</v>
      </c>
      <c r="K1838" s="14" t="n">
        <f aca="false">I1838*J1838</f>
        <v>24000</v>
      </c>
      <c r="L1838" s="14" t="n">
        <f aca="false">($L$2*M1838)/100</f>
        <v>600833.25</v>
      </c>
      <c r="M1838" s="15" t="n">
        <v>0.5</v>
      </c>
      <c r="N1838" s="9" t="s">
        <v>20</v>
      </c>
    </row>
    <row r="1839" customFormat="false" ht="14.25" hidden="false" customHeight="true" outlineLevel="0" collapsed="false">
      <c r="B1839" s="9" t="s">
        <v>32</v>
      </c>
      <c r="C1839" s="9" t="n">
        <v>1185732</v>
      </c>
      <c r="D1839" s="10" t="n">
        <v>44419</v>
      </c>
      <c r="E1839" s="9" t="s">
        <v>33</v>
      </c>
      <c r="F1839" s="9" t="s">
        <v>80</v>
      </c>
      <c r="G1839" s="9" t="s">
        <v>81</v>
      </c>
      <c r="H1839" s="11" t="s">
        <v>19</v>
      </c>
      <c r="I1839" s="12" t="n">
        <v>35</v>
      </c>
      <c r="J1839" s="13" t="n">
        <v>750</v>
      </c>
      <c r="K1839" s="14" t="n">
        <f aca="false">I1839*J1839</f>
        <v>26250</v>
      </c>
      <c r="L1839" s="14" t="n">
        <f aca="false">($L$2*M1839)/100</f>
        <v>480666.6</v>
      </c>
      <c r="M1839" s="15" t="n">
        <v>0.4</v>
      </c>
      <c r="N1839" s="9" t="s">
        <v>20</v>
      </c>
    </row>
    <row r="1840" customFormat="false" ht="14.25" hidden="false" customHeight="true" outlineLevel="0" collapsed="false">
      <c r="B1840" s="9" t="s">
        <v>32</v>
      </c>
      <c r="C1840" s="9" t="n">
        <v>1185732</v>
      </c>
      <c r="D1840" s="10" t="n">
        <v>44419</v>
      </c>
      <c r="E1840" s="9" t="s">
        <v>33</v>
      </c>
      <c r="F1840" s="9" t="s">
        <v>80</v>
      </c>
      <c r="G1840" s="9" t="s">
        <v>81</v>
      </c>
      <c r="H1840" s="11" t="s">
        <v>21</v>
      </c>
      <c r="I1840" s="12" t="n">
        <v>35</v>
      </c>
      <c r="J1840" s="13" t="n">
        <v>525</v>
      </c>
      <c r="K1840" s="14" t="n">
        <f aca="false">I1840*J1840</f>
        <v>18375</v>
      </c>
      <c r="L1840" s="14" t="n">
        <f aca="false">($L$2*M1840)/100</f>
        <v>420583.275</v>
      </c>
      <c r="M1840" s="15" t="n">
        <v>0.35</v>
      </c>
      <c r="N1840" s="9" t="s">
        <v>20</v>
      </c>
    </row>
    <row r="1841" customFormat="false" ht="14.25" hidden="false" customHeight="true" outlineLevel="0" collapsed="false">
      <c r="B1841" s="9" t="s">
        <v>32</v>
      </c>
      <c r="C1841" s="9" t="n">
        <v>1185732</v>
      </c>
      <c r="D1841" s="10" t="n">
        <v>44419</v>
      </c>
      <c r="E1841" s="9" t="s">
        <v>33</v>
      </c>
      <c r="F1841" s="9" t="s">
        <v>80</v>
      </c>
      <c r="G1841" s="9" t="s">
        <v>81</v>
      </c>
      <c r="H1841" s="11" t="s">
        <v>22</v>
      </c>
      <c r="I1841" s="12" t="n">
        <v>30</v>
      </c>
      <c r="J1841" s="13" t="n">
        <v>450</v>
      </c>
      <c r="K1841" s="14" t="n">
        <f aca="false">I1841*J1841</f>
        <v>13500</v>
      </c>
      <c r="L1841" s="14" t="n">
        <f aca="false">($L$2*M1841)/100</f>
        <v>420583.275</v>
      </c>
      <c r="M1841" s="15" t="n">
        <v>0.35</v>
      </c>
      <c r="N1841" s="9" t="s">
        <v>20</v>
      </c>
    </row>
    <row r="1842" customFormat="false" ht="14.25" hidden="false" customHeight="true" outlineLevel="0" collapsed="false">
      <c r="B1842" s="9" t="s">
        <v>32</v>
      </c>
      <c r="C1842" s="9" t="n">
        <v>1185732</v>
      </c>
      <c r="D1842" s="10" t="n">
        <v>44419</v>
      </c>
      <c r="E1842" s="9" t="s">
        <v>33</v>
      </c>
      <c r="F1842" s="9" t="s">
        <v>80</v>
      </c>
      <c r="G1842" s="9" t="s">
        <v>81</v>
      </c>
      <c r="H1842" s="11" t="s">
        <v>23</v>
      </c>
      <c r="I1842" s="12" t="n">
        <v>20</v>
      </c>
      <c r="J1842" s="13" t="n">
        <v>375</v>
      </c>
      <c r="K1842" s="14" t="n">
        <f aca="false">I1842*J1842</f>
        <v>7500</v>
      </c>
      <c r="L1842" s="14" t="n">
        <f aca="false">($L$2*M1842)/100</f>
        <v>480666.6</v>
      </c>
      <c r="M1842" s="15" t="n">
        <v>0.4</v>
      </c>
      <c r="N1842" s="9" t="s">
        <v>20</v>
      </c>
    </row>
    <row r="1843" customFormat="false" ht="14.25" hidden="false" customHeight="true" outlineLevel="0" collapsed="false">
      <c r="B1843" s="9" t="s">
        <v>32</v>
      </c>
      <c r="C1843" s="9" t="n">
        <v>1185732</v>
      </c>
      <c r="D1843" s="10" t="n">
        <v>44419</v>
      </c>
      <c r="E1843" s="9" t="s">
        <v>33</v>
      </c>
      <c r="F1843" s="9" t="s">
        <v>80</v>
      </c>
      <c r="G1843" s="9" t="s">
        <v>81</v>
      </c>
      <c r="H1843" s="11" t="s">
        <v>24</v>
      </c>
      <c r="I1843" s="12" t="n">
        <v>30</v>
      </c>
      <c r="J1843" s="13" t="n">
        <v>350</v>
      </c>
      <c r="K1843" s="14" t="n">
        <f aca="false">I1843*J1843</f>
        <v>10500</v>
      </c>
      <c r="L1843" s="14" t="n">
        <f aca="false">($L$2*M1843)/100</f>
        <v>420583.275</v>
      </c>
      <c r="M1843" s="15" t="n">
        <v>0.35</v>
      </c>
      <c r="N1843" s="9" t="s">
        <v>20</v>
      </c>
    </row>
    <row r="1844" customFormat="false" ht="14.25" hidden="false" customHeight="true" outlineLevel="0" collapsed="false">
      <c r="B1844" s="9" t="s">
        <v>32</v>
      </c>
      <c r="C1844" s="9" t="n">
        <v>1185732</v>
      </c>
      <c r="D1844" s="10" t="n">
        <v>44419</v>
      </c>
      <c r="E1844" s="9" t="s">
        <v>33</v>
      </c>
      <c r="F1844" s="9" t="s">
        <v>80</v>
      </c>
      <c r="G1844" s="9" t="s">
        <v>81</v>
      </c>
      <c r="H1844" s="11" t="s">
        <v>25</v>
      </c>
      <c r="I1844" s="12" t="n">
        <v>35</v>
      </c>
      <c r="J1844" s="13" t="n">
        <v>525</v>
      </c>
      <c r="K1844" s="14" t="n">
        <f aca="false">I1844*J1844</f>
        <v>18375</v>
      </c>
      <c r="L1844" s="14" t="n">
        <f aca="false">($L$2*M1844)/100</f>
        <v>600833.25</v>
      </c>
      <c r="M1844" s="15" t="n">
        <v>0.5</v>
      </c>
      <c r="N1844" s="9" t="s">
        <v>20</v>
      </c>
    </row>
    <row r="1845" customFormat="false" ht="14.25" hidden="false" customHeight="true" outlineLevel="0" collapsed="false">
      <c r="B1845" s="9" t="s">
        <v>32</v>
      </c>
      <c r="C1845" s="9" t="n">
        <v>1185732</v>
      </c>
      <c r="D1845" s="10" t="n">
        <v>44451</v>
      </c>
      <c r="E1845" s="9" t="s">
        <v>33</v>
      </c>
      <c r="F1845" s="9" t="s">
        <v>80</v>
      </c>
      <c r="G1845" s="9" t="s">
        <v>81</v>
      </c>
      <c r="H1845" s="11" t="s">
        <v>19</v>
      </c>
      <c r="I1845" s="12" t="n">
        <v>30</v>
      </c>
      <c r="J1845" s="13" t="n">
        <v>650</v>
      </c>
      <c r="K1845" s="14" t="n">
        <f aca="false">I1845*J1845</f>
        <v>19500</v>
      </c>
      <c r="L1845" s="14" t="n">
        <f aca="false">($L$2*M1845)/100</f>
        <v>480666.6</v>
      </c>
      <c r="M1845" s="15" t="n">
        <v>0.4</v>
      </c>
      <c r="N1845" s="9" t="s">
        <v>20</v>
      </c>
    </row>
    <row r="1846" customFormat="false" ht="14.25" hidden="false" customHeight="true" outlineLevel="0" collapsed="false">
      <c r="B1846" s="9" t="s">
        <v>32</v>
      </c>
      <c r="C1846" s="9" t="n">
        <v>1185732</v>
      </c>
      <c r="D1846" s="10" t="n">
        <v>44451</v>
      </c>
      <c r="E1846" s="9" t="s">
        <v>33</v>
      </c>
      <c r="F1846" s="9" t="s">
        <v>80</v>
      </c>
      <c r="G1846" s="9" t="s">
        <v>81</v>
      </c>
      <c r="H1846" s="11" t="s">
        <v>21</v>
      </c>
      <c r="I1846" s="12" t="n">
        <v>25</v>
      </c>
      <c r="J1846" s="13" t="n">
        <v>450</v>
      </c>
      <c r="K1846" s="14" t="n">
        <f aca="false">I1846*J1846</f>
        <v>11250</v>
      </c>
      <c r="L1846" s="14" t="n">
        <f aca="false">($L$2*M1846)/100</f>
        <v>420583.275</v>
      </c>
      <c r="M1846" s="15" t="n">
        <v>0.35</v>
      </c>
      <c r="N1846" s="9" t="s">
        <v>20</v>
      </c>
    </row>
    <row r="1847" customFormat="false" ht="14.25" hidden="false" customHeight="true" outlineLevel="0" collapsed="false">
      <c r="B1847" s="9" t="s">
        <v>32</v>
      </c>
      <c r="C1847" s="9" t="n">
        <v>1185732</v>
      </c>
      <c r="D1847" s="10" t="n">
        <v>44451</v>
      </c>
      <c r="E1847" s="9" t="s">
        <v>33</v>
      </c>
      <c r="F1847" s="9" t="s">
        <v>80</v>
      </c>
      <c r="G1847" s="9" t="s">
        <v>81</v>
      </c>
      <c r="H1847" s="11" t="s">
        <v>22</v>
      </c>
      <c r="I1847" s="12" t="n">
        <v>10</v>
      </c>
      <c r="J1847" s="13" t="n">
        <v>350</v>
      </c>
      <c r="K1847" s="14" t="n">
        <f aca="false">I1847*J1847</f>
        <v>3500</v>
      </c>
      <c r="L1847" s="14" t="n">
        <f aca="false">($L$2*M1847)/100</f>
        <v>420583.275</v>
      </c>
      <c r="M1847" s="15" t="n">
        <v>0.35</v>
      </c>
      <c r="N1847" s="9" t="s">
        <v>20</v>
      </c>
    </row>
    <row r="1848" customFormat="false" ht="14.25" hidden="false" customHeight="true" outlineLevel="0" collapsed="false">
      <c r="B1848" s="9" t="s">
        <v>32</v>
      </c>
      <c r="C1848" s="9" t="n">
        <v>1185732</v>
      </c>
      <c r="D1848" s="10" t="n">
        <v>44451</v>
      </c>
      <c r="E1848" s="9" t="s">
        <v>33</v>
      </c>
      <c r="F1848" s="9" t="s">
        <v>80</v>
      </c>
      <c r="G1848" s="9" t="s">
        <v>81</v>
      </c>
      <c r="H1848" s="11" t="s">
        <v>23</v>
      </c>
      <c r="I1848" s="12" t="n">
        <v>10</v>
      </c>
      <c r="J1848" s="13" t="n">
        <v>325</v>
      </c>
      <c r="K1848" s="14" t="n">
        <f aca="false">I1848*J1848</f>
        <v>3250</v>
      </c>
      <c r="L1848" s="14" t="n">
        <f aca="false">($L$2*M1848)/100</f>
        <v>480666.6</v>
      </c>
      <c r="M1848" s="15" t="n">
        <v>0.4</v>
      </c>
      <c r="N1848" s="9" t="s">
        <v>20</v>
      </c>
    </row>
    <row r="1849" customFormat="false" ht="14.25" hidden="false" customHeight="true" outlineLevel="0" collapsed="false">
      <c r="B1849" s="9" t="s">
        <v>32</v>
      </c>
      <c r="C1849" s="9" t="n">
        <v>1185732</v>
      </c>
      <c r="D1849" s="10" t="n">
        <v>44451</v>
      </c>
      <c r="E1849" s="9" t="s">
        <v>33</v>
      </c>
      <c r="F1849" s="9" t="s">
        <v>80</v>
      </c>
      <c r="G1849" s="9" t="s">
        <v>81</v>
      </c>
      <c r="H1849" s="11" t="s">
        <v>24</v>
      </c>
      <c r="I1849" s="12" t="n">
        <v>20</v>
      </c>
      <c r="J1849" s="13" t="n">
        <v>325</v>
      </c>
      <c r="K1849" s="14" t="n">
        <f aca="false">I1849*J1849</f>
        <v>6500</v>
      </c>
      <c r="L1849" s="14" t="n">
        <f aca="false">($L$2*M1849)/100</f>
        <v>420583.275</v>
      </c>
      <c r="M1849" s="15" t="n">
        <v>0.35</v>
      </c>
      <c r="N1849" s="9" t="s">
        <v>20</v>
      </c>
    </row>
    <row r="1850" customFormat="false" ht="14.25" hidden="false" customHeight="true" outlineLevel="0" collapsed="false">
      <c r="B1850" s="9" t="s">
        <v>32</v>
      </c>
      <c r="C1850" s="9" t="n">
        <v>1185732</v>
      </c>
      <c r="D1850" s="10" t="n">
        <v>44451</v>
      </c>
      <c r="E1850" s="9" t="s">
        <v>33</v>
      </c>
      <c r="F1850" s="9" t="s">
        <v>80</v>
      </c>
      <c r="G1850" s="9" t="s">
        <v>81</v>
      </c>
      <c r="H1850" s="11" t="s">
        <v>25</v>
      </c>
      <c r="I1850" s="12" t="n">
        <v>25</v>
      </c>
      <c r="J1850" s="13" t="n">
        <v>400</v>
      </c>
      <c r="K1850" s="14" t="n">
        <f aca="false">I1850*J1850</f>
        <v>10000</v>
      </c>
      <c r="L1850" s="14" t="n">
        <f aca="false">($L$2*M1850)/100</f>
        <v>600833.25</v>
      </c>
      <c r="M1850" s="15" t="n">
        <v>0.5</v>
      </c>
      <c r="N1850" s="9" t="s">
        <v>20</v>
      </c>
    </row>
    <row r="1851" customFormat="false" ht="14.25" hidden="false" customHeight="true" outlineLevel="0" collapsed="false">
      <c r="B1851" s="9" t="s">
        <v>32</v>
      </c>
      <c r="C1851" s="9" t="n">
        <v>1185732</v>
      </c>
      <c r="D1851" s="10" t="n">
        <v>44480</v>
      </c>
      <c r="E1851" s="9" t="s">
        <v>33</v>
      </c>
      <c r="F1851" s="9" t="s">
        <v>80</v>
      </c>
      <c r="G1851" s="9" t="s">
        <v>81</v>
      </c>
      <c r="H1851" s="11" t="s">
        <v>19</v>
      </c>
      <c r="I1851" s="12" t="n">
        <v>30</v>
      </c>
      <c r="J1851" s="13" t="n">
        <v>575</v>
      </c>
      <c r="K1851" s="14" t="n">
        <f aca="false">I1851*J1851</f>
        <v>17250</v>
      </c>
      <c r="L1851" s="14" t="n">
        <f aca="false">($L$2*M1851)/100</f>
        <v>480666.6</v>
      </c>
      <c r="M1851" s="15" t="n">
        <v>0.4</v>
      </c>
      <c r="N1851" s="9" t="s">
        <v>20</v>
      </c>
    </row>
    <row r="1852" customFormat="false" ht="14.25" hidden="false" customHeight="true" outlineLevel="0" collapsed="false">
      <c r="B1852" s="9" t="s">
        <v>32</v>
      </c>
      <c r="C1852" s="9" t="n">
        <v>1185732</v>
      </c>
      <c r="D1852" s="10" t="n">
        <v>44480</v>
      </c>
      <c r="E1852" s="9" t="s">
        <v>33</v>
      </c>
      <c r="F1852" s="9" t="s">
        <v>80</v>
      </c>
      <c r="G1852" s="9" t="s">
        <v>81</v>
      </c>
      <c r="H1852" s="11" t="s">
        <v>21</v>
      </c>
      <c r="I1852" s="12" t="n">
        <v>20</v>
      </c>
      <c r="J1852" s="13" t="n">
        <v>400</v>
      </c>
      <c r="K1852" s="14" t="n">
        <f aca="false">I1852*J1852</f>
        <v>8000</v>
      </c>
      <c r="L1852" s="14" t="n">
        <f aca="false">($L$2*M1852)/100</f>
        <v>420583.275</v>
      </c>
      <c r="M1852" s="15" t="n">
        <v>0.35</v>
      </c>
      <c r="N1852" s="9" t="s">
        <v>20</v>
      </c>
    </row>
    <row r="1853" customFormat="false" ht="14.25" hidden="false" customHeight="true" outlineLevel="0" collapsed="false">
      <c r="B1853" s="9" t="s">
        <v>32</v>
      </c>
      <c r="C1853" s="9" t="n">
        <v>1185732</v>
      </c>
      <c r="D1853" s="10" t="n">
        <v>44480</v>
      </c>
      <c r="E1853" s="9" t="s">
        <v>33</v>
      </c>
      <c r="F1853" s="9" t="s">
        <v>80</v>
      </c>
      <c r="G1853" s="9" t="s">
        <v>81</v>
      </c>
      <c r="H1853" s="11" t="s">
        <v>22</v>
      </c>
      <c r="I1853" s="12" t="n">
        <v>20</v>
      </c>
      <c r="J1853" s="13" t="n">
        <v>300</v>
      </c>
      <c r="K1853" s="14" t="n">
        <f aca="false">I1853*J1853</f>
        <v>6000</v>
      </c>
      <c r="L1853" s="14" t="n">
        <f aca="false">($L$2*M1853)/100</f>
        <v>420583.275</v>
      </c>
      <c r="M1853" s="15" t="n">
        <v>0.35</v>
      </c>
      <c r="N1853" s="9" t="s">
        <v>20</v>
      </c>
    </row>
    <row r="1854" customFormat="false" ht="14.25" hidden="false" customHeight="true" outlineLevel="0" collapsed="false">
      <c r="B1854" s="9" t="s">
        <v>32</v>
      </c>
      <c r="C1854" s="9" t="n">
        <v>1185732</v>
      </c>
      <c r="D1854" s="10" t="n">
        <v>44480</v>
      </c>
      <c r="E1854" s="9" t="s">
        <v>33</v>
      </c>
      <c r="F1854" s="9" t="s">
        <v>80</v>
      </c>
      <c r="G1854" s="9" t="s">
        <v>81</v>
      </c>
      <c r="H1854" s="11" t="s">
        <v>23</v>
      </c>
      <c r="I1854" s="12" t="n">
        <v>20</v>
      </c>
      <c r="J1854" s="13" t="n">
        <v>275</v>
      </c>
      <c r="K1854" s="14" t="n">
        <f aca="false">I1854*J1854</f>
        <v>5500</v>
      </c>
      <c r="L1854" s="14" t="n">
        <f aca="false">($L$2*M1854)/100</f>
        <v>480666.6</v>
      </c>
      <c r="M1854" s="15" t="n">
        <v>0.4</v>
      </c>
      <c r="N1854" s="9" t="s">
        <v>20</v>
      </c>
    </row>
    <row r="1855" customFormat="false" ht="14.25" hidden="false" customHeight="true" outlineLevel="0" collapsed="false">
      <c r="B1855" s="9" t="s">
        <v>32</v>
      </c>
      <c r="C1855" s="9" t="n">
        <v>1185732</v>
      </c>
      <c r="D1855" s="10" t="n">
        <v>44480</v>
      </c>
      <c r="E1855" s="9" t="s">
        <v>33</v>
      </c>
      <c r="F1855" s="9" t="s">
        <v>80</v>
      </c>
      <c r="G1855" s="9" t="s">
        <v>81</v>
      </c>
      <c r="H1855" s="11" t="s">
        <v>24</v>
      </c>
      <c r="I1855" s="12" t="n">
        <v>30</v>
      </c>
      <c r="J1855" s="13" t="n">
        <v>275</v>
      </c>
      <c r="K1855" s="14" t="n">
        <f aca="false">I1855*J1855</f>
        <v>8250</v>
      </c>
      <c r="L1855" s="14" t="n">
        <f aca="false">($L$2*M1855)/100</f>
        <v>420583.275</v>
      </c>
      <c r="M1855" s="15" t="n">
        <v>0.35</v>
      </c>
      <c r="N1855" s="9" t="s">
        <v>20</v>
      </c>
    </row>
    <row r="1856" customFormat="false" ht="14.25" hidden="false" customHeight="true" outlineLevel="0" collapsed="false">
      <c r="B1856" s="9" t="s">
        <v>32</v>
      </c>
      <c r="C1856" s="9" t="n">
        <v>1185732</v>
      </c>
      <c r="D1856" s="10" t="n">
        <v>44480</v>
      </c>
      <c r="E1856" s="9" t="s">
        <v>33</v>
      </c>
      <c r="F1856" s="9" t="s">
        <v>80</v>
      </c>
      <c r="G1856" s="9" t="s">
        <v>81</v>
      </c>
      <c r="H1856" s="11" t="s">
        <v>25</v>
      </c>
      <c r="I1856" s="12" t="n">
        <v>35</v>
      </c>
      <c r="J1856" s="13" t="n">
        <v>400</v>
      </c>
      <c r="K1856" s="14" t="n">
        <f aca="false">I1856*J1856</f>
        <v>14000</v>
      </c>
      <c r="L1856" s="14" t="n">
        <f aca="false">($L$2*M1856)/100</f>
        <v>600833.25</v>
      </c>
      <c r="M1856" s="15" t="n">
        <v>0.5</v>
      </c>
      <c r="N1856" s="9" t="s">
        <v>20</v>
      </c>
    </row>
    <row r="1857" customFormat="false" ht="14.25" hidden="false" customHeight="true" outlineLevel="0" collapsed="false">
      <c r="B1857" s="9" t="s">
        <v>32</v>
      </c>
      <c r="C1857" s="9" t="n">
        <v>1185732</v>
      </c>
      <c r="D1857" s="10" t="n">
        <v>44511</v>
      </c>
      <c r="E1857" s="9" t="s">
        <v>33</v>
      </c>
      <c r="F1857" s="9" t="s">
        <v>80</v>
      </c>
      <c r="G1857" s="9" t="s">
        <v>81</v>
      </c>
      <c r="H1857" s="11" t="s">
        <v>19</v>
      </c>
      <c r="I1857" s="12" t="n">
        <v>30</v>
      </c>
      <c r="J1857" s="13" t="n">
        <v>550</v>
      </c>
      <c r="K1857" s="14" t="n">
        <f aca="false">I1857*J1857</f>
        <v>16500</v>
      </c>
      <c r="L1857" s="14" t="n">
        <f aca="false">($L$2*M1857)/100</f>
        <v>480666.6</v>
      </c>
      <c r="M1857" s="15" t="n">
        <v>0.4</v>
      </c>
      <c r="N1857" s="9" t="s">
        <v>20</v>
      </c>
    </row>
    <row r="1858" customFormat="false" ht="14.25" hidden="false" customHeight="true" outlineLevel="0" collapsed="false">
      <c r="B1858" s="9" t="s">
        <v>32</v>
      </c>
      <c r="C1858" s="9" t="n">
        <v>1185732</v>
      </c>
      <c r="D1858" s="10" t="n">
        <v>44511</v>
      </c>
      <c r="E1858" s="9" t="s">
        <v>33</v>
      </c>
      <c r="F1858" s="9" t="s">
        <v>80</v>
      </c>
      <c r="G1858" s="9" t="s">
        <v>81</v>
      </c>
      <c r="H1858" s="11" t="s">
        <v>21</v>
      </c>
      <c r="I1858" s="12" t="n">
        <v>20</v>
      </c>
      <c r="J1858" s="13" t="n">
        <v>400</v>
      </c>
      <c r="K1858" s="14" t="n">
        <f aca="false">I1858*J1858</f>
        <v>8000</v>
      </c>
      <c r="L1858" s="14" t="n">
        <f aca="false">($L$2*M1858)/100</f>
        <v>420583.275</v>
      </c>
      <c r="M1858" s="15" t="n">
        <v>0.35</v>
      </c>
      <c r="N1858" s="9" t="s">
        <v>20</v>
      </c>
    </row>
    <row r="1859" customFormat="false" ht="14.25" hidden="false" customHeight="true" outlineLevel="0" collapsed="false">
      <c r="B1859" s="9" t="s">
        <v>32</v>
      </c>
      <c r="C1859" s="9" t="n">
        <v>1185732</v>
      </c>
      <c r="D1859" s="10" t="n">
        <v>44511</v>
      </c>
      <c r="E1859" s="9" t="s">
        <v>33</v>
      </c>
      <c r="F1859" s="9" t="s">
        <v>80</v>
      </c>
      <c r="G1859" s="9" t="s">
        <v>81</v>
      </c>
      <c r="H1859" s="11" t="s">
        <v>22</v>
      </c>
      <c r="I1859" s="12" t="n">
        <v>20</v>
      </c>
      <c r="J1859" s="13" t="n">
        <v>345</v>
      </c>
      <c r="K1859" s="14" t="n">
        <f aca="false">I1859*J1859</f>
        <v>6900</v>
      </c>
      <c r="L1859" s="14" t="n">
        <f aca="false">($L$2*M1859)/100</f>
        <v>420583.275</v>
      </c>
      <c r="M1859" s="15" t="n">
        <v>0.35</v>
      </c>
      <c r="N1859" s="9" t="s">
        <v>20</v>
      </c>
    </row>
    <row r="1860" customFormat="false" ht="14.25" hidden="false" customHeight="true" outlineLevel="0" collapsed="false">
      <c r="B1860" s="9" t="s">
        <v>32</v>
      </c>
      <c r="C1860" s="9" t="n">
        <v>1185732</v>
      </c>
      <c r="D1860" s="10" t="n">
        <v>44511</v>
      </c>
      <c r="E1860" s="9" t="s">
        <v>33</v>
      </c>
      <c r="F1860" s="9" t="s">
        <v>80</v>
      </c>
      <c r="G1860" s="9" t="s">
        <v>81</v>
      </c>
      <c r="H1860" s="11" t="s">
        <v>23</v>
      </c>
      <c r="I1860" s="12" t="n">
        <v>20</v>
      </c>
      <c r="J1860" s="13" t="n">
        <v>375</v>
      </c>
      <c r="K1860" s="14" t="n">
        <f aca="false">I1860*J1860</f>
        <v>7500</v>
      </c>
      <c r="L1860" s="14" t="n">
        <f aca="false">($L$2*M1860)/100</f>
        <v>480666.6</v>
      </c>
      <c r="M1860" s="15" t="n">
        <v>0.4</v>
      </c>
      <c r="N1860" s="9" t="s">
        <v>20</v>
      </c>
    </row>
    <row r="1861" customFormat="false" ht="14.25" hidden="false" customHeight="true" outlineLevel="0" collapsed="false">
      <c r="B1861" s="9" t="s">
        <v>32</v>
      </c>
      <c r="C1861" s="9" t="n">
        <v>1185732</v>
      </c>
      <c r="D1861" s="10" t="n">
        <v>44511</v>
      </c>
      <c r="E1861" s="9" t="s">
        <v>33</v>
      </c>
      <c r="F1861" s="9" t="s">
        <v>80</v>
      </c>
      <c r="G1861" s="9" t="s">
        <v>81</v>
      </c>
      <c r="H1861" s="11" t="s">
        <v>24</v>
      </c>
      <c r="I1861" s="12" t="n">
        <v>40</v>
      </c>
      <c r="J1861" s="13" t="n">
        <v>350</v>
      </c>
      <c r="K1861" s="14" t="n">
        <f aca="false">I1861*J1861</f>
        <v>14000</v>
      </c>
      <c r="L1861" s="14" t="n">
        <f aca="false">($L$2*M1861)/100</f>
        <v>420583.275</v>
      </c>
      <c r="M1861" s="15" t="n">
        <v>0.35</v>
      </c>
      <c r="N1861" s="9" t="s">
        <v>20</v>
      </c>
    </row>
    <row r="1862" customFormat="false" ht="14.25" hidden="false" customHeight="true" outlineLevel="0" collapsed="false">
      <c r="B1862" s="9" t="s">
        <v>32</v>
      </c>
      <c r="C1862" s="9" t="n">
        <v>1185732</v>
      </c>
      <c r="D1862" s="10" t="n">
        <v>44511</v>
      </c>
      <c r="E1862" s="9" t="s">
        <v>33</v>
      </c>
      <c r="F1862" s="9" t="s">
        <v>80</v>
      </c>
      <c r="G1862" s="9" t="s">
        <v>81</v>
      </c>
      <c r="H1862" s="11" t="s">
        <v>25</v>
      </c>
      <c r="I1862" s="12" t="n">
        <v>45</v>
      </c>
      <c r="J1862" s="13" t="n">
        <v>450</v>
      </c>
      <c r="K1862" s="14" t="n">
        <f aca="false">I1862*J1862</f>
        <v>20250</v>
      </c>
      <c r="L1862" s="14" t="n">
        <f aca="false">($L$2*M1862)/100</f>
        <v>600833.25</v>
      </c>
      <c r="M1862" s="15" t="n">
        <v>0.5</v>
      </c>
      <c r="N1862" s="9" t="s">
        <v>20</v>
      </c>
    </row>
    <row r="1863" customFormat="false" ht="14.25" hidden="false" customHeight="true" outlineLevel="0" collapsed="false">
      <c r="B1863" s="9" t="s">
        <v>32</v>
      </c>
      <c r="C1863" s="9" t="n">
        <v>1185732</v>
      </c>
      <c r="D1863" s="10" t="n">
        <v>44540</v>
      </c>
      <c r="E1863" s="9" t="s">
        <v>33</v>
      </c>
      <c r="F1863" s="9" t="s">
        <v>80</v>
      </c>
      <c r="G1863" s="9" t="s">
        <v>81</v>
      </c>
      <c r="H1863" s="11" t="s">
        <v>19</v>
      </c>
      <c r="I1863" s="12" t="n">
        <v>40</v>
      </c>
      <c r="J1863" s="13" t="n">
        <v>700</v>
      </c>
      <c r="K1863" s="14" t="n">
        <f aca="false">I1863*J1863</f>
        <v>28000</v>
      </c>
      <c r="L1863" s="14" t="n">
        <f aca="false">($L$2*M1863)/100</f>
        <v>480666.6</v>
      </c>
      <c r="M1863" s="15" t="n">
        <v>0.4</v>
      </c>
      <c r="N1863" s="9" t="s">
        <v>20</v>
      </c>
    </row>
    <row r="1864" customFormat="false" ht="14.25" hidden="false" customHeight="true" outlineLevel="0" collapsed="false">
      <c r="B1864" s="9" t="s">
        <v>32</v>
      </c>
      <c r="C1864" s="9" t="n">
        <v>1185732</v>
      </c>
      <c r="D1864" s="10" t="n">
        <v>44540</v>
      </c>
      <c r="E1864" s="9" t="s">
        <v>33</v>
      </c>
      <c r="F1864" s="9" t="s">
        <v>80</v>
      </c>
      <c r="G1864" s="9" t="s">
        <v>81</v>
      </c>
      <c r="H1864" s="11" t="s">
        <v>21</v>
      </c>
      <c r="I1864" s="12" t="n">
        <v>30</v>
      </c>
      <c r="J1864" s="13" t="n">
        <v>500</v>
      </c>
      <c r="K1864" s="14" t="n">
        <f aca="false">I1864*J1864</f>
        <v>15000</v>
      </c>
      <c r="L1864" s="14" t="n">
        <f aca="false">($L$2*M1864)/100</f>
        <v>420583.275</v>
      </c>
      <c r="M1864" s="15" t="n">
        <v>0.35</v>
      </c>
      <c r="N1864" s="9" t="s">
        <v>20</v>
      </c>
    </row>
    <row r="1865" customFormat="false" ht="14.25" hidden="false" customHeight="true" outlineLevel="0" collapsed="false">
      <c r="B1865" s="9" t="s">
        <v>32</v>
      </c>
      <c r="C1865" s="9" t="n">
        <v>1185732</v>
      </c>
      <c r="D1865" s="10" t="n">
        <v>44540</v>
      </c>
      <c r="E1865" s="9" t="s">
        <v>33</v>
      </c>
      <c r="F1865" s="9" t="s">
        <v>80</v>
      </c>
      <c r="G1865" s="9" t="s">
        <v>81</v>
      </c>
      <c r="H1865" s="11" t="s">
        <v>22</v>
      </c>
      <c r="I1865" s="12" t="n">
        <v>30</v>
      </c>
      <c r="J1865" s="13" t="n">
        <v>450</v>
      </c>
      <c r="K1865" s="14" t="n">
        <f aca="false">I1865*J1865</f>
        <v>13500</v>
      </c>
      <c r="L1865" s="14" t="n">
        <f aca="false">($L$2*M1865)/100</f>
        <v>420583.275</v>
      </c>
      <c r="M1865" s="15" t="n">
        <v>0.35</v>
      </c>
      <c r="N1865" s="9" t="s">
        <v>20</v>
      </c>
    </row>
    <row r="1866" customFormat="false" ht="14.25" hidden="false" customHeight="true" outlineLevel="0" collapsed="false">
      <c r="B1866" s="9" t="s">
        <v>32</v>
      </c>
      <c r="C1866" s="9" t="n">
        <v>1185732</v>
      </c>
      <c r="D1866" s="10" t="n">
        <v>44540</v>
      </c>
      <c r="E1866" s="9" t="s">
        <v>33</v>
      </c>
      <c r="F1866" s="9" t="s">
        <v>80</v>
      </c>
      <c r="G1866" s="9" t="s">
        <v>81</v>
      </c>
      <c r="H1866" s="11" t="s">
        <v>23</v>
      </c>
      <c r="I1866" s="12" t="n">
        <v>30</v>
      </c>
      <c r="J1866" s="13" t="n">
        <v>400</v>
      </c>
      <c r="K1866" s="14" t="n">
        <f aca="false">I1866*J1866</f>
        <v>12000</v>
      </c>
      <c r="L1866" s="14" t="n">
        <f aca="false">($L$2*M1866)/100</f>
        <v>480666.6</v>
      </c>
      <c r="M1866" s="15" t="n">
        <v>0.4</v>
      </c>
      <c r="N1866" s="9" t="s">
        <v>20</v>
      </c>
    </row>
    <row r="1867" customFormat="false" ht="14.25" hidden="false" customHeight="true" outlineLevel="0" collapsed="false">
      <c r="B1867" s="9" t="s">
        <v>32</v>
      </c>
      <c r="C1867" s="9" t="n">
        <v>1185732</v>
      </c>
      <c r="D1867" s="10" t="n">
        <v>44540</v>
      </c>
      <c r="E1867" s="9" t="s">
        <v>33</v>
      </c>
      <c r="F1867" s="9" t="s">
        <v>80</v>
      </c>
      <c r="G1867" s="9" t="s">
        <v>81</v>
      </c>
      <c r="H1867" s="11" t="s">
        <v>24</v>
      </c>
      <c r="I1867" s="12" t="n">
        <v>40</v>
      </c>
      <c r="J1867" s="13" t="n">
        <v>400</v>
      </c>
      <c r="K1867" s="14" t="n">
        <f aca="false">I1867*J1867</f>
        <v>16000</v>
      </c>
      <c r="L1867" s="14" t="n">
        <f aca="false">($L$2*M1867)/100</f>
        <v>420583.275</v>
      </c>
      <c r="M1867" s="15" t="n">
        <v>0.35</v>
      </c>
      <c r="N1867" s="9" t="s">
        <v>20</v>
      </c>
    </row>
    <row r="1868" customFormat="false" ht="14.25" hidden="false" customHeight="true" outlineLevel="0" collapsed="false">
      <c r="B1868" s="9" t="s">
        <v>32</v>
      </c>
      <c r="C1868" s="9" t="n">
        <v>1185732</v>
      </c>
      <c r="D1868" s="10" t="n">
        <v>44540</v>
      </c>
      <c r="E1868" s="9" t="s">
        <v>33</v>
      </c>
      <c r="F1868" s="9" t="s">
        <v>80</v>
      </c>
      <c r="G1868" s="9" t="s">
        <v>81</v>
      </c>
      <c r="H1868" s="11" t="s">
        <v>25</v>
      </c>
      <c r="I1868" s="12" t="n">
        <v>45</v>
      </c>
      <c r="J1868" s="13" t="n">
        <v>500</v>
      </c>
      <c r="K1868" s="14" t="n">
        <f aca="false">I1868*J1868</f>
        <v>22500</v>
      </c>
      <c r="L1868" s="14" t="n">
        <f aca="false">($L$2*M1868)/100</f>
        <v>600833.25</v>
      </c>
      <c r="M1868" s="15" t="n">
        <v>0.5</v>
      </c>
      <c r="N1868" s="9" t="s">
        <v>20</v>
      </c>
    </row>
    <row r="1869" customFormat="false" ht="14.25" hidden="false" customHeight="true" outlineLevel="0" collapsed="false">
      <c r="B1869" s="9" t="s">
        <v>32</v>
      </c>
      <c r="C1869" s="9" t="n">
        <v>1128299</v>
      </c>
      <c r="D1869" s="10" t="n">
        <v>44220</v>
      </c>
      <c r="E1869" s="9" t="s">
        <v>33</v>
      </c>
      <c r="F1869" s="9" t="s">
        <v>80</v>
      </c>
      <c r="G1869" s="9" t="s">
        <v>81</v>
      </c>
      <c r="H1869" s="11" t="s">
        <v>19</v>
      </c>
      <c r="I1869" s="12" t="n">
        <v>30</v>
      </c>
      <c r="J1869" s="13" t="n">
        <v>350</v>
      </c>
      <c r="K1869" s="14" t="n">
        <f aca="false">I1869*J1869</f>
        <v>10500</v>
      </c>
      <c r="L1869" s="14" t="n">
        <f aca="false">($L$2*M1869)/100</f>
        <v>420583.275</v>
      </c>
      <c r="M1869" s="15" t="n">
        <v>0.35</v>
      </c>
      <c r="N1869" s="9" t="s">
        <v>20</v>
      </c>
    </row>
    <row r="1870" customFormat="false" ht="14.25" hidden="false" customHeight="true" outlineLevel="0" collapsed="false">
      <c r="B1870" s="9" t="s">
        <v>32</v>
      </c>
      <c r="C1870" s="9" t="n">
        <v>1128299</v>
      </c>
      <c r="D1870" s="10" t="n">
        <v>44220</v>
      </c>
      <c r="E1870" s="9" t="s">
        <v>33</v>
      </c>
      <c r="F1870" s="9" t="s">
        <v>80</v>
      </c>
      <c r="G1870" s="9" t="s">
        <v>81</v>
      </c>
      <c r="H1870" s="11" t="s">
        <v>21</v>
      </c>
      <c r="I1870" s="12" t="n">
        <v>40</v>
      </c>
      <c r="J1870" s="13" t="n">
        <v>350</v>
      </c>
      <c r="K1870" s="14" t="n">
        <f aca="false">I1870*J1870</f>
        <v>14000</v>
      </c>
      <c r="L1870" s="14" t="n">
        <f aca="false">($L$2*M1870)/100</f>
        <v>420583.275</v>
      </c>
      <c r="M1870" s="15" t="n">
        <v>0.35</v>
      </c>
      <c r="N1870" s="9" t="s">
        <v>20</v>
      </c>
    </row>
    <row r="1871" customFormat="false" ht="14.25" hidden="false" customHeight="true" outlineLevel="0" collapsed="false">
      <c r="B1871" s="9" t="s">
        <v>32</v>
      </c>
      <c r="C1871" s="9" t="n">
        <v>1128299</v>
      </c>
      <c r="D1871" s="10" t="n">
        <v>44220</v>
      </c>
      <c r="E1871" s="9" t="s">
        <v>33</v>
      </c>
      <c r="F1871" s="9" t="s">
        <v>80</v>
      </c>
      <c r="G1871" s="9" t="s">
        <v>81</v>
      </c>
      <c r="H1871" s="11" t="s">
        <v>22</v>
      </c>
      <c r="I1871" s="12" t="n">
        <v>40</v>
      </c>
      <c r="J1871" s="13" t="n">
        <v>350</v>
      </c>
      <c r="K1871" s="14" t="n">
        <f aca="false">I1871*J1871</f>
        <v>14000</v>
      </c>
      <c r="L1871" s="14" t="n">
        <f aca="false">($L$2*M1871)/100</f>
        <v>420583.275</v>
      </c>
      <c r="M1871" s="15" t="n">
        <v>0.35</v>
      </c>
      <c r="N1871" s="9" t="s">
        <v>20</v>
      </c>
    </row>
    <row r="1872" customFormat="false" ht="14.25" hidden="false" customHeight="true" outlineLevel="0" collapsed="false">
      <c r="B1872" s="9" t="s">
        <v>32</v>
      </c>
      <c r="C1872" s="9" t="n">
        <v>1128299</v>
      </c>
      <c r="D1872" s="10" t="n">
        <v>44220</v>
      </c>
      <c r="E1872" s="9" t="s">
        <v>33</v>
      </c>
      <c r="F1872" s="9" t="s">
        <v>80</v>
      </c>
      <c r="G1872" s="9" t="s">
        <v>81</v>
      </c>
      <c r="H1872" s="11" t="s">
        <v>23</v>
      </c>
      <c r="I1872" s="12" t="n">
        <v>40</v>
      </c>
      <c r="J1872" s="13" t="n">
        <v>200</v>
      </c>
      <c r="K1872" s="14" t="n">
        <f aca="false">I1872*J1872</f>
        <v>8000</v>
      </c>
      <c r="L1872" s="14" t="n">
        <f aca="false">($L$2*M1872)/100</f>
        <v>420583.275</v>
      </c>
      <c r="M1872" s="15" t="n">
        <v>0.35</v>
      </c>
      <c r="N1872" s="9" t="s">
        <v>20</v>
      </c>
    </row>
    <row r="1873" customFormat="false" ht="14.25" hidden="false" customHeight="true" outlineLevel="0" collapsed="false">
      <c r="B1873" s="9" t="s">
        <v>32</v>
      </c>
      <c r="C1873" s="9" t="n">
        <v>1128299</v>
      </c>
      <c r="D1873" s="10" t="n">
        <v>44220</v>
      </c>
      <c r="E1873" s="9" t="s">
        <v>33</v>
      </c>
      <c r="F1873" s="9" t="s">
        <v>80</v>
      </c>
      <c r="G1873" s="9" t="s">
        <v>81</v>
      </c>
      <c r="H1873" s="11" t="s">
        <v>24</v>
      </c>
      <c r="I1873" s="12" t="n">
        <v>45</v>
      </c>
      <c r="J1873" s="13" t="n">
        <v>150</v>
      </c>
      <c r="K1873" s="14" t="n">
        <f aca="false">I1873*J1873</f>
        <v>6750</v>
      </c>
      <c r="L1873" s="14" t="n">
        <f aca="false">($L$2*M1873)/100</f>
        <v>480666.6</v>
      </c>
      <c r="M1873" s="15" t="n">
        <v>0.4</v>
      </c>
      <c r="N1873" s="9" t="s">
        <v>20</v>
      </c>
    </row>
    <row r="1874" customFormat="false" ht="14.25" hidden="false" customHeight="true" outlineLevel="0" collapsed="false">
      <c r="B1874" s="9" t="s">
        <v>32</v>
      </c>
      <c r="C1874" s="9" t="n">
        <v>1128299</v>
      </c>
      <c r="D1874" s="10" t="n">
        <v>44220</v>
      </c>
      <c r="E1874" s="9" t="s">
        <v>33</v>
      </c>
      <c r="F1874" s="9" t="s">
        <v>80</v>
      </c>
      <c r="G1874" s="9" t="s">
        <v>81</v>
      </c>
      <c r="H1874" s="11" t="s">
        <v>25</v>
      </c>
      <c r="I1874" s="12" t="n">
        <v>40</v>
      </c>
      <c r="J1874" s="13" t="n">
        <v>400</v>
      </c>
      <c r="K1874" s="14" t="n">
        <f aca="false">I1874*J1874</f>
        <v>16000</v>
      </c>
      <c r="L1874" s="14" t="n">
        <f aca="false">($L$2*M1874)/100</f>
        <v>360499.95</v>
      </c>
      <c r="M1874" s="15" t="n">
        <v>0.3</v>
      </c>
      <c r="N1874" s="9" t="s">
        <v>20</v>
      </c>
    </row>
    <row r="1875" customFormat="false" ht="14.25" hidden="false" customHeight="true" outlineLevel="0" collapsed="false">
      <c r="B1875" s="9" t="s">
        <v>32</v>
      </c>
      <c r="C1875" s="9" t="n">
        <v>1128299</v>
      </c>
      <c r="D1875" s="10" t="n">
        <v>44251</v>
      </c>
      <c r="E1875" s="9" t="s">
        <v>33</v>
      </c>
      <c r="F1875" s="9" t="s">
        <v>80</v>
      </c>
      <c r="G1875" s="9" t="s">
        <v>81</v>
      </c>
      <c r="H1875" s="11" t="s">
        <v>19</v>
      </c>
      <c r="I1875" s="12" t="n">
        <v>30</v>
      </c>
      <c r="J1875" s="13" t="n">
        <v>450</v>
      </c>
      <c r="K1875" s="14" t="n">
        <f aca="false">I1875*J1875</f>
        <v>13500</v>
      </c>
      <c r="L1875" s="14" t="n">
        <f aca="false">($L$2*M1875)/100</f>
        <v>420583.275</v>
      </c>
      <c r="M1875" s="15" t="n">
        <v>0.35</v>
      </c>
      <c r="N1875" s="9" t="s">
        <v>20</v>
      </c>
    </row>
    <row r="1876" customFormat="false" ht="14.25" hidden="false" customHeight="true" outlineLevel="0" collapsed="false">
      <c r="B1876" s="9" t="s">
        <v>32</v>
      </c>
      <c r="C1876" s="9" t="n">
        <v>1128299</v>
      </c>
      <c r="D1876" s="10" t="n">
        <v>44251</v>
      </c>
      <c r="E1876" s="9" t="s">
        <v>33</v>
      </c>
      <c r="F1876" s="9" t="s">
        <v>80</v>
      </c>
      <c r="G1876" s="9" t="s">
        <v>81</v>
      </c>
      <c r="H1876" s="11" t="s">
        <v>21</v>
      </c>
      <c r="I1876" s="12" t="n">
        <v>40</v>
      </c>
      <c r="J1876" s="13" t="n">
        <v>350</v>
      </c>
      <c r="K1876" s="14" t="n">
        <f aca="false">I1876*J1876</f>
        <v>14000</v>
      </c>
      <c r="L1876" s="14" t="n">
        <f aca="false">($L$2*M1876)/100</f>
        <v>420583.275</v>
      </c>
      <c r="M1876" s="15" t="n">
        <v>0.35</v>
      </c>
      <c r="N1876" s="9" t="s">
        <v>20</v>
      </c>
    </row>
    <row r="1877" customFormat="false" ht="14.25" hidden="false" customHeight="true" outlineLevel="0" collapsed="false">
      <c r="B1877" s="9" t="s">
        <v>32</v>
      </c>
      <c r="C1877" s="9" t="n">
        <v>1128299</v>
      </c>
      <c r="D1877" s="10" t="n">
        <v>44251</v>
      </c>
      <c r="E1877" s="9" t="s">
        <v>33</v>
      </c>
      <c r="F1877" s="9" t="s">
        <v>80</v>
      </c>
      <c r="G1877" s="9" t="s">
        <v>81</v>
      </c>
      <c r="H1877" s="11" t="s">
        <v>22</v>
      </c>
      <c r="I1877" s="12" t="n">
        <v>40</v>
      </c>
      <c r="J1877" s="13" t="n">
        <v>350</v>
      </c>
      <c r="K1877" s="14" t="n">
        <f aca="false">I1877*J1877</f>
        <v>14000</v>
      </c>
      <c r="L1877" s="14" t="n">
        <f aca="false">($L$2*M1877)/100</f>
        <v>420583.275</v>
      </c>
      <c r="M1877" s="15" t="n">
        <v>0.35</v>
      </c>
      <c r="N1877" s="9" t="s">
        <v>20</v>
      </c>
    </row>
    <row r="1878" customFormat="false" ht="14.25" hidden="false" customHeight="true" outlineLevel="0" collapsed="false">
      <c r="B1878" s="9" t="s">
        <v>32</v>
      </c>
      <c r="C1878" s="9" t="n">
        <v>1128299</v>
      </c>
      <c r="D1878" s="10" t="n">
        <v>44251</v>
      </c>
      <c r="E1878" s="9" t="s">
        <v>33</v>
      </c>
      <c r="F1878" s="9" t="s">
        <v>82</v>
      </c>
      <c r="G1878" s="9" t="s">
        <v>65</v>
      </c>
      <c r="H1878" s="11" t="s">
        <v>23</v>
      </c>
      <c r="I1878" s="12" t="n">
        <v>40</v>
      </c>
      <c r="J1878" s="13" t="n">
        <v>200</v>
      </c>
      <c r="K1878" s="14" t="n">
        <f aca="false">I1878*J1878</f>
        <v>8000</v>
      </c>
      <c r="L1878" s="14" t="n">
        <f aca="false">($L$2*M1878)/100</f>
        <v>420583.275</v>
      </c>
      <c r="M1878" s="15" t="n">
        <v>0.35</v>
      </c>
      <c r="N1878" s="9" t="s">
        <v>20</v>
      </c>
    </row>
    <row r="1879" customFormat="false" ht="14.25" hidden="false" customHeight="true" outlineLevel="0" collapsed="false">
      <c r="B1879" s="9" t="s">
        <v>32</v>
      </c>
      <c r="C1879" s="9" t="n">
        <v>1128299</v>
      </c>
      <c r="D1879" s="10" t="n">
        <v>44251</v>
      </c>
      <c r="E1879" s="9" t="s">
        <v>33</v>
      </c>
      <c r="F1879" s="9" t="s">
        <v>82</v>
      </c>
      <c r="G1879" s="9" t="s">
        <v>65</v>
      </c>
      <c r="H1879" s="11" t="s">
        <v>24</v>
      </c>
      <c r="I1879" s="12" t="n">
        <v>45</v>
      </c>
      <c r="J1879" s="13" t="n">
        <v>125</v>
      </c>
      <c r="K1879" s="14" t="n">
        <f aca="false">I1879*J1879</f>
        <v>5625</v>
      </c>
      <c r="L1879" s="14" t="n">
        <f aca="false">($L$2*M1879)/100</f>
        <v>480666.6</v>
      </c>
      <c r="M1879" s="15" t="n">
        <v>0.4</v>
      </c>
      <c r="N1879" s="9" t="s">
        <v>20</v>
      </c>
    </row>
    <row r="1880" customFormat="false" ht="14.25" hidden="false" customHeight="true" outlineLevel="0" collapsed="false">
      <c r="B1880" s="9" t="s">
        <v>32</v>
      </c>
      <c r="C1880" s="9" t="n">
        <v>1128299</v>
      </c>
      <c r="D1880" s="10" t="n">
        <v>44251</v>
      </c>
      <c r="E1880" s="9" t="s">
        <v>33</v>
      </c>
      <c r="F1880" s="9" t="s">
        <v>82</v>
      </c>
      <c r="G1880" s="9" t="s">
        <v>65</v>
      </c>
      <c r="H1880" s="11" t="s">
        <v>25</v>
      </c>
      <c r="I1880" s="12" t="n">
        <v>40</v>
      </c>
      <c r="J1880" s="13" t="n">
        <v>325</v>
      </c>
      <c r="K1880" s="14" t="n">
        <f aca="false">I1880*J1880</f>
        <v>13000</v>
      </c>
      <c r="L1880" s="14" t="n">
        <f aca="false">($L$2*M1880)/100</f>
        <v>360499.95</v>
      </c>
      <c r="M1880" s="15" t="n">
        <v>0.3</v>
      </c>
      <c r="N1880" s="9" t="s">
        <v>20</v>
      </c>
    </row>
    <row r="1881" customFormat="false" ht="14.25" hidden="false" customHeight="true" outlineLevel="0" collapsed="false">
      <c r="B1881" s="9" t="s">
        <v>32</v>
      </c>
      <c r="C1881" s="9" t="n">
        <v>1128299</v>
      </c>
      <c r="D1881" s="10" t="n">
        <v>44278</v>
      </c>
      <c r="E1881" s="9" t="s">
        <v>33</v>
      </c>
      <c r="F1881" s="9" t="s">
        <v>82</v>
      </c>
      <c r="G1881" s="9" t="s">
        <v>65</v>
      </c>
      <c r="H1881" s="11" t="s">
        <v>19</v>
      </c>
      <c r="I1881" s="12" t="n">
        <v>40</v>
      </c>
      <c r="J1881" s="13" t="n">
        <v>475</v>
      </c>
      <c r="K1881" s="14" t="n">
        <f aca="false">I1881*J1881</f>
        <v>19000</v>
      </c>
      <c r="L1881" s="14" t="n">
        <f aca="false">($L$2*M1881)/100</f>
        <v>420583.275</v>
      </c>
      <c r="M1881" s="15" t="n">
        <v>0.35</v>
      </c>
      <c r="N1881" s="9" t="s">
        <v>20</v>
      </c>
    </row>
    <row r="1882" customFormat="false" ht="14.25" hidden="false" customHeight="true" outlineLevel="0" collapsed="false">
      <c r="B1882" s="9" t="s">
        <v>32</v>
      </c>
      <c r="C1882" s="9" t="n">
        <v>1128299</v>
      </c>
      <c r="D1882" s="10" t="n">
        <v>44278</v>
      </c>
      <c r="E1882" s="9" t="s">
        <v>33</v>
      </c>
      <c r="F1882" s="9" t="s">
        <v>82</v>
      </c>
      <c r="G1882" s="9" t="s">
        <v>65</v>
      </c>
      <c r="H1882" s="11" t="s">
        <v>21</v>
      </c>
      <c r="I1882" s="12" t="n">
        <v>50</v>
      </c>
      <c r="J1882" s="13" t="n">
        <v>325</v>
      </c>
      <c r="K1882" s="14" t="n">
        <f aca="false">I1882*J1882</f>
        <v>16250</v>
      </c>
      <c r="L1882" s="14" t="n">
        <f aca="false">($L$2*M1882)/100</f>
        <v>420583.275</v>
      </c>
      <c r="M1882" s="15" t="n">
        <v>0.35</v>
      </c>
      <c r="N1882" s="9" t="s">
        <v>20</v>
      </c>
    </row>
    <row r="1883" customFormat="false" ht="14.25" hidden="false" customHeight="true" outlineLevel="0" collapsed="false">
      <c r="B1883" s="9" t="s">
        <v>32</v>
      </c>
      <c r="C1883" s="9" t="n">
        <v>1128299</v>
      </c>
      <c r="D1883" s="10" t="n">
        <v>44278</v>
      </c>
      <c r="E1883" s="9" t="s">
        <v>33</v>
      </c>
      <c r="F1883" s="9" t="s">
        <v>82</v>
      </c>
      <c r="G1883" s="9" t="s">
        <v>65</v>
      </c>
      <c r="H1883" s="11" t="s">
        <v>22</v>
      </c>
      <c r="I1883" s="12" t="n">
        <v>55</v>
      </c>
      <c r="J1883" s="13" t="n">
        <v>350</v>
      </c>
      <c r="K1883" s="14" t="n">
        <f aca="false">I1883*J1883</f>
        <v>19250</v>
      </c>
      <c r="L1883" s="14" t="n">
        <f aca="false">($L$2*M1883)/100</f>
        <v>420583.275</v>
      </c>
      <c r="M1883" s="15" t="n">
        <v>0.35</v>
      </c>
      <c r="N1883" s="9" t="s">
        <v>20</v>
      </c>
    </row>
    <row r="1884" customFormat="false" ht="14.25" hidden="false" customHeight="true" outlineLevel="0" collapsed="false">
      <c r="B1884" s="9" t="s">
        <v>32</v>
      </c>
      <c r="C1884" s="9" t="n">
        <v>1128299</v>
      </c>
      <c r="D1884" s="10" t="n">
        <v>44278</v>
      </c>
      <c r="E1884" s="9" t="s">
        <v>33</v>
      </c>
      <c r="F1884" s="9" t="s">
        <v>82</v>
      </c>
      <c r="G1884" s="9" t="s">
        <v>65</v>
      </c>
      <c r="H1884" s="11" t="s">
        <v>23</v>
      </c>
      <c r="I1884" s="12" t="n">
        <v>50</v>
      </c>
      <c r="J1884" s="13" t="n">
        <v>250</v>
      </c>
      <c r="K1884" s="14" t="n">
        <f aca="false">I1884*J1884</f>
        <v>12500</v>
      </c>
      <c r="L1884" s="14" t="n">
        <f aca="false">($L$2*M1884)/100</f>
        <v>420583.275</v>
      </c>
      <c r="M1884" s="15" t="n">
        <v>0.35</v>
      </c>
      <c r="N1884" s="9" t="s">
        <v>20</v>
      </c>
    </row>
    <row r="1885" customFormat="false" ht="14.25" hidden="false" customHeight="true" outlineLevel="0" collapsed="false">
      <c r="B1885" s="9" t="s">
        <v>32</v>
      </c>
      <c r="C1885" s="9" t="n">
        <v>1128299</v>
      </c>
      <c r="D1885" s="10" t="n">
        <v>44278</v>
      </c>
      <c r="E1885" s="9" t="s">
        <v>33</v>
      </c>
      <c r="F1885" s="9" t="s">
        <v>82</v>
      </c>
      <c r="G1885" s="9" t="s">
        <v>65</v>
      </c>
      <c r="H1885" s="11" t="s">
        <v>24</v>
      </c>
      <c r="I1885" s="12" t="n">
        <v>55</v>
      </c>
      <c r="J1885" s="13" t="n">
        <v>100</v>
      </c>
      <c r="K1885" s="14" t="n">
        <f aca="false">I1885*J1885</f>
        <v>5500</v>
      </c>
      <c r="L1885" s="14" t="n">
        <f aca="false">($L$2*M1885)/100</f>
        <v>480666.6</v>
      </c>
      <c r="M1885" s="15" t="n">
        <v>0.4</v>
      </c>
      <c r="N1885" s="9" t="s">
        <v>20</v>
      </c>
    </row>
    <row r="1886" customFormat="false" ht="14.25" hidden="false" customHeight="true" outlineLevel="0" collapsed="false">
      <c r="B1886" s="9" t="s">
        <v>32</v>
      </c>
      <c r="C1886" s="9" t="n">
        <v>1128299</v>
      </c>
      <c r="D1886" s="10" t="n">
        <v>44278</v>
      </c>
      <c r="E1886" s="9" t="s">
        <v>33</v>
      </c>
      <c r="F1886" s="9" t="s">
        <v>82</v>
      </c>
      <c r="G1886" s="9" t="s">
        <v>65</v>
      </c>
      <c r="H1886" s="11" t="s">
        <v>25</v>
      </c>
      <c r="I1886" s="12" t="n">
        <v>50</v>
      </c>
      <c r="J1886" s="13" t="n">
        <v>300</v>
      </c>
      <c r="K1886" s="14" t="n">
        <f aca="false">I1886*J1886</f>
        <v>15000</v>
      </c>
      <c r="L1886" s="14" t="n">
        <f aca="false">($L$2*M1886)/100</f>
        <v>360499.95</v>
      </c>
      <c r="M1886" s="15" t="n">
        <v>0.3</v>
      </c>
      <c r="N1886" s="9" t="s">
        <v>20</v>
      </c>
    </row>
    <row r="1887" customFormat="false" ht="14.25" hidden="false" customHeight="true" outlineLevel="0" collapsed="false">
      <c r="B1887" s="9" t="s">
        <v>32</v>
      </c>
      <c r="C1887" s="9" t="n">
        <v>1128299</v>
      </c>
      <c r="D1887" s="10" t="n">
        <v>44310</v>
      </c>
      <c r="E1887" s="9" t="s">
        <v>33</v>
      </c>
      <c r="F1887" s="9" t="s">
        <v>82</v>
      </c>
      <c r="G1887" s="9" t="s">
        <v>65</v>
      </c>
      <c r="H1887" s="11" t="s">
        <v>19</v>
      </c>
      <c r="I1887" s="12" t="n">
        <v>55</v>
      </c>
      <c r="J1887" s="13" t="n">
        <v>475</v>
      </c>
      <c r="K1887" s="14" t="n">
        <f aca="false">I1887*J1887</f>
        <v>26125</v>
      </c>
      <c r="L1887" s="14" t="n">
        <f aca="false">($L$2*M1887)/100</f>
        <v>420583.275</v>
      </c>
      <c r="M1887" s="15" t="n">
        <v>0.35</v>
      </c>
      <c r="N1887" s="9" t="s">
        <v>20</v>
      </c>
    </row>
    <row r="1888" customFormat="false" ht="14.25" hidden="false" customHeight="true" outlineLevel="0" collapsed="false">
      <c r="B1888" s="9" t="s">
        <v>32</v>
      </c>
      <c r="C1888" s="9" t="n">
        <v>1128299</v>
      </c>
      <c r="D1888" s="10" t="n">
        <v>44310</v>
      </c>
      <c r="E1888" s="9" t="s">
        <v>33</v>
      </c>
      <c r="F1888" s="9" t="s">
        <v>82</v>
      </c>
      <c r="G1888" s="9" t="s">
        <v>65</v>
      </c>
      <c r="H1888" s="11" t="s">
        <v>21</v>
      </c>
      <c r="I1888" s="12" t="n">
        <v>60</v>
      </c>
      <c r="J1888" s="13" t="n">
        <v>275</v>
      </c>
      <c r="K1888" s="14" t="n">
        <f aca="false">I1888*J1888</f>
        <v>16500</v>
      </c>
      <c r="L1888" s="14" t="n">
        <f aca="false">($L$2*M1888)/100</f>
        <v>420583.275</v>
      </c>
      <c r="M1888" s="15" t="n">
        <v>0.35</v>
      </c>
      <c r="N1888" s="9" t="s">
        <v>20</v>
      </c>
    </row>
    <row r="1889" customFormat="false" ht="14.25" hidden="false" customHeight="true" outlineLevel="0" collapsed="false">
      <c r="B1889" s="9" t="s">
        <v>32</v>
      </c>
      <c r="C1889" s="9" t="n">
        <v>1128299</v>
      </c>
      <c r="D1889" s="10" t="n">
        <v>44310</v>
      </c>
      <c r="E1889" s="9" t="s">
        <v>33</v>
      </c>
      <c r="F1889" s="9" t="s">
        <v>82</v>
      </c>
      <c r="G1889" s="9" t="s">
        <v>65</v>
      </c>
      <c r="H1889" s="11" t="s">
        <v>22</v>
      </c>
      <c r="I1889" s="12" t="n">
        <v>60</v>
      </c>
      <c r="J1889" s="13" t="n">
        <v>325</v>
      </c>
      <c r="K1889" s="14" t="n">
        <f aca="false">I1889*J1889</f>
        <v>19500</v>
      </c>
      <c r="L1889" s="14" t="n">
        <f aca="false">($L$2*M1889)/100</f>
        <v>420583.275</v>
      </c>
      <c r="M1889" s="15" t="n">
        <v>0.35</v>
      </c>
      <c r="N1889" s="9" t="s">
        <v>20</v>
      </c>
    </row>
    <row r="1890" customFormat="false" ht="14.25" hidden="false" customHeight="true" outlineLevel="0" collapsed="false">
      <c r="B1890" s="9" t="s">
        <v>32</v>
      </c>
      <c r="C1890" s="9" t="n">
        <v>1128299</v>
      </c>
      <c r="D1890" s="10" t="n">
        <v>44310</v>
      </c>
      <c r="E1890" s="9" t="s">
        <v>33</v>
      </c>
      <c r="F1890" s="9" t="s">
        <v>82</v>
      </c>
      <c r="G1890" s="9" t="s">
        <v>65</v>
      </c>
      <c r="H1890" s="11" t="s">
        <v>23</v>
      </c>
      <c r="I1890" s="12" t="n">
        <v>45</v>
      </c>
      <c r="J1890" s="13" t="n">
        <v>225</v>
      </c>
      <c r="K1890" s="14" t="n">
        <f aca="false">I1890*J1890</f>
        <v>10125</v>
      </c>
      <c r="L1890" s="14" t="n">
        <f aca="false">($L$2*M1890)/100</f>
        <v>420583.275</v>
      </c>
      <c r="M1890" s="15" t="n">
        <v>0.35</v>
      </c>
      <c r="N1890" s="9" t="s">
        <v>20</v>
      </c>
    </row>
    <row r="1891" customFormat="false" ht="14.25" hidden="false" customHeight="true" outlineLevel="0" collapsed="false">
      <c r="B1891" s="9" t="s">
        <v>32</v>
      </c>
      <c r="C1891" s="9" t="n">
        <v>1128299</v>
      </c>
      <c r="D1891" s="10" t="n">
        <v>44310</v>
      </c>
      <c r="E1891" s="9" t="s">
        <v>33</v>
      </c>
      <c r="F1891" s="9" t="s">
        <v>82</v>
      </c>
      <c r="G1891" s="9" t="s">
        <v>65</v>
      </c>
      <c r="H1891" s="11" t="s">
        <v>24</v>
      </c>
      <c r="I1891" s="12" t="n">
        <v>50</v>
      </c>
      <c r="J1891" s="13" t="n">
        <v>125</v>
      </c>
      <c r="K1891" s="14" t="n">
        <f aca="false">I1891*J1891</f>
        <v>6250</v>
      </c>
      <c r="L1891" s="14" t="n">
        <f aca="false">($L$2*M1891)/100</f>
        <v>480666.6</v>
      </c>
      <c r="M1891" s="15" t="n">
        <v>0.4</v>
      </c>
      <c r="N1891" s="9" t="s">
        <v>20</v>
      </c>
    </row>
    <row r="1892" customFormat="false" ht="14.25" hidden="false" customHeight="true" outlineLevel="0" collapsed="false">
      <c r="B1892" s="9" t="s">
        <v>32</v>
      </c>
      <c r="C1892" s="9" t="n">
        <v>1128299</v>
      </c>
      <c r="D1892" s="10" t="n">
        <v>44310</v>
      </c>
      <c r="E1892" s="9" t="s">
        <v>33</v>
      </c>
      <c r="F1892" s="9" t="s">
        <v>82</v>
      </c>
      <c r="G1892" s="9" t="s">
        <v>65</v>
      </c>
      <c r="H1892" s="11" t="s">
        <v>25</v>
      </c>
      <c r="I1892" s="12" t="n">
        <v>65</v>
      </c>
      <c r="J1892" s="13" t="n">
        <v>300</v>
      </c>
      <c r="K1892" s="14" t="n">
        <f aca="false">I1892*J1892</f>
        <v>19500</v>
      </c>
      <c r="L1892" s="14" t="n">
        <f aca="false">($L$2*M1892)/100</f>
        <v>360499.95</v>
      </c>
      <c r="M1892" s="15" t="n">
        <v>0.3</v>
      </c>
      <c r="N1892" s="9" t="s">
        <v>20</v>
      </c>
    </row>
    <row r="1893" customFormat="false" ht="14.25" hidden="false" customHeight="true" outlineLevel="0" collapsed="false">
      <c r="B1893" s="9" t="s">
        <v>32</v>
      </c>
      <c r="C1893" s="9" t="n">
        <v>1128299</v>
      </c>
      <c r="D1893" s="10" t="n">
        <v>44341</v>
      </c>
      <c r="E1893" s="9" t="s">
        <v>33</v>
      </c>
      <c r="F1893" s="9" t="s">
        <v>82</v>
      </c>
      <c r="G1893" s="9" t="s">
        <v>65</v>
      </c>
      <c r="H1893" s="11" t="s">
        <v>19</v>
      </c>
      <c r="I1893" s="12" t="n">
        <v>50</v>
      </c>
      <c r="J1893" s="13" t="n">
        <v>500</v>
      </c>
      <c r="K1893" s="14" t="n">
        <f aca="false">I1893*J1893</f>
        <v>25000</v>
      </c>
      <c r="L1893" s="14" t="n">
        <f aca="false">($L$2*M1893)/100</f>
        <v>420583.275</v>
      </c>
      <c r="M1893" s="15" t="n">
        <v>0.35</v>
      </c>
      <c r="N1893" s="9" t="s">
        <v>20</v>
      </c>
    </row>
    <row r="1894" customFormat="false" ht="14.25" hidden="false" customHeight="true" outlineLevel="0" collapsed="false">
      <c r="B1894" s="9" t="s">
        <v>32</v>
      </c>
      <c r="C1894" s="9" t="n">
        <v>1128299</v>
      </c>
      <c r="D1894" s="10" t="n">
        <v>44341</v>
      </c>
      <c r="E1894" s="9" t="s">
        <v>33</v>
      </c>
      <c r="F1894" s="9" t="s">
        <v>82</v>
      </c>
      <c r="G1894" s="9" t="s">
        <v>65</v>
      </c>
      <c r="H1894" s="11" t="s">
        <v>21</v>
      </c>
      <c r="I1894" s="12" t="n">
        <v>55</v>
      </c>
      <c r="J1894" s="13" t="n">
        <v>350</v>
      </c>
      <c r="K1894" s="14" t="n">
        <f aca="false">I1894*J1894</f>
        <v>19250</v>
      </c>
      <c r="L1894" s="14" t="n">
        <f aca="false">($L$2*M1894)/100</f>
        <v>420583.275</v>
      </c>
      <c r="M1894" s="15" t="n">
        <v>0.35</v>
      </c>
      <c r="N1894" s="9" t="s">
        <v>20</v>
      </c>
    </row>
    <row r="1895" customFormat="false" ht="14.25" hidden="false" customHeight="true" outlineLevel="0" collapsed="false">
      <c r="B1895" s="9" t="s">
        <v>32</v>
      </c>
      <c r="C1895" s="9" t="n">
        <v>1128299</v>
      </c>
      <c r="D1895" s="10" t="n">
        <v>44341</v>
      </c>
      <c r="E1895" s="9" t="s">
        <v>33</v>
      </c>
      <c r="F1895" s="9" t="s">
        <v>82</v>
      </c>
      <c r="G1895" s="9" t="s">
        <v>65</v>
      </c>
      <c r="H1895" s="11" t="s">
        <v>22</v>
      </c>
      <c r="I1895" s="12" t="n">
        <v>55</v>
      </c>
      <c r="J1895" s="13" t="n">
        <v>350</v>
      </c>
      <c r="K1895" s="14" t="n">
        <f aca="false">I1895*J1895</f>
        <v>19250</v>
      </c>
      <c r="L1895" s="14" t="n">
        <f aca="false">($L$2*M1895)/100</f>
        <v>420583.275</v>
      </c>
      <c r="M1895" s="15" t="n">
        <v>0.35</v>
      </c>
      <c r="N1895" s="9" t="s">
        <v>20</v>
      </c>
    </row>
    <row r="1896" customFormat="false" ht="14.25" hidden="false" customHeight="true" outlineLevel="0" collapsed="false">
      <c r="B1896" s="9" t="s">
        <v>32</v>
      </c>
      <c r="C1896" s="9" t="n">
        <v>1128299</v>
      </c>
      <c r="D1896" s="10" t="n">
        <v>44341</v>
      </c>
      <c r="E1896" s="9" t="s">
        <v>33</v>
      </c>
      <c r="F1896" s="9" t="s">
        <v>82</v>
      </c>
      <c r="G1896" s="9" t="s">
        <v>65</v>
      </c>
      <c r="H1896" s="11" t="s">
        <v>23</v>
      </c>
      <c r="I1896" s="12" t="n">
        <v>50</v>
      </c>
      <c r="J1896" s="13" t="n">
        <v>275</v>
      </c>
      <c r="K1896" s="14" t="n">
        <f aca="false">I1896*J1896</f>
        <v>13750</v>
      </c>
      <c r="L1896" s="14" t="n">
        <f aca="false">($L$2*M1896)/100</f>
        <v>420583.275</v>
      </c>
      <c r="M1896" s="15" t="n">
        <v>0.35</v>
      </c>
      <c r="N1896" s="9" t="s">
        <v>20</v>
      </c>
    </row>
    <row r="1897" customFormat="false" ht="14.25" hidden="false" customHeight="true" outlineLevel="0" collapsed="false">
      <c r="B1897" s="9" t="s">
        <v>32</v>
      </c>
      <c r="C1897" s="9" t="n">
        <v>1128299</v>
      </c>
      <c r="D1897" s="10" t="n">
        <v>44341</v>
      </c>
      <c r="E1897" s="9" t="s">
        <v>33</v>
      </c>
      <c r="F1897" s="9" t="s">
        <v>82</v>
      </c>
      <c r="G1897" s="9" t="s">
        <v>65</v>
      </c>
      <c r="H1897" s="11" t="s">
        <v>24</v>
      </c>
      <c r="I1897" s="12" t="n">
        <v>45</v>
      </c>
      <c r="J1897" s="13" t="n">
        <v>175</v>
      </c>
      <c r="K1897" s="14" t="n">
        <f aca="false">I1897*J1897</f>
        <v>7875</v>
      </c>
      <c r="L1897" s="14" t="n">
        <f aca="false">($L$2*M1897)/100</f>
        <v>480666.6</v>
      </c>
      <c r="M1897" s="15" t="n">
        <v>0.4</v>
      </c>
      <c r="N1897" s="9" t="s">
        <v>20</v>
      </c>
    </row>
    <row r="1898" customFormat="false" ht="14.25" hidden="false" customHeight="true" outlineLevel="0" collapsed="false">
      <c r="B1898" s="9" t="s">
        <v>32</v>
      </c>
      <c r="C1898" s="9" t="n">
        <v>1128299</v>
      </c>
      <c r="D1898" s="10" t="n">
        <v>44341</v>
      </c>
      <c r="E1898" s="9" t="s">
        <v>33</v>
      </c>
      <c r="F1898" s="9" t="s">
        <v>82</v>
      </c>
      <c r="G1898" s="9" t="s">
        <v>65</v>
      </c>
      <c r="H1898" s="11" t="s">
        <v>25</v>
      </c>
      <c r="I1898" s="12" t="n">
        <v>60</v>
      </c>
      <c r="J1898" s="13" t="n">
        <v>525</v>
      </c>
      <c r="K1898" s="14" t="n">
        <f aca="false">I1898*J1898</f>
        <v>31500</v>
      </c>
      <c r="L1898" s="14" t="n">
        <f aca="false">($L$2*M1898)/100</f>
        <v>360499.95</v>
      </c>
      <c r="M1898" s="15" t="n">
        <v>0.3</v>
      </c>
      <c r="N1898" s="9" t="s">
        <v>20</v>
      </c>
    </row>
    <row r="1899" customFormat="false" ht="14.25" hidden="false" customHeight="true" outlineLevel="0" collapsed="false">
      <c r="B1899" s="9" t="s">
        <v>32</v>
      </c>
      <c r="C1899" s="9" t="n">
        <v>1128299</v>
      </c>
      <c r="D1899" s="10" t="n">
        <v>44371</v>
      </c>
      <c r="E1899" s="9" t="s">
        <v>33</v>
      </c>
      <c r="F1899" s="9" t="s">
        <v>82</v>
      </c>
      <c r="G1899" s="9" t="s">
        <v>65</v>
      </c>
      <c r="H1899" s="11" t="s">
        <v>19</v>
      </c>
      <c r="I1899" s="12" t="n">
        <v>55</v>
      </c>
      <c r="J1899" s="13" t="n">
        <v>775</v>
      </c>
      <c r="K1899" s="14" t="n">
        <f aca="false">I1899*J1899</f>
        <v>42625</v>
      </c>
      <c r="L1899" s="14" t="n">
        <f aca="false">($L$2*M1899)/100</f>
        <v>420583.275</v>
      </c>
      <c r="M1899" s="15" t="n">
        <v>0.35</v>
      </c>
      <c r="N1899" s="9" t="s">
        <v>20</v>
      </c>
    </row>
    <row r="1900" customFormat="false" ht="14.25" hidden="false" customHeight="true" outlineLevel="0" collapsed="false">
      <c r="B1900" s="9" t="s">
        <v>32</v>
      </c>
      <c r="C1900" s="9" t="n">
        <v>1128299</v>
      </c>
      <c r="D1900" s="10" t="n">
        <v>44371</v>
      </c>
      <c r="E1900" s="9" t="s">
        <v>33</v>
      </c>
      <c r="F1900" s="9" t="s">
        <v>82</v>
      </c>
      <c r="G1900" s="9" t="s">
        <v>65</v>
      </c>
      <c r="H1900" s="11" t="s">
        <v>21</v>
      </c>
      <c r="I1900" s="12" t="n">
        <v>65</v>
      </c>
      <c r="J1900" s="13" t="n">
        <v>650</v>
      </c>
      <c r="K1900" s="14" t="n">
        <f aca="false">I1900*J1900</f>
        <v>42250</v>
      </c>
      <c r="L1900" s="14" t="n">
        <f aca="false">($L$2*M1900)/100</f>
        <v>420583.275</v>
      </c>
      <c r="M1900" s="15" t="n">
        <v>0.35</v>
      </c>
      <c r="N1900" s="9" t="s">
        <v>20</v>
      </c>
    </row>
    <row r="1901" customFormat="false" ht="14.25" hidden="false" customHeight="true" outlineLevel="0" collapsed="false">
      <c r="B1901" s="9" t="s">
        <v>32</v>
      </c>
      <c r="C1901" s="9" t="n">
        <v>1128299</v>
      </c>
      <c r="D1901" s="10" t="n">
        <v>44371</v>
      </c>
      <c r="E1901" s="9" t="s">
        <v>33</v>
      </c>
      <c r="F1901" s="9" t="s">
        <v>82</v>
      </c>
      <c r="G1901" s="9" t="s">
        <v>65</v>
      </c>
      <c r="H1901" s="11" t="s">
        <v>22</v>
      </c>
      <c r="I1901" s="12" t="n">
        <v>80</v>
      </c>
      <c r="J1901" s="13" t="n">
        <v>650</v>
      </c>
      <c r="K1901" s="14" t="n">
        <f aca="false">I1901*J1901</f>
        <v>52000</v>
      </c>
      <c r="L1901" s="14" t="n">
        <f aca="false">($L$2*M1901)/100</f>
        <v>420583.275</v>
      </c>
      <c r="M1901" s="15" t="n">
        <v>0.35</v>
      </c>
      <c r="N1901" s="9" t="s">
        <v>20</v>
      </c>
    </row>
    <row r="1902" customFormat="false" ht="14.25" hidden="false" customHeight="true" outlineLevel="0" collapsed="false">
      <c r="B1902" s="9" t="s">
        <v>32</v>
      </c>
      <c r="C1902" s="9" t="n">
        <v>1128299</v>
      </c>
      <c r="D1902" s="10" t="n">
        <v>44371</v>
      </c>
      <c r="E1902" s="9" t="s">
        <v>33</v>
      </c>
      <c r="F1902" s="9" t="s">
        <v>82</v>
      </c>
      <c r="G1902" s="9" t="s">
        <v>65</v>
      </c>
      <c r="H1902" s="11" t="s">
        <v>23</v>
      </c>
      <c r="I1902" s="12" t="n">
        <v>80</v>
      </c>
      <c r="J1902" s="13" t="n">
        <v>525</v>
      </c>
      <c r="K1902" s="14" t="n">
        <f aca="false">I1902*J1902</f>
        <v>42000</v>
      </c>
      <c r="L1902" s="14" t="n">
        <f aca="false">($L$2*M1902)/100</f>
        <v>420583.275</v>
      </c>
      <c r="M1902" s="15" t="n">
        <v>0.35</v>
      </c>
      <c r="N1902" s="9" t="s">
        <v>20</v>
      </c>
    </row>
    <row r="1903" customFormat="false" ht="14.25" hidden="false" customHeight="true" outlineLevel="0" collapsed="false">
      <c r="B1903" s="9" t="s">
        <v>32</v>
      </c>
      <c r="C1903" s="9" t="n">
        <v>1128299</v>
      </c>
      <c r="D1903" s="10" t="n">
        <v>44371</v>
      </c>
      <c r="E1903" s="9" t="s">
        <v>33</v>
      </c>
      <c r="F1903" s="9" t="s">
        <v>82</v>
      </c>
      <c r="G1903" s="9" t="s">
        <v>65</v>
      </c>
      <c r="H1903" s="11" t="s">
        <v>24</v>
      </c>
      <c r="I1903" s="12" t="n">
        <v>90</v>
      </c>
      <c r="J1903" s="13" t="n">
        <v>400</v>
      </c>
      <c r="K1903" s="14" t="n">
        <f aca="false">I1903*J1903</f>
        <v>36000</v>
      </c>
      <c r="L1903" s="14" t="n">
        <f aca="false">($L$2*M1903)/100</f>
        <v>480666.6</v>
      </c>
      <c r="M1903" s="15" t="n">
        <v>0.4</v>
      </c>
      <c r="N1903" s="9" t="s">
        <v>20</v>
      </c>
    </row>
    <row r="1904" customFormat="false" ht="14.25" hidden="false" customHeight="true" outlineLevel="0" collapsed="false">
      <c r="B1904" s="9" t="s">
        <v>32</v>
      </c>
      <c r="C1904" s="9" t="n">
        <v>1128299</v>
      </c>
      <c r="D1904" s="10" t="n">
        <v>44371</v>
      </c>
      <c r="E1904" s="9" t="s">
        <v>33</v>
      </c>
      <c r="F1904" s="9" t="s">
        <v>82</v>
      </c>
      <c r="G1904" s="9" t="s">
        <v>65</v>
      </c>
      <c r="H1904" s="11" t="s">
        <v>25</v>
      </c>
      <c r="I1904" s="12" t="n">
        <v>105</v>
      </c>
      <c r="J1904" s="13" t="n">
        <v>700</v>
      </c>
      <c r="K1904" s="14" t="n">
        <f aca="false">I1904*J1904</f>
        <v>73500</v>
      </c>
      <c r="L1904" s="14" t="n">
        <f aca="false">($L$2*M1904)/100</f>
        <v>360499.95</v>
      </c>
      <c r="M1904" s="15" t="n">
        <v>0.3</v>
      </c>
      <c r="N1904" s="9" t="s">
        <v>20</v>
      </c>
    </row>
    <row r="1905" customFormat="false" ht="14.25" hidden="false" customHeight="true" outlineLevel="0" collapsed="false">
      <c r="B1905" s="9" t="s">
        <v>32</v>
      </c>
      <c r="C1905" s="9" t="n">
        <v>1128299</v>
      </c>
      <c r="D1905" s="10" t="n">
        <v>44400</v>
      </c>
      <c r="E1905" s="9" t="s">
        <v>33</v>
      </c>
      <c r="F1905" s="9" t="s">
        <v>82</v>
      </c>
      <c r="G1905" s="9" t="s">
        <v>65</v>
      </c>
      <c r="H1905" s="11" t="s">
        <v>19</v>
      </c>
      <c r="I1905" s="12" t="n">
        <v>85</v>
      </c>
      <c r="J1905" s="13" t="n">
        <v>850</v>
      </c>
      <c r="K1905" s="14" t="n">
        <f aca="false">I1905*J1905</f>
        <v>72250</v>
      </c>
      <c r="L1905" s="14" t="n">
        <f aca="false">($L$2*M1905)/100</f>
        <v>420583.275</v>
      </c>
      <c r="M1905" s="15" t="n">
        <v>0.35</v>
      </c>
      <c r="N1905" s="9" t="s">
        <v>20</v>
      </c>
    </row>
    <row r="1906" customFormat="false" ht="14.25" hidden="false" customHeight="true" outlineLevel="0" collapsed="false">
      <c r="B1906" s="9" t="s">
        <v>32</v>
      </c>
      <c r="C1906" s="9" t="n">
        <v>1128299</v>
      </c>
      <c r="D1906" s="10" t="n">
        <v>44400</v>
      </c>
      <c r="E1906" s="9" t="s">
        <v>33</v>
      </c>
      <c r="F1906" s="9" t="s">
        <v>82</v>
      </c>
      <c r="G1906" s="9" t="s">
        <v>65</v>
      </c>
      <c r="H1906" s="11" t="s">
        <v>21</v>
      </c>
      <c r="I1906" s="12" t="n">
        <v>90</v>
      </c>
      <c r="J1906" s="13" t="n">
        <v>700</v>
      </c>
      <c r="K1906" s="14" t="n">
        <f aca="false">I1906*J1906</f>
        <v>63000</v>
      </c>
      <c r="L1906" s="14" t="n">
        <f aca="false">($L$2*M1906)/100</f>
        <v>420583.275</v>
      </c>
      <c r="M1906" s="15" t="n">
        <v>0.35</v>
      </c>
      <c r="N1906" s="9" t="s">
        <v>20</v>
      </c>
    </row>
    <row r="1907" customFormat="false" ht="14.25" hidden="false" customHeight="true" outlineLevel="0" collapsed="false">
      <c r="B1907" s="9" t="s">
        <v>32</v>
      </c>
      <c r="C1907" s="9" t="n">
        <v>1128299</v>
      </c>
      <c r="D1907" s="10" t="n">
        <v>44400</v>
      </c>
      <c r="E1907" s="9" t="s">
        <v>33</v>
      </c>
      <c r="F1907" s="9" t="s">
        <v>82</v>
      </c>
      <c r="G1907" s="9" t="s">
        <v>65</v>
      </c>
      <c r="H1907" s="11" t="s">
        <v>22</v>
      </c>
      <c r="I1907" s="12" t="n">
        <v>90</v>
      </c>
      <c r="J1907" s="13" t="n">
        <v>650</v>
      </c>
      <c r="K1907" s="14" t="n">
        <f aca="false">I1907*J1907</f>
        <v>58500</v>
      </c>
      <c r="L1907" s="14" t="n">
        <f aca="false">($L$2*M1907)/100</f>
        <v>420583.275</v>
      </c>
      <c r="M1907" s="15" t="n">
        <v>0.35</v>
      </c>
      <c r="N1907" s="9" t="s">
        <v>20</v>
      </c>
    </row>
    <row r="1908" customFormat="false" ht="14.25" hidden="false" customHeight="true" outlineLevel="0" collapsed="false">
      <c r="B1908" s="9" t="s">
        <v>32</v>
      </c>
      <c r="C1908" s="9" t="n">
        <v>1128299</v>
      </c>
      <c r="D1908" s="10" t="n">
        <v>44400</v>
      </c>
      <c r="E1908" s="9" t="s">
        <v>33</v>
      </c>
      <c r="F1908" s="9" t="s">
        <v>82</v>
      </c>
      <c r="G1908" s="9" t="s">
        <v>65</v>
      </c>
      <c r="H1908" s="11" t="s">
        <v>23</v>
      </c>
      <c r="I1908" s="12" t="n">
        <v>85</v>
      </c>
      <c r="J1908" s="13" t="n">
        <v>550</v>
      </c>
      <c r="K1908" s="14" t="n">
        <f aca="false">I1908*J1908</f>
        <v>46750</v>
      </c>
      <c r="L1908" s="14" t="n">
        <f aca="false">($L$2*M1908)/100</f>
        <v>420583.275</v>
      </c>
      <c r="M1908" s="15" t="n">
        <v>0.35</v>
      </c>
      <c r="N1908" s="9" t="s">
        <v>20</v>
      </c>
    </row>
    <row r="1909" customFormat="false" ht="14.25" hidden="false" customHeight="true" outlineLevel="0" collapsed="false">
      <c r="B1909" s="9" t="s">
        <v>32</v>
      </c>
      <c r="C1909" s="9" t="n">
        <v>1128299</v>
      </c>
      <c r="D1909" s="10" t="n">
        <v>44400</v>
      </c>
      <c r="E1909" s="9" t="s">
        <v>33</v>
      </c>
      <c r="F1909" s="9" t="s">
        <v>82</v>
      </c>
      <c r="G1909" s="9" t="s">
        <v>65</v>
      </c>
      <c r="H1909" s="11" t="s">
        <v>24</v>
      </c>
      <c r="I1909" s="12" t="n">
        <v>90</v>
      </c>
      <c r="J1909" s="13" t="n">
        <v>600</v>
      </c>
      <c r="K1909" s="14" t="n">
        <f aca="false">I1909*J1909</f>
        <v>54000</v>
      </c>
      <c r="L1909" s="14" t="n">
        <f aca="false">($L$2*M1909)/100</f>
        <v>480666.6</v>
      </c>
      <c r="M1909" s="15" t="n">
        <v>0.4</v>
      </c>
      <c r="N1909" s="9" t="s">
        <v>20</v>
      </c>
    </row>
    <row r="1910" customFormat="false" ht="14.25" hidden="false" customHeight="true" outlineLevel="0" collapsed="false">
      <c r="B1910" s="9" t="s">
        <v>32</v>
      </c>
      <c r="C1910" s="9" t="n">
        <v>1128299</v>
      </c>
      <c r="D1910" s="10" t="n">
        <v>44400</v>
      </c>
      <c r="E1910" s="9" t="s">
        <v>33</v>
      </c>
      <c r="F1910" s="9" t="s">
        <v>82</v>
      </c>
      <c r="G1910" s="9" t="s">
        <v>65</v>
      </c>
      <c r="H1910" s="11" t="s">
        <v>25</v>
      </c>
      <c r="I1910" s="12" t="n">
        <v>105</v>
      </c>
      <c r="J1910" s="13" t="n">
        <v>600</v>
      </c>
      <c r="K1910" s="14" t="n">
        <f aca="false">I1910*J1910</f>
        <v>63000</v>
      </c>
      <c r="L1910" s="14" t="n">
        <f aca="false">($L$2*M1910)/100</f>
        <v>360499.95</v>
      </c>
      <c r="M1910" s="15" t="n">
        <v>0.3</v>
      </c>
      <c r="N1910" s="9" t="s">
        <v>20</v>
      </c>
    </row>
    <row r="1911" customFormat="false" ht="14.25" hidden="false" customHeight="true" outlineLevel="0" collapsed="false">
      <c r="B1911" s="9" t="s">
        <v>32</v>
      </c>
      <c r="C1911" s="9" t="n">
        <v>1128299</v>
      </c>
      <c r="D1911" s="10" t="n">
        <v>44432</v>
      </c>
      <c r="E1911" s="9" t="s">
        <v>33</v>
      </c>
      <c r="F1911" s="9" t="s">
        <v>82</v>
      </c>
      <c r="G1911" s="9" t="s">
        <v>65</v>
      </c>
      <c r="H1911" s="11" t="s">
        <v>19</v>
      </c>
      <c r="I1911" s="12" t="n">
        <v>90</v>
      </c>
      <c r="J1911" s="13" t="n">
        <v>800</v>
      </c>
      <c r="K1911" s="14" t="n">
        <f aca="false">I1911*J1911</f>
        <v>72000</v>
      </c>
      <c r="L1911" s="14" t="n">
        <f aca="false">($L$2*M1911)/100</f>
        <v>420583.275</v>
      </c>
      <c r="M1911" s="15" t="n">
        <v>0.35</v>
      </c>
      <c r="N1911" s="9" t="s">
        <v>20</v>
      </c>
    </row>
    <row r="1912" customFormat="false" ht="14.25" hidden="false" customHeight="true" outlineLevel="0" collapsed="false">
      <c r="B1912" s="9" t="s">
        <v>32</v>
      </c>
      <c r="C1912" s="9" t="n">
        <v>1128299</v>
      </c>
      <c r="D1912" s="10" t="n">
        <v>44432</v>
      </c>
      <c r="E1912" s="9" t="s">
        <v>33</v>
      </c>
      <c r="F1912" s="9" t="s">
        <v>82</v>
      </c>
      <c r="G1912" s="9" t="s">
        <v>65</v>
      </c>
      <c r="H1912" s="11" t="s">
        <v>21</v>
      </c>
      <c r="I1912" s="12" t="n">
        <v>80</v>
      </c>
      <c r="J1912" s="13" t="n">
        <v>775</v>
      </c>
      <c r="K1912" s="14" t="n">
        <f aca="false">I1912*J1912</f>
        <v>62000</v>
      </c>
      <c r="L1912" s="14" t="n">
        <f aca="false">($L$2*M1912)/100</f>
        <v>420583.275</v>
      </c>
      <c r="M1912" s="15" t="n">
        <v>0.35</v>
      </c>
      <c r="N1912" s="9" t="s">
        <v>20</v>
      </c>
    </row>
    <row r="1913" customFormat="false" ht="14.25" hidden="false" customHeight="true" outlineLevel="0" collapsed="false">
      <c r="B1913" s="9" t="s">
        <v>32</v>
      </c>
      <c r="C1913" s="9" t="n">
        <v>1128299</v>
      </c>
      <c r="D1913" s="10" t="n">
        <v>44432</v>
      </c>
      <c r="E1913" s="9" t="s">
        <v>33</v>
      </c>
      <c r="F1913" s="9" t="s">
        <v>82</v>
      </c>
      <c r="G1913" s="9" t="s">
        <v>65</v>
      </c>
      <c r="H1913" s="11" t="s">
        <v>22</v>
      </c>
      <c r="I1913" s="12" t="n">
        <v>70</v>
      </c>
      <c r="J1913" s="13" t="n">
        <v>650</v>
      </c>
      <c r="K1913" s="14" t="n">
        <f aca="false">I1913*J1913</f>
        <v>45500</v>
      </c>
      <c r="L1913" s="14" t="n">
        <f aca="false">($L$2*M1913)/100</f>
        <v>420583.275</v>
      </c>
      <c r="M1913" s="15" t="n">
        <v>0.35</v>
      </c>
      <c r="N1913" s="9" t="s">
        <v>20</v>
      </c>
    </row>
    <row r="1914" customFormat="false" ht="14.25" hidden="false" customHeight="true" outlineLevel="0" collapsed="false">
      <c r="B1914" s="9" t="s">
        <v>32</v>
      </c>
      <c r="C1914" s="9" t="n">
        <v>1128299</v>
      </c>
      <c r="D1914" s="10" t="n">
        <v>44432</v>
      </c>
      <c r="E1914" s="9" t="s">
        <v>33</v>
      </c>
      <c r="F1914" s="9" t="s">
        <v>82</v>
      </c>
      <c r="G1914" s="9" t="s">
        <v>65</v>
      </c>
      <c r="H1914" s="11" t="s">
        <v>23</v>
      </c>
      <c r="I1914" s="12" t="n">
        <v>70</v>
      </c>
      <c r="J1914" s="13" t="n">
        <v>425</v>
      </c>
      <c r="K1914" s="14" t="n">
        <f aca="false">I1914*J1914</f>
        <v>29750</v>
      </c>
      <c r="L1914" s="14" t="n">
        <f aca="false">($L$2*M1914)/100</f>
        <v>420583.275</v>
      </c>
      <c r="M1914" s="15" t="n">
        <v>0.35</v>
      </c>
      <c r="N1914" s="9" t="s">
        <v>20</v>
      </c>
    </row>
    <row r="1915" customFormat="false" ht="14.25" hidden="false" customHeight="true" outlineLevel="0" collapsed="false">
      <c r="B1915" s="9" t="s">
        <v>32</v>
      </c>
      <c r="C1915" s="9" t="n">
        <v>1128299</v>
      </c>
      <c r="D1915" s="10" t="n">
        <v>44432</v>
      </c>
      <c r="E1915" s="9" t="s">
        <v>33</v>
      </c>
      <c r="F1915" s="9" t="s">
        <v>82</v>
      </c>
      <c r="G1915" s="9" t="s">
        <v>65</v>
      </c>
      <c r="H1915" s="11" t="s">
        <v>24</v>
      </c>
      <c r="I1915" s="12" t="n">
        <v>70</v>
      </c>
      <c r="J1915" s="13" t="n">
        <v>425</v>
      </c>
      <c r="K1915" s="14" t="n">
        <f aca="false">I1915*J1915</f>
        <v>29750</v>
      </c>
      <c r="L1915" s="14" t="n">
        <f aca="false">($L$2*M1915)/100</f>
        <v>480666.6</v>
      </c>
      <c r="M1915" s="15" t="n">
        <v>0.4</v>
      </c>
      <c r="N1915" s="9" t="s">
        <v>20</v>
      </c>
    </row>
    <row r="1916" customFormat="false" ht="14.25" hidden="false" customHeight="true" outlineLevel="0" collapsed="false">
      <c r="B1916" s="9" t="s">
        <v>32</v>
      </c>
      <c r="C1916" s="9" t="n">
        <v>1128299</v>
      </c>
      <c r="D1916" s="10" t="n">
        <v>44432</v>
      </c>
      <c r="E1916" s="9" t="s">
        <v>33</v>
      </c>
      <c r="F1916" s="9" t="s">
        <v>82</v>
      </c>
      <c r="G1916" s="9" t="s">
        <v>65</v>
      </c>
      <c r="H1916" s="11" t="s">
        <v>25</v>
      </c>
      <c r="I1916" s="12" t="n">
        <v>75</v>
      </c>
      <c r="J1916" s="13" t="n">
        <v>250</v>
      </c>
      <c r="K1916" s="14" t="n">
        <f aca="false">I1916*J1916</f>
        <v>18750</v>
      </c>
      <c r="L1916" s="14" t="n">
        <f aca="false">($L$2*M1916)/100</f>
        <v>360499.95</v>
      </c>
      <c r="M1916" s="15" t="n">
        <v>0.3</v>
      </c>
      <c r="N1916" s="9" t="s">
        <v>20</v>
      </c>
    </row>
    <row r="1917" customFormat="false" ht="14.25" hidden="false" customHeight="true" outlineLevel="0" collapsed="false">
      <c r="B1917" s="9" t="s">
        <v>32</v>
      </c>
      <c r="C1917" s="9" t="n">
        <v>1128299</v>
      </c>
      <c r="D1917" s="10" t="n">
        <v>44464</v>
      </c>
      <c r="E1917" s="9" t="s">
        <v>33</v>
      </c>
      <c r="F1917" s="9" t="s">
        <v>82</v>
      </c>
      <c r="G1917" s="9" t="s">
        <v>65</v>
      </c>
      <c r="H1917" s="11" t="s">
        <v>19</v>
      </c>
      <c r="I1917" s="12" t="n">
        <v>50</v>
      </c>
      <c r="J1917" s="13" t="n">
        <v>450</v>
      </c>
      <c r="K1917" s="14" t="n">
        <f aca="false">I1917*J1917</f>
        <v>22500</v>
      </c>
      <c r="L1917" s="14" t="n">
        <f aca="false">($L$2*M1917)/100</f>
        <v>420583.275</v>
      </c>
      <c r="M1917" s="15" t="n">
        <v>0.35</v>
      </c>
      <c r="N1917" s="9" t="s">
        <v>20</v>
      </c>
    </row>
    <row r="1918" customFormat="false" ht="14.25" hidden="false" customHeight="true" outlineLevel="0" collapsed="false">
      <c r="B1918" s="9" t="s">
        <v>32</v>
      </c>
      <c r="C1918" s="9" t="n">
        <v>1128299</v>
      </c>
      <c r="D1918" s="10" t="n">
        <v>44464</v>
      </c>
      <c r="E1918" s="9" t="s">
        <v>33</v>
      </c>
      <c r="F1918" s="9" t="s">
        <v>82</v>
      </c>
      <c r="G1918" s="9" t="s">
        <v>65</v>
      </c>
      <c r="H1918" s="11" t="s">
        <v>21</v>
      </c>
      <c r="I1918" s="12" t="n">
        <v>55</v>
      </c>
      <c r="J1918" s="13" t="n">
        <v>450</v>
      </c>
      <c r="K1918" s="14" t="n">
        <f aca="false">I1918*J1918</f>
        <v>24750</v>
      </c>
      <c r="L1918" s="14" t="n">
        <f aca="false">($L$2*M1918)/100</f>
        <v>420583.275</v>
      </c>
      <c r="M1918" s="15" t="n">
        <v>0.35</v>
      </c>
      <c r="N1918" s="9" t="s">
        <v>20</v>
      </c>
    </row>
    <row r="1919" customFormat="false" ht="14.25" hidden="false" customHeight="true" outlineLevel="0" collapsed="false">
      <c r="B1919" s="9" t="s">
        <v>32</v>
      </c>
      <c r="C1919" s="9" t="n">
        <v>1128299</v>
      </c>
      <c r="D1919" s="10" t="n">
        <v>44464</v>
      </c>
      <c r="E1919" s="9" t="s">
        <v>33</v>
      </c>
      <c r="F1919" s="9" t="s">
        <v>82</v>
      </c>
      <c r="G1919" s="9" t="s">
        <v>65</v>
      </c>
      <c r="H1919" s="11" t="s">
        <v>22</v>
      </c>
      <c r="I1919" s="12" t="n">
        <v>50</v>
      </c>
      <c r="J1919" s="13" t="n">
        <v>250</v>
      </c>
      <c r="K1919" s="14" t="n">
        <f aca="false">I1919*J1919</f>
        <v>12500</v>
      </c>
      <c r="L1919" s="14" t="n">
        <f aca="false">($L$2*M1919)/100</f>
        <v>420583.275</v>
      </c>
      <c r="M1919" s="15" t="n">
        <v>0.35</v>
      </c>
      <c r="N1919" s="9" t="s">
        <v>20</v>
      </c>
    </row>
    <row r="1920" customFormat="false" ht="14.25" hidden="false" customHeight="true" outlineLevel="0" collapsed="false">
      <c r="B1920" s="9" t="s">
        <v>32</v>
      </c>
      <c r="C1920" s="9" t="n">
        <v>1128299</v>
      </c>
      <c r="D1920" s="10" t="n">
        <v>44464</v>
      </c>
      <c r="E1920" s="9" t="s">
        <v>33</v>
      </c>
      <c r="F1920" s="9" t="s">
        <v>82</v>
      </c>
      <c r="G1920" s="9" t="s">
        <v>65</v>
      </c>
      <c r="H1920" s="11" t="s">
        <v>23</v>
      </c>
      <c r="I1920" s="12" t="n">
        <v>50</v>
      </c>
      <c r="J1920" s="13" t="n">
        <v>200</v>
      </c>
      <c r="K1920" s="14" t="n">
        <f aca="false">I1920*J1920</f>
        <v>10000</v>
      </c>
      <c r="L1920" s="14" t="n">
        <f aca="false">($L$2*M1920)/100</f>
        <v>420583.275</v>
      </c>
      <c r="M1920" s="15" t="n">
        <v>0.35</v>
      </c>
      <c r="N1920" s="9" t="s">
        <v>20</v>
      </c>
    </row>
    <row r="1921" customFormat="false" ht="14.25" hidden="false" customHeight="true" outlineLevel="0" collapsed="false">
      <c r="B1921" s="9" t="s">
        <v>32</v>
      </c>
      <c r="C1921" s="9" t="n">
        <v>1128299</v>
      </c>
      <c r="D1921" s="10" t="n">
        <v>44464</v>
      </c>
      <c r="E1921" s="9" t="s">
        <v>33</v>
      </c>
      <c r="F1921" s="9" t="s">
        <v>82</v>
      </c>
      <c r="G1921" s="9" t="s">
        <v>65</v>
      </c>
      <c r="H1921" s="11" t="s">
        <v>24</v>
      </c>
      <c r="I1921" s="12" t="n">
        <v>60</v>
      </c>
      <c r="J1921" s="13" t="n">
        <v>225</v>
      </c>
      <c r="K1921" s="14" t="n">
        <f aca="false">I1921*J1921</f>
        <v>13500</v>
      </c>
      <c r="L1921" s="14" t="n">
        <f aca="false">($L$2*M1921)/100</f>
        <v>480666.6</v>
      </c>
      <c r="M1921" s="15" t="n">
        <v>0.4</v>
      </c>
      <c r="N1921" s="9" t="s">
        <v>20</v>
      </c>
    </row>
    <row r="1922" customFormat="false" ht="14.25" hidden="false" customHeight="true" outlineLevel="0" collapsed="false">
      <c r="B1922" s="9" t="s">
        <v>32</v>
      </c>
      <c r="C1922" s="9" t="n">
        <v>1128299</v>
      </c>
      <c r="D1922" s="10" t="n">
        <v>44464</v>
      </c>
      <c r="E1922" s="9" t="s">
        <v>33</v>
      </c>
      <c r="F1922" s="9" t="s">
        <v>82</v>
      </c>
      <c r="G1922" s="9" t="s">
        <v>65</v>
      </c>
      <c r="H1922" s="11" t="s">
        <v>25</v>
      </c>
      <c r="I1922" s="12" t="n">
        <v>45</v>
      </c>
      <c r="J1922" s="13" t="n">
        <v>250</v>
      </c>
      <c r="K1922" s="14" t="n">
        <f aca="false">I1922*J1922</f>
        <v>11250</v>
      </c>
      <c r="L1922" s="14" t="n">
        <f aca="false">($L$2*M1922)/100</f>
        <v>360499.95</v>
      </c>
      <c r="M1922" s="15" t="n">
        <v>0.3</v>
      </c>
      <c r="N1922" s="9" t="s">
        <v>20</v>
      </c>
    </row>
    <row r="1923" customFormat="false" ht="14.25" hidden="false" customHeight="true" outlineLevel="0" collapsed="false">
      <c r="B1923" s="9" t="s">
        <v>32</v>
      </c>
      <c r="C1923" s="9" t="n">
        <v>1128299</v>
      </c>
      <c r="D1923" s="10" t="n">
        <v>44493</v>
      </c>
      <c r="E1923" s="9" t="s">
        <v>33</v>
      </c>
      <c r="F1923" s="9" t="s">
        <v>82</v>
      </c>
      <c r="G1923" s="9" t="s">
        <v>65</v>
      </c>
      <c r="H1923" s="11" t="s">
        <v>19</v>
      </c>
      <c r="I1923" s="12" t="n">
        <v>40</v>
      </c>
      <c r="J1923" s="13" t="n">
        <v>350</v>
      </c>
      <c r="K1923" s="14" t="n">
        <f aca="false">I1923*J1923</f>
        <v>14000</v>
      </c>
      <c r="L1923" s="14" t="n">
        <f aca="false">($L$2*M1923)/100</f>
        <v>420583.275</v>
      </c>
      <c r="M1923" s="15" t="n">
        <v>0.35</v>
      </c>
      <c r="N1923" s="9" t="s">
        <v>20</v>
      </c>
    </row>
    <row r="1924" customFormat="false" ht="14.25" hidden="false" customHeight="true" outlineLevel="0" collapsed="false">
      <c r="B1924" s="9" t="s">
        <v>32</v>
      </c>
      <c r="C1924" s="9" t="n">
        <v>1128299</v>
      </c>
      <c r="D1924" s="10" t="n">
        <v>44493</v>
      </c>
      <c r="E1924" s="9" t="s">
        <v>33</v>
      </c>
      <c r="F1924" s="9" t="s">
        <v>82</v>
      </c>
      <c r="G1924" s="9" t="s">
        <v>65</v>
      </c>
      <c r="H1924" s="11" t="s">
        <v>21</v>
      </c>
      <c r="I1924" s="12" t="n">
        <v>55</v>
      </c>
      <c r="J1924" s="13" t="n">
        <v>525</v>
      </c>
      <c r="K1924" s="14" t="n">
        <f aca="false">I1924*J1924</f>
        <v>28875</v>
      </c>
      <c r="L1924" s="14" t="n">
        <f aca="false">($L$2*M1924)/100</f>
        <v>420583.275</v>
      </c>
      <c r="M1924" s="15" t="n">
        <v>0.35</v>
      </c>
      <c r="N1924" s="9" t="s">
        <v>20</v>
      </c>
    </row>
    <row r="1925" customFormat="false" ht="14.25" hidden="false" customHeight="true" outlineLevel="0" collapsed="false">
      <c r="B1925" s="9" t="s">
        <v>32</v>
      </c>
      <c r="C1925" s="9" t="n">
        <v>1128299</v>
      </c>
      <c r="D1925" s="10" t="n">
        <v>44493</v>
      </c>
      <c r="E1925" s="9" t="s">
        <v>33</v>
      </c>
      <c r="F1925" s="9" t="s">
        <v>82</v>
      </c>
      <c r="G1925" s="9" t="s">
        <v>65</v>
      </c>
      <c r="H1925" s="11" t="s">
        <v>22</v>
      </c>
      <c r="I1925" s="12" t="n">
        <v>50</v>
      </c>
      <c r="J1925" s="13" t="n">
        <v>350</v>
      </c>
      <c r="K1925" s="14" t="n">
        <f aca="false">I1925*J1925</f>
        <v>17500</v>
      </c>
      <c r="L1925" s="14" t="n">
        <f aca="false">($L$2*M1925)/100</f>
        <v>420583.275</v>
      </c>
      <c r="M1925" s="15" t="n">
        <v>0.35</v>
      </c>
      <c r="N1925" s="9" t="s">
        <v>20</v>
      </c>
    </row>
    <row r="1926" customFormat="false" ht="14.25" hidden="false" customHeight="true" outlineLevel="0" collapsed="false">
      <c r="B1926" s="9" t="s">
        <v>32</v>
      </c>
      <c r="C1926" s="9" t="n">
        <v>1128299</v>
      </c>
      <c r="D1926" s="10" t="n">
        <v>44493</v>
      </c>
      <c r="E1926" s="9" t="s">
        <v>33</v>
      </c>
      <c r="F1926" s="9" t="s">
        <v>82</v>
      </c>
      <c r="G1926" s="9" t="s">
        <v>65</v>
      </c>
      <c r="H1926" s="11" t="s">
        <v>23</v>
      </c>
      <c r="I1926" s="12" t="n">
        <v>45</v>
      </c>
      <c r="J1926" s="13" t="n">
        <v>325</v>
      </c>
      <c r="K1926" s="14" t="n">
        <f aca="false">I1926*J1926</f>
        <v>14625</v>
      </c>
      <c r="L1926" s="14" t="n">
        <f aca="false">($L$2*M1926)/100</f>
        <v>420583.275</v>
      </c>
      <c r="M1926" s="15" t="n">
        <v>0.35</v>
      </c>
      <c r="N1926" s="9" t="s">
        <v>20</v>
      </c>
    </row>
    <row r="1927" customFormat="false" ht="14.25" hidden="false" customHeight="true" outlineLevel="0" collapsed="false">
      <c r="B1927" s="9" t="s">
        <v>32</v>
      </c>
      <c r="C1927" s="9" t="n">
        <v>1128299</v>
      </c>
      <c r="D1927" s="10" t="n">
        <v>44493</v>
      </c>
      <c r="E1927" s="9" t="s">
        <v>33</v>
      </c>
      <c r="F1927" s="9" t="s">
        <v>82</v>
      </c>
      <c r="G1927" s="9" t="s">
        <v>65</v>
      </c>
      <c r="H1927" s="11" t="s">
        <v>24</v>
      </c>
      <c r="I1927" s="12" t="n">
        <v>55</v>
      </c>
      <c r="J1927" s="13" t="n">
        <v>300</v>
      </c>
      <c r="K1927" s="14" t="n">
        <f aca="false">I1927*J1927</f>
        <v>16500</v>
      </c>
      <c r="L1927" s="14" t="n">
        <f aca="false">($L$2*M1927)/100</f>
        <v>480666.6</v>
      </c>
      <c r="M1927" s="15" t="n">
        <v>0.4</v>
      </c>
      <c r="N1927" s="9" t="s">
        <v>20</v>
      </c>
    </row>
    <row r="1928" customFormat="false" ht="14.25" hidden="false" customHeight="true" outlineLevel="0" collapsed="false">
      <c r="B1928" s="9" t="s">
        <v>32</v>
      </c>
      <c r="C1928" s="9" t="n">
        <v>1128299</v>
      </c>
      <c r="D1928" s="10" t="n">
        <v>44493</v>
      </c>
      <c r="E1928" s="9" t="s">
        <v>33</v>
      </c>
      <c r="F1928" s="9" t="s">
        <v>82</v>
      </c>
      <c r="G1928" s="9" t="s">
        <v>65</v>
      </c>
      <c r="H1928" s="11" t="s">
        <v>25</v>
      </c>
      <c r="I1928" s="12" t="n">
        <v>60</v>
      </c>
      <c r="J1928" s="13" t="n">
        <v>350</v>
      </c>
      <c r="K1928" s="14" t="n">
        <f aca="false">I1928*J1928</f>
        <v>21000</v>
      </c>
      <c r="L1928" s="14" t="n">
        <f aca="false">($L$2*M1928)/100</f>
        <v>360499.95</v>
      </c>
      <c r="M1928" s="15" t="n">
        <v>0.3</v>
      </c>
      <c r="N1928" s="9" t="s">
        <v>20</v>
      </c>
    </row>
    <row r="1929" customFormat="false" ht="14.25" hidden="false" customHeight="true" outlineLevel="0" collapsed="false">
      <c r="B1929" s="9" t="s">
        <v>32</v>
      </c>
      <c r="C1929" s="9" t="n">
        <v>1128299</v>
      </c>
      <c r="D1929" s="10" t="n">
        <v>44524</v>
      </c>
      <c r="E1929" s="9" t="s">
        <v>33</v>
      </c>
      <c r="F1929" s="9" t="s">
        <v>82</v>
      </c>
      <c r="G1929" s="9" t="s">
        <v>65</v>
      </c>
      <c r="H1929" s="11" t="s">
        <v>19</v>
      </c>
      <c r="I1929" s="12" t="n">
        <v>45</v>
      </c>
      <c r="J1929" s="13" t="n">
        <v>575</v>
      </c>
      <c r="K1929" s="14" t="n">
        <f aca="false">I1929*J1929</f>
        <v>25875</v>
      </c>
      <c r="L1929" s="14" t="n">
        <f aca="false">($L$2*M1929)/100</f>
        <v>420583.275</v>
      </c>
      <c r="M1929" s="15" t="n">
        <v>0.35</v>
      </c>
      <c r="N1929" s="9" t="s">
        <v>20</v>
      </c>
    </row>
    <row r="1930" customFormat="false" ht="14.25" hidden="false" customHeight="true" outlineLevel="0" collapsed="false">
      <c r="B1930" s="9" t="s">
        <v>32</v>
      </c>
      <c r="C1930" s="9" t="n">
        <v>1128299</v>
      </c>
      <c r="D1930" s="10" t="n">
        <v>44524</v>
      </c>
      <c r="E1930" s="9" t="s">
        <v>33</v>
      </c>
      <c r="F1930" s="9" t="s">
        <v>82</v>
      </c>
      <c r="G1930" s="9" t="s">
        <v>65</v>
      </c>
      <c r="H1930" s="11" t="s">
        <v>21</v>
      </c>
      <c r="I1930" s="12" t="n">
        <v>50</v>
      </c>
      <c r="J1930" s="13" t="n">
        <v>650</v>
      </c>
      <c r="K1930" s="14" t="n">
        <f aca="false">I1930*J1930</f>
        <v>32500</v>
      </c>
      <c r="L1930" s="14" t="n">
        <f aca="false">($L$2*M1930)/100</f>
        <v>420583.275</v>
      </c>
      <c r="M1930" s="15" t="n">
        <v>0.35</v>
      </c>
      <c r="N1930" s="9" t="s">
        <v>20</v>
      </c>
    </row>
    <row r="1931" customFormat="false" ht="14.25" hidden="false" customHeight="true" outlineLevel="0" collapsed="false">
      <c r="B1931" s="9" t="s">
        <v>32</v>
      </c>
      <c r="C1931" s="9" t="n">
        <v>1128299</v>
      </c>
      <c r="D1931" s="10" t="n">
        <v>44524</v>
      </c>
      <c r="E1931" s="9" t="s">
        <v>33</v>
      </c>
      <c r="F1931" s="9" t="s">
        <v>82</v>
      </c>
      <c r="G1931" s="9" t="s">
        <v>65</v>
      </c>
      <c r="H1931" s="11" t="s">
        <v>22</v>
      </c>
      <c r="I1931" s="12" t="n">
        <v>45</v>
      </c>
      <c r="J1931" s="13" t="n">
        <v>475</v>
      </c>
      <c r="K1931" s="14" t="n">
        <f aca="false">I1931*J1931</f>
        <v>21375</v>
      </c>
      <c r="L1931" s="14" t="n">
        <f aca="false">($L$2*M1931)/100</f>
        <v>420583.275</v>
      </c>
      <c r="M1931" s="15" t="n">
        <v>0.35</v>
      </c>
      <c r="N1931" s="9" t="s">
        <v>20</v>
      </c>
    </row>
    <row r="1932" customFormat="false" ht="14.25" hidden="false" customHeight="true" outlineLevel="0" collapsed="false">
      <c r="B1932" s="9" t="s">
        <v>32</v>
      </c>
      <c r="C1932" s="9" t="n">
        <v>1128299</v>
      </c>
      <c r="D1932" s="10" t="n">
        <v>44524</v>
      </c>
      <c r="E1932" s="9" t="s">
        <v>33</v>
      </c>
      <c r="F1932" s="9" t="s">
        <v>82</v>
      </c>
      <c r="G1932" s="9" t="s">
        <v>65</v>
      </c>
      <c r="H1932" s="11" t="s">
        <v>23</v>
      </c>
      <c r="I1932" s="12" t="n">
        <v>55</v>
      </c>
      <c r="J1932" s="13" t="n">
        <v>450</v>
      </c>
      <c r="K1932" s="14" t="n">
        <f aca="false">I1932*J1932</f>
        <v>24750</v>
      </c>
      <c r="L1932" s="14" t="n">
        <f aca="false">($L$2*M1932)/100</f>
        <v>420583.275</v>
      </c>
      <c r="M1932" s="15" t="n">
        <v>0.35</v>
      </c>
      <c r="N1932" s="9" t="s">
        <v>20</v>
      </c>
    </row>
    <row r="1933" customFormat="false" ht="14.25" hidden="false" customHeight="true" outlineLevel="0" collapsed="false">
      <c r="B1933" s="9" t="s">
        <v>32</v>
      </c>
      <c r="C1933" s="9" t="n">
        <v>1128299</v>
      </c>
      <c r="D1933" s="10" t="n">
        <v>44524</v>
      </c>
      <c r="E1933" s="9" t="s">
        <v>33</v>
      </c>
      <c r="F1933" s="9" t="s">
        <v>82</v>
      </c>
      <c r="G1933" s="9" t="s">
        <v>65</v>
      </c>
      <c r="H1933" s="11" t="s">
        <v>24</v>
      </c>
      <c r="I1933" s="12" t="n">
        <v>75</v>
      </c>
      <c r="J1933" s="13" t="n">
        <v>425</v>
      </c>
      <c r="K1933" s="14" t="n">
        <f aca="false">I1933*J1933</f>
        <v>31875</v>
      </c>
      <c r="L1933" s="14" t="n">
        <f aca="false">($L$2*M1933)/100</f>
        <v>480666.6</v>
      </c>
      <c r="M1933" s="15" t="n">
        <v>0.4</v>
      </c>
      <c r="N1933" s="9" t="s">
        <v>20</v>
      </c>
    </row>
    <row r="1934" customFormat="false" ht="14.25" hidden="false" customHeight="true" outlineLevel="0" collapsed="false">
      <c r="B1934" s="9" t="s">
        <v>32</v>
      </c>
      <c r="C1934" s="9" t="n">
        <v>1128299</v>
      </c>
      <c r="D1934" s="10" t="n">
        <v>44524</v>
      </c>
      <c r="E1934" s="9" t="s">
        <v>33</v>
      </c>
      <c r="F1934" s="9" t="s">
        <v>82</v>
      </c>
      <c r="G1934" s="9" t="s">
        <v>65</v>
      </c>
      <c r="H1934" s="11" t="s">
        <v>25</v>
      </c>
      <c r="I1934" s="12" t="n">
        <v>80</v>
      </c>
      <c r="J1934" s="13" t="n">
        <v>550</v>
      </c>
      <c r="K1934" s="14" t="n">
        <f aca="false">I1934*J1934</f>
        <v>44000</v>
      </c>
      <c r="L1934" s="14" t="n">
        <f aca="false">($L$2*M1934)/100</f>
        <v>360499.95</v>
      </c>
      <c r="M1934" s="15" t="n">
        <v>0.3</v>
      </c>
      <c r="N1934" s="9" t="s">
        <v>20</v>
      </c>
    </row>
    <row r="1935" customFormat="false" ht="14.25" hidden="false" customHeight="true" outlineLevel="0" collapsed="false">
      <c r="B1935" s="9" t="s">
        <v>32</v>
      </c>
      <c r="C1935" s="9" t="n">
        <v>1128299</v>
      </c>
      <c r="D1935" s="10" t="n">
        <v>44553</v>
      </c>
      <c r="E1935" s="9" t="s">
        <v>33</v>
      </c>
      <c r="F1935" s="9" t="s">
        <v>82</v>
      </c>
      <c r="G1935" s="9" t="s">
        <v>65</v>
      </c>
      <c r="H1935" s="11" t="s">
        <v>19</v>
      </c>
      <c r="I1935" s="12" t="n">
        <v>65</v>
      </c>
      <c r="J1935" s="13" t="n">
        <v>750</v>
      </c>
      <c r="K1935" s="14" t="n">
        <f aca="false">I1935*J1935</f>
        <v>48750</v>
      </c>
      <c r="L1935" s="14" t="n">
        <f aca="false">($L$2*M1935)/100</f>
        <v>420583.275</v>
      </c>
      <c r="M1935" s="15" t="n">
        <v>0.35</v>
      </c>
      <c r="N1935" s="9" t="s">
        <v>20</v>
      </c>
    </row>
    <row r="1936" customFormat="false" ht="14.25" hidden="false" customHeight="true" outlineLevel="0" collapsed="false">
      <c r="B1936" s="9" t="s">
        <v>32</v>
      </c>
      <c r="C1936" s="9" t="n">
        <v>1128299</v>
      </c>
      <c r="D1936" s="10" t="n">
        <v>44553</v>
      </c>
      <c r="E1936" s="9" t="s">
        <v>33</v>
      </c>
      <c r="F1936" s="9" t="s">
        <v>82</v>
      </c>
      <c r="G1936" s="9" t="s">
        <v>65</v>
      </c>
      <c r="H1936" s="11" t="s">
        <v>21</v>
      </c>
      <c r="I1936" s="12" t="n">
        <v>75</v>
      </c>
      <c r="J1936" s="13" t="n">
        <v>750</v>
      </c>
      <c r="K1936" s="14" t="n">
        <f aca="false">I1936*J1936</f>
        <v>56250</v>
      </c>
      <c r="L1936" s="14" t="n">
        <f aca="false">($L$2*M1936)/100</f>
        <v>420583.275</v>
      </c>
      <c r="M1936" s="15" t="n">
        <v>0.35</v>
      </c>
      <c r="N1936" s="9" t="s">
        <v>20</v>
      </c>
    </row>
    <row r="1937" customFormat="false" ht="14.25" hidden="false" customHeight="true" outlineLevel="0" collapsed="false">
      <c r="B1937" s="9" t="s">
        <v>32</v>
      </c>
      <c r="C1937" s="9" t="n">
        <v>1128299</v>
      </c>
      <c r="D1937" s="10" t="n">
        <v>44553</v>
      </c>
      <c r="E1937" s="9" t="s">
        <v>33</v>
      </c>
      <c r="F1937" s="9" t="s">
        <v>82</v>
      </c>
      <c r="G1937" s="9" t="s">
        <v>65</v>
      </c>
      <c r="H1937" s="11" t="s">
        <v>22</v>
      </c>
      <c r="I1937" s="12" t="n">
        <v>70</v>
      </c>
      <c r="J1937" s="13" t="n">
        <v>550</v>
      </c>
      <c r="K1937" s="14" t="n">
        <f aca="false">I1937*J1937</f>
        <v>38500</v>
      </c>
      <c r="L1937" s="14" t="n">
        <f aca="false">($L$2*M1937)/100</f>
        <v>420583.275</v>
      </c>
      <c r="M1937" s="15" t="n">
        <v>0.35</v>
      </c>
      <c r="N1937" s="9" t="s">
        <v>20</v>
      </c>
    </row>
    <row r="1938" customFormat="false" ht="14.25" hidden="false" customHeight="true" outlineLevel="0" collapsed="false">
      <c r="B1938" s="9" t="s">
        <v>32</v>
      </c>
      <c r="C1938" s="9" t="n">
        <v>1128299</v>
      </c>
      <c r="D1938" s="10" t="n">
        <v>44553</v>
      </c>
      <c r="E1938" s="9" t="s">
        <v>33</v>
      </c>
      <c r="F1938" s="9" t="s">
        <v>82</v>
      </c>
      <c r="G1938" s="9" t="s">
        <v>65</v>
      </c>
      <c r="H1938" s="11" t="s">
        <v>23</v>
      </c>
      <c r="I1938" s="12" t="n">
        <v>70</v>
      </c>
      <c r="J1938" s="13" t="n">
        <v>550</v>
      </c>
      <c r="K1938" s="14" t="n">
        <f aca="false">I1938*J1938</f>
        <v>38500</v>
      </c>
      <c r="L1938" s="14" t="n">
        <f aca="false">($L$2*M1938)/100</f>
        <v>420583.275</v>
      </c>
      <c r="M1938" s="15" t="n">
        <v>0.35</v>
      </c>
      <c r="N1938" s="9" t="s">
        <v>20</v>
      </c>
    </row>
    <row r="1939" customFormat="false" ht="14.25" hidden="false" customHeight="true" outlineLevel="0" collapsed="false">
      <c r="B1939" s="9" t="s">
        <v>32</v>
      </c>
      <c r="C1939" s="9" t="n">
        <v>1128299</v>
      </c>
      <c r="D1939" s="10" t="n">
        <v>44553</v>
      </c>
      <c r="E1939" s="9" t="s">
        <v>33</v>
      </c>
      <c r="F1939" s="9" t="s">
        <v>82</v>
      </c>
      <c r="G1939" s="9" t="s">
        <v>65</v>
      </c>
      <c r="H1939" s="11" t="s">
        <v>24</v>
      </c>
      <c r="I1939" s="12" t="n">
        <v>80</v>
      </c>
      <c r="J1939" s="13" t="n">
        <v>475</v>
      </c>
      <c r="K1939" s="14" t="n">
        <f aca="false">I1939*J1939</f>
        <v>38000</v>
      </c>
      <c r="L1939" s="14" t="n">
        <f aca="false">($L$2*M1939)/100</f>
        <v>480666.6</v>
      </c>
      <c r="M1939" s="15" t="n">
        <v>0.4</v>
      </c>
      <c r="N1939" s="9" t="s">
        <v>20</v>
      </c>
    </row>
    <row r="1940" customFormat="false" ht="14.25" hidden="false" customHeight="true" outlineLevel="0" collapsed="false">
      <c r="B1940" s="9" t="s">
        <v>32</v>
      </c>
      <c r="C1940" s="9" t="n">
        <v>1128299</v>
      </c>
      <c r="D1940" s="10" t="n">
        <v>44553</v>
      </c>
      <c r="E1940" s="9" t="s">
        <v>33</v>
      </c>
      <c r="F1940" s="9" t="s">
        <v>82</v>
      </c>
      <c r="G1940" s="9" t="s">
        <v>65</v>
      </c>
      <c r="H1940" s="11" t="s">
        <v>25</v>
      </c>
      <c r="I1940" s="12" t="n">
        <v>85</v>
      </c>
      <c r="J1940" s="13" t="n">
        <v>575</v>
      </c>
      <c r="K1940" s="14" t="n">
        <f aca="false">I1940*J1940</f>
        <v>48875</v>
      </c>
      <c r="L1940" s="14" t="n">
        <f aca="false">($L$2*M1940)/100</f>
        <v>360499.95</v>
      </c>
      <c r="M1940" s="15" t="n">
        <v>0.3</v>
      </c>
      <c r="N1940" s="9" t="s">
        <v>20</v>
      </c>
    </row>
    <row r="1941" customFormat="false" ht="14.25" hidden="false" customHeight="true" outlineLevel="0" collapsed="false">
      <c r="B1941" s="9" t="s">
        <v>32</v>
      </c>
      <c r="C1941" s="9" t="n">
        <v>1128299</v>
      </c>
      <c r="D1941" s="10" t="n">
        <v>44213</v>
      </c>
      <c r="E1941" s="9" t="s">
        <v>33</v>
      </c>
      <c r="F1941" s="9" t="s">
        <v>82</v>
      </c>
      <c r="G1941" s="9" t="s">
        <v>65</v>
      </c>
      <c r="H1941" s="11" t="s">
        <v>19</v>
      </c>
      <c r="I1941" s="12" t="n">
        <v>35</v>
      </c>
      <c r="J1941" s="13" t="n">
        <v>400</v>
      </c>
      <c r="K1941" s="14" t="n">
        <f aca="false">I1941*J1941</f>
        <v>14000</v>
      </c>
      <c r="L1941" s="14" t="n">
        <f aca="false">($L$2*M1941)/100</f>
        <v>480666.6</v>
      </c>
      <c r="M1941" s="15" t="n">
        <v>0.4</v>
      </c>
      <c r="N1941" s="9" t="s">
        <v>20</v>
      </c>
    </row>
    <row r="1942" customFormat="false" ht="14.25" hidden="false" customHeight="true" outlineLevel="0" collapsed="false">
      <c r="B1942" s="9" t="s">
        <v>32</v>
      </c>
      <c r="C1942" s="9" t="n">
        <v>1128299</v>
      </c>
      <c r="D1942" s="10" t="n">
        <v>44213</v>
      </c>
      <c r="E1942" s="9" t="s">
        <v>33</v>
      </c>
      <c r="F1942" s="9" t="s">
        <v>82</v>
      </c>
      <c r="G1942" s="9" t="s">
        <v>65</v>
      </c>
      <c r="H1942" s="11" t="s">
        <v>21</v>
      </c>
      <c r="I1942" s="12" t="n">
        <v>45</v>
      </c>
      <c r="J1942" s="13" t="n">
        <v>400</v>
      </c>
      <c r="K1942" s="14" t="n">
        <f aca="false">I1942*J1942</f>
        <v>18000</v>
      </c>
      <c r="L1942" s="14" t="n">
        <f aca="false">($L$2*M1942)/100</f>
        <v>480666.6</v>
      </c>
      <c r="M1942" s="15" t="n">
        <v>0.4</v>
      </c>
      <c r="N1942" s="9" t="s">
        <v>20</v>
      </c>
    </row>
    <row r="1943" customFormat="false" ht="14.25" hidden="false" customHeight="true" outlineLevel="0" collapsed="false">
      <c r="B1943" s="9" t="s">
        <v>32</v>
      </c>
      <c r="C1943" s="9" t="n">
        <v>1128299</v>
      </c>
      <c r="D1943" s="10" t="n">
        <v>44213</v>
      </c>
      <c r="E1943" s="9" t="s">
        <v>33</v>
      </c>
      <c r="F1943" s="9" t="s">
        <v>82</v>
      </c>
      <c r="G1943" s="9" t="s">
        <v>65</v>
      </c>
      <c r="H1943" s="11" t="s">
        <v>22</v>
      </c>
      <c r="I1943" s="12" t="n">
        <v>45</v>
      </c>
      <c r="J1943" s="13" t="n">
        <v>400</v>
      </c>
      <c r="K1943" s="14" t="n">
        <f aca="false">I1943*J1943</f>
        <v>18000</v>
      </c>
      <c r="L1943" s="14" t="n">
        <f aca="false">($L$2*M1943)/100</f>
        <v>480666.6</v>
      </c>
      <c r="M1943" s="15" t="n">
        <v>0.4</v>
      </c>
      <c r="N1943" s="9" t="s">
        <v>20</v>
      </c>
    </row>
    <row r="1944" customFormat="false" ht="14.25" hidden="false" customHeight="true" outlineLevel="0" collapsed="false">
      <c r="B1944" s="9" t="s">
        <v>32</v>
      </c>
      <c r="C1944" s="9" t="n">
        <v>1128299</v>
      </c>
      <c r="D1944" s="10" t="n">
        <v>44213</v>
      </c>
      <c r="E1944" s="9" t="s">
        <v>33</v>
      </c>
      <c r="F1944" s="9" t="s">
        <v>82</v>
      </c>
      <c r="G1944" s="9" t="s">
        <v>65</v>
      </c>
      <c r="H1944" s="11" t="s">
        <v>23</v>
      </c>
      <c r="I1944" s="12" t="n">
        <v>45</v>
      </c>
      <c r="J1944" s="13" t="n">
        <v>250</v>
      </c>
      <c r="K1944" s="14" t="n">
        <f aca="false">I1944*J1944</f>
        <v>11250</v>
      </c>
      <c r="L1944" s="14" t="n">
        <f aca="false">($L$2*M1944)/100</f>
        <v>480666.6</v>
      </c>
      <c r="M1944" s="15" t="n">
        <v>0.4</v>
      </c>
      <c r="N1944" s="9" t="s">
        <v>20</v>
      </c>
    </row>
    <row r="1945" customFormat="false" ht="14.25" hidden="false" customHeight="true" outlineLevel="0" collapsed="false">
      <c r="B1945" s="9" t="s">
        <v>32</v>
      </c>
      <c r="C1945" s="9" t="n">
        <v>1128299</v>
      </c>
      <c r="D1945" s="10" t="n">
        <v>44213</v>
      </c>
      <c r="E1945" s="9" t="s">
        <v>33</v>
      </c>
      <c r="F1945" s="9" t="s">
        <v>82</v>
      </c>
      <c r="G1945" s="9" t="s">
        <v>65</v>
      </c>
      <c r="H1945" s="11" t="s">
        <v>24</v>
      </c>
      <c r="I1945" s="12" t="n">
        <v>50</v>
      </c>
      <c r="J1945" s="13" t="n">
        <v>200</v>
      </c>
      <c r="K1945" s="14" t="n">
        <f aca="false">I1945*J1945</f>
        <v>10000</v>
      </c>
      <c r="L1945" s="14" t="n">
        <f aca="false">($L$2*M1945)/100</f>
        <v>540749.925</v>
      </c>
      <c r="M1945" s="15" t="n">
        <v>0.45</v>
      </c>
      <c r="N1945" s="9" t="s">
        <v>20</v>
      </c>
    </row>
    <row r="1946" customFormat="false" ht="14.25" hidden="false" customHeight="true" outlineLevel="0" collapsed="false">
      <c r="B1946" s="9" t="s">
        <v>32</v>
      </c>
      <c r="C1946" s="9" t="n">
        <v>1128299</v>
      </c>
      <c r="D1946" s="10" t="n">
        <v>44213</v>
      </c>
      <c r="E1946" s="9" t="s">
        <v>33</v>
      </c>
      <c r="F1946" s="9" t="s">
        <v>82</v>
      </c>
      <c r="G1946" s="9" t="s">
        <v>65</v>
      </c>
      <c r="H1946" s="11" t="s">
        <v>25</v>
      </c>
      <c r="I1946" s="12" t="n">
        <v>45</v>
      </c>
      <c r="J1946" s="13" t="n">
        <v>450</v>
      </c>
      <c r="K1946" s="14" t="n">
        <f aca="false">I1946*J1946</f>
        <v>20250</v>
      </c>
      <c r="L1946" s="14" t="n">
        <f aca="false">($L$2*M1946)/100</f>
        <v>420583.275</v>
      </c>
      <c r="M1946" s="15" t="n">
        <v>0.35</v>
      </c>
      <c r="N1946" s="9" t="s">
        <v>20</v>
      </c>
    </row>
    <row r="1947" customFormat="false" ht="14.25" hidden="false" customHeight="true" outlineLevel="0" collapsed="false">
      <c r="B1947" s="9" t="s">
        <v>32</v>
      </c>
      <c r="C1947" s="9" t="n">
        <v>1128299</v>
      </c>
      <c r="D1947" s="10" t="n">
        <v>44244</v>
      </c>
      <c r="E1947" s="9" t="s">
        <v>33</v>
      </c>
      <c r="F1947" s="9" t="s">
        <v>82</v>
      </c>
      <c r="G1947" s="9" t="s">
        <v>65</v>
      </c>
      <c r="H1947" s="11" t="s">
        <v>19</v>
      </c>
      <c r="I1947" s="12" t="n">
        <v>35</v>
      </c>
      <c r="J1947" s="13" t="n">
        <v>500</v>
      </c>
      <c r="K1947" s="14" t="n">
        <f aca="false">I1947*J1947</f>
        <v>17500</v>
      </c>
      <c r="L1947" s="14" t="n">
        <f aca="false">($L$2*M1947)/100</f>
        <v>480666.6</v>
      </c>
      <c r="M1947" s="15" t="n">
        <v>0.4</v>
      </c>
      <c r="N1947" s="9" t="s">
        <v>20</v>
      </c>
    </row>
    <row r="1948" customFormat="false" ht="14.25" hidden="false" customHeight="true" outlineLevel="0" collapsed="false">
      <c r="B1948" s="9" t="s">
        <v>32</v>
      </c>
      <c r="C1948" s="9" t="n">
        <v>1128299</v>
      </c>
      <c r="D1948" s="10" t="n">
        <v>44244</v>
      </c>
      <c r="E1948" s="9" t="s">
        <v>33</v>
      </c>
      <c r="F1948" s="9" t="s">
        <v>82</v>
      </c>
      <c r="G1948" s="9" t="s">
        <v>65</v>
      </c>
      <c r="H1948" s="11" t="s">
        <v>21</v>
      </c>
      <c r="I1948" s="12" t="n">
        <v>45</v>
      </c>
      <c r="J1948" s="13" t="n">
        <v>400</v>
      </c>
      <c r="K1948" s="14" t="n">
        <f aca="false">I1948*J1948</f>
        <v>18000</v>
      </c>
      <c r="L1948" s="14" t="n">
        <f aca="false">($L$2*M1948)/100</f>
        <v>480666.6</v>
      </c>
      <c r="M1948" s="15" t="n">
        <v>0.4</v>
      </c>
      <c r="N1948" s="9" t="s">
        <v>20</v>
      </c>
    </row>
    <row r="1949" customFormat="false" ht="14.25" hidden="false" customHeight="true" outlineLevel="0" collapsed="false">
      <c r="B1949" s="9" t="s">
        <v>32</v>
      </c>
      <c r="C1949" s="9" t="n">
        <v>1128299</v>
      </c>
      <c r="D1949" s="10" t="n">
        <v>44244</v>
      </c>
      <c r="E1949" s="9" t="s">
        <v>33</v>
      </c>
      <c r="F1949" s="9" t="s">
        <v>82</v>
      </c>
      <c r="G1949" s="9" t="s">
        <v>65</v>
      </c>
      <c r="H1949" s="11" t="s">
        <v>22</v>
      </c>
      <c r="I1949" s="12" t="n">
        <v>45</v>
      </c>
      <c r="J1949" s="13" t="n">
        <v>400</v>
      </c>
      <c r="K1949" s="14" t="n">
        <f aca="false">I1949*J1949</f>
        <v>18000</v>
      </c>
      <c r="L1949" s="14" t="n">
        <f aca="false">($L$2*M1949)/100</f>
        <v>480666.6</v>
      </c>
      <c r="M1949" s="15" t="n">
        <v>0.4</v>
      </c>
      <c r="N1949" s="9" t="s">
        <v>20</v>
      </c>
    </row>
    <row r="1950" customFormat="false" ht="14.25" hidden="false" customHeight="true" outlineLevel="0" collapsed="false">
      <c r="B1950" s="9" t="s">
        <v>32</v>
      </c>
      <c r="C1950" s="9" t="n">
        <v>1128299</v>
      </c>
      <c r="D1950" s="10" t="n">
        <v>44244</v>
      </c>
      <c r="E1950" s="9" t="s">
        <v>29</v>
      </c>
      <c r="F1950" s="9" t="s">
        <v>83</v>
      </c>
      <c r="G1950" s="9" t="s">
        <v>84</v>
      </c>
      <c r="H1950" s="11" t="s">
        <v>23</v>
      </c>
      <c r="I1950" s="12" t="n">
        <v>45</v>
      </c>
      <c r="J1950" s="13" t="n">
        <v>250</v>
      </c>
      <c r="K1950" s="14" t="n">
        <f aca="false">I1950*J1950</f>
        <v>11250</v>
      </c>
      <c r="L1950" s="14" t="n">
        <f aca="false">($L$2*M1950)/100</f>
        <v>480666.6</v>
      </c>
      <c r="M1950" s="15" t="n">
        <v>0.4</v>
      </c>
      <c r="N1950" s="9" t="s">
        <v>20</v>
      </c>
    </row>
    <row r="1951" customFormat="false" ht="14.25" hidden="false" customHeight="true" outlineLevel="0" collapsed="false">
      <c r="B1951" s="9" t="s">
        <v>32</v>
      </c>
      <c r="C1951" s="9" t="n">
        <v>1128299</v>
      </c>
      <c r="D1951" s="10" t="n">
        <v>44244</v>
      </c>
      <c r="E1951" s="9" t="s">
        <v>29</v>
      </c>
      <c r="F1951" s="9" t="s">
        <v>83</v>
      </c>
      <c r="G1951" s="9" t="s">
        <v>84</v>
      </c>
      <c r="H1951" s="11" t="s">
        <v>24</v>
      </c>
      <c r="I1951" s="12" t="n">
        <v>50</v>
      </c>
      <c r="J1951" s="13" t="n">
        <v>175</v>
      </c>
      <c r="K1951" s="14" t="n">
        <f aca="false">I1951*J1951</f>
        <v>8750</v>
      </c>
      <c r="L1951" s="14" t="n">
        <f aca="false">($L$2*M1951)/100</f>
        <v>540749.925</v>
      </c>
      <c r="M1951" s="15" t="n">
        <v>0.45</v>
      </c>
      <c r="N1951" s="9" t="s">
        <v>20</v>
      </c>
    </row>
    <row r="1952" customFormat="false" ht="14.25" hidden="false" customHeight="true" outlineLevel="0" collapsed="false">
      <c r="B1952" s="9" t="s">
        <v>32</v>
      </c>
      <c r="C1952" s="9" t="n">
        <v>1128299</v>
      </c>
      <c r="D1952" s="10" t="n">
        <v>44244</v>
      </c>
      <c r="E1952" s="9" t="s">
        <v>29</v>
      </c>
      <c r="F1952" s="9" t="s">
        <v>83</v>
      </c>
      <c r="G1952" s="9" t="s">
        <v>84</v>
      </c>
      <c r="H1952" s="11" t="s">
        <v>25</v>
      </c>
      <c r="I1952" s="12" t="n">
        <v>45</v>
      </c>
      <c r="J1952" s="13" t="n">
        <v>375</v>
      </c>
      <c r="K1952" s="14" t="n">
        <f aca="false">I1952*J1952</f>
        <v>16875</v>
      </c>
      <c r="L1952" s="14" t="n">
        <f aca="false">($L$2*M1952)/100</f>
        <v>420583.275</v>
      </c>
      <c r="M1952" s="15" t="n">
        <v>0.35</v>
      </c>
      <c r="N1952" s="9" t="s">
        <v>20</v>
      </c>
    </row>
    <row r="1953" customFormat="false" ht="14.25" hidden="false" customHeight="true" outlineLevel="0" collapsed="false">
      <c r="B1953" s="9" t="s">
        <v>32</v>
      </c>
      <c r="C1953" s="9" t="n">
        <v>1128299</v>
      </c>
      <c r="D1953" s="10" t="n">
        <v>44271</v>
      </c>
      <c r="E1953" s="9" t="s">
        <v>29</v>
      </c>
      <c r="F1953" s="9" t="s">
        <v>83</v>
      </c>
      <c r="G1953" s="9" t="s">
        <v>84</v>
      </c>
      <c r="H1953" s="11" t="s">
        <v>19</v>
      </c>
      <c r="I1953" s="12" t="n">
        <v>45</v>
      </c>
      <c r="J1953" s="13" t="n">
        <v>525</v>
      </c>
      <c r="K1953" s="14" t="n">
        <f aca="false">I1953*J1953</f>
        <v>23625</v>
      </c>
      <c r="L1953" s="14" t="n">
        <f aca="false">($L$2*M1953)/100</f>
        <v>480666.6</v>
      </c>
      <c r="M1953" s="15" t="n">
        <v>0.4</v>
      </c>
      <c r="N1953" s="9" t="s">
        <v>20</v>
      </c>
    </row>
    <row r="1954" customFormat="false" ht="14.25" hidden="false" customHeight="true" outlineLevel="0" collapsed="false">
      <c r="B1954" s="9" t="s">
        <v>32</v>
      </c>
      <c r="C1954" s="9" t="n">
        <v>1128299</v>
      </c>
      <c r="D1954" s="10" t="n">
        <v>44271</v>
      </c>
      <c r="E1954" s="9" t="s">
        <v>29</v>
      </c>
      <c r="F1954" s="9" t="s">
        <v>83</v>
      </c>
      <c r="G1954" s="9" t="s">
        <v>84</v>
      </c>
      <c r="H1954" s="11" t="s">
        <v>21</v>
      </c>
      <c r="I1954" s="12" t="n">
        <v>55</v>
      </c>
      <c r="J1954" s="13" t="n">
        <v>375</v>
      </c>
      <c r="K1954" s="14" t="n">
        <f aca="false">I1954*J1954</f>
        <v>20625</v>
      </c>
      <c r="L1954" s="14" t="n">
        <f aca="false">($L$2*M1954)/100</f>
        <v>480666.6</v>
      </c>
      <c r="M1954" s="15" t="n">
        <v>0.4</v>
      </c>
      <c r="N1954" s="9" t="s">
        <v>20</v>
      </c>
    </row>
    <row r="1955" customFormat="false" ht="14.25" hidden="false" customHeight="true" outlineLevel="0" collapsed="false">
      <c r="B1955" s="9" t="s">
        <v>32</v>
      </c>
      <c r="C1955" s="9" t="n">
        <v>1128299</v>
      </c>
      <c r="D1955" s="10" t="n">
        <v>44271</v>
      </c>
      <c r="E1955" s="9" t="s">
        <v>29</v>
      </c>
      <c r="F1955" s="9" t="s">
        <v>83</v>
      </c>
      <c r="G1955" s="9" t="s">
        <v>84</v>
      </c>
      <c r="H1955" s="11" t="s">
        <v>22</v>
      </c>
      <c r="I1955" s="12" t="n">
        <v>60</v>
      </c>
      <c r="J1955" s="13" t="n">
        <v>400</v>
      </c>
      <c r="K1955" s="14" t="n">
        <f aca="false">I1955*J1955</f>
        <v>24000</v>
      </c>
      <c r="L1955" s="14" t="n">
        <f aca="false">($L$2*M1955)/100</f>
        <v>480666.6</v>
      </c>
      <c r="M1955" s="15" t="n">
        <v>0.4</v>
      </c>
      <c r="N1955" s="9" t="s">
        <v>20</v>
      </c>
    </row>
    <row r="1956" customFormat="false" ht="14.25" hidden="false" customHeight="true" outlineLevel="0" collapsed="false">
      <c r="B1956" s="9" t="s">
        <v>32</v>
      </c>
      <c r="C1956" s="9" t="n">
        <v>1128299</v>
      </c>
      <c r="D1956" s="10" t="n">
        <v>44271</v>
      </c>
      <c r="E1956" s="9" t="s">
        <v>29</v>
      </c>
      <c r="F1956" s="9" t="s">
        <v>83</v>
      </c>
      <c r="G1956" s="9" t="s">
        <v>84</v>
      </c>
      <c r="H1956" s="11" t="s">
        <v>23</v>
      </c>
      <c r="I1956" s="12" t="n">
        <v>55</v>
      </c>
      <c r="J1956" s="13" t="n">
        <v>300</v>
      </c>
      <c r="K1956" s="14" t="n">
        <f aca="false">I1956*J1956</f>
        <v>16500</v>
      </c>
      <c r="L1956" s="14" t="n">
        <f aca="false">($L$2*M1956)/100</f>
        <v>480666.6</v>
      </c>
      <c r="M1956" s="15" t="n">
        <v>0.4</v>
      </c>
      <c r="N1956" s="9" t="s">
        <v>20</v>
      </c>
    </row>
    <row r="1957" customFormat="false" ht="14.25" hidden="false" customHeight="true" outlineLevel="0" collapsed="false">
      <c r="B1957" s="9" t="s">
        <v>32</v>
      </c>
      <c r="C1957" s="9" t="n">
        <v>1128299</v>
      </c>
      <c r="D1957" s="10" t="n">
        <v>44271</v>
      </c>
      <c r="E1957" s="9" t="s">
        <v>29</v>
      </c>
      <c r="F1957" s="9" t="s">
        <v>83</v>
      </c>
      <c r="G1957" s="9" t="s">
        <v>84</v>
      </c>
      <c r="H1957" s="11" t="s">
        <v>24</v>
      </c>
      <c r="I1957" s="12" t="n">
        <v>60</v>
      </c>
      <c r="J1957" s="13" t="n">
        <v>150</v>
      </c>
      <c r="K1957" s="14" t="n">
        <f aca="false">I1957*J1957</f>
        <v>9000</v>
      </c>
      <c r="L1957" s="14" t="n">
        <f aca="false">($L$2*M1957)/100</f>
        <v>540749.925</v>
      </c>
      <c r="M1957" s="15" t="n">
        <v>0.45</v>
      </c>
      <c r="N1957" s="9" t="s">
        <v>20</v>
      </c>
    </row>
    <row r="1958" customFormat="false" ht="14.25" hidden="false" customHeight="true" outlineLevel="0" collapsed="false">
      <c r="B1958" s="9" t="s">
        <v>32</v>
      </c>
      <c r="C1958" s="9" t="n">
        <v>1128299</v>
      </c>
      <c r="D1958" s="10" t="n">
        <v>44271</v>
      </c>
      <c r="E1958" s="9" t="s">
        <v>29</v>
      </c>
      <c r="F1958" s="9" t="s">
        <v>83</v>
      </c>
      <c r="G1958" s="9" t="s">
        <v>84</v>
      </c>
      <c r="H1958" s="11" t="s">
        <v>25</v>
      </c>
      <c r="I1958" s="12" t="n">
        <v>45</v>
      </c>
      <c r="J1958" s="13" t="n">
        <v>350</v>
      </c>
      <c r="K1958" s="14" t="n">
        <f aca="false">I1958*J1958</f>
        <v>15750</v>
      </c>
      <c r="L1958" s="14" t="n">
        <f aca="false">($L$2*M1958)/100</f>
        <v>420583.275</v>
      </c>
      <c r="M1958" s="15" t="n">
        <v>0.35</v>
      </c>
      <c r="N1958" s="9" t="s">
        <v>20</v>
      </c>
    </row>
    <row r="1959" customFormat="false" ht="14.25" hidden="false" customHeight="true" outlineLevel="0" collapsed="false">
      <c r="B1959" s="9" t="s">
        <v>32</v>
      </c>
      <c r="C1959" s="9" t="n">
        <v>1128299</v>
      </c>
      <c r="D1959" s="10" t="n">
        <v>44303</v>
      </c>
      <c r="E1959" s="9" t="s">
        <v>29</v>
      </c>
      <c r="F1959" s="9" t="s">
        <v>83</v>
      </c>
      <c r="G1959" s="9" t="s">
        <v>84</v>
      </c>
      <c r="H1959" s="11" t="s">
        <v>19</v>
      </c>
      <c r="I1959" s="12" t="n">
        <v>50</v>
      </c>
      <c r="J1959" s="13" t="n">
        <v>525</v>
      </c>
      <c r="K1959" s="14" t="n">
        <f aca="false">I1959*J1959</f>
        <v>26250</v>
      </c>
      <c r="L1959" s="14" t="n">
        <f aca="false">($L$2*M1959)/100</f>
        <v>480666.6</v>
      </c>
      <c r="M1959" s="15" t="n">
        <v>0.4</v>
      </c>
      <c r="N1959" s="9" t="s">
        <v>20</v>
      </c>
    </row>
    <row r="1960" customFormat="false" ht="14.25" hidden="false" customHeight="true" outlineLevel="0" collapsed="false">
      <c r="B1960" s="9" t="s">
        <v>32</v>
      </c>
      <c r="C1960" s="9" t="n">
        <v>1128299</v>
      </c>
      <c r="D1960" s="10" t="n">
        <v>44303</v>
      </c>
      <c r="E1960" s="9" t="s">
        <v>29</v>
      </c>
      <c r="F1960" s="9" t="s">
        <v>83</v>
      </c>
      <c r="G1960" s="9" t="s">
        <v>84</v>
      </c>
      <c r="H1960" s="11" t="s">
        <v>21</v>
      </c>
      <c r="I1960" s="12" t="n">
        <v>55</v>
      </c>
      <c r="J1960" s="13" t="n">
        <v>325</v>
      </c>
      <c r="K1960" s="14" t="n">
        <f aca="false">I1960*J1960</f>
        <v>17875</v>
      </c>
      <c r="L1960" s="14" t="n">
        <f aca="false">($L$2*M1960)/100</f>
        <v>480666.6</v>
      </c>
      <c r="M1960" s="15" t="n">
        <v>0.4</v>
      </c>
      <c r="N1960" s="9" t="s">
        <v>20</v>
      </c>
    </row>
    <row r="1961" customFormat="false" ht="14.25" hidden="false" customHeight="true" outlineLevel="0" collapsed="false">
      <c r="B1961" s="9" t="s">
        <v>32</v>
      </c>
      <c r="C1961" s="9" t="n">
        <v>1128299</v>
      </c>
      <c r="D1961" s="10" t="n">
        <v>44303</v>
      </c>
      <c r="E1961" s="9" t="s">
        <v>29</v>
      </c>
      <c r="F1961" s="9" t="s">
        <v>83</v>
      </c>
      <c r="G1961" s="9" t="s">
        <v>84</v>
      </c>
      <c r="H1961" s="11" t="s">
        <v>22</v>
      </c>
      <c r="I1961" s="12" t="n">
        <v>55</v>
      </c>
      <c r="J1961" s="13" t="n">
        <v>375</v>
      </c>
      <c r="K1961" s="14" t="n">
        <f aca="false">I1961*J1961</f>
        <v>20625</v>
      </c>
      <c r="L1961" s="14" t="n">
        <f aca="false">($L$2*M1961)/100</f>
        <v>480666.6</v>
      </c>
      <c r="M1961" s="15" t="n">
        <v>0.4</v>
      </c>
      <c r="N1961" s="9" t="s">
        <v>20</v>
      </c>
    </row>
    <row r="1962" customFormat="false" ht="14.25" hidden="false" customHeight="true" outlineLevel="0" collapsed="false">
      <c r="B1962" s="9" t="s">
        <v>32</v>
      </c>
      <c r="C1962" s="9" t="n">
        <v>1128299</v>
      </c>
      <c r="D1962" s="10" t="n">
        <v>44303</v>
      </c>
      <c r="E1962" s="9" t="s">
        <v>29</v>
      </c>
      <c r="F1962" s="9" t="s">
        <v>83</v>
      </c>
      <c r="G1962" s="9" t="s">
        <v>84</v>
      </c>
      <c r="H1962" s="11" t="s">
        <v>23</v>
      </c>
      <c r="I1962" s="12" t="n">
        <v>40</v>
      </c>
      <c r="J1962" s="13" t="n">
        <v>275</v>
      </c>
      <c r="K1962" s="14" t="n">
        <f aca="false">I1962*J1962</f>
        <v>11000</v>
      </c>
      <c r="L1962" s="14" t="n">
        <f aca="false">($L$2*M1962)/100</f>
        <v>480666.6</v>
      </c>
      <c r="M1962" s="15" t="n">
        <v>0.4</v>
      </c>
      <c r="N1962" s="9" t="s">
        <v>20</v>
      </c>
    </row>
    <row r="1963" customFormat="false" ht="14.25" hidden="false" customHeight="true" outlineLevel="0" collapsed="false">
      <c r="B1963" s="9" t="s">
        <v>32</v>
      </c>
      <c r="C1963" s="9" t="n">
        <v>1128299</v>
      </c>
      <c r="D1963" s="10" t="n">
        <v>44303</v>
      </c>
      <c r="E1963" s="9" t="s">
        <v>29</v>
      </c>
      <c r="F1963" s="9" t="s">
        <v>83</v>
      </c>
      <c r="G1963" s="9" t="s">
        <v>84</v>
      </c>
      <c r="H1963" s="11" t="s">
        <v>24</v>
      </c>
      <c r="I1963" s="12" t="n">
        <v>45</v>
      </c>
      <c r="J1963" s="13" t="n">
        <v>175</v>
      </c>
      <c r="K1963" s="14" t="n">
        <f aca="false">I1963*J1963</f>
        <v>7875</v>
      </c>
      <c r="L1963" s="14" t="n">
        <f aca="false">($L$2*M1963)/100</f>
        <v>540749.925</v>
      </c>
      <c r="M1963" s="15" t="n">
        <v>0.45</v>
      </c>
      <c r="N1963" s="9" t="s">
        <v>20</v>
      </c>
    </row>
    <row r="1964" customFormat="false" ht="14.25" hidden="false" customHeight="true" outlineLevel="0" collapsed="false">
      <c r="B1964" s="9" t="s">
        <v>32</v>
      </c>
      <c r="C1964" s="9" t="n">
        <v>1128299</v>
      </c>
      <c r="D1964" s="10" t="n">
        <v>44303</v>
      </c>
      <c r="E1964" s="9" t="s">
        <v>29</v>
      </c>
      <c r="F1964" s="9" t="s">
        <v>83</v>
      </c>
      <c r="G1964" s="9" t="s">
        <v>84</v>
      </c>
      <c r="H1964" s="11" t="s">
        <v>25</v>
      </c>
      <c r="I1964" s="12" t="n">
        <v>60</v>
      </c>
      <c r="J1964" s="13" t="n">
        <v>350</v>
      </c>
      <c r="K1964" s="14" t="n">
        <f aca="false">I1964*J1964</f>
        <v>21000</v>
      </c>
      <c r="L1964" s="14" t="n">
        <f aca="false">($L$2*M1964)/100</f>
        <v>420583.275</v>
      </c>
      <c r="M1964" s="15" t="n">
        <v>0.35</v>
      </c>
      <c r="N1964" s="9" t="s">
        <v>20</v>
      </c>
    </row>
    <row r="1965" customFormat="false" ht="14.25" hidden="false" customHeight="true" outlineLevel="0" collapsed="false">
      <c r="B1965" s="9" t="s">
        <v>32</v>
      </c>
      <c r="C1965" s="9" t="n">
        <v>1128299</v>
      </c>
      <c r="D1965" s="10" t="n">
        <v>44334</v>
      </c>
      <c r="E1965" s="9" t="s">
        <v>29</v>
      </c>
      <c r="F1965" s="9" t="s">
        <v>83</v>
      </c>
      <c r="G1965" s="9" t="s">
        <v>84</v>
      </c>
      <c r="H1965" s="11" t="s">
        <v>19</v>
      </c>
      <c r="I1965" s="12" t="n">
        <v>45</v>
      </c>
      <c r="J1965" s="13" t="n">
        <v>550</v>
      </c>
      <c r="K1965" s="14" t="n">
        <f aca="false">I1965*J1965</f>
        <v>24750</v>
      </c>
      <c r="L1965" s="14" t="n">
        <f aca="false">($L$2*M1965)/100</f>
        <v>480666.6</v>
      </c>
      <c r="M1965" s="15" t="n">
        <v>0.4</v>
      </c>
      <c r="N1965" s="9" t="s">
        <v>20</v>
      </c>
    </row>
    <row r="1966" customFormat="false" ht="14.25" hidden="false" customHeight="true" outlineLevel="0" collapsed="false">
      <c r="B1966" s="9" t="s">
        <v>32</v>
      </c>
      <c r="C1966" s="9" t="n">
        <v>1128299</v>
      </c>
      <c r="D1966" s="10" t="n">
        <v>44334</v>
      </c>
      <c r="E1966" s="9" t="s">
        <v>29</v>
      </c>
      <c r="F1966" s="9" t="s">
        <v>83</v>
      </c>
      <c r="G1966" s="9" t="s">
        <v>84</v>
      </c>
      <c r="H1966" s="11" t="s">
        <v>21</v>
      </c>
      <c r="I1966" s="12" t="n">
        <v>50</v>
      </c>
      <c r="J1966" s="13" t="n">
        <v>400</v>
      </c>
      <c r="K1966" s="14" t="n">
        <f aca="false">I1966*J1966</f>
        <v>20000</v>
      </c>
      <c r="L1966" s="14" t="n">
        <f aca="false">($L$2*M1966)/100</f>
        <v>480666.6</v>
      </c>
      <c r="M1966" s="15" t="n">
        <v>0.4</v>
      </c>
      <c r="N1966" s="9" t="s">
        <v>20</v>
      </c>
    </row>
    <row r="1967" customFormat="false" ht="14.25" hidden="false" customHeight="true" outlineLevel="0" collapsed="false">
      <c r="B1967" s="9" t="s">
        <v>32</v>
      </c>
      <c r="C1967" s="9" t="n">
        <v>1128299</v>
      </c>
      <c r="D1967" s="10" t="n">
        <v>44334</v>
      </c>
      <c r="E1967" s="9" t="s">
        <v>29</v>
      </c>
      <c r="F1967" s="9" t="s">
        <v>83</v>
      </c>
      <c r="G1967" s="9" t="s">
        <v>84</v>
      </c>
      <c r="H1967" s="11" t="s">
        <v>22</v>
      </c>
      <c r="I1967" s="12" t="n">
        <v>50</v>
      </c>
      <c r="J1967" s="13" t="n">
        <v>400</v>
      </c>
      <c r="K1967" s="14" t="n">
        <f aca="false">I1967*J1967</f>
        <v>20000</v>
      </c>
      <c r="L1967" s="14" t="n">
        <f aca="false">($L$2*M1967)/100</f>
        <v>480666.6</v>
      </c>
      <c r="M1967" s="15" t="n">
        <v>0.4</v>
      </c>
      <c r="N1967" s="9" t="s">
        <v>20</v>
      </c>
    </row>
    <row r="1968" customFormat="false" ht="14.25" hidden="false" customHeight="true" outlineLevel="0" collapsed="false">
      <c r="B1968" s="9" t="s">
        <v>32</v>
      </c>
      <c r="C1968" s="9" t="n">
        <v>1128299</v>
      </c>
      <c r="D1968" s="10" t="n">
        <v>44334</v>
      </c>
      <c r="E1968" s="9" t="s">
        <v>29</v>
      </c>
      <c r="F1968" s="9" t="s">
        <v>83</v>
      </c>
      <c r="G1968" s="9" t="s">
        <v>84</v>
      </c>
      <c r="H1968" s="11" t="s">
        <v>23</v>
      </c>
      <c r="I1968" s="12" t="n">
        <v>45</v>
      </c>
      <c r="J1968" s="13" t="n">
        <v>325</v>
      </c>
      <c r="K1968" s="14" t="n">
        <f aca="false">I1968*J1968</f>
        <v>14625</v>
      </c>
      <c r="L1968" s="14" t="n">
        <f aca="false">($L$2*M1968)/100</f>
        <v>480666.6</v>
      </c>
      <c r="M1968" s="15" t="n">
        <v>0.4</v>
      </c>
      <c r="N1968" s="9" t="s">
        <v>20</v>
      </c>
    </row>
    <row r="1969" customFormat="false" ht="14.25" hidden="false" customHeight="true" outlineLevel="0" collapsed="false">
      <c r="B1969" s="9" t="s">
        <v>32</v>
      </c>
      <c r="C1969" s="9" t="n">
        <v>1128299</v>
      </c>
      <c r="D1969" s="10" t="n">
        <v>44334</v>
      </c>
      <c r="E1969" s="9" t="s">
        <v>29</v>
      </c>
      <c r="F1969" s="9" t="s">
        <v>83</v>
      </c>
      <c r="G1969" s="9" t="s">
        <v>84</v>
      </c>
      <c r="H1969" s="11" t="s">
        <v>24</v>
      </c>
      <c r="I1969" s="12" t="n">
        <v>40</v>
      </c>
      <c r="J1969" s="13" t="n">
        <v>225</v>
      </c>
      <c r="K1969" s="14" t="n">
        <f aca="false">I1969*J1969</f>
        <v>9000</v>
      </c>
      <c r="L1969" s="14" t="n">
        <f aca="false">($L$2*M1969)/100</f>
        <v>540749.925</v>
      </c>
      <c r="M1969" s="15" t="n">
        <v>0.45</v>
      </c>
      <c r="N1969" s="9" t="s">
        <v>20</v>
      </c>
    </row>
    <row r="1970" customFormat="false" ht="14.25" hidden="false" customHeight="true" outlineLevel="0" collapsed="false">
      <c r="B1970" s="9" t="s">
        <v>32</v>
      </c>
      <c r="C1970" s="9" t="n">
        <v>1128299</v>
      </c>
      <c r="D1970" s="10" t="n">
        <v>44334</v>
      </c>
      <c r="E1970" s="9" t="s">
        <v>29</v>
      </c>
      <c r="F1970" s="9" t="s">
        <v>83</v>
      </c>
      <c r="G1970" s="9" t="s">
        <v>84</v>
      </c>
      <c r="H1970" s="11" t="s">
        <v>25</v>
      </c>
      <c r="I1970" s="12" t="n">
        <v>65</v>
      </c>
      <c r="J1970" s="13" t="n">
        <v>575</v>
      </c>
      <c r="K1970" s="14" t="n">
        <f aca="false">I1970*J1970</f>
        <v>37375</v>
      </c>
      <c r="L1970" s="14" t="n">
        <f aca="false">($L$2*M1970)/100</f>
        <v>420583.275</v>
      </c>
      <c r="M1970" s="15" t="n">
        <v>0.35</v>
      </c>
      <c r="N1970" s="9" t="s">
        <v>85</v>
      </c>
    </row>
    <row r="1971" customFormat="false" ht="14.25" hidden="false" customHeight="true" outlineLevel="0" collapsed="false">
      <c r="B1971" s="9" t="s">
        <v>32</v>
      </c>
      <c r="C1971" s="9" t="n">
        <v>1128299</v>
      </c>
      <c r="D1971" s="10" t="n">
        <v>44364</v>
      </c>
      <c r="E1971" s="9" t="s">
        <v>29</v>
      </c>
      <c r="F1971" s="9" t="s">
        <v>83</v>
      </c>
      <c r="G1971" s="9" t="s">
        <v>84</v>
      </c>
      <c r="H1971" s="11" t="s">
        <v>19</v>
      </c>
      <c r="I1971" s="12" t="n">
        <v>60</v>
      </c>
      <c r="J1971" s="13" t="n">
        <v>825</v>
      </c>
      <c r="K1971" s="14" t="n">
        <f aca="false">I1971*J1971</f>
        <v>49500</v>
      </c>
      <c r="L1971" s="14" t="n">
        <f aca="false">($L$2*M1971)/100</f>
        <v>480666.6</v>
      </c>
      <c r="M1971" s="15" t="n">
        <v>0.4</v>
      </c>
      <c r="N1971" s="9" t="s">
        <v>85</v>
      </c>
    </row>
    <row r="1972" customFormat="false" ht="14.25" hidden="false" customHeight="true" outlineLevel="0" collapsed="false">
      <c r="B1972" s="9" t="s">
        <v>32</v>
      </c>
      <c r="C1972" s="9" t="n">
        <v>1128299</v>
      </c>
      <c r="D1972" s="10" t="n">
        <v>44364</v>
      </c>
      <c r="E1972" s="9" t="s">
        <v>29</v>
      </c>
      <c r="F1972" s="9" t="s">
        <v>83</v>
      </c>
      <c r="G1972" s="9" t="s">
        <v>84</v>
      </c>
      <c r="H1972" s="11" t="s">
        <v>21</v>
      </c>
      <c r="I1972" s="12" t="n">
        <v>70</v>
      </c>
      <c r="J1972" s="13" t="n">
        <v>700</v>
      </c>
      <c r="K1972" s="14" t="n">
        <f aca="false">I1972*J1972</f>
        <v>49000</v>
      </c>
      <c r="L1972" s="14" t="n">
        <f aca="false">($L$2*M1972)/100</f>
        <v>480666.6</v>
      </c>
      <c r="M1972" s="15" t="n">
        <v>0.4</v>
      </c>
      <c r="N1972" s="9" t="s">
        <v>85</v>
      </c>
    </row>
    <row r="1973" customFormat="false" ht="14.25" hidden="false" customHeight="true" outlineLevel="0" collapsed="false">
      <c r="B1973" s="9" t="s">
        <v>32</v>
      </c>
      <c r="C1973" s="9" t="n">
        <v>1128299</v>
      </c>
      <c r="D1973" s="10" t="n">
        <v>44364</v>
      </c>
      <c r="E1973" s="9" t="s">
        <v>29</v>
      </c>
      <c r="F1973" s="9" t="s">
        <v>83</v>
      </c>
      <c r="G1973" s="9" t="s">
        <v>84</v>
      </c>
      <c r="H1973" s="11" t="s">
        <v>22</v>
      </c>
      <c r="I1973" s="12" t="n">
        <v>85</v>
      </c>
      <c r="J1973" s="13" t="n">
        <v>700</v>
      </c>
      <c r="K1973" s="14" t="n">
        <f aca="false">I1973*J1973</f>
        <v>59500</v>
      </c>
      <c r="L1973" s="14" t="n">
        <f aca="false">($L$2*M1973)/100</f>
        <v>480666.6</v>
      </c>
      <c r="M1973" s="15" t="n">
        <v>0.4</v>
      </c>
      <c r="N1973" s="9" t="s">
        <v>85</v>
      </c>
    </row>
    <row r="1974" customFormat="false" ht="14.25" hidden="false" customHeight="true" outlineLevel="0" collapsed="false">
      <c r="B1974" s="9" t="s">
        <v>32</v>
      </c>
      <c r="C1974" s="9" t="n">
        <v>1128299</v>
      </c>
      <c r="D1974" s="10" t="n">
        <v>44364</v>
      </c>
      <c r="E1974" s="9" t="s">
        <v>29</v>
      </c>
      <c r="F1974" s="9" t="s">
        <v>83</v>
      </c>
      <c r="G1974" s="9" t="s">
        <v>84</v>
      </c>
      <c r="H1974" s="11" t="s">
        <v>23</v>
      </c>
      <c r="I1974" s="12" t="n">
        <v>85</v>
      </c>
      <c r="J1974" s="13" t="n">
        <v>575</v>
      </c>
      <c r="K1974" s="14" t="n">
        <f aca="false">I1974*J1974</f>
        <v>48875</v>
      </c>
      <c r="L1974" s="14" t="n">
        <f aca="false">($L$2*M1974)/100</f>
        <v>480666.6</v>
      </c>
      <c r="M1974" s="15" t="n">
        <v>0.4</v>
      </c>
      <c r="N1974" s="9" t="s">
        <v>85</v>
      </c>
    </row>
    <row r="1975" customFormat="false" ht="14.25" hidden="false" customHeight="true" outlineLevel="0" collapsed="false">
      <c r="B1975" s="9" t="s">
        <v>32</v>
      </c>
      <c r="C1975" s="9" t="n">
        <v>1128299</v>
      </c>
      <c r="D1975" s="10" t="n">
        <v>44364</v>
      </c>
      <c r="E1975" s="9" t="s">
        <v>29</v>
      </c>
      <c r="F1975" s="9" t="s">
        <v>83</v>
      </c>
      <c r="G1975" s="9" t="s">
        <v>84</v>
      </c>
      <c r="H1975" s="11" t="s">
        <v>24</v>
      </c>
      <c r="I1975" s="12" t="n">
        <v>95</v>
      </c>
      <c r="J1975" s="13" t="n">
        <v>450</v>
      </c>
      <c r="K1975" s="14" t="n">
        <f aca="false">I1975*J1975</f>
        <v>42750</v>
      </c>
      <c r="L1975" s="14" t="n">
        <f aca="false">($L$2*M1975)/100</f>
        <v>540749.925</v>
      </c>
      <c r="M1975" s="15" t="n">
        <v>0.45</v>
      </c>
      <c r="N1975" s="9" t="s">
        <v>85</v>
      </c>
    </row>
    <row r="1976" customFormat="false" ht="14.25" hidden="false" customHeight="true" outlineLevel="0" collapsed="false">
      <c r="B1976" s="9" t="s">
        <v>32</v>
      </c>
      <c r="C1976" s="9" t="n">
        <v>1128299</v>
      </c>
      <c r="D1976" s="10" t="n">
        <v>44364</v>
      </c>
      <c r="E1976" s="9" t="s">
        <v>29</v>
      </c>
      <c r="F1976" s="9" t="s">
        <v>83</v>
      </c>
      <c r="G1976" s="9" t="s">
        <v>84</v>
      </c>
      <c r="H1976" s="11" t="s">
        <v>25</v>
      </c>
      <c r="I1976" s="12" t="n">
        <v>110</v>
      </c>
      <c r="J1976" s="13" t="n">
        <v>750</v>
      </c>
      <c r="K1976" s="14" t="n">
        <f aca="false">I1976*J1976</f>
        <v>82500</v>
      </c>
      <c r="L1976" s="14" t="n">
        <f aca="false">($L$2*M1976)/100</f>
        <v>420583.275</v>
      </c>
      <c r="M1976" s="15" t="n">
        <v>0.35</v>
      </c>
      <c r="N1976" s="9" t="s">
        <v>85</v>
      </c>
    </row>
    <row r="1977" customFormat="false" ht="14.25" hidden="false" customHeight="true" outlineLevel="0" collapsed="false">
      <c r="B1977" s="9" t="s">
        <v>32</v>
      </c>
      <c r="C1977" s="9" t="n">
        <v>1128299</v>
      </c>
      <c r="D1977" s="10" t="n">
        <v>44393</v>
      </c>
      <c r="E1977" s="9" t="s">
        <v>29</v>
      </c>
      <c r="F1977" s="9" t="s">
        <v>83</v>
      </c>
      <c r="G1977" s="9" t="s">
        <v>84</v>
      </c>
      <c r="H1977" s="11" t="s">
        <v>19</v>
      </c>
      <c r="I1977" s="12" t="n">
        <v>90</v>
      </c>
      <c r="J1977" s="13" t="n">
        <v>900</v>
      </c>
      <c r="K1977" s="14" t="n">
        <f aca="false">I1977*J1977</f>
        <v>81000</v>
      </c>
      <c r="L1977" s="14" t="n">
        <f aca="false">($L$2*M1977)/100</f>
        <v>480666.6</v>
      </c>
      <c r="M1977" s="15" t="n">
        <v>0.4</v>
      </c>
      <c r="N1977" s="9" t="s">
        <v>85</v>
      </c>
    </row>
    <row r="1978" customFormat="false" ht="14.25" hidden="false" customHeight="true" outlineLevel="0" collapsed="false">
      <c r="B1978" s="9" t="s">
        <v>32</v>
      </c>
      <c r="C1978" s="9" t="n">
        <v>1128299</v>
      </c>
      <c r="D1978" s="10" t="n">
        <v>44393</v>
      </c>
      <c r="E1978" s="9" t="s">
        <v>29</v>
      </c>
      <c r="F1978" s="9" t="s">
        <v>83</v>
      </c>
      <c r="G1978" s="9" t="s">
        <v>84</v>
      </c>
      <c r="H1978" s="11" t="s">
        <v>21</v>
      </c>
      <c r="I1978" s="12" t="n">
        <v>95</v>
      </c>
      <c r="J1978" s="13" t="n">
        <v>750</v>
      </c>
      <c r="K1978" s="14" t="n">
        <f aca="false">I1978*J1978</f>
        <v>71250</v>
      </c>
      <c r="L1978" s="14" t="n">
        <f aca="false">($L$2*M1978)/100</f>
        <v>480666.6</v>
      </c>
      <c r="M1978" s="15" t="n">
        <v>0.4</v>
      </c>
      <c r="N1978" s="9" t="s">
        <v>85</v>
      </c>
    </row>
    <row r="1979" customFormat="false" ht="14.25" hidden="false" customHeight="true" outlineLevel="0" collapsed="false">
      <c r="B1979" s="9" t="s">
        <v>32</v>
      </c>
      <c r="C1979" s="9" t="n">
        <v>1128299</v>
      </c>
      <c r="D1979" s="10" t="n">
        <v>44393</v>
      </c>
      <c r="E1979" s="9" t="s">
        <v>29</v>
      </c>
      <c r="F1979" s="9" t="s">
        <v>83</v>
      </c>
      <c r="G1979" s="9" t="s">
        <v>84</v>
      </c>
      <c r="H1979" s="11" t="s">
        <v>22</v>
      </c>
      <c r="I1979" s="12" t="n">
        <v>95</v>
      </c>
      <c r="J1979" s="13" t="n">
        <v>700</v>
      </c>
      <c r="K1979" s="14" t="n">
        <f aca="false">I1979*J1979</f>
        <v>66500</v>
      </c>
      <c r="L1979" s="14" t="n">
        <f aca="false">($L$2*M1979)/100</f>
        <v>480666.6</v>
      </c>
      <c r="M1979" s="15" t="n">
        <v>0.4</v>
      </c>
      <c r="N1979" s="9" t="s">
        <v>85</v>
      </c>
    </row>
    <row r="1980" customFormat="false" ht="14.25" hidden="false" customHeight="true" outlineLevel="0" collapsed="false">
      <c r="B1980" s="9" t="s">
        <v>32</v>
      </c>
      <c r="C1980" s="9" t="n">
        <v>1128299</v>
      </c>
      <c r="D1980" s="10" t="n">
        <v>44393</v>
      </c>
      <c r="E1980" s="9" t="s">
        <v>29</v>
      </c>
      <c r="F1980" s="9" t="s">
        <v>83</v>
      </c>
      <c r="G1980" s="9" t="s">
        <v>84</v>
      </c>
      <c r="H1980" s="11" t="s">
        <v>23</v>
      </c>
      <c r="I1980" s="12" t="n">
        <v>90</v>
      </c>
      <c r="J1980" s="13" t="n">
        <v>600</v>
      </c>
      <c r="K1980" s="14" t="n">
        <f aca="false">I1980*J1980</f>
        <v>54000</v>
      </c>
      <c r="L1980" s="14" t="n">
        <f aca="false">($L$2*M1980)/100</f>
        <v>480666.6</v>
      </c>
      <c r="M1980" s="15" t="n">
        <v>0.4</v>
      </c>
      <c r="N1980" s="9" t="s">
        <v>85</v>
      </c>
    </row>
    <row r="1981" customFormat="false" ht="14.25" hidden="false" customHeight="true" outlineLevel="0" collapsed="false">
      <c r="B1981" s="9" t="s">
        <v>32</v>
      </c>
      <c r="C1981" s="9" t="n">
        <v>1128299</v>
      </c>
      <c r="D1981" s="10" t="n">
        <v>44393</v>
      </c>
      <c r="E1981" s="9" t="s">
        <v>29</v>
      </c>
      <c r="F1981" s="9" t="s">
        <v>83</v>
      </c>
      <c r="G1981" s="9" t="s">
        <v>84</v>
      </c>
      <c r="H1981" s="11" t="s">
        <v>24</v>
      </c>
      <c r="I1981" s="12" t="n">
        <v>95</v>
      </c>
      <c r="J1981" s="13" t="n">
        <v>650</v>
      </c>
      <c r="K1981" s="14" t="n">
        <f aca="false">I1981*J1981</f>
        <v>61750</v>
      </c>
      <c r="L1981" s="14" t="n">
        <f aca="false">($L$2*M1981)/100</f>
        <v>540749.925</v>
      </c>
      <c r="M1981" s="15" t="n">
        <v>0.45</v>
      </c>
      <c r="N1981" s="9" t="s">
        <v>85</v>
      </c>
    </row>
    <row r="1982" customFormat="false" ht="14.25" hidden="false" customHeight="true" outlineLevel="0" collapsed="false">
      <c r="B1982" s="9" t="s">
        <v>32</v>
      </c>
      <c r="C1982" s="9" t="n">
        <v>1128299</v>
      </c>
      <c r="D1982" s="10" t="n">
        <v>44393</v>
      </c>
      <c r="E1982" s="9" t="s">
        <v>29</v>
      </c>
      <c r="F1982" s="9" t="s">
        <v>83</v>
      </c>
      <c r="G1982" s="9" t="s">
        <v>84</v>
      </c>
      <c r="H1982" s="11" t="s">
        <v>25</v>
      </c>
      <c r="I1982" s="12" t="n">
        <v>110</v>
      </c>
      <c r="J1982" s="13" t="n">
        <v>650</v>
      </c>
      <c r="K1982" s="14" t="n">
        <f aca="false">I1982*J1982</f>
        <v>71500</v>
      </c>
      <c r="L1982" s="14" t="n">
        <f aca="false">($L$2*M1982)/100</f>
        <v>420583.275</v>
      </c>
      <c r="M1982" s="15" t="n">
        <v>0.35</v>
      </c>
      <c r="N1982" s="9" t="s">
        <v>85</v>
      </c>
    </row>
    <row r="1983" customFormat="false" ht="14.25" hidden="false" customHeight="true" outlineLevel="0" collapsed="false">
      <c r="B1983" s="9" t="s">
        <v>32</v>
      </c>
      <c r="C1983" s="9" t="n">
        <v>1128299</v>
      </c>
      <c r="D1983" s="10" t="n">
        <v>44425</v>
      </c>
      <c r="E1983" s="9" t="s">
        <v>29</v>
      </c>
      <c r="F1983" s="9" t="s">
        <v>83</v>
      </c>
      <c r="G1983" s="9" t="s">
        <v>84</v>
      </c>
      <c r="H1983" s="11" t="s">
        <v>19</v>
      </c>
      <c r="I1983" s="12" t="n">
        <v>95</v>
      </c>
      <c r="J1983" s="13" t="n">
        <v>850</v>
      </c>
      <c r="K1983" s="14" t="n">
        <f aca="false">I1983*J1983</f>
        <v>80750</v>
      </c>
      <c r="L1983" s="14" t="n">
        <f aca="false">($L$2*M1983)/100</f>
        <v>480666.6</v>
      </c>
      <c r="M1983" s="15" t="n">
        <v>0.4</v>
      </c>
      <c r="N1983" s="9" t="s">
        <v>85</v>
      </c>
    </row>
    <row r="1984" customFormat="false" ht="14.25" hidden="false" customHeight="true" outlineLevel="0" collapsed="false">
      <c r="B1984" s="9" t="s">
        <v>32</v>
      </c>
      <c r="C1984" s="9" t="n">
        <v>1128299</v>
      </c>
      <c r="D1984" s="10" t="n">
        <v>44425</v>
      </c>
      <c r="E1984" s="9" t="s">
        <v>29</v>
      </c>
      <c r="F1984" s="9" t="s">
        <v>83</v>
      </c>
      <c r="G1984" s="9" t="s">
        <v>84</v>
      </c>
      <c r="H1984" s="11" t="s">
        <v>21</v>
      </c>
      <c r="I1984" s="12" t="n">
        <v>85</v>
      </c>
      <c r="J1984" s="13" t="n">
        <v>825</v>
      </c>
      <c r="K1984" s="14" t="n">
        <f aca="false">I1984*J1984</f>
        <v>70125</v>
      </c>
      <c r="L1984" s="14" t="n">
        <f aca="false">($L$2*M1984)/100</f>
        <v>480666.6</v>
      </c>
      <c r="M1984" s="15" t="n">
        <v>0.4</v>
      </c>
      <c r="N1984" s="9" t="s">
        <v>85</v>
      </c>
    </row>
    <row r="1985" customFormat="false" ht="14.25" hidden="false" customHeight="true" outlineLevel="0" collapsed="false">
      <c r="B1985" s="9" t="s">
        <v>32</v>
      </c>
      <c r="C1985" s="9" t="n">
        <v>1128299</v>
      </c>
      <c r="D1985" s="10" t="n">
        <v>44425</v>
      </c>
      <c r="E1985" s="9" t="s">
        <v>29</v>
      </c>
      <c r="F1985" s="9" t="s">
        <v>83</v>
      </c>
      <c r="G1985" s="9" t="s">
        <v>84</v>
      </c>
      <c r="H1985" s="11" t="s">
        <v>22</v>
      </c>
      <c r="I1985" s="12" t="n">
        <v>75</v>
      </c>
      <c r="J1985" s="13" t="n">
        <v>700</v>
      </c>
      <c r="K1985" s="14" t="n">
        <f aca="false">I1985*J1985</f>
        <v>52500</v>
      </c>
      <c r="L1985" s="14" t="n">
        <f aca="false">($L$2*M1985)/100</f>
        <v>480666.6</v>
      </c>
      <c r="M1985" s="15" t="n">
        <v>0.4</v>
      </c>
      <c r="N1985" s="9" t="s">
        <v>85</v>
      </c>
    </row>
    <row r="1986" customFormat="false" ht="14.25" hidden="false" customHeight="true" outlineLevel="0" collapsed="false">
      <c r="B1986" s="9" t="s">
        <v>32</v>
      </c>
      <c r="C1986" s="9" t="n">
        <v>1128299</v>
      </c>
      <c r="D1986" s="10" t="n">
        <v>44425</v>
      </c>
      <c r="E1986" s="9" t="s">
        <v>29</v>
      </c>
      <c r="F1986" s="9" t="s">
        <v>83</v>
      </c>
      <c r="G1986" s="9" t="s">
        <v>84</v>
      </c>
      <c r="H1986" s="11" t="s">
        <v>23</v>
      </c>
      <c r="I1986" s="12" t="n">
        <v>75</v>
      </c>
      <c r="J1986" s="13" t="n">
        <v>475</v>
      </c>
      <c r="K1986" s="14" t="n">
        <f aca="false">I1986*J1986</f>
        <v>35625</v>
      </c>
      <c r="L1986" s="14" t="n">
        <f aca="false">($L$2*M1986)/100</f>
        <v>480666.6</v>
      </c>
      <c r="M1986" s="15" t="n">
        <v>0.4</v>
      </c>
      <c r="N1986" s="9" t="s">
        <v>85</v>
      </c>
    </row>
    <row r="1987" customFormat="false" ht="14.25" hidden="false" customHeight="true" outlineLevel="0" collapsed="false">
      <c r="B1987" s="9" t="s">
        <v>32</v>
      </c>
      <c r="C1987" s="9" t="n">
        <v>1128299</v>
      </c>
      <c r="D1987" s="10" t="n">
        <v>44425</v>
      </c>
      <c r="E1987" s="9" t="s">
        <v>29</v>
      </c>
      <c r="F1987" s="9" t="s">
        <v>83</v>
      </c>
      <c r="G1987" s="9" t="s">
        <v>84</v>
      </c>
      <c r="H1987" s="11" t="s">
        <v>24</v>
      </c>
      <c r="I1987" s="12" t="n">
        <v>65</v>
      </c>
      <c r="J1987" s="13" t="n">
        <v>475</v>
      </c>
      <c r="K1987" s="14" t="n">
        <f aca="false">I1987*J1987</f>
        <v>30875</v>
      </c>
      <c r="L1987" s="14" t="n">
        <f aca="false">($L$2*M1987)/100</f>
        <v>540749.925</v>
      </c>
      <c r="M1987" s="15" t="n">
        <v>0.45</v>
      </c>
      <c r="N1987" s="9" t="s">
        <v>85</v>
      </c>
    </row>
    <row r="1988" customFormat="false" ht="14.25" hidden="false" customHeight="true" outlineLevel="0" collapsed="false">
      <c r="B1988" s="9" t="s">
        <v>32</v>
      </c>
      <c r="C1988" s="9" t="n">
        <v>1128299</v>
      </c>
      <c r="D1988" s="10" t="n">
        <v>44425</v>
      </c>
      <c r="E1988" s="9" t="s">
        <v>29</v>
      </c>
      <c r="F1988" s="9" t="s">
        <v>83</v>
      </c>
      <c r="G1988" s="9" t="s">
        <v>84</v>
      </c>
      <c r="H1988" s="11" t="s">
        <v>25</v>
      </c>
      <c r="I1988" s="12" t="n">
        <v>70</v>
      </c>
      <c r="J1988" s="13" t="n">
        <v>300</v>
      </c>
      <c r="K1988" s="14" t="n">
        <f aca="false">I1988*J1988</f>
        <v>21000</v>
      </c>
      <c r="L1988" s="14" t="n">
        <f aca="false">($L$2*M1988)/100</f>
        <v>420583.275</v>
      </c>
      <c r="M1988" s="15" t="n">
        <v>0.35</v>
      </c>
      <c r="N1988" s="9" t="s">
        <v>85</v>
      </c>
    </row>
    <row r="1989" customFormat="false" ht="14.25" hidden="false" customHeight="true" outlineLevel="0" collapsed="false">
      <c r="B1989" s="9" t="s">
        <v>32</v>
      </c>
      <c r="C1989" s="9" t="n">
        <v>1128299</v>
      </c>
      <c r="D1989" s="10" t="n">
        <v>44457</v>
      </c>
      <c r="E1989" s="9" t="s">
        <v>29</v>
      </c>
      <c r="F1989" s="9" t="s">
        <v>83</v>
      </c>
      <c r="G1989" s="9" t="s">
        <v>84</v>
      </c>
      <c r="H1989" s="11" t="s">
        <v>19</v>
      </c>
      <c r="I1989" s="12" t="n">
        <v>45</v>
      </c>
      <c r="J1989" s="13" t="n">
        <v>500</v>
      </c>
      <c r="K1989" s="14" t="n">
        <f aca="false">I1989*J1989</f>
        <v>22500</v>
      </c>
      <c r="L1989" s="14" t="n">
        <f aca="false">($L$2*M1989)/100</f>
        <v>480666.6</v>
      </c>
      <c r="M1989" s="15" t="n">
        <v>0.4</v>
      </c>
      <c r="N1989" s="9" t="s">
        <v>85</v>
      </c>
    </row>
    <row r="1990" customFormat="false" ht="14.25" hidden="false" customHeight="true" outlineLevel="0" collapsed="false">
      <c r="B1990" s="9" t="s">
        <v>32</v>
      </c>
      <c r="C1990" s="9" t="n">
        <v>1128299</v>
      </c>
      <c r="D1990" s="10" t="n">
        <v>44457</v>
      </c>
      <c r="E1990" s="9" t="s">
        <v>29</v>
      </c>
      <c r="F1990" s="9" t="s">
        <v>83</v>
      </c>
      <c r="G1990" s="9" t="s">
        <v>84</v>
      </c>
      <c r="H1990" s="11" t="s">
        <v>21</v>
      </c>
      <c r="I1990" s="12" t="n">
        <v>50</v>
      </c>
      <c r="J1990" s="13" t="n">
        <v>500</v>
      </c>
      <c r="K1990" s="14" t="n">
        <f aca="false">I1990*J1990</f>
        <v>25000</v>
      </c>
      <c r="L1990" s="14" t="n">
        <f aca="false">($L$2*M1990)/100</f>
        <v>480666.6</v>
      </c>
      <c r="M1990" s="15" t="n">
        <v>0.4</v>
      </c>
      <c r="N1990" s="9" t="s">
        <v>85</v>
      </c>
    </row>
    <row r="1991" customFormat="false" ht="14.25" hidden="false" customHeight="true" outlineLevel="0" collapsed="false">
      <c r="B1991" s="9" t="s">
        <v>32</v>
      </c>
      <c r="C1991" s="9" t="n">
        <v>1128299</v>
      </c>
      <c r="D1991" s="10" t="n">
        <v>44457</v>
      </c>
      <c r="E1991" s="9" t="s">
        <v>29</v>
      </c>
      <c r="F1991" s="9" t="s">
        <v>83</v>
      </c>
      <c r="G1991" s="9" t="s">
        <v>84</v>
      </c>
      <c r="H1991" s="11" t="s">
        <v>22</v>
      </c>
      <c r="I1991" s="12" t="n">
        <v>45</v>
      </c>
      <c r="J1991" s="13" t="n">
        <v>300</v>
      </c>
      <c r="K1991" s="14" t="n">
        <f aca="false">I1991*J1991</f>
        <v>13500</v>
      </c>
      <c r="L1991" s="14" t="n">
        <f aca="false">($L$2*M1991)/100</f>
        <v>480666.6</v>
      </c>
      <c r="M1991" s="15" t="n">
        <v>0.4</v>
      </c>
      <c r="N1991" s="9" t="s">
        <v>85</v>
      </c>
    </row>
    <row r="1992" customFormat="false" ht="14.25" hidden="false" customHeight="true" outlineLevel="0" collapsed="false">
      <c r="B1992" s="9" t="s">
        <v>32</v>
      </c>
      <c r="C1992" s="9" t="n">
        <v>1128299</v>
      </c>
      <c r="D1992" s="10" t="n">
        <v>44457</v>
      </c>
      <c r="E1992" s="9" t="s">
        <v>29</v>
      </c>
      <c r="F1992" s="9" t="s">
        <v>83</v>
      </c>
      <c r="G1992" s="9" t="s">
        <v>84</v>
      </c>
      <c r="H1992" s="11" t="s">
        <v>23</v>
      </c>
      <c r="I1992" s="12" t="n">
        <v>45</v>
      </c>
      <c r="J1992" s="13" t="n">
        <v>250</v>
      </c>
      <c r="K1992" s="14" t="n">
        <f aca="false">I1992*J1992</f>
        <v>11250</v>
      </c>
      <c r="L1992" s="14" t="n">
        <f aca="false">($L$2*M1992)/100</f>
        <v>480666.6</v>
      </c>
      <c r="M1992" s="15" t="n">
        <v>0.4</v>
      </c>
      <c r="N1992" s="9" t="s">
        <v>85</v>
      </c>
    </row>
    <row r="1993" customFormat="false" ht="14.25" hidden="false" customHeight="true" outlineLevel="0" collapsed="false">
      <c r="B1993" s="9" t="s">
        <v>32</v>
      </c>
      <c r="C1993" s="9" t="n">
        <v>1128299</v>
      </c>
      <c r="D1993" s="10" t="n">
        <v>44457</v>
      </c>
      <c r="E1993" s="9" t="s">
        <v>29</v>
      </c>
      <c r="F1993" s="9" t="s">
        <v>83</v>
      </c>
      <c r="G1993" s="9" t="s">
        <v>84</v>
      </c>
      <c r="H1993" s="11" t="s">
        <v>24</v>
      </c>
      <c r="I1993" s="12" t="n">
        <v>55</v>
      </c>
      <c r="J1993" s="13" t="n">
        <v>275</v>
      </c>
      <c r="K1993" s="14" t="n">
        <f aca="false">I1993*J1993</f>
        <v>15125</v>
      </c>
      <c r="L1993" s="14" t="n">
        <f aca="false">($L$2*M1993)/100</f>
        <v>540749.925</v>
      </c>
      <c r="M1993" s="15" t="n">
        <v>0.45</v>
      </c>
      <c r="N1993" s="9" t="s">
        <v>85</v>
      </c>
    </row>
    <row r="1994" customFormat="false" ht="14.25" hidden="false" customHeight="true" outlineLevel="0" collapsed="false">
      <c r="B1994" s="9" t="s">
        <v>32</v>
      </c>
      <c r="C1994" s="9" t="n">
        <v>1128299</v>
      </c>
      <c r="D1994" s="10" t="n">
        <v>44457</v>
      </c>
      <c r="E1994" s="9" t="s">
        <v>29</v>
      </c>
      <c r="F1994" s="9" t="s">
        <v>83</v>
      </c>
      <c r="G1994" s="9" t="s">
        <v>84</v>
      </c>
      <c r="H1994" s="11" t="s">
        <v>25</v>
      </c>
      <c r="I1994" s="12" t="n">
        <v>40</v>
      </c>
      <c r="J1994" s="13" t="n">
        <v>300</v>
      </c>
      <c r="K1994" s="14" t="n">
        <f aca="false">I1994*J1994</f>
        <v>12000</v>
      </c>
      <c r="L1994" s="14" t="n">
        <f aca="false">($L$2*M1994)/100</f>
        <v>420583.275</v>
      </c>
      <c r="M1994" s="15" t="n">
        <v>0.35</v>
      </c>
      <c r="N1994" s="9" t="s">
        <v>85</v>
      </c>
    </row>
    <row r="1995" customFormat="false" ht="14.25" hidden="false" customHeight="true" outlineLevel="0" collapsed="false">
      <c r="B1995" s="9" t="s">
        <v>32</v>
      </c>
      <c r="C1995" s="9" t="n">
        <v>1128299</v>
      </c>
      <c r="D1995" s="10" t="n">
        <v>44486</v>
      </c>
      <c r="E1995" s="9" t="s">
        <v>29</v>
      </c>
      <c r="F1995" s="9" t="s">
        <v>83</v>
      </c>
      <c r="G1995" s="9" t="s">
        <v>84</v>
      </c>
      <c r="H1995" s="11" t="s">
        <v>19</v>
      </c>
      <c r="I1995" s="12" t="n">
        <v>35</v>
      </c>
      <c r="J1995" s="13" t="n">
        <v>400</v>
      </c>
      <c r="K1995" s="14" t="n">
        <f aca="false">I1995*J1995</f>
        <v>14000</v>
      </c>
      <c r="L1995" s="14" t="n">
        <f aca="false">($L$2*M1995)/100</f>
        <v>480666.6</v>
      </c>
      <c r="M1995" s="15" t="n">
        <v>0.4</v>
      </c>
      <c r="N1995" s="9" t="s">
        <v>85</v>
      </c>
    </row>
    <row r="1996" customFormat="false" ht="14.25" hidden="false" customHeight="true" outlineLevel="0" collapsed="false">
      <c r="B1996" s="9" t="s">
        <v>32</v>
      </c>
      <c r="C1996" s="9" t="n">
        <v>1128299</v>
      </c>
      <c r="D1996" s="10" t="n">
        <v>44486</v>
      </c>
      <c r="E1996" s="9" t="s">
        <v>29</v>
      </c>
      <c r="F1996" s="9" t="s">
        <v>83</v>
      </c>
      <c r="G1996" s="9" t="s">
        <v>84</v>
      </c>
      <c r="H1996" s="11" t="s">
        <v>21</v>
      </c>
      <c r="I1996" s="12" t="n">
        <v>50</v>
      </c>
      <c r="J1996" s="13" t="n">
        <v>575</v>
      </c>
      <c r="K1996" s="14" t="n">
        <f aca="false">I1996*J1996</f>
        <v>28750</v>
      </c>
      <c r="L1996" s="14" t="n">
        <f aca="false">($L$2*M1996)/100</f>
        <v>480666.6</v>
      </c>
      <c r="M1996" s="15" t="n">
        <v>0.4</v>
      </c>
      <c r="N1996" s="9" t="s">
        <v>85</v>
      </c>
    </row>
    <row r="1997" customFormat="false" ht="14.25" hidden="false" customHeight="true" outlineLevel="0" collapsed="false">
      <c r="B1997" s="9" t="s">
        <v>32</v>
      </c>
      <c r="C1997" s="9" t="n">
        <v>1128299</v>
      </c>
      <c r="D1997" s="10" t="n">
        <v>44486</v>
      </c>
      <c r="E1997" s="9" t="s">
        <v>29</v>
      </c>
      <c r="F1997" s="9" t="s">
        <v>83</v>
      </c>
      <c r="G1997" s="9" t="s">
        <v>84</v>
      </c>
      <c r="H1997" s="11" t="s">
        <v>22</v>
      </c>
      <c r="I1997" s="12" t="n">
        <v>45</v>
      </c>
      <c r="J1997" s="13" t="n">
        <v>400</v>
      </c>
      <c r="K1997" s="14" t="n">
        <f aca="false">I1997*J1997</f>
        <v>18000</v>
      </c>
      <c r="L1997" s="14" t="n">
        <f aca="false">($L$2*M1997)/100</f>
        <v>480666.6</v>
      </c>
      <c r="M1997" s="15" t="n">
        <v>0.4</v>
      </c>
      <c r="N1997" s="9" t="s">
        <v>85</v>
      </c>
    </row>
    <row r="1998" customFormat="false" ht="14.25" hidden="false" customHeight="true" outlineLevel="0" collapsed="false">
      <c r="B1998" s="9" t="s">
        <v>32</v>
      </c>
      <c r="C1998" s="9" t="n">
        <v>1128299</v>
      </c>
      <c r="D1998" s="10" t="n">
        <v>44486</v>
      </c>
      <c r="E1998" s="9" t="s">
        <v>29</v>
      </c>
      <c r="F1998" s="9" t="s">
        <v>83</v>
      </c>
      <c r="G1998" s="9" t="s">
        <v>84</v>
      </c>
      <c r="H1998" s="11" t="s">
        <v>23</v>
      </c>
      <c r="I1998" s="12" t="n">
        <v>40</v>
      </c>
      <c r="J1998" s="13" t="n">
        <v>375</v>
      </c>
      <c r="K1998" s="14" t="n">
        <f aca="false">I1998*J1998</f>
        <v>15000</v>
      </c>
      <c r="L1998" s="14" t="n">
        <f aca="false">($L$2*M1998)/100</f>
        <v>480666.6</v>
      </c>
      <c r="M1998" s="15" t="n">
        <v>0.4</v>
      </c>
      <c r="N1998" s="9" t="s">
        <v>85</v>
      </c>
    </row>
    <row r="1999" customFormat="false" ht="14.25" hidden="false" customHeight="true" outlineLevel="0" collapsed="false">
      <c r="B1999" s="9" t="s">
        <v>32</v>
      </c>
      <c r="C1999" s="9" t="n">
        <v>1128299</v>
      </c>
      <c r="D1999" s="10" t="n">
        <v>44486</v>
      </c>
      <c r="E1999" s="9" t="s">
        <v>29</v>
      </c>
      <c r="F1999" s="9" t="s">
        <v>83</v>
      </c>
      <c r="G1999" s="9" t="s">
        <v>84</v>
      </c>
      <c r="H1999" s="11" t="s">
        <v>24</v>
      </c>
      <c r="I1999" s="12" t="n">
        <v>50</v>
      </c>
      <c r="J1999" s="13" t="n">
        <v>350</v>
      </c>
      <c r="K1999" s="14" t="n">
        <f aca="false">I1999*J1999</f>
        <v>17500</v>
      </c>
      <c r="L1999" s="14" t="n">
        <f aca="false">($L$2*M1999)/100</f>
        <v>540749.925</v>
      </c>
      <c r="M1999" s="15" t="n">
        <v>0.45</v>
      </c>
      <c r="N1999" s="9" t="s">
        <v>85</v>
      </c>
    </row>
    <row r="2000" customFormat="false" ht="14.25" hidden="false" customHeight="true" outlineLevel="0" collapsed="false">
      <c r="B2000" s="9" t="s">
        <v>32</v>
      </c>
      <c r="C2000" s="9" t="n">
        <v>1128299</v>
      </c>
      <c r="D2000" s="10" t="n">
        <v>44486</v>
      </c>
      <c r="E2000" s="9" t="s">
        <v>29</v>
      </c>
      <c r="F2000" s="9" t="s">
        <v>83</v>
      </c>
      <c r="G2000" s="9" t="s">
        <v>84</v>
      </c>
      <c r="H2000" s="11" t="s">
        <v>25</v>
      </c>
      <c r="I2000" s="12" t="n">
        <v>55</v>
      </c>
      <c r="J2000" s="13" t="n">
        <v>400</v>
      </c>
      <c r="K2000" s="14" t="n">
        <f aca="false">I2000*J2000</f>
        <v>22000</v>
      </c>
      <c r="L2000" s="14" t="n">
        <f aca="false">($L$2*M2000)/100</f>
        <v>420583.275</v>
      </c>
      <c r="M2000" s="15" t="n">
        <v>0.35</v>
      </c>
      <c r="N2000" s="9" t="s">
        <v>85</v>
      </c>
    </row>
    <row r="2001" customFormat="false" ht="14.25" hidden="false" customHeight="true" outlineLevel="0" collapsed="false">
      <c r="B2001" s="9" t="s">
        <v>32</v>
      </c>
      <c r="C2001" s="9" t="n">
        <v>1128299</v>
      </c>
      <c r="D2001" s="10" t="n">
        <v>44517</v>
      </c>
      <c r="E2001" s="9" t="s">
        <v>29</v>
      </c>
      <c r="F2001" s="9" t="s">
        <v>83</v>
      </c>
      <c r="G2001" s="9" t="s">
        <v>84</v>
      </c>
      <c r="H2001" s="11" t="s">
        <v>19</v>
      </c>
      <c r="I2001" s="12" t="n">
        <v>40</v>
      </c>
      <c r="J2001" s="13" t="n">
        <v>625</v>
      </c>
      <c r="K2001" s="14" t="n">
        <f aca="false">I2001*J2001</f>
        <v>25000</v>
      </c>
      <c r="L2001" s="14" t="n">
        <f aca="false">($L$2*M2001)/100</f>
        <v>480666.6</v>
      </c>
      <c r="M2001" s="15" t="n">
        <v>0.4</v>
      </c>
      <c r="N2001" s="9" t="s">
        <v>85</v>
      </c>
    </row>
    <row r="2002" customFormat="false" ht="14.25" hidden="false" customHeight="true" outlineLevel="0" collapsed="false">
      <c r="B2002" s="9" t="s">
        <v>32</v>
      </c>
      <c r="C2002" s="9" t="n">
        <v>1128299</v>
      </c>
      <c r="D2002" s="10" t="n">
        <v>44517</v>
      </c>
      <c r="E2002" s="9" t="s">
        <v>29</v>
      </c>
      <c r="F2002" s="9" t="s">
        <v>83</v>
      </c>
      <c r="G2002" s="9" t="s">
        <v>84</v>
      </c>
      <c r="H2002" s="11" t="s">
        <v>21</v>
      </c>
      <c r="I2002" s="12" t="n">
        <v>45</v>
      </c>
      <c r="J2002" s="13" t="n">
        <v>700</v>
      </c>
      <c r="K2002" s="14" t="n">
        <f aca="false">I2002*J2002</f>
        <v>31500</v>
      </c>
      <c r="L2002" s="14" t="n">
        <f aca="false">($L$2*M2002)/100</f>
        <v>480666.6</v>
      </c>
      <c r="M2002" s="15" t="n">
        <v>0.4</v>
      </c>
      <c r="N2002" s="9" t="s">
        <v>85</v>
      </c>
    </row>
    <row r="2003" customFormat="false" ht="14.25" hidden="false" customHeight="true" outlineLevel="0" collapsed="false">
      <c r="B2003" s="9" t="s">
        <v>32</v>
      </c>
      <c r="C2003" s="9" t="n">
        <v>1128299</v>
      </c>
      <c r="D2003" s="10" t="n">
        <v>44517</v>
      </c>
      <c r="E2003" s="9" t="s">
        <v>29</v>
      </c>
      <c r="F2003" s="9" t="s">
        <v>83</v>
      </c>
      <c r="G2003" s="9" t="s">
        <v>84</v>
      </c>
      <c r="H2003" s="11" t="s">
        <v>22</v>
      </c>
      <c r="I2003" s="12" t="n">
        <v>40</v>
      </c>
      <c r="J2003" s="13" t="n">
        <v>525</v>
      </c>
      <c r="K2003" s="14" t="n">
        <f aca="false">I2003*J2003</f>
        <v>21000</v>
      </c>
      <c r="L2003" s="14" t="n">
        <f aca="false">($L$2*M2003)/100</f>
        <v>480666.6</v>
      </c>
      <c r="M2003" s="15" t="n">
        <v>0.4</v>
      </c>
      <c r="N2003" s="9" t="s">
        <v>85</v>
      </c>
    </row>
    <row r="2004" customFormat="false" ht="14.25" hidden="false" customHeight="true" outlineLevel="0" collapsed="false">
      <c r="B2004" s="9" t="s">
        <v>32</v>
      </c>
      <c r="C2004" s="9" t="n">
        <v>1128299</v>
      </c>
      <c r="D2004" s="10" t="n">
        <v>44517</v>
      </c>
      <c r="E2004" s="9" t="s">
        <v>29</v>
      </c>
      <c r="F2004" s="9" t="s">
        <v>83</v>
      </c>
      <c r="G2004" s="9" t="s">
        <v>84</v>
      </c>
      <c r="H2004" s="11" t="s">
        <v>23</v>
      </c>
      <c r="I2004" s="12" t="n">
        <v>50</v>
      </c>
      <c r="J2004" s="13" t="n">
        <v>500</v>
      </c>
      <c r="K2004" s="14" t="n">
        <f aca="false">I2004*J2004</f>
        <v>25000</v>
      </c>
      <c r="L2004" s="14" t="n">
        <f aca="false">($L$2*M2004)/100</f>
        <v>480666.6</v>
      </c>
      <c r="M2004" s="15" t="n">
        <v>0.4</v>
      </c>
      <c r="N2004" s="9" t="s">
        <v>85</v>
      </c>
    </row>
    <row r="2005" customFormat="false" ht="14.25" hidden="false" customHeight="true" outlineLevel="0" collapsed="false">
      <c r="B2005" s="9" t="s">
        <v>32</v>
      </c>
      <c r="C2005" s="9" t="n">
        <v>1128299</v>
      </c>
      <c r="D2005" s="10" t="n">
        <v>44517</v>
      </c>
      <c r="E2005" s="9" t="s">
        <v>29</v>
      </c>
      <c r="F2005" s="9" t="s">
        <v>83</v>
      </c>
      <c r="G2005" s="9" t="s">
        <v>84</v>
      </c>
      <c r="H2005" s="11" t="s">
        <v>24</v>
      </c>
      <c r="I2005" s="12" t="n">
        <v>70</v>
      </c>
      <c r="J2005" s="13" t="n">
        <v>475</v>
      </c>
      <c r="K2005" s="14" t="n">
        <f aca="false">I2005*J2005</f>
        <v>33250</v>
      </c>
      <c r="L2005" s="14" t="n">
        <f aca="false">($L$2*M2005)/100</f>
        <v>540749.925</v>
      </c>
      <c r="M2005" s="15" t="n">
        <v>0.45</v>
      </c>
      <c r="N2005" s="9" t="s">
        <v>85</v>
      </c>
    </row>
    <row r="2006" customFormat="false" ht="14.25" hidden="false" customHeight="true" outlineLevel="0" collapsed="false">
      <c r="B2006" s="9" t="s">
        <v>32</v>
      </c>
      <c r="C2006" s="9" t="n">
        <v>1128299</v>
      </c>
      <c r="D2006" s="10" t="n">
        <v>44517</v>
      </c>
      <c r="E2006" s="9" t="s">
        <v>29</v>
      </c>
      <c r="F2006" s="9" t="s">
        <v>83</v>
      </c>
      <c r="G2006" s="9" t="s">
        <v>84</v>
      </c>
      <c r="H2006" s="11" t="s">
        <v>25</v>
      </c>
      <c r="I2006" s="12" t="n">
        <v>85</v>
      </c>
      <c r="J2006" s="13" t="n">
        <v>600</v>
      </c>
      <c r="K2006" s="14" t="n">
        <f aca="false">I2006*J2006</f>
        <v>51000</v>
      </c>
      <c r="L2006" s="14" t="n">
        <f aca="false">($L$2*M2006)/100</f>
        <v>420583.275</v>
      </c>
      <c r="M2006" s="15" t="n">
        <v>0.35</v>
      </c>
      <c r="N2006" s="9" t="s">
        <v>85</v>
      </c>
    </row>
    <row r="2007" customFormat="false" ht="14.25" hidden="false" customHeight="true" outlineLevel="0" collapsed="false">
      <c r="B2007" s="9" t="s">
        <v>32</v>
      </c>
      <c r="C2007" s="9" t="n">
        <v>1128299</v>
      </c>
      <c r="D2007" s="10" t="n">
        <v>44546</v>
      </c>
      <c r="E2007" s="9" t="s">
        <v>29</v>
      </c>
      <c r="F2007" s="9" t="s">
        <v>83</v>
      </c>
      <c r="G2007" s="9" t="s">
        <v>84</v>
      </c>
      <c r="H2007" s="11" t="s">
        <v>19</v>
      </c>
      <c r="I2007" s="12" t="n">
        <v>70</v>
      </c>
      <c r="J2007" s="13" t="n">
        <v>800</v>
      </c>
      <c r="K2007" s="14" t="n">
        <f aca="false">I2007*J2007</f>
        <v>56000</v>
      </c>
      <c r="L2007" s="14" t="n">
        <f aca="false">($L$2*M2007)/100</f>
        <v>480666.6</v>
      </c>
      <c r="M2007" s="15" t="n">
        <v>0.4</v>
      </c>
      <c r="N2007" s="9" t="s">
        <v>85</v>
      </c>
    </row>
    <row r="2008" customFormat="false" ht="14.25" hidden="false" customHeight="true" outlineLevel="0" collapsed="false">
      <c r="B2008" s="9" t="s">
        <v>32</v>
      </c>
      <c r="C2008" s="9" t="n">
        <v>1128299</v>
      </c>
      <c r="D2008" s="10" t="n">
        <v>44546</v>
      </c>
      <c r="E2008" s="9" t="s">
        <v>29</v>
      </c>
      <c r="F2008" s="9" t="s">
        <v>83</v>
      </c>
      <c r="G2008" s="9" t="s">
        <v>84</v>
      </c>
      <c r="H2008" s="11" t="s">
        <v>21</v>
      </c>
      <c r="I2008" s="12" t="n">
        <v>80</v>
      </c>
      <c r="J2008" s="13" t="n">
        <v>800</v>
      </c>
      <c r="K2008" s="14" t="n">
        <f aca="false">I2008*J2008</f>
        <v>64000</v>
      </c>
      <c r="L2008" s="14" t="n">
        <f aca="false">($L$2*M2008)/100</f>
        <v>480666.6</v>
      </c>
      <c r="M2008" s="15" t="n">
        <v>0.4</v>
      </c>
      <c r="N2008" s="9" t="s">
        <v>85</v>
      </c>
    </row>
    <row r="2009" customFormat="false" ht="14.25" hidden="false" customHeight="true" outlineLevel="0" collapsed="false">
      <c r="B2009" s="9" t="s">
        <v>16</v>
      </c>
      <c r="C2009" s="9" t="n">
        <v>1128299</v>
      </c>
      <c r="D2009" s="10" t="n">
        <v>44546</v>
      </c>
      <c r="E2009" s="9" t="s">
        <v>29</v>
      </c>
      <c r="F2009" s="9" t="s">
        <v>83</v>
      </c>
      <c r="G2009" s="9" t="s">
        <v>84</v>
      </c>
      <c r="H2009" s="11" t="s">
        <v>22</v>
      </c>
      <c r="I2009" s="12" t="n">
        <v>75</v>
      </c>
      <c r="J2009" s="13" t="n">
        <v>600</v>
      </c>
      <c r="K2009" s="14" t="n">
        <f aca="false">I2009*J2009</f>
        <v>45000</v>
      </c>
      <c r="L2009" s="14" t="n">
        <f aca="false">($L$2*M2009)/100</f>
        <v>480666.6</v>
      </c>
      <c r="M2009" s="15" t="n">
        <v>0.4</v>
      </c>
      <c r="N2009" s="9" t="s">
        <v>85</v>
      </c>
    </row>
    <row r="2010" customFormat="false" ht="14.25" hidden="false" customHeight="true" outlineLevel="0" collapsed="false">
      <c r="B2010" s="9" t="s">
        <v>16</v>
      </c>
      <c r="C2010" s="9" t="n">
        <v>1128299</v>
      </c>
      <c r="D2010" s="10" t="n">
        <v>44546</v>
      </c>
      <c r="E2010" s="9" t="s">
        <v>29</v>
      </c>
      <c r="F2010" s="9" t="s">
        <v>83</v>
      </c>
      <c r="G2010" s="9" t="s">
        <v>84</v>
      </c>
      <c r="H2010" s="11" t="s">
        <v>23</v>
      </c>
      <c r="I2010" s="12" t="n">
        <v>75</v>
      </c>
      <c r="J2010" s="13" t="n">
        <v>600</v>
      </c>
      <c r="K2010" s="14" t="n">
        <f aca="false">I2010*J2010</f>
        <v>45000</v>
      </c>
      <c r="L2010" s="14" t="n">
        <f aca="false">($L$2*M2010)/100</f>
        <v>480666.6</v>
      </c>
      <c r="M2010" s="15" t="n">
        <v>0.4</v>
      </c>
      <c r="N2010" s="9" t="s">
        <v>85</v>
      </c>
    </row>
    <row r="2011" customFormat="false" ht="14.25" hidden="false" customHeight="true" outlineLevel="0" collapsed="false">
      <c r="B2011" s="9" t="s">
        <v>16</v>
      </c>
      <c r="C2011" s="9" t="n">
        <v>1128299</v>
      </c>
      <c r="D2011" s="10" t="n">
        <v>44546</v>
      </c>
      <c r="E2011" s="9" t="s">
        <v>29</v>
      </c>
      <c r="F2011" s="9" t="s">
        <v>83</v>
      </c>
      <c r="G2011" s="9" t="s">
        <v>84</v>
      </c>
      <c r="H2011" s="11" t="s">
        <v>24</v>
      </c>
      <c r="I2011" s="12" t="n">
        <v>85</v>
      </c>
      <c r="J2011" s="13" t="n">
        <v>525</v>
      </c>
      <c r="K2011" s="14" t="n">
        <f aca="false">I2011*J2011</f>
        <v>44625</v>
      </c>
      <c r="L2011" s="14" t="n">
        <f aca="false">($L$2*M2011)/100</f>
        <v>540749.925</v>
      </c>
      <c r="M2011" s="15" t="n">
        <v>0.45</v>
      </c>
      <c r="N2011" s="9" t="s">
        <v>85</v>
      </c>
    </row>
    <row r="2012" customFormat="false" ht="14.25" hidden="false" customHeight="true" outlineLevel="0" collapsed="false">
      <c r="B2012" s="9" t="s">
        <v>16</v>
      </c>
      <c r="C2012" s="9" t="n">
        <v>1128299</v>
      </c>
      <c r="D2012" s="10" t="n">
        <v>44546</v>
      </c>
      <c r="E2012" s="9" t="s">
        <v>29</v>
      </c>
      <c r="F2012" s="9" t="s">
        <v>83</v>
      </c>
      <c r="G2012" s="9" t="s">
        <v>84</v>
      </c>
      <c r="H2012" s="11" t="s">
        <v>25</v>
      </c>
      <c r="I2012" s="12" t="n">
        <v>90</v>
      </c>
      <c r="J2012" s="13" t="n">
        <v>625</v>
      </c>
      <c r="K2012" s="14" t="n">
        <f aca="false">I2012*J2012</f>
        <v>56250</v>
      </c>
      <c r="L2012" s="14" t="n">
        <f aca="false">($L$2*M2012)/100</f>
        <v>420583.275</v>
      </c>
      <c r="M2012" s="15" t="n">
        <v>0.35</v>
      </c>
      <c r="N2012" s="9" t="s">
        <v>85</v>
      </c>
    </row>
    <row r="2013" customFormat="false" ht="14.25" hidden="false" customHeight="true" outlineLevel="0" collapsed="false">
      <c r="B2013" s="9" t="s">
        <v>16</v>
      </c>
      <c r="C2013" s="9" t="n">
        <v>1197831</v>
      </c>
      <c r="D2013" s="10" t="n">
        <v>44201</v>
      </c>
      <c r="E2013" s="9" t="s">
        <v>29</v>
      </c>
      <c r="F2013" s="9" t="s">
        <v>83</v>
      </c>
      <c r="G2013" s="9" t="s">
        <v>84</v>
      </c>
      <c r="H2013" s="11" t="s">
        <v>19</v>
      </c>
      <c r="I2013" s="12" t="n">
        <v>20</v>
      </c>
      <c r="J2013" s="13" t="n">
        <v>675</v>
      </c>
      <c r="K2013" s="14" t="n">
        <f aca="false">I2013*J2013</f>
        <v>13500</v>
      </c>
      <c r="L2013" s="14" t="n">
        <f aca="false">($L$2*M2013)/100</f>
        <v>360499.95</v>
      </c>
      <c r="M2013" s="15" t="n">
        <v>0.3</v>
      </c>
      <c r="N2013" s="9" t="s">
        <v>85</v>
      </c>
    </row>
    <row r="2014" customFormat="false" ht="14.25" hidden="false" customHeight="true" outlineLevel="0" collapsed="false">
      <c r="B2014" s="9" t="s">
        <v>16</v>
      </c>
      <c r="C2014" s="9" t="n">
        <v>1197831</v>
      </c>
      <c r="D2014" s="10" t="n">
        <v>44201</v>
      </c>
      <c r="E2014" s="9" t="s">
        <v>29</v>
      </c>
      <c r="F2014" s="9" t="s">
        <v>83</v>
      </c>
      <c r="G2014" s="9" t="s">
        <v>84</v>
      </c>
      <c r="H2014" s="11" t="s">
        <v>21</v>
      </c>
      <c r="I2014" s="12" t="n">
        <v>30</v>
      </c>
      <c r="J2014" s="13" t="n">
        <v>675</v>
      </c>
      <c r="K2014" s="14" t="n">
        <f aca="false">I2014*J2014</f>
        <v>20250</v>
      </c>
      <c r="L2014" s="14" t="n">
        <f aca="false">($L$2*M2014)/100</f>
        <v>360499.95</v>
      </c>
      <c r="M2014" s="15" t="n">
        <v>0.3</v>
      </c>
      <c r="N2014" s="9" t="s">
        <v>85</v>
      </c>
    </row>
    <row r="2015" customFormat="false" ht="14.25" hidden="false" customHeight="true" outlineLevel="0" collapsed="false">
      <c r="B2015" s="9" t="s">
        <v>16</v>
      </c>
      <c r="C2015" s="9" t="n">
        <v>1197831</v>
      </c>
      <c r="D2015" s="10" t="n">
        <v>44201</v>
      </c>
      <c r="E2015" s="9" t="s">
        <v>29</v>
      </c>
      <c r="F2015" s="9" t="s">
        <v>83</v>
      </c>
      <c r="G2015" s="9" t="s">
        <v>84</v>
      </c>
      <c r="H2015" s="11" t="s">
        <v>22</v>
      </c>
      <c r="I2015" s="12" t="n">
        <v>30</v>
      </c>
      <c r="J2015" s="13" t="n">
        <v>475</v>
      </c>
      <c r="K2015" s="14" t="n">
        <f aca="false">I2015*J2015</f>
        <v>14250</v>
      </c>
      <c r="L2015" s="14" t="n">
        <f aca="false">($L$2*M2015)/100</f>
        <v>360499.95</v>
      </c>
      <c r="M2015" s="15" t="n">
        <v>0.3</v>
      </c>
      <c r="N2015" s="9" t="s">
        <v>85</v>
      </c>
    </row>
    <row r="2016" customFormat="false" ht="14.25" hidden="false" customHeight="true" outlineLevel="0" collapsed="false">
      <c r="B2016" s="9" t="s">
        <v>16</v>
      </c>
      <c r="C2016" s="9" t="n">
        <v>1197831</v>
      </c>
      <c r="D2016" s="10" t="n">
        <v>44201</v>
      </c>
      <c r="E2016" s="9" t="s">
        <v>29</v>
      </c>
      <c r="F2016" s="9" t="s">
        <v>83</v>
      </c>
      <c r="G2016" s="9" t="s">
        <v>84</v>
      </c>
      <c r="H2016" s="11" t="s">
        <v>23</v>
      </c>
      <c r="I2016" s="12" t="n">
        <v>35</v>
      </c>
      <c r="J2016" s="13" t="n">
        <v>475</v>
      </c>
      <c r="K2016" s="14" t="n">
        <f aca="false">I2016*J2016</f>
        <v>16625</v>
      </c>
      <c r="L2016" s="14" t="n">
        <f aca="false">($L$2*M2016)/100</f>
        <v>480666.6</v>
      </c>
      <c r="M2016" s="15" t="n">
        <v>0.4</v>
      </c>
      <c r="N2016" s="9" t="s">
        <v>85</v>
      </c>
    </row>
    <row r="2017" customFormat="false" ht="14.25" hidden="false" customHeight="true" outlineLevel="0" collapsed="false">
      <c r="B2017" s="9" t="s">
        <v>16</v>
      </c>
      <c r="C2017" s="9" t="n">
        <v>1197831</v>
      </c>
      <c r="D2017" s="10" t="n">
        <v>44201</v>
      </c>
      <c r="E2017" s="9" t="s">
        <v>29</v>
      </c>
      <c r="F2017" s="9" t="s">
        <v>83</v>
      </c>
      <c r="G2017" s="9" t="s">
        <v>84</v>
      </c>
      <c r="H2017" s="11" t="s">
        <v>24</v>
      </c>
      <c r="I2017" s="12" t="n">
        <v>40</v>
      </c>
      <c r="J2017" s="13" t="n">
        <v>325</v>
      </c>
      <c r="K2017" s="14" t="n">
        <f aca="false">I2017*J2017</f>
        <v>13000</v>
      </c>
      <c r="L2017" s="14" t="n">
        <f aca="false">($L$2*M2017)/100</f>
        <v>300416.625</v>
      </c>
      <c r="M2017" s="15" t="n">
        <v>0.25</v>
      </c>
      <c r="N2017" s="9" t="s">
        <v>85</v>
      </c>
    </row>
    <row r="2018" customFormat="false" ht="14.25" hidden="false" customHeight="true" outlineLevel="0" collapsed="false">
      <c r="B2018" s="9" t="s">
        <v>32</v>
      </c>
      <c r="C2018" s="9" t="n">
        <v>1197831</v>
      </c>
      <c r="D2018" s="10" t="n">
        <v>44201</v>
      </c>
      <c r="E2018" s="9" t="s">
        <v>29</v>
      </c>
      <c r="F2018" s="9" t="s">
        <v>83</v>
      </c>
      <c r="G2018" s="9" t="s">
        <v>84</v>
      </c>
      <c r="H2018" s="11" t="s">
        <v>25</v>
      </c>
      <c r="I2018" s="12" t="n">
        <v>35</v>
      </c>
      <c r="J2018" s="13" t="n">
        <v>475</v>
      </c>
      <c r="K2018" s="14" t="n">
        <f aca="false">I2018*J2018</f>
        <v>16625</v>
      </c>
      <c r="L2018" s="14" t="n">
        <f aca="false">($L$2*M2018)/100</f>
        <v>540749.925</v>
      </c>
      <c r="M2018" s="15" t="n">
        <v>0.45</v>
      </c>
      <c r="N2018" s="9" t="s">
        <v>85</v>
      </c>
    </row>
    <row r="2019" customFormat="false" ht="14.25" hidden="false" customHeight="true" outlineLevel="0" collapsed="false">
      <c r="B2019" s="9" t="s">
        <v>16</v>
      </c>
      <c r="C2019" s="9" t="n">
        <v>1197831</v>
      </c>
      <c r="D2019" s="10" t="n">
        <v>44231</v>
      </c>
      <c r="E2019" s="9" t="s">
        <v>29</v>
      </c>
      <c r="F2019" s="9" t="s">
        <v>83</v>
      </c>
      <c r="G2019" s="9" t="s">
        <v>84</v>
      </c>
      <c r="H2019" s="11" t="s">
        <v>19</v>
      </c>
      <c r="I2019" s="12" t="n">
        <v>25</v>
      </c>
      <c r="J2019" s="13" t="n">
        <v>625</v>
      </c>
      <c r="K2019" s="14" t="n">
        <f aca="false">I2019*J2019</f>
        <v>15625</v>
      </c>
      <c r="L2019" s="14" t="n">
        <f aca="false">($L$2*M2019)/100</f>
        <v>360499.95</v>
      </c>
      <c r="M2019" s="15" t="n">
        <v>0.3</v>
      </c>
      <c r="N2019" s="9" t="s">
        <v>85</v>
      </c>
    </row>
    <row r="2020" customFormat="false" ht="14.25" hidden="false" customHeight="true" outlineLevel="0" collapsed="false">
      <c r="B2020" s="9" t="s">
        <v>16</v>
      </c>
      <c r="C2020" s="9" t="n">
        <v>1197831</v>
      </c>
      <c r="D2020" s="10" t="n">
        <v>44231</v>
      </c>
      <c r="E2020" s="9" t="s">
        <v>29</v>
      </c>
      <c r="F2020" s="9" t="s">
        <v>83</v>
      </c>
      <c r="G2020" s="9" t="s">
        <v>84</v>
      </c>
      <c r="H2020" s="11" t="s">
        <v>21</v>
      </c>
      <c r="I2020" s="12" t="n">
        <v>35</v>
      </c>
      <c r="J2020" s="13" t="n">
        <v>600</v>
      </c>
      <c r="K2020" s="14" t="n">
        <f aca="false">I2020*J2020</f>
        <v>21000</v>
      </c>
      <c r="L2020" s="14" t="n">
        <f aca="false">($L$2*M2020)/100</f>
        <v>360499.95</v>
      </c>
      <c r="M2020" s="15" t="n">
        <v>0.3</v>
      </c>
      <c r="N2020" s="9" t="s">
        <v>85</v>
      </c>
    </row>
    <row r="2021" customFormat="false" ht="14.25" hidden="false" customHeight="true" outlineLevel="0" collapsed="false">
      <c r="B2021" s="9" t="s">
        <v>16</v>
      </c>
      <c r="C2021" s="9" t="n">
        <v>1197831</v>
      </c>
      <c r="D2021" s="10" t="n">
        <v>44231</v>
      </c>
      <c r="E2021" s="9" t="s">
        <v>29</v>
      </c>
      <c r="F2021" s="9" t="s">
        <v>83</v>
      </c>
      <c r="G2021" s="9" t="s">
        <v>84</v>
      </c>
      <c r="H2021" s="11" t="s">
        <v>22</v>
      </c>
      <c r="I2021" s="12" t="n">
        <v>35</v>
      </c>
      <c r="J2021" s="13" t="n">
        <v>425</v>
      </c>
      <c r="K2021" s="14" t="n">
        <f aca="false">I2021*J2021</f>
        <v>14875</v>
      </c>
      <c r="L2021" s="14" t="n">
        <f aca="false">($L$2*M2021)/100</f>
        <v>360499.95</v>
      </c>
      <c r="M2021" s="15" t="n">
        <v>0.3</v>
      </c>
      <c r="N2021" s="9" t="s">
        <v>85</v>
      </c>
    </row>
    <row r="2022" customFormat="false" ht="14.25" hidden="false" customHeight="true" outlineLevel="0" collapsed="false">
      <c r="B2022" s="9" t="s">
        <v>16</v>
      </c>
      <c r="C2022" s="9" t="n">
        <v>1197831</v>
      </c>
      <c r="D2022" s="10" t="n">
        <v>44231</v>
      </c>
      <c r="E2022" s="9" t="s">
        <v>33</v>
      </c>
      <c r="F2022" s="9" t="s">
        <v>86</v>
      </c>
      <c r="G2022" s="9" t="s">
        <v>87</v>
      </c>
      <c r="H2022" s="11" t="s">
        <v>23</v>
      </c>
      <c r="I2022" s="12" t="n">
        <v>35</v>
      </c>
      <c r="J2022" s="13" t="n">
        <v>375</v>
      </c>
      <c r="K2022" s="14" t="n">
        <f aca="false">I2022*J2022</f>
        <v>13125</v>
      </c>
      <c r="L2022" s="14" t="n">
        <f aca="false">($L$2*M2022)/100</f>
        <v>480666.6</v>
      </c>
      <c r="M2022" s="15" t="n">
        <v>0.4</v>
      </c>
      <c r="N2022" s="9" t="s">
        <v>85</v>
      </c>
    </row>
    <row r="2023" customFormat="false" ht="14.25" hidden="false" customHeight="true" outlineLevel="0" collapsed="false">
      <c r="B2023" s="9" t="s">
        <v>16</v>
      </c>
      <c r="C2023" s="9" t="n">
        <v>1197831</v>
      </c>
      <c r="D2023" s="10" t="n">
        <v>44231</v>
      </c>
      <c r="E2023" s="9" t="s">
        <v>33</v>
      </c>
      <c r="F2023" s="9" t="s">
        <v>86</v>
      </c>
      <c r="G2023" s="9" t="s">
        <v>87</v>
      </c>
      <c r="H2023" s="11" t="s">
        <v>24</v>
      </c>
      <c r="I2023" s="12" t="n">
        <v>40</v>
      </c>
      <c r="J2023" s="13" t="n">
        <v>250</v>
      </c>
      <c r="K2023" s="14" t="n">
        <f aca="false">I2023*J2023</f>
        <v>10000</v>
      </c>
      <c r="L2023" s="14" t="n">
        <f aca="false">($L$2*M2023)/100</f>
        <v>300416.625</v>
      </c>
      <c r="M2023" s="15" t="n">
        <v>0.25</v>
      </c>
      <c r="N2023" s="9" t="s">
        <v>85</v>
      </c>
    </row>
    <row r="2024" customFormat="false" ht="14.25" hidden="false" customHeight="true" outlineLevel="0" collapsed="false">
      <c r="B2024" s="9" t="s">
        <v>16</v>
      </c>
      <c r="C2024" s="9" t="n">
        <v>1197831</v>
      </c>
      <c r="D2024" s="10" t="n">
        <v>44231</v>
      </c>
      <c r="E2024" s="9" t="s">
        <v>33</v>
      </c>
      <c r="F2024" s="9" t="s">
        <v>86</v>
      </c>
      <c r="G2024" s="9" t="s">
        <v>87</v>
      </c>
      <c r="H2024" s="11" t="s">
        <v>25</v>
      </c>
      <c r="I2024" s="12" t="n">
        <v>35</v>
      </c>
      <c r="J2024" s="13" t="n">
        <v>450</v>
      </c>
      <c r="K2024" s="14" t="n">
        <f aca="false">I2024*J2024</f>
        <v>15750</v>
      </c>
      <c r="L2024" s="14" t="n">
        <f aca="false">($L$2*M2024)/100</f>
        <v>540749.925</v>
      </c>
      <c r="M2024" s="15" t="n">
        <v>0.45</v>
      </c>
      <c r="N2024" s="9" t="s">
        <v>85</v>
      </c>
    </row>
    <row r="2025" customFormat="false" ht="14.25" hidden="false" customHeight="true" outlineLevel="0" collapsed="false">
      <c r="B2025" s="9" t="s">
        <v>16</v>
      </c>
      <c r="C2025" s="9" t="n">
        <v>1197831</v>
      </c>
      <c r="D2025" s="10" t="n">
        <v>44261</v>
      </c>
      <c r="E2025" s="9" t="s">
        <v>33</v>
      </c>
      <c r="F2025" s="9" t="s">
        <v>86</v>
      </c>
      <c r="G2025" s="9" t="s">
        <v>87</v>
      </c>
      <c r="H2025" s="11" t="s">
        <v>19</v>
      </c>
      <c r="I2025" s="12" t="n">
        <v>30</v>
      </c>
      <c r="J2025" s="13" t="n">
        <v>625</v>
      </c>
      <c r="K2025" s="14" t="n">
        <f aca="false">I2025*J2025</f>
        <v>18750</v>
      </c>
      <c r="L2025" s="14" t="n">
        <f aca="false">($L$2*M2025)/100</f>
        <v>420583.275</v>
      </c>
      <c r="M2025" s="15" t="n">
        <v>0.35</v>
      </c>
      <c r="N2025" s="9" t="s">
        <v>85</v>
      </c>
    </row>
    <row r="2026" customFormat="false" ht="14.25" hidden="false" customHeight="true" outlineLevel="0" collapsed="false">
      <c r="B2026" s="9" t="s">
        <v>16</v>
      </c>
      <c r="C2026" s="9" t="n">
        <v>1197831</v>
      </c>
      <c r="D2026" s="10" t="n">
        <v>44261</v>
      </c>
      <c r="E2026" s="9" t="s">
        <v>33</v>
      </c>
      <c r="F2026" s="9" t="s">
        <v>86</v>
      </c>
      <c r="G2026" s="9" t="s">
        <v>87</v>
      </c>
      <c r="H2026" s="11" t="s">
        <v>21</v>
      </c>
      <c r="I2026" s="12" t="n">
        <v>40</v>
      </c>
      <c r="J2026" s="13" t="n">
        <v>625</v>
      </c>
      <c r="K2026" s="14" t="n">
        <f aca="false">I2026*J2026</f>
        <v>25000</v>
      </c>
      <c r="L2026" s="14" t="n">
        <f aca="false">($L$2*M2026)/100</f>
        <v>420583.275</v>
      </c>
      <c r="M2026" s="15" t="n">
        <v>0.35</v>
      </c>
      <c r="N2026" s="9" t="s">
        <v>85</v>
      </c>
    </row>
    <row r="2027" customFormat="false" ht="14.25" hidden="false" customHeight="true" outlineLevel="0" collapsed="false">
      <c r="B2027" s="9" t="s">
        <v>16</v>
      </c>
      <c r="C2027" s="9" t="n">
        <v>1197831</v>
      </c>
      <c r="D2027" s="10" t="n">
        <v>44261</v>
      </c>
      <c r="E2027" s="9" t="s">
        <v>33</v>
      </c>
      <c r="F2027" s="9" t="s">
        <v>86</v>
      </c>
      <c r="G2027" s="9" t="s">
        <v>87</v>
      </c>
      <c r="H2027" s="11" t="s">
        <v>22</v>
      </c>
      <c r="I2027" s="12" t="n">
        <v>30</v>
      </c>
      <c r="J2027" s="13" t="n">
        <v>450</v>
      </c>
      <c r="K2027" s="14" t="n">
        <f aca="false">I2027*J2027</f>
        <v>13500</v>
      </c>
      <c r="L2027" s="14" t="n">
        <f aca="false">($L$2*M2027)/100</f>
        <v>420583.275</v>
      </c>
      <c r="M2027" s="15" t="n">
        <v>0.35</v>
      </c>
      <c r="N2027" s="9" t="s">
        <v>85</v>
      </c>
    </row>
    <row r="2028" customFormat="false" ht="14.25" hidden="false" customHeight="true" outlineLevel="0" collapsed="false">
      <c r="B2028" s="9" t="s">
        <v>16</v>
      </c>
      <c r="C2028" s="9" t="n">
        <v>1197831</v>
      </c>
      <c r="D2028" s="10" t="n">
        <v>44261</v>
      </c>
      <c r="E2028" s="9" t="s">
        <v>33</v>
      </c>
      <c r="F2028" s="9" t="s">
        <v>86</v>
      </c>
      <c r="G2028" s="9" t="s">
        <v>87</v>
      </c>
      <c r="H2028" s="11" t="s">
        <v>23</v>
      </c>
      <c r="I2028" s="12" t="n">
        <v>35</v>
      </c>
      <c r="J2028" s="13" t="n">
        <v>350</v>
      </c>
      <c r="K2028" s="14" t="n">
        <f aca="false">I2028*J2028</f>
        <v>12250</v>
      </c>
      <c r="L2028" s="14" t="n">
        <f aca="false">($L$2*M2028)/100</f>
        <v>540749.925</v>
      </c>
      <c r="M2028" s="15" t="n">
        <v>0.45</v>
      </c>
      <c r="N2028" s="9" t="s">
        <v>85</v>
      </c>
    </row>
    <row r="2029" customFormat="false" ht="14.25" hidden="false" customHeight="true" outlineLevel="0" collapsed="false">
      <c r="B2029" s="9" t="s">
        <v>32</v>
      </c>
      <c r="C2029" s="9" t="n">
        <v>1197831</v>
      </c>
      <c r="D2029" s="10" t="n">
        <v>44261</v>
      </c>
      <c r="E2029" s="9" t="s">
        <v>33</v>
      </c>
      <c r="F2029" s="9" t="s">
        <v>86</v>
      </c>
      <c r="G2029" s="9" t="s">
        <v>87</v>
      </c>
      <c r="H2029" s="11" t="s">
        <v>24</v>
      </c>
      <c r="I2029" s="12" t="n">
        <v>40</v>
      </c>
      <c r="J2029" s="13" t="n">
        <v>250</v>
      </c>
      <c r="K2029" s="14" t="n">
        <f aca="false">I2029*J2029</f>
        <v>10000</v>
      </c>
      <c r="L2029" s="14" t="n">
        <f aca="false">($L$2*M2029)/100</f>
        <v>360499.95</v>
      </c>
      <c r="M2029" s="15" t="n">
        <v>0.3</v>
      </c>
      <c r="N2029" s="9" t="s">
        <v>85</v>
      </c>
    </row>
    <row r="2030" customFormat="false" ht="14.25" hidden="false" customHeight="true" outlineLevel="0" collapsed="false">
      <c r="B2030" s="9" t="s">
        <v>32</v>
      </c>
      <c r="C2030" s="9" t="n">
        <v>1197831</v>
      </c>
      <c r="D2030" s="10" t="n">
        <v>44261</v>
      </c>
      <c r="E2030" s="9" t="s">
        <v>33</v>
      </c>
      <c r="F2030" s="9" t="s">
        <v>86</v>
      </c>
      <c r="G2030" s="9" t="s">
        <v>87</v>
      </c>
      <c r="H2030" s="11" t="s">
        <v>25</v>
      </c>
      <c r="I2030" s="12" t="n">
        <v>35</v>
      </c>
      <c r="J2030" s="13" t="n">
        <v>400</v>
      </c>
      <c r="K2030" s="14" t="n">
        <f aca="false">I2030*J2030</f>
        <v>14000</v>
      </c>
      <c r="L2030" s="14" t="n">
        <f aca="false">($L$2*M2030)/100</f>
        <v>600833.25</v>
      </c>
      <c r="M2030" s="15" t="n">
        <v>0.5</v>
      </c>
      <c r="N2030" s="9" t="s">
        <v>85</v>
      </c>
    </row>
    <row r="2031" customFormat="false" ht="14.25" hidden="false" customHeight="true" outlineLevel="0" collapsed="false">
      <c r="B2031" s="9" t="s">
        <v>32</v>
      </c>
      <c r="C2031" s="9" t="n">
        <v>1197831</v>
      </c>
      <c r="D2031" s="10" t="n">
        <v>44291</v>
      </c>
      <c r="E2031" s="9" t="s">
        <v>33</v>
      </c>
      <c r="F2031" s="9" t="s">
        <v>86</v>
      </c>
      <c r="G2031" s="9" t="s">
        <v>87</v>
      </c>
      <c r="H2031" s="11" t="s">
        <v>19</v>
      </c>
      <c r="I2031" s="12" t="n">
        <v>20</v>
      </c>
      <c r="J2031" s="13" t="n">
        <v>650</v>
      </c>
      <c r="K2031" s="14" t="n">
        <f aca="false">I2031*J2031</f>
        <v>13000</v>
      </c>
      <c r="L2031" s="14" t="n">
        <f aca="false">($L$2*M2031)/100</f>
        <v>420583.275</v>
      </c>
      <c r="M2031" s="15" t="n">
        <v>0.35</v>
      </c>
      <c r="N2031" s="9" t="s">
        <v>85</v>
      </c>
    </row>
    <row r="2032" customFormat="false" ht="14.25" hidden="false" customHeight="true" outlineLevel="0" collapsed="false">
      <c r="B2032" s="9" t="s">
        <v>32</v>
      </c>
      <c r="C2032" s="9" t="n">
        <v>1197831</v>
      </c>
      <c r="D2032" s="10" t="n">
        <v>44291</v>
      </c>
      <c r="E2032" s="9" t="s">
        <v>33</v>
      </c>
      <c r="F2032" s="9" t="s">
        <v>86</v>
      </c>
      <c r="G2032" s="9" t="s">
        <v>87</v>
      </c>
      <c r="H2032" s="11" t="s">
        <v>21</v>
      </c>
      <c r="I2032" s="12" t="n">
        <v>30</v>
      </c>
      <c r="J2032" s="13" t="n">
        <v>650</v>
      </c>
      <c r="K2032" s="14" t="n">
        <f aca="false">I2032*J2032</f>
        <v>19500</v>
      </c>
      <c r="L2032" s="14" t="n">
        <f aca="false">($L$2*M2032)/100</f>
        <v>420583.275</v>
      </c>
      <c r="M2032" s="15" t="n">
        <v>0.35</v>
      </c>
      <c r="N2032" s="9" t="s">
        <v>85</v>
      </c>
    </row>
    <row r="2033" customFormat="false" ht="14.25" hidden="false" customHeight="true" outlineLevel="0" collapsed="false">
      <c r="B2033" s="9" t="s">
        <v>32</v>
      </c>
      <c r="C2033" s="9" t="n">
        <v>1197831</v>
      </c>
      <c r="D2033" s="10" t="n">
        <v>44291</v>
      </c>
      <c r="E2033" s="9" t="s">
        <v>33</v>
      </c>
      <c r="F2033" s="9" t="s">
        <v>86</v>
      </c>
      <c r="G2033" s="9" t="s">
        <v>87</v>
      </c>
      <c r="H2033" s="11" t="s">
        <v>22</v>
      </c>
      <c r="I2033" s="12" t="n">
        <v>25</v>
      </c>
      <c r="J2033" s="13" t="n">
        <v>475</v>
      </c>
      <c r="K2033" s="14" t="n">
        <f aca="false">I2033*J2033</f>
        <v>11875</v>
      </c>
      <c r="L2033" s="14" t="n">
        <f aca="false">($L$2*M2033)/100</f>
        <v>420583.275</v>
      </c>
      <c r="M2033" s="15" t="n">
        <v>0.35</v>
      </c>
      <c r="N2033" s="9" t="s">
        <v>85</v>
      </c>
    </row>
    <row r="2034" customFormat="false" ht="14.25" hidden="false" customHeight="true" outlineLevel="0" collapsed="false">
      <c r="B2034" s="9" t="s">
        <v>32</v>
      </c>
      <c r="C2034" s="9" t="n">
        <v>1197831</v>
      </c>
      <c r="D2034" s="10" t="n">
        <v>44291</v>
      </c>
      <c r="E2034" s="9" t="s">
        <v>33</v>
      </c>
      <c r="F2034" s="9" t="s">
        <v>86</v>
      </c>
      <c r="G2034" s="9" t="s">
        <v>87</v>
      </c>
      <c r="H2034" s="11" t="s">
        <v>23</v>
      </c>
      <c r="I2034" s="12" t="n">
        <v>30</v>
      </c>
      <c r="J2034" s="13" t="n">
        <v>375</v>
      </c>
      <c r="K2034" s="14" t="n">
        <f aca="false">I2034*J2034</f>
        <v>11250</v>
      </c>
      <c r="L2034" s="14" t="n">
        <f aca="false">($L$2*M2034)/100</f>
        <v>540749.925</v>
      </c>
      <c r="M2034" s="15" t="n">
        <v>0.45</v>
      </c>
      <c r="N2034" s="9" t="s">
        <v>85</v>
      </c>
    </row>
    <row r="2035" customFormat="false" ht="14.25" hidden="false" customHeight="true" outlineLevel="0" collapsed="false">
      <c r="B2035" s="9" t="s">
        <v>32</v>
      </c>
      <c r="C2035" s="9" t="n">
        <v>1197831</v>
      </c>
      <c r="D2035" s="10" t="n">
        <v>44291</v>
      </c>
      <c r="E2035" s="9" t="s">
        <v>33</v>
      </c>
      <c r="F2035" s="9" t="s">
        <v>86</v>
      </c>
      <c r="G2035" s="9" t="s">
        <v>87</v>
      </c>
      <c r="H2035" s="11" t="s">
        <v>24</v>
      </c>
      <c r="I2035" s="12" t="n">
        <v>35</v>
      </c>
      <c r="J2035" s="13" t="n">
        <v>275</v>
      </c>
      <c r="K2035" s="14" t="n">
        <f aca="false">I2035*J2035</f>
        <v>9625</v>
      </c>
      <c r="L2035" s="14" t="n">
        <f aca="false">($L$2*M2035)/100</f>
        <v>360499.95</v>
      </c>
      <c r="M2035" s="15" t="n">
        <v>0.3</v>
      </c>
      <c r="N2035" s="9" t="s">
        <v>85</v>
      </c>
    </row>
    <row r="2036" customFormat="false" ht="14.25" hidden="false" customHeight="true" outlineLevel="0" collapsed="false">
      <c r="B2036" s="9" t="s">
        <v>32</v>
      </c>
      <c r="C2036" s="9" t="n">
        <v>1197831</v>
      </c>
      <c r="D2036" s="10" t="n">
        <v>44291</v>
      </c>
      <c r="E2036" s="9" t="s">
        <v>33</v>
      </c>
      <c r="F2036" s="9" t="s">
        <v>86</v>
      </c>
      <c r="G2036" s="9" t="s">
        <v>87</v>
      </c>
      <c r="H2036" s="11" t="s">
        <v>25</v>
      </c>
      <c r="I2036" s="12" t="n">
        <v>30</v>
      </c>
      <c r="J2036" s="13" t="n">
        <v>550</v>
      </c>
      <c r="K2036" s="14" t="n">
        <f aca="false">I2036*J2036</f>
        <v>16500</v>
      </c>
      <c r="L2036" s="14" t="n">
        <f aca="false">($L$2*M2036)/100</f>
        <v>600833.25</v>
      </c>
      <c r="M2036" s="15" t="n">
        <v>0.5</v>
      </c>
      <c r="N2036" s="9" t="s">
        <v>85</v>
      </c>
    </row>
    <row r="2037" customFormat="false" ht="14.25" hidden="false" customHeight="true" outlineLevel="0" collapsed="false">
      <c r="B2037" s="9" t="s">
        <v>32</v>
      </c>
      <c r="C2037" s="9" t="n">
        <v>1197831</v>
      </c>
      <c r="D2037" s="10" t="n">
        <v>44321</v>
      </c>
      <c r="E2037" s="9" t="s">
        <v>33</v>
      </c>
      <c r="F2037" s="9" t="s">
        <v>86</v>
      </c>
      <c r="G2037" s="9" t="s">
        <v>87</v>
      </c>
      <c r="H2037" s="11" t="s">
        <v>19</v>
      </c>
      <c r="I2037" s="12" t="n">
        <v>20</v>
      </c>
      <c r="J2037" s="13" t="n">
        <v>700</v>
      </c>
      <c r="K2037" s="14" t="n">
        <f aca="false">I2037*J2037</f>
        <v>14000</v>
      </c>
      <c r="L2037" s="14" t="n">
        <f aca="false">($L$2*M2037)/100</f>
        <v>420583.275</v>
      </c>
      <c r="M2037" s="15" t="n">
        <v>0.35</v>
      </c>
      <c r="N2037" s="9" t="s">
        <v>85</v>
      </c>
    </row>
    <row r="2038" customFormat="false" ht="14.25" hidden="false" customHeight="true" outlineLevel="0" collapsed="false">
      <c r="B2038" s="9" t="s">
        <v>32</v>
      </c>
      <c r="C2038" s="9" t="n">
        <v>1197831</v>
      </c>
      <c r="D2038" s="10" t="n">
        <v>44321</v>
      </c>
      <c r="E2038" s="9" t="s">
        <v>33</v>
      </c>
      <c r="F2038" s="9" t="s">
        <v>86</v>
      </c>
      <c r="G2038" s="9" t="s">
        <v>87</v>
      </c>
      <c r="H2038" s="11" t="s">
        <v>21</v>
      </c>
      <c r="I2038" s="12" t="n">
        <v>30</v>
      </c>
      <c r="J2038" s="13" t="n">
        <v>725</v>
      </c>
      <c r="K2038" s="14" t="n">
        <f aca="false">I2038*J2038</f>
        <v>21750</v>
      </c>
      <c r="L2038" s="14" t="n">
        <f aca="false">($L$2*M2038)/100</f>
        <v>420583.275</v>
      </c>
      <c r="M2038" s="15" t="n">
        <v>0.35</v>
      </c>
      <c r="N2038" s="9" t="s">
        <v>85</v>
      </c>
    </row>
    <row r="2039" customFormat="false" ht="14.25" hidden="false" customHeight="true" outlineLevel="0" collapsed="false">
      <c r="B2039" s="9" t="s">
        <v>32</v>
      </c>
      <c r="C2039" s="9" t="n">
        <v>1197831</v>
      </c>
      <c r="D2039" s="10" t="n">
        <v>44321</v>
      </c>
      <c r="E2039" s="9" t="s">
        <v>33</v>
      </c>
      <c r="F2039" s="9" t="s">
        <v>86</v>
      </c>
      <c r="G2039" s="9" t="s">
        <v>87</v>
      </c>
      <c r="H2039" s="11" t="s">
        <v>22</v>
      </c>
      <c r="I2039" s="12" t="n">
        <v>25</v>
      </c>
      <c r="J2039" s="13" t="n">
        <v>575</v>
      </c>
      <c r="K2039" s="14" t="n">
        <f aca="false">I2039*J2039</f>
        <v>14375</v>
      </c>
      <c r="L2039" s="14" t="n">
        <f aca="false">($L$2*M2039)/100</f>
        <v>420583.275</v>
      </c>
      <c r="M2039" s="15" t="n">
        <v>0.35</v>
      </c>
      <c r="N2039" s="9" t="s">
        <v>85</v>
      </c>
    </row>
    <row r="2040" customFormat="false" ht="14.25" hidden="false" customHeight="true" outlineLevel="0" collapsed="false">
      <c r="B2040" s="9" t="s">
        <v>32</v>
      </c>
      <c r="C2040" s="9" t="n">
        <v>1197831</v>
      </c>
      <c r="D2040" s="10" t="n">
        <v>44321</v>
      </c>
      <c r="E2040" s="9" t="s">
        <v>33</v>
      </c>
      <c r="F2040" s="9" t="s">
        <v>86</v>
      </c>
      <c r="G2040" s="9" t="s">
        <v>87</v>
      </c>
      <c r="H2040" s="11" t="s">
        <v>23</v>
      </c>
      <c r="I2040" s="12" t="n">
        <v>35</v>
      </c>
      <c r="J2040" s="13" t="n">
        <v>500</v>
      </c>
      <c r="K2040" s="14" t="n">
        <f aca="false">I2040*J2040</f>
        <v>17500</v>
      </c>
      <c r="L2040" s="14" t="n">
        <f aca="false">($L$2*M2040)/100</f>
        <v>540749.925</v>
      </c>
      <c r="M2040" s="15" t="n">
        <v>0.45</v>
      </c>
      <c r="N2040" s="9" t="s">
        <v>85</v>
      </c>
    </row>
    <row r="2041" customFormat="false" ht="14.25" hidden="false" customHeight="true" outlineLevel="0" collapsed="false">
      <c r="B2041" s="9" t="s">
        <v>32</v>
      </c>
      <c r="C2041" s="9" t="n">
        <v>1197831</v>
      </c>
      <c r="D2041" s="10" t="n">
        <v>44321</v>
      </c>
      <c r="E2041" s="9" t="s">
        <v>33</v>
      </c>
      <c r="F2041" s="9" t="s">
        <v>86</v>
      </c>
      <c r="G2041" s="9" t="s">
        <v>87</v>
      </c>
      <c r="H2041" s="11" t="s">
        <v>24</v>
      </c>
      <c r="I2041" s="12" t="n">
        <v>50</v>
      </c>
      <c r="J2041" s="13" t="n">
        <v>400</v>
      </c>
      <c r="K2041" s="14" t="n">
        <f aca="false">I2041*J2041</f>
        <v>20000</v>
      </c>
      <c r="L2041" s="14" t="n">
        <f aca="false">($L$2*M2041)/100</f>
        <v>360499.95</v>
      </c>
      <c r="M2041" s="15" t="n">
        <v>0.3</v>
      </c>
      <c r="N2041" s="9" t="s">
        <v>85</v>
      </c>
    </row>
    <row r="2042" customFormat="false" ht="14.25" hidden="false" customHeight="true" outlineLevel="0" collapsed="false">
      <c r="B2042" s="9" t="s">
        <v>32</v>
      </c>
      <c r="C2042" s="9" t="n">
        <v>1197831</v>
      </c>
      <c r="D2042" s="10" t="n">
        <v>44321</v>
      </c>
      <c r="E2042" s="9" t="s">
        <v>33</v>
      </c>
      <c r="F2042" s="9" t="s">
        <v>86</v>
      </c>
      <c r="G2042" s="9" t="s">
        <v>87</v>
      </c>
      <c r="H2042" s="11" t="s">
        <v>25</v>
      </c>
      <c r="I2042" s="12" t="n">
        <v>45</v>
      </c>
      <c r="J2042" s="13" t="n">
        <v>750</v>
      </c>
      <c r="K2042" s="14" t="n">
        <f aca="false">I2042*J2042</f>
        <v>33750</v>
      </c>
      <c r="L2042" s="14" t="n">
        <f aca="false">($L$2*M2042)/100</f>
        <v>600833.25</v>
      </c>
      <c r="M2042" s="15" t="n">
        <v>0.5</v>
      </c>
      <c r="N2042" s="9" t="s">
        <v>85</v>
      </c>
    </row>
    <row r="2043" customFormat="false" ht="14.25" hidden="false" customHeight="true" outlineLevel="0" collapsed="false">
      <c r="B2043" s="9" t="s">
        <v>32</v>
      </c>
      <c r="C2043" s="9" t="n">
        <v>1197831</v>
      </c>
      <c r="D2043" s="10" t="n">
        <v>44351</v>
      </c>
      <c r="E2043" s="9" t="s">
        <v>33</v>
      </c>
      <c r="F2043" s="9" t="s">
        <v>86</v>
      </c>
      <c r="G2043" s="9" t="s">
        <v>87</v>
      </c>
      <c r="H2043" s="11" t="s">
        <v>19</v>
      </c>
      <c r="I2043" s="12" t="n">
        <v>45</v>
      </c>
      <c r="J2043" s="13" t="n">
        <v>750</v>
      </c>
      <c r="K2043" s="14" t="n">
        <f aca="false">I2043*J2043</f>
        <v>33750</v>
      </c>
      <c r="L2043" s="14" t="n">
        <f aca="false">($L$2*M2043)/100</f>
        <v>420583.275</v>
      </c>
      <c r="M2043" s="15" t="n">
        <v>0.35</v>
      </c>
      <c r="N2043" s="9" t="s">
        <v>85</v>
      </c>
    </row>
    <row r="2044" customFormat="false" ht="14.25" hidden="false" customHeight="true" outlineLevel="0" collapsed="false">
      <c r="B2044" s="9" t="s">
        <v>32</v>
      </c>
      <c r="C2044" s="9" t="n">
        <v>1197831</v>
      </c>
      <c r="D2044" s="10" t="n">
        <v>44351</v>
      </c>
      <c r="E2044" s="9" t="s">
        <v>33</v>
      </c>
      <c r="F2044" s="9" t="s">
        <v>86</v>
      </c>
      <c r="G2044" s="9" t="s">
        <v>87</v>
      </c>
      <c r="H2044" s="11" t="s">
        <v>21</v>
      </c>
      <c r="I2044" s="12" t="n">
        <v>50</v>
      </c>
      <c r="J2044" s="13" t="n">
        <v>750</v>
      </c>
      <c r="K2044" s="14" t="n">
        <f aca="false">I2044*J2044</f>
        <v>37500</v>
      </c>
      <c r="L2044" s="14" t="n">
        <f aca="false">($L$2*M2044)/100</f>
        <v>420583.275</v>
      </c>
      <c r="M2044" s="15" t="n">
        <v>0.35</v>
      </c>
      <c r="N2044" s="9" t="s">
        <v>85</v>
      </c>
    </row>
    <row r="2045" customFormat="false" ht="14.25" hidden="false" customHeight="true" outlineLevel="0" collapsed="false">
      <c r="B2045" s="9" t="s">
        <v>32</v>
      </c>
      <c r="C2045" s="9" t="n">
        <v>1197831</v>
      </c>
      <c r="D2045" s="10" t="n">
        <v>44351</v>
      </c>
      <c r="E2045" s="9" t="s">
        <v>33</v>
      </c>
      <c r="F2045" s="9" t="s">
        <v>86</v>
      </c>
      <c r="G2045" s="9" t="s">
        <v>87</v>
      </c>
      <c r="H2045" s="11" t="s">
        <v>22</v>
      </c>
      <c r="I2045" s="12" t="n">
        <v>50</v>
      </c>
      <c r="J2045" s="13" t="n">
        <v>600</v>
      </c>
      <c r="K2045" s="14" t="n">
        <f aca="false">I2045*J2045</f>
        <v>30000</v>
      </c>
      <c r="L2045" s="14" t="n">
        <f aca="false">($L$2*M2045)/100</f>
        <v>420583.275</v>
      </c>
      <c r="M2045" s="15" t="n">
        <v>0.35</v>
      </c>
      <c r="N2045" s="9" t="s">
        <v>85</v>
      </c>
    </row>
    <row r="2046" customFormat="false" ht="14.25" hidden="false" customHeight="true" outlineLevel="0" collapsed="false">
      <c r="B2046" s="9" t="s">
        <v>32</v>
      </c>
      <c r="C2046" s="9" t="n">
        <v>1197831</v>
      </c>
      <c r="D2046" s="10" t="n">
        <v>44351</v>
      </c>
      <c r="E2046" s="9" t="s">
        <v>33</v>
      </c>
      <c r="F2046" s="9" t="s">
        <v>86</v>
      </c>
      <c r="G2046" s="9" t="s">
        <v>87</v>
      </c>
      <c r="H2046" s="11" t="s">
        <v>23</v>
      </c>
      <c r="I2046" s="12" t="n">
        <v>50</v>
      </c>
      <c r="J2046" s="13" t="n">
        <v>550</v>
      </c>
      <c r="K2046" s="14" t="n">
        <f aca="false">I2046*J2046</f>
        <v>27500</v>
      </c>
      <c r="L2046" s="14" t="n">
        <f aca="false">($L$2*M2046)/100</f>
        <v>540749.925</v>
      </c>
      <c r="M2046" s="15" t="n">
        <v>0.45</v>
      </c>
      <c r="N2046" s="9" t="s">
        <v>85</v>
      </c>
    </row>
    <row r="2047" customFormat="false" ht="14.25" hidden="false" customHeight="true" outlineLevel="0" collapsed="false">
      <c r="B2047" s="9" t="s">
        <v>32</v>
      </c>
      <c r="C2047" s="9" t="n">
        <v>1197831</v>
      </c>
      <c r="D2047" s="10" t="n">
        <v>44351</v>
      </c>
      <c r="E2047" s="9" t="s">
        <v>33</v>
      </c>
      <c r="F2047" s="9" t="s">
        <v>86</v>
      </c>
      <c r="G2047" s="9" t="s">
        <v>87</v>
      </c>
      <c r="H2047" s="11" t="s">
        <v>24</v>
      </c>
      <c r="I2047" s="12" t="n">
        <v>55</v>
      </c>
      <c r="J2047" s="13" t="n">
        <v>450</v>
      </c>
      <c r="K2047" s="14" t="n">
        <f aca="false">I2047*J2047</f>
        <v>24750</v>
      </c>
      <c r="L2047" s="14" t="n">
        <f aca="false">($L$2*M2047)/100</f>
        <v>360499.95</v>
      </c>
      <c r="M2047" s="15" t="n">
        <v>0.3</v>
      </c>
      <c r="N2047" s="9" t="s">
        <v>85</v>
      </c>
    </row>
    <row r="2048" customFormat="false" ht="14.25" hidden="false" customHeight="true" outlineLevel="0" collapsed="false">
      <c r="B2048" s="9" t="s">
        <v>32</v>
      </c>
      <c r="C2048" s="9" t="n">
        <v>1197831</v>
      </c>
      <c r="D2048" s="10" t="n">
        <v>44351</v>
      </c>
      <c r="E2048" s="9" t="s">
        <v>33</v>
      </c>
      <c r="F2048" s="9" t="s">
        <v>86</v>
      </c>
      <c r="G2048" s="9" t="s">
        <v>87</v>
      </c>
      <c r="H2048" s="11" t="s">
        <v>25</v>
      </c>
      <c r="I2048" s="12" t="n">
        <v>60</v>
      </c>
      <c r="J2048" s="13" t="n">
        <v>825</v>
      </c>
      <c r="K2048" s="14" t="n">
        <f aca="false">I2048*J2048</f>
        <v>49500</v>
      </c>
      <c r="L2048" s="14" t="n">
        <f aca="false">($L$2*M2048)/100</f>
        <v>600833.25</v>
      </c>
      <c r="M2048" s="15" t="n">
        <v>0.5</v>
      </c>
      <c r="N2048" s="9" t="s">
        <v>85</v>
      </c>
    </row>
    <row r="2049" customFormat="false" ht="14.25" hidden="false" customHeight="true" outlineLevel="0" collapsed="false">
      <c r="B2049" s="9" t="s">
        <v>32</v>
      </c>
      <c r="C2049" s="9" t="n">
        <v>1197831</v>
      </c>
      <c r="D2049" s="10" t="n">
        <v>44383</v>
      </c>
      <c r="E2049" s="9" t="s">
        <v>33</v>
      </c>
      <c r="F2049" s="9" t="s">
        <v>86</v>
      </c>
      <c r="G2049" s="9" t="s">
        <v>87</v>
      </c>
      <c r="H2049" s="11" t="s">
        <v>19</v>
      </c>
      <c r="I2049" s="12" t="n">
        <v>50</v>
      </c>
      <c r="J2049" s="13" t="n">
        <v>775</v>
      </c>
      <c r="K2049" s="14" t="n">
        <f aca="false">I2049*J2049</f>
        <v>38750</v>
      </c>
      <c r="L2049" s="14" t="n">
        <f aca="false">($L$2*M2049)/100</f>
        <v>480666.6</v>
      </c>
      <c r="M2049" s="15" t="n">
        <v>0.4</v>
      </c>
      <c r="N2049" s="9" t="s">
        <v>85</v>
      </c>
    </row>
    <row r="2050" customFormat="false" ht="14.25" hidden="false" customHeight="true" outlineLevel="0" collapsed="false">
      <c r="B2050" s="9" t="s">
        <v>32</v>
      </c>
      <c r="C2050" s="9" t="n">
        <v>1197831</v>
      </c>
      <c r="D2050" s="10" t="n">
        <v>44383</v>
      </c>
      <c r="E2050" s="9" t="s">
        <v>33</v>
      </c>
      <c r="F2050" s="9" t="s">
        <v>86</v>
      </c>
      <c r="G2050" s="9" t="s">
        <v>87</v>
      </c>
      <c r="H2050" s="11" t="s">
        <v>21</v>
      </c>
      <c r="I2050" s="12" t="n">
        <v>55</v>
      </c>
      <c r="J2050" s="13" t="n">
        <v>775</v>
      </c>
      <c r="K2050" s="14" t="n">
        <f aca="false">I2050*J2050</f>
        <v>42625</v>
      </c>
      <c r="L2050" s="14" t="n">
        <f aca="false">($L$2*M2050)/100</f>
        <v>480666.6</v>
      </c>
      <c r="M2050" s="15" t="n">
        <v>0.4</v>
      </c>
      <c r="N2050" s="9" t="s">
        <v>85</v>
      </c>
    </row>
    <row r="2051" customFormat="false" ht="14.25" hidden="false" customHeight="true" outlineLevel="0" collapsed="false">
      <c r="B2051" s="9" t="s">
        <v>32</v>
      </c>
      <c r="C2051" s="9" t="n">
        <v>1197831</v>
      </c>
      <c r="D2051" s="10" t="n">
        <v>44383</v>
      </c>
      <c r="E2051" s="9" t="s">
        <v>33</v>
      </c>
      <c r="F2051" s="9" t="s">
        <v>86</v>
      </c>
      <c r="G2051" s="9" t="s">
        <v>87</v>
      </c>
      <c r="H2051" s="11" t="s">
        <v>22</v>
      </c>
      <c r="I2051" s="12" t="n">
        <v>50</v>
      </c>
      <c r="J2051" s="13" t="n">
        <v>925</v>
      </c>
      <c r="K2051" s="14" t="n">
        <f aca="false">I2051*J2051</f>
        <v>46250</v>
      </c>
      <c r="L2051" s="14" t="n">
        <f aca="false">($L$2*M2051)/100</f>
        <v>480666.6</v>
      </c>
      <c r="M2051" s="15" t="n">
        <v>0.4</v>
      </c>
      <c r="N2051" s="9" t="s">
        <v>85</v>
      </c>
    </row>
    <row r="2052" customFormat="false" ht="14.25" hidden="false" customHeight="true" outlineLevel="0" collapsed="false">
      <c r="B2052" s="9" t="s">
        <v>32</v>
      </c>
      <c r="C2052" s="9" t="n">
        <v>1197831</v>
      </c>
      <c r="D2052" s="10" t="n">
        <v>44383</v>
      </c>
      <c r="E2052" s="9" t="s">
        <v>33</v>
      </c>
      <c r="F2052" s="9" t="s">
        <v>86</v>
      </c>
      <c r="G2052" s="9" t="s">
        <v>87</v>
      </c>
      <c r="H2052" s="11" t="s">
        <v>23</v>
      </c>
      <c r="I2052" s="12" t="n">
        <v>50</v>
      </c>
      <c r="J2052" s="13" t="n">
        <v>525</v>
      </c>
      <c r="K2052" s="14" t="n">
        <f aca="false">I2052*J2052</f>
        <v>26250</v>
      </c>
      <c r="L2052" s="14" t="n">
        <f aca="false">($L$2*M2052)/100</f>
        <v>600833.25</v>
      </c>
      <c r="M2052" s="15" t="n">
        <v>0.5</v>
      </c>
      <c r="N2052" s="9" t="s">
        <v>85</v>
      </c>
    </row>
    <row r="2053" customFormat="false" ht="14.25" hidden="false" customHeight="true" outlineLevel="0" collapsed="false">
      <c r="B2053" s="9" t="s">
        <v>32</v>
      </c>
      <c r="C2053" s="9" t="n">
        <v>1197831</v>
      </c>
      <c r="D2053" s="10" t="n">
        <v>44383</v>
      </c>
      <c r="E2053" s="9" t="s">
        <v>33</v>
      </c>
      <c r="F2053" s="9" t="s">
        <v>86</v>
      </c>
      <c r="G2053" s="9" t="s">
        <v>87</v>
      </c>
      <c r="H2053" s="11" t="s">
        <v>24</v>
      </c>
      <c r="I2053" s="12" t="n">
        <v>55</v>
      </c>
      <c r="J2053" s="13" t="n">
        <v>525</v>
      </c>
      <c r="K2053" s="14" t="n">
        <f aca="false">I2053*J2053</f>
        <v>28875</v>
      </c>
      <c r="L2053" s="14" t="n">
        <f aca="false">($L$2*M2053)/100</f>
        <v>420583.275</v>
      </c>
      <c r="M2053" s="15" t="n">
        <v>0.35</v>
      </c>
      <c r="N2053" s="9" t="s">
        <v>85</v>
      </c>
    </row>
    <row r="2054" customFormat="false" ht="14.25" hidden="false" customHeight="true" outlineLevel="0" collapsed="false">
      <c r="B2054" s="9" t="s">
        <v>16</v>
      </c>
      <c r="C2054" s="9" t="n">
        <v>1197831</v>
      </c>
      <c r="D2054" s="10" t="n">
        <v>44383</v>
      </c>
      <c r="E2054" s="9" t="s">
        <v>33</v>
      </c>
      <c r="F2054" s="9" t="s">
        <v>86</v>
      </c>
      <c r="G2054" s="9" t="s">
        <v>87</v>
      </c>
      <c r="H2054" s="11" t="s">
        <v>25</v>
      </c>
      <c r="I2054" s="12" t="n">
        <v>65</v>
      </c>
      <c r="J2054" s="13" t="n">
        <v>800</v>
      </c>
      <c r="K2054" s="14" t="n">
        <f aca="false">I2054*J2054</f>
        <v>52000</v>
      </c>
      <c r="L2054" s="14" t="n">
        <f aca="false">($L$2*M2054)/100</f>
        <v>660916.575</v>
      </c>
      <c r="M2054" s="15" t="n">
        <v>0.55</v>
      </c>
      <c r="N2054" s="9" t="s">
        <v>85</v>
      </c>
    </row>
    <row r="2055" customFormat="false" ht="14.25" hidden="false" customHeight="true" outlineLevel="0" collapsed="false">
      <c r="B2055" s="9" t="s">
        <v>16</v>
      </c>
      <c r="C2055" s="9" t="n">
        <v>1197831</v>
      </c>
      <c r="D2055" s="10" t="n">
        <v>44416</v>
      </c>
      <c r="E2055" s="9" t="s">
        <v>33</v>
      </c>
      <c r="F2055" s="9" t="s">
        <v>86</v>
      </c>
      <c r="G2055" s="9" t="s">
        <v>87</v>
      </c>
      <c r="H2055" s="11" t="s">
        <v>19</v>
      </c>
      <c r="I2055" s="12" t="n">
        <v>50</v>
      </c>
      <c r="J2055" s="13" t="n">
        <v>750</v>
      </c>
      <c r="K2055" s="14" t="n">
        <f aca="false">I2055*J2055</f>
        <v>37500</v>
      </c>
      <c r="L2055" s="14" t="n">
        <f aca="false">($L$2*M2055)/100</f>
        <v>480666.6</v>
      </c>
      <c r="M2055" s="15" t="n">
        <v>0.4</v>
      </c>
      <c r="N2055" s="9" t="s">
        <v>85</v>
      </c>
    </row>
    <row r="2056" customFormat="false" ht="14.25" hidden="false" customHeight="true" outlineLevel="0" collapsed="false">
      <c r="B2056" s="9" t="s">
        <v>16</v>
      </c>
      <c r="C2056" s="9" t="n">
        <v>1197831</v>
      </c>
      <c r="D2056" s="10" t="n">
        <v>44416</v>
      </c>
      <c r="E2056" s="9" t="s">
        <v>33</v>
      </c>
      <c r="F2056" s="9" t="s">
        <v>86</v>
      </c>
      <c r="G2056" s="9" t="s">
        <v>87</v>
      </c>
      <c r="H2056" s="11" t="s">
        <v>21</v>
      </c>
      <c r="I2056" s="12" t="n">
        <v>55</v>
      </c>
      <c r="J2056" s="13" t="n">
        <v>750</v>
      </c>
      <c r="K2056" s="14" t="n">
        <f aca="false">I2056*J2056</f>
        <v>41250</v>
      </c>
      <c r="L2056" s="14" t="n">
        <f aca="false">($L$2*M2056)/100</f>
        <v>480666.6</v>
      </c>
      <c r="M2056" s="15" t="n">
        <v>0.4</v>
      </c>
      <c r="N2056" s="9" t="s">
        <v>85</v>
      </c>
    </row>
    <row r="2057" customFormat="false" ht="14.25" hidden="false" customHeight="true" outlineLevel="0" collapsed="false">
      <c r="B2057" s="9" t="s">
        <v>16</v>
      </c>
      <c r="C2057" s="9" t="n">
        <v>1197831</v>
      </c>
      <c r="D2057" s="10" t="n">
        <v>44416</v>
      </c>
      <c r="E2057" s="9" t="s">
        <v>33</v>
      </c>
      <c r="F2057" s="9" t="s">
        <v>86</v>
      </c>
      <c r="G2057" s="9" t="s">
        <v>87</v>
      </c>
      <c r="H2057" s="11" t="s">
        <v>22</v>
      </c>
      <c r="I2057" s="12" t="n">
        <v>50</v>
      </c>
      <c r="J2057" s="13" t="n">
        <v>925</v>
      </c>
      <c r="K2057" s="14" t="n">
        <f aca="false">I2057*J2057</f>
        <v>46250</v>
      </c>
      <c r="L2057" s="14" t="n">
        <f aca="false">($L$2*M2057)/100</f>
        <v>480666.6</v>
      </c>
      <c r="M2057" s="15" t="n">
        <v>0.4</v>
      </c>
      <c r="N2057" s="9" t="s">
        <v>85</v>
      </c>
    </row>
    <row r="2058" customFormat="false" ht="14.25" hidden="false" customHeight="true" outlineLevel="0" collapsed="false">
      <c r="B2058" s="9" t="s">
        <v>16</v>
      </c>
      <c r="C2058" s="9" t="n">
        <v>1197831</v>
      </c>
      <c r="D2058" s="10" t="n">
        <v>44416</v>
      </c>
      <c r="E2058" s="9" t="s">
        <v>33</v>
      </c>
      <c r="F2058" s="9" t="s">
        <v>86</v>
      </c>
      <c r="G2058" s="9" t="s">
        <v>87</v>
      </c>
      <c r="H2058" s="11" t="s">
        <v>23</v>
      </c>
      <c r="I2058" s="12" t="n">
        <v>50</v>
      </c>
      <c r="J2058" s="13" t="n">
        <v>475</v>
      </c>
      <c r="K2058" s="14" t="n">
        <f aca="false">I2058*J2058</f>
        <v>23750</v>
      </c>
      <c r="L2058" s="14" t="n">
        <f aca="false">($L$2*M2058)/100</f>
        <v>600833.25</v>
      </c>
      <c r="M2058" s="15" t="n">
        <v>0.5</v>
      </c>
      <c r="N2058" s="9" t="s">
        <v>85</v>
      </c>
    </row>
    <row r="2059" customFormat="false" ht="14.25" hidden="false" customHeight="true" outlineLevel="0" collapsed="false">
      <c r="B2059" s="9" t="s">
        <v>28</v>
      </c>
      <c r="C2059" s="9" t="n">
        <v>1197831</v>
      </c>
      <c r="D2059" s="10" t="n">
        <v>44416</v>
      </c>
      <c r="E2059" s="9" t="s">
        <v>33</v>
      </c>
      <c r="F2059" s="9" t="s">
        <v>86</v>
      </c>
      <c r="G2059" s="9" t="s">
        <v>87</v>
      </c>
      <c r="H2059" s="11" t="s">
        <v>24</v>
      </c>
      <c r="I2059" s="12" t="n">
        <v>55</v>
      </c>
      <c r="J2059" s="13" t="n">
        <v>475</v>
      </c>
      <c r="K2059" s="14" t="n">
        <f aca="false">I2059*J2059</f>
        <v>26125</v>
      </c>
      <c r="L2059" s="14" t="n">
        <f aca="false">($L$2*M2059)/100</f>
        <v>420583.275</v>
      </c>
      <c r="M2059" s="15" t="n">
        <v>0.35</v>
      </c>
      <c r="N2059" s="9" t="s">
        <v>85</v>
      </c>
    </row>
    <row r="2060" customFormat="false" ht="14.25" hidden="false" customHeight="true" outlineLevel="0" collapsed="false">
      <c r="B2060" s="9" t="s">
        <v>28</v>
      </c>
      <c r="C2060" s="9" t="n">
        <v>1197831</v>
      </c>
      <c r="D2060" s="10" t="n">
        <v>44416</v>
      </c>
      <c r="E2060" s="9" t="s">
        <v>33</v>
      </c>
      <c r="F2060" s="9" t="s">
        <v>86</v>
      </c>
      <c r="G2060" s="9" t="s">
        <v>87</v>
      </c>
      <c r="H2060" s="11" t="s">
        <v>25</v>
      </c>
      <c r="I2060" s="12" t="n">
        <v>60</v>
      </c>
      <c r="J2060" s="13" t="n">
        <v>725</v>
      </c>
      <c r="K2060" s="14" t="n">
        <f aca="false">I2060*J2060</f>
        <v>43500</v>
      </c>
      <c r="L2060" s="14" t="n">
        <f aca="false">($L$2*M2060)/100</f>
        <v>660916.575</v>
      </c>
      <c r="M2060" s="15" t="n">
        <v>0.55</v>
      </c>
      <c r="N2060" s="9" t="s">
        <v>85</v>
      </c>
    </row>
    <row r="2061" customFormat="false" ht="14.25" hidden="false" customHeight="true" outlineLevel="0" collapsed="false">
      <c r="B2061" s="9" t="s">
        <v>28</v>
      </c>
      <c r="C2061" s="9" t="n">
        <v>1197831</v>
      </c>
      <c r="D2061" s="10" t="n">
        <v>44444</v>
      </c>
      <c r="E2061" s="9" t="s">
        <v>33</v>
      </c>
      <c r="F2061" s="9" t="s">
        <v>86</v>
      </c>
      <c r="G2061" s="9" t="s">
        <v>87</v>
      </c>
      <c r="H2061" s="11" t="s">
        <v>19</v>
      </c>
      <c r="I2061" s="12" t="n">
        <v>55</v>
      </c>
      <c r="J2061" s="13" t="n">
        <v>675</v>
      </c>
      <c r="K2061" s="14" t="n">
        <f aca="false">I2061*J2061</f>
        <v>37125</v>
      </c>
      <c r="L2061" s="14" t="n">
        <f aca="false">($L$2*M2061)/100</f>
        <v>480666.6</v>
      </c>
      <c r="M2061" s="15" t="n">
        <v>0.4</v>
      </c>
      <c r="N2061" s="9" t="s">
        <v>85</v>
      </c>
    </row>
    <row r="2062" customFormat="false" ht="14.25" hidden="false" customHeight="true" outlineLevel="0" collapsed="false">
      <c r="B2062" s="9" t="s">
        <v>28</v>
      </c>
      <c r="C2062" s="9" t="n">
        <v>1197831</v>
      </c>
      <c r="D2062" s="10" t="n">
        <v>44444</v>
      </c>
      <c r="E2062" s="9" t="s">
        <v>33</v>
      </c>
      <c r="F2062" s="9" t="s">
        <v>86</v>
      </c>
      <c r="G2062" s="9" t="s">
        <v>87</v>
      </c>
      <c r="H2062" s="11" t="s">
        <v>21</v>
      </c>
      <c r="I2062" s="12" t="n">
        <v>55</v>
      </c>
      <c r="J2062" s="13" t="n">
        <v>625</v>
      </c>
      <c r="K2062" s="14" t="n">
        <f aca="false">I2062*J2062</f>
        <v>34375</v>
      </c>
      <c r="L2062" s="14" t="n">
        <f aca="false">($L$2*M2062)/100</f>
        <v>480666.6</v>
      </c>
      <c r="M2062" s="15" t="n">
        <v>0.4</v>
      </c>
      <c r="N2062" s="9" t="s">
        <v>85</v>
      </c>
    </row>
    <row r="2063" customFormat="false" ht="14.25" hidden="false" customHeight="true" outlineLevel="0" collapsed="false">
      <c r="B2063" s="9" t="s">
        <v>28</v>
      </c>
      <c r="C2063" s="9" t="n">
        <v>1197831</v>
      </c>
      <c r="D2063" s="10" t="n">
        <v>44444</v>
      </c>
      <c r="E2063" s="9" t="s">
        <v>33</v>
      </c>
      <c r="F2063" s="9" t="s">
        <v>86</v>
      </c>
      <c r="G2063" s="9" t="s">
        <v>87</v>
      </c>
      <c r="H2063" s="11" t="s">
        <v>22</v>
      </c>
      <c r="I2063" s="12" t="n">
        <v>60</v>
      </c>
      <c r="J2063" s="13" t="n">
        <v>675</v>
      </c>
      <c r="K2063" s="14" t="n">
        <f aca="false">I2063*J2063</f>
        <v>40500</v>
      </c>
      <c r="L2063" s="14" t="n">
        <f aca="false">($L$2*M2063)/100</f>
        <v>480666.6</v>
      </c>
      <c r="M2063" s="15" t="n">
        <v>0.4</v>
      </c>
      <c r="N2063" s="9" t="s">
        <v>85</v>
      </c>
    </row>
    <row r="2064" customFormat="false" ht="14.25" hidden="false" customHeight="true" outlineLevel="0" collapsed="false">
      <c r="B2064" s="9" t="s">
        <v>28</v>
      </c>
      <c r="C2064" s="9" t="n">
        <v>1197831</v>
      </c>
      <c r="D2064" s="10" t="n">
        <v>44444</v>
      </c>
      <c r="E2064" s="9" t="s">
        <v>33</v>
      </c>
      <c r="F2064" s="9" t="s">
        <v>86</v>
      </c>
      <c r="G2064" s="9" t="s">
        <v>87</v>
      </c>
      <c r="H2064" s="11" t="s">
        <v>23</v>
      </c>
      <c r="I2064" s="12" t="n">
        <v>60</v>
      </c>
      <c r="J2064" s="13" t="n">
        <v>400</v>
      </c>
      <c r="K2064" s="14" t="n">
        <f aca="false">I2064*J2064</f>
        <v>24000</v>
      </c>
      <c r="L2064" s="14" t="n">
        <f aca="false">($L$2*M2064)/100</f>
        <v>600833.25</v>
      </c>
      <c r="M2064" s="15" t="n">
        <v>0.5</v>
      </c>
      <c r="N2064" s="9" t="s">
        <v>85</v>
      </c>
    </row>
    <row r="2065" customFormat="false" ht="14.25" hidden="false" customHeight="true" outlineLevel="0" collapsed="false">
      <c r="B2065" s="9" t="s">
        <v>28</v>
      </c>
      <c r="C2065" s="9" t="n">
        <v>1197831</v>
      </c>
      <c r="D2065" s="10" t="n">
        <v>44444</v>
      </c>
      <c r="E2065" s="9" t="s">
        <v>33</v>
      </c>
      <c r="F2065" s="9" t="s">
        <v>86</v>
      </c>
      <c r="G2065" s="9" t="s">
        <v>87</v>
      </c>
      <c r="H2065" s="11" t="s">
        <v>24</v>
      </c>
      <c r="I2065" s="12" t="n">
        <v>55</v>
      </c>
      <c r="J2065" s="13" t="n">
        <v>400</v>
      </c>
      <c r="K2065" s="14" t="n">
        <f aca="false">I2065*J2065</f>
        <v>22000</v>
      </c>
      <c r="L2065" s="14" t="n">
        <f aca="false">($L$2*M2065)/100</f>
        <v>420583.275</v>
      </c>
      <c r="M2065" s="15" t="n">
        <v>0.35</v>
      </c>
      <c r="N2065" s="9" t="s">
        <v>85</v>
      </c>
    </row>
    <row r="2066" customFormat="false" ht="14.25" hidden="false" customHeight="true" outlineLevel="0" collapsed="false">
      <c r="B2066" s="9" t="s">
        <v>28</v>
      </c>
      <c r="C2066" s="9" t="n">
        <v>1197831</v>
      </c>
      <c r="D2066" s="10" t="n">
        <v>44444</v>
      </c>
      <c r="E2066" s="9" t="s">
        <v>33</v>
      </c>
      <c r="F2066" s="9" t="s">
        <v>86</v>
      </c>
      <c r="G2066" s="9" t="s">
        <v>87</v>
      </c>
      <c r="H2066" s="11" t="s">
        <v>25</v>
      </c>
      <c r="I2066" s="12" t="n">
        <v>50</v>
      </c>
      <c r="J2066" s="13" t="n">
        <v>625</v>
      </c>
      <c r="K2066" s="14" t="n">
        <f aca="false">I2066*J2066</f>
        <v>31250</v>
      </c>
      <c r="L2066" s="14" t="n">
        <f aca="false">($L$2*M2066)/100</f>
        <v>660916.575</v>
      </c>
      <c r="M2066" s="15" t="n">
        <v>0.55</v>
      </c>
      <c r="N2066" s="9" t="s">
        <v>85</v>
      </c>
    </row>
    <row r="2067" customFormat="false" ht="14.25" hidden="false" customHeight="true" outlineLevel="0" collapsed="false">
      <c r="B2067" s="9" t="s">
        <v>28</v>
      </c>
      <c r="C2067" s="9" t="n">
        <v>1197831</v>
      </c>
      <c r="D2067" s="10" t="n">
        <v>44473</v>
      </c>
      <c r="E2067" s="9" t="s">
        <v>33</v>
      </c>
      <c r="F2067" s="9" t="s">
        <v>86</v>
      </c>
      <c r="G2067" s="9" t="s">
        <v>87</v>
      </c>
      <c r="H2067" s="11" t="s">
        <v>19</v>
      </c>
      <c r="I2067" s="12" t="n">
        <v>40</v>
      </c>
      <c r="J2067" s="13" t="n">
        <v>575</v>
      </c>
      <c r="K2067" s="14" t="n">
        <f aca="false">I2067*J2067</f>
        <v>23000</v>
      </c>
      <c r="L2067" s="14" t="n">
        <f aca="false">($L$2*M2067)/100</f>
        <v>480666.6</v>
      </c>
      <c r="M2067" s="15" t="n">
        <v>0.4</v>
      </c>
      <c r="N2067" s="9" t="s">
        <v>85</v>
      </c>
    </row>
    <row r="2068" customFormat="false" ht="14.25" hidden="false" customHeight="true" outlineLevel="0" collapsed="false">
      <c r="B2068" s="9" t="s">
        <v>28</v>
      </c>
      <c r="C2068" s="9" t="n">
        <v>1197831</v>
      </c>
      <c r="D2068" s="10" t="n">
        <v>44473</v>
      </c>
      <c r="E2068" s="9" t="s">
        <v>33</v>
      </c>
      <c r="F2068" s="9" t="s">
        <v>86</v>
      </c>
      <c r="G2068" s="9" t="s">
        <v>87</v>
      </c>
      <c r="H2068" s="11" t="s">
        <v>21</v>
      </c>
      <c r="I2068" s="12" t="n">
        <v>40</v>
      </c>
      <c r="J2068" s="13" t="n">
        <v>575</v>
      </c>
      <c r="K2068" s="14" t="n">
        <f aca="false">I2068*J2068</f>
        <v>23000</v>
      </c>
      <c r="L2068" s="14" t="n">
        <f aca="false">($L$2*M2068)/100</f>
        <v>480666.6</v>
      </c>
      <c r="M2068" s="15" t="n">
        <v>0.4</v>
      </c>
      <c r="N2068" s="9" t="s">
        <v>85</v>
      </c>
    </row>
    <row r="2069" customFormat="false" ht="14.25" hidden="false" customHeight="true" outlineLevel="0" collapsed="false">
      <c r="B2069" s="9" t="s">
        <v>28</v>
      </c>
      <c r="C2069" s="9" t="n">
        <v>1197831</v>
      </c>
      <c r="D2069" s="10" t="n">
        <v>44473</v>
      </c>
      <c r="E2069" s="9" t="s">
        <v>33</v>
      </c>
      <c r="F2069" s="9" t="s">
        <v>86</v>
      </c>
      <c r="G2069" s="9" t="s">
        <v>87</v>
      </c>
      <c r="H2069" s="11" t="s">
        <v>22</v>
      </c>
      <c r="I2069" s="12" t="n">
        <v>45</v>
      </c>
      <c r="J2069" s="13" t="n">
        <v>525</v>
      </c>
      <c r="K2069" s="14" t="n">
        <f aca="false">I2069*J2069</f>
        <v>23625</v>
      </c>
      <c r="L2069" s="14" t="n">
        <f aca="false">($L$2*M2069)/100</f>
        <v>480666.6</v>
      </c>
      <c r="M2069" s="15" t="n">
        <v>0.4</v>
      </c>
      <c r="N2069" s="9" t="s">
        <v>85</v>
      </c>
    </row>
    <row r="2070" customFormat="false" ht="14.25" hidden="false" customHeight="true" outlineLevel="0" collapsed="false">
      <c r="B2070" s="9" t="s">
        <v>28</v>
      </c>
      <c r="C2070" s="9" t="n">
        <v>1197831</v>
      </c>
      <c r="D2070" s="10" t="n">
        <v>44473</v>
      </c>
      <c r="E2070" s="9" t="s">
        <v>33</v>
      </c>
      <c r="F2070" s="9" t="s">
        <v>86</v>
      </c>
      <c r="G2070" s="9" t="s">
        <v>87</v>
      </c>
      <c r="H2070" s="11" t="s">
        <v>23</v>
      </c>
      <c r="I2070" s="12" t="n">
        <v>45</v>
      </c>
      <c r="J2070" s="13" t="n">
        <v>375</v>
      </c>
      <c r="K2070" s="14" t="n">
        <f aca="false">I2070*J2070</f>
        <v>16875</v>
      </c>
      <c r="L2070" s="14" t="n">
        <f aca="false">($L$2*M2070)/100</f>
        <v>600833.25</v>
      </c>
      <c r="M2070" s="15" t="n">
        <v>0.5</v>
      </c>
      <c r="N2070" s="9" t="s">
        <v>85</v>
      </c>
    </row>
    <row r="2071" customFormat="false" ht="14.25" hidden="false" customHeight="true" outlineLevel="0" collapsed="false">
      <c r="B2071" s="9" t="s">
        <v>28</v>
      </c>
      <c r="C2071" s="9" t="n">
        <v>1197831</v>
      </c>
      <c r="D2071" s="10" t="n">
        <v>44473</v>
      </c>
      <c r="E2071" s="9" t="s">
        <v>33</v>
      </c>
      <c r="F2071" s="9" t="s">
        <v>86</v>
      </c>
      <c r="G2071" s="9" t="s">
        <v>87</v>
      </c>
      <c r="H2071" s="11" t="s">
        <v>24</v>
      </c>
      <c r="I2071" s="12" t="n">
        <v>35</v>
      </c>
      <c r="J2071" s="13" t="n">
        <v>350</v>
      </c>
      <c r="K2071" s="14" t="n">
        <f aca="false">I2071*J2071</f>
        <v>12250</v>
      </c>
      <c r="L2071" s="14" t="n">
        <f aca="false">($L$2*M2071)/100</f>
        <v>420583.275</v>
      </c>
      <c r="M2071" s="15" t="n">
        <v>0.35</v>
      </c>
      <c r="N2071" s="9" t="s">
        <v>85</v>
      </c>
    </row>
    <row r="2072" customFormat="false" ht="14.25" hidden="false" customHeight="true" outlineLevel="0" collapsed="false">
      <c r="B2072" s="9" t="s">
        <v>28</v>
      </c>
      <c r="C2072" s="9" t="n">
        <v>1197831</v>
      </c>
      <c r="D2072" s="10" t="n">
        <v>44473</v>
      </c>
      <c r="E2072" s="9" t="s">
        <v>33</v>
      </c>
      <c r="F2072" s="9" t="s">
        <v>86</v>
      </c>
      <c r="G2072" s="9" t="s">
        <v>87</v>
      </c>
      <c r="H2072" s="11" t="s">
        <v>25</v>
      </c>
      <c r="I2072" s="12" t="n">
        <v>45</v>
      </c>
      <c r="J2072" s="13" t="n">
        <v>525</v>
      </c>
      <c r="K2072" s="14" t="n">
        <f aca="false">I2072*J2072</f>
        <v>23625</v>
      </c>
      <c r="L2072" s="14" t="n">
        <f aca="false">($L$2*M2072)/100</f>
        <v>660916.575</v>
      </c>
      <c r="M2072" s="15" t="n">
        <v>0.55</v>
      </c>
      <c r="N2072" s="9" t="s">
        <v>85</v>
      </c>
    </row>
    <row r="2073" customFormat="false" ht="14.25" hidden="false" customHeight="true" outlineLevel="0" collapsed="false">
      <c r="B2073" s="9" t="s">
        <v>28</v>
      </c>
      <c r="C2073" s="9" t="n">
        <v>1197831</v>
      </c>
      <c r="D2073" s="10" t="n">
        <v>44505</v>
      </c>
      <c r="E2073" s="9" t="s">
        <v>33</v>
      </c>
      <c r="F2073" s="9" t="s">
        <v>86</v>
      </c>
      <c r="G2073" s="9" t="s">
        <v>87</v>
      </c>
      <c r="H2073" s="11" t="s">
        <v>19</v>
      </c>
      <c r="I2073" s="12" t="n">
        <v>35</v>
      </c>
      <c r="J2073" s="13" t="n">
        <v>675</v>
      </c>
      <c r="K2073" s="14" t="n">
        <f aca="false">I2073*J2073</f>
        <v>23625</v>
      </c>
      <c r="L2073" s="14" t="n">
        <f aca="false">($L$2*M2073)/100</f>
        <v>480666.6</v>
      </c>
      <c r="M2073" s="15" t="n">
        <v>0.4</v>
      </c>
      <c r="N2073" s="9" t="s">
        <v>85</v>
      </c>
    </row>
    <row r="2074" customFormat="false" ht="14.25" hidden="false" customHeight="true" outlineLevel="0" collapsed="false">
      <c r="B2074" s="9" t="s">
        <v>28</v>
      </c>
      <c r="C2074" s="9" t="n">
        <v>1197831</v>
      </c>
      <c r="D2074" s="10" t="n">
        <v>44505</v>
      </c>
      <c r="E2074" s="9" t="s">
        <v>33</v>
      </c>
      <c r="F2074" s="9" t="s">
        <v>86</v>
      </c>
      <c r="G2074" s="9" t="s">
        <v>87</v>
      </c>
      <c r="H2074" s="11" t="s">
        <v>21</v>
      </c>
      <c r="I2074" s="12" t="n">
        <v>35</v>
      </c>
      <c r="J2074" s="13" t="n">
        <v>675</v>
      </c>
      <c r="K2074" s="14" t="n">
        <f aca="false">I2074*J2074</f>
        <v>23625</v>
      </c>
      <c r="L2074" s="14" t="n">
        <f aca="false">($L$2*M2074)/100</f>
        <v>480666.6</v>
      </c>
      <c r="M2074" s="15" t="n">
        <v>0.4</v>
      </c>
      <c r="N2074" s="9" t="s">
        <v>85</v>
      </c>
    </row>
    <row r="2075" customFormat="false" ht="14.25" hidden="false" customHeight="true" outlineLevel="0" collapsed="false">
      <c r="B2075" s="9" t="s">
        <v>28</v>
      </c>
      <c r="C2075" s="9" t="n">
        <v>1197831</v>
      </c>
      <c r="D2075" s="10" t="n">
        <v>44505</v>
      </c>
      <c r="E2075" s="9" t="s">
        <v>33</v>
      </c>
      <c r="F2075" s="9" t="s">
        <v>86</v>
      </c>
      <c r="G2075" s="9" t="s">
        <v>87</v>
      </c>
      <c r="H2075" s="11" t="s">
        <v>22</v>
      </c>
      <c r="I2075" s="12" t="n">
        <v>60</v>
      </c>
      <c r="J2075" s="13" t="n">
        <v>600</v>
      </c>
      <c r="K2075" s="14" t="n">
        <f aca="false">I2075*J2075</f>
        <v>36000</v>
      </c>
      <c r="L2075" s="14" t="n">
        <f aca="false">($L$2*M2075)/100</f>
        <v>480666.6</v>
      </c>
      <c r="M2075" s="15" t="n">
        <v>0.4</v>
      </c>
      <c r="N2075" s="9" t="s">
        <v>85</v>
      </c>
    </row>
    <row r="2076" customFormat="false" ht="14.25" hidden="false" customHeight="true" outlineLevel="0" collapsed="false">
      <c r="B2076" s="9" t="s">
        <v>28</v>
      </c>
      <c r="C2076" s="9" t="n">
        <v>1197831</v>
      </c>
      <c r="D2076" s="10" t="n">
        <v>44505</v>
      </c>
      <c r="E2076" s="9" t="s">
        <v>33</v>
      </c>
      <c r="F2076" s="9" t="s">
        <v>86</v>
      </c>
      <c r="G2076" s="9" t="s">
        <v>87</v>
      </c>
      <c r="H2076" s="11" t="s">
        <v>23</v>
      </c>
      <c r="I2076" s="12" t="n">
        <v>60</v>
      </c>
      <c r="J2076" s="13" t="n">
        <v>450</v>
      </c>
      <c r="K2076" s="14" t="n">
        <f aca="false">I2076*J2076</f>
        <v>27000</v>
      </c>
      <c r="L2076" s="14" t="n">
        <f aca="false">($L$2*M2076)/100</f>
        <v>600833.25</v>
      </c>
      <c r="M2076" s="15" t="n">
        <v>0.5</v>
      </c>
      <c r="N2076" s="9" t="s">
        <v>85</v>
      </c>
    </row>
    <row r="2077" customFormat="false" ht="14.25" hidden="false" customHeight="true" outlineLevel="0" collapsed="false">
      <c r="B2077" s="9" t="s">
        <v>28</v>
      </c>
      <c r="C2077" s="9" t="n">
        <v>1197831</v>
      </c>
      <c r="D2077" s="10" t="n">
        <v>44505</v>
      </c>
      <c r="E2077" s="9" t="s">
        <v>33</v>
      </c>
      <c r="F2077" s="9" t="s">
        <v>86</v>
      </c>
      <c r="G2077" s="9" t="s">
        <v>87</v>
      </c>
      <c r="H2077" s="11" t="s">
        <v>24</v>
      </c>
      <c r="I2077" s="12" t="n">
        <v>55</v>
      </c>
      <c r="J2077" s="13" t="n">
        <v>425</v>
      </c>
      <c r="K2077" s="14" t="n">
        <f aca="false">I2077*J2077</f>
        <v>23375</v>
      </c>
      <c r="L2077" s="14" t="n">
        <f aca="false">($L$2*M2077)/100</f>
        <v>420583.275</v>
      </c>
      <c r="M2077" s="15" t="n">
        <v>0.35</v>
      </c>
      <c r="N2077" s="9" t="s">
        <v>85</v>
      </c>
    </row>
    <row r="2078" customFormat="false" ht="14.25" hidden="false" customHeight="true" outlineLevel="0" collapsed="false">
      <c r="B2078" s="9" t="s">
        <v>28</v>
      </c>
      <c r="C2078" s="9" t="n">
        <v>1197831</v>
      </c>
      <c r="D2078" s="10" t="n">
        <v>44505</v>
      </c>
      <c r="E2078" s="9" t="s">
        <v>33</v>
      </c>
      <c r="F2078" s="9" t="s">
        <v>86</v>
      </c>
      <c r="G2078" s="9" t="s">
        <v>87</v>
      </c>
      <c r="H2078" s="11" t="s">
        <v>25</v>
      </c>
      <c r="I2078" s="12" t="n">
        <v>65</v>
      </c>
      <c r="J2078" s="13" t="n">
        <v>625</v>
      </c>
      <c r="K2078" s="14" t="n">
        <f aca="false">I2078*J2078</f>
        <v>40625</v>
      </c>
      <c r="L2078" s="14" t="n">
        <f aca="false">($L$2*M2078)/100</f>
        <v>660916.575</v>
      </c>
      <c r="M2078" s="15" t="n">
        <v>0.55</v>
      </c>
      <c r="N2078" s="9" t="s">
        <v>85</v>
      </c>
    </row>
    <row r="2079" customFormat="false" ht="14.25" hidden="false" customHeight="true" outlineLevel="0" collapsed="false">
      <c r="B2079" s="9" t="s">
        <v>16</v>
      </c>
      <c r="C2079" s="9" t="n">
        <v>1197831</v>
      </c>
      <c r="D2079" s="10" t="n">
        <v>44534</v>
      </c>
      <c r="E2079" s="9" t="s">
        <v>33</v>
      </c>
      <c r="F2079" s="9" t="s">
        <v>86</v>
      </c>
      <c r="G2079" s="9" t="s">
        <v>87</v>
      </c>
      <c r="H2079" s="11" t="s">
        <v>19</v>
      </c>
      <c r="I2079" s="12" t="n">
        <v>55</v>
      </c>
      <c r="J2079" s="13" t="n">
        <v>775</v>
      </c>
      <c r="K2079" s="14" t="n">
        <f aca="false">I2079*J2079</f>
        <v>42625</v>
      </c>
      <c r="L2079" s="14" t="n">
        <f aca="false">($L$2*M2079)/100</f>
        <v>480666.6</v>
      </c>
      <c r="M2079" s="15" t="n">
        <v>0.4</v>
      </c>
      <c r="N2079" s="9" t="s">
        <v>85</v>
      </c>
    </row>
    <row r="2080" customFormat="false" ht="14.25" hidden="false" customHeight="true" outlineLevel="0" collapsed="false">
      <c r="B2080" s="9" t="s">
        <v>16</v>
      </c>
      <c r="C2080" s="9" t="n">
        <v>1197831</v>
      </c>
      <c r="D2080" s="10" t="n">
        <v>44534</v>
      </c>
      <c r="E2080" s="9" t="s">
        <v>33</v>
      </c>
      <c r="F2080" s="9" t="s">
        <v>86</v>
      </c>
      <c r="G2080" s="9" t="s">
        <v>87</v>
      </c>
      <c r="H2080" s="11" t="s">
        <v>21</v>
      </c>
      <c r="I2080" s="12" t="n">
        <v>55</v>
      </c>
      <c r="J2080" s="13" t="n">
        <v>775</v>
      </c>
      <c r="K2080" s="14" t="n">
        <f aca="false">I2080*J2080</f>
        <v>42625</v>
      </c>
      <c r="L2080" s="14" t="n">
        <f aca="false">($L$2*M2080)/100</f>
        <v>480666.6</v>
      </c>
      <c r="M2080" s="15" t="n">
        <v>0.4</v>
      </c>
      <c r="N2080" s="9" t="s">
        <v>85</v>
      </c>
    </row>
    <row r="2081" customFormat="false" ht="14.25" hidden="false" customHeight="true" outlineLevel="0" collapsed="false">
      <c r="B2081" s="9" t="s">
        <v>16</v>
      </c>
      <c r="C2081" s="9" t="n">
        <v>1197831</v>
      </c>
      <c r="D2081" s="10" t="n">
        <v>44534</v>
      </c>
      <c r="E2081" s="9" t="s">
        <v>33</v>
      </c>
      <c r="F2081" s="9" t="s">
        <v>86</v>
      </c>
      <c r="G2081" s="9" t="s">
        <v>87</v>
      </c>
      <c r="H2081" s="11" t="s">
        <v>22</v>
      </c>
      <c r="I2081" s="12" t="n">
        <v>60</v>
      </c>
      <c r="J2081" s="13" t="n">
        <v>675</v>
      </c>
      <c r="K2081" s="14" t="n">
        <f aca="false">I2081*J2081</f>
        <v>40500</v>
      </c>
      <c r="L2081" s="14" t="n">
        <f aca="false">($L$2*M2081)/100</f>
        <v>480666.6</v>
      </c>
      <c r="M2081" s="15" t="n">
        <v>0.4</v>
      </c>
      <c r="N2081" s="9" t="s">
        <v>85</v>
      </c>
    </row>
    <row r="2082" customFormat="false" ht="14.25" hidden="false" customHeight="true" outlineLevel="0" collapsed="false">
      <c r="B2082" s="9" t="s">
        <v>16</v>
      </c>
      <c r="C2082" s="9" t="n">
        <v>1197831</v>
      </c>
      <c r="D2082" s="10" t="n">
        <v>44534</v>
      </c>
      <c r="E2082" s="9" t="s">
        <v>33</v>
      </c>
      <c r="F2082" s="9" t="s">
        <v>86</v>
      </c>
      <c r="G2082" s="9" t="s">
        <v>87</v>
      </c>
      <c r="H2082" s="11" t="s">
        <v>23</v>
      </c>
      <c r="I2082" s="12" t="n">
        <v>60</v>
      </c>
      <c r="J2082" s="13" t="n">
        <v>525</v>
      </c>
      <c r="K2082" s="14" t="n">
        <f aca="false">I2082*J2082</f>
        <v>31500</v>
      </c>
      <c r="L2082" s="14" t="n">
        <f aca="false">($L$2*M2082)/100</f>
        <v>600833.25</v>
      </c>
      <c r="M2082" s="15" t="n">
        <v>0.5</v>
      </c>
      <c r="N2082" s="9" t="s">
        <v>85</v>
      </c>
    </row>
    <row r="2083" customFormat="false" ht="14.25" hidden="false" customHeight="true" outlineLevel="0" collapsed="false">
      <c r="B2083" s="9" t="s">
        <v>16</v>
      </c>
      <c r="C2083" s="9" t="n">
        <v>1197831</v>
      </c>
      <c r="D2083" s="10" t="n">
        <v>44534</v>
      </c>
      <c r="E2083" s="9" t="s">
        <v>33</v>
      </c>
      <c r="F2083" s="9" t="s">
        <v>86</v>
      </c>
      <c r="G2083" s="9" t="s">
        <v>87</v>
      </c>
      <c r="H2083" s="11" t="s">
        <v>24</v>
      </c>
      <c r="I2083" s="12" t="n">
        <v>55</v>
      </c>
      <c r="J2083" s="13" t="n">
        <v>475</v>
      </c>
      <c r="K2083" s="14" t="n">
        <f aca="false">I2083*J2083</f>
        <v>26125</v>
      </c>
      <c r="L2083" s="14" t="n">
        <f aca="false">($L$2*M2083)/100</f>
        <v>420583.275</v>
      </c>
      <c r="M2083" s="15" t="n">
        <v>0.35</v>
      </c>
      <c r="N2083" s="9" t="s">
        <v>85</v>
      </c>
    </row>
    <row r="2084" customFormat="false" ht="14.25" hidden="false" customHeight="true" outlineLevel="0" collapsed="false">
      <c r="B2084" s="9" t="s">
        <v>16</v>
      </c>
      <c r="C2084" s="9" t="n">
        <v>1197831</v>
      </c>
      <c r="D2084" s="10" t="n">
        <v>44534</v>
      </c>
      <c r="E2084" s="9" t="s">
        <v>33</v>
      </c>
      <c r="F2084" s="9" t="s">
        <v>86</v>
      </c>
      <c r="G2084" s="9" t="s">
        <v>87</v>
      </c>
      <c r="H2084" s="11" t="s">
        <v>25</v>
      </c>
      <c r="I2084" s="12" t="n">
        <v>65</v>
      </c>
      <c r="J2084" s="13" t="n">
        <v>725</v>
      </c>
      <c r="K2084" s="14" t="n">
        <f aca="false">I2084*J2084</f>
        <v>47125</v>
      </c>
      <c r="L2084" s="14" t="n">
        <f aca="false">($L$2*M2084)/100</f>
        <v>660916.575</v>
      </c>
      <c r="M2084" s="15" t="n">
        <v>0.55</v>
      </c>
      <c r="N2084" s="9" t="s">
        <v>85</v>
      </c>
    </row>
    <row r="2085" customFormat="false" ht="14.25" hidden="false" customHeight="true" outlineLevel="0" collapsed="false">
      <c r="B2085" s="9" t="s">
        <v>16</v>
      </c>
      <c r="C2085" s="9" t="n">
        <v>1128299</v>
      </c>
      <c r="D2085" s="10" t="n">
        <v>44219</v>
      </c>
      <c r="E2085" s="9" t="s">
        <v>33</v>
      </c>
      <c r="F2085" s="9" t="s">
        <v>86</v>
      </c>
      <c r="G2085" s="9" t="s">
        <v>87</v>
      </c>
      <c r="H2085" s="11" t="s">
        <v>19</v>
      </c>
      <c r="I2085" s="12" t="n">
        <v>30</v>
      </c>
      <c r="J2085" s="13" t="n">
        <v>425</v>
      </c>
      <c r="K2085" s="14" t="n">
        <f aca="false">I2085*J2085</f>
        <v>12750</v>
      </c>
      <c r="L2085" s="14" t="n">
        <f aca="false">($L$2*M2085)/100</f>
        <v>420583.275</v>
      </c>
      <c r="M2085" s="15" t="n">
        <v>0.35</v>
      </c>
      <c r="N2085" s="9" t="s">
        <v>85</v>
      </c>
    </row>
    <row r="2086" customFormat="false" ht="14.25" hidden="false" customHeight="true" outlineLevel="0" collapsed="false">
      <c r="B2086" s="9" t="s">
        <v>16</v>
      </c>
      <c r="C2086" s="9" t="n">
        <v>1128299</v>
      </c>
      <c r="D2086" s="10" t="n">
        <v>44219</v>
      </c>
      <c r="E2086" s="9" t="s">
        <v>33</v>
      </c>
      <c r="F2086" s="9" t="s">
        <v>86</v>
      </c>
      <c r="G2086" s="9" t="s">
        <v>87</v>
      </c>
      <c r="H2086" s="11" t="s">
        <v>21</v>
      </c>
      <c r="I2086" s="12" t="n">
        <v>40</v>
      </c>
      <c r="J2086" s="13" t="n">
        <v>425</v>
      </c>
      <c r="K2086" s="14" t="n">
        <f aca="false">I2086*J2086</f>
        <v>17000</v>
      </c>
      <c r="L2086" s="14" t="n">
        <f aca="false">($L$2*M2086)/100</f>
        <v>480666.6</v>
      </c>
      <c r="M2086" s="15" t="n">
        <v>0.4</v>
      </c>
      <c r="N2086" s="9" t="s">
        <v>85</v>
      </c>
    </row>
    <row r="2087" customFormat="false" ht="14.25" hidden="false" customHeight="true" outlineLevel="0" collapsed="false">
      <c r="B2087" s="9" t="s">
        <v>16</v>
      </c>
      <c r="C2087" s="9" t="n">
        <v>1128299</v>
      </c>
      <c r="D2087" s="10" t="n">
        <v>44219</v>
      </c>
      <c r="E2087" s="9" t="s">
        <v>33</v>
      </c>
      <c r="F2087" s="9" t="s">
        <v>86</v>
      </c>
      <c r="G2087" s="9" t="s">
        <v>87</v>
      </c>
      <c r="H2087" s="11" t="s">
        <v>22</v>
      </c>
      <c r="I2087" s="12" t="n">
        <v>40</v>
      </c>
      <c r="J2087" s="13" t="n">
        <v>425</v>
      </c>
      <c r="K2087" s="14" t="n">
        <f aca="false">I2087*J2087</f>
        <v>17000</v>
      </c>
      <c r="L2087" s="14" t="n">
        <f aca="false">($L$2*M2087)/100</f>
        <v>420583.275</v>
      </c>
      <c r="M2087" s="15" t="n">
        <v>0.35</v>
      </c>
      <c r="N2087" s="9" t="s">
        <v>85</v>
      </c>
    </row>
    <row r="2088" customFormat="false" ht="14.25" hidden="false" customHeight="true" outlineLevel="0" collapsed="false">
      <c r="B2088" s="9" t="s">
        <v>16</v>
      </c>
      <c r="C2088" s="9" t="n">
        <v>1128299</v>
      </c>
      <c r="D2088" s="10" t="n">
        <v>44219</v>
      </c>
      <c r="E2088" s="9" t="s">
        <v>33</v>
      </c>
      <c r="F2088" s="9" t="s">
        <v>86</v>
      </c>
      <c r="G2088" s="9" t="s">
        <v>87</v>
      </c>
      <c r="H2088" s="11" t="s">
        <v>23</v>
      </c>
      <c r="I2088" s="12" t="n">
        <v>40</v>
      </c>
      <c r="J2088" s="13" t="n">
        <v>275</v>
      </c>
      <c r="K2088" s="14" t="n">
        <f aca="false">I2088*J2088</f>
        <v>11000</v>
      </c>
      <c r="L2088" s="14" t="n">
        <f aca="false">($L$2*M2088)/100</f>
        <v>420583.275</v>
      </c>
      <c r="M2088" s="15" t="n">
        <v>0.35</v>
      </c>
      <c r="N2088" s="9" t="s">
        <v>85</v>
      </c>
    </row>
    <row r="2089" customFormat="false" ht="14.25" hidden="false" customHeight="true" outlineLevel="0" collapsed="false">
      <c r="B2089" s="9" t="s">
        <v>16</v>
      </c>
      <c r="C2089" s="9" t="n">
        <v>1128299</v>
      </c>
      <c r="D2089" s="10" t="n">
        <v>44219</v>
      </c>
      <c r="E2089" s="9" t="s">
        <v>33</v>
      </c>
      <c r="F2089" s="9" t="s">
        <v>86</v>
      </c>
      <c r="G2089" s="9" t="s">
        <v>87</v>
      </c>
      <c r="H2089" s="11" t="s">
        <v>24</v>
      </c>
      <c r="I2089" s="12" t="n">
        <v>45</v>
      </c>
      <c r="J2089" s="13" t="n">
        <v>225</v>
      </c>
      <c r="K2089" s="14" t="n">
        <f aca="false">I2089*J2089</f>
        <v>10125</v>
      </c>
      <c r="L2089" s="14" t="n">
        <f aca="false">($L$2*M2089)/100</f>
        <v>360499.95</v>
      </c>
      <c r="M2089" s="15" t="n">
        <v>0.3</v>
      </c>
      <c r="N2089" s="9" t="s">
        <v>85</v>
      </c>
    </row>
    <row r="2090" customFormat="false" ht="14.25" hidden="false" customHeight="true" outlineLevel="0" collapsed="false">
      <c r="B2090" s="9" t="s">
        <v>16</v>
      </c>
      <c r="C2090" s="9" t="n">
        <v>1128299</v>
      </c>
      <c r="D2090" s="10" t="n">
        <v>44219</v>
      </c>
      <c r="E2090" s="9" t="s">
        <v>33</v>
      </c>
      <c r="F2090" s="9" t="s">
        <v>86</v>
      </c>
      <c r="G2090" s="9" t="s">
        <v>87</v>
      </c>
      <c r="H2090" s="11" t="s">
        <v>25</v>
      </c>
      <c r="I2090" s="12" t="n">
        <v>40</v>
      </c>
      <c r="J2090" s="13" t="n">
        <v>425</v>
      </c>
      <c r="K2090" s="14" t="n">
        <f aca="false">I2090*J2090</f>
        <v>17000</v>
      </c>
      <c r="L2090" s="14" t="n">
        <f aca="false">($L$2*M2090)/100</f>
        <v>300416.625</v>
      </c>
      <c r="M2090" s="15" t="n">
        <v>0.25</v>
      </c>
      <c r="N2090" s="9" t="s">
        <v>85</v>
      </c>
    </row>
    <row r="2091" customFormat="false" ht="14.25" hidden="false" customHeight="true" outlineLevel="0" collapsed="false">
      <c r="B2091" s="9" t="s">
        <v>16</v>
      </c>
      <c r="C2091" s="9" t="n">
        <v>1128299</v>
      </c>
      <c r="D2091" s="10" t="n">
        <v>44250</v>
      </c>
      <c r="E2091" s="9" t="s">
        <v>33</v>
      </c>
      <c r="F2091" s="9" t="s">
        <v>86</v>
      </c>
      <c r="G2091" s="9" t="s">
        <v>87</v>
      </c>
      <c r="H2091" s="11" t="s">
        <v>19</v>
      </c>
      <c r="I2091" s="12" t="n">
        <v>30</v>
      </c>
      <c r="J2091" s="13" t="n">
        <v>475</v>
      </c>
      <c r="K2091" s="14" t="n">
        <f aca="false">I2091*J2091</f>
        <v>14250</v>
      </c>
      <c r="L2091" s="14" t="n">
        <f aca="false">($L$2*M2091)/100</f>
        <v>420583.275</v>
      </c>
      <c r="M2091" s="15" t="n">
        <v>0.35</v>
      </c>
      <c r="N2091" s="9" t="s">
        <v>85</v>
      </c>
    </row>
    <row r="2092" customFormat="false" ht="14.25" hidden="false" customHeight="true" outlineLevel="0" collapsed="false">
      <c r="B2092" s="9" t="s">
        <v>16</v>
      </c>
      <c r="C2092" s="9" t="n">
        <v>1128299</v>
      </c>
      <c r="D2092" s="10" t="n">
        <v>44250</v>
      </c>
      <c r="E2092" s="9" t="s">
        <v>33</v>
      </c>
      <c r="F2092" s="9" t="s">
        <v>86</v>
      </c>
      <c r="G2092" s="9" t="s">
        <v>87</v>
      </c>
      <c r="H2092" s="11" t="s">
        <v>21</v>
      </c>
      <c r="I2092" s="12" t="n">
        <v>40</v>
      </c>
      <c r="J2092" s="13" t="n">
        <v>375</v>
      </c>
      <c r="K2092" s="14" t="n">
        <f aca="false">I2092*J2092</f>
        <v>15000</v>
      </c>
      <c r="L2092" s="14" t="n">
        <f aca="false">($L$2*M2092)/100</f>
        <v>480666.6</v>
      </c>
      <c r="M2092" s="15" t="n">
        <v>0.4</v>
      </c>
      <c r="N2092" s="9" t="s">
        <v>85</v>
      </c>
    </row>
    <row r="2093" customFormat="false" ht="14.25" hidden="false" customHeight="true" outlineLevel="0" collapsed="false">
      <c r="B2093" s="9" t="s">
        <v>16</v>
      </c>
      <c r="C2093" s="9" t="n">
        <v>1128299</v>
      </c>
      <c r="D2093" s="10" t="n">
        <v>44250</v>
      </c>
      <c r="E2093" s="9" t="s">
        <v>33</v>
      </c>
      <c r="F2093" s="9" t="s">
        <v>86</v>
      </c>
      <c r="G2093" s="9" t="s">
        <v>87</v>
      </c>
      <c r="H2093" s="11" t="s">
        <v>22</v>
      </c>
      <c r="I2093" s="12" t="n">
        <v>40</v>
      </c>
      <c r="J2093" s="13" t="n">
        <v>375</v>
      </c>
      <c r="K2093" s="14" t="n">
        <f aca="false">I2093*J2093</f>
        <v>15000</v>
      </c>
      <c r="L2093" s="14" t="n">
        <f aca="false">($L$2*M2093)/100</f>
        <v>420583.275</v>
      </c>
      <c r="M2093" s="15" t="n">
        <v>0.35</v>
      </c>
      <c r="N2093" s="9" t="s">
        <v>85</v>
      </c>
    </row>
    <row r="2094" customFormat="false" ht="14.25" hidden="false" customHeight="true" outlineLevel="0" collapsed="false">
      <c r="B2094" s="9" t="s">
        <v>16</v>
      </c>
      <c r="C2094" s="9" t="n">
        <v>1128299</v>
      </c>
      <c r="D2094" s="10" t="n">
        <v>44250</v>
      </c>
      <c r="E2094" s="9" t="s">
        <v>33</v>
      </c>
      <c r="F2094" s="9" t="s">
        <v>88</v>
      </c>
      <c r="G2094" s="9" t="s">
        <v>89</v>
      </c>
      <c r="H2094" s="11" t="s">
        <v>23</v>
      </c>
      <c r="I2094" s="12" t="n">
        <v>40</v>
      </c>
      <c r="J2094" s="13" t="n">
        <v>225</v>
      </c>
      <c r="K2094" s="14" t="n">
        <f aca="false">I2094*J2094</f>
        <v>9000</v>
      </c>
      <c r="L2094" s="14" t="n">
        <f aca="false">($L$2*M2094)/100</f>
        <v>420583.275</v>
      </c>
      <c r="M2094" s="15" t="n">
        <v>0.35</v>
      </c>
      <c r="N2094" s="9" t="s">
        <v>85</v>
      </c>
    </row>
    <row r="2095" customFormat="false" ht="14.25" hidden="false" customHeight="true" outlineLevel="0" collapsed="false">
      <c r="B2095" s="9" t="s">
        <v>16</v>
      </c>
      <c r="C2095" s="9" t="n">
        <v>1128299</v>
      </c>
      <c r="D2095" s="10" t="n">
        <v>44250</v>
      </c>
      <c r="E2095" s="9" t="s">
        <v>33</v>
      </c>
      <c r="F2095" s="9" t="s">
        <v>88</v>
      </c>
      <c r="G2095" s="9" t="s">
        <v>89</v>
      </c>
      <c r="H2095" s="11" t="s">
        <v>24</v>
      </c>
      <c r="I2095" s="12" t="n">
        <v>45</v>
      </c>
      <c r="J2095" s="13" t="n">
        <v>150</v>
      </c>
      <c r="K2095" s="14" t="n">
        <f aca="false">I2095*J2095</f>
        <v>6750</v>
      </c>
      <c r="L2095" s="14" t="n">
        <f aca="false">($L$2*M2095)/100</f>
        <v>360499.95</v>
      </c>
      <c r="M2095" s="15" t="n">
        <v>0.3</v>
      </c>
      <c r="N2095" s="9" t="s">
        <v>85</v>
      </c>
    </row>
    <row r="2096" customFormat="false" ht="14.25" hidden="false" customHeight="true" outlineLevel="0" collapsed="false">
      <c r="B2096" s="9" t="s">
        <v>16</v>
      </c>
      <c r="C2096" s="9" t="n">
        <v>1128299</v>
      </c>
      <c r="D2096" s="10" t="n">
        <v>44250</v>
      </c>
      <c r="E2096" s="9" t="s">
        <v>33</v>
      </c>
      <c r="F2096" s="9" t="s">
        <v>88</v>
      </c>
      <c r="G2096" s="9" t="s">
        <v>89</v>
      </c>
      <c r="H2096" s="11" t="s">
        <v>25</v>
      </c>
      <c r="I2096" s="12" t="n">
        <v>40</v>
      </c>
      <c r="J2096" s="13" t="n">
        <v>350</v>
      </c>
      <c r="K2096" s="14" t="n">
        <f aca="false">I2096*J2096</f>
        <v>14000</v>
      </c>
      <c r="L2096" s="14" t="n">
        <f aca="false">($L$2*M2096)/100</f>
        <v>300416.625</v>
      </c>
      <c r="M2096" s="15" t="n">
        <v>0.25</v>
      </c>
      <c r="N2096" s="9" t="s">
        <v>85</v>
      </c>
    </row>
    <row r="2097" customFormat="false" ht="14.25" hidden="false" customHeight="true" outlineLevel="0" collapsed="false">
      <c r="B2097" s="9" t="s">
        <v>16</v>
      </c>
      <c r="C2097" s="9" t="n">
        <v>1128299</v>
      </c>
      <c r="D2097" s="10" t="n">
        <v>44277</v>
      </c>
      <c r="E2097" s="9" t="s">
        <v>33</v>
      </c>
      <c r="F2097" s="9" t="s">
        <v>88</v>
      </c>
      <c r="G2097" s="9" t="s">
        <v>89</v>
      </c>
      <c r="H2097" s="11" t="s">
        <v>19</v>
      </c>
      <c r="I2097" s="12" t="n">
        <v>40</v>
      </c>
      <c r="J2097" s="13" t="n">
        <v>500</v>
      </c>
      <c r="K2097" s="14" t="n">
        <f aca="false">I2097*J2097</f>
        <v>20000</v>
      </c>
      <c r="L2097" s="14" t="n">
        <f aca="false">($L$2*M2097)/100</f>
        <v>420583.275</v>
      </c>
      <c r="M2097" s="15" t="n">
        <v>0.35</v>
      </c>
      <c r="N2097" s="9" t="s">
        <v>85</v>
      </c>
    </row>
    <row r="2098" customFormat="false" ht="14.25" hidden="false" customHeight="true" outlineLevel="0" collapsed="false">
      <c r="B2098" s="9" t="s">
        <v>16</v>
      </c>
      <c r="C2098" s="9" t="n">
        <v>1128299</v>
      </c>
      <c r="D2098" s="10" t="n">
        <v>44277</v>
      </c>
      <c r="E2098" s="9" t="s">
        <v>33</v>
      </c>
      <c r="F2098" s="9" t="s">
        <v>88</v>
      </c>
      <c r="G2098" s="9" t="s">
        <v>89</v>
      </c>
      <c r="H2098" s="11" t="s">
        <v>21</v>
      </c>
      <c r="I2098" s="12" t="n">
        <v>50</v>
      </c>
      <c r="J2098" s="13" t="n">
        <v>350</v>
      </c>
      <c r="K2098" s="14" t="n">
        <f aca="false">I2098*J2098</f>
        <v>17500</v>
      </c>
      <c r="L2098" s="14" t="n">
        <f aca="false">($L$2*M2098)/100</f>
        <v>480666.6</v>
      </c>
      <c r="M2098" s="15" t="n">
        <v>0.4</v>
      </c>
      <c r="N2098" s="9" t="s">
        <v>85</v>
      </c>
    </row>
    <row r="2099" customFormat="false" ht="14.25" hidden="false" customHeight="true" outlineLevel="0" collapsed="false">
      <c r="B2099" s="9" t="s">
        <v>16</v>
      </c>
      <c r="C2099" s="9" t="n">
        <v>1128299</v>
      </c>
      <c r="D2099" s="10" t="n">
        <v>44277</v>
      </c>
      <c r="E2099" s="9" t="s">
        <v>33</v>
      </c>
      <c r="F2099" s="9" t="s">
        <v>88</v>
      </c>
      <c r="G2099" s="9" t="s">
        <v>89</v>
      </c>
      <c r="H2099" s="11" t="s">
        <v>22</v>
      </c>
      <c r="I2099" s="12" t="n">
        <v>50</v>
      </c>
      <c r="J2099" s="13" t="n">
        <v>350</v>
      </c>
      <c r="K2099" s="14" t="n">
        <f aca="false">I2099*J2099</f>
        <v>17500</v>
      </c>
      <c r="L2099" s="14" t="n">
        <f aca="false">($L$2*M2099)/100</f>
        <v>420583.275</v>
      </c>
      <c r="M2099" s="15" t="n">
        <v>0.35</v>
      </c>
      <c r="N2099" s="9" t="s">
        <v>85</v>
      </c>
    </row>
    <row r="2100" customFormat="false" ht="14.25" hidden="false" customHeight="true" outlineLevel="0" collapsed="false">
      <c r="B2100" s="9" t="s">
        <v>16</v>
      </c>
      <c r="C2100" s="9" t="n">
        <v>1128299</v>
      </c>
      <c r="D2100" s="10" t="n">
        <v>44277</v>
      </c>
      <c r="E2100" s="9" t="s">
        <v>33</v>
      </c>
      <c r="F2100" s="9" t="s">
        <v>88</v>
      </c>
      <c r="G2100" s="9" t="s">
        <v>89</v>
      </c>
      <c r="H2100" s="11" t="s">
        <v>23</v>
      </c>
      <c r="I2100" s="12" t="n">
        <v>50</v>
      </c>
      <c r="J2100" s="13" t="n">
        <v>225</v>
      </c>
      <c r="K2100" s="14" t="n">
        <f aca="false">I2100*J2100</f>
        <v>11250</v>
      </c>
      <c r="L2100" s="14" t="n">
        <f aca="false">($L$2*M2100)/100</f>
        <v>420583.275</v>
      </c>
      <c r="M2100" s="15" t="n">
        <v>0.35</v>
      </c>
      <c r="N2100" s="9" t="s">
        <v>85</v>
      </c>
    </row>
    <row r="2101" customFormat="false" ht="14.25" hidden="false" customHeight="true" outlineLevel="0" collapsed="false">
      <c r="B2101" s="9" t="s">
        <v>16</v>
      </c>
      <c r="C2101" s="9" t="n">
        <v>1128299</v>
      </c>
      <c r="D2101" s="10" t="n">
        <v>44277</v>
      </c>
      <c r="E2101" s="9" t="s">
        <v>33</v>
      </c>
      <c r="F2101" s="9" t="s">
        <v>88</v>
      </c>
      <c r="G2101" s="9" t="s">
        <v>89</v>
      </c>
      <c r="H2101" s="11" t="s">
        <v>24</v>
      </c>
      <c r="I2101" s="12" t="n">
        <v>55</v>
      </c>
      <c r="J2101" s="13" t="n">
        <v>125</v>
      </c>
      <c r="K2101" s="14" t="n">
        <f aca="false">I2101*J2101</f>
        <v>6875</v>
      </c>
      <c r="L2101" s="14" t="n">
        <f aca="false">($L$2*M2101)/100</f>
        <v>360499.95</v>
      </c>
      <c r="M2101" s="15" t="n">
        <v>0.3</v>
      </c>
      <c r="N2101" s="9" t="s">
        <v>85</v>
      </c>
    </row>
    <row r="2102" customFormat="false" ht="14.25" hidden="false" customHeight="true" outlineLevel="0" collapsed="false">
      <c r="B2102" s="9" t="s">
        <v>16</v>
      </c>
      <c r="C2102" s="9" t="n">
        <v>1128299</v>
      </c>
      <c r="D2102" s="10" t="n">
        <v>44277</v>
      </c>
      <c r="E2102" s="9" t="s">
        <v>33</v>
      </c>
      <c r="F2102" s="9" t="s">
        <v>88</v>
      </c>
      <c r="G2102" s="9" t="s">
        <v>89</v>
      </c>
      <c r="H2102" s="11" t="s">
        <v>25</v>
      </c>
      <c r="I2102" s="12" t="n">
        <v>50</v>
      </c>
      <c r="J2102" s="13" t="n">
        <v>325</v>
      </c>
      <c r="K2102" s="14" t="n">
        <f aca="false">I2102*J2102</f>
        <v>16250</v>
      </c>
      <c r="L2102" s="14" t="n">
        <f aca="false">($L$2*M2102)/100</f>
        <v>300416.625</v>
      </c>
      <c r="M2102" s="15" t="n">
        <v>0.25</v>
      </c>
      <c r="N2102" s="9" t="s">
        <v>85</v>
      </c>
    </row>
    <row r="2103" customFormat="false" ht="14.25" hidden="false" customHeight="true" outlineLevel="0" collapsed="false">
      <c r="B2103" s="9" t="s">
        <v>16</v>
      </c>
      <c r="C2103" s="9" t="n">
        <v>1128299</v>
      </c>
      <c r="D2103" s="10" t="n">
        <v>44309</v>
      </c>
      <c r="E2103" s="9" t="s">
        <v>33</v>
      </c>
      <c r="F2103" s="9" t="s">
        <v>88</v>
      </c>
      <c r="G2103" s="9" t="s">
        <v>89</v>
      </c>
      <c r="H2103" s="11" t="s">
        <v>19</v>
      </c>
      <c r="I2103" s="12" t="n">
        <v>50</v>
      </c>
      <c r="J2103" s="13" t="n">
        <v>500</v>
      </c>
      <c r="K2103" s="14" t="n">
        <f aca="false">I2103*J2103</f>
        <v>25000</v>
      </c>
      <c r="L2103" s="14" t="n">
        <f aca="false">($L$2*M2103)/100</f>
        <v>420583.275</v>
      </c>
      <c r="M2103" s="15" t="n">
        <v>0.35</v>
      </c>
      <c r="N2103" s="9" t="s">
        <v>85</v>
      </c>
    </row>
    <row r="2104" customFormat="false" ht="14.25" hidden="false" customHeight="true" outlineLevel="0" collapsed="false">
      <c r="B2104" s="9" t="s">
        <v>16</v>
      </c>
      <c r="C2104" s="9" t="n">
        <v>1128299</v>
      </c>
      <c r="D2104" s="10" t="n">
        <v>44309</v>
      </c>
      <c r="E2104" s="9" t="s">
        <v>33</v>
      </c>
      <c r="F2104" s="9" t="s">
        <v>88</v>
      </c>
      <c r="G2104" s="9" t="s">
        <v>89</v>
      </c>
      <c r="H2104" s="11" t="s">
        <v>21</v>
      </c>
      <c r="I2104" s="12" t="n">
        <v>55</v>
      </c>
      <c r="J2104" s="13" t="n">
        <v>300</v>
      </c>
      <c r="K2104" s="14" t="n">
        <f aca="false">I2104*J2104</f>
        <v>16500</v>
      </c>
      <c r="L2104" s="14" t="n">
        <f aca="false">($L$2*M2104)/100</f>
        <v>480666.6</v>
      </c>
      <c r="M2104" s="15" t="n">
        <v>0.4</v>
      </c>
      <c r="N2104" s="9" t="s">
        <v>85</v>
      </c>
    </row>
    <row r="2105" customFormat="false" ht="14.25" hidden="false" customHeight="true" outlineLevel="0" collapsed="false">
      <c r="B2105" s="9" t="s">
        <v>16</v>
      </c>
      <c r="C2105" s="9" t="n">
        <v>1128299</v>
      </c>
      <c r="D2105" s="10" t="n">
        <v>44309</v>
      </c>
      <c r="E2105" s="9" t="s">
        <v>33</v>
      </c>
      <c r="F2105" s="9" t="s">
        <v>88</v>
      </c>
      <c r="G2105" s="9" t="s">
        <v>89</v>
      </c>
      <c r="H2105" s="11" t="s">
        <v>22</v>
      </c>
      <c r="I2105" s="12" t="n">
        <v>55</v>
      </c>
      <c r="J2105" s="13" t="n">
        <v>350</v>
      </c>
      <c r="K2105" s="14" t="n">
        <f aca="false">I2105*J2105</f>
        <v>19250</v>
      </c>
      <c r="L2105" s="14" t="n">
        <f aca="false">($L$2*M2105)/100</f>
        <v>420583.275</v>
      </c>
      <c r="M2105" s="15" t="n">
        <v>0.35</v>
      </c>
      <c r="N2105" s="9" t="s">
        <v>85</v>
      </c>
    </row>
    <row r="2106" customFormat="false" ht="14.25" hidden="false" customHeight="true" outlineLevel="0" collapsed="false">
      <c r="B2106" s="9" t="s">
        <v>16</v>
      </c>
      <c r="C2106" s="9" t="n">
        <v>1128299</v>
      </c>
      <c r="D2106" s="10" t="n">
        <v>44309</v>
      </c>
      <c r="E2106" s="9" t="s">
        <v>33</v>
      </c>
      <c r="F2106" s="9" t="s">
        <v>88</v>
      </c>
      <c r="G2106" s="9" t="s">
        <v>89</v>
      </c>
      <c r="H2106" s="11" t="s">
        <v>23</v>
      </c>
      <c r="I2106" s="12" t="n">
        <v>50</v>
      </c>
      <c r="J2106" s="13" t="n">
        <v>250</v>
      </c>
      <c r="K2106" s="14" t="n">
        <f aca="false">I2106*J2106</f>
        <v>12500</v>
      </c>
      <c r="L2106" s="14" t="n">
        <f aca="false">($L$2*M2106)/100</f>
        <v>420583.275</v>
      </c>
      <c r="M2106" s="15" t="n">
        <v>0.35</v>
      </c>
      <c r="N2106" s="9" t="s">
        <v>85</v>
      </c>
    </row>
    <row r="2107" customFormat="false" ht="14.25" hidden="false" customHeight="true" outlineLevel="0" collapsed="false">
      <c r="B2107" s="9" t="s">
        <v>16</v>
      </c>
      <c r="C2107" s="9" t="n">
        <v>1128299</v>
      </c>
      <c r="D2107" s="10" t="n">
        <v>44309</v>
      </c>
      <c r="E2107" s="9" t="s">
        <v>33</v>
      </c>
      <c r="F2107" s="9" t="s">
        <v>88</v>
      </c>
      <c r="G2107" s="9" t="s">
        <v>89</v>
      </c>
      <c r="H2107" s="11" t="s">
        <v>24</v>
      </c>
      <c r="I2107" s="12" t="n">
        <v>55</v>
      </c>
      <c r="J2107" s="13" t="n">
        <v>150</v>
      </c>
      <c r="K2107" s="14" t="n">
        <f aca="false">I2107*J2107</f>
        <v>8250</v>
      </c>
      <c r="L2107" s="14" t="n">
        <f aca="false">($L$2*M2107)/100</f>
        <v>360499.95</v>
      </c>
      <c r="M2107" s="15" t="n">
        <v>0.3</v>
      </c>
      <c r="N2107" s="9" t="s">
        <v>85</v>
      </c>
    </row>
    <row r="2108" customFormat="false" ht="14.25" hidden="false" customHeight="true" outlineLevel="0" collapsed="false">
      <c r="B2108" s="9" t="s">
        <v>16</v>
      </c>
      <c r="C2108" s="9" t="n">
        <v>1128299</v>
      </c>
      <c r="D2108" s="10" t="n">
        <v>44309</v>
      </c>
      <c r="E2108" s="9" t="s">
        <v>33</v>
      </c>
      <c r="F2108" s="9" t="s">
        <v>88</v>
      </c>
      <c r="G2108" s="9" t="s">
        <v>89</v>
      </c>
      <c r="H2108" s="11" t="s">
        <v>25</v>
      </c>
      <c r="I2108" s="12" t="n">
        <v>70</v>
      </c>
      <c r="J2108" s="13" t="n">
        <v>325</v>
      </c>
      <c r="K2108" s="14" t="n">
        <f aca="false">I2108*J2108</f>
        <v>22750</v>
      </c>
      <c r="L2108" s="14" t="n">
        <f aca="false">($L$2*M2108)/100</f>
        <v>300416.625</v>
      </c>
      <c r="M2108" s="15" t="n">
        <v>0.25</v>
      </c>
      <c r="N2108" s="9" t="s">
        <v>85</v>
      </c>
    </row>
    <row r="2109" customFormat="false" ht="14.25" hidden="false" customHeight="true" outlineLevel="0" collapsed="false">
      <c r="B2109" s="9" t="s">
        <v>16</v>
      </c>
      <c r="C2109" s="9" t="n">
        <v>1128299</v>
      </c>
      <c r="D2109" s="10" t="n">
        <v>44340</v>
      </c>
      <c r="E2109" s="9" t="s">
        <v>33</v>
      </c>
      <c r="F2109" s="9" t="s">
        <v>88</v>
      </c>
      <c r="G2109" s="9" t="s">
        <v>89</v>
      </c>
      <c r="H2109" s="11" t="s">
        <v>19</v>
      </c>
      <c r="I2109" s="12" t="n">
        <v>50</v>
      </c>
      <c r="J2109" s="13" t="n">
        <v>525</v>
      </c>
      <c r="K2109" s="14" t="n">
        <f aca="false">I2109*J2109</f>
        <v>26250</v>
      </c>
      <c r="L2109" s="14" t="n">
        <f aca="false">($L$2*M2109)/100</f>
        <v>420583.275</v>
      </c>
      <c r="M2109" s="15" t="n">
        <v>0.35</v>
      </c>
      <c r="N2109" s="9" t="s">
        <v>85</v>
      </c>
    </row>
    <row r="2110" customFormat="false" ht="14.25" hidden="false" customHeight="true" outlineLevel="0" collapsed="false">
      <c r="B2110" s="9" t="s">
        <v>16</v>
      </c>
      <c r="C2110" s="9" t="n">
        <v>1128299</v>
      </c>
      <c r="D2110" s="10" t="n">
        <v>44340</v>
      </c>
      <c r="E2110" s="9" t="s">
        <v>33</v>
      </c>
      <c r="F2110" s="9" t="s">
        <v>88</v>
      </c>
      <c r="G2110" s="9" t="s">
        <v>89</v>
      </c>
      <c r="H2110" s="11" t="s">
        <v>21</v>
      </c>
      <c r="I2110" s="12" t="n">
        <v>55</v>
      </c>
      <c r="J2110" s="13" t="n">
        <v>375</v>
      </c>
      <c r="K2110" s="14" t="n">
        <f aca="false">I2110*J2110</f>
        <v>20625</v>
      </c>
      <c r="L2110" s="14" t="n">
        <f aca="false">($L$2*M2110)/100</f>
        <v>480666.6</v>
      </c>
      <c r="M2110" s="15" t="n">
        <v>0.4</v>
      </c>
      <c r="N2110" s="9" t="s">
        <v>85</v>
      </c>
    </row>
    <row r="2111" customFormat="false" ht="14.25" hidden="false" customHeight="true" outlineLevel="0" collapsed="false">
      <c r="B2111" s="9" t="s">
        <v>16</v>
      </c>
      <c r="C2111" s="9" t="n">
        <v>1128299</v>
      </c>
      <c r="D2111" s="10" t="n">
        <v>44340</v>
      </c>
      <c r="E2111" s="9" t="s">
        <v>33</v>
      </c>
      <c r="F2111" s="9" t="s">
        <v>88</v>
      </c>
      <c r="G2111" s="9" t="s">
        <v>89</v>
      </c>
      <c r="H2111" s="11" t="s">
        <v>22</v>
      </c>
      <c r="I2111" s="12" t="n">
        <v>55</v>
      </c>
      <c r="J2111" s="13" t="n">
        <v>400</v>
      </c>
      <c r="K2111" s="14" t="n">
        <f aca="false">I2111*J2111</f>
        <v>22000</v>
      </c>
      <c r="L2111" s="14" t="n">
        <f aca="false">($L$2*M2111)/100</f>
        <v>420583.275</v>
      </c>
      <c r="M2111" s="15" t="n">
        <v>0.35</v>
      </c>
      <c r="N2111" s="9" t="s">
        <v>85</v>
      </c>
    </row>
    <row r="2112" customFormat="false" ht="14.25" hidden="false" customHeight="true" outlineLevel="0" collapsed="false">
      <c r="B2112" s="9" t="s">
        <v>16</v>
      </c>
      <c r="C2112" s="9" t="n">
        <v>1128299</v>
      </c>
      <c r="D2112" s="10" t="n">
        <v>44340</v>
      </c>
      <c r="E2112" s="9" t="s">
        <v>33</v>
      </c>
      <c r="F2112" s="9" t="s">
        <v>88</v>
      </c>
      <c r="G2112" s="9" t="s">
        <v>89</v>
      </c>
      <c r="H2112" s="11" t="s">
        <v>23</v>
      </c>
      <c r="I2112" s="12" t="n">
        <v>50</v>
      </c>
      <c r="J2112" s="13" t="n">
        <v>300</v>
      </c>
      <c r="K2112" s="14" t="n">
        <f aca="false">I2112*J2112</f>
        <v>15000</v>
      </c>
      <c r="L2112" s="14" t="n">
        <f aca="false">($L$2*M2112)/100</f>
        <v>420583.275</v>
      </c>
      <c r="M2112" s="15" t="n">
        <v>0.35</v>
      </c>
      <c r="N2112" s="9" t="s">
        <v>85</v>
      </c>
    </row>
    <row r="2113" customFormat="false" ht="14.25" hidden="false" customHeight="true" outlineLevel="0" collapsed="false">
      <c r="B2113" s="9" t="s">
        <v>16</v>
      </c>
      <c r="C2113" s="9" t="n">
        <v>1128299</v>
      </c>
      <c r="D2113" s="10" t="n">
        <v>44340</v>
      </c>
      <c r="E2113" s="9" t="s">
        <v>33</v>
      </c>
      <c r="F2113" s="9" t="s">
        <v>88</v>
      </c>
      <c r="G2113" s="9" t="s">
        <v>89</v>
      </c>
      <c r="H2113" s="11" t="s">
        <v>24</v>
      </c>
      <c r="I2113" s="12" t="n">
        <v>55</v>
      </c>
      <c r="J2113" s="13" t="n">
        <v>200</v>
      </c>
      <c r="K2113" s="14" t="n">
        <f aca="false">I2113*J2113</f>
        <v>11000</v>
      </c>
      <c r="L2113" s="14" t="n">
        <f aca="false">($L$2*M2113)/100</f>
        <v>360499.95</v>
      </c>
      <c r="M2113" s="15" t="n">
        <v>0.3</v>
      </c>
      <c r="N2113" s="9" t="s">
        <v>85</v>
      </c>
    </row>
    <row r="2114" customFormat="false" ht="14.25" hidden="false" customHeight="true" outlineLevel="0" collapsed="false">
      <c r="B2114" s="9" t="s">
        <v>16</v>
      </c>
      <c r="C2114" s="9" t="n">
        <v>1128299</v>
      </c>
      <c r="D2114" s="10" t="n">
        <v>44340</v>
      </c>
      <c r="E2114" s="9" t="s">
        <v>33</v>
      </c>
      <c r="F2114" s="9" t="s">
        <v>88</v>
      </c>
      <c r="G2114" s="9" t="s">
        <v>89</v>
      </c>
      <c r="H2114" s="11" t="s">
        <v>25</v>
      </c>
      <c r="I2114" s="12" t="n">
        <v>70</v>
      </c>
      <c r="J2114" s="13" t="n">
        <v>375</v>
      </c>
      <c r="K2114" s="14" t="n">
        <f aca="false">I2114*J2114</f>
        <v>26250</v>
      </c>
      <c r="L2114" s="14" t="n">
        <f aca="false">($L$2*M2114)/100</f>
        <v>300416.625</v>
      </c>
      <c r="M2114" s="15" t="n">
        <v>0.25</v>
      </c>
      <c r="N2114" s="9" t="s">
        <v>85</v>
      </c>
    </row>
    <row r="2115" customFormat="false" ht="14.25" hidden="false" customHeight="true" outlineLevel="0" collapsed="false">
      <c r="B2115" s="9" t="s">
        <v>16</v>
      </c>
      <c r="C2115" s="9" t="n">
        <v>1128299</v>
      </c>
      <c r="D2115" s="10" t="n">
        <v>44370</v>
      </c>
      <c r="E2115" s="9" t="s">
        <v>33</v>
      </c>
      <c r="F2115" s="9" t="s">
        <v>88</v>
      </c>
      <c r="G2115" s="9" t="s">
        <v>89</v>
      </c>
      <c r="H2115" s="11" t="s">
        <v>19</v>
      </c>
      <c r="I2115" s="12" t="n">
        <v>50</v>
      </c>
      <c r="J2115" s="13" t="n">
        <v>625</v>
      </c>
      <c r="K2115" s="14" t="n">
        <f aca="false">I2115*J2115</f>
        <v>31250</v>
      </c>
      <c r="L2115" s="14" t="n">
        <f aca="false">($L$2*M2115)/100</f>
        <v>420583.275</v>
      </c>
      <c r="M2115" s="15" t="n">
        <v>0.35</v>
      </c>
      <c r="N2115" s="9" t="s">
        <v>85</v>
      </c>
    </row>
    <row r="2116" customFormat="false" ht="14.25" hidden="false" customHeight="true" outlineLevel="0" collapsed="false">
      <c r="B2116" s="9" t="s">
        <v>16</v>
      </c>
      <c r="C2116" s="9" t="n">
        <v>1128299</v>
      </c>
      <c r="D2116" s="10" t="n">
        <v>44370</v>
      </c>
      <c r="E2116" s="9" t="s">
        <v>33</v>
      </c>
      <c r="F2116" s="9" t="s">
        <v>88</v>
      </c>
      <c r="G2116" s="9" t="s">
        <v>89</v>
      </c>
      <c r="H2116" s="11" t="s">
        <v>21</v>
      </c>
      <c r="I2116" s="12" t="n">
        <v>55</v>
      </c>
      <c r="J2116" s="13" t="n">
        <v>475</v>
      </c>
      <c r="K2116" s="14" t="n">
        <f aca="false">I2116*J2116</f>
        <v>26125</v>
      </c>
      <c r="L2116" s="14" t="n">
        <f aca="false">($L$2*M2116)/100</f>
        <v>480666.6</v>
      </c>
      <c r="M2116" s="15" t="n">
        <v>0.4</v>
      </c>
      <c r="N2116" s="9" t="s">
        <v>85</v>
      </c>
    </row>
    <row r="2117" customFormat="false" ht="14.25" hidden="false" customHeight="true" outlineLevel="0" collapsed="false">
      <c r="B2117" s="9" t="s">
        <v>16</v>
      </c>
      <c r="C2117" s="9" t="n">
        <v>1128299</v>
      </c>
      <c r="D2117" s="10" t="n">
        <v>44370</v>
      </c>
      <c r="E2117" s="9" t="s">
        <v>33</v>
      </c>
      <c r="F2117" s="9" t="s">
        <v>88</v>
      </c>
      <c r="G2117" s="9" t="s">
        <v>89</v>
      </c>
      <c r="H2117" s="11" t="s">
        <v>22</v>
      </c>
      <c r="I2117" s="12" t="n">
        <v>55</v>
      </c>
      <c r="J2117" s="13" t="n">
        <v>475</v>
      </c>
      <c r="K2117" s="14" t="n">
        <f aca="false">I2117*J2117</f>
        <v>26125</v>
      </c>
      <c r="L2117" s="14" t="n">
        <f aca="false">($L$2*M2117)/100</f>
        <v>420583.275</v>
      </c>
      <c r="M2117" s="15" t="n">
        <v>0.35</v>
      </c>
      <c r="N2117" s="9" t="s">
        <v>85</v>
      </c>
    </row>
    <row r="2118" customFormat="false" ht="14.25" hidden="false" customHeight="true" outlineLevel="0" collapsed="false">
      <c r="B2118" s="9" t="s">
        <v>16</v>
      </c>
      <c r="C2118" s="9" t="n">
        <v>1128299</v>
      </c>
      <c r="D2118" s="10" t="n">
        <v>44370</v>
      </c>
      <c r="E2118" s="9" t="s">
        <v>33</v>
      </c>
      <c r="F2118" s="9" t="s">
        <v>88</v>
      </c>
      <c r="G2118" s="9" t="s">
        <v>89</v>
      </c>
      <c r="H2118" s="11" t="s">
        <v>23</v>
      </c>
      <c r="I2118" s="12" t="n">
        <v>50</v>
      </c>
      <c r="J2118" s="13" t="n">
        <v>350</v>
      </c>
      <c r="K2118" s="14" t="n">
        <f aca="false">I2118*J2118</f>
        <v>17500</v>
      </c>
      <c r="L2118" s="14" t="n">
        <f aca="false">($L$2*M2118)/100</f>
        <v>420583.275</v>
      </c>
      <c r="M2118" s="15" t="n">
        <v>0.35</v>
      </c>
      <c r="N2118" s="9" t="s">
        <v>85</v>
      </c>
    </row>
    <row r="2119" customFormat="false" ht="14.25" hidden="false" customHeight="true" outlineLevel="0" collapsed="false">
      <c r="B2119" s="9" t="s">
        <v>16</v>
      </c>
      <c r="C2119" s="9" t="n">
        <v>1128299</v>
      </c>
      <c r="D2119" s="10" t="n">
        <v>44370</v>
      </c>
      <c r="E2119" s="9" t="s">
        <v>33</v>
      </c>
      <c r="F2119" s="9" t="s">
        <v>88</v>
      </c>
      <c r="G2119" s="9" t="s">
        <v>89</v>
      </c>
      <c r="H2119" s="11" t="s">
        <v>24</v>
      </c>
      <c r="I2119" s="12" t="n">
        <v>55</v>
      </c>
      <c r="J2119" s="13" t="n">
        <v>225</v>
      </c>
      <c r="K2119" s="14" t="n">
        <f aca="false">I2119*J2119</f>
        <v>12375</v>
      </c>
      <c r="L2119" s="14" t="n">
        <f aca="false">($L$2*M2119)/100</f>
        <v>360499.95</v>
      </c>
      <c r="M2119" s="15" t="n">
        <v>0.3</v>
      </c>
      <c r="N2119" s="9" t="s">
        <v>85</v>
      </c>
    </row>
    <row r="2120" customFormat="false" ht="14.25" hidden="false" customHeight="true" outlineLevel="0" collapsed="false">
      <c r="B2120" s="9" t="s">
        <v>16</v>
      </c>
      <c r="C2120" s="9" t="n">
        <v>1128299</v>
      </c>
      <c r="D2120" s="10" t="n">
        <v>44370</v>
      </c>
      <c r="E2120" s="9" t="s">
        <v>33</v>
      </c>
      <c r="F2120" s="9" t="s">
        <v>88</v>
      </c>
      <c r="G2120" s="9" t="s">
        <v>89</v>
      </c>
      <c r="H2120" s="11" t="s">
        <v>25</v>
      </c>
      <c r="I2120" s="12" t="n">
        <v>70</v>
      </c>
      <c r="J2120" s="13" t="n">
        <v>525</v>
      </c>
      <c r="K2120" s="14" t="n">
        <f aca="false">I2120*J2120</f>
        <v>36750</v>
      </c>
      <c r="L2120" s="14" t="n">
        <f aca="false">($L$2*M2120)/100</f>
        <v>300416.625</v>
      </c>
      <c r="M2120" s="15" t="n">
        <v>0.25</v>
      </c>
      <c r="N2120" s="9" t="s">
        <v>85</v>
      </c>
    </row>
    <row r="2121" customFormat="false" ht="14.25" hidden="false" customHeight="true" outlineLevel="0" collapsed="false">
      <c r="B2121" s="9" t="s">
        <v>16</v>
      </c>
      <c r="C2121" s="9" t="n">
        <v>1128299</v>
      </c>
      <c r="D2121" s="10" t="n">
        <v>44399</v>
      </c>
      <c r="E2121" s="9" t="s">
        <v>33</v>
      </c>
      <c r="F2121" s="9" t="s">
        <v>88</v>
      </c>
      <c r="G2121" s="9" t="s">
        <v>89</v>
      </c>
      <c r="H2121" s="11" t="s">
        <v>19</v>
      </c>
      <c r="I2121" s="12" t="n">
        <v>50</v>
      </c>
      <c r="J2121" s="13" t="n">
        <v>675</v>
      </c>
      <c r="K2121" s="14" t="n">
        <f aca="false">I2121*J2121</f>
        <v>33750</v>
      </c>
      <c r="L2121" s="14" t="n">
        <f aca="false">($L$2*M2121)/100</f>
        <v>420583.275</v>
      </c>
      <c r="M2121" s="15" t="n">
        <v>0.35</v>
      </c>
      <c r="N2121" s="9" t="s">
        <v>85</v>
      </c>
    </row>
    <row r="2122" customFormat="false" ht="14.25" hidden="false" customHeight="true" outlineLevel="0" collapsed="false">
      <c r="B2122" s="9" t="s">
        <v>16</v>
      </c>
      <c r="C2122" s="9" t="n">
        <v>1128299</v>
      </c>
      <c r="D2122" s="10" t="n">
        <v>44399</v>
      </c>
      <c r="E2122" s="9" t="s">
        <v>33</v>
      </c>
      <c r="F2122" s="9" t="s">
        <v>88</v>
      </c>
      <c r="G2122" s="9" t="s">
        <v>89</v>
      </c>
      <c r="H2122" s="11" t="s">
        <v>21</v>
      </c>
      <c r="I2122" s="12" t="n">
        <v>55</v>
      </c>
      <c r="J2122" s="13" t="n">
        <v>525</v>
      </c>
      <c r="K2122" s="14" t="n">
        <f aca="false">I2122*J2122</f>
        <v>28875</v>
      </c>
      <c r="L2122" s="14" t="n">
        <f aca="false">($L$2*M2122)/100</f>
        <v>480666.6</v>
      </c>
      <c r="M2122" s="15" t="n">
        <v>0.4</v>
      </c>
      <c r="N2122" s="9" t="s">
        <v>85</v>
      </c>
    </row>
    <row r="2123" customFormat="false" ht="14.25" hidden="false" customHeight="true" outlineLevel="0" collapsed="false">
      <c r="B2123" s="9" t="s">
        <v>16</v>
      </c>
      <c r="C2123" s="9" t="n">
        <v>1128299</v>
      </c>
      <c r="D2123" s="10" t="n">
        <v>44399</v>
      </c>
      <c r="E2123" s="9" t="s">
        <v>33</v>
      </c>
      <c r="F2123" s="9" t="s">
        <v>88</v>
      </c>
      <c r="G2123" s="9" t="s">
        <v>89</v>
      </c>
      <c r="H2123" s="11" t="s">
        <v>22</v>
      </c>
      <c r="I2123" s="12" t="n">
        <v>55</v>
      </c>
      <c r="J2123" s="13" t="n">
        <v>475</v>
      </c>
      <c r="K2123" s="14" t="n">
        <f aca="false">I2123*J2123</f>
        <v>26125</v>
      </c>
      <c r="L2123" s="14" t="n">
        <f aca="false">($L$2*M2123)/100</f>
        <v>420583.275</v>
      </c>
      <c r="M2123" s="15" t="n">
        <v>0.35</v>
      </c>
      <c r="N2123" s="9" t="s">
        <v>85</v>
      </c>
    </row>
    <row r="2124" customFormat="false" ht="14.25" hidden="false" customHeight="true" outlineLevel="0" collapsed="false">
      <c r="B2124" s="9" t="s">
        <v>16</v>
      </c>
      <c r="C2124" s="9" t="n">
        <v>1128299</v>
      </c>
      <c r="D2124" s="10" t="n">
        <v>44399</v>
      </c>
      <c r="E2124" s="9" t="s">
        <v>33</v>
      </c>
      <c r="F2124" s="9" t="s">
        <v>88</v>
      </c>
      <c r="G2124" s="9" t="s">
        <v>89</v>
      </c>
      <c r="H2124" s="11" t="s">
        <v>23</v>
      </c>
      <c r="I2124" s="12" t="n">
        <v>50</v>
      </c>
      <c r="J2124" s="13" t="n">
        <v>375</v>
      </c>
      <c r="K2124" s="14" t="n">
        <f aca="false">I2124*J2124</f>
        <v>18750</v>
      </c>
      <c r="L2124" s="14" t="n">
        <f aca="false">($L$2*M2124)/100</f>
        <v>420583.275</v>
      </c>
      <c r="M2124" s="15" t="n">
        <v>0.35</v>
      </c>
      <c r="N2124" s="9" t="s">
        <v>85</v>
      </c>
    </row>
    <row r="2125" customFormat="false" ht="14.25" hidden="false" customHeight="true" outlineLevel="0" collapsed="false">
      <c r="B2125" s="9" t="s">
        <v>16</v>
      </c>
      <c r="C2125" s="9" t="n">
        <v>1128299</v>
      </c>
      <c r="D2125" s="10" t="n">
        <v>44399</v>
      </c>
      <c r="E2125" s="9" t="s">
        <v>33</v>
      </c>
      <c r="F2125" s="9" t="s">
        <v>88</v>
      </c>
      <c r="G2125" s="9" t="s">
        <v>89</v>
      </c>
      <c r="H2125" s="11" t="s">
        <v>24</v>
      </c>
      <c r="I2125" s="12" t="n">
        <v>55</v>
      </c>
      <c r="J2125" s="13" t="n">
        <v>425</v>
      </c>
      <c r="K2125" s="14" t="n">
        <f aca="false">I2125*J2125</f>
        <v>23375</v>
      </c>
      <c r="L2125" s="14" t="n">
        <f aca="false">($L$2*M2125)/100</f>
        <v>360499.95</v>
      </c>
      <c r="M2125" s="15" t="n">
        <v>0.3</v>
      </c>
      <c r="N2125" s="9" t="s">
        <v>85</v>
      </c>
    </row>
    <row r="2126" customFormat="false" ht="14.25" hidden="false" customHeight="true" outlineLevel="0" collapsed="false">
      <c r="B2126" s="9" t="s">
        <v>16</v>
      </c>
      <c r="C2126" s="9" t="n">
        <v>1128299</v>
      </c>
      <c r="D2126" s="10" t="n">
        <v>44399</v>
      </c>
      <c r="E2126" s="9" t="s">
        <v>33</v>
      </c>
      <c r="F2126" s="9" t="s">
        <v>88</v>
      </c>
      <c r="G2126" s="9" t="s">
        <v>89</v>
      </c>
      <c r="H2126" s="11" t="s">
        <v>25</v>
      </c>
      <c r="I2126" s="12" t="n">
        <v>70</v>
      </c>
      <c r="J2126" s="13" t="n">
        <v>425</v>
      </c>
      <c r="K2126" s="14" t="n">
        <f aca="false">I2126*J2126</f>
        <v>29750</v>
      </c>
      <c r="L2126" s="14" t="n">
        <f aca="false">($L$2*M2126)/100</f>
        <v>300416.625</v>
      </c>
      <c r="M2126" s="15" t="n">
        <v>0.25</v>
      </c>
      <c r="N2126" s="9" t="s">
        <v>85</v>
      </c>
    </row>
    <row r="2127" customFormat="false" ht="14.25" hidden="false" customHeight="true" outlineLevel="0" collapsed="false">
      <c r="B2127" s="9" t="s">
        <v>16</v>
      </c>
      <c r="C2127" s="9" t="n">
        <v>1128299</v>
      </c>
      <c r="D2127" s="10" t="n">
        <v>44431</v>
      </c>
      <c r="E2127" s="9" t="s">
        <v>33</v>
      </c>
      <c r="F2127" s="9" t="s">
        <v>88</v>
      </c>
      <c r="G2127" s="9" t="s">
        <v>89</v>
      </c>
      <c r="H2127" s="11" t="s">
        <v>19</v>
      </c>
      <c r="I2127" s="12" t="n">
        <v>55</v>
      </c>
      <c r="J2127" s="13" t="n">
        <v>625</v>
      </c>
      <c r="K2127" s="14" t="n">
        <f aca="false">I2127*J2127</f>
        <v>34375</v>
      </c>
      <c r="L2127" s="14" t="n">
        <f aca="false">($L$2*M2127)/100</f>
        <v>420583.275</v>
      </c>
      <c r="M2127" s="15" t="n">
        <v>0.35</v>
      </c>
      <c r="N2127" s="9" t="s">
        <v>85</v>
      </c>
    </row>
    <row r="2128" customFormat="false" ht="14.25" hidden="false" customHeight="true" outlineLevel="0" collapsed="false">
      <c r="B2128" s="9" t="s">
        <v>16</v>
      </c>
      <c r="C2128" s="9" t="n">
        <v>1128299</v>
      </c>
      <c r="D2128" s="10" t="n">
        <v>44431</v>
      </c>
      <c r="E2128" s="9" t="s">
        <v>33</v>
      </c>
      <c r="F2128" s="9" t="s">
        <v>88</v>
      </c>
      <c r="G2128" s="9" t="s">
        <v>89</v>
      </c>
      <c r="H2128" s="11" t="s">
        <v>21</v>
      </c>
      <c r="I2128" s="12" t="n">
        <v>60</v>
      </c>
      <c r="J2128" s="13" t="n">
        <v>575</v>
      </c>
      <c r="K2128" s="14" t="n">
        <f aca="false">I2128*J2128</f>
        <v>34500</v>
      </c>
      <c r="L2128" s="14" t="n">
        <f aca="false">($L$2*M2128)/100</f>
        <v>480666.6</v>
      </c>
      <c r="M2128" s="15" t="n">
        <v>0.4</v>
      </c>
      <c r="N2128" s="9" t="s">
        <v>85</v>
      </c>
    </row>
    <row r="2129" customFormat="false" ht="14.25" hidden="false" customHeight="true" outlineLevel="0" collapsed="false">
      <c r="B2129" s="9" t="s">
        <v>16</v>
      </c>
      <c r="C2129" s="9" t="n">
        <v>1128299</v>
      </c>
      <c r="D2129" s="10" t="n">
        <v>44431</v>
      </c>
      <c r="E2129" s="9" t="s">
        <v>33</v>
      </c>
      <c r="F2129" s="9" t="s">
        <v>88</v>
      </c>
      <c r="G2129" s="9" t="s">
        <v>89</v>
      </c>
      <c r="H2129" s="11" t="s">
        <v>22</v>
      </c>
      <c r="I2129" s="12" t="n">
        <v>55</v>
      </c>
      <c r="J2129" s="13" t="n">
        <v>450</v>
      </c>
      <c r="K2129" s="14" t="n">
        <f aca="false">I2129*J2129</f>
        <v>24750</v>
      </c>
      <c r="L2129" s="14" t="n">
        <f aca="false">($L$2*M2129)/100</f>
        <v>420583.275</v>
      </c>
      <c r="M2129" s="15" t="n">
        <v>0.35</v>
      </c>
      <c r="N2129" s="9" t="s">
        <v>85</v>
      </c>
    </row>
    <row r="2130" customFormat="false" ht="14.25" hidden="false" customHeight="true" outlineLevel="0" collapsed="false">
      <c r="B2130" s="9" t="s">
        <v>16</v>
      </c>
      <c r="C2130" s="9" t="n">
        <v>1128299</v>
      </c>
      <c r="D2130" s="10" t="n">
        <v>44431</v>
      </c>
      <c r="E2130" s="9" t="s">
        <v>33</v>
      </c>
      <c r="F2130" s="9" t="s">
        <v>88</v>
      </c>
      <c r="G2130" s="9" t="s">
        <v>89</v>
      </c>
      <c r="H2130" s="11" t="s">
        <v>23</v>
      </c>
      <c r="I2130" s="12" t="n">
        <v>55</v>
      </c>
      <c r="J2130" s="13" t="n">
        <v>400</v>
      </c>
      <c r="K2130" s="14" t="n">
        <f aca="false">I2130*J2130</f>
        <v>22000</v>
      </c>
      <c r="L2130" s="14" t="n">
        <f aca="false">($L$2*M2130)/100</f>
        <v>420583.275</v>
      </c>
      <c r="M2130" s="15" t="n">
        <v>0.35</v>
      </c>
      <c r="N2130" s="9" t="s">
        <v>85</v>
      </c>
    </row>
    <row r="2131" customFormat="false" ht="14.25" hidden="false" customHeight="true" outlineLevel="0" collapsed="false">
      <c r="B2131" s="9" t="s">
        <v>16</v>
      </c>
      <c r="C2131" s="9" t="n">
        <v>1128299</v>
      </c>
      <c r="D2131" s="10" t="n">
        <v>44431</v>
      </c>
      <c r="E2131" s="9" t="s">
        <v>33</v>
      </c>
      <c r="F2131" s="9" t="s">
        <v>88</v>
      </c>
      <c r="G2131" s="9" t="s">
        <v>89</v>
      </c>
      <c r="H2131" s="11" t="s">
        <v>24</v>
      </c>
      <c r="I2131" s="12" t="n">
        <v>65</v>
      </c>
      <c r="J2131" s="13" t="n">
        <v>400</v>
      </c>
      <c r="K2131" s="14" t="n">
        <f aca="false">I2131*J2131</f>
        <v>26000</v>
      </c>
      <c r="L2131" s="14" t="n">
        <f aca="false">($L$2*M2131)/100</f>
        <v>360499.95</v>
      </c>
      <c r="M2131" s="15" t="n">
        <v>0.3</v>
      </c>
      <c r="N2131" s="9" t="s">
        <v>85</v>
      </c>
    </row>
    <row r="2132" customFormat="false" ht="14.25" hidden="false" customHeight="true" outlineLevel="0" collapsed="false">
      <c r="B2132" s="9" t="s">
        <v>16</v>
      </c>
      <c r="C2132" s="9" t="n">
        <v>1128299</v>
      </c>
      <c r="D2132" s="10" t="n">
        <v>44431</v>
      </c>
      <c r="E2132" s="9" t="s">
        <v>33</v>
      </c>
      <c r="F2132" s="9" t="s">
        <v>88</v>
      </c>
      <c r="G2132" s="9" t="s">
        <v>89</v>
      </c>
      <c r="H2132" s="11" t="s">
        <v>25</v>
      </c>
      <c r="I2132" s="12" t="n">
        <v>70</v>
      </c>
      <c r="J2132" s="13" t="n">
        <v>375</v>
      </c>
      <c r="K2132" s="14" t="n">
        <f aca="false">I2132*J2132</f>
        <v>26250</v>
      </c>
      <c r="L2132" s="14" t="n">
        <f aca="false">($L$2*M2132)/100</f>
        <v>300416.625</v>
      </c>
      <c r="M2132" s="15" t="n">
        <v>0.25</v>
      </c>
      <c r="N2132" s="9" t="s">
        <v>85</v>
      </c>
    </row>
    <row r="2133" customFormat="false" ht="14.25" hidden="false" customHeight="true" outlineLevel="0" collapsed="false">
      <c r="B2133" s="9" t="s">
        <v>16</v>
      </c>
      <c r="C2133" s="9" t="n">
        <v>1128299</v>
      </c>
      <c r="D2133" s="10" t="n">
        <v>44463</v>
      </c>
      <c r="E2133" s="9" t="s">
        <v>33</v>
      </c>
      <c r="F2133" s="9" t="s">
        <v>88</v>
      </c>
      <c r="G2133" s="9" t="s">
        <v>89</v>
      </c>
      <c r="H2133" s="11" t="s">
        <v>19</v>
      </c>
      <c r="I2133" s="12" t="n">
        <v>45</v>
      </c>
      <c r="J2133" s="13" t="n">
        <v>575</v>
      </c>
      <c r="K2133" s="14" t="n">
        <f aca="false">I2133*J2133</f>
        <v>25875</v>
      </c>
      <c r="L2133" s="14" t="n">
        <f aca="false">($L$2*M2133)/100</f>
        <v>420583.275</v>
      </c>
      <c r="M2133" s="15" t="n">
        <v>0.35</v>
      </c>
      <c r="N2133" s="9" t="s">
        <v>85</v>
      </c>
    </row>
    <row r="2134" customFormat="false" ht="14.25" hidden="false" customHeight="true" outlineLevel="0" collapsed="false">
      <c r="B2134" s="9" t="s">
        <v>16</v>
      </c>
      <c r="C2134" s="9" t="n">
        <v>1128299</v>
      </c>
      <c r="D2134" s="10" t="n">
        <v>44463</v>
      </c>
      <c r="E2134" s="9" t="s">
        <v>33</v>
      </c>
      <c r="F2134" s="9" t="s">
        <v>88</v>
      </c>
      <c r="G2134" s="9" t="s">
        <v>89</v>
      </c>
      <c r="H2134" s="11" t="s">
        <v>21</v>
      </c>
      <c r="I2134" s="12" t="n">
        <v>50</v>
      </c>
      <c r="J2134" s="13" t="n">
        <v>575</v>
      </c>
      <c r="K2134" s="14" t="n">
        <f aca="false">I2134*J2134</f>
        <v>28750</v>
      </c>
      <c r="L2134" s="14" t="n">
        <f aca="false">($L$2*M2134)/100</f>
        <v>480666.6</v>
      </c>
      <c r="M2134" s="15" t="n">
        <v>0.4</v>
      </c>
      <c r="N2134" s="9" t="s">
        <v>85</v>
      </c>
    </row>
    <row r="2135" customFormat="false" ht="14.25" hidden="false" customHeight="true" outlineLevel="0" collapsed="false">
      <c r="B2135" s="9" t="s">
        <v>16</v>
      </c>
      <c r="C2135" s="9" t="n">
        <v>1128299</v>
      </c>
      <c r="D2135" s="10" t="n">
        <v>44463</v>
      </c>
      <c r="E2135" s="9" t="s">
        <v>33</v>
      </c>
      <c r="F2135" s="9" t="s">
        <v>88</v>
      </c>
      <c r="G2135" s="9" t="s">
        <v>89</v>
      </c>
      <c r="H2135" s="11" t="s">
        <v>22</v>
      </c>
      <c r="I2135" s="12" t="n">
        <v>45</v>
      </c>
      <c r="J2135" s="13" t="n">
        <v>425</v>
      </c>
      <c r="K2135" s="14" t="n">
        <f aca="false">I2135*J2135</f>
        <v>19125</v>
      </c>
      <c r="L2135" s="14" t="n">
        <f aca="false">($L$2*M2135)/100</f>
        <v>420583.275</v>
      </c>
      <c r="M2135" s="15" t="n">
        <v>0.35</v>
      </c>
      <c r="N2135" s="9" t="s">
        <v>85</v>
      </c>
    </row>
    <row r="2136" customFormat="false" ht="14.25" hidden="false" customHeight="true" outlineLevel="0" collapsed="false">
      <c r="B2136" s="9" t="s">
        <v>16</v>
      </c>
      <c r="C2136" s="9" t="n">
        <v>1128299</v>
      </c>
      <c r="D2136" s="10" t="n">
        <v>44463</v>
      </c>
      <c r="E2136" s="9" t="s">
        <v>33</v>
      </c>
      <c r="F2136" s="9" t="s">
        <v>88</v>
      </c>
      <c r="G2136" s="9" t="s">
        <v>89</v>
      </c>
      <c r="H2136" s="11" t="s">
        <v>23</v>
      </c>
      <c r="I2136" s="12" t="n">
        <v>45</v>
      </c>
      <c r="J2136" s="13" t="n">
        <v>375</v>
      </c>
      <c r="K2136" s="14" t="n">
        <f aca="false">I2136*J2136</f>
        <v>16875</v>
      </c>
      <c r="L2136" s="14" t="n">
        <f aca="false">($L$2*M2136)/100</f>
        <v>420583.275</v>
      </c>
      <c r="M2136" s="15" t="n">
        <v>0.35</v>
      </c>
      <c r="N2136" s="9" t="s">
        <v>85</v>
      </c>
    </row>
    <row r="2137" customFormat="false" ht="14.25" hidden="false" customHeight="true" outlineLevel="0" collapsed="false">
      <c r="B2137" s="9" t="s">
        <v>16</v>
      </c>
      <c r="C2137" s="9" t="n">
        <v>1128299</v>
      </c>
      <c r="D2137" s="10" t="n">
        <v>44463</v>
      </c>
      <c r="E2137" s="9" t="s">
        <v>33</v>
      </c>
      <c r="F2137" s="9" t="s">
        <v>88</v>
      </c>
      <c r="G2137" s="9" t="s">
        <v>89</v>
      </c>
      <c r="H2137" s="11" t="s">
        <v>24</v>
      </c>
      <c r="I2137" s="12" t="n">
        <v>55</v>
      </c>
      <c r="J2137" s="13" t="n">
        <v>375</v>
      </c>
      <c r="K2137" s="14" t="n">
        <f aca="false">I2137*J2137</f>
        <v>20625</v>
      </c>
      <c r="L2137" s="14" t="n">
        <f aca="false">($L$2*M2137)/100</f>
        <v>360499.95</v>
      </c>
      <c r="M2137" s="15" t="n">
        <v>0.3</v>
      </c>
      <c r="N2137" s="9" t="s">
        <v>85</v>
      </c>
    </row>
    <row r="2138" customFormat="false" ht="14.25" hidden="false" customHeight="true" outlineLevel="0" collapsed="false">
      <c r="B2138" s="9" t="s">
        <v>16</v>
      </c>
      <c r="C2138" s="9" t="n">
        <v>1128299</v>
      </c>
      <c r="D2138" s="10" t="n">
        <v>44463</v>
      </c>
      <c r="E2138" s="9" t="s">
        <v>33</v>
      </c>
      <c r="F2138" s="9" t="s">
        <v>88</v>
      </c>
      <c r="G2138" s="9" t="s">
        <v>89</v>
      </c>
      <c r="H2138" s="11" t="s">
        <v>25</v>
      </c>
      <c r="I2138" s="12" t="n">
        <v>60</v>
      </c>
      <c r="J2138" s="13" t="n">
        <v>425</v>
      </c>
      <c r="K2138" s="14" t="n">
        <f aca="false">I2138*J2138</f>
        <v>25500</v>
      </c>
      <c r="L2138" s="14" t="n">
        <f aca="false">($L$2*M2138)/100</f>
        <v>300416.625</v>
      </c>
      <c r="M2138" s="15" t="n">
        <v>0.25</v>
      </c>
      <c r="N2138" s="9" t="s">
        <v>85</v>
      </c>
    </row>
    <row r="2139" customFormat="false" ht="14.25" hidden="false" customHeight="true" outlineLevel="0" collapsed="false">
      <c r="B2139" s="9" t="s">
        <v>16</v>
      </c>
      <c r="C2139" s="9" t="n">
        <v>1128299</v>
      </c>
      <c r="D2139" s="10" t="n">
        <v>44492</v>
      </c>
      <c r="E2139" s="9" t="s">
        <v>33</v>
      </c>
      <c r="F2139" s="9" t="s">
        <v>88</v>
      </c>
      <c r="G2139" s="9" t="s">
        <v>89</v>
      </c>
      <c r="H2139" s="11" t="s">
        <v>19</v>
      </c>
      <c r="I2139" s="12" t="n">
        <v>45</v>
      </c>
      <c r="J2139" s="13" t="n">
        <v>500</v>
      </c>
      <c r="K2139" s="14" t="n">
        <f aca="false">I2139*J2139</f>
        <v>22500</v>
      </c>
      <c r="L2139" s="14" t="n">
        <f aca="false">($L$2*M2139)/100</f>
        <v>420583.275</v>
      </c>
      <c r="M2139" s="15" t="n">
        <v>0.35</v>
      </c>
      <c r="N2139" s="9" t="s">
        <v>85</v>
      </c>
    </row>
    <row r="2140" customFormat="false" ht="14.25" hidden="false" customHeight="true" outlineLevel="0" collapsed="false">
      <c r="B2140" s="9" t="s">
        <v>16</v>
      </c>
      <c r="C2140" s="9" t="n">
        <v>1128299</v>
      </c>
      <c r="D2140" s="10" t="n">
        <v>44492</v>
      </c>
      <c r="E2140" s="9" t="s">
        <v>33</v>
      </c>
      <c r="F2140" s="9" t="s">
        <v>88</v>
      </c>
      <c r="G2140" s="9" t="s">
        <v>89</v>
      </c>
      <c r="H2140" s="11" t="s">
        <v>21</v>
      </c>
      <c r="I2140" s="12" t="n">
        <v>50</v>
      </c>
      <c r="J2140" s="13" t="n">
        <v>500</v>
      </c>
      <c r="K2140" s="14" t="n">
        <f aca="false">I2140*J2140</f>
        <v>25000</v>
      </c>
      <c r="L2140" s="14" t="n">
        <f aca="false">($L$2*M2140)/100</f>
        <v>480666.6</v>
      </c>
      <c r="M2140" s="15" t="n">
        <v>0.4</v>
      </c>
      <c r="N2140" s="9" t="s">
        <v>85</v>
      </c>
    </row>
    <row r="2141" customFormat="false" ht="14.25" hidden="false" customHeight="true" outlineLevel="0" collapsed="false">
      <c r="B2141" s="9" t="s">
        <v>16</v>
      </c>
      <c r="C2141" s="9" t="n">
        <v>1128299</v>
      </c>
      <c r="D2141" s="10" t="n">
        <v>44492</v>
      </c>
      <c r="E2141" s="9" t="s">
        <v>33</v>
      </c>
      <c r="F2141" s="9" t="s">
        <v>88</v>
      </c>
      <c r="G2141" s="9" t="s">
        <v>89</v>
      </c>
      <c r="H2141" s="11" t="s">
        <v>22</v>
      </c>
      <c r="I2141" s="12" t="n">
        <v>45</v>
      </c>
      <c r="J2141" s="13" t="n">
        <v>325</v>
      </c>
      <c r="K2141" s="14" t="n">
        <f aca="false">I2141*J2141</f>
        <v>14625</v>
      </c>
      <c r="L2141" s="14" t="n">
        <f aca="false">($L$2*M2141)/100</f>
        <v>420583.275</v>
      </c>
      <c r="M2141" s="15" t="n">
        <v>0.35</v>
      </c>
      <c r="N2141" s="9" t="s">
        <v>85</v>
      </c>
    </row>
    <row r="2142" customFormat="false" ht="14.25" hidden="false" customHeight="true" outlineLevel="0" collapsed="false">
      <c r="B2142" s="9" t="s">
        <v>16</v>
      </c>
      <c r="C2142" s="9" t="n">
        <v>1128299</v>
      </c>
      <c r="D2142" s="10" t="n">
        <v>44492</v>
      </c>
      <c r="E2142" s="9" t="s">
        <v>33</v>
      </c>
      <c r="F2142" s="9" t="s">
        <v>88</v>
      </c>
      <c r="G2142" s="9" t="s">
        <v>89</v>
      </c>
      <c r="H2142" s="11" t="s">
        <v>23</v>
      </c>
      <c r="I2142" s="12" t="n">
        <v>45</v>
      </c>
      <c r="J2142" s="13" t="n">
        <v>300</v>
      </c>
      <c r="K2142" s="14" t="n">
        <f aca="false">I2142*J2142</f>
        <v>13500</v>
      </c>
      <c r="L2142" s="14" t="n">
        <f aca="false">($L$2*M2142)/100</f>
        <v>420583.275</v>
      </c>
      <c r="M2142" s="15" t="n">
        <v>0.35</v>
      </c>
      <c r="N2142" s="9" t="s">
        <v>85</v>
      </c>
    </row>
    <row r="2143" customFormat="false" ht="14.25" hidden="false" customHeight="true" outlineLevel="0" collapsed="false">
      <c r="B2143" s="9" t="s">
        <v>16</v>
      </c>
      <c r="C2143" s="9" t="n">
        <v>1128299</v>
      </c>
      <c r="D2143" s="10" t="n">
        <v>44492</v>
      </c>
      <c r="E2143" s="9" t="s">
        <v>33</v>
      </c>
      <c r="F2143" s="9" t="s">
        <v>88</v>
      </c>
      <c r="G2143" s="9" t="s">
        <v>89</v>
      </c>
      <c r="H2143" s="11" t="s">
        <v>24</v>
      </c>
      <c r="I2143" s="12" t="n">
        <v>55</v>
      </c>
      <c r="J2143" s="13" t="n">
        <v>275</v>
      </c>
      <c r="K2143" s="14" t="n">
        <f aca="false">I2143*J2143</f>
        <v>15125</v>
      </c>
      <c r="L2143" s="14" t="n">
        <f aca="false">($L$2*M2143)/100</f>
        <v>360499.95</v>
      </c>
      <c r="M2143" s="15" t="n">
        <v>0.3</v>
      </c>
      <c r="N2143" s="9" t="s">
        <v>85</v>
      </c>
    </row>
    <row r="2144" customFormat="false" ht="14.25" hidden="false" customHeight="true" outlineLevel="0" collapsed="false">
      <c r="B2144" s="9" t="s">
        <v>16</v>
      </c>
      <c r="C2144" s="9" t="n">
        <v>1128299</v>
      </c>
      <c r="D2144" s="10" t="n">
        <v>44492</v>
      </c>
      <c r="E2144" s="9" t="s">
        <v>33</v>
      </c>
      <c r="F2144" s="9" t="s">
        <v>88</v>
      </c>
      <c r="G2144" s="9" t="s">
        <v>89</v>
      </c>
      <c r="H2144" s="11" t="s">
        <v>25</v>
      </c>
      <c r="I2144" s="12" t="n">
        <v>60</v>
      </c>
      <c r="J2144" s="13" t="n">
        <v>325</v>
      </c>
      <c r="K2144" s="14" t="n">
        <f aca="false">I2144*J2144</f>
        <v>19500</v>
      </c>
      <c r="L2144" s="14" t="n">
        <f aca="false">($L$2*M2144)/100</f>
        <v>300416.625</v>
      </c>
      <c r="M2144" s="15" t="n">
        <v>0.25</v>
      </c>
      <c r="N2144" s="9" t="s">
        <v>85</v>
      </c>
    </row>
    <row r="2145" customFormat="false" ht="14.25" hidden="false" customHeight="true" outlineLevel="0" collapsed="false">
      <c r="B2145" s="9" t="s">
        <v>16</v>
      </c>
      <c r="C2145" s="9" t="n">
        <v>1128299</v>
      </c>
      <c r="D2145" s="10" t="n">
        <v>44523</v>
      </c>
      <c r="E2145" s="9" t="s">
        <v>33</v>
      </c>
      <c r="F2145" s="9" t="s">
        <v>88</v>
      </c>
      <c r="G2145" s="9" t="s">
        <v>89</v>
      </c>
      <c r="H2145" s="11" t="s">
        <v>19</v>
      </c>
      <c r="I2145" s="12" t="n">
        <v>45</v>
      </c>
      <c r="J2145" s="13" t="n">
        <v>500</v>
      </c>
      <c r="K2145" s="14" t="n">
        <f aca="false">I2145*J2145</f>
        <v>22500</v>
      </c>
      <c r="L2145" s="14" t="n">
        <f aca="false">($L$2*M2145)/100</f>
        <v>420583.275</v>
      </c>
      <c r="M2145" s="15" t="n">
        <v>0.35</v>
      </c>
      <c r="N2145" s="9" t="s">
        <v>85</v>
      </c>
    </row>
    <row r="2146" customFormat="false" ht="14.25" hidden="false" customHeight="true" outlineLevel="0" collapsed="false">
      <c r="B2146" s="9" t="s">
        <v>16</v>
      </c>
      <c r="C2146" s="9" t="n">
        <v>1128299</v>
      </c>
      <c r="D2146" s="10" t="n">
        <v>44523</v>
      </c>
      <c r="E2146" s="9" t="s">
        <v>33</v>
      </c>
      <c r="F2146" s="9" t="s">
        <v>88</v>
      </c>
      <c r="G2146" s="9" t="s">
        <v>89</v>
      </c>
      <c r="H2146" s="11" t="s">
        <v>21</v>
      </c>
      <c r="I2146" s="12" t="n">
        <v>50</v>
      </c>
      <c r="J2146" s="13" t="n">
        <v>525</v>
      </c>
      <c r="K2146" s="14" t="n">
        <f aca="false">I2146*J2146</f>
        <v>26250</v>
      </c>
      <c r="L2146" s="14" t="n">
        <f aca="false">($L$2*M2146)/100</f>
        <v>480666.6</v>
      </c>
      <c r="M2146" s="15" t="n">
        <v>0.4</v>
      </c>
      <c r="N2146" s="9" t="s">
        <v>85</v>
      </c>
    </row>
    <row r="2147" customFormat="false" ht="14.25" hidden="false" customHeight="true" outlineLevel="0" collapsed="false">
      <c r="B2147" s="9" t="s">
        <v>16</v>
      </c>
      <c r="C2147" s="9" t="n">
        <v>1128299</v>
      </c>
      <c r="D2147" s="10" t="n">
        <v>44523</v>
      </c>
      <c r="E2147" s="9" t="s">
        <v>33</v>
      </c>
      <c r="F2147" s="9" t="s">
        <v>88</v>
      </c>
      <c r="G2147" s="9" t="s">
        <v>89</v>
      </c>
      <c r="H2147" s="11" t="s">
        <v>22</v>
      </c>
      <c r="I2147" s="12" t="n">
        <v>45</v>
      </c>
      <c r="J2147" s="13" t="n">
        <v>375</v>
      </c>
      <c r="K2147" s="14" t="n">
        <f aca="false">I2147*J2147</f>
        <v>16875</v>
      </c>
      <c r="L2147" s="14" t="n">
        <f aca="false">($L$2*M2147)/100</f>
        <v>420583.275</v>
      </c>
      <c r="M2147" s="15" t="n">
        <v>0.35</v>
      </c>
      <c r="N2147" s="9" t="s">
        <v>85</v>
      </c>
    </row>
    <row r="2148" customFormat="false" ht="14.25" hidden="false" customHeight="true" outlineLevel="0" collapsed="false">
      <c r="B2148" s="9" t="s">
        <v>16</v>
      </c>
      <c r="C2148" s="9" t="n">
        <v>1128299</v>
      </c>
      <c r="D2148" s="10" t="n">
        <v>44523</v>
      </c>
      <c r="E2148" s="9" t="s">
        <v>33</v>
      </c>
      <c r="F2148" s="9" t="s">
        <v>88</v>
      </c>
      <c r="G2148" s="9" t="s">
        <v>89</v>
      </c>
      <c r="H2148" s="11" t="s">
        <v>23</v>
      </c>
      <c r="I2148" s="12" t="n">
        <v>45</v>
      </c>
      <c r="J2148" s="13" t="n">
        <v>350</v>
      </c>
      <c r="K2148" s="14" t="n">
        <f aca="false">I2148*J2148</f>
        <v>15750</v>
      </c>
      <c r="L2148" s="14" t="n">
        <f aca="false">($L$2*M2148)/100</f>
        <v>420583.275</v>
      </c>
      <c r="M2148" s="15" t="n">
        <v>0.35</v>
      </c>
      <c r="N2148" s="9" t="s">
        <v>85</v>
      </c>
    </row>
    <row r="2149" customFormat="false" ht="14.25" hidden="false" customHeight="true" outlineLevel="0" collapsed="false">
      <c r="B2149" s="9" t="s">
        <v>16</v>
      </c>
      <c r="C2149" s="9" t="n">
        <v>1128299</v>
      </c>
      <c r="D2149" s="10" t="n">
        <v>44523</v>
      </c>
      <c r="E2149" s="9" t="s">
        <v>33</v>
      </c>
      <c r="F2149" s="9" t="s">
        <v>88</v>
      </c>
      <c r="G2149" s="9" t="s">
        <v>89</v>
      </c>
      <c r="H2149" s="11" t="s">
        <v>24</v>
      </c>
      <c r="I2149" s="12" t="n">
        <v>55</v>
      </c>
      <c r="J2149" s="13" t="n">
        <v>300</v>
      </c>
      <c r="K2149" s="14" t="n">
        <f aca="false">I2149*J2149</f>
        <v>16500</v>
      </c>
      <c r="L2149" s="14" t="n">
        <f aca="false">($L$2*M2149)/100</f>
        <v>360499.95</v>
      </c>
      <c r="M2149" s="15" t="n">
        <v>0.3</v>
      </c>
      <c r="N2149" s="9" t="s">
        <v>85</v>
      </c>
    </row>
    <row r="2150" customFormat="false" ht="14.25" hidden="false" customHeight="true" outlineLevel="0" collapsed="false">
      <c r="B2150" s="9" t="s">
        <v>16</v>
      </c>
      <c r="C2150" s="9" t="n">
        <v>1128299</v>
      </c>
      <c r="D2150" s="10" t="n">
        <v>44523</v>
      </c>
      <c r="E2150" s="9" t="s">
        <v>33</v>
      </c>
      <c r="F2150" s="9" t="s">
        <v>88</v>
      </c>
      <c r="G2150" s="9" t="s">
        <v>89</v>
      </c>
      <c r="H2150" s="11" t="s">
        <v>25</v>
      </c>
      <c r="I2150" s="12" t="n">
        <v>60</v>
      </c>
      <c r="J2150" s="13" t="n">
        <v>425</v>
      </c>
      <c r="K2150" s="14" t="n">
        <f aca="false">I2150*J2150</f>
        <v>25500</v>
      </c>
      <c r="L2150" s="14" t="n">
        <f aca="false">($L$2*M2150)/100</f>
        <v>300416.625</v>
      </c>
      <c r="M2150" s="15" t="n">
        <v>0.25</v>
      </c>
      <c r="N2150" s="9" t="s">
        <v>85</v>
      </c>
    </row>
    <row r="2151" customFormat="false" ht="14.25" hidden="false" customHeight="true" outlineLevel="0" collapsed="false">
      <c r="B2151" s="9" t="s">
        <v>16</v>
      </c>
      <c r="C2151" s="9" t="n">
        <v>1128299</v>
      </c>
      <c r="D2151" s="10" t="n">
        <v>44552</v>
      </c>
      <c r="E2151" s="9" t="s">
        <v>33</v>
      </c>
      <c r="F2151" s="9" t="s">
        <v>88</v>
      </c>
      <c r="G2151" s="9" t="s">
        <v>89</v>
      </c>
      <c r="H2151" s="11" t="s">
        <v>19</v>
      </c>
      <c r="I2151" s="12" t="n">
        <v>45</v>
      </c>
      <c r="J2151" s="13" t="n">
        <v>625</v>
      </c>
      <c r="K2151" s="14" t="n">
        <f aca="false">I2151*J2151</f>
        <v>28125</v>
      </c>
      <c r="L2151" s="14" t="n">
        <f aca="false">($L$2*M2151)/100</f>
        <v>420583.275</v>
      </c>
      <c r="M2151" s="15" t="n">
        <v>0.35</v>
      </c>
      <c r="N2151" s="9" t="s">
        <v>85</v>
      </c>
    </row>
    <row r="2152" customFormat="false" ht="14.25" hidden="false" customHeight="true" outlineLevel="0" collapsed="false">
      <c r="B2152" s="9" t="s">
        <v>16</v>
      </c>
      <c r="C2152" s="9" t="n">
        <v>1128299</v>
      </c>
      <c r="D2152" s="10" t="n">
        <v>44552</v>
      </c>
      <c r="E2152" s="9" t="s">
        <v>33</v>
      </c>
      <c r="F2152" s="9" t="s">
        <v>88</v>
      </c>
      <c r="G2152" s="9" t="s">
        <v>89</v>
      </c>
      <c r="H2152" s="11" t="s">
        <v>21</v>
      </c>
      <c r="I2152" s="12" t="n">
        <v>50</v>
      </c>
      <c r="J2152" s="13" t="n">
        <v>625</v>
      </c>
      <c r="K2152" s="14" t="n">
        <f aca="false">I2152*J2152</f>
        <v>31250</v>
      </c>
      <c r="L2152" s="14" t="n">
        <f aca="false">($L$2*M2152)/100</f>
        <v>480666.6</v>
      </c>
      <c r="M2152" s="15" t="n">
        <v>0.4</v>
      </c>
      <c r="N2152" s="9" t="s">
        <v>85</v>
      </c>
    </row>
    <row r="2153" customFormat="false" ht="14.25" hidden="false" customHeight="true" outlineLevel="0" collapsed="false">
      <c r="B2153" s="9" t="s">
        <v>36</v>
      </c>
      <c r="C2153" s="9" t="n">
        <v>1128299</v>
      </c>
      <c r="D2153" s="10" t="n">
        <v>44552</v>
      </c>
      <c r="E2153" s="9" t="s">
        <v>33</v>
      </c>
      <c r="F2153" s="9" t="s">
        <v>88</v>
      </c>
      <c r="G2153" s="9" t="s">
        <v>89</v>
      </c>
      <c r="H2153" s="11" t="s">
        <v>22</v>
      </c>
      <c r="I2153" s="12" t="n">
        <v>45</v>
      </c>
      <c r="J2153" s="13" t="n">
        <v>425</v>
      </c>
      <c r="K2153" s="14" t="n">
        <f aca="false">I2153*J2153</f>
        <v>19125</v>
      </c>
      <c r="L2153" s="14" t="n">
        <f aca="false">($L$2*M2153)/100</f>
        <v>420583.275</v>
      </c>
      <c r="M2153" s="15" t="n">
        <v>0.35</v>
      </c>
      <c r="N2153" s="9" t="s">
        <v>85</v>
      </c>
    </row>
    <row r="2154" customFormat="false" ht="14.25" hidden="false" customHeight="true" outlineLevel="0" collapsed="false">
      <c r="B2154" s="9" t="s">
        <v>36</v>
      </c>
      <c r="C2154" s="9" t="n">
        <v>1128299</v>
      </c>
      <c r="D2154" s="10" t="n">
        <v>44552</v>
      </c>
      <c r="E2154" s="9" t="s">
        <v>33</v>
      </c>
      <c r="F2154" s="9" t="s">
        <v>88</v>
      </c>
      <c r="G2154" s="9" t="s">
        <v>89</v>
      </c>
      <c r="H2154" s="11" t="s">
        <v>23</v>
      </c>
      <c r="I2154" s="12" t="n">
        <v>45</v>
      </c>
      <c r="J2154" s="13" t="n">
        <v>425</v>
      </c>
      <c r="K2154" s="14" t="n">
        <f aca="false">I2154*J2154</f>
        <v>19125</v>
      </c>
      <c r="L2154" s="14" t="n">
        <f aca="false">($L$2*M2154)/100</f>
        <v>420583.275</v>
      </c>
      <c r="M2154" s="15" t="n">
        <v>0.35</v>
      </c>
      <c r="N2154" s="9" t="s">
        <v>85</v>
      </c>
    </row>
    <row r="2155" customFormat="false" ht="14.25" hidden="false" customHeight="true" outlineLevel="0" collapsed="false">
      <c r="B2155" s="9" t="s">
        <v>36</v>
      </c>
      <c r="C2155" s="9" t="n">
        <v>1128299</v>
      </c>
      <c r="D2155" s="10" t="n">
        <v>44552</v>
      </c>
      <c r="E2155" s="9" t="s">
        <v>33</v>
      </c>
      <c r="F2155" s="9" t="s">
        <v>88</v>
      </c>
      <c r="G2155" s="9" t="s">
        <v>89</v>
      </c>
      <c r="H2155" s="11" t="s">
        <v>24</v>
      </c>
      <c r="I2155" s="12" t="n">
        <v>55</v>
      </c>
      <c r="J2155" s="13" t="n">
        <v>350</v>
      </c>
      <c r="K2155" s="14" t="n">
        <f aca="false">I2155*J2155</f>
        <v>19250</v>
      </c>
      <c r="L2155" s="14" t="n">
        <f aca="false">($L$2*M2155)/100</f>
        <v>360499.95</v>
      </c>
      <c r="M2155" s="15" t="n">
        <v>0.3</v>
      </c>
      <c r="N2155" s="9" t="s">
        <v>85</v>
      </c>
    </row>
    <row r="2156" customFormat="false" ht="14.25" hidden="false" customHeight="true" outlineLevel="0" collapsed="false">
      <c r="B2156" s="9" t="s">
        <v>36</v>
      </c>
      <c r="C2156" s="9" t="n">
        <v>1128299</v>
      </c>
      <c r="D2156" s="10" t="n">
        <v>44552</v>
      </c>
      <c r="E2156" s="9" t="s">
        <v>33</v>
      </c>
      <c r="F2156" s="9" t="s">
        <v>88</v>
      </c>
      <c r="G2156" s="9" t="s">
        <v>89</v>
      </c>
      <c r="H2156" s="11" t="s">
        <v>25</v>
      </c>
      <c r="I2156" s="12" t="n">
        <v>60</v>
      </c>
      <c r="J2156" s="13" t="n">
        <v>450</v>
      </c>
      <c r="K2156" s="14" t="n">
        <f aca="false">I2156*J2156</f>
        <v>27000</v>
      </c>
      <c r="L2156" s="14" t="n">
        <f aca="false">($L$2*M2156)/100</f>
        <v>300416.625</v>
      </c>
      <c r="M2156" s="15" t="n">
        <v>0.25</v>
      </c>
      <c r="N2156" s="9" t="s">
        <v>85</v>
      </c>
    </row>
    <row r="2157" customFormat="false" ht="14.25" hidden="false" customHeight="true" outlineLevel="0" collapsed="false">
      <c r="B2157" s="9" t="s">
        <v>36</v>
      </c>
      <c r="C2157" s="9" t="n">
        <v>1128299</v>
      </c>
      <c r="D2157" s="10" t="n">
        <v>44222</v>
      </c>
      <c r="E2157" s="9" t="s">
        <v>33</v>
      </c>
      <c r="F2157" s="9" t="s">
        <v>88</v>
      </c>
      <c r="G2157" s="9" t="s">
        <v>89</v>
      </c>
      <c r="H2157" s="11" t="s">
        <v>19</v>
      </c>
      <c r="I2157" s="12" t="n">
        <v>35</v>
      </c>
      <c r="J2157" s="13" t="n">
        <v>475</v>
      </c>
      <c r="K2157" s="14" t="n">
        <f aca="false">I2157*J2157</f>
        <v>16625</v>
      </c>
      <c r="L2157" s="14" t="n">
        <f aca="false">($L$2*M2157)/100</f>
        <v>420583.275</v>
      </c>
      <c r="M2157" s="15" t="n">
        <v>0.35</v>
      </c>
      <c r="N2157" s="9" t="s">
        <v>85</v>
      </c>
    </row>
    <row r="2158" customFormat="false" ht="14.25" hidden="false" customHeight="true" outlineLevel="0" collapsed="false">
      <c r="B2158" s="9" t="s">
        <v>36</v>
      </c>
      <c r="C2158" s="9" t="n">
        <v>1128299</v>
      </c>
      <c r="D2158" s="10" t="n">
        <v>44222</v>
      </c>
      <c r="E2158" s="9" t="s">
        <v>33</v>
      </c>
      <c r="F2158" s="9" t="s">
        <v>88</v>
      </c>
      <c r="G2158" s="9" t="s">
        <v>89</v>
      </c>
      <c r="H2158" s="11" t="s">
        <v>21</v>
      </c>
      <c r="I2158" s="12" t="n">
        <v>45</v>
      </c>
      <c r="J2158" s="13" t="n">
        <v>475</v>
      </c>
      <c r="K2158" s="14" t="n">
        <f aca="false">I2158*J2158</f>
        <v>21375</v>
      </c>
      <c r="L2158" s="14" t="n">
        <f aca="false">($L$2*M2158)/100</f>
        <v>480666.6</v>
      </c>
      <c r="M2158" s="15" t="n">
        <v>0.4</v>
      </c>
      <c r="N2158" s="9" t="s">
        <v>85</v>
      </c>
    </row>
    <row r="2159" customFormat="false" ht="14.25" hidden="false" customHeight="true" outlineLevel="0" collapsed="false">
      <c r="B2159" s="9" t="s">
        <v>36</v>
      </c>
      <c r="C2159" s="9" t="n">
        <v>1128299</v>
      </c>
      <c r="D2159" s="10" t="n">
        <v>44222</v>
      </c>
      <c r="E2159" s="9" t="s">
        <v>33</v>
      </c>
      <c r="F2159" s="9" t="s">
        <v>88</v>
      </c>
      <c r="G2159" s="9" t="s">
        <v>89</v>
      </c>
      <c r="H2159" s="11" t="s">
        <v>22</v>
      </c>
      <c r="I2159" s="12" t="n">
        <v>45</v>
      </c>
      <c r="J2159" s="13" t="n">
        <v>475</v>
      </c>
      <c r="K2159" s="14" t="n">
        <f aca="false">I2159*J2159</f>
        <v>21375</v>
      </c>
      <c r="L2159" s="14" t="n">
        <f aca="false">($L$2*M2159)/100</f>
        <v>420583.275</v>
      </c>
      <c r="M2159" s="15" t="n">
        <v>0.35</v>
      </c>
      <c r="N2159" s="9" t="s">
        <v>85</v>
      </c>
    </row>
    <row r="2160" customFormat="false" ht="14.25" hidden="false" customHeight="true" outlineLevel="0" collapsed="false">
      <c r="B2160" s="9" t="s">
        <v>36</v>
      </c>
      <c r="C2160" s="9" t="n">
        <v>1128299</v>
      </c>
      <c r="D2160" s="10" t="n">
        <v>44222</v>
      </c>
      <c r="E2160" s="9" t="s">
        <v>33</v>
      </c>
      <c r="F2160" s="9" t="s">
        <v>88</v>
      </c>
      <c r="G2160" s="9" t="s">
        <v>89</v>
      </c>
      <c r="H2160" s="11" t="s">
        <v>23</v>
      </c>
      <c r="I2160" s="12" t="n">
        <v>45</v>
      </c>
      <c r="J2160" s="13" t="n">
        <v>325</v>
      </c>
      <c r="K2160" s="14" t="n">
        <f aca="false">I2160*J2160</f>
        <v>14625</v>
      </c>
      <c r="L2160" s="14" t="n">
        <f aca="false">($L$2*M2160)/100</f>
        <v>420583.275</v>
      </c>
      <c r="M2160" s="15" t="n">
        <v>0.35</v>
      </c>
      <c r="N2160" s="9" t="s">
        <v>85</v>
      </c>
    </row>
    <row r="2161" customFormat="false" ht="14.25" hidden="false" customHeight="true" outlineLevel="0" collapsed="false">
      <c r="B2161" s="9" t="s">
        <v>36</v>
      </c>
      <c r="C2161" s="9" t="n">
        <v>1128299</v>
      </c>
      <c r="D2161" s="10" t="n">
        <v>44222</v>
      </c>
      <c r="E2161" s="9" t="s">
        <v>33</v>
      </c>
      <c r="F2161" s="9" t="s">
        <v>88</v>
      </c>
      <c r="G2161" s="9" t="s">
        <v>89</v>
      </c>
      <c r="H2161" s="11" t="s">
        <v>24</v>
      </c>
      <c r="I2161" s="12" t="n">
        <v>50</v>
      </c>
      <c r="J2161" s="13" t="n">
        <v>275</v>
      </c>
      <c r="K2161" s="14" t="n">
        <f aca="false">I2161*J2161</f>
        <v>13750</v>
      </c>
      <c r="L2161" s="14" t="n">
        <f aca="false">($L$2*M2161)/100</f>
        <v>360499.95</v>
      </c>
      <c r="M2161" s="15" t="n">
        <v>0.3</v>
      </c>
      <c r="N2161" s="9" t="s">
        <v>85</v>
      </c>
    </row>
    <row r="2162" customFormat="false" ht="14.25" hidden="false" customHeight="true" outlineLevel="0" collapsed="false">
      <c r="B2162" s="9" t="s">
        <v>36</v>
      </c>
      <c r="C2162" s="9" t="n">
        <v>1128299</v>
      </c>
      <c r="D2162" s="10" t="n">
        <v>44222</v>
      </c>
      <c r="E2162" s="9" t="s">
        <v>33</v>
      </c>
      <c r="F2162" s="9" t="s">
        <v>88</v>
      </c>
      <c r="G2162" s="9" t="s">
        <v>89</v>
      </c>
      <c r="H2162" s="11" t="s">
        <v>25</v>
      </c>
      <c r="I2162" s="12" t="n">
        <v>45</v>
      </c>
      <c r="J2162" s="13" t="n">
        <v>475</v>
      </c>
      <c r="K2162" s="14" t="n">
        <f aca="false">I2162*J2162</f>
        <v>21375</v>
      </c>
      <c r="L2162" s="14" t="n">
        <f aca="false">($L$2*M2162)/100</f>
        <v>300416.625</v>
      </c>
      <c r="M2162" s="15" t="n">
        <v>0.25</v>
      </c>
      <c r="N2162" s="9" t="s">
        <v>85</v>
      </c>
    </row>
    <row r="2163" customFormat="false" ht="14.25" hidden="false" customHeight="true" outlineLevel="0" collapsed="false">
      <c r="B2163" s="9" t="s">
        <v>36</v>
      </c>
      <c r="C2163" s="9" t="n">
        <v>1128299</v>
      </c>
      <c r="D2163" s="10" t="n">
        <v>44253</v>
      </c>
      <c r="E2163" s="9" t="s">
        <v>33</v>
      </c>
      <c r="F2163" s="9" t="s">
        <v>88</v>
      </c>
      <c r="G2163" s="9" t="s">
        <v>89</v>
      </c>
      <c r="H2163" s="11" t="s">
        <v>19</v>
      </c>
      <c r="I2163" s="12" t="n">
        <v>35</v>
      </c>
      <c r="J2163" s="13" t="n">
        <v>525</v>
      </c>
      <c r="K2163" s="14" t="n">
        <f aca="false">I2163*J2163</f>
        <v>18375</v>
      </c>
      <c r="L2163" s="14" t="n">
        <f aca="false">($L$2*M2163)/100</f>
        <v>420583.275</v>
      </c>
      <c r="M2163" s="15" t="n">
        <v>0.35</v>
      </c>
      <c r="N2163" s="9" t="s">
        <v>85</v>
      </c>
    </row>
    <row r="2164" customFormat="false" ht="14.25" hidden="false" customHeight="true" outlineLevel="0" collapsed="false">
      <c r="B2164" s="9" t="s">
        <v>36</v>
      </c>
      <c r="C2164" s="9" t="n">
        <v>1128299</v>
      </c>
      <c r="D2164" s="10" t="n">
        <v>44253</v>
      </c>
      <c r="E2164" s="9" t="s">
        <v>33</v>
      </c>
      <c r="F2164" s="9" t="s">
        <v>88</v>
      </c>
      <c r="G2164" s="9" t="s">
        <v>89</v>
      </c>
      <c r="H2164" s="11" t="s">
        <v>21</v>
      </c>
      <c r="I2164" s="12" t="n">
        <v>45</v>
      </c>
      <c r="J2164" s="13" t="n">
        <v>425</v>
      </c>
      <c r="K2164" s="14" t="n">
        <f aca="false">I2164*J2164</f>
        <v>19125</v>
      </c>
      <c r="L2164" s="14" t="n">
        <f aca="false">($L$2*M2164)/100</f>
        <v>480666.6</v>
      </c>
      <c r="M2164" s="15" t="n">
        <v>0.4</v>
      </c>
      <c r="N2164" s="9" t="s">
        <v>85</v>
      </c>
    </row>
    <row r="2165" customFormat="false" ht="14.25" hidden="false" customHeight="true" outlineLevel="0" collapsed="false">
      <c r="B2165" s="9" t="s">
        <v>36</v>
      </c>
      <c r="C2165" s="9" t="n">
        <v>1128299</v>
      </c>
      <c r="D2165" s="10" t="n">
        <v>44253</v>
      </c>
      <c r="E2165" s="9" t="s">
        <v>33</v>
      </c>
      <c r="F2165" s="9" t="s">
        <v>88</v>
      </c>
      <c r="G2165" s="9" t="s">
        <v>89</v>
      </c>
      <c r="H2165" s="11" t="s">
        <v>22</v>
      </c>
      <c r="I2165" s="12" t="n">
        <v>45</v>
      </c>
      <c r="J2165" s="13" t="n">
        <v>425</v>
      </c>
      <c r="K2165" s="14" t="n">
        <f aca="false">I2165*J2165</f>
        <v>19125</v>
      </c>
      <c r="L2165" s="14" t="n">
        <f aca="false">($L$2*M2165)/100</f>
        <v>420583.275</v>
      </c>
      <c r="M2165" s="15" t="n">
        <v>0.35</v>
      </c>
      <c r="N2165" s="9" t="s">
        <v>85</v>
      </c>
    </row>
    <row r="2166" customFormat="false" ht="14.25" hidden="false" customHeight="true" outlineLevel="0" collapsed="false">
      <c r="B2166" s="9" t="s">
        <v>36</v>
      </c>
      <c r="C2166" s="9" t="n">
        <v>1128299</v>
      </c>
      <c r="D2166" s="10" t="n">
        <v>44253</v>
      </c>
      <c r="E2166" s="9" t="s">
        <v>33</v>
      </c>
      <c r="F2166" s="9" t="s">
        <v>90</v>
      </c>
      <c r="G2166" s="9" t="s">
        <v>91</v>
      </c>
      <c r="H2166" s="11" t="s">
        <v>23</v>
      </c>
      <c r="I2166" s="12" t="n">
        <v>45</v>
      </c>
      <c r="J2166" s="13" t="n">
        <v>275</v>
      </c>
      <c r="K2166" s="14" t="n">
        <f aca="false">I2166*J2166</f>
        <v>12375</v>
      </c>
      <c r="L2166" s="14" t="n">
        <f aca="false">($L$2*M2166)/100</f>
        <v>420583.275</v>
      </c>
      <c r="M2166" s="15" t="n">
        <v>0.35</v>
      </c>
      <c r="N2166" s="9" t="s">
        <v>85</v>
      </c>
    </row>
    <row r="2167" customFormat="false" ht="14.25" hidden="false" customHeight="true" outlineLevel="0" collapsed="false">
      <c r="B2167" s="9" t="s">
        <v>36</v>
      </c>
      <c r="C2167" s="9" t="n">
        <v>1128299</v>
      </c>
      <c r="D2167" s="10" t="n">
        <v>44253</v>
      </c>
      <c r="E2167" s="9" t="s">
        <v>33</v>
      </c>
      <c r="F2167" s="9" t="s">
        <v>90</v>
      </c>
      <c r="G2167" s="9" t="s">
        <v>91</v>
      </c>
      <c r="H2167" s="11" t="s">
        <v>24</v>
      </c>
      <c r="I2167" s="12" t="n">
        <v>50</v>
      </c>
      <c r="J2167" s="13" t="n">
        <v>200</v>
      </c>
      <c r="K2167" s="14" t="n">
        <f aca="false">I2167*J2167</f>
        <v>10000</v>
      </c>
      <c r="L2167" s="14" t="n">
        <f aca="false">($L$2*M2167)/100</f>
        <v>360499.95</v>
      </c>
      <c r="M2167" s="15" t="n">
        <v>0.3</v>
      </c>
      <c r="N2167" s="9" t="s">
        <v>85</v>
      </c>
    </row>
    <row r="2168" customFormat="false" ht="14.25" hidden="false" customHeight="true" outlineLevel="0" collapsed="false">
      <c r="B2168" s="9" t="s">
        <v>36</v>
      </c>
      <c r="C2168" s="9" t="n">
        <v>1128299</v>
      </c>
      <c r="D2168" s="10" t="n">
        <v>44253</v>
      </c>
      <c r="E2168" s="9" t="s">
        <v>33</v>
      </c>
      <c r="F2168" s="9" t="s">
        <v>90</v>
      </c>
      <c r="G2168" s="9" t="s">
        <v>91</v>
      </c>
      <c r="H2168" s="11" t="s">
        <v>25</v>
      </c>
      <c r="I2168" s="12" t="n">
        <v>45</v>
      </c>
      <c r="J2168" s="13" t="n">
        <v>400</v>
      </c>
      <c r="K2168" s="14" t="n">
        <f aca="false">I2168*J2168</f>
        <v>18000</v>
      </c>
      <c r="L2168" s="14" t="n">
        <f aca="false">($L$2*M2168)/100</f>
        <v>300416.625</v>
      </c>
      <c r="M2168" s="15" t="n">
        <v>0.25</v>
      </c>
      <c r="N2168" s="9" t="s">
        <v>85</v>
      </c>
    </row>
    <row r="2169" customFormat="false" ht="14.25" hidden="false" customHeight="true" outlineLevel="0" collapsed="false">
      <c r="B2169" s="9" t="s">
        <v>36</v>
      </c>
      <c r="C2169" s="9" t="n">
        <v>1128299</v>
      </c>
      <c r="D2169" s="10" t="n">
        <v>44280</v>
      </c>
      <c r="E2169" s="9" t="s">
        <v>33</v>
      </c>
      <c r="F2169" s="9" t="s">
        <v>90</v>
      </c>
      <c r="G2169" s="9" t="s">
        <v>91</v>
      </c>
      <c r="H2169" s="11" t="s">
        <v>19</v>
      </c>
      <c r="I2169" s="12" t="n">
        <v>45</v>
      </c>
      <c r="J2169" s="13" t="n">
        <v>550</v>
      </c>
      <c r="K2169" s="14" t="n">
        <f aca="false">I2169*J2169</f>
        <v>24750</v>
      </c>
      <c r="L2169" s="14" t="n">
        <f aca="false">($L$2*M2169)/100</f>
        <v>420583.275</v>
      </c>
      <c r="M2169" s="15" t="n">
        <v>0.35</v>
      </c>
      <c r="N2169" s="9" t="s">
        <v>85</v>
      </c>
    </row>
    <row r="2170" customFormat="false" ht="14.25" hidden="false" customHeight="true" outlineLevel="0" collapsed="false">
      <c r="B2170" s="9" t="s">
        <v>36</v>
      </c>
      <c r="C2170" s="9" t="n">
        <v>1128299</v>
      </c>
      <c r="D2170" s="10" t="n">
        <v>44280</v>
      </c>
      <c r="E2170" s="9" t="s">
        <v>33</v>
      </c>
      <c r="F2170" s="9" t="s">
        <v>90</v>
      </c>
      <c r="G2170" s="9" t="s">
        <v>91</v>
      </c>
      <c r="H2170" s="11" t="s">
        <v>21</v>
      </c>
      <c r="I2170" s="12" t="n">
        <v>55</v>
      </c>
      <c r="J2170" s="13" t="n">
        <v>400</v>
      </c>
      <c r="K2170" s="14" t="n">
        <f aca="false">I2170*J2170</f>
        <v>22000</v>
      </c>
      <c r="L2170" s="14" t="n">
        <f aca="false">($L$2*M2170)/100</f>
        <v>480666.6</v>
      </c>
      <c r="M2170" s="15" t="n">
        <v>0.4</v>
      </c>
      <c r="N2170" s="9" t="s">
        <v>85</v>
      </c>
    </row>
    <row r="2171" customFormat="false" ht="14.25" hidden="false" customHeight="true" outlineLevel="0" collapsed="false">
      <c r="B2171" s="9" t="s">
        <v>36</v>
      </c>
      <c r="C2171" s="9" t="n">
        <v>1128299</v>
      </c>
      <c r="D2171" s="10" t="n">
        <v>44280</v>
      </c>
      <c r="E2171" s="9" t="s">
        <v>33</v>
      </c>
      <c r="F2171" s="9" t="s">
        <v>90</v>
      </c>
      <c r="G2171" s="9" t="s">
        <v>91</v>
      </c>
      <c r="H2171" s="11" t="s">
        <v>22</v>
      </c>
      <c r="I2171" s="12" t="n">
        <v>55</v>
      </c>
      <c r="J2171" s="13" t="n">
        <v>400</v>
      </c>
      <c r="K2171" s="14" t="n">
        <f aca="false">I2171*J2171</f>
        <v>22000</v>
      </c>
      <c r="L2171" s="14" t="n">
        <f aca="false">($L$2*M2171)/100</f>
        <v>420583.275</v>
      </c>
      <c r="M2171" s="15" t="n">
        <v>0.35</v>
      </c>
      <c r="N2171" s="9" t="s">
        <v>85</v>
      </c>
    </row>
    <row r="2172" customFormat="false" ht="14.25" hidden="false" customHeight="true" outlineLevel="0" collapsed="false">
      <c r="B2172" s="9" t="s">
        <v>36</v>
      </c>
      <c r="C2172" s="9" t="n">
        <v>1128299</v>
      </c>
      <c r="D2172" s="10" t="n">
        <v>44280</v>
      </c>
      <c r="E2172" s="9" t="s">
        <v>33</v>
      </c>
      <c r="F2172" s="9" t="s">
        <v>90</v>
      </c>
      <c r="G2172" s="9" t="s">
        <v>91</v>
      </c>
      <c r="H2172" s="11" t="s">
        <v>23</v>
      </c>
      <c r="I2172" s="12" t="n">
        <v>55</v>
      </c>
      <c r="J2172" s="13" t="n">
        <v>275</v>
      </c>
      <c r="K2172" s="14" t="n">
        <f aca="false">I2172*J2172</f>
        <v>15125</v>
      </c>
      <c r="L2172" s="14" t="n">
        <f aca="false">($L$2*M2172)/100</f>
        <v>420583.275</v>
      </c>
      <c r="M2172" s="15" t="n">
        <v>0.35</v>
      </c>
      <c r="N2172" s="9" t="s">
        <v>85</v>
      </c>
    </row>
    <row r="2173" customFormat="false" ht="14.25" hidden="false" customHeight="true" outlineLevel="0" collapsed="false">
      <c r="B2173" s="9" t="s">
        <v>36</v>
      </c>
      <c r="C2173" s="9" t="n">
        <v>1128299</v>
      </c>
      <c r="D2173" s="10" t="n">
        <v>44280</v>
      </c>
      <c r="E2173" s="9" t="s">
        <v>33</v>
      </c>
      <c r="F2173" s="9" t="s">
        <v>90</v>
      </c>
      <c r="G2173" s="9" t="s">
        <v>91</v>
      </c>
      <c r="H2173" s="11" t="s">
        <v>24</v>
      </c>
      <c r="I2173" s="12" t="n">
        <v>60</v>
      </c>
      <c r="J2173" s="13" t="n">
        <v>175</v>
      </c>
      <c r="K2173" s="14" t="n">
        <f aca="false">I2173*J2173</f>
        <v>10500</v>
      </c>
      <c r="L2173" s="14" t="n">
        <f aca="false">($L$2*M2173)/100</f>
        <v>360499.95</v>
      </c>
      <c r="M2173" s="15" t="n">
        <v>0.3</v>
      </c>
      <c r="N2173" s="9" t="s">
        <v>85</v>
      </c>
    </row>
    <row r="2174" customFormat="false" ht="14.25" hidden="false" customHeight="true" outlineLevel="0" collapsed="false">
      <c r="B2174" s="9" t="s">
        <v>36</v>
      </c>
      <c r="C2174" s="9" t="n">
        <v>1128299</v>
      </c>
      <c r="D2174" s="10" t="n">
        <v>44280</v>
      </c>
      <c r="E2174" s="9" t="s">
        <v>33</v>
      </c>
      <c r="F2174" s="9" t="s">
        <v>90</v>
      </c>
      <c r="G2174" s="9" t="s">
        <v>91</v>
      </c>
      <c r="H2174" s="11" t="s">
        <v>25</v>
      </c>
      <c r="I2174" s="12" t="n">
        <v>55</v>
      </c>
      <c r="J2174" s="13" t="n">
        <v>375</v>
      </c>
      <c r="K2174" s="14" t="n">
        <f aca="false">I2174*J2174</f>
        <v>20625</v>
      </c>
      <c r="L2174" s="14" t="n">
        <f aca="false">($L$2*M2174)/100</f>
        <v>300416.625</v>
      </c>
      <c r="M2174" s="15" t="n">
        <v>0.25</v>
      </c>
      <c r="N2174" s="9" t="s">
        <v>85</v>
      </c>
    </row>
    <row r="2175" customFormat="false" ht="14.25" hidden="false" customHeight="true" outlineLevel="0" collapsed="false">
      <c r="B2175" s="9" t="s">
        <v>36</v>
      </c>
      <c r="C2175" s="9" t="n">
        <v>1128299</v>
      </c>
      <c r="D2175" s="10" t="n">
        <v>44312</v>
      </c>
      <c r="E2175" s="9" t="s">
        <v>33</v>
      </c>
      <c r="F2175" s="9" t="s">
        <v>90</v>
      </c>
      <c r="G2175" s="9" t="s">
        <v>91</v>
      </c>
      <c r="H2175" s="11" t="s">
        <v>19</v>
      </c>
      <c r="I2175" s="12" t="n">
        <v>55</v>
      </c>
      <c r="J2175" s="13" t="n">
        <v>550</v>
      </c>
      <c r="K2175" s="14" t="n">
        <f aca="false">I2175*J2175</f>
        <v>30250</v>
      </c>
      <c r="L2175" s="14" t="n">
        <f aca="false">($L$2*M2175)/100</f>
        <v>420583.275</v>
      </c>
      <c r="M2175" s="15" t="n">
        <v>0.35</v>
      </c>
      <c r="N2175" s="9" t="s">
        <v>85</v>
      </c>
    </row>
    <row r="2176" customFormat="false" ht="14.25" hidden="false" customHeight="true" outlineLevel="0" collapsed="false">
      <c r="B2176" s="9" t="s">
        <v>36</v>
      </c>
      <c r="C2176" s="9" t="n">
        <v>1128299</v>
      </c>
      <c r="D2176" s="10" t="n">
        <v>44312</v>
      </c>
      <c r="E2176" s="9" t="s">
        <v>33</v>
      </c>
      <c r="F2176" s="9" t="s">
        <v>90</v>
      </c>
      <c r="G2176" s="9" t="s">
        <v>91</v>
      </c>
      <c r="H2176" s="11" t="s">
        <v>21</v>
      </c>
      <c r="I2176" s="12" t="n">
        <v>60</v>
      </c>
      <c r="J2176" s="13" t="n">
        <v>350</v>
      </c>
      <c r="K2176" s="14" t="n">
        <f aca="false">I2176*J2176</f>
        <v>21000</v>
      </c>
      <c r="L2176" s="14" t="n">
        <f aca="false">($L$2*M2176)/100</f>
        <v>480666.6</v>
      </c>
      <c r="M2176" s="15" t="n">
        <v>0.4</v>
      </c>
      <c r="N2176" s="9" t="s">
        <v>85</v>
      </c>
    </row>
    <row r="2177" customFormat="false" ht="14.25" hidden="false" customHeight="true" outlineLevel="0" collapsed="false">
      <c r="B2177" s="9" t="s">
        <v>36</v>
      </c>
      <c r="C2177" s="9" t="n">
        <v>1128299</v>
      </c>
      <c r="D2177" s="10" t="n">
        <v>44312</v>
      </c>
      <c r="E2177" s="9" t="s">
        <v>33</v>
      </c>
      <c r="F2177" s="9" t="s">
        <v>90</v>
      </c>
      <c r="G2177" s="9" t="s">
        <v>91</v>
      </c>
      <c r="H2177" s="11" t="s">
        <v>22</v>
      </c>
      <c r="I2177" s="12" t="n">
        <v>60</v>
      </c>
      <c r="J2177" s="13" t="n">
        <v>400</v>
      </c>
      <c r="K2177" s="14" t="n">
        <f aca="false">I2177*J2177</f>
        <v>24000</v>
      </c>
      <c r="L2177" s="14" t="n">
        <f aca="false">($L$2*M2177)/100</f>
        <v>420583.275</v>
      </c>
      <c r="M2177" s="15" t="n">
        <v>0.35</v>
      </c>
      <c r="N2177" s="9" t="s">
        <v>85</v>
      </c>
    </row>
    <row r="2178" customFormat="false" ht="14.25" hidden="false" customHeight="true" outlineLevel="0" collapsed="false">
      <c r="B2178" s="9" t="s">
        <v>36</v>
      </c>
      <c r="C2178" s="9" t="n">
        <v>1128299</v>
      </c>
      <c r="D2178" s="10" t="n">
        <v>44312</v>
      </c>
      <c r="E2178" s="9" t="s">
        <v>33</v>
      </c>
      <c r="F2178" s="9" t="s">
        <v>90</v>
      </c>
      <c r="G2178" s="9" t="s">
        <v>91</v>
      </c>
      <c r="H2178" s="11" t="s">
        <v>23</v>
      </c>
      <c r="I2178" s="12" t="n">
        <v>55</v>
      </c>
      <c r="J2178" s="13" t="n">
        <v>300</v>
      </c>
      <c r="K2178" s="14" t="n">
        <f aca="false">I2178*J2178</f>
        <v>16500</v>
      </c>
      <c r="L2178" s="14" t="n">
        <f aca="false">($L$2*M2178)/100</f>
        <v>420583.275</v>
      </c>
      <c r="M2178" s="15" t="n">
        <v>0.35</v>
      </c>
      <c r="N2178" s="9" t="s">
        <v>85</v>
      </c>
    </row>
    <row r="2179" customFormat="false" ht="14.25" hidden="false" customHeight="true" outlineLevel="0" collapsed="false">
      <c r="B2179" s="9" t="s">
        <v>36</v>
      </c>
      <c r="C2179" s="9" t="n">
        <v>1128299</v>
      </c>
      <c r="D2179" s="10" t="n">
        <v>44312</v>
      </c>
      <c r="E2179" s="9" t="s">
        <v>33</v>
      </c>
      <c r="F2179" s="9" t="s">
        <v>90</v>
      </c>
      <c r="G2179" s="9" t="s">
        <v>91</v>
      </c>
      <c r="H2179" s="11" t="s">
        <v>24</v>
      </c>
      <c r="I2179" s="12" t="n">
        <v>60</v>
      </c>
      <c r="J2179" s="13" t="n">
        <v>200</v>
      </c>
      <c r="K2179" s="14" t="n">
        <f aca="false">I2179*J2179</f>
        <v>12000</v>
      </c>
      <c r="L2179" s="14" t="n">
        <f aca="false">($L$2*M2179)/100</f>
        <v>360499.95</v>
      </c>
      <c r="M2179" s="15" t="n">
        <v>0.3</v>
      </c>
      <c r="N2179" s="9" t="s">
        <v>85</v>
      </c>
    </row>
    <row r="2180" customFormat="false" ht="14.25" hidden="false" customHeight="true" outlineLevel="0" collapsed="false">
      <c r="B2180" s="9" t="s">
        <v>36</v>
      </c>
      <c r="C2180" s="9" t="n">
        <v>1128299</v>
      </c>
      <c r="D2180" s="10" t="n">
        <v>44312</v>
      </c>
      <c r="E2180" s="9" t="s">
        <v>33</v>
      </c>
      <c r="F2180" s="9" t="s">
        <v>90</v>
      </c>
      <c r="G2180" s="9" t="s">
        <v>91</v>
      </c>
      <c r="H2180" s="11" t="s">
        <v>25</v>
      </c>
      <c r="I2180" s="12" t="n">
        <v>75</v>
      </c>
      <c r="J2180" s="13" t="n">
        <v>375</v>
      </c>
      <c r="K2180" s="14" t="n">
        <f aca="false">I2180*J2180</f>
        <v>28125</v>
      </c>
      <c r="L2180" s="14" t="n">
        <f aca="false">($L$2*M2180)/100</f>
        <v>300416.625</v>
      </c>
      <c r="M2180" s="15" t="n">
        <v>0.25</v>
      </c>
      <c r="N2180" s="9" t="s">
        <v>85</v>
      </c>
    </row>
    <row r="2181" customFormat="false" ht="14.25" hidden="false" customHeight="true" outlineLevel="0" collapsed="false">
      <c r="B2181" s="9" t="s">
        <v>36</v>
      </c>
      <c r="C2181" s="9" t="n">
        <v>1128299</v>
      </c>
      <c r="D2181" s="10" t="n">
        <v>44343</v>
      </c>
      <c r="E2181" s="9" t="s">
        <v>33</v>
      </c>
      <c r="F2181" s="9" t="s">
        <v>90</v>
      </c>
      <c r="G2181" s="9" t="s">
        <v>91</v>
      </c>
      <c r="H2181" s="11" t="s">
        <v>19</v>
      </c>
      <c r="I2181" s="12" t="n">
        <v>55</v>
      </c>
      <c r="J2181" s="13" t="n">
        <v>575</v>
      </c>
      <c r="K2181" s="14" t="n">
        <f aca="false">I2181*J2181</f>
        <v>31625</v>
      </c>
      <c r="L2181" s="14" t="n">
        <f aca="false">($L$2*M2181)/100</f>
        <v>420583.275</v>
      </c>
      <c r="M2181" s="15" t="n">
        <v>0.35</v>
      </c>
      <c r="N2181" s="9" t="s">
        <v>85</v>
      </c>
    </row>
    <row r="2182" customFormat="false" ht="14.25" hidden="false" customHeight="true" outlineLevel="0" collapsed="false">
      <c r="B2182" s="9" t="s">
        <v>36</v>
      </c>
      <c r="C2182" s="9" t="n">
        <v>1128299</v>
      </c>
      <c r="D2182" s="10" t="n">
        <v>44343</v>
      </c>
      <c r="E2182" s="9" t="s">
        <v>33</v>
      </c>
      <c r="F2182" s="9" t="s">
        <v>90</v>
      </c>
      <c r="G2182" s="9" t="s">
        <v>91</v>
      </c>
      <c r="H2182" s="11" t="s">
        <v>21</v>
      </c>
      <c r="I2182" s="12" t="n">
        <v>60</v>
      </c>
      <c r="J2182" s="13" t="n">
        <v>425</v>
      </c>
      <c r="K2182" s="14" t="n">
        <f aca="false">I2182*J2182</f>
        <v>25500</v>
      </c>
      <c r="L2182" s="14" t="n">
        <f aca="false">($L$2*M2182)/100</f>
        <v>480666.6</v>
      </c>
      <c r="M2182" s="15" t="n">
        <v>0.4</v>
      </c>
      <c r="N2182" s="9" t="s">
        <v>85</v>
      </c>
    </row>
    <row r="2183" customFormat="false" ht="14.25" hidden="false" customHeight="true" outlineLevel="0" collapsed="false">
      <c r="B2183" s="9" t="s">
        <v>36</v>
      </c>
      <c r="C2183" s="9" t="n">
        <v>1128299</v>
      </c>
      <c r="D2183" s="10" t="n">
        <v>44343</v>
      </c>
      <c r="E2183" s="9" t="s">
        <v>33</v>
      </c>
      <c r="F2183" s="9" t="s">
        <v>90</v>
      </c>
      <c r="G2183" s="9" t="s">
        <v>91</v>
      </c>
      <c r="H2183" s="11" t="s">
        <v>22</v>
      </c>
      <c r="I2183" s="12" t="n">
        <v>60</v>
      </c>
      <c r="J2183" s="13" t="n">
        <v>450</v>
      </c>
      <c r="K2183" s="14" t="n">
        <f aca="false">I2183*J2183</f>
        <v>27000</v>
      </c>
      <c r="L2183" s="14" t="n">
        <f aca="false">($L$2*M2183)/100</f>
        <v>420583.275</v>
      </c>
      <c r="M2183" s="15" t="n">
        <v>0.35</v>
      </c>
      <c r="N2183" s="9" t="s">
        <v>85</v>
      </c>
    </row>
    <row r="2184" customFormat="false" ht="14.25" hidden="false" customHeight="true" outlineLevel="0" collapsed="false">
      <c r="B2184" s="9" t="s">
        <v>36</v>
      </c>
      <c r="C2184" s="9" t="n">
        <v>1128299</v>
      </c>
      <c r="D2184" s="10" t="n">
        <v>44343</v>
      </c>
      <c r="E2184" s="9" t="s">
        <v>33</v>
      </c>
      <c r="F2184" s="9" t="s">
        <v>90</v>
      </c>
      <c r="G2184" s="9" t="s">
        <v>91</v>
      </c>
      <c r="H2184" s="11" t="s">
        <v>23</v>
      </c>
      <c r="I2184" s="12" t="n">
        <v>55</v>
      </c>
      <c r="J2184" s="13" t="n">
        <v>350</v>
      </c>
      <c r="K2184" s="14" t="n">
        <f aca="false">I2184*J2184</f>
        <v>19250</v>
      </c>
      <c r="L2184" s="14" t="n">
        <f aca="false">($L$2*M2184)/100</f>
        <v>420583.275</v>
      </c>
      <c r="M2184" s="15" t="n">
        <v>0.35</v>
      </c>
      <c r="N2184" s="9" t="s">
        <v>85</v>
      </c>
    </row>
    <row r="2185" customFormat="false" ht="14.25" hidden="false" customHeight="true" outlineLevel="0" collapsed="false">
      <c r="B2185" s="9" t="s">
        <v>36</v>
      </c>
      <c r="C2185" s="9" t="n">
        <v>1128299</v>
      </c>
      <c r="D2185" s="10" t="n">
        <v>44343</v>
      </c>
      <c r="E2185" s="9" t="s">
        <v>33</v>
      </c>
      <c r="F2185" s="9" t="s">
        <v>90</v>
      </c>
      <c r="G2185" s="9" t="s">
        <v>91</v>
      </c>
      <c r="H2185" s="11" t="s">
        <v>24</v>
      </c>
      <c r="I2185" s="12" t="n">
        <v>60</v>
      </c>
      <c r="J2185" s="13" t="n">
        <v>250</v>
      </c>
      <c r="K2185" s="14" t="n">
        <f aca="false">I2185*J2185</f>
        <v>15000</v>
      </c>
      <c r="L2185" s="14" t="n">
        <f aca="false">($L$2*M2185)/100</f>
        <v>360499.95</v>
      </c>
      <c r="M2185" s="15" t="n">
        <v>0.3</v>
      </c>
      <c r="N2185" s="9" t="s">
        <v>85</v>
      </c>
    </row>
    <row r="2186" customFormat="false" ht="14.25" hidden="false" customHeight="true" outlineLevel="0" collapsed="false">
      <c r="B2186" s="9" t="s">
        <v>36</v>
      </c>
      <c r="C2186" s="9" t="n">
        <v>1128299</v>
      </c>
      <c r="D2186" s="10" t="n">
        <v>44343</v>
      </c>
      <c r="E2186" s="9" t="s">
        <v>33</v>
      </c>
      <c r="F2186" s="9" t="s">
        <v>90</v>
      </c>
      <c r="G2186" s="9" t="s">
        <v>91</v>
      </c>
      <c r="H2186" s="11" t="s">
        <v>25</v>
      </c>
      <c r="I2186" s="12" t="n">
        <v>75</v>
      </c>
      <c r="J2186" s="13" t="n">
        <v>425</v>
      </c>
      <c r="K2186" s="14" t="n">
        <f aca="false">I2186*J2186</f>
        <v>31875</v>
      </c>
      <c r="L2186" s="14" t="n">
        <f aca="false">($L$2*M2186)/100</f>
        <v>300416.625</v>
      </c>
      <c r="M2186" s="15" t="n">
        <v>0.25</v>
      </c>
      <c r="N2186" s="9" t="s">
        <v>85</v>
      </c>
    </row>
    <row r="2187" customFormat="false" ht="14.25" hidden="false" customHeight="true" outlineLevel="0" collapsed="false">
      <c r="B2187" s="9" t="s">
        <v>36</v>
      </c>
      <c r="C2187" s="9" t="n">
        <v>1128299</v>
      </c>
      <c r="D2187" s="10" t="n">
        <v>44373</v>
      </c>
      <c r="E2187" s="9" t="s">
        <v>33</v>
      </c>
      <c r="F2187" s="9" t="s">
        <v>90</v>
      </c>
      <c r="G2187" s="9" t="s">
        <v>91</v>
      </c>
      <c r="H2187" s="11" t="s">
        <v>19</v>
      </c>
      <c r="I2187" s="12" t="n">
        <v>55</v>
      </c>
      <c r="J2187" s="13" t="n">
        <v>700</v>
      </c>
      <c r="K2187" s="14" t="n">
        <f aca="false">I2187*J2187</f>
        <v>38500</v>
      </c>
      <c r="L2187" s="14" t="n">
        <f aca="false">($L$2*M2187)/100</f>
        <v>420583.275</v>
      </c>
      <c r="M2187" s="15" t="n">
        <v>0.35</v>
      </c>
      <c r="N2187" s="9" t="s">
        <v>85</v>
      </c>
    </row>
    <row r="2188" customFormat="false" ht="14.25" hidden="false" customHeight="true" outlineLevel="0" collapsed="false">
      <c r="B2188" s="9" t="s">
        <v>36</v>
      </c>
      <c r="C2188" s="9" t="n">
        <v>1128299</v>
      </c>
      <c r="D2188" s="10" t="n">
        <v>44373</v>
      </c>
      <c r="E2188" s="9" t="s">
        <v>33</v>
      </c>
      <c r="F2188" s="9" t="s">
        <v>90</v>
      </c>
      <c r="G2188" s="9" t="s">
        <v>91</v>
      </c>
      <c r="H2188" s="11" t="s">
        <v>21</v>
      </c>
      <c r="I2188" s="12" t="n">
        <v>60</v>
      </c>
      <c r="J2188" s="13" t="n">
        <v>550</v>
      </c>
      <c r="K2188" s="14" t="n">
        <f aca="false">I2188*J2188</f>
        <v>33000</v>
      </c>
      <c r="L2188" s="14" t="n">
        <f aca="false">($L$2*M2188)/100</f>
        <v>480666.6</v>
      </c>
      <c r="M2188" s="15" t="n">
        <v>0.4</v>
      </c>
      <c r="N2188" s="9" t="s">
        <v>85</v>
      </c>
    </row>
    <row r="2189" customFormat="false" ht="14.25" hidden="false" customHeight="true" outlineLevel="0" collapsed="false">
      <c r="B2189" s="9" t="s">
        <v>36</v>
      </c>
      <c r="C2189" s="9" t="n">
        <v>1128299</v>
      </c>
      <c r="D2189" s="10" t="n">
        <v>44373</v>
      </c>
      <c r="E2189" s="9" t="s">
        <v>33</v>
      </c>
      <c r="F2189" s="9" t="s">
        <v>90</v>
      </c>
      <c r="G2189" s="9" t="s">
        <v>91</v>
      </c>
      <c r="H2189" s="11" t="s">
        <v>22</v>
      </c>
      <c r="I2189" s="12" t="n">
        <v>60</v>
      </c>
      <c r="J2189" s="13" t="n">
        <v>550</v>
      </c>
      <c r="K2189" s="14" t="n">
        <f aca="false">I2189*J2189</f>
        <v>33000</v>
      </c>
      <c r="L2189" s="14" t="n">
        <f aca="false">($L$2*M2189)/100</f>
        <v>420583.275</v>
      </c>
      <c r="M2189" s="15" t="n">
        <v>0.35</v>
      </c>
      <c r="N2189" s="9" t="s">
        <v>85</v>
      </c>
    </row>
    <row r="2190" customFormat="false" ht="14.25" hidden="false" customHeight="true" outlineLevel="0" collapsed="false">
      <c r="B2190" s="9" t="s">
        <v>36</v>
      </c>
      <c r="C2190" s="9" t="n">
        <v>1128299</v>
      </c>
      <c r="D2190" s="10" t="n">
        <v>44373</v>
      </c>
      <c r="E2190" s="9" t="s">
        <v>33</v>
      </c>
      <c r="F2190" s="9" t="s">
        <v>90</v>
      </c>
      <c r="G2190" s="9" t="s">
        <v>91</v>
      </c>
      <c r="H2190" s="11" t="s">
        <v>23</v>
      </c>
      <c r="I2190" s="12" t="n">
        <v>55</v>
      </c>
      <c r="J2190" s="13" t="n">
        <v>425</v>
      </c>
      <c r="K2190" s="14" t="n">
        <f aca="false">I2190*J2190</f>
        <v>23375</v>
      </c>
      <c r="L2190" s="14" t="n">
        <f aca="false">($L$2*M2190)/100</f>
        <v>420583.275</v>
      </c>
      <c r="M2190" s="15" t="n">
        <v>0.35</v>
      </c>
      <c r="N2190" s="9" t="s">
        <v>85</v>
      </c>
    </row>
    <row r="2191" customFormat="false" ht="14.25" hidden="false" customHeight="true" outlineLevel="0" collapsed="false">
      <c r="B2191" s="9" t="s">
        <v>36</v>
      </c>
      <c r="C2191" s="9" t="n">
        <v>1128299</v>
      </c>
      <c r="D2191" s="10" t="n">
        <v>44373</v>
      </c>
      <c r="E2191" s="9" t="s">
        <v>33</v>
      </c>
      <c r="F2191" s="9" t="s">
        <v>90</v>
      </c>
      <c r="G2191" s="9" t="s">
        <v>91</v>
      </c>
      <c r="H2191" s="11" t="s">
        <v>24</v>
      </c>
      <c r="I2191" s="12" t="n">
        <v>60</v>
      </c>
      <c r="J2191" s="13" t="n">
        <v>300</v>
      </c>
      <c r="K2191" s="14" t="n">
        <f aca="false">I2191*J2191</f>
        <v>18000</v>
      </c>
      <c r="L2191" s="14" t="n">
        <f aca="false">($L$2*M2191)/100</f>
        <v>360499.95</v>
      </c>
      <c r="M2191" s="15" t="n">
        <v>0.3</v>
      </c>
      <c r="N2191" s="9" t="s">
        <v>85</v>
      </c>
    </row>
    <row r="2192" customFormat="false" ht="14.25" hidden="false" customHeight="true" outlineLevel="0" collapsed="false">
      <c r="B2192" s="9" t="s">
        <v>36</v>
      </c>
      <c r="C2192" s="9" t="n">
        <v>1128299</v>
      </c>
      <c r="D2192" s="10" t="n">
        <v>44373</v>
      </c>
      <c r="E2192" s="9" t="s">
        <v>33</v>
      </c>
      <c r="F2192" s="9" t="s">
        <v>90</v>
      </c>
      <c r="G2192" s="9" t="s">
        <v>91</v>
      </c>
      <c r="H2192" s="11" t="s">
        <v>25</v>
      </c>
      <c r="I2192" s="12" t="n">
        <v>75</v>
      </c>
      <c r="J2192" s="13" t="n">
        <v>600</v>
      </c>
      <c r="K2192" s="14" t="n">
        <f aca="false">I2192*J2192</f>
        <v>45000</v>
      </c>
      <c r="L2192" s="14" t="n">
        <f aca="false">($L$2*M2192)/100</f>
        <v>300416.625</v>
      </c>
      <c r="M2192" s="15" t="n">
        <v>0.25</v>
      </c>
      <c r="N2192" s="9" t="s">
        <v>85</v>
      </c>
    </row>
    <row r="2193" customFormat="false" ht="14.25" hidden="false" customHeight="true" outlineLevel="0" collapsed="false">
      <c r="B2193" s="9" t="s">
        <v>36</v>
      </c>
      <c r="C2193" s="9" t="n">
        <v>1128299</v>
      </c>
      <c r="D2193" s="10" t="n">
        <v>44402</v>
      </c>
      <c r="E2193" s="9" t="s">
        <v>33</v>
      </c>
      <c r="F2193" s="9" t="s">
        <v>90</v>
      </c>
      <c r="G2193" s="9" t="s">
        <v>91</v>
      </c>
      <c r="H2193" s="11" t="s">
        <v>19</v>
      </c>
      <c r="I2193" s="12" t="n">
        <v>55</v>
      </c>
      <c r="J2193" s="13" t="n">
        <v>750</v>
      </c>
      <c r="K2193" s="14" t="n">
        <f aca="false">I2193*J2193</f>
        <v>41250</v>
      </c>
      <c r="L2193" s="14" t="n">
        <f aca="false">($L$2*M2193)/100</f>
        <v>420583.275</v>
      </c>
      <c r="M2193" s="15" t="n">
        <v>0.35</v>
      </c>
      <c r="N2193" s="9" t="s">
        <v>85</v>
      </c>
    </row>
    <row r="2194" customFormat="false" ht="14.25" hidden="false" customHeight="true" outlineLevel="0" collapsed="false">
      <c r="B2194" s="9" t="s">
        <v>36</v>
      </c>
      <c r="C2194" s="9" t="n">
        <v>1128299</v>
      </c>
      <c r="D2194" s="10" t="n">
        <v>44402</v>
      </c>
      <c r="E2194" s="9" t="s">
        <v>33</v>
      </c>
      <c r="F2194" s="9" t="s">
        <v>90</v>
      </c>
      <c r="G2194" s="9" t="s">
        <v>91</v>
      </c>
      <c r="H2194" s="11" t="s">
        <v>21</v>
      </c>
      <c r="I2194" s="12" t="n">
        <v>60</v>
      </c>
      <c r="J2194" s="13" t="n">
        <v>600</v>
      </c>
      <c r="K2194" s="14" t="n">
        <f aca="false">I2194*J2194</f>
        <v>36000</v>
      </c>
      <c r="L2194" s="14" t="n">
        <f aca="false">($L$2*M2194)/100</f>
        <v>480666.6</v>
      </c>
      <c r="M2194" s="15" t="n">
        <v>0.4</v>
      </c>
      <c r="N2194" s="9" t="s">
        <v>85</v>
      </c>
    </row>
    <row r="2195" customFormat="false" ht="14.25" hidden="false" customHeight="true" outlineLevel="0" collapsed="false">
      <c r="B2195" s="9" t="s">
        <v>36</v>
      </c>
      <c r="C2195" s="9" t="n">
        <v>1128299</v>
      </c>
      <c r="D2195" s="10" t="n">
        <v>44402</v>
      </c>
      <c r="E2195" s="9" t="s">
        <v>33</v>
      </c>
      <c r="F2195" s="9" t="s">
        <v>90</v>
      </c>
      <c r="G2195" s="9" t="s">
        <v>91</v>
      </c>
      <c r="H2195" s="11" t="s">
        <v>22</v>
      </c>
      <c r="I2195" s="12" t="n">
        <v>60</v>
      </c>
      <c r="J2195" s="13" t="n">
        <v>550</v>
      </c>
      <c r="K2195" s="14" t="n">
        <f aca="false">I2195*J2195</f>
        <v>33000</v>
      </c>
      <c r="L2195" s="14" t="n">
        <f aca="false">($L$2*M2195)/100</f>
        <v>420583.275</v>
      </c>
      <c r="M2195" s="15" t="n">
        <v>0.35</v>
      </c>
      <c r="N2195" s="9" t="s">
        <v>85</v>
      </c>
    </row>
    <row r="2196" customFormat="false" ht="14.25" hidden="false" customHeight="true" outlineLevel="0" collapsed="false">
      <c r="B2196" s="9" t="s">
        <v>36</v>
      </c>
      <c r="C2196" s="9" t="n">
        <v>1128299</v>
      </c>
      <c r="D2196" s="10" t="n">
        <v>44402</v>
      </c>
      <c r="E2196" s="9" t="s">
        <v>33</v>
      </c>
      <c r="F2196" s="9" t="s">
        <v>90</v>
      </c>
      <c r="G2196" s="9" t="s">
        <v>91</v>
      </c>
      <c r="H2196" s="11" t="s">
        <v>23</v>
      </c>
      <c r="I2196" s="12" t="n">
        <v>55</v>
      </c>
      <c r="J2196" s="13" t="n">
        <v>450</v>
      </c>
      <c r="K2196" s="14" t="n">
        <f aca="false">I2196*J2196</f>
        <v>24750</v>
      </c>
      <c r="L2196" s="14" t="n">
        <f aca="false">($L$2*M2196)/100</f>
        <v>420583.275</v>
      </c>
      <c r="M2196" s="15" t="n">
        <v>0.35</v>
      </c>
      <c r="N2196" s="9" t="s">
        <v>85</v>
      </c>
    </row>
    <row r="2197" customFormat="false" ht="14.25" hidden="false" customHeight="true" outlineLevel="0" collapsed="false">
      <c r="B2197" s="9" t="s">
        <v>36</v>
      </c>
      <c r="C2197" s="9" t="n">
        <v>1128299</v>
      </c>
      <c r="D2197" s="10" t="n">
        <v>44402</v>
      </c>
      <c r="E2197" s="9" t="s">
        <v>33</v>
      </c>
      <c r="F2197" s="9" t="s">
        <v>90</v>
      </c>
      <c r="G2197" s="9" t="s">
        <v>91</v>
      </c>
      <c r="H2197" s="11" t="s">
        <v>24</v>
      </c>
      <c r="I2197" s="12" t="n">
        <v>60</v>
      </c>
      <c r="J2197" s="13" t="n">
        <v>500</v>
      </c>
      <c r="K2197" s="14" t="n">
        <f aca="false">I2197*J2197</f>
        <v>30000</v>
      </c>
      <c r="L2197" s="14" t="n">
        <f aca="false">($L$2*M2197)/100</f>
        <v>360499.95</v>
      </c>
      <c r="M2197" s="15" t="n">
        <v>0.3</v>
      </c>
      <c r="N2197" s="9" t="s">
        <v>85</v>
      </c>
    </row>
    <row r="2198" customFormat="false" ht="14.25" hidden="false" customHeight="true" outlineLevel="0" collapsed="false">
      <c r="B2198" s="9" t="s">
        <v>36</v>
      </c>
      <c r="C2198" s="9" t="n">
        <v>1128299</v>
      </c>
      <c r="D2198" s="10" t="n">
        <v>44402</v>
      </c>
      <c r="E2198" s="9" t="s">
        <v>33</v>
      </c>
      <c r="F2198" s="9" t="s">
        <v>90</v>
      </c>
      <c r="G2198" s="9" t="s">
        <v>91</v>
      </c>
      <c r="H2198" s="11" t="s">
        <v>25</v>
      </c>
      <c r="I2198" s="12" t="n">
        <v>75</v>
      </c>
      <c r="J2198" s="13" t="n">
        <v>500</v>
      </c>
      <c r="K2198" s="14" t="n">
        <f aca="false">I2198*J2198</f>
        <v>37500</v>
      </c>
      <c r="L2198" s="14" t="n">
        <f aca="false">($L$2*M2198)/100</f>
        <v>300416.625</v>
      </c>
      <c r="M2198" s="15" t="n">
        <v>0.25</v>
      </c>
      <c r="N2198" s="9" t="s">
        <v>85</v>
      </c>
    </row>
    <row r="2199" customFormat="false" ht="14.25" hidden="false" customHeight="true" outlineLevel="0" collapsed="false">
      <c r="B2199" s="9" t="s">
        <v>36</v>
      </c>
      <c r="C2199" s="9" t="n">
        <v>1128299</v>
      </c>
      <c r="D2199" s="10" t="n">
        <v>44434</v>
      </c>
      <c r="E2199" s="9" t="s">
        <v>33</v>
      </c>
      <c r="F2199" s="9" t="s">
        <v>90</v>
      </c>
      <c r="G2199" s="9" t="s">
        <v>91</v>
      </c>
      <c r="H2199" s="11" t="s">
        <v>19</v>
      </c>
      <c r="I2199" s="12" t="n">
        <v>60</v>
      </c>
      <c r="J2199" s="13" t="n">
        <v>700</v>
      </c>
      <c r="K2199" s="14" t="n">
        <f aca="false">I2199*J2199</f>
        <v>42000</v>
      </c>
      <c r="L2199" s="14" t="n">
        <f aca="false">($L$2*M2199)/100</f>
        <v>420583.275</v>
      </c>
      <c r="M2199" s="15" t="n">
        <v>0.35</v>
      </c>
      <c r="N2199" s="9" t="s">
        <v>85</v>
      </c>
    </row>
    <row r="2200" customFormat="false" ht="14.25" hidden="false" customHeight="true" outlineLevel="0" collapsed="false">
      <c r="B2200" s="9" t="s">
        <v>36</v>
      </c>
      <c r="C2200" s="9" t="n">
        <v>1128299</v>
      </c>
      <c r="D2200" s="10" t="n">
        <v>44434</v>
      </c>
      <c r="E2200" s="9" t="s">
        <v>33</v>
      </c>
      <c r="F2200" s="9" t="s">
        <v>90</v>
      </c>
      <c r="G2200" s="9" t="s">
        <v>91</v>
      </c>
      <c r="H2200" s="11" t="s">
        <v>21</v>
      </c>
      <c r="I2200" s="12" t="n">
        <v>65</v>
      </c>
      <c r="J2200" s="13" t="n">
        <v>650</v>
      </c>
      <c r="K2200" s="14" t="n">
        <f aca="false">I2200*J2200</f>
        <v>42250</v>
      </c>
      <c r="L2200" s="14" t="n">
        <f aca="false">($L$2*M2200)/100</f>
        <v>480666.6</v>
      </c>
      <c r="M2200" s="15" t="n">
        <v>0.4</v>
      </c>
      <c r="N2200" s="9" t="s">
        <v>85</v>
      </c>
    </row>
    <row r="2201" customFormat="false" ht="14.25" hidden="false" customHeight="true" outlineLevel="0" collapsed="false">
      <c r="B2201" s="9" t="s">
        <v>36</v>
      </c>
      <c r="C2201" s="9" t="n">
        <v>1128299</v>
      </c>
      <c r="D2201" s="10" t="n">
        <v>44434</v>
      </c>
      <c r="E2201" s="9" t="s">
        <v>33</v>
      </c>
      <c r="F2201" s="9" t="s">
        <v>90</v>
      </c>
      <c r="G2201" s="9" t="s">
        <v>91</v>
      </c>
      <c r="H2201" s="11" t="s">
        <v>22</v>
      </c>
      <c r="I2201" s="12" t="n">
        <v>60</v>
      </c>
      <c r="J2201" s="13" t="n">
        <v>525</v>
      </c>
      <c r="K2201" s="14" t="n">
        <f aca="false">I2201*J2201</f>
        <v>31500</v>
      </c>
      <c r="L2201" s="14" t="n">
        <f aca="false">($L$2*M2201)/100</f>
        <v>420583.275</v>
      </c>
      <c r="M2201" s="15" t="n">
        <v>0.35</v>
      </c>
      <c r="N2201" s="9" t="s">
        <v>85</v>
      </c>
    </row>
    <row r="2202" customFormat="false" ht="14.25" hidden="false" customHeight="true" outlineLevel="0" collapsed="false">
      <c r="B2202" s="9" t="s">
        <v>36</v>
      </c>
      <c r="C2202" s="9" t="n">
        <v>1128299</v>
      </c>
      <c r="D2202" s="10" t="n">
        <v>44434</v>
      </c>
      <c r="E2202" s="9" t="s">
        <v>33</v>
      </c>
      <c r="F2202" s="9" t="s">
        <v>90</v>
      </c>
      <c r="G2202" s="9" t="s">
        <v>91</v>
      </c>
      <c r="H2202" s="11" t="s">
        <v>23</v>
      </c>
      <c r="I2202" s="12" t="n">
        <v>60</v>
      </c>
      <c r="J2202" s="13" t="n">
        <v>475</v>
      </c>
      <c r="K2202" s="14" t="n">
        <f aca="false">I2202*J2202</f>
        <v>28500</v>
      </c>
      <c r="L2202" s="14" t="n">
        <f aca="false">($L$2*M2202)/100</f>
        <v>420583.275</v>
      </c>
      <c r="M2202" s="15" t="n">
        <v>0.35</v>
      </c>
      <c r="N2202" s="9" t="s">
        <v>85</v>
      </c>
    </row>
    <row r="2203" customFormat="false" ht="14.25" hidden="false" customHeight="true" outlineLevel="0" collapsed="false">
      <c r="B2203" s="9" t="s">
        <v>36</v>
      </c>
      <c r="C2203" s="9" t="n">
        <v>1128299</v>
      </c>
      <c r="D2203" s="10" t="n">
        <v>44434</v>
      </c>
      <c r="E2203" s="9" t="s">
        <v>33</v>
      </c>
      <c r="F2203" s="9" t="s">
        <v>90</v>
      </c>
      <c r="G2203" s="9" t="s">
        <v>91</v>
      </c>
      <c r="H2203" s="11" t="s">
        <v>24</v>
      </c>
      <c r="I2203" s="12" t="n">
        <v>70</v>
      </c>
      <c r="J2203" s="13" t="n">
        <v>475</v>
      </c>
      <c r="K2203" s="14" t="n">
        <f aca="false">I2203*J2203</f>
        <v>33250</v>
      </c>
      <c r="L2203" s="14" t="n">
        <f aca="false">($L$2*M2203)/100</f>
        <v>360499.95</v>
      </c>
      <c r="M2203" s="15" t="n">
        <v>0.3</v>
      </c>
      <c r="N2203" s="9" t="s">
        <v>85</v>
      </c>
    </row>
    <row r="2204" customFormat="false" ht="14.25" hidden="false" customHeight="true" outlineLevel="0" collapsed="false">
      <c r="B2204" s="9" t="s">
        <v>36</v>
      </c>
      <c r="C2204" s="9" t="n">
        <v>1128299</v>
      </c>
      <c r="D2204" s="10" t="n">
        <v>44434</v>
      </c>
      <c r="E2204" s="9" t="s">
        <v>33</v>
      </c>
      <c r="F2204" s="9" t="s">
        <v>90</v>
      </c>
      <c r="G2204" s="9" t="s">
        <v>91</v>
      </c>
      <c r="H2204" s="11" t="s">
        <v>25</v>
      </c>
      <c r="I2204" s="12" t="n">
        <v>75</v>
      </c>
      <c r="J2204" s="13" t="n">
        <v>450</v>
      </c>
      <c r="K2204" s="14" t="n">
        <f aca="false">I2204*J2204</f>
        <v>33750</v>
      </c>
      <c r="L2204" s="14" t="n">
        <f aca="false">($L$2*M2204)/100</f>
        <v>300416.625</v>
      </c>
      <c r="M2204" s="15" t="n">
        <v>0.25</v>
      </c>
      <c r="N2204" s="9" t="s">
        <v>85</v>
      </c>
    </row>
    <row r="2205" customFormat="false" ht="14.25" hidden="false" customHeight="true" outlineLevel="0" collapsed="false">
      <c r="B2205" s="9" t="s">
        <v>36</v>
      </c>
      <c r="C2205" s="9" t="n">
        <v>1128299</v>
      </c>
      <c r="D2205" s="10" t="n">
        <v>44466</v>
      </c>
      <c r="E2205" s="9" t="s">
        <v>33</v>
      </c>
      <c r="F2205" s="9" t="s">
        <v>90</v>
      </c>
      <c r="G2205" s="9" t="s">
        <v>91</v>
      </c>
      <c r="H2205" s="11" t="s">
        <v>19</v>
      </c>
      <c r="I2205" s="12" t="n">
        <v>50</v>
      </c>
      <c r="J2205" s="13" t="n">
        <v>625</v>
      </c>
      <c r="K2205" s="14" t="n">
        <f aca="false">I2205*J2205</f>
        <v>31250</v>
      </c>
      <c r="L2205" s="14" t="n">
        <f aca="false">($L$2*M2205)/100</f>
        <v>420583.275</v>
      </c>
      <c r="M2205" s="15" t="n">
        <v>0.35</v>
      </c>
      <c r="N2205" s="9" t="s">
        <v>85</v>
      </c>
    </row>
    <row r="2206" customFormat="false" ht="14.25" hidden="false" customHeight="true" outlineLevel="0" collapsed="false">
      <c r="B2206" s="9" t="s">
        <v>36</v>
      </c>
      <c r="C2206" s="9" t="n">
        <v>1128299</v>
      </c>
      <c r="D2206" s="10" t="n">
        <v>44466</v>
      </c>
      <c r="E2206" s="9" t="s">
        <v>33</v>
      </c>
      <c r="F2206" s="9" t="s">
        <v>90</v>
      </c>
      <c r="G2206" s="9" t="s">
        <v>91</v>
      </c>
      <c r="H2206" s="11" t="s">
        <v>21</v>
      </c>
      <c r="I2206" s="12" t="n">
        <v>55</v>
      </c>
      <c r="J2206" s="13" t="n">
        <v>625</v>
      </c>
      <c r="K2206" s="14" t="n">
        <f aca="false">I2206*J2206</f>
        <v>34375</v>
      </c>
      <c r="L2206" s="14" t="n">
        <f aca="false">($L$2*M2206)/100</f>
        <v>480666.6</v>
      </c>
      <c r="M2206" s="15" t="n">
        <v>0.4</v>
      </c>
      <c r="N2206" s="9" t="s">
        <v>85</v>
      </c>
    </row>
    <row r="2207" customFormat="false" ht="14.25" hidden="false" customHeight="true" outlineLevel="0" collapsed="false">
      <c r="B2207" s="9" t="s">
        <v>36</v>
      </c>
      <c r="C2207" s="9" t="n">
        <v>1128299</v>
      </c>
      <c r="D2207" s="10" t="n">
        <v>44466</v>
      </c>
      <c r="E2207" s="9" t="s">
        <v>33</v>
      </c>
      <c r="F2207" s="9" t="s">
        <v>90</v>
      </c>
      <c r="G2207" s="9" t="s">
        <v>91</v>
      </c>
      <c r="H2207" s="11" t="s">
        <v>22</v>
      </c>
      <c r="I2207" s="12" t="n">
        <v>50</v>
      </c>
      <c r="J2207" s="13" t="n">
        <v>475</v>
      </c>
      <c r="K2207" s="14" t="n">
        <f aca="false">I2207*J2207</f>
        <v>23750</v>
      </c>
      <c r="L2207" s="14" t="n">
        <f aca="false">($L$2*M2207)/100</f>
        <v>420583.275</v>
      </c>
      <c r="M2207" s="15" t="n">
        <v>0.35</v>
      </c>
      <c r="N2207" s="9" t="s">
        <v>85</v>
      </c>
    </row>
    <row r="2208" customFormat="false" ht="14.25" hidden="false" customHeight="true" outlineLevel="0" collapsed="false">
      <c r="B2208" s="9" t="s">
        <v>36</v>
      </c>
      <c r="C2208" s="9" t="n">
        <v>1128299</v>
      </c>
      <c r="D2208" s="10" t="n">
        <v>44466</v>
      </c>
      <c r="E2208" s="9" t="s">
        <v>33</v>
      </c>
      <c r="F2208" s="9" t="s">
        <v>90</v>
      </c>
      <c r="G2208" s="9" t="s">
        <v>91</v>
      </c>
      <c r="H2208" s="11" t="s">
        <v>23</v>
      </c>
      <c r="I2208" s="12" t="n">
        <v>50</v>
      </c>
      <c r="J2208" s="13" t="n">
        <v>425</v>
      </c>
      <c r="K2208" s="14" t="n">
        <f aca="false">I2208*J2208</f>
        <v>21250</v>
      </c>
      <c r="L2208" s="14" t="n">
        <f aca="false">($L$2*M2208)/100</f>
        <v>420583.275</v>
      </c>
      <c r="M2208" s="15" t="n">
        <v>0.35</v>
      </c>
      <c r="N2208" s="9" t="s">
        <v>85</v>
      </c>
    </row>
    <row r="2209" customFormat="false" ht="14.25" hidden="false" customHeight="true" outlineLevel="0" collapsed="false">
      <c r="B2209" s="9" t="s">
        <v>36</v>
      </c>
      <c r="C2209" s="9" t="n">
        <v>1128299</v>
      </c>
      <c r="D2209" s="10" t="n">
        <v>44466</v>
      </c>
      <c r="E2209" s="9" t="s">
        <v>33</v>
      </c>
      <c r="F2209" s="9" t="s">
        <v>90</v>
      </c>
      <c r="G2209" s="9" t="s">
        <v>91</v>
      </c>
      <c r="H2209" s="11" t="s">
        <v>24</v>
      </c>
      <c r="I2209" s="12" t="n">
        <v>60</v>
      </c>
      <c r="J2209" s="13" t="n">
        <v>425</v>
      </c>
      <c r="K2209" s="14" t="n">
        <f aca="false">I2209*J2209</f>
        <v>25500</v>
      </c>
      <c r="L2209" s="14" t="n">
        <f aca="false">($L$2*M2209)/100</f>
        <v>360499.95</v>
      </c>
      <c r="M2209" s="15" t="n">
        <v>0.3</v>
      </c>
      <c r="N2209" s="9" t="s">
        <v>85</v>
      </c>
    </row>
    <row r="2210" customFormat="false" ht="14.25" hidden="false" customHeight="true" outlineLevel="0" collapsed="false">
      <c r="B2210" s="9" t="s">
        <v>36</v>
      </c>
      <c r="C2210" s="9" t="n">
        <v>1128299</v>
      </c>
      <c r="D2210" s="10" t="n">
        <v>44466</v>
      </c>
      <c r="E2210" s="9" t="s">
        <v>33</v>
      </c>
      <c r="F2210" s="9" t="s">
        <v>90</v>
      </c>
      <c r="G2210" s="9" t="s">
        <v>91</v>
      </c>
      <c r="H2210" s="11" t="s">
        <v>25</v>
      </c>
      <c r="I2210" s="12" t="n">
        <v>65</v>
      </c>
      <c r="J2210" s="13" t="n">
        <v>475</v>
      </c>
      <c r="K2210" s="14" t="n">
        <f aca="false">I2210*J2210</f>
        <v>30875</v>
      </c>
      <c r="L2210" s="14" t="n">
        <f aca="false">($L$2*M2210)/100</f>
        <v>300416.625</v>
      </c>
      <c r="M2210" s="15" t="n">
        <v>0.25</v>
      </c>
      <c r="N2210" s="9" t="s">
        <v>85</v>
      </c>
    </row>
    <row r="2211" customFormat="false" ht="14.25" hidden="false" customHeight="true" outlineLevel="0" collapsed="false">
      <c r="B2211" s="9" t="s">
        <v>36</v>
      </c>
      <c r="C2211" s="9" t="n">
        <v>1128299</v>
      </c>
      <c r="D2211" s="10" t="n">
        <v>44495</v>
      </c>
      <c r="E2211" s="9" t="s">
        <v>33</v>
      </c>
      <c r="F2211" s="9" t="s">
        <v>90</v>
      </c>
      <c r="G2211" s="9" t="s">
        <v>91</v>
      </c>
      <c r="H2211" s="11" t="s">
        <v>19</v>
      </c>
      <c r="I2211" s="12" t="n">
        <v>50</v>
      </c>
      <c r="J2211" s="13" t="n">
        <v>550</v>
      </c>
      <c r="K2211" s="14" t="n">
        <f aca="false">I2211*J2211</f>
        <v>27500</v>
      </c>
      <c r="L2211" s="14" t="n">
        <f aca="false">($L$2*M2211)/100</f>
        <v>420583.275</v>
      </c>
      <c r="M2211" s="15" t="n">
        <v>0.35</v>
      </c>
      <c r="N2211" s="9" t="s">
        <v>85</v>
      </c>
    </row>
    <row r="2212" customFormat="false" ht="14.25" hidden="false" customHeight="true" outlineLevel="0" collapsed="false">
      <c r="B2212" s="9" t="s">
        <v>36</v>
      </c>
      <c r="C2212" s="9" t="n">
        <v>1128299</v>
      </c>
      <c r="D2212" s="10" t="n">
        <v>44495</v>
      </c>
      <c r="E2212" s="9" t="s">
        <v>33</v>
      </c>
      <c r="F2212" s="9" t="s">
        <v>90</v>
      </c>
      <c r="G2212" s="9" t="s">
        <v>91</v>
      </c>
      <c r="H2212" s="11" t="s">
        <v>21</v>
      </c>
      <c r="I2212" s="12" t="n">
        <v>55</v>
      </c>
      <c r="J2212" s="13" t="n">
        <v>550</v>
      </c>
      <c r="K2212" s="14" t="n">
        <f aca="false">I2212*J2212</f>
        <v>30250</v>
      </c>
      <c r="L2212" s="14" t="n">
        <f aca="false">($L$2*M2212)/100</f>
        <v>480666.6</v>
      </c>
      <c r="M2212" s="15" t="n">
        <v>0.4</v>
      </c>
      <c r="N2212" s="9" t="s">
        <v>85</v>
      </c>
    </row>
    <row r="2213" customFormat="false" ht="14.25" hidden="false" customHeight="true" outlineLevel="0" collapsed="false">
      <c r="B2213" s="9" t="s">
        <v>36</v>
      </c>
      <c r="C2213" s="9" t="n">
        <v>1128299</v>
      </c>
      <c r="D2213" s="10" t="n">
        <v>44495</v>
      </c>
      <c r="E2213" s="9" t="s">
        <v>33</v>
      </c>
      <c r="F2213" s="9" t="s">
        <v>90</v>
      </c>
      <c r="G2213" s="9" t="s">
        <v>91</v>
      </c>
      <c r="H2213" s="11" t="s">
        <v>22</v>
      </c>
      <c r="I2213" s="12" t="n">
        <v>50</v>
      </c>
      <c r="J2213" s="13" t="n">
        <v>375</v>
      </c>
      <c r="K2213" s="14" t="n">
        <f aca="false">I2213*J2213</f>
        <v>18750</v>
      </c>
      <c r="L2213" s="14" t="n">
        <f aca="false">($L$2*M2213)/100</f>
        <v>420583.275</v>
      </c>
      <c r="M2213" s="15" t="n">
        <v>0.35</v>
      </c>
      <c r="N2213" s="9" t="s">
        <v>85</v>
      </c>
    </row>
    <row r="2214" customFormat="false" ht="14.25" hidden="false" customHeight="true" outlineLevel="0" collapsed="false">
      <c r="B2214" s="9" t="s">
        <v>36</v>
      </c>
      <c r="C2214" s="9" t="n">
        <v>1128299</v>
      </c>
      <c r="D2214" s="10" t="n">
        <v>44495</v>
      </c>
      <c r="E2214" s="9" t="s">
        <v>33</v>
      </c>
      <c r="F2214" s="9" t="s">
        <v>90</v>
      </c>
      <c r="G2214" s="9" t="s">
        <v>91</v>
      </c>
      <c r="H2214" s="11" t="s">
        <v>23</v>
      </c>
      <c r="I2214" s="12" t="n">
        <v>50</v>
      </c>
      <c r="J2214" s="13" t="n">
        <v>350</v>
      </c>
      <c r="K2214" s="14" t="n">
        <f aca="false">I2214*J2214</f>
        <v>17500</v>
      </c>
      <c r="L2214" s="14" t="n">
        <f aca="false">($L$2*M2214)/100</f>
        <v>420583.275</v>
      </c>
      <c r="M2214" s="15" t="n">
        <v>0.35</v>
      </c>
      <c r="N2214" s="9" t="s">
        <v>85</v>
      </c>
    </row>
    <row r="2215" customFormat="false" ht="14.25" hidden="false" customHeight="true" outlineLevel="0" collapsed="false">
      <c r="B2215" s="9" t="s">
        <v>36</v>
      </c>
      <c r="C2215" s="9" t="n">
        <v>1128299</v>
      </c>
      <c r="D2215" s="10" t="n">
        <v>44495</v>
      </c>
      <c r="E2215" s="9" t="s">
        <v>33</v>
      </c>
      <c r="F2215" s="9" t="s">
        <v>90</v>
      </c>
      <c r="G2215" s="9" t="s">
        <v>91</v>
      </c>
      <c r="H2215" s="11" t="s">
        <v>24</v>
      </c>
      <c r="I2215" s="12" t="n">
        <v>60</v>
      </c>
      <c r="J2215" s="13" t="n">
        <v>325</v>
      </c>
      <c r="K2215" s="14" t="n">
        <f aca="false">I2215*J2215</f>
        <v>19500</v>
      </c>
      <c r="L2215" s="14" t="n">
        <f aca="false">($L$2*M2215)/100</f>
        <v>360499.95</v>
      </c>
      <c r="M2215" s="15" t="n">
        <v>0.3</v>
      </c>
      <c r="N2215" s="9" t="s">
        <v>85</v>
      </c>
    </row>
    <row r="2216" customFormat="false" ht="14.25" hidden="false" customHeight="true" outlineLevel="0" collapsed="false">
      <c r="B2216" s="9" t="s">
        <v>36</v>
      </c>
      <c r="C2216" s="9" t="n">
        <v>1128299</v>
      </c>
      <c r="D2216" s="10" t="n">
        <v>44495</v>
      </c>
      <c r="E2216" s="9" t="s">
        <v>33</v>
      </c>
      <c r="F2216" s="9" t="s">
        <v>90</v>
      </c>
      <c r="G2216" s="9" t="s">
        <v>91</v>
      </c>
      <c r="H2216" s="11" t="s">
        <v>25</v>
      </c>
      <c r="I2216" s="12" t="n">
        <v>75</v>
      </c>
      <c r="J2216" s="13" t="n">
        <v>375</v>
      </c>
      <c r="K2216" s="14" t="n">
        <f aca="false">I2216*J2216</f>
        <v>28125</v>
      </c>
      <c r="L2216" s="14" t="n">
        <f aca="false">($L$2*M2216)/100</f>
        <v>300416.625</v>
      </c>
      <c r="M2216" s="15" t="n">
        <v>0.25</v>
      </c>
      <c r="N2216" s="9" t="s">
        <v>85</v>
      </c>
    </row>
    <row r="2217" customFormat="false" ht="14.25" hidden="false" customHeight="true" outlineLevel="0" collapsed="false">
      <c r="B2217" s="9" t="s">
        <v>36</v>
      </c>
      <c r="C2217" s="9" t="n">
        <v>1128299</v>
      </c>
      <c r="D2217" s="10" t="n">
        <v>44526</v>
      </c>
      <c r="E2217" s="9" t="s">
        <v>33</v>
      </c>
      <c r="F2217" s="9" t="s">
        <v>90</v>
      </c>
      <c r="G2217" s="9" t="s">
        <v>91</v>
      </c>
      <c r="H2217" s="11" t="s">
        <v>19</v>
      </c>
      <c r="I2217" s="12" t="n">
        <v>60</v>
      </c>
      <c r="J2217" s="13" t="n">
        <v>550</v>
      </c>
      <c r="K2217" s="14" t="n">
        <f aca="false">I2217*J2217</f>
        <v>33000</v>
      </c>
      <c r="L2217" s="14" t="n">
        <f aca="false">($L$2*M2217)/100</f>
        <v>420583.275</v>
      </c>
      <c r="M2217" s="15" t="n">
        <v>0.35</v>
      </c>
      <c r="N2217" s="9" t="s">
        <v>85</v>
      </c>
    </row>
    <row r="2218" customFormat="false" ht="14.25" hidden="false" customHeight="true" outlineLevel="0" collapsed="false">
      <c r="B2218" s="9" t="s">
        <v>36</v>
      </c>
      <c r="C2218" s="9" t="n">
        <v>1128299</v>
      </c>
      <c r="D2218" s="10" t="n">
        <v>44526</v>
      </c>
      <c r="E2218" s="9" t="s">
        <v>33</v>
      </c>
      <c r="F2218" s="9" t="s">
        <v>90</v>
      </c>
      <c r="G2218" s="9" t="s">
        <v>91</v>
      </c>
      <c r="H2218" s="11" t="s">
        <v>21</v>
      </c>
      <c r="I2218" s="12" t="n">
        <v>65</v>
      </c>
      <c r="J2218" s="13" t="n">
        <v>600</v>
      </c>
      <c r="K2218" s="14" t="n">
        <f aca="false">I2218*J2218</f>
        <v>39000</v>
      </c>
      <c r="L2218" s="14" t="n">
        <f aca="false">($L$2*M2218)/100</f>
        <v>480666.6</v>
      </c>
      <c r="M2218" s="15" t="n">
        <v>0.4</v>
      </c>
      <c r="N2218" s="9" t="s">
        <v>85</v>
      </c>
    </row>
    <row r="2219" customFormat="false" ht="14.25" hidden="false" customHeight="true" outlineLevel="0" collapsed="false">
      <c r="B2219" s="9" t="s">
        <v>36</v>
      </c>
      <c r="C2219" s="9" t="n">
        <v>1128299</v>
      </c>
      <c r="D2219" s="10" t="n">
        <v>44526</v>
      </c>
      <c r="E2219" s="9" t="s">
        <v>33</v>
      </c>
      <c r="F2219" s="9" t="s">
        <v>90</v>
      </c>
      <c r="G2219" s="9" t="s">
        <v>91</v>
      </c>
      <c r="H2219" s="11" t="s">
        <v>22</v>
      </c>
      <c r="I2219" s="12" t="n">
        <v>60</v>
      </c>
      <c r="J2219" s="13" t="n">
        <v>450</v>
      </c>
      <c r="K2219" s="14" t="n">
        <f aca="false">I2219*J2219</f>
        <v>27000</v>
      </c>
      <c r="L2219" s="14" t="n">
        <f aca="false">($L$2*M2219)/100</f>
        <v>420583.275</v>
      </c>
      <c r="M2219" s="15" t="n">
        <v>0.35</v>
      </c>
      <c r="N2219" s="9" t="s">
        <v>85</v>
      </c>
    </row>
    <row r="2220" customFormat="false" ht="14.25" hidden="false" customHeight="true" outlineLevel="0" collapsed="false">
      <c r="B2220" s="9" t="s">
        <v>36</v>
      </c>
      <c r="C2220" s="9" t="n">
        <v>1128299</v>
      </c>
      <c r="D2220" s="10" t="n">
        <v>44526</v>
      </c>
      <c r="E2220" s="9" t="s">
        <v>33</v>
      </c>
      <c r="F2220" s="9" t="s">
        <v>90</v>
      </c>
      <c r="G2220" s="9" t="s">
        <v>91</v>
      </c>
      <c r="H2220" s="11" t="s">
        <v>23</v>
      </c>
      <c r="I2220" s="12" t="n">
        <v>60</v>
      </c>
      <c r="J2220" s="13" t="n">
        <v>425</v>
      </c>
      <c r="K2220" s="14" t="n">
        <f aca="false">I2220*J2220</f>
        <v>25500</v>
      </c>
      <c r="L2220" s="14" t="n">
        <f aca="false">($L$2*M2220)/100</f>
        <v>420583.275</v>
      </c>
      <c r="M2220" s="15" t="n">
        <v>0.35</v>
      </c>
      <c r="N2220" s="9" t="s">
        <v>85</v>
      </c>
    </row>
    <row r="2221" customFormat="false" ht="14.25" hidden="false" customHeight="true" outlineLevel="0" collapsed="false">
      <c r="B2221" s="9" t="s">
        <v>36</v>
      </c>
      <c r="C2221" s="9" t="n">
        <v>1128299</v>
      </c>
      <c r="D2221" s="10" t="n">
        <v>44526</v>
      </c>
      <c r="E2221" s="9" t="s">
        <v>33</v>
      </c>
      <c r="F2221" s="9" t="s">
        <v>90</v>
      </c>
      <c r="G2221" s="9" t="s">
        <v>91</v>
      </c>
      <c r="H2221" s="11" t="s">
        <v>24</v>
      </c>
      <c r="I2221" s="12" t="n">
        <v>70</v>
      </c>
      <c r="J2221" s="13" t="n">
        <v>375</v>
      </c>
      <c r="K2221" s="14" t="n">
        <f aca="false">I2221*J2221</f>
        <v>26250</v>
      </c>
      <c r="L2221" s="14" t="n">
        <f aca="false">($L$2*M2221)/100</f>
        <v>360499.95</v>
      </c>
      <c r="M2221" s="15" t="n">
        <v>0.3</v>
      </c>
      <c r="N2221" s="9" t="s">
        <v>85</v>
      </c>
    </row>
    <row r="2222" customFormat="false" ht="14.25" hidden="false" customHeight="true" outlineLevel="0" collapsed="false">
      <c r="B2222" s="9" t="s">
        <v>36</v>
      </c>
      <c r="C2222" s="9" t="n">
        <v>1128299</v>
      </c>
      <c r="D2222" s="10" t="n">
        <v>44526</v>
      </c>
      <c r="E2222" s="9" t="s">
        <v>33</v>
      </c>
      <c r="F2222" s="9" t="s">
        <v>90</v>
      </c>
      <c r="G2222" s="9" t="s">
        <v>91</v>
      </c>
      <c r="H2222" s="11" t="s">
        <v>25</v>
      </c>
      <c r="I2222" s="12" t="n">
        <v>75</v>
      </c>
      <c r="J2222" s="13" t="n">
        <v>500</v>
      </c>
      <c r="K2222" s="14" t="n">
        <f aca="false">I2222*J2222</f>
        <v>37500</v>
      </c>
      <c r="L2222" s="14" t="n">
        <f aca="false">($L$2*M2222)/100</f>
        <v>300416.625</v>
      </c>
      <c r="M2222" s="15" t="n">
        <v>0.25</v>
      </c>
      <c r="N2222" s="9" t="s">
        <v>85</v>
      </c>
    </row>
    <row r="2223" customFormat="false" ht="14.25" hidden="false" customHeight="true" outlineLevel="0" collapsed="false">
      <c r="B2223" s="9" t="s">
        <v>36</v>
      </c>
      <c r="C2223" s="9" t="n">
        <v>1128299</v>
      </c>
      <c r="D2223" s="10" t="n">
        <v>44555</v>
      </c>
      <c r="E2223" s="9" t="s">
        <v>33</v>
      </c>
      <c r="F2223" s="9" t="s">
        <v>90</v>
      </c>
      <c r="G2223" s="9" t="s">
        <v>91</v>
      </c>
      <c r="H2223" s="11" t="s">
        <v>19</v>
      </c>
      <c r="I2223" s="12" t="n">
        <v>60</v>
      </c>
      <c r="J2223" s="13" t="n">
        <v>700</v>
      </c>
      <c r="K2223" s="14" t="n">
        <f aca="false">I2223*J2223</f>
        <v>42000</v>
      </c>
      <c r="L2223" s="14" t="n">
        <f aca="false">($L$2*M2223)/100</f>
        <v>420583.275</v>
      </c>
      <c r="M2223" s="15" t="n">
        <v>0.35</v>
      </c>
      <c r="N2223" s="9" t="s">
        <v>85</v>
      </c>
    </row>
    <row r="2224" customFormat="false" ht="14.25" hidden="false" customHeight="true" outlineLevel="0" collapsed="false">
      <c r="B2224" s="9" t="s">
        <v>36</v>
      </c>
      <c r="C2224" s="9" t="n">
        <v>1128299</v>
      </c>
      <c r="D2224" s="10" t="n">
        <v>44555</v>
      </c>
      <c r="E2224" s="9" t="s">
        <v>33</v>
      </c>
      <c r="F2224" s="9" t="s">
        <v>90</v>
      </c>
      <c r="G2224" s="9" t="s">
        <v>91</v>
      </c>
      <c r="H2224" s="11" t="s">
        <v>21</v>
      </c>
      <c r="I2224" s="12" t="n">
        <v>65</v>
      </c>
      <c r="J2224" s="13" t="n">
        <v>700</v>
      </c>
      <c r="K2224" s="14" t="n">
        <f aca="false">I2224*J2224</f>
        <v>45500</v>
      </c>
      <c r="L2224" s="14" t="n">
        <f aca="false">($L$2*M2224)/100</f>
        <v>480666.6</v>
      </c>
      <c r="M2224" s="15" t="n">
        <v>0.4</v>
      </c>
      <c r="N2224" s="9" t="s">
        <v>85</v>
      </c>
    </row>
    <row r="2225" customFormat="false" ht="14.25" hidden="false" customHeight="true" outlineLevel="0" collapsed="false">
      <c r="B2225" s="9" t="s">
        <v>28</v>
      </c>
      <c r="C2225" s="9" t="n">
        <v>1128299</v>
      </c>
      <c r="D2225" s="10" t="n">
        <v>44555</v>
      </c>
      <c r="E2225" s="9" t="s">
        <v>33</v>
      </c>
      <c r="F2225" s="9" t="s">
        <v>90</v>
      </c>
      <c r="G2225" s="9" t="s">
        <v>91</v>
      </c>
      <c r="H2225" s="11" t="s">
        <v>22</v>
      </c>
      <c r="I2225" s="12" t="n">
        <v>60</v>
      </c>
      <c r="J2225" s="13" t="n">
        <v>500</v>
      </c>
      <c r="K2225" s="14" t="n">
        <f aca="false">I2225*J2225</f>
        <v>30000</v>
      </c>
      <c r="L2225" s="14" t="n">
        <f aca="false">($L$2*M2225)/100</f>
        <v>420583.275</v>
      </c>
      <c r="M2225" s="15" t="n">
        <v>0.35</v>
      </c>
      <c r="N2225" s="9" t="s">
        <v>85</v>
      </c>
    </row>
    <row r="2226" customFormat="false" ht="14.25" hidden="false" customHeight="true" outlineLevel="0" collapsed="false">
      <c r="B2226" s="9" t="s">
        <v>28</v>
      </c>
      <c r="C2226" s="9" t="n">
        <v>1128299</v>
      </c>
      <c r="D2226" s="10" t="n">
        <v>44555</v>
      </c>
      <c r="E2226" s="9" t="s">
        <v>33</v>
      </c>
      <c r="F2226" s="9" t="s">
        <v>90</v>
      </c>
      <c r="G2226" s="9" t="s">
        <v>91</v>
      </c>
      <c r="H2226" s="11" t="s">
        <v>23</v>
      </c>
      <c r="I2226" s="12" t="n">
        <v>60</v>
      </c>
      <c r="J2226" s="13" t="n">
        <v>500</v>
      </c>
      <c r="K2226" s="14" t="n">
        <f aca="false">I2226*J2226</f>
        <v>30000</v>
      </c>
      <c r="L2226" s="14" t="n">
        <f aca="false">($L$2*M2226)/100</f>
        <v>420583.275</v>
      </c>
      <c r="M2226" s="15" t="n">
        <v>0.35</v>
      </c>
      <c r="N2226" s="9" t="s">
        <v>85</v>
      </c>
    </row>
    <row r="2227" customFormat="false" ht="14.25" hidden="false" customHeight="true" outlineLevel="0" collapsed="false">
      <c r="B2227" s="9" t="s">
        <v>28</v>
      </c>
      <c r="C2227" s="9" t="n">
        <v>1128299</v>
      </c>
      <c r="D2227" s="10" t="n">
        <v>44555</v>
      </c>
      <c r="E2227" s="9" t="s">
        <v>33</v>
      </c>
      <c r="F2227" s="9" t="s">
        <v>90</v>
      </c>
      <c r="G2227" s="9" t="s">
        <v>91</v>
      </c>
      <c r="H2227" s="11" t="s">
        <v>24</v>
      </c>
      <c r="I2227" s="12" t="n">
        <v>70</v>
      </c>
      <c r="J2227" s="13" t="n">
        <v>425</v>
      </c>
      <c r="K2227" s="14" t="n">
        <f aca="false">I2227*J2227</f>
        <v>29750</v>
      </c>
      <c r="L2227" s="14" t="n">
        <f aca="false">($L$2*M2227)/100</f>
        <v>360499.95</v>
      </c>
      <c r="M2227" s="15" t="n">
        <v>0.3</v>
      </c>
      <c r="N2227" s="9" t="s">
        <v>85</v>
      </c>
    </row>
    <row r="2228" customFormat="false" ht="14.25" hidden="false" customHeight="true" outlineLevel="0" collapsed="false">
      <c r="B2228" s="9" t="s">
        <v>28</v>
      </c>
      <c r="C2228" s="9" t="n">
        <v>1128299</v>
      </c>
      <c r="D2228" s="10" t="n">
        <v>44555</v>
      </c>
      <c r="E2228" s="9" t="s">
        <v>33</v>
      </c>
      <c r="F2228" s="9" t="s">
        <v>90</v>
      </c>
      <c r="G2228" s="9" t="s">
        <v>91</v>
      </c>
      <c r="H2228" s="11" t="s">
        <v>25</v>
      </c>
      <c r="I2228" s="12" t="n">
        <v>75</v>
      </c>
      <c r="J2228" s="13" t="n">
        <v>525</v>
      </c>
      <c r="K2228" s="14" t="n">
        <f aca="false">I2228*J2228</f>
        <v>39375</v>
      </c>
      <c r="L2228" s="14" t="n">
        <f aca="false">($L$2*M2228)/100</f>
        <v>300416.625</v>
      </c>
      <c r="M2228" s="15" t="n">
        <v>0.25</v>
      </c>
      <c r="N2228" s="9" t="s">
        <v>85</v>
      </c>
    </row>
    <row r="2229" customFormat="false" ht="14.25" hidden="false" customHeight="true" outlineLevel="0" collapsed="false">
      <c r="B2229" s="9" t="s">
        <v>28</v>
      </c>
      <c r="C2229" s="9" t="n">
        <v>1128299</v>
      </c>
      <c r="D2229" s="10" t="n">
        <v>44209</v>
      </c>
      <c r="E2229" s="9" t="s">
        <v>33</v>
      </c>
      <c r="F2229" s="9" t="s">
        <v>90</v>
      </c>
      <c r="G2229" s="9" t="s">
        <v>91</v>
      </c>
      <c r="H2229" s="11" t="s">
        <v>19</v>
      </c>
      <c r="I2229" s="12" t="n">
        <v>30</v>
      </c>
      <c r="J2229" s="13" t="n">
        <v>450</v>
      </c>
      <c r="K2229" s="14" t="n">
        <f aca="false">I2229*J2229</f>
        <v>13500</v>
      </c>
      <c r="L2229" s="14" t="n">
        <f aca="false">($L$2*M2229)/100</f>
        <v>480666.6</v>
      </c>
      <c r="M2229" s="15" t="n">
        <v>0.4</v>
      </c>
      <c r="N2229" s="9" t="s">
        <v>85</v>
      </c>
    </row>
    <row r="2230" customFormat="false" ht="14.25" hidden="false" customHeight="true" outlineLevel="0" collapsed="false">
      <c r="B2230" s="9" t="s">
        <v>28</v>
      </c>
      <c r="C2230" s="9" t="n">
        <v>1128299</v>
      </c>
      <c r="D2230" s="10" t="n">
        <v>44209</v>
      </c>
      <c r="E2230" s="9" t="s">
        <v>33</v>
      </c>
      <c r="F2230" s="9" t="s">
        <v>90</v>
      </c>
      <c r="G2230" s="9" t="s">
        <v>91</v>
      </c>
      <c r="H2230" s="11" t="s">
        <v>21</v>
      </c>
      <c r="I2230" s="12" t="n">
        <v>40</v>
      </c>
      <c r="J2230" s="13" t="n">
        <v>450</v>
      </c>
      <c r="K2230" s="14" t="n">
        <f aca="false">I2230*J2230</f>
        <v>18000</v>
      </c>
      <c r="L2230" s="14" t="n">
        <f aca="false">($L$2*M2230)/100</f>
        <v>480666.6</v>
      </c>
      <c r="M2230" s="15" t="n">
        <v>0.4</v>
      </c>
      <c r="N2230" s="9" t="s">
        <v>85</v>
      </c>
    </row>
    <row r="2231" customFormat="false" ht="14.25" hidden="false" customHeight="true" outlineLevel="0" collapsed="false">
      <c r="B2231" s="9" t="s">
        <v>28</v>
      </c>
      <c r="C2231" s="9" t="n">
        <v>1128299</v>
      </c>
      <c r="D2231" s="10" t="n">
        <v>44209</v>
      </c>
      <c r="E2231" s="9" t="s">
        <v>33</v>
      </c>
      <c r="F2231" s="9" t="s">
        <v>90</v>
      </c>
      <c r="G2231" s="9" t="s">
        <v>91</v>
      </c>
      <c r="H2231" s="11" t="s">
        <v>22</v>
      </c>
      <c r="I2231" s="12" t="n">
        <v>40</v>
      </c>
      <c r="J2231" s="13" t="n">
        <v>450</v>
      </c>
      <c r="K2231" s="14" t="n">
        <f aca="false">I2231*J2231</f>
        <v>18000</v>
      </c>
      <c r="L2231" s="14" t="n">
        <f aca="false">($L$2*M2231)/100</f>
        <v>420583.275</v>
      </c>
      <c r="M2231" s="15" t="n">
        <v>0.35</v>
      </c>
      <c r="N2231" s="9" t="s">
        <v>85</v>
      </c>
    </row>
    <row r="2232" customFormat="false" ht="14.25" hidden="false" customHeight="true" outlineLevel="0" collapsed="false">
      <c r="B2232" s="9" t="s">
        <v>28</v>
      </c>
      <c r="C2232" s="9" t="n">
        <v>1128299</v>
      </c>
      <c r="D2232" s="10" t="n">
        <v>44209</v>
      </c>
      <c r="E2232" s="9" t="s">
        <v>33</v>
      </c>
      <c r="F2232" s="9" t="s">
        <v>90</v>
      </c>
      <c r="G2232" s="9" t="s">
        <v>91</v>
      </c>
      <c r="H2232" s="11" t="s">
        <v>23</v>
      </c>
      <c r="I2232" s="12" t="n">
        <v>40</v>
      </c>
      <c r="J2232" s="13" t="n">
        <v>300</v>
      </c>
      <c r="K2232" s="14" t="n">
        <f aca="false">I2232*J2232</f>
        <v>12000</v>
      </c>
      <c r="L2232" s="14" t="n">
        <f aca="false">($L$2*M2232)/100</f>
        <v>480666.6</v>
      </c>
      <c r="M2232" s="15" t="n">
        <v>0.4</v>
      </c>
      <c r="N2232" s="9" t="s">
        <v>85</v>
      </c>
    </row>
    <row r="2233" customFormat="false" ht="14.25" hidden="false" customHeight="true" outlineLevel="0" collapsed="false">
      <c r="B2233" s="9" t="s">
        <v>28</v>
      </c>
      <c r="C2233" s="9" t="n">
        <v>1128299</v>
      </c>
      <c r="D2233" s="10" t="n">
        <v>44209</v>
      </c>
      <c r="E2233" s="9" t="s">
        <v>33</v>
      </c>
      <c r="F2233" s="9" t="s">
        <v>90</v>
      </c>
      <c r="G2233" s="9" t="s">
        <v>91</v>
      </c>
      <c r="H2233" s="11" t="s">
        <v>24</v>
      </c>
      <c r="I2233" s="12" t="n">
        <v>45</v>
      </c>
      <c r="J2233" s="13" t="n">
        <v>250</v>
      </c>
      <c r="K2233" s="14" t="n">
        <f aca="false">I2233*J2233</f>
        <v>11250</v>
      </c>
      <c r="L2233" s="14" t="n">
        <f aca="false">($L$2*M2233)/100</f>
        <v>420583.275</v>
      </c>
      <c r="M2233" s="15" t="n">
        <v>0.35</v>
      </c>
      <c r="N2233" s="9" t="s">
        <v>85</v>
      </c>
    </row>
    <row r="2234" customFormat="false" ht="14.25" hidden="false" customHeight="true" outlineLevel="0" collapsed="false">
      <c r="B2234" s="9" t="s">
        <v>28</v>
      </c>
      <c r="C2234" s="9" t="n">
        <v>1128299</v>
      </c>
      <c r="D2234" s="10" t="n">
        <v>44209</v>
      </c>
      <c r="E2234" s="9" t="s">
        <v>33</v>
      </c>
      <c r="F2234" s="9" t="s">
        <v>90</v>
      </c>
      <c r="G2234" s="9" t="s">
        <v>91</v>
      </c>
      <c r="H2234" s="11" t="s">
        <v>25</v>
      </c>
      <c r="I2234" s="12" t="n">
        <v>40</v>
      </c>
      <c r="J2234" s="13" t="n">
        <v>450</v>
      </c>
      <c r="K2234" s="14" t="n">
        <f aca="false">I2234*J2234</f>
        <v>18000</v>
      </c>
      <c r="L2234" s="14" t="n">
        <f aca="false">($L$2*M2234)/100</f>
        <v>300416.625</v>
      </c>
      <c r="M2234" s="15" t="n">
        <v>0.25</v>
      </c>
      <c r="N2234" s="9" t="s">
        <v>85</v>
      </c>
    </row>
    <row r="2235" customFormat="false" ht="14.25" hidden="false" customHeight="true" outlineLevel="0" collapsed="false">
      <c r="B2235" s="9" t="s">
        <v>28</v>
      </c>
      <c r="C2235" s="9" t="n">
        <v>1128299</v>
      </c>
      <c r="D2235" s="10" t="n">
        <v>44240</v>
      </c>
      <c r="E2235" s="9" t="s">
        <v>33</v>
      </c>
      <c r="F2235" s="9" t="s">
        <v>90</v>
      </c>
      <c r="G2235" s="9" t="s">
        <v>91</v>
      </c>
      <c r="H2235" s="11" t="s">
        <v>19</v>
      </c>
      <c r="I2235" s="12" t="n">
        <v>30</v>
      </c>
      <c r="J2235" s="13" t="n">
        <v>500</v>
      </c>
      <c r="K2235" s="14" t="n">
        <f aca="false">I2235*J2235</f>
        <v>15000</v>
      </c>
      <c r="L2235" s="14" t="n">
        <f aca="false">($L$2*M2235)/100</f>
        <v>480666.6</v>
      </c>
      <c r="M2235" s="15" t="n">
        <v>0.4</v>
      </c>
      <c r="N2235" s="9" t="s">
        <v>85</v>
      </c>
    </row>
    <row r="2236" customFormat="false" ht="14.25" hidden="false" customHeight="true" outlineLevel="0" collapsed="false">
      <c r="B2236" s="9" t="s">
        <v>28</v>
      </c>
      <c r="C2236" s="9" t="n">
        <v>1128299</v>
      </c>
      <c r="D2236" s="10" t="n">
        <v>44240</v>
      </c>
      <c r="E2236" s="9" t="s">
        <v>33</v>
      </c>
      <c r="F2236" s="9" t="s">
        <v>90</v>
      </c>
      <c r="G2236" s="9" t="s">
        <v>91</v>
      </c>
      <c r="H2236" s="11" t="s">
        <v>21</v>
      </c>
      <c r="I2236" s="12" t="n">
        <v>40</v>
      </c>
      <c r="J2236" s="13" t="n">
        <v>400</v>
      </c>
      <c r="K2236" s="14" t="n">
        <f aca="false">I2236*J2236</f>
        <v>16000</v>
      </c>
      <c r="L2236" s="14" t="n">
        <f aca="false">($L$2*M2236)/100</f>
        <v>480666.6</v>
      </c>
      <c r="M2236" s="15" t="n">
        <v>0.4</v>
      </c>
      <c r="N2236" s="9" t="s">
        <v>85</v>
      </c>
    </row>
    <row r="2237" customFormat="false" ht="14.25" hidden="false" customHeight="true" outlineLevel="0" collapsed="false">
      <c r="B2237" s="9" t="s">
        <v>28</v>
      </c>
      <c r="C2237" s="9" t="n">
        <v>1128299</v>
      </c>
      <c r="D2237" s="10" t="n">
        <v>44240</v>
      </c>
      <c r="E2237" s="9" t="s">
        <v>33</v>
      </c>
      <c r="F2237" s="9" t="s">
        <v>90</v>
      </c>
      <c r="G2237" s="9" t="s">
        <v>91</v>
      </c>
      <c r="H2237" s="11" t="s">
        <v>22</v>
      </c>
      <c r="I2237" s="12" t="n">
        <v>40</v>
      </c>
      <c r="J2237" s="13" t="n">
        <v>400</v>
      </c>
      <c r="K2237" s="14" t="n">
        <f aca="false">I2237*J2237</f>
        <v>16000</v>
      </c>
      <c r="L2237" s="14" t="n">
        <f aca="false">($L$2*M2237)/100</f>
        <v>420583.275</v>
      </c>
      <c r="M2237" s="15" t="n">
        <v>0.35</v>
      </c>
      <c r="N2237" s="9" t="s">
        <v>85</v>
      </c>
    </row>
    <row r="2238" customFormat="false" ht="14.25" hidden="false" customHeight="true" outlineLevel="0" collapsed="false">
      <c r="B2238" s="9" t="s">
        <v>28</v>
      </c>
      <c r="C2238" s="9" t="n">
        <v>1128299</v>
      </c>
      <c r="D2238" s="10" t="n">
        <v>44240</v>
      </c>
      <c r="E2238" s="9" t="s">
        <v>50</v>
      </c>
      <c r="F2238" s="9" t="s">
        <v>92</v>
      </c>
      <c r="G2238" s="9" t="s">
        <v>93</v>
      </c>
      <c r="H2238" s="11" t="s">
        <v>23</v>
      </c>
      <c r="I2238" s="12" t="n">
        <v>40</v>
      </c>
      <c r="J2238" s="13" t="n">
        <v>250</v>
      </c>
      <c r="K2238" s="14" t="n">
        <f aca="false">I2238*J2238</f>
        <v>10000</v>
      </c>
      <c r="L2238" s="14" t="n">
        <f aca="false">($L$2*M2238)/100</f>
        <v>480666.6</v>
      </c>
      <c r="M2238" s="15" t="n">
        <v>0.4</v>
      </c>
      <c r="N2238" s="9" t="s">
        <v>85</v>
      </c>
    </row>
    <row r="2239" customFormat="false" ht="14.25" hidden="false" customHeight="true" outlineLevel="0" collapsed="false">
      <c r="B2239" s="9" t="s">
        <v>28</v>
      </c>
      <c r="C2239" s="9" t="n">
        <v>1128299</v>
      </c>
      <c r="D2239" s="10" t="n">
        <v>44240</v>
      </c>
      <c r="E2239" s="9" t="s">
        <v>50</v>
      </c>
      <c r="F2239" s="9" t="s">
        <v>92</v>
      </c>
      <c r="G2239" s="9" t="s">
        <v>93</v>
      </c>
      <c r="H2239" s="11" t="s">
        <v>24</v>
      </c>
      <c r="I2239" s="12" t="n">
        <v>45</v>
      </c>
      <c r="J2239" s="13" t="n">
        <v>175</v>
      </c>
      <c r="K2239" s="14" t="n">
        <f aca="false">I2239*J2239</f>
        <v>7875</v>
      </c>
      <c r="L2239" s="14" t="n">
        <f aca="false">($L$2*M2239)/100</f>
        <v>420583.275</v>
      </c>
      <c r="M2239" s="15" t="n">
        <v>0.35</v>
      </c>
      <c r="N2239" s="9" t="s">
        <v>85</v>
      </c>
    </row>
    <row r="2240" customFormat="false" ht="14.25" hidden="false" customHeight="true" outlineLevel="0" collapsed="false">
      <c r="B2240" s="9" t="s">
        <v>28</v>
      </c>
      <c r="C2240" s="9" t="n">
        <v>1128299</v>
      </c>
      <c r="D2240" s="10" t="n">
        <v>44240</v>
      </c>
      <c r="E2240" s="9" t="s">
        <v>50</v>
      </c>
      <c r="F2240" s="9" t="s">
        <v>92</v>
      </c>
      <c r="G2240" s="9" t="s">
        <v>93</v>
      </c>
      <c r="H2240" s="11" t="s">
        <v>25</v>
      </c>
      <c r="I2240" s="12" t="n">
        <v>40</v>
      </c>
      <c r="J2240" s="13" t="n">
        <v>375</v>
      </c>
      <c r="K2240" s="14" t="n">
        <f aca="false">I2240*J2240</f>
        <v>15000</v>
      </c>
      <c r="L2240" s="14" t="n">
        <f aca="false">($L$2*M2240)/100</f>
        <v>300416.625</v>
      </c>
      <c r="M2240" s="15" t="n">
        <v>0.25</v>
      </c>
      <c r="N2240" s="9" t="s">
        <v>85</v>
      </c>
    </row>
    <row r="2241" customFormat="false" ht="14.25" hidden="false" customHeight="true" outlineLevel="0" collapsed="false">
      <c r="B2241" s="9" t="s">
        <v>28</v>
      </c>
      <c r="C2241" s="9" t="n">
        <v>1128299</v>
      </c>
      <c r="D2241" s="10" t="n">
        <v>44267</v>
      </c>
      <c r="E2241" s="9" t="s">
        <v>50</v>
      </c>
      <c r="F2241" s="9" t="s">
        <v>92</v>
      </c>
      <c r="G2241" s="9" t="s">
        <v>93</v>
      </c>
      <c r="H2241" s="11" t="s">
        <v>19</v>
      </c>
      <c r="I2241" s="12" t="n">
        <v>40</v>
      </c>
      <c r="J2241" s="13" t="n">
        <v>525</v>
      </c>
      <c r="K2241" s="14" t="n">
        <f aca="false">I2241*J2241</f>
        <v>21000</v>
      </c>
      <c r="L2241" s="14" t="n">
        <f aca="false">($L$2*M2241)/100</f>
        <v>480666.6</v>
      </c>
      <c r="M2241" s="15" t="n">
        <v>0.4</v>
      </c>
      <c r="N2241" s="9" t="s">
        <v>85</v>
      </c>
    </row>
    <row r="2242" customFormat="false" ht="14.25" hidden="false" customHeight="true" outlineLevel="0" collapsed="false">
      <c r="B2242" s="9" t="s">
        <v>28</v>
      </c>
      <c r="C2242" s="9" t="n">
        <v>1128299</v>
      </c>
      <c r="D2242" s="10" t="n">
        <v>44267</v>
      </c>
      <c r="E2242" s="9" t="s">
        <v>50</v>
      </c>
      <c r="F2242" s="9" t="s">
        <v>92</v>
      </c>
      <c r="G2242" s="9" t="s">
        <v>93</v>
      </c>
      <c r="H2242" s="11" t="s">
        <v>21</v>
      </c>
      <c r="I2242" s="12" t="n">
        <v>50</v>
      </c>
      <c r="J2242" s="13" t="n">
        <v>375</v>
      </c>
      <c r="K2242" s="14" t="n">
        <f aca="false">I2242*J2242</f>
        <v>18750</v>
      </c>
      <c r="L2242" s="14" t="n">
        <f aca="false">($L$2*M2242)/100</f>
        <v>480666.6</v>
      </c>
      <c r="M2242" s="15" t="n">
        <v>0.4</v>
      </c>
      <c r="N2242" s="9" t="s">
        <v>85</v>
      </c>
    </row>
    <row r="2243" customFormat="false" ht="14.25" hidden="false" customHeight="true" outlineLevel="0" collapsed="false">
      <c r="B2243" s="9" t="s">
        <v>28</v>
      </c>
      <c r="C2243" s="9" t="n">
        <v>1128299</v>
      </c>
      <c r="D2243" s="10" t="n">
        <v>44267</v>
      </c>
      <c r="E2243" s="9" t="s">
        <v>50</v>
      </c>
      <c r="F2243" s="9" t="s">
        <v>92</v>
      </c>
      <c r="G2243" s="9" t="s">
        <v>93</v>
      </c>
      <c r="H2243" s="11" t="s">
        <v>22</v>
      </c>
      <c r="I2243" s="12" t="n">
        <v>50</v>
      </c>
      <c r="J2243" s="13" t="n">
        <v>375</v>
      </c>
      <c r="K2243" s="14" t="n">
        <f aca="false">I2243*J2243</f>
        <v>18750</v>
      </c>
      <c r="L2243" s="14" t="n">
        <f aca="false">($L$2*M2243)/100</f>
        <v>420583.275</v>
      </c>
      <c r="M2243" s="15" t="n">
        <v>0.35</v>
      </c>
      <c r="N2243" s="9" t="s">
        <v>85</v>
      </c>
    </row>
    <row r="2244" customFormat="false" ht="14.25" hidden="false" customHeight="true" outlineLevel="0" collapsed="false">
      <c r="B2244" s="9" t="s">
        <v>28</v>
      </c>
      <c r="C2244" s="9" t="n">
        <v>1128299</v>
      </c>
      <c r="D2244" s="10" t="n">
        <v>44267</v>
      </c>
      <c r="E2244" s="9" t="s">
        <v>50</v>
      </c>
      <c r="F2244" s="9" t="s">
        <v>92</v>
      </c>
      <c r="G2244" s="9" t="s">
        <v>93</v>
      </c>
      <c r="H2244" s="11" t="s">
        <v>23</v>
      </c>
      <c r="I2244" s="12" t="n">
        <v>50</v>
      </c>
      <c r="J2244" s="13" t="n">
        <v>250</v>
      </c>
      <c r="K2244" s="14" t="n">
        <f aca="false">I2244*J2244</f>
        <v>12500</v>
      </c>
      <c r="L2244" s="14" t="n">
        <f aca="false">($L$2*M2244)/100</f>
        <v>480666.6</v>
      </c>
      <c r="M2244" s="15" t="n">
        <v>0.4</v>
      </c>
      <c r="N2244" s="9" t="s">
        <v>85</v>
      </c>
    </row>
    <row r="2245" customFormat="false" ht="14.25" hidden="false" customHeight="true" outlineLevel="0" collapsed="false">
      <c r="B2245" s="9" t="s">
        <v>28</v>
      </c>
      <c r="C2245" s="9" t="n">
        <v>1128299</v>
      </c>
      <c r="D2245" s="10" t="n">
        <v>44267</v>
      </c>
      <c r="E2245" s="9" t="s">
        <v>50</v>
      </c>
      <c r="F2245" s="9" t="s">
        <v>92</v>
      </c>
      <c r="G2245" s="9" t="s">
        <v>93</v>
      </c>
      <c r="H2245" s="11" t="s">
        <v>24</v>
      </c>
      <c r="I2245" s="12" t="n">
        <v>55</v>
      </c>
      <c r="J2245" s="13" t="n">
        <v>150</v>
      </c>
      <c r="K2245" s="14" t="n">
        <f aca="false">I2245*J2245</f>
        <v>8250</v>
      </c>
      <c r="L2245" s="14" t="n">
        <f aca="false">($L$2*M2245)/100</f>
        <v>420583.275</v>
      </c>
      <c r="M2245" s="15" t="n">
        <v>0.35</v>
      </c>
      <c r="N2245" s="9" t="s">
        <v>85</v>
      </c>
    </row>
    <row r="2246" customFormat="false" ht="14.25" hidden="false" customHeight="true" outlineLevel="0" collapsed="false">
      <c r="B2246" s="9" t="s">
        <v>28</v>
      </c>
      <c r="C2246" s="9" t="n">
        <v>1128299</v>
      </c>
      <c r="D2246" s="10" t="n">
        <v>44267</v>
      </c>
      <c r="E2246" s="9" t="s">
        <v>50</v>
      </c>
      <c r="F2246" s="9" t="s">
        <v>92</v>
      </c>
      <c r="G2246" s="9" t="s">
        <v>93</v>
      </c>
      <c r="H2246" s="11" t="s">
        <v>25</v>
      </c>
      <c r="I2246" s="12" t="n">
        <v>50</v>
      </c>
      <c r="J2246" s="13" t="n">
        <v>350</v>
      </c>
      <c r="K2246" s="14" t="n">
        <f aca="false">I2246*J2246</f>
        <v>17500</v>
      </c>
      <c r="L2246" s="14" t="n">
        <f aca="false">($L$2*M2246)/100</f>
        <v>300416.625</v>
      </c>
      <c r="M2246" s="15" t="n">
        <v>0.25</v>
      </c>
      <c r="N2246" s="9" t="s">
        <v>85</v>
      </c>
    </row>
    <row r="2247" customFormat="false" ht="14.25" hidden="false" customHeight="true" outlineLevel="0" collapsed="false">
      <c r="B2247" s="9" t="s">
        <v>28</v>
      </c>
      <c r="C2247" s="9" t="n">
        <v>1128299</v>
      </c>
      <c r="D2247" s="10" t="n">
        <v>44299</v>
      </c>
      <c r="E2247" s="9" t="s">
        <v>50</v>
      </c>
      <c r="F2247" s="9" t="s">
        <v>92</v>
      </c>
      <c r="G2247" s="9" t="s">
        <v>93</v>
      </c>
      <c r="H2247" s="11" t="s">
        <v>19</v>
      </c>
      <c r="I2247" s="12" t="n">
        <v>50</v>
      </c>
      <c r="J2247" s="13" t="n">
        <v>525</v>
      </c>
      <c r="K2247" s="14" t="n">
        <f aca="false">I2247*J2247</f>
        <v>26250</v>
      </c>
      <c r="L2247" s="14" t="n">
        <f aca="false">($L$2*M2247)/100</f>
        <v>480666.6</v>
      </c>
      <c r="M2247" s="15" t="n">
        <v>0.4</v>
      </c>
      <c r="N2247" s="9" t="s">
        <v>85</v>
      </c>
    </row>
    <row r="2248" customFormat="false" ht="14.25" hidden="false" customHeight="true" outlineLevel="0" collapsed="false">
      <c r="B2248" s="9" t="s">
        <v>28</v>
      </c>
      <c r="C2248" s="9" t="n">
        <v>1128299</v>
      </c>
      <c r="D2248" s="10" t="n">
        <v>44299</v>
      </c>
      <c r="E2248" s="9" t="s">
        <v>50</v>
      </c>
      <c r="F2248" s="9" t="s">
        <v>92</v>
      </c>
      <c r="G2248" s="9" t="s">
        <v>93</v>
      </c>
      <c r="H2248" s="11" t="s">
        <v>21</v>
      </c>
      <c r="I2248" s="12" t="n">
        <v>55</v>
      </c>
      <c r="J2248" s="13" t="n">
        <v>325</v>
      </c>
      <c r="K2248" s="14" t="n">
        <f aca="false">I2248*J2248</f>
        <v>17875</v>
      </c>
      <c r="L2248" s="14" t="n">
        <f aca="false">($L$2*M2248)/100</f>
        <v>480666.6</v>
      </c>
      <c r="M2248" s="15" t="n">
        <v>0.4</v>
      </c>
      <c r="N2248" s="9" t="s">
        <v>85</v>
      </c>
    </row>
    <row r="2249" customFormat="false" ht="14.25" hidden="false" customHeight="true" outlineLevel="0" collapsed="false">
      <c r="B2249" s="9" t="s">
        <v>28</v>
      </c>
      <c r="C2249" s="9" t="n">
        <v>1128299</v>
      </c>
      <c r="D2249" s="10" t="n">
        <v>44299</v>
      </c>
      <c r="E2249" s="9" t="s">
        <v>50</v>
      </c>
      <c r="F2249" s="9" t="s">
        <v>92</v>
      </c>
      <c r="G2249" s="9" t="s">
        <v>93</v>
      </c>
      <c r="H2249" s="11" t="s">
        <v>22</v>
      </c>
      <c r="I2249" s="12" t="n">
        <v>55</v>
      </c>
      <c r="J2249" s="13" t="n">
        <v>375</v>
      </c>
      <c r="K2249" s="14" t="n">
        <f aca="false">I2249*J2249</f>
        <v>20625</v>
      </c>
      <c r="L2249" s="14" t="n">
        <f aca="false">($L$2*M2249)/100</f>
        <v>420583.275</v>
      </c>
      <c r="M2249" s="15" t="n">
        <v>0.35</v>
      </c>
      <c r="N2249" s="9" t="s">
        <v>85</v>
      </c>
    </row>
    <row r="2250" customFormat="false" ht="14.25" hidden="false" customHeight="true" outlineLevel="0" collapsed="false">
      <c r="B2250" s="9" t="s">
        <v>28</v>
      </c>
      <c r="C2250" s="9" t="n">
        <v>1128299</v>
      </c>
      <c r="D2250" s="10" t="n">
        <v>44299</v>
      </c>
      <c r="E2250" s="9" t="s">
        <v>50</v>
      </c>
      <c r="F2250" s="9" t="s">
        <v>92</v>
      </c>
      <c r="G2250" s="9" t="s">
        <v>93</v>
      </c>
      <c r="H2250" s="11" t="s">
        <v>23</v>
      </c>
      <c r="I2250" s="12" t="n">
        <v>50</v>
      </c>
      <c r="J2250" s="13" t="n">
        <v>275</v>
      </c>
      <c r="K2250" s="14" t="n">
        <f aca="false">I2250*J2250</f>
        <v>13750</v>
      </c>
      <c r="L2250" s="14" t="n">
        <f aca="false">($L$2*M2250)/100</f>
        <v>480666.6</v>
      </c>
      <c r="M2250" s="15" t="n">
        <v>0.4</v>
      </c>
      <c r="N2250" s="9" t="s">
        <v>85</v>
      </c>
    </row>
    <row r="2251" customFormat="false" ht="14.25" hidden="false" customHeight="true" outlineLevel="0" collapsed="false">
      <c r="B2251" s="9" t="s">
        <v>28</v>
      </c>
      <c r="C2251" s="9" t="n">
        <v>1128299</v>
      </c>
      <c r="D2251" s="10" t="n">
        <v>44299</v>
      </c>
      <c r="E2251" s="9" t="s">
        <v>50</v>
      </c>
      <c r="F2251" s="9" t="s">
        <v>92</v>
      </c>
      <c r="G2251" s="9" t="s">
        <v>93</v>
      </c>
      <c r="H2251" s="11" t="s">
        <v>24</v>
      </c>
      <c r="I2251" s="12" t="n">
        <v>55</v>
      </c>
      <c r="J2251" s="13" t="n">
        <v>175</v>
      </c>
      <c r="K2251" s="14" t="n">
        <f aca="false">I2251*J2251</f>
        <v>9625</v>
      </c>
      <c r="L2251" s="14" t="n">
        <f aca="false">($L$2*M2251)/100</f>
        <v>420583.275</v>
      </c>
      <c r="M2251" s="15" t="n">
        <v>0.35</v>
      </c>
      <c r="N2251" s="9" t="s">
        <v>85</v>
      </c>
    </row>
    <row r="2252" customFormat="false" ht="14.25" hidden="false" customHeight="true" outlineLevel="0" collapsed="false">
      <c r="B2252" s="9" t="s">
        <v>28</v>
      </c>
      <c r="C2252" s="9" t="n">
        <v>1128299</v>
      </c>
      <c r="D2252" s="10" t="n">
        <v>44299</v>
      </c>
      <c r="E2252" s="9" t="s">
        <v>50</v>
      </c>
      <c r="F2252" s="9" t="s">
        <v>92</v>
      </c>
      <c r="G2252" s="9" t="s">
        <v>93</v>
      </c>
      <c r="H2252" s="11" t="s">
        <v>25</v>
      </c>
      <c r="I2252" s="12" t="n">
        <v>70</v>
      </c>
      <c r="J2252" s="13" t="n">
        <v>350</v>
      </c>
      <c r="K2252" s="14" t="n">
        <f aca="false">I2252*J2252</f>
        <v>24500</v>
      </c>
      <c r="L2252" s="14" t="n">
        <f aca="false">($L$2*M2252)/100</f>
        <v>300416.625</v>
      </c>
      <c r="M2252" s="15" t="n">
        <v>0.25</v>
      </c>
      <c r="N2252" s="9" t="s">
        <v>85</v>
      </c>
    </row>
    <row r="2253" customFormat="false" ht="14.25" hidden="false" customHeight="true" outlineLevel="0" collapsed="false">
      <c r="B2253" s="9" t="s">
        <v>28</v>
      </c>
      <c r="C2253" s="9" t="n">
        <v>1128299</v>
      </c>
      <c r="D2253" s="10" t="n">
        <v>44330</v>
      </c>
      <c r="E2253" s="9" t="s">
        <v>50</v>
      </c>
      <c r="F2253" s="9" t="s">
        <v>92</v>
      </c>
      <c r="G2253" s="9" t="s">
        <v>93</v>
      </c>
      <c r="H2253" s="11" t="s">
        <v>19</v>
      </c>
      <c r="I2253" s="12" t="n">
        <v>50</v>
      </c>
      <c r="J2253" s="13" t="n">
        <v>550</v>
      </c>
      <c r="K2253" s="14" t="n">
        <f aca="false">I2253*J2253</f>
        <v>27500</v>
      </c>
      <c r="L2253" s="14" t="n">
        <f aca="false">($L$2*M2253)/100</f>
        <v>480666.6</v>
      </c>
      <c r="M2253" s="15" t="n">
        <v>0.4</v>
      </c>
      <c r="N2253" s="9" t="s">
        <v>85</v>
      </c>
    </row>
    <row r="2254" customFormat="false" ht="14.25" hidden="false" customHeight="true" outlineLevel="0" collapsed="false">
      <c r="B2254" s="9" t="s">
        <v>28</v>
      </c>
      <c r="C2254" s="9" t="n">
        <v>1128299</v>
      </c>
      <c r="D2254" s="10" t="n">
        <v>44330</v>
      </c>
      <c r="E2254" s="9" t="s">
        <v>50</v>
      </c>
      <c r="F2254" s="9" t="s">
        <v>92</v>
      </c>
      <c r="G2254" s="9" t="s">
        <v>93</v>
      </c>
      <c r="H2254" s="11" t="s">
        <v>21</v>
      </c>
      <c r="I2254" s="12" t="n">
        <v>55</v>
      </c>
      <c r="J2254" s="13" t="n">
        <v>400</v>
      </c>
      <c r="K2254" s="14" t="n">
        <f aca="false">I2254*J2254</f>
        <v>22000</v>
      </c>
      <c r="L2254" s="14" t="n">
        <f aca="false">($L$2*M2254)/100</f>
        <v>480666.6</v>
      </c>
      <c r="M2254" s="15" t="n">
        <v>0.4</v>
      </c>
      <c r="N2254" s="9" t="s">
        <v>85</v>
      </c>
    </row>
    <row r="2255" customFormat="false" ht="14.25" hidden="false" customHeight="true" outlineLevel="0" collapsed="false">
      <c r="B2255" s="9" t="s">
        <v>28</v>
      </c>
      <c r="C2255" s="9" t="n">
        <v>1128299</v>
      </c>
      <c r="D2255" s="10" t="n">
        <v>44330</v>
      </c>
      <c r="E2255" s="9" t="s">
        <v>50</v>
      </c>
      <c r="F2255" s="9" t="s">
        <v>92</v>
      </c>
      <c r="G2255" s="9" t="s">
        <v>93</v>
      </c>
      <c r="H2255" s="11" t="s">
        <v>22</v>
      </c>
      <c r="I2255" s="12" t="n">
        <v>55</v>
      </c>
      <c r="J2255" s="13" t="n">
        <v>425</v>
      </c>
      <c r="K2255" s="14" t="n">
        <f aca="false">I2255*J2255</f>
        <v>23375</v>
      </c>
      <c r="L2255" s="14" t="n">
        <f aca="false">($L$2*M2255)/100</f>
        <v>420583.275</v>
      </c>
      <c r="M2255" s="15" t="n">
        <v>0.35</v>
      </c>
      <c r="N2255" s="9" t="s">
        <v>85</v>
      </c>
    </row>
    <row r="2256" customFormat="false" ht="14.25" hidden="false" customHeight="true" outlineLevel="0" collapsed="false">
      <c r="B2256" s="9" t="s">
        <v>28</v>
      </c>
      <c r="C2256" s="9" t="n">
        <v>1128299</v>
      </c>
      <c r="D2256" s="10" t="n">
        <v>44330</v>
      </c>
      <c r="E2256" s="9" t="s">
        <v>50</v>
      </c>
      <c r="F2256" s="9" t="s">
        <v>92</v>
      </c>
      <c r="G2256" s="9" t="s">
        <v>93</v>
      </c>
      <c r="H2256" s="11" t="s">
        <v>23</v>
      </c>
      <c r="I2256" s="12" t="n">
        <v>50</v>
      </c>
      <c r="J2256" s="13" t="n">
        <v>325</v>
      </c>
      <c r="K2256" s="14" t="n">
        <f aca="false">I2256*J2256</f>
        <v>16250</v>
      </c>
      <c r="L2256" s="14" t="n">
        <f aca="false">($L$2*M2256)/100</f>
        <v>480666.6</v>
      </c>
      <c r="M2256" s="15" t="n">
        <v>0.4</v>
      </c>
      <c r="N2256" s="9" t="s">
        <v>85</v>
      </c>
    </row>
    <row r="2257" customFormat="false" ht="14.25" hidden="false" customHeight="true" outlineLevel="0" collapsed="false">
      <c r="B2257" s="9" t="s">
        <v>28</v>
      </c>
      <c r="C2257" s="9" t="n">
        <v>1128299</v>
      </c>
      <c r="D2257" s="10" t="n">
        <v>44330</v>
      </c>
      <c r="E2257" s="9" t="s">
        <v>50</v>
      </c>
      <c r="F2257" s="9" t="s">
        <v>92</v>
      </c>
      <c r="G2257" s="9" t="s">
        <v>93</v>
      </c>
      <c r="H2257" s="11" t="s">
        <v>24</v>
      </c>
      <c r="I2257" s="12" t="n">
        <v>55</v>
      </c>
      <c r="J2257" s="13" t="n">
        <v>225</v>
      </c>
      <c r="K2257" s="14" t="n">
        <f aca="false">I2257*J2257</f>
        <v>12375</v>
      </c>
      <c r="L2257" s="14" t="n">
        <f aca="false">($L$2*M2257)/100</f>
        <v>420583.275</v>
      </c>
      <c r="M2257" s="15" t="n">
        <v>0.35</v>
      </c>
      <c r="N2257" s="9" t="s">
        <v>85</v>
      </c>
    </row>
    <row r="2258" customFormat="false" ht="14.25" hidden="false" customHeight="true" outlineLevel="0" collapsed="false">
      <c r="B2258" s="9" t="s">
        <v>28</v>
      </c>
      <c r="C2258" s="9" t="n">
        <v>1128299</v>
      </c>
      <c r="D2258" s="10" t="n">
        <v>44330</v>
      </c>
      <c r="E2258" s="9" t="s">
        <v>50</v>
      </c>
      <c r="F2258" s="9" t="s">
        <v>92</v>
      </c>
      <c r="G2258" s="9" t="s">
        <v>93</v>
      </c>
      <c r="H2258" s="11" t="s">
        <v>25</v>
      </c>
      <c r="I2258" s="12" t="n">
        <v>70</v>
      </c>
      <c r="J2258" s="13" t="n">
        <v>400</v>
      </c>
      <c r="K2258" s="14" t="n">
        <f aca="false">I2258*J2258</f>
        <v>28000</v>
      </c>
      <c r="L2258" s="14" t="n">
        <f aca="false">($L$2*M2258)/100</f>
        <v>300416.625</v>
      </c>
      <c r="M2258" s="15" t="n">
        <v>0.25</v>
      </c>
      <c r="N2258" s="9" t="s">
        <v>85</v>
      </c>
    </row>
    <row r="2259" customFormat="false" ht="14.25" hidden="false" customHeight="true" outlineLevel="0" collapsed="false">
      <c r="B2259" s="9" t="s">
        <v>28</v>
      </c>
      <c r="C2259" s="9" t="n">
        <v>1128299</v>
      </c>
      <c r="D2259" s="10" t="n">
        <v>44360</v>
      </c>
      <c r="E2259" s="9" t="s">
        <v>50</v>
      </c>
      <c r="F2259" s="9" t="s">
        <v>92</v>
      </c>
      <c r="G2259" s="9" t="s">
        <v>93</v>
      </c>
      <c r="H2259" s="11" t="s">
        <v>19</v>
      </c>
      <c r="I2259" s="12" t="n">
        <v>50</v>
      </c>
      <c r="J2259" s="13" t="n">
        <v>675</v>
      </c>
      <c r="K2259" s="14" t="n">
        <f aca="false">I2259*J2259</f>
        <v>33750</v>
      </c>
      <c r="L2259" s="14" t="n">
        <f aca="false">($L$2*M2259)/100</f>
        <v>480666.6</v>
      </c>
      <c r="M2259" s="15" t="n">
        <v>0.4</v>
      </c>
      <c r="N2259" s="9" t="s">
        <v>85</v>
      </c>
    </row>
    <row r="2260" customFormat="false" ht="14.25" hidden="false" customHeight="true" outlineLevel="0" collapsed="false">
      <c r="B2260" s="9" t="s">
        <v>28</v>
      </c>
      <c r="C2260" s="9" t="n">
        <v>1128299</v>
      </c>
      <c r="D2260" s="10" t="n">
        <v>44360</v>
      </c>
      <c r="E2260" s="9" t="s">
        <v>50</v>
      </c>
      <c r="F2260" s="9" t="s">
        <v>92</v>
      </c>
      <c r="G2260" s="9" t="s">
        <v>93</v>
      </c>
      <c r="H2260" s="11" t="s">
        <v>21</v>
      </c>
      <c r="I2260" s="12" t="n">
        <v>55</v>
      </c>
      <c r="J2260" s="13" t="n">
        <v>525</v>
      </c>
      <c r="K2260" s="14" t="n">
        <f aca="false">I2260*J2260</f>
        <v>28875</v>
      </c>
      <c r="L2260" s="14" t="n">
        <f aca="false">($L$2*M2260)/100</f>
        <v>480666.6</v>
      </c>
      <c r="M2260" s="15" t="n">
        <v>0.4</v>
      </c>
      <c r="N2260" s="9" t="s">
        <v>85</v>
      </c>
    </row>
    <row r="2261" customFormat="false" ht="14.25" hidden="false" customHeight="true" outlineLevel="0" collapsed="false">
      <c r="B2261" s="9" t="s">
        <v>28</v>
      </c>
      <c r="C2261" s="9" t="n">
        <v>1128299</v>
      </c>
      <c r="D2261" s="10" t="n">
        <v>44360</v>
      </c>
      <c r="E2261" s="9" t="s">
        <v>50</v>
      </c>
      <c r="F2261" s="9" t="s">
        <v>92</v>
      </c>
      <c r="G2261" s="9" t="s">
        <v>93</v>
      </c>
      <c r="H2261" s="11" t="s">
        <v>22</v>
      </c>
      <c r="I2261" s="12" t="n">
        <v>55</v>
      </c>
      <c r="J2261" s="13" t="n">
        <v>525</v>
      </c>
      <c r="K2261" s="14" t="n">
        <f aca="false">I2261*J2261</f>
        <v>28875</v>
      </c>
      <c r="L2261" s="14" t="n">
        <f aca="false">($L$2*M2261)/100</f>
        <v>420583.275</v>
      </c>
      <c r="M2261" s="15" t="n">
        <v>0.35</v>
      </c>
      <c r="N2261" s="9" t="s">
        <v>85</v>
      </c>
    </row>
    <row r="2262" customFormat="false" ht="14.25" hidden="false" customHeight="true" outlineLevel="0" collapsed="false">
      <c r="B2262" s="9" t="s">
        <v>28</v>
      </c>
      <c r="C2262" s="9" t="n">
        <v>1128299</v>
      </c>
      <c r="D2262" s="10" t="n">
        <v>44360</v>
      </c>
      <c r="E2262" s="9" t="s">
        <v>50</v>
      </c>
      <c r="F2262" s="9" t="s">
        <v>92</v>
      </c>
      <c r="G2262" s="9" t="s">
        <v>93</v>
      </c>
      <c r="H2262" s="11" t="s">
        <v>23</v>
      </c>
      <c r="I2262" s="12" t="n">
        <v>50</v>
      </c>
      <c r="J2262" s="13" t="n">
        <v>400</v>
      </c>
      <c r="K2262" s="14" t="n">
        <f aca="false">I2262*J2262</f>
        <v>20000</v>
      </c>
      <c r="L2262" s="14" t="n">
        <f aca="false">($L$2*M2262)/100</f>
        <v>480666.6</v>
      </c>
      <c r="M2262" s="15" t="n">
        <v>0.4</v>
      </c>
      <c r="N2262" s="9" t="s">
        <v>85</v>
      </c>
    </row>
    <row r="2263" customFormat="false" ht="14.25" hidden="false" customHeight="true" outlineLevel="0" collapsed="false">
      <c r="B2263" s="9" t="s">
        <v>28</v>
      </c>
      <c r="C2263" s="9" t="n">
        <v>1128299</v>
      </c>
      <c r="D2263" s="10" t="n">
        <v>44360</v>
      </c>
      <c r="E2263" s="9" t="s">
        <v>50</v>
      </c>
      <c r="F2263" s="9" t="s">
        <v>92</v>
      </c>
      <c r="G2263" s="9" t="s">
        <v>93</v>
      </c>
      <c r="H2263" s="11" t="s">
        <v>24</v>
      </c>
      <c r="I2263" s="12" t="n">
        <v>55</v>
      </c>
      <c r="J2263" s="13" t="n">
        <v>275</v>
      </c>
      <c r="K2263" s="14" t="n">
        <f aca="false">I2263*J2263</f>
        <v>15125</v>
      </c>
      <c r="L2263" s="14" t="n">
        <f aca="false">($L$2*M2263)/100</f>
        <v>420583.275</v>
      </c>
      <c r="M2263" s="15" t="n">
        <v>0.35</v>
      </c>
      <c r="N2263" s="9" t="s">
        <v>85</v>
      </c>
    </row>
    <row r="2264" customFormat="false" ht="14.25" hidden="false" customHeight="true" outlineLevel="0" collapsed="false">
      <c r="B2264" s="9" t="s">
        <v>28</v>
      </c>
      <c r="C2264" s="9" t="n">
        <v>1128299</v>
      </c>
      <c r="D2264" s="10" t="n">
        <v>44360</v>
      </c>
      <c r="E2264" s="9" t="s">
        <v>50</v>
      </c>
      <c r="F2264" s="9" t="s">
        <v>92</v>
      </c>
      <c r="G2264" s="9" t="s">
        <v>93</v>
      </c>
      <c r="H2264" s="11" t="s">
        <v>25</v>
      </c>
      <c r="I2264" s="12" t="n">
        <v>70</v>
      </c>
      <c r="J2264" s="13" t="n">
        <v>575</v>
      </c>
      <c r="K2264" s="14" t="n">
        <f aca="false">I2264*J2264</f>
        <v>40250</v>
      </c>
      <c r="L2264" s="14" t="n">
        <f aca="false">($L$2*M2264)/100</f>
        <v>300416.625</v>
      </c>
      <c r="M2264" s="15" t="n">
        <v>0.25</v>
      </c>
      <c r="N2264" s="9" t="s">
        <v>85</v>
      </c>
    </row>
    <row r="2265" customFormat="false" ht="14.25" hidden="false" customHeight="true" outlineLevel="0" collapsed="false">
      <c r="B2265" s="9" t="s">
        <v>28</v>
      </c>
      <c r="C2265" s="9" t="n">
        <v>1128299</v>
      </c>
      <c r="D2265" s="10" t="n">
        <v>44389</v>
      </c>
      <c r="E2265" s="9" t="s">
        <v>50</v>
      </c>
      <c r="F2265" s="9" t="s">
        <v>92</v>
      </c>
      <c r="G2265" s="9" t="s">
        <v>93</v>
      </c>
      <c r="H2265" s="11" t="s">
        <v>19</v>
      </c>
      <c r="I2265" s="12" t="n">
        <v>50</v>
      </c>
      <c r="J2265" s="13" t="n">
        <v>725</v>
      </c>
      <c r="K2265" s="14" t="n">
        <f aca="false">I2265*J2265</f>
        <v>36250</v>
      </c>
      <c r="L2265" s="14" t="n">
        <f aca="false">($L$2*M2265)/100</f>
        <v>480666.6</v>
      </c>
      <c r="M2265" s="15" t="n">
        <v>0.4</v>
      </c>
      <c r="N2265" s="9" t="s">
        <v>85</v>
      </c>
    </row>
    <row r="2266" customFormat="false" ht="14.25" hidden="false" customHeight="true" outlineLevel="0" collapsed="false">
      <c r="B2266" s="9" t="s">
        <v>28</v>
      </c>
      <c r="C2266" s="9" t="n">
        <v>1128299</v>
      </c>
      <c r="D2266" s="10" t="n">
        <v>44389</v>
      </c>
      <c r="E2266" s="9" t="s">
        <v>50</v>
      </c>
      <c r="F2266" s="9" t="s">
        <v>92</v>
      </c>
      <c r="G2266" s="9" t="s">
        <v>93</v>
      </c>
      <c r="H2266" s="11" t="s">
        <v>21</v>
      </c>
      <c r="I2266" s="12" t="n">
        <v>55</v>
      </c>
      <c r="J2266" s="13" t="n">
        <v>575</v>
      </c>
      <c r="K2266" s="14" t="n">
        <f aca="false">I2266*J2266</f>
        <v>31625</v>
      </c>
      <c r="L2266" s="14" t="n">
        <f aca="false">($L$2*M2266)/100</f>
        <v>480666.6</v>
      </c>
      <c r="M2266" s="15" t="n">
        <v>0.4</v>
      </c>
      <c r="N2266" s="9" t="s">
        <v>85</v>
      </c>
    </row>
    <row r="2267" customFormat="false" ht="14.25" hidden="false" customHeight="true" outlineLevel="0" collapsed="false">
      <c r="B2267" s="9" t="s">
        <v>28</v>
      </c>
      <c r="C2267" s="9" t="n">
        <v>1128299</v>
      </c>
      <c r="D2267" s="10" t="n">
        <v>44389</v>
      </c>
      <c r="E2267" s="9" t="s">
        <v>50</v>
      </c>
      <c r="F2267" s="9" t="s">
        <v>92</v>
      </c>
      <c r="G2267" s="9" t="s">
        <v>93</v>
      </c>
      <c r="H2267" s="11" t="s">
        <v>22</v>
      </c>
      <c r="I2267" s="12" t="n">
        <v>55</v>
      </c>
      <c r="J2267" s="13" t="n">
        <v>525</v>
      </c>
      <c r="K2267" s="14" t="n">
        <f aca="false">I2267*J2267</f>
        <v>28875</v>
      </c>
      <c r="L2267" s="14" t="n">
        <f aca="false">($L$2*M2267)/100</f>
        <v>420583.275</v>
      </c>
      <c r="M2267" s="15" t="n">
        <v>0.35</v>
      </c>
      <c r="N2267" s="9" t="s">
        <v>85</v>
      </c>
    </row>
    <row r="2268" customFormat="false" ht="14.25" hidden="false" customHeight="true" outlineLevel="0" collapsed="false">
      <c r="B2268" s="9" t="s">
        <v>28</v>
      </c>
      <c r="C2268" s="9" t="n">
        <v>1128299</v>
      </c>
      <c r="D2268" s="10" t="n">
        <v>44389</v>
      </c>
      <c r="E2268" s="9" t="s">
        <v>50</v>
      </c>
      <c r="F2268" s="9" t="s">
        <v>92</v>
      </c>
      <c r="G2268" s="9" t="s">
        <v>93</v>
      </c>
      <c r="H2268" s="11" t="s">
        <v>23</v>
      </c>
      <c r="I2268" s="12" t="n">
        <v>50</v>
      </c>
      <c r="J2268" s="13" t="n">
        <v>425</v>
      </c>
      <c r="K2268" s="14" t="n">
        <f aca="false">I2268*J2268</f>
        <v>21250</v>
      </c>
      <c r="L2268" s="14" t="n">
        <f aca="false">($L$2*M2268)/100</f>
        <v>480666.6</v>
      </c>
      <c r="M2268" s="15" t="n">
        <v>0.4</v>
      </c>
      <c r="N2268" s="9" t="s">
        <v>85</v>
      </c>
    </row>
    <row r="2269" customFormat="false" ht="14.25" hidden="false" customHeight="true" outlineLevel="0" collapsed="false">
      <c r="B2269" s="9" t="s">
        <v>28</v>
      </c>
      <c r="C2269" s="9" t="n">
        <v>1128299</v>
      </c>
      <c r="D2269" s="10" t="n">
        <v>44389</v>
      </c>
      <c r="E2269" s="9" t="s">
        <v>50</v>
      </c>
      <c r="F2269" s="9" t="s">
        <v>92</v>
      </c>
      <c r="G2269" s="9" t="s">
        <v>93</v>
      </c>
      <c r="H2269" s="11" t="s">
        <v>24</v>
      </c>
      <c r="I2269" s="12" t="n">
        <v>55</v>
      </c>
      <c r="J2269" s="13" t="n">
        <v>475</v>
      </c>
      <c r="K2269" s="14" t="n">
        <f aca="false">I2269*J2269</f>
        <v>26125</v>
      </c>
      <c r="L2269" s="14" t="n">
        <f aca="false">($L$2*M2269)/100</f>
        <v>420583.275</v>
      </c>
      <c r="M2269" s="15" t="n">
        <v>0.35</v>
      </c>
      <c r="N2269" s="9" t="s">
        <v>85</v>
      </c>
    </row>
    <row r="2270" customFormat="false" ht="14.25" hidden="false" customHeight="true" outlineLevel="0" collapsed="false">
      <c r="B2270" s="9" t="s">
        <v>28</v>
      </c>
      <c r="C2270" s="9" t="n">
        <v>1128299</v>
      </c>
      <c r="D2270" s="10" t="n">
        <v>44389</v>
      </c>
      <c r="E2270" s="9" t="s">
        <v>50</v>
      </c>
      <c r="F2270" s="9" t="s">
        <v>92</v>
      </c>
      <c r="G2270" s="9" t="s">
        <v>93</v>
      </c>
      <c r="H2270" s="11" t="s">
        <v>25</v>
      </c>
      <c r="I2270" s="12" t="n">
        <v>70</v>
      </c>
      <c r="J2270" s="13" t="n">
        <v>475</v>
      </c>
      <c r="K2270" s="14" t="n">
        <f aca="false">I2270*J2270</f>
        <v>33250</v>
      </c>
      <c r="L2270" s="14" t="n">
        <f aca="false">($L$2*M2270)/100</f>
        <v>300416.625</v>
      </c>
      <c r="M2270" s="15" t="n">
        <v>0.25</v>
      </c>
      <c r="N2270" s="9" t="s">
        <v>85</v>
      </c>
    </row>
    <row r="2271" customFormat="false" ht="14.25" hidden="false" customHeight="true" outlineLevel="0" collapsed="false">
      <c r="B2271" s="9" t="s">
        <v>28</v>
      </c>
      <c r="C2271" s="9" t="n">
        <v>1128299</v>
      </c>
      <c r="D2271" s="10" t="n">
        <v>44421</v>
      </c>
      <c r="E2271" s="9" t="s">
        <v>50</v>
      </c>
      <c r="F2271" s="9" t="s">
        <v>92</v>
      </c>
      <c r="G2271" s="9" t="s">
        <v>93</v>
      </c>
      <c r="H2271" s="11" t="s">
        <v>19</v>
      </c>
      <c r="I2271" s="12" t="n">
        <v>55</v>
      </c>
      <c r="J2271" s="13" t="n">
        <v>675</v>
      </c>
      <c r="K2271" s="14" t="n">
        <f aca="false">I2271*J2271</f>
        <v>37125</v>
      </c>
      <c r="L2271" s="14" t="n">
        <f aca="false">($L$2*M2271)/100</f>
        <v>480666.6</v>
      </c>
      <c r="M2271" s="15" t="n">
        <v>0.4</v>
      </c>
      <c r="N2271" s="9" t="s">
        <v>85</v>
      </c>
    </row>
    <row r="2272" customFormat="false" ht="14.25" hidden="false" customHeight="true" outlineLevel="0" collapsed="false">
      <c r="B2272" s="9" t="s">
        <v>28</v>
      </c>
      <c r="C2272" s="9" t="n">
        <v>1128299</v>
      </c>
      <c r="D2272" s="10" t="n">
        <v>44421</v>
      </c>
      <c r="E2272" s="9" t="s">
        <v>50</v>
      </c>
      <c r="F2272" s="9" t="s">
        <v>92</v>
      </c>
      <c r="G2272" s="9" t="s">
        <v>93</v>
      </c>
      <c r="H2272" s="11" t="s">
        <v>21</v>
      </c>
      <c r="I2272" s="12" t="n">
        <v>60</v>
      </c>
      <c r="J2272" s="13" t="n">
        <v>625</v>
      </c>
      <c r="K2272" s="14" t="n">
        <f aca="false">I2272*J2272</f>
        <v>37500</v>
      </c>
      <c r="L2272" s="14" t="n">
        <f aca="false">($L$2*M2272)/100</f>
        <v>480666.6</v>
      </c>
      <c r="M2272" s="15" t="n">
        <v>0.4</v>
      </c>
      <c r="N2272" s="9" t="s">
        <v>85</v>
      </c>
    </row>
    <row r="2273" customFormat="false" ht="14.25" hidden="false" customHeight="true" outlineLevel="0" collapsed="false">
      <c r="B2273" s="9" t="s">
        <v>28</v>
      </c>
      <c r="C2273" s="9" t="n">
        <v>1128299</v>
      </c>
      <c r="D2273" s="10" t="n">
        <v>44421</v>
      </c>
      <c r="E2273" s="9" t="s">
        <v>50</v>
      </c>
      <c r="F2273" s="9" t="s">
        <v>92</v>
      </c>
      <c r="G2273" s="9" t="s">
        <v>93</v>
      </c>
      <c r="H2273" s="11" t="s">
        <v>22</v>
      </c>
      <c r="I2273" s="12" t="n">
        <v>55</v>
      </c>
      <c r="J2273" s="13" t="n">
        <v>500</v>
      </c>
      <c r="K2273" s="14" t="n">
        <f aca="false">I2273*J2273</f>
        <v>27500</v>
      </c>
      <c r="L2273" s="14" t="n">
        <f aca="false">($L$2*M2273)/100</f>
        <v>420583.275</v>
      </c>
      <c r="M2273" s="15" t="n">
        <v>0.35</v>
      </c>
      <c r="N2273" s="9" t="s">
        <v>85</v>
      </c>
    </row>
    <row r="2274" customFormat="false" ht="14.25" hidden="false" customHeight="true" outlineLevel="0" collapsed="false">
      <c r="B2274" s="9" t="s">
        <v>28</v>
      </c>
      <c r="C2274" s="9" t="n">
        <v>1128299</v>
      </c>
      <c r="D2274" s="10" t="n">
        <v>44421</v>
      </c>
      <c r="E2274" s="9" t="s">
        <v>50</v>
      </c>
      <c r="F2274" s="9" t="s">
        <v>92</v>
      </c>
      <c r="G2274" s="9" t="s">
        <v>93</v>
      </c>
      <c r="H2274" s="11" t="s">
        <v>23</v>
      </c>
      <c r="I2274" s="12" t="n">
        <v>55</v>
      </c>
      <c r="J2274" s="13" t="n">
        <v>450</v>
      </c>
      <c r="K2274" s="14" t="n">
        <f aca="false">I2274*J2274</f>
        <v>24750</v>
      </c>
      <c r="L2274" s="14" t="n">
        <f aca="false">($L$2*M2274)/100</f>
        <v>480666.6</v>
      </c>
      <c r="M2274" s="15" t="n">
        <v>0.4</v>
      </c>
      <c r="N2274" s="9" t="s">
        <v>85</v>
      </c>
    </row>
    <row r="2275" customFormat="false" ht="14.25" hidden="false" customHeight="true" outlineLevel="0" collapsed="false">
      <c r="B2275" s="9" t="s">
        <v>28</v>
      </c>
      <c r="C2275" s="9" t="n">
        <v>1128299</v>
      </c>
      <c r="D2275" s="10" t="n">
        <v>44421</v>
      </c>
      <c r="E2275" s="9" t="s">
        <v>50</v>
      </c>
      <c r="F2275" s="9" t="s">
        <v>92</v>
      </c>
      <c r="G2275" s="9" t="s">
        <v>93</v>
      </c>
      <c r="H2275" s="11" t="s">
        <v>24</v>
      </c>
      <c r="I2275" s="12" t="n">
        <v>65</v>
      </c>
      <c r="J2275" s="13" t="n">
        <v>450</v>
      </c>
      <c r="K2275" s="14" t="n">
        <f aca="false">I2275*J2275</f>
        <v>29250</v>
      </c>
      <c r="L2275" s="14" t="n">
        <f aca="false">($L$2*M2275)/100</f>
        <v>420583.275</v>
      </c>
      <c r="M2275" s="15" t="n">
        <v>0.35</v>
      </c>
      <c r="N2275" s="9" t="s">
        <v>85</v>
      </c>
    </row>
    <row r="2276" customFormat="false" ht="14.25" hidden="false" customHeight="true" outlineLevel="0" collapsed="false">
      <c r="B2276" s="9" t="s">
        <v>28</v>
      </c>
      <c r="C2276" s="9" t="n">
        <v>1128299</v>
      </c>
      <c r="D2276" s="10" t="n">
        <v>44421</v>
      </c>
      <c r="E2276" s="9" t="s">
        <v>50</v>
      </c>
      <c r="F2276" s="9" t="s">
        <v>92</v>
      </c>
      <c r="G2276" s="9" t="s">
        <v>93</v>
      </c>
      <c r="H2276" s="11" t="s">
        <v>25</v>
      </c>
      <c r="I2276" s="12" t="n">
        <v>70</v>
      </c>
      <c r="J2276" s="13" t="n">
        <v>425</v>
      </c>
      <c r="K2276" s="14" t="n">
        <f aca="false">I2276*J2276</f>
        <v>29750</v>
      </c>
      <c r="L2276" s="14" t="n">
        <f aca="false">($L$2*M2276)/100</f>
        <v>300416.625</v>
      </c>
      <c r="M2276" s="15" t="n">
        <v>0.25</v>
      </c>
      <c r="N2276" s="9" t="s">
        <v>85</v>
      </c>
    </row>
    <row r="2277" customFormat="false" ht="14.25" hidden="false" customHeight="true" outlineLevel="0" collapsed="false">
      <c r="B2277" s="9" t="s">
        <v>28</v>
      </c>
      <c r="C2277" s="9" t="n">
        <v>1128299</v>
      </c>
      <c r="D2277" s="10" t="n">
        <v>44453</v>
      </c>
      <c r="E2277" s="9" t="s">
        <v>50</v>
      </c>
      <c r="F2277" s="9" t="s">
        <v>92</v>
      </c>
      <c r="G2277" s="9" t="s">
        <v>93</v>
      </c>
      <c r="H2277" s="11" t="s">
        <v>19</v>
      </c>
      <c r="I2277" s="12" t="n">
        <v>45</v>
      </c>
      <c r="J2277" s="13" t="n">
        <v>600</v>
      </c>
      <c r="K2277" s="14" t="n">
        <f aca="false">I2277*J2277</f>
        <v>27000</v>
      </c>
      <c r="L2277" s="14" t="n">
        <f aca="false">($L$2*M2277)/100</f>
        <v>480666.6</v>
      </c>
      <c r="M2277" s="15" t="n">
        <v>0.4</v>
      </c>
      <c r="N2277" s="9" t="s">
        <v>85</v>
      </c>
    </row>
    <row r="2278" customFormat="false" ht="14.25" hidden="false" customHeight="true" outlineLevel="0" collapsed="false">
      <c r="B2278" s="9" t="s">
        <v>28</v>
      </c>
      <c r="C2278" s="9" t="n">
        <v>1128299</v>
      </c>
      <c r="D2278" s="10" t="n">
        <v>44453</v>
      </c>
      <c r="E2278" s="9" t="s">
        <v>50</v>
      </c>
      <c r="F2278" s="9" t="s">
        <v>92</v>
      </c>
      <c r="G2278" s="9" t="s">
        <v>93</v>
      </c>
      <c r="H2278" s="11" t="s">
        <v>21</v>
      </c>
      <c r="I2278" s="12" t="n">
        <v>50</v>
      </c>
      <c r="J2278" s="13" t="n">
        <v>600</v>
      </c>
      <c r="K2278" s="14" t="n">
        <f aca="false">I2278*J2278</f>
        <v>30000</v>
      </c>
      <c r="L2278" s="14" t="n">
        <f aca="false">($L$2*M2278)/100</f>
        <v>480666.6</v>
      </c>
      <c r="M2278" s="15" t="n">
        <v>0.4</v>
      </c>
      <c r="N2278" s="9" t="s">
        <v>85</v>
      </c>
    </row>
    <row r="2279" customFormat="false" ht="14.25" hidden="false" customHeight="true" outlineLevel="0" collapsed="false">
      <c r="B2279" s="9" t="s">
        <v>28</v>
      </c>
      <c r="C2279" s="9" t="n">
        <v>1128299</v>
      </c>
      <c r="D2279" s="10" t="n">
        <v>44453</v>
      </c>
      <c r="E2279" s="9" t="s">
        <v>50</v>
      </c>
      <c r="F2279" s="9" t="s">
        <v>92</v>
      </c>
      <c r="G2279" s="9" t="s">
        <v>93</v>
      </c>
      <c r="H2279" s="11" t="s">
        <v>22</v>
      </c>
      <c r="I2279" s="12" t="n">
        <v>45</v>
      </c>
      <c r="J2279" s="13" t="n">
        <v>450</v>
      </c>
      <c r="K2279" s="14" t="n">
        <f aca="false">I2279*J2279</f>
        <v>20250</v>
      </c>
      <c r="L2279" s="14" t="n">
        <f aca="false">($L$2*M2279)/100</f>
        <v>420583.275</v>
      </c>
      <c r="M2279" s="15" t="n">
        <v>0.35</v>
      </c>
      <c r="N2279" s="9" t="s">
        <v>85</v>
      </c>
    </row>
    <row r="2280" customFormat="false" ht="14.25" hidden="false" customHeight="true" outlineLevel="0" collapsed="false">
      <c r="B2280" s="9" t="s">
        <v>28</v>
      </c>
      <c r="C2280" s="9" t="n">
        <v>1128299</v>
      </c>
      <c r="D2280" s="10" t="n">
        <v>44453</v>
      </c>
      <c r="E2280" s="9" t="s">
        <v>50</v>
      </c>
      <c r="F2280" s="9" t="s">
        <v>92</v>
      </c>
      <c r="G2280" s="9" t="s">
        <v>93</v>
      </c>
      <c r="H2280" s="11" t="s">
        <v>23</v>
      </c>
      <c r="I2280" s="12" t="n">
        <v>45</v>
      </c>
      <c r="J2280" s="13" t="n">
        <v>400</v>
      </c>
      <c r="K2280" s="14" t="n">
        <f aca="false">I2280*J2280</f>
        <v>18000</v>
      </c>
      <c r="L2280" s="14" t="n">
        <f aca="false">($L$2*M2280)/100</f>
        <v>480666.6</v>
      </c>
      <c r="M2280" s="15" t="n">
        <v>0.4</v>
      </c>
      <c r="N2280" s="9" t="s">
        <v>85</v>
      </c>
    </row>
    <row r="2281" customFormat="false" ht="14.25" hidden="false" customHeight="true" outlineLevel="0" collapsed="false">
      <c r="B2281" s="9" t="s">
        <v>28</v>
      </c>
      <c r="C2281" s="9" t="n">
        <v>1128299</v>
      </c>
      <c r="D2281" s="10" t="n">
        <v>44453</v>
      </c>
      <c r="E2281" s="9" t="s">
        <v>50</v>
      </c>
      <c r="F2281" s="9" t="s">
        <v>92</v>
      </c>
      <c r="G2281" s="9" t="s">
        <v>93</v>
      </c>
      <c r="H2281" s="11" t="s">
        <v>24</v>
      </c>
      <c r="I2281" s="12" t="n">
        <v>55</v>
      </c>
      <c r="J2281" s="13" t="n">
        <v>400</v>
      </c>
      <c r="K2281" s="14" t="n">
        <f aca="false">I2281*J2281</f>
        <v>22000</v>
      </c>
      <c r="L2281" s="14" t="n">
        <f aca="false">($L$2*M2281)/100</f>
        <v>420583.275</v>
      </c>
      <c r="M2281" s="15" t="n">
        <v>0.35</v>
      </c>
      <c r="N2281" s="9" t="s">
        <v>85</v>
      </c>
    </row>
    <row r="2282" customFormat="false" ht="14.25" hidden="false" customHeight="true" outlineLevel="0" collapsed="false">
      <c r="B2282" s="9" t="s">
        <v>28</v>
      </c>
      <c r="C2282" s="9" t="n">
        <v>1128299</v>
      </c>
      <c r="D2282" s="10" t="n">
        <v>44453</v>
      </c>
      <c r="E2282" s="9" t="s">
        <v>50</v>
      </c>
      <c r="F2282" s="9" t="s">
        <v>92</v>
      </c>
      <c r="G2282" s="9" t="s">
        <v>93</v>
      </c>
      <c r="H2282" s="11" t="s">
        <v>25</v>
      </c>
      <c r="I2282" s="12" t="n">
        <v>60</v>
      </c>
      <c r="J2282" s="13" t="n">
        <v>450</v>
      </c>
      <c r="K2282" s="14" t="n">
        <f aca="false">I2282*J2282</f>
        <v>27000</v>
      </c>
      <c r="L2282" s="14" t="n">
        <f aca="false">($L$2*M2282)/100</f>
        <v>300416.625</v>
      </c>
      <c r="M2282" s="15" t="n">
        <v>0.25</v>
      </c>
      <c r="N2282" s="9" t="s">
        <v>85</v>
      </c>
    </row>
    <row r="2283" customFormat="false" ht="14.25" hidden="false" customHeight="true" outlineLevel="0" collapsed="false">
      <c r="B2283" s="9" t="s">
        <v>28</v>
      </c>
      <c r="C2283" s="9" t="n">
        <v>1128299</v>
      </c>
      <c r="D2283" s="10" t="n">
        <v>44482</v>
      </c>
      <c r="E2283" s="9" t="s">
        <v>50</v>
      </c>
      <c r="F2283" s="9" t="s">
        <v>92</v>
      </c>
      <c r="G2283" s="9" t="s">
        <v>93</v>
      </c>
      <c r="H2283" s="11" t="s">
        <v>19</v>
      </c>
      <c r="I2283" s="12" t="n">
        <v>45</v>
      </c>
      <c r="J2283" s="13" t="n">
        <v>525</v>
      </c>
      <c r="K2283" s="14" t="n">
        <f aca="false">I2283*J2283</f>
        <v>23625</v>
      </c>
      <c r="L2283" s="14" t="n">
        <f aca="false">($L$2*M2283)/100</f>
        <v>480666.6</v>
      </c>
      <c r="M2283" s="15" t="n">
        <v>0.4</v>
      </c>
      <c r="N2283" s="9" t="s">
        <v>85</v>
      </c>
    </row>
    <row r="2284" customFormat="false" ht="14.25" hidden="false" customHeight="true" outlineLevel="0" collapsed="false">
      <c r="B2284" s="9" t="s">
        <v>28</v>
      </c>
      <c r="C2284" s="9" t="n">
        <v>1128299</v>
      </c>
      <c r="D2284" s="10" t="n">
        <v>44482</v>
      </c>
      <c r="E2284" s="9" t="s">
        <v>50</v>
      </c>
      <c r="F2284" s="9" t="s">
        <v>92</v>
      </c>
      <c r="G2284" s="9" t="s">
        <v>93</v>
      </c>
      <c r="H2284" s="11" t="s">
        <v>21</v>
      </c>
      <c r="I2284" s="12" t="n">
        <v>50</v>
      </c>
      <c r="J2284" s="13" t="n">
        <v>525</v>
      </c>
      <c r="K2284" s="14" t="n">
        <f aca="false">I2284*J2284</f>
        <v>26250</v>
      </c>
      <c r="L2284" s="14" t="n">
        <f aca="false">($L$2*M2284)/100</f>
        <v>480666.6</v>
      </c>
      <c r="M2284" s="15" t="n">
        <v>0.4</v>
      </c>
      <c r="N2284" s="9" t="s">
        <v>85</v>
      </c>
    </row>
    <row r="2285" customFormat="false" ht="14.25" hidden="false" customHeight="true" outlineLevel="0" collapsed="false">
      <c r="B2285" s="9" t="s">
        <v>28</v>
      </c>
      <c r="C2285" s="9" t="n">
        <v>1128299</v>
      </c>
      <c r="D2285" s="10" t="n">
        <v>44482</v>
      </c>
      <c r="E2285" s="9" t="s">
        <v>50</v>
      </c>
      <c r="F2285" s="9" t="s">
        <v>92</v>
      </c>
      <c r="G2285" s="9" t="s">
        <v>93</v>
      </c>
      <c r="H2285" s="11" t="s">
        <v>22</v>
      </c>
      <c r="I2285" s="12" t="n">
        <v>45</v>
      </c>
      <c r="J2285" s="13" t="n">
        <v>350</v>
      </c>
      <c r="K2285" s="14" t="n">
        <f aca="false">I2285*J2285</f>
        <v>15750</v>
      </c>
      <c r="L2285" s="14" t="n">
        <f aca="false">($L$2*M2285)/100</f>
        <v>420583.275</v>
      </c>
      <c r="M2285" s="15" t="n">
        <v>0.35</v>
      </c>
      <c r="N2285" s="9" t="s">
        <v>85</v>
      </c>
    </row>
    <row r="2286" customFormat="false" ht="14.25" hidden="false" customHeight="true" outlineLevel="0" collapsed="false">
      <c r="B2286" s="9" t="s">
        <v>28</v>
      </c>
      <c r="C2286" s="9" t="n">
        <v>1128299</v>
      </c>
      <c r="D2286" s="10" t="n">
        <v>44482</v>
      </c>
      <c r="E2286" s="9" t="s">
        <v>50</v>
      </c>
      <c r="F2286" s="9" t="s">
        <v>92</v>
      </c>
      <c r="G2286" s="9" t="s">
        <v>93</v>
      </c>
      <c r="H2286" s="11" t="s">
        <v>23</v>
      </c>
      <c r="I2286" s="12" t="n">
        <v>45</v>
      </c>
      <c r="J2286" s="13" t="n">
        <v>325</v>
      </c>
      <c r="K2286" s="14" t="n">
        <f aca="false">I2286*J2286</f>
        <v>14625</v>
      </c>
      <c r="L2286" s="14" t="n">
        <f aca="false">($L$2*M2286)/100</f>
        <v>480666.6</v>
      </c>
      <c r="M2286" s="15" t="n">
        <v>0.4</v>
      </c>
      <c r="N2286" s="9" t="s">
        <v>85</v>
      </c>
    </row>
    <row r="2287" customFormat="false" ht="14.25" hidden="false" customHeight="true" outlineLevel="0" collapsed="false">
      <c r="B2287" s="9" t="s">
        <v>28</v>
      </c>
      <c r="C2287" s="9" t="n">
        <v>1128299</v>
      </c>
      <c r="D2287" s="10" t="n">
        <v>44482</v>
      </c>
      <c r="E2287" s="9" t="s">
        <v>50</v>
      </c>
      <c r="F2287" s="9" t="s">
        <v>92</v>
      </c>
      <c r="G2287" s="9" t="s">
        <v>93</v>
      </c>
      <c r="H2287" s="11" t="s">
        <v>24</v>
      </c>
      <c r="I2287" s="12" t="n">
        <v>55</v>
      </c>
      <c r="J2287" s="13" t="n">
        <v>300</v>
      </c>
      <c r="K2287" s="14" t="n">
        <f aca="false">I2287*J2287</f>
        <v>16500</v>
      </c>
      <c r="L2287" s="14" t="n">
        <f aca="false">($L$2*M2287)/100</f>
        <v>420583.275</v>
      </c>
      <c r="M2287" s="15" t="n">
        <v>0.35</v>
      </c>
      <c r="N2287" s="9" t="s">
        <v>85</v>
      </c>
    </row>
    <row r="2288" customFormat="false" ht="14.25" hidden="false" customHeight="true" outlineLevel="0" collapsed="false">
      <c r="B2288" s="9" t="s">
        <v>28</v>
      </c>
      <c r="C2288" s="9" t="n">
        <v>1128299</v>
      </c>
      <c r="D2288" s="10" t="n">
        <v>44482</v>
      </c>
      <c r="E2288" s="9" t="s">
        <v>50</v>
      </c>
      <c r="F2288" s="9" t="s">
        <v>92</v>
      </c>
      <c r="G2288" s="9" t="s">
        <v>93</v>
      </c>
      <c r="H2288" s="11" t="s">
        <v>25</v>
      </c>
      <c r="I2288" s="12" t="n">
        <v>70</v>
      </c>
      <c r="J2288" s="13" t="n">
        <v>350</v>
      </c>
      <c r="K2288" s="14" t="n">
        <f aca="false">I2288*J2288</f>
        <v>24500</v>
      </c>
      <c r="L2288" s="14" t="n">
        <f aca="false">($L$2*M2288)/100</f>
        <v>300416.625</v>
      </c>
      <c r="M2288" s="15" t="n">
        <v>0.25</v>
      </c>
      <c r="N2288" s="9" t="s">
        <v>85</v>
      </c>
    </row>
    <row r="2289" customFormat="false" ht="14.25" hidden="false" customHeight="true" outlineLevel="0" collapsed="false">
      <c r="B2289" s="9" t="s">
        <v>28</v>
      </c>
      <c r="C2289" s="9" t="n">
        <v>1128299</v>
      </c>
      <c r="D2289" s="10" t="n">
        <v>44513</v>
      </c>
      <c r="E2289" s="9" t="s">
        <v>50</v>
      </c>
      <c r="F2289" s="9" t="s">
        <v>92</v>
      </c>
      <c r="G2289" s="9" t="s">
        <v>93</v>
      </c>
      <c r="H2289" s="11" t="s">
        <v>19</v>
      </c>
      <c r="I2289" s="12" t="n">
        <v>55</v>
      </c>
      <c r="J2289" s="13" t="n">
        <v>525</v>
      </c>
      <c r="K2289" s="14" t="n">
        <f aca="false">I2289*J2289</f>
        <v>28875</v>
      </c>
      <c r="L2289" s="14" t="n">
        <f aca="false">($L$2*M2289)/100</f>
        <v>480666.6</v>
      </c>
      <c r="M2289" s="15" t="n">
        <v>0.4</v>
      </c>
      <c r="N2289" s="9" t="s">
        <v>85</v>
      </c>
    </row>
    <row r="2290" customFormat="false" ht="14.25" hidden="false" customHeight="true" outlineLevel="0" collapsed="false">
      <c r="B2290" s="9" t="s">
        <v>28</v>
      </c>
      <c r="C2290" s="9" t="n">
        <v>1128299</v>
      </c>
      <c r="D2290" s="10" t="n">
        <v>44513</v>
      </c>
      <c r="E2290" s="9" t="s">
        <v>50</v>
      </c>
      <c r="F2290" s="9" t="s">
        <v>92</v>
      </c>
      <c r="G2290" s="9" t="s">
        <v>93</v>
      </c>
      <c r="H2290" s="11" t="s">
        <v>21</v>
      </c>
      <c r="I2290" s="12" t="n">
        <v>60</v>
      </c>
      <c r="J2290" s="13" t="n">
        <v>575</v>
      </c>
      <c r="K2290" s="14" t="n">
        <f aca="false">I2290*J2290</f>
        <v>34500</v>
      </c>
      <c r="L2290" s="14" t="n">
        <f aca="false">($L$2*M2290)/100</f>
        <v>480666.6</v>
      </c>
      <c r="M2290" s="15" t="n">
        <v>0.4</v>
      </c>
      <c r="N2290" s="9" t="s">
        <v>85</v>
      </c>
    </row>
    <row r="2291" customFormat="false" ht="14.25" hidden="false" customHeight="true" outlineLevel="0" collapsed="false">
      <c r="B2291" s="9" t="s">
        <v>28</v>
      </c>
      <c r="C2291" s="9" t="n">
        <v>1128299</v>
      </c>
      <c r="D2291" s="10" t="n">
        <v>44513</v>
      </c>
      <c r="E2291" s="9" t="s">
        <v>50</v>
      </c>
      <c r="F2291" s="9" t="s">
        <v>92</v>
      </c>
      <c r="G2291" s="9" t="s">
        <v>93</v>
      </c>
      <c r="H2291" s="11" t="s">
        <v>22</v>
      </c>
      <c r="I2291" s="12" t="n">
        <v>55</v>
      </c>
      <c r="J2291" s="13" t="n">
        <v>425</v>
      </c>
      <c r="K2291" s="14" t="n">
        <f aca="false">I2291*J2291</f>
        <v>23375</v>
      </c>
      <c r="L2291" s="14" t="n">
        <f aca="false">($L$2*M2291)/100</f>
        <v>420583.275</v>
      </c>
      <c r="M2291" s="15" t="n">
        <v>0.35</v>
      </c>
      <c r="N2291" s="9" t="s">
        <v>85</v>
      </c>
    </row>
    <row r="2292" customFormat="false" ht="14.25" hidden="false" customHeight="true" outlineLevel="0" collapsed="false">
      <c r="B2292" s="9" t="s">
        <v>28</v>
      </c>
      <c r="C2292" s="9" t="n">
        <v>1128299</v>
      </c>
      <c r="D2292" s="10" t="n">
        <v>44513</v>
      </c>
      <c r="E2292" s="9" t="s">
        <v>50</v>
      </c>
      <c r="F2292" s="9" t="s">
        <v>92</v>
      </c>
      <c r="G2292" s="9" t="s">
        <v>93</v>
      </c>
      <c r="H2292" s="11" t="s">
        <v>23</v>
      </c>
      <c r="I2292" s="12" t="n">
        <v>55</v>
      </c>
      <c r="J2292" s="13" t="n">
        <v>400</v>
      </c>
      <c r="K2292" s="14" t="n">
        <f aca="false">I2292*J2292</f>
        <v>22000</v>
      </c>
      <c r="L2292" s="14" t="n">
        <f aca="false">($L$2*M2292)/100</f>
        <v>480666.6</v>
      </c>
      <c r="M2292" s="15" t="n">
        <v>0.4</v>
      </c>
      <c r="N2292" s="9" t="s">
        <v>85</v>
      </c>
    </row>
    <row r="2293" customFormat="false" ht="14.25" hidden="false" customHeight="true" outlineLevel="0" collapsed="false">
      <c r="B2293" s="9" t="s">
        <v>28</v>
      </c>
      <c r="C2293" s="9" t="n">
        <v>1128299</v>
      </c>
      <c r="D2293" s="10" t="n">
        <v>44513</v>
      </c>
      <c r="E2293" s="9" t="s">
        <v>50</v>
      </c>
      <c r="F2293" s="9" t="s">
        <v>92</v>
      </c>
      <c r="G2293" s="9" t="s">
        <v>93</v>
      </c>
      <c r="H2293" s="11" t="s">
        <v>24</v>
      </c>
      <c r="I2293" s="12" t="n">
        <v>65</v>
      </c>
      <c r="J2293" s="13" t="n">
        <v>350</v>
      </c>
      <c r="K2293" s="14" t="n">
        <f aca="false">I2293*J2293</f>
        <v>22750</v>
      </c>
      <c r="L2293" s="14" t="n">
        <f aca="false">($L$2*M2293)/100</f>
        <v>420583.275</v>
      </c>
      <c r="M2293" s="15" t="n">
        <v>0.35</v>
      </c>
      <c r="N2293" s="9" t="s">
        <v>85</v>
      </c>
    </row>
    <row r="2294" customFormat="false" ht="14.25" hidden="false" customHeight="true" outlineLevel="0" collapsed="false">
      <c r="B2294" s="9" t="s">
        <v>28</v>
      </c>
      <c r="C2294" s="9" t="n">
        <v>1128299</v>
      </c>
      <c r="D2294" s="10" t="n">
        <v>44513</v>
      </c>
      <c r="E2294" s="9" t="s">
        <v>50</v>
      </c>
      <c r="F2294" s="9" t="s">
        <v>92</v>
      </c>
      <c r="G2294" s="9" t="s">
        <v>93</v>
      </c>
      <c r="H2294" s="11" t="s">
        <v>25</v>
      </c>
      <c r="I2294" s="12" t="n">
        <v>70</v>
      </c>
      <c r="J2294" s="13" t="n">
        <v>475</v>
      </c>
      <c r="K2294" s="14" t="n">
        <f aca="false">I2294*J2294</f>
        <v>33250</v>
      </c>
      <c r="L2294" s="14" t="n">
        <f aca="false">($L$2*M2294)/100</f>
        <v>300416.625</v>
      </c>
      <c r="M2294" s="15" t="n">
        <v>0.25</v>
      </c>
      <c r="N2294" s="9" t="s">
        <v>85</v>
      </c>
    </row>
    <row r="2295" customFormat="false" ht="14.25" hidden="false" customHeight="true" outlineLevel="0" collapsed="false">
      <c r="B2295" s="9" t="s">
        <v>28</v>
      </c>
      <c r="C2295" s="9" t="n">
        <v>1128299</v>
      </c>
      <c r="D2295" s="10" t="n">
        <v>44542</v>
      </c>
      <c r="E2295" s="9" t="s">
        <v>50</v>
      </c>
      <c r="F2295" s="9" t="s">
        <v>92</v>
      </c>
      <c r="G2295" s="9" t="s">
        <v>93</v>
      </c>
      <c r="H2295" s="11" t="s">
        <v>19</v>
      </c>
      <c r="I2295" s="12" t="n">
        <v>55</v>
      </c>
      <c r="J2295" s="13" t="n">
        <v>675</v>
      </c>
      <c r="K2295" s="14" t="n">
        <f aca="false">I2295*J2295</f>
        <v>37125</v>
      </c>
      <c r="L2295" s="14" t="n">
        <f aca="false">($L$2*M2295)/100</f>
        <v>480666.6</v>
      </c>
      <c r="M2295" s="15" t="n">
        <v>0.4</v>
      </c>
      <c r="N2295" s="9" t="s">
        <v>85</v>
      </c>
    </row>
    <row r="2296" customFormat="false" ht="14.25" hidden="false" customHeight="true" outlineLevel="0" collapsed="false">
      <c r="B2296" s="9" t="s">
        <v>28</v>
      </c>
      <c r="C2296" s="9" t="n">
        <v>1128299</v>
      </c>
      <c r="D2296" s="10" t="n">
        <v>44542</v>
      </c>
      <c r="E2296" s="9" t="s">
        <v>50</v>
      </c>
      <c r="F2296" s="9" t="s">
        <v>92</v>
      </c>
      <c r="G2296" s="9" t="s">
        <v>93</v>
      </c>
      <c r="H2296" s="11" t="s">
        <v>21</v>
      </c>
      <c r="I2296" s="12" t="n">
        <v>60</v>
      </c>
      <c r="J2296" s="13" t="n">
        <v>675</v>
      </c>
      <c r="K2296" s="14" t="n">
        <f aca="false">I2296*J2296</f>
        <v>40500</v>
      </c>
      <c r="L2296" s="14" t="n">
        <f aca="false">($L$2*M2296)/100</f>
        <v>480666.6</v>
      </c>
      <c r="M2296" s="15" t="n">
        <v>0.4</v>
      </c>
      <c r="N2296" s="9" t="s">
        <v>85</v>
      </c>
    </row>
    <row r="2297" customFormat="false" ht="14.25" hidden="false" customHeight="true" outlineLevel="0" collapsed="false">
      <c r="B2297" s="9" t="s">
        <v>16</v>
      </c>
      <c r="C2297" s="9" t="n">
        <v>1128299</v>
      </c>
      <c r="D2297" s="10" t="n">
        <v>44542</v>
      </c>
      <c r="E2297" s="9" t="s">
        <v>50</v>
      </c>
      <c r="F2297" s="9" t="s">
        <v>92</v>
      </c>
      <c r="G2297" s="9" t="s">
        <v>93</v>
      </c>
      <c r="H2297" s="11" t="s">
        <v>22</v>
      </c>
      <c r="I2297" s="12" t="n">
        <v>55</v>
      </c>
      <c r="J2297" s="13" t="n">
        <v>475</v>
      </c>
      <c r="K2297" s="14" t="n">
        <f aca="false">I2297*J2297</f>
        <v>26125</v>
      </c>
      <c r="L2297" s="14" t="n">
        <f aca="false">($L$2*M2297)/100</f>
        <v>420583.275</v>
      </c>
      <c r="M2297" s="15" t="n">
        <v>0.35</v>
      </c>
      <c r="N2297" s="9" t="s">
        <v>85</v>
      </c>
    </row>
    <row r="2298" customFormat="false" ht="14.25" hidden="false" customHeight="true" outlineLevel="0" collapsed="false">
      <c r="B2298" s="9" t="s">
        <v>16</v>
      </c>
      <c r="C2298" s="9" t="n">
        <v>1128299</v>
      </c>
      <c r="D2298" s="10" t="n">
        <v>44542</v>
      </c>
      <c r="E2298" s="9" t="s">
        <v>50</v>
      </c>
      <c r="F2298" s="9" t="s">
        <v>92</v>
      </c>
      <c r="G2298" s="9" t="s">
        <v>93</v>
      </c>
      <c r="H2298" s="11" t="s">
        <v>23</v>
      </c>
      <c r="I2298" s="12" t="n">
        <v>55</v>
      </c>
      <c r="J2298" s="13" t="n">
        <v>475</v>
      </c>
      <c r="K2298" s="14" t="n">
        <f aca="false">I2298*J2298</f>
        <v>26125</v>
      </c>
      <c r="L2298" s="14" t="n">
        <f aca="false">($L$2*M2298)/100</f>
        <v>480666.6</v>
      </c>
      <c r="M2298" s="15" t="n">
        <v>0.4</v>
      </c>
      <c r="N2298" s="9" t="s">
        <v>85</v>
      </c>
    </row>
    <row r="2299" customFormat="false" ht="14.25" hidden="false" customHeight="true" outlineLevel="0" collapsed="false">
      <c r="B2299" s="9" t="s">
        <v>16</v>
      </c>
      <c r="C2299" s="9" t="n">
        <v>1128299</v>
      </c>
      <c r="D2299" s="10" t="n">
        <v>44542</v>
      </c>
      <c r="E2299" s="9" t="s">
        <v>50</v>
      </c>
      <c r="F2299" s="9" t="s">
        <v>92</v>
      </c>
      <c r="G2299" s="9" t="s">
        <v>93</v>
      </c>
      <c r="H2299" s="11" t="s">
        <v>24</v>
      </c>
      <c r="I2299" s="12" t="n">
        <v>65</v>
      </c>
      <c r="J2299" s="13" t="n">
        <v>400</v>
      </c>
      <c r="K2299" s="14" t="n">
        <f aca="false">I2299*J2299</f>
        <v>26000</v>
      </c>
      <c r="L2299" s="14" t="n">
        <f aca="false">($L$2*M2299)/100</f>
        <v>420583.275</v>
      </c>
      <c r="M2299" s="15" t="n">
        <v>0.35</v>
      </c>
      <c r="N2299" s="9" t="s">
        <v>85</v>
      </c>
    </row>
    <row r="2300" customFormat="false" ht="14.25" hidden="false" customHeight="true" outlineLevel="0" collapsed="false">
      <c r="B2300" s="9" t="s">
        <v>16</v>
      </c>
      <c r="C2300" s="9" t="n">
        <v>1128299</v>
      </c>
      <c r="D2300" s="10" t="n">
        <v>44542</v>
      </c>
      <c r="E2300" s="9" t="s">
        <v>50</v>
      </c>
      <c r="F2300" s="9" t="s">
        <v>92</v>
      </c>
      <c r="G2300" s="9" t="s">
        <v>93</v>
      </c>
      <c r="H2300" s="11" t="s">
        <v>25</v>
      </c>
      <c r="I2300" s="12" t="n">
        <v>70</v>
      </c>
      <c r="J2300" s="13" t="n">
        <v>500</v>
      </c>
      <c r="K2300" s="14" t="n">
        <f aca="false">I2300*J2300</f>
        <v>35000</v>
      </c>
      <c r="L2300" s="14" t="n">
        <f aca="false">($L$2*M2300)/100</f>
        <v>300416.625</v>
      </c>
      <c r="M2300" s="15" t="n">
        <v>0.25</v>
      </c>
      <c r="N2300" s="9" t="s">
        <v>85</v>
      </c>
    </row>
    <row r="2301" customFormat="false" ht="14.25" hidden="false" customHeight="true" outlineLevel="0" collapsed="false">
      <c r="B2301" s="9" t="s">
        <v>16</v>
      </c>
      <c r="C2301" s="9" t="n">
        <v>1185732</v>
      </c>
      <c r="D2301" s="10" t="n">
        <v>44205</v>
      </c>
      <c r="E2301" s="9" t="s">
        <v>50</v>
      </c>
      <c r="F2301" s="9" t="s">
        <v>92</v>
      </c>
      <c r="G2301" s="9" t="s">
        <v>93</v>
      </c>
      <c r="H2301" s="11" t="s">
        <v>19</v>
      </c>
      <c r="I2301" s="12" t="n">
        <v>40</v>
      </c>
      <c r="J2301" s="13" t="n">
        <v>1025</v>
      </c>
      <c r="K2301" s="14" t="n">
        <f aca="false">I2301*J2301</f>
        <v>41000</v>
      </c>
      <c r="L2301" s="14" t="n">
        <f aca="false">($L$2*M2301)/100</f>
        <v>540749.925</v>
      </c>
      <c r="M2301" s="15" t="n">
        <v>0.45</v>
      </c>
      <c r="N2301" s="9" t="s">
        <v>85</v>
      </c>
    </row>
    <row r="2302" customFormat="false" ht="14.25" hidden="false" customHeight="true" outlineLevel="0" collapsed="false">
      <c r="B2302" s="9" t="s">
        <v>16</v>
      </c>
      <c r="C2302" s="9" t="n">
        <v>1185732</v>
      </c>
      <c r="D2302" s="10" t="n">
        <v>44205</v>
      </c>
      <c r="E2302" s="9" t="s">
        <v>50</v>
      </c>
      <c r="F2302" s="9" t="s">
        <v>92</v>
      </c>
      <c r="G2302" s="9" t="s">
        <v>93</v>
      </c>
      <c r="H2302" s="11" t="s">
        <v>21</v>
      </c>
      <c r="I2302" s="12" t="n">
        <v>40</v>
      </c>
      <c r="J2302" s="13" t="n">
        <v>825</v>
      </c>
      <c r="K2302" s="14" t="n">
        <f aca="false">I2302*J2302</f>
        <v>33000</v>
      </c>
      <c r="L2302" s="14" t="n">
        <f aca="false">($L$2*M2302)/100</f>
        <v>420583.275</v>
      </c>
      <c r="M2302" s="15" t="n">
        <v>0.35</v>
      </c>
      <c r="N2302" s="9" t="s">
        <v>85</v>
      </c>
    </row>
    <row r="2303" customFormat="false" ht="14.25" hidden="false" customHeight="true" outlineLevel="0" collapsed="false">
      <c r="B2303" s="9" t="s">
        <v>16</v>
      </c>
      <c r="C2303" s="9" t="n">
        <v>1185732</v>
      </c>
      <c r="D2303" s="10" t="n">
        <v>44205</v>
      </c>
      <c r="E2303" s="9" t="s">
        <v>50</v>
      </c>
      <c r="F2303" s="9" t="s">
        <v>92</v>
      </c>
      <c r="G2303" s="9" t="s">
        <v>93</v>
      </c>
      <c r="H2303" s="11" t="s">
        <v>22</v>
      </c>
      <c r="I2303" s="12" t="n">
        <v>30</v>
      </c>
      <c r="J2303" s="13" t="n">
        <v>825</v>
      </c>
      <c r="K2303" s="14" t="n">
        <f aca="false">I2303*J2303</f>
        <v>24750</v>
      </c>
      <c r="L2303" s="14" t="n">
        <f aca="false">($L$2*M2303)/100</f>
        <v>300416.625</v>
      </c>
      <c r="M2303" s="15" t="n">
        <v>0.25</v>
      </c>
      <c r="N2303" s="9" t="s">
        <v>85</v>
      </c>
    </row>
    <row r="2304" customFormat="false" ht="14.25" hidden="false" customHeight="true" outlineLevel="0" collapsed="false">
      <c r="B2304" s="9" t="s">
        <v>16</v>
      </c>
      <c r="C2304" s="9" t="n">
        <v>1185732</v>
      </c>
      <c r="D2304" s="10" t="n">
        <v>44205</v>
      </c>
      <c r="E2304" s="9" t="s">
        <v>50</v>
      </c>
      <c r="F2304" s="9" t="s">
        <v>92</v>
      </c>
      <c r="G2304" s="9" t="s">
        <v>93</v>
      </c>
      <c r="H2304" s="11" t="s">
        <v>23</v>
      </c>
      <c r="I2304" s="12" t="n">
        <v>35</v>
      </c>
      <c r="J2304" s="13" t="n">
        <v>675</v>
      </c>
      <c r="K2304" s="14" t="n">
        <f aca="false">I2304*J2304</f>
        <v>23625</v>
      </c>
      <c r="L2304" s="14" t="n">
        <f aca="false">($L$2*M2304)/100</f>
        <v>360499.95</v>
      </c>
      <c r="M2304" s="15" t="n">
        <v>0.3</v>
      </c>
      <c r="N2304" s="9" t="s">
        <v>85</v>
      </c>
    </row>
    <row r="2305" customFormat="false" ht="14.25" hidden="false" customHeight="true" outlineLevel="0" collapsed="false">
      <c r="B2305" s="9" t="s">
        <v>16</v>
      </c>
      <c r="C2305" s="9" t="n">
        <v>1185732</v>
      </c>
      <c r="D2305" s="10" t="n">
        <v>44205</v>
      </c>
      <c r="E2305" s="9" t="s">
        <v>50</v>
      </c>
      <c r="F2305" s="9" t="s">
        <v>92</v>
      </c>
      <c r="G2305" s="9" t="s">
        <v>93</v>
      </c>
      <c r="H2305" s="11" t="s">
        <v>24</v>
      </c>
      <c r="I2305" s="12" t="n">
        <v>50</v>
      </c>
      <c r="J2305" s="13" t="n">
        <v>725</v>
      </c>
      <c r="K2305" s="14" t="n">
        <f aca="false">I2305*J2305</f>
        <v>36250</v>
      </c>
      <c r="L2305" s="14" t="n">
        <f aca="false">($L$2*M2305)/100</f>
        <v>420583.275</v>
      </c>
      <c r="M2305" s="15" t="n">
        <v>0.35</v>
      </c>
      <c r="N2305" s="9" t="s">
        <v>85</v>
      </c>
    </row>
    <row r="2306" customFormat="false" ht="14.25" hidden="false" customHeight="true" outlineLevel="0" collapsed="false">
      <c r="B2306" s="9" t="s">
        <v>16</v>
      </c>
      <c r="C2306" s="9" t="n">
        <v>1185732</v>
      </c>
      <c r="D2306" s="10" t="n">
        <v>44205</v>
      </c>
      <c r="E2306" s="9" t="s">
        <v>50</v>
      </c>
      <c r="F2306" s="9" t="s">
        <v>92</v>
      </c>
      <c r="G2306" s="9" t="s">
        <v>93</v>
      </c>
      <c r="H2306" s="11" t="s">
        <v>25</v>
      </c>
      <c r="I2306" s="12" t="n">
        <v>40</v>
      </c>
      <c r="J2306" s="13" t="n">
        <v>825</v>
      </c>
      <c r="K2306" s="14" t="n">
        <f aca="false">I2306*J2306</f>
        <v>33000</v>
      </c>
      <c r="L2306" s="14" t="n">
        <f aca="false">($L$2*M2306)/100</f>
        <v>600833.25</v>
      </c>
      <c r="M2306" s="15" t="n">
        <v>0.5</v>
      </c>
      <c r="N2306" s="9" t="s">
        <v>85</v>
      </c>
    </row>
    <row r="2307" customFormat="false" ht="14.25" hidden="false" customHeight="true" outlineLevel="0" collapsed="false">
      <c r="B2307" s="9" t="s">
        <v>16</v>
      </c>
      <c r="C2307" s="9" t="n">
        <v>1185732</v>
      </c>
      <c r="D2307" s="10" t="n">
        <v>44234</v>
      </c>
      <c r="E2307" s="9" t="s">
        <v>50</v>
      </c>
      <c r="F2307" s="9" t="s">
        <v>92</v>
      </c>
      <c r="G2307" s="9" t="s">
        <v>93</v>
      </c>
      <c r="H2307" s="11" t="s">
        <v>19</v>
      </c>
      <c r="I2307" s="12" t="n">
        <v>40</v>
      </c>
      <c r="J2307" s="13" t="n">
        <v>1075</v>
      </c>
      <c r="K2307" s="14" t="n">
        <f aca="false">I2307*J2307</f>
        <v>43000</v>
      </c>
      <c r="L2307" s="14" t="n">
        <f aca="false">($L$2*M2307)/100</f>
        <v>540749.925</v>
      </c>
      <c r="M2307" s="15" t="n">
        <v>0.45</v>
      </c>
      <c r="N2307" s="9" t="s">
        <v>85</v>
      </c>
    </row>
    <row r="2308" customFormat="false" ht="14.25" hidden="false" customHeight="true" outlineLevel="0" collapsed="false">
      <c r="B2308" s="9" t="s">
        <v>16</v>
      </c>
      <c r="C2308" s="9" t="n">
        <v>1185732</v>
      </c>
      <c r="D2308" s="10" t="n">
        <v>44234</v>
      </c>
      <c r="E2308" s="9" t="s">
        <v>50</v>
      </c>
      <c r="F2308" s="9" t="s">
        <v>92</v>
      </c>
      <c r="G2308" s="9" t="s">
        <v>93</v>
      </c>
      <c r="H2308" s="11" t="s">
        <v>21</v>
      </c>
      <c r="I2308" s="12" t="n">
        <v>40</v>
      </c>
      <c r="J2308" s="13" t="n">
        <v>725</v>
      </c>
      <c r="K2308" s="14" t="n">
        <f aca="false">I2308*J2308</f>
        <v>29000</v>
      </c>
      <c r="L2308" s="14" t="n">
        <f aca="false">($L$2*M2308)/100</f>
        <v>420583.275</v>
      </c>
      <c r="M2308" s="15" t="n">
        <v>0.35</v>
      </c>
      <c r="N2308" s="9" t="s">
        <v>85</v>
      </c>
    </row>
    <row r="2309" customFormat="false" ht="14.25" hidden="false" customHeight="true" outlineLevel="0" collapsed="false">
      <c r="B2309" s="9" t="s">
        <v>16</v>
      </c>
      <c r="C2309" s="9" t="n">
        <v>1185732</v>
      </c>
      <c r="D2309" s="10" t="n">
        <v>44234</v>
      </c>
      <c r="E2309" s="9" t="s">
        <v>50</v>
      </c>
      <c r="F2309" s="9" t="s">
        <v>92</v>
      </c>
      <c r="G2309" s="9" t="s">
        <v>93</v>
      </c>
      <c r="H2309" s="11" t="s">
        <v>22</v>
      </c>
      <c r="I2309" s="12" t="n">
        <v>30</v>
      </c>
      <c r="J2309" s="13" t="n">
        <v>775</v>
      </c>
      <c r="K2309" s="14" t="n">
        <f aca="false">I2309*J2309</f>
        <v>23250</v>
      </c>
      <c r="L2309" s="14" t="n">
        <f aca="false">($L$2*M2309)/100</f>
        <v>300416.625</v>
      </c>
      <c r="M2309" s="15" t="n">
        <v>0.25</v>
      </c>
      <c r="N2309" s="9" t="s">
        <v>85</v>
      </c>
    </row>
    <row r="2310" customFormat="false" ht="14.25" hidden="false" customHeight="true" outlineLevel="0" collapsed="false">
      <c r="B2310" s="9" t="s">
        <v>16</v>
      </c>
      <c r="C2310" s="9" t="n">
        <v>1185732</v>
      </c>
      <c r="D2310" s="10" t="n">
        <v>44234</v>
      </c>
      <c r="E2310" s="9" t="s">
        <v>50</v>
      </c>
      <c r="F2310" s="9" t="s">
        <v>94</v>
      </c>
      <c r="G2310" s="9" t="s">
        <v>95</v>
      </c>
      <c r="H2310" s="11" t="s">
        <v>23</v>
      </c>
      <c r="I2310" s="12" t="n">
        <v>35</v>
      </c>
      <c r="J2310" s="13" t="n">
        <v>625</v>
      </c>
      <c r="K2310" s="14" t="n">
        <f aca="false">I2310*J2310</f>
        <v>21875</v>
      </c>
      <c r="L2310" s="14" t="n">
        <f aca="false">($L$2*M2310)/100</f>
        <v>360499.95</v>
      </c>
      <c r="M2310" s="15" t="n">
        <v>0.3</v>
      </c>
      <c r="N2310" s="9" t="s">
        <v>85</v>
      </c>
    </row>
    <row r="2311" customFormat="false" ht="14.25" hidden="false" customHeight="true" outlineLevel="0" collapsed="false">
      <c r="B2311" s="9" t="s">
        <v>16</v>
      </c>
      <c r="C2311" s="9" t="n">
        <v>1185732</v>
      </c>
      <c r="D2311" s="10" t="n">
        <v>44234</v>
      </c>
      <c r="E2311" s="9" t="s">
        <v>50</v>
      </c>
      <c r="F2311" s="9" t="s">
        <v>94</v>
      </c>
      <c r="G2311" s="9" t="s">
        <v>95</v>
      </c>
      <c r="H2311" s="11" t="s">
        <v>24</v>
      </c>
      <c r="I2311" s="12" t="n">
        <v>50</v>
      </c>
      <c r="J2311" s="13" t="n">
        <v>700</v>
      </c>
      <c r="K2311" s="14" t="n">
        <f aca="false">I2311*J2311</f>
        <v>35000</v>
      </c>
      <c r="L2311" s="14" t="n">
        <f aca="false">($L$2*M2311)/100</f>
        <v>420583.275</v>
      </c>
      <c r="M2311" s="15" t="n">
        <v>0.35</v>
      </c>
      <c r="N2311" s="9" t="s">
        <v>85</v>
      </c>
    </row>
    <row r="2312" customFormat="false" ht="14.25" hidden="false" customHeight="true" outlineLevel="0" collapsed="false">
      <c r="B2312" s="9" t="s">
        <v>16</v>
      </c>
      <c r="C2312" s="9" t="n">
        <v>1185732</v>
      </c>
      <c r="D2312" s="10" t="n">
        <v>44234</v>
      </c>
      <c r="E2312" s="9" t="s">
        <v>50</v>
      </c>
      <c r="F2312" s="9" t="s">
        <v>94</v>
      </c>
      <c r="G2312" s="9" t="s">
        <v>95</v>
      </c>
      <c r="H2312" s="11" t="s">
        <v>25</v>
      </c>
      <c r="I2312" s="12" t="n">
        <v>35</v>
      </c>
      <c r="J2312" s="13" t="n">
        <v>800</v>
      </c>
      <c r="K2312" s="14" t="n">
        <f aca="false">I2312*J2312</f>
        <v>28000</v>
      </c>
      <c r="L2312" s="14" t="n">
        <f aca="false">($L$2*M2312)/100</f>
        <v>600833.25</v>
      </c>
      <c r="M2312" s="15" t="n">
        <v>0.5</v>
      </c>
      <c r="N2312" s="9" t="s">
        <v>85</v>
      </c>
    </row>
    <row r="2313" customFormat="false" ht="14.25" hidden="false" customHeight="true" outlineLevel="0" collapsed="false">
      <c r="B2313" s="9" t="s">
        <v>16</v>
      </c>
      <c r="C2313" s="9" t="n">
        <v>1185732</v>
      </c>
      <c r="D2313" s="10" t="n">
        <v>44260</v>
      </c>
      <c r="E2313" s="9" t="s">
        <v>50</v>
      </c>
      <c r="F2313" s="9" t="s">
        <v>94</v>
      </c>
      <c r="G2313" s="9" t="s">
        <v>95</v>
      </c>
      <c r="H2313" s="11" t="s">
        <v>19</v>
      </c>
      <c r="I2313" s="12" t="n">
        <v>35</v>
      </c>
      <c r="J2313" s="13" t="n">
        <v>1020</v>
      </c>
      <c r="K2313" s="14" t="n">
        <f aca="false">I2313*J2313</f>
        <v>35700</v>
      </c>
      <c r="L2313" s="14" t="n">
        <f aca="false">($L$2*M2313)/100</f>
        <v>540749.925</v>
      </c>
      <c r="M2313" s="15" t="n">
        <v>0.45</v>
      </c>
      <c r="N2313" s="9" t="s">
        <v>85</v>
      </c>
    </row>
    <row r="2314" customFormat="false" ht="14.25" hidden="false" customHeight="true" outlineLevel="0" collapsed="false">
      <c r="B2314" s="9" t="s">
        <v>16</v>
      </c>
      <c r="C2314" s="9" t="n">
        <v>1185732</v>
      </c>
      <c r="D2314" s="10" t="n">
        <v>44260</v>
      </c>
      <c r="E2314" s="9" t="s">
        <v>50</v>
      </c>
      <c r="F2314" s="9" t="s">
        <v>94</v>
      </c>
      <c r="G2314" s="9" t="s">
        <v>95</v>
      </c>
      <c r="H2314" s="11" t="s">
        <v>21</v>
      </c>
      <c r="I2314" s="12" t="n">
        <v>35</v>
      </c>
      <c r="J2314" s="13" t="n">
        <v>700</v>
      </c>
      <c r="K2314" s="14" t="n">
        <f aca="false">I2314*J2314</f>
        <v>24500</v>
      </c>
      <c r="L2314" s="14" t="n">
        <f aca="false">($L$2*M2314)/100</f>
        <v>420583.275</v>
      </c>
      <c r="M2314" s="15" t="n">
        <v>0.35</v>
      </c>
      <c r="N2314" s="9" t="s">
        <v>85</v>
      </c>
    </row>
    <row r="2315" customFormat="false" ht="14.25" hidden="false" customHeight="true" outlineLevel="0" collapsed="false">
      <c r="B2315" s="9" t="s">
        <v>16</v>
      </c>
      <c r="C2315" s="9" t="n">
        <v>1185732</v>
      </c>
      <c r="D2315" s="10" t="n">
        <v>44260</v>
      </c>
      <c r="E2315" s="9" t="s">
        <v>50</v>
      </c>
      <c r="F2315" s="9" t="s">
        <v>94</v>
      </c>
      <c r="G2315" s="9" t="s">
        <v>95</v>
      </c>
      <c r="H2315" s="11" t="s">
        <v>22</v>
      </c>
      <c r="I2315" s="12" t="n">
        <v>25</v>
      </c>
      <c r="J2315" s="13" t="n">
        <v>725</v>
      </c>
      <c r="K2315" s="14" t="n">
        <f aca="false">I2315*J2315</f>
        <v>18125</v>
      </c>
      <c r="L2315" s="14" t="n">
        <f aca="false">($L$2*M2315)/100</f>
        <v>300416.625</v>
      </c>
      <c r="M2315" s="15" t="n">
        <v>0.25</v>
      </c>
      <c r="N2315" s="9" t="s">
        <v>85</v>
      </c>
    </row>
    <row r="2316" customFormat="false" ht="14.25" hidden="false" customHeight="true" outlineLevel="0" collapsed="false">
      <c r="B2316" s="9" t="s">
        <v>16</v>
      </c>
      <c r="C2316" s="9" t="n">
        <v>1185732</v>
      </c>
      <c r="D2316" s="10" t="n">
        <v>44260</v>
      </c>
      <c r="E2316" s="9" t="s">
        <v>50</v>
      </c>
      <c r="F2316" s="9" t="s">
        <v>94</v>
      </c>
      <c r="G2316" s="9" t="s">
        <v>95</v>
      </c>
      <c r="H2316" s="11" t="s">
        <v>23</v>
      </c>
      <c r="I2316" s="12" t="n">
        <v>30</v>
      </c>
      <c r="J2316" s="13" t="n">
        <v>575</v>
      </c>
      <c r="K2316" s="14" t="n">
        <f aca="false">I2316*J2316</f>
        <v>17250</v>
      </c>
      <c r="L2316" s="14" t="n">
        <f aca="false">($L$2*M2316)/100</f>
        <v>360499.95</v>
      </c>
      <c r="M2316" s="15" t="n">
        <v>0.3</v>
      </c>
      <c r="N2316" s="9" t="s">
        <v>85</v>
      </c>
    </row>
    <row r="2317" customFormat="false" ht="14.25" hidden="false" customHeight="true" outlineLevel="0" collapsed="false">
      <c r="B2317" s="9" t="s">
        <v>16</v>
      </c>
      <c r="C2317" s="9" t="n">
        <v>1185732</v>
      </c>
      <c r="D2317" s="10" t="n">
        <v>44260</v>
      </c>
      <c r="E2317" s="9" t="s">
        <v>50</v>
      </c>
      <c r="F2317" s="9" t="s">
        <v>94</v>
      </c>
      <c r="G2317" s="9" t="s">
        <v>95</v>
      </c>
      <c r="H2317" s="11" t="s">
        <v>24</v>
      </c>
      <c r="I2317" s="12" t="n">
        <v>45</v>
      </c>
      <c r="J2317" s="13" t="n">
        <v>625</v>
      </c>
      <c r="K2317" s="14" t="n">
        <f aca="false">I2317*J2317</f>
        <v>28125</v>
      </c>
      <c r="L2317" s="14" t="n">
        <f aca="false">($L$2*M2317)/100</f>
        <v>420583.275</v>
      </c>
      <c r="M2317" s="15" t="n">
        <v>0.35</v>
      </c>
      <c r="N2317" s="9" t="s">
        <v>85</v>
      </c>
    </row>
    <row r="2318" customFormat="false" ht="14.25" hidden="false" customHeight="true" outlineLevel="0" collapsed="false">
      <c r="B2318" s="9" t="s">
        <v>16</v>
      </c>
      <c r="C2318" s="9" t="n">
        <v>1185732</v>
      </c>
      <c r="D2318" s="10" t="n">
        <v>44260</v>
      </c>
      <c r="E2318" s="9" t="s">
        <v>50</v>
      </c>
      <c r="F2318" s="9" t="s">
        <v>94</v>
      </c>
      <c r="G2318" s="9" t="s">
        <v>95</v>
      </c>
      <c r="H2318" s="11" t="s">
        <v>25</v>
      </c>
      <c r="I2318" s="12" t="n">
        <v>35</v>
      </c>
      <c r="J2318" s="13" t="n">
        <v>725</v>
      </c>
      <c r="K2318" s="14" t="n">
        <f aca="false">I2318*J2318</f>
        <v>25375</v>
      </c>
      <c r="L2318" s="14" t="n">
        <f aca="false">($L$2*M2318)/100</f>
        <v>600833.25</v>
      </c>
      <c r="M2318" s="15" t="n">
        <v>0.5</v>
      </c>
      <c r="N2318" s="9" t="s">
        <v>85</v>
      </c>
    </row>
    <row r="2319" customFormat="false" ht="14.25" hidden="false" customHeight="true" outlineLevel="0" collapsed="false">
      <c r="B2319" s="9" t="s">
        <v>16</v>
      </c>
      <c r="C2319" s="9" t="n">
        <v>1185732</v>
      </c>
      <c r="D2319" s="10" t="n">
        <v>44292</v>
      </c>
      <c r="E2319" s="9" t="s">
        <v>50</v>
      </c>
      <c r="F2319" s="9" t="s">
        <v>94</v>
      </c>
      <c r="G2319" s="9" t="s">
        <v>95</v>
      </c>
      <c r="H2319" s="11" t="s">
        <v>19</v>
      </c>
      <c r="I2319" s="12" t="n">
        <v>35</v>
      </c>
      <c r="J2319" s="13" t="n">
        <v>975</v>
      </c>
      <c r="K2319" s="14" t="n">
        <f aca="false">I2319*J2319</f>
        <v>34125</v>
      </c>
      <c r="L2319" s="14" t="n">
        <f aca="false">($L$2*M2319)/100</f>
        <v>540749.925</v>
      </c>
      <c r="M2319" s="15" t="n">
        <v>0.45</v>
      </c>
      <c r="N2319" s="9" t="s">
        <v>85</v>
      </c>
    </row>
    <row r="2320" customFormat="false" ht="14.25" hidden="false" customHeight="true" outlineLevel="0" collapsed="false">
      <c r="B2320" s="9" t="s">
        <v>16</v>
      </c>
      <c r="C2320" s="9" t="n">
        <v>1185732</v>
      </c>
      <c r="D2320" s="10" t="n">
        <v>44292</v>
      </c>
      <c r="E2320" s="9" t="s">
        <v>50</v>
      </c>
      <c r="F2320" s="9" t="s">
        <v>94</v>
      </c>
      <c r="G2320" s="9" t="s">
        <v>95</v>
      </c>
      <c r="H2320" s="11" t="s">
        <v>21</v>
      </c>
      <c r="I2320" s="12" t="n">
        <v>35</v>
      </c>
      <c r="J2320" s="13" t="n">
        <v>675</v>
      </c>
      <c r="K2320" s="14" t="n">
        <f aca="false">I2320*J2320</f>
        <v>23625</v>
      </c>
      <c r="L2320" s="14" t="n">
        <f aca="false">($L$2*M2320)/100</f>
        <v>420583.275</v>
      </c>
      <c r="M2320" s="15" t="n">
        <v>0.35</v>
      </c>
      <c r="N2320" s="9" t="s">
        <v>85</v>
      </c>
    </row>
    <row r="2321" customFormat="false" ht="14.25" hidden="false" customHeight="true" outlineLevel="0" collapsed="false">
      <c r="B2321" s="9" t="s">
        <v>16</v>
      </c>
      <c r="C2321" s="9" t="n">
        <v>1185732</v>
      </c>
      <c r="D2321" s="10" t="n">
        <v>44292</v>
      </c>
      <c r="E2321" s="9" t="s">
        <v>50</v>
      </c>
      <c r="F2321" s="9" t="s">
        <v>94</v>
      </c>
      <c r="G2321" s="9" t="s">
        <v>95</v>
      </c>
      <c r="H2321" s="11" t="s">
        <v>22</v>
      </c>
      <c r="I2321" s="12" t="n">
        <v>25</v>
      </c>
      <c r="J2321" s="13" t="n">
        <v>675</v>
      </c>
      <c r="K2321" s="14" t="n">
        <f aca="false">I2321*J2321</f>
        <v>16875</v>
      </c>
      <c r="L2321" s="14" t="n">
        <f aca="false">($L$2*M2321)/100</f>
        <v>300416.625</v>
      </c>
      <c r="M2321" s="15" t="n">
        <v>0.25</v>
      </c>
      <c r="N2321" s="9" t="s">
        <v>85</v>
      </c>
    </row>
    <row r="2322" customFormat="false" ht="14.25" hidden="false" customHeight="true" outlineLevel="0" collapsed="false">
      <c r="B2322" s="9" t="s">
        <v>16</v>
      </c>
      <c r="C2322" s="9" t="n">
        <v>1185732</v>
      </c>
      <c r="D2322" s="10" t="n">
        <v>44292</v>
      </c>
      <c r="E2322" s="9" t="s">
        <v>50</v>
      </c>
      <c r="F2322" s="9" t="s">
        <v>94</v>
      </c>
      <c r="G2322" s="9" t="s">
        <v>95</v>
      </c>
      <c r="H2322" s="11" t="s">
        <v>23</v>
      </c>
      <c r="I2322" s="12" t="n">
        <v>30</v>
      </c>
      <c r="J2322" s="13" t="n">
        <v>600</v>
      </c>
      <c r="K2322" s="14" t="n">
        <f aca="false">I2322*J2322</f>
        <v>18000</v>
      </c>
      <c r="L2322" s="14" t="n">
        <f aca="false">($L$2*M2322)/100</f>
        <v>360499.95</v>
      </c>
      <c r="M2322" s="15" t="n">
        <v>0.3</v>
      </c>
      <c r="N2322" s="9" t="s">
        <v>85</v>
      </c>
    </row>
    <row r="2323" customFormat="false" ht="14.25" hidden="false" customHeight="true" outlineLevel="0" collapsed="false">
      <c r="B2323" s="9" t="s">
        <v>16</v>
      </c>
      <c r="C2323" s="9" t="n">
        <v>1185732</v>
      </c>
      <c r="D2323" s="10" t="n">
        <v>44292</v>
      </c>
      <c r="E2323" s="9" t="s">
        <v>50</v>
      </c>
      <c r="F2323" s="9" t="s">
        <v>94</v>
      </c>
      <c r="G2323" s="9" t="s">
        <v>95</v>
      </c>
      <c r="H2323" s="11" t="s">
        <v>24</v>
      </c>
      <c r="I2323" s="12" t="n">
        <v>50</v>
      </c>
      <c r="J2323" s="13" t="n">
        <v>625</v>
      </c>
      <c r="K2323" s="14" t="n">
        <f aca="false">I2323*J2323</f>
        <v>31250</v>
      </c>
      <c r="L2323" s="14" t="n">
        <f aca="false">($L$2*M2323)/100</f>
        <v>420583.275</v>
      </c>
      <c r="M2323" s="15" t="n">
        <v>0.35</v>
      </c>
      <c r="N2323" s="9" t="s">
        <v>85</v>
      </c>
    </row>
    <row r="2324" customFormat="false" ht="14.25" hidden="false" customHeight="true" outlineLevel="0" collapsed="false">
      <c r="B2324" s="9" t="s">
        <v>16</v>
      </c>
      <c r="C2324" s="9" t="n">
        <v>1185732</v>
      </c>
      <c r="D2324" s="10" t="n">
        <v>44292</v>
      </c>
      <c r="E2324" s="9" t="s">
        <v>50</v>
      </c>
      <c r="F2324" s="9" t="s">
        <v>94</v>
      </c>
      <c r="G2324" s="9" t="s">
        <v>95</v>
      </c>
      <c r="H2324" s="11" t="s">
        <v>25</v>
      </c>
      <c r="I2324" s="12" t="n">
        <v>40</v>
      </c>
      <c r="J2324" s="13" t="n">
        <v>775</v>
      </c>
      <c r="K2324" s="14" t="n">
        <f aca="false">I2324*J2324</f>
        <v>31000</v>
      </c>
      <c r="L2324" s="14" t="n">
        <f aca="false">($L$2*M2324)/100</f>
        <v>600833.25</v>
      </c>
      <c r="M2324" s="15" t="n">
        <v>0.5</v>
      </c>
      <c r="N2324" s="9" t="s">
        <v>85</v>
      </c>
    </row>
    <row r="2325" customFormat="false" ht="14.25" hidden="false" customHeight="true" outlineLevel="0" collapsed="false">
      <c r="B2325" s="9" t="s">
        <v>16</v>
      </c>
      <c r="C2325" s="9" t="n">
        <v>1185732</v>
      </c>
      <c r="D2325" s="10" t="n">
        <v>44321</v>
      </c>
      <c r="E2325" s="9" t="s">
        <v>50</v>
      </c>
      <c r="F2325" s="9" t="s">
        <v>94</v>
      </c>
      <c r="G2325" s="9" t="s">
        <v>95</v>
      </c>
      <c r="H2325" s="11" t="s">
        <v>19</v>
      </c>
      <c r="I2325" s="12" t="n">
        <v>50</v>
      </c>
      <c r="J2325" s="13" t="n">
        <v>1045</v>
      </c>
      <c r="K2325" s="14" t="n">
        <f aca="false">I2325*J2325</f>
        <v>52250</v>
      </c>
      <c r="L2325" s="14" t="n">
        <f aca="false">($L$2*M2325)/100</f>
        <v>540749.925</v>
      </c>
      <c r="M2325" s="15" t="n">
        <v>0.45</v>
      </c>
      <c r="N2325" s="9" t="s">
        <v>85</v>
      </c>
    </row>
    <row r="2326" customFormat="false" ht="14.25" hidden="false" customHeight="true" outlineLevel="0" collapsed="false">
      <c r="B2326" s="9" t="s">
        <v>16</v>
      </c>
      <c r="C2326" s="9" t="n">
        <v>1185732</v>
      </c>
      <c r="D2326" s="10" t="n">
        <v>44321</v>
      </c>
      <c r="E2326" s="9" t="s">
        <v>50</v>
      </c>
      <c r="F2326" s="9" t="s">
        <v>94</v>
      </c>
      <c r="G2326" s="9" t="s">
        <v>95</v>
      </c>
      <c r="H2326" s="11" t="s">
        <v>21</v>
      </c>
      <c r="I2326" s="12" t="n">
        <v>50</v>
      </c>
      <c r="J2326" s="13" t="n">
        <v>750</v>
      </c>
      <c r="K2326" s="14" t="n">
        <f aca="false">I2326*J2326</f>
        <v>37500</v>
      </c>
      <c r="L2326" s="14" t="n">
        <f aca="false">($L$2*M2326)/100</f>
        <v>420583.275</v>
      </c>
      <c r="M2326" s="15" t="n">
        <v>0.35</v>
      </c>
      <c r="N2326" s="9" t="s">
        <v>85</v>
      </c>
    </row>
    <row r="2327" customFormat="false" ht="14.25" hidden="false" customHeight="true" outlineLevel="0" collapsed="false">
      <c r="B2327" s="9" t="s">
        <v>16</v>
      </c>
      <c r="C2327" s="9" t="n">
        <v>1185732</v>
      </c>
      <c r="D2327" s="10" t="n">
        <v>44321</v>
      </c>
      <c r="E2327" s="9" t="s">
        <v>50</v>
      </c>
      <c r="F2327" s="9" t="s">
        <v>94</v>
      </c>
      <c r="G2327" s="9" t="s">
        <v>95</v>
      </c>
      <c r="H2327" s="11" t="s">
        <v>22</v>
      </c>
      <c r="I2327" s="12" t="n">
        <v>45</v>
      </c>
      <c r="J2327" s="13" t="n">
        <v>725</v>
      </c>
      <c r="K2327" s="14" t="n">
        <f aca="false">I2327*J2327</f>
        <v>32625</v>
      </c>
      <c r="L2327" s="14" t="n">
        <f aca="false">($L$2*M2327)/100</f>
        <v>300416.625</v>
      </c>
      <c r="M2327" s="15" t="n">
        <v>0.25</v>
      </c>
      <c r="N2327" s="9" t="s">
        <v>85</v>
      </c>
    </row>
    <row r="2328" customFormat="false" ht="14.25" hidden="false" customHeight="true" outlineLevel="0" collapsed="false">
      <c r="B2328" s="9" t="s">
        <v>16</v>
      </c>
      <c r="C2328" s="9" t="n">
        <v>1185732</v>
      </c>
      <c r="D2328" s="10" t="n">
        <v>44321</v>
      </c>
      <c r="E2328" s="9" t="s">
        <v>50</v>
      </c>
      <c r="F2328" s="9" t="s">
        <v>94</v>
      </c>
      <c r="G2328" s="9" t="s">
        <v>95</v>
      </c>
      <c r="H2328" s="11" t="s">
        <v>23</v>
      </c>
      <c r="I2328" s="12" t="n">
        <v>45</v>
      </c>
      <c r="J2328" s="13" t="n">
        <v>675</v>
      </c>
      <c r="K2328" s="14" t="n">
        <f aca="false">I2328*J2328</f>
        <v>30375</v>
      </c>
      <c r="L2328" s="14" t="n">
        <f aca="false">($L$2*M2328)/100</f>
        <v>360499.95</v>
      </c>
      <c r="M2328" s="15" t="n">
        <v>0.3</v>
      </c>
      <c r="N2328" s="9" t="s">
        <v>85</v>
      </c>
    </row>
    <row r="2329" customFormat="false" ht="14.25" hidden="false" customHeight="true" outlineLevel="0" collapsed="false">
      <c r="B2329" s="9" t="s">
        <v>16</v>
      </c>
      <c r="C2329" s="9" t="n">
        <v>1185732</v>
      </c>
      <c r="D2329" s="10" t="n">
        <v>44321</v>
      </c>
      <c r="E2329" s="9" t="s">
        <v>50</v>
      </c>
      <c r="F2329" s="9" t="s">
        <v>94</v>
      </c>
      <c r="G2329" s="9" t="s">
        <v>95</v>
      </c>
      <c r="H2329" s="11" t="s">
        <v>24</v>
      </c>
      <c r="I2329" s="12" t="n">
        <v>55</v>
      </c>
      <c r="J2329" s="13" t="n">
        <v>700</v>
      </c>
      <c r="K2329" s="14" t="n">
        <f aca="false">I2329*J2329</f>
        <v>38500</v>
      </c>
      <c r="L2329" s="14" t="n">
        <f aca="false">($L$2*M2329)/100</f>
        <v>420583.275</v>
      </c>
      <c r="M2329" s="15" t="n">
        <v>0.35</v>
      </c>
      <c r="N2329" s="9" t="s">
        <v>85</v>
      </c>
    </row>
    <row r="2330" customFormat="false" ht="14.25" hidden="false" customHeight="true" outlineLevel="0" collapsed="false">
      <c r="B2330" s="9" t="s">
        <v>16</v>
      </c>
      <c r="C2330" s="9" t="n">
        <v>1185732</v>
      </c>
      <c r="D2330" s="10" t="n">
        <v>44321</v>
      </c>
      <c r="E2330" s="9" t="s">
        <v>50</v>
      </c>
      <c r="F2330" s="9" t="s">
        <v>94</v>
      </c>
      <c r="G2330" s="9" t="s">
        <v>95</v>
      </c>
      <c r="H2330" s="11" t="s">
        <v>25</v>
      </c>
      <c r="I2330" s="12" t="n">
        <v>60</v>
      </c>
      <c r="J2330" s="13" t="n">
        <v>800</v>
      </c>
      <c r="K2330" s="14" t="n">
        <f aca="false">I2330*J2330</f>
        <v>48000</v>
      </c>
      <c r="L2330" s="14" t="n">
        <f aca="false">($L$2*M2330)/100</f>
        <v>600833.25</v>
      </c>
      <c r="M2330" s="15" t="n">
        <v>0.5</v>
      </c>
      <c r="N2330" s="9" t="s">
        <v>85</v>
      </c>
    </row>
    <row r="2331" customFormat="false" ht="14.25" hidden="false" customHeight="true" outlineLevel="0" collapsed="false">
      <c r="B2331" s="9" t="s">
        <v>16</v>
      </c>
      <c r="C2331" s="9" t="n">
        <v>1185732</v>
      </c>
      <c r="D2331" s="10" t="n">
        <v>44354</v>
      </c>
      <c r="E2331" s="9" t="s">
        <v>50</v>
      </c>
      <c r="F2331" s="9" t="s">
        <v>94</v>
      </c>
      <c r="G2331" s="9" t="s">
        <v>95</v>
      </c>
      <c r="H2331" s="11" t="s">
        <v>19</v>
      </c>
      <c r="I2331" s="12" t="n">
        <v>55</v>
      </c>
      <c r="J2331" s="13" t="n">
        <v>1050</v>
      </c>
      <c r="K2331" s="14" t="n">
        <f aca="false">I2331*J2331</f>
        <v>57750</v>
      </c>
      <c r="L2331" s="14" t="n">
        <f aca="false">($L$2*M2331)/100</f>
        <v>540749.925</v>
      </c>
      <c r="M2331" s="15" t="n">
        <v>0.45</v>
      </c>
      <c r="N2331" s="9" t="s">
        <v>85</v>
      </c>
    </row>
    <row r="2332" customFormat="false" ht="14.25" hidden="false" customHeight="true" outlineLevel="0" collapsed="false">
      <c r="B2332" s="9" t="s">
        <v>16</v>
      </c>
      <c r="C2332" s="9" t="n">
        <v>1185732</v>
      </c>
      <c r="D2332" s="10" t="n">
        <v>44354</v>
      </c>
      <c r="E2332" s="9" t="s">
        <v>50</v>
      </c>
      <c r="F2332" s="9" t="s">
        <v>94</v>
      </c>
      <c r="G2332" s="9" t="s">
        <v>95</v>
      </c>
      <c r="H2332" s="11" t="s">
        <v>21</v>
      </c>
      <c r="I2332" s="12" t="n">
        <v>50</v>
      </c>
      <c r="J2332" s="13" t="n">
        <v>800</v>
      </c>
      <c r="K2332" s="14" t="n">
        <f aca="false">I2332*J2332</f>
        <v>40000</v>
      </c>
      <c r="L2332" s="14" t="n">
        <f aca="false">($L$2*M2332)/100</f>
        <v>420583.275</v>
      </c>
      <c r="M2332" s="15" t="n">
        <v>0.35</v>
      </c>
      <c r="N2332" s="9" t="s">
        <v>85</v>
      </c>
    </row>
    <row r="2333" customFormat="false" ht="14.25" hidden="false" customHeight="true" outlineLevel="0" collapsed="false">
      <c r="B2333" s="9" t="s">
        <v>16</v>
      </c>
      <c r="C2333" s="9" t="n">
        <v>1185732</v>
      </c>
      <c r="D2333" s="10" t="n">
        <v>44354</v>
      </c>
      <c r="E2333" s="9" t="s">
        <v>50</v>
      </c>
      <c r="F2333" s="9" t="s">
        <v>94</v>
      </c>
      <c r="G2333" s="9" t="s">
        <v>95</v>
      </c>
      <c r="H2333" s="11" t="s">
        <v>22</v>
      </c>
      <c r="I2333" s="12" t="n">
        <v>50</v>
      </c>
      <c r="J2333" s="13" t="n">
        <v>775</v>
      </c>
      <c r="K2333" s="14" t="n">
        <f aca="false">I2333*J2333</f>
        <v>38750</v>
      </c>
      <c r="L2333" s="14" t="n">
        <f aca="false">($L$2*M2333)/100</f>
        <v>300416.625</v>
      </c>
      <c r="M2333" s="15" t="n">
        <v>0.25</v>
      </c>
      <c r="N2333" s="9" t="s">
        <v>85</v>
      </c>
    </row>
    <row r="2334" customFormat="false" ht="14.25" hidden="false" customHeight="true" outlineLevel="0" collapsed="false">
      <c r="B2334" s="9" t="s">
        <v>16</v>
      </c>
      <c r="C2334" s="9" t="n">
        <v>1185732</v>
      </c>
      <c r="D2334" s="10" t="n">
        <v>44354</v>
      </c>
      <c r="E2334" s="9" t="s">
        <v>50</v>
      </c>
      <c r="F2334" s="9" t="s">
        <v>94</v>
      </c>
      <c r="G2334" s="9" t="s">
        <v>95</v>
      </c>
      <c r="H2334" s="11" t="s">
        <v>23</v>
      </c>
      <c r="I2334" s="12" t="n">
        <v>50</v>
      </c>
      <c r="J2334" s="13" t="n">
        <v>750</v>
      </c>
      <c r="K2334" s="14" t="n">
        <f aca="false">I2334*J2334</f>
        <v>37500</v>
      </c>
      <c r="L2334" s="14" t="n">
        <f aca="false">($L$2*M2334)/100</f>
        <v>360499.95</v>
      </c>
      <c r="M2334" s="15" t="n">
        <v>0.3</v>
      </c>
      <c r="N2334" s="9" t="s">
        <v>85</v>
      </c>
    </row>
    <row r="2335" customFormat="false" ht="14.25" hidden="false" customHeight="true" outlineLevel="0" collapsed="false">
      <c r="B2335" s="9" t="s">
        <v>16</v>
      </c>
      <c r="C2335" s="9" t="n">
        <v>1185732</v>
      </c>
      <c r="D2335" s="10" t="n">
        <v>44354</v>
      </c>
      <c r="E2335" s="9" t="s">
        <v>50</v>
      </c>
      <c r="F2335" s="9" t="s">
        <v>94</v>
      </c>
      <c r="G2335" s="9" t="s">
        <v>95</v>
      </c>
      <c r="H2335" s="11" t="s">
        <v>24</v>
      </c>
      <c r="I2335" s="12" t="n">
        <v>65</v>
      </c>
      <c r="J2335" s="13" t="n">
        <v>750</v>
      </c>
      <c r="K2335" s="14" t="n">
        <f aca="false">I2335*J2335</f>
        <v>48750</v>
      </c>
      <c r="L2335" s="14" t="n">
        <f aca="false">($L$2*M2335)/100</f>
        <v>420583.275</v>
      </c>
      <c r="M2335" s="15" t="n">
        <v>0.35</v>
      </c>
      <c r="N2335" s="9" t="s">
        <v>85</v>
      </c>
    </row>
    <row r="2336" customFormat="false" ht="14.25" hidden="false" customHeight="true" outlineLevel="0" collapsed="false">
      <c r="B2336" s="9" t="s">
        <v>16</v>
      </c>
      <c r="C2336" s="9" t="n">
        <v>1185732</v>
      </c>
      <c r="D2336" s="10" t="n">
        <v>44354</v>
      </c>
      <c r="E2336" s="9" t="s">
        <v>50</v>
      </c>
      <c r="F2336" s="9" t="s">
        <v>94</v>
      </c>
      <c r="G2336" s="9" t="s">
        <v>95</v>
      </c>
      <c r="H2336" s="11" t="s">
        <v>25</v>
      </c>
      <c r="I2336" s="12" t="n">
        <v>70</v>
      </c>
      <c r="J2336" s="13" t="n">
        <v>925</v>
      </c>
      <c r="K2336" s="14" t="n">
        <f aca="false">I2336*J2336</f>
        <v>64750</v>
      </c>
      <c r="L2336" s="14" t="n">
        <f aca="false">($L$2*M2336)/100</f>
        <v>600833.25</v>
      </c>
      <c r="M2336" s="15" t="n">
        <v>0.5</v>
      </c>
      <c r="N2336" s="9" t="s">
        <v>85</v>
      </c>
    </row>
    <row r="2337" customFormat="false" ht="14.25" hidden="false" customHeight="true" outlineLevel="0" collapsed="false">
      <c r="B2337" s="9" t="s">
        <v>16</v>
      </c>
      <c r="C2337" s="9" t="n">
        <v>1185732</v>
      </c>
      <c r="D2337" s="10" t="n">
        <v>44382</v>
      </c>
      <c r="E2337" s="9" t="s">
        <v>50</v>
      </c>
      <c r="F2337" s="9" t="s">
        <v>94</v>
      </c>
      <c r="G2337" s="9" t="s">
        <v>95</v>
      </c>
      <c r="H2337" s="11" t="s">
        <v>19</v>
      </c>
      <c r="I2337" s="12" t="n">
        <v>65</v>
      </c>
      <c r="J2337" s="13" t="n">
        <v>1150</v>
      </c>
      <c r="K2337" s="14" t="n">
        <f aca="false">I2337*J2337</f>
        <v>74750</v>
      </c>
      <c r="L2337" s="14" t="n">
        <f aca="false">($L$2*M2337)/100</f>
        <v>540749.925</v>
      </c>
      <c r="M2337" s="15" t="n">
        <v>0.45</v>
      </c>
      <c r="N2337" s="9" t="s">
        <v>85</v>
      </c>
    </row>
    <row r="2338" customFormat="false" ht="14.25" hidden="false" customHeight="true" outlineLevel="0" collapsed="false">
      <c r="B2338" s="9" t="s">
        <v>16</v>
      </c>
      <c r="C2338" s="9" t="n">
        <v>1185732</v>
      </c>
      <c r="D2338" s="10" t="n">
        <v>44382</v>
      </c>
      <c r="E2338" s="9" t="s">
        <v>50</v>
      </c>
      <c r="F2338" s="9" t="s">
        <v>94</v>
      </c>
      <c r="G2338" s="9" t="s">
        <v>95</v>
      </c>
      <c r="H2338" s="11" t="s">
        <v>21</v>
      </c>
      <c r="I2338" s="12" t="n">
        <v>60</v>
      </c>
      <c r="J2338" s="13" t="n">
        <v>900</v>
      </c>
      <c r="K2338" s="14" t="n">
        <f aca="false">I2338*J2338</f>
        <v>54000</v>
      </c>
      <c r="L2338" s="14" t="n">
        <f aca="false">($L$2*M2338)/100</f>
        <v>420583.275</v>
      </c>
      <c r="M2338" s="15" t="n">
        <v>0.35</v>
      </c>
      <c r="N2338" s="9" t="s">
        <v>85</v>
      </c>
    </row>
    <row r="2339" customFormat="false" ht="14.25" hidden="false" customHeight="true" outlineLevel="0" collapsed="false">
      <c r="B2339" s="9" t="s">
        <v>16</v>
      </c>
      <c r="C2339" s="9" t="n">
        <v>1185732</v>
      </c>
      <c r="D2339" s="10" t="n">
        <v>44382</v>
      </c>
      <c r="E2339" s="9" t="s">
        <v>50</v>
      </c>
      <c r="F2339" s="9" t="s">
        <v>94</v>
      </c>
      <c r="G2339" s="9" t="s">
        <v>95</v>
      </c>
      <c r="H2339" s="11" t="s">
        <v>22</v>
      </c>
      <c r="I2339" s="12" t="n">
        <v>55</v>
      </c>
      <c r="J2339" s="13" t="n">
        <v>825</v>
      </c>
      <c r="K2339" s="14" t="n">
        <f aca="false">I2339*J2339</f>
        <v>45375</v>
      </c>
      <c r="L2339" s="14" t="n">
        <f aca="false">($L$2*M2339)/100</f>
        <v>300416.625</v>
      </c>
      <c r="M2339" s="15" t="n">
        <v>0.25</v>
      </c>
      <c r="N2339" s="9" t="s">
        <v>85</v>
      </c>
    </row>
    <row r="2340" customFormat="false" ht="14.25" hidden="false" customHeight="true" outlineLevel="0" collapsed="false">
      <c r="B2340" s="9" t="s">
        <v>16</v>
      </c>
      <c r="C2340" s="9" t="n">
        <v>1185732</v>
      </c>
      <c r="D2340" s="10" t="n">
        <v>44382</v>
      </c>
      <c r="E2340" s="9" t="s">
        <v>50</v>
      </c>
      <c r="F2340" s="9" t="s">
        <v>94</v>
      </c>
      <c r="G2340" s="9" t="s">
        <v>95</v>
      </c>
      <c r="H2340" s="11" t="s">
        <v>23</v>
      </c>
      <c r="I2340" s="12" t="n">
        <v>55</v>
      </c>
      <c r="J2340" s="13" t="n">
        <v>775</v>
      </c>
      <c r="K2340" s="14" t="n">
        <f aca="false">I2340*J2340</f>
        <v>42625</v>
      </c>
      <c r="L2340" s="14" t="n">
        <f aca="false">($L$2*M2340)/100</f>
        <v>360499.95</v>
      </c>
      <c r="M2340" s="15" t="n">
        <v>0.3</v>
      </c>
      <c r="N2340" s="9" t="s">
        <v>85</v>
      </c>
    </row>
    <row r="2341" customFormat="false" ht="14.25" hidden="false" customHeight="true" outlineLevel="0" collapsed="false">
      <c r="B2341" s="9" t="s">
        <v>16</v>
      </c>
      <c r="C2341" s="9" t="n">
        <v>1185732</v>
      </c>
      <c r="D2341" s="10" t="n">
        <v>44382</v>
      </c>
      <c r="E2341" s="9" t="s">
        <v>50</v>
      </c>
      <c r="F2341" s="9" t="s">
        <v>94</v>
      </c>
      <c r="G2341" s="9" t="s">
        <v>95</v>
      </c>
      <c r="H2341" s="11" t="s">
        <v>24</v>
      </c>
      <c r="I2341" s="12" t="n">
        <v>65</v>
      </c>
      <c r="J2341" s="13" t="n">
        <v>800</v>
      </c>
      <c r="K2341" s="14" t="n">
        <f aca="false">I2341*J2341</f>
        <v>52000</v>
      </c>
      <c r="L2341" s="14" t="n">
        <f aca="false">($L$2*M2341)/100</f>
        <v>420583.275</v>
      </c>
      <c r="M2341" s="15" t="n">
        <v>0.35</v>
      </c>
      <c r="N2341" s="9" t="s">
        <v>85</v>
      </c>
    </row>
    <row r="2342" customFormat="false" ht="14.25" hidden="false" customHeight="true" outlineLevel="0" collapsed="false">
      <c r="B2342" s="9" t="s">
        <v>16</v>
      </c>
      <c r="C2342" s="9" t="n">
        <v>1185732</v>
      </c>
      <c r="D2342" s="10" t="n">
        <v>44382</v>
      </c>
      <c r="E2342" s="9" t="s">
        <v>50</v>
      </c>
      <c r="F2342" s="9" t="s">
        <v>94</v>
      </c>
      <c r="G2342" s="9" t="s">
        <v>95</v>
      </c>
      <c r="H2342" s="11" t="s">
        <v>25</v>
      </c>
      <c r="I2342" s="12" t="n">
        <v>70</v>
      </c>
      <c r="J2342" s="13" t="n">
        <v>975</v>
      </c>
      <c r="K2342" s="14" t="n">
        <f aca="false">I2342*J2342</f>
        <v>68250</v>
      </c>
      <c r="L2342" s="14" t="n">
        <f aca="false">($L$2*M2342)/100</f>
        <v>600833.25</v>
      </c>
      <c r="M2342" s="15" t="n">
        <v>0.5</v>
      </c>
      <c r="N2342" s="9" t="s">
        <v>85</v>
      </c>
    </row>
    <row r="2343" customFormat="false" ht="14.25" hidden="false" customHeight="true" outlineLevel="0" collapsed="false">
      <c r="B2343" s="9" t="s">
        <v>16</v>
      </c>
      <c r="C2343" s="9" t="n">
        <v>1185732</v>
      </c>
      <c r="D2343" s="10" t="n">
        <v>44414</v>
      </c>
      <c r="E2343" s="9" t="s">
        <v>50</v>
      </c>
      <c r="F2343" s="9" t="s">
        <v>94</v>
      </c>
      <c r="G2343" s="9" t="s">
        <v>95</v>
      </c>
      <c r="H2343" s="11" t="s">
        <v>19</v>
      </c>
      <c r="I2343" s="12" t="n">
        <v>65</v>
      </c>
      <c r="J2343" s="13" t="n">
        <v>1125</v>
      </c>
      <c r="K2343" s="14" t="n">
        <f aca="false">I2343*J2343</f>
        <v>73125</v>
      </c>
      <c r="L2343" s="14" t="n">
        <f aca="false">($L$2*M2343)/100</f>
        <v>540749.925</v>
      </c>
      <c r="M2343" s="15" t="n">
        <v>0.45</v>
      </c>
      <c r="N2343" s="9" t="s">
        <v>85</v>
      </c>
    </row>
    <row r="2344" customFormat="false" ht="14.25" hidden="false" customHeight="true" outlineLevel="0" collapsed="false">
      <c r="B2344" s="9" t="s">
        <v>16</v>
      </c>
      <c r="C2344" s="9" t="n">
        <v>1185732</v>
      </c>
      <c r="D2344" s="10" t="n">
        <v>44414</v>
      </c>
      <c r="E2344" s="9" t="s">
        <v>50</v>
      </c>
      <c r="F2344" s="9" t="s">
        <v>94</v>
      </c>
      <c r="G2344" s="9" t="s">
        <v>95</v>
      </c>
      <c r="H2344" s="11" t="s">
        <v>21</v>
      </c>
      <c r="I2344" s="12" t="n">
        <v>60</v>
      </c>
      <c r="J2344" s="13" t="n">
        <v>900</v>
      </c>
      <c r="K2344" s="14" t="n">
        <f aca="false">I2344*J2344</f>
        <v>54000</v>
      </c>
      <c r="L2344" s="14" t="n">
        <f aca="false">($L$2*M2344)/100</f>
        <v>420583.275</v>
      </c>
      <c r="M2344" s="15" t="n">
        <v>0.35</v>
      </c>
      <c r="N2344" s="9" t="s">
        <v>85</v>
      </c>
    </row>
    <row r="2345" customFormat="false" ht="14.25" hidden="false" customHeight="true" outlineLevel="0" collapsed="false">
      <c r="B2345" s="9" t="s">
        <v>16</v>
      </c>
      <c r="C2345" s="9" t="n">
        <v>1185732</v>
      </c>
      <c r="D2345" s="10" t="n">
        <v>44414</v>
      </c>
      <c r="E2345" s="9" t="s">
        <v>50</v>
      </c>
      <c r="F2345" s="9" t="s">
        <v>94</v>
      </c>
      <c r="G2345" s="9" t="s">
        <v>95</v>
      </c>
      <c r="H2345" s="11" t="s">
        <v>22</v>
      </c>
      <c r="I2345" s="12" t="n">
        <v>55</v>
      </c>
      <c r="J2345" s="13" t="n">
        <v>825</v>
      </c>
      <c r="K2345" s="14" t="n">
        <f aca="false">I2345*J2345</f>
        <v>45375</v>
      </c>
      <c r="L2345" s="14" t="n">
        <f aca="false">($L$2*M2345)/100</f>
        <v>300416.625</v>
      </c>
      <c r="M2345" s="15" t="n">
        <v>0.25</v>
      </c>
      <c r="N2345" s="9" t="s">
        <v>85</v>
      </c>
    </row>
    <row r="2346" customFormat="false" ht="14.25" hidden="false" customHeight="true" outlineLevel="0" collapsed="false">
      <c r="B2346" s="9" t="s">
        <v>16</v>
      </c>
      <c r="C2346" s="9" t="n">
        <v>1185732</v>
      </c>
      <c r="D2346" s="10" t="n">
        <v>44414</v>
      </c>
      <c r="E2346" s="9" t="s">
        <v>50</v>
      </c>
      <c r="F2346" s="9" t="s">
        <v>94</v>
      </c>
      <c r="G2346" s="9" t="s">
        <v>95</v>
      </c>
      <c r="H2346" s="11" t="s">
        <v>23</v>
      </c>
      <c r="I2346" s="12" t="n">
        <v>45</v>
      </c>
      <c r="J2346" s="13" t="n">
        <v>775</v>
      </c>
      <c r="K2346" s="14" t="n">
        <f aca="false">I2346*J2346</f>
        <v>34875</v>
      </c>
      <c r="L2346" s="14" t="n">
        <f aca="false">($L$2*M2346)/100</f>
        <v>360499.95</v>
      </c>
      <c r="M2346" s="15" t="n">
        <v>0.3</v>
      </c>
      <c r="N2346" s="9" t="s">
        <v>85</v>
      </c>
    </row>
    <row r="2347" customFormat="false" ht="14.25" hidden="false" customHeight="true" outlineLevel="0" collapsed="false">
      <c r="B2347" s="9" t="s">
        <v>16</v>
      </c>
      <c r="C2347" s="9" t="n">
        <v>1185732</v>
      </c>
      <c r="D2347" s="10" t="n">
        <v>44414</v>
      </c>
      <c r="E2347" s="9" t="s">
        <v>50</v>
      </c>
      <c r="F2347" s="9" t="s">
        <v>94</v>
      </c>
      <c r="G2347" s="9" t="s">
        <v>95</v>
      </c>
      <c r="H2347" s="11" t="s">
        <v>24</v>
      </c>
      <c r="I2347" s="12" t="n">
        <v>55</v>
      </c>
      <c r="J2347" s="13" t="n">
        <v>750</v>
      </c>
      <c r="K2347" s="14" t="n">
        <f aca="false">I2347*J2347</f>
        <v>41250</v>
      </c>
      <c r="L2347" s="14" t="n">
        <f aca="false">($L$2*M2347)/100</f>
        <v>420583.275</v>
      </c>
      <c r="M2347" s="15" t="n">
        <v>0.35</v>
      </c>
      <c r="N2347" s="9" t="s">
        <v>85</v>
      </c>
    </row>
    <row r="2348" customFormat="false" ht="14.25" hidden="false" customHeight="true" outlineLevel="0" collapsed="false">
      <c r="B2348" s="9" t="s">
        <v>16</v>
      </c>
      <c r="C2348" s="9" t="n">
        <v>1185732</v>
      </c>
      <c r="D2348" s="10" t="n">
        <v>44414</v>
      </c>
      <c r="E2348" s="9" t="s">
        <v>50</v>
      </c>
      <c r="F2348" s="9" t="s">
        <v>94</v>
      </c>
      <c r="G2348" s="9" t="s">
        <v>95</v>
      </c>
      <c r="H2348" s="11" t="s">
        <v>25</v>
      </c>
      <c r="I2348" s="12" t="n">
        <v>60</v>
      </c>
      <c r="J2348" s="13" t="n">
        <v>925</v>
      </c>
      <c r="K2348" s="14" t="n">
        <f aca="false">I2348*J2348</f>
        <v>55500</v>
      </c>
      <c r="L2348" s="14" t="n">
        <f aca="false">($L$2*M2348)/100</f>
        <v>600833.25</v>
      </c>
      <c r="M2348" s="15" t="n">
        <v>0.5</v>
      </c>
      <c r="N2348" s="9" t="s">
        <v>85</v>
      </c>
    </row>
    <row r="2349" customFormat="false" ht="14.25" hidden="false" customHeight="true" outlineLevel="0" collapsed="false">
      <c r="B2349" s="9" t="s">
        <v>16</v>
      </c>
      <c r="C2349" s="9" t="n">
        <v>1185732</v>
      </c>
      <c r="D2349" s="10" t="n">
        <v>44444</v>
      </c>
      <c r="E2349" s="9" t="s">
        <v>50</v>
      </c>
      <c r="F2349" s="9" t="s">
        <v>94</v>
      </c>
      <c r="G2349" s="9" t="s">
        <v>95</v>
      </c>
      <c r="H2349" s="11" t="s">
        <v>19</v>
      </c>
      <c r="I2349" s="12" t="n">
        <v>55</v>
      </c>
      <c r="J2349" s="13" t="n">
        <v>1025</v>
      </c>
      <c r="K2349" s="14" t="n">
        <f aca="false">I2349*J2349</f>
        <v>56375</v>
      </c>
      <c r="L2349" s="14" t="n">
        <f aca="false">($L$2*M2349)/100</f>
        <v>540749.925</v>
      </c>
      <c r="M2349" s="15" t="n">
        <v>0.45</v>
      </c>
      <c r="N2349" s="9" t="s">
        <v>85</v>
      </c>
    </row>
    <row r="2350" customFormat="false" ht="14.25" hidden="false" customHeight="true" outlineLevel="0" collapsed="false">
      <c r="B2350" s="9" t="s">
        <v>16</v>
      </c>
      <c r="C2350" s="9" t="n">
        <v>1185732</v>
      </c>
      <c r="D2350" s="10" t="n">
        <v>44444</v>
      </c>
      <c r="E2350" s="9" t="s">
        <v>50</v>
      </c>
      <c r="F2350" s="9" t="s">
        <v>94</v>
      </c>
      <c r="G2350" s="9" t="s">
        <v>95</v>
      </c>
      <c r="H2350" s="11" t="s">
        <v>21</v>
      </c>
      <c r="I2350" s="12" t="n">
        <v>50</v>
      </c>
      <c r="J2350" s="13" t="n">
        <v>825</v>
      </c>
      <c r="K2350" s="14" t="n">
        <f aca="false">I2350*J2350</f>
        <v>41250</v>
      </c>
      <c r="L2350" s="14" t="n">
        <f aca="false">($L$2*M2350)/100</f>
        <v>420583.275</v>
      </c>
      <c r="M2350" s="15" t="n">
        <v>0.35</v>
      </c>
      <c r="N2350" s="9" t="s">
        <v>85</v>
      </c>
    </row>
    <row r="2351" customFormat="false" ht="14.25" hidden="false" customHeight="true" outlineLevel="0" collapsed="false">
      <c r="B2351" s="9" t="s">
        <v>16</v>
      </c>
      <c r="C2351" s="9" t="n">
        <v>1185732</v>
      </c>
      <c r="D2351" s="10" t="n">
        <v>44444</v>
      </c>
      <c r="E2351" s="9" t="s">
        <v>50</v>
      </c>
      <c r="F2351" s="9" t="s">
        <v>94</v>
      </c>
      <c r="G2351" s="9" t="s">
        <v>95</v>
      </c>
      <c r="H2351" s="11" t="s">
        <v>22</v>
      </c>
      <c r="I2351" s="12" t="n">
        <v>40</v>
      </c>
      <c r="J2351" s="13" t="n">
        <v>725</v>
      </c>
      <c r="K2351" s="14" t="n">
        <f aca="false">I2351*J2351</f>
        <v>29000</v>
      </c>
      <c r="L2351" s="14" t="n">
        <f aca="false">($L$2*M2351)/100</f>
        <v>300416.625</v>
      </c>
      <c r="M2351" s="15" t="n">
        <v>0.25</v>
      </c>
      <c r="N2351" s="9" t="s">
        <v>85</v>
      </c>
    </row>
    <row r="2352" customFormat="false" ht="14.25" hidden="false" customHeight="true" outlineLevel="0" collapsed="false">
      <c r="B2352" s="9" t="s">
        <v>16</v>
      </c>
      <c r="C2352" s="9" t="n">
        <v>1185732</v>
      </c>
      <c r="D2352" s="10" t="n">
        <v>44444</v>
      </c>
      <c r="E2352" s="9" t="s">
        <v>50</v>
      </c>
      <c r="F2352" s="9" t="s">
        <v>94</v>
      </c>
      <c r="G2352" s="9" t="s">
        <v>95</v>
      </c>
      <c r="H2352" s="11" t="s">
        <v>23</v>
      </c>
      <c r="I2352" s="12" t="n">
        <v>40</v>
      </c>
      <c r="J2352" s="13" t="n">
        <v>700</v>
      </c>
      <c r="K2352" s="14" t="n">
        <f aca="false">I2352*J2352</f>
        <v>28000</v>
      </c>
      <c r="L2352" s="14" t="n">
        <f aca="false">($L$2*M2352)/100</f>
        <v>360499.95</v>
      </c>
      <c r="M2352" s="15" t="n">
        <v>0.3</v>
      </c>
      <c r="N2352" s="9" t="s">
        <v>85</v>
      </c>
    </row>
    <row r="2353" customFormat="false" ht="14.25" hidden="false" customHeight="true" outlineLevel="0" collapsed="false">
      <c r="B2353" s="9" t="s">
        <v>16</v>
      </c>
      <c r="C2353" s="9" t="n">
        <v>1185732</v>
      </c>
      <c r="D2353" s="10" t="n">
        <v>44444</v>
      </c>
      <c r="E2353" s="9" t="s">
        <v>50</v>
      </c>
      <c r="F2353" s="9" t="s">
        <v>94</v>
      </c>
      <c r="G2353" s="9" t="s">
        <v>95</v>
      </c>
      <c r="H2353" s="11" t="s">
        <v>24</v>
      </c>
      <c r="I2353" s="12" t="n">
        <v>50</v>
      </c>
      <c r="J2353" s="13" t="n">
        <v>700</v>
      </c>
      <c r="K2353" s="14" t="n">
        <f aca="false">I2353*J2353</f>
        <v>35000</v>
      </c>
      <c r="L2353" s="14" t="n">
        <f aca="false">($L$2*M2353)/100</f>
        <v>420583.275</v>
      </c>
      <c r="M2353" s="15" t="n">
        <v>0.35</v>
      </c>
      <c r="N2353" s="9" t="s">
        <v>85</v>
      </c>
    </row>
    <row r="2354" customFormat="false" ht="14.25" hidden="false" customHeight="true" outlineLevel="0" collapsed="false">
      <c r="B2354" s="9" t="s">
        <v>16</v>
      </c>
      <c r="C2354" s="9" t="n">
        <v>1185732</v>
      </c>
      <c r="D2354" s="10" t="n">
        <v>44444</v>
      </c>
      <c r="E2354" s="9" t="s">
        <v>50</v>
      </c>
      <c r="F2354" s="9" t="s">
        <v>94</v>
      </c>
      <c r="G2354" s="9" t="s">
        <v>95</v>
      </c>
      <c r="H2354" s="11" t="s">
        <v>25</v>
      </c>
      <c r="I2354" s="12" t="n">
        <v>55</v>
      </c>
      <c r="J2354" s="13" t="n">
        <v>800</v>
      </c>
      <c r="K2354" s="14" t="n">
        <f aca="false">I2354*J2354</f>
        <v>44000</v>
      </c>
      <c r="L2354" s="14" t="n">
        <f aca="false">($L$2*M2354)/100</f>
        <v>600833.25</v>
      </c>
      <c r="M2354" s="15" t="n">
        <v>0.5</v>
      </c>
      <c r="N2354" s="9" t="s">
        <v>85</v>
      </c>
    </row>
    <row r="2355" customFormat="false" ht="14.25" hidden="false" customHeight="true" outlineLevel="0" collapsed="false">
      <c r="B2355" s="9" t="s">
        <v>16</v>
      </c>
      <c r="C2355" s="9" t="n">
        <v>1185732</v>
      </c>
      <c r="D2355" s="10" t="n">
        <v>44476</v>
      </c>
      <c r="E2355" s="9" t="s">
        <v>50</v>
      </c>
      <c r="F2355" s="9" t="s">
        <v>94</v>
      </c>
      <c r="G2355" s="9" t="s">
        <v>95</v>
      </c>
      <c r="H2355" s="11" t="s">
        <v>19</v>
      </c>
      <c r="I2355" s="12" t="n">
        <v>55</v>
      </c>
      <c r="J2355" s="13" t="n">
        <v>975</v>
      </c>
      <c r="K2355" s="14" t="n">
        <f aca="false">I2355*J2355</f>
        <v>53625</v>
      </c>
      <c r="L2355" s="14" t="n">
        <f aca="false">($L$2*M2355)/100</f>
        <v>540749.925</v>
      </c>
      <c r="M2355" s="15" t="n">
        <v>0.45</v>
      </c>
      <c r="N2355" s="9" t="s">
        <v>85</v>
      </c>
    </row>
    <row r="2356" customFormat="false" ht="14.25" hidden="false" customHeight="true" outlineLevel="0" collapsed="false">
      <c r="B2356" s="9" t="s">
        <v>16</v>
      </c>
      <c r="C2356" s="9" t="n">
        <v>1185732</v>
      </c>
      <c r="D2356" s="10" t="n">
        <v>44476</v>
      </c>
      <c r="E2356" s="9" t="s">
        <v>50</v>
      </c>
      <c r="F2356" s="9" t="s">
        <v>94</v>
      </c>
      <c r="G2356" s="9" t="s">
        <v>95</v>
      </c>
      <c r="H2356" s="11" t="s">
        <v>21</v>
      </c>
      <c r="I2356" s="12" t="n">
        <v>45</v>
      </c>
      <c r="J2356" s="13" t="n">
        <v>800</v>
      </c>
      <c r="K2356" s="14" t="n">
        <f aca="false">I2356*J2356</f>
        <v>36000</v>
      </c>
      <c r="L2356" s="14" t="n">
        <f aca="false">($L$2*M2356)/100</f>
        <v>420583.275</v>
      </c>
      <c r="M2356" s="15" t="n">
        <v>0.35</v>
      </c>
      <c r="N2356" s="9" t="s">
        <v>85</v>
      </c>
    </row>
    <row r="2357" customFormat="false" ht="14.25" hidden="false" customHeight="true" outlineLevel="0" collapsed="false">
      <c r="B2357" s="9" t="s">
        <v>16</v>
      </c>
      <c r="C2357" s="9" t="n">
        <v>1185732</v>
      </c>
      <c r="D2357" s="10" t="n">
        <v>44476</v>
      </c>
      <c r="E2357" s="9" t="s">
        <v>50</v>
      </c>
      <c r="F2357" s="9" t="s">
        <v>94</v>
      </c>
      <c r="G2357" s="9" t="s">
        <v>95</v>
      </c>
      <c r="H2357" s="11" t="s">
        <v>22</v>
      </c>
      <c r="I2357" s="12" t="n">
        <v>45</v>
      </c>
      <c r="J2357" s="13" t="n">
        <v>675</v>
      </c>
      <c r="K2357" s="14" t="n">
        <f aca="false">I2357*J2357</f>
        <v>30375</v>
      </c>
      <c r="L2357" s="14" t="n">
        <f aca="false">($L$2*M2357)/100</f>
        <v>300416.625</v>
      </c>
      <c r="M2357" s="15" t="n">
        <v>0.25</v>
      </c>
      <c r="N2357" s="9" t="s">
        <v>85</v>
      </c>
    </row>
    <row r="2358" customFormat="false" ht="14.25" hidden="false" customHeight="true" outlineLevel="0" collapsed="false">
      <c r="B2358" s="9" t="s">
        <v>16</v>
      </c>
      <c r="C2358" s="9" t="n">
        <v>1185732</v>
      </c>
      <c r="D2358" s="10" t="n">
        <v>44476</v>
      </c>
      <c r="E2358" s="9" t="s">
        <v>50</v>
      </c>
      <c r="F2358" s="9" t="s">
        <v>94</v>
      </c>
      <c r="G2358" s="9" t="s">
        <v>95</v>
      </c>
      <c r="H2358" s="11" t="s">
        <v>23</v>
      </c>
      <c r="I2358" s="12" t="n">
        <v>45</v>
      </c>
      <c r="J2358" s="13" t="n">
        <v>650</v>
      </c>
      <c r="K2358" s="14" t="n">
        <f aca="false">I2358*J2358</f>
        <v>29250</v>
      </c>
      <c r="L2358" s="14" t="n">
        <f aca="false">($L$2*M2358)/100</f>
        <v>360499.95</v>
      </c>
      <c r="M2358" s="15" t="n">
        <v>0.3</v>
      </c>
      <c r="N2358" s="9" t="s">
        <v>85</v>
      </c>
    </row>
    <row r="2359" customFormat="false" ht="14.25" hidden="false" customHeight="true" outlineLevel="0" collapsed="false">
      <c r="B2359" s="9" t="s">
        <v>16</v>
      </c>
      <c r="C2359" s="9" t="n">
        <v>1185732</v>
      </c>
      <c r="D2359" s="10" t="n">
        <v>44476</v>
      </c>
      <c r="E2359" s="9" t="s">
        <v>50</v>
      </c>
      <c r="F2359" s="9" t="s">
        <v>94</v>
      </c>
      <c r="G2359" s="9" t="s">
        <v>95</v>
      </c>
      <c r="H2359" s="11" t="s">
        <v>24</v>
      </c>
      <c r="I2359" s="12" t="n">
        <v>55</v>
      </c>
      <c r="J2359" s="13" t="n">
        <v>650</v>
      </c>
      <c r="K2359" s="14" t="n">
        <f aca="false">I2359*J2359</f>
        <v>35750</v>
      </c>
      <c r="L2359" s="14" t="n">
        <f aca="false">($L$2*M2359)/100</f>
        <v>420583.275</v>
      </c>
      <c r="M2359" s="15" t="n">
        <v>0.35</v>
      </c>
      <c r="N2359" s="9" t="s">
        <v>85</v>
      </c>
    </row>
    <row r="2360" customFormat="false" ht="14.25" hidden="false" customHeight="true" outlineLevel="0" collapsed="false">
      <c r="B2360" s="9" t="s">
        <v>16</v>
      </c>
      <c r="C2360" s="9" t="n">
        <v>1185732</v>
      </c>
      <c r="D2360" s="10" t="n">
        <v>44476</v>
      </c>
      <c r="E2360" s="9" t="s">
        <v>50</v>
      </c>
      <c r="F2360" s="9" t="s">
        <v>94</v>
      </c>
      <c r="G2360" s="9" t="s">
        <v>95</v>
      </c>
      <c r="H2360" s="11" t="s">
        <v>25</v>
      </c>
      <c r="I2360" s="12" t="n">
        <v>60</v>
      </c>
      <c r="J2360" s="13" t="n">
        <v>775</v>
      </c>
      <c r="K2360" s="14" t="n">
        <f aca="false">I2360*J2360</f>
        <v>46500</v>
      </c>
      <c r="L2360" s="14" t="n">
        <f aca="false">($L$2*M2360)/100</f>
        <v>600833.25</v>
      </c>
      <c r="M2360" s="15" t="n">
        <v>0.5</v>
      </c>
      <c r="N2360" s="9" t="s">
        <v>85</v>
      </c>
    </row>
    <row r="2361" customFormat="false" ht="14.25" hidden="false" customHeight="true" outlineLevel="0" collapsed="false">
      <c r="B2361" s="9" t="s">
        <v>16</v>
      </c>
      <c r="C2361" s="9" t="n">
        <v>1185732</v>
      </c>
      <c r="D2361" s="10" t="n">
        <v>44506</v>
      </c>
      <c r="E2361" s="9" t="s">
        <v>50</v>
      </c>
      <c r="F2361" s="9" t="s">
        <v>94</v>
      </c>
      <c r="G2361" s="9" t="s">
        <v>95</v>
      </c>
      <c r="H2361" s="11" t="s">
        <v>19</v>
      </c>
      <c r="I2361" s="12" t="n">
        <v>55</v>
      </c>
      <c r="J2361" s="13" t="n">
        <v>925</v>
      </c>
      <c r="K2361" s="14" t="n">
        <f aca="false">I2361*J2361</f>
        <v>50875</v>
      </c>
      <c r="L2361" s="14" t="n">
        <f aca="false">($L$2*M2361)/100</f>
        <v>540749.925</v>
      </c>
      <c r="M2361" s="15" t="n">
        <v>0.45</v>
      </c>
      <c r="N2361" s="9" t="s">
        <v>85</v>
      </c>
    </row>
    <row r="2362" customFormat="false" ht="14.25" hidden="false" customHeight="true" outlineLevel="0" collapsed="false">
      <c r="B2362" s="9" t="s">
        <v>16</v>
      </c>
      <c r="C2362" s="9" t="n">
        <v>1185732</v>
      </c>
      <c r="D2362" s="10" t="n">
        <v>44506</v>
      </c>
      <c r="E2362" s="9" t="s">
        <v>50</v>
      </c>
      <c r="F2362" s="9" t="s">
        <v>94</v>
      </c>
      <c r="G2362" s="9" t="s">
        <v>95</v>
      </c>
      <c r="H2362" s="11" t="s">
        <v>21</v>
      </c>
      <c r="I2362" s="12" t="n">
        <v>45</v>
      </c>
      <c r="J2362" s="13" t="n">
        <v>750</v>
      </c>
      <c r="K2362" s="14" t="n">
        <f aca="false">I2362*J2362</f>
        <v>33750</v>
      </c>
      <c r="L2362" s="14" t="n">
        <f aca="false">($L$2*M2362)/100</f>
        <v>420583.275</v>
      </c>
      <c r="M2362" s="15" t="n">
        <v>0.35</v>
      </c>
      <c r="N2362" s="9" t="s">
        <v>85</v>
      </c>
    </row>
    <row r="2363" customFormat="false" ht="14.25" hidden="false" customHeight="true" outlineLevel="0" collapsed="false">
      <c r="B2363" s="9" t="s">
        <v>16</v>
      </c>
      <c r="C2363" s="9" t="n">
        <v>1185732</v>
      </c>
      <c r="D2363" s="10" t="n">
        <v>44506</v>
      </c>
      <c r="E2363" s="9" t="s">
        <v>50</v>
      </c>
      <c r="F2363" s="9" t="s">
        <v>94</v>
      </c>
      <c r="G2363" s="9" t="s">
        <v>95</v>
      </c>
      <c r="H2363" s="11" t="s">
        <v>22</v>
      </c>
      <c r="I2363" s="12" t="n">
        <v>45</v>
      </c>
      <c r="J2363" s="13" t="n">
        <v>695</v>
      </c>
      <c r="K2363" s="14" t="n">
        <f aca="false">I2363*J2363</f>
        <v>31275</v>
      </c>
      <c r="L2363" s="14" t="n">
        <f aca="false">($L$2*M2363)/100</f>
        <v>300416.625</v>
      </c>
      <c r="M2363" s="15" t="n">
        <v>0.25</v>
      </c>
      <c r="N2363" s="9" t="s">
        <v>85</v>
      </c>
    </row>
    <row r="2364" customFormat="false" ht="14.25" hidden="false" customHeight="true" outlineLevel="0" collapsed="false">
      <c r="B2364" s="9" t="s">
        <v>16</v>
      </c>
      <c r="C2364" s="9" t="n">
        <v>1185732</v>
      </c>
      <c r="D2364" s="10" t="n">
        <v>44506</v>
      </c>
      <c r="E2364" s="9" t="s">
        <v>50</v>
      </c>
      <c r="F2364" s="9" t="s">
        <v>94</v>
      </c>
      <c r="G2364" s="9" t="s">
        <v>95</v>
      </c>
      <c r="H2364" s="11" t="s">
        <v>23</v>
      </c>
      <c r="I2364" s="12" t="n">
        <v>55</v>
      </c>
      <c r="J2364" s="13" t="n">
        <v>750</v>
      </c>
      <c r="K2364" s="14" t="n">
        <f aca="false">I2364*J2364</f>
        <v>41250</v>
      </c>
      <c r="L2364" s="14" t="n">
        <f aca="false">($L$2*M2364)/100</f>
        <v>360499.95</v>
      </c>
      <c r="M2364" s="15" t="n">
        <v>0.3</v>
      </c>
      <c r="N2364" s="9" t="s">
        <v>85</v>
      </c>
    </row>
    <row r="2365" customFormat="false" ht="14.25" hidden="false" customHeight="true" outlineLevel="0" collapsed="false">
      <c r="B2365" s="9" t="s">
        <v>16</v>
      </c>
      <c r="C2365" s="9" t="n">
        <v>1185732</v>
      </c>
      <c r="D2365" s="10" t="n">
        <v>44506</v>
      </c>
      <c r="E2365" s="9" t="s">
        <v>50</v>
      </c>
      <c r="F2365" s="9" t="s">
        <v>94</v>
      </c>
      <c r="G2365" s="9" t="s">
        <v>95</v>
      </c>
      <c r="H2365" s="11" t="s">
        <v>24</v>
      </c>
      <c r="I2365" s="12" t="n">
        <v>70</v>
      </c>
      <c r="J2365" s="13" t="n">
        <v>725</v>
      </c>
      <c r="K2365" s="14" t="n">
        <f aca="false">I2365*J2365</f>
        <v>50750</v>
      </c>
      <c r="L2365" s="14" t="n">
        <f aca="false">($L$2*M2365)/100</f>
        <v>420583.275</v>
      </c>
      <c r="M2365" s="15" t="n">
        <v>0.35</v>
      </c>
      <c r="N2365" s="9" t="s">
        <v>85</v>
      </c>
    </row>
    <row r="2366" customFormat="false" ht="14.25" hidden="false" customHeight="true" outlineLevel="0" collapsed="false">
      <c r="B2366" s="9" t="s">
        <v>16</v>
      </c>
      <c r="C2366" s="9" t="n">
        <v>1185732</v>
      </c>
      <c r="D2366" s="10" t="n">
        <v>44506</v>
      </c>
      <c r="E2366" s="9" t="s">
        <v>50</v>
      </c>
      <c r="F2366" s="9" t="s">
        <v>94</v>
      </c>
      <c r="G2366" s="9" t="s">
        <v>95</v>
      </c>
      <c r="H2366" s="11" t="s">
        <v>25</v>
      </c>
      <c r="I2366" s="12" t="n">
        <v>75</v>
      </c>
      <c r="J2366" s="13" t="n">
        <v>825</v>
      </c>
      <c r="K2366" s="14" t="n">
        <f aca="false">I2366*J2366</f>
        <v>61875</v>
      </c>
      <c r="L2366" s="14" t="n">
        <f aca="false">($L$2*M2366)/100</f>
        <v>600833.25</v>
      </c>
      <c r="M2366" s="15" t="n">
        <v>0.5</v>
      </c>
      <c r="N2366" s="9" t="s">
        <v>85</v>
      </c>
    </row>
    <row r="2367" customFormat="false" ht="14.25" hidden="false" customHeight="true" outlineLevel="0" collapsed="false">
      <c r="B2367" s="9" t="s">
        <v>16</v>
      </c>
      <c r="C2367" s="9" t="n">
        <v>1185732</v>
      </c>
      <c r="D2367" s="10" t="n">
        <v>44535</v>
      </c>
      <c r="E2367" s="9" t="s">
        <v>50</v>
      </c>
      <c r="F2367" s="9" t="s">
        <v>94</v>
      </c>
      <c r="G2367" s="9" t="s">
        <v>95</v>
      </c>
      <c r="H2367" s="11" t="s">
        <v>19</v>
      </c>
      <c r="I2367" s="12" t="n">
        <v>70</v>
      </c>
      <c r="J2367" s="13" t="n">
        <v>1075</v>
      </c>
      <c r="K2367" s="14" t="n">
        <f aca="false">I2367*J2367</f>
        <v>75250</v>
      </c>
      <c r="L2367" s="14" t="n">
        <f aca="false">($L$2*M2367)/100</f>
        <v>540749.925</v>
      </c>
      <c r="M2367" s="15" t="n">
        <v>0.45</v>
      </c>
      <c r="N2367" s="9" t="s">
        <v>85</v>
      </c>
    </row>
    <row r="2368" customFormat="false" ht="14.25" hidden="false" customHeight="true" outlineLevel="0" collapsed="false">
      <c r="B2368" s="9" t="s">
        <v>16</v>
      </c>
      <c r="C2368" s="9" t="n">
        <v>1185732</v>
      </c>
      <c r="D2368" s="10" t="n">
        <v>44535</v>
      </c>
      <c r="E2368" s="9" t="s">
        <v>50</v>
      </c>
      <c r="F2368" s="9" t="s">
        <v>94</v>
      </c>
      <c r="G2368" s="9" t="s">
        <v>95</v>
      </c>
      <c r="H2368" s="11" t="s">
        <v>21</v>
      </c>
      <c r="I2368" s="12" t="n">
        <v>60</v>
      </c>
      <c r="J2368" s="13" t="n">
        <v>875</v>
      </c>
      <c r="K2368" s="14" t="n">
        <f aca="false">I2368*J2368</f>
        <v>52500</v>
      </c>
      <c r="L2368" s="14" t="n">
        <f aca="false">($L$2*M2368)/100</f>
        <v>420583.275</v>
      </c>
      <c r="M2368" s="15" t="n">
        <v>0.35</v>
      </c>
      <c r="N2368" s="9" t="s">
        <v>85</v>
      </c>
    </row>
    <row r="2369" customFormat="false" ht="14.25" hidden="false" customHeight="true" outlineLevel="0" collapsed="false">
      <c r="B2369" s="9" t="s">
        <v>28</v>
      </c>
      <c r="C2369" s="9" t="n">
        <v>1185732</v>
      </c>
      <c r="D2369" s="10" t="n">
        <v>44535</v>
      </c>
      <c r="E2369" s="9" t="s">
        <v>50</v>
      </c>
      <c r="F2369" s="9" t="s">
        <v>94</v>
      </c>
      <c r="G2369" s="9" t="s">
        <v>95</v>
      </c>
      <c r="H2369" s="11" t="s">
        <v>22</v>
      </c>
      <c r="I2369" s="12" t="n">
        <v>60</v>
      </c>
      <c r="J2369" s="13" t="n">
        <v>825</v>
      </c>
      <c r="K2369" s="14" t="n">
        <f aca="false">I2369*J2369</f>
        <v>49500</v>
      </c>
      <c r="L2369" s="14" t="n">
        <f aca="false">($L$2*M2369)/100</f>
        <v>300416.625</v>
      </c>
      <c r="M2369" s="15" t="n">
        <v>0.25</v>
      </c>
      <c r="N2369" s="9" t="s">
        <v>85</v>
      </c>
    </row>
    <row r="2370" customFormat="false" ht="14.25" hidden="false" customHeight="true" outlineLevel="0" collapsed="false">
      <c r="B2370" s="9" t="s">
        <v>28</v>
      </c>
      <c r="C2370" s="9" t="n">
        <v>1185732</v>
      </c>
      <c r="D2370" s="10" t="n">
        <v>44535</v>
      </c>
      <c r="E2370" s="9" t="s">
        <v>50</v>
      </c>
      <c r="F2370" s="9" t="s">
        <v>94</v>
      </c>
      <c r="G2370" s="9" t="s">
        <v>95</v>
      </c>
      <c r="H2370" s="11" t="s">
        <v>23</v>
      </c>
      <c r="I2370" s="12" t="n">
        <v>60</v>
      </c>
      <c r="J2370" s="13" t="n">
        <v>775</v>
      </c>
      <c r="K2370" s="14" t="n">
        <f aca="false">I2370*J2370</f>
        <v>46500</v>
      </c>
      <c r="L2370" s="14" t="n">
        <f aca="false">($L$2*M2370)/100</f>
        <v>360499.95</v>
      </c>
      <c r="M2370" s="15" t="n">
        <v>0.3</v>
      </c>
      <c r="N2370" s="9" t="s">
        <v>85</v>
      </c>
    </row>
    <row r="2371" customFormat="false" ht="14.25" hidden="false" customHeight="true" outlineLevel="0" collapsed="false">
      <c r="B2371" s="9" t="s">
        <v>28</v>
      </c>
      <c r="C2371" s="9" t="n">
        <v>1185732</v>
      </c>
      <c r="D2371" s="10" t="n">
        <v>44535</v>
      </c>
      <c r="E2371" s="9" t="s">
        <v>50</v>
      </c>
      <c r="F2371" s="9" t="s">
        <v>94</v>
      </c>
      <c r="G2371" s="9" t="s">
        <v>95</v>
      </c>
      <c r="H2371" s="11" t="s">
        <v>24</v>
      </c>
      <c r="I2371" s="12" t="n">
        <v>70</v>
      </c>
      <c r="J2371" s="13" t="n">
        <v>775</v>
      </c>
      <c r="K2371" s="14" t="n">
        <f aca="false">I2371*J2371</f>
        <v>54250</v>
      </c>
      <c r="L2371" s="14" t="n">
        <f aca="false">($L$2*M2371)/100</f>
        <v>420583.275</v>
      </c>
      <c r="M2371" s="15" t="n">
        <v>0.35</v>
      </c>
      <c r="N2371" s="9" t="s">
        <v>85</v>
      </c>
    </row>
    <row r="2372" customFormat="false" ht="14.25" hidden="false" customHeight="true" outlineLevel="0" collapsed="false">
      <c r="B2372" s="9" t="s">
        <v>28</v>
      </c>
      <c r="C2372" s="9" t="n">
        <v>1185732</v>
      </c>
      <c r="D2372" s="10" t="n">
        <v>44535</v>
      </c>
      <c r="E2372" s="9" t="s">
        <v>50</v>
      </c>
      <c r="F2372" s="9" t="s">
        <v>94</v>
      </c>
      <c r="G2372" s="9" t="s">
        <v>95</v>
      </c>
      <c r="H2372" s="11" t="s">
        <v>25</v>
      </c>
      <c r="I2372" s="12" t="n">
        <v>75</v>
      </c>
      <c r="J2372" s="13" t="n">
        <v>875</v>
      </c>
      <c r="K2372" s="14" t="n">
        <f aca="false">I2372*J2372</f>
        <v>65625</v>
      </c>
      <c r="L2372" s="14" t="n">
        <f aca="false">($L$2*M2372)/100</f>
        <v>600833.25</v>
      </c>
      <c r="M2372" s="15" t="n">
        <v>0.5</v>
      </c>
      <c r="N2372" s="9" t="s">
        <v>85</v>
      </c>
    </row>
    <row r="2373" customFormat="false" ht="14.25" hidden="false" customHeight="true" outlineLevel="0" collapsed="false">
      <c r="B2373" s="9" t="s">
        <v>28</v>
      </c>
      <c r="C2373" s="9" t="n">
        <v>1185732</v>
      </c>
      <c r="D2373" s="10" t="n">
        <v>44202</v>
      </c>
      <c r="E2373" s="9" t="s">
        <v>50</v>
      </c>
      <c r="F2373" s="9" t="s">
        <v>94</v>
      </c>
      <c r="G2373" s="9" t="s">
        <v>95</v>
      </c>
      <c r="H2373" s="11" t="s">
        <v>19</v>
      </c>
      <c r="I2373" s="12" t="n">
        <v>35</v>
      </c>
      <c r="J2373" s="13" t="n">
        <v>925</v>
      </c>
      <c r="K2373" s="14" t="n">
        <f aca="false">I2373*J2373</f>
        <v>32375</v>
      </c>
      <c r="L2373" s="14" t="n">
        <f aca="false">($L$2*M2373)/100</f>
        <v>480666.6</v>
      </c>
      <c r="M2373" s="15" t="n">
        <v>0.4</v>
      </c>
      <c r="N2373" s="9" t="s">
        <v>85</v>
      </c>
    </row>
    <row r="2374" customFormat="false" ht="14.25" hidden="false" customHeight="true" outlineLevel="0" collapsed="false">
      <c r="B2374" s="9" t="s">
        <v>28</v>
      </c>
      <c r="C2374" s="9" t="n">
        <v>1185732</v>
      </c>
      <c r="D2374" s="10" t="n">
        <v>44202</v>
      </c>
      <c r="E2374" s="9" t="s">
        <v>50</v>
      </c>
      <c r="F2374" s="9" t="s">
        <v>94</v>
      </c>
      <c r="G2374" s="9" t="s">
        <v>95</v>
      </c>
      <c r="H2374" s="11" t="s">
        <v>21</v>
      </c>
      <c r="I2374" s="12" t="n">
        <v>35</v>
      </c>
      <c r="J2374" s="13" t="n">
        <v>725</v>
      </c>
      <c r="K2374" s="14" t="n">
        <f aca="false">I2374*J2374</f>
        <v>25375</v>
      </c>
      <c r="L2374" s="14" t="n">
        <f aca="false">($L$2*M2374)/100</f>
        <v>420583.275</v>
      </c>
      <c r="M2374" s="15" t="n">
        <v>0.35</v>
      </c>
      <c r="N2374" s="9" t="s">
        <v>85</v>
      </c>
    </row>
    <row r="2375" customFormat="false" ht="14.25" hidden="false" customHeight="true" outlineLevel="0" collapsed="false">
      <c r="B2375" s="9" t="s">
        <v>28</v>
      </c>
      <c r="C2375" s="9" t="n">
        <v>1185732</v>
      </c>
      <c r="D2375" s="10" t="n">
        <v>44202</v>
      </c>
      <c r="E2375" s="9" t="s">
        <v>50</v>
      </c>
      <c r="F2375" s="9" t="s">
        <v>94</v>
      </c>
      <c r="G2375" s="9" t="s">
        <v>95</v>
      </c>
      <c r="H2375" s="11" t="s">
        <v>22</v>
      </c>
      <c r="I2375" s="12" t="n">
        <v>25</v>
      </c>
      <c r="J2375" s="13" t="n">
        <v>725</v>
      </c>
      <c r="K2375" s="14" t="n">
        <f aca="false">I2375*J2375</f>
        <v>18125</v>
      </c>
      <c r="L2375" s="14" t="n">
        <f aca="false">($L$2*M2375)/100</f>
        <v>480666.6</v>
      </c>
      <c r="M2375" s="15" t="n">
        <v>0.4</v>
      </c>
      <c r="N2375" s="9" t="s">
        <v>85</v>
      </c>
    </row>
    <row r="2376" customFormat="false" ht="14.25" hidden="false" customHeight="true" outlineLevel="0" collapsed="false">
      <c r="B2376" s="9" t="s">
        <v>28</v>
      </c>
      <c r="C2376" s="9" t="n">
        <v>1185732</v>
      </c>
      <c r="D2376" s="10" t="n">
        <v>44202</v>
      </c>
      <c r="E2376" s="9" t="s">
        <v>50</v>
      </c>
      <c r="F2376" s="9" t="s">
        <v>94</v>
      </c>
      <c r="G2376" s="9" t="s">
        <v>95</v>
      </c>
      <c r="H2376" s="11" t="s">
        <v>23</v>
      </c>
      <c r="I2376" s="12" t="n">
        <v>30</v>
      </c>
      <c r="J2376" s="13" t="n">
        <v>575</v>
      </c>
      <c r="K2376" s="14" t="n">
        <f aca="false">I2376*J2376</f>
        <v>17250</v>
      </c>
      <c r="L2376" s="14" t="n">
        <f aca="false">($L$2*M2376)/100</f>
        <v>480666.6</v>
      </c>
      <c r="M2376" s="15" t="n">
        <v>0.4</v>
      </c>
      <c r="N2376" s="9" t="s">
        <v>85</v>
      </c>
    </row>
    <row r="2377" customFormat="false" ht="14.25" hidden="false" customHeight="true" outlineLevel="0" collapsed="false">
      <c r="B2377" s="9" t="s">
        <v>28</v>
      </c>
      <c r="C2377" s="9" t="n">
        <v>1185732</v>
      </c>
      <c r="D2377" s="10" t="n">
        <v>44202</v>
      </c>
      <c r="E2377" s="9" t="s">
        <v>50</v>
      </c>
      <c r="F2377" s="9" t="s">
        <v>94</v>
      </c>
      <c r="G2377" s="9" t="s">
        <v>95</v>
      </c>
      <c r="H2377" s="11" t="s">
        <v>24</v>
      </c>
      <c r="I2377" s="12" t="n">
        <v>45</v>
      </c>
      <c r="J2377" s="13" t="n">
        <v>625</v>
      </c>
      <c r="K2377" s="14" t="n">
        <f aca="false">I2377*J2377</f>
        <v>28125</v>
      </c>
      <c r="L2377" s="14" t="n">
        <f aca="false">($L$2*M2377)/100</f>
        <v>420583.275</v>
      </c>
      <c r="M2377" s="15" t="n">
        <v>0.35</v>
      </c>
      <c r="N2377" s="9" t="s">
        <v>85</v>
      </c>
    </row>
    <row r="2378" customFormat="false" ht="14.25" hidden="false" customHeight="true" outlineLevel="0" collapsed="false">
      <c r="B2378" s="9" t="s">
        <v>28</v>
      </c>
      <c r="C2378" s="9" t="n">
        <v>1185732</v>
      </c>
      <c r="D2378" s="10" t="n">
        <v>44202</v>
      </c>
      <c r="E2378" s="9" t="s">
        <v>50</v>
      </c>
      <c r="F2378" s="9" t="s">
        <v>94</v>
      </c>
      <c r="G2378" s="9" t="s">
        <v>95</v>
      </c>
      <c r="H2378" s="11" t="s">
        <v>25</v>
      </c>
      <c r="I2378" s="12" t="n">
        <v>35</v>
      </c>
      <c r="J2378" s="13" t="n">
        <v>725</v>
      </c>
      <c r="K2378" s="14" t="n">
        <f aca="false">I2378*J2378</f>
        <v>25375</v>
      </c>
      <c r="L2378" s="14" t="n">
        <f aca="false">($L$2*M2378)/100</f>
        <v>600833.25</v>
      </c>
      <c r="M2378" s="15" t="n">
        <v>0.5</v>
      </c>
      <c r="N2378" s="9" t="s">
        <v>85</v>
      </c>
    </row>
    <row r="2379" customFormat="false" ht="14.25" hidden="false" customHeight="true" outlineLevel="0" collapsed="false">
      <c r="B2379" s="9" t="s">
        <v>28</v>
      </c>
      <c r="C2379" s="9" t="n">
        <v>1185732</v>
      </c>
      <c r="D2379" s="10" t="n">
        <v>44231</v>
      </c>
      <c r="E2379" s="9" t="s">
        <v>50</v>
      </c>
      <c r="F2379" s="9" t="s">
        <v>94</v>
      </c>
      <c r="G2379" s="9" t="s">
        <v>95</v>
      </c>
      <c r="H2379" s="11" t="s">
        <v>19</v>
      </c>
      <c r="I2379" s="12" t="n">
        <v>35</v>
      </c>
      <c r="J2379" s="13" t="n">
        <v>975</v>
      </c>
      <c r="K2379" s="14" t="n">
        <f aca="false">I2379*J2379</f>
        <v>34125</v>
      </c>
      <c r="L2379" s="14" t="n">
        <f aca="false">($L$2*M2379)/100</f>
        <v>480666.6</v>
      </c>
      <c r="M2379" s="15" t="n">
        <v>0.4</v>
      </c>
      <c r="N2379" s="9" t="s">
        <v>85</v>
      </c>
    </row>
    <row r="2380" customFormat="false" ht="14.25" hidden="false" customHeight="true" outlineLevel="0" collapsed="false">
      <c r="B2380" s="9" t="s">
        <v>28</v>
      </c>
      <c r="C2380" s="9" t="n">
        <v>1185732</v>
      </c>
      <c r="D2380" s="10" t="n">
        <v>44231</v>
      </c>
      <c r="E2380" s="9" t="s">
        <v>50</v>
      </c>
      <c r="F2380" s="9" t="s">
        <v>94</v>
      </c>
      <c r="G2380" s="9" t="s">
        <v>95</v>
      </c>
      <c r="H2380" s="11" t="s">
        <v>21</v>
      </c>
      <c r="I2380" s="12" t="n">
        <v>35</v>
      </c>
      <c r="J2380" s="13" t="n">
        <v>625</v>
      </c>
      <c r="K2380" s="14" t="n">
        <f aca="false">I2380*J2380</f>
        <v>21875</v>
      </c>
      <c r="L2380" s="14" t="n">
        <f aca="false">($L$2*M2380)/100</f>
        <v>420583.275</v>
      </c>
      <c r="M2380" s="15" t="n">
        <v>0.35</v>
      </c>
      <c r="N2380" s="9" t="s">
        <v>85</v>
      </c>
    </row>
    <row r="2381" customFormat="false" ht="14.25" hidden="false" customHeight="true" outlineLevel="0" collapsed="false">
      <c r="B2381" s="9" t="s">
        <v>28</v>
      </c>
      <c r="C2381" s="9" t="n">
        <v>1185732</v>
      </c>
      <c r="D2381" s="10" t="n">
        <v>44231</v>
      </c>
      <c r="E2381" s="9" t="s">
        <v>50</v>
      </c>
      <c r="F2381" s="9" t="s">
        <v>94</v>
      </c>
      <c r="G2381" s="9" t="s">
        <v>95</v>
      </c>
      <c r="H2381" s="11" t="s">
        <v>22</v>
      </c>
      <c r="I2381" s="12" t="n">
        <v>25</v>
      </c>
      <c r="J2381" s="13" t="n">
        <v>675</v>
      </c>
      <c r="K2381" s="14" t="n">
        <f aca="false">I2381*J2381</f>
        <v>16875</v>
      </c>
      <c r="L2381" s="14" t="n">
        <f aca="false">($L$2*M2381)/100</f>
        <v>480666.6</v>
      </c>
      <c r="M2381" s="15" t="n">
        <v>0.4</v>
      </c>
      <c r="N2381" s="9" t="s">
        <v>85</v>
      </c>
    </row>
    <row r="2382" customFormat="false" ht="14.25" hidden="false" customHeight="true" outlineLevel="0" collapsed="false">
      <c r="B2382" s="9" t="s">
        <v>28</v>
      </c>
      <c r="C2382" s="9" t="n">
        <v>1185732</v>
      </c>
      <c r="D2382" s="10" t="n">
        <v>44231</v>
      </c>
      <c r="E2382" s="9" t="s">
        <v>50</v>
      </c>
      <c r="F2382" s="9" t="s">
        <v>96</v>
      </c>
      <c r="G2382" s="9" t="s">
        <v>97</v>
      </c>
      <c r="H2382" s="11" t="s">
        <v>23</v>
      </c>
      <c r="I2382" s="12" t="n">
        <v>30</v>
      </c>
      <c r="J2382" s="13" t="n">
        <v>525</v>
      </c>
      <c r="K2382" s="14" t="n">
        <f aca="false">I2382*J2382</f>
        <v>15750</v>
      </c>
      <c r="L2382" s="14" t="n">
        <f aca="false">($L$2*M2382)/100</f>
        <v>480666.6</v>
      </c>
      <c r="M2382" s="15" t="n">
        <v>0.4</v>
      </c>
      <c r="N2382" s="9" t="s">
        <v>85</v>
      </c>
    </row>
    <row r="2383" customFormat="false" ht="14.25" hidden="false" customHeight="true" outlineLevel="0" collapsed="false">
      <c r="B2383" s="9" t="s">
        <v>28</v>
      </c>
      <c r="C2383" s="9" t="n">
        <v>1185732</v>
      </c>
      <c r="D2383" s="10" t="n">
        <v>44231</v>
      </c>
      <c r="E2383" s="9" t="s">
        <v>50</v>
      </c>
      <c r="F2383" s="9" t="s">
        <v>96</v>
      </c>
      <c r="G2383" s="9" t="s">
        <v>97</v>
      </c>
      <c r="H2383" s="11" t="s">
        <v>24</v>
      </c>
      <c r="I2383" s="12" t="n">
        <v>45</v>
      </c>
      <c r="J2383" s="13" t="n">
        <v>600</v>
      </c>
      <c r="K2383" s="14" t="n">
        <f aca="false">I2383*J2383</f>
        <v>27000</v>
      </c>
      <c r="L2383" s="14" t="n">
        <f aca="false">($L$2*M2383)/100</f>
        <v>420583.275</v>
      </c>
      <c r="M2383" s="15" t="n">
        <v>0.35</v>
      </c>
      <c r="N2383" s="9" t="s">
        <v>85</v>
      </c>
    </row>
    <row r="2384" customFormat="false" ht="14.25" hidden="false" customHeight="true" outlineLevel="0" collapsed="false">
      <c r="B2384" s="9" t="s">
        <v>28</v>
      </c>
      <c r="C2384" s="9" t="n">
        <v>1185732</v>
      </c>
      <c r="D2384" s="10" t="n">
        <v>44231</v>
      </c>
      <c r="E2384" s="9" t="s">
        <v>50</v>
      </c>
      <c r="F2384" s="9" t="s">
        <v>96</v>
      </c>
      <c r="G2384" s="9" t="s">
        <v>97</v>
      </c>
      <c r="H2384" s="11" t="s">
        <v>25</v>
      </c>
      <c r="I2384" s="12" t="n">
        <v>30</v>
      </c>
      <c r="J2384" s="13" t="n">
        <v>700</v>
      </c>
      <c r="K2384" s="14" t="n">
        <f aca="false">I2384*J2384</f>
        <v>21000</v>
      </c>
      <c r="L2384" s="14" t="n">
        <f aca="false">($L$2*M2384)/100</f>
        <v>600833.25</v>
      </c>
      <c r="M2384" s="15" t="n">
        <v>0.5</v>
      </c>
      <c r="N2384" s="9" t="s">
        <v>85</v>
      </c>
    </row>
    <row r="2385" customFormat="false" ht="14.25" hidden="false" customHeight="true" outlineLevel="0" collapsed="false">
      <c r="B2385" s="9" t="s">
        <v>28</v>
      </c>
      <c r="C2385" s="9" t="n">
        <v>1185732</v>
      </c>
      <c r="D2385" s="10" t="n">
        <v>44257</v>
      </c>
      <c r="E2385" s="9" t="s">
        <v>50</v>
      </c>
      <c r="F2385" s="9" t="s">
        <v>96</v>
      </c>
      <c r="G2385" s="9" t="s">
        <v>97</v>
      </c>
      <c r="H2385" s="11" t="s">
        <v>19</v>
      </c>
      <c r="I2385" s="12" t="n">
        <v>30</v>
      </c>
      <c r="J2385" s="13" t="n">
        <v>920</v>
      </c>
      <c r="K2385" s="14" t="n">
        <f aca="false">I2385*J2385</f>
        <v>27600</v>
      </c>
      <c r="L2385" s="14" t="n">
        <f aca="false">($L$2*M2385)/100</f>
        <v>480666.6</v>
      </c>
      <c r="M2385" s="15" t="n">
        <v>0.4</v>
      </c>
      <c r="N2385" s="9" t="s">
        <v>85</v>
      </c>
    </row>
    <row r="2386" customFormat="false" ht="14.25" hidden="false" customHeight="true" outlineLevel="0" collapsed="false">
      <c r="B2386" s="9" t="s">
        <v>28</v>
      </c>
      <c r="C2386" s="9" t="n">
        <v>1185732</v>
      </c>
      <c r="D2386" s="10" t="n">
        <v>44257</v>
      </c>
      <c r="E2386" s="9" t="s">
        <v>50</v>
      </c>
      <c r="F2386" s="9" t="s">
        <v>96</v>
      </c>
      <c r="G2386" s="9" t="s">
        <v>97</v>
      </c>
      <c r="H2386" s="11" t="s">
        <v>21</v>
      </c>
      <c r="I2386" s="12" t="n">
        <v>30</v>
      </c>
      <c r="J2386" s="13" t="n">
        <v>600</v>
      </c>
      <c r="K2386" s="14" t="n">
        <f aca="false">I2386*J2386</f>
        <v>18000</v>
      </c>
      <c r="L2386" s="14" t="n">
        <f aca="false">($L$2*M2386)/100</f>
        <v>420583.275</v>
      </c>
      <c r="M2386" s="15" t="n">
        <v>0.35</v>
      </c>
      <c r="N2386" s="9" t="s">
        <v>85</v>
      </c>
    </row>
    <row r="2387" customFormat="false" ht="14.25" hidden="false" customHeight="true" outlineLevel="0" collapsed="false">
      <c r="B2387" s="9" t="s">
        <v>28</v>
      </c>
      <c r="C2387" s="9" t="n">
        <v>1185732</v>
      </c>
      <c r="D2387" s="10" t="n">
        <v>44257</v>
      </c>
      <c r="E2387" s="9" t="s">
        <v>50</v>
      </c>
      <c r="F2387" s="9" t="s">
        <v>96</v>
      </c>
      <c r="G2387" s="9" t="s">
        <v>97</v>
      </c>
      <c r="H2387" s="11" t="s">
        <v>22</v>
      </c>
      <c r="I2387" s="12" t="n">
        <v>20</v>
      </c>
      <c r="J2387" s="13" t="n">
        <v>625</v>
      </c>
      <c r="K2387" s="14" t="n">
        <f aca="false">I2387*J2387</f>
        <v>12500</v>
      </c>
      <c r="L2387" s="14" t="n">
        <f aca="false">($L$2*M2387)/100</f>
        <v>480666.6</v>
      </c>
      <c r="M2387" s="15" t="n">
        <v>0.4</v>
      </c>
      <c r="N2387" s="9" t="s">
        <v>85</v>
      </c>
    </row>
    <row r="2388" customFormat="false" ht="14.25" hidden="false" customHeight="true" outlineLevel="0" collapsed="false">
      <c r="B2388" s="9" t="s">
        <v>28</v>
      </c>
      <c r="C2388" s="9" t="n">
        <v>1185732</v>
      </c>
      <c r="D2388" s="10" t="n">
        <v>44257</v>
      </c>
      <c r="E2388" s="9" t="s">
        <v>50</v>
      </c>
      <c r="F2388" s="9" t="s">
        <v>96</v>
      </c>
      <c r="G2388" s="9" t="s">
        <v>97</v>
      </c>
      <c r="H2388" s="11" t="s">
        <v>23</v>
      </c>
      <c r="I2388" s="12" t="n">
        <v>25</v>
      </c>
      <c r="J2388" s="13" t="n">
        <v>475</v>
      </c>
      <c r="K2388" s="14" t="n">
        <f aca="false">I2388*J2388</f>
        <v>11875</v>
      </c>
      <c r="L2388" s="14" t="n">
        <f aca="false">($L$2*M2388)/100</f>
        <v>480666.6</v>
      </c>
      <c r="M2388" s="15" t="n">
        <v>0.4</v>
      </c>
      <c r="N2388" s="9" t="s">
        <v>85</v>
      </c>
    </row>
    <row r="2389" customFormat="false" ht="14.25" hidden="false" customHeight="true" outlineLevel="0" collapsed="false">
      <c r="B2389" s="9" t="s">
        <v>28</v>
      </c>
      <c r="C2389" s="9" t="n">
        <v>1185732</v>
      </c>
      <c r="D2389" s="10" t="n">
        <v>44257</v>
      </c>
      <c r="E2389" s="9" t="s">
        <v>50</v>
      </c>
      <c r="F2389" s="9" t="s">
        <v>96</v>
      </c>
      <c r="G2389" s="9" t="s">
        <v>97</v>
      </c>
      <c r="H2389" s="11" t="s">
        <v>24</v>
      </c>
      <c r="I2389" s="12" t="n">
        <v>40</v>
      </c>
      <c r="J2389" s="13" t="n">
        <v>525</v>
      </c>
      <c r="K2389" s="14" t="n">
        <f aca="false">I2389*J2389</f>
        <v>21000</v>
      </c>
      <c r="L2389" s="14" t="n">
        <f aca="false">($L$2*M2389)/100</f>
        <v>420583.275</v>
      </c>
      <c r="M2389" s="15" t="n">
        <v>0.35</v>
      </c>
      <c r="N2389" s="9" t="s">
        <v>85</v>
      </c>
    </row>
    <row r="2390" customFormat="false" ht="14.25" hidden="false" customHeight="true" outlineLevel="0" collapsed="false">
      <c r="B2390" s="9" t="s">
        <v>28</v>
      </c>
      <c r="C2390" s="9" t="n">
        <v>1185732</v>
      </c>
      <c r="D2390" s="10" t="n">
        <v>44257</v>
      </c>
      <c r="E2390" s="9" t="s">
        <v>50</v>
      </c>
      <c r="F2390" s="9" t="s">
        <v>96</v>
      </c>
      <c r="G2390" s="9" t="s">
        <v>97</v>
      </c>
      <c r="H2390" s="11" t="s">
        <v>25</v>
      </c>
      <c r="I2390" s="12" t="n">
        <v>30</v>
      </c>
      <c r="J2390" s="13" t="n">
        <v>625</v>
      </c>
      <c r="K2390" s="14" t="n">
        <f aca="false">I2390*J2390</f>
        <v>18750</v>
      </c>
      <c r="L2390" s="14" t="n">
        <f aca="false">($L$2*M2390)/100</f>
        <v>600833.25</v>
      </c>
      <c r="M2390" s="15" t="n">
        <v>0.5</v>
      </c>
      <c r="N2390" s="9" t="s">
        <v>85</v>
      </c>
    </row>
    <row r="2391" customFormat="false" ht="14.25" hidden="false" customHeight="true" outlineLevel="0" collapsed="false">
      <c r="B2391" s="9" t="s">
        <v>28</v>
      </c>
      <c r="C2391" s="9" t="n">
        <v>1185732</v>
      </c>
      <c r="D2391" s="10" t="n">
        <v>44289</v>
      </c>
      <c r="E2391" s="9" t="s">
        <v>50</v>
      </c>
      <c r="F2391" s="9" t="s">
        <v>96</v>
      </c>
      <c r="G2391" s="9" t="s">
        <v>97</v>
      </c>
      <c r="H2391" s="11" t="s">
        <v>19</v>
      </c>
      <c r="I2391" s="12" t="n">
        <v>30</v>
      </c>
      <c r="J2391" s="13" t="n">
        <v>875</v>
      </c>
      <c r="K2391" s="14" t="n">
        <f aca="false">I2391*J2391</f>
        <v>26250</v>
      </c>
      <c r="L2391" s="14" t="n">
        <f aca="false">($L$2*M2391)/100</f>
        <v>480666.6</v>
      </c>
      <c r="M2391" s="15" t="n">
        <v>0.4</v>
      </c>
      <c r="N2391" s="9" t="s">
        <v>85</v>
      </c>
    </row>
    <row r="2392" customFormat="false" ht="14.25" hidden="false" customHeight="true" outlineLevel="0" collapsed="false">
      <c r="B2392" s="9" t="s">
        <v>28</v>
      </c>
      <c r="C2392" s="9" t="n">
        <v>1185732</v>
      </c>
      <c r="D2392" s="10" t="n">
        <v>44289</v>
      </c>
      <c r="E2392" s="9" t="s">
        <v>50</v>
      </c>
      <c r="F2392" s="9" t="s">
        <v>96</v>
      </c>
      <c r="G2392" s="9" t="s">
        <v>97</v>
      </c>
      <c r="H2392" s="11" t="s">
        <v>21</v>
      </c>
      <c r="I2392" s="12" t="n">
        <v>30</v>
      </c>
      <c r="J2392" s="13" t="n">
        <v>575</v>
      </c>
      <c r="K2392" s="14" t="n">
        <f aca="false">I2392*J2392</f>
        <v>17250</v>
      </c>
      <c r="L2392" s="14" t="n">
        <f aca="false">($L$2*M2392)/100</f>
        <v>420583.275</v>
      </c>
      <c r="M2392" s="15" t="n">
        <v>0.35</v>
      </c>
      <c r="N2392" s="9" t="s">
        <v>85</v>
      </c>
    </row>
    <row r="2393" customFormat="false" ht="14.25" hidden="false" customHeight="true" outlineLevel="0" collapsed="false">
      <c r="B2393" s="9" t="s">
        <v>28</v>
      </c>
      <c r="C2393" s="9" t="n">
        <v>1185732</v>
      </c>
      <c r="D2393" s="10" t="n">
        <v>44289</v>
      </c>
      <c r="E2393" s="9" t="s">
        <v>50</v>
      </c>
      <c r="F2393" s="9" t="s">
        <v>96</v>
      </c>
      <c r="G2393" s="9" t="s">
        <v>97</v>
      </c>
      <c r="H2393" s="11" t="s">
        <v>22</v>
      </c>
      <c r="I2393" s="12" t="n">
        <v>20</v>
      </c>
      <c r="J2393" s="13" t="n">
        <v>575</v>
      </c>
      <c r="K2393" s="14" t="n">
        <f aca="false">I2393*J2393</f>
        <v>11500</v>
      </c>
      <c r="L2393" s="14" t="n">
        <f aca="false">($L$2*M2393)/100</f>
        <v>480666.6</v>
      </c>
      <c r="M2393" s="15" t="n">
        <v>0.4</v>
      </c>
      <c r="N2393" s="9" t="s">
        <v>85</v>
      </c>
    </row>
    <row r="2394" customFormat="false" ht="14.25" hidden="false" customHeight="true" outlineLevel="0" collapsed="false">
      <c r="B2394" s="9" t="s">
        <v>28</v>
      </c>
      <c r="C2394" s="9" t="n">
        <v>1185732</v>
      </c>
      <c r="D2394" s="10" t="n">
        <v>44289</v>
      </c>
      <c r="E2394" s="9" t="s">
        <v>50</v>
      </c>
      <c r="F2394" s="9" t="s">
        <v>96</v>
      </c>
      <c r="G2394" s="9" t="s">
        <v>97</v>
      </c>
      <c r="H2394" s="11" t="s">
        <v>23</v>
      </c>
      <c r="I2394" s="12" t="n">
        <v>25</v>
      </c>
      <c r="J2394" s="13" t="n">
        <v>500</v>
      </c>
      <c r="K2394" s="14" t="n">
        <f aca="false">I2394*J2394</f>
        <v>12500</v>
      </c>
      <c r="L2394" s="14" t="n">
        <f aca="false">($L$2*M2394)/100</f>
        <v>480666.6</v>
      </c>
      <c r="M2394" s="15" t="n">
        <v>0.4</v>
      </c>
      <c r="N2394" s="9" t="s">
        <v>85</v>
      </c>
    </row>
    <row r="2395" customFormat="false" ht="14.25" hidden="false" customHeight="true" outlineLevel="0" collapsed="false">
      <c r="B2395" s="9" t="s">
        <v>28</v>
      </c>
      <c r="C2395" s="9" t="n">
        <v>1185732</v>
      </c>
      <c r="D2395" s="10" t="n">
        <v>44289</v>
      </c>
      <c r="E2395" s="9" t="s">
        <v>50</v>
      </c>
      <c r="F2395" s="9" t="s">
        <v>96</v>
      </c>
      <c r="G2395" s="9" t="s">
        <v>97</v>
      </c>
      <c r="H2395" s="11" t="s">
        <v>24</v>
      </c>
      <c r="I2395" s="12" t="n">
        <v>45</v>
      </c>
      <c r="J2395" s="13" t="n">
        <v>525</v>
      </c>
      <c r="K2395" s="14" t="n">
        <f aca="false">I2395*J2395</f>
        <v>23625</v>
      </c>
      <c r="L2395" s="14" t="n">
        <f aca="false">($L$2*M2395)/100</f>
        <v>420583.275</v>
      </c>
      <c r="M2395" s="15" t="n">
        <v>0.35</v>
      </c>
      <c r="N2395" s="9" t="s">
        <v>85</v>
      </c>
    </row>
    <row r="2396" customFormat="false" ht="14.25" hidden="false" customHeight="true" outlineLevel="0" collapsed="false">
      <c r="B2396" s="9" t="s">
        <v>28</v>
      </c>
      <c r="C2396" s="9" t="n">
        <v>1185732</v>
      </c>
      <c r="D2396" s="10" t="n">
        <v>44289</v>
      </c>
      <c r="E2396" s="9" t="s">
        <v>50</v>
      </c>
      <c r="F2396" s="9" t="s">
        <v>96</v>
      </c>
      <c r="G2396" s="9" t="s">
        <v>97</v>
      </c>
      <c r="H2396" s="11" t="s">
        <v>25</v>
      </c>
      <c r="I2396" s="12" t="n">
        <v>35</v>
      </c>
      <c r="J2396" s="13" t="n">
        <v>675</v>
      </c>
      <c r="K2396" s="14" t="n">
        <f aca="false">I2396*J2396</f>
        <v>23625</v>
      </c>
      <c r="L2396" s="14" t="n">
        <f aca="false">($L$2*M2396)/100</f>
        <v>600833.25</v>
      </c>
      <c r="M2396" s="15" t="n">
        <v>0.5</v>
      </c>
      <c r="N2396" s="9" t="s">
        <v>85</v>
      </c>
    </row>
    <row r="2397" customFormat="false" ht="14.25" hidden="false" customHeight="true" outlineLevel="0" collapsed="false">
      <c r="B2397" s="9" t="s">
        <v>28</v>
      </c>
      <c r="C2397" s="9" t="n">
        <v>1185732</v>
      </c>
      <c r="D2397" s="10" t="n">
        <v>44318</v>
      </c>
      <c r="E2397" s="9" t="s">
        <v>50</v>
      </c>
      <c r="F2397" s="9" t="s">
        <v>96</v>
      </c>
      <c r="G2397" s="9" t="s">
        <v>97</v>
      </c>
      <c r="H2397" s="11" t="s">
        <v>19</v>
      </c>
      <c r="I2397" s="12" t="n">
        <v>45</v>
      </c>
      <c r="J2397" s="13" t="n">
        <v>945</v>
      </c>
      <c r="K2397" s="14" t="n">
        <f aca="false">I2397*J2397</f>
        <v>42525</v>
      </c>
      <c r="L2397" s="14" t="n">
        <f aca="false">($L$2*M2397)/100</f>
        <v>480666.6</v>
      </c>
      <c r="M2397" s="15" t="n">
        <v>0.4</v>
      </c>
      <c r="N2397" s="9" t="s">
        <v>85</v>
      </c>
    </row>
    <row r="2398" customFormat="false" ht="14.25" hidden="false" customHeight="true" outlineLevel="0" collapsed="false">
      <c r="B2398" s="9" t="s">
        <v>28</v>
      </c>
      <c r="C2398" s="9" t="n">
        <v>1185732</v>
      </c>
      <c r="D2398" s="10" t="n">
        <v>44318</v>
      </c>
      <c r="E2398" s="9" t="s">
        <v>50</v>
      </c>
      <c r="F2398" s="9" t="s">
        <v>96</v>
      </c>
      <c r="G2398" s="9" t="s">
        <v>97</v>
      </c>
      <c r="H2398" s="11" t="s">
        <v>21</v>
      </c>
      <c r="I2398" s="12" t="n">
        <v>45</v>
      </c>
      <c r="J2398" s="13" t="n">
        <v>650</v>
      </c>
      <c r="K2398" s="14" t="n">
        <f aca="false">I2398*J2398</f>
        <v>29250</v>
      </c>
      <c r="L2398" s="14" t="n">
        <f aca="false">($L$2*M2398)/100</f>
        <v>420583.275</v>
      </c>
      <c r="M2398" s="15" t="n">
        <v>0.35</v>
      </c>
      <c r="N2398" s="9" t="s">
        <v>85</v>
      </c>
    </row>
    <row r="2399" customFormat="false" ht="14.25" hidden="false" customHeight="true" outlineLevel="0" collapsed="false">
      <c r="B2399" s="9" t="s">
        <v>28</v>
      </c>
      <c r="C2399" s="9" t="n">
        <v>1185732</v>
      </c>
      <c r="D2399" s="10" t="n">
        <v>44318</v>
      </c>
      <c r="E2399" s="9" t="s">
        <v>50</v>
      </c>
      <c r="F2399" s="9" t="s">
        <v>96</v>
      </c>
      <c r="G2399" s="9" t="s">
        <v>97</v>
      </c>
      <c r="H2399" s="11" t="s">
        <v>22</v>
      </c>
      <c r="I2399" s="12" t="n">
        <v>40</v>
      </c>
      <c r="J2399" s="13" t="n">
        <v>625</v>
      </c>
      <c r="K2399" s="14" t="n">
        <f aca="false">I2399*J2399</f>
        <v>25000</v>
      </c>
      <c r="L2399" s="14" t="n">
        <f aca="false">($L$2*M2399)/100</f>
        <v>480666.6</v>
      </c>
      <c r="M2399" s="15" t="n">
        <v>0.4</v>
      </c>
      <c r="N2399" s="9" t="s">
        <v>85</v>
      </c>
    </row>
    <row r="2400" customFormat="false" ht="14.25" hidden="false" customHeight="true" outlineLevel="0" collapsed="false">
      <c r="B2400" s="9" t="s">
        <v>28</v>
      </c>
      <c r="C2400" s="9" t="n">
        <v>1185732</v>
      </c>
      <c r="D2400" s="10" t="n">
        <v>44318</v>
      </c>
      <c r="E2400" s="9" t="s">
        <v>50</v>
      </c>
      <c r="F2400" s="9" t="s">
        <v>96</v>
      </c>
      <c r="G2400" s="9" t="s">
        <v>97</v>
      </c>
      <c r="H2400" s="11" t="s">
        <v>23</v>
      </c>
      <c r="I2400" s="12" t="n">
        <v>40</v>
      </c>
      <c r="J2400" s="13" t="n">
        <v>575</v>
      </c>
      <c r="K2400" s="14" t="n">
        <f aca="false">I2400*J2400</f>
        <v>23000</v>
      </c>
      <c r="L2400" s="14" t="n">
        <f aca="false">($L$2*M2400)/100</f>
        <v>480666.6</v>
      </c>
      <c r="M2400" s="15" t="n">
        <v>0.4</v>
      </c>
      <c r="N2400" s="9" t="s">
        <v>85</v>
      </c>
    </row>
    <row r="2401" customFormat="false" ht="14.25" hidden="false" customHeight="true" outlineLevel="0" collapsed="false">
      <c r="B2401" s="9" t="s">
        <v>28</v>
      </c>
      <c r="C2401" s="9" t="n">
        <v>1185732</v>
      </c>
      <c r="D2401" s="10" t="n">
        <v>44318</v>
      </c>
      <c r="E2401" s="9" t="s">
        <v>50</v>
      </c>
      <c r="F2401" s="9" t="s">
        <v>96</v>
      </c>
      <c r="G2401" s="9" t="s">
        <v>97</v>
      </c>
      <c r="H2401" s="11" t="s">
        <v>24</v>
      </c>
      <c r="I2401" s="12" t="n">
        <v>50</v>
      </c>
      <c r="J2401" s="13" t="n">
        <v>600</v>
      </c>
      <c r="K2401" s="14" t="n">
        <f aca="false">I2401*J2401</f>
        <v>30000</v>
      </c>
      <c r="L2401" s="14" t="n">
        <f aca="false">($L$2*M2401)/100</f>
        <v>420583.275</v>
      </c>
      <c r="M2401" s="15" t="n">
        <v>0.35</v>
      </c>
      <c r="N2401" s="9" t="s">
        <v>85</v>
      </c>
    </row>
    <row r="2402" customFormat="false" ht="14.25" hidden="false" customHeight="true" outlineLevel="0" collapsed="false">
      <c r="B2402" s="9" t="s">
        <v>28</v>
      </c>
      <c r="C2402" s="9" t="n">
        <v>1185732</v>
      </c>
      <c r="D2402" s="10" t="n">
        <v>44318</v>
      </c>
      <c r="E2402" s="9" t="s">
        <v>50</v>
      </c>
      <c r="F2402" s="9" t="s">
        <v>96</v>
      </c>
      <c r="G2402" s="9" t="s">
        <v>97</v>
      </c>
      <c r="H2402" s="11" t="s">
        <v>25</v>
      </c>
      <c r="I2402" s="12" t="n">
        <v>55</v>
      </c>
      <c r="J2402" s="13" t="n">
        <v>700</v>
      </c>
      <c r="K2402" s="14" t="n">
        <f aca="false">I2402*J2402</f>
        <v>38500</v>
      </c>
      <c r="L2402" s="14" t="n">
        <f aca="false">($L$2*M2402)/100</f>
        <v>600833.25</v>
      </c>
      <c r="M2402" s="15" t="n">
        <v>0.5</v>
      </c>
      <c r="N2402" s="9" t="s">
        <v>85</v>
      </c>
    </row>
    <row r="2403" customFormat="false" ht="14.25" hidden="false" customHeight="true" outlineLevel="0" collapsed="false">
      <c r="B2403" s="9" t="s">
        <v>28</v>
      </c>
      <c r="C2403" s="9" t="n">
        <v>1185732</v>
      </c>
      <c r="D2403" s="10" t="n">
        <v>44351</v>
      </c>
      <c r="E2403" s="9" t="s">
        <v>50</v>
      </c>
      <c r="F2403" s="9" t="s">
        <v>96</v>
      </c>
      <c r="G2403" s="9" t="s">
        <v>97</v>
      </c>
      <c r="H2403" s="11" t="s">
        <v>19</v>
      </c>
      <c r="I2403" s="12" t="n">
        <v>50</v>
      </c>
      <c r="J2403" s="13" t="n">
        <v>950</v>
      </c>
      <c r="K2403" s="14" t="n">
        <f aca="false">I2403*J2403</f>
        <v>47500</v>
      </c>
      <c r="L2403" s="14" t="n">
        <f aca="false">($L$2*M2403)/100</f>
        <v>480666.6</v>
      </c>
      <c r="M2403" s="15" t="n">
        <v>0.4</v>
      </c>
      <c r="N2403" s="9" t="s">
        <v>85</v>
      </c>
    </row>
    <row r="2404" customFormat="false" ht="14.25" hidden="false" customHeight="true" outlineLevel="0" collapsed="false">
      <c r="B2404" s="9" t="s">
        <v>28</v>
      </c>
      <c r="C2404" s="9" t="n">
        <v>1185732</v>
      </c>
      <c r="D2404" s="10" t="n">
        <v>44351</v>
      </c>
      <c r="E2404" s="9" t="s">
        <v>50</v>
      </c>
      <c r="F2404" s="9" t="s">
        <v>96</v>
      </c>
      <c r="G2404" s="9" t="s">
        <v>97</v>
      </c>
      <c r="H2404" s="11" t="s">
        <v>21</v>
      </c>
      <c r="I2404" s="12" t="n">
        <v>45</v>
      </c>
      <c r="J2404" s="13" t="n">
        <v>700</v>
      </c>
      <c r="K2404" s="14" t="n">
        <f aca="false">I2404*J2404</f>
        <v>31500</v>
      </c>
      <c r="L2404" s="14" t="n">
        <f aca="false">($L$2*M2404)/100</f>
        <v>420583.275</v>
      </c>
      <c r="M2404" s="15" t="n">
        <v>0.35</v>
      </c>
      <c r="N2404" s="9" t="s">
        <v>85</v>
      </c>
    </row>
    <row r="2405" customFormat="false" ht="14.25" hidden="false" customHeight="true" outlineLevel="0" collapsed="false">
      <c r="B2405" s="9" t="s">
        <v>28</v>
      </c>
      <c r="C2405" s="9" t="n">
        <v>1185732</v>
      </c>
      <c r="D2405" s="10" t="n">
        <v>44351</v>
      </c>
      <c r="E2405" s="9" t="s">
        <v>50</v>
      </c>
      <c r="F2405" s="9" t="s">
        <v>96</v>
      </c>
      <c r="G2405" s="9" t="s">
        <v>97</v>
      </c>
      <c r="H2405" s="11" t="s">
        <v>22</v>
      </c>
      <c r="I2405" s="12" t="n">
        <v>50</v>
      </c>
      <c r="J2405" s="13" t="n">
        <v>675</v>
      </c>
      <c r="K2405" s="14" t="n">
        <f aca="false">I2405*J2405</f>
        <v>33750</v>
      </c>
      <c r="L2405" s="14" t="n">
        <f aca="false">($L$2*M2405)/100</f>
        <v>480666.6</v>
      </c>
      <c r="M2405" s="15" t="n">
        <v>0.4</v>
      </c>
      <c r="N2405" s="9" t="s">
        <v>85</v>
      </c>
    </row>
    <row r="2406" customFormat="false" ht="14.25" hidden="false" customHeight="true" outlineLevel="0" collapsed="false">
      <c r="B2406" s="9" t="s">
        <v>28</v>
      </c>
      <c r="C2406" s="9" t="n">
        <v>1185732</v>
      </c>
      <c r="D2406" s="10" t="n">
        <v>44351</v>
      </c>
      <c r="E2406" s="9" t="s">
        <v>50</v>
      </c>
      <c r="F2406" s="9" t="s">
        <v>96</v>
      </c>
      <c r="G2406" s="9" t="s">
        <v>97</v>
      </c>
      <c r="H2406" s="11" t="s">
        <v>23</v>
      </c>
      <c r="I2406" s="12" t="n">
        <v>50</v>
      </c>
      <c r="J2406" s="13" t="n">
        <v>650</v>
      </c>
      <c r="K2406" s="14" t="n">
        <f aca="false">I2406*J2406</f>
        <v>32500</v>
      </c>
      <c r="L2406" s="14" t="n">
        <f aca="false">($L$2*M2406)/100</f>
        <v>480666.6</v>
      </c>
      <c r="M2406" s="15" t="n">
        <v>0.4</v>
      </c>
      <c r="N2406" s="9" t="s">
        <v>85</v>
      </c>
    </row>
    <row r="2407" customFormat="false" ht="14.25" hidden="false" customHeight="true" outlineLevel="0" collapsed="false">
      <c r="B2407" s="9" t="s">
        <v>28</v>
      </c>
      <c r="C2407" s="9" t="n">
        <v>1185732</v>
      </c>
      <c r="D2407" s="10" t="n">
        <v>44351</v>
      </c>
      <c r="E2407" s="9" t="s">
        <v>50</v>
      </c>
      <c r="F2407" s="9" t="s">
        <v>96</v>
      </c>
      <c r="G2407" s="9" t="s">
        <v>97</v>
      </c>
      <c r="H2407" s="11" t="s">
        <v>24</v>
      </c>
      <c r="I2407" s="12" t="n">
        <v>65</v>
      </c>
      <c r="J2407" s="13" t="n">
        <v>650</v>
      </c>
      <c r="K2407" s="14" t="n">
        <f aca="false">I2407*J2407</f>
        <v>42250</v>
      </c>
      <c r="L2407" s="14" t="n">
        <f aca="false">($L$2*M2407)/100</f>
        <v>420583.275</v>
      </c>
      <c r="M2407" s="15" t="n">
        <v>0.35</v>
      </c>
      <c r="N2407" s="9" t="s">
        <v>85</v>
      </c>
    </row>
    <row r="2408" customFormat="false" ht="14.25" hidden="false" customHeight="true" outlineLevel="0" collapsed="false">
      <c r="B2408" s="9" t="s">
        <v>28</v>
      </c>
      <c r="C2408" s="9" t="n">
        <v>1185732</v>
      </c>
      <c r="D2408" s="10" t="n">
        <v>44351</v>
      </c>
      <c r="E2408" s="9" t="s">
        <v>50</v>
      </c>
      <c r="F2408" s="9" t="s">
        <v>96</v>
      </c>
      <c r="G2408" s="9" t="s">
        <v>97</v>
      </c>
      <c r="H2408" s="11" t="s">
        <v>25</v>
      </c>
      <c r="I2408" s="12" t="n">
        <v>70</v>
      </c>
      <c r="J2408" s="13" t="n">
        <v>825</v>
      </c>
      <c r="K2408" s="14" t="n">
        <f aca="false">I2408*J2408</f>
        <v>57750</v>
      </c>
      <c r="L2408" s="14" t="n">
        <f aca="false">($L$2*M2408)/100</f>
        <v>600833.25</v>
      </c>
      <c r="M2408" s="15" t="n">
        <v>0.5</v>
      </c>
      <c r="N2408" s="9" t="s">
        <v>85</v>
      </c>
    </row>
    <row r="2409" customFormat="false" ht="14.25" hidden="false" customHeight="true" outlineLevel="0" collapsed="false">
      <c r="B2409" s="9" t="s">
        <v>28</v>
      </c>
      <c r="C2409" s="9" t="n">
        <v>1185732</v>
      </c>
      <c r="D2409" s="10" t="n">
        <v>44379</v>
      </c>
      <c r="E2409" s="9" t="s">
        <v>50</v>
      </c>
      <c r="F2409" s="9" t="s">
        <v>96</v>
      </c>
      <c r="G2409" s="9" t="s">
        <v>97</v>
      </c>
      <c r="H2409" s="11" t="s">
        <v>19</v>
      </c>
      <c r="I2409" s="12" t="n">
        <v>65</v>
      </c>
      <c r="J2409" s="13" t="n">
        <v>1050</v>
      </c>
      <c r="K2409" s="14" t="n">
        <f aca="false">I2409*J2409</f>
        <v>68250</v>
      </c>
      <c r="L2409" s="14" t="n">
        <f aca="false">($L$2*M2409)/100</f>
        <v>480666.6</v>
      </c>
      <c r="M2409" s="15" t="n">
        <v>0.4</v>
      </c>
      <c r="N2409" s="9" t="s">
        <v>85</v>
      </c>
    </row>
    <row r="2410" customFormat="false" ht="14.25" hidden="false" customHeight="true" outlineLevel="0" collapsed="false">
      <c r="B2410" s="9" t="s">
        <v>28</v>
      </c>
      <c r="C2410" s="9" t="n">
        <v>1185732</v>
      </c>
      <c r="D2410" s="10" t="n">
        <v>44379</v>
      </c>
      <c r="E2410" s="9" t="s">
        <v>50</v>
      </c>
      <c r="F2410" s="9" t="s">
        <v>96</v>
      </c>
      <c r="G2410" s="9" t="s">
        <v>97</v>
      </c>
      <c r="H2410" s="11" t="s">
        <v>21</v>
      </c>
      <c r="I2410" s="12" t="n">
        <v>60</v>
      </c>
      <c r="J2410" s="13" t="n">
        <v>800</v>
      </c>
      <c r="K2410" s="14" t="n">
        <f aca="false">I2410*J2410</f>
        <v>48000</v>
      </c>
      <c r="L2410" s="14" t="n">
        <f aca="false">($L$2*M2410)/100</f>
        <v>420583.275</v>
      </c>
      <c r="M2410" s="15" t="n">
        <v>0.35</v>
      </c>
      <c r="N2410" s="9" t="s">
        <v>85</v>
      </c>
    </row>
    <row r="2411" customFormat="false" ht="14.25" hidden="false" customHeight="true" outlineLevel="0" collapsed="false">
      <c r="B2411" s="9" t="s">
        <v>28</v>
      </c>
      <c r="C2411" s="9" t="n">
        <v>1185732</v>
      </c>
      <c r="D2411" s="10" t="n">
        <v>44379</v>
      </c>
      <c r="E2411" s="9" t="s">
        <v>50</v>
      </c>
      <c r="F2411" s="9" t="s">
        <v>96</v>
      </c>
      <c r="G2411" s="9" t="s">
        <v>97</v>
      </c>
      <c r="H2411" s="11" t="s">
        <v>22</v>
      </c>
      <c r="I2411" s="12" t="n">
        <v>55</v>
      </c>
      <c r="J2411" s="13" t="n">
        <v>725</v>
      </c>
      <c r="K2411" s="14" t="n">
        <f aca="false">I2411*J2411</f>
        <v>39875</v>
      </c>
      <c r="L2411" s="14" t="n">
        <f aca="false">($L$2*M2411)/100</f>
        <v>480666.6</v>
      </c>
      <c r="M2411" s="15" t="n">
        <v>0.4</v>
      </c>
      <c r="N2411" s="9" t="s">
        <v>85</v>
      </c>
    </row>
    <row r="2412" customFormat="false" ht="14.25" hidden="false" customHeight="true" outlineLevel="0" collapsed="false">
      <c r="B2412" s="9" t="s">
        <v>28</v>
      </c>
      <c r="C2412" s="9" t="n">
        <v>1185732</v>
      </c>
      <c r="D2412" s="10" t="n">
        <v>44379</v>
      </c>
      <c r="E2412" s="9" t="s">
        <v>50</v>
      </c>
      <c r="F2412" s="9" t="s">
        <v>96</v>
      </c>
      <c r="G2412" s="9" t="s">
        <v>97</v>
      </c>
      <c r="H2412" s="11" t="s">
        <v>23</v>
      </c>
      <c r="I2412" s="12" t="n">
        <v>55</v>
      </c>
      <c r="J2412" s="13" t="n">
        <v>675</v>
      </c>
      <c r="K2412" s="14" t="n">
        <f aca="false">I2412*J2412</f>
        <v>37125</v>
      </c>
      <c r="L2412" s="14" t="n">
        <f aca="false">($L$2*M2412)/100</f>
        <v>480666.6</v>
      </c>
      <c r="M2412" s="15" t="n">
        <v>0.4</v>
      </c>
      <c r="N2412" s="9" t="s">
        <v>85</v>
      </c>
    </row>
    <row r="2413" customFormat="false" ht="14.25" hidden="false" customHeight="true" outlineLevel="0" collapsed="false">
      <c r="B2413" s="9" t="s">
        <v>28</v>
      </c>
      <c r="C2413" s="9" t="n">
        <v>1185732</v>
      </c>
      <c r="D2413" s="10" t="n">
        <v>44379</v>
      </c>
      <c r="E2413" s="9" t="s">
        <v>50</v>
      </c>
      <c r="F2413" s="9" t="s">
        <v>96</v>
      </c>
      <c r="G2413" s="9" t="s">
        <v>97</v>
      </c>
      <c r="H2413" s="11" t="s">
        <v>24</v>
      </c>
      <c r="I2413" s="12" t="n">
        <v>65</v>
      </c>
      <c r="J2413" s="13" t="n">
        <v>700</v>
      </c>
      <c r="K2413" s="14" t="n">
        <f aca="false">I2413*J2413</f>
        <v>45500</v>
      </c>
      <c r="L2413" s="14" t="n">
        <f aca="false">($L$2*M2413)/100</f>
        <v>420583.275</v>
      </c>
      <c r="M2413" s="15" t="n">
        <v>0.35</v>
      </c>
      <c r="N2413" s="9" t="s">
        <v>85</v>
      </c>
    </row>
    <row r="2414" customFormat="false" ht="14.25" hidden="false" customHeight="true" outlineLevel="0" collapsed="false">
      <c r="B2414" s="9" t="s">
        <v>28</v>
      </c>
      <c r="C2414" s="9" t="n">
        <v>1185732</v>
      </c>
      <c r="D2414" s="10" t="n">
        <v>44379</v>
      </c>
      <c r="E2414" s="9" t="s">
        <v>50</v>
      </c>
      <c r="F2414" s="9" t="s">
        <v>96</v>
      </c>
      <c r="G2414" s="9" t="s">
        <v>97</v>
      </c>
      <c r="H2414" s="11" t="s">
        <v>25</v>
      </c>
      <c r="I2414" s="12" t="n">
        <v>70</v>
      </c>
      <c r="J2414" s="13" t="n">
        <v>875</v>
      </c>
      <c r="K2414" s="14" t="n">
        <f aca="false">I2414*J2414</f>
        <v>61250</v>
      </c>
      <c r="L2414" s="14" t="n">
        <f aca="false">($L$2*M2414)/100</f>
        <v>600833.25</v>
      </c>
      <c r="M2414" s="15" t="n">
        <v>0.5</v>
      </c>
      <c r="N2414" s="9" t="s">
        <v>85</v>
      </c>
    </row>
    <row r="2415" customFormat="false" ht="14.25" hidden="false" customHeight="true" outlineLevel="0" collapsed="false">
      <c r="B2415" s="9" t="s">
        <v>28</v>
      </c>
      <c r="C2415" s="9" t="n">
        <v>1185732</v>
      </c>
      <c r="D2415" s="10" t="n">
        <v>44411</v>
      </c>
      <c r="E2415" s="9" t="s">
        <v>50</v>
      </c>
      <c r="F2415" s="9" t="s">
        <v>96</v>
      </c>
      <c r="G2415" s="9" t="s">
        <v>97</v>
      </c>
      <c r="H2415" s="11" t="s">
        <v>19</v>
      </c>
      <c r="I2415" s="12" t="n">
        <v>65</v>
      </c>
      <c r="J2415" s="13" t="n">
        <v>1025</v>
      </c>
      <c r="K2415" s="14" t="n">
        <f aca="false">I2415*J2415</f>
        <v>66625</v>
      </c>
      <c r="L2415" s="14" t="n">
        <f aca="false">($L$2*M2415)/100</f>
        <v>480666.6</v>
      </c>
      <c r="M2415" s="15" t="n">
        <v>0.4</v>
      </c>
      <c r="N2415" s="9" t="s">
        <v>85</v>
      </c>
    </row>
    <row r="2416" customFormat="false" ht="14.25" hidden="false" customHeight="true" outlineLevel="0" collapsed="false">
      <c r="B2416" s="9" t="s">
        <v>28</v>
      </c>
      <c r="C2416" s="9" t="n">
        <v>1185732</v>
      </c>
      <c r="D2416" s="10" t="n">
        <v>44411</v>
      </c>
      <c r="E2416" s="9" t="s">
        <v>50</v>
      </c>
      <c r="F2416" s="9" t="s">
        <v>96</v>
      </c>
      <c r="G2416" s="9" t="s">
        <v>97</v>
      </c>
      <c r="H2416" s="11" t="s">
        <v>21</v>
      </c>
      <c r="I2416" s="12" t="n">
        <v>60</v>
      </c>
      <c r="J2416" s="13" t="n">
        <v>800</v>
      </c>
      <c r="K2416" s="14" t="n">
        <f aca="false">I2416*J2416</f>
        <v>48000</v>
      </c>
      <c r="L2416" s="14" t="n">
        <f aca="false">($L$2*M2416)/100</f>
        <v>420583.275</v>
      </c>
      <c r="M2416" s="15" t="n">
        <v>0.35</v>
      </c>
      <c r="N2416" s="9" t="s">
        <v>85</v>
      </c>
    </row>
    <row r="2417" customFormat="false" ht="14.25" hidden="false" customHeight="true" outlineLevel="0" collapsed="false">
      <c r="B2417" s="9" t="s">
        <v>28</v>
      </c>
      <c r="C2417" s="9" t="n">
        <v>1185732</v>
      </c>
      <c r="D2417" s="10" t="n">
        <v>44411</v>
      </c>
      <c r="E2417" s="9" t="s">
        <v>50</v>
      </c>
      <c r="F2417" s="9" t="s">
        <v>96</v>
      </c>
      <c r="G2417" s="9" t="s">
        <v>97</v>
      </c>
      <c r="H2417" s="11" t="s">
        <v>22</v>
      </c>
      <c r="I2417" s="12" t="n">
        <v>55</v>
      </c>
      <c r="J2417" s="13" t="n">
        <v>725</v>
      </c>
      <c r="K2417" s="14" t="n">
        <f aca="false">I2417*J2417</f>
        <v>39875</v>
      </c>
      <c r="L2417" s="14" t="n">
        <f aca="false">($L$2*M2417)/100</f>
        <v>480666.6</v>
      </c>
      <c r="M2417" s="15" t="n">
        <v>0.4</v>
      </c>
      <c r="N2417" s="9" t="s">
        <v>85</v>
      </c>
    </row>
    <row r="2418" customFormat="false" ht="14.25" hidden="false" customHeight="true" outlineLevel="0" collapsed="false">
      <c r="B2418" s="9" t="s">
        <v>28</v>
      </c>
      <c r="C2418" s="9" t="n">
        <v>1185732</v>
      </c>
      <c r="D2418" s="10" t="n">
        <v>44411</v>
      </c>
      <c r="E2418" s="9" t="s">
        <v>50</v>
      </c>
      <c r="F2418" s="9" t="s">
        <v>96</v>
      </c>
      <c r="G2418" s="9" t="s">
        <v>97</v>
      </c>
      <c r="H2418" s="11" t="s">
        <v>23</v>
      </c>
      <c r="I2418" s="12" t="n">
        <v>45</v>
      </c>
      <c r="J2418" s="13" t="n">
        <v>675</v>
      </c>
      <c r="K2418" s="14" t="n">
        <f aca="false">I2418*J2418</f>
        <v>30375</v>
      </c>
      <c r="L2418" s="14" t="n">
        <f aca="false">($L$2*M2418)/100</f>
        <v>480666.6</v>
      </c>
      <c r="M2418" s="15" t="n">
        <v>0.4</v>
      </c>
      <c r="N2418" s="9" t="s">
        <v>85</v>
      </c>
    </row>
    <row r="2419" customFormat="false" ht="14.25" hidden="false" customHeight="true" outlineLevel="0" collapsed="false">
      <c r="B2419" s="9" t="s">
        <v>28</v>
      </c>
      <c r="C2419" s="9" t="n">
        <v>1185732</v>
      </c>
      <c r="D2419" s="10" t="n">
        <v>44411</v>
      </c>
      <c r="E2419" s="9" t="s">
        <v>50</v>
      </c>
      <c r="F2419" s="9" t="s">
        <v>96</v>
      </c>
      <c r="G2419" s="9" t="s">
        <v>97</v>
      </c>
      <c r="H2419" s="11" t="s">
        <v>24</v>
      </c>
      <c r="I2419" s="12" t="n">
        <v>55</v>
      </c>
      <c r="J2419" s="13" t="n">
        <v>650</v>
      </c>
      <c r="K2419" s="14" t="n">
        <f aca="false">I2419*J2419</f>
        <v>35750</v>
      </c>
      <c r="L2419" s="14" t="n">
        <f aca="false">($L$2*M2419)/100</f>
        <v>420583.275</v>
      </c>
      <c r="M2419" s="15" t="n">
        <v>0.35</v>
      </c>
      <c r="N2419" s="9" t="s">
        <v>85</v>
      </c>
    </row>
    <row r="2420" customFormat="false" ht="14.25" hidden="false" customHeight="true" outlineLevel="0" collapsed="false">
      <c r="B2420" s="9" t="s">
        <v>28</v>
      </c>
      <c r="C2420" s="9" t="n">
        <v>1185732</v>
      </c>
      <c r="D2420" s="10" t="n">
        <v>44411</v>
      </c>
      <c r="E2420" s="9" t="s">
        <v>50</v>
      </c>
      <c r="F2420" s="9" t="s">
        <v>96</v>
      </c>
      <c r="G2420" s="9" t="s">
        <v>97</v>
      </c>
      <c r="H2420" s="11" t="s">
        <v>25</v>
      </c>
      <c r="I2420" s="12" t="n">
        <v>60</v>
      </c>
      <c r="J2420" s="13" t="n">
        <v>825</v>
      </c>
      <c r="K2420" s="14" t="n">
        <f aca="false">I2420*J2420</f>
        <v>49500</v>
      </c>
      <c r="L2420" s="14" t="n">
        <f aca="false">($L$2*M2420)/100</f>
        <v>600833.25</v>
      </c>
      <c r="M2420" s="15" t="n">
        <v>0.5</v>
      </c>
      <c r="N2420" s="9" t="s">
        <v>85</v>
      </c>
    </row>
    <row r="2421" customFormat="false" ht="14.25" hidden="false" customHeight="true" outlineLevel="0" collapsed="false">
      <c r="B2421" s="9" t="s">
        <v>28</v>
      </c>
      <c r="C2421" s="9" t="n">
        <v>1185732</v>
      </c>
      <c r="D2421" s="10" t="n">
        <v>44441</v>
      </c>
      <c r="E2421" s="9" t="s">
        <v>50</v>
      </c>
      <c r="F2421" s="9" t="s">
        <v>96</v>
      </c>
      <c r="G2421" s="9" t="s">
        <v>97</v>
      </c>
      <c r="H2421" s="11" t="s">
        <v>19</v>
      </c>
      <c r="I2421" s="12" t="n">
        <v>55</v>
      </c>
      <c r="J2421" s="13" t="n">
        <v>925</v>
      </c>
      <c r="K2421" s="14" t="n">
        <f aca="false">I2421*J2421</f>
        <v>50875</v>
      </c>
      <c r="L2421" s="14" t="n">
        <f aca="false">($L$2*M2421)/100</f>
        <v>480666.6</v>
      </c>
      <c r="M2421" s="15" t="n">
        <v>0.4</v>
      </c>
      <c r="N2421" s="9" t="s">
        <v>85</v>
      </c>
    </row>
    <row r="2422" customFormat="false" ht="14.25" hidden="false" customHeight="true" outlineLevel="0" collapsed="false">
      <c r="B2422" s="9" t="s">
        <v>28</v>
      </c>
      <c r="C2422" s="9" t="n">
        <v>1185732</v>
      </c>
      <c r="D2422" s="10" t="n">
        <v>44441</v>
      </c>
      <c r="E2422" s="9" t="s">
        <v>50</v>
      </c>
      <c r="F2422" s="9" t="s">
        <v>96</v>
      </c>
      <c r="G2422" s="9" t="s">
        <v>97</v>
      </c>
      <c r="H2422" s="11" t="s">
        <v>21</v>
      </c>
      <c r="I2422" s="12" t="n">
        <v>50</v>
      </c>
      <c r="J2422" s="13" t="n">
        <v>725</v>
      </c>
      <c r="K2422" s="14" t="n">
        <f aca="false">I2422*J2422</f>
        <v>36250</v>
      </c>
      <c r="L2422" s="14" t="n">
        <f aca="false">($L$2*M2422)/100</f>
        <v>420583.275</v>
      </c>
      <c r="M2422" s="15" t="n">
        <v>0.35</v>
      </c>
      <c r="N2422" s="9" t="s">
        <v>85</v>
      </c>
    </row>
    <row r="2423" customFormat="false" ht="14.25" hidden="false" customHeight="true" outlineLevel="0" collapsed="false">
      <c r="B2423" s="9" t="s">
        <v>28</v>
      </c>
      <c r="C2423" s="9" t="n">
        <v>1185732</v>
      </c>
      <c r="D2423" s="10" t="n">
        <v>44441</v>
      </c>
      <c r="E2423" s="9" t="s">
        <v>50</v>
      </c>
      <c r="F2423" s="9" t="s">
        <v>96</v>
      </c>
      <c r="G2423" s="9" t="s">
        <v>97</v>
      </c>
      <c r="H2423" s="11" t="s">
        <v>22</v>
      </c>
      <c r="I2423" s="12" t="n">
        <v>30</v>
      </c>
      <c r="J2423" s="13" t="n">
        <v>625</v>
      </c>
      <c r="K2423" s="14" t="n">
        <f aca="false">I2423*J2423</f>
        <v>18750</v>
      </c>
      <c r="L2423" s="14" t="n">
        <f aca="false">($L$2*M2423)/100</f>
        <v>480666.6</v>
      </c>
      <c r="M2423" s="15" t="n">
        <v>0.4</v>
      </c>
      <c r="N2423" s="9" t="s">
        <v>85</v>
      </c>
    </row>
    <row r="2424" customFormat="false" ht="14.25" hidden="false" customHeight="true" outlineLevel="0" collapsed="false">
      <c r="B2424" s="9" t="s">
        <v>28</v>
      </c>
      <c r="C2424" s="9" t="n">
        <v>1185732</v>
      </c>
      <c r="D2424" s="10" t="n">
        <v>44441</v>
      </c>
      <c r="E2424" s="9" t="s">
        <v>50</v>
      </c>
      <c r="F2424" s="9" t="s">
        <v>96</v>
      </c>
      <c r="G2424" s="9" t="s">
        <v>97</v>
      </c>
      <c r="H2424" s="11" t="s">
        <v>23</v>
      </c>
      <c r="I2424" s="12" t="n">
        <v>30</v>
      </c>
      <c r="J2424" s="13" t="n">
        <v>600</v>
      </c>
      <c r="K2424" s="14" t="n">
        <f aca="false">I2424*J2424</f>
        <v>18000</v>
      </c>
      <c r="L2424" s="14" t="n">
        <f aca="false">($L$2*M2424)/100</f>
        <v>480666.6</v>
      </c>
      <c r="M2424" s="15" t="n">
        <v>0.4</v>
      </c>
      <c r="N2424" s="9" t="s">
        <v>85</v>
      </c>
    </row>
    <row r="2425" customFormat="false" ht="14.25" hidden="false" customHeight="true" outlineLevel="0" collapsed="false">
      <c r="B2425" s="9" t="s">
        <v>28</v>
      </c>
      <c r="C2425" s="9" t="n">
        <v>1185732</v>
      </c>
      <c r="D2425" s="10" t="n">
        <v>44441</v>
      </c>
      <c r="E2425" s="9" t="s">
        <v>50</v>
      </c>
      <c r="F2425" s="9" t="s">
        <v>96</v>
      </c>
      <c r="G2425" s="9" t="s">
        <v>97</v>
      </c>
      <c r="H2425" s="11" t="s">
        <v>24</v>
      </c>
      <c r="I2425" s="12" t="n">
        <v>40</v>
      </c>
      <c r="J2425" s="13" t="n">
        <v>600</v>
      </c>
      <c r="K2425" s="14" t="n">
        <f aca="false">I2425*J2425</f>
        <v>24000</v>
      </c>
      <c r="L2425" s="14" t="n">
        <f aca="false">($L$2*M2425)/100</f>
        <v>420583.275</v>
      </c>
      <c r="M2425" s="15" t="n">
        <v>0.35</v>
      </c>
      <c r="N2425" s="9" t="s">
        <v>85</v>
      </c>
    </row>
    <row r="2426" customFormat="false" ht="14.25" hidden="false" customHeight="true" outlineLevel="0" collapsed="false">
      <c r="B2426" s="9" t="s">
        <v>28</v>
      </c>
      <c r="C2426" s="9" t="n">
        <v>1185732</v>
      </c>
      <c r="D2426" s="10" t="n">
        <v>44441</v>
      </c>
      <c r="E2426" s="9" t="s">
        <v>50</v>
      </c>
      <c r="F2426" s="9" t="s">
        <v>96</v>
      </c>
      <c r="G2426" s="9" t="s">
        <v>97</v>
      </c>
      <c r="H2426" s="11" t="s">
        <v>25</v>
      </c>
      <c r="I2426" s="12" t="n">
        <v>45</v>
      </c>
      <c r="J2426" s="13" t="n">
        <v>700</v>
      </c>
      <c r="K2426" s="14" t="n">
        <f aca="false">I2426*J2426</f>
        <v>31500</v>
      </c>
      <c r="L2426" s="14" t="n">
        <f aca="false">($L$2*M2426)/100</f>
        <v>600833.25</v>
      </c>
      <c r="M2426" s="15" t="n">
        <v>0.5</v>
      </c>
      <c r="N2426" s="9" t="s">
        <v>85</v>
      </c>
    </row>
    <row r="2427" customFormat="false" ht="14.25" hidden="false" customHeight="true" outlineLevel="0" collapsed="false">
      <c r="B2427" s="9" t="s">
        <v>28</v>
      </c>
      <c r="C2427" s="9" t="n">
        <v>1185732</v>
      </c>
      <c r="D2427" s="10" t="n">
        <v>44473</v>
      </c>
      <c r="E2427" s="9" t="s">
        <v>50</v>
      </c>
      <c r="F2427" s="9" t="s">
        <v>96</v>
      </c>
      <c r="G2427" s="9" t="s">
        <v>97</v>
      </c>
      <c r="H2427" s="11" t="s">
        <v>19</v>
      </c>
      <c r="I2427" s="12" t="n">
        <v>45</v>
      </c>
      <c r="J2427" s="13" t="n">
        <v>875</v>
      </c>
      <c r="K2427" s="14" t="n">
        <f aca="false">I2427*J2427</f>
        <v>39375</v>
      </c>
      <c r="L2427" s="14" t="n">
        <f aca="false">($L$2*M2427)/100</f>
        <v>480666.6</v>
      </c>
      <c r="M2427" s="15" t="n">
        <v>0.4</v>
      </c>
      <c r="N2427" s="9" t="s">
        <v>85</v>
      </c>
    </row>
    <row r="2428" customFormat="false" ht="14.25" hidden="false" customHeight="true" outlineLevel="0" collapsed="false">
      <c r="B2428" s="9" t="s">
        <v>28</v>
      </c>
      <c r="C2428" s="9" t="n">
        <v>1185732</v>
      </c>
      <c r="D2428" s="10" t="n">
        <v>44473</v>
      </c>
      <c r="E2428" s="9" t="s">
        <v>50</v>
      </c>
      <c r="F2428" s="9" t="s">
        <v>96</v>
      </c>
      <c r="G2428" s="9" t="s">
        <v>97</v>
      </c>
      <c r="H2428" s="11" t="s">
        <v>21</v>
      </c>
      <c r="I2428" s="12" t="n">
        <v>35</v>
      </c>
      <c r="J2428" s="13" t="n">
        <v>700</v>
      </c>
      <c r="K2428" s="14" t="n">
        <f aca="false">I2428*J2428</f>
        <v>24500</v>
      </c>
      <c r="L2428" s="14" t="n">
        <f aca="false">($L$2*M2428)/100</f>
        <v>420583.275</v>
      </c>
      <c r="M2428" s="15" t="n">
        <v>0.35</v>
      </c>
      <c r="N2428" s="9" t="s">
        <v>85</v>
      </c>
    </row>
    <row r="2429" customFormat="false" ht="14.25" hidden="false" customHeight="true" outlineLevel="0" collapsed="false">
      <c r="B2429" s="9" t="s">
        <v>28</v>
      </c>
      <c r="C2429" s="9" t="n">
        <v>1185732</v>
      </c>
      <c r="D2429" s="10" t="n">
        <v>44473</v>
      </c>
      <c r="E2429" s="9" t="s">
        <v>50</v>
      </c>
      <c r="F2429" s="9" t="s">
        <v>96</v>
      </c>
      <c r="G2429" s="9" t="s">
        <v>97</v>
      </c>
      <c r="H2429" s="11" t="s">
        <v>22</v>
      </c>
      <c r="I2429" s="12" t="n">
        <v>35</v>
      </c>
      <c r="J2429" s="13" t="n">
        <v>575</v>
      </c>
      <c r="K2429" s="14" t="n">
        <f aca="false">I2429*J2429</f>
        <v>20125</v>
      </c>
      <c r="L2429" s="14" t="n">
        <f aca="false">($L$2*M2429)/100</f>
        <v>480666.6</v>
      </c>
      <c r="M2429" s="15" t="n">
        <v>0.4</v>
      </c>
      <c r="N2429" s="9" t="s">
        <v>85</v>
      </c>
    </row>
    <row r="2430" customFormat="false" ht="14.25" hidden="false" customHeight="true" outlineLevel="0" collapsed="false">
      <c r="B2430" s="9" t="s">
        <v>28</v>
      </c>
      <c r="C2430" s="9" t="n">
        <v>1185732</v>
      </c>
      <c r="D2430" s="10" t="n">
        <v>44473</v>
      </c>
      <c r="E2430" s="9" t="s">
        <v>50</v>
      </c>
      <c r="F2430" s="9" t="s">
        <v>96</v>
      </c>
      <c r="G2430" s="9" t="s">
        <v>97</v>
      </c>
      <c r="H2430" s="11" t="s">
        <v>23</v>
      </c>
      <c r="I2430" s="12" t="n">
        <v>35</v>
      </c>
      <c r="J2430" s="13" t="n">
        <v>550</v>
      </c>
      <c r="K2430" s="14" t="n">
        <f aca="false">I2430*J2430</f>
        <v>19250</v>
      </c>
      <c r="L2430" s="14" t="n">
        <f aca="false">($L$2*M2430)/100</f>
        <v>480666.6</v>
      </c>
      <c r="M2430" s="15" t="n">
        <v>0.4</v>
      </c>
      <c r="N2430" s="9" t="s">
        <v>85</v>
      </c>
    </row>
    <row r="2431" customFormat="false" ht="14.25" hidden="false" customHeight="true" outlineLevel="0" collapsed="false">
      <c r="B2431" s="9" t="s">
        <v>28</v>
      </c>
      <c r="C2431" s="9" t="n">
        <v>1185732</v>
      </c>
      <c r="D2431" s="10" t="n">
        <v>44473</v>
      </c>
      <c r="E2431" s="9" t="s">
        <v>50</v>
      </c>
      <c r="F2431" s="9" t="s">
        <v>96</v>
      </c>
      <c r="G2431" s="9" t="s">
        <v>97</v>
      </c>
      <c r="H2431" s="11" t="s">
        <v>24</v>
      </c>
      <c r="I2431" s="12" t="n">
        <v>45</v>
      </c>
      <c r="J2431" s="13" t="n">
        <v>550</v>
      </c>
      <c r="K2431" s="14" t="n">
        <f aca="false">I2431*J2431</f>
        <v>24750</v>
      </c>
      <c r="L2431" s="14" t="n">
        <f aca="false">($L$2*M2431)/100</f>
        <v>420583.275</v>
      </c>
      <c r="M2431" s="15" t="n">
        <v>0.35</v>
      </c>
      <c r="N2431" s="9" t="s">
        <v>85</v>
      </c>
    </row>
    <row r="2432" customFormat="false" ht="14.25" hidden="false" customHeight="true" outlineLevel="0" collapsed="false">
      <c r="B2432" s="9" t="s">
        <v>28</v>
      </c>
      <c r="C2432" s="9" t="n">
        <v>1185732</v>
      </c>
      <c r="D2432" s="10" t="n">
        <v>44473</v>
      </c>
      <c r="E2432" s="9" t="s">
        <v>50</v>
      </c>
      <c r="F2432" s="9" t="s">
        <v>96</v>
      </c>
      <c r="G2432" s="9" t="s">
        <v>97</v>
      </c>
      <c r="H2432" s="11" t="s">
        <v>25</v>
      </c>
      <c r="I2432" s="12" t="n">
        <v>50</v>
      </c>
      <c r="J2432" s="13" t="n">
        <v>675</v>
      </c>
      <c r="K2432" s="14" t="n">
        <f aca="false">I2432*J2432</f>
        <v>33750</v>
      </c>
      <c r="L2432" s="14" t="n">
        <f aca="false">($L$2*M2432)/100</f>
        <v>600833.25</v>
      </c>
      <c r="M2432" s="15" t="n">
        <v>0.5</v>
      </c>
      <c r="N2432" s="9" t="s">
        <v>85</v>
      </c>
    </row>
    <row r="2433" customFormat="false" ht="14.25" hidden="false" customHeight="true" outlineLevel="0" collapsed="false">
      <c r="B2433" s="9" t="s">
        <v>28</v>
      </c>
      <c r="C2433" s="9" t="n">
        <v>1185732</v>
      </c>
      <c r="D2433" s="10" t="n">
        <v>44503</v>
      </c>
      <c r="E2433" s="9" t="s">
        <v>50</v>
      </c>
      <c r="F2433" s="9" t="s">
        <v>96</v>
      </c>
      <c r="G2433" s="9" t="s">
        <v>97</v>
      </c>
      <c r="H2433" s="11" t="s">
        <v>19</v>
      </c>
      <c r="I2433" s="12" t="n">
        <v>45</v>
      </c>
      <c r="J2433" s="13" t="n">
        <v>825</v>
      </c>
      <c r="K2433" s="14" t="n">
        <f aca="false">I2433*J2433</f>
        <v>37125</v>
      </c>
      <c r="L2433" s="14" t="n">
        <f aca="false">($L$2*M2433)/100</f>
        <v>480666.6</v>
      </c>
      <c r="M2433" s="15" t="n">
        <v>0.4</v>
      </c>
      <c r="N2433" s="9" t="s">
        <v>85</v>
      </c>
    </row>
    <row r="2434" customFormat="false" ht="14.25" hidden="false" customHeight="true" outlineLevel="0" collapsed="false">
      <c r="B2434" s="9" t="s">
        <v>28</v>
      </c>
      <c r="C2434" s="9" t="n">
        <v>1185732</v>
      </c>
      <c r="D2434" s="10" t="n">
        <v>44503</v>
      </c>
      <c r="E2434" s="9" t="s">
        <v>50</v>
      </c>
      <c r="F2434" s="9" t="s">
        <v>96</v>
      </c>
      <c r="G2434" s="9" t="s">
        <v>97</v>
      </c>
      <c r="H2434" s="11" t="s">
        <v>21</v>
      </c>
      <c r="I2434" s="12" t="n">
        <v>35</v>
      </c>
      <c r="J2434" s="13" t="n">
        <v>650</v>
      </c>
      <c r="K2434" s="14" t="n">
        <f aca="false">I2434*J2434</f>
        <v>22750</v>
      </c>
      <c r="L2434" s="14" t="n">
        <f aca="false">($L$2*M2434)/100</f>
        <v>420583.275</v>
      </c>
      <c r="M2434" s="15" t="n">
        <v>0.35</v>
      </c>
      <c r="N2434" s="9" t="s">
        <v>85</v>
      </c>
    </row>
    <row r="2435" customFormat="false" ht="14.25" hidden="false" customHeight="true" outlineLevel="0" collapsed="false">
      <c r="B2435" s="9" t="s">
        <v>28</v>
      </c>
      <c r="C2435" s="9" t="n">
        <v>1185732</v>
      </c>
      <c r="D2435" s="10" t="n">
        <v>44503</v>
      </c>
      <c r="E2435" s="9" t="s">
        <v>50</v>
      </c>
      <c r="F2435" s="9" t="s">
        <v>96</v>
      </c>
      <c r="G2435" s="9" t="s">
        <v>97</v>
      </c>
      <c r="H2435" s="11" t="s">
        <v>22</v>
      </c>
      <c r="I2435" s="12" t="n">
        <v>40</v>
      </c>
      <c r="J2435" s="13" t="n">
        <v>595</v>
      </c>
      <c r="K2435" s="14" t="n">
        <f aca="false">I2435*J2435</f>
        <v>23800</v>
      </c>
      <c r="L2435" s="14" t="n">
        <f aca="false">($L$2*M2435)/100</f>
        <v>480666.6</v>
      </c>
      <c r="M2435" s="15" t="n">
        <v>0.4</v>
      </c>
      <c r="N2435" s="9" t="s">
        <v>85</v>
      </c>
    </row>
    <row r="2436" customFormat="false" ht="14.25" hidden="false" customHeight="true" outlineLevel="0" collapsed="false">
      <c r="B2436" s="9" t="s">
        <v>28</v>
      </c>
      <c r="C2436" s="9" t="n">
        <v>1185732</v>
      </c>
      <c r="D2436" s="10" t="n">
        <v>44503</v>
      </c>
      <c r="E2436" s="9" t="s">
        <v>50</v>
      </c>
      <c r="F2436" s="9" t="s">
        <v>96</v>
      </c>
      <c r="G2436" s="9" t="s">
        <v>97</v>
      </c>
      <c r="H2436" s="11" t="s">
        <v>23</v>
      </c>
      <c r="I2436" s="12" t="n">
        <v>60</v>
      </c>
      <c r="J2436" s="13" t="n">
        <v>650</v>
      </c>
      <c r="K2436" s="14" t="n">
        <f aca="false">I2436*J2436</f>
        <v>39000</v>
      </c>
      <c r="L2436" s="14" t="n">
        <f aca="false">($L$2*M2436)/100</f>
        <v>480666.6</v>
      </c>
      <c r="M2436" s="15" t="n">
        <v>0.4</v>
      </c>
      <c r="N2436" s="9" t="s">
        <v>85</v>
      </c>
    </row>
    <row r="2437" customFormat="false" ht="14.25" hidden="false" customHeight="true" outlineLevel="0" collapsed="false">
      <c r="B2437" s="9" t="s">
        <v>28</v>
      </c>
      <c r="C2437" s="9" t="n">
        <v>1185732</v>
      </c>
      <c r="D2437" s="10" t="n">
        <v>44503</v>
      </c>
      <c r="E2437" s="9" t="s">
        <v>50</v>
      </c>
      <c r="F2437" s="9" t="s">
        <v>96</v>
      </c>
      <c r="G2437" s="9" t="s">
        <v>97</v>
      </c>
      <c r="H2437" s="11" t="s">
        <v>24</v>
      </c>
      <c r="I2437" s="12" t="n">
        <v>75</v>
      </c>
      <c r="J2437" s="13" t="n">
        <v>625</v>
      </c>
      <c r="K2437" s="14" t="n">
        <f aca="false">I2437*J2437</f>
        <v>46875</v>
      </c>
      <c r="L2437" s="14" t="n">
        <f aca="false">($L$2*M2437)/100</f>
        <v>420583.275</v>
      </c>
      <c r="M2437" s="15" t="n">
        <v>0.35</v>
      </c>
      <c r="N2437" s="9" t="s">
        <v>85</v>
      </c>
    </row>
    <row r="2438" customFormat="false" ht="14.25" hidden="false" customHeight="true" outlineLevel="0" collapsed="false">
      <c r="B2438" s="9" t="s">
        <v>28</v>
      </c>
      <c r="C2438" s="9" t="n">
        <v>1185732</v>
      </c>
      <c r="D2438" s="10" t="n">
        <v>44503</v>
      </c>
      <c r="E2438" s="9" t="s">
        <v>50</v>
      </c>
      <c r="F2438" s="9" t="s">
        <v>96</v>
      </c>
      <c r="G2438" s="9" t="s">
        <v>97</v>
      </c>
      <c r="H2438" s="11" t="s">
        <v>25</v>
      </c>
      <c r="I2438" s="12" t="n">
        <v>75</v>
      </c>
      <c r="J2438" s="13" t="n">
        <v>725</v>
      </c>
      <c r="K2438" s="14" t="n">
        <f aca="false">I2438*J2438</f>
        <v>54375</v>
      </c>
      <c r="L2438" s="14" t="n">
        <f aca="false">($L$2*M2438)/100</f>
        <v>600833.25</v>
      </c>
      <c r="M2438" s="15" t="n">
        <v>0.5</v>
      </c>
      <c r="N2438" s="9" t="s">
        <v>85</v>
      </c>
    </row>
    <row r="2439" customFormat="false" ht="14.25" hidden="false" customHeight="true" outlineLevel="0" collapsed="false">
      <c r="B2439" s="9" t="s">
        <v>28</v>
      </c>
      <c r="C2439" s="9" t="n">
        <v>1185732</v>
      </c>
      <c r="D2439" s="10" t="n">
        <v>44532</v>
      </c>
      <c r="E2439" s="9" t="s">
        <v>50</v>
      </c>
      <c r="F2439" s="9" t="s">
        <v>96</v>
      </c>
      <c r="G2439" s="9" t="s">
        <v>97</v>
      </c>
      <c r="H2439" s="11" t="s">
        <v>19</v>
      </c>
      <c r="I2439" s="12" t="n">
        <v>70</v>
      </c>
      <c r="J2439" s="13" t="n">
        <v>975</v>
      </c>
      <c r="K2439" s="14" t="n">
        <f aca="false">I2439*J2439</f>
        <v>68250</v>
      </c>
      <c r="L2439" s="14" t="n">
        <f aca="false">($L$2*M2439)/100</f>
        <v>480666.6</v>
      </c>
      <c r="M2439" s="15" t="n">
        <v>0.4</v>
      </c>
      <c r="N2439" s="9" t="s">
        <v>85</v>
      </c>
    </row>
    <row r="2440" customFormat="false" ht="14.25" hidden="false" customHeight="true" outlineLevel="0" collapsed="false">
      <c r="B2440" s="9" t="s">
        <v>28</v>
      </c>
      <c r="C2440" s="9" t="n">
        <v>1185732</v>
      </c>
      <c r="D2440" s="10" t="n">
        <v>44532</v>
      </c>
      <c r="E2440" s="9" t="s">
        <v>50</v>
      </c>
      <c r="F2440" s="9" t="s">
        <v>96</v>
      </c>
      <c r="G2440" s="9" t="s">
        <v>97</v>
      </c>
      <c r="H2440" s="11" t="s">
        <v>21</v>
      </c>
      <c r="I2440" s="12" t="n">
        <v>60</v>
      </c>
      <c r="J2440" s="13" t="n">
        <v>775</v>
      </c>
      <c r="K2440" s="14" t="n">
        <f aca="false">I2440*J2440</f>
        <v>46500</v>
      </c>
      <c r="L2440" s="14" t="n">
        <f aca="false">($L$2*M2440)/100</f>
        <v>420583.275</v>
      </c>
      <c r="M2440" s="15" t="n">
        <v>0.35</v>
      </c>
      <c r="N2440" s="9" t="s">
        <v>85</v>
      </c>
    </row>
    <row r="2441" customFormat="false" ht="14.25" hidden="false" customHeight="true" outlineLevel="0" collapsed="false">
      <c r="B2441" s="9" t="s">
        <v>63</v>
      </c>
      <c r="C2441" s="9" t="n">
        <v>1185732</v>
      </c>
      <c r="D2441" s="10" t="n">
        <v>44532</v>
      </c>
      <c r="E2441" s="9" t="s">
        <v>50</v>
      </c>
      <c r="F2441" s="9" t="s">
        <v>96</v>
      </c>
      <c r="G2441" s="9" t="s">
        <v>97</v>
      </c>
      <c r="H2441" s="11" t="s">
        <v>22</v>
      </c>
      <c r="I2441" s="12" t="n">
        <v>60</v>
      </c>
      <c r="J2441" s="13" t="n">
        <v>725</v>
      </c>
      <c r="K2441" s="14" t="n">
        <f aca="false">I2441*J2441</f>
        <v>43500</v>
      </c>
      <c r="L2441" s="14" t="n">
        <f aca="false">($L$2*M2441)/100</f>
        <v>480666.6</v>
      </c>
      <c r="M2441" s="15" t="n">
        <v>0.4</v>
      </c>
      <c r="N2441" s="9" t="s">
        <v>85</v>
      </c>
    </row>
    <row r="2442" customFormat="false" ht="14.25" hidden="false" customHeight="true" outlineLevel="0" collapsed="false">
      <c r="B2442" s="9" t="s">
        <v>63</v>
      </c>
      <c r="C2442" s="9" t="n">
        <v>1185732</v>
      </c>
      <c r="D2442" s="10" t="n">
        <v>44532</v>
      </c>
      <c r="E2442" s="9" t="s">
        <v>50</v>
      </c>
      <c r="F2442" s="9" t="s">
        <v>96</v>
      </c>
      <c r="G2442" s="9" t="s">
        <v>97</v>
      </c>
      <c r="H2442" s="11" t="s">
        <v>23</v>
      </c>
      <c r="I2442" s="12" t="n">
        <v>60</v>
      </c>
      <c r="J2442" s="13" t="n">
        <v>675</v>
      </c>
      <c r="K2442" s="14" t="n">
        <f aca="false">I2442*J2442</f>
        <v>40500</v>
      </c>
      <c r="L2442" s="14" t="n">
        <f aca="false">($L$2*M2442)/100</f>
        <v>480666.6</v>
      </c>
      <c r="M2442" s="15" t="n">
        <v>0.4</v>
      </c>
      <c r="N2442" s="9" t="s">
        <v>85</v>
      </c>
    </row>
    <row r="2443" customFormat="false" ht="14.25" hidden="false" customHeight="true" outlineLevel="0" collapsed="false">
      <c r="B2443" s="9" t="s">
        <v>63</v>
      </c>
      <c r="C2443" s="9" t="n">
        <v>1185732</v>
      </c>
      <c r="D2443" s="10" t="n">
        <v>44532</v>
      </c>
      <c r="E2443" s="9" t="s">
        <v>50</v>
      </c>
      <c r="F2443" s="9" t="s">
        <v>96</v>
      </c>
      <c r="G2443" s="9" t="s">
        <v>97</v>
      </c>
      <c r="H2443" s="11" t="s">
        <v>24</v>
      </c>
      <c r="I2443" s="12" t="n">
        <v>70</v>
      </c>
      <c r="J2443" s="13" t="n">
        <v>675</v>
      </c>
      <c r="K2443" s="14" t="n">
        <f aca="false">I2443*J2443</f>
        <v>47250</v>
      </c>
      <c r="L2443" s="14" t="n">
        <f aca="false">($L$2*M2443)/100</f>
        <v>420583.275</v>
      </c>
      <c r="M2443" s="15" t="n">
        <v>0.35</v>
      </c>
      <c r="N2443" s="9" t="s">
        <v>85</v>
      </c>
    </row>
    <row r="2444" customFormat="false" ht="14.25" hidden="false" customHeight="true" outlineLevel="0" collapsed="false">
      <c r="B2444" s="9" t="s">
        <v>63</v>
      </c>
      <c r="C2444" s="9" t="n">
        <v>1185732</v>
      </c>
      <c r="D2444" s="10" t="n">
        <v>44532</v>
      </c>
      <c r="E2444" s="9" t="s">
        <v>50</v>
      </c>
      <c r="F2444" s="9" t="s">
        <v>96</v>
      </c>
      <c r="G2444" s="9" t="s">
        <v>97</v>
      </c>
      <c r="H2444" s="11" t="s">
        <v>25</v>
      </c>
      <c r="I2444" s="12" t="n">
        <v>75</v>
      </c>
      <c r="J2444" s="13" t="n">
        <v>775</v>
      </c>
      <c r="K2444" s="14" t="n">
        <f aca="false">I2444*J2444</f>
        <v>58125</v>
      </c>
      <c r="L2444" s="14" t="n">
        <f aca="false">($L$2*M2444)/100</f>
        <v>600833.25</v>
      </c>
      <c r="M2444" s="15" t="n">
        <v>0.5</v>
      </c>
      <c r="N2444" s="9" t="s">
        <v>85</v>
      </c>
    </row>
    <row r="2445" customFormat="false" ht="14.25" hidden="false" customHeight="true" outlineLevel="0" collapsed="false">
      <c r="B2445" s="9" t="s">
        <v>63</v>
      </c>
      <c r="C2445" s="9" t="n">
        <v>1185732</v>
      </c>
      <c r="D2445" s="10" t="n">
        <v>44209</v>
      </c>
      <c r="E2445" s="9" t="s">
        <v>50</v>
      </c>
      <c r="F2445" s="9" t="s">
        <v>96</v>
      </c>
      <c r="G2445" s="9" t="s">
        <v>97</v>
      </c>
      <c r="H2445" s="11" t="s">
        <v>19</v>
      </c>
      <c r="I2445" s="12" t="n">
        <v>35</v>
      </c>
      <c r="J2445" s="13" t="n">
        <v>775</v>
      </c>
      <c r="K2445" s="14" t="n">
        <f aca="false">I2445*J2445</f>
        <v>27125</v>
      </c>
      <c r="L2445" s="14" t="n">
        <f aca="false">($L$2*M2445)/100</f>
        <v>480666.6</v>
      </c>
      <c r="M2445" s="15" t="n">
        <v>0.4</v>
      </c>
      <c r="N2445" s="9" t="s">
        <v>85</v>
      </c>
    </row>
    <row r="2446" customFormat="false" ht="14.25" hidden="false" customHeight="true" outlineLevel="0" collapsed="false">
      <c r="B2446" s="9" t="s">
        <v>63</v>
      </c>
      <c r="C2446" s="9" t="n">
        <v>1185732</v>
      </c>
      <c r="D2446" s="10" t="n">
        <v>44209</v>
      </c>
      <c r="E2446" s="9" t="s">
        <v>50</v>
      </c>
      <c r="F2446" s="9" t="s">
        <v>96</v>
      </c>
      <c r="G2446" s="9" t="s">
        <v>97</v>
      </c>
      <c r="H2446" s="11" t="s">
        <v>21</v>
      </c>
      <c r="I2446" s="12" t="n">
        <v>35</v>
      </c>
      <c r="J2446" s="13" t="n">
        <v>575</v>
      </c>
      <c r="K2446" s="14" t="n">
        <f aca="false">I2446*J2446</f>
        <v>20125</v>
      </c>
      <c r="L2446" s="14" t="n">
        <f aca="false">($L$2*M2446)/100</f>
        <v>420583.275</v>
      </c>
      <c r="M2446" s="15" t="n">
        <v>0.35</v>
      </c>
      <c r="N2446" s="9" t="s">
        <v>85</v>
      </c>
    </row>
    <row r="2447" customFormat="false" ht="14.25" hidden="false" customHeight="true" outlineLevel="0" collapsed="false">
      <c r="B2447" s="9" t="s">
        <v>63</v>
      </c>
      <c r="C2447" s="9" t="n">
        <v>1185732</v>
      </c>
      <c r="D2447" s="10" t="n">
        <v>44209</v>
      </c>
      <c r="E2447" s="9" t="s">
        <v>50</v>
      </c>
      <c r="F2447" s="9" t="s">
        <v>96</v>
      </c>
      <c r="G2447" s="9" t="s">
        <v>97</v>
      </c>
      <c r="H2447" s="11" t="s">
        <v>22</v>
      </c>
      <c r="I2447" s="12" t="n">
        <v>25</v>
      </c>
      <c r="J2447" s="13" t="n">
        <v>575</v>
      </c>
      <c r="K2447" s="14" t="n">
        <f aca="false">I2447*J2447</f>
        <v>14375</v>
      </c>
      <c r="L2447" s="14" t="n">
        <f aca="false">($L$2*M2447)/100</f>
        <v>480666.6</v>
      </c>
      <c r="M2447" s="15" t="n">
        <v>0.4</v>
      </c>
      <c r="N2447" s="9" t="s">
        <v>85</v>
      </c>
    </row>
    <row r="2448" customFormat="false" ht="14.25" hidden="false" customHeight="true" outlineLevel="0" collapsed="false">
      <c r="B2448" s="9" t="s">
        <v>63</v>
      </c>
      <c r="C2448" s="9" t="n">
        <v>1185732</v>
      </c>
      <c r="D2448" s="10" t="n">
        <v>44209</v>
      </c>
      <c r="E2448" s="9" t="s">
        <v>50</v>
      </c>
      <c r="F2448" s="9" t="s">
        <v>96</v>
      </c>
      <c r="G2448" s="9" t="s">
        <v>97</v>
      </c>
      <c r="H2448" s="11" t="s">
        <v>23</v>
      </c>
      <c r="I2448" s="12" t="n">
        <v>30</v>
      </c>
      <c r="J2448" s="13" t="n">
        <v>425</v>
      </c>
      <c r="K2448" s="14" t="n">
        <f aca="false">I2448*J2448</f>
        <v>12750</v>
      </c>
      <c r="L2448" s="14" t="n">
        <f aca="false">($L$2*M2448)/100</f>
        <v>480666.6</v>
      </c>
      <c r="M2448" s="15" t="n">
        <v>0.4</v>
      </c>
      <c r="N2448" s="9" t="s">
        <v>85</v>
      </c>
    </row>
    <row r="2449" customFormat="false" ht="14.25" hidden="false" customHeight="true" outlineLevel="0" collapsed="false">
      <c r="B2449" s="9" t="s">
        <v>63</v>
      </c>
      <c r="C2449" s="9" t="n">
        <v>1185732</v>
      </c>
      <c r="D2449" s="10" t="n">
        <v>44209</v>
      </c>
      <c r="E2449" s="9" t="s">
        <v>50</v>
      </c>
      <c r="F2449" s="9" t="s">
        <v>96</v>
      </c>
      <c r="G2449" s="9" t="s">
        <v>97</v>
      </c>
      <c r="H2449" s="11" t="s">
        <v>24</v>
      </c>
      <c r="I2449" s="12" t="n">
        <v>45</v>
      </c>
      <c r="J2449" s="13" t="n">
        <v>475</v>
      </c>
      <c r="K2449" s="14" t="n">
        <f aca="false">I2449*J2449</f>
        <v>21375</v>
      </c>
      <c r="L2449" s="14" t="n">
        <f aca="false">($L$2*M2449)/100</f>
        <v>420583.275</v>
      </c>
      <c r="M2449" s="15" t="n">
        <v>0.35</v>
      </c>
      <c r="N2449" s="9" t="s">
        <v>85</v>
      </c>
    </row>
    <row r="2450" customFormat="false" ht="14.25" hidden="false" customHeight="true" outlineLevel="0" collapsed="false">
      <c r="B2450" s="9" t="s">
        <v>63</v>
      </c>
      <c r="C2450" s="9" t="n">
        <v>1185732</v>
      </c>
      <c r="D2450" s="10" t="n">
        <v>44209</v>
      </c>
      <c r="E2450" s="9" t="s">
        <v>50</v>
      </c>
      <c r="F2450" s="9" t="s">
        <v>96</v>
      </c>
      <c r="G2450" s="9" t="s">
        <v>97</v>
      </c>
      <c r="H2450" s="11" t="s">
        <v>25</v>
      </c>
      <c r="I2450" s="12" t="n">
        <v>35</v>
      </c>
      <c r="J2450" s="13" t="n">
        <v>575</v>
      </c>
      <c r="K2450" s="14" t="n">
        <f aca="false">I2450*J2450</f>
        <v>20125</v>
      </c>
      <c r="L2450" s="14" t="n">
        <f aca="false">($L$2*M2450)/100</f>
        <v>600833.25</v>
      </c>
      <c r="M2450" s="15" t="n">
        <v>0.5</v>
      </c>
      <c r="N2450" s="9" t="s">
        <v>85</v>
      </c>
    </row>
    <row r="2451" customFormat="false" ht="14.25" hidden="false" customHeight="true" outlineLevel="0" collapsed="false">
      <c r="B2451" s="9" t="s">
        <v>63</v>
      </c>
      <c r="C2451" s="9" t="n">
        <v>1185732</v>
      </c>
      <c r="D2451" s="10" t="n">
        <v>44238</v>
      </c>
      <c r="E2451" s="9" t="s">
        <v>50</v>
      </c>
      <c r="F2451" s="9" t="s">
        <v>96</v>
      </c>
      <c r="G2451" s="9" t="s">
        <v>97</v>
      </c>
      <c r="H2451" s="11" t="s">
        <v>19</v>
      </c>
      <c r="I2451" s="12" t="n">
        <v>35</v>
      </c>
      <c r="J2451" s="13" t="n">
        <v>825</v>
      </c>
      <c r="K2451" s="14" t="n">
        <f aca="false">I2451*J2451</f>
        <v>28875</v>
      </c>
      <c r="L2451" s="14" t="n">
        <f aca="false">($L$2*M2451)/100</f>
        <v>480666.6</v>
      </c>
      <c r="M2451" s="15" t="n">
        <v>0.4</v>
      </c>
      <c r="N2451" s="9" t="s">
        <v>85</v>
      </c>
    </row>
    <row r="2452" customFormat="false" ht="14.25" hidden="false" customHeight="true" outlineLevel="0" collapsed="false">
      <c r="B2452" s="9" t="s">
        <v>63</v>
      </c>
      <c r="C2452" s="9" t="n">
        <v>1185732</v>
      </c>
      <c r="D2452" s="10" t="n">
        <v>44238</v>
      </c>
      <c r="E2452" s="9" t="s">
        <v>50</v>
      </c>
      <c r="F2452" s="9" t="s">
        <v>96</v>
      </c>
      <c r="G2452" s="9" t="s">
        <v>97</v>
      </c>
      <c r="H2452" s="11" t="s">
        <v>21</v>
      </c>
      <c r="I2452" s="12" t="n">
        <v>35</v>
      </c>
      <c r="J2452" s="13" t="n">
        <v>475</v>
      </c>
      <c r="K2452" s="14" t="n">
        <f aca="false">I2452*J2452</f>
        <v>16625</v>
      </c>
      <c r="L2452" s="14" t="n">
        <f aca="false">($L$2*M2452)/100</f>
        <v>420583.275</v>
      </c>
      <c r="M2452" s="15" t="n">
        <v>0.35</v>
      </c>
      <c r="N2452" s="9" t="s">
        <v>85</v>
      </c>
    </row>
    <row r="2453" customFormat="false" ht="14.25" hidden="false" customHeight="true" outlineLevel="0" collapsed="false">
      <c r="B2453" s="9" t="s">
        <v>63</v>
      </c>
      <c r="C2453" s="9" t="n">
        <v>1185732</v>
      </c>
      <c r="D2453" s="10" t="n">
        <v>44238</v>
      </c>
      <c r="E2453" s="9" t="s">
        <v>50</v>
      </c>
      <c r="F2453" s="9" t="s">
        <v>96</v>
      </c>
      <c r="G2453" s="9" t="s">
        <v>97</v>
      </c>
      <c r="H2453" s="11" t="s">
        <v>22</v>
      </c>
      <c r="I2453" s="12" t="n">
        <v>25</v>
      </c>
      <c r="J2453" s="13" t="n">
        <v>525</v>
      </c>
      <c r="K2453" s="14" t="n">
        <f aca="false">I2453*J2453</f>
        <v>13125</v>
      </c>
      <c r="L2453" s="14" t="n">
        <f aca="false">($L$2*M2453)/100</f>
        <v>480666.6</v>
      </c>
      <c r="M2453" s="15" t="n">
        <v>0.4</v>
      </c>
      <c r="N2453" s="9" t="s">
        <v>85</v>
      </c>
    </row>
    <row r="2454" customFormat="false" ht="14.25" hidden="false" customHeight="true" outlineLevel="0" collapsed="false">
      <c r="B2454" s="9" t="s">
        <v>63</v>
      </c>
      <c r="C2454" s="9" t="n">
        <v>1185732</v>
      </c>
      <c r="D2454" s="10" t="n">
        <v>44238</v>
      </c>
      <c r="E2454" s="9" t="s">
        <v>38</v>
      </c>
      <c r="F2454" s="9" t="s">
        <v>98</v>
      </c>
      <c r="G2454" s="9" t="s">
        <v>99</v>
      </c>
      <c r="H2454" s="11" t="s">
        <v>23</v>
      </c>
      <c r="I2454" s="12" t="n">
        <v>30</v>
      </c>
      <c r="J2454" s="13" t="n">
        <v>375</v>
      </c>
      <c r="K2454" s="14" t="n">
        <f aca="false">I2454*J2454</f>
        <v>11250</v>
      </c>
      <c r="L2454" s="14" t="n">
        <f aca="false">($L$2*M2454)/100</f>
        <v>480666.6</v>
      </c>
      <c r="M2454" s="15" t="n">
        <v>0.4</v>
      </c>
      <c r="N2454" s="9" t="s">
        <v>85</v>
      </c>
    </row>
    <row r="2455" customFormat="false" ht="14.25" hidden="false" customHeight="true" outlineLevel="0" collapsed="false">
      <c r="B2455" s="9" t="s">
        <v>63</v>
      </c>
      <c r="C2455" s="9" t="n">
        <v>1185732</v>
      </c>
      <c r="D2455" s="10" t="n">
        <v>44238</v>
      </c>
      <c r="E2455" s="9" t="s">
        <v>38</v>
      </c>
      <c r="F2455" s="9" t="s">
        <v>98</v>
      </c>
      <c r="G2455" s="9" t="s">
        <v>99</v>
      </c>
      <c r="H2455" s="11" t="s">
        <v>24</v>
      </c>
      <c r="I2455" s="12" t="n">
        <v>45</v>
      </c>
      <c r="J2455" s="13" t="n">
        <v>450</v>
      </c>
      <c r="K2455" s="14" t="n">
        <f aca="false">I2455*J2455</f>
        <v>20250</v>
      </c>
      <c r="L2455" s="14" t="n">
        <f aca="false">($L$2*M2455)/100</f>
        <v>420583.275</v>
      </c>
      <c r="M2455" s="15" t="n">
        <v>0.35</v>
      </c>
      <c r="N2455" s="9" t="s">
        <v>85</v>
      </c>
    </row>
    <row r="2456" customFormat="false" ht="14.25" hidden="false" customHeight="true" outlineLevel="0" collapsed="false">
      <c r="B2456" s="9" t="s">
        <v>63</v>
      </c>
      <c r="C2456" s="9" t="n">
        <v>1185732</v>
      </c>
      <c r="D2456" s="10" t="n">
        <v>44238</v>
      </c>
      <c r="E2456" s="9" t="s">
        <v>38</v>
      </c>
      <c r="F2456" s="9" t="s">
        <v>98</v>
      </c>
      <c r="G2456" s="9" t="s">
        <v>99</v>
      </c>
      <c r="H2456" s="11" t="s">
        <v>25</v>
      </c>
      <c r="I2456" s="12" t="n">
        <v>30</v>
      </c>
      <c r="J2456" s="13" t="n">
        <v>550</v>
      </c>
      <c r="K2456" s="14" t="n">
        <f aca="false">I2456*J2456</f>
        <v>16500</v>
      </c>
      <c r="L2456" s="14" t="n">
        <f aca="false">($L$2*M2456)/100</f>
        <v>600833.25</v>
      </c>
      <c r="M2456" s="15" t="n">
        <v>0.5</v>
      </c>
      <c r="N2456" s="9" t="s">
        <v>85</v>
      </c>
    </row>
    <row r="2457" customFormat="false" ht="14.25" hidden="false" customHeight="true" outlineLevel="0" collapsed="false">
      <c r="B2457" s="9" t="s">
        <v>63</v>
      </c>
      <c r="C2457" s="9" t="n">
        <v>1185732</v>
      </c>
      <c r="D2457" s="10" t="n">
        <v>44264</v>
      </c>
      <c r="E2457" s="9" t="s">
        <v>38</v>
      </c>
      <c r="F2457" s="9" t="s">
        <v>98</v>
      </c>
      <c r="G2457" s="9" t="s">
        <v>99</v>
      </c>
      <c r="H2457" s="11" t="s">
        <v>19</v>
      </c>
      <c r="I2457" s="12" t="n">
        <v>30</v>
      </c>
      <c r="J2457" s="13" t="n">
        <v>770</v>
      </c>
      <c r="K2457" s="14" t="n">
        <f aca="false">I2457*J2457</f>
        <v>23100</v>
      </c>
      <c r="L2457" s="14" t="n">
        <f aca="false">($L$2*M2457)/100</f>
        <v>480666.6</v>
      </c>
      <c r="M2457" s="15" t="n">
        <v>0.4</v>
      </c>
      <c r="N2457" s="9" t="s">
        <v>85</v>
      </c>
    </row>
    <row r="2458" customFormat="false" ht="14.25" hidden="false" customHeight="true" outlineLevel="0" collapsed="false">
      <c r="B2458" s="9" t="s">
        <v>63</v>
      </c>
      <c r="C2458" s="9" t="n">
        <v>1185732</v>
      </c>
      <c r="D2458" s="10" t="n">
        <v>44264</v>
      </c>
      <c r="E2458" s="9" t="s">
        <v>38</v>
      </c>
      <c r="F2458" s="9" t="s">
        <v>98</v>
      </c>
      <c r="G2458" s="9" t="s">
        <v>99</v>
      </c>
      <c r="H2458" s="11" t="s">
        <v>21</v>
      </c>
      <c r="I2458" s="12" t="n">
        <v>30</v>
      </c>
      <c r="J2458" s="13" t="n">
        <v>450</v>
      </c>
      <c r="K2458" s="14" t="n">
        <f aca="false">I2458*J2458</f>
        <v>13500</v>
      </c>
      <c r="L2458" s="14" t="n">
        <f aca="false">($L$2*M2458)/100</f>
        <v>420583.275</v>
      </c>
      <c r="M2458" s="15" t="n">
        <v>0.35</v>
      </c>
      <c r="N2458" s="9" t="s">
        <v>85</v>
      </c>
    </row>
    <row r="2459" customFormat="false" ht="14.25" hidden="false" customHeight="true" outlineLevel="0" collapsed="false">
      <c r="B2459" s="9" t="s">
        <v>63</v>
      </c>
      <c r="C2459" s="9" t="n">
        <v>1185732</v>
      </c>
      <c r="D2459" s="10" t="n">
        <v>44264</v>
      </c>
      <c r="E2459" s="9" t="s">
        <v>38</v>
      </c>
      <c r="F2459" s="9" t="s">
        <v>98</v>
      </c>
      <c r="G2459" s="9" t="s">
        <v>99</v>
      </c>
      <c r="H2459" s="11" t="s">
        <v>22</v>
      </c>
      <c r="I2459" s="12" t="n">
        <v>20</v>
      </c>
      <c r="J2459" s="13" t="n">
        <v>475</v>
      </c>
      <c r="K2459" s="14" t="n">
        <f aca="false">I2459*J2459</f>
        <v>9500</v>
      </c>
      <c r="L2459" s="14" t="n">
        <f aca="false">($L$2*M2459)/100</f>
        <v>480666.6</v>
      </c>
      <c r="M2459" s="15" t="n">
        <v>0.4</v>
      </c>
      <c r="N2459" s="9" t="s">
        <v>85</v>
      </c>
    </row>
    <row r="2460" customFormat="false" ht="14.25" hidden="false" customHeight="true" outlineLevel="0" collapsed="false">
      <c r="B2460" s="9" t="s">
        <v>63</v>
      </c>
      <c r="C2460" s="9" t="n">
        <v>1185732</v>
      </c>
      <c r="D2460" s="10" t="n">
        <v>44264</v>
      </c>
      <c r="E2460" s="9" t="s">
        <v>38</v>
      </c>
      <c r="F2460" s="9" t="s">
        <v>98</v>
      </c>
      <c r="G2460" s="9" t="s">
        <v>99</v>
      </c>
      <c r="H2460" s="11" t="s">
        <v>23</v>
      </c>
      <c r="I2460" s="12" t="n">
        <v>25</v>
      </c>
      <c r="J2460" s="13" t="n">
        <v>325</v>
      </c>
      <c r="K2460" s="14" t="n">
        <f aca="false">I2460*J2460</f>
        <v>8125</v>
      </c>
      <c r="L2460" s="14" t="n">
        <f aca="false">($L$2*M2460)/100</f>
        <v>480666.6</v>
      </c>
      <c r="M2460" s="15" t="n">
        <v>0.4</v>
      </c>
      <c r="N2460" s="9" t="s">
        <v>85</v>
      </c>
    </row>
    <row r="2461" customFormat="false" ht="14.25" hidden="false" customHeight="true" outlineLevel="0" collapsed="false">
      <c r="B2461" s="9" t="s">
        <v>63</v>
      </c>
      <c r="C2461" s="9" t="n">
        <v>1185732</v>
      </c>
      <c r="D2461" s="10" t="n">
        <v>44264</v>
      </c>
      <c r="E2461" s="9" t="s">
        <v>38</v>
      </c>
      <c r="F2461" s="9" t="s">
        <v>98</v>
      </c>
      <c r="G2461" s="9" t="s">
        <v>99</v>
      </c>
      <c r="H2461" s="11" t="s">
        <v>24</v>
      </c>
      <c r="I2461" s="12" t="n">
        <v>40</v>
      </c>
      <c r="J2461" s="13" t="n">
        <v>375</v>
      </c>
      <c r="K2461" s="14" t="n">
        <f aca="false">I2461*J2461</f>
        <v>15000</v>
      </c>
      <c r="L2461" s="14" t="n">
        <f aca="false">($L$2*M2461)/100</f>
        <v>420583.275</v>
      </c>
      <c r="M2461" s="15" t="n">
        <v>0.35</v>
      </c>
      <c r="N2461" s="9" t="s">
        <v>85</v>
      </c>
    </row>
    <row r="2462" customFormat="false" ht="14.25" hidden="false" customHeight="true" outlineLevel="0" collapsed="false">
      <c r="B2462" s="9" t="s">
        <v>63</v>
      </c>
      <c r="C2462" s="9" t="n">
        <v>1185732</v>
      </c>
      <c r="D2462" s="10" t="n">
        <v>44264</v>
      </c>
      <c r="E2462" s="9" t="s">
        <v>38</v>
      </c>
      <c r="F2462" s="9" t="s">
        <v>98</v>
      </c>
      <c r="G2462" s="9" t="s">
        <v>99</v>
      </c>
      <c r="H2462" s="11" t="s">
        <v>25</v>
      </c>
      <c r="I2462" s="12" t="n">
        <v>30</v>
      </c>
      <c r="J2462" s="13" t="n">
        <v>475</v>
      </c>
      <c r="K2462" s="14" t="n">
        <f aca="false">I2462*J2462</f>
        <v>14250</v>
      </c>
      <c r="L2462" s="14" t="n">
        <f aca="false">($L$2*M2462)/100</f>
        <v>600833.25</v>
      </c>
      <c r="M2462" s="15" t="n">
        <v>0.5</v>
      </c>
      <c r="N2462" s="9" t="s">
        <v>85</v>
      </c>
    </row>
    <row r="2463" customFormat="false" ht="14.25" hidden="false" customHeight="true" outlineLevel="0" collapsed="false">
      <c r="B2463" s="9" t="s">
        <v>63</v>
      </c>
      <c r="C2463" s="9" t="n">
        <v>1185732</v>
      </c>
      <c r="D2463" s="10" t="n">
        <v>44296</v>
      </c>
      <c r="E2463" s="9" t="s">
        <v>38</v>
      </c>
      <c r="F2463" s="9" t="s">
        <v>98</v>
      </c>
      <c r="G2463" s="9" t="s">
        <v>99</v>
      </c>
      <c r="H2463" s="11" t="s">
        <v>19</v>
      </c>
      <c r="I2463" s="12" t="n">
        <v>30</v>
      </c>
      <c r="J2463" s="13" t="n">
        <v>725</v>
      </c>
      <c r="K2463" s="14" t="n">
        <f aca="false">I2463*J2463</f>
        <v>21750</v>
      </c>
      <c r="L2463" s="14" t="n">
        <f aca="false">($L$2*M2463)/100</f>
        <v>480666.6</v>
      </c>
      <c r="M2463" s="15" t="n">
        <v>0.4</v>
      </c>
      <c r="N2463" s="9" t="s">
        <v>85</v>
      </c>
    </row>
    <row r="2464" customFormat="false" ht="14.25" hidden="false" customHeight="true" outlineLevel="0" collapsed="false">
      <c r="B2464" s="9" t="s">
        <v>63</v>
      </c>
      <c r="C2464" s="9" t="n">
        <v>1185732</v>
      </c>
      <c r="D2464" s="10" t="n">
        <v>44296</v>
      </c>
      <c r="E2464" s="9" t="s">
        <v>38</v>
      </c>
      <c r="F2464" s="9" t="s">
        <v>98</v>
      </c>
      <c r="G2464" s="9" t="s">
        <v>99</v>
      </c>
      <c r="H2464" s="11" t="s">
        <v>21</v>
      </c>
      <c r="I2464" s="12" t="n">
        <v>30</v>
      </c>
      <c r="J2464" s="13" t="n">
        <v>425</v>
      </c>
      <c r="K2464" s="14" t="n">
        <f aca="false">I2464*J2464</f>
        <v>12750</v>
      </c>
      <c r="L2464" s="14" t="n">
        <f aca="false">($L$2*M2464)/100</f>
        <v>420583.275</v>
      </c>
      <c r="M2464" s="15" t="n">
        <v>0.35</v>
      </c>
      <c r="N2464" s="9" t="s">
        <v>85</v>
      </c>
    </row>
    <row r="2465" customFormat="false" ht="14.25" hidden="false" customHeight="true" outlineLevel="0" collapsed="false">
      <c r="B2465" s="9" t="s">
        <v>63</v>
      </c>
      <c r="C2465" s="9" t="n">
        <v>1185732</v>
      </c>
      <c r="D2465" s="10" t="n">
        <v>44296</v>
      </c>
      <c r="E2465" s="9" t="s">
        <v>38</v>
      </c>
      <c r="F2465" s="9" t="s">
        <v>98</v>
      </c>
      <c r="G2465" s="9" t="s">
        <v>99</v>
      </c>
      <c r="H2465" s="11" t="s">
        <v>22</v>
      </c>
      <c r="I2465" s="12" t="n">
        <v>20</v>
      </c>
      <c r="J2465" s="13" t="n">
        <v>425</v>
      </c>
      <c r="K2465" s="14" t="n">
        <f aca="false">I2465*J2465</f>
        <v>8500</v>
      </c>
      <c r="L2465" s="14" t="n">
        <f aca="false">($L$2*M2465)/100</f>
        <v>480666.6</v>
      </c>
      <c r="M2465" s="15" t="n">
        <v>0.4</v>
      </c>
      <c r="N2465" s="9" t="s">
        <v>85</v>
      </c>
    </row>
    <row r="2466" customFormat="false" ht="14.25" hidden="false" customHeight="true" outlineLevel="0" collapsed="false">
      <c r="B2466" s="9" t="s">
        <v>63</v>
      </c>
      <c r="C2466" s="9" t="n">
        <v>1185732</v>
      </c>
      <c r="D2466" s="10" t="n">
        <v>44296</v>
      </c>
      <c r="E2466" s="9" t="s">
        <v>38</v>
      </c>
      <c r="F2466" s="9" t="s">
        <v>98</v>
      </c>
      <c r="G2466" s="9" t="s">
        <v>99</v>
      </c>
      <c r="H2466" s="11" t="s">
        <v>23</v>
      </c>
      <c r="I2466" s="12" t="n">
        <v>25</v>
      </c>
      <c r="J2466" s="13" t="n">
        <v>350</v>
      </c>
      <c r="K2466" s="14" t="n">
        <f aca="false">I2466*J2466</f>
        <v>8750</v>
      </c>
      <c r="L2466" s="14" t="n">
        <f aca="false">($L$2*M2466)/100</f>
        <v>480666.6</v>
      </c>
      <c r="M2466" s="15" t="n">
        <v>0.4</v>
      </c>
      <c r="N2466" s="9" t="s">
        <v>85</v>
      </c>
    </row>
    <row r="2467" customFormat="false" ht="14.25" hidden="false" customHeight="true" outlineLevel="0" collapsed="false">
      <c r="B2467" s="9" t="s">
        <v>63</v>
      </c>
      <c r="C2467" s="9" t="n">
        <v>1185732</v>
      </c>
      <c r="D2467" s="10" t="n">
        <v>44296</v>
      </c>
      <c r="E2467" s="9" t="s">
        <v>38</v>
      </c>
      <c r="F2467" s="9" t="s">
        <v>98</v>
      </c>
      <c r="G2467" s="9" t="s">
        <v>99</v>
      </c>
      <c r="H2467" s="11" t="s">
        <v>24</v>
      </c>
      <c r="I2467" s="12" t="n">
        <v>45</v>
      </c>
      <c r="J2467" s="13" t="n">
        <v>375</v>
      </c>
      <c r="K2467" s="14" t="n">
        <f aca="false">I2467*J2467</f>
        <v>16875</v>
      </c>
      <c r="L2467" s="14" t="n">
        <f aca="false">($L$2*M2467)/100</f>
        <v>420583.275</v>
      </c>
      <c r="M2467" s="15" t="n">
        <v>0.35</v>
      </c>
      <c r="N2467" s="9" t="s">
        <v>85</v>
      </c>
    </row>
    <row r="2468" customFormat="false" ht="14.25" hidden="false" customHeight="true" outlineLevel="0" collapsed="false">
      <c r="B2468" s="9" t="s">
        <v>63</v>
      </c>
      <c r="C2468" s="9" t="n">
        <v>1185732</v>
      </c>
      <c r="D2468" s="10" t="n">
        <v>44296</v>
      </c>
      <c r="E2468" s="9" t="s">
        <v>38</v>
      </c>
      <c r="F2468" s="9" t="s">
        <v>98</v>
      </c>
      <c r="G2468" s="9" t="s">
        <v>99</v>
      </c>
      <c r="H2468" s="11" t="s">
        <v>25</v>
      </c>
      <c r="I2468" s="12" t="n">
        <v>35</v>
      </c>
      <c r="J2468" s="13" t="n">
        <v>525</v>
      </c>
      <c r="K2468" s="14" t="n">
        <f aca="false">I2468*J2468</f>
        <v>18375</v>
      </c>
      <c r="L2468" s="14" t="n">
        <f aca="false">($L$2*M2468)/100</f>
        <v>600833.25</v>
      </c>
      <c r="M2468" s="15" t="n">
        <v>0.5</v>
      </c>
      <c r="N2468" s="9" t="s">
        <v>85</v>
      </c>
    </row>
    <row r="2469" customFormat="false" ht="14.25" hidden="false" customHeight="true" outlineLevel="0" collapsed="false">
      <c r="B2469" s="9" t="s">
        <v>63</v>
      </c>
      <c r="C2469" s="9" t="n">
        <v>1185732</v>
      </c>
      <c r="D2469" s="10" t="n">
        <v>44325</v>
      </c>
      <c r="E2469" s="9" t="s">
        <v>38</v>
      </c>
      <c r="F2469" s="9" t="s">
        <v>98</v>
      </c>
      <c r="G2469" s="9" t="s">
        <v>99</v>
      </c>
      <c r="H2469" s="11" t="s">
        <v>19</v>
      </c>
      <c r="I2469" s="12" t="n">
        <v>45</v>
      </c>
      <c r="J2469" s="13" t="n">
        <v>795</v>
      </c>
      <c r="K2469" s="14" t="n">
        <f aca="false">I2469*J2469</f>
        <v>35775</v>
      </c>
      <c r="L2469" s="14" t="n">
        <f aca="false">($L$2*M2469)/100</f>
        <v>480666.6</v>
      </c>
      <c r="M2469" s="15" t="n">
        <v>0.4</v>
      </c>
      <c r="N2469" s="9" t="s">
        <v>85</v>
      </c>
    </row>
    <row r="2470" customFormat="false" ht="14.25" hidden="false" customHeight="true" outlineLevel="0" collapsed="false">
      <c r="B2470" s="9" t="s">
        <v>63</v>
      </c>
      <c r="C2470" s="9" t="n">
        <v>1185732</v>
      </c>
      <c r="D2470" s="10" t="n">
        <v>44325</v>
      </c>
      <c r="E2470" s="9" t="s">
        <v>38</v>
      </c>
      <c r="F2470" s="9" t="s">
        <v>98</v>
      </c>
      <c r="G2470" s="9" t="s">
        <v>99</v>
      </c>
      <c r="H2470" s="11" t="s">
        <v>21</v>
      </c>
      <c r="I2470" s="12" t="n">
        <v>45</v>
      </c>
      <c r="J2470" s="13" t="n">
        <v>500</v>
      </c>
      <c r="K2470" s="14" t="n">
        <f aca="false">I2470*J2470</f>
        <v>22500</v>
      </c>
      <c r="L2470" s="14" t="n">
        <f aca="false">($L$2*M2470)/100</f>
        <v>420583.275</v>
      </c>
      <c r="M2470" s="15" t="n">
        <v>0.35</v>
      </c>
      <c r="N2470" s="9" t="s">
        <v>85</v>
      </c>
    </row>
    <row r="2471" customFormat="false" ht="14.25" hidden="false" customHeight="true" outlineLevel="0" collapsed="false">
      <c r="B2471" s="9" t="s">
        <v>63</v>
      </c>
      <c r="C2471" s="9" t="n">
        <v>1185732</v>
      </c>
      <c r="D2471" s="10" t="n">
        <v>44325</v>
      </c>
      <c r="E2471" s="9" t="s">
        <v>38</v>
      </c>
      <c r="F2471" s="9" t="s">
        <v>98</v>
      </c>
      <c r="G2471" s="9" t="s">
        <v>99</v>
      </c>
      <c r="H2471" s="11" t="s">
        <v>22</v>
      </c>
      <c r="I2471" s="12" t="n">
        <v>40</v>
      </c>
      <c r="J2471" s="13" t="n">
        <v>475</v>
      </c>
      <c r="K2471" s="14" t="n">
        <f aca="false">I2471*J2471</f>
        <v>19000</v>
      </c>
      <c r="L2471" s="14" t="n">
        <f aca="false">($L$2*M2471)/100</f>
        <v>480666.6</v>
      </c>
      <c r="M2471" s="15" t="n">
        <v>0.4</v>
      </c>
      <c r="N2471" s="9" t="s">
        <v>85</v>
      </c>
    </row>
    <row r="2472" customFormat="false" ht="14.25" hidden="false" customHeight="true" outlineLevel="0" collapsed="false">
      <c r="B2472" s="9" t="s">
        <v>63</v>
      </c>
      <c r="C2472" s="9" t="n">
        <v>1185732</v>
      </c>
      <c r="D2472" s="10" t="n">
        <v>44325</v>
      </c>
      <c r="E2472" s="9" t="s">
        <v>38</v>
      </c>
      <c r="F2472" s="9" t="s">
        <v>98</v>
      </c>
      <c r="G2472" s="9" t="s">
        <v>99</v>
      </c>
      <c r="H2472" s="11" t="s">
        <v>23</v>
      </c>
      <c r="I2472" s="12" t="n">
        <v>40</v>
      </c>
      <c r="J2472" s="13" t="n">
        <v>425</v>
      </c>
      <c r="K2472" s="14" t="n">
        <f aca="false">I2472*J2472</f>
        <v>17000</v>
      </c>
      <c r="L2472" s="14" t="n">
        <f aca="false">($L$2*M2472)/100</f>
        <v>480666.6</v>
      </c>
      <c r="M2472" s="15" t="n">
        <v>0.4</v>
      </c>
      <c r="N2472" s="9" t="s">
        <v>85</v>
      </c>
    </row>
    <row r="2473" customFormat="false" ht="14.25" hidden="false" customHeight="true" outlineLevel="0" collapsed="false">
      <c r="B2473" s="9" t="s">
        <v>63</v>
      </c>
      <c r="C2473" s="9" t="n">
        <v>1185732</v>
      </c>
      <c r="D2473" s="10" t="n">
        <v>44325</v>
      </c>
      <c r="E2473" s="9" t="s">
        <v>38</v>
      </c>
      <c r="F2473" s="9" t="s">
        <v>98</v>
      </c>
      <c r="G2473" s="9" t="s">
        <v>99</v>
      </c>
      <c r="H2473" s="11" t="s">
        <v>24</v>
      </c>
      <c r="I2473" s="12" t="n">
        <v>50</v>
      </c>
      <c r="J2473" s="13" t="n">
        <v>450</v>
      </c>
      <c r="K2473" s="14" t="n">
        <f aca="false">I2473*J2473</f>
        <v>22500</v>
      </c>
      <c r="L2473" s="14" t="n">
        <f aca="false">($L$2*M2473)/100</f>
        <v>420583.275</v>
      </c>
      <c r="M2473" s="15" t="n">
        <v>0.35</v>
      </c>
      <c r="N2473" s="9" t="s">
        <v>85</v>
      </c>
    </row>
    <row r="2474" customFormat="false" ht="14.25" hidden="false" customHeight="true" outlineLevel="0" collapsed="false">
      <c r="B2474" s="9" t="s">
        <v>63</v>
      </c>
      <c r="C2474" s="9" t="n">
        <v>1185732</v>
      </c>
      <c r="D2474" s="10" t="n">
        <v>44325</v>
      </c>
      <c r="E2474" s="9" t="s">
        <v>38</v>
      </c>
      <c r="F2474" s="9" t="s">
        <v>98</v>
      </c>
      <c r="G2474" s="9" t="s">
        <v>99</v>
      </c>
      <c r="H2474" s="11" t="s">
        <v>25</v>
      </c>
      <c r="I2474" s="12" t="n">
        <v>55</v>
      </c>
      <c r="J2474" s="13" t="n">
        <v>550</v>
      </c>
      <c r="K2474" s="14" t="n">
        <f aca="false">I2474*J2474</f>
        <v>30250</v>
      </c>
      <c r="L2474" s="14" t="n">
        <f aca="false">($L$2*M2474)/100</f>
        <v>600833.25</v>
      </c>
      <c r="M2474" s="15" t="n">
        <v>0.5</v>
      </c>
      <c r="N2474" s="9" t="s">
        <v>85</v>
      </c>
    </row>
    <row r="2475" customFormat="false" ht="14.25" hidden="false" customHeight="true" outlineLevel="0" collapsed="false">
      <c r="B2475" s="9" t="s">
        <v>63</v>
      </c>
      <c r="C2475" s="9" t="n">
        <v>1185732</v>
      </c>
      <c r="D2475" s="10" t="n">
        <v>44358</v>
      </c>
      <c r="E2475" s="9" t="s">
        <v>38</v>
      </c>
      <c r="F2475" s="9" t="s">
        <v>98</v>
      </c>
      <c r="G2475" s="9" t="s">
        <v>99</v>
      </c>
      <c r="H2475" s="11" t="s">
        <v>19</v>
      </c>
      <c r="I2475" s="12" t="n">
        <v>50</v>
      </c>
      <c r="J2475" s="13" t="n">
        <v>800</v>
      </c>
      <c r="K2475" s="14" t="n">
        <f aca="false">I2475*J2475</f>
        <v>40000</v>
      </c>
      <c r="L2475" s="14" t="n">
        <f aca="false">($L$2*M2475)/100</f>
        <v>480666.6</v>
      </c>
      <c r="M2475" s="15" t="n">
        <v>0.4</v>
      </c>
      <c r="N2475" s="9" t="s">
        <v>85</v>
      </c>
    </row>
    <row r="2476" customFormat="false" ht="14.25" hidden="false" customHeight="true" outlineLevel="0" collapsed="false">
      <c r="B2476" s="9" t="s">
        <v>63</v>
      </c>
      <c r="C2476" s="9" t="n">
        <v>1185732</v>
      </c>
      <c r="D2476" s="10" t="n">
        <v>44358</v>
      </c>
      <c r="E2476" s="9" t="s">
        <v>38</v>
      </c>
      <c r="F2476" s="9" t="s">
        <v>98</v>
      </c>
      <c r="G2476" s="9" t="s">
        <v>99</v>
      </c>
      <c r="H2476" s="11" t="s">
        <v>21</v>
      </c>
      <c r="I2476" s="12" t="n">
        <v>45</v>
      </c>
      <c r="J2476" s="13" t="n">
        <v>550</v>
      </c>
      <c r="K2476" s="14" t="n">
        <f aca="false">I2476*J2476</f>
        <v>24750</v>
      </c>
      <c r="L2476" s="14" t="n">
        <f aca="false">($L$2*M2476)/100</f>
        <v>420583.275</v>
      </c>
      <c r="M2476" s="15" t="n">
        <v>0.35</v>
      </c>
      <c r="N2476" s="9" t="s">
        <v>85</v>
      </c>
    </row>
    <row r="2477" customFormat="false" ht="14.25" hidden="false" customHeight="true" outlineLevel="0" collapsed="false">
      <c r="B2477" s="9" t="s">
        <v>63</v>
      </c>
      <c r="C2477" s="9" t="n">
        <v>1185732</v>
      </c>
      <c r="D2477" s="10" t="n">
        <v>44358</v>
      </c>
      <c r="E2477" s="9" t="s">
        <v>38</v>
      </c>
      <c r="F2477" s="9" t="s">
        <v>98</v>
      </c>
      <c r="G2477" s="9" t="s">
        <v>99</v>
      </c>
      <c r="H2477" s="11" t="s">
        <v>22</v>
      </c>
      <c r="I2477" s="12" t="n">
        <v>50</v>
      </c>
      <c r="J2477" s="13" t="n">
        <v>525</v>
      </c>
      <c r="K2477" s="14" t="n">
        <f aca="false">I2477*J2477</f>
        <v>26250</v>
      </c>
      <c r="L2477" s="14" t="n">
        <f aca="false">($L$2*M2477)/100</f>
        <v>480666.6</v>
      </c>
      <c r="M2477" s="15" t="n">
        <v>0.4</v>
      </c>
      <c r="N2477" s="9" t="s">
        <v>85</v>
      </c>
    </row>
    <row r="2478" customFormat="false" ht="14.25" hidden="false" customHeight="true" outlineLevel="0" collapsed="false">
      <c r="B2478" s="9" t="s">
        <v>63</v>
      </c>
      <c r="C2478" s="9" t="n">
        <v>1185732</v>
      </c>
      <c r="D2478" s="10" t="n">
        <v>44358</v>
      </c>
      <c r="E2478" s="9" t="s">
        <v>38</v>
      </c>
      <c r="F2478" s="9" t="s">
        <v>98</v>
      </c>
      <c r="G2478" s="9" t="s">
        <v>99</v>
      </c>
      <c r="H2478" s="11" t="s">
        <v>23</v>
      </c>
      <c r="I2478" s="12" t="n">
        <v>50</v>
      </c>
      <c r="J2478" s="13" t="n">
        <v>500</v>
      </c>
      <c r="K2478" s="14" t="n">
        <f aca="false">I2478*J2478</f>
        <v>25000</v>
      </c>
      <c r="L2478" s="14" t="n">
        <f aca="false">($L$2*M2478)/100</f>
        <v>480666.6</v>
      </c>
      <c r="M2478" s="15" t="n">
        <v>0.4</v>
      </c>
      <c r="N2478" s="9" t="s">
        <v>85</v>
      </c>
    </row>
    <row r="2479" customFormat="false" ht="14.25" hidden="false" customHeight="true" outlineLevel="0" collapsed="false">
      <c r="B2479" s="9" t="s">
        <v>63</v>
      </c>
      <c r="C2479" s="9" t="n">
        <v>1185732</v>
      </c>
      <c r="D2479" s="10" t="n">
        <v>44358</v>
      </c>
      <c r="E2479" s="9" t="s">
        <v>38</v>
      </c>
      <c r="F2479" s="9" t="s">
        <v>98</v>
      </c>
      <c r="G2479" s="9" t="s">
        <v>99</v>
      </c>
      <c r="H2479" s="11" t="s">
        <v>24</v>
      </c>
      <c r="I2479" s="12" t="n">
        <v>65</v>
      </c>
      <c r="J2479" s="13" t="n">
        <v>500</v>
      </c>
      <c r="K2479" s="14" t="n">
        <f aca="false">I2479*J2479</f>
        <v>32500</v>
      </c>
      <c r="L2479" s="14" t="n">
        <f aca="false">($L$2*M2479)/100</f>
        <v>420583.275</v>
      </c>
      <c r="M2479" s="15" t="n">
        <v>0.35</v>
      </c>
      <c r="N2479" s="9" t="s">
        <v>85</v>
      </c>
    </row>
    <row r="2480" customFormat="false" ht="14.25" hidden="false" customHeight="true" outlineLevel="0" collapsed="false">
      <c r="B2480" s="9" t="s">
        <v>63</v>
      </c>
      <c r="C2480" s="9" t="n">
        <v>1185732</v>
      </c>
      <c r="D2480" s="10" t="n">
        <v>44358</v>
      </c>
      <c r="E2480" s="9" t="s">
        <v>38</v>
      </c>
      <c r="F2480" s="9" t="s">
        <v>98</v>
      </c>
      <c r="G2480" s="9" t="s">
        <v>99</v>
      </c>
      <c r="H2480" s="11" t="s">
        <v>25</v>
      </c>
      <c r="I2480" s="12" t="n">
        <v>70</v>
      </c>
      <c r="J2480" s="13" t="n">
        <v>675</v>
      </c>
      <c r="K2480" s="14" t="n">
        <f aca="false">I2480*J2480</f>
        <v>47250</v>
      </c>
      <c r="L2480" s="14" t="n">
        <f aca="false">($L$2*M2480)/100</f>
        <v>600833.25</v>
      </c>
      <c r="M2480" s="15" t="n">
        <v>0.5</v>
      </c>
      <c r="N2480" s="9" t="s">
        <v>85</v>
      </c>
    </row>
    <row r="2481" customFormat="false" ht="14.25" hidden="false" customHeight="true" outlineLevel="0" collapsed="false">
      <c r="B2481" s="9" t="s">
        <v>63</v>
      </c>
      <c r="C2481" s="9" t="n">
        <v>1185732</v>
      </c>
      <c r="D2481" s="10" t="n">
        <v>44386</v>
      </c>
      <c r="E2481" s="9" t="s">
        <v>38</v>
      </c>
      <c r="F2481" s="9" t="s">
        <v>98</v>
      </c>
      <c r="G2481" s="9" t="s">
        <v>99</v>
      </c>
      <c r="H2481" s="11" t="s">
        <v>19</v>
      </c>
      <c r="I2481" s="12" t="n">
        <v>65</v>
      </c>
      <c r="J2481" s="13" t="n">
        <v>900</v>
      </c>
      <c r="K2481" s="14" t="n">
        <f aca="false">I2481*J2481</f>
        <v>58500</v>
      </c>
      <c r="L2481" s="14" t="n">
        <f aca="false">($L$2*M2481)/100</f>
        <v>480666.6</v>
      </c>
      <c r="M2481" s="15" t="n">
        <v>0.4</v>
      </c>
      <c r="N2481" s="9" t="s">
        <v>85</v>
      </c>
    </row>
    <row r="2482" customFormat="false" ht="14.25" hidden="false" customHeight="true" outlineLevel="0" collapsed="false">
      <c r="B2482" s="9" t="s">
        <v>63</v>
      </c>
      <c r="C2482" s="9" t="n">
        <v>1185732</v>
      </c>
      <c r="D2482" s="10" t="n">
        <v>44386</v>
      </c>
      <c r="E2482" s="9" t="s">
        <v>38</v>
      </c>
      <c r="F2482" s="9" t="s">
        <v>98</v>
      </c>
      <c r="G2482" s="9" t="s">
        <v>99</v>
      </c>
      <c r="H2482" s="11" t="s">
        <v>21</v>
      </c>
      <c r="I2482" s="12" t="n">
        <v>60</v>
      </c>
      <c r="J2482" s="13" t="n">
        <v>650</v>
      </c>
      <c r="K2482" s="14" t="n">
        <f aca="false">I2482*J2482</f>
        <v>39000</v>
      </c>
      <c r="L2482" s="14" t="n">
        <f aca="false">($L$2*M2482)/100</f>
        <v>420583.275</v>
      </c>
      <c r="M2482" s="15" t="n">
        <v>0.35</v>
      </c>
      <c r="N2482" s="9" t="s">
        <v>85</v>
      </c>
    </row>
    <row r="2483" customFormat="false" ht="14.25" hidden="false" customHeight="true" outlineLevel="0" collapsed="false">
      <c r="B2483" s="9" t="s">
        <v>63</v>
      </c>
      <c r="C2483" s="9" t="n">
        <v>1185732</v>
      </c>
      <c r="D2483" s="10" t="n">
        <v>44386</v>
      </c>
      <c r="E2483" s="9" t="s">
        <v>38</v>
      </c>
      <c r="F2483" s="9" t="s">
        <v>98</v>
      </c>
      <c r="G2483" s="9" t="s">
        <v>99</v>
      </c>
      <c r="H2483" s="11" t="s">
        <v>22</v>
      </c>
      <c r="I2483" s="12" t="n">
        <v>55</v>
      </c>
      <c r="J2483" s="13" t="n">
        <v>575</v>
      </c>
      <c r="K2483" s="14" t="n">
        <f aca="false">I2483*J2483</f>
        <v>31625</v>
      </c>
      <c r="L2483" s="14" t="n">
        <f aca="false">($L$2*M2483)/100</f>
        <v>480666.6</v>
      </c>
      <c r="M2483" s="15" t="n">
        <v>0.4</v>
      </c>
      <c r="N2483" s="9" t="s">
        <v>85</v>
      </c>
    </row>
    <row r="2484" customFormat="false" ht="14.25" hidden="false" customHeight="true" outlineLevel="0" collapsed="false">
      <c r="B2484" s="9" t="s">
        <v>63</v>
      </c>
      <c r="C2484" s="9" t="n">
        <v>1185732</v>
      </c>
      <c r="D2484" s="10" t="n">
        <v>44386</v>
      </c>
      <c r="E2484" s="9" t="s">
        <v>38</v>
      </c>
      <c r="F2484" s="9" t="s">
        <v>98</v>
      </c>
      <c r="G2484" s="9" t="s">
        <v>99</v>
      </c>
      <c r="H2484" s="11" t="s">
        <v>23</v>
      </c>
      <c r="I2484" s="12" t="n">
        <v>55</v>
      </c>
      <c r="J2484" s="13" t="n">
        <v>525</v>
      </c>
      <c r="K2484" s="14" t="n">
        <f aca="false">I2484*J2484</f>
        <v>28875</v>
      </c>
      <c r="L2484" s="14" t="n">
        <f aca="false">($L$2*M2484)/100</f>
        <v>480666.6</v>
      </c>
      <c r="M2484" s="15" t="n">
        <v>0.4</v>
      </c>
      <c r="N2484" s="9" t="s">
        <v>85</v>
      </c>
    </row>
    <row r="2485" customFormat="false" ht="14.25" hidden="false" customHeight="true" outlineLevel="0" collapsed="false">
      <c r="B2485" s="9" t="s">
        <v>63</v>
      </c>
      <c r="C2485" s="9" t="n">
        <v>1185732</v>
      </c>
      <c r="D2485" s="10" t="n">
        <v>44386</v>
      </c>
      <c r="E2485" s="9" t="s">
        <v>38</v>
      </c>
      <c r="F2485" s="9" t="s">
        <v>98</v>
      </c>
      <c r="G2485" s="9" t="s">
        <v>99</v>
      </c>
      <c r="H2485" s="11" t="s">
        <v>24</v>
      </c>
      <c r="I2485" s="12" t="n">
        <v>65</v>
      </c>
      <c r="J2485" s="13" t="n">
        <v>550</v>
      </c>
      <c r="K2485" s="14" t="n">
        <f aca="false">I2485*J2485</f>
        <v>35750</v>
      </c>
      <c r="L2485" s="14" t="n">
        <f aca="false">($L$2*M2485)/100</f>
        <v>420583.275</v>
      </c>
      <c r="M2485" s="15" t="n">
        <v>0.35</v>
      </c>
      <c r="N2485" s="9" t="s">
        <v>85</v>
      </c>
    </row>
    <row r="2486" customFormat="false" ht="14.25" hidden="false" customHeight="true" outlineLevel="0" collapsed="false">
      <c r="B2486" s="9" t="s">
        <v>63</v>
      </c>
      <c r="C2486" s="9" t="n">
        <v>1185732</v>
      </c>
      <c r="D2486" s="10" t="n">
        <v>44386</v>
      </c>
      <c r="E2486" s="9" t="s">
        <v>38</v>
      </c>
      <c r="F2486" s="9" t="s">
        <v>98</v>
      </c>
      <c r="G2486" s="9" t="s">
        <v>99</v>
      </c>
      <c r="H2486" s="11" t="s">
        <v>25</v>
      </c>
      <c r="I2486" s="12" t="n">
        <v>70</v>
      </c>
      <c r="J2486" s="13" t="n">
        <v>725</v>
      </c>
      <c r="K2486" s="14" t="n">
        <f aca="false">I2486*J2486</f>
        <v>50750</v>
      </c>
      <c r="L2486" s="14" t="n">
        <f aca="false">($L$2*M2486)/100</f>
        <v>600833.25</v>
      </c>
      <c r="M2486" s="15" t="n">
        <v>0.5</v>
      </c>
      <c r="N2486" s="9" t="s">
        <v>85</v>
      </c>
    </row>
    <row r="2487" customFormat="false" ht="14.25" hidden="false" customHeight="true" outlineLevel="0" collapsed="false">
      <c r="B2487" s="9" t="s">
        <v>63</v>
      </c>
      <c r="C2487" s="9" t="n">
        <v>1185732</v>
      </c>
      <c r="D2487" s="10" t="n">
        <v>44418</v>
      </c>
      <c r="E2487" s="9" t="s">
        <v>38</v>
      </c>
      <c r="F2487" s="9" t="s">
        <v>98</v>
      </c>
      <c r="G2487" s="9" t="s">
        <v>99</v>
      </c>
      <c r="H2487" s="11" t="s">
        <v>19</v>
      </c>
      <c r="I2487" s="12" t="n">
        <v>65</v>
      </c>
      <c r="J2487" s="13" t="n">
        <v>875</v>
      </c>
      <c r="K2487" s="14" t="n">
        <f aca="false">I2487*J2487</f>
        <v>56875</v>
      </c>
      <c r="L2487" s="14" t="n">
        <f aca="false">($L$2*M2487)/100</f>
        <v>480666.6</v>
      </c>
      <c r="M2487" s="15" t="n">
        <v>0.4</v>
      </c>
      <c r="N2487" s="9" t="s">
        <v>85</v>
      </c>
    </row>
    <row r="2488" customFormat="false" ht="14.25" hidden="false" customHeight="true" outlineLevel="0" collapsed="false">
      <c r="B2488" s="9" t="s">
        <v>63</v>
      </c>
      <c r="C2488" s="9" t="n">
        <v>1185732</v>
      </c>
      <c r="D2488" s="10" t="n">
        <v>44418</v>
      </c>
      <c r="E2488" s="9" t="s">
        <v>38</v>
      </c>
      <c r="F2488" s="9" t="s">
        <v>98</v>
      </c>
      <c r="G2488" s="9" t="s">
        <v>99</v>
      </c>
      <c r="H2488" s="11" t="s">
        <v>21</v>
      </c>
      <c r="I2488" s="12" t="n">
        <v>60</v>
      </c>
      <c r="J2488" s="13" t="n">
        <v>650</v>
      </c>
      <c r="K2488" s="14" t="n">
        <f aca="false">I2488*J2488</f>
        <v>39000</v>
      </c>
      <c r="L2488" s="14" t="n">
        <f aca="false">($L$2*M2488)/100</f>
        <v>420583.275</v>
      </c>
      <c r="M2488" s="15" t="n">
        <v>0.35</v>
      </c>
      <c r="N2488" s="9" t="s">
        <v>85</v>
      </c>
    </row>
    <row r="2489" customFormat="false" ht="14.25" hidden="false" customHeight="true" outlineLevel="0" collapsed="false">
      <c r="B2489" s="9" t="s">
        <v>63</v>
      </c>
      <c r="C2489" s="9" t="n">
        <v>1185732</v>
      </c>
      <c r="D2489" s="10" t="n">
        <v>44418</v>
      </c>
      <c r="E2489" s="9" t="s">
        <v>38</v>
      </c>
      <c r="F2489" s="9" t="s">
        <v>98</v>
      </c>
      <c r="G2489" s="9" t="s">
        <v>99</v>
      </c>
      <c r="H2489" s="11" t="s">
        <v>22</v>
      </c>
      <c r="I2489" s="12" t="n">
        <v>55</v>
      </c>
      <c r="J2489" s="13" t="n">
        <v>575</v>
      </c>
      <c r="K2489" s="14" t="n">
        <f aca="false">I2489*J2489</f>
        <v>31625</v>
      </c>
      <c r="L2489" s="14" t="n">
        <f aca="false">($L$2*M2489)/100</f>
        <v>480666.6</v>
      </c>
      <c r="M2489" s="15" t="n">
        <v>0.4</v>
      </c>
      <c r="N2489" s="9" t="s">
        <v>85</v>
      </c>
    </row>
    <row r="2490" customFormat="false" ht="14.25" hidden="false" customHeight="true" outlineLevel="0" collapsed="false">
      <c r="B2490" s="9" t="s">
        <v>63</v>
      </c>
      <c r="C2490" s="9" t="n">
        <v>1185732</v>
      </c>
      <c r="D2490" s="10" t="n">
        <v>44418</v>
      </c>
      <c r="E2490" s="9" t="s">
        <v>38</v>
      </c>
      <c r="F2490" s="9" t="s">
        <v>98</v>
      </c>
      <c r="G2490" s="9" t="s">
        <v>99</v>
      </c>
      <c r="H2490" s="11" t="s">
        <v>23</v>
      </c>
      <c r="I2490" s="12" t="n">
        <v>45</v>
      </c>
      <c r="J2490" s="13" t="n">
        <v>525</v>
      </c>
      <c r="K2490" s="14" t="n">
        <f aca="false">I2490*J2490</f>
        <v>23625</v>
      </c>
      <c r="L2490" s="14" t="n">
        <f aca="false">($L$2*M2490)/100</f>
        <v>480666.6</v>
      </c>
      <c r="M2490" s="15" t="n">
        <v>0.4</v>
      </c>
      <c r="N2490" s="9" t="s">
        <v>85</v>
      </c>
    </row>
    <row r="2491" customFormat="false" ht="14.25" hidden="false" customHeight="true" outlineLevel="0" collapsed="false">
      <c r="B2491" s="9" t="s">
        <v>63</v>
      </c>
      <c r="C2491" s="9" t="n">
        <v>1185732</v>
      </c>
      <c r="D2491" s="10" t="n">
        <v>44418</v>
      </c>
      <c r="E2491" s="9" t="s">
        <v>38</v>
      </c>
      <c r="F2491" s="9" t="s">
        <v>98</v>
      </c>
      <c r="G2491" s="9" t="s">
        <v>99</v>
      </c>
      <c r="H2491" s="11" t="s">
        <v>24</v>
      </c>
      <c r="I2491" s="12" t="n">
        <v>55</v>
      </c>
      <c r="J2491" s="13" t="n">
        <v>500</v>
      </c>
      <c r="K2491" s="14" t="n">
        <f aca="false">I2491*J2491</f>
        <v>27500</v>
      </c>
      <c r="L2491" s="14" t="n">
        <f aca="false">($L$2*M2491)/100</f>
        <v>420583.275</v>
      </c>
      <c r="M2491" s="15" t="n">
        <v>0.35</v>
      </c>
      <c r="N2491" s="9" t="s">
        <v>85</v>
      </c>
    </row>
    <row r="2492" customFormat="false" ht="14.25" hidden="false" customHeight="true" outlineLevel="0" collapsed="false">
      <c r="B2492" s="9" t="s">
        <v>63</v>
      </c>
      <c r="C2492" s="9" t="n">
        <v>1185732</v>
      </c>
      <c r="D2492" s="10" t="n">
        <v>44418</v>
      </c>
      <c r="E2492" s="9" t="s">
        <v>38</v>
      </c>
      <c r="F2492" s="9" t="s">
        <v>98</v>
      </c>
      <c r="G2492" s="9" t="s">
        <v>99</v>
      </c>
      <c r="H2492" s="11" t="s">
        <v>25</v>
      </c>
      <c r="I2492" s="12" t="n">
        <v>60</v>
      </c>
      <c r="J2492" s="13" t="n">
        <v>675</v>
      </c>
      <c r="K2492" s="14" t="n">
        <f aca="false">I2492*J2492</f>
        <v>40500</v>
      </c>
      <c r="L2492" s="14" t="n">
        <f aca="false">($L$2*M2492)/100</f>
        <v>600833.25</v>
      </c>
      <c r="M2492" s="15" t="n">
        <v>0.5</v>
      </c>
      <c r="N2492" s="9" t="s">
        <v>85</v>
      </c>
    </row>
    <row r="2493" customFormat="false" ht="14.25" hidden="false" customHeight="true" outlineLevel="0" collapsed="false">
      <c r="B2493" s="9" t="s">
        <v>63</v>
      </c>
      <c r="C2493" s="9" t="n">
        <v>1185732</v>
      </c>
      <c r="D2493" s="10" t="n">
        <v>44448</v>
      </c>
      <c r="E2493" s="9" t="s">
        <v>38</v>
      </c>
      <c r="F2493" s="9" t="s">
        <v>98</v>
      </c>
      <c r="G2493" s="9" t="s">
        <v>99</v>
      </c>
      <c r="H2493" s="11" t="s">
        <v>19</v>
      </c>
      <c r="I2493" s="12" t="n">
        <v>55</v>
      </c>
      <c r="J2493" s="13" t="n">
        <v>775</v>
      </c>
      <c r="K2493" s="14" t="n">
        <f aca="false">I2493*J2493</f>
        <v>42625</v>
      </c>
      <c r="L2493" s="14" t="n">
        <f aca="false">($L$2*M2493)/100</f>
        <v>480666.6</v>
      </c>
      <c r="M2493" s="15" t="n">
        <v>0.4</v>
      </c>
      <c r="N2493" s="9" t="s">
        <v>85</v>
      </c>
    </row>
    <row r="2494" customFormat="false" ht="14.25" hidden="false" customHeight="true" outlineLevel="0" collapsed="false">
      <c r="B2494" s="9" t="s">
        <v>63</v>
      </c>
      <c r="C2494" s="9" t="n">
        <v>1185732</v>
      </c>
      <c r="D2494" s="10" t="n">
        <v>44448</v>
      </c>
      <c r="E2494" s="9" t="s">
        <v>38</v>
      </c>
      <c r="F2494" s="9" t="s">
        <v>98</v>
      </c>
      <c r="G2494" s="9" t="s">
        <v>99</v>
      </c>
      <c r="H2494" s="11" t="s">
        <v>21</v>
      </c>
      <c r="I2494" s="12" t="n">
        <v>50</v>
      </c>
      <c r="J2494" s="13" t="n">
        <v>575</v>
      </c>
      <c r="K2494" s="14" t="n">
        <f aca="false">I2494*J2494</f>
        <v>28750</v>
      </c>
      <c r="L2494" s="14" t="n">
        <f aca="false">($L$2*M2494)/100</f>
        <v>420583.275</v>
      </c>
      <c r="M2494" s="15" t="n">
        <v>0.35</v>
      </c>
      <c r="N2494" s="9" t="s">
        <v>85</v>
      </c>
    </row>
    <row r="2495" customFormat="false" ht="14.25" hidden="false" customHeight="true" outlineLevel="0" collapsed="false">
      <c r="B2495" s="9" t="s">
        <v>63</v>
      </c>
      <c r="C2495" s="9" t="n">
        <v>1185732</v>
      </c>
      <c r="D2495" s="10" t="n">
        <v>44448</v>
      </c>
      <c r="E2495" s="9" t="s">
        <v>38</v>
      </c>
      <c r="F2495" s="9" t="s">
        <v>98</v>
      </c>
      <c r="G2495" s="9" t="s">
        <v>99</v>
      </c>
      <c r="H2495" s="11" t="s">
        <v>22</v>
      </c>
      <c r="I2495" s="12" t="n">
        <v>25</v>
      </c>
      <c r="J2495" s="13" t="n">
        <v>475</v>
      </c>
      <c r="K2495" s="14" t="n">
        <f aca="false">I2495*J2495</f>
        <v>11875</v>
      </c>
      <c r="L2495" s="14" t="n">
        <f aca="false">($L$2*M2495)/100</f>
        <v>480666.6</v>
      </c>
      <c r="M2495" s="15" t="n">
        <v>0.4</v>
      </c>
      <c r="N2495" s="9" t="s">
        <v>85</v>
      </c>
    </row>
    <row r="2496" customFormat="false" ht="14.25" hidden="false" customHeight="true" outlineLevel="0" collapsed="false">
      <c r="B2496" s="9" t="s">
        <v>63</v>
      </c>
      <c r="C2496" s="9" t="n">
        <v>1185732</v>
      </c>
      <c r="D2496" s="10" t="n">
        <v>44448</v>
      </c>
      <c r="E2496" s="9" t="s">
        <v>38</v>
      </c>
      <c r="F2496" s="9" t="s">
        <v>98</v>
      </c>
      <c r="G2496" s="9" t="s">
        <v>99</v>
      </c>
      <c r="H2496" s="11" t="s">
        <v>23</v>
      </c>
      <c r="I2496" s="12" t="n">
        <v>25</v>
      </c>
      <c r="J2496" s="13" t="n">
        <v>450</v>
      </c>
      <c r="K2496" s="14" t="n">
        <f aca="false">I2496*J2496</f>
        <v>11250</v>
      </c>
      <c r="L2496" s="14" t="n">
        <f aca="false">($L$2*M2496)/100</f>
        <v>480666.6</v>
      </c>
      <c r="M2496" s="15" t="n">
        <v>0.4</v>
      </c>
      <c r="N2496" s="9" t="s">
        <v>85</v>
      </c>
    </row>
    <row r="2497" customFormat="false" ht="14.25" hidden="false" customHeight="true" outlineLevel="0" collapsed="false">
      <c r="B2497" s="9" t="s">
        <v>63</v>
      </c>
      <c r="C2497" s="9" t="n">
        <v>1185732</v>
      </c>
      <c r="D2497" s="10" t="n">
        <v>44448</v>
      </c>
      <c r="E2497" s="9" t="s">
        <v>38</v>
      </c>
      <c r="F2497" s="9" t="s">
        <v>98</v>
      </c>
      <c r="G2497" s="9" t="s">
        <v>99</v>
      </c>
      <c r="H2497" s="11" t="s">
        <v>24</v>
      </c>
      <c r="I2497" s="12" t="n">
        <v>35</v>
      </c>
      <c r="J2497" s="13" t="n">
        <v>450</v>
      </c>
      <c r="K2497" s="14" t="n">
        <f aca="false">I2497*J2497</f>
        <v>15750</v>
      </c>
      <c r="L2497" s="14" t="n">
        <f aca="false">($L$2*M2497)/100</f>
        <v>420583.275</v>
      </c>
      <c r="M2497" s="15" t="n">
        <v>0.35</v>
      </c>
      <c r="N2497" s="9" t="s">
        <v>85</v>
      </c>
    </row>
    <row r="2498" customFormat="false" ht="14.25" hidden="false" customHeight="true" outlineLevel="0" collapsed="false">
      <c r="B2498" s="9" t="s">
        <v>63</v>
      </c>
      <c r="C2498" s="9" t="n">
        <v>1185732</v>
      </c>
      <c r="D2498" s="10" t="n">
        <v>44448</v>
      </c>
      <c r="E2498" s="9" t="s">
        <v>38</v>
      </c>
      <c r="F2498" s="9" t="s">
        <v>98</v>
      </c>
      <c r="G2498" s="9" t="s">
        <v>99</v>
      </c>
      <c r="H2498" s="11" t="s">
        <v>25</v>
      </c>
      <c r="I2498" s="12" t="n">
        <v>40</v>
      </c>
      <c r="J2498" s="13" t="n">
        <v>550</v>
      </c>
      <c r="K2498" s="14" t="n">
        <f aca="false">I2498*J2498</f>
        <v>22000</v>
      </c>
      <c r="L2498" s="14" t="n">
        <f aca="false">($L$2*M2498)/100</f>
        <v>600833.25</v>
      </c>
      <c r="M2498" s="15" t="n">
        <v>0.5</v>
      </c>
      <c r="N2498" s="9" t="s">
        <v>85</v>
      </c>
    </row>
    <row r="2499" customFormat="false" ht="14.25" hidden="false" customHeight="true" outlineLevel="0" collapsed="false">
      <c r="B2499" s="9" t="s">
        <v>63</v>
      </c>
      <c r="C2499" s="9" t="n">
        <v>1185732</v>
      </c>
      <c r="D2499" s="10" t="n">
        <v>44480</v>
      </c>
      <c r="E2499" s="9" t="s">
        <v>38</v>
      </c>
      <c r="F2499" s="9" t="s">
        <v>98</v>
      </c>
      <c r="G2499" s="9" t="s">
        <v>99</v>
      </c>
      <c r="H2499" s="11" t="s">
        <v>19</v>
      </c>
      <c r="I2499" s="12" t="n">
        <v>40</v>
      </c>
      <c r="J2499" s="13" t="n">
        <v>725</v>
      </c>
      <c r="K2499" s="14" t="n">
        <f aca="false">I2499*J2499</f>
        <v>29000</v>
      </c>
      <c r="L2499" s="14" t="n">
        <f aca="false">($L$2*M2499)/100</f>
        <v>480666.6</v>
      </c>
      <c r="M2499" s="15" t="n">
        <v>0.4</v>
      </c>
      <c r="N2499" s="9" t="s">
        <v>85</v>
      </c>
    </row>
    <row r="2500" customFormat="false" ht="14.25" hidden="false" customHeight="true" outlineLevel="0" collapsed="false">
      <c r="B2500" s="9" t="s">
        <v>63</v>
      </c>
      <c r="C2500" s="9" t="n">
        <v>1185732</v>
      </c>
      <c r="D2500" s="10" t="n">
        <v>44480</v>
      </c>
      <c r="E2500" s="9" t="s">
        <v>38</v>
      </c>
      <c r="F2500" s="9" t="s">
        <v>98</v>
      </c>
      <c r="G2500" s="9" t="s">
        <v>99</v>
      </c>
      <c r="H2500" s="11" t="s">
        <v>21</v>
      </c>
      <c r="I2500" s="12" t="n">
        <v>30</v>
      </c>
      <c r="J2500" s="13" t="n">
        <v>550</v>
      </c>
      <c r="K2500" s="14" t="n">
        <f aca="false">I2500*J2500</f>
        <v>16500</v>
      </c>
      <c r="L2500" s="14" t="n">
        <f aca="false">($L$2*M2500)/100</f>
        <v>420583.275</v>
      </c>
      <c r="M2500" s="15" t="n">
        <v>0.35</v>
      </c>
      <c r="N2500" s="9" t="s">
        <v>85</v>
      </c>
    </row>
    <row r="2501" customFormat="false" ht="14.25" hidden="false" customHeight="true" outlineLevel="0" collapsed="false">
      <c r="B2501" s="9" t="s">
        <v>63</v>
      </c>
      <c r="C2501" s="9" t="n">
        <v>1185732</v>
      </c>
      <c r="D2501" s="10" t="n">
        <v>44480</v>
      </c>
      <c r="E2501" s="9" t="s">
        <v>38</v>
      </c>
      <c r="F2501" s="9" t="s">
        <v>98</v>
      </c>
      <c r="G2501" s="9" t="s">
        <v>99</v>
      </c>
      <c r="H2501" s="11" t="s">
        <v>22</v>
      </c>
      <c r="I2501" s="12" t="n">
        <v>30</v>
      </c>
      <c r="J2501" s="13" t="n">
        <v>425</v>
      </c>
      <c r="K2501" s="14" t="n">
        <f aca="false">I2501*J2501</f>
        <v>12750</v>
      </c>
      <c r="L2501" s="14" t="n">
        <f aca="false">($L$2*M2501)/100</f>
        <v>480666.6</v>
      </c>
      <c r="M2501" s="15" t="n">
        <v>0.4</v>
      </c>
      <c r="N2501" s="9" t="s">
        <v>85</v>
      </c>
    </row>
    <row r="2502" customFormat="false" ht="14.25" hidden="false" customHeight="true" outlineLevel="0" collapsed="false">
      <c r="B2502" s="9" t="s">
        <v>63</v>
      </c>
      <c r="C2502" s="9" t="n">
        <v>1185732</v>
      </c>
      <c r="D2502" s="10" t="n">
        <v>44480</v>
      </c>
      <c r="E2502" s="9" t="s">
        <v>38</v>
      </c>
      <c r="F2502" s="9" t="s">
        <v>98</v>
      </c>
      <c r="G2502" s="9" t="s">
        <v>99</v>
      </c>
      <c r="H2502" s="11" t="s">
        <v>23</v>
      </c>
      <c r="I2502" s="12" t="n">
        <v>30</v>
      </c>
      <c r="J2502" s="13" t="n">
        <v>400</v>
      </c>
      <c r="K2502" s="14" t="n">
        <f aca="false">I2502*J2502</f>
        <v>12000</v>
      </c>
      <c r="L2502" s="14" t="n">
        <f aca="false">($L$2*M2502)/100</f>
        <v>480666.6</v>
      </c>
      <c r="M2502" s="15" t="n">
        <v>0.4</v>
      </c>
      <c r="N2502" s="9" t="s">
        <v>85</v>
      </c>
    </row>
    <row r="2503" customFormat="false" ht="14.25" hidden="false" customHeight="true" outlineLevel="0" collapsed="false">
      <c r="B2503" s="9" t="s">
        <v>63</v>
      </c>
      <c r="C2503" s="9" t="n">
        <v>1185732</v>
      </c>
      <c r="D2503" s="10" t="n">
        <v>44480</v>
      </c>
      <c r="E2503" s="9" t="s">
        <v>38</v>
      </c>
      <c r="F2503" s="9" t="s">
        <v>98</v>
      </c>
      <c r="G2503" s="9" t="s">
        <v>99</v>
      </c>
      <c r="H2503" s="11" t="s">
        <v>24</v>
      </c>
      <c r="I2503" s="12" t="n">
        <v>40</v>
      </c>
      <c r="J2503" s="13" t="n">
        <v>400</v>
      </c>
      <c r="K2503" s="14" t="n">
        <f aca="false">I2503*J2503</f>
        <v>16000</v>
      </c>
      <c r="L2503" s="14" t="n">
        <f aca="false">($L$2*M2503)/100</f>
        <v>420583.275</v>
      </c>
      <c r="M2503" s="15" t="n">
        <v>0.35</v>
      </c>
      <c r="N2503" s="9" t="s">
        <v>85</v>
      </c>
    </row>
    <row r="2504" customFormat="false" ht="14.25" hidden="false" customHeight="true" outlineLevel="0" collapsed="false">
      <c r="B2504" s="9" t="s">
        <v>63</v>
      </c>
      <c r="C2504" s="9" t="n">
        <v>1185732</v>
      </c>
      <c r="D2504" s="10" t="n">
        <v>44480</v>
      </c>
      <c r="E2504" s="9" t="s">
        <v>38</v>
      </c>
      <c r="F2504" s="9" t="s">
        <v>98</v>
      </c>
      <c r="G2504" s="9" t="s">
        <v>99</v>
      </c>
      <c r="H2504" s="11" t="s">
        <v>25</v>
      </c>
      <c r="I2504" s="12" t="n">
        <v>40</v>
      </c>
      <c r="J2504" s="13" t="n">
        <v>525</v>
      </c>
      <c r="K2504" s="14" t="n">
        <f aca="false">I2504*J2504</f>
        <v>21000</v>
      </c>
      <c r="L2504" s="14" t="n">
        <f aca="false">($L$2*M2504)/100</f>
        <v>600833.25</v>
      </c>
      <c r="M2504" s="15" t="n">
        <v>0.5</v>
      </c>
      <c r="N2504" s="9" t="s">
        <v>85</v>
      </c>
    </row>
    <row r="2505" customFormat="false" ht="14.25" hidden="false" customHeight="true" outlineLevel="0" collapsed="false">
      <c r="B2505" s="9" t="s">
        <v>63</v>
      </c>
      <c r="C2505" s="9" t="n">
        <v>1185732</v>
      </c>
      <c r="D2505" s="10" t="n">
        <v>44510</v>
      </c>
      <c r="E2505" s="9" t="s">
        <v>38</v>
      </c>
      <c r="F2505" s="9" t="s">
        <v>98</v>
      </c>
      <c r="G2505" s="9" t="s">
        <v>99</v>
      </c>
      <c r="H2505" s="11" t="s">
        <v>19</v>
      </c>
      <c r="I2505" s="12" t="n">
        <v>35</v>
      </c>
      <c r="J2505" s="13" t="n">
        <v>675</v>
      </c>
      <c r="K2505" s="14" t="n">
        <f aca="false">I2505*J2505</f>
        <v>23625</v>
      </c>
      <c r="L2505" s="14" t="n">
        <f aca="false">($L$2*M2505)/100</f>
        <v>480666.6</v>
      </c>
      <c r="M2505" s="15" t="n">
        <v>0.4</v>
      </c>
      <c r="N2505" s="9" t="s">
        <v>85</v>
      </c>
    </row>
    <row r="2506" customFormat="false" ht="14.25" hidden="false" customHeight="true" outlineLevel="0" collapsed="false">
      <c r="B2506" s="9" t="s">
        <v>63</v>
      </c>
      <c r="C2506" s="9" t="n">
        <v>1185732</v>
      </c>
      <c r="D2506" s="10" t="n">
        <v>44510</v>
      </c>
      <c r="E2506" s="9" t="s">
        <v>38</v>
      </c>
      <c r="F2506" s="9" t="s">
        <v>98</v>
      </c>
      <c r="G2506" s="9" t="s">
        <v>99</v>
      </c>
      <c r="H2506" s="11" t="s">
        <v>21</v>
      </c>
      <c r="I2506" s="12" t="n">
        <v>25</v>
      </c>
      <c r="J2506" s="13" t="n">
        <v>500</v>
      </c>
      <c r="K2506" s="14" t="n">
        <f aca="false">I2506*J2506</f>
        <v>12500</v>
      </c>
      <c r="L2506" s="14" t="n">
        <f aca="false">($L$2*M2506)/100</f>
        <v>420583.275</v>
      </c>
      <c r="M2506" s="15" t="n">
        <v>0.35</v>
      </c>
      <c r="N2506" s="9" t="s">
        <v>85</v>
      </c>
    </row>
    <row r="2507" customFormat="false" ht="14.25" hidden="false" customHeight="true" outlineLevel="0" collapsed="false">
      <c r="B2507" s="9" t="s">
        <v>63</v>
      </c>
      <c r="C2507" s="9" t="n">
        <v>1185732</v>
      </c>
      <c r="D2507" s="10" t="n">
        <v>44510</v>
      </c>
      <c r="E2507" s="9" t="s">
        <v>38</v>
      </c>
      <c r="F2507" s="9" t="s">
        <v>98</v>
      </c>
      <c r="G2507" s="9" t="s">
        <v>99</v>
      </c>
      <c r="H2507" s="11" t="s">
        <v>22</v>
      </c>
      <c r="I2507" s="12" t="n">
        <v>35</v>
      </c>
      <c r="J2507" s="13" t="n">
        <v>445</v>
      </c>
      <c r="K2507" s="14" t="n">
        <f aca="false">I2507*J2507</f>
        <v>15575</v>
      </c>
      <c r="L2507" s="14" t="n">
        <f aca="false">($L$2*M2507)/100</f>
        <v>480666.6</v>
      </c>
      <c r="M2507" s="15" t="n">
        <v>0.4</v>
      </c>
      <c r="N2507" s="9" t="s">
        <v>85</v>
      </c>
    </row>
    <row r="2508" customFormat="false" ht="14.25" hidden="false" customHeight="true" outlineLevel="0" collapsed="false">
      <c r="B2508" s="9" t="s">
        <v>63</v>
      </c>
      <c r="C2508" s="9" t="n">
        <v>1185732</v>
      </c>
      <c r="D2508" s="10" t="n">
        <v>44510</v>
      </c>
      <c r="E2508" s="9" t="s">
        <v>38</v>
      </c>
      <c r="F2508" s="9" t="s">
        <v>98</v>
      </c>
      <c r="G2508" s="9" t="s">
        <v>99</v>
      </c>
      <c r="H2508" s="11" t="s">
        <v>23</v>
      </c>
      <c r="I2508" s="12" t="n">
        <v>65</v>
      </c>
      <c r="J2508" s="13" t="n">
        <v>500</v>
      </c>
      <c r="K2508" s="14" t="n">
        <f aca="false">I2508*J2508</f>
        <v>32500</v>
      </c>
      <c r="L2508" s="14" t="n">
        <f aca="false">($L$2*M2508)/100</f>
        <v>480666.6</v>
      </c>
      <c r="M2508" s="15" t="n">
        <v>0.4</v>
      </c>
      <c r="N2508" s="9" t="s">
        <v>85</v>
      </c>
    </row>
    <row r="2509" customFormat="false" ht="14.25" hidden="false" customHeight="true" outlineLevel="0" collapsed="false">
      <c r="B2509" s="9" t="s">
        <v>63</v>
      </c>
      <c r="C2509" s="9" t="n">
        <v>1185732</v>
      </c>
      <c r="D2509" s="10" t="n">
        <v>44510</v>
      </c>
      <c r="E2509" s="9" t="s">
        <v>38</v>
      </c>
      <c r="F2509" s="9" t="s">
        <v>98</v>
      </c>
      <c r="G2509" s="9" t="s">
        <v>99</v>
      </c>
      <c r="H2509" s="11" t="s">
        <v>24</v>
      </c>
      <c r="I2509" s="12" t="n">
        <v>80</v>
      </c>
      <c r="J2509" s="13" t="n">
        <v>475</v>
      </c>
      <c r="K2509" s="14" t="n">
        <f aca="false">I2509*J2509</f>
        <v>38000</v>
      </c>
      <c r="L2509" s="14" t="n">
        <f aca="false">($L$2*M2509)/100</f>
        <v>420583.275</v>
      </c>
      <c r="M2509" s="15" t="n">
        <v>0.35</v>
      </c>
      <c r="N2509" s="9" t="s">
        <v>85</v>
      </c>
    </row>
    <row r="2510" customFormat="false" ht="14.25" hidden="false" customHeight="true" outlineLevel="0" collapsed="false">
      <c r="B2510" s="9" t="s">
        <v>63</v>
      </c>
      <c r="C2510" s="9" t="n">
        <v>1185732</v>
      </c>
      <c r="D2510" s="10" t="n">
        <v>44510</v>
      </c>
      <c r="E2510" s="9" t="s">
        <v>38</v>
      </c>
      <c r="F2510" s="9" t="s">
        <v>98</v>
      </c>
      <c r="G2510" s="9" t="s">
        <v>99</v>
      </c>
      <c r="H2510" s="11" t="s">
        <v>25</v>
      </c>
      <c r="I2510" s="12" t="n">
        <v>80</v>
      </c>
      <c r="J2510" s="13" t="n">
        <v>575</v>
      </c>
      <c r="K2510" s="14" t="n">
        <f aca="false">I2510*J2510</f>
        <v>46000</v>
      </c>
      <c r="L2510" s="14" t="n">
        <f aca="false">($L$2*M2510)/100</f>
        <v>600833.25</v>
      </c>
      <c r="M2510" s="15" t="n">
        <v>0.5</v>
      </c>
      <c r="N2510" s="9" t="s">
        <v>85</v>
      </c>
    </row>
    <row r="2511" customFormat="false" ht="14.25" hidden="false" customHeight="true" outlineLevel="0" collapsed="false">
      <c r="B2511" s="9" t="s">
        <v>63</v>
      </c>
      <c r="C2511" s="9" t="n">
        <v>1185732</v>
      </c>
      <c r="D2511" s="10" t="n">
        <v>44539</v>
      </c>
      <c r="E2511" s="9" t="s">
        <v>38</v>
      </c>
      <c r="F2511" s="9" t="s">
        <v>98</v>
      </c>
      <c r="G2511" s="9" t="s">
        <v>99</v>
      </c>
      <c r="H2511" s="11" t="s">
        <v>19</v>
      </c>
      <c r="I2511" s="12" t="n">
        <v>75</v>
      </c>
      <c r="J2511" s="13" t="n">
        <v>825</v>
      </c>
      <c r="K2511" s="14" t="n">
        <f aca="false">I2511*J2511</f>
        <v>61875</v>
      </c>
      <c r="L2511" s="14" t="n">
        <f aca="false">($L$2*M2511)/100</f>
        <v>480666.6</v>
      </c>
      <c r="M2511" s="15" t="n">
        <v>0.4</v>
      </c>
      <c r="N2511" s="9" t="s">
        <v>85</v>
      </c>
    </row>
    <row r="2512" customFormat="false" ht="14.25" hidden="false" customHeight="true" outlineLevel="0" collapsed="false">
      <c r="B2512" s="9" t="s">
        <v>63</v>
      </c>
      <c r="C2512" s="9" t="n">
        <v>1185732</v>
      </c>
      <c r="D2512" s="10" t="n">
        <v>44539</v>
      </c>
      <c r="E2512" s="9" t="s">
        <v>38</v>
      </c>
      <c r="F2512" s="9" t="s">
        <v>98</v>
      </c>
      <c r="G2512" s="9" t="s">
        <v>99</v>
      </c>
      <c r="H2512" s="11" t="s">
        <v>21</v>
      </c>
      <c r="I2512" s="12" t="n">
        <v>65</v>
      </c>
      <c r="J2512" s="13" t="n">
        <v>625</v>
      </c>
      <c r="K2512" s="14" t="n">
        <f aca="false">I2512*J2512</f>
        <v>40625</v>
      </c>
      <c r="L2512" s="14" t="n">
        <f aca="false">($L$2*M2512)/100</f>
        <v>420583.275</v>
      </c>
      <c r="M2512" s="15" t="n">
        <v>0.35</v>
      </c>
      <c r="N2512" s="9" t="s">
        <v>85</v>
      </c>
    </row>
    <row r="2513" customFormat="false" ht="14.25" hidden="false" customHeight="true" outlineLevel="0" collapsed="false">
      <c r="B2513" s="9" t="s">
        <v>32</v>
      </c>
      <c r="C2513" s="9" t="n">
        <v>1185732</v>
      </c>
      <c r="D2513" s="10" t="n">
        <v>44539</v>
      </c>
      <c r="E2513" s="9" t="s">
        <v>38</v>
      </c>
      <c r="F2513" s="9" t="s">
        <v>98</v>
      </c>
      <c r="G2513" s="9" t="s">
        <v>99</v>
      </c>
      <c r="H2513" s="11" t="s">
        <v>22</v>
      </c>
      <c r="I2513" s="12" t="n">
        <v>65</v>
      </c>
      <c r="J2513" s="13" t="n">
        <v>575</v>
      </c>
      <c r="K2513" s="14" t="n">
        <f aca="false">I2513*J2513</f>
        <v>37375</v>
      </c>
      <c r="L2513" s="14" t="n">
        <f aca="false">($L$2*M2513)/100</f>
        <v>480666.6</v>
      </c>
      <c r="M2513" s="15" t="n">
        <v>0.4</v>
      </c>
      <c r="N2513" s="9" t="s">
        <v>85</v>
      </c>
    </row>
    <row r="2514" customFormat="false" ht="14.25" hidden="false" customHeight="true" outlineLevel="0" collapsed="false">
      <c r="B2514" s="9" t="s">
        <v>32</v>
      </c>
      <c r="C2514" s="9" t="n">
        <v>1185732</v>
      </c>
      <c r="D2514" s="10" t="n">
        <v>44539</v>
      </c>
      <c r="E2514" s="9" t="s">
        <v>38</v>
      </c>
      <c r="F2514" s="9" t="s">
        <v>98</v>
      </c>
      <c r="G2514" s="9" t="s">
        <v>99</v>
      </c>
      <c r="H2514" s="11" t="s">
        <v>23</v>
      </c>
      <c r="I2514" s="12" t="n">
        <v>65</v>
      </c>
      <c r="J2514" s="13" t="n">
        <v>525</v>
      </c>
      <c r="K2514" s="14" t="n">
        <f aca="false">I2514*J2514</f>
        <v>34125</v>
      </c>
      <c r="L2514" s="14" t="n">
        <f aca="false">($L$2*M2514)/100</f>
        <v>480666.6</v>
      </c>
      <c r="M2514" s="15" t="n">
        <v>0.4</v>
      </c>
      <c r="N2514" s="9" t="s">
        <v>85</v>
      </c>
    </row>
    <row r="2515" customFormat="false" ht="14.25" hidden="false" customHeight="true" outlineLevel="0" collapsed="false">
      <c r="B2515" s="9" t="s">
        <v>32</v>
      </c>
      <c r="C2515" s="9" t="n">
        <v>1185732</v>
      </c>
      <c r="D2515" s="10" t="n">
        <v>44539</v>
      </c>
      <c r="E2515" s="9" t="s">
        <v>38</v>
      </c>
      <c r="F2515" s="9" t="s">
        <v>98</v>
      </c>
      <c r="G2515" s="9" t="s">
        <v>99</v>
      </c>
      <c r="H2515" s="11" t="s">
        <v>24</v>
      </c>
      <c r="I2515" s="12" t="n">
        <v>75</v>
      </c>
      <c r="J2515" s="13" t="n">
        <v>525</v>
      </c>
      <c r="K2515" s="14" t="n">
        <f aca="false">I2515*J2515</f>
        <v>39375</v>
      </c>
      <c r="L2515" s="14" t="n">
        <f aca="false">($L$2*M2515)/100</f>
        <v>420583.275</v>
      </c>
      <c r="M2515" s="15" t="n">
        <v>0.35</v>
      </c>
      <c r="N2515" s="9" t="s">
        <v>85</v>
      </c>
    </row>
    <row r="2516" customFormat="false" ht="14.25" hidden="false" customHeight="true" outlineLevel="0" collapsed="false">
      <c r="B2516" s="9" t="s">
        <v>32</v>
      </c>
      <c r="C2516" s="9" t="n">
        <v>1185732</v>
      </c>
      <c r="D2516" s="10" t="n">
        <v>44539</v>
      </c>
      <c r="E2516" s="9" t="s">
        <v>38</v>
      </c>
      <c r="F2516" s="9" t="s">
        <v>98</v>
      </c>
      <c r="G2516" s="9" t="s">
        <v>99</v>
      </c>
      <c r="H2516" s="11" t="s">
        <v>25</v>
      </c>
      <c r="I2516" s="12" t="n">
        <v>80</v>
      </c>
      <c r="J2516" s="13" t="n">
        <v>625</v>
      </c>
      <c r="K2516" s="14" t="n">
        <f aca="false">I2516*J2516</f>
        <v>50000</v>
      </c>
      <c r="L2516" s="14" t="n">
        <f aca="false">($L$2*M2516)/100</f>
        <v>600833.25</v>
      </c>
      <c r="M2516" s="15" t="n">
        <v>0.5</v>
      </c>
      <c r="N2516" s="9" t="s">
        <v>85</v>
      </c>
    </row>
    <row r="2517" customFormat="false" ht="14.25" hidden="false" customHeight="true" outlineLevel="0" collapsed="false">
      <c r="B2517" s="9" t="s">
        <v>63</v>
      </c>
      <c r="C2517" s="9" t="n">
        <v>1185732</v>
      </c>
      <c r="D2517" s="10" t="n">
        <v>44218</v>
      </c>
      <c r="E2517" s="9" t="s">
        <v>38</v>
      </c>
      <c r="F2517" s="9" t="s">
        <v>98</v>
      </c>
      <c r="G2517" s="9" t="s">
        <v>99</v>
      </c>
      <c r="H2517" s="11" t="s">
        <v>19</v>
      </c>
      <c r="I2517" s="12" t="n">
        <v>40</v>
      </c>
      <c r="J2517" s="13" t="n">
        <v>500</v>
      </c>
      <c r="K2517" s="14" t="n">
        <f aca="false">I2517*J2517</f>
        <v>20000</v>
      </c>
      <c r="L2517" s="14" t="n">
        <f aca="false">($L$2*M2517)/100</f>
        <v>480666.6</v>
      </c>
      <c r="M2517" s="15" t="n">
        <v>0.4</v>
      </c>
      <c r="N2517" s="9" t="s">
        <v>85</v>
      </c>
    </row>
    <row r="2518" customFormat="false" ht="14.25" hidden="false" customHeight="true" outlineLevel="0" collapsed="false">
      <c r="B2518" s="9" t="s">
        <v>63</v>
      </c>
      <c r="C2518" s="9" t="n">
        <v>1185732</v>
      </c>
      <c r="D2518" s="10" t="n">
        <v>44218</v>
      </c>
      <c r="E2518" s="9" t="s">
        <v>38</v>
      </c>
      <c r="F2518" s="9" t="s">
        <v>98</v>
      </c>
      <c r="G2518" s="9" t="s">
        <v>99</v>
      </c>
      <c r="H2518" s="11" t="s">
        <v>21</v>
      </c>
      <c r="I2518" s="12" t="n">
        <v>40</v>
      </c>
      <c r="J2518" s="13" t="n">
        <v>300</v>
      </c>
      <c r="K2518" s="14" t="n">
        <f aca="false">I2518*J2518</f>
        <v>12000</v>
      </c>
      <c r="L2518" s="14" t="n">
        <f aca="false">($L$2*M2518)/100</f>
        <v>420583.275</v>
      </c>
      <c r="M2518" s="15" t="n">
        <v>0.35</v>
      </c>
      <c r="N2518" s="9" t="s">
        <v>85</v>
      </c>
    </row>
    <row r="2519" customFormat="false" ht="14.25" hidden="false" customHeight="true" outlineLevel="0" collapsed="false">
      <c r="B2519" s="9" t="s">
        <v>63</v>
      </c>
      <c r="C2519" s="9" t="n">
        <v>1185732</v>
      </c>
      <c r="D2519" s="10" t="n">
        <v>44218</v>
      </c>
      <c r="E2519" s="9" t="s">
        <v>38</v>
      </c>
      <c r="F2519" s="9" t="s">
        <v>98</v>
      </c>
      <c r="G2519" s="9" t="s">
        <v>99</v>
      </c>
      <c r="H2519" s="11" t="s">
        <v>22</v>
      </c>
      <c r="I2519" s="12" t="n">
        <v>30</v>
      </c>
      <c r="J2519" s="13" t="n">
        <v>300</v>
      </c>
      <c r="K2519" s="14" t="n">
        <f aca="false">I2519*J2519</f>
        <v>9000</v>
      </c>
      <c r="L2519" s="14" t="n">
        <f aca="false">($L$2*M2519)/100</f>
        <v>480666.6</v>
      </c>
      <c r="M2519" s="15" t="n">
        <v>0.4</v>
      </c>
      <c r="N2519" s="9" t="s">
        <v>85</v>
      </c>
    </row>
    <row r="2520" customFormat="false" ht="14.25" hidden="false" customHeight="true" outlineLevel="0" collapsed="false">
      <c r="B2520" s="9" t="s">
        <v>63</v>
      </c>
      <c r="C2520" s="9" t="n">
        <v>1185732</v>
      </c>
      <c r="D2520" s="10" t="n">
        <v>44218</v>
      </c>
      <c r="E2520" s="9" t="s">
        <v>38</v>
      </c>
      <c r="F2520" s="9" t="s">
        <v>98</v>
      </c>
      <c r="G2520" s="9" t="s">
        <v>99</v>
      </c>
      <c r="H2520" s="11" t="s">
        <v>23</v>
      </c>
      <c r="I2520" s="12" t="n">
        <v>35</v>
      </c>
      <c r="J2520" s="13" t="n">
        <v>150</v>
      </c>
      <c r="K2520" s="14" t="n">
        <f aca="false">I2520*J2520</f>
        <v>5250</v>
      </c>
      <c r="L2520" s="14" t="n">
        <f aca="false">($L$2*M2520)/100</f>
        <v>480666.6</v>
      </c>
      <c r="M2520" s="15" t="n">
        <v>0.4</v>
      </c>
      <c r="N2520" s="9" t="s">
        <v>85</v>
      </c>
    </row>
    <row r="2521" customFormat="false" ht="14.25" hidden="false" customHeight="true" outlineLevel="0" collapsed="false">
      <c r="B2521" s="9" t="s">
        <v>63</v>
      </c>
      <c r="C2521" s="9" t="n">
        <v>1185732</v>
      </c>
      <c r="D2521" s="10" t="n">
        <v>44218</v>
      </c>
      <c r="E2521" s="9" t="s">
        <v>38</v>
      </c>
      <c r="F2521" s="9" t="s">
        <v>98</v>
      </c>
      <c r="G2521" s="9" t="s">
        <v>99</v>
      </c>
      <c r="H2521" s="11" t="s">
        <v>24</v>
      </c>
      <c r="I2521" s="12" t="n">
        <v>50</v>
      </c>
      <c r="J2521" s="13" t="n">
        <v>200</v>
      </c>
      <c r="K2521" s="14" t="n">
        <f aca="false">I2521*J2521</f>
        <v>10000</v>
      </c>
      <c r="L2521" s="14" t="n">
        <f aca="false">($L$2*M2521)/100</f>
        <v>420583.275</v>
      </c>
      <c r="M2521" s="15" t="n">
        <v>0.35</v>
      </c>
      <c r="N2521" s="9" t="s">
        <v>85</v>
      </c>
    </row>
    <row r="2522" customFormat="false" ht="14.25" hidden="false" customHeight="true" outlineLevel="0" collapsed="false">
      <c r="B2522" s="9" t="s">
        <v>63</v>
      </c>
      <c r="C2522" s="9" t="n">
        <v>1185732</v>
      </c>
      <c r="D2522" s="10" t="n">
        <v>44218</v>
      </c>
      <c r="E2522" s="9" t="s">
        <v>38</v>
      </c>
      <c r="F2522" s="9" t="s">
        <v>98</v>
      </c>
      <c r="G2522" s="9" t="s">
        <v>99</v>
      </c>
      <c r="H2522" s="11" t="s">
        <v>25</v>
      </c>
      <c r="I2522" s="12" t="n">
        <v>40</v>
      </c>
      <c r="J2522" s="13" t="n">
        <v>300</v>
      </c>
      <c r="K2522" s="14" t="n">
        <f aca="false">I2522*J2522</f>
        <v>12000</v>
      </c>
      <c r="L2522" s="14" t="n">
        <f aca="false">($L$2*M2522)/100</f>
        <v>480666.6</v>
      </c>
      <c r="M2522" s="15" t="n">
        <v>0.4</v>
      </c>
      <c r="N2522" s="9" t="s">
        <v>85</v>
      </c>
    </row>
    <row r="2523" customFormat="false" ht="14.25" hidden="false" customHeight="true" outlineLevel="0" collapsed="false">
      <c r="B2523" s="9" t="s">
        <v>63</v>
      </c>
      <c r="C2523" s="9" t="n">
        <v>1185732</v>
      </c>
      <c r="D2523" s="10" t="n">
        <v>44249</v>
      </c>
      <c r="E2523" s="9" t="s">
        <v>38</v>
      </c>
      <c r="F2523" s="9" t="s">
        <v>98</v>
      </c>
      <c r="G2523" s="9" t="s">
        <v>99</v>
      </c>
      <c r="H2523" s="11" t="s">
        <v>19</v>
      </c>
      <c r="I2523" s="12" t="n">
        <v>40</v>
      </c>
      <c r="J2523" s="13" t="n">
        <v>550</v>
      </c>
      <c r="K2523" s="14" t="n">
        <f aca="false">I2523*J2523</f>
        <v>22000</v>
      </c>
      <c r="L2523" s="14" t="n">
        <f aca="false">($L$2*M2523)/100</f>
        <v>480666.6</v>
      </c>
      <c r="M2523" s="15" t="n">
        <v>0.4</v>
      </c>
      <c r="N2523" s="9" t="s">
        <v>85</v>
      </c>
    </row>
    <row r="2524" customFormat="false" ht="14.25" hidden="false" customHeight="true" outlineLevel="0" collapsed="false">
      <c r="B2524" s="9" t="s">
        <v>63</v>
      </c>
      <c r="C2524" s="9" t="n">
        <v>1185732</v>
      </c>
      <c r="D2524" s="10" t="n">
        <v>44249</v>
      </c>
      <c r="E2524" s="9" t="s">
        <v>38</v>
      </c>
      <c r="F2524" s="9" t="s">
        <v>98</v>
      </c>
      <c r="G2524" s="9" t="s">
        <v>99</v>
      </c>
      <c r="H2524" s="11" t="s">
        <v>21</v>
      </c>
      <c r="I2524" s="12" t="n">
        <v>40</v>
      </c>
      <c r="J2524" s="13" t="n">
        <v>200</v>
      </c>
      <c r="K2524" s="14" t="n">
        <f aca="false">I2524*J2524</f>
        <v>8000</v>
      </c>
      <c r="L2524" s="14" t="n">
        <f aca="false">($L$2*M2524)/100</f>
        <v>420583.275</v>
      </c>
      <c r="M2524" s="15" t="n">
        <v>0.35</v>
      </c>
      <c r="N2524" s="9" t="s">
        <v>85</v>
      </c>
    </row>
    <row r="2525" customFormat="false" ht="14.25" hidden="false" customHeight="true" outlineLevel="0" collapsed="false">
      <c r="B2525" s="9" t="s">
        <v>63</v>
      </c>
      <c r="C2525" s="9" t="n">
        <v>1185732</v>
      </c>
      <c r="D2525" s="10" t="n">
        <v>44249</v>
      </c>
      <c r="E2525" s="9" t="s">
        <v>38</v>
      </c>
      <c r="F2525" s="9" t="s">
        <v>98</v>
      </c>
      <c r="G2525" s="9" t="s">
        <v>99</v>
      </c>
      <c r="H2525" s="11" t="s">
        <v>22</v>
      </c>
      <c r="I2525" s="12" t="n">
        <v>30</v>
      </c>
      <c r="J2525" s="13" t="n">
        <v>250</v>
      </c>
      <c r="K2525" s="14" t="n">
        <f aca="false">I2525*J2525</f>
        <v>7500</v>
      </c>
      <c r="L2525" s="14" t="n">
        <f aca="false">($L$2*M2525)/100</f>
        <v>480666.6</v>
      </c>
      <c r="M2525" s="15" t="n">
        <v>0.4</v>
      </c>
      <c r="N2525" s="9" t="s">
        <v>85</v>
      </c>
    </row>
    <row r="2526" customFormat="false" ht="14.25" hidden="false" customHeight="true" outlineLevel="0" collapsed="false">
      <c r="B2526" s="9" t="s">
        <v>63</v>
      </c>
      <c r="C2526" s="9" t="n">
        <v>1185732</v>
      </c>
      <c r="D2526" s="10" t="n">
        <v>44249</v>
      </c>
      <c r="E2526" s="9" t="s">
        <v>50</v>
      </c>
      <c r="F2526" s="9" t="s">
        <v>100</v>
      </c>
      <c r="G2526" s="9" t="s">
        <v>101</v>
      </c>
      <c r="H2526" s="11" t="s">
        <v>23</v>
      </c>
      <c r="I2526" s="12" t="n">
        <v>35</v>
      </c>
      <c r="J2526" s="13" t="n">
        <v>125</v>
      </c>
      <c r="K2526" s="14" t="n">
        <f aca="false">I2526*J2526</f>
        <v>4375</v>
      </c>
      <c r="L2526" s="14" t="n">
        <f aca="false">($L$2*M2526)/100</f>
        <v>480666.6</v>
      </c>
      <c r="M2526" s="15" t="n">
        <v>0.4</v>
      </c>
      <c r="N2526" s="9" t="s">
        <v>85</v>
      </c>
    </row>
    <row r="2527" customFormat="false" ht="14.25" hidden="false" customHeight="true" outlineLevel="0" collapsed="false">
      <c r="B2527" s="9" t="s">
        <v>63</v>
      </c>
      <c r="C2527" s="9" t="n">
        <v>1185732</v>
      </c>
      <c r="D2527" s="10" t="n">
        <v>44249</v>
      </c>
      <c r="E2527" s="9" t="s">
        <v>50</v>
      </c>
      <c r="F2527" s="9" t="s">
        <v>100</v>
      </c>
      <c r="G2527" s="9" t="s">
        <v>101</v>
      </c>
      <c r="H2527" s="11" t="s">
        <v>24</v>
      </c>
      <c r="I2527" s="12" t="n">
        <v>50</v>
      </c>
      <c r="J2527" s="13" t="n">
        <v>200</v>
      </c>
      <c r="K2527" s="14" t="n">
        <f aca="false">I2527*J2527</f>
        <v>10000</v>
      </c>
      <c r="L2527" s="14" t="n">
        <f aca="false">($L$2*M2527)/100</f>
        <v>420583.275</v>
      </c>
      <c r="M2527" s="15" t="n">
        <v>0.35</v>
      </c>
      <c r="N2527" s="9" t="s">
        <v>85</v>
      </c>
    </row>
    <row r="2528" customFormat="false" ht="14.25" hidden="false" customHeight="true" outlineLevel="0" collapsed="false">
      <c r="B2528" s="9" t="s">
        <v>63</v>
      </c>
      <c r="C2528" s="9" t="n">
        <v>1185732</v>
      </c>
      <c r="D2528" s="10" t="n">
        <v>44249</v>
      </c>
      <c r="E2528" s="9" t="s">
        <v>50</v>
      </c>
      <c r="F2528" s="9" t="s">
        <v>100</v>
      </c>
      <c r="G2528" s="9" t="s">
        <v>101</v>
      </c>
      <c r="H2528" s="11" t="s">
        <v>25</v>
      </c>
      <c r="I2528" s="12" t="n">
        <v>40</v>
      </c>
      <c r="J2528" s="13" t="n">
        <v>300</v>
      </c>
      <c r="K2528" s="14" t="n">
        <f aca="false">I2528*J2528</f>
        <v>12000</v>
      </c>
      <c r="L2528" s="14" t="n">
        <f aca="false">($L$2*M2528)/100</f>
        <v>480666.6</v>
      </c>
      <c r="M2528" s="15" t="n">
        <v>0.4</v>
      </c>
      <c r="N2528" s="9" t="s">
        <v>85</v>
      </c>
    </row>
    <row r="2529" customFormat="false" ht="14.25" hidden="false" customHeight="true" outlineLevel="0" collapsed="false">
      <c r="B2529" s="9" t="s">
        <v>63</v>
      </c>
      <c r="C2529" s="9" t="n">
        <v>1185732</v>
      </c>
      <c r="D2529" s="10" t="n">
        <v>44276</v>
      </c>
      <c r="E2529" s="9" t="s">
        <v>50</v>
      </c>
      <c r="F2529" s="9" t="s">
        <v>100</v>
      </c>
      <c r="G2529" s="9" t="s">
        <v>101</v>
      </c>
      <c r="H2529" s="11" t="s">
        <v>19</v>
      </c>
      <c r="I2529" s="12" t="n">
        <v>45</v>
      </c>
      <c r="J2529" s="13" t="n">
        <v>520</v>
      </c>
      <c r="K2529" s="14" t="n">
        <f aca="false">I2529*J2529</f>
        <v>23400</v>
      </c>
      <c r="L2529" s="14" t="n">
        <f aca="false">($L$2*M2529)/100</f>
        <v>480666.6</v>
      </c>
      <c r="M2529" s="15" t="n">
        <v>0.4</v>
      </c>
      <c r="N2529" s="9" t="s">
        <v>85</v>
      </c>
    </row>
    <row r="2530" customFormat="false" ht="14.25" hidden="false" customHeight="true" outlineLevel="0" collapsed="false">
      <c r="B2530" s="9" t="s">
        <v>63</v>
      </c>
      <c r="C2530" s="9" t="n">
        <v>1185732</v>
      </c>
      <c r="D2530" s="10" t="n">
        <v>44276</v>
      </c>
      <c r="E2530" s="9" t="s">
        <v>50</v>
      </c>
      <c r="F2530" s="9" t="s">
        <v>100</v>
      </c>
      <c r="G2530" s="9" t="s">
        <v>101</v>
      </c>
      <c r="H2530" s="11" t="s">
        <v>21</v>
      </c>
      <c r="I2530" s="12" t="n">
        <v>45</v>
      </c>
      <c r="J2530" s="13" t="n">
        <v>225</v>
      </c>
      <c r="K2530" s="14" t="n">
        <f aca="false">I2530*J2530</f>
        <v>10125</v>
      </c>
      <c r="L2530" s="14" t="n">
        <f aca="false">($L$2*M2530)/100</f>
        <v>420583.275</v>
      </c>
      <c r="M2530" s="15" t="n">
        <v>0.35</v>
      </c>
      <c r="N2530" s="9" t="s">
        <v>85</v>
      </c>
    </row>
    <row r="2531" customFormat="false" ht="14.25" hidden="false" customHeight="true" outlineLevel="0" collapsed="false">
      <c r="B2531" s="9" t="s">
        <v>63</v>
      </c>
      <c r="C2531" s="9" t="n">
        <v>1185732</v>
      </c>
      <c r="D2531" s="10" t="n">
        <v>44276</v>
      </c>
      <c r="E2531" s="9" t="s">
        <v>50</v>
      </c>
      <c r="F2531" s="9" t="s">
        <v>100</v>
      </c>
      <c r="G2531" s="9" t="s">
        <v>101</v>
      </c>
      <c r="H2531" s="11" t="s">
        <v>22</v>
      </c>
      <c r="I2531" s="12" t="n">
        <v>35</v>
      </c>
      <c r="J2531" s="13" t="n">
        <v>250</v>
      </c>
      <c r="K2531" s="14" t="n">
        <f aca="false">I2531*J2531</f>
        <v>8750</v>
      </c>
      <c r="L2531" s="14" t="n">
        <f aca="false">($L$2*M2531)/100</f>
        <v>480666.6</v>
      </c>
      <c r="M2531" s="15" t="n">
        <v>0.4</v>
      </c>
      <c r="N2531" s="9" t="s">
        <v>85</v>
      </c>
    </row>
    <row r="2532" customFormat="false" ht="14.25" hidden="false" customHeight="true" outlineLevel="0" collapsed="false">
      <c r="B2532" s="9" t="s">
        <v>63</v>
      </c>
      <c r="C2532" s="9" t="n">
        <v>1185732</v>
      </c>
      <c r="D2532" s="10" t="n">
        <v>44276</v>
      </c>
      <c r="E2532" s="9" t="s">
        <v>50</v>
      </c>
      <c r="F2532" s="9" t="s">
        <v>100</v>
      </c>
      <c r="G2532" s="9" t="s">
        <v>101</v>
      </c>
      <c r="H2532" s="11" t="s">
        <v>23</v>
      </c>
      <c r="I2532" s="12" t="n">
        <v>40</v>
      </c>
      <c r="J2532" s="13" t="n">
        <v>100</v>
      </c>
      <c r="K2532" s="14" t="n">
        <f aca="false">I2532*J2532</f>
        <v>4000</v>
      </c>
      <c r="L2532" s="14" t="n">
        <f aca="false">($L$2*M2532)/100</f>
        <v>480666.6</v>
      </c>
      <c r="M2532" s="15" t="n">
        <v>0.4</v>
      </c>
      <c r="N2532" s="9" t="s">
        <v>85</v>
      </c>
    </row>
    <row r="2533" customFormat="false" ht="14.25" hidden="false" customHeight="true" outlineLevel="0" collapsed="false">
      <c r="B2533" s="9" t="s">
        <v>63</v>
      </c>
      <c r="C2533" s="9" t="n">
        <v>1185732</v>
      </c>
      <c r="D2533" s="10" t="n">
        <v>44276</v>
      </c>
      <c r="E2533" s="9" t="s">
        <v>50</v>
      </c>
      <c r="F2533" s="9" t="s">
        <v>100</v>
      </c>
      <c r="G2533" s="9" t="s">
        <v>101</v>
      </c>
      <c r="H2533" s="11" t="s">
        <v>24</v>
      </c>
      <c r="I2533" s="12" t="n">
        <v>55</v>
      </c>
      <c r="J2533" s="13" t="n">
        <v>150</v>
      </c>
      <c r="K2533" s="14" t="n">
        <f aca="false">I2533*J2533</f>
        <v>8250</v>
      </c>
      <c r="L2533" s="14" t="n">
        <f aca="false">($L$2*M2533)/100</f>
        <v>420583.275</v>
      </c>
      <c r="M2533" s="15" t="n">
        <v>0.35</v>
      </c>
      <c r="N2533" s="9" t="s">
        <v>85</v>
      </c>
    </row>
    <row r="2534" customFormat="false" ht="14.25" hidden="false" customHeight="true" outlineLevel="0" collapsed="false">
      <c r="B2534" s="9" t="s">
        <v>63</v>
      </c>
      <c r="C2534" s="9" t="n">
        <v>1185732</v>
      </c>
      <c r="D2534" s="10" t="n">
        <v>44276</v>
      </c>
      <c r="E2534" s="9" t="s">
        <v>50</v>
      </c>
      <c r="F2534" s="9" t="s">
        <v>100</v>
      </c>
      <c r="G2534" s="9" t="s">
        <v>101</v>
      </c>
      <c r="H2534" s="11" t="s">
        <v>25</v>
      </c>
      <c r="I2534" s="12" t="n">
        <v>45</v>
      </c>
      <c r="J2534" s="13" t="n">
        <v>250</v>
      </c>
      <c r="K2534" s="14" t="n">
        <f aca="false">I2534*J2534</f>
        <v>11250</v>
      </c>
      <c r="L2534" s="14" t="n">
        <f aca="false">($L$2*M2534)/100</f>
        <v>480666.6</v>
      </c>
      <c r="M2534" s="15" t="n">
        <v>0.4</v>
      </c>
      <c r="N2534" s="9" t="s">
        <v>85</v>
      </c>
    </row>
    <row r="2535" customFormat="false" ht="14.25" hidden="false" customHeight="true" outlineLevel="0" collapsed="false">
      <c r="B2535" s="9" t="s">
        <v>63</v>
      </c>
      <c r="C2535" s="9" t="n">
        <v>1185732</v>
      </c>
      <c r="D2535" s="10" t="n">
        <v>44308</v>
      </c>
      <c r="E2535" s="9" t="s">
        <v>50</v>
      </c>
      <c r="F2535" s="9" t="s">
        <v>100</v>
      </c>
      <c r="G2535" s="9" t="s">
        <v>101</v>
      </c>
      <c r="H2535" s="11" t="s">
        <v>19</v>
      </c>
      <c r="I2535" s="12" t="n">
        <v>45</v>
      </c>
      <c r="J2535" s="13" t="n">
        <v>475</v>
      </c>
      <c r="K2535" s="14" t="n">
        <f aca="false">I2535*J2535</f>
        <v>21375</v>
      </c>
      <c r="L2535" s="14" t="n">
        <f aca="false">($L$2*M2535)/100</f>
        <v>480666.6</v>
      </c>
      <c r="M2535" s="15" t="n">
        <v>0.4</v>
      </c>
      <c r="N2535" s="9" t="s">
        <v>85</v>
      </c>
    </row>
    <row r="2536" customFormat="false" ht="14.25" hidden="false" customHeight="true" outlineLevel="0" collapsed="false">
      <c r="B2536" s="9" t="s">
        <v>63</v>
      </c>
      <c r="C2536" s="9" t="n">
        <v>1185732</v>
      </c>
      <c r="D2536" s="10" t="n">
        <v>44308</v>
      </c>
      <c r="E2536" s="9" t="s">
        <v>50</v>
      </c>
      <c r="F2536" s="9" t="s">
        <v>100</v>
      </c>
      <c r="G2536" s="9" t="s">
        <v>101</v>
      </c>
      <c r="H2536" s="11" t="s">
        <v>21</v>
      </c>
      <c r="I2536" s="12" t="n">
        <v>45</v>
      </c>
      <c r="J2536" s="13" t="n">
        <v>175</v>
      </c>
      <c r="K2536" s="14" t="n">
        <f aca="false">I2536*J2536</f>
        <v>7875</v>
      </c>
      <c r="L2536" s="14" t="n">
        <f aca="false">($L$2*M2536)/100</f>
        <v>420583.275</v>
      </c>
      <c r="M2536" s="15" t="n">
        <v>0.35</v>
      </c>
      <c r="N2536" s="9" t="s">
        <v>85</v>
      </c>
    </row>
    <row r="2537" customFormat="false" ht="14.25" hidden="false" customHeight="true" outlineLevel="0" collapsed="false">
      <c r="B2537" s="9" t="s">
        <v>63</v>
      </c>
      <c r="C2537" s="9" t="n">
        <v>1185732</v>
      </c>
      <c r="D2537" s="10" t="n">
        <v>44308</v>
      </c>
      <c r="E2537" s="9" t="s">
        <v>50</v>
      </c>
      <c r="F2537" s="9" t="s">
        <v>100</v>
      </c>
      <c r="G2537" s="9" t="s">
        <v>101</v>
      </c>
      <c r="H2537" s="11" t="s">
        <v>22</v>
      </c>
      <c r="I2537" s="12" t="n">
        <v>40</v>
      </c>
      <c r="J2537" s="13" t="n">
        <v>175</v>
      </c>
      <c r="K2537" s="14" t="n">
        <f aca="false">I2537*J2537</f>
        <v>7000</v>
      </c>
      <c r="L2537" s="14" t="n">
        <f aca="false">($L$2*M2537)/100</f>
        <v>480666.6</v>
      </c>
      <c r="M2537" s="15" t="n">
        <v>0.4</v>
      </c>
      <c r="N2537" s="9" t="s">
        <v>85</v>
      </c>
    </row>
    <row r="2538" customFormat="false" ht="14.25" hidden="false" customHeight="true" outlineLevel="0" collapsed="false">
      <c r="B2538" s="9" t="s">
        <v>63</v>
      </c>
      <c r="C2538" s="9" t="n">
        <v>1185732</v>
      </c>
      <c r="D2538" s="10" t="n">
        <v>44308</v>
      </c>
      <c r="E2538" s="9" t="s">
        <v>50</v>
      </c>
      <c r="F2538" s="9" t="s">
        <v>100</v>
      </c>
      <c r="G2538" s="9" t="s">
        <v>101</v>
      </c>
      <c r="H2538" s="11" t="s">
        <v>23</v>
      </c>
      <c r="I2538" s="12" t="n">
        <v>45</v>
      </c>
      <c r="J2538" s="13" t="n">
        <v>100</v>
      </c>
      <c r="K2538" s="14" t="n">
        <f aca="false">I2538*J2538</f>
        <v>4500</v>
      </c>
      <c r="L2538" s="14" t="n">
        <f aca="false">($L$2*M2538)/100</f>
        <v>480666.6</v>
      </c>
      <c r="M2538" s="15" t="n">
        <v>0.4</v>
      </c>
      <c r="N2538" s="9" t="s">
        <v>85</v>
      </c>
    </row>
    <row r="2539" customFormat="false" ht="14.25" hidden="false" customHeight="true" outlineLevel="0" collapsed="false">
      <c r="B2539" s="9" t="s">
        <v>63</v>
      </c>
      <c r="C2539" s="9" t="n">
        <v>1185732</v>
      </c>
      <c r="D2539" s="10" t="n">
        <v>44308</v>
      </c>
      <c r="E2539" s="9" t="s">
        <v>50</v>
      </c>
      <c r="F2539" s="9" t="s">
        <v>100</v>
      </c>
      <c r="G2539" s="9" t="s">
        <v>101</v>
      </c>
      <c r="H2539" s="11" t="s">
        <v>24</v>
      </c>
      <c r="I2539" s="12" t="n">
        <v>50</v>
      </c>
      <c r="J2539" s="13" t="n">
        <v>125</v>
      </c>
      <c r="K2539" s="14" t="n">
        <f aca="false">I2539*J2539</f>
        <v>6250</v>
      </c>
      <c r="L2539" s="14" t="n">
        <f aca="false">($L$2*M2539)/100</f>
        <v>420583.275</v>
      </c>
      <c r="M2539" s="15" t="n">
        <v>0.35</v>
      </c>
      <c r="N2539" s="9" t="s">
        <v>85</v>
      </c>
    </row>
    <row r="2540" customFormat="false" ht="14.25" hidden="false" customHeight="true" outlineLevel="0" collapsed="false">
      <c r="B2540" s="9" t="s">
        <v>63</v>
      </c>
      <c r="C2540" s="9" t="n">
        <v>1185732</v>
      </c>
      <c r="D2540" s="10" t="n">
        <v>44308</v>
      </c>
      <c r="E2540" s="9" t="s">
        <v>50</v>
      </c>
      <c r="F2540" s="9" t="s">
        <v>100</v>
      </c>
      <c r="G2540" s="9" t="s">
        <v>101</v>
      </c>
      <c r="H2540" s="11" t="s">
        <v>25</v>
      </c>
      <c r="I2540" s="12" t="n">
        <v>40</v>
      </c>
      <c r="J2540" s="13" t="n">
        <v>250</v>
      </c>
      <c r="K2540" s="14" t="n">
        <f aca="false">I2540*J2540</f>
        <v>10000</v>
      </c>
      <c r="L2540" s="14" t="n">
        <f aca="false">($L$2*M2540)/100</f>
        <v>480666.6</v>
      </c>
      <c r="M2540" s="15" t="n">
        <v>0.4</v>
      </c>
      <c r="N2540" s="9" t="s">
        <v>85</v>
      </c>
    </row>
    <row r="2541" customFormat="false" ht="14.25" hidden="false" customHeight="true" outlineLevel="0" collapsed="false">
      <c r="B2541" s="9" t="s">
        <v>63</v>
      </c>
      <c r="C2541" s="9" t="n">
        <v>1185732</v>
      </c>
      <c r="D2541" s="10" t="n">
        <v>44339</v>
      </c>
      <c r="E2541" s="9" t="s">
        <v>50</v>
      </c>
      <c r="F2541" s="9" t="s">
        <v>100</v>
      </c>
      <c r="G2541" s="9" t="s">
        <v>101</v>
      </c>
      <c r="H2541" s="11" t="s">
        <v>19</v>
      </c>
      <c r="I2541" s="12" t="n">
        <v>50</v>
      </c>
      <c r="J2541" s="13" t="n">
        <v>520</v>
      </c>
      <c r="K2541" s="14" t="n">
        <f aca="false">I2541*J2541</f>
        <v>26000</v>
      </c>
      <c r="L2541" s="14" t="n">
        <f aca="false">($L$2*M2541)/100</f>
        <v>480666.6</v>
      </c>
      <c r="M2541" s="15" t="n">
        <v>0.4</v>
      </c>
      <c r="N2541" s="9" t="s">
        <v>85</v>
      </c>
    </row>
    <row r="2542" customFormat="false" ht="14.25" hidden="false" customHeight="true" outlineLevel="0" collapsed="false">
      <c r="B2542" s="9" t="s">
        <v>63</v>
      </c>
      <c r="C2542" s="9" t="n">
        <v>1185732</v>
      </c>
      <c r="D2542" s="10" t="n">
        <v>44339</v>
      </c>
      <c r="E2542" s="9" t="s">
        <v>50</v>
      </c>
      <c r="F2542" s="9" t="s">
        <v>100</v>
      </c>
      <c r="G2542" s="9" t="s">
        <v>101</v>
      </c>
      <c r="H2542" s="11" t="s">
        <v>21</v>
      </c>
      <c r="I2542" s="12" t="n">
        <v>45</v>
      </c>
      <c r="J2542" s="13" t="n">
        <v>225</v>
      </c>
      <c r="K2542" s="14" t="n">
        <f aca="false">I2542*J2542</f>
        <v>10125</v>
      </c>
      <c r="L2542" s="14" t="n">
        <f aca="false">($L$2*M2542)/100</f>
        <v>420583.275</v>
      </c>
      <c r="M2542" s="15" t="n">
        <v>0.35</v>
      </c>
      <c r="N2542" s="9" t="s">
        <v>85</v>
      </c>
    </row>
    <row r="2543" customFormat="false" ht="14.25" hidden="false" customHeight="true" outlineLevel="0" collapsed="false">
      <c r="B2543" s="9" t="s">
        <v>63</v>
      </c>
      <c r="C2543" s="9" t="n">
        <v>1185732</v>
      </c>
      <c r="D2543" s="10" t="n">
        <v>44339</v>
      </c>
      <c r="E2543" s="9" t="s">
        <v>50</v>
      </c>
      <c r="F2543" s="9" t="s">
        <v>100</v>
      </c>
      <c r="G2543" s="9" t="s">
        <v>101</v>
      </c>
      <c r="H2543" s="11" t="s">
        <v>22</v>
      </c>
      <c r="I2543" s="12" t="n">
        <v>40</v>
      </c>
      <c r="J2543" s="13" t="n">
        <v>200</v>
      </c>
      <c r="K2543" s="14" t="n">
        <f aca="false">I2543*J2543</f>
        <v>8000</v>
      </c>
      <c r="L2543" s="14" t="n">
        <f aca="false">($L$2*M2543)/100</f>
        <v>480666.6</v>
      </c>
      <c r="M2543" s="15" t="n">
        <v>0.4</v>
      </c>
      <c r="N2543" s="9" t="s">
        <v>85</v>
      </c>
    </row>
    <row r="2544" customFormat="false" ht="14.25" hidden="false" customHeight="true" outlineLevel="0" collapsed="false">
      <c r="B2544" s="9" t="s">
        <v>63</v>
      </c>
      <c r="C2544" s="9" t="n">
        <v>1185732</v>
      </c>
      <c r="D2544" s="10" t="n">
        <v>44339</v>
      </c>
      <c r="E2544" s="9" t="s">
        <v>50</v>
      </c>
      <c r="F2544" s="9" t="s">
        <v>100</v>
      </c>
      <c r="G2544" s="9" t="s">
        <v>101</v>
      </c>
      <c r="H2544" s="11" t="s">
        <v>23</v>
      </c>
      <c r="I2544" s="12" t="n">
        <v>40</v>
      </c>
      <c r="J2544" s="13" t="n">
        <v>125</v>
      </c>
      <c r="K2544" s="14" t="n">
        <f aca="false">I2544*J2544</f>
        <v>5000</v>
      </c>
      <c r="L2544" s="14" t="n">
        <f aca="false">($L$2*M2544)/100</f>
        <v>480666.6</v>
      </c>
      <c r="M2544" s="15" t="n">
        <v>0.4</v>
      </c>
      <c r="N2544" s="9" t="s">
        <v>85</v>
      </c>
    </row>
    <row r="2545" customFormat="false" ht="14.25" hidden="false" customHeight="true" outlineLevel="0" collapsed="false">
      <c r="B2545" s="9" t="s">
        <v>63</v>
      </c>
      <c r="C2545" s="9" t="n">
        <v>1185732</v>
      </c>
      <c r="D2545" s="10" t="n">
        <v>44339</v>
      </c>
      <c r="E2545" s="9" t="s">
        <v>50</v>
      </c>
      <c r="F2545" s="9" t="s">
        <v>100</v>
      </c>
      <c r="G2545" s="9" t="s">
        <v>101</v>
      </c>
      <c r="H2545" s="11" t="s">
        <v>24</v>
      </c>
      <c r="I2545" s="12" t="n">
        <v>50</v>
      </c>
      <c r="J2545" s="13" t="n">
        <v>150</v>
      </c>
      <c r="K2545" s="14" t="n">
        <f aca="false">I2545*J2545</f>
        <v>7500</v>
      </c>
      <c r="L2545" s="14" t="n">
        <f aca="false">($L$2*M2545)/100</f>
        <v>420583.275</v>
      </c>
      <c r="M2545" s="15" t="n">
        <v>0.35</v>
      </c>
      <c r="N2545" s="9" t="s">
        <v>85</v>
      </c>
    </row>
    <row r="2546" customFormat="false" ht="14.25" hidden="false" customHeight="true" outlineLevel="0" collapsed="false">
      <c r="B2546" s="9" t="s">
        <v>63</v>
      </c>
      <c r="C2546" s="9" t="n">
        <v>1185732</v>
      </c>
      <c r="D2546" s="10" t="n">
        <v>44339</v>
      </c>
      <c r="E2546" s="9" t="s">
        <v>50</v>
      </c>
      <c r="F2546" s="9" t="s">
        <v>100</v>
      </c>
      <c r="G2546" s="9" t="s">
        <v>101</v>
      </c>
      <c r="H2546" s="11" t="s">
        <v>25</v>
      </c>
      <c r="I2546" s="12" t="n">
        <v>55</v>
      </c>
      <c r="J2546" s="13" t="n">
        <v>275</v>
      </c>
      <c r="K2546" s="14" t="n">
        <f aca="false">I2546*J2546</f>
        <v>15125</v>
      </c>
      <c r="L2546" s="14" t="n">
        <f aca="false">($L$2*M2546)/100</f>
        <v>480666.6</v>
      </c>
      <c r="M2546" s="15" t="n">
        <v>0.4</v>
      </c>
      <c r="N2546" s="9" t="s">
        <v>85</v>
      </c>
    </row>
    <row r="2547" customFormat="false" ht="14.25" hidden="false" customHeight="true" outlineLevel="0" collapsed="false">
      <c r="B2547" s="9" t="s">
        <v>63</v>
      </c>
      <c r="C2547" s="9" t="n">
        <v>1185732</v>
      </c>
      <c r="D2547" s="10" t="n">
        <v>44369</v>
      </c>
      <c r="E2547" s="9" t="s">
        <v>50</v>
      </c>
      <c r="F2547" s="9" t="s">
        <v>100</v>
      </c>
      <c r="G2547" s="9" t="s">
        <v>101</v>
      </c>
      <c r="H2547" s="11" t="s">
        <v>19</v>
      </c>
      <c r="I2547" s="12" t="n">
        <v>40</v>
      </c>
      <c r="J2547" s="13" t="n">
        <v>525</v>
      </c>
      <c r="K2547" s="14" t="n">
        <f aca="false">I2547*J2547</f>
        <v>21000</v>
      </c>
      <c r="L2547" s="14" t="n">
        <f aca="false">($L$2*M2547)/100</f>
        <v>480666.6</v>
      </c>
      <c r="M2547" s="15" t="n">
        <v>0.4</v>
      </c>
      <c r="N2547" s="9" t="s">
        <v>85</v>
      </c>
    </row>
    <row r="2548" customFormat="false" ht="14.25" hidden="false" customHeight="true" outlineLevel="0" collapsed="false">
      <c r="B2548" s="9" t="s">
        <v>63</v>
      </c>
      <c r="C2548" s="9" t="n">
        <v>1185732</v>
      </c>
      <c r="D2548" s="10" t="n">
        <v>44369</v>
      </c>
      <c r="E2548" s="9" t="s">
        <v>50</v>
      </c>
      <c r="F2548" s="9" t="s">
        <v>100</v>
      </c>
      <c r="G2548" s="9" t="s">
        <v>101</v>
      </c>
      <c r="H2548" s="11" t="s">
        <v>21</v>
      </c>
      <c r="I2548" s="12" t="n">
        <v>35</v>
      </c>
      <c r="J2548" s="13" t="n">
        <v>275</v>
      </c>
      <c r="K2548" s="14" t="n">
        <f aca="false">I2548*J2548</f>
        <v>9625</v>
      </c>
      <c r="L2548" s="14" t="n">
        <f aca="false">($L$2*M2548)/100</f>
        <v>420583.275</v>
      </c>
      <c r="M2548" s="15" t="n">
        <v>0.35</v>
      </c>
      <c r="N2548" s="9" t="s">
        <v>85</v>
      </c>
    </row>
    <row r="2549" customFormat="false" ht="14.25" hidden="false" customHeight="true" outlineLevel="0" collapsed="false">
      <c r="B2549" s="9" t="s">
        <v>63</v>
      </c>
      <c r="C2549" s="9" t="n">
        <v>1185732</v>
      </c>
      <c r="D2549" s="10" t="n">
        <v>44369</v>
      </c>
      <c r="E2549" s="9" t="s">
        <v>50</v>
      </c>
      <c r="F2549" s="9" t="s">
        <v>100</v>
      </c>
      <c r="G2549" s="9" t="s">
        <v>101</v>
      </c>
      <c r="H2549" s="11" t="s">
        <v>22</v>
      </c>
      <c r="I2549" s="12" t="n">
        <v>30</v>
      </c>
      <c r="J2549" s="13" t="n">
        <v>225</v>
      </c>
      <c r="K2549" s="14" t="n">
        <f aca="false">I2549*J2549</f>
        <v>6750</v>
      </c>
      <c r="L2549" s="14" t="n">
        <f aca="false">($L$2*M2549)/100</f>
        <v>480666.6</v>
      </c>
      <c r="M2549" s="15" t="n">
        <v>0.4</v>
      </c>
      <c r="N2549" s="9" t="s">
        <v>85</v>
      </c>
    </row>
    <row r="2550" customFormat="false" ht="14.25" hidden="false" customHeight="true" outlineLevel="0" collapsed="false">
      <c r="B2550" s="9" t="s">
        <v>63</v>
      </c>
      <c r="C2550" s="9" t="n">
        <v>1185732</v>
      </c>
      <c r="D2550" s="10" t="n">
        <v>44369</v>
      </c>
      <c r="E2550" s="9" t="s">
        <v>50</v>
      </c>
      <c r="F2550" s="9" t="s">
        <v>100</v>
      </c>
      <c r="G2550" s="9" t="s">
        <v>101</v>
      </c>
      <c r="H2550" s="11" t="s">
        <v>23</v>
      </c>
      <c r="I2550" s="12" t="n">
        <v>30</v>
      </c>
      <c r="J2550" s="13" t="n">
        <v>200</v>
      </c>
      <c r="K2550" s="14" t="n">
        <f aca="false">I2550*J2550</f>
        <v>6000</v>
      </c>
      <c r="L2550" s="14" t="n">
        <f aca="false">($L$2*M2550)/100</f>
        <v>480666.6</v>
      </c>
      <c r="M2550" s="15" t="n">
        <v>0.4</v>
      </c>
      <c r="N2550" s="9" t="s">
        <v>85</v>
      </c>
    </row>
    <row r="2551" customFormat="false" ht="14.25" hidden="false" customHeight="true" outlineLevel="0" collapsed="false">
      <c r="B2551" s="9" t="s">
        <v>63</v>
      </c>
      <c r="C2551" s="9" t="n">
        <v>1185732</v>
      </c>
      <c r="D2551" s="10" t="n">
        <v>44369</v>
      </c>
      <c r="E2551" s="9" t="s">
        <v>50</v>
      </c>
      <c r="F2551" s="9" t="s">
        <v>100</v>
      </c>
      <c r="G2551" s="9" t="s">
        <v>101</v>
      </c>
      <c r="H2551" s="11" t="s">
        <v>24</v>
      </c>
      <c r="I2551" s="12" t="n">
        <v>50</v>
      </c>
      <c r="J2551" s="13" t="n">
        <v>200</v>
      </c>
      <c r="K2551" s="14" t="n">
        <f aca="false">I2551*J2551</f>
        <v>10000</v>
      </c>
      <c r="L2551" s="14" t="n">
        <f aca="false">($L$2*M2551)/100</f>
        <v>420583.275</v>
      </c>
      <c r="M2551" s="15" t="n">
        <v>0.35</v>
      </c>
      <c r="N2551" s="9" t="s">
        <v>85</v>
      </c>
    </row>
    <row r="2552" customFormat="false" ht="14.25" hidden="false" customHeight="true" outlineLevel="0" collapsed="false">
      <c r="B2552" s="9" t="s">
        <v>63</v>
      </c>
      <c r="C2552" s="9" t="n">
        <v>1185732</v>
      </c>
      <c r="D2552" s="10" t="n">
        <v>44369</v>
      </c>
      <c r="E2552" s="9" t="s">
        <v>50</v>
      </c>
      <c r="F2552" s="9" t="s">
        <v>100</v>
      </c>
      <c r="G2552" s="9" t="s">
        <v>101</v>
      </c>
      <c r="H2552" s="11" t="s">
        <v>25</v>
      </c>
      <c r="I2552" s="12" t="n">
        <v>55</v>
      </c>
      <c r="J2552" s="13" t="n">
        <v>375</v>
      </c>
      <c r="K2552" s="14" t="n">
        <f aca="false">I2552*J2552</f>
        <v>20625</v>
      </c>
      <c r="L2552" s="14" t="n">
        <f aca="false">($L$2*M2552)/100</f>
        <v>480666.6</v>
      </c>
      <c r="M2552" s="15" t="n">
        <v>0.4</v>
      </c>
      <c r="N2552" s="9" t="s">
        <v>85</v>
      </c>
    </row>
    <row r="2553" customFormat="false" ht="14.25" hidden="false" customHeight="true" outlineLevel="0" collapsed="false">
      <c r="B2553" s="9" t="s">
        <v>63</v>
      </c>
      <c r="C2553" s="9" t="n">
        <v>1185732</v>
      </c>
      <c r="D2553" s="10" t="n">
        <v>44398</v>
      </c>
      <c r="E2553" s="9" t="s">
        <v>50</v>
      </c>
      <c r="F2553" s="9" t="s">
        <v>100</v>
      </c>
      <c r="G2553" s="9" t="s">
        <v>101</v>
      </c>
      <c r="H2553" s="11" t="s">
        <v>19</v>
      </c>
      <c r="I2553" s="12" t="n">
        <v>50</v>
      </c>
      <c r="J2553" s="13" t="n">
        <v>600</v>
      </c>
      <c r="K2553" s="14" t="n">
        <f aca="false">I2553*J2553</f>
        <v>30000</v>
      </c>
      <c r="L2553" s="14" t="n">
        <f aca="false">($L$2*M2553)/100</f>
        <v>480666.6</v>
      </c>
      <c r="M2553" s="15" t="n">
        <v>0.4</v>
      </c>
      <c r="N2553" s="9" t="s">
        <v>85</v>
      </c>
    </row>
    <row r="2554" customFormat="false" ht="14.25" hidden="false" customHeight="true" outlineLevel="0" collapsed="false">
      <c r="B2554" s="9" t="s">
        <v>63</v>
      </c>
      <c r="C2554" s="9" t="n">
        <v>1185732</v>
      </c>
      <c r="D2554" s="10" t="n">
        <v>44398</v>
      </c>
      <c r="E2554" s="9" t="s">
        <v>50</v>
      </c>
      <c r="F2554" s="9" t="s">
        <v>100</v>
      </c>
      <c r="G2554" s="9" t="s">
        <v>101</v>
      </c>
      <c r="H2554" s="11" t="s">
        <v>21</v>
      </c>
      <c r="I2554" s="12" t="n">
        <v>45</v>
      </c>
      <c r="J2554" s="13" t="n">
        <v>350</v>
      </c>
      <c r="K2554" s="14" t="n">
        <f aca="false">I2554*J2554</f>
        <v>15750</v>
      </c>
      <c r="L2554" s="14" t="n">
        <f aca="false">($L$2*M2554)/100</f>
        <v>420583.275</v>
      </c>
      <c r="M2554" s="15" t="n">
        <v>0.35</v>
      </c>
      <c r="N2554" s="9" t="s">
        <v>85</v>
      </c>
    </row>
    <row r="2555" customFormat="false" ht="14.25" hidden="false" customHeight="true" outlineLevel="0" collapsed="false">
      <c r="B2555" s="9" t="s">
        <v>63</v>
      </c>
      <c r="C2555" s="9" t="n">
        <v>1185732</v>
      </c>
      <c r="D2555" s="10" t="n">
        <v>44398</v>
      </c>
      <c r="E2555" s="9" t="s">
        <v>50</v>
      </c>
      <c r="F2555" s="9" t="s">
        <v>100</v>
      </c>
      <c r="G2555" s="9" t="s">
        <v>101</v>
      </c>
      <c r="H2555" s="11" t="s">
        <v>22</v>
      </c>
      <c r="I2555" s="12" t="n">
        <v>40</v>
      </c>
      <c r="J2555" s="13" t="n">
        <v>275</v>
      </c>
      <c r="K2555" s="14" t="n">
        <f aca="false">I2555*J2555</f>
        <v>11000</v>
      </c>
      <c r="L2555" s="14" t="n">
        <f aca="false">($L$2*M2555)/100</f>
        <v>480666.6</v>
      </c>
      <c r="M2555" s="15" t="n">
        <v>0.4</v>
      </c>
      <c r="N2555" s="9" t="s">
        <v>85</v>
      </c>
    </row>
    <row r="2556" customFormat="false" ht="14.25" hidden="false" customHeight="true" outlineLevel="0" collapsed="false">
      <c r="B2556" s="9" t="s">
        <v>63</v>
      </c>
      <c r="C2556" s="9" t="n">
        <v>1185732</v>
      </c>
      <c r="D2556" s="10" t="n">
        <v>44398</v>
      </c>
      <c r="E2556" s="9" t="s">
        <v>50</v>
      </c>
      <c r="F2556" s="9" t="s">
        <v>100</v>
      </c>
      <c r="G2556" s="9" t="s">
        <v>101</v>
      </c>
      <c r="H2556" s="11" t="s">
        <v>23</v>
      </c>
      <c r="I2556" s="12" t="n">
        <v>40</v>
      </c>
      <c r="J2556" s="13" t="n">
        <v>225</v>
      </c>
      <c r="K2556" s="14" t="n">
        <f aca="false">I2556*J2556</f>
        <v>9000</v>
      </c>
      <c r="L2556" s="14" t="n">
        <f aca="false">($L$2*M2556)/100</f>
        <v>480666.6</v>
      </c>
      <c r="M2556" s="15" t="n">
        <v>0.4</v>
      </c>
      <c r="N2556" s="9" t="s">
        <v>85</v>
      </c>
    </row>
    <row r="2557" customFormat="false" ht="14.25" hidden="false" customHeight="true" outlineLevel="0" collapsed="false">
      <c r="B2557" s="9" t="s">
        <v>63</v>
      </c>
      <c r="C2557" s="9" t="n">
        <v>1185732</v>
      </c>
      <c r="D2557" s="10" t="n">
        <v>44398</v>
      </c>
      <c r="E2557" s="9" t="s">
        <v>50</v>
      </c>
      <c r="F2557" s="9" t="s">
        <v>100</v>
      </c>
      <c r="G2557" s="9" t="s">
        <v>101</v>
      </c>
      <c r="H2557" s="11" t="s">
        <v>24</v>
      </c>
      <c r="I2557" s="12" t="n">
        <v>50</v>
      </c>
      <c r="J2557" s="13" t="n">
        <v>250</v>
      </c>
      <c r="K2557" s="14" t="n">
        <f aca="false">I2557*J2557</f>
        <v>12500</v>
      </c>
      <c r="L2557" s="14" t="n">
        <f aca="false">($L$2*M2557)/100</f>
        <v>420583.275</v>
      </c>
      <c r="M2557" s="15" t="n">
        <v>0.35</v>
      </c>
      <c r="N2557" s="9" t="s">
        <v>85</v>
      </c>
    </row>
    <row r="2558" customFormat="false" ht="14.25" hidden="false" customHeight="true" outlineLevel="0" collapsed="false">
      <c r="B2558" s="9" t="s">
        <v>63</v>
      </c>
      <c r="C2558" s="9" t="n">
        <v>1185732</v>
      </c>
      <c r="D2558" s="10" t="n">
        <v>44398</v>
      </c>
      <c r="E2558" s="9" t="s">
        <v>50</v>
      </c>
      <c r="F2558" s="9" t="s">
        <v>100</v>
      </c>
      <c r="G2558" s="9" t="s">
        <v>101</v>
      </c>
      <c r="H2558" s="11" t="s">
        <v>25</v>
      </c>
      <c r="I2558" s="12" t="n">
        <v>55</v>
      </c>
      <c r="J2558" s="13" t="n">
        <v>425</v>
      </c>
      <c r="K2558" s="14" t="n">
        <f aca="false">I2558*J2558</f>
        <v>23375</v>
      </c>
      <c r="L2558" s="14" t="n">
        <f aca="false">($L$2*M2558)/100</f>
        <v>480666.6</v>
      </c>
      <c r="M2558" s="15" t="n">
        <v>0.4</v>
      </c>
      <c r="N2558" s="9" t="s">
        <v>85</v>
      </c>
    </row>
    <row r="2559" customFormat="false" ht="14.25" hidden="false" customHeight="true" outlineLevel="0" collapsed="false">
      <c r="B2559" s="9" t="s">
        <v>63</v>
      </c>
      <c r="C2559" s="9" t="n">
        <v>1185732</v>
      </c>
      <c r="D2559" s="10" t="n">
        <v>44430</v>
      </c>
      <c r="E2559" s="9" t="s">
        <v>50</v>
      </c>
      <c r="F2559" s="9" t="s">
        <v>100</v>
      </c>
      <c r="G2559" s="9" t="s">
        <v>101</v>
      </c>
      <c r="H2559" s="11" t="s">
        <v>19</v>
      </c>
      <c r="I2559" s="12" t="n">
        <v>50</v>
      </c>
      <c r="J2559" s="13" t="n">
        <v>575</v>
      </c>
      <c r="K2559" s="14" t="n">
        <f aca="false">I2559*J2559</f>
        <v>28750</v>
      </c>
      <c r="L2559" s="14" t="n">
        <f aca="false">($L$2*M2559)/100</f>
        <v>480666.6</v>
      </c>
      <c r="M2559" s="15" t="n">
        <v>0.4</v>
      </c>
      <c r="N2559" s="9" t="s">
        <v>85</v>
      </c>
    </row>
    <row r="2560" customFormat="false" ht="14.25" hidden="false" customHeight="true" outlineLevel="0" collapsed="false">
      <c r="B2560" s="9" t="s">
        <v>63</v>
      </c>
      <c r="C2560" s="9" t="n">
        <v>1185732</v>
      </c>
      <c r="D2560" s="10" t="n">
        <v>44430</v>
      </c>
      <c r="E2560" s="9" t="s">
        <v>50</v>
      </c>
      <c r="F2560" s="9" t="s">
        <v>100</v>
      </c>
      <c r="G2560" s="9" t="s">
        <v>101</v>
      </c>
      <c r="H2560" s="11" t="s">
        <v>21</v>
      </c>
      <c r="I2560" s="12" t="n">
        <v>45</v>
      </c>
      <c r="J2560" s="13" t="n">
        <v>350</v>
      </c>
      <c r="K2560" s="14" t="n">
        <f aca="false">I2560*J2560</f>
        <v>15750</v>
      </c>
      <c r="L2560" s="14" t="n">
        <f aca="false">($L$2*M2560)/100</f>
        <v>420583.275</v>
      </c>
      <c r="M2560" s="15" t="n">
        <v>0.35</v>
      </c>
      <c r="N2560" s="9" t="s">
        <v>85</v>
      </c>
    </row>
    <row r="2561" customFormat="false" ht="14.25" hidden="false" customHeight="true" outlineLevel="0" collapsed="false">
      <c r="B2561" s="9" t="s">
        <v>63</v>
      </c>
      <c r="C2561" s="9" t="n">
        <v>1185732</v>
      </c>
      <c r="D2561" s="10" t="n">
        <v>44430</v>
      </c>
      <c r="E2561" s="9" t="s">
        <v>50</v>
      </c>
      <c r="F2561" s="9" t="s">
        <v>100</v>
      </c>
      <c r="G2561" s="9" t="s">
        <v>101</v>
      </c>
      <c r="H2561" s="11" t="s">
        <v>22</v>
      </c>
      <c r="I2561" s="12" t="n">
        <v>40</v>
      </c>
      <c r="J2561" s="13" t="n">
        <v>275</v>
      </c>
      <c r="K2561" s="14" t="n">
        <f aca="false">I2561*J2561</f>
        <v>11000</v>
      </c>
      <c r="L2561" s="14" t="n">
        <f aca="false">($L$2*M2561)/100</f>
        <v>480666.6</v>
      </c>
      <c r="M2561" s="15" t="n">
        <v>0.4</v>
      </c>
      <c r="N2561" s="9" t="s">
        <v>85</v>
      </c>
    </row>
    <row r="2562" customFormat="false" ht="14.25" hidden="false" customHeight="true" outlineLevel="0" collapsed="false">
      <c r="B2562" s="9" t="s">
        <v>63</v>
      </c>
      <c r="C2562" s="9" t="n">
        <v>1185732</v>
      </c>
      <c r="D2562" s="10" t="n">
        <v>44430</v>
      </c>
      <c r="E2562" s="9" t="s">
        <v>50</v>
      </c>
      <c r="F2562" s="9" t="s">
        <v>100</v>
      </c>
      <c r="G2562" s="9" t="s">
        <v>101</v>
      </c>
      <c r="H2562" s="11" t="s">
        <v>23</v>
      </c>
      <c r="I2562" s="12" t="n">
        <v>40</v>
      </c>
      <c r="J2562" s="13" t="n">
        <v>250</v>
      </c>
      <c r="K2562" s="14" t="n">
        <f aca="false">I2562*J2562</f>
        <v>10000</v>
      </c>
      <c r="L2562" s="14" t="n">
        <f aca="false">($L$2*M2562)/100</f>
        <v>480666.6</v>
      </c>
      <c r="M2562" s="15" t="n">
        <v>0.4</v>
      </c>
      <c r="N2562" s="9" t="s">
        <v>85</v>
      </c>
    </row>
    <row r="2563" customFormat="false" ht="14.25" hidden="false" customHeight="true" outlineLevel="0" collapsed="false">
      <c r="B2563" s="9" t="s">
        <v>63</v>
      </c>
      <c r="C2563" s="9" t="n">
        <v>1185732</v>
      </c>
      <c r="D2563" s="10" t="n">
        <v>44430</v>
      </c>
      <c r="E2563" s="9" t="s">
        <v>50</v>
      </c>
      <c r="F2563" s="9" t="s">
        <v>100</v>
      </c>
      <c r="G2563" s="9" t="s">
        <v>101</v>
      </c>
      <c r="H2563" s="11" t="s">
        <v>24</v>
      </c>
      <c r="I2563" s="12" t="n">
        <v>50</v>
      </c>
      <c r="J2563" s="13" t="n">
        <v>225</v>
      </c>
      <c r="K2563" s="14" t="n">
        <f aca="false">I2563*J2563</f>
        <v>11250</v>
      </c>
      <c r="L2563" s="14" t="n">
        <f aca="false">($L$2*M2563)/100</f>
        <v>420583.275</v>
      </c>
      <c r="M2563" s="15" t="n">
        <v>0.35</v>
      </c>
      <c r="N2563" s="9" t="s">
        <v>85</v>
      </c>
    </row>
    <row r="2564" customFormat="false" ht="14.25" hidden="false" customHeight="true" outlineLevel="0" collapsed="false">
      <c r="B2564" s="9" t="s">
        <v>63</v>
      </c>
      <c r="C2564" s="9" t="n">
        <v>1185732</v>
      </c>
      <c r="D2564" s="10" t="n">
        <v>44430</v>
      </c>
      <c r="E2564" s="9" t="s">
        <v>50</v>
      </c>
      <c r="F2564" s="9" t="s">
        <v>100</v>
      </c>
      <c r="G2564" s="9" t="s">
        <v>101</v>
      </c>
      <c r="H2564" s="11" t="s">
        <v>25</v>
      </c>
      <c r="I2564" s="12" t="n">
        <v>55</v>
      </c>
      <c r="J2564" s="13" t="n">
        <v>400</v>
      </c>
      <c r="K2564" s="14" t="n">
        <f aca="false">I2564*J2564</f>
        <v>22000</v>
      </c>
      <c r="L2564" s="14" t="n">
        <f aca="false">($L$2*M2564)/100</f>
        <v>480666.6</v>
      </c>
      <c r="M2564" s="15" t="n">
        <v>0.4</v>
      </c>
      <c r="N2564" s="9" t="s">
        <v>85</v>
      </c>
    </row>
    <row r="2565" customFormat="false" ht="14.25" hidden="false" customHeight="true" outlineLevel="0" collapsed="false">
      <c r="B2565" s="9" t="s">
        <v>63</v>
      </c>
      <c r="C2565" s="9" t="n">
        <v>1185732</v>
      </c>
      <c r="D2565" s="10" t="n">
        <v>44462</v>
      </c>
      <c r="E2565" s="9" t="s">
        <v>50</v>
      </c>
      <c r="F2565" s="9" t="s">
        <v>100</v>
      </c>
      <c r="G2565" s="9" t="s">
        <v>101</v>
      </c>
      <c r="H2565" s="11" t="s">
        <v>19</v>
      </c>
      <c r="I2565" s="12" t="n">
        <v>50</v>
      </c>
      <c r="J2565" s="13" t="n">
        <v>525</v>
      </c>
      <c r="K2565" s="14" t="n">
        <f aca="false">I2565*J2565</f>
        <v>26250</v>
      </c>
      <c r="L2565" s="14" t="n">
        <f aca="false">($L$2*M2565)/100</f>
        <v>480666.6</v>
      </c>
      <c r="M2565" s="15" t="n">
        <v>0.4</v>
      </c>
      <c r="N2565" s="9" t="s">
        <v>85</v>
      </c>
    </row>
    <row r="2566" customFormat="false" ht="14.25" hidden="false" customHeight="true" outlineLevel="0" collapsed="false">
      <c r="B2566" s="9" t="s">
        <v>63</v>
      </c>
      <c r="C2566" s="9" t="n">
        <v>1185732</v>
      </c>
      <c r="D2566" s="10" t="n">
        <v>44462</v>
      </c>
      <c r="E2566" s="9" t="s">
        <v>50</v>
      </c>
      <c r="F2566" s="9" t="s">
        <v>100</v>
      </c>
      <c r="G2566" s="9" t="s">
        <v>101</v>
      </c>
      <c r="H2566" s="11" t="s">
        <v>21</v>
      </c>
      <c r="I2566" s="12" t="n">
        <v>45</v>
      </c>
      <c r="J2566" s="13" t="n">
        <v>325</v>
      </c>
      <c r="K2566" s="14" t="n">
        <f aca="false">I2566*J2566</f>
        <v>14625</v>
      </c>
      <c r="L2566" s="14" t="n">
        <f aca="false">($L$2*M2566)/100</f>
        <v>420583.275</v>
      </c>
      <c r="M2566" s="15" t="n">
        <v>0.35</v>
      </c>
      <c r="N2566" s="9" t="s">
        <v>85</v>
      </c>
    </row>
    <row r="2567" customFormat="false" ht="14.25" hidden="false" customHeight="true" outlineLevel="0" collapsed="false">
      <c r="B2567" s="9" t="s">
        <v>63</v>
      </c>
      <c r="C2567" s="9" t="n">
        <v>1185732</v>
      </c>
      <c r="D2567" s="10" t="n">
        <v>44462</v>
      </c>
      <c r="E2567" s="9" t="s">
        <v>50</v>
      </c>
      <c r="F2567" s="9" t="s">
        <v>100</v>
      </c>
      <c r="G2567" s="9" t="s">
        <v>101</v>
      </c>
      <c r="H2567" s="11" t="s">
        <v>22</v>
      </c>
      <c r="I2567" s="12" t="n">
        <v>35</v>
      </c>
      <c r="J2567" s="13" t="n">
        <v>225</v>
      </c>
      <c r="K2567" s="14" t="n">
        <f aca="false">I2567*J2567</f>
        <v>7875</v>
      </c>
      <c r="L2567" s="14" t="n">
        <f aca="false">($L$2*M2567)/100</f>
        <v>480666.6</v>
      </c>
      <c r="M2567" s="15" t="n">
        <v>0.4</v>
      </c>
      <c r="N2567" s="9" t="s">
        <v>85</v>
      </c>
    </row>
    <row r="2568" customFormat="false" ht="14.25" hidden="false" customHeight="true" outlineLevel="0" collapsed="false">
      <c r="B2568" s="9" t="s">
        <v>63</v>
      </c>
      <c r="C2568" s="9" t="n">
        <v>1185732</v>
      </c>
      <c r="D2568" s="10" t="n">
        <v>44462</v>
      </c>
      <c r="E2568" s="9" t="s">
        <v>50</v>
      </c>
      <c r="F2568" s="9" t="s">
        <v>100</v>
      </c>
      <c r="G2568" s="9" t="s">
        <v>101</v>
      </c>
      <c r="H2568" s="11" t="s">
        <v>23</v>
      </c>
      <c r="I2568" s="12" t="n">
        <v>35</v>
      </c>
      <c r="J2568" s="13" t="n">
        <v>200</v>
      </c>
      <c r="K2568" s="14" t="n">
        <f aca="false">I2568*J2568</f>
        <v>7000</v>
      </c>
      <c r="L2568" s="14" t="n">
        <f aca="false">($L$2*M2568)/100</f>
        <v>480666.6</v>
      </c>
      <c r="M2568" s="15" t="n">
        <v>0.4</v>
      </c>
      <c r="N2568" s="9" t="s">
        <v>85</v>
      </c>
    </row>
    <row r="2569" customFormat="false" ht="14.25" hidden="false" customHeight="true" outlineLevel="0" collapsed="false">
      <c r="B2569" s="9" t="s">
        <v>63</v>
      </c>
      <c r="C2569" s="9" t="n">
        <v>1185732</v>
      </c>
      <c r="D2569" s="10" t="n">
        <v>44462</v>
      </c>
      <c r="E2569" s="9" t="s">
        <v>50</v>
      </c>
      <c r="F2569" s="9" t="s">
        <v>100</v>
      </c>
      <c r="G2569" s="9" t="s">
        <v>101</v>
      </c>
      <c r="H2569" s="11" t="s">
        <v>24</v>
      </c>
      <c r="I2569" s="12" t="n">
        <v>45</v>
      </c>
      <c r="J2569" s="13" t="n">
        <v>200</v>
      </c>
      <c r="K2569" s="14" t="n">
        <f aca="false">I2569*J2569</f>
        <v>9000</v>
      </c>
      <c r="L2569" s="14" t="n">
        <f aca="false">($L$2*M2569)/100</f>
        <v>420583.275</v>
      </c>
      <c r="M2569" s="15" t="n">
        <v>0.35</v>
      </c>
      <c r="N2569" s="9" t="s">
        <v>85</v>
      </c>
    </row>
    <row r="2570" customFormat="false" ht="14.25" hidden="false" customHeight="true" outlineLevel="0" collapsed="false">
      <c r="B2570" s="9" t="s">
        <v>63</v>
      </c>
      <c r="C2570" s="9" t="n">
        <v>1185732</v>
      </c>
      <c r="D2570" s="10" t="n">
        <v>44462</v>
      </c>
      <c r="E2570" s="9" t="s">
        <v>50</v>
      </c>
      <c r="F2570" s="9" t="s">
        <v>100</v>
      </c>
      <c r="G2570" s="9" t="s">
        <v>101</v>
      </c>
      <c r="H2570" s="11" t="s">
        <v>25</v>
      </c>
      <c r="I2570" s="12" t="n">
        <v>50</v>
      </c>
      <c r="J2570" s="13" t="n">
        <v>275</v>
      </c>
      <c r="K2570" s="14" t="n">
        <f aca="false">I2570*J2570</f>
        <v>13750</v>
      </c>
      <c r="L2570" s="14" t="n">
        <f aca="false">($L$2*M2570)/100</f>
        <v>480666.6</v>
      </c>
      <c r="M2570" s="15" t="n">
        <v>0.4</v>
      </c>
      <c r="N2570" s="9" t="s">
        <v>85</v>
      </c>
    </row>
    <row r="2571" customFormat="false" ht="14.25" hidden="false" customHeight="true" outlineLevel="0" collapsed="false">
      <c r="B2571" s="9" t="s">
        <v>63</v>
      </c>
      <c r="C2571" s="9" t="n">
        <v>1185732</v>
      </c>
      <c r="D2571" s="10" t="n">
        <v>44491</v>
      </c>
      <c r="E2571" s="9" t="s">
        <v>50</v>
      </c>
      <c r="F2571" s="9" t="s">
        <v>100</v>
      </c>
      <c r="G2571" s="9" t="s">
        <v>101</v>
      </c>
      <c r="H2571" s="11" t="s">
        <v>19</v>
      </c>
      <c r="I2571" s="12" t="n">
        <v>55</v>
      </c>
      <c r="J2571" s="13" t="n">
        <v>450</v>
      </c>
      <c r="K2571" s="14" t="n">
        <f aca="false">I2571*J2571</f>
        <v>24750</v>
      </c>
      <c r="L2571" s="14" t="n">
        <f aca="false">($L$2*M2571)/100</f>
        <v>480666.6</v>
      </c>
      <c r="M2571" s="15" t="n">
        <v>0.4</v>
      </c>
      <c r="N2571" s="9" t="s">
        <v>85</v>
      </c>
    </row>
    <row r="2572" customFormat="false" ht="14.25" hidden="false" customHeight="true" outlineLevel="0" collapsed="false">
      <c r="B2572" s="9" t="s">
        <v>63</v>
      </c>
      <c r="C2572" s="9" t="n">
        <v>1185732</v>
      </c>
      <c r="D2572" s="10" t="n">
        <v>44491</v>
      </c>
      <c r="E2572" s="9" t="s">
        <v>50</v>
      </c>
      <c r="F2572" s="9" t="s">
        <v>100</v>
      </c>
      <c r="G2572" s="9" t="s">
        <v>101</v>
      </c>
      <c r="H2572" s="11" t="s">
        <v>21</v>
      </c>
      <c r="I2572" s="12" t="n">
        <v>45</v>
      </c>
      <c r="J2572" s="13" t="n">
        <v>275</v>
      </c>
      <c r="K2572" s="14" t="n">
        <f aca="false">I2572*J2572</f>
        <v>12375</v>
      </c>
      <c r="L2572" s="14" t="n">
        <f aca="false">($L$2*M2572)/100</f>
        <v>420583.275</v>
      </c>
      <c r="M2572" s="15" t="n">
        <v>0.35</v>
      </c>
      <c r="N2572" s="9" t="s">
        <v>85</v>
      </c>
    </row>
    <row r="2573" customFormat="false" ht="14.25" hidden="false" customHeight="true" outlineLevel="0" collapsed="false">
      <c r="B2573" s="9" t="s">
        <v>63</v>
      </c>
      <c r="C2573" s="9" t="n">
        <v>1185732</v>
      </c>
      <c r="D2573" s="10" t="n">
        <v>44491</v>
      </c>
      <c r="E2573" s="9" t="s">
        <v>50</v>
      </c>
      <c r="F2573" s="9" t="s">
        <v>100</v>
      </c>
      <c r="G2573" s="9" t="s">
        <v>101</v>
      </c>
      <c r="H2573" s="11" t="s">
        <v>22</v>
      </c>
      <c r="I2573" s="12" t="n">
        <v>45</v>
      </c>
      <c r="J2573" s="13" t="n">
        <v>175</v>
      </c>
      <c r="K2573" s="14" t="n">
        <f aca="false">I2573*J2573</f>
        <v>7875</v>
      </c>
      <c r="L2573" s="14" t="n">
        <f aca="false">($L$2*M2573)/100</f>
        <v>480666.6</v>
      </c>
      <c r="M2573" s="15" t="n">
        <v>0.4</v>
      </c>
      <c r="N2573" s="9" t="s">
        <v>85</v>
      </c>
    </row>
    <row r="2574" customFormat="false" ht="14.25" hidden="false" customHeight="true" outlineLevel="0" collapsed="false">
      <c r="B2574" s="9" t="s">
        <v>63</v>
      </c>
      <c r="C2574" s="9" t="n">
        <v>1185732</v>
      </c>
      <c r="D2574" s="10" t="n">
        <v>44491</v>
      </c>
      <c r="E2574" s="9" t="s">
        <v>50</v>
      </c>
      <c r="F2574" s="9" t="s">
        <v>100</v>
      </c>
      <c r="G2574" s="9" t="s">
        <v>101</v>
      </c>
      <c r="H2574" s="11" t="s">
        <v>23</v>
      </c>
      <c r="I2574" s="12" t="n">
        <v>45</v>
      </c>
      <c r="J2574" s="13" t="n">
        <v>150</v>
      </c>
      <c r="K2574" s="14" t="n">
        <f aca="false">I2574*J2574</f>
        <v>6750</v>
      </c>
      <c r="L2574" s="14" t="n">
        <f aca="false">($L$2*M2574)/100</f>
        <v>480666.6</v>
      </c>
      <c r="M2574" s="15" t="n">
        <v>0.4</v>
      </c>
      <c r="N2574" s="9" t="s">
        <v>85</v>
      </c>
    </row>
    <row r="2575" customFormat="false" ht="14.25" hidden="false" customHeight="true" outlineLevel="0" collapsed="false">
      <c r="B2575" s="9" t="s">
        <v>63</v>
      </c>
      <c r="C2575" s="9" t="n">
        <v>1185732</v>
      </c>
      <c r="D2575" s="10" t="n">
        <v>44491</v>
      </c>
      <c r="E2575" s="9" t="s">
        <v>50</v>
      </c>
      <c r="F2575" s="9" t="s">
        <v>100</v>
      </c>
      <c r="G2575" s="9" t="s">
        <v>101</v>
      </c>
      <c r="H2575" s="11" t="s">
        <v>24</v>
      </c>
      <c r="I2575" s="12" t="n">
        <v>55</v>
      </c>
      <c r="J2575" s="13" t="n">
        <v>150</v>
      </c>
      <c r="K2575" s="14" t="n">
        <f aca="false">I2575*J2575</f>
        <v>8250</v>
      </c>
      <c r="L2575" s="14" t="n">
        <f aca="false">($L$2*M2575)/100</f>
        <v>420583.275</v>
      </c>
      <c r="M2575" s="15" t="n">
        <v>0.35</v>
      </c>
      <c r="N2575" s="9" t="s">
        <v>85</v>
      </c>
    </row>
    <row r="2576" customFormat="false" ht="14.25" hidden="false" customHeight="true" outlineLevel="0" collapsed="false">
      <c r="B2576" s="9" t="s">
        <v>63</v>
      </c>
      <c r="C2576" s="9" t="n">
        <v>1185732</v>
      </c>
      <c r="D2576" s="10" t="n">
        <v>44491</v>
      </c>
      <c r="E2576" s="9" t="s">
        <v>50</v>
      </c>
      <c r="F2576" s="9" t="s">
        <v>100</v>
      </c>
      <c r="G2576" s="9" t="s">
        <v>101</v>
      </c>
      <c r="H2576" s="11" t="s">
        <v>25</v>
      </c>
      <c r="I2576" s="12" t="n">
        <v>55</v>
      </c>
      <c r="J2576" s="13" t="n">
        <v>275</v>
      </c>
      <c r="K2576" s="14" t="n">
        <f aca="false">I2576*J2576</f>
        <v>15125</v>
      </c>
      <c r="L2576" s="14" t="n">
        <f aca="false">($L$2*M2576)/100</f>
        <v>480666.6</v>
      </c>
      <c r="M2576" s="15" t="n">
        <v>0.4</v>
      </c>
      <c r="N2576" s="9" t="s">
        <v>85</v>
      </c>
    </row>
    <row r="2577" customFormat="false" ht="14.25" hidden="false" customHeight="true" outlineLevel="0" collapsed="false">
      <c r="B2577" s="9" t="s">
        <v>63</v>
      </c>
      <c r="C2577" s="9" t="n">
        <v>1185732</v>
      </c>
      <c r="D2577" s="10" t="n">
        <v>44522</v>
      </c>
      <c r="E2577" s="9" t="s">
        <v>50</v>
      </c>
      <c r="F2577" s="9" t="s">
        <v>100</v>
      </c>
      <c r="G2577" s="9" t="s">
        <v>101</v>
      </c>
      <c r="H2577" s="11" t="s">
        <v>19</v>
      </c>
      <c r="I2577" s="12" t="n">
        <v>50</v>
      </c>
      <c r="J2577" s="13" t="n">
        <v>425</v>
      </c>
      <c r="K2577" s="14" t="n">
        <f aca="false">I2577*J2577</f>
        <v>21250</v>
      </c>
      <c r="L2577" s="14" t="n">
        <f aca="false">($L$2*M2577)/100</f>
        <v>480666.6</v>
      </c>
      <c r="M2577" s="15" t="n">
        <v>0.4</v>
      </c>
      <c r="N2577" s="9" t="s">
        <v>85</v>
      </c>
    </row>
    <row r="2578" customFormat="false" ht="14.25" hidden="false" customHeight="true" outlineLevel="0" collapsed="false">
      <c r="B2578" s="9" t="s">
        <v>63</v>
      </c>
      <c r="C2578" s="9" t="n">
        <v>1185732</v>
      </c>
      <c r="D2578" s="10" t="n">
        <v>44522</v>
      </c>
      <c r="E2578" s="9" t="s">
        <v>50</v>
      </c>
      <c r="F2578" s="9" t="s">
        <v>100</v>
      </c>
      <c r="G2578" s="9" t="s">
        <v>101</v>
      </c>
      <c r="H2578" s="11" t="s">
        <v>21</v>
      </c>
      <c r="I2578" s="12" t="n">
        <v>40</v>
      </c>
      <c r="J2578" s="13" t="n">
        <v>275</v>
      </c>
      <c r="K2578" s="14" t="n">
        <f aca="false">I2578*J2578</f>
        <v>11000</v>
      </c>
      <c r="L2578" s="14" t="n">
        <f aca="false">($L$2*M2578)/100</f>
        <v>420583.275</v>
      </c>
      <c r="M2578" s="15" t="n">
        <v>0.35</v>
      </c>
      <c r="N2578" s="9" t="s">
        <v>85</v>
      </c>
    </row>
    <row r="2579" customFormat="false" ht="14.25" hidden="false" customHeight="true" outlineLevel="0" collapsed="false">
      <c r="B2579" s="9" t="s">
        <v>63</v>
      </c>
      <c r="C2579" s="9" t="n">
        <v>1185732</v>
      </c>
      <c r="D2579" s="10" t="n">
        <v>44522</v>
      </c>
      <c r="E2579" s="9" t="s">
        <v>50</v>
      </c>
      <c r="F2579" s="9" t="s">
        <v>100</v>
      </c>
      <c r="G2579" s="9" t="s">
        <v>101</v>
      </c>
      <c r="H2579" s="11" t="s">
        <v>22</v>
      </c>
      <c r="I2579" s="12" t="n">
        <v>45</v>
      </c>
      <c r="J2579" s="13" t="n">
        <v>220</v>
      </c>
      <c r="K2579" s="14" t="n">
        <f aca="false">I2579*J2579</f>
        <v>9900</v>
      </c>
      <c r="L2579" s="14" t="n">
        <f aca="false">($L$2*M2579)/100</f>
        <v>480666.6</v>
      </c>
      <c r="M2579" s="15" t="n">
        <v>0.4</v>
      </c>
      <c r="N2579" s="9" t="s">
        <v>85</v>
      </c>
    </row>
    <row r="2580" customFormat="false" ht="14.25" hidden="false" customHeight="true" outlineLevel="0" collapsed="false">
      <c r="B2580" s="9" t="s">
        <v>16</v>
      </c>
      <c r="C2580" s="9" t="n">
        <v>1185732</v>
      </c>
      <c r="D2580" s="10" t="n">
        <v>44522</v>
      </c>
      <c r="E2580" s="9" t="s">
        <v>50</v>
      </c>
      <c r="F2580" s="9" t="s">
        <v>100</v>
      </c>
      <c r="G2580" s="9" t="s">
        <v>101</v>
      </c>
      <c r="H2580" s="11" t="s">
        <v>23</v>
      </c>
      <c r="I2580" s="12" t="n">
        <v>55</v>
      </c>
      <c r="J2580" s="13" t="n">
        <v>200</v>
      </c>
      <c r="K2580" s="14" t="n">
        <f aca="false">I2580*J2580</f>
        <v>11000</v>
      </c>
      <c r="L2580" s="14" t="n">
        <f aca="false">($L$2*M2580)/100</f>
        <v>480666.6</v>
      </c>
      <c r="M2580" s="15" t="n">
        <v>0.4</v>
      </c>
      <c r="N2580" s="9" t="s">
        <v>85</v>
      </c>
    </row>
    <row r="2581" customFormat="false" ht="14.25" hidden="false" customHeight="true" outlineLevel="0" collapsed="false">
      <c r="B2581" s="9" t="s">
        <v>16</v>
      </c>
      <c r="C2581" s="9" t="n">
        <v>1185732</v>
      </c>
      <c r="D2581" s="10" t="n">
        <v>44522</v>
      </c>
      <c r="E2581" s="9" t="s">
        <v>50</v>
      </c>
      <c r="F2581" s="9" t="s">
        <v>100</v>
      </c>
      <c r="G2581" s="9" t="s">
        <v>101</v>
      </c>
      <c r="H2581" s="11" t="s">
        <v>24</v>
      </c>
      <c r="I2581" s="12" t="n">
        <v>65</v>
      </c>
      <c r="J2581" s="13" t="n">
        <v>175</v>
      </c>
      <c r="K2581" s="14" t="n">
        <f aca="false">I2581*J2581</f>
        <v>11375</v>
      </c>
      <c r="L2581" s="14" t="n">
        <f aca="false">($L$2*M2581)/100</f>
        <v>420583.275</v>
      </c>
      <c r="M2581" s="15" t="n">
        <v>0.35</v>
      </c>
      <c r="N2581" s="9" t="s">
        <v>85</v>
      </c>
    </row>
    <row r="2582" customFormat="false" ht="14.25" hidden="false" customHeight="true" outlineLevel="0" collapsed="false">
      <c r="B2582" s="9" t="s">
        <v>16</v>
      </c>
      <c r="C2582" s="9" t="n">
        <v>1185732</v>
      </c>
      <c r="D2582" s="10" t="n">
        <v>44522</v>
      </c>
      <c r="E2582" s="9" t="s">
        <v>50</v>
      </c>
      <c r="F2582" s="9" t="s">
        <v>100</v>
      </c>
      <c r="G2582" s="9" t="s">
        <v>101</v>
      </c>
      <c r="H2582" s="11" t="s">
        <v>25</v>
      </c>
      <c r="I2582" s="12" t="n">
        <v>70</v>
      </c>
      <c r="J2582" s="13" t="n">
        <v>275</v>
      </c>
      <c r="K2582" s="14" t="n">
        <f aca="false">I2582*J2582</f>
        <v>19250</v>
      </c>
      <c r="L2582" s="14" t="n">
        <f aca="false">($L$2*M2582)/100</f>
        <v>480666.6</v>
      </c>
      <c r="M2582" s="15" t="n">
        <v>0.4</v>
      </c>
      <c r="N2582" s="9" t="s">
        <v>85</v>
      </c>
    </row>
    <row r="2583" customFormat="false" ht="14.25" hidden="false" customHeight="true" outlineLevel="0" collapsed="false">
      <c r="B2583" s="9" t="s">
        <v>16</v>
      </c>
      <c r="C2583" s="9" t="n">
        <v>1185732</v>
      </c>
      <c r="D2583" s="10" t="n">
        <v>44551</v>
      </c>
      <c r="E2583" s="9" t="s">
        <v>50</v>
      </c>
      <c r="F2583" s="9" t="s">
        <v>100</v>
      </c>
      <c r="G2583" s="9" t="s">
        <v>101</v>
      </c>
      <c r="H2583" s="11" t="s">
        <v>19</v>
      </c>
      <c r="I2583" s="12" t="n">
        <v>65</v>
      </c>
      <c r="J2583" s="13" t="n">
        <v>525</v>
      </c>
      <c r="K2583" s="14" t="n">
        <f aca="false">I2583*J2583</f>
        <v>34125</v>
      </c>
      <c r="L2583" s="14" t="n">
        <f aca="false">($L$2*M2583)/100</f>
        <v>480666.6</v>
      </c>
      <c r="M2583" s="15" t="n">
        <v>0.4</v>
      </c>
      <c r="N2583" s="9" t="s">
        <v>85</v>
      </c>
    </row>
    <row r="2584" customFormat="false" ht="14.25" hidden="false" customHeight="true" outlineLevel="0" collapsed="false">
      <c r="B2584" s="9" t="s">
        <v>16</v>
      </c>
      <c r="C2584" s="9" t="n">
        <v>1185732</v>
      </c>
      <c r="D2584" s="10" t="n">
        <v>44551</v>
      </c>
      <c r="E2584" s="9" t="s">
        <v>50</v>
      </c>
      <c r="F2584" s="9" t="s">
        <v>100</v>
      </c>
      <c r="G2584" s="9" t="s">
        <v>101</v>
      </c>
      <c r="H2584" s="11" t="s">
        <v>21</v>
      </c>
      <c r="I2584" s="12" t="n">
        <v>55</v>
      </c>
      <c r="J2584" s="13" t="n">
        <v>325</v>
      </c>
      <c r="K2584" s="14" t="n">
        <f aca="false">I2584*J2584</f>
        <v>17875</v>
      </c>
      <c r="L2584" s="14" t="n">
        <f aca="false">($L$2*M2584)/100</f>
        <v>420583.275</v>
      </c>
      <c r="M2584" s="15" t="n">
        <v>0.35</v>
      </c>
      <c r="N2584" s="9" t="s">
        <v>85</v>
      </c>
    </row>
    <row r="2585" customFormat="false" ht="14.25" hidden="false" customHeight="true" outlineLevel="0" collapsed="false">
      <c r="B2585" s="9" t="s">
        <v>16</v>
      </c>
      <c r="C2585" s="9" t="n">
        <v>1185732</v>
      </c>
      <c r="D2585" s="10" t="n">
        <v>44551</v>
      </c>
      <c r="E2585" s="9" t="s">
        <v>50</v>
      </c>
      <c r="F2585" s="9" t="s">
        <v>100</v>
      </c>
      <c r="G2585" s="9" t="s">
        <v>101</v>
      </c>
      <c r="H2585" s="11" t="s">
        <v>22</v>
      </c>
      <c r="I2585" s="12" t="n">
        <v>55</v>
      </c>
      <c r="J2585" s="13" t="n">
        <v>275</v>
      </c>
      <c r="K2585" s="14" t="n">
        <f aca="false">I2585*J2585</f>
        <v>15125</v>
      </c>
      <c r="L2585" s="14" t="n">
        <f aca="false">($L$2*M2585)/100</f>
        <v>480666.6</v>
      </c>
      <c r="M2585" s="15" t="n">
        <v>0.4</v>
      </c>
      <c r="N2585" s="9" t="s">
        <v>85</v>
      </c>
    </row>
    <row r="2586" customFormat="false" ht="14.25" hidden="false" customHeight="true" outlineLevel="0" collapsed="false">
      <c r="B2586" s="9" t="s">
        <v>16</v>
      </c>
      <c r="C2586" s="9" t="n">
        <v>1185732</v>
      </c>
      <c r="D2586" s="10" t="n">
        <v>44551</v>
      </c>
      <c r="E2586" s="9" t="s">
        <v>50</v>
      </c>
      <c r="F2586" s="9" t="s">
        <v>100</v>
      </c>
      <c r="G2586" s="9" t="s">
        <v>101</v>
      </c>
      <c r="H2586" s="11" t="s">
        <v>23</v>
      </c>
      <c r="I2586" s="12" t="n">
        <v>50</v>
      </c>
      <c r="J2586" s="13" t="n">
        <v>225</v>
      </c>
      <c r="K2586" s="14" t="n">
        <f aca="false">I2586*J2586</f>
        <v>11250</v>
      </c>
      <c r="L2586" s="14" t="n">
        <f aca="false">($L$2*M2586)/100</f>
        <v>480666.6</v>
      </c>
      <c r="M2586" s="15" t="n">
        <v>0.4</v>
      </c>
      <c r="N2586" s="9" t="s">
        <v>85</v>
      </c>
    </row>
    <row r="2587" customFormat="false" ht="14.25" hidden="false" customHeight="true" outlineLevel="0" collapsed="false">
      <c r="B2587" s="9" t="s">
        <v>16</v>
      </c>
      <c r="C2587" s="9" t="n">
        <v>1185732</v>
      </c>
      <c r="D2587" s="10" t="n">
        <v>44551</v>
      </c>
      <c r="E2587" s="9" t="s">
        <v>50</v>
      </c>
      <c r="F2587" s="9" t="s">
        <v>100</v>
      </c>
      <c r="G2587" s="9" t="s">
        <v>101</v>
      </c>
      <c r="H2587" s="11" t="s">
        <v>24</v>
      </c>
      <c r="I2587" s="12" t="n">
        <v>60</v>
      </c>
      <c r="J2587" s="13" t="n">
        <v>225</v>
      </c>
      <c r="K2587" s="14" t="n">
        <f aca="false">I2587*J2587</f>
        <v>13500</v>
      </c>
      <c r="L2587" s="14" t="n">
        <f aca="false">($L$2*M2587)/100</f>
        <v>420583.275</v>
      </c>
      <c r="M2587" s="15" t="n">
        <v>0.35</v>
      </c>
      <c r="N2587" s="9" t="s">
        <v>85</v>
      </c>
    </row>
    <row r="2588" customFormat="false" ht="14.25" hidden="false" customHeight="true" outlineLevel="0" collapsed="false">
      <c r="B2588" s="9" t="s">
        <v>16</v>
      </c>
      <c r="C2588" s="9" t="n">
        <v>1185732</v>
      </c>
      <c r="D2588" s="10" t="n">
        <v>44551</v>
      </c>
      <c r="E2588" s="9" t="s">
        <v>50</v>
      </c>
      <c r="F2588" s="9" t="s">
        <v>100</v>
      </c>
      <c r="G2588" s="9" t="s">
        <v>101</v>
      </c>
      <c r="H2588" s="11" t="s">
        <v>25</v>
      </c>
      <c r="I2588" s="12" t="n">
        <v>65</v>
      </c>
      <c r="J2588" s="13" t="n">
        <v>325</v>
      </c>
      <c r="K2588" s="14" t="n">
        <f aca="false">I2588*J2588</f>
        <v>21125</v>
      </c>
      <c r="L2588" s="14" t="n">
        <f aca="false">($L$2*M2588)/100</f>
        <v>480666.6</v>
      </c>
      <c r="M2588" s="15" t="n">
        <v>0.4</v>
      </c>
      <c r="N2588" s="9" t="s">
        <v>85</v>
      </c>
    </row>
    <row r="2589" customFormat="false" ht="14.25" hidden="false" customHeight="true" outlineLevel="0" collapsed="false">
      <c r="B2589" s="9" t="s">
        <v>16</v>
      </c>
      <c r="C2589" s="9" t="n">
        <v>1185732</v>
      </c>
      <c r="D2589" s="10" t="n">
        <v>44216</v>
      </c>
      <c r="E2589" s="9" t="s">
        <v>50</v>
      </c>
      <c r="F2589" s="9" t="s">
        <v>100</v>
      </c>
      <c r="G2589" s="9" t="s">
        <v>101</v>
      </c>
      <c r="H2589" s="11" t="s">
        <v>19</v>
      </c>
      <c r="I2589" s="12" t="n">
        <v>30</v>
      </c>
      <c r="J2589" s="13" t="n">
        <v>725</v>
      </c>
      <c r="K2589" s="14" t="n">
        <f aca="false">I2589*J2589</f>
        <v>21750</v>
      </c>
      <c r="L2589" s="14" t="n">
        <f aca="false">($L$2*M2589)/100</f>
        <v>480666.6</v>
      </c>
      <c r="M2589" s="15" t="n">
        <v>0.4</v>
      </c>
      <c r="N2589" s="9" t="s">
        <v>85</v>
      </c>
    </row>
    <row r="2590" customFormat="false" ht="14.25" hidden="false" customHeight="true" outlineLevel="0" collapsed="false">
      <c r="B2590" s="9" t="s">
        <v>16</v>
      </c>
      <c r="C2590" s="9" t="n">
        <v>1185732</v>
      </c>
      <c r="D2590" s="10" t="n">
        <v>44216</v>
      </c>
      <c r="E2590" s="9" t="s">
        <v>50</v>
      </c>
      <c r="F2590" s="9" t="s">
        <v>100</v>
      </c>
      <c r="G2590" s="9" t="s">
        <v>101</v>
      </c>
      <c r="H2590" s="11" t="s">
        <v>21</v>
      </c>
      <c r="I2590" s="12" t="n">
        <v>30</v>
      </c>
      <c r="J2590" s="13" t="n">
        <v>525</v>
      </c>
      <c r="K2590" s="14" t="n">
        <f aca="false">I2590*J2590</f>
        <v>15750</v>
      </c>
      <c r="L2590" s="14" t="n">
        <f aca="false">($L$2*M2590)/100</f>
        <v>420583.275</v>
      </c>
      <c r="M2590" s="15" t="n">
        <v>0.35</v>
      </c>
      <c r="N2590" s="9" t="s">
        <v>85</v>
      </c>
    </row>
    <row r="2591" customFormat="false" ht="14.25" hidden="false" customHeight="true" outlineLevel="0" collapsed="false">
      <c r="B2591" s="9" t="s">
        <v>16</v>
      </c>
      <c r="C2591" s="9" t="n">
        <v>1185732</v>
      </c>
      <c r="D2591" s="10" t="n">
        <v>44216</v>
      </c>
      <c r="E2591" s="9" t="s">
        <v>50</v>
      </c>
      <c r="F2591" s="9" t="s">
        <v>100</v>
      </c>
      <c r="G2591" s="9" t="s">
        <v>101</v>
      </c>
      <c r="H2591" s="11" t="s">
        <v>22</v>
      </c>
      <c r="I2591" s="12" t="n">
        <v>20</v>
      </c>
      <c r="J2591" s="13" t="n">
        <v>525</v>
      </c>
      <c r="K2591" s="14" t="n">
        <f aca="false">I2591*J2591</f>
        <v>10500</v>
      </c>
      <c r="L2591" s="14" t="n">
        <f aca="false">($L$2*M2591)/100</f>
        <v>480666.6</v>
      </c>
      <c r="M2591" s="15" t="n">
        <v>0.4</v>
      </c>
      <c r="N2591" s="9" t="s">
        <v>85</v>
      </c>
    </row>
    <row r="2592" customFormat="false" ht="14.25" hidden="false" customHeight="true" outlineLevel="0" collapsed="false">
      <c r="B2592" s="9" t="s">
        <v>16</v>
      </c>
      <c r="C2592" s="9" t="n">
        <v>1185732</v>
      </c>
      <c r="D2592" s="10" t="n">
        <v>44216</v>
      </c>
      <c r="E2592" s="9" t="s">
        <v>50</v>
      </c>
      <c r="F2592" s="9" t="s">
        <v>100</v>
      </c>
      <c r="G2592" s="9" t="s">
        <v>101</v>
      </c>
      <c r="H2592" s="11" t="s">
        <v>23</v>
      </c>
      <c r="I2592" s="12" t="n">
        <v>25</v>
      </c>
      <c r="J2592" s="13" t="n">
        <v>375</v>
      </c>
      <c r="K2592" s="14" t="n">
        <f aca="false">I2592*J2592</f>
        <v>9375</v>
      </c>
      <c r="L2592" s="14" t="n">
        <f aca="false">($L$2*M2592)/100</f>
        <v>480666.6</v>
      </c>
      <c r="M2592" s="15" t="n">
        <v>0.4</v>
      </c>
      <c r="N2592" s="9" t="s">
        <v>85</v>
      </c>
    </row>
    <row r="2593" customFormat="false" ht="14.25" hidden="false" customHeight="true" outlineLevel="0" collapsed="false">
      <c r="B2593" s="9" t="s">
        <v>16</v>
      </c>
      <c r="C2593" s="9" t="n">
        <v>1185732</v>
      </c>
      <c r="D2593" s="10" t="n">
        <v>44216</v>
      </c>
      <c r="E2593" s="9" t="s">
        <v>50</v>
      </c>
      <c r="F2593" s="9" t="s">
        <v>100</v>
      </c>
      <c r="G2593" s="9" t="s">
        <v>101</v>
      </c>
      <c r="H2593" s="11" t="s">
        <v>24</v>
      </c>
      <c r="I2593" s="12" t="n">
        <v>40</v>
      </c>
      <c r="J2593" s="13" t="n">
        <v>425</v>
      </c>
      <c r="K2593" s="14" t="n">
        <f aca="false">I2593*J2593</f>
        <v>17000</v>
      </c>
      <c r="L2593" s="14" t="n">
        <f aca="false">($L$2*M2593)/100</f>
        <v>420583.275</v>
      </c>
      <c r="M2593" s="15" t="n">
        <v>0.35</v>
      </c>
      <c r="N2593" s="9" t="s">
        <v>85</v>
      </c>
    </row>
    <row r="2594" customFormat="false" ht="14.25" hidden="false" customHeight="true" outlineLevel="0" collapsed="false">
      <c r="B2594" s="9" t="s">
        <v>16</v>
      </c>
      <c r="C2594" s="9" t="n">
        <v>1185732</v>
      </c>
      <c r="D2594" s="10" t="n">
        <v>44216</v>
      </c>
      <c r="E2594" s="9" t="s">
        <v>50</v>
      </c>
      <c r="F2594" s="9" t="s">
        <v>100</v>
      </c>
      <c r="G2594" s="9" t="s">
        <v>101</v>
      </c>
      <c r="H2594" s="11" t="s">
        <v>25</v>
      </c>
      <c r="I2594" s="12" t="n">
        <v>30</v>
      </c>
      <c r="J2594" s="13" t="n">
        <v>525</v>
      </c>
      <c r="K2594" s="14" t="n">
        <f aca="false">I2594*J2594</f>
        <v>15750</v>
      </c>
      <c r="L2594" s="14" t="n">
        <f aca="false">($L$2*M2594)/100</f>
        <v>600833.25</v>
      </c>
      <c r="M2594" s="15" t="n">
        <v>0.5</v>
      </c>
      <c r="N2594" s="9" t="s">
        <v>85</v>
      </c>
    </row>
    <row r="2595" customFormat="false" ht="14.25" hidden="false" customHeight="true" outlineLevel="0" collapsed="false">
      <c r="B2595" s="9" t="s">
        <v>16</v>
      </c>
      <c r="C2595" s="9" t="n">
        <v>1185732</v>
      </c>
      <c r="D2595" s="10" t="n">
        <v>44245</v>
      </c>
      <c r="E2595" s="9" t="s">
        <v>50</v>
      </c>
      <c r="F2595" s="9" t="s">
        <v>100</v>
      </c>
      <c r="G2595" s="9" t="s">
        <v>101</v>
      </c>
      <c r="H2595" s="11" t="s">
        <v>19</v>
      </c>
      <c r="I2595" s="12" t="n">
        <v>30</v>
      </c>
      <c r="J2595" s="13" t="n">
        <v>775</v>
      </c>
      <c r="K2595" s="14" t="n">
        <f aca="false">I2595*J2595</f>
        <v>23250</v>
      </c>
      <c r="L2595" s="14" t="n">
        <f aca="false">($L$2*M2595)/100</f>
        <v>480666.6</v>
      </c>
      <c r="M2595" s="15" t="n">
        <v>0.4</v>
      </c>
      <c r="N2595" s="9" t="s">
        <v>85</v>
      </c>
    </row>
    <row r="2596" customFormat="false" ht="14.25" hidden="false" customHeight="true" outlineLevel="0" collapsed="false">
      <c r="B2596" s="9" t="s">
        <v>16</v>
      </c>
      <c r="C2596" s="9" t="n">
        <v>1185732</v>
      </c>
      <c r="D2596" s="10" t="n">
        <v>44245</v>
      </c>
      <c r="E2596" s="9" t="s">
        <v>50</v>
      </c>
      <c r="F2596" s="9" t="s">
        <v>100</v>
      </c>
      <c r="G2596" s="9" t="s">
        <v>101</v>
      </c>
      <c r="H2596" s="11" t="s">
        <v>21</v>
      </c>
      <c r="I2596" s="12" t="n">
        <v>30</v>
      </c>
      <c r="J2596" s="13" t="n">
        <v>425</v>
      </c>
      <c r="K2596" s="14" t="n">
        <f aca="false">I2596*J2596</f>
        <v>12750</v>
      </c>
      <c r="L2596" s="14" t="n">
        <f aca="false">($L$2*M2596)/100</f>
        <v>420583.275</v>
      </c>
      <c r="M2596" s="15" t="n">
        <v>0.35</v>
      </c>
      <c r="N2596" s="9" t="s">
        <v>85</v>
      </c>
    </row>
    <row r="2597" customFormat="false" ht="14.25" hidden="false" customHeight="true" outlineLevel="0" collapsed="false">
      <c r="B2597" s="9" t="s">
        <v>16</v>
      </c>
      <c r="C2597" s="9" t="n">
        <v>1185732</v>
      </c>
      <c r="D2597" s="10" t="n">
        <v>44245</v>
      </c>
      <c r="E2597" s="9" t="s">
        <v>50</v>
      </c>
      <c r="F2597" s="9" t="s">
        <v>100</v>
      </c>
      <c r="G2597" s="9" t="s">
        <v>101</v>
      </c>
      <c r="H2597" s="11" t="s">
        <v>22</v>
      </c>
      <c r="I2597" s="12" t="n">
        <v>20</v>
      </c>
      <c r="J2597" s="13" t="n">
        <v>475</v>
      </c>
      <c r="K2597" s="14" t="n">
        <f aca="false">I2597*J2597</f>
        <v>9500</v>
      </c>
      <c r="L2597" s="14" t="n">
        <f aca="false">($L$2*M2597)/100</f>
        <v>480666.6</v>
      </c>
      <c r="M2597" s="15" t="n">
        <v>0.4</v>
      </c>
      <c r="N2597" s="9" t="s">
        <v>85</v>
      </c>
    </row>
    <row r="2598" customFormat="false" ht="14.25" hidden="false" customHeight="true" outlineLevel="0" collapsed="false">
      <c r="B2598" s="9" t="s">
        <v>16</v>
      </c>
      <c r="C2598" s="9" t="n">
        <v>1185732</v>
      </c>
      <c r="D2598" s="10" t="n">
        <v>44245</v>
      </c>
      <c r="E2598" s="9" t="s">
        <v>29</v>
      </c>
      <c r="F2598" s="9" t="s">
        <v>102</v>
      </c>
      <c r="G2598" s="9" t="s">
        <v>103</v>
      </c>
      <c r="H2598" s="11" t="s">
        <v>23</v>
      </c>
      <c r="I2598" s="12" t="n">
        <v>25</v>
      </c>
      <c r="J2598" s="13" t="n">
        <v>325</v>
      </c>
      <c r="K2598" s="14" t="n">
        <f aca="false">I2598*J2598</f>
        <v>8125</v>
      </c>
      <c r="L2598" s="14" t="n">
        <f aca="false">($L$2*M2598)/100</f>
        <v>480666.6</v>
      </c>
      <c r="M2598" s="15" t="n">
        <v>0.4</v>
      </c>
      <c r="N2598" s="9" t="s">
        <v>85</v>
      </c>
    </row>
    <row r="2599" customFormat="false" ht="14.25" hidden="false" customHeight="true" outlineLevel="0" collapsed="false">
      <c r="B2599" s="9" t="s">
        <v>16</v>
      </c>
      <c r="C2599" s="9" t="n">
        <v>1185732</v>
      </c>
      <c r="D2599" s="10" t="n">
        <v>44245</v>
      </c>
      <c r="E2599" s="9" t="s">
        <v>29</v>
      </c>
      <c r="F2599" s="9" t="s">
        <v>102</v>
      </c>
      <c r="G2599" s="9" t="s">
        <v>103</v>
      </c>
      <c r="H2599" s="11" t="s">
        <v>24</v>
      </c>
      <c r="I2599" s="12" t="n">
        <v>40</v>
      </c>
      <c r="J2599" s="13" t="n">
        <v>400</v>
      </c>
      <c r="K2599" s="14" t="n">
        <f aca="false">I2599*J2599</f>
        <v>16000</v>
      </c>
      <c r="L2599" s="14" t="n">
        <f aca="false">($L$2*M2599)/100</f>
        <v>420583.275</v>
      </c>
      <c r="M2599" s="15" t="n">
        <v>0.35</v>
      </c>
      <c r="N2599" s="9" t="s">
        <v>85</v>
      </c>
    </row>
    <row r="2600" customFormat="false" ht="14.25" hidden="false" customHeight="true" outlineLevel="0" collapsed="false">
      <c r="B2600" s="9" t="s">
        <v>16</v>
      </c>
      <c r="C2600" s="9" t="n">
        <v>1185732</v>
      </c>
      <c r="D2600" s="10" t="n">
        <v>44245</v>
      </c>
      <c r="E2600" s="9" t="s">
        <v>29</v>
      </c>
      <c r="F2600" s="9" t="s">
        <v>102</v>
      </c>
      <c r="G2600" s="9" t="s">
        <v>103</v>
      </c>
      <c r="H2600" s="11" t="s">
        <v>25</v>
      </c>
      <c r="I2600" s="12" t="n">
        <v>25</v>
      </c>
      <c r="J2600" s="13" t="n">
        <v>500</v>
      </c>
      <c r="K2600" s="14" t="n">
        <f aca="false">I2600*J2600</f>
        <v>12500</v>
      </c>
      <c r="L2600" s="14" t="n">
        <f aca="false">($L$2*M2600)/100</f>
        <v>600833.25</v>
      </c>
      <c r="M2600" s="15" t="n">
        <v>0.5</v>
      </c>
      <c r="N2600" s="9" t="s">
        <v>85</v>
      </c>
    </row>
    <row r="2601" customFormat="false" ht="14.25" hidden="false" customHeight="true" outlineLevel="0" collapsed="false">
      <c r="B2601" s="9" t="s">
        <v>16</v>
      </c>
      <c r="C2601" s="9" t="n">
        <v>1185732</v>
      </c>
      <c r="D2601" s="10" t="n">
        <v>44271</v>
      </c>
      <c r="E2601" s="9" t="s">
        <v>29</v>
      </c>
      <c r="F2601" s="9" t="s">
        <v>102</v>
      </c>
      <c r="G2601" s="9" t="s">
        <v>103</v>
      </c>
      <c r="H2601" s="11" t="s">
        <v>19</v>
      </c>
      <c r="I2601" s="12" t="n">
        <v>25</v>
      </c>
      <c r="J2601" s="13" t="n">
        <v>720</v>
      </c>
      <c r="K2601" s="14" t="n">
        <f aca="false">I2601*J2601</f>
        <v>18000</v>
      </c>
      <c r="L2601" s="14" t="n">
        <f aca="false">($L$2*M2601)/100</f>
        <v>480666.6</v>
      </c>
      <c r="M2601" s="15" t="n">
        <v>0.4</v>
      </c>
      <c r="N2601" s="9" t="s">
        <v>85</v>
      </c>
    </row>
    <row r="2602" customFormat="false" ht="14.25" hidden="false" customHeight="true" outlineLevel="0" collapsed="false">
      <c r="B2602" s="9" t="s">
        <v>16</v>
      </c>
      <c r="C2602" s="9" t="n">
        <v>1185732</v>
      </c>
      <c r="D2602" s="10" t="n">
        <v>44271</v>
      </c>
      <c r="E2602" s="9" t="s">
        <v>29</v>
      </c>
      <c r="F2602" s="9" t="s">
        <v>102</v>
      </c>
      <c r="G2602" s="9" t="s">
        <v>103</v>
      </c>
      <c r="H2602" s="11" t="s">
        <v>21</v>
      </c>
      <c r="I2602" s="12" t="n">
        <v>25</v>
      </c>
      <c r="J2602" s="13" t="n">
        <v>400</v>
      </c>
      <c r="K2602" s="14" t="n">
        <f aca="false">I2602*J2602</f>
        <v>10000</v>
      </c>
      <c r="L2602" s="14" t="n">
        <f aca="false">($L$2*M2602)/100</f>
        <v>420583.275</v>
      </c>
      <c r="M2602" s="15" t="n">
        <v>0.35</v>
      </c>
      <c r="N2602" s="9" t="s">
        <v>85</v>
      </c>
    </row>
    <row r="2603" customFormat="false" ht="14.25" hidden="false" customHeight="true" outlineLevel="0" collapsed="false">
      <c r="B2603" s="9" t="s">
        <v>16</v>
      </c>
      <c r="C2603" s="9" t="n">
        <v>1185732</v>
      </c>
      <c r="D2603" s="10" t="n">
        <v>44271</v>
      </c>
      <c r="E2603" s="9" t="s">
        <v>29</v>
      </c>
      <c r="F2603" s="9" t="s">
        <v>102</v>
      </c>
      <c r="G2603" s="9" t="s">
        <v>103</v>
      </c>
      <c r="H2603" s="11" t="s">
        <v>22</v>
      </c>
      <c r="I2603" s="12" t="n">
        <v>15</v>
      </c>
      <c r="J2603" s="13" t="n">
        <v>425</v>
      </c>
      <c r="K2603" s="14" t="n">
        <f aca="false">I2603*J2603</f>
        <v>6375</v>
      </c>
      <c r="L2603" s="14" t="n">
        <f aca="false">($L$2*M2603)/100</f>
        <v>480666.6</v>
      </c>
      <c r="M2603" s="15" t="n">
        <v>0.4</v>
      </c>
      <c r="N2603" s="9" t="s">
        <v>85</v>
      </c>
    </row>
    <row r="2604" customFormat="false" ht="14.25" hidden="false" customHeight="true" outlineLevel="0" collapsed="false">
      <c r="B2604" s="9" t="s">
        <v>16</v>
      </c>
      <c r="C2604" s="9" t="n">
        <v>1185732</v>
      </c>
      <c r="D2604" s="10" t="n">
        <v>44271</v>
      </c>
      <c r="E2604" s="9" t="s">
        <v>29</v>
      </c>
      <c r="F2604" s="9" t="s">
        <v>102</v>
      </c>
      <c r="G2604" s="9" t="s">
        <v>103</v>
      </c>
      <c r="H2604" s="11" t="s">
        <v>23</v>
      </c>
      <c r="I2604" s="12" t="n">
        <v>20</v>
      </c>
      <c r="J2604" s="13" t="n">
        <v>275</v>
      </c>
      <c r="K2604" s="14" t="n">
        <f aca="false">I2604*J2604</f>
        <v>5500</v>
      </c>
      <c r="L2604" s="14" t="n">
        <f aca="false">($L$2*M2604)/100</f>
        <v>480666.6</v>
      </c>
      <c r="M2604" s="15" t="n">
        <v>0.4</v>
      </c>
      <c r="N2604" s="9" t="s">
        <v>85</v>
      </c>
    </row>
    <row r="2605" customFormat="false" ht="14.25" hidden="false" customHeight="true" outlineLevel="0" collapsed="false">
      <c r="B2605" s="9" t="s">
        <v>16</v>
      </c>
      <c r="C2605" s="9" t="n">
        <v>1185732</v>
      </c>
      <c r="D2605" s="10" t="n">
        <v>44271</v>
      </c>
      <c r="E2605" s="9" t="s">
        <v>29</v>
      </c>
      <c r="F2605" s="9" t="s">
        <v>102</v>
      </c>
      <c r="G2605" s="9" t="s">
        <v>103</v>
      </c>
      <c r="H2605" s="11" t="s">
        <v>24</v>
      </c>
      <c r="I2605" s="12" t="n">
        <v>35</v>
      </c>
      <c r="J2605" s="13" t="n">
        <v>325</v>
      </c>
      <c r="K2605" s="14" t="n">
        <f aca="false">I2605*J2605</f>
        <v>11375</v>
      </c>
      <c r="L2605" s="14" t="n">
        <f aca="false">($L$2*M2605)/100</f>
        <v>420583.275</v>
      </c>
      <c r="M2605" s="15" t="n">
        <v>0.35</v>
      </c>
      <c r="N2605" s="9" t="s">
        <v>85</v>
      </c>
    </row>
    <row r="2606" customFormat="false" ht="14.25" hidden="false" customHeight="true" outlineLevel="0" collapsed="false">
      <c r="B2606" s="9" t="s">
        <v>16</v>
      </c>
      <c r="C2606" s="9" t="n">
        <v>1185732</v>
      </c>
      <c r="D2606" s="10" t="n">
        <v>44271</v>
      </c>
      <c r="E2606" s="9" t="s">
        <v>29</v>
      </c>
      <c r="F2606" s="9" t="s">
        <v>102</v>
      </c>
      <c r="G2606" s="9" t="s">
        <v>103</v>
      </c>
      <c r="H2606" s="11" t="s">
        <v>25</v>
      </c>
      <c r="I2606" s="12" t="n">
        <v>25</v>
      </c>
      <c r="J2606" s="13" t="n">
        <v>425</v>
      </c>
      <c r="K2606" s="14" t="n">
        <f aca="false">I2606*J2606</f>
        <v>10625</v>
      </c>
      <c r="L2606" s="14" t="n">
        <f aca="false">($L$2*M2606)/100</f>
        <v>600833.25</v>
      </c>
      <c r="M2606" s="15" t="n">
        <v>0.5</v>
      </c>
      <c r="N2606" s="9" t="s">
        <v>85</v>
      </c>
    </row>
    <row r="2607" customFormat="false" ht="14.25" hidden="false" customHeight="true" outlineLevel="0" collapsed="false">
      <c r="B2607" s="9" t="s">
        <v>16</v>
      </c>
      <c r="C2607" s="9" t="n">
        <v>1185732</v>
      </c>
      <c r="D2607" s="10" t="n">
        <v>44303</v>
      </c>
      <c r="E2607" s="9" t="s">
        <v>29</v>
      </c>
      <c r="F2607" s="9" t="s">
        <v>102</v>
      </c>
      <c r="G2607" s="9" t="s">
        <v>103</v>
      </c>
      <c r="H2607" s="11" t="s">
        <v>19</v>
      </c>
      <c r="I2607" s="12" t="n">
        <v>25</v>
      </c>
      <c r="J2607" s="13" t="n">
        <v>675</v>
      </c>
      <c r="K2607" s="14" t="n">
        <f aca="false">I2607*J2607</f>
        <v>16875</v>
      </c>
      <c r="L2607" s="14" t="n">
        <f aca="false">($L$2*M2607)/100</f>
        <v>480666.6</v>
      </c>
      <c r="M2607" s="15" t="n">
        <v>0.4</v>
      </c>
      <c r="N2607" s="9" t="s">
        <v>85</v>
      </c>
    </row>
    <row r="2608" customFormat="false" ht="14.25" hidden="false" customHeight="true" outlineLevel="0" collapsed="false">
      <c r="B2608" s="9" t="s">
        <v>16</v>
      </c>
      <c r="C2608" s="9" t="n">
        <v>1185732</v>
      </c>
      <c r="D2608" s="10" t="n">
        <v>44303</v>
      </c>
      <c r="E2608" s="9" t="s">
        <v>29</v>
      </c>
      <c r="F2608" s="9" t="s">
        <v>102</v>
      </c>
      <c r="G2608" s="9" t="s">
        <v>103</v>
      </c>
      <c r="H2608" s="11" t="s">
        <v>21</v>
      </c>
      <c r="I2608" s="12" t="n">
        <v>25</v>
      </c>
      <c r="J2608" s="13" t="n">
        <v>375</v>
      </c>
      <c r="K2608" s="14" t="n">
        <f aca="false">I2608*J2608</f>
        <v>9375</v>
      </c>
      <c r="L2608" s="14" t="n">
        <f aca="false">($L$2*M2608)/100</f>
        <v>420583.275</v>
      </c>
      <c r="M2608" s="15" t="n">
        <v>0.35</v>
      </c>
      <c r="N2608" s="9" t="s">
        <v>85</v>
      </c>
    </row>
    <row r="2609" customFormat="false" ht="14.25" hidden="false" customHeight="true" outlineLevel="0" collapsed="false">
      <c r="B2609" s="9" t="s">
        <v>16</v>
      </c>
      <c r="C2609" s="9" t="n">
        <v>1185732</v>
      </c>
      <c r="D2609" s="10" t="n">
        <v>44303</v>
      </c>
      <c r="E2609" s="9" t="s">
        <v>29</v>
      </c>
      <c r="F2609" s="9" t="s">
        <v>102</v>
      </c>
      <c r="G2609" s="9" t="s">
        <v>103</v>
      </c>
      <c r="H2609" s="11" t="s">
        <v>22</v>
      </c>
      <c r="I2609" s="12" t="n">
        <v>15</v>
      </c>
      <c r="J2609" s="13" t="n">
        <v>375</v>
      </c>
      <c r="K2609" s="14" t="n">
        <f aca="false">I2609*J2609</f>
        <v>5625</v>
      </c>
      <c r="L2609" s="14" t="n">
        <f aca="false">($L$2*M2609)/100</f>
        <v>480666.6</v>
      </c>
      <c r="M2609" s="15" t="n">
        <v>0.4</v>
      </c>
      <c r="N2609" s="9" t="s">
        <v>85</v>
      </c>
    </row>
    <row r="2610" customFormat="false" ht="14.25" hidden="false" customHeight="true" outlineLevel="0" collapsed="false">
      <c r="B2610" s="9" t="s">
        <v>16</v>
      </c>
      <c r="C2610" s="9" t="n">
        <v>1185732</v>
      </c>
      <c r="D2610" s="10" t="n">
        <v>44303</v>
      </c>
      <c r="E2610" s="9" t="s">
        <v>29</v>
      </c>
      <c r="F2610" s="9" t="s">
        <v>102</v>
      </c>
      <c r="G2610" s="9" t="s">
        <v>103</v>
      </c>
      <c r="H2610" s="11" t="s">
        <v>23</v>
      </c>
      <c r="I2610" s="12" t="n">
        <v>20</v>
      </c>
      <c r="J2610" s="13" t="n">
        <v>300</v>
      </c>
      <c r="K2610" s="14" t="n">
        <f aca="false">I2610*J2610</f>
        <v>6000</v>
      </c>
      <c r="L2610" s="14" t="n">
        <f aca="false">($L$2*M2610)/100</f>
        <v>480666.6</v>
      </c>
      <c r="M2610" s="15" t="n">
        <v>0.4</v>
      </c>
      <c r="N2610" s="9" t="s">
        <v>85</v>
      </c>
    </row>
    <row r="2611" customFormat="false" ht="14.25" hidden="false" customHeight="true" outlineLevel="0" collapsed="false">
      <c r="B2611" s="9" t="s">
        <v>16</v>
      </c>
      <c r="C2611" s="9" t="n">
        <v>1185732</v>
      </c>
      <c r="D2611" s="10" t="n">
        <v>44303</v>
      </c>
      <c r="E2611" s="9" t="s">
        <v>29</v>
      </c>
      <c r="F2611" s="9" t="s">
        <v>102</v>
      </c>
      <c r="G2611" s="9" t="s">
        <v>103</v>
      </c>
      <c r="H2611" s="11" t="s">
        <v>24</v>
      </c>
      <c r="I2611" s="12" t="n">
        <v>40</v>
      </c>
      <c r="J2611" s="13" t="n">
        <v>325</v>
      </c>
      <c r="K2611" s="14" t="n">
        <f aca="false">I2611*J2611</f>
        <v>13000</v>
      </c>
      <c r="L2611" s="14" t="n">
        <f aca="false">($L$2*M2611)/100</f>
        <v>420583.275</v>
      </c>
      <c r="M2611" s="15" t="n">
        <v>0.35</v>
      </c>
      <c r="N2611" s="9" t="s">
        <v>85</v>
      </c>
    </row>
    <row r="2612" customFormat="false" ht="14.25" hidden="false" customHeight="true" outlineLevel="0" collapsed="false">
      <c r="B2612" s="9" t="s">
        <v>16</v>
      </c>
      <c r="C2612" s="9" t="n">
        <v>1185732</v>
      </c>
      <c r="D2612" s="10" t="n">
        <v>44303</v>
      </c>
      <c r="E2612" s="9" t="s">
        <v>29</v>
      </c>
      <c r="F2612" s="9" t="s">
        <v>102</v>
      </c>
      <c r="G2612" s="9" t="s">
        <v>103</v>
      </c>
      <c r="H2612" s="11" t="s">
        <v>25</v>
      </c>
      <c r="I2612" s="12" t="n">
        <v>30</v>
      </c>
      <c r="J2612" s="13" t="n">
        <v>475</v>
      </c>
      <c r="K2612" s="14" t="n">
        <f aca="false">I2612*J2612</f>
        <v>14250</v>
      </c>
      <c r="L2612" s="14" t="n">
        <f aca="false">($L$2*M2612)/100</f>
        <v>600833.25</v>
      </c>
      <c r="M2612" s="15" t="n">
        <v>0.5</v>
      </c>
      <c r="N2612" s="9" t="s">
        <v>85</v>
      </c>
    </row>
    <row r="2613" customFormat="false" ht="14.25" hidden="false" customHeight="true" outlineLevel="0" collapsed="false">
      <c r="B2613" s="9" t="s">
        <v>16</v>
      </c>
      <c r="C2613" s="9" t="n">
        <v>1185732</v>
      </c>
      <c r="D2613" s="10" t="n">
        <v>44332</v>
      </c>
      <c r="E2613" s="9" t="s">
        <v>29</v>
      </c>
      <c r="F2613" s="9" t="s">
        <v>102</v>
      </c>
      <c r="G2613" s="9" t="s">
        <v>103</v>
      </c>
      <c r="H2613" s="11" t="s">
        <v>19</v>
      </c>
      <c r="I2613" s="12" t="n">
        <v>40</v>
      </c>
      <c r="J2613" s="13" t="n">
        <v>745</v>
      </c>
      <c r="K2613" s="14" t="n">
        <f aca="false">I2613*J2613</f>
        <v>29800</v>
      </c>
      <c r="L2613" s="14" t="n">
        <f aca="false">($L$2*M2613)/100</f>
        <v>480666.6</v>
      </c>
      <c r="M2613" s="15" t="n">
        <v>0.4</v>
      </c>
      <c r="N2613" s="9" t="s">
        <v>85</v>
      </c>
    </row>
    <row r="2614" customFormat="false" ht="14.25" hidden="false" customHeight="true" outlineLevel="0" collapsed="false">
      <c r="B2614" s="9" t="s">
        <v>16</v>
      </c>
      <c r="C2614" s="9" t="n">
        <v>1185732</v>
      </c>
      <c r="D2614" s="10" t="n">
        <v>44332</v>
      </c>
      <c r="E2614" s="9" t="s">
        <v>29</v>
      </c>
      <c r="F2614" s="9" t="s">
        <v>102</v>
      </c>
      <c r="G2614" s="9" t="s">
        <v>103</v>
      </c>
      <c r="H2614" s="11" t="s">
        <v>21</v>
      </c>
      <c r="I2614" s="12" t="n">
        <v>40</v>
      </c>
      <c r="J2614" s="13" t="n">
        <v>450</v>
      </c>
      <c r="K2614" s="14" t="n">
        <f aca="false">I2614*J2614</f>
        <v>18000</v>
      </c>
      <c r="L2614" s="14" t="n">
        <f aca="false">($L$2*M2614)/100</f>
        <v>420583.275</v>
      </c>
      <c r="M2614" s="15" t="n">
        <v>0.35</v>
      </c>
      <c r="N2614" s="9" t="s">
        <v>85</v>
      </c>
    </row>
    <row r="2615" customFormat="false" ht="14.25" hidden="false" customHeight="true" outlineLevel="0" collapsed="false">
      <c r="B2615" s="9" t="s">
        <v>16</v>
      </c>
      <c r="C2615" s="9" t="n">
        <v>1185732</v>
      </c>
      <c r="D2615" s="10" t="n">
        <v>44332</v>
      </c>
      <c r="E2615" s="9" t="s">
        <v>29</v>
      </c>
      <c r="F2615" s="9" t="s">
        <v>102</v>
      </c>
      <c r="G2615" s="9" t="s">
        <v>103</v>
      </c>
      <c r="H2615" s="11" t="s">
        <v>22</v>
      </c>
      <c r="I2615" s="12" t="n">
        <v>35</v>
      </c>
      <c r="J2615" s="13" t="n">
        <v>425</v>
      </c>
      <c r="K2615" s="14" t="n">
        <f aca="false">I2615*J2615</f>
        <v>14875</v>
      </c>
      <c r="L2615" s="14" t="n">
        <f aca="false">($L$2*M2615)/100</f>
        <v>480666.6</v>
      </c>
      <c r="M2615" s="15" t="n">
        <v>0.4</v>
      </c>
      <c r="N2615" s="9" t="s">
        <v>85</v>
      </c>
    </row>
    <row r="2616" customFormat="false" ht="14.25" hidden="false" customHeight="true" outlineLevel="0" collapsed="false">
      <c r="B2616" s="9" t="s">
        <v>16</v>
      </c>
      <c r="C2616" s="9" t="n">
        <v>1185732</v>
      </c>
      <c r="D2616" s="10" t="n">
        <v>44332</v>
      </c>
      <c r="E2616" s="9" t="s">
        <v>29</v>
      </c>
      <c r="F2616" s="9" t="s">
        <v>102</v>
      </c>
      <c r="G2616" s="9" t="s">
        <v>103</v>
      </c>
      <c r="H2616" s="11" t="s">
        <v>23</v>
      </c>
      <c r="I2616" s="12" t="n">
        <v>35</v>
      </c>
      <c r="J2616" s="13" t="n">
        <v>375</v>
      </c>
      <c r="K2616" s="14" t="n">
        <f aca="false">I2616*J2616</f>
        <v>13125</v>
      </c>
      <c r="L2616" s="14" t="n">
        <f aca="false">($L$2*M2616)/100</f>
        <v>480666.6</v>
      </c>
      <c r="M2616" s="15" t="n">
        <v>0.4</v>
      </c>
      <c r="N2616" s="9" t="s">
        <v>85</v>
      </c>
    </row>
    <row r="2617" customFormat="false" ht="14.25" hidden="false" customHeight="true" outlineLevel="0" collapsed="false">
      <c r="B2617" s="9" t="s">
        <v>16</v>
      </c>
      <c r="C2617" s="9" t="n">
        <v>1185732</v>
      </c>
      <c r="D2617" s="10" t="n">
        <v>44332</v>
      </c>
      <c r="E2617" s="9" t="s">
        <v>29</v>
      </c>
      <c r="F2617" s="9" t="s">
        <v>102</v>
      </c>
      <c r="G2617" s="9" t="s">
        <v>103</v>
      </c>
      <c r="H2617" s="11" t="s">
        <v>24</v>
      </c>
      <c r="I2617" s="12" t="n">
        <v>45</v>
      </c>
      <c r="J2617" s="13" t="n">
        <v>400</v>
      </c>
      <c r="K2617" s="14" t="n">
        <f aca="false">I2617*J2617</f>
        <v>18000</v>
      </c>
      <c r="L2617" s="14" t="n">
        <f aca="false">($L$2*M2617)/100</f>
        <v>420583.275</v>
      </c>
      <c r="M2617" s="15" t="n">
        <v>0.35</v>
      </c>
      <c r="N2617" s="9" t="s">
        <v>85</v>
      </c>
    </row>
    <row r="2618" customFormat="false" ht="14.25" hidden="false" customHeight="true" outlineLevel="0" collapsed="false">
      <c r="B2618" s="9" t="s">
        <v>16</v>
      </c>
      <c r="C2618" s="9" t="n">
        <v>1185732</v>
      </c>
      <c r="D2618" s="10" t="n">
        <v>44332</v>
      </c>
      <c r="E2618" s="9" t="s">
        <v>29</v>
      </c>
      <c r="F2618" s="9" t="s">
        <v>102</v>
      </c>
      <c r="G2618" s="9" t="s">
        <v>103</v>
      </c>
      <c r="H2618" s="11" t="s">
        <v>25</v>
      </c>
      <c r="I2618" s="12" t="n">
        <v>50</v>
      </c>
      <c r="J2618" s="13" t="n">
        <v>500</v>
      </c>
      <c r="K2618" s="14" t="n">
        <f aca="false">I2618*J2618</f>
        <v>25000</v>
      </c>
      <c r="L2618" s="14" t="n">
        <f aca="false">($L$2*M2618)/100</f>
        <v>600833.25</v>
      </c>
      <c r="M2618" s="15" t="n">
        <v>0.5</v>
      </c>
      <c r="N2618" s="9" t="s">
        <v>85</v>
      </c>
    </row>
    <row r="2619" customFormat="false" ht="14.25" hidden="false" customHeight="true" outlineLevel="0" collapsed="false">
      <c r="B2619" s="9" t="s">
        <v>16</v>
      </c>
      <c r="C2619" s="9" t="n">
        <v>1185732</v>
      </c>
      <c r="D2619" s="10" t="n">
        <v>44365</v>
      </c>
      <c r="E2619" s="9" t="s">
        <v>29</v>
      </c>
      <c r="F2619" s="9" t="s">
        <v>102</v>
      </c>
      <c r="G2619" s="9" t="s">
        <v>103</v>
      </c>
      <c r="H2619" s="11" t="s">
        <v>19</v>
      </c>
      <c r="I2619" s="12" t="n">
        <v>45</v>
      </c>
      <c r="J2619" s="13" t="n">
        <v>750</v>
      </c>
      <c r="K2619" s="14" t="n">
        <f aca="false">I2619*J2619</f>
        <v>33750</v>
      </c>
      <c r="L2619" s="14" t="n">
        <f aca="false">($L$2*M2619)/100</f>
        <v>480666.6</v>
      </c>
      <c r="M2619" s="15" t="n">
        <v>0.4</v>
      </c>
      <c r="N2619" s="9" t="s">
        <v>85</v>
      </c>
    </row>
    <row r="2620" customFormat="false" ht="14.25" hidden="false" customHeight="true" outlineLevel="0" collapsed="false">
      <c r="B2620" s="9" t="s">
        <v>16</v>
      </c>
      <c r="C2620" s="9" t="n">
        <v>1185732</v>
      </c>
      <c r="D2620" s="10" t="n">
        <v>44365</v>
      </c>
      <c r="E2620" s="9" t="s">
        <v>29</v>
      </c>
      <c r="F2620" s="9" t="s">
        <v>102</v>
      </c>
      <c r="G2620" s="9" t="s">
        <v>103</v>
      </c>
      <c r="H2620" s="11" t="s">
        <v>21</v>
      </c>
      <c r="I2620" s="12" t="n">
        <v>40</v>
      </c>
      <c r="J2620" s="13" t="n">
        <v>500</v>
      </c>
      <c r="K2620" s="14" t="n">
        <f aca="false">I2620*J2620</f>
        <v>20000</v>
      </c>
      <c r="L2620" s="14" t="n">
        <f aca="false">($L$2*M2620)/100</f>
        <v>420583.275</v>
      </c>
      <c r="M2620" s="15" t="n">
        <v>0.35</v>
      </c>
      <c r="N2620" s="9" t="s">
        <v>85</v>
      </c>
    </row>
    <row r="2621" customFormat="false" ht="14.25" hidden="false" customHeight="true" outlineLevel="0" collapsed="false">
      <c r="B2621" s="9" t="s">
        <v>16</v>
      </c>
      <c r="C2621" s="9" t="n">
        <v>1185732</v>
      </c>
      <c r="D2621" s="10" t="n">
        <v>44365</v>
      </c>
      <c r="E2621" s="9" t="s">
        <v>29</v>
      </c>
      <c r="F2621" s="9" t="s">
        <v>102</v>
      </c>
      <c r="G2621" s="9" t="s">
        <v>103</v>
      </c>
      <c r="H2621" s="11" t="s">
        <v>22</v>
      </c>
      <c r="I2621" s="12" t="n">
        <v>45</v>
      </c>
      <c r="J2621" s="13" t="n">
        <v>475</v>
      </c>
      <c r="K2621" s="14" t="n">
        <f aca="false">I2621*J2621</f>
        <v>21375</v>
      </c>
      <c r="L2621" s="14" t="n">
        <f aca="false">($L$2*M2621)/100</f>
        <v>480666.6</v>
      </c>
      <c r="M2621" s="15" t="n">
        <v>0.4</v>
      </c>
      <c r="N2621" s="9" t="s">
        <v>85</v>
      </c>
    </row>
    <row r="2622" customFormat="false" ht="14.25" hidden="false" customHeight="true" outlineLevel="0" collapsed="false">
      <c r="B2622" s="9" t="s">
        <v>16</v>
      </c>
      <c r="C2622" s="9" t="n">
        <v>1185732</v>
      </c>
      <c r="D2622" s="10" t="n">
        <v>44365</v>
      </c>
      <c r="E2622" s="9" t="s">
        <v>29</v>
      </c>
      <c r="F2622" s="9" t="s">
        <v>102</v>
      </c>
      <c r="G2622" s="9" t="s">
        <v>103</v>
      </c>
      <c r="H2622" s="11" t="s">
        <v>23</v>
      </c>
      <c r="I2622" s="12" t="n">
        <v>45</v>
      </c>
      <c r="J2622" s="13" t="n">
        <v>450</v>
      </c>
      <c r="K2622" s="14" t="n">
        <f aca="false">I2622*J2622</f>
        <v>20250</v>
      </c>
      <c r="L2622" s="14" t="n">
        <f aca="false">($L$2*M2622)/100</f>
        <v>480666.6</v>
      </c>
      <c r="M2622" s="15" t="n">
        <v>0.4</v>
      </c>
      <c r="N2622" s="9" t="s">
        <v>85</v>
      </c>
    </row>
    <row r="2623" customFormat="false" ht="14.25" hidden="false" customHeight="true" outlineLevel="0" collapsed="false">
      <c r="B2623" s="9" t="s">
        <v>16</v>
      </c>
      <c r="C2623" s="9" t="n">
        <v>1185732</v>
      </c>
      <c r="D2623" s="10" t="n">
        <v>44365</v>
      </c>
      <c r="E2623" s="9" t="s">
        <v>29</v>
      </c>
      <c r="F2623" s="9" t="s">
        <v>102</v>
      </c>
      <c r="G2623" s="9" t="s">
        <v>103</v>
      </c>
      <c r="H2623" s="11" t="s">
        <v>24</v>
      </c>
      <c r="I2623" s="12" t="n">
        <v>60</v>
      </c>
      <c r="J2623" s="13" t="n">
        <v>450</v>
      </c>
      <c r="K2623" s="14" t="n">
        <f aca="false">I2623*J2623</f>
        <v>27000</v>
      </c>
      <c r="L2623" s="14" t="n">
        <f aca="false">($L$2*M2623)/100</f>
        <v>420583.275</v>
      </c>
      <c r="M2623" s="15" t="n">
        <v>0.35</v>
      </c>
      <c r="N2623" s="9" t="s">
        <v>85</v>
      </c>
    </row>
    <row r="2624" customFormat="false" ht="14.25" hidden="false" customHeight="true" outlineLevel="0" collapsed="false">
      <c r="B2624" s="9" t="s">
        <v>16</v>
      </c>
      <c r="C2624" s="9" t="n">
        <v>1185732</v>
      </c>
      <c r="D2624" s="10" t="n">
        <v>44365</v>
      </c>
      <c r="E2624" s="9" t="s">
        <v>29</v>
      </c>
      <c r="F2624" s="9" t="s">
        <v>102</v>
      </c>
      <c r="G2624" s="9" t="s">
        <v>103</v>
      </c>
      <c r="H2624" s="11" t="s">
        <v>25</v>
      </c>
      <c r="I2624" s="12" t="n">
        <v>65</v>
      </c>
      <c r="J2624" s="13" t="n">
        <v>625</v>
      </c>
      <c r="K2624" s="14" t="n">
        <f aca="false">I2624*J2624</f>
        <v>40625</v>
      </c>
      <c r="L2624" s="14" t="n">
        <f aca="false">($L$2*M2624)/100</f>
        <v>600833.25</v>
      </c>
      <c r="M2624" s="15" t="n">
        <v>0.5</v>
      </c>
      <c r="N2624" s="9" t="s">
        <v>85</v>
      </c>
    </row>
    <row r="2625" customFormat="false" ht="14.25" hidden="false" customHeight="true" outlineLevel="0" collapsed="false">
      <c r="B2625" s="9" t="s">
        <v>16</v>
      </c>
      <c r="C2625" s="9" t="n">
        <v>1185732</v>
      </c>
      <c r="D2625" s="10" t="n">
        <v>44393</v>
      </c>
      <c r="E2625" s="9" t="s">
        <v>29</v>
      </c>
      <c r="F2625" s="9" t="s">
        <v>102</v>
      </c>
      <c r="G2625" s="9" t="s">
        <v>103</v>
      </c>
      <c r="H2625" s="11" t="s">
        <v>19</v>
      </c>
      <c r="I2625" s="12" t="n">
        <v>60</v>
      </c>
      <c r="J2625" s="13" t="n">
        <v>850</v>
      </c>
      <c r="K2625" s="14" t="n">
        <f aca="false">I2625*J2625</f>
        <v>51000</v>
      </c>
      <c r="L2625" s="14" t="n">
        <f aca="false">($L$2*M2625)/100</f>
        <v>480666.6</v>
      </c>
      <c r="M2625" s="15" t="n">
        <v>0.4</v>
      </c>
      <c r="N2625" s="9" t="s">
        <v>85</v>
      </c>
    </row>
    <row r="2626" customFormat="false" ht="14.25" hidden="false" customHeight="true" outlineLevel="0" collapsed="false">
      <c r="B2626" s="9" t="s">
        <v>27</v>
      </c>
      <c r="C2626" s="9" t="n">
        <v>1185732</v>
      </c>
      <c r="D2626" s="10" t="n">
        <v>44393</v>
      </c>
      <c r="E2626" s="9" t="s">
        <v>29</v>
      </c>
      <c r="F2626" s="9" t="s">
        <v>102</v>
      </c>
      <c r="G2626" s="9" t="s">
        <v>103</v>
      </c>
      <c r="H2626" s="11" t="s">
        <v>21</v>
      </c>
      <c r="I2626" s="12" t="n">
        <v>55</v>
      </c>
      <c r="J2626" s="13" t="n">
        <v>600</v>
      </c>
      <c r="K2626" s="14" t="n">
        <f aca="false">I2626*J2626</f>
        <v>33000</v>
      </c>
      <c r="L2626" s="14" t="n">
        <f aca="false">($L$2*M2626)/100</f>
        <v>420583.275</v>
      </c>
      <c r="M2626" s="15" t="n">
        <v>0.35</v>
      </c>
      <c r="N2626" s="9" t="s">
        <v>85</v>
      </c>
    </row>
    <row r="2627" customFormat="false" ht="14.25" hidden="false" customHeight="true" outlineLevel="0" collapsed="false">
      <c r="B2627" s="9" t="s">
        <v>27</v>
      </c>
      <c r="C2627" s="9" t="n">
        <v>1185732</v>
      </c>
      <c r="D2627" s="10" t="n">
        <v>44393</v>
      </c>
      <c r="E2627" s="9" t="s">
        <v>29</v>
      </c>
      <c r="F2627" s="9" t="s">
        <v>102</v>
      </c>
      <c r="G2627" s="9" t="s">
        <v>103</v>
      </c>
      <c r="H2627" s="11" t="s">
        <v>22</v>
      </c>
      <c r="I2627" s="12" t="n">
        <v>50</v>
      </c>
      <c r="J2627" s="13" t="n">
        <v>525</v>
      </c>
      <c r="K2627" s="14" t="n">
        <f aca="false">I2627*J2627</f>
        <v>26250</v>
      </c>
      <c r="L2627" s="14" t="n">
        <f aca="false">($L$2*M2627)/100</f>
        <v>480666.6</v>
      </c>
      <c r="M2627" s="15" t="n">
        <v>0.4</v>
      </c>
      <c r="N2627" s="9" t="s">
        <v>85</v>
      </c>
    </row>
    <row r="2628" customFormat="false" ht="14.25" hidden="false" customHeight="true" outlineLevel="0" collapsed="false">
      <c r="B2628" s="9" t="s">
        <v>27</v>
      </c>
      <c r="C2628" s="9" t="n">
        <v>1185732</v>
      </c>
      <c r="D2628" s="10" t="n">
        <v>44393</v>
      </c>
      <c r="E2628" s="9" t="s">
        <v>29</v>
      </c>
      <c r="F2628" s="9" t="s">
        <v>102</v>
      </c>
      <c r="G2628" s="9" t="s">
        <v>103</v>
      </c>
      <c r="H2628" s="11" t="s">
        <v>23</v>
      </c>
      <c r="I2628" s="12" t="n">
        <v>50</v>
      </c>
      <c r="J2628" s="13" t="n">
        <v>475</v>
      </c>
      <c r="K2628" s="14" t="n">
        <f aca="false">I2628*J2628</f>
        <v>23750</v>
      </c>
      <c r="L2628" s="14" t="n">
        <f aca="false">($L$2*M2628)/100</f>
        <v>480666.6</v>
      </c>
      <c r="M2628" s="15" t="n">
        <v>0.4</v>
      </c>
      <c r="N2628" s="9" t="s">
        <v>85</v>
      </c>
    </row>
    <row r="2629" customFormat="false" ht="14.25" hidden="false" customHeight="true" outlineLevel="0" collapsed="false">
      <c r="B2629" s="9" t="s">
        <v>27</v>
      </c>
      <c r="C2629" s="9" t="n">
        <v>1185732</v>
      </c>
      <c r="D2629" s="10" t="n">
        <v>44393</v>
      </c>
      <c r="E2629" s="9" t="s">
        <v>29</v>
      </c>
      <c r="F2629" s="9" t="s">
        <v>102</v>
      </c>
      <c r="G2629" s="9" t="s">
        <v>103</v>
      </c>
      <c r="H2629" s="11" t="s">
        <v>24</v>
      </c>
      <c r="I2629" s="12" t="n">
        <v>60</v>
      </c>
      <c r="J2629" s="13" t="n">
        <v>500</v>
      </c>
      <c r="K2629" s="14" t="n">
        <f aca="false">I2629*J2629</f>
        <v>30000</v>
      </c>
      <c r="L2629" s="14" t="n">
        <f aca="false">($L$2*M2629)/100</f>
        <v>420583.275</v>
      </c>
      <c r="M2629" s="15" t="n">
        <v>0.35</v>
      </c>
      <c r="N2629" s="9" t="s">
        <v>85</v>
      </c>
    </row>
    <row r="2630" customFormat="false" ht="14.25" hidden="false" customHeight="true" outlineLevel="0" collapsed="false">
      <c r="B2630" s="9" t="s">
        <v>27</v>
      </c>
      <c r="C2630" s="9" t="n">
        <v>1185732</v>
      </c>
      <c r="D2630" s="10" t="n">
        <v>44393</v>
      </c>
      <c r="E2630" s="9" t="s">
        <v>29</v>
      </c>
      <c r="F2630" s="9" t="s">
        <v>102</v>
      </c>
      <c r="G2630" s="9" t="s">
        <v>103</v>
      </c>
      <c r="H2630" s="11" t="s">
        <v>25</v>
      </c>
      <c r="I2630" s="12" t="n">
        <v>65</v>
      </c>
      <c r="J2630" s="13" t="n">
        <v>675</v>
      </c>
      <c r="K2630" s="14" t="n">
        <f aca="false">I2630*J2630</f>
        <v>43875</v>
      </c>
      <c r="L2630" s="14" t="n">
        <f aca="false">($L$2*M2630)/100</f>
        <v>600833.25</v>
      </c>
      <c r="M2630" s="15" t="n">
        <v>0.5</v>
      </c>
      <c r="N2630" s="9" t="s">
        <v>85</v>
      </c>
    </row>
    <row r="2631" customFormat="false" ht="14.25" hidden="false" customHeight="true" outlineLevel="0" collapsed="false">
      <c r="B2631" s="9" t="s">
        <v>27</v>
      </c>
      <c r="C2631" s="9" t="n">
        <v>1185732</v>
      </c>
      <c r="D2631" s="10" t="n">
        <v>44425</v>
      </c>
      <c r="E2631" s="9" t="s">
        <v>29</v>
      </c>
      <c r="F2631" s="9" t="s">
        <v>102</v>
      </c>
      <c r="G2631" s="9" t="s">
        <v>103</v>
      </c>
      <c r="H2631" s="11" t="s">
        <v>19</v>
      </c>
      <c r="I2631" s="12" t="n">
        <v>60</v>
      </c>
      <c r="J2631" s="13" t="n">
        <v>825</v>
      </c>
      <c r="K2631" s="14" t="n">
        <f aca="false">I2631*J2631</f>
        <v>49500</v>
      </c>
      <c r="L2631" s="14" t="n">
        <f aca="false">($L$2*M2631)/100</f>
        <v>480666.6</v>
      </c>
      <c r="M2631" s="15" t="n">
        <v>0.4</v>
      </c>
      <c r="N2631" s="9" t="s">
        <v>85</v>
      </c>
    </row>
    <row r="2632" customFormat="false" ht="14.25" hidden="false" customHeight="true" outlineLevel="0" collapsed="false">
      <c r="B2632" s="9" t="s">
        <v>27</v>
      </c>
      <c r="C2632" s="9" t="n">
        <v>1185732</v>
      </c>
      <c r="D2632" s="10" t="n">
        <v>44425</v>
      </c>
      <c r="E2632" s="9" t="s">
        <v>29</v>
      </c>
      <c r="F2632" s="9" t="s">
        <v>102</v>
      </c>
      <c r="G2632" s="9" t="s">
        <v>103</v>
      </c>
      <c r="H2632" s="11" t="s">
        <v>21</v>
      </c>
      <c r="I2632" s="12" t="n">
        <v>55</v>
      </c>
      <c r="J2632" s="13" t="n">
        <v>600</v>
      </c>
      <c r="K2632" s="14" t="n">
        <f aca="false">I2632*J2632</f>
        <v>33000</v>
      </c>
      <c r="L2632" s="14" t="n">
        <f aca="false">($L$2*M2632)/100</f>
        <v>420583.275</v>
      </c>
      <c r="M2632" s="15" t="n">
        <v>0.35</v>
      </c>
      <c r="N2632" s="9" t="s">
        <v>85</v>
      </c>
    </row>
    <row r="2633" customFormat="false" ht="14.25" hidden="false" customHeight="true" outlineLevel="0" collapsed="false">
      <c r="B2633" s="9" t="s">
        <v>27</v>
      </c>
      <c r="C2633" s="9" t="n">
        <v>1185732</v>
      </c>
      <c r="D2633" s="10" t="n">
        <v>44425</v>
      </c>
      <c r="E2633" s="9" t="s">
        <v>29</v>
      </c>
      <c r="F2633" s="9" t="s">
        <v>102</v>
      </c>
      <c r="G2633" s="9" t="s">
        <v>103</v>
      </c>
      <c r="H2633" s="11" t="s">
        <v>22</v>
      </c>
      <c r="I2633" s="12" t="n">
        <v>50</v>
      </c>
      <c r="J2633" s="13" t="n">
        <v>525</v>
      </c>
      <c r="K2633" s="14" t="n">
        <f aca="false">I2633*J2633</f>
        <v>26250</v>
      </c>
      <c r="L2633" s="14" t="n">
        <f aca="false">($L$2*M2633)/100</f>
        <v>480666.6</v>
      </c>
      <c r="M2633" s="15" t="n">
        <v>0.4</v>
      </c>
      <c r="N2633" s="9" t="s">
        <v>85</v>
      </c>
    </row>
    <row r="2634" customFormat="false" ht="14.25" hidden="false" customHeight="true" outlineLevel="0" collapsed="false">
      <c r="B2634" s="9" t="s">
        <v>27</v>
      </c>
      <c r="C2634" s="9" t="n">
        <v>1185732</v>
      </c>
      <c r="D2634" s="10" t="n">
        <v>44425</v>
      </c>
      <c r="E2634" s="9" t="s">
        <v>29</v>
      </c>
      <c r="F2634" s="9" t="s">
        <v>102</v>
      </c>
      <c r="G2634" s="9" t="s">
        <v>103</v>
      </c>
      <c r="H2634" s="11" t="s">
        <v>23</v>
      </c>
      <c r="I2634" s="12" t="n">
        <v>40</v>
      </c>
      <c r="J2634" s="13" t="n">
        <v>475</v>
      </c>
      <c r="K2634" s="14" t="n">
        <f aca="false">I2634*J2634</f>
        <v>19000</v>
      </c>
      <c r="L2634" s="14" t="n">
        <f aca="false">($L$2*M2634)/100</f>
        <v>480666.6</v>
      </c>
      <c r="M2634" s="15" t="n">
        <v>0.4</v>
      </c>
      <c r="N2634" s="9" t="s">
        <v>85</v>
      </c>
    </row>
    <row r="2635" customFormat="false" ht="14.25" hidden="false" customHeight="true" outlineLevel="0" collapsed="false">
      <c r="B2635" s="9" t="s">
        <v>27</v>
      </c>
      <c r="C2635" s="9" t="n">
        <v>1185732</v>
      </c>
      <c r="D2635" s="10" t="n">
        <v>44425</v>
      </c>
      <c r="E2635" s="9" t="s">
        <v>29</v>
      </c>
      <c r="F2635" s="9" t="s">
        <v>102</v>
      </c>
      <c r="G2635" s="9" t="s">
        <v>103</v>
      </c>
      <c r="H2635" s="11" t="s">
        <v>24</v>
      </c>
      <c r="I2635" s="12" t="n">
        <v>50</v>
      </c>
      <c r="J2635" s="13" t="n">
        <v>450</v>
      </c>
      <c r="K2635" s="14" t="n">
        <f aca="false">I2635*J2635</f>
        <v>22500</v>
      </c>
      <c r="L2635" s="14" t="n">
        <f aca="false">($L$2*M2635)/100</f>
        <v>420583.275</v>
      </c>
      <c r="M2635" s="15" t="n">
        <v>0.35</v>
      </c>
      <c r="N2635" s="9" t="s">
        <v>85</v>
      </c>
    </row>
    <row r="2636" customFormat="false" ht="14.25" hidden="false" customHeight="true" outlineLevel="0" collapsed="false">
      <c r="B2636" s="9" t="s">
        <v>27</v>
      </c>
      <c r="C2636" s="9" t="n">
        <v>1185732</v>
      </c>
      <c r="D2636" s="10" t="n">
        <v>44425</v>
      </c>
      <c r="E2636" s="9" t="s">
        <v>29</v>
      </c>
      <c r="F2636" s="9" t="s">
        <v>102</v>
      </c>
      <c r="G2636" s="9" t="s">
        <v>103</v>
      </c>
      <c r="H2636" s="11" t="s">
        <v>25</v>
      </c>
      <c r="I2636" s="12" t="n">
        <v>55</v>
      </c>
      <c r="J2636" s="13" t="n">
        <v>625</v>
      </c>
      <c r="K2636" s="14" t="n">
        <f aca="false">I2636*J2636</f>
        <v>34375</v>
      </c>
      <c r="L2636" s="14" t="n">
        <f aca="false">($L$2*M2636)/100</f>
        <v>600833.25</v>
      </c>
      <c r="M2636" s="15" t="n">
        <v>0.5</v>
      </c>
      <c r="N2636" s="9" t="s">
        <v>85</v>
      </c>
    </row>
    <row r="2637" customFormat="false" ht="14.25" hidden="false" customHeight="true" outlineLevel="0" collapsed="false">
      <c r="B2637" s="9" t="s">
        <v>27</v>
      </c>
      <c r="C2637" s="9" t="n">
        <v>1185732</v>
      </c>
      <c r="D2637" s="10" t="n">
        <v>44455</v>
      </c>
      <c r="E2637" s="9" t="s">
        <v>29</v>
      </c>
      <c r="F2637" s="9" t="s">
        <v>102</v>
      </c>
      <c r="G2637" s="9" t="s">
        <v>103</v>
      </c>
      <c r="H2637" s="11" t="s">
        <v>19</v>
      </c>
      <c r="I2637" s="12" t="n">
        <v>50</v>
      </c>
      <c r="J2637" s="13" t="n">
        <v>725</v>
      </c>
      <c r="K2637" s="14" t="n">
        <f aca="false">I2637*J2637</f>
        <v>36250</v>
      </c>
      <c r="L2637" s="14" t="n">
        <f aca="false">($L$2*M2637)/100</f>
        <v>480666.6</v>
      </c>
      <c r="M2637" s="15" t="n">
        <v>0.4</v>
      </c>
      <c r="N2637" s="9" t="s">
        <v>85</v>
      </c>
    </row>
    <row r="2638" customFormat="false" ht="14.25" hidden="false" customHeight="true" outlineLevel="0" collapsed="false">
      <c r="B2638" s="9" t="s">
        <v>27</v>
      </c>
      <c r="C2638" s="9" t="n">
        <v>1185732</v>
      </c>
      <c r="D2638" s="10" t="n">
        <v>44455</v>
      </c>
      <c r="E2638" s="9" t="s">
        <v>29</v>
      </c>
      <c r="F2638" s="9" t="s">
        <v>102</v>
      </c>
      <c r="G2638" s="9" t="s">
        <v>103</v>
      </c>
      <c r="H2638" s="11" t="s">
        <v>21</v>
      </c>
      <c r="I2638" s="12" t="n">
        <v>45</v>
      </c>
      <c r="J2638" s="13" t="n">
        <v>525</v>
      </c>
      <c r="K2638" s="14" t="n">
        <f aca="false">I2638*J2638</f>
        <v>23625</v>
      </c>
      <c r="L2638" s="14" t="n">
        <f aca="false">($L$2*M2638)/100</f>
        <v>420583.275</v>
      </c>
      <c r="M2638" s="15" t="n">
        <v>0.35</v>
      </c>
      <c r="N2638" s="9" t="s">
        <v>85</v>
      </c>
    </row>
    <row r="2639" customFormat="false" ht="14.25" hidden="false" customHeight="true" outlineLevel="0" collapsed="false">
      <c r="B2639" s="9" t="s">
        <v>27</v>
      </c>
      <c r="C2639" s="9" t="n">
        <v>1185732</v>
      </c>
      <c r="D2639" s="10" t="n">
        <v>44455</v>
      </c>
      <c r="E2639" s="9" t="s">
        <v>29</v>
      </c>
      <c r="F2639" s="9" t="s">
        <v>102</v>
      </c>
      <c r="G2639" s="9" t="s">
        <v>103</v>
      </c>
      <c r="H2639" s="11" t="s">
        <v>22</v>
      </c>
      <c r="I2639" s="12" t="n">
        <v>20</v>
      </c>
      <c r="J2639" s="13" t="n">
        <v>425</v>
      </c>
      <c r="K2639" s="14" t="n">
        <f aca="false">I2639*J2639</f>
        <v>8500</v>
      </c>
      <c r="L2639" s="14" t="n">
        <f aca="false">($L$2*M2639)/100</f>
        <v>480666.6</v>
      </c>
      <c r="M2639" s="15" t="n">
        <v>0.4</v>
      </c>
      <c r="N2639" s="9" t="s">
        <v>85</v>
      </c>
    </row>
    <row r="2640" customFormat="false" ht="14.25" hidden="false" customHeight="true" outlineLevel="0" collapsed="false">
      <c r="B2640" s="9" t="s">
        <v>27</v>
      </c>
      <c r="C2640" s="9" t="n">
        <v>1185732</v>
      </c>
      <c r="D2640" s="10" t="n">
        <v>44455</v>
      </c>
      <c r="E2640" s="9" t="s">
        <v>29</v>
      </c>
      <c r="F2640" s="9" t="s">
        <v>102</v>
      </c>
      <c r="G2640" s="9" t="s">
        <v>103</v>
      </c>
      <c r="H2640" s="11" t="s">
        <v>23</v>
      </c>
      <c r="I2640" s="12" t="n">
        <v>20</v>
      </c>
      <c r="J2640" s="13" t="n">
        <v>400</v>
      </c>
      <c r="K2640" s="14" t="n">
        <f aca="false">I2640*J2640</f>
        <v>8000</v>
      </c>
      <c r="L2640" s="14" t="n">
        <f aca="false">($L$2*M2640)/100</f>
        <v>480666.6</v>
      </c>
      <c r="M2640" s="15" t="n">
        <v>0.4</v>
      </c>
      <c r="N2640" s="9" t="s">
        <v>85</v>
      </c>
    </row>
    <row r="2641" customFormat="false" ht="14.25" hidden="false" customHeight="true" outlineLevel="0" collapsed="false">
      <c r="B2641" s="9" t="s">
        <v>27</v>
      </c>
      <c r="C2641" s="9" t="n">
        <v>1185732</v>
      </c>
      <c r="D2641" s="10" t="n">
        <v>44455</v>
      </c>
      <c r="E2641" s="9" t="s">
        <v>29</v>
      </c>
      <c r="F2641" s="9" t="s">
        <v>102</v>
      </c>
      <c r="G2641" s="9" t="s">
        <v>103</v>
      </c>
      <c r="H2641" s="11" t="s">
        <v>24</v>
      </c>
      <c r="I2641" s="12" t="n">
        <v>30</v>
      </c>
      <c r="J2641" s="13" t="n">
        <v>400</v>
      </c>
      <c r="K2641" s="14" t="n">
        <f aca="false">I2641*J2641</f>
        <v>12000</v>
      </c>
      <c r="L2641" s="14" t="n">
        <f aca="false">($L$2*M2641)/100</f>
        <v>420583.275</v>
      </c>
      <c r="M2641" s="15" t="n">
        <v>0.35</v>
      </c>
      <c r="N2641" s="9" t="s">
        <v>85</v>
      </c>
    </row>
    <row r="2642" customFormat="false" ht="14.25" hidden="false" customHeight="true" outlineLevel="0" collapsed="false">
      <c r="B2642" s="9" t="s">
        <v>27</v>
      </c>
      <c r="C2642" s="9" t="n">
        <v>1185732</v>
      </c>
      <c r="D2642" s="10" t="n">
        <v>44455</v>
      </c>
      <c r="E2642" s="9" t="s">
        <v>29</v>
      </c>
      <c r="F2642" s="9" t="s">
        <v>102</v>
      </c>
      <c r="G2642" s="9" t="s">
        <v>103</v>
      </c>
      <c r="H2642" s="11" t="s">
        <v>25</v>
      </c>
      <c r="I2642" s="12" t="n">
        <v>35</v>
      </c>
      <c r="J2642" s="13" t="n">
        <v>500</v>
      </c>
      <c r="K2642" s="14" t="n">
        <f aca="false">I2642*J2642</f>
        <v>17500</v>
      </c>
      <c r="L2642" s="14" t="n">
        <f aca="false">($L$2*M2642)/100</f>
        <v>600833.25</v>
      </c>
      <c r="M2642" s="15" t="n">
        <v>0.5</v>
      </c>
      <c r="N2642" s="9" t="s">
        <v>85</v>
      </c>
    </row>
    <row r="2643" customFormat="false" ht="14.25" hidden="false" customHeight="true" outlineLevel="0" collapsed="false">
      <c r="B2643" s="9" t="s">
        <v>27</v>
      </c>
      <c r="C2643" s="9" t="n">
        <v>1185732</v>
      </c>
      <c r="D2643" s="10" t="n">
        <v>44487</v>
      </c>
      <c r="E2643" s="9" t="s">
        <v>29</v>
      </c>
      <c r="F2643" s="9" t="s">
        <v>102</v>
      </c>
      <c r="G2643" s="9" t="s">
        <v>103</v>
      </c>
      <c r="H2643" s="11" t="s">
        <v>19</v>
      </c>
      <c r="I2643" s="12" t="n">
        <v>35</v>
      </c>
      <c r="J2643" s="13" t="n">
        <v>675</v>
      </c>
      <c r="K2643" s="14" t="n">
        <f aca="false">I2643*J2643</f>
        <v>23625</v>
      </c>
      <c r="L2643" s="14" t="n">
        <f aca="false">($L$2*M2643)/100</f>
        <v>480666.6</v>
      </c>
      <c r="M2643" s="15" t="n">
        <v>0.4</v>
      </c>
      <c r="N2643" s="9" t="s">
        <v>85</v>
      </c>
    </row>
    <row r="2644" customFormat="false" ht="14.25" hidden="false" customHeight="true" outlineLevel="0" collapsed="false">
      <c r="B2644" s="9" t="s">
        <v>27</v>
      </c>
      <c r="C2644" s="9" t="n">
        <v>1185732</v>
      </c>
      <c r="D2644" s="10" t="n">
        <v>44487</v>
      </c>
      <c r="E2644" s="9" t="s">
        <v>29</v>
      </c>
      <c r="F2644" s="9" t="s">
        <v>102</v>
      </c>
      <c r="G2644" s="9" t="s">
        <v>103</v>
      </c>
      <c r="H2644" s="11" t="s">
        <v>21</v>
      </c>
      <c r="I2644" s="12" t="n">
        <v>25</v>
      </c>
      <c r="J2644" s="13" t="n">
        <v>500</v>
      </c>
      <c r="K2644" s="14" t="n">
        <f aca="false">I2644*J2644</f>
        <v>12500</v>
      </c>
      <c r="L2644" s="14" t="n">
        <f aca="false">($L$2*M2644)/100</f>
        <v>420583.275</v>
      </c>
      <c r="M2644" s="15" t="n">
        <v>0.35</v>
      </c>
      <c r="N2644" s="9" t="s">
        <v>85</v>
      </c>
    </row>
    <row r="2645" customFormat="false" ht="14.25" hidden="false" customHeight="true" outlineLevel="0" collapsed="false">
      <c r="B2645" s="9" t="s">
        <v>27</v>
      </c>
      <c r="C2645" s="9" t="n">
        <v>1185732</v>
      </c>
      <c r="D2645" s="10" t="n">
        <v>44487</v>
      </c>
      <c r="E2645" s="9" t="s">
        <v>29</v>
      </c>
      <c r="F2645" s="9" t="s">
        <v>102</v>
      </c>
      <c r="G2645" s="9" t="s">
        <v>103</v>
      </c>
      <c r="H2645" s="11" t="s">
        <v>22</v>
      </c>
      <c r="I2645" s="12" t="n">
        <v>25</v>
      </c>
      <c r="J2645" s="13" t="n">
        <v>375</v>
      </c>
      <c r="K2645" s="14" t="n">
        <f aca="false">I2645*J2645</f>
        <v>9375</v>
      </c>
      <c r="L2645" s="14" t="n">
        <f aca="false">($L$2*M2645)/100</f>
        <v>480666.6</v>
      </c>
      <c r="M2645" s="15" t="n">
        <v>0.4</v>
      </c>
      <c r="N2645" s="9" t="s">
        <v>85</v>
      </c>
    </row>
    <row r="2646" customFormat="false" ht="14.25" hidden="false" customHeight="true" outlineLevel="0" collapsed="false">
      <c r="B2646" s="9" t="s">
        <v>27</v>
      </c>
      <c r="C2646" s="9" t="n">
        <v>1185732</v>
      </c>
      <c r="D2646" s="10" t="n">
        <v>44487</v>
      </c>
      <c r="E2646" s="9" t="s">
        <v>29</v>
      </c>
      <c r="F2646" s="9" t="s">
        <v>102</v>
      </c>
      <c r="G2646" s="9" t="s">
        <v>103</v>
      </c>
      <c r="H2646" s="11" t="s">
        <v>23</v>
      </c>
      <c r="I2646" s="12" t="n">
        <v>25</v>
      </c>
      <c r="J2646" s="13" t="n">
        <v>350</v>
      </c>
      <c r="K2646" s="14" t="n">
        <f aca="false">I2646*J2646</f>
        <v>8750</v>
      </c>
      <c r="L2646" s="14" t="n">
        <f aca="false">($L$2*M2646)/100</f>
        <v>480666.6</v>
      </c>
      <c r="M2646" s="15" t="n">
        <v>0.4</v>
      </c>
      <c r="N2646" s="9" t="s">
        <v>85</v>
      </c>
    </row>
    <row r="2647" customFormat="false" ht="14.25" hidden="false" customHeight="true" outlineLevel="0" collapsed="false">
      <c r="B2647" s="9" t="s">
        <v>27</v>
      </c>
      <c r="C2647" s="9" t="n">
        <v>1185732</v>
      </c>
      <c r="D2647" s="10" t="n">
        <v>44487</v>
      </c>
      <c r="E2647" s="9" t="s">
        <v>29</v>
      </c>
      <c r="F2647" s="9" t="s">
        <v>102</v>
      </c>
      <c r="G2647" s="9" t="s">
        <v>103</v>
      </c>
      <c r="H2647" s="11" t="s">
        <v>24</v>
      </c>
      <c r="I2647" s="12" t="n">
        <v>35</v>
      </c>
      <c r="J2647" s="13" t="n">
        <v>350</v>
      </c>
      <c r="K2647" s="14" t="n">
        <f aca="false">I2647*J2647</f>
        <v>12250</v>
      </c>
      <c r="L2647" s="14" t="n">
        <f aca="false">($L$2*M2647)/100</f>
        <v>420583.275</v>
      </c>
      <c r="M2647" s="15" t="n">
        <v>0.35</v>
      </c>
      <c r="N2647" s="9" t="s">
        <v>85</v>
      </c>
    </row>
    <row r="2648" customFormat="false" ht="14.25" hidden="false" customHeight="true" outlineLevel="0" collapsed="false">
      <c r="B2648" s="9" t="s">
        <v>28</v>
      </c>
      <c r="C2648" s="9" t="n">
        <v>1185732</v>
      </c>
      <c r="D2648" s="10" t="n">
        <v>44487</v>
      </c>
      <c r="E2648" s="9" t="s">
        <v>29</v>
      </c>
      <c r="F2648" s="9" t="s">
        <v>102</v>
      </c>
      <c r="G2648" s="9" t="s">
        <v>103</v>
      </c>
      <c r="H2648" s="11" t="s">
        <v>25</v>
      </c>
      <c r="I2648" s="12" t="n">
        <v>35</v>
      </c>
      <c r="J2648" s="13" t="n">
        <v>475</v>
      </c>
      <c r="K2648" s="14" t="n">
        <f aca="false">I2648*J2648</f>
        <v>16625</v>
      </c>
      <c r="L2648" s="14" t="n">
        <f aca="false">($L$2*M2648)/100</f>
        <v>600833.25</v>
      </c>
      <c r="M2648" s="15" t="n">
        <v>0.5</v>
      </c>
      <c r="N2648" s="9" t="s">
        <v>85</v>
      </c>
    </row>
    <row r="2649" customFormat="false" ht="14.25" hidden="false" customHeight="true" outlineLevel="0" collapsed="false">
      <c r="B2649" s="9" t="s">
        <v>28</v>
      </c>
      <c r="C2649" s="9" t="n">
        <v>1185732</v>
      </c>
      <c r="D2649" s="10" t="n">
        <v>44517</v>
      </c>
      <c r="E2649" s="9" t="s">
        <v>29</v>
      </c>
      <c r="F2649" s="9" t="s">
        <v>102</v>
      </c>
      <c r="G2649" s="9" t="s">
        <v>103</v>
      </c>
      <c r="H2649" s="11" t="s">
        <v>19</v>
      </c>
      <c r="I2649" s="12" t="n">
        <v>30</v>
      </c>
      <c r="J2649" s="13" t="n">
        <v>625</v>
      </c>
      <c r="K2649" s="14" t="n">
        <f aca="false">I2649*J2649</f>
        <v>18750</v>
      </c>
      <c r="L2649" s="14" t="n">
        <f aca="false">($L$2*M2649)/100</f>
        <v>480666.6</v>
      </c>
      <c r="M2649" s="15" t="n">
        <v>0.4</v>
      </c>
      <c r="N2649" s="9" t="s">
        <v>85</v>
      </c>
    </row>
    <row r="2650" customFormat="false" ht="14.25" hidden="false" customHeight="true" outlineLevel="0" collapsed="false">
      <c r="B2650" s="9" t="s">
        <v>28</v>
      </c>
      <c r="C2650" s="9" t="n">
        <v>1185732</v>
      </c>
      <c r="D2650" s="10" t="n">
        <v>44517</v>
      </c>
      <c r="E2650" s="9" t="s">
        <v>29</v>
      </c>
      <c r="F2650" s="9" t="s">
        <v>102</v>
      </c>
      <c r="G2650" s="9" t="s">
        <v>103</v>
      </c>
      <c r="H2650" s="11" t="s">
        <v>21</v>
      </c>
      <c r="I2650" s="12" t="n">
        <v>20</v>
      </c>
      <c r="J2650" s="13" t="n">
        <v>450</v>
      </c>
      <c r="K2650" s="14" t="n">
        <f aca="false">I2650*J2650</f>
        <v>9000</v>
      </c>
      <c r="L2650" s="14" t="n">
        <f aca="false">($L$2*M2650)/100</f>
        <v>420583.275</v>
      </c>
      <c r="M2650" s="15" t="n">
        <v>0.35</v>
      </c>
      <c r="N2650" s="9" t="s">
        <v>85</v>
      </c>
    </row>
    <row r="2651" customFormat="false" ht="14.25" hidden="false" customHeight="true" outlineLevel="0" collapsed="false">
      <c r="B2651" s="9" t="s">
        <v>28</v>
      </c>
      <c r="C2651" s="9" t="n">
        <v>1185732</v>
      </c>
      <c r="D2651" s="10" t="n">
        <v>44517</v>
      </c>
      <c r="E2651" s="9" t="s">
        <v>29</v>
      </c>
      <c r="F2651" s="9" t="s">
        <v>102</v>
      </c>
      <c r="G2651" s="9" t="s">
        <v>103</v>
      </c>
      <c r="H2651" s="11" t="s">
        <v>22</v>
      </c>
      <c r="I2651" s="12" t="n">
        <v>30</v>
      </c>
      <c r="J2651" s="13" t="n">
        <v>395</v>
      </c>
      <c r="K2651" s="14" t="n">
        <f aca="false">I2651*J2651</f>
        <v>11850</v>
      </c>
      <c r="L2651" s="14" t="n">
        <f aca="false">($L$2*M2651)/100</f>
        <v>480666.6</v>
      </c>
      <c r="M2651" s="15" t="n">
        <v>0.4</v>
      </c>
      <c r="N2651" s="9" t="s">
        <v>85</v>
      </c>
    </row>
    <row r="2652" customFormat="false" ht="14.25" hidden="false" customHeight="true" outlineLevel="0" collapsed="false">
      <c r="B2652" s="9" t="s">
        <v>28</v>
      </c>
      <c r="C2652" s="9" t="n">
        <v>1185732</v>
      </c>
      <c r="D2652" s="10" t="n">
        <v>44517</v>
      </c>
      <c r="E2652" s="9" t="s">
        <v>29</v>
      </c>
      <c r="F2652" s="9" t="s">
        <v>102</v>
      </c>
      <c r="G2652" s="9" t="s">
        <v>103</v>
      </c>
      <c r="H2652" s="11" t="s">
        <v>23</v>
      </c>
      <c r="I2652" s="12" t="n">
        <v>60</v>
      </c>
      <c r="J2652" s="13" t="n">
        <v>450</v>
      </c>
      <c r="K2652" s="14" t="n">
        <f aca="false">I2652*J2652</f>
        <v>27000</v>
      </c>
      <c r="L2652" s="14" t="n">
        <f aca="false">($L$2*M2652)/100</f>
        <v>480666.6</v>
      </c>
      <c r="M2652" s="15" t="n">
        <v>0.4</v>
      </c>
      <c r="N2652" s="9" t="s">
        <v>85</v>
      </c>
    </row>
    <row r="2653" customFormat="false" ht="14.25" hidden="false" customHeight="true" outlineLevel="0" collapsed="false">
      <c r="B2653" s="9" t="s">
        <v>28</v>
      </c>
      <c r="C2653" s="9" t="n">
        <v>1185732</v>
      </c>
      <c r="D2653" s="10" t="n">
        <v>44517</v>
      </c>
      <c r="E2653" s="9" t="s">
        <v>29</v>
      </c>
      <c r="F2653" s="9" t="s">
        <v>102</v>
      </c>
      <c r="G2653" s="9" t="s">
        <v>103</v>
      </c>
      <c r="H2653" s="11" t="s">
        <v>24</v>
      </c>
      <c r="I2653" s="12" t="n">
        <v>75</v>
      </c>
      <c r="J2653" s="13" t="n">
        <v>425</v>
      </c>
      <c r="K2653" s="14" t="n">
        <f aca="false">I2653*J2653</f>
        <v>31875</v>
      </c>
      <c r="L2653" s="14" t="n">
        <f aca="false">($L$2*M2653)/100</f>
        <v>420583.275</v>
      </c>
      <c r="M2653" s="15" t="n">
        <v>0.35</v>
      </c>
      <c r="N2653" s="9" t="s">
        <v>85</v>
      </c>
    </row>
    <row r="2654" customFormat="false" ht="14.25" hidden="false" customHeight="true" outlineLevel="0" collapsed="false">
      <c r="B2654" s="9" t="s">
        <v>28</v>
      </c>
      <c r="C2654" s="9" t="n">
        <v>1185732</v>
      </c>
      <c r="D2654" s="10" t="n">
        <v>44517</v>
      </c>
      <c r="E2654" s="9" t="s">
        <v>29</v>
      </c>
      <c r="F2654" s="9" t="s">
        <v>102</v>
      </c>
      <c r="G2654" s="9" t="s">
        <v>103</v>
      </c>
      <c r="H2654" s="11" t="s">
        <v>25</v>
      </c>
      <c r="I2654" s="12" t="n">
        <v>75</v>
      </c>
      <c r="J2654" s="13" t="n">
        <v>525</v>
      </c>
      <c r="K2654" s="14" t="n">
        <f aca="false">I2654*J2654</f>
        <v>39375</v>
      </c>
      <c r="L2654" s="14" t="n">
        <f aca="false">($L$2*M2654)/100</f>
        <v>600833.25</v>
      </c>
      <c r="M2654" s="15" t="n">
        <v>0.5</v>
      </c>
      <c r="N2654" s="9" t="s">
        <v>85</v>
      </c>
    </row>
    <row r="2655" customFormat="false" ht="14.25" hidden="false" customHeight="true" outlineLevel="0" collapsed="false">
      <c r="B2655" s="9" t="s">
        <v>28</v>
      </c>
      <c r="C2655" s="9" t="n">
        <v>1185732</v>
      </c>
      <c r="D2655" s="10" t="n">
        <v>44546</v>
      </c>
      <c r="E2655" s="9" t="s">
        <v>29</v>
      </c>
      <c r="F2655" s="9" t="s">
        <v>102</v>
      </c>
      <c r="G2655" s="9" t="s">
        <v>103</v>
      </c>
      <c r="H2655" s="11" t="s">
        <v>19</v>
      </c>
      <c r="I2655" s="12" t="n">
        <v>70</v>
      </c>
      <c r="J2655" s="13" t="n">
        <v>775</v>
      </c>
      <c r="K2655" s="14" t="n">
        <f aca="false">I2655*J2655</f>
        <v>54250</v>
      </c>
      <c r="L2655" s="14" t="n">
        <f aca="false">($L$2*M2655)/100</f>
        <v>480666.6</v>
      </c>
      <c r="M2655" s="15" t="n">
        <v>0.4</v>
      </c>
      <c r="N2655" s="9" t="s">
        <v>85</v>
      </c>
    </row>
    <row r="2656" customFormat="false" ht="14.25" hidden="false" customHeight="true" outlineLevel="0" collapsed="false">
      <c r="B2656" s="9" t="s">
        <v>28</v>
      </c>
      <c r="C2656" s="9" t="n">
        <v>1185732</v>
      </c>
      <c r="D2656" s="10" t="n">
        <v>44546</v>
      </c>
      <c r="E2656" s="9" t="s">
        <v>29</v>
      </c>
      <c r="F2656" s="9" t="s">
        <v>102</v>
      </c>
      <c r="G2656" s="9" t="s">
        <v>103</v>
      </c>
      <c r="H2656" s="11" t="s">
        <v>21</v>
      </c>
      <c r="I2656" s="12" t="n">
        <v>60</v>
      </c>
      <c r="J2656" s="13" t="n">
        <v>575</v>
      </c>
      <c r="K2656" s="14" t="n">
        <f aca="false">I2656*J2656</f>
        <v>34500</v>
      </c>
      <c r="L2656" s="14" t="n">
        <f aca="false">($L$2*M2656)/100</f>
        <v>420583.275</v>
      </c>
      <c r="M2656" s="15" t="n">
        <v>0.35</v>
      </c>
      <c r="N2656" s="9" t="s">
        <v>85</v>
      </c>
    </row>
    <row r="2657" customFormat="false" ht="14.25" hidden="false" customHeight="true" outlineLevel="0" collapsed="false">
      <c r="B2657" s="9" t="s">
        <v>28</v>
      </c>
      <c r="C2657" s="9" t="n">
        <v>1185732</v>
      </c>
      <c r="D2657" s="10" t="n">
        <v>44546</v>
      </c>
      <c r="E2657" s="9" t="s">
        <v>29</v>
      </c>
      <c r="F2657" s="9" t="s">
        <v>102</v>
      </c>
      <c r="G2657" s="9" t="s">
        <v>103</v>
      </c>
      <c r="H2657" s="11" t="s">
        <v>22</v>
      </c>
      <c r="I2657" s="12" t="n">
        <v>60</v>
      </c>
      <c r="J2657" s="13" t="n">
        <v>525</v>
      </c>
      <c r="K2657" s="14" t="n">
        <f aca="false">I2657*J2657</f>
        <v>31500</v>
      </c>
      <c r="L2657" s="14" t="n">
        <f aca="false">($L$2*M2657)/100</f>
        <v>480666.6</v>
      </c>
      <c r="M2657" s="15" t="n">
        <v>0.4</v>
      </c>
      <c r="N2657" s="9" t="s">
        <v>85</v>
      </c>
    </row>
    <row r="2658" customFormat="false" ht="14.25" hidden="false" customHeight="true" outlineLevel="0" collapsed="false">
      <c r="B2658" s="9" t="s">
        <v>28</v>
      </c>
      <c r="C2658" s="9" t="n">
        <v>1185732</v>
      </c>
      <c r="D2658" s="10" t="n">
        <v>44546</v>
      </c>
      <c r="E2658" s="9" t="s">
        <v>29</v>
      </c>
      <c r="F2658" s="9" t="s">
        <v>102</v>
      </c>
      <c r="G2658" s="9" t="s">
        <v>103</v>
      </c>
      <c r="H2658" s="11" t="s">
        <v>23</v>
      </c>
      <c r="I2658" s="12" t="n">
        <v>60</v>
      </c>
      <c r="J2658" s="13" t="n">
        <v>475</v>
      </c>
      <c r="K2658" s="14" t="n">
        <f aca="false">I2658*J2658</f>
        <v>28500</v>
      </c>
      <c r="L2658" s="14" t="n">
        <f aca="false">($L$2*M2658)/100</f>
        <v>480666.6</v>
      </c>
      <c r="M2658" s="15" t="n">
        <v>0.4</v>
      </c>
      <c r="N2658" s="9" t="s">
        <v>85</v>
      </c>
    </row>
    <row r="2659" customFormat="false" ht="14.25" hidden="false" customHeight="true" outlineLevel="0" collapsed="false">
      <c r="B2659" s="9" t="s">
        <v>28</v>
      </c>
      <c r="C2659" s="9" t="n">
        <v>1185732</v>
      </c>
      <c r="D2659" s="10" t="n">
        <v>44546</v>
      </c>
      <c r="E2659" s="9" t="s">
        <v>29</v>
      </c>
      <c r="F2659" s="9" t="s">
        <v>102</v>
      </c>
      <c r="G2659" s="9" t="s">
        <v>103</v>
      </c>
      <c r="H2659" s="11" t="s">
        <v>24</v>
      </c>
      <c r="I2659" s="12" t="n">
        <v>70</v>
      </c>
      <c r="J2659" s="13" t="n">
        <v>475</v>
      </c>
      <c r="K2659" s="14" t="n">
        <f aca="false">I2659*J2659</f>
        <v>33250</v>
      </c>
      <c r="L2659" s="14" t="n">
        <f aca="false">($L$2*M2659)/100</f>
        <v>420583.275</v>
      </c>
      <c r="M2659" s="15" t="n">
        <v>0.35</v>
      </c>
      <c r="N2659" s="9" t="s">
        <v>85</v>
      </c>
    </row>
    <row r="2660" customFormat="false" ht="14.25" hidden="false" customHeight="true" outlineLevel="0" collapsed="false">
      <c r="B2660" s="9" t="s">
        <v>28</v>
      </c>
      <c r="C2660" s="9" t="n">
        <v>1185732</v>
      </c>
      <c r="D2660" s="10" t="n">
        <v>44546</v>
      </c>
      <c r="E2660" s="9" t="s">
        <v>29</v>
      </c>
      <c r="F2660" s="9" t="s">
        <v>102</v>
      </c>
      <c r="G2660" s="9" t="s">
        <v>103</v>
      </c>
      <c r="H2660" s="11" t="s">
        <v>25</v>
      </c>
      <c r="I2660" s="12" t="n">
        <v>75</v>
      </c>
      <c r="J2660" s="13" t="n">
        <v>575</v>
      </c>
      <c r="K2660" s="14" t="n">
        <f aca="false">I2660*J2660</f>
        <v>43125</v>
      </c>
      <c r="L2660" s="14" t="n">
        <f aca="false">($L$2*M2660)/100</f>
        <v>600833.25</v>
      </c>
      <c r="M2660" s="15" t="n">
        <v>0.5</v>
      </c>
      <c r="N2660" s="9" t="s">
        <v>85</v>
      </c>
    </row>
    <row r="2661" customFormat="false" ht="14.25" hidden="false" customHeight="true" outlineLevel="0" collapsed="false">
      <c r="B2661" s="9" t="s">
        <v>28</v>
      </c>
      <c r="C2661" s="9" t="n">
        <v>1197831</v>
      </c>
      <c r="D2661" s="10" t="n">
        <v>44219</v>
      </c>
      <c r="E2661" s="9" t="s">
        <v>29</v>
      </c>
      <c r="F2661" s="9" t="s">
        <v>102</v>
      </c>
      <c r="G2661" s="9" t="s">
        <v>103</v>
      </c>
      <c r="H2661" s="11" t="s">
        <v>19</v>
      </c>
      <c r="I2661" s="12" t="n">
        <v>25</v>
      </c>
      <c r="J2661" s="13" t="n">
        <v>650</v>
      </c>
      <c r="K2661" s="14" t="n">
        <f aca="false">I2661*J2661</f>
        <v>16250</v>
      </c>
      <c r="L2661" s="14" t="n">
        <f aca="false">($L$2*M2661)/100</f>
        <v>480666.6</v>
      </c>
      <c r="M2661" s="15" t="n">
        <v>0.4</v>
      </c>
      <c r="N2661" s="9" t="s">
        <v>85</v>
      </c>
    </row>
    <row r="2662" customFormat="false" ht="14.25" hidden="false" customHeight="true" outlineLevel="0" collapsed="false">
      <c r="B2662" s="9" t="s">
        <v>28</v>
      </c>
      <c r="C2662" s="9" t="n">
        <v>1197831</v>
      </c>
      <c r="D2662" s="10" t="n">
        <v>44219</v>
      </c>
      <c r="E2662" s="9" t="s">
        <v>29</v>
      </c>
      <c r="F2662" s="9" t="s">
        <v>102</v>
      </c>
      <c r="G2662" s="9" t="s">
        <v>103</v>
      </c>
      <c r="H2662" s="11" t="s">
        <v>21</v>
      </c>
      <c r="I2662" s="12" t="n">
        <v>25</v>
      </c>
      <c r="J2662" s="13" t="n">
        <v>450</v>
      </c>
      <c r="K2662" s="14" t="n">
        <f aca="false">I2662*J2662</f>
        <v>11250</v>
      </c>
      <c r="L2662" s="14" t="n">
        <f aca="false">($L$2*M2662)/100</f>
        <v>420583.275</v>
      </c>
      <c r="M2662" s="15" t="n">
        <v>0.35</v>
      </c>
      <c r="N2662" s="9" t="s">
        <v>85</v>
      </c>
    </row>
    <row r="2663" customFormat="false" ht="14.25" hidden="false" customHeight="true" outlineLevel="0" collapsed="false">
      <c r="B2663" s="9" t="s">
        <v>28</v>
      </c>
      <c r="C2663" s="9" t="n">
        <v>1197831</v>
      </c>
      <c r="D2663" s="10" t="n">
        <v>44219</v>
      </c>
      <c r="E2663" s="9" t="s">
        <v>29</v>
      </c>
      <c r="F2663" s="9" t="s">
        <v>102</v>
      </c>
      <c r="G2663" s="9" t="s">
        <v>103</v>
      </c>
      <c r="H2663" s="11" t="s">
        <v>22</v>
      </c>
      <c r="I2663" s="12" t="n">
        <v>15</v>
      </c>
      <c r="J2663" s="13" t="n">
        <v>450</v>
      </c>
      <c r="K2663" s="14" t="n">
        <f aca="false">I2663*J2663</f>
        <v>6750</v>
      </c>
      <c r="L2663" s="14" t="n">
        <f aca="false">($L$2*M2663)/100</f>
        <v>480666.6</v>
      </c>
      <c r="M2663" s="15" t="n">
        <v>0.4</v>
      </c>
      <c r="N2663" s="9" t="s">
        <v>85</v>
      </c>
    </row>
    <row r="2664" customFormat="false" ht="14.25" hidden="false" customHeight="true" outlineLevel="0" collapsed="false">
      <c r="B2664" s="9" t="s">
        <v>28</v>
      </c>
      <c r="C2664" s="9" t="n">
        <v>1197831</v>
      </c>
      <c r="D2664" s="10" t="n">
        <v>44219</v>
      </c>
      <c r="E2664" s="9" t="s">
        <v>29</v>
      </c>
      <c r="F2664" s="9" t="s">
        <v>102</v>
      </c>
      <c r="G2664" s="9" t="s">
        <v>103</v>
      </c>
      <c r="H2664" s="11" t="s">
        <v>23</v>
      </c>
      <c r="I2664" s="12" t="n">
        <v>20</v>
      </c>
      <c r="J2664" s="13" t="n">
        <v>300</v>
      </c>
      <c r="K2664" s="14" t="n">
        <f aca="false">I2664*J2664</f>
        <v>6000</v>
      </c>
      <c r="L2664" s="14" t="n">
        <f aca="false">($L$2*M2664)/100</f>
        <v>480666.6</v>
      </c>
      <c r="M2664" s="15" t="n">
        <v>0.4</v>
      </c>
      <c r="N2664" s="9" t="s">
        <v>85</v>
      </c>
    </row>
    <row r="2665" customFormat="false" ht="14.25" hidden="false" customHeight="true" outlineLevel="0" collapsed="false">
      <c r="B2665" s="9" t="s">
        <v>28</v>
      </c>
      <c r="C2665" s="9" t="n">
        <v>1197831</v>
      </c>
      <c r="D2665" s="10" t="n">
        <v>44219</v>
      </c>
      <c r="E2665" s="9" t="s">
        <v>29</v>
      </c>
      <c r="F2665" s="9" t="s">
        <v>102</v>
      </c>
      <c r="G2665" s="9" t="s">
        <v>103</v>
      </c>
      <c r="H2665" s="11" t="s">
        <v>24</v>
      </c>
      <c r="I2665" s="12" t="n">
        <v>35</v>
      </c>
      <c r="J2665" s="13" t="n">
        <v>350</v>
      </c>
      <c r="K2665" s="14" t="n">
        <f aca="false">I2665*J2665</f>
        <v>12250</v>
      </c>
      <c r="L2665" s="14" t="n">
        <f aca="false">($L$2*M2665)/100</f>
        <v>420583.275</v>
      </c>
      <c r="M2665" s="15" t="n">
        <v>0.35</v>
      </c>
      <c r="N2665" s="9" t="s">
        <v>85</v>
      </c>
    </row>
    <row r="2666" customFormat="false" ht="14.25" hidden="false" customHeight="true" outlineLevel="0" collapsed="false">
      <c r="B2666" s="9" t="s">
        <v>28</v>
      </c>
      <c r="C2666" s="9" t="n">
        <v>1197831</v>
      </c>
      <c r="D2666" s="10" t="n">
        <v>44219</v>
      </c>
      <c r="E2666" s="9" t="s">
        <v>29</v>
      </c>
      <c r="F2666" s="9" t="s">
        <v>102</v>
      </c>
      <c r="G2666" s="9" t="s">
        <v>103</v>
      </c>
      <c r="H2666" s="11" t="s">
        <v>25</v>
      </c>
      <c r="I2666" s="12" t="n">
        <v>25</v>
      </c>
      <c r="J2666" s="13" t="n">
        <v>450</v>
      </c>
      <c r="K2666" s="14" t="n">
        <f aca="false">I2666*J2666</f>
        <v>11250</v>
      </c>
      <c r="L2666" s="14" t="n">
        <f aca="false">($L$2*M2666)/100</f>
        <v>480666.6</v>
      </c>
      <c r="M2666" s="15" t="n">
        <v>0.4</v>
      </c>
      <c r="N2666" s="9" t="s">
        <v>85</v>
      </c>
    </row>
    <row r="2667" customFormat="false" ht="14.25" hidden="false" customHeight="true" outlineLevel="0" collapsed="false">
      <c r="B2667" s="9" t="s">
        <v>28</v>
      </c>
      <c r="C2667" s="9" t="n">
        <v>1197831</v>
      </c>
      <c r="D2667" s="10" t="n">
        <v>44248</v>
      </c>
      <c r="E2667" s="9" t="s">
        <v>29</v>
      </c>
      <c r="F2667" s="9" t="s">
        <v>102</v>
      </c>
      <c r="G2667" s="9" t="s">
        <v>103</v>
      </c>
      <c r="H2667" s="11" t="s">
        <v>19</v>
      </c>
      <c r="I2667" s="12" t="n">
        <v>25</v>
      </c>
      <c r="J2667" s="13" t="n">
        <v>700</v>
      </c>
      <c r="K2667" s="14" t="n">
        <f aca="false">I2667*J2667</f>
        <v>17500</v>
      </c>
      <c r="L2667" s="14" t="n">
        <f aca="false">($L$2*M2667)/100</f>
        <v>480666.6</v>
      </c>
      <c r="M2667" s="15" t="n">
        <v>0.4</v>
      </c>
      <c r="N2667" s="9" t="s">
        <v>85</v>
      </c>
    </row>
    <row r="2668" customFormat="false" ht="14.25" hidden="false" customHeight="true" outlineLevel="0" collapsed="false">
      <c r="B2668" s="9" t="s">
        <v>28</v>
      </c>
      <c r="C2668" s="9" t="n">
        <v>1197831</v>
      </c>
      <c r="D2668" s="10" t="n">
        <v>44248</v>
      </c>
      <c r="E2668" s="9" t="s">
        <v>29</v>
      </c>
      <c r="F2668" s="9" t="s">
        <v>102</v>
      </c>
      <c r="G2668" s="9" t="s">
        <v>103</v>
      </c>
      <c r="H2668" s="11" t="s">
        <v>21</v>
      </c>
      <c r="I2668" s="12" t="n">
        <v>25</v>
      </c>
      <c r="J2668" s="13" t="n">
        <v>350</v>
      </c>
      <c r="K2668" s="14" t="n">
        <f aca="false">I2668*J2668</f>
        <v>8750</v>
      </c>
      <c r="L2668" s="14" t="n">
        <f aca="false">($L$2*M2668)/100</f>
        <v>420583.275</v>
      </c>
      <c r="M2668" s="15" t="n">
        <v>0.35</v>
      </c>
      <c r="N2668" s="9" t="s">
        <v>85</v>
      </c>
    </row>
    <row r="2669" customFormat="false" ht="14.25" hidden="false" customHeight="true" outlineLevel="0" collapsed="false">
      <c r="B2669" s="9" t="s">
        <v>28</v>
      </c>
      <c r="C2669" s="9" t="n">
        <v>1197831</v>
      </c>
      <c r="D2669" s="10" t="n">
        <v>44248</v>
      </c>
      <c r="E2669" s="9" t="s">
        <v>29</v>
      </c>
      <c r="F2669" s="9" t="s">
        <v>102</v>
      </c>
      <c r="G2669" s="9" t="s">
        <v>103</v>
      </c>
      <c r="H2669" s="11" t="s">
        <v>22</v>
      </c>
      <c r="I2669" s="12" t="n">
        <v>15</v>
      </c>
      <c r="J2669" s="13" t="n">
        <v>400</v>
      </c>
      <c r="K2669" s="14" t="n">
        <f aca="false">I2669*J2669</f>
        <v>6000</v>
      </c>
      <c r="L2669" s="14" t="n">
        <f aca="false">($L$2*M2669)/100</f>
        <v>480666.6</v>
      </c>
      <c r="M2669" s="15" t="n">
        <v>0.4</v>
      </c>
      <c r="N2669" s="9" t="s">
        <v>85</v>
      </c>
    </row>
    <row r="2670" customFormat="false" ht="14.25" hidden="false" customHeight="true" outlineLevel="0" collapsed="false">
      <c r="B2670" s="9" t="s">
        <v>27</v>
      </c>
      <c r="C2670" s="9" t="n">
        <v>1197831</v>
      </c>
      <c r="D2670" s="10" t="n">
        <v>44248</v>
      </c>
      <c r="E2670" s="9" t="s">
        <v>29</v>
      </c>
      <c r="F2670" s="9" t="s">
        <v>104</v>
      </c>
      <c r="G2670" s="9" t="s">
        <v>105</v>
      </c>
      <c r="H2670" s="11" t="s">
        <v>23</v>
      </c>
      <c r="I2670" s="12" t="n">
        <v>20</v>
      </c>
      <c r="J2670" s="13" t="n">
        <v>250</v>
      </c>
      <c r="K2670" s="14" t="n">
        <f aca="false">I2670*J2670</f>
        <v>5000</v>
      </c>
      <c r="L2670" s="14" t="n">
        <f aca="false">($L$2*M2670)/100</f>
        <v>480666.6</v>
      </c>
      <c r="M2670" s="15" t="n">
        <v>0.4</v>
      </c>
      <c r="N2670" s="9" t="s">
        <v>85</v>
      </c>
    </row>
    <row r="2671" customFormat="false" ht="14.25" hidden="false" customHeight="true" outlineLevel="0" collapsed="false">
      <c r="B2671" s="9" t="s">
        <v>27</v>
      </c>
      <c r="C2671" s="9" t="n">
        <v>1197831</v>
      </c>
      <c r="D2671" s="10" t="n">
        <v>44248</v>
      </c>
      <c r="E2671" s="9" t="s">
        <v>29</v>
      </c>
      <c r="F2671" s="9" t="s">
        <v>104</v>
      </c>
      <c r="G2671" s="9" t="s">
        <v>105</v>
      </c>
      <c r="H2671" s="11" t="s">
        <v>24</v>
      </c>
      <c r="I2671" s="12" t="n">
        <v>35</v>
      </c>
      <c r="J2671" s="13" t="n">
        <v>325</v>
      </c>
      <c r="K2671" s="14" t="n">
        <f aca="false">I2671*J2671</f>
        <v>11375</v>
      </c>
      <c r="L2671" s="14" t="n">
        <f aca="false">($L$2*M2671)/100</f>
        <v>420583.275</v>
      </c>
      <c r="M2671" s="15" t="n">
        <v>0.35</v>
      </c>
      <c r="N2671" s="9" t="s">
        <v>85</v>
      </c>
    </row>
    <row r="2672" customFormat="false" ht="14.25" hidden="false" customHeight="true" outlineLevel="0" collapsed="false">
      <c r="B2672" s="9" t="s">
        <v>27</v>
      </c>
      <c r="C2672" s="9" t="n">
        <v>1197831</v>
      </c>
      <c r="D2672" s="10" t="n">
        <v>44248</v>
      </c>
      <c r="E2672" s="9" t="s">
        <v>29</v>
      </c>
      <c r="F2672" s="9" t="s">
        <v>104</v>
      </c>
      <c r="G2672" s="9" t="s">
        <v>105</v>
      </c>
      <c r="H2672" s="11" t="s">
        <v>25</v>
      </c>
      <c r="I2672" s="12" t="n">
        <v>20</v>
      </c>
      <c r="J2672" s="13" t="n">
        <v>425</v>
      </c>
      <c r="K2672" s="14" t="n">
        <f aca="false">I2672*J2672</f>
        <v>8500</v>
      </c>
      <c r="L2672" s="14" t="n">
        <f aca="false">($L$2*M2672)/100</f>
        <v>480666.6</v>
      </c>
      <c r="M2672" s="15" t="n">
        <v>0.4</v>
      </c>
      <c r="N2672" s="9" t="s">
        <v>85</v>
      </c>
    </row>
    <row r="2673" customFormat="false" ht="14.25" hidden="false" customHeight="true" outlineLevel="0" collapsed="false">
      <c r="B2673" s="9" t="s">
        <v>27</v>
      </c>
      <c r="C2673" s="9" t="n">
        <v>1197831</v>
      </c>
      <c r="D2673" s="10" t="n">
        <v>44274</v>
      </c>
      <c r="E2673" s="9" t="s">
        <v>29</v>
      </c>
      <c r="F2673" s="9" t="s">
        <v>104</v>
      </c>
      <c r="G2673" s="9" t="s">
        <v>105</v>
      </c>
      <c r="H2673" s="11" t="s">
        <v>19</v>
      </c>
      <c r="I2673" s="12" t="n">
        <v>20</v>
      </c>
      <c r="J2673" s="13" t="n">
        <v>645</v>
      </c>
      <c r="K2673" s="14" t="n">
        <f aca="false">I2673*J2673</f>
        <v>12900</v>
      </c>
      <c r="L2673" s="14" t="n">
        <f aca="false">($L$2*M2673)/100</f>
        <v>480666.6</v>
      </c>
      <c r="M2673" s="15" t="n">
        <v>0.4</v>
      </c>
      <c r="N2673" s="9" t="s">
        <v>85</v>
      </c>
    </row>
    <row r="2674" customFormat="false" ht="14.25" hidden="false" customHeight="true" outlineLevel="0" collapsed="false">
      <c r="B2674" s="9" t="s">
        <v>27</v>
      </c>
      <c r="C2674" s="9" t="n">
        <v>1197831</v>
      </c>
      <c r="D2674" s="10" t="n">
        <v>44274</v>
      </c>
      <c r="E2674" s="9" t="s">
        <v>29</v>
      </c>
      <c r="F2674" s="9" t="s">
        <v>104</v>
      </c>
      <c r="G2674" s="9" t="s">
        <v>105</v>
      </c>
      <c r="H2674" s="11" t="s">
        <v>21</v>
      </c>
      <c r="I2674" s="12" t="n">
        <v>20</v>
      </c>
      <c r="J2674" s="13" t="n">
        <v>325</v>
      </c>
      <c r="K2674" s="14" t="n">
        <f aca="false">I2674*J2674</f>
        <v>6500</v>
      </c>
      <c r="L2674" s="14" t="n">
        <f aca="false">($L$2*M2674)/100</f>
        <v>420583.275</v>
      </c>
      <c r="M2674" s="15" t="n">
        <v>0.35</v>
      </c>
      <c r="N2674" s="9" t="s">
        <v>85</v>
      </c>
    </row>
    <row r="2675" customFormat="false" ht="14.25" hidden="false" customHeight="true" outlineLevel="0" collapsed="false">
      <c r="B2675" s="9" t="s">
        <v>27</v>
      </c>
      <c r="C2675" s="9" t="n">
        <v>1197831</v>
      </c>
      <c r="D2675" s="10" t="n">
        <v>44274</v>
      </c>
      <c r="E2675" s="9" t="s">
        <v>29</v>
      </c>
      <c r="F2675" s="9" t="s">
        <v>104</v>
      </c>
      <c r="G2675" s="9" t="s">
        <v>105</v>
      </c>
      <c r="H2675" s="11" t="s">
        <v>22</v>
      </c>
      <c r="I2675" s="12" t="n">
        <v>10</v>
      </c>
      <c r="J2675" s="13" t="n">
        <v>350</v>
      </c>
      <c r="K2675" s="14" t="n">
        <f aca="false">I2675*J2675</f>
        <v>3500</v>
      </c>
      <c r="L2675" s="14" t="n">
        <f aca="false">($L$2*M2675)/100</f>
        <v>480666.6</v>
      </c>
      <c r="M2675" s="15" t="n">
        <v>0.4</v>
      </c>
      <c r="N2675" s="9" t="s">
        <v>85</v>
      </c>
    </row>
    <row r="2676" customFormat="false" ht="14.25" hidden="false" customHeight="true" outlineLevel="0" collapsed="false">
      <c r="B2676" s="9" t="s">
        <v>27</v>
      </c>
      <c r="C2676" s="9" t="n">
        <v>1197831</v>
      </c>
      <c r="D2676" s="10" t="n">
        <v>44274</v>
      </c>
      <c r="E2676" s="9" t="s">
        <v>29</v>
      </c>
      <c r="F2676" s="9" t="s">
        <v>104</v>
      </c>
      <c r="G2676" s="9" t="s">
        <v>105</v>
      </c>
      <c r="H2676" s="11" t="s">
        <v>23</v>
      </c>
      <c r="I2676" s="12" t="n">
        <v>20</v>
      </c>
      <c r="J2676" s="13" t="n">
        <v>200</v>
      </c>
      <c r="K2676" s="14" t="n">
        <f aca="false">I2676*J2676</f>
        <v>4000</v>
      </c>
      <c r="L2676" s="14" t="n">
        <f aca="false">($L$2*M2676)/100</f>
        <v>480666.6</v>
      </c>
      <c r="M2676" s="15" t="n">
        <v>0.4</v>
      </c>
      <c r="N2676" s="9" t="s">
        <v>85</v>
      </c>
    </row>
    <row r="2677" customFormat="false" ht="14.25" hidden="false" customHeight="true" outlineLevel="0" collapsed="false">
      <c r="B2677" s="9" t="s">
        <v>27</v>
      </c>
      <c r="C2677" s="9" t="n">
        <v>1197831</v>
      </c>
      <c r="D2677" s="10" t="n">
        <v>44274</v>
      </c>
      <c r="E2677" s="9" t="s">
        <v>29</v>
      </c>
      <c r="F2677" s="9" t="s">
        <v>104</v>
      </c>
      <c r="G2677" s="9" t="s">
        <v>105</v>
      </c>
      <c r="H2677" s="11" t="s">
        <v>24</v>
      </c>
      <c r="I2677" s="12" t="n">
        <v>35</v>
      </c>
      <c r="J2677" s="13" t="n">
        <v>250</v>
      </c>
      <c r="K2677" s="14" t="n">
        <f aca="false">I2677*J2677</f>
        <v>8750</v>
      </c>
      <c r="L2677" s="14" t="n">
        <f aca="false">($L$2*M2677)/100</f>
        <v>420583.275</v>
      </c>
      <c r="M2677" s="15" t="n">
        <v>0.35</v>
      </c>
      <c r="N2677" s="9" t="s">
        <v>85</v>
      </c>
    </row>
    <row r="2678" customFormat="false" ht="14.25" hidden="false" customHeight="true" outlineLevel="0" collapsed="false">
      <c r="B2678" s="9" t="s">
        <v>27</v>
      </c>
      <c r="C2678" s="9" t="n">
        <v>1197831</v>
      </c>
      <c r="D2678" s="10" t="n">
        <v>44274</v>
      </c>
      <c r="E2678" s="9" t="s">
        <v>29</v>
      </c>
      <c r="F2678" s="9" t="s">
        <v>104</v>
      </c>
      <c r="G2678" s="9" t="s">
        <v>105</v>
      </c>
      <c r="H2678" s="11" t="s">
        <v>25</v>
      </c>
      <c r="I2678" s="12" t="n">
        <v>25</v>
      </c>
      <c r="J2678" s="13" t="n">
        <v>350</v>
      </c>
      <c r="K2678" s="14" t="n">
        <f aca="false">I2678*J2678</f>
        <v>8750</v>
      </c>
      <c r="L2678" s="14" t="n">
        <f aca="false">($L$2*M2678)/100</f>
        <v>480666.6</v>
      </c>
      <c r="M2678" s="15" t="n">
        <v>0.4</v>
      </c>
      <c r="N2678" s="9" t="s">
        <v>85</v>
      </c>
    </row>
    <row r="2679" customFormat="false" ht="14.25" hidden="false" customHeight="true" outlineLevel="0" collapsed="false">
      <c r="B2679" s="9" t="s">
        <v>27</v>
      </c>
      <c r="C2679" s="9" t="n">
        <v>1197831</v>
      </c>
      <c r="D2679" s="10" t="n">
        <v>44306</v>
      </c>
      <c r="E2679" s="9" t="s">
        <v>29</v>
      </c>
      <c r="F2679" s="9" t="s">
        <v>104</v>
      </c>
      <c r="G2679" s="9" t="s">
        <v>105</v>
      </c>
      <c r="H2679" s="11" t="s">
        <v>19</v>
      </c>
      <c r="I2679" s="12" t="n">
        <v>25</v>
      </c>
      <c r="J2679" s="13" t="n">
        <v>600</v>
      </c>
      <c r="K2679" s="14" t="n">
        <f aca="false">I2679*J2679</f>
        <v>15000</v>
      </c>
      <c r="L2679" s="14" t="n">
        <f aca="false">($L$2*M2679)/100</f>
        <v>480666.6</v>
      </c>
      <c r="M2679" s="15" t="n">
        <v>0.4</v>
      </c>
      <c r="N2679" s="9" t="s">
        <v>85</v>
      </c>
    </row>
    <row r="2680" customFormat="false" ht="14.25" hidden="false" customHeight="true" outlineLevel="0" collapsed="false">
      <c r="B2680" s="9" t="s">
        <v>27</v>
      </c>
      <c r="C2680" s="9" t="n">
        <v>1197831</v>
      </c>
      <c r="D2680" s="10" t="n">
        <v>44306</v>
      </c>
      <c r="E2680" s="9" t="s">
        <v>29</v>
      </c>
      <c r="F2680" s="9" t="s">
        <v>104</v>
      </c>
      <c r="G2680" s="9" t="s">
        <v>105</v>
      </c>
      <c r="H2680" s="11" t="s">
        <v>21</v>
      </c>
      <c r="I2680" s="12" t="n">
        <v>25</v>
      </c>
      <c r="J2680" s="13" t="n">
        <v>300</v>
      </c>
      <c r="K2680" s="14" t="n">
        <f aca="false">I2680*J2680</f>
        <v>7500</v>
      </c>
      <c r="L2680" s="14" t="n">
        <f aca="false">($L$2*M2680)/100</f>
        <v>420583.275</v>
      </c>
      <c r="M2680" s="15" t="n">
        <v>0.35</v>
      </c>
      <c r="N2680" s="9" t="s">
        <v>85</v>
      </c>
    </row>
    <row r="2681" customFormat="false" ht="14.25" hidden="false" customHeight="true" outlineLevel="0" collapsed="false">
      <c r="B2681" s="9" t="s">
        <v>27</v>
      </c>
      <c r="C2681" s="9" t="n">
        <v>1197831</v>
      </c>
      <c r="D2681" s="10" t="n">
        <v>44306</v>
      </c>
      <c r="E2681" s="9" t="s">
        <v>29</v>
      </c>
      <c r="F2681" s="9" t="s">
        <v>104</v>
      </c>
      <c r="G2681" s="9" t="s">
        <v>105</v>
      </c>
      <c r="H2681" s="11" t="s">
        <v>22</v>
      </c>
      <c r="I2681" s="12" t="n">
        <v>15</v>
      </c>
      <c r="J2681" s="13" t="n">
        <v>300</v>
      </c>
      <c r="K2681" s="14" t="n">
        <f aca="false">I2681*J2681</f>
        <v>4500</v>
      </c>
      <c r="L2681" s="14" t="n">
        <f aca="false">($L$2*M2681)/100</f>
        <v>480666.6</v>
      </c>
      <c r="M2681" s="15" t="n">
        <v>0.4</v>
      </c>
      <c r="N2681" s="9" t="s">
        <v>85</v>
      </c>
    </row>
    <row r="2682" customFormat="false" ht="14.25" hidden="false" customHeight="true" outlineLevel="0" collapsed="false">
      <c r="B2682" s="9" t="s">
        <v>27</v>
      </c>
      <c r="C2682" s="9" t="n">
        <v>1197831</v>
      </c>
      <c r="D2682" s="10" t="n">
        <v>44306</v>
      </c>
      <c r="E2682" s="9" t="s">
        <v>29</v>
      </c>
      <c r="F2682" s="9" t="s">
        <v>104</v>
      </c>
      <c r="G2682" s="9" t="s">
        <v>105</v>
      </c>
      <c r="H2682" s="11" t="s">
        <v>23</v>
      </c>
      <c r="I2682" s="12" t="n">
        <v>20</v>
      </c>
      <c r="J2682" s="13" t="n">
        <v>225</v>
      </c>
      <c r="K2682" s="14" t="n">
        <f aca="false">I2682*J2682</f>
        <v>4500</v>
      </c>
      <c r="L2682" s="14" t="n">
        <f aca="false">($L$2*M2682)/100</f>
        <v>480666.6</v>
      </c>
      <c r="M2682" s="15" t="n">
        <v>0.4</v>
      </c>
      <c r="N2682" s="9" t="s">
        <v>85</v>
      </c>
    </row>
    <row r="2683" customFormat="false" ht="14.25" hidden="false" customHeight="true" outlineLevel="0" collapsed="false">
      <c r="B2683" s="9" t="s">
        <v>27</v>
      </c>
      <c r="C2683" s="9" t="n">
        <v>1197831</v>
      </c>
      <c r="D2683" s="10" t="n">
        <v>44306</v>
      </c>
      <c r="E2683" s="9" t="s">
        <v>29</v>
      </c>
      <c r="F2683" s="9" t="s">
        <v>104</v>
      </c>
      <c r="G2683" s="9" t="s">
        <v>105</v>
      </c>
      <c r="H2683" s="11" t="s">
        <v>24</v>
      </c>
      <c r="I2683" s="12" t="n">
        <v>40</v>
      </c>
      <c r="J2683" s="13" t="n">
        <v>250</v>
      </c>
      <c r="K2683" s="14" t="n">
        <f aca="false">I2683*J2683</f>
        <v>10000</v>
      </c>
      <c r="L2683" s="14" t="n">
        <f aca="false">($L$2*M2683)/100</f>
        <v>420583.275</v>
      </c>
      <c r="M2683" s="15" t="n">
        <v>0.35</v>
      </c>
      <c r="N2683" s="9" t="s">
        <v>85</v>
      </c>
    </row>
    <row r="2684" customFormat="false" ht="14.25" hidden="false" customHeight="true" outlineLevel="0" collapsed="false">
      <c r="B2684" s="9" t="s">
        <v>27</v>
      </c>
      <c r="C2684" s="9" t="n">
        <v>1197831</v>
      </c>
      <c r="D2684" s="10" t="n">
        <v>44306</v>
      </c>
      <c r="E2684" s="9" t="s">
        <v>29</v>
      </c>
      <c r="F2684" s="9" t="s">
        <v>104</v>
      </c>
      <c r="G2684" s="9" t="s">
        <v>105</v>
      </c>
      <c r="H2684" s="11" t="s">
        <v>25</v>
      </c>
      <c r="I2684" s="12" t="n">
        <v>30</v>
      </c>
      <c r="J2684" s="13" t="n">
        <v>400</v>
      </c>
      <c r="K2684" s="14" t="n">
        <f aca="false">I2684*J2684</f>
        <v>12000</v>
      </c>
      <c r="L2684" s="14" t="n">
        <f aca="false">($L$2*M2684)/100</f>
        <v>480666.6</v>
      </c>
      <c r="M2684" s="15" t="n">
        <v>0.4</v>
      </c>
      <c r="N2684" s="9" t="s">
        <v>85</v>
      </c>
    </row>
    <row r="2685" customFormat="false" ht="14.25" hidden="false" customHeight="true" outlineLevel="0" collapsed="false">
      <c r="B2685" s="9" t="s">
        <v>27</v>
      </c>
      <c r="C2685" s="9" t="n">
        <v>1197831</v>
      </c>
      <c r="D2685" s="10" t="n">
        <v>44335</v>
      </c>
      <c r="E2685" s="9" t="s">
        <v>29</v>
      </c>
      <c r="F2685" s="9" t="s">
        <v>104</v>
      </c>
      <c r="G2685" s="9" t="s">
        <v>105</v>
      </c>
      <c r="H2685" s="11" t="s">
        <v>19</v>
      </c>
      <c r="I2685" s="12" t="n">
        <v>40</v>
      </c>
      <c r="J2685" s="13" t="n">
        <v>670</v>
      </c>
      <c r="K2685" s="14" t="n">
        <f aca="false">I2685*J2685</f>
        <v>26800</v>
      </c>
      <c r="L2685" s="14" t="n">
        <f aca="false">($L$2*M2685)/100</f>
        <v>480666.6</v>
      </c>
      <c r="M2685" s="15" t="n">
        <v>0.4</v>
      </c>
      <c r="N2685" s="9" t="s">
        <v>85</v>
      </c>
    </row>
    <row r="2686" customFormat="false" ht="14.25" hidden="false" customHeight="true" outlineLevel="0" collapsed="false">
      <c r="B2686" s="9" t="s">
        <v>27</v>
      </c>
      <c r="C2686" s="9" t="n">
        <v>1197831</v>
      </c>
      <c r="D2686" s="10" t="n">
        <v>44335</v>
      </c>
      <c r="E2686" s="9" t="s">
        <v>29</v>
      </c>
      <c r="F2686" s="9" t="s">
        <v>104</v>
      </c>
      <c r="G2686" s="9" t="s">
        <v>105</v>
      </c>
      <c r="H2686" s="11" t="s">
        <v>21</v>
      </c>
      <c r="I2686" s="12" t="n">
        <v>40</v>
      </c>
      <c r="J2686" s="13" t="n">
        <v>375</v>
      </c>
      <c r="K2686" s="14" t="n">
        <f aca="false">I2686*J2686</f>
        <v>15000</v>
      </c>
      <c r="L2686" s="14" t="n">
        <f aca="false">($L$2*M2686)/100</f>
        <v>420583.275</v>
      </c>
      <c r="M2686" s="15" t="n">
        <v>0.35</v>
      </c>
      <c r="N2686" s="9" t="s">
        <v>85</v>
      </c>
    </row>
    <row r="2687" customFormat="false" ht="14.25" hidden="false" customHeight="true" outlineLevel="0" collapsed="false">
      <c r="B2687" s="9" t="s">
        <v>27</v>
      </c>
      <c r="C2687" s="9" t="n">
        <v>1197831</v>
      </c>
      <c r="D2687" s="10" t="n">
        <v>44335</v>
      </c>
      <c r="E2687" s="9" t="s">
        <v>29</v>
      </c>
      <c r="F2687" s="9" t="s">
        <v>104</v>
      </c>
      <c r="G2687" s="9" t="s">
        <v>105</v>
      </c>
      <c r="H2687" s="11" t="s">
        <v>22</v>
      </c>
      <c r="I2687" s="12" t="n">
        <v>35</v>
      </c>
      <c r="J2687" s="13" t="n">
        <v>350</v>
      </c>
      <c r="K2687" s="14" t="n">
        <f aca="false">I2687*J2687</f>
        <v>12250</v>
      </c>
      <c r="L2687" s="14" t="n">
        <f aca="false">($L$2*M2687)/100</f>
        <v>480666.6</v>
      </c>
      <c r="M2687" s="15" t="n">
        <v>0.4</v>
      </c>
      <c r="N2687" s="9" t="s">
        <v>85</v>
      </c>
    </row>
    <row r="2688" customFormat="false" ht="14.25" hidden="false" customHeight="true" outlineLevel="0" collapsed="false">
      <c r="B2688" s="9" t="s">
        <v>27</v>
      </c>
      <c r="C2688" s="9" t="n">
        <v>1197831</v>
      </c>
      <c r="D2688" s="10" t="n">
        <v>44335</v>
      </c>
      <c r="E2688" s="9" t="s">
        <v>29</v>
      </c>
      <c r="F2688" s="9" t="s">
        <v>104</v>
      </c>
      <c r="G2688" s="9" t="s">
        <v>105</v>
      </c>
      <c r="H2688" s="11" t="s">
        <v>23</v>
      </c>
      <c r="I2688" s="12" t="n">
        <v>35</v>
      </c>
      <c r="J2688" s="13" t="n">
        <v>300</v>
      </c>
      <c r="K2688" s="14" t="n">
        <f aca="false">I2688*J2688</f>
        <v>10500</v>
      </c>
      <c r="L2688" s="14" t="n">
        <f aca="false">($L$2*M2688)/100</f>
        <v>480666.6</v>
      </c>
      <c r="M2688" s="15" t="n">
        <v>0.4</v>
      </c>
      <c r="N2688" s="9" t="s">
        <v>85</v>
      </c>
    </row>
    <row r="2689" customFormat="false" ht="14.25" hidden="false" customHeight="true" outlineLevel="0" collapsed="false">
      <c r="B2689" s="9" t="s">
        <v>27</v>
      </c>
      <c r="C2689" s="9" t="n">
        <v>1197831</v>
      </c>
      <c r="D2689" s="10" t="n">
        <v>44335</v>
      </c>
      <c r="E2689" s="9" t="s">
        <v>29</v>
      </c>
      <c r="F2689" s="9" t="s">
        <v>104</v>
      </c>
      <c r="G2689" s="9" t="s">
        <v>105</v>
      </c>
      <c r="H2689" s="11" t="s">
        <v>24</v>
      </c>
      <c r="I2689" s="12" t="n">
        <v>45</v>
      </c>
      <c r="J2689" s="13" t="n">
        <v>325</v>
      </c>
      <c r="K2689" s="14" t="n">
        <f aca="false">I2689*J2689</f>
        <v>14625</v>
      </c>
      <c r="L2689" s="14" t="n">
        <f aca="false">($L$2*M2689)/100</f>
        <v>420583.275</v>
      </c>
      <c r="M2689" s="15" t="n">
        <v>0.35</v>
      </c>
      <c r="N2689" s="9" t="s">
        <v>85</v>
      </c>
    </row>
    <row r="2690" customFormat="false" ht="14.25" hidden="false" customHeight="true" outlineLevel="0" collapsed="false">
      <c r="B2690" s="9" t="s">
        <v>27</v>
      </c>
      <c r="C2690" s="9" t="n">
        <v>1197831</v>
      </c>
      <c r="D2690" s="10" t="n">
        <v>44335</v>
      </c>
      <c r="E2690" s="9" t="s">
        <v>29</v>
      </c>
      <c r="F2690" s="9" t="s">
        <v>104</v>
      </c>
      <c r="G2690" s="9" t="s">
        <v>105</v>
      </c>
      <c r="H2690" s="11" t="s">
        <v>25</v>
      </c>
      <c r="I2690" s="12" t="n">
        <v>45</v>
      </c>
      <c r="J2690" s="13" t="n">
        <v>425</v>
      </c>
      <c r="K2690" s="14" t="n">
        <f aca="false">I2690*J2690</f>
        <v>19125</v>
      </c>
      <c r="L2690" s="14" t="n">
        <f aca="false">($L$2*M2690)/100</f>
        <v>480666.6</v>
      </c>
      <c r="M2690" s="15" t="n">
        <v>0.4</v>
      </c>
      <c r="N2690" s="9" t="s">
        <v>85</v>
      </c>
    </row>
    <row r="2691" customFormat="false" ht="14.25" hidden="false" customHeight="true" outlineLevel="0" collapsed="false">
      <c r="B2691" s="9" t="s">
        <v>27</v>
      </c>
      <c r="C2691" s="9" t="n">
        <v>1197831</v>
      </c>
      <c r="D2691" s="10" t="n">
        <v>44368</v>
      </c>
      <c r="E2691" s="9" t="s">
        <v>29</v>
      </c>
      <c r="F2691" s="9" t="s">
        <v>104</v>
      </c>
      <c r="G2691" s="9" t="s">
        <v>105</v>
      </c>
      <c r="H2691" s="11" t="s">
        <v>19</v>
      </c>
      <c r="I2691" s="12" t="n">
        <v>40</v>
      </c>
      <c r="J2691" s="13" t="n">
        <v>675</v>
      </c>
      <c r="K2691" s="14" t="n">
        <f aca="false">I2691*J2691</f>
        <v>27000</v>
      </c>
      <c r="L2691" s="14" t="n">
        <f aca="false">($L$2*M2691)/100</f>
        <v>480666.6</v>
      </c>
      <c r="M2691" s="15" t="n">
        <v>0.4</v>
      </c>
      <c r="N2691" s="9" t="s">
        <v>85</v>
      </c>
    </row>
    <row r="2692" customFormat="false" ht="14.25" hidden="false" customHeight="true" outlineLevel="0" collapsed="false">
      <c r="B2692" s="9" t="s">
        <v>27</v>
      </c>
      <c r="C2692" s="9" t="n">
        <v>1197831</v>
      </c>
      <c r="D2692" s="10" t="n">
        <v>44368</v>
      </c>
      <c r="E2692" s="9" t="s">
        <v>29</v>
      </c>
      <c r="F2692" s="9" t="s">
        <v>104</v>
      </c>
      <c r="G2692" s="9" t="s">
        <v>105</v>
      </c>
      <c r="H2692" s="11" t="s">
        <v>21</v>
      </c>
      <c r="I2692" s="12" t="n">
        <v>35</v>
      </c>
      <c r="J2692" s="13" t="n">
        <v>425</v>
      </c>
      <c r="K2692" s="14" t="n">
        <f aca="false">I2692*J2692</f>
        <v>14875</v>
      </c>
      <c r="L2692" s="14" t="n">
        <f aca="false">($L$2*M2692)/100</f>
        <v>420583.275</v>
      </c>
      <c r="M2692" s="15" t="n">
        <v>0.35</v>
      </c>
      <c r="N2692" s="9" t="s">
        <v>85</v>
      </c>
    </row>
    <row r="2693" customFormat="false" ht="14.25" hidden="false" customHeight="true" outlineLevel="0" collapsed="false">
      <c r="B2693" s="9" t="s">
        <v>27</v>
      </c>
      <c r="C2693" s="9" t="n">
        <v>1197831</v>
      </c>
      <c r="D2693" s="10" t="n">
        <v>44368</v>
      </c>
      <c r="E2693" s="9" t="s">
        <v>29</v>
      </c>
      <c r="F2693" s="9" t="s">
        <v>104</v>
      </c>
      <c r="G2693" s="9" t="s">
        <v>105</v>
      </c>
      <c r="H2693" s="11" t="s">
        <v>22</v>
      </c>
      <c r="I2693" s="12" t="n">
        <v>40</v>
      </c>
      <c r="J2693" s="13" t="n">
        <v>400</v>
      </c>
      <c r="K2693" s="14" t="n">
        <f aca="false">I2693*J2693</f>
        <v>16000</v>
      </c>
      <c r="L2693" s="14" t="n">
        <f aca="false">($L$2*M2693)/100</f>
        <v>480666.6</v>
      </c>
      <c r="M2693" s="15" t="n">
        <v>0.4</v>
      </c>
      <c r="N2693" s="9" t="s">
        <v>85</v>
      </c>
    </row>
    <row r="2694" customFormat="false" ht="14.25" hidden="false" customHeight="true" outlineLevel="0" collapsed="false">
      <c r="B2694" s="9" t="s">
        <v>27</v>
      </c>
      <c r="C2694" s="9" t="n">
        <v>1197831</v>
      </c>
      <c r="D2694" s="10" t="n">
        <v>44368</v>
      </c>
      <c r="E2694" s="9" t="s">
        <v>29</v>
      </c>
      <c r="F2694" s="9" t="s">
        <v>104</v>
      </c>
      <c r="G2694" s="9" t="s">
        <v>105</v>
      </c>
      <c r="H2694" s="11" t="s">
        <v>23</v>
      </c>
      <c r="I2694" s="12" t="n">
        <v>40</v>
      </c>
      <c r="J2694" s="13" t="n">
        <v>375</v>
      </c>
      <c r="K2694" s="14" t="n">
        <f aca="false">I2694*J2694</f>
        <v>15000</v>
      </c>
      <c r="L2694" s="14" t="n">
        <f aca="false">($L$2*M2694)/100</f>
        <v>480666.6</v>
      </c>
      <c r="M2694" s="15" t="n">
        <v>0.4</v>
      </c>
      <c r="N2694" s="9" t="s">
        <v>85</v>
      </c>
    </row>
    <row r="2695" customFormat="false" ht="14.25" hidden="false" customHeight="true" outlineLevel="0" collapsed="false">
      <c r="B2695" s="9" t="s">
        <v>27</v>
      </c>
      <c r="C2695" s="9" t="n">
        <v>1197831</v>
      </c>
      <c r="D2695" s="10" t="n">
        <v>44368</v>
      </c>
      <c r="E2695" s="9" t="s">
        <v>29</v>
      </c>
      <c r="F2695" s="9" t="s">
        <v>104</v>
      </c>
      <c r="G2695" s="9" t="s">
        <v>105</v>
      </c>
      <c r="H2695" s="11" t="s">
        <v>24</v>
      </c>
      <c r="I2695" s="12" t="n">
        <v>55</v>
      </c>
      <c r="J2695" s="13" t="n">
        <v>375</v>
      </c>
      <c r="K2695" s="14" t="n">
        <f aca="false">I2695*J2695</f>
        <v>20625</v>
      </c>
      <c r="L2695" s="14" t="n">
        <f aca="false">($L$2*M2695)/100</f>
        <v>420583.275</v>
      </c>
      <c r="M2695" s="15" t="n">
        <v>0.35</v>
      </c>
      <c r="N2695" s="9" t="s">
        <v>85</v>
      </c>
    </row>
    <row r="2696" customFormat="false" ht="14.25" hidden="false" customHeight="true" outlineLevel="0" collapsed="false">
      <c r="B2696" s="9" t="s">
        <v>27</v>
      </c>
      <c r="C2696" s="9" t="n">
        <v>1197831</v>
      </c>
      <c r="D2696" s="10" t="n">
        <v>44368</v>
      </c>
      <c r="E2696" s="9" t="s">
        <v>29</v>
      </c>
      <c r="F2696" s="9" t="s">
        <v>104</v>
      </c>
      <c r="G2696" s="9" t="s">
        <v>105</v>
      </c>
      <c r="H2696" s="11" t="s">
        <v>25</v>
      </c>
      <c r="I2696" s="12" t="n">
        <v>60</v>
      </c>
      <c r="J2696" s="13" t="n">
        <v>550</v>
      </c>
      <c r="K2696" s="14" t="n">
        <f aca="false">I2696*J2696</f>
        <v>33000</v>
      </c>
      <c r="L2696" s="14" t="n">
        <f aca="false">($L$2*M2696)/100</f>
        <v>480666.6</v>
      </c>
      <c r="M2696" s="15" t="n">
        <v>0.4</v>
      </c>
      <c r="N2696" s="9" t="s">
        <v>85</v>
      </c>
    </row>
    <row r="2697" customFormat="false" ht="14.25" hidden="false" customHeight="true" outlineLevel="0" collapsed="false">
      <c r="B2697" s="9" t="s">
        <v>27</v>
      </c>
      <c r="C2697" s="9" t="n">
        <v>1197831</v>
      </c>
      <c r="D2697" s="10" t="n">
        <v>44396</v>
      </c>
      <c r="E2697" s="9" t="s">
        <v>29</v>
      </c>
      <c r="F2697" s="9" t="s">
        <v>104</v>
      </c>
      <c r="G2697" s="9" t="s">
        <v>105</v>
      </c>
      <c r="H2697" s="11" t="s">
        <v>19</v>
      </c>
      <c r="I2697" s="12" t="n">
        <v>55</v>
      </c>
      <c r="J2697" s="13" t="n">
        <v>775</v>
      </c>
      <c r="K2697" s="14" t="n">
        <f aca="false">I2697*J2697</f>
        <v>42625</v>
      </c>
      <c r="L2697" s="14" t="n">
        <f aca="false">($L$2*M2697)/100</f>
        <v>480666.6</v>
      </c>
      <c r="M2697" s="15" t="n">
        <v>0.4</v>
      </c>
      <c r="N2697" s="9" t="s">
        <v>85</v>
      </c>
    </row>
    <row r="2698" customFormat="false" ht="14.25" hidden="false" customHeight="true" outlineLevel="0" collapsed="false">
      <c r="B2698" s="9" t="s">
        <v>27</v>
      </c>
      <c r="C2698" s="9" t="n">
        <v>1197831</v>
      </c>
      <c r="D2698" s="10" t="n">
        <v>44396</v>
      </c>
      <c r="E2698" s="9" t="s">
        <v>29</v>
      </c>
      <c r="F2698" s="9" t="s">
        <v>104</v>
      </c>
      <c r="G2698" s="9" t="s">
        <v>105</v>
      </c>
      <c r="H2698" s="11" t="s">
        <v>21</v>
      </c>
      <c r="I2698" s="12" t="n">
        <v>50</v>
      </c>
      <c r="J2698" s="13" t="n">
        <v>525</v>
      </c>
      <c r="K2698" s="14" t="n">
        <f aca="false">I2698*J2698</f>
        <v>26250</v>
      </c>
      <c r="L2698" s="14" t="n">
        <f aca="false">($L$2*M2698)/100</f>
        <v>420583.275</v>
      </c>
      <c r="M2698" s="15" t="n">
        <v>0.35</v>
      </c>
      <c r="N2698" s="9" t="s">
        <v>85</v>
      </c>
    </row>
    <row r="2699" customFormat="false" ht="14.25" hidden="false" customHeight="true" outlineLevel="0" collapsed="false">
      <c r="B2699" s="9" t="s">
        <v>27</v>
      </c>
      <c r="C2699" s="9" t="n">
        <v>1197831</v>
      </c>
      <c r="D2699" s="10" t="n">
        <v>44396</v>
      </c>
      <c r="E2699" s="9" t="s">
        <v>29</v>
      </c>
      <c r="F2699" s="9" t="s">
        <v>104</v>
      </c>
      <c r="G2699" s="9" t="s">
        <v>105</v>
      </c>
      <c r="H2699" s="11" t="s">
        <v>22</v>
      </c>
      <c r="I2699" s="12" t="n">
        <v>45</v>
      </c>
      <c r="J2699" s="13" t="n">
        <v>450</v>
      </c>
      <c r="K2699" s="14" t="n">
        <f aca="false">I2699*J2699</f>
        <v>20250</v>
      </c>
      <c r="L2699" s="14" t="n">
        <f aca="false">($L$2*M2699)/100</f>
        <v>480666.6</v>
      </c>
      <c r="M2699" s="15" t="n">
        <v>0.4</v>
      </c>
      <c r="N2699" s="9" t="s">
        <v>85</v>
      </c>
    </row>
    <row r="2700" customFormat="false" ht="14.25" hidden="false" customHeight="true" outlineLevel="0" collapsed="false">
      <c r="B2700" s="9" t="s">
        <v>27</v>
      </c>
      <c r="C2700" s="9" t="n">
        <v>1197831</v>
      </c>
      <c r="D2700" s="10" t="n">
        <v>44396</v>
      </c>
      <c r="E2700" s="9" t="s">
        <v>29</v>
      </c>
      <c r="F2700" s="9" t="s">
        <v>104</v>
      </c>
      <c r="G2700" s="9" t="s">
        <v>105</v>
      </c>
      <c r="H2700" s="11" t="s">
        <v>23</v>
      </c>
      <c r="I2700" s="12" t="n">
        <v>45</v>
      </c>
      <c r="J2700" s="13" t="n">
        <v>400</v>
      </c>
      <c r="K2700" s="14" t="n">
        <f aca="false">I2700*J2700</f>
        <v>18000</v>
      </c>
      <c r="L2700" s="14" t="n">
        <f aca="false">($L$2*M2700)/100</f>
        <v>480666.6</v>
      </c>
      <c r="M2700" s="15" t="n">
        <v>0.4</v>
      </c>
      <c r="N2700" s="9" t="s">
        <v>85</v>
      </c>
    </row>
    <row r="2701" customFormat="false" ht="14.25" hidden="false" customHeight="true" outlineLevel="0" collapsed="false">
      <c r="B2701" s="9" t="s">
        <v>27</v>
      </c>
      <c r="C2701" s="9" t="n">
        <v>1197831</v>
      </c>
      <c r="D2701" s="10" t="n">
        <v>44396</v>
      </c>
      <c r="E2701" s="9" t="s">
        <v>29</v>
      </c>
      <c r="F2701" s="9" t="s">
        <v>104</v>
      </c>
      <c r="G2701" s="9" t="s">
        <v>105</v>
      </c>
      <c r="H2701" s="11" t="s">
        <v>24</v>
      </c>
      <c r="I2701" s="12" t="n">
        <v>60</v>
      </c>
      <c r="J2701" s="13" t="n">
        <v>425</v>
      </c>
      <c r="K2701" s="14" t="n">
        <f aca="false">I2701*J2701</f>
        <v>25500</v>
      </c>
      <c r="L2701" s="14" t="n">
        <f aca="false">($L$2*M2701)/100</f>
        <v>420583.275</v>
      </c>
      <c r="M2701" s="15" t="n">
        <v>0.35</v>
      </c>
      <c r="N2701" s="9" t="s">
        <v>85</v>
      </c>
    </row>
    <row r="2702" customFormat="false" ht="14.25" hidden="false" customHeight="true" outlineLevel="0" collapsed="false">
      <c r="B2702" s="9" t="s">
        <v>27</v>
      </c>
      <c r="C2702" s="9" t="n">
        <v>1197831</v>
      </c>
      <c r="D2702" s="10" t="n">
        <v>44396</v>
      </c>
      <c r="E2702" s="9" t="s">
        <v>29</v>
      </c>
      <c r="F2702" s="9" t="s">
        <v>104</v>
      </c>
      <c r="G2702" s="9" t="s">
        <v>105</v>
      </c>
      <c r="H2702" s="11" t="s">
        <v>25</v>
      </c>
      <c r="I2702" s="12" t="n">
        <v>65</v>
      </c>
      <c r="J2702" s="13" t="n">
        <v>600</v>
      </c>
      <c r="K2702" s="14" t="n">
        <f aca="false">I2702*J2702</f>
        <v>39000</v>
      </c>
      <c r="L2702" s="14" t="n">
        <f aca="false">($L$2*M2702)/100</f>
        <v>480666.6</v>
      </c>
      <c r="M2702" s="15" t="n">
        <v>0.4</v>
      </c>
      <c r="N2702" s="9" t="s">
        <v>85</v>
      </c>
    </row>
    <row r="2703" customFormat="false" ht="14.25" hidden="false" customHeight="true" outlineLevel="0" collapsed="false">
      <c r="B2703" s="9" t="s">
        <v>27</v>
      </c>
      <c r="C2703" s="9" t="n">
        <v>1197831</v>
      </c>
      <c r="D2703" s="10" t="n">
        <v>44428</v>
      </c>
      <c r="E2703" s="9" t="s">
        <v>29</v>
      </c>
      <c r="F2703" s="9" t="s">
        <v>104</v>
      </c>
      <c r="G2703" s="9" t="s">
        <v>105</v>
      </c>
      <c r="H2703" s="11" t="s">
        <v>19</v>
      </c>
      <c r="I2703" s="12" t="n">
        <v>60</v>
      </c>
      <c r="J2703" s="13" t="n">
        <v>750</v>
      </c>
      <c r="K2703" s="14" t="n">
        <f aca="false">I2703*J2703</f>
        <v>45000</v>
      </c>
      <c r="L2703" s="14" t="n">
        <f aca="false">($L$2*M2703)/100</f>
        <v>480666.6</v>
      </c>
      <c r="M2703" s="15" t="n">
        <v>0.4</v>
      </c>
      <c r="N2703" s="9" t="s">
        <v>85</v>
      </c>
    </row>
    <row r="2704" customFormat="false" ht="14.25" hidden="false" customHeight="true" outlineLevel="0" collapsed="false">
      <c r="B2704" s="9" t="s">
        <v>27</v>
      </c>
      <c r="C2704" s="9" t="n">
        <v>1197831</v>
      </c>
      <c r="D2704" s="10" t="n">
        <v>44428</v>
      </c>
      <c r="E2704" s="9" t="s">
        <v>29</v>
      </c>
      <c r="F2704" s="9" t="s">
        <v>104</v>
      </c>
      <c r="G2704" s="9" t="s">
        <v>105</v>
      </c>
      <c r="H2704" s="11" t="s">
        <v>21</v>
      </c>
      <c r="I2704" s="12" t="n">
        <v>55</v>
      </c>
      <c r="J2704" s="13" t="n">
        <v>525</v>
      </c>
      <c r="K2704" s="14" t="n">
        <f aca="false">I2704*J2704</f>
        <v>28875</v>
      </c>
      <c r="L2704" s="14" t="n">
        <f aca="false">($L$2*M2704)/100</f>
        <v>420583.275</v>
      </c>
      <c r="M2704" s="15" t="n">
        <v>0.35</v>
      </c>
      <c r="N2704" s="9" t="s">
        <v>85</v>
      </c>
    </row>
    <row r="2705" customFormat="false" ht="14.25" hidden="false" customHeight="true" outlineLevel="0" collapsed="false">
      <c r="B2705" s="9" t="s">
        <v>27</v>
      </c>
      <c r="C2705" s="9" t="n">
        <v>1197831</v>
      </c>
      <c r="D2705" s="10" t="n">
        <v>44428</v>
      </c>
      <c r="E2705" s="9" t="s">
        <v>29</v>
      </c>
      <c r="F2705" s="9" t="s">
        <v>104</v>
      </c>
      <c r="G2705" s="9" t="s">
        <v>105</v>
      </c>
      <c r="H2705" s="11" t="s">
        <v>22</v>
      </c>
      <c r="I2705" s="12" t="n">
        <v>50</v>
      </c>
      <c r="J2705" s="13" t="n">
        <v>450</v>
      </c>
      <c r="K2705" s="14" t="n">
        <f aca="false">I2705*J2705</f>
        <v>22500</v>
      </c>
      <c r="L2705" s="14" t="n">
        <f aca="false">($L$2*M2705)/100</f>
        <v>480666.6</v>
      </c>
      <c r="M2705" s="15" t="n">
        <v>0.4</v>
      </c>
      <c r="N2705" s="9" t="s">
        <v>85</v>
      </c>
    </row>
    <row r="2706" customFormat="false" ht="14.25" hidden="false" customHeight="true" outlineLevel="0" collapsed="false">
      <c r="B2706" s="9" t="s">
        <v>27</v>
      </c>
      <c r="C2706" s="9" t="n">
        <v>1197831</v>
      </c>
      <c r="D2706" s="10" t="n">
        <v>44428</v>
      </c>
      <c r="E2706" s="9" t="s">
        <v>29</v>
      </c>
      <c r="F2706" s="9" t="s">
        <v>104</v>
      </c>
      <c r="G2706" s="9" t="s">
        <v>105</v>
      </c>
      <c r="H2706" s="11" t="s">
        <v>23</v>
      </c>
      <c r="I2706" s="12" t="n">
        <v>40</v>
      </c>
      <c r="J2706" s="13" t="n">
        <v>400</v>
      </c>
      <c r="K2706" s="14" t="n">
        <f aca="false">I2706*J2706</f>
        <v>16000</v>
      </c>
      <c r="L2706" s="14" t="n">
        <f aca="false">($L$2*M2706)/100</f>
        <v>480666.6</v>
      </c>
      <c r="M2706" s="15" t="n">
        <v>0.4</v>
      </c>
      <c r="N2706" s="9" t="s">
        <v>85</v>
      </c>
    </row>
    <row r="2707" customFormat="false" ht="14.25" hidden="false" customHeight="true" outlineLevel="0" collapsed="false">
      <c r="B2707" s="9" t="s">
        <v>27</v>
      </c>
      <c r="C2707" s="9" t="n">
        <v>1197831</v>
      </c>
      <c r="D2707" s="10" t="n">
        <v>44428</v>
      </c>
      <c r="E2707" s="9" t="s">
        <v>29</v>
      </c>
      <c r="F2707" s="9" t="s">
        <v>104</v>
      </c>
      <c r="G2707" s="9" t="s">
        <v>105</v>
      </c>
      <c r="H2707" s="11" t="s">
        <v>24</v>
      </c>
      <c r="I2707" s="12" t="n">
        <v>50</v>
      </c>
      <c r="J2707" s="13" t="n">
        <v>375</v>
      </c>
      <c r="K2707" s="14" t="n">
        <f aca="false">I2707*J2707</f>
        <v>18750</v>
      </c>
      <c r="L2707" s="14" t="n">
        <f aca="false">($L$2*M2707)/100</f>
        <v>420583.275</v>
      </c>
      <c r="M2707" s="15" t="n">
        <v>0.35</v>
      </c>
      <c r="N2707" s="9" t="s">
        <v>85</v>
      </c>
    </row>
    <row r="2708" customFormat="false" ht="14.25" hidden="false" customHeight="true" outlineLevel="0" collapsed="false">
      <c r="B2708" s="9" t="s">
        <v>27</v>
      </c>
      <c r="C2708" s="9" t="n">
        <v>1197831</v>
      </c>
      <c r="D2708" s="10" t="n">
        <v>44428</v>
      </c>
      <c r="E2708" s="9" t="s">
        <v>29</v>
      </c>
      <c r="F2708" s="9" t="s">
        <v>104</v>
      </c>
      <c r="G2708" s="9" t="s">
        <v>105</v>
      </c>
      <c r="H2708" s="11" t="s">
        <v>25</v>
      </c>
      <c r="I2708" s="12" t="n">
        <v>55</v>
      </c>
      <c r="J2708" s="13" t="n">
        <v>550</v>
      </c>
      <c r="K2708" s="14" t="n">
        <f aca="false">I2708*J2708</f>
        <v>30250</v>
      </c>
      <c r="L2708" s="14" t="n">
        <f aca="false">($L$2*M2708)/100</f>
        <v>480666.6</v>
      </c>
      <c r="M2708" s="15" t="n">
        <v>0.4</v>
      </c>
      <c r="N2708" s="9" t="s">
        <v>85</v>
      </c>
    </row>
    <row r="2709" customFormat="false" ht="14.25" hidden="false" customHeight="true" outlineLevel="0" collapsed="false">
      <c r="B2709" s="9" t="s">
        <v>27</v>
      </c>
      <c r="C2709" s="9" t="n">
        <v>1197831</v>
      </c>
      <c r="D2709" s="10" t="n">
        <v>44458</v>
      </c>
      <c r="E2709" s="9" t="s">
        <v>29</v>
      </c>
      <c r="F2709" s="9" t="s">
        <v>104</v>
      </c>
      <c r="G2709" s="9" t="s">
        <v>105</v>
      </c>
      <c r="H2709" s="11" t="s">
        <v>19</v>
      </c>
      <c r="I2709" s="12" t="n">
        <v>50</v>
      </c>
      <c r="J2709" s="13" t="n">
        <v>650</v>
      </c>
      <c r="K2709" s="14" t="n">
        <f aca="false">I2709*J2709</f>
        <v>32500</v>
      </c>
      <c r="L2709" s="14" t="n">
        <f aca="false">($L$2*M2709)/100</f>
        <v>480666.6</v>
      </c>
      <c r="M2709" s="15" t="n">
        <v>0.4</v>
      </c>
      <c r="N2709" s="9" t="s">
        <v>85</v>
      </c>
    </row>
    <row r="2710" customFormat="false" ht="14.25" hidden="false" customHeight="true" outlineLevel="0" collapsed="false">
      <c r="B2710" s="9" t="s">
        <v>27</v>
      </c>
      <c r="C2710" s="9" t="n">
        <v>1197831</v>
      </c>
      <c r="D2710" s="10" t="n">
        <v>44458</v>
      </c>
      <c r="E2710" s="9" t="s">
        <v>29</v>
      </c>
      <c r="F2710" s="9" t="s">
        <v>104</v>
      </c>
      <c r="G2710" s="9" t="s">
        <v>105</v>
      </c>
      <c r="H2710" s="11" t="s">
        <v>21</v>
      </c>
      <c r="I2710" s="12" t="n">
        <v>40</v>
      </c>
      <c r="J2710" s="13" t="n">
        <v>450</v>
      </c>
      <c r="K2710" s="14" t="n">
        <f aca="false">I2710*J2710</f>
        <v>18000</v>
      </c>
      <c r="L2710" s="14" t="n">
        <f aca="false">($L$2*M2710)/100</f>
        <v>420583.275</v>
      </c>
      <c r="M2710" s="15" t="n">
        <v>0.35</v>
      </c>
      <c r="N2710" s="9" t="s">
        <v>85</v>
      </c>
    </row>
    <row r="2711" customFormat="false" ht="14.25" hidden="false" customHeight="true" outlineLevel="0" collapsed="false">
      <c r="B2711" s="9" t="s">
        <v>27</v>
      </c>
      <c r="C2711" s="9" t="n">
        <v>1197831</v>
      </c>
      <c r="D2711" s="10" t="n">
        <v>44458</v>
      </c>
      <c r="E2711" s="9" t="s">
        <v>29</v>
      </c>
      <c r="F2711" s="9" t="s">
        <v>104</v>
      </c>
      <c r="G2711" s="9" t="s">
        <v>105</v>
      </c>
      <c r="H2711" s="11" t="s">
        <v>22</v>
      </c>
      <c r="I2711" s="12" t="n">
        <v>15</v>
      </c>
      <c r="J2711" s="13" t="n">
        <v>350</v>
      </c>
      <c r="K2711" s="14" t="n">
        <f aca="false">I2711*J2711</f>
        <v>5250</v>
      </c>
      <c r="L2711" s="14" t="n">
        <f aca="false">($L$2*M2711)/100</f>
        <v>480666.6</v>
      </c>
      <c r="M2711" s="15" t="n">
        <v>0.4</v>
      </c>
      <c r="N2711" s="9" t="s">
        <v>85</v>
      </c>
    </row>
    <row r="2712" customFormat="false" ht="14.25" hidden="false" customHeight="true" outlineLevel="0" collapsed="false">
      <c r="B2712" s="9" t="s">
        <v>27</v>
      </c>
      <c r="C2712" s="9" t="n">
        <v>1197831</v>
      </c>
      <c r="D2712" s="10" t="n">
        <v>44458</v>
      </c>
      <c r="E2712" s="9" t="s">
        <v>29</v>
      </c>
      <c r="F2712" s="9" t="s">
        <v>104</v>
      </c>
      <c r="G2712" s="9" t="s">
        <v>105</v>
      </c>
      <c r="H2712" s="11" t="s">
        <v>23</v>
      </c>
      <c r="I2712" s="12" t="n">
        <v>15</v>
      </c>
      <c r="J2712" s="13" t="n">
        <v>325</v>
      </c>
      <c r="K2712" s="14" t="n">
        <f aca="false">I2712*J2712</f>
        <v>4875</v>
      </c>
      <c r="L2712" s="14" t="n">
        <f aca="false">($L$2*M2712)/100</f>
        <v>480666.6</v>
      </c>
      <c r="M2712" s="15" t="n">
        <v>0.4</v>
      </c>
      <c r="N2712" s="9" t="s">
        <v>85</v>
      </c>
    </row>
    <row r="2713" customFormat="false" ht="14.25" hidden="false" customHeight="true" outlineLevel="0" collapsed="false">
      <c r="B2713" s="9" t="s">
        <v>27</v>
      </c>
      <c r="C2713" s="9" t="n">
        <v>1197831</v>
      </c>
      <c r="D2713" s="10" t="n">
        <v>44458</v>
      </c>
      <c r="E2713" s="9" t="s">
        <v>29</v>
      </c>
      <c r="F2713" s="9" t="s">
        <v>104</v>
      </c>
      <c r="G2713" s="9" t="s">
        <v>105</v>
      </c>
      <c r="H2713" s="11" t="s">
        <v>24</v>
      </c>
      <c r="I2713" s="12" t="n">
        <v>25</v>
      </c>
      <c r="J2713" s="13" t="n">
        <v>325</v>
      </c>
      <c r="K2713" s="14" t="n">
        <f aca="false">I2713*J2713</f>
        <v>8125</v>
      </c>
      <c r="L2713" s="14" t="n">
        <f aca="false">($L$2*M2713)/100</f>
        <v>420583.275</v>
      </c>
      <c r="M2713" s="15" t="n">
        <v>0.35</v>
      </c>
      <c r="N2713" s="9" t="s">
        <v>85</v>
      </c>
    </row>
    <row r="2714" customFormat="false" ht="14.25" hidden="false" customHeight="true" outlineLevel="0" collapsed="false">
      <c r="B2714" s="9" t="s">
        <v>27</v>
      </c>
      <c r="C2714" s="9" t="n">
        <v>1197831</v>
      </c>
      <c r="D2714" s="10" t="n">
        <v>44458</v>
      </c>
      <c r="E2714" s="9" t="s">
        <v>29</v>
      </c>
      <c r="F2714" s="9" t="s">
        <v>104</v>
      </c>
      <c r="G2714" s="9" t="s">
        <v>105</v>
      </c>
      <c r="H2714" s="11" t="s">
        <v>25</v>
      </c>
      <c r="I2714" s="12" t="n">
        <v>30</v>
      </c>
      <c r="J2714" s="13" t="n">
        <v>425</v>
      </c>
      <c r="K2714" s="14" t="n">
        <f aca="false">I2714*J2714</f>
        <v>12750</v>
      </c>
      <c r="L2714" s="14" t="n">
        <f aca="false">($L$2*M2714)/100</f>
        <v>480666.6</v>
      </c>
      <c r="M2714" s="15" t="n">
        <v>0.4</v>
      </c>
      <c r="N2714" s="9" t="s">
        <v>85</v>
      </c>
    </row>
    <row r="2715" customFormat="false" ht="14.25" hidden="false" customHeight="true" outlineLevel="0" collapsed="false">
      <c r="B2715" s="9" t="s">
        <v>27</v>
      </c>
      <c r="C2715" s="9" t="n">
        <v>1197831</v>
      </c>
      <c r="D2715" s="10" t="n">
        <v>44490</v>
      </c>
      <c r="E2715" s="9" t="s">
        <v>29</v>
      </c>
      <c r="F2715" s="9" t="s">
        <v>104</v>
      </c>
      <c r="G2715" s="9" t="s">
        <v>105</v>
      </c>
      <c r="H2715" s="11" t="s">
        <v>19</v>
      </c>
      <c r="I2715" s="12" t="n">
        <v>30</v>
      </c>
      <c r="J2715" s="13" t="n">
        <v>600</v>
      </c>
      <c r="K2715" s="14" t="n">
        <f aca="false">I2715*J2715</f>
        <v>18000</v>
      </c>
      <c r="L2715" s="14" t="n">
        <f aca="false">($L$2*M2715)/100</f>
        <v>480666.6</v>
      </c>
      <c r="M2715" s="15" t="n">
        <v>0.4</v>
      </c>
      <c r="N2715" s="9" t="s">
        <v>85</v>
      </c>
    </row>
    <row r="2716" customFormat="false" ht="14.25" hidden="false" customHeight="true" outlineLevel="0" collapsed="false">
      <c r="B2716" s="9" t="s">
        <v>27</v>
      </c>
      <c r="C2716" s="9" t="n">
        <v>1197831</v>
      </c>
      <c r="D2716" s="10" t="n">
        <v>44490</v>
      </c>
      <c r="E2716" s="9" t="s">
        <v>29</v>
      </c>
      <c r="F2716" s="9" t="s">
        <v>104</v>
      </c>
      <c r="G2716" s="9" t="s">
        <v>105</v>
      </c>
      <c r="H2716" s="11" t="s">
        <v>21</v>
      </c>
      <c r="I2716" s="12" t="n">
        <v>20</v>
      </c>
      <c r="J2716" s="13" t="n">
        <v>425</v>
      </c>
      <c r="K2716" s="14" t="n">
        <f aca="false">I2716*J2716</f>
        <v>8500</v>
      </c>
      <c r="L2716" s="14" t="n">
        <f aca="false">($L$2*M2716)/100</f>
        <v>420583.275</v>
      </c>
      <c r="M2716" s="15" t="n">
        <v>0.35</v>
      </c>
      <c r="N2716" s="9" t="s">
        <v>85</v>
      </c>
    </row>
    <row r="2717" customFormat="false" ht="14.25" hidden="false" customHeight="true" outlineLevel="0" collapsed="false">
      <c r="B2717" s="9" t="s">
        <v>27</v>
      </c>
      <c r="C2717" s="9" t="n">
        <v>1197831</v>
      </c>
      <c r="D2717" s="10" t="n">
        <v>44490</v>
      </c>
      <c r="E2717" s="9" t="s">
        <v>29</v>
      </c>
      <c r="F2717" s="9" t="s">
        <v>104</v>
      </c>
      <c r="G2717" s="9" t="s">
        <v>105</v>
      </c>
      <c r="H2717" s="11" t="s">
        <v>22</v>
      </c>
      <c r="I2717" s="12" t="n">
        <v>20</v>
      </c>
      <c r="J2717" s="13" t="n">
        <v>300</v>
      </c>
      <c r="K2717" s="14" t="n">
        <f aca="false">I2717*J2717</f>
        <v>6000</v>
      </c>
      <c r="L2717" s="14" t="n">
        <f aca="false">($L$2*M2717)/100</f>
        <v>480666.6</v>
      </c>
      <c r="M2717" s="15" t="n">
        <v>0.4</v>
      </c>
      <c r="N2717" s="9" t="s">
        <v>85</v>
      </c>
    </row>
    <row r="2718" customFormat="false" ht="14.25" hidden="false" customHeight="true" outlineLevel="0" collapsed="false">
      <c r="B2718" s="9" t="s">
        <v>27</v>
      </c>
      <c r="C2718" s="9" t="n">
        <v>1197831</v>
      </c>
      <c r="D2718" s="10" t="n">
        <v>44490</v>
      </c>
      <c r="E2718" s="9" t="s">
        <v>29</v>
      </c>
      <c r="F2718" s="9" t="s">
        <v>104</v>
      </c>
      <c r="G2718" s="9" t="s">
        <v>105</v>
      </c>
      <c r="H2718" s="11" t="s">
        <v>23</v>
      </c>
      <c r="I2718" s="12" t="n">
        <v>20</v>
      </c>
      <c r="J2718" s="13" t="n">
        <v>275</v>
      </c>
      <c r="K2718" s="14" t="n">
        <f aca="false">I2718*J2718</f>
        <v>5500</v>
      </c>
      <c r="L2718" s="14" t="n">
        <f aca="false">($L$2*M2718)/100</f>
        <v>480666.6</v>
      </c>
      <c r="M2718" s="15" t="n">
        <v>0.4</v>
      </c>
      <c r="N2718" s="9" t="s">
        <v>85</v>
      </c>
    </row>
    <row r="2719" customFormat="false" ht="14.25" hidden="false" customHeight="true" outlineLevel="0" collapsed="false">
      <c r="B2719" s="9" t="s">
        <v>27</v>
      </c>
      <c r="C2719" s="9" t="n">
        <v>1197831</v>
      </c>
      <c r="D2719" s="10" t="n">
        <v>44490</v>
      </c>
      <c r="E2719" s="9" t="s">
        <v>29</v>
      </c>
      <c r="F2719" s="9" t="s">
        <v>104</v>
      </c>
      <c r="G2719" s="9" t="s">
        <v>105</v>
      </c>
      <c r="H2719" s="11" t="s">
        <v>24</v>
      </c>
      <c r="I2719" s="12" t="n">
        <v>30</v>
      </c>
      <c r="J2719" s="13" t="n">
        <v>275</v>
      </c>
      <c r="K2719" s="14" t="n">
        <f aca="false">I2719*J2719</f>
        <v>8250</v>
      </c>
      <c r="L2719" s="14" t="n">
        <f aca="false">($L$2*M2719)/100</f>
        <v>420583.275</v>
      </c>
      <c r="M2719" s="15" t="n">
        <v>0.35</v>
      </c>
      <c r="N2719" s="9" t="s">
        <v>85</v>
      </c>
    </row>
    <row r="2720" customFormat="false" ht="14.25" hidden="false" customHeight="true" outlineLevel="0" collapsed="false">
      <c r="B2720" s="9" t="s">
        <v>32</v>
      </c>
      <c r="C2720" s="9" t="n">
        <v>1197831</v>
      </c>
      <c r="D2720" s="10" t="n">
        <v>44490</v>
      </c>
      <c r="E2720" s="9" t="s">
        <v>29</v>
      </c>
      <c r="F2720" s="9" t="s">
        <v>104</v>
      </c>
      <c r="G2720" s="9" t="s">
        <v>105</v>
      </c>
      <c r="H2720" s="11" t="s">
        <v>25</v>
      </c>
      <c r="I2720" s="12" t="n">
        <v>30</v>
      </c>
      <c r="J2720" s="13" t="n">
        <v>400</v>
      </c>
      <c r="K2720" s="14" t="n">
        <f aca="false">I2720*J2720</f>
        <v>12000</v>
      </c>
      <c r="L2720" s="14" t="n">
        <f aca="false">($L$2*M2720)/100</f>
        <v>480666.6</v>
      </c>
      <c r="M2720" s="15" t="n">
        <v>0.4</v>
      </c>
      <c r="N2720" s="9" t="s">
        <v>85</v>
      </c>
    </row>
    <row r="2721" customFormat="false" ht="14.25" hidden="false" customHeight="true" outlineLevel="0" collapsed="false">
      <c r="B2721" s="9" t="s">
        <v>32</v>
      </c>
      <c r="C2721" s="9" t="n">
        <v>1197831</v>
      </c>
      <c r="D2721" s="10" t="n">
        <v>44520</v>
      </c>
      <c r="E2721" s="9" t="s">
        <v>29</v>
      </c>
      <c r="F2721" s="9" t="s">
        <v>104</v>
      </c>
      <c r="G2721" s="9" t="s">
        <v>105</v>
      </c>
      <c r="H2721" s="11" t="s">
        <v>19</v>
      </c>
      <c r="I2721" s="12" t="n">
        <v>25</v>
      </c>
      <c r="J2721" s="13" t="n">
        <v>550</v>
      </c>
      <c r="K2721" s="14" t="n">
        <f aca="false">I2721*J2721</f>
        <v>13750</v>
      </c>
      <c r="L2721" s="14" t="n">
        <f aca="false">($L$2*M2721)/100</f>
        <v>480666.6</v>
      </c>
      <c r="M2721" s="15" t="n">
        <v>0.4</v>
      </c>
      <c r="N2721" s="9" t="s">
        <v>85</v>
      </c>
    </row>
    <row r="2722" customFormat="false" ht="14.25" hidden="false" customHeight="true" outlineLevel="0" collapsed="false">
      <c r="B2722" s="9" t="s">
        <v>32</v>
      </c>
      <c r="C2722" s="9" t="n">
        <v>1197831</v>
      </c>
      <c r="D2722" s="10" t="n">
        <v>44520</v>
      </c>
      <c r="E2722" s="9" t="s">
        <v>29</v>
      </c>
      <c r="F2722" s="9" t="s">
        <v>104</v>
      </c>
      <c r="G2722" s="9" t="s">
        <v>105</v>
      </c>
      <c r="H2722" s="11" t="s">
        <v>21</v>
      </c>
      <c r="I2722" s="12" t="n">
        <v>15</v>
      </c>
      <c r="J2722" s="13" t="n">
        <v>375</v>
      </c>
      <c r="K2722" s="14" t="n">
        <f aca="false">I2722*J2722</f>
        <v>5625</v>
      </c>
      <c r="L2722" s="14" t="n">
        <f aca="false">($L$2*M2722)/100</f>
        <v>420583.275</v>
      </c>
      <c r="M2722" s="15" t="n">
        <v>0.35</v>
      </c>
      <c r="N2722" s="9" t="s">
        <v>85</v>
      </c>
    </row>
    <row r="2723" customFormat="false" ht="14.25" hidden="false" customHeight="true" outlineLevel="0" collapsed="false">
      <c r="B2723" s="9" t="s">
        <v>32</v>
      </c>
      <c r="C2723" s="9" t="n">
        <v>1197831</v>
      </c>
      <c r="D2723" s="10" t="n">
        <v>44520</v>
      </c>
      <c r="E2723" s="9" t="s">
        <v>29</v>
      </c>
      <c r="F2723" s="9" t="s">
        <v>104</v>
      </c>
      <c r="G2723" s="9" t="s">
        <v>105</v>
      </c>
      <c r="H2723" s="11" t="s">
        <v>22</v>
      </c>
      <c r="I2723" s="12" t="n">
        <v>25</v>
      </c>
      <c r="J2723" s="13" t="n">
        <v>320</v>
      </c>
      <c r="K2723" s="14" t="n">
        <f aca="false">I2723*J2723</f>
        <v>8000</v>
      </c>
      <c r="L2723" s="14" t="n">
        <f aca="false">($L$2*M2723)/100</f>
        <v>480666.6</v>
      </c>
      <c r="M2723" s="15" t="n">
        <v>0.4</v>
      </c>
      <c r="N2723" s="9" t="s">
        <v>85</v>
      </c>
    </row>
    <row r="2724" customFormat="false" ht="14.25" hidden="false" customHeight="true" outlineLevel="0" collapsed="false">
      <c r="B2724" s="9" t="s">
        <v>32</v>
      </c>
      <c r="C2724" s="9" t="n">
        <v>1197831</v>
      </c>
      <c r="D2724" s="10" t="n">
        <v>44520</v>
      </c>
      <c r="E2724" s="9" t="s">
        <v>29</v>
      </c>
      <c r="F2724" s="9" t="s">
        <v>104</v>
      </c>
      <c r="G2724" s="9" t="s">
        <v>105</v>
      </c>
      <c r="H2724" s="11" t="s">
        <v>23</v>
      </c>
      <c r="I2724" s="12" t="n">
        <v>55</v>
      </c>
      <c r="J2724" s="13" t="n">
        <v>375</v>
      </c>
      <c r="K2724" s="14" t="n">
        <f aca="false">I2724*J2724</f>
        <v>20625</v>
      </c>
      <c r="L2724" s="14" t="n">
        <f aca="false">($L$2*M2724)/100</f>
        <v>480666.6</v>
      </c>
      <c r="M2724" s="15" t="n">
        <v>0.4</v>
      </c>
      <c r="N2724" s="9" t="s">
        <v>85</v>
      </c>
    </row>
    <row r="2725" customFormat="false" ht="14.25" hidden="false" customHeight="true" outlineLevel="0" collapsed="false">
      <c r="B2725" s="9" t="s">
        <v>32</v>
      </c>
      <c r="C2725" s="9" t="n">
        <v>1197831</v>
      </c>
      <c r="D2725" s="10" t="n">
        <v>44520</v>
      </c>
      <c r="E2725" s="9" t="s">
        <v>29</v>
      </c>
      <c r="F2725" s="9" t="s">
        <v>104</v>
      </c>
      <c r="G2725" s="9" t="s">
        <v>105</v>
      </c>
      <c r="H2725" s="11" t="s">
        <v>24</v>
      </c>
      <c r="I2725" s="12" t="n">
        <v>75</v>
      </c>
      <c r="J2725" s="13" t="n">
        <v>350</v>
      </c>
      <c r="K2725" s="14" t="n">
        <f aca="false">I2725*J2725</f>
        <v>26250</v>
      </c>
      <c r="L2725" s="14" t="n">
        <f aca="false">($L$2*M2725)/100</f>
        <v>420583.275</v>
      </c>
      <c r="M2725" s="15" t="n">
        <v>0.35</v>
      </c>
      <c r="N2725" s="9" t="s">
        <v>85</v>
      </c>
    </row>
    <row r="2726" customFormat="false" ht="14.25" hidden="false" customHeight="true" outlineLevel="0" collapsed="false">
      <c r="B2726" s="9" t="s">
        <v>32</v>
      </c>
      <c r="C2726" s="9" t="n">
        <v>1197831</v>
      </c>
      <c r="D2726" s="10" t="n">
        <v>44520</v>
      </c>
      <c r="E2726" s="9" t="s">
        <v>29</v>
      </c>
      <c r="F2726" s="9" t="s">
        <v>104</v>
      </c>
      <c r="G2726" s="9" t="s">
        <v>105</v>
      </c>
      <c r="H2726" s="11" t="s">
        <v>25</v>
      </c>
      <c r="I2726" s="12" t="n">
        <v>75</v>
      </c>
      <c r="J2726" s="13" t="n">
        <v>450</v>
      </c>
      <c r="K2726" s="14" t="n">
        <f aca="false">I2726*J2726</f>
        <v>33750</v>
      </c>
      <c r="L2726" s="14" t="n">
        <f aca="false">($L$2*M2726)/100</f>
        <v>480666.6</v>
      </c>
      <c r="M2726" s="15" t="n">
        <v>0.4</v>
      </c>
      <c r="N2726" s="9" t="s">
        <v>85</v>
      </c>
    </row>
    <row r="2727" customFormat="false" ht="14.25" hidden="false" customHeight="true" outlineLevel="0" collapsed="false">
      <c r="B2727" s="9" t="s">
        <v>32</v>
      </c>
      <c r="C2727" s="9" t="n">
        <v>1197831</v>
      </c>
      <c r="D2727" s="10" t="n">
        <v>44549</v>
      </c>
      <c r="E2727" s="9" t="s">
        <v>29</v>
      </c>
      <c r="F2727" s="9" t="s">
        <v>104</v>
      </c>
      <c r="G2727" s="9" t="s">
        <v>105</v>
      </c>
      <c r="H2727" s="11" t="s">
        <v>19</v>
      </c>
      <c r="I2727" s="12" t="n">
        <v>70</v>
      </c>
      <c r="J2727" s="13" t="n">
        <v>700</v>
      </c>
      <c r="K2727" s="14" t="n">
        <f aca="false">I2727*J2727</f>
        <v>49000</v>
      </c>
      <c r="L2727" s="14" t="n">
        <f aca="false">($L$2*M2727)/100</f>
        <v>480666.6</v>
      </c>
      <c r="M2727" s="15" t="n">
        <v>0.4</v>
      </c>
      <c r="N2727" s="9" t="s">
        <v>85</v>
      </c>
    </row>
    <row r="2728" customFormat="false" ht="14.25" hidden="false" customHeight="true" outlineLevel="0" collapsed="false">
      <c r="B2728" s="9" t="s">
        <v>32</v>
      </c>
      <c r="C2728" s="9" t="n">
        <v>1197831</v>
      </c>
      <c r="D2728" s="10" t="n">
        <v>44549</v>
      </c>
      <c r="E2728" s="9" t="s">
        <v>29</v>
      </c>
      <c r="F2728" s="9" t="s">
        <v>104</v>
      </c>
      <c r="G2728" s="9" t="s">
        <v>105</v>
      </c>
      <c r="H2728" s="11" t="s">
        <v>21</v>
      </c>
      <c r="I2728" s="12" t="n">
        <v>60</v>
      </c>
      <c r="J2728" s="13" t="n">
        <v>500</v>
      </c>
      <c r="K2728" s="14" t="n">
        <f aca="false">I2728*J2728</f>
        <v>30000</v>
      </c>
      <c r="L2728" s="14" t="n">
        <f aca="false">($L$2*M2728)/100</f>
        <v>420583.275</v>
      </c>
      <c r="M2728" s="15" t="n">
        <v>0.35</v>
      </c>
      <c r="N2728" s="9" t="s">
        <v>85</v>
      </c>
    </row>
    <row r="2729" customFormat="false" ht="14.25" hidden="false" customHeight="true" outlineLevel="0" collapsed="false">
      <c r="B2729" s="9" t="s">
        <v>32</v>
      </c>
      <c r="C2729" s="9" t="n">
        <v>1197831</v>
      </c>
      <c r="D2729" s="10" t="n">
        <v>44549</v>
      </c>
      <c r="E2729" s="9" t="s">
        <v>29</v>
      </c>
      <c r="F2729" s="9" t="s">
        <v>104</v>
      </c>
      <c r="G2729" s="9" t="s">
        <v>105</v>
      </c>
      <c r="H2729" s="11" t="s">
        <v>22</v>
      </c>
      <c r="I2729" s="12" t="n">
        <v>60</v>
      </c>
      <c r="J2729" s="13" t="n">
        <v>450</v>
      </c>
      <c r="K2729" s="14" t="n">
        <f aca="false">I2729*J2729</f>
        <v>27000</v>
      </c>
      <c r="L2729" s="14" t="n">
        <f aca="false">($L$2*M2729)/100</f>
        <v>480666.6</v>
      </c>
      <c r="M2729" s="15" t="n">
        <v>0.4</v>
      </c>
      <c r="N2729" s="9" t="s">
        <v>85</v>
      </c>
    </row>
    <row r="2730" customFormat="false" ht="14.25" hidden="false" customHeight="true" outlineLevel="0" collapsed="false">
      <c r="B2730" s="9" t="s">
        <v>32</v>
      </c>
      <c r="C2730" s="9" t="n">
        <v>1197831</v>
      </c>
      <c r="D2730" s="10" t="n">
        <v>44549</v>
      </c>
      <c r="E2730" s="9" t="s">
        <v>29</v>
      </c>
      <c r="F2730" s="9" t="s">
        <v>104</v>
      </c>
      <c r="G2730" s="9" t="s">
        <v>105</v>
      </c>
      <c r="H2730" s="11" t="s">
        <v>23</v>
      </c>
      <c r="I2730" s="12" t="n">
        <v>60</v>
      </c>
      <c r="J2730" s="13" t="n">
        <v>400</v>
      </c>
      <c r="K2730" s="14" t="n">
        <f aca="false">I2730*J2730</f>
        <v>24000</v>
      </c>
      <c r="L2730" s="14" t="n">
        <f aca="false">($L$2*M2730)/100</f>
        <v>480666.6</v>
      </c>
      <c r="M2730" s="15" t="n">
        <v>0.4</v>
      </c>
      <c r="N2730" s="9" t="s">
        <v>85</v>
      </c>
    </row>
    <row r="2731" customFormat="false" ht="14.25" hidden="false" customHeight="true" outlineLevel="0" collapsed="false">
      <c r="B2731" s="9" t="s">
        <v>32</v>
      </c>
      <c r="C2731" s="9" t="n">
        <v>1197831</v>
      </c>
      <c r="D2731" s="10" t="n">
        <v>44549</v>
      </c>
      <c r="E2731" s="9" t="s">
        <v>29</v>
      </c>
      <c r="F2731" s="9" t="s">
        <v>104</v>
      </c>
      <c r="G2731" s="9" t="s">
        <v>105</v>
      </c>
      <c r="H2731" s="11" t="s">
        <v>24</v>
      </c>
      <c r="I2731" s="12" t="n">
        <v>70</v>
      </c>
      <c r="J2731" s="13" t="n">
        <v>400</v>
      </c>
      <c r="K2731" s="14" t="n">
        <f aca="false">I2731*J2731</f>
        <v>28000</v>
      </c>
      <c r="L2731" s="14" t="n">
        <f aca="false">($L$2*M2731)/100</f>
        <v>420583.275</v>
      </c>
      <c r="M2731" s="15" t="n">
        <v>0.35</v>
      </c>
      <c r="N2731" s="9" t="s">
        <v>85</v>
      </c>
    </row>
    <row r="2732" customFormat="false" ht="14.25" hidden="false" customHeight="true" outlineLevel="0" collapsed="false">
      <c r="B2732" s="9" t="s">
        <v>32</v>
      </c>
      <c r="C2732" s="9" t="n">
        <v>1197831</v>
      </c>
      <c r="D2732" s="10" t="n">
        <v>44549</v>
      </c>
      <c r="E2732" s="9" t="s">
        <v>29</v>
      </c>
      <c r="F2732" s="9" t="s">
        <v>104</v>
      </c>
      <c r="G2732" s="9" t="s">
        <v>105</v>
      </c>
      <c r="H2732" s="11" t="s">
        <v>25</v>
      </c>
      <c r="I2732" s="12" t="n">
        <v>75</v>
      </c>
      <c r="J2732" s="13" t="n">
        <v>500</v>
      </c>
      <c r="K2732" s="14" t="n">
        <f aca="false">I2732*J2732</f>
        <v>37500</v>
      </c>
      <c r="L2732" s="14" t="n">
        <f aca="false">($L$2*M2732)/100</f>
        <v>480666.6</v>
      </c>
      <c r="M2732" s="15" t="n">
        <v>0.4</v>
      </c>
      <c r="N2732" s="9" t="s">
        <v>85</v>
      </c>
    </row>
    <row r="2733" customFormat="false" ht="14.25" hidden="false" customHeight="true" outlineLevel="0" collapsed="false">
      <c r="B2733" s="9" t="s">
        <v>32</v>
      </c>
      <c r="C2733" s="9" t="n">
        <v>1197831</v>
      </c>
      <c r="D2733" s="10" t="n">
        <v>44219</v>
      </c>
      <c r="E2733" s="9" t="s">
        <v>29</v>
      </c>
      <c r="F2733" s="9" t="s">
        <v>104</v>
      </c>
      <c r="G2733" s="9" t="s">
        <v>105</v>
      </c>
      <c r="H2733" s="11" t="s">
        <v>19</v>
      </c>
      <c r="I2733" s="12" t="n">
        <v>25</v>
      </c>
      <c r="J2733" s="13" t="n">
        <v>575</v>
      </c>
      <c r="K2733" s="14" t="n">
        <f aca="false">I2733*J2733</f>
        <v>14375</v>
      </c>
      <c r="L2733" s="14" t="n">
        <f aca="false">($L$2*M2733)/100</f>
        <v>480666.6</v>
      </c>
      <c r="M2733" s="15" t="n">
        <v>0.4</v>
      </c>
      <c r="N2733" s="9" t="s">
        <v>85</v>
      </c>
    </row>
    <row r="2734" customFormat="false" ht="14.25" hidden="false" customHeight="true" outlineLevel="0" collapsed="false">
      <c r="B2734" s="9" t="s">
        <v>32</v>
      </c>
      <c r="C2734" s="9" t="n">
        <v>1197831</v>
      </c>
      <c r="D2734" s="10" t="n">
        <v>44219</v>
      </c>
      <c r="E2734" s="9" t="s">
        <v>29</v>
      </c>
      <c r="F2734" s="9" t="s">
        <v>104</v>
      </c>
      <c r="G2734" s="9" t="s">
        <v>105</v>
      </c>
      <c r="H2734" s="11" t="s">
        <v>21</v>
      </c>
      <c r="I2734" s="12" t="n">
        <v>25</v>
      </c>
      <c r="J2734" s="13" t="n">
        <v>375</v>
      </c>
      <c r="K2734" s="14" t="n">
        <f aca="false">I2734*J2734</f>
        <v>9375</v>
      </c>
      <c r="L2734" s="14" t="n">
        <f aca="false">($L$2*M2734)/100</f>
        <v>420583.275</v>
      </c>
      <c r="M2734" s="15" t="n">
        <v>0.35</v>
      </c>
      <c r="N2734" s="9" t="s">
        <v>85</v>
      </c>
    </row>
    <row r="2735" customFormat="false" ht="14.25" hidden="false" customHeight="true" outlineLevel="0" collapsed="false">
      <c r="B2735" s="9" t="s">
        <v>32</v>
      </c>
      <c r="C2735" s="9" t="n">
        <v>1197831</v>
      </c>
      <c r="D2735" s="10" t="n">
        <v>44219</v>
      </c>
      <c r="E2735" s="9" t="s">
        <v>29</v>
      </c>
      <c r="F2735" s="9" t="s">
        <v>104</v>
      </c>
      <c r="G2735" s="9" t="s">
        <v>105</v>
      </c>
      <c r="H2735" s="11" t="s">
        <v>22</v>
      </c>
      <c r="I2735" s="12" t="n">
        <v>15</v>
      </c>
      <c r="J2735" s="13" t="n">
        <v>375</v>
      </c>
      <c r="K2735" s="14" t="n">
        <f aca="false">I2735*J2735</f>
        <v>5625</v>
      </c>
      <c r="L2735" s="14" t="n">
        <f aca="false">($L$2*M2735)/100</f>
        <v>480666.6</v>
      </c>
      <c r="M2735" s="15" t="n">
        <v>0.4</v>
      </c>
      <c r="N2735" s="9" t="s">
        <v>85</v>
      </c>
    </row>
    <row r="2736" customFormat="false" ht="14.25" hidden="false" customHeight="true" outlineLevel="0" collapsed="false">
      <c r="B2736" s="9" t="s">
        <v>32</v>
      </c>
      <c r="C2736" s="9" t="n">
        <v>1197831</v>
      </c>
      <c r="D2736" s="10" t="n">
        <v>44219</v>
      </c>
      <c r="E2736" s="9" t="s">
        <v>29</v>
      </c>
      <c r="F2736" s="9" t="s">
        <v>104</v>
      </c>
      <c r="G2736" s="9" t="s">
        <v>105</v>
      </c>
      <c r="H2736" s="11" t="s">
        <v>23</v>
      </c>
      <c r="I2736" s="12" t="n">
        <v>20</v>
      </c>
      <c r="J2736" s="13" t="n">
        <v>225</v>
      </c>
      <c r="K2736" s="14" t="n">
        <f aca="false">I2736*J2736</f>
        <v>4500</v>
      </c>
      <c r="L2736" s="14" t="n">
        <f aca="false">($L$2*M2736)/100</f>
        <v>480666.6</v>
      </c>
      <c r="M2736" s="15" t="n">
        <v>0.4</v>
      </c>
      <c r="N2736" s="9" t="s">
        <v>85</v>
      </c>
    </row>
    <row r="2737" customFormat="false" ht="14.25" hidden="false" customHeight="true" outlineLevel="0" collapsed="false">
      <c r="B2737" s="9" t="s">
        <v>32</v>
      </c>
      <c r="C2737" s="9" t="n">
        <v>1197831</v>
      </c>
      <c r="D2737" s="10" t="n">
        <v>44219</v>
      </c>
      <c r="E2737" s="9" t="s">
        <v>29</v>
      </c>
      <c r="F2737" s="9" t="s">
        <v>104</v>
      </c>
      <c r="G2737" s="9" t="s">
        <v>105</v>
      </c>
      <c r="H2737" s="11" t="s">
        <v>24</v>
      </c>
      <c r="I2737" s="12" t="n">
        <v>35</v>
      </c>
      <c r="J2737" s="13" t="n">
        <v>275</v>
      </c>
      <c r="K2737" s="14" t="n">
        <f aca="false">I2737*J2737</f>
        <v>9625</v>
      </c>
      <c r="L2737" s="14" t="n">
        <f aca="false">($L$2*M2737)/100</f>
        <v>420583.275</v>
      </c>
      <c r="M2737" s="15" t="n">
        <v>0.35</v>
      </c>
      <c r="N2737" s="9" t="s">
        <v>85</v>
      </c>
    </row>
    <row r="2738" customFormat="false" ht="14.25" hidden="false" customHeight="true" outlineLevel="0" collapsed="false">
      <c r="B2738" s="9" t="s">
        <v>32</v>
      </c>
      <c r="C2738" s="9" t="n">
        <v>1197831</v>
      </c>
      <c r="D2738" s="10" t="n">
        <v>44219</v>
      </c>
      <c r="E2738" s="9" t="s">
        <v>29</v>
      </c>
      <c r="F2738" s="9" t="s">
        <v>104</v>
      </c>
      <c r="G2738" s="9" t="s">
        <v>105</v>
      </c>
      <c r="H2738" s="11" t="s">
        <v>25</v>
      </c>
      <c r="I2738" s="12" t="n">
        <v>25</v>
      </c>
      <c r="J2738" s="13" t="n">
        <v>375</v>
      </c>
      <c r="K2738" s="14" t="n">
        <f aca="false">I2738*J2738</f>
        <v>9375</v>
      </c>
      <c r="L2738" s="14" t="n">
        <f aca="false">($L$2*M2738)/100</f>
        <v>480666.6</v>
      </c>
      <c r="M2738" s="15" t="n">
        <v>0.4</v>
      </c>
      <c r="N2738" s="9" t="s">
        <v>85</v>
      </c>
    </row>
    <row r="2739" customFormat="false" ht="14.25" hidden="false" customHeight="true" outlineLevel="0" collapsed="false">
      <c r="B2739" s="9" t="s">
        <v>32</v>
      </c>
      <c r="C2739" s="9" t="n">
        <v>1197831</v>
      </c>
      <c r="D2739" s="10" t="n">
        <v>44248</v>
      </c>
      <c r="E2739" s="9" t="s">
        <v>29</v>
      </c>
      <c r="F2739" s="9" t="s">
        <v>104</v>
      </c>
      <c r="G2739" s="9" t="s">
        <v>105</v>
      </c>
      <c r="H2739" s="11" t="s">
        <v>19</v>
      </c>
      <c r="I2739" s="12" t="n">
        <v>25</v>
      </c>
      <c r="J2739" s="13" t="n">
        <v>625</v>
      </c>
      <c r="K2739" s="14" t="n">
        <f aca="false">I2739*J2739</f>
        <v>15625</v>
      </c>
      <c r="L2739" s="14" t="n">
        <f aca="false">($L$2*M2739)/100</f>
        <v>480666.6</v>
      </c>
      <c r="M2739" s="15" t="n">
        <v>0.4</v>
      </c>
      <c r="N2739" s="9" t="s">
        <v>85</v>
      </c>
    </row>
    <row r="2740" customFormat="false" ht="14.25" hidden="false" customHeight="true" outlineLevel="0" collapsed="false">
      <c r="B2740" s="9" t="s">
        <v>32</v>
      </c>
      <c r="C2740" s="9" t="n">
        <v>1197831</v>
      </c>
      <c r="D2740" s="10" t="n">
        <v>44248</v>
      </c>
      <c r="E2740" s="9" t="s">
        <v>29</v>
      </c>
      <c r="F2740" s="9" t="s">
        <v>104</v>
      </c>
      <c r="G2740" s="9" t="s">
        <v>105</v>
      </c>
      <c r="H2740" s="11" t="s">
        <v>21</v>
      </c>
      <c r="I2740" s="12" t="n">
        <v>25</v>
      </c>
      <c r="J2740" s="13" t="n">
        <v>275</v>
      </c>
      <c r="K2740" s="14" t="n">
        <f aca="false">I2740*J2740</f>
        <v>6875</v>
      </c>
      <c r="L2740" s="14" t="n">
        <f aca="false">($L$2*M2740)/100</f>
        <v>420583.275</v>
      </c>
      <c r="M2740" s="15" t="n">
        <v>0.35</v>
      </c>
      <c r="N2740" s="9" t="s">
        <v>85</v>
      </c>
    </row>
    <row r="2741" customFormat="false" ht="14.25" hidden="false" customHeight="true" outlineLevel="0" collapsed="false">
      <c r="B2741" s="9" t="s">
        <v>32</v>
      </c>
      <c r="C2741" s="9" t="n">
        <v>1197831</v>
      </c>
      <c r="D2741" s="10" t="n">
        <v>44248</v>
      </c>
      <c r="E2741" s="9" t="s">
        <v>29</v>
      </c>
      <c r="F2741" s="9" t="s">
        <v>104</v>
      </c>
      <c r="G2741" s="9" t="s">
        <v>105</v>
      </c>
      <c r="H2741" s="11" t="s">
        <v>22</v>
      </c>
      <c r="I2741" s="12" t="n">
        <v>15</v>
      </c>
      <c r="J2741" s="13" t="n">
        <v>325</v>
      </c>
      <c r="K2741" s="14" t="n">
        <f aca="false">I2741*J2741</f>
        <v>4875</v>
      </c>
      <c r="L2741" s="14" t="n">
        <f aca="false">($L$2*M2741)/100</f>
        <v>480666.6</v>
      </c>
      <c r="M2741" s="15" t="n">
        <v>0.4</v>
      </c>
      <c r="N2741" s="9" t="s">
        <v>85</v>
      </c>
    </row>
    <row r="2742" customFormat="false" ht="14.25" hidden="false" customHeight="true" outlineLevel="0" collapsed="false">
      <c r="B2742" s="9" t="s">
        <v>32</v>
      </c>
      <c r="C2742" s="9" t="n">
        <v>1197831</v>
      </c>
      <c r="D2742" s="10" t="n">
        <v>44248</v>
      </c>
      <c r="E2742" s="9" t="s">
        <v>29</v>
      </c>
      <c r="F2742" s="9" t="s">
        <v>106</v>
      </c>
      <c r="G2742" s="9" t="s">
        <v>107</v>
      </c>
      <c r="H2742" s="11" t="s">
        <v>23</v>
      </c>
      <c r="I2742" s="12" t="n">
        <v>20</v>
      </c>
      <c r="J2742" s="13" t="n">
        <v>175</v>
      </c>
      <c r="K2742" s="14" t="n">
        <f aca="false">I2742*J2742</f>
        <v>3500</v>
      </c>
      <c r="L2742" s="14" t="n">
        <f aca="false">($L$2*M2742)/100</f>
        <v>480666.6</v>
      </c>
      <c r="M2742" s="15" t="n">
        <v>0.4</v>
      </c>
      <c r="N2742" s="9" t="s">
        <v>85</v>
      </c>
    </row>
    <row r="2743" customFormat="false" ht="14.25" hidden="false" customHeight="true" outlineLevel="0" collapsed="false">
      <c r="B2743" s="9" t="s">
        <v>32</v>
      </c>
      <c r="C2743" s="9" t="n">
        <v>1197831</v>
      </c>
      <c r="D2743" s="10" t="n">
        <v>44248</v>
      </c>
      <c r="E2743" s="9" t="s">
        <v>29</v>
      </c>
      <c r="F2743" s="9" t="s">
        <v>106</v>
      </c>
      <c r="G2743" s="9" t="s">
        <v>107</v>
      </c>
      <c r="H2743" s="11" t="s">
        <v>24</v>
      </c>
      <c r="I2743" s="12" t="n">
        <v>35</v>
      </c>
      <c r="J2743" s="13" t="n">
        <v>250</v>
      </c>
      <c r="K2743" s="14" t="n">
        <f aca="false">I2743*J2743</f>
        <v>8750</v>
      </c>
      <c r="L2743" s="14" t="n">
        <f aca="false">($L$2*M2743)/100</f>
        <v>420583.275</v>
      </c>
      <c r="M2743" s="15" t="n">
        <v>0.35</v>
      </c>
      <c r="N2743" s="9" t="s">
        <v>85</v>
      </c>
    </row>
    <row r="2744" customFormat="false" ht="14.25" hidden="false" customHeight="true" outlineLevel="0" collapsed="false">
      <c r="B2744" s="9" t="s">
        <v>32</v>
      </c>
      <c r="C2744" s="9" t="n">
        <v>1197831</v>
      </c>
      <c r="D2744" s="10" t="n">
        <v>44248</v>
      </c>
      <c r="E2744" s="9" t="s">
        <v>29</v>
      </c>
      <c r="F2744" s="9" t="s">
        <v>106</v>
      </c>
      <c r="G2744" s="9" t="s">
        <v>107</v>
      </c>
      <c r="H2744" s="11" t="s">
        <v>25</v>
      </c>
      <c r="I2744" s="12" t="n">
        <v>20</v>
      </c>
      <c r="J2744" s="13" t="n">
        <v>350</v>
      </c>
      <c r="K2744" s="14" t="n">
        <f aca="false">I2744*J2744</f>
        <v>7000</v>
      </c>
      <c r="L2744" s="14" t="n">
        <f aca="false">($L$2*M2744)/100</f>
        <v>480666.6</v>
      </c>
      <c r="M2744" s="15" t="n">
        <v>0.4</v>
      </c>
      <c r="N2744" s="9" t="s">
        <v>85</v>
      </c>
    </row>
    <row r="2745" customFormat="false" ht="14.25" hidden="false" customHeight="true" outlineLevel="0" collapsed="false">
      <c r="B2745" s="9" t="s">
        <v>32</v>
      </c>
      <c r="C2745" s="9" t="n">
        <v>1197831</v>
      </c>
      <c r="D2745" s="10" t="n">
        <v>44274</v>
      </c>
      <c r="E2745" s="9" t="s">
        <v>29</v>
      </c>
      <c r="F2745" s="9" t="s">
        <v>106</v>
      </c>
      <c r="G2745" s="9" t="s">
        <v>107</v>
      </c>
      <c r="H2745" s="11" t="s">
        <v>19</v>
      </c>
      <c r="I2745" s="12" t="n">
        <v>20</v>
      </c>
      <c r="J2745" s="13" t="n">
        <v>570</v>
      </c>
      <c r="K2745" s="14" t="n">
        <f aca="false">I2745*J2745</f>
        <v>11400</v>
      </c>
      <c r="L2745" s="14" t="n">
        <f aca="false">($L$2*M2745)/100</f>
        <v>480666.6</v>
      </c>
      <c r="M2745" s="15" t="n">
        <v>0.4</v>
      </c>
      <c r="N2745" s="9" t="s">
        <v>85</v>
      </c>
    </row>
    <row r="2746" customFormat="false" ht="14.25" hidden="false" customHeight="true" outlineLevel="0" collapsed="false">
      <c r="B2746" s="9" t="s">
        <v>32</v>
      </c>
      <c r="C2746" s="9" t="n">
        <v>1197831</v>
      </c>
      <c r="D2746" s="10" t="n">
        <v>44274</v>
      </c>
      <c r="E2746" s="9" t="s">
        <v>29</v>
      </c>
      <c r="F2746" s="9" t="s">
        <v>106</v>
      </c>
      <c r="G2746" s="9" t="s">
        <v>107</v>
      </c>
      <c r="H2746" s="11" t="s">
        <v>21</v>
      </c>
      <c r="I2746" s="12" t="n">
        <v>20</v>
      </c>
      <c r="J2746" s="13" t="n">
        <v>250</v>
      </c>
      <c r="K2746" s="14" t="n">
        <f aca="false">I2746*J2746</f>
        <v>5000</v>
      </c>
      <c r="L2746" s="14" t="n">
        <f aca="false">($L$2*M2746)/100</f>
        <v>420583.275</v>
      </c>
      <c r="M2746" s="15" t="n">
        <v>0.35</v>
      </c>
      <c r="N2746" s="9" t="s">
        <v>85</v>
      </c>
    </row>
    <row r="2747" customFormat="false" ht="14.25" hidden="false" customHeight="true" outlineLevel="0" collapsed="false">
      <c r="B2747" s="9" t="s">
        <v>32</v>
      </c>
      <c r="C2747" s="9" t="n">
        <v>1197831</v>
      </c>
      <c r="D2747" s="10" t="n">
        <v>44274</v>
      </c>
      <c r="E2747" s="9" t="s">
        <v>29</v>
      </c>
      <c r="F2747" s="9" t="s">
        <v>106</v>
      </c>
      <c r="G2747" s="9" t="s">
        <v>107</v>
      </c>
      <c r="H2747" s="11" t="s">
        <v>22</v>
      </c>
      <c r="I2747" s="12" t="n">
        <v>10</v>
      </c>
      <c r="J2747" s="13" t="n">
        <v>275</v>
      </c>
      <c r="K2747" s="14" t="n">
        <f aca="false">I2747*J2747</f>
        <v>2750</v>
      </c>
      <c r="L2747" s="14" t="n">
        <f aca="false">($L$2*M2747)/100</f>
        <v>480666.6</v>
      </c>
      <c r="M2747" s="15" t="n">
        <v>0.4</v>
      </c>
      <c r="N2747" s="9" t="s">
        <v>85</v>
      </c>
    </row>
    <row r="2748" customFormat="false" ht="14.25" hidden="false" customHeight="true" outlineLevel="0" collapsed="false">
      <c r="B2748" s="9" t="s">
        <v>32</v>
      </c>
      <c r="C2748" s="9" t="n">
        <v>1197831</v>
      </c>
      <c r="D2748" s="10" t="n">
        <v>44274</v>
      </c>
      <c r="E2748" s="9" t="s">
        <v>29</v>
      </c>
      <c r="F2748" s="9" t="s">
        <v>106</v>
      </c>
      <c r="G2748" s="9" t="s">
        <v>107</v>
      </c>
      <c r="H2748" s="11" t="s">
        <v>23</v>
      </c>
      <c r="I2748" s="12" t="n">
        <v>20</v>
      </c>
      <c r="J2748" s="13" t="n">
        <v>125</v>
      </c>
      <c r="K2748" s="14" t="n">
        <f aca="false">I2748*J2748</f>
        <v>2500</v>
      </c>
      <c r="L2748" s="14" t="n">
        <f aca="false">($L$2*M2748)/100</f>
        <v>480666.6</v>
      </c>
      <c r="M2748" s="15" t="n">
        <v>0.4</v>
      </c>
      <c r="N2748" s="9" t="s">
        <v>85</v>
      </c>
    </row>
    <row r="2749" customFormat="false" ht="14.25" hidden="false" customHeight="true" outlineLevel="0" collapsed="false">
      <c r="B2749" s="9" t="s">
        <v>32</v>
      </c>
      <c r="C2749" s="9" t="n">
        <v>1197831</v>
      </c>
      <c r="D2749" s="10" t="n">
        <v>44274</v>
      </c>
      <c r="E2749" s="9" t="s">
        <v>29</v>
      </c>
      <c r="F2749" s="9" t="s">
        <v>106</v>
      </c>
      <c r="G2749" s="9" t="s">
        <v>107</v>
      </c>
      <c r="H2749" s="11" t="s">
        <v>24</v>
      </c>
      <c r="I2749" s="12" t="n">
        <v>35</v>
      </c>
      <c r="J2749" s="13" t="n">
        <v>175</v>
      </c>
      <c r="K2749" s="14" t="n">
        <f aca="false">I2749*J2749</f>
        <v>6125</v>
      </c>
      <c r="L2749" s="14" t="n">
        <f aca="false">($L$2*M2749)/100</f>
        <v>420583.275</v>
      </c>
      <c r="M2749" s="15" t="n">
        <v>0.35</v>
      </c>
      <c r="N2749" s="9" t="s">
        <v>85</v>
      </c>
    </row>
    <row r="2750" customFormat="false" ht="14.25" hidden="false" customHeight="true" outlineLevel="0" collapsed="false">
      <c r="B2750" s="9" t="s">
        <v>32</v>
      </c>
      <c r="C2750" s="9" t="n">
        <v>1197831</v>
      </c>
      <c r="D2750" s="10" t="n">
        <v>44274</v>
      </c>
      <c r="E2750" s="9" t="s">
        <v>29</v>
      </c>
      <c r="F2750" s="9" t="s">
        <v>106</v>
      </c>
      <c r="G2750" s="9" t="s">
        <v>107</v>
      </c>
      <c r="H2750" s="11" t="s">
        <v>25</v>
      </c>
      <c r="I2750" s="12" t="n">
        <v>25</v>
      </c>
      <c r="J2750" s="13" t="n">
        <v>275</v>
      </c>
      <c r="K2750" s="14" t="n">
        <f aca="false">I2750*J2750</f>
        <v>6875</v>
      </c>
      <c r="L2750" s="14" t="n">
        <f aca="false">($L$2*M2750)/100</f>
        <v>480666.6</v>
      </c>
      <c r="M2750" s="15" t="n">
        <v>0.4</v>
      </c>
      <c r="N2750" s="9" t="s">
        <v>85</v>
      </c>
    </row>
    <row r="2751" customFormat="false" ht="14.25" hidden="false" customHeight="true" outlineLevel="0" collapsed="false">
      <c r="B2751" s="9" t="s">
        <v>32</v>
      </c>
      <c r="C2751" s="9" t="n">
        <v>1197831</v>
      </c>
      <c r="D2751" s="10" t="n">
        <v>44306</v>
      </c>
      <c r="E2751" s="9" t="s">
        <v>29</v>
      </c>
      <c r="F2751" s="9" t="s">
        <v>106</v>
      </c>
      <c r="G2751" s="9" t="s">
        <v>107</v>
      </c>
      <c r="H2751" s="11" t="s">
        <v>19</v>
      </c>
      <c r="I2751" s="12" t="n">
        <v>25</v>
      </c>
      <c r="J2751" s="13" t="n">
        <v>525</v>
      </c>
      <c r="K2751" s="14" t="n">
        <f aca="false">I2751*J2751</f>
        <v>13125</v>
      </c>
      <c r="L2751" s="14" t="n">
        <f aca="false">($L$2*M2751)/100</f>
        <v>480666.6</v>
      </c>
      <c r="M2751" s="15" t="n">
        <v>0.4</v>
      </c>
      <c r="N2751" s="9" t="s">
        <v>85</v>
      </c>
    </row>
    <row r="2752" customFormat="false" ht="14.25" hidden="false" customHeight="true" outlineLevel="0" collapsed="false">
      <c r="B2752" s="9" t="s">
        <v>32</v>
      </c>
      <c r="C2752" s="9" t="n">
        <v>1197831</v>
      </c>
      <c r="D2752" s="10" t="n">
        <v>44306</v>
      </c>
      <c r="E2752" s="9" t="s">
        <v>29</v>
      </c>
      <c r="F2752" s="9" t="s">
        <v>106</v>
      </c>
      <c r="G2752" s="9" t="s">
        <v>107</v>
      </c>
      <c r="H2752" s="11" t="s">
        <v>21</v>
      </c>
      <c r="I2752" s="12" t="n">
        <v>25</v>
      </c>
      <c r="J2752" s="13" t="n">
        <v>225</v>
      </c>
      <c r="K2752" s="14" t="n">
        <f aca="false">I2752*J2752</f>
        <v>5625</v>
      </c>
      <c r="L2752" s="14" t="n">
        <f aca="false">($L$2*M2752)/100</f>
        <v>420583.275</v>
      </c>
      <c r="M2752" s="15" t="n">
        <v>0.35</v>
      </c>
      <c r="N2752" s="9" t="s">
        <v>85</v>
      </c>
    </row>
    <row r="2753" customFormat="false" ht="14.25" hidden="false" customHeight="true" outlineLevel="0" collapsed="false">
      <c r="B2753" s="9" t="s">
        <v>32</v>
      </c>
      <c r="C2753" s="9" t="n">
        <v>1197831</v>
      </c>
      <c r="D2753" s="10" t="n">
        <v>44306</v>
      </c>
      <c r="E2753" s="9" t="s">
        <v>29</v>
      </c>
      <c r="F2753" s="9" t="s">
        <v>106</v>
      </c>
      <c r="G2753" s="9" t="s">
        <v>107</v>
      </c>
      <c r="H2753" s="11" t="s">
        <v>22</v>
      </c>
      <c r="I2753" s="12" t="n">
        <v>15</v>
      </c>
      <c r="J2753" s="13" t="n">
        <v>225</v>
      </c>
      <c r="K2753" s="14" t="n">
        <f aca="false">I2753*J2753</f>
        <v>3375</v>
      </c>
      <c r="L2753" s="14" t="n">
        <f aca="false">($L$2*M2753)/100</f>
        <v>480666.6</v>
      </c>
      <c r="M2753" s="15" t="n">
        <v>0.4</v>
      </c>
      <c r="N2753" s="9" t="s">
        <v>85</v>
      </c>
    </row>
    <row r="2754" customFormat="false" ht="14.25" hidden="false" customHeight="true" outlineLevel="0" collapsed="false">
      <c r="B2754" s="9" t="s">
        <v>32</v>
      </c>
      <c r="C2754" s="9" t="n">
        <v>1197831</v>
      </c>
      <c r="D2754" s="10" t="n">
        <v>44306</v>
      </c>
      <c r="E2754" s="9" t="s">
        <v>29</v>
      </c>
      <c r="F2754" s="9" t="s">
        <v>106</v>
      </c>
      <c r="G2754" s="9" t="s">
        <v>107</v>
      </c>
      <c r="H2754" s="11" t="s">
        <v>23</v>
      </c>
      <c r="I2754" s="12" t="n">
        <v>20</v>
      </c>
      <c r="J2754" s="13" t="n">
        <v>150</v>
      </c>
      <c r="K2754" s="14" t="n">
        <f aca="false">I2754*J2754</f>
        <v>3000</v>
      </c>
      <c r="L2754" s="14" t="n">
        <f aca="false">($L$2*M2754)/100</f>
        <v>480666.6</v>
      </c>
      <c r="M2754" s="15" t="n">
        <v>0.4</v>
      </c>
      <c r="N2754" s="9" t="s">
        <v>85</v>
      </c>
    </row>
    <row r="2755" customFormat="false" ht="14.25" hidden="false" customHeight="true" outlineLevel="0" collapsed="false">
      <c r="B2755" s="9" t="s">
        <v>32</v>
      </c>
      <c r="C2755" s="9" t="n">
        <v>1197831</v>
      </c>
      <c r="D2755" s="10" t="n">
        <v>44306</v>
      </c>
      <c r="E2755" s="9" t="s">
        <v>29</v>
      </c>
      <c r="F2755" s="9" t="s">
        <v>106</v>
      </c>
      <c r="G2755" s="9" t="s">
        <v>107</v>
      </c>
      <c r="H2755" s="11" t="s">
        <v>24</v>
      </c>
      <c r="I2755" s="12" t="n">
        <v>40</v>
      </c>
      <c r="J2755" s="13" t="n">
        <v>175</v>
      </c>
      <c r="K2755" s="14" t="n">
        <f aca="false">I2755*J2755</f>
        <v>7000</v>
      </c>
      <c r="L2755" s="14" t="n">
        <f aca="false">($L$2*M2755)/100</f>
        <v>420583.275</v>
      </c>
      <c r="M2755" s="15" t="n">
        <v>0.35</v>
      </c>
      <c r="N2755" s="9" t="s">
        <v>85</v>
      </c>
    </row>
    <row r="2756" customFormat="false" ht="14.25" hidden="false" customHeight="true" outlineLevel="0" collapsed="false">
      <c r="B2756" s="9" t="s">
        <v>32</v>
      </c>
      <c r="C2756" s="9" t="n">
        <v>1197831</v>
      </c>
      <c r="D2756" s="10" t="n">
        <v>44306</v>
      </c>
      <c r="E2756" s="9" t="s">
        <v>29</v>
      </c>
      <c r="F2756" s="9" t="s">
        <v>106</v>
      </c>
      <c r="G2756" s="9" t="s">
        <v>107</v>
      </c>
      <c r="H2756" s="11" t="s">
        <v>25</v>
      </c>
      <c r="I2756" s="12" t="n">
        <v>30</v>
      </c>
      <c r="J2756" s="13" t="n">
        <v>325</v>
      </c>
      <c r="K2756" s="14" t="n">
        <f aca="false">I2756*J2756</f>
        <v>9750</v>
      </c>
      <c r="L2756" s="14" t="n">
        <f aca="false">($L$2*M2756)/100</f>
        <v>480666.6</v>
      </c>
      <c r="M2756" s="15" t="n">
        <v>0.4</v>
      </c>
      <c r="N2756" s="9" t="s">
        <v>85</v>
      </c>
    </row>
    <row r="2757" customFormat="false" ht="14.25" hidden="false" customHeight="true" outlineLevel="0" collapsed="false">
      <c r="B2757" s="9" t="s">
        <v>32</v>
      </c>
      <c r="C2757" s="9" t="n">
        <v>1197831</v>
      </c>
      <c r="D2757" s="10" t="n">
        <v>44335</v>
      </c>
      <c r="E2757" s="9" t="s">
        <v>29</v>
      </c>
      <c r="F2757" s="9" t="s">
        <v>106</v>
      </c>
      <c r="G2757" s="9" t="s">
        <v>107</v>
      </c>
      <c r="H2757" s="11" t="s">
        <v>19</v>
      </c>
      <c r="I2757" s="12" t="n">
        <v>40</v>
      </c>
      <c r="J2757" s="13" t="n">
        <v>595</v>
      </c>
      <c r="K2757" s="14" t="n">
        <f aca="false">I2757*J2757</f>
        <v>23800</v>
      </c>
      <c r="L2757" s="14" t="n">
        <f aca="false">($L$2*M2757)/100</f>
        <v>480666.6</v>
      </c>
      <c r="M2757" s="15" t="n">
        <v>0.4</v>
      </c>
      <c r="N2757" s="9" t="s">
        <v>85</v>
      </c>
    </row>
    <row r="2758" customFormat="false" ht="14.25" hidden="false" customHeight="true" outlineLevel="0" collapsed="false">
      <c r="B2758" s="9" t="s">
        <v>32</v>
      </c>
      <c r="C2758" s="9" t="n">
        <v>1197831</v>
      </c>
      <c r="D2758" s="10" t="n">
        <v>44335</v>
      </c>
      <c r="E2758" s="9" t="s">
        <v>29</v>
      </c>
      <c r="F2758" s="9" t="s">
        <v>106</v>
      </c>
      <c r="G2758" s="9" t="s">
        <v>107</v>
      </c>
      <c r="H2758" s="11" t="s">
        <v>21</v>
      </c>
      <c r="I2758" s="12" t="n">
        <v>40</v>
      </c>
      <c r="J2758" s="13" t="n">
        <v>300</v>
      </c>
      <c r="K2758" s="14" t="n">
        <f aca="false">I2758*J2758</f>
        <v>12000</v>
      </c>
      <c r="L2758" s="14" t="n">
        <f aca="false">($L$2*M2758)/100</f>
        <v>420583.275</v>
      </c>
      <c r="M2758" s="15" t="n">
        <v>0.35</v>
      </c>
      <c r="N2758" s="9" t="s">
        <v>85</v>
      </c>
    </row>
    <row r="2759" customFormat="false" ht="14.25" hidden="false" customHeight="true" outlineLevel="0" collapsed="false">
      <c r="B2759" s="9" t="s">
        <v>32</v>
      </c>
      <c r="C2759" s="9" t="n">
        <v>1197831</v>
      </c>
      <c r="D2759" s="10" t="n">
        <v>44335</v>
      </c>
      <c r="E2759" s="9" t="s">
        <v>29</v>
      </c>
      <c r="F2759" s="9" t="s">
        <v>106</v>
      </c>
      <c r="G2759" s="9" t="s">
        <v>107</v>
      </c>
      <c r="H2759" s="11" t="s">
        <v>22</v>
      </c>
      <c r="I2759" s="12" t="n">
        <v>35</v>
      </c>
      <c r="J2759" s="13" t="n">
        <v>275</v>
      </c>
      <c r="K2759" s="14" t="n">
        <f aca="false">I2759*J2759</f>
        <v>9625</v>
      </c>
      <c r="L2759" s="14" t="n">
        <f aca="false">($L$2*M2759)/100</f>
        <v>480666.6</v>
      </c>
      <c r="M2759" s="15" t="n">
        <v>0.4</v>
      </c>
      <c r="N2759" s="9" t="s">
        <v>85</v>
      </c>
    </row>
    <row r="2760" customFormat="false" ht="14.25" hidden="false" customHeight="true" outlineLevel="0" collapsed="false">
      <c r="B2760" s="9" t="s">
        <v>32</v>
      </c>
      <c r="C2760" s="9" t="n">
        <v>1197831</v>
      </c>
      <c r="D2760" s="10" t="n">
        <v>44335</v>
      </c>
      <c r="E2760" s="9" t="s">
        <v>29</v>
      </c>
      <c r="F2760" s="9" t="s">
        <v>106</v>
      </c>
      <c r="G2760" s="9" t="s">
        <v>107</v>
      </c>
      <c r="H2760" s="11" t="s">
        <v>23</v>
      </c>
      <c r="I2760" s="12" t="n">
        <v>35</v>
      </c>
      <c r="J2760" s="13" t="n">
        <v>225</v>
      </c>
      <c r="K2760" s="14" t="n">
        <f aca="false">I2760*J2760</f>
        <v>7875</v>
      </c>
      <c r="L2760" s="14" t="n">
        <f aca="false">($L$2*M2760)/100</f>
        <v>480666.6</v>
      </c>
      <c r="M2760" s="15" t="n">
        <v>0.4</v>
      </c>
      <c r="N2760" s="9" t="s">
        <v>85</v>
      </c>
    </row>
    <row r="2761" customFormat="false" ht="14.25" hidden="false" customHeight="true" outlineLevel="0" collapsed="false">
      <c r="B2761" s="9" t="s">
        <v>32</v>
      </c>
      <c r="C2761" s="9" t="n">
        <v>1197831</v>
      </c>
      <c r="D2761" s="10" t="n">
        <v>44335</v>
      </c>
      <c r="E2761" s="9" t="s">
        <v>29</v>
      </c>
      <c r="F2761" s="9" t="s">
        <v>106</v>
      </c>
      <c r="G2761" s="9" t="s">
        <v>107</v>
      </c>
      <c r="H2761" s="11" t="s">
        <v>24</v>
      </c>
      <c r="I2761" s="12" t="n">
        <v>45</v>
      </c>
      <c r="J2761" s="13" t="n">
        <v>250</v>
      </c>
      <c r="K2761" s="14" t="n">
        <f aca="false">I2761*J2761</f>
        <v>11250</v>
      </c>
      <c r="L2761" s="14" t="n">
        <f aca="false">($L$2*M2761)/100</f>
        <v>420583.275</v>
      </c>
      <c r="M2761" s="15" t="n">
        <v>0.35</v>
      </c>
      <c r="N2761" s="9" t="s">
        <v>85</v>
      </c>
    </row>
    <row r="2762" customFormat="false" ht="14.25" hidden="false" customHeight="true" outlineLevel="0" collapsed="false">
      <c r="B2762" s="9" t="s">
        <v>32</v>
      </c>
      <c r="C2762" s="9" t="n">
        <v>1197831</v>
      </c>
      <c r="D2762" s="10" t="n">
        <v>44335</v>
      </c>
      <c r="E2762" s="9" t="s">
        <v>29</v>
      </c>
      <c r="F2762" s="9" t="s">
        <v>106</v>
      </c>
      <c r="G2762" s="9" t="s">
        <v>107</v>
      </c>
      <c r="H2762" s="11" t="s">
        <v>25</v>
      </c>
      <c r="I2762" s="12" t="n">
        <v>45</v>
      </c>
      <c r="J2762" s="13" t="n">
        <v>350</v>
      </c>
      <c r="K2762" s="14" t="n">
        <f aca="false">I2762*J2762</f>
        <v>15750</v>
      </c>
      <c r="L2762" s="14" t="n">
        <f aca="false">($L$2*M2762)/100</f>
        <v>480666.6</v>
      </c>
      <c r="M2762" s="15" t="n">
        <v>0.4</v>
      </c>
      <c r="N2762" s="9" t="s">
        <v>85</v>
      </c>
    </row>
    <row r="2763" customFormat="false" ht="14.25" hidden="false" customHeight="true" outlineLevel="0" collapsed="false">
      <c r="B2763" s="9" t="s">
        <v>32</v>
      </c>
      <c r="C2763" s="9" t="n">
        <v>1197831</v>
      </c>
      <c r="D2763" s="10" t="n">
        <v>44368</v>
      </c>
      <c r="E2763" s="9" t="s">
        <v>29</v>
      </c>
      <c r="F2763" s="9" t="s">
        <v>106</v>
      </c>
      <c r="G2763" s="9" t="s">
        <v>107</v>
      </c>
      <c r="H2763" s="11" t="s">
        <v>19</v>
      </c>
      <c r="I2763" s="12" t="n">
        <v>40</v>
      </c>
      <c r="J2763" s="13" t="n">
        <v>600</v>
      </c>
      <c r="K2763" s="14" t="n">
        <f aca="false">I2763*J2763</f>
        <v>24000</v>
      </c>
      <c r="L2763" s="14" t="n">
        <f aca="false">($L$2*M2763)/100</f>
        <v>480666.6</v>
      </c>
      <c r="M2763" s="15" t="n">
        <v>0.4</v>
      </c>
      <c r="N2763" s="9" t="s">
        <v>85</v>
      </c>
    </row>
    <row r="2764" customFormat="false" ht="14.25" hidden="false" customHeight="true" outlineLevel="0" collapsed="false">
      <c r="B2764" s="9" t="s">
        <v>32</v>
      </c>
      <c r="C2764" s="9" t="n">
        <v>1197831</v>
      </c>
      <c r="D2764" s="10" t="n">
        <v>44368</v>
      </c>
      <c r="E2764" s="9" t="s">
        <v>29</v>
      </c>
      <c r="F2764" s="9" t="s">
        <v>106</v>
      </c>
      <c r="G2764" s="9" t="s">
        <v>107</v>
      </c>
      <c r="H2764" s="11" t="s">
        <v>21</v>
      </c>
      <c r="I2764" s="12" t="n">
        <v>35</v>
      </c>
      <c r="J2764" s="13" t="n">
        <v>350</v>
      </c>
      <c r="K2764" s="14" t="n">
        <f aca="false">I2764*J2764</f>
        <v>12250</v>
      </c>
      <c r="L2764" s="14" t="n">
        <f aca="false">($L$2*M2764)/100</f>
        <v>420583.275</v>
      </c>
      <c r="M2764" s="15" t="n">
        <v>0.35</v>
      </c>
      <c r="N2764" s="9" t="s">
        <v>85</v>
      </c>
    </row>
    <row r="2765" customFormat="false" ht="14.25" hidden="false" customHeight="true" outlineLevel="0" collapsed="false">
      <c r="B2765" s="9" t="s">
        <v>32</v>
      </c>
      <c r="C2765" s="9" t="n">
        <v>1197831</v>
      </c>
      <c r="D2765" s="10" t="n">
        <v>44368</v>
      </c>
      <c r="E2765" s="9" t="s">
        <v>29</v>
      </c>
      <c r="F2765" s="9" t="s">
        <v>106</v>
      </c>
      <c r="G2765" s="9" t="s">
        <v>107</v>
      </c>
      <c r="H2765" s="11" t="s">
        <v>22</v>
      </c>
      <c r="I2765" s="12" t="n">
        <v>40</v>
      </c>
      <c r="J2765" s="13" t="n">
        <v>325</v>
      </c>
      <c r="K2765" s="14" t="n">
        <f aca="false">I2765*J2765</f>
        <v>13000</v>
      </c>
      <c r="L2765" s="14" t="n">
        <f aca="false">($L$2*M2765)/100</f>
        <v>480666.6</v>
      </c>
      <c r="M2765" s="15" t="n">
        <v>0.4</v>
      </c>
      <c r="N2765" s="9" t="s">
        <v>85</v>
      </c>
    </row>
    <row r="2766" customFormat="false" ht="14.25" hidden="false" customHeight="true" outlineLevel="0" collapsed="false">
      <c r="B2766" s="9" t="s">
        <v>32</v>
      </c>
      <c r="C2766" s="9" t="n">
        <v>1197831</v>
      </c>
      <c r="D2766" s="10" t="n">
        <v>44368</v>
      </c>
      <c r="E2766" s="9" t="s">
        <v>29</v>
      </c>
      <c r="F2766" s="9" t="s">
        <v>106</v>
      </c>
      <c r="G2766" s="9" t="s">
        <v>107</v>
      </c>
      <c r="H2766" s="11" t="s">
        <v>23</v>
      </c>
      <c r="I2766" s="12" t="n">
        <v>40</v>
      </c>
      <c r="J2766" s="13" t="n">
        <v>300</v>
      </c>
      <c r="K2766" s="14" t="n">
        <f aca="false">I2766*J2766</f>
        <v>12000</v>
      </c>
      <c r="L2766" s="14" t="n">
        <f aca="false">($L$2*M2766)/100</f>
        <v>480666.6</v>
      </c>
      <c r="M2766" s="15" t="n">
        <v>0.4</v>
      </c>
      <c r="N2766" s="9" t="s">
        <v>85</v>
      </c>
    </row>
    <row r="2767" customFormat="false" ht="14.25" hidden="false" customHeight="true" outlineLevel="0" collapsed="false">
      <c r="B2767" s="9" t="s">
        <v>32</v>
      </c>
      <c r="C2767" s="9" t="n">
        <v>1197831</v>
      </c>
      <c r="D2767" s="10" t="n">
        <v>44368</v>
      </c>
      <c r="E2767" s="9" t="s">
        <v>29</v>
      </c>
      <c r="F2767" s="9" t="s">
        <v>106</v>
      </c>
      <c r="G2767" s="9" t="s">
        <v>107</v>
      </c>
      <c r="H2767" s="11" t="s">
        <v>24</v>
      </c>
      <c r="I2767" s="12" t="n">
        <v>55</v>
      </c>
      <c r="J2767" s="13" t="n">
        <v>300</v>
      </c>
      <c r="K2767" s="14" t="n">
        <f aca="false">I2767*J2767</f>
        <v>16500</v>
      </c>
      <c r="L2767" s="14" t="n">
        <f aca="false">($L$2*M2767)/100</f>
        <v>420583.275</v>
      </c>
      <c r="M2767" s="15" t="n">
        <v>0.35</v>
      </c>
      <c r="N2767" s="9" t="s">
        <v>85</v>
      </c>
    </row>
    <row r="2768" customFormat="false" ht="14.25" hidden="false" customHeight="true" outlineLevel="0" collapsed="false">
      <c r="B2768" s="9" t="s">
        <v>32</v>
      </c>
      <c r="C2768" s="9" t="n">
        <v>1197831</v>
      </c>
      <c r="D2768" s="10" t="n">
        <v>44368</v>
      </c>
      <c r="E2768" s="9" t="s">
        <v>29</v>
      </c>
      <c r="F2768" s="9" t="s">
        <v>106</v>
      </c>
      <c r="G2768" s="9" t="s">
        <v>107</v>
      </c>
      <c r="H2768" s="11" t="s">
        <v>25</v>
      </c>
      <c r="I2768" s="12" t="n">
        <v>60</v>
      </c>
      <c r="J2768" s="13" t="n">
        <v>475</v>
      </c>
      <c r="K2768" s="14" t="n">
        <f aca="false">I2768*J2768</f>
        <v>28500</v>
      </c>
      <c r="L2768" s="14" t="n">
        <f aca="false">($L$2*M2768)/100</f>
        <v>480666.6</v>
      </c>
      <c r="M2768" s="15" t="n">
        <v>0.4</v>
      </c>
      <c r="N2768" s="9" t="s">
        <v>85</v>
      </c>
    </row>
    <row r="2769" customFormat="false" ht="14.25" hidden="false" customHeight="true" outlineLevel="0" collapsed="false">
      <c r="B2769" s="9" t="s">
        <v>32</v>
      </c>
      <c r="C2769" s="9" t="n">
        <v>1197831</v>
      </c>
      <c r="D2769" s="10" t="n">
        <v>44396</v>
      </c>
      <c r="E2769" s="9" t="s">
        <v>29</v>
      </c>
      <c r="F2769" s="9" t="s">
        <v>106</v>
      </c>
      <c r="G2769" s="9" t="s">
        <v>107</v>
      </c>
      <c r="H2769" s="11" t="s">
        <v>19</v>
      </c>
      <c r="I2769" s="12" t="n">
        <v>55</v>
      </c>
      <c r="J2769" s="13" t="n">
        <v>700</v>
      </c>
      <c r="K2769" s="14" t="n">
        <f aca="false">I2769*J2769</f>
        <v>38500</v>
      </c>
      <c r="L2769" s="14" t="n">
        <f aca="false">($L$2*M2769)/100</f>
        <v>480666.6</v>
      </c>
      <c r="M2769" s="15" t="n">
        <v>0.4</v>
      </c>
      <c r="N2769" s="9" t="s">
        <v>85</v>
      </c>
    </row>
    <row r="2770" customFormat="false" ht="14.25" hidden="false" customHeight="true" outlineLevel="0" collapsed="false">
      <c r="B2770" s="9" t="s">
        <v>32</v>
      </c>
      <c r="C2770" s="9" t="n">
        <v>1197831</v>
      </c>
      <c r="D2770" s="10" t="n">
        <v>44396</v>
      </c>
      <c r="E2770" s="9" t="s">
        <v>29</v>
      </c>
      <c r="F2770" s="9" t="s">
        <v>106</v>
      </c>
      <c r="G2770" s="9" t="s">
        <v>107</v>
      </c>
      <c r="H2770" s="11" t="s">
        <v>21</v>
      </c>
      <c r="I2770" s="12" t="n">
        <v>50</v>
      </c>
      <c r="J2770" s="13" t="n">
        <v>450</v>
      </c>
      <c r="K2770" s="14" t="n">
        <f aca="false">I2770*J2770</f>
        <v>22500</v>
      </c>
      <c r="L2770" s="14" t="n">
        <f aca="false">($L$2*M2770)/100</f>
        <v>420583.275</v>
      </c>
      <c r="M2770" s="15" t="n">
        <v>0.35</v>
      </c>
      <c r="N2770" s="9" t="s">
        <v>85</v>
      </c>
    </row>
    <row r="2771" customFormat="false" ht="14.25" hidden="false" customHeight="true" outlineLevel="0" collapsed="false">
      <c r="B2771" s="9" t="s">
        <v>32</v>
      </c>
      <c r="C2771" s="9" t="n">
        <v>1197831</v>
      </c>
      <c r="D2771" s="10" t="n">
        <v>44396</v>
      </c>
      <c r="E2771" s="9" t="s">
        <v>29</v>
      </c>
      <c r="F2771" s="9" t="s">
        <v>106</v>
      </c>
      <c r="G2771" s="9" t="s">
        <v>107</v>
      </c>
      <c r="H2771" s="11" t="s">
        <v>22</v>
      </c>
      <c r="I2771" s="12" t="n">
        <v>45</v>
      </c>
      <c r="J2771" s="13" t="n">
        <v>375</v>
      </c>
      <c r="K2771" s="14" t="n">
        <f aca="false">I2771*J2771</f>
        <v>16875</v>
      </c>
      <c r="L2771" s="14" t="n">
        <f aca="false">($L$2*M2771)/100</f>
        <v>480666.6</v>
      </c>
      <c r="M2771" s="15" t="n">
        <v>0.4</v>
      </c>
      <c r="N2771" s="9" t="s">
        <v>85</v>
      </c>
    </row>
    <row r="2772" customFormat="false" ht="14.25" hidden="false" customHeight="true" outlineLevel="0" collapsed="false">
      <c r="B2772" s="9" t="s">
        <v>32</v>
      </c>
      <c r="C2772" s="9" t="n">
        <v>1197831</v>
      </c>
      <c r="D2772" s="10" t="n">
        <v>44396</v>
      </c>
      <c r="E2772" s="9" t="s">
        <v>29</v>
      </c>
      <c r="F2772" s="9" t="s">
        <v>106</v>
      </c>
      <c r="G2772" s="9" t="s">
        <v>107</v>
      </c>
      <c r="H2772" s="11" t="s">
        <v>23</v>
      </c>
      <c r="I2772" s="12" t="n">
        <v>45</v>
      </c>
      <c r="J2772" s="13" t="n">
        <v>325</v>
      </c>
      <c r="K2772" s="14" t="n">
        <f aca="false">I2772*J2772</f>
        <v>14625</v>
      </c>
      <c r="L2772" s="14" t="n">
        <f aca="false">($L$2*M2772)/100</f>
        <v>480666.6</v>
      </c>
      <c r="M2772" s="15" t="n">
        <v>0.4</v>
      </c>
      <c r="N2772" s="9" t="s">
        <v>85</v>
      </c>
    </row>
    <row r="2773" customFormat="false" ht="14.25" hidden="false" customHeight="true" outlineLevel="0" collapsed="false">
      <c r="B2773" s="9" t="s">
        <v>32</v>
      </c>
      <c r="C2773" s="9" t="n">
        <v>1197831</v>
      </c>
      <c r="D2773" s="10" t="n">
        <v>44396</v>
      </c>
      <c r="E2773" s="9" t="s">
        <v>29</v>
      </c>
      <c r="F2773" s="9" t="s">
        <v>106</v>
      </c>
      <c r="G2773" s="9" t="s">
        <v>107</v>
      </c>
      <c r="H2773" s="11" t="s">
        <v>24</v>
      </c>
      <c r="I2773" s="12" t="n">
        <v>60</v>
      </c>
      <c r="J2773" s="13" t="n">
        <v>350</v>
      </c>
      <c r="K2773" s="14" t="n">
        <f aca="false">I2773*J2773</f>
        <v>21000</v>
      </c>
      <c r="L2773" s="14" t="n">
        <f aca="false">($L$2*M2773)/100</f>
        <v>420583.275</v>
      </c>
      <c r="M2773" s="15" t="n">
        <v>0.35</v>
      </c>
      <c r="N2773" s="9" t="s">
        <v>85</v>
      </c>
    </row>
    <row r="2774" customFormat="false" ht="14.25" hidden="false" customHeight="true" outlineLevel="0" collapsed="false">
      <c r="B2774" s="9" t="s">
        <v>32</v>
      </c>
      <c r="C2774" s="9" t="n">
        <v>1197831</v>
      </c>
      <c r="D2774" s="10" t="n">
        <v>44396</v>
      </c>
      <c r="E2774" s="9" t="s">
        <v>29</v>
      </c>
      <c r="F2774" s="9" t="s">
        <v>106</v>
      </c>
      <c r="G2774" s="9" t="s">
        <v>107</v>
      </c>
      <c r="H2774" s="11" t="s">
        <v>25</v>
      </c>
      <c r="I2774" s="12" t="n">
        <v>65</v>
      </c>
      <c r="J2774" s="13" t="n">
        <v>525</v>
      </c>
      <c r="K2774" s="14" t="n">
        <f aca="false">I2774*J2774</f>
        <v>34125</v>
      </c>
      <c r="L2774" s="14" t="n">
        <f aca="false">($L$2*M2774)/100</f>
        <v>480666.6</v>
      </c>
      <c r="M2774" s="15" t="n">
        <v>0.4</v>
      </c>
      <c r="N2774" s="9" t="s">
        <v>85</v>
      </c>
    </row>
    <row r="2775" customFormat="false" ht="14.25" hidden="false" customHeight="true" outlineLevel="0" collapsed="false">
      <c r="B2775" s="9" t="s">
        <v>32</v>
      </c>
      <c r="C2775" s="9" t="n">
        <v>1197831</v>
      </c>
      <c r="D2775" s="10" t="n">
        <v>44428</v>
      </c>
      <c r="E2775" s="9" t="s">
        <v>29</v>
      </c>
      <c r="F2775" s="9" t="s">
        <v>106</v>
      </c>
      <c r="G2775" s="9" t="s">
        <v>107</v>
      </c>
      <c r="H2775" s="11" t="s">
        <v>19</v>
      </c>
      <c r="I2775" s="12" t="n">
        <v>60</v>
      </c>
      <c r="J2775" s="13" t="n">
        <v>675</v>
      </c>
      <c r="K2775" s="14" t="n">
        <f aca="false">I2775*J2775</f>
        <v>40500</v>
      </c>
      <c r="L2775" s="14" t="n">
        <f aca="false">($L$2*M2775)/100</f>
        <v>480666.6</v>
      </c>
      <c r="M2775" s="15" t="n">
        <v>0.4</v>
      </c>
      <c r="N2775" s="9" t="s">
        <v>85</v>
      </c>
    </row>
    <row r="2776" customFormat="false" ht="14.25" hidden="false" customHeight="true" outlineLevel="0" collapsed="false">
      <c r="B2776" s="9" t="s">
        <v>32</v>
      </c>
      <c r="C2776" s="9" t="n">
        <v>1197831</v>
      </c>
      <c r="D2776" s="10" t="n">
        <v>44428</v>
      </c>
      <c r="E2776" s="9" t="s">
        <v>29</v>
      </c>
      <c r="F2776" s="9" t="s">
        <v>106</v>
      </c>
      <c r="G2776" s="9" t="s">
        <v>107</v>
      </c>
      <c r="H2776" s="11" t="s">
        <v>21</v>
      </c>
      <c r="I2776" s="12" t="n">
        <v>55</v>
      </c>
      <c r="J2776" s="13" t="n">
        <v>450</v>
      </c>
      <c r="K2776" s="14" t="n">
        <f aca="false">I2776*J2776</f>
        <v>24750</v>
      </c>
      <c r="L2776" s="14" t="n">
        <f aca="false">($L$2*M2776)/100</f>
        <v>420583.275</v>
      </c>
      <c r="M2776" s="15" t="n">
        <v>0.35</v>
      </c>
      <c r="N2776" s="9" t="s">
        <v>85</v>
      </c>
    </row>
    <row r="2777" customFormat="false" ht="14.25" hidden="false" customHeight="true" outlineLevel="0" collapsed="false">
      <c r="B2777" s="9" t="s">
        <v>32</v>
      </c>
      <c r="C2777" s="9" t="n">
        <v>1197831</v>
      </c>
      <c r="D2777" s="10" t="n">
        <v>44428</v>
      </c>
      <c r="E2777" s="9" t="s">
        <v>29</v>
      </c>
      <c r="F2777" s="9" t="s">
        <v>106</v>
      </c>
      <c r="G2777" s="9" t="s">
        <v>107</v>
      </c>
      <c r="H2777" s="11" t="s">
        <v>22</v>
      </c>
      <c r="I2777" s="12" t="n">
        <v>50</v>
      </c>
      <c r="J2777" s="13" t="n">
        <v>375</v>
      </c>
      <c r="K2777" s="14" t="n">
        <f aca="false">I2777*J2777</f>
        <v>18750</v>
      </c>
      <c r="L2777" s="14" t="n">
        <f aca="false">($L$2*M2777)/100</f>
        <v>480666.6</v>
      </c>
      <c r="M2777" s="15" t="n">
        <v>0.4</v>
      </c>
      <c r="N2777" s="9" t="s">
        <v>85</v>
      </c>
    </row>
    <row r="2778" customFormat="false" ht="14.25" hidden="false" customHeight="true" outlineLevel="0" collapsed="false">
      <c r="B2778" s="9" t="s">
        <v>32</v>
      </c>
      <c r="C2778" s="9" t="n">
        <v>1197831</v>
      </c>
      <c r="D2778" s="10" t="n">
        <v>44428</v>
      </c>
      <c r="E2778" s="9" t="s">
        <v>29</v>
      </c>
      <c r="F2778" s="9" t="s">
        <v>106</v>
      </c>
      <c r="G2778" s="9" t="s">
        <v>107</v>
      </c>
      <c r="H2778" s="11" t="s">
        <v>23</v>
      </c>
      <c r="I2778" s="12" t="n">
        <v>40</v>
      </c>
      <c r="J2778" s="13" t="n">
        <v>325</v>
      </c>
      <c r="K2778" s="14" t="n">
        <f aca="false">I2778*J2778</f>
        <v>13000</v>
      </c>
      <c r="L2778" s="14" t="n">
        <f aca="false">($L$2*M2778)/100</f>
        <v>480666.6</v>
      </c>
      <c r="M2778" s="15" t="n">
        <v>0.4</v>
      </c>
      <c r="N2778" s="9" t="s">
        <v>85</v>
      </c>
    </row>
    <row r="2779" customFormat="false" ht="14.25" hidden="false" customHeight="true" outlineLevel="0" collapsed="false">
      <c r="B2779" s="9" t="s">
        <v>32</v>
      </c>
      <c r="C2779" s="9" t="n">
        <v>1197831</v>
      </c>
      <c r="D2779" s="10" t="n">
        <v>44428</v>
      </c>
      <c r="E2779" s="9" t="s">
        <v>29</v>
      </c>
      <c r="F2779" s="9" t="s">
        <v>106</v>
      </c>
      <c r="G2779" s="9" t="s">
        <v>107</v>
      </c>
      <c r="H2779" s="11" t="s">
        <v>24</v>
      </c>
      <c r="I2779" s="12" t="n">
        <v>50</v>
      </c>
      <c r="J2779" s="13" t="n">
        <v>300</v>
      </c>
      <c r="K2779" s="14" t="n">
        <f aca="false">I2779*J2779</f>
        <v>15000</v>
      </c>
      <c r="L2779" s="14" t="n">
        <f aca="false">($L$2*M2779)/100</f>
        <v>420583.275</v>
      </c>
      <c r="M2779" s="15" t="n">
        <v>0.35</v>
      </c>
      <c r="N2779" s="9" t="s">
        <v>85</v>
      </c>
    </row>
    <row r="2780" customFormat="false" ht="14.25" hidden="false" customHeight="true" outlineLevel="0" collapsed="false">
      <c r="B2780" s="9" t="s">
        <v>32</v>
      </c>
      <c r="C2780" s="9" t="n">
        <v>1197831</v>
      </c>
      <c r="D2780" s="10" t="n">
        <v>44428</v>
      </c>
      <c r="E2780" s="9" t="s">
        <v>29</v>
      </c>
      <c r="F2780" s="9" t="s">
        <v>106</v>
      </c>
      <c r="G2780" s="9" t="s">
        <v>107</v>
      </c>
      <c r="H2780" s="11" t="s">
        <v>25</v>
      </c>
      <c r="I2780" s="12" t="n">
        <v>55</v>
      </c>
      <c r="J2780" s="13" t="n">
        <v>475</v>
      </c>
      <c r="K2780" s="14" t="n">
        <f aca="false">I2780*J2780</f>
        <v>26125</v>
      </c>
      <c r="L2780" s="14" t="n">
        <f aca="false">($L$2*M2780)/100</f>
        <v>480666.6</v>
      </c>
      <c r="M2780" s="15" t="n">
        <v>0.4</v>
      </c>
      <c r="N2780" s="9" t="s">
        <v>85</v>
      </c>
    </row>
    <row r="2781" customFormat="false" ht="14.25" hidden="false" customHeight="true" outlineLevel="0" collapsed="false">
      <c r="B2781" s="9" t="s">
        <v>32</v>
      </c>
      <c r="C2781" s="9" t="n">
        <v>1197831</v>
      </c>
      <c r="D2781" s="10" t="n">
        <v>44458</v>
      </c>
      <c r="E2781" s="9" t="s">
        <v>29</v>
      </c>
      <c r="F2781" s="9" t="s">
        <v>106</v>
      </c>
      <c r="G2781" s="9" t="s">
        <v>107</v>
      </c>
      <c r="H2781" s="11" t="s">
        <v>19</v>
      </c>
      <c r="I2781" s="12" t="n">
        <v>50</v>
      </c>
      <c r="J2781" s="13" t="n">
        <v>575</v>
      </c>
      <c r="K2781" s="14" t="n">
        <f aca="false">I2781*J2781</f>
        <v>28750</v>
      </c>
      <c r="L2781" s="14" t="n">
        <f aca="false">($L$2*M2781)/100</f>
        <v>480666.6</v>
      </c>
      <c r="M2781" s="15" t="n">
        <v>0.4</v>
      </c>
      <c r="N2781" s="9" t="s">
        <v>85</v>
      </c>
    </row>
    <row r="2782" customFormat="false" ht="14.25" hidden="false" customHeight="true" outlineLevel="0" collapsed="false">
      <c r="B2782" s="9" t="s">
        <v>32</v>
      </c>
      <c r="C2782" s="9" t="n">
        <v>1197831</v>
      </c>
      <c r="D2782" s="10" t="n">
        <v>44458</v>
      </c>
      <c r="E2782" s="9" t="s">
        <v>29</v>
      </c>
      <c r="F2782" s="9" t="s">
        <v>106</v>
      </c>
      <c r="G2782" s="9" t="s">
        <v>107</v>
      </c>
      <c r="H2782" s="11" t="s">
        <v>21</v>
      </c>
      <c r="I2782" s="12" t="n">
        <v>40</v>
      </c>
      <c r="J2782" s="13" t="n">
        <v>375</v>
      </c>
      <c r="K2782" s="14" t="n">
        <f aca="false">I2782*J2782</f>
        <v>15000</v>
      </c>
      <c r="L2782" s="14" t="n">
        <f aca="false">($L$2*M2782)/100</f>
        <v>420583.275</v>
      </c>
      <c r="M2782" s="15" t="n">
        <v>0.35</v>
      </c>
      <c r="N2782" s="9" t="s">
        <v>85</v>
      </c>
    </row>
    <row r="2783" customFormat="false" ht="14.25" hidden="false" customHeight="true" outlineLevel="0" collapsed="false">
      <c r="B2783" s="9" t="s">
        <v>32</v>
      </c>
      <c r="C2783" s="9" t="n">
        <v>1197831</v>
      </c>
      <c r="D2783" s="10" t="n">
        <v>44458</v>
      </c>
      <c r="E2783" s="9" t="s">
        <v>29</v>
      </c>
      <c r="F2783" s="9" t="s">
        <v>106</v>
      </c>
      <c r="G2783" s="9" t="s">
        <v>107</v>
      </c>
      <c r="H2783" s="11" t="s">
        <v>22</v>
      </c>
      <c r="I2783" s="12" t="n">
        <v>15</v>
      </c>
      <c r="J2783" s="13" t="n">
        <v>275</v>
      </c>
      <c r="K2783" s="14" t="n">
        <f aca="false">I2783*J2783</f>
        <v>4125</v>
      </c>
      <c r="L2783" s="14" t="n">
        <f aca="false">($L$2*M2783)/100</f>
        <v>480666.6</v>
      </c>
      <c r="M2783" s="15" t="n">
        <v>0.4</v>
      </c>
      <c r="N2783" s="9" t="s">
        <v>85</v>
      </c>
    </row>
    <row r="2784" customFormat="false" ht="14.25" hidden="false" customHeight="true" outlineLevel="0" collapsed="false">
      <c r="B2784" s="9" t="s">
        <v>32</v>
      </c>
      <c r="C2784" s="9" t="n">
        <v>1197831</v>
      </c>
      <c r="D2784" s="10" t="n">
        <v>44458</v>
      </c>
      <c r="E2784" s="9" t="s">
        <v>29</v>
      </c>
      <c r="F2784" s="9" t="s">
        <v>106</v>
      </c>
      <c r="G2784" s="9" t="s">
        <v>107</v>
      </c>
      <c r="H2784" s="11" t="s">
        <v>23</v>
      </c>
      <c r="I2784" s="12" t="n">
        <v>15</v>
      </c>
      <c r="J2784" s="13" t="n">
        <v>250</v>
      </c>
      <c r="K2784" s="14" t="n">
        <f aca="false">I2784*J2784</f>
        <v>3750</v>
      </c>
      <c r="L2784" s="14" t="n">
        <f aca="false">($L$2*M2784)/100</f>
        <v>480666.6</v>
      </c>
      <c r="M2784" s="15" t="n">
        <v>0.4</v>
      </c>
      <c r="N2784" s="9" t="s">
        <v>85</v>
      </c>
    </row>
    <row r="2785" customFormat="false" ht="14.25" hidden="false" customHeight="true" outlineLevel="0" collapsed="false">
      <c r="B2785" s="9" t="s">
        <v>32</v>
      </c>
      <c r="C2785" s="9" t="n">
        <v>1197831</v>
      </c>
      <c r="D2785" s="10" t="n">
        <v>44458</v>
      </c>
      <c r="E2785" s="9" t="s">
        <v>29</v>
      </c>
      <c r="F2785" s="9" t="s">
        <v>106</v>
      </c>
      <c r="G2785" s="9" t="s">
        <v>107</v>
      </c>
      <c r="H2785" s="11" t="s">
        <v>24</v>
      </c>
      <c r="I2785" s="12" t="n">
        <v>25</v>
      </c>
      <c r="J2785" s="13" t="n">
        <v>250</v>
      </c>
      <c r="K2785" s="14" t="n">
        <f aca="false">I2785*J2785</f>
        <v>6250</v>
      </c>
      <c r="L2785" s="14" t="n">
        <f aca="false">($L$2*M2785)/100</f>
        <v>420583.275</v>
      </c>
      <c r="M2785" s="15" t="n">
        <v>0.35</v>
      </c>
      <c r="N2785" s="9" t="s">
        <v>85</v>
      </c>
    </row>
    <row r="2786" customFormat="false" ht="14.25" hidden="false" customHeight="true" outlineLevel="0" collapsed="false">
      <c r="B2786" s="9" t="s">
        <v>32</v>
      </c>
      <c r="C2786" s="9" t="n">
        <v>1197831</v>
      </c>
      <c r="D2786" s="10" t="n">
        <v>44458</v>
      </c>
      <c r="E2786" s="9" t="s">
        <v>29</v>
      </c>
      <c r="F2786" s="9" t="s">
        <v>106</v>
      </c>
      <c r="G2786" s="9" t="s">
        <v>107</v>
      </c>
      <c r="H2786" s="11" t="s">
        <v>25</v>
      </c>
      <c r="I2786" s="12" t="n">
        <v>30</v>
      </c>
      <c r="J2786" s="13" t="n">
        <v>350</v>
      </c>
      <c r="K2786" s="14" t="n">
        <f aca="false">I2786*J2786</f>
        <v>10500</v>
      </c>
      <c r="L2786" s="14" t="n">
        <f aca="false">($L$2*M2786)/100</f>
        <v>480666.6</v>
      </c>
      <c r="M2786" s="15" t="n">
        <v>0.4</v>
      </c>
      <c r="N2786" s="9" t="s">
        <v>85</v>
      </c>
    </row>
    <row r="2787" customFormat="false" ht="14.25" hidden="false" customHeight="true" outlineLevel="0" collapsed="false">
      <c r="B2787" s="9" t="s">
        <v>32</v>
      </c>
      <c r="C2787" s="9" t="n">
        <v>1197831</v>
      </c>
      <c r="D2787" s="10" t="n">
        <v>44490</v>
      </c>
      <c r="E2787" s="9" t="s">
        <v>29</v>
      </c>
      <c r="F2787" s="9" t="s">
        <v>106</v>
      </c>
      <c r="G2787" s="9" t="s">
        <v>107</v>
      </c>
      <c r="H2787" s="11" t="s">
        <v>19</v>
      </c>
      <c r="I2787" s="12" t="n">
        <v>30</v>
      </c>
      <c r="J2787" s="13" t="n">
        <v>525</v>
      </c>
      <c r="K2787" s="14" t="n">
        <f aca="false">I2787*J2787</f>
        <v>15750</v>
      </c>
      <c r="L2787" s="14" t="n">
        <f aca="false">($L$2*M2787)/100</f>
        <v>480666.6</v>
      </c>
      <c r="M2787" s="15" t="n">
        <v>0.4</v>
      </c>
      <c r="N2787" s="9" t="s">
        <v>85</v>
      </c>
    </row>
    <row r="2788" customFormat="false" ht="14.25" hidden="false" customHeight="true" outlineLevel="0" collapsed="false">
      <c r="B2788" s="9" t="s">
        <v>32</v>
      </c>
      <c r="C2788" s="9" t="n">
        <v>1197831</v>
      </c>
      <c r="D2788" s="10" t="n">
        <v>44490</v>
      </c>
      <c r="E2788" s="9" t="s">
        <v>29</v>
      </c>
      <c r="F2788" s="9" t="s">
        <v>106</v>
      </c>
      <c r="G2788" s="9" t="s">
        <v>107</v>
      </c>
      <c r="H2788" s="11" t="s">
        <v>21</v>
      </c>
      <c r="I2788" s="12" t="n">
        <v>20</v>
      </c>
      <c r="J2788" s="13" t="n">
        <v>350</v>
      </c>
      <c r="K2788" s="14" t="n">
        <f aca="false">I2788*J2788</f>
        <v>7000</v>
      </c>
      <c r="L2788" s="14" t="n">
        <f aca="false">($L$2*M2788)/100</f>
        <v>420583.275</v>
      </c>
      <c r="M2788" s="15" t="n">
        <v>0.35</v>
      </c>
      <c r="N2788" s="9" t="s">
        <v>85</v>
      </c>
    </row>
    <row r="2789" customFormat="false" ht="14.25" hidden="false" customHeight="true" outlineLevel="0" collapsed="false">
      <c r="B2789" s="9" t="s">
        <v>32</v>
      </c>
      <c r="C2789" s="9" t="n">
        <v>1197831</v>
      </c>
      <c r="D2789" s="10" t="n">
        <v>44490</v>
      </c>
      <c r="E2789" s="9" t="s">
        <v>29</v>
      </c>
      <c r="F2789" s="9" t="s">
        <v>106</v>
      </c>
      <c r="G2789" s="9" t="s">
        <v>107</v>
      </c>
      <c r="H2789" s="11" t="s">
        <v>22</v>
      </c>
      <c r="I2789" s="12" t="n">
        <v>20</v>
      </c>
      <c r="J2789" s="13" t="n">
        <v>225</v>
      </c>
      <c r="K2789" s="14" t="n">
        <f aca="false">I2789*J2789</f>
        <v>4500</v>
      </c>
      <c r="L2789" s="14" t="n">
        <f aca="false">($L$2*M2789)/100</f>
        <v>480666.6</v>
      </c>
      <c r="M2789" s="15" t="n">
        <v>0.4</v>
      </c>
      <c r="N2789" s="9" t="s">
        <v>85</v>
      </c>
    </row>
    <row r="2790" customFormat="false" ht="14.25" hidden="false" customHeight="true" outlineLevel="0" collapsed="false">
      <c r="B2790" s="9" t="s">
        <v>32</v>
      </c>
      <c r="C2790" s="9" t="n">
        <v>1197831</v>
      </c>
      <c r="D2790" s="10" t="n">
        <v>44490</v>
      </c>
      <c r="E2790" s="9" t="s">
        <v>29</v>
      </c>
      <c r="F2790" s="9" t="s">
        <v>106</v>
      </c>
      <c r="G2790" s="9" t="s">
        <v>107</v>
      </c>
      <c r="H2790" s="11" t="s">
        <v>23</v>
      </c>
      <c r="I2790" s="12" t="n">
        <v>20</v>
      </c>
      <c r="J2790" s="13" t="n">
        <v>200</v>
      </c>
      <c r="K2790" s="14" t="n">
        <f aca="false">I2790*J2790</f>
        <v>4000</v>
      </c>
      <c r="L2790" s="14" t="n">
        <f aca="false">($L$2*M2790)/100</f>
        <v>480666.6</v>
      </c>
      <c r="M2790" s="15" t="n">
        <v>0.4</v>
      </c>
      <c r="N2790" s="9" t="s">
        <v>85</v>
      </c>
    </row>
    <row r="2791" customFormat="false" ht="14.25" hidden="false" customHeight="true" outlineLevel="0" collapsed="false">
      <c r="B2791" s="9" t="s">
        <v>32</v>
      </c>
      <c r="C2791" s="9" t="n">
        <v>1197831</v>
      </c>
      <c r="D2791" s="10" t="n">
        <v>44490</v>
      </c>
      <c r="E2791" s="9" t="s">
        <v>29</v>
      </c>
      <c r="F2791" s="9" t="s">
        <v>106</v>
      </c>
      <c r="G2791" s="9" t="s">
        <v>107</v>
      </c>
      <c r="H2791" s="11" t="s">
        <v>24</v>
      </c>
      <c r="I2791" s="12" t="n">
        <v>30</v>
      </c>
      <c r="J2791" s="13" t="n">
        <v>200</v>
      </c>
      <c r="K2791" s="14" t="n">
        <f aca="false">I2791*J2791</f>
        <v>6000</v>
      </c>
      <c r="L2791" s="14" t="n">
        <f aca="false">($L$2*M2791)/100</f>
        <v>420583.275</v>
      </c>
      <c r="M2791" s="15" t="n">
        <v>0.35</v>
      </c>
      <c r="N2791" s="9" t="s">
        <v>85</v>
      </c>
    </row>
    <row r="2792" customFormat="false" ht="14.25" hidden="false" customHeight="true" outlineLevel="0" collapsed="false">
      <c r="B2792" s="9" t="s">
        <v>36</v>
      </c>
      <c r="C2792" s="9" t="n">
        <v>1197831</v>
      </c>
      <c r="D2792" s="10" t="n">
        <v>44490</v>
      </c>
      <c r="E2792" s="9" t="s">
        <v>29</v>
      </c>
      <c r="F2792" s="9" t="s">
        <v>106</v>
      </c>
      <c r="G2792" s="9" t="s">
        <v>107</v>
      </c>
      <c r="H2792" s="11" t="s">
        <v>25</v>
      </c>
      <c r="I2792" s="12" t="n">
        <v>30</v>
      </c>
      <c r="J2792" s="13" t="n">
        <v>325</v>
      </c>
      <c r="K2792" s="14" t="n">
        <f aca="false">I2792*J2792</f>
        <v>9750</v>
      </c>
      <c r="L2792" s="14" t="n">
        <f aca="false">($L$2*M2792)/100</f>
        <v>480666.6</v>
      </c>
      <c r="M2792" s="15" t="n">
        <v>0.4</v>
      </c>
      <c r="N2792" s="9" t="s">
        <v>85</v>
      </c>
    </row>
    <row r="2793" customFormat="false" ht="14.25" hidden="false" customHeight="true" outlineLevel="0" collapsed="false">
      <c r="B2793" s="9" t="s">
        <v>36</v>
      </c>
      <c r="C2793" s="9" t="n">
        <v>1197831</v>
      </c>
      <c r="D2793" s="10" t="n">
        <v>44520</v>
      </c>
      <c r="E2793" s="9" t="s">
        <v>29</v>
      </c>
      <c r="F2793" s="9" t="s">
        <v>106</v>
      </c>
      <c r="G2793" s="9" t="s">
        <v>107</v>
      </c>
      <c r="H2793" s="11" t="s">
        <v>19</v>
      </c>
      <c r="I2793" s="12" t="n">
        <v>25</v>
      </c>
      <c r="J2793" s="13" t="n">
        <v>475</v>
      </c>
      <c r="K2793" s="14" t="n">
        <f aca="false">I2793*J2793</f>
        <v>11875</v>
      </c>
      <c r="L2793" s="14" t="n">
        <f aca="false">($L$2*M2793)/100</f>
        <v>480666.6</v>
      </c>
      <c r="M2793" s="15" t="n">
        <v>0.4</v>
      </c>
      <c r="N2793" s="9" t="s">
        <v>85</v>
      </c>
    </row>
    <row r="2794" customFormat="false" ht="14.25" hidden="false" customHeight="true" outlineLevel="0" collapsed="false">
      <c r="B2794" s="9" t="s">
        <v>36</v>
      </c>
      <c r="C2794" s="9" t="n">
        <v>1197831</v>
      </c>
      <c r="D2794" s="10" t="n">
        <v>44520</v>
      </c>
      <c r="E2794" s="9" t="s">
        <v>29</v>
      </c>
      <c r="F2794" s="9" t="s">
        <v>106</v>
      </c>
      <c r="G2794" s="9" t="s">
        <v>107</v>
      </c>
      <c r="H2794" s="11" t="s">
        <v>21</v>
      </c>
      <c r="I2794" s="12" t="n">
        <v>15</v>
      </c>
      <c r="J2794" s="13" t="n">
        <v>300</v>
      </c>
      <c r="K2794" s="14" t="n">
        <f aca="false">I2794*J2794</f>
        <v>4500</v>
      </c>
      <c r="L2794" s="14" t="n">
        <f aca="false">($L$2*M2794)/100</f>
        <v>420583.275</v>
      </c>
      <c r="M2794" s="15" t="n">
        <v>0.35</v>
      </c>
      <c r="N2794" s="9" t="s">
        <v>85</v>
      </c>
    </row>
    <row r="2795" customFormat="false" ht="14.25" hidden="false" customHeight="true" outlineLevel="0" collapsed="false">
      <c r="B2795" s="9" t="s">
        <v>36</v>
      </c>
      <c r="C2795" s="9" t="n">
        <v>1197831</v>
      </c>
      <c r="D2795" s="10" t="n">
        <v>44520</v>
      </c>
      <c r="E2795" s="9" t="s">
        <v>29</v>
      </c>
      <c r="F2795" s="9" t="s">
        <v>106</v>
      </c>
      <c r="G2795" s="9" t="s">
        <v>107</v>
      </c>
      <c r="H2795" s="11" t="s">
        <v>22</v>
      </c>
      <c r="I2795" s="12" t="n">
        <v>25</v>
      </c>
      <c r="J2795" s="13" t="n">
        <v>245</v>
      </c>
      <c r="K2795" s="14" t="n">
        <f aca="false">I2795*J2795</f>
        <v>6125</v>
      </c>
      <c r="L2795" s="14" t="n">
        <f aca="false">($L$2*M2795)/100</f>
        <v>480666.6</v>
      </c>
      <c r="M2795" s="15" t="n">
        <v>0.4</v>
      </c>
      <c r="N2795" s="9" t="s">
        <v>85</v>
      </c>
    </row>
    <row r="2796" customFormat="false" ht="14.25" hidden="false" customHeight="true" outlineLevel="0" collapsed="false">
      <c r="B2796" s="9" t="s">
        <v>36</v>
      </c>
      <c r="C2796" s="9" t="n">
        <v>1197831</v>
      </c>
      <c r="D2796" s="10" t="n">
        <v>44520</v>
      </c>
      <c r="E2796" s="9" t="s">
        <v>29</v>
      </c>
      <c r="F2796" s="9" t="s">
        <v>106</v>
      </c>
      <c r="G2796" s="9" t="s">
        <v>107</v>
      </c>
      <c r="H2796" s="11" t="s">
        <v>23</v>
      </c>
      <c r="I2796" s="12" t="n">
        <v>55</v>
      </c>
      <c r="J2796" s="13" t="n">
        <v>300</v>
      </c>
      <c r="K2796" s="14" t="n">
        <f aca="false">I2796*J2796</f>
        <v>16500</v>
      </c>
      <c r="L2796" s="14" t="n">
        <f aca="false">($L$2*M2796)/100</f>
        <v>480666.6</v>
      </c>
      <c r="M2796" s="15" t="n">
        <v>0.4</v>
      </c>
      <c r="N2796" s="9" t="s">
        <v>85</v>
      </c>
    </row>
    <row r="2797" customFormat="false" ht="14.25" hidden="false" customHeight="true" outlineLevel="0" collapsed="false">
      <c r="B2797" s="9" t="s">
        <v>36</v>
      </c>
      <c r="C2797" s="9" t="n">
        <v>1197831</v>
      </c>
      <c r="D2797" s="10" t="n">
        <v>44520</v>
      </c>
      <c r="E2797" s="9" t="s">
        <v>29</v>
      </c>
      <c r="F2797" s="9" t="s">
        <v>106</v>
      </c>
      <c r="G2797" s="9" t="s">
        <v>107</v>
      </c>
      <c r="H2797" s="11" t="s">
        <v>24</v>
      </c>
      <c r="I2797" s="12" t="n">
        <v>75</v>
      </c>
      <c r="J2797" s="13" t="n">
        <v>275</v>
      </c>
      <c r="K2797" s="14" t="n">
        <f aca="false">I2797*J2797</f>
        <v>20625</v>
      </c>
      <c r="L2797" s="14" t="n">
        <f aca="false">($L$2*M2797)/100</f>
        <v>420583.275</v>
      </c>
      <c r="M2797" s="15" t="n">
        <v>0.35</v>
      </c>
      <c r="N2797" s="9" t="s">
        <v>85</v>
      </c>
    </row>
    <row r="2798" customFormat="false" ht="14.25" hidden="false" customHeight="true" outlineLevel="0" collapsed="false">
      <c r="B2798" s="9" t="s">
        <v>36</v>
      </c>
      <c r="C2798" s="9" t="n">
        <v>1197831</v>
      </c>
      <c r="D2798" s="10" t="n">
        <v>44520</v>
      </c>
      <c r="E2798" s="9" t="s">
        <v>29</v>
      </c>
      <c r="F2798" s="9" t="s">
        <v>106</v>
      </c>
      <c r="G2798" s="9" t="s">
        <v>107</v>
      </c>
      <c r="H2798" s="11" t="s">
        <v>25</v>
      </c>
      <c r="I2798" s="12" t="n">
        <v>75</v>
      </c>
      <c r="J2798" s="13" t="n">
        <v>375</v>
      </c>
      <c r="K2798" s="14" t="n">
        <f aca="false">I2798*J2798</f>
        <v>28125</v>
      </c>
      <c r="L2798" s="14" t="n">
        <f aca="false">($L$2*M2798)/100</f>
        <v>480666.6</v>
      </c>
      <c r="M2798" s="15" t="n">
        <v>0.4</v>
      </c>
      <c r="N2798" s="9" t="s">
        <v>85</v>
      </c>
    </row>
    <row r="2799" customFormat="false" ht="14.25" hidden="false" customHeight="true" outlineLevel="0" collapsed="false">
      <c r="B2799" s="9" t="s">
        <v>36</v>
      </c>
      <c r="C2799" s="9" t="n">
        <v>1197831</v>
      </c>
      <c r="D2799" s="10" t="n">
        <v>44549</v>
      </c>
      <c r="E2799" s="9" t="s">
        <v>29</v>
      </c>
      <c r="F2799" s="9" t="s">
        <v>106</v>
      </c>
      <c r="G2799" s="9" t="s">
        <v>107</v>
      </c>
      <c r="H2799" s="11" t="s">
        <v>19</v>
      </c>
      <c r="I2799" s="12" t="n">
        <v>70</v>
      </c>
      <c r="J2799" s="13" t="n">
        <v>625</v>
      </c>
      <c r="K2799" s="14" t="n">
        <f aca="false">I2799*J2799</f>
        <v>43750</v>
      </c>
      <c r="L2799" s="14" t="n">
        <f aca="false">($L$2*M2799)/100</f>
        <v>480666.6</v>
      </c>
      <c r="M2799" s="15" t="n">
        <v>0.4</v>
      </c>
      <c r="N2799" s="9" t="s">
        <v>85</v>
      </c>
    </row>
    <row r="2800" customFormat="false" ht="14.25" hidden="false" customHeight="true" outlineLevel="0" collapsed="false">
      <c r="B2800" s="9" t="s">
        <v>36</v>
      </c>
      <c r="C2800" s="9" t="n">
        <v>1197831</v>
      </c>
      <c r="D2800" s="10" t="n">
        <v>44549</v>
      </c>
      <c r="E2800" s="9" t="s">
        <v>29</v>
      </c>
      <c r="F2800" s="9" t="s">
        <v>106</v>
      </c>
      <c r="G2800" s="9" t="s">
        <v>107</v>
      </c>
      <c r="H2800" s="11" t="s">
        <v>21</v>
      </c>
      <c r="I2800" s="12" t="n">
        <v>60</v>
      </c>
      <c r="J2800" s="13" t="n">
        <v>425</v>
      </c>
      <c r="K2800" s="14" t="n">
        <f aca="false">I2800*J2800</f>
        <v>25500</v>
      </c>
      <c r="L2800" s="14" t="n">
        <f aca="false">($L$2*M2800)/100</f>
        <v>420583.275</v>
      </c>
      <c r="M2800" s="15" t="n">
        <v>0.35</v>
      </c>
      <c r="N2800" s="9" t="s">
        <v>85</v>
      </c>
    </row>
    <row r="2801" customFormat="false" ht="14.25" hidden="false" customHeight="true" outlineLevel="0" collapsed="false">
      <c r="B2801" s="9" t="s">
        <v>36</v>
      </c>
      <c r="C2801" s="9" t="n">
        <v>1197831</v>
      </c>
      <c r="D2801" s="10" t="n">
        <v>44549</v>
      </c>
      <c r="E2801" s="9" t="s">
        <v>29</v>
      </c>
      <c r="F2801" s="9" t="s">
        <v>106</v>
      </c>
      <c r="G2801" s="9" t="s">
        <v>107</v>
      </c>
      <c r="H2801" s="11" t="s">
        <v>22</v>
      </c>
      <c r="I2801" s="12" t="n">
        <v>60</v>
      </c>
      <c r="J2801" s="13" t="n">
        <v>375</v>
      </c>
      <c r="K2801" s="14" t="n">
        <f aca="false">I2801*J2801</f>
        <v>22500</v>
      </c>
      <c r="L2801" s="14" t="n">
        <f aca="false">($L$2*M2801)/100</f>
        <v>480666.6</v>
      </c>
      <c r="M2801" s="15" t="n">
        <v>0.4</v>
      </c>
      <c r="N2801" s="9" t="s">
        <v>85</v>
      </c>
    </row>
    <row r="2802" customFormat="false" ht="14.25" hidden="false" customHeight="true" outlineLevel="0" collapsed="false">
      <c r="B2802" s="9" t="s">
        <v>36</v>
      </c>
      <c r="C2802" s="9" t="n">
        <v>1197831</v>
      </c>
      <c r="D2802" s="10" t="n">
        <v>44549</v>
      </c>
      <c r="E2802" s="9" t="s">
        <v>29</v>
      </c>
      <c r="F2802" s="9" t="s">
        <v>106</v>
      </c>
      <c r="G2802" s="9" t="s">
        <v>107</v>
      </c>
      <c r="H2802" s="11" t="s">
        <v>23</v>
      </c>
      <c r="I2802" s="12" t="n">
        <v>60</v>
      </c>
      <c r="J2802" s="13" t="n">
        <v>325</v>
      </c>
      <c r="K2802" s="14" t="n">
        <f aca="false">I2802*J2802</f>
        <v>19500</v>
      </c>
      <c r="L2802" s="14" t="n">
        <f aca="false">($L$2*M2802)/100</f>
        <v>480666.6</v>
      </c>
      <c r="M2802" s="15" t="n">
        <v>0.4</v>
      </c>
      <c r="N2802" s="9" t="s">
        <v>85</v>
      </c>
    </row>
    <row r="2803" customFormat="false" ht="14.25" hidden="false" customHeight="true" outlineLevel="0" collapsed="false">
      <c r="B2803" s="9" t="s">
        <v>36</v>
      </c>
      <c r="C2803" s="9" t="n">
        <v>1197831</v>
      </c>
      <c r="D2803" s="10" t="n">
        <v>44549</v>
      </c>
      <c r="E2803" s="9" t="s">
        <v>29</v>
      </c>
      <c r="F2803" s="9" t="s">
        <v>106</v>
      </c>
      <c r="G2803" s="9" t="s">
        <v>107</v>
      </c>
      <c r="H2803" s="11" t="s">
        <v>24</v>
      </c>
      <c r="I2803" s="12" t="n">
        <v>70</v>
      </c>
      <c r="J2803" s="13" t="n">
        <v>325</v>
      </c>
      <c r="K2803" s="14" t="n">
        <f aca="false">I2803*J2803</f>
        <v>22750</v>
      </c>
      <c r="L2803" s="14" t="n">
        <f aca="false">($L$2*M2803)/100</f>
        <v>420583.275</v>
      </c>
      <c r="M2803" s="15" t="n">
        <v>0.35</v>
      </c>
      <c r="N2803" s="9" t="s">
        <v>85</v>
      </c>
    </row>
    <row r="2804" customFormat="false" ht="14.25" hidden="false" customHeight="true" outlineLevel="0" collapsed="false">
      <c r="B2804" s="9" t="s">
        <v>36</v>
      </c>
      <c r="C2804" s="9" t="n">
        <v>1197831</v>
      </c>
      <c r="D2804" s="10" t="n">
        <v>44549</v>
      </c>
      <c r="E2804" s="9" t="s">
        <v>29</v>
      </c>
      <c r="F2804" s="9" t="s">
        <v>106</v>
      </c>
      <c r="G2804" s="9" t="s">
        <v>107</v>
      </c>
      <c r="H2804" s="11" t="s">
        <v>25</v>
      </c>
      <c r="I2804" s="12" t="n">
        <v>75</v>
      </c>
      <c r="J2804" s="13" t="n">
        <v>425</v>
      </c>
      <c r="K2804" s="14" t="n">
        <f aca="false">I2804*J2804</f>
        <v>31875</v>
      </c>
      <c r="L2804" s="14" t="n">
        <f aca="false">($L$2*M2804)/100</f>
        <v>480666.6</v>
      </c>
      <c r="M2804" s="15" t="n">
        <v>0.4</v>
      </c>
      <c r="N2804" s="9" t="s">
        <v>85</v>
      </c>
    </row>
    <row r="2805" customFormat="false" ht="14.25" hidden="false" customHeight="true" outlineLevel="0" collapsed="false">
      <c r="B2805" s="9" t="s">
        <v>36</v>
      </c>
      <c r="C2805" s="9" t="n">
        <v>1197831</v>
      </c>
      <c r="D2805" s="10" t="n">
        <v>44212</v>
      </c>
      <c r="E2805" s="9" t="s">
        <v>29</v>
      </c>
      <c r="F2805" s="9" t="s">
        <v>106</v>
      </c>
      <c r="G2805" s="9" t="s">
        <v>107</v>
      </c>
      <c r="H2805" s="11" t="s">
        <v>19</v>
      </c>
      <c r="I2805" s="12" t="n">
        <v>25</v>
      </c>
      <c r="J2805" s="13" t="n">
        <v>550</v>
      </c>
      <c r="K2805" s="14" t="n">
        <f aca="false">I2805*J2805</f>
        <v>13750</v>
      </c>
      <c r="L2805" s="14" t="n">
        <f aca="false">($L$2*M2805)/100</f>
        <v>420583.275</v>
      </c>
      <c r="M2805" s="15" t="n">
        <v>0.35</v>
      </c>
      <c r="N2805" s="9" t="s">
        <v>85</v>
      </c>
    </row>
    <row r="2806" customFormat="false" ht="14.25" hidden="false" customHeight="true" outlineLevel="0" collapsed="false">
      <c r="B2806" s="9" t="s">
        <v>36</v>
      </c>
      <c r="C2806" s="9" t="n">
        <v>1197831</v>
      </c>
      <c r="D2806" s="10" t="n">
        <v>44212</v>
      </c>
      <c r="E2806" s="9" t="s">
        <v>29</v>
      </c>
      <c r="F2806" s="9" t="s">
        <v>106</v>
      </c>
      <c r="G2806" s="9" t="s">
        <v>107</v>
      </c>
      <c r="H2806" s="11" t="s">
        <v>21</v>
      </c>
      <c r="I2806" s="12" t="n">
        <v>25</v>
      </c>
      <c r="J2806" s="13" t="n">
        <v>350</v>
      </c>
      <c r="K2806" s="14" t="n">
        <f aca="false">I2806*J2806</f>
        <v>8750</v>
      </c>
      <c r="L2806" s="14" t="n">
        <f aca="false">($L$2*M2806)/100</f>
        <v>420583.275</v>
      </c>
      <c r="M2806" s="15" t="n">
        <v>0.35</v>
      </c>
      <c r="N2806" s="9" t="s">
        <v>85</v>
      </c>
    </row>
    <row r="2807" customFormat="false" ht="14.25" hidden="false" customHeight="true" outlineLevel="0" collapsed="false">
      <c r="B2807" s="9" t="s">
        <v>36</v>
      </c>
      <c r="C2807" s="9" t="n">
        <v>1197831</v>
      </c>
      <c r="D2807" s="10" t="n">
        <v>44212</v>
      </c>
      <c r="E2807" s="9" t="s">
        <v>29</v>
      </c>
      <c r="F2807" s="9" t="s">
        <v>106</v>
      </c>
      <c r="G2807" s="9" t="s">
        <v>107</v>
      </c>
      <c r="H2807" s="11" t="s">
        <v>22</v>
      </c>
      <c r="I2807" s="12" t="n">
        <v>15</v>
      </c>
      <c r="J2807" s="13" t="n">
        <v>350</v>
      </c>
      <c r="K2807" s="14" t="n">
        <f aca="false">I2807*J2807</f>
        <v>5250</v>
      </c>
      <c r="L2807" s="14" t="n">
        <f aca="false">($L$2*M2807)/100</f>
        <v>420583.275</v>
      </c>
      <c r="M2807" s="15" t="n">
        <v>0.35</v>
      </c>
      <c r="N2807" s="9" t="s">
        <v>85</v>
      </c>
    </row>
    <row r="2808" customFormat="false" ht="14.25" hidden="false" customHeight="true" outlineLevel="0" collapsed="false">
      <c r="B2808" s="9" t="s">
        <v>36</v>
      </c>
      <c r="C2808" s="9" t="n">
        <v>1197831</v>
      </c>
      <c r="D2808" s="10" t="n">
        <v>44212</v>
      </c>
      <c r="E2808" s="9" t="s">
        <v>29</v>
      </c>
      <c r="F2808" s="9" t="s">
        <v>106</v>
      </c>
      <c r="G2808" s="9" t="s">
        <v>107</v>
      </c>
      <c r="H2808" s="11" t="s">
        <v>23</v>
      </c>
      <c r="I2808" s="12" t="n">
        <v>20</v>
      </c>
      <c r="J2808" s="13" t="n">
        <v>200</v>
      </c>
      <c r="K2808" s="14" t="n">
        <f aca="false">I2808*J2808</f>
        <v>4000</v>
      </c>
      <c r="L2808" s="14" t="n">
        <f aca="false">($L$2*M2808)/100</f>
        <v>420583.275</v>
      </c>
      <c r="M2808" s="15" t="n">
        <v>0.35</v>
      </c>
      <c r="N2808" s="9" t="s">
        <v>85</v>
      </c>
    </row>
    <row r="2809" customFormat="false" ht="14.25" hidden="false" customHeight="true" outlineLevel="0" collapsed="false">
      <c r="B2809" s="9" t="s">
        <v>36</v>
      </c>
      <c r="C2809" s="9" t="n">
        <v>1197831</v>
      </c>
      <c r="D2809" s="10" t="n">
        <v>44212</v>
      </c>
      <c r="E2809" s="9" t="s">
        <v>29</v>
      </c>
      <c r="F2809" s="9" t="s">
        <v>106</v>
      </c>
      <c r="G2809" s="9" t="s">
        <v>107</v>
      </c>
      <c r="H2809" s="11" t="s">
        <v>24</v>
      </c>
      <c r="I2809" s="12" t="n">
        <v>35</v>
      </c>
      <c r="J2809" s="13" t="n">
        <v>250</v>
      </c>
      <c r="K2809" s="14" t="n">
        <f aca="false">I2809*J2809</f>
        <v>8750</v>
      </c>
      <c r="L2809" s="14" t="n">
        <f aca="false">($L$2*M2809)/100</f>
        <v>420583.275</v>
      </c>
      <c r="M2809" s="15" t="n">
        <v>0.35</v>
      </c>
      <c r="N2809" s="9" t="s">
        <v>85</v>
      </c>
    </row>
    <row r="2810" customFormat="false" ht="14.25" hidden="false" customHeight="true" outlineLevel="0" collapsed="false">
      <c r="B2810" s="9" t="s">
        <v>36</v>
      </c>
      <c r="C2810" s="9" t="n">
        <v>1197831</v>
      </c>
      <c r="D2810" s="10" t="n">
        <v>44212</v>
      </c>
      <c r="E2810" s="9" t="s">
        <v>29</v>
      </c>
      <c r="F2810" s="9" t="s">
        <v>106</v>
      </c>
      <c r="G2810" s="9" t="s">
        <v>107</v>
      </c>
      <c r="H2810" s="11" t="s">
        <v>25</v>
      </c>
      <c r="I2810" s="12" t="n">
        <v>25</v>
      </c>
      <c r="J2810" s="13" t="n">
        <v>350</v>
      </c>
      <c r="K2810" s="14" t="n">
        <f aca="false">I2810*J2810</f>
        <v>8750</v>
      </c>
      <c r="L2810" s="14" t="n">
        <f aca="false">($L$2*M2810)/100</f>
        <v>420583.275</v>
      </c>
      <c r="M2810" s="15" t="n">
        <v>0.35</v>
      </c>
      <c r="N2810" s="9" t="s">
        <v>85</v>
      </c>
    </row>
    <row r="2811" customFormat="false" ht="14.25" hidden="false" customHeight="true" outlineLevel="0" collapsed="false">
      <c r="B2811" s="9" t="s">
        <v>36</v>
      </c>
      <c r="C2811" s="9" t="n">
        <v>1197831</v>
      </c>
      <c r="D2811" s="10" t="n">
        <v>44241</v>
      </c>
      <c r="E2811" s="9" t="s">
        <v>29</v>
      </c>
      <c r="F2811" s="9" t="s">
        <v>106</v>
      </c>
      <c r="G2811" s="9" t="s">
        <v>107</v>
      </c>
      <c r="H2811" s="11" t="s">
        <v>19</v>
      </c>
      <c r="I2811" s="12" t="n">
        <v>25</v>
      </c>
      <c r="J2811" s="13" t="n">
        <v>600</v>
      </c>
      <c r="K2811" s="14" t="n">
        <f aca="false">I2811*J2811</f>
        <v>15000</v>
      </c>
      <c r="L2811" s="14" t="n">
        <f aca="false">($L$2*M2811)/100</f>
        <v>420583.275</v>
      </c>
      <c r="M2811" s="15" t="n">
        <v>0.35</v>
      </c>
      <c r="N2811" s="9" t="s">
        <v>85</v>
      </c>
    </row>
    <row r="2812" customFormat="false" ht="14.25" hidden="false" customHeight="true" outlineLevel="0" collapsed="false">
      <c r="B2812" s="9" t="s">
        <v>36</v>
      </c>
      <c r="C2812" s="9" t="n">
        <v>1197831</v>
      </c>
      <c r="D2812" s="10" t="n">
        <v>44241</v>
      </c>
      <c r="E2812" s="9" t="s">
        <v>29</v>
      </c>
      <c r="F2812" s="9" t="s">
        <v>106</v>
      </c>
      <c r="G2812" s="9" t="s">
        <v>107</v>
      </c>
      <c r="H2812" s="11" t="s">
        <v>21</v>
      </c>
      <c r="I2812" s="12" t="n">
        <v>25</v>
      </c>
      <c r="J2812" s="13" t="n">
        <v>250</v>
      </c>
      <c r="K2812" s="14" t="n">
        <f aca="false">I2812*J2812</f>
        <v>6250</v>
      </c>
      <c r="L2812" s="14" t="n">
        <f aca="false">($L$2*M2812)/100</f>
        <v>420583.275</v>
      </c>
      <c r="M2812" s="15" t="n">
        <v>0.35</v>
      </c>
      <c r="N2812" s="9" t="s">
        <v>85</v>
      </c>
    </row>
    <row r="2813" customFormat="false" ht="14.25" hidden="false" customHeight="true" outlineLevel="0" collapsed="false">
      <c r="B2813" s="9" t="s">
        <v>36</v>
      </c>
      <c r="C2813" s="9" t="n">
        <v>1197831</v>
      </c>
      <c r="D2813" s="10" t="n">
        <v>44241</v>
      </c>
      <c r="E2813" s="9" t="s">
        <v>29</v>
      </c>
      <c r="F2813" s="9" t="s">
        <v>106</v>
      </c>
      <c r="G2813" s="9" t="s">
        <v>107</v>
      </c>
      <c r="H2813" s="11" t="s">
        <v>22</v>
      </c>
      <c r="I2813" s="12" t="n">
        <v>15</v>
      </c>
      <c r="J2813" s="13" t="n">
        <v>300</v>
      </c>
      <c r="K2813" s="14" t="n">
        <f aca="false">I2813*J2813</f>
        <v>4500</v>
      </c>
      <c r="L2813" s="14" t="n">
        <f aca="false">($L$2*M2813)/100</f>
        <v>420583.275</v>
      </c>
      <c r="M2813" s="15" t="n">
        <v>0.35</v>
      </c>
      <c r="N2813" s="9" t="s">
        <v>85</v>
      </c>
    </row>
    <row r="2814" customFormat="false" ht="14.25" hidden="false" customHeight="true" outlineLevel="0" collapsed="false">
      <c r="B2814" s="9" t="s">
        <v>36</v>
      </c>
      <c r="C2814" s="9" t="n">
        <v>1197831</v>
      </c>
      <c r="D2814" s="10" t="n">
        <v>44241</v>
      </c>
      <c r="E2814" s="9" t="s">
        <v>38</v>
      </c>
      <c r="F2814" s="9" t="s">
        <v>108</v>
      </c>
      <c r="G2814" s="9" t="s">
        <v>109</v>
      </c>
      <c r="H2814" s="11" t="s">
        <v>23</v>
      </c>
      <c r="I2814" s="12" t="n">
        <v>20</v>
      </c>
      <c r="J2814" s="13" t="n">
        <v>150</v>
      </c>
      <c r="K2814" s="14" t="n">
        <f aca="false">I2814*J2814</f>
        <v>3000</v>
      </c>
      <c r="L2814" s="14" t="n">
        <f aca="false">($L$2*M2814)/100</f>
        <v>420583.275</v>
      </c>
      <c r="M2814" s="15" t="n">
        <v>0.35</v>
      </c>
      <c r="N2814" s="9" t="s">
        <v>85</v>
      </c>
    </row>
    <row r="2815" customFormat="false" ht="14.25" hidden="false" customHeight="true" outlineLevel="0" collapsed="false">
      <c r="B2815" s="9" t="s">
        <v>36</v>
      </c>
      <c r="C2815" s="9" t="n">
        <v>1197831</v>
      </c>
      <c r="D2815" s="10" t="n">
        <v>44241</v>
      </c>
      <c r="E2815" s="9" t="s">
        <v>38</v>
      </c>
      <c r="F2815" s="9" t="s">
        <v>108</v>
      </c>
      <c r="G2815" s="9" t="s">
        <v>109</v>
      </c>
      <c r="H2815" s="11" t="s">
        <v>24</v>
      </c>
      <c r="I2815" s="12" t="n">
        <v>35</v>
      </c>
      <c r="J2815" s="13" t="n">
        <v>225</v>
      </c>
      <c r="K2815" s="14" t="n">
        <f aca="false">I2815*J2815</f>
        <v>7875</v>
      </c>
      <c r="L2815" s="14" t="n">
        <f aca="false">($L$2*M2815)/100</f>
        <v>420583.275</v>
      </c>
      <c r="M2815" s="15" t="n">
        <v>0.35</v>
      </c>
      <c r="N2815" s="9" t="s">
        <v>85</v>
      </c>
    </row>
    <row r="2816" customFormat="false" ht="14.25" hidden="false" customHeight="true" outlineLevel="0" collapsed="false">
      <c r="B2816" s="9" t="s">
        <v>36</v>
      </c>
      <c r="C2816" s="9" t="n">
        <v>1197831</v>
      </c>
      <c r="D2816" s="10" t="n">
        <v>44241</v>
      </c>
      <c r="E2816" s="9" t="s">
        <v>38</v>
      </c>
      <c r="F2816" s="9" t="s">
        <v>108</v>
      </c>
      <c r="G2816" s="9" t="s">
        <v>109</v>
      </c>
      <c r="H2816" s="11" t="s">
        <v>25</v>
      </c>
      <c r="I2816" s="12" t="n">
        <v>20</v>
      </c>
      <c r="J2816" s="13" t="n">
        <v>325</v>
      </c>
      <c r="K2816" s="14" t="n">
        <f aca="false">I2816*J2816</f>
        <v>6500</v>
      </c>
      <c r="L2816" s="14" t="n">
        <f aca="false">($L$2*M2816)/100</f>
        <v>420583.275</v>
      </c>
      <c r="M2816" s="15" t="n">
        <v>0.35</v>
      </c>
      <c r="N2816" s="9" t="s">
        <v>85</v>
      </c>
    </row>
    <row r="2817" customFormat="false" ht="14.25" hidden="false" customHeight="true" outlineLevel="0" collapsed="false">
      <c r="B2817" s="9" t="s">
        <v>36</v>
      </c>
      <c r="C2817" s="9" t="n">
        <v>1197831</v>
      </c>
      <c r="D2817" s="10" t="n">
        <v>44267</v>
      </c>
      <c r="E2817" s="9" t="s">
        <v>38</v>
      </c>
      <c r="F2817" s="9" t="s">
        <v>108</v>
      </c>
      <c r="G2817" s="9" t="s">
        <v>109</v>
      </c>
      <c r="H2817" s="11" t="s">
        <v>19</v>
      </c>
      <c r="I2817" s="12" t="n">
        <v>20</v>
      </c>
      <c r="J2817" s="13" t="n">
        <v>545</v>
      </c>
      <c r="K2817" s="14" t="n">
        <f aca="false">I2817*J2817</f>
        <v>10900</v>
      </c>
      <c r="L2817" s="14" t="n">
        <f aca="false">($L$2*M2817)/100</f>
        <v>420583.275</v>
      </c>
      <c r="M2817" s="15" t="n">
        <v>0.35</v>
      </c>
      <c r="N2817" s="9" t="s">
        <v>85</v>
      </c>
    </row>
    <row r="2818" customFormat="false" ht="14.25" hidden="false" customHeight="true" outlineLevel="0" collapsed="false">
      <c r="B2818" s="9" t="s">
        <v>36</v>
      </c>
      <c r="C2818" s="9" t="n">
        <v>1197831</v>
      </c>
      <c r="D2818" s="10" t="n">
        <v>44267</v>
      </c>
      <c r="E2818" s="9" t="s">
        <v>38</v>
      </c>
      <c r="F2818" s="9" t="s">
        <v>108</v>
      </c>
      <c r="G2818" s="9" t="s">
        <v>109</v>
      </c>
      <c r="H2818" s="11" t="s">
        <v>21</v>
      </c>
      <c r="I2818" s="12" t="n">
        <v>20</v>
      </c>
      <c r="J2818" s="13" t="n">
        <v>225</v>
      </c>
      <c r="K2818" s="14" t="n">
        <f aca="false">I2818*J2818</f>
        <v>4500</v>
      </c>
      <c r="L2818" s="14" t="n">
        <f aca="false">($L$2*M2818)/100</f>
        <v>420583.275</v>
      </c>
      <c r="M2818" s="15" t="n">
        <v>0.35</v>
      </c>
      <c r="N2818" s="9" t="s">
        <v>85</v>
      </c>
    </row>
    <row r="2819" customFormat="false" ht="14.25" hidden="false" customHeight="true" outlineLevel="0" collapsed="false">
      <c r="B2819" s="9" t="s">
        <v>36</v>
      </c>
      <c r="C2819" s="9" t="n">
        <v>1197831</v>
      </c>
      <c r="D2819" s="10" t="n">
        <v>44267</v>
      </c>
      <c r="E2819" s="9" t="s">
        <v>38</v>
      </c>
      <c r="F2819" s="9" t="s">
        <v>108</v>
      </c>
      <c r="G2819" s="9" t="s">
        <v>109</v>
      </c>
      <c r="H2819" s="11" t="s">
        <v>22</v>
      </c>
      <c r="I2819" s="12" t="n">
        <v>10</v>
      </c>
      <c r="J2819" s="13" t="n">
        <v>250</v>
      </c>
      <c r="K2819" s="14" t="n">
        <f aca="false">I2819*J2819</f>
        <v>2500</v>
      </c>
      <c r="L2819" s="14" t="n">
        <f aca="false">($L$2*M2819)/100</f>
        <v>420583.275</v>
      </c>
      <c r="M2819" s="15" t="n">
        <v>0.35</v>
      </c>
      <c r="N2819" s="9" t="s">
        <v>85</v>
      </c>
    </row>
    <row r="2820" customFormat="false" ht="14.25" hidden="false" customHeight="true" outlineLevel="0" collapsed="false">
      <c r="B2820" s="9" t="s">
        <v>36</v>
      </c>
      <c r="C2820" s="9" t="n">
        <v>1197831</v>
      </c>
      <c r="D2820" s="10" t="n">
        <v>44267</v>
      </c>
      <c r="E2820" s="9" t="s">
        <v>38</v>
      </c>
      <c r="F2820" s="9" t="s">
        <v>108</v>
      </c>
      <c r="G2820" s="9" t="s">
        <v>109</v>
      </c>
      <c r="H2820" s="11" t="s">
        <v>23</v>
      </c>
      <c r="I2820" s="12" t="n">
        <v>20</v>
      </c>
      <c r="J2820" s="13" t="n">
        <v>100</v>
      </c>
      <c r="K2820" s="14" t="n">
        <f aca="false">I2820*J2820</f>
        <v>2000</v>
      </c>
      <c r="L2820" s="14" t="n">
        <f aca="false">($L$2*M2820)/100</f>
        <v>420583.275</v>
      </c>
      <c r="M2820" s="15" t="n">
        <v>0.35</v>
      </c>
      <c r="N2820" s="9" t="s">
        <v>85</v>
      </c>
    </row>
    <row r="2821" customFormat="false" ht="14.25" hidden="false" customHeight="true" outlineLevel="0" collapsed="false">
      <c r="B2821" s="9" t="s">
        <v>36</v>
      </c>
      <c r="C2821" s="9" t="n">
        <v>1197831</v>
      </c>
      <c r="D2821" s="10" t="n">
        <v>44267</v>
      </c>
      <c r="E2821" s="9" t="s">
        <v>38</v>
      </c>
      <c r="F2821" s="9" t="s">
        <v>108</v>
      </c>
      <c r="G2821" s="9" t="s">
        <v>109</v>
      </c>
      <c r="H2821" s="11" t="s">
        <v>24</v>
      </c>
      <c r="I2821" s="12" t="n">
        <v>35</v>
      </c>
      <c r="J2821" s="13" t="n">
        <v>150</v>
      </c>
      <c r="K2821" s="14" t="n">
        <f aca="false">I2821*J2821</f>
        <v>5250</v>
      </c>
      <c r="L2821" s="14" t="n">
        <f aca="false">($L$2*M2821)/100</f>
        <v>420583.275</v>
      </c>
      <c r="M2821" s="15" t="n">
        <v>0.35</v>
      </c>
      <c r="N2821" s="9" t="s">
        <v>85</v>
      </c>
    </row>
    <row r="2822" customFormat="false" ht="14.25" hidden="false" customHeight="true" outlineLevel="0" collapsed="false">
      <c r="B2822" s="9" t="s">
        <v>36</v>
      </c>
      <c r="C2822" s="9" t="n">
        <v>1197831</v>
      </c>
      <c r="D2822" s="10" t="n">
        <v>44267</v>
      </c>
      <c r="E2822" s="9" t="s">
        <v>38</v>
      </c>
      <c r="F2822" s="9" t="s">
        <v>108</v>
      </c>
      <c r="G2822" s="9" t="s">
        <v>109</v>
      </c>
      <c r="H2822" s="11" t="s">
        <v>25</v>
      </c>
      <c r="I2822" s="12" t="n">
        <v>25</v>
      </c>
      <c r="J2822" s="13" t="n">
        <v>250</v>
      </c>
      <c r="K2822" s="14" t="n">
        <f aca="false">I2822*J2822</f>
        <v>6250</v>
      </c>
      <c r="L2822" s="14" t="n">
        <f aca="false">($L$2*M2822)/100</f>
        <v>420583.275</v>
      </c>
      <c r="M2822" s="15" t="n">
        <v>0.35</v>
      </c>
      <c r="N2822" s="9" t="s">
        <v>85</v>
      </c>
    </row>
    <row r="2823" customFormat="false" ht="14.25" hidden="false" customHeight="true" outlineLevel="0" collapsed="false">
      <c r="B2823" s="9" t="s">
        <v>36</v>
      </c>
      <c r="C2823" s="9" t="n">
        <v>1197831</v>
      </c>
      <c r="D2823" s="10" t="n">
        <v>44299</v>
      </c>
      <c r="E2823" s="9" t="s">
        <v>38</v>
      </c>
      <c r="F2823" s="9" t="s">
        <v>108</v>
      </c>
      <c r="G2823" s="9" t="s">
        <v>109</v>
      </c>
      <c r="H2823" s="11" t="s">
        <v>19</v>
      </c>
      <c r="I2823" s="12" t="n">
        <v>25</v>
      </c>
      <c r="J2823" s="13" t="n">
        <v>500</v>
      </c>
      <c r="K2823" s="14" t="n">
        <f aca="false">I2823*J2823</f>
        <v>12500</v>
      </c>
      <c r="L2823" s="14" t="n">
        <f aca="false">($L$2*M2823)/100</f>
        <v>420583.275</v>
      </c>
      <c r="M2823" s="15" t="n">
        <v>0.35</v>
      </c>
      <c r="N2823" s="9" t="s">
        <v>85</v>
      </c>
    </row>
    <row r="2824" customFormat="false" ht="14.25" hidden="false" customHeight="true" outlineLevel="0" collapsed="false">
      <c r="B2824" s="9" t="s">
        <v>36</v>
      </c>
      <c r="C2824" s="9" t="n">
        <v>1197831</v>
      </c>
      <c r="D2824" s="10" t="n">
        <v>44299</v>
      </c>
      <c r="E2824" s="9" t="s">
        <v>38</v>
      </c>
      <c r="F2824" s="9" t="s">
        <v>108</v>
      </c>
      <c r="G2824" s="9" t="s">
        <v>109</v>
      </c>
      <c r="H2824" s="11" t="s">
        <v>21</v>
      </c>
      <c r="I2824" s="12" t="n">
        <v>25</v>
      </c>
      <c r="J2824" s="13" t="n">
        <v>200</v>
      </c>
      <c r="K2824" s="14" t="n">
        <f aca="false">I2824*J2824</f>
        <v>5000</v>
      </c>
      <c r="L2824" s="14" t="n">
        <f aca="false">($L$2*M2824)/100</f>
        <v>420583.275</v>
      </c>
      <c r="M2824" s="15" t="n">
        <v>0.35</v>
      </c>
      <c r="N2824" s="9" t="s">
        <v>85</v>
      </c>
    </row>
    <row r="2825" customFormat="false" ht="14.25" hidden="false" customHeight="true" outlineLevel="0" collapsed="false">
      <c r="B2825" s="9" t="s">
        <v>36</v>
      </c>
      <c r="C2825" s="9" t="n">
        <v>1197831</v>
      </c>
      <c r="D2825" s="10" t="n">
        <v>44299</v>
      </c>
      <c r="E2825" s="9" t="s">
        <v>38</v>
      </c>
      <c r="F2825" s="9" t="s">
        <v>108</v>
      </c>
      <c r="G2825" s="9" t="s">
        <v>109</v>
      </c>
      <c r="H2825" s="11" t="s">
        <v>22</v>
      </c>
      <c r="I2825" s="12" t="n">
        <v>15</v>
      </c>
      <c r="J2825" s="13" t="n">
        <v>200</v>
      </c>
      <c r="K2825" s="14" t="n">
        <f aca="false">I2825*J2825</f>
        <v>3000</v>
      </c>
      <c r="L2825" s="14" t="n">
        <f aca="false">($L$2*M2825)/100</f>
        <v>420583.275</v>
      </c>
      <c r="M2825" s="15" t="n">
        <v>0.35</v>
      </c>
      <c r="N2825" s="9" t="s">
        <v>85</v>
      </c>
    </row>
    <row r="2826" customFormat="false" ht="14.25" hidden="false" customHeight="true" outlineLevel="0" collapsed="false">
      <c r="B2826" s="9" t="s">
        <v>36</v>
      </c>
      <c r="C2826" s="9" t="n">
        <v>1197831</v>
      </c>
      <c r="D2826" s="10" t="n">
        <v>44299</v>
      </c>
      <c r="E2826" s="9" t="s">
        <v>38</v>
      </c>
      <c r="F2826" s="9" t="s">
        <v>108</v>
      </c>
      <c r="G2826" s="9" t="s">
        <v>109</v>
      </c>
      <c r="H2826" s="11" t="s">
        <v>23</v>
      </c>
      <c r="I2826" s="12" t="n">
        <v>20</v>
      </c>
      <c r="J2826" s="13" t="n">
        <v>125</v>
      </c>
      <c r="K2826" s="14" t="n">
        <f aca="false">I2826*J2826</f>
        <v>2500</v>
      </c>
      <c r="L2826" s="14" t="n">
        <f aca="false">($L$2*M2826)/100</f>
        <v>420583.275</v>
      </c>
      <c r="M2826" s="15" t="n">
        <v>0.35</v>
      </c>
      <c r="N2826" s="9" t="s">
        <v>85</v>
      </c>
    </row>
    <row r="2827" customFormat="false" ht="14.25" hidden="false" customHeight="true" outlineLevel="0" collapsed="false">
      <c r="B2827" s="9" t="s">
        <v>36</v>
      </c>
      <c r="C2827" s="9" t="n">
        <v>1197831</v>
      </c>
      <c r="D2827" s="10" t="n">
        <v>44299</v>
      </c>
      <c r="E2827" s="9" t="s">
        <v>38</v>
      </c>
      <c r="F2827" s="9" t="s">
        <v>108</v>
      </c>
      <c r="G2827" s="9" t="s">
        <v>109</v>
      </c>
      <c r="H2827" s="11" t="s">
        <v>24</v>
      </c>
      <c r="I2827" s="12" t="n">
        <v>40</v>
      </c>
      <c r="J2827" s="13" t="n">
        <v>150</v>
      </c>
      <c r="K2827" s="14" t="n">
        <f aca="false">I2827*J2827</f>
        <v>6000</v>
      </c>
      <c r="L2827" s="14" t="n">
        <f aca="false">($L$2*M2827)/100</f>
        <v>420583.275</v>
      </c>
      <c r="M2827" s="15" t="n">
        <v>0.35</v>
      </c>
      <c r="N2827" s="9" t="s">
        <v>85</v>
      </c>
    </row>
    <row r="2828" customFormat="false" ht="14.25" hidden="false" customHeight="true" outlineLevel="0" collapsed="false">
      <c r="B2828" s="9" t="s">
        <v>36</v>
      </c>
      <c r="C2828" s="9" t="n">
        <v>1197831</v>
      </c>
      <c r="D2828" s="10" t="n">
        <v>44299</v>
      </c>
      <c r="E2828" s="9" t="s">
        <v>38</v>
      </c>
      <c r="F2828" s="9" t="s">
        <v>108</v>
      </c>
      <c r="G2828" s="9" t="s">
        <v>109</v>
      </c>
      <c r="H2828" s="11" t="s">
        <v>25</v>
      </c>
      <c r="I2828" s="12" t="n">
        <v>30</v>
      </c>
      <c r="J2828" s="13" t="n">
        <v>300</v>
      </c>
      <c r="K2828" s="14" t="n">
        <f aca="false">I2828*J2828</f>
        <v>9000</v>
      </c>
      <c r="L2828" s="14" t="n">
        <f aca="false">($L$2*M2828)/100</f>
        <v>420583.275</v>
      </c>
      <c r="M2828" s="15" t="n">
        <v>0.35</v>
      </c>
      <c r="N2828" s="9" t="s">
        <v>85</v>
      </c>
    </row>
    <row r="2829" customFormat="false" ht="14.25" hidden="false" customHeight="true" outlineLevel="0" collapsed="false">
      <c r="B2829" s="9" t="s">
        <v>36</v>
      </c>
      <c r="C2829" s="9" t="n">
        <v>1197831</v>
      </c>
      <c r="D2829" s="10" t="n">
        <v>44328</v>
      </c>
      <c r="E2829" s="9" t="s">
        <v>38</v>
      </c>
      <c r="F2829" s="9" t="s">
        <v>108</v>
      </c>
      <c r="G2829" s="9" t="s">
        <v>109</v>
      </c>
      <c r="H2829" s="11" t="s">
        <v>19</v>
      </c>
      <c r="I2829" s="12" t="n">
        <v>40</v>
      </c>
      <c r="J2829" s="13" t="n">
        <v>570</v>
      </c>
      <c r="K2829" s="14" t="n">
        <f aca="false">I2829*J2829</f>
        <v>22800</v>
      </c>
      <c r="L2829" s="14" t="n">
        <f aca="false">($L$2*M2829)/100</f>
        <v>420583.275</v>
      </c>
      <c r="M2829" s="15" t="n">
        <v>0.35</v>
      </c>
      <c r="N2829" s="9" t="s">
        <v>85</v>
      </c>
    </row>
    <row r="2830" customFormat="false" ht="14.25" hidden="false" customHeight="true" outlineLevel="0" collapsed="false">
      <c r="B2830" s="9" t="s">
        <v>36</v>
      </c>
      <c r="C2830" s="9" t="n">
        <v>1197831</v>
      </c>
      <c r="D2830" s="10" t="n">
        <v>44328</v>
      </c>
      <c r="E2830" s="9" t="s">
        <v>38</v>
      </c>
      <c r="F2830" s="9" t="s">
        <v>108</v>
      </c>
      <c r="G2830" s="9" t="s">
        <v>109</v>
      </c>
      <c r="H2830" s="11" t="s">
        <v>21</v>
      </c>
      <c r="I2830" s="12" t="n">
        <v>40</v>
      </c>
      <c r="J2830" s="13" t="n">
        <v>275</v>
      </c>
      <c r="K2830" s="14" t="n">
        <f aca="false">I2830*J2830</f>
        <v>11000</v>
      </c>
      <c r="L2830" s="14" t="n">
        <f aca="false">($L$2*M2830)/100</f>
        <v>420583.275</v>
      </c>
      <c r="M2830" s="15" t="n">
        <v>0.35</v>
      </c>
      <c r="N2830" s="9" t="s">
        <v>85</v>
      </c>
    </row>
    <row r="2831" customFormat="false" ht="14.25" hidden="false" customHeight="true" outlineLevel="0" collapsed="false">
      <c r="B2831" s="9" t="s">
        <v>36</v>
      </c>
      <c r="C2831" s="9" t="n">
        <v>1197831</v>
      </c>
      <c r="D2831" s="10" t="n">
        <v>44328</v>
      </c>
      <c r="E2831" s="9" t="s">
        <v>38</v>
      </c>
      <c r="F2831" s="9" t="s">
        <v>108</v>
      </c>
      <c r="G2831" s="9" t="s">
        <v>109</v>
      </c>
      <c r="H2831" s="11" t="s">
        <v>22</v>
      </c>
      <c r="I2831" s="12" t="n">
        <v>35</v>
      </c>
      <c r="J2831" s="13" t="n">
        <v>250</v>
      </c>
      <c r="K2831" s="14" t="n">
        <f aca="false">I2831*J2831</f>
        <v>8750</v>
      </c>
      <c r="L2831" s="14" t="n">
        <f aca="false">($L$2*M2831)/100</f>
        <v>420583.275</v>
      </c>
      <c r="M2831" s="15" t="n">
        <v>0.35</v>
      </c>
      <c r="N2831" s="9" t="s">
        <v>85</v>
      </c>
    </row>
    <row r="2832" customFormat="false" ht="14.25" hidden="false" customHeight="true" outlineLevel="0" collapsed="false">
      <c r="B2832" s="9" t="s">
        <v>36</v>
      </c>
      <c r="C2832" s="9" t="n">
        <v>1197831</v>
      </c>
      <c r="D2832" s="10" t="n">
        <v>44328</v>
      </c>
      <c r="E2832" s="9" t="s">
        <v>38</v>
      </c>
      <c r="F2832" s="9" t="s">
        <v>108</v>
      </c>
      <c r="G2832" s="9" t="s">
        <v>109</v>
      </c>
      <c r="H2832" s="11" t="s">
        <v>23</v>
      </c>
      <c r="I2832" s="12" t="n">
        <v>35</v>
      </c>
      <c r="J2832" s="13" t="n">
        <v>200</v>
      </c>
      <c r="K2832" s="14" t="n">
        <f aca="false">I2832*J2832</f>
        <v>7000</v>
      </c>
      <c r="L2832" s="14" t="n">
        <f aca="false">($L$2*M2832)/100</f>
        <v>420583.275</v>
      </c>
      <c r="M2832" s="15" t="n">
        <v>0.35</v>
      </c>
      <c r="N2832" s="9" t="s">
        <v>85</v>
      </c>
    </row>
    <row r="2833" customFormat="false" ht="14.25" hidden="false" customHeight="true" outlineLevel="0" collapsed="false">
      <c r="B2833" s="9" t="s">
        <v>36</v>
      </c>
      <c r="C2833" s="9" t="n">
        <v>1197831</v>
      </c>
      <c r="D2833" s="10" t="n">
        <v>44328</v>
      </c>
      <c r="E2833" s="9" t="s">
        <v>38</v>
      </c>
      <c r="F2833" s="9" t="s">
        <v>108</v>
      </c>
      <c r="G2833" s="9" t="s">
        <v>109</v>
      </c>
      <c r="H2833" s="11" t="s">
        <v>24</v>
      </c>
      <c r="I2833" s="12" t="n">
        <v>45</v>
      </c>
      <c r="J2833" s="13" t="n">
        <v>225</v>
      </c>
      <c r="K2833" s="14" t="n">
        <f aca="false">I2833*J2833</f>
        <v>10125</v>
      </c>
      <c r="L2833" s="14" t="n">
        <f aca="false">($L$2*M2833)/100</f>
        <v>420583.275</v>
      </c>
      <c r="M2833" s="15" t="n">
        <v>0.35</v>
      </c>
      <c r="N2833" s="9" t="s">
        <v>85</v>
      </c>
    </row>
    <row r="2834" customFormat="false" ht="14.25" hidden="false" customHeight="true" outlineLevel="0" collapsed="false">
      <c r="B2834" s="9" t="s">
        <v>36</v>
      </c>
      <c r="C2834" s="9" t="n">
        <v>1197831</v>
      </c>
      <c r="D2834" s="10" t="n">
        <v>44328</v>
      </c>
      <c r="E2834" s="9" t="s">
        <v>38</v>
      </c>
      <c r="F2834" s="9" t="s">
        <v>108</v>
      </c>
      <c r="G2834" s="9" t="s">
        <v>109</v>
      </c>
      <c r="H2834" s="11" t="s">
        <v>25</v>
      </c>
      <c r="I2834" s="12" t="n">
        <v>45</v>
      </c>
      <c r="J2834" s="13" t="n">
        <v>325</v>
      </c>
      <c r="K2834" s="14" t="n">
        <f aca="false">I2834*J2834</f>
        <v>14625</v>
      </c>
      <c r="L2834" s="14" t="n">
        <f aca="false">($L$2*M2834)/100</f>
        <v>420583.275</v>
      </c>
      <c r="M2834" s="15" t="n">
        <v>0.35</v>
      </c>
      <c r="N2834" s="9" t="s">
        <v>85</v>
      </c>
    </row>
    <row r="2835" customFormat="false" ht="14.25" hidden="false" customHeight="true" outlineLevel="0" collapsed="false">
      <c r="B2835" s="9" t="s">
        <v>36</v>
      </c>
      <c r="C2835" s="9" t="n">
        <v>1197831</v>
      </c>
      <c r="D2835" s="10" t="n">
        <v>44361</v>
      </c>
      <c r="E2835" s="9" t="s">
        <v>38</v>
      </c>
      <c r="F2835" s="9" t="s">
        <v>108</v>
      </c>
      <c r="G2835" s="9" t="s">
        <v>109</v>
      </c>
      <c r="H2835" s="11" t="s">
        <v>19</v>
      </c>
      <c r="I2835" s="12" t="n">
        <v>40</v>
      </c>
      <c r="J2835" s="13" t="n">
        <v>575</v>
      </c>
      <c r="K2835" s="14" t="n">
        <f aca="false">I2835*J2835</f>
        <v>23000</v>
      </c>
      <c r="L2835" s="14" t="n">
        <f aca="false">($L$2*M2835)/100</f>
        <v>420583.275</v>
      </c>
      <c r="M2835" s="15" t="n">
        <v>0.35</v>
      </c>
      <c r="N2835" s="9" t="s">
        <v>85</v>
      </c>
    </row>
    <row r="2836" customFormat="false" ht="14.25" hidden="false" customHeight="true" outlineLevel="0" collapsed="false">
      <c r="B2836" s="9" t="s">
        <v>36</v>
      </c>
      <c r="C2836" s="9" t="n">
        <v>1197831</v>
      </c>
      <c r="D2836" s="10" t="n">
        <v>44361</v>
      </c>
      <c r="E2836" s="9" t="s">
        <v>38</v>
      </c>
      <c r="F2836" s="9" t="s">
        <v>108</v>
      </c>
      <c r="G2836" s="9" t="s">
        <v>109</v>
      </c>
      <c r="H2836" s="11" t="s">
        <v>21</v>
      </c>
      <c r="I2836" s="12" t="n">
        <v>35</v>
      </c>
      <c r="J2836" s="13" t="n">
        <v>325</v>
      </c>
      <c r="K2836" s="14" t="n">
        <f aca="false">I2836*J2836</f>
        <v>11375</v>
      </c>
      <c r="L2836" s="14" t="n">
        <f aca="false">($L$2*M2836)/100</f>
        <v>420583.275</v>
      </c>
      <c r="M2836" s="15" t="n">
        <v>0.35</v>
      </c>
      <c r="N2836" s="9" t="s">
        <v>85</v>
      </c>
    </row>
    <row r="2837" customFormat="false" ht="14.25" hidden="false" customHeight="true" outlineLevel="0" collapsed="false">
      <c r="B2837" s="9" t="s">
        <v>36</v>
      </c>
      <c r="C2837" s="9" t="n">
        <v>1197831</v>
      </c>
      <c r="D2837" s="10" t="n">
        <v>44361</v>
      </c>
      <c r="E2837" s="9" t="s">
        <v>38</v>
      </c>
      <c r="F2837" s="9" t="s">
        <v>108</v>
      </c>
      <c r="G2837" s="9" t="s">
        <v>109</v>
      </c>
      <c r="H2837" s="11" t="s">
        <v>22</v>
      </c>
      <c r="I2837" s="12" t="n">
        <v>40</v>
      </c>
      <c r="J2837" s="13" t="n">
        <v>300</v>
      </c>
      <c r="K2837" s="14" t="n">
        <f aca="false">I2837*J2837</f>
        <v>12000</v>
      </c>
      <c r="L2837" s="14" t="n">
        <f aca="false">($L$2*M2837)/100</f>
        <v>420583.275</v>
      </c>
      <c r="M2837" s="15" t="n">
        <v>0.35</v>
      </c>
      <c r="N2837" s="9" t="s">
        <v>85</v>
      </c>
    </row>
    <row r="2838" customFormat="false" ht="14.25" hidden="false" customHeight="true" outlineLevel="0" collapsed="false">
      <c r="B2838" s="9" t="s">
        <v>36</v>
      </c>
      <c r="C2838" s="9" t="n">
        <v>1197831</v>
      </c>
      <c r="D2838" s="10" t="n">
        <v>44361</v>
      </c>
      <c r="E2838" s="9" t="s">
        <v>38</v>
      </c>
      <c r="F2838" s="9" t="s">
        <v>108</v>
      </c>
      <c r="G2838" s="9" t="s">
        <v>109</v>
      </c>
      <c r="H2838" s="11" t="s">
        <v>23</v>
      </c>
      <c r="I2838" s="12" t="n">
        <v>40</v>
      </c>
      <c r="J2838" s="13" t="n">
        <v>275</v>
      </c>
      <c r="K2838" s="14" t="n">
        <f aca="false">I2838*J2838</f>
        <v>11000</v>
      </c>
      <c r="L2838" s="14" t="n">
        <f aca="false">($L$2*M2838)/100</f>
        <v>420583.275</v>
      </c>
      <c r="M2838" s="15" t="n">
        <v>0.35</v>
      </c>
      <c r="N2838" s="9" t="s">
        <v>85</v>
      </c>
    </row>
    <row r="2839" customFormat="false" ht="14.25" hidden="false" customHeight="true" outlineLevel="0" collapsed="false">
      <c r="B2839" s="9" t="s">
        <v>36</v>
      </c>
      <c r="C2839" s="9" t="n">
        <v>1197831</v>
      </c>
      <c r="D2839" s="10" t="n">
        <v>44361</v>
      </c>
      <c r="E2839" s="9" t="s">
        <v>38</v>
      </c>
      <c r="F2839" s="9" t="s">
        <v>108</v>
      </c>
      <c r="G2839" s="9" t="s">
        <v>109</v>
      </c>
      <c r="H2839" s="11" t="s">
        <v>24</v>
      </c>
      <c r="I2839" s="12" t="n">
        <v>55</v>
      </c>
      <c r="J2839" s="13" t="n">
        <v>275</v>
      </c>
      <c r="K2839" s="14" t="n">
        <f aca="false">I2839*J2839</f>
        <v>15125</v>
      </c>
      <c r="L2839" s="14" t="n">
        <f aca="false">($L$2*M2839)/100</f>
        <v>420583.275</v>
      </c>
      <c r="M2839" s="15" t="n">
        <v>0.35</v>
      </c>
      <c r="N2839" s="9" t="s">
        <v>85</v>
      </c>
    </row>
    <row r="2840" customFormat="false" ht="14.25" hidden="false" customHeight="true" outlineLevel="0" collapsed="false">
      <c r="B2840" s="9" t="s">
        <v>36</v>
      </c>
      <c r="C2840" s="9" t="n">
        <v>1197831</v>
      </c>
      <c r="D2840" s="10" t="n">
        <v>44361</v>
      </c>
      <c r="E2840" s="9" t="s">
        <v>38</v>
      </c>
      <c r="F2840" s="9" t="s">
        <v>108</v>
      </c>
      <c r="G2840" s="9" t="s">
        <v>109</v>
      </c>
      <c r="H2840" s="11" t="s">
        <v>25</v>
      </c>
      <c r="I2840" s="12" t="n">
        <v>60</v>
      </c>
      <c r="J2840" s="13" t="n">
        <v>450</v>
      </c>
      <c r="K2840" s="14" t="n">
        <f aca="false">I2840*J2840</f>
        <v>27000</v>
      </c>
      <c r="L2840" s="14" t="n">
        <f aca="false">($L$2*M2840)/100</f>
        <v>420583.275</v>
      </c>
      <c r="M2840" s="15" t="n">
        <v>0.35</v>
      </c>
      <c r="N2840" s="9" t="s">
        <v>85</v>
      </c>
    </row>
    <row r="2841" customFormat="false" ht="14.25" hidden="false" customHeight="true" outlineLevel="0" collapsed="false">
      <c r="B2841" s="9" t="s">
        <v>36</v>
      </c>
      <c r="C2841" s="9" t="n">
        <v>1197831</v>
      </c>
      <c r="D2841" s="10" t="n">
        <v>44389</v>
      </c>
      <c r="E2841" s="9" t="s">
        <v>38</v>
      </c>
      <c r="F2841" s="9" t="s">
        <v>108</v>
      </c>
      <c r="G2841" s="9" t="s">
        <v>109</v>
      </c>
      <c r="H2841" s="11" t="s">
        <v>19</v>
      </c>
      <c r="I2841" s="12" t="n">
        <v>55</v>
      </c>
      <c r="J2841" s="13" t="n">
        <v>675</v>
      </c>
      <c r="K2841" s="14" t="n">
        <f aca="false">I2841*J2841</f>
        <v>37125</v>
      </c>
      <c r="L2841" s="14" t="n">
        <f aca="false">($L$2*M2841)/100</f>
        <v>420583.275</v>
      </c>
      <c r="M2841" s="15" t="n">
        <v>0.35</v>
      </c>
      <c r="N2841" s="9" t="s">
        <v>85</v>
      </c>
    </row>
    <row r="2842" customFormat="false" ht="14.25" hidden="false" customHeight="true" outlineLevel="0" collapsed="false">
      <c r="B2842" s="9" t="s">
        <v>36</v>
      </c>
      <c r="C2842" s="9" t="n">
        <v>1197831</v>
      </c>
      <c r="D2842" s="10" t="n">
        <v>44389</v>
      </c>
      <c r="E2842" s="9" t="s">
        <v>38</v>
      </c>
      <c r="F2842" s="9" t="s">
        <v>108</v>
      </c>
      <c r="G2842" s="9" t="s">
        <v>109</v>
      </c>
      <c r="H2842" s="11" t="s">
        <v>21</v>
      </c>
      <c r="I2842" s="12" t="n">
        <v>50</v>
      </c>
      <c r="J2842" s="13" t="n">
        <v>425</v>
      </c>
      <c r="K2842" s="14" t="n">
        <f aca="false">I2842*J2842</f>
        <v>21250</v>
      </c>
      <c r="L2842" s="14" t="n">
        <f aca="false">($L$2*M2842)/100</f>
        <v>420583.275</v>
      </c>
      <c r="M2842" s="15" t="n">
        <v>0.35</v>
      </c>
      <c r="N2842" s="9" t="s">
        <v>85</v>
      </c>
    </row>
    <row r="2843" customFormat="false" ht="14.25" hidden="false" customHeight="true" outlineLevel="0" collapsed="false">
      <c r="B2843" s="9" t="s">
        <v>36</v>
      </c>
      <c r="C2843" s="9" t="n">
        <v>1197831</v>
      </c>
      <c r="D2843" s="10" t="n">
        <v>44389</v>
      </c>
      <c r="E2843" s="9" t="s">
        <v>38</v>
      </c>
      <c r="F2843" s="9" t="s">
        <v>108</v>
      </c>
      <c r="G2843" s="9" t="s">
        <v>109</v>
      </c>
      <c r="H2843" s="11" t="s">
        <v>22</v>
      </c>
      <c r="I2843" s="12" t="n">
        <v>45</v>
      </c>
      <c r="J2843" s="13" t="n">
        <v>350</v>
      </c>
      <c r="K2843" s="14" t="n">
        <f aca="false">I2843*J2843</f>
        <v>15750</v>
      </c>
      <c r="L2843" s="14" t="n">
        <f aca="false">($L$2*M2843)/100</f>
        <v>420583.275</v>
      </c>
      <c r="M2843" s="15" t="n">
        <v>0.35</v>
      </c>
      <c r="N2843" s="9" t="s">
        <v>85</v>
      </c>
    </row>
    <row r="2844" customFormat="false" ht="14.25" hidden="false" customHeight="true" outlineLevel="0" collapsed="false">
      <c r="B2844" s="9" t="s">
        <v>36</v>
      </c>
      <c r="C2844" s="9" t="n">
        <v>1197831</v>
      </c>
      <c r="D2844" s="10" t="n">
        <v>44389</v>
      </c>
      <c r="E2844" s="9" t="s">
        <v>38</v>
      </c>
      <c r="F2844" s="9" t="s">
        <v>108</v>
      </c>
      <c r="G2844" s="9" t="s">
        <v>109</v>
      </c>
      <c r="H2844" s="11" t="s">
        <v>23</v>
      </c>
      <c r="I2844" s="12" t="n">
        <v>45</v>
      </c>
      <c r="J2844" s="13" t="n">
        <v>300</v>
      </c>
      <c r="K2844" s="14" t="n">
        <f aca="false">I2844*J2844</f>
        <v>13500</v>
      </c>
      <c r="L2844" s="14" t="n">
        <f aca="false">($L$2*M2844)/100</f>
        <v>420583.275</v>
      </c>
      <c r="M2844" s="15" t="n">
        <v>0.35</v>
      </c>
      <c r="N2844" s="9" t="s">
        <v>85</v>
      </c>
    </row>
    <row r="2845" customFormat="false" ht="14.25" hidden="false" customHeight="true" outlineLevel="0" collapsed="false">
      <c r="B2845" s="9" t="s">
        <v>36</v>
      </c>
      <c r="C2845" s="9" t="n">
        <v>1197831</v>
      </c>
      <c r="D2845" s="10" t="n">
        <v>44389</v>
      </c>
      <c r="E2845" s="9" t="s">
        <v>38</v>
      </c>
      <c r="F2845" s="9" t="s">
        <v>108</v>
      </c>
      <c r="G2845" s="9" t="s">
        <v>109</v>
      </c>
      <c r="H2845" s="11" t="s">
        <v>24</v>
      </c>
      <c r="I2845" s="12" t="n">
        <v>60</v>
      </c>
      <c r="J2845" s="13" t="n">
        <v>325</v>
      </c>
      <c r="K2845" s="14" t="n">
        <f aca="false">I2845*J2845</f>
        <v>19500</v>
      </c>
      <c r="L2845" s="14" t="n">
        <f aca="false">($L$2*M2845)/100</f>
        <v>420583.275</v>
      </c>
      <c r="M2845" s="15" t="n">
        <v>0.35</v>
      </c>
      <c r="N2845" s="9" t="s">
        <v>85</v>
      </c>
    </row>
    <row r="2846" customFormat="false" ht="14.25" hidden="false" customHeight="true" outlineLevel="0" collapsed="false">
      <c r="B2846" s="9" t="s">
        <v>36</v>
      </c>
      <c r="C2846" s="9" t="n">
        <v>1197831</v>
      </c>
      <c r="D2846" s="10" t="n">
        <v>44389</v>
      </c>
      <c r="E2846" s="9" t="s">
        <v>38</v>
      </c>
      <c r="F2846" s="9" t="s">
        <v>108</v>
      </c>
      <c r="G2846" s="9" t="s">
        <v>109</v>
      </c>
      <c r="H2846" s="11" t="s">
        <v>25</v>
      </c>
      <c r="I2846" s="12" t="n">
        <v>65</v>
      </c>
      <c r="J2846" s="13" t="n">
        <v>500</v>
      </c>
      <c r="K2846" s="14" t="n">
        <f aca="false">I2846*J2846</f>
        <v>32500</v>
      </c>
      <c r="L2846" s="14" t="n">
        <f aca="false">($L$2*M2846)/100</f>
        <v>420583.275</v>
      </c>
      <c r="M2846" s="15" t="n">
        <v>0.35</v>
      </c>
      <c r="N2846" s="9" t="s">
        <v>85</v>
      </c>
    </row>
    <row r="2847" customFormat="false" ht="14.25" hidden="false" customHeight="true" outlineLevel="0" collapsed="false">
      <c r="B2847" s="9" t="s">
        <v>36</v>
      </c>
      <c r="C2847" s="9" t="n">
        <v>1197831</v>
      </c>
      <c r="D2847" s="10" t="n">
        <v>44421</v>
      </c>
      <c r="E2847" s="9" t="s">
        <v>38</v>
      </c>
      <c r="F2847" s="9" t="s">
        <v>108</v>
      </c>
      <c r="G2847" s="9" t="s">
        <v>109</v>
      </c>
      <c r="H2847" s="11" t="s">
        <v>19</v>
      </c>
      <c r="I2847" s="12" t="n">
        <v>60</v>
      </c>
      <c r="J2847" s="13" t="n">
        <v>650</v>
      </c>
      <c r="K2847" s="14" t="n">
        <f aca="false">I2847*J2847</f>
        <v>39000</v>
      </c>
      <c r="L2847" s="14" t="n">
        <f aca="false">($L$2*M2847)/100</f>
        <v>420583.275</v>
      </c>
      <c r="M2847" s="15" t="n">
        <v>0.35</v>
      </c>
      <c r="N2847" s="9" t="s">
        <v>85</v>
      </c>
    </row>
    <row r="2848" customFormat="false" ht="14.25" hidden="false" customHeight="true" outlineLevel="0" collapsed="false">
      <c r="B2848" s="9" t="s">
        <v>36</v>
      </c>
      <c r="C2848" s="9" t="n">
        <v>1197831</v>
      </c>
      <c r="D2848" s="10" t="n">
        <v>44421</v>
      </c>
      <c r="E2848" s="9" t="s">
        <v>38</v>
      </c>
      <c r="F2848" s="9" t="s">
        <v>108</v>
      </c>
      <c r="G2848" s="9" t="s">
        <v>109</v>
      </c>
      <c r="H2848" s="11" t="s">
        <v>21</v>
      </c>
      <c r="I2848" s="12" t="n">
        <v>55</v>
      </c>
      <c r="J2848" s="13" t="n">
        <v>425</v>
      </c>
      <c r="K2848" s="14" t="n">
        <f aca="false">I2848*J2848</f>
        <v>23375</v>
      </c>
      <c r="L2848" s="14" t="n">
        <f aca="false">($L$2*M2848)/100</f>
        <v>420583.275</v>
      </c>
      <c r="M2848" s="15" t="n">
        <v>0.35</v>
      </c>
      <c r="N2848" s="9" t="s">
        <v>85</v>
      </c>
    </row>
    <row r="2849" customFormat="false" ht="14.25" hidden="false" customHeight="true" outlineLevel="0" collapsed="false">
      <c r="B2849" s="9" t="s">
        <v>36</v>
      </c>
      <c r="C2849" s="9" t="n">
        <v>1197831</v>
      </c>
      <c r="D2849" s="10" t="n">
        <v>44421</v>
      </c>
      <c r="E2849" s="9" t="s">
        <v>38</v>
      </c>
      <c r="F2849" s="9" t="s">
        <v>108</v>
      </c>
      <c r="G2849" s="9" t="s">
        <v>109</v>
      </c>
      <c r="H2849" s="11" t="s">
        <v>22</v>
      </c>
      <c r="I2849" s="12" t="n">
        <v>50</v>
      </c>
      <c r="J2849" s="13" t="n">
        <v>350</v>
      </c>
      <c r="K2849" s="14" t="n">
        <f aca="false">I2849*J2849</f>
        <v>17500</v>
      </c>
      <c r="L2849" s="14" t="n">
        <f aca="false">($L$2*M2849)/100</f>
        <v>420583.275</v>
      </c>
      <c r="M2849" s="15" t="n">
        <v>0.35</v>
      </c>
      <c r="N2849" s="9" t="s">
        <v>85</v>
      </c>
    </row>
    <row r="2850" customFormat="false" ht="14.25" hidden="false" customHeight="true" outlineLevel="0" collapsed="false">
      <c r="B2850" s="9" t="s">
        <v>36</v>
      </c>
      <c r="C2850" s="9" t="n">
        <v>1197831</v>
      </c>
      <c r="D2850" s="10" t="n">
        <v>44421</v>
      </c>
      <c r="E2850" s="9" t="s">
        <v>38</v>
      </c>
      <c r="F2850" s="9" t="s">
        <v>108</v>
      </c>
      <c r="G2850" s="9" t="s">
        <v>109</v>
      </c>
      <c r="H2850" s="11" t="s">
        <v>23</v>
      </c>
      <c r="I2850" s="12" t="n">
        <v>40</v>
      </c>
      <c r="J2850" s="13" t="n">
        <v>300</v>
      </c>
      <c r="K2850" s="14" t="n">
        <f aca="false">I2850*J2850</f>
        <v>12000</v>
      </c>
      <c r="L2850" s="14" t="n">
        <f aca="false">($L$2*M2850)/100</f>
        <v>420583.275</v>
      </c>
      <c r="M2850" s="15" t="n">
        <v>0.35</v>
      </c>
      <c r="N2850" s="9" t="s">
        <v>85</v>
      </c>
    </row>
    <row r="2851" customFormat="false" ht="14.25" hidden="false" customHeight="true" outlineLevel="0" collapsed="false">
      <c r="B2851" s="9" t="s">
        <v>36</v>
      </c>
      <c r="C2851" s="9" t="n">
        <v>1197831</v>
      </c>
      <c r="D2851" s="10" t="n">
        <v>44421</v>
      </c>
      <c r="E2851" s="9" t="s">
        <v>38</v>
      </c>
      <c r="F2851" s="9" t="s">
        <v>108</v>
      </c>
      <c r="G2851" s="9" t="s">
        <v>109</v>
      </c>
      <c r="H2851" s="11" t="s">
        <v>24</v>
      </c>
      <c r="I2851" s="12" t="n">
        <v>50</v>
      </c>
      <c r="J2851" s="13" t="n">
        <v>275</v>
      </c>
      <c r="K2851" s="14" t="n">
        <f aca="false">I2851*J2851</f>
        <v>13750</v>
      </c>
      <c r="L2851" s="14" t="n">
        <f aca="false">($L$2*M2851)/100</f>
        <v>420583.275</v>
      </c>
      <c r="M2851" s="15" t="n">
        <v>0.35</v>
      </c>
      <c r="N2851" s="9" t="s">
        <v>85</v>
      </c>
    </row>
    <row r="2852" customFormat="false" ht="14.25" hidden="false" customHeight="true" outlineLevel="0" collapsed="false">
      <c r="B2852" s="9" t="s">
        <v>36</v>
      </c>
      <c r="C2852" s="9" t="n">
        <v>1197831</v>
      </c>
      <c r="D2852" s="10" t="n">
        <v>44421</v>
      </c>
      <c r="E2852" s="9" t="s">
        <v>38</v>
      </c>
      <c r="F2852" s="9" t="s">
        <v>108</v>
      </c>
      <c r="G2852" s="9" t="s">
        <v>109</v>
      </c>
      <c r="H2852" s="11" t="s">
        <v>25</v>
      </c>
      <c r="I2852" s="12" t="n">
        <v>55</v>
      </c>
      <c r="J2852" s="13" t="n">
        <v>450</v>
      </c>
      <c r="K2852" s="14" t="n">
        <f aca="false">I2852*J2852</f>
        <v>24750</v>
      </c>
      <c r="L2852" s="14" t="n">
        <f aca="false">($L$2*M2852)/100</f>
        <v>420583.275</v>
      </c>
      <c r="M2852" s="15" t="n">
        <v>0.35</v>
      </c>
      <c r="N2852" s="9" t="s">
        <v>85</v>
      </c>
    </row>
    <row r="2853" customFormat="false" ht="14.25" hidden="false" customHeight="true" outlineLevel="0" collapsed="false">
      <c r="B2853" s="9" t="s">
        <v>36</v>
      </c>
      <c r="C2853" s="9" t="n">
        <v>1197831</v>
      </c>
      <c r="D2853" s="10" t="n">
        <v>44451</v>
      </c>
      <c r="E2853" s="9" t="s">
        <v>38</v>
      </c>
      <c r="F2853" s="9" t="s">
        <v>108</v>
      </c>
      <c r="G2853" s="9" t="s">
        <v>109</v>
      </c>
      <c r="H2853" s="11" t="s">
        <v>19</v>
      </c>
      <c r="I2853" s="12" t="n">
        <v>50</v>
      </c>
      <c r="J2853" s="13" t="n">
        <v>550</v>
      </c>
      <c r="K2853" s="14" t="n">
        <f aca="false">I2853*J2853</f>
        <v>27500</v>
      </c>
      <c r="L2853" s="14" t="n">
        <f aca="false">($L$2*M2853)/100</f>
        <v>420583.275</v>
      </c>
      <c r="M2853" s="15" t="n">
        <v>0.35</v>
      </c>
      <c r="N2853" s="9" t="s">
        <v>85</v>
      </c>
    </row>
    <row r="2854" customFormat="false" ht="14.25" hidden="false" customHeight="true" outlineLevel="0" collapsed="false">
      <c r="B2854" s="9" t="s">
        <v>36</v>
      </c>
      <c r="C2854" s="9" t="n">
        <v>1197831</v>
      </c>
      <c r="D2854" s="10" t="n">
        <v>44451</v>
      </c>
      <c r="E2854" s="9" t="s">
        <v>38</v>
      </c>
      <c r="F2854" s="9" t="s">
        <v>108</v>
      </c>
      <c r="G2854" s="9" t="s">
        <v>109</v>
      </c>
      <c r="H2854" s="11" t="s">
        <v>21</v>
      </c>
      <c r="I2854" s="12" t="n">
        <v>40</v>
      </c>
      <c r="J2854" s="13" t="n">
        <v>350</v>
      </c>
      <c r="K2854" s="14" t="n">
        <f aca="false">I2854*J2854</f>
        <v>14000</v>
      </c>
      <c r="L2854" s="14" t="n">
        <f aca="false">($L$2*M2854)/100</f>
        <v>420583.275</v>
      </c>
      <c r="M2854" s="15" t="n">
        <v>0.35</v>
      </c>
      <c r="N2854" s="9" t="s">
        <v>85</v>
      </c>
    </row>
    <row r="2855" customFormat="false" ht="14.25" hidden="false" customHeight="true" outlineLevel="0" collapsed="false">
      <c r="B2855" s="9" t="s">
        <v>36</v>
      </c>
      <c r="C2855" s="9" t="n">
        <v>1197831</v>
      </c>
      <c r="D2855" s="10" t="n">
        <v>44451</v>
      </c>
      <c r="E2855" s="9" t="s">
        <v>38</v>
      </c>
      <c r="F2855" s="9" t="s">
        <v>108</v>
      </c>
      <c r="G2855" s="9" t="s">
        <v>109</v>
      </c>
      <c r="H2855" s="11" t="s">
        <v>22</v>
      </c>
      <c r="I2855" s="12" t="n">
        <v>15</v>
      </c>
      <c r="J2855" s="13" t="n">
        <v>250</v>
      </c>
      <c r="K2855" s="14" t="n">
        <f aca="false">I2855*J2855</f>
        <v>3750</v>
      </c>
      <c r="L2855" s="14" t="n">
        <f aca="false">($L$2*M2855)/100</f>
        <v>420583.275</v>
      </c>
      <c r="M2855" s="15" t="n">
        <v>0.35</v>
      </c>
      <c r="N2855" s="9" t="s">
        <v>85</v>
      </c>
    </row>
    <row r="2856" customFormat="false" ht="14.25" hidden="false" customHeight="true" outlineLevel="0" collapsed="false">
      <c r="B2856" s="9" t="s">
        <v>36</v>
      </c>
      <c r="C2856" s="9" t="n">
        <v>1197831</v>
      </c>
      <c r="D2856" s="10" t="n">
        <v>44451</v>
      </c>
      <c r="E2856" s="9" t="s">
        <v>38</v>
      </c>
      <c r="F2856" s="9" t="s">
        <v>108</v>
      </c>
      <c r="G2856" s="9" t="s">
        <v>109</v>
      </c>
      <c r="H2856" s="11" t="s">
        <v>23</v>
      </c>
      <c r="I2856" s="12" t="n">
        <v>15</v>
      </c>
      <c r="J2856" s="13" t="n">
        <v>225</v>
      </c>
      <c r="K2856" s="14" t="n">
        <f aca="false">I2856*J2856</f>
        <v>3375</v>
      </c>
      <c r="L2856" s="14" t="n">
        <f aca="false">($L$2*M2856)/100</f>
        <v>420583.275</v>
      </c>
      <c r="M2856" s="15" t="n">
        <v>0.35</v>
      </c>
      <c r="N2856" s="9" t="s">
        <v>85</v>
      </c>
    </row>
    <row r="2857" customFormat="false" ht="14.25" hidden="false" customHeight="true" outlineLevel="0" collapsed="false">
      <c r="B2857" s="9" t="s">
        <v>36</v>
      </c>
      <c r="C2857" s="9" t="n">
        <v>1197831</v>
      </c>
      <c r="D2857" s="10" t="n">
        <v>44451</v>
      </c>
      <c r="E2857" s="9" t="s">
        <v>38</v>
      </c>
      <c r="F2857" s="9" t="s">
        <v>108</v>
      </c>
      <c r="G2857" s="9" t="s">
        <v>109</v>
      </c>
      <c r="H2857" s="11" t="s">
        <v>24</v>
      </c>
      <c r="I2857" s="12" t="n">
        <v>25</v>
      </c>
      <c r="J2857" s="13" t="n">
        <v>225</v>
      </c>
      <c r="K2857" s="14" t="n">
        <f aca="false">I2857*J2857</f>
        <v>5625</v>
      </c>
      <c r="L2857" s="14" t="n">
        <f aca="false">($L$2*M2857)/100</f>
        <v>420583.275</v>
      </c>
      <c r="M2857" s="15" t="n">
        <v>0.35</v>
      </c>
      <c r="N2857" s="9" t="s">
        <v>85</v>
      </c>
    </row>
    <row r="2858" customFormat="false" ht="14.25" hidden="false" customHeight="true" outlineLevel="0" collapsed="false">
      <c r="B2858" s="9" t="s">
        <v>36</v>
      </c>
      <c r="C2858" s="9" t="n">
        <v>1197831</v>
      </c>
      <c r="D2858" s="10" t="n">
        <v>44451</v>
      </c>
      <c r="E2858" s="9" t="s">
        <v>38</v>
      </c>
      <c r="F2858" s="9" t="s">
        <v>108</v>
      </c>
      <c r="G2858" s="9" t="s">
        <v>109</v>
      </c>
      <c r="H2858" s="11" t="s">
        <v>25</v>
      </c>
      <c r="I2858" s="12" t="n">
        <v>30</v>
      </c>
      <c r="J2858" s="13" t="n">
        <v>325</v>
      </c>
      <c r="K2858" s="14" t="n">
        <f aca="false">I2858*J2858</f>
        <v>9750</v>
      </c>
      <c r="L2858" s="14" t="n">
        <f aca="false">($L$2*M2858)/100</f>
        <v>420583.275</v>
      </c>
      <c r="M2858" s="15" t="n">
        <v>0.35</v>
      </c>
      <c r="N2858" s="9" t="s">
        <v>85</v>
      </c>
    </row>
    <row r="2859" customFormat="false" ht="14.25" hidden="false" customHeight="true" outlineLevel="0" collapsed="false">
      <c r="B2859" s="9" t="s">
        <v>36</v>
      </c>
      <c r="C2859" s="9" t="n">
        <v>1197831</v>
      </c>
      <c r="D2859" s="10" t="n">
        <v>44483</v>
      </c>
      <c r="E2859" s="9" t="s">
        <v>38</v>
      </c>
      <c r="F2859" s="9" t="s">
        <v>108</v>
      </c>
      <c r="G2859" s="9" t="s">
        <v>109</v>
      </c>
      <c r="H2859" s="11" t="s">
        <v>19</v>
      </c>
      <c r="I2859" s="12" t="n">
        <v>30</v>
      </c>
      <c r="J2859" s="13" t="n">
        <v>500</v>
      </c>
      <c r="K2859" s="14" t="n">
        <f aca="false">I2859*J2859</f>
        <v>15000</v>
      </c>
      <c r="L2859" s="14" t="n">
        <f aca="false">($L$2*M2859)/100</f>
        <v>420583.275</v>
      </c>
      <c r="M2859" s="15" t="n">
        <v>0.35</v>
      </c>
      <c r="N2859" s="9" t="s">
        <v>85</v>
      </c>
    </row>
    <row r="2860" customFormat="false" ht="14.25" hidden="false" customHeight="true" outlineLevel="0" collapsed="false">
      <c r="B2860" s="9" t="s">
        <v>36</v>
      </c>
      <c r="C2860" s="9" t="n">
        <v>1197831</v>
      </c>
      <c r="D2860" s="10" t="n">
        <v>44483</v>
      </c>
      <c r="E2860" s="9" t="s">
        <v>38</v>
      </c>
      <c r="F2860" s="9" t="s">
        <v>108</v>
      </c>
      <c r="G2860" s="9" t="s">
        <v>109</v>
      </c>
      <c r="H2860" s="11" t="s">
        <v>21</v>
      </c>
      <c r="I2860" s="12" t="n">
        <v>20</v>
      </c>
      <c r="J2860" s="13" t="n">
        <v>325</v>
      </c>
      <c r="K2860" s="14" t="n">
        <f aca="false">I2860*J2860</f>
        <v>6500</v>
      </c>
      <c r="L2860" s="14" t="n">
        <f aca="false">($L$2*M2860)/100</f>
        <v>420583.275</v>
      </c>
      <c r="M2860" s="15" t="n">
        <v>0.35</v>
      </c>
      <c r="N2860" s="9" t="s">
        <v>85</v>
      </c>
    </row>
    <row r="2861" customFormat="false" ht="14.25" hidden="false" customHeight="true" outlineLevel="0" collapsed="false">
      <c r="B2861" s="9" t="s">
        <v>36</v>
      </c>
      <c r="C2861" s="9" t="n">
        <v>1197831</v>
      </c>
      <c r="D2861" s="10" t="n">
        <v>44483</v>
      </c>
      <c r="E2861" s="9" t="s">
        <v>38</v>
      </c>
      <c r="F2861" s="9" t="s">
        <v>108</v>
      </c>
      <c r="G2861" s="9" t="s">
        <v>109</v>
      </c>
      <c r="H2861" s="11" t="s">
        <v>22</v>
      </c>
      <c r="I2861" s="12" t="n">
        <v>20</v>
      </c>
      <c r="J2861" s="13" t="n">
        <v>200</v>
      </c>
      <c r="K2861" s="14" t="n">
        <f aca="false">I2861*J2861</f>
        <v>4000</v>
      </c>
      <c r="L2861" s="14" t="n">
        <f aca="false">($L$2*M2861)/100</f>
        <v>420583.275</v>
      </c>
      <c r="M2861" s="15" t="n">
        <v>0.35</v>
      </c>
      <c r="N2861" s="9" t="s">
        <v>85</v>
      </c>
    </row>
    <row r="2862" customFormat="false" ht="14.25" hidden="false" customHeight="true" outlineLevel="0" collapsed="false">
      <c r="B2862" s="9" t="s">
        <v>36</v>
      </c>
      <c r="C2862" s="9" t="n">
        <v>1197831</v>
      </c>
      <c r="D2862" s="10" t="n">
        <v>44483</v>
      </c>
      <c r="E2862" s="9" t="s">
        <v>38</v>
      </c>
      <c r="F2862" s="9" t="s">
        <v>108</v>
      </c>
      <c r="G2862" s="9" t="s">
        <v>109</v>
      </c>
      <c r="H2862" s="11" t="s">
        <v>23</v>
      </c>
      <c r="I2862" s="12" t="n">
        <v>20</v>
      </c>
      <c r="J2862" s="13" t="n">
        <v>175</v>
      </c>
      <c r="K2862" s="14" t="n">
        <f aca="false">I2862*J2862</f>
        <v>3500</v>
      </c>
      <c r="L2862" s="14" t="n">
        <f aca="false">($L$2*M2862)/100</f>
        <v>420583.275</v>
      </c>
      <c r="M2862" s="15" t="n">
        <v>0.35</v>
      </c>
      <c r="N2862" s="9" t="s">
        <v>85</v>
      </c>
    </row>
    <row r="2863" customFormat="false" ht="14.25" hidden="false" customHeight="true" outlineLevel="0" collapsed="false">
      <c r="B2863" s="9" t="s">
        <v>36</v>
      </c>
      <c r="C2863" s="9" t="n">
        <v>1197831</v>
      </c>
      <c r="D2863" s="10" t="n">
        <v>44483</v>
      </c>
      <c r="E2863" s="9" t="s">
        <v>38</v>
      </c>
      <c r="F2863" s="9" t="s">
        <v>108</v>
      </c>
      <c r="G2863" s="9" t="s">
        <v>109</v>
      </c>
      <c r="H2863" s="11" t="s">
        <v>24</v>
      </c>
      <c r="I2863" s="12" t="n">
        <v>30</v>
      </c>
      <c r="J2863" s="13" t="n">
        <v>175</v>
      </c>
      <c r="K2863" s="14" t="n">
        <f aca="false">I2863*J2863</f>
        <v>5250</v>
      </c>
      <c r="L2863" s="14" t="n">
        <f aca="false">($L$2*M2863)/100</f>
        <v>420583.275</v>
      </c>
      <c r="M2863" s="15" t="n">
        <v>0.35</v>
      </c>
      <c r="N2863" s="9" t="s">
        <v>85</v>
      </c>
    </row>
    <row r="2864" customFormat="false" ht="14.25" hidden="false" customHeight="true" outlineLevel="0" collapsed="false">
      <c r="B2864" s="9" t="s">
        <v>16</v>
      </c>
      <c r="C2864" s="9" t="n">
        <v>1197831</v>
      </c>
      <c r="D2864" s="10" t="n">
        <v>44483</v>
      </c>
      <c r="E2864" s="9" t="s">
        <v>38</v>
      </c>
      <c r="F2864" s="9" t="s">
        <v>108</v>
      </c>
      <c r="G2864" s="9" t="s">
        <v>109</v>
      </c>
      <c r="H2864" s="11" t="s">
        <v>25</v>
      </c>
      <c r="I2864" s="12" t="n">
        <v>30</v>
      </c>
      <c r="J2864" s="13" t="n">
        <v>300</v>
      </c>
      <c r="K2864" s="14" t="n">
        <f aca="false">I2864*J2864</f>
        <v>9000</v>
      </c>
      <c r="L2864" s="14" t="n">
        <f aca="false">($L$2*M2864)/100</f>
        <v>420583.275</v>
      </c>
      <c r="M2864" s="15" t="n">
        <v>0.35</v>
      </c>
      <c r="N2864" s="9" t="s">
        <v>85</v>
      </c>
    </row>
    <row r="2865" customFormat="false" ht="14.25" hidden="false" customHeight="true" outlineLevel="0" collapsed="false">
      <c r="B2865" s="9" t="s">
        <v>16</v>
      </c>
      <c r="C2865" s="9" t="n">
        <v>1197831</v>
      </c>
      <c r="D2865" s="10" t="n">
        <v>44513</v>
      </c>
      <c r="E2865" s="9" t="s">
        <v>38</v>
      </c>
      <c r="F2865" s="9" t="s">
        <v>108</v>
      </c>
      <c r="G2865" s="9" t="s">
        <v>109</v>
      </c>
      <c r="H2865" s="11" t="s">
        <v>19</v>
      </c>
      <c r="I2865" s="12" t="n">
        <v>25</v>
      </c>
      <c r="J2865" s="13" t="n">
        <v>450</v>
      </c>
      <c r="K2865" s="14" t="n">
        <f aca="false">I2865*J2865</f>
        <v>11250</v>
      </c>
      <c r="L2865" s="14" t="n">
        <f aca="false">($L$2*M2865)/100</f>
        <v>420583.275</v>
      </c>
      <c r="M2865" s="15" t="n">
        <v>0.35</v>
      </c>
      <c r="N2865" s="9" t="s">
        <v>85</v>
      </c>
    </row>
    <row r="2866" customFormat="false" ht="14.25" hidden="false" customHeight="true" outlineLevel="0" collapsed="false">
      <c r="B2866" s="9" t="s">
        <v>16</v>
      </c>
      <c r="C2866" s="9" t="n">
        <v>1197831</v>
      </c>
      <c r="D2866" s="10" t="n">
        <v>44513</v>
      </c>
      <c r="E2866" s="9" t="s">
        <v>38</v>
      </c>
      <c r="F2866" s="9" t="s">
        <v>108</v>
      </c>
      <c r="G2866" s="9" t="s">
        <v>109</v>
      </c>
      <c r="H2866" s="11" t="s">
        <v>21</v>
      </c>
      <c r="I2866" s="12" t="n">
        <v>15</v>
      </c>
      <c r="J2866" s="13" t="n">
        <v>275</v>
      </c>
      <c r="K2866" s="14" t="n">
        <f aca="false">I2866*J2866</f>
        <v>4125</v>
      </c>
      <c r="L2866" s="14" t="n">
        <f aca="false">($L$2*M2866)/100</f>
        <v>420583.275</v>
      </c>
      <c r="M2866" s="15" t="n">
        <v>0.35</v>
      </c>
      <c r="N2866" s="9" t="s">
        <v>85</v>
      </c>
    </row>
    <row r="2867" customFormat="false" ht="14.25" hidden="false" customHeight="true" outlineLevel="0" collapsed="false">
      <c r="B2867" s="9" t="s">
        <v>16</v>
      </c>
      <c r="C2867" s="9" t="n">
        <v>1197831</v>
      </c>
      <c r="D2867" s="10" t="n">
        <v>44513</v>
      </c>
      <c r="E2867" s="9" t="s">
        <v>38</v>
      </c>
      <c r="F2867" s="9" t="s">
        <v>108</v>
      </c>
      <c r="G2867" s="9" t="s">
        <v>109</v>
      </c>
      <c r="H2867" s="11" t="s">
        <v>22</v>
      </c>
      <c r="I2867" s="12" t="n">
        <v>25</v>
      </c>
      <c r="J2867" s="13" t="n">
        <v>220</v>
      </c>
      <c r="K2867" s="14" t="n">
        <f aca="false">I2867*J2867</f>
        <v>5500</v>
      </c>
      <c r="L2867" s="14" t="n">
        <f aca="false">($L$2*M2867)/100</f>
        <v>420583.275</v>
      </c>
      <c r="M2867" s="15" t="n">
        <v>0.35</v>
      </c>
      <c r="N2867" s="9" t="s">
        <v>85</v>
      </c>
    </row>
    <row r="2868" customFormat="false" ht="14.25" hidden="false" customHeight="true" outlineLevel="0" collapsed="false">
      <c r="B2868" s="9" t="s">
        <v>16</v>
      </c>
      <c r="C2868" s="9" t="n">
        <v>1197831</v>
      </c>
      <c r="D2868" s="10" t="n">
        <v>44513</v>
      </c>
      <c r="E2868" s="9" t="s">
        <v>38</v>
      </c>
      <c r="F2868" s="9" t="s">
        <v>108</v>
      </c>
      <c r="G2868" s="9" t="s">
        <v>109</v>
      </c>
      <c r="H2868" s="11" t="s">
        <v>23</v>
      </c>
      <c r="I2868" s="12" t="n">
        <v>55</v>
      </c>
      <c r="J2868" s="13" t="n">
        <v>275</v>
      </c>
      <c r="K2868" s="14" t="n">
        <f aca="false">I2868*J2868</f>
        <v>15125</v>
      </c>
      <c r="L2868" s="14" t="n">
        <f aca="false">($L$2*M2868)/100</f>
        <v>420583.275</v>
      </c>
      <c r="M2868" s="15" t="n">
        <v>0.35</v>
      </c>
      <c r="N2868" s="9" t="s">
        <v>85</v>
      </c>
    </row>
    <row r="2869" customFormat="false" ht="14.25" hidden="false" customHeight="true" outlineLevel="0" collapsed="false">
      <c r="B2869" s="9" t="s">
        <v>16</v>
      </c>
      <c r="C2869" s="9" t="n">
        <v>1197831</v>
      </c>
      <c r="D2869" s="10" t="n">
        <v>44513</v>
      </c>
      <c r="E2869" s="9" t="s">
        <v>38</v>
      </c>
      <c r="F2869" s="9" t="s">
        <v>108</v>
      </c>
      <c r="G2869" s="9" t="s">
        <v>109</v>
      </c>
      <c r="H2869" s="11" t="s">
        <v>24</v>
      </c>
      <c r="I2869" s="12" t="n">
        <v>75</v>
      </c>
      <c r="J2869" s="13" t="n">
        <v>250</v>
      </c>
      <c r="K2869" s="14" t="n">
        <f aca="false">I2869*J2869</f>
        <v>18750</v>
      </c>
      <c r="L2869" s="14" t="n">
        <f aca="false">($L$2*M2869)/100</f>
        <v>420583.275</v>
      </c>
      <c r="M2869" s="15" t="n">
        <v>0.35</v>
      </c>
      <c r="N2869" s="9" t="s">
        <v>85</v>
      </c>
    </row>
    <row r="2870" customFormat="false" ht="14.25" hidden="false" customHeight="true" outlineLevel="0" collapsed="false">
      <c r="B2870" s="9" t="s">
        <v>16</v>
      </c>
      <c r="C2870" s="9" t="n">
        <v>1197831</v>
      </c>
      <c r="D2870" s="10" t="n">
        <v>44513</v>
      </c>
      <c r="E2870" s="9" t="s">
        <v>38</v>
      </c>
      <c r="F2870" s="9" t="s">
        <v>108</v>
      </c>
      <c r="G2870" s="9" t="s">
        <v>109</v>
      </c>
      <c r="H2870" s="11" t="s">
        <v>25</v>
      </c>
      <c r="I2870" s="12" t="n">
        <v>75</v>
      </c>
      <c r="J2870" s="13" t="n">
        <v>350</v>
      </c>
      <c r="K2870" s="14" t="n">
        <f aca="false">I2870*J2870</f>
        <v>26250</v>
      </c>
      <c r="L2870" s="14" t="n">
        <f aca="false">($L$2*M2870)/100</f>
        <v>420583.275</v>
      </c>
      <c r="M2870" s="15" t="n">
        <v>0.35</v>
      </c>
      <c r="N2870" s="9" t="s">
        <v>85</v>
      </c>
    </row>
    <row r="2871" customFormat="false" ht="14.25" hidden="false" customHeight="true" outlineLevel="0" collapsed="false">
      <c r="B2871" s="9" t="s">
        <v>16</v>
      </c>
      <c r="C2871" s="9" t="n">
        <v>1197831</v>
      </c>
      <c r="D2871" s="10" t="n">
        <v>44542</v>
      </c>
      <c r="E2871" s="9" t="s">
        <v>38</v>
      </c>
      <c r="F2871" s="9" t="s">
        <v>108</v>
      </c>
      <c r="G2871" s="9" t="s">
        <v>109</v>
      </c>
      <c r="H2871" s="11" t="s">
        <v>19</v>
      </c>
      <c r="I2871" s="12" t="n">
        <v>70</v>
      </c>
      <c r="J2871" s="13" t="n">
        <v>600</v>
      </c>
      <c r="K2871" s="14" t="n">
        <f aca="false">I2871*J2871</f>
        <v>42000</v>
      </c>
      <c r="L2871" s="14" t="n">
        <f aca="false">($L$2*M2871)/100</f>
        <v>420583.275</v>
      </c>
      <c r="M2871" s="15" t="n">
        <v>0.35</v>
      </c>
      <c r="N2871" s="9" t="s">
        <v>85</v>
      </c>
    </row>
    <row r="2872" customFormat="false" ht="14.25" hidden="false" customHeight="true" outlineLevel="0" collapsed="false">
      <c r="B2872" s="9" t="s">
        <v>16</v>
      </c>
      <c r="C2872" s="9" t="n">
        <v>1197831</v>
      </c>
      <c r="D2872" s="10" t="n">
        <v>44542</v>
      </c>
      <c r="E2872" s="9" t="s">
        <v>38</v>
      </c>
      <c r="F2872" s="9" t="s">
        <v>108</v>
      </c>
      <c r="G2872" s="9" t="s">
        <v>109</v>
      </c>
      <c r="H2872" s="11" t="s">
        <v>21</v>
      </c>
      <c r="I2872" s="12" t="n">
        <v>60</v>
      </c>
      <c r="J2872" s="13" t="n">
        <v>400</v>
      </c>
      <c r="K2872" s="14" t="n">
        <f aca="false">I2872*J2872</f>
        <v>24000</v>
      </c>
      <c r="L2872" s="14" t="n">
        <f aca="false">($L$2*M2872)/100</f>
        <v>420583.275</v>
      </c>
      <c r="M2872" s="15" t="n">
        <v>0.35</v>
      </c>
      <c r="N2872" s="9" t="s">
        <v>85</v>
      </c>
    </row>
    <row r="2873" customFormat="false" ht="14.25" hidden="false" customHeight="true" outlineLevel="0" collapsed="false">
      <c r="B2873" s="9" t="s">
        <v>16</v>
      </c>
      <c r="C2873" s="9" t="n">
        <v>1197831</v>
      </c>
      <c r="D2873" s="10" t="n">
        <v>44542</v>
      </c>
      <c r="E2873" s="9" t="s">
        <v>38</v>
      </c>
      <c r="F2873" s="9" t="s">
        <v>108</v>
      </c>
      <c r="G2873" s="9" t="s">
        <v>109</v>
      </c>
      <c r="H2873" s="11" t="s">
        <v>22</v>
      </c>
      <c r="I2873" s="12" t="n">
        <v>60</v>
      </c>
      <c r="J2873" s="13" t="n">
        <v>350</v>
      </c>
      <c r="K2873" s="14" t="n">
        <f aca="false">I2873*J2873</f>
        <v>21000</v>
      </c>
      <c r="L2873" s="14" t="n">
        <f aca="false">($L$2*M2873)/100</f>
        <v>420583.275</v>
      </c>
      <c r="M2873" s="15" t="n">
        <v>0.35</v>
      </c>
      <c r="N2873" s="9" t="s">
        <v>85</v>
      </c>
    </row>
    <row r="2874" customFormat="false" ht="14.25" hidden="false" customHeight="true" outlineLevel="0" collapsed="false">
      <c r="B2874" s="9" t="s">
        <v>16</v>
      </c>
      <c r="C2874" s="9" t="n">
        <v>1197831</v>
      </c>
      <c r="D2874" s="10" t="n">
        <v>44542</v>
      </c>
      <c r="E2874" s="9" t="s">
        <v>38</v>
      </c>
      <c r="F2874" s="9" t="s">
        <v>108</v>
      </c>
      <c r="G2874" s="9" t="s">
        <v>109</v>
      </c>
      <c r="H2874" s="11" t="s">
        <v>23</v>
      </c>
      <c r="I2874" s="12" t="n">
        <v>60</v>
      </c>
      <c r="J2874" s="13" t="n">
        <v>300</v>
      </c>
      <c r="K2874" s="14" t="n">
        <f aca="false">I2874*J2874</f>
        <v>18000</v>
      </c>
      <c r="L2874" s="14" t="n">
        <f aca="false">($L$2*M2874)/100</f>
        <v>420583.275</v>
      </c>
      <c r="M2874" s="15" t="n">
        <v>0.35</v>
      </c>
      <c r="N2874" s="9" t="s">
        <v>85</v>
      </c>
    </row>
    <row r="2875" customFormat="false" ht="14.25" hidden="false" customHeight="true" outlineLevel="0" collapsed="false">
      <c r="B2875" s="9" t="s">
        <v>16</v>
      </c>
      <c r="C2875" s="9" t="n">
        <v>1197831</v>
      </c>
      <c r="D2875" s="10" t="n">
        <v>44542</v>
      </c>
      <c r="E2875" s="9" t="s">
        <v>38</v>
      </c>
      <c r="F2875" s="9" t="s">
        <v>108</v>
      </c>
      <c r="G2875" s="9" t="s">
        <v>109</v>
      </c>
      <c r="H2875" s="11" t="s">
        <v>24</v>
      </c>
      <c r="I2875" s="12" t="n">
        <v>70</v>
      </c>
      <c r="J2875" s="13" t="n">
        <v>300</v>
      </c>
      <c r="K2875" s="14" t="n">
        <f aca="false">I2875*J2875</f>
        <v>21000</v>
      </c>
      <c r="L2875" s="14" t="n">
        <f aca="false">($L$2*M2875)/100</f>
        <v>420583.275</v>
      </c>
      <c r="M2875" s="15" t="n">
        <v>0.35</v>
      </c>
      <c r="N2875" s="9" t="s">
        <v>85</v>
      </c>
    </row>
    <row r="2876" customFormat="false" ht="14.25" hidden="false" customHeight="true" outlineLevel="0" collapsed="false">
      <c r="B2876" s="9" t="s">
        <v>16</v>
      </c>
      <c r="C2876" s="9" t="n">
        <v>1197831</v>
      </c>
      <c r="D2876" s="10" t="n">
        <v>44542</v>
      </c>
      <c r="E2876" s="9" t="s">
        <v>38</v>
      </c>
      <c r="F2876" s="9" t="s">
        <v>108</v>
      </c>
      <c r="G2876" s="9" t="s">
        <v>109</v>
      </c>
      <c r="H2876" s="11" t="s">
        <v>25</v>
      </c>
      <c r="I2876" s="12" t="n">
        <v>75</v>
      </c>
      <c r="J2876" s="13" t="n">
        <v>400</v>
      </c>
      <c r="K2876" s="14" t="n">
        <f aca="false">I2876*J2876</f>
        <v>30000</v>
      </c>
      <c r="L2876" s="14" t="n">
        <f aca="false">($L$2*M2876)/100</f>
        <v>420583.275</v>
      </c>
      <c r="M2876" s="15" t="n">
        <v>0.35</v>
      </c>
      <c r="N2876" s="9" t="s">
        <v>85</v>
      </c>
    </row>
    <row r="2877" customFormat="false" ht="14.25" hidden="false" customHeight="true" outlineLevel="0" collapsed="false">
      <c r="B2877" s="9" t="s">
        <v>16</v>
      </c>
      <c r="C2877" s="9" t="n">
        <v>1185732</v>
      </c>
      <c r="D2877" s="10" t="n">
        <v>44208</v>
      </c>
      <c r="E2877" s="9" t="s">
        <v>38</v>
      </c>
      <c r="F2877" s="9" t="s">
        <v>108</v>
      </c>
      <c r="G2877" s="9" t="s">
        <v>109</v>
      </c>
      <c r="H2877" s="11" t="s">
        <v>19</v>
      </c>
      <c r="I2877" s="12" t="n">
        <v>40</v>
      </c>
      <c r="J2877" s="13" t="n">
        <v>475</v>
      </c>
      <c r="K2877" s="14" t="n">
        <f aca="false">I2877*J2877</f>
        <v>19000</v>
      </c>
      <c r="L2877" s="14" t="n">
        <f aca="false">($L$2*M2877)/100</f>
        <v>420583.275</v>
      </c>
      <c r="M2877" s="15" t="n">
        <v>0.35</v>
      </c>
      <c r="N2877" s="9" t="s">
        <v>85</v>
      </c>
    </row>
    <row r="2878" customFormat="false" ht="14.25" hidden="false" customHeight="true" outlineLevel="0" collapsed="false">
      <c r="B2878" s="9" t="s">
        <v>16</v>
      </c>
      <c r="C2878" s="9" t="n">
        <v>1185732</v>
      </c>
      <c r="D2878" s="10" t="n">
        <v>44208</v>
      </c>
      <c r="E2878" s="9" t="s">
        <v>38</v>
      </c>
      <c r="F2878" s="9" t="s">
        <v>108</v>
      </c>
      <c r="G2878" s="9" t="s">
        <v>109</v>
      </c>
      <c r="H2878" s="11" t="s">
        <v>21</v>
      </c>
      <c r="I2878" s="12" t="n">
        <v>40</v>
      </c>
      <c r="J2878" s="13" t="n">
        <v>275</v>
      </c>
      <c r="K2878" s="14" t="n">
        <f aca="false">I2878*J2878</f>
        <v>11000</v>
      </c>
      <c r="L2878" s="14" t="n">
        <f aca="false">($L$2*M2878)/100</f>
        <v>360499.95</v>
      </c>
      <c r="M2878" s="15" t="n">
        <v>0.3</v>
      </c>
      <c r="N2878" s="9" t="s">
        <v>85</v>
      </c>
    </row>
    <row r="2879" customFormat="false" ht="14.25" hidden="false" customHeight="true" outlineLevel="0" collapsed="false">
      <c r="B2879" s="9" t="s">
        <v>16</v>
      </c>
      <c r="C2879" s="9" t="n">
        <v>1185732</v>
      </c>
      <c r="D2879" s="10" t="n">
        <v>44208</v>
      </c>
      <c r="E2879" s="9" t="s">
        <v>38</v>
      </c>
      <c r="F2879" s="9" t="s">
        <v>108</v>
      </c>
      <c r="G2879" s="9" t="s">
        <v>109</v>
      </c>
      <c r="H2879" s="11" t="s">
        <v>22</v>
      </c>
      <c r="I2879" s="12" t="n">
        <v>30</v>
      </c>
      <c r="J2879" s="13" t="n">
        <v>275</v>
      </c>
      <c r="K2879" s="14" t="n">
        <f aca="false">I2879*J2879</f>
        <v>8250</v>
      </c>
      <c r="L2879" s="14" t="n">
        <f aca="false">($L$2*M2879)/100</f>
        <v>360499.95</v>
      </c>
      <c r="M2879" s="15" t="n">
        <v>0.3</v>
      </c>
      <c r="N2879" s="9" t="s">
        <v>85</v>
      </c>
    </row>
    <row r="2880" customFormat="false" ht="14.25" hidden="false" customHeight="true" outlineLevel="0" collapsed="false">
      <c r="B2880" s="9" t="s">
        <v>16</v>
      </c>
      <c r="C2880" s="9" t="n">
        <v>1185732</v>
      </c>
      <c r="D2880" s="10" t="n">
        <v>44208</v>
      </c>
      <c r="E2880" s="9" t="s">
        <v>38</v>
      </c>
      <c r="F2880" s="9" t="s">
        <v>108</v>
      </c>
      <c r="G2880" s="9" t="s">
        <v>109</v>
      </c>
      <c r="H2880" s="11" t="s">
        <v>23</v>
      </c>
      <c r="I2880" s="12" t="n">
        <v>35</v>
      </c>
      <c r="J2880" s="13" t="n">
        <v>125</v>
      </c>
      <c r="K2880" s="14" t="n">
        <f aca="false">I2880*J2880</f>
        <v>4375</v>
      </c>
      <c r="L2880" s="14" t="n">
        <f aca="false">($L$2*M2880)/100</f>
        <v>360499.95</v>
      </c>
      <c r="M2880" s="15" t="n">
        <v>0.3</v>
      </c>
      <c r="N2880" s="9" t="s">
        <v>85</v>
      </c>
    </row>
    <row r="2881" customFormat="false" ht="14.25" hidden="false" customHeight="true" outlineLevel="0" collapsed="false">
      <c r="B2881" s="9" t="s">
        <v>16</v>
      </c>
      <c r="C2881" s="9" t="n">
        <v>1185732</v>
      </c>
      <c r="D2881" s="10" t="n">
        <v>44208</v>
      </c>
      <c r="E2881" s="9" t="s">
        <v>38</v>
      </c>
      <c r="F2881" s="9" t="s">
        <v>108</v>
      </c>
      <c r="G2881" s="9" t="s">
        <v>109</v>
      </c>
      <c r="H2881" s="11" t="s">
        <v>24</v>
      </c>
      <c r="I2881" s="12" t="n">
        <v>50</v>
      </c>
      <c r="J2881" s="13" t="n">
        <v>175</v>
      </c>
      <c r="K2881" s="14" t="n">
        <f aca="false">I2881*J2881</f>
        <v>8750</v>
      </c>
      <c r="L2881" s="14" t="n">
        <f aca="false">($L$2*M2881)/100</f>
        <v>420583.275</v>
      </c>
      <c r="M2881" s="15" t="n">
        <v>0.35</v>
      </c>
      <c r="N2881" s="9" t="s">
        <v>85</v>
      </c>
    </row>
    <row r="2882" customFormat="false" ht="14.25" hidden="false" customHeight="true" outlineLevel="0" collapsed="false">
      <c r="B2882" s="9" t="s">
        <v>16</v>
      </c>
      <c r="C2882" s="9" t="n">
        <v>1185732</v>
      </c>
      <c r="D2882" s="10" t="n">
        <v>44208</v>
      </c>
      <c r="E2882" s="9" t="s">
        <v>38</v>
      </c>
      <c r="F2882" s="9" t="s">
        <v>108</v>
      </c>
      <c r="G2882" s="9" t="s">
        <v>109</v>
      </c>
      <c r="H2882" s="11" t="s">
        <v>25</v>
      </c>
      <c r="I2882" s="12" t="n">
        <v>40</v>
      </c>
      <c r="J2882" s="13" t="n">
        <v>275</v>
      </c>
      <c r="K2882" s="14" t="n">
        <f aca="false">I2882*J2882</f>
        <v>11000</v>
      </c>
      <c r="L2882" s="14" t="n">
        <f aca="false">($L$2*M2882)/100</f>
        <v>480666.6</v>
      </c>
      <c r="M2882" s="15" t="n">
        <v>0.4</v>
      </c>
      <c r="N2882" s="9" t="s">
        <v>85</v>
      </c>
    </row>
    <row r="2883" customFormat="false" ht="14.25" hidden="false" customHeight="true" outlineLevel="0" collapsed="false">
      <c r="B2883" s="9" t="s">
        <v>16</v>
      </c>
      <c r="C2883" s="9" t="n">
        <v>1185732</v>
      </c>
      <c r="D2883" s="10" t="n">
        <v>44239</v>
      </c>
      <c r="E2883" s="9" t="s">
        <v>38</v>
      </c>
      <c r="F2883" s="9" t="s">
        <v>108</v>
      </c>
      <c r="G2883" s="9" t="s">
        <v>109</v>
      </c>
      <c r="H2883" s="11" t="s">
        <v>19</v>
      </c>
      <c r="I2883" s="12" t="n">
        <v>40</v>
      </c>
      <c r="J2883" s="13" t="n">
        <v>525</v>
      </c>
      <c r="K2883" s="14" t="n">
        <f aca="false">I2883*J2883</f>
        <v>21000</v>
      </c>
      <c r="L2883" s="14" t="n">
        <f aca="false">($L$2*M2883)/100</f>
        <v>420583.275</v>
      </c>
      <c r="M2883" s="15" t="n">
        <v>0.35</v>
      </c>
      <c r="N2883" s="9" t="s">
        <v>85</v>
      </c>
    </row>
    <row r="2884" customFormat="false" ht="14.25" hidden="false" customHeight="true" outlineLevel="0" collapsed="false">
      <c r="B2884" s="9" t="s">
        <v>16</v>
      </c>
      <c r="C2884" s="9" t="n">
        <v>1185732</v>
      </c>
      <c r="D2884" s="10" t="n">
        <v>44239</v>
      </c>
      <c r="E2884" s="9" t="s">
        <v>38</v>
      </c>
      <c r="F2884" s="9" t="s">
        <v>108</v>
      </c>
      <c r="G2884" s="9" t="s">
        <v>109</v>
      </c>
      <c r="H2884" s="11" t="s">
        <v>21</v>
      </c>
      <c r="I2884" s="12" t="n">
        <v>40</v>
      </c>
      <c r="J2884" s="13" t="n">
        <v>175</v>
      </c>
      <c r="K2884" s="14" t="n">
        <f aca="false">I2884*J2884</f>
        <v>7000</v>
      </c>
      <c r="L2884" s="14" t="n">
        <f aca="false">($L$2*M2884)/100</f>
        <v>360499.95</v>
      </c>
      <c r="M2884" s="15" t="n">
        <v>0.3</v>
      </c>
      <c r="N2884" s="9" t="s">
        <v>85</v>
      </c>
    </row>
    <row r="2885" customFormat="false" ht="14.25" hidden="false" customHeight="true" outlineLevel="0" collapsed="false">
      <c r="B2885" s="9" t="s">
        <v>16</v>
      </c>
      <c r="C2885" s="9" t="n">
        <v>1185732</v>
      </c>
      <c r="D2885" s="10" t="n">
        <v>44239</v>
      </c>
      <c r="E2885" s="9" t="s">
        <v>38</v>
      </c>
      <c r="F2885" s="9" t="s">
        <v>108</v>
      </c>
      <c r="G2885" s="9" t="s">
        <v>109</v>
      </c>
      <c r="H2885" s="11" t="s">
        <v>22</v>
      </c>
      <c r="I2885" s="12" t="n">
        <v>30</v>
      </c>
      <c r="J2885" s="13" t="n">
        <v>225</v>
      </c>
      <c r="K2885" s="14" t="n">
        <f aca="false">I2885*J2885</f>
        <v>6750</v>
      </c>
      <c r="L2885" s="14" t="n">
        <f aca="false">($L$2*M2885)/100</f>
        <v>360499.95</v>
      </c>
      <c r="M2885" s="15" t="n">
        <v>0.3</v>
      </c>
      <c r="N2885" s="9" t="s">
        <v>85</v>
      </c>
    </row>
    <row r="2886" customFormat="false" ht="14.25" hidden="false" customHeight="true" outlineLevel="0" collapsed="false">
      <c r="B2886" s="9" t="s">
        <v>16</v>
      </c>
      <c r="C2886" s="9" t="n">
        <v>1185732</v>
      </c>
      <c r="D2886" s="10" t="n">
        <v>44239</v>
      </c>
      <c r="E2886" s="9" t="s">
        <v>38</v>
      </c>
      <c r="F2886" s="9" t="s">
        <v>110</v>
      </c>
      <c r="G2886" s="9" t="s">
        <v>111</v>
      </c>
      <c r="H2886" s="11" t="s">
        <v>23</v>
      </c>
      <c r="I2886" s="12" t="n">
        <v>35</v>
      </c>
      <c r="J2886" s="13" t="n">
        <v>100</v>
      </c>
      <c r="K2886" s="14" t="n">
        <f aca="false">I2886*J2886</f>
        <v>3500</v>
      </c>
      <c r="L2886" s="14" t="n">
        <f aca="false">($L$2*M2886)/100</f>
        <v>360499.95</v>
      </c>
      <c r="M2886" s="15" t="n">
        <v>0.3</v>
      </c>
      <c r="N2886" s="9" t="s">
        <v>85</v>
      </c>
    </row>
    <row r="2887" customFormat="false" ht="14.25" hidden="false" customHeight="true" outlineLevel="0" collapsed="false">
      <c r="B2887" s="9" t="s">
        <v>16</v>
      </c>
      <c r="C2887" s="9" t="n">
        <v>1185732</v>
      </c>
      <c r="D2887" s="10" t="n">
        <v>44239</v>
      </c>
      <c r="E2887" s="9" t="s">
        <v>38</v>
      </c>
      <c r="F2887" s="9" t="s">
        <v>110</v>
      </c>
      <c r="G2887" s="9" t="s">
        <v>111</v>
      </c>
      <c r="H2887" s="11" t="s">
        <v>24</v>
      </c>
      <c r="I2887" s="12" t="n">
        <v>50</v>
      </c>
      <c r="J2887" s="13" t="n">
        <v>175</v>
      </c>
      <c r="K2887" s="14" t="n">
        <f aca="false">I2887*J2887</f>
        <v>8750</v>
      </c>
      <c r="L2887" s="14" t="n">
        <f aca="false">($L$2*M2887)/100</f>
        <v>420583.275</v>
      </c>
      <c r="M2887" s="15" t="n">
        <v>0.35</v>
      </c>
      <c r="N2887" s="9" t="s">
        <v>85</v>
      </c>
    </row>
    <row r="2888" customFormat="false" ht="14.25" hidden="false" customHeight="true" outlineLevel="0" collapsed="false">
      <c r="B2888" s="9" t="s">
        <v>16</v>
      </c>
      <c r="C2888" s="9" t="n">
        <v>1185732</v>
      </c>
      <c r="D2888" s="10" t="n">
        <v>44239</v>
      </c>
      <c r="E2888" s="9" t="s">
        <v>38</v>
      </c>
      <c r="F2888" s="9" t="s">
        <v>110</v>
      </c>
      <c r="G2888" s="9" t="s">
        <v>111</v>
      </c>
      <c r="H2888" s="11" t="s">
        <v>25</v>
      </c>
      <c r="I2888" s="12" t="n">
        <v>35</v>
      </c>
      <c r="J2888" s="13" t="n">
        <v>275</v>
      </c>
      <c r="K2888" s="14" t="n">
        <f aca="false">I2888*J2888</f>
        <v>9625</v>
      </c>
      <c r="L2888" s="14" t="n">
        <f aca="false">($L$2*M2888)/100</f>
        <v>480666.6</v>
      </c>
      <c r="M2888" s="15" t="n">
        <v>0.4</v>
      </c>
      <c r="N2888" s="9" t="s">
        <v>85</v>
      </c>
    </row>
    <row r="2889" customFormat="false" ht="14.25" hidden="false" customHeight="true" outlineLevel="0" collapsed="false">
      <c r="B2889" s="9" t="s">
        <v>16</v>
      </c>
      <c r="C2889" s="9" t="n">
        <v>1185732</v>
      </c>
      <c r="D2889" s="10" t="n">
        <v>44266</v>
      </c>
      <c r="E2889" s="9" t="s">
        <v>38</v>
      </c>
      <c r="F2889" s="9" t="s">
        <v>110</v>
      </c>
      <c r="G2889" s="9" t="s">
        <v>111</v>
      </c>
      <c r="H2889" s="11" t="s">
        <v>19</v>
      </c>
      <c r="I2889" s="12" t="n">
        <v>40</v>
      </c>
      <c r="J2889" s="13" t="n">
        <v>495</v>
      </c>
      <c r="K2889" s="14" t="n">
        <f aca="false">I2889*J2889</f>
        <v>19800</v>
      </c>
      <c r="L2889" s="14" t="n">
        <f aca="false">($L$2*M2889)/100</f>
        <v>420583.275</v>
      </c>
      <c r="M2889" s="15" t="n">
        <v>0.35</v>
      </c>
      <c r="N2889" s="9" t="s">
        <v>85</v>
      </c>
    </row>
    <row r="2890" customFormat="false" ht="14.25" hidden="false" customHeight="true" outlineLevel="0" collapsed="false">
      <c r="B2890" s="9" t="s">
        <v>16</v>
      </c>
      <c r="C2890" s="9" t="n">
        <v>1185732</v>
      </c>
      <c r="D2890" s="10" t="n">
        <v>44266</v>
      </c>
      <c r="E2890" s="9" t="s">
        <v>38</v>
      </c>
      <c r="F2890" s="9" t="s">
        <v>110</v>
      </c>
      <c r="G2890" s="9" t="s">
        <v>111</v>
      </c>
      <c r="H2890" s="11" t="s">
        <v>21</v>
      </c>
      <c r="I2890" s="12" t="n">
        <v>40</v>
      </c>
      <c r="J2890" s="13" t="n">
        <v>200</v>
      </c>
      <c r="K2890" s="14" t="n">
        <f aca="false">I2890*J2890</f>
        <v>8000</v>
      </c>
      <c r="L2890" s="14" t="n">
        <f aca="false">($L$2*M2890)/100</f>
        <v>360499.95</v>
      </c>
      <c r="M2890" s="15" t="n">
        <v>0.3</v>
      </c>
      <c r="N2890" s="9" t="s">
        <v>85</v>
      </c>
    </row>
    <row r="2891" customFormat="false" ht="14.25" hidden="false" customHeight="true" outlineLevel="0" collapsed="false">
      <c r="B2891" s="9" t="s">
        <v>16</v>
      </c>
      <c r="C2891" s="9" t="n">
        <v>1185732</v>
      </c>
      <c r="D2891" s="10" t="n">
        <v>44266</v>
      </c>
      <c r="E2891" s="9" t="s">
        <v>38</v>
      </c>
      <c r="F2891" s="9" t="s">
        <v>110</v>
      </c>
      <c r="G2891" s="9" t="s">
        <v>111</v>
      </c>
      <c r="H2891" s="11" t="s">
        <v>22</v>
      </c>
      <c r="I2891" s="12" t="n">
        <v>30</v>
      </c>
      <c r="J2891" s="13" t="n">
        <v>225</v>
      </c>
      <c r="K2891" s="14" t="n">
        <f aca="false">I2891*J2891</f>
        <v>6750</v>
      </c>
      <c r="L2891" s="14" t="n">
        <f aca="false">($L$2*M2891)/100</f>
        <v>360499.95</v>
      </c>
      <c r="M2891" s="15" t="n">
        <v>0.3</v>
      </c>
      <c r="N2891" s="9" t="s">
        <v>85</v>
      </c>
    </row>
    <row r="2892" customFormat="false" ht="14.25" hidden="false" customHeight="true" outlineLevel="0" collapsed="false">
      <c r="B2892" s="9" t="s">
        <v>16</v>
      </c>
      <c r="C2892" s="9" t="n">
        <v>1185732</v>
      </c>
      <c r="D2892" s="10" t="n">
        <v>44266</v>
      </c>
      <c r="E2892" s="9" t="s">
        <v>38</v>
      </c>
      <c r="F2892" s="9" t="s">
        <v>110</v>
      </c>
      <c r="G2892" s="9" t="s">
        <v>111</v>
      </c>
      <c r="H2892" s="11" t="s">
        <v>23</v>
      </c>
      <c r="I2892" s="12" t="n">
        <v>35</v>
      </c>
      <c r="J2892" s="13" t="n">
        <v>75</v>
      </c>
      <c r="K2892" s="14" t="n">
        <f aca="false">I2892*J2892</f>
        <v>2625</v>
      </c>
      <c r="L2892" s="14" t="n">
        <f aca="false">($L$2*M2892)/100</f>
        <v>360499.95</v>
      </c>
      <c r="M2892" s="15" t="n">
        <v>0.3</v>
      </c>
      <c r="N2892" s="9" t="s">
        <v>85</v>
      </c>
    </row>
    <row r="2893" customFormat="false" ht="14.25" hidden="false" customHeight="true" outlineLevel="0" collapsed="false">
      <c r="B2893" s="9" t="s">
        <v>16</v>
      </c>
      <c r="C2893" s="9" t="n">
        <v>1185732</v>
      </c>
      <c r="D2893" s="10" t="n">
        <v>44266</v>
      </c>
      <c r="E2893" s="9" t="s">
        <v>38</v>
      </c>
      <c r="F2893" s="9" t="s">
        <v>110</v>
      </c>
      <c r="G2893" s="9" t="s">
        <v>111</v>
      </c>
      <c r="H2893" s="11" t="s">
        <v>24</v>
      </c>
      <c r="I2893" s="12" t="n">
        <v>50</v>
      </c>
      <c r="J2893" s="13" t="n">
        <v>125</v>
      </c>
      <c r="K2893" s="14" t="n">
        <f aca="false">I2893*J2893</f>
        <v>6250</v>
      </c>
      <c r="L2893" s="14" t="n">
        <f aca="false">($L$2*M2893)/100</f>
        <v>420583.275</v>
      </c>
      <c r="M2893" s="15" t="n">
        <v>0.35</v>
      </c>
      <c r="N2893" s="9" t="s">
        <v>85</v>
      </c>
    </row>
    <row r="2894" customFormat="false" ht="14.25" hidden="false" customHeight="true" outlineLevel="0" collapsed="false">
      <c r="B2894" s="9" t="s">
        <v>16</v>
      </c>
      <c r="C2894" s="9" t="n">
        <v>1185732</v>
      </c>
      <c r="D2894" s="10" t="n">
        <v>44266</v>
      </c>
      <c r="E2894" s="9" t="s">
        <v>38</v>
      </c>
      <c r="F2894" s="9" t="s">
        <v>110</v>
      </c>
      <c r="G2894" s="9" t="s">
        <v>111</v>
      </c>
      <c r="H2894" s="11" t="s">
        <v>25</v>
      </c>
      <c r="I2894" s="12" t="n">
        <v>40</v>
      </c>
      <c r="J2894" s="13" t="n">
        <v>225</v>
      </c>
      <c r="K2894" s="14" t="n">
        <f aca="false">I2894*J2894</f>
        <v>9000</v>
      </c>
      <c r="L2894" s="14" t="n">
        <f aca="false">($L$2*M2894)/100</f>
        <v>480666.6</v>
      </c>
      <c r="M2894" s="15" t="n">
        <v>0.4</v>
      </c>
      <c r="N2894" s="9" t="s">
        <v>85</v>
      </c>
    </row>
    <row r="2895" customFormat="false" ht="14.25" hidden="false" customHeight="true" outlineLevel="0" collapsed="false">
      <c r="B2895" s="9" t="s">
        <v>16</v>
      </c>
      <c r="C2895" s="9" t="n">
        <v>1185732</v>
      </c>
      <c r="D2895" s="10" t="n">
        <v>44298</v>
      </c>
      <c r="E2895" s="9" t="s">
        <v>38</v>
      </c>
      <c r="F2895" s="9" t="s">
        <v>110</v>
      </c>
      <c r="G2895" s="9" t="s">
        <v>111</v>
      </c>
      <c r="H2895" s="11" t="s">
        <v>19</v>
      </c>
      <c r="I2895" s="12" t="n">
        <v>40</v>
      </c>
      <c r="J2895" s="13" t="n">
        <v>450</v>
      </c>
      <c r="K2895" s="14" t="n">
        <f aca="false">I2895*J2895</f>
        <v>18000</v>
      </c>
      <c r="L2895" s="14" t="n">
        <f aca="false">($L$2*M2895)/100</f>
        <v>420583.275</v>
      </c>
      <c r="M2895" s="15" t="n">
        <v>0.35</v>
      </c>
      <c r="N2895" s="9" t="s">
        <v>85</v>
      </c>
    </row>
    <row r="2896" customFormat="false" ht="14.25" hidden="false" customHeight="true" outlineLevel="0" collapsed="false">
      <c r="B2896" s="9" t="s">
        <v>16</v>
      </c>
      <c r="C2896" s="9" t="n">
        <v>1185732</v>
      </c>
      <c r="D2896" s="10" t="n">
        <v>44298</v>
      </c>
      <c r="E2896" s="9" t="s">
        <v>38</v>
      </c>
      <c r="F2896" s="9" t="s">
        <v>110</v>
      </c>
      <c r="G2896" s="9" t="s">
        <v>111</v>
      </c>
      <c r="H2896" s="11" t="s">
        <v>21</v>
      </c>
      <c r="I2896" s="12" t="n">
        <v>40</v>
      </c>
      <c r="J2896" s="13" t="n">
        <v>150</v>
      </c>
      <c r="K2896" s="14" t="n">
        <f aca="false">I2896*J2896</f>
        <v>6000</v>
      </c>
      <c r="L2896" s="14" t="n">
        <f aca="false">($L$2*M2896)/100</f>
        <v>360499.95</v>
      </c>
      <c r="M2896" s="15" t="n">
        <v>0.3</v>
      </c>
      <c r="N2896" s="9" t="s">
        <v>85</v>
      </c>
    </row>
    <row r="2897" customFormat="false" ht="14.25" hidden="false" customHeight="true" outlineLevel="0" collapsed="false">
      <c r="B2897" s="9" t="s">
        <v>16</v>
      </c>
      <c r="C2897" s="9" t="n">
        <v>1185732</v>
      </c>
      <c r="D2897" s="10" t="n">
        <v>44298</v>
      </c>
      <c r="E2897" s="9" t="s">
        <v>38</v>
      </c>
      <c r="F2897" s="9" t="s">
        <v>110</v>
      </c>
      <c r="G2897" s="9" t="s">
        <v>111</v>
      </c>
      <c r="H2897" s="11" t="s">
        <v>22</v>
      </c>
      <c r="I2897" s="12" t="n">
        <v>30</v>
      </c>
      <c r="J2897" s="13" t="n">
        <v>150</v>
      </c>
      <c r="K2897" s="14" t="n">
        <f aca="false">I2897*J2897</f>
        <v>4500</v>
      </c>
      <c r="L2897" s="14" t="n">
        <f aca="false">($L$2*M2897)/100</f>
        <v>360499.95</v>
      </c>
      <c r="M2897" s="15" t="n">
        <v>0.3</v>
      </c>
      <c r="N2897" s="9" t="s">
        <v>85</v>
      </c>
    </row>
    <row r="2898" customFormat="false" ht="14.25" hidden="false" customHeight="true" outlineLevel="0" collapsed="false">
      <c r="B2898" s="9" t="s">
        <v>16</v>
      </c>
      <c r="C2898" s="9" t="n">
        <v>1185732</v>
      </c>
      <c r="D2898" s="10" t="n">
        <v>44298</v>
      </c>
      <c r="E2898" s="9" t="s">
        <v>38</v>
      </c>
      <c r="F2898" s="9" t="s">
        <v>110</v>
      </c>
      <c r="G2898" s="9" t="s">
        <v>111</v>
      </c>
      <c r="H2898" s="11" t="s">
        <v>23</v>
      </c>
      <c r="I2898" s="12" t="n">
        <v>35</v>
      </c>
      <c r="J2898" s="13" t="n">
        <v>75</v>
      </c>
      <c r="K2898" s="14" t="n">
        <f aca="false">I2898*J2898</f>
        <v>2625</v>
      </c>
      <c r="L2898" s="14" t="n">
        <f aca="false">($L$2*M2898)/100</f>
        <v>360499.95</v>
      </c>
      <c r="M2898" s="15" t="n">
        <v>0.3</v>
      </c>
      <c r="N2898" s="9" t="s">
        <v>85</v>
      </c>
    </row>
    <row r="2899" customFormat="false" ht="14.25" hidden="false" customHeight="true" outlineLevel="0" collapsed="false">
      <c r="B2899" s="9" t="s">
        <v>16</v>
      </c>
      <c r="C2899" s="9" t="n">
        <v>1185732</v>
      </c>
      <c r="D2899" s="10" t="n">
        <v>44298</v>
      </c>
      <c r="E2899" s="9" t="s">
        <v>38</v>
      </c>
      <c r="F2899" s="9" t="s">
        <v>110</v>
      </c>
      <c r="G2899" s="9" t="s">
        <v>111</v>
      </c>
      <c r="H2899" s="11" t="s">
        <v>24</v>
      </c>
      <c r="I2899" s="12" t="n">
        <v>60</v>
      </c>
      <c r="J2899" s="13" t="n">
        <v>100</v>
      </c>
      <c r="K2899" s="14" t="n">
        <f aca="false">I2899*J2899</f>
        <v>6000</v>
      </c>
      <c r="L2899" s="14" t="n">
        <f aca="false">($L$2*M2899)/100</f>
        <v>420583.275</v>
      </c>
      <c r="M2899" s="15" t="n">
        <v>0.35</v>
      </c>
      <c r="N2899" s="9" t="s">
        <v>85</v>
      </c>
    </row>
    <row r="2900" customFormat="false" ht="14.25" hidden="false" customHeight="true" outlineLevel="0" collapsed="false">
      <c r="B2900" s="9" t="s">
        <v>16</v>
      </c>
      <c r="C2900" s="9" t="n">
        <v>1185732</v>
      </c>
      <c r="D2900" s="10" t="n">
        <v>44298</v>
      </c>
      <c r="E2900" s="9" t="s">
        <v>38</v>
      </c>
      <c r="F2900" s="9" t="s">
        <v>110</v>
      </c>
      <c r="G2900" s="9" t="s">
        <v>111</v>
      </c>
      <c r="H2900" s="11" t="s">
        <v>25</v>
      </c>
      <c r="I2900" s="12" t="n">
        <v>50</v>
      </c>
      <c r="J2900" s="13" t="n">
        <v>225</v>
      </c>
      <c r="K2900" s="14" t="n">
        <f aca="false">I2900*J2900</f>
        <v>11250</v>
      </c>
      <c r="L2900" s="14" t="n">
        <f aca="false">($L$2*M2900)/100</f>
        <v>480666.6</v>
      </c>
      <c r="M2900" s="15" t="n">
        <v>0.4</v>
      </c>
      <c r="N2900" s="9" t="s">
        <v>85</v>
      </c>
    </row>
    <row r="2901" customFormat="false" ht="14.25" hidden="false" customHeight="true" outlineLevel="0" collapsed="false">
      <c r="B2901" s="9" t="s">
        <v>16</v>
      </c>
      <c r="C2901" s="9" t="n">
        <v>1185732</v>
      </c>
      <c r="D2901" s="10" t="n">
        <v>44329</v>
      </c>
      <c r="E2901" s="9" t="s">
        <v>38</v>
      </c>
      <c r="F2901" s="9" t="s">
        <v>110</v>
      </c>
      <c r="G2901" s="9" t="s">
        <v>111</v>
      </c>
      <c r="H2901" s="11" t="s">
        <v>19</v>
      </c>
      <c r="I2901" s="12" t="n">
        <v>60</v>
      </c>
      <c r="J2901" s="13" t="n">
        <v>495</v>
      </c>
      <c r="K2901" s="14" t="n">
        <f aca="false">I2901*J2901</f>
        <v>29700</v>
      </c>
      <c r="L2901" s="14" t="n">
        <f aca="false">($L$2*M2901)/100</f>
        <v>420583.275</v>
      </c>
      <c r="M2901" s="15" t="n">
        <v>0.35</v>
      </c>
      <c r="N2901" s="9" t="s">
        <v>85</v>
      </c>
    </row>
    <row r="2902" customFormat="false" ht="14.25" hidden="false" customHeight="true" outlineLevel="0" collapsed="false">
      <c r="B2902" s="9" t="s">
        <v>16</v>
      </c>
      <c r="C2902" s="9" t="n">
        <v>1185732</v>
      </c>
      <c r="D2902" s="10" t="n">
        <v>44329</v>
      </c>
      <c r="E2902" s="9" t="s">
        <v>38</v>
      </c>
      <c r="F2902" s="9" t="s">
        <v>110</v>
      </c>
      <c r="G2902" s="9" t="s">
        <v>111</v>
      </c>
      <c r="H2902" s="11" t="s">
        <v>21</v>
      </c>
      <c r="I2902" s="12" t="n">
        <v>50</v>
      </c>
      <c r="J2902" s="13" t="n">
        <v>200</v>
      </c>
      <c r="K2902" s="14" t="n">
        <f aca="false">I2902*J2902</f>
        <v>10000</v>
      </c>
      <c r="L2902" s="14" t="n">
        <f aca="false">($L$2*M2902)/100</f>
        <v>360499.95</v>
      </c>
      <c r="M2902" s="15" t="n">
        <v>0.3</v>
      </c>
      <c r="N2902" s="9" t="s">
        <v>85</v>
      </c>
    </row>
    <row r="2903" customFormat="false" ht="14.25" hidden="false" customHeight="true" outlineLevel="0" collapsed="false">
      <c r="B2903" s="9" t="s">
        <v>16</v>
      </c>
      <c r="C2903" s="9" t="n">
        <v>1185732</v>
      </c>
      <c r="D2903" s="10" t="n">
        <v>44329</v>
      </c>
      <c r="E2903" s="9" t="s">
        <v>38</v>
      </c>
      <c r="F2903" s="9" t="s">
        <v>110</v>
      </c>
      <c r="G2903" s="9" t="s">
        <v>111</v>
      </c>
      <c r="H2903" s="11" t="s">
        <v>22</v>
      </c>
      <c r="I2903" s="12" t="n">
        <v>45</v>
      </c>
      <c r="J2903" s="13" t="n">
        <v>175</v>
      </c>
      <c r="K2903" s="14" t="n">
        <f aca="false">I2903*J2903</f>
        <v>7875</v>
      </c>
      <c r="L2903" s="14" t="n">
        <f aca="false">($L$2*M2903)/100</f>
        <v>360499.95</v>
      </c>
      <c r="M2903" s="15" t="n">
        <v>0.3</v>
      </c>
      <c r="N2903" s="9" t="s">
        <v>85</v>
      </c>
    </row>
    <row r="2904" customFormat="false" ht="14.25" hidden="false" customHeight="true" outlineLevel="0" collapsed="false">
      <c r="B2904" s="9" t="s">
        <v>16</v>
      </c>
      <c r="C2904" s="9" t="n">
        <v>1185732</v>
      </c>
      <c r="D2904" s="10" t="n">
        <v>44329</v>
      </c>
      <c r="E2904" s="9" t="s">
        <v>38</v>
      </c>
      <c r="F2904" s="9" t="s">
        <v>110</v>
      </c>
      <c r="G2904" s="9" t="s">
        <v>111</v>
      </c>
      <c r="H2904" s="11" t="s">
        <v>23</v>
      </c>
      <c r="I2904" s="12" t="n">
        <v>45</v>
      </c>
      <c r="J2904" s="13" t="n">
        <v>100</v>
      </c>
      <c r="K2904" s="14" t="n">
        <f aca="false">I2904*J2904</f>
        <v>4500</v>
      </c>
      <c r="L2904" s="14" t="n">
        <f aca="false">($L$2*M2904)/100</f>
        <v>360499.95</v>
      </c>
      <c r="M2904" s="15" t="n">
        <v>0.3</v>
      </c>
      <c r="N2904" s="9" t="s">
        <v>85</v>
      </c>
    </row>
    <row r="2905" customFormat="false" ht="14.25" hidden="false" customHeight="true" outlineLevel="0" collapsed="false">
      <c r="B2905" s="9" t="s">
        <v>16</v>
      </c>
      <c r="C2905" s="9" t="n">
        <v>1185732</v>
      </c>
      <c r="D2905" s="10" t="n">
        <v>44329</v>
      </c>
      <c r="E2905" s="9" t="s">
        <v>38</v>
      </c>
      <c r="F2905" s="9" t="s">
        <v>110</v>
      </c>
      <c r="G2905" s="9" t="s">
        <v>111</v>
      </c>
      <c r="H2905" s="11" t="s">
        <v>24</v>
      </c>
      <c r="I2905" s="12" t="n">
        <v>55</v>
      </c>
      <c r="J2905" s="13" t="n">
        <v>125</v>
      </c>
      <c r="K2905" s="14" t="n">
        <f aca="false">I2905*J2905</f>
        <v>6875</v>
      </c>
      <c r="L2905" s="14" t="n">
        <f aca="false">($L$2*M2905)/100</f>
        <v>420583.275</v>
      </c>
      <c r="M2905" s="15" t="n">
        <v>0.35</v>
      </c>
      <c r="N2905" s="9" t="s">
        <v>85</v>
      </c>
    </row>
    <row r="2906" customFormat="false" ht="14.25" hidden="false" customHeight="true" outlineLevel="0" collapsed="false">
      <c r="B2906" s="9" t="s">
        <v>16</v>
      </c>
      <c r="C2906" s="9" t="n">
        <v>1185732</v>
      </c>
      <c r="D2906" s="10" t="n">
        <v>44329</v>
      </c>
      <c r="E2906" s="9" t="s">
        <v>38</v>
      </c>
      <c r="F2906" s="9" t="s">
        <v>110</v>
      </c>
      <c r="G2906" s="9" t="s">
        <v>111</v>
      </c>
      <c r="H2906" s="11" t="s">
        <v>25</v>
      </c>
      <c r="I2906" s="12" t="n">
        <v>60</v>
      </c>
      <c r="J2906" s="13" t="n">
        <v>250</v>
      </c>
      <c r="K2906" s="14" t="n">
        <f aca="false">I2906*J2906</f>
        <v>15000</v>
      </c>
      <c r="L2906" s="14" t="n">
        <f aca="false">($L$2*M2906)/100</f>
        <v>480666.6</v>
      </c>
      <c r="M2906" s="15" t="n">
        <v>0.4</v>
      </c>
      <c r="N2906" s="9" t="s">
        <v>85</v>
      </c>
    </row>
    <row r="2907" customFormat="false" ht="14.25" hidden="false" customHeight="true" outlineLevel="0" collapsed="false">
      <c r="B2907" s="9" t="s">
        <v>16</v>
      </c>
      <c r="C2907" s="9" t="n">
        <v>1185732</v>
      </c>
      <c r="D2907" s="10" t="n">
        <v>44359</v>
      </c>
      <c r="E2907" s="9" t="s">
        <v>38</v>
      </c>
      <c r="F2907" s="9" t="s">
        <v>110</v>
      </c>
      <c r="G2907" s="9" t="s">
        <v>111</v>
      </c>
      <c r="H2907" s="11" t="s">
        <v>19</v>
      </c>
      <c r="I2907" s="12" t="n">
        <v>45</v>
      </c>
      <c r="J2907" s="13" t="n">
        <v>500</v>
      </c>
      <c r="K2907" s="14" t="n">
        <f aca="false">I2907*J2907</f>
        <v>22500</v>
      </c>
      <c r="L2907" s="14" t="n">
        <f aca="false">($L$2*M2907)/100</f>
        <v>420583.275</v>
      </c>
      <c r="M2907" s="15" t="n">
        <v>0.35</v>
      </c>
      <c r="N2907" s="9" t="s">
        <v>85</v>
      </c>
    </row>
    <row r="2908" customFormat="false" ht="14.25" hidden="false" customHeight="true" outlineLevel="0" collapsed="false">
      <c r="B2908" s="9" t="s">
        <v>16</v>
      </c>
      <c r="C2908" s="9" t="n">
        <v>1185732</v>
      </c>
      <c r="D2908" s="10" t="n">
        <v>44359</v>
      </c>
      <c r="E2908" s="9" t="s">
        <v>38</v>
      </c>
      <c r="F2908" s="9" t="s">
        <v>110</v>
      </c>
      <c r="G2908" s="9" t="s">
        <v>111</v>
      </c>
      <c r="H2908" s="11" t="s">
        <v>21</v>
      </c>
      <c r="I2908" s="12" t="n">
        <v>40</v>
      </c>
      <c r="J2908" s="13" t="n">
        <v>250</v>
      </c>
      <c r="K2908" s="14" t="n">
        <f aca="false">I2908*J2908</f>
        <v>10000</v>
      </c>
      <c r="L2908" s="14" t="n">
        <f aca="false">($L$2*M2908)/100</f>
        <v>360499.95</v>
      </c>
      <c r="M2908" s="15" t="n">
        <v>0.3</v>
      </c>
      <c r="N2908" s="9" t="s">
        <v>85</v>
      </c>
    </row>
    <row r="2909" customFormat="false" ht="14.25" hidden="false" customHeight="true" outlineLevel="0" collapsed="false">
      <c r="B2909" s="9" t="s">
        <v>16</v>
      </c>
      <c r="C2909" s="9" t="n">
        <v>1185732</v>
      </c>
      <c r="D2909" s="10" t="n">
        <v>44359</v>
      </c>
      <c r="E2909" s="9" t="s">
        <v>38</v>
      </c>
      <c r="F2909" s="9" t="s">
        <v>110</v>
      </c>
      <c r="G2909" s="9" t="s">
        <v>111</v>
      </c>
      <c r="H2909" s="11" t="s">
        <v>22</v>
      </c>
      <c r="I2909" s="12" t="n">
        <v>35</v>
      </c>
      <c r="J2909" s="13" t="n">
        <v>200</v>
      </c>
      <c r="K2909" s="14" t="n">
        <f aca="false">I2909*J2909</f>
        <v>7000</v>
      </c>
      <c r="L2909" s="14" t="n">
        <f aca="false">($L$2*M2909)/100</f>
        <v>360499.95</v>
      </c>
      <c r="M2909" s="15" t="n">
        <v>0.3</v>
      </c>
      <c r="N2909" s="9" t="s">
        <v>85</v>
      </c>
    </row>
    <row r="2910" customFormat="false" ht="14.25" hidden="false" customHeight="true" outlineLevel="0" collapsed="false">
      <c r="B2910" s="9" t="s">
        <v>16</v>
      </c>
      <c r="C2910" s="9" t="n">
        <v>1185732</v>
      </c>
      <c r="D2910" s="10" t="n">
        <v>44359</v>
      </c>
      <c r="E2910" s="9" t="s">
        <v>38</v>
      </c>
      <c r="F2910" s="9" t="s">
        <v>110</v>
      </c>
      <c r="G2910" s="9" t="s">
        <v>111</v>
      </c>
      <c r="H2910" s="11" t="s">
        <v>23</v>
      </c>
      <c r="I2910" s="12" t="n">
        <v>35</v>
      </c>
      <c r="J2910" s="13" t="n">
        <v>175</v>
      </c>
      <c r="K2910" s="14" t="n">
        <f aca="false">I2910*J2910</f>
        <v>6125</v>
      </c>
      <c r="L2910" s="14" t="n">
        <f aca="false">($L$2*M2910)/100</f>
        <v>360499.95</v>
      </c>
      <c r="M2910" s="15" t="n">
        <v>0.3</v>
      </c>
      <c r="N2910" s="9" t="s">
        <v>85</v>
      </c>
    </row>
    <row r="2911" customFormat="false" ht="14.25" hidden="false" customHeight="true" outlineLevel="0" collapsed="false">
      <c r="B2911" s="9" t="s">
        <v>16</v>
      </c>
      <c r="C2911" s="9" t="n">
        <v>1185732</v>
      </c>
      <c r="D2911" s="10" t="n">
        <v>44359</v>
      </c>
      <c r="E2911" s="9" t="s">
        <v>38</v>
      </c>
      <c r="F2911" s="9" t="s">
        <v>110</v>
      </c>
      <c r="G2911" s="9" t="s">
        <v>111</v>
      </c>
      <c r="H2911" s="11" t="s">
        <v>24</v>
      </c>
      <c r="I2911" s="12" t="n">
        <v>45</v>
      </c>
      <c r="J2911" s="13" t="n">
        <v>175</v>
      </c>
      <c r="K2911" s="14" t="n">
        <f aca="false">I2911*J2911</f>
        <v>7875</v>
      </c>
      <c r="L2911" s="14" t="n">
        <f aca="false">($L$2*M2911)/100</f>
        <v>420583.275</v>
      </c>
      <c r="M2911" s="15" t="n">
        <v>0.35</v>
      </c>
      <c r="N2911" s="9" t="s">
        <v>85</v>
      </c>
    </row>
    <row r="2912" customFormat="false" ht="14.25" hidden="false" customHeight="true" outlineLevel="0" collapsed="false">
      <c r="B2912" s="9" t="s">
        <v>16</v>
      </c>
      <c r="C2912" s="9" t="n">
        <v>1185732</v>
      </c>
      <c r="D2912" s="10" t="n">
        <v>44359</v>
      </c>
      <c r="E2912" s="9" t="s">
        <v>38</v>
      </c>
      <c r="F2912" s="9" t="s">
        <v>110</v>
      </c>
      <c r="G2912" s="9" t="s">
        <v>111</v>
      </c>
      <c r="H2912" s="11" t="s">
        <v>25</v>
      </c>
      <c r="I2912" s="12" t="n">
        <v>55</v>
      </c>
      <c r="J2912" s="13" t="n">
        <v>325</v>
      </c>
      <c r="K2912" s="14" t="n">
        <f aca="false">I2912*J2912</f>
        <v>17875</v>
      </c>
      <c r="L2912" s="14" t="n">
        <f aca="false">($L$2*M2912)/100</f>
        <v>480666.6</v>
      </c>
      <c r="M2912" s="15" t="n">
        <v>0.4</v>
      </c>
      <c r="N2912" s="9" t="s">
        <v>85</v>
      </c>
    </row>
    <row r="2913" customFormat="false" ht="14.25" hidden="false" customHeight="true" outlineLevel="0" collapsed="false">
      <c r="B2913" s="9" t="s">
        <v>16</v>
      </c>
      <c r="C2913" s="9" t="n">
        <v>1185732</v>
      </c>
      <c r="D2913" s="10" t="n">
        <v>44388</v>
      </c>
      <c r="E2913" s="9" t="s">
        <v>38</v>
      </c>
      <c r="F2913" s="9" t="s">
        <v>110</v>
      </c>
      <c r="G2913" s="9" t="s">
        <v>111</v>
      </c>
      <c r="H2913" s="11" t="s">
        <v>19</v>
      </c>
      <c r="I2913" s="12" t="n">
        <v>50</v>
      </c>
      <c r="J2913" s="13" t="n">
        <v>550</v>
      </c>
      <c r="K2913" s="14" t="n">
        <f aca="false">I2913*J2913</f>
        <v>27500</v>
      </c>
      <c r="L2913" s="14" t="n">
        <f aca="false">($L$2*M2913)/100</f>
        <v>420583.275</v>
      </c>
      <c r="M2913" s="15" t="n">
        <v>0.35</v>
      </c>
      <c r="N2913" s="9" t="s">
        <v>85</v>
      </c>
    </row>
    <row r="2914" customFormat="false" ht="14.25" hidden="false" customHeight="true" outlineLevel="0" collapsed="false">
      <c r="B2914" s="9" t="s">
        <v>16</v>
      </c>
      <c r="C2914" s="9" t="n">
        <v>1185732</v>
      </c>
      <c r="D2914" s="10" t="n">
        <v>44388</v>
      </c>
      <c r="E2914" s="9" t="s">
        <v>38</v>
      </c>
      <c r="F2914" s="9" t="s">
        <v>110</v>
      </c>
      <c r="G2914" s="9" t="s">
        <v>111</v>
      </c>
      <c r="H2914" s="11" t="s">
        <v>21</v>
      </c>
      <c r="I2914" s="12" t="n">
        <v>45</v>
      </c>
      <c r="J2914" s="13" t="n">
        <v>300</v>
      </c>
      <c r="K2914" s="14" t="n">
        <f aca="false">I2914*J2914</f>
        <v>13500</v>
      </c>
      <c r="L2914" s="14" t="n">
        <f aca="false">($L$2*M2914)/100</f>
        <v>360499.95</v>
      </c>
      <c r="M2914" s="15" t="n">
        <v>0.3</v>
      </c>
      <c r="N2914" s="9" t="s">
        <v>85</v>
      </c>
    </row>
    <row r="2915" customFormat="false" ht="14.25" hidden="false" customHeight="true" outlineLevel="0" collapsed="false">
      <c r="B2915" s="9" t="s">
        <v>16</v>
      </c>
      <c r="C2915" s="9" t="n">
        <v>1185732</v>
      </c>
      <c r="D2915" s="10" t="n">
        <v>44388</v>
      </c>
      <c r="E2915" s="9" t="s">
        <v>38</v>
      </c>
      <c r="F2915" s="9" t="s">
        <v>110</v>
      </c>
      <c r="G2915" s="9" t="s">
        <v>111</v>
      </c>
      <c r="H2915" s="11" t="s">
        <v>22</v>
      </c>
      <c r="I2915" s="12" t="n">
        <v>40</v>
      </c>
      <c r="J2915" s="13" t="n">
        <v>225</v>
      </c>
      <c r="K2915" s="14" t="n">
        <f aca="false">I2915*J2915</f>
        <v>9000</v>
      </c>
      <c r="L2915" s="14" t="n">
        <f aca="false">($L$2*M2915)/100</f>
        <v>360499.95</v>
      </c>
      <c r="M2915" s="15" t="n">
        <v>0.3</v>
      </c>
      <c r="N2915" s="9" t="s">
        <v>85</v>
      </c>
    </row>
    <row r="2916" customFormat="false" ht="14.25" hidden="false" customHeight="true" outlineLevel="0" collapsed="false">
      <c r="B2916" s="9" t="s">
        <v>16</v>
      </c>
      <c r="C2916" s="9" t="n">
        <v>1185732</v>
      </c>
      <c r="D2916" s="10" t="n">
        <v>44388</v>
      </c>
      <c r="E2916" s="9" t="s">
        <v>38</v>
      </c>
      <c r="F2916" s="9" t="s">
        <v>110</v>
      </c>
      <c r="G2916" s="9" t="s">
        <v>111</v>
      </c>
      <c r="H2916" s="11" t="s">
        <v>23</v>
      </c>
      <c r="I2916" s="12" t="n">
        <v>40</v>
      </c>
      <c r="J2916" s="13" t="n">
        <v>175</v>
      </c>
      <c r="K2916" s="14" t="n">
        <f aca="false">I2916*J2916</f>
        <v>7000</v>
      </c>
      <c r="L2916" s="14" t="n">
        <f aca="false">($L$2*M2916)/100</f>
        <v>360499.95</v>
      </c>
      <c r="M2916" s="15" t="n">
        <v>0.3</v>
      </c>
      <c r="N2916" s="9" t="s">
        <v>85</v>
      </c>
    </row>
    <row r="2917" customFormat="false" ht="14.25" hidden="false" customHeight="true" outlineLevel="0" collapsed="false">
      <c r="B2917" s="9" t="s">
        <v>16</v>
      </c>
      <c r="C2917" s="9" t="n">
        <v>1185732</v>
      </c>
      <c r="D2917" s="10" t="n">
        <v>44388</v>
      </c>
      <c r="E2917" s="9" t="s">
        <v>38</v>
      </c>
      <c r="F2917" s="9" t="s">
        <v>110</v>
      </c>
      <c r="G2917" s="9" t="s">
        <v>111</v>
      </c>
      <c r="H2917" s="11" t="s">
        <v>24</v>
      </c>
      <c r="I2917" s="12" t="n">
        <v>50</v>
      </c>
      <c r="J2917" s="13" t="n">
        <v>200</v>
      </c>
      <c r="K2917" s="14" t="n">
        <f aca="false">I2917*J2917</f>
        <v>10000</v>
      </c>
      <c r="L2917" s="14" t="n">
        <f aca="false">($L$2*M2917)/100</f>
        <v>420583.275</v>
      </c>
      <c r="M2917" s="15" t="n">
        <v>0.35</v>
      </c>
      <c r="N2917" s="9" t="s">
        <v>85</v>
      </c>
    </row>
    <row r="2918" customFormat="false" ht="14.25" hidden="false" customHeight="true" outlineLevel="0" collapsed="false">
      <c r="B2918" s="9" t="s">
        <v>16</v>
      </c>
      <c r="C2918" s="9" t="n">
        <v>1185732</v>
      </c>
      <c r="D2918" s="10" t="n">
        <v>44388</v>
      </c>
      <c r="E2918" s="9" t="s">
        <v>38</v>
      </c>
      <c r="F2918" s="9" t="s">
        <v>110</v>
      </c>
      <c r="G2918" s="9" t="s">
        <v>111</v>
      </c>
      <c r="H2918" s="11" t="s">
        <v>25</v>
      </c>
      <c r="I2918" s="12" t="n">
        <v>55</v>
      </c>
      <c r="J2918" s="13" t="n">
        <v>375</v>
      </c>
      <c r="K2918" s="14" t="n">
        <f aca="false">I2918*J2918</f>
        <v>20625</v>
      </c>
      <c r="L2918" s="14" t="n">
        <f aca="false">($L$2*M2918)/100</f>
        <v>480666.6</v>
      </c>
      <c r="M2918" s="15" t="n">
        <v>0.4</v>
      </c>
      <c r="N2918" s="9" t="s">
        <v>85</v>
      </c>
    </row>
    <row r="2919" customFormat="false" ht="14.25" hidden="false" customHeight="true" outlineLevel="0" collapsed="false">
      <c r="B2919" s="9" t="s">
        <v>16</v>
      </c>
      <c r="C2919" s="9" t="n">
        <v>1185732</v>
      </c>
      <c r="D2919" s="10" t="n">
        <v>44420</v>
      </c>
      <c r="E2919" s="9" t="s">
        <v>38</v>
      </c>
      <c r="F2919" s="9" t="s">
        <v>110</v>
      </c>
      <c r="G2919" s="9" t="s">
        <v>111</v>
      </c>
      <c r="H2919" s="11" t="s">
        <v>19</v>
      </c>
      <c r="I2919" s="12" t="n">
        <v>50</v>
      </c>
      <c r="J2919" s="13" t="n">
        <v>525</v>
      </c>
      <c r="K2919" s="14" t="n">
        <f aca="false">I2919*J2919</f>
        <v>26250</v>
      </c>
      <c r="L2919" s="14" t="n">
        <f aca="false">($L$2*M2919)/100</f>
        <v>420583.275</v>
      </c>
      <c r="M2919" s="15" t="n">
        <v>0.35</v>
      </c>
      <c r="N2919" s="9" t="s">
        <v>85</v>
      </c>
    </row>
    <row r="2920" customFormat="false" ht="14.25" hidden="false" customHeight="true" outlineLevel="0" collapsed="false">
      <c r="B2920" s="9" t="s">
        <v>16</v>
      </c>
      <c r="C2920" s="9" t="n">
        <v>1185732</v>
      </c>
      <c r="D2920" s="10" t="n">
        <v>44420</v>
      </c>
      <c r="E2920" s="9" t="s">
        <v>38</v>
      </c>
      <c r="F2920" s="9" t="s">
        <v>110</v>
      </c>
      <c r="G2920" s="9" t="s">
        <v>111</v>
      </c>
      <c r="H2920" s="11" t="s">
        <v>21</v>
      </c>
      <c r="I2920" s="12" t="n">
        <v>45</v>
      </c>
      <c r="J2920" s="13" t="n">
        <v>300</v>
      </c>
      <c r="K2920" s="14" t="n">
        <f aca="false">I2920*J2920</f>
        <v>13500</v>
      </c>
      <c r="L2920" s="14" t="n">
        <f aca="false">($L$2*M2920)/100</f>
        <v>360499.95</v>
      </c>
      <c r="M2920" s="15" t="n">
        <v>0.3</v>
      </c>
      <c r="N2920" s="9" t="s">
        <v>85</v>
      </c>
    </row>
    <row r="2921" customFormat="false" ht="14.25" hidden="false" customHeight="true" outlineLevel="0" collapsed="false">
      <c r="B2921" s="9" t="s">
        <v>16</v>
      </c>
      <c r="C2921" s="9" t="n">
        <v>1185732</v>
      </c>
      <c r="D2921" s="10" t="n">
        <v>44420</v>
      </c>
      <c r="E2921" s="9" t="s">
        <v>38</v>
      </c>
      <c r="F2921" s="9" t="s">
        <v>110</v>
      </c>
      <c r="G2921" s="9" t="s">
        <v>111</v>
      </c>
      <c r="H2921" s="11" t="s">
        <v>22</v>
      </c>
      <c r="I2921" s="12" t="n">
        <v>40</v>
      </c>
      <c r="J2921" s="13" t="n">
        <v>225</v>
      </c>
      <c r="K2921" s="14" t="n">
        <f aca="false">I2921*J2921</f>
        <v>9000</v>
      </c>
      <c r="L2921" s="14" t="n">
        <f aca="false">($L$2*M2921)/100</f>
        <v>360499.95</v>
      </c>
      <c r="M2921" s="15" t="n">
        <v>0.3</v>
      </c>
      <c r="N2921" s="9" t="s">
        <v>85</v>
      </c>
    </row>
    <row r="2922" customFormat="false" ht="14.25" hidden="false" customHeight="true" outlineLevel="0" collapsed="false">
      <c r="B2922" s="9" t="s">
        <v>16</v>
      </c>
      <c r="C2922" s="9" t="n">
        <v>1185732</v>
      </c>
      <c r="D2922" s="10" t="n">
        <v>44420</v>
      </c>
      <c r="E2922" s="9" t="s">
        <v>38</v>
      </c>
      <c r="F2922" s="9" t="s">
        <v>110</v>
      </c>
      <c r="G2922" s="9" t="s">
        <v>111</v>
      </c>
      <c r="H2922" s="11" t="s">
        <v>23</v>
      </c>
      <c r="I2922" s="12" t="n">
        <v>40</v>
      </c>
      <c r="J2922" s="13" t="n">
        <v>200</v>
      </c>
      <c r="K2922" s="14" t="n">
        <f aca="false">I2922*J2922</f>
        <v>8000</v>
      </c>
      <c r="L2922" s="14" t="n">
        <f aca="false">($L$2*M2922)/100</f>
        <v>360499.95</v>
      </c>
      <c r="M2922" s="15" t="n">
        <v>0.3</v>
      </c>
      <c r="N2922" s="9" t="s">
        <v>85</v>
      </c>
    </row>
    <row r="2923" customFormat="false" ht="14.25" hidden="false" customHeight="true" outlineLevel="0" collapsed="false">
      <c r="B2923" s="9" t="s">
        <v>16</v>
      </c>
      <c r="C2923" s="9" t="n">
        <v>1185732</v>
      </c>
      <c r="D2923" s="10" t="n">
        <v>44420</v>
      </c>
      <c r="E2923" s="9" t="s">
        <v>38</v>
      </c>
      <c r="F2923" s="9" t="s">
        <v>110</v>
      </c>
      <c r="G2923" s="9" t="s">
        <v>111</v>
      </c>
      <c r="H2923" s="11" t="s">
        <v>24</v>
      </c>
      <c r="I2923" s="12" t="n">
        <v>50</v>
      </c>
      <c r="J2923" s="13" t="n">
        <v>175</v>
      </c>
      <c r="K2923" s="14" t="n">
        <f aca="false">I2923*J2923</f>
        <v>8750</v>
      </c>
      <c r="L2923" s="14" t="n">
        <f aca="false">($L$2*M2923)/100</f>
        <v>420583.275</v>
      </c>
      <c r="M2923" s="15" t="n">
        <v>0.35</v>
      </c>
      <c r="N2923" s="9" t="s">
        <v>85</v>
      </c>
    </row>
    <row r="2924" customFormat="false" ht="14.25" hidden="false" customHeight="true" outlineLevel="0" collapsed="false">
      <c r="B2924" s="9" t="s">
        <v>16</v>
      </c>
      <c r="C2924" s="9" t="n">
        <v>1185732</v>
      </c>
      <c r="D2924" s="10" t="n">
        <v>44420</v>
      </c>
      <c r="E2924" s="9" t="s">
        <v>38</v>
      </c>
      <c r="F2924" s="9" t="s">
        <v>110</v>
      </c>
      <c r="G2924" s="9" t="s">
        <v>111</v>
      </c>
      <c r="H2924" s="11" t="s">
        <v>25</v>
      </c>
      <c r="I2924" s="12" t="n">
        <v>55</v>
      </c>
      <c r="J2924" s="13" t="n">
        <v>350</v>
      </c>
      <c r="K2924" s="14" t="n">
        <f aca="false">I2924*J2924</f>
        <v>19250</v>
      </c>
      <c r="L2924" s="14" t="n">
        <f aca="false">($L$2*M2924)/100</f>
        <v>480666.6</v>
      </c>
      <c r="M2924" s="15" t="n">
        <v>0.4</v>
      </c>
      <c r="N2924" s="9" t="s">
        <v>85</v>
      </c>
    </row>
    <row r="2925" customFormat="false" ht="14.25" hidden="false" customHeight="true" outlineLevel="0" collapsed="false">
      <c r="B2925" s="9" t="s">
        <v>16</v>
      </c>
      <c r="C2925" s="9" t="n">
        <v>1185732</v>
      </c>
      <c r="D2925" s="10" t="n">
        <v>44452</v>
      </c>
      <c r="E2925" s="9" t="s">
        <v>38</v>
      </c>
      <c r="F2925" s="9" t="s">
        <v>110</v>
      </c>
      <c r="G2925" s="9" t="s">
        <v>111</v>
      </c>
      <c r="H2925" s="11" t="s">
        <v>19</v>
      </c>
      <c r="I2925" s="12" t="n">
        <v>45</v>
      </c>
      <c r="J2925" s="13" t="n">
        <v>475</v>
      </c>
      <c r="K2925" s="14" t="n">
        <f aca="false">I2925*J2925</f>
        <v>21375</v>
      </c>
      <c r="L2925" s="14" t="n">
        <f aca="false">($L$2*M2925)/100</f>
        <v>420583.275</v>
      </c>
      <c r="M2925" s="15" t="n">
        <v>0.35</v>
      </c>
      <c r="N2925" s="9" t="s">
        <v>85</v>
      </c>
    </row>
    <row r="2926" customFormat="false" ht="14.25" hidden="false" customHeight="true" outlineLevel="0" collapsed="false">
      <c r="B2926" s="9" t="s">
        <v>16</v>
      </c>
      <c r="C2926" s="9" t="n">
        <v>1185732</v>
      </c>
      <c r="D2926" s="10" t="n">
        <v>44452</v>
      </c>
      <c r="E2926" s="9" t="s">
        <v>38</v>
      </c>
      <c r="F2926" s="9" t="s">
        <v>110</v>
      </c>
      <c r="G2926" s="9" t="s">
        <v>111</v>
      </c>
      <c r="H2926" s="11" t="s">
        <v>21</v>
      </c>
      <c r="I2926" s="12" t="n">
        <v>40</v>
      </c>
      <c r="J2926" s="13" t="n">
        <v>275</v>
      </c>
      <c r="K2926" s="14" t="n">
        <f aca="false">I2926*J2926</f>
        <v>11000</v>
      </c>
      <c r="L2926" s="14" t="n">
        <f aca="false">($L$2*M2926)/100</f>
        <v>360499.95</v>
      </c>
      <c r="M2926" s="15" t="n">
        <v>0.3</v>
      </c>
      <c r="N2926" s="9" t="s">
        <v>85</v>
      </c>
    </row>
    <row r="2927" customFormat="false" ht="14.25" hidden="false" customHeight="true" outlineLevel="0" collapsed="false">
      <c r="B2927" s="9" t="s">
        <v>16</v>
      </c>
      <c r="C2927" s="9" t="n">
        <v>1185732</v>
      </c>
      <c r="D2927" s="10" t="n">
        <v>44452</v>
      </c>
      <c r="E2927" s="9" t="s">
        <v>38</v>
      </c>
      <c r="F2927" s="9" t="s">
        <v>110</v>
      </c>
      <c r="G2927" s="9" t="s">
        <v>111</v>
      </c>
      <c r="H2927" s="11" t="s">
        <v>22</v>
      </c>
      <c r="I2927" s="12" t="n">
        <v>35</v>
      </c>
      <c r="J2927" s="13" t="n">
        <v>175</v>
      </c>
      <c r="K2927" s="14" t="n">
        <f aca="false">I2927*J2927</f>
        <v>6125</v>
      </c>
      <c r="L2927" s="14" t="n">
        <f aca="false">($L$2*M2927)/100</f>
        <v>360499.95</v>
      </c>
      <c r="M2927" s="15" t="n">
        <v>0.3</v>
      </c>
      <c r="N2927" s="9" t="s">
        <v>85</v>
      </c>
    </row>
    <row r="2928" customFormat="false" ht="14.25" hidden="false" customHeight="true" outlineLevel="0" collapsed="false">
      <c r="B2928" s="9" t="s">
        <v>16</v>
      </c>
      <c r="C2928" s="9" t="n">
        <v>1185732</v>
      </c>
      <c r="D2928" s="10" t="n">
        <v>44452</v>
      </c>
      <c r="E2928" s="9" t="s">
        <v>38</v>
      </c>
      <c r="F2928" s="9" t="s">
        <v>110</v>
      </c>
      <c r="G2928" s="9" t="s">
        <v>111</v>
      </c>
      <c r="H2928" s="11" t="s">
        <v>23</v>
      </c>
      <c r="I2928" s="12" t="n">
        <v>35</v>
      </c>
      <c r="J2928" s="13" t="n">
        <v>150</v>
      </c>
      <c r="K2928" s="14" t="n">
        <f aca="false">I2928*J2928</f>
        <v>5250</v>
      </c>
      <c r="L2928" s="14" t="n">
        <f aca="false">($L$2*M2928)/100</f>
        <v>360499.95</v>
      </c>
      <c r="M2928" s="15" t="n">
        <v>0.3</v>
      </c>
      <c r="N2928" s="9" t="s">
        <v>85</v>
      </c>
    </row>
    <row r="2929" customFormat="false" ht="14.25" hidden="false" customHeight="true" outlineLevel="0" collapsed="false">
      <c r="B2929" s="9" t="s">
        <v>16</v>
      </c>
      <c r="C2929" s="9" t="n">
        <v>1185732</v>
      </c>
      <c r="D2929" s="10" t="n">
        <v>44452</v>
      </c>
      <c r="E2929" s="9" t="s">
        <v>38</v>
      </c>
      <c r="F2929" s="9" t="s">
        <v>110</v>
      </c>
      <c r="G2929" s="9" t="s">
        <v>111</v>
      </c>
      <c r="H2929" s="11" t="s">
        <v>24</v>
      </c>
      <c r="I2929" s="12" t="n">
        <v>45</v>
      </c>
      <c r="J2929" s="13" t="n">
        <v>150</v>
      </c>
      <c r="K2929" s="14" t="n">
        <f aca="false">I2929*J2929</f>
        <v>6750</v>
      </c>
      <c r="L2929" s="14" t="n">
        <f aca="false">($L$2*M2929)/100</f>
        <v>420583.275</v>
      </c>
      <c r="M2929" s="15" t="n">
        <v>0.35</v>
      </c>
      <c r="N2929" s="9" t="s">
        <v>85</v>
      </c>
    </row>
    <row r="2930" customFormat="false" ht="14.25" hidden="false" customHeight="true" outlineLevel="0" collapsed="false">
      <c r="B2930" s="9" t="s">
        <v>16</v>
      </c>
      <c r="C2930" s="9" t="n">
        <v>1185732</v>
      </c>
      <c r="D2930" s="10" t="n">
        <v>44452</v>
      </c>
      <c r="E2930" s="9" t="s">
        <v>38</v>
      </c>
      <c r="F2930" s="9" t="s">
        <v>110</v>
      </c>
      <c r="G2930" s="9" t="s">
        <v>111</v>
      </c>
      <c r="H2930" s="11" t="s">
        <v>25</v>
      </c>
      <c r="I2930" s="12" t="n">
        <v>50</v>
      </c>
      <c r="J2930" s="13" t="n">
        <v>225</v>
      </c>
      <c r="K2930" s="14" t="n">
        <f aca="false">I2930*J2930</f>
        <v>11250</v>
      </c>
      <c r="L2930" s="14" t="n">
        <f aca="false">($L$2*M2930)/100</f>
        <v>480666.6</v>
      </c>
      <c r="M2930" s="15" t="n">
        <v>0.4</v>
      </c>
      <c r="N2930" s="9" t="s">
        <v>85</v>
      </c>
    </row>
    <row r="2931" customFormat="false" ht="14.25" hidden="false" customHeight="true" outlineLevel="0" collapsed="false">
      <c r="B2931" s="9" t="s">
        <v>16</v>
      </c>
      <c r="C2931" s="9" t="n">
        <v>1185732</v>
      </c>
      <c r="D2931" s="10" t="n">
        <v>44481</v>
      </c>
      <c r="E2931" s="9" t="s">
        <v>38</v>
      </c>
      <c r="F2931" s="9" t="s">
        <v>110</v>
      </c>
      <c r="G2931" s="9" t="s">
        <v>111</v>
      </c>
      <c r="H2931" s="11" t="s">
        <v>19</v>
      </c>
      <c r="I2931" s="12" t="n">
        <v>55</v>
      </c>
      <c r="J2931" s="13" t="n">
        <v>400</v>
      </c>
      <c r="K2931" s="14" t="n">
        <f aca="false">I2931*J2931</f>
        <v>22000</v>
      </c>
      <c r="L2931" s="14" t="n">
        <f aca="false">($L$2*M2931)/100</f>
        <v>420583.275</v>
      </c>
      <c r="M2931" s="15" t="n">
        <v>0.35</v>
      </c>
      <c r="N2931" s="9" t="s">
        <v>85</v>
      </c>
    </row>
    <row r="2932" customFormat="false" ht="14.25" hidden="false" customHeight="true" outlineLevel="0" collapsed="false">
      <c r="B2932" s="9" t="s">
        <v>16</v>
      </c>
      <c r="C2932" s="9" t="n">
        <v>1185732</v>
      </c>
      <c r="D2932" s="10" t="n">
        <v>44481</v>
      </c>
      <c r="E2932" s="9" t="s">
        <v>38</v>
      </c>
      <c r="F2932" s="9" t="s">
        <v>110</v>
      </c>
      <c r="G2932" s="9" t="s">
        <v>111</v>
      </c>
      <c r="H2932" s="11" t="s">
        <v>21</v>
      </c>
      <c r="I2932" s="12" t="n">
        <v>45</v>
      </c>
      <c r="J2932" s="13" t="n">
        <v>250</v>
      </c>
      <c r="K2932" s="14" t="n">
        <f aca="false">I2932*J2932</f>
        <v>11250</v>
      </c>
      <c r="L2932" s="14" t="n">
        <f aca="false">($L$2*M2932)/100</f>
        <v>360499.95</v>
      </c>
      <c r="M2932" s="15" t="n">
        <v>0.3</v>
      </c>
      <c r="N2932" s="9" t="s">
        <v>85</v>
      </c>
    </row>
    <row r="2933" customFormat="false" ht="14.25" hidden="false" customHeight="true" outlineLevel="0" collapsed="false">
      <c r="B2933" s="9" t="s">
        <v>16</v>
      </c>
      <c r="C2933" s="9" t="n">
        <v>1185732</v>
      </c>
      <c r="D2933" s="10" t="n">
        <v>44481</v>
      </c>
      <c r="E2933" s="9" t="s">
        <v>38</v>
      </c>
      <c r="F2933" s="9" t="s">
        <v>110</v>
      </c>
      <c r="G2933" s="9" t="s">
        <v>111</v>
      </c>
      <c r="H2933" s="11" t="s">
        <v>22</v>
      </c>
      <c r="I2933" s="12" t="n">
        <v>45</v>
      </c>
      <c r="J2933" s="13" t="n">
        <v>150</v>
      </c>
      <c r="K2933" s="14" t="n">
        <f aca="false">I2933*J2933</f>
        <v>6750</v>
      </c>
      <c r="L2933" s="14" t="n">
        <f aca="false">($L$2*M2933)/100</f>
        <v>360499.95</v>
      </c>
      <c r="M2933" s="15" t="n">
        <v>0.3</v>
      </c>
      <c r="N2933" s="9" t="s">
        <v>85</v>
      </c>
    </row>
    <row r="2934" customFormat="false" ht="14.25" hidden="false" customHeight="true" outlineLevel="0" collapsed="false">
      <c r="B2934" s="9" t="s">
        <v>16</v>
      </c>
      <c r="C2934" s="9" t="n">
        <v>1185732</v>
      </c>
      <c r="D2934" s="10" t="n">
        <v>44481</v>
      </c>
      <c r="E2934" s="9" t="s">
        <v>38</v>
      </c>
      <c r="F2934" s="9" t="s">
        <v>110</v>
      </c>
      <c r="G2934" s="9" t="s">
        <v>111</v>
      </c>
      <c r="H2934" s="11" t="s">
        <v>23</v>
      </c>
      <c r="I2934" s="12" t="n">
        <v>45</v>
      </c>
      <c r="J2934" s="13" t="n">
        <v>125</v>
      </c>
      <c r="K2934" s="14" t="n">
        <f aca="false">I2934*J2934</f>
        <v>5625</v>
      </c>
      <c r="L2934" s="14" t="n">
        <f aca="false">($L$2*M2934)/100</f>
        <v>360499.95</v>
      </c>
      <c r="M2934" s="15" t="n">
        <v>0.3</v>
      </c>
      <c r="N2934" s="9" t="s">
        <v>85</v>
      </c>
    </row>
    <row r="2935" customFormat="false" ht="14.25" hidden="false" customHeight="true" outlineLevel="0" collapsed="false">
      <c r="B2935" s="9" t="s">
        <v>16</v>
      </c>
      <c r="C2935" s="9" t="n">
        <v>1185732</v>
      </c>
      <c r="D2935" s="10" t="n">
        <v>44481</v>
      </c>
      <c r="E2935" s="9" t="s">
        <v>38</v>
      </c>
      <c r="F2935" s="9" t="s">
        <v>110</v>
      </c>
      <c r="G2935" s="9" t="s">
        <v>111</v>
      </c>
      <c r="H2935" s="11" t="s">
        <v>24</v>
      </c>
      <c r="I2935" s="12" t="n">
        <v>55</v>
      </c>
      <c r="J2935" s="13" t="n">
        <v>125</v>
      </c>
      <c r="K2935" s="14" t="n">
        <f aca="false">I2935*J2935</f>
        <v>6875</v>
      </c>
      <c r="L2935" s="14" t="n">
        <f aca="false">($L$2*M2935)/100</f>
        <v>420583.275</v>
      </c>
      <c r="M2935" s="15" t="n">
        <v>0.35</v>
      </c>
      <c r="N2935" s="9" t="s">
        <v>85</v>
      </c>
    </row>
    <row r="2936" customFormat="false" ht="14.25" hidden="false" customHeight="true" outlineLevel="0" collapsed="false">
      <c r="B2936" s="9" t="s">
        <v>28</v>
      </c>
      <c r="C2936" s="9" t="n">
        <v>1185732</v>
      </c>
      <c r="D2936" s="10" t="n">
        <v>44481</v>
      </c>
      <c r="E2936" s="9" t="s">
        <v>38</v>
      </c>
      <c r="F2936" s="9" t="s">
        <v>110</v>
      </c>
      <c r="G2936" s="9" t="s">
        <v>111</v>
      </c>
      <c r="H2936" s="11" t="s">
        <v>25</v>
      </c>
      <c r="I2936" s="12" t="n">
        <v>60</v>
      </c>
      <c r="J2936" s="13" t="n">
        <v>250</v>
      </c>
      <c r="K2936" s="14" t="n">
        <f aca="false">I2936*J2936</f>
        <v>15000</v>
      </c>
      <c r="L2936" s="14" t="n">
        <f aca="false">($L$2*M2936)/100</f>
        <v>480666.6</v>
      </c>
      <c r="M2936" s="15" t="n">
        <v>0.4</v>
      </c>
      <c r="N2936" s="9" t="s">
        <v>85</v>
      </c>
    </row>
    <row r="2937" customFormat="false" ht="14.25" hidden="false" customHeight="true" outlineLevel="0" collapsed="false">
      <c r="B2937" s="9" t="s">
        <v>28</v>
      </c>
      <c r="C2937" s="9" t="n">
        <v>1185732</v>
      </c>
      <c r="D2937" s="10" t="n">
        <v>44512</v>
      </c>
      <c r="E2937" s="9" t="s">
        <v>38</v>
      </c>
      <c r="F2937" s="9" t="s">
        <v>110</v>
      </c>
      <c r="G2937" s="9" t="s">
        <v>111</v>
      </c>
      <c r="H2937" s="11" t="s">
        <v>19</v>
      </c>
      <c r="I2937" s="12" t="n">
        <v>55</v>
      </c>
      <c r="J2937" s="13" t="n">
        <v>400</v>
      </c>
      <c r="K2937" s="14" t="n">
        <f aca="false">I2937*J2937</f>
        <v>22000</v>
      </c>
      <c r="L2937" s="14" t="n">
        <f aca="false">($L$2*M2937)/100</f>
        <v>420583.275</v>
      </c>
      <c r="M2937" s="15" t="n">
        <v>0.35</v>
      </c>
      <c r="N2937" s="9" t="s">
        <v>85</v>
      </c>
    </row>
    <row r="2938" customFormat="false" ht="14.25" hidden="false" customHeight="true" outlineLevel="0" collapsed="false">
      <c r="B2938" s="9" t="s">
        <v>28</v>
      </c>
      <c r="C2938" s="9" t="n">
        <v>1185732</v>
      </c>
      <c r="D2938" s="10" t="n">
        <v>44512</v>
      </c>
      <c r="E2938" s="9" t="s">
        <v>38</v>
      </c>
      <c r="F2938" s="9" t="s">
        <v>110</v>
      </c>
      <c r="G2938" s="9" t="s">
        <v>111</v>
      </c>
      <c r="H2938" s="11" t="s">
        <v>21</v>
      </c>
      <c r="I2938" s="12" t="n">
        <v>45</v>
      </c>
      <c r="J2938" s="13" t="n">
        <v>250</v>
      </c>
      <c r="K2938" s="14" t="n">
        <f aca="false">I2938*J2938</f>
        <v>11250</v>
      </c>
      <c r="L2938" s="14" t="n">
        <f aca="false">($L$2*M2938)/100</f>
        <v>360499.95</v>
      </c>
      <c r="M2938" s="15" t="n">
        <v>0.3</v>
      </c>
      <c r="N2938" s="9" t="s">
        <v>85</v>
      </c>
    </row>
    <row r="2939" customFormat="false" ht="14.25" hidden="false" customHeight="true" outlineLevel="0" collapsed="false">
      <c r="B2939" s="9" t="s">
        <v>28</v>
      </c>
      <c r="C2939" s="9" t="n">
        <v>1185732</v>
      </c>
      <c r="D2939" s="10" t="n">
        <v>44512</v>
      </c>
      <c r="E2939" s="9" t="s">
        <v>38</v>
      </c>
      <c r="F2939" s="9" t="s">
        <v>110</v>
      </c>
      <c r="G2939" s="9" t="s">
        <v>111</v>
      </c>
      <c r="H2939" s="11" t="s">
        <v>22</v>
      </c>
      <c r="I2939" s="12" t="n">
        <v>45</v>
      </c>
      <c r="J2939" s="13" t="n">
        <v>195</v>
      </c>
      <c r="K2939" s="14" t="n">
        <f aca="false">I2939*J2939</f>
        <v>8775</v>
      </c>
      <c r="L2939" s="14" t="n">
        <f aca="false">($L$2*M2939)/100</f>
        <v>360499.95</v>
      </c>
      <c r="M2939" s="15" t="n">
        <v>0.3</v>
      </c>
      <c r="N2939" s="9" t="s">
        <v>85</v>
      </c>
    </row>
    <row r="2940" customFormat="false" ht="14.25" hidden="false" customHeight="true" outlineLevel="0" collapsed="false">
      <c r="B2940" s="9" t="s">
        <v>28</v>
      </c>
      <c r="C2940" s="9" t="n">
        <v>1185732</v>
      </c>
      <c r="D2940" s="10" t="n">
        <v>44512</v>
      </c>
      <c r="E2940" s="9" t="s">
        <v>38</v>
      </c>
      <c r="F2940" s="9" t="s">
        <v>110</v>
      </c>
      <c r="G2940" s="9" t="s">
        <v>111</v>
      </c>
      <c r="H2940" s="11" t="s">
        <v>23</v>
      </c>
      <c r="I2940" s="12" t="n">
        <v>45</v>
      </c>
      <c r="J2940" s="13" t="n">
        <v>175</v>
      </c>
      <c r="K2940" s="14" t="n">
        <f aca="false">I2940*J2940</f>
        <v>7875</v>
      </c>
      <c r="L2940" s="14" t="n">
        <f aca="false">($L$2*M2940)/100</f>
        <v>360499.95</v>
      </c>
      <c r="M2940" s="15" t="n">
        <v>0.3</v>
      </c>
      <c r="N2940" s="9" t="s">
        <v>85</v>
      </c>
    </row>
    <row r="2941" customFormat="false" ht="14.25" hidden="false" customHeight="true" outlineLevel="0" collapsed="false">
      <c r="B2941" s="9" t="s">
        <v>28</v>
      </c>
      <c r="C2941" s="9" t="n">
        <v>1185732</v>
      </c>
      <c r="D2941" s="10" t="n">
        <v>44512</v>
      </c>
      <c r="E2941" s="9" t="s">
        <v>38</v>
      </c>
      <c r="F2941" s="9" t="s">
        <v>110</v>
      </c>
      <c r="G2941" s="9" t="s">
        <v>111</v>
      </c>
      <c r="H2941" s="11" t="s">
        <v>24</v>
      </c>
      <c r="I2941" s="12" t="n">
        <v>60</v>
      </c>
      <c r="J2941" s="13" t="n">
        <v>150</v>
      </c>
      <c r="K2941" s="14" t="n">
        <f aca="false">I2941*J2941</f>
        <v>9000</v>
      </c>
      <c r="L2941" s="14" t="n">
        <f aca="false">($L$2*M2941)/100</f>
        <v>420583.275</v>
      </c>
      <c r="M2941" s="15" t="n">
        <v>0.35</v>
      </c>
      <c r="N2941" s="9" t="s">
        <v>85</v>
      </c>
    </row>
    <row r="2942" customFormat="false" ht="14.25" hidden="false" customHeight="true" outlineLevel="0" collapsed="false">
      <c r="B2942" s="9" t="s">
        <v>28</v>
      </c>
      <c r="C2942" s="9" t="n">
        <v>1185732</v>
      </c>
      <c r="D2942" s="10" t="n">
        <v>44512</v>
      </c>
      <c r="E2942" s="9" t="s">
        <v>38</v>
      </c>
      <c r="F2942" s="9" t="s">
        <v>110</v>
      </c>
      <c r="G2942" s="9" t="s">
        <v>111</v>
      </c>
      <c r="H2942" s="11" t="s">
        <v>25</v>
      </c>
      <c r="I2942" s="12" t="n">
        <v>65</v>
      </c>
      <c r="J2942" s="13" t="n">
        <v>250</v>
      </c>
      <c r="K2942" s="14" t="n">
        <f aca="false">I2942*J2942</f>
        <v>16250</v>
      </c>
      <c r="L2942" s="14" t="n">
        <f aca="false">($L$2*M2942)/100</f>
        <v>480666.6</v>
      </c>
      <c r="M2942" s="15" t="n">
        <v>0.4</v>
      </c>
      <c r="N2942" s="9" t="s">
        <v>85</v>
      </c>
    </row>
    <row r="2943" customFormat="false" ht="14.25" hidden="false" customHeight="true" outlineLevel="0" collapsed="false">
      <c r="B2943" s="9" t="s">
        <v>28</v>
      </c>
      <c r="C2943" s="9" t="n">
        <v>1185732</v>
      </c>
      <c r="D2943" s="10" t="n">
        <v>44541</v>
      </c>
      <c r="E2943" s="9" t="s">
        <v>38</v>
      </c>
      <c r="F2943" s="9" t="s">
        <v>110</v>
      </c>
      <c r="G2943" s="9" t="s">
        <v>111</v>
      </c>
      <c r="H2943" s="11" t="s">
        <v>19</v>
      </c>
      <c r="I2943" s="12" t="n">
        <v>60</v>
      </c>
      <c r="J2943" s="13" t="n">
        <v>500</v>
      </c>
      <c r="K2943" s="14" t="n">
        <f aca="false">I2943*J2943</f>
        <v>30000</v>
      </c>
      <c r="L2943" s="14" t="n">
        <f aca="false">($L$2*M2943)/100</f>
        <v>420583.275</v>
      </c>
      <c r="M2943" s="15" t="n">
        <v>0.35</v>
      </c>
      <c r="N2943" s="9" t="s">
        <v>85</v>
      </c>
    </row>
    <row r="2944" customFormat="false" ht="14.25" hidden="false" customHeight="true" outlineLevel="0" collapsed="false">
      <c r="B2944" s="9" t="s">
        <v>28</v>
      </c>
      <c r="C2944" s="9" t="n">
        <v>1185732</v>
      </c>
      <c r="D2944" s="10" t="n">
        <v>44541</v>
      </c>
      <c r="E2944" s="9" t="s">
        <v>38</v>
      </c>
      <c r="F2944" s="9" t="s">
        <v>110</v>
      </c>
      <c r="G2944" s="9" t="s">
        <v>111</v>
      </c>
      <c r="H2944" s="11" t="s">
        <v>21</v>
      </c>
      <c r="I2944" s="12" t="n">
        <v>50</v>
      </c>
      <c r="J2944" s="13" t="n">
        <v>300</v>
      </c>
      <c r="K2944" s="14" t="n">
        <f aca="false">I2944*J2944</f>
        <v>15000</v>
      </c>
      <c r="L2944" s="14" t="n">
        <f aca="false">($L$2*M2944)/100</f>
        <v>360499.95</v>
      </c>
      <c r="M2944" s="15" t="n">
        <v>0.3</v>
      </c>
      <c r="N2944" s="9" t="s">
        <v>85</v>
      </c>
    </row>
    <row r="2945" customFormat="false" ht="14.25" hidden="false" customHeight="true" outlineLevel="0" collapsed="false">
      <c r="B2945" s="9" t="s">
        <v>28</v>
      </c>
      <c r="C2945" s="9" t="n">
        <v>1185732</v>
      </c>
      <c r="D2945" s="10" t="n">
        <v>44541</v>
      </c>
      <c r="E2945" s="9" t="s">
        <v>38</v>
      </c>
      <c r="F2945" s="9" t="s">
        <v>110</v>
      </c>
      <c r="G2945" s="9" t="s">
        <v>111</v>
      </c>
      <c r="H2945" s="11" t="s">
        <v>22</v>
      </c>
      <c r="I2945" s="12" t="n">
        <v>50</v>
      </c>
      <c r="J2945" s="13" t="n">
        <v>250</v>
      </c>
      <c r="K2945" s="14" t="n">
        <f aca="false">I2945*J2945</f>
        <v>12500</v>
      </c>
      <c r="L2945" s="14" t="n">
        <f aca="false">($L$2*M2945)/100</f>
        <v>360499.95</v>
      </c>
      <c r="M2945" s="15" t="n">
        <v>0.3</v>
      </c>
      <c r="N2945" s="9" t="s">
        <v>85</v>
      </c>
    </row>
    <row r="2946" customFormat="false" ht="14.25" hidden="false" customHeight="true" outlineLevel="0" collapsed="false">
      <c r="B2946" s="9" t="s">
        <v>28</v>
      </c>
      <c r="C2946" s="9" t="n">
        <v>1185732</v>
      </c>
      <c r="D2946" s="10" t="n">
        <v>44541</v>
      </c>
      <c r="E2946" s="9" t="s">
        <v>38</v>
      </c>
      <c r="F2946" s="9" t="s">
        <v>110</v>
      </c>
      <c r="G2946" s="9" t="s">
        <v>111</v>
      </c>
      <c r="H2946" s="11" t="s">
        <v>23</v>
      </c>
      <c r="I2946" s="12" t="n">
        <v>50</v>
      </c>
      <c r="J2946" s="13" t="n">
        <v>200</v>
      </c>
      <c r="K2946" s="14" t="n">
        <f aca="false">I2946*J2946</f>
        <v>10000</v>
      </c>
      <c r="L2946" s="14" t="n">
        <f aca="false">($L$2*M2946)/100</f>
        <v>360499.95</v>
      </c>
      <c r="M2946" s="15" t="n">
        <v>0.3</v>
      </c>
      <c r="N2946" s="9" t="s">
        <v>85</v>
      </c>
    </row>
    <row r="2947" customFormat="false" ht="14.25" hidden="false" customHeight="true" outlineLevel="0" collapsed="false">
      <c r="B2947" s="9" t="s">
        <v>28</v>
      </c>
      <c r="C2947" s="9" t="n">
        <v>1185732</v>
      </c>
      <c r="D2947" s="10" t="n">
        <v>44541</v>
      </c>
      <c r="E2947" s="9" t="s">
        <v>38</v>
      </c>
      <c r="F2947" s="9" t="s">
        <v>110</v>
      </c>
      <c r="G2947" s="9" t="s">
        <v>111</v>
      </c>
      <c r="H2947" s="11" t="s">
        <v>24</v>
      </c>
      <c r="I2947" s="12" t="n">
        <v>60</v>
      </c>
      <c r="J2947" s="13" t="n">
        <v>200</v>
      </c>
      <c r="K2947" s="14" t="n">
        <f aca="false">I2947*J2947</f>
        <v>12000</v>
      </c>
      <c r="L2947" s="14" t="n">
        <f aca="false">($L$2*M2947)/100</f>
        <v>420583.275</v>
      </c>
      <c r="M2947" s="15" t="n">
        <v>0.35</v>
      </c>
      <c r="N2947" s="9" t="s">
        <v>85</v>
      </c>
    </row>
    <row r="2948" customFormat="false" ht="14.25" hidden="false" customHeight="true" outlineLevel="0" collapsed="false">
      <c r="B2948" s="9" t="s">
        <v>28</v>
      </c>
      <c r="C2948" s="9" t="n">
        <v>1185732</v>
      </c>
      <c r="D2948" s="10" t="n">
        <v>44541</v>
      </c>
      <c r="E2948" s="9" t="s">
        <v>38</v>
      </c>
      <c r="F2948" s="9" t="s">
        <v>110</v>
      </c>
      <c r="G2948" s="9" t="s">
        <v>111</v>
      </c>
      <c r="H2948" s="11" t="s">
        <v>25</v>
      </c>
      <c r="I2948" s="12" t="n">
        <v>65</v>
      </c>
      <c r="J2948" s="13" t="n">
        <v>300</v>
      </c>
      <c r="K2948" s="14" t="n">
        <f aca="false">I2948*J2948</f>
        <v>19500</v>
      </c>
      <c r="L2948" s="14" t="n">
        <f aca="false">($L$2*M2948)/100</f>
        <v>480666.6</v>
      </c>
      <c r="M2948" s="15" t="n">
        <v>0.4</v>
      </c>
      <c r="N2948" s="9" t="s">
        <v>85</v>
      </c>
    </row>
    <row r="2949" customFormat="false" ht="14.25" hidden="false" customHeight="true" outlineLevel="0" collapsed="false">
      <c r="B2949" s="9" t="s">
        <v>28</v>
      </c>
      <c r="C2949" s="9" t="n">
        <v>1185732</v>
      </c>
      <c r="D2949" s="10" t="n">
        <v>44205</v>
      </c>
      <c r="E2949" s="9" t="s">
        <v>38</v>
      </c>
      <c r="F2949" s="9" t="s">
        <v>110</v>
      </c>
      <c r="G2949" s="9" t="s">
        <v>111</v>
      </c>
      <c r="H2949" s="11" t="s">
        <v>19</v>
      </c>
      <c r="I2949" s="12" t="n">
        <v>35</v>
      </c>
      <c r="J2949" s="13" t="n">
        <v>475</v>
      </c>
      <c r="K2949" s="14" t="n">
        <f aca="false">I2949*J2949</f>
        <v>16625</v>
      </c>
      <c r="L2949" s="14" t="n">
        <f aca="false">($L$2*M2949)/100</f>
        <v>420583.275</v>
      </c>
      <c r="M2949" s="15" t="n">
        <v>0.35</v>
      </c>
      <c r="N2949" s="9" t="s">
        <v>85</v>
      </c>
    </row>
    <row r="2950" customFormat="false" ht="14.25" hidden="false" customHeight="true" outlineLevel="0" collapsed="false">
      <c r="B2950" s="9" t="s">
        <v>28</v>
      </c>
      <c r="C2950" s="9" t="n">
        <v>1185732</v>
      </c>
      <c r="D2950" s="10" t="n">
        <v>44205</v>
      </c>
      <c r="E2950" s="9" t="s">
        <v>38</v>
      </c>
      <c r="F2950" s="9" t="s">
        <v>110</v>
      </c>
      <c r="G2950" s="9" t="s">
        <v>111</v>
      </c>
      <c r="H2950" s="11" t="s">
        <v>21</v>
      </c>
      <c r="I2950" s="12" t="n">
        <v>35</v>
      </c>
      <c r="J2950" s="13" t="n">
        <v>275</v>
      </c>
      <c r="K2950" s="14" t="n">
        <f aca="false">I2950*J2950</f>
        <v>9625</v>
      </c>
      <c r="L2950" s="14" t="n">
        <f aca="false">($L$2*M2950)/100</f>
        <v>360499.95</v>
      </c>
      <c r="M2950" s="15" t="n">
        <v>0.3</v>
      </c>
      <c r="N2950" s="9" t="s">
        <v>85</v>
      </c>
    </row>
    <row r="2951" customFormat="false" ht="14.25" hidden="false" customHeight="true" outlineLevel="0" collapsed="false">
      <c r="B2951" s="9" t="s">
        <v>28</v>
      </c>
      <c r="C2951" s="9" t="n">
        <v>1185732</v>
      </c>
      <c r="D2951" s="10" t="n">
        <v>44205</v>
      </c>
      <c r="E2951" s="9" t="s">
        <v>38</v>
      </c>
      <c r="F2951" s="9" t="s">
        <v>110</v>
      </c>
      <c r="G2951" s="9" t="s">
        <v>111</v>
      </c>
      <c r="H2951" s="11" t="s">
        <v>22</v>
      </c>
      <c r="I2951" s="12" t="n">
        <v>25</v>
      </c>
      <c r="J2951" s="13" t="n">
        <v>275</v>
      </c>
      <c r="K2951" s="14" t="n">
        <f aca="false">I2951*J2951</f>
        <v>6875</v>
      </c>
      <c r="L2951" s="14" t="n">
        <f aca="false">($L$2*M2951)/100</f>
        <v>360499.95</v>
      </c>
      <c r="M2951" s="15" t="n">
        <v>0.3</v>
      </c>
      <c r="N2951" s="9" t="s">
        <v>85</v>
      </c>
    </row>
    <row r="2952" customFormat="false" ht="14.25" hidden="false" customHeight="true" outlineLevel="0" collapsed="false">
      <c r="B2952" s="9" t="s">
        <v>28</v>
      </c>
      <c r="C2952" s="9" t="n">
        <v>1185732</v>
      </c>
      <c r="D2952" s="10" t="n">
        <v>44205</v>
      </c>
      <c r="E2952" s="9" t="s">
        <v>38</v>
      </c>
      <c r="F2952" s="9" t="s">
        <v>110</v>
      </c>
      <c r="G2952" s="9" t="s">
        <v>111</v>
      </c>
      <c r="H2952" s="11" t="s">
        <v>23</v>
      </c>
      <c r="I2952" s="12" t="n">
        <v>30</v>
      </c>
      <c r="J2952" s="13" t="n">
        <v>125</v>
      </c>
      <c r="K2952" s="14" t="n">
        <f aca="false">I2952*J2952</f>
        <v>3750</v>
      </c>
      <c r="L2952" s="14" t="n">
        <f aca="false">($L$2*M2952)/100</f>
        <v>360499.95</v>
      </c>
      <c r="M2952" s="15" t="n">
        <v>0.3</v>
      </c>
      <c r="N2952" s="9" t="s">
        <v>85</v>
      </c>
    </row>
    <row r="2953" customFormat="false" ht="14.25" hidden="false" customHeight="true" outlineLevel="0" collapsed="false">
      <c r="B2953" s="9" t="s">
        <v>28</v>
      </c>
      <c r="C2953" s="9" t="n">
        <v>1185732</v>
      </c>
      <c r="D2953" s="10" t="n">
        <v>44205</v>
      </c>
      <c r="E2953" s="9" t="s">
        <v>38</v>
      </c>
      <c r="F2953" s="9" t="s">
        <v>110</v>
      </c>
      <c r="G2953" s="9" t="s">
        <v>111</v>
      </c>
      <c r="H2953" s="11" t="s">
        <v>24</v>
      </c>
      <c r="I2953" s="12" t="n">
        <v>45</v>
      </c>
      <c r="J2953" s="13" t="n">
        <v>175</v>
      </c>
      <c r="K2953" s="14" t="n">
        <f aca="false">I2953*J2953</f>
        <v>7875</v>
      </c>
      <c r="L2953" s="14" t="n">
        <f aca="false">($L$2*M2953)/100</f>
        <v>420583.275</v>
      </c>
      <c r="M2953" s="15" t="n">
        <v>0.35</v>
      </c>
      <c r="N2953" s="9" t="s">
        <v>85</v>
      </c>
    </row>
    <row r="2954" customFormat="false" ht="14.25" hidden="false" customHeight="true" outlineLevel="0" collapsed="false">
      <c r="B2954" s="9" t="s">
        <v>28</v>
      </c>
      <c r="C2954" s="9" t="n">
        <v>1185732</v>
      </c>
      <c r="D2954" s="10" t="n">
        <v>44205</v>
      </c>
      <c r="E2954" s="9" t="s">
        <v>38</v>
      </c>
      <c r="F2954" s="9" t="s">
        <v>110</v>
      </c>
      <c r="G2954" s="9" t="s">
        <v>111</v>
      </c>
      <c r="H2954" s="11" t="s">
        <v>25</v>
      </c>
      <c r="I2954" s="12" t="n">
        <v>35</v>
      </c>
      <c r="J2954" s="13" t="n">
        <v>275</v>
      </c>
      <c r="K2954" s="14" t="n">
        <f aca="false">I2954*J2954</f>
        <v>9625</v>
      </c>
      <c r="L2954" s="14" t="n">
        <f aca="false">($L$2*M2954)/100</f>
        <v>480666.6</v>
      </c>
      <c r="M2954" s="15" t="n">
        <v>0.4</v>
      </c>
      <c r="N2954" s="9" t="s">
        <v>85</v>
      </c>
    </row>
    <row r="2955" customFormat="false" ht="14.25" hidden="false" customHeight="true" outlineLevel="0" collapsed="false">
      <c r="B2955" s="9" t="s">
        <v>28</v>
      </c>
      <c r="C2955" s="9" t="n">
        <v>1185732</v>
      </c>
      <c r="D2955" s="10" t="n">
        <v>44236</v>
      </c>
      <c r="E2955" s="9" t="s">
        <v>38</v>
      </c>
      <c r="F2955" s="9" t="s">
        <v>110</v>
      </c>
      <c r="G2955" s="9" t="s">
        <v>111</v>
      </c>
      <c r="H2955" s="11" t="s">
        <v>19</v>
      </c>
      <c r="I2955" s="12" t="n">
        <v>35</v>
      </c>
      <c r="J2955" s="13" t="n">
        <v>525</v>
      </c>
      <c r="K2955" s="14" t="n">
        <f aca="false">I2955*J2955</f>
        <v>18375</v>
      </c>
      <c r="L2955" s="14" t="n">
        <f aca="false">($L$2*M2955)/100</f>
        <v>420583.275</v>
      </c>
      <c r="M2955" s="15" t="n">
        <v>0.35</v>
      </c>
      <c r="N2955" s="9" t="s">
        <v>85</v>
      </c>
    </row>
    <row r="2956" customFormat="false" ht="14.25" hidden="false" customHeight="true" outlineLevel="0" collapsed="false">
      <c r="B2956" s="9" t="s">
        <v>28</v>
      </c>
      <c r="C2956" s="9" t="n">
        <v>1185732</v>
      </c>
      <c r="D2956" s="10" t="n">
        <v>44236</v>
      </c>
      <c r="E2956" s="9" t="s">
        <v>38</v>
      </c>
      <c r="F2956" s="9" t="s">
        <v>110</v>
      </c>
      <c r="G2956" s="9" t="s">
        <v>111</v>
      </c>
      <c r="H2956" s="11" t="s">
        <v>21</v>
      </c>
      <c r="I2956" s="12" t="n">
        <v>35</v>
      </c>
      <c r="J2956" s="13" t="n">
        <v>175</v>
      </c>
      <c r="K2956" s="14" t="n">
        <f aca="false">I2956*J2956</f>
        <v>6125</v>
      </c>
      <c r="L2956" s="14" t="n">
        <f aca="false">($L$2*M2956)/100</f>
        <v>360499.95</v>
      </c>
      <c r="M2956" s="15" t="n">
        <v>0.3</v>
      </c>
      <c r="N2956" s="9" t="s">
        <v>85</v>
      </c>
    </row>
    <row r="2957" customFormat="false" ht="14.25" hidden="false" customHeight="true" outlineLevel="0" collapsed="false">
      <c r="B2957" s="9" t="s">
        <v>28</v>
      </c>
      <c r="C2957" s="9" t="n">
        <v>1185732</v>
      </c>
      <c r="D2957" s="10" t="n">
        <v>44236</v>
      </c>
      <c r="E2957" s="9" t="s">
        <v>38</v>
      </c>
      <c r="F2957" s="9" t="s">
        <v>110</v>
      </c>
      <c r="G2957" s="9" t="s">
        <v>111</v>
      </c>
      <c r="H2957" s="11" t="s">
        <v>22</v>
      </c>
      <c r="I2957" s="12" t="n">
        <v>25</v>
      </c>
      <c r="J2957" s="13" t="n">
        <v>225</v>
      </c>
      <c r="K2957" s="14" t="n">
        <f aca="false">I2957*J2957</f>
        <v>5625</v>
      </c>
      <c r="L2957" s="14" t="n">
        <f aca="false">($L$2*M2957)/100</f>
        <v>360499.95</v>
      </c>
      <c r="M2957" s="15" t="n">
        <v>0.3</v>
      </c>
      <c r="N2957" s="9" t="s">
        <v>85</v>
      </c>
    </row>
    <row r="2958" customFormat="false" ht="14.25" hidden="false" customHeight="true" outlineLevel="0" collapsed="false">
      <c r="B2958" s="9" t="s">
        <v>28</v>
      </c>
      <c r="C2958" s="9" t="n">
        <v>1185732</v>
      </c>
      <c r="D2958" s="10" t="n">
        <v>44236</v>
      </c>
      <c r="E2958" s="9" t="s">
        <v>38</v>
      </c>
      <c r="F2958" s="9" t="s">
        <v>112</v>
      </c>
      <c r="G2958" s="9" t="s">
        <v>113</v>
      </c>
      <c r="H2958" s="11" t="s">
        <v>23</v>
      </c>
      <c r="I2958" s="12" t="n">
        <v>30</v>
      </c>
      <c r="J2958" s="13" t="n">
        <v>100</v>
      </c>
      <c r="K2958" s="14" t="n">
        <f aca="false">I2958*J2958</f>
        <v>3000</v>
      </c>
      <c r="L2958" s="14" t="n">
        <f aca="false">($L$2*M2958)/100</f>
        <v>360499.95</v>
      </c>
      <c r="M2958" s="15" t="n">
        <v>0.3</v>
      </c>
      <c r="N2958" s="9" t="s">
        <v>85</v>
      </c>
    </row>
    <row r="2959" customFormat="false" ht="14.25" hidden="false" customHeight="true" outlineLevel="0" collapsed="false">
      <c r="B2959" s="9" t="s">
        <v>28</v>
      </c>
      <c r="C2959" s="9" t="n">
        <v>1185732</v>
      </c>
      <c r="D2959" s="10" t="n">
        <v>44236</v>
      </c>
      <c r="E2959" s="9" t="s">
        <v>38</v>
      </c>
      <c r="F2959" s="9" t="s">
        <v>112</v>
      </c>
      <c r="G2959" s="9" t="s">
        <v>113</v>
      </c>
      <c r="H2959" s="11" t="s">
        <v>24</v>
      </c>
      <c r="I2959" s="12" t="n">
        <v>45</v>
      </c>
      <c r="J2959" s="13" t="n">
        <v>175</v>
      </c>
      <c r="K2959" s="14" t="n">
        <f aca="false">I2959*J2959</f>
        <v>7875</v>
      </c>
      <c r="L2959" s="14" t="n">
        <f aca="false">($L$2*M2959)/100</f>
        <v>420583.275</v>
      </c>
      <c r="M2959" s="15" t="n">
        <v>0.35</v>
      </c>
      <c r="N2959" s="9" t="s">
        <v>85</v>
      </c>
    </row>
    <row r="2960" customFormat="false" ht="14.25" hidden="false" customHeight="true" outlineLevel="0" collapsed="false">
      <c r="B2960" s="9" t="s">
        <v>28</v>
      </c>
      <c r="C2960" s="9" t="n">
        <v>1185732</v>
      </c>
      <c r="D2960" s="10" t="n">
        <v>44236</v>
      </c>
      <c r="E2960" s="9" t="s">
        <v>38</v>
      </c>
      <c r="F2960" s="9" t="s">
        <v>112</v>
      </c>
      <c r="G2960" s="9" t="s">
        <v>113</v>
      </c>
      <c r="H2960" s="11" t="s">
        <v>25</v>
      </c>
      <c r="I2960" s="12" t="n">
        <v>25</v>
      </c>
      <c r="J2960" s="13" t="n">
        <v>275</v>
      </c>
      <c r="K2960" s="14" t="n">
        <f aca="false">I2960*J2960</f>
        <v>6875</v>
      </c>
      <c r="L2960" s="14" t="n">
        <f aca="false">($L$2*M2960)/100</f>
        <v>480666.6</v>
      </c>
      <c r="M2960" s="15" t="n">
        <v>0.4</v>
      </c>
      <c r="N2960" s="9" t="s">
        <v>85</v>
      </c>
    </row>
    <row r="2961" customFormat="false" ht="14.25" hidden="false" customHeight="true" outlineLevel="0" collapsed="false">
      <c r="B2961" s="9" t="s">
        <v>28</v>
      </c>
      <c r="C2961" s="9" t="n">
        <v>1185732</v>
      </c>
      <c r="D2961" s="10" t="n">
        <v>44263</v>
      </c>
      <c r="E2961" s="9" t="s">
        <v>38</v>
      </c>
      <c r="F2961" s="9" t="s">
        <v>112</v>
      </c>
      <c r="G2961" s="9" t="s">
        <v>113</v>
      </c>
      <c r="H2961" s="11" t="s">
        <v>19</v>
      </c>
      <c r="I2961" s="12" t="n">
        <v>30</v>
      </c>
      <c r="J2961" s="13" t="n">
        <v>495</v>
      </c>
      <c r="K2961" s="14" t="n">
        <f aca="false">I2961*J2961</f>
        <v>14850</v>
      </c>
      <c r="L2961" s="14" t="n">
        <f aca="false">($L$2*M2961)/100</f>
        <v>420583.275</v>
      </c>
      <c r="M2961" s="15" t="n">
        <v>0.35</v>
      </c>
      <c r="N2961" s="9" t="s">
        <v>85</v>
      </c>
    </row>
    <row r="2962" customFormat="false" ht="14.25" hidden="false" customHeight="true" outlineLevel="0" collapsed="false">
      <c r="B2962" s="9" t="s">
        <v>28</v>
      </c>
      <c r="C2962" s="9" t="n">
        <v>1185732</v>
      </c>
      <c r="D2962" s="10" t="n">
        <v>44263</v>
      </c>
      <c r="E2962" s="9" t="s">
        <v>38</v>
      </c>
      <c r="F2962" s="9" t="s">
        <v>112</v>
      </c>
      <c r="G2962" s="9" t="s">
        <v>113</v>
      </c>
      <c r="H2962" s="11" t="s">
        <v>21</v>
      </c>
      <c r="I2962" s="12" t="n">
        <v>30</v>
      </c>
      <c r="J2962" s="13" t="n">
        <v>200</v>
      </c>
      <c r="K2962" s="14" t="n">
        <f aca="false">I2962*J2962</f>
        <v>6000</v>
      </c>
      <c r="L2962" s="14" t="n">
        <f aca="false">($L$2*M2962)/100</f>
        <v>360499.95</v>
      </c>
      <c r="M2962" s="15" t="n">
        <v>0.3</v>
      </c>
      <c r="N2962" s="9" t="s">
        <v>85</v>
      </c>
    </row>
    <row r="2963" customFormat="false" ht="14.25" hidden="false" customHeight="true" outlineLevel="0" collapsed="false">
      <c r="B2963" s="9" t="s">
        <v>28</v>
      </c>
      <c r="C2963" s="9" t="n">
        <v>1185732</v>
      </c>
      <c r="D2963" s="10" t="n">
        <v>44263</v>
      </c>
      <c r="E2963" s="9" t="s">
        <v>38</v>
      </c>
      <c r="F2963" s="9" t="s">
        <v>112</v>
      </c>
      <c r="G2963" s="9" t="s">
        <v>113</v>
      </c>
      <c r="H2963" s="11" t="s">
        <v>22</v>
      </c>
      <c r="I2963" s="12" t="n">
        <v>20</v>
      </c>
      <c r="J2963" s="13" t="n">
        <v>225</v>
      </c>
      <c r="K2963" s="14" t="n">
        <f aca="false">I2963*J2963</f>
        <v>4500</v>
      </c>
      <c r="L2963" s="14" t="n">
        <f aca="false">($L$2*M2963)/100</f>
        <v>360499.95</v>
      </c>
      <c r="M2963" s="15" t="n">
        <v>0.3</v>
      </c>
      <c r="N2963" s="9" t="s">
        <v>85</v>
      </c>
    </row>
    <row r="2964" customFormat="false" ht="14.25" hidden="false" customHeight="true" outlineLevel="0" collapsed="false">
      <c r="B2964" s="9" t="s">
        <v>28</v>
      </c>
      <c r="C2964" s="9" t="n">
        <v>1185732</v>
      </c>
      <c r="D2964" s="10" t="n">
        <v>44263</v>
      </c>
      <c r="E2964" s="9" t="s">
        <v>38</v>
      </c>
      <c r="F2964" s="9" t="s">
        <v>112</v>
      </c>
      <c r="G2964" s="9" t="s">
        <v>113</v>
      </c>
      <c r="H2964" s="11" t="s">
        <v>23</v>
      </c>
      <c r="I2964" s="12" t="n">
        <v>25</v>
      </c>
      <c r="J2964" s="13" t="n">
        <v>75</v>
      </c>
      <c r="K2964" s="14" t="n">
        <f aca="false">I2964*J2964</f>
        <v>1875</v>
      </c>
      <c r="L2964" s="14" t="n">
        <f aca="false">($L$2*M2964)/100</f>
        <v>360499.95</v>
      </c>
      <c r="M2964" s="15" t="n">
        <v>0.3</v>
      </c>
      <c r="N2964" s="9" t="s">
        <v>85</v>
      </c>
    </row>
    <row r="2965" customFormat="false" ht="14.25" hidden="false" customHeight="true" outlineLevel="0" collapsed="false">
      <c r="B2965" s="9" t="s">
        <v>28</v>
      </c>
      <c r="C2965" s="9" t="n">
        <v>1185732</v>
      </c>
      <c r="D2965" s="10" t="n">
        <v>44263</v>
      </c>
      <c r="E2965" s="9" t="s">
        <v>38</v>
      </c>
      <c r="F2965" s="9" t="s">
        <v>112</v>
      </c>
      <c r="G2965" s="9" t="s">
        <v>113</v>
      </c>
      <c r="H2965" s="11" t="s">
        <v>24</v>
      </c>
      <c r="I2965" s="12" t="n">
        <v>40</v>
      </c>
      <c r="J2965" s="13" t="n">
        <v>125</v>
      </c>
      <c r="K2965" s="14" t="n">
        <f aca="false">I2965*J2965</f>
        <v>5000</v>
      </c>
      <c r="L2965" s="14" t="n">
        <f aca="false">($L$2*M2965)/100</f>
        <v>420583.275</v>
      </c>
      <c r="M2965" s="15" t="n">
        <v>0.35</v>
      </c>
      <c r="N2965" s="9" t="s">
        <v>85</v>
      </c>
    </row>
    <row r="2966" customFormat="false" ht="14.25" hidden="false" customHeight="true" outlineLevel="0" collapsed="false">
      <c r="B2966" s="9" t="s">
        <v>28</v>
      </c>
      <c r="C2966" s="9" t="n">
        <v>1185732</v>
      </c>
      <c r="D2966" s="10" t="n">
        <v>44263</v>
      </c>
      <c r="E2966" s="9" t="s">
        <v>38</v>
      </c>
      <c r="F2966" s="9" t="s">
        <v>112</v>
      </c>
      <c r="G2966" s="9" t="s">
        <v>113</v>
      </c>
      <c r="H2966" s="11" t="s">
        <v>25</v>
      </c>
      <c r="I2966" s="12" t="n">
        <v>30</v>
      </c>
      <c r="J2966" s="13" t="n">
        <v>225</v>
      </c>
      <c r="K2966" s="14" t="n">
        <f aca="false">I2966*J2966</f>
        <v>6750</v>
      </c>
      <c r="L2966" s="14" t="n">
        <f aca="false">($L$2*M2966)/100</f>
        <v>480666.6</v>
      </c>
      <c r="M2966" s="15" t="n">
        <v>0.4</v>
      </c>
      <c r="N2966" s="9" t="s">
        <v>85</v>
      </c>
    </row>
    <row r="2967" customFormat="false" ht="14.25" hidden="false" customHeight="true" outlineLevel="0" collapsed="false">
      <c r="B2967" s="9" t="s">
        <v>28</v>
      </c>
      <c r="C2967" s="9" t="n">
        <v>1185732</v>
      </c>
      <c r="D2967" s="10" t="n">
        <v>44295</v>
      </c>
      <c r="E2967" s="9" t="s">
        <v>38</v>
      </c>
      <c r="F2967" s="9" t="s">
        <v>112</v>
      </c>
      <c r="G2967" s="9" t="s">
        <v>113</v>
      </c>
      <c r="H2967" s="11" t="s">
        <v>19</v>
      </c>
      <c r="I2967" s="12" t="n">
        <v>30</v>
      </c>
      <c r="J2967" s="13" t="n">
        <v>450</v>
      </c>
      <c r="K2967" s="14" t="n">
        <f aca="false">I2967*J2967</f>
        <v>13500</v>
      </c>
      <c r="L2967" s="14" t="n">
        <f aca="false">($L$2*M2967)/100</f>
        <v>420583.275</v>
      </c>
      <c r="M2967" s="15" t="n">
        <v>0.35</v>
      </c>
      <c r="N2967" s="9" t="s">
        <v>85</v>
      </c>
    </row>
    <row r="2968" customFormat="false" ht="14.25" hidden="false" customHeight="true" outlineLevel="0" collapsed="false">
      <c r="B2968" s="9" t="s">
        <v>28</v>
      </c>
      <c r="C2968" s="9" t="n">
        <v>1185732</v>
      </c>
      <c r="D2968" s="10" t="n">
        <v>44295</v>
      </c>
      <c r="E2968" s="9" t="s">
        <v>38</v>
      </c>
      <c r="F2968" s="9" t="s">
        <v>112</v>
      </c>
      <c r="G2968" s="9" t="s">
        <v>113</v>
      </c>
      <c r="H2968" s="11" t="s">
        <v>21</v>
      </c>
      <c r="I2968" s="12" t="n">
        <v>30</v>
      </c>
      <c r="J2968" s="13" t="n">
        <v>150</v>
      </c>
      <c r="K2968" s="14" t="n">
        <f aca="false">I2968*J2968</f>
        <v>4500</v>
      </c>
      <c r="L2968" s="14" t="n">
        <f aca="false">($L$2*M2968)/100</f>
        <v>360499.95</v>
      </c>
      <c r="M2968" s="15" t="n">
        <v>0.3</v>
      </c>
      <c r="N2968" s="9" t="s">
        <v>85</v>
      </c>
    </row>
    <row r="2969" customFormat="false" ht="14.25" hidden="false" customHeight="true" outlineLevel="0" collapsed="false">
      <c r="B2969" s="9" t="s">
        <v>28</v>
      </c>
      <c r="C2969" s="9" t="n">
        <v>1185732</v>
      </c>
      <c r="D2969" s="10" t="n">
        <v>44295</v>
      </c>
      <c r="E2969" s="9" t="s">
        <v>38</v>
      </c>
      <c r="F2969" s="9" t="s">
        <v>112</v>
      </c>
      <c r="G2969" s="9" t="s">
        <v>113</v>
      </c>
      <c r="H2969" s="11" t="s">
        <v>22</v>
      </c>
      <c r="I2969" s="12" t="n">
        <v>20</v>
      </c>
      <c r="J2969" s="13" t="n">
        <v>150</v>
      </c>
      <c r="K2969" s="14" t="n">
        <f aca="false">I2969*J2969</f>
        <v>3000</v>
      </c>
      <c r="L2969" s="14" t="n">
        <f aca="false">($L$2*M2969)/100</f>
        <v>360499.95</v>
      </c>
      <c r="M2969" s="15" t="n">
        <v>0.3</v>
      </c>
      <c r="N2969" s="9" t="s">
        <v>85</v>
      </c>
    </row>
    <row r="2970" customFormat="false" ht="14.25" hidden="false" customHeight="true" outlineLevel="0" collapsed="false">
      <c r="B2970" s="9" t="s">
        <v>28</v>
      </c>
      <c r="C2970" s="9" t="n">
        <v>1185732</v>
      </c>
      <c r="D2970" s="10" t="n">
        <v>44295</v>
      </c>
      <c r="E2970" s="9" t="s">
        <v>38</v>
      </c>
      <c r="F2970" s="9" t="s">
        <v>112</v>
      </c>
      <c r="G2970" s="9" t="s">
        <v>113</v>
      </c>
      <c r="H2970" s="11" t="s">
        <v>23</v>
      </c>
      <c r="I2970" s="12" t="n">
        <v>25</v>
      </c>
      <c r="J2970" s="13" t="n">
        <v>75</v>
      </c>
      <c r="K2970" s="14" t="n">
        <f aca="false">I2970*J2970</f>
        <v>1875</v>
      </c>
      <c r="L2970" s="14" t="n">
        <f aca="false">($L$2*M2970)/100</f>
        <v>360499.95</v>
      </c>
      <c r="M2970" s="15" t="n">
        <v>0.3</v>
      </c>
      <c r="N2970" s="9" t="s">
        <v>85</v>
      </c>
    </row>
    <row r="2971" customFormat="false" ht="14.25" hidden="false" customHeight="true" outlineLevel="0" collapsed="false">
      <c r="B2971" s="9" t="s">
        <v>28</v>
      </c>
      <c r="C2971" s="9" t="n">
        <v>1185732</v>
      </c>
      <c r="D2971" s="10" t="n">
        <v>44295</v>
      </c>
      <c r="E2971" s="9" t="s">
        <v>38</v>
      </c>
      <c r="F2971" s="9" t="s">
        <v>112</v>
      </c>
      <c r="G2971" s="9" t="s">
        <v>113</v>
      </c>
      <c r="H2971" s="11" t="s">
        <v>24</v>
      </c>
      <c r="I2971" s="12" t="n">
        <v>60</v>
      </c>
      <c r="J2971" s="13" t="n">
        <v>100</v>
      </c>
      <c r="K2971" s="14" t="n">
        <f aca="false">I2971*J2971</f>
        <v>6000</v>
      </c>
      <c r="L2971" s="14" t="n">
        <f aca="false">($L$2*M2971)/100</f>
        <v>420583.275</v>
      </c>
      <c r="M2971" s="15" t="n">
        <v>0.35</v>
      </c>
      <c r="N2971" s="9" t="s">
        <v>20</v>
      </c>
    </row>
    <row r="2972" customFormat="false" ht="14.25" hidden="false" customHeight="true" outlineLevel="0" collapsed="false">
      <c r="B2972" s="9" t="s">
        <v>28</v>
      </c>
      <c r="C2972" s="9" t="n">
        <v>1185732</v>
      </c>
      <c r="D2972" s="10" t="n">
        <v>44295</v>
      </c>
      <c r="E2972" s="9" t="s">
        <v>38</v>
      </c>
      <c r="F2972" s="9" t="s">
        <v>112</v>
      </c>
      <c r="G2972" s="9" t="s">
        <v>113</v>
      </c>
      <c r="H2972" s="11" t="s">
        <v>25</v>
      </c>
      <c r="I2972" s="12" t="n">
        <v>50</v>
      </c>
      <c r="J2972" s="13" t="n">
        <v>225</v>
      </c>
      <c r="K2972" s="14" t="n">
        <f aca="false">I2972*J2972</f>
        <v>11250</v>
      </c>
      <c r="L2972" s="14" t="n">
        <f aca="false">($L$2*M2972)/100</f>
        <v>480666.6</v>
      </c>
      <c r="M2972" s="15" t="n">
        <v>0.4</v>
      </c>
      <c r="N2972" s="9" t="s">
        <v>20</v>
      </c>
    </row>
    <row r="2973" customFormat="false" ht="14.25" hidden="false" customHeight="true" outlineLevel="0" collapsed="false">
      <c r="B2973" s="9" t="s">
        <v>28</v>
      </c>
      <c r="C2973" s="9" t="n">
        <v>1185732</v>
      </c>
      <c r="D2973" s="10" t="n">
        <v>44326</v>
      </c>
      <c r="E2973" s="9" t="s">
        <v>38</v>
      </c>
      <c r="F2973" s="9" t="s">
        <v>112</v>
      </c>
      <c r="G2973" s="9" t="s">
        <v>113</v>
      </c>
      <c r="H2973" s="11" t="s">
        <v>19</v>
      </c>
      <c r="I2973" s="12" t="n">
        <v>60</v>
      </c>
      <c r="J2973" s="13" t="n">
        <v>495</v>
      </c>
      <c r="K2973" s="14" t="n">
        <f aca="false">I2973*J2973</f>
        <v>29700</v>
      </c>
      <c r="L2973" s="14" t="n">
        <f aca="false">($L$2*M2973)/100</f>
        <v>420583.275</v>
      </c>
      <c r="M2973" s="15" t="n">
        <v>0.35</v>
      </c>
      <c r="N2973" s="9" t="s">
        <v>20</v>
      </c>
    </row>
    <row r="2974" customFormat="false" ht="14.25" hidden="false" customHeight="true" outlineLevel="0" collapsed="false">
      <c r="B2974" s="9" t="s">
        <v>28</v>
      </c>
      <c r="C2974" s="9" t="n">
        <v>1185732</v>
      </c>
      <c r="D2974" s="10" t="n">
        <v>44326</v>
      </c>
      <c r="E2974" s="9" t="s">
        <v>38</v>
      </c>
      <c r="F2974" s="9" t="s">
        <v>112</v>
      </c>
      <c r="G2974" s="9" t="s">
        <v>113</v>
      </c>
      <c r="H2974" s="11" t="s">
        <v>21</v>
      </c>
      <c r="I2974" s="12" t="n">
        <v>45</v>
      </c>
      <c r="J2974" s="13" t="n">
        <v>200</v>
      </c>
      <c r="K2974" s="14" t="n">
        <f aca="false">I2974*J2974</f>
        <v>9000</v>
      </c>
      <c r="L2974" s="14" t="n">
        <f aca="false">($L$2*M2974)/100</f>
        <v>360499.95</v>
      </c>
      <c r="M2974" s="15" t="n">
        <v>0.3</v>
      </c>
      <c r="N2974" s="9" t="s">
        <v>20</v>
      </c>
    </row>
    <row r="2975" customFormat="false" ht="14.25" hidden="false" customHeight="true" outlineLevel="0" collapsed="false">
      <c r="B2975" s="9" t="s">
        <v>28</v>
      </c>
      <c r="C2975" s="9" t="n">
        <v>1185732</v>
      </c>
      <c r="D2975" s="10" t="n">
        <v>44326</v>
      </c>
      <c r="E2975" s="9" t="s">
        <v>38</v>
      </c>
      <c r="F2975" s="9" t="s">
        <v>112</v>
      </c>
      <c r="G2975" s="9" t="s">
        <v>113</v>
      </c>
      <c r="H2975" s="11" t="s">
        <v>22</v>
      </c>
      <c r="I2975" s="12" t="n">
        <v>40</v>
      </c>
      <c r="J2975" s="13" t="n">
        <v>175</v>
      </c>
      <c r="K2975" s="14" t="n">
        <f aca="false">I2975*J2975</f>
        <v>7000</v>
      </c>
      <c r="L2975" s="14" t="n">
        <f aca="false">($L$2*M2975)/100</f>
        <v>360499.95</v>
      </c>
      <c r="M2975" s="15" t="n">
        <v>0.3</v>
      </c>
      <c r="N2975" s="9" t="s">
        <v>20</v>
      </c>
    </row>
    <row r="2976" customFormat="false" ht="14.25" hidden="false" customHeight="true" outlineLevel="0" collapsed="false">
      <c r="B2976" s="9" t="s">
        <v>28</v>
      </c>
      <c r="C2976" s="9" t="n">
        <v>1185732</v>
      </c>
      <c r="D2976" s="10" t="n">
        <v>44326</v>
      </c>
      <c r="E2976" s="9" t="s">
        <v>38</v>
      </c>
      <c r="F2976" s="9" t="s">
        <v>112</v>
      </c>
      <c r="G2976" s="9" t="s">
        <v>113</v>
      </c>
      <c r="H2976" s="11" t="s">
        <v>23</v>
      </c>
      <c r="I2976" s="12" t="n">
        <v>40</v>
      </c>
      <c r="J2976" s="13" t="n">
        <v>100</v>
      </c>
      <c r="K2976" s="14" t="n">
        <f aca="false">I2976*J2976</f>
        <v>4000</v>
      </c>
      <c r="L2976" s="14" t="n">
        <f aca="false">($L$2*M2976)/100</f>
        <v>360499.95</v>
      </c>
      <c r="M2976" s="15" t="n">
        <v>0.3</v>
      </c>
      <c r="N2976" s="9" t="s">
        <v>20</v>
      </c>
    </row>
    <row r="2977" customFormat="false" ht="14.25" hidden="false" customHeight="true" outlineLevel="0" collapsed="false">
      <c r="B2977" s="9" t="s">
        <v>28</v>
      </c>
      <c r="C2977" s="9" t="n">
        <v>1185732</v>
      </c>
      <c r="D2977" s="10" t="n">
        <v>44326</v>
      </c>
      <c r="E2977" s="9" t="s">
        <v>38</v>
      </c>
      <c r="F2977" s="9" t="s">
        <v>112</v>
      </c>
      <c r="G2977" s="9" t="s">
        <v>113</v>
      </c>
      <c r="H2977" s="11" t="s">
        <v>24</v>
      </c>
      <c r="I2977" s="12" t="n">
        <v>50</v>
      </c>
      <c r="J2977" s="13" t="n">
        <v>125</v>
      </c>
      <c r="K2977" s="14" t="n">
        <f aca="false">I2977*J2977</f>
        <v>6250</v>
      </c>
      <c r="L2977" s="14" t="n">
        <f aca="false">($L$2*M2977)/100</f>
        <v>420583.275</v>
      </c>
      <c r="M2977" s="15" t="n">
        <v>0.35</v>
      </c>
      <c r="N2977" s="9" t="s">
        <v>20</v>
      </c>
    </row>
    <row r="2978" customFormat="false" ht="14.25" hidden="false" customHeight="true" outlineLevel="0" collapsed="false">
      <c r="B2978" s="9" t="s">
        <v>28</v>
      </c>
      <c r="C2978" s="9" t="n">
        <v>1185732</v>
      </c>
      <c r="D2978" s="10" t="n">
        <v>44326</v>
      </c>
      <c r="E2978" s="9" t="s">
        <v>38</v>
      </c>
      <c r="F2978" s="9" t="s">
        <v>112</v>
      </c>
      <c r="G2978" s="9" t="s">
        <v>113</v>
      </c>
      <c r="H2978" s="11" t="s">
        <v>25</v>
      </c>
      <c r="I2978" s="12" t="n">
        <v>55</v>
      </c>
      <c r="J2978" s="13" t="n">
        <v>250</v>
      </c>
      <c r="K2978" s="14" t="n">
        <f aca="false">I2978*J2978</f>
        <v>13750</v>
      </c>
      <c r="L2978" s="14" t="n">
        <f aca="false">($L$2*M2978)/100</f>
        <v>480666.6</v>
      </c>
      <c r="M2978" s="15" t="n">
        <v>0.4</v>
      </c>
      <c r="N2978" s="9" t="s">
        <v>20</v>
      </c>
    </row>
    <row r="2979" customFormat="false" ht="14.25" hidden="false" customHeight="true" outlineLevel="0" collapsed="false">
      <c r="B2979" s="9" t="s">
        <v>28</v>
      </c>
      <c r="C2979" s="9" t="n">
        <v>1185732</v>
      </c>
      <c r="D2979" s="10" t="n">
        <v>44356</v>
      </c>
      <c r="E2979" s="9" t="s">
        <v>38</v>
      </c>
      <c r="F2979" s="9" t="s">
        <v>112</v>
      </c>
      <c r="G2979" s="9" t="s">
        <v>113</v>
      </c>
      <c r="H2979" s="11" t="s">
        <v>19</v>
      </c>
      <c r="I2979" s="12" t="n">
        <v>40</v>
      </c>
      <c r="J2979" s="13" t="n">
        <v>500</v>
      </c>
      <c r="K2979" s="14" t="n">
        <f aca="false">I2979*J2979</f>
        <v>20000</v>
      </c>
      <c r="L2979" s="14" t="n">
        <f aca="false">($L$2*M2979)/100</f>
        <v>420583.275</v>
      </c>
      <c r="M2979" s="15" t="n">
        <v>0.35</v>
      </c>
      <c r="N2979" s="9" t="s">
        <v>20</v>
      </c>
    </row>
    <row r="2980" customFormat="false" ht="14.25" hidden="false" customHeight="true" outlineLevel="0" collapsed="false">
      <c r="B2980" s="9" t="s">
        <v>28</v>
      </c>
      <c r="C2980" s="9" t="n">
        <v>1185732</v>
      </c>
      <c r="D2980" s="10" t="n">
        <v>44356</v>
      </c>
      <c r="E2980" s="9" t="s">
        <v>38</v>
      </c>
      <c r="F2980" s="9" t="s">
        <v>112</v>
      </c>
      <c r="G2980" s="9" t="s">
        <v>113</v>
      </c>
      <c r="H2980" s="11" t="s">
        <v>21</v>
      </c>
      <c r="I2980" s="12" t="n">
        <v>35</v>
      </c>
      <c r="J2980" s="13" t="n">
        <v>250</v>
      </c>
      <c r="K2980" s="14" t="n">
        <f aca="false">I2980*J2980</f>
        <v>8750</v>
      </c>
      <c r="L2980" s="14" t="n">
        <f aca="false">($L$2*M2980)/100</f>
        <v>360499.95</v>
      </c>
      <c r="M2980" s="15" t="n">
        <v>0.3</v>
      </c>
      <c r="N2980" s="9" t="s">
        <v>20</v>
      </c>
    </row>
    <row r="2981" customFormat="false" ht="14.25" hidden="false" customHeight="true" outlineLevel="0" collapsed="false">
      <c r="B2981" s="9" t="s">
        <v>28</v>
      </c>
      <c r="C2981" s="9" t="n">
        <v>1185732</v>
      </c>
      <c r="D2981" s="10" t="n">
        <v>44356</v>
      </c>
      <c r="E2981" s="9" t="s">
        <v>38</v>
      </c>
      <c r="F2981" s="9" t="s">
        <v>112</v>
      </c>
      <c r="G2981" s="9" t="s">
        <v>113</v>
      </c>
      <c r="H2981" s="11" t="s">
        <v>22</v>
      </c>
      <c r="I2981" s="12" t="n">
        <v>30</v>
      </c>
      <c r="J2981" s="13" t="n">
        <v>200</v>
      </c>
      <c r="K2981" s="14" t="n">
        <f aca="false">I2981*J2981</f>
        <v>6000</v>
      </c>
      <c r="L2981" s="14" t="n">
        <f aca="false">($L$2*M2981)/100</f>
        <v>360499.95</v>
      </c>
      <c r="M2981" s="15" t="n">
        <v>0.3</v>
      </c>
      <c r="N2981" s="9" t="s">
        <v>20</v>
      </c>
    </row>
    <row r="2982" customFormat="false" ht="14.25" hidden="false" customHeight="true" outlineLevel="0" collapsed="false">
      <c r="B2982" s="9" t="s">
        <v>28</v>
      </c>
      <c r="C2982" s="9" t="n">
        <v>1185732</v>
      </c>
      <c r="D2982" s="10" t="n">
        <v>44356</v>
      </c>
      <c r="E2982" s="9" t="s">
        <v>38</v>
      </c>
      <c r="F2982" s="9" t="s">
        <v>112</v>
      </c>
      <c r="G2982" s="9" t="s">
        <v>113</v>
      </c>
      <c r="H2982" s="11" t="s">
        <v>23</v>
      </c>
      <c r="I2982" s="12" t="n">
        <v>30</v>
      </c>
      <c r="J2982" s="13" t="n">
        <v>175</v>
      </c>
      <c r="K2982" s="14" t="n">
        <f aca="false">I2982*J2982</f>
        <v>5250</v>
      </c>
      <c r="L2982" s="14" t="n">
        <f aca="false">($L$2*M2982)/100</f>
        <v>360499.95</v>
      </c>
      <c r="M2982" s="15" t="n">
        <v>0.3</v>
      </c>
      <c r="N2982" s="9" t="s">
        <v>20</v>
      </c>
    </row>
    <row r="2983" customFormat="false" ht="14.25" hidden="false" customHeight="true" outlineLevel="0" collapsed="false">
      <c r="B2983" s="9" t="s">
        <v>28</v>
      </c>
      <c r="C2983" s="9" t="n">
        <v>1185732</v>
      </c>
      <c r="D2983" s="10" t="n">
        <v>44356</v>
      </c>
      <c r="E2983" s="9" t="s">
        <v>38</v>
      </c>
      <c r="F2983" s="9" t="s">
        <v>112</v>
      </c>
      <c r="G2983" s="9" t="s">
        <v>113</v>
      </c>
      <c r="H2983" s="11" t="s">
        <v>24</v>
      </c>
      <c r="I2983" s="12" t="n">
        <v>40</v>
      </c>
      <c r="J2983" s="13" t="n">
        <v>175</v>
      </c>
      <c r="K2983" s="14" t="n">
        <f aca="false">I2983*J2983</f>
        <v>7000</v>
      </c>
      <c r="L2983" s="14" t="n">
        <f aca="false">($L$2*M2983)/100</f>
        <v>420583.275</v>
      </c>
      <c r="M2983" s="15" t="n">
        <v>0.35</v>
      </c>
      <c r="N2983" s="9" t="s">
        <v>20</v>
      </c>
    </row>
    <row r="2984" customFormat="false" ht="14.25" hidden="false" customHeight="true" outlineLevel="0" collapsed="false">
      <c r="B2984" s="9" t="s">
        <v>28</v>
      </c>
      <c r="C2984" s="9" t="n">
        <v>1185732</v>
      </c>
      <c r="D2984" s="10" t="n">
        <v>44356</v>
      </c>
      <c r="E2984" s="9" t="s">
        <v>38</v>
      </c>
      <c r="F2984" s="9" t="s">
        <v>112</v>
      </c>
      <c r="G2984" s="9" t="s">
        <v>113</v>
      </c>
      <c r="H2984" s="11" t="s">
        <v>25</v>
      </c>
      <c r="I2984" s="12" t="n">
        <v>55</v>
      </c>
      <c r="J2984" s="13" t="n">
        <v>325</v>
      </c>
      <c r="K2984" s="14" t="n">
        <f aca="false">I2984*J2984</f>
        <v>17875</v>
      </c>
      <c r="L2984" s="14" t="n">
        <f aca="false">($L$2*M2984)/100</f>
        <v>480666.6</v>
      </c>
      <c r="M2984" s="15" t="n">
        <v>0.4</v>
      </c>
      <c r="N2984" s="9" t="s">
        <v>20</v>
      </c>
    </row>
    <row r="2985" customFormat="false" ht="14.25" hidden="false" customHeight="true" outlineLevel="0" collapsed="false">
      <c r="B2985" s="9" t="s">
        <v>28</v>
      </c>
      <c r="C2985" s="9" t="n">
        <v>1185732</v>
      </c>
      <c r="D2985" s="10" t="n">
        <v>44385</v>
      </c>
      <c r="E2985" s="9" t="s">
        <v>38</v>
      </c>
      <c r="F2985" s="9" t="s">
        <v>112</v>
      </c>
      <c r="G2985" s="9" t="s">
        <v>113</v>
      </c>
      <c r="H2985" s="11" t="s">
        <v>19</v>
      </c>
      <c r="I2985" s="12" t="n">
        <v>50</v>
      </c>
      <c r="J2985" s="13" t="n">
        <v>550</v>
      </c>
      <c r="K2985" s="14" t="n">
        <f aca="false">I2985*J2985</f>
        <v>27500</v>
      </c>
      <c r="L2985" s="14" t="n">
        <f aca="false">($L$2*M2985)/100</f>
        <v>420583.275</v>
      </c>
      <c r="M2985" s="15" t="n">
        <v>0.35</v>
      </c>
      <c r="N2985" s="9" t="s">
        <v>20</v>
      </c>
    </row>
    <row r="2986" customFormat="false" ht="14.25" hidden="false" customHeight="true" outlineLevel="0" collapsed="false">
      <c r="B2986" s="9" t="s">
        <v>28</v>
      </c>
      <c r="C2986" s="9" t="n">
        <v>1185732</v>
      </c>
      <c r="D2986" s="10" t="n">
        <v>44385</v>
      </c>
      <c r="E2986" s="9" t="s">
        <v>38</v>
      </c>
      <c r="F2986" s="9" t="s">
        <v>112</v>
      </c>
      <c r="G2986" s="9" t="s">
        <v>113</v>
      </c>
      <c r="H2986" s="11" t="s">
        <v>21</v>
      </c>
      <c r="I2986" s="12" t="n">
        <v>45</v>
      </c>
      <c r="J2986" s="13" t="n">
        <v>300</v>
      </c>
      <c r="K2986" s="14" t="n">
        <f aca="false">I2986*J2986</f>
        <v>13500</v>
      </c>
      <c r="L2986" s="14" t="n">
        <f aca="false">($L$2*M2986)/100</f>
        <v>360499.95</v>
      </c>
      <c r="M2986" s="15" t="n">
        <v>0.3</v>
      </c>
      <c r="N2986" s="9" t="s">
        <v>20</v>
      </c>
    </row>
    <row r="2987" customFormat="false" ht="14.25" hidden="false" customHeight="true" outlineLevel="0" collapsed="false">
      <c r="B2987" s="9" t="s">
        <v>28</v>
      </c>
      <c r="C2987" s="9" t="n">
        <v>1185732</v>
      </c>
      <c r="D2987" s="10" t="n">
        <v>44385</v>
      </c>
      <c r="E2987" s="9" t="s">
        <v>38</v>
      </c>
      <c r="F2987" s="9" t="s">
        <v>112</v>
      </c>
      <c r="G2987" s="9" t="s">
        <v>113</v>
      </c>
      <c r="H2987" s="11" t="s">
        <v>22</v>
      </c>
      <c r="I2987" s="12" t="n">
        <v>40</v>
      </c>
      <c r="J2987" s="13" t="n">
        <v>225</v>
      </c>
      <c r="K2987" s="14" t="n">
        <f aca="false">I2987*J2987</f>
        <v>9000</v>
      </c>
      <c r="L2987" s="14" t="n">
        <f aca="false">($L$2*M2987)/100</f>
        <v>360499.95</v>
      </c>
      <c r="M2987" s="15" t="n">
        <v>0.3</v>
      </c>
      <c r="N2987" s="9" t="s">
        <v>20</v>
      </c>
    </row>
    <row r="2988" customFormat="false" ht="14.25" hidden="false" customHeight="true" outlineLevel="0" collapsed="false">
      <c r="B2988" s="9" t="s">
        <v>28</v>
      </c>
      <c r="C2988" s="9" t="n">
        <v>1185732</v>
      </c>
      <c r="D2988" s="10" t="n">
        <v>44385</v>
      </c>
      <c r="E2988" s="9" t="s">
        <v>38</v>
      </c>
      <c r="F2988" s="9" t="s">
        <v>112</v>
      </c>
      <c r="G2988" s="9" t="s">
        <v>113</v>
      </c>
      <c r="H2988" s="11" t="s">
        <v>23</v>
      </c>
      <c r="I2988" s="12" t="n">
        <v>40</v>
      </c>
      <c r="J2988" s="13" t="n">
        <v>175</v>
      </c>
      <c r="K2988" s="14" t="n">
        <f aca="false">I2988*J2988</f>
        <v>7000</v>
      </c>
      <c r="L2988" s="14" t="n">
        <f aca="false">($L$2*M2988)/100</f>
        <v>360499.95</v>
      </c>
      <c r="M2988" s="15" t="n">
        <v>0.3</v>
      </c>
      <c r="N2988" s="9" t="s">
        <v>20</v>
      </c>
    </row>
    <row r="2989" customFormat="false" ht="14.25" hidden="false" customHeight="true" outlineLevel="0" collapsed="false">
      <c r="B2989" s="9" t="s">
        <v>28</v>
      </c>
      <c r="C2989" s="9" t="n">
        <v>1185732</v>
      </c>
      <c r="D2989" s="10" t="n">
        <v>44385</v>
      </c>
      <c r="E2989" s="9" t="s">
        <v>38</v>
      </c>
      <c r="F2989" s="9" t="s">
        <v>112</v>
      </c>
      <c r="G2989" s="9" t="s">
        <v>113</v>
      </c>
      <c r="H2989" s="11" t="s">
        <v>24</v>
      </c>
      <c r="I2989" s="12" t="n">
        <v>50</v>
      </c>
      <c r="J2989" s="13" t="n">
        <v>200</v>
      </c>
      <c r="K2989" s="14" t="n">
        <f aca="false">I2989*J2989</f>
        <v>10000</v>
      </c>
      <c r="L2989" s="14" t="n">
        <f aca="false">($L$2*M2989)/100</f>
        <v>420583.275</v>
      </c>
      <c r="M2989" s="15" t="n">
        <v>0.35</v>
      </c>
      <c r="N2989" s="9" t="s">
        <v>20</v>
      </c>
    </row>
    <row r="2990" customFormat="false" ht="14.25" hidden="false" customHeight="true" outlineLevel="0" collapsed="false">
      <c r="B2990" s="9" t="s">
        <v>28</v>
      </c>
      <c r="C2990" s="9" t="n">
        <v>1185732</v>
      </c>
      <c r="D2990" s="10" t="n">
        <v>44385</v>
      </c>
      <c r="E2990" s="9" t="s">
        <v>38</v>
      </c>
      <c r="F2990" s="9" t="s">
        <v>112</v>
      </c>
      <c r="G2990" s="9" t="s">
        <v>113</v>
      </c>
      <c r="H2990" s="11" t="s">
        <v>25</v>
      </c>
      <c r="I2990" s="12" t="n">
        <v>55</v>
      </c>
      <c r="J2990" s="13" t="n">
        <v>375</v>
      </c>
      <c r="K2990" s="14" t="n">
        <f aca="false">I2990*J2990</f>
        <v>20625</v>
      </c>
      <c r="L2990" s="14" t="n">
        <f aca="false">($L$2*M2990)/100</f>
        <v>480666.6</v>
      </c>
      <c r="M2990" s="15" t="n">
        <v>0.4</v>
      </c>
      <c r="N2990" s="9" t="s">
        <v>20</v>
      </c>
    </row>
    <row r="2991" customFormat="false" ht="14.25" hidden="false" customHeight="true" outlineLevel="0" collapsed="false">
      <c r="B2991" s="9" t="s">
        <v>28</v>
      </c>
      <c r="C2991" s="9" t="n">
        <v>1185732</v>
      </c>
      <c r="D2991" s="10" t="n">
        <v>44417</v>
      </c>
      <c r="E2991" s="9" t="s">
        <v>38</v>
      </c>
      <c r="F2991" s="9" t="s">
        <v>112</v>
      </c>
      <c r="G2991" s="9" t="s">
        <v>113</v>
      </c>
      <c r="H2991" s="11" t="s">
        <v>19</v>
      </c>
      <c r="I2991" s="12" t="n">
        <v>50</v>
      </c>
      <c r="J2991" s="13" t="n">
        <v>525</v>
      </c>
      <c r="K2991" s="14" t="n">
        <f aca="false">I2991*J2991</f>
        <v>26250</v>
      </c>
      <c r="L2991" s="14" t="n">
        <f aca="false">($L$2*M2991)/100</f>
        <v>420583.275</v>
      </c>
      <c r="M2991" s="15" t="n">
        <v>0.35</v>
      </c>
      <c r="N2991" s="9" t="s">
        <v>20</v>
      </c>
    </row>
    <row r="2992" customFormat="false" ht="14.25" hidden="false" customHeight="true" outlineLevel="0" collapsed="false">
      <c r="B2992" s="9" t="s">
        <v>28</v>
      </c>
      <c r="C2992" s="9" t="n">
        <v>1185732</v>
      </c>
      <c r="D2992" s="10" t="n">
        <v>44417</v>
      </c>
      <c r="E2992" s="9" t="s">
        <v>38</v>
      </c>
      <c r="F2992" s="9" t="s">
        <v>112</v>
      </c>
      <c r="G2992" s="9" t="s">
        <v>113</v>
      </c>
      <c r="H2992" s="11" t="s">
        <v>21</v>
      </c>
      <c r="I2992" s="12" t="n">
        <v>45</v>
      </c>
      <c r="J2992" s="13" t="n">
        <v>300</v>
      </c>
      <c r="K2992" s="14" t="n">
        <f aca="false">I2992*J2992</f>
        <v>13500</v>
      </c>
      <c r="L2992" s="14" t="n">
        <f aca="false">($L$2*M2992)/100</f>
        <v>360499.95</v>
      </c>
      <c r="M2992" s="15" t="n">
        <v>0.3</v>
      </c>
      <c r="N2992" s="9" t="s">
        <v>20</v>
      </c>
    </row>
    <row r="2993" customFormat="false" ht="14.25" hidden="false" customHeight="true" outlineLevel="0" collapsed="false">
      <c r="B2993" s="9" t="s">
        <v>28</v>
      </c>
      <c r="C2993" s="9" t="n">
        <v>1185732</v>
      </c>
      <c r="D2993" s="10" t="n">
        <v>44417</v>
      </c>
      <c r="E2993" s="9" t="s">
        <v>38</v>
      </c>
      <c r="F2993" s="9" t="s">
        <v>112</v>
      </c>
      <c r="G2993" s="9" t="s">
        <v>113</v>
      </c>
      <c r="H2993" s="11" t="s">
        <v>22</v>
      </c>
      <c r="I2993" s="12" t="n">
        <v>40</v>
      </c>
      <c r="J2993" s="13" t="n">
        <v>225</v>
      </c>
      <c r="K2993" s="14" t="n">
        <f aca="false">I2993*J2993</f>
        <v>9000</v>
      </c>
      <c r="L2993" s="14" t="n">
        <f aca="false">($L$2*M2993)/100</f>
        <v>360499.95</v>
      </c>
      <c r="M2993" s="15" t="n">
        <v>0.3</v>
      </c>
      <c r="N2993" s="9" t="s">
        <v>20</v>
      </c>
    </row>
    <row r="2994" customFormat="false" ht="14.25" hidden="false" customHeight="true" outlineLevel="0" collapsed="false">
      <c r="B2994" s="9" t="s">
        <v>28</v>
      </c>
      <c r="C2994" s="9" t="n">
        <v>1185732</v>
      </c>
      <c r="D2994" s="10" t="n">
        <v>44417</v>
      </c>
      <c r="E2994" s="9" t="s">
        <v>38</v>
      </c>
      <c r="F2994" s="9" t="s">
        <v>112</v>
      </c>
      <c r="G2994" s="9" t="s">
        <v>113</v>
      </c>
      <c r="H2994" s="11" t="s">
        <v>23</v>
      </c>
      <c r="I2994" s="12" t="n">
        <v>40</v>
      </c>
      <c r="J2994" s="13" t="n">
        <v>200</v>
      </c>
      <c r="K2994" s="14" t="n">
        <f aca="false">I2994*J2994</f>
        <v>8000</v>
      </c>
      <c r="L2994" s="14" t="n">
        <f aca="false">($L$2*M2994)/100</f>
        <v>360499.95</v>
      </c>
      <c r="M2994" s="15" t="n">
        <v>0.3</v>
      </c>
      <c r="N2994" s="9" t="s">
        <v>20</v>
      </c>
    </row>
    <row r="2995" customFormat="false" ht="14.25" hidden="false" customHeight="true" outlineLevel="0" collapsed="false">
      <c r="B2995" s="9" t="s">
        <v>28</v>
      </c>
      <c r="C2995" s="9" t="n">
        <v>1185732</v>
      </c>
      <c r="D2995" s="10" t="n">
        <v>44417</v>
      </c>
      <c r="E2995" s="9" t="s">
        <v>38</v>
      </c>
      <c r="F2995" s="9" t="s">
        <v>112</v>
      </c>
      <c r="G2995" s="9" t="s">
        <v>113</v>
      </c>
      <c r="H2995" s="11" t="s">
        <v>24</v>
      </c>
      <c r="I2995" s="12" t="n">
        <v>50</v>
      </c>
      <c r="J2995" s="13" t="n">
        <v>175</v>
      </c>
      <c r="K2995" s="14" t="n">
        <f aca="false">I2995*J2995</f>
        <v>8750</v>
      </c>
      <c r="L2995" s="14" t="n">
        <f aca="false">($L$2*M2995)/100</f>
        <v>420583.275</v>
      </c>
      <c r="M2995" s="15" t="n">
        <v>0.35</v>
      </c>
      <c r="N2995" s="9" t="s">
        <v>20</v>
      </c>
    </row>
    <row r="2996" customFormat="false" ht="14.25" hidden="false" customHeight="true" outlineLevel="0" collapsed="false">
      <c r="B2996" s="9" t="s">
        <v>28</v>
      </c>
      <c r="C2996" s="9" t="n">
        <v>1185732</v>
      </c>
      <c r="D2996" s="10" t="n">
        <v>44417</v>
      </c>
      <c r="E2996" s="9" t="s">
        <v>38</v>
      </c>
      <c r="F2996" s="9" t="s">
        <v>112</v>
      </c>
      <c r="G2996" s="9" t="s">
        <v>113</v>
      </c>
      <c r="H2996" s="11" t="s">
        <v>25</v>
      </c>
      <c r="I2996" s="12" t="n">
        <v>55</v>
      </c>
      <c r="J2996" s="13" t="n">
        <v>350</v>
      </c>
      <c r="K2996" s="14" t="n">
        <f aca="false">I2996*J2996</f>
        <v>19250</v>
      </c>
      <c r="L2996" s="14" t="n">
        <f aca="false">($L$2*M2996)/100</f>
        <v>480666.6</v>
      </c>
      <c r="M2996" s="15" t="n">
        <v>0.4</v>
      </c>
      <c r="N2996" s="9" t="s">
        <v>20</v>
      </c>
    </row>
    <row r="2997" customFormat="false" ht="14.25" hidden="false" customHeight="true" outlineLevel="0" collapsed="false">
      <c r="B2997" s="9" t="s">
        <v>28</v>
      </c>
      <c r="C2997" s="9" t="n">
        <v>1185732</v>
      </c>
      <c r="D2997" s="10" t="n">
        <v>44449</v>
      </c>
      <c r="E2997" s="9" t="s">
        <v>38</v>
      </c>
      <c r="F2997" s="9" t="s">
        <v>112</v>
      </c>
      <c r="G2997" s="9" t="s">
        <v>113</v>
      </c>
      <c r="H2997" s="11" t="s">
        <v>19</v>
      </c>
      <c r="I2997" s="12" t="n">
        <v>40</v>
      </c>
      <c r="J2997" s="13" t="n">
        <v>475</v>
      </c>
      <c r="K2997" s="14" t="n">
        <f aca="false">I2997*J2997</f>
        <v>19000</v>
      </c>
      <c r="L2997" s="14" t="n">
        <f aca="false">($L$2*M2997)/100</f>
        <v>420583.275</v>
      </c>
      <c r="M2997" s="15" t="n">
        <v>0.35</v>
      </c>
      <c r="N2997" s="9" t="s">
        <v>20</v>
      </c>
    </row>
    <row r="2998" customFormat="false" ht="14.25" hidden="false" customHeight="true" outlineLevel="0" collapsed="false">
      <c r="B2998" s="9" t="s">
        <v>28</v>
      </c>
      <c r="C2998" s="9" t="n">
        <v>1185732</v>
      </c>
      <c r="D2998" s="10" t="n">
        <v>44449</v>
      </c>
      <c r="E2998" s="9" t="s">
        <v>38</v>
      </c>
      <c r="F2998" s="9" t="s">
        <v>112</v>
      </c>
      <c r="G2998" s="9" t="s">
        <v>113</v>
      </c>
      <c r="H2998" s="11" t="s">
        <v>21</v>
      </c>
      <c r="I2998" s="12" t="n">
        <v>35</v>
      </c>
      <c r="J2998" s="13" t="n">
        <v>275</v>
      </c>
      <c r="K2998" s="14" t="n">
        <f aca="false">I2998*J2998</f>
        <v>9625</v>
      </c>
      <c r="L2998" s="14" t="n">
        <f aca="false">($L$2*M2998)/100</f>
        <v>360499.95</v>
      </c>
      <c r="M2998" s="15" t="n">
        <v>0.3</v>
      </c>
      <c r="N2998" s="9" t="s">
        <v>20</v>
      </c>
    </row>
    <row r="2999" customFormat="false" ht="14.25" hidden="false" customHeight="true" outlineLevel="0" collapsed="false">
      <c r="B2999" s="9" t="s">
        <v>28</v>
      </c>
      <c r="C2999" s="9" t="n">
        <v>1185732</v>
      </c>
      <c r="D2999" s="10" t="n">
        <v>44449</v>
      </c>
      <c r="E2999" s="9" t="s">
        <v>38</v>
      </c>
      <c r="F2999" s="9" t="s">
        <v>112</v>
      </c>
      <c r="G2999" s="9" t="s">
        <v>113</v>
      </c>
      <c r="H2999" s="11" t="s">
        <v>22</v>
      </c>
      <c r="I2999" s="12" t="n">
        <v>30</v>
      </c>
      <c r="J2999" s="13" t="n">
        <v>175</v>
      </c>
      <c r="K2999" s="14" t="n">
        <f aca="false">I2999*J2999</f>
        <v>5250</v>
      </c>
      <c r="L2999" s="14" t="n">
        <f aca="false">($L$2*M2999)/100</f>
        <v>360499.95</v>
      </c>
      <c r="M2999" s="15" t="n">
        <v>0.3</v>
      </c>
      <c r="N2999" s="9" t="s">
        <v>20</v>
      </c>
    </row>
    <row r="3000" customFormat="false" ht="14.25" hidden="false" customHeight="true" outlineLevel="0" collapsed="false">
      <c r="B3000" s="9" t="s">
        <v>28</v>
      </c>
      <c r="C3000" s="9" t="n">
        <v>1185732</v>
      </c>
      <c r="D3000" s="10" t="n">
        <v>44449</v>
      </c>
      <c r="E3000" s="9" t="s">
        <v>38</v>
      </c>
      <c r="F3000" s="9" t="s">
        <v>112</v>
      </c>
      <c r="G3000" s="9" t="s">
        <v>113</v>
      </c>
      <c r="H3000" s="11" t="s">
        <v>23</v>
      </c>
      <c r="I3000" s="12" t="n">
        <v>30</v>
      </c>
      <c r="J3000" s="13" t="n">
        <v>150</v>
      </c>
      <c r="K3000" s="14" t="n">
        <f aca="false">I3000*J3000</f>
        <v>4500</v>
      </c>
      <c r="L3000" s="14" t="n">
        <f aca="false">($L$2*M3000)/100</f>
        <v>360499.95</v>
      </c>
      <c r="M3000" s="15" t="n">
        <v>0.3</v>
      </c>
      <c r="N3000" s="9" t="s">
        <v>20</v>
      </c>
    </row>
    <row r="3001" customFormat="false" ht="14.25" hidden="false" customHeight="true" outlineLevel="0" collapsed="false">
      <c r="B3001" s="9" t="s">
        <v>28</v>
      </c>
      <c r="C3001" s="9" t="n">
        <v>1185732</v>
      </c>
      <c r="D3001" s="10" t="n">
        <v>44449</v>
      </c>
      <c r="E3001" s="9" t="s">
        <v>38</v>
      </c>
      <c r="F3001" s="9" t="s">
        <v>112</v>
      </c>
      <c r="G3001" s="9" t="s">
        <v>113</v>
      </c>
      <c r="H3001" s="11" t="s">
        <v>24</v>
      </c>
      <c r="I3001" s="12" t="n">
        <v>40</v>
      </c>
      <c r="J3001" s="13" t="n">
        <v>150</v>
      </c>
      <c r="K3001" s="14" t="n">
        <f aca="false">I3001*J3001</f>
        <v>6000</v>
      </c>
      <c r="L3001" s="14" t="n">
        <f aca="false">($L$2*M3001)/100</f>
        <v>420583.275</v>
      </c>
      <c r="M3001" s="15" t="n">
        <v>0.35</v>
      </c>
      <c r="N3001" s="9" t="s">
        <v>20</v>
      </c>
    </row>
    <row r="3002" customFormat="false" ht="14.25" hidden="false" customHeight="true" outlineLevel="0" collapsed="false">
      <c r="B3002" s="9" t="s">
        <v>28</v>
      </c>
      <c r="C3002" s="9" t="n">
        <v>1185732</v>
      </c>
      <c r="D3002" s="10" t="n">
        <v>44449</v>
      </c>
      <c r="E3002" s="9" t="s">
        <v>38</v>
      </c>
      <c r="F3002" s="9" t="s">
        <v>112</v>
      </c>
      <c r="G3002" s="9" t="s">
        <v>113</v>
      </c>
      <c r="H3002" s="11" t="s">
        <v>25</v>
      </c>
      <c r="I3002" s="12" t="n">
        <v>45</v>
      </c>
      <c r="J3002" s="13" t="n">
        <v>225</v>
      </c>
      <c r="K3002" s="14" t="n">
        <f aca="false">I3002*J3002</f>
        <v>10125</v>
      </c>
      <c r="L3002" s="14" t="n">
        <f aca="false">($L$2*M3002)/100</f>
        <v>480666.6</v>
      </c>
      <c r="M3002" s="15" t="n">
        <v>0.4</v>
      </c>
      <c r="N3002" s="9" t="s">
        <v>20</v>
      </c>
    </row>
    <row r="3003" customFormat="false" ht="14.25" hidden="false" customHeight="true" outlineLevel="0" collapsed="false">
      <c r="B3003" s="9" t="s">
        <v>28</v>
      </c>
      <c r="C3003" s="9" t="n">
        <v>1185732</v>
      </c>
      <c r="D3003" s="10" t="n">
        <v>44478</v>
      </c>
      <c r="E3003" s="9" t="s">
        <v>38</v>
      </c>
      <c r="F3003" s="9" t="s">
        <v>112</v>
      </c>
      <c r="G3003" s="9" t="s">
        <v>113</v>
      </c>
      <c r="H3003" s="11" t="s">
        <v>19</v>
      </c>
      <c r="I3003" s="12" t="n">
        <v>50</v>
      </c>
      <c r="J3003" s="13" t="n">
        <v>400</v>
      </c>
      <c r="K3003" s="14" t="n">
        <f aca="false">I3003*J3003</f>
        <v>20000</v>
      </c>
      <c r="L3003" s="14" t="n">
        <f aca="false">($L$2*M3003)/100</f>
        <v>420583.275</v>
      </c>
      <c r="M3003" s="15" t="n">
        <v>0.35</v>
      </c>
      <c r="N3003" s="9" t="s">
        <v>20</v>
      </c>
    </row>
    <row r="3004" customFormat="false" ht="14.25" hidden="false" customHeight="true" outlineLevel="0" collapsed="false">
      <c r="B3004" s="9" t="s">
        <v>28</v>
      </c>
      <c r="C3004" s="9" t="n">
        <v>1185732</v>
      </c>
      <c r="D3004" s="10" t="n">
        <v>44478</v>
      </c>
      <c r="E3004" s="9" t="s">
        <v>38</v>
      </c>
      <c r="F3004" s="9" t="s">
        <v>112</v>
      </c>
      <c r="G3004" s="9" t="s">
        <v>113</v>
      </c>
      <c r="H3004" s="11" t="s">
        <v>21</v>
      </c>
      <c r="I3004" s="12" t="n">
        <v>40</v>
      </c>
      <c r="J3004" s="13" t="n">
        <v>250</v>
      </c>
      <c r="K3004" s="14" t="n">
        <f aca="false">I3004*J3004</f>
        <v>10000</v>
      </c>
      <c r="L3004" s="14" t="n">
        <f aca="false">($L$2*M3004)/100</f>
        <v>360499.95</v>
      </c>
      <c r="M3004" s="15" t="n">
        <v>0.3</v>
      </c>
      <c r="N3004" s="9" t="s">
        <v>20</v>
      </c>
    </row>
    <row r="3005" customFormat="false" ht="14.25" hidden="false" customHeight="true" outlineLevel="0" collapsed="false">
      <c r="B3005" s="9" t="s">
        <v>28</v>
      </c>
      <c r="C3005" s="9" t="n">
        <v>1185732</v>
      </c>
      <c r="D3005" s="10" t="n">
        <v>44478</v>
      </c>
      <c r="E3005" s="9" t="s">
        <v>38</v>
      </c>
      <c r="F3005" s="9" t="s">
        <v>112</v>
      </c>
      <c r="G3005" s="9" t="s">
        <v>113</v>
      </c>
      <c r="H3005" s="11" t="s">
        <v>22</v>
      </c>
      <c r="I3005" s="12" t="n">
        <v>40</v>
      </c>
      <c r="J3005" s="13" t="n">
        <v>150</v>
      </c>
      <c r="K3005" s="14" t="n">
        <f aca="false">I3005*J3005</f>
        <v>6000</v>
      </c>
      <c r="L3005" s="14" t="n">
        <f aca="false">($L$2*M3005)/100</f>
        <v>360499.95</v>
      </c>
      <c r="M3005" s="15" t="n">
        <v>0.3</v>
      </c>
      <c r="N3005" s="9" t="s">
        <v>20</v>
      </c>
    </row>
    <row r="3006" customFormat="false" ht="14.25" hidden="false" customHeight="true" outlineLevel="0" collapsed="false">
      <c r="B3006" s="9" t="s">
        <v>28</v>
      </c>
      <c r="C3006" s="9" t="n">
        <v>1185732</v>
      </c>
      <c r="D3006" s="10" t="n">
        <v>44478</v>
      </c>
      <c r="E3006" s="9" t="s">
        <v>38</v>
      </c>
      <c r="F3006" s="9" t="s">
        <v>112</v>
      </c>
      <c r="G3006" s="9" t="s">
        <v>113</v>
      </c>
      <c r="H3006" s="11" t="s">
        <v>23</v>
      </c>
      <c r="I3006" s="12" t="n">
        <v>40</v>
      </c>
      <c r="J3006" s="13" t="n">
        <v>125</v>
      </c>
      <c r="K3006" s="14" t="n">
        <f aca="false">I3006*J3006</f>
        <v>5000</v>
      </c>
      <c r="L3006" s="14" t="n">
        <f aca="false">($L$2*M3006)/100</f>
        <v>360499.95</v>
      </c>
      <c r="M3006" s="15" t="n">
        <v>0.3</v>
      </c>
      <c r="N3006" s="9" t="s">
        <v>20</v>
      </c>
    </row>
    <row r="3007" customFormat="false" ht="14.25" hidden="false" customHeight="true" outlineLevel="0" collapsed="false">
      <c r="B3007" s="9" t="s">
        <v>28</v>
      </c>
      <c r="C3007" s="9" t="n">
        <v>1185732</v>
      </c>
      <c r="D3007" s="10" t="n">
        <v>44478</v>
      </c>
      <c r="E3007" s="9" t="s">
        <v>38</v>
      </c>
      <c r="F3007" s="9" t="s">
        <v>112</v>
      </c>
      <c r="G3007" s="9" t="s">
        <v>113</v>
      </c>
      <c r="H3007" s="11" t="s">
        <v>24</v>
      </c>
      <c r="I3007" s="12" t="n">
        <v>50</v>
      </c>
      <c r="J3007" s="13" t="n">
        <v>125</v>
      </c>
      <c r="K3007" s="14" t="n">
        <f aca="false">I3007*J3007</f>
        <v>6250</v>
      </c>
      <c r="L3007" s="14" t="n">
        <f aca="false">($L$2*M3007)/100</f>
        <v>420583.275</v>
      </c>
      <c r="M3007" s="15" t="n">
        <v>0.35</v>
      </c>
      <c r="N3007" s="9" t="s">
        <v>20</v>
      </c>
    </row>
    <row r="3008" customFormat="false" ht="14.25" hidden="false" customHeight="true" outlineLevel="0" collapsed="false">
      <c r="B3008" s="9" t="s">
        <v>16</v>
      </c>
      <c r="C3008" s="9" t="n">
        <v>1185732</v>
      </c>
      <c r="D3008" s="10" t="n">
        <v>44478</v>
      </c>
      <c r="E3008" s="9" t="s">
        <v>38</v>
      </c>
      <c r="F3008" s="9" t="s">
        <v>112</v>
      </c>
      <c r="G3008" s="9" t="s">
        <v>113</v>
      </c>
      <c r="H3008" s="11" t="s">
        <v>25</v>
      </c>
      <c r="I3008" s="12" t="n">
        <v>55</v>
      </c>
      <c r="J3008" s="13" t="n">
        <v>250</v>
      </c>
      <c r="K3008" s="14" t="n">
        <f aca="false">I3008*J3008</f>
        <v>13750</v>
      </c>
      <c r="L3008" s="14" t="n">
        <f aca="false">($L$2*M3008)/100</f>
        <v>480666.6</v>
      </c>
      <c r="M3008" s="15" t="n">
        <v>0.4</v>
      </c>
      <c r="N3008" s="9" t="s">
        <v>20</v>
      </c>
    </row>
    <row r="3009" customFormat="false" ht="14.25" hidden="false" customHeight="true" outlineLevel="0" collapsed="false">
      <c r="B3009" s="9" t="s">
        <v>16</v>
      </c>
      <c r="C3009" s="9" t="n">
        <v>1185732</v>
      </c>
      <c r="D3009" s="10" t="n">
        <v>44509</v>
      </c>
      <c r="E3009" s="9" t="s">
        <v>38</v>
      </c>
      <c r="F3009" s="9" t="s">
        <v>112</v>
      </c>
      <c r="G3009" s="9" t="s">
        <v>113</v>
      </c>
      <c r="H3009" s="11" t="s">
        <v>19</v>
      </c>
      <c r="I3009" s="12" t="n">
        <v>50</v>
      </c>
      <c r="J3009" s="13" t="n">
        <v>400</v>
      </c>
      <c r="K3009" s="14" t="n">
        <f aca="false">I3009*J3009</f>
        <v>20000</v>
      </c>
      <c r="L3009" s="14" t="n">
        <f aca="false">($L$2*M3009)/100</f>
        <v>420583.275</v>
      </c>
      <c r="M3009" s="15" t="n">
        <v>0.35</v>
      </c>
      <c r="N3009" s="9" t="s">
        <v>20</v>
      </c>
    </row>
    <row r="3010" customFormat="false" ht="14.25" hidden="false" customHeight="true" outlineLevel="0" collapsed="false">
      <c r="B3010" s="9" t="s">
        <v>16</v>
      </c>
      <c r="C3010" s="9" t="n">
        <v>1185732</v>
      </c>
      <c r="D3010" s="10" t="n">
        <v>44509</v>
      </c>
      <c r="E3010" s="9" t="s">
        <v>38</v>
      </c>
      <c r="F3010" s="9" t="s">
        <v>112</v>
      </c>
      <c r="G3010" s="9" t="s">
        <v>113</v>
      </c>
      <c r="H3010" s="11" t="s">
        <v>21</v>
      </c>
      <c r="I3010" s="12" t="n">
        <v>40</v>
      </c>
      <c r="J3010" s="13" t="n">
        <v>250</v>
      </c>
      <c r="K3010" s="14" t="n">
        <f aca="false">I3010*J3010</f>
        <v>10000</v>
      </c>
      <c r="L3010" s="14" t="n">
        <f aca="false">($L$2*M3010)/100</f>
        <v>360499.95</v>
      </c>
      <c r="M3010" s="15" t="n">
        <v>0.3</v>
      </c>
      <c r="N3010" s="9" t="s">
        <v>20</v>
      </c>
    </row>
    <row r="3011" customFormat="false" ht="14.25" hidden="false" customHeight="true" outlineLevel="0" collapsed="false">
      <c r="B3011" s="9" t="s">
        <v>16</v>
      </c>
      <c r="C3011" s="9" t="n">
        <v>1185732</v>
      </c>
      <c r="D3011" s="10" t="n">
        <v>44509</v>
      </c>
      <c r="E3011" s="9" t="s">
        <v>38</v>
      </c>
      <c r="F3011" s="9" t="s">
        <v>112</v>
      </c>
      <c r="G3011" s="9" t="s">
        <v>113</v>
      </c>
      <c r="H3011" s="11" t="s">
        <v>22</v>
      </c>
      <c r="I3011" s="12" t="n">
        <v>40</v>
      </c>
      <c r="J3011" s="13" t="n">
        <v>195</v>
      </c>
      <c r="K3011" s="14" t="n">
        <f aca="false">I3011*J3011</f>
        <v>7800</v>
      </c>
      <c r="L3011" s="14" t="n">
        <f aca="false">($L$2*M3011)/100</f>
        <v>360499.95</v>
      </c>
      <c r="M3011" s="15" t="n">
        <v>0.3</v>
      </c>
      <c r="N3011" s="9" t="s">
        <v>20</v>
      </c>
    </row>
    <row r="3012" customFormat="false" ht="14.25" hidden="false" customHeight="true" outlineLevel="0" collapsed="false">
      <c r="B3012" s="9" t="s">
        <v>16</v>
      </c>
      <c r="C3012" s="9" t="n">
        <v>1185732</v>
      </c>
      <c r="D3012" s="10" t="n">
        <v>44509</v>
      </c>
      <c r="E3012" s="9" t="s">
        <v>38</v>
      </c>
      <c r="F3012" s="9" t="s">
        <v>112</v>
      </c>
      <c r="G3012" s="9" t="s">
        <v>113</v>
      </c>
      <c r="H3012" s="11" t="s">
        <v>23</v>
      </c>
      <c r="I3012" s="12" t="n">
        <v>40</v>
      </c>
      <c r="J3012" s="13" t="n">
        <v>175</v>
      </c>
      <c r="K3012" s="14" t="n">
        <f aca="false">I3012*J3012</f>
        <v>7000</v>
      </c>
      <c r="L3012" s="14" t="n">
        <f aca="false">($L$2*M3012)/100</f>
        <v>360499.95</v>
      </c>
      <c r="M3012" s="15" t="n">
        <v>0.3</v>
      </c>
      <c r="N3012" s="9" t="s">
        <v>20</v>
      </c>
    </row>
    <row r="3013" customFormat="false" ht="14.25" hidden="false" customHeight="true" outlineLevel="0" collapsed="false">
      <c r="B3013" s="9" t="s">
        <v>16</v>
      </c>
      <c r="C3013" s="9" t="n">
        <v>1185732</v>
      </c>
      <c r="D3013" s="10" t="n">
        <v>44509</v>
      </c>
      <c r="E3013" s="9" t="s">
        <v>38</v>
      </c>
      <c r="F3013" s="9" t="s">
        <v>112</v>
      </c>
      <c r="G3013" s="9" t="s">
        <v>113</v>
      </c>
      <c r="H3013" s="11" t="s">
        <v>24</v>
      </c>
      <c r="I3013" s="12" t="n">
        <v>60</v>
      </c>
      <c r="J3013" s="13" t="n">
        <v>150</v>
      </c>
      <c r="K3013" s="14" t="n">
        <f aca="false">I3013*J3013</f>
        <v>9000</v>
      </c>
      <c r="L3013" s="14" t="n">
        <f aca="false">($L$2*M3013)/100</f>
        <v>420583.275</v>
      </c>
      <c r="M3013" s="15" t="n">
        <v>0.35</v>
      </c>
      <c r="N3013" s="9" t="s">
        <v>20</v>
      </c>
    </row>
    <row r="3014" customFormat="false" ht="14.25" hidden="false" customHeight="true" outlineLevel="0" collapsed="false">
      <c r="B3014" s="9" t="s">
        <v>16</v>
      </c>
      <c r="C3014" s="9" t="n">
        <v>1185732</v>
      </c>
      <c r="D3014" s="10" t="n">
        <v>44509</v>
      </c>
      <c r="E3014" s="9" t="s">
        <v>38</v>
      </c>
      <c r="F3014" s="9" t="s">
        <v>112</v>
      </c>
      <c r="G3014" s="9" t="s">
        <v>113</v>
      </c>
      <c r="H3014" s="11" t="s">
        <v>25</v>
      </c>
      <c r="I3014" s="12" t="n">
        <v>65</v>
      </c>
      <c r="J3014" s="13" t="n">
        <v>250</v>
      </c>
      <c r="K3014" s="14" t="n">
        <f aca="false">I3014*J3014</f>
        <v>16250</v>
      </c>
      <c r="L3014" s="14" t="n">
        <f aca="false">($L$2*M3014)/100</f>
        <v>480666.6</v>
      </c>
      <c r="M3014" s="15" t="n">
        <v>0.4</v>
      </c>
      <c r="N3014" s="9" t="s">
        <v>20</v>
      </c>
    </row>
    <row r="3015" customFormat="false" ht="14.25" hidden="false" customHeight="true" outlineLevel="0" collapsed="false">
      <c r="B3015" s="9" t="s">
        <v>16</v>
      </c>
      <c r="C3015" s="9" t="n">
        <v>1185732</v>
      </c>
      <c r="D3015" s="10" t="n">
        <v>44538</v>
      </c>
      <c r="E3015" s="9" t="s">
        <v>38</v>
      </c>
      <c r="F3015" s="9" t="s">
        <v>112</v>
      </c>
      <c r="G3015" s="9" t="s">
        <v>113</v>
      </c>
      <c r="H3015" s="11" t="s">
        <v>19</v>
      </c>
      <c r="I3015" s="12" t="n">
        <v>60</v>
      </c>
      <c r="J3015" s="13" t="n">
        <v>500</v>
      </c>
      <c r="K3015" s="14" t="n">
        <f aca="false">I3015*J3015</f>
        <v>30000</v>
      </c>
      <c r="L3015" s="14" t="n">
        <f aca="false">($L$2*M3015)/100</f>
        <v>420583.275</v>
      </c>
      <c r="M3015" s="15" t="n">
        <v>0.35</v>
      </c>
      <c r="N3015" s="9" t="s">
        <v>20</v>
      </c>
    </row>
    <row r="3016" customFormat="false" ht="14.25" hidden="false" customHeight="true" outlineLevel="0" collapsed="false">
      <c r="B3016" s="9" t="s">
        <v>16</v>
      </c>
      <c r="C3016" s="9" t="n">
        <v>1185732</v>
      </c>
      <c r="D3016" s="10" t="n">
        <v>44538</v>
      </c>
      <c r="E3016" s="9" t="s">
        <v>38</v>
      </c>
      <c r="F3016" s="9" t="s">
        <v>112</v>
      </c>
      <c r="G3016" s="9" t="s">
        <v>113</v>
      </c>
      <c r="H3016" s="11" t="s">
        <v>21</v>
      </c>
      <c r="I3016" s="12" t="n">
        <v>50</v>
      </c>
      <c r="J3016" s="13" t="n">
        <v>300</v>
      </c>
      <c r="K3016" s="14" t="n">
        <f aca="false">I3016*J3016</f>
        <v>15000</v>
      </c>
      <c r="L3016" s="14" t="n">
        <f aca="false">($L$2*M3016)/100</f>
        <v>360499.95</v>
      </c>
      <c r="M3016" s="15" t="n">
        <v>0.3</v>
      </c>
      <c r="N3016" s="9" t="s">
        <v>20</v>
      </c>
    </row>
    <row r="3017" customFormat="false" ht="14.25" hidden="false" customHeight="true" outlineLevel="0" collapsed="false">
      <c r="B3017" s="9" t="s">
        <v>16</v>
      </c>
      <c r="C3017" s="9" t="n">
        <v>1185732</v>
      </c>
      <c r="D3017" s="10" t="n">
        <v>44538</v>
      </c>
      <c r="E3017" s="9" t="s">
        <v>38</v>
      </c>
      <c r="F3017" s="9" t="s">
        <v>112</v>
      </c>
      <c r="G3017" s="9" t="s">
        <v>113</v>
      </c>
      <c r="H3017" s="11" t="s">
        <v>22</v>
      </c>
      <c r="I3017" s="12" t="n">
        <v>50</v>
      </c>
      <c r="J3017" s="13" t="n">
        <v>250</v>
      </c>
      <c r="K3017" s="14" t="n">
        <f aca="false">I3017*J3017</f>
        <v>12500</v>
      </c>
      <c r="L3017" s="14" t="n">
        <f aca="false">($L$2*M3017)/100</f>
        <v>360499.95</v>
      </c>
      <c r="M3017" s="15" t="n">
        <v>0.3</v>
      </c>
      <c r="N3017" s="9" t="s">
        <v>20</v>
      </c>
    </row>
    <row r="3018" customFormat="false" ht="14.25" hidden="false" customHeight="true" outlineLevel="0" collapsed="false">
      <c r="B3018" s="9" t="s">
        <v>16</v>
      </c>
      <c r="C3018" s="9" t="n">
        <v>1185732</v>
      </c>
      <c r="D3018" s="10" t="n">
        <v>44538</v>
      </c>
      <c r="E3018" s="9" t="s">
        <v>38</v>
      </c>
      <c r="F3018" s="9" t="s">
        <v>112</v>
      </c>
      <c r="G3018" s="9" t="s">
        <v>113</v>
      </c>
      <c r="H3018" s="11" t="s">
        <v>23</v>
      </c>
      <c r="I3018" s="12" t="n">
        <v>50</v>
      </c>
      <c r="J3018" s="13" t="n">
        <v>200</v>
      </c>
      <c r="K3018" s="14" t="n">
        <f aca="false">I3018*J3018</f>
        <v>10000</v>
      </c>
      <c r="L3018" s="14" t="n">
        <f aca="false">($L$2*M3018)/100</f>
        <v>360499.95</v>
      </c>
      <c r="M3018" s="15" t="n">
        <v>0.3</v>
      </c>
      <c r="N3018" s="9" t="s">
        <v>20</v>
      </c>
    </row>
    <row r="3019" customFormat="false" ht="14.25" hidden="false" customHeight="true" outlineLevel="0" collapsed="false">
      <c r="B3019" s="9" t="s">
        <v>16</v>
      </c>
      <c r="C3019" s="9" t="n">
        <v>1185732</v>
      </c>
      <c r="D3019" s="10" t="n">
        <v>44538</v>
      </c>
      <c r="E3019" s="9" t="s">
        <v>38</v>
      </c>
      <c r="F3019" s="9" t="s">
        <v>112</v>
      </c>
      <c r="G3019" s="9" t="s">
        <v>113</v>
      </c>
      <c r="H3019" s="11" t="s">
        <v>24</v>
      </c>
      <c r="I3019" s="12" t="n">
        <v>60</v>
      </c>
      <c r="J3019" s="13" t="n">
        <v>200</v>
      </c>
      <c r="K3019" s="14" t="n">
        <f aca="false">I3019*J3019</f>
        <v>12000</v>
      </c>
      <c r="L3019" s="14" t="n">
        <f aca="false">($L$2*M3019)/100</f>
        <v>420583.275</v>
      </c>
      <c r="M3019" s="15" t="n">
        <v>0.35</v>
      </c>
      <c r="N3019" s="9" t="s">
        <v>20</v>
      </c>
    </row>
    <row r="3020" customFormat="false" ht="14.25" hidden="false" customHeight="true" outlineLevel="0" collapsed="false">
      <c r="B3020" s="9" t="s">
        <v>16</v>
      </c>
      <c r="C3020" s="9" t="n">
        <v>1185732</v>
      </c>
      <c r="D3020" s="10" t="n">
        <v>44538</v>
      </c>
      <c r="E3020" s="9" t="s">
        <v>38</v>
      </c>
      <c r="F3020" s="9" t="s">
        <v>112</v>
      </c>
      <c r="G3020" s="9" t="s">
        <v>113</v>
      </c>
      <c r="H3020" s="11" t="s">
        <v>25</v>
      </c>
      <c r="I3020" s="12" t="n">
        <v>65</v>
      </c>
      <c r="J3020" s="13" t="n">
        <v>300</v>
      </c>
      <c r="K3020" s="14" t="n">
        <f aca="false">I3020*J3020</f>
        <v>19500</v>
      </c>
      <c r="L3020" s="14" t="n">
        <f aca="false">($L$2*M3020)/100</f>
        <v>480666.6</v>
      </c>
      <c r="M3020" s="15" t="n">
        <v>0.4</v>
      </c>
      <c r="N3020" s="9" t="s">
        <v>20</v>
      </c>
    </row>
    <row r="3021" customFormat="false" ht="14.25" hidden="false" customHeight="true" outlineLevel="0" collapsed="false">
      <c r="B3021" s="9" t="s">
        <v>16</v>
      </c>
      <c r="C3021" s="9" t="n">
        <v>1185732</v>
      </c>
      <c r="D3021" s="10" t="n">
        <v>44202</v>
      </c>
      <c r="E3021" s="9" t="s">
        <v>38</v>
      </c>
      <c r="F3021" s="9" t="s">
        <v>112</v>
      </c>
      <c r="G3021" s="9" t="s">
        <v>113</v>
      </c>
      <c r="H3021" s="11" t="s">
        <v>19</v>
      </c>
      <c r="I3021" s="12" t="n">
        <v>30</v>
      </c>
      <c r="J3021" s="13" t="n">
        <v>450</v>
      </c>
      <c r="K3021" s="14" t="n">
        <f aca="false">I3021*J3021</f>
        <v>13500</v>
      </c>
      <c r="L3021" s="14" t="n">
        <f aca="false">($L$2*M3021)/100</f>
        <v>360499.95</v>
      </c>
      <c r="M3021" s="15" t="n">
        <v>0.3</v>
      </c>
      <c r="N3021" s="9" t="s">
        <v>20</v>
      </c>
    </row>
    <row r="3022" customFormat="false" ht="14.25" hidden="false" customHeight="true" outlineLevel="0" collapsed="false">
      <c r="B3022" s="9" t="s">
        <v>16</v>
      </c>
      <c r="C3022" s="9" t="n">
        <v>1185732</v>
      </c>
      <c r="D3022" s="10" t="n">
        <v>44202</v>
      </c>
      <c r="E3022" s="9" t="s">
        <v>38</v>
      </c>
      <c r="F3022" s="9" t="s">
        <v>112</v>
      </c>
      <c r="G3022" s="9" t="s">
        <v>113</v>
      </c>
      <c r="H3022" s="11" t="s">
        <v>21</v>
      </c>
      <c r="I3022" s="12" t="n">
        <v>30</v>
      </c>
      <c r="J3022" s="13" t="n">
        <v>250</v>
      </c>
      <c r="K3022" s="14" t="n">
        <f aca="false">I3022*J3022</f>
        <v>7500</v>
      </c>
      <c r="L3022" s="14" t="n">
        <f aca="false">($L$2*M3022)/100</f>
        <v>420583.275</v>
      </c>
      <c r="M3022" s="15" t="n">
        <v>0.35</v>
      </c>
      <c r="N3022" s="9" t="s">
        <v>20</v>
      </c>
    </row>
    <row r="3023" customFormat="false" ht="14.25" hidden="false" customHeight="true" outlineLevel="0" collapsed="false">
      <c r="B3023" s="9" t="s">
        <v>16</v>
      </c>
      <c r="C3023" s="9" t="n">
        <v>1185732</v>
      </c>
      <c r="D3023" s="10" t="n">
        <v>44202</v>
      </c>
      <c r="E3023" s="9" t="s">
        <v>38</v>
      </c>
      <c r="F3023" s="9" t="s">
        <v>112</v>
      </c>
      <c r="G3023" s="9" t="s">
        <v>113</v>
      </c>
      <c r="H3023" s="11" t="s">
        <v>22</v>
      </c>
      <c r="I3023" s="12" t="n">
        <v>20</v>
      </c>
      <c r="J3023" s="13" t="n">
        <v>250</v>
      </c>
      <c r="K3023" s="14" t="n">
        <f aca="false">I3023*J3023</f>
        <v>5000</v>
      </c>
      <c r="L3023" s="14" t="n">
        <f aca="false">($L$2*M3023)/100</f>
        <v>360499.95</v>
      </c>
      <c r="M3023" s="15" t="n">
        <v>0.3</v>
      </c>
      <c r="N3023" s="9" t="s">
        <v>20</v>
      </c>
    </row>
    <row r="3024" customFormat="false" ht="14.25" hidden="false" customHeight="true" outlineLevel="0" collapsed="false">
      <c r="B3024" s="9" t="s">
        <v>16</v>
      </c>
      <c r="C3024" s="9" t="n">
        <v>1185732</v>
      </c>
      <c r="D3024" s="10" t="n">
        <v>44202</v>
      </c>
      <c r="E3024" s="9" t="s">
        <v>38</v>
      </c>
      <c r="F3024" s="9" t="s">
        <v>112</v>
      </c>
      <c r="G3024" s="9" t="s">
        <v>113</v>
      </c>
      <c r="H3024" s="11" t="s">
        <v>23</v>
      </c>
      <c r="I3024" s="12" t="n">
        <v>25</v>
      </c>
      <c r="J3024" s="13" t="n">
        <v>100</v>
      </c>
      <c r="K3024" s="14" t="n">
        <f aca="false">I3024*J3024</f>
        <v>2500</v>
      </c>
      <c r="L3024" s="14" t="n">
        <f aca="false">($L$2*M3024)/100</f>
        <v>360499.95</v>
      </c>
      <c r="M3024" s="15" t="n">
        <v>0.3</v>
      </c>
      <c r="N3024" s="9" t="s">
        <v>20</v>
      </c>
    </row>
    <row r="3025" customFormat="false" ht="14.25" hidden="false" customHeight="true" outlineLevel="0" collapsed="false">
      <c r="B3025" s="9" t="s">
        <v>16</v>
      </c>
      <c r="C3025" s="9" t="n">
        <v>1185732</v>
      </c>
      <c r="D3025" s="10" t="n">
        <v>44202</v>
      </c>
      <c r="E3025" s="9" t="s">
        <v>38</v>
      </c>
      <c r="F3025" s="9" t="s">
        <v>112</v>
      </c>
      <c r="G3025" s="9" t="s">
        <v>113</v>
      </c>
      <c r="H3025" s="11" t="s">
        <v>24</v>
      </c>
      <c r="I3025" s="12" t="n">
        <v>40</v>
      </c>
      <c r="J3025" s="13" t="n">
        <v>150</v>
      </c>
      <c r="K3025" s="14" t="n">
        <f aca="false">I3025*J3025</f>
        <v>6000</v>
      </c>
      <c r="L3025" s="14" t="n">
        <f aca="false">($L$2*M3025)/100</f>
        <v>600833.25</v>
      </c>
      <c r="M3025" s="15" t="n">
        <v>0.5</v>
      </c>
      <c r="N3025" s="9" t="s">
        <v>20</v>
      </c>
    </row>
    <row r="3026" customFormat="false" ht="14.25" hidden="false" customHeight="true" outlineLevel="0" collapsed="false">
      <c r="B3026" s="9" t="s">
        <v>16</v>
      </c>
      <c r="C3026" s="9" t="n">
        <v>1185732</v>
      </c>
      <c r="D3026" s="10" t="n">
        <v>44202</v>
      </c>
      <c r="E3026" s="9" t="s">
        <v>38</v>
      </c>
      <c r="F3026" s="9" t="s">
        <v>112</v>
      </c>
      <c r="G3026" s="9" t="s">
        <v>113</v>
      </c>
      <c r="H3026" s="11" t="s">
        <v>25</v>
      </c>
      <c r="I3026" s="12" t="n">
        <v>30</v>
      </c>
      <c r="J3026" s="13" t="n">
        <v>250</v>
      </c>
      <c r="K3026" s="14" t="n">
        <f aca="false">I3026*J3026</f>
        <v>7500</v>
      </c>
      <c r="L3026" s="14" t="n">
        <f aca="false">($L$2*M3026)/100</f>
        <v>480666.6</v>
      </c>
      <c r="M3026" s="15" t="n">
        <v>0.4</v>
      </c>
      <c r="N3026" s="9" t="s">
        <v>20</v>
      </c>
    </row>
    <row r="3027" customFormat="false" ht="14.25" hidden="false" customHeight="true" outlineLevel="0" collapsed="false">
      <c r="B3027" s="9" t="s">
        <v>16</v>
      </c>
      <c r="C3027" s="9" t="n">
        <v>1185732</v>
      </c>
      <c r="D3027" s="10" t="n">
        <v>44233</v>
      </c>
      <c r="E3027" s="9" t="s">
        <v>38</v>
      </c>
      <c r="F3027" s="9" t="s">
        <v>112</v>
      </c>
      <c r="G3027" s="9" t="s">
        <v>113</v>
      </c>
      <c r="H3027" s="11" t="s">
        <v>19</v>
      </c>
      <c r="I3027" s="12" t="n">
        <v>30</v>
      </c>
      <c r="J3027" s="13" t="n">
        <v>500</v>
      </c>
      <c r="K3027" s="14" t="n">
        <f aca="false">I3027*J3027</f>
        <v>15000</v>
      </c>
      <c r="L3027" s="14" t="n">
        <f aca="false">($L$2*M3027)/100</f>
        <v>360499.95</v>
      </c>
      <c r="M3027" s="15" t="n">
        <v>0.3</v>
      </c>
      <c r="N3027" s="9" t="s">
        <v>20</v>
      </c>
    </row>
    <row r="3028" customFormat="false" ht="14.25" hidden="false" customHeight="true" outlineLevel="0" collapsed="false">
      <c r="B3028" s="9" t="s">
        <v>16</v>
      </c>
      <c r="C3028" s="9" t="n">
        <v>1185732</v>
      </c>
      <c r="D3028" s="10" t="n">
        <v>44233</v>
      </c>
      <c r="E3028" s="9" t="s">
        <v>38</v>
      </c>
      <c r="F3028" s="9" t="s">
        <v>112</v>
      </c>
      <c r="G3028" s="9" t="s">
        <v>113</v>
      </c>
      <c r="H3028" s="11" t="s">
        <v>21</v>
      </c>
      <c r="I3028" s="12" t="n">
        <v>30</v>
      </c>
      <c r="J3028" s="13" t="n">
        <v>150</v>
      </c>
      <c r="K3028" s="14" t="n">
        <f aca="false">I3028*J3028</f>
        <v>4500</v>
      </c>
      <c r="L3028" s="14" t="n">
        <f aca="false">($L$2*M3028)/100</f>
        <v>420583.275</v>
      </c>
      <c r="M3028" s="15" t="n">
        <v>0.35</v>
      </c>
      <c r="N3028" s="9" t="s">
        <v>20</v>
      </c>
    </row>
    <row r="3029" customFormat="false" ht="14.25" hidden="false" customHeight="true" outlineLevel="0" collapsed="false">
      <c r="B3029" s="9" t="s">
        <v>16</v>
      </c>
      <c r="C3029" s="9" t="n">
        <v>1185732</v>
      </c>
      <c r="D3029" s="10" t="n">
        <v>44233</v>
      </c>
      <c r="E3029" s="9" t="s">
        <v>38</v>
      </c>
      <c r="F3029" s="9" t="s">
        <v>112</v>
      </c>
      <c r="G3029" s="9" t="s">
        <v>113</v>
      </c>
      <c r="H3029" s="11" t="s">
        <v>22</v>
      </c>
      <c r="I3029" s="12" t="n">
        <v>20</v>
      </c>
      <c r="J3029" s="13" t="n">
        <v>200</v>
      </c>
      <c r="K3029" s="14" t="n">
        <f aca="false">I3029*J3029</f>
        <v>4000</v>
      </c>
      <c r="L3029" s="14" t="n">
        <f aca="false">($L$2*M3029)/100</f>
        <v>360499.95</v>
      </c>
      <c r="M3029" s="15" t="n">
        <v>0.3</v>
      </c>
      <c r="N3029" s="9" t="s">
        <v>20</v>
      </c>
    </row>
    <row r="3030" customFormat="false" ht="14.25" hidden="false" customHeight="true" outlineLevel="0" collapsed="false">
      <c r="B3030" s="9" t="s">
        <v>16</v>
      </c>
      <c r="C3030" s="9" t="n">
        <v>1185732</v>
      </c>
      <c r="D3030" s="10" t="n">
        <v>44233</v>
      </c>
      <c r="E3030" s="9" t="s">
        <v>38</v>
      </c>
      <c r="F3030" s="9" t="s">
        <v>114</v>
      </c>
      <c r="G3030" s="9" t="s">
        <v>115</v>
      </c>
      <c r="H3030" s="11" t="s">
        <v>23</v>
      </c>
      <c r="I3030" s="12" t="n">
        <v>25</v>
      </c>
      <c r="J3030" s="13" t="n">
        <v>75</v>
      </c>
      <c r="K3030" s="14" t="n">
        <f aca="false">I3030*J3030</f>
        <v>1875</v>
      </c>
      <c r="L3030" s="14" t="n">
        <f aca="false">($L$2*M3030)/100</f>
        <v>360499.95</v>
      </c>
      <c r="M3030" s="15" t="n">
        <v>0.3</v>
      </c>
      <c r="N3030" s="9" t="s">
        <v>20</v>
      </c>
    </row>
    <row r="3031" customFormat="false" ht="14.25" hidden="false" customHeight="true" outlineLevel="0" collapsed="false">
      <c r="B3031" s="9" t="s">
        <v>16</v>
      </c>
      <c r="C3031" s="9" t="n">
        <v>1185732</v>
      </c>
      <c r="D3031" s="10" t="n">
        <v>44233</v>
      </c>
      <c r="E3031" s="9" t="s">
        <v>38</v>
      </c>
      <c r="F3031" s="9" t="s">
        <v>114</v>
      </c>
      <c r="G3031" s="9" t="s">
        <v>115</v>
      </c>
      <c r="H3031" s="11" t="s">
        <v>24</v>
      </c>
      <c r="I3031" s="12" t="n">
        <v>40</v>
      </c>
      <c r="J3031" s="13" t="n">
        <v>150</v>
      </c>
      <c r="K3031" s="14" t="n">
        <f aca="false">I3031*J3031</f>
        <v>6000</v>
      </c>
      <c r="L3031" s="14" t="n">
        <f aca="false">($L$2*M3031)/100</f>
        <v>600833.25</v>
      </c>
      <c r="M3031" s="15" t="n">
        <v>0.5</v>
      </c>
      <c r="N3031" s="9" t="s">
        <v>20</v>
      </c>
    </row>
    <row r="3032" customFormat="false" ht="14.25" hidden="false" customHeight="true" outlineLevel="0" collapsed="false">
      <c r="B3032" s="9" t="s">
        <v>16</v>
      </c>
      <c r="C3032" s="9" t="n">
        <v>1185732</v>
      </c>
      <c r="D3032" s="10" t="n">
        <v>44233</v>
      </c>
      <c r="E3032" s="9" t="s">
        <v>38</v>
      </c>
      <c r="F3032" s="9" t="s">
        <v>114</v>
      </c>
      <c r="G3032" s="9" t="s">
        <v>115</v>
      </c>
      <c r="H3032" s="11" t="s">
        <v>25</v>
      </c>
      <c r="I3032" s="12" t="n">
        <v>15</v>
      </c>
      <c r="J3032" s="13" t="n">
        <v>250</v>
      </c>
      <c r="K3032" s="14" t="n">
        <f aca="false">I3032*J3032</f>
        <v>3750</v>
      </c>
      <c r="L3032" s="14" t="n">
        <f aca="false">($L$2*M3032)/100</f>
        <v>480666.6</v>
      </c>
      <c r="M3032" s="15" t="n">
        <v>0.4</v>
      </c>
      <c r="N3032" s="9" t="s">
        <v>20</v>
      </c>
    </row>
    <row r="3033" customFormat="false" ht="14.25" hidden="false" customHeight="true" outlineLevel="0" collapsed="false">
      <c r="B3033" s="9" t="s">
        <v>16</v>
      </c>
      <c r="C3033" s="9" t="n">
        <v>1185732</v>
      </c>
      <c r="D3033" s="10" t="n">
        <v>44260</v>
      </c>
      <c r="E3033" s="9" t="s">
        <v>38</v>
      </c>
      <c r="F3033" s="9" t="s">
        <v>114</v>
      </c>
      <c r="G3033" s="9" t="s">
        <v>115</v>
      </c>
      <c r="H3033" s="11" t="s">
        <v>19</v>
      </c>
      <c r="I3033" s="12" t="n">
        <v>20</v>
      </c>
      <c r="J3033" s="13" t="n">
        <v>470</v>
      </c>
      <c r="K3033" s="14" t="n">
        <f aca="false">I3033*J3033</f>
        <v>9400</v>
      </c>
      <c r="L3033" s="14" t="n">
        <f aca="false">($L$2*M3033)/100</f>
        <v>360499.95</v>
      </c>
      <c r="M3033" s="15" t="n">
        <v>0.3</v>
      </c>
      <c r="N3033" s="9" t="s">
        <v>20</v>
      </c>
    </row>
    <row r="3034" customFormat="false" ht="14.25" hidden="false" customHeight="true" outlineLevel="0" collapsed="false">
      <c r="B3034" s="9" t="s">
        <v>16</v>
      </c>
      <c r="C3034" s="9" t="n">
        <v>1185732</v>
      </c>
      <c r="D3034" s="10" t="n">
        <v>44260</v>
      </c>
      <c r="E3034" s="9" t="s">
        <v>38</v>
      </c>
      <c r="F3034" s="9" t="s">
        <v>114</v>
      </c>
      <c r="G3034" s="9" t="s">
        <v>115</v>
      </c>
      <c r="H3034" s="11" t="s">
        <v>21</v>
      </c>
      <c r="I3034" s="12" t="n">
        <v>20</v>
      </c>
      <c r="J3034" s="13" t="n">
        <v>175</v>
      </c>
      <c r="K3034" s="14" t="n">
        <f aca="false">I3034*J3034</f>
        <v>3500</v>
      </c>
      <c r="L3034" s="14" t="n">
        <f aca="false">($L$2*M3034)/100</f>
        <v>420583.275</v>
      </c>
      <c r="M3034" s="15" t="n">
        <v>0.35</v>
      </c>
      <c r="N3034" s="9" t="s">
        <v>20</v>
      </c>
    </row>
    <row r="3035" customFormat="false" ht="14.25" hidden="false" customHeight="true" outlineLevel="0" collapsed="false">
      <c r="B3035" s="9" t="s">
        <v>16</v>
      </c>
      <c r="C3035" s="9" t="n">
        <v>1185732</v>
      </c>
      <c r="D3035" s="10" t="n">
        <v>44260</v>
      </c>
      <c r="E3035" s="9" t="s">
        <v>38</v>
      </c>
      <c r="F3035" s="9" t="s">
        <v>114</v>
      </c>
      <c r="G3035" s="9" t="s">
        <v>115</v>
      </c>
      <c r="H3035" s="11" t="s">
        <v>22</v>
      </c>
      <c r="I3035" s="12" t="n">
        <v>10</v>
      </c>
      <c r="J3035" s="13" t="n">
        <v>225</v>
      </c>
      <c r="K3035" s="14" t="n">
        <f aca="false">I3035*J3035</f>
        <v>2250</v>
      </c>
      <c r="L3035" s="14" t="n">
        <f aca="false">($L$2*M3035)/100</f>
        <v>360499.95</v>
      </c>
      <c r="M3035" s="15" t="n">
        <v>0.3</v>
      </c>
      <c r="N3035" s="9" t="s">
        <v>20</v>
      </c>
    </row>
    <row r="3036" customFormat="false" ht="14.25" hidden="false" customHeight="true" outlineLevel="0" collapsed="false">
      <c r="B3036" s="9" t="s">
        <v>16</v>
      </c>
      <c r="C3036" s="9" t="n">
        <v>1185732</v>
      </c>
      <c r="D3036" s="10" t="n">
        <v>44260</v>
      </c>
      <c r="E3036" s="9" t="s">
        <v>38</v>
      </c>
      <c r="F3036" s="9" t="s">
        <v>114</v>
      </c>
      <c r="G3036" s="9" t="s">
        <v>115</v>
      </c>
      <c r="H3036" s="11" t="s">
        <v>23</v>
      </c>
      <c r="I3036" s="12" t="n">
        <v>15</v>
      </c>
      <c r="J3036" s="13" t="n">
        <v>100</v>
      </c>
      <c r="K3036" s="14" t="n">
        <f aca="false">I3036*J3036</f>
        <v>1500</v>
      </c>
      <c r="L3036" s="14" t="n">
        <f aca="false">($L$2*M3036)/100</f>
        <v>360499.95</v>
      </c>
      <c r="M3036" s="15" t="n">
        <v>0.3</v>
      </c>
      <c r="N3036" s="9" t="s">
        <v>20</v>
      </c>
    </row>
    <row r="3037" customFormat="false" ht="14.25" hidden="false" customHeight="true" outlineLevel="0" collapsed="false">
      <c r="B3037" s="9" t="s">
        <v>16</v>
      </c>
      <c r="C3037" s="9" t="n">
        <v>1185732</v>
      </c>
      <c r="D3037" s="10" t="n">
        <v>44260</v>
      </c>
      <c r="E3037" s="9" t="s">
        <v>38</v>
      </c>
      <c r="F3037" s="9" t="s">
        <v>114</v>
      </c>
      <c r="G3037" s="9" t="s">
        <v>115</v>
      </c>
      <c r="H3037" s="11" t="s">
        <v>24</v>
      </c>
      <c r="I3037" s="12" t="n">
        <v>30</v>
      </c>
      <c r="J3037" s="13" t="n">
        <v>150</v>
      </c>
      <c r="K3037" s="14" t="n">
        <f aca="false">I3037*J3037</f>
        <v>4500</v>
      </c>
      <c r="L3037" s="14" t="n">
        <f aca="false">($L$2*M3037)/100</f>
        <v>600833.25</v>
      </c>
      <c r="M3037" s="15" t="n">
        <v>0.5</v>
      </c>
      <c r="N3037" s="9" t="s">
        <v>20</v>
      </c>
    </row>
    <row r="3038" customFormat="false" ht="14.25" hidden="false" customHeight="true" outlineLevel="0" collapsed="false">
      <c r="B3038" s="9" t="s">
        <v>16</v>
      </c>
      <c r="C3038" s="9" t="n">
        <v>1185732</v>
      </c>
      <c r="D3038" s="10" t="n">
        <v>44260</v>
      </c>
      <c r="E3038" s="9" t="s">
        <v>38</v>
      </c>
      <c r="F3038" s="9" t="s">
        <v>114</v>
      </c>
      <c r="G3038" s="9" t="s">
        <v>115</v>
      </c>
      <c r="H3038" s="11" t="s">
        <v>25</v>
      </c>
      <c r="I3038" s="12" t="n">
        <v>20</v>
      </c>
      <c r="J3038" s="13" t="n">
        <v>250</v>
      </c>
      <c r="K3038" s="14" t="n">
        <f aca="false">I3038*J3038</f>
        <v>5000</v>
      </c>
      <c r="L3038" s="14" t="n">
        <f aca="false">($L$2*M3038)/100</f>
        <v>480666.6</v>
      </c>
      <c r="M3038" s="15" t="n">
        <v>0.4</v>
      </c>
      <c r="N3038" s="9" t="s">
        <v>20</v>
      </c>
    </row>
    <row r="3039" customFormat="false" ht="14.25" hidden="false" customHeight="true" outlineLevel="0" collapsed="false">
      <c r="B3039" s="9" t="s">
        <v>16</v>
      </c>
      <c r="C3039" s="9" t="n">
        <v>1185732</v>
      </c>
      <c r="D3039" s="10" t="n">
        <v>44292</v>
      </c>
      <c r="E3039" s="9" t="s">
        <v>38</v>
      </c>
      <c r="F3039" s="9" t="s">
        <v>114</v>
      </c>
      <c r="G3039" s="9" t="s">
        <v>115</v>
      </c>
      <c r="H3039" s="11" t="s">
        <v>19</v>
      </c>
      <c r="I3039" s="12" t="n">
        <v>20</v>
      </c>
      <c r="J3039" s="13" t="n">
        <v>475</v>
      </c>
      <c r="K3039" s="14" t="n">
        <f aca="false">I3039*J3039</f>
        <v>9500</v>
      </c>
      <c r="L3039" s="14" t="n">
        <f aca="false">($L$2*M3039)/100</f>
        <v>360499.95</v>
      </c>
      <c r="M3039" s="15" t="n">
        <v>0.3</v>
      </c>
      <c r="N3039" s="9" t="s">
        <v>20</v>
      </c>
    </row>
    <row r="3040" customFormat="false" ht="14.25" hidden="false" customHeight="true" outlineLevel="0" collapsed="false">
      <c r="B3040" s="9" t="s">
        <v>16</v>
      </c>
      <c r="C3040" s="9" t="n">
        <v>1185732</v>
      </c>
      <c r="D3040" s="10" t="n">
        <v>44292</v>
      </c>
      <c r="E3040" s="9" t="s">
        <v>38</v>
      </c>
      <c r="F3040" s="9" t="s">
        <v>114</v>
      </c>
      <c r="G3040" s="9" t="s">
        <v>115</v>
      </c>
      <c r="H3040" s="11" t="s">
        <v>21</v>
      </c>
      <c r="I3040" s="12" t="n">
        <v>20</v>
      </c>
      <c r="J3040" s="13" t="n">
        <v>175</v>
      </c>
      <c r="K3040" s="14" t="n">
        <f aca="false">I3040*J3040</f>
        <v>3500</v>
      </c>
      <c r="L3040" s="14" t="n">
        <f aca="false">($L$2*M3040)/100</f>
        <v>420583.275</v>
      </c>
      <c r="M3040" s="15" t="n">
        <v>0.35</v>
      </c>
      <c r="N3040" s="9" t="s">
        <v>20</v>
      </c>
    </row>
    <row r="3041" customFormat="false" ht="14.25" hidden="false" customHeight="true" outlineLevel="0" collapsed="false">
      <c r="B3041" s="9" t="s">
        <v>16</v>
      </c>
      <c r="C3041" s="9" t="n">
        <v>1185732</v>
      </c>
      <c r="D3041" s="10" t="n">
        <v>44292</v>
      </c>
      <c r="E3041" s="9" t="s">
        <v>38</v>
      </c>
      <c r="F3041" s="9" t="s">
        <v>114</v>
      </c>
      <c r="G3041" s="9" t="s">
        <v>115</v>
      </c>
      <c r="H3041" s="11" t="s">
        <v>22</v>
      </c>
      <c r="I3041" s="12" t="n">
        <v>10</v>
      </c>
      <c r="J3041" s="13" t="n">
        <v>175</v>
      </c>
      <c r="K3041" s="14" t="n">
        <f aca="false">I3041*J3041</f>
        <v>1750</v>
      </c>
      <c r="L3041" s="14" t="n">
        <f aca="false">($L$2*M3041)/100</f>
        <v>360499.95</v>
      </c>
      <c r="M3041" s="15" t="n">
        <v>0.3</v>
      </c>
      <c r="N3041" s="9" t="s">
        <v>20</v>
      </c>
    </row>
    <row r="3042" customFormat="false" ht="14.25" hidden="false" customHeight="true" outlineLevel="0" collapsed="false">
      <c r="B3042" s="9" t="s">
        <v>16</v>
      </c>
      <c r="C3042" s="9" t="n">
        <v>1185732</v>
      </c>
      <c r="D3042" s="10" t="n">
        <v>44292</v>
      </c>
      <c r="E3042" s="9" t="s">
        <v>38</v>
      </c>
      <c r="F3042" s="9" t="s">
        <v>114</v>
      </c>
      <c r="G3042" s="9" t="s">
        <v>115</v>
      </c>
      <c r="H3042" s="11" t="s">
        <v>23</v>
      </c>
      <c r="I3042" s="12" t="n">
        <v>15</v>
      </c>
      <c r="J3042" s="13" t="n">
        <v>100</v>
      </c>
      <c r="K3042" s="14" t="n">
        <f aca="false">I3042*J3042</f>
        <v>1500</v>
      </c>
      <c r="L3042" s="14" t="n">
        <f aca="false">($L$2*M3042)/100</f>
        <v>360499.95</v>
      </c>
      <c r="M3042" s="15" t="n">
        <v>0.3</v>
      </c>
      <c r="N3042" s="9" t="s">
        <v>20</v>
      </c>
    </row>
    <row r="3043" customFormat="false" ht="14.25" hidden="false" customHeight="true" outlineLevel="0" collapsed="false">
      <c r="B3043" s="9" t="s">
        <v>16</v>
      </c>
      <c r="C3043" s="9" t="n">
        <v>1185732</v>
      </c>
      <c r="D3043" s="10" t="n">
        <v>44292</v>
      </c>
      <c r="E3043" s="9" t="s">
        <v>38</v>
      </c>
      <c r="F3043" s="9" t="s">
        <v>114</v>
      </c>
      <c r="G3043" s="9" t="s">
        <v>115</v>
      </c>
      <c r="H3043" s="11" t="s">
        <v>24</v>
      </c>
      <c r="I3043" s="12" t="n">
        <v>60</v>
      </c>
      <c r="J3043" s="13" t="n">
        <v>125</v>
      </c>
      <c r="K3043" s="14" t="n">
        <f aca="false">I3043*J3043</f>
        <v>7500</v>
      </c>
      <c r="L3043" s="14" t="n">
        <f aca="false">($L$2*M3043)/100</f>
        <v>600833.25</v>
      </c>
      <c r="M3043" s="15" t="n">
        <v>0.5</v>
      </c>
      <c r="N3043" s="9" t="s">
        <v>20</v>
      </c>
    </row>
    <row r="3044" customFormat="false" ht="14.25" hidden="false" customHeight="true" outlineLevel="0" collapsed="false">
      <c r="B3044" s="9" t="s">
        <v>16</v>
      </c>
      <c r="C3044" s="9" t="n">
        <v>1185732</v>
      </c>
      <c r="D3044" s="10" t="n">
        <v>44292</v>
      </c>
      <c r="E3044" s="9" t="s">
        <v>38</v>
      </c>
      <c r="F3044" s="9" t="s">
        <v>114</v>
      </c>
      <c r="G3044" s="9" t="s">
        <v>115</v>
      </c>
      <c r="H3044" s="11" t="s">
        <v>25</v>
      </c>
      <c r="I3044" s="12" t="n">
        <v>50</v>
      </c>
      <c r="J3044" s="13" t="n">
        <v>250</v>
      </c>
      <c r="K3044" s="14" t="n">
        <f aca="false">I3044*J3044</f>
        <v>12500</v>
      </c>
      <c r="L3044" s="14" t="n">
        <f aca="false">($L$2*M3044)/100</f>
        <v>480666.6</v>
      </c>
      <c r="M3044" s="15" t="n">
        <v>0.4</v>
      </c>
      <c r="N3044" s="9" t="s">
        <v>20</v>
      </c>
    </row>
    <row r="3045" customFormat="false" ht="14.25" hidden="false" customHeight="true" outlineLevel="0" collapsed="false">
      <c r="B3045" s="9" t="s">
        <v>16</v>
      </c>
      <c r="C3045" s="9" t="n">
        <v>1185732</v>
      </c>
      <c r="D3045" s="10" t="n">
        <v>44323</v>
      </c>
      <c r="E3045" s="9" t="s">
        <v>38</v>
      </c>
      <c r="F3045" s="9" t="s">
        <v>114</v>
      </c>
      <c r="G3045" s="9" t="s">
        <v>115</v>
      </c>
      <c r="H3045" s="11" t="s">
        <v>19</v>
      </c>
      <c r="I3045" s="12" t="n">
        <v>60</v>
      </c>
      <c r="J3045" s="13" t="n">
        <v>520</v>
      </c>
      <c r="K3045" s="14" t="n">
        <f aca="false">I3045*J3045</f>
        <v>31200</v>
      </c>
      <c r="L3045" s="14" t="n">
        <f aca="false">($L$2*M3045)/100</f>
        <v>360499.95</v>
      </c>
      <c r="M3045" s="15" t="n">
        <v>0.3</v>
      </c>
      <c r="N3045" s="9" t="s">
        <v>20</v>
      </c>
    </row>
    <row r="3046" customFormat="false" ht="14.25" hidden="false" customHeight="true" outlineLevel="0" collapsed="false">
      <c r="B3046" s="9" t="s">
        <v>16</v>
      </c>
      <c r="C3046" s="9" t="n">
        <v>1185732</v>
      </c>
      <c r="D3046" s="10" t="n">
        <v>44323</v>
      </c>
      <c r="E3046" s="9" t="s">
        <v>38</v>
      </c>
      <c r="F3046" s="9" t="s">
        <v>114</v>
      </c>
      <c r="G3046" s="9" t="s">
        <v>115</v>
      </c>
      <c r="H3046" s="11" t="s">
        <v>21</v>
      </c>
      <c r="I3046" s="12" t="n">
        <v>40</v>
      </c>
      <c r="J3046" s="13" t="n">
        <v>225</v>
      </c>
      <c r="K3046" s="14" t="n">
        <f aca="false">I3046*J3046</f>
        <v>9000</v>
      </c>
      <c r="L3046" s="14" t="n">
        <f aca="false">($L$2*M3046)/100</f>
        <v>420583.275</v>
      </c>
      <c r="M3046" s="15" t="n">
        <v>0.35</v>
      </c>
      <c r="N3046" s="9" t="s">
        <v>20</v>
      </c>
    </row>
    <row r="3047" customFormat="false" ht="14.25" hidden="false" customHeight="true" outlineLevel="0" collapsed="false">
      <c r="B3047" s="9" t="s">
        <v>16</v>
      </c>
      <c r="C3047" s="9" t="n">
        <v>1185732</v>
      </c>
      <c r="D3047" s="10" t="n">
        <v>44323</v>
      </c>
      <c r="E3047" s="9" t="s">
        <v>38</v>
      </c>
      <c r="F3047" s="9" t="s">
        <v>114</v>
      </c>
      <c r="G3047" s="9" t="s">
        <v>115</v>
      </c>
      <c r="H3047" s="11" t="s">
        <v>22</v>
      </c>
      <c r="I3047" s="12" t="n">
        <v>35</v>
      </c>
      <c r="J3047" s="13" t="n">
        <v>200</v>
      </c>
      <c r="K3047" s="14" t="n">
        <f aca="false">I3047*J3047</f>
        <v>7000</v>
      </c>
      <c r="L3047" s="14" t="n">
        <f aca="false">($L$2*M3047)/100</f>
        <v>360499.95</v>
      </c>
      <c r="M3047" s="15" t="n">
        <v>0.3</v>
      </c>
      <c r="N3047" s="9" t="s">
        <v>20</v>
      </c>
    </row>
    <row r="3048" customFormat="false" ht="14.25" hidden="false" customHeight="true" outlineLevel="0" collapsed="false">
      <c r="B3048" s="9" t="s">
        <v>16</v>
      </c>
      <c r="C3048" s="9" t="n">
        <v>1185732</v>
      </c>
      <c r="D3048" s="10" t="n">
        <v>44323</v>
      </c>
      <c r="E3048" s="9" t="s">
        <v>38</v>
      </c>
      <c r="F3048" s="9" t="s">
        <v>114</v>
      </c>
      <c r="G3048" s="9" t="s">
        <v>115</v>
      </c>
      <c r="H3048" s="11" t="s">
        <v>23</v>
      </c>
      <c r="I3048" s="12" t="n">
        <v>35</v>
      </c>
      <c r="J3048" s="13" t="n">
        <v>125</v>
      </c>
      <c r="K3048" s="14" t="n">
        <f aca="false">I3048*J3048</f>
        <v>4375</v>
      </c>
      <c r="L3048" s="14" t="n">
        <f aca="false">($L$2*M3048)/100</f>
        <v>360499.95</v>
      </c>
      <c r="M3048" s="15" t="n">
        <v>0.3</v>
      </c>
      <c r="N3048" s="9" t="s">
        <v>20</v>
      </c>
    </row>
    <row r="3049" customFormat="false" ht="14.25" hidden="false" customHeight="true" outlineLevel="0" collapsed="false">
      <c r="B3049" s="9" t="s">
        <v>16</v>
      </c>
      <c r="C3049" s="9" t="n">
        <v>1185732</v>
      </c>
      <c r="D3049" s="10" t="n">
        <v>44323</v>
      </c>
      <c r="E3049" s="9" t="s">
        <v>38</v>
      </c>
      <c r="F3049" s="9" t="s">
        <v>114</v>
      </c>
      <c r="G3049" s="9" t="s">
        <v>115</v>
      </c>
      <c r="H3049" s="11" t="s">
        <v>24</v>
      </c>
      <c r="I3049" s="12" t="n">
        <v>45</v>
      </c>
      <c r="J3049" s="13" t="n">
        <v>150</v>
      </c>
      <c r="K3049" s="14" t="n">
        <f aca="false">I3049*J3049</f>
        <v>6750</v>
      </c>
      <c r="L3049" s="14" t="n">
        <f aca="false">($L$2*M3049)/100</f>
        <v>600833.25</v>
      </c>
      <c r="M3049" s="15" t="n">
        <v>0.5</v>
      </c>
      <c r="N3049" s="9" t="s">
        <v>20</v>
      </c>
    </row>
    <row r="3050" customFormat="false" ht="14.25" hidden="false" customHeight="true" outlineLevel="0" collapsed="false">
      <c r="B3050" s="9" t="s">
        <v>16</v>
      </c>
      <c r="C3050" s="9" t="n">
        <v>1185732</v>
      </c>
      <c r="D3050" s="10" t="n">
        <v>44323</v>
      </c>
      <c r="E3050" s="9" t="s">
        <v>38</v>
      </c>
      <c r="F3050" s="9" t="s">
        <v>114</v>
      </c>
      <c r="G3050" s="9" t="s">
        <v>115</v>
      </c>
      <c r="H3050" s="11" t="s">
        <v>25</v>
      </c>
      <c r="I3050" s="12" t="n">
        <v>50</v>
      </c>
      <c r="J3050" s="13" t="n">
        <v>275</v>
      </c>
      <c r="K3050" s="14" t="n">
        <f aca="false">I3050*J3050</f>
        <v>13750</v>
      </c>
      <c r="L3050" s="14" t="n">
        <f aca="false">($L$2*M3050)/100</f>
        <v>480666.6</v>
      </c>
      <c r="M3050" s="15" t="n">
        <v>0.4</v>
      </c>
      <c r="N3050" s="9" t="s">
        <v>20</v>
      </c>
    </row>
    <row r="3051" customFormat="false" ht="14.25" hidden="false" customHeight="true" outlineLevel="0" collapsed="false">
      <c r="B3051" s="9" t="s">
        <v>16</v>
      </c>
      <c r="C3051" s="9" t="n">
        <v>1185732</v>
      </c>
      <c r="D3051" s="10" t="n">
        <v>44353</v>
      </c>
      <c r="E3051" s="9" t="s">
        <v>38</v>
      </c>
      <c r="F3051" s="9" t="s">
        <v>114</v>
      </c>
      <c r="G3051" s="9" t="s">
        <v>115</v>
      </c>
      <c r="H3051" s="11" t="s">
        <v>19</v>
      </c>
      <c r="I3051" s="12" t="n">
        <v>35</v>
      </c>
      <c r="J3051" s="13" t="n">
        <v>525</v>
      </c>
      <c r="K3051" s="14" t="n">
        <f aca="false">I3051*J3051</f>
        <v>18375</v>
      </c>
      <c r="L3051" s="14" t="n">
        <f aca="false">($L$2*M3051)/100</f>
        <v>360499.95</v>
      </c>
      <c r="M3051" s="15" t="n">
        <v>0.3</v>
      </c>
      <c r="N3051" s="9" t="s">
        <v>20</v>
      </c>
    </row>
    <row r="3052" customFormat="false" ht="14.25" hidden="false" customHeight="true" outlineLevel="0" collapsed="false">
      <c r="B3052" s="9" t="s">
        <v>16</v>
      </c>
      <c r="C3052" s="9" t="n">
        <v>1185732</v>
      </c>
      <c r="D3052" s="10" t="n">
        <v>44353</v>
      </c>
      <c r="E3052" s="9" t="s">
        <v>38</v>
      </c>
      <c r="F3052" s="9" t="s">
        <v>114</v>
      </c>
      <c r="G3052" s="9" t="s">
        <v>115</v>
      </c>
      <c r="H3052" s="11" t="s">
        <v>21</v>
      </c>
      <c r="I3052" s="12" t="n">
        <v>30</v>
      </c>
      <c r="J3052" s="13" t="n">
        <v>275</v>
      </c>
      <c r="K3052" s="14" t="n">
        <f aca="false">I3052*J3052</f>
        <v>8250</v>
      </c>
      <c r="L3052" s="14" t="n">
        <f aca="false">($L$2*M3052)/100</f>
        <v>420583.275</v>
      </c>
      <c r="M3052" s="15" t="n">
        <v>0.35</v>
      </c>
      <c r="N3052" s="9" t="s">
        <v>20</v>
      </c>
    </row>
    <row r="3053" customFormat="false" ht="14.25" hidden="false" customHeight="true" outlineLevel="0" collapsed="false">
      <c r="B3053" s="9" t="s">
        <v>16</v>
      </c>
      <c r="C3053" s="9" t="n">
        <v>1185732</v>
      </c>
      <c r="D3053" s="10" t="n">
        <v>44353</v>
      </c>
      <c r="E3053" s="9" t="s">
        <v>38</v>
      </c>
      <c r="F3053" s="9" t="s">
        <v>114</v>
      </c>
      <c r="G3053" s="9" t="s">
        <v>115</v>
      </c>
      <c r="H3053" s="11" t="s">
        <v>22</v>
      </c>
      <c r="I3053" s="12" t="n">
        <v>25</v>
      </c>
      <c r="J3053" s="13" t="n">
        <v>200</v>
      </c>
      <c r="K3053" s="14" t="n">
        <f aca="false">I3053*J3053</f>
        <v>5000</v>
      </c>
      <c r="L3053" s="14" t="n">
        <f aca="false">($L$2*M3053)/100</f>
        <v>360499.95</v>
      </c>
      <c r="M3053" s="15" t="n">
        <v>0.3</v>
      </c>
      <c r="N3053" s="9" t="s">
        <v>20</v>
      </c>
    </row>
    <row r="3054" customFormat="false" ht="14.25" hidden="false" customHeight="true" outlineLevel="0" collapsed="false">
      <c r="B3054" s="9" t="s">
        <v>16</v>
      </c>
      <c r="C3054" s="9" t="n">
        <v>1185732</v>
      </c>
      <c r="D3054" s="10" t="n">
        <v>44353</v>
      </c>
      <c r="E3054" s="9" t="s">
        <v>38</v>
      </c>
      <c r="F3054" s="9" t="s">
        <v>114</v>
      </c>
      <c r="G3054" s="9" t="s">
        <v>115</v>
      </c>
      <c r="H3054" s="11" t="s">
        <v>23</v>
      </c>
      <c r="I3054" s="12" t="n">
        <v>25</v>
      </c>
      <c r="J3054" s="13" t="n">
        <v>175</v>
      </c>
      <c r="K3054" s="14" t="n">
        <f aca="false">I3054*J3054</f>
        <v>4375</v>
      </c>
      <c r="L3054" s="14" t="n">
        <f aca="false">($L$2*M3054)/100</f>
        <v>360499.95</v>
      </c>
      <c r="M3054" s="15" t="n">
        <v>0.3</v>
      </c>
      <c r="N3054" s="9" t="s">
        <v>20</v>
      </c>
    </row>
    <row r="3055" customFormat="false" ht="14.25" hidden="false" customHeight="true" outlineLevel="0" collapsed="false">
      <c r="B3055" s="9" t="s">
        <v>16</v>
      </c>
      <c r="C3055" s="9" t="n">
        <v>1185732</v>
      </c>
      <c r="D3055" s="10" t="n">
        <v>44353</v>
      </c>
      <c r="E3055" s="9" t="s">
        <v>38</v>
      </c>
      <c r="F3055" s="9" t="s">
        <v>114</v>
      </c>
      <c r="G3055" s="9" t="s">
        <v>115</v>
      </c>
      <c r="H3055" s="11" t="s">
        <v>24</v>
      </c>
      <c r="I3055" s="12" t="n">
        <v>35</v>
      </c>
      <c r="J3055" s="13" t="n">
        <v>175</v>
      </c>
      <c r="K3055" s="14" t="n">
        <f aca="false">I3055*J3055</f>
        <v>6125</v>
      </c>
      <c r="L3055" s="14" t="n">
        <f aca="false">($L$2*M3055)/100</f>
        <v>600833.25</v>
      </c>
      <c r="M3055" s="15" t="n">
        <v>0.5</v>
      </c>
      <c r="N3055" s="9" t="s">
        <v>20</v>
      </c>
    </row>
    <row r="3056" customFormat="false" ht="14.25" hidden="false" customHeight="true" outlineLevel="0" collapsed="false">
      <c r="B3056" s="9" t="s">
        <v>16</v>
      </c>
      <c r="C3056" s="9" t="n">
        <v>1185732</v>
      </c>
      <c r="D3056" s="10" t="n">
        <v>44353</v>
      </c>
      <c r="E3056" s="9" t="s">
        <v>38</v>
      </c>
      <c r="F3056" s="9" t="s">
        <v>114</v>
      </c>
      <c r="G3056" s="9" t="s">
        <v>115</v>
      </c>
      <c r="H3056" s="11" t="s">
        <v>25</v>
      </c>
      <c r="I3056" s="12" t="n">
        <v>55</v>
      </c>
      <c r="J3056" s="13" t="n">
        <v>325</v>
      </c>
      <c r="K3056" s="14" t="n">
        <f aca="false">I3056*J3056</f>
        <v>17875</v>
      </c>
      <c r="L3056" s="14" t="n">
        <f aca="false">($L$2*M3056)/100</f>
        <v>480666.6</v>
      </c>
      <c r="M3056" s="15" t="n">
        <v>0.4</v>
      </c>
      <c r="N3056" s="9" t="s">
        <v>20</v>
      </c>
    </row>
    <row r="3057" customFormat="false" ht="14.25" hidden="false" customHeight="true" outlineLevel="0" collapsed="false">
      <c r="B3057" s="9" t="s">
        <v>16</v>
      </c>
      <c r="C3057" s="9" t="n">
        <v>1185732</v>
      </c>
      <c r="D3057" s="10" t="n">
        <v>44382</v>
      </c>
      <c r="E3057" s="9" t="s">
        <v>38</v>
      </c>
      <c r="F3057" s="9" t="s">
        <v>114</v>
      </c>
      <c r="G3057" s="9" t="s">
        <v>115</v>
      </c>
      <c r="H3057" s="11" t="s">
        <v>19</v>
      </c>
      <c r="I3057" s="12" t="n">
        <v>50</v>
      </c>
      <c r="J3057" s="13" t="n">
        <v>550</v>
      </c>
      <c r="K3057" s="14" t="n">
        <f aca="false">I3057*J3057</f>
        <v>27500</v>
      </c>
      <c r="L3057" s="14" t="n">
        <f aca="false">($L$2*M3057)/100</f>
        <v>360499.95</v>
      </c>
      <c r="M3057" s="15" t="n">
        <v>0.3</v>
      </c>
      <c r="N3057" s="9" t="s">
        <v>20</v>
      </c>
    </row>
    <row r="3058" customFormat="false" ht="14.25" hidden="false" customHeight="true" outlineLevel="0" collapsed="false">
      <c r="B3058" s="9" t="s">
        <v>16</v>
      </c>
      <c r="C3058" s="9" t="n">
        <v>1185732</v>
      </c>
      <c r="D3058" s="10" t="n">
        <v>44382</v>
      </c>
      <c r="E3058" s="9" t="s">
        <v>38</v>
      </c>
      <c r="F3058" s="9" t="s">
        <v>114</v>
      </c>
      <c r="G3058" s="9" t="s">
        <v>115</v>
      </c>
      <c r="H3058" s="11" t="s">
        <v>21</v>
      </c>
      <c r="I3058" s="12" t="n">
        <v>45</v>
      </c>
      <c r="J3058" s="13" t="n">
        <v>300</v>
      </c>
      <c r="K3058" s="14" t="n">
        <f aca="false">I3058*J3058</f>
        <v>13500</v>
      </c>
      <c r="L3058" s="14" t="n">
        <f aca="false">($L$2*M3058)/100</f>
        <v>420583.275</v>
      </c>
      <c r="M3058" s="15" t="n">
        <v>0.35</v>
      </c>
      <c r="N3058" s="9" t="s">
        <v>20</v>
      </c>
    </row>
    <row r="3059" customFormat="false" ht="14.25" hidden="false" customHeight="true" outlineLevel="0" collapsed="false">
      <c r="B3059" s="9" t="s">
        <v>16</v>
      </c>
      <c r="C3059" s="9" t="n">
        <v>1185732</v>
      </c>
      <c r="D3059" s="10" t="n">
        <v>44382</v>
      </c>
      <c r="E3059" s="9" t="s">
        <v>38</v>
      </c>
      <c r="F3059" s="9" t="s">
        <v>114</v>
      </c>
      <c r="G3059" s="9" t="s">
        <v>115</v>
      </c>
      <c r="H3059" s="11" t="s">
        <v>22</v>
      </c>
      <c r="I3059" s="12" t="n">
        <v>40</v>
      </c>
      <c r="J3059" s="13" t="n">
        <v>225</v>
      </c>
      <c r="K3059" s="14" t="n">
        <f aca="false">I3059*J3059</f>
        <v>9000</v>
      </c>
      <c r="L3059" s="14" t="n">
        <f aca="false">($L$2*M3059)/100</f>
        <v>360499.95</v>
      </c>
      <c r="M3059" s="15" t="n">
        <v>0.3</v>
      </c>
      <c r="N3059" s="9" t="s">
        <v>20</v>
      </c>
    </row>
    <row r="3060" customFormat="false" ht="14.25" hidden="false" customHeight="true" outlineLevel="0" collapsed="false">
      <c r="B3060" s="9" t="s">
        <v>16</v>
      </c>
      <c r="C3060" s="9" t="n">
        <v>1185732</v>
      </c>
      <c r="D3060" s="10" t="n">
        <v>44382</v>
      </c>
      <c r="E3060" s="9" t="s">
        <v>38</v>
      </c>
      <c r="F3060" s="9" t="s">
        <v>114</v>
      </c>
      <c r="G3060" s="9" t="s">
        <v>115</v>
      </c>
      <c r="H3060" s="11" t="s">
        <v>23</v>
      </c>
      <c r="I3060" s="12" t="n">
        <v>40</v>
      </c>
      <c r="J3060" s="13" t="n">
        <v>175</v>
      </c>
      <c r="K3060" s="14" t="n">
        <f aca="false">I3060*J3060</f>
        <v>7000</v>
      </c>
      <c r="L3060" s="14" t="n">
        <f aca="false">($L$2*M3060)/100</f>
        <v>360499.95</v>
      </c>
      <c r="M3060" s="15" t="n">
        <v>0.3</v>
      </c>
      <c r="N3060" s="9" t="s">
        <v>20</v>
      </c>
    </row>
    <row r="3061" customFormat="false" ht="14.25" hidden="false" customHeight="true" outlineLevel="0" collapsed="false">
      <c r="B3061" s="9" t="s">
        <v>16</v>
      </c>
      <c r="C3061" s="9" t="n">
        <v>1185732</v>
      </c>
      <c r="D3061" s="10" t="n">
        <v>44382</v>
      </c>
      <c r="E3061" s="9" t="s">
        <v>38</v>
      </c>
      <c r="F3061" s="9" t="s">
        <v>114</v>
      </c>
      <c r="G3061" s="9" t="s">
        <v>115</v>
      </c>
      <c r="H3061" s="11" t="s">
        <v>24</v>
      </c>
      <c r="I3061" s="12" t="n">
        <v>50</v>
      </c>
      <c r="J3061" s="13" t="n">
        <v>200</v>
      </c>
      <c r="K3061" s="14" t="n">
        <f aca="false">I3061*J3061</f>
        <v>10000</v>
      </c>
      <c r="L3061" s="14" t="n">
        <f aca="false">($L$2*M3061)/100</f>
        <v>600833.25</v>
      </c>
      <c r="M3061" s="15" t="n">
        <v>0.5</v>
      </c>
      <c r="N3061" s="9" t="s">
        <v>20</v>
      </c>
    </row>
    <row r="3062" customFormat="false" ht="14.25" hidden="false" customHeight="true" outlineLevel="0" collapsed="false">
      <c r="B3062" s="9" t="s">
        <v>16</v>
      </c>
      <c r="C3062" s="9" t="n">
        <v>1185732</v>
      </c>
      <c r="D3062" s="10" t="n">
        <v>44382</v>
      </c>
      <c r="E3062" s="9" t="s">
        <v>38</v>
      </c>
      <c r="F3062" s="9" t="s">
        <v>114</v>
      </c>
      <c r="G3062" s="9" t="s">
        <v>115</v>
      </c>
      <c r="H3062" s="11" t="s">
        <v>25</v>
      </c>
      <c r="I3062" s="12" t="n">
        <v>55</v>
      </c>
      <c r="J3062" s="13" t="n">
        <v>375</v>
      </c>
      <c r="K3062" s="14" t="n">
        <f aca="false">I3062*J3062</f>
        <v>20625</v>
      </c>
      <c r="L3062" s="14" t="n">
        <f aca="false">($L$2*M3062)/100</f>
        <v>480666.6</v>
      </c>
      <c r="M3062" s="15" t="n">
        <v>0.4</v>
      </c>
      <c r="N3062" s="9" t="s">
        <v>20</v>
      </c>
    </row>
    <row r="3063" customFormat="false" ht="14.25" hidden="false" customHeight="true" outlineLevel="0" collapsed="false">
      <c r="B3063" s="9" t="s">
        <v>16</v>
      </c>
      <c r="C3063" s="9" t="n">
        <v>1185732</v>
      </c>
      <c r="D3063" s="10" t="n">
        <v>44414</v>
      </c>
      <c r="E3063" s="9" t="s">
        <v>38</v>
      </c>
      <c r="F3063" s="9" t="s">
        <v>114</v>
      </c>
      <c r="G3063" s="9" t="s">
        <v>115</v>
      </c>
      <c r="H3063" s="11" t="s">
        <v>19</v>
      </c>
      <c r="I3063" s="12" t="n">
        <v>50</v>
      </c>
      <c r="J3063" s="13" t="n">
        <v>525</v>
      </c>
      <c r="K3063" s="14" t="n">
        <f aca="false">I3063*J3063</f>
        <v>26250</v>
      </c>
      <c r="L3063" s="14" t="n">
        <f aca="false">($L$2*M3063)/100</f>
        <v>360499.95</v>
      </c>
      <c r="M3063" s="15" t="n">
        <v>0.3</v>
      </c>
      <c r="N3063" s="9" t="s">
        <v>20</v>
      </c>
    </row>
    <row r="3064" customFormat="false" ht="14.25" hidden="false" customHeight="true" outlineLevel="0" collapsed="false">
      <c r="B3064" s="9" t="s">
        <v>16</v>
      </c>
      <c r="C3064" s="9" t="n">
        <v>1185732</v>
      </c>
      <c r="D3064" s="10" t="n">
        <v>44414</v>
      </c>
      <c r="E3064" s="9" t="s">
        <v>38</v>
      </c>
      <c r="F3064" s="9" t="s">
        <v>114</v>
      </c>
      <c r="G3064" s="9" t="s">
        <v>115</v>
      </c>
      <c r="H3064" s="11" t="s">
        <v>21</v>
      </c>
      <c r="I3064" s="12" t="n">
        <v>45</v>
      </c>
      <c r="J3064" s="13" t="n">
        <v>300</v>
      </c>
      <c r="K3064" s="14" t="n">
        <f aca="false">I3064*J3064</f>
        <v>13500</v>
      </c>
      <c r="L3064" s="14" t="n">
        <f aca="false">($L$2*M3064)/100</f>
        <v>420583.275</v>
      </c>
      <c r="M3064" s="15" t="n">
        <v>0.35</v>
      </c>
      <c r="N3064" s="9" t="s">
        <v>20</v>
      </c>
    </row>
    <row r="3065" customFormat="false" ht="14.25" hidden="false" customHeight="true" outlineLevel="0" collapsed="false">
      <c r="B3065" s="9" t="s">
        <v>16</v>
      </c>
      <c r="C3065" s="9" t="n">
        <v>1185732</v>
      </c>
      <c r="D3065" s="10" t="n">
        <v>44414</v>
      </c>
      <c r="E3065" s="9" t="s">
        <v>38</v>
      </c>
      <c r="F3065" s="9" t="s">
        <v>114</v>
      </c>
      <c r="G3065" s="9" t="s">
        <v>115</v>
      </c>
      <c r="H3065" s="11" t="s">
        <v>22</v>
      </c>
      <c r="I3065" s="12" t="n">
        <v>40</v>
      </c>
      <c r="J3065" s="13" t="n">
        <v>225</v>
      </c>
      <c r="K3065" s="14" t="n">
        <f aca="false">I3065*J3065</f>
        <v>9000</v>
      </c>
      <c r="L3065" s="14" t="n">
        <f aca="false">($L$2*M3065)/100</f>
        <v>360499.95</v>
      </c>
      <c r="M3065" s="15" t="n">
        <v>0.3</v>
      </c>
      <c r="N3065" s="9" t="s">
        <v>20</v>
      </c>
    </row>
    <row r="3066" customFormat="false" ht="14.25" hidden="false" customHeight="true" outlineLevel="0" collapsed="false">
      <c r="B3066" s="9" t="s">
        <v>16</v>
      </c>
      <c r="C3066" s="9" t="n">
        <v>1185732</v>
      </c>
      <c r="D3066" s="10" t="n">
        <v>44414</v>
      </c>
      <c r="E3066" s="9" t="s">
        <v>38</v>
      </c>
      <c r="F3066" s="9" t="s">
        <v>114</v>
      </c>
      <c r="G3066" s="9" t="s">
        <v>115</v>
      </c>
      <c r="H3066" s="11" t="s">
        <v>23</v>
      </c>
      <c r="I3066" s="12" t="n">
        <v>40</v>
      </c>
      <c r="J3066" s="13" t="n">
        <v>200</v>
      </c>
      <c r="K3066" s="14" t="n">
        <f aca="false">I3066*J3066</f>
        <v>8000</v>
      </c>
      <c r="L3066" s="14" t="n">
        <f aca="false">($L$2*M3066)/100</f>
        <v>360499.95</v>
      </c>
      <c r="M3066" s="15" t="n">
        <v>0.3</v>
      </c>
      <c r="N3066" s="9" t="s">
        <v>20</v>
      </c>
    </row>
    <row r="3067" customFormat="false" ht="14.25" hidden="false" customHeight="true" outlineLevel="0" collapsed="false">
      <c r="B3067" s="9" t="s">
        <v>16</v>
      </c>
      <c r="C3067" s="9" t="n">
        <v>1185732</v>
      </c>
      <c r="D3067" s="10" t="n">
        <v>44414</v>
      </c>
      <c r="E3067" s="9" t="s">
        <v>38</v>
      </c>
      <c r="F3067" s="9" t="s">
        <v>114</v>
      </c>
      <c r="G3067" s="9" t="s">
        <v>115</v>
      </c>
      <c r="H3067" s="11" t="s">
        <v>24</v>
      </c>
      <c r="I3067" s="12" t="n">
        <v>50</v>
      </c>
      <c r="J3067" s="13" t="n">
        <v>175</v>
      </c>
      <c r="K3067" s="14" t="n">
        <f aca="false">I3067*J3067</f>
        <v>8750</v>
      </c>
      <c r="L3067" s="14" t="n">
        <f aca="false">($L$2*M3067)/100</f>
        <v>600833.25</v>
      </c>
      <c r="M3067" s="15" t="n">
        <v>0.5</v>
      </c>
      <c r="N3067" s="9" t="s">
        <v>20</v>
      </c>
    </row>
    <row r="3068" customFormat="false" ht="14.25" hidden="false" customHeight="true" outlineLevel="0" collapsed="false">
      <c r="B3068" s="9" t="s">
        <v>16</v>
      </c>
      <c r="C3068" s="9" t="n">
        <v>1185732</v>
      </c>
      <c r="D3068" s="10" t="n">
        <v>44414</v>
      </c>
      <c r="E3068" s="9" t="s">
        <v>38</v>
      </c>
      <c r="F3068" s="9" t="s">
        <v>114</v>
      </c>
      <c r="G3068" s="9" t="s">
        <v>115</v>
      </c>
      <c r="H3068" s="11" t="s">
        <v>25</v>
      </c>
      <c r="I3068" s="12" t="n">
        <v>55</v>
      </c>
      <c r="J3068" s="13" t="n">
        <v>350</v>
      </c>
      <c r="K3068" s="14" t="n">
        <f aca="false">I3068*J3068</f>
        <v>19250</v>
      </c>
      <c r="L3068" s="14" t="n">
        <f aca="false">($L$2*M3068)/100</f>
        <v>480666.6</v>
      </c>
      <c r="M3068" s="15" t="n">
        <v>0.4</v>
      </c>
      <c r="N3068" s="9" t="s">
        <v>20</v>
      </c>
    </row>
    <row r="3069" customFormat="false" ht="14.25" hidden="false" customHeight="true" outlineLevel="0" collapsed="false">
      <c r="B3069" s="9" t="s">
        <v>16</v>
      </c>
      <c r="C3069" s="9" t="n">
        <v>1185732</v>
      </c>
      <c r="D3069" s="10" t="n">
        <v>44446</v>
      </c>
      <c r="E3069" s="9" t="s">
        <v>38</v>
      </c>
      <c r="F3069" s="9" t="s">
        <v>114</v>
      </c>
      <c r="G3069" s="9" t="s">
        <v>115</v>
      </c>
      <c r="H3069" s="11" t="s">
        <v>19</v>
      </c>
      <c r="I3069" s="12" t="n">
        <v>35</v>
      </c>
      <c r="J3069" s="13" t="n">
        <v>475</v>
      </c>
      <c r="K3069" s="14" t="n">
        <f aca="false">I3069*J3069</f>
        <v>16625</v>
      </c>
      <c r="L3069" s="14" t="n">
        <f aca="false">($L$2*M3069)/100</f>
        <v>360499.95</v>
      </c>
      <c r="M3069" s="15" t="n">
        <v>0.3</v>
      </c>
      <c r="N3069" s="9" t="s">
        <v>20</v>
      </c>
    </row>
    <row r="3070" customFormat="false" ht="14.25" hidden="false" customHeight="true" outlineLevel="0" collapsed="false">
      <c r="B3070" s="9" t="s">
        <v>16</v>
      </c>
      <c r="C3070" s="9" t="n">
        <v>1185732</v>
      </c>
      <c r="D3070" s="10" t="n">
        <v>44446</v>
      </c>
      <c r="E3070" s="9" t="s">
        <v>38</v>
      </c>
      <c r="F3070" s="9" t="s">
        <v>114</v>
      </c>
      <c r="G3070" s="9" t="s">
        <v>115</v>
      </c>
      <c r="H3070" s="11" t="s">
        <v>21</v>
      </c>
      <c r="I3070" s="12" t="n">
        <v>30</v>
      </c>
      <c r="J3070" s="13" t="n">
        <v>275</v>
      </c>
      <c r="K3070" s="14" t="n">
        <f aca="false">I3070*J3070</f>
        <v>8250</v>
      </c>
      <c r="L3070" s="14" t="n">
        <f aca="false">($L$2*M3070)/100</f>
        <v>420583.275</v>
      </c>
      <c r="M3070" s="15" t="n">
        <v>0.35</v>
      </c>
      <c r="N3070" s="9" t="s">
        <v>20</v>
      </c>
    </row>
    <row r="3071" customFormat="false" ht="14.25" hidden="false" customHeight="true" outlineLevel="0" collapsed="false">
      <c r="B3071" s="9" t="s">
        <v>16</v>
      </c>
      <c r="C3071" s="9" t="n">
        <v>1185732</v>
      </c>
      <c r="D3071" s="10" t="n">
        <v>44446</v>
      </c>
      <c r="E3071" s="9" t="s">
        <v>38</v>
      </c>
      <c r="F3071" s="9" t="s">
        <v>114</v>
      </c>
      <c r="G3071" s="9" t="s">
        <v>115</v>
      </c>
      <c r="H3071" s="11" t="s">
        <v>22</v>
      </c>
      <c r="I3071" s="12" t="n">
        <v>25</v>
      </c>
      <c r="J3071" s="13" t="n">
        <v>175</v>
      </c>
      <c r="K3071" s="14" t="n">
        <f aca="false">I3071*J3071</f>
        <v>4375</v>
      </c>
      <c r="L3071" s="14" t="n">
        <f aca="false">($L$2*M3071)/100</f>
        <v>360499.95</v>
      </c>
      <c r="M3071" s="15" t="n">
        <v>0.3</v>
      </c>
      <c r="N3071" s="9" t="s">
        <v>20</v>
      </c>
    </row>
    <row r="3072" customFormat="false" ht="14.25" hidden="false" customHeight="true" outlineLevel="0" collapsed="false">
      <c r="B3072" s="9" t="s">
        <v>16</v>
      </c>
      <c r="C3072" s="9" t="n">
        <v>1185732</v>
      </c>
      <c r="D3072" s="10" t="n">
        <v>44446</v>
      </c>
      <c r="E3072" s="9" t="s">
        <v>38</v>
      </c>
      <c r="F3072" s="9" t="s">
        <v>114</v>
      </c>
      <c r="G3072" s="9" t="s">
        <v>115</v>
      </c>
      <c r="H3072" s="11" t="s">
        <v>23</v>
      </c>
      <c r="I3072" s="12" t="n">
        <v>25</v>
      </c>
      <c r="J3072" s="13" t="n">
        <v>150</v>
      </c>
      <c r="K3072" s="14" t="n">
        <f aca="false">I3072*J3072</f>
        <v>3750</v>
      </c>
      <c r="L3072" s="14" t="n">
        <f aca="false">($L$2*M3072)/100</f>
        <v>360499.95</v>
      </c>
      <c r="M3072" s="15" t="n">
        <v>0.3</v>
      </c>
      <c r="N3072" s="9" t="s">
        <v>20</v>
      </c>
    </row>
    <row r="3073" customFormat="false" ht="14.25" hidden="false" customHeight="true" outlineLevel="0" collapsed="false">
      <c r="B3073" s="9" t="s">
        <v>16</v>
      </c>
      <c r="C3073" s="9" t="n">
        <v>1185732</v>
      </c>
      <c r="D3073" s="10" t="n">
        <v>44446</v>
      </c>
      <c r="E3073" s="9" t="s">
        <v>38</v>
      </c>
      <c r="F3073" s="9" t="s">
        <v>114</v>
      </c>
      <c r="G3073" s="9" t="s">
        <v>115</v>
      </c>
      <c r="H3073" s="11" t="s">
        <v>24</v>
      </c>
      <c r="I3073" s="12" t="n">
        <v>35</v>
      </c>
      <c r="J3073" s="13" t="n">
        <v>150</v>
      </c>
      <c r="K3073" s="14" t="n">
        <f aca="false">I3073*J3073</f>
        <v>5250</v>
      </c>
      <c r="L3073" s="14" t="n">
        <f aca="false">($L$2*M3073)/100</f>
        <v>600833.25</v>
      </c>
      <c r="M3073" s="15" t="n">
        <v>0.5</v>
      </c>
      <c r="N3073" s="9" t="s">
        <v>20</v>
      </c>
    </row>
    <row r="3074" customFormat="false" ht="14.25" hidden="false" customHeight="true" outlineLevel="0" collapsed="false">
      <c r="B3074" s="9" t="s">
        <v>16</v>
      </c>
      <c r="C3074" s="9" t="n">
        <v>1185732</v>
      </c>
      <c r="D3074" s="10" t="n">
        <v>44446</v>
      </c>
      <c r="E3074" s="9" t="s">
        <v>38</v>
      </c>
      <c r="F3074" s="9" t="s">
        <v>114</v>
      </c>
      <c r="G3074" s="9" t="s">
        <v>115</v>
      </c>
      <c r="H3074" s="11" t="s">
        <v>25</v>
      </c>
      <c r="I3074" s="12" t="n">
        <v>40</v>
      </c>
      <c r="J3074" s="13" t="n">
        <v>225</v>
      </c>
      <c r="K3074" s="14" t="n">
        <f aca="false">I3074*J3074</f>
        <v>9000</v>
      </c>
      <c r="L3074" s="14" t="n">
        <f aca="false">($L$2*M3074)/100</f>
        <v>480666.6</v>
      </c>
      <c r="M3074" s="15" t="n">
        <v>0.4</v>
      </c>
      <c r="N3074" s="9" t="s">
        <v>20</v>
      </c>
    </row>
    <row r="3075" customFormat="false" ht="14.25" hidden="false" customHeight="true" outlineLevel="0" collapsed="false">
      <c r="B3075" s="9" t="s">
        <v>16</v>
      </c>
      <c r="C3075" s="9" t="n">
        <v>1185732</v>
      </c>
      <c r="D3075" s="10" t="n">
        <v>44475</v>
      </c>
      <c r="E3075" s="9" t="s">
        <v>38</v>
      </c>
      <c r="F3075" s="9" t="s">
        <v>114</v>
      </c>
      <c r="G3075" s="9" t="s">
        <v>115</v>
      </c>
      <c r="H3075" s="11" t="s">
        <v>19</v>
      </c>
      <c r="I3075" s="12" t="n">
        <v>45</v>
      </c>
      <c r="J3075" s="13" t="n">
        <v>400</v>
      </c>
      <c r="K3075" s="14" t="n">
        <f aca="false">I3075*J3075</f>
        <v>18000</v>
      </c>
      <c r="L3075" s="14" t="n">
        <f aca="false">($L$2*M3075)/100</f>
        <v>360499.95</v>
      </c>
      <c r="M3075" s="15" t="n">
        <v>0.3</v>
      </c>
      <c r="N3075" s="9" t="s">
        <v>20</v>
      </c>
    </row>
    <row r="3076" customFormat="false" ht="14.25" hidden="false" customHeight="true" outlineLevel="0" collapsed="false">
      <c r="B3076" s="9" t="s">
        <v>16</v>
      </c>
      <c r="C3076" s="9" t="n">
        <v>1185732</v>
      </c>
      <c r="D3076" s="10" t="n">
        <v>44475</v>
      </c>
      <c r="E3076" s="9" t="s">
        <v>38</v>
      </c>
      <c r="F3076" s="9" t="s">
        <v>114</v>
      </c>
      <c r="G3076" s="9" t="s">
        <v>115</v>
      </c>
      <c r="H3076" s="11" t="s">
        <v>21</v>
      </c>
      <c r="I3076" s="12" t="n">
        <v>35</v>
      </c>
      <c r="J3076" s="13" t="n">
        <v>250</v>
      </c>
      <c r="K3076" s="14" t="n">
        <f aca="false">I3076*J3076</f>
        <v>8750</v>
      </c>
      <c r="L3076" s="14" t="n">
        <f aca="false">($L$2*M3076)/100</f>
        <v>420583.275</v>
      </c>
      <c r="M3076" s="15" t="n">
        <v>0.35</v>
      </c>
      <c r="N3076" s="9" t="s">
        <v>20</v>
      </c>
    </row>
    <row r="3077" customFormat="false" ht="14.25" hidden="false" customHeight="true" outlineLevel="0" collapsed="false">
      <c r="B3077" s="9" t="s">
        <v>16</v>
      </c>
      <c r="C3077" s="9" t="n">
        <v>1185732</v>
      </c>
      <c r="D3077" s="10" t="n">
        <v>44475</v>
      </c>
      <c r="E3077" s="9" t="s">
        <v>38</v>
      </c>
      <c r="F3077" s="9" t="s">
        <v>114</v>
      </c>
      <c r="G3077" s="9" t="s">
        <v>115</v>
      </c>
      <c r="H3077" s="11" t="s">
        <v>22</v>
      </c>
      <c r="I3077" s="12" t="n">
        <v>35</v>
      </c>
      <c r="J3077" s="13" t="n">
        <v>150</v>
      </c>
      <c r="K3077" s="14" t="n">
        <f aca="false">I3077*J3077</f>
        <v>5250</v>
      </c>
      <c r="L3077" s="14" t="n">
        <f aca="false">($L$2*M3077)/100</f>
        <v>360499.95</v>
      </c>
      <c r="M3077" s="15" t="n">
        <v>0.3</v>
      </c>
      <c r="N3077" s="9" t="s">
        <v>20</v>
      </c>
    </row>
    <row r="3078" customFormat="false" ht="14.25" hidden="false" customHeight="true" outlineLevel="0" collapsed="false">
      <c r="B3078" s="9" t="s">
        <v>16</v>
      </c>
      <c r="C3078" s="9" t="n">
        <v>1185732</v>
      </c>
      <c r="D3078" s="10" t="n">
        <v>44475</v>
      </c>
      <c r="E3078" s="9" t="s">
        <v>38</v>
      </c>
      <c r="F3078" s="9" t="s">
        <v>114</v>
      </c>
      <c r="G3078" s="9" t="s">
        <v>115</v>
      </c>
      <c r="H3078" s="11" t="s">
        <v>23</v>
      </c>
      <c r="I3078" s="12" t="n">
        <v>35</v>
      </c>
      <c r="J3078" s="13" t="n">
        <v>125</v>
      </c>
      <c r="K3078" s="14" t="n">
        <f aca="false">I3078*J3078</f>
        <v>4375</v>
      </c>
      <c r="L3078" s="14" t="n">
        <f aca="false">($L$2*M3078)/100</f>
        <v>360499.95</v>
      </c>
      <c r="M3078" s="15" t="n">
        <v>0.3</v>
      </c>
      <c r="N3078" s="9" t="s">
        <v>20</v>
      </c>
    </row>
    <row r="3079" customFormat="false" ht="14.25" hidden="false" customHeight="true" outlineLevel="0" collapsed="false">
      <c r="B3079" s="9" t="s">
        <v>16</v>
      </c>
      <c r="C3079" s="9" t="n">
        <v>1185732</v>
      </c>
      <c r="D3079" s="10" t="n">
        <v>44475</v>
      </c>
      <c r="E3079" s="9" t="s">
        <v>38</v>
      </c>
      <c r="F3079" s="9" t="s">
        <v>114</v>
      </c>
      <c r="G3079" s="9" t="s">
        <v>115</v>
      </c>
      <c r="H3079" s="11" t="s">
        <v>24</v>
      </c>
      <c r="I3079" s="12" t="n">
        <v>45</v>
      </c>
      <c r="J3079" s="13" t="n">
        <v>125</v>
      </c>
      <c r="K3079" s="14" t="n">
        <f aca="false">I3079*J3079</f>
        <v>5625</v>
      </c>
      <c r="L3079" s="14" t="n">
        <f aca="false">($L$2*M3079)/100</f>
        <v>600833.25</v>
      </c>
      <c r="M3079" s="15" t="n">
        <v>0.5</v>
      </c>
      <c r="N3079" s="9" t="s">
        <v>20</v>
      </c>
    </row>
    <row r="3080" customFormat="false" ht="14.25" hidden="false" customHeight="true" outlineLevel="0" collapsed="false">
      <c r="B3080" s="9" t="s">
        <v>32</v>
      </c>
      <c r="C3080" s="9" t="n">
        <v>1185732</v>
      </c>
      <c r="D3080" s="10" t="n">
        <v>44475</v>
      </c>
      <c r="E3080" s="9" t="s">
        <v>38</v>
      </c>
      <c r="F3080" s="9" t="s">
        <v>114</v>
      </c>
      <c r="G3080" s="9" t="s">
        <v>115</v>
      </c>
      <c r="H3080" s="11" t="s">
        <v>25</v>
      </c>
      <c r="I3080" s="12" t="n">
        <v>50</v>
      </c>
      <c r="J3080" s="13" t="n">
        <v>250</v>
      </c>
      <c r="K3080" s="14" t="n">
        <f aca="false">I3080*J3080</f>
        <v>12500</v>
      </c>
      <c r="L3080" s="14" t="n">
        <f aca="false">($L$2*M3080)/100</f>
        <v>480666.6</v>
      </c>
      <c r="M3080" s="15" t="n">
        <v>0.4</v>
      </c>
      <c r="N3080" s="9" t="s">
        <v>20</v>
      </c>
    </row>
    <row r="3081" customFormat="false" ht="14.25" hidden="false" customHeight="true" outlineLevel="0" collapsed="false">
      <c r="B3081" s="9" t="s">
        <v>32</v>
      </c>
      <c r="C3081" s="9" t="n">
        <v>1185732</v>
      </c>
      <c r="D3081" s="10" t="n">
        <v>44506</v>
      </c>
      <c r="E3081" s="9" t="s">
        <v>38</v>
      </c>
      <c r="F3081" s="9" t="s">
        <v>114</v>
      </c>
      <c r="G3081" s="9" t="s">
        <v>115</v>
      </c>
      <c r="H3081" s="11" t="s">
        <v>19</v>
      </c>
      <c r="I3081" s="12" t="n">
        <v>45</v>
      </c>
      <c r="J3081" s="13" t="n">
        <v>400</v>
      </c>
      <c r="K3081" s="14" t="n">
        <f aca="false">I3081*J3081</f>
        <v>18000</v>
      </c>
      <c r="L3081" s="14" t="n">
        <f aca="false">($L$2*M3081)/100</f>
        <v>360499.95</v>
      </c>
      <c r="M3081" s="15" t="n">
        <v>0.3</v>
      </c>
      <c r="N3081" s="9" t="s">
        <v>20</v>
      </c>
    </row>
    <row r="3082" customFormat="false" ht="14.25" hidden="false" customHeight="true" outlineLevel="0" collapsed="false">
      <c r="B3082" s="9" t="s">
        <v>32</v>
      </c>
      <c r="C3082" s="9" t="n">
        <v>1185732</v>
      </c>
      <c r="D3082" s="10" t="n">
        <v>44506</v>
      </c>
      <c r="E3082" s="9" t="s">
        <v>38</v>
      </c>
      <c r="F3082" s="9" t="s">
        <v>114</v>
      </c>
      <c r="G3082" s="9" t="s">
        <v>115</v>
      </c>
      <c r="H3082" s="11" t="s">
        <v>21</v>
      </c>
      <c r="I3082" s="12" t="n">
        <v>35</v>
      </c>
      <c r="J3082" s="13" t="n">
        <v>275</v>
      </c>
      <c r="K3082" s="14" t="n">
        <f aca="false">I3082*J3082</f>
        <v>9625</v>
      </c>
      <c r="L3082" s="14" t="n">
        <f aca="false">($L$2*M3082)/100</f>
        <v>420583.275</v>
      </c>
      <c r="M3082" s="15" t="n">
        <v>0.35</v>
      </c>
      <c r="N3082" s="9" t="s">
        <v>20</v>
      </c>
    </row>
    <row r="3083" customFormat="false" ht="14.25" hidden="false" customHeight="true" outlineLevel="0" collapsed="false">
      <c r="B3083" s="9" t="s">
        <v>32</v>
      </c>
      <c r="C3083" s="9" t="n">
        <v>1185732</v>
      </c>
      <c r="D3083" s="10" t="n">
        <v>44506</v>
      </c>
      <c r="E3083" s="9" t="s">
        <v>38</v>
      </c>
      <c r="F3083" s="9" t="s">
        <v>114</v>
      </c>
      <c r="G3083" s="9" t="s">
        <v>115</v>
      </c>
      <c r="H3083" s="11" t="s">
        <v>22</v>
      </c>
      <c r="I3083" s="12" t="n">
        <v>35</v>
      </c>
      <c r="J3083" s="13" t="n">
        <v>220</v>
      </c>
      <c r="K3083" s="14" t="n">
        <f aca="false">I3083*J3083</f>
        <v>7700</v>
      </c>
      <c r="L3083" s="14" t="n">
        <f aca="false">($L$2*M3083)/100</f>
        <v>360499.95</v>
      </c>
      <c r="M3083" s="15" t="n">
        <v>0.3</v>
      </c>
      <c r="N3083" s="9" t="s">
        <v>20</v>
      </c>
    </row>
    <row r="3084" customFormat="false" ht="14.25" hidden="false" customHeight="true" outlineLevel="0" collapsed="false">
      <c r="B3084" s="9" t="s">
        <v>32</v>
      </c>
      <c r="C3084" s="9" t="n">
        <v>1185732</v>
      </c>
      <c r="D3084" s="10" t="n">
        <v>44506</v>
      </c>
      <c r="E3084" s="9" t="s">
        <v>38</v>
      </c>
      <c r="F3084" s="9" t="s">
        <v>114</v>
      </c>
      <c r="G3084" s="9" t="s">
        <v>115</v>
      </c>
      <c r="H3084" s="11" t="s">
        <v>23</v>
      </c>
      <c r="I3084" s="12" t="n">
        <v>35</v>
      </c>
      <c r="J3084" s="13" t="n">
        <v>200</v>
      </c>
      <c r="K3084" s="14" t="n">
        <f aca="false">I3084*J3084</f>
        <v>7000</v>
      </c>
      <c r="L3084" s="14" t="n">
        <f aca="false">($L$2*M3084)/100</f>
        <v>360499.95</v>
      </c>
      <c r="M3084" s="15" t="n">
        <v>0.3</v>
      </c>
      <c r="N3084" s="9" t="s">
        <v>20</v>
      </c>
    </row>
    <row r="3085" customFormat="false" ht="14.25" hidden="false" customHeight="true" outlineLevel="0" collapsed="false">
      <c r="B3085" s="9" t="s">
        <v>32</v>
      </c>
      <c r="C3085" s="9" t="n">
        <v>1185732</v>
      </c>
      <c r="D3085" s="10" t="n">
        <v>44506</v>
      </c>
      <c r="E3085" s="9" t="s">
        <v>38</v>
      </c>
      <c r="F3085" s="9" t="s">
        <v>114</v>
      </c>
      <c r="G3085" s="9" t="s">
        <v>115</v>
      </c>
      <c r="H3085" s="11" t="s">
        <v>24</v>
      </c>
      <c r="I3085" s="12" t="n">
        <v>60</v>
      </c>
      <c r="J3085" s="13" t="n">
        <v>175</v>
      </c>
      <c r="K3085" s="14" t="n">
        <f aca="false">I3085*J3085</f>
        <v>10500</v>
      </c>
      <c r="L3085" s="14" t="n">
        <f aca="false">($L$2*M3085)/100</f>
        <v>600833.25</v>
      </c>
      <c r="M3085" s="15" t="n">
        <v>0.5</v>
      </c>
      <c r="N3085" s="9" t="s">
        <v>20</v>
      </c>
    </row>
    <row r="3086" customFormat="false" ht="14.25" hidden="false" customHeight="true" outlineLevel="0" collapsed="false">
      <c r="B3086" s="9" t="s">
        <v>32</v>
      </c>
      <c r="C3086" s="9" t="n">
        <v>1185732</v>
      </c>
      <c r="D3086" s="10" t="n">
        <v>44506</v>
      </c>
      <c r="E3086" s="9" t="s">
        <v>38</v>
      </c>
      <c r="F3086" s="9" t="s">
        <v>114</v>
      </c>
      <c r="G3086" s="9" t="s">
        <v>115</v>
      </c>
      <c r="H3086" s="11" t="s">
        <v>25</v>
      </c>
      <c r="I3086" s="12" t="n">
        <v>65</v>
      </c>
      <c r="J3086" s="13" t="n">
        <v>275</v>
      </c>
      <c r="K3086" s="14" t="n">
        <f aca="false">I3086*J3086</f>
        <v>17875</v>
      </c>
      <c r="L3086" s="14" t="n">
        <f aca="false">($L$2*M3086)/100</f>
        <v>480666.6</v>
      </c>
      <c r="M3086" s="15" t="n">
        <v>0.4</v>
      </c>
      <c r="N3086" s="9" t="s">
        <v>20</v>
      </c>
    </row>
    <row r="3087" customFormat="false" ht="14.25" hidden="false" customHeight="true" outlineLevel="0" collapsed="false">
      <c r="B3087" s="9" t="s">
        <v>32</v>
      </c>
      <c r="C3087" s="9" t="n">
        <v>1185732</v>
      </c>
      <c r="D3087" s="10" t="n">
        <v>44535</v>
      </c>
      <c r="E3087" s="9" t="s">
        <v>38</v>
      </c>
      <c r="F3087" s="9" t="s">
        <v>114</v>
      </c>
      <c r="G3087" s="9" t="s">
        <v>115</v>
      </c>
      <c r="H3087" s="11" t="s">
        <v>19</v>
      </c>
      <c r="I3087" s="12" t="n">
        <v>60</v>
      </c>
      <c r="J3087" s="13" t="n">
        <v>525</v>
      </c>
      <c r="K3087" s="14" t="n">
        <f aca="false">I3087*J3087</f>
        <v>31500</v>
      </c>
      <c r="L3087" s="14" t="n">
        <f aca="false">($L$2*M3087)/100</f>
        <v>360499.95</v>
      </c>
      <c r="M3087" s="15" t="n">
        <v>0.3</v>
      </c>
      <c r="N3087" s="9" t="s">
        <v>20</v>
      </c>
    </row>
    <row r="3088" customFormat="false" ht="14.25" hidden="false" customHeight="true" outlineLevel="0" collapsed="false">
      <c r="B3088" s="9" t="s">
        <v>32</v>
      </c>
      <c r="C3088" s="9" t="n">
        <v>1185732</v>
      </c>
      <c r="D3088" s="10" t="n">
        <v>44535</v>
      </c>
      <c r="E3088" s="9" t="s">
        <v>38</v>
      </c>
      <c r="F3088" s="9" t="s">
        <v>114</v>
      </c>
      <c r="G3088" s="9" t="s">
        <v>115</v>
      </c>
      <c r="H3088" s="11" t="s">
        <v>21</v>
      </c>
      <c r="I3088" s="12" t="n">
        <v>50</v>
      </c>
      <c r="J3088" s="13" t="n">
        <v>325</v>
      </c>
      <c r="K3088" s="14" t="n">
        <f aca="false">I3088*J3088</f>
        <v>16250</v>
      </c>
      <c r="L3088" s="14" t="n">
        <f aca="false">($L$2*M3088)/100</f>
        <v>420583.275</v>
      </c>
      <c r="M3088" s="15" t="n">
        <v>0.35</v>
      </c>
      <c r="N3088" s="9" t="s">
        <v>20</v>
      </c>
    </row>
    <row r="3089" customFormat="false" ht="14.25" hidden="false" customHeight="true" outlineLevel="0" collapsed="false">
      <c r="B3089" s="9" t="s">
        <v>32</v>
      </c>
      <c r="C3089" s="9" t="n">
        <v>1185732</v>
      </c>
      <c r="D3089" s="10" t="n">
        <v>44535</v>
      </c>
      <c r="E3089" s="9" t="s">
        <v>38</v>
      </c>
      <c r="F3089" s="9" t="s">
        <v>114</v>
      </c>
      <c r="G3089" s="9" t="s">
        <v>115</v>
      </c>
      <c r="H3089" s="11" t="s">
        <v>22</v>
      </c>
      <c r="I3089" s="12" t="n">
        <v>50</v>
      </c>
      <c r="J3089" s="13" t="n">
        <v>275</v>
      </c>
      <c r="K3089" s="14" t="n">
        <f aca="false">I3089*J3089</f>
        <v>13750</v>
      </c>
      <c r="L3089" s="14" t="n">
        <f aca="false">($L$2*M3089)/100</f>
        <v>360499.95</v>
      </c>
      <c r="M3089" s="15" t="n">
        <v>0.3</v>
      </c>
      <c r="N3089" s="9" t="s">
        <v>20</v>
      </c>
    </row>
    <row r="3090" customFormat="false" ht="14.25" hidden="false" customHeight="true" outlineLevel="0" collapsed="false">
      <c r="B3090" s="9" t="s">
        <v>32</v>
      </c>
      <c r="C3090" s="9" t="n">
        <v>1185732</v>
      </c>
      <c r="D3090" s="10" t="n">
        <v>44535</v>
      </c>
      <c r="E3090" s="9" t="s">
        <v>38</v>
      </c>
      <c r="F3090" s="9" t="s">
        <v>114</v>
      </c>
      <c r="G3090" s="9" t="s">
        <v>115</v>
      </c>
      <c r="H3090" s="11" t="s">
        <v>23</v>
      </c>
      <c r="I3090" s="12" t="n">
        <v>50</v>
      </c>
      <c r="J3090" s="13" t="n">
        <v>225</v>
      </c>
      <c r="K3090" s="14" t="n">
        <f aca="false">I3090*J3090</f>
        <v>11250</v>
      </c>
      <c r="L3090" s="14" t="n">
        <f aca="false">($L$2*M3090)/100</f>
        <v>360499.95</v>
      </c>
      <c r="M3090" s="15" t="n">
        <v>0.3</v>
      </c>
      <c r="N3090" s="9" t="s">
        <v>20</v>
      </c>
    </row>
    <row r="3091" customFormat="false" ht="14.25" hidden="false" customHeight="true" outlineLevel="0" collapsed="false">
      <c r="B3091" s="9" t="s">
        <v>32</v>
      </c>
      <c r="C3091" s="9" t="n">
        <v>1185732</v>
      </c>
      <c r="D3091" s="10" t="n">
        <v>44535</v>
      </c>
      <c r="E3091" s="9" t="s">
        <v>38</v>
      </c>
      <c r="F3091" s="9" t="s">
        <v>114</v>
      </c>
      <c r="G3091" s="9" t="s">
        <v>115</v>
      </c>
      <c r="H3091" s="11" t="s">
        <v>24</v>
      </c>
      <c r="I3091" s="12" t="n">
        <v>60</v>
      </c>
      <c r="J3091" s="13" t="n">
        <v>225</v>
      </c>
      <c r="K3091" s="14" t="n">
        <f aca="false">I3091*J3091</f>
        <v>13500</v>
      </c>
      <c r="L3091" s="14" t="n">
        <f aca="false">($L$2*M3091)/100</f>
        <v>600833.25</v>
      </c>
      <c r="M3091" s="15" t="n">
        <v>0.5</v>
      </c>
      <c r="N3091" s="9" t="s">
        <v>20</v>
      </c>
    </row>
    <row r="3092" customFormat="false" ht="14.25" hidden="false" customHeight="true" outlineLevel="0" collapsed="false">
      <c r="B3092" s="9" t="s">
        <v>32</v>
      </c>
      <c r="C3092" s="9" t="n">
        <v>1185732</v>
      </c>
      <c r="D3092" s="10" t="n">
        <v>44535</v>
      </c>
      <c r="E3092" s="9" t="s">
        <v>38</v>
      </c>
      <c r="F3092" s="9" t="s">
        <v>114</v>
      </c>
      <c r="G3092" s="9" t="s">
        <v>115</v>
      </c>
      <c r="H3092" s="11" t="s">
        <v>25</v>
      </c>
      <c r="I3092" s="12" t="n">
        <v>65</v>
      </c>
      <c r="J3092" s="13" t="n">
        <v>325</v>
      </c>
      <c r="K3092" s="14" t="n">
        <f aca="false">I3092*J3092</f>
        <v>21125</v>
      </c>
      <c r="L3092" s="14" t="n">
        <f aca="false">($L$2*M3092)/100</f>
        <v>480666.6</v>
      </c>
      <c r="M3092" s="15" t="n">
        <v>0.4</v>
      </c>
      <c r="N3092" s="9" t="s">
        <v>20</v>
      </c>
    </row>
    <row r="3093" customFormat="false" ht="14.25" hidden="false" customHeight="true" outlineLevel="0" collapsed="false">
      <c r="B3093" s="9" t="s">
        <v>32</v>
      </c>
      <c r="C3093" s="9" t="n">
        <v>1185732</v>
      </c>
      <c r="D3093" s="10" t="n">
        <v>44199</v>
      </c>
      <c r="E3093" s="9" t="s">
        <v>38</v>
      </c>
      <c r="F3093" s="9" t="s">
        <v>114</v>
      </c>
      <c r="G3093" s="9" t="s">
        <v>115</v>
      </c>
      <c r="H3093" s="11" t="s">
        <v>19</v>
      </c>
      <c r="I3093" s="12" t="n">
        <v>30</v>
      </c>
      <c r="J3093" s="13" t="n">
        <v>450</v>
      </c>
      <c r="K3093" s="14" t="n">
        <f aca="false">I3093*J3093</f>
        <v>13500</v>
      </c>
      <c r="L3093" s="14" t="n">
        <f aca="false">($L$2*M3093)/100</f>
        <v>360499.95</v>
      </c>
      <c r="M3093" s="15" t="n">
        <v>0.3</v>
      </c>
      <c r="N3093" s="9" t="s">
        <v>20</v>
      </c>
    </row>
    <row r="3094" customFormat="false" ht="14.25" hidden="false" customHeight="true" outlineLevel="0" collapsed="false">
      <c r="B3094" s="9" t="s">
        <v>32</v>
      </c>
      <c r="C3094" s="9" t="n">
        <v>1185732</v>
      </c>
      <c r="D3094" s="10" t="n">
        <v>44199</v>
      </c>
      <c r="E3094" s="9" t="s">
        <v>38</v>
      </c>
      <c r="F3094" s="9" t="s">
        <v>114</v>
      </c>
      <c r="G3094" s="9" t="s">
        <v>115</v>
      </c>
      <c r="H3094" s="11" t="s">
        <v>21</v>
      </c>
      <c r="I3094" s="12" t="n">
        <v>30</v>
      </c>
      <c r="J3094" s="13" t="n">
        <v>250</v>
      </c>
      <c r="K3094" s="14" t="n">
        <f aca="false">I3094*J3094</f>
        <v>7500</v>
      </c>
      <c r="L3094" s="14" t="n">
        <f aca="false">($L$2*M3094)/100</f>
        <v>420583.275</v>
      </c>
      <c r="M3094" s="15" t="n">
        <v>0.35</v>
      </c>
      <c r="N3094" s="9" t="s">
        <v>20</v>
      </c>
    </row>
    <row r="3095" customFormat="false" ht="14.25" hidden="false" customHeight="true" outlineLevel="0" collapsed="false">
      <c r="B3095" s="9" t="s">
        <v>32</v>
      </c>
      <c r="C3095" s="9" t="n">
        <v>1185732</v>
      </c>
      <c r="D3095" s="10" t="n">
        <v>44199</v>
      </c>
      <c r="E3095" s="9" t="s">
        <v>38</v>
      </c>
      <c r="F3095" s="9" t="s">
        <v>114</v>
      </c>
      <c r="G3095" s="9" t="s">
        <v>115</v>
      </c>
      <c r="H3095" s="11" t="s">
        <v>22</v>
      </c>
      <c r="I3095" s="12" t="n">
        <v>20</v>
      </c>
      <c r="J3095" s="13" t="n">
        <v>250</v>
      </c>
      <c r="K3095" s="14" t="n">
        <f aca="false">I3095*J3095</f>
        <v>5000</v>
      </c>
      <c r="L3095" s="14" t="n">
        <f aca="false">($L$2*M3095)/100</f>
        <v>360499.95</v>
      </c>
      <c r="M3095" s="15" t="n">
        <v>0.3</v>
      </c>
      <c r="N3095" s="9" t="s">
        <v>20</v>
      </c>
    </row>
    <row r="3096" customFormat="false" ht="14.25" hidden="false" customHeight="true" outlineLevel="0" collapsed="false">
      <c r="B3096" s="9" t="s">
        <v>32</v>
      </c>
      <c r="C3096" s="9" t="n">
        <v>1185732</v>
      </c>
      <c r="D3096" s="10" t="n">
        <v>44199</v>
      </c>
      <c r="E3096" s="9" t="s">
        <v>38</v>
      </c>
      <c r="F3096" s="9" t="s">
        <v>114</v>
      </c>
      <c r="G3096" s="9" t="s">
        <v>115</v>
      </c>
      <c r="H3096" s="11" t="s">
        <v>23</v>
      </c>
      <c r="I3096" s="12" t="n">
        <v>25</v>
      </c>
      <c r="J3096" s="13" t="n">
        <v>100</v>
      </c>
      <c r="K3096" s="14" t="n">
        <f aca="false">I3096*J3096</f>
        <v>2500</v>
      </c>
      <c r="L3096" s="14" t="n">
        <f aca="false">($L$2*M3096)/100</f>
        <v>360499.95</v>
      </c>
      <c r="M3096" s="15" t="n">
        <v>0.3</v>
      </c>
      <c r="N3096" s="9" t="s">
        <v>20</v>
      </c>
    </row>
    <row r="3097" customFormat="false" ht="14.25" hidden="false" customHeight="true" outlineLevel="0" collapsed="false">
      <c r="B3097" s="9" t="s">
        <v>32</v>
      </c>
      <c r="C3097" s="9" t="n">
        <v>1185732</v>
      </c>
      <c r="D3097" s="10" t="n">
        <v>44199</v>
      </c>
      <c r="E3097" s="9" t="s">
        <v>38</v>
      </c>
      <c r="F3097" s="9" t="s">
        <v>114</v>
      </c>
      <c r="G3097" s="9" t="s">
        <v>115</v>
      </c>
      <c r="H3097" s="11" t="s">
        <v>24</v>
      </c>
      <c r="I3097" s="12" t="n">
        <v>40</v>
      </c>
      <c r="J3097" s="13" t="n">
        <v>150</v>
      </c>
      <c r="K3097" s="14" t="n">
        <f aca="false">I3097*J3097</f>
        <v>6000</v>
      </c>
      <c r="L3097" s="14" t="n">
        <f aca="false">($L$2*M3097)/100</f>
        <v>600833.25</v>
      </c>
      <c r="M3097" s="15" t="n">
        <v>0.5</v>
      </c>
      <c r="N3097" s="9" t="s">
        <v>20</v>
      </c>
    </row>
    <row r="3098" customFormat="false" ht="14.25" hidden="false" customHeight="true" outlineLevel="0" collapsed="false">
      <c r="B3098" s="9" t="s">
        <v>32</v>
      </c>
      <c r="C3098" s="9" t="n">
        <v>1185732</v>
      </c>
      <c r="D3098" s="10" t="n">
        <v>44199</v>
      </c>
      <c r="E3098" s="9" t="s">
        <v>38</v>
      </c>
      <c r="F3098" s="9" t="s">
        <v>114</v>
      </c>
      <c r="G3098" s="9" t="s">
        <v>115</v>
      </c>
      <c r="H3098" s="11" t="s">
        <v>25</v>
      </c>
      <c r="I3098" s="12" t="n">
        <v>30</v>
      </c>
      <c r="J3098" s="13" t="n">
        <v>250</v>
      </c>
      <c r="K3098" s="14" t="n">
        <f aca="false">I3098*J3098</f>
        <v>7500</v>
      </c>
      <c r="L3098" s="14" t="n">
        <f aca="false">($L$2*M3098)/100</f>
        <v>480666.6</v>
      </c>
      <c r="M3098" s="15" t="n">
        <v>0.4</v>
      </c>
      <c r="N3098" s="9" t="s">
        <v>20</v>
      </c>
    </row>
    <row r="3099" customFormat="false" ht="14.25" hidden="false" customHeight="true" outlineLevel="0" collapsed="false">
      <c r="B3099" s="9" t="s">
        <v>32</v>
      </c>
      <c r="C3099" s="9" t="n">
        <v>1185732</v>
      </c>
      <c r="D3099" s="10" t="n">
        <v>44230</v>
      </c>
      <c r="E3099" s="9" t="s">
        <v>38</v>
      </c>
      <c r="F3099" s="9" t="s">
        <v>114</v>
      </c>
      <c r="G3099" s="9" t="s">
        <v>115</v>
      </c>
      <c r="H3099" s="11" t="s">
        <v>19</v>
      </c>
      <c r="I3099" s="12" t="n">
        <v>30</v>
      </c>
      <c r="J3099" s="13" t="n">
        <v>500</v>
      </c>
      <c r="K3099" s="14" t="n">
        <f aca="false">I3099*J3099</f>
        <v>15000</v>
      </c>
      <c r="L3099" s="14" t="n">
        <f aca="false">($L$2*M3099)/100</f>
        <v>360499.95</v>
      </c>
      <c r="M3099" s="15" t="n">
        <v>0.3</v>
      </c>
      <c r="N3099" s="9" t="s">
        <v>20</v>
      </c>
    </row>
    <row r="3100" customFormat="false" ht="14.25" hidden="false" customHeight="true" outlineLevel="0" collapsed="false">
      <c r="B3100" s="9" t="s">
        <v>32</v>
      </c>
      <c r="C3100" s="9" t="n">
        <v>1185732</v>
      </c>
      <c r="D3100" s="10" t="n">
        <v>44230</v>
      </c>
      <c r="E3100" s="9" t="s">
        <v>38</v>
      </c>
      <c r="F3100" s="9" t="s">
        <v>114</v>
      </c>
      <c r="G3100" s="9" t="s">
        <v>115</v>
      </c>
      <c r="H3100" s="11" t="s">
        <v>21</v>
      </c>
      <c r="I3100" s="12" t="n">
        <v>30</v>
      </c>
      <c r="J3100" s="13" t="n">
        <v>150</v>
      </c>
      <c r="K3100" s="14" t="n">
        <f aca="false">I3100*J3100</f>
        <v>4500</v>
      </c>
      <c r="L3100" s="14" t="n">
        <f aca="false">($L$2*M3100)/100</f>
        <v>420583.275</v>
      </c>
      <c r="M3100" s="15" t="n">
        <v>0.35</v>
      </c>
      <c r="N3100" s="9" t="s">
        <v>20</v>
      </c>
    </row>
    <row r="3101" customFormat="false" ht="14.25" hidden="false" customHeight="true" outlineLevel="0" collapsed="false">
      <c r="B3101" s="9" t="s">
        <v>32</v>
      </c>
      <c r="C3101" s="9" t="n">
        <v>1185732</v>
      </c>
      <c r="D3101" s="10" t="n">
        <v>44230</v>
      </c>
      <c r="E3101" s="9" t="s">
        <v>38</v>
      </c>
      <c r="F3101" s="9" t="s">
        <v>114</v>
      </c>
      <c r="G3101" s="9" t="s">
        <v>115</v>
      </c>
      <c r="H3101" s="11" t="s">
        <v>22</v>
      </c>
      <c r="I3101" s="12" t="n">
        <v>20</v>
      </c>
      <c r="J3101" s="13" t="n">
        <v>200</v>
      </c>
      <c r="K3101" s="14" t="n">
        <f aca="false">I3101*J3101</f>
        <v>4000</v>
      </c>
      <c r="L3101" s="14" t="n">
        <f aca="false">($L$2*M3101)/100</f>
        <v>360499.95</v>
      </c>
      <c r="M3101" s="15" t="n">
        <v>0.3</v>
      </c>
      <c r="N3101" s="9" t="s">
        <v>20</v>
      </c>
    </row>
    <row r="3102" customFormat="false" ht="14.25" hidden="false" customHeight="true" outlineLevel="0" collapsed="false">
      <c r="B3102" s="9" t="s">
        <v>32</v>
      </c>
      <c r="C3102" s="9" t="n">
        <v>1185732</v>
      </c>
      <c r="D3102" s="10" t="n">
        <v>44230</v>
      </c>
      <c r="E3102" s="9" t="s">
        <v>38</v>
      </c>
      <c r="F3102" s="9" t="s">
        <v>116</v>
      </c>
      <c r="G3102" s="9" t="s">
        <v>117</v>
      </c>
      <c r="H3102" s="11" t="s">
        <v>23</v>
      </c>
      <c r="I3102" s="12" t="n">
        <v>25</v>
      </c>
      <c r="J3102" s="13" t="n">
        <v>75</v>
      </c>
      <c r="K3102" s="14" t="n">
        <f aca="false">I3102*J3102</f>
        <v>1875</v>
      </c>
      <c r="L3102" s="14" t="n">
        <f aca="false">($L$2*M3102)/100</f>
        <v>360499.95</v>
      </c>
      <c r="M3102" s="15" t="n">
        <v>0.3</v>
      </c>
      <c r="N3102" s="9" t="s">
        <v>20</v>
      </c>
    </row>
    <row r="3103" customFormat="false" ht="14.25" hidden="false" customHeight="true" outlineLevel="0" collapsed="false">
      <c r="B3103" s="9" t="s">
        <v>32</v>
      </c>
      <c r="C3103" s="9" t="n">
        <v>1185732</v>
      </c>
      <c r="D3103" s="10" t="n">
        <v>44230</v>
      </c>
      <c r="E3103" s="9" t="s">
        <v>38</v>
      </c>
      <c r="F3103" s="9" t="s">
        <v>116</v>
      </c>
      <c r="G3103" s="9" t="s">
        <v>117</v>
      </c>
      <c r="H3103" s="11" t="s">
        <v>24</v>
      </c>
      <c r="I3103" s="12" t="n">
        <v>40</v>
      </c>
      <c r="J3103" s="13" t="n">
        <v>150</v>
      </c>
      <c r="K3103" s="14" t="n">
        <f aca="false">I3103*J3103</f>
        <v>6000</v>
      </c>
      <c r="L3103" s="14" t="n">
        <f aca="false">($L$2*M3103)/100</f>
        <v>600833.25</v>
      </c>
      <c r="M3103" s="15" t="n">
        <v>0.5</v>
      </c>
      <c r="N3103" s="9" t="s">
        <v>20</v>
      </c>
    </row>
    <row r="3104" customFormat="false" ht="14.25" hidden="false" customHeight="true" outlineLevel="0" collapsed="false">
      <c r="B3104" s="9" t="s">
        <v>32</v>
      </c>
      <c r="C3104" s="9" t="n">
        <v>1185732</v>
      </c>
      <c r="D3104" s="10" t="n">
        <v>44230</v>
      </c>
      <c r="E3104" s="9" t="s">
        <v>38</v>
      </c>
      <c r="F3104" s="9" t="s">
        <v>116</v>
      </c>
      <c r="G3104" s="9" t="s">
        <v>117</v>
      </c>
      <c r="H3104" s="11" t="s">
        <v>25</v>
      </c>
      <c r="I3104" s="12" t="n">
        <v>15</v>
      </c>
      <c r="J3104" s="13" t="n">
        <v>250</v>
      </c>
      <c r="K3104" s="14" t="n">
        <f aca="false">I3104*J3104</f>
        <v>3750</v>
      </c>
      <c r="L3104" s="14" t="n">
        <f aca="false">($L$2*M3104)/100</f>
        <v>480666.6</v>
      </c>
      <c r="M3104" s="15" t="n">
        <v>0.4</v>
      </c>
      <c r="N3104" s="9" t="s">
        <v>20</v>
      </c>
    </row>
    <row r="3105" customFormat="false" ht="14.25" hidden="false" customHeight="true" outlineLevel="0" collapsed="false">
      <c r="B3105" s="9" t="s">
        <v>32</v>
      </c>
      <c r="C3105" s="9" t="n">
        <v>1185732</v>
      </c>
      <c r="D3105" s="10" t="n">
        <v>44257</v>
      </c>
      <c r="E3105" s="9" t="s">
        <v>38</v>
      </c>
      <c r="F3105" s="9" t="s">
        <v>116</v>
      </c>
      <c r="G3105" s="9" t="s">
        <v>117</v>
      </c>
      <c r="H3105" s="11" t="s">
        <v>19</v>
      </c>
      <c r="I3105" s="12" t="n">
        <v>20</v>
      </c>
      <c r="J3105" s="13" t="n">
        <v>470</v>
      </c>
      <c r="K3105" s="14" t="n">
        <f aca="false">I3105*J3105</f>
        <v>9400</v>
      </c>
      <c r="L3105" s="14" t="n">
        <f aca="false">($L$2*M3105)/100</f>
        <v>360499.95</v>
      </c>
      <c r="M3105" s="15" t="n">
        <v>0.3</v>
      </c>
      <c r="N3105" s="9" t="s">
        <v>20</v>
      </c>
    </row>
    <row r="3106" customFormat="false" ht="14.25" hidden="false" customHeight="true" outlineLevel="0" collapsed="false">
      <c r="B3106" s="9" t="s">
        <v>32</v>
      </c>
      <c r="C3106" s="9" t="n">
        <v>1185732</v>
      </c>
      <c r="D3106" s="10" t="n">
        <v>44257</v>
      </c>
      <c r="E3106" s="9" t="s">
        <v>38</v>
      </c>
      <c r="F3106" s="9" t="s">
        <v>116</v>
      </c>
      <c r="G3106" s="9" t="s">
        <v>117</v>
      </c>
      <c r="H3106" s="11" t="s">
        <v>21</v>
      </c>
      <c r="I3106" s="12" t="n">
        <v>20</v>
      </c>
      <c r="J3106" s="13" t="n">
        <v>175</v>
      </c>
      <c r="K3106" s="14" t="n">
        <f aca="false">I3106*J3106</f>
        <v>3500</v>
      </c>
      <c r="L3106" s="14" t="n">
        <f aca="false">($L$2*M3106)/100</f>
        <v>420583.275</v>
      </c>
      <c r="M3106" s="15" t="n">
        <v>0.35</v>
      </c>
      <c r="N3106" s="9" t="s">
        <v>20</v>
      </c>
    </row>
    <row r="3107" customFormat="false" ht="14.25" hidden="false" customHeight="true" outlineLevel="0" collapsed="false">
      <c r="B3107" s="9" t="s">
        <v>32</v>
      </c>
      <c r="C3107" s="9" t="n">
        <v>1185732</v>
      </c>
      <c r="D3107" s="10" t="n">
        <v>44257</v>
      </c>
      <c r="E3107" s="9" t="s">
        <v>38</v>
      </c>
      <c r="F3107" s="9" t="s">
        <v>116</v>
      </c>
      <c r="G3107" s="9" t="s">
        <v>117</v>
      </c>
      <c r="H3107" s="11" t="s">
        <v>22</v>
      </c>
      <c r="I3107" s="12" t="n">
        <v>10</v>
      </c>
      <c r="J3107" s="13" t="n">
        <v>225</v>
      </c>
      <c r="K3107" s="14" t="n">
        <f aca="false">I3107*J3107</f>
        <v>2250</v>
      </c>
      <c r="L3107" s="14" t="n">
        <f aca="false">($L$2*M3107)/100</f>
        <v>360499.95</v>
      </c>
      <c r="M3107" s="15" t="n">
        <v>0.3</v>
      </c>
      <c r="N3107" s="9" t="s">
        <v>20</v>
      </c>
    </row>
    <row r="3108" customFormat="false" ht="14.25" hidden="false" customHeight="true" outlineLevel="0" collapsed="false">
      <c r="B3108" s="9" t="s">
        <v>32</v>
      </c>
      <c r="C3108" s="9" t="n">
        <v>1185732</v>
      </c>
      <c r="D3108" s="10" t="n">
        <v>44257</v>
      </c>
      <c r="E3108" s="9" t="s">
        <v>38</v>
      </c>
      <c r="F3108" s="9" t="s">
        <v>116</v>
      </c>
      <c r="G3108" s="9" t="s">
        <v>117</v>
      </c>
      <c r="H3108" s="11" t="s">
        <v>23</v>
      </c>
      <c r="I3108" s="12" t="n">
        <v>15</v>
      </c>
      <c r="J3108" s="13" t="n">
        <v>75</v>
      </c>
      <c r="K3108" s="14" t="n">
        <f aca="false">I3108*J3108</f>
        <v>1125</v>
      </c>
      <c r="L3108" s="14" t="n">
        <f aca="false">($L$2*M3108)/100</f>
        <v>360499.95</v>
      </c>
      <c r="M3108" s="15" t="n">
        <v>0.3</v>
      </c>
      <c r="N3108" s="9" t="s">
        <v>20</v>
      </c>
    </row>
    <row r="3109" customFormat="false" ht="14.25" hidden="false" customHeight="true" outlineLevel="0" collapsed="false">
      <c r="B3109" s="9" t="s">
        <v>32</v>
      </c>
      <c r="C3109" s="9" t="n">
        <v>1185732</v>
      </c>
      <c r="D3109" s="10" t="n">
        <v>44257</v>
      </c>
      <c r="E3109" s="9" t="s">
        <v>38</v>
      </c>
      <c r="F3109" s="9" t="s">
        <v>116</v>
      </c>
      <c r="G3109" s="9" t="s">
        <v>117</v>
      </c>
      <c r="H3109" s="11" t="s">
        <v>24</v>
      </c>
      <c r="I3109" s="12" t="n">
        <v>30</v>
      </c>
      <c r="J3109" s="13" t="n">
        <v>125</v>
      </c>
      <c r="K3109" s="14" t="n">
        <f aca="false">I3109*J3109</f>
        <v>3750</v>
      </c>
      <c r="L3109" s="14" t="n">
        <f aca="false">($L$2*M3109)/100</f>
        <v>600833.25</v>
      </c>
      <c r="M3109" s="15" t="n">
        <v>0.5</v>
      </c>
      <c r="N3109" s="9" t="s">
        <v>20</v>
      </c>
    </row>
    <row r="3110" customFormat="false" ht="14.25" hidden="false" customHeight="true" outlineLevel="0" collapsed="false">
      <c r="B3110" s="9" t="s">
        <v>32</v>
      </c>
      <c r="C3110" s="9" t="n">
        <v>1185732</v>
      </c>
      <c r="D3110" s="10" t="n">
        <v>44257</v>
      </c>
      <c r="E3110" s="9" t="s">
        <v>38</v>
      </c>
      <c r="F3110" s="9" t="s">
        <v>116</v>
      </c>
      <c r="G3110" s="9" t="s">
        <v>117</v>
      </c>
      <c r="H3110" s="11" t="s">
        <v>25</v>
      </c>
      <c r="I3110" s="12" t="n">
        <v>20</v>
      </c>
      <c r="J3110" s="13" t="n">
        <v>225</v>
      </c>
      <c r="K3110" s="14" t="n">
        <f aca="false">I3110*J3110</f>
        <v>4500</v>
      </c>
      <c r="L3110" s="14" t="n">
        <f aca="false">($L$2*M3110)/100</f>
        <v>480666.6</v>
      </c>
      <c r="M3110" s="15" t="n">
        <v>0.4</v>
      </c>
      <c r="N3110" s="9" t="s">
        <v>20</v>
      </c>
    </row>
    <row r="3111" customFormat="false" ht="14.25" hidden="false" customHeight="true" outlineLevel="0" collapsed="false">
      <c r="B3111" s="9" t="s">
        <v>32</v>
      </c>
      <c r="C3111" s="9" t="n">
        <v>1185732</v>
      </c>
      <c r="D3111" s="10" t="n">
        <v>44289</v>
      </c>
      <c r="E3111" s="9" t="s">
        <v>38</v>
      </c>
      <c r="F3111" s="9" t="s">
        <v>116</v>
      </c>
      <c r="G3111" s="9" t="s">
        <v>117</v>
      </c>
      <c r="H3111" s="11" t="s">
        <v>19</v>
      </c>
      <c r="I3111" s="12" t="n">
        <v>20</v>
      </c>
      <c r="J3111" s="13" t="n">
        <v>450</v>
      </c>
      <c r="K3111" s="14" t="n">
        <f aca="false">I3111*J3111</f>
        <v>9000</v>
      </c>
      <c r="L3111" s="14" t="n">
        <f aca="false">($L$2*M3111)/100</f>
        <v>360499.95</v>
      </c>
      <c r="M3111" s="15" t="n">
        <v>0.3</v>
      </c>
      <c r="N3111" s="9" t="s">
        <v>20</v>
      </c>
    </row>
    <row r="3112" customFormat="false" ht="14.25" hidden="false" customHeight="true" outlineLevel="0" collapsed="false">
      <c r="B3112" s="9" t="s">
        <v>32</v>
      </c>
      <c r="C3112" s="9" t="n">
        <v>1185732</v>
      </c>
      <c r="D3112" s="10" t="n">
        <v>44289</v>
      </c>
      <c r="E3112" s="9" t="s">
        <v>38</v>
      </c>
      <c r="F3112" s="9" t="s">
        <v>116</v>
      </c>
      <c r="G3112" s="9" t="s">
        <v>117</v>
      </c>
      <c r="H3112" s="11" t="s">
        <v>21</v>
      </c>
      <c r="I3112" s="12" t="n">
        <v>20</v>
      </c>
      <c r="J3112" s="13" t="n">
        <v>150</v>
      </c>
      <c r="K3112" s="14" t="n">
        <f aca="false">I3112*J3112</f>
        <v>3000</v>
      </c>
      <c r="L3112" s="14" t="n">
        <f aca="false">($L$2*M3112)/100</f>
        <v>420583.275</v>
      </c>
      <c r="M3112" s="15" t="n">
        <v>0.35</v>
      </c>
      <c r="N3112" s="9" t="s">
        <v>20</v>
      </c>
    </row>
    <row r="3113" customFormat="false" ht="14.25" hidden="false" customHeight="true" outlineLevel="0" collapsed="false">
      <c r="B3113" s="9" t="s">
        <v>32</v>
      </c>
      <c r="C3113" s="9" t="n">
        <v>1185732</v>
      </c>
      <c r="D3113" s="10" t="n">
        <v>44289</v>
      </c>
      <c r="E3113" s="9" t="s">
        <v>38</v>
      </c>
      <c r="F3113" s="9" t="s">
        <v>116</v>
      </c>
      <c r="G3113" s="9" t="s">
        <v>117</v>
      </c>
      <c r="H3113" s="11" t="s">
        <v>22</v>
      </c>
      <c r="I3113" s="12" t="n">
        <v>10</v>
      </c>
      <c r="J3113" s="13" t="n">
        <v>150</v>
      </c>
      <c r="K3113" s="14" t="n">
        <f aca="false">I3113*J3113</f>
        <v>1500</v>
      </c>
      <c r="L3113" s="14" t="n">
        <f aca="false">($L$2*M3113)/100</f>
        <v>360499.95</v>
      </c>
      <c r="M3113" s="15" t="n">
        <v>0.3</v>
      </c>
      <c r="N3113" s="9" t="s">
        <v>20</v>
      </c>
    </row>
    <row r="3114" customFormat="false" ht="14.25" hidden="false" customHeight="true" outlineLevel="0" collapsed="false">
      <c r="B3114" s="9" t="s">
        <v>32</v>
      </c>
      <c r="C3114" s="9" t="n">
        <v>1185732</v>
      </c>
      <c r="D3114" s="10" t="n">
        <v>44289</v>
      </c>
      <c r="E3114" s="9" t="s">
        <v>38</v>
      </c>
      <c r="F3114" s="9" t="s">
        <v>116</v>
      </c>
      <c r="G3114" s="9" t="s">
        <v>117</v>
      </c>
      <c r="H3114" s="11" t="s">
        <v>23</v>
      </c>
      <c r="I3114" s="12" t="n">
        <v>15</v>
      </c>
      <c r="J3114" s="13" t="n">
        <v>75</v>
      </c>
      <c r="K3114" s="14" t="n">
        <f aca="false">I3114*J3114</f>
        <v>1125</v>
      </c>
      <c r="L3114" s="14" t="n">
        <f aca="false">($L$2*M3114)/100</f>
        <v>360499.95</v>
      </c>
      <c r="M3114" s="15" t="n">
        <v>0.3</v>
      </c>
      <c r="N3114" s="9" t="s">
        <v>20</v>
      </c>
    </row>
    <row r="3115" customFormat="false" ht="14.25" hidden="false" customHeight="true" outlineLevel="0" collapsed="false">
      <c r="B3115" s="9" t="s">
        <v>32</v>
      </c>
      <c r="C3115" s="9" t="n">
        <v>1185732</v>
      </c>
      <c r="D3115" s="10" t="n">
        <v>44289</v>
      </c>
      <c r="E3115" s="9" t="s">
        <v>38</v>
      </c>
      <c r="F3115" s="9" t="s">
        <v>116</v>
      </c>
      <c r="G3115" s="9" t="s">
        <v>117</v>
      </c>
      <c r="H3115" s="11" t="s">
        <v>24</v>
      </c>
      <c r="I3115" s="12" t="n">
        <v>60</v>
      </c>
      <c r="J3115" s="13" t="n">
        <v>100</v>
      </c>
      <c r="K3115" s="14" t="n">
        <f aca="false">I3115*J3115</f>
        <v>6000</v>
      </c>
      <c r="L3115" s="14" t="n">
        <f aca="false">($L$2*M3115)/100</f>
        <v>600833.25</v>
      </c>
      <c r="M3115" s="15" t="n">
        <v>0.5</v>
      </c>
      <c r="N3115" s="9" t="s">
        <v>20</v>
      </c>
    </row>
    <row r="3116" customFormat="false" ht="14.25" hidden="false" customHeight="true" outlineLevel="0" collapsed="false">
      <c r="B3116" s="9" t="s">
        <v>32</v>
      </c>
      <c r="C3116" s="9" t="n">
        <v>1185732</v>
      </c>
      <c r="D3116" s="10" t="n">
        <v>44289</v>
      </c>
      <c r="E3116" s="9" t="s">
        <v>38</v>
      </c>
      <c r="F3116" s="9" t="s">
        <v>116</v>
      </c>
      <c r="G3116" s="9" t="s">
        <v>117</v>
      </c>
      <c r="H3116" s="11" t="s">
        <v>25</v>
      </c>
      <c r="I3116" s="12" t="n">
        <v>50</v>
      </c>
      <c r="J3116" s="13" t="n">
        <v>225</v>
      </c>
      <c r="K3116" s="14" t="n">
        <f aca="false">I3116*J3116</f>
        <v>11250</v>
      </c>
      <c r="L3116" s="14" t="n">
        <f aca="false">($L$2*M3116)/100</f>
        <v>480666.6</v>
      </c>
      <c r="M3116" s="15" t="n">
        <v>0.4</v>
      </c>
      <c r="N3116" s="9" t="s">
        <v>20</v>
      </c>
    </row>
    <row r="3117" customFormat="false" ht="14.25" hidden="false" customHeight="true" outlineLevel="0" collapsed="false">
      <c r="B3117" s="9" t="s">
        <v>32</v>
      </c>
      <c r="C3117" s="9" t="n">
        <v>1185732</v>
      </c>
      <c r="D3117" s="10" t="n">
        <v>44320</v>
      </c>
      <c r="E3117" s="9" t="s">
        <v>38</v>
      </c>
      <c r="F3117" s="9" t="s">
        <v>116</v>
      </c>
      <c r="G3117" s="9" t="s">
        <v>117</v>
      </c>
      <c r="H3117" s="11" t="s">
        <v>19</v>
      </c>
      <c r="I3117" s="12" t="n">
        <v>60</v>
      </c>
      <c r="J3117" s="13" t="n">
        <v>495</v>
      </c>
      <c r="K3117" s="14" t="n">
        <f aca="false">I3117*J3117</f>
        <v>29700</v>
      </c>
      <c r="L3117" s="14" t="n">
        <f aca="false">($L$2*M3117)/100</f>
        <v>360499.95</v>
      </c>
      <c r="M3117" s="15" t="n">
        <v>0.3</v>
      </c>
      <c r="N3117" s="9" t="s">
        <v>20</v>
      </c>
    </row>
    <row r="3118" customFormat="false" ht="14.25" hidden="false" customHeight="true" outlineLevel="0" collapsed="false">
      <c r="B3118" s="9" t="s">
        <v>32</v>
      </c>
      <c r="C3118" s="9" t="n">
        <v>1185732</v>
      </c>
      <c r="D3118" s="10" t="n">
        <v>44320</v>
      </c>
      <c r="E3118" s="9" t="s">
        <v>38</v>
      </c>
      <c r="F3118" s="9" t="s">
        <v>116</v>
      </c>
      <c r="G3118" s="9" t="s">
        <v>117</v>
      </c>
      <c r="H3118" s="11" t="s">
        <v>21</v>
      </c>
      <c r="I3118" s="12" t="n">
        <v>40</v>
      </c>
      <c r="J3118" s="13" t="n">
        <v>200</v>
      </c>
      <c r="K3118" s="14" t="n">
        <f aca="false">I3118*J3118</f>
        <v>8000</v>
      </c>
      <c r="L3118" s="14" t="n">
        <f aca="false">($L$2*M3118)/100</f>
        <v>420583.275</v>
      </c>
      <c r="M3118" s="15" t="n">
        <v>0.35</v>
      </c>
      <c r="N3118" s="9" t="s">
        <v>20</v>
      </c>
    </row>
    <row r="3119" customFormat="false" ht="14.25" hidden="false" customHeight="true" outlineLevel="0" collapsed="false">
      <c r="B3119" s="9" t="s">
        <v>32</v>
      </c>
      <c r="C3119" s="9" t="n">
        <v>1185732</v>
      </c>
      <c r="D3119" s="10" t="n">
        <v>44320</v>
      </c>
      <c r="E3119" s="9" t="s">
        <v>38</v>
      </c>
      <c r="F3119" s="9" t="s">
        <v>116</v>
      </c>
      <c r="G3119" s="9" t="s">
        <v>117</v>
      </c>
      <c r="H3119" s="11" t="s">
        <v>22</v>
      </c>
      <c r="I3119" s="12" t="n">
        <v>35</v>
      </c>
      <c r="J3119" s="13" t="n">
        <v>175</v>
      </c>
      <c r="K3119" s="14" t="n">
        <f aca="false">I3119*J3119</f>
        <v>6125</v>
      </c>
      <c r="L3119" s="14" t="n">
        <f aca="false">($L$2*M3119)/100</f>
        <v>360499.95</v>
      </c>
      <c r="M3119" s="15" t="n">
        <v>0.3</v>
      </c>
      <c r="N3119" s="9" t="s">
        <v>20</v>
      </c>
    </row>
    <row r="3120" customFormat="false" ht="14.25" hidden="false" customHeight="true" outlineLevel="0" collapsed="false">
      <c r="B3120" s="9" t="s">
        <v>32</v>
      </c>
      <c r="C3120" s="9" t="n">
        <v>1185732</v>
      </c>
      <c r="D3120" s="10" t="n">
        <v>44320</v>
      </c>
      <c r="E3120" s="9" t="s">
        <v>38</v>
      </c>
      <c r="F3120" s="9" t="s">
        <v>116</v>
      </c>
      <c r="G3120" s="9" t="s">
        <v>117</v>
      </c>
      <c r="H3120" s="11" t="s">
        <v>23</v>
      </c>
      <c r="I3120" s="12" t="n">
        <v>35</v>
      </c>
      <c r="J3120" s="13" t="n">
        <v>150</v>
      </c>
      <c r="K3120" s="14" t="n">
        <f aca="false">I3120*J3120</f>
        <v>5250</v>
      </c>
      <c r="L3120" s="14" t="n">
        <f aca="false">($L$2*M3120)/100</f>
        <v>360499.95</v>
      </c>
      <c r="M3120" s="15" t="n">
        <v>0.3</v>
      </c>
      <c r="N3120" s="9" t="s">
        <v>20</v>
      </c>
    </row>
    <row r="3121" customFormat="false" ht="14.25" hidden="false" customHeight="true" outlineLevel="0" collapsed="false">
      <c r="B3121" s="9" t="s">
        <v>32</v>
      </c>
      <c r="C3121" s="9" t="n">
        <v>1185732</v>
      </c>
      <c r="D3121" s="10" t="n">
        <v>44320</v>
      </c>
      <c r="E3121" s="9" t="s">
        <v>38</v>
      </c>
      <c r="F3121" s="9" t="s">
        <v>116</v>
      </c>
      <c r="G3121" s="9" t="s">
        <v>117</v>
      </c>
      <c r="H3121" s="11" t="s">
        <v>24</v>
      </c>
      <c r="I3121" s="12" t="n">
        <v>45</v>
      </c>
      <c r="J3121" s="13" t="n">
        <v>175</v>
      </c>
      <c r="K3121" s="14" t="n">
        <f aca="false">I3121*J3121</f>
        <v>7875</v>
      </c>
      <c r="L3121" s="14" t="n">
        <f aca="false">($L$2*M3121)/100</f>
        <v>600833.25</v>
      </c>
      <c r="M3121" s="15" t="n">
        <v>0.5</v>
      </c>
      <c r="N3121" s="9" t="s">
        <v>20</v>
      </c>
    </row>
    <row r="3122" customFormat="false" ht="14.25" hidden="false" customHeight="true" outlineLevel="0" collapsed="false">
      <c r="B3122" s="9" t="s">
        <v>32</v>
      </c>
      <c r="C3122" s="9" t="n">
        <v>1185732</v>
      </c>
      <c r="D3122" s="10" t="n">
        <v>44320</v>
      </c>
      <c r="E3122" s="9" t="s">
        <v>38</v>
      </c>
      <c r="F3122" s="9" t="s">
        <v>116</v>
      </c>
      <c r="G3122" s="9" t="s">
        <v>117</v>
      </c>
      <c r="H3122" s="11" t="s">
        <v>25</v>
      </c>
      <c r="I3122" s="12" t="n">
        <v>50</v>
      </c>
      <c r="J3122" s="13" t="n">
        <v>300</v>
      </c>
      <c r="K3122" s="14" t="n">
        <f aca="false">I3122*J3122</f>
        <v>15000</v>
      </c>
      <c r="L3122" s="14" t="n">
        <f aca="false">($L$2*M3122)/100</f>
        <v>480666.6</v>
      </c>
      <c r="M3122" s="15" t="n">
        <v>0.4</v>
      </c>
      <c r="N3122" s="9" t="s">
        <v>20</v>
      </c>
    </row>
    <row r="3123" customFormat="false" ht="14.25" hidden="false" customHeight="true" outlineLevel="0" collapsed="false">
      <c r="B3123" s="9" t="s">
        <v>32</v>
      </c>
      <c r="C3123" s="9" t="n">
        <v>1185732</v>
      </c>
      <c r="D3123" s="10" t="n">
        <v>44350</v>
      </c>
      <c r="E3123" s="9" t="s">
        <v>38</v>
      </c>
      <c r="F3123" s="9" t="s">
        <v>116</v>
      </c>
      <c r="G3123" s="9" t="s">
        <v>117</v>
      </c>
      <c r="H3123" s="11" t="s">
        <v>19</v>
      </c>
      <c r="I3123" s="12" t="n">
        <v>35</v>
      </c>
      <c r="J3123" s="13" t="n">
        <v>550</v>
      </c>
      <c r="K3123" s="14" t="n">
        <f aca="false">I3123*J3123</f>
        <v>19250</v>
      </c>
      <c r="L3123" s="14" t="n">
        <f aca="false">($L$2*M3123)/100</f>
        <v>360499.95</v>
      </c>
      <c r="M3123" s="15" t="n">
        <v>0.3</v>
      </c>
      <c r="N3123" s="9" t="s">
        <v>20</v>
      </c>
    </row>
    <row r="3124" customFormat="false" ht="14.25" hidden="false" customHeight="true" outlineLevel="0" collapsed="false">
      <c r="B3124" s="9" t="s">
        <v>32</v>
      </c>
      <c r="C3124" s="9" t="n">
        <v>1185732</v>
      </c>
      <c r="D3124" s="10" t="n">
        <v>44350</v>
      </c>
      <c r="E3124" s="9" t="s">
        <v>38</v>
      </c>
      <c r="F3124" s="9" t="s">
        <v>116</v>
      </c>
      <c r="G3124" s="9" t="s">
        <v>117</v>
      </c>
      <c r="H3124" s="11" t="s">
        <v>21</v>
      </c>
      <c r="I3124" s="12" t="n">
        <v>30</v>
      </c>
      <c r="J3124" s="13" t="n">
        <v>300</v>
      </c>
      <c r="K3124" s="14" t="n">
        <f aca="false">I3124*J3124</f>
        <v>9000</v>
      </c>
      <c r="L3124" s="14" t="n">
        <f aca="false">($L$2*M3124)/100</f>
        <v>420583.275</v>
      </c>
      <c r="M3124" s="15" t="n">
        <v>0.35</v>
      </c>
      <c r="N3124" s="9" t="s">
        <v>20</v>
      </c>
    </row>
    <row r="3125" customFormat="false" ht="14.25" hidden="false" customHeight="true" outlineLevel="0" collapsed="false">
      <c r="B3125" s="9" t="s">
        <v>32</v>
      </c>
      <c r="C3125" s="9" t="n">
        <v>1185732</v>
      </c>
      <c r="D3125" s="10" t="n">
        <v>44350</v>
      </c>
      <c r="E3125" s="9" t="s">
        <v>38</v>
      </c>
      <c r="F3125" s="9" t="s">
        <v>116</v>
      </c>
      <c r="G3125" s="9" t="s">
        <v>117</v>
      </c>
      <c r="H3125" s="11" t="s">
        <v>22</v>
      </c>
      <c r="I3125" s="12" t="n">
        <v>25</v>
      </c>
      <c r="J3125" s="13" t="n">
        <v>200</v>
      </c>
      <c r="K3125" s="14" t="n">
        <f aca="false">I3125*J3125</f>
        <v>5000</v>
      </c>
      <c r="L3125" s="14" t="n">
        <f aca="false">($L$2*M3125)/100</f>
        <v>360499.95</v>
      </c>
      <c r="M3125" s="15" t="n">
        <v>0.3</v>
      </c>
      <c r="N3125" s="9" t="s">
        <v>20</v>
      </c>
    </row>
    <row r="3126" customFormat="false" ht="14.25" hidden="false" customHeight="true" outlineLevel="0" collapsed="false">
      <c r="B3126" s="9" t="s">
        <v>32</v>
      </c>
      <c r="C3126" s="9" t="n">
        <v>1185732</v>
      </c>
      <c r="D3126" s="10" t="n">
        <v>44350</v>
      </c>
      <c r="E3126" s="9" t="s">
        <v>38</v>
      </c>
      <c r="F3126" s="9" t="s">
        <v>116</v>
      </c>
      <c r="G3126" s="9" t="s">
        <v>117</v>
      </c>
      <c r="H3126" s="11" t="s">
        <v>23</v>
      </c>
      <c r="I3126" s="12" t="n">
        <v>25</v>
      </c>
      <c r="J3126" s="13" t="n">
        <v>175</v>
      </c>
      <c r="K3126" s="14" t="n">
        <f aca="false">I3126*J3126</f>
        <v>4375</v>
      </c>
      <c r="L3126" s="14" t="n">
        <f aca="false">($L$2*M3126)/100</f>
        <v>360499.95</v>
      </c>
      <c r="M3126" s="15" t="n">
        <v>0.3</v>
      </c>
      <c r="N3126" s="9" t="s">
        <v>20</v>
      </c>
    </row>
    <row r="3127" customFormat="false" ht="14.25" hidden="false" customHeight="true" outlineLevel="0" collapsed="false">
      <c r="B3127" s="9" t="s">
        <v>32</v>
      </c>
      <c r="C3127" s="9" t="n">
        <v>1185732</v>
      </c>
      <c r="D3127" s="10" t="n">
        <v>44350</v>
      </c>
      <c r="E3127" s="9" t="s">
        <v>38</v>
      </c>
      <c r="F3127" s="9" t="s">
        <v>116</v>
      </c>
      <c r="G3127" s="9" t="s">
        <v>117</v>
      </c>
      <c r="H3127" s="11" t="s">
        <v>24</v>
      </c>
      <c r="I3127" s="12" t="n">
        <v>35</v>
      </c>
      <c r="J3127" s="13" t="n">
        <v>175</v>
      </c>
      <c r="K3127" s="14" t="n">
        <f aca="false">I3127*J3127</f>
        <v>6125</v>
      </c>
      <c r="L3127" s="14" t="n">
        <f aca="false">($L$2*M3127)/100</f>
        <v>600833.25</v>
      </c>
      <c r="M3127" s="15" t="n">
        <v>0.5</v>
      </c>
      <c r="N3127" s="9" t="s">
        <v>20</v>
      </c>
    </row>
    <row r="3128" customFormat="false" ht="14.25" hidden="false" customHeight="true" outlineLevel="0" collapsed="false">
      <c r="B3128" s="9" t="s">
        <v>32</v>
      </c>
      <c r="C3128" s="9" t="n">
        <v>1185732</v>
      </c>
      <c r="D3128" s="10" t="n">
        <v>44350</v>
      </c>
      <c r="E3128" s="9" t="s">
        <v>38</v>
      </c>
      <c r="F3128" s="9" t="s">
        <v>116</v>
      </c>
      <c r="G3128" s="9" t="s">
        <v>117</v>
      </c>
      <c r="H3128" s="11" t="s">
        <v>25</v>
      </c>
      <c r="I3128" s="12" t="n">
        <v>55</v>
      </c>
      <c r="J3128" s="13" t="n">
        <v>325</v>
      </c>
      <c r="K3128" s="14" t="n">
        <f aca="false">I3128*J3128</f>
        <v>17875</v>
      </c>
      <c r="L3128" s="14" t="n">
        <f aca="false">($L$2*M3128)/100</f>
        <v>480666.6</v>
      </c>
      <c r="M3128" s="15" t="n">
        <v>0.4</v>
      </c>
      <c r="N3128" s="9" t="s">
        <v>20</v>
      </c>
    </row>
    <row r="3129" customFormat="false" ht="14.25" hidden="false" customHeight="true" outlineLevel="0" collapsed="false">
      <c r="B3129" s="9" t="s">
        <v>32</v>
      </c>
      <c r="C3129" s="9" t="n">
        <v>1185732</v>
      </c>
      <c r="D3129" s="10" t="n">
        <v>44379</v>
      </c>
      <c r="E3129" s="9" t="s">
        <v>38</v>
      </c>
      <c r="F3129" s="9" t="s">
        <v>116</v>
      </c>
      <c r="G3129" s="9" t="s">
        <v>117</v>
      </c>
      <c r="H3129" s="11" t="s">
        <v>19</v>
      </c>
      <c r="I3129" s="12" t="n">
        <v>50</v>
      </c>
      <c r="J3129" s="13" t="n">
        <v>550</v>
      </c>
      <c r="K3129" s="14" t="n">
        <f aca="false">I3129*J3129</f>
        <v>27500</v>
      </c>
      <c r="L3129" s="14" t="n">
        <f aca="false">($L$2*M3129)/100</f>
        <v>360499.95</v>
      </c>
      <c r="M3129" s="15" t="n">
        <v>0.3</v>
      </c>
      <c r="N3129" s="9" t="s">
        <v>20</v>
      </c>
    </row>
    <row r="3130" customFormat="false" ht="14.25" hidden="false" customHeight="true" outlineLevel="0" collapsed="false">
      <c r="B3130" s="9" t="s">
        <v>32</v>
      </c>
      <c r="C3130" s="9" t="n">
        <v>1185732</v>
      </c>
      <c r="D3130" s="10" t="n">
        <v>44379</v>
      </c>
      <c r="E3130" s="9" t="s">
        <v>38</v>
      </c>
      <c r="F3130" s="9" t="s">
        <v>116</v>
      </c>
      <c r="G3130" s="9" t="s">
        <v>117</v>
      </c>
      <c r="H3130" s="11" t="s">
        <v>21</v>
      </c>
      <c r="I3130" s="12" t="n">
        <v>45</v>
      </c>
      <c r="J3130" s="13" t="n">
        <v>300</v>
      </c>
      <c r="K3130" s="14" t="n">
        <f aca="false">I3130*J3130</f>
        <v>13500</v>
      </c>
      <c r="L3130" s="14" t="n">
        <f aca="false">($L$2*M3130)/100</f>
        <v>420583.275</v>
      </c>
      <c r="M3130" s="15" t="n">
        <v>0.35</v>
      </c>
      <c r="N3130" s="9" t="s">
        <v>20</v>
      </c>
    </row>
    <row r="3131" customFormat="false" ht="14.25" hidden="false" customHeight="true" outlineLevel="0" collapsed="false">
      <c r="B3131" s="9" t="s">
        <v>32</v>
      </c>
      <c r="C3131" s="9" t="n">
        <v>1185732</v>
      </c>
      <c r="D3131" s="10" t="n">
        <v>44379</v>
      </c>
      <c r="E3131" s="9" t="s">
        <v>38</v>
      </c>
      <c r="F3131" s="9" t="s">
        <v>116</v>
      </c>
      <c r="G3131" s="9" t="s">
        <v>117</v>
      </c>
      <c r="H3131" s="11" t="s">
        <v>22</v>
      </c>
      <c r="I3131" s="12" t="n">
        <v>40</v>
      </c>
      <c r="J3131" s="13" t="n">
        <v>225</v>
      </c>
      <c r="K3131" s="14" t="n">
        <f aca="false">I3131*J3131</f>
        <v>9000</v>
      </c>
      <c r="L3131" s="14" t="n">
        <f aca="false">($L$2*M3131)/100</f>
        <v>360499.95</v>
      </c>
      <c r="M3131" s="15" t="n">
        <v>0.3</v>
      </c>
      <c r="N3131" s="9" t="s">
        <v>20</v>
      </c>
    </row>
    <row r="3132" customFormat="false" ht="14.25" hidden="false" customHeight="true" outlineLevel="0" collapsed="false">
      <c r="B3132" s="9" t="s">
        <v>32</v>
      </c>
      <c r="C3132" s="9" t="n">
        <v>1185732</v>
      </c>
      <c r="D3132" s="10" t="n">
        <v>44379</v>
      </c>
      <c r="E3132" s="9" t="s">
        <v>38</v>
      </c>
      <c r="F3132" s="9" t="s">
        <v>116</v>
      </c>
      <c r="G3132" s="9" t="s">
        <v>117</v>
      </c>
      <c r="H3132" s="11" t="s">
        <v>23</v>
      </c>
      <c r="I3132" s="12" t="n">
        <v>40</v>
      </c>
      <c r="J3132" s="13" t="n">
        <v>175</v>
      </c>
      <c r="K3132" s="14" t="n">
        <f aca="false">I3132*J3132</f>
        <v>7000</v>
      </c>
      <c r="L3132" s="14" t="n">
        <f aca="false">($L$2*M3132)/100</f>
        <v>360499.95</v>
      </c>
      <c r="M3132" s="15" t="n">
        <v>0.3</v>
      </c>
      <c r="N3132" s="9" t="s">
        <v>20</v>
      </c>
    </row>
    <row r="3133" customFormat="false" ht="14.25" hidden="false" customHeight="true" outlineLevel="0" collapsed="false">
      <c r="B3133" s="9" t="s">
        <v>32</v>
      </c>
      <c r="C3133" s="9" t="n">
        <v>1185732</v>
      </c>
      <c r="D3133" s="10" t="n">
        <v>44379</v>
      </c>
      <c r="E3133" s="9" t="s">
        <v>38</v>
      </c>
      <c r="F3133" s="9" t="s">
        <v>116</v>
      </c>
      <c r="G3133" s="9" t="s">
        <v>117</v>
      </c>
      <c r="H3133" s="11" t="s">
        <v>24</v>
      </c>
      <c r="I3133" s="12" t="n">
        <v>50</v>
      </c>
      <c r="J3133" s="13" t="n">
        <v>200</v>
      </c>
      <c r="K3133" s="14" t="n">
        <f aca="false">I3133*J3133</f>
        <v>10000</v>
      </c>
      <c r="L3133" s="14" t="n">
        <f aca="false">($L$2*M3133)/100</f>
        <v>600833.25</v>
      </c>
      <c r="M3133" s="15" t="n">
        <v>0.5</v>
      </c>
      <c r="N3133" s="9" t="s">
        <v>20</v>
      </c>
    </row>
    <row r="3134" customFormat="false" ht="14.25" hidden="false" customHeight="true" outlineLevel="0" collapsed="false">
      <c r="B3134" s="9" t="s">
        <v>32</v>
      </c>
      <c r="C3134" s="9" t="n">
        <v>1185732</v>
      </c>
      <c r="D3134" s="10" t="n">
        <v>44379</v>
      </c>
      <c r="E3134" s="9" t="s">
        <v>38</v>
      </c>
      <c r="F3134" s="9" t="s">
        <v>116</v>
      </c>
      <c r="G3134" s="9" t="s">
        <v>117</v>
      </c>
      <c r="H3134" s="11" t="s">
        <v>25</v>
      </c>
      <c r="I3134" s="12" t="n">
        <v>55</v>
      </c>
      <c r="J3134" s="13" t="n">
        <v>375</v>
      </c>
      <c r="K3134" s="14" t="n">
        <f aca="false">I3134*J3134</f>
        <v>20625</v>
      </c>
      <c r="L3134" s="14" t="n">
        <f aca="false">($L$2*M3134)/100</f>
        <v>480666.6</v>
      </c>
      <c r="M3134" s="15" t="n">
        <v>0.4</v>
      </c>
      <c r="N3134" s="9" t="s">
        <v>20</v>
      </c>
    </row>
    <row r="3135" customFormat="false" ht="14.25" hidden="false" customHeight="true" outlineLevel="0" collapsed="false">
      <c r="B3135" s="9" t="s">
        <v>32</v>
      </c>
      <c r="C3135" s="9" t="n">
        <v>1185732</v>
      </c>
      <c r="D3135" s="10" t="n">
        <v>44411</v>
      </c>
      <c r="E3135" s="9" t="s">
        <v>38</v>
      </c>
      <c r="F3135" s="9" t="s">
        <v>116</v>
      </c>
      <c r="G3135" s="9" t="s">
        <v>117</v>
      </c>
      <c r="H3135" s="11" t="s">
        <v>19</v>
      </c>
      <c r="I3135" s="12" t="n">
        <v>50</v>
      </c>
      <c r="J3135" s="13" t="n">
        <v>525</v>
      </c>
      <c r="K3135" s="14" t="n">
        <f aca="false">I3135*J3135</f>
        <v>26250</v>
      </c>
      <c r="L3135" s="14" t="n">
        <f aca="false">($L$2*M3135)/100</f>
        <v>360499.95</v>
      </c>
      <c r="M3135" s="15" t="n">
        <v>0.3</v>
      </c>
      <c r="N3135" s="9" t="s">
        <v>20</v>
      </c>
    </row>
    <row r="3136" customFormat="false" ht="14.25" hidden="false" customHeight="true" outlineLevel="0" collapsed="false">
      <c r="B3136" s="9" t="s">
        <v>32</v>
      </c>
      <c r="C3136" s="9" t="n">
        <v>1185732</v>
      </c>
      <c r="D3136" s="10" t="n">
        <v>44411</v>
      </c>
      <c r="E3136" s="9" t="s">
        <v>38</v>
      </c>
      <c r="F3136" s="9" t="s">
        <v>116</v>
      </c>
      <c r="G3136" s="9" t="s">
        <v>117</v>
      </c>
      <c r="H3136" s="11" t="s">
        <v>21</v>
      </c>
      <c r="I3136" s="12" t="n">
        <v>45</v>
      </c>
      <c r="J3136" s="13" t="n">
        <v>300</v>
      </c>
      <c r="K3136" s="14" t="n">
        <f aca="false">I3136*J3136</f>
        <v>13500</v>
      </c>
      <c r="L3136" s="14" t="n">
        <f aca="false">($L$2*M3136)/100</f>
        <v>420583.275</v>
      </c>
      <c r="M3136" s="15" t="n">
        <v>0.35</v>
      </c>
      <c r="N3136" s="9" t="s">
        <v>20</v>
      </c>
    </row>
    <row r="3137" customFormat="false" ht="14.25" hidden="false" customHeight="true" outlineLevel="0" collapsed="false">
      <c r="B3137" s="9" t="s">
        <v>32</v>
      </c>
      <c r="C3137" s="9" t="n">
        <v>1185732</v>
      </c>
      <c r="D3137" s="10" t="n">
        <v>44411</v>
      </c>
      <c r="E3137" s="9" t="s">
        <v>38</v>
      </c>
      <c r="F3137" s="9" t="s">
        <v>116</v>
      </c>
      <c r="G3137" s="9" t="s">
        <v>117</v>
      </c>
      <c r="H3137" s="11" t="s">
        <v>22</v>
      </c>
      <c r="I3137" s="12" t="n">
        <v>40</v>
      </c>
      <c r="J3137" s="13" t="n">
        <v>225</v>
      </c>
      <c r="K3137" s="14" t="n">
        <f aca="false">I3137*J3137</f>
        <v>9000</v>
      </c>
      <c r="L3137" s="14" t="n">
        <f aca="false">($L$2*M3137)/100</f>
        <v>360499.95</v>
      </c>
      <c r="M3137" s="15" t="n">
        <v>0.3</v>
      </c>
      <c r="N3137" s="9" t="s">
        <v>20</v>
      </c>
    </row>
    <row r="3138" customFormat="false" ht="14.25" hidden="false" customHeight="true" outlineLevel="0" collapsed="false">
      <c r="B3138" s="9" t="s">
        <v>32</v>
      </c>
      <c r="C3138" s="9" t="n">
        <v>1185732</v>
      </c>
      <c r="D3138" s="10" t="n">
        <v>44411</v>
      </c>
      <c r="E3138" s="9" t="s">
        <v>38</v>
      </c>
      <c r="F3138" s="9" t="s">
        <v>116</v>
      </c>
      <c r="G3138" s="9" t="s">
        <v>117</v>
      </c>
      <c r="H3138" s="11" t="s">
        <v>23</v>
      </c>
      <c r="I3138" s="12" t="n">
        <v>40</v>
      </c>
      <c r="J3138" s="13" t="n">
        <v>200</v>
      </c>
      <c r="K3138" s="14" t="n">
        <f aca="false">I3138*J3138</f>
        <v>8000</v>
      </c>
      <c r="L3138" s="14" t="n">
        <f aca="false">($L$2*M3138)/100</f>
        <v>360499.95</v>
      </c>
      <c r="M3138" s="15" t="n">
        <v>0.3</v>
      </c>
      <c r="N3138" s="9" t="s">
        <v>20</v>
      </c>
    </row>
    <row r="3139" customFormat="false" ht="14.25" hidden="false" customHeight="true" outlineLevel="0" collapsed="false">
      <c r="B3139" s="9" t="s">
        <v>32</v>
      </c>
      <c r="C3139" s="9" t="n">
        <v>1185732</v>
      </c>
      <c r="D3139" s="10" t="n">
        <v>44411</v>
      </c>
      <c r="E3139" s="9" t="s">
        <v>38</v>
      </c>
      <c r="F3139" s="9" t="s">
        <v>116</v>
      </c>
      <c r="G3139" s="9" t="s">
        <v>117</v>
      </c>
      <c r="H3139" s="11" t="s">
        <v>24</v>
      </c>
      <c r="I3139" s="12" t="n">
        <v>50</v>
      </c>
      <c r="J3139" s="13" t="n">
        <v>175</v>
      </c>
      <c r="K3139" s="14" t="n">
        <f aca="false">I3139*J3139</f>
        <v>8750</v>
      </c>
      <c r="L3139" s="14" t="n">
        <f aca="false">($L$2*M3139)/100</f>
        <v>600833.25</v>
      </c>
      <c r="M3139" s="15" t="n">
        <v>0.5</v>
      </c>
      <c r="N3139" s="9" t="s">
        <v>20</v>
      </c>
    </row>
    <row r="3140" customFormat="false" ht="14.25" hidden="false" customHeight="true" outlineLevel="0" collapsed="false">
      <c r="B3140" s="9" t="s">
        <v>32</v>
      </c>
      <c r="C3140" s="9" t="n">
        <v>1185732</v>
      </c>
      <c r="D3140" s="10" t="n">
        <v>44411</v>
      </c>
      <c r="E3140" s="9" t="s">
        <v>38</v>
      </c>
      <c r="F3140" s="9" t="s">
        <v>116</v>
      </c>
      <c r="G3140" s="9" t="s">
        <v>117</v>
      </c>
      <c r="H3140" s="11" t="s">
        <v>25</v>
      </c>
      <c r="I3140" s="12" t="n">
        <v>55</v>
      </c>
      <c r="J3140" s="13" t="n">
        <v>350</v>
      </c>
      <c r="K3140" s="14" t="n">
        <f aca="false">I3140*J3140</f>
        <v>19250</v>
      </c>
      <c r="L3140" s="14" t="n">
        <f aca="false">($L$2*M3140)/100</f>
        <v>480666.6</v>
      </c>
      <c r="M3140" s="15" t="n">
        <v>0.4</v>
      </c>
      <c r="N3140" s="9" t="s">
        <v>20</v>
      </c>
    </row>
    <row r="3141" customFormat="false" ht="14.25" hidden="false" customHeight="true" outlineLevel="0" collapsed="false">
      <c r="B3141" s="9" t="s">
        <v>32</v>
      </c>
      <c r="C3141" s="9" t="n">
        <v>1185732</v>
      </c>
      <c r="D3141" s="10" t="n">
        <v>44443</v>
      </c>
      <c r="E3141" s="9" t="s">
        <v>38</v>
      </c>
      <c r="F3141" s="9" t="s">
        <v>116</v>
      </c>
      <c r="G3141" s="9" t="s">
        <v>117</v>
      </c>
      <c r="H3141" s="11" t="s">
        <v>19</v>
      </c>
      <c r="I3141" s="12" t="n">
        <v>35</v>
      </c>
      <c r="J3141" s="13" t="n">
        <v>475</v>
      </c>
      <c r="K3141" s="14" t="n">
        <f aca="false">I3141*J3141</f>
        <v>16625</v>
      </c>
      <c r="L3141" s="14" t="n">
        <f aca="false">($L$2*M3141)/100</f>
        <v>360499.95</v>
      </c>
      <c r="M3141" s="15" t="n">
        <v>0.3</v>
      </c>
      <c r="N3141" s="9" t="s">
        <v>20</v>
      </c>
    </row>
    <row r="3142" customFormat="false" ht="14.25" hidden="false" customHeight="true" outlineLevel="0" collapsed="false">
      <c r="B3142" s="9" t="s">
        <v>32</v>
      </c>
      <c r="C3142" s="9" t="n">
        <v>1185732</v>
      </c>
      <c r="D3142" s="10" t="n">
        <v>44443</v>
      </c>
      <c r="E3142" s="9" t="s">
        <v>38</v>
      </c>
      <c r="F3142" s="9" t="s">
        <v>116</v>
      </c>
      <c r="G3142" s="9" t="s">
        <v>117</v>
      </c>
      <c r="H3142" s="11" t="s">
        <v>21</v>
      </c>
      <c r="I3142" s="12" t="n">
        <v>30</v>
      </c>
      <c r="J3142" s="13" t="n">
        <v>250</v>
      </c>
      <c r="K3142" s="14" t="n">
        <f aca="false">I3142*J3142</f>
        <v>7500</v>
      </c>
      <c r="L3142" s="14" t="n">
        <f aca="false">($L$2*M3142)/100</f>
        <v>420583.275</v>
      </c>
      <c r="M3142" s="15" t="n">
        <v>0.35</v>
      </c>
      <c r="N3142" s="9" t="s">
        <v>20</v>
      </c>
    </row>
    <row r="3143" customFormat="false" ht="14.25" hidden="false" customHeight="true" outlineLevel="0" collapsed="false">
      <c r="B3143" s="9" t="s">
        <v>32</v>
      </c>
      <c r="C3143" s="9" t="n">
        <v>1185732</v>
      </c>
      <c r="D3143" s="10" t="n">
        <v>44443</v>
      </c>
      <c r="E3143" s="9" t="s">
        <v>38</v>
      </c>
      <c r="F3143" s="9" t="s">
        <v>116</v>
      </c>
      <c r="G3143" s="9" t="s">
        <v>117</v>
      </c>
      <c r="H3143" s="11" t="s">
        <v>22</v>
      </c>
      <c r="I3143" s="12" t="n">
        <v>25</v>
      </c>
      <c r="J3143" s="13" t="n">
        <v>150</v>
      </c>
      <c r="K3143" s="14" t="n">
        <f aca="false">I3143*J3143</f>
        <v>3750</v>
      </c>
      <c r="L3143" s="14" t="n">
        <f aca="false">($L$2*M3143)/100</f>
        <v>360499.95</v>
      </c>
      <c r="M3143" s="15" t="n">
        <v>0.3</v>
      </c>
      <c r="N3143" s="9" t="s">
        <v>20</v>
      </c>
    </row>
    <row r="3144" customFormat="false" ht="14.25" hidden="false" customHeight="true" outlineLevel="0" collapsed="false">
      <c r="B3144" s="9" t="s">
        <v>32</v>
      </c>
      <c r="C3144" s="9" t="n">
        <v>1185732</v>
      </c>
      <c r="D3144" s="10" t="n">
        <v>44443</v>
      </c>
      <c r="E3144" s="9" t="s">
        <v>38</v>
      </c>
      <c r="F3144" s="9" t="s">
        <v>116</v>
      </c>
      <c r="G3144" s="9" t="s">
        <v>117</v>
      </c>
      <c r="H3144" s="11" t="s">
        <v>23</v>
      </c>
      <c r="I3144" s="12" t="n">
        <v>25</v>
      </c>
      <c r="J3144" s="13" t="n">
        <v>125</v>
      </c>
      <c r="K3144" s="14" t="n">
        <f aca="false">I3144*J3144</f>
        <v>3125</v>
      </c>
      <c r="L3144" s="14" t="n">
        <f aca="false">($L$2*M3144)/100</f>
        <v>360499.95</v>
      </c>
      <c r="M3144" s="15" t="n">
        <v>0.3</v>
      </c>
      <c r="N3144" s="9" t="s">
        <v>20</v>
      </c>
    </row>
    <row r="3145" customFormat="false" ht="14.25" hidden="false" customHeight="true" outlineLevel="0" collapsed="false">
      <c r="B3145" s="9" t="s">
        <v>32</v>
      </c>
      <c r="C3145" s="9" t="n">
        <v>1185732</v>
      </c>
      <c r="D3145" s="10" t="n">
        <v>44443</v>
      </c>
      <c r="E3145" s="9" t="s">
        <v>38</v>
      </c>
      <c r="F3145" s="9" t="s">
        <v>116</v>
      </c>
      <c r="G3145" s="9" t="s">
        <v>117</v>
      </c>
      <c r="H3145" s="11" t="s">
        <v>24</v>
      </c>
      <c r="I3145" s="12" t="n">
        <v>35</v>
      </c>
      <c r="J3145" s="13" t="n">
        <v>125</v>
      </c>
      <c r="K3145" s="14" t="n">
        <f aca="false">I3145*J3145</f>
        <v>4375</v>
      </c>
      <c r="L3145" s="14" t="n">
        <f aca="false">($L$2*M3145)/100</f>
        <v>600833.25</v>
      </c>
      <c r="M3145" s="15" t="n">
        <v>0.5</v>
      </c>
      <c r="N3145" s="9" t="s">
        <v>20</v>
      </c>
    </row>
    <row r="3146" customFormat="false" ht="14.25" hidden="false" customHeight="true" outlineLevel="0" collapsed="false">
      <c r="B3146" s="9" t="s">
        <v>32</v>
      </c>
      <c r="C3146" s="9" t="n">
        <v>1185732</v>
      </c>
      <c r="D3146" s="10" t="n">
        <v>44443</v>
      </c>
      <c r="E3146" s="9" t="s">
        <v>38</v>
      </c>
      <c r="F3146" s="9" t="s">
        <v>116</v>
      </c>
      <c r="G3146" s="9" t="s">
        <v>117</v>
      </c>
      <c r="H3146" s="11" t="s">
        <v>25</v>
      </c>
      <c r="I3146" s="12" t="n">
        <v>40</v>
      </c>
      <c r="J3146" s="13" t="n">
        <v>200</v>
      </c>
      <c r="K3146" s="14" t="n">
        <f aca="false">I3146*J3146</f>
        <v>8000</v>
      </c>
      <c r="L3146" s="14" t="n">
        <f aca="false">($L$2*M3146)/100</f>
        <v>480666.6</v>
      </c>
      <c r="M3146" s="15" t="n">
        <v>0.4</v>
      </c>
      <c r="N3146" s="9" t="s">
        <v>20</v>
      </c>
    </row>
    <row r="3147" customFormat="false" ht="14.25" hidden="false" customHeight="true" outlineLevel="0" collapsed="false">
      <c r="B3147" s="9" t="s">
        <v>32</v>
      </c>
      <c r="C3147" s="9" t="n">
        <v>1185732</v>
      </c>
      <c r="D3147" s="10" t="n">
        <v>44472</v>
      </c>
      <c r="E3147" s="9" t="s">
        <v>38</v>
      </c>
      <c r="F3147" s="9" t="s">
        <v>116</v>
      </c>
      <c r="G3147" s="9" t="s">
        <v>117</v>
      </c>
      <c r="H3147" s="11" t="s">
        <v>19</v>
      </c>
      <c r="I3147" s="12" t="n">
        <v>45</v>
      </c>
      <c r="J3147" s="13" t="n">
        <v>375</v>
      </c>
      <c r="K3147" s="14" t="n">
        <f aca="false">I3147*J3147</f>
        <v>16875</v>
      </c>
      <c r="L3147" s="14" t="n">
        <f aca="false">($L$2*M3147)/100</f>
        <v>360499.95</v>
      </c>
      <c r="M3147" s="15" t="n">
        <v>0.3</v>
      </c>
      <c r="N3147" s="9" t="s">
        <v>20</v>
      </c>
    </row>
    <row r="3148" customFormat="false" ht="14.25" hidden="false" customHeight="true" outlineLevel="0" collapsed="false">
      <c r="B3148" s="9" t="s">
        <v>32</v>
      </c>
      <c r="C3148" s="9" t="n">
        <v>1185732</v>
      </c>
      <c r="D3148" s="10" t="n">
        <v>44472</v>
      </c>
      <c r="E3148" s="9" t="s">
        <v>38</v>
      </c>
      <c r="F3148" s="9" t="s">
        <v>116</v>
      </c>
      <c r="G3148" s="9" t="s">
        <v>117</v>
      </c>
      <c r="H3148" s="11" t="s">
        <v>21</v>
      </c>
      <c r="I3148" s="12" t="n">
        <v>35</v>
      </c>
      <c r="J3148" s="13" t="n">
        <v>225</v>
      </c>
      <c r="K3148" s="14" t="n">
        <f aca="false">I3148*J3148</f>
        <v>7875</v>
      </c>
      <c r="L3148" s="14" t="n">
        <f aca="false">($L$2*M3148)/100</f>
        <v>420583.275</v>
      </c>
      <c r="M3148" s="15" t="n">
        <v>0.35</v>
      </c>
      <c r="N3148" s="9" t="s">
        <v>20</v>
      </c>
    </row>
    <row r="3149" customFormat="false" ht="14.25" hidden="false" customHeight="true" outlineLevel="0" collapsed="false">
      <c r="B3149" s="9" t="s">
        <v>32</v>
      </c>
      <c r="C3149" s="9" t="n">
        <v>1185732</v>
      </c>
      <c r="D3149" s="10" t="n">
        <v>44472</v>
      </c>
      <c r="E3149" s="9" t="s">
        <v>38</v>
      </c>
      <c r="F3149" s="9" t="s">
        <v>116</v>
      </c>
      <c r="G3149" s="9" t="s">
        <v>117</v>
      </c>
      <c r="H3149" s="11" t="s">
        <v>22</v>
      </c>
      <c r="I3149" s="12" t="n">
        <v>35</v>
      </c>
      <c r="J3149" s="13" t="n">
        <v>125</v>
      </c>
      <c r="K3149" s="14" t="n">
        <f aca="false">I3149*J3149</f>
        <v>4375</v>
      </c>
      <c r="L3149" s="14" t="n">
        <f aca="false">($L$2*M3149)/100</f>
        <v>360499.95</v>
      </c>
      <c r="M3149" s="15" t="n">
        <v>0.3</v>
      </c>
      <c r="N3149" s="9" t="s">
        <v>20</v>
      </c>
    </row>
    <row r="3150" customFormat="false" ht="14.25" hidden="false" customHeight="true" outlineLevel="0" collapsed="false">
      <c r="B3150" s="9" t="s">
        <v>32</v>
      </c>
      <c r="C3150" s="9" t="n">
        <v>1185732</v>
      </c>
      <c r="D3150" s="10" t="n">
        <v>44472</v>
      </c>
      <c r="E3150" s="9" t="s">
        <v>38</v>
      </c>
      <c r="F3150" s="9" t="s">
        <v>116</v>
      </c>
      <c r="G3150" s="9" t="s">
        <v>117</v>
      </c>
      <c r="H3150" s="11" t="s">
        <v>23</v>
      </c>
      <c r="I3150" s="12" t="n">
        <v>35</v>
      </c>
      <c r="J3150" s="13" t="n">
        <v>125</v>
      </c>
      <c r="K3150" s="14" t="n">
        <f aca="false">I3150*J3150</f>
        <v>4375</v>
      </c>
      <c r="L3150" s="14" t="n">
        <f aca="false">($L$2*M3150)/100</f>
        <v>360499.95</v>
      </c>
      <c r="M3150" s="15" t="n">
        <v>0.3</v>
      </c>
      <c r="N3150" s="9" t="s">
        <v>20</v>
      </c>
    </row>
    <row r="3151" customFormat="false" ht="14.25" hidden="false" customHeight="true" outlineLevel="0" collapsed="false">
      <c r="B3151" s="9" t="s">
        <v>32</v>
      </c>
      <c r="C3151" s="9" t="n">
        <v>1185732</v>
      </c>
      <c r="D3151" s="10" t="n">
        <v>44472</v>
      </c>
      <c r="E3151" s="9" t="s">
        <v>38</v>
      </c>
      <c r="F3151" s="9" t="s">
        <v>116</v>
      </c>
      <c r="G3151" s="9" t="s">
        <v>117</v>
      </c>
      <c r="H3151" s="11" t="s">
        <v>24</v>
      </c>
      <c r="I3151" s="12" t="n">
        <v>45</v>
      </c>
      <c r="J3151" s="13" t="n">
        <v>125</v>
      </c>
      <c r="K3151" s="14" t="n">
        <f aca="false">I3151*J3151</f>
        <v>5625</v>
      </c>
      <c r="L3151" s="14" t="n">
        <f aca="false">($L$2*M3151)/100</f>
        <v>600833.25</v>
      </c>
      <c r="M3151" s="15" t="n">
        <v>0.5</v>
      </c>
      <c r="N3151" s="9" t="s">
        <v>20</v>
      </c>
    </row>
    <row r="3152" customFormat="false" ht="14.25" hidden="false" customHeight="true" outlineLevel="0" collapsed="false">
      <c r="B3152" s="9" t="s">
        <v>32</v>
      </c>
      <c r="C3152" s="9" t="n">
        <v>1185732</v>
      </c>
      <c r="D3152" s="10" t="n">
        <v>44472</v>
      </c>
      <c r="E3152" s="9" t="s">
        <v>38</v>
      </c>
      <c r="F3152" s="9" t="s">
        <v>116</v>
      </c>
      <c r="G3152" s="9" t="s">
        <v>117</v>
      </c>
      <c r="H3152" s="11" t="s">
        <v>25</v>
      </c>
      <c r="I3152" s="12" t="n">
        <v>50</v>
      </c>
      <c r="J3152" s="13" t="n">
        <v>250</v>
      </c>
      <c r="K3152" s="14" t="n">
        <f aca="false">I3152*J3152</f>
        <v>12500</v>
      </c>
      <c r="L3152" s="14" t="n">
        <f aca="false">($L$2*M3152)/100</f>
        <v>480666.6</v>
      </c>
      <c r="M3152" s="15" t="n">
        <v>0.4</v>
      </c>
      <c r="N3152" s="9" t="s">
        <v>20</v>
      </c>
    </row>
    <row r="3153" customFormat="false" ht="14.25" hidden="false" customHeight="true" outlineLevel="0" collapsed="false">
      <c r="B3153" s="9" t="s">
        <v>32</v>
      </c>
      <c r="C3153" s="9" t="n">
        <v>1185732</v>
      </c>
      <c r="D3153" s="10" t="n">
        <v>44503</v>
      </c>
      <c r="E3153" s="9" t="s">
        <v>38</v>
      </c>
      <c r="F3153" s="9" t="s">
        <v>116</v>
      </c>
      <c r="G3153" s="9" t="s">
        <v>117</v>
      </c>
      <c r="H3153" s="11" t="s">
        <v>19</v>
      </c>
      <c r="I3153" s="12" t="n">
        <v>45</v>
      </c>
      <c r="J3153" s="13" t="n">
        <v>400</v>
      </c>
      <c r="K3153" s="14" t="n">
        <f aca="false">I3153*J3153</f>
        <v>18000</v>
      </c>
      <c r="L3153" s="14" t="n">
        <f aca="false">($L$2*M3153)/100</f>
        <v>360499.95</v>
      </c>
      <c r="M3153" s="15" t="n">
        <v>0.3</v>
      </c>
      <c r="N3153" s="9" t="s">
        <v>20</v>
      </c>
    </row>
    <row r="3154" customFormat="false" ht="14.25" hidden="false" customHeight="true" outlineLevel="0" collapsed="false">
      <c r="B3154" s="9" t="s">
        <v>32</v>
      </c>
      <c r="C3154" s="9" t="n">
        <v>1185732</v>
      </c>
      <c r="D3154" s="10" t="n">
        <v>44503</v>
      </c>
      <c r="E3154" s="9" t="s">
        <v>38</v>
      </c>
      <c r="F3154" s="9" t="s">
        <v>116</v>
      </c>
      <c r="G3154" s="9" t="s">
        <v>117</v>
      </c>
      <c r="H3154" s="11" t="s">
        <v>21</v>
      </c>
      <c r="I3154" s="12" t="n">
        <v>35</v>
      </c>
      <c r="J3154" s="13" t="n">
        <v>300</v>
      </c>
      <c r="K3154" s="14" t="n">
        <f aca="false">I3154*J3154</f>
        <v>10500</v>
      </c>
      <c r="L3154" s="14" t="n">
        <f aca="false">($L$2*M3154)/100</f>
        <v>420583.275</v>
      </c>
      <c r="M3154" s="15" t="n">
        <v>0.35</v>
      </c>
      <c r="N3154" s="9" t="s">
        <v>20</v>
      </c>
    </row>
    <row r="3155" customFormat="false" ht="14.25" hidden="false" customHeight="true" outlineLevel="0" collapsed="false">
      <c r="B3155" s="9" t="s">
        <v>32</v>
      </c>
      <c r="C3155" s="9" t="n">
        <v>1185732</v>
      </c>
      <c r="D3155" s="10" t="n">
        <v>44503</v>
      </c>
      <c r="E3155" s="9" t="s">
        <v>38</v>
      </c>
      <c r="F3155" s="9" t="s">
        <v>116</v>
      </c>
      <c r="G3155" s="9" t="s">
        <v>117</v>
      </c>
      <c r="H3155" s="11" t="s">
        <v>22</v>
      </c>
      <c r="I3155" s="12" t="n">
        <v>35</v>
      </c>
      <c r="J3155" s="13" t="n">
        <v>245</v>
      </c>
      <c r="K3155" s="14" t="n">
        <f aca="false">I3155*J3155</f>
        <v>8575</v>
      </c>
      <c r="L3155" s="14" t="n">
        <f aca="false">($L$2*M3155)/100</f>
        <v>360499.95</v>
      </c>
      <c r="M3155" s="15" t="n">
        <v>0.3</v>
      </c>
      <c r="N3155" s="9" t="s">
        <v>20</v>
      </c>
    </row>
    <row r="3156" customFormat="false" ht="14.25" hidden="false" customHeight="true" outlineLevel="0" collapsed="false">
      <c r="B3156" s="9" t="s">
        <v>32</v>
      </c>
      <c r="C3156" s="9" t="n">
        <v>1185732</v>
      </c>
      <c r="D3156" s="10" t="n">
        <v>44503</v>
      </c>
      <c r="E3156" s="9" t="s">
        <v>38</v>
      </c>
      <c r="F3156" s="9" t="s">
        <v>116</v>
      </c>
      <c r="G3156" s="9" t="s">
        <v>117</v>
      </c>
      <c r="H3156" s="11" t="s">
        <v>23</v>
      </c>
      <c r="I3156" s="12" t="n">
        <v>35</v>
      </c>
      <c r="J3156" s="13" t="n">
        <v>225</v>
      </c>
      <c r="K3156" s="14" t="n">
        <f aca="false">I3156*J3156</f>
        <v>7875</v>
      </c>
      <c r="L3156" s="14" t="n">
        <f aca="false">($L$2*M3156)/100</f>
        <v>360499.95</v>
      </c>
      <c r="M3156" s="15" t="n">
        <v>0.3</v>
      </c>
      <c r="N3156" s="9" t="s">
        <v>20</v>
      </c>
    </row>
    <row r="3157" customFormat="false" ht="14.25" hidden="false" customHeight="true" outlineLevel="0" collapsed="false">
      <c r="B3157" s="9" t="s">
        <v>32</v>
      </c>
      <c r="C3157" s="9" t="n">
        <v>1185732</v>
      </c>
      <c r="D3157" s="10" t="n">
        <v>44503</v>
      </c>
      <c r="E3157" s="9" t="s">
        <v>38</v>
      </c>
      <c r="F3157" s="9" t="s">
        <v>116</v>
      </c>
      <c r="G3157" s="9" t="s">
        <v>117</v>
      </c>
      <c r="H3157" s="11" t="s">
        <v>24</v>
      </c>
      <c r="I3157" s="12" t="n">
        <v>60</v>
      </c>
      <c r="J3157" s="13" t="n">
        <v>200</v>
      </c>
      <c r="K3157" s="14" t="n">
        <f aca="false">I3157*J3157</f>
        <v>12000</v>
      </c>
      <c r="L3157" s="14" t="n">
        <f aca="false">($L$2*M3157)/100</f>
        <v>600833.25</v>
      </c>
      <c r="M3157" s="15" t="n">
        <v>0.5</v>
      </c>
      <c r="N3157" s="9" t="s">
        <v>20</v>
      </c>
    </row>
    <row r="3158" customFormat="false" ht="14.25" hidden="false" customHeight="true" outlineLevel="0" collapsed="false">
      <c r="B3158" s="9" t="s">
        <v>32</v>
      </c>
      <c r="C3158" s="9" t="n">
        <v>1185732</v>
      </c>
      <c r="D3158" s="10" t="n">
        <v>44503</v>
      </c>
      <c r="E3158" s="9" t="s">
        <v>38</v>
      </c>
      <c r="F3158" s="9" t="s">
        <v>116</v>
      </c>
      <c r="G3158" s="9" t="s">
        <v>117</v>
      </c>
      <c r="H3158" s="11" t="s">
        <v>25</v>
      </c>
      <c r="I3158" s="12" t="n">
        <v>65</v>
      </c>
      <c r="J3158" s="13" t="n">
        <v>300</v>
      </c>
      <c r="K3158" s="14" t="n">
        <f aca="false">I3158*J3158</f>
        <v>19500</v>
      </c>
      <c r="L3158" s="14" t="n">
        <f aca="false">($L$2*M3158)/100</f>
        <v>480666.6</v>
      </c>
      <c r="M3158" s="15" t="n">
        <v>0.4</v>
      </c>
      <c r="N3158" s="9" t="s">
        <v>20</v>
      </c>
    </row>
    <row r="3159" customFormat="false" ht="14.25" hidden="false" customHeight="true" outlineLevel="0" collapsed="false">
      <c r="B3159" s="9" t="s">
        <v>32</v>
      </c>
      <c r="C3159" s="9" t="n">
        <v>1185732</v>
      </c>
      <c r="D3159" s="10" t="n">
        <v>44532</v>
      </c>
      <c r="E3159" s="9" t="s">
        <v>38</v>
      </c>
      <c r="F3159" s="9" t="s">
        <v>116</v>
      </c>
      <c r="G3159" s="9" t="s">
        <v>117</v>
      </c>
      <c r="H3159" s="11" t="s">
        <v>19</v>
      </c>
      <c r="I3159" s="12" t="n">
        <v>60</v>
      </c>
      <c r="J3159" s="13" t="n">
        <v>550</v>
      </c>
      <c r="K3159" s="14" t="n">
        <f aca="false">I3159*J3159</f>
        <v>33000</v>
      </c>
      <c r="L3159" s="14" t="n">
        <f aca="false">($L$2*M3159)/100</f>
        <v>360499.95</v>
      </c>
      <c r="M3159" s="15" t="n">
        <v>0.3</v>
      </c>
      <c r="N3159" s="9" t="s">
        <v>20</v>
      </c>
    </row>
    <row r="3160" customFormat="false" ht="14.25" hidden="false" customHeight="true" outlineLevel="0" collapsed="false">
      <c r="B3160" s="9" t="s">
        <v>32</v>
      </c>
      <c r="C3160" s="9" t="n">
        <v>1185732</v>
      </c>
      <c r="D3160" s="10" t="n">
        <v>44532</v>
      </c>
      <c r="E3160" s="9" t="s">
        <v>38</v>
      </c>
      <c r="F3160" s="9" t="s">
        <v>116</v>
      </c>
      <c r="G3160" s="9" t="s">
        <v>117</v>
      </c>
      <c r="H3160" s="11" t="s">
        <v>21</v>
      </c>
      <c r="I3160" s="12" t="n">
        <v>50</v>
      </c>
      <c r="J3160" s="13" t="n">
        <v>350</v>
      </c>
      <c r="K3160" s="14" t="n">
        <f aca="false">I3160*J3160</f>
        <v>17500</v>
      </c>
      <c r="L3160" s="14" t="n">
        <f aca="false">($L$2*M3160)/100</f>
        <v>420583.275</v>
      </c>
      <c r="M3160" s="15" t="n">
        <v>0.35</v>
      </c>
      <c r="N3160" s="9" t="s">
        <v>20</v>
      </c>
    </row>
    <row r="3161" customFormat="false" ht="14.25" hidden="false" customHeight="true" outlineLevel="0" collapsed="false">
      <c r="B3161" s="9" t="s">
        <v>32</v>
      </c>
      <c r="C3161" s="9" t="n">
        <v>1185732</v>
      </c>
      <c r="D3161" s="10" t="n">
        <v>44532</v>
      </c>
      <c r="E3161" s="9" t="s">
        <v>38</v>
      </c>
      <c r="F3161" s="9" t="s">
        <v>116</v>
      </c>
      <c r="G3161" s="9" t="s">
        <v>117</v>
      </c>
      <c r="H3161" s="11" t="s">
        <v>22</v>
      </c>
      <c r="I3161" s="12" t="n">
        <v>50</v>
      </c>
      <c r="J3161" s="13" t="n">
        <v>300</v>
      </c>
      <c r="K3161" s="14" t="n">
        <f aca="false">I3161*J3161</f>
        <v>15000</v>
      </c>
      <c r="L3161" s="14" t="n">
        <f aca="false">($L$2*M3161)/100</f>
        <v>360499.95</v>
      </c>
      <c r="M3161" s="15" t="n">
        <v>0.3</v>
      </c>
      <c r="N3161" s="9" t="s">
        <v>20</v>
      </c>
    </row>
    <row r="3162" customFormat="false" ht="14.25" hidden="false" customHeight="true" outlineLevel="0" collapsed="false">
      <c r="B3162" s="9" t="s">
        <v>32</v>
      </c>
      <c r="C3162" s="9" t="n">
        <v>1185732</v>
      </c>
      <c r="D3162" s="10" t="n">
        <v>44532</v>
      </c>
      <c r="E3162" s="9" t="s">
        <v>38</v>
      </c>
      <c r="F3162" s="9" t="s">
        <v>116</v>
      </c>
      <c r="G3162" s="9" t="s">
        <v>117</v>
      </c>
      <c r="H3162" s="11" t="s">
        <v>23</v>
      </c>
      <c r="I3162" s="12" t="n">
        <v>50</v>
      </c>
      <c r="J3162" s="13" t="n">
        <v>250</v>
      </c>
      <c r="K3162" s="14" t="n">
        <f aca="false">I3162*J3162</f>
        <v>12500</v>
      </c>
      <c r="L3162" s="14" t="n">
        <f aca="false">($L$2*M3162)/100</f>
        <v>360499.95</v>
      </c>
      <c r="M3162" s="15" t="n">
        <v>0.3</v>
      </c>
      <c r="N3162" s="9" t="s">
        <v>20</v>
      </c>
    </row>
    <row r="3163" customFormat="false" ht="14.25" hidden="false" customHeight="true" outlineLevel="0" collapsed="false">
      <c r="B3163" s="9" t="s">
        <v>32</v>
      </c>
      <c r="C3163" s="9" t="n">
        <v>1185732</v>
      </c>
      <c r="D3163" s="10" t="n">
        <v>44532</v>
      </c>
      <c r="E3163" s="9" t="s">
        <v>38</v>
      </c>
      <c r="F3163" s="9" t="s">
        <v>116</v>
      </c>
      <c r="G3163" s="9" t="s">
        <v>117</v>
      </c>
      <c r="H3163" s="11" t="s">
        <v>24</v>
      </c>
      <c r="I3163" s="12" t="n">
        <v>60</v>
      </c>
      <c r="J3163" s="13" t="n">
        <v>250</v>
      </c>
      <c r="K3163" s="14" t="n">
        <f aca="false">I3163*J3163</f>
        <v>15000</v>
      </c>
      <c r="L3163" s="14" t="n">
        <f aca="false">($L$2*M3163)/100</f>
        <v>600833.25</v>
      </c>
      <c r="M3163" s="15" t="n">
        <v>0.5</v>
      </c>
      <c r="N3163" s="9" t="s">
        <v>20</v>
      </c>
    </row>
    <row r="3164" customFormat="false" ht="14.25" hidden="false" customHeight="true" outlineLevel="0" collapsed="false">
      <c r="B3164" s="9" t="s">
        <v>32</v>
      </c>
      <c r="C3164" s="9" t="n">
        <v>1185732</v>
      </c>
      <c r="D3164" s="10" t="n">
        <v>44532</v>
      </c>
      <c r="E3164" s="9" t="s">
        <v>38</v>
      </c>
      <c r="F3164" s="9" t="s">
        <v>116</v>
      </c>
      <c r="G3164" s="9" t="s">
        <v>117</v>
      </c>
      <c r="H3164" s="11" t="s">
        <v>25</v>
      </c>
      <c r="I3164" s="12" t="n">
        <v>65</v>
      </c>
      <c r="J3164" s="13" t="n">
        <v>350</v>
      </c>
      <c r="K3164" s="14" t="n">
        <f aca="false">I3164*J3164</f>
        <v>22750</v>
      </c>
      <c r="L3164" s="14" t="n">
        <f aca="false">($L$2*M3164)/100</f>
        <v>480666.6</v>
      </c>
      <c r="M3164" s="15" t="n">
        <v>0.4</v>
      </c>
      <c r="N3164" s="9" t="s">
        <v>20</v>
      </c>
    </row>
    <row r="3165" customFormat="false" ht="14.25" hidden="false" customHeight="true" outlineLevel="0" collapsed="false">
      <c r="B3165" s="9" t="s">
        <v>32</v>
      </c>
      <c r="C3165" s="9" t="n">
        <v>1185732</v>
      </c>
      <c r="D3165" s="10" t="n">
        <v>44206</v>
      </c>
      <c r="E3165" s="9" t="s">
        <v>38</v>
      </c>
      <c r="F3165" s="9" t="s">
        <v>116</v>
      </c>
      <c r="G3165" s="9" t="s">
        <v>117</v>
      </c>
      <c r="H3165" s="11" t="s">
        <v>19</v>
      </c>
      <c r="I3165" s="12" t="n">
        <v>35</v>
      </c>
      <c r="J3165" s="13" t="n">
        <v>500</v>
      </c>
      <c r="K3165" s="14" t="n">
        <f aca="false">I3165*J3165</f>
        <v>17500</v>
      </c>
      <c r="L3165" s="14" t="n">
        <f aca="false">($L$2*M3165)/100</f>
        <v>480666.6</v>
      </c>
      <c r="M3165" s="15" t="n">
        <v>0.4</v>
      </c>
      <c r="N3165" s="9" t="s">
        <v>20</v>
      </c>
    </row>
    <row r="3166" customFormat="false" ht="14.25" hidden="false" customHeight="true" outlineLevel="0" collapsed="false">
      <c r="B3166" s="9" t="s">
        <v>32</v>
      </c>
      <c r="C3166" s="9" t="n">
        <v>1185732</v>
      </c>
      <c r="D3166" s="10" t="n">
        <v>44206</v>
      </c>
      <c r="E3166" s="9" t="s">
        <v>38</v>
      </c>
      <c r="F3166" s="9" t="s">
        <v>116</v>
      </c>
      <c r="G3166" s="9" t="s">
        <v>117</v>
      </c>
      <c r="H3166" s="11" t="s">
        <v>21</v>
      </c>
      <c r="I3166" s="12" t="n">
        <v>35</v>
      </c>
      <c r="J3166" s="13" t="n">
        <v>300</v>
      </c>
      <c r="K3166" s="14" t="n">
        <f aca="false">I3166*J3166</f>
        <v>10500</v>
      </c>
      <c r="L3166" s="14" t="n">
        <f aca="false">($L$2*M3166)/100</f>
        <v>480666.6</v>
      </c>
      <c r="M3166" s="15" t="n">
        <v>0.4</v>
      </c>
      <c r="N3166" s="9" t="s">
        <v>20</v>
      </c>
    </row>
    <row r="3167" customFormat="false" ht="14.25" hidden="false" customHeight="true" outlineLevel="0" collapsed="false">
      <c r="B3167" s="9" t="s">
        <v>32</v>
      </c>
      <c r="C3167" s="9" t="n">
        <v>1185732</v>
      </c>
      <c r="D3167" s="10" t="n">
        <v>44206</v>
      </c>
      <c r="E3167" s="9" t="s">
        <v>38</v>
      </c>
      <c r="F3167" s="9" t="s">
        <v>116</v>
      </c>
      <c r="G3167" s="9" t="s">
        <v>117</v>
      </c>
      <c r="H3167" s="11" t="s">
        <v>22</v>
      </c>
      <c r="I3167" s="12" t="n">
        <v>25</v>
      </c>
      <c r="J3167" s="13" t="n">
        <v>300</v>
      </c>
      <c r="K3167" s="14" t="n">
        <f aca="false">I3167*J3167</f>
        <v>7500</v>
      </c>
      <c r="L3167" s="14" t="n">
        <f aca="false">($L$2*M3167)/100</f>
        <v>420583.275</v>
      </c>
      <c r="M3167" s="15" t="n">
        <v>0.35</v>
      </c>
      <c r="N3167" s="9" t="s">
        <v>20</v>
      </c>
    </row>
    <row r="3168" customFormat="false" ht="14.25" hidden="false" customHeight="true" outlineLevel="0" collapsed="false">
      <c r="B3168" s="9" t="s">
        <v>32</v>
      </c>
      <c r="C3168" s="9" t="n">
        <v>1185732</v>
      </c>
      <c r="D3168" s="10" t="n">
        <v>44206</v>
      </c>
      <c r="E3168" s="9" t="s">
        <v>38</v>
      </c>
      <c r="F3168" s="9" t="s">
        <v>116</v>
      </c>
      <c r="G3168" s="9" t="s">
        <v>117</v>
      </c>
      <c r="H3168" s="11" t="s">
        <v>23</v>
      </c>
      <c r="I3168" s="12" t="n">
        <v>30</v>
      </c>
      <c r="J3168" s="13" t="n">
        <v>150</v>
      </c>
      <c r="K3168" s="14" t="n">
        <f aca="false">I3168*J3168</f>
        <v>4500</v>
      </c>
      <c r="L3168" s="14" t="n">
        <f aca="false">($L$2*M3168)/100</f>
        <v>420583.275</v>
      </c>
      <c r="M3168" s="15" t="n">
        <v>0.35</v>
      </c>
      <c r="N3168" s="9" t="s">
        <v>20</v>
      </c>
    </row>
    <row r="3169" customFormat="false" ht="14.25" hidden="false" customHeight="true" outlineLevel="0" collapsed="false">
      <c r="B3169" s="9" t="s">
        <v>32</v>
      </c>
      <c r="C3169" s="9" t="n">
        <v>1185732</v>
      </c>
      <c r="D3169" s="10" t="n">
        <v>44206</v>
      </c>
      <c r="E3169" s="9" t="s">
        <v>38</v>
      </c>
      <c r="F3169" s="9" t="s">
        <v>116</v>
      </c>
      <c r="G3169" s="9" t="s">
        <v>117</v>
      </c>
      <c r="H3169" s="11" t="s">
        <v>24</v>
      </c>
      <c r="I3169" s="12" t="n">
        <v>45</v>
      </c>
      <c r="J3169" s="13" t="n">
        <v>200</v>
      </c>
      <c r="K3169" s="14" t="n">
        <f aca="false">I3169*J3169</f>
        <v>9000</v>
      </c>
      <c r="L3169" s="14" t="n">
        <f aca="false">($L$2*M3169)/100</f>
        <v>360499.95</v>
      </c>
      <c r="M3169" s="15" t="n">
        <v>0.3</v>
      </c>
      <c r="N3169" s="9" t="s">
        <v>20</v>
      </c>
    </row>
    <row r="3170" customFormat="false" ht="14.25" hidden="false" customHeight="true" outlineLevel="0" collapsed="false">
      <c r="B3170" s="9" t="s">
        <v>32</v>
      </c>
      <c r="C3170" s="9" t="n">
        <v>1185732</v>
      </c>
      <c r="D3170" s="10" t="n">
        <v>44206</v>
      </c>
      <c r="E3170" s="9" t="s">
        <v>38</v>
      </c>
      <c r="F3170" s="9" t="s">
        <v>116</v>
      </c>
      <c r="G3170" s="9" t="s">
        <v>117</v>
      </c>
      <c r="H3170" s="11" t="s">
        <v>25</v>
      </c>
      <c r="I3170" s="12" t="n">
        <v>35</v>
      </c>
      <c r="J3170" s="13" t="n">
        <v>300</v>
      </c>
      <c r="K3170" s="14" t="n">
        <f aca="false">I3170*J3170</f>
        <v>10500</v>
      </c>
      <c r="L3170" s="14" t="n">
        <f aca="false">($L$2*M3170)/100</f>
        <v>480666.6</v>
      </c>
      <c r="M3170" s="15" t="n">
        <v>0.4</v>
      </c>
      <c r="N3170" s="9" t="s">
        <v>20</v>
      </c>
    </row>
    <row r="3171" customFormat="false" ht="14.25" hidden="false" customHeight="true" outlineLevel="0" collapsed="false">
      <c r="B3171" s="9" t="s">
        <v>32</v>
      </c>
      <c r="C3171" s="9" t="n">
        <v>1185732</v>
      </c>
      <c r="D3171" s="10" t="n">
        <v>44237</v>
      </c>
      <c r="E3171" s="9" t="s">
        <v>38</v>
      </c>
      <c r="F3171" s="9" t="s">
        <v>116</v>
      </c>
      <c r="G3171" s="9" t="s">
        <v>117</v>
      </c>
      <c r="H3171" s="11" t="s">
        <v>19</v>
      </c>
      <c r="I3171" s="12" t="n">
        <v>35</v>
      </c>
      <c r="J3171" s="13" t="n">
        <v>550</v>
      </c>
      <c r="K3171" s="14" t="n">
        <f aca="false">I3171*J3171</f>
        <v>19250</v>
      </c>
      <c r="L3171" s="14" t="n">
        <f aca="false">($L$2*M3171)/100</f>
        <v>480666.6</v>
      </c>
      <c r="M3171" s="15" t="n">
        <v>0.4</v>
      </c>
      <c r="N3171" s="9" t="s">
        <v>20</v>
      </c>
    </row>
    <row r="3172" customFormat="false" ht="14.25" hidden="false" customHeight="true" outlineLevel="0" collapsed="false">
      <c r="B3172" s="9" t="s">
        <v>32</v>
      </c>
      <c r="C3172" s="9" t="n">
        <v>1185732</v>
      </c>
      <c r="D3172" s="10" t="n">
        <v>44237</v>
      </c>
      <c r="E3172" s="9" t="s">
        <v>38</v>
      </c>
      <c r="F3172" s="9" t="s">
        <v>116</v>
      </c>
      <c r="G3172" s="9" t="s">
        <v>117</v>
      </c>
      <c r="H3172" s="11" t="s">
        <v>21</v>
      </c>
      <c r="I3172" s="12" t="n">
        <v>35</v>
      </c>
      <c r="J3172" s="13" t="n">
        <v>200</v>
      </c>
      <c r="K3172" s="14" t="n">
        <f aca="false">I3172*J3172</f>
        <v>7000</v>
      </c>
      <c r="L3172" s="14" t="n">
        <f aca="false">($L$2*M3172)/100</f>
        <v>480666.6</v>
      </c>
      <c r="M3172" s="15" t="n">
        <v>0.4</v>
      </c>
      <c r="N3172" s="9" t="s">
        <v>20</v>
      </c>
    </row>
    <row r="3173" customFormat="false" ht="14.25" hidden="false" customHeight="true" outlineLevel="0" collapsed="false">
      <c r="B3173" s="9" t="s">
        <v>32</v>
      </c>
      <c r="C3173" s="9" t="n">
        <v>1185732</v>
      </c>
      <c r="D3173" s="10" t="n">
        <v>44237</v>
      </c>
      <c r="E3173" s="9" t="s">
        <v>38</v>
      </c>
      <c r="F3173" s="9" t="s">
        <v>116</v>
      </c>
      <c r="G3173" s="9" t="s">
        <v>117</v>
      </c>
      <c r="H3173" s="11" t="s">
        <v>22</v>
      </c>
      <c r="I3173" s="12" t="n">
        <v>25</v>
      </c>
      <c r="J3173" s="13" t="n">
        <v>250</v>
      </c>
      <c r="K3173" s="14" t="n">
        <f aca="false">I3173*J3173</f>
        <v>6250</v>
      </c>
      <c r="L3173" s="14" t="n">
        <f aca="false">($L$2*M3173)/100</f>
        <v>420583.275</v>
      </c>
      <c r="M3173" s="15" t="n">
        <v>0.35</v>
      </c>
      <c r="N3173" s="9" t="s">
        <v>20</v>
      </c>
    </row>
    <row r="3174" customFormat="false" ht="14.25" hidden="false" customHeight="true" outlineLevel="0" collapsed="false">
      <c r="B3174" s="9" t="s">
        <v>32</v>
      </c>
      <c r="C3174" s="9" t="n">
        <v>1185732</v>
      </c>
      <c r="D3174" s="10" t="n">
        <v>44237</v>
      </c>
      <c r="E3174" s="9" t="s">
        <v>38</v>
      </c>
      <c r="F3174" s="9" t="s">
        <v>118</v>
      </c>
      <c r="G3174" s="9" t="s">
        <v>119</v>
      </c>
      <c r="H3174" s="11" t="s">
        <v>23</v>
      </c>
      <c r="I3174" s="12" t="n">
        <v>30</v>
      </c>
      <c r="J3174" s="13" t="n">
        <v>125</v>
      </c>
      <c r="K3174" s="14" t="n">
        <f aca="false">I3174*J3174</f>
        <v>3750</v>
      </c>
      <c r="L3174" s="14" t="n">
        <f aca="false">($L$2*M3174)/100</f>
        <v>420583.275</v>
      </c>
      <c r="M3174" s="15" t="n">
        <v>0.35</v>
      </c>
      <c r="N3174" s="9" t="s">
        <v>20</v>
      </c>
    </row>
    <row r="3175" customFormat="false" ht="14.25" hidden="false" customHeight="true" outlineLevel="0" collapsed="false">
      <c r="B3175" s="9" t="s">
        <v>32</v>
      </c>
      <c r="C3175" s="9" t="n">
        <v>1185732</v>
      </c>
      <c r="D3175" s="10" t="n">
        <v>44237</v>
      </c>
      <c r="E3175" s="9" t="s">
        <v>38</v>
      </c>
      <c r="F3175" s="9" t="s">
        <v>118</v>
      </c>
      <c r="G3175" s="9" t="s">
        <v>119</v>
      </c>
      <c r="H3175" s="11" t="s">
        <v>24</v>
      </c>
      <c r="I3175" s="12" t="n">
        <v>45</v>
      </c>
      <c r="J3175" s="13" t="n">
        <v>200</v>
      </c>
      <c r="K3175" s="14" t="n">
        <f aca="false">I3175*J3175</f>
        <v>9000</v>
      </c>
      <c r="L3175" s="14" t="n">
        <f aca="false">($L$2*M3175)/100</f>
        <v>360499.95</v>
      </c>
      <c r="M3175" s="15" t="n">
        <v>0.3</v>
      </c>
      <c r="N3175" s="9" t="s">
        <v>20</v>
      </c>
    </row>
    <row r="3176" customFormat="false" ht="14.25" hidden="false" customHeight="true" outlineLevel="0" collapsed="false">
      <c r="B3176" s="9" t="s">
        <v>32</v>
      </c>
      <c r="C3176" s="9" t="n">
        <v>1185732</v>
      </c>
      <c r="D3176" s="10" t="n">
        <v>44237</v>
      </c>
      <c r="E3176" s="9" t="s">
        <v>38</v>
      </c>
      <c r="F3176" s="9" t="s">
        <v>118</v>
      </c>
      <c r="G3176" s="9" t="s">
        <v>119</v>
      </c>
      <c r="H3176" s="11" t="s">
        <v>25</v>
      </c>
      <c r="I3176" s="12" t="n">
        <v>20</v>
      </c>
      <c r="J3176" s="13" t="n">
        <v>300</v>
      </c>
      <c r="K3176" s="14" t="n">
        <f aca="false">I3176*J3176</f>
        <v>6000</v>
      </c>
      <c r="L3176" s="14" t="n">
        <f aca="false">($L$2*M3176)/100</f>
        <v>480666.6</v>
      </c>
      <c r="M3176" s="15" t="n">
        <v>0.4</v>
      </c>
      <c r="N3176" s="9" t="s">
        <v>20</v>
      </c>
    </row>
    <row r="3177" customFormat="false" ht="14.25" hidden="false" customHeight="true" outlineLevel="0" collapsed="false">
      <c r="B3177" s="9" t="s">
        <v>32</v>
      </c>
      <c r="C3177" s="9" t="n">
        <v>1185732</v>
      </c>
      <c r="D3177" s="10" t="n">
        <v>44264</v>
      </c>
      <c r="E3177" s="9" t="s">
        <v>38</v>
      </c>
      <c r="F3177" s="9" t="s">
        <v>118</v>
      </c>
      <c r="G3177" s="9" t="s">
        <v>119</v>
      </c>
      <c r="H3177" s="11" t="s">
        <v>19</v>
      </c>
      <c r="I3177" s="12" t="n">
        <v>25</v>
      </c>
      <c r="J3177" s="13" t="n">
        <v>520</v>
      </c>
      <c r="K3177" s="14" t="n">
        <f aca="false">I3177*J3177</f>
        <v>13000</v>
      </c>
      <c r="L3177" s="14" t="n">
        <f aca="false">($L$2*M3177)/100</f>
        <v>480666.6</v>
      </c>
      <c r="M3177" s="15" t="n">
        <v>0.4</v>
      </c>
      <c r="N3177" s="9" t="s">
        <v>20</v>
      </c>
    </row>
    <row r="3178" customFormat="false" ht="14.25" hidden="false" customHeight="true" outlineLevel="0" collapsed="false">
      <c r="B3178" s="9" t="s">
        <v>32</v>
      </c>
      <c r="C3178" s="9" t="n">
        <v>1185732</v>
      </c>
      <c r="D3178" s="10" t="n">
        <v>44264</v>
      </c>
      <c r="E3178" s="9" t="s">
        <v>38</v>
      </c>
      <c r="F3178" s="9" t="s">
        <v>118</v>
      </c>
      <c r="G3178" s="9" t="s">
        <v>119</v>
      </c>
      <c r="H3178" s="11" t="s">
        <v>21</v>
      </c>
      <c r="I3178" s="12" t="n">
        <v>25</v>
      </c>
      <c r="J3178" s="13" t="n">
        <v>225</v>
      </c>
      <c r="K3178" s="14" t="n">
        <f aca="false">I3178*J3178</f>
        <v>5625</v>
      </c>
      <c r="L3178" s="14" t="n">
        <f aca="false">($L$2*M3178)/100</f>
        <v>480666.6</v>
      </c>
      <c r="M3178" s="15" t="n">
        <v>0.4</v>
      </c>
      <c r="N3178" s="9" t="s">
        <v>20</v>
      </c>
    </row>
    <row r="3179" customFormat="false" ht="14.25" hidden="false" customHeight="true" outlineLevel="0" collapsed="false">
      <c r="B3179" s="9" t="s">
        <v>32</v>
      </c>
      <c r="C3179" s="9" t="n">
        <v>1185732</v>
      </c>
      <c r="D3179" s="10" t="n">
        <v>44264</v>
      </c>
      <c r="E3179" s="9" t="s">
        <v>38</v>
      </c>
      <c r="F3179" s="9" t="s">
        <v>118</v>
      </c>
      <c r="G3179" s="9" t="s">
        <v>119</v>
      </c>
      <c r="H3179" s="11" t="s">
        <v>22</v>
      </c>
      <c r="I3179" s="12" t="n">
        <v>15</v>
      </c>
      <c r="J3179" s="13" t="n">
        <v>275</v>
      </c>
      <c r="K3179" s="14" t="n">
        <f aca="false">I3179*J3179</f>
        <v>4125</v>
      </c>
      <c r="L3179" s="14" t="n">
        <f aca="false">($L$2*M3179)/100</f>
        <v>420583.275</v>
      </c>
      <c r="M3179" s="15" t="n">
        <v>0.35</v>
      </c>
      <c r="N3179" s="9" t="s">
        <v>20</v>
      </c>
    </row>
    <row r="3180" customFormat="false" ht="14.25" hidden="false" customHeight="true" outlineLevel="0" collapsed="false">
      <c r="B3180" s="9" t="s">
        <v>32</v>
      </c>
      <c r="C3180" s="9" t="n">
        <v>1185732</v>
      </c>
      <c r="D3180" s="10" t="n">
        <v>44264</v>
      </c>
      <c r="E3180" s="9" t="s">
        <v>38</v>
      </c>
      <c r="F3180" s="9" t="s">
        <v>118</v>
      </c>
      <c r="G3180" s="9" t="s">
        <v>119</v>
      </c>
      <c r="H3180" s="11" t="s">
        <v>23</v>
      </c>
      <c r="I3180" s="12" t="n">
        <v>20</v>
      </c>
      <c r="J3180" s="13" t="n">
        <v>125</v>
      </c>
      <c r="K3180" s="14" t="n">
        <f aca="false">I3180*J3180</f>
        <v>2500</v>
      </c>
      <c r="L3180" s="14" t="n">
        <f aca="false">($L$2*M3180)/100</f>
        <v>420583.275</v>
      </c>
      <c r="M3180" s="15" t="n">
        <v>0.35</v>
      </c>
      <c r="N3180" s="9" t="s">
        <v>20</v>
      </c>
    </row>
    <row r="3181" customFormat="false" ht="14.25" hidden="false" customHeight="true" outlineLevel="0" collapsed="false">
      <c r="B3181" s="9" t="s">
        <v>32</v>
      </c>
      <c r="C3181" s="9" t="n">
        <v>1185732</v>
      </c>
      <c r="D3181" s="10" t="n">
        <v>44264</v>
      </c>
      <c r="E3181" s="9" t="s">
        <v>38</v>
      </c>
      <c r="F3181" s="9" t="s">
        <v>118</v>
      </c>
      <c r="G3181" s="9" t="s">
        <v>119</v>
      </c>
      <c r="H3181" s="11" t="s">
        <v>24</v>
      </c>
      <c r="I3181" s="12" t="n">
        <v>35</v>
      </c>
      <c r="J3181" s="13" t="n">
        <v>175</v>
      </c>
      <c r="K3181" s="14" t="n">
        <f aca="false">I3181*J3181</f>
        <v>6125</v>
      </c>
      <c r="L3181" s="14" t="n">
        <f aca="false">($L$2*M3181)/100</f>
        <v>360499.95</v>
      </c>
      <c r="M3181" s="15" t="n">
        <v>0.3</v>
      </c>
      <c r="N3181" s="9" t="s">
        <v>20</v>
      </c>
    </row>
    <row r="3182" customFormat="false" ht="14.25" hidden="false" customHeight="true" outlineLevel="0" collapsed="false">
      <c r="B3182" s="9" t="s">
        <v>32</v>
      </c>
      <c r="C3182" s="9" t="n">
        <v>1185732</v>
      </c>
      <c r="D3182" s="10" t="n">
        <v>44264</v>
      </c>
      <c r="E3182" s="9" t="s">
        <v>38</v>
      </c>
      <c r="F3182" s="9" t="s">
        <v>118</v>
      </c>
      <c r="G3182" s="9" t="s">
        <v>119</v>
      </c>
      <c r="H3182" s="11" t="s">
        <v>25</v>
      </c>
      <c r="I3182" s="12" t="n">
        <v>25</v>
      </c>
      <c r="J3182" s="13" t="n">
        <v>275</v>
      </c>
      <c r="K3182" s="14" t="n">
        <f aca="false">I3182*J3182</f>
        <v>6875</v>
      </c>
      <c r="L3182" s="14" t="n">
        <f aca="false">($L$2*M3182)/100</f>
        <v>480666.6</v>
      </c>
      <c r="M3182" s="15" t="n">
        <v>0.4</v>
      </c>
      <c r="N3182" s="9" t="s">
        <v>20</v>
      </c>
    </row>
    <row r="3183" customFormat="false" ht="14.25" hidden="false" customHeight="true" outlineLevel="0" collapsed="false">
      <c r="B3183" s="9" t="s">
        <v>32</v>
      </c>
      <c r="C3183" s="9" t="n">
        <v>1185732</v>
      </c>
      <c r="D3183" s="10" t="n">
        <v>44296</v>
      </c>
      <c r="E3183" s="9" t="s">
        <v>38</v>
      </c>
      <c r="F3183" s="9" t="s">
        <v>118</v>
      </c>
      <c r="G3183" s="9" t="s">
        <v>119</v>
      </c>
      <c r="H3183" s="11" t="s">
        <v>19</v>
      </c>
      <c r="I3183" s="12" t="n">
        <v>25</v>
      </c>
      <c r="J3183" s="13" t="n">
        <v>500</v>
      </c>
      <c r="K3183" s="14" t="n">
        <f aca="false">I3183*J3183</f>
        <v>12500</v>
      </c>
      <c r="L3183" s="14" t="n">
        <f aca="false">($L$2*M3183)/100</f>
        <v>480666.6</v>
      </c>
      <c r="M3183" s="15" t="n">
        <v>0.4</v>
      </c>
      <c r="N3183" s="9" t="s">
        <v>20</v>
      </c>
    </row>
    <row r="3184" customFormat="false" ht="14.25" hidden="false" customHeight="true" outlineLevel="0" collapsed="false">
      <c r="B3184" s="9" t="s">
        <v>32</v>
      </c>
      <c r="C3184" s="9" t="n">
        <v>1185732</v>
      </c>
      <c r="D3184" s="10" t="n">
        <v>44296</v>
      </c>
      <c r="E3184" s="9" t="s">
        <v>38</v>
      </c>
      <c r="F3184" s="9" t="s">
        <v>118</v>
      </c>
      <c r="G3184" s="9" t="s">
        <v>119</v>
      </c>
      <c r="H3184" s="11" t="s">
        <v>21</v>
      </c>
      <c r="I3184" s="12" t="n">
        <v>25</v>
      </c>
      <c r="J3184" s="13" t="n">
        <v>200</v>
      </c>
      <c r="K3184" s="14" t="n">
        <f aca="false">I3184*J3184</f>
        <v>5000</v>
      </c>
      <c r="L3184" s="14" t="n">
        <f aca="false">($L$2*M3184)/100</f>
        <v>480666.6</v>
      </c>
      <c r="M3184" s="15" t="n">
        <v>0.4</v>
      </c>
      <c r="N3184" s="9" t="s">
        <v>20</v>
      </c>
    </row>
    <row r="3185" customFormat="false" ht="14.25" hidden="false" customHeight="true" outlineLevel="0" collapsed="false">
      <c r="B3185" s="9" t="s">
        <v>32</v>
      </c>
      <c r="C3185" s="9" t="n">
        <v>1185732</v>
      </c>
      <c r="D3185" s="10" t="n">
        <v>44296</v>
      </c>
      <c r="E3185" s="9" t="s">
        <v>38</v>
      </c>
      <c r="F3185" s="9" t="s">
        <v>118</v>
      </c>
      <c r="G3185" s="9" t="s">
        <v>119</v>
      </c>
      <c r="H3185" s="11" t="s">
        <v>22</v>
      </c>
      <c r="I3185" s="12" t="n">
        <v>15</v>
      </c>
      <c r="J3185" s="13" t="n">
        <v>200</v>
      </c>
      <c r="K3185" s="14" t="n">
        <f aca="false">I3185*J3185</f>
        <v>3000</v>
      </c>
      <c r="L3185" s="14" t="n">
        <f aca="false">($L$2*M3185)/100</f>
        <v>420583.275</v>
      </c>
      <c r="M3185" s="15" t="n">
        <v>0.35</v>
      </c>
      <c r="N3185" s="9" t="s">
        <v>20</v>
      </c>
    </row>
    <row r="3186" customFormat="false" ht="14.25" hidden="false" customHeight="true" outlineLevel="0" collapsed="false">
      <c r="B3186" s="9" t="s">
        <v>32</v>
      </c>
      <c r="C3186" s="9" t="n">
        <v>1185732</v>
      </c>
      <c r="D3186" s="10" t="n">
        <v>44296</v>
      </c>
      <c r="E3186" s="9" t="s">
        <v>38</v>
      </c>
      <c r="F3186" s="9" t="s">
        <v>118</v>
      </c>
      <c r="G3186" s="9" t="s">
        <v>119</v>
      </c>
      <c r="H3186" s="11" t="s">
        <v>23</v>
      </c>
      <c r="I3186" s="12" t="n">
        <v>20</v>
      </c>
      <c r="J3186" s="13" t="n">
        <v>125</v>
      </c>
      <c r="K3186" s="14" t="n">
        <f aca="false">I3186*J3186</f>
        <v>2500</v>
      </c>
      <c r="L3186" s="14" t="n">
        <f aca="false">($L$2*M3186)/100</f>
        <v>420583.275</v>
      </c>
      <c r="M3186" s="15" t="n">
        <v>0.35</v>
      </c>
      <c r="N3186" s="9" t="s">
        <v>20</v>
      </c>
    </row>
    <row r="3187" customFormat="false" ht="14.25" hidden="false" customHeight="true" outlineLevel="0" collapsed="false">
      <c r="B3187" s="9" t="s">
        <v>32</v>
      </c>
      <c r="C3187" s="9" t="n">
        <v>1185732</v>
      </c>
      <c r="D3187" s="10" t="n">
        <v>44296</v>
      </c>
      <c r="E3187" s="9" t="s">
        <v>38</v>
      </c>
      <c r="F3187" s="9" t="s">
        <v>118</v>
      </c>
      <c r="G3187" s="9" t="s">
        <v>119</v>
      </c>
      <c r="H3187" s="11" t="s">
        <v>24</v>
      </c>
      <c r="I3187" s="12" t="n">
        <v>65</v>
      </c>
      <c r="J3187" s="13" t="n">
        <v>150</v>
      </c>
      <c r="K3187" s="14" t="n">
        <f aca="false">I3187*J3187</f>
        <v>9750</v>
      </c>
      <c r="L3187" s="14" t="n">
        <f aca="false">($L$2*M3187)/100</f>
        <v>360499.95</v>
      </c>
      <c r="M3187" s="15" t="n">
        <v>0.3</v>
      </c>
      <c r="N3187" s="9" t="s">
        <v>20</v>
      </c>
    </row>
    <row r="3188" customFormat="false" ht="14.25" hidden="false" customHeight="true" outlineLevel="0" collapsed="false">
      <c r="B3188" s="9" t="s">
        <v>32</v>
      </c>
      <c r="C3188" s="9" t="n">
        <v>1185732</v>
      </c>
      <c r="D3188" s="10" t="n">
        <v>44296</v>
      </c>
      <c r="E3188" s="9" t="s">
        <v>38</v>
      </c>
      <c r="F3188" s="9" t="s">
        <v>118</v>
      </c>
      <c r="G3188" s="9" t="s">
        <v>119</v>
      </c>
      <c r="H3188" s="11" t="s">
        <v>25</v>
      </c>
      <c r="I3188" s="12" t="n">
        <v>50</v>
      </c>
      <c r="J3188" s="13" t="n">
        <v>275</v>
      </c>
      <c r="K3188" s="14" t="n">
        <f aca="false">I3188*J3188</f>
        <v>13750</v>
      </c>
      <c r="L3188" s="14" t="n">
        <f aca="false">($L$2*M3188)/100</f>
        <v>480666.6</v>
      </c>
      <c r="M3188" s="15" t="n">
        <v>0.4</v>
      </c>
      <c r="N3188" s="9" t="s">
        <v>20</v>
      </c>
    </row>
    <row r="3189" customFormat="false" ht="14.25" hidden="false" customHeight="true" outlineLevel="0" collapsed="false">
      <c r="B3189" s="9" t="s">
        <v>32</v>
      </c>
      <c r="C3189" s="9" t="n">
        <v>1185732</v>
      </c>
      <c r="D3189" s="10" t="n">
        <v>44327</v>
      </c>
      <c r="E3189" s="9" t="s">
        <v>38</v>
      </c>
      <c r="F3189" s="9" t="s">
        <v>118</v>
      </c>
      <c r="G3189" s="9" t="s">
        <v>119</v>
      </c>
      <c r="H3189" s="11" t="s">
        <v>19</v>
      </c>
      <c r="I3189" s="12" t="n">
        <v>60</v>
      </c>
      <c r="J3189" s="13" t="n">
        <v>545</v>
      </c>
      <c r="K3189" s="14" t="n">
        <f aca="false">I3189*J3189</f>
        <v>32700</v>
      </c>
      <c r="L3189" s="14" t="n">
        <f aca="false">($L$2*M3189)/100</f>
        <v>480666.6</v>
      </c>
      <c r="M3189" s="15" t="n">
        <v>0.4</v>
      </c>
      <c r="N3189" s="9" t="s">
        <v>20</v>
      </c>
    </row>
    <row r="3190" customFormat="false" ht="14.25" hidden="false" customHeight="true" outlineLevel="0" collapsed="false">
      <c r="B3190" s="9" t="s">
        <v>32</v>
      </c>
      <c r="C3190" s="9" t="n">
        <v>1185732</v>
      </c>
      <c r="D3190" s="10" t="n">
        <v>44327</v>
      </c>
      <c r="E3190" s="9" t="s">
        <v>38</v>
      </c>
      <c r="F3190" s="9" t="s">
        <v>118</v>
      </c>
      <c r="G3190" s="9" t="s">
        <v>119</v>
      </c>
      <c r="H3190" s="11" t="s">
        <v>21</v>
      </c>
      <c r="I3190" s="12" t="n">
        <v>40</v>
      </c>
      <c r="J3190" s="13" t="n">
        <v>250</v>
      </c>
      <c r="K3190" s="14" t="n">
        <f aca="false">I3190*J3190</f>
        <v>10000</v>
      </c>
      <c r="L3190" s="14" t="n">
        <f aca="false">($L$2*M3190)/100</f>
        <v>480666.6</v>
      </c>
      <c r="M3190" s="15" t="n">
        <v>0.4</v>
      </c>
      <c r="N3190" s="9" t="s">
        <v>20</v>
      </c>
    </row>
    <row r="3191" customFormat="false" ht="14.25" hidden="false" customHeight="true" outlineLevel="0" collapsed="false">
      <c r="B3191" s="9" t="s">
        <v>32</v>
      </c>
      <c r="C3191" s="9" t="n">
        <v>1185732</v>
      </c>
      <c r="D3191" s="10" t="n">
        <v>44327</v>
      </c>
      <c r="E3191" s="9" t="s">
        <v>38</v>
      </c>
      <c r="F3191" s="9" t="s">
        <v>118</v>
      </c>
      <c r="G3191" s="9" t="s">
        <v>119</v>
      </c>
      <c r="H3191" s="11" t="s">
        <v>22</v>
      </c>
      <c r="I3191" s="12" t="n">
        <v>35</v>
      </c>
      <c r="J3191" s="13" t="n">
        <v>225</v>
      </c>
      <c r="K3191" s="14" t="n">
        <f aca="false">I3191*J3191</f>
        <v>7875</v>
      </c>
      <c r="L3191" s="14" t="n">
        <f aca="false">($L$2*M3191)/100</f>
        <v>420583.275</v>
      </c>
      <c r="M3191" s="15" t="n">
        <v>0.35</v>
      </c>
      <c r="N3191" s="9" t="s">
        <v>20</v>
      </c>
    </row>
    <row r="3192" customFormat="false" ht="14.25" hidden="false" customHeight="true" outlineLevel="0" collapsed="false">
      <c r="B3192" s="9" t="s">
        <v>32</v>
      </c>
      <c r="C3192" s="9" t="n">
        <v>1185732</v>
      </c>
      <c r="D3192" s="10" t="n">
        <v>44327</v>
      </c>
      <c r="E3192" s="9" t="s">
        <v>38</v>
      </c>
      <c r="F3192" s="9" t="s">
        <v>118</v>
      </c>
      <c r="G3192" s="9" t="s">
        <v>119</v>
      </c>
      <c r="H3192" s="11" t="s">
        <v>23</v>
      </c>
      <c r="I3192" s="12" t="n">
        <v>35</v>
      </c>
      <c r="J3192" s="13" t="n">
        <v>175</v>
      </c>
      <c r="K3192" s="14" t="n">
        <f aca="false">I3192*J3192</f>
        <v>6125</v>
      </c>
      <c r="L3192" s="14" t="n">
        <f aca="false">($L$2*M3192)/100</f>
        <v>420583.275</v>
      </c>
      <c r="M3192" s="15" t="n">
        <v>0.35</v>
      </c>
      <c r="N3192" s="9" t="s">
        <v>20</v>
      </c>
    </row>
    <row r="3193" customFormat="false" ht="14.25" hidden="false" customHeight="true" outlineLevel="0" collapsed="false">
      <c r="B3193" s="9" t="s">
        <v>32</v>
      </c>
      <c r="C3193" s="9" t="n">
        <v>1185732</v>
      </c>
      <c r="D3193" s="10" t="n">
        <v>44327</v>
      </c>
      <c r="E3193" s="9" t="s">
        <v>38</v>
      </c>
      <c r="F3193" s="9" t="s">
        <v>118</v>
      </c>
      <c r="G3193" s="9" t="s">
        <v>119</v>
      </c>
      <c r="H3193" s="11" t="s">
        <v>24</v>
      </c>
      <c r="I3193" s="12" t="n">
        <v>45</v>
      </c>
      <c r="J3193" s="13" t="n">
        <v>200</v>
      </c>
      <c r="K3193" s="14" t="n">
        <f aca="false">I3193*J3193</f>
        <v>9000</v>
      </c>
      <c r="L3193" s="14" t="n">
        <f aca="false">($L$2*M3193)/100</f>
        <v>360499.95</v>
      </c>
      <c r="M3193" s="15" t="n">
        <v>0.3</v>
      </c>
      <c r="N3193" s="9" t="s">
        <v>20</v>
      </c>
    </row>
    <row r="3194" customFormat="false" ht="14.25" hidden="false" customHeight="true" outlineLevel="0" collapsed="false">
      <c r="B3194" s="9" t="s">
        <v>32</v>
      </c>
      <c r="C3194" s="9" t="n">
        <v>1185732</v>
      </c>
      <c r="D3194" s="10" t="n">
        <v>44327</v>
      </c>
      <c r="E3194" s="9" t="s">
        <v>38</v>
      </c>
      <c r="F3194" s="9" t="s">
        <v>118</v>
      </c>
      <c r="G3194" s="9" t="s">
        <v>119</v>
      </c>
      <c r="H3194" s="11" t="s">
        <v>25</v>
      </c>
      <c r="I3194" s="12" t="n">
        <v>55</v>
      </c>
      <c r="J3194" s="13" t="n">
        <v>325</v>
      </c>
      <c r="K3194" s="14" t="n">
        <f aca="false">I3194*J3194</f>
        <v>17875</v>
      </c>
      <c r="L3194" s="14" t="n">
        <f aca="false">($L$2*M3194)/100</f>
        <v>480666.6</v>
      </c>
      <c r="M3194" s="15" t="n">
        <v>0.4</v>
      </c>
      <c r="N3194" s="9" t="s">
        <v>20</v>
      </c>
    </row>
    <row r="3195" customFormat="false" ht="14.25" hidden="false" customHeight="true" outlineLevel="0" collapsed="false">
      <c r="B3195" s="9" t="s">
        <v>32</v>
      </c>
      <c r="C3195" s="9" t="n">
        <v>1185732</v>
      </c>
      <c r="D3195" s="10" t="n">
        <v>44357</v>
      </c>
      <c r="E3195" s="9" t="s">
        <v>38</v>
      </c>
      <c r="F3195" s="9" t="s">
        <v>118</v>
      </c>
      <c r="G3195" s="9" t="s">
        <v>119</v>
      </c>
      <c r="H3195" s="11" t="s">
        <v>19</v>
      </c>
      <c r="I3195" s="12" t="n">
        <v>40</v>
      </c>
      <c r="J3195" s="13" t="n">
        <v>575</v>
      </c>
      <c r="K3195" s="14" t="n">
        <f aca="false">I3195*J3195</f>
        <v>23000</v>
      </c>
      <c r="L3195" s="14" t="n">
        <f aca="false">($L$2*M3195)/100</f>
        <v>480666.6</v>
      </c>
      <c r="M3195" s="15" t="n">
        <v>0.4</v>
      </c>
      <c r="N3195" s="9" t="s">
        <v>20</v>
      </c>
    </row>
    <row r="3196" customFormat="false" ht="14.25" hidden="false" customHeight="true" outlineLevel="0" collapsed="false">
      <c r="B3196" s="9" t="s">
        <v>32</v>
      </c>
      <c r="C3196" s="9" t="n">
        <v>1185732</v>
      </c>
      <c r="D3196" s="10" t="n">
        <v>44357</v>
      </c>
      <c r="E3196" s="9" t="s">
        <v>38</v>
      </c>
      <c r="F3196" s="9" t="s">
        <v>118</v>
      </c>
      <c r="G3196" s="9" t="s">
        <v>119</v>
      </c>
      <c r="H3196" s="11" t="s">
        <v>21</v>
      </c>
      <c r="I3196" s="12" t="n">
        <v>35</v>
      </c>
      <c r="J3196" s="13" t="n">
        <v>325</v>
      </c>
      <c r="K3196" s="14" t="n">
        <f aca="false">I3196*J3196</f>
        <v>11375</v>
      </c>
      <c r="L3196" s="14" t="n">
        <f aca="false">($L$2*M3196)/100</f>
        <v>480666.6</v>
      </c>
      <c r="M3196" s="15" t="n">
        <v>0.4</v>
      </c>
      <c r="N3196" s="9" t="s">
        <v>20</v>
      </c>
    </row>
    <row r="3197" customFormat="false" ht="14.25" hidden="false" customHeight="true" outlineLevel="0" collapsed="false">
      <c r="B3197" s="9" t="s">
        <v>32</v>
      </c>
      <c r="C3197" s="9" t="n">
        <v>1185732</v>
      </c>
      <c r="D3197" s="10" t="n">
        <v>44357</v>
      </c>
      <c r="E3197" s="9" t="s">
        <v>38</v>
      </c>
      <c r="F3197" s="9" t="s">
        <v>118</v>
      </c>
      <c r="G3197" s="9" t="s">
        <v>119</v>
      </c>
      <c r="H3197" s="11" t="s">
        <v>22</v>
      </c>
      <c r="I3197" s="12" t="n">
        <v>30</v>
      </c>
      <c r="J3197" s="13" t="n">
        <v>200</v>
      </c>
      <c r="K3197" s="14" t="n">
        <f aca="false">I3197*J3197</f>
        <v>6000</v>
      </c>
      <c r="L3197" s="14" t="n">
        <f aca="false">($L$2*M3197)/100</f>
        <v>420583.275</v>
      </c>
      <c r="M3197" s="15" t="n">
        <v>0.35</v>
      </c>
      <c r="N3197" s="9" t="s">
        <v>20</v>
      </c>
    </row>
    <row r="3198" customFormat="false" ht="14.25" hidden="false" customHeight="true" outlineLevel="0" collapsed="false">
      <c r="B3198" s="9" t="s">
        <v>32</v>
      </c>
      <c r="C3198" s="9" t="n">
        <v>1185732</v>
      </c>
      <c r="D3198" s="10" t="n">
        <v>44357</v>
      </c>
      <c r="E3198" s="9" t="s">
        <v>38</v>
      </c>
      <c r="F3198" s="9" t="s">
        <v>118</v>
      </c>
      <c r="G3198" s="9" t="s">
        <v>119</v>
      </c>
      <c r="H3198" s="11" t="s">
        <v>23</v>
      </c>
      <c r="I3198" s="12" t="n">
        <v>30</v>
      </c>
      <c r="J3198" s="13" t="n">
        <v>175</v>
      </c>
      <c r="K3198" s="14" t="n">
        <f aca="false">I3198*J3198</f>
        <v>5250</v>
      </c>
      <c r="L3198" s="14" t="n">
        <f aca="false">($L$2*M3198)/100</f>
        <v>420583.275</v>
      </c>
      <c r="M3198" s="15" t="n">
        <v>0.35</v>
      </c>
      <c r="N3198" s="9" t="s">
        <v>20</v>
      </c>
    </row>
    <row r="3199" customFormat="false" ht="14.25" hidden="false" customHeight="true" outlineLevel="0" collapsed="false">
      <c r="B3199" s="9" t="s">
        <v>32</v>
      </c>
      <c r="C3199" s="9" t="n">
        <v>1185732</v>
      </c>
      <c r="D3199" s="10" t="n">
        <v>44357</v>
      </c>
      <c r="E3199" s="9" t="s">
        <v>38</v>
      </c>
      <c r="F3199" s="9" t="s">
        <v>118</v>
      </c>
      <c r="G3199" s="9" t="s">
        <v>119</v>
      </c>
      <c r="H3199" s="11" t="s">
        <v>24</v>
      </c>
      <c r="I3199" s="12" t="n">
        <v>40</v>
      </c>
      <c r="J3199" s="13" t="n">
        <v>175</v>
      </c>
      <c r="K3199" s="14" t="n">
        <f aca="false">I3199*J3199</f>
        <v>7000</v>
      </c>
      <c r="L3199" s="14" t="n">
        <f aca="false">($L$2*M3199)/100</f>
        <v>360499.95</v>
      </c>
      <c r="M3199" s="15" t="n">
        <v>0.3</v>
      </c>
      <c r="N3199" s="9" t="s">
        <v>20</v>
      </c>
    </row>
    <row r="3200" customFormat="false" ht="14.25" hidden="false" customHeight="true" outlineLevel="0" collapsed="false">
      <c r="B3200" s="9" t="s">
        <v>32</v>
      </c>
      <c r="C3200" s="9" t="n">
        <v>1185732</v>
      </c>
      <c r="D3200" s="10" t="n">
        <v>44357</v>
      </c>
      <c r="E3200" s="9" t="s">
        <v>38</v>
      </c>
      <c r="F3200" s="9" t="s">
        <v>118</v>
      </c>
      <c r="G3200" s="9" t="s">
        <v>119</v>
      </c>
      <c r="H3200" s="11" t="s">
        <v>25</v>
      </c>
      <c r="I3200" s="12" t="n">
        <v>60</v>
      </c>
      <c r="J3200" s="13" t="n">
        <v>325</v>
      </c>
      <c r="K3200" s="14" t="n">
        <f aca="false">I3200*J3200</f>
        <v>19500</v>
      </c>
      <c r="L3200" s="14" t="n">
        <f aca="false">($L$2*M3200)/100</f>
        <v>480666.6</v>
      </c>
      <c r="M3200" s="15" t="n">
        <v>0.4</v>
      </c>
      <c r="N3200" s="9" t="s">
        <v>20</v>
      </c>
    </row>
    <row r="3201" customFormat="false" ht="14.25" hidden="false" customHeight="true" outlineLevel="0" collapsed="false">
      <c r="B3201" s="9" t="s">
        <v>32</v>
      </c>
      <c r="C3201" s="9" t="n">
        <v>1185732</v>
      </c>
      <c r="D3201" s="10" t="n">
        <v>44386</v>
      </c>
      <c r="E3201" s="9" t="s">
        <v>38</v>
      </c>
      <c r="F3201" s="9" t="s">
        <v>118</v>
      </c>
      <c r="G3201" s="9" t="s">
        <v>119</v>
      </c>
      <c r="H3201" s="11" t="s">
        <v>19</v>
      </c>
      <c r="I3201" s="12" t="n">
        <v>55</v>
      </c>
      <c r="J3201" s="13" t="n">
        <v>550</v>
      </c>
      <c r="K3201" s="14" t="n">
        <f aca="false">I3201*J3201</f>
        <v>30250</v>
      </c>
      <c r="L3201" s="14" t="n">
        <f aca="false">($L$2*M3201)/100</f>
        <v>480666.6</v>
      </c>
      <c r="M3201" s="15" t="n">
        <v>0.4</v>
      </c>
      <c r="N3201" s="9" t="s">
        <v>20</v>
      </c>
    </row>
    <row r="3202" customFormat="false" ht="14.25" hidden="false" customHeight="true" outlineLevel="0" collapsed="false">
      <c r="B3202" s="9" t="s">
        <v>32</v>
      </c>
      <c r="C3202" s="9" t="n">
        <v>1185732</v>
      </c>
      <c r="D3202" s="10" t="n">
        <v>44386</v>
      </c>
      <c r="E3202" s="9" t="s">
        <v>38</v>
      </c>
      <c r="F3202" s="9" t="s">
        <v>118</v>
      </c>
      <c r="G3202" s="9" t="s">
        <v>119</v>
      </c>
      <c r="H3202" s="11" t="s">
        <v>21</v>
      </c>
      <c r="I3202" s="12" t="n">
        <v>50</v>
      </c>
      <c r="J3202" s="13" t="n">
        <v>300</v>
      </c>
      <c r="K3202" s="14" t="n">
        <f aca="false">I3202*J3202</f>
        <v>15000</v>
      </c>
      <c r="L3202" s="14" t="n">
        <f aca="false">($L$2*M3202)/100</f>
        <v>480666.6</v>
      </c>
      <c r="M3202" s="15" t="n">
        <v>0.4</v>
      </c>
      <c r="N3202" s="9" t="s">
        <v>20</v>
      </c>
    </row>
    <row r="3203" customFormat="false" ht="14.25" hidden="false" customHeight="true" outlineLevel="0" collapsed="false">
      <c r="B3203" s="9" t="s">
        <v>32</v>
      </c>
      <c r="C3203" s="9" t="n">
        <v>1185732</v>
      </c>
      <c r="D3203" s="10" t="n">
        <v>44386</v>
      </c>
      <c r="E3203" s="9" t="s">
        <v>38</v>
      </c>
      <c r="F3203" s="9" t="s">
        <v>118</v>
      </c>
      <c r="G3203" s="9" t="s">
        <v>119</v>
      </c>
      <c r="H3203" s="11" t="s">
        <v>22</v>
      </c>
      <c r="I3203" s="12" t="n">
        <v>45</v>
      </c>
      <c r="J3203" s="13" t="n">
        <v>225</v>
      </c>
      <c r="K3203" s="14" t="n">
        <f aca="false">I3203*J3203</f>
        <v>10125</v>
      </c>
      <c r="L3203" s="14" t="n">
        <f aca="false">($L$2*M3203)/100</f>
        <v>420583.275</v>
      </c>
      <c r="M3203" s="15" t="n">
        <v>0.35</v>
      </c>
      <c r="N3203" s="9" t="s">
        <v>20</v>
      </c>
    </row>
    <row r="3204" customFormat="false" ht="14.25" hidden="false" customHeight="true" outlineLevel="0" collapsed="false">
      <c r="B3204" s="9" t="s">
        <v>32</v>
      </c>
      <c r="C3204" s="9" t="n">
        <v>1185732</v>
      </c>
      <c r="D3204" s="10" t="n">
        <v>44386</v>
      </c>
      <c r="E3204" s="9" t="s">
        <v>38</v>
      </c>
      <c r="F3204" s="9" t="s">
        <v>118</v>
      </c>
      <c r="G3204" s="9" t="s">
        <v>119</v>
      </c>
      <c r="H3204" s="11" t="s">
        <v>23</v>
      </c>
      <c r="I3204" s="12" t="n">
        <v>45</v>
      </c>
      <c r="J3204" s="13" t="n">
        <v>175</v>
      </c>
      <c r="K3204" s="14" t="n">
        <f aca="false">I3204*J3204</f>
        <v>7875</v>
      </c>
      <c r="L3204" s="14" t="n">
        <f aca="false">($L$2*M3204)/100</f>
        <v>420583.275</v>
      </c>
      <c r="M3204" s="15" t="n">
        <v>0.35</v>
      </c>
      <c r="N3204" s="9" t="s">
        <v>20</v>
      </c>
    </row>
    <row r="3205" customFormat="false" ht="14.25" hidden="false" customHeight="true" outlineLevel="0" collapsed="false">
      <c r="B3205" s="9" t="s">
        <v>32</v>
      </c>
      <c r="C3205" s="9" t="n">
        <v>1185732</v>
      </c>
      <c r="D3205" s="10" t="n">
        <v>44386</v>
      </c>
      <c r="E3205" s="9" t="s">
        <v>38</v>
      </c>
      <c r="F3205" s="9" t="s">
        <v>118</v>
      </c>
      <c r="G3205" s="9" t="s">
        <v>119</v>
      </c>
      <c r="H3205" s="11" t="s">
        <v>24</v>
      </c>
      <c r="I3205" s="12" t="n">
        <v>55</v>
      </c>
      <c r="J3205" s="13" t="n">
        <v>200</v>
      </c>
      <c r="K3205" s="14" t="n">
        <f aca="false">I3205*J3205</f>
        <v>11000</v>
      </c>
      <c r="L3205" s="14" t="n">
        <f aca="false">($L$2*M3205)/100</f>
        <v>360499.95</v>
      </c>
      <c r="M3205" s="15" t="n">
        <v>0.3</v>
      </c>
      <c r="N3205" s="9" t="s">
        <v>20</v>
      </c>
    </row>
    <row r="3206" customFormat="false" ht="14.25" hidden="false" customHeight="true" outlineLevel="0" collapsed="false">
      <c r="B3206" s="9" t="s">
        <v>32</v>
      </c>
      <c r="C3206" s="9" t="n">
        <v>1185732</v>
      </c>
      <c r="D3206" s="10" t="n">
        <v>44386</v>
      </c>
      <c r="E3206" s="9" t="s">
        <v>38</v>
      </c>
      <c r="F3206" s="9" t="s">
        <v>118</v>
      </c>
      <c r="G3206" s="9" t="s">
        <v>119</v>
      </c>
      <c r="H3206" s="11" t="s">
        <v>25</v>
      </c>
      <c r="I3206" s="12" t="n">
        <v>60</v>
      </c>
      <c r="J3206" s="13" t="n">
        <v>375</v>
      </c>
      <c r="K3206" s="14" t="n">
        <f aca="false">I3206*J3206</f>
        <v>22500</v>
      </c>
      <c r="L3206" s="14" t="n">
        <f aca="false">($L$2*M3206)/100</f>
        <v>480666.6</v>
      </c>
      <c r="M3206" s="15" t="n">
        <v>0.4</v>
      </c>
      <c r="N3206" s="9" t="s">
        <v>20</v>
      </c>
    </row>
    <row r="3207" customFormat="false" ht="14.25" hidden="false" customHeight="true" outlineLevel="0" collapsed="false">
      <c r="B3207" s="9" t="s">
        <v>32</v>
      </c>
      <c r="C3207" s="9" t="n">
        <v>1185732</v>
      </c>
      <c r="D3207" s="10" t="n">
        <v>44418</v>
      </c>
      <c r="E3207" s="9" t="s">
        <v>38</v>
      </c>
      <c r="F3207" s="9" t="s">
        <v>118</v>
      </c>
      <c r="G3207" s="9" t="s">
        <v>119</v>
      </c>
      <c r="H3207" s="11" t="s">
        <v>19</v>
      </c>
      <c r="I3207" s="12" t="n">
        <v>50</v>
      </c>
      <c r="J3207" s="13" t="n">
        <v>525</v>
      </c>
      <c r="K3207" s="14" t="n">
        <f aca="false">I3207*J3207</f>
        <v>26250</v>
      </c>
      <c r="L3207" s="14" t="n">
        <f aca="false">($L$2*M3207)/100</f>
        <v>480666.6</v>
      </c>
      <c r="M3207" s="15" t="n">
        <v>0.4</v>
      </c>
      <c r="N3207" s="9" t="s">
        <v>20</v>
      </c>
    </row>
    <row r="3208" customFormat="false" ht="14.25" hidden="false" customHeight="true" outlineLevel="0" collapsed="false">
      <c r="B3208" s="9" t="s">
        <v>32</v>
      </c>
      <c r="C3208" s="9" t="n">
        <v>1185732</v>
      </c>
      <c r="D3208" s="10" t="n">
        <v>44418</v>
      </c>
      <c r="E3208" s="9" t="s">
        <v>38</v>
      </c>
      <c r="F3208" s="9" t="s">
        <v>118</v>
      </c>
      <c r="G3208" s="9" t="s">
        <v>119</v>
      </c>
      <c r="H3208" s="11" t="s">
        <v>21</v>
      </c>
      <c r="I3208" s="12" t="n">
        <v>45</v>
      </c>
      <c r="J3208" s="13" t="n">
        <v>300</v>
      </c>
      <c r="K3208" s="14" t="n">
        <f aca="false">I3208*J3208</f>
        <v>13500</v>
      </c>
      <c r="L3208" s="14" t="n">
        <f aca="false">($L$2*M3208)/100</f>
        <v>480666.6</v>
      </c>
      <c r="M3208" s="15" t="n">
        <v>0.4</v>
      </c>
      <c r="N3208" s="9" t="s">
        <v>20</v>
      </c>
    </row>
    <row r="3209" customFormat="false" ht="14.25" hidden="false" customHeight="true" outlineLevel="0" collapsed="false">
      <c r="B3209" s="9" t="s">
        <v>32</v>
      </c>
      <c r="C3209" s="9" t="n">
        <v>1185732</v>
      </c>
      <c r="D3209" s="10" t="n">
        <v>44418</v>
      </c>
      <c r="E3209" s="9" t="s">
        <v>38</v>
      </c>
      <c r="F3209" s="9" t="s">
        <v>118</v>
      </c>
      <c r="G3209" s="9" t="s">
        <v>119</v>
      </c>
      <c r="H3209" s="11" t="s">
        <v>22</v>
      </c>
      <c r="I3209" s="12" t="n">
        <v>40</v>
      </c>
      <c r="J3209" s="13" t="n">
        <v>225</v>
      </c>
      <c r="K3209" s="14" t="n">
        <f aca="false">I3209*J3209</f>
        <v>9000</v>
      </c>
      <c r="L3209" s="14" t="n">
        <f aca="false">($L$2*M3209)/100</f>
        <v>420583.275</v>
      </c>
      <c r="M3209" s="15" t="n">
        <v>0.35</v>
      </c>
      <c r="N3209" s="9" t="s">
        <v>20</v>
      </c>
    </row>
    <row r="3210" customFormat="false" ht="14.25" hidden="false" customHeight="true" outlineLevel="0" collapsed="false">
      <c r="B3210" s="9" t="s">
        <v>32</v>
      </c>
      <c r="C3210" s="9" t="n">
        <v>1185732</v>
      </c>
      <c r="D3210" s="10" t="n">
        <v>44418</v>
      </c>
      <c r="E3210" s="9" t="s">
        <v>38</v>
      </c>
      <c r="F3210" s="9" t="s">
        <v>118</v>
      </c>
      <c r="G3210" s="9" t="s">
        <v>119</v>
      </c>
      <c r="H3210" s="11" t="s">
        <v>23</v>
      </c>
      <c r="I3210" s="12" t="n">
        <v>40</v>
      </c>
      <c r="J3210" s="13" t="n">
        <v>200</v>
      </c>
      <c r="K3210" s="14" t="n">
        <f aca="false">I3210*J3210</f>
        <v>8000</v>
      </c>
      <c r="L3210" s="14" t="n">
        <f aca="false">($L$2*M3210)/100</f>
        <v>420583.275</v>
      </c>
      <c r="M3210" s="15" t="n">
        <v>0.35</v>
      </c>
      <c r="N3210" s="9" t="s">
        <v>20</v>
      </c>
    </row>
    <row r="3211" customFormat="false" ht="14.25" hidden="false" customHeight="true" outlineLevel="0" collapsed="false">
      <c r="B3211" s="9" t="s">
        <v>32</v>
      </c>
      <c r="C3211" s="9" t="n">
        <v>1185732</v>
      </c>
      <c r="D3211" s="10" t="n">
        <v>44418</v>
      </c>
      <c r="E3211" s="9" t="s">
        <v>38</v>
      </c>
      <c r="F3211" s="9" t="s">
        <v>118</v>
      </c>
      <c r="G3211" s="9" t="s">
        <v>119</v>
      </c>
      <c r="H3211" s="11" t="s">
        <v>24</v>
      </c>
      <c r="I3211" s="12" t="n">
        <v>50</v>
      </c>
      <c r="J3211" s="13" t="n">
        <v>175</v>
      </c>
      <c r="K3211" s="14" t="n">
        <f aca="false">I3211*J3211</f>
        <v>8750</v>
      </c>
      <c r="L3211" s="14" t="n">
        <f aca="false">($L$2*M3211)/100</f>
        <v>360499.95</v>
      </c>
      <c r="M3211" s="15" t="n">
        <v>0.3</v>
      </c>
      <c r="N3211" s="9" t="s">
        <v>20</v>
      </c>
    </row>
    <row r="3212" customFormat="false" ht="14.25" hidden="false" customHeight="true" outlineLevel="0" collapsed="false">
      <c r="B3212" s="9" t="s">
        <v>32</v>
      </c>
      <c r="C3212" s="9" t="n">
        <v>1185732</v>
      </c>
      <c r="D3212" s="10" t="n">
        <v>44418</v>
      </c>
      <c r="E3212" s="9" t="s">
        <v>38</v>
      </c>
      <c r="F3212" s="9" t="s">
        <v>118</v>
      </c>
      <c r="G3212" s="9" t="s">
        <v>119</v>
      </c>
      <c r="H3212" s="11" t="s">
        <v>25</v>
      </c>
      <c r="I3212" s="12" t="n">
        <v>55</v>
      </c>
      <c r="J3212" s="13" t="n">
        <v>350</v>
      </c>
      <c r="K3212" s="14" t="n">
        <f aca="false">I3212*J3212</f>
        <v>19250</v>
      </c>
      <c r="L3212" s="14" t="n">
        <f aca="false">($L$2*M3212)/100</f>
        <v>480666.6</v>
      </c>
      <c r="M3212" s="15" t="n">
        <v>0.4</v>
      </c>
      <c r="N3212" s="9" t="s">
        <v>20</v>
      </c>
    </row>
    <row r="3213" customFormat="false" ht="14.25" hidden="false" customHeight="true" outlineLevel="0" collapsed="false">
      <c r="B3213" s="9" t="s">
        <v>32</v>
      </c>
      <c r="C3213" s="9" t="n">
        <v>1185732</v>
      </c>
      <c r="D3213" s="10" t="n">
        <v>44450</v>
      </c>
      <c r="E3213" s="9" t="s">
        <v>38</v>
      </c>
      <c r="F3213" s="9" t="s">
        <v>118</v>
      </c>
      <c r="G3213" s="9" t="s">
        <v>119</v>
      </c>
      <c r="H3213" s="11" t="s">
        <v>19</v>
      </c>
      <c r="I3213" s="12" t="n">
        <v>35</v>
      </c>
      <c r="J3213" s="13" t="n">
        <v>475</v>
      </c>
      <c r="K3213" s="14" t="n">
        <f aca="false">I3213*J3213</f>
        <v>16625</v>
      </c>
      <c r="L3213" s="14" t="n">
        <f aca="false">($L$2*M3213)/100</f>
        <v>480666.6</v>
      </c>
      <c r="M3213" s="15" t="n">
        <v>0.4</v>
      </c>
      <c r="N3213" s="9" t="s">
        <v>20</v>
      </c>
    </row>
    <row r="3214" customFormat="false" ht="14.25" hidden="false" customHeight="true" outlineLevel="0" collapsed="false">
      <c r="B3214" s="9" t="s">
        <v>32</v>
      </c>
      <c r="C3214" s="9" t="n">
        <v>1185732</v>
      </c>
      <c r="D3214" s="10" t="n">
        <v>44450</v>
      </c>
      <c r="E3214" s="9" t="s">
        <v>38</v>
      </c>
      <c r="F3214" s="9" t="s">
        <v>118</v>
      </c>
      <c r="G3214" s="9" t="s">
        <v>119</v>
      </c>
      <c r="H3214" s="11" t="s">
        <v>21</v>
      </c>
      <c r="I3214" s="12" t="n">
        <v>30</v>
      </c>
      <c r="J3214" s="13" t="n">
        <v>275</v>
      </c>
      <c r="K3214" s="14" t="n">
        <f aca="false">I3214*J3214</f>
        <v>8250</v>
      </c>
      <c r="L3214" s="14" t="n">
        <f aca="false">($L$2*M3214)/100</f>
        <v>480666.6</v>
      </c>
      <c r="M3214" s="15" t="n">
        <v>0.4</v>
      </c>
      <c r="N3214" s="9" t="s">
        <v>20</v>
      </c>
    </row>
    <row r="3215" customFormat="false" ht="14.25" hidden="false" customHeight="true" outlineLevel="0" collapsed="false">
      <c r="B3215" s="9" t="s">
        <v>32</v>
      </c>
      <c r="C3215" s="9" t="n">
        <v>1185732</v>
      </c>
      <c r="D3215" s="10" t="n">
        <v>44450</v>
      </c>
      <c r="E3215" s="9" t="s">
        <v>38</v>
      </c>
      <c r="F3215" s="9" t="s">
        <v>118</v>
      </c>
      <c r="G3215" s="9" t="s">
        <v>119</v>
      </c>
      <c r="H3215" s="11" t="s">
        <v>22</v>
      </c>
      <c r="I3215" s="12" t="n">
        <v>25</v>
      </c>
      <c r="J3215" s="13" t="n">
        <v>175</v>
      </c>
      <c r="K3215" s="14" t="n">
        <f aca="false">I3215*J3215</f>
        <v>4375</v>
      </c>
      <c r="L3215" s="14" t="n">
        <f aca="false">($L$2*M3215)/100</f>
        <v>420583.275</v>
      </c>
      <c r="M3215" s="15" t="n">
        <v>0.35</v>
      </c>
      <c r="N3215" s="9" t="s">
        <v>20</v>
      </c>
    </row>
    <row r="3216" customFormat="false" ht="14.25" hidden="false" customHeight="true" outlineLevel="0" collapsed="false">
      <c r="B3216" s="9" t="s">
        <v>32</v>
      </c>
      <c r="C3216" s="9" t="n">
        <v>1185732</v>
      </c>
      <c r="D3216" s="10" t="n">
        <v>44450</v>
      </c>
      <c r="E3216" s="9" t="s">
        <v>38</v>
      </c>
      <c r="F3216" s="9" t="s">
        <v>118</v>
      </c>
      <c r="G3216" s="9" t="s">
        <v>119</v>
      </c>
      <c r="H3216" s="11" t="s">
        <v>23</v>
      </c>
      <c r="I3216" s="12" t="n">
        <v>25</v>
      </c>
      <c r="J3216" s="13" t="n">
        <v>150</v>
      </c>
      <c r="K3216" s="14" t="n">
        <f aca="false">I3216*J3216</f>
        <v>3750</v>
      </c>
      <c r="L3216" s="14" t="n">
        <f aca="false">($L$2*M3216)/100</f>
        <v>420583.275</v>
      </c>
      <c r="M3216" s="15" t="n">
        <v>0.35</v>
      </c>
      <c r="N3216" s="9" t="s">
        <v>20</v>
      </c>
    </row>
    <row r="3217" customFormat="false" ht="14.25" hidden="false" customHeight="true" outlineLevel="0" collapsed="false">
      <c r="B3217" s="9" t="s">
        <v>32</v>
      </c>
      <c r="C3217" s="9" t="n">
        <v>1185732</v>
      </c>
      <c r="D3217" s="10" t="n">
        <v>44450</v>
      </c>
      <c r="E3217" s="9" t="s">
        <v>38</v>
      </c>
      <c r="F3217" s="9" t="s">
        <v>118</v>
      </c>
      <c r="G3217" s="9" t="s">
        <v>119</v>
      </c>
      <c r="H3217" s="11" t="s">
        <v>24</v>
      </c>
      <c r="I3217" s="12" t="n">
        <v>35</v>
      </c>
      <c r="J3217" s="13" t="n">
        <v>150</v>
      </c>
      <c r="K3217" s="14" t="n">
        <f aca="false">I3217*J3217</f>
        <v>5250</v>
      </c>
      <c r="L3217" s="14" t="n">
        <f aca="false">($L$2*M3217)/100</f>
        <v>360499.95</v>
      </c>
      <c r="M3217" s="15" t="n">
        <v>0.3</v>
      </c>
      <c r="N3217" s="9" t="s">
        <v>20</v>
      </c>
    </row>
    <row r="3218" customFormat="false" ht="14.25" hidden="false" customHeight="true" outlineLevel="0" collapsed="false">
      <c r="B3218" s="9" t="s">
        <v>32</v>
      </c>
      <c r="C3218" s="9" t="n">
        <v>1185732</v>
      </c>
      <c r="D3218" s="10" t="n">
        <v>44450</v>
      </c>
      <c r="E3218" s="9" t="s">
        <v>38</v>
      </c>
      <c r="F3218" s="9" t="s">
        <v>118</v>
      </c>
      <c r="G3218" s="9" t="s">
        <v>119</v>
      </c>
      <c r="H3218" s="11" t="s">
        <v>25</v>
      </c>
      <c r="I3218" s="12" t="n">
        <v>40</v>
      </c>
      <c r="J3218" s="13" t="n">
        <v>225</v>
      </c>
      <c r="K3218" s="14" t="n">
        <f aca="false">I3218*J3218</f>
        <v>9000</v>
      </c>
      <c r="L3218" s="14" t="n">
        <f aca="false">($L$2*M3218)/100</f>
        <v>480666.6</v>
      </c>
      <c r="M3218" s="15" t="n">
        <v>0.4</v>
      </c>
      <c r="N3218" s="9" t="s">
        <v>20</v>
      </c>
    </row>
    <row r="3219" customFormat="false" ht="14.25" hidden="false" customHeight="true" outlineLevel="0" collapsed="false">
      <c r="B3219" s="9" t="s">
        <v>32</v>
      </c>
      <c r="C3219" s="9" t="n">
        <v>1185732</v>
      </c>
      <c r="D3219" s="10" t="n">
        <v>44479</v>
      </c>
      <c r="E3219" s="9" t="s">
        <v>38</v>
      </c>
      <c r="F3219" s="9" t="s">
        <v>118</v>
      </c>
      <c r="G3219" s="9" t="s">
        <v>119</v>
      </c>
      <c r="H3219" s="11" t="s">
        <v>19</v>
      </c>
      <c r="I3219" s="12" t="n">
        <v>45</v>
      </c>
      <c r="J3219" s="13" t="n">
        <v>400</v>
      </c>
      <c r="K3219" s="14" t="n">
        <f aca="false">I3219*J3219</f>
        <v>18000</v>
      </c>
      <c r="L3219" s="14" t="n">
        <f aca="false">($L$2*M3219)/100</f>
        <v>480666.6</v>
      </c>
      <c r="M3219" s="15" t="n">
        <v>0.4</v>
      </c>
      <c r="N3219" s="9" t="s">
        <v>20</v>
      </c>
    </row>
    <row r="3220" customFormat="false" ht="14.25" hidden="false" customHeight="true" outlineLevel="0" collapsed="false">
      <c r="B3220" s="9" t="s">
        <v>32</v>
      </c>
      <c r="C3220" s="9" t="n">
        <v>1185732</v>
      </c>
      <c r="D3220" s="10" t="n">
        <v>44479</v>
      </c>
      <c r="E3220" s="9" t="s">
        <v>38</v>
      </c>
      <c r="F3220" s="9" t="s">
        <v>118</v>
      </c>
      <c r="G3220" s="9" t="s">
        <v>119</v>
      </c>
      <c r="H3220" s="11" t="s">
        <v>21</v>
      </c>
      <c r="I3220" s="12" t="n">
        <v>35</v>
      </c>
      <c r="J3220" s="13" t="n">
        <v>250</v>
      </c>
      <c r="K3220" s="14" t="n">
        <f aca="false">I3220*J3220</f>
        <v>8750</v>
      </c>
      <c r="L3220" s="14" t="n">
        <f aca="false">($L$2*M3220)/100</f>
        <v>480666.6</v>
      </c>
      <c r="M3220" s="15" t="n">
        <v>0.4</v>
      </c>
      <c r="N3220" s="9" t="s">
        <v>20</v>
      </c>
    </row>
    <row r="3221" customFormat="false" ht="14.25" hidden="false" customHeight="true" outlineLevel="0" collapsed="false">
      <c r="B3221" s="9" t="s">
        <v>32</v>
      </c>
      <c r="C3221" s="9" t="n">
        <v>1185732</v>
      </c>
      <c r="D3221" s="10" t="n">
        <v>44479</v>
      </c>
      <c r="E3221" s="9" t="s">
        <v>38</v>
      </c>
      <c r="F3221" s="9" t="s">
        <v>118</v>
      </c>
      <c r="G3221" s="9" t="s">
        <v>119</v>
      </c>
      <c r="H3221" s="11" t="s">
        <v>22</v>
      </c>
      <c r="I3221" s="12" t="n">
        <v>35</v>
      </c>
      <c r="J3221" s="13" t="n">
        <v>150</v>
      </c>
      <c r="K3221" s="14" t="n">
        <f aca="false">I3221*J3221</f>
        <v>5250</v>
      </c>
      <c r="L3221" s="14" t="n">
        <f aca="false">($L$2*M3221)/100</f>
        <v>420583.275</v>
      </c>
      <c r="M3221" s="15" t="n">
        <v>0.35</v>
      </c>
      <c r="N3221" s="9" t="s">
        <v>20</v>
      </c>
    </row>
    <row r="3222" customFormat="false" ht="14.25" hidden="false" customHeight="true" outlineLevel="0" collapsed="false">
      <c r="B3222" s="9" t="s">
        <v>32</v>
      </c>
      <c r="C3222" s="9" t="n">
        <v>1185732</v>
      </c>
      <c r="D3222" s="10" t="n">
        <v>44479</v>
      </c>
      <c r="E3222" s="9" t="s">
        <v>38</v>
      </c>
      <c r="F3222" s="9" t="s">
        <v>118</v>
      </c>
      <c r="G3222" s="9" t="s">
        <v>119</v>
      </c>
      <c r="H3222" s="11" t="s">
        <v>23</v>
      </c>
      <c r="I3222" s="12" t="n">
        <v>35</v>
      </c>
      <c r="J3222" s="13" t="n">
        <v>150</v>
      </c>
      <c r="K3222" s="14" t="n">
        <f aca="false">I3222*J3222</f>
        <v>5250</v>
      </c>
      <c r="L3222" s="14" t="n">
        <f aca="false">($L$2*M3222)/100</f>
        <v>420583.275</v>
      </c>
      <c r="M3222" s="15" t="n">
        <v>0.35</v>
      </c>
      <c r="N3222" s="9" t="s">
        <v>20</v>
      </c>
    </row>
    <row r="3223" customFormat="false" ht="14.25" hidden="false" customHeight="true" outlineLevel="0" collapsed="false">
      <c r="B3223" s="9" t="s">
        <v>32</v>
      </c>
      <c r="C3223" s="9" t="n">
        <v>1185732</v>
      </c>
      <c r="D3223" s="10" t="n">
        <v>44479</v>
      </c>
      <c r="E3223" s="9" t="s">
        <v>38</v>
      </c>
      <c r="F3223" s="9" t="s">
        <v>118</v>
      </c>
      <c r="G3223" s="9" t="s">
        <v>119</v>
      </c>
      <c r="H3223" s="11" t="s">
        <v>24</v>
      </c>
      <c r="I3223" s="12" t="n">
        <v>45</v>
      </c>
      <c r="J3223" s="13" t="n">
        <v>150</v>
      </c>
      <c r="K3223" s="14" t="n">
        <f aca="false">I3223*J3223</f>
        <v>6750</v>
      </c>
      <c r="L3223" s="14" t="n">
        <f aca="false">($L$2*M3223)/100</f>
        <v>360499.95</v>
      </c>
      <c r="M3223" s="15" t="n">
        <v>0.3</v>
      </c>
      <c r="N3223" s="9" t="s">
        <v>20</v>
      </c>
    </row>
    <row r="3224" customFormat="false" ht="14.25" hidden="false" customHeight="true" outlineLevel="0" collapsed="false">
      <c r="B3224" s="9" t="s">
        <v>32</v>
      </c>
      <c r="C3224" s="9" t="n">
        <v>1185732</v>
      </c>
      <c r="D3224" s="10" t="n">
        <v>44479</v>
      </c>
      <c r="E3224" s="9" t="s">
        <v>38</v>
      </c>
      <c r="F3224" s="9" t="s">
        <v>118</v>
      </c>
      <c r="G3224" s="9" t="s">
        <v>119</v>
      </c>
      <c r="H3224" s="11" t="s">
        <v>25</v>
      </c>
      <c r="I3224" s="12" t="n">
        <v>50</v>
      </c>
      <c r="J3224" s="13" t="n">
        <v>275</v>
      </c>
      <c r="K3224" s="14" t="n">
        <f aca="false">I3224*J3224</f>
        <v>13750</v>
      </c>
      <c r="L3224" s="14" t="n">
        <f aca="false">($L$2*M3224)/100</f>
        <v>480666.6</v>
      </c>
      <c r="M3224" s="15" t="n">
        <v>0.4</v>
      </c>
      <c r="N3224" s="9" t="s">
        <v>20</v>
      </c>
    </row>
    <row r="3225" customFormat="false" ht="14.25" hidden="false" customHeight="true" outlineLevel="0" collapsed="false">
      <c r="B3225" s="9" t="s">
        <v>32</v>
      </c>
      <c r="C3225" s="9" t="n">
        <v>1185732</v>
      </c>
      <c r="D3225" s="10" t="n">
        <v>44510</v>
      </c>
      <c r="E3225" s="9" t="s">
        <v>38</v>
      </c>
      <c r="F3225" s="9" t="s">
        <v>118</v>
      </c>
      <c r="G3225" s="9" t="s">
        <v>119</v>
      </c>
      <c r="H3225" s="11" t="s">
        <v>19</v>
      </c>
      <c r="I3225" s="12" t="n">
        <v>45</v>
      </c>
      <c r="J3225" s="13" t="n">
        <v>425</v>
      </c>
      <c r="K3225" s="14" t="n">
        <f aca="false">I3225*J3225</f>
        <v>19125</v>
      </c>
      <c r="L3225" s="14" t="n">
        <f aca="false">($L$2*M3225)/100</f>
        <v>480666.6</v>
      </c>
      <c r="M3225" s="15" t="n">
        <v>0.4</v>
      </c>
      <c r="N3225" s="9" t="s">
        <v>20</v>
      </c>
    </row>
    <row r="3226" customFormat="false" ht="14.25" hidden="false" customHeight="true" outlineLevel="0" collapsed="false">
      <c r="B3226" s="9" t="s">
        <v>32</v>
      </c>
      <c r="C3226" s="9" t="n">
        <v>1185732</v>
      </c>
      <c r="D3226" s="10" t="n">
        <v>44510</v>
      </c>
      <c r="E3226" s="9" t="s">
        <v>38</v>
      </c>
      <c r="F3226" s="9" t="s">
        <v>118</v>
      </c>
      <c r="G3226" s="9" t="s">
        <v>119</v>
      </c>
      <c r="H3226" s="11" t="s">
        <v>21</v>
      </c>
      <c r="I3226" s="12" t="n">
        <v>35</v>
      </c>
      <c r="J3226" s="13" t="n">
        <v>325</v>
      </c>
      <c r="K3226" s="14" t="n">
        <f aca="false">I3226*J3226</f>
        <v>11375</v>
      </c>
      <c r="L3226" s="14" t="n">
        <f aca="false">($L$2*M3226)/100</f>
        <v>480666.6</v>
      </c>
      <c r="M3226" s="15" t="n">
        <v>0.4</v>
      </c>
      <c r="N3226" s="9" t="s">
        <v>20</v>
      </c>
    </row>
    <row r="3227" customFormat="false" ht="14.25" hidden="false" customHeight="true" outlineLevel="0" collapsed="false">
      <c r="B3227" s="9" t="s">
        <v>32</v>
      </c>
      <c r="C3227" s="9" t="n">
        <v>1185732</v>
      </c>
      <c r="D3227" s="10" t="n">
        <v>44510</v>
      </c>
      <c r="E3227" s="9" t="s">
        <v>38</v>
      </c>
      <c r="F3227" s="9" t="s">
        <v>118</v>
      </c>
      <c r="G3227" s="9" t="s">
        <v>119</v>
      </c>
      <c r="H3227" s="11" t="s">
        <v>22</v>
      </c>
      <c r="I3227" s="12" t="n">
        <v>35</v>
      </c>
      <c r="J3227" s="13" t="n">
        <v>270</v>
      </c>
      <c r="K3227" s="14" t="n">
        <f aca="false">I3227*J3227</f>
        <v>9450</v>
      </c>
      <c r="L3227" s="14" t="n">
        <f aca="false">($L$2*M3227)/100</f>
        <v>420583.275</v>
      </c>
      <c r="M3227" s="15" t="n">
        <v>0.35</v>
      </c>
      <c r="N3227" s="9" t="s">
        <v>20</v>
      </c>
    </row>
    <row r="3228" customFormat="false" ht="14.25" hidden="false" customHeight="true" outlineLevel="0" collapsed="false">
      <c r="B3228" s="9" t="s">
        <v>32</v>
      </c>
      <c r="C3228" s="9" t="n">
        <v>1185732</v>
      </c>
      <c r="D3228" s="10" t="n">
        <v>44510</v>
      </c>
      <c r="E3228" s="9" t="s">
        <v>38</v>
      </c>
      <c r="F3228" s="9" t="s">
        <v>118</v>
      </c>
      <c r="G3228" s="9" t="s">
        <v>119</v>
      </c>
      <c r="H3228" s="11" t="s">
        <v>23</v>
      </c>
      <c r="I3228" s="12" t="n">
        <v>35</v>
      </c>
      <c r="J3228" s="13" t="n">
        <v>275</v>
      </c>
      <c r="K3228" s="14" t="n">
        <f aca="false">I3228*J3228</f>
        <v>9625</v>
      </c>
      <c r="L3228" s="14" t="n">
        <f aca="false">($L$2*M3228)/100</f>
        <v>420583.275</v>
      </c>
      <c r="M3228" s="15" t="n">
        <v>0.35</v>
      </c>
      <c r="N3228" s="9" t="s">
        <v>20</v>
      </c>
    </row>
    <row r="3229" customFormat="false" ht="14.25" hidden="false" customHeight="true" outlineLevel="0" collapsed="false">
      <c r="B3229" s="9" t="s">
        <v>32</v>
      </c>
      <c r="C3229" s="9" t="n">
        <v>1185732</v>
      </c>
      <c r="D3229" s="10" t="n">
        <v>44510</v>
      </c>
      <c r="E3229" s="9" t="s">
        <v>38</v>
      </c>
      <c r="F3229" s="9" t="s">
        <v>118</v>
      </c>
      <c r="G3229" s="9" t="s">
        <v>119</v>
      </c>
      <c r="H3229" s="11" t="s">
        <v>24</v>
      </c>
      <c r="I3229" s="12" t="n">
        <v>60</v>
      </c>
      <c r="J3229" s="13" t="n">
        <v>250</v>
      </c>
      <c r="K3229" s="14" t="n">
        <f aca="false">I3229*J3229</f>
        <v>15000</v>
      </c>
      <c r="L3229" s="14" t="n">
        <f aca="false">($L$2*M3229)/100</f>
        <v>360499.95</v>
      </c>
      <c r="M3229" s="15" t="n">
        <v>0.3</v>
      </c>
      <c r="N3229" s="9" t="s">
        <v>20</v>
      </c>
    </row>
    <row r="3230" customFormat="false" ht="14.25" hidden="false" customHeight="true" outlineLevel="0" collapsed="false">
      <c r="B3230" s="9" t="s">
        <v>32</v>
      </c>
      <c r="C3230" s="9" t="n">
        <v>1185732</v>
      </c>
      <c r="D3230" s="10" t="n">
        <v>44510</v>
      </c>
      <c r="E3230" s="9" t="s">
        <v>38</v>
      </c>
      <c r="F3230" s="9" t="s">
        <v>118</v>
      </c>
      <c r="G3230" s="9" t="s">
        <v>119</v>
      </c>
      <c r="H3230" s="11" t="s">
        <v>25</v>
      </c>
      <c r="I3230" s="12" t="n">
        <v>65</v>
      </c>
      <c r="J3230" s="13" t="n">
        <v>350</v>
      </c>
      <c r="K3230" s="14" t="n">
        <f aca="false">I3230*J3230</f>
        <v>22750</v>
      </c>
      <c r="L3230" s="14" t="n">
        <f aca="false">($L$2*M3230)/100</f>
        <v>480666.6</v>
      </c>
      <c r="M3230" s="15" t="n">
        <v>0.4</v>
      </c>
      <c r="N3230" s="9" t="s">
        <v>20</v>
      </c>
    </row>
    <row r="3231" customFormat="false" ht="14.25" hidden="false" customHeight="true" outlineLevel="0" collapsed="false">
      <c r="B3231" s="9" t="s">
        <v>32</v>
      </c>
      <c r="C3231" s="9" t="n">
        <v>1185732</v>
      </c>
      <c r="D3231" s="10" t="n">
        <v>44539</v>
      </c>
      <c r="E3231" s="9" t="s">
        <v>38</v>
      </c>
      <c r="F3231" s="9" t="s">
        <v>118</v>
      </c>
      <c r="G3231" s="9" t="s">
        <v>119</v>
      </c>
      <c r="H3231" s="11" t="s">
        <v>19</v>
      </c>
      <c r="I3231" s="12" t="n">
        <v>60</v>
      </c>
      <c r="J3231" s="13" t="n">
        <v>600</v>
      </c>
      <c r="K3231" s="14" t="n">
        <f aca="false">I3231*J3231</f>
        <v>36000</v>
      </c>
      <c r="L3231" s="14" t="n">
        <f aca="false">($L$2*M3231)/100</f>
        <v>480666.6</v>
      </c>
      <c r="M3231" s="15" t="n">
        <v>0.4</v>
      </c>
      <c r="N3231" s="9" t="s">
        <v>20</v>
      </c>
    </row>
    <row r="3232" customFormat="false" ht="14.25" hidden="false" customHeight="true" outlineLevel="0" collapsed="false">
      <c r="B3232" s="9" t="s">
        <v>32</v>
      </c>
      <c r="C3232" s="9" t="n">
        <v>1185732</v>
      </c>
      <c r="D3232" s="10" t="n">
        <v>44539</v>
      </c>
      <c r="E3232" s="9" t="s">
        <v>38</v>
      </c>
      <c r="F3232" s="9" t="s">
        <v>118</v>
      </c>
      <c r="G3232" s="9" t="s">
        <v>119</v>
      </c>
      <c r="H3232" s="11" t="s">
        <v>21</v>
      </c>
      <c r="I3232" s="12" t="n">
        <v>50</v>
      </c>
      <c r="J3232" s="13" t="n">
        <v>400</v>
      </c>
      <c r="K3232" s="14" t="n">
        <f aca="false">I3232*J3232</f>
        <v>20000</v>
      </c>
      <c r="L3232" s="14" t="n">
        <f aca="false">($L$2*M3232)/100</f>
        <v>480666.6</v>
      </c>
      <c r="M3232" s="15" t="n">
        <v>0.4</v>
      </c>
      <c r="N3232" s="9" t="s">
        <v>20</v>
      </c>
    </row>
    <row r="3233" customFormat="false" ht="14.25" hidden="false" customHeight="true" outlineLevel="0" collapsed="false">
      <c r="B3233" s="9" t="s">
        <v>32</v>
      </c>
      <c r="C3233" s="9" t="n">
        <v>1185732</v>
      </c>
      <c r="D3233" s="10" t="n">
        <v>44539</v>
      </c>
      <c r="E3233" s="9" t="s">
        <v>38</v>
      </c>
      <c r="F3233" s="9" t="s">
        <v>118</v>
      </c>
      <c r="G3233" s="9" t="s">
        <v>119</v>
      </c>
      <c r="H3233" s="11" t="s">
        <v>22</v>
      </c>
      <c r="I3233" s="12" t="n">
        <v>50</v>
      </c>
      <c r="J3233" s="13" t="n">
        <v>350</v>
      </c>
      <c r="K3233" s="14" t="n">
        <f aca="false">I3233*J3233</f>
        <v>17500</v>
      </c>
      <c r="L3233" s="14" t="n">
        <f aca="false">($L$2*M3233)/100</f>
        <v>420583.275</v>
      </c>
      <c r="M3233" s="15" t="n">
        <v>0.35</v>
      </c>
      <c r="N3233" s="9" t="s">
        <v>20</v>
      </c>
    </row>
    <row r="3234" customFormat="false" ht="14.25" hidden="false" customHeight="true" outlineLevel="0" collapsed="false">
      <c r="B3234" s="9" t="s">
        <v>32</v>
      </c>
      <c r="C3234" s="9" t="n">
        <v>1185732</v>
      </c>
      <c r="D3234" s="10" t="n">
        <v>44539</v>
      </c>
      <c r="E3234" s="9" t="s">
        <v>38</v>
      </c>
      <c r="F3234" s="9" t="s">
        <v>118</v>
      </c>
      <c r="G3234" s="9" t="s">
        <v>119</v>
      </c>
      <c r="H3234" s="11" t="s">
        <v>23</v>
      </c>
      <c r="I3234" s="12" t="n">
        <v>50</v>
      </c>
      <c r="J3234" s="13" t="n">
        <v>300</v>
      </c>
      <c r="K3234" s="14" t="n">
        <f aca="false">I3234*J3234</f>
        <v>15000</v>
      </c>
      <c r="L3234" s="14" t="n">
        <f aca="false">($L$2*M3234)/100</f>
        <v>420583.275</v>
      </c>
      <c r="M3234" s="15" t="n">
        <v>0.35</v>
      </c>
      <c r="N3234" s="9" t="s">
        <v>20</v>
      </c>
    </row>
    <row r="3235" customFormat="false" ht="14.25" hidden="false" customHeight="true" outlineLevel="0" collapsed="false">
      <c r="B3235" s="9" t="s">
        <v>32</v>
      </c>
      <c r="C3235" s="9" t="n">
        <v>1185732</v>
      </c>
      <c r="D3235" s="10" t="n">
        <v>44539</v>
      </c>
      <c r="E3235" s="9" t="s">
        <v>38</v>
      </c>
      <c r="F3235" s="9" t="s">
        <v>118</v>
      </c>
      <c r="G3235" s="9" t="s">
        <v>119</v>
      </c>
      <c r="H3235" s="11" t="s">
        <v>24</v>
      </c>
      <c r="I3235" s="12" t="n">
        <v>60</v>
      </c>
      <c r="J3235" s="13" t="n">
        <v>300</v>
      </c>
      <c r="K3235" s="14" t="n">
        <f aca="false">I3235*J3235</f>
        <v>18000</v>
      </c>
      <c r="L3235" s="14" t="n">
        <f aca="false">($L$2*M3235)/100</f>
        <v>360499.95</v>
      </c>
      <c r="M3235" s="15" t="n">
        <v>0.3</v>
      </c>
      <c r="N3235" s="9" t="s">
        <v>20</v>
      </c>
    </row>
    <row r="3236" customFormat="false" ht="14.25" hidden="false" customHeight="true" outlineLevel="0" collapsed="false">
      <c r="B3236" s="9" t="s">
        <v>32</v>
      </c>
      <c r="C3236" s="9" t="n">
        <v>1185732</v>
      </c>
      <c r="D3236" s="10" t="n">
        <v>44539</v>
      </c>
      <c r="E3236" s="9" t="s">
        <v>38</v>
      </c>
      <c r="F3236" s="9" t="s">
        <v>118</v>
      </c>
      <c r="G3236" s="9" t="s">
        <v>119</v>
      </c>
      <c r="H3236" s="11" t="s">
        <v>25</v>
      </c>
      <c r="I3236" s="12" t="n">
        <v>65</v>
      </c>
      <c r="J3236" s="13" t="n">
        <v>400</v>
      </c>
      <c r="K3236" s="14" t="n">
        <f aca="false">I3236*J3236</f>
        <v>26000</v>
      </c>
      <c r="L3236" s="14" t="n">
        <f aca="false">($L$2*M3236)/100</f>
        <v>480666.6</v>
      </c>
      <c r="M3236" s="15" t="n">
        <v>0.4</v>
      </c>
      <c r="N3236" s="9" t="s">
        <v>20</v>
      </c>
    </row>
    <row r="3237" customFormat="false" ht="14.25" hidden="false" customHeight="true" outlineLevel="0" collapsed="false">
      <c r="B3237" s="9" t="s">
        <v>32</v>
      </c>
      <c r="C3237" s="9" t="n">
        <v>1185732</v>
      </c>
      <c r="D3237" s="10" t="n">
        <v>44213</v>
      </c>
      <c r="E3237" s="9" t="s">
        <v>38</v>
      </c>
      <c r="F3237" s="9" t="s">
        <v>118</v>
      </c>
      <c r="G3237" s="9" t="s">
        <v>119</v>
      </c>
      <c r="H3237" s="11" t="s">
        <v>19</v>
      </c>
      <c r="I3237" s="12" t="n">
        <v>35</v>
      </c>
      <c r="J3237" s="13" t="n">
        <v>500</v>
      </c>
      <c r="K3237" s="14" t="n">
        <f aca="false">I3237*J3237</f>
        <v>17500</v>
      </c>
      <c r="L3237" s="14" t="n">
        <f aca="false">($L$2*M3237)/100</f>
        <v>480666.6</v>
      </c>
      <c r="M3237" s="15" t="n">
        <v>0.4</v>
      </c>
      <c r="N3237" s="9" t="s">
        <v>20</v>
      </c>
    </row>
    <row r="3238" customFormat="false" ht="14.25" hidden="false" customHeight="true" outlineLevel="0" collapsed="false">
      <c r="B3238" s="9" t="s">
        <v>32</v>
      </c>
      <c r="C3238" s="9" t="n">
        <v>1185732</v>
      </c>
      <c r="D3238" s="10" t="n">
        <v>44213</v>
      </c>
      <c r="E3238" s="9" t="s">
        <v>38</v>
      </c>
      <c r="F3238" s="9" t="s">
        <v>118</v>
      </c>
      <c r="G3238" s="9" t="s">
        <v>119</v>
      </c>
      <c r="H3238" s="11" t="s">
        <v>21</v>
      </c>
      <c r="I3238" s="12" t="n">
        <v>35</v>
      </c>
      <c r="J3238" s="13" t="n">
        <v>300</v>
      </c>
      <c r="K3238" s="14" t="n">
        <f aca="false">I3238*J3238</f>
        <v>10500</v>
      </c>
      <c r="L3238" s="14" t="n">
        <f aca="false">($L$2*M3238)/100</f>
        <v>480666.6</v>
      </c>
      <c r="M3238" s="15" t="n">
        <v>0.4</v>
      </c>
      <c r="N3238" s="9" t="s">
        <v>20</v>
      </c>
    </row>
    <row r="3239" customFormat="false" ht="14.25" hidden="false" customHeight="true" outlineLevel="0" collapsed="false">
      <c r="B3239" s="9" t="s">
        <v>32</v>
      </c>
      <c r="C3239" s="9" t="n">
        <v>1185732</v>
      </c>
      <c r="D3239" s="10" t="n">
        <v>44213</v>
      </c>
      <c r="E3239" s="9" t="s">
        <v>38</v>
      </c>
      <c r="F3239" s="9" t="s">
        <v>118</v>
      </c>
      <c r="G3239" s="9" t="s">
        <v>119</v>
      </c>
      <c r="H3239" s="11" t="s">
        <v>22</v>
      </c>
      <c r="I3239" s="12" t="n">
        <v>25</v>
      </c>
      <c r="J3239" s="13" t="n">
        <v>300</v>
      </c>
      <c r="K3239" s="14" t="n">
        <f aca="false">I3239*J3239</f>
        <v>7500</v>
      </c>
      <c r="L3239" s="14" t="n">
        <f aca="false">($L$2*M3239)/100</f>
        <v>480666.6</v>
      </c>
      <c r="M3239" s="15" t="n">
        <v>0.4</v>
      </c>
      <c r="N3239" s="9" t="s">
        <v>20</v>
      </c>
    </row>
    <row r="3240" customFormat="false" ht="14.25" hidden="false" customHeight="true" outlineLevel="0" collapsed="false">
      <c r="B3240" s="9" t="s">
        <v>32</v>
      </c>
      <c r="C3240" s="9" t="n">
        <v>1185732</v>
      </c>
      <c r="D3240" s="10" t="n">
        <v>44213</v>
      </c>
      <c r="E3240" s="9" t="s">
        <v>38</v>
      </c>
      <c r="F3240" s="9" t="s">
        <v>118</v>
      </c>
      <c r="G3240" s="9" t="s">
        <v>119</v>
      </c>
      <c r="H3240" s="11" t="s">
        <v>23</v>
      </c>
      <c r="I3240" s="12" t="n">
        <v>30</v>
      </c>
      <c r="J3240" s="13" t="n">
        <v>150</v>
      </c>
      <c r="K3240" s="14" t="n">
        <f aca="false">I3240*J3240</f>
        <v>4500</v>
      </c>
      <c r="L3240" s="14" t="n">
        <f aca="false">($L$2*M3240)/100</f>
        <v>480666.6</v>
      </c>
      <c r="M3240" s="15" t="n">
        <v>0.4</v>
      </c>
      <c r="N3240" s="9" t="s">
        <v>20</v>
      </c>
    </row>
    <row r="3241" customFormat="false" ht="14.25" hidden="false" customHeight="true" outlineLevel="0" collapsed="false">
      <c r="B3241" s="9" t="s">
        <v>32</v>
      </c>
      <c r="C3241" s="9" t="n">
        <v>1185732</v>
      </c>
      <c r="D3241" s="10" t="n">
        <v>44213</v>
      </c>
      <c r="E3241" s="9" t="s">
        <v>38</v>
      </c>
      <c r="F3241" s="9" t="s">
        <v>118</v>
      </c>
      <c r="G3241" s="9" t="s">
        <v>119</v>
      </c>
      <c r="H3241" s="11" t="s">
        <v>24</v>
      </c>
      <c r="I3241" s="12" t="n">
        <v>45</v>
      </c>
      <c r="J3241" s="13" t="n">
        <v>200</v>
      </c>
      <c r="K3241" s="14" t="n">
        <f aca="false">I3241*J3241</f>
        <v>9000</v>
      </c>
      <c r="L3241" s="14" t="n">
        <f aca="false">($L$2*M3241)/100</f>
        <v>480666.6</v>
      </c>
      <c r="M3241" s="15" t="n">
        <v>0.4</v>
      </c>
      <c r="N3241" s="9" t="s">
        <v>20</v>
      </c>
    </row>
    <row r="3242" customFormat="false" ht="14.25" hidden="false" customHeight="true" outlineLevel="0" collapsed="false">
      <c r="B3242" s="9" t="s">
        <v>32</v>
      </c>
      <c r="C3242" s="9" t="n">
        <v>1185732</v>
      </c>
      <c r="D3242" s="10" t="n">
        <v>44213</v>
      </c>
      <c r="E3242" s="9" t="s">
        <v>38</v>
      </c>
      <c r="F3242" s="9" t="s">
        <v>118</v>
      </c>
      <c r="G3242" s="9" t="s">
        <v>119</v>
      </c>
      <c r="H3242" s="11" t="s">
        <v>25</v>
      </c>
      <c r="I3242" s="12" t="n">
        <v>35</v>
      </c>
      <c r="J3242" s="13" t="n">
        <v>300</v>
      </c>
      <c r="K3242" s="14" t="n">
        <f aca="false">I3242*J3242</f>
        <v>10500</v>
      </c>
      <c r="L3242" s="14" t="n">
        <f aca="false">($L$2*M3242)/100</f>
        <v>480666.6</v>
      </c>
      <c r="M3242" s="15" t="n">
        <v>0.4</v>
      </c>
      <c r="N3242" s="9" t="s">
        <v>20</v>
      </c>
    </row>
    <row r="3243" customFormat="false" ht="14.25" hidden="false" customHeight="true" outlineLevel="0" collapsed="false">
      <c r="B3243" s="9" t="s">
        <v>32</v>
      </c>
      <c r="C3243" s="9" t="n">
        <v>1185732</v>
      </c>
      <c r="D3243" s="10" t="n">
        <v>44244</v>
      </c>
      <c r="E3243" s="9" t="s">
        <v>38</v>
      </c>
      <c r="F3243" s="9" t="s">
        <v>118</v>
      </c>
      <c r="G3243" s="9" t="s">
        <v>119</v>
      </c>
      <c r="H3243" s="11" t="s">
        <v>19</v>
      </c>
      <c r="I3243" s="12" t="n">
        <v>35</v>
      </c>
      <c r="J3243" s="13" t="n">
        <v>550</v>
      </c>
      <c r="K3243" s="14" t="n">
        <f aca="false">I3243*J3243</f>
        <v>19250</v>
      </c>
      <c r="L3243" s="14" t="n">
        <f aca="false">($L$2*M3243)/100</f>
        <v>480666.6</v>
      </c>
      <c r="M3243" s="15" t="n">
        <v>0.4</v>
      </c>
      <c r="N3243" s="9" t="s">
        <v>20</v>
      </c>
    </row>
    <row r="3244" customFormat="false" ht="14.25" hidden="false" customHeight="true" outlineLevel="0" collapsed="false">
      <c r="B3244" s="9" t="s">
        <v>32</v>
      </c>
      <c r="C3244" s="9" t="n">
        <v>1185732</v>
      </c>
      <c r="D3244" s="10" t="n">
        <v>44244</v>
      </c>
      <c r="E3244" s="9" t="s">
        <v>38</v>
      </c>
      <c r="F3244" s="9" t="s">
        <v>118</v>
      </c>
      <c r="G3244" s="9" t="s">
        <v>119</v>
      </c>
      <c r="H3244" s="11" t="s">
        <v>21</v>
      </c>
      <c r="I3244" s="12" t="n">
        <v>40</v>
      </c>
      <c r="J3244" s="13" t="n">
        <v>200</v>
      </c>
      <c r="K3244" s="14" t="n">
        <f aca="false">I3244*J3244</f>
        <v>8000</v>
      </c>
      <c r="L3244" s="14" t="n">
        <f aca="false">($L$2*M3244)/100</f>
        <v>480666.6</v>
      </c>
      <c r="M3244" s="15" t="n">
        <v>0.4</v>
      </c>
      <c r="N3244" s="9" t="s">
        <v>20</v>
      </c>
    </row>
    <row r="3245" customFormat="false" ht="14.25" hidden="false" customHeight="true" outlineLevel="0" collapsed="false">
      <c r="B3245" s="9" t="s">
        <v>32</v>
      </c>
      <c r="C3245" s="9" t="n">
        <v>1185732</v>
      </c>
      <c r="D3245" s="10" t="n">
        <v>44244</v>
      </c>
      <c r="E3245" s="9" t="s">
        <v>38</v>
      </c>
      <c r="F3245" s="9" t="s">
        <v>118</v>
      </c>
      <c r="G3245" s="9" t="s">
        <v>119</v>
      </c>
      <c r="H3245" s="11" t="s">
        <v>22</v>
      </c>
      <c r="I3245" s="12" t="n">
        <v>30</v>
      </c>
      <c r="J3245" s="13" t="n">
        <v>300</v>
      </c>
      <c r="K3245" s="14" t="n">
        <f aca="false">I3245*J3245</f>
        <v>9000</v>
      </c>
      <c r="L3245" s="14" t="n">
        <f aca="false">($L$2*M3245)/100</f>
        <v>480666.6</v>
      </c>
      <c r="M3245" s="15" t="n">
        <v>0.4</v>
      </c>
      <c r="N3245" s="9" t="s">
        <v>20</v>
      </c>
    </row>
    <row r="3246" customFormat="false" ht="14.25" hidden="false" customHeight="true" outlineLevel="0" collapsed="false">
      <c r="B3246" s="9" t="s">
        <v>32</v>
      </c>
      <c r="C3246" s="9" t="n">
        <v>1185732</v>
      </c>
      <c r="D3246" s="10" t="n">
        <v>44244</v>
      </c>
      <c r="E3246" s="9" t="s">
        <v>17</v>
      </c>
      <c r="F3246" s="9" t="s">
        <v>120</v>
      </c>
      <c r="G3246" s="9" t="s">
        <v>95</v>
      </c>
      <c r="H3246" s="11" t="s">
        <v>23</v>
      </c>
      <c r="I3246" s="12" t="n">
        <v>35</v>
      </c>
      <c r="J3246" s="13" t="n">
        <v>175</v>
      </c>
      <c r="K3246" s="14" t="n">
        <f aca="false">I3246*J3246</f>
        <v>6125</v>
      </c>
      <c r="L3246" s="14" t="n">
        <f aca="false">($L$2*M3246)/100</f>
        <v>480666.6</v>
      </c>
      <c r="M3246" s="15" t="n">
        <v>0.4</v>
      </c>
      <c r="N3246" s="9" t="s">
        <v>20</v>
      </c>
    </row>
    <row r="3247" customFormat="false" ht="14.25" hidden="false" customHeight="true" outlineLevel="0" collapsed="false">
      <c r="B3247" s="9" t="s">
        <v>32</v>
      </c>
      <c r="C3247" s="9" t="n">
        <v>1185732</v>
      </c>
      <c r="D3247" s="10" t="n">
        <v>44244</v>
      </c>
      <c r="E3247" s="9" t="s">
        <v>17</v>
      </c>
      <c r="F3247" s="9" t="s">
        <v>120</v>
      </c>
      <c r="G3247" s="9" t="s">
        <v>95</v>
      </c>
      <c r="H3247" s="11" t="s">
        <v>24</v>
      </c>
      <c r="I3247" s="12" t="n">
        <v>50</v>
      </c>
      <c r="J3247" s="13" t="n">
        <v>250</v>
      </c>
      <c r="K3247" s="14" t="n">
        <f aca="false">I3247*J3247</f>
        <v>12500</v>
      </c>
      <c r="L3247" s="14" t="n">
        <f aca="false">($L$2*M3247)/100</f>
        <v>480666.6</v>
      </c>
      <c r="M3247" s="15" t="n">
        <v>0.4</v>
      </c>
      <c r="N3247" s="9" t="s">
        <v>20</v>
      </c>
    </row>
    <row r="3248" customFormat="false" ht="14.25" hidden="false" customHeight="true" outlineLevel="0" collapsed="false">
      <c r="B3248" s="9" t="s">
        <v>32</v>
      </c>
      <c r="C3248" s="9" t="n">
        <v>1185732</v>
      </c>
      <c r="D3248" s="10" t="n">
        <v>44244</v>
      </c>
      <c r="E3248" s="9" t="s">
        <v>17</v>
      </c>
      <c r="F3248" s="9" t="s">
        <v>120</v>
      </c>
      <c r="G3248" s="9" t="s">
        <v>95</v>
      </c>
      <c r="H3248" s="11" t="s">
        <v>25</v>
      </c>
      <c r="I3248" s="12" t="n">
        <v>25</v>
      </c>
      <c r="J3248" s="13" t="n">
        <v>350</v>
      </c>
      <c r="K3248" s="14" t="n">
        <f aca="false">I3248*J3248</f>
        <v>8750</v>
      </c>
      <c r="L3248" s="14" t="n">
        <f aca="false">($L$2*M3248)/100</f>
        <v>480666.6</v>
      </c>
      <c r="M3248" s="15" t="n">
        <v>0.4</v>
      </c>
      <c r="N3248" s="9" t="s">
        <v>20</v>
      </c>
    </row>
    <row r="3249" customFormat="false" ht="14.25" hidden="false" customHeight="true" outlineLevel="0" collapsed="false">
      <c r="B3249" s="9" t="s">
        <v>32</v>
      </c>
      <c r="C3249" s="9" t="n">
        <v>1185732</v>
      </c>
      <c r="D3249" s="10" t="n">
        <v>44271</v>
      </c>
      <c r="E3249" s="9" t="s">
        <v>17</v>
      </c>
      <c r="F3249" s="9" t="s">
        <v>120</v>
      </c>
      <c r="G3249" s="9" t="s">
        <v>95</v>
      </c>
      <c r="H3249" s="11" t="s">
        <v>19</v>
      </c>
      <c r="I3249" s="12" t="n">
        <v>30</v>
      </c>
      <c r="J3249" s="13" t="n">
        <v>570</v>
      </c>
      <c r="K3249" s="14" t="n">
        <f aca="false">I3249*J3249</f>
        <v>17100</v>
      </c>
      <c r="L3249" s="14" t="n">
        <f aca="false">($L$2*M3249)/100</f>
        <v>480666.6</v>
      </c>
      <c r="M3249" s="15" t="n">
        <v>0.4</v>
      </c>
      <c r="N3249" s="9" t="s">
        <v>20</v>
      </c>
    </row>
    <row r="3250" customFormat="false" ht="14.25" hidden="false" customHeight="true" outlineLevel="0" collapsed="false">
      <c r="B3250" s="9" t="s">
        <v>32</v>
      </c>
      <c r="C3250" s="9" t="n">
        <v>1185732</v>
      </c>
      <c r="D3250" s="10" t="n">
        <v>44271</v>
      </c>
      <c r="E3250" s="9" t="s">
        <v>17</v>
      </c>
      <c r="F3250" s="9" t="s">
        <v>120</v>
      </c>
      <c r="G3250" s="9" t="s">
        <v>95</v>
      </c>
      <c r="H3250" s="11" t="s">
        <v>21</v>
      </c>
      <c r="I3250" s="12" t="n">
        <v>30</v>
      </c>
      <c r="J3250" s="13" t="n">
        <v>275</v>
      </c>
      <c r="K3250" s="14" t="n">
        <f aca="false">I3250*J3250</f>
        <v>8250</v>
      </c>
      <c r="L3250" s="14" t="n">
        <f aca="false">($L$2*M3250)/100</f>
        <v>480666.6</v>
      </c>
      <c r="M3250" s="15" t="n">
        <v>0.4</v>
      </c>
      <c r="N3250" s="9" t="s">
        <v>20</v>
      </c>
    </row>
    <row r="3251" customFormat="false" ht="14.25" hidden="false" customHeight="true" outlineLevel="0" collapsed="false">
      <c r="B3251" s="9" t="s">
        <v>32</v>
      </c>
      <c r="C3251" s="9" t="n">
        <v>1185732</v>
      </c>
      <c r="D3251" s="10" t="n">
        <v>44271</v>
      </c>
      <c r="E3251" s="9" t="s">
        <v>17</v>
      </c>
      <c r="F3251" s="9" t="s">
        <v>120</v>
      </c>
      <c r="G3251" s="9" t="s">
        <v>95</v>
      </c>
      <c r="H3251" s="11" t="s">
        <v>22</v>
      </c>
      <c r="I3251" s="12" t="n">
        <v>20</v>
      </c>
      <c r="J3251" s="13" t="n">
        <v>325</v>
      </c>
      <c r="K3251" s="14" t="n">
        <f aca="false">I3251*J3251</f>
        <v>6500</v>
      </c>
      <c r="L3251" s="14" t="n">
        <f aca="false">($L$2*M3251)/100</f>
        <v>480666.6</v>
      </c>
      <c r="M3251" s="15" t="n">
        <v>0.4</v>
      </c>
      <c r="N3251" s="9" t="s">
        <v>20</v>
      </c>
    </row>
    <row r="3252" customFormat="false" ht="14.25" hidden="false" customHeight="true" outlineLevel="0" collapsed="false">
      <c r="B3252" s="9" t="s">
        <v>32</v>
      </c>
      <c r="C3252" s="9" t="n">
        <v>1185732</v>
      </c>
      <c r="D3252" s="10" t="n">
        <v>44271</v>
      </c>
      <c r="E3252" s="9" t="s">
        <v>17</v>
      </c>
      <c r="F3252" s="9" t="s">
        <v>120</v>
      </c>
      <c r="G3252" s="9" t="s">
        <v>95</v>
      </c>
      <c r="H3252" s="11" t="s">
        <v>23</v>
      </c>
      <c r="I3252" s="12" t="n">
        <v>25</v>
      </c>
      <c r="J3252" s="13" t="n">
        <v>175</v>
      </c>
      <c r="K3252" s="14" t="n">
        <f aca="false">I3252*J3252</f>
        <v>4375</v>
      </c>
      <c r="L3252" s="14" t="n">
        <f aca="false">($L$2*M3252)/100</f>
        <v>480666.6</v>
      </c>
      <c r="M3252" s="15" t="n">
        <v>0.4</v>
      </c>
      <c r="N3252" s="9" t="s">
        <v>20</v>
      </c>
    </row>
    <row r="3253" customFormat="false" ht="14.25" hidden="false" customHeight="true" outlineLevel="0" collapsed="false">
      <c r="B3253" s="9" t="s">
        <v>32</v>
      </c>
      <c r="C3253" s="9" t="n">
        <v>1185732</v>
      </c>
      <c r="D3253" s="10" t="n">
        <v>44271</v>
      </c>
      <c r="E3253" s="9" t="s">
        <v>17</v>
      </c>
      <c r="F3253" s="9" t="s">
        <v>120</v>
      </c>
      <c r="G3253" s="9" t="s">
        <v>95</v>
      </c>
      <c r="H3253" s="11" t="s">
        <v>24</v>
      </c>
      <c r="I3253" s="12" t="n">
        <v>40</v>
      </c>
      <c r="J3253" s="13" t="n">
        <v>225</v>
      </c>
      <c r="K3253" s="14" t="n">
        <f aca="false">I3253*J3253</f>
        <v>9000</v>
      </c>
      <c r="L3253" s="14" t="n">
        <f aca="false">($L$2*M3253)/100</f>
        <v>480666.6</v>
      </c>
      <c r="M3253" s="15" t="n">
        <v>0.4</v>
      </c>
      <c r="N3253" s="9" t="s">
        <v>20</v>
      </c>
    </row>
    <row r="3254" customFormat="false" ht="14.25" hidden="false" customHeight="true" outlineLevel="0" collapsed="false">
      <c r="B3254" s="9" t="s">
        <v>32</v>
      </c>
      <c r="C3254" s="9" t="n">
        <v>1185732</v>
      </c>
      <c r="D3254" s="10" t="n">
        <v>44271</v>
      </c>
      <c r="E3254" s="9" t="s">
        <v>17</v>
      </c>
      <c r="F3254" s="9" t="s">
        <v>120</v>
      </c>
      <c r="G3254" s="9" t="s">
        <v>95</v>
      </c>
      <c r="H3254" s="11" t="s">
        <v>25</v>
      </c>
      <c r="I3254" s="12" t="n">
        <v>30</v>
      </c>
      <c r="J3254" s="13" t="n">
        <v>325</v>
      </c>
      <c r="K3254" s="14" t="n">
        <f aca="false">I3254*J3254</f>
        <v>9750</v>
      </c>
      <c r="L3254" s="14" t="n">
        <f aca="false">($L$2*M3254)/100</f>
        <v>480666.6</v>
      </c>
      <c r="M3254" s="15" t="n">
        <v>0.4</v>
      </c>
      <c r="N3254" s="9" t="s">
        <v>20</v>
      </c>
    </row>
    <row r="3255" customFormat="false" ht="14.25" hidden="false" customHeight="true" outlineLevel="0" collapsed="false">
      <c r="B3255" s="9" t="s">
        <v>32</v>
      </c>
      <c r="C3255" s="9" t="n">
        <v>1185732</v>
      </c>
      <c r="D3255" s="10" t="n">
        <v>44303</v>
      </c>
      <c r="E3255" s="9" t="s">
        <v>17</v>
      </c>
      <c r="F3255" s="9" t="s">
        <v>120</v>
      </c>
      <c r="G3255" s="9" t="s">
        <v>95</v>
      </c>
      <c r="H3255" s="11" t="s">
        <v>19</v>
      </c>
      <c r="I3255" s="12" t="n">
        <v>30</v>
      </c>
      <c r="J3255" s="13" t="n">
        <v>550</v>
      </c>
      <c r="K3255" s="14" t="n">
        <f aca="false">I3255*J3255</f>
        <v>16500</v>
      </c>
      <c r="L3255" s="14" t="n">
        <f aca="false">($L$2*M3255)/100</f>
        <v>480666.6</v>
      </c>
      <c r="M3255" s="15" t="n">
        <v>0.4</v>
      </c>
      <c r="N3255" s="9" t="s">
        <v>20</v>
      </c>
    </row>
    <row r="3256" customFormat="false" ht="14.25" hidden="false" customHeight="true" outlineLevel="0" collapsed="false">
      <c r="B3256" s="9" t="s">
        <v>32</v>
      </c>
      <c r="C3256" s="9" t="n">
        <v>1185732</v>
      </c>
      <c r="D3256" s="10" t="n">
        <v>44303</v>
      </c>
      <c r="E3256" s="9" t="s">
        <v>17</v>
      </c>
      <c r="F3256" s="9" t="s">
        <v>120</v>
      </c>
      <c r="G3256" s="9" t="s">
        <v>95</v>
      </c>
      <c r="H3256" s="11" t="s">
        <v>21</v>
      </c>
      <c r="I3256" s="12" t="n">
        <v>30</v>
      </c>
      <c r="J3256" s="13" t="n">
        <v>250</v>
      </c>
      <c r="K3256" s="14" t="n">
        <f aca="false">I3256*J3256</f>
        <v>7500</v>
      </c>
      <c r="L3256" s="14" t="n">
        <f aca="false">($L$2*M3256)/100</f>
        <v>480666.6</v>
      </c>
      <c r="M3256" s="15" t="n">
        <v>0.4</v>
      </c>
      <c r="N3256" s="9" t="s">
        <v>20</v>
      </c>
    </row>
    <row r="3257" customFormat="false" ht="14.25" hidden="false" customHeight="true" outlineLevel="0" collapsed="false">
      <c r="B3257" s="9" t="s">
        <v>32</v>
      </c>
      <c r="C3257" s="9" t="n">
        <v>1185732</v>
      </c>
      <c r="D3257" s="10" t="n">
        <v>44303</v>
      </c>
      <c r="E3257" s="9" t="s">
        <v>17</v>
      </c>
      <c r="F3257" s="9" t="s">
        <v>120</v>
      </c>
      <c r="G3257" s="9" t="s">
        <v>95</v>
      </c>
      <c r="H3257" s="11" t="s">
        <v>22</v>
      </c>
      <c r="I3257" s="12" t="n">
        <v>20</v>
      </c>
      <c r="J3257" s="13" t="n">
        <v>250</v>
      </c>
      <c r="K3257" s="14" t="n">
        <f aca="false">I3257*J3257</f>
        <v>5000</v>
      </c>
      <c r="L3257" s="14" t="n">
        <f aca="false">($L$2*M3257)/100</f>
        <v>480666.6</v>
      </c>
      <c r="M3257" s="15" t="n">
        <v>0.4</v>
      </c>
      <c r="N3257" s="9" t="s">
        <v>20</v>
      </c>
    </row>
    <row r="3258" customFormat="false" ht="14.25" hidden="false" customHeight="true" outlineLevel="0" collapsed="false">
      <c r="B3258" s="9" t="s">
        <v>32</v>
      </c>
      <c r="C3258" s="9" t="n">
        <v>1185732</v>
      </c>
      <c r="D3258" s="10" t="n">
        <v>44303</v>
      </c>
      <c r="E3258" s="9" t="s">
        <v>17</v>
      </c>
      <c r="F3258" s="9" t="s">
        <v>120</v>
      </c>
      <c r="G3258" s="9" t="s">
        <v>95</v>
      </c>
      <c r="H3258" s="11" t="s">
        <v>23</v>
      </c>
      <c r="I3258" s="12" t="n">
        <v>25</v>
      </c>
      <c r="J3258" s="13" t="n">
        <v>175</v>
      </c>
      <c r="K3258" s="14" t="n">
        <f aca="false">I3258*J3258</f>
        <v>4375</v>
      </c>
      <c r="L3258" s="14" t="n">
        <f aca="false">($L$2*M3258)/100</f>
        <v>480666.6</v>
      </c>
      <c r="M3258" s="15" t="n">
        <v>0.4</v>
      </c>
      <c r="N3258" s="9" t="s">
        <v>20</v>
      </c>
    </row>
    <row r="3259" customFormat="false" ht="14.25" hidden="false" customHeight="true" outlineLevel="0" collapsed="false">
      <c r="B3259" s="9" t="s">
        <v>32</v>
      </c>
      <c r="C3259" s="9" t="n">
        <v>1185732</v>
      </c>
      <c r="D3259" s="10" t="n">
        <v>44303</v>
      </c>
      <c r="E3259" s="9" t="s">
        <v>17</v>
      </c>
      <c r="F3259" s="9" t="s">
        <v>120</v>
      </c>
      <c r="G3259" s="9" t="s">
        <v>95</v>
      </c>
      <c r="H3259" s="11" t="s">
        <v>24</v>
      </c>
      <c r="I3259" s="12" t="n">
        <v>65</v>
      </c>
      <c r="J3259" s="13" t="n">
        <v>200</v>
      </c>
      <c r="K3259" s="14" t="n">
        <f aca="false">I3259*J3259</f>
        <v>13000</v>
      </c>
      <c r="L3259" s="14" t="n">
        <f aca="false">($L$2*M3259)/100</f>
        <v>480666.6</v>
      </c>
      <c r="M3259" s="15" t="n">
        <v>0.4</v>
      </c>
      <c r="N3259" s="9" t="s">
        <v>20</v>
      </c>
    </row>
    <row r="3260" customFormat="false" ht="14.25" hidden="false" customHeight="true" outlineLevel="0" collapsed="false">
      <c r="B3260" s="9" t="s">
        <v>32</v>
      </c>
      <c r="C3260" s="9" t="n">
        <v>1185732</v>
      </c>
      <c r="D3260" s="10" t="n">
        <v>44303</v>
      </c>
      <c r="E3260" s="9" t="s">
        <v>17</v>
      </c>
      <c r="F3260" s="9" t="s">
        <v>120</v>
      </c>
      <c r="G3260" s="9" t="s">
        <v>95</v>
      </c>
      <c r="H3260" s="11" t="s">
        <v>25</v>
      </c>
      <c r="I3260" s="12" t="n">
        <v>50</v>
      </c>
      <c r="J3260" s="13" t="n">
        <v>325</v>
      </c>
      <c r="K3260" s="14" t="n">
        <f aca="false">I3260*J3260</f>
        <v>16250</v>
      </c>
      <c r="L3260" s="14" t="n">
        <f aca="false">($L$2*M3260)/100</f>
        <v>480666.6</v>
      </c>
      <c r="M3260" s="15" t="n">
        <v>0.4</v>
      </c>
      <c r="N3260" s="9" t="s">
        <v>20</v>
      </c>
    </row>
    <row r="3261" customFormat="false" ht="14.25" hidden="false" customHeight="true" outlineLevel="0" collapsed="false">
      <c r="B3261" s="9" t="s">
        <v>32</v>
      </c>
      <c r="C3261" s="9" t="n">
        <v>1185732</v>
      </c>
      <c r="D3261" s="10" t="n">
        <v>44334</v>
      </c>
      <c r="E3261" s="9" t="s">
        <v>17</v>
      </c>
      <c r="F3261" s="9" t="s">
        <v>120</v>
      </c>
      <c r="G3261" s="9" t="s">
        <v>95</v>
      </c>
      <c r="H3261" s="11" t="s">
        <v>19</v>
      </c>
      <c r="I3261" s="12" t="n">
        <v>60</v>
      </c>
      <c r="J3261" s="13" t="n">
        <v>595</v>
      </c>
      <c r="K3261" s="14" t="n">
        <f aca="false">I3261*J3261</f>
        <v>35700</v>
      </c>
      <c r="L3261" s="14" t="n">
        <f aca="false">($L$2*M3261)/100</f>
        <v>480666.6</v>
      </c>
      <c r="M3261" s="15" t="n">
        <v>0.4</v>
      </c>
      <c r="N3261" s="9" t="s">
        <v>20</v>
      </c>
    </row>
    <row r="3262" customFormat="false" ht="14.25" hidden="false" customHeight="true" outlineLevel="0" collapsed="false">
      <c r="B3262" s="9" t="s">
        <v>32</v>
      </c>
      <c r="C3262" s="9" t="n">
        <v>1185732</v>
      </c>
      <c r="D3262" s="10" t="n">
        <v>44334</v>
      </c>
      <c r="E3262" s="9" t="s">
        <v>17</v>
      </c>
      <c r="F3262" s="9" t="s">
        <v>120</v>
      </c>
      <c r="G3262" s="9" t="s">
        <v>95</v>
      </c>
      <c r="H3262" s="11" t="s">
        <v>21</v>
      </c>
      <c r="I3262" s="12" t="n">
        <v>40</v>
      </c>
      <c r="J3262" s="13" t="n">
        <v>300</v>
      </c>
      <c r="K3262" s="14" t="n">
        <f aca="false">I3262*J3262</f>
        <v>12000</v>
      </c>
      <c r="L3262" s="14" t="n">
        <f aca="false">($L$2*M3262)/100</f>
        <v>480666.6</v>
      </c>
      <c r="M3262" s="15" t="n">
        <v>0.4</v>
      </c>
      <c r="N3262" s="9" t="s">
        <v>20</v>
      </c>
    </row>
    <row r="3263" customFormat="false" ht="14.25" hidden="false" customHeight="true" outlineLevel="0" collapsed="false">
      <c r="B3263" s="9" t="s">
        <v>32</v>
      </c>
      <c r="C3263" s="9" t="n">
        <v>1185732</v>
      </c>
      <c r="D3263" s="10" t="n">
        <v>44334</v>
      </c>
      <c r="E3263" s="9" t="s">
        <v>17</v>
      </c>
      <c r="F3263" s="9" t="s">
        <v>120</v>
      </c>
      <c r="G3263" s="9" t="s">
        <v>95</v>
      </c>
      <c r="H3263" s="11" t="s">
        <v>22</v>
      </c>
      <c r="I3263" s="12" t="n">
        <v>35</v>
      </c>
      <c r="J3263" s="13" t="n">
        <v>275</v>
      </c>
      <c r="K3263" s="14" t="n">
        <f aca="false">I3263*J3263</f>
        <v>9625</v>
      </c>
      <c r="L3263" s="14" t="n">
        <f aca="false">($L$2*M3263)/100</f>
        <v>480666.6</v>
      </c>
      <c r="M3263" s="15" t="n">
        <v>0.4</v>
      </c>
      <c r="N3263" s="9" t="s">
        <v>20</v>
      </c>
    </row>
    <row r="3264" customFormat="false" ht="14.25" hidden="false" customHeight="true" outlineLevel="0" collapsed="false">
      <c r="B3264" s="9" t="s">
        <v>32</v>
      </c>
      <c r="C3264" s="9" t="n">
        <v>1185732</v>
      </c>
      <c r="D3264" s="10" t="n">
        <v>44334</v>
      </c>
      <c r="E3264" s="9" t="s">
        <v>17</v>
      </c>
      <c r="F3264" s="9" t="s">
        <v>120</v>
      </c>
      <c r="G3264" s="9" t="s">
        <v>95</v>
      </c>
      <c r="H3264" s="11" t="s">
        <v>23</v>
      </c>
      <c r="I3264" s="12" t="n">
        <v>35</v>
      </c>
      <c r="J3264" s="13" t="n">
        <v>200</v>
      </c>
      <c r="K3264" s="14" t="n">
        <f aca="false">I3264*J3264</f>
        <v>7000</v>
      </c>
      <c r="L3264" s="14" t="n">
        <f aca="false">($L$2*M3264)/100</f>
        <v>480666.6</v>
      </c>
      <c r="M3264" s="15" t="n">
        <v>0.4</v>
      </c>
      <c r="N3264" s="9" t="s">
        <v>20</v>
      </c>
    </row>
    <row r="3265" customFormat="false" ht="14.25" hidden="false" customHeight="true" outlineLevel="0" collapsed="false">
      <c r="B3265" s="9" t="s">
        <v>32</v>
      </c>
      <c r="C3265" s="9" t="n">
        <v>1185732</v>
      </c>
      <c r="D3265" s="10" t="n">
        <v>44334</v>
      </c>
      <c r="E3265" s="9" t="s">
        <v>17</v>
      </c>
      <c r="F3265" s="9" t="s">
        <v>120</v>
      </c>
      <c r="G3265" s="9" t="s">
        <v>95</v>
      </c>
      <c r="H3265" s="11" t="s">
        <v>24</v>
      </c>
      <c r="I3265" s="12" t="n">
        <v>45</v>
      </c>
      <c r="J3265" s="13" t="n">
        <v>225</v>
      </c>
      <c r="K3265" s="14" t="n">
        <f aca="false">I3265*J3265</f>
        <v>10125</v>
      </c>
      <c r="L3265" s="14" t="n">
        <f aca="false">($L$2*M3265)/100</f>
        <v>480666.6</v>
      </c>
      <c r="M3265" s="15" t="n">
        <v>0.4</v>
      </c>
      <c r="N3265" s="9" t="s">
        <v>20</v>
      </c>
    </row>
    <row r="3266" customFormat="false" ht="14.25" hidden="false" customHeight="true" outlineLevel="0" collapsed="false">
      <c r="B3266" s="9" t="s">
        <v>32</v>
      </c>
      <c r="C3266" s="9" t="n">
        <v>1185732</v>
      </c>
      <c r="D3266" s="10" t="n">
        <v>44334</v>
      </c>
      <c r="E3266" s="9" t="s">
        <v>17</v>
      </c>
      <c r="F3266" s="9" t="s">
        <v>120</v>
      </c>
      <c r="G3266" s="9" t="s">
        <v>95</v>
      </c>
      <c r="H3266" s="11" t="s">
        <v>25</v>
      </c>
      <c r="I3266" s="12" t="n">
        <v>55</v>
      </c>
      <c r="J3266" s="13" t="n">
        <v>350</v>
      </c>
      <c r="K3266" s="14" t="n">
        <f aca="false">I3266*J3266</f>
        <v>19250</v>
      </c>
      <c r="L3266" s="14" t="n">
        <f aca="false">($L$2*M3266)/100</f>
        <v>480666.6</v>
      </c>
      <c r="M3266" s="15" t="n">
        <v>0.4</v>
      </c>
      <c r="N3266" s="9" t="s">
        <v>20</v>
      </c>
    </row>
    <row r="3267" customFormat="false" ht="14.25" hidden="false" customHeight="true" outlineLevel="0" collapsed="false">
      <c r="B3267" s="9" t="s">
        <v>32</v>
      </c>
      <c r="C3267" s="9" t="n">
        <v>1185732</v>
      </c>
      <c r="D3267" s="10" t="n">
        <v>44364</v>
      </c>
      <c r="E3267" s="9" t="s">
        <v>17</v>
      </c>
      <c r="F3267" s="9" t="s">
        <v>120</v>
      </c>
      <c r="G3267" s="9" t="s">
        <v>95</v>
      </c>
      <c r="H3267" s="11" t="s">
        <v>19</v>
      </c>
      <c r="I3267" s="12" t="n">
        <v>45</v>
      </c>
      <c r="J3267" s="13" t="n">
        <v>600</v>
      </c>
      <c r="K3267" s="14" t="n">
        <f aca="false">I3267*J3267</f>
        <v>27000</v>
      </c>
      <c r="L3267" s="14" t="n">
        <f aca="false">($L$2*M3267)/100</f>
        <v>480666.6</v>
      </c>
      <c r="M3267" s="15" t="n">
        <v>0.4</v>
      </c>
      <c r="N3267" s="9" t="s">
        <v>20</v>
      </c>
    </row>
    <row r="3268" customFormat="false" ht="14.25" hidden="false" customHeight="true" outlineLevel="0" collapsed="false">
      <c r="B3268" s="9" t="s">
        <v>32</v>
      </c>
      <c r="C3268" s="9" t="n">
        <v>1185732</v>
      </c>
      <c r="D3268" s="10" t="n">
        <v>44364</v>
      </c>
      <c r="E3268" s="9" t="s">
        <v>17</v>
      </c>
      <c r="F3268" s="9" t="s">
        <v>120</v>
      </c>
      <c r="G3268" s="9" t="s">
        <v>95</v>
      </c>
      <c r="H3268" s="11" t="s">
        <v>21</v>
      </c>
      <c r="I3268" s="12" t="n">
        <v>40</v>
      </c>
      <c r="J3268" s="13" t="n">
        <v>425</v>
      </c>
      <c r="K3268" s="14" t="n">
        <f aca="false">I3268*J3268</f>
        <v>17000</v>
      </c>
      <c r="L3268" s="14" t="n">
        <f aca="false">($L$2*M3268)/100</f>
        <v>480666.6</v>
      </c>
      <c r="M3268" s="15" t="n">
        <v>0.4</v>
      </c>
      <c r="N3268" s="9" t="s">
        <v>20</v>
      </c>
    </row>
    <row r="3269" customFormat="false" ht="14.25" hidden="false" customHeight="true" outlineLevel="0" collapsed="false">
      <c r="B3269" s="9" t="s">
        <v>32</v>
      </c>
      <c r="C3269" s="9" t="n">
        <v>1185732</v>
      </c>
      <c r="D3269" s="10" t="n">
        <v>44364</v>
      </c>
      <c r="E3269" s="9" t="s">
        <v>17</v>
      </c>
      <c r="F3269" s="9" t="s">
        <v>120</v>
      </c>
      <c r="G3269" s="9" t="s">
        <v>95</v>
      </c>
      <c r="H3269" s="11" t="s">
        <v>22</v>
      </c>
      <c r="I3269" s="12" t="n">
        <v>35</v>
      </c>
      <c r="J3269" s="13" t="n">
        <v>300</v>
      </c>
      <c r="K3269" s="14" t="n">
        <f aca="false">I3269*J3269</f>
        <v>10500</v>
      </c>
      <c r="L3269" s="14" t="n">
        <f aca="false">($L$2*M3269)/100</f>
        <v>480666.6</v>
      </c>
      <c r="M3269" s="15" t="n">
        <v>0.4</v>
      </c>
      <c r="N3269" s="9" t="s">
        <v>20</v>
      </c>
    </row>
    <row r="3270" customFormat="false" ht="14.25" hidden="false" customHeight="true" outlineLevel="0" collapsed="false">
      <c r="B3270" s="9" t="s">
        <v>32</v>
      </c>
      <c r="C3270" s="9" t="n">
        <v>1185732</v>
      </c>
      <c r="D3270" s="10" t="n">
        <v>44364</v>
      </c>
      <c r="E3270" s="9" t="s">
        <v>17</v>
      </c>
      <c r="F3270" s="9" t="s">
        <v>120</v>
      </c>
      <c r="G3270" s="9" t="s">
        <v>95</v>
      </c>
      <c r="H3270" s="11" t="s">
        <v>23</v>
      </c>
      <c r="I3270" s="12" t="n">
        <v>35</v>
      </c>
      <c r="J3270" s="13" t="n">
        <v>275</v>
      </c>
      <c r="K3270" s="14" t="n">
        <f aca="false">I3270*J3270</f>
        <v>9625</v>
      </c>
      <c r="L3270" s="14" t="n">
        <f aca="false">($L$2*M3270)/100</f>
        <v>480666.6</v>
      </c>
      <c r="M3270" s="15" t="n">
        <v>0.4</v>
      </c>
      <c r="N3270" s="9" t="s">
        <v>20</v>
      </c>
    </row>
    <row r="3271" customFormat="false" ht="14.25" hidden="false" customHeight="true" outlineLevel="0" collapsed="false">
      <c r="B3271" s="9" t="s">
        <v>32</v>
      </c>
      <c r="C3271" s="9" t="n">
        <v>1185732</v>
      </c>
      <c r="D3271" s="10" t="n">
        <v>44364</v>
      </c>
      <c r="E3271" s="9" t="s">
        <v>17</v>
      </c>
      <c r="F3271" s="9" t="s">
        <v>120</v>
      </c>
      <c r="G3271" s="9" t="s">
        <v>95</v>
      </c>
      <c r="H3271" s="11" t="s">
        <v>24</v>
      </c>
      <c r="I3271" s="12" t="n">
        <v>45</v>
      </c>
      <c r="J3271" s="13" t="n">
        <v>275</v>
      </c>
      <c r="K3271" s="14" t="n">
        <f aca="false">I3271*J3271</f>
        <v>12375</v>
      </c>
      <c r="L3271" s="14" t="n">
        <f aca="false">($L$2*M3271)/100</f>
        <v>480666.6</v>
      </c>
      <c r="M3271" s="15" t="n">
        <v>0.4</v>
      </c>
      <c r="N3271" s="9" t="s">
        <v>20</v>
      </c>
    </row>
    <row r="3272" customFormat="false" ht="14.25" hidden="false" customHeight="true" outlineLevel="0" collapsed="false">
      <c r="B3272" s="9" t="s">
        <v>32</v>
      </c>
      <c r="C3272" s="9" t="n">
        <v>1185732</v>
      </c>
      <c r="D3272" s="10" t="n">
        <v>44364</v>
      </c>
      <c r="E3272" s="9" t="s">
        <v>17</v>
      </c>
      <c r="F3272" s="9" t="s">
        <v>120</v>
      </c>
      <c r="G3272" s="9" t="s">
        <v>95</v>
      </c>
      <c r="H3272" s="11" t="s">
        <v>25</v>
      </c>
      <c r="I3272" s="12" t="n">
        <v>65</v>
      </c>
      <c r="J3272" s="13" t="n">
        <v>425</v>
      </c>
      <c r="K3272" s="14" t="n">
        <f aca="false">I3272*J3272</f>
        <v>27625</v>
      </c>
      <c r="L3272" s="14" t="n">
        <f aca="false">($L$2*M3272)/100</f>
        <v>480666.6</v>
      </c>
      <c r="M3272" s="15" t="n">
        <v>0.4</v>
      </c>
      <c r="N3272" s="9" t="s">
        <v>20</v>
      </c>
    </row>
    <row r="3273" customFormat="false" ht="14.25" hidden="false" customHeight="true" outlineLevel="0" collapsed="false">
      <c r="B3273" s="9" t="s">
        <v>32</v>
      </c>
      <c r="C3273" s="9" t="n">
        <v>1185732</v>
      </c>
      <c r="D3273" s="10" t="n">
        <v>44393</v>
      </c>
      <c r="E3273" s="9" t="s">
        <v>17</v>
      </c>
      <c r="F3273" s="9" t="s">
        <v>120</v>
      </c>
      <c r="G3273" s="9" t="s">
        <v>95</v>
      </c>
      <c r="H3273" s="11" t="s">
        <v>19</v>
      </c>
      <c r="I3273" s="12" t="n">
        <v>60</v>
      </c>
      <c r="J3273" s="13" t="n">
        <v>650</v>
      </c>
      <c r="K3273" s="14" t="n">
        <f aca="false">I3273*J3273</f>
        <v>39000</v>
      </c>
      <c r="L3273" s="14" t="n">
        <f aca="false">($L$2*M3273)/100</f>
        <v>480666.6</v>
      </c>
      <c r="M3273" s="15" t="n">
        <v>0.4</v>
      </c>
      <c r="N3273" s="9" t="s">
        <v>20</v>
      </c>
    </row>
    <row r="3274" customFormat="false" ht="14.25" hidden="false" customHeight="true" outlineLevel="0" collapsed="false">
      <c r="B3274" s="9" t="s">
        <v>32</v>
      </c>
      <c r="C3274" s="9" t="n">
        <v>1185732</v>
      </c>
      <c r="D3274" s="10" t="n">
        <v>44393</v>
      </c>
      <c r="E3274" s="9" t="s">
        <v>17</v>
      </c>
      <c r="F3274" s="9" t="s">
        <v>120</v>
      </c>
      <c r="G3274" s="9" t="s">
        <v>95</v>
      </c>
      <c r="H3274" s="11" t="s">
        <v>21</v>
      </c>
      <c r="I3274" s="12" t="n">
        <v>55</v>
      </c>
      <c r="J3274" s="13" t="n">
        <v>400</v>
      </c>
      <c r="K3274" s="14" t="n">
        <f aca="false">I3274*J3274</f>
        <v>22000</v>
      </c>
      <c r="L3274" s="14" t="n">
        <f aca="false">($L$2*M3274)/100</f>
        <v>480666.6</v>
      </c>
      <c r="M3274" s="15" t="n">
        <v>0.4</v>
      </c>
      <c r="N3274" s="9" t="s">
        <v>20</v>
      </c>
    </row>
    <row r="3275" customFormat="false" ht="14.25" hidden="false" customHeight="true" outlineLevel="0" collapsed="false">
      <c r="B3275" s="9" t="s">
        <v>32</v>
      </c>
      <c r="C3275" s="9" t="n">
        <v>1185732</v>
      </c>
      <c r="D3275" s="10" t="n">
        <v>44393</v>
      </c>
      <c r="E3275" s="9" t="s">
        <v>17</v>
      </c>
      <c r="F3275" s="9" t="s">
        <v>120</v>
      </c>
      <c r="G3275" s="9" t="s">
        <v>95</v>
      </c>
      <c r="H3275" s="11" t="s">
        <v>22</v>
      </c>
      <c r="I3275" s="12" t="n">
        <v>50</v>
      </c>
      <c r="J3275" s="13" t="n">
        <v>325</v>
      </c>
      <c r="K3275" s="14" t="n">
        <f aca="false">I3275*J3275</f>
        <v>16250</v>
      </c>
      <c r="L3275" s="14" t="n">
        <f aca="false">($L$2*M3275)/100</f>
        <v>480666.6</v>
      </c>
      <c r="M3275" s="15" t="n">
        <v>0.4</v>
      </c>
      <c r="N3275" s="9" t="s">
        <v>20</v>
      </c>
    </row>
    <row r="3276" customFormat="false" ht="14.25" hidden="false" customHeight="true" outlineLevel="0" collapsed="false">
      <c r="B3276" s="9" t="s">
        <v>32</v>
      </c>
      <c r="C3276" s="9" t="n">
        <v>1185732</v>
      </c>
      <c r="D3276" s="10" t="n">
        <v>44393</v>
      </c>
      <c r="E3276" s="9" t="s">
        <v>17</v>
      </c>
      <c r="F3276" s="9" t="s">
        <v>120</v>
      </c>
      <c r="G3276" s="9" t="s">
        <v>95</v>
      </c>
      <c r="H3276" s="11" t="s">
        <v>23</v>
      </c>
      <c r="I3276" s="12" t="n">
        <v>50</v>
      </c>
      <c r="J3276" s="13" t="n">
        <v>275</v>
      </c>
      <c r="K3276" s="14" t="n">
        <f aca="false">I3276*J3276</f>
        <v>13750</v>
      </c>
      <c r="L3276" s="14" t="n">
        <f aca="false">($L$2*M3276)/100</f>
        <v>480666.6</v>
      </c>
      <c r="M3276" s="15" t="n">
        <v>0.4</v>
      </c>
      <c r="N3276" s="9" t="s">
        <v>20</v>
      </c>
    </row>
    <row r="3277" customFormat="false" ht="14.25" hidden="false" customHeight="true" outlineLevel="0" collapsed="false">
      <c r="B3277" s="9" t="s">
        <v>32</v>
      </c>
      <c r="C3277" s="9" t="n">
        <v>1185732</v>
      </c>
      <c r="D3277" s="10" t="n">
        <v>44393</v>
      </c>
      <c r="E3277" s="9" t="s">
        <v>17</v>
      </c>
      <c r="F3277" s="9" t="s">
        <v>120</v>
      </c>
      <c r="G3277" s="9" t="s">
        <v>95</v>
      </c>
      <c r="H3277" s="11" t="s">
        <v>24</v>
      </c>
      <c r="I3277" s="12" t="n">
        <v>60</v>
      </c>
      <c r="J3277" s="13" t="n">
        <v>300</v>
      </c>
      <c r="K3277" s="14" t="n">
        <f aca="false">I3277*J3277</f>
        <v>18000</v>
      </c>
      <c r="L3277" s="14" t="n">
        <f aca="false">($L$2*M3277)/100</f>
        <v>480666.6</v>
      </c>
      <c r="M3277" s="15" t="n">
        <v>0.4</v>
      </c>
      <c r="N3277" s="9" t="s">
        <v>20</v>
      </c>
    </row>
    <row r="3278" customFormat="false" ht="14.25" hidden="false" customHeight="true" outlineLevel="0" collapsed="false">
      <c r="B3278" s="9" t="s">
        <v>32</v>
      </c>
      <c r="C3278" s="9" t="n">
        <v>1185732</v>
      </c>
      <c r="D3278" s="10" t="n">
        <v>44393</v>
      </c>
      <c r="E3278" s="9" t="s">
        <v>17</v>
      </c>
      <c r="F3278" s="9" t="s">
        <v>120</v>
      </c>
      <c r="G3278" s="9" t="s">
        <v>95</v>
      </c>
      <c r="H3278" s="11" t="s">
        <v>25</v>
      </c>
      <c r="I3278" s="12" t="n">
        <v>65</v>
      </c>
      <c r="J3278" s="13" t="n">
        <v>475</v>
      </c>
      <c r="K3278" s="14" t="n">
        <f aca="false">I3278*J3278</f>
        <v>30875</v>
      </c>
      <c r="L3278" s="14" t="n">
        <f aca="false">($L$2*M3278)/100</f>
        <v>480666.6</v>
      </c>
      <c r="M3278" s="15" t="n">
        <v>0.4</v>
      </c>
      <c r="N3278" s="9" t="s">
        <v>20</v>
      </c>
    </row>
    <row r="3279" customFormat="false" ht="14.25" hidden="false" customHeight="true" outlineLevel="0" collapsed="false">
      <c r="B3279" s="9" t="s">
        <v>32</v>
      </c>
      <c r="C3279" s="9" t="n">
        <v>1185732</v>
      </c>
      <c r="D3279" s="10" t="n">
        <v>44425</v>
      </c>
      <c r="E3279" s="9" t="s">
        <v>17</v>
      </c>
      <c r="F3279" s="9" t="s">
        <v>120</v>
      </c>
      <c r="G3279" s="9" t="s">
        <v>95</v>
      </c>
      <c r="H3279" s="11" t="s">
        <v>19</v>
      </c>
      <c r="I3279" s="12" t="n">
        <v>50</v>
      </c>
      <c r="J3279" s="13" t="n">
        <v>525</v>
      </c>
      <c r="K3279" s="14" t="n">
        <f aca="false">I3279*J3279</f>
        <v>26250</v>
      </c>
      <c r="L3279" s="14" t="n">
        <f aca="false">($L$2*M3279)/100</f>
        <v>480666.6</v>
      </c>
      <c r="M3279" s="15" t="n">
        <v>0.4</v>
      </c>
      <c r="N3279" s="9" t="s">
        <v>20</v>
      </c>
    </row>
    <row r="3280" customFormat="false" ht="14.25" hidden="false" customHeight="true" outlineLevel="0" collapsed="false">
      <c r="B3280" s="9" t="s">
        <v>32</v>
      </c>
      <c r="C3280" s="9" t="n">
        <v>1185732</v>
      </c>
      <c r="D3280" s="10" t="n">
        <v>44425</v>
      </c>
      <c r="E3280" s="9" t="s">
        <v>17</v>
      </c>
      <c r="F3280" s="9" t="s">
        <v>120</v>
      </c>
      <c r="G3280" s="9" t="s">
        <v>95</v>
      </c>
      <c r="H3280" s="11" t="s">
        <v>21</v>
      </c>
      <c r="I3280" s="12" t="n">
        <v>45</v>
      </c>
      <c r="J3280" s="13" t="n">
        <v>300</v>
      </c>
      <c r="K3280" s="14" t="n">
        <f aca="false">I3280*J3280</f>
        <v>13500</v>
      </c>
      <c r="L3280" s="14" t="n">
        <f aca="false">($L$2*M3280)/100</f>
        <v>480666.6</v>
      </c>
      <c r="M3280" s="15" t="n">
        <v>0.4</v>
      </c>
      <c r="N3280" s="9" t="s">
        <v>20</v>
      </c>
    </row>
    <row r="3281" customFormat="false" ht="14.25" hidden="false" customHeight="true" outlineLevel="0" collapsed="false">
      <c r="B3281" s="9" t="s">
        <v>32</v>
      </c>
      <c r="C3281" s="9" t="n">
        <v>1185732</v>
      </c>
      <c r="D3281" s="10" t="n">
        <v>44425</v>
      </c>
      <c r="E3281" s="9" t="s">
        <v>17</v>
      </c>
      <c r="F3281" s="9" t="s">
        <v>120</v>
      </c>
      <c r="G3281" s="9" t="s">
        <v>95</v>
      </c>
      <c r="H3281" s="11" t="s">
        <v>22</v>
      </c>
      <c r="I3281" s="12" t="n">
        <v>40</v>
      </c>
      <c r="J3281" s="13" t="n">
        <v>300</v>
      </c>
      <c r="K3281" s="14" t="n">
        <f aca="false">I3281*J3281</f>
        <v>12000</v>
      </c>
      <c r="L3281" s="14" t="n">
        <f aca="false">($L$2*M3281)/100</f>
        <v>480666.6</v>
      </c>
      <c r="M3281" s="15" t="n">
        <v>0.4</v>
      </c>
      <c r="N3281" s="9" t="s">
        <v>20</v>
      </c>
    </row>
    <row r="3282" customFormat="false" ht="14.25" hidden="false" customHeight="true" outlineLevel="0" collapsed="false">
      <c r="B3282" s="9" t="s">
        <v>32</v>
      </c>
      <c r="C3282" s="9" t="n">
        <v>1185732</v>
      </c>
      <c r="D3282" s="10" t="n">
        <v>44425</v>
      </c>
      <c r="E3282" s="9" t="s">
        <v>17</v>
      </c>
      <c r="F3282" s="9" t="s">
        <v>120</v>
      </c>
      <c r="G3282" s="9" t="s">
        <v>95</v>
      </c>
      <c r="H3282" s="11" t="s">
        <v>23</v>
      </c>
      <c r="I3282" s="12" t="n">
        <v>40</v>
      </c>
      <c r="J3282" s="13" t="n">
        <v>275</v>
      </c>
      <c r="K3282" s="14" t="n">
        <f aca="false">I3282*J3282</f>
        <v>11000</v>
      </c>
      <c r="L3282" s="14" t="n">
        <f aca="false">($L$2*M3282)/100</f>
        <v>480666.6</v>
      </c>
      <c r="M3282" s="15" t="n">
        <v>0.4</v>
      </c>
      <c r="N3282" s="9" t="s">
        <v>20</v>
      </c>
    </row>
    <row r="3283" customFormat="false" ht="14.25" hidden="false" customHeight="true" outlineLevel="0" collapsed="false">
      <c r="B3283" s="9" t="s">
        <v>32</v>
      </c>
      <c r="C3283" s="9" t="n">
        <v>1185732</v>
      </c>
      <c r="D3283" s="10" t="n">
        <v>44425</v>
      </c>
      <c r="E3283" s="9" t="s">
        <v>17</v>
      </c>
      <c r="F3283" s="9" t="s">
        <v>120</v>
      </c>
      <c r="G3283" s="9" t="s">
        <v>95</v>
      </c>
      <c r="H3283" s="11" t="s">
        <v>24</v>
      </c>
      <c r="I3283" s="12" t="n">
        <v>50</v>
      </c>
      <c r="J3283" s="13" t="n">
        <v>250</v>
      </c>
      <c r="K3283" s="14" t="n">
        <f aca="false">I3283*J3283</f>
        <v>12500</v>
      </c>
      <c r="L3283" s="14" t="n">
        <f aca="false">($L$2*M3283)/100</f>
        <v>480666.6</v>
      </c>
      <c r="M3283" s="15" t="n">
        <v>0.4</v>
      </c>
      <c r="N3283" s="9" t="s">
        <v>20</v>
      </c>
    </row>
    <row r="3284" customFormat="false" ht="14.25" hidden="false" customHeight="true" outlineLevel="0" collapsed="false">
      <c r="B3284" s="9" t="s">
        <v>32</v>
      </c>
      <c r="C3284" s="9" t="n">
        <v>1185732</v>
      </c>
      <c r="D3284" s="10" t="n">
        <v>44425</v>
      </c>
      <c r="E3284" s="9" t="s">
        <v>17</v>
      </c>
      <c r="F3284" s="9" t="s">
        <v>120</v>
      </c>
      <c r="G3284" s="9" t="s">
        <v>95</v>
      </c>
      <c r="H3284" s="11" t="s">
        <v>25</v>
      </c>
      <c r="I3284" s="12" t="n">
        <v>55</v>
      </c>
      <c r="J3284" s="13" t="n">
        <v>425</v>
      </c>
      <c r="K3284" s="14" t="n">
        <f aca="false">I3284*J3284</f>
        <v>23375</v>
      </c>
      <c r="L3284" s="14" t="n">
        <f aca="false">($L$2*M3284)/100</f>
        <v>480666.6</v>
      </c>
      <c r="M3284" s="15" t="n">
        <v>0.4</v>
      </c>
      <c r="N3284" s="9" t="s">
        <v>20</v>
      </c>
    </row>
    <row r="3285" customFormat="false" ht="14.25" hidden="false" customHeight="true" outlineLevel="0" collapsed="false">
      <c r="B3285" s="9" t="s">
        <v>32</v>
      </c>
      <c r="C3285" s="9" t="n">
        <v>1185732</v>
      </c>
      <c r="D3285" s="10" t="n">
        <v>44457</v>
      </c>
      <c r="E3285" s="9" t="s">
        <v>17</v>
      </c>
      <c r="F3285" s="9" t="s">
        <v>120</v>
      </c>
      <c r="G3285" s="9" t="s">
        <v>95</v>
      </c>
      <c r="H3285" s="11" t="s">
        <v>19</v>
      </c>
      <c r="I3285" s="12" t="n">
        <v>35</v>
      </c>
      <c r="J3285" s="13" t="n">
        <v>550</v>
      </c>
      <c r="K3285" s="14" t="n">
        <f aca="false">I3285*J3285</f>
        <v>19250</v>
      </c>
      <c r="L3285" s="14" t="n">
        <f aca="false">($L$2*M3285)/100</f>
        <v>480666.6</v>
      </c>
      <c r="M3285" s="15" t="n">
        <v>0.4</v>
      </c>
      <c r="N3285" s="9" t="s">
        <v>20</v>
      </c>
    </row>
    <row r="3286" customFormat="false" ht="14.25" hidden="false" customHeight="true" outlineLevel="0" collapsed="false">
      <c r="B3286" s="9" t="s">
        <v>32</v>
      </c>
      <c r="C3286" s="9" t="n">
        <v>1185732</v>
      </c>
      <c r="D3286" s="10" t="n">
        <v>44457</v>
      </c>
      <c r="E3286" s="9" t="s">
        <v>17</v>
      </c>
      <c r="F3286" s="9" t="s">
        <v>120</v>
      </c>
      <c r="G3286" s="9" t="s">
        <v>95</v>
      </c>
      <c r="H3286" s="11" t="s">
        <v>21</v>
      </c>
      <c r="I3286" s="12" t="n">
        <v>30</v>
      </c>
      <c r="J3286" s="13" t="n">
        <v>350</v>
      </c>
      <c r="K3286" s="14" t="n">
        <f aca="false">I3286*J3286</f>
        <v>10500</v>
      </c>
      <c r="L3286" s="14" t="n">
        <f aca="false">($L$2*M3286)/100</f>
        <v>480666.6</v>
      </c>
      <c r="M3286" s="15" t="n">
        <v>0.4</v>
      </c>
      <c r="N3286" s="9" t="s">
        <v>20</v>
      </c>
    </row>
    <row r="3287" customFormat="false" ht="14.25" hidden="false" customHeight="true" outlineLevel="0" collapsed="false">
      <c r="B3287" s="9" t="s">
        <v>32</v>
      </c>
      <c r="C3287" s="9" t="n">
        <v>1185732</v>
      </c>
      <c r="D3287" s="10" t="n">
        <v>44457</v>
      </c>
      <c r="E3287" s="9" t="s">
        <v>17</v>
      </c>
      <c r="F3287" s="9" t="s">
        <v>120</v>
      </c>
      <c r="G3287" s="9" t="s">
        <v>95</v>
      </c>
      <c r="H3287" s="11" t="s">
        <v>22</v>
      </c>
      <c r="I3287" s="12" t="n">
        <v>25</v>
      </c>
      <c r="J3287" s="13" t="n">
        <v>250</v>
      </c>
      <c r="K3287" s="14" t="n">
        <f aca="false">I3287*J3287</f>
        <v>6250</v>
      </c>
      <c r="L3287" s="14" t="n">
        <f aca="false">($L$2*M3287)/100</f>
        <v>480666.6</v>
      </c>
      <c r="M3287" s="15" t="n">
        <v>0.4</v>
      </c>
      <c r="N3287" s="9" t="s">
        <v>20</v>
      </c>
    </row>
    <row r="3288" customFormat="false" ht="14.25" hidden="false" customHeight="true" outlineLevel="0" collapsed="false">
      <c r="B3288" s="9" t="s">
        <v>32</v>
      </c>
      <c r="C3288" s="9" t="n">
        <v>1185732</v>
      </c>
      <c r="D3288" s="10" t="n">
        <v>44457</v>
      </c>
      <c r="E3288" s="9" t="s">
        <v>17</v>
      </c>
      <c r="F3288" s="9" t="s">
        <v>120</v>
      </c>
      <c r="G3288" s="9" t="s">
        <v>95</v>
      </c>
      <c r="H3288" s="11" t="s">
        <v>23</v>
      </c>
      <c r="I3288" s="12" t="n">
        <v>25</v>
      </c>
      <c r="J3288" s="13" t="n">
        <v>225</v>
      </c>
      <c r="K3288" s="14" t="n">
        <f aca="false">I3288*J3288</f>
        <v>5625</v>
      </c>
      <c r="L3288" s="14" t="n">
        <f aca="false">($L$2*M3288)/100</f>
        <v>480666.6</v>
      </c>
      <c r="M3288" s="15" t="n">
        <v>0.4</v>
      </c>
      <c r="N3288" s="9" t="s">
        <v>20</v>
      </c>
    </row>
    <row r="3289" customFormat="false" ht="14.25" hidden="false" customHeight="true" outlineLevel="0" collapsed="false">
      <c r="B3289" s="9" t="s">
        <v>32</v>
      </c>
      <c r="C3289" s="9" t="n">
        <v>1185732</v>
      </c>
      <c r="D3289" s="10" t="n">
        <v>44457</v>
      </c>
      <c r="E3289" s="9" t="s">
        <v>17</v>
      </c>
      <c r="F3289" s="9" t="s">
        <v>120</v>
      </c>
      <c r="G3289" s="9" t="s">
        <v>95</v>
      </c>
      <c r="H3289" s="11" t="s">
        <v>24</v>
      </c>
      <c r="I3289" s="12" t="n">
        <v>35</v>
      </c>
      <c r="J3289" s="13" t="n">
        <v>225</v>
      </c>
      <c r="K3289" s="14" t="n">
        <f aca="false">I3289*J3289</f>
        <v>7875</v>
      </c>
      <c r="L3289" s="14" t="n">
        <f aca="false">($L$2*M3289)/100</f>
        <v>480666.6</v>
      </c>
      <c r="M3289" s="15" t="n">
        <v>0.4</v>
      </c>
      <c r="N3289" s="9" t="s">
        <v>20</v>
      </c>
    </row>
    <row r="3290" customFormat="false" ht="14.25" hidden="false" customHeight="true" outlineLevel="0" collapsed="false">
      <c r="B3290" s="9" t="s">
        <v>32</v>
      </c>
      <c r="C3290" s="9" t="n">
        <v>1185732</v>
      </c>
      <c r="D3290" s="10" t="n">
        <v>44457</v>
      </c>
      <c r="E3290" s="9" t="s">
        <v>17</v>
      </c>
      <c r="F3290" s="9" t="s">
        <v>120</v>
      </c>
      <c r="G3290" s="9" t="s">
        <v>95</v>
      </c>
      <c r="H3290" s="11" t="s">
        <v>25</v>
      </c>
      <c r="I3290" s="12" t="n">
        <v>40</v>
      </c>
      <c r="J3290" s="13" t="n">
        <v>300</v>
      </c>
      <c r="K3290" s="14" t="n">
        <f aca="false">I3290*J3290</f>
        <v>12000</v>
      </c>
      <c r="L3290" s="14" t="n">
        <f aca="false">($L$2*M3290)/100</f>
        <v>480666.6</v>
      </c>
      <c r="M3290" s="15" t="n">
        <v>0.4</v>
      </c>
      <c r="N3290" s="9" t="s">
        <v>20</v>
      </c>
    </row>
    <row r="3291" customFormat="false" ht="14.25" hidden="false" customHeight="true" outlineLevel="0" collapsed="false">
      <c r="B3291" s="9" t="s">
        <v>32</v>
      </c>
      <c r="C3291" s="9" t="n">
        <v>1185732</v>
      </c>
      <c r="D3291" s="10" t="n">
        <v>44486</v>
      </c>
      <c r="E3291" s="9" t="s">
        <v>17</v>
      </c>
      <c r="F3291" s="9" t="s">
        <v>120</v>
      </c>
      <c r="G3291" s="9" t="s">
        <v>95</v>
      </c>
      <c r="H3291" s="11" t="s">
        <v>19</v>
      </c>
      <c r="I3291" s="12" t="n">
        <v>45</v>
      </c>
      <c r="J3291" s="13" t="n">
        <v>425</v>
      </c>
      <c r="K3291" s="14" t="n">
        <f aca="false">I3291*J3291</f>
        <v>19125</v>
      </c>
      <c r="L3291" s="14" t="n">
        <f aca="false">($L$2*M3291)/100</f>
        <v>480666.6</v>
      </c>
      <c r="M3291" s="15" t="n">
        <v>0.4</v>
      </c>
      <c r="N3291" s="9" t="s">
        <v>20</v>
      </c>
    </row>
    <row r="3292" customFormat="false" ht="14.25" hidden="false" customHeight="true" outlineLevel="0" collapsed="false">
      <c r="B3292" s="9" t="s">
        <v>32</v>
      </c>
      <c r="C3292" s="9" t="n">
        <v>1185732</v>
      </c>
      <c r="D3292" s="10" t="n">
        <v>44486</v>
      </c>
      <c r="E3292" s="9" t="s">
        <v>17</v>
      </c>
      <c r="F3292" s="9" t="s">
        <v>120</v>
      </c>
      <c r="G3292" s="9" t="s">
        <v>95</v>
      </c>
      <c r="H3292" s="11" t="s">
        <v>21</v>
      </c>
      <c r="I3292" s="12" t="n">
        <v>35</v>
      </c>
      <c r="J3292" s="13" t="n">
        <v>275</v>
      </c>
      <c r="K3292" s="14" t="n">
        <f aca="false">I3292*J3292</f>
        <v>9625</v>
      </c>
      <c r="L3292" s="14" t="n">
        <f aca="false">($L$2*M3292)/100</f>
        <v>480666.6</v>
      </c>
      <c r="M3292" s="15" t="n">
        <v>0.4</v>
      </c>
      <c r="N3292" s="9" t="s">
        <v>20</v>
      </c>
    </row>
    <row r="3293" customFormat="false" ht="14.25" hidden="false" customHeight="true" outlineLevel="0" collapsed="false">
      <c r="B3293" s="9" t="s">
        <v>32</v>
      </c>
      <c r="C3293" s="9" t="n">
        <v>1185732</v>
      </c>
      <c r="D3293" s="10" t="n">
        <v>44486</v>
      </c>
      <c r="E3293" s="9" t="s">
        <v>17</v>
      </c>
      <c r="F3293" s="9" t="s">
        <v>120</v>
      </c>
      <c r="G3293" s="9" t="s">
        <v>95</v>
      </c>
      <c r="H3293" s="11" t="s">
        <v>22</v>
      </c>
      <c r="I3293" s="12" t="n">
        <v>35</v>
      </c>
      <c r="J3293" s="13" t="n">
        <v>175</v>
      </c>
      <c r="K3293" s="14" t="n">
        <f aca="false">I3293*J3293</f>
        <v>6125</v>
      </c>
      <c r="L3293" s="14" t="n">
        <f aca="false">($L$2*M3293)/100</f>
        <v>480666.6</v>
      </c>
      <c r="M3293" s="15" t="n">
        <v>0.4</v>
      </c>
      <c r="N3293" s="9" t="s">
        <v>20</v>
      </c>
    </row>
    <row r="3294" customFormat="false" ht="14.25" hidden="false" customHeight="true" outlineLevel="0" collapsed="false">
      <c r="B3294" s="9" t="s">
        <v>32</v>
      </c>
      <c r="C3294" s="9" t="n">
        <v>1185732</v>
      </c>
      <c r="D3294" s="10" t="n">
        <v>44486</v>
      </c>
      <c r="E3294" s="9" t="s">
        <v>17</v>
      </c>
      <c r="F3294" s="9" t="s">
        <v>120</v>
      </c>
      <c r="G3294" s="9" t="s">
        <v>95</v>
      </c>
      <c r="H3294" s="11" t="s">
        <v>23</v>
      </c>
      <c r="I3294" s="12" t="n">
        <v>35</v>
      </c>
      <c r="J3294" s="13" t="n">
        <v>175</v>
      </c>
      <c r="K3294" s="14" t="n">
        <f aca="false">I3294*J3294</f>
        <v>6125</v>
      </c>
      <c r="L3294" s="14" t="n">
        <f aca="false">($L$2*M3294)/100</f>
        <v>480666.6</v>
      </c>
      <c r="M3294" s="15" t="n">
        <v>0.4</v>
      </c>
      <c r="N3294" s="9" t="s">
        <v>20</v>
      </c>
    </row>
    <row r="3295" customFormat="false" ht="14.25" hidden="false" customHeight="true" outlineLevel="0" collapsed="false">
      <c r="B3295" s="9" t="s">
        <v>32</v>
      </c>
      <c r="C3295" s="9" t="n">
        <v>1185732</v>
      </c>
      <c r="D3295" s="10" t="n">
        <v>44486</v>
      </c>
      <c r="E3295" s="9" t="s">
        <v>17</v>
      </c>
      <c r="F3295" s="9" t="s">
        <v>120</v>
      </c>
      <c r="G3295" s="9" t="s">
        <v>95</v>
      </c>
      <c r="H3295" s="11" t="s">
        <v>24</v>
      </c>
      <c r="I3295" s="12" t="n">
        <v>45</v>
      </c>
      <c r="J3295" s="13" t="n">
        <v>175</v>
      </c>
      <c r="K3295" s="14" t="n">
        <f aca="false">I3295*J3295</f>
        <v>7875</v>
      </c>
      <c r="L3295" s="14" t="n">
        <f aca="false">($L$2*M3295)/100</f>
        <v>480666.6</v>
      </c>
      <c r="M3295" s="15" t="n">
        <v>0.4</v>
      </c>
      <c r="N3295" s="9" t="s">
        <v>20</v>
      </c>
    </row>
    <row r="3296" customFormat="false" ht="14.25" hidden="false" customHeight="true" outlineLevel="0" collapsed="false">
      <c r="B3296" s="9" t="s">
        <v>16</v>
      </c>
      <c r="C3296" s="9" t="n">
        <v>1185732</v>
      </c>
      <c r="D3296" s="10" t="n">
        <v>44486</v>
      </c>
      <c r="E3296" s="9" t="s">
        <v>17</v>
      </c>
      <c r="F3296" s="9" t="s">
        <v>120</v>
      </c>
      <c r="G3296" s="9" t="s">
        <v>95</v>
      </c>
      <c r="H3296" s="11" t="s">
        <v>25</v>
      </c>
      <c r="I3296" s="12" t="n">
        <v>50</v>
      </c>
      <c r="J3296" s="13" t="n">
        <v>300</v>
      </c>
      <c r="K3296" s="14" t="n">
        <f aca="false">I3296*J3296</f>
        <v>15000</v>
      </c>
      <c r="L3296" s="14" t="n">
        <f aca="false">($L$2*M3296)/100</f>
        <v>480666.6</v>
      </c>
      <c r="M3296" s="15" t="n">
        <v>0.4</v>
      </c>
      <c r="N3296" s="9" t="s">
        <v>20</v>
      </c>
    </row>
    <row r="3297" customFormat="false" ht="14.25" hidden="false" customHeight="true" outlineLevel="0" collapsed="false">
      <c r="B3297" s="9" t="s">
        <v>16</v>
      </c>
      <c r="C3297" s="9" t="n">
        <v>1185732</v>
      </c>
      <c r="D3297" s="10" t="n">
        <v>44517</v>
      </c>
      <c r="E3297" s="9" t="s">
        <v>17</v>
      </c>
      <c r="F3297" s="9" t="s">
        <v>120</v>
      </c>
      <c r="G3297" s="9" t="s">
        <v>95</v>
      </c>
      <c r="H3297" s="11" t="s">
        <v>19</v>
      </c>
      <c r="I3297" s="12" t="n">
        <v>45</v>
      </c>
      <c r="J3297" s="13" t="n">
        <v>450</v>
      </c>
      <c r="K3297" s="14" t="n">
        <f aca="false">I3297*J3297</f>
        <v>20250</v>
      </c>
      <c r="L3297" s="14" t="n">
        <f aca="false">($L$2*M3297)/100</f>
        <v>480666.6</v>
      </c>
      <c r="M3297" s="15" t="n">
        <v>0.4</v>
      </c>
      <c r="N3297" s="9" t="s">
        <v>20</v>
      </c>
    </row>
    <row r="3298" customFormat="false" ht="14.25" hidden="false" customHeight="true" outlineLevel="0" collapsed="false">
      <c r="B3298" s="9" t="s">
        <v>16</v>
      </c>
      <c r="C3298" s="9" t="n">
        <v>1185732</v>
      </c>
      <c r="D3298" s="10" t="n">
        <v>44517</v>
      </c>
      <c r="E3298" s="9" t="s">
        <v>17</v>
      </c>
      <c r="F3298" s="9" t="s">
        <v>120</v>
      </c>
      <c r="G3298" s="9" t="s">
        <v>95</v>
      </c>
      <c r="H3298" s="11" t="s">
        <v>21</v>
      </c>
      <c r="I3298" s="12" t="n">
        <v>35</v>
      </c>
      <c r="J3298" s="13" t="n">
        <v>350</v>
      </c>
      <c r="K3298" s="14" t="n">
        <f aca="false">I3298*J3298</f>
        <v>12250</v>
      </c>
      <c r="L3298" s="14" t="n">
        <f aca="false">($L$2*M3298)/100</f>
        <v>480666.6</v>
      </c>
      <c r="M3298" s="15" t="n">
        <v>0.4</v>
      </c>
      <c r="N3298" s="9" t="s">
        <v>20</v>
      </c>
    </row>
    <row r="3299" customFormat="false" ht="14.25" hidden="false" customHeight="true" outlineLevel="0" collapsed="false">
      <c r="B3299" s="9" t="s">
        <v>16</v>
      </c>
      <c r="C3299" s="9" t="n">
        <v>1185732</v>
      </c>
      <c r="D3299" s="10" t="n">
        <v>44517</v>
      </c>
      <c r="E3299" s="9" t="s">
        <v>17</v>
      </c>
      <c r="F3299" s="9" t="s">
        <v>120</v>
      </c>
      <c r="G3299" s="9" t="s">
        <v>95</v>
      </c>
      <c r="H3299" s="11" t="s">
        <v>22</v>
      </c>
      <c r="I3299" s="12" t="n">
        <v>35</v>
      </c>
      <c r="J3299" s="13" t="n">
        <v>295</v>
      </c>
      <c r="K3299" s="14" t="n">
        <f aca="false">I3299*J3299</f>
        <v>10325</v>
      </c>
      <c r="L3299" s="14" t="n">
        <f aca="false">($L$2*M3299)/100</f>
        <v>480666.6</v>
      </c>
      <c r="M3299" s="15" t="n">
        <v>0.4</v>
      </c>
      <c r="N3299" s="9" t="s">
        <v>20</v>
      </c>
    </row>
    <row r="3300" customFormat="false" ht="14.25" hidden="false" customHeight="true" outlineLevel="0" collapsed="false">
      <c r="B3300" s="9" t="s">
        <v>16</v>
      </c>
      <c r="C3300" s="9" t="n">
        <v>1185732</v>
      </c>
      <c r="D3300" s="10" t="n">
        <v>44517</v>
      </c>
      <c r="E3300" s="9" t="s">
        <v>17</v>
      </c>
      <c r="F3300" s="9" t="s">
        <v>120</v>
      </c>
      <c r="G3300" s="9" t="s">
        <v>95</v>
      </c>
      <c r="H3300" s="11" t="s">
        <v>23</v>
      </c>
      <c r="I3300" s="12" t="n">
        <v>40</v>
      </c>
      <c r="J3300" s="13" t="n">
        <v>325</v>
      </c>
      <c r="K3300" s="14" t="n">
        <f aca="false">I3300*J3300</f>
        <v>13000</v>
      </c>
      <c r="L3300" s="14" t="n">
        <f aca="false">($L$2*M3300)/100</f>
        <v>480666.6</v>
      </c>
      <c r="M3300" s="15" t="n">
        <v>0.4</v>
      </c>
      <c r="N3300" s="9" t="s">
        <v>20</v>
      </c>
    </row>
    <row r="3301" customFormat="false" ht="14.25" hidden="false" customHeight="true" outlineLevel="0" collapsed="false">
      <c r="B3301" s="9" t="s">
        <v>16</v>
      </c>
      <c r="C3301" s="9" t="n">
        <v>1185732</v>
      </c>
      <c r="D3301" s="10" t="n">
        <v>44517</v>
      </c>
      <c r="E3301" s="9" t="s">
        <v>17</v>
      </c>
      <c r="F3301" s="9" t="s">
        <v>120</v>
      </c>
      <c r="G3301" s="9" t="s">
        <v>95</v>
      </c>
      <c r="H3301" s="11" t="s">
        <v>24</v>
      </c>
      <c r="I3301" s="12" t="n">
        <v>65</v>
      </c>
      <c r="J3301" s="13" t="n">
        <v>300</v>
      </c>
      <c r="K3301" s="14" t="n">
        <f aca="false">I3301*J3301</f>
        <v>19500</v>
      </c>
      <c r="L3301" s="14" t="n">
        <f aca="false">($L$2*M3301)/100</f>
        <v>480666.6</v>
      </c>
      <c r="M3301" s="15" t="n">
        <v>0.4</v>
      </c>
      <c r="N3301" s="9" t="s">
        <v>20</v>
      </c>
    </row>
    <row r="3302" customFormat="false" ht="14.25" hidden="false" customHeight="true" outlineLevel="0" collapsed="false">
      <c r="B3302" s="9" t="s">
        <v>16</v>
      </c>
      <c r="C3302" s="9" t="n">
        <v>1185732</v>
      </c>
      <c r="D3302" s="10" t="n">
        <v>44517</v>
      </c>
      <c r="E3302" s="9" t="s">
        <v>17</v>
      </c>
      <c r="F3302" s="9" t="s">
        <v>120</v>
      </c>
      <c r="G3302" s="9" t="s">
        <v>95</v>
      </c>
      <c r="H3302" s="11" t="s">
        <v>25</v>
      </c>
      <c r="I3302" s="12" t="n">
        <v>70</v>
      </c>
      <c r="J3302" s="13" t="n">
        <v>400</v>
      </c>
      <c r="K3302" s="14" t="n">
        <f aca="false">I3302*J3302</f>
        <v>28000</v>
      </c>
      <c r="L3302" s="14" t="n">
        <f aca="false">($L$2*M3302)/100</f>
        <v>480666.6</v>
      </c>
      <c r="M3302" s="15" t="n">
        <v>0.4</v>
      </c>
      <c r="N3302" s="9" t="s">
        <v>20</v>
      </c>
    </row>
    <row r="3303" customFormat="false" ht="14.25" hidden="false" customHeight="true" outlineLevel="0" collapsed="false">
      <c r="B3303" s="9" t="s">
        <v>16</v>
      </c>
      <c r="C3303" s="9" t="n">
        <v>1185732</v>
      </c>
      <c r="D3303" s="10" t="n">
        <v>44546</v>
      </c>
      <c r="E3303" s="9" t="s">
        <v>17</v>
      </c>
      <c r="F3303" s="9" t="s">
        <v>120</v>
      </c>
      <c r="G3303" s="9" t="s">
        <v>95</v>
      </c>
      <c r="H3303" s="11" t="s">
        <v>19</v>
      </c>
      <c r="I3303" s="12" t="n">
        <v>65</v>
      </c>
      <c r="J3303" s="13" t="n">
        <v>650</v>
      </c>
      <c r="K3303" s="14" t="n">
        <f aca="false">I3303*J3303</f>
        <v>42250</v>
      </c>
      <c r="L3303" s="14" t="n">
        <f aca="false">($L$2*M3303)/100</f>
        <v>480666.6</v>
      </c>
      <c r="M3303" s="15" t="n">
        <v>0.4</v>
      </c>
      <c r="N3303" s="9" t="s">
        <v>20</v>
      </c>
    </row>
    <row r="3304" customFormat="false" ht="14.25" hidden="false" customHeight="true" outlineLevel="0" collapsed="false">
      <c r="B3304" s="9" t="s">
        <v>16</v>
      </c>
      <c r="C3304" s="9" t="n">
        <v>1185732</v>
      </c>
      <c r="D3304" s="10" t="n">
        <v>44546</v>
      </c>
      <c r="E3304" s="9" t="s">
        <v>17</v>
      </c>
      <c r="F3304" s="9" t="s">
        <v>120</v>
      </c>
      <c r="G3304" s="9" t="s">
        <v>95</v>
      </c>
      <c r="H3304" s="11" t="s">
        <v>21</v>
      </c>
      <c r="I3304" s="12" t="n">
        <v>55</v>
      </c>
      <c r="J3304" s="13" t="n">
        <v>450</v>
      </c>
      <c r="K3304" s="14" t="n">
        <f aca="false">I3304*J3304</f>
        <v>24750</v>
      </c>
      <c r="L3304" s="14" t="n">
        <f aca="false">($L$2*M3304)/100</f>
        <v>480666.6</v>
      </c>
      <c r="M3304" s="15" t="n">
        <v>0.4</v>
      </c>
      <c r="N3304" s="9" t="s">
        <v>20</v>
      </c>
    </row>
    <row r="3305" customFormat="false" ht="14.25" hidden="false" customHeight="true" outlineLevel="0" collapsed="false">
      <c r="B3305" s="9" t="s">
        <v>32</v>
      </c>
      <c r="C3305" s="9" t="n">
        <v>1185732</v>
      </c>
      <c r="D3305" s="10" t="n">
        <v>44546</v>
      </c>
      <c r="E3305" s="9" t="s">
        <v>17</v>
      </c>
      <c r="F3305" s="9" t="s">
        <v>120</v>
      </c>
      <c r="G3305" s="9" t="s">
        <v>95</v>
      </c>
      <c r="H3305" s="11" t="s">
        <v>22</v>
      </c>
      <c r="I3305" s="12" t="n">
        <v>55</v>
      </c>
      <c r="J3305" s="13" t="n">
        <v>400</v>
      </c>
      <c r="K3305" s="14" t="n">
        <f aca="false">I3305*J3305</f>
        <v>22000</v>
      </c>
      <c r="L3305" s="14" t="n">
        <f aca="false">($L$2*M3305)/100</f>
        <v>480666.6</v>
      </c>
      <c r="M3305" s="15" t="n">
        <v>0.4</v>
      </c>
      <c r="N3305" s="9" t="s">
        <v>20</v>
      </c>
    </row>
    <row r="3306" customFormat="false" ht="14.25" hidden="false" customHeight="true" outlineLevel="0" collapsed="false">
      <c r="B3306" s="9" t="s">
        <v>16</v>
      </c>
      <c r="C3306" s="9" t="n">
        <v>1185732</v>
      </c>
      <c r="D3306" s="10" t="n">
        <v>44546</v>
      </c>
      <c r="E3306" s="9" t="s">
        <v>17</v>
      </c>
      <c r="F3306" s="9" t="s">
        <v>120</v>
      </c>
      <c r="G3306" s="9" t="s">
        <v>95</v>
      </c>
      <c r="H3306" s="11" t="s">
        <v>23</v>
      </c>
      <c r="I3306" s="12" t="n">
        <v>55</v>
      </c>
      <c r="J3306" s="13" t="n">
        <v>350</v>
      </c>
      <c r="K3306" s="14" t="n">
        <f aca="false">I3306*J3306</f>
        <v>19250</v>
      </c>
      <c r="L3306" s="14" t="n">
        <f aca="false">($L$2*M3306)/100</f>
        <v>480666.6</v>
      </c>
      <c r="M3306" s="15" t="n">
        <v>0.4</v>
      </c>
      <c r="N3306" s="9" t="s">
        <v>20</v>
      </c>
    </row>
    <row r="3307" customFormat="false" ht="14.25" hidden="false" customHeight="true" outlineLevel="0" collapsed="false">
      <c r="B3307" s="9" t="s">
        <v>16</v>
      </c>
      <c r="C3307" s="9" t="n">
        <v>1185732</v>
      </c>
      <c r="D3307" s="10" t="n">
        <v>44546</v>
      </c>
      <c r="E3307" s="9" t="s">
        <v>17</v>
      </c>
      <c r="F3307" s="9" t="s">
        <v>120</v>
      </c>
      <c r="G3307" s="9" t="s">
        <v>95</v>
      </c>
      <c r="H3307" s="11" t="s">
        <v>24</v>
      </c>
      <c r="I3307" s="12" t="n">
        <v>65</v>
      </c>
      <c r="J3307" s="13" t="n">
        <v>350</v>
      </c>
      <c r="K3307" s="14" t="n">
        <f aca="false">I3307*J3307</f>
        <v>22750</v>
      </c>
      <c r="L3307" s="14" t="n">
        <f aca="false">($L$2*M3307)/100</f>
        <v>480666.6</v>
      </c>
      <c r="M3307" s="15" t="n">
        <v>0.4</v>
      </c>
      <c r="N3307" s="9" t="s">
        <v>20</v>
      </c>
    </row>
    <row r="3308" customFormat="false" ht="14.25" hidden="false" customHeight="true" outlineLevel="0" collapsed="false">
      <c r="B3308" s="9" t="s">
        <v>16</v>
      </c>
      <c r="C3308" s="9" t="n">
        <v>1185732</v>
      </c>
      <c r="D3308" s="10" t="n">
        <v>44546</v>
      </c>
      <c r="E3308" s="9" t="s">
        <v>17</v>
      </c>
      <c r="F3308" s="9" t="s">
        <v>120</v>
      </c>
      <c r="G3308" s="9" t="s">
        <v>95</v>
      </c>
      <c r="H3308" s="11" t="s">
        <v>25</v>
      </c>
      <c r="I3308" s="12" t="n">
        <v>70</v>
      </c>
      <c r="J3308" s="13" t="n">
        <v>450</v>
      </c>
      <c r="K3308" s="14" t="n">
        <f aca="false">I3308*J3308</f>
        <v>31500</v>
      </c>
      <c r="L3308" s="14" t="n">
        <f aca="false">($L$2*M3308)/100</f>
        <v>480666.6</v>
      </c>
      <c r="M3308" s="15" t="n">
        <v>0.4</v>
      </c>
      <c r="N3308" s="9" t="s">
        <v>20</v>
      </c>
    </row>
    <row r="3309" customFormat="false" ht="14.25" hidden="false" customHeight="true" outlineLevel="0" collapsed="false">
      <c r="B3309" s="9" t="s">
        <v>16</v>
      </c>
      <c r="C3309" s="9" t="n">
        <v>1185732</v>
      </c>
      <c r="D3309" s="10" t="n">
        <v>44220</v>
      </c>
      <c r="E3309" s="9" t="s">
        <v>17</v>
      </c>
      <c r="F3309" s="9" t="s">
        <v>120</v>
      </c>
      <c r="G3309" s="9" t="s">
        <v>95</v>
      </c>
      <c r="H3309" s="11" t="s">
        <v>19</v>
      </c>
      <c r="I3309" s="12" t="n">
        <v>35</v>
      </c>
      <c r="J3309" s="13" t="n">
        <v>425</v>
      </c>
      <c r="K3309" s="14" t="n">
        <f aca="false">I3309*J3309</f>
        <v>14875</v>
      </c>
      <c r="L3309" s="14" t="n">
        <f aca="false">($L$2*M3309)/100</f>
        <v>480666.6</v>
      </c>
      <c r="M3309" s="15" t="n">
        <v>0.4</v>
      </c>
      <c r="N3309" s="9" t="s">
        <v>20</v>
      </c>
    </row>
    <row r="3310" customFormat="false" ht="14.25" hidden="false" customHeight="true" outlineLevel="0" collapsed="false">
      <c r="B3310" s="9" t="s">
        <v>16</v>
      </c>
      <c r="C3310" s="9" t="n">
        <v>1185732</v>
      </c>
      <c r="D3310" s="10" t="n">
        <v>44220</v>
      </c>
      <c r="E3310" s="9" t="s">
        <v>17</v>
      </c>
      <c r="F3310" s="9" t="s">
        <v>120</v>
      </c>
      <c r="G3310" s="9" t="s">
        <v>95</v>
      </c>
      <c r="H3310" s="11" t="s">
        <v>21</v>
      </c>
      <c r="I3310" s="12" t="n">
        <v>35</v>
      </c>
      <c r="J3310" s="13" t="n">
        <v>225</v>
      </c>
      <c r="K3310" s="14" t="n">
        <f aca="false">I3310*J3310</f>
        <v>7875</v>
      </c>
      <c r="L3310" s="14" t="n">
        <f aca="false">($L$2*M3310)/100</f>
        <v>420583.275</v>
      </c>
      <c r="M3310" s="15" t="n">
        <v>0.35</v>
      </c>
      <c r="N3310" s="9" t="s">
        <v>20</v>
      </c>
    </row>
    <row r="3311" customFormat="false" ht="14.25" hidden="false" customHeight="true" outlineLevel="0" collapsed="false">
      <c r="B3311" s="9" t="s">
        <v>16</v>
      </c>
      <c r="C3311" s="9" t="n">
        <v>1185732</v>
      </c>
      <c r="D3311" s="10" t="n">
        <v>44220</v>
      </c>
      <c r="E3311" s="9" t="s">
        <v>17</v>
      </c>
      <c r="F3311" s="9" t="s">
        <v>120</v>
      </c>
      <c r="G3311" s="9" t="s">
        <v>95</v>
      </c>
      <c r="H3311" s="11" t="s">
        <v>22</v>
      </c>
      <c r="I3311" s="12" t="n">
        <v>25</v>
      </c>
      <c r="J3311" s="13" t="n">
        <v>225</v>
      </c>
      <c r="K3311" s="14" t="n">
        <f aca="false">I3311*J3311</f>
        <v>5625</v>
      </c>
      <c r="L3311" s="14" t="n">
        <f aca="false">($L$2*M3311)/100</f>
        <v>420583.275</v>
      </c>
      <c r="M3311" s="15" t="n">
        <v>0.35</v>
      </c>
      <c r="N3311" s="9" t="s">
        <v>20</v>
      </c>
    </row>
    <row r="3312" customFormat="false" ht="14.25" hidden="false" customHeight="true" outlineLevel="0" collapsed="false">
      <c r="B3312" s="9" t="s">
        <v>16</v>
      </c>
      <c r="C3312" s="9" t="n">
        <v>1185732</v>
      </c>
      <c r="D3312" s="10" t="n">
        <v>44220</v>
      </c>
      <c r="E3312" s="9" t="s">
        <v>17</v>
      </c>
      <c r="F3312" s="9" t="s">
        <v>120</v>
      </c>
      <c r="G3312" s="9" t="s">
        <v>95</v>
      </c>
      <c r="H3312" s="11" t="s">
        <v>23</v>
      </c>
      <c r="I3312" s="12" t="n">
        <v>30</v>
      </c>
      <c r="J3312" s="13" t="n">
        <v>75</v>
      </c>
      <c r="K3312" s="14" t="n">
        <f aca="false">I3312*J3312</f>
        <v>2250</v>
      </c>
      <c r="L3312" s="14" t="n">
        <f aca="false">($L$2*M3312)/100</f>
        <v>420583.275</v>
      </c>
      <c r="M3312" s="15" t="n">
        <v>0.35</v>
      </c>
      <c r="N3312" s="9" t="s">
        <v>20</v>
      </c>
    </row>
    <row r="3313" customFormat="false" ht="14.25" hidden="false" customHeight="true" outlineLevel="0" collapsed="false">
      <c r="B3313" s="9" t="s">
        <v>16</v>
      </c>
      <c r="C3313" s="9" t="n">
        <v>1185732</v>
      </c>
      <c r="D3313" s="10" t="n">
        <v>44220</v>
      </c>
      <c r="E3313" s="9" t="s">
        <v>17</v>
      </c>
      <c r="F3313" s="9" t="s">
        <v>120</v>
      </c>
      <c r="G3313" s="9" t="s">
        <v>95</v>
      </c>
      <c r="H3313" s="11" t="s">
        <v>24</v>
      </c>
      <c r="I3313" s="12" t="n">
        <v>45</v>
      </c>
      <c r="J3313" s="13" t="n">
        <v>125</v>
      </c>
      <c r="K3313" s="14" t="n">
        <f aca="false">I3313*J3313</f>
        <v>5625</v>
      </c>
      <c r="L3313" s="14" t="n">
        <f aca="false">($L$2*M3313)/100</f>
        <v>360499.95</v>
      </c>
      <c r="M3313" s="15" t="n">
        <v>0.3</v>
      </c>
      <c r="N3313" s="9" t="s">
        <v>20</v>
      </c>
    </row>
    <row r="3314" customFormat="false" ht="14.25" hidden="false" customHeight="true" outlineLevel="0" collapsed="false">
      <c r="B3314" s="9" t="s">
        <v>16</v>
      </c>
      <c r="C3314" s="9" t="n">
        <v>1185732</v>
      </c>
      <c r="D3314" s="10" t="n">
        <v>44220</v>
      </c>
      <c r="E3314" s="9" t="s">
        <v>17</v>
      </c>
      <c r="F3314" s="9" t="s">
        <v>120</v>
      </c>
      <c r="G3314" s="9" t="s">
        <v>95</v>
      </c>
      <c r="H3314" s="11" t="s">
        <v>25</v>
      </c>
      <c r="I3314" s="12" t="n">
        <v>35</v>
      </c>
      <c r="J3314" s="13" t="n">
        <v>225</v>
      </c>
      <c r="K3314" s="14" t="n">
        <f aca="false">I3314*J3314</f>
        <v>7875</v>
      </c>
      <c r="L3314" s="14" t="n">
        <f aca="false">($L$2*M3314)/100</f>
        <v>360499.95</v>
      </c>
      <c r="M3314" s="15" t="n">
        <v>0.3</v>
      </c>
      <c r="N3314" s="9" t="s">
        <v>20</v>
      </c>
    </row>
    <row r="3315" customFormat="false" ht="14.25" hidden="false" customHeight="true" outlineLevel="0" collapsed="false">
      <c r="B3315" s="9" t="s">
        <v>16</v>
      </c>
      <c r="C3315" s="9" t="n">
        <v>1185732</v>
      </c>
      <c r="D3315" s="10" t="n">
        <v>44249</v>
      </c>
      <c r="E3315" s="9" t="s">
        <v>17</v>
      </c>
      <c r="F3315" s="9" t="s">
        <v>120</v>
      </c>
      <c r="G3315" s="9" t="s">
        <v>95</v>
      </c>
      <c r="H3315" s="11" t="s">
        <v>19</v>
      </c>
      <c r="I3315" s="12" t="n">
        <v>35</v>
      </c>
      <c r="J3315" s="13" t="n">
        <v>475</v>
      </c>
      <c r="K3315" s="14" t="n">
        <f aca="false">I3315*J3315</f>
        <v>16625</v>
      </c>
      <c r="L3315" s="14" t="n">
        <f aca="false">($L$2*M3315)/100</f>
        <v>480666.6</v>
      </c>
      <c r="M3315" s="15" t="n">
        <v>0.4</v>
      </c>
      <c r="N3315" s="9" t="s">
        <v>20</v>
      </c>
    </row>
    <row r="3316" customFormat="false" ht="14.25" hidden="false" customHeight="true" outlineLevel="0" collapsed="false">
      <c r="B3316" s="9" t="s">
        <v>32</v>
      </c>
      <c r="C3316" s="9" t="n">
        <v>1185732</v>
      </c>
      <c r="D3316" s="10" t="n">
        <v>44249</v>
      </c>
      <c r="E3316" s="9" t="s">
        <v>17</v>
      </c>
      <c r="F3316" s="9" t="s">
        <v>120</v>
      </c>
      <c r="G3316" s="9" t="s">
        <v>95</v>
      </c>
      <c r="H3316" s="11" t="s">
        <v>21</v>
      </c>
      <c r="I3316" s="12" t="n">
        <v>35</v>
      </c>
      <c r="J3316" s="13" t="n">
        <v>125</v>
      </c>
      <c r="K3316" s="14" t="n">
        <f aca="false">I3316*J3316</f>
        <v>4375</v>
      </c>
      <c r="L3316" s="14" t="n">
        <f aca="false">($L$2*M3316)/100</f>
        <v>420583.275</v>
      </c>
      <c r="M3316" s="15" t="n">
        <v>0.35</v>
      </c>
      <c r="N3316" s="9" t="s">
        <v>20</v>
      </c>
    </row>
    <row r="3317" customFormat="false" ht="14.25" hidden="false" customHeight="true" outlineLevel="0" collapsed="false">
      <c r="B3317" s="9" t="s">
        <v>32</v>
      </c>
      <c r="C3317" s="9" t="n">
        <v>1185732</v>
      </c>
      <c r="D3317" s="10" t="n">
        <v>44249</v>
      </c>
      <c r="E3317" s="9" t="s">
        <v>17</v>
      </c>
      <c r="F3317" s="9" t="s">
        <v>120</v>
      </c>
      <c r="G3317" s="9" t="s">
        <v>95</v>
      </c>
      <c r="H3317" s="11" t="s">
        <v>22</v>
      </c>
      <c r="I3317" s="12" t="n">
        <v>25</v>
      </c>
      <c r="J3317" s="13" t="n">
        <v>175</v>
      </c>
      <c r="K3317" s="14" t="n">
        <f aca="false">I3317*J3317</f>
        <v>4375</v>
      </c>
      <c r="L3317" s="14" t="n">
        <f aca="false">($L$2*M3317)/100</f>
        <v>420583.275</v>
      </c>
      <c r="M3317" s="15" t="n">
        <v>0.35</v>
      </c>
      <c r="N3317" s="9" t="s">
        <v>20</v>
      </c>
    </row>
    <row r="3318" customFormat="false" ht="14.25" hidden="false" customHeight="true" outlineLevel="0" collapsed="false">
      <c r="B3318" s="9" t="s">
        <v>32</v>
      </c>
      <c r="C3318" s="9" t="n">
        <v>1185732</v>
      </c>
      <c r="D3318" s="10" t="n">
        <v>44249</v>
      </c>
      <c r="E3318" s="9" t="s">
        <v>17</v>
      </c>
      <c r="F3318" s="9" t="s">
        <v>121</v>
      </c>
      <c r="G3318" s="9" t="s">
        <v>122</v>
      </c>
      <c r="H3318" s="11" t="s">
        <v>23</v>
      </c>
      <c r="I3318" s="12" t="n">
        <v>30</v>
      </c>
      <c r="J3318" s="13" t="n">
        <v>50</v>
      </c>
      <c r="K3318" s="14" t="n">
        <f aca="false">I3318*J3318</f>
        <v>1500</v>
      </c>
      <c r="L3318" s="14" t="n">
        <f aca="false">($L$2*M3318)/100</f>
        <v>420583.275</v>
      </c>
      <c r="M3318" s="15" t="n">
        <v>0.35</v>
      </c>
      <c r="N3318" s="9" t="s">
        <v>20</v>
      </c>
    </row>
    <row r="3319" customFormat="false" ht="14.25" hidden="false" customHeight="true" outlineLevel="0" collapsed="false">
      <c r="B3319" s="9" t="s">
        <v>32</v>
      </c>
      <c r="C3319" s="9" t="n">
        <v>1185732</v>
      </c>
      <c r="D3319" s="10" t="n">
        <v>44249</v>
      </c>
      <c r="E3319" s="9" t="s">
        <v>17</v>
      </c>
      <c r="F3319" s="9" t="s">
        <v>121</v>
      </c>
      <c r="G3319" s="9" t="s">
        <v>122</v>
      </c>
      <c r="H3319" s="11" t="s">
        <v>24</v>
      </c>
      <c r="I3319" s="12" t="n">
        <v>45</v>
      </c>
      <c r="J3319" s="13" t="n">
        <v>125</v>
      </c>
      <c r="K3319" s="14" t="n">
        <f aca="false">I3319*J3319</f>
        <v>5625</v>
      </c>
      <c r="L3319" s="14" t="n">
        <f aca="false">($L$2*M3319)/100</f>
        <v>360499.95</v>
      </c>
      <c r="M3319" s="15" t="n">
        <v>0.3</v>
      </c>
      <c r="N3319" s="9" t="s">
        <v>20</v>
      </c>
    </row>
    <row r="3320" customFormat="false" ht="14.25" hidden="false" customHeight="true" outlineLevel="0" collapsed="false">
      <c r="B3320" s="9" t="s">
        <v>32</v>
      </c>
      <c r="C3320" s="9" t="n">
        <v>1185732</v>
      </c>
      <c r="D3320" s="10" t="n">
        <v>44249</v>
      </c>
      <c r="E3320" s="9" t="s">
        <v>17</v>
      </c>
      <c r="F3320" s="9" t="s">
        <v>121</v>
      </c>
      <c r="G3320" s="9" t="s">
        <v>122</v>
      </c>
      <c r="H3320" s="11" t="s">
        <v>25</v>
      </c>
      <c r="I3320" s="12" t="n">
        <v>35</v>
      </c>
      <c r="J3320" s="13" t="n">
        <v>225</v>
      </c>
      <c r="K3320" s="14" t="n">
        <f aca="false">I3320*J3320</f>
        <v>7875</v>
      </c>
      <c r="L3320" s="14" t="n">
        <f aca="false">($L$2*M3320)/100</f>
        <v>360499.95</v>
      </c>
      <c r="M3320" s="15" t="n">
        <v>0.3</v>
      </c>
      <c r="N3320" s="9" t="s">
        <v>20</v>
      </c>
    </row>
    <row r="3321" customFormat="false" ht="14.25" hidden="false" customHeight="true" outlineLevel="0" collapsed="false">
      <c r="B3321" s="9" t="s">
        <v>32</v>
      </c>
      <c r="C3321" s="9" t="n">
        <v>1185732</v>
      </c>
      <c r="D3321" s="10" t="n">
        <v>44275</v>
      </c>
      <c r="E3321" s="9" t="s">
        <v>17</v>
      </c>
      <c r="F3321" s="9" t="s">
        <v>121</v>
      </c>
      <c r="G3321" s="9" t="s">
        <v>122</v>
      </c>
      <c r="H3321" s="11" t="s">
        <v>19</v>
      </c>
      <c r="I3321" s="12" t="n">
        <v>35</v>
      </c>
      <c r="J3321" s="13" t="n">
        <v>445</v>
      </c>
      <c r="K3321" s="14" t="n">
        <f aca="false">I3321*J3321</f>
        <v>15575</v>
      </c>
      <c r="L3321" s="14" t="n">
        <f aca="false">($L$2*M3321)/100</f>
        <v>480666.6</v>
      </c>
      <c r="M3321" s="15" t="n">
        <v>0.4</v>
      </c>
      <c r="N3321" s="9" t="s">
        <v>20</v>
      </c>
    </row>
    <row r="3322" customFormat="false" ht="14.25" hidden="false" customHeight="true" outlineLevel="0" collapsed="false">
      <c r="B3322" s="9" t="s">
        <v>32</v>
      </c>
      <c r="C3322" s="9" t="n">
        <v>1185732</v>
      </c>
      <c r="D3322" s="10" t="n">
        <v>44275</v>
      </c>
      <c r="E3322" s="9" t="s">
        <v>17</v>
      </c>
      <c r="F3322" s="9" t="s">
        <v>121</v>
      </c>
      <c r="G3322" s="9" t="s">
        <v>122</v>
      </c>
      <c r="H3322" s="11" t="s">
        <v>21</v>
      </c>
      <c r="I3322" s="12" t="n">
        <v>35</v>
      </c>
      <c r="J3322" s="13" t="n">
        <v>150</v>
      </c>
      <c r="K3322" s="14" t="n">
        <f aca="false">I3322*J3322</f>
        <v>5250</v>
      </c>
      <c r="L3322" s="14" t="n">
        <f aca="false">($L$2*M3322)/100</f>
        <v>420583.275</v>
      </c>
      <c r="M3322" s="15" t="n">
        <v>0.35</v>
      </c>
      <c r="N3322" s="9" t="s">
        <v>20</v>
      </c>
    </row>
    <row r="3323" customFormat="false" ht="14.25" hidden="false" customHeight="true" outlineLevel="0" collapsed="false">
      <c r="B3323" s="9" t="s">
        <v>32</v>
      </c>
      <c r="C3323" s="9" t="n">
        <v>1185732</v>
      </c>
      <c r="D3323" s="10" t="n">
        <v>44275</v>
      </c>
      <c r="E3323" s="9" t="s">
        <v>17</v>
      </c>
      <c r="F3323" s="9" t="s">
        <v>121</v>
      </c>
      <c r="G3323" s="9" t="s">
        <v>122</v>
      </c>
      <c r="H3323" s="11" t="s">
        <v>22</v>
      </c>
      <c r="I3323" s="12" t="n">
        <v>25</v>
      </c>
      <c r="J3323" s="13" t="n">
        <v>175</v>
      </c>
      <c r="K3323" s="14" t="n">
        <f aca="false">I3323*J3323</f>
        <v>4375</v>
      </c>
      <c r="L3323" s="14" t="n">
        <f aca="false">($L$2*M3323)/100</f>
        <v>420583.275</v>
      </c>
      <c r="M3323" s="15" t="n">
        <v>0.35</v>
      </c>
      <c r="N3323" s="9" t="s">
        <v>20</v>
      </c>
    </row>
    <row r="3324" customFormat="false" ht="14.25" hidden="false" customHeight="true" outlineLevel="0" collapsed="false">
      <c r="B3324" s="9" t="s">
        <v>32</v>
      </c>
      <c r="C3324" s="9" t="n">
        <v>1185732</v>
      </c>
      <c r="D3324" s="10" t="n">
        <v>44275</v>
      </c>
      <c r="E3324" s="9" t="s">
        <v>17</v>
      </c>
      <c r="F3324" s="9" t="s">
        <v>121</v>
      </c>
      <c r="G3324" s="9" t="s">
        <v>122</v>
      </c>
      <c r="H3324" s="11" t="s">
        <v>23</v>
      </c>
      <c r="I3324" s="12" t="n">
        <v>30</v>
      </c>
      <c r="J3324" s="13" t="n">
        <v>25</v>
      </c>
      <c r="K3324" s="14" t="n">
        <f aca="false">I3324*J3324</f>
        <v>750</v>
      </c>
      <c r="L3324" s="14" t="n">
        <f aca="false">($L$2*M3324)/100</f>
        <v>420583.275</v>
      </c>
      <c r="M3324" s="15" t="n">
        <v>0.35</v>
      </c>
      <c r="N3324" s="9" t="s">
        <v>20</v>
      </c>
    </row>
    <row r="3325" customFormat="false" ht="14.25" hidden="false" customHeight="true" outlineLevel="0" collapsed="false">
      <c r="B3325" s="9" t="s">
        <v>32</v>
      </c>
      <c r="C3325" s="9" t="n">
        <v>1185732</v>
      </c>
      <c r="D3325" s="10" t="n">
        <v>44275</v>
      </c>
      <c r="E3325" s="9" t="s">
        <v>17</v>
      </c>
      <c r="F3325" s="9" t="s">
        <v>121</v>
      </c>
      <c r="G3325" s="9" t="s">
        <v>122</v>
      </c>
      <c r="H3325" s="11" t="s">
        <v>24</v>
      </c>
      <c r="I3325" s="12" t="n">
        <v>45</v>
      </c>
      <c r="J3325" s="13" t="n">
        <v>75</v>
      </c>
      <c r="K3325" s="14" t="n">
        <f aca="false">I3325*J3325</f>
        <v>3375</v>
      </c>
      <c r="L3325" s="14" t="n">
        <f aca="false">($L$2*M3325)/100</f>
        <v>360499.95</v>
      </c>
      <c r="M3325" s="15" t="n">
        <v>0.3</v>
      </c>
      <c r="N3325" s="9" t="s">
        <v>20</v>
      </c>
    </row>
    <row r="3326" customFormat="false" ht="14.25" hidden="false" customHeight="true" outlineLevel="0" collapsed="false">
      <c r="B3326" s="9" t="s">
        <v>32</v>
      </c>
      <c r="C3326" s="9" t="n">
        <v>1185732</v>
      </c>
      <c r="D3326" s="10" t="n">
        <v>44275</v>
      </c>
      <c r="E3326" s="9" t="s">
        <v>17</v>
      </c>
      <c r="F3326" s="9" t="s">
        <v>121</v>
      </c>
      <c r="G3326" s="9" t="s">
        <v>122</v>
      </c>
      <c r="H3326" s="11" t="s">
        <v>25</v>
      </c>
      <c r="I3326" s="12" t="n">
        <v>35</v>
      </c>
      <c r="J3326" s="13" t="n">
        <v>175</v>
      </c>
      <c r="K3326" s="14" t="n">
        <f aca="false">I3326*J3326</f>
        <v>6125</v>
      </c>
      <c r="L3326" s="14" t="n">
        <f aca="false">($L$2*M3326)/100</f>
        <v>360499.95</v>
      </c>
      <c r="M3326" s="15" t="n">
        <v>0.3</v>
      </c>
      <c r="N3326" s="9" t="s">
        <v>20</v>
      </c>
    </row>
    <row r="3327" customFormat="false" ht="14.25" hidden="false" customHeight="true" outlineLevel="0" collapsed="false">
      <c r="B3327" s="9" t="s">
        <v>32</v>
      </c>
      <c r="C3327" s="9" t="n">
        <v>1185732</v>
      </c>
      <c r="D3327" s="10" t="n">
        <v>44307</v>
      </c>
      <c r="E3327" s="9" t="s">
        <v>17</v>
      </c>
      <c r="F3327" s="9" t="s">
        <v>121</v>
      </c>
      <c r="G3327" s="9" t="s">
        <v>122</v>
      </c>
      <c r="H3327" s="11" t="s">
        <v>19</v>
      </c>
      <c r="I3327" s="12" t="n">
        <v>35</v>
      </c>
      <c r="J3327" s="13" t="n">
        <v>425</v>
      </c>
      <c r="K3327" s="14" t="n">
        <f aca="false">I3327*J3327</f>
        <v>14875</v>
      </c>
      <c r="L3327" s="14" t="n">
        <f aca="false">($L$2*M3327)/100</f>
        <v>480666.6</v>
      </c>
      <c r="M3327" s="15" t="n">
        <v>0.4</v>
      </c>
      <c r="N3327" s="9" t="s">
        <v>20</v>
      </c>
    </row>
    <row r="3328" customFormat="false" ht="14.25" hidden="false" customHeight="true" outlineLevel="0" collapsed="false">
      <c r="B3328" s="9" t="s">
        <v>32</v>
      </c>
      <c r="C3328" s="9" t="n">
        <v>1185732</v>
      </c>
      <c r="D3328" s="10" t="n">
        <v>44307</v>
      </c>
      <c r="E3328" s="9" t="s">
        <v>17</v>
      </c>
      <c r="F3328" s="9" t="s">
        <v>121</v>
      </c>
      <c r="G3328" s="9" t="s">
        <v>122</v>
      </c>
      <c r="H3328" s="11" t="s">
        <v>21</v>
      </c>
      <c r="I3328" s="12" t="n">
        <v>35</v>
      </c>
      <c r="J3328" s="13" t="n">
        <v>125</v>
      </c>
      <c r="K3328" s="14" t="n">
        <f aca="false">I3328*J3328</f>
        <v>4375</v>
      </c>
      <c r="L3328" s="14" t="n">
        <f aca="false">($L$2*M3328)/100</f>
        <v>420583.275</v>
      </c>
      <c r="M3328" s="15" t="n">
        <v>0.35</v>
      </c>
      <c r="N3328" s="9" t="s">
        <v>20</v>
      </c>
    </row>
    <row r="3329" customFormat="false" ht="14.25" hidden="false" customHeight="true" outlineLevel="0" collapsed="false">
      <c r="B3329" s="9" t="s">
        <v>32</v>
      </c>
      <c r="C3329" s="9" t="n">
        <v>1185732</v>
      </c>
      <c r="D3329" s="10" t="n">
        <v>44307</v>
      </c>
      <c r="E3329" s="9" t="s">
        <v>17</v>
      </c>
      <c r="F3329" s="9" t="s">
        <v>121</v>
      </c>
      <c r="G3329" s="9" t="s">
        <v>122</v>
      </c>
      <c r="H3329" s="11" t="s">
        <v>22</v>
      </c>
      <c r="I3329" s="12" t="n">
        <v>25</v>
      </c>
      <c r="J3329" s="13" t="n">
        <v>125</v>
      </c>
      <c r="K3329" s="14" t="n">
        <f aca="false">I3329*J3329</f>
        <v>3125</v>
      </c>
      <c r="L3329" s="14" t="n">
        <f aca="false">($L$2*M3329)/100</f>
        <v>420583.275</v>
      </c>
      <c r="M3329" s="15" t="n">
        <v>0.35</v>
      </c>
      <c r="N3329" s="9" t="s">
        <v>20</v>
      </c>
    </row>
    <row r="3330" customFormat="false" ht="14.25" hidden="false" customHeight="true" outlineLevel="0" collapsed="false">
      <c r="B3330" s="9" t="s">
        <v>32</v>
      </c>
      <c r="C3330" s="9" t="n">
        <v>1185732</v>
      </c>
      <c r="D3330" s="10" t="n">
        <v>44307</v>
      </c>
      <c r="E3330" s="9" t="s">
        <v>17</v>
      </c>
      <c r="F3330" s="9" t="s">
        <v>121</v>
      </c>
      <c r="G3330" s="9" t="s">
        <v>122</v>
      </c>
      <c r="H3330" s="11" t="s">
        <v>23</v>
      </c>
      <c r="I3330" s="12" t="n">
        <v>30</v>
      </c>
      <c r="J3330" s="13" t="n">
        <v>50</v>
      </c>
      <c r="K3330" s="14" t="n">
        <f aca="false">I3330*J3330</f>
        <v>1500</v>
      </c>
      <c r="L3330" s="14" t="n">
        <f aca="false">($L$2*M3330)/100</f>
        <v>420583.275</v>
      </c>
      <c r="M3330" s="15" t="n">
        <v>0.35</v>
      </c>
      <c r="N3330" s="9" t="s">
        <v>20</v>
      </c>
    </row>
    <row r="3331" customFormat="false" ht="14.25" hidden="false" customHeight="true" outlineLevel="0" collapsed="false">
      <c r="B3331" s="9" t="s">
        <v>32</v>
      </c>
      <c r="C3331" s="9" t="n">
        <v>1185732</v>
      </c>
      <c r="D3331" s="10" t="n">
        <v>44307</v>
      </c>
      <c r="E3331" s="9" t="s">
        <v>17</v>
      </c>
      <c r="F3331" s="9" t="s">
        <v>121</v>
      </c>
      <c r="G3331" s="9" t="s">
        <v>122</v>
      </c>
      <c r="H3331" s="11" t="s">
        <v>24</v>
      </c>
      <c r="I3331" s="12" t="n">
        <v>45</v>
      </c>
      <c r="J3331" s="13" t="n">
        <v>50</v>
      </c>
      <c r="K3331" s="14" t="n">
        <f aca="false">I3331*J3331</f>
        <v>2250</v>
      </c>
      <c r="L3331" s="14" t="n">
        <f aca="false">($L$2*M3331)/100</f>
        <v>360499.95</v>
      </c>
      <c r="M3331" s="15" t="n">
        <v>0.3</v>
      </c>
      <c r="N3331" s="9" t="s">
        <v>20</v>
      </c>
    </row>
    <row r="3332" customFormat="false" ht="14.25" hidden="false" customHeight="true" outlineLevel="0" collapsed="false">
      <c r="B3332" s="9" t="s">
        <v>32</v>
      </c>
      <c r="C3332" s="9" t="n">
        <v>1185732</v>
      </c>
      <c r="D3332" s="10" t="n">
        <v>44307</v>
      </c>
      <c r="E3332" s="9" t="s">
        <v>17</v>
      </c>
      <c r="F3332" s="9" t="s">
        <v>121</v>
      </c>
      <c r="G3332" s="9" t="s">
        <v>122</v>
      </c>
      <c r="H3332" s="11" t="s">
        <v>25</v>
      </c>
      <c r="I3332" s="12" t="n">
        <v>35</v>
      </c>
      <c r="J3332" s="13" t="n">
        <v>200</v>
      </c>
      <c r="K3332" s="14" t="n">
        <f aca="false">I3332*J3332</f>
        <v>7000</v>
      </c>
      <c r="L3332" s="14" t="n">
        <f aca="false">($L$2*M3332)/100</f>
        <v>360499.95</v>
      </c>
      <c r="M3332" s="15" t="n">
        <v>0.3</v>
      </c>
      <c r="N3332" s="9" t="s">
        <v>20</v>
      </c>
    </row>
    <row r="3333" customFormat="false" ht="14.25" hidden="false" customHeight="true" outlineLevel="0" collapsed="false">
      <c r="B3333" s="9" t="s">
        <v>32</v>
      </c>
      <c r="C3333" s="9" t="n">
        <v>1185732</v>
      </c>
      <c r="D3333" s="10" t="n">
        <v>44336</v>
      </c>
      <c r="E3333" s="9" t="s">
        <v>17</v>
      </c>
      <c r="F3333" s="9" t="s">
        <v>121</v>
      </c>
      <c r="G3333" s="9" t="s">
        <v>122</v>
      </c>
      <c r="H3333" s="11" t="s">
        <v>19</v>
      </c>
      <c r="I3333" s="12" t="n">
        <v>50</v>
      </c>
      <c r="J3333" s="13" t="n">
        <v>470</v>
      </c>
      <c r="K3333" s="14" t="n">
        <f aca="false">I3333*J3333</f>
        <v>23500</v>
      </c>
      <c r="L3333" s="14" t="n">
        <f aca="false">($L$2*M3333)/100</f>
        <v>480666.6</v>
      </c>
      <c r="M3333" s="15" t="n">
        <v>0.4</v>
      </c>
      <c r="N3333" s="9" t="s">
        <v>20</v>
      </c>
    </row>
    <row r="3334" customFormat="false" ht="14.25" hidden="false" customHeight="true" outlineLevel="0" collapsed="false">
      <c r="B3334" s="9" t="s">
        <v>32</v>
      </c>
      <c r="C3334" s="9" t="n">
        <v>1185732</v>
      </c>
      <c r="D3334" s="10" t="n">
        <v>44336</v>
      </c>
      <c r="E3334" s="9" t="s">
        <v>17</v>
      </c>
      <c r="F3334" s="9" t="s">
        <v>121</v>
      </c>
      <c r="G3334" s="9" t="s">
        <v>122</v>
      </c>
      <c r="H3334" s="11" t="s">
        <v>21</v>
      </c>
      <c r="I3334" s="12" t="n">
        <v>45</v>
      </c>
      <c r="J3334" s="13" t="n">
        <v>175</v>
      </c>
      <c r="K3334" s="14" t="n">
        <f aca="false">I3334*J3334</f>
        <v>7875</v>
      </c>
      <c r="L3334" s="14" t="n">
        <f aca="false">($L$2*M3334)/100</f>
        <v>420583.275</v>
      </c>
      <c r="M3334" s="15" t="n">
        <v>0.35</v>
      </c>
      <c r="N3334" s="9" t="s">
        <v>20</v>
      </c>
    </row>
    <row r="3335" customFormat="false" ht="14.25" hidden="false" customHeight="true" outlineLevel="0" collapsed="false">
      <c r="B3335" s="9" t="s">
        <v>32</v>
      </c>
      <c r="C3335" s="9" t="n">
        <v>1185732</v>
      </c>
      <c r="D3335" s="10" t="n">
        <v>44336</v>
      </c>
      <c r="E3335" s="9" t="s">
        <v>17</v>
      </c>
      <c r="F3335" s="9" t="s">
        <v>121</v>
      </c>
      <c r="G3335" s="9" t="s">
        <v>122</v>
      </c>
      <c r="H3335" s="11" t="s">
        <v>22</v>
      </c>
      <c r="I3335" s="12" t="n">
        <v>40</v>
      </c>
      <c r="J3335" s="13" t="n">
        <v>150</v>
      </c>
      <c r="K3335" s="14" t="n">
        <f aca="false">I3335*J3335</f>
        <v>6000</v>
      </c>
      <c r="L3335" s="14" t="n">
        <f aca="false">($L$2*M3335)/100</f>
        <v>420583.275</v>
      </c>
      <c r="M3335" s="15" t="n">
        <v>0.35</v>
      </c>
      <c r="N3335" s="9" t="s">
        <v>20</v>
      </c>
    </row>
    <row r="3336" customFormat="false" ht="14.25" hidden="false" customHeight="true" outlineLevel="0" collapsed="false">
      <c r="B3336" s="9" t="s">
        <v>32</v>
      </c>
      <c r="C3336" s="9" t="n">
        <v>1185732</v>
      </c>
      <c r="D3336" s="10" t="n">
        <v>44336</v>
      </c>
      <c r="E3336" s="9" t="s">
        <v>17</v>
      </c>
      <c r="F3336" s="9" t="s">
        <v>121</v>
      </c>
      <c r="G3336" s="9" t="s">
        <v>122</v>
      </c>
      <c r="H3336" s="11" t="s">
        <v>23</v>
      </c>
      <c r="I3336" s="12" t="n">
        <v>40</v>
      </c>
      <c r="J3336" s="13" t="n">
        <v>100</v>
      </c>
      <c r="K3336" s="14" t="n">
        <f aca="false">I3336*J3336</f>
        <v>4000</v>
      </c>
      <c r="L3336" s="14" t="n">
        <f aca="false">($L$2*M3336)/100</f>
        <v>420583.275</v>
      </c>
      <c r="M3336" s="15" t="n">
        <v>0.35</v>
      </c>
      <c r="N3336" s="9" t="s">
        <v>20</v>
      </c>
    </row>
    <row r="3337" customFormat="false" ht="14.25" hidden="false" customHeight="true" outlineLevel="0" collapsed="false">
      <c r="B3337" s="9" t="s">
        <v>32</v>
      </c>
      <c r="C3337" s="9" t="n">
        <v>1185732</v>
      </c>
      <c r="D3337" s="10" t="n">
        <v>44336</v>
      </c>
      <c r="E3337" s="9" t="s">
        <v>17</v>
      </c>
      <c r="F3337" s="9" t="s">
        <v>121</v>
      </c>
      <c r="G3337" s="9" t="s">
        <v>122</v>
      </c>
      <c r="H3337" s="11" t="s">
        <v>24</v>
      </c>
      <c r="I3337" s="12" t="n">
        <v>50</v>
      </c>
      <c r="J3337" s="13" t="n">
        <v>125</v>
      </c>
      <c r="K3337" s="14" t="n">
        <f aca="false">I3337*J3337</f>
        <v>6250</v>
      </c>
      <c r="L3337" s="14" t="n">
        <f aca="false">($L$2*M3337)/100</f>
        <v>360499.95</v>
      </c>
      <c r="M3337" s="15" t="n">
        <v>0.3</v>
      </c>
      <c r="N3337" s="9" t="s">
        <v>20</v>
      </c>
    </row>
    <row r="3338" customFormat="false" ht="14.25" hidden="false" customHeight="true" outlineLevel="0" collapsed="false">
      <c r="B3338" s="9" t="s">
        <v>32</v>
      </c>
      <c r="C3338" s="9" t="n">
        <v>1185732</v>
      </c>
      <c r="D3338" s="10" t="n">
        <v>44336</v>
      </c>
      <c r="E3338" s="9" t="s">
        <v>17</v>
      </c>
      <c r="F3338" s="9" t="s">
        <v>121</v>
      </c>
      <c r="G3338" s="9" t="s">
        <v>122</v>
      </c>
      <c r="H3338" s="11" t="s">
        <v>25</v>
      </c>
      <c r="I3338" s="12" t="n">
        <v>55</v>
      </c>
      <c r="J3338" s="13" t="n">
        <v>250</v>
      </c>
      <c r="K3338" s="14" t="n">
        <f aca="false">I3338*J3338</f>
        <v>13750</v>
      </c>
      <c r="L3338" s="14" t="n">
        <f aca="false">($L$2*M3338)/100</f>
        <v>360499.95</v>
      </c>
      <c r="M3338" s="15" t="n">
        <v>0.3</v>
      </c>
      <c r="N3338" s="9" t="s">
        <v>20</v>
      </c>
    </row>
    <row r="3339" customFormat="false" ht="14.25" hidden="false" customHeight="true" outlineLevel="0" collapsed="false">
      <c r="B3339" s="9" t="s">
        <v>32</v>
      </c>
      <c r="C3339" s="9" t="n">
        <v>1185732</v>
      </c>
      <c r="D3339" s="10" t="n">
        <v>44369</v>
      </c>
      <c r="E3339" s="9" t="s">
        <v>17</v>
      </c>
      <c r="F3339" s="9" t="s">
        <v>121</v>
      </c>
      <c r="G3339" s="9" t="s">
        <v>122</v>
      </c>
      <c r="H3339" s="11" t="s">
        <v>19</v>
      </c>
      <c r="I3339" s="12" t="n">
        <v>50</v>
      </c>
      <c r="J3339" s="13" t="n">
        <v>500</v>
      </c>
      <c r="K3339" s="14" t="n">
        <f aca="false">I3339*J3339</f>
        <v>25000</v>
      </c>
      <c r="L3339" s="14" t="n">
        <f aca="false">($L$2*M3339)/100</f>
        <v>480666.6</v>
      </c>
      <c r="M3339" s="15" t="n">
        <v>0.4</v>
      </c>
      <c r="N3339" s="9" t="s">
        <v>20</v>
      </c>
    </row>
    <row r="3340" customFormat="false" ht="14.25" hidden="false" customHeight="true" outlineLevel="0" collapsed="false">
      <c r="B3340" s="9" t="s">
        <v>32</v>
      </c>
      <c r="C3340" s="9" t="n">
        <v>1185732</v>
      </c>
      <c r="D3340" s="10" t="n">
        <v>44369</v>
      </c>
      <c r="E3340" s="9" t="s">
        <v>17</v>
      </c>
      <c r="F3340" s="9" t="s">
        <v>121</v>
      </c>
      <c r="G3340" s="9" t="s">
        <v>122</v>
      </c>
      <c r="H3340" s="11" t="s">
        <v>21</v>
      </c>
      <c r="I3340" s="12" t="n">
        <v>45</v>
      </c>
      <c r="J3340" s="13" t="n">
        <v>250</v>
      </c>
      <c r="K3340" s="14" t="n">
        <f aca="false">I3340*J3340</f>
        <v>11250</v>
      </c>
      <c r="L3340" s="14" t="n">
        <f aca="false">($L$2*M3340)/100</f>
        <v>420583.275</v>
      </c>
      <c r="M3340" s="15" t="n">
        <v>0.35</v>
      </c>
      <c r="N3340" s="9" t="s">
        <v>20</v>
      </c>
    </row>
    <row r="3341" customFormat="false" ht="14.25" hidden="false" customHeight="true" outlineLevel="0" collapsed="false">
      <c r="B3341" s="9" t="s">
        <v>16</v>
      </c>
      <c r="C3341" s="9" t="n">
        <v>1185732</v>
      </c>
      <c r="D3341" s="10" t="n">
        <v>44369</v>
      </c>
      <c r="E3341" s="9" t="s">
        <v>17</v>
      </c>
      <c r="F3341" s="9" t="s">
        <v>121</v>
      </c>
      <c r="G3341" s="9" t="s">
        <v>122</v>
      </c>
      <c r="H3341" s="11" t="s">
        <v>22</v>
      </c>
      <c r="I3341" s="12" t="n">
        <v>40</v>
      </c>
      <c r="J3341" s="13" t="n">
        <v>175</v>
      </c>
      <c r="K3341" s="14" t="n">
        <f aca="false">I3341*J3341</f>
        <v>7000</v>
      </c>
      <c r="L3341" s="14" t="n">
        <f aca="false">($L$2*M3341)/100</f>
        <v>420583.275</v>
      </c>
      <c r="M3341" s="15" t="n">
        <v>0.35</v>
      </c>
      <c r="N3341" s="9" t="s">
        <v>20</v>
      </c>
    </row>
    <row r="3342" customFormat="false" ht="14.25" hidden="false" customHeight="true" outlineLevel="0" collapsed="false">
      <c r="B3342" s="9" t="s">
        <v>16</v>
      </c>
      <c r="C3342" s="9" t="n">
        <v>1185732</v>
      </c>
      <c r="D3342" s="10" t="n">
        <v>44369</v>
      </c>
      <c r="E3342" s="9" t="s">
        <v>17</v>
      </c>
      <c r="F3342" s="9" t="s">
        <v>121</v>
      </c>
      <c r="G3342" s="9" t="s">
        <v>122</v>
      </c>
      <c r="H3342" s="11" t="s">
        <v>23</v>
      </c>
      <c r="I3342" s="12" t="n">
        <v>40</v>
      </c>
      <c r="J3342" s="13" t="n">
        <v>150</v>
      </c>
      <c r="K3342" s="14" t="n">
        <f aca="false">I3342*J3342</f>
        <v>6000</v>
      </c>
      <c r="L3342" s="14" t="n">
        <f aca="false">($L$2*M3342)/100</f>
        <v>420583.275</v>
      </c>
      <c r="M3342" s="15" t="n">
        <v>0.35</v>
      </c>
      <c r="N3342" s="9" t="s">
        <v>20</v>
      </c>
    </row>
    <row r="3343" customFormat="false" ht="14.25" hidden="false" customHeight="true" outlineLevel="0" collapsed="false">
      <c r="B3343" s="9" t="s">
        <v>16</v>
      </c>
      <c r="C3343" s="9" t="n">
        <v>1185732</v>
      </c>
      <c r="D3343" s="10" t="n">
        <v>44369</v>
      </c>
      <c r="E3343" s="9" t="s">
        <v>17</v>
      </c>
      <c r="F3343" s="9" t="s">
        <v>121</v>
      </c>
      <c r="G3343" s="9" t="s">
        <v>122</v>
      </c>
      <c r="H3343" s="11" t="s">
        <v>24</v>
      </c>
      <c r="I3343" s="12" t="n">
        <v>50</v>
      </c>
      <c r="J3343" s="13" t="n">
        <v>150</v>
      </c>
      <c r="K3343" s="14" t="n">
        <f aca="false">I3343*J3343</f>
        <v>7500</v>
      </c>
      <c r="L3343" s="14" t="n">
        <f aca="false">($L$2*M3343)/100</f>
        <v>360499.95</v>
      </c>
      <c r="M3343" s="15" t="n">
        <v>0.3</v>
      </c>
      <c r="N3343" s="9" t="s">
        <v>20</v>
      </c>
    </row>
    <row r="3344" customFormat="false" ht="14.25" hidden="false" customHeight="true" outlineLevel="0" collapsed="false">
      <c r="B3344" s="9" t="s">
        <v>16</v>
      </c>
      <c r="C3344" s="9" t="n">
        <v>1185732</v>
      </c>
      <c r="D3344" s="10" t="n">
        <v>44369</v>
      </c>
      <c r="E3344" s="9" t="s">
        <v>17</v>
      </c>
      <c r="F3344" s="9" t="s">
        <v>121</v>
      </c>
      <c r="G3344" s="9" t="s">
        <v>122</v>
      </c>
      <c r="H3344" s="11" t="s">
        <v>25</v>
      </c>
      <c r="I3344" s="12" t="n">
        <v>55</v>
      </c>
      <c r="J3344" s="13" t="n">
        <v>300</v>
      </c>
      <c r="K3344" s="14" t="n">
        <f aca="false">I3344*J3344</f>
        <v>16500</v>
      </c>
      <c r="L3344" s="14" t="n">
        <f aca="false">($L$2*M3344)/100</f>
        <v>360499.95</v>
      </c>
      <c r="M3344" s="15" t="n">
        <v>0.3</v>
      </c>
      <c r="N3344" s="9" t="s">
        <v>20</v>
      </c>
    </row>
    <row r="3345" customFormat="false" ht="14.25" hidden="false" customHeight="true" outlineLevel="0" collapsed="false">
      <c r="B3345" s="9" t="s">
        <v>16</v>
      </c>
      <c r="C3345" s="9" t="n">
        <v>1185732</v>
      </c>
      <c r="D3345" s="10" t="n">
        <v>44397</v>
      </c>
      <c r="E3345" s="9" t="s">
        <v>17</v>
      </c>
      <c r="F3345" s="9" t="s">
        <v>121</v>
      </c>
      <c r="G3345" s="9" t="s">
        <v>122</v>
      </c>
      <c r="H3345" s="11" t="s">
        <v>19</v>
      </c>
      <c r="I3345" s="12" t="n">
        <v>50</v>
      </c>
      <c r="J3345" s="13" t="n">
        <v>525</v>
      </c>
      <c r="K3345" s="14" t="n">
        <f aca="false">I3345*J3345</f>
        <v>26250</v>
      </c>
      <c r="L3345" s="14" t="n">
        <f aca="false">($L$2*M3345)/100</f>
        <v>480666.6</v>
      </c>
      <c r="M3345" s="15" t="n">
        <v>0.4</v>
      </c>
      <c r="N3345" s="9" t="s">
        <v>20</v>
      </c>
    </row>
    <row r="3346" customFormat="false" ht="14.25" hidden="false" customHeight="true" outlineLevel="0" collapsed="false">
      <c r="B3346" s="9" t="s">
        <v>28</v>
      </c>
      <c r="C3346" s="9" t="n">
        <v>1185732</v>
      </c>
      <c r="D3346" s="10" t="n">
        <v>44397</v>
      </c>
      <c r="E3346" s="9" t="s">
        <v>17</v>
      </c>
      <c r="F3346" s="9" t="s">
        <v>121</v>
      </c>
      <c r="G3346" s="9" t="s">
        <v>122</v>
      </c>
      <c r="H3346" s="11" t="s">
        <v>21</v>
      </c>
      <c r="I3346" s="12" t="n">
        <v>45</v>
      </c>
      <c r="J3346" s="13" t="n">
        <v>275</v>
      </c>
      <c r="K3346" s="14" t="n">
        <f aca="false">I3346*J3346</f>
        <v>12375</v>
      </c>
      <c r="L3346" s="14" t="n">
        <f aca="false">($L$2*M3346)/100</f>
        <v>420583.275</v>
      </c>
      <c r="M3346" s="15" t="n">
        <v>0.35</v>
      </c>
      <c r="N3346" s="9" t="s">
        <v>20</v>
      </c>
    </row>
    <row r="3347" customFormat="false" ht="14.25" hidden="false" customHeight="true" outlineLevel="0" collapsed="false">
      <c r="B3347" s="9" t="s">
        <v>28</v>
      </c>
      <c r="C3347" s="9" t="n">
        <v>1185732</v>
      </c>
      <c r="D3347" s="10" t="n">
        <v>44397</v>
      </c>
      <c r="E3347" s="9" t="s">
        <v>17</v>
      </c>
      <c r="F3347" s="9" t="s">
        <v>121</v>
      </c>
      <c r="G3347" s="9" t="s">
        <v>122</v>
      </c>
      <c r="H3347" s="11" t="s">
        <v>22</v>
      </c>
      <c r="I3347" s="12" t="n">
        <v>40</v>
      </c>
      <c r="J3347" s="13" t="n">
        <v>200</v>
      </c>
      <c r="K3347" s="14" t="n">
        <f aca="false">I3347*J3347</f>
        <v>8000</v>
      </c>
      <c r="L3347" s="14" t="n">
        <f aca="false">($L$2*M3347)/100</f>
        <v>420583.275</v>
      </c>
      <c r="M3347" s="15" t="n">
        <v>0.35</v>
      </c>
      <c r="N3347" s="9" t="s">
        <v>20</v>
      </c>
    </row>
    <row r="3348" customFormat="false" ht="14.25" hidden="false" customHeight="true" outlineLevel="0" collapsed="false">
      <c r="B3348" s="9" t="s">
        <v>28</v>
      </c>
      <c r="C3348" s="9" t="n">
        <v>1185732</v>
      </c>
      <c r="D3348" s="10" t="n">
        <v>44397</v>
      </c>
      <c r="E3348" s="9" t="s">
        <v>17</v>
      </c>
      <c r="F3348" s="9" t="s">
        <v>121</v>
      </c>
      <c r="G3348" s="9" t="s">
        <v>122</v>
      </c>
      <c r="H3348" s="11" t="s">
        <v>23</v>
      </c>
      <c r="I3348" s="12" t="n">
        <v>40</v>
      </c>
      <c r="J3348" s="13" t="n">
        <v>150</v>
      </c>
      <c r="K3348" s="14" t="n">
        <f aca="false">I3348*J3348</f>
        <v>6000</v>
      </c>
      <c r="L3348" s="14" t="n">
        <f aca="false">($L$2*M3348)/100</f>
        <v>420583.275</v>
      </c>
      <c r="M3348" s="15" t="n">
        <v>0.35</v>
      </c>
      <c r="N3348" s="9" t="s">
        <v>20</v>
      </c>
    </row>
    <row r="3349" customFormat="false" ht="14.25" hidden="false" customHeight="true" outlineLevel="0" collapsed="false">
      <c r="B3349" s="9" t="s">
        <v>28</v>
      </c>
      <c r="C3349" s="9" t="n">
        <v>1185732</v>
      </c>
      <c r="D3349" s="10" t="n">
        <v>44397</v>
      </c>
      <c r="E3349" s="9" t="s">
        <v>17</v>
      </c>
      <c r="F3349" s="9" t="s">
        <v>121</v>
      </c>
      <c r="G3349" s="9" t="s">
        <v>122</v>
      </c>
      <c r="H3349" s="11" t="s">
        <v>24</v>
      </c>
      <c r="I3349" s="12" t="n">
        <v>50</v>
      </c>
      <c r="J3349" s="13" t="n">
        <v>175</v>
      </c>
      <c r="K3349" s="14" t="n">
        <f aca="false">I3349*J3349</f>
        <v>8750</v>
      </c>
      <c r="L3349" s="14" t="n">
        <f aca="false">($L$2*M3349)/100</f>
        <v>360499.95</v>
      </c>
      <c r="M3349" s="15" t="n">
        <v>0.3</v>
      </c>
      <c r="N3349" s="9" t="s">
        <v>20</v>
      </c>
    </row>
    <row r="3350" customFormat="false" ht="14.25" hidden="false" customHeight="true" outlineLevel="0" collapsed="false">
      <c r="B3350" s="9" t="s">
        <v>28</v>
      </c>
      <c r="C3350" s="9" t="n">
        <v>1185732</v>
      </c>
      <c r="D3350" s="10" t="n">
        <v>44397</v>
      </c>
      <c r="E3350" s="9" t="s">
        <v>17</v>
      </c>
      <c r="F3350" s="9" t="s">
        <v>121</v>
      </c>
      <c r="G3350" s="9" t="s">
        <v>122</v>
      </c>
      <c r="H3350" s="11" t="s">
        <v>25</v>
      </c>
      <c r="I3350" s="12" t="n">
        <v>55</v>
      </c>
      <c r="J3350" s="13" t="n">
        <v>350</v>
      </c>
      <c r="K3350" s="14" t="n">
        <f aca="false">I3350*J3350</f>
        <v>19250</v>
      </c>
      <c r="L3350" s="14" t="n">
        <f aca="false">($L$2*M3350)/100</f>
        <v>360499.95</v>
      </c>
      <c r="M3350" s="15" t="n">
        <v>0.3</v>
      </c>
      <c r="N3350" s="9" t="s">
        <v>20</v>
      </c>
    </row>
    <row r="3351" customFormat="false" ht="14.25" hidden="false" customHeight="true" outlineLevel="0" collapsed="false">
      <c r="B3351" s="9" t="s">
        <v>28</v>
      </c>
      <c r="C3351" s="9" t="n">
        <v>1185732</v>
      </c>
      <c r="D3351" s="10" t="n">
        <v>44429</v>
      </c>
      <c r="E3351" s="9" t="s">
        <v>17</v>
      </c>
      <c r="F3351" s="9" t="s">
        <v>121</v>
      </c>
      <c r="G3351" s="9" t="s">
        <v>122</v>
      </c>
      <c r="H3351" s="11" t="s">
        <v>19</v>
      </c>
      <c r="I3351" s="12" t="n">
        <v>50</v>
      </c>
      <c r="J3351" s="13" t="n">
        <v>500</v>
      </c>
      <c r="K3351" s="14" t="n">
        <f aca="false">I3351*J3351</f>
        <v>25000</v>
      </c>
      <c r="L3351" s="14" t="n">
        <f aca="false">($L$2*M3351)/100</f>
        <v>480666.6</v>
      </c>
      <c r="M3351" s="15" t="n">
        <v>0.4</v>
      </c>
      <c r="N3351" s="9" t="s">
        <v>20</v>
      </c>
    </row>
    <row r="3352" customFormat="false" ht="14.25" hidden="false" customHeight="true" outlineLevel="0" collapsed="false">
      <c r="B3352" s="9" t="s">
        <v>28</v>
      </c>
      <c r="C3352" s="9" t="n">
        <v>1185732</v>
      </c>
      <c r="D3352" s="10" t="n">
        <v>44429</v>
      </c>
      <c r="E3352" s="9" t="s">
        <v>17</v>
      </c>
      <c r="F3352" s="9" t="s">
        <v>121</v>
      </c>
      <c r="G3352" s="9" t="s">
        <v>122</v>
      </c>
      <c r="H3352" s="11" t="s">
        <v>21</v>
      </c>
      <c r="I3352" s="12" t="n">
        <v>45</v>
      </c>
      <c r="J3352" s="13" t="n">
        <v>275</v>
      </c>
      <c r="K3352" s="14" t="n">
        <f aca="false">I3352*J3352</f>
        <v>12375</v>
      </c>
      <c r="L3352" s="14" t="n">
        <f aca="false">($L$2*M3352)/100</f>
        <v>420583.275</v>
      </c>
      <c r="M3352" s="15" t="n">
        <v>0.35</v>
      </c>
      <c r="N3352" s="9" t="s">
        <v>20</v>
      </c>
    </row>
    <row r="3353" customFormat="false" ht="14.25" hidden="false" customHeight="true" outlineLevel="0" collapsed="false">
      <c r="B3353" s="9" t="s">
        <v>28</v>
      </c>
      <c r="C3353" s="9" t="n">
        <v>1185732</v>
      </c>
      <c r="D3353" s="10" t="n">
        <v>44429</v>
      </c>
      <c r="E3353" s="9" t="s">
        <v>17</v>
      </c>
      <c r="F3353" s="9" t="s">
        <v>121</v>
      </c>
      <c r="G3353" s="9" t="s">
        <v>122</v>
      </c>
      <c r="H3353" s="11" t="s">
        <v>22</v>
      </c>
      <c r="I3353" s="12" t="n">
        <v>40</v>
      </c>
      <c r="J3353" s="13" t="n">
        <v>200</v>
      </c>
      <c r="K3353" s="14" t="n">
        <f aca="false">I3353*J3353</f>
        <v>8000</v>
      </c>
      <c r="L3353" s="14" t="n">
        <f aca="false">($L$2*M3353)/100</f>
        <v>420583.275</v>
      </c>
      <c r="M3353" s="15" t="n">
        <v>0.35</v>
      </c>
      <c r="N3353" s="9" t="s">
        <v>20</v>
      </c>
    </row>
    <row r="3354" customFormat="false" ht="14.25" hidden="false" customHeight="true" outlineLevel="0" collapsed="false">
      <c r="B3354" s="9" t="s">
        <v>28</v>
      </c>
      <c r="C3354" s="9" t="n">
        <v>1185732</v>
      </c>
      <c r="D3354" s="10" t="n">
        <v>44429</v>
      </c>
      <c r="E3354" s="9" t="s">
        <v>17</v>
      </c>
      <c r="F3354" s="9" t="s">
        <v>121</v>
      </c>
      <c r="G3354" s="9" t="s">
        <v>122</v>
      </c>
      <c r="H3354" s="11" t="s">
        <v>23</v>
      </c>
      <c r="I3354" s="12" t="n">
        <v>40</v>
      </c>
      <c r="J3354" s="13" t="n">
        <v>150</v>
      </c>
      <c r="K3354" s="14" t="n">
        <f aca="false">I3354*J3354</f>
        <v>6000</v>
      </c>
      <c r="L3354" s="14" t="n">
        <f aca="false">($L$2*M3354)/100</f>
        <v>420583.275</v>
      </c>
      <c r="M3354" s="15" t="n">
        <v>0.35</v>
      </c>
      <c r="N3354" s="9" t="s">
        <v>20</v>
      </c>
    </row>
    <row r="3355" customFormat="false" ht="14.25" hidden="false" customHeight="true" outlineLevel="0" collapsed="false">
      <c r="B3355" s="9" t="s">
        <v>28</v>
      </c>
      <c r="C3355" s="9" t="n">
        <v>1185732</v>
      </c>
      <c r="D3355" s="10" t="n">
        <v>44429</v>
      </c>
      <c r="E3355" s="9" t="s">
        <v>17</v>
      </c>
      <c r="F3355" s="9" t="s">
        <v>121</v>
      </c>
      <c r="G3355" s="9" t="s">
        <v>122</v>
      </c>
      <c r="H3355" s="11" t="s">
        <v>24</v>
      </c>
      <c r="I3355" s="12" t="n">
        <v>50</v>
      </c>
      <c r="J3355" s="13" t="n">
        <v>125</v>
      </c>
      <c r="K3355" s="14" t="n">
        <f aca="false">I3355*J3355</f>
        <v>6250</v>
      </c>
      <c r="L3355" s="14" t="n">
        <f aca="false">($L$2*M3355)/100</f>
        <v>360499.95</v>
      </c>
      <c r="M3355" s="15" t="n">
        <v>0.3</v>
      </c>
      <c r="N3355" s="9" t="s">
        <v>20</v>
      </c>
    </row>
    <row r="3356" customFormat="false" ht="14.25" hidden="false" customHeight="true" outlineLevel="0" collapsed="false">
      <c r="B3356" s="9" t="s">
        <v>28</v>
      </c>
      <c r="C3356" s="9" t="n">
        <v>1185732</v>
      </c>
      <c r="D3356" s="10" t="n">
        <v>44429</v>
      </c>
      <c r="E3356" s="9" t="s">
        <v>17</v>
      </c>
      <c r="F3356" s="9" t="s">
        <v>121</v>
      </c>
      <c r="G3356" s="9" t="s">
        <v>122</v>
      </c>
      <c r="H3356" s="11" t="s">
        <v>25</v>
      </c>
      <c r="I3356" s="12" t="n">
        <v>55</v>
      </c>
      <c r="J3356" s="13" t="n">
        <v>300</v>
      </c>
      <c r="K3356" s="14" t="n">
        <f aca="false">I3356*J3356</f>
        <v>16500</v>
      </c>
      <c r="L3356" s="14" t="n">
        <f aca="false">($L$2*M3356)/100</f>
        <v>360499.95</v>
      </c>
      <c r="M3356" s="15" t="n">
        <v>0.3</v>
      </c>
      <c r="N3356" s="9" t="s">
        <v>20</v>
      </c>
    </row>
    <row r="3357" customFormat="false" ht="14.25" hidden="false" customHeight="true" outlineLevel="0" collapsed="false">
      <c r="B3357" s="9" t="s">
        <v>28</v>
      </c>
      <c r="C3357" s="9" t="n">
        <v>1185732</v>
      </c>
      <c r="D3357" s="10" t="n">
        <v>44459</v>
      </c>
      <c r="E3357" s="9" t="s">
        <v>17</v>
      </c>
      <c r="F3357" s="9" t="s">
        <v>121</v>
      </c>
      <c r="G3357" s="9" t="s">
        <v>122</v>
      </c>
      <c r="H3357" s="11" t="s">
        <v>19</v>
      </c>
      <c r="I3357" s="12" t="n">
        <v>50</v>
      </c>
      <c r="J3357" s="13" t="n">
        <v>425</v>
      </c>
      <c r="K3357" s="14" t="n">
        <f aca="false">I3357*J3357</f>
        <v>21250</v>
      </c>
      <c r="L3357" s="14" t="n">
        <f aca="false">($L$2*M3357)/100</f>
        <v>480666.6</v>
      </c>
      <c r="M3357" s="15" t="n">
        <v>0.4</v>
      </c>
      <c r="N3357" s="9" t="s">
        <v>20</v>
      </c>
    </row>
    <row r="3358" customFormat="false" ht="14.25" hidden="false" customHeight="true" outlineLevel="0" collapsed="false">
      <c r="B3358" s="9" t="s">
        <v>28</v>
      </c>
      <c r="C3358" s="9" t="n">
        <v>1185732</v>
      </c>
      <c r="D3358" s="10" t="n">
        <v>44459</v>
      </c>
      <c r="E3358" s="9" t="s">
        <v>17</v>
      </c>
      <c r="F3358" s="9" t="s">
        <v>121</v>
      </c>
      <c r="G3358" s="9" t="s">
        <v>122</v>
      </c>
      <c r="H3358" s="11" t="s">
        <v>21</v>
      </c>
      <c r="I3358" s="12" t="n">
        <v>45</v>
      </c>
      <c r="J3358" s="13" t="n">
        <v>225</v>
      </c>
      <c r="K3358" s="14" t="n">
        <f aca="false">I3358*J3358</f>
        <v>10125</v>
      </c>
      <c r="L3358" s="14" t="n">
        <f aca="false">($L$2*M3358)/100</f>
        <v>420583.275</v>
      </c>
      <c r="M3358" s="15" t="n">
        <v>0.35</v>
      </c>
      <c r="N3358" s="9" t="s">
        <v>20</v>
      </c>
    </row>
    <row r="3359" customFormat="false" ht="14.25" hidden="false" customHeight="true" outlineLevel="0" collapsed="false">
      <c r="B3359" s="9" t="s">
        <v>28</v>
      </c>
      <c r="C3359" s="9" t="n">
        <v>1185732</v>
      </c>
      <c r="D3359" s="10" t="n">
        <v>44459</v>
      </c>
      <c r="E3359" s="9" t="s">
        <v>17</v>
      </c>
      <c r="F3359" s="9" t="s">
        <v>121</v>
      </c>
      <c r="G3359" s="9" t="s">
        <v>122</v>
      </c>
      <c r="H3359" s="11" t="s">
        <v>22</v>
      </c>
      <c r="I3359" s="12" t="n">
        <v>40</v>
      </c>
      <c r="J3359" s="13" t="n">
        <v>125</v>
      </c>
      <c r="K3359" s="14" t="n">
        <f aca="false">I3359*J3359</f>
        <v>5000</v>
      </c>
      <c r="L3359" s="14" t="n">
        <f aca="false">($L$2*M3359)/100</f>
        <v>420583.275</v>
      </c>
      <c r="M3359" s="15" t="n">
        <v>0.35</v>
      </c>
      <c r="N3359" s="9" t="s">
        <v>20</v>
      </c>
    </row>
    <row r="3360" customFormat="false" ht="14.25" hidden="false" customHeight="true" outlineLevel="0" collapsed="false">
      <c r="B3360" s="9" t="s">
        <v>28</v>
      </c>
      <c r="C3360" s="9" t="n">
        <v>1185732</v>
      </c>
      <c r="D3360" s="10" t="n">
        <v>44459</v>
      </c>
      <c r="E3360" s="9" t="s">
        <v>17</v>
      </c>
      <c r="F3360" s="9" t="s">
        <v>121</v>
      </c>
      <c r="G3360" s="9" t="s">
        <v>122</v>
      </c>
      <c r="H3360" s="11" t="s">
        <v>23</v>
      </c>
      <c r="I3360" s="12" t="n">
        <v>40</v>
      </c>
      <c r="J3360" s="13" t="n">
        <v>100</v>
      </c>
      <c r="K3360" s="14" t="n">
        <f aca="false">I3360*J3360</f>
        <v>4000</v>
      </c>
      <c r="L3360" s="14" t="n">
        <f aca="false">($L$2*M3360)/100</f>
        <v>420583.275</v>
      </c>
      <c r="M3360" s="15" t="n">
        <v>0.35</v>
      </c>
      <c r="N3360" s="9" t="s">
        <v>20</v>
      </c>
    </row>
    <row r="3361" customFormat="false" ht="14.25" hidden="false" customHeight="true" outlineLevel="0" collapsed="false">
      <c r="B3361" s="9" t="s">
        <v>28</v>
      </c>
      <c r="C3361" s="9" t="n">
        <v>1185732</v>
      </c>
      <c r="D3361" s="10" t="n">
        <v>44459</v>
      </c>
      <c r="E3361" s="9" t="s">
        <v>17</v>
      </c>
      <c r="F3361" s="9" t="s">
        <v>121</v>
      </c>
      <c r="G3361" s="9" t="s">
        <v>122</v>
      </c>
      <c r="H3361" s="11" t="s">
        <v>24</v>
      </c>
      <c r="I3361" s="12" t="n">
        <v>50</v>
      </c>
      <c r="J3361" s="13" t="n">
        <v>100</v>
      </c>
      <c r="K3361" s="14" t="n">
        <f aca="false">I3361*J3361</f>
        <v>5000</v>
      </c>
      <c r="L3361" s="14" t="n">
        <f aca="false">($L$2*M3361)/100</f>
        <v>360499.95</v>
      </c>
      <c r="M3361" s="15" t="n">
        <v>0.3</v>
      </c>
      <c r="N3361" s="9" t="s">
        <v>20</v>
      </c>
    </row>
    <row r="3362" customFormat="false" ht="14.25" hidden="false" customHeight="true" outlineLevel="0" collapsed="false">
      <c r="B3362" s="9" t="s">
        <v>28</v>
      </c>
      <c r="C3362" s="9" t="n">
        <v>1185732</v>
      </c>
      <c r="D3362" s="10" t="n">
        <v>44459</v>
      </c>
      <c r="E3362" s="9" t="s">
        <v>17</v>
      </c>
      <c r="F3362" s="9" t="s">
        <v>121</v>
      </c>
      <c r="G3362" s="9" t="s">
        <v>122</v>
      </c>
      <c r="H3362" s="11" t="s">
        <v>25</v>
      </c>
      <c r="I3362" s="12" t="n">
        <v>55</v>
      </c>
      <c r="J3362" s="13" t="n">
        <v>200</v>
      </c>
      <c r="K3362" s="14" t="n">
        <f aca="false">I3362*J3362</f>
        <v>11000</v>
      </c>
      <c r="L3362" s="14" t="n">
        <f aca="false">($L$2*M3362)/100</f>
        <v>360499.95</v>
      </c>
      <c r="M3362" s="15" t="n">
        <v>0.3</v>
      </c>
      <c r="N3362" s="9" t="s">
        <v>20</v>
      </c>
    </row>
    <row r="3363" customFormat="false" ht="14.25" hidden="false" customHeight="true" outlineLevel="0" collapsed="false">
      <c r="B3363" s="9" t="s">
        <v>28</v>
      </c>
      <c r="C3363" s="9" t="n">
        <v>1185732</v>
      </c>
      <c r="D3363" s="10" t="n">
        <v>44491</v>
      </c>
      <c r="E3363" s="9" t="s">
        <v>17</v>
      </c>
      <c r="F3363" s="9" t="s">
        <v>121</v>
      </c>
      <c r="G3363" s="9" t="s">
        <v>122</v>
      </c>
      <c r="H3363" s="11" t="s">
        <v>19</v>
      </c>
      <c r="I3363" s="12" t="n">
        <v>55</v>
      </c>
      <c r="J3363" s="13" t="n">
        <v>375</v>
      </c>
      <c r="K3363" s="14" t="n">
        <f aca="false">I3363*J3363</f>
        <v>20625</v>
      </c>
      <c r="L3363" s="14" t="n">
        <f aca="false">($L$2*M3363)/100</f>
        <v>480666.6</v>
      </c>
      <c r="M3363" s="15" t="n">
        <v>0.4</v>
      </c>
      <c r="N3363" s="9" t="s">
        <v>20</v>
      </c>
    </row>
    <row r="3364" customFormat="false" ht="14.25" hidden="false" customHeight="true" outlineLevel="0" collapsed="false">
      <c r="B3364" s="9" t="s">
        <v>28</v>
      </c>
      <c r="C3364" s="9" t="n">
        <v>1185732</v>
      </c>
      <c r="D3364" s="10" t="n">
        <v>44491</v>
      </c>
      <c r="E3364" s="9" t="s">
        <v>17</v>
      </c>
      <c r="F3364" s="9" t="s">
        <v>121</v>
      </c>
      <c r="G3364" s="9" t="s">
        <v>122</v>
      </c>
      <c r="H3364" s="11" t="s">
        <v>21</v>
      </c>
      <c r="I3364" s="12" t="n">
        <v>50</v>
      </c>
      <c r="J3364" s="13" t="n">
        <v>200</v>
      </c>
      <c r="K3364" s="14" t="n">
        <f aca="false">I3364*J3364</f>
        <v>10000</v>
      </c>
      <c r="L3364" s="14" t="n">
        <f aca="false">($L$2*M3364)/100</f>
        <v>420583.275</v>
      </c>
      <c r="M3364" s="15" t="n">
        <v>0.35</v>
      </c>
      <c r="N3364" s="9" t="s">
        <v>20</v>
      </c>
    </row>
    <row r="3365" customFormat="false" ht="14.25" hidden="false" customHeight="true" outlineLevel="0" collapsed="false">
      <c r="B3365" s="9" t="s">
        <v>28</v>
      </c>
      <c r="C3365" s="9" t="n">
        <v>1185732</v>
      </c>
      <c r="D3365" s="10" t="n">
        <v>44491</v>
      </c>
      <c r="E3365" s="9" t="s">
        <v>17</v>
      </c>
      <c r="F3365" s="9" t="s">
        <v>121</v>
      </c>
      <c r="G3365" s="9" t="s">
        <v>122</v>
      </c>
      <c r="H3365" s="11" t="s">
        <v>22</v>
      </c>
      <c r="I3365" s="12" t="n">
        <v>50</v>
      </c>
      <c r="J3365" s="13" t="n">
        <v>100</v>
      </c>
      <c r="K3365" s="14" t="n">
        <f aca="false">I3365*J3365</f>
        <v>5000</v>
      </c>
      <c r="L3365" s="14" t="n">
        <f aca="false">($L$2*M3365)/100</f>
        <v>420583.275</v>
      </c>
      <c r="M3365" s="15" t="n">
        <v>0.35</v>
      </c>
      <c r="N3365" s="9" t="s">
        <v>20</v>
      </c>
    </row>
    <row r="3366" customFormat="false" ht="14.25" hidden="false" customHeight="true" outlineLevel="0" collapsed="false">
      <c r="B3366" s="9" t="s">
        <v>16</v>
      </c>
      <c r="C3366" s="9" t="n">
        <v>1185732</v>
      </c>
      <c r="D3366" s="10" t="n">
        <v>44491</v>
      </c>
      <c r="E3366" s="9" t="s">
        <v>17</v>
      </c>
      <c r="F3366" s="9" t="s">
        <v>121</v>
      </c>
      <c r="G3366" s="9" t="s">
        <v>122</v>
      </c>
      <c r="H3366" s="11" t="s">
        <v>23</v>
      </c>
      <c r="I3366" s="12" t="n">
        <v>50</v>
      </c>
      <c r="J3366" s="13" t="n">
        <v>75</v>
      </c>
      <c r="K3366" s="14" t="n">
        <f aca="false">I3366*J3366</f>
        <v>3750</v>
      </c>
      <c r="L3366" s="14" t="n">
        <f aca="false">($L$2*M3366)/100</f>
        <v>420583.275</v>
      </c>
      <c r="M3366" s="15" t="n">
        <v>0.35</v>
      </c>
      <c r="N3366" s="9" t="s">
        <v>20</v>
      </c>
    </row>
    <row r="3367" customFormat="false" ht="14.25" hidden="false" customHeight="true" outlineLevel="0" collapsed="false">
      <c r="B3367" s="9" t="s">
        <v>16</v>
      </c>
      <c r="C3367" s="9" t="n">
        <v>1185732</v>
      </c>
      <c r="D3367" s="10" t="n">
        <v>44491</v>
      </c>
      <c r="E3367" s="9" t="s">
        <v>17</v>
      </c>
      <c r="F3367" s="9" t="s">
        <v>121</v>
      </c>
      <c r="G3367" s="9" t="s">
        <v>122</v>
      </c>
      <c r="H3367" s="11" t="s">
        <v>24</v>
      </c>
      <c r="I3367" s="12" t="n">
        <v>60</v>
      </c>
      <c r="J3367" s="13" t="n">
        <v>75</v>
      </c>
      <c r="K3367" s="14" t="n">
        <f aca="false">I3367*J3367</f>
        <v>4500</v>
      </c>
      <c r="L3367" s="14" t="n">
        <f aca="false">($L$2*M3367)/100</f>
        <v>360499.95</v>
      </c>
      <c r="M3367" s="15" t="n">
        <v>0.3</v>
      </c>
      <c r="N3367" s="9" t="s">
        <v>20</v>
      </c>
    </row>
    <row r="3368" customFormat="false" ht="14.25" hidden="false" customHeight="true" outlineLevel="0" collapsed="false">
      <c r="B3368" s="9" t="s">
        <v>16</v>
      </c>
      <c r="C3368" s="9" t="n">
        <v>1185732</v>
      </c>
      <c r="D3368" s="10" t="n">
        <v>44491</v>
      </c>
      <c r="E3368" s="9" t="s">
        <v>17</v>
      </c>
      <c r="F3368" s="9" t="s">
        <v>121</v>
      </c>
      <c r="G3368" s="9" t="s">
        <v>122</v>
      </c>
      <c r="H3368" s="11" t="s">
        <v>25</v>
      </c>
      <c r="I3368" s="12" t="n">
        <v>65</v>
      </c>
      <c r="J3368" s="13" t="n">
        <v>200</v>
      </c>
      <c r="K3368" s="14" t="n">
        <f aca="false">I3368*J3368</f>
        <v>13000</v>
      </c>
      <c r="L3368" s="14" t="n">
        <f aca="false">($L$2*M3368)/100</f>
        <v>360499.95</v>
      </c>
      <c r="M3368" s="15" t="n">
        <v>0.3</v>
      </c>
      <c r="N3368" s="9" t="s">
        <v>20</v>
      </c>
    </row>
    <row r="3369" customFormat="false" ht="14.25" hidden="false" customHeight="true" outlineLevel="0" collapsed="false">
      <c r="B3369" s="9" t="s">
        <v>16</v>
      </c>
      <c r="C3369" s="9" t="n">
        <v>1185732</v>
      </c>
      <c r="D3369" s="10" t="n">
        <v>44521</v>
      </c>
      <c r="E3369" s="9" t="s">
        <v>17</v>
      </c>
      <c r="F3369" s="9" t="s">
        <v>121</v>
      </c>
      <c r="G3369" s="9" t="s">
        <v>122</v>
      </c>
      <c r="H3369" s="11" t="s">
        <v>19</v>
      </c>
      <c r="I3369" s="12" t="n">
        <v>60</v>
      </c>
      <c r="J3369" s="13" t="n">
        <v>350</v>
      </c>
      <c r="K3369" s="14" t="n">
        <f aca="false">I3369*J3369</f>
        <v>21000</v>
      </c>
      <c r="L3369" s="14" t="n">
        <f aca="false">($L$2*M3369)/100</f>
        <v>480666.6</v>
      </c>
      <c r="M3369" s="15" t="n">
        <v>0.4</v>
      </c>
      <c r="N3369" s="9" t="s">
        <v>20</v>
      </c>
    </row>
    <row r="3370" customFormat="false" ht="14.25" hidden="false" customHeight="true" outlineLevel="0" collapsed="false">
      <c r="B3370" s="9" t="s">
        <v>16</v>
      </c>
      <c r="C3370" s="9" t="n">
        <v>1185732</v>
      </c>
      <c r="D3370" s="10" t="n">
        <v>44521</v>
      </c>
      <c r="E3370" s="9" t="s">
        <v>17</v>
      </c>
      <c r="F3370" s="9" t="s">
        <v>121</v>
      </c>
      <c r="G3370" s="9" t="s">
        <v>122</v>
      </c>
      <c r="H3370" s="11" t="s">
        <v>21</v>
      </c>
      <c r="I3370" s="12" t="n">
        <v>50</v>
      </c>
      <c r="J3370" s="13" t="n">
        <v>175</v>
      </c>
      <c r="K3370" s="14" t="n">
        <f aca="false">I3370*J3370</f>
        <v>8750</v>
      </c>
      <c r="L3370" s="14" t="n">
        <f aca="false">($L$2*M3370)/100</f>
        <v>420583.275</v>
      </c>
      <c r="M3370" s="15" t="n">
        <v>0.35</v>
      </c>
      <c r="N3370" s="9" t="s">
        <v>20</v>
      </c>
    </row>
    <row r="3371" customFormat="false" ht="14.25" hidden="false" customHeight="true" outlineLevel="0" collapsed="false">
      <c r="B3371" s="9" t="s">
        <v>16</v>
      </c>
      <c r="C3371" s="9" t="n">
        <v>1185732</v>
      </c>
      <c r="D3371" s="10" t="n">
        <v>44521</v>
      </c>
      <c r="E3371" s="9" t="s">
        <v>17</v>
      </c>
      <c r="F3371" s="9" t="s">
        <v>121</v>
      </c>
      <c r="G3371" s="9" t="s">
        <v>122</v>
      </c>
      <c r="H3371" s="11" t="s">
        <v>22</v>
      </c>
      <c r="I3371" s="12" t="n">
        <v>50</v>
      </c>
      <c r="J3371" s="13" t="n">
        <v>170</v>
      </c>
      <c r="K3371" s="14" t="n">
        <f aca="false">I3371*J3371</f>
        <v>8500</v>
      </c>
      <c r="L3371" s="14" t="n">
        <f aca="false">($L$2*M3371)/100</f>
        <v>420583.275</v>
      </c>
      <c r="M3371" s="15" t="n">
        <v>0.35</v>
      </c>
      <c r="N3371" s="9" t="s">
        <v>20</v>
      </c>
    </row>
    <row r="3372" customFormat="false" ht="14.25" hidden="false" customHeight="true" outlineLevel="0" collapsed="false">
      <c r="B3372" s="9" t="s">
        <v>16</v>
      </c>
      <c r="C3372" s="9" t="n">
        <v>1185732</v>
      </c>
      <c r="D3372" s="10" t="n">
        <v>44521</v>
      </c>
      <c r="E3372" s="9" t="s">
        <v>17</v>
      </c>
      <c r="F3372" s="9" t="s">
        <v>121</v>
      </c>
      <c r="G3372" s="9" t="s">
        <v>122</v>
      </c>
      <c r="H3372" s="11" t="s">
        <v>23</v>
      </c>
      <c r="I3372" s="12" t="n">
        <v>50</v>
      </c>
      <c r="J3372" s="13" t="n">
        <v>150</v>
      </c>
      <c r="K3372" s="14" t="n">
        <f aca="false">I3372*J3372</f>
        <v>7500</v>
      </c>
      <c r="L3372" s="14" t="n">
        <f aca="false">($L$2*M3372)/100</f>
        <v>420583.275</v>
      </c>
      <c r="M3372" s="15" t="n">
        <v>0.35</v>
      </c>
      <c r="N3372" s="9" t="s">
        <v>20</v>
      </c>
    </row>
    <row r="3373" customFormat="false" ht="14.25" hidden="false" customHeight="true" outlineLevel="0" collapsed="false">
      <c r="B3373" s="9" t="s">
        <v>16</v>
      </c>
      <c r="C3373" s="9" t="n">
        <v>1185732</v>
      </c>
      <c r="D3373" s="10" t="n">
        <v>44521</v>
      </c>
      <c r="E3373" s="9" t="s">
        <v>17</v>
      </c>
      <c r="F3373" s="9" t="s">
        <v>121</v>
      </c>
      <c r="G3373" s="9" t="s">
        <v>122</v>
      </c>
      <c r="H3373" s="11" t="s">
        <v>24</v>
      </c>
      <c r="I3373" s="12" t="n">
        <v>60</v>
      </c>
      <c r="J3373" s="13" t="n">
        <v>125</v>
      </c>
      <c r="K3373" s="14" t="n">
        <f aca="false">I3373*J3373</f>
        <v>7500</v>
      </c>
      <c r="L3373" s="14" t="n">
        <f aca="false">($L$2*M3373)/100</f>
        <v>360499.95</v>
      </c>
      <c r="M3373" s="15" t="n">
        <v>0.3</v>
      </c>
      <c r="N3373" s="9" t="s">
        <v>20</v>
      </c>
    </row>
    <row r="3374" customFormat="false" ht="14.25" hidden="false" customHeight="true" outlineLevel="0" collapsed="false">
      <c r="B3374" s="9" t="s">
        <v>16</v>
      </c>
      <c r="C3374" s="9" t="n">
        <v>1185732</v>
      </c>
      <c r="D3374" s="10" t="n">
        <v>44521</v>
      </c>
      <c r="E3374" s="9" t="s">
        <v>17</v>
      </c>
      <c r="F3374" s="9" t="s">
        <v>121</v>
      </c>
      <c r="G3374" s="9" t="s">
        <v>122</v>
      </c>
      <c r="H3374" s="11" t="s">
        <v>25</v>
      </c>
      <c r="I3374" s="12" t="n">
        <v>65</v>
      </c>
      <c r="J3374" s="13" t="n">
        <v>225</v>
      </c>
      <c r="K3374" s="14" t="n">
        <f aca="false">I3374*J3374</f>
        <v>14625</v>
      </c>
      <c r="L3374" s="14" t="n">
        <f aca="false">($L$2*M3374)/100</f>
        <v>360499.95</v>
      </c>
      <c r="M3374" s="15" t="n">
        <v>0.3</v>
      </c>
      <c r="N3374" s="9" t="s">
        <v>20</v>
      </c>
    </row>
    <row r="3375" customFormat="false" ht="14.25" hidden="false" customHeight="true" outlineLevel="0" collapsed="false">
      <c r="B3375" s="9" t="s">
        <v>16</v>
      </c>
      <c r="C3375" s="9" t="n">
        <v>1185732</v>
      </c>
      <c r="D3375" s="10" t="n">
        <v>44550</v>
      </c>
      <c r="E3375" s="9" t="s">
        <v>17</v>
      </c>
      <c r="F3375" s="9" t="s">
        <v>121</v>
      </c>
      <c r="G3375" s="9" t="s">
        <v>122</v>
      </c>
      <c r="H3375" s="11" t="s">
        <v>19</v>
      </c>
      <c r="I3375" s="12" t="n">
        <v>60</v>
      </c>
      <c r="J3375" s="13" t="n">
        <v>450</v>
      </c>
      <c r="K3375" s="14" t="n">
        <f aca="false">I3375*J3375</f>
        <v>27000</v>
      </c>
      <c r="L3375" s="14" t="n">
        <f aca="false">($L$2*M3375)/100</f>
        <v>480666.6</v>
      </c>
      <c r="M3375" s="15" t="n">
        <v>0.4</v>
      </c>
      <c r="N3375" s="9" t="s">
        <v>20</v>
      </c>
    </row>
    <row r="3376" customFormat="false" ht="14.25" hidden="false" customHeight="true" outlineLevel="0" collapsed="false">
      <c r="B3376" s="9" t="s">
        <v>16</v>
      </c>
      <c r="C3376" s="9" t="n">
        <v>1185732</v>
      </c>
      <c r="D3376" s="10" t="n">
        <v>44550</v>
      </c>
      <c r="E3376" s="9" t="s">
        <v>17</v>
      </c>
      <c r="F3376" s="9" t="s">
        <v>121</v>
      </c>
      <c r="G3376" s="9" t="s">
        <v>122</v>
      </c>
      <c r="H3376" s="11" t="s">
        <v>21</v>
      </c>
      <c r="I3376" s="12" t="n">
        <v>50</v>
      </c>
      <c r="J3376" s="13" t="n">
        <v>250</v>
      </c>
      <c r="K3376" s="14" t="n">
        <f aca="false">I3376*J3376</f>
        <v>12500</v>
      </c>
      <c r="L3376" s="14" t="n">
        <f aca="false">($L$2*M3376)/100</f>
        <v>420583.275</v>
      </c>
      <c r="M3376" s="15" t="n">
        <v>0.35</v>
      </c>
      <c r="N3376" s="9" t="s">
        <v>20</v>
      </c>
    </row>
    <row r="3377" customFormat="false" ht="14.25" hidden="false" customHeight="true" outlineLevel="0" collapsed="false">
      <c r="B3377" s="9" t="s">
        <v>16</v>
      </c>
      <c r="C3377" s="9" t="n">
        <v>1185732</v>
      </c>
      <c r="D3377" s="10" t="n">
        <v>44550</v>
      </c>
      <c r="E3377" s="9" t="s">
        <v>17</v>
      </c>
      <c r="F3377" s="9" t="s">
        <v>121</v>
      </c>
      <c r="G3377" s="9" t="s">
        <v>122</v>
      </c>
      <c r="H3377" s="11" t="s">
        <v>22</v>
      </c>
      <c r="I3377" s="12" t="n">
        <v>50</v>
      </c>
      <c r="J3377" s="13" t="n">
        <v>225</v>
      </c>
      <c r="K3377" s="14" t="n">
        <f aca="false">I3377*J3377</f>
        <v>11250</v>
      </c>
      <c r="L3377" s="14" t="n">
        <f aca="false">($L$2*M3377)/100</f>
        <v>420583.275</v>
      </c>
      <c r="M3377" s="15" t="n">
        <v>0.35</v>
      </c>
      <c r="N3377" s="9" t="s">
        <v>20</v>
      </c>
    </row>
    <row r="3378" customFormat="false" ht="14.25" hidden="false" customHeight="true" outlineLevel="0" collapsed="false">
      <c r="B3378" s="9" t="s">
        <v>16</v>
      </c>
      <c r="C3378" s="9" t="n">
        <v>1185732</v>
      </c>
      <c r="D3378" s="10" t="n">
        <v>44550</v>
      </c>
      <c r="E3378" s="9" t="s">
        <v>17</v>
      </c>
      <c r="F3378" s="9" t="s">
        <v>121</v>
      </c>
      <c r="G3378" s="9" t="s">
        <v>122</v>
      </c>
      <c r="H3378" s="11" t="s">
        <v>23</v>
      </c>
      <c r="I3378" s="12" t="n">
        <v>50</v>
      </c>
      <c r="J3378" s="13" t="n">
        <v>175</v>
      </c>
      <c r="K3378" s="14" t="n">
        <f aca="false">I3378*J3378</f>
        <v>8750</v>
      </c>
      <c r="L3378" s="14" t="n">
        <f aca="false">($L$2*M3378)/100</f>
        <v>420583.275</v>
      </c>
      <c r="M3378" s="15" t="n">
        <v>0.35</v>
      </c>
      <c r="N3378" s="9" t="s">
        <v>20</v>
      </c>
    </row>
    <row r="3379" customFormat="false" ht="14.25" hidden="false" customHeight="true" outlineLevel="0" collapsed="false">
      <c r="B3379" s="9" t="s">
        <v>16</v>
      </c>
      <c r="C3379" s="9" t="n">
        <v>1185732</v>
      </c>
      <c r="D3379" s="10" t="n">
        <v>44550</v>
      </c>
      <c r="E3379" s="9" t="s">
        <v>17</v>
      </c>
      <c r="F3379" s="9" t="s">
        <v>121</v>
      </c>
      <c r="G3379" s="9" t="s">
        <v>122</v>
      </c>
      <c r="H3379" s="11" t="s">
        <v>24</v>
      </c>
      <c r="I3379" s="12" t="n">
        <v>60</v>
      </c>
      <c r="J3379" s="13" t="n">
        <v>175</v>
      </c>
      <c r="K3379" s="14" t="n">
        <f aca="false">I3379*J3379</f>
        <v>10500</v>
      </c>
      <c r="L3379" s="14" t="n">
        <f aca="false">($L$2*M3379)/100</f>
        <v>360499.95</v>
      </c>
      <c r="M3379" s="15" t="n">
        <v>0.3</v>
      </c>
      <c r="N3379" s="9" t="s">
        <v>20</v>
      </c>
    </row>
    <row r="3380" customFormat="false" ht="14.25" hidden="false" customHeight="true" outlineLevel="0" collapsed="false">
      <c r="B3380" s="9" t="s">
        <v>16</v>
      </c>
      <c r="C3380" s="9" t="n">
        <v>1185732</v>
      </c>
      <c r="D3380" s="10" t="n">
        <v>44550</v>
      </c>
      <c r="E3380" s="9" t="s">
        <v>17</v>
      </c>
      <c r="F3380" s="9" t="s">
        <v>121</v>
      </c>
      <c r="G3380" s="9" t="s">
        <v>122</v>
      </c>
      <c r="H3380" s="11" t="s">
        <v>25</v>
      </c>
      <c r="I3380" s="12" t="n">
        <v>65</v>
      </c>
      <c r="J3380" s="13" t="n">
        <v>275</v>
      </c>
      <c r="K3380" s="14" t="n">
        <f aca="false">I3380*J3380</f>
        <v>17875</v>
      </c>
      <c r="L3380" s="14" t="n">
        <f aca="false">($L$2*M3380)/100</f>
        <v>360499.95</v>
      </c>
      <c r="M3380" s="15" t="n">
        <v>0.3</v>
      </c>
      <c r="N3380" s="9" t="s">
        <v>20</v>
      </c>
    </row>
    <row r="3381" customFormat="false" ht="14.25" hidden="false" customHeight="true" outlineLevel="0" collapsed="false">
      <c r="B3381" s="9" t="s">
        <v>16</v>
      </c>
      <c r="C3381" s="9" t="n">
        <v>1185732</v>
      </c>
      <c r="D3381" s="10" t="n">
        <v>44213</v>
      </c>
      <c r="E3381" s="9" t="s">
        <v>17</v>
      </c>
      <c r="F3381" s="9" t="s">
        <v>121</v>
      </c>
      <c r="G3381" s="9" t="s">
        <v>122</v>
      </c>
      <c r="H3381" s="11" t="s">
        <v>19</v>
      </c>
      <c r="I3381" s="12" t="n">
        <v>40</v>
      </c>
      <c r="J3381" s="13" t="n">
        <v>525</v>
      </c>
      <c r="K3381" s="14" t="n">
        <f aca="false">I3381*J3381</f>
        <v>21000</v>
      </c>
      <c r="L3381" s="14" t="n">
        <f aca="false">($L$2*M3381)/100</f>
        <v>420583.275</v>
      </c>
      <c r="M3381" s="15" t="n">
        <v>0.35</v>
      </c>
      <c r="N3381" s="9" t="s">
        <v>20</v>
      </c>
    </row>
    <row r="3382" customFormat="false" ht="14.25" hidden="false" customHeight="true" outlineLevel="0" collapsed="false">
      <c r="B3382" s="9" t="s">
        <v>16</v>
      </c>
      <c r="C3382" s="9" t="n">
        <v>1185732</v>
      </c>
      <c r="D3382" s="10" t="n">
        <v>44213</v>
      </c>
      <c r="E3382" s="9" t="s">
        <v>17</v>
      </c>
      <c r="F3382" s="9" t="s">
        <v>121</v>
      </c>
      <c r="G3382" s="9" t="s">
        <v>122</v>
      </c>
      <c r="H3382" s="11" t="s">
        <v>21</v>
      </c>
      <c r="I3382" s="12" t="n">
        <v>40</v>
      </c>
      <c r="J3382" s="13" t="n">
        <v>325</v>
      </c>
      <c r="K3382" s="14" t="n">
        <f aca="false">I3382*J3382</f>
        <v>13000</v>
      </c>
      <c r="L3382" s="14" t="n">
        <f aca="false">($L$2*M3382)/100</f>
        <v>420583.275</v>
      </c>
      <c r="M3382" s="15" t="n">
        <v>0.35</v>
      </c>
      <c r="N3382" s="9" t="s">
        <v>20</v>
      </c>
    </row>
    <row r="3383" customFormat="false" ht="14.25" hidden="false" customHeight="true" outlineLevel="0" collapsed="false">
      <c r="B3383" s="9" t="s">
        <v>16</v>
      </c>
      <c r="C3383" s="9" t="n">
        <v>1185732</v>
      </c>
      <c r="D3383" s="10" t="n">
        <v>44213</v>
      </c>
      <c r="E3383" s="9" t="s">
        <v>17</v>
      </c>
      <c r="F3383" s="9" t="s">
        <v>121</v>
      </c>
      <c r="G3383" s="9" t="s">
        <v>122</v>
      </c>
      <c r="H3383" s="11" t="s">
        <v>22</v>
      </c>
      <c r="I3383" s="12" t="n">
        <v>30</v>
      </c>
      <c r="J3383" s="13" t="n">
        <v>325</v>
      </c>
      <c r="K3383" s="14" t="n">
        <f aca="false">I3383*J3383</f>
        <v>9750</v>
      </c>
      <c r="L3383" s="14" t="n">
        <f aca="false">($L$2*M3383)/100</f>
        <v>480666.6</v>
      </c>
      <c r="M3383" s="15" t="n">
        <v>0.4</v>
      </c>
      <c r="N3383" s="9" t="s">
        <v>20</v>
      </c>
    </row>
    <row r="3384" customFormat="false" ht="14.25" hidden="false" customHeight="true" outlineLevel="0" collapsed="false">
      <c r="B3384" s="9" t="s">
        <v>16</v>
      </c>
      <c r="C3384" s="9" t="n">
        <v>1185732</v>
      </c>
      <c r="D3384" s="10" t="n">
        <v>44213</v>
      </c>
      <c r="E3384" s="9" t="s">
        <v>17</v>
      </c>
      <c r="F3384" s="9" t="s">
        <v>121</v>
      </c>
      <c r="G3384" s="9" t="s">
        <v>122</v>
      </c>
      <c r="H3384" s="11" t="s">
        <v>23</v>
      </c>
      <c r="I3384" s="12" t="n">
        <v>35</v>
      </c>
      <c r="J3384" s="13" t="n">
        <v>175</v>
      </c>
      <c r="K3384" s="14" t="n">
        <f aca="false">I3384*J3384</f>
        <v>6125</v>
      </c>
      <c r="L3384" s="14" t="n">
        <f aca="false">($L$2*M3384)/100</f>
        <v>480666.6</v>
      </c>
      <c r="M3384" s="15" t="n">
        <v>0.4</v>
      </c>
      <c r="N3384" s="9" t="s">
        <v>20</v>
      </c>
    </row>
    <row r="3385" customFormat="false" ht="14.25" hidden="false" customHeight="true" outlineLevel="0" collapsed="false">
      <c r="B3385" s="9" t="s">
        <v>16</v>
      </c>
      <c r="C3385" s="9" t="n">
        <v>1185732</v>
      </c>
      <c r="D3385" s="10" t="n">
        <v>44213</v>
      </c>
      <c r="E3385" s="9" t="s">
        <v>17</v>
      </c>
      <c r="F3385" s="9" t="s">
        <v>121</v>
      </c>
      <c r="G3385" s="9" t="s">
        <v>122</v>
      </c>
      <c r="H3385" s="11" t="s">
        <v>24</v>
      </c>
      <c r="I3385" s="12" t="n">
        <v>50</v>
      </c>
      <c r="J3385" s="13" t="n">
        <v>225</v>
      </c>
      <c r="K3385" s="14" t="n">
        <f aca="false">I3385*J3385</f>
        <v>11250</v>
      </c>
      <c r="L3385" s="14" t="n">
        <f aca="false">($L$2*M3385)/100</f>
        <v>360499.95</v>
      </c>
      <c r="M3385" s="15" t="n">
        <v>0.3</v>
      </c>
      <c r="N3385" s="9" t="s">
        <v>20</v>
      </c>
    </row>
    <row r="3386" customFormat="false" ht="14.25" hidden="false" customHeight="true" outlineLevel="0" collapsed="false">
      <c r="B3386" s="9" t="s">
        <v>16</v>
      </c>
      <c r="C3386" s="9" t="n">
        <v>1185732</v>
      </c>
      <c r="D3386" s="10" t="n">
        <v>44213</v>
      </c>
      <c r="E3386" s="9" t="s">
        <v>17</v>
      </c>
      <c r="F3386" s="9" t="s">
        <v>121</v>
      </c>
      <c r="G3386" s="9" t="s">
        <v>122</v>
      </c>
      <c r="H3386" s="11" t="s">
        <v>25</v>
      </c>
      <c r="I3386" s="12" t="n">
        <v>40</v>
      </c>
      <c r="J3386" s="13" t="n">
        <v>325</v>
      </c>
      <c r="K3386" s="14" t="n">
        <f aca="false">I3386*J3386</f>
        <v>13000</v>
      </c>
      <c r="L3386" s="14" t="n">
        <f aca="false">($L$2*M3386)/100</f>
        <v>480666.6</v>
      </c>
      <c r="M3386" s="15" t="n">
        <v>0.4</v>
      </c>
      <c r="N3386" s="9" t="s">
        <v>20</v>
      </c>
    </row>
    <row r="3387" customFormat="false" ht="14.25" hidden="false" customHeight="true" outlineLevel="0" collapsed="false">
      <c r="B3387" s="9" t="s">
        <v>16</v>
      </c>
      <c r="C3387" s="9" t="n">
        <v>1185732</v>
      </c>
      <c r="D3387" s="10" t="n">
        <v>44242</v>
      </c>
      <c r="E3387" s="9" t="s">
        <v>17</v>
      </c>
      <c r="F3387" s="9" t="s">
        <v>121</v>
      </c>
      <c r="G3387" s="9" t="s">
        <v>122</v>
      </c>
      <c r="H3387" s="11" t="s">
        <v>19</v>
      </c>
      <c r="I3387" s="12" t="n">
        <v>40</v>
      </c>
      <c r="J3387" s="13" t="n">
        <v>575</v>
      </c>
      <c r="K3387" s="14" t="n">
        <f aca="false">I3387*J3387</f>
        <v>23000</v>
      </c>
      <c r="L3387" s="14" t="n">
        <f aca="false">($L$2*M3387)/100</f>
        <v>420583.275</v>
      </c>
      <c r="M3387" s="15" t="n">
        <v>0.35</v>
      </c>
      <c r="N3387" s="9" t="s">
        <v>20</v>
      </c>
    </row>
    <row r="3388" customFormat="false" ht="14.25" hidden="false" customHeight="true" outlineLevel="0" collapsed="false">
      <c r="B3388" s="9" t="s">
        <v>16</v>
      </c>
      <c r="C3388" s="9" t="n">
        <v>1185732</v>
      </c>
      <c r="D3388" s="10" t="n">
        <v>44242</v>
      </c>
      <c r="E3388" s="9" t="s">
        <v>17</v>
      </c>
      <c r="F3388" s="9" t="s">
        <v>121</v>
      </c>
      <c r="G3388" s="9" t="s">
        <v>122</v>
      </c>
      <c r="H3388" s="11" t="s">
        <v>21</v>
      </c>
      <c r="I3388" s="12" t="n">
        <v>40</v>
      </c>
      <c r="J3388" s="13" t="n">
        <v>225</v>
      </c>
      <c r="K3388" s="14" t="n">
        <f aca="false">I3388*J3388</f>
        <v>9000</v>
      </c>
      <c r="L3388" s="14" t="n">
        <f aca="false">($L$2*M3388)/100</f>
        <v>420583.275</v>
      </c>
      <c r="M3388" s="15" t="n">
        <v>0.35</v>
      </c>
      <c r="N3388" s="9" t="s">
        <v>20</v>
      </c>
    </row>
    <row r="3389" customFormat="false" ht="14.25" hidden="false" customHeight="true" outlineLevel="0" collapsed="false">
      <c r="B3389" s="9" t="s">
        <v>16</v>
      </c>
      <c r="C3389" s="9" t="n">
        <v>1185732</v>
      </c>
      <c r="D3389" s="10" t="n">
        <v>44242</v>
      </c>
      <c r="E3389" s="9" t="s">
        <v>17</v>
      </c>
      <c r="F3389" s="9" t="s">
        <v>121</v>
      </c>
      <c r="G3389" s="9" t="s">
        <v>122</v>
      </c>
      <c r="H3389" s="11" t="s">
        <v>22</v>
      </c>
      <c r="I3389" s="12" t="n">
        <v>30</v>
      </c>
      <c r="J3389" s="13" t="n">
        <v>275</v>
      </c>
      <c r="K3389" s="14" t="n">
        <f aca="false">I3389*J3389</f>
        <v>8250</v>
      </c>
      <c r="L3389" s="14" t="n">
        <f aca="false">($L$2*M3389)/100</f>
        <v>480666.6</v>
      </c>
      <c r="M3389" s="15" t="n">
        <v>0.4</v>
      </c>
      <c r="N3389" s="9" t="s">
        <v>20</v>
      </c>
    </row>
    <row r="3390" customFormat="false" ht="14.25" hidden="false" customHeight="true" outlineLevel="0" collapsed="false">
      <c r="B3390" s="9" t="s">
        <v>16</v>
      </c>
      <c r="C3390" s="9" t="n">
        <v>1185732</v>
      </c>
      <c r="D3390" s="10" t="n">
        <v>44242</v>
      </c>
      <c r="E3390" s="9" t="s">
        <v>17</v>
      </c>
      <c r="F3390" s="9" t="s">
        <v>123</v>
      </c>
      <c r="G3390" s="9" t="s">
        <v>124</v>
      </c>
      <c r="H3390" s="11" t="s">
        <v>23</v>
      </c>
      <c r="I3390" s="12" t="n">
        <v>35</v>
      </c>
      <c r="J3390" s="13" t="n">
        <v>150</v>
      </c>
      <c r="K3390" s="14" t="n">
        <f aca="false">I3390*J3390</f>
        <v>5250</v>
      </c>
      <c r="L3390" s="14" t="n">
        <f aca="false">($L$2*M3390)/100</f>
        <v>480666.6</v>
      </c>
      <c r="M3390" s="15" t="n">
        <v>0.4</v>
      </c>
      <c r="N3390" s="9" t="s">
        <v>20</v>
      </c>
    </row>
    <row r="3391" customFormat="false" ht="14.25" hidden="false" customHeight="true" outlineLevel="0" collapsed="false">
      <c r="B3391" s="9" t="s">
        <v>16</v>
      </c>
      <c r="C3391" s="9" t="n">
        <v>1185732</v>
      </c>
      <c r="D3391" s="10" t="n">
        <v>44242</v>
      </c>
      <c r="E3391" s="9" t="s">
        <v>17</v>
      </c>
      <c r="F3391" s="9" t="s">
        <v>123</v>
      </c>
      <c r="G3391" s="9" t="s">
        <v>124</v>
      </c>
      <c r="H3391" s="11" t="s">
        <v>24</v>
      </c>
      <c r="I3391" s="12" t="n">
        <v>50</v>
      </c>
      <c r="J3391" s="13" t="n">
        <v>225</v>
      </c>
      <c r="K3391" s="14" t="n">
        <f aca="false">I3391*J3391</f>
        <v>11250</v>
      </c>
      <c r="L3391" s="14" t="n">
        <f aca="false">($L$2*M3391)/100</f>
        <v>360499.95</v>
      </c>
      <c r="M3391" s="15" t="n">
        <v>0.3</v>
      </c>
      <c r="N3391" s="9" t="s">
        <v>20</v>
      </c>
    </row>
    <row r="3392" customFormat="false" ht="14.25" hidden="false" customHeight="true" outlineLevel="0" collapsed="false">
      <c r="B3392" s="9" t="s">
        <v>16</v>
      </c>
      <c r="C3392" s="9" t="n">
        <v>1185732</v>
      </c>
      <c r="D3392" s="10" t="n">
        <v>44242</v>
      </c>
      <c r="E3392" s="9" t="s">
        <v>17</v>
      </c>
      <c r="F3392" s="9" t="s">
        <v>123</v>
      </c>
      <c r="G3392" s="9" t="s">
        <v>124</v>
      </c>
      <c r="H3392" s="11" t="s">
        <v>25</v>
      </c>
      <c r="I3392" s="12" t="n">
        <v>40</v>
      </c>
      <c r="J3392" s="13" t="n">
        <v>325</v>
      </c>
      <c r="K3392" s="14" t="n">
        <f aca="false">I3392*J3392</f>
        <v>13000</v>
      </c>
      <c r="L3392" s="14" t="n">
        <f aca="false">($L$2*M3392)/100</f>
        <v>480666.6</v>
      </c>
      <c r="M3392" s="15" t="n">
        <v>0.4</v>
      </c>
      <c r="N3392" s="9" t="s">
        <v>20</v>
      </c>
    </row>
    <row r="3393" customFormat="false" ht="14.25" hidden="false" customHeight="true" outlineLevel="0" collapsed="false">
      <c r="B3393" s="9" t="s">
        <v>16</v>
      </c>
      <c r="C3393" s="9" t="n">
        <v>1185732</v>
      </c>
      <c r="D3393" s="10" t="n">
        <v>44268</v>
      </c>
      <c r="E3393" s="9" t="s">
        <v>17</v>
      </c>
      <c r="F3393" s="9" t="s">
        <v>123</v>
      </c>
      <c r="G3393" s="9" t="s">
        <v>124</v>
      </c>
      <c r="H3393" s="11" t="s">
        <v>19</v>
      </c>
      <c r="I3393" s="12" t="n">
        <v>40</v>
      </c>
      <c r="J3393" s="13" t="n">
        <v>545</v>
      </c>
      <c r="K3393" s="14" t="n">
        <f aca="false">I3393*J3393</f>
        <v>21800</v>
      </c>
      <c r="L3393" s="14" t="n">
        <f aca="false">($L$2*M3393)/100</f>
        <v>420583.275</v>
      </c>
      <c r="M3393" s="15" t="n">
        <v>0.35</v>
      </c>
      <c r="N3393" s="9" t="s">
        <v>20</v>
      </c>
    </row>
    <row r="3394" customFormat="false" ht="14.25" hidden="false" customHeight="true" outlineLevel="0" collapsed="false">
      <c r="B3394" s="9" t="s">
        <v>16</v>
      </c>
      <c r="C3394" s="9" t="n">
        <v>1185732</v>
      </c>
      <c r="D3394" s="10" t="n">
        <v>44268</v>
      </c>
      <c r="E3394" s="9" t="s">
        <v>17</v>
      </c>
      <c r="F3394" s="9" t="s">
        <v>123</v>
      </c>
      <c r="G3394" s="9" t="s">
        <v>124</v>
      </c>
      <c r="H3394" s="11" t="s">
        <v>21</v>
      </c>
      <c r="I3394" s="12" t="n">
        <v>40</v>
      </c>
      <c r="J3394" s="13" t="n">
        <v>250</v>
      </c>
      <c r="K3394" s="14" t="n">
        <f aca="false">I3394*J3394</f>
        <v>10000</v>
      </c>
      <c r="L3394" s="14" t="n">
        <f aca="false">($L$2*M3394)/100</f>
        <v>420583.275</v>
      </c>
      <c r="M3394" s="15" t="n">
        <v>0.35</v>
      </c>
      <c r="N3394" s="9" t="s">
        <v>20</v>
      </c>
    </row>
    <row r="3395" customFormat="false" ht="14.25" hidden="false" customHeight="true" outlineLevel="0" collapsed="false">
      <c r="B3395" s="9" t="s">
        <v>16</v>
      </c>
      <c r="C3395" s="9" t="n">
        <v>1185732</v>
      </c>
      <c r="D3395" s="10" t="n">
        <v>44268</v>
      </c>
      <c r="E3395" s="9" t="s">
        <v>17</v>
      </c>
      <c r="F3395" s="9" t="s">
        <v>123</v>
      </c>
      <c r="G3395" s="9" t="s">
        <v>124</v>
      </c>
      <c r="H3395" s="11" t="s">
        <v>22</v>
      </c>
      <c r="I3395" s="12" t="n">
        <v>30</v>
      </c>
      <c r="J3395" s="13" t="n">
        <v>275</v>
      </c>
      <c r="K3395" s="14" t="n">
        <f aca="false">I3395*J3395</f>
        <v>8250</v>
      </c>
      <c r="L3395" s="14" t="n">
        <f aca="false">($L$2*M3395)/100</f>
        <v>480666.6</v>
      </c>
      <c r="M3395" s="15" t="n">
        <v>0.4</v>
      </c>
      <c r="N3395" s="9" t="s">
        <v>20</v>
      </c>
    </row>
    <row r="3396" customFormat="false" ht="14.25" hidden="false" customHeight="true" outlineLevel="0" collapsed="false">
      <c r="B3396" s="9" t="s">
        <v>16</v>
      </c>
      <c r="C3396" s="9" t="n">
        <v>1185732</v>
      </c>
      <c r="D3396" s="10" t="n">
        <v>44268</v>
      </c>
      <c r="E3396" s="9" t="s">
        <v>17</v>
      </c>
      <c r="F3396" s="9" t="s">
        <v>123</v>
      </c>
      <c r="G3396" s="9" t="s">
        <v>124</v>
      </c>
      <c r="H3396" s="11" t="s">
        <v>23</v>
      </c>
      <c r="I3396" s="12" t="n">
        <v>35</v>
      </c>
      <c r="J3396" s="13" t="n">
        <v>125</v>
      </c>
      <c r="K3396" s="14" t="n">
        <f aca="false">I3396*J3396</f>
        <v>4375</v>
      </c>
      <c r="L3396" s="14" t="n">
        <f aca="false">($L$2*M3396)/100</f>
        <v>480666.6</v>
      </c>
      <c r="M3396" s="15" t="n">
        <v>0.4</v>
      </c>
      <c r="N3396" s="9" t="s">
        <v>20</v>
      </c>
    </row>
    <row r="3397" customFormat="false" ht="14.25" hidden="false" customHeight="true" outlineLevel="0" collapsed="false">
      <c r="B3397" s="9" t="s">
        <v>16</v>
      </c>
      <c r="C3397" s="9" t="n">
        <v>1185732</v>
      </c>
      <c r="D3397" s="10" t="n">
        <v>44268</v>
      </c>
      <c r="E3397" s="9" t="s">
        <v>17</v>
      </c>
      <c r="F3397" s="9" t="s">
        <v>123</v>
      </c>
      <c r="G3397" s="9" t="s">
        <v>124</v>
      </c>
      <c r="H3397" s="11" t="s">
        <v>24</v>
      </c>
      <c r="I3397" s="12" t="n">
        <v>50</v>
      </c>
      <c r="J3397" s="13" t="n">
        <v>175</v>
      </c>
      <c r="K3397" s="14" t="n">
        <f aca="false">I3397*J3397</f>
        <v>8750</v>
      </c>
      <c r="L3397" s="14" t="n">
        <f aca="false">($L$2*M3397)/100</f>
        <v>360499.95</v>
      </c>
      <c r="M3397" s="15" t="n">
        <v>0.3</v>
      </c>
      <c r="N3397" s="9" t="s">
        <v>20</v>
      </c>
    </row>
    <row r="3398" customFormat="false" ht="14.25" hidden="false" customHeight="true" outlineLevel="0" collapsed="false">
      <c r="B3398" s="9" t="s">
        <v>16</v>
      </c>
      <c r="C3398" s="9" t="n">
        <v>1185732</v>
      </c>
      <c r="D3398" s="10" t="n">
        <v>44268</v>
      </c>
      <c r="E3398" s="9" t="s">
        <v>17</v>
      </c>
      <c r="F3398" s="9" t="s">
        <v>123</v>
      </c>
      <c r="G3398" s="9" t="s">
        <v>124</v>
      </c>
      <c r="H3398" s="11" t="s">
        <v>25</v>
      </c>
      <c r="I3398" s="12" t="n">
        <v>40</v>
      </c>
      <c r="J3398" s="13" t="n">
        <v>275</v>
      </c>
      <c r="K3398" s="14" t="n">
        <f aca="false">I3398*J3398</f>
        <v>11000</v>
      </c>
      <c r="L3398" s="14" t="n">
        <f aca="false">($L$2*M3398)/100</f>
        <v>480666.6</v>
      </c>
      <c r="M3398" s="15" t="n">
        <v>0.4</v>
      </c>
      <c r="N3398" s="9" t="s">
        <v>20</v>
      </c>
    </row>
    <row r="3399" customFormat="false" ht="14.25" hidden="false" customHeight="true" outlineLevel="0" collapsed="false">
      <c r="B3399" s="9" t="s">
        <v>16</v>
      </c>
      <c r="C3399" s="9" t="n">
        <v>1185732</v>
      </c>
      <c r="D3399" s="10" t="n">
        <v>44300</v>
      </c>
      <c r="E3399" s="9" t="s">
        <v>17</v>
      </c>
      <c r="F3399" s="9" t="s">
        <v>123</v>
      </c>
      <c r="G3399" s="9" t="s">
        <v>124</v>
      </c>
      <c r="H3399" s="11" t="s">
        <v>19</v>
      </c>
      <c r="I3399" s="12" t="n">
        <v>40</v>
      </c>
      <c r="J3399" s="13" t="n">
        <v>525</v>
      </c>
      <c r="K3399" s="14" t="n">
        <f aca="false">I3399*J3399</f>
        <v>21000</v>
      </c>
      <c r="L3399" s="14" t="n">
        <f aca="false">($L$2*M3399)/100</f>
        <v>420583.275</v>
      </c>
      <c r="M3399" s="15" t="n">
        <v>0.35</v>
      </c>
      <c r="N3399" s="9" t="s">
        <v>20</v>
      </c>
    </row>
    <row r="3400" customFormat="false" ht="14.25" hidden="false" customHeight="true" outlineLevel="0" collapsed="false">
      <c r="B3400" s="9" t="s">
        <v>16</v>
      </c>
      <c r="C3400" s="9" t="n">
        <v>1185732</v>
      </c>
      <c r="D3400" s="10" t="n">
        <v>44300</v>
      </c>
      <c r="E3400" s="9" t="s">
        <v>17</v>
      </c>
      <c r="F3400" s="9" t="s">
        <v>123</v>
      </c>
      <c r="G3400" s="9" t="s">
        <v>124</v>
      </c>
      <c r="H3400" s="11" t="s">
        <v>21</v>
      </c>
      <c r="I3400" s="12" t="n">
        <v>40</v>
      </c>
      <c r="J3400" s="13" t="n">
        <v>225</v>
      </c>
      <c r="K3400" s="14" t="n">
        <f aca="false">I3400*J3400</f>
        <v>9000</v>
      </c>
      <c r="L3400" s="14" t="n">
        <f aca="false">($L$2*M3400)/100</f>
        <v>420583.275</v>
      </c>
      <c r="M3400" s="15" t="n">
        <v>0.35</v>
      </c>
      <c r="N3400" s="9" t="s">
        <v>20</v>
      </c>
    </row>
    <row r="3401" customFormat="false" ht="14.25" hidden="false" customHeight="true" outlineLevel="0" collapsed="false">
      <c r="B3401" s="9" t="s">
        <v>16</v>
      </c>
      <c r="C3401" s="9" t="n">
        <v>1185732</v>
      </c>
      <c r="D3401" s="10" t="n">
        <v>44300</v>
      </c>
      <c r="E3401" s="9" t="s">
        <v>17</v>
      </c>
      <c r="F3401" s="9" t="s">
        <v>123</v>
      </c>
      <c r="G3401" s="9" t="s">
        <v>124</v>
      </c>
      <c r="H3401" s="11" t="s">
        <v>22</v>
      </c>
      <c r="I3401" s="12" t="n">
        <v>30</v>
      </c>
      <c r="J3401" s="13" t="n">
        <v>225</v>
      </c>
      <c r="K3401" s="14" t="n">
        <f aca="false">I3401*J3401</f>
        <v>6750</v>
      </c>
      <c r="L3401" s="14" t="n">
        <f aca="false">($L$2*M3401)/100</f>
        <v>480666.6</v>
      </c>
      <c r="M3401" s="15" t="n">
        <v>0.4</v>
      </c>
      <c r="N3401" s="9" t="s">
        <v>20</v>
      </c>
    </row>
    <row r="3402" customFormat="false" ht="14.25" hidden="false" customHeight="true" outlineLevel="0" collapsed="false">
      <c r="B3402" s="9" t="s">
        <v>16</v>
      </c>
      <c r="C3402" s="9" t="n">
        <v>1185732</v>
      </c>
      <c r="D3402" s="10" t="n">
        <v>44300</v>
      </c>
      <c r="E3402" s="9" t="s">
        <v>17</v>
      </c>
      <c r="F3402" s="9" t="s">
        <v>123</v>
      </c>
      <c r="G3402" s="9" t="s">
        <v>124</v>
      </c>
      <c r="H3402" s="11" t="s">
        <v>23</v>
      </c>
      <c r="I3402" s="12" t="n">
        <v>35</v>
      </c>
      <c r="J3402" s="13" t="n">
        <v>150</v>
      </c>
      <c r="K3402" s="14" t="n">
        <f aca="false">I3402*J3402</f>
        <v>5250</v>
      </c>
      <c r="L3402" s="14" t="n">
        <f aca="false">($L$2*M3402)/100</f>
        <v>480666.6</v>
      </c>
      <c r="M3402" s="15" t="n">
        <v>0.4</v>
      </c>
      <c r="N3402" s="9" t="s">
        <v>20</v>
      </c>
    </row>
    <row r="3403" customFormat="false" ht="14.25" hidden="false" customHeight="true" outlineLevel="0" collapsed="false">
      <c r="B3403" s="9" t="s">
        <v>16</v>
      </c>
      <c r="C3403" s="9" t="n">
        <v>1185732</v>
      </c>
      <c r="D3403" s="10" t="n">
        <v>44300</v>
      </c>
      <c r="E3403" s="9" t="s">
        <v>17</v>
      </c>
      <c r="F3403" s="9" t="s">
        <v>123</v>
      </c>
      <c r="G3403" s="9" t="s">
        <v>124</v>
      </c>
      <c r="H3403" s="11" t="s">
        <v>24</v>
      </c>
      <c r="I3403" s="12" t="n">
        <v>50</v>
      </c>
      <c r="J3403" s="13" t="n">
        <v>150</v>
      </c>
      <c r="K3403" s="14" t="n">
        <f aca="false">I3403*J3403</f>
        <v>7500</v>
      </c>
      <c r="L3403" s="14" t="n">
        <f aca="false">($L$2*M3403)/100</f>
        <v>360499.95</v>
      </c>
      <c r="M3403" s="15" t="n">
        <v>0.3</v>
      </c>
      <c r="N3403" s="9" t="s">
        <v>20</v>
      </c>
    </row>
    <row r="3404" customFormat="false" ht="14.25" hidden="false" customHeight="true" outlineLevel="0" collapsed="false">
      <c r="B3404" s="9" t="s">
        <v>16</v>
      </c>
      <c r="C3404" s="9" t="n">
        <v>1185732</v>
      </c>
      <c r="D3404" s="10" t="n">
        <v>44300</v>
      </c>
      <c r="E3404" s="9" t="s">
        <v>17</v>
      </c>
      <c r="F3404" s="9" t="s">
        <v>123</v>
      </c>
      <c r="G3404" s="9" t="s">
        <v>124</v>
      </c>
      <c r="H3404" s="11" t="s">
        <v>25</v>
      </c>
      <c r="I3404" s="12" t="n">
        <v>40</v>
      </c>
      <c r="J3404" s="13" t="n">
        <v>300</v>
      </c>
      <c r="K3404" s="14" t="n">
        <f aca="false">I3404*J3404</f>
        <v>12000</v>
      </c>
      <c r="L3404" s="14" t="n">
        <f aca="false">($L$2*M3404)/100</f>
        <v>480666.6</v>
      </c>
      <c r="M3404" s="15" t="n">
        <v>0.4</v>
      </c>
      <c r="N3404" s="9" t="s">
        <v>20</v>
      </c>
    </row>
    <row r="3405" customFormat="false" ht="14.25" hidden="false" customHeight="true" outlineLevel="0" collapsed="false">
      <c r="B3405" s="9" t="s">
        <v>16</v>
      </c>
      <c r="C3405" s="9" t="n">
        <v>1185732</v>
      </c>
      <c r="D3405" s="10" t="n">
        <v>44329</v>
      </c>
      <c r="E3405" s="9" t="s">
        <v>17</v>
      </c>
      <c r="F3405" s="9" t="s">
        <v>123</v>
      </c>
      <c r="G3405" s="9" t="s">
        <v>124</v>
      </c>
      <c r="H3405" s="11" t="s">
        <v>19</v>
      </c>
      <c r="I3405" s="12" t="n">
        <v>55</v>
      </c>
      <c r="J3405" s="13" t="n">
        <v>570</v>
      </c>
      <c r="K3405" s="14" t="n">
        <f aca="false">I3405*J3405</f>
        <v>31350</v>
      </c>
      <c r="L3405" s="14" t="n">
        <f aca="false">($L$2*M3405)/100</f>
        <v>420583.275</v>
      </c>
      <c r="M3405" s="15" t="n">
        <v>0.35</v>
      </c>
      <c r="N3405" s="9" t="s">
        <v>20</v>
      </c>
    </row>
    <row r="3406" customFormat="false" ht="14.25" hidden="false" customHeight="true" outlineLevel="0" collapsed="false">
      <c r="B3406" s="9" t="s">
        <v>16</v>
      </c>
      <c r="C3406" s="9" t="n">
        <v>1185732</v>
      </c>
      <c r="D3406" s="10" t="n">
        <v>44329</v>
      </c>
      <c r="E3406" s="9" t="s">
        <v>17</v>
      </c>
      <c r="F3406" s="9" t="s">
        <v>123</v>
      </c>
      <c r="G3406" s="9" t="s">
        <v>124</v>
      </c>
      <c r="H3406" s="11" t="s">
        <v>21</v>
      </c>
      <c r="I3406" s="12" t="n">
        <v>50</v>
      </c>
      <c r="J3406" s="13" t="n">
        <v>275</v>
      </c>
      <c r="K3406" s="14" t="n">
        <f aca="false">I3406*J3406</f>
        <v>13750</v>
      </c>
      <c r="L3406" s="14" t="n">
        <f aca="false">($L$2*M3406)/100</f>
        <v>420583.275</v>
      </c>
      <c r="M3406" s="15" t="n">
        <v>0.35</v>
      </c>
      <c r="N3406" s="9" t="s">
        <v>20</v>
      </c>
    </row>
    <row r="3407" customFormat="false" ht="14.25" hidden="false" customHeight="true" outlineLevel="0" collapsed="false">
      <c r="B3407" s="9" t="s">
        <v>16</v>
      </c>
      <c r="C3407" s="9" t="n">
        <v>1185732</v>
      </c>
      <c r="D3407" s="10" t="n">
        <v>44329</v>
      </c>
      <c r="E3407" s="9" t="s">
        <v>17</v>
      </c>
      <c r="F3407" s="9" t="s">
        <v>123</v>
      </c>
      <c r="G3407" s="9" t="s">
        <v>124</v>
      </c>
      <c r="H3407" s="11" t="s">
        <v>22</v>
      </c>
      <c r="I3407" s="12" t="n">
        <v>45</v>
      </c>
      <c r="J3407" s="13" t="n">
        <v>300</v>
      </c>
      <c r="K3407" s="14" t="n">
        <f aca="false">I3407*J3407</f>
        <v>13500</v>
      </c>
      <c r="L3407" s="14" t="n">
        <f aca="false">($L$2*M3407)/100</f>
        <v>480666.6</v>
      </c>
      <c r="M3407" s="15" t="n">
        <v>0.4</v>
      </c>
      <c r="N3407" s="9" t="s">
        <v>20</v>
      </c>
    </row>
    <row r="3408" customFormat="false" ht="14.25" hidden="false" customHeight="true" outlineLevel="0" collapsed="false">
      <c r="B3408" s="9" t="s">
        <v>16</v>
      </c>
      <c r="C3408" s="9" t="n">
        <v>1185732</v>
      </c>
      <c r="D3408" s="10" t="n">
        <v>44329</v>
      </c>
      <c r="E3408" s="9" t="s">
        <v>17</v>
      </c>
      <c r="F3408" s="9" t="s">
        <v>123</v>
      </c>
      <c r="G3408" s="9" t="s">
        <v>124</v>
      </c>
      <c r="H3408" s="11" t="s">
        <v>23</v>
      </c>
      <c r="I3408" s="12" t="n">
        <v>45</v>
      </c>
      <c r="J3408" s="13" t="n">
        <v>250</v>
      </c>
      <c r="K3408" s="14" t="n">
        <f aca="false">I3408*J3408</f>
        <v>11250</v>
      </c>
      <c r="L3408" s="14" t="n">
        <f aca="false">($L$2*M3408)/100</f>
        <v>480666.6</v>
      </c>
      <c r="M3408" s="15" t="n">
        <v>0.4</v>
      </c>
      <c r="N3408" s="9" t="s">
        <v>20</v>
      </c>
    </row>
    <row r="3409" customFormat="false" ht="14.25" hidden="false" customHeight="true" outlineLevel="0" collapsed="false">
      <c r="B3409" s="9" t="s">
        <v>16</v>
      </c>
      <c r="C3409" s="9" t="n">
        <v>1185732</v>
      </c>
      <c r="D3409" s="10" t="n">
        <v>44329</v>
      </c>
      <c r="E3409" s="9" t="s">
        <v>17</v>
      </c>
      <c r="F3409" s="9" t="s">
        <v>123</v>
      </c>
      <c r="G3409" s="9" t="s">
        <v>124</v>
      </c>
      <c r="H3409" s="11" t="s">
        <v>24</v>
      </c>
      <c r="I3409" s="12" t="n">
        <v>55</v>
      </c>
      <c r="J3409" s="13" t="n">
        <v>275</v>
      </c>
      <c r="K3409" s="14" t="n">
        <f aca="false">I3409*J3409</f>
        <v>15125</v>
      </c>
      <c r="L3409" s="14" t="n">
        <f aca="false">($L$2*M3409)/100</f>
        <v>360499.95</v>
      </c>
      <c r="M3409" s="15" t="n">
        <v>0.3</v>
      </c>
      <c r="N3409" s="9" t="s">
        <v>20</v>
      </c>
    </row>
    <row r="3410" customFormat="false" ht="14.25" hidden="false" customHeight="true" outlineLevel="0" collapsed="false">
      <c r="B3410" s="9" t="s">
        <v>16</v>
      </c>
      <c r="C3410" s="9" t="n">
        <v>1185732</v>
      </c>
      <c r="D3410" s="10" t="n">
        <v>44329</v>
      </c>
      <c r="E3410" s="9" t="s">
        <v>17</v>
      </c>
      <c r="F3410" s="9" t="s">
        <v>123</v>
      </c>
      <c r="G3410" s="9" t="s">
        <v>124</v>
      </c>
      <c r="H3410" s="11" t="s">
        <v>25</v>
      </c>
      <c r="I3410" s="12" t="n">
        <v>60</v>
      </c>
      <c r="J3410" s="13" t="n">
        <v>400</v>
      </c>
      <c r="K3410" s="14" t="n">
        <f aca="false">I3410*J3410</f>
        <v>24000</v>
      </c>
      <c r="L3410" s="14" t="n">
        <f aca="false">($L$2*M3410)/100</f>
        <v>480666.6</v>
      </c>
      <c r="M3410" s="15" t="n">
        <v>0.4</v>
      </c>
      <c r="N3410" s="9" t="s">
        <v>20</v>
      </c>
    </row>
    <row r="3411" customFormat="false" ht="14.25" hidden="false" customHeight="true" outlineLevel="0" collapsed="false">
      <c r="B3411" s="9" t="s">
        <v>16</v>
      </c>
      <c r="C3411" s="9" t="n">
        <v>1185732</v>
      </c>
      <c r="D3411" s="10" t="n">
        <v>44362</v>
      </c>
      <c r="E3411" s="9" t="s">
        <v>17</v>
      </c>
      <c r="F3411" s="9" t="s">
        <v>123</v>
      </c>
      <c r="G3411" s="9" t="s">
        <v>124</v>
      </c>
      <c r="H3411" s="11" t="s">
        <v>19</v>
      </c>
      <c r="I3411" s="12" t="n">
        <v>55</v>
      </c>
      <c r="J3411" s="13" t="n">
        <v>650</v>
      </c>
      <c r="K3411" s="14" t="n">
        <f aca="false">I3411*J3411</f>
        <v>35750</v>
      </c>
      <c r="L3411" s="14" t="n">
        <f aca="false">($L$2*M3411)/100</f>
        <v>420583.275</v>
      </c>
      <c r="M3411" s="15" t="n">
        <v>0.35</v>
      </c>
      <c r="N3411" s="9" t="s">
        <v>20</v>
      </c>
    </row>
    <row r="3412" customFormat="false" ht="14.25" hidden="false" customHeight="true" outlineLevel="0" collapsed="false">
      <c r="B3412" s="9" t="s">
        <v>16</v>
      </c>
      <c r="C3412" s="9" t="n">
        <v>1185732</v>
      </c>
      <c r="D3412" s="10" t="n">
        <v>44362</v>
      </c>
      <c r="E3412" s="9" t="s">
        <v>17</v>
      </c>
      <c r="F3412" s="9" t="s">
        <v>123</v>
      </c>
      <c r="G3412" s="9" t="s">
        <v>124</v>
      </c>
      <c r="H3412" s="11" t="s">
        <v>21</v>
      </c>
      <c r="I3412" s="12" t="n">
        <v>50</v>
      </c>
      <c r="J3412" s="13" t="n">
        <v>400</v>
      </c>
      <c r="K3412" s="14" t="n">
        <f aca="false">I3412*J3412</f>
        <v>20000</v>
      </c>
      <c r="L3412" s="14" t="n">
        <f aca="false">($L$2*M3412)/100</f>
        <v>420583.275</v>
      </c>
      <c r="M3412" s="15" t="n">
        <v>0.35</v>
      </c>
      <c r="N3412" s="9" t="s">
        <v>20</v>
      </c>
    </row>
    <row r="3413" customFormat="false" ht="14.25" hidden="false" customHeight="true" outlineLevel="0" collapsed="false">
      <c r="B3413" s="9" t="s">
        <v>16</v>
      </c>
      <c r="C3413" s="9" t="n">
        <v>1185732</v>
      </c>
      <c r="D3413" s="10" t="n">
        <v>44362</v>
      </c>
      <c r="E3413" s="9" t="s">
        <v>17</v>
      </c>
      <c r="F3413" s="9" t="s">
        <v>123</v>
      </c>
      <c r="G3413" s="9" t="s">
        <v>124</v>
      </c>
      <c r="H3413" s="11" t="s">
        <v>22</v>
      </c>
      <c r="I3413" s="12" t="n">
        <v>45</v>
      </c>
      <c r="J3413" s="13" t="n">
        <v>325</v>
      </c>
      <c r="K3413" s="14" t="n">
        <f aca="false">I3413*J3413</f>
        <v>14625</v>
      </c>
      <c r="L3413" s="14" t="n">
        <f aca="false">($L$2*M3413)/100</f>
        <v>480666.6</v>
      </c>
      <c r="M3413" s="15" t="n">
        <v>0.4</v>
      </c>
      <c r="N3413" s="9" t="s">
        <v>20</v>
      </c>
    </row>
    <row r="3414" customFormat="false" ht="14.25" hidden="false" customHeight="true" outlineLevel="0" collapsed="false">
      <c r="B3414" s="9" t="s">
        <v>16</v>
      </c>
      <c r="C3414" s="9" t="n">
        <v>1185732</v>
      </c>
      <c r="D3414" s="10" t="n">
        <v>44362</v>
      </c>
      <c r="E3414" s="9" t="s">
        <v>17</v>
      </c>
      <c r="F3414" s="9" t="s">
        <v>123</v>
      </c>
      <c r="G3414" s="9" t="s">
        <v>124</v>
      </c>
      <c r="H3414" s="11" t="s">
        <v>23</v>
      </c>
      <c r="I3414" s="12" t="n">
        <v>45</v>
      </c>
      <c r="J3414" s="13" t="n">
        <v>300</v>
      </c>
      <c r="K3414" s="14" t="n">
        <f aca="false">I3414*J3414</f>
        <v>13500</v>
      </c>
      <c r="L3414" s="14" t="n">
        <f aca="false">($L$2*M3414)/100</f>
        <v>480666.6</v>
      </c>
      <c r="M3414" s="15" t="n">
        <v>0.4</v>
      </c>
      <c r="N3414" s="9" t="s">
        <v>20</v>
      </c>
    </row>
    <row r="3415" customFormat="false" ht="14.25" hidden="false" customHeight="true" outlineLevel="0" collapsed="false">
      <c r="B3415" s="9" t="s">
        <v>16</v>
      </c>
      <c r="C3415" s="9" t="n">
        <v>1185732</v>
      </c>
      <c r="D3415" s="10" t="n">
        <v>44362</v>
      </c>
      <c r="E3415" s="9" t="s">
        <v>17</v>
      </c>
      <c r="F3415" s="9" t="s">
        <v>123</v>
      </c>
      <c r="G3415" s="9" t="s">
        <v>124</v>
      </c>
      <c r="H3415" s="11" t="s">
        <v>24</v>
      </c>
      <c r="I3415" s="12" t="n">
        <v>55</v>
      </c>
      <c r="J3415" s="13" t="n">
        <v>300</v>
      </c>
      <c r="K3415" s="14" t="n">
        <f aca="false">I3415*J3415</f>
        <v>16500</v>
      </c>
      <c r="L3415" s="14" t="n">
        <f aca="false">($L$2*M3415)/100</f>
        <v>360499.95</v>
      </c>
      <c r="M3415" s="15" t="n">
        <v>0.3</v>
      </c>
      <c r="N3415" s="9" t="s">
        <v>20</v>
      </c>
    </row>
    <row r="3416" customFormat="false" ht="14.25" hidden="false" customHeight="true" outlineLevel="0" collapsed="false">
      <c r="B3416" s="9" t="s">
        <v>16</v>
      </c>
      <c r="C3416" s="9" t="n">
        <v>1185732</v>
      </c>
      <c r="D3416" s="10" t="n">
        <v>44362</v>
      </c>
      <c r="E3416" s="9" t="s">
        <v>17</v>
      </c>
      <c r="F3416" s="9" t="s">
        <v>123</v>
      </c>
      <c r="G3416" s="9" t="s">
        <v>124</v>
      </c>
      <c r="H3416" s="11" t="s">
        <v>25</v>
      </c>
      <c r="I3416" s="12" t="n">
        <v>60</v>
      </c>
      <c r="J3416" s="13" t="n">
        <v>450</v>
      </c>
      <c r="K3416" s="14" t="n">
        <f aca="false">I3416*J3416</f>
        <v>27000</v>
      </c>
      <c r="L3416" s="14" t="n">
        <f aca="false">($L$2*M3416)/100</f>
        <v>480666.6</v>
      </c>
      <c r="M3416" s="15" t="n">
        <v>0.4</v>
      </c>
      <c r="N3416" s="9" t="s">
        <v>20</v>
      </c>
    </row>
    <row r="3417" customFormat="false" ht="14.25" hidden="false" customHeight="true" outlineLevel="0" collapsed="false">
      <c r="B3417" s="9" t="s">
        <v>16</v>
      </c>
      <c r="C3417" s="9" t="n">
        <v>1185732</v>
      </c>
      <c r="D3417" s="10" t="n">
        <v>44390</v>
      </c>
      <c r="E3417" s="9" t="s">
        <v>17</v>
      </c>
      <c r="F3417" s="9" t="s">
        <v>123</v>
      </c>
      <c r="G3417" s="9" t="s">
        <v>124</v>
      </c>
      <c r="H3417" s="11" t="s">
        <v>19</v>
      </c>
      <c r="I3417" s="12" t="n">
        <v>55</v>
      </c>
      <c r="J3417" s="13" t="n">
        <v>675</v>
      </c>
      <c r="K3417" s="14" t="n">
        <f aca="false">I3417*J3417</f>
        <v>37125</v>
      </c>
      <c r="L3417" s="14" t="n">
        <f aca="false">($L$2*M3417)/100</f>
        <v>420583.275</v>
      </c>
      <c r="M3417" s="15" t="n">
        <v>0.35</v>
      </c>
      <c r="N3417" s="9" t="s">
        <v>20</v>
      </c>
    </row>
    <row r="3418" customFormat="false" ht="14.25" hidden="false" customHeight="true" outlineLevel="0" collapsed="false">
      <c r="B3418" s="9" t="s">
        <v>16</v>
      </c>
      <c r="C3418" s="9" t="n">
        <v>1185732</v>
      </c>
      <c r="D3418" s="10" t="n">
        <v>44390</v>
      </c>
      <c r="E3418" s="9" t="s">
        <v>17</v>
      </c>
      <c r="F3418" s="9" t="s">
        <v>123</v>
      </c>
      <c r="G3418" s="9" t="s">
        <v>124</v>
      </c>
      <c r="H3418" s="11" t="s">
        <v>21</v>
      </c>
      <c r="I3418" s="12" t="n">
        <v>50</v>
      </c>
      <c r="J3418" s="13" t="n">
        <v>425</v>
      </c>
      <c r="K3418" s="14" t="n">
        <f aca="false">I3418*J3418</f>
        <v>21250</v>
      </c>
      <c r="L3418" s="14" t="n">
        <f aca="false">($L$2*M3418)/100</f>
        <v>420583.275</v>
      </c>
      <c r="M3418" s="15" t="n">
        <v>0.35</v>
      </c>
      <c r="N3418" s="9" t="s">
        <v>20</v>
      </c>
    </row>
    <row r="3419" customFormat="false" ht="14.25" hidden="false" customHeight="true" outlineLevel="0" collapsed="false">
      <c r="B3419" s="9" t="s">
        <v>16</v>
      </c>
      <c r="C3419" s="9" t="n">
        <v>1185732</v>
      </c>
      <c r="D3419" s="10" t="n">
        <v>44390</v>
      </c>
      <c r="E3419" s="9" t="s">
        <v>17</v>
      </c>
      <c r="F3419" s="9" t="s">
        <v>123</v>
      </c>
      <c r="G3419" s="9" t="s">
        <v>124</v>
      </c>
      <c r="H3419" s="11" t="s">
        <v>22</v>
      </c>
      <c r="I3419" s="12" t="n">
        <v>45</v>
      </c>
      <c r="J3419" s="13" t="n">
        <v>350</v>
      </c>
      <c r="K3419" s="14" t="n">
        <f aca="false">I3419*J3419</f>
        <v>15750</v>
      </c>
      <c r="L3419" s="14" t="n">
        <f aca="false">($L$2*M3419)/100</f>
        <v>480666.6</v>
      </c>
      <c r="M3419" s="15" t="n">
        <v>0.4</v>
      </c>
      <c r="N3419" s="9" t="s">
        <v>20</v>
      </c>
    </row>
    <row r="3420" customFormat="false" ht="14.25" hidden="false" customHeight="true" outlineLevel="0" collapsed="false">
      <c r="B3420" s="9" t="s">
        <v>16</v>
      </c>
      <c r="C3420" s="9" t="n">
        <v>1185732</v>
      </c>
      <c r="D3420" s="10" t="n">
        <v>44390</v>
      </c>
      <c r="E3420" s="9" t="s">
        <v>17</v>
      </c>
      <c r="F3420" s="9" t="s">
        <v>123</v>
      </c>
      <c r="G3420" s="9" t="s">
        <v>124</v>
      </c>
      <c r="H3420" s="11" t="s">
        <v>23</v>
      </c>
      <c r="I3420" s="12" t="n">
        <v>45</v>
      </c>
      <c r="J3420" s="13" t="n">
        <v>300</v>
      </c>
      <c r="K3420" s="14" t="n">
        <f aca="false">I3420*J3420</f>
        <v>13500</v>
      </c>
      <c r="L3420" s="14" t="n">
        <f aca="false">($L$2*M3420)/100</f>
        <v>480666.6</v>
      </c>
      <c r="M3420" s="15" t="n">
        <v>0.4</v>
      </c>
      <c r="N3420" s="9" t="s">
        <v>20</v>
      </c>
    </row>
    <row r="3421" customFormat="false" ht="14.25" hidden="false" customHeight="true" outlineLevel="0" collapsed="false">
      <c r="B3421" s="9" t="s">
        <v>16</v>
      </c>
      <c r="C3421" s="9" t="n">
        <v>1185732</v>
      </c>
      <c r="D3421" s="10" t="n">
        <v>44390</v>
      </c>
      <c r="E3421" s="9" t="s">
        <v>17</v>
      </c>
      <c r="F3421" s="9" t="s">
        <v>123</v>
      </c>
      <c r="G3421" s="9" t="s">
        <v>124</v>
      </c>
      <c r="H3421" s="11" t="s">
        <v>24</v>
      </c>
      <c r="I3421" s="12" t="n">
        <v>55</v>
      </c>
      <c r="J3421" s="13" t="n">
        <v>325</v>
      </c>
      <c r="K3421" s="14" t="n">
        <f aca="false">I3421*J3421</f>
        <v>17875</v>
      </c>
      <c r="L3421" s="14" t="n">
        <f aca="false">($L$2*M3421)/100</f>
        <v>360499.95</v>
      </c>
      <c r="M3421" s="15" t="n">
        <v>0.3</v>
      </c>
      <c r="N3421" s="9" t="s">
        <v>20</v>
      </c>
    </row>
    <row r="3422" customFormat="false" ht="14.25" hidden="false" customHeight="true" outlineLevel="0" collapsed="false">
      <c r="B3422" s="9" t="s">
        <v>16</v>
      </c>
      <c r="C3422" s="9" t="n">
        <v>1185732</v>
      </c>
      <c r="D3422" s="10" t="n">
        <v>44390</v>
      </c>
      <c r="E3422" s="9" t="s">
        <v>17</v>
      </c>
      <c r="F3422" s="9" t="s">
        <v>123</v>
      </c>
      <c r="G3422" s="9" t="s">
        <v>124</v>
      </c>
      <c r="H3422" s="11" t="s">
        <v>25</v>
      </c>
      <c r="I3422" s="12" t="n">
        <v>60</v>
      </c>
      <c r="J3422" s="13" t="n">
        <v>500</v>
      </c>
      <c r="K3422" s="14" t="n">
        <f aca="false">I3422*J3422</f>
        <v>30000</v>
      </c>
      <c r="L3422" s="14" t="n">
        <f aca="false">($L$2*M3422)/100</f>
        <v>480666.6</v>
      </c>
      <c r="M3422" s="15" t="n">
        <v>0.4</v>
      </c>
      <c r="N3422" s="9" t="s">
        <v>20</v>
      </c>
    </row>
    <row r="3423" customFormat="false" ht="14.25" hidden="false" customHeight="true" outlineLevel="0" collapsed="false">
      <c r="B3423" s="9" t="s">
        <v>16</v>
      </c>
      <c r="C3423" s="9" t="n">
        <v>1185732</v>
      </c>
      <c r="D3423" s="10" t="n">
        <v>44422</v>
      </c>
      <c r="E3423" s="9" t="s">
        <v>17</v>
      </c>
      <c r="F3423" s="9" t="s">
        <v>123</v>
      </c>
      <c r="G3423" s="9" t="s">
        <v>124</v>
      </c>
      <c r="H3423" s="11" t="s">
        <v>19</v>
      </c>
      <c r="I3423" s="12" t="n">
        <v>55</v>
      </c>
      <c r="J3423" s="13" t="n">
        <v>650</v>
      </c>
      <c r="K3423" s="14" t="n">
        <f aca="false">I3423*J3423</f>
        <v>35750</v>
      </c>
      <c r="L3423" s="14" t="n">
        <f aca="false">($L$2*M3423)/100</f>
        <v>420583.275</v>
      </c>
      <c r="M3423" s="15" t="n">
        <v>0.35</v>
      </c>
      <c r="N3423" s="9" t="s">
        <v>20</v>
      </c>
    </row>
    <row r="3424" customFormat="false" ht="14.25" hidden="false" customHeight="true" outlineLevel="0" collapsed="false">
      <c r="B3424" s="9" t="s">
        <v>16</v>
      </c>
      <c r="C3424" s="9" t="n">
        <v>1185732</v>
      </c>
      <c r="D3424" s="10" t="n">
        <v>44422</v>
      </c>
      <c r="E3424" s="9" t="s">
        <v>17</v>
      </c>
      <c r="F3424" s="9" t="s">
        <v>123</v>
      </c>
      <c r="G3424" s="9" t="s">
        <v>124</v>
      </c>
      <c r="H3424" s="11" t="s">
        <v>21</v>
      </c>
      <c r="I3424" s="12" t="n">
        <v>50</v>
      </c>
      <c r="J3424" s="13" t="n">
        <v>425</v>
      </c>
      <c r="K3424" s="14" t="n">
        <f aca="false">I3424*J3424</f>
        <v>21250</v>
      </c>
      <c r="L3424" s="14" t="n">
        <f aca="false">($L$2*M3424)/100</f>
        <v>420583.275</v>
      </c>
      <c r="M3424" s="15" t="n">
        <v>0.35</v>
      </c>
      <c r="N3424" s="9" t="s">
        <v>20</v>
      </c>
    </row>
    <row r="3425" customFormat="false" ht="14.25" hidden="false" customHeight="true" outlineLevel="0" collapsed="false">
      <c r="B3425" s="9" t="s">
        <v>16</v>
      </c>
      <c r="C3425" s="9" t="n">
        <v>1185732</v>
      </c>
      <c r="D3425" s="10" t="n">
        <v>44422</v>
      </c>
      <c r="E3425" s="9" t="s">
        <v>17</v>
      </c>
      <c r="F3425" s="9" t="s">
        <v>123</v>
      </c>
      <c r="G3425" s="9" t="s">
        <v>124</v>
      </c>
      <c r="H3425" s="11" t="s">
        <v>22</v>
      </c>
      <c r="I3425" s="12" t="n">
        <v>45</v>
      </c>
      <c r="J3425" s="13" t="n">
        <v>350</v>
      </c>
      <c r="K3425" s="14" t="n">
        <f aca="false">I3425*J3425</f>
        <v>15750</v>
      </c>
      <c r="L3425" s="14" t="n">
        <f aca="false">($L$2*M3425)/100</f>
        <v>480666.6</v>
      </c>
      <c r="M3425" s="15" t="n">
        <v>0.4</v>
      </c>
      <c r="N3425" s="9" t="s">
        <v>20</v>
      </c>
    </row>
    <row r="3426" customFormat="false" ht="14.25" hidden="false" customHeight="true" outlineLevel="0" collapsed="false">
      <c r="B3426" s="9" t="s">
        <v>16</v>
      </c>
      <c r="C3426" s="9" t="n">
        <v>1185732</v>
      </c>
      <c r="D3426" s="10" t="n">
        <v>44422</v>
      </c>
      <c r="E3426" s="9" t="s">
        <v>17</v>
      </c>
      <c r="F3426" s="9" t="s">
        <v>123</v>
      </c>
      <c r="G3426" s="9" t="s">
        <v>124</v>
      </c>
      <c r="H3426" s="11" t="s">
        <v>23</v>
      </c>
      <c r="I3426" s="12" t="n">
        <v>45</v>
      </c>
      <c r="J3426" s="13" t="n">
        <v>250</v>
      </c>
      <c r="K3426" s="14" t="n">
        <f aca="false">I3426*J3426</f>
        <v>11250</v>
      </c>
      <c r="L3426" s="14" t="n">
        <f aca="false">($L$2*M3426)/100</f>
        <v>480666.6</v>
      </c>
      <c r="M3426" s="15" t="n">
        <v>0.4</v>
      </c>
      <c r="N3426" s="9" t="s">
        <v>20</v>
      </c>
    </row>
    <row r="3427" customFormat="false" ht="14.25" hidden="false" customHeight="true" outlineLevel="0" collapsed="false">
      <c r="B3427" s="9" t="s">
        <v>16</v>
      </c>
      <c r="C3427" s="9" t="n">
        <v>1185732</v>
      </c>
      <c r="D3427" s="10" t="n">
        <v>44422</v>
      </c>
      <c r="E3427" s="9" t="s">
        <v>17</v>
      </c>
      <c r="F3427" s="9" t="s">
        <v>123</v>
      </c>
      <c r="G3427" s="9" t="s">
        <v>124</v>
      </c>
      <c r="H3427" s="11" t="s">
        <v>24</v>
      </c>
      <c r="I3427" s="12" t="n">
        <v>55</v>
      </c>
      <c r="J3427" s="13" t="n">
        <v>225</v>
      </c>
      <c r="K3427" s="14" t="n">
        <f aca="false">I3427*J3427</f>
        <v>12375</v>
      </c>
      <c r="L3427" s="14" t="n">
        <f aca="false">($L$2*M3427)/100</f>
        <v>360499.95</v>
      </c>
      <c r="M3427" s="15" t="n">
        <v>0.3</v>
      </c>
      <c r="N3427" s="9" t="s">
        <v>20</v>
      </c>
    </row>
    <row r="3428" customFormat="false" ht="14.25" hidden="false" customHeight="true" outlineLevel="0" collapsed="false">
      <c r="B3428" s="9" t="s">
        <v>16</v>
      </c>
      <c r="C3428" s="9" t="n">
        <v>1185732</v>
      </c>
      <c r="D3428" s="10" t="n">
        <v>44422</v>
      </c>
      <c r="E3428" s="9" t="s">
        <v>17</v>
      </c>
      <c r="F3428" s="9" t="s">
        <v>123</v>
      </c>
      <c r="G3428" s="9" t="s">
        <v>124</v>
      </c>
      <c r="H3428" s="11" t="s">
        <v>25</v>
      </c>
      <c r="I3428" s="12" t="n">
        <v>60</v>
      </c>
      <c r="J3428" s="13" t="n">
        <v>400</v>
      </c>
      <c r="K3428" s="14" t="n">
        <f aca="false">I3428*J3428</f>
        <v>24000</v>
      </c>
      <c r="L3428" s="14" t="n">
        <f aca="false">($L$2*M3428)/100</f>
        <v>480666.6</v>
      </c>
      <c r="M3428" s="15" t="n">
        <v>0.4</v>
      </c>
      <c r="N3428" s="9" t="s">
        <v>20</v>
      </c>
    </row>
    <row r="3429" customFormat="false" ht="14.25" hidden="false" customHeight="true" outlineLevel="0" collapsed="false">
      <c r="B3429" s="9" t="s">
        <v>16</v>
      </c>
      <c r="C3429" s="9" t="n">
        <v>1185732</v>
      </c>
      <c r="D3429" s="10" t="n">
        <v>44452</v>
      </c>
      <c r="E3429" s="9" t="s">
        <v>17</v>
      </c>
      <c r="F3429" s="9" t="s">
        <v>123</v>
      </c>
      <c r="G3429" s="9" t="s">
        <v>124</v>
      </c>
      <c r="H3429" s="11" t="s">
        <v>19</v>
      </c>
      <c r="I3429" s="12" t="n">
        <v>55</v>
      </c>
      <c r="J3429" s="13" t="n">
        <v>525</v>
      </c>
      <c r="K3429" s="14" t="n">
        <f aca="false">I3429*J3429</f>
        <v>28875</v>
      </c>
      <c r="L3429" s="14" t="n">
        <f aca="false">($L$2*M3429)/100</f>
        <v>420583.275</v>
      </c>
      <c r="M3429" s="15" t="n">
        <v>0.35</v>
      </c>
      <c r="N3429" s="9" t="s">
        <v>20</v>
      </c>
    </row>
    <row r="3430" customFormat="false" ht="14.25" hidden="false" customHeight="true" outlineLevel="0" collapsed="false">
      <c r="B3430" s="9" t="s">
        <v>16</v>
      </c>
      <c r="C3430" s="9" t="n">
        <v>1185732</v>
      </c>
      <c r="D3430" s="10" t="n">
        <v>44452</v>
      </c>
      <c r="E3430" s="9" t="s">
        <v>17</v>
      </c>
      <c r="F3430" s="9" t="s">
        <v>123</v>
      </c>
      <c r="G3430" s="9" t="s">
        <v>124</v>
      </c>
      <c r="H3430" s="11" t="s">
        <v>21</v>
      </c>
      <c r="I3430" s="12" t="n">
        <v>50</v>
      </c>
      <c r="J3430" s="13" t="n">
        <v>325</v>
      </c>
      <c r="K3430" s="14" t="n">
        <f aca="false">I3430*J3430</f>
        <v>16250</v>
      </c>
      <c r="L3430" s="14" t="n">
        <f aca="false">($L$2*M3430)/100</f>
        <v>420583.275</v>
      </c>
      <c r="M3430" s="15" t="n">
        <v>0.35</v>
      </c>
      <c r="N3430" s="9" t="s">
        <v>20</v>
      </c>
    </row>
    <row r="3431" customFormat="false" ht="14.25" hidden="false" customHeight="true" outlineLevel="0" collapsed="false">
      <c r="B3431" s="9" t="s">
        <v>16</v>
      </c>
      <c r="C3431" s="9" t="n">
        <v>1185732</v>
      </c>
      <c r="D3431" s="10" t="n">
        <v>44452</v>
      </c>
      <c r="E3431" s="9" t="s">
        <v>17</v>
      </c>
      <c r="F3431" s="9" t="s">
        <v>123</v>
      </c>
      <c r="G3431" s="9" t="s">
        <v>124</v>
      </c>
      <c r="H3431" s="11" t="s">
        <v>22</v>
      </c>
      <c r="I3431" s="12" t="n">
        <v>45</v>
      </c>
      <c r="J3431" s="13" t="n">
        <v>225</v>
      </c>
      <c r="K3431" s="14" t="n">
        <f aca="false">I3431*J3431</f>
        <v>10125</v>
      </c>
      <c r="L3431" s="14" t="n">
        <f aca="false">($L$2*M3431)/100</f>
        <v>480666.6</v>
      </c>
      <c r="M3431" s="15" t="n">
        <v>0.4</v>
      </c>
      <c r="N3431" s="9" t="s">
        <v>20</v>
      </c>
    </row>
    <row r="3432" customFormat="false" ht="14.25" hidden="false" customHeight="true" outlineLevel="0" collapsed="false">
      <c r="B3432" s="9" t="s">
        <v>16</v>
      </c>
      <c r="C3432" s="9" t="n">
        <v>1185732</v>
      </c>
      <c r="D3432" s="10" t="n">
        <v>44452</v>
      </c>
      <c r="E3432" s="9" t="s">
        <v>17</v>
      </c>
      <c r="F3432" s="9" t="s">
        <v>123</v>
      </c>
      <c r="G3432" s="9" t="s">
        <v>124</v>
      </c>
      <c r="H3432" s="11" t="s">
        <v>23</v>
      </c>
      <c r="I3432" s="12" t="n">
        <v>45</v>
      </c>
      <c r="J3432" s="13" t="n">
        <v>200</v>
      </c>
      <c r="K3432" s="14" t="n">
        <f aca="false">I3432*J3432</f>
        <v>9000</v>
      </c>
      <c r="L3432" s="14" t="n">
        <f aca="false">($L$2*M3432)/100</f>
        <v>480666.6</v>
      </c>
      <c r="M3432" s="15" t="n">
        <v>0.4</v>
      </c>
      <c r="N3432" s="9" t="s">
        <v>20</v>
      </c>
    </row>
    <row r="3433" customFormat="false" ht="14.25" hidden="false" customHeight="true" outlineLevel="0" collapsed="false">
      <c r="B3433" s="9" t="s">
        <v>16</v>
      </c>
      <c r="C3433" s="9" t="n">
        <v>1185732</v>
      </c>
      <c r="D3433" s="10" t="n">
        <v>44452</v>
      </c>
      <c r="E3433" s="9" t="s">
        <v>17</v>
      </c>
      <c r="F3433" s="9" t="s">
        <v>123</v>
      </c>
      <c r="G3433" s="9" t="s">
        <v>124</v>
      </c>
      <c r="H3433" s="11" t="s">
        <v>24</v>
      </c>
      <c r="I3433" s="12" t="n">
        <v>55</v>
      </c>
      <c r="J3433" s="13" t="n">
        <v>200</v>
      </c>
      <c r="K3433" s="14" t="n">
        <f aca="false">I3433*J3433</f>
        <v>11000</v>
      </c>
      <c r="L3433" s="14" t="n">
        <f aca="false">($L$2*M3433)/100</f>
        <v>360499.95</v>
      </c>
      <c r="M3433" s="15" t="n">
        <v>0.3</v>
      </c>
      <c r="N3433" s="9" t="s">
        <v>20</v>
      </c>
    </row>
    <row r="3434" customFormat="false" ht="14.25" hidden="false" customHeight="true" outlineLevel="0" collapsed="false">
      <c r="B3434" s="9" t="s">
        <v>16</v>
      </c>
      <c r="C3434" s="9" t="n">
        <v>1185732</v>
      </c>
      <c r="D3434" s="10" t="n">
        <v>44452</v>
      </c>
      <c r="E3434" s="9" t="s">
        <v>17</v>
      </c>
      <c r="F3434" s="9" t="s">
        <v>123</v>
      </c>
      <c r="G3434" s="9" t="s">
        <v>124</v>
      </c>
      <c r="H3434" s="11" t="s">
        <v>25</v>
      </c>
      <c r="I3434" s="12" t="n">
        <v>60</v>
      </c>
      <c r="J3434" s="13" t="n">
        <v>300</v>
      </c>
      <c r="K3434" s="14" t="n">
        <f aca="false">I3434*J3434</f>
        <v>18000</v>
      </c>
      <c r="L3434" s="14" t="n">
        <f aca="false">($L$2*M3434)/100</f>
        <v>480666.6</v>
      </c>
      <c r="M3434" s="15" t="n">
        <v>0.4</v>
      </c>
      <c r="N3434" s="9" t="s">
        <v>20</v>
      </c>
    </row>
    <row r="3435" customFormat="false" ht="14.25" hidden="false" customHeight="true" outlineLevel="0" collapsed="false">
      <c r="B3435" s="9" t="s">
        <v>16</v>
      </c>
      <c r="C3435" s="9" t="n">
        <v>1185732</v>
      </c>
      <c r="D3435" s="10" t="n">
        <v>44484</v>
      </c>
      <c r="E3435" s="9" t="s">
        <v>17</v>
      </c>
      <c r="F3435" s="9" t="s">
        <v>123</v>
      </c>
      <c r="G3435" s="9" t="s">
        <v>124</v>
      </c>
      <c r="H3435" s="11" t="s">
        <v>19</v>
      </c>
      <c r="I3435" s="12" t="n">
        <v>60</v>
      </c>
      <c r="J3435" s="13" t="n">
        <v>475</v>
      </c>
      <c r="K3435" s="14" t="n">
        <f aca="false">I3435*J3435</f>
        <v>28500</v>
      </c>
      <c r="L3435" s="14" t="n">
        <f aca="false">($L$2*M3435)/100</f>
        <v>420583.275</v>
      </c>
      <c r="M3435" s="15" t="n">
        <v>0.35</v>
      </c>
      <c r="N3435" s="9" t="s">
        <v>20</v>
      </c>
    </row>
    <row r="3436" customFormat="false" ht="14.25" hidden="false" customHeight="true" outlineLevel="0" collapsed="false">
      <c r="B3436" s="9" t="s">
        <v>16</v>
      </c>
      <c r="C3436" s="9" t="n">
        <v>1185732</v>
      </c>
      <c r="D3436" s="10" t="n">
        <v>44484</v>
      </c>
      <c r="E3436" s="9" t="s">
        <v>17</v>
      </c>
      <c r="F3436" s="9" t="s">
        <v>123</v>
      </c>
      <c r="G3436" s="9" t="s">
        <v>124</v>
      </c>
      <c r="H3436" s="11" t="s">
        <v>21</v>
      </c>
      <c r="I3436" s="12" t="n">
        <v>55</v>
      </c>
      <c r="J3436" s="13" t="n">
        <v>300</v>
      </c>
      <c r="K3436" s="14" t="n">
        <f aca="false">I3436*J3436</f>
        <v>16500</v>
      </c>
      <c r="L3436" s="14" t="n">
        <f aca="false">($L$2*M3436)/100</f>
        <v>420583.275</v>
      </c>
      <c r="M3436" s="15" t="n">
        <v>0.35</v>
      </c>
      <c r="N3436" s="9" t="s">
        <v>20</v>
      </c>
    </row>
    <row r="3437" customFormat="false" ht="14.25" hidden="false" customHeight="true" outlineLevel="0" collapsed="false">
      <c r="B3437" s="9" t="s">
        <v>16</v>
      </c>
      <c r="C3437" s="9" t="n">
        <v>1185732</v>
      </c>
      <c r="D3437" s="10" t="n">
        <v>44484</v>
      </c>
      <c r="E3437" s="9" t="s">
        <v>17</v>
      </c>
      <c r="F3437" s="9" t="s">
        <v>123</v>
      </c>
      <c r="G3437" s="9" t="s">
        <v>124</v>
      </c>
      <c r="H3437" s="11" t="s">
        <v>22</v>
      </c>
      <c r="I3437" s="12" t="n">
        <v>55</v>
      </c>
      <c r="J3437" s="13" t="n">
        <v>200</v>
      </c>
      <c r="K3437" s="14" t="n">
        <f aca="false">I3437*J3437</f>
        <v>11000</v>
      </c>
      <c r="L3437" s="14" t="n">
        <f aca="false">($L$2*M3437)/100</f>
        <v>480666.6</v>
      </c>
      <c r="M3437" s="15" t="n">
        <v>0.4</v>
      </c>
      <c r="N3437" s="9" t="s">
        <v>20</v>
      </c>
    </row>
    <row r="3438" customFormat="false" ht="14.25" hidden="false" customHeight="true" outlineLevel="0" collapsed="false">
      <c r="B3438" s="9" t="s">
        <v>16</v>
      </c>
      <c r="C3438" s="9" t="n">
        <v>1185732</v>
      </c>
      <c r="D3438" s="10" t="n">
        <v>44484</v>
      </c>
      <c r="E3438" s="9" t="s">
        <v>17</v>
      </c>
      <c r="F3438" s="9" t="s">
        <v>123</v>
      </c>
      <c r="G3438" s="9" t="s">
        <v>124</v>
      </c>
      <c r="H3438" s="11" t="s">
        <v>23</v>
      </c>
      <c r="I3438" s="12" t="n">
        <v>55</v>
      </c>
      <c r="J3438" s="13" t="n">
        <v>175</v>
      </c>
      <c r="K3438" s="14" t="n">
        <f aca="false">I3438*J3438</f>
        <v>9625</v>
      </c>
      <c r="L3438" s="14" t="n">
        <f aca="false">($L$2*M3438)/100</f>
        <v>480666.6</v>
      </c>
      <c r="M3438" s="15" t="n">
        <v>0.4</v>
      </c>
      <c r="N3438" s="9" t="s">
        <v>20</v>
      </c>
    </row>
    <row r="3439" customFormat="false" ht="14.25" hidden="false" customHeight="true" outlineLevel="0" collapsed="false">
      <c r="B3439" s="9" t="s">
        <v>16</v>
      </c>
      <c r="C3439" s="9" t="n">
        <v>1185732</v>
      </c>
      <c r="D3439" s="10" t="n">
        <v>44484</v>
      </c>
      <c r="E3439" s="9" t="s">
        <v>17</v>
      </c>
      <c r="F3439" s="9" t="s">
        <v>123</v>
      </c>
      <c r="G3439" s="9" t="s">
        <v>124</v>
      </c>
      <c r="H3439" s="11" t="s">
        <v>24</v>
      </c>
      <c r="I3439" s="12" t="n">
        <v>65</v>
      </c>
      <c r="J3439" s="13" t="n">
        <v>175</v>
      </c>
      <c r="K3439" s="14" t="n">
        <f aca="false">I3439*J3439</f>
        <v>11375</v>
      </c>
      <c r="L3439" s="14" t="n">
        <f aca="false">($L$2*M3439)/100</f>
        <v>360499.95</v>
      </c>
      <c r="M3439" s="15" t="n">
        <v>0.3</v>
      </c>
      <c r="N3439" s="9" t="s">
        <v>20</v>
      </c>
    </row>
    <row r="3440" customFormat="false" ht="14.25" hidden="false" customHeight="true" outlineLevel="0" collapsed="false">
      <c r="B3440" s="9" t="s">
        <v>36</v>
      </c>
      <c r="C3440" s="9" t="n">
        <v>1185732</v>
      </c>
      <c r="D3440" s="10" t="n">
        <v>44484</v>
      </c>
      <c r="E3440" s="9" t="s">
        <v>17</v>
      </c>
      <c r="F3440" s="9" t="s">
        <v>123</v>
      </c>
      <c r="G3440" s="9" t="s">
        <v>124</v>
      </c>
      <c r="H3440" s="11" t="s">
        <v>25</v>
      </c>
      <c r="I3440" s="12" t="n">
        <v>70</v>
      </c>
      <c r="J3440" s="13" t="n">
        <v>300</v>
      </c>
      <c r="K3440" s="14" t="n">
        <f aca="false">I3440*J3440</f>
        <v>21000</v>
      </c>
      <c r="L3440" s="14" t="n">
        <f aca="false">($L$2*M3440)/100</f>
        <v>480666.6</v>
      </c>
      <c r="M3440" s="15" t="n">
        <v>0.4</v>
      </c>
      <c r="N3440" s="9" t="s">
        <v>20</v>
      </c>
    </row>
    <row r="3441" customFormat="false" ht="14.25" hidden="false" customHeight="true" outlineLevel="0" collapsed="false">
      <c r="B3441" s="9" t="s">
        <v>36</v>
      </c>
      <c r="C3441" s="9" t="n">
        <v>1185732</v>
      </c>
      <c r="D3441" s="10" t="n">
        <v>44514</v>
      </c>
      <c r="E3441" s="9" t="s">
        <v>17</v>
      </c>
      <c r="F3441" s="9" t="s">
        <v>123</v>
      </c>
      <c r="G3441" s="9" t="s">
        <v>124</v>
      </c>
      <c r="H3441" s="11" t="s">
        <v>19</v>
      </c>
      <c r="I3441" s="12" t="n">
        <v>65</v>
      </c>
      <c r="J3441" s="13" t="n">
        <v>450</v>
      </c>
      <c r="K3441" s="14" t="n">
        <f aca="false">I3441*J3441</f>
        <v>29250</v>
      </c>
      <c r="L3441" s="14" t="n">
        <f aca="false">($L$2*M3441)/100</f>
        <v>420583.275</v>
      </c>
      <c r="M3441" s="15" t="n">
        <v>0.35</v>
      </c>
      <c r="N3441" s="9" t="s">
        <v>20</v>
      </c>
    </row>
    <row r="3442" customFormat="false" ht="14.25" hidden="false" customHeight="true" outlineLevel="0" collapsed="false">
      <c r="B3442" s="9" t="s">
        <v>36</v>
      </c>
      <c r="C3442" s="9" t="n">
        <v>1185732</v>
      </c>
      <c r="D3442" s="10" t="n">
        <v>44514</v>
      </c>
      <c r="E3442" s="9" t="s">
        <v>17</v>
      </c>
      <c r="F3442" s="9" t="s">
        <v>123</v>
      </c>
      <c r="G3442" s="9" t="s">
        <v>124</v>
      </c>
      <c r="H3442" s="11" t="s">
        <v>21</v>
      </c>
      <c r="I3442" s="12" t="n">
        <v>55</v>
      </c>
      <c r="J3442" s="13" t="n">
        <v>325</v>
      </c>
      <c r="K3442" s="14" t="n">
        <f aca="false">I3442*J3442</f>
        <v>17875</v>
      </c>
      <c r="L3442" s="14" t="n">
        <f aca="false">($L$2*M3442)/100</f>
        <v>420583.275</v>
      </c>
      <c r="M3442" s="15" t="n">
        <v>0.35</v>
      </c>
      <c r="N3442" s="9" t="s">
        <v>20</v>
      </c>
    </row>
    <row r="3443" customFormat="false" ht="14.25" hidden="false" customHeight="true" outlineLevel="0" collapsed="false">
      <c r="B3443" s="9" t="s">
        <v>36</v>
      </c>
      <c r="C3443" s="9" t="n">
        <v>1185732</v>
      </c>
      <c r="D3443" s="10" t="n">
        <v>44514</v>
      </c>
      <c r="E3443" s="9" t="s">
        <v>17</v>
      </c>
      <c r="F3443" s="9" t="s">
        <v>123</v>
      </c>
      <c r="G3443" s="9" t="s">
        <v>124</v>
      </c>
      <c r="H3443" s="11" t="s">
        <v>22</v>
      </c>
      <c r="I3443" s="12" t="n">
        <v>55</v>
      </c>
      <c r="J3443" s="13" t="n">
        <v>320</v>
      </c>
      <c r="K3443" s="14" t="n">
        <f aca="false">I3443*J3443</f>
        <v>17600</v>
      </c>
      <c r="L3443" s="14" t="n">
        <f aca="false">($L$2*M3443)/100</f>
        <v>480666.6</v>
      </c>
      <c r="M3443" s="15" t="n">
        <v>0.4</v>
      </c>
      <c r="N3443" s="9" t="s">
        <v>20</v>
      </c>
    </row>
    <row r="3444" customFormat="false" ht="14.25" hidden="false" customHeight="true" outlineLevel="0" collapsed="false">
      <c r="B3444" s="9" t="s">
        <v>36</v>
      </c>
      <c r="C3444" s="9" t="n">
        <v>1185732</v>
      </c>
      <c r="D3444" s="10" t="n">
        <v>44514</v>
      </c>
      <c r="E3444" s="9" t="s">
        <v>17</v>
      </c>
      <c r="F3444" s="9" t="s">
        <v>123</v>
      </c>
      <c r="G3444" s="9" t="s">
        <v>124</v>
      </c>
      <c r="H3444" s="11" t="s">
        <v>23</v>
      </c>
      <c r="I3444" s="12" t="n">
        <v>55</v>
      </c>
      <c r="J3444" s="13" t="n">
        <v>300</v>
      </c>
      <c r="K3444" s="14" t="n">
        <f aca="false">I3444*J3444</f>
        <v>16500</v>
      </c>
      <c r="L3444" s="14" t="n">
        <f aca="false">($L$2*M3444)/100</f>
        <v>480666.6</v>
      </c>
      <c r="M3444" s="15" t="n">
        <v>0.4</v>
      </c>
      <c r="N3444" s="9" t="s">
        <v>20</v>
      </c>
    </row>
    <row r="3445" customFormat="false" ht="14.25" hidden="false" customHeight="true" outlineLevel="0" collapsed="false">
      <c r="B3445" s="9" t="s">
        <v>36</v>
      </c>
      <c r="C3445" s="9" t="n">
        <v>1185732</v>
      </c>
      <c r="D3445" s="10" t="n">
        <v>44514</v>
      </c>
      <c r="E3445" s="9" t="s">
        <v>17</v>
      </c>
      <c r="F3445" s="9" t="s">
        <v>123</v>
      </c>
      <c r="G3445" s="9" t="s">
        <v>124</v>
      </c>
      <c r="H3445" s="11" t="s">
        <v>24</v>
      </c>
      <c r="I3445" s="12" t="n">
        <v>65</v>
      </c>
      <c r="J3445" s="13" t="n">
        <v>275</v>
      </c>
      <c r="K3445" s="14" t="n">
        <f aca="false">I3445*J3445</f>
        <v>17875</v>
      </c>
      <c r="L3445" s="14" t="n">
        <f aca="false">($L$2*M3445)/100</f>
        <v>360499.95</v>
      </c>
      <c r="M3445" s="15" t="n">
        <v>0.3</v>
      </c>
      <c r="N3445" s="9" t="s">
        <v>20</v>
      </c>
    </row>
    <row r="3446" customFormat="false" ht="14.25" hidden="false" customHeight="true" outlineLevel="0" collapsed="false">
      <c r="B3446" s="9" t="s">
        <v>36</v>
      </c>
      <c r="C3446" s="9" t="n">
        <v>1185732</v>
      </c>
      <c r="D3446" s="10" t="n">
        <v>44514</v>
      </c>
      <c r="E3446" s="9" t="s">
        <v>17</v>
      </c>
      <c r="F3446" s="9" t="s">
        <v>123</v>
      </c>
      <c r="G3446" s="9" t="s">
        <v>124</v>
      </c>
      <c r="H3446" s="11" t="s">
        <v>25</v>
      </c>
      <c r="I3446" s="12" t="n">
        <v>70</v>
      </c>
      <c r="J3446" s="13" t="n">
        <v>375</v>
      </c>
      <c r="K3446" s="14" t="n">
        <f aca="false">I3446*J3446</f>
        <v>26250</v>
      </c>
      <c r="L3446" s="14" t="n">
        <f aca="false">($L$2*M3446)/100</f>
        <v>480666.6</v>
      </c>
      <c r="M3446" s="15" t="n">
        <v>0.4</v>
      </c>
      <c r="N3446" s="9" t="s">
        <v>20</v>
      </c>
    </row>
    <row r="3447" customFormat="false" ht="14.25" hidden="false" customHeight="true" outlineLevel="0" collapsed="false">
      <c r="B3447" s="9" t="s">
        <v>36</v>
      </c>
      <c r="C3447" s="9" t="n">
        <v>1185732</v>
      </c>
      <c r="D3447" s="10" t="n">
        <v>44543</v>
      </c>
      <c r="E3447" s="9" t="s">
        <v>17</v>
      </c>
      <c r="F3447" s="9" t="s">
        <v>123</v>
      </c>
      <c r="G3447" s="9" t="s">
        <v>124</v>
      </c>
      <c r="H3447" s="11" t="s">
        <v>19</v>
      </c>
      <c r="I3447" s="12" t="n">
        <v>65</v>
      </c>
      <c r="J3447" s="13" t="n">
        <v>600</v>
      </c>
      <c r="K3447" s="14" t="n">
        <f aca="false">I3447*J3447</f>
        <v>39000</v>
      </c>
      <c r="L3447" s="14" t="n">
        <f aca="false">($L$2*M3447)/100</f>
        <v>420583.275</v>
      </c>
      <c r="M3447" s="15" t="n">
        <v>0.35</v>
      </c>
      <c r="N3447" s="9" t="s">
        <v>20</v>
      </c>
    </row>
    <row r="3448" customFormat="false" ht="14.25" hidden="false" customHeight="true" outlineLevel="0" collapsed="false">
      <c r="B3448" s="9" t="s">
        <v>36</v>
      </c>
      <c r="C3448" s="9" t="n">
        <v>1185732</v>
      </c>
      <c r="D3448" s="10" t="n">
        <v>44543</v>
      </c>
      <c r="E3448" s="9" t="s">
        <v>17</v>
      </c>
      <c r="F3448" s="9" t="s">
        <v>123</v>
      </c>
      <c r="G3448" s="9" t="s">
        <v>124</v>
      </c>
      <c r="H3448" s="11" t="s">
        <v>21</v>
      </c>
      <c r="I3448" s="12" t="n">
        <v>55</v>
      </c>
      <c r="J3448" s="13" t="n">
        <v>400</v>
      </c>
      <c r="K3448" s="14" t="n">
        <f aca="false">I3448*J3448</f>
        <v>22000</v>
      </c>
      <c r="L3448" s="14" t="n">
        <f aca="false">($L$2*M3448)/100</f>
        <v>420583.275</v>
      </c>
      <c r="M3448" s="15" t="n">
        <v>0.35</v>
      </c>
      <c r="N3448" s="9" t="s">
        <v>20</v>
      </c>
    </row>
    <row r="3449" customFormat="false" ht="14.25" hidden="false" customHeight="true" outlineLevel="0" collapsed="false">
      <c r="B3449" s="9" t="s">
        <v>36</v>
      </c>
      <c r="C3449" s="9" t="n">
        <v>1185732</v>
      </c>
      <c r="D3449" s="10" t="n">
        <v>44543</v>
      </c>
      <c r="E3449" s="9" t="s">
        <v>17</v>
      </c>
      <c r="F3449" s="9" t="s">
        <v>123</v>
      </c>
      <c r="G3449" s="9" t="s">
        <v>124</v>
      </c>
      <c r="H3449" s="11" t="s">
        <v>22</v>
      </c>
      <c r="I3449" s="12" t="n">
        <v>55</v>
      </c>
      <c r="J3449" s="13" t="n">
        <v>375</v>
      </c>
      <c r="K3449" s="14" t="n">
        <f aca="false">I3449*J3449</f>
        <v>20625</v>
      </c>
      <c r="L3449" s="14" t="n">
        <f aca="false">($L$2*M3449)/100</f>
        <v>480666.6</v>
      </c>
      <c r="M3449" s="15" t="n">
        <v>0.4</v>
      </c>
      <c r="N3449" s="9" t="s">
        <v>20</v>
      </c>
    </row>
    <row r="3450" customFormat="false" ht="14.25" hidden="false" customHeight="true" outlineLevel="0" collapsed="false">
      <c r="B3450" s="9" t="s">
        <v>36</v>
      </c>
      <c r="C3450" s="9" t="n">
        <v>1185732</v>
      </c>
      <c r="D3450" s="10" t="n">
        <v>44543</v>
      </c>
      <c r="E3450" s="9" t="s">
        <v>17</v>
      </c>
      <c r="F3450" s="9" t="s">
        <v>123</v>
      </c>
      <c r="G3450" s="9" t="s">
        <v>124</v>
      </c>
      <c r="H3450" s="11" t="s">
        <v>23</v>
      </c>
      <c r="I3450" s="12" t="n">
        <v>55</v>
      </c>
      <c r="J3450" s="13" t="n">
        <v>325</v>
      </c>
      <c r="K3450" s="14" t="n">
        <f aca="false">I3450*J3450</f>
        <v>17875</v>
      </c>
      <c r="L3450" s="14" t="n">
        <f aca="false">($L$2*M3450)/100</f>
        <v>480666.6</v>
      </c>
      <c r="M3450" s="15" t="n">
        <v>0.4</v>
      </c>
      <c r="N3450" s="9" t="s">
        <v>20</v>
      </c>
    </row>
    <row r="3451" customFormat="false" ht="14.25" hidden="false" customHeight="true" outlineLevel="0" collapsed="false">
      <c r="B3451" s="9" t="s">
        <v>36</v>
      </c>
      <c r="C3451" s="9" t="n">
        <v>1185732</v>
      </c>
      <c r="D3451" s="10" t="n">
        <v>44543</v>
      </c>
      <c r="E3451" s="9" t="s">
        <v>17</v>
      </c>
      <c r="F3451" s="9" t="s">
        <v>123</v>
      </c>
      <c r="G3451" s="9" t="s">
        <v>124</v>
      </c>
      <c r="H3451" s="11" t="s">
        <v>24</v>
      </c>
      <c r="I3451" s="12" t="n">
        <v>65</v>
      </c>
      <c r="J3451" s="13" t="n">
        <v>325</v>
      </c>
      <c r="K3451" s="14" t="n">
        <f aca="false">I3451*J3451</f>
        <v>21125</v>
      </c>
      <c r="L3451" s="14" t="n">
        <f aca="false">($L$2*M3451)/100</f>
        <v>360499.95</v>
      </c>
      <c r="M3451" s="15" t="n">
        <v>0.3</v>
      </c>
      <c r="N3451" s="9" t="s">
        <v>20</v>
      </c>
    </row>
    <row r="3452" customFormat="false" ht="14.25" hidden="false" customHeight="true" outlineLevel="0" collapsed="false">
      <c r="B3452" s="9" t="s">
        <v>36</v>
      </c>
      <c r="C3452" s="9" t="n">
        <v>1185732</v>
      </c>
      <c r="D3452" s="10" t="n">
        <v>44543</v>
      </c>
      <c r="E3452" s="9" t="s">
        <v>17</v>
      </c>
      <c r="F3452" s="9" t="s">
        <v>123</v>
      </c>
      <c r="G3452" s="9" t="s">
        <v>124</v>
      </c>
      <c r="H3452" s="11" t="s">
        <v>25</v>
      </c>
      <c r="I3452" s="12" t="n">
        <v>70</v>
      </c>
      <c r="J3452" s="13" t="n">
        <v>425</v>
      </c>
      <c r="K3452" s="14" t="n">
        <f aca="false">I3452*J3452</f>
        <v>29750</v>
      </c>
      <c r="L3452" s="14" t="n">
        <f aca="false">($L$2*M3452)/100</f>
        <v>480666.6</v>
      </c>
      <c r="M3452" s="15" t="n">
        <v>0.4</v>
      </c>
      <c r="N3452" s="9" t="s">
        <v>20</v>
      </c>
    </row>
    <row r="3453" customFormat="false" ht="14.25" hidden="false" customHeight="true" outlineLevel="0" collapsed="false">
      <c r="B3453" s="9" t="s">
        <v>36</v>
      </c>
      <c r="C3453" s="9" t="n">
        <v>1185732</v>
      </c>
      <c r="D3453" s="10" t="n">
        <v>44206</v>
      </c>
      <c r="E3453" s="9" t="s">
        <v>17</v>
      </c>
      <c r="F3453" s="9" t="s">
        <v>123</v>
      </c>
      <c r="G3453" s="9" t="s">
        <v>124</v>
      </c>
      <c r="H3453" s="11" t="s">
        <v>19</v>
      </c>
      <c r="I3453" s="12" t="n">
        <v>35</v>
      </c>
      <c r="J3453" s="13" t="n">
        <v>475</v>
      </c>
      <c r="K3453" s="14" t="n">
        <f aca="false">I3453*J3453</f>
        <v>16625</v>
      </c>
      <c r="L3453" s="14" t="n">
        <f aca="false">($L$2*M3453)/100</f>
        <v>420583.275</v>
      </c>
      <c r="M3453" s="15" t="n">
        <v>0.35</v>
      </c>
      <c r="N3453" s="9" t="s">
        <v>20</v>
      </c>
    </row>
    <row r="3454" customFormat="false" ht="14.25" hidden="false" customHeight="true" outlineLevel="0" collapsed="false">
      <c r="B3454" s="9" t="s">
        <v>36</v>
      </c>
      <c r="C3454" s="9" t="n">
        <v>1185732</v>
      </c>
      <c r="D3454" s="10" t="n">
        <v>44206</v>
      </c>
      <c r="E3454" s="9" t="s">
        <v>17</v>
      </c>
      <c r="F3454" s="9" t="s">
        <v>123</v>
      </c>
      <c r="G3454" s="9" t="s">
        <v>124</v>
      </c>
      <c r="H3454" s="11" t="s">
        <v>21</v>
      </c>
      <c r="I3454" s="12" t="n">
        <v>35</v>
      </c>
      <c r="J3454" s="13" t="n">
        <v>275</v>
      </c>
      <c r="K3454" s="14" t="n">
        <f aca="false">I3454*J3454</f>
        <v>9625</v>
      </c>
      <c r="L3454" s="14" t="n">
        <f aca="false">($L$2*M3454)/100</f>
        <v>420583.275</v>
      </c>
      <c r="M3454" s="15" t="n">
        <v>0.35</v>
      </c>
      <c r="N3454" s="9" t="s">
        <v>20</v>
      </c>
    </row>
    <row r="3455" customFormat="false" ht="14.25" hidden="false" customHeight="true" outlineLevel="0" collapsed="false">
      <c r="B3455" s="9" t="s">
        <v>36</v>
      </c>
      <c r="C3455" s="9" t="n">
        <v>1185732</v>
      </c>
      <c r="D3455" s="10" t="n">
        <v>44206</v>
      </c>
      <c r="E3455" s="9" t="s">
        <v>17</v>
      </c>
      <c r="F3455" s="9" t="s">
        <v>123</v>
      </c>
      <c r="G3455" s="9" t="s">
        <v>124</v>
      </c>
      <c r="H3455" s="11" t="s">
        <v>22</v>
      </c>
      <c r="I3455" s="12" t="n">
        <v>25</v>
      </c>
      <c r="J3455" s="13" t="n">
        <v>275</v>
      </c>
      <c r="K3455" s="14" t="n">
        <f aca="false">I3455*J3455</f>
        <v>6875</v>
      </c>
      <c r="L3455" s="14" t="n">
        <f aca="false">($L$2*M3455)/100</f>
        <v>480666.6</v>
      </c>
      <c r="M3455" s="15" t="n">
        <v>0.4</v>
      </c>
      <c r="N3455" s="9" t="s">
        <v>20</v>
      </c>
    </row>
    <row r="3456" customFormat="false" ht="14.25" hidden="false" customHeight="true" outlineLevel="0" collapsed="false">
      <c r="B3456" s="9" t="s">
        <v>36</v>
      </c>
      <c r="C3456" s="9" t="n">
        <v>1185732</v>
      </c>
      <c r="D3456" s="10" t="n">
        <v>44206</v>
      </c>
      <c r="E3456" s="9" t="s">
        <v>17</v>
      </c>
      <c r="F3456" s="9" t="s">
        <v>123</v>
      </c>
      <c r="G3456" s="9" t="s">
        <v>124</v>
      </c>
      <c r="H3456" s="11" t="s">
        <v>23</v>
      </c>
      <c r="I3456" s="12" t="n">
        <v>30</v>
      </c>
      <c r="J3456" s="13" t="n">
        <v>125</v>
      </c>
      <c r="K3456" s="14" t="n">
        <f aca="false">I3456*J3456</f>
        <v>3750</v>
      </c>
      <c r="L3456" s="14" t="n">
        <f aca="false">($L$2*M3456)/100</f>
        <v>480666.6</v>
      </c>
      <c r="M3456" s="15" t="n">
        <v>0.4</v>
      </c>
      <c r="N3456" s="9" t="s">
        <v>20</v>
      </c>
    </row>
    <row r="3457" customFormat="false" ht="14.25" hidden="false" customHeight="true" outlineLevel="0" collapsed="false">
      <c r="B3457" s="9" t="s">
        <v>36</v>
      </c>
      <c r="C3457" s="9" t="n">
        <v>1185732</v>
      </c>
      <c r="D3457" s="10" t="n">
        <v>44206</v>
      </c>
      <c r="E3457" s="9" t="s">
        <v>17</v>
      </c>
      <c r="F3457" s="9" t="s">
        <v>123</v>
      </c>
      <c r="G3457" s="9" t="s">
        <v>124</v>
      </c>
      <c r="H3457" s="11" t="s">
        <v>24</v>
      </c>
      <c r="I3457" s="12" t="n">
        <v>45</v>
      </c>
      <c r="J3457" s="13" t="n">
        <v>175</v>
      </c>
      <c r="K3457" s="14" t="n">
        <f aca="false">I3457*J3457</f>
        <v>7875</v>
      </c>
      <c r="L3457" s="14" t="n">
        <f aca="false">($L$2*M3457)/100</f>
        <v>360499.95</v>
      </c>
      <c r="M3457" s="15" t="n">
        <v>0.3</v>
      </c>
      <c r="N3457" s="9" t="s">
        <v>20</v>
      </c>
    </row>
    <row r="3458" customFormat="false" ht="14.25" hidden="false" customHeight="true" outlineLevel="0" collapsed="false">
      <c r="B3458" s="9" t="s">
        <v>36</v>
      </c>
      <c r="C3458" s="9" t="n">
        <v>1185732</v>
      </c>
      <c r="D3458" s="10" t="n">
        <v>44206</v>
      </c>
      <c r="E3458" s="9" t="s">
        <v>17</v>
      </c>
      <c r="F3458" s="9" t="s">
        <v>123</v>
      </c>
      <c r="G3458" s="9" t="s">
        <v>124</v>
      </c>
      <c r="H3458" s="11" t="s">
        <v>25</v>
      </c>
      <c r="I3458" s="12" t="n">
        <v>35</v>
      </c>
      <c r="J3458" s="13" t="n">
        <v>275</v>
      </c>
      <c r="K3458" s="14" t="n">
        <f aca="false">I3458*J3458</f>
        <v>9625</v>
      </c>
      <c r="L3458" s="14" t="n">
        <f aca="false">($L$2*M3458)/100</f>
        <v>480666.6</v>
      </c>
      <c r="M3458" s="15" t="n">
        <v>0.4</v>
      </c>
      <c r="N3458" s="9" t="s">
        <v>20</v>
      </c>
    </row>
    <row r="3459" customFormat="false" ht="14.25" hidden="false" customHeight="true" outlineLevel="0" collapsed="false">
      <c r="B3459" s="9" t="s">
        <v>36</v>
      </c>
      <c r="C3459" s="9" t="n">
        <v>1185732</v>
      </c>
      <c r="D3459" s="10" t="n">
        <v>44235</v>
      </c>
      <c r="E3459" s="9" t="s">
        <v>17</v>
      </c>
      <c r="F3459" s="9" t="s">
        <v>123</v>
      </c>
      <c r="G3459" s="9" t="s">
        <v>124</v>
      </c>
      <c r="H3459" s="11" t="s">
        <v>19</v>
      </c>
      <c r="I3459" s="12" t="n">
        <v>35</v>
      </c>
      <c r="J3459" s="13" t="n">
        <v>525</v>
      </c>
      <c r="K3459" s="14" t="n">
        <f aca="false">I3459*J3459</f>
        <v>18375</v>
      </c>
      <c r="L3459" s="14" t="n">
        <f aca="false">($L$2*M3459)/100</f>
        <v>420583.275</v>
      </c>
      <c r="M3459" s="15" t="n">
        <v>0.35</v>
      </c>
      <c r="N3459" s="9" t="s">
        <v>20</v>
      </c>
    </row>
    <row r="3460" customFormat="false" ht="14.25" hidden="false" customHeight="true" outlineLevel="0" collapsed="false">
      <c r="B3460" s="9" t="s">
        <v>36</v>
      </c>
      <c r="C3460" s="9" t="n">
        <v>1185732</v>
      </c>
      <c r="D3460" s="10" t="n">
        <v>44235</v>
      </c>
      <c r="E3460" s="9" t="s">
        <v>17</v>
      </c>
      <c r="F3460" s="9" t="s">
        <v>123</v>
      </c>
      <c r="G3460" s="9" t="s">
        <v>124</v>
      </c>
      <c r="H3460" s="11" t="s">
        <v>21</v>
      </c>
      <c r="I3460" s="12" t="n">
        <v>35</v>
      </c>
      <c r="J3460" s="13" t="n">
        <v>175</v>
      </c>
      <c r="K3460" s="14" t="n">
        <f aca="false">I3460*J3460</f>
        <v>6125</v>
      </c>
      <c r="L3460" s="14" t="n">
        <f aca="false">($L$2*M3460)/100</f>
        <v>420583.275</v>
      </c>
      <c r="M3460" s="15" t="n">
        <v>0.35</v>
      </c>
      <c r="N3460" s="9" t="s">
        <v>20</v>
      </c>
    </row>
    <row r="3461" customFormat="false" ht="14.25" hidden="false" customHeight="true" outlineLevel="0" collapsed="false">
      <c r="B3461" s="9" t="s">
        <v>36</v>
      </c>
      <c r="C3461" s="9" t="n">
        <v>1185732</v>
      </c>
      <c r="D3461" s="10" t="n">
        <v>44235</v>
      </c>
      <c r="E3461" s="9" t="s">
        <v>17</v>
      </c>
      <c r="F3461" s="9" t="s">
        <v>123</v>
      </c>
      <c r="G3461" s="9" t="s">
        <v>124</v>
      </c>
      <c r="H3461" s="11" t="s">
        <v>22</v>
      </c>
      <c r="I3461" s="12" t="n">
        <v>25</v>
      </c>
      <c r="J3461" s="13" t="n">
        <v>225</v>
      </c>
      <c r="K3461" s="14" t="n">
        <f aca="false">I3461*J3461</f>
        <v>5625</v>
      </c>
      <c r="L3461" s="14" t="n">
        <f aca="false">($L$2*M3461)/100</f>
        <v>480666.6</v>
      </c>
      <c r="M3461" s="15" t="n">
        <v>0.4</v>
      </c>
      <c r="N3461" s="9" t="s">
        <v>20</v>
      </c>
    </row>
    <row r="3462" customFormat="false" ht="14.25" hidden="false" customHeight="true" outlineLevel="0" collapsed="false">
      <c r="B3462" s="9" t="s">
        <v>36</v>
      </c>
      <c r="C3462" s="9" t="n">
        <v>1185732</v>
      </c>
      <c r="D3462" s="10" t="n">
        <v>44235</v>
      </c>
      <c r="E3462" s="9" t="s">
        <v>17</v>
      </c>
      <c r="F3462" s="9" t="s">
        <v>125</v>
      </c>
      <c r="G3462" s="9" t="s">
        <v>126</v>
      </c>
      <c r="H3462" s="11" t="s">
        <v>23</v>
      </c>
      <c r="I3462" s="12" t="n">
        <v>30</v>
      </c>
      <c r="J3462" s="13" t="n">
        <v>100</v>
      </c>
      <c r="K3462" s="14" t="n">
        <f aca="false">I3462*J3462</f>
        <v>3000</v>
      </c>
      <c r="L3462" s="14" t="n">
        <f aca="false">($L$2*M3462)/100</f>
        <v>480666.6</v>
      </c>
      <c r="M3462" s="15" t="n">
        <v>0.4</v>
      </c>
      <c r="N3462" s="9" t="s">
        <v>20</v>
      </c>
    </row>
    <row r="3463" customFormat="false" ht="14.25" hidden="false" customHeight="true" outlineLevel="0" collapsed="false">
      <c r="B3463" s="9" t="s">
        <v>36</v>
      </c>
      <c r="C3463" s="9" t="n">
        <v>1185732</v>
      </c>
      <c r="D3463" s="10" t="n">
        <v>44235</v>
      </c>
      <c r="E3463" s="9" t="s">
        <v>17</v>
      </c>
      <c r="F3463" s="9" t="s">
        <v>125</v>
      </c>
      <c r="G3463" s="9" t="s">
        <v>126</v>
      </c>
      <c r="H3463" s="11" t="s">
        <v>24</v>
      </c>
      <c r="I3463" s="12" t="n">
        <v>45</v>
      </c>
      <c r="J3463" s="13" t="n">
        <v>175</v>
      </c>
      <c r="K3463" s="14" t="n">
        <f aca="false">I3463*J3463</f>
        <v>7875</v>
      </c>
      <c r="L3463" s="14" t="n">
        <f aca="false">($L$2*M3463)/100</f>
        <v>360499.95</v>
      </c>
      <c r="M3463" s="15" t="n">
        <v>0.3</v>
      </c>
      <c r="N3463" s="9" t="s">
        <v>20</v>
      </c>
    </row>
    <row r="3464" customFormat="false" ht="14.25" hidden="false" customHeight="true" outlineLevel="0" collapsed="false">
      <c r="B3464" s="9" t="s">
        <v>36</v>
      </c>
      <c r="C3464" s="9" t="n">
        <v>1185732</v>
      </c>
      <c r="D3464" s="10" t="n">
        <v>44235</v>
      </c>
      <c r="E3464" s="9" t="s">
        <v>17</v>
      </c>
      <c r="F3464" s="9" t="s">
        <v>125</v>
      </c>
      <c r="G3464" s="9" t="s">
        <v>126</v>
      </c>
      <c r="H3464" s="11" t="s">
        <v>25</v>
      </c>
      <c r="I3464" s="12" t="n">
        <v>35</v>
      </c>
      <c r="J3464" s="13" t="n">
        <v>275</v>
      </c>
      <c r="K3464" s="14" t="n">
        <f aca="false">I3464*J3464</f>
        <v>9625</v>
      </c>
      <c r="L3464" s="14" t="n">
        <f aca="false">($L$2*M3464)/100</f>
        <v>480666.6</v>
      </c>
      <c r="M3464" s="15" t="n">
        <v>0.4</v>
      </c>
      <c r="N3464" s="9" t="s">
        <v>20</v>
      </c>
    </row>
    <row r="3465" customFormat="false" ht="14.25" hidden="false" customHeight="true" outlineLevel="0" collapsed="false">
      <c r="B3465" s="9" t="s">
        <v>36</v>
      </c>
      <c r="C3465" s="9" t="n">
        <v>1185732</v>
      </c>
      <c r="D3465" s="10" t="n">
        <v>44261</v>
      </c>
      <c r="E3465" s="9" t="s">
        <v>17</v>
      </c>
      <c r="F3465" s="9" t="s">
        <v>125</v>
      </c>
      <c r="G3465" s="9" t="s">
        <v>126</v>
      </c>
      <c r="H3465" s="11" t="s">
        <v>19</v>
      </c>
      <c r="I3465" s="12" t="n">
        <v>35</v>
      </c>
      <c r="J3465" s="13" t="n">
        <v>495</v>
      </c>
      <c r="K3465" s="14" t="n">
        <f aca="false">I3465*J3465</f>
        <v>17325</v>
      </c>
      <c r="L3465" s="14" t="n">
        <f aca="false">($L$2*M3465)/100</f>
        <v>420583.275</v>
      </c>
      <c r="M3465" s="15" t="n">
        <v>0.35</v>
      </c>
      <c r="N3465" s="9" t="s">
        <v>20</v>
      </c>
    </row>
    <row r="3466" customFormat="false" ht="14.25" hidden="false" customHeight="true" outlineLevel="0" collapsed="false">
      <c r="B3466" s="9" t="s">
        <v>36</v>
      </c>
      <c r="C3466" s="9" t="n">
        <v>1185732</v>
      </c>
      <c r="D3466" s="10" t="n">
        <v>44261</v>
      </c>
      <c r="E3466" s="9" t="s">
        <v>17</v>
      </c>
      <c r="F3466" s="9" t="s">
        <v>125</v>
      </c>
      <c r="G3466" s="9" t="s">
        <v>126</v>
      </c>
      <c r="H3466" s="11" t="s">
        <v>21</v>
      </c>
      <c r="I3466" s="12" t="n">
        <v>35</v>
      </c>
      <c r="J3466" s="13" t="n">
        <v>200</v>
      </c>
      <c r="K3466" s="14" t="n">
        <f aca="false">I3466*J3466</f>
        <v>7000</v>
      </c>
      <c r="L3466" s="14" t="n">
        <f aca="false">($L$2*M3466)/100</f>
        <v>420583.275</v>
      </c>
      <c r="M3466" s="15" t="n">
        <v>0.35</v>
      </c>
      <c r="N3466" s="9" t="s">
        <v>20</v>
      </c>
    </row>
    <row r="3467" customFormat="false" ht="14.25" hidden="false" customHeight="true" outlineLevel="0" collapsed="false">
      <c r="B3467" s="9" t="s">
        <v>36</v>
      </c>
      <c r="C3467" s="9" t="n">
        <v>1185732</v>
      </c>
      <c r="D3467" s="10" t="n">
        <v>44261</v>
      </c>
      <c r="E3467" s="9" t="s">
        <v>17</v>
      </c>
      <c r="F3467" s="9" t="s">
        <v>125</v>
      </c>
      <c r="G3467" s="9" t="s">
        <v>126</v>
      </c>
      <c r="H3467" s="11" t="s">
        <v>22</v>
      </c>
      <c r="I3467" s="12" t="n">
        <v>25</v>
      </c>
      <c r="J3467" s="13" t="n">
        <v>225</v>
      </c>
      <c r="K3467" s="14" t="n">
        <f aca="false">I3467*J3467</f>
        <v>5625</v>
      </c>
      <c r="L3467" s="14" t="n">
        <f aca="false">($L$2*M3467)/100</f>
        <v>480666.6</v>
      </c>
      <c r="M3467" s="15" t="n">
        <v>0.4</v>
      </c>
      <c r="N3467" s="9" t="s">
        <v>20</v>
      </c>
    </row>
    <row r="3468" customFormat="false" ht="14.25" hidden="false" customHeight="true" outlineLevel="0" collapsed="false">
      <c r="B3468" s="9" t="s">
        <v>36</v>
      </c>
      <c r="C3468" s="9" t="n">
        <v>1185732</v>
      </c>
      <c r="D3468" s="10" t="n">
        <v>44261</v>
      </c>
      <c r="E3468" s="9" t="s">
        <v>17</v>
      </c>
      <c r="F3468" s="9" t="s">
        <v>125</v>
      </c>
      <c r="G3468" s="9" t="s">
        <v>126</v>
      </c>
      <c r="H3468" s="11" t="s">
        <v>23</v>
      </c>
      <c r="I3468" s="12" t="n">
        <v>30</v>
      </c>
      <c r="J3468" s="13" t="n">
        <v>75</v>
      </c>
      <c r="K3468" s="14" t="n">
        <f aca="false">I3468*J3468</f>
        <v>2250</v>
      </c>
      <c r="L3468" s="14" t="n">
        <f aca="false">($L$2*M3468)/100</f>
        <v>480666.6</v>
      </c>
      <c r="M3468" s="15" t="n">
        <v>0.4</v>
      </c>
      <c r="N3468" s="9" t="s">
        <v>20</v>
      </c>
    </row>
    <row r="3469" customFormat="false" ht="14.25" hidden="false" customHeight="true" outlineLevel="0" collapsed="false">
      <c r="B3469" s="9" t="s">
        <v>36</v>
      </c>
      <c r="C3469" s="9" t="n">
        <v>1185732</v>
      </c>
      <c r="D3469" s="10" t="n">
        <v>44261</v>
      </c>
      <c r="E3469" s="9" t="s">
        <v>17</v>
      </c>
      <c r="F3469" s="9" t="s">
        <v>125</v>
      </c>
      <c r="G3469" s="9" t="s">
        <v>126</v>
      </c>
      <c r="H3469" s="11" t="s">
        <v>24</v>
      </c>
      <c r="I3469" s="12" t="n">
        <v>45</v>
      </c>
      <c r="J3469" s="13" t="n">
        <v>125</v>
      </c>
      <c r="K3469" s="14" t="n">
        <f aca="false">I3469*J3469</f>
        <v>5625</v>
      </c>
      <c r="L3469" s="14" t="n">
        <f aca="false">($L$2*M3469)/100</f>
        <v>360499.95</v>
      </c>
      <c r="M3469" s="15" t="n">
        <v>0.3</v>
      </c>
      <c r="N3469" s="9" t="s">
        <v>20</v>
      </c>
    </row>
    <row r="3470" customFormat="false" ht="14.25" hidden="false" customHeight="true" outlineLevel="0" collapsed="false">
      <c r="B3470" s="9" t="s">
        <v>36</v>
      </c>
      <c r="C3470" s="9" t="n">
        <v>1185732</v>
      </c>
      <c r="D3470" s="10" t="n">
        <v>44261</v>
      </c>
      <c r="E3470" s="9" t="s">
        <v>17</v>
      </c>
      <c r="F3470" s="9" t="s">
        <v>125</v>
      </c>
      <c r="G3470" s="9" t="s">
        <v>126</v>
      </c>
      <c r="H3470" s="11" t="s">
        <v>25</v>
      </c>
      <c r="I3470" s="12" t="n">
        <v>35</v>
      </c>
      <c r="J3470" s="13" t="n">
        <v>225</v>
      </c>
      <c r="K3470" s="14" t="n">
        <f aca="false">I3470*J3470</f>
        <v>7875</v>
      </c>
      <c r="L3470" s="14" t="n">
        <f aca="false">($L$2*M3470)/100</f>
        <v>480666.6</v>
      </c>
      <c r="M3470" s="15" t="n">
        <v>0.4</v>
      </c>
      <c r="N3470" s="9" t="s">
        <v>20</v>
      </c>
    </row>
    <row r="3471" customFormat="false" ht="14.25" hidden="false" customHeight="true" outlineLevel="0" collapsed="false">
      <c r="B3471" s="9" t="s">
        <v>36</v>
      </c>
      <c r="C3471" s="9" t="n">
        <v>1185732</v>
      </c>
      <c r="D3471" s="10" t="n">
        <v>44293</v>
      </c>
      <c r="E3471" s="9" t="s">
        <v>17</v>
      </c>
      <c r="F3471" s="9" t="s">
        <v>125</v>
      </c>
      <c r="G3471" s="9" t="s">
        <v>126</v>
      </c>
      <c r="H3471" s="11" t="s">
        <v>19</v>
      </c>
      <c r="I3471" s="12" t="n">
        <v>35</v>
      </c>
      <c r="J3471" s="13" t="n">
        <v>475</v>
      </c>
      <c r="K3471" s="14" t="n">
        <f aca="false">I3471*J3471</f>
        <v>16625</v>
      </c>
      <c r="L3471" s="14" t="n">
        <f aca="false">($L$2*M3471)/100</f>
        <v>420583.275</v>
      </c>
      <c r="M3471" s="15" t="n">
        <v>0.35</v>
      </c>
      <c r="N3471" s="9" t="s">
        <v>20</v>
      </c>
    </row>
    <row r="3472" customFormat="false" ht="14.25" hidden="false" customHeight="true" outlineLevel="0" collapsed="false">
      <c r="B3472" s="9" t="s">
        <v>36</v>
      </c>
      <c r="C3472" s="9" t="n">
        <v>1185732</v>
      </c>
      <c r="D3472" s="10" t="n">
        <v>44293</v>
      </c>
      <c r="E3472" s="9" t="s">
        <v>17</v>
      </c>
      <c r="F3472" s="9" t="s">
        <v>125</v>
      </c>
      <c r="G3472" s="9" t="s">
        <v>126</v>
      </c>
      <c r="H3472" s="11" t="s">
        <v>21</v>
      </c>
      <c r="I3472" s="12" t="n">
        <v>35</v>
      </c>
      <c r="J3472" s="13" t="n">
        <v>175</v>
      </c>
      <c r="K3472" s="14" t="n">
        <f aca="false">I3472*J3472</f>
        <v>6125</v>
      </c>
      <c r="L3472" s="14" t="n">
        <f aca="false">($L$2*M3472)/100</f>
        <v>420583.275</v>
      </c>
      <c r="M3472" s="15" t="n">
        <v>0.35</v>
      </c>
      <c r="N3472" s="9" t="s">
        <v>20</v>
      </c>
    </row>
    <row r="3473" customFormat="false" ht="14.25" hidden="false" customHeight="true" outlineLevel="0" collapsed="false">
      <c r="B3473" s="9" t="s">
        <v>36</v>
      </c>
      <c r="C3473" s="9" t="n">
        <v>1185732</v>
      </c>
      <c r="D3473" s="10" t="n">
        <v>44293</v>
      </c>
      <c r="E3473" s="9" t="s">
        <v>17</v>
      </c>
      <c r="F3473" s="9" t="s">
        <v>125</v>
      </c>
      <c r="G3473" s="9" t="s">
        <v>126</v>
      </c>
      <c r="H3473" s="11" t="s">
        <v>22</v>
      </c>
      <c r="I3473" s="12" t="n">
        <v>25</v>
      </c>
      <c r="J3473" s="13" t="n">
        <v>175</v>
      </c>
      <c r="K3473" s="14" t="n">
        <f aca="false">I3473*J3473</f>
        <v>4375</v>
      </c>
      <c r="L3473" s="14" t="n">
        <f aca="false">($L$2*M3473)/100</f>
        <v>480666.6</v>
      </c>
      <c r="M3473" s="15" t="n">
        <v>0.4</v>
      </c>
      <c r="N3473" s="9" t="s">
        <v>20</v>
      </c>
    </row>
    <row r="3474" customFormat="false" ht="14.25" hidden="false" customHeight="true" outlineLevel="0" collapsed="false">
      <c r="B3474" s="9" t="s">
        <v>36</v>
      </c>
      <c r="C3474" s="9" t="n">
        <v>1185732</v>
      </c>
      <c r="D3474" s="10" t="n">
        <v>44293</v>
      </c>
      <c r="E3474" s="9" t="s">
        <v>17</v>
      </c>
      <c r="F3474" s="9" t="s">
        <v>125</v>
      </c>
      <c r="G3474" s="9" t="s">
        <v>126</v>
      </c>
      <c r="H3474" s="11" t="s">
        <v>23</v>
      </c>
      <c r="I3474" s="12" t="n">
        <v>30</v>
      </c>
      <c r="J3474" s="13" t="n">
        <v>100</v>
      </c>
      <c r="K3474" s="14" t="n">
        <f aca="false">I3474*J3474</f>
        <v>3000</v>
      </c>
      <c r="L3474" s="14" t="n">
        <f aca="false">($L$2*M3474)/100</f>
        <v>480666.6</v>
      </c>
      <c r="M3474" s="15" t="n">
        <v>0.4</v>
      </c>
      <c r="N3474" s="9" t="s">
        <v>20</v>
      </c>
    </row>
    <row r="3475" customFormat="false" ht="14.25" hidden="false" customHeight="true" outlineLevel="0" collapsed="false">
      <c r="B3475" s="9" t="s">
        <v>36</v>
      </c>
      <c r="C3475" s="9" t="n">
        <v>1185732</v>
      </c>
      <c r="D3475" s="10" t="n">
        <v>44293</v>
      </c>
      <c r="E3475" s="9" t="s">
        <v>17</v>
      </c>
      <c r="F3475" s="9" t="s">
        <v>125</v>
      </c>
      <c r="G3475" s="9" t="s">
        <v>126</v>
      </c>
      <c r="H3475" s="11" t="s">
        <v>24</v>
      </c>
      <c r="I3475" s="12" t="n">
        <v>45</v>
      </c>
      <c r="J3475" s="13" t="n">
        <v>100</v>
      </c>
      <c r="K3475" s="14" t="n">
        <f aca="false">I3475*J3475</f>
        <v>4500</v>
      </c>
      <c r="L3475" s="14" t="n">
        <f aca="false">($L$2*M3475)/100</f>
        <v>360499.95</v>
      </c>
      <c r="M3475" s="15" t="n">
        <v>0.3</v>
      </c>
      <c r="N3475" s="9" t="s">
        <v>20</v>
      </c>
    </row>
    <row r="3476" customFormat="false" ht="14.25" hidden="false" customHeight="true" outlineLevel="0" collapsed="false">
      <c r="B3476" s="9" t="s">
        <v>36</v>
      </c>
      <c r="C3476" s="9" t="n">
        <v>1185732</v>
      </c>
      <c r="D3476" s="10" t="n">
        <v>44293</v>
      </c>
      <c r="E3476" s="9" t="s">
        <v>17</v>
      </c>
      <c r="F3476" s="9" t="s">
        <v>125</v>
      </c>
      <c r="G3476" s="9" t="s">
        <v>126</v>
      </c>
      <c r="H3476" s="11" t="s">
        <v>25</v>
      </c>
      <c r="I3476" s="12" t="n">
        <v>35</v>
      </c>
      <c r="J3476" s="13" t="n">
        <v>250</v>
      </c>
      <c r="K3476" s="14" t="n">
        <f aca="false">I3476*J3476</f>
        <v>8750</v>
      </c>
      <c r="L3476" s="14" t="n">
        <f aca="false">($L$2*M3476)/100</f>
        <v>480666.6</v>
      </c>
      <c r="M3476" s="15" t="n">
        <v>0.4</v>
      </c>
      <c r="N3476" s="9" t="s">
        <v>20</v>
      </c>
    </row>
    <row r="3477" customFormat="false" ht="14.25" hidden="false" customHeight="true" outlineLevel="0" collapsed="false">
      <c r="B3477" s="9" t="s">
        <v>36</v>
      </c>
      <c r="C3477" s="9" t="n">
        <v>1185732</v>
      </c>
      <c r="D3477" s="10" t="n">
        <v>44322</v>
      </c>
      <c r="E3477" s="9" t="s">
        <v>17</v>
      </c>
      <c r="F3477" s="9" t="s">
        <v>125</v>
      </c>
      <c r="G3477" s="9" t="s">
        <v>126</v>
      </c>
      <c r="H3477" s="11" t="s">
        <v>19</v>
      </c>
      <c r="I3477" s="12" t="n">
        <v>50</v>
      </c>
      <c r="J3477" s="13" t="n">
        <v>520</v>
      </c>
      <c r="K3477" s="14" t="n">
        <f aca="false">I3477*J3477</f>
        <v>26000</v>
      </c>
      <c r="L3477" s="14" t="n">
        <f aca="false">($L$2*M3477)/100</f>
        <v>420583.275</v>
      </c>
      <c r="M3477" s="15" t="n">
        <v>0.35</v>
      </c>
      <c r="N3477" s="9" t="s">
        <v>20</v>
      </c>
    </row>
    <row r="3478" customFormat="false" ht="14.25" hidden="false" customHeight="true" outlineLevel="0" collapsed="false">
      <c r="B3478" s="9" t="s">
        <v>36</v>
      </c>
      <c r="C3478" s="9" t="n">
        <v>1185732</v>
      </c>
      <c r="D3478" s="10" t="n">
        <v>44322</v>
      </c>
      <c r="E3478" s="9" t="s">
        <v>17</v>
      </c>
      <c r="F3478" s="9" t="s">
        <v>125</v>
      </c>
      <c r="G3478" s="9" t="s">
        <v>126</v>
      </c>
      <c r="H3478" s="11" t="s">
        <v>21</v>
      </c>
      <c r="I3478" s="12" t="n">
        <v>45</v>
      </c>
      <c r="J3478" s="13" t="n">
        <v>225</v>
      </c>
      <c r="K3478" s="14" t="n">
        <f aca="false">I3478*J3478</f>
        <v>10125</v>
      </c>
      <c r="L3478" s="14" t="n">
        <f aca="false">($L$2*M3478)/100</f>
        <v>420583.275</v>
      </c>
      <c r="M3478" s="15" t="n">
        <v>0.35</v>
      </c>
      <c r="N3478" s="9" t="s">
        <v>20</v>
      </c>
    </row>
    <row r="3479" customFormat="false" ht="14.25" hidden="false" customHeight="true" outlineLevel="0" collapsed="false">
      <c r="B3479" s="9" t="s">
        <v>36</v>
      </c>
      <c r="C3479" s="9" t="n">
        <v>1185732</v>
      </c>
      <c r="D3479" s="10" t="n">
        <v>44322</v>
      </c>
      <c r="E3479" s="9" t="s">
        <v>17</v>
      </c>
      <c r="F3479" s="9" t="s">
        <v>125</v>
      </c>
      <c r="G3479" s="9" t="s">
        <v>126</v>
      </c>
      <c r="H3479" s="11" t="s">
        <v>22</v>
      </c>
      <c r="I3479" s="12" t="n">
        <v>40</v>
      </c>
      <c r="J3479" s="13" t="n">
        <v>250</v>
      </c>
      <c r="K3479" s="14" t="n">
        <f aca="false">I3479*J3479</f>
        <v>10000</v>
      </c>
      <c r="L3479" s="14" t="n">
        <f aca="false">($L$2*M3479)/100</f>
        <v>480666.6</v>
      </c>
      <c r="M3479" s="15" t="n">
        <v>0.4</v>
      </c>
      <c r="N3479" s="9" t="s">
        <v>20</v>
      </c>
    </row>
    <row r="3480" customFormat="false" ht="14.25" hidden="false" customHeight="true" outlineLevel="0" collapsed="false">
      <c r="B3480" s="9" t="s">
        <v>36</v>
      </c>
      <c r="C3480" s="9" t="n">
        <v>1185732</v>
      </c>
      <c r="D3480" s="10" t="n">
        <v>44322</v>
      </c>
      <c r="E3480" s="9" t="s">
        <v>17</v>
      </c>
      <c r="F3480" s="9" t="s">
        <v>125</v>
      </c>
      <c r="G3480" s="9" t="s">
        <v>126</v>
      </c>
      <c r="H3480" s="11" t="s">
        <v>23</v>
      </c>
      <c r="I3480" s="12" t="n">
        <v>40</v>
      </c>
      <c r="J3480" s="13" t="n">
        <v>200</v>
      </c>
      <c r="K3480" s="14" t="n">
        <f aca="false">I3480*J3480</f>
        <v>8000</v>
      </c>
      <c r="L3480" s="14" t="n">
        <f aca="false">($L$2*M3480)/100</f>
        <v>480666.6</v>
      </c>
      <c r="M3480" s="15" t="n">
        <v>0.4</v>
      </c>
      <c r="N3480" s="9" t="s">
        <v>20</v>
      </c>
    </row>
    <row r="3481" customFormat="false" ht="14.25" hidden="false" customHeight="true" outlineLevel="0" collapsed="false">
      <c r="B3481" s="9" t="s">
        <v>36</v>
      </c>
      <c r="C3481" s="9" t="n">
        <v>1185732</v>
      </c>
      <c r="D3481" s="10" t="n">
        <v>44322</v>
      </c>
      <c r="E3481" s="9" t="s">
        <v>17</v>
      </c>
      <c r="F3481" s="9" t="s">
        <v>125</v>
      </c>
      <c r="G3481" s="9" t="s">
        <v>126</v>
      </c>
      <c r="H3481" s="11" t="s">
        <v>24</v>
      </c>
      <c r="I3481" s="12" t="n">
        <v>50</v>
      </c>
      <c r="J3481" s="13" t="n">
        <v>225</v>
      </c>
      <c r="K3481" s="14" t="n">
        <f aca="false">I3481*J3481</f>
        <v>11250</v>
      </c>
      <c r="L3481" s="14" t="n">
        <f aca="false">($L$2*M3481)/100</f>
        <v>360499.95</v>
      </c>
      <c r="M3481" s="15" t="n">
        <v>0.3</v>
      </c>
      <c r="N3481" s="9" t="s">
        <v>20</v>
      </c>
    </row>
    <row r="3482" customFormat="false" ht="14.25" hidden="false" customHeight="true" outlineLevel="0" collapsed="false">
      <c r="B3482" s="9" t="s">
        <v>36</v>
      </c>
      <c r="C3482" s="9" t="n">
        <v>1185732</v>
      </c>
      <c r="D3482" s="10" t="n">
        <v>44322</v>
      </c>
      <c r="E3482" s="9" t="s">
        <v>17</v>
      </c>
      <c r="F3482" s="9" t="s">
        <v>125</v>
      </c>
      <c r="G3482" s="9" t="s">
        <v>126</v>
      </c>
      <c r="H3482" s="11" t="s">
        <v>25</v>
      </c>
      <c r="I3482" s="12" t="n">
        <v>55</v>
      </c>
      <c r="J3482" s="13" t="n">
        <v>350</v>
      </c>
      <c r="K3482" s="14" t="n">
        <f aca="false">I3482*J3482</f>
        <v>19250</v>
      </c>
      <c r="L3482" s="14" t="n">
        <f aca="false">($L$2*M3482)/100</f>
        <v>480666.6</v>
      </c>
      <c r="M3482" s="15" t="n">
        <v>0.4</v>
      </c>
      <c r="N3482" s="9" t="s">
        <v>20</v>
      </c>
    </row>
    <row r="3483" customFormat="false" ht="14.25" hidden="false" customHeight="true" outlineLevel="0" collapsed="false">
      <c r="B3483" s="9" t="s">
        <v>36</v>
      </c>
      <c r="C3483" s="9" t="n">
        <v>1185732</v>
      </c>
      <c r="D3483" s="10" t="n">
        <v>44355</v>
      </c>
      <c r="E3483" s="9" t="s">
        <v>17</v>
      </c>
      <c r="F3483" s="9" t="s">
        <v>125</v>
      </c>
      <c r="G3483" s="9" t="s">
        <v>126</v>
      </c>
      <c r="H3483" s="11" t="s">
        <v>19</v>
      </c>
      <c r="I3483" s="12" t="n">
        <v>50</v>
      </c>
      <c r="J3483" s="13" t="n">
        <v>600</v>
      </c>
      <c r="K3483" s="14" t="n">
        <f aca="false">I3483*J3483</f>
        <v>30000</v>
      </c>
      <c r="L3483" s="14" t="n">
        <f aca="false">($L$2*M3483)/100</f>
        <v>420583.275</v>
      </c>
      <c r="M3483" s="15" t="n">
        <v>0.35</v>
      </c>
      <c r="N3483" s="9" t="s">
        <v>20</v>
      </c>
    </row>
    <row r="3484" customFormat="false" ht="14.25" hidden="false" customHeight="true" outlineLevel="0" collapsed="false">
      <c r="B3484" s="9" t="s">
        <v>36</v>
      </c>
      <c r="C3484" s="9" t="n">
        <v>1185732</v>
      </c>
      <c r="D3484" s="10" t="n">
        <v>44355</v>
      </c>
      <c r="E3484" s="9" t="s">
        <v>17</v>
      </c>
      <c r="F3484" s="9" t="s">
        <v>125</v>
      </c>
      <c r="G3484" s="9" t="s">
        <v>126</v>
      </c>
      <c r="H3484" s="11" t="s">
        <v>21</v>
      </c>
      <c r="I3484" s="12" t="n">
        <v>45</v>
      </c>
      <c r="J3484" s="13" t="n">
        <v>350</v>
      </c>
      <c r="K3484" s="14" t="n">
        <f aca="false">I3484*J3484</f>
        <v>15750</v>
      </c>
      <c r="L3484" s="14" t="n">
        <f aca="false">($L$2*M3484)/100</f>
        <v>420583.275</v>
      </c>
      <c r="M3484" s="15" t="n">
        <v>0.35</v>
      </c>
      <c r="N3484" s="9" t="s">
        <v>20</v>
      </c>
    </row>
    <row r="3485" customFormat="false" ht="14.25" hidden="false" customHeight="true" outlineLevel="0" collapsed="false">
      <c r="B3485" s="9" t="s">
        <v>36</v>
      </c>
      <c r="C3485" s="9" t="n">
        <v>1185732</v>
      </c>
      <c r="D3485" s="10" t="n">
        <v>44355</v>
      </c>
      <c r="E3485" s="9" t="s">
        <v>17</v>
      </c>
      <c r="F3485" s="9" t="s">
        <v>125</v>
      </c>
      <c r="G3485" s="9" t="s">
        <v>126</v>
      </c>
      <c r="H3485" s="11" t="s">
        <v>22</v>
      </c>
      <c r="I3485" s="12" t="n">
        <v>40</v>
      </c>
      <c r="J3485" s="13" t="n">
        <v>275</v>
      </c>
      <c r="K3485" s="14" t="n">
        <f aca="false">I3485*J3485</f>
        <v>11000</v>
      </c>
      <c r="L3485" s="14" t="n">
        <f aca="false">($L$2*M3485)/100</f>
        <v>480666.6</v>
      </c>
      <c r="M3485" s="15" t="n">
        <v>0.4</v>
      </c>
      <c r="N3485" s="9" t="s">
        <v>20</v>
      </c>
    </row>
    <row r="3486" customFormat="false" ht="14.25" hidden="false" customHeight="true" outlineLevel="0" collapsed="false">
      <c r="B3486" s="9" t="s">
        <v>36</v>
      </c>
      <c r="C3486" s="9" t="n">
        <v>1185732</v>
      </c>
      <c r="D3486" s="10" t="n">
        <v>44355</v>
      </c>
      <c r="E3486" s="9" t="s">
        <v>17</v>
      </c>
      <c r="F3486" s="9" t="s">
        <v>125</v>
      </c>
      <c r="G3486" s="9" t="s">
        <v>126</v>
      </c>
      <c r="H3486" s="11" t="s">
        <v>23</v>
      </c>
      <c r="I3486" s="12" t="n">
        <v>40</v>
      </c>
      <c r="J3486" s="13" t="n">
        <v>250</v>
      </c>
      <c r="K3486" s="14" t="n">
        <f aca="false">I3486*J3486</f>
        <v>10000</v>
      </c>
      <c r="L3486" s="14" t="n">
        <f aca="false">($L$2*M3486)/100</f>
        <v>480666.6</v>
      </c>
      <c r="M3486" s="15" t="n">
        <v>0.4</v>
      </c>
      <c r="N3486" s="9" t="s">
        <v>20</v>
      </c>
    </row>
    <row r="3487" customFormat="false" ht="14.25" hidden="false" customHeight="true" outlineLevel="0" collapsed="false">
      <c r="B3487" s="9" t="s">
        <v>36</v>
      </c>
      <c r="C3487" s="9" t="n">
        <v>1185732</v>
      </c>
      <c r="D3487" s="10" t="n">
        <v>44355</v>
      </c>
      <c r="E3487" s="9" t="s">
        <v>17</v>
      </c>
      <c r="F3487" s="9" t="s">
        <v>125</v>
      </c>
      <c r="G3487" s="9" t="s">
        <v>126</v>
      </c>
      <c r="H3487" s="11" t="s">
        <v>24</v>
      </c>
      <c r="I3487" s="12" t="n">
        <v>50</v>
      </c>
      <c r="J3487" s="13" t="n">
        <v>250</v>
      </c>
      <c r="K3487" s="14" t="n">
        <f aca="false">I3487*J3487</f>
        <v>12500</v>
      </c>
      <c r="L3487" s="14" t="n">
        <f aca="false">($L$2*M3487)/100</f>
        <v>360499.95</v>
      </c>
      <c r="M3487" s="15" t="n">
        <v>0.3</v>
      </c>
      <c r="N3487" s="9" t="s">
        <v>20</v>
      </c>
    </row>
    <row r="3488" customFormat="false" ht="14.25" hidden="false" customHeight="true" outlineLevel="0" collapsed="false">
      <c r="B3488" s="9" t="s">
        <v>36</v>
      </c>
      <c r="C3488" s="9" t="n">
        <v>1185732</v>
      </c>
      <c r="D3488" s="10" t="n">
        <v>44355</v>
      </c>
      <c r="E3488" s="9" t="s">
        <v>17</v>
      </c>
      <c r="F3488" s="9" t="s">
        <v>125</v>
      </c>
      <c r="G3488" s="9" t="s">
        <v>126</v>
      </c>
      <c r="H3488" s="11" t="s">
        <v>25</v>
      </c>
      <c r="I3488" s="12" t="n">
        <v>55</v>
      </c>
      <c r="J3488" s="13" t="n">
        <v>400</v>
      </c>
      <c r="K3488" s="14" t="n">
        <f aca="false">I3488*J3488</f>
        <v>22000</v>
      </c>
      <c r="L3488" s="14" t="n">
        <f aca="false">($L$2*M3488)/100</f>
        <v>480666.6</v>
      </c>
      <c r="M3488" s="15" t="n">
        <v>0.4</v>
      </c>
      <c r="N3488" s="9" t="s">
        <v>20</v>
      </c>
    </row>
    <row r="3489" customFormat="false" ht="14.25" hidden="false" customHeight="true" outlineLevel="0" collapsed="false">
      <c r="B3489" s="9" t="s">
        <v>36</v>
      </c>
      <c r="C3489" s="9" t="n">
        <v>1185732</v>
      </c>
      <c r="D3489" s="10" t="n">
        <v>44383</v>
      </c>
      <c r="E3489" s="9" t="s">
        <v>17</v>
      </c>
      <c r="F3489" s="9" t="s">
        <v>125</v>
      </c>
      <c r="G3489" s="9" t="s">
        <v>126</v>
      </c>
      <c r="H3489" s="11" t="s">
        <v>19</v>
      </c>
      <c r="I3489" s="12" t="n">
        <v>50</v>
      </c>
      <c r="J3489" s="13" t="n">
        <v>625</v>
      </c>
      <c r="K3489" s="14" t="n">
        <f aca="false">I3489*J3489</f>
        <v>31250</v>
      </c>
      <c r="L3489" s="14" t="n">
        <f aca="false">($L$2*M3489)/100</f>
        <v>420583.275</v>
      </c>
      <c r="M3489" s="15" t="n">
        <v>0.35</v>
      </c>
      <c r="N3489" s="9" t="s">
        <v>20</v>
      </c>
    </row>
    <row r="3490" customFormat="false" ht="14.25" hidden="false" customHeight="true" outlineLevel="0" collapsed="false">
      <c r="B3490" s="9" t="s">
        <v>36</v>
      </c>
      <c r="C3490" s="9" t="n">
        <v>1185732</v>
      </c>
      <c r="D3490" s="10" t="n">
        <v>44383</v>
      </c>
      <c r="E3490" s="9" t="s">
        <v>17</v>
      </c>
      <c r="F3490" s="9" t="s">
        <v>125</v>
      </c>
      <c r="G3490" s="9" t="s">
        <v>126</v>
      </c>
      <c r="H3490" s="11" t="s">
        <v>21</v>
      </c>
      <c r="I3490" s="12" t="n">
        <v>45</v>
      </c>
      <c r="J3490" s="13" t="n">
        <v>375</v>
      </c>
      <c r="K3490" s="14" t="n">
        <f aca="false">I3490*J3490</f>
        <v>16875</v>
      </c>
      <c r="L3490" s="14" t="n">
        <f aca="false">($L$2*M3490)/100</f>
        <v>420583.275</v>
      </c>
      <c r="M3490" s="15" t="n">
        <v>0.35</v>
      </c>
      <c r="N3490" s="9" t="s">
        <v>20</v>
      </c>
    </row>
    <row r="3491" customFormat="false" ht="14.25" hidden="false" customHeight="true" outlineLevel="0" collapsed="false">
      <c r="B3491" s="9" t="s">
        <v>36</v>
      </c>
      <c r="C3491" s="9" t="n">
        <v>1185732</v>
      </c>
      <c r="D3491" s="10" t="n">
        <v>44383</v>
      </c>
      <c r="E3491" s="9" t="s">
        <v>17</v>
      </c>
      <c r="F3491" s="9" t="s">
        <v>125</v>
      </c>
      <c r="G3491" s="9" t="s">
        <v>126</v>
      </c>
      <c r="H3491" s="11" t="s">
        <v>22</v>
      </c>
      <c r="I3491" s="12" t="n">
        <v>40</v>
      </c>
      <c r="J3491" s="13" t="n">
        <v>300</v>
      </c>
      <c r="K3491" s="14" t="n">
        <f aca="false">I3491*J3491</f>
        <v>12000</v>
      </c>
      <c r="L3491" s="14" t="n">
        <f aca="false">($L$2*M3491)/100</f>
        <v>480666.6</v>
      </c>
      <c r="M3491" s="15" t="n">
        <v>0.4</v>
      </c>
      <c r="N3491" s="9" t="s">
        <v>20</v>
      </c>
    </row>
    <row r="3492" customFormat="false" ht="14.25" hidden="false" customHeight="true" outlineLevel="0" collapsed="false">
      <c r="B3492" s="9" t="s">
        <v>36</v>
      </c>
      <c r="C3492" s="9" t="n">
        <v>1185732</v>
      </c>
      <c r="D3492" s="10" t="n">
        <v>44383</v>
      </c>
      <c r="E3492" s="9" t="s">
        <v>17</v>
      </c>
      <c r="F3492" s="9" t="s">
        <v>125</v>
      </c>
      <c r="G3492" s="9" t="s">
        <v>126</v>
      </c>
      <c r="H3492" s="11" t="s">
        <v>23</v>
      </c>
      <c r="I3492" s="12" t="n">
        <v>40</v>
      </c>
      <c r="J3492" s="13" t="n">
        <v>250</v>
      </c>
      <c r="K3492" s="14" t="n">
        <f aca="false">I3492*J3492</f>
        <v>10000</v>
      </c>
      <c r="L3492" s="14" t="n">
        <f aca="false">($L$2*M3492)/100</f>
        <v>480666.6</v>
      </c>
      <c r="M3492" s="15" t="n">
        <v>0.4</v>
      </c>
      <c r="N3492" s="9" t="s">
        <v>20</v>
      </c>
    </row>
    <row r="3493" customFormat="false" ht="14.25" hidden="false" customHeight="true" outlineLevel="0" collapsed="false">
      <c r="B3493" s="9" t="s">
        <v>36</v>
      </c>
      <c r="C3493" s="9" t="n">
        <v>1185732</v>
      </c>
      <c r="D3493" s="10" t="n">
        <v>44383</v>
      </c>
      <c r="E3493" s="9" t="s">
        <v>17</v>
      </c>
      <c r="F3493" s="9" t="s">
        <v>125</v>
      </c>
      <c r="G3493" s="9" t="s">
        <v>126</v>
      </c>
      <c r="H3493" s="11" t="s">
        <v>24</v>
      </c>
      <c r="I3493" s="12" t="n">
        <v>50</v>
      </c>
      <c r="J3493" s="13" t="n">
        <v>275</v>
      </c>
      <c r="K3493" s="14" t="n">
        <f aca="false">I3493*J3493</f>
        <v>13750</v>
      </c>
      <c r="L3493" s="14" t="n">
        <f aca="false">($L$2*M3493)/100</f>
        <v>360499.95</v>
      </c>
      <c r="M3493" s="15" t="n">
        <v>0.3</v>
      </c>
      <c r="N3493" s="9" t="s">
        <v>20</v>
      </c>
    </row>
    <row r="3494" customFormat="false" ht="14.25" hidden="false" customHeight="true" outlineLevel="0" collapsed="false">
      <c r="B3494" s="9" t="s">
        <v>36</v>
      </c>
      <c r="C3494" s="9" t="n">
        <v>1185732</v>
      </c>
      <c r="D3494" s="10" t="n">
        <v>44383</v>
      </c>
      <c r="E3494" s="9" t="s">
        <v>17</v>
      </c>
      <c r="F3494" s="9" t="s">
        <v>125</v>
      </c>
      <c r="G3494" s="9" t="s">
        <v>126</v>
      </c>
      <c r="H3494" s="11" t="s">
        <v>25</v>
      </c>
      <c r="I3494" s="12" t="n">
        <v>55</v>
      </c>
      <c r="J3494" s="13" t="n">
        <v>450</v>
      </c>
      <c r="K3494" s="14" t="n">
        <f aca="false">I3494*J3494</f>
        <v>24750</v>
      </c>
      <c r="L3494" s="14" t="n">
        <f aca="false">($L$2*M3494)/100</f>
        <v>480666.6</v>
      </c>
      <c r="M3494" s="15" t="n">
        <v>0.4</v>
      </c>
      <c r="N3494" s="9" t="s">
        <v>20</v>
      </c>
    </row>
    <row r="3495" customFormat="false" ht="14.25" hidden="false" customHeight="true" outlineLevel="0" collapsed="false">
      <c r="B3495" s="9" t="s">
        <v>36</v>
      </c>
      <c r="C3495" s="9" t="n">
        <v>1185732</v>
      </c>
      <c r="D3495" s="10" t="n">
        <v>44415</v>
      </c>
      <c r="E3495" s="9" t="s">
        <v>17</v>
      </c>
      <c r="F3495" s="9" t="s">
        <v>125</v>
      </c>
      <c r="G3495" s="9" t="s">
        <v>126</v>
      </c>
      <c r="H3495" s="11" t="s">
        <v>19</v>
      </c>
      <c r="I3495" s="12" t="n">
        <v>50</v>
      </c>
      <c r="J3495" s="13" t="n">
        <v>600</v>
      </c>
      <c r="K3495" s="14" t="n">
        <f aca="false">I3495*J3495</f>
        <v>30000</v>
      </c>
      <c r="L3495" s="14" t="n">
        <f aca="false">($L$2*M3495)/100</f>
        <v>420583.275</v>
      </c>
      <c r="M3495" s="15" t="n">
        <v>0.35</v>
      </c>
      <c r="N3495" s="9" t="s">
        <v>20</v>
      </c>
    </row>
    <row r="3496" customFormat="false" ht="14.25" hidden="false" customHeight="true" outlineLevel="0" collapsed="false">
      <c r="B3496" s="9" t="s">
        <v>36</v>
      </c>
      <c r="C3496" s="9" t="n">
        <v>1185732</v>
      </c>
      <c r="D3496" s="10" t="n">
        <v>44415</v>
      </c>
      <c r="E3496" s="9" t="s">
        <v>17</v>
      </c>
      <c r="F3496" s="9" t="s">
        <v>125</v>
      </c>
      <c r="G3496" s="9" t="s">
        <v>126</v>
      </c>
      <c r="H3496" s="11" t="s">
        <v>21</v>
      </c>
      <c r="I3496" s="12" t="n">
        <v>45</v>
      </c>
      <c r="J3496" s="13" t="n">
        <v>375</v>
      </c>
      <c r="K3496" s="14" t="n">
        <f aca="false">I3496*J3496</f>
        <v>16875</v>
      </c>
      <c r="L3496" s="14" t="n">
        <f aca="false">($L$2*M3496)/100</f>
        <v>420583.275</v>
      </c>
      <c r="M3496" s="15" t="n">
        <v>0.35</v>
      </c>
      <c r="N3496" s="9" t="s">
        <v>20</v>
      </c>
    </row>
    <row r="3497" customFormat="false" ht="14.25" hidden="false" customHeight="true" outlineLevel="0" collapsed="false">
      <c r="B3497" s="9" t="s">
        <v>36</v>
      </c>
      <c r="C3497" s="9" t="n">
        <v>1185732</v>
      </c>
      <c r="D3497" s="10" t="n">
        <v>44415</v>
      </c>
      <c r="E3497" s="9" t="s">
        <v>17</v>
      </c>
      <c r="F3497" s="9" t="s">
        <v>125</v>
      </c>
      <c r="G3497" s="9" t="s">
        <v>126</v>
      </c>
      <c r="H3497" s="11" t="s">
        <v>22</v>
      </c>
      <c r="I3497" s="12" t="n">
        <v>40</v>
      </c>
      <c r="J3497" s="13" t="n">
        <v>300</v>
      </c>
      <c r="K3497" s="14" t="n">
        <f aca="false">I3497*J3497</f>
        <v>12000</v>
      </c>
      <c r="L3497" s="14" t="n">
        <f aca="false">($L$2*M3497)/100</f>
        <v>480666.6</v>
      </c>
      <c r="M3497" s="15" t="n">
        <v>0.4</v>
      </c>
      <c r="N3497" s="9" t="s">
        <v>20</v>
      </c>
    </row>
    <row r="3498" customFormat="false" ht="14.25" hidden="false" customHeight="true" outlineLevel="0" collapsed="false">
      <c r="B3498" s="9" t="s">
        <v>36</v>
      </c>
      <c r="C3498" s="9" t="n">
        <v>1185732</v>
      </c>
      <c r="D3498" s="10" t="n">
        <v>44415</v>
      </c>
      <c r="E3498" s="9" t="s">
        <v>17</v>
      </c>
      <c r="F3498" s="9" t="s">
        <v>125</v>
      </c>
      <c r="G3498" s="9" t="s">
        <v>126</v>
      </c>
      <c r="H3498" s="11" t="s">
        <v>23</v>
      </c>
      <c r="I3498" s="12" t="n">
        <v>40</v>
      </c>
      <c r="J3498" s="13" t="n">
        <v>200</v>
      </c>
      <c r="K3498" s="14" t="n">
        <f aca="false">I3498*J3498</f>
        <v>8000</v>
      </c>
      <c r="L3498" s="14" t="n">
        <f aca="false">($L$2*M3498)/100</f>
        <v>480666.6</v>
      </c>
      <c r="M3498" s="15" t="n">
        <v>0.4</v>
      </c>
      <c r="N3498" s="9" t="s">
        <v>20</v>
      </c>
    </row>
    <row r="3499" customFormat="false" ht="14.25" hidden="false" customHeight="true" outlineLevel="0" collapsed="false">
      <c r="B3499" s="9" t="s">
        <v>36</v>
      </c>
      <c r="C3499" s="9" t="n">
        <v>1185732</v>
      </c>
      <c r="D3499" s="10" t="n">
        <v>44415</v>
      </c>
      <c r="E3499" s="9" t="s">
        <v>17</v>
      </c>
      <c r="F3499" s="9" t="s">
        <v>125</v>
      </c>
      <c r="G3499" s="9" t="s">
        <v>126</v>
      </c>
      <c r="H3499" s="11" t="s">
        <v>24</v>
      </c>
      <c r="I3499" s="12" t="n">
        <v>50</v>
      </c>
      <c r="J3499" s="13" t="n">
        <v>175</v>
      </c>
      <c r="K3499" s="14" t="n">
        <f aca="false">I3499*J3499</f>
        <v>8750</v>
      </c>
      <c r="L3499" s="14" t="n">
        <f aca="false">($L$2*M3499)/100</f>
        <v>360499.95</v>
      </c>
      <c r="M3499" s="15" t="n">
        <v>0.3</v>
      </c>
      <c r="N3499" s="9" t="s">
        <v>20</v>
      </c>
    </row>
    <row r="3500" customFormat="false" ht="14.25" hidden="false" customHeight="true" outlineLevel="0" collapsed="false">
      <c r="B3500" s="9" t="s">
        <v>36</v>
      </c>
      <c r="C3500" s="9" t="n">
        <v>1185732</v>
      </c>
      <c r="D3500" s="10" t="n">
        <v>44415</v>
      </c>
      <c r="E3500" s="9" t="s">
        <v>17</v>
      </c>
      <c r="F3500" s="9" t="s">
        <v>125</v>
      </c>
      <c r="G3500" s="9" t="s">
        <v>126</v>
      </c>
      <c r="H3500" s="11" t="s">
        <v>25</v>
      </c>
      <c r="I3500" s="12" t="n">
        <v>55</v>
      </c>
      <c r="J3500" s="13" t="n">
        <v>350</v>
      </c>
      <c r="K3500" s="14" t="n">
        <f aca="false">I3500*J3500</f>
        <v>19250</v>
      </c>
      <c r="L3500" s="14" t="n">
        <f aca="false">($L$2*M3500)/100</f>
        <v>480666.6</v>
      </c>
      <c r="M3500" s="15" t="n">
        <v>0.4</v>
      </c>
      <c r="N3500" s="9" t="s">
        <v>20</v>
      </c>
    </row>
    <row r="3501" customFormat="false" ht="14.25" hidden="false" customHeight="true" outlineLevel="0" collapsed="false">
      <c r="B3501" s="9" t="s">
        <v>36</v>
      </c>
      <c r="C3501" s="9" t="n">
        <v>1185732</v>
      </c>
      <c r="D3501" s="10" t="n">
        <v>44445</v>
      </c>
      <c r="E3501" s="9" t="s">
        <v>17</v>
      </c>
      <c r="F3501" s="9" t="s">
        <v>125</v>
      </c>
      <c r="G3501" s="9" t="s">
        <v>126</v>
      </c>
      <c r="H3501" s="11" t="s">
        <v>19</v>
      </c>
      <c r="I3501" s="12" t="n">
        <v>50</v>
      </c>
      <c r="J3501" s="13" t="n">
        <v>475</v>
      </c>
      <c r="K3501" s="14" t="n">
        <f aca="false">I3501*J3501</f>
        <v>23750</v>
      </c>
      <c r="L3501" s="14" t="n">
        <f aca="false">($L$2*M3501)/100</f>
        <v>420583.275</v>
      </c>
      <c r="M3501" s="15" t="n">
        <v>0.35</v>
      </c>
      <c r="N3501" s="9" t="s">
        <v>20</v>
      </c>
    </row>
    <row r="3502" customFormat="false" ht="14.25" hidden="false" customHeight="true" outlineLevel="0" collapsed="false">
      <c r="B3502" s="9" t="s">
        <v>36</v>
      </c>
      <c r="C3502" s="9" t="n">
        <v>1185732</v>
      </c>
      <c r="D3502" s="10" t="n">
        <v>44445</v>
      </c>
      <c r="E3502" s="9" t="s">
        <v>17</v>
      </c>
      <c r="F3502" s="9" t="s">
        <v>125</v>
      </c>
      <c r="G3502" s="9" t="s">
        <v>126</v>
      </c>
      <c r="H3502" s="11" t="s">
        <v>21</v>
      </c>
      <c r="I3502" s="12" t="n">
        <v>45</v>
      </c>
      <c r="J3502" s="13" t="n">
        <v>275</v>
      </c>
      <c r="K3502" s="14" t="n">
        <f aca="false">I3502*J3502</f>
        <v>12375</v>
      </c>
      <c r="L3502" s="14" t="n">
        <f aca="false">($L$2*M3502)/100</f>
        <v>420583.275</v>
      </c>
      <c r="M3502" s="15" t="n">
        <v>0.35</v>
      </c>
      <c r="N3502" s="9" t="s">
        <v>20</v>
      </c>
    </row>
    <row r="3503" customFormat="false" ht="14.25" hidden="false" customHeight="true" outlineLevel="0" collapsed="false">
      <c r="B3503" s="9" t="s">
        <v>36</v>
      </c>
      <c r="C3503" s="9" t="n">
        <v>1185732</v>
      </c>
      <c r="D3503" s="10" t="n">
        <v>44445</v>
      </c>
      <c r="E3503" s="9" t="s">
        <v>17</v>
      </c>
      <c r="F3503" s="9" t="s">
        <v>125</v>
      </c>
      <c r="G3503" s="9" t="s">
        <v>126</v>
      </c>
      <c r="H3503" s="11" t="s">
        <v>22</v>
      </c>
      <c r="I3503" s="12" t="n">
        <v>40</v>
      </c>
      <c r="J3503" s="13" t="n">
        <v>175</v>
      </c>
      <c r="K3503" s="14" t="n">
        <f aca="false">I3503*J3503</f>
        <v>7000</v>
      </c>
      <c r="L3503" s="14" t="n">
        <f aca="false">($L$2*M3503)/100</f>
        <v>480666.6</v>
      </c>
      <c r="M3503" s="15" t="n">
        <v>0.4</v>
      </c>
      <c r="N3503" s="9" t="s">
        <v>20</v>
      </c>
    </row>
    <row r="3504" customFormat="false" ht="14.25" hidden="false" customHeight="true" outlineLevel="0" collapsed="false">
      <c r="B3504" s="9" t="s">
        <v>36</v>
      </c>
      <c r="C3504" s="9" t="n">
        <v>1185732</v>
      </c>
      <c r="D3504" s="10" t="n">
        <v>44445</v>
      </c>
      <c r="E3504" s="9" t="s">
        <v>17</v>
      </c>
      <c r="F3504" s="9" t="s">
        <v>125</v>
      </c>
      <c r="G3504" s="9" t="s">
        <v>126</v>
      </c>
      <c r="H3504" s="11" t="s">
        <v>23</v>
      </c>
      <c r="I3504" s="12" t="n">
        <v>40</v>
      </c>
      <c r="J3504" s="13" t="n">
        <v>150</v>
      </c>
      <c r="K3504" s="14" t="n">
        <f aca="false">I3504*J3504</f>
        <v>6000</v>
      </c>
      <c r="L3504" s="14" t="n">
        <f aca="false">($L$2*M3504)/100</f>
        <v>480666.6</v>
      </c>
      <c r="M3504" s="15" t="n">
        <v>0.4</v>
      </c>
      <c r="N3504" s="9" t="s">
        <v>20</v>
      </c>
    </row>
    <row r="3505" customFormat="false" ht="14.25" hidden="false" customHeight="true" outlineLevel="0" collapsed="false">
      <c r="B3505" s="9" t="s">
        <v>36</v>
      </c>
      <c r="C3505" s="9" t="n">
        <v>1185732</v>
      </c>
      <c r="D3505" s="10" t="n">
        <v>44445</v>
      </c>
      <c r="E3505" s="9" t="s">
        <v>17</v>
      </c>
      <c r="F3505" s="9" t="s">
        <v>125</v>
      </c>
      <c r="G3505" s="9" t="s">
        <v>126</v>
      </c>
      <c r="H3505" s="11" t="s">
        <v>24</v>
      </c>
      <c r="I3505" s="12" t="n">
        <v>50</v>
      </c>
      <c r="J3505" s="13" t="n">
        <v>150</v>
      </c>
      <c r="K3505" s="14" t="n">
        <f aca="false">I3505*J3505</f>
        <v>7500</v>
      </c>
      <c r="L3505" s="14" t="n">
        <f aca="false">($L$2*M3505)/100</f>
        <v>360499.95</v>
      </c>
      <c r="M3505" s="15" t="n">
        <v>0.3</v>
      </c>
      <c r="N3505" s="9" t="s">
        <v>20</v>
      </c>
    </row>
    <row r="3506" customFormat="false" ht="14.25" hidden="false" customHeight="true" outlineLevel="0" collapsed="false">
      <c r="B3506" s="9" t="s">
        <v>36</v>
      </c>
      <c r="C3506" s="9" t="n">
        <v>1185732</v>
      </c>
      <c r="D3506" s="10" t="n">
        <v>44445</v>
      </c>
      <c r="E3506" s="9" t="s">
        <v>17</v>
      </c>
      <c r="F3506" s="9" t="s">
        <v>125</v>
      </c>
      <c r="G3506" s="9" t="s">
        <v>126</v>
      </c>
      <c r="H3506" s="11" t="s">
        <v>25</v>
      </c>
      <c r="I3506" s="12" t="n">
        <v>55</v>
      </c>
      <c r="J3506" s="13" t="n">
        <v>250</v>
      </c>
      <c r="K3506" s="14" t="n">
        <f aca="false">I3506*J3506</f>
        <v>13750</v>
      </c>
      <c r="L3506" s="14" t="n">
        <f aca="false">($L$2*M3506)/100</f>
        <v>480666.6</v>
      </c>
      <c r="M3506" s="15" t="n">
        <v>0.4</v>
      </c>
      <c r="N3506" s="9" t="s">
        <v>20</v>
      </c>
    </row>
    <row r="3507" customFormat="false" ht="14.25" hidden="false" customHeight="true" outlineLevel="0" collapsed="false">
      <c r="B3507" s="9" t="s">
        <v>36</v>
      </c>
      <c r="C3507" s="9" t="n">
        <v>1185732</v>
      </c>
      <c r="D3507" s="10" t="n">
        <v>44477</v>
      </c>
      <c r="E3507" s="9" t="s">
        <v>17</v>
      </c>
      <c r="F3507" s="9" t="s">
        <v>125</v>
      </c>
      <c r="G3507" s="9" t="s">
        <v>126</v>
      </c>
      <c r="H3507" s="11" t="s">
        <v>19</v>
      </c>
      <c r="I3507" s="12" t="n">
        <v>55</v>
      </c>
      <c r="J3507" s="13" t="n">
        <v>425</v>
      </c>
      <c r="K3507" s="14" t="n">
        <f aca="false">I3507*J3507</f>
        <v>23375</v>
      </c>
      <c r="L3507" s="14" t="n">
        <f aca="false">($L$2*M3507)/100</f>
        <v>420583.275</v>
      </c>
      <c r="M3507" s="15" t="n">
        <v>0.35</v>
      </c>
      <c r="N3507" s="9" t="s">
        <v>20</v>
      </c>
    </row>
    <row r="3508" customFormat="false" ht="14.25" hidden="false" customHeight="true" outlineLevel="0" collapsed="false">
      <c r="B3508" s="9" t="s">
        <v>36</v>
      </c>
      <c r="C3508" s="9" t="n">
        <v>1185732</v>
      </c>
      <c r="D3508" s="10" t="n">
        <v>44477</v>
      </c>
      <c r="E3508" s="9" t="s">
        <v>17</v>
      </c>
      <c r="F3508" s="9" t="s">
        <v>125</v>
      </c>
      <c r="G3508" s="9" t="s">
        <v>126</v>
      </c>
      <c r="H3508" s="11" t="s">
        <v>21</v>
      </c>
      <c r="I3508" s="12" t="n">
        <v>50</v>
      </c>
      <c r="J3508" s="13" t="n">
        <v>250</v>
      </c>
      <c r="K3508" s="14" t="n">
        <f aca="false">I3508*J3508</f>
        <v>12500</v>
      </c>
      <c r="L3508" s="14" t="n">
        <f aca="false">($L$2*M3508)/100</f>
        <v>420583.275</v>
      </c>
      <c r="M3508" s="15" t="n">
        <v>0.35</v>
      </c>
      <c r="N3508" s="9" t="s">
        <v>20</v>
      </c>
    </row>
    <row r="3509" customFormat="false" ht="14.25" hidden="false" customHeight="true" outlineLevel="0" collapsed="false">
      <c r="B3509" s="9" t="s">
        <v>36</v>
      </c>
      <c r="C3509" s="9" t="n">
        <v>1185732</v>
      </c>
      <c r="D3509" s="10" t="n">
        <v>44477</v>
      </c>
      <c r="E3509" s="9" t="s">
        <v>17</v>
      </c>
      <c r="F3509" s="9" t="s">
        <v>125</v>
      </c>
      <c r="G3509" s="9" t="s">
        <v>126</v>
      </c>
      <c r="H3509" s="11" t="s">
        <v>22</v>
      </c>
      <c r="I3509" s="12" t="n">
        <v>50</v>
      </c>
      <c r="J3509" s="13" t="n">
        <v>150</v>
      </c>
      <c r="K3509" s="14" t="n">
        <f aca="false">I3509*J3509</f>
        <v>7500</v>
      </c>
      <c r="L3509" s="14" t="n">
        <f aca="false">($L$2*M3509)/100</f>
        <v>480666.6</v>
      </c>
      <c r="M3509" s="15" t="n">
        <v>0.4</v>
      </c>
      <c r="N3509" s="9" t="s">
        <v>20</v>
      </c>
    </row>
    <row r="3510" customFormat="false" ht="14.25" hidden="false" customHeight="true" outlineLevel="0" collapsed="false">
      <c r="B3510" s="9" t="s">
        <v>36</v>
      </c>
      <c r="C3510" s="9" t="n">
        <v>1185732</v>
      </c>
      <c r="D3510" s="10" t="n">
        <v>44477</v>
      </c>
      <c r="E3510" s="9" t="s">
        <v>17</v>
      </c>
      <c r="F3510" s="9" t="s">
        <v>125</v>
      </c>
      <c r="G3510" s="9" t="s">
        <v>126</v>
      </c>
      <c r="H3510" s="11" t="s">
        <v>23</v>
      </c>
      <c r="I3510" s="12" t="n">
        <v>50</v>
      </c>
      <c r="J3510" s="13" t="n">
        <v>125</v>
      </c>
      <c r="K3510" s="14" t="n">
        <f aca="false">I3510*J3510</f>
        <v>6250</v>
      </c>
      <c r="L3510" s="14" t="n">
        <f aca="false">($L$2*M3510)/100</f>
        <v>480666.6</v>
      </c>
      <c r="M3510" s="15" t="n">
        <v>0.4</v>
      </c>
      <c r="N3510" s="9" t="s">
        <v>20</v>
      </c>
    </row>
    <row r="3511" customFormat="false" ht="14.25" hidden="false" customHeight="true" outlineLevel="0" collapsed="false">
      <c r="B3511" s="9" t="s">
        <v>36</v>
      </c>
      <c r="C3511" s="9" t="n">
        <v>1185732</v>
      </c>
      <c r="D3511" s="10" t="n">
        <v>44477</v>
      </c>
      <c r="E3511" s="9" t="s">
        <v>17</v>
      </c>
      <c r="F3511" s="9" t="s">
        <v>125</v>
      </c>
      <c r="G3511" s="9" t="s">
        <v>126</v>
      </c>
      <c r="H3511" s="11" t="s">
        <v>24</v>
      </c>
      <c r="I3511" s="12" t="n">
        <v>60</v>
      </c>
      <c r="J3511" s="13" t="n">
        <v>125</v>
      </c>
      <c r="K3511" s="14" t="n">
        <f aca="false">I3511*J3511</f>
        <v>7500</v>
      </c>
      <c r="L3511" s="14" t="n">
        <f aca="false">($L$2*M3511)/100</f>
        <v>360499.95</v>
      </c>
      <c r="M3511" s="15" t="n">
        <v>0.3</v>
      </c>
      <c r="N3511" s="9" t="s">
        <v>20</v>
      </c>
    </row>
    <row r="3512" customFormat="false" ht="14.25" hidden="false" customHeight="true" outlineLevel="0" collapsed="false">
      <c r="B3512" s="9" t="s">
        <v>28</v>
      </c>
      <c r="C3512" s="9" t="n">
        <v>1185732</v>
      </c>
      <c r="D3512" s="10" t="n">
        <v>44477</v>
      </c>
      <c r="E3512" s="9" t="s">
        <v>17</v>
      </c>
      <c r="F3512" s="9" t="s">
        <v>125</v>
      </c>
      <c r="G3512" s="9" t="s">
        <v>126</v>
      </c>
      <c r="H3512" s="11" t="s">
        <v>25</v>
      </c>
      <c r="I3512" s="12" t="n">
        <v>65</v>
      </c>
      <c r="J3512" s="13" t="n">
        <v>250</v>
      </c>
      <c r="K3512" s="14" t="n">
        <f aca="false">I3512*J3512</f>
        <v>16250</v>
      </c>
      <c r="L3512" s="14" t="n">
        <f aca="false">($L$2*M3512)/100</f>
        <v>480666.6</v>
      </c>
      <c r="M3512" s="15" t="n">
        <v>0.4</v>
      </c>
      <c r="N3512" s="9" t="s">
        <v>20</v>
      </c>
    </row>
    <row r="3513" customFormat="false" ht="14.25" hidden="false" customHeight="true" outlineLevel="0" collapsed="false">
      <c r="B3513" s="9" t="s">
        <v>28</v>
      </c>
      <c r="C3513" s="9" t="n">
        <v>1185732</v>
      </c>
      <c r="D3513" s="10" t="n">
        <v>44507</v>
      </c>
      <c r="E3513" s="9" t="s">
        <v>17</v>
      </c>
      <c r="F3513" s="9" t="s">
        <v>125</v>
      </c>
      <c r="G3513" s="9" t="s">
        <v>126</v>
      </c>
      <c r="H3513" s="11" t="s">
        <v>19</v>
      </c>
      <c r="I3513" s="12" t="n">
        <v>60</v>
      </c>
      <c r="J3513" s="13" t="n">
        <v>400</v>
      </c>
      <c r="K3513" s="14" t="n">
        <f aca="false">I3513*J3513</f>
        <v>24000</v>
      </c>
      <c r="L3513" s="14" t="n">
        <f aca="false">($L$2*M3513)/100</f>
        <v>420583.275</v>
      </c>
      <c r="M3513" s="15" t="n">
        <v>0.35</v>
      </c>
      <c r="N3513" s="9" t="s">
        <v>20</v>
      </c>
    </row>
    <row r="3514" customFormat="false" ht="14.25" hidden="false" customHeight="true" outlineLevel="0" collapsed="false">
      <c r="B3514" s="9" t="s">
        <v>28</v>
      </c>
      <c r="C3514" s="9" t="n">
        <v>1185732</v>
      </c>
      <c r="D3514" s="10" t="n">
        <v>44507</v>
      </c>
      <c r="E3514" s="9" t="s">
        <v>17</v>
      </c>
      <c r="F3514" s="9" t="s">
        <v>125</v>
      </c>
      <c r="G3514" s="9" t="s">
        <v>126</v>
      </c>
      <c r="H3514" s="11" t="s">
        <v>21</v>
      </c>
      <c r="I3514" s="12" t="n">
        <v>50</v>
      </c>
      <c r="J3514" s="13" t="n">
        <v>275</v>
      </c>
      <c r="K3514" s="14" t="n">
        <f aca="false">I3514*J3514</f>
        <v>13750</v>
      </c>
      <c r="L3514" s="14" t="n">
        <f aca="false">($L$2*M3514)/100</f>
        <v>420583.275</v>
      </c>
      <c r="M3514" s="15" t="n">
        <v>0.35</v>
      </c>
      <c r="N3514" s="9" t="s">
        <v>20</v>
      </c>
    </row>
    <row r="3515" customFormat="false" ht="14.25" hidden="false" customHeight="true" outlineLevel="0" collapsed="false">
      <c r="B3515" s="9" t="s">
        <v>28</v>
      </c>
      <c r="C3515" s="9" t="n">
        <v>1185732</v>
      </c>
      <c r="D3515" s="10" t="n">
        <v>44507</v>
      </c>
      <c r="E3515" s="9" t="s">
        <v>17</v>
      </c>
      <c r="F3515" s="9" t="s">
        <v>125</v>
      </c>
      <c r="G3515" s="9" t="s">
        <v>126</v>
      </c>
      <c r="H3515" s="11" t="s">
        <v>22</v>
      </c>
      <c r="I3515" s="12" t="n">
        <v>50</v>
      </c>
      <c r="J3515" s="13" t="n">
        <v>270</v>
      </c>
      <c r="K3515" s="14" t="n">
        <f aca="false">I3515*J3515</f>
        <v>13500</v>
      </c>
      <c r="L3515" s="14" t="n">
        <f aca="false">($L$2*M3515)/100</f>
        <v>480666.6</v>
      </c>
      <c r="M3515" s="15" t="n">
        <v>0.4</v>
      </c>
      <c r="N3515" s="9" t="s">
        <v>20</v>
      </c>
    </row>
    <row r="3516" customFormat="false" ht="14.25" hidden="false" customHeight="true" outlineLevel="0" collapsed="false">
      <c r="B3516" s="9" t="s">
        <v>28</v>
      </c>
      <c r="C3516" s="9" t="n">
        <v>1185732</v>
      </c>
      <c r="D3516" s="10" t="n">
        <v>44507</v>
      </c>
      <c r="E3516" s="9" t="s">
        <v>17</v>
      </c>
      <c r="F3516" s="9" t="s">
        <v>125</v>
      </c>
      <c r="G3516" s="9" t="s">
        <v>126</v>
      </c>
      <c r="H3516" s="11" t="s">
        <v>23</v>
      </c>
      <c r="I3516" s="12" t="n">
        <v>50</v>
      </c>
      <c r="J3516" s="13" t="n">
        <v>250</v>
      </c>
      <c r="K3516" s="14" t="n">
        <f aca="false">I3516*J3516</f>
        <v>12500</v>
      </c>
      <c r="L3516" s="14" t="n">
        <f aca="false">($L$2*M3516)/100</f>
        <v>480666.6</v>
      </c>
      <c r="M3516" s="15" t="n">
        <v>0.4</v>
      </c>
      <c r="N3516" s="9" t="s">
        <v>20</v>
      </c>
    </row>
    <row r="3517" customFormat="false" ht="14.25" hidden="false" customHeight="true" outlineLevel="0" collapsed="false">
      <c r="B3517" s="9" t="s">
        <v>28</v>
      </c>
      <c r="C3517" s="9" t="n">
        <v>1185732</v>
      </c>
      <c r="D3517" s="10" t="n">
        <v>44507</v>
      </c>
      <c r="E3517" s="9" t="s">
        <v>17</v>
      </c>
      <c r="F3517" s="9" t="s">
        <v>125</v>
      </c>
      <c r="G3517" s="9" t="s">
        <v>126</v>
      </c>
      <c r="H3517" s="11" t="s">
        <v>24</v>
      </c>
      <c r="I3517" s="12" t="n">
        <v>60</v>
      </c>
      <c r="J3517" s="13" t="n">
        <v>225</v>
      </c>
      <c r="K3517" s="14" t="n">
        <f aca="false">I3517*J3517</f>
        <v>13500</v>
      </c>
      <c r="L3517" s="14" t="n">
        <f aca="false">($L$2*M3517)/100</f>
        <v>360499.95</v>
      </c>
      <c r="M3517" s="15" t="n">
        <v>0.3</v>
      </c>
      <c r="N3517" s="9" t="s">
        <v>20</v>
      </c>
    </row>
    <row r="3518" customFormat="false" ht="14.25" hidden="false" customHeight="true" outlineLevel="0" collapsed="false">
      <c r="B3518" s="9" t="s">
        <v>28</v>
      </c>
      <c r="C3518" s="9" t="n">
        <v>1185732</v>
      </c>
      <c r="D3518" s="10" t="n">
        <v>44507</v>
      </c>
      <c r="E3518" s="9" t="s">
        <v>17</v>
      </c>
      <c r="F3518" s="9" t="s">
        <v>125</v>
      </c>
      <c r="G3518" s="9" t="s">
        <v>126</v>
      </c>
      <c r="H3518" s="11" t="s">
        <v>25</v>
      </c>
      <c r="I3518" s="12" t="n">
        <v>65</v>
      </c>
      <c r="J3518" s="13" t="n">
        <v>325</v>
      </c>
      <c r="K3518" s="14" t="n">
        <f aca="false">I3518*J3518</f>
        <v>21125</v>
      </c>
      <c r="L3518" s="14" t="n">
        <f aca="false">($L$2*M3518)/100</f>
        <v>480666.6</v>
      </c>
      <c r="M3518" s="15" t="n">
        <v>0.4</v>
      </c>
      <c r="N3518" s="9" t="s">
        <v>20</v>
      </c>
    </row>
    <row r="3519" customFormat="false" ht="14.25" hidden="false" customHeight="true" outlineLevel="0" collapsed="false">
      <c r="B3519" s="9" t="s">
        <v>28</v>
      </c>
      <c r="C3519" s="9" t="n">
        <v>1185732</v>
      </c>
      <c r="D3519" s="10" t="n">
        <v>44536</v>
      </c>
      <c r="E3519" s="9" t="s">
        <v>17</v>
      </c>
      <c r="F3519" s="9" t="s">
        <v>125</v>
      </c>
      <c r="G3519" s="9" t="s">
        <v>126</v>
      </c>
      <c r="H3519" s="11" t="s">
        <v>19</v>
      </c>
      <c r="I3519" s="12" t="n">
        <v>60</v>
      </c>
      <c r="J3519" s="13" t="n">
        <v>550</v>
      </c>
      <c r="K3519" s="14" t="n">
        <f aca="false">I3519*J3519</f>
        <v>33000</v>
      </c>
      <c r="L3519" s="14" t="n">
        <f aca="false">($L$2*M3519)/100</f>
        <v>420583.275</v>
      </c>
      <c r="M3519" s="15" t="n">
        <v>0.35</v>
      </c>
      <c r="N3519" s="9" t="s">
        <v>20</v>
      </c>
    </row>
    <row r="3520" customFormat="false" ht="14.25" hidden="false" customHeight="true" outlineLevel="0" collapsed="false">
      <c r="B3520" s="9" t="s">
        <v>28</v>
      </c>
      <c r="C3520" s="9" t="n">
        <v>1185732</v>
      </c>
      <c r="D3520" s="10" t="n">
        <v>44536</v>
      </c>
      <c r="E3520" s="9" t="s">
        <v>17</v>
      </c>
      <c r="F3520" s="9" t="s">
        <v>125</v>
      </c>
      <c r="G3520" s="9" t="s">
        <v>126</v>
      </c>
      <c r="H3520" s="11" t="s">
        <v>21</v>
      </c>
      <c r="I3520" s="12" t="n">
        <v>50</v>
      </c>
      <c r="J3520" s="13" t="n">
        <v>350</v>
      </c>
      <c r="K3520" s="14" t="n">
        <f aca="false">I3520*J3520</f>
        <v>17500</v>
      </c>
      <c r="L3520" s="14" t="n">
        <f aca="false">($L$2*M3520)/100</f>
        <v>420583.275</v>
      </c>
      <c r="M3520" s="15" t="n">
        <v>0.35</v>
      </c>
      <c r="N3520" s="9" t="s">
        <v>20</v>
      </c>
    </row>
    <row r="3521" customFormat="false" ht="14.25" hidden="false" customHeight="true" outlineLevel="0" collapsed="false">
      <c r="B3521" s="9" t="s">
        <v>28</v>
      </c>
      <c r="C3521" s="9" t="n">
        <v>1185732</v>
      </c>
      <c r="D3521" s="10" t="n">
        <v>44536</v>
      </c>
      <c r="E3521" s="9" t="s">
        <v>17</v>
      </c>
      <c r="F3521" s="9" t="s">
        <v>125</v>
      </c>
      <c r="G3521" s="9" t="s">
        <v>126</v>
      </c>
      <c r="H3521" s="11" t="s">
        <v>22</v>
      </c>
      <c r="I3521" s="12" t="n">
        <v>50</v>
      </c>
      <c r="J3521" s="13" t="n">
        <v>325</v>
      </c>
      <c r="K3521" s="14" t="n">
        <f aca="false">I3521*J3521</f>
        <v>16250</v>
      </c>
      <c r="L3521" s="14" t="n">
        <f aca="false">($L$2*M3521)/100</f>
        <v>480666.6</v>
      </c>
      <c r="M3521" s="15" t="n">
        <v>0.4</v>
      </c>
      <c r="N3521" s="9" t="s">
        <v>20</v>
      </c>
    </row>
    <row r="3522" customFormat="false" ht="14.25" hidden="false" customHeight="true" outlineLevel="0" collapsed="false">
      <c r="B3522" s="9" t="s">
        <v>28</v>
      </c>
      <c r="C3522" s="9" t="n">
        <v>1185732</v>
      </c>
      <c r="D3522" s="10" t="n">
        <v>44536</v>
      </c>
      <c r="E3522" s="9" t="s">
        <v>17</v>
      </c>
      <c r="F3522" s="9" t="s">
        <v>125</v>
      </c>
      <c r="G3522" s="9" t="s">
        <v>126</v>
      </c>
      <c r="H3522" s="11" t="s">
        <v>23</v>
      </c>
      <c r="I3522" s="12" t="n">
        <v>50</v>
      </c>
      <c r="J3522" s="13" t="n">
        <v>275</v>
      </c>
      <c r="K3522" s="14" t="n">
        <f aca="false">I3522*J3522</f>
        <v>13750</v>
      </c>
      <c r="L3522" s="14" t="n">
        <f aca="false">($L$2*M3522)/100</f>
        <v>480666.6</v>
      </c>
      <c r="M3522" s="15" t="n">
        <v>0.4</v>
      </c>
      <c r="N3522" s="9" t="s">
        <v>20</v>
      </c>
    </row>
    <row r="3523" customFormat="false" ht="14.25" hidden="false" customHeight="true" outlineLevel="0" collapsed="false">
      <c r="B3523" s="9" t="s">
        <v>28</v>
      </c>
      <c r="C3523" s="9" t="n">
        <v>1185732</v>
      </c>
      <c r="D3523" s="10" t="n">
        <v>44536</v>
      </c>
      <c r="E3523" s="9" t="s">
        <v>17</v>
      </c>
      <c r="F3523" s="9" t="s">
        <v>125</v>
      </c>
      <c r="G3523" s="9" t="s">
        <v>126</v>
      </c>
      <c r="H3523" s="11" t="s">
        <v>24</v>
      </c>
      <c r="I3523" s="12" t="n">
        <v>60</v>
      </c>
      <c r="J3523" s="13" t="n">
        <v>275</v>
      </c>
      <c r="K3523" s="14" t="n">
        <f aca="false">I3523*J3523</f>
        <v>16500</v>
      </c>
      <c r="L3523" s="14" t="n">
        <f aca="false">($L$2*M3523)/100</f>
        <v>360499.95</v>
      </c>
      <c r="M3523" s="15" t="n">
        <v>0.3</v>
      </c>
      <c r="N3523" s="9" t="s">
        <v>20</v>
      </c>
    </row>
    <row r="3524" customFormat="false" ht="14.25" hidden="false" customHeight="true" outlineLevel="0" collapsed="false">
      <c r="B3524" s="9" t="s">
        <v>28</v>
      </c>
      <c r="C3524" s="9" t="n">
        <v>1185732</v>
      </c>
      <c r="D3524" s="10" t="n">
        <v>44536</v>
      </c>
      <c r="E3524" s="9" t="s">
        <v>17</v>
      </c>
      <c r="F3524" s="9" t="s">
        <v>125</v>
      </c>
      <c r="G3524" s="9" t="s">
        <v>126</v>
      </c>
      <c r="H3524" s="11" t="s">
        <v>25</v>
      </c>
      <c r="I3524" s="12" t="n">
        <v>65</v>
      </c>
      <c r="J3524" s="13" t="n">
        <v>375</v>
      </c>
      <c r="K3524" s="14" t="n">
        <f aca="false">I3524*J3524</f>
        <v>24375</v>
      </c>
      <c r="L3524" s="14" t="n">
        <f aca="false">($L$2*M3524)/100</f>
        <v>480666.6</v>
      </c>
      <c r="M3524" s="15" t="n">
        <v>0.4</v>
      </c>
      <c r="N3524" s="9" t="s">
        <v>20</v>
      </c>
    </row>
    <row r="3525" customFormat="false" ht="14.25" hidden="false" customHeight="true" outlineLevel="0" collapsed="false">
      <c r="B3525" s="9" t="s">
        <v>28</v>
      </c>
      <c r="C3525" s="9" t="n">
        <v>1185732</v>
      </c>
      <c r="D3525" s="10" t="n">
        <v>44203</v>
      </c>
      <c r="E3525" s="9" t="s">
        <v>17</v>
      </c>
      <c r="F3525" s="9" t="s">
        <v>125</v>
      </c>
      <c r="G3525" s="9" t="s">
        <v>126</v>
      </c>
      <c r="H3525" s="11" t="s">
        <v>19</v>
      </c>
      <c r="I3525" s="12" t="n">
        <v>40</v>
      </c>
      <c r="J3525" s="13" t="n">
        <v>500</v>
      </c>
      <c r="K3525" s="14" t="n">
        <f aca="false">I3525*J3525</f>
        <v>20000</v>
      </c>
      <c r="L3525" s="14" t="n">
        <f aca="false">($L$2*M3525)/100</f>
        <v>480666.6</v>
      </c>
      <c r="M3525" s="15" t="n">
        <v>0.4</v>
      </c>
      <c r="N3525" s="9" t="s">
        <v>20</v>
      </c>
    </row>
    <row r="3526" customFormat="false" ht="14.25" hidden="false" customHeight="true" outlineLevel="0" collapsed="false">
      <c r="B3526" s="9" t="s">
        <v>28</v>
      </c>
      <c r="C3526" s="9" t="n">
        <v>1185732</v>
      </c>
      <c r="D3526" s="10" t="n">
        <v>44203</v>
      </c>
      <c r="E3526" s="9" t="s">
        <v>17</v>
      </c>
      <c r="F3526" s="9" t="s">
        <v>125</v>
      </c>
      <c r="G3526" s="9" t="s">
        <v>126</v>
      </c>
      <c r="H3526" s="11" t="s">
        <v>21</v>
      </c>
      <c r="I3526" s="12" t="n">
        <v>40</v>
      </c>
      <c r="J3526" s="13" t="n">
        <v>300</v>
      </c>
      <c r="K3526" s="14" t="n">
        <f aca="false">I3526*J3526</f>
        <v>12000</v>
      </c>
      <c r="L3526" s="14" t="n">
        <f aca="false">($L$2*M3526)/100</f>
        <v>480666.6</v>
      </c>
      <c r="M3526" s="15" t="n">
        <v>0.4</v>
      </c>
      <c r="N3526" s="9" t="s">
        <v>20</v>
      </c>
    </row>
    <row r="3527" customFormat="false" ht="14.25" hidden="false" customHeight="true" outlineLevel="0" collapsed="false">
      <c r="B3527" s="9" t="s">
        <v>28</v>
      </c>
      <c r="C3527" s="9" t="n">
        <v>1185732</v>
      </c>
      <c r="D3527" s="10" t="n">
        <v>44203</v>
      </c>
      <c r="E3527" s="9" t="s">
        <v>17</v>
      </c>
      <c r="F3527" s="9" t="s">
        <v>125</v>
      </c>
      <c r="G3527" s="9" t="s">
        <v>126</v>
      </c>
      <c r="H3527" s="11" t="s">
        <v>22</v>
      </c>
      <c r="I3527" s="12" t="n">
        <v>30</v>
      </c>
      <c r="J3527" s="13" t="n">
        <v>300</v>
      </c>
      <c r="K3527" s="14" t="n">
        <f aca="false">I3527*J3527</f>
        <v>9000</v>
      </c>
      <c r="L3527" s="14" t="n">
        <f aca="false">($L$2*M3527)/100</f>
        <v>360499.95</v>
      </c>
      <c r="M3527" s="15" t="n">
        <v>0.3</v>
      </c>
      <c r="N3527" s="9" t="s">
        <v>20</v>
      </c>
    </row>
    <row r="3528" customFormat="false" ht="14.25" hidden="false" customHeight="true" outlineLevel="0" collapsed="false">
      <c r="B3528" s="9" t="s">
        <v>28</v>
      </c>
      <c r="C3528" s="9" t="n">
        <v>1185732</v>
      </c>
      <c r="D3528" s="10" t="n">
        <v>44203</v>
      </c>
      <c r="E3528" s="9" t="s">
        <v>17</v>
      </c>
      <c r="F3528" s="9" t="s">
        <v>125</v>
      </c>
      <c r="G3528" s="9" t="s">
        <v>126</v>
      </c>
      <c r="H3528" s="11" t="s">
        <v>23</v>
      </c>
      <c r="I3528" s="12" t="n">
        <v>35</v>
      </c>
      <c r="J3528" s="13" t="n">
        <v>150</v>
      </c>
      <c r="K3528" s="14" t="n">
        <f aca="false">I3528*J3528</f>
        <v>5250</v>
      </c>
      <c r="L3528" s="14" t="n">
        <f aca="false">($L$2*M3528)/100</f>
        <v>360499.95</v>
      </c>
      <c r="M3528" s="15" t="n">
        <v>0.3</v>
      </c>
      <c r="N3528" s="9" t="s">
        <v>20</v>
      </c>
    </row>
    <row r="3529" customFormat="false" ht="14.25" hidden="false" customHeight="true" outlineLevel="0" collapsed="false">
      <c r="B3529" s="9" t="s">
        <v>28</v>
      </c>
      <c r="C3529" s="9" t="n">
        <v>1185732</v>
      </c>
      <c r="D3529" s="10" t="n">
        <v>44203</v>
      </c>
      <c r="E3529" s="9" t="s">
        <v>17</v>
      </c>
      <c r="F3529" s="9" t="s">
        <v>125</v>
      </c>
      <c r="G3529" s="9" t="s">
        <v>126</v>
      </c>
      <c r="H3529" s="11" t="s">
        <v>24</v>
      </c>
      <c r="I3529" s="12" t="n">
        <v>50</v>
      </c>
      <c r="J3529" s="13" t="n">
        <v>200</v>
      </c>
      <c r="K3529" s="14" t="n">
        <f aca="false">I3529*J3529</f>
        <v>10000</v>
      </c>
      <c r="L3529" s="14" t="n">
        <f aca="false">($L$2*M3529)/100</f>
        <v>360499.95</v>
      </c>
      <c r="M3529" s="15" t="n">
        <v>0.3</v>
      </c>
      <c r="N3529" s="9" t="s">
        <v>20</v>
      </c>
    </row>
    <row r="3530" customFormat="false" ht="14.25" hidden="false" customHeight="true" outlineLevel="0" collapsed="false">
      <c r="B3530" s="9" t="s">
        <v>28</v>
      </c>
      <c r="C3530" s="9" t="n">
        <v>1185732</v>
      </c>
      <c r="D3530" s="10" t="n">
        <v>44203</v>
      </c>
      <c r="E3530" s="9" t="s">
        <v>17</v>
      </c>
      <c r="F3530" s="9" t="s">
        <v>125</v>
      </c>
      <c r="G3530" s="9" t="s">
        <v>126</v>
      </c>
      <c r="H3530" s="11" t="s">
        <v>25</v>
      </c>
      <c r="I3530" s="12" t="n">
        <v>40</v>
      </c>
      <c r="J3530" s="13" t="n">
        <v>300</v>
      </c>
      <c r="K3530" s="14" t="n">
        <f aca="false">I3530*J3530</f>
        <v>12000</v>
      </c>
      <c r="L3530" s="14" t="n">
        <f aca="false">($L$2*M3530)/100</f>
        <v>420583.275</v>
      </c>
      <c r="M3530" s="15" t="n">
        <v>0.35</v>
      </c>
      <c r="N3530" s="9" t="s">
        <v>20</v>
      </c>
    </row>
    <row r="3531" customFormat="false" ht="14.25" hidden="false" customHeight="true" outlineLevel="0" collapsed="false">
      <c r="B3531" s="9" t="s">
        <v>28</v>
      </c>
      <c r="C3531" s="9" t="n">
        <v>1185732</v>
      </c>
      <c r="D3531" s="10" t="n">
        <v>44232</v>
      </c>
      <c r="E3531" s="9" t="s">
        <v>17</v>
      </c>
      <c r="F3531" s="9" t="s">
        <v>125</v>
      </c>
      <c r="G3531" s="9" t="s">
        <v>126</v>
      </c>
      <c r="H3531" s="11" t="s">
        <v>19</v>
      </c>
      <c r="I3531" s="12" t="n">
        <v>40</v>
      </c>
      <c r="J3531" s="13" t="n">
        <v>550</v>
      </c>
      <c r="K3531" s="14" t="n">
        <f aca="false">I3531*J3531</f>
        <v>22000</v>
      </c>
      <c r="L3531" s="14" t="n">
        <f aca="false">($L$2*M3531)/100</f>
        <v>480666.6</v>
      </c>
      <c r="M3531" s="15" t="n">
        <v>0.4</v>
      </c>
      <c r="N3531" s="9" t="s">
        <v>20</v>
      </c>
    </row>
    <row r="3532" customFormat="false" ht="14.25" hidden="false" customHeight="true" outlineLevel="0" collapsed="false">
      <c r="B3532" s="9" t="s">
        <v>28</v>
      </c>
      <c r="C3532" s="9" t="n">
        <v>1185732</v>
      </c>
      <c r="D3532" s="10" t="n">
        <v>44232</v>
      </c>
      <c r="E3532" s="9" t="s">
        <v>17</v>
      </c>
      <c r="F3532" s="9" t="s">
        <v>125</v>
      </c>
      <c r="G3532" s="9" t="s">
        <v>126</v>
      </c>
      <c r="H3532" s="11" t="s">
        <v>21</v>
      </c>
      <c r="I3532" s="12" t="n">
        <v>40</v>
      </c>
      <c r="J3532" s="13" t="n">
        <v>200</v>
      </c>
      <c r="K3532" s="14" t="n">
        <f aca="false">I3532*J3532</f>
        <v>8000</v>
      </c>
      <c r="L3532" s="14" t="n">
        <f aca="false">($L$2*M3532)/100</f>
        <v>480666.6</v>
      </c>
      <c r="M3532" s="15" t="n">
        <v>0.4</v>
      </c>
      <c r="N3532" s="9" t="s">
        <v>20</v>
      </c>
    </row>
    <row r="3533" customFormat="false" ht="14.25" hidden="false" customHeight="true" outlineLevel="0" collapsed="false">
      <c r="B3533" s="9" t="s">
        <v>28</v>
      </c>
      <c r="C3533" s="9" t="n">
        <v>1185732</v>
      </c>
      <c r="D3533" s="10" t="n">
        <v>44232</v>
      </c>
      <c r="E3533" s="9" t="s">
        <v>17</v>
      </c>
      <c r="F3533" s="9" t="s">
        <v>125</v>
      </c>
      <c r="G3533" s="9" t="s">
        <v>126</v>
      </c>
      <c r="H3533" s="11" t="s">
        <v>22</v>
      </c>
      <c r="I3533" s="12" t="n">
        <v>30</v>
      </c>
      <c r="J3533" s="13" t="n">
        <v>250</v>
      </c>
      <c r="K3533" s="14" t="n">
        <f aca="false">I3533*J3533</f>
        <v>7500</v>
      </c>
      <c r="L3533" s="14" t="n">
        <f aca="false">($L$2*M3533)/100</f>
        <v>360499.95</v>
      </c>
      <c r="M3533" s="15" t="n">
        <v>0.3</v>
      </c>
      <c r="N3533" s="9" t="s">
        <v>20</v>
      </c>
    </row>
    <row r="3534" customFormat="false" ht="14.25" hidden="false" customHeight="true" outlineLevel="0" collapsed="false">
      <c r="B3534" s="9" t="s">
        <v>28</v>
      </c>
      <c r="C3534" s="9" t="n">
        <v>1185732</v>
      </c>
      <c r="D3534" s="10" t="n">
        <v>44232</v>
      </c>
      <c r="E3534" s="9" t="s">
        <v>17</v>
      </c>
      <c r="F3534" s="9" t="s">
        <v>127</v>
      </c>
      <c r="G3534" s="9" t="s">
        <v>128</v>
      </c>
      <c r="H3534" s="11" t="s">
        <v>23</v>
      </c>
      <c r="I3534" s="12" t="n">
        <v>35</v>
      </c>
      <c r="J3534" s="13" t="n">
        <v>125</v>
      </c>
      <c r="K3534" s="14" t="n">
        <f aca="false">I3534*J3534</f>
        <v>4375</v>
      </c>
      <c r="L3534" s="14" t="n">
        <f aca="false">($L$2*M3534)/100</f>
        <v>360499.95</v>
      </c>
      <c r="M3534" s="15" t="n">
        <v>0.3</v>
      </c>
      <c r="N3534" s="9" t="s">
        <v>20</v>
      </c>
    </row>
    <row r="3535" customFormat="false" ht="14.25" hidden="false" customHeight="true" outlineLevel="0" collapsed="false">
      <c r="B3535" s="9" t="s">
        <v>28</v>
      </c>
      <c r="C3535" s="9" t="n">
        <v>1185732</v>
      </c>
      <c r="D3535" s="10" t="n">
        <v>44232</v>
      </c>
      <c r="E3535" s="9" t="s">
        <v>17</v>
      </c>
      <c r="F3535" s="9" t="s">
        <v>127</v>
      </c>
      <c r="G3535" s="9" t="s">
        <v>128</v>
      </c>
      <c r="H3535" s="11" t="s">
        <v>24</v>
      </c>
      <c r="I3535" s="12" t="n">
        <v>50</v>
      </c>
      <c r="J3535" s="13" t="n">
        <v>200</v>
      </c>
      <c r="K3535" s="14" t="n">
        <f aca="false">I3535*J3535</f>
        <v>10000</v>
      </c>
      <c r="L3535" s="14" t="n">
        <f aca="false">($L$2*M3535)/100</f>
        <v>360499.95</v>
      </c>
      <c r="M3535" s="15" t="n">
        <v>0.3</v>
      </c>
      <c r="N3535" s="9" t="s">
        <v>20</v>
      </c>
    </row>
    <row r="3536" customFormat="false" ht="14.25" hidden="false" customHeight="true" outlineLevel="0" collapsed="false">
      <c r="B3536" s="9" t="s">
        <v>28</v>
      </c>
      <c r="C3536" s="9" t="n">
        <v>1185732</v>
      </c>
      <c r="D3536" s="10" t="n">
        <v>44232</v>
      </c>
      <c r="E3536" s="9" t="s">
        <v>17</v>
      </c>
      <c r="F3536" s="9" t="s">
        <v>127</v>
      </c>
      <c r="G3536" s="9" t="s">
        <v>128</v>
      </c>
      <c r="H3536" s="11" t="s">
        <v>25</v>
      </c>
      <c r="I3536" s="12" t="n">
        <v>40</v>
      </c>
      <c r="J3536" s="13" t="n">
        <v>300</v>
      </c>
      <c r="K3536" s="14" t="n">
        <f aca="false">I3536*J3536</f>
        <v>12000</v>
      </c>
      <c r="L3536" s="14" t="n">
        <f aca="false">($L$2*M3536)/100</f>
        <v>420583.275</v>
      </c>
      <c r="M3536" s="15" t="n">
        <v>0.35</v>
      </c>
      <c r="N3536" s="9" t="s">
        <v>20</v>
      </c>
    </row>
    <row r="3537" customFormat="false" ht="14.25" hidden="false" customHeight="true" outlineLevel="0" collapsed="false">
      <c r="B3537" s="9" t="s">
        <v>28</v>
      </c>
      <c r="C3537" s="9" t="n">
        <v>1185732</v>
      </c>
      <c r="D3537" s="10" t="n">
        <v>44258</v>
      </c>
      <c r="E3537" s="9" t="s">
        <v>17</v>
      </c>
      <c r="F3537" s="9" t="s">
        <v>127</v>
      </c>
      <c r="G3537" s="9" t="s">
        <v>128</v>
      </c>
      <c r="H3537" s="11" t="s">
        <v>19</v>
      </c>
      <c r="I3537" s="12" t="n">
        <v>40</v>
      </c>
      <c r="J3537" s="13" t="n">
        <v>520</v>
      </c>
      <c r="K3537" s="14" t="n">
        <f aca="false">I3537*J3537</f>
        <v>20800</v>
      </c>
      <c r="L3537" s="14" t="n">
        <f aca="false">($L$2*M3537)/100</f>
        <v>480666.6</v>
      </c>
      <c r="M3537" s="15" t="n">
        <v>0.4</v>
      </c>
      <c r="N3537" s="9" t="s">
        <v>20</v>
      </c>
    </row>
    <row r="3538" customFormat="false" ht="14.25" hidden="false" customHeight="true" outlineLevel="0" collapsed="false">
      <c r="B3538" s="9" t="s">
        <v>28</v>
      </c>
      <c r="C3538" s="9" t="n">
        <v>1185732</v>
      </c>
      <c r="D3538" s="10" t="n">
        <v>44258</v>
      </c>
      <c r="E3538" s="9" t="s">
        <v>17</v>
      </c>
      <c r="F3538" s="9" t="s">
        <v>127</v>
      </c>
      <c r="G3538" s="9" t="s">
        <v>128</v>
      </c>
      <c r="H3538" s="11" t="s">
        <v>21</v>
      </c>
      <c r="I3538" s="12" t="n">
        <v>40</v>
      </c>
      <c r="J3538" s="13" t="n">
        <v>225</v>
      </c>
      <c r="K3538" s="14" t="n">
        <f aca="false">I3538*J3538</f>
        <v>9000</v>
      </c>
      <c r="L3538" s="14" t="n">
        <f aca="false">($L$2*M3538)/100</f>
        <v>480666.6</v>
      </c>
      <c r="M3538" s="15" t="n">
        <v>0.4</v>
      </c>
      <c r="N3538" s="9" t="s">
        <v>20</v>
      </c>
    </row>
    <row r="3539" customFormat="false" ht="14.25" hidden="false" customHeight="true" outlineLevel="0" collapsed="false">
      <c r="B3539" s="9" t="s">
        <v>28</v>
      </c>
      <c r="C3539" s="9" t="n">
        <v>1185732</v>
      </c>
      <c r="D3539" s="10" t="n">
        <v>44258</v>
      </c>
      <c r="E3539" s="9" t="s">
        <v>17</v>
      </c>
      <c r="F3539" s="9" t="s">
        <v>127</v>
      </c>
      <c r="G3539" s="9" t="s">
        <v>128</v>
      </c>
      <c r="H3539" s="11" t="s">
        <v>22</v>
      </c>
      <c r="I3539" s="12" t="n">
        <v>30</v>
      </c>
      <c r="J3539" s="13" t="n">
        <v>250</v>
      </c>
      <c r="K3539" s="14" t="n">
        <f aca="false">I3539*J3539</f>
        <v>7500</v>
      </c>
      <c r="L3539" s="14" t="n">
        <f aca="false">($L$2*M3539)/100</f>
        <v>360499.95</v>
      </c>
      <c r="M3539" s="15" t="n">
        <v>0.3</v>
      </c>
      <c r="N3539" s="9" t="s">
        <v>20</v>
      </c>
    </row>
    <row r="3540" customFormat="false" ht="14.25" hidden="false" customHeight="true" outlineLevel="0" collapsed="false">
      <c r="B3540" s="9" t="s">
        <v>28</v>
      </c>
      <c r="C3540" s="9" t="n">
        <v>1185732</v>
      </c>
      <c r="D3540" s="10" t="n">
        <v>44258</v>
      </c>
      <c r="E3540" s="9" t="s">
        <v>17</v>
      </c>
      <c r="F3540" s="9" t="s">
        <v>127</v>
      </c>
      <c r="G3540" s="9" t="s">
        <v>128</v>
      </c>
      <c r="H3540" s="11" t="s">
        <v>23</v>
      </c>
      <c r="I3540" s="12" t="n">
        <v>35</v>
      </c>
      <c r="J3540" s="13" t="n">
        <v>100</v>
      </c>
      <c r="K3540" s="14" t="n">
        <f aca="false">I3540*J3540</f>
        <v>3500</v>
      </c>
      <c r="L3540" s="14" t="n">
        <f aca="false">($L$2*M3540)/100</f>
        <v>360499.95</v>
      </c>
      <c r="M3540" s="15" t="n">
        <v>0.3</v>
      </c>
      <c r="N3540" s="9" t="s">
        <v>20</v>
      </c>
    </row>
    <row r="3541" customFormat="false" ht="14.25" hidden="false" customHeight="true" outlineLevel="0" collapsed="false">
      <c r="B3541" s="9" t="s">
        <v>28</v>
      </c>
      <c r="C3541" s="9" t="n">
        <v>1185732</v>
      </c>
      <c r="D3541" s="10" t="n">
        <v>44258</v>
      </c>
      <c r="E3541" s="9" t="s">
        <v>17</v>
      </c>
      <c r="F3541" s="9" t="s">
        <v>127</v>
      </c>
      <c r="G3541" s="9" t="s">
        <v>128</v>
      </c>
      <c r="H3541" s="11" t="s">
        <v>24</v>
      </c>
      <c r="I3541" s="12" t="n">
        <v>50</v>
      </c>
      <c r="J3541" s="13" t="n">
        <v>150</v>
      </c>
      <c r="K3541" s="14" t="n">
        <f aca="false">I3541*J3541</f>
        <v>7500</v>
      </c>
      <c r="L3541" s="14" t="n">
        <f aca="false">($L$2*M3541)/100</f>
        <v>360499.95</v>
      </c>
      <c r="M3541" s="15" t="n">
        <v>0.3</v>
      </c>
      <c r="N3541" s="9" t="s">
        <v>20</v>
      </c>
    </row>
    <row r="3542" customFormat="false" ht="14.25" hidden="false" customHeight="true" outlineLevel="0" collapsed="false">
      <c r="B3542" s="9" t="s">
        <v>28</v>
      </c>
      <c r="C3542" s="9" t="n">
        <v>1185732</v>
      </c>
      <c r="D3542" s="10" t="n">
        <v>44258</v>
      </c>
      <c r="E3542" s="9" t="s">
        <v>17</v>
      </c>
      <c r="F3542" s="9" t="s">
        <v>127</v>
      </c>
      <c r="G3542" s="9" t="s">
        <v>128</v>
      </c>
      <c r="H3542" s="11" t="s">
        <v>25</v>
      </c>
      <c r="I3542" s="12" t="n">
        <v>40</v>
      </c>
      <c r="J3542" s="13" t="n">
        <v>250</v>
      </c>
      <c r="K3542" s="14" t="n">
        <f aca="false">I3542*J3542</f>
        <v>10000</v>
      </c>
      <c r="L3542" s="14" t="n">
        <f aca="false">($L$2*M3542)/100</f>
        <v>420583.275</v>
      </c>
      <c r="M3542" s="15" t="n">
        <v>0.35</v>
      </c>
      <c r="N3542" s="9" t="s">
        <v>20</v>
      </c>
    </row>
    <row r="3543" customFormat="false" ht="14.25" hidden="false" customHeight="true" outlineLevel="0" collapsed="false">
      <c r="B3543" s="9" t="s">
        <v>28</v>
      </c>
      <c r="C3543" s="9" t="n">
        <v>1185732</v>
      </c>
      <c r="D3543" s="10" t="n">
        <v>44290</v>
      </c>
      <c r="E3543" s="9" t="s">
        <v>17</v>
      </c>
      <c r="F3543" s="9" t="s">
        <v>127</v>
      </c>
      <c r="G3543" s="9" t="s">
        <v>128</v>
      </c>
      <c r="H3543" s="11" t="s">
        <v>19</v>
      </c>
      <c r="I3543" s="12" t="n">
        <v>40</v>
      </c>
      <c r="J3543" s="13" t="n">
        <v>500</v>
      </c>
      <c r="K3543" s="14" t="n">
        <f aca="false">I3543*J3543</f>
        <v>20000</v>
      </c>
      <c r="L3543" s="14" t="n">
        <f aca="false">($L$2*M3543)/100</f>
        <v>480666.6</v>
      </c>
      <c r="M3543" s="15" t="n">
        <v>0.4</v>
      </c>
      <c r="N3543" s="9" t="s">
        <v>20</v>
      </c>
    </row>
    <row r="3544" customFormat="false" ht="14.25" hidden="false" customHeight="true" outlineLevel="0" collapsed="false">
      <c r="B3544" s="9" t="s">
        <v>28</v>
      </c>
      <c r="C3544" s="9" t="n">
        <v>1185732</v>
      </c>
      <c r="D3544" s="10" t="n">
        <v>44290</v>
      </c>
      <c r="E3544" s="9" t="s">
        <v>17</v>
      </c>
      <c r="F3544" s="9" t="s">
        <v>127</v>
      </c>
      <c r="G3544" s="9" t="s">
        <v>128</v>
      </c>
      <c r="H3544" s="11" t="s">
        <v>21</v>
      </c>
      <c r="I3544" s="12" t="n">
        <v>40</v>
      </c>
      <c r="J3544" s="13" t="n">
        <v>200</v>
      </c>
      <c r="K3544" s="14" t="n">
        <f aca="false">I3544*J3544</f>
        <v>8000</v>
      </c>
      <c r="L3544" s="14" t="n">
        <f aca="false">($L$2*M3544)/100</f>
        <v>480666.6</v>
      </c>
      <c r="M3544" s="15" t="n">
        <v>0.4</v>
      </c>
      <c r="N3544" s="9" t="s">
        <v>20</v>
      </c>
    </row>
    <row r="3545" customFormat="false" ht="14.25" hidden="false" customHeight="true" outlineLevel="0" collapsed="false">
      <c r="B3545" s="9" t="s">
        <v>28</v>
      </c>
      <c r="C3545" s="9" t="n">
        <v>1185732</v>
      </c>
      <c r="D3545" s="10" t="n">
        <v>44290</v>
      </c>
      <c r="E3545" s="9" t="s">
        <v>17</v>
      </c>
      <c r="F3545" s="9" t="s">
        <v>127</v>
      </c>
      <c r="G3545" s="9" t="s">
        <v>128</v>
      </c>
      <c r="H3545" s="11" t="s">
        <v>22</v>
      </c>
      <c r="I3545" s="12" t="n">
        <v>30</v>
      </c>
      <c r="J3545" s="13" t="n">
        <v>200</v>
      </c>
      <c r="K3545" s="14" t="n">
        <f aca="false">I3545*J3545</f>
        <v>6000</v>
      </c>
      <c r="L3545" s="14" t="n">
        <f aca="false">($L$2*M3545)/100</f>
        <v>360499.95</v>
      </c>
      <c r="M3545" s="15" t="n">
        <v>0.3</v>
      </c>
      <c r="N3545" s="9" t="s">
        <v>20</v>
      </c>
    </row>
    <row r="3546" customFormat="false" ht="14.25" hidden="false" customHeight="true" outlineLevel="0" collapsed="false">
      <c r="B3546" s="9" t="s">
        <v>28</v>
      </c>
      <c r="C3546" s="9" t="n">
        <v>1185732</v>
      </c>
      <c r="D3546" s="10" t="n">
        <v>44290</v>
      </c>
      <c r="E3546" s="9" t="s">
        <v>17</v>
      </c>
      <c r="F3546" s="9" t="s">
        <v>127</v>
      </c>
      <c r="G3546" s="9" t="s">
        <v>128</v>
      </c>
      <c r="H3546" s="11" t="s">
        <v>23</v>
      </c>
      <c r="I3546" s="12" t="n">
        <v>35</v>
      </c>
      <c r="J3546" s="13" t="n">
        <v>125</v>
      </c>
      <c r="K3546" s="14" t="n">
        <f aca="false">I3546*J3546</f>
        <v>4375</v>
      </c>
      <c r="L3546" s="14" t="n">
        <f aca="false">($L$2*M3546)/100</f>
        <v>360499.95</v>
      </c>
      <c r="M3546" s="15" t="n">
        <v>0.3</v>
      </c>
      <c r="N3546" s="9" t="s">
        <v>20</v>
      </c>
    </row>
    <row r="3547" customFormat="false" ht="14.25" hidden="false" customHeight="true" outlineLevel="0" collapsed="false">
      <c r="B3547" s="9" t="s">
        <v>28</v>
      </c>
      <c r="C3547" s="9" t="n">
        <v>1185732</v>
      </c>
      <c r="D3547" s="10" t="n">
        <v>44290</v>
      </c>
      <c r="E3547" s="9" t="s">
        <v>17</v>
      </c>
      <c r="F3547" s="9" t="s">
        <v>127</v>
      </c>
      <c r="G3547" s="9" t="s">
        <v>128</v>
      </c>
      <c r="H3547" s="11" t="s">
        <v>24</v>
      </c>
      <c r="I3547" s="12" t="n">
        <v>50</v>
      </c>
      <c r="J3547" s="13" t="n">
        <v>125</v>
      </c>
      <c r="K3547" s="14" t="n">
        <f aca="false">I3547*J3547</f>
        <v>6250</v>
      </c>
      <c r="L3547" s="14" t="n">
        <f aca="false">($L$2*M3547)/100</f>
        <v>360499.95</v>
      </c>
      <c r="M3547" s="15" t="n">
        <v>0.3</v>
      </c>
      <c r="N3547" s="9" t="s">
        <v>20</v>
      </c>
    </row>
    <row r="3548" customFormat="false" ht="14.25" hidden="false" customHeight="true" outlineLevel="0" collapsed="false">
      <c r="B3548" s="9" t="s">
        <v>28</v>
      </c>
      <c r="C3548" s="9" t="n">
        <v>1185732</v>
      </c>
      <c r="D3548" s="10" t="n">
        <v>44290</v>
      </c>
      <c r="E3548" s="9" t="s">
        <v>17</v>
      </c>
      <c r="F3548" s="9" t="s">
        <v>127</v>
      </c>
      <c r="G3548" s="9" t="s">
        <v>128</v>
      </c>
      <c r="H3548" s="11" t="s">
        <v>25</v>
      </c>
      <c r="I3548" s="12" t="n">
        <v>40</v>
      </c>
      <c r="J3548" s="13" t="n">
        <v>275</v>
      </c>
      <c r="K3548" s="14" t="n">
        <f aca="false">I3548*J3548</f>
        <v>11000</v>
      </c>
      <c r="L3548" s="14" t="n">
        <f aca="false">($L$2*M3548)/100</f>
        <v>420583.275</v>
      </c>
      <c r="M3548" s="15" t="n">
        <v>0.35</v>
      </c>
      <c r="N3548" s="9" t="s">
        <v>20</v>
      </c>
    </row>
    <row r="3549" customFormat="false" ht="14.25" hidden="false" customHeight="true" outlineLevel="0" collapsed="false">
      <c r="B3549" s="9" t="s">
        <v>28</v>
      </c>
      <c r="C3549" s="9" t="n">
        <v>1185732</v>
      </c>
      <c r="D3549" s="10" t="n">
        <v>44319</v>
      </c>
      <c r="E3549" s="9" t="s">
        <v>17</v>
      </c>
      <c r="F3549" s="9" t="s">
        <v>127</v>
      </c>
      <c r="G3549" s="9" t="s">
        <v>128</v>
      </c>
      <c r="H3549" s="11" t="s">
        <v>19</v>
      </c>
      <c r="I3549" s="12" t="n">
        <v>55</v>
      </c>
      <c r="J3549" s="13" t="n">
        <v>545</v>
      </c>
      <c r="K3549" s="14" t="n">
        <f aca="false">I3549*J3549</f>
        <v>29975</v>
      </c>
      <c r="L3549" s="14" t="n">
        <f aca="false">($L$2*M3549)/100</f>
        <v>480666.6</v>
      </c>
      <c r="M3549" s="15" t="n">
        <v>0.4</v>
      </c>
      <c r="N3549" s="9" t="s">
        <v>20</v>
      </c>
    </row>
    <row r="3550" customFormat="false" ht="14.25" hidden="false" customHeight="true" outlineLevel="0" collapsed="false">
      <c r="B3550" s="9" t="s">
        <v>28</v>
      </c>
      <c r="C3550" s="9" t="n">
        <v>1185732</v>
      </c>
      <c r="D3550" s="10" t="n">
        <v>44319</v>
      </c>
      <c r="E3550" s="9" t="s">
        <v>17</v>
      </c>
      <c r="F3550" s="9" t="s">
        <v>127</v>
      </c>
      <c r="G3550" s="9" t="s">
        <v>128</v>
      </c>
      <c r="H3550" s="11" t="s">
        <v>21</v>
      </c>
      <c r="I3550" s="12" t="n">
        <v>50</v>
      </c>
      <c r="J3550" s="13" t="n">
        <v>250</v>
      </c>
      <c r="K3550" s="14" t="n">
        <f aca="false">I3550*J3550</f>
        <v>12500</v>
      </c>
      <c r="L3550" s="14" t="n">
        <f aca="false">($L$2*M3550)/100</f>
        <v>480666.6</v>
      </c>
      <c r="M3550" s="15" t="n">
        <v>0.4</v>
      </c>
      <c r="N3550" s="9" t="s">
        <v>20</v>
      </c>
    </row>
    <row r="3551" customFormat="false" ht="14.25" hidden="false" customHeight="true" outlineLevel="0" collapsed="false">
      <c r="B3551" s="9" t="s">
        <v>28</v>
      </c>
      <c r="C3551" s="9" t="n">
        <v>1185732</v>
      </c>
      <c r="D3551" s="10" t="n">
        <v>44319</v>
      </c>
      <c r="E3551" s="9" t="s">
        <v>17</v>
      </c>
      <c r="F3551" s="9" t="s">
        <v>127</v>
      </c>
      <c r="G3551" s="9" t="s">
        <v>128</v>
      </c>
      <c r="H3551" s="11" t="s">
        <v>22</v>
      </c>
      <c r="I3551" s="12" t="n">
        <v>45</v>
      </c>
      <c r="J3551" s="13" t="n">
        <v>275</v>
      </c>
      <c r="K3551" s="14" t="n">
        <f aca="false">I3551*J3551</f>
        <v>12375</v>
      </c>
      <c r="L3551" s="14" t="n">
        <f aca="false">($L$2*M3551)/100</f>
        <v>360499.95</v>
      </c>
      <c r="M3551" s="15" t="n">
        <v>0.3</v>
      </c>
      <c r="N3551" s="9" t="s">
        <v>20</v>
      </c>
    </row>
    <row r="3552" customFormat="false" ht="14.25" hidden="false" customHeight="true" outlineLevel="0" collapsed="false">
      <c r="B3552" s="9" t="s">
        <v>28</v>
      </c>
      <c r="C3552" s="9" t="n">
        <v>1185732</v>
      </c>
      <c r="D3552" s="10" t="n">
        <v>44319</v>
      </c>
      <c r="E3552" s="9" t="s">
        <v>17</v>
      </c>
      <c r="F3552" s="9" t="s">
        <v>127</v>
      </c>
      <c r="G3552" s="9" t="s">
        <v>128</v>
      </c>
      <c r="H3552" s="11" t="s">
        <v>23</v>
      </c>
      <c r="I3552" s="12" t="n">
        <v>45</v>
      </c>
      <c r="J3552" s="13" t="n">
        <v>225</v>
      </c>
      <c r="K3552" s="14" t="n">
        <f aca="false">I3552*J3552</f>
        <v>10125</v>
      </c>
      <c r="L3552" s="14" t="n">
        <f aca="false">($L$2*M3552)/100</f>
        <v>360499.95</v>
      </c>
      <c r="M3552" s="15" t="n">
        <v>0.3</v>
      </c>
      <c r="N3552" s="9" t="s">
        <v>20</v>
      </c>
    </row>
    <row r="3553" customFormat="false" ht="14.25" hidden="false" customHeight="true" outlineLevel="0" collapsed="false">
      <c r="B3553" s="9" t="s">
        <v>28</v>
      </c>
      <c r="C3553" s="9" t="n">
        <v>1185732</v>
      </c>
      <c r="D3553" s="10" t="n">
        <v>44319</v>
      </c>
      <c r="E3553" s="9" t="s">
        <v>17</v>
      </c>
      <c r="F3553" s="9" t="s">
        <v>127</v>
      </c>
      <c r="G3553" s="9" t="s">
        <v>128</v>
      </c>
      <c r="H3553" s="11" t="s">
        <v>24</v>
      </c>
      <c r="I3553" s="12" t="n">
        <v>55</v>
      </c>
      <c r="J3553" s="13" t="n">
        <v>250</v>
      </c>
      <c r="K3553" s="14" t="n">
        <f aca="false">I3553*J3553</f>
        <v>13750</v>
      </c>
      <c r="L3553" s="14" t="n">
        <f aca="false">($L$2*M3553)/100</f>
        <v>360499.95</v>
      </c>
      <c r="M3553" s="15" t="n">
        <v>0.3</v>
      </c>
      <c r="N3553" s="9" t="s">
        <v>20</v>
      </c>
    </row>
    <row r="3554" customFormat="false" ht="14.25" hidden="false" customHeight="true" outlineLevel="0" collapsed="false">
      <c r="B3554" s="9" t="s">
        <v>28</v>
      </c>
      <c r="C3554" s="9" t="n">
        <v>1185732</v>
      </c>
      <c r="D3554" s="10" t="n">
        <v>44319</v>
      </c>
      <c r="E3554" s="9" t="s">
        <v>17</v>
      </c>
      <c r="F3554" s="9" t="s">
        <v>127</v>
      </c>
      <c r="G3554" s="9" t="s">
        <v>128</v>
      </c>
      <c r="H3554" s="11" t="s">
        <v>25</v>
      </c>
      <c r="I3554" s="12" t="n">
        <v>60</v>
      </c>
      <c r="J3554" s="13" t="n">
        <v>375</v>
      </c>
      <c r="K3554" s="14" t="n">
        <f aca="false">I3554*J3554</f>
        <v>22500</v>
      </c>
      <c r="L3554" s="14" t="n">
        <f aca="false">($L$2*M3554)/100</f>
        <v>420583.275</v>
      </c>
      <c r="M3554" s="15" t="n">
        <v>0.35</v>
      </c>
      <c r="N3554" s="9" t="s">
        <v>20</v>
      </c>
    </row>
    <row r="3555" customFormat="false" ht="14.25" hidden="false" customHeight="true" outlineLevel="0" collapsed="false">
      <c r="B3555" s="9" t="s">
        <v>28</v>
      </c>
      <c r="C3555" s="9" t="n">
        <v>1185732</v>
      </c>
      <c r="D3555" s="10" t="n">
        <v>44352</v>
      </c>
      <c r="E3555" s="9" t="s">
        <v>17</v>
      </c>
      <c r="F3555" s="9" t="s">
        <v>127</v>
      </c>
      <c r="G3555" s="9" t="s">
        <v>128</v>
      </c>
      <c r="H3555" s="11" t="s">
        <v>19</v>
      </c>
      <c r="I3555" s="12" t="n">
        <v>55</v>
      </c>
      <c r="J3555" s="13" t="n">
        <v>625</v>
      </c>
      <c r="K3555" s="14" t="n">
        <f aca="false">I3555*J3555</f>
        <v>34375</v>
      </c>
      <c r="L3555" s="14" t="n">
        <f aca="false">($L$2*M3555)/100</f>
        <v>480666.6</v>
      </c>
      <c r="M3555" s="15" t="n">
        <v>0.4</v>
      </c>
      <c r="N3555" s="9" t="s">
        <v>20</v>
      </c>
    </row>
    <row r="3556" customFormat="false" ht="14.25" hidden="false" customHeight="true" outlineLevel="0" collapsed="false">
      <c r="B3556" s="9" t="s">
        <v>28</v>
      </c>
      <c r="C3556" s="9" t="n">
        <v>1185732</v>
      </c>
      <c r="D3556" s="10" t="n">
        <v>44352</v>
      </c>
      <c r="E3556" s="9" t="s">
        <v>17</v>
      </c>
      <c r="F3556" s="9" t="s">
        <v>127</v>
      </c>
      <c r="G3556" s="9" t="s">
        <v>128</v>
      </c>
      <c r="H3556" s="11" t="s">
        <v>21</v>
      </c>
      <c r="I3556" s="12" t="n">
        <v>50</v>
      </c>
      <c r="J3556" s="13" t="n">
        <v>375</v>
      </c>
      <c r="K3556" s="14" t="n">
        <f aca="false">I3556*J3556</f>
        <v>18750</v>
      </c>
      <c r="L3556" s="14" t="n">
        <f aca="false">($L$2*M3556)/100</f>
        <v>480666.6</v>
      </c>
      <c r="M3556" s="15" t="n">
        <v>0.4</v>
      </c>
      <c r="N3556" s="9" t="s">
        <v>20</v>
      </c>
    </row>
    <row r="3557" customFormat="false" ht="14.25" hidden="false" customHeight="true" outlineLevel="0" collapsed="false">
      <c r="B3557" s="9" t="s">
        <v>28</v>
      </c>
      <c r="C3557" s="9" t="n">
        <v>1185732</v>
      </c>
      <c r="D3557" s="10" t="n">
        <v>44352</v>
      </c>
      <c r="E3557" s="9" t="s">
        <v>17</v>
      </c>
      <c r="F3557" s="9" t="s">
        <v>127</v>
      </c>
      <c r="G3557" s="9" t="s">
        <v>128</v>
      </c>
      <c r="H3557" s="11" t="s">
        <v>22</v>
      </c>
      <c r="I3557" s="12" t="n">
        <v>45</v>
      </c>
      <c r="J3557" s="13" t="n">
        <v>300</v>
      </c>
      <c r="K3557" s="14" t="n">
        <f aca="false">I3557*J3557</f>
        <v>13500</v>
      </c>
      <c r="L3557" s="14" t="n">
        <f aca="false">($L$2*M3557)/100</f>
        <v>360499.95</v>
      </c>
      <c r="M3557" s="15" t="n">
        <v>0.3</v>
      </c>
      <c r="N3557" s="9" t="s">
        <v>20</v>
      </c>
    </row>
    <row r="3558" customFormat="false" ht="14.25" hidden="false" customHeight="true" outlineLevel="0" collapsed="false">
      <c r="B3558" s="9" t="s">
        <v>28</v>
      </c>
      <c r="C3558" s="9" t="n">
        <v>1185732</v>
      </c>
      <c r="D3558" s="10" t="n">
        <v>44352</v>
      </c>
      <c r="E3558" s="9" t="s">
        <v>17</v>
      </c>
      <c r="F3558" s="9" t="s">
        <v>127</v>
      </c>
      <c r="G3558" s="9" t="s">
        <v>128</v>
      </c>
      <c r="H3558" s="11" t="s">
        <v>23</v>
      </c>
      <c r="I3558" s="12" t="n">
        <v>45</v>
      </c>
      <c r="J3558" s="13" t="n">
        <v>275</v>
      </c>
      <c r="K3558" s="14" t="n">
        <f aca="false">I3558*J3558</f>
        <v>12375</v>
      </c>
      <c r="L3558" s="14" t="n">
        <f aca="false">($L$2*M3558)/100</f>
        <v>360499.95</v>
      </c>
      <c r="M3558" s="15" t="n">
        <v>0.3</v>
      </c>
      <c r="N3558" s="9" t="s">
        <v>20</v>
      </c>
    </row>
    <row r="3559" customFormat="false" ht="14.25" hidden="false" customHeight="true" outlineLevel="0" collapsed="false">
      <c r="B3559" s="9" t="s">
        <v>28</v>
      </c>
      <c r="C3559" s="9" t="n">
        <v>1185732</v>
      </c>
      <c r="D3559" s="10" t="n">
        <v>44352</v>
      </c>
      <c r="E3559" s="9" t="s">
        <v>17</v>
      </c>
      <c r="F3559" s="9" t="s">
        <v>127</v>
      </c>
      <c r="G3559" s="9" t="s">
        <v>128</v>
      </c>
      <c r="H3559" s="11" t="s">
        <v>24</v>
      </c>
      <c r="I3559" s="12" t="n">
        <v>55</v>
      </c>
      <c r="J3559" s="13" t="n">
        <v>275</v>
      </c>
      <c r="K3559" s="14" t="n">
        <f aca="false">I3559*J3559</f>
        <v>15125</v>
      </c>
      <c r="L3559" s="14" t="n">
        <f aca="false">($L$2*M3559)/100</f>
        <v>360499.95</v>
      </c>
      <c r="M3559" s="15" t="n">
        <v>0.3</v>
      </c>
      <c r="N3559" s="9" t="s">
        <v>20</v>
      </c>
    </row>
    <row r="3560" customFormat="false" ht="14.25" hidden="false" customHeight="true" outlineLevel="0" collapsed="false">
      <c r="B3560" s="9" t="s">
        <v>28</v>
      </c>
      <c r="C3560" s="9" t="n">
        <v>1185732</v>
      </c>
      <c r="D3560" s="10" t="n">
        <v>44352</v>
      </c>
      <c r="E3560" s="9" t="s">
        <v>17</v>
      </c>
      <c r="F3560" s="9" t="s">
        <v>127</v>
      </c>
      <c r="G3560" s="9" t="s">
        <v>128</v>
      </c>
      <c r="H3560" s="11" t="s">
        <v>25</v>
      </c>
      <c r="I3560" s="12" t="n">
        <v>60</v>
      </c>
      <c r="J3560" s="13" t="n">
        <v>425</v>
      </c>
      <c r="K3560" s="14" t="n">
        <f aca="false">I3560*J3560</f>
        <v>25500</v>
      </c>
      <c r="L3560" s="14" t="n">
        <f aca="false">($L$2*M3560)/100</f>
        <v>420583.275</v>
      </c>
      <c r="M3560" s="15" t="n">
        <v>0.35</v>
      </c>
      <c r="N3560" s="9" t="s">
        <v>20</v>
      </c>
    </row>
    <row r="3561" customFormat="false" ht="14.25" hidden="false" customHeight="true" outlineLevel="0" collapsed="false">
      <c r="B3561" s="9" t="s">
        <v>28</v>
      </c>
      <c r="C3561" s="9" t="n">
        <v>1185732</v>
      </c>
      <c r="D3561" s="10" t="n">
        <v>44380</v>
      </c>
      <c r="E3561" s="9" t="s">
        <v>17</v>
      </c>
      <c r="F3561" s="9" t="s">
        <v>127</v>
      </c>
      <c r="G3561" s="9" t="s">
        <v>128</v>
      </c>
      <c r="H3561" s="11" t="s">
        <v>19</v>
      </c>
      <c r="I3561" s="12" t="n">
        <v>55</v>
      </c>
      <c r="J3561" s="13" t="n">
        <v>650</v>
      </c>
      <c r="K3561" s="14" t="n">
        <f aca="false">I3561*J3561</f>
        <v>35750</v>
      </c>
      <c r="L3561" s="14" t="n">
        <f aca="false">($L$2*M3561)/100</f>
        <v>480666.6</v>
      </c>
      <c r="M3561" s="15" t="n">
        <v>0.4</v>
      </c>
      <c r="N3561" s="9" t="s">
        <v>20</v>
      </c>
    </row>
    <row r="3562" customFormat="false" ht="14.25" hidden="false" customHeight="true" outlineLevel="0" collapsed="false">
      <c r="B3562" s="9" t="s">
        <v>28</v>
      </c>
      <c r="C3562" s="9" t="n">
        <v>1185732</v>
      </c>
      <c r="D3562" s="10" t="n">
        <v>44380</v>
      </c>
      <c r="E3562" s="9" t="s">
        <v>17</v>
      </c>
      <c r="F3562" s="9" t="s">
        <v>127</v>
      </c>
      <c r="G3562" s="9" t="s">
        <v>128</v>
      </c>
      <c r="H3562" s="11" t="s">
        <v>21</v>
      </c>
      <c r="I3562" s="12" t="n">
        <v>50</v>
      </c>
      <c r="J3562" s="13" t="n">
        <v>400</v>
      </c>
      <c r="K3562" s="14" t="n">
        <f aca="false">I3562*J3562</f>
        <v>20000</v>
      </c>
      <c r="L3562" s="14" t="n">
        <f aca="false">($L$2*M3562)/100</f>
        <v>480666.6</v>
      </c>
      <c r="M3562" s="15" t="n">
        <v>0.4</v>
      </c>
      <c r="N3562" s="9" t="s">
        <v>20</v>
      </c>
    </row>
    <row r="3563" customFormat="false" ht="14.25" hidden="false" customHeight="true" outlineLevel="0" collapsed="false">
      <c r="B3563" s="9" t="s">
        <v>28</v>
      </c>
      <c r="C3563" s="9" t="n">
        <v>1185732</v>
      </c>
      <c r="D3563" s="10" t="n">
        <v>44380</v>
      </c>
      <c r="E3563" s="9" t="s">
        <v>17</v>
      </c>
      <c r="F3563" s="9" t="s">
        <v>127</v>
      </c>
      <c r="G3563" s="9" t="s">
        <v>128</v>
      </c>
      <c r="H3563" s="11" t="s">
        <v>22</v>
      </c>
      <c r="I3563" s="12" t="n">
        <v>45</v>
      </c>
      <c r="J3563" s="13" t="n">
        <v>325</v>
      </c>
      <c r="K3563" s="14" t="n">
        <f aca="false">I3563*J3563</f>
        <v>14625</v>
      </c>
      <c r="L3563" s="14" t="n">
        <f aca="false">($L$2*M3563)/100</f>
        <v>360499.95</v>
      </c>
      <c r="M3563" s="15" t="n">
        <v>0.3</v>
      </c>
      <c r="N3563" s="9" t="s">
        <v>20</v>
      </c>
    </row>
    <row r="3564" customFormat="false" ht="14.25" hidden="false" customHeight="true" outlineLevel="0" collapsed="false">
      <c r="B3564" s="9" t="s">
        <v>28</v>
      </c>
      <c r="C3564" s="9" t="n">
        <v>1185732</v>
      </c>
      <c r="D3564" s="10" t="n">
        <v>44380</v>
      </c>
      <c r="E3564" s="9" t="s">
        <v>17</v>
      </c>
      <c r="F3564" s="9" t="s">
        <v>127</v>
      </c>
      <c r="G3564" s="9" t="s">
        <v>128</v>
      </c>
      <c r="H3564" s="11" t="s">
        <v>23</v>
      </c>
      <c r="I3564" s="12" t="n">
        <v>45</v>
      </c>
      <c r="J3564" s="13" t="n">
        <v>275</v>
      </c>
      <c r="K3564" s="14" t="n">
        <f aca="false">I3564*J3564</f>
        <v>12375</v>
      </c>
      <c r="L3564" s="14" t="n">
        <f aca="false">($L$2*M3564)/100</f>
        <v>360499.95</v>
      </c>
      <c r="M3564" s="15" t="n">
        <v>0.3</v>
      </c>
      <c r="N3564" s="9" t="s">
        <v>20</v>
      </c>
    </row>
    <row r="3565" customFormat="false" ht="14.25" hidden="false" customHeight="true" outlineLevel="0" collapsed="false">
      <c r="B3565" s="9" t="s">
        <v>28</v>
      </c>
      <c r="C3565" s="9" t="n">
        <v>1185732</v>
      </c>
      <c r="D3565" s="10" t="n">
        <v>44380</v>
      </c>
      <c r="E3565" s="9" t="s">
        <v>17</v>
      </c>
      <c r="F3565" s="9" t="s">
        <v>127</v>
      </c>
      <c r="G3565" s="9" t="s">
        <v>128</v>
      </c>
      <c r="H3565" s="11" t="s">
        <v>24</v>
      </c>
      <c r="I3565" s="12" t="n">
        <v>55</v>
      </c>
      <c r="J3565" s="13" t="n">
        <v>300</v>
      </c>
      <c r="K3565" s="14" t="n">
        <f aca="false">I3565*J3565</f>
        <v>16500</v>
      </c>
      <c r="L3565" s="14" t="n">
        <f aca="false">($L$2*M3565)/100</f>
        <v>360499.95</v>
      </c>
      <c r="M3565" s="15" t="n">
        <v>0.3</v>
      </c>
      <c r="N3565" s="9" t="s">
        <v>20</v>
      </c>
    </row>
    <row r="3566" customFormat="false" ht="14.25" hidden="false" customHeight="true" outlineLevel="0" collapsed="false">
      <c r="B3566" s="9" t="s">
        <v>28</v>
      </c>
      <c r="C3566" s="9" t="n">
        <v>1185732</v>
      </c>
      <c r="D3566" s="10" t="n">
        <v>44380</v>
      </c>
      <c r="E3566" s="9" t="s">
        <v>17</v>
      </c>
      <c r="F3566" s="9" t="s">
        <v>127</v>
      </c>
      <c r="G3566" s="9" t="s">
        <v>128</v>
      </c>
      <c r="H3566" s="11" t="s">
        <v>25</v>
      </c>
      <c r="I3566" s="12" t="n">
        <v>60</v>
      </c>
      <c r="J3566" s="13" t="n">
        <v>475</v>
      </c>
      <c r="K3566" s="14" t="n">
        <f aca="false">I3566*J3566</f>
        <v>28500</v>
      </c>
      <c r="L3566" s="14" t="n">
        <f aca="false">($L$2*M3566)/100</f>
        <v>420583.275</v>
      </c>
      <c r="M3566" s="15" t="n">
        <v>0.35</v>
      </c>
      <c r="N3566" s="9" t="s">
        <v>20</v>
      </c>
    </row>
    <row r="3567" customFormat="false" ht="14.25" hidden="false" customHeight="true" outlineLevel="0" collapsed="false">
      <c r="B3567" s="9" t="s">
        <v>28</v>
      </c>
      <c r="C3567" s="9" t="n">
        <v>1185732</v>
      </c>
      <c r="D3567" s="10" t="n">
        <v>44412</v>
      </c>
      <c r="E3567" s="9" t="s">
        <v>17</v>
      </c>
      <c r="F3567" s="9" t="s">
        <v>127</v>
      </c>
      <c r="G3567" s="9" t="s">
        <v>128</v>
      </c>
      <c r="H3567" s="11" t="s">
        <v>19</v>
      </c>
      <c r="I3567" s="12" t="n">
        <v>55</v>
      </c>
      <c r="J3567" s="13" t="n">
        <v>625</v>
      </c>
      <c r="K3567" s="14" t="n">
        <f aca="false">I3567*J3567</f>
        <v>34375</v>
      </c>
      <c r="L3567" s="14" t="n">
        <f aca="false">($L$2*M3567)/100</f>
        <v>480666.6</v>
      </c>
      <c r="M3567" s="15" t="n">
        <v>0.4</v>
      </c>
      <c r="N3567" s="9" t="s">
        <v>20</v>
      </c>
    </row>
    <row r="3568" customFormat="false" ht="14.25" hidden="false" customHeight="true" outlineLevel="0" collapsed="false">
      <c r="B3568" s="9" t="s">
        <v>28</v>
      </c>
      <c r="C3568" s="9" t="n">
        <v>1185732</v>
      </c>
      <c r="D3568" s="10" t="n">
        <v>44412</v>
      </c>
      <c r="E3568" s="9" t="s">
        <v>17</v>
      </c>
      <c r="F3568" s="9" t="s">
        <v>127</v>
      </c>
      <c r="G3568" s="9" t="s">
        <v>128</v>
      </c>
      <c r="H3568" s="11" t="s">
        <v>21</v>
      </c>
      <c r="I3568" s="12" t="n">
        <v>50</v>
      </c>
      <c r="J3568" s="13" t="n">
        <v>400</v>
      </c>
      <c r="K3568" s="14" t="n">
        <f aca="false">I3568*J3568</f>
        <v>20000</v>
      </c>
      <c r="L3568" s="14" t="n">
        <f aca="false">($L$2*M3568)/100</f>
        <v>480666.6</v>
      </c>
      <c r="M3568" s="15" t="n">
        <v>0.4</v>
      </c>
      <c r="N3568" s="9" t="s">
        <v>20</v>
      </c>
    </row>
    <row r="3569" customFormat="false" ht="14.25" hidden="false" customHeight="true" outlineLevel="0" collapsed="false">
      <c r="B3569" s="9" t="s">
        <v>28</v>
      </c>
      <c r="C3569" s="9" t="n">
        <v>1185732</v>
      </c>
      <c r="D3569" s="10" t="n">
        <v>44412</v>
      </c>
      <c r="E3569" s="9" t="s">
        <v>17</v>
      </c>
      <c r="F3569" s="9" t="s">
        <v>127</v>
      </c>
      <c r="G3569" s="9" t="s">
        <v>128</v>
      </c>
      <c r="H3569" s="11" t="s">
        <v>22</v>
      </c>
      <c r="I3569" s="12" t="n">
        <v>45</v>
      </c>
      <c r="J3569" s="13" t="n">
        <v>325</v>
      </c>
      <c r="K3569" s="14" t="n">
        <f aca="false">I3569*J3569</f>
        <v>14625</v>
      </c>
      <c r="L3569" s="14" t="n">
        <f aca="false">($L$2*M3569)/100</f>
        <v>360499.95</v>
      </c>
      <c r="M3569" s="15" t="n">
        <v>0.3</v>
      </c>
      <c r="N3569" s="9" t="s">
        <v>20</v>
      </c>
    </row>
    <row r="3570" customFormat="false" ht="14.25" hidden="false" customHeight="true" outlineLevel="0" collapsed="false">
      <c r="B3570" s="9" t="s">
        <v>28</v>
      </c>
      <c r="C3570" s="9" t="n">
        <v>1185732</v>
      </c>
      <c r="D3570" s="10" t="n">
        <v>44412</v>
      </c>
      <c r="E3570" s="9" t="s">
        <v>17</v>
      </c>
      <c r="F3570" s="9" t="s">
        <v>127</v>
      </c>
      <c r="G3570" s="9" t="s">
        <v>128</v>
      </c>
      <c r="H3570" s="11" t="s">
        <v>23</v>
      </c>
      <c r="I3570" s="12" t="n">
        <v>45</v>
      </c>
      <c r="J3570" s="13" t="n">
        <v>225</v>
      </c>
      <c r="K3570" s="14" t="n">
        <f aca="false">I3570*J3570</f>
        <v>10125</v>
      </c>
      <c r="L3570" s="14" t="n">
        <f aca="false">($L$2*M3570)/100</f>
        <v>360499.95</v>
      </c>
      <c r="M3570" s="15" t="n">
        <v>0.3</v>
      </c>
      <c r="N3570" s="9" t="s">
        <v>20</v>
      </c>
    </row>
    <row r="3571" customFormat="false" ht="14.25" hidden="false" customHeight="true" outlineLevel="0" collapsed="false">
      <c r="B3571" s="9" t="s">
        <v>28</v>
      </c>
      <c r="C3571" s="9" t="n">
        <v>1185732</v>
      </c>
      <c r="D3571" s="10" t="n">
        <v>44412</v>
      </c>
      <c r="E3571" s="9" t="s">
        <v>17</v>
      </c>
      <c r="F3571" s="9" t="s">
        <v>127</v>
      </c>
      <c r="G3571" s="9" t="s">
        <v>128</v>
      </c>
      <c r="H3571" s="11" t="s">
        <v>24</v>
      </c>
      <c r="I3571" s="12" t="n">
        <v>55</v>
      </c>
      <c r="J3571" s="13" t="n">
        <v>200</v>
      </c>
      <c r="K3571" s="14" t="n">
        <f aca="false">I3571*J3571</f>
        <v>11000</v>
      </c>
      <c r="L3571" s="14" t="n">
        <f aca="false">($L$2*M3571)/100</f>
        <v>360499.95</v>
      </c>
      <c r="M3571" s="15" t="n">
        <v>0.3</v>
      </c>
      <c r="N3571" s="9" t="s">
        <v>20</v>
      </c>
    </row>
    <row r="3572" customFormat="false" ht="14.25" hidden="false" customHeight="true" outlineLevel="0" collapsed="false">
      <c r="B3572" s="9" t="s">
        <v>28</v>
      </c>
      <c r="C3572" s="9" t="n">
        <v>1185732</v>
      </c>
      <c r="D3572" s="10" t="n">
        <v>44412</v>
      </c>
      <c r="E3572" s="9" t="s">
        <v>17</v>
      </c>
      <c r="F3572" s="9" t="s">
        <v>127</v>
      </c>
      <c r="G3572" s="9" t="s">
        <v>128</v>
      </c>
      <c r="H3572" s="11" t="s">
        <v>25</v>
      </c>
      <c r="I3572" s="12" t="n">
        <v>60</v>
      </c>
      <c r="J3572" s="13" t="n">
        <v>375</v>
      </c>
      <c r="K3572" s="14" t="n">
        <f aca="false">I3572*J3572</f>
        <v>22500</v>
      </c>
      <c r="L3572" s="14" t="n">
        <f aca="false">($L$2*M3572)/100</f>
        <v>420583.275</v>
      </c>
      <c r="M3572" s="15" t="n">
        <v>0.35</v>
      </c>
      <c r="N3572" s="9" t="s">
        <v>20</v>
      </c>
    </row>
    <row r="3573" customFormat="false" ht="14.25" hidden="false" customHeight="true" outlineLevel="0" collapsed="false">
      <c r="B3573" s="9" t="s">
        <v>28</v>
      </c>
      <c r="C3573" s="9" t="n">
        <v>1185732</v>
      </c>
      <c r="D3573" s="10" t="n">
        <v>44442</v>
      </c>
      <c r="E3573" s="9" t="s">
        <v>17</v>
      </c>
      <c r="F3573" s="9" t="s">
        <v>127</v>
      </c>
      <c r="G3573" s="9" t="s">
        <v>128</v>
      </c>
      <c r="H3573" s="11" t="s">
        <v>19</v>
      </c>
      <c r="I3573" s="12" t="n">
        <v>55</v>
      </c>
      <c r="J3573" s="13" t="n">
        <v>500</v>
      </c>
      <c r="K3573" s="14" t="n">
        <f aca="false">I3573*J3573</f>
        <v>27500</v>
      </c>
      <c r="L3573" s="14" t="n">
        <f aca="false">($L$2*M3573)/100</f>
        <v>480666.6</v>
      </c>
      <c r="M3573" s="15" t="n">
        <v>0.4</v>
      </c>
      <c r="N3573" s="9" t="s">
        <v>20</v>
      </c>
    </row>
    <row r="3574" customFormat="false" ht="14.25" hidden="false" customHeight="true" outlineLevel="0" collapsed="false">
      <c r="B3574" s="9" t="s">
        <v>28</v>
      </c>
      <c r="C3574" s="9" t="n">
        <v>1185732</v>
      </c>
      <c r="D3574" s="10" t="n">
        <v>44442</v>
      </c>
      <c r="E3574" s="9" t="s">
        <v>17</v>
      </c>
      <c r="F3574" s="9" t="s">
        <v>127</v>
      </c>
      <c r="G3574" s="9" t="s">
        <v>128</v>
      </c>
      <c r="H3574" s="11" t="s">
        <v>21</v>
      </c>
      <c r="I3574" s="12" t="n">
        <v>50</v>
      </c>
      <c r="J3574" s="13" t="n">
        <v>300</v>
      </c>
      <c r="K3574" s="14" t="n">
        <f aca="false">I3574*J3574</f>
        <v>15000</v>
      </c>
      <c r="L3574" s="14" t="n">
        <f aca="false">($L$2*M3574)/100</f>
        <v>480666.6</v>
      </c>
      <c r="M3574" s="15" t="n">
        <v>0.4</v>
      </c>
      <c r="N3574" s="9" t="s">
        <v>20</v>
      </c>
    </row>
    <row r="3575" customFormat="false" ht="14.25" hidden="false" customHeight="true" outlineLevel="0" collapsed="false">
      <c r="B3575" s="9" t="s">
        <v>28</v>
      </c>
      <c r="C3575" s="9" t="n">
        <v>1185732</v>
      </c>
      <c r="D3575" s="10" t="n">
        <v>44442</v>
      </c>
      <c r="E3575" s="9" t="s">
        <v>17</v>
      </c>
      <c r="F3575" s="9" t="s">
        <v>127</v>
      </c>
      <c r="G3575" s="9" t="s">
        <v>128</v>
      </c>
      <c r="H3575" s="11" t="s">
        <v>22</v>
      </c>
      <c r="I3575" s="12" t="n">
        <v>45</v>
      </c>
      <c r="J3575" s="13" t="n">
        <v>200</v>
      </c>
      <c r="K3575" s="14" t="n">
        <f aca="false">I3575*J3575</f>
        <v>9000</v>
      </c>
      <c r="L3575" s="14" t="n">
        <f aca="false">($L$2*M3575)/100</f>
        <v>360499.95</v>
      </c>
      <c r="M3575" s="15" t="n">
        <v>0.3</v>
      </c>
      <c r="N3575" s="9" t="s">
        <v>20</v>
      </c>
    </row>
    <row r="3576" customFormat="false" ht="14.25" hidden="false" customHeight="true" outlineLevel="0" collapsed="false">
      <c r="B3576" s="9" t="s">
        <v>28</v>
      </c>
      <c r="C3576" s="9" t="n">
        <v>1185732</v>
      </c>
      <c r="D3576" s="10" t="n">
        <v>44442</v>
      </c>
      <c r="E3576" s="9" t="s">
        <v>17</v>
      </c>
      <c r="F3576" s="9" t="s">
        <v>127</v>
      </c>
      <c r="G3576" s="9" t="s">
        <v>128</v>
      </c>
      <c r="H3576" s="11" t="s">
        <v>23</v>
      </c>
      <c r="I3576" s="12" t="n">
        <v>45</v>
      </c>
      <c r="J3576" s="13" t="n">
        <v>175</v>
      </c>
      <c r="K3576" s="14" t="n">
        <f aca="false">I3576*J3576</f>
        <v>7875</v>
      </c>
      <c r="L3576" s="14" t="n">
        <f aca="false">($L$2*M3576)/100</f>
        <v>360499.95</v>
      </c>
      <c r="M3576" s="15" t="n">
        <v>0.3</v>
      </c>
      <c r="N3576" s="9" t="s">
        <v>20</v>
      </c>
    </row>
    <row r="3577" customFormat="false" ht="14.25" hidden="false" customHeight="true" outlineLevel="0" collapsed="false">
      <c r="B3577" s="9" t="s">
        <v>28</v>
      </c>
      <c r="C3577" s="9" t="n">
        <v>1185732</v>
      </c>
      <c r="D3577" s="10" t="n">
        <v>44442</v>
      </c>
      <c r="E3577" s="9" t="s">
        <v>17</v>
      </c>
      <c r="F3577" s="9" t="s">
        <v>127</v>
      </c>
      <c r="G3577" s="9" t="s">
        <v>128</v>
      </c>
      <c r="H3577" s="11" t="s">
        <v>24</v>
      </c>
      <c r="I3577" s="12" t="n">
        <v>55</v>
      </c>
      <c r="J3577" s="13" t="n">
        <v>175</v>
      </c>
      <c r="K3577" s="14" t="n">
        <f aca="false">I3577*J3577</f>
        <v>9625</v>
      </c>
      <c r="L3577" s="14" t="n">
        <f aca="false">($L$2*M3577)/100</f>
        <v>360499.95</v>
      </c>
      <c r="M3577" s="15" t="n">
        <v>0.3</v>
      </c>
      <c r="N3577" s="9" t="s">
        <v>20</v>
      </c>
    </row>
    <row r="3578" customFormat="false" ht="14.25" hidden="false" customHeight="true" outlineLevel="0" collapsed="false">
      <c r="B3578" s="9" t="s">
        <v>28</v>
      </c>
      <c r="C3578" s="9" t="n">
        <v>1185732</v>
      </c>
      <c r="D3578" s="10" t="n">
        <v>44442</v>
      </c>
      <c r="E3578" s="9" t="s">
        <v>17</v>
      </c>
      <c r="F3578" s="9" t="s">
        <v>127</v>
      </c>
      <c r="G3578" s="9" t="s">
        <v>128</v>
      </c>
      <c r="H3578" s="11" t="s">
        <v>25</v>
      </c>
      <c r="I3578" s="12" t="n">
        <v>60</v>
      </c>
      <c r="J3578" s="13" t="n">
        <v>275</v>
      </c>
      <c r="K3578" s="14" t="n">
        <f aca="false">I3578*J3578</f>
        <v>16500</v>
      </c>
      <c r="L3578" s="14" t="n">
        <f aca="false">($L$2*M3578)/100</f>
        <v>420583.275</v>
      </c>
      <c r="M3578" s="15" t="n">
        <v>0.35</v>
      </c>
      <c r="N3578" s="9" t="s">
        <v>20</v>
      </c>
    </row>
    <row r="3579" customFormat="false" ht="14.25" hidden="false" customHeight="true" outlineLevel="0" collapsed="false">
      <c r="B3579" s="9" t="s">
        <v>28</v>
      </c>
      <c r="C3579" s="9" t="n">
        <v>1185732</v>
      </c>
      <c r="D3579" s="10" t="n">
        <v>44474</v>
      </c>
      <c r="E3579" s="9" t="s">
        <v>17</v>
      </c>
      <c r="F3579" s="9" t="s">
        <v>127</v>
      </c>
      <c r="G3579" s="9" t="s">
        <v>128</v>
      </c>
      <c r="H3579" s="11" t="s">
        <v>19</v>
      </c>
      <c r="I3579" s="12" t="n">
        <v>60</v>
      </c>
      <c r="J3579" s="13" t="n">
        <v>450</v>
      </c>
      <c r="K3579" s="14" t="n">
        <f aca="false">I3579*J3579</f>
        <v>27000</v>
      </c>
      <c r="L3579" s="14" t="n">
        <f aca="false">($L$2*M3579)/100</f>
        <v>480666.6</v>
      </c>
      <c r="M3579" s="15" t="n">
        <v>0.4</v>
      </c>
      <c r="N3579" s="9" t="s">
        <v>20</v>
      </c>
    </row>
    <row r="3580" customFormat="false" ht="14.25" hidden="false" customHeight="true" outlineLevel="0" collapsed="false">
      <c r="B3580" s="9" t="s">
        <v>28</v>
      </c>
      <c r="C3580" s="9" t="n">
        <v>1185732</v>
      </c>
      <c r="D3580" s="10" t="n">
        <v>44474</v>
      </c>
      <c r="E3580" s="9" t="s">
        <v>17</v>
      </c>
      <c r="F3580" s="9" t="s">
        <v>127</v>
      </c>
      <c r="G3580" s="9" t="s">
        <v>128</v>
      </c>
      <c r="H3580" s="11" t="s">
        <v>21</v>
      </c>
      <c r="I3580" s="12" t="n">
        <v>55</v>
      </c>
      <c r="J3580" s="13" t="n">
        <v>275</v>
      </c>
      <c r="K3580" s="14" t="n">
        <f aca="false">I3580*J3580</f>
        <v>15125</v>
      </c>
      <c r="L3580" s="14" t="n">
        <f aca="false">($L$2*M3580)/100</f>
        <v>480666.6</v>
      </c>
      <c r="M3580" s="15" t="n">
        <v>0.4</v>
      </c>
      <c r="N3580" s="9" t="s">
        <v>20</v>
      </c>
    </row>
    <row r="3581" customFormat="false" ht="14.25" hidden="false" customHeight="true" outlineLevel="0" collapsed="false">
      <c r="B3581" s="9" t="s">
        <v>28</v>
      </c>
      <c r="C3581" s="9" t="n">
        <v>1185732</v>
      </c>
      <c r="D3581" s="10" t="n">
        <v>44474</v>
      </c>
      <c r="E3581" s="9" t="s">
        <v>17</v>
      </c>
      <c r="F3581" s="9" t="s">
        <v>127</v>
      </c>
      <c r="G3581" s="9" t="s">
        <v>128</v>
      </c>
      <c r="H3581" s="11" t="s">
        <v>22</v>
      </c>
      <c r="I3581" s="12" t="n">
        <v>55</v>
      </c>
      <c r="J3581" s="13" t="n">
        <v>175</v>
      </c>
      <c r="K3581" s="14" t="n">
        <f aca="false">I3581*J3581</f>
        <v>9625</v>
      </c>
      <c r="L3581" s="14" t="n">
        <f aca="false">($L$2*M3581)/100</f>
        <v>360499.95</v>
      </c>
      <c r="M3581" s="15" t="n">
        <v>0.3</v>
      </c>
      <c r="N3581" s="9" t="s">
        <v>20</v>
      </c>
    </row>
    <row r="3582" customFormat="false" ht="14.25" hidden="false" customHeight="true" outlineLevel="0" collapsed="false">
      <c r="B3582" s="9" t="s">
        <v>28</v>
      </c>
      <c r="C3582" s="9" t="n">
        <v>1185732</v>
      </c>
      <c r="D3582" s="10" t="n">
        <v>44474</v>
      </c>
      <c r="E3582" s="9" t="s">
        <v>17</v>
      </c>
      <c r="F3582" s="9" t="s">
        <v>127</v>
      </c>
      <c r="G3582" s="9" t="s">
        <v>128</v>
      </c>
      <c r="H3582" s="11" t="s">
        <v>23</v>
      </c>
      <c r="I3582" s="12" t="n">
        <v>55</v>
      </c>
      <c r="J3582" s="13" t="n">
        <v>150</v>
      </c>
      <c r="K3582" s="14" t="n">
        <f aca="false">I3582*J3582</f>
        <v>8250</v>
      </c>
      <c r="L3582" s="14" t="n">
        <f aca="false">($L$2*M3582)/100</f>
        <v>360499.95</v>
      </c>
      <c r="M3582" s="15" t="n">
        <v>0.3</v>
      </c>
      <c r="N3582" s="9" t="s">
        <v>20</v>
      </c>
    </row>
    <row r="3583" customFormat="false" ht="14.25" hidden="false" customHeight="true" outlineLevel="0" collapsed="false">
      <c r="B3583" s="9" t="s">
        <v>28</v>
      </c>
      <c r="C3583" s="9" t="n">
        <v>1185732</v>
      </c>
      <c r="D3583" s="10" t="n">
        <v>44474</v>
      </c>
      <c r="E3583" s="9" t="s">
        <v>17</v>
      </c>
      <c r="F3583" s="9" t="s">
        <v>127</v>
      </c>
      <c r="G3583" s="9" t="s">
        <v>128</v>
      </c>
      <c r="H3583" s="11" t="s">
        <v>24</v>
      </c>
      <c r="I3583" s="12" t="n">
        <v>65</v>
      </c>
      <c r="J3583" s="13" t="n">
        <v>150</v>
      </c>
      <c r="K3583" s="14" t="n">
        <f aca="false">I3583*J3583</f>
        <v>9750</v>
      </c>
      <c r="L3583" s="14" t="n">
        <f aca="false">($L$2*M3583)/100</f>
        <v>360499.95</v>
      </c>
      <c r="M3583" s="15" t="n">
        <v>0.3</v>
      </c>
      <c r="N3583" s="9" t="s">
        <v>20</v>
      </c>
    </row>
    <row r="3584" customFormat="false" ht="14.25" hidden="false" customHeight="true" outlineLevel="0" collapsed="false">
      <c r="B3584" s="9" t="s">
        <v>16</v>
      </c>
      <c r="C3584" s="9" t="n">
        <v>1185732</v>
      </c>
      <c r="D3584" s="10" t="n">
        <v>44474</v>
      </c>
      <c r="E3584" s="9" t="s">
        <v>17</v>
      </c>
      <c r="F3584" s="9" t="s">
        <v>127</v>
      </c>
      <c r="G3584" s="9" t="s">
        <v>128</v>
      </c>
      <c r="H3584" s="11" t="s">
        <v>25</v>
      </c>
      <c r="I3584" s="12" t="n">
        <v>70</v>
      </c>
      <c r="J3584" s="13" t="n">
        <v>275</v>
      </c>
      <c r="K3584" s="14" t="n">
        <f aca="false">I3584*J3584</f>
        <v>19250</v>
      </c>
      <c r="L3584" s="14" t="n">
        <f aca="false">($L$2*M3584)/100</f>
        <v>420583.275</v>
      </c>
      <c r="M3584" s="15" t="n">
        <v>0.35</v>
      </c>
      <c r="N3584" s="9" t="s">
        <v>20</v>
      </c>
    </row>
    <row r="3585" customFormat="false" ht="14.25" hidden="false" customHeight="true" outlineLevel="0" collapsed="false">
      <c r="B3585" s="9" t="s">
        <v>16</v>
      </c>
      <c r="C3585" s="9" t="n">
        <v>1185732</v>
      </c>
      <c r="D3585" s="10" t="n">
        <v>44504</v>
      </c>
      <c r="E3585" s="9" t="s">
        <v>17</v>
      </c>
      <c r="F3585" s="9" t="s">
        <v>127</v>
      </c>
      <c r="G3585" s="9" t="s">
        <v>128</v>
      </c>
      <c r="H3585" s="11" t="s">
        <v>19</v>
      </c>
      <c r="I3585" s="12" t="n">
        <v>65</v>
      </c>
      <c r="J3585" s="13" t="n">
        <v>425</v>
      </c>
      <c r="K3585" s="14" t="n">
        <f aca="false">I3585*J3585</f>
        <v>27625</v>
      </c>
      <c r="L3585" s="14" t="n">
        <f aca="false">($L$2*M3585)/100</f>
        <v>480666.6</v>
      </c>
      <c r="M3585" s="15" t="n">
        <v>0.4</v>
      </c>
      <c r="N3585" s="9" t="s">
        <v>20</v>
      </c>
    </row>
    <row r="3586" customFormat="false" ht="14.25" hidden="false" customHeight="true" outlineLevel="0" collapsed="false">
      <c r="B3586" s="9" t="s">
        <v>16</v>
      </c>
      <c r="C3586" s="9" t="n">
        <v>1185732</v>
      </c>
      <c r="D3586" s="10" t="n">
        <v>44504</v>
      </c>
      <c r="E3586" s="9" t="s">
        <v>17</v>
      </c>
      <c r="F3586" s="9" t="s">
        <v>127</v>
      </c>
      <c r="G3586" s="9" t="s">
        <v>128</v>
      </c>
      <c r="H3586" s="11" t="s">
        <v>21</v>
      </c>
      <c r="I3586" s="12" t="n">
        <v>55</v>
      </c>
      <c r="J3586" s="13" t="n">
        <v>300</v>
      </c>
      <c r="K3586" s="14" t="n">
        <f aca="false">I3586*J3586</f>
        <v>16500</v>
      </c>
      <c r="L3586" s="14" t="n">
        <f aca="false">($L$2*M3586)/100</f>
        <v>480666.6</v>
      </c>
      <c r="M3586" s="15" t="n">
        <v>0.4</v>
      </c>
      <c r="N3586" s="9" t="s">
        <v>20</v>
      </c>
    </row>
    <row r="3587" customFormat="false" ht="14.25" hidden="false" customHeight="true" outlineLevel="0" collapsed="false">
      <c r="B3587" s="9" t="s">
        <v>16</v>
      </c>
      <c r="C3587" s="9" t="n">
        <v>1185732</v>
      </c>
      <c r="D3587" s="10" t="n">
        <v>44504</v>
      </c>
      <c r="E3587" s="9" t="s">
        <v>17</v>
      </c>
      <c r="F3587" s="9" t="s">
        <v>127</v>
      </c>
      <c r="G3587" s="9" t="s">
        <v>128</v>
      </c>
      <c r="H3587" s="11" t="s">
        <v>22</v>
      </c>
      <c r="I3587" s="12" t="n">
        <v>55</v>
      </c>
      <c r="J3587" s="13" t="n">
        <v>295</v>
      </c>
      <c r="K3587" s="14" t="n">
        <f aca="false">I3587*J3587</f>
        <v>16225</v>
      </c>
      <c r="L3587" s="14" t="n">
        <f aca="false">($L$2*M3587)/100</f>
        <v>360499.95</v>
      </c>
      <c r="M3587" s="15" t="n">
        <v>0.3</v>
      </c>
      <c r="N3587" s="9" t="s">
        <v>20</v>
      </c>
    </row>
    <row r="3588" customFormat="false" ht="14.25" hidden="false" customHeight="true" outlineLevel="0" collapsed="false">
      <c r="B3588" s="9" t="s">
        <v>16</v>
      </c>
      <c r="C3588" s="9" t="n">
        <v>1185732</v>
      </c>
      <c r="D3588" s="10" t="n">
        <v>44504</v>
      </c>
      <c r="E3588" s="9" t="s">
        <v>17</v>
      </c>
      <c r="F3588" s="9" t="s">
        <v>127</v>
      </c>
      <c r="G3588" s="9" t="s">
        <v>128</v>
      </c>
      <c r="H3588" s="11" t="s">
        <v>23</v>
      </c>
      <c r="I3588" s="12" t="n">
        <v>55</v>
      </c>
      <c r="J3588" s="13" t="n">
        <v>275</v>
      </c>
      <c r="K3588" s="14" t="n">
        <f aca="false">I3588*J3588</f>
        <v>15125</v>
      </c>
      <c r="L3588" s="14" t="n">
        <f aca="false">($L$2*M3588)/100</f>
        <v>360499.95</v>
      </c>
      <c r="M3588" s="15" t="n">
        <v>0.3</v>
      </c>
      <c r="N3588" s="9" t="s">
        <v>20</v>
      </c>
    </row>
    <row r="3589" customFormat="false" ht="14.25" hidden="false" customHeight="true" outlineLevel="0" collapsed="false">
      <c r="B3589" s="9" t="s">
        <v>16</v>
      </c>
      <c r="C3589" s="9" t="n">
        <v>1185732</v>
      </c>
      <c r="D3589" s="10" t="n">
        <v>44504</v>
      </c>
      <c r="E3589" s="9" t="s">
        <v>17</v>
      </c>
      <c r="F3589" s="9" t="s">
        <v>127</v>
      </c>
      <c r="G3589" s="9" t="s">
        <v>128</v>
      </c>
      <c r="H3589" s="11" t="s">
        <v>24</v>
      </c>
      <c r="I3589" s="12" t="n">
        <v>65</v>
      </c>
      <c r="J3589" s="13" t="n">
        <v>250</v>
      </c>
      <c r="K3589" s="14" t="n">
        <f aca="false">I3589*J3589</f>
        <v>16250</v>
      </c>
      <c r="L3589" s="14" t="n">
        <f aca="false">($L$2*M3589)/100</f>
        <v>360499.95</v>
      </c>
      <c r="M3589" s="15" t="n">
        <v>0.3</v>
      </c>
      <c r="N3589" s="9" t="s">
        <v>20</v>
      </c>
    </row>
    <row r="3590" customFormat="false" ht="14.25" hidden="false" customHeight="true" outlineLevel="0" collapsed="false">
      <c r="B3590" s="9" t="s">
        <v>16</v>
      </c>
      <c r="C3590" s="9" t="n">
        <v>1185732</v>
      </c>
      <c r="D3590" s="10" t="n">
        <v>44504</v>
      </c>
      <c r="E3590" s="9" t="s">
        <v>17</v>
      </c>
      <c r="F3590" s="9" t="s">
        <v>127</v>
      </c>
      <c r="G3590" s="9" t="s">
        <v>128</v>
      </c>
      <c r="H3590" s="11" t="s">
        <v>25</v>
      </c>
      <c r="I3590" s="12" t="n">
        <v>70</v>
      </c>
      <c r="J3590" s="13" t="n">
        <v>350</v>
      </c>
      <c r="K3590" s="14" t="n">
        <f aca="false">I3590*J3590</f>
        <v>24500</v>
      </c>
      <c r="L3590" s="14" t="n">
        <f aca="false">($L$2*M3590)/100</f>
        <v>420583.275</v>
      </c>
      <c r="M3590" s="15" t="n">
        <v>0.35</v>
      </c>
      <c r="N3590" s="9" t="s">
        <v>20</v>
      </c>
    </row>
    <row r="3591" customFormat="false" ht="14.25" hidden="false" customHeight="true" outlineLevel="0" collapsed="false">
      <c r="B3591" s="9" t="s">
        <v>16</v>
      </c>
      <c r="C3591" s="9" t="n">
        <v>1185732</v>
      </c>
      <c r="D3591" s="10" t="n">
        <v>44533</v>
      </c>
      <c r="E3591" s="9" t="s">
        <v>17</v>
      </c>
      <c r="F3591" s="9" t="s">
        <v>127</v>
      </c>
      <c r="G3591" s="9" t="s">
        <v>128</v>
      </c>
      <c r="H3591" s="11" t="s">
        <v>19</v>
      </c>
      <c r="I3591" s="12" t="n">
        <v>65</v>
      </c>
      <c r="J3591" s="13" t="n">
        <v>575</v>
      </c>
      <c r="K3591" s="14" t="n">
        <f aca="false">I3591*J3591</f>
        <v>37375</v>
      </c>
      <c r="L3591" s="14" t="n">
        <f aca="false">($L$2*M3591)/100</f>
        <v>480666.6</v>
      </c>
      <c r="M3591" s="15" t="n">
        <v>0.4</v>
      </c>
      <c r="N3591" s="9" t="s">
        <v>20</v>
      </c>
    </row>
    <row r="3592" customFormat="false" ht="14.25" hidden="false" customHeight="true" outlineLevel="0" collapsed="false">
      <c r="B3592" s="9" t="s">
        <v>16</v>
      </c>
      <c r="C3592" s="9" t="n">
        <v>1185732</v>
      </c>
      <c r="D3592" s="10" t="n">
        <v>44533</v>
      </c>
      <c r="E3592" s="9" t="s">
        <v>17</v>
      </c>
      <c r="F3592" s="9" t="s">
        <v>127</v>
      </c>
      <c r="G3592" s="9" t="s">
        <v>128</v>
      </c>
      <c r="H3592" s="11" t="s">
        <v>21</v>
      </c>
      <c r="I3592" s="12" t="n">
        <v>55</v>
      </c>
      <c r="J3592" s="13" t="n">
        <v>375</v>
      </c>
      <c r="K3592" s="14" t="n">
        <f aca="false">I3592*J3592</f>
        <v>20625</v>
      </c>
      <c r="L3592" s="14" t="n">
        <f aca="false">($L$2*M3592)/100</f>
        <v>480666.6</v>
      </c>
      <c r="M3592" s="15" t="n">
        <v>0.4</v>
      </c>
      <c r="N3592" s="9" t="s">
        <v>20</v>
      </c>
    </row>
    <row r="3593" customFormat="false" ht="14.25" hidden="false" customHeight="true" outlineLevel="0" collapsed="false">
      <c r="B3593" s="9" t="s">
        <v>16</v>
      </c>
      <c r="C3593" s="9" t="n">
        <v>1185732</v>
      </c>
      <c r="D3593" s="10" t="n">
        <v>44533</v>
      </c>
      <c r="E3593" s="9" t="s">
        <v>17</v>
      </c>
      <c r="F3593" s="9" t="s">
        <v>127</v>
      </c>
      <c r="G3593" s="9" t="s">
        <v>128</v>
      </c>
      <c r="H3593" s="11" t="s">
        <v>22</v>
      </c>
      <c r="I3593" s="12" t="n">
        <v>55</v>
      </c>
      <c r="J3593" s="13" t="n">
        <v>350</v>
      </c>
      <c r="K3593" s="14" t="n">
        <f aca="false">I3593*J3593</f>
        <v>19250</v>
      </c>
      <c r="L3593" s="14" t="n">
        <f aca="false">($L$2*M3593)/100</f>
        <v>360499.95</v>
      </c>
      <c r="M3593" s="15" t="n">
        <v>0.3</v>
      </c>
      <c r="N3593" s="9" t="s">
        <v>20</v>
      </c>
    </row>
    <row r="3594" customFormat="false" ht="14.25" hidden="false" customHeight="true" outlineLevel="0" collapsed="false">
      <c r="B3594" s="9" t="s">
        <v>16</v>
      </c>
      <c r="C3594" s="9" t="n">
        <v>1185732</v>
      </c>
      <c r="D3594" s="10" t="n">
        <v>44533</v>
      </c>
      <c r="E3594" s="9" t="s">
        <v>17</v>
      </c>
      <c r="F3594" s="9" t="s">
        <v>127</v>
      </c>
      <c r="G3594" s="9" t="s">
        <v>128</v>
      </c>
      <c r="H3594" s="11" t="s">
        <v>23</v>
      </c>
      <c r="I3594" s="12" t="n">
        <v>55</v>
      </c>
      <c r="J3594" s="13" t="n">
        <v>300</v>
      </c>
      <c r="K3594" s="14" t="n">
        <f aca="false">I3594*J3594</f>
        <v>16500</v>
      </c>
      <c r="L3594" s="14" t="n">
        <f aca="false">($L$2*M3594)/100</f>
        <v>360499.95</v>
      </c>
      <c r="M3594" s="15" t="n">
        <v>0.3</v>
      </c>
      <c r="N3594" s="9" t="s">
        <v>20</v>
      </c>
    </row>
    <row r="3595" customFormat="false" ht="14.25" hidden="false" customHeight="true" outlineLevel="0" collapsed="false">
      <c r="B3595" s="9" t="s">
        <v>16</v>
      </c>
      <c r="C3595" s="9" t="n">
        <v>1185732</v>
      </c>
      <c r="D3595" s="10" t="n">
        <v>44533</v>
      </c>
      <c r="E3595" s="9" t="s">
        <v>17</v>
      </c>
      <c r="F3595" s="9" t="s">
        <v>127</v>
      </c>
      <c r="G3595" s="9" t="s">
        <v>128</v>
      </c>
      <c r="H3595" s="11" t="s">
        <v>24</v>
      </c>
      <c r="I3595" s="12" t="n">
        <v>65</v>
      </c>
      <c r="J3595" s="13" t="n">
        <v>300</v>
      </c>
      <c r="K3595" s="14" t="n">
        <f aca="false">I3595*J3595</f>
        <v>19500</v>
      </c>
      <c r="L3595" s="14" t="n">
        <f aca="false">($L$2*M3595)/100</f>
        <v>360499.95</v>
      </c>
      <c r="M3595" s="15" t="n">
        <v>0.3</v>
      </c>
      <c r="N3595" s="9" t="s">
        <v>20</v>
      </c>
    </row>
    <row r="3596" customFormat="false" ht="14.25" hidden="false" customHeight="true" outlineLevel="0" collapsed="false">
      <c r="B3596" s="9" t="s">
        <v>16</v>
      </c>
      <c r="C3596" s="9" t="n">
        <v>1185732</v>
      </c>
      <c r="D3596" s="10" t="n">
        <v>44533</v>
      </c>
      <c r="E3596" s="9" t="s">
        <v>17</v>
      </c>
      <c r="F3596" s="9" t="s">
        <v>127</v>
      </c>
      <c r="G3596" s="9" t="s">
        <v>128</v>
      </c>
      <c r="H3596" s="11" t="s">
        <v>25</v>
      </c>
      <c r="I3596" s="12" t="n">
        <v>70</v>
      </c>
      <c r="J3596" s="13" t="n">
        <v>400</v>
      </c>
      <c r="K3596" s="14" t="n">
        <f aca="false">I3596*J3596</f>
        <v>28000</v>
      </c>
      <c r="L3596" s="14" t="n">
        <f aca="false">($L$2*M3596)/100</f>
        <v>420583.275</v>
      </c>
      <c r="M3596" s="15" t="n">
        <v>0.35</v>
      </c>
      <c r="N3596" s="9" t="s">
        <v>20</v>
      </c>
    </row>
    <row r="3597" customFormat="false" ht="14.25" hidden="false" customHeight="true" outlineLevel="0" collapsed="false">
      <c r="B3597" s="9" t="s">
        <v>16</v>
      </c>
      <c r="C3597" s="9" t="n">
        <v>1185732</v>
      </c>
      <c r="D3597" s="10" t="n">
        <v>44206</v>
      </c>
      <c r="E3597" s="9" t="s">
        <v>17</v>
      </c>
      <c r="F3597" s="9" t="s">
        <v>127</v>
      </c>
      <c r="G3597" s="9" t="s">
        <v>128</v>
      </c>
      <c r="H3597" s="11" t="s">
        <v>19</v>
      </c>
      <c r="I3597" s="12" t="n">
        <v>35</v>
      </c>
      <c r="J3597" s="13" t="n">
        <v>425</v>
      </c>
      <c r="K3597" s="14" t="n">
        <f aca="false">I3597*J3597</f>
        <v>14875</v>
      </c>
      <c r="L3597" s="14" t="n">
        <f aca="false">($L$2*M3597)/100</f>
        <v>420583.275</v>
      </c>
      <c r="M3597" s="15" t="n">
        <v>0.35</v>
      </c>
      <c r="N3597" s="9" t="s">
        <v>20</v>
      </c>
    </row>
    <row r="3598" customFormat="false" ht="14.25" hidden="false" customHeight="true" outlineLevel="0" collapsed="false">
      <c r="B3598" s="9" t="s">
        <v>16</v>
      </c>
      <c r="C3598" s="9" t="n">
        <v>1185732</v>
      </c>
      <c r="D3598" s="10" t="n">
        <v>44206</v>
      </c>
      <c r="E3598" s="9" t="s">
        <v>17</v>
      </c>
      <c r="F3598" s="9" t="s">
        <v>127</v>
      </c>
      <c r="G3598" s="9" t="s">
        <v>128</v>
      </c>
      <c r="H3598" s="11" t="s">
        <v>21</v>
      </c>
      <c r="I3598" s="12" t="n">
        <v>35</v>
      </c>
      <c r="J3598" s="13" t="n">
        <v>225</v>
      </c>
      <c r="K3598" s="14" t="n">
        <f aca="false">I3598*J3598</f>
        <v>7875</v>
      </c>
      <c r="L3598" s="14" t="n">
        <f aca="false">($L$2*M3598)/100</f>
        <v>420583.275</v>
      </c>
      <c r="M3598" s="15" t="n">
        <v>0.35</v>
      </c>
      <c r="N3598" s="9" t="s">
        <v>20</v>
      </c>
    </row>
    <row r="3599" customFormat="false" ht="14.25" hidden="false" customHeight="true" outlineLevel="0" collapsed="false">
      <c r="B3599" s="9" t="s">
        <v>16</v>
      </c>
      <c r="C3599" s="9" t="n">
        <v>1185732</v>
      </c>
      <c r="D3599" s="10" t="n">
        <v>44206</v>
      </c>
      <c r="E3599" s="9" t="s">
        <v>17</v>
      </c>
      <c r="F3599" s="9" t="s">
        <v>127</v>
      </c>
      <c r="G3599" s="9" t="s">
        <v>128</v>
      </c>
      <c r="H3599" s="11" t="s">
        <v>22</v>
      </c>
      <c r="I3599" s="12" t="n">
        <v>25</v>
      </c>
      <c r="J3599" s="13" t="n">
        <v>225</v>
      </c>
      <c r="K3599" s="14" t="n">
        <f aca="false">I3599*J3599</f>
        <v>5625</v>
      </c>
      <c r="L3599" s="14" t="n">
        <f aca="false">($L$2*M3599)/100</f>
        <v>480666.6</v>
      </c>
      <c r="M3599" s="15" t="n">
        <v>0.4</v>
      </c>
      <c r="N3599" s="9" t="s">
        <v>20</v>
      </c>
    </row>
    <row r="3600" customFormat="false" ht="14.25" hidden="false" customHeight="true" outlineLevel="0" collapsed="false">
      <c r="B3600" s="9" t="s">
        <v>16</v>
      </c>
      <c r="C3600" s="9" t="n">
        <v>1185732</v>
      </c>
      <c r="D3600" s="10" t="n">
        <v>44206</v>
      </c>
      <c r="E3600" s="9" t="s">
        <v>17</v>
      </c>
      <c r="F3600" s="9" t="s">
        <v>127</v>
      </c>
      <c r="G3600" s="9" t="s">
        <v>128</v>
      </c>
      <c r="H3600" s="11" t="s">
        <v>23</v>
      </c>
      <c r="I3600" s="12" t="n">
        <v>30</v>
      </c>
      <c r="J3600" s="13" t="n">
        <v>75</v>
      </c>
      <c r="K3600" s="14" t="n">
        <f aca="false">I3600*J3600</f>
        <v>2250</v>
      </c>
      <c r="L3600" s="14" t="n">
        <f aca="false">($L$2*M3600)/100</f>
        <v>480666.6</v>
      </c>
      <c r="M3600" s="15" t="n">
        <v>0.4</v>
      </c>
      <c r="N3600" s="9" t="s">
        <v>20</v>
      </c>
    </row>
    <row r="3601" customFormat="false" ht="14.25" hidden="false" customHeight="true" outlineLevel="0" collapsed="false">
      <c r="B3601" s="9" t="s">
        <v>16</v>
      </c>
      <c r="C3601" s="9" t="n">
        <v>1185732</v>
      </c>
      <c r="D3601" s="10" t="n">
        <v>44206</v>
      </c>
      <c r="E3601" s="9" t="s">
        <v>17</v>
      </c>
      <c r="F3601" s="9" t="s">
        <v>127</v>
      </c>
      <c r="G3601" s="9" t="s">
        <v>128</v>
      </c>
      <c r="H3601" s="11" t="s">
        <v>24</v>
      </c>
      <c r="I3601" s="12" t="n">
        <v>45</v>
      </c>
      <c r="J3601" s="13" t="n">
        <v>125</v>
      </c>
      <c r="K3601" s="14" t="n">
        <f aca="false">I3601*J3601</f>
        <v>5625</v>
      </c>
      <c r="L3601" s="14" t="n">
        <f aca="false">($L$2*M3601)/100</f>
        <v>360499.95</v>
      </c>
      <c r="M3601" s="15" t="n">
        <v>0.3</v>
      </c>
      <c r="N3601" s="9" t="s">
        <v>20</v>
      </c>
    </row>
    <row r="3602" customFormat="false" ht="14.25" hidden="false" customHeight="true" outlineLevel="0" collapsed="false">
      <c r="B3602" s="9" t="s">
        <v>16</v>
      </c>
      <c r="C3602" s="9" t="n">
        <v>1185732</v>
      </c>
      <c r="D3602" s="10" t="n">
        <v>44206</v>
      </c>
      <c r="E3602" s="9" t="s">
        <v>17</v>
      </c>
      <c r="F3602" s="9" t="s">
        <v>127</v>
      </c>
      <c r="G3602" s="9" t="s">
        <v>128</v>
      </c>
      <c r="H3602" s="11" t="s">
        <v>25</v>
      </c>
      <c r="I3602" s="12" t="n">
        <v>35</v>
      </c>
      <c r="J3602" s="13" t="n">
        <v>225</v>
      </c>
      <c r="K3602" s="14" t="n">
        <f aca="false">I3602*J3602</f>
        <v>7875</v>
      </c>
      <c r="L3602" s="14" t="n">
        <f aca="false">($L$2*M3602)/100</f>
        <v>480666.6</v>
      </c>
      <c r="M3602" s="15" t="n">
        <v>0.4</v>
      </c>
      <c r="N3602" s="9" t="s">
        <v>20</v>
      </c>
    </row>
    <row r="3603" customFormat="false" ht="14.25" hidden="false" customHeight="true" outlineLevel="0" collapsed="false">
      <c r="B3603" s="9" t="s">
        <v>16</v>
      </c>
      <c r="C3603" s="9" t="n">
        <v>1185732</v>
      </c>
      <c r="D3603" s="10" t="n">
        <v>44235</v>
      </c>
      <c r="E3603" s="9" t="s">
        <v>17</v>
      </c>
      <c r="F3603" s="9" t="s">
        <v>127</v>
      </c>
      <c r="G3603" s="9" t="s">
        <v>128</v>
      </c>
      <c r="H3603" s="11" t="s">
        <v>19</v>
      </c>
      <c r="I3603" s="12" t="n">
        <v>35</v>
      </c>
      <c r="J3603" s="13" t="n">
        <v>475</v>
      </c>
      <c r="K3603" s="14" t="n">
        <f aca="false">I3603*J3603</f>
        <v>16625</v>
      </c>
      <c r="L3603" s="14" t="n">
        <f aca="false">($L$2*M3603)/100</f>
        <v>420583.275</v>
      </c>
      <c r="M3603" s="15" t="n">
        <v>0.35</v>
      </c>
      <c r="N3603" s="9" t="s">
        <v>20</v>
      </c>
    </row>
    <row r="3604" customFormat="false" ht="14.25" hidden="false" customHeight="true" outlineLevel="0" collapsed="false">
      <c r="B3604" s="9" t="s">
        <v>16</v>
      </c>
      <c r="C3604" s="9" t="n">
        <v>1185732</v>
      </c>
      <c r="D3604" s="10" t="n">
        <v>44235</v>
      </c>
      <c r="E3604" s="9" t="s">
        <v>17</v>
      </c>
      <c r="F3604" s="9" t="s">
        <v>127</v>
      </c>
      <c r="G3604" s="9" t="s">
        <v>128</v>
      </c>
      <c r="H3604" s="11" t="s">
        <v>21</v>
      </c>
      <c r="I3604" s="12" t="n">
        <v>35</v>
      </c>
      <c r="J3604" s="13" t="n">
        <v>125</v>
      </c>
      <c r="K3604" s="14" t="n">
        <f aca="false">I3604*J3604</f>
        <v>4375</v>
      </c>
      <c r="L3604" s="14" t="n">
        <f aca="false">($L$2*M3604)/100</f>
        <v>420583.275</v>
      </c>
      <c r="M3604" s="15" t="n">
        <v>0.35</v>
      </c>
      <c r="N3604" s="9" t="s">
        <v>20</v>
      </c>
    </row>
    <row r="3605" customFormat="false" ht="14.25" hidden="false" customHeight="true" outlineLevel="0" collapsed="false">
      <c r="B3605" s="9" t="s">
        <v>16</v>
      </c>
      <c r="C3605" s="9" t="n">
        <v>1185732</v>
      </c>
      <c r="D3605" s="10" t="n">
        <v>44235</v>
      </c>
      <c r="E3605" s="9" t="s">
        <v>17</v>
      </c>
      <c r="F3605" s="9" t="s">
        <v>127</v>
      </c>
      <c r="G3605" s="9" t="s">
        <v>128</v>
      </c>
      <c r="H3605" s="11" t="s">
        <v>22</v>
      </c>
      <c r="I3605" s="12" t="n">
        <v>25</v>
      </c>
      <c r="J3605" s="13" t="n">
        <v>175</v>
      </c>
      <c r="K3605" s="14" t="n">
        <f aca="false">I3605*J3605</f>
        <v>4375</v>
      </c>
      <c r="L3605" s="14" t="n">
        <f aca="false">($L$2*M3605)/100</f>
        <v>480666.6</v>
      </c>
      <c r="M3605" s="15" t="n">
        <v>0.4</v>
      </c>
      <c r="N3605" s="9" t="s">
        <v>20</v>
      </c>
    </row>
    <row r="3606" customFormat="false" ht="14.25" hidden="false" customHeight="true" outlineLevel="0" collapsed="false">
      <c r="B3606" s="9" t="s">
        <v>16</v>
      </c>
      <c r="C3606" s="9" t="n">
        <v>1185732</v>
      </c>
      <c r="D3606" s="10" t="n">
        <v>44235</v>
      </c>
      <c r="E3606" s="9" t="s">
        <v>17</v>
      </c>
      <c r="F3606" s="9" t="s">
        <v>129</v>
      </c>
      <c r="G3606" s="9" t="s">
        <v>130</v>
      </c>
      <c r="H3606" s="11" t="s">
        <v>23</v>
      </c>
      <c r="I3606" s="12" t="n">
        <v>30</v>
      </c>
      <c r="J3606" s="13" t="n">
        <v>50</v>
      </c>
      <c r="K3606" s="14" t="n">
        <f aca="false">I3606*J3606</f>
        <v>1500</v>
      </c>
      <c r="L3606" s="14" t="n">
        <f aca="false">($L$2*M3606)/100</f>
        <v>480666.6</v>
      </c>
      <c r="M3606" s="15" t="n">
        <v>0.4</v>
      </c>
      <c r="N3606" s="9" t="s">
        <v>20</v>
      </c>
    </row>
    <row r="3607" customFormat="false" ht="14.25" hidden="false" customHeight="true" outlineLevel="0" collapsed="false">
      <c r="B3607" s="9" t="s">
        <v>16</v>
      </c>
      <c r="C3607" s="9" t="n">
        <v>1185732</v>
      </c>
      <c r="D3607" s="10" t="n">
        <v>44235</v>
      </c>
      <c r="E3607" s="9" t="s">
        <v>17</v>
      </c>
      <c r="F3607" s="9" t="s">
        <v>129</v>
      </c>
      <c r="G3607" s="9" t="s">
        <v>130</v>
      </c>
      <c r="H3607" s="11" t="s">
        <v>24</v>
      </c>
      <c r="I3607" s="12" t="n">
        <v>45</v>
      </c>
      <c r="J3607" s="13" t="n">
        <v>125</v>
      </c>
      <c r="K3607" s="14" t="n">
        <f aca="false">I3607*J3607</f>
        <v>5625</v>
      </c>
      <c r="L3607" s="14" t="n">
        <f aca="false">($L$2*M3607)/100</f>
        <v>360499.95</v>
      </c>
      <c r="M3607" s="15" t="n">
        <v>0.3</v>
      </c>
      <c r="N3607" s="9" t="s">
        <v>20</v>
      </c>
    </row>
    <row r="3608" customFormat="false" ht="14.25" hidden="false" customHeight="true" outlineLevel="0" collapsed="false">
      <c r="B3608" s="9" t="s">
        <v>16</v>
      </c>
      <c r="C3608" s="9" t="n">
        <v>1185732</v>
      </c>
      <c r="D3608" s="10" t="n">
        <v>44235</v>
      </c>
      <c r="E3608" s="9" t="s">
        <v>17</v>
      </c>
      <c r="F3608" s="9" t="s">
        <v>129</v>
      </c>
      <c r="G3608" s="9" t="s">
        <v>130</v>
      </c>
      <c r="H3608" s="11" t="s">
        <v>25</v>
      </c>
      <c r="I3608" s="12" t="n">
        <v>35</v>
      </c>
      <c r="J3608" s="13" t="n">
        <v>225</v>
      </c>
      <c r="K3608" s="14" t="n">
        <f aca="false">I3608*J3608</f>
        <v>7875</v>
      </c>
      <c r="L3608" s="14" t="n">
        <f aca="false">($L$2*M3608)/100</f>
        <v>480666.6</v>
      </c>
      <c r="M3608" s="15" t="n">
        <v>0.4</v>
      </c>
      <c r="N3608" s="9" t="s">
        <v>20</v>
      </c>
    </row>
    <row r="3609" customFormat="false" ht="14.25" hidden="false" customHeight="true" outlineLevel="0" collapsed="false">
      <c r="B3609" s="9" t="s">
        <v>16</v>
      </c>
      <c r="C3609" s="9" t="n">
        <v>1185732</v>
      </c>
      <c r="D3609" s="10" t="n">
        <v>44261</v>
      </c>
      <c r="E3609" s="9" t="s">
        <v>17</v>
      </c>
      <c r="F3609" s="9" t="s">
        <v>129</v>
      </c>
      <c r="G3609" s="9" t="s">
        <v>130</v>
      </c>
      <c r="H3609" s="11" t="s">
        <v>19</v>
      </c>
      <c r="I3609" s="12" t="n">
        <v>35</v>
      </c>
      <c r="J3609" s="13" t="n">
        <v>445</v>
      </c>
      <c r="K3609" s="14" t="n">
        <f aca="false">I3609*J3609</f>
        <v>15575</v>
      </c>
      <c r="L3609" s="14" t="n">
        <f aca="false">($L$2*M3609)/100</f>
        <v>420583.275</v>
      </c>
      <c r="M3609" s="15" t="n">
        <v>0.35</v>
      </c>
      <c r="N3609" s="9" t="s">
        <v>20</v>
      </c>
    </row>
    <row r="3610" customFormat="false" ht="14.25" hidden="false" customHeight="true" outlineLevel="0" collapsed="false">
      <c r="B3610" s="9" t="s">
        <v>16</v>
      </c>
      <c r="C3610" s="9" t="n">
        <v>1185732</v>
      </c>
      <c r="D3610" s="10" t="n">
        <v>44261</v>
      </c>
      <c r="E3610" s="9" t="s">
        <v>17</v>
      </c>
      <c r="F3610" s="9" t="s">
        <v>129</v>
      </c>
      <c r="G3610" s="9" t="s">
        <v>130</v>
      </c>
      <c r="H3610" s="11" t="s">
        <v>21</v>
      </c>
      <c r="I3610" s="12" t="n">
        <v>35</v>
      </c>
      <c r="J3610" s="13" t="n">
        <v>150</v>
      </c>
      <c r="K3610" s="14" t="n">
        <f aca="false">I3610*J3610</f>
        <v>5250</v>
      </c>
      <c r="L3610" s="14" t="n">
        <f aca="false">($L$2*M3610)/100</f>
        <v>420583.275</v>
      </c>
      <c r="M3610" s="15" t="n">
        <v>0.35</v>
      </c>
      <c r="N3610" s="9" t="s">
        <v>20</v>
      </c>
    </row>
    <row r="3611" customFormat="false" ht="14.25" hidden="false" customHeight="true" outlineLevel="0" collapsed="false">
      <c r="B3611" s="9" t="s">
        <v>16</v>
      </c>
      <c r="C3611" s="9" t="n">
        <v>1185732</v>
      </c>
      <c r="D3611" s="10" t="n">
        <v>44261</v>
      </c>
      <c r="E3611" s="9" t="s">
        <v>17</v>
      </c>
      <c r="F3611" s="9" t="s">
        <v>129</v>
      </c>
      <c r="G3611" s="9" t="s">
        <v>130</v>
      </c>
      <c r="H3611" s="11" t="s">
        <v>22</v>
      </c>
      <c r="I3611" s="12" t="n">
        <v>25</v>
      </c>
      <c r="J3611" s="13" t="n">
        <v>175</v>
      </c>
      <c r="K3611" s="14" t="n">
        <f aca="false">I3611*J3611</f>
        <v>4375</v>
      </c>
      <c r="L3611" s="14" t="n">
        <f aca="false">($L$2*M3611)/100</f>
        <v>480666.6</v>
      </c>
      <c r="M3611" s="15" t="n">
        <v>0.4</v>
      </c>
      <c r="N3611" s="9" t="s">
        <v>20</v>
      </c>
    </row>
    <row r="3612" customFormat="false" ht="14.25" hidden="false" customHeight="true" outlineLevel="0" collapsed="false">
      <c r="B3612" s="9" t="s">
        <v>16</v>
      </c>
      <c r="C3612" s="9" t="n">
        <v>1185732</v>
      </c>
      <c r="D3612" s="10" t="n">
        <v>44261</v>
      </c>
      <c r="E3612" s="9" t="s">
        <v>17</v>
      </c>
      <c r="F3612" s="9" t="s">
        <v>129</v>
      </c>
      <c r="G3612" s="9" t="s">
        <v>130</v>
      </c>
      <c r="H3612" s="11" t="s">
        <v>23</v>
      </c>
      <c r="I3612" s="12" t="n">
        <v>30</v>
      </c>
      <c r="J3612" s="13" t="n">
        <v>25</v>
      </c>
      <c r="K3612" s="14" t="n">
        <f aca="false">I3612*J3612</f>
        <v>750</v>
      </c>
      <c r="L3612" s="14" t="n">
        <f aca="false">($L$2*M3612)/100</f>
        <v>480666.6</v>
      </c>
      <c r="M3612" s="15" t="n">
        <v>0.4</v>
      </c>
      <c r="N3612" s="9" t="s">
        <v>20</v>
      </c>
    </row>
    <row r="3613" customFormat="false" ht="14.25" hidden="false" customHeight="true" outlineLevel="0" collapsed="false">
      <c r="B3613" s="9" t="s">
        <v>16</v>
      </c>
      <c r="C3613" s="9" t="n">
        <v>1185732</v>
      </c>
      <c r="D3613" s="10" t="n">
        <v>44261</v>
      </c>
      <c r="E3613" s="9" t="s">
        <v>17</v>
      </c>
      <c r="F3613" s="9" t="s">
        <v>129</v>
      </c>
      <c r="G3613" s="9" t="s">
        <v>130</v>
      </c>
      <c r="H3613" s="11" t="s">
        <v>24</v>
      </c>
      <c r="I3613" s="12" t="n">
        <v>45</v>
      </c>
      <c r="J3613" s="13" t="n">
        <v>75</v>
      </c>
      <c r="K3613" s="14" t="n">
        <f aca="false">I3613*J3613</f>
        <v>3375</v>
      </c>
      <c r="L3613" s="14" t="n">
        <f aca="false">($L$2*M3613)/100</f>
        <v>360499.95</v>
      </c>
      <c r="M3613" s="15" t="n">
        <v>0.3</v>
      </c>
      <c r="N3613" s="9" t="s">
        <v>20</v>
      </c>
    </row>
    <row r="3614" customFormat="false" ht="14.25" hidden="false" customHeight="true" outlineLevel="0" collapsed="false">
      <c r="B3614" s="9" t="s">
        <v>16</v>
      </c>
      <c r="C3614" s="9" t="n">
        <v>1185732</v>
      </c>
      <c r="D3614" s="10" t="n">
        <v>44261</v>
      </c>
      <c r="E3614" s="9" t="s">
        <v>17</v>
      </c>
      <c r="F3614" s="9" t="s">
        <v>129</v>
      </c>
      <c r="G3614" s="9" t="s">
        <v>130</v>
      </c>
      <c r="H3614" s="11" t="s">
        <v>25</v>
      </c>
      <c r="I3614" s="12" t="n">
        <v>35</v>
      </c>
      <c r="J3614" s="13" t="n">
        <v>175</v>
      </c>
      <c r="K3614" s="14" t="n">
        <f aca="false">I3614*J3614</f>
        <v>6125</v>
      </c>
      <c r="L3614" s="14" t="n">
        <f aca="false">($L$2*M3614)/100</f>
        <v>480666.6</v>
      </c>
      <c r="M3614" s="15" t="n">
        <v>0.4</v>
      </c>
      <c r="N3614" s="9" t="s">
        <v>20</v>
      </c>
    </row>
    <row r="3615" customFormat="false" ht="14.25" hidden="false" customHeight="true" outlineLevel="0" collapsed="false">
      <c r="B3615" s="9" t="s">
        <v>16</v>
      </c>
      <c r="C3615" s="9" t="n">
        <v>1185732</v>
      </c>
      <c r="D3615" s="10" t="n">
        <v>44293</v>
      </c>
      <c r="E3615" s="9" t="s">
        <v>17</v>
      </c>
      <c r="F3615" s="9" t="s">
        <v>129</v>
      </c>
      <c r="G3615" s="9" t="s">
        <v>130</v>
      </c>
      <c r="H3615" s="11" t="s">
        <v>19</v>
      </c>
      <c r="I3615" s="12" t="n">
        <v>35</v>
      </c>
      <c r="J3615" s="13" t="n">
        <v>425</v>
      </c>
      <c r="K3615" s="14" t="n">
        <f aca="false">I3615*J3615</f>
        <v>14875</v>
      </c>
      <c r="L3615" s="14" t="n">
        <f aca="false">($L$2*M3615)/100</f>
        <v>420583.275</v>
      </c>
      <c r="M3615" s="15" t="n">
        <v>0.35</v>
      </c>
      <c r="N3615" s="9" t="s">
        <v>20</v>
      </c>
    </row>
    <row r="3616" customFormat="false" ht="14.25" hidden="false" customHeight="true" outlineLevel="0" collapsed="false">
      <c r="B3616" s="9" t="s">
        <v>16</v>
      </c>
      <c r="C3616" s="9" t="n">
        <v>1185732</v>
      </c>
      <c r="D3616" s="10" t="n">
        <v>44293</v>
      </c>
      <c r="E3616" s="9" t="s">
        <v>17</v>
      </c>
      <c r="F3616" s="9" t="s">
        <v>129</v>
      </c>
      <c r="G3616" s="9" t="s">
        <v>130</v>
      </c>
      <c r="H3616" s="11" t="s">
        <v>21</v>
      </c>
      <c r="I3616" s="12" t="n">
        <v>35</v>
      </c>
      <c r="J3616" s="13" t="n">
        <v>125</v>
      </c>
      <c r="K3616" s="14" t="n">
        <f aca="false">I3616*J3616</f>
        <v>4375</v>
      </c>
      <c r="L3616" s="14" t="n">
        <f aca="false">($L$2*M3616)/100</f>
        <v>420583.275</v>
      </c>
      <c r="M3616" s="15" t="n">
        <v>0.35</v>
      </c>
      <c r="N3616" s="9" t="s">
        <v>20</v>
      </c>
    </row>
    <row r="3617" customFormat="false" ht="14.25" hidden="false" customHeight="true" outlineLevel="0" collapsed="false">
      <c r="B3617" s="9" t="s">
        <v>16</v>
      </c>
      <c r="C3617" s="9" t="n">
        <v>1185732</v>
      </c>
      <c r="D3617" s="10" t="n">
        <v>44293</v>
      </c>
      <c r="E3617" s="9" t="s">
        <v>17</v>
      </c>
      <c r="F3617" s="9" t="s">
        <v>129</v>
      </c>
      <c r="G3617" s="9" t="s">
        <v>130</v>
      </c>
      <c r="H3617" s="11" t="s">
        <v>22</v>
      </c>
      <c r="I3617" s="12" t="n">
        <v>25</v>
      </c>
      <c r="J3617" s="13" t="n">
        <v>125</v>
      </c>
      <c r="K3617" s="14" t="n">
        <f aca="false">I3617*J3617</f>
        <v>3125</v>
      </c>
      <c r="L3617" s="14" t="n">
        <f aca="false">($L$2*M3617)/100</f>
        <v>480666.6</v>
      </c>
      <c r="M3617" s="15" t="n">
        <v>0.4</v>
      </c>
      <c r="N3617" s="9" t="s">
        <v>20</v>
      </c>
    </row>
    <row r="3618" customFormat="false" ht="14.25" hidden="false" customHeight="true" outlineLevel="0" collapsed="false">
      <c r="B3618" s="9" t="s">
        <v>16</v>
      </c>
      <c r="C3618" s="9" t="n">
        <v>1185732</v>
      </c>
      <c r="D3618" s="10" t="n">
        <v>44293</v>
      </c>
      <c r="E3618" s="9" t="s">
        <v>17</v>
      </c>
      <c r="F3618" s="9" t="s">
        <v>129</v>
      </c>
      <c r="G3618" s="9" t="s">
        <v>130</v>
      </c>
      <c r="H3618" s="11" t="s">
        <v>23</v>
      </c>
      <c r="I3618" s="12" t="n">
        <v>30</v>
      </c>
      <c r="J3618" s="13" t="n">
        <v>50</v>
      </c>
      <c r="K3618" s="14" t="n">
        <f aca="false">I3618*J3618</f>
        <v>1500</v>
      </c>
      <c r="L3618" s="14" t="n">
        <f aca="false">($L$2*M3618)/100</f>
        <v>480666.6</v>
      </c>
      <c r="M3618" s="15" t="n">
        <v>0.4</v>
      </c>
      <c r="N3618" s="9" t="s">
        <v>20</v>
      </c>
    </row>
    <row r="3619" customFormat="false" ht="14.25" hidden="false" customHeight="true" outlineLevel="0" collapsed="false">
      <c r="B3619" s="9" t="s">
        <v>16</v>
      </c>
      <c r="C3619" s="9" t="n">
        <v>1185732</v>
      </c>
      <c r="D3619" s="10" t="n">
        <v>44293</v>
      </c>
      <c r="E3619" s="9" t="s">
        <v>17</v>
      </c>
      <c r="F3619" s="9" t="s">
        <v>129</v>
      </c>
      <c r="G3619" s="9" t="s">
        <v>130</v>
      </c>
      <c r="H3619" s="11" t="s">
        <v>24</v>
      </c>
      <c r="I3619" s="12" t="n">
        <v>45</v>
      </c>
      <c r="J3619" s="13" t="n">
        <v>50</v>
      </c>
      <c r="K3619" s="14" t="n">
        <f aca="false">I3619*J3619</f>
        <v>2250</v>
      </c>
      <c r="L3619" s="14" t="n">
        <f aca="false">($L$2*M3619)/100</f>
        <v>360499.95</v>
      </c>
      <c r="M3619" s="15" t="n">
        <v>0.3</v>
      </c>
      <c r="N3619" s="9" t="s">
        <v>20</v>
      </c>
    </row>
    <row r="3620" customFormat="false" ht="14.25" hidden="false" customHeight="true" outlineLevel="0" collapsed="false">
      <c r="B3620" s="9" t="s">
        <v>16</v>
      </c>
      <c r="C3620" s="9" t="n">
        <v>1185732</v>
      </c>
      <c r="D3620" s="10" t="n">
        <v>44293</v>
      </c>
      <c r="E3620" s="9" t="s">
        <v>17</v>
      </c>
      <c r="F3620" s="9" t="s">
        <v>129</v>
      </c>
      <c r="G3620" s="9" t="s">
        <v>130</v>
      </c>
      <c r="H3620" s="11" t="s">
        <v>25</v>
      </c>
      <c r="I3620" s="12" t="n">
        <v>35</v>
      </c>
      <c r="J3620" s="13" t="n">
        <v>200</v>
      </c>
      <c r="K3620" s="14" t="n">
        <f aca="false">I3620*J3620</f>
        <v>7000</v>
      </c>
      <c r="L3620" s="14" t="n">
        <f aca="false">($L$2*M3620)/100</f>
        <v>480666.6</v>
      </c>
      <c r="M3620" s="15" t="n">
        <v>0.4</v>
      </c>
      <c r="N3620" s="9" t="s">
        <v>20</v>
      </c>
    </row>
    <row r="3621" customFormat="false" ht="14.25" hidden="false" customHeight="true" outlineLevel="0" collapsed="false">
      <c r="B3621" s="9" t="s">
        <v>16</v>
      </c>
      <c r="C3621" s="9" t="n">
        <v>1185732</v>
      </c>
      <c r="D3621" s="10" t="n">
        <v>44322</v>
      </c>
      <c r="E3621" s="9" t="s">
        <v>17</v>
      </c>
      <c r="F3621" s="9" t="s">
        <v>129</v>
      </c>
      <c r="G3621" s="9" t="s">
        <v>130</v>
      </c>
      <c r="H3621" s="11" t="s">
        <v>19</v>
      </c>
      <c r="I3621" s="12" t="n">
        <v>50</v>
      </c>
      <c r="J3621" s="13" t="n">
        <v>470</v>
      </c>
      <c r="K3621" s="14" t="n">
        <f aca="false">I3621*J3621</f>
        <v>23500</v>
      </c>
      <c r="L3621" s="14" t="n">
        <f aca="false">($L$2*M3621)/100</f>
        <v>420583.275</v>
      </c>
      <c r="M3621" s="15" t="n">
        <v>0.35</v>
      </c>
      <c r="N3621" s="9" t="s">
        <v>20</v>
      </c>
    </row>
    <row r="3622" customFormat="false" ht="14.25" hidden="false" customHeight="true" outlineLevel="0" collapsed="false">
      <c r="B3622" s="9" t="s">
        <v>16</v>
      </c>
      <c r="C3622" s="9" t="n">
        <v>1185732</v>
      </c>
      <c r="D3622" s="10" t="n">
        <v>44322</v>
      </c>
      <c r="E3622" s="9" t="s">
        <v>17</v>
      </c>
      <c r="F3622" s="9" t="s">
        <v>129</v>
      </c>
      <c r="G3622" s="9" t="s">
        <v>130</v>
      </c>
      <c r="H3622" s="11" t="s">
        <v>21</v>
      </c>
      <c r="I3622" s="12" t="n">
        <v>45</v>
      </c>
      <c r="J3622" s="13" t="n">
        <v>175</v>
      </c>
      <c r="K3622" s="14" t="n">
        <f aca="false">I3622*J3622</f>
        <v>7875</v>
      </c>
      <c r="L3622" s="14" t="n">
        <f aca="false">($L$2*M3622)/100</f>
        <v>420583.275</v>
      </c>
      <c r="M3622" s="15" t="n">
        <v>0.35</v>
      </c>
      <c r="N3622" s="9" t="s">
        <v>20</v>
      </c>
    </row>
    <row r="3623" customFormat="false" ht="14.25" hidden="false" customHeight="true" outlineLevel="0" collapsed="false">
      <c r="B3623" s="9" t="s">
        <v>16</v>
      </c>
      <c r="C3623" s="9" t="n">
        <v>1185732</v>
      </c>
      <c r="D3623" s="10" t="n">
        <v>44322</v>
      </c>
      <c r="E3623" s="9" t="s">
        <v>17</v>
      </c>
      <c r="F3623" s="9" t="s">
        <v>129</v>
      </c>
      <c r="G3623" s="9" t="s">
        <v>130</v>
      </c>
      <c r="H3623" s="11" t="s">
        <v>22</v>
      </c>
      <c r="I3623" s="12" t="n">
        <v>40</v>
      </c>
      <c r="J3623" s="13" t="n">
        <v>200</v>
      </c>
      <c r="K3623" s="14" t="n">
        <f aca="false">I3623*J3623</f>
        <v>8000</v>
      </c>
      <c r="L3623" s="14" t="n">
        <f aca="false">($L$2*M3623)/100</f>
        <v>480666.6</v>
      </c>
      <c r="M3623" s="15" t="n">
        <v>0.4</v>
      </c>
      <c r="N3623" s="9" t="s">
        <v>20</v>
      </c>
    </row>
    <row r="3624" customFormat="false" ht="14.25" hidden="false" customHeight="true" outlineLevel="0" collapsed="false">
      <c r="B3624" s="9" t="s">
        <v>16</v>
      </c>
      <c r="C3624" s="9" t="n">
        <v>1185732</v>
      </c>
      <c r="D3624" s="10" t="n">
        <v>44322</v>
      </c>
      <c r="E3624" s="9" t="s">
        <v>17</v>
      </c>
      <c r="F3624" s="9" t="s">
        <v>129</v>
      </c>
      <c r="G3624" s="9" t="s">
        <v>130</v>
      </c>
      <c r="H3624" s="11" t="s">
        <v>23</v>
      </c>
      <c r="I3624" s="12" t="n">
        <v>40</v>
      </c>
      <c r="J3624" s="13" t="n">
        <v>150</v>
      </c>
      <c r="K3624" s="14" t="n">
        <f aca="false">I3624*J3624</f>
        <v>6000</v>
      </c>
      <c r="L3624" s="14" t="n">
        <f aca="false">($L$2*M3624)/100</f>
        <v>480666.6</v>
      </c>
      <c r="M3624" s="15" t="n">
        <v>0.4</v>
      </c>
      <c r="N3624" s="9" t="s">
        <v>20</v>
      </c>
    </row>
    <row r="3625" customFormat="false" ht="14.25" hidden="false" customHeight="true" outlineLevel="0" collapsed="false">
      <c r="B3625" s="9" t="s">
        <v>16</v>
      </c>
      <c r="C3625" s="9" t="n">
        <v>1185732</v>
      </c>
      <c r="D3625" s="10" t="n">
        <v>44322</v>
      </c>
      <c r="E3625" s="9" t="s">
        <v>17</v>
      </c>
      <c r="F3625" s="9" t="s">
        <v>129</v>
      </c>
      <c r="G3625" s="9" t="s">
        <v>130</v>
      </c>
      <c r="H3625" s="11" t="s">
        <v>24</v>
      </c>
      <c r="I3625" s="12" t="n">
        <v>50</v>
      </c>
      <c r="J3625" s="13" t="n">
        <v>175</v>
      </c>
      <c r="K3625" s="14" t="n">
        <f aca="false">I3625*J3625</f>
        <v>8750</v>
      </c>
      <c r="L3625" s="14" t="n">
        <f aca="false">($L$2*M3625)/100</f>
        <v>360499.95</v>
      </c>
      <c r="M3625" s="15" t="n">
        <v>0.3</v>
      </c>
      <c r="N3625" s="9" t="s">
        <v>20</v>
      </c>
    </row>
    <row r="3626" customFormat="false" ht="14.25" hidden="false" customHeight="true" outlineLevel="0" collapsed="false">
      <c r="B3626" s="9" t="s">
        <v>16</v>
      </c>
      <c r="C3626" s="9" t="n">
        <v>1185732</v>
      </c>
      <c r="D3626" s="10" t="n">
        <v>44322</v>
      </c>
      <c r="E3626" s="9" t="s">
        <v>17</v>
      </c>
      <c r="F3626" s="9" t="s">
        <v>129</v>
      </c>
      <c r="G3626" s="9" t="s">
        <v>130</v>
      </c>
      <c r="H3626" s="11" t="s">
        <v>25</v>
      </c>
      <c r="I3626" s="12" t="n">
        <v>55</v>
      </c>
      <c r="J3626" s="13" t="n">
        <v>300</v>
      </c>
      <c r="K3626" s="14" t="n">
        <f aca="false">I3626*J3626</f>
        <v>16500</v>
      </c>
      <c r="L3626" s="14" t="n">
        <f aca="false">($L$2*M3626)/100</f>
        <v>480666.6</v>
      </c>
      <c r="M3626" s="15" t="n">
        <v>0.4</v>
      </c>
      <c r="N3626" s="9" t="s">
        <v>20</v>
      </c>
    </row>
    <row r="3627" customFormat="false" ht="14.25" hidden="false" customHeight="true" outlineLevel="0" collapsed="false">
      <c r="B3627" s="9" t="s">
        <v>16</v>
      </c>
      <c r="C3627" s="9" t="n">
        <v>1185732</v>
      </c>
      <c r="D3627" s="10" t="n">
        <v>44355</v>
      </c>
      <c r="E3627" s="9" t="s">
        <v>17</v>
      </c>
      <c r="F3627" s="9" t="s">
        <v>129</v>
      </c>
      <c r="G3627" s="9" t="s">
        <v>130</v>
      </c>
      <c r="H3627" s="11" t="s">
        <v>19</v>
      </c>
      <c r="I3627" s="12" t="n">
        <v>50</v>
      </c>
      <c r="J3627" s="13" t="n">
        <v>550</v>
      </c>
      <c r="K3627" s="14" t="n">
        <f aca="false">I3627*J3627</f>
        <v>27500</v>
      </c>
      <c r="L3627" s="14" t="n">
        <f aca="false">($L$2*M3627)/100</f>
        <v>420583.275</v>
      </c>
      <c r="M3627" s="15" t="n">
        <v>0.35</v>
      </c>
      <c r="N3627" s="9" t="s">
        <v>20</v>
      </c>
    </row>
    <row r="3628" customFormat="false" ht="14.25" hidden="false" customHeight="true" outlineLevel="0" collapsed="false">
      <c r="B3628" s="9" t="s">
        <v>16</v>
      </c>
      <c r="C3628" s="9" t="n">
        <v>1185732</v>
      </c>
      <c r="D3628" s="10" t="n">
        <v>44355</v>
      </c>
      <c r="E3628" s="9" t="s">
        <v>17</v>
      </c>
      <c r="F3628" s="9" t="s">
        <v>129</v>
      </c>
      <c r="G3628" s="9" t="s">
        <v>130</v>
      </c>
      <c r="H3628" s="11" t="s">
        <v>21</v>
      </c>
      <c r="I3628" s="12" t="n">
        <v>45</v>
      </c>
      <c r="J3628" s="13" t="n">
        <v>300</v>
      </c>
      <c r="K3628" s="14" t="n">
        <f aca="false">I3628*J3628</f>
        <v>13500</v>
      </c>
      <c r="L3628" s="14" t="n">
        <f aca="false">($L$2*M3628)/100</f>
        <v>420583.275</v>
      </c>
      <c r="M3628" s="15" t="n">
        <v>0.35</v>
      </c>
      <c r="N3628" s="9" t="s">
        <v>20</v>
      </c>
    </row>
    <row r="3629" customFormat="false" ht="14.25" hidden="false" customHeight="true" outlineLevel="0" collapsed="false">
      <c r="B3629" s="9" t="s">
        <v>16</v>
      </c>
      <c r="C3629" s="9" t="n">
        <v>1185732</v>
      </c>
      <c r="D3629" s="10" t="n">
        <v>44355</v>
      </c>
      <c r="E3629" s="9" t="s">
        <v>17</v>
      </c>
      <c r="F3629" s="9" t="s">
        <v>129</v>
      </c>
      <c r="G3629" s="9" t="s">
        <v>130</v>
      </c>
      <c r="H3629" s="11" t="s">
        <v>22</v>
      </c>
      <c r="I3629" s="12" t="n">
        <v>40</v>
      </c>
      <c r="J3629" s="13" t="n">
        <v>225</v>
      </c>
      <c r="K3629" s="14" t="n">
        <f aca="false">I3629*J3629</f>
        <v>9000</v>
      </c>
      <c r="L3629" s="14" t="n">
        <f aca="false">($L$2*M3629)/100</f>
        <v>480666.6</v>
      </c>
      <c r="M3629" s="15" t="n">
        <v>0.4</v>
      </c>
      <c r="N3629" s="9" t="s">
        <v>20</v>
      </c>
    </row>
    <row r="3630" customFormat="false" ht="14.25" hidden="false" customHeight="true" outlineLevel="0" collapsed="false">
      <c r="B3630" s="9" t="s">
        <v>16</v>
      </c>
      <c r="C3630" s="9" t="n">
        <v>1185732</v>
      </c>
      <c r="D3630" s="10" t="n">
        <v>44355</v>
      </c>
      <c r="E3630" s="9" t="s">
        <v>17</v>
      </c>
      <c r="F3630" s="9" t="s">
        <v>129</v>
      </c>
      <c r="G3630" s="9" t="s">
        <v>130</v>
      </c>
      <c r="H3630" s="11" t="s">
        <v>23</v>
      </c>
      <c r="I3630" s="12" t="n">
        <v>40</v>
      </c>
      <c r="J3630" s="13" t="n">
        <v>200</v>
      </c>
      <c r="K3630" s="14" t="n">
        <f aca="false">I3630*J3630</f>
        <v>8000</v>
      </c>
      <c r="L3630" s="14" t="n">
        <f aca="false">($L$2*M3630)/100</f>
        <v>480666.6</v>
      </c>
      <c r="M3630" s="15" t="n">
        <v>0.4</v>
      </c>
      <c r="N3630" s="9" t="s">
        <v>20</v>
      </c>
    </row>
    <row r="3631" customFormat="false" ht="14.25" hidden="false" customHeight="true" outlineLevel="0" collapsed="false">
      <c r="B3631" s="9" t="s">
        <v>16</v>
      </c>
      <c r="C3631" s="9" t="n">
        <v>1185732</v>
      </c>
      <c r="D3631" s="10" t="n">
        <v>44355</v>
      </c>
      <c r="E3631" s="9" t="s">
        <v>17</v>
      </c>
      <c r="F3631" s="9" t="s">
        <v>129</v>
      </c>
      <c r="G3631" s="9" t="s">
        <v>130</v>
      </c>
      <c r="H3631" s="11" t="s">
        <v>24</v>
      </c>
      <c r="I3631" s="12" t="n">
        <v>50</v>
      </c>
      <c r="J3631" s="13" t="n">
        <v>200</v>
      </c>
      <c r="K3631" s="14" t="n">
        <f aca="false">I3631*J3631</f>
        <v>10000</v>
      </c>
      <c r="L3631" s="14" t="n">
        <f aca="false">($L$2*M3631)/100</f>
        <v>360499.95</v>
      </c>
      <c r="M3631" s="15" t="n">
        <v>0.3</v>
      </c>
      <c r="N3631" s="9" t="s">
        <v>20</v>
      </c>
    </row>
    <row r="3632" customFormat="false" ht="14.25" hidden="false" customHeight="true" outlineLevel="0" collapsed="false">
      <c r="B3632" s="9" t="s">
        <v>16</v>
      </c>
      <c r="C3632" s="9" t="n">
        <v>1185732</v>
      </c>
      <c r="D3632" s="10" t="n">
        <v>44355</v>
      </c>
      <c r="E3632" s="9" t="s">
        <v>17</v>
      </c>
      <c r="F3632" s="9" t="s">
        <v>129</v>
      </c>
      <c r="G3632" s="9" t="s">
        <v>130</v>
      </c>
      <c r="H3632" s="11" t="s">
        <v>25</v>
      </c>
      <c r="I3632" s="12" t="n">
        <v>55</v>
      </c>
      <c r="J3632" s="13" t="n">
        <v>350</v>
      </c>
      <c r="K3632" s="14" t="n">
        <f aca="false">I3632*J3632</f>
        <v>19250</v>
      </c>
      <c r="L3632" s="14" t="n">
        <f aca="false">($L$2*M3632)/100</f>
        <v>480666.6</v>
      </c>
      <c r="M3632" s="15" t="n">
        <v>0.4</v>
      </c>
      <c r="N3632" s="9" t="s">
        <v>20</v>
      </c>
    </row>
    <row r="3633" customFormat="false" ht="14.25" hidden="false" customHeight="true" outlineLevel="0" collapsed="false">
      <c r="B3633" s="9" t="s">
        <v>16</v>
      </c>
      <c r="C3633" s="9" t="n">
        <v>1185732</v>
      </c>
      <c r="D3633" s="10" t="n">
        <v>44383</v>
      </c>
      <c r="E3633" s="9" t="s">
        <v>17</v>
      </c>
      <c r="F3633" s="9" t="s">
        <v>129</v>
      </c>
      <c r="G3633" s="9" t="s">
        <v>130</v>
      </c>
      <c r="H3633" s="11" t="s">
        <v>19</v>
      </c>
      <c r="I3633" s="12" t="n">
        <v>50</v>
      </c>
      <c r="J3633" s="13" t="n">
        <v>575</v>
      </c>
      <c r="K3633" s="14" t="n">
        <f aca="false">I3633*J3633</f>
        <v>28750</v>
      </c>
      <c r="L3633" s="14" t="n">
        <f aca="false">($L$2*M3633)/100</f>
        <v>420583.275</v>
      </c>
      <c r="M3633" s="15" t="n">
        <v>0.35</v>
      </c>
      <c r="N3633" s="9" t="s">
        <v>20</v>
      </c>
    </row>
    <row r="3634" customFormat="false" ht="14.25" hidden="false" customHeight="true" outlineLevel="0" collapsed="false">
      <c r="B3634" s="9" t="s">
        <v>16</v>
      </c>
      <c r="C3634" s="9" t="n">
        <v>1185732</v>
      </c>
      <c r="D3634" s="10" t="n">
        <v>44383</v>
      </c>
      <c r="E3634" s="9" t="s">
        <v>17</v>
      </c>
      <c r="F3634" s="9" t="s">
        <v>129</v>
      </c>
      <c r="G3634" s="9" t="s">
        <v>130</v>
      </c>
      <c r="H3634" s="11" t="s">
        <v>21</v>
      </c>
      <c r="I3634" s="12" t="n">
        <v>45</v>
      </c>
      <c r="J3634" s="13" t="n">
        <v>325</v>
      </c>
      <c r="K3634" s="14" t="n">
        <f aca="false">I3634*J3634</f>
        <v>14625</v>
      </c>
      <c r="L3634" s="14" t="n">
        <f aca="false">($L$2*M3634)/100</f>
        <v>420583.275</v>
      </c>
      <c r="M3634" s="15" t="n">
        <v>0.35</v>
      </c>
      <c r="N3634" s="9" t="s">
        <v>20</v>
      </c>
    </row>
    <row r="3635" customFormat="false" ht="14.25" hidden="false" customHeight="true" outlineLevel="0" collapsed="false">
      <c r="B3635" s="9" t="s">
        <v>16</v>
      </c>
      <c r="C3635" s="9" t="n">
        <v>1185732</v>
      </c>
      <c r="D3635" s="10" t="n">
        <v>44383</v>
      </c>
      <c r="E3635" s="9" t="s">
        <v>17</v>
      </c>
      <c r="F3635" s="9" t="s">
        <v>129</v>
      </c>
      <c r="G3635" s="9" t="s">
        <v>130</v>
      </c>
      <c r="H3635" s="11" t="s">
        <v>22</v>
      </c>
      <c r="I3635" s="12" t="n">
        <v>40</v>
      </c>
      <c r="J3635" s="13" t="n">
        <v>250</v>
      </c>
      <c r="K3635" s="14" t="n">
        <f aca="false">I3635*J3635</f>
        <v>10000</v>
      </c>
      <c r="L3635" s="14" t="n">
        <f aca="false">($L$2*M3635)/100</f>
        <v>480666.6</v>
      </c>
      <c r="M3635" s="15" t="n">
        <v>0.4</v>
      </c>
      <c r="N3635" s="9" t="s">
        <v>20</v>
      </c>
    </row>
    <row r="3636" customFormat="false" ht="14.25" hidden="false" customHeight="true" outlineLevel="0" collapsed="false">
      <c r="B3636" s="9" t="s">
        <v>16</v>
      </c>
      <c r="C3636" s="9" t="n">
        <v>1185732</v>
      </c>
      <c r="D3636" s="10" t="n">
        <v>44383</v>
      </c>
      <c r="E3636" s="9" t="s">
        <v>17</v>
      </c>
      <c r="F3636" s="9" t="s">
        <v>129</v>
      </c>
      <c r="G3636" s="9" t="s">
        <v>130</v>
      </c>
      <c r="H3636" s="11" t="s">
        <v>23</v>
      </c>
      <c r="I3636" s="12" t="n">
        <v>40</v>
      </c>
      <c r="J3636" s="13" t="n">
        <v>200</v>
      </c>
      <c r="K3636" s="14" t="n">
        <f aca="false">I3636*J3636</f>
        <v>8000</v>
      </c>
      <c r="L3636" s="14" t="n">
        <f aca="false">($L$2*M3636)/100</f>
        <v>480666.6</v>
      </c>
      <c r="M3636" s="15" t="n">
        <v>0.4</v>
      </c>
      <c r="N3636" s="9" t="s">
        <v>20</v>
      </c>
    </row>
    <row r="3637" customFormat="false" ht="14.25" hidden="false" customHeight="true" outlineLevel="0" collapsed="false">
      <c r="B3637" s="9" t="s">
        <v>16</v>
      </c>
      <c r="C3637" s="9" t="n">
        <v>1185732</v>
      </c>
      <c r="D3637" s="10" t="n">
        <v>44383</v>
      </c>
      <c r="E3637" s="9" t="s">
        <v>17</v>
      </c>
      <c r="F3637" s="9" t="s">
        <v>129</v>
      </c>
      <c r="G3637" s="9" t="s">
        <v>130</v>
      </c>
      <c r="H3637" s="11" t="s">
        <v>24</v>
      </c>
      <c r="I3637" s="12" t="n">
        <v>50</v>
      </c>
      <c r="J3637" s="13" t="n">
        <v>225</v>
      </c>
      <c r="K3637" s="14" t="n">
        <f aca="false">I3637*J3637</f>
        <v>11250</v>
      </c>
      <c r="L3637" s="14" t="n">
        <f aca="false">($L$2*M3637)/100</f>
        <v>360499.95</v>
      </c>
      <c r="M3637" s="15" t="n">
        <v>0.3</v>
      </c>
      <c r="N3637" s="9" t="s">
        <v>20</v>
      </c>
    </row>
    <row r="3638" customFormat="false" ht="14.25" hidden="false" customHeight="true" outlineLevel="0" collapsed="false">
      <c r="B3638" s="9" t="s">
        <v>16</v>
      </c>
      <c r="C3638" s="9" t="n">
        <v>1185732</v>
      </c>
      <c r="D3638" s="10" t="n">
        <v>44383</v>
      </c>
      <c r="E3638" s="9" t="s">
        <v>17</v>
      </c>
      <c r="F3638" s="9" t="s">
        <v>129</v>
      </c>
      <c r="G3638" s="9" t="s">
        <v>130</v>
      </c>
      <c r="H3638" s="11" t="s">
        <v>25</v>
      </c>
      <c r="I3638" s="12" t="n">
        <v>55</v>
      </c>
      <c r="J3638" s="13" t="n">
        <v>400</v>
      </c>
      <c r="K3638" s="14" t="n">
        <f aca="false">I3638*J3638</f>
        <v>22000</v>
      </c>
      <c r="L3638" s="14" t="n">
        <f aca="false">($L$2*M3638)/100</f>
        <v>480666.6</v>
      </c>
      <c r="M3638" s="15" t="n">
        <v>0.4</v>
      </c>
      <c r="N3638" s="9" t="s">
        <v>20</v>
      </c>
    </row>
    <row r="3639" customFormat="false" ht="14.25" hidden="false" customHeight="true" outlineLevel="0" collapsed="false">
      <c r="B3639" s="9" t="s">
        <v>16</v>
      </c>
      <c r="C3639" s="9" t="n">
        <v>1185732</v>
      </c>
      <c r="D3639" s="10" t="n">
        <v>44415</v>
      </c>
      <c r="E3639" s="9" t="s">
        <v>17</v>
      </c>
      <c r="F3639" s="9" t="s">
        <v>129</v>
      </c>
      <c r="G3639" s="9" t="s">
        <v>130</v>
      </c>
      <c r="H3639" s="11" t="s">
        <v>19</v>
      </c>
      <c r="I3639" s="12" t="n">
        <v>50</v>
      </c>
      <c r="J3639" s="13" t="n">
        <v>550</v>
      </c>
      <c r="K3639" s="14" t="n">
        <f aca="false">I3639*J3639</f>
        <v>27500</v>
      </c>
      <c r="L3639" s="14" t="n">
        <f aca="false">($L$2*M3639)/100</f>
        <v>420583.275</v>
      </c>
      <c r="M3639" s="15" t="n">
        <v>0.35</v>
      </c>
      <c r="N3639" s="9" t="s">
        <v>20</v>
      </c>
    </row>
    <row r="3640" customFormat="false" ht="14.25" hidden="false" customHeight="true" outlineLevel="0" collapsed="false">
      <c r="B3640" s="9" t="s">
        <v>16</v>
      </c>
      <c r="C3640" s="9" t="n">
        <v>1185732</v>
      </c>
      <c r="D3640" s="10" t="n">
        <v>44415</v>
      </c>
      <c r="E3640" s="9" t="s">
        <v>17</v>
      </c>
      <c r="F3640" s="9" t="s">
        <v>129</v>
      </c>
      <c r="G3640" s="9" t="s">
        <v>130</v>
      </c>
      <c r="H3640" s="11" t="s">
        <v>21</v>
      </c>
      <c r="I3640" s="12" t="n">
        <v>45</v>
      </c>
      <c r="J3640" s="13" t="n">
        <v>325</v>
      </c>
      <c r="K3640" s="14" t="n">
        <f aca="false">I3640*J3640</f>
        <v>14625</v>
      </c>
      <c r="L3640" s="14" t="n">
        <f aca="false">($L$2*M3640)/100</f>
        <v>420583.275</v>
      </c>
      <c r="M3640" s="15" t="n">
        <v>0.35</v>
      </c>
      <c r="N3640" s="9" t="s">
        <v>20</v>
      </c>
    </row>
    <row r="3641" customFormat="false" ht="14.25" hidden="false" customHeight="true" outlineLevel="0" collapsed="false">
      <c r="B3641" s="9" t="s">
        <v>16</v>
      </c>
      <c r="C3641" s="9" t="n">
        <v>1185732</v>
      </c>
      <c r="D3641" s="10" t="n">
        <v>44415</v>
      </c>
      <c r="E3641" s="9" t="s">
        <v>17</v>
      </c>
      <c r="F3641" s="9" t="s">
        <v>129</v>
      </c>
      <c r="G3641" s="9" t="s">
        <v>130</v>
      </c>
      <c r="H3641" s="11" t="s">
        <v>22</v>
      </c>
      <c r="I3641" s="12" t="n">
        <v>40</v>
      </c>
      <c r="J3641" s="13" t="n">
        <v>250</v>
      </c>
      <c r="K3641" s="14" t="n">
        <f aca="false">I3641*J3641</f>
        <v>10000</v>
      </c>
      <c r="L3641" s="14" t="n">
        <f aca="false">($L$2*M3641)/100</f>
        <v>480666.6</v>
      </c>
      <c r="M3641" s="15" t="n">
        <v>0.4</v>
      </c>
      <c r="N3641" s="9" t="s">
        <v>20</v>
      </c>
    </row>
    <row r="3642" customFormat="false" ht="14.25" hidden="false" customHeight="true" outlineLevel="0" collapsed="false">
      <c r="B3642" s="9" t="s">
        <v>16</v>
      </c>
      <c r="C3642" s="9" t="n">
        <v>1185732</v>
      </c>
      <c r="D3642" s="10" t="n">
        <v>44415</v>
      </c>
      <c r="E3642" s="9" t="s">
        <v>17</v>
      </c>
      <c r="F3642" s="9" t="s">
        <v>129</v>
      </c>
      <c r="G3642" s="9" t="s">
        <v>130</v>
      </c>
      <c r="H3642" s="11" t="s">
        <v>23</v>
      </c>
      <c r="I3642" s="12" t="n">
        <v>40</v>
      </c>
      <c r="J3642" s="13" t="n">
        <v>150</v>
      </c>
      <c r="K3642" s="14" t="n">
        <f aca="false">I3642*J3642</f>
        <v>6000</v>
      </c>
      <c r="L3642" s="14" t="n">
        <f aca="false">($L$2*M3642)/100</f>
        <v>480666.6</v>
      </c>
      <c r="M3642" s="15" t="n">
        <v>0.4</v>
      </c>
      <c r="N3642" s="9" t="s">
        <v>20</v>
      </c>
    </row>
    <row r="3643" customFormat="false" ht="14.25" hidden="false" customHeight="true" outlineLevel="0" collapsed="false">
      <c r="B3643" s="9" t="s">
        <v>16</v>
      </c>
      <c r="C3643" s="9" t="n">
        <v>1185732</v>
      </c>
      <c r="D3643" s="10" t="n">
        <v>44415</v>
      </c>
      <c r="E3643" s="9" t="s">
        <v>17</v>
      </c>
      <c r="F3643" s="9" t="s">
        <v>129</v>
      </c>
      <c r="G3643" s="9" t="s">
        <v>130</v>
      </c>
      <c r="H3643" s="11" t="s">
        <v>24</v>
      </c>
      <c r="I3643" s="12" t="n">
        <v>50</v>
      </c>
      <c r="J3643" s="13" t="n">
        <v>125</v>
      </c>
      <c r="K3643" s="14" t="n">
        <f aca="false">I3643*J3643</f>
        <v>6250</v>
      </c>
      <c r="L3643" s="14" t="n">
        <f aca="false">($L$2*M3643)/100</f>
        <v>360499.95</v>
      </c>
      <c r="M3643" s="15" t="n">
        <v>0.3</v>
      </c>
      <c r="N3643" s="9" t="s">
        <v>20</v>
      </c>
    </row>
    <row r="3644" customFormat="false" ht="14.25" hidden="false" customHeight="true" outlineLevel="0" collapsed="false">
      <c r="B3644" s="9" t="s">
        <v>16</v>
      </c>
      <c r="C3644" s="9" t="n">
        <v>1185732</v>
      </c>
      <c r="D3644" s="10" t="n">
        <v>44415</v>
      </c>
      <c r="E3644" s="9" t="s">
        <v>17</v>
      </c>
      <c r="F3644" s="9" t="s">
        <v>129</v>
      </c>
      <c r="G3644" s="9" t="s">
        <v>130</v>
      </c>
      <c r="H3644" s="11" t="s">
        <v>25</v>
      </c>
      <c r="I3644" s="12" t="n">
        <v>55</v>
      </c>
      <c r="J3644" s="13" t="n">
        <v>300</v>
      </c>
      <c r="K3644" s="14" t="n">
        <f aca="false">I3644*J3644</f>
        <v>16500</v>
      </c>
      <c r="L3644" s="14" t="n">
        <f aca="false">($L$2*M3644)/100</f>
        <v>480666.6</v>
      </c>
      <c r="M3644" s="15" t="n">
        <v>0.4</v>
      </c>
      <c r="N3644" s="9" t="s">
        <v>20</v>
      </c>
    </row>
    <row r="3645" customFormat="false" ht="14.25" hidden="false" customHeight="true" outlineLevel="0" collapsed="false">
      <c r="B3645" s="9" t="s">
        <v>16</v>
      </c>
      <c r="C3645" s="9" t="n">
        <v>1185732</v>
      </c>
      <c r="D3645" s="10" t="n">
        <v>44445</v>
      </c>
      <c r="E3645" s="9" t="s">
        <v>17</v>
      </c>
      <c r="F3645" s="9" t="s">
        <v>129</v>
      </c>
      <c r="G3645" s="9" t="s">
        <v>130</v>
      </c>
      <c r="H3645" s="11" t="s">
        <v>19</v>
      </c>
      <c r="I3645" s="12" t="n">
        <v>50</v>
      </c>
      <c r="J3645" s="13" t="n">
        <v>425</v>
      </c>
      <c r="K3645" s="14" t="n">
        <f aca="false">I3645*J3645</f>
        <v>21250</v>
      </c>
      <c r="L3645" s="14" t="n">
        <f aca="false">($L$2*M3645)/100</f>
        <v>420583.275</v>
      </c>
      <c r="M3645" s="15" t="n">
        <v>0.35</v>
      </c>
      <c r="N3645" s="9" t="s">
        <v>20</v>
      </c>
    </row>
    <row r="3646" customFormat="false" ht="14.25" hidden="false" customHeight="true" outlineLevel="0" collapsed="false">
      <c r="B3646" s="9" t="s">
        <v>16</v>
      </c>
      <c r="C3646" s="9" t="n">
        <v>1185732</v>
      </c>
      <c r="D3646" s="10" t="n">
        <v>44445</v>
      </c>
      <c r="E3646" s="9" t="s">
        <v>17</v>
      </c>
      <c r="F3646" s="9" t="s">
        <v>129</v>
      </c>
      <c r="G3646" s="9" t="s">
        <v>130</v>
      </c>
      <c r="H3646" s="11" t="s">
        <v>21</v>
      </c>
      <c r="I3646" s="12" t="n">
        <v>45</v>
      </c>
      <c r="J3646" s="13" t="n">
        <v>225</v>
      </c>
      <c r="K3646" s="14" t="n">
        <f aca="false">I3646*J3646</f>
        <v>10125</v>
      </c>
      <c r="L3646" s="14" t="n">
        <f aca="false">($L$2*M3646)/100</f>
        <v>420583.275</v>
      </c>
      <c r="M3646" s="15" t="n">
        <v>0.35</v>
      </c>
      <c r="N3646" s="9" t="s">
        <v>20</v>
      </c>
    </row>
    <row r="3647" customFormat="false" ht="14.25" hidden="false" customHeight="true" outlineLevel="0" collapsed="false">
      <c r="B3647" s="9" t="s">
        <v>16</v>
      </c>
      <c r="C3647" s="9" t="n">
        <v>1185732</v>
      </c>
      <c r="D3647" s="10" t="n">
        <v>44445</v>
      </c>
      <c r="E3647" s="9" t="s">
        <v>17</v>
      </c>
      <c r="F3647" s="9" t="s">
        <v>129</v>
      </c>
      <c r="G3647" s="9" t="s">
        <v>130</v>
      </c>
      <c r="H3647" s="11" t="s">
        <v>22</v>
      </c>
      <c r="I3647" s="12" t="n">
        <v>40</v>
      </c>
      <c r="J3647" s="13" t="n">
        <v>125</v>
      </c>
      <c r="K3647" s="14" t="n">
        <f aca="false">I3647*J3647</f>
        <v>5000</v>
      </c>
      <c r="L3647" s="14" t="n">
        <f aca="false">($L$2*M3647)/100</f>
        <v>480666.6</v>
      </c>
      <c r="M3647" s="15" t="n">
        <v>0.4</v>
      </c>
      <c r="N3647" s="9" t="s">
        <v>20</v>
      </c>
    </row>
    <row r="3648" customFormat="false" ht="14.25" hidden="false" customHeight="true" outlineLevel="0" collapsed="false">
      <c r="B3648" s="9" t="s">
        <v>16</v>
      </c>
      <c r="C3648" s="9" t="n">
        <v>1185732</v>
      </c>
      <c r="D3648" s="10" t="n">
        <v>44445</v>
      </c>
      <c r="E3648" s="9" t="s">
        <v>17</v>
      </c>
      <c r="F3648" s="9" t="s">
        <v>129</v>
      </c>
      <c r="G3648" s="9" t="s">
        <v>130</v>
      </c>
      <c r="H3648" s="11" t="s">
        <v>23</v>
      </c>
      <c r="I3648" s="12" t="n">
        <v>40</v>
      </c>
      <c r="J3648" s="13" t="n">
        <v>100</v>
      </c>
      <c r="K3648" s="14" t="n">
        <f aca="false">I3648*J3648</f>
        <v>4000</v>
      </c>
      <c r="L3648" s="14" t="n">
        <f aca="false">($L$2*M3648)/100</f>
        <v>480666.6</v>
      </c>
      <c r="M3648" s="15" t="n">
        <v>0.4</v>
      </c>
      <c r="N3648" s="9" t="s">
        <v>20</v>
      </c>
    </row>
    <row r="3649" customFormat="false" ht="14.25" hidden="false" customHeight="true" outlineLevel="0" collapsed="false">
      <c r="B3649" s="9" t="s">
        <v>16</v>
      </c>
      <c r="C3649" s="9" t="n">
        <v>1185732</v>
      </c>
      <c r="D3649" s="10" t="n">
        <v>44445</v>
      </c>
      <c r="E3649" s="9" t="s">
        <v>17</v>
      </c>
      <c r="F3649" s="9" t="s">
        <v>129</v>
      </c>
      <c r="G3649" s="9" t="s">
        <v>130</v>
      </c>
      <c r="H3649" s="11" t="s">
        <v>24</v>
      </c>
      <c r="I3649" s="12" t="n">
        <v>50</v>
      </c>
      <c r="J3649" s="13" t="n">
        <v>100</v>
      </c>
      <c r="K3649" s="14" t="n">
        <f aca="false">I3649*J3649</f>
        <v>5000</v>
      </c>
      <c r="L3649" s="14" t="n">
        <f aca="false">($L$2*M3649)/100</f>
        <v>360499.95</v>
      </c>
      <c r="M3649" s="15" t="n">
        <v>0.3</v>
      </c>
      <c r="N3649" s="9" t="s">
        <v>20</v>
      </c>
    </row>
    <row r="3650" customFormat="false" ht="14.25" hidden="false" customHeight="true" outlineLevel="0" collapsed="false">
      <c r="B3650" s="9" t="s">
        <v>16</v>
      </c>
      <c r="C3650" s="9" t="n">
        <v>1185732</v>
      </c>
      <c r="D3650" s="10" t="n">
        <v>44445</v>
      </c>
      <c r="E3650" s="9" t="s">
        <v>17</v>
      </c>
      <c r="F3650" s="9" t="s">
        <v>129</v>
      </c>
      <c r="G3650" s="9" t="s">
        <v>130</v>
      </c>
      <c r="H3650" s="11" t="s">
        <v>25</v>
      </c>
      <c r="I3650" s="12" t="n">
        <v>55</v>
      </c>
      <c r="J3650" s="13" t="n">
        <v>200</v>
      </c>
      <c r="K3650" s="14" t="n">
        <f aca="false">I3650*J3650</f>
        <v>11000</v>
      </c>
      <c r="L3650" s="14" t="n">
        <f aca="false">($L$2*M3650)/100</f>
        <v>480666.6</v>
      </c>
      <c r="M3650" s="15" t="n">
        <v>0.4</v>
      </c>
      <c r="N3650" s="9" t="s">
        <v>20</v>
      </c>
    </row>
    <row r="3651" customFormat="false" ht="14.25" hidden="false" customHeight="true" outlineLevel="0" collapsed="false">
      <c r="B3651" s="9" t="s">
        <v>16</v>
      </c>
      <c r="C3651" s="9" t="n">
        <v>1185732</v>
      </c>
      <c r="D3651" s="10" t="n">
        <v>44477</v>
      </c>
      <c r="E3651" s="9" t="s">
        <v>17</v>
      </c>
      <c r="F3651" s="9" t="s">
        <v>129</v>
      </c>
      <c r="G3651" s="9" t="s">
        <v>130</v>
      </c>
      <c r="H3651" s="11" t="s">
        <v>19</v>
      </c>
      <c r="I3651" s="12" t="n">
        <v>55</v>
      </c>
      <c r="J3651" s="13" t="n">
        <v>375</v>
      </c>
      <c r="K3651" s="14" t="n">
        <f aca="false">I3651*J3651</f>
        <v>20625</v>
      </c>
      <c r="L3651" s="14" t="n">
        <f aca="false">($L$2*M3651)/100</f>
        <v>420583.275</v>
      </c>
      <c r="M3651" s="15" t="n">
        <v>0.35</v>
      </c>
      <c r="N3651" s="9" t="s">
        <v>20</v>
      </c>
    </row>
    <row r="3652" customFormat="false" ht="14.25" hidden="false" customHeight="true" outlineLevel="0" collapsed="false">
      <c r="B3652" s="9" t="s">
        <v>16</v>
      </c>
      <c r="C3652" s="9" t="n">
        <v>1185732</v>
      </c>
      <c r="D3652" s="10" t="n">
        <v>44477</v>
      </c>
      <c r="E3652" s="9" t="s">
        <v>17</v>
      </c>
      <c r="F3652" s="9" t="s">
        <v>129</v>
      </c>
      <c r="G3652" s="9" t="s">
        <v>130</v>
      </c>
      <c r="H3652" s="11" t="s">
        <v>21</v>
      </c>
      <c r="I3652" s="12" t="n">
        <v>50</v>
      </c>
      <c r="J3652" s="13" t="n">
        <v>200</v>
      </c>
      <c r="K3652" s="14" t="n">
        <f aca="false">I3652*J3652</f>
        <v>10000</v>
      </c>
      <c r="L3652" s="14" t="n">
        <f aca="false">($L$2*M3652)/100</f>
        <v>420583.275</v>
      </c>
      <c r="M3652" s="15" t="n">
        <v>0.35</v>
      </c>
      <c r="N3652" s="9" t="s">
        <v>20</v>
      </c>
    </row>
    <row r="3653" customFormat="false" ht="14.25" hidden="false" customHeight="true" outlineLevel="0" collapsed="false">
      <c r="B3653" s="9" t="s">
        <v>16</v>
      </c>
      <c r="C3653" s="9" t="n">
        <v>1185732</v>
      </c>
      <c r="D3653" s="10" t="n">
        <v>44477</v>
      </c>
      <c r="E3653" s="9" t="s">
        <v>17</v>
      </c>
      <c r="F3653" s="9" t="s">
        <v>129</v>
      </c>
      <c r="G3653" s="9" t="s">
        <v>130</v>
      </c>
      <c r="H3653" s="11" t="s">
        <v>22</v>
      </c>
      <c r="I3653" s="12" t="n">
        <v>50</v>
      </c>
      <c r="J3653" s="13" t="n">
        <v>100</v>
      </c>
      <c r="K3653" s="14" t="n">
        <f aca="false">I3653*J3653</f>
        <v>5000</v>
      </c>
      <c r="L3653" s="14" t="n">
        <f aca="false">($L$2*M3653)/100</f>
        <v>480666.6</v>
      </c>
      <c r="M3653" s="15" t="n">
        <v>0.4</v>
      </c>
      <c r="N3653" s="9" t="s">
        <v>20</v>
      </c>
    </row>
    <row r="3654" customFormat="false" ht="14.25" hidden="false" customHeight="true" outlineLevel="0" collapsed="false">
      <c r="B3654" s="9" t="s">
        <v>16</v>
      </c>
      <c r="C3654" s="9" t="n">
        <v>1185732</v>
      </c>
      <c r="D3654" s="10" t="n">
        <v>44477</v>
      </c>
      <c r="E3654" s="9" t="s">
        <v>17</v>
      </c>
      <c r="F3654" s="9" t="s">
        <v>129</v>
      </c>
      <c r="G3654" s="9" t="s">
        <v>130</v>
      </c>
      <c r="H3654" s="11" t="s">
        <v>23</v>
      </c>
      <c r="I3654" s="12" t="n">
        <v>50</v>
      </c>
      <c r="J3654" s="13" t="n">
        <v>75</v>
      </c>
      <c r="K3654" s="14" t="n">
        <f aca="false">I3654*J3654</f>
        <v>3750</v>
      </c>
      <c r="L3654" s="14" t="n">
        <f aca="false">($L$2*M3654)/100</f>
        <v>480666.6</v>
      </c>
      <c r="M3654" s="15" t="n">
        <v>0.4</v>
      </c>
      <c r="N3654" s="9" t="s">
        <v>20</v>
      </c>
    </row>
    <row r="3655" customFormat="false" ht="14.25" hidden="false" customHeight="true" outlineLevel="0" collapsed="false">
      <c r="B3655" s="9" t="s">
        <v>16</v>
      </c>
      <c r="C3655" s="9" t="n">
        <v>1185732</v>
      </c>
      <c r="D3655" s="10" t="n">
        <v>44477</v>
      </c>
      <c r="E3655" s="9" t="s">
        <v>17</v>
      </c>
      <c r="F3655" s="9" t="s">
        <v>129</v>
      </c>
      <c r="G3655" s="9" t="s">
        <v>130</v>
      </c>
      <c r="H3655" s="11" t="s">
        <v>24</v>
      </c>
      <c r="I3655" s="12" t="n">
        <v>60</v>
      </c>
      <c r="J3655" s="13" t="n">
        <v>75</v>
      </c>
      <c r="K3655" s="14" t="n">
        <f aca="false">I3655*J3655</f>
        <v>4500</v>
      </c>
      <c r="L3655" s="14" t="n">
        <f aca="false">($L$2*M3655)/100</f>
        <v>360499.95</v>
      </c>
      <c r="M3655" s="15" t="n">
        <v>0.3</v>
      </c>
      <c r="N3655" s="9" t="s">
        <v>20</v>
      </c>
    </row>
    <row r="3656" customFormat="false" ht="14.25" hidden="false" customHeight="true" outlineLevel="0" collapsed="false">
      <c r="B3656" s="9" t="s">
        <v>28</v>
      </c>
      <c r="C3656" s="9" t="n">
        <v>1185732</v>
      </c>
      <c r="D3656" s="10" t="n">
        <v>44477</v>
      </c>
      <c r="E3656" s="9" t="s">
        <v>17</v>
      </c>
      <c r="F3656" s="9" t="s">
        <v>129</v>
      </c>
      <c r="G3656" s="9" t="s">
        <v>130</v>
      </c>
      <c r="H3656" s="11" t="s">
        <v>25</v>
      </c>
      <c r="I3656" s="12" t="n">
        <v>65</v>
      </c>
      <c r="J3656" s="13" t="n">
        <v>200</v>
      </c>
      <c r="K3656" s="14" t="n">
        <f aca="false">I3656*J3656</f>
        <v>13000</v>
      </c>
      <c r="L3656" s="14" t="n">
        <f aca="false">($L$2*M3656)/100</f>
        <v>480666.6</v>
      </c>
      <c r="M3656" s="15" t="n">
        <v>0.4</v>
      </c>
      <c r="N3656" s="9" t="s">
        <v>20</v>
      </c>
    </row>
    <row r="3657" customFormat="false" ht="14.25" hidden="false" customHeight="true" outlineLevel="0" collapsed="false">
      <c r="B3657" s="9" t="s">
        <v>28</v>
      </c>
      <c r="C3657" s="9" t="n">
        <v>1185732</v>
      </c>
      <c r="D3657" s="10" t="n">
        <v>44507</v>
      </c>
      <c r="E3657" s="9" t="s">
        <v>17</v>
      </c>
      <c r="F3657" s="9" t="s">
        <v>129</v>
      </c>
      <c r="G3657" s="9" t="s">
        <v>130</v>
      </c>
      <c r="H3657" s="11" t="s">
        <v>19</v>
      </c>
      <c r="I3657" s="12" t="n">
        <v>60</v>
      </c>
      <c r="J3657" s="13" t="n">
        <v>350</v>
      </c>
      <c r="K3657" s="14" t="n">
        <f aca="false">I3657*J3657</f>
        <v>21000</v>
      </c>
      <c r="L3657" s="14" t="n">
        <f aca="false">($L$2*M3657)/100</f>
        <v>420583.275</v>
      </c>
      <c r="M3657" s="15" t="n">
        <v>0.35</v>
      </c>
      <c r="N3657" s="9" t="s">
        <v>20</v>
      </c>
    </row>
    <row r="3658" customFormat="false" ht="14.25" hidden="false" customHeight="true" outlineLevel="0" collapsed="false">
      <c r="B3658" s="9" t="s">
        <v>28</v>
      </c>
      <c r="C3658" s="9" t="n">
        <v>1185732</v>
      </c>
      <c r="D3658" s="10" t="n">
        <v>44507</v>
      </c>
      <c r="E3658" s="9" t="s">
        <v>17</v>
      </c>
      <c r="F3658" s="9" t="s">
        <v>129</v>
      </c>
      <c r="G3658" s="9" t="s">
        <v>130</v>
      </c>
      <c r="H3658" s="11" t="s">
        <v>21</v>
      </c>
      <c r="I3658" s="12" t="n">
        <v>50</v>
      </c>
      <c r="J3658" s="13" t="n">
        <v>225</v>
      </c>
      <c r="K3658" s="14" t="n">
        <f aca="false">I3658*J3658</f>
        <v>11250</v>
      </c>
      <c r="L3658" s="14" t="n">
        <f aca="false">($L$2*M3658)/100</f>
        <v>420583.275</v>
      </c>
      <c r="M3658" s="15" t="n">
        <v>0.35</v>
      </c>
      <c r="N3658" s="9" t="s">
        <v>20</v>
      </c>
    </row>
    <row r="3659" customFormat="false" ht="14.25" hidden="false" customHeight="true" outlineLevel="0" collapsed="false">
      <c r="B3659" s="9" t="s">
        <v>28</v>
      </c>
      <c r="C3659" s="9" t="n">
        <v>1185732</v>
      </c>
      <c r="D3659" s="10" t="n">
        <v>44507</v>
      </c>
      <c r="E3659" s="9" t="s">
        <v>17</v>
      </c>
      <c r="F3659" s="9" t="s">
        <v>129</v>
      </c>
      <c r="G3659" s="9" t="s">
        <v>130</v>
      </c>
      <c r="H3659" s="11" t="s">
        <v>22</v>
      </c>
      <c r="I3659" s="12" t="n">
        <v>50</v>
      </c>
      <c r="J3659" s="13" t="n">
        <v>220</v>
      </c>
      <c r="K3659" s="14" t="n">
        <f aca="false">I3659*J3659</f>
        <v>11000</v>
      </c>
      <c r="L3659" s="14" t="n">
        <f aca="false">($L$2*M3659)/100</f>
        <v>480666.6</v>
      </c>
      <c r="M3659" s="15" t="n">
        <v>0.4</v>
      </c>
      <c r="N3659" s="9" t="s">
        <v>20</v>
      </c>
    </row>
    <row r="3660" customFormat="false" ht="14.25" hidden="false" customHeight="true" outlineLevel="0" collapsed="false">
      <c r="B3660" s="9" t="s">
        <v>28</v>
      </c>
      <c r="C3660" s="9" t="n">
        <v>1185732</v>
      </c>
      <c r="D3660" s="10" t="n">
        <v>44507</v>
      </c>
      <c r="E3660" s="9" t="s">
        <v>17</v>
      </c>
      <c r="F3660" s="9" t="s">
        <v>129</v>
      </c>
      <c r="G3660" s="9" t="s">
        <v>130</v>
      </c>
      <c r="H3660" s="11" t="s">
        <v>23</v>
      </c>
      <c r="I3660" s="12" t="n">
        <v>50</v>
      </c>
      <c r="J3660" s="13" t="n">
        <v>200</v>
      </c>
      <c r="K3660" s="14" t="n">
        <f aca="false">I3660*J3660</f>
        <v>10000</v>
      </c>
      <c r="L3660" s="14" t="n">
        <f aca="false">($L$2*M3660)/100</f>
        <v>480666.6</v>
      </c>
      <c r="M3660" s="15" t="n">
        <v>0.4</v>
      </c>
      <c r="N3660" s="9" t="s">
        <v>20</v>
      </c>
    </row>
    <row r="3661" customFormat="false" ht="14.25" hidden="false" customHeight="true" outlineLevel="0" collapsed="false">
      <c r="B3661" s="9" t="s">
        <v>28</v>
      </c>
      <c r="C3661" s="9" t="n">
        <v>1185732</v>
      </c>
      <c r="D3661" s="10" t="n">
        <v>44507</v>
      </c>
      <c r="E3661" s="9" t="s">
        <v>17</v>
      </c>
      <c r="F3661" s="9" t="s">
        <v>129</v>
      </c>
      <c r="G3661" s="9" t="s">
        <v>130</v>
      </c>
      <c r="H3661" s="11" t="s">
        <v>24</v>
      </c>
      <c r="I3661" s="12" t="n">
        <v>60</v>
      </c>
      <c r="J3661" s="13" t="n">
        <v>175</v>
      </c>
      <c r="K3661" s="14" t="n">
        <f aca="false">I3661*J3661</f>
        <v>10500</v>
      </c>
      <c r="L3661" s="14" t="n">
        <f aca="false">($L$2*M3661)/100</f>
        <v>360499.95</v>
      </c>
      <c r="M3661" s="15" t="n">
        <v>0.3</v>
      </c>
      <c r="N3661" s="9" t="s">
        <v>20</v>
      </c>
    </row>
    <row r="3662" customFormat="false" ht="14.25" hidden="false" customHeight="true" outlineLevel="0" collapsed="false">
      <c r="B3662" s="9" t="s">
        <v>28</v>
      </c>
      <c r="C3662" s="9" t="n">
        <v>1185732</v>
      </c>
      <c r="D3662" s="10" t="n">
        <v>44507</v>
      </c>
      <c r="E3662" s="9" t="s">
        <v>17</v>
      </c>
      <c r="F3662" s="9" t="s">
        <v>129</v>
      </c>
      <c r="G3662" s="9" t="s">
        <v>130</v>
      </c>
      <c r="H3662" s="11" t="s">
        <v>25</v>
      </c>
      <c r="I3662" s="12" t="n">
        <v>65</v>
      </c>
      <c r="J3662" s="13" t="n">
        <v>275</v>
      </c>
      <c r="K3662" s="14" t="n">
        <f aca="false">I3662*J3662</f>
        <v>17875</v>
      </c>
      <c r="L3662" s="14" t="n">
        <f aca="false">($L$2*M3662)/100</f>
        <v>480666.6</v>
      </c>
      <c r="M3662" s="15" t="n">
        <v>0.4</v>
      </c>
      <c r="N3662" s="9" t="s">
        <v>20</v>
      </c>
    </row>
    <row r="3663" customFormat="false" ht="14.25" hidden="false" customHeight="true" outlineLevel="0" collapsed="false">
      <c r="B3663" s="9" t="s">
        <v>28</v>
      </c>
      <c r="C3663" s="9" t="n">
        <v>1185732</v>
      </c>
      <c r="D3663" s="10" t="n">
        <v>44536</v>
      </c>
      <c r="E3663" s="9" t="s">
        <v>17</v>
      </c>
      <c r="F3663" s="9" t="s">
        <v>129</v>
      </c>
      <c r="G3663" s="9" t="s">
        <v>130</v>
      </c>
      <c r="H3663" s="11" t="s">
        <v>19</v>
      </c>
      <c r="I3663" s="12" t="n">
        <v>60</v>
      </c>
      <c r="J3663" s="13" t="n">
        <v>500</v>
      </c>
      <c r="K3663" s="14" t="n">
        <f aca="false">I3663*J3663</f>
        <v>30000</v>
      </c>
      <c r="L3663" s="14" t="n">
        <f aca="false">($L$2*M3663)/100</f>
        <v>420583.275</v>
      </c>
      <c r="M3663" s="15" t="n">
        <v>0.35</v>
      </c>
      <c r="N3663" s="9" t="s">
        <v>20</v>
      </c>
    </row>
    <row r="3664" customFormat="false" ht="14.25" hidden="false" customHeight="true" outlineLevel="0" collapsed="false">
      <c r="B3664" s="9" t="s">
        <v>28</v>
      </c>
      <c r="C3664" s="9" t="n">
        <v>1185732</v>
      </c>
      <c r="D3664" s="10" t="n">
        <v>44536</v>
      </c>
      <c r="E3664" s="9" t="s">
        <v>17</v>
      </c>
      <c r="F3664" s="9" t="s">
        <v>129</v>
      </c>
      <c r="G3664" s="9" t="s">
        <v>130</v>
      </c>
      <c r="H3664" s="11" t="s">
        <v>21</v>
      </c>
      <c r="I3664" s="12" t="n">
        <v>50</v>
      </c>
      <c r="J3664" s="13" t="n">
        <v>300</v>
      </c>
      <c r="K3664" s="14" t="n">
        <f aca="false">I3664*J3664</f>
        <v>15000</v>
      </c>
      <c r="L3664" s="14" t="n">
        <f aca="false">($L$2*M3664)/100</f>
        <v>420583.275</v>
      </c>
      <c r="M3664" s="15" t="n">
        <v>0.35</v>
      </c>
      <c r="N3664" s="9" t="s">
        <v>20</v>
      </c>
    </row>
    <row r="3665" customFormat="false" ht="14.25" hidden="false" customHeight="true" outlineLevel="0" collapsed="false">
      <c r="B3665" s="9" t="s">
        <v>28</v>
      </c>
      <c r="C3665" s="9" t="n">
        <v>1185732</v>
      </c>
      <c r="D3665" s="10" t="n">
        <v>44536</v>
      </c>
      <c r="E3665" s="9" t="s">
        <v>17</v>
      </c>
      <c r="F3665" s="9" t="s">
        <v>129</v>
      </c>
      <c r="G3665" s="9" t="s">
        <v>130</v>
      </c>
      <c r="H3665" s="11" t="s">
        <v>22</v>
      </c>
      <c r="I3665" s="12" t="n">
        <v>50</v>
      </c>
      <c r="J3665" s="13" t="n">
        <v>275</v>
      </c>
      <c r="K3665" s="14" t="n">
        <f aca="false">I3665*J3665</f>
        <v>13750</v>
      </c>
      <c r="L3665" s="14" t="n">
        <f aca="false">($L$2*M3665)/100</f>
        <v>480666.6</v>
      </c>
      <c r="M3665" s="15" t="n">
        <v>0.4</v>
      </c>
      <c r="N3665" s="9" t="s">
        <v>20</v>
      </c>
    </row>
    <row r="3666" customFormat="false" ht="14.25" hidden="false" customHeight="true" outlineLevel="0" collapsed="false">
      <c r="B3666" s="9" t="s">
        <v>28</v>
      </c>
      <c r="C3666" s="9" t="n">
        <v>1185732</v>
      </c>
      <c r="D3666" s="10" t="n">
        <v>44536</v>
      </c>
      <c r="E3666" s="9" t="s">
        <v>17</v>
      </c>
      <c r="F3666" s="9" t="s">
        <v>129</v>
      </c>
      <c r="G3666" s="9" t="s">
        <v>130</v>
      </c>
      <c r="H3666" s="11" t="s">
        <v>23</v>
      </c>
      <c r="I3666" s="12" t="n">
        <v>50</v>
      </c>
      <c r="J3666" s="13" t="n">
        <v>225</v>
      </c>
      <c r="K3666" s="14" t="n">
        <f aca="false">I3666*J3666</f>
        <v>11250</v>
      </c>
      <c r="L3666" s="14" t="n">
        <f aca="false">($L$2*M3666)/100</f>
        <v>480666.6</v>
      </c>
      <c r="M3666" s="15" t="n">
        <v>0.4</v>
      </c>
      <c r="N3666" s="9" t="s">
        <v>20</v>
      </c>
    </row>
    <row r="3667" customFormat="false" ht="14.25" hidden="false" customHeight="true" outlineLevel="0" collapsed="false">
      <c r="B3667" s="9" t="s">
        <v>28</v>
      </c>
      <c r="C3667" s="9" t="n">
        <v>1185732</v>
      </c>
      <c r="D3667" s="10" t="n">
        <v>44536</v>
      </c>
      <c r="E3667" s="9" t="s">
        <v>17</v>
      </c>
      <c r="F3667" s="9" t="s">
        <v>129</v>
      </c>
      <c r="G3667" s="9" t="s">
        <v>130</v>
      </c>
      <c r="H3667" s="11" t="s">
        <v>24</v>
      </c>
      <c r="I3667" s="12" t="n">
        <v>60</v>
      </c>
      <c r="J3667" s="13" t="n">
        <v>225</v>
      </c>
      <c r="K3667" s="14" t="n">
        <f aca="false">I3667*J3667</f>
        <v>13500</v>
      </c>
      <c r="L3667" s="14" t="n">
        <f aca="false">($L$2*M3667)/100</f>
        <v>360499.95</v>
      </c>
      <c r="M3667" s="15" t="n">
        <v>0.3</v>
      </c>
      <c r="N3667" s="9" t="s">
        <v>20</v>
      </c>
    </row>
    <row r="3668" customFormat="false" ht="14.25" hidden="false" customHeight="true" outlineLevel="0" collapsed="false">
      <c r="B3668" s="9" t="s">
        <v>28</v>
      </c>
      <c r="C3668" s="9" t="n">
        <v>1185732</v>
      </c>
      <c r="D3668" s="10" t="n">
        <v>44536</v>
      </c>
      <c r="E3668" s="9" t="s">
        <v>17</v>
      </c>
      <c r="F3668" s="9" t="s">
        <v>129</v>
      </c>
      <c r="G3668" s="9" t="s">
        <v>130</v>
      </c>
      <c r="H3668" s="11" t="s">
        <v>25</v>
      </c>
      <c r="I3668" s="12" t="n">
        <v>65</v>
      </c>
      <c r="J3668" s="13" t="n">
        <v>325</v>
      </c>
      <c r="K3668" s="14" t="n">
        <f aca="false">I3668*J3668</f>
        <v>21125</v>
      </c>
      <c r="L3668" s="14" t="n">
        <f aca="false">($L$2*M3668)/100</f>
        <v>480666.6</v>
      </c>
      <c r="M3668" s="15" t="n">
        <v>0.4</v>
      </c>
      <c r="N3668" s="9" t="s">
        <v>20</v>
      </c>
    </row>
    <row r="3669" customFormat="false" ht="14.25" hidden="false" customHeight="true" outlineLevel="0" collapsed="false">
      <c r="B3669" s="9" t="s">
        <v>28</v>
      </c>
      <c r="C3669" s="9" t="n">
        <v>1185732</v>
      </c>
      <c r="D3669" s="10" t="n">
        <v>44213</v>
      </c>
      <c r="E3669" s="9" t="s">
        <v>17</v>
      </c>
      <c r="F3669" s="9" t="s">
        <v>129</v>
      </c>
      <c r="G3669" s="9" t="s">
        <v>130</v>
      </c>
      <c r="H3669" s="11" t="s">
        <v>19</v>
      </c>
      <c r="I3669" s="12" t="n">
        <v>40</v>
      </c>
      <c r="J3669" s="13" t="n">
        <v>450</v>
      </c>
      <c r="K3669" s="14" t="n">
        <f aca="false">I3669*J3669</f>
        <v>18000</v>
      </c>
      <c r="L3669" s="14" t="n">
        <f aca="false">($L$2*M3669)/100</f>
        <v>360499.95</v>
      </c>
      <c r="M3669" s="15" t="n">
        <v>0.3</v>
      </c>
      <c r="N3669" s="9" t="s">
        <v>20</v>
      </c>
    </row>
    <row r="3670" customFormat="false" ht="14.25" hidden="false" customHeight="true" outlineLevel="0" collapsed="false">
      <c r="B3670" s="9" t="s">
        <v>28</v>
      </c>
      <c r="C3670" s="9" t="n">
        <v>1185732</v>
      </c>
      <c r="D3670" s="10" t="n">
        <v>44213</v>
      </c>
      <c r="E3670" s="9" t="s">
        <v>17</v>
      </c>
      <c r="F3670" s="9" t="s">
        <v>129</v>
      </c>
      <c r="G3670" s="9" t="s">
        <v>130</v>
      </c>
      <c r="H3670" s="11" t="s">
        <v>21</v>
      </c>
      <c r="I3670" s="12" t="n">
        <v>40</v>
      </c>
      <c r="J3670" s="13" t="n">
        <v>250</v>
      </c>
      <c r="K3670" s="14" t="n">
        <f aca="false">I3670*J3670</f>
        <v>10000</v>
      </c>
      <c r="L3670" s="14" t="n">
        <f aca="false">($L$2*M3670)/100</f>
        <v>360499.95</v>
      </c>
      <c r="M3670" s="15" t="n">
        <v>0.3</v>
      </c>
      <c r="N3670" s="9" t="s">
        <v>20</v>
      </c>
    </row>
    <row r="3671" customFormat="false" ht="14.25" hidden="false" customHeight="true" outlineLevel="0" collapsed="false">
      <c r="B3671" s="9" t="s">
        <v>28</v>
      </c>
      <c r="C3671" s="9" t="n">
        <v>1185732</v>
      </c>
      <c r="D3671" s="10" t="n">
        <v>44213</v>
      </c>
      <c r="E3671" s="9" t="s">
        <v>17</v>
      </c>
      <c r="F3671" s="9" t="s">
        <v>129</v>
      </c>
      <c r="G3671" s="9" t="s">
        <v>130</v>
      </c>
      <c r="H3671" s="11" t="s">
        <v>22</v>
      </c>
      <c r="I3671" s="12" t="n">
        <v>30</v>
      </c>
      <c r="J3671" s="13" t="n">
        <v>250</v>
      </c>
      <c r="K3671" s="14" t="n">
        <f aca="false">I3671*J3671</f>
        <v>7500</v>
      </c>
      <c r="L3671" s="14" t="n">
        <f aca="false">($L$2*M3671)/100</f>
        <v>300416.625</v>
      </c>
      <c r="M3671" s="15" t="n">
        <v>0.25</v>
      </c>
      <c r="N3671" s="9" t="s">
        <v>20</v>
      </c>
    </row>
    <row r="3672" customFormat="false" ht="14.25" hidden="false" customHeight="true" outlineLevel="0" collapsed="false">
      <c r="B3672" s="9" t="s">
        <v>28</v>
      </c>
      <c r="C3672" s="9" t="n">
        <v>1185732</v>
      </c>
      <c r="D3672" s="10" t="n">
        <v>44213</v>
      </c>
      <c r="E3672" s="9" t="s">
        <v>17</v>
      </c>
      <c r="F3672" s="9" t="s">
        <v>129</v>
      </c>
      <c r="G3672" s="9" t="s">
        <v>130</v>
      </c>
      <c r="H3672" s="11" t="s">
        <v>23</v>
      </c>
      <c r="I3672" s="12" t="n">
        <v>35</v>
      </c>
      <c r="J3672" s="13" t="n">
        <v>100</v>
      </c>
      <c r="K3672" s="14" t="n">
        <f aca="false">I3672*J3672</f>
        <v>3500</v>
      </c>
      <c r="L3672" s="14" t="n">
        <f aca="false">($L$2*M3672)/100</f>
        <v>300416.625</v>
      </c>
      <c r="M3672" s="15" t="n">
        <v>0.25</v>
      </c>
      <c r="N3672" s="9" t="s">
        <v>20</v>
      </c>
    </row>
    <row r="3673" customFormat="false" ht="14.25" hidden="false" customHeight="true" outlineLevel="0" collapsed="false">
      <c r="B3673" s="9" t="s">
        <v>28</v>
      </c>
      <c r="C3673" s="9" t="n">
        <v>1185732</v>
      </c>
      <c r="D3673" s="10" t="n">
        <v>44213</v>
      </c>
      <c r="E3673" s="9" t="s">
        <v>17</v>
      </c>
      <c r="F3673" s="9" t="s">
        <v>129</v>
      </c>
      <c r="G3673" s="9" t="s">
        <v>130</v>
      </c>
      <c r="H3673" s="11" t="s">
        <v>24</v>
      </c>
      <c r="I3673" s="12" t="n">
        <v>50</v>
      </c>
      <c r="J3673" s="13" t="n">
        <v>150</v>
      </c>
      <c r="K3673" s="14" t="n">
        <f aca="false">I3673*J3673</f>
        <v>7500</v>
      </c>
      <c r="L3673" s="14" t="n">
        <f aca="false">($L$2*M3673)/100</f>
        <v>300416.625</v>
      </c>
      <c r="M3673" s="15" t="n">
        <v>0.25</v>
      </c>
      <c r="N3673" s="9" t="s">
        <v>20</v>
      </c>
    </row>
    <row r="3674" customFormat="false" ht="14.25" hidden="false" customHeight="true" outlineLevel="0" collapsed="false">
      <c r="B3674" s="9" t="s">
        <v>28</v>
      </c>
      <c r="C3674" s="9" t="n">
        <v>1185732</v>
      </c>
      <c r="D3674" s="10" t="n">
        <v>44213</v>
      </c>
      <c r="E3674" s="9" t="s">
        <v>17</v>
      </c>
      <c r="F3674" s="9" t="s">
        <v>129</v>
      </c>
      <c r="G3674" s="9" t="s">
        <v>130</v>
      </c>
      <c r="H3674" s="11" t="s">
        <v>25</v>
      </c>
      <c r="I3674" s="12" t="n">
        <v>40</v>
      </c>
      <c r="J3674" s="13" t="n">
        <v>250</v>
      </c>
      <c r="K3674" s="14" t="n">
        <f aca="false">I3674*J3674</f>
        <v>10000</v>
      </c>
      <c r="L3674" s="14" t="n">
        <f aca="false">($L$2*M3674)/100</f>
        <v>360499.95</v>
      </c>
      <c r="M3674" s="15" t="n">
        <v>0.3</v>
      </c>
      <c r="N3674" s="9" t="s">
        <v>20</v>
      </c>
    </row>
    <row r="3675" customFormat="false" ht="14.25" hidden="false" customHeight="true" outlineLevel="0" collapsed="false">
      <c r="B3675" s="9" t="s">
        <v>28</v>
      </c>
      <c r="C3675" s="9" t="n">
        <v>1185732</v>
      </c>
      <c r="D3675" s="10" t="n">
        <v>44242</v>
      </c>
      <c r="E3675" s="9" t="s">
        <v>17</v>
      </c>
      <c r="F3675" s="9" t="s">
        <v>129</v>
      </c>
      <c r="G3675" s="9" t="s">
        <v>130</v>
      </c>
      <c r="H3675" s="11" t="s">
        <v>19</v>
      </c>
      <c r="I3675" s="12" t="n">
        <v>40</v>
      </c>
      <c r="J3675" s="13" t="n">
        <v>500</v>
      </c>
      <c r="K3675" s="14" t="n">
        <f aca="false">I3675*J3675</f>
        <v>20000</v>
      </c>
      <c r="L3675" s="14" t="n">
        <f aca="false">($L$2*M3675)/100</f>
        <v>360499.95</v>
      </c>
      <c r="M3675" s="15" t="n">
        <v>0.3</v>
      </c>
      <c r="N3675" s="9" t="s">
        <v>20</v>
      </c>
    </row>
    <row r="3676" customFormat="false" ht="14.25" hidden="false" customHeight="true" outlineLevel="0" collapsed="false">
      <c r="B3676" s="9" t="s">
        <v>28</v>
      </c>
      <c r="C3676" s="9" t="n">
        <v>1185732</v>
      </c>
      <c r="D3676" s="10" t="n">
        <v>44242</v>
      </c>
      <c r="E3676" s="9" t="s">
        <v>17</v>
      </c>
      <c r="F3676" s="9" t="s">
        <v>129</v>
      </c>
      <c r="G3676" s="9" t="s">
        <v>130</v>
      </c>
      <c r="H3676" s="11" t="s">
        <v>21</v>
      </c>
      <c r="I3676" s="12" t="n">
        <v>40</v>
      </c>
      <c r="J3676" s="13" t="n">
        <v>150</v>
      </c>
      <c r="K3676" s="14" t="n">
        <f aca="false">I3676*J3676</f>
        <v>6000</v>
      </c>
      <c r="L3676" s="14" t="n">
        <f aca="false">($L$2*M3676)/100</f>
        <v>360499.95</v>
      </c>
      <c r="M3676" s="15" t="n">
        <v>0.3</v>
      </c>
      <c r="N3676" s="9" t="s">
        <v>20</v>
      </c>
    </row>
    <row r="3677" customFormat="false" ht="14.25" hidden="false" customHeight="true" outlineLevel="0" collapsed="false">
      <c r="B3677" s="9" t="s">
        <v>28</v>
      </c>
      <c r="C3677" s="9" t="n">
        <v>1185732</v>
      </c>
      <c r="D3677" s="10" t="n">
        <v>44242</v>
      </c>
      <c r="E3677" s="9" t="s">
        <v>17</v>
      </c>
      <c r="F3677" s="9" t="s">
        <v>129</v>
      </c>
      <c r="G3677" s="9" t="s">
        <v>130</v>
      </c>
      <c r="H3677" s="11" t="s">
        <v>22</v>
      </c>
      <c r="I3677" s="12" t="n">
        <v>30</v>
      </c>
      <c r="J3677" s="13" t="n">
        <v>200</v>
      </c>
      <c r="K3677" s="14" t="n">
        <f aca="false">I3677*J3677</f>
        <v>6000</v>
      </c>
      <c r="L3677" s="14" t="n">
        <f aca="false">($L$2*M3677)/100</f>
        <v>300416.625</v>
      </c>
      <c r="M3677" s="15" t="n">
        <v>0.25</v>
      </c>
      <c r="N3677" s="9" t="s">
        <v>20</v>
      </c>
    </row>
    <row r="3678" customFormat="false" ht="14.25" hidden="false" customHeight="true" outlineLevel="0" collapsed="false">
      <c r="B3678" s="9" t="s">
        <v>28</v>
      </c>
      <c r="C3678" s="9" t="n">
        <v>1185732</v>
      </c>
      <c r="D3678" s="10" t="n">
        <v>44242</v>
      </c>
      <c r="E3678" s="9" t="s">
        <v>17</v>
      </c>
      <c r="F3678" s="9" t="s">
        <v>131</v>
      </c>
      <c r="G3678" s="9" t="s">
        <v>132</v>
      </c>
      <c r="H3678" s="11" t="s">
        <v>23</v>
      </c>
      <c r="I3678" s="12" t="n">
        <v>35</v>
      </c>
      <c r="J3678" s="13" t="n">
        <v>250</v>
      </c>
      <c r="K3678" s="14" t="n">
        <f aca="false">I3678*J3678</f>
        <v>8750</v>
      </c>
      <c r="L3678" s="14" t="n">
        <f aca="false">($L$2*M3678)/100</f>
        <v>300416.625</v>
      </c>
      <c r="M3678" s="15" t="n">
        <v>0.25</v>
      </c>
      <c r="N3678" s="9" t="s">
        <v>20</v>
      </c>
    </row>
    <row r="3679" customFormat="false" ht="14.25" hidden="false" customHeight="true" outlineLevel="0" collapsed="false">
      <c r="B3679" s="9" t="s">
        <v>28</v>
      </c>
      <c r="C3679" s="9" t="n">
        <v>1185732</v>
      </c>
      <c r="D3679" s="10" t="n">
        <v>44242</v>
      </c>
      <c r="E3679" s="9" t="s">
        <v>17</v>
      </c>
      <c r="F3679" s="9" t="s">
        <v>131</v>
      </c>
      <c r="G3679" s="9" t="s">
        <v>132</v>
      </c>
      <c r="H3679" s="11" t="s">
        <v>24</v>
      </c>
      <c r="I3679" s="12" t="n">
        <v>50</v>
      </c>
      <c r="J3679" s="13" t="n">
        <v>150</v>
      </c>
      <c r="K3679" s="14" t="n">
        <f aca="false">I3679*J3679</f>
        <v>7500</v>
      </c>
      <c r="L3679" s="14" t="n">
        <f aca="false">($L$2*M3679)/100</f>
        <v>300416.625</v>
      </c>
      <c r="M3679" s="15" t="n">
        <v>0.25</v>
      </c>
      <c r="N3679" s="9" t="s">
        <v>20</v>
      </c>
    </row>
    <row r="3680" customFormat="false" ht="14.25" hidden="false" customHeight="true" outlineLevel="0" collapsed="false">
      <c r="B3680" s="9" t="s">
        <v>28</v>
      </c>
      <c r="C3680" s="9" t="n">
        <v>1185732</v>
      </c>
      <c r="D3680" s="10" t="n">
        <v>44242</v>
      </c>
      <c r="E3680" s="9" t="s">
        <v>17</v>
      </c>
      <c r="F3680" s="9" t="s">
        <v>131</v>
      </c>
      <c r="G3680" s="9" t="s">
        <v>132</v>
      </c>
      <c r="H3680" s="11" t="s">
        <v>25</v>
      </c>
      <c r="I3680" s="12" t="n">
        <v>40</v>
      </c>
      <c r="J3680" s="13" t="n">
        <v>250</v>
      </c>
      <c r="K3680" s="14" t="n">
        <f aca="false">I3680*J3680</f>
        <v>10000</v>
      </c>
      <c r="L3680" s="14" t="n">
        <f aca="false">($L$2*M3680)/100</f>
        <v>360499.95</v>
      </c>
      <c r="M3680" s="15" t="n">
        <v>0.3</v>
      </c>
      <c r="N3680" s="9" t="s">
        <v>20</v>
      </c>
    </row>
    <row r="3681" customFormat="false" ht="14.25" hidden="false" customHeight="true" outlineLevel="0" collapsed="false">
      <c r="B3681" s="9" t="s">
        <v>28</v>
      </c>
      <c r="C3681" s="9" t="n">
        <v>1185732</v>
      </c>
      <c r="D3681" s="10" t="n">
        <v>44268</v>
      </c>
      <c r="E3681" s="9" t="s">
        <v>17</v>
      </c>
      <c r="F3681" s="9" t="s">
        <v>131</v>
      </c>
      <c r="G3681" s="9" t="s">
        <v>132</v>
      </c>
      <c r="H3681" s="11" t="s">
        <v>19</v>
      </c>
      <c r="I3681" s="12" t="n">
        <v>40</v>
      </c>
      <c r="J3681" s="13" t="n">
        <v>470</v>
      </c>
      <c r="K3681" s="14" t="n">
        <f aca="false">I3681*J3681</f>
        <v>18800</v>
      </c>
      <c r="L3681" s="14" t="n">
        <f aca="false">($L$2*M3681)/100</f>
        <v>360499.95</v>
      </c>
      <c r="M3681" s="15" t="n">
        <v>0.3</v>
      </c>
      <c r="N3681" s="9" t="s">
        <v>20</v>
      </c>
    </row>
    <row r="3682" customFormat="false" ht="14.25" hidden="false" customHeight="true" outlineLevel="0" collapsed="false">
      <c r="B3682" s="9" t="s">
        <v>28</v>
      </c>
      <c r="C3682" s="9" t="n">
        <v>1185732</v>
      </c>
      <c r="D3682" s="10" t="n">
        <v>44268</v>
      </c>
      <c r="E3682" s="9" t="s">
        <v>17</v>
      </c>
      <c r="F3682" s="9" t="s">
        <v>131</v>
      </c>
      <c r="G3682" s="9" t="s">
        <v>132</v>
      </c>
      <c r="H3682" s="11" t="s">
        <v>21</v>
      </c>
      <c r="I3682" s="12" t="n">
        <v>40</v>
      </c>
      <c r="J3682" s="13" t="n">
        <v>175</v>
      </c>
      <c r="K3682" s="14" t="n">
        <f aca="false">I3682*J3682</f>
        <v>7000</v>
      </c>
      <c r="L3682" s="14" t="n">
        <f aca="false">($L$2*M3682)/100</f>
        <v>360499.95</v>
      </c>
      <c r="M3682" s="15" t="n">
        <v>0.3</v>
      </c>
      <c r="N3682" s="9" t="s">
        <v>20</v>
      </c>
    </row>
    <row r="3683" customFormat="false" ht="14.25" hidden="false" customHeight="true" outlineLevel="0" collapsed="false">
      <c r="B3683" s="9" t="s">
        <v>28</v>
      </c>
      <c r="C3683" s="9" t="n">
        <v>1185732</v>
      </c>
      <c r="D3683" s="10" t="n">
        <v>44268</v>
      </c>
      <c r="E3683" s="9" t="s">
        <v>17</v>
      </c>
      <c r="F3683" s="9" t="s">
        <v>131</v>
      </c>
      <c r="G3683" s="9" t="s">
        <v>132</v>
      </c>
      <c r="H3683" s="11" t="s">
        <v>22</v>
      </c>
      <c r="I3683" s="12" t="n">
        <v>30</v>
      </c>
      <c r="J3683" s="13" t="n">
        <v>200</v>
      </c>
      <c r="K3683" s="14" t="n">
        <f aca="false">I3683*J3683</f>
        <v>6000</v>
      </c>
      <c r="L3683" s="14" t="n">
        <f aca="false">($L$2*M3683)/100</f>
        <v>300416.625</v>
      </c>
      <c r="M3683" s="15" t="n">
        <v>0.25</v>
      </c>
      <c r="N3683" s="9" t="s">
        <v>20</v>
      </c>
    </row>
    <row r="3684" customFormat="false" ht="14.25" hidden="false" customHeight="true" outlineLevel="0" collapsed="false">
      <c r="B3684" s="9" t="s">
        <v>28</v>
      </c>
      <c r="C3684" s="9" t="n">
        <v>1185732</v>
      </c>
      <c r="D3684" s="10" t="n">
        <v>44268</v>
      </c>
      <c r="E3684" s="9" t="s">
        <v>17</v>
      </c>
      <c r="F3684" s="9" t="s">
        <v>131</v>
      </c>
      <c r="G3684" s="9" t="s">
        <v>132</v>
      </c>
      <c r="H3684" s="11" t="s">
        <v>23</v>
      </c>
      <c r="I3684" s="12" t="n">
        <v>35</v>
      </c>
      <c r="J3684" s="13" t="n">
        <v>300</v>
      </c>
      <c r="K3684" s="14" t="n">
        <f aca="false">I3684*J3684</f>
        <v>10500</v>
      </c>
      <c r="L3684" s="14" t="n">
        <f aca="false">($L$2*M3684)/100</f>
        <v>300416.625</v>
      </c>
      <c r="M3684" s="15" t="n">
        <v>0.25</v>
      </c>
      <c r="N3684" s="9" t="s">
        <v>20</v>
      </c>
    </row>
    <row r="3685" customFormat="false" ht="14.25" hidden="false" customHeight="true" outlineLevel="0" collapsed="false">
      <c r="B3685" s="9" t="s">
        <v>28</v>
      </c>
      <c r="C3685" s="9" t="n">
        <v>1185732</v>
      </c>
      <c r="D3685" s="10" t="n">
        <v>44268</v>
      </c>
      <c r="E3685" s="9" t="s">
        <v>17</v>
      </c>
      <c r="F3685" s="9" t="s">
        <v>131</v>
      </c>
      <c r="G3685" s="9" t="s">
        <v>132</v>
      </c>
      <c r="H3685" s="11" t="s">
        <v>24</v>
      </c>
      <c r="I3685" s="12" t="n">
        <v>50</v>
      </c>
      <c r="J3685" s="13" t="n">
        <v>100</v>
      </c>
      <c r="K3685" s="14" t="n">
        <f aca="false">I3685*J3685</f>
        <v>5000</v>
      </c>
      <c r="L3685" s="14" t="n">
        <f aca="false">($L$2*M3685)/100</f>
        <v>300416.625</v>
      </c>
      <c r="M3685" s="15" t="n">
        <v>0.25</v>
      </c>
      <c r="N3685" s="9" t="s">
        <v>20</v>
      </c>
    </row>
    <row r="3686" customFormat="false" ht="14.25" hidden="false" customHeight="true" outlineLevel="0" collapsed="false">
      <c r="B3686" s="9" t="s">
        <v>28</v>
      </c>
      <c r="C3686" s="9" t="n">
        <v>1185732</v>
      </c>
      <c r="D3686" s="10" t="n">
        <v>44268</v>
      </c>
      <c r="E3686" s="9" t="s">
        <v>17</v>
      </c>
      <c r="F3686" s="9" t="s">
        <v>131</v>
      </c>
      <c r="G3686" s="9" t="s">
        <v>132</v>
      </c>
      <c r="H3686" s="11" t="s">
        <v>25</v>
      </c>
      <c r="I3686" s="12" t="n">
        <v>40</v>
      </c>
      <c r="J3686" s="13" t="n">
        <v>200</v>
      </c>
      <c r="K3686" s="14" t="n">
        <f aca="false">I3686*J3686</f>
        <v>8000</v>
      </c>
      <c r="L3686" s="14" t="n">
        <f aca="false">($L$2*M3686)/100</f>
        <v>360499.95</v>
      </c>
      <c r="M3686" s="15" t="n">
        <v>0.3</v>
      </c>
      <c r="N3686" s="9" t="s">
        <v>20</v>
      </c>
    </row>
    <row r="3687" customFormat="false" ht="14.25" hidden="false" customHeight="true" outlineLevel="0" collapsed="false">
      <c r="B3687" s="9" t="s">
        <v>28</v>
      </c>
      <c r="C3687" s="9" t="n">
        <v>1185732</v>
      </c>
      <c r="D3687" s="10" t="n">
        <v>44300</v>
      </c>
      <c r="E3687" s="9" t="s">
        <v>17</v>
      </c>
      <c r="F3687" s="9" t="s">
        <v>131</v>
      </c>
      <c r="G3687" s="9" t="s">
        <v>132</v>
      </c>
      <c r="H3687" s="11" t="s">
        <v>19</v>
      </c>
      <c r="I3687" s="12" t="n">
        <v>40</v>
      </c>
      <c r="J3687" s="13" t="n">
        <v>450</v>
      </c>
      <c r="K3687" s="14" t="n">
        <f aca="false">I3687*J3687</f>
        <v>18000</v>
      </c>
      <c r="L3687" s="14" t="n">
        <f aca="false">($L$2*M3687)/100</f>
        <v>360499.95</v>
      </c>
      <c r="M3687" s="15" t="n">
        <v>0.3</v>
      </c>
      <c r="N3687" s="9" t="s">
        <v>20</v>
      </c>
    </row>
    <row r="3688" customFormat="false" ht="14.25" hidden="false" customHeight="true" outlineLevel="0" collapsed="false">
      <c r="B3688" s="9" t="s">
        <v>28</v>
      </c>
      <c r="C3688" s="9" t="n">
        <v>1185732</v>
      </c>
      <c r="D3688" s="10" t="n">
        <v>44300</v>
      </c>
      <c r="E3688" s="9" t="s">
        <v>17</v>
      </c>
      <c r="F3688" s="9" t="s">
        <v>131</v>
      </c>
      <c r="G3688" s="9" t="s">
        <v>132</v>
      </c>
      <c r="H3688" s="11" t="s">
        <v>21</v>
      </c>
      <c r="I3688" s="12" t="n">
        <v>40</v>
      </c>
      <c r="J3688" s="13" t="n">
        <v>150</v>
      </c>
      <c r="K3688" s="14" t="n">
        <f aca="false">I3688*J3688</f>
        <v>6000</v>
      </c>
      <c r="L3688" s="14" t="n">
        <f aca="false">($L$2*M3688)/100</f>
        <v>360499.95</v>
      </c>
      <c r="M3688" s="15" t="n">
        <v>0.3</v>
      </c>
      <c r="N3688" s="9" t="s">
        <v>20</v>
      </c>
    </row>
    <row r="3689" customFormat="false" ht="14.25" hidden="false" customHeight="true" outlineLevel="0" collapsed="false">
      <c r="B3689" s="9" t="s">
        <v>28</v>
      </c>
      <c r="C3689" s="9" t="n">
        <v>1185732</v>
      </c>
      <c r="D3689" s="10" t="n">
        <v>44300</v>
      </c>
      <c r="E3689" s="9" t="s">
        <v>17</v>
      </c>
      <c r="F3689" s="9" t="s">
        <v>131</v>
      </c>
      <c r="G3689" s="9" t="s">
        <v>132</v>
      </c>
      <c r="H3689" s="11" t="s">
        <v>22</v>
      </c>
      <c r="I3689" s="12" t="n">
        <v>30</v>
      </c>
      <c r="J3689" s="13" t="n">
        <v>150</v>
      </c>
      <c r="K3689" s="14" t="n">
        <f aca="false">I3689*J3689</f>
        <v>4500</v>
      </c>
      <c r="L3689" s="14" t="n">
        <f aca="false">($L$2*M3689)/100</f>
        <v>300416.625</v>
      </c>
      <c r="M3689" s="15" t="n">
        <v>0.25</v>
      </c>
      <c r="N3689" s="9" t="s">
        <v>20</v>
      </c>
    </row>
    <row r="3690" customFormat="false" ht="14.25" hidden="false" customHeight="true" outlineLevel="0" collapsed="false">
      <c r="B3690" s="9" t="s">
        <v>28</v>
      </c>
      <c r="C3690" s="9" t="n">
        <v>1185732</v>
      </c>
      <c r="D3690" s="10" t="n">
        <v>44300</v>
      </c>
      <c r="E3690" s="9" t="s">
        <v>17</v>
      </c>
      <c r="F3690" s="9" t="s">
        <v>131</v>
      </c>
      <c r="G3690" s="9" t="s">
        <v>132</v>
      </c>
      <c r="H3690" s="11" t="s">
        <v>23</v>
      </c>
      <c r="I3690" s="12" t="n">
        <v>35</v>
      </c>
      <c r="J3690" s="13" t="n">
        <v>125</v>
      </c>
      <c r="K3690" s="14" t="n">
        <f aca="false">I3690*J3690</f>
        <v>4375</v>
      </c>
      <c r="L3690" s="14" t="n">
        <f aca="false">($L$2*M3690)/100</f>
        <v>300416.625</v>
      </c>
      <c r="M3690" s="15" t="n">
        <v>0.25</v>
      </c>
      <c r="N3690" s="9" t="s">
        <v>20</v>
      </c>
    </row>
    <row r="3691" customFormat="false" ht="14.25" hidden="false" customHeight="true" outlineLevel="0" collapsed="false">
      <c r="B3691" s="9" t="s">
        <v>28</v>
      </c>
      <c r="C3691" s="9" t="n">
        <v>1185732</v>
      </c>
      <c r="D3691" s="10" t="n">
        <v>44300</v>
      </c>
      <c r="E3691" s="9" t="s">
        <v>17</v>
      </c>
      <c r="F3691" s="9" t="s">
        <v>131</v>
      </c>
      <c r="G3691" s="9" t="s">
        <v>132</v>
      </c>
      <c r="H3691" s="11" t="s">
        <v>24</v>
      </c>
      <c r="I3691" s="12" t="n">
        <v>50</v>
      </c>
      <c r="J3691" s="13" t="n">
        <v>125</v>
      </c>
      <c r="K3691" s="14" t="n">
        <f aca="false">I3691*J3691</f>
        <v>6250</v>
      </c>
      <c r="L3691" s="14" t="n">
        <f aca="false">($L$2*M3691)/100</f>
        <v>300416.625</v>
      </c>
      <c r="M3691" s="15" t="n">
        <v>0.25</v>
      </c>
      <c r="N3691" s="9" t="s">
        <v>20</v>
      </c>
    </row>
    <row r="3692" customFormat="false" ht="14.25" hidden="false" customHeight="true" outlineLevel="0" collapsed="false">
      <c r="B3692" s="9" t="s">
        <v>28</v>
      </c>
      <c r="C3692" s="9" t="n">
        <v>1185732</v>
      </c>
      <c r="D3692" s="10" t="n">
        <v>44300</v>
      </c>
      <c r="E3692" s="9" t="s">
        <v>17</v>
      </c>
      <c r="F3692" s="9" t="s">
        <v>131</v>
      </c>
      <c r="G3692" s="9" t="s">
        <v>132</v>
      </c>
      <c r="H3692" s="11" t="s">
        <v>25</v>
      </c>
      <c r="I3692" s="12" t="n">
        <v>40</v>
      </c>
      <c r="J3692" s="13" t="n">
        <v>275</v>
      </c>
      <c r="K3692" s="14" t="n">
        <f aca="false">I3692*J3692</f>
        <v>11000</v>
      </c>
      <c r="L3692" s="14" t="n">
        <f aca="false">($L$2*M3692)/100</f>
        <v>360499.95</v>
      </c>
      <c r="M3692" s="15" t="n">
        <v>0.3</v>
      </c>
      <c r="N3692" s="9" t="s">
        <v>20</v>
      </c>
    </row>
    <row r="3693" customFormat="false" ht="14.25" hidden="false" customHeight="true" outlineLevel="0" collapsed="false">
      <c r="B3693" s="9" t="s">
        <v>28</v>
      </c>
      <c r="C3693" s="9" t="n">
        <v>1185732</v>
      </c>
      <c r="D3693" s="10" t="n">
        <v>44329</v>
      </c>
      <c r="E3693" s="9" t="s">
        <v>17</v>
      </c>
      <c r="F3693" s="9" t="s">
        <v>131</v>
      </c>
      <c r="G3693" s="9" t="s">
        <v>132</v>
      </c>
      <c r="H3693" s="11" t="s">
        <v>19</v>
      </c>
      <c r="I3693" s="12" t="n">
        <v>55</v>
      </c>
      <c r="J3693" s="13" t="n">
        <v>495</v>
      </c>
      <c r="K3693" s="14" t="n">
        <f aca="false">I3693*J3693</f>
        <v>27225</v>
      </c>
      <c r="L3693" s="14" t="n">
        <f aca="false">($L$2*M3693)/100</f>
        <v>360499.95</v>
      </c>
      <c r="M3693" s="15" t="n">
        <v>0.3</v>
      </c>
      <c r="N3693" s="9" t="s">
        <v>20</v>
      </c>
    </row>
    <row r="3694" customFormat="false" ht="14.25" hidden="false" customHeight="true" outlineLevel="0" collapsed="false">
      <c r="B3694" s="9" t="s">
        <v>28</v>
      </c>
      <c r="C3694" s="9" t="n">
        <v>1185732</v>
      </c>
      <c r="D3694" s="10" t="n">
        <v>44329</v>
      </c>
      <c r="E3694" s="9" t="s">
        <v>17</v>
      </c>
      <c r="F3694" s="9" t="s">
        <v>131</v>
      </c>
      <c r="G3694" s="9" t="s">
        <v>132</v>
      </c>
      <c r="H3694" s="11" t="s">
        <v>21</v>
      </c>
      <c r="I3694" s="12" t="n">
        <v>50</v>
      </c>
      <c r="J3694" s="13" t="n">
        <v>200</v>
      </c>
      <c r="K3694" s="14" t="n">
        <f aca="false">I3694*J3694</f>
        <v>10000</v>
      </c>
      <c r="L3694" s="14" t="n">
        <f aca="false">($L$2*M3694)/100</f>
        <v>360499.95</v>
      </c>
      <c r="M3694" s="15" t="n">
        <v>0.3</v>
      </c>
      <c r="N3694" s="9" t="s">
        <v>20</v>
      </c>
    </row>
    <row r="3695" customFormat="false" ht="14.25" hidden="false" customHeight="true" outlineLevel="0" collapsed="false">
      <c r="B3695" s="9" t="s">
        <v>28</v>
      </c>
      <c r="C3695" s="9" t="n">
        <v>1185732</v>
      </c>
      <c r="D3695" s="10" t="n">
        <v>44329</v>
      </c>
      <c r="E3695" s="9" t="s">
        <v>17</v>
      </c>
      <c r="F3695" s="9" t="s">
        <v>131</v>
      </c>
      <c r="G3695" s="9" t="s">
        <v>132</v>
      </c>
      <c r="H3695" s="11" t="s">
        <v>22</v>
      </c>
      <c r="I3695" s="12" t="n">
        <v>45</v>
      </c>
      <c r="J3695" s="13" t="n">
        <v>225</v>
      </c>
      <c r="K3695" s="14" t="n">
        <f aca="false">I3695*J3695</f>
        <v>10125</v>
      </c>
      <c r="L3695" s="14" t="n">
        <f aca="false">($L$2*M3695)/100</f>
        <v>300416.625</v>
      </c>
      <c r="M3695" s="15" t="n">
        <v>0.25</v>
      </c>
      <c r="N3695" s="9" t="s">
        <v>20</v>
      </c>
    </row>
    <row r="3696" customFormat="false" ht="14.25" hidden="false" customHeight="true" outlineLevel="0" collapsed="false">
      <c r="B3696" s="9" t="s">
        <v>28</v>
      </c>
      <c r="C3696" s="9" t="n">
        <v>1185732</v>
      </c>
      <c r="D3696" s="10" t="n">
        <v>44329</v>
      </c>
      <c r="E3696" s="9" t="s">
        <v>17</v>
      </c>
      <c r="F3696" s="9" t="s">
        <v>131</v>
      </c>
      <c r="G3696" s="9" t="s">
        <v>132</v>
      </c>
      <c r="H3696" s="11" t="s">
        <v>23</v>
      </c>
      <c r="I3696" s="12" t="n">
        <v>45</v>
      </c>
      <c r="J3696" s="13" t="n">
        <v>175</v>
      </c>
      <c r="K3696" s="14" t="n">
        <f aca="false">I3696*J3696</f>
        <v>7875</v>
      </c>
      <c r="L3696" s="14" t="n">
        <f aca="false">($L$2*M3696)/100</f>
        <v>300416.625</v>
      </c>
      <c r="M3696" s="15" t="n">
        <v>0.25</v>
      </c>
      <c r="N3696" s="9" t="s">
        <v>20</v>
      </c>
    </row>
    <row r="3697" customFormat="false" ht="14.25" hidden="false" customHeight="true" outlineLevel="0" collapsed="false">
      <c r="B3697" s="9" t="s">
        <v>28</v>
      </c>
      <c r="C3697" s="9" t="n">
        <v>1185732</v>
      </c>
      <c r="D3697" s="10" t="n">
        <v>44329</v>
      </c>
      <c r="E3697" s="9" t="s">
        <v>17</v>
      </c>
      <c r="F3697" s="9" t="s">
        <v>131</v>
      </c>
      <c r="G3697" s="9" t="s">
        <v>132</v>
      </c>
      <c r="H3697" s="11" t="s">
        <v>24</v>
      </c>
      <c r="I3697" s="12" t="n">
        <v>55</v>
      </c>
      <c r="J3697" s="13" t="n">
        <v>200</v>
      </c>
      <c r="K3697" s="14" t="n">
        <f aca="false">I3697*J3697</f>
        <v>11000</v>
      </c>
      <c r="L3697" s="14" t="n">
        <f aca="false">($L$2*M3697)/100</f>
        <v>300416.625</v>
      </c>
      <c r="M3697" s="15" t="n">
        <v>0.25</v>
      </c>
      <c r="N3697" s="9" t="s">
        <v>20</v>
      </c>
    </row>
    <row r="3698" customFormat="false" ht="14.25" hidden="false" customHeight="true" outlineLevel="0" collapsed="false">
      <c r="B3698" s="9" t="s">
        <v>28</v>
      </c>
      <c r="C3698" s="9" t="n">
        <v>1185732</v>
      </c>
      <c r="D3698" s="10" t="n">
        <v>44329</v>
      </c>
      <c r="E3698" s="9" t="s">
        <v>17</v>
      </c>
      <c r="F3698" s="9" t="s">
        <v>131</v>
      </c>
      <c r="G3698" s="9" t="s">
        <v>132</v>
      </c>
      <c r="H3698" s="11" t="s">
        <v>25</v>
      </c>
      <c r="I3698" s="12" t="n">
        <v>60</v>
      </c>
      <c r="J3698" s="13" t="n">
        <v>325</v>
      </c>
      <c r="K3698" s="14" t="n">
        <f aca="false">I3698*J3698</f>
        <v>19500</v>
      </c>
      <c r="L3698" s="14" t="n">
        <f aca="false">($L$2*M3698)/100</f>
        <v>360499.95</v>
      </c>
      <c r="M3698" s="15" t="n">
        <v>0.3</v>
      </c>
      <c r="N3698" s="9" t="s">
        <v>20</v>
      </c>
    </row>
    <row r="3699" customFormat="false" ht="14.25" hidden="false" customHeight="true" outlineLevel="0" collapsed="false">
      <c r="B3699" s="9" t="s">
        <v>28</v>
      </c>
      <c r="C3699" s="9" t="n">
        <v>1185732</v>
      </c>
      <c r="D3699" s="10" t="n">
        <v>44362</v>
      </c>
      <c r="E3699" s="9" t="s">
        <v>17</v>
      </c>
      <c r="F3699" s="9" t="s">
        <v>131</v>
      </c>
      <c r="G3699" s="9" t="s">
        <v>132</v>
      </c>
      <c r="H3699" s="11" t="s">
        <v>19</v>
      </c>
      <c r="I3699" s="12" t="n">
        <v>55</v>
      </c>
      <c r="J3699" s="13" t="n">
        <v>575</v>
      </c>
      <c r="K3699" s="14" t="n">
        <f aca="false">I3699*J3699</f>
        <v>31625</v>
      </c>
      <c r="L3699" s="14" t="n">
        <f aca="false">($L$2*M3699)/100</f>
        <v>360499.95</v>
      </c>
      <c r="M3699" s="15" t="n">
        <v>0.3</v>
      </c>
      <c r="N3699" s="9" t="s">
        <v>20</v>
      </c>
    </row>
    <row r="3700" customFormat="false" ht="14.25" hidden="false" customHeight="true" outlineLevel="0" collapsed="false">
      <c r="B3700" s="9" t="s">
        <v>28</v>
      </c>
      <c r="C3700" s="9" t="n">
        <v>1185732</v>
      </c>
      <c r="D3700" s="10" t="n">
        <v>44362</v>
      </c>
      <c r="E3700" s="9" t="s">
        <v>17</v>
      </c>
      <c r="F3700" s="9" t="s">
        <v>131</v>
      </c>
      <c r="G3700" s="9" t="s">
        <v>132</v>
      </c>
      <c r="H3700" s="11" t="s">
        <v>21</v>
      </c>
      <c r="I3700" s="12" t="n">
        <v>50</v>
      </c>
      <c r="J3700" s="13" t="n">
        <v>325</v>
      </c>
      <c r="K3700" s="14" t="n">
        <f aca="false">I3700*J3700</f>
        <v>16250</v>
      </c>
      <c r="L3700" s="14" t="n">
        <f aca="false">($L$2*M3700)/100</f>
        <v>360499.95</v>
      </c>
      <c r="M3700" s="15" t="n">
        <v>0.3</v>
      </c>
      <c r="N3700" s="9" t="s">
        <v>20</v>
      </c>
    </row>
    <row r="3701" customFormat="false" ht="14.25" hidden="false" customHeight="true" outlineLevel="0" collapsed="false">
      <c r="B3701" s="9" t="s">
        <v>28</v>
      </c>
      <c r="C3701" s="9" t="n">
        <v>1185732</v>
      </c>
      <c r="D3701" s="10" t="n">
        <v>44362</v>
      </c>
      <c r="E3701" s="9" t="s">
        <v>17</v>
      </c>
      <c r="F3701" s="9" t="s">
        <v>131</v>
      </c>
      <c r="G3701" s="9" t="s">
        <v>132</v>
      </c>
      <c r="H3701" s="11" t="s">
        <v>22</v>
      </c>
      <c r="I3701" s="12" t="n">
        <v>45</v>
      </c>
      <c r="J3701" s="13" t="n">
        <v>250</v>
      </c>
      <c r="K3701" s="14" t="n">
        <f aca="false">I3701*J3701</f>
        <v>11250</v>
      </c>
      <c r="L3701" s="14" t="n">
        <f aca="false">($L$2*M3701)/100</f>
        <v>300416.625</v>
      </c>
      <c r="M3701" s="15" t="n">
        <v>0.25</v>
      </c>
      <c r="N3701" s="9" t="s">
        <v>20</v>
      </c>
    </row>
    <row r="3702" customFormat="false" ht="14.25" hidden="false" customHeight="true" outlineLevel="0" collapsed="false">
      <c r="B3702" s="9" t="s">
        <v>28</v>
      </c>
      <c r="C3702" s="9" t="n">
        <v>1185732</v>
      </c>
      <c r="D3702" s="10" t="n">
        <v>44362</v>
      </c>
      <c r="E3702" s="9" t="s">
        <v>17</v>
      </c>
      <c r="F3702" s="9" t="s">
        <v>131</v>
      </c>
      <c r="G3702" s="9" t="s">
        <v>132</v>
      </c>
      <c r="H3702" s="11" t="s">
        <v>23</v>
      </c>
      <c r="I3702" s="12" t="n">
        <v>45</v>
      </c>
      <c r="J3702" s="13" t="n">
        <v>225</v>
      </c>
      <c r="K3702" s="14" t="n">
        <f aca="false">I3702*J3702</f>
        <v>10125</v>
      </c>
      <c r="L3702" s="14" t="n">
        <f aca="false">($L$2*M3702)/100</f>
        <v>300416.625</v>
      </c>
      <c r="M3702" s="15" t="n">
        <v>0.25</v>
      </c>
      <c r="N3702" s="9" t="s">
        <v>20</v>
      </c>
    </row>
    <row r="3703" customFormat="false" ht="14.25" hidden="false" customHeight="true" outlineLevel="0" collapsed="false">
      <c r="B3703" s="9" t="s">
        <v>28</v>
      </c>
      <c r="C3703" s="9" t="n">
        <v>1185732</v>
      </c>
      <c r="D3703" s="10" t="n">
        <v>44362</v>
      </c>
      <c r="E3703" s="9" t="s">
        <v>17</v>
      </c>
      <c r="F3703" s="9" t="s">
        <v>131</v>
      </c>
      <c r="G3703" s="9" t="s">
        <v>132</v>
      </c>
      <c r="H3703" s="11" t="s">
        <v>24</v>
      </c>
      <c r="I3703" s="12" t="n">
        <v>55</v>
      </c>
      <c r="J3703" s="13" t="n">
        <v>225</v>
      </c>
      <c r="K3703" s="14" t="n">
        <f aca="false">I3703*J3703</f>
        <v>12375</v>
      </c>
      <c r="L3703" s="14" t="n">
        <f aca="false">($L$2*M3703)/100</f>
        <v>300416.625</v>
      </c>
      <c r="M3703" s="15" t="n">
        <v>0.25</v>
      </c>
      <c r="N3703" s="9" t="s">
        <v>20</v>
      </c>
    </row>
    <row r="3704" customFormat="false" ht="14.25" hidden="false" customHeight="true" outlineLevel="0" collapsed="false">
      <c r="B3704" s="9" t="s">
        <v>28</v>
      </c>
      <c r="C3704" s="9" t="n">
        <v>1185732</v>
      </c>
      <c r="D3704" s="10" t="n">
        <v>44362</v>
      </c>
      <c r="E3704" s="9" t="s">
        <v>17</v>
      </c>
      <c r="F3704" s="9" t="s">
        <v>131</v>
      </c>
      <c r="G3704" s="9" t="s">
        <v>132</v>
      </c>
      <c r="H3704" s="11" t="s">
        <v>25</v>
      </c>
      <c r="I3704" s="12" t="n">
        <v>60</v>
      </c>
      <c r="J3704" s="13" t="n">
        <v>375</v>
      </c>
      <c r="K3704" s="14" t="n">
        <f aca="false">I3704*J3704</f>
        <v>22500</v>
      </c>
      <c r="L3704" s="14" t="n">
        <f aca="false">($L$2*M3704)/100</f>
        <v>360499.95</v>
      </c>
      <c r="M3704" s="15" t="n">
        <v>0.3</v>
      </c>
      <c r="N3704" s="9" t="s">
        <v>20</v>
      </c>
    </row>
    <row r="3705" customFormat="false" ht="14.25" hidden="false" customHeight="true" outlineLevel="0" collapsed="false">
      <c r="B3705" s="9" t="s">
        <v>28</v>
      </c>
      <c r="C3705" s="9" t="n">
        <v>1185732</v>
      </c>
      <c r="D3705" s="10" t="n">
        <v>44390</v>
      </c>
      <c r="E3705" s="9" t="s">
        <v>17</v>
      </c>
      <c r="F3705" s="9" t="s">
        <v>131</v>
      </c>
      <c r="G3705" s="9" t="s">
        <v>132</v>
      </c>
      <c r="H3705" s="11" t="s">
        <v>19</v>
      </c>
      <c r="I3705" s="12" t="n">
        <v>55</v>
      </c>
      <c r="J3705" s="13" t="n">
        <v>600</v>
      </c>
      <c r="K3705" s="14" t="n">
        <f aca="false">I3705*J3705</f>
        <v>33000</v>
      </c>
      <c r="L3705" s="14" t="n">
        <f aca="false">($L$2*M3705)/100</f>
        <v>360499.95</v>
      </c>
      <c r="M3705" s="15" t="n">
        <v>0.3</v>
      </c>
      <c r="N3705" s="9" t="s">
        <v>20</v>
      </c>
    </row>
    <row r="3706" customFormat="false" ht="14.25" hidden="false" customHeight="true" outlineLevel="0" collapsed="false">
      <c r="B3706" s="9" t="s">
        <v>28</v>
      </c>
      <c r="C3706" s="9" t="n">
        <v>1185732</v>
      </c>
      <c r="D3706" s="10" t="n">
        <v>44390</v>
      </c>
      <c r="E3706" s="9" t="s">
        <v>17</v>
      </c>
      <c r="F3706" s="9" t="s">
        <v>131</v>
      </c>
      <c r="G3706" s="9" t="s">
        <v>132</v>
      </c>
      <c r="H3706" s="11" t="s">
        <v>21</v>
      </c>
      <c r="I3706" s="12" t="n">
        <v>50</v>
      </c>
      <c r="J3706" s="13" t="n">
        <v>350</v>
      </c>
      <c r="K3706" s="14" t="n">
        <f aca="false">I3706*J3706</f>
        <v>17500</v>
      </c>
      <c r="L3706" s="14" t="n">
        <f aca="false">($L$2*M3706)/100</f>
        <v>360499.95</v>
      </c>
      <c r="M3706" s="15" t="n">
        <v>0.3</v>
      </c>
      <c r="N3706" s="9" t="s">
        <v>20</v>
      </c>
    </row>
    <row r="3707" customFormat="false" ht="14.25" hidden="false" customHeight="true" outlineLevel="0" collapsed="false">
      <c r="B3707" s="9" t="s">
        <v>28</v>
      </c>
      <c r="C3707" s="9" t="n">
        <v>1185732</v>
      </c>
      <c r="D3707" s="10" t="n">
        <v>44390</v>
      </c>
      <c r="E3707" s="9" t="s">
        <v>17</v>
      </c>
      <c r="F3707" s="9" t="s">
        <v>131</v>
      </c>
      <c r="G3707" s="9" t="s">
        <v>132</v>
      </c>
      <c r="H3707" s="11" t="s">
        <v>22</v>
      </c>
      <c r="I3707" s="12" t="n">
        <v>45</v>
      </c>
      <c r="J3707" s="13" t="n">
        <v>275</v>
      </c>
      <c r="K3707" s="14" t="n">
        <f aca="false">I3707*J3707</f>
        <v>12375</v>
      </c>
      <c r="L3707" s="14" t="n">
        <f aca="false">($L$2*M3707)/100</f>
        <v>300416.625</v>
      </c>
      <c r="M3707" s="15" t="n">
        <v>0.25</v>
      </c>
      <c r="N3707" s="9" t="s">
        <v>20</v>
      </c>
    </row>
    <row r="3708" customFormat="false" ht="14.25" hidden="false" customHeight="true" outlineLevel="0" collapsed="false">
      <c r="B3708" s="9" t="s">
        <v>28</v>
      </c>
      <c r="C3708" s="9" t="n">
        <v>1185732</v>
      </c>
      <c r="D3708" s="10" t="n">
        <v>44390</v>
      </c>
      <c r="E3708" s="9" t="s">
        <v>17</v>
      </c>
      <c r="F3708" s="9" t="s">
        <v>131</v>
      </c>
      <c r="G3708" s="9" t="s">
        <v>132</v>
      </c>
      <c r="H3708" s="11" t="s">
        <v>23</v>
      </c>
      <c r="I3708" s="12" t="n">
        <v>45</v>
      </c>
      <c r="J3708" s="13" t="n">
        <v>225</v>
      </c>
      <c r="K3708" s="14" t="n">
        <f aca="false">I3708*J3708</f>
        <v>10125</v>
      </c>
      <c r="L3708" s="14" t="n">
        <f aca="false">($L$2*M3708)/100</f>
        <v>300416.625</v>
      </c>
      <c r="M3708" s="15" t="n">
        <v>0.25</v>
      </c>
      <c r="N3708" s="9" t="s">
        <v>20</v>
      </c>
    </row>
    <row r="3709" customFormat="false" ht="14.25" hidden="false" customHeight="true" outlineLevel="0" collapsed="false">
      <c r="B3709" s="9" t="s">
        <v>28</v>
      </c>
      <c r="C3709" s="9" t="n">
        <v>1185732</v>
      </c>
      <c r="D3709" s="10" t="n">
        <v>44390</v>
      </c>
      <c r="E3709" s="9" t="s">
        <v>17</v>
      </c>
      <c r="F3709" s="9" t="s">
        <v>131</v>
      </c>
      <c r="G3709" s="9" t="s">
        <v>132</v>
      </c>
      <c r="H3709" s="11" t="s">
        <v>24</v>
      </c>
      <c r="I3709" s="12" t="n">
        <v>55</v>
      </c>
      <c r="J3709" s="13" t="n">
        <v>250</v>
      </c>
      <c r="K3709" s="14" t="n">
        <f aca="false">I3709*J3709</f>
        <v>13750</v>
      </c>
      <c r="L3709" s="14" t="n">
        <f aca="false">($L$2*M3709)/100</f>
        <v>300416.625</v>
      </c>
      <c r="M3709" s="15" t="n">
        <v>0.25</v>
      </c>
      <c r="N3709" s="9" t="s">
        <v>20</v>
      </c>
    </row>
    <row r="3710" customFormat="false" ht="14.25" hidden="false" customHeight="true" outlineLevel="0" collapsed="false">
      <c r="B3710" s="9" t="s">
        <v>28</v>
      </c>
      <c r="C3710" s="9" t="n">
        <v>1185732</v>
      </c>
      <c r="D3710" s="10" t="n">
        <v>44390</v>
      </c>
      <c r="E3710" s="9" t="s">
        <v>17</v>
      </c>
      <c r="F3710" s="9" t="s">
        <v>131</v>
      </c>
      <c r="G3710" s="9" t="s">
        <v>132</v>
      </c>
      <c r="H3710" s="11" t="s">
        <v>25</v>
      </c>
      <c r="I3710" s="12" t="n">
        <v>60</v>
      </c>
      <c r="J3710" s="13" t="n">
        <v>425</v>
      </c>
      <c r="K3710" s="14" t="n">
        <f aca="false">I3710*J3710</f>
        <v>25500</v>
      </c>
      <c r="L3710" s="14" t="n">
        <f aca="false">($L$2*M3710)/100</f>
        <v>360499.95</v>
      </c>
      <c r="M3710" s="15" t="n">
        <v>0.3</v>
      </c>
      <c r="N3710" s="9" t="s">
        <v>20</v>
      </c>
    </row>
    <row r="3711" customFormat="false" ht="14.25" hidden="false" customHeight="true" outlineLevel="0" collapsed="false">
      <c r="B3711" s="9" t="s">
        <v>28</v>
      </c>
      <c r="C3711" s="9" t="n">
        <v>1185732</v>
      </c>
      <c r="D3711" s="10" t="n">
        <v>44422</v>
      </c>
      <c r="E3711" s="9" t="s">
        <v>17</v>
      </c>
      <c r="F3711" s="9" t="s">
        <v>131</v>
      </c>
      <c r="G3711" s="9" t="s">
        <v>132</v>
      </c>
      <c r="H3711" s="11" t="s">
        <v>19</v>
      </c>
      <c r="I3711" s="12" t="n">
        <v>55</v>
      </c>
      <c r="J3711" s="13" t="n">
        <v>575</v>
      </c>
      <c r="K3711" s="14" t="n">
        <f aca="false">I3711*J3711</f>
        <v>31625</v>
      </c>
      <c r="L3711" s="14" t="n">
        <f aca="false">($L$2*M3711)/100</f>
        <v>360499.95</v>
      </c>
      <c r="M3711" s="15" t="n">
        <v>0.3</v>
      </c>
      <c r="N3711" s="9" t="s">
        <v>20</v>
      </c>
    </row>
    <row r="3712" customFormat="false" ht="14.25" hidden="false" customHeight="true" outlineLevel="0" collapsed="false">
      <c r="B3712" s="9" t="s">
        <v>28</v>
      </c>
      <c r="C3712" s="9" t="n">
        <v>1185732</v>
      </c>
      <c r="D3712" s="10" t="n">
        <v>44422</v>
      </c>
      <c r="E3712" s="9" t="s">
        <v>17</v>
      </c>
      <c r="F3712" s="9" t="s">
        <v>131</v>
      </c>
      <c r="G3712" s="9" t="s">
        <v>132</v>
      </c>
      <c r="H3712" s="11" t="s">
        <v>21</v>
      </c>
      <c r="I3712" s="12" t="n">
        <v>50</v>
      </c>
      <c r="J3712" s="13" t="n">
        <v>350</v>
      </c>
      <c r="K3712" s="14" t="n">
        <f aca="false">I3712*J3712</f>
        <v>17500</v>
      </c>
      <c r="L3712" s="14" t="n">
        <f aca="false">($L$2*M3712)/100</f>
        <v>360499.95</v>
      </c>
      <c r="M3712" s="15" t="n">
        <v>0.3</v>
      </c>
      <c r="N3712" s="9" t="s">
        <v>20</v>
      </c>
    </row>
    <row r="3713" customFormat="false" ht="14.25" hidden="false" customHeight="true" outlineLevel="0" collapsed="false">
      <c r="B3713" s="9" t="s">
        <v>28</v>
      </c>
      <c r="C3713" s="9" t="n">
        <v>1185732</v>
      </c>
      <c r="D3713" s="10" t="n">
        <v>44422</v>
      </c>
      <c r="E3713" s="9" t="s">
        <v>17</v>
      </c>
      <c r="F3713" s="9" t="s">
        <v>131</v>
      </c>
      <c r="G3713" s="9" t="s">
        <v>132</v>
      </c>
      <c r="H3713" s="11" t="s">
        <v>22</v>
      </c>
      <c r="I3713" s="12" t="n">
        <v>45</v>
      </c>
      <c r="J3713" s="13" t="n">
        <v>275</v>
      </c>
      <c r="K3713" s="14" t="n">
        <f aca="false">I3713*J3713</f>
        <v>12375</v>
      </c>
      <c r="L3713" s="14" t="n">
        <f aca="false">($L$2*M3713)/100</f>
        <v>300416.625</v>
      </c>
      <c r="M3713" s="15" t="n">
        <v>0.25</v>
      </c>
      <c r="N3713" s="9" t="s">
        <v>20</v>
      </c>
    </row>
    <row r="3714" customFormat="false" ht="14.25" hidden="false" customHeight="true" outlineLevel="0" collapsed="false">
      <c r="B3714" s="9" t="s">
        <v>28</v>
      </c>
      <c r="C3714" s="9" t="n">
        <v>1185732</v>
      </c>
      <c r="D3714" s="10" t="n">
        <v>44422</v>
      </c>
      <c r="E3714" s="9" t="s">
        <v>17</v>
      </c>
      <c r="F3714" s="9" t="s">
        <v>131</v>
      </c>
      <c r="G3714" s="9" t="s">
        <v>132</v>
      </c>
      <c r="H3714" s="11" t="s">
        <v>23</v>
      </c>
      <c r="I3714" s="12" t="n">
        <v>45</v>
      </c>
      <c r="J3714" s="13" t="n">
        <v>175</v>
      </c>
      <c r="K3714" s="14" t="n">
        <f aca="false">I3714*J3714</f>
        <v>7875</v>
      </c>
      <c r="L3714" s="14" t="n">
        <f aca="false">($L$2*M3714)/100</f>
        <v>300416.625</v>
      </c>
      <c r="M3714" s="15" t="n">
        <v>0.25</v>
      </c>
      <c r="N3714" s="9" t="s">
        <v>20</v>
      </c>
    </row>
    <row r="3715" customFormat="false" ht="14.25" hidden="false" customHeight="true" outlineLevel="0" collapsed="false">
      <c r="B3715" s="9" t="s">
        <v>28</v>
      </c>
      <c r="C3715" s="9" t="n">
        <v>1185732</v>
      </c>
      <c r="D3715" s="10" t="n">
        <v>44422</v>
      </c>
      <c r="E3715" s="9" t="s">
        <v>17</v>
      </c>
      <c r="F3715" s="9" t="s">
        <v>131</v>
      </c>
      <c r="G3715" s="9" t="s">
        <v>132</v>
      </c>
      <c r="H3715" s="11" t="s">
        <v>24</v>
      </c>
      <c r="I3715" s="12" t="n">
        <v>55</v>
      </c>
      <c r="J3715" s="13" t="n">
        <v>150</v>
      </c>
      <c r="K3715" s="14" t="n">
        <f aca="false">I3715*J3715</f>
        <v>8250</v>
      </c>
      <c r="L3715" s="14" t="n">
        <f aca="false">($L$2*M3715)/100</f>
        <v>300416.625</v>
      </c>
      <c r="M3715" s="15" t="n">
        <v>0.25</v>
      </c>
      <c r="N3715" s="9" t="s">
        <v>20</v>
      </c>
    </row>
    <row r="3716" customFormat="false" ht="14.25" hidden="false" customHeight="true" outlineLevel="0" collapsed="false">
      <c r="B3716" s="9" t="s">
        <v>28</v>
      </c>
      <c r="C3716" s="9" t="n">
        <v>1185732</v>
      </c>
      <c r="D3716" s="10" t="n">
        <v>44422</v>
      </c>
      <c r="E3716" s="9" t="s">
        <v>17</v>
      </c>
      <c r="F3716" s="9" t="s">
        <v>131</v>
      </c>
      <c r="G3716" s="9" t="s">
        <v>132</v>
      </c>
      <c r="H3716" s="11" t="s">
        <v>25</v>
      </c>
      <c r="I3716" s="12" t="n">
        <v>60</v>
      </c>
      <c r="J3716" s="13" t="n">
        <v>325</v>
      </c>
      <c r="K3716" s="14" t="n">
        <f aca="false">I3716*J3716</f>
        <v>19500</v>
      </c>
      <c r="L3716" s="14" t="n">
        <f aca="false">($L$2*M3716)/100</f>
        <v>360499.95</v>
      </c>
      <c r="M3716" s="15" t="n">
        <v>0.3</v>
      </c>
      <c r="N3716" s="9" t="s">
        <v>20</v>
      </c>
    </row>
    <row r="3717" customFormat="false" ht="14.25" hidden="false" customHeight="true" outlineLevel="0" collapsed="false">
      <c r="B3717" s="9" t="s">
        <v>28</v>
      </c>
      <c r="C3717" s="9" t="n">
        <v>1185732</v>
      </c>
      <c r="D3717" s="10" t="n">
        <v>44452</v>
      </c>
      <c r="E3717" s="9" t="s">
        <v>17</v>
      </c>
      <c r="F3717" s="9" t="s">
        <v>131</v>
      </c>
      <c r="G3717" s="9" t="s">
        <v>132</v>
      </c>
      <c r="H3717" s="11" t="s">
        <v>19</v>
      </c>
      <c r="I3717" s="12" t="n">
        <v>55</v>
      </c>
      <c r="J3717" s="13" t="n">
        <v>450</v>
      </c>
      <c r="K3717" s="14" t="n">
        <f aca="false">I3717*J3717</f>
        <v>24750</v>
      </c>
      <c r="L3717" s="14" t="n">
        <f aca="false">($L$2*M3717)/100</f>
        <v>360499.95</v>
      </c>
      <c r="M3717" s="15" t="n">
        <v>0.3</v>
      </c>
      <c r="N3717" s="9" t="s">
        <v>20</v>
      </c>
    </row>
    <row r="3718" customFormat="false" ht="14.25" hidden="false" customHeight="true" outlineLevel="0" collapsed="false">
      <c r="B3718" s="9" t="s">
        <v>28</v>
      </c>
      <c r="C3718" s="9" t="n">
        <v>1185732</v>
      </c>
      <c r="D3718" s="10" t="n">
        <v>44452</v>
      </c>
      <c r="E3718" s="9" t="s">
        <v>17</v>
      </c>
      <c r="F3718" s="9" t="s">
        <v>131</v>
      </c>
      <c r="G3718" s="9" t="s">
        <v>132</v>
      </c>
      <c r="H3718" s="11" t="s">
        <v>21</v>
      </c>
      <c r="I3718" s="12" t="n">
        <v>50</v>
      </c>
      <c r="J3718" s="13" t="n">
        <v>250</v>
      </c>
      <c r="K3718" s="14" t="n">
        <f aca="false">I3718*J3718</f>
        <v>12500</v>
      </c>
      <c r="L3718" s="14" t="n">
        <f aca="false">($L$2*M3718)/100</f>
        <v>360499.95</v>
      </c>
      <c r="M3718" s="15" t="n">
        <v>0.3</v>
      </c>
      <c r="N3718" s="9" t="s">
        <v>20</v>
      </c>
    </row>
    <row r="3719" customFormat="false" ht="14.25" hidden="false" customHeight="true" outlineLevel="0" collapsed="false">
      <c r="B3719" s="9" t="s">
        <v>28</v>
      </c>
      <c r="C3719" s="9" t="n">
        <v>1185732</v>
      </c>
      <c r="D3719" s="10" t="n">
        <v>44452</v>
      </c>
      <c r="E3719" s="9" t="s">
        <v>17</v>
      </c>
      <c r="F3719" s="9" t="s">
        <v>131</v>
      </c>
      <c r="G3719" s="9" t="s">
        <v>132</v>
      </c>
      <c r="H3719" s="11" t="s">
        <v>22</v>
      </c>
      <c r="I3719" s="12" t="n">
        <v>45</v>
      </c>
      <c r="J3719" s="13" t="n">
        <v>150</v>
      </c>
      <c r="K3719" s="14" t="n">
        <f aca="false">I3719*J3719</f>
        <v>6750</v>
      </c>
      <c r="L3719" s="14" t="n">
        <f aca="false">($L$2*M3719)/100</f>
        <v>300416.625</v>
      </c>
      <c r="M3719" s="15" t="n">
        <v>0.25</v>
      </c>
      <c r="N3719" s="9" t="s">
        <v>20</v>
      </c>
    </row>
    <row r="3720" customFormat="false" ht="14.25" hidden="false" customHeight="true" outlineLevel="0" collapsed="false">
      <c r="B3720" s="9" t="s">
        <v>28</v>
      </c>
      <c r="C3720" s="9" t="n">
        <v>1185732</v>
      </c>
      <c r="D3720" s="10" t="n">
        <v>44452</v>
      </c>
      <c r="E3720" s="9" t="s">
        <v>17</v>
      </c>
      <c r="F3720" s="9" t="s">
        <v>131</v>
      </c>
      <c r="G3720" s="9" t="s">
        <v>132</v>
      </c>
      <c r="H3720" s="11" t="s">
        <v>23</v>
      </c>
      <c r="I3720" s="12" t="n">
        <v>45</v>
      </c>
      <c r="J3720" s="13" t="n">
        <v>125</v>
      </c>
      <c r="K3720" s="14" t="n">
        <f aca="false">I3720*J3720</f>
        <v>5625</v>
      </c>
      <c r="L3720" s="14" t="n">
        <f aca="false">($L$2*M3720)/100</f>
        <v>300416.625</v>
      </c>
      <c r="M3720" s="15" t="n">
        <v>0.25</v>
      </c>
      <c r="N3720" s="9" t="s">
        <v>20</v>
      </c>
    </row>
    <row r="3721" customFormat="false" ht="14.25" hidden="false" customHeight="true" outlineLevel="0" collapsed="false">
      <c r="B3721" s="9" t="s">
        <v>28</v>
      </c>
      <c r="C3721" s="9" t="n">
        <v>1185732</v>
      </c>
      <c r="D3721" s="10" t="n">
        <v>44452</v>
      </c>
      <c r="E3721" s="9" t="s">
        <v>17</v>
      </c>
      <c r="F3721" s="9" t="s">
        <v>131</v>
      </c>
      <c r="G3721" s="9" t="s">
        <v>132</v>
      </c>
      <c r="H3721" s="11" t="s">
        <v>24</v>
      </c>
      <c r="I3721" s="12" t="n">
        <v>55</v>
      </c>
      <c r="J3721" s="13" t="n">
        <v>125</v>
      </c>
      <c r="K3721" s="14" t="n">
        <f aca="false">I3721*J3721</f>
        <v>6875</v>
      </c>
      <c r="L3721" s="14" t="n">
        <f aca="false">($L$2*M3721)/100</f>
        <v>300416.625</v>
      </c>
      <c r="M3721" s="15" t="n">
        <v>0.25</v>
      </c>
      <c r="N3721" s="9" t="s">
        <v>20</v>
      </c>
    </row>
    <row r="3722" customFormat="false" ht="14.25" hidden="false" customHeight="true" outlineLevel="0" collapsed="false">
      <c r="B3722" s="9" t="s">
        <v>28</v>
      </c>
      <c r="C3722" s="9" t="n">
        <v>1185732</v>
      </c>
      <c r="D3722" s="10" t="n">
        <v>44452</v>
      </c>
      <c r="E3722" s="9" t="s">
        <v>17</v>
      </c>
      <c r="F3722" s="9" t="s">
        <v>131</v>
      </c>
      <c r="G3722" s="9" t="s">
        <v>132</v>
      </c>
      <c r="H3722" s="11" t="s">
        <v>25</v>
      </c>
      <c r="I3722" s="12" t="n">
        <v>60</v>
      </c>
      <c r="J3722" s="13" t="n">
        <v>225</v>
      </c>
      <c r="K3722" s="14" t="n">
        <f aca="false">I3722*J3722</f>
        <v>13500</v>
      </c>
      <c r="L3722" s="14" t="n">
        <f aca="false">($L$2*M3722)/100</f>
        <v>360499.95</v>
      </c>
      <c r="M3722" s="15" t="n">
        <v>0.3</v>
      </c>
      <c r="N3722" s="9" t="s">
        <v>20</v>
      </c>
    </row>
    <row r="3723" customFormat="false" ht="14.25" hidden="false" customHeight="true" outlineLevel="0" collapsed="false">
      <c r="B3723" s="9" t="s">
        <v>28</v>
      </c>
      <c r="C3723" s="9" t="n">
        <v>1185732</v>
      </c>
      <c r="D3723" s="10" t="n">
        <v>44484</v>
      </c>
      <c r="E3723" s="9" t="s">
        <v>17</v>
      </c>
      <c r="F3723" s="9" t="s">
        <v>131</v>
      </c>
      <c r="G3723" s="9" t="s">
        <v>132</v>
      </c>
      <c r="H3723" s="11" t="s">
        <v>19</v>
      </c>
      <c r="I3723" s="12" t="n">
        <v>60</v>
      </c>
      <c r="J3723" s="13" t="n">
        <v>400</v>
      </c>
      <c r="K3723" s="14" t="n">
        <f aca="false">I3723*J3723</f>
        <v>24000</v>
      </c>
      <c r="L3723" s="14" t="n">
        <f aca="false">($L$2*M3723)/100</f>
        <v>360499.95</v>
      </c>
      <c r="M3723" s="15" t="n">
        <v>0.3</v>
      </c>
      <c r="N3723" s="9" t="s">
        <v>20</v>
      </c>
    </row>
    <row r="3724" customFormat="false" ht="14.25" hidden="false" customHeight="true" outlineLevel="0" collapsed="false">
      <c r="B3724" s="9" t="s">
        <v>28</v>
      </c>
      <c r="C3724" s="9" t="n">
        <v>1185732</v>
      </c>
      <c r="D3724" s="10" t="n">
        <v>44484</v>
      </c>
      <c r="E3724" s="9" t="s">
        <v>17</v>
      </c>
      <c r="F3724" s="9" t="s">
        <v>131</v>
      </c>
      <c r="G3724" s="9" t="s">
        <v>132</v>
      </c>
      <c r="H3724" s="11" t="s">
        <v>21</v>
      </c>
      <c r="I3724" s="12" t="n">
        <v>55</v>
      </c>
      <c r="J3724" s="13" t="n">
        <v>225</v>
      </c>
      <c r="K3724" s="14" t="n">
        <f aca="false">I3724*J3724</f>
        <v>12375</v>
      </c>
      <c r="L3724" s="14" t="n">
        <f aca="false">($L$2*M3724)/100</f>
        <v>360499.95</v>
      </c>
      <c r="M3724" s="15" t="n">
        <v>0.3</v>
      </c>
      <c r="N3724" s="9" t="s">
        <v>20</v>
      </c>
    </row>
    <row r="3725" customFormat="false" ht="14.25" hidden="false" customHeight="true" outlineLevel="0" collapsed="false">
      <c r="B3725" s="9" t="s">
        <v>28</v>
      </c>
      <c r="C3725" s="9" t="n">
        <v>1185732</v>
      </c>
      <c r="D3725" s="10" t="n">
        <v>44484</v>
      </c>
      <c r="E3725" s="9" t="s">
        <v>17</v>
      </c>
      <c r="F3725" s="9" t="s">
        <v>131</v>
      </c>
      <c r="G3725" s="9" t="s">
        <v>132</v>
      </c>
      <c r="H3725" s="11" t="s">
        <v>22</v>
      </c>
      <c r="I3725" s="12" t="n">
        <v>55</v>
      </c>
      <c r="J3725" s="13" t="n">
        <v>125</v>
      </c>
      <c r="K3725" s="14" t="n">
        <f aca="false">I3725*J3725</f>
        <v>6875</v>
      </c>
      <c r="L3725" s="14" t="n">
        <f aca="false">($L$2*M3725)/100</f>
        <v>300416.625</v>
      </c>
      <c r="M3725" s="15" t="n">
        <v>0.25</v>
      </c>
      <c r="N3725" s="9" t="s">
        <v>20</v>
      </c>
    </row>
    <row r="3726" customFormat="false" ht="14.25" hidden="false" customHeight="true" outlineLevel="0" collapsed="false">
      <c r="B3726" s="9" t="s">
        <v>28</v>
      </c>
      <c r="C3726" s="9" t="n">
        <v>1185732</v>
      </c>
      <c r="D3726" s="10" t="n">
        <v>44484</v>
      </c>
      <c r="E3726" s="9" t="s">
        <v>17</v>
      </c>
      <c r="F3726" s="9" t="s">
        <v>131</v>
      </c>
      <c r="G3726" s="9" t="s">
        <v>132</v>
      </c>
      <c r="H3726" s="11" t="s">
        <v>23</v>
      </c>
      <c r="I3726" s="12" t="n">
        <v>55</v>
      </c>
      <c r="J3726" s="13" t="n">
        <v>100</v>
      </c>
      <c r="K3726" s="14" t="n">
        <f aca="false">I3726*J3726</f>
        <v>5500</v>
      </c>
      <c r="L3726" s="14" t="n">
        <f aca="false">($L$2*M3726)/100</f>
        <v>300416.625</v>
      </c>
      <c r="M3726" s="15" t="n">
        <v>0.25</v>
      </c>
      <c r="N3726" s="9" t="s">
        <v>20</v>
      </c>
    </row>
    <row r="3727" customFormat="false" ht="14.25" hidden="false" customHeight="true" outlineLevel="0" collapsed="false">
      <c r="B3727" s="9" t="s">
        <v>28</v>
      </c>
      <c r="C3727" s="9" t="n">
        <v>1185732</v>
      </c>
      <c r="D3727" s="10" t="n">
        <v>44484</v>
      </c>
      <c r="E3727" s="9" t="s">
        <v>17</v>
      </c>
      <c r="F3727" s="9" t="s">
        <v>131</v>
      </c>
      <c r="G3727" s="9" t="s">
        <v>132</v>
      </c>
      <c r="H3727" s="11" t="s">
        <v>24</v>
      </c>
      <c r="I3727" s="12" t="n">
        <v>65</v>
      </c>
      <c r="J3727" s="13" t="n">
        <v>100</v>
      </c>
      <c r="K3727" s="14" t="n">
        <f aca="false">I3727*J3727</f>
        <v>6500</v>
      </c>
      <c r="L3727" s="14" t="n">
        <f aca="false">($L$2*M3727)/100</f>
        <v>300416.625</v>
      </c>
      <c r="M3727" s="15" t="n">
        <v>0.25</v>
      </c>
      <c r="N3727" s="9" t="s">
        <v>20</v>
      </c>
    </row>
    <row r="3728" customFormat="false" ht="14.25" hidden="false" customHeight="true" outlineLevel="0" collapsed="false">
      <c r="B3728" s="9" t="s">
        <v>63</v>
      </c>
      <c r="C3728" s="9" t="n">
        <v>1185732</v>
      </c>
      <c r="D3728" s="10" t="n">
        <v>44484</v>
      </c>
      <c r="E3728" s="9" t="s">
        <v>17</v>
      </c>
      <c r="F3728" s="9" t="s">
        <v>131</v>
      </c>
      <c r="G3728" s="9" t="s">
        <v>132</v>
      </c>
      <c r="H3728" s="11" t="s">
        <v>25</v>
      </c>
      <c r="I3728" s="12" t="n">
        <v>70</v>
      </c>
      <c r="J3728" s="13" t="n">
        <v>225</v>
      </c>
      <c r="K3728" s="14" t="n">
        <f aca="false">I3728*J3728</f>
        <v>15750</v>
      </c>
      <c r="L3728" s="14" t="n">
        <f aca="false">($L$2*M3728)/100</f>
        <v>360499.95</v>
      </c>
      <c r="M3728" s="15" t="n">
        <v>0.3</v>
      </c>
      <c r="N3728" s="9" t="s">
        <v>20</v>
      </c>
    </row>
    <row r="3729" customFormat="false" ht="14.25" hidden="false" customHeight="true" outlineLevel="0" collapsed="false">
      <c r="B3729" s="9" t="s">
        <v>63</v>
      </c>
      <c r="C3729" s="9" t="n">
        <v>1185732</v>
      </c>
      <c r="D3729" s="10" t="n">
        <v>44514</v>
      </c>
      <c r="E3729" s="9" t="s">
        <v>17</v>
      </c>
      <c r="F3729" s="9" t="s">
        <v>131</v>
      </c>
      <c r="G3729" s="9" t="s">
        <v>132</v>
      </c>
      <c r="H3729" s="11" t="s">
        <v>19</v>
      </c>
      <c r="I3729" s="12" t="n">
        <v>65</v>
      </c>
      <c r="J3729" s="13" t="n">
        <v>375</v>
      </c>
      <c r="K3729" s="14" t="n">
        <f aca="false">I3729*J3729</f>
        <v>24375</v>
      </c>
      <c r="L3729" s="14" t="n">
        <f aca="false">($L$2*M3729)/100</f>
        <v>360499.95</v>
      </c>
      <c r="M3729" s="15" t="n">
        <v>0.3</v>
      </c>
      <c r="N3729" s="9" t="s">
        <v>20</v>
      </c>
    </row>
    <row r="3730" customFormat="false" ht="14.25" hidden="false" customHeight="true" outlineLevel="0" collapsed="false">
      <c r="B3730" s="9" t="s">
        <v>63</v>
      </c>
      <c r="C3730" s="9" t="n">
        <v>1185732</v>
      </c>
      <c r="D3730" s="10" t="n">
        <v>44514</v>
      </c>
      <c r="E3730" s="9" t="s">
        <v>17</v>
      </c>
      <c r="F3730" s="9" t="s">
        <v>131</v>
      </c>
      <c r="G3730" s="9" t="s">
        <v>132</v>
      </c>
      <c r="H3730" s="11" t="s">
        <v>21</v>
      </c>
      <c r="I3730" s="12" t="n">
        <v>55</v>
      </c>
      <c r="J3730" s="13" t="n">
        <v>300</v>
      </c>
      <c r="K3730" s="14" t="n">
        <f aca="false">I3730*J3730</f>
        <v>16500</v>
      </c>
      <c r="L3730" s="14" t="n">
        <f aca="false">($L$2*M3730)/100</f>
        <v>360499.95</v>
      </c>
      <c r="M3730" s="15" t="n">
        <v>0.3</v>
      </c>
      <c r="N3730" s="9" t="s">
        <v>20</v>
      </c>
    </row>
    <row r="3731" customFormat="false" ht="14.25" hidden="false" customHeight="true" outlineLevel="0" collapsed="false">
      <c r="B3731" s="9" t="s">
        <v>63</v>
      </c>
      <c r="C3731" s="9" t="n">
        <v>1185732</v>
      </c>
      <c r="D3731" s="10" t="n">
        <v>44514</v>
      </c>
      <c r="E3731" s="9" t="s">
        <v>17</v>
      </c>
      <c r="F3731" s="9" t="s">
        <v>131</v>
      </c>
      <c r="G3731" s="9" t="s">
        <v>132</v>
      </c>
      <c r="H3731" s="11" t="s">
        <v>22</v>
      </c>
      <c r="I3731" s="12" t="n">
        <v>55</v>
      </c>
      <c r="J3731" s="13" t="n">
        <v>295</v>
      </c>
      <c r="K3731" s="14" t="n">
        <f aca="false">I3731*J3731</f>
        <v>16225</v>
      </c>
      <c r="L3731" s="14" t="n">
        <f aca="false">($L$2*M3731)/100</f>
        <v>300416.625</v>
      </c>
      <c r="M3731" s="15" t="n">
        <v>0.25</v>
      </c>
      <c r="N3731" s="9" t="s">
        <v>20</v>
      </c>
    </row>
    <row r="3732" customFormat="false" ht="14.25" hidden="false" customHeight="true" outlineLevel="0" collapsed="false">
      <c r="B3732" s="9" t="s">
        <v>63</v>
      </c>
      <c r="C3732" s="9" t="n">
        <v>1185732</v>
      </c>
      <c r="D3732" s="10" t="n">
        <v>44514</v>
      </c>
      <c r="E3732" s="9" t="s">
        <v>17</v>
      </c>
      <c r="F3732" s="9" t="s">
        <v>131</v>
      </c>
      <c r="G3732" s="9" t="s">
        <v>132</v>
      </c>
      <c r="H3732" s="11" t="s">
        <v>23</v>
      </c>
      <c r="I3732" s="12" t="n">
        <v>55</v>
      </c>
      <c r="J3732" s="13" t="n">
        <v>275</v>
      </c>
      <c r="K3732" s="14" t="n">
        <f aca="false">I3732*J3732</f>
        <v>15125</v>
      </c>
      <c r="L3732" s="14" t="n">
        <f aca="false">($L$2*M3732)/100</f>
        <v>300416.625</v>
      </c>
      <c r="M3732" s="15" t="n">
        <v>0.25</v>
      </c>
      <c r="N3732" s="9" t="s">
        <v>20</v>
      </c>
    </row>
    <row r="3733" customFormat="false" ht="14.25" hidden="false" customHeight="true" outlineLevel="0" collapsed="false">
      <c r="B3733" s="9" t="s">
        <v>63</v>
      </c>
      <c r="C3733" s="9" t="n">
        <v>1185732</v>
      </c>
      <c r="D3733" s="10" t="n">
        <v>44514</v>
      </c>
      <c r="E3733" s="9" t="s">
        <v>17</v>
      </c>
      <c r="F3733" s="9" t="s">
        <v>131</v>
      </c>
      <c r="G3733" s="9" t="s">
        <v>132</v>
      </c>
      <c r="H3733" s="11" t="s">
        <v>24</v>
      </c>
      <c r="I3733" s="12" t="n">
        <v>65</v>
      </c>
      <c r="J3733" s="13" t="n">
        <v>250</v>
      </c>
      <c r="K3733" s="14" t="n">
        <f aca="false">I3733*J3733</f>
        <v>16250</v>
      </c>
      <c r="L3733" s="14" t="n">
        <f aca="false">($L$2*M3733)/100</f>
        <v>300416.625</v>
      </c>
      <c r="M3733" s="15" t="n">
        <v>0.25</v>
      </c>
      <c r="N3733" s="9" t="s">
        <v>20</v>
      </c>
    </row>
    <row r="3734" customFormat="false" ht="14.25" hidden="false" customHeight="true" outlineLevel="0" collapsed="false">
      <c r="B3734" s="9" t="s">
        <v>63</v>
      </c>
      <c r="C3734" s="9" t="n">
        <v>1185732</v>
      </c>
      <c r="D3734" s="10" t="n">
        <v>44514</v>
      </c>
      <c r="E3734" s="9" t="s">
        <v>17</v>
      </c>
      <c r="F3734" s="9" t="s">
        <v>131</v>
      </c>
      <c r="G3734" s="9" t="s">
        <v>132</v>
      </c>
      <c r="H3734" s="11" t="s">
        <v>25</v>
      </c>
      <c r="I3734" s="12" t="n">
        <v>70</v>
      </c>
      <c r="J3734" s="13" t="n">
        <v>350</v>
      </c>
      <c r="K3734" s="14" t="n">
        <f aca="false">I3734*J3734</f>
        <v>24500</v>
      </c>
      <c r="L3734" s="14" t="n">
        <f aca="false">($L$2*M3734)/100</f>
        <v>360499.95</v>
      </c>
      <c r="M3734" s="15" t="n">
        <v>0.3</v>
      </c>
      <c r="N3734" s="9" t="s">
        <v>20</v>
      </c>
    </row>
    <row r="3735" customFormat="false" ht="14.25" hidden="false" customHeight="true" outlineLevel="0" collapsed="false">
      <c r="B3735" s="9" t="s">
        <v>63</v>
      </c>
      <c r="C3735" s="9" t="n">
        <v>1185732</v>
      </c>
      <c r="D3735" s="10" t="n">
        <v>44543</v>
      </c>
      <c r="E3735" s="9" t="s">
        <v>17</v>
      </c>
      <c r="F3735" s="9" t="s">
        <v>131</v>
      </c>
      <c r="G3735" s="9" t="s">
        <v>132</v>
      </c>
      <c r="H3735" s="11" t="s">
        <v>19</v>
      </c>
      <c r="I3735" s="12" t="n">
        <v>65</v>
      </c>
      <c r="J3735" s="13" t="n">
        <v>575</v>
      </c>
      <c r="K3735" s="14" t="n">
        <f aca="false">I3735*J3735</f>
        <v>37375</v>
      </c>
      <c r="L3735" s="14" t="n">
        <f aca="false">($L$2*M3735)/100</f>
        <v>360499.95</v>
      </c>
      <c r="M3735" s="15" t="n">
        <v>0.3</v>
      </c>
      <c r="N3735" s="9" t="s">
        <v>20</v>
      </c>
    </row>
    <row r="3736" customFormat="false" ht="14.25" hidden="false" customHeight="true" outlineLevel="0" collapsed="false">
      <c r="B3736" s="9" t="s">
        <v>63</v>
      </c>
      <c r="C3736" s="9" t="n">
        <v>1185732</v>
      </c>
      <c r="D3736" s="10" t="n">
        <v>44543</v>
      </c>
      <c r="E3736" s="9" t="s">
        <v>17</v>
      </c>
      <c r="F3736" s="9" t="s">
        <v>131</v>
      </c>
      <c r="G3736" s="9" t="s">
        <v>132</v>
      </c>
      <c r="H3736" s="11" t="s">
        <v>21</v>
      </c>
      <c r="I3736" s="12" t="n">
        <v>55</v>
      </c>
      <c r="J3736" s="13" t="n">
        <v>375</v>
      </c>
      <c r="K3736" s="14" t="n">
        <f aca="false">I3736*J3736</f>
        <v>20625</v>
      </c>
      <c r="L3736" s="14" t="n">
        <f aca="false">($L$2*M3736)/100</f>
        <v>360499.95</v>
      </c>
      <c r="M3736" s="15" t="n">
        <v>0.3</v>
      </c>
      <c r="N3736" s="9" t="s">
        <v>20</v>
      </c>
    </row>
    <row r="3737" customFormat="false" ht="14.25" hidden="false" customHeight="true" outlineLevel="0" collapsed="false">
      <c r="B3737" s="9" t="s">
        <v>63</v>
      </c>
      <c r="C3737" s="9" t="n">
        <v>1185732</v>
      </c>
      <c r="D3737" s="10" t="n">
        <v>44543</v>
      </c>
      <c r="E3737" s="9" t="s">
        <v>17</v>
      </c>
      <c r="F3737" s="9" t="s">
        <v>131</v>
      </c>
      <c r="G3737" s="9" t="s">
        <v>132</v>
      </c>
      <c r="H3737" s="11" t="s">
        <v>22</v>
      </c>
      <c r="I3737" s="12" t="n">
        <v>55</v>
      </c>
      <c r="J3737" s="13" t="n">
        <v>350</v>
      </c>
      <c r="K3737" s="14" t="n">
        <f aca="false">I3737*J3737</f>
        <v>19250</v>
      </c>
      <c r="L3737" s="14" t="n">
        <f aca="false">($L$2*M3737)/100</f>
        <v>300416.625</v>
      </c>
      <c r="M3737" s="15" t="n">
        <v>0.25</v>
      </c>
      <c r="N3737" s="9" t="s">
        <v>20</v>
      </c>
    </row>
    <row r="3738" customFormat="false" ht="14.25" hidden="false" customHeight="true" outlineLevel="0" collapsed="false">
      <c r="B3738" s="9" t="s">
        <v>63</v>
      </c>
      <c r="C3738" s="9" t="n">
        <v>1185732</v>
      </c>
      <c r="D3738" s="10" t="n">
        <v>44543</v>
      </c>
      <c r="E3738" s="9" t="s">
        <v>17</v>
      </c>
      <c r="F3738" s="9" t="s">
        <v>131</v>
      </c>
      <c r="G3738" s="9" t="s">
        <v>132</v>
      </c>
      <c r="H3738" s="11" t="s">
        <v>23</v>
      </c>
      <c r="I3738" s="12" t="n">
        <v>55</v>
      </c>
      <c r="J3738" s="13" t="n">
        <v>300</v>
      </c>
      <c r="K3738" s="14" t="n">
        <f aca="false">I3738*J3738</f>
        <v>16500</v>
      </c>
      <c r="L3738" s="14" t="n">
        <f aca="false">($L$2*M3738)/100</f>
        <v>300416.625</v>
      </c>
      <c r="M3738" s="15" t="n">
        <v>0.25</v>
      </c>
      <c r="N3738" s="9" t="s">
        <v>20</v>
      </c>
    </row>
    <row r="3739" customFormat="false" ht="14.25" hidden="false" customHeight="true" outlineLevel="0" collapsed="false">
      <c r="B3739" s="9" t="s">
        <v>63</v>
      </c>
      <c r="C3739" s="9" t="n">
        <v>1185732</v>
      </c>
      <c r="D3739" s="10" t="n">
        <v>44543</v>
      </c>
      <c r="E3739" s="9" t="s">
        <v>17</v>
      </c>
      <c r="F3739" s="9" t="s">
        <v>131</v>
      </c>
      <c r="G3739" s="9" t="s">
        <v>132</v>
      </c>
      <c r="H3739" s="11" t="s">
        <v>24</v>
      </c>
      <c r="I3739" s="12" t="n">
        <v>65</v>
      </c>
      <c r="J3739" s="13" t="n">
        <v>300</v>
      </c>
      <c r="K3739" s="14" t="n">
        <f aca="false">I3739*J3739</f>
        <v>19500</v>
      </c>
      <c r="L3739" s="14" t="n">
        <f aca="false">($L$2*M3739)/100</f>
        <v>300416.625</v>
      </c>
      <c r="M3739" s="15" t="n">
        <v>0.25</v>
      </c>
      <c r="N3739" s="9" t="s">
        <v>20</v>
      </c>
    </row>
    <row r="3740" customFormat="false" ht="14.25" hidden="false" customHeight="true" outlineLevel="0" collapsed="false">
      <c r="B3740" s="9" t="s">
        <v>63</v>
      </c>
      <c r="C3740" s="9" t="n">
        <v>1185732</v>
      </c>
      <c r="D3740" s="10" t="n">
        <v>44543</v>
      </c>
      <c r="E3740" s="9" t="s">
        <v>17</v>
      </c>
      <c r="F3740" s="9" t="s">
        <v>131</v>
      </c>
      <c r="G3740" s="9" t="s">
        <v>132</v>
      </c>
      <c r="H3740" s="11" t="s">
        <v>25</v>
      </c>
      <c r="I3740" s="12" t="n">
        <v>70</v>
      </c>
      <c r="J3740" s="13" t="n">
        <v>400</v>
      </c>
      <c r="K3740" s="14" t="n">
        <f aca="false">I3740*J3740</f>
        <v>28000</v>
      </c>
      <c r="L3740" s="14" t="n">
        <f aca="false">($L$2*M3740)/100</f>
        <v>360499.95</v>
      </c>
      <c r="M3740" s="15" t="n">
        <v>0.3</v>
      </c>
      <c r="N3740" s="9" t="s">
        <v>20</v>
      </c>
    </row>
    <row r="3741" customFormat="false" ht="14.25" hidden="false" customHeight="true" outlineLevel="0" collapsed="false">
      <c r="B3741" s="9" t="s">
        <v>63</v>
      </c>
      <c r="C3741" s="9" t="n">
        <v>1185732</v>
      </c>
      <c r="D3741" s="10" t="n">
        <v>44210</v>
      </c>
      <c r="E3741" s="9" t="s">
        <v>17</v>
      </c>
      <c r="F3741" s="9" t="s">
        <v>131</v>
      </c>
      <c r="G3741" s="9" t="s">
        <v>132</v>
      </c>
      <c r="H3741" s="11" t="s">
        <v>19</v>
      </c>
      <c r="I3741" s="12" t="n">
        <v>45</v>
      </c>
      <c r="J3741" s="13" t="n">
        <v>525</v>
      </c>
      <c r="K3741" s="14" t="n">
        <f aca="false">I3741*J3741</f>
        <v>23625</v>
      </c>
      <c r="L3741" s="14" t="n">
        <f aca="false">($L$2*M3741)/100</f>
        <v>540749.925</v>
      </c>
      <c r="M3741" s="15" t="n">
        <v>0.45</v>
      </c>
      <c r="N3741" s="9" t="s">
        <v>20</v>
      </c>
    </row>
    <row r="3742" customFormat="false" ht="14.25" hidden="false" customHeight="true" outlineLevel="0" collapsed="false">
      <c r="B3742" s="9" t="s">
        <v>63</v>
      </c>
      <c r="C3742" s="9" t="n">
        <v>1185732</v>
      </c>
      <c r="D3742" s="10" t="n">
        <v>44210</v>
      </c>
      <c r="E3742" s="9" t="s">
        <v>17</v>
      </c>
      <c r="F3742" s="9" t="s">
        <v>131</v>
      </c>
      <c r="G3742" s="9" t="s">
        <v>132</v>
      </c>
      <c r="H3742" s="11" t="s">
        <v>21</v>
      </c>
      <c r="I3742" s="12" t="n">
        <v>45</v>
      </c>
      <c r="J3742" s="13" t="n">
        <v>325</v>
      </c>
      <c r="K3742" s="14" t="n">
        <f aca="false">I3742*J3742</f>
        <v>14625</v>
      </c>
      <c r="L3742" s="14" t="n">
        <f aca="false">($L$2*M3742)/100</f>
        <v>540749.925</v>
      </c>
      <c r="M3742" s="15" t="n">
        <v>0.45</v>
      </c>
      <c r="N3742" s="9" t="s">
        <v>20</v>
      </c>
    </row>
    <row r="3743" customFormat="false" ht="14.25" hidden="false" customHeight="true" outlineLevel="0" collapsed="false">
      <c r="B3743" s="9" t="s">
        <v>63</v>
      </c>
      <c r="C3743" s="9" t="n">
        <v>1185732</v>
      </c>
      <c r="D3743" s="10" t="n">
        <v>44210</v>
      </c>
      <c r="E3743" s="9" t="s">
        <v>17</v>
      </c>
      <c r="F3743" s="9" t="s">
        <v>131</v>
      </c>
      <c r="G3743" s="9" t="s">
        <v>132</v>
      </c>
      <c r="H3743" s="11" t="s">
        <v>22</v>
      </c>
      <c r="I3743" s="12" t="n">
        <v>35</v>
      </c>
      <c r="J3743" s="13" t="n">
        <v>325</v>
      </c>
      <c r="K3743" s="14" t="n">
        <f aca="false">I3743*J3743</f>
        <v>11375</v>
      </c>
      <c r="L3743" s="14" t="n">
        <f aca="false">($L$2*M3743)/100</f>
        <v>420583.275</v>
      </c>
      <c r="M3743" s="15" t="n">
        <v>0.35</v>
      </c>
      <c r="N3743" s="9" t="s">
        <v>20</v>
      </c>
    </row>
    <row r="3744" customFormat="false" ht="14.25" hidden="false" customHeight="true" outlineLevel="0" collapsed="false">
      <c r="B3744" s="9" t="s">
        <v>63</v>
      </c>
      <c r="C3744" s="9" t="n">
        <v>1185732</v>
      </c>
      <c r="D3744" s="10" t="n">
        <v>44210</v>
      </c>
      <c r="E3744" s="9" t="s">
        <v>17</v>
      </c>
      <c r="F3744" s="9" t="s">
        <v>131</v>
      </c>
      <c r="G3744" s="9" t="s">
        <v>132</v>
      </c>
      <c r="H3744" s="11" t="s">
        <v>23</v>
      </c>
      <c r="I3744" s="12" t="n">
        <v>40</v>
      </c>
      <c r="J3744" s="13" t="n">
        <v>175</v>
      </c>
      <c r="K3744" s="14" t="n">
        <f aca="false">I3744*J3744</f>
        <v>7000</v>
      </c>
      <c r="L3744" s="14" t="n">
        <f aca="false">($L$2*M3744)/100</f>
        <v>420583.275</v>
      </c>
      <c r="M3744" s="15" t="n">
        <v>0.35</v>
      </c>
      <c r="N3744" s="9" t="s">
        <v>20</v>
      </c>
    </row>
    <row r="3745" customFormat="false" ht="14.25" hidden="false" customHeight="true" outlineLevel="0" collapsed="false">
      <c r="B3745" s="9" t="s">
        <v>63</v>
      </c>
      <c r="C3745" s="9" t="n">
        <v>1185732</v>
      </c>
      <c r="D3745" s="10" t="n">
        <v>44210</v>
      </c>
      <c r="E3745" s="9" t="s">
        <v>17</v>
      </c>
      <c r="F3745" s="9" t="s">
        <v>131</v>
      </c>
      <c r="G3745" s="9" t="s">
        <v>132</v>
      </c>
      <c r="H3745" s="11" t="s">
        <v>24</v>
      </c>
      <c r="I3745" s="12" t="n">
        <v>55</v>
      </c>
      <c r="J3745" s="13" t="n">
        <v>225</v>
      </c>
      <c r="K3745" s="14" t="n">
        <f aca="false">I3745*J3745</f>
        <v>12375</v>
      </c>
      <c r="L3745" s="14" t="n">
        <f aca="false">($L$2*M3745)/100</f>
        <v>420583.275</v>
      </c>
      <c r="M3745" s="15" t="n">
        <v>0.35</v>
      </c>
      <c r="N3745" s="9" t="s">
        <v>20</v>
      </c>
    </row>
    <row r="3746" customFormat="false" ht="14.25" hidden="false" customHeight="true" outlineLevel="0" collapsed="false">
      <c r="B3746" s="9" t="s">
        <v>63</v>
      </c>
      <c r="C3746" s="9" t="n">
        <v>1185732</v>
      </c>
      <c r="D3746" s="10" t="n">
        <v>44210</v>
      </c>
      <c r="E3746" s="9" t="s">
        <v>17</v>
      </c>
      <c r="F3746" s="9" t="s">
        <v>131</v>
      </c>
      <c r="G3746" s="9" t="s">
        <v>132</v>
      </c>
      <c r="H3746" s="11" t="s">
        <v>25</v>
      </c>
      <c r="I3746" s="12" t="n">
        <v>45</v>
      </c>
      <c r="J3746" s="13" t="n">
        <v>325</v>
      </c>
      <c r="K3746" s="14" t="n">
        <f aca="false">I3746*J3746</f>
        <v>14625</v>
      </c>
      <c r="L3746" s="14" t="n">
        <f aca="false">($L$2*M3746)/100</f>
        <v>480666.6</v>
      </c>
      <c r="M3746" s="15" t="n">
        <v>0.4</v>
      </c>
      <c r="N3746" s="9" t="s">
        <v>20</v>
      </c>
    </row>
    <row r="3747" customFormat="false" ht="14.25" hidden="false" customHeight="true" outlineLevel="0" collapsed="false">
      <c r="B3747" s="9" t="s">
        <v>63</v>
      </c>
      <c r="C3747" s="9" t="n">
        <v>1185732</v>
      </c>
      <c r="D3747" s="10" t="n">
        <v>44239</v>
      </c>
      <c r="E3747" s="9" t="s">
        <v>17</v>
      </c>
      <c r="F3747" s="9" t="s">
        <v>131</v>
      </c>
      <c r="G3747" s="9" t="s">
        <v>132</v>
      </c>
      <c r="H3747" s="11" t="s">
        <v>19</v>
      </c>
      <c r="I3747" s="12" t="n">
        <v>45</v>
      </c>
      <c r="J3747" s="13" t="n">
        <v>575</v>
      </c>
      <c r="K3747" s="14" t="n">
        <f aca="false">I3747*J3747</f>
        <v>25875</v>
      </c>
      <c r="L3747" s="14" t="n">
        <f aca="false">($L$2*M3747)/100</f>
        <v>540749.925</v>
      </c>
      <c r="M3747" s="15" t="n">
        <v>0.45</v>
      </c>
      <c r="N3747" s="9" t="s">
        <v>20</v>
      </c>
    </row>
    <row r="3748" customFormat="false" ht="14.25" hidden="false" customHeight="true" outlineLevel="0" collapsed="false">
      <c r="B3748" s="9" t="s">
        <v>63</v>
      </c>
      <c r="C3748" s="9" t="n">
        <v>1185732</v>
      </c>
      <c r="D3748" s="10" t="n">
        <v>44239</v>
      </c>
      <c r="E3748" s="9" t="s">
        <v>17</v>
      </c>
      <c r="F3748" s="9" t="s">
        <v>131</v>
      </c>
      <c r="G3748" s="9" t="s">
        <v>132</v>
      </c>
      <c r="H3748" s="11" t="s">
        <v>21</v>
      </c>
      <c r="I3748" s="12" t="n">
        <v>45</v>
      </c>
      <c r="J3748" s="13" t="n">
        <v>225</v>
      </c>
      <c r="K3748" s="14" t="n">
        <f aca="false">I3748*J3748</f>
        <v>10125</v>
      </c>
      <c r="L3748" s="14" t="n">
        <f aca="false">($L$2*M3748)/100</f>
        <v>540749.925</v>
      </c>
      <c r="M3748" s="15" t="n">
        <v>0.45</v>
      </c>
      <c r="N3748" s="9" t="s">
        <v>20</v>
      </c>
    </row>
    <row r="3749" customFormat="false" ht="14.25" hidden="false" customHeight="true" outlineLevel="0" collapsed="false">
      <c r="B3749" s="9" t="s">
        <v>63</v>
      </c>
      <c r="C3749" s="9" t="n">
        <v>1185732</v>
      </c>
      <c r="D3749" s="10" t="n">
        <v>44239</v>
      </c>
      <c r="E3749" s="9" t="s">
        <v>17</v>
      </c>
      <c r="F3749" s="9" t="s">
        <v>131</v>
      </c>
      <c r="G3749" s="9" t="s">
        <v>132</v>
      </c>
      <c r="H3749" s="11" t="s">
        <v>22</v>
      </c>
      <c r="I3749" s="12" t="n">
        <v>35</v>
      </c>
      <c r="J3749" s="13" t="n">
        <v>275</v>
      </c>
      <c r="K3749" s="14" t="n">
        <f aca="false">I3749*J3749</f>
        <v>9625</v>
      </c>
      <c r="L3749" s="14" t="n">
        <f aca="false">($L$2*M3749)/100</f>
        <v>420583.275</v>
      </c>
      <c r="M3749" s="15" t="n">
        <v>0.35</v>
      </c>
      <c r="N3749" s="9" t="s">
        <v>20</v>
      </c>
    </row>
    <row r="3750" customFormat="false" ht="14.25" hidden="false" customHeight="true" outlineLevel="0" collapsed="false">
      <c r="B3750" s="9" t="s">
        <v>63</v>
      </c>
      <c r="C3750" s="9" t="n">
        <v>1185732</v>
      </c>
      <c r="D3750" s="10" t="n">
        <v>44239</v>
      </c>
      <c r="E3750" s="9" t="s">
        <v>17</v>
      </c>
      <c r="F3750" s="9" t="s">
        <v>133</v>
      </c>
      <c r="G3750" s="9" t="s">
        <v>134</v>
      </c>
      <c r="H3750" s="11" t="s">
        <v>23</v>
      </c>
      <c r="I3750" s="12" t="n">
        <v>40</v>
      </c>
      <c r="J3750" s="13" t="n">
        <v>150</v>
      </c>
      <c r="K3750" s="14" t="n">
        <f aca="false">I3750*J3750</f>
        <v>6000</v>
      </c>
      <c r="L3750" s="14" t="n">
        <f aca="false">($L$2*M3750)/100</f>
        <v>420583.275</v>
      </c>
      <c r="M3750" s="15" t="n">
        <v>0.35</v>
      </c>
      <c r="N3750" s="9" t="s">
        <v>20</v>
      </c>
    </row>
    <row r="3751" customFormat="false" ht="14.25" hidden="false" customHeight="true" outlineLevel="0" collapsed="false">
      <c r="B3751" s="9" t="s">
        <v>63</v>
      </c>
      <c r="C3751" s="9" t="n">
        <v>1185732</v>
      </c>
      <c r="D3751" s="10" t="n">
        <v>44239</v>
      </c>
      <c r="E3751" s="9" t="s">
        <v>17</v>
      </c>
      <c r="F3751" s="9" t="s">
        <v>133</v>
      </c>
      <c r="G3751" s="9" t="s">
        <v>134</v>
      </c>
      <c r="H3751" s="11" t="s">
        <v>24</v>
      </c>
      <c r="I3751" s="12" t="n">
        <v>55</v>
      </c>
      <c r="J3751" s="13" t="n">
        <v>225</v>
      </c>
      <c r="K3751" s="14" t="n">
        <f aca="false">I3751*J3751</f>
        <v>12375</v>
      </c>
      <c r="L3751" s="14" t="n">
        <f aca="false">($L$2*M3751)/100</f>
        <v>420583.275</v>
      </c>
      <c r="M3751" s="15" t="n">
        <v>0.35</v>
      </c>
      <c r="N3751" s="9" t="s">
        <v>20</v>
      </c>
    </row>
    <row r="3752" customFormat="false" ht="14.25" hidden="false" customHeight="true" outlineLevel="0" collapsed="false">
      <c r="B3752" s="9" t="s">
        <v>63</v>
      </c>
      <c r="C3752" s="9" t="n">
        <v>1185732</v>
      </c>
      <c r="D3752" s="10" t="n">
        <v>44239</v>
      </c>
      <c r="E3752" s="9" t="s">
        <v>17</v>
      </c>
      <c r="F3752" s="9" t="s">
        <v>133</v>
      </c>
      <c r="G3752" s="9" t="s">
        <v>134</v>
      </c>
      <c r="H3752" s="11" t="s">
        <v>25</v>
      </c>
      <c r="I3752" s="12" t="n">
        <v>45</v>
      </c>
      <c r="J3752" s="13" t="n">
        <v>325</v>
      </c>
      <c r="K3752" s="14" t="n">
        <f aca="false">I3752*J3752</f>
        <v>14625</v>
      </c>
      <c r="L3752" s="14" t="n">
        <f aca="false">($L$2*M3752)/100</f>
        <v>480666.6</v>
      </c>
      <c r="M3752" s="15" t="n">
        <v>0.4</v>
      </c>
      <c r="N3752" s="9" t="s">
        <v>20</v>
      </c>
    </row>
    <row r="3753" customFormat="false" ht="14.25" hidden="false" customHeight="true" outlineLevel="0" collapsed="false">
      <c r="B3753" s="9" t="s">
        <v>63</v>
      </c>
      <c r="C3753" s="9" t="n">
        <v>1185732</v>
      </c>
      <c r="D3753" s="10" t="n">
        <v>44265</v>
      </c>
      <c r="E3753" s="9" t="s">
        <v>17</v>
      </c>
      <c r="F3753" s="9" t="s">
        <v>133</v>
      </c>
      <c r="G3753" s="9" t="s">
        <v>134</v>
      </c>
      <c r="H3753" s="11" t="s">
        <v>19</v>
      </c>
      <c r="I3753" s="12" t="n">
        <v>45</v>
      </c>
      <c r="J3753" s="13" t="n">
        <v>545</v>
      </c>
      <c r="K3753" s="14" t="n">
        <f aca="false">I3753*J3753</f>
        <v>24525</v>
      </c>
      <c r="L3753" s="14" t="n">
        <f aca="false">($L$2*M3753)/100</f>
        <v>540749.925</v>
      </c>
      <c r="M3753" s="15" t="n">
        <v>0.45</v>
      </c>
      <c r="N3753" s="9" t="s">
        <v>20</v>
      </c>
    </row>
    <row r="3754" customFormat="false" ht="14.25" hidden="false" customHeight="true" outlineLevel="0" collapsed="false">
      <c r="B3754" s="9" t="s">
        <v>63</v>
      </c>
      <c r="C3754" s="9" t="n">
        <v>1185732</v>
      </c>
      <c r="D3754" s="10" t="n">
        <v>44265</v>
      </c>
      <c r="E3754" s="9" t="s">
        <v>17</v>
      </c>
      <c r="F3754" s="9" t="s">
        <v>133</v>
      </c>
      <c r="G3754" s="9" t="s">
        <v>134</v>
      </c>
      <c r="H3754" s="11" t="s">
        <v>21</v>
      </c>
      <c r="I3754" s="12" t="n">
        <v>45</v>
      </c>
      <c r="J3754" s="13" t="n">
        <v>250</v>
      </c>
      <c r="K3754" s="14" t="n">
        <f aca="false">I3754*J3754</f>
        <v>11250</v>
      </c>
      <c r="L3754" s="14" t="n">
        <f aca="false">($L$2*M3754)/100</f>
        <v>540749.925</v>
      </c>
      <c r="M3754" s="15" t="n">
        <v>0.45</v>
      </c>
      <c r="N3754" s="9" t="s">
        <v>20</v>
      </c>
    </row>
    <row r="3755" customFormat="false" ht="14.25" hidden="false" customHeight="true" outlineLevel="0" collapsed="false">
      <c r="B3755" s="9" t="s">
        <v>63</v>
      </c>
      <c r="C3755" s="9" t="n">
        <v>1185732</v>
      </c>
      <c r="D3755" s="10" t="n">
        <v>44265</v>
      </c>
      <c r="E3755" s="9" t="s">
        <v>17</v>
      </c>
      <c r="F3755" s="9" t="s">
        <v>133</v>
      </c>
      <c r="G3755" s="9" t="s">
        <v>134</v>
      </c>
      <c r="H3755" s="11" t="s">
        <v>22</v>
      </c>
      <c r="I3755" s="12" t="n">
        <v>35</v>
      </c>
      <c r="J3755" s="13" t="n">
        <v>275</v>
      </c>
      <c r="K3755" s="14" t="n">
        <f aca="false">I3755*J3755</f>
        <v>9625</v>
      </c>
      <c r="L3755" s="14" t="n">
        <f aca="false">($L$2*M3755)/100</f>
        <v>420583.275</v>
      </c>
      <c r="M3755" s="15" t="n">
        <v>0.35</v>
      </c>
      <c r="N3755" s="9" t="s">
        <v>20</v>
      </c>
    </row>
    <row r="3756" customFormat="false" ht="14.25" hidden="false" customHeight="true" outlineLevel="0" collapsed="false">
      <c r="B3756" s="9" t="s">
        <v>63</v>
      </c>
      <c r="C3756" s="9" t="n">
        <v>1185732</v>
      </c>
      <c r="D3756" s="10" t="n">
        <v>44265</v>
      </c>
      <c r="E3756" s="9" t="s">
        <v>17</v>
      </c>
      <c r="F3756" s="9" t="s">
        <v>133</v>
      </c>
      <c r="G3756" s="9" t="s">
        <v>134</v>
      </c>
      <c r="H3756" s="11" t="s">
        <v>23</v>
      </c>
      <c r="I3756" s="12" t="n">
        <v>40</v>
      </c>
      <c r="J3756" s="13" t="n">
        <v>125</v>
      </c>
      <c r="K3756" s="14" t="n">
        <f aca="false">I3756*J3756</f>
        <v>5000</v>
      </c>
      <c r="L3756" s="14" t="n">
        <f aca="false">($L$2*M3756)/100</f>
        <v>420583.275</v>
      </c>
      <c r="M3756" s="15" t="n">
        <v>0.35</v>
      </c>
      <c r="N3756" s="9" t="s">
        <v>20</v>
      </c>
    </row>
    <row r="3757" customFormat="false" ht="14.25" hidden="false" customHeight="true" outlineLevel="0" collapsed="false">
      <c r="B3757" s="9" t="s">
        <v>63</v>
      </c>
      <c r="C3757" s="9" t="n">
        <v>1185732</v>
      </c>
      <c r="D3757" s="10" t="n">
        <v>44265</v>
      </c>
      <c r="E3757" s="9" t="s">
        <v>17</v>
      </c>
      <c r="F3757" s="9" t="s">
        <v>133</v>
      </c>
      <c r="G3757" s="9" t="s">
        <v>134</v>
      </c>
      <c r="H3757" s="11" t="s">
        <v>24</v>
      </c>
      <c r="I3757" s="12" t="n">
        <v>55</v>
      </c>
      <c r="J3757" s="13" t="n">
        <v>175</v>
      </c>
      <c r="K3757" s="14" t="n">
        <f aca="false">I3757*J3757</f>
        <v>9625</v>
      </c>
      <c r="L3757" s="14" t="n">
        <f aca="false">($L$2*M3757)/100</f>
        <v>420583.275</v>
      </c>
      <c r="M3757" s="15" t="n">
        <v>0.35</v>
      </c>
      <c r="N3757" s="9" t="s">
        <v>20</v>
      </c>
    </row>
    <row r="3758" customFormat="false" ht="14.25" hidden="false" customHeight="true" outlineLevel="0" collapsed="false">
      <c r="B3758" s="9" t="s">
        <v>63</v>
      </c>
      <c r="C3758" s="9" t="n">
        <v>1185732</v>
      </c>
      <c r="D3758" s="10" t="n">
        <v>44265</v>
      </c>
      <c r="E3758" s="9" t="s">
        <v>17</v>
      </c>
      <c r="F3758" s="9" t="s">
        <v>133</v>
      </c>
      <c r="G3758" s="9" t="s">
        <v>134</v>
      </c>
      <c r="H3758" s="11" t="s">
        <v>25</v>
      </c>
      <c r="I3758" s="12" t="n">
        <v>45</v>
      </c>
      <c r="J3758" s="13" t="n">
        <v>275</v>
      </c>
      <c r="K3758" s="14" t="n">
        <f aca="false">I3758*J3758</f>
        <v>12375</v>
      </c>
      <c r="L3758" s="14" t="n">
        <f aca="false">($L$2*M3758)/100</f>
        <v>480666.6</v>
      </c>
      <c r="M3758" s="15" t="n">
        <v>0.4</v>
      </c>
      <c r="N3758" s="9" t="s">
        <v>20</v>
      </c>
    </row>
    <row r="3759" customFormat="false" ht="14.25" hidden="false" customHeight="true" outlineLevel="0" collapsed="false">
      <c r="B3759" s="9" t="s">
        <v>63</v>
      </c>
      <c r="C3759" s="9" t="n">
        <v>1185732</v>
      </c>
      <c r="D3759" s="10" t="n">
        <v>44297</v>
      </c>
      <c r="E3759" s="9" t="s">
        <v>17</v>
      </c>
      <c r="F3759" s="9" t="s">
        <v>133</v>
      </c>
      <c r="G3759" s="9" t="s">
        <v>134</v>
      </c>
      <c r="H3759" s="11" t="s">
        <v>19</v>
      </c>
      <c r="I3759" s="12" t="n">
        <v>45</v>
      </c>
      <c r="J3759" s="13" t="n">
        <v>525</v>
      </c>
      <c r="K3759" s="14" t="n">
        <f aca="false">I3759*J3759</f>
        <v>23625</v>
      </c>
      <c r="L3759" s="14" t="n">
        <f aca="false">($L$2*M3759)/100</f>
        <v>540749.925</v>
      </c>
      <c r="M3759" s="15" t="n">
        <v>0.45</v>
      </c>
      <c r="N3759" s="9" t="s">
        <v>20</v>
      </c>
    </row>
    <row r="3760" customFormat="false" ht="14.25" hidden="false" customHeight="true" outlineLevel="0" collapsed="false">
      <c r="B3760" s="9" t="s">
        <v>63</v>
      </c>
      <c r="C3760" s="9" t="n">
        <v>1185732</v>
      </c>
      <c r="D3760" s="10" t="n">
        <v>44297</v>
      </c>
      <c r="E3760" s="9" t="s">
        <v>17</v>
      </c>
      <c r="F3760" s="9" t="s">
        <v>133</v>
      </c>
      <c r="G3760" s="9" t="s">
        <v>134</v>
      </c>
      <c r="H3760" s="11" t="s">
        <v>21</v>
      </c>
      <c r="I3760" s="12" t="n">
        <v>45</v>
      </c>
      <c r="J3760" s="13" t="n">
        <v>225</v>
      </c>
      <c r="K3760" s="14" t="n">
        <f aca="false">I3760*J3760</f>
        <v>10125</v>
      </c>
      <c r="L3760" s="14" t="n">
        <f aca="false">($L$2*M3760)/100</f>
        <v>540749.925</v>
      </c>
      <c r="M3760" s="15" t="n">
        <v>0.45</v>
      </c>
      <c r="N3760" s="9" t="s">
        <v>20</v>
      </c>
    </row>
    <row r="3761" customFormat="false" ht="14.25" hidden="false" customHeight="true" outlineLevel="0" collapsed="false">
      <c r="B3761" s="9" t="s">
        <v>63</v>
      </c>
      <c r="C3761" s="9" t="n">
        <v>1185732</v>
      </c>
      <c r="D3761" s="10" t="n">
        <v>44297</v>
      </c>
      <c r="E3761" s="9" t="s">
        <v>17</v>
      </c>
      <c r="F3761" s="9" t="s">
        <v>133</v>
      </c>
      <c r="G3761" s="9" t="s">
        <v>134</v>
      </c>
      <c r="H3761" s="11" t="s">
        <v>22</v>
      </c>
      <c r="I3761" s="12" t="n">
        <v>35</v>
      </c>
      <c r="J3761" s="13" t="n">
        <v>225</v>
      </c>
      <c r="K3761" s="14" t="n">
        <f aca="false">I3761*J3761</f>
        <v>7875</v>
      </c>
      <c r="L3761" s="14" t="n">
        <f aca="false">($L$2*M3761)/100</f>
        <v>420583.275</v>
      </c>
      <c r="M3761" s="15" t="n">
        <v>0.35</v>
      </c>
      <c r="N3761" s="9" t="s">
        <v>20</v>
      </c>
    </row>
    <row r="3762" customFormat="false" ht="14.25" hidden="false" customHeight="true" outlineLevel="0" collapsed="false">
      <c r="B3762" s="9" t="s">
        <v>63</v>
      </c>
      <c r="C3762" s="9" t="n">
        <v>1185732</v>
      </c>
      <c r="D3762" s="10" t="n">
        <v>44297</v>
      </c>
      <c r="E3762" s="9" t="s">
        <v>17</v>
      </c>
      <c r="F3762" s="9" t="s">
        <v>133</v>
      </c>
      <c r="G3762" s="9" t="s">
        <v>134</v>
      </c>
      <c r="H3762" s="11" t="s">
        <v>23</v>
      </c>
      <c r="I3762" s="12" t="n">
        <v>40</v>
      </c>
      <c r="J3762" s="13" t="n">
        <v>150</v>
      </c>
      <c r="K3762" s="14" t="n">
        <f aca="false">I3762*J3762</f>
        <v>6000</v>
      </c>
      <c r="L3762" s="14" t="n">
        <f aca="false">($L$2*M3762)/100</f>
        <v>420583.275</v>
      </c>
      <c r="M3762" s="15" t="n">
        <v>0.35</v>
      </c>
      <c r="N3762" s="9" t="s">
        <v>20</v>
      </c>
    </row>
    <row r="3763" customFormat="false" ht="14.25" hidden="false" customHeight="true" outlineLevel="0" collapsed="false">
      <c r="B3763" s="9" t="s">
        <v>63</v>
      </c>
      <c r="C3763" s="9" t="n">
        <v>1185732</v>
      </c>
      <c r="D3763" s="10" t="n">
        <v>44297</v>
      </c>
      <c r="E3763" s="9" t="s">
        <v>17</v>
      </c>
      <c r="F3763" s="9" t="s">
        <v>133</v>
      </c>
      <c r="G3763" s="9" t="s">
        <v>134</v>
      </c>
      <c r="H3763" s="11" t="s">
        <v>24</v>
      </c>
      <c r="I3763" s="12" t="n">
        <v>55</v>
      </c>
      <c r="J3763" s="13" t="n">
        <v>150</v>
      </c>
      <c r="K3763" s="14" t="n">
        <f aca="false">I3763*J3763</f>
        <v>8250</v>
      </c>
      <c r="L3763" s="14" t="n">
        <f aca="false">($L$2*M3763)/100</f>
        <v>420583.275</v>
      </c>
      <c r="M3763" s="15" t="n">
        <v>0.35</v>
      </c>
      <c r="N3763" s="9" t="s">
        <v>20</v>
      </c>
    </row>
    <row r="3764" customFormat="false" ht="14.25" hidden="false" customHeight="true" outlineLevel="0" collapsed="false">
      <c r="B3764" s="9" t="s">
        <v>63</v>
      </c>
      <c r="C3764" s="9" t="n">
        <v>1185732</v>
      </c>
      <c r="D3764" s="10" t="n">
        <v>44297</v>
      </c>
      <c r="E3764" s="9" t="s">
        <v>17</v>
      </c>
      <c r="F3764" s="9" t="s">
        <v>133</v>
      </c>
      <c r="G3764" s="9" t="s">
        <v>134</v>
      </c>
      <c r="H3764" s="11" t="s">
        <v>25</v>
      </c>
      <c r="I3764" s="12" t="n">
        <v>45</v>
      </c>
      <c r="J3764" s="13" t="n">
        <v>300</v>
      </c>
      <c r="K3764" s="14" t="n">
        <f aca="false">I3764*J3764</f>
        <v>13500</v>
      </c>
      <c r="L3764" s="14" t="n">
        <f aca="false">($L$2*M3764)/100</f>
        <v>480666.6</v>
      </c>
      <c r="M3764" s="15" t="n">
        <v>0.4</v>
      </c>
      <c r="N3764" s="9" t="s">
        <v>20</v>
      </c>
    </row>
    <row r="3765" customFormat="false" ht="14.25" hidden="false" customHeight="true" outlineLevel="0" collapsed="false">
      <c r="B3765" s="9" t="s">
        <v>63</v>
      </c>
      <c r="C3765" s="9" t="n">
        <v>1185732</v>
      </c>
      <c r="D3765" s="10" t="n">
        <v>44326</v>
      </c>
      <c r="E3765" s="9" t="s">
        <v>17</v>
      </c>
      <c r="F3765" s="9" t="s">
        <v>133</v>
      </c>
      <c r="G3765" s="9" t="s">
        <v>134</v>
      </c>
      <c r="H3765" s="11" t="s">
        <v>19</v>
      </c>
      <c r="I3765" s="12" t="n">
        <v>60</v>
      </c>
      <c r="J3765" s="13" t="n">
        <v>570</v>
      </c>
      <c r="K3765" s="14" t="n">
        <f aca="false">I3765*J3765</f>
        <v>34200</v>
      </c>
      <c r="L3765" s="14" t="n">
        <f aca="false">($L$2*M3765)/100</f>
        <v>540749.925</v>
      </c>
      <c r="M3765" s="15" t="n">
        <v>0.45</v>
      </c>
      <c r="N3765" s="9" t="s">
        <v>20</v>
      </c>
    </row>
    <row r="3766" customFormat="false" ht="14.25" hidden="false" customHeight="true" outlineLevel="0" collapsed="false">
      <c r="B3766" s="9" t="s">
        <v>63</v>
      </c>
      <c r="C3766" s="9" t="n">
        <v>1185732</v>
      </c>
      <c r="D3766" s="10" t="n">
        <v>44326</v>
      </c>
      <c r="E3766" s="9" t="s">
        <v>17</v>
      </c>
      <c r="F3766" s="9" t="s">
        <v>133</v>
      </c>
      <c r="G3766" s="9" t="s">
        <v>134</v>
      </c>
      <c r="H3766" s="11" t="s">
        <v>21</v>
      </c>
      <c r="I3766" s="12" t="n">
        <v>55</v>
      </c>
      <c r="J3766" s="13" t="n">
        <v>275</v>
      </c>
      <c r="K3766" s="14" t="n">
        <f aca="false">I3766*J3766</f>
        <v>15125</v>
      </c>
      <c r="L3766" s="14" t="n">
        <f aca="false">($L$2*M3766)/100</f>
        <v>540749.925</v>
      </c>
      <c r="M3766" s="15" t="n">
        <v>0.45</v>
      </c>
      <c r="N3766" s="9" t="s">
        <v>20</v>
      </c>
    </row>
    <row r="3767" customFormat="false" ht="14.25" hidden="false" customHeight="true" outlineLevel="0" collapsed="false">
      <c r="B3767" s="9" t="s">
        <v>63</v>
      </c>
      <c r="C3767" s="9" t="n">
        <v>1185732</v>
      </c>
      <c r="D3767" s="10" t="n">
        <v>44326</v>
      </c>
      <c r="E3767" s="9" t="s">
        <v>17</v>
      </c>
      <c r="F3767" s="9" t="s">
        <v>133</v>
      </c>
      <c r="G3767" s="9" t="s">
        <v>134</v>
      </c>
      <c r="H3767" s="11" t="s">
        <v>22</v>
      </c>
      <c r="I3767" s="12" t="n">
        <v>50</v>
      </c>
      <c r="J3767" s="13" t="n">
        <v>300</v>
      </c>
      <c r="K3767" s="14" t="n">
        <f aca="false">I3767*J3767</f>
        <v>15000</v>
      </c>
      <c r="L3767" s="14" t="n">
        <f aca="false">($L$2*M3767)/100</f>
        <v>420583.275</v>
      </c>
      <c r="M3767" s="15" t="n">
        <v>0.35</v>
      </c>
      <c r="N3767" s="9" t="s">
        <v>20</v>
      </c>
    </row>
    <row r="3768" customFormat="false" ht="14.25" hidden="false" customHeight="true" outlineLevel="0" collapsed="false">
      <c r="B3768" s="9" t="s">
        <v>63</v>
      </c>
      <c r="C3768" s="9" t="n">
        <v>1185732</v>
      </c>
      <c r="D3768" s="10" t="n">
        <v>44326</v>
      </c>
      <c r="E3768" s="9" t="s">
        <v>17</v>
      </c>
      <c r="F3768" s="9" t="s">
        <v>133</v>
      </c>
      <c r="G3768" s="9" t="s">
        <v>134</v>
      </c>
      <c r="H3768" s="11" t="s">
        <v>23</v>
      </c>
      <c r="I3768" s="12" t="n">
        <v>50</v>
      </c>
      <c r="J3768" s="13" t="n">
        <v>250</v>
      </c>
      <c r="K3768" s="14" t="n">
        <f aca="false">I3768*J3768</f>
        <v>12500</v>
      </c>
      <c r="L3768" s="14" t="n">
        <f aca="false">($L$2*M3768)/100</f>
        <v>420583.275</v>
      </c>
      <c r="M3768" s="15" t="n">
        <v>0.35</v>
      </c>
      <c r="N3768" s="9" t="s">
        <v>20</v>
      </c>
    </row>
    <row r="3769" customFormat="false" ht="14.25" hidden="false" customHeight="true" outlineLevel="0" collapsed="false">
      <c r="B3769" s="9" t="s">
        <v>63</v>
      </c>
      <c r="C3769" s="9" t="n">
        <v>1185732</v>
      </c>
      <c r="D3769" s="10" t="n">
        <v>44326</v>
      </c>
      <c r="E3769" s="9" t="s">
        <v>17</v>
      </c>
      <c r="F3769" s="9" t="s">
        <v>133</v>
      </c>
      <c r="G3769" s="9" t="s">
        <v>134</v>
      </c>
      <c r="H3769" s="11" t="s">
        <v>24</v>
      </c>
      <c r="I3769" s="12" t="n">
        <v>60</v>
      </c>
      <c r="J3769" s="13" t="n">
        <v>275</v>
      </c>
      <c r="K3769" s="14" t="n">
        <f aca="false">I3769*J3769</f>
        <v>16500</v>
      </c>
      <c r="L3769" s="14" t="n">
        <f aca="false">($L$2*M3769)/100</f>
        <v>420583.275</v>
      </c>
      <c r="M3769" s="15" t="n">
        <v>0.35</v>
      </c>
      <c r="N3769" s="9" t="s">
        <v>20</v>
      </c>
    </row>
    <row r="3770" customFormat="false" ht="14.25" hidden="false" customHeight="true" outlineLevel="0" collapsed="false">
      <c r="B3770" s="9" t="s">
        <v>63</v>
      </c>
      <c r="C3770" s="9" t="n">
        <v>1185732</v>
      </c>
      <c r="D3770" s="10" t="n">
        <v>44326</v>
      </c>
      <c r="E3770" s="9" t="s">
        <v>17</v>
      </c>
      <c r="F3770" s="9" t="s">
        <v>133</v>
      </c>
      <c r="G3770" s="9" t="s">
        <v>134</v>
      </c>
      <c r="H3770" s="11" t="s">
        <v>25</v>
      </c>
      <c r="I3770" s="12" t="n">
        <v>65</v>
      </c>
      <c r="J3770" s="13" t="n">
        <v>400</v>
      </c>
      <c r="K3770" s="14" t="n">
        <f aca="false">I3770*J3770</f>
        <v>26000</v>
      </c>
      <c r="L3770" s="14" t="n">
        <f aca="false">($L$2*M3770)/100</f>
        <v>480666.6</v>
      </c>
      <c r="M3770" s="15" t="n">
        <v>0.4</v>
      </c>
      <c r="N3770" s="9" t="s">
        <v>20</v>
      </c>
    </row>
    <row r="3771" customFormat="false" ht="14.25" hidden="false" customHeight="true" outlineLevel="0" collapsed="false">
      <c r="B3771" s="9" t="s">
        <v>63</v>
      </c>
      <c r="C3771" s="9" t="n">
        <v>1185732</v>
      </c>
      <c r="D3771" s="10" t="n">
        <v>44359</v>
      </c>
      <c r="E3771" s="9" t="s">
        <v>17</v>
      </c>
      <c r="F3771" s="9" t="s">
        <v>133</v>
      </c>
      <c r="G3771" s="9" t="s">
        <v>134</v>
      </c>
      <c r="H3771" s="11" t="s">
        <v>19</v>
      </c>
      <c r="I3771" s="12" t="n">
        <v>60</v>
      </c>
      <c r="J3771" s="13" t="n">
        <v>650</v>
      </c>
      <c r="K3771" s="14" t="n">
        <f aca="false">I3771*J3771</f>
        <v>39000</v>
      </c>
      <c r="L3771" s="14" t="n">
        <f aca="false">($L$2*M3771)/100</f>
        <v>540749.925</v>
      </c>
      <c r="M3771" s="15" t="n">
        <v>0.45</v>
      </c>
      <c r="N3771" s="9" t="s">
        <v>20</v>
      </c>
    </row>
    <row r="3772" customFormat="false" ht="14.25" hidden="false" customHeight="true" outlineLevel="0" collapsed="false">
      <c r="B3772" s="9" t="s">
        <v>63</v>
      </c>
      <c r="C3772" s="9" t="n">
        <v>1185732</v>
      </c>
      <c r="D3772" s="10" t="n">
        <v>44359</v>
      </c>
      <c r="E3772" s="9" t="s">
        <v>17</v>
      </c>
      <c r="F3772" s="9" t="s">
        <v>133</v>
      </c>
      <c r="G3772" s="9" t="s">
        <v>134</v>
      </c>
      <c r="H3772" s="11" t="s">
        <v>21</v>
      </c>
      <c r="I3772" s="12" t="n">
        <v>55</v>
      </c>
      <c r="J3772" s="13" t="n">
        <v>400</v>
      </c>
      <c r="K3772" s="14" t="n">
        <f aca="false">I3772*J3772</f>
        <v>22000</v>
      </c>
      <c r="L3772" s="14" t="n">
        <f aca="false">($L$2*M3772)/100</f>
        <v>540749.925</v>
      </c>
      <c r="M3772" s="15" t="n">
        <v>0.45</v>
      </c>
      <c r="N3772" s="9" t="s">
        <v>20</v>
      </c>
    </row>
    <row r="3773" customFormat="false" ht="14.25" hidden="false" customHeight="true" outlineLevel="0" collapsed="false">
      <c r="B3773" s="9" t="s">
        <v>63</v>
      </c>
      <c r="C3773" s="9" t="n">
        <v>1185732</v>
      </c>
      <c r="D3773" s="10" t="n">
        <v>44359</v>
      </c>
      <c r="E3773" s="9" t="s">
        <v>17</v>
      </c>
      <c r="F3773" s="9" t="s">
        <v>133</v>
      </c>
      <c r="G3773" s="9" t="s">
        <v>134</v>
      </c>
      <c r="H3773" s="11" t="s">
        <v>22</v>
      </c>
      <c r="I3773" s="12" t="n">
        <v>50</v>
      </c>
      <c r="J3773" s="13" t="n">
        <v>325</v>
      </c>
      <c r="K3773" s="14" t="n">
        <f aca="false">I3773*J3773</f>
        <v>16250</v>
      </c>
      <c r="L3773" s="14" t="n">
        <f aca="false">($L$2*M3773)/100</f>
        <v>420583.275</v>
      </c>
      <c r="M3773" s="15" t="n">
        <v>0.35</v>
      </c>
      <c r="N3773" s="9" t="s">
        <v>20</v>
      </c>
    </row>
    <row r="3774" customFormat="false" ht="14.25" hidden="false" customHeight="true" outlineLevel="0" collapsed="false">
      <c r="B3774" s="9" t="s">
        <v>63</v>
      </c>
      <c r="C3774" s="9" t="n">
        <v>1185732</v>
      </c>
      <c r="D3774" s="10" t="n">
        <v>44359</v>
      </c>
      <c r="E3774" s="9" t="s">
        <v>17</v>
      </c>
      <c r="F3774" s="9" t="s">
        <v>133</v>
      </c>
      <c r="G3774" s="9" t="s">
        <v>134</v>
      </c>
      <c r="H3774" s="11" t="s">
        <v>23</v>
      </c>
      <c r="I3774" s="12" t="n">
        <v>50</v>
      </c>
      <c r="J3774" s="13" t="n">
        <v>300</v>
      </c>
      <c r="K3774" s="14" t="n">
        <f aca="false">I3774*J3774</f>
        <v>15000</v>
      </c>
      <c r="L3774" s="14" t="n">
        <f aca="false">($L$2*M3774)/100</f>
        <v>420583.275</v>
      </c>
      <c r="M3774" s="15" t="n">
        <v>0.35</v>
      </c>
      <c r="N3774" s="9" t="s">
        <v>20</v>
      </c>
    </row>
    <row r="3775" customFormat="false" ht="14.25" hidden="false" customHeight="true" outlineLevel="0" collapsed="false">
      <c r="B3775" s="9" t="s">
        <v>63</v>
      </c>
      <c r="C3775" s="9" t="n">
        <v>1185732</v>
      </c>
      <c r="D3775" s="10" t="n">
        <v>44359</v>
      </c>
      <c r="E3775" s="9" t="s">
        <v>17</v>
      </c>
      <c r="F3775" s="9" t="s">
        <v>133</v>
      </c>
      <c r="G3775" s="9" t="s">
        <v>134</v>
      </c>
      <c r="H3775" s="11" t="s">
        <v>24</v>
      </c>
      <c r="I3775" s="12" t="n">
        <v>60</v>
      </c>
      <c r="J3775" s="13" t="n">
        <v>300</v>
      </c>
      <c r="K3775" s="14" t="n">
        <f aca="false">I3775*J3775</f>
        <v>18000</v>
      </c>
      <c r="L3775" s="14" t="n">
        <f aca="false">($L$2*M3775)/100</f>
        <v>420583.275</v>
      </c>
      <c r="M3775" s="15" t="n">
        <v>0.35</v>
      </c>
      <c r="N3775" s="9" t="s">
        <v>20</v>
      </c>
    </row>
    <row r="3776" customFormat="false" ht="14.25" hidden="false" customHeight="true" outlineLevel="0" collapsed="false">
      <c r="B3776" s="9" t="s">
        <v>63</v>
      </c>
      <c r="C3776" s="9" t="n">
        <v>1185732</v>
      </c>
      <c r="D3776" s="10" t="n">
        <v>44359</v>
      </c>
      <c r="E3776" s="9" t="s">
        <v>17</v>
      </c>
      <c r="F3776" s="9" t="s">
        <v>133</v>
      </c>
      <c r="G3776" s="9" t="s">
        <v>134</v>
      </c>
      <c r="H3776" s="11" t="s">
        <v>25</v>
      </c>
      <c r="I3776" s="12" t="n">
        <v>65</v>
      </c>
      <c r="J3776" s="13" t="n">
        <v>450</v>
      </c>
      <c r="K3776" s="14" t="n">
        <f aca="false">I3776*J3776</f>
        <v>29250</v>
      </c>
      <c r="L3776" s="14" t="n">
        <f aca="false">($L$2*M3776)/100</f>
        <v>480666.6</v>
      </c>
      <c r="M3776" s="15" t="n">
        <v>0.4</v>
      </c>
      <c r="N3776" s="9" t="s">
        <v>20</v>
      </c>
    </row>
    <row r="3777" customFormat="false" ht="14.25" hidden="false" customHeight="true" outlineLevel="0" collapsed="false">
      <c r="B3777" s="9" t="s">
        <v>63</v>
      </c>
      <c r="C3777" s="9" t="n">
        <v>1185732</v>
      </c>
      <c r="D3777" s="10" t="n">
        <v>44387</v>
      </c>
      <c r="E3777" s="9" t="s">
        <v>17</v>
      </c>
      <c r="F3777" s="9" t="s">
        <v>133</v>
      </c>
      <c r="G3777" s="9" t="s">
        <v>134</v>
      </c>
      <c r="H3777" s="11" t="s">
        <v>19</v>
      </c>
      <c r="I3777" s="12" t="n">
        <v>60</v>
      </c>
      <c r="J3777" s="13" t="n">
        <v>675</v>
      </c>
      <c r="K3777" s="14" t="n">
        <f aca="false">I3777*J3777</f>
        <v>40500</v>
      </c>
      <c r="L3777" s="14" t="n">
        <f aca="false">($L$2*M3777)/100</f>
        <v>540749.925</v>
      </c>
      <c r="M3777" s="15" t="n">
        <v>0.45</v>
      </c>
      <c r="N3777" s="9" t="s">
        <v>20</v>
      </c>
    </row>
    <row r="3778" customFormat="false" ht="14.25" hidden="false" customHeight="true" outlineLevel="0" collapsed="false">
      <c r="B3778" s="9" t="s">
        <v>63</v>
      </c>
      <c r="C3778" s="9" t="n">
        <v>1185732</v>
      </c>
      <c r="D3778" s="10" t="n">
        <v>44387</v>
      </c>
      <c r="E3778" s="9" t="s">
        <v>17</v>
      </c>
      <c r="F3778" s="9" t="s">
        <v>133</v>
      </c>
      <c r="G3778" s="9" t="s">
        <v>134</v>
      </c>
      <c r="H3778" s="11" t="s">
        <v>21</v>
      </c>
      <c r="I3778" s="12" t="n">
        <v>55</v>
      </c>
      <c r="J3778" s="13" t="n">
        <v>425</v>
      </c>
      <c r="K3778" s="14" t="n">
        <f aca="false">I3778*J3778</f>
        <v>23375</v>
      </c>
      <c r="L3778" s="14" t="n">
        <f aca="false">($L$2*M3778)/100</f>
        <v>540749.925</v>
      </c>
      <c r="M3778" s="15" t="n">
        <v>0.45</v>
      </c>
      <c r="N3778" s="9" t="s">
        <v>20</v>
      </c>
    </row>
    <row r="3779" customFormat="false" ht="14.25" hidden="false" customHeight="true" outlineLevel="0" collapsed="false">
      <c r="B3779" s="9" t="s">
        <v>63</v>
      </c>
      <c r="C3779" s="9" t="n">
        <v>1185732</v>
      </c>
      <c r="D3779" s="10" t="n">
        <v>44387</v>
      </c>
      <c r="E3779" s="9" t="s">
        <v>17</v>
      </c>
      <c r="F3779" s="9" t="s">
        <v>133</v>
      </c>
      <c r="G3779" s="9" t="s">
        <v>134</v>
      </c>
      <c r="H3779" s="11" t="s">
        <v>22</v>
      </c>
      <c r="I3779" s="12" t="n">
        <v>50</v>
      </c>
      <c r="J3779" s="13" t="n">
        <v>350</v>
      </c>
      <c r="K3779" s="14" t="n">
        <f aca="false">I3779*J3779</f>
        <v>17500</v>
      </c>
      <c r="L3779" s="14" t="n">
        <f aca="false">($L$2*M3779)/100</f>
        <v>420583.275</v>
      </c>
      <c r="M3779" s="15" t="n">
        <v>0.35</v>
      </c>
      <c r="N3779" s="9" t="s">
        <v>20</v>
      </c>
    </row>
    <row r="3780" customFormat="false" ht="14.25" hidden="false" customHeight="true" outlineLevel="0" collapsed="false">
      <c r="B3780" s="9" t="s">
        <v>63</v>
      </c>
      <c r="C3780" s="9" t="n">
        <v>1185732</v>
      </c>
      <c r="D3780" s="10" t="n">
        <v>44387</v>
      </c>
      <c r="E3780" s="9" t="s">
        <v>17</v>
      </c>
      <c r="F3780" s="9" t="s">
        <v>133</v>
      </c>
      <c r="G3780" s="9" t="s">
        <v>134</v>
      </c>
      <c r="H3780" s="11" t="s">
        <v>23</v>
      </c>
      <c r="I3780" s="12" t="n">
        <v>50</v>
      </c>
      <c r="J3780" s="13" t="n">
        <v>300</v>
      </c>
      <c r="K3780" s="14" t="n">
        <f aca="false">I3780*J3780</f>
        <v>15000</v>
      </c>
      <c r="L3780" s="14" t="n">
        <f aca="false">($L$2*M3780)/100</f>
        <v>420583.275</v>
      </c>
      <c r="M3780" s="15" t="n">
        <v>0.35</v>
      </c>
      <c r="N3780" s="9" t="s">
        <v>20</v>
      </c>
    </row>
    <row r="3781" customFormat="false" ht="14.25" hidden="false" customHeight="true" outlineLevel="0" collapsed="false">
      <c r="B3781" s="9" t="s">
        <v>63</v>
      </c>
      <c r="C3781" s="9" t="n">
        <v>1185732</v>
      </c>
      <c r="D3781" s="10" t="n">
        <v>44387</v>
      </c>
      <c r="E3781" s="9" t="s">
        <v>17</v>
      </c>
      <c r="F3781" s="9" t="s">
        <v>133</v>
      </c>
      <c r="G3781" s="9" t="s">
        <v>134</v>
      </c>
      <c r="H3781" s="11" t="s">
        <v>24</v>
      </c>
      <c r="I3781" s="12" t="n">
        <v>60</v>
      </c>
      <c r="J3781" s="13" t="n">
        <v>325</v>
      </c>
      <c r="K3781" s="14" t="n">
        <f aca="false">I3781*J3781</f>
        <v>19500</v>
      </c>
      <c r="L3781" s="14" t="n">
        <f aca="false">($L$2*M3781)/100</f>
        <v>420583.275</v>
      </c>
      <c r="M3781" s="15" t="n">
        <v>0.35</v>
      </c>
      <c r="N3781" s="9" t="s">
        <v>20</v>
      </c>
    </row>
    <row r="3782" customFormat="false" ht="14.25" hidden="false" customHeight="true" outlineLevel="0" collapsed="false">
      <c r="B3782" s="9" t="s">
        <v>63</v>
      </c>
      <c r="C3782" s="9" t="n">
        <v>1185732</v>
      </c>
      <c r="D3782" s="10" t="n">
        <v>44387</v>
      </c>
      <c r="E3782" s="9" t="s">
        <v>17</v>
      </c>
      <c r="F3782" s="9" t="s">
        <v>133</v>
      </c>
      <c r="G3782" s="9" t="s">
        <v>134</v>
      </c>
      <c r="H3782" s="11" t="s">
        <v>25</v>
      </c>
      <c r="I3782" s="12" t="n">
        <v>65</v>
      </c>
      <c r="J3782" s="13" t="n">
        <v>500</v>
      </c>
      <c r="K3782" s="14" t="n">
        <f aca="false">I3782*J3782</f>
        <v>32500</v>
      </c>
      <c r="L3782" s="14" t="n">
        <f aca="false">($L$2*M3782)/100</f>
        <v>480666.6</v>
      </c>
      <c r="M3782" s="15" t="n">
        <v>0.4</v>
      </c>
      <c r="N3782" s="9" t="s">
        <v>20</v>
      </c>
    </row>
    <row r="3783" customFormat="false" ht="14.25" hidden="false" customHeight="true" outlineLevel="0" collapsed="false">
      <c r="B3783" s="9" t="s">
        <v>63</v>
      </c>
      <c r="C3783" s="9" t="n">
        <v>1185732</v>
      </c>
      <c r="D3783" s="10" t="n">
        <v>44419</v>
      </c>
      <c r="E3783" s="9" t="s">
        <v>17</v>
      </c>
      <c r="F3783" s="9" t="s">
        <v>133</v>
      </c>
      <c r="G3783" s="9" t="s">
        <v>134</v>
      </c>
      <c r="H3783" s="11" t="s">
        <v>19</v>
      </c>
      <c r="I3783" s="12" t="n">
        <v>60</v>
      </c>
      <c r="J3783" s="13" t="n">
        <v>650</v>
      </c>
      <c r="K3783" s="14" t="n">
        <f aca="false">I3783*J3783</f>
        <v>39000</v>
      </c>
      <c r="L3783" s="14" t="n">
        <f aca="false">($L$2*M3783)/100</f>
        <v>540749.925</v>
      </c>
      <c r="M3783" s="15" t="n">
        <v>0.45</v>
      </c>
      <c r="N3783" s="9" t="s">
        <v>20</v>
      </c>
    </row>
    <row r="3784" customFormat="false" ht="14.25" hidden="false" customHeight="true" outlineLevel="0" collapsed="false">
      <c r="B3784" s="9" t="s">
        <v>63</v>
      </c>
      <c r="C3784" s="9" t="n">
        <v>1185732</v>
      </c>
      <c r="D3784" s="10" t="n">
        <v>44419</v>
      </c>
      <c r="E3784" s="9" t="s">
        <v>17</v>
      </c>
      <c r="F3784" s="9" t="s">
        <v>133</v>
      </c>
      <c r="G3784" s="9" t="s">
        <v>134</v>
      </c>
      <c r="H3784" s="11" t="s">
        <v>21</v>
      </c>
      <c r="I3784" s="12" t="n">
        <v>55</v>
      </c>
      <c r="J3784" s="13" t="n">
        <v>425</v>
      </c>
      <c r="K3784" s="14" t="n">
        <f aca="false">I3784*J3784</f>
        <v>23375</v>
      </c>
      <c r="L3784" s="14" t="n">
        <f aca="false">($L$2*M3784)/100</f>
        <v>540749.925</v>
      </c>
      <c r="M3784" s="15" t="n">
        <v>0.45</v>
      </c>
      <c r="N3784" s="9" t="s">
        <v>20</v>
      </c>
    </row>
    <row r="3785" customFormat="false" ht="14.25" hidden="false" customHeight="true" outlineLevel="0" collapsed="false">
      <c r="B3785" s="9" t="s">
        <v>63</v>
      </c>
      <c r="C3785" s="9" t="n">
        <v>1185732</v>
      </c>
      <c r="D3785" s="10" t="n">
        <v>44419</v>
      </c>
      <c r="E3785" s="9" t="s">
        <v>17</v>
      </c>
      <c r="F3785" s="9" t="s">
        <v>133</v>
      </c>
      <c r="G3785" s="9" t="s">
        <v>134</v>
      </c>
      <c r="H3785" s="11" t="s">
        <v>22</v>
      </c>
      <c r="I3785" s="12" t="n">
        <v>50</v>
      </c>
      <c r="J3785" s="13" t="n">
        <v>350</v>
      </c>
      <c r="K3785" s="14" t="n">
        <f aca="false">I3785*J3785</f>
        <v>17500</v>
      </c>
      <c r="L3785" s="14" t="n">
        <f aca="false">($L$2*M3785)/100</f>
        <v>420583.275</v>
      </c>
      <c r="M3785" s="15" t="n">
        <v>0.35</v>
      </c>
      <c r="N3785" s="9" t="s">
        <v>20</v>
      </c>
    </row>
    <row r="3786" customFormat="false" ht="14.25" hidden="false" customHeight="true" outlineLevel="0" collapsed="false">
      <c r="B3786" s="9" t="s">
        <v>63</v>
      </c>
      <c r="C3786" s="9" t="n">
        <v>1185732</v>
      </c>
      <c r="D3786" s="10" t="n">
        <v>44419</v>
      </c>
      <c r="E3786" s="9" t="s">
        <v>17</v>
      </c>
      <c r="F3786" s="9" t="s">
        <v>133</v>
      </c>
      <c r="G3786" s="9" t="s">
        <v>134</v>
      </c>
      <c r="H3786" s="11" t="s">
        <v>23</v>
      </c>
      <c r="I3786" s="12" t="n">
        <v>50</v>
      </c>
      <c r="J3786" s="13" t="n">
        <v>250</v>
      </c>
      <c r="K3786" s="14" t="n">
        <f aca="false">I3786*J3786</f>
        <v>12500</v>
      </c>
      <c r="L3786" s="14" t="n">
        <f aca="false">($L$2*M3786)/100</f>
        <v>420583.275</v>
      </c>
      <c r="M3786" s="15" t="n">
        <v>0.35</v>
      </c>
      <c r="N3786" s="9" t="s">
        <v>20</v>
      </c>
    </row>
    <row r="3787" customFormat="false" ht="14.25" hidden="false" customHeight="true" outlineLevel="0" collapsed="false">
      <c r="B3787" s="9" t="s">
        <v>63</v>
      </c>
      <c r="C3787" s="9" t="n">
        <v>1185732</v>
      </c>
      <c r="D3787" s="10" t="n">
        <v>44419</v>
      </c>
      <c r="E3787" s="9" t="s">
        <v>17</v>
      </c>
      <c r="F3787" s="9" t="s">
        <v>133</v>
      </c>
      <c r="G3787" s="9" t="s">
        <v>134</v>
      </c>
      <c r="H3787" s="11" t="s">
        <v>24</v>
      </c>
      <c r="I3787" s="12" t="n">
        <v>60</v>
      </c>
      <c r="J3787" s="13" t="n">
        <v>225</v>
      </c>
      <c r="K3787" s="14" t="n">
        <f aca="false">I3787*J3787</f>
        <v>13500</v>
      </c>
      <c r="L3787" s="14" t="n">
        <f aca="false">($L$2*M3787)/100</f>
        <v>420583.275</v>
      </c>
      <c r="M3787" s="15" t="n">
        <v>0.35</v>
      </c>
      <c r="N3787" s="9" t="s">
        <v>20</v>
      </c>
    </row>
    <row r="3788" customFormat="false" ht="14.25" hidden="false" customHeight="true" outlineLevel="0" collapsed="false">
      <c r="B3788" s="9" t="s">
        <v>63</v>
      </c>
      <c r="C3788" s="9" t="n">
        <v>1185732</v>
      </c>
      <c r="D3788" s="10" t="n">
        <v>44419</v>
      </c>
      <c r="E3788" s="9" t="s">
        <v>17</v>
      </c>
      <c r="F3788" s="9" t="s">
        <v>133</v>
      </c>
      <c r="G3788" s="9" t="s">
        <v>134</v>
      </c>
      <c r="H3788" s="11" t="s">
        <v>25</v>
      </c>
      <c r="I3788" s="12" t="n">
        <v>65</v>
      </c>
      <c r="J3788" s="13" t="n">
        <v>400</v>
      </c>
      <c r="K3788" s="14" t="n">
        <f aca="false">I3788*J3788</f>
        <v>26000</v>
      </c>
      <c r="L3788" s="14" t="n">
        <f aca="false">($L$2*M3788)/100</f>
        <v>480666.6</v>
      </c>
      <c r="M3788" s="15" t="n">
        <v>0.4</v>
      </c>
      <c r="N3788" s="9" t="s">
        <v>20</v>
      </c>
    </row>
    <row r="3789" customFormat="false" ht="14.25" hidden="false" customHeight="true" outlineLevel="0" collapsed="false">
      <c r="B3789" s="9" t="s">
        <v>63</v>
      </c>
      <c r="C3789" s="9" t="n">
        <v>1185732</v>
      </c>
      <c r="D3789" s="10" t="n">
        <v>44449</v>
      </c>
      <c r="E3789" s="9" t="s">
        <v>17</v>
      </c>
      <c r="F3789" s="9" t="s">
        <v>133</v>
      </c>
      <c r="G3789" s="9" t="s">
        <v>134</v>
      </c>
      <c r="H3789" s="11" t="s">
        <v>19</v>
      </c>
      <c r="I3789" s="12" t="n">
        <v>60</v>
      </c>
      <c r="J3789" s="13" t="n">
        <v>525</v>
      </c>
      <c r="K3789" s="14" t="n">
        <f aca="false">I3789*J3789</f>
        <v>31500</v>
      </c>
      <c r="L3789" s="14" t="n">
        <f aca="false">($L$2*M3789)/100</f>
        <v>540749.925</v>
      </c>
      <c r="M3789" s="15" t="n">
        <v>0.45</v>
      </c>
      <c r="N3789" s="9" t="s">
        <v>20</v>
      </c>
    </row>
    <row r="3790" customFormat="false" ht="14.25" hidden="false" customHeight="true" outlineLevel="0" collapsed="false">
      <c r="B3790" s="9" t="s">
        <v>63</v>
      </c>
      <c r="C3790" s="9" t="n">
        <v>1185732</v>
      </c>
      <c r="D3790" s="10" t="n">
        <v>44449</v>
      </c>
      <c r="E3790" s="9" t="s">
        <v>17</v>
      </c>
      <c r="F3790" s="9" t="s">
        <v>133</v>
      </c>
      <c r="G3790" s="9" t="s">
        <v>134</v>
      </c>
      <c r="H3790" s="11" t="s">
        <v>21</v>
      </c>
      <c r="I3790" s="12" t="n">
        <v>55</v>
      </c>
      <c r="J3790" s="13" t="n">
        <v>325</v>
      </c>
      <c r="K3790" s="14" t="n">
        <f aca="false">I3790*J3790</f>
        <v>17875</v>
      </c>
      <c r="L3790" s="14" t="n">
        <f aca="false">($L$2*M3790)/100</f>
        <v>540749.925</v>
      </c>
      <c r="M3790" s="15" t="n">
        <v>0.45</v>
      </c>
      <c r="N3790" s="9" t="s">
        <v>20</v>
      </c>
    </row>
    <row r="3791" customFormat="false" ht="14.25" hidden="false" customHeight="true" outlineLevel="0" collapsed="false">
      <c r="B3791" s="9" t="s">
        <v>63</v>
      </c>
      <c r="C3791" s="9" t="n">
        <v>1185732</v>
      </c>
      <c r="D3791" s="10" t="n">
        <v>44449</v>
      </c>
      <c r="E3791" s="9" t="s">
        <v>17</v>
      </c>
      <c r="F3791" s="9" t="s">
        <v>133</v>
      </c>
      <c r="G3791" s="9" t="s">
        <v>134</v>
      </c>
      <c r="H3791" s="11" t="s">
        <v>22</v>
      </c>
      <c r="I3791" s="12" t="n">
        <v>50</v>
      </c>
      <c r="J3791" s="13" t="n">
        <v>225</v>
      </c>
      <c r="K3791" s="14" t="n">
        <f aca="false">I3791*J3791</f>
        <v>11250</v>
      </c>
      <c r="L3791" s="14" t="n">
        <f aca="false">($L$2*M3791)/100</f>
        <v>420583.275</v>
      </c>
      <c r="M3791" s="15" t="n">
        <v>0.35</v>
      </c>
      <c r="N3791" s="9" t="s">
        <v>20</v>
      </c>
    </row>
    <row r="3792" customFormat="false" ht="14.25" hidden="false" customHeight="true" outlineLevel="0" collapsed="false">
      <c r="B3792" s="9" t="s">
        <v>63</v>
      </c>
      <c r="C3792" s="9" t="n">
        <v>1185732</v>
      </c>
      <c r="D3792" s="10" t="n">
        <v>44449</v>
      </c>
      <c r="E3792" s="9" t="s">
        <v>17</v>
      </c>
      <c r="F3792" s="9" t="s">
        <v>133</v>
      </c>
      <c r="G3792" s="9" t="s">
        <v>134</v>
      </c>
      <c r="H3792" s="11" t="s">
        <v>23</v>
      </c>
      <c r="I3792" s="12" t="n">
        <v>50</v>
      </c>
      <c r="J3792" s="13" t="n">
        <v>200</v>
      </c>
      <c r="K3792" s="14" t="n">
        <f aca="false">I3792*J3792</f>
        <v>10000</v>
      </c>
      <c r="L3792" s="14" t="n">
        <f aca="false">($L$2*M3792)/100</f>
        <v>420583.275</v>
      </c>
      <c r="M3792" s="15" t="n">
        <v>0.35</v>
      </c>
      <c r="N3792" s="9" t="s">
        <v>20</v>
      </c>
    </row>
    <row r="3793" customFormat="false" ht="14.25" hidden="false" customHeight="true" outlineLevel="0" collapsed="false">
      <c r="B3793" s="9" t="s">
        <v>63</v>
      </c>
      <c r="C3793" s="9" t="n">
        <v>1185732</v>
      </c>
      <c r="D3793" s="10" t="n">
        <v>44449</v>
      </c>
      <c r="E3793" s="9" t="s">
        <v>17</v>
      </c>
      <c r="F3793" s="9" t="s">
        <v>133</v>
      </c>
      <c r="G3793" s="9" t="s">
        <v>134</v>
      </c>
      <c r="H3793" s="11" t="s">
        <v>24</v>
      </c>
      <c r="I3793" s="12" t="n">
        <v>60</v>
      </c>
      <c r="J3793" s="13" t="n">
        <v>200</v>
      </c>
      <c r="K3793" s="14" t="n">
        <f aca="false">I3793*J3793</f>
        <v>12000</v>
      </c>
      <c r="L3793" s="14" t="n">
        <f aca="false">($L$2*M3793)/100</f>
        <v>420583.275</v>
      </c>
      <c r="M3793" s="15" t="n">
        <v>0.35</v>
      </c>
      <c r="N3793" s="9" t="s">
        <v>20</v>
      </c>
    </row>
    <row r="3794" customFormat="false" ht="14.25" hidden="false" customHeight="true" outlineLevel="0" collapsed="false">
      <c r="B3794" s="9" t="s">
        <v>63</v>
      </c>
      <c r="C3794" s="9" t="n">
        <v>1185732</v>
      </c>
      <c r="D3794" s="10" t="n">
        <v>44449</v>
      </c>
      <c r="E3794" s="9" t="s">
        <v>17</v>
      </c>
      <c r="F3794" s="9" t="s">
        <v>133</v>
      </c>
      <c r="G3794" s="9" t="s">
        <v>134</v>
      </c>
      <c r="H3794" s="11" t="s">
        <v>25</v>
      </c>
      <c r="I3794" s="12" t="n">
        <v>65</v>
      </c>
      <c r="J3794" s="13" t="n">
        <v>300</v>
      </c>
      <c r="K3794" s="14" t="n">
        <f aca="false">I3794*J3794</f>
        <v>19500</v>
      </c>
      <c r="L3794" s="14" t="n">
        <f aca="false">($L$2*M3794)/100</f>
        <v>480666.6</v>
      </c>
      <c r="M3794" s="15" t="n">
        <v>0.4</v>
      </c>
      <c r="N3794" s="9" t="s">
        <v>20</v>
      </c>
    </row>
    <row r="3795" customFormat="false" ht="14.25" hidden="false" customHeight="true" outlineLevel="0" collapsed="false">
      <c r="B3795" s="9" t="s">
        <v>63</v>
      </c>
      <c r="C3795" s="9" t="n">
        <v>1185732</v>
      </c>
      <c r="D3795" s="10" t="n">
        <v>44481</v>
      </c>
      <c r="E3795" s="9" t="s">
        <v>17</v>
      </c>
      <c r="F3795" s="9" t="s">
        <v>133</v>
      </c>
      <c r="G3795" s="9" t="s">
        <v>134</v>
      </c>
      <c r="H3795" s="11" t="s">
        <v>19</v>
      </c>
      <c r="I3795" s="12" t="n">
        <v>65</v>
      </c>
      <c r="J3795" s="13" t="n">
        <v>475</v>
      </c>
      <c r="K3795" s="14" t="n">
        <f aca="false">I3795*J3795</f>
        <v>30875</v>
      </c>
      <c r="L3795" s="14" t="n">
        <f aca="false">($L$2*M3795)/100</f>
        <v>540749.925</v>
      </c>
      <c r="M3795" s="15" t="n">
        <v>0.45</v>
      </c>
      <c r="N3795" s="9" t="s">
        <v>20</v>
      </c>
    </row>
    <row r="3796" customFormat="false" ht="14.25" hidden="false" customHeight="true" outlineLevel="0" collapsed="false">
      <c r="B3796" s="9" t="s">
        <v>63</v>
      </c>
      <c r="C3796" s="9" t="n">
        <v>1185732</v>
      </c>
      <c r="D3796" s="10" t="n">
        <v>44481</v>
      </c>
      <c r="E3796" s="9" t="s">
        <v>17</v>
      </c>
      <c r="F3796" s="9" t="s">
        <v>133</v>
      </c>
      <c r="G3796" s="9" t="s">
        <v>134</v>
      </c>
      <c r="H3796" s="11" t="s">
        <v>21</v>
      </c>
      <c r="I3796" s="12" t="n">
        <v>60</v>
      </c>
      <c r="J3796" s="13" t="n">
        <v>300</v>
      </c>
      <c r="K3796" s="14" t="n">
        <f aca="false">I3796*J3796</f>
        <v>18000</v>
      </c>
      <c r="L3796" s="14" t="n">
        <f aca="false">($L$2*M3796)/100</f>
        <v>540749.925</v>
      </c>
      <c r="M3796" s="15" t="n">
        <v>0.45</v>
      </c>
      <c r="N3796" s="9" t="s">
        <v>20</v>
      </c>
    </row>
    <row r="3797" customFormat="false" ht="14.25" hidden="false" customHeight="true" outlineLevel="0" collapsed="false">
      <c r="B3797" s="9" t="s">
        <v>63</v>
      </c>
      <c r="C3797" s="9" t="n">
        <v>1185732</v>
      </c>
      <c r="D3797" s="10" t="n">
        <v>44481</v>
      </c>
      <c r="E3797" s="9" t="s">
        <v>17</v>
      </c>
      <c r="F3797" s="9" t="s">
        <v>133</v>
      </c>
      <c r="G3797" s="9" t="s">
        <v>134</v>
      </c>
      <c r="H3797" s="11" t="s">
        <v>22</v>
      </c>
      <c r="I3797" s="12" t="n">
        <v>60</v>
      </c>
      <c r="J3797" s="13" t="n">
        <v>200</v>
      </c>
      <c r="K3797" s="14" t="n">
        <f aca="false">I3797*J3797</f>
        <v>12000</v>
      </c>
      <c r="L3797" s="14" t="n">
        <f aca="false">($L$2*M3797)/100</f>
        <v>420583.275</v>
      </c>
      <c r="M3797" s="15" t="n">
        <v>0.35</v>
      </c>
      <c r="N3797" s="9" t="s">
        <v>20</v>
      </c>
    </row>
    <row r="3798" customFormat="false" ht="14.25" hidden="false" customHeight="true" outlineLevel="0" collapsed="false">
      <c r="B3798" s="9" t="s">
        <v>63</v>
      </c>
      <c r="C3798" s="9" t="n">
        <v>1185732</v>
      </c>
      <c r="D3798" s="10" t="n">
        <v>44481</v>
      </c>
      <c r="E3798" s="9" t="s">
        <v>17</v>
      </c>
      <c r="F3798" s="9" t="s">
        <v>133</v>
      </c>
      <c r="G3798" s="9" t="s">
        <v>134</v>
      </c>
      <c r="H3798" s="11" t="s">
        <v>23</v>
      </c>
      <c r="I3798" s="12" t="n">
        <v>60</v>
      </c>
      <c r="J3798" s="13" t="n">
        <v>175</v>
      </c>
      <c r="K3798" s="14" t="n">
        <f aca="false">I3798*J3798</f>
        <v>10500</v>
      </c>
      <c r="L3798" s="14" t="n">
        <f aca="false">($L$2*M3798)/100</f>
        <v>420583.275</v>
      </c>
      <c r="M3798" s="15" t="n">
        <v>0.35</v>
      </c>
      <c r="N3798" s="9" t="s">
        <v>20</v>
      </c>
    </row>
    <row r="3799" customFormat="false" ht="14.25" hidden="false" customHeight="true" outlineLevel="0" collapsed="false">
      <c r="B3799" s="9" t="s">
        <v>63</v>
      </c>
      <c r="C3799" s="9" t="n">
        <v>1185732</v>
      </c>
      <c r="D3799" s="10" t="n">
        <v>44481</v>
      </c>
      <c r="E3799" s="9" t="s">
        <v>17</v>
      </c>
      <c r="F3799" s="9" t="s">
        <v>133</v>
      </c>
      <c r="G3799" s="9" t="s">
        <v>134</v>
      </c>
      <c r="H3799" s="11" t="s">
        <v>24</v>
      </c>
      <c r="I3799" s="12" t="n">
        <v>70</v>
      </c>
      <c r="J3799" s="13" t="n">
        <v>175</v>
      </c>
      <c r="K3799" s="14" t="n">
        <f aca="false">I3799*J3799</f>
        <v>12250</v>
      </c>
      <c r="L3799" s="14" t="n">
        <f aca="false">($L$2*M3799)/100</f>
        <v>420583.275</v>
      </c>
      <c r="M3799" s="15" t="n">
        <v>0.35</v>
      </c>
      <c r="N3799" s="9" t="s">
        <v>20</v>
      </c>
    </row>
    <row r="3800" customFormat="false" ht="14.25" hidden="false" customHeight="true" outlineLevel="0" collapsed="false">
      <c r="B3800" s="9" t="s">
        <v>32</v>
      </c>
      <c r="C3800" s="9" t="n">
        <v>1185732</v>
      </c>
      <c r="D3800" s="10" t="n">
        <v>44481</v>
      </c>
      <c r="E3800" s="9" t="s">
        <v>17</v>
      </c>
      <c r="F3800" s="9" t="s">
        <v>133</v>
      </c>
      <c r="G3800" s="9" t="s">
        <v>134</v>
      </c>
      <c r="H3800" s="11" t="s">
        <v>25</v>
      </c>
      <c r="I3800" s="12" t="n">
        <v>75</v>
      </c>
      <c r="J3800" s="13" t="n">
        <v>300</v>
      </c>
      <c r="K3800" s="14" t="n">
        <f aca="false">I3800*J3800</f>
        <v>22500</v>
      </c>
      <c r="L3800" s="14" t="n">
        <f aca="false">($L$2*M3800)/100</f>
        <v>480666.6</v>
      </c>
      <c r="M3800" s="15" t="n">
        <v>0.4</v>
      </c>
      <c r="N3800" s="9" t="s">
        <v>20</v>
      </c>
    </row>
    <row r="3801" customFormat="false" ht="14.25" hidden="false" customHeight="true" outlineLevel="0" collapsed="false">
      <c r="B3801" s="9" t="s">
        <v>32</v>
      </c>
      <c r="C3801" s="9" t="n">
        <v>1185732</v>
      </c>
      <c r="D3801" s="10" t="n">
        <v>44511</v>
      </c>
      <c r="E3801" s="9" t="s">
        <v>17</v>
      </c>
      <c r="F3801" s="9" t="s">
        <v>133</v>
      </c>
      <c r="G3801" s="9" t="s">
        <v>134</v>
      </c>
      <c r="H3801" s="11" t="s">
        <v>19</v>
      </c>
      <c r="I3801" s="12" t="n">
        <v>70</v>
      </c>
      <c r="J3801" s="13" t="n">
        <v>450</v>
      </c>
      <c r="K3801" s="14" t="n">
        <f aca="false">I3801*J3801</f>
        <v>31500</v>
      </c>
      <c r="L3801" s="14" t="n">
        <f aca="false">($L$2*M3801)/100</f>
        <v>540749.925</v>
      </c>
      <c r="M3801" s="15" t="n">
        <v>0.45</v>
      </c>
      <c r="N3801" s="9" t="s">
        <v>20</v>
      </c>
    </row>
    <row r="3802" customFormat="false" ht="14.25" hidden="false" customHeight="true" outlineLevel="0" collapsed="false">
      <c r="B3802" s="9" t="s">
        <v>32</v>
      </c>
      <c r="C3802" s="9" t="n">
        <v>1185732</v>
      </c>
      <c r="D3802" s="10" t="n">
        <v>44511</v>
      </c>
      <c r="E3802" s="9" t="s">
        <v>17</v>
      </c>
      <c r="F3802" s="9" t="s">
        <v>133</v>
      </c>
      <c r="G3802" s="9" t="s">
        <v>134</v>
      </c>
      <c r="H3802" s="11" t="s">
        <v>21</v>
      </c>
      <c r="I3802" s="12" t="n">
        <v>60</v>
      </c>
      <c r="J3802" s="13" t="n">
        <v>325</v>
      </c>
      <c r="K3802" s="14" t="n">
        <f aca="false">I3802*J3802</f>
        <v>19500</v>
      </c>
      <c r="L3802" s="14" t="n">
        <f aca="false">($L$2*M3802)/100</f>
        <v>540749.925</v>
      </c>
      <c r="M3802" s="15" t="n">
        <v>0.45</v>
      </c>
      <c r="N3802" s="9" t="s">
        <v>20</v>
      </c>
    </row>
    <row r="3803" customFormat="false" ht="14.25" hidden="false" customHeight="true" outlineLevel="0" collapsed="false">
      <c r="B3803" s="9" t="s">
        <v>32</v>
      </c>
      <c r="C3803" s="9" t="n">
        <v>1185732</v>
      </c>
      <c r="D3803" s="10" t="n">
        <v>44511</v>
      </c>
      <c r="E3803" s="9" t="s">
        <v>17</v>
      </c>
      <c r="F3803" s="9" t="s">
        <v>133</v>
      </c>
      <c r="G3803" s="9" t="s">
        <v>134</v>
      </c>
      <c r="H3803" s="11" t="s">
        <v>22</v>
      </c>
      <c r="I3803" s="12" t="n">
        <v>60</v>
      </c>
      <c r="J3803" s="13" t="n">
        <v>320</v>
      </c>
      <c r="K3803" s="14" t="n">
        <f aca="false">I3803*J3803</f>
        <v>19200</v>
      </c>
      <c r="L3803" s="14" t="n">
        <f aca="false">($L$2*M3803)/100</f>
        <v>420583.275</v>
      </c>
      <c r="M3803" s="15" t="n">
        <v>0.35</v>
      </c>
      <c r="N3803" s="9" t="s">
        <v>20</v>
      </c>
    </row>
    <row r="3804" customFormat="false" ht="14.25" hidden="false" customHeight="true" outlineLevel="0" collapsed="false">
      <c r="B3804" s="9" t="s">
        <v>63</v>
      </c>
      <c r="C3804" s="9" t="n">
        <v>1185732</v>
      </c>
      <c r="D3804" s="10" t="n">
        <v>44511</v>
      </c>
      <c r="E3804" s="9" t="s">
        <v>17</v>
      </c>
      <c r="F3804" s="9" t="s">
        <v>133</v>
      </c>
      <c r="G3804" s="9" t="s">
        <v>134</v>
      </c>
      <c r="H3804" s="11" t="s">
        <v>23</v>
      </c>
      <c r="I3804" s="12" t="n">
        <v>60</v>
      </c>
      <c r="J3804" s="13" t="n">
        <v>300</v>
      </c>
      <c r="K3804" s="14" t="n">
        <f aca="false">I3804*J3804</f>
        <v>18000</v>
      </c>
      <c r="L3804" s="14" t="n">
        <f aca="false">($L$2*M3804)/100</f>
        <v>420583.275</v>
      </c>
      <c r="M3804" s="15" t="n">
        <v>0.35</v>
      </c>
      <c r="N3804" s="9" t="s">
        <v>20</v>
      </c>
    </row>
    <row r="3805" customFormat="false" ht="14.25" hidden="false" customHeight="true" outlineLevel="0" collapsed="false">
      <c r="B3805" s="9" t="s">
        <v>63</v>
      </c>
      <c r="C3805" s="9" t="n">
        <v>1185732</v>
      </c>
      <c r="D3805" s="10" t="n">
        <v>44511</v>
      </c>
      <c r="E3805" s="9" t="s">
        <v>17</v>
      </c>
      <c r="F3805" s="9" t="s">
        <v>133</v>
      </c>
      <c r="G3805" s="9" t="s">
        <v>134</v>
      </c>
      <c r="H3805" s="11" t="s">
        <v>24</v>
      </c>
      <c r="I3805" s="12" t="n">
        <v>70</v>
      </c>
      <c r="J3805" s="13" t="n">
        <v>275</v>
      </c>
      <c r="K3805" s="14" t="n">
        <f aca="false">I3805*J3805</f>
        <v>19250</v>
      </c>
      <c r="L3805" s="14" t="n">
        <f aca="false">($L$2*M3805)/100</f>
        <v>420583.275</v>
      </c>
      <c r="M3805" s="15" t="n">
        <v>0.35</v>
      </c>
      <c r="N3805" s="9" t="s">
        <v>20</v>
      </c>
    </row>
    <row r="3806" customFormat="false" ht="14.25" hidden="false" customHeight="true" outlineLevel="0" collapsed="false">
      <c r="B3806" s="9" t="s">
        <v>63</v>
      </c>
      <c r="C3806" s="9" t="n">
        <v>1185732</v>
      </c>
      <c r="D3806" s="10" t="n">
        <v>44511</v>
      </c>
      <c r="E3806" s="9" t="s">
        <v>17</v>
      </c>
      <c r="F3806" s="9" t="s">
        <v>133</v>
      </c>
      <c r="G3806" s="9" t="s">
        <v>134</v>
      </c>
      <c r="H3806" s="11" t="s">
        <v>25</v>
      </c>
      <c r="I3806" s="12" t="n">
        <v>75</v>
      </c>
      <c r="J3806" s="13" t="n">
        <v>375</v>
      </c>
      <c r="K3806" s="14" t="n">
        <f aca="false">I3806*J3806</f>
        <v>28125</v>
      </c>
      <c r="L3806" s="14" t="n">
        <f aca="false">($L$2*M3806)/100</f>
        <v>480666.6</v>
      </c>
      <c r="M3806" s="15" t="n">
        <v>0.4</v>
      </c>
      <c r="N3806" s="9" t="s">
        <v>20</v>
      </c>
    </row>
    <row r="3807" customFormat="false" ht="14.25" hidden="false" customHeight="true" outlineLevel="0" collapsed="false">
      <c r="B3807" s="9" t="s">
        <v>63</v>
      </c>
      <c r="C3807" s="9" t="n">
        <v>1185732</v>
      </c>
      <c r="D3807" s="10" t="n">
        <v>44540</v>
      </c>
      <c r="E3807" s="9" t="s">
        <v>17</v>
      </c>
      <c r="F3807" s="9" t="s">
        <v>133</v>
      </c>
      <c r="G3807" s="9" t="s">
        <v>134</v>
      </c>
      <c r="H3807" s="11" t="s">
        <v>19</v>
      </c>
      <c r="I3807" s="12" t="n">
        <v>70</v>
      </c>
      <c r="J3807" s="13" t="n">
        <v>600</v>
      </c>
      <c r="K3807" s="14" t="n">
        <f aca="false">I3807*J3807</f>
        <v>42000</v>
      </c>
      <c r="L3807" s="14" t="n">
        <f aca="false">($L$2*M3807)/100</f>
        <v>540749.925</v>
      </c>
      <c r="M3807" s="15" t="n">
        <v>0.45</v>
      </c>
      <c r="N3807" s="9" t="s">
        <v>20</v>
      </c>
    </row>
    <row r="3808" customFormat="false" ht="14.25" hidden="false" customHeight="true" outlineLevel="0" collapsed="false">
      <c r="B3808" s="9" t="s">
        <v>63</v>
      </c>
      <c r="C3808" s="9" t="n">
        <v>1185732</v>
      </c>
      <c r="D3808" s="10" t="n">
        <v>44540</v>
      </c>
      <c r="E3808" s="9" t="s">
        <v>17</v>
      </c>
      <c r="F3808" s="9" t="s">
        <v>133</v>
      </c>
      <c r="G3808" s="9" t="s">
        <v>134</v>
      </c>
      <c r="H3808" s="11" t="s">
        <v>21</v>
      </c>
      <c r="I3808" s="12" t="n">
        <v>60</v>
      </c>
      <c r="J3808" s="13" t="n">
        <v>400</v>
      </c>
      <c r="K3808" s="14" t="n">
        <f aca="false">I3808*J3808</f>
        <v>24000</v>
      </c>
      <c r="L3808" s="14" t="n">
        <f aca="false">($L$2*M3808)/100</f>
        <v>540749.925</v>
      </c>
      <c r="M3808" s="15" t="n">
        <v>0.45</v>
      </c>
      <c r="N3808" s="9" t="s">
        <v>20</v>
      </c>
    </row>
    <row r="3809" customFormat="false" ht="14.25" hidden="false" customHeight="true" outlineLevel="0" collapsed="false">
      <c r="B3809" s="9" t="s">
        <v>63</v>
      </c>
      <c r="C3809" s="9" t="n">
        <v>1185732</v>
      </c>
      <c r="D3809" s="10" t="n">
        <v>44540</v>
      </c>
      <c r="E3809" s="9" t="s">
        <v>17</v>
      </c>
      <c r="F3809" s="9" t="s">
        <v>133</v>
      </c>
      <c r="G3809" s="9" t="s">
        <v>134</v>
      </c>
      <c r="H3809" s="11" t="s">
        <v>22</v>
      </c>
      <c r="I3809" s="12" t="n">
        <v>60</v>
      </c>
      <c r="J3809" s="13" t="n">
        <v>375</v>
      </c>
      <c r="K3809" s="14" t="n">
        <f aca="false">I3809*J3809</f>
        <v>22500</v>
      </c>
      <c r="L3809" s="14" t="n">
        <f aca="false">($L$2*M3809)/100</f>
        <v>420583.275</v>
      </c>
      <c r="M3809" s="15" t="n">
        <v>0.35</v>
      </c>
      <c r="N3809" s="9" t="s">
        <v>20</v>
      </c>
    </row>
    <row r="3810" customFormat="false" ht="14.25" hidden="false" customHeight="true" outlineLevel="0" collapsed="false">
      <c r="B3810" s="9" t="s">
        <v>63</v>
      </c>
      <c r="C3810" s="9" t="n">
        <v>1185732</v>
      </c>
      <c r="D3810" s="10" t="n">
        <v>44540</v>
      </c>
      <c r="E3810" s="9" t="s">
        <v>17</v>
      </c>
      <c r="F3810" s="9" t="s">
        <v>133</v>
      </c>
      <c r="G3810" s="9" t="s">
        <v>134</v>
      </c>
      <c r="H3810" s="11" t="s">
        <v>23</v>
      </c>
      <c r="I3810" s="12" t="n">
        <v>60</v>
      </c>
      <c r="J3810" s="13" t="n">
        <v>325</v>
      </c>
      <c r="K3810" s="14" t="n">
        <f aca="false">I3810*J3810</f>
        <v>19500</v>
      </c>
      <c r="L3810" s="14" t="n">
        <f aca="false">($L$2*M3810)/100</f>
        <v>420583.275</v>
      </c>
      <c r="M3810" s="15" t="n">
        <v>0.35</v>
      </c>
      <c r="N3810" s="9" t="s">
        <v>20</v>
      </c>
    </row>
    <row r="3811" customFormat="false" ht="14.25" hidden="false" customHeight="true" outlineLevel="0" collapsed="false">
      <c r="B3811" s="9" t="s">
        <v>63</v>
      </c>
      <c r="C3811" s="9" t="n">
        <v>1185732</v>
      </c>
      <c r="D3811" s="10" t="n">
        <v>44540</v>
      </c>
      <c r="E3811" s="9" t="s">
        <v>17</v>
      </c>
      <c r="F3811" s="9" t="s">
        <v>133</v>
      </c>
      <c r="G3811" s="9" t="s">
        <v>134</v>
      </c>
      <c r="H3811" s="11" t="s">
        <v>24</v>
      </c>
      <c r="I3811" s="12" t="n">
        <v>70</v>
      </c>
      <c r="J3811" s="13" t="n">
        <v>325</v>
      </c>
      <c r="K3811" s="14" t="n">
        <f aca="false">I3811*J3811</f>
        <v>22750</v>
      </c>
      <c r="L3811" s="14" t="n">
        <f aca="false">($L$2*M3811)/100</f>
        <v>420583.275</v>
      </c>
      <c r="M3811" s="15" t="n">
        <v>0.35</v>
      </c>
      <c r="N3811" s="9" t="s">
        <v>20</v>
      </c>
    </row>
    <row r="3812" customFormat="false" ht="14.25" hidden="false" customHeight="true" outlineLevel="0" collapsed="false">
      <c r="B3812" s="9" t="s">
        <v>63</v>
      </c>
      <c r="C3812" s="9" t="n">
        <v>1185732</v>
      </c>
      <c r="D3812" s="10" t="n">
        <v>44540</v>
      </c>
      <c r="E3812" s="9" t="s">
        <v>17</v>
      </c>
      <c r="F3812" s="9" t="s">
        <v>133</v>
      </c>
      <c r="G3812" s="9" t="s">
        <v>134</v>
      </c>
      <c r="H3812" s="11" t="s">
        <v>25</v>
      </c>
      <c r="I3812" s="12" t="n">
        <v>75</v>
      </c>
      <c r="J3812" s="13" t="n">
        <v>425</v>
      </c>
      <c r="K3812" s="14" t="n">
        <f aca="false">I3812*J3812</f>
        <v>31875</v>
      </c>
      <c r="L3812" s="14" t="n">
        <f aca="false">($L$2*M3812)/100</f>
        <v>480666.6</v>
      </c>
      <c r="M3812" s="15" t="n">
        <v>0.4</v>
      </c>
      <c r="N3812" s="9" t="s">
        <v>20</v>
      </c>
    </row>
    <row r="3813" customFormat="false" ht="14.25" hidden="false" customHeight="true" outlineLevel="0" collapsed="false">
      <c r="B3813" s="9" t="s">
        <v>63</v>
      </c>
      <c r="C3813" s="9" t="n">
        <v>1185732</v>
      </c>
      <c r="D3813" s="10" t="n">
        <v>44217</v>
      </c>
      <c r="E3813" s="9" t="s">
        <v>17</v>
      </c>
      <c r="F3813" s="9" t="s">
        <v>133</v>
      </c>
      <c r="G3813" s="9" t="s">
        <v>134</v>
      </c>
      <c r="H3813" s="11" t="s">
        <v>19</v>
      </c>
      <c r="I3813" s="12" t="n">
        <v>50</v>
      </c>
      <c r="J3813" s="13" t="n">
        <v>525</v>
      </c>
      <c r="K3813" s="14" t="n">
        <f aca="false">I3813*J3813</f>
        <v>26250</v>
      </c>
      <c r="L3813" s="14" t="n">
        <f aca="false">($L$2*M3813)/100</f>
        <v>480666.6</v>
      </c>
      <c r="M3813" s="15" t="n">
        <v>0.4</v>
      </c>
      <c r="N3813" s="9" t="s">
        <v>20</v>
      </c>
    </row>
    <row r="3814" customFormat="false" ht="14.25" hidden="false" customHeight="true" outlineLevel="0" collapsed="false">
      <c r="B3814" s="9" t="s">
        <v>63</v>
      </c>
      <c r="C3814" s="9" t="n">
        <v>1185732</v>
      </c>
      <c r="D3814" s="10" t="n">
        <v>44217</v>
      </c>
      <c r="E3814" s="9" t="s">
        <v>17</v>
      </c>
      <c r="F3814" s="9" t="s">
        <v>133</v>
      </c>
      <c r="G3814" s="9" t="s">
        <v>134</v>
      </c>
      <c r="H3814" s="11" t="s">
        <v>21</v>
      </c>
      <c r="I3814" s="12" t="n">
        <v>50</v>
      </c>
      <c r="J3814" s="13" t="n">
        <v>325</v>
      </c>
      <c r="K3814" s="14" t="n">
        <f aca="false">I3814*J3814</f>
        <v>16250</v>
      </c>
      <c r="L3814" s="14" t="n">
        <f aca="false">($L$2*M3814)/100</f>
        <v>480666.6</v>
      </c>
      <c r="M3814" s="15" t="n">
        <v>0.4</v>
      </c>
      <c r="N3814" s="9" t="s">
        <v>20</v>
      </c>
    </row>
    <row r="3815" customFormat="false" ht="14.25" hidden="false" customHeight="true" outlineLevel="0" collapsed="false">
      <c r="B3815" s="9" t="s">
        <v>63</v>
      </c>
      <c r="C3815" s="9" t="n">
        <v>1185732</v>
      </c>
      <c r="D3815" s="10" t="n">
        <v>44217</v>
      </c>
      <c r="E3815" s="9" t="s">
        <v>17</v>
      </c>
      <c r="F3815" s="9" t="s">
        <v>133</v>
      </c>
      <c r="G3815" s="9" t="s">
        <v>134</v>
      </c>
      <c r="H3815" s="11" t="s">
        <v>22</v>
      </c>
      <c r="I3815" s="12" t="n">
        <v>40</v>
      </c>
      <c r="J3815" s="13" t="n">
        <v>325</v>
      </c>
      <c r="K3815" s="14" t="n">
        <f aca="false">I3815*J3815</f>
        <v>13000</v>
      </c>
      <c r="L3815" s="14" t="n">
        <f aca="false">($L$2*M3815)/100</f>
        <v>360499.95</v>
      </c>
      <c r="M3815" s="15" t="n">
        <v>0.3</v>
      </c>
      <c r="N3815" s="9" t="s">
        <v>20</v>
      </c>
    </row>
    <row r="3816" customFormat="false" ht="14.25" hidden="false" customHeight="true" outlineLevel="0" collapsed="false">
      <c r="B3816" s="9" t="s">
        <v>63</v>
      </c>
      <c r="C3816" s="9" t="n">
        <v>1185732</v>
      </c>
      <c r="D3816" s="10" t="n">
        <v>44217</v>
      </c>
      <c r="E3816" s="9" t="s">
        <v>17</v>
      </c>
      <c r="F3816" s="9" t="s">
        <v>133</v>
      </c>
      <c r="G3816" s="9" t="s">
        <v>134</v>
      </c>
      <c r="H3816" s="11" t="s">
        <v>23</v>
      </c>
      <c r="I3816" s="12" t="n">
        <v>45</v>
      </c>
      <c r="J3816" s="13" t="n">
        <v>175</v>
      </c>
      <c r="K3816" s="14" t="n">
        <f aca="false">I3816*J3816</f>
        <v>7875</v>
      </c>
      <c r="L3816" s="14" t="n">
        <f aca="false">($L$2*M3816)/100</f>
        <v>360499.95</v>
      </c>
      <c r="M3816" s="15" t="n">
        <v>0.3</v>
      </c>
      <c r="N3816" s="9" t="s">
        <v>20</v>
      </c>
    </row>
    <row r="3817" customFormat="false" ht="14.25" hidden="false" customHeight="true" outlineLevel="0" collapsed="false">
      <c r="B3817" s="9" t="s">
        <v>63</v>
      </c>
      <c r="C3817" s="9" t="n">
        <v>1185732</v>
      </c>
      <c r="D3817" s="10" t="n">
        <v>44217</v>
      </c>
      <c r="E3817" s="9" t="s">
        <v>17</v>
      </c>
      <c r="F3817" s="9" t="s">
        <v>133</v>
      </c>
      <c r="G3817" s="9" t="s">
        <v>134</v>
      </c>
      <c r="H3817" s="11" t="s">
        <v>24</v>
      </c>
      <c r="I3817" s="12" t="n">
        <v>60</v>
      </c>
      <c r="J3817" s="13" t="n">
        <v>225</v>
      </c>
      <c r="K3817" s="14" t="n">
        <f aca="false">I3817*J3817</f>
        <v>13500</v>
      </c>
      <c r="L3817" s="14" t="n">
        <f aca="false">($L$2*M3817)/100</f>
        <v>360499.95</v>
      </c>
      <c r="M3817" s="15" t="n">
        <v>0.3</v>
      </c>
      <c r="N3817" s="9" t="s">
        <v>20</v>
      </c>
    </row>
    <row r="3818" customFormat="false" ht="14.25" hidden="false" customHeight="true" outlineLevel="0" collapsed="false">
      <c r="B3818" s="9" t="s">
        <v>63</v>
      </c>
      <c r="C3818" s="9" t="n">
        <v>1185732</v>
      </c>
      <c r="D3818" s="10" t="n">
        <v>44217</v>
      </c>
      <c r="E3818" s="9" t="s">
        <v>17</v>
      </c>
      <c r="F3818" s="9" t="s">
        <v>133</v>
      </c>
      <c r="G3818" s="9" t="s">
        <v>134</v>
      </c>
      <c r="H3818" s="11" t="s">
        <v>25</v>
      </c>
      <c r="I3818" s="12" t="n">
        <v>50</v>
      </c>
      <c r="J3818" s="13" t="n">
        <v>325</v>
      </c>
      <c r="K3818" s="14" t="n">
        <f aca="false">I3818*J3818</f>
        <v>16250</v>
      </c>
      <c r="L3818" s="14" t="n">
        <f aca="false">($L$2*M3818)/100</f>
        <v>420583.275</v>
      </c>
      <c r="M3818" s="15" t="n">
        <v>0.35</v>
      </c>
      <c r="N3818" s="9" t="s">
        <v>20</v>
      </c>
    </row>
    <row r="3819" customFormat="false" ht="14.25" hidden="false" customHeight="true" outlineLevel="0" collapsed="false">
      <c r="B3819" s="9" t="s">
        <v>63</v>
      </c>
      <c r="C3819" s="9" t="n">
        <v>1185732</v>
      </c>
      <c r="D3819" s="10" t="n">
        <v>44246</v>
      </c>
      <c r="E3819" s="9" t="s">
        <v>17</v>
      </c>
      <c r="F3819" s="9" t="s">
        <v>133</v>
      </c>
      <c r="G3819" s="9" t="s">
        <v>134</v>
      </c>
      <c r="H3819" s="11" t="s">
        <v>19</v>
      </c>
      <c r="I3819" s="12" t="n">
        <v>50</v>
      </c>
      <c r="J3819" s="13" t="n">
        <v>600</v>
      </c>
      <c r="K3819" s="14" t="n">
        <f aca="false">I3819*J3819</f>
        <v>30000</v>
      </c>
      <c r="L3819" s="14" t="n">
        <f aca="false">($L$2*M3819)/100</f>
        <v>480666.6</v>
      </c>
      <c r="M3819" s="15" t="n">
        <v>0.4</v>
      </c>
      <c r="N3819" s="9" t="s">
        <v>20</v>
      </c>
    </row>
    <row r="3820" customFormat="false" ht="14.25" hidden="false" customHeight="true" outlineLevel="0" collapsed="false">
      <c r="B3820" s="9" t="s">
        <v>63</v>
      </c>
      <c r="C3820" s="9" t="n">
        <v>1185732</v>
      </c>
      <c r="D3820" s="10" t="n">
        <v>44246</v>
      </c>
      <c r="E3820" s="9" t="s">
        <v>17</v>
      </c>
      <c r="F3820" s="9" t="s">
        <v>133</v>
      </c>
      <c r="G3820" s="9" t="s">
        <v>134</v>
      </c>
      <c r="H3820" s="11" t="s">
        <v>21</v>
      </c>
      <c r="I3820" s="12" t="n">
        <v>50</v>
      </c>
      <c r="J3820" s="13" t="n">
        <v>250</v>
      </c>
      <c r="K3820" s="14" t="n">
        <f aca="false">I3820*J3820</f>
        <v>12500</v>
      </c>
      <c r="L3820" s="14" t="n">
        <f aca="false">($L$2*M3820)/100</f>
        <v>480666.6</v>
      </c>
      <c r="M3820" s="15" t="n">
        <v>0.4</v>
      </c>
      <c r="N3820" s="9" t="s">
        <v>20</v>
      </c>
    </row>
    <row r="3821" customFormat="false" ht="14.25" hidden="false" customHeight="true" outlineLevel="0" collapsed="false">
      <c r="B3821" s="9" t="s">
        <v>63</v>
      </c>
      <c r="C3821" s="9" t="n">
        <v>1185732</v>
      </c>
      <c r="D3821" s="10" t="n">
        <v>44246</v>
      </c>
      <c r="E3821" s="9" t="s">
        <v>17</v>
      </c>
      <c r="F3821" s="9" t="s">
        <v>133</v>
      </c>
      <c r="G3821" s="9" t="s">
        <v>134</v>
      </c>
      <c r="H3821" s="11" t="s">
        <v>22</v>
      </c>
      <c r="I3821" s="12" t="n">
        <v>40</v>
      </c>
      <c r="J3821" s="13" t="n">
        <v>300</v>
      </c>
      <c r="K3821" s="14" t="n">
        <f aca="false">I3821*J3821</f>
        <v>12000</v>
      </c>
      <c r="L3821" s="14" t="n">
        <f aca="false">($L$2*M3821)/100</f>
        <v>360499.95</v>
      </c>
      <c r="M3821" s="15" t="n">
        <v>0.3</v>
      </c>
      <c r="N3821" s="9" t="s">
        <v>20</v>
      </c>
    </row>
    <row r="3822" customFormat="false" ht="14.25" hidden="false" customHeight="true" outlineLevel="0" collapsed="false">
      <c r="B3822" s="9" t="s">
        <v>63</v>
      </c>
      <c r="C3822" s="9" t="n">
        <v>1185732</v>
      </c>
      <c r="D3822" s="10" t="n">
        <v>44246</v>
      </c>
      <c r="E3822" s="9" t="s">
        <v>17</v>
      </c>
      <c r="F3822" s="9" t="s">
        <v>135</v>
      </c>
      <c r="G3822" s="9" t="s">
        <v>136</v>
      </c>
      <c r="H3822" s="11" t="s">
        <v>23</v>
      </c>
      <c r="I3822" s="12" t="n">
        <v>45</v>
      </c>
      <c r="J3822" s="13" t="n">
        <v>200</v>
      </c>
      <c r="K3822" s="14" t="n">
        <f aca="false">I3822*J3822</f>
        <v>9000</v>
      </c>
      <c r="L3822" s="14" t="n">
        <f aca="false">($L$2*M3822)/100</f>
        <v>360499.95</v>
      </c>
      <c r="M3822" s="15" t="n">
        <v>0.3</v>
      </c>
      <c r="N3822" s="9" t="s">
        <v>20</v>
      </c>
    </row>
    <row r="3823" customFormat="false" ht="14.25" hidden="false" customHeight="true" outlineLevel="0" collapsed="false">
      <c r="B3823" s="9" t="s">
        <v>63</v>
      </c>
      <c r="C3823" s="9" t="n">
        <v>1185732</v>
      </c>
      <c r="D3823" s="10" t="n">
        <v>44246</v>
      </c>
      <c r="E3823" s="9" t="s">
        <v>17</v>
      </c>
      <c r="F3823" s="9" t="s">
        <v>135</v>
      </c>
      <c r="G3823" s="9" t="s">
        <v>136</v>
      </c>
      <c r="H3823" s="11" t="s">
        <v>24</v>
      </c>
      <c r="I3823" s="12" t="n">
        <v>60</v>
      </c>
      <c r="J3823" s="13" t="n">
        <v>275</v>
      </c>
      <c r="K3823" s="14" t="n">
        <f aca="false">I3823*J3823</f>
        <v>16500</v>
      </c>
      <c r="L3823" s="14" t="n">
        <f aca="false">($L$2*M3823)/100</f>
        <v>360499.95</v>
      </c>
      <c r="M3823" s="15" t="n">
        <v>0.3</v>
      </c>
      <c r="N3823" s="9" t="s">
        <v>20</v>
      </c>
    </row>
    <row r="3824" customFormat="false" ht="14.25" hidden="false" customHeight="true" outlineLevel="0" collapsed="false">
      <c r="B3824" s="9" t="s">
        <v>63</v>
      </c>
      <c r="C3824" s="9" t="n">
        <v>1185732</v>
      </c>
      <c r="D3824" s="10" t="n">
        <v>44246</v>
      </c>
      <c r="E3824" s="9" t="s">
        <v>17</v>
      </c>
      <c r="F3824" s="9" t="s">
        <v>135</v>
      </c>
      <c r="G3824" s="9" t="s">
        <v>136</v>
      </c>
      <c r="H3824" s="11" t="s">
        <v>25</v>
      </c>
      <c r="I3824" s="12" t="n">
        <v>50</v>
      </c>
      <c r="J3824" s="13" t="n">
        <v>375</v>
      </c>
      <c r="K3824" s="14" t="n">
        <f aca="false">I3824*J3824</f>
        <v>18750</v>
      </c>
      <c r="L3824" s="14" t="n">
        <f aca="false">($L$2*M3824)/100</f>
        <v>420583.275</v>
      </c>
      <c r="M3824" s="15" t="n">
        <v>0.35</v>
      </c>
      <c r="N3824" s="9" t="s">
        <v>20</v>
      </c>
    </row>
    <row r="3825" customFormat="false" ht="14.25" hidden="false" customHeight="true" outlineLevel="0" collapsed="false">
      <c r="B3825" s="9" t="s">
        <v>63</v>
      </c>
      <c r="C3825" s="9" t="n">
        <v>1185732</v>
      </c>
      <c r="D3825" s="10" t="n">
        <v>44272</v>
      </c>
      <c r="E3825" s="9" t="s">
        <v>17</v>
      </c>
      <c r="F3825" s="9" t="s">
        <v>135</v>
      </c>
      <c r="G3825" s="9" t="s">
        <v>136</v>
      </c>
      <c r="H3825" s="11" t="s">
        <v>19</v>
      </c>
      <c r="I3825" s="12" t="n">
        <v>50</v>
      </c>
      <c r="J3825" s="13" t="n">
        <v>570</v>
      </c>
      <c r="K3825" s="14" t="n">
        <f aca="false">I3825*J3825</f>
        <v>28500</v>
      </c>
      <c r="L3825" s="14" t="n">
        <f aca="false">($L$2*M3825)/100</f>
        <v>480666.6</v>
      </c>
      <c r="M3825" s="15" t="n">
        <v>0.4</v>
      </c>
      <c r="N3825" s="9" t="s">
        <v>20</v>
      </c>
    </row>
    <row r="3826" customFormat="false" ht="14.25" hidden="false" customHeight="true" outlineLevel="0" collapsed="false">
      <c r="B3826" s="9" t="s">
        <v>63</v>
      </c>
      <c r="C3826" s="9" t="n">
        <v>1185732</v>
      </c>
      <c r="D3826" s="10" t="n">
        <v>44272</v>
      </c>
      <c r="E3826" s="9" t="s">
        <v>17</v>
      </c>
      <c r="F3826" s="9" t="s">
        <v>135</v>
      </c>
      <c r="G3826" s="9" t="s">
        <v>136</v>
      </c>
      <c r="H3826" s="11" t="s">
        <v>21</v>
      </c>
      <c r="I3826" s="12" t="n">
        <v>50</v>
      </c>
      <c r="J3826" s="13" t="n">
        <v>275</v>
      </c>
      <c r="K3826" s="14" t="n">
        <f aca="false">I3826*J3826</f>
        <v>13750</v>
      </c>
      <c r="L3826" s="14" t="n">
        <f aca="false">($L$2*M3826)/100</f>
        <v>480666.6</v>
      </c>
      <c r="M3826" s="15" t="n">
        <v>0.4</v>
      </c>
      <c r="N3826" s="9" t="s">
        <v>20</v>
      </c>
    </row>
    <row r="3827" customFormat="false" ht="14.25" hidden="false" customHeight="true" outlineLevel="0" collapsed="false">
      <c r="B3827" s="9" t="s">
        <v>63</v>
      </c>
      <c r="C3827" s="9" t="n">
        <v>1185732</v>
      </c>
      <c r="D3827" s="10" t="n">
        <v>44272</v>
      </c>
      <c r="E3827" s="9" t="s">
        <v>17</v>
      </c>
      <c r="F3827" s="9" t="s">
        <v>135</v>
      </c>
      <c r="G3827" s="9" t="s">
        <v>136</v>
      </c>
      <c r="H3827" s="11" t="s">
        <v>22</v>
      </c>
      <c r="I3827" s="12" t="n">
        <v>40</v>
      </c>
      <c r="J3827" s="13" t="n">
        <v>300</v>
      </c>
      <c r="K3827" s="14" t="n">
        <f aca="false">I3827*J3827</f>
        <v>12000</v>
      </c>
      <c r="L3827" s="14" t="n">
        <f aca="false">($L$2*M3827)/100</f>
        <v>360499.95</v>
      </c>
      <c r="M3827" s="15" t="n">
        <v>0.3</v>
      </c>
      <c r="N3827" s="9" t="s">
        <v>20</v>
      </c>
    </row>
    <row r="3828" customFormat="false" ht="14.25" hidden="false" customHeight="true" outlineLevel="0" collapsed="false">
      <c r="B3828" s="9" t="s">
        <v>63</v>
      </c>
      <c r="C3828" s="9" t="n">
        <v>1185732</v>
      </c>
      <c r="D3828" s="10" t="n">
        <v>44272</v>
      </c>
      <c r="E3828" s="9" t="s">
        <v>17</v>
      </c>
      <c r="F3828" s="9" t="s">
        <v>135</v>
      </c>
      <c r="G3828" s="9" t="s">
        <v>136</v>
      </c>
      <c r="H3828" s="11" t="s">
        <v>23</v>
      </c>
      <c r="I3828" s="12" t="n">
        <v>45</v>
      </c>
      <c r="J3828" s="13" t="n">
        <v>150</v>
      </c>
      <c r="K3828" s="14" t="n">
        <f aca="false">I3828*J3828</f>
        <v>6750</v>
      </c>
      <c r="L3828" s="14" t="n">
        <f aca="false">($L$2*M3828)/100</f>
        <v>360499.95</v>
      </c>
      <c r="M3828" s="15" t="n">
        <v>0.3</v>
      </c>
      <c r="N3828" s="9" t="s">
        <v>20</v>
      </c>
    </row>
    <row r="3829" customFormat="false" ht="14.25" hidden="false" customHeight="true" outlineLevel="0" collapsed="false">
      <c r="B3829" s="9" t="s">
        <v>63</v>
      </c>
      <c r="C3829" s="9" t="n">
        <v>1185732</v>
      </c>
      <c r="D3829" s="10" t="n">
        <v>44272</v>
      </c>
      <c r="E3829" s="9" t="s">
        <v>17</v>
      </c>
      <c r="F3829" s="9" t="s">
        <v>135</v>
      </c>
      <c r="G3829" s="9" t="s">
        <v>136</v>
      </c>
      <c r="H3829" s="11" t="s">
        <v>24</v>
      </c>
      <c r="I3829" s="12" t="n">
        <v>60</v>
      </c>
      <c r="J3829" s="13" t="n">
        <v>200</v>
      </c>
      <c r="K3829" s="14" t="n">
        <f aca="false">I3829*J3829</f>
        <v>12000</v>
      </c>
      <c r="L3829" s="14" t="n">
        <f aca="false">($L$2*M3829)/100</f>
        <v>360499.95</v>
      </c>
      <c r="M3829" s="15" t="n">
        <v>0.3</v>
      </c>
      <c r="N3829" s="9" t="s">
        <v>20</v>
      </c>
    </row>
    <row r="3830" customFormat="false" ht="14.25" hidden="false" customHeight="true" outlineLevel="0" collapsed="false">
      <c r="B3830" s="9" t="s">
        <v>63</v>
      </c>
      <c r="C3830" s="9" t="n">
        <v>1185732</v>
      </c>
      <c r="D3830" s="10" t="n">
        <v>44272</v>
      </c>
      <c r="E3830" s="9" t="s">
        <v>17</v>
      </c>
      <c r="F3830" s="9" t="s">
        <v>135</v>
      </c>
      <c r="G3830" s="9" t="s">
        <v>136</v>
      </c>
      <c r="H3830" s="11" t="s">
        <v>25</v>
      </c>
      <c r="I3830" s="12" t="n">
        <v>50</v>
      </c>
      <c r="J3830" s="13" t="n">
        <v>300</v>
      </c>
      <c r="K3830" s="14" t="n">
        <f aca="false">I3830*J3830</f>
        <v>15000</v>
      </c>
      <c r="L3830" s="14" t="n">
        <f aca="false">($L$2*M3830)/100</f>
        <v>420583.275</v>
      </c>
      <c r="M3830" s="15" t="n">
        <v>0.35</v>
      </c>
      <c r="N3830" s="9" t="s">
        <v>20</v>
      </c>
    </row>
    <row r="3831" customFormat="false" ht="14.25" hidden="false" customHeight="true" outlineLevel="0" collapsed="false">
      <c r="B3831" s="9" t="s">
        <v>63</v>
      </c>
      <c r="C3831" s="9" t="n">
        <v>1185732</v>
      </c>
      <c r="D3831" s="10" t="n">
        <v>44304</v>
      </c>
      <c r="E3831" s="9" t="s">
        <v>17</v>
      </c>
      <c r="F3831" s="9" t="s">
        <v>135</v>
      </c>
      <c r="G3831" s="9" t="s">
        <v>136</v>
      </c>
      <c r="H3831" s="11" t="s">
        <v>19</v>
      </c>
      <c r="I3831" s="12" t="n">
        <v>50</v>
      </c>
      <c r="J3831" s="13" t="n">
        <v>550</v>
      </c>
      <c r="K3831" s="14" t="n">
        <f aca="false">I3831*J3831</f>
        <v>27500</v>
      </c>
      <c r="L3831" s="14" t="n">
        <f aca="false">($L$2*M3831)/100</f>
        <v>480666.6</v>
      </c>
      <c r="M3831" s="15" t="n">
        <v>0.4</v>
      </c>
      <c r="N3831" s="9" t="s">
        <v>20</v>
      </c>
    </row>
    <row r="3832" customFormat="false" ht="14.25" hidden="false" customHeight="true" outlineLevel="0" collapsed="false">
      <c r="B3832" s="9" t="s">
        <v>63</v>
      </c>
      <c r="C3832" s="9" t="n">
        <v>1185732</v>
      </c>
      <c r="D3832" s="10" t="n">
        <v>44304</v>
      </c>
      <c r="E3832" s="9" t="s">
        <v>17</v>
      </c>
      <c r="F3832" s="9" t="s">
        <v>135</v>
      </c>
      <c r="G3832" s="9" t="s">
        <v>136</v>
      </c>
      <c r="H3832" s="11" t="s">
        <v>21</v>
      </c>
      <c r="I3832" s="12" t="n">
        <v>50</v>
      </c>
      <c r="J3832" s="13" t="n">
        <v>250</v>
      </c>
      <c r="K3832" s="14" t="n">
        <f aca="false">I3832*J3832</f>
        <v>12500</v>
      </c>
      <c r="L3832" s="14" t="n">
        <f aca="false">($L$2*M3832)/100</f>
        <v>480666.6</v>
      </c>
      <c r="M3832" s="15" t="n">
        <v>0.4</v>
      </c>
      <c r="N3832" s="9" t="s">
        <v>20</v>
      </c>
    </row>
    <row r="3833" customFormat="false" ht="14.25" hidden="false" customHeight="true" outlineLevel="0" collapsed="false">
      <c r="B3833" s="9" t="s">
        <v>63</v>
      </c>
      <c r="C3833" s="9" t="n">
        <v>1185732</v>
      </c>
      <c r="D3833" s="10" t="n">
        <v>44304</v>
      </c>
      <c r="E3833" s="9" t="s">
        <v>17</v>
      </c>
      <c r="F3833" s="9" t="s">
        <v>135</v>
      </c>
      <c r="G3833" s="9" t="s">
        <v>136</v>
      </c>
      <c r="H3833" s="11" t="s">
        <v>22</v>
      </c>
      <c r="I3833" s="12" t="n">
        <v>40</v>
      </c>
      <c r="J3833" s="13" t="n">
        <v>250</v>
      </c>
      <c r="K3833" s="14" t="n">
        <f aca="false">I3833*J3833</f>
        <v>10000</v>
      </c>
      <c r="L3833" s="14" t="n">
        <f aca="false">($L$2*M3833)/100</f>
        <v>360499.95</v>
      </c>
      <c r="M3833" s="15" t="n">
        <v>0.3</v>
      </c>
      <c r="N3833" s="9" t="s">
        <v>20</v>
      </c>
    </row>
    <row r="3834" customFormat="false" ht="14.25" hidden="false" customHeight="true" outlineLevel="0" collapsed="false">
      <c r="B3834" s="9" t="s">
        <v>63</v>
      </c>
      <c r="C3834" s="9" t="n">
        <v>1185732</v>
      </c>
      <c r="D3834" s="10" t="n">
        <v>44304</v>
      </c>
      <c r="E3834" s="9" t="s">
        <v>17</v>
      </c>
      <c r="F3834" s="9" t="s">
        <v>135</v>
      </c>
      <c r="G3834" s="9" t="s">
        <v>136</v>
      </c>
      <c r="H3834" s="11" t="s">
        <v>23</v>
      </c>
      <c r="I3834" s="12" t="n">
        <v>45</v>
      </c>
      <c r="J3834" s="13" t="n">
        <v>175</v>
      </c>
      <c r="K3834" s="14" t="n">
        <f aca="false">I3834*J3834</f>
        <v>7875</v>
      </c>
      <c r="L3834" s="14" t="n">
        <f aca="false">($L$2*M3834)/100</f>
        <v>360499.95</v>
      </c>
      <c r="M3834" s="15" t="n">
        <v>0.3</v>
      </c>
      <c r="N3834" s="9" t="s">
        <v>20</v>
      </c>
    </row>
    <row r="3835" customFormat="false" ht="14.25" hidden="false" customHeight="true" outlineLevel="0" collapsed="false">
      <c r="B3835" s="9" t="s">
        <v>63</v>
      </c>
      <c r="C3835" s="9" t="n">
        <v>1185732</v>
      </c>
      <c r="D3835" s="10" t="n">
        <v>44304</v>
      </c>
      <c r="E3835" s="9" t="s">
        <v>17</v>
      </c>
      <c r="F3835" s="9" t="s">
        <v>135</v>
      </c>
      <c r="G3835" s="9" t="s">
        <v>136</v>
      </c>
      <c r="H3835" s="11" t="s">
        <v>24</v>
      </c>
      <c r="I3835" s="12" t="n">
        <v>60</v>
      </c>
      <c r="J3835" s="13" t="n">
        <v>175</v>
      </c>
      <c r="K3835" s="14" t="n">
        <f aca="false">I3835*J3835</f>
        <v>10500</v>
      </c>
      <c r="L3835" s="14" t="n">
        <f aca="false">($L$2*M3835)/100</f>
        <v>360499.95</v>
      </c>
      <c r="M3835" s="15" t="n">
        <v>0.3</v>
      </c>
      <c r="N3835" s="9" t="s">
        <v>20</v>
      </c>
    </row>
    <row r="3836" customFormat="false" ht="14.25" hidden="false" customHeight="true" outlineLevel="0" collapsed="false">
      <c r="B3836" s="9" t="s">
        <v>63</v>
      </c>
      <c r="C3836" s="9" t="n">
        <v>1185732</v>
      </c>
      <c r="D3836" s="10" t="n">
        <v>44304</v>
      </c>
      <c r="E3836" s="9" t="s">
        <v>17</v>
      </c>
      <c r="F3836" s="9" t="s">
        <v>135</v>
      </c>
      <c r="G3836" s="9" t="s">
        <v>136</v>
      </c>
      <c r="H3836" s="11" t="s">
        <v>25</v>
      </c>
      <c r="I3836" s="12" t="n">
        <v>50</v>
      </c>
      <c r="J3836" s="13" t="n">
        <v>325</v>
      </c>
      <c r="K3836" s="14" t="n">
        <f aca="false">I3836*J3836</f>
        <v>16250</v>
      </c>
      <c r="L3836" s="14" t="n">
        <f aca="false">($L$2*M3836)/100</f>
        <v>420583.275</v>
      </c>
      <c r="M3836" s="15" t="n">
        <v>0.35</v>
      </c>
      <c r="N3836" s="9" t="s">
        <v>20</v>
      </c>
    </row>
    <row r="3837" customFormat="false" ht="14.25" hidden="false" customHeight="true" outlineLevel="0" collapsed="false">
      <c r="B3837" s="9" t="s">
        <v>63</v>
      </c>
      <c r="C3837" s="9" t="n">
        <v>1185732</v>
      </c>
      <c r="D3837" s="10" t="n">
        <v>44333</v>
      </c>
      <c r="E3837" s="9" t="s">
        <v>17</v>
      </c>
      <c r="F3837" s="9" t="s">
        <v>135</v>
      </c>
      <c r="G3837" s="9" t="s">
        <v>136</v>
      </c>
      <c r="H3837" s="11" t="s">
        <v>19</v>
      </c>
      <c r="I3837" s="12" t="n">
        <v>65</v>
      </c>
      <c r="J3837" s="13" t="n">
        <v>595</v>
      </c>
      <c r="K3837" s="14" t="n">
        <f aca="false">I3837*J3837</f>
        <v>38675</v>
      </c>
      <c r="L3837" s="14" t="n">
        <f aca="false">($L$2*M3837)/100</f>
        <v>480666.6</v>
      </c>
      <c r="M3837" s="15" t="n">
        <v>0.4</v>
      </c>
      <c r="N3837" s="9" t="s">
        <v>20</v>
      </c>
    </row>
    <row r="3838" customFormat="false" ht="14.25" hidden="false" customHeight="true" outlineLevel="0" collapsed="false">
      <c r="B3838" s="9" t="s">
        <v>63</v>
      </c>
      <c r="C3838" s="9" t="n">
        <v>1185732</v>
      </c>
      <c r="D3838" s="10" t="n">
        <v>44333</v>
      </c>
      <c r="E3838" s="9" t="s">
        <v>17</v>
      </c>
      <c r="F3838" s="9" t="s">
        <v>135</v>
      </c>
      <c r="G3838" s="9" t="s">
        <v>136</v>
      </c>
      <c r="H3838" s="11" t="s">
        <v>21</v>
      </c>
      <c r="I3838" s="12" t="n">
        <v>60</v>
      </c>
      <c r="J3838" s="13" t="n">
        <v>300</v>
      </c>
      <c r="K3838" s="14" t="n">
        <f aca="false">I3838*J3838</f>
        <v>18000</v>
      </c>
      <c r="L3838" s="14" t="n">
        <f aca="false">($L$2*M3838)/100</f>
        <v>480666.6</v>
      </c>
      <c r="M3838" s="15" t="n">
        <v>0.4</v>
      </c>
      <c r="N3838" s="9" t="s">
        <v>20</v>
      </c>
    </row>
    <row r="3839" customFormat="false" ht="14.25" hidden="false" customHeight="true" outlineLevel="0" collapsed="false">
      <c r="B3839" s="9" t="s">
        <v>63</v>
      </c>
      <c r="C3839" s="9" t="n">
        <v>1185732</v>
      </c>
      <c r="D3839" s="10" t="n">
        <v>44333</v>
      </c>
      <c r="E3839" s="9" t="s">
        <v>17</v>
      </c>
      <c r="F3839" s="9" t="s">
        <v>135</v>
      </c>
      <c r="G3839" s="9" t="s">
        <v>136</v>
      </c>
      <c r="H3839" s="11" t="s">
        <v>22</v>
      </c>
      <c r="I3839" s="12" t="n">
        <v>55</v>
      </c>
      <c r="J3839" s="13" t="n">
        <v>325</v>
      </c>
      <c r="K3839" s="14" t="n">
        <f aca="false">I3839*J3839</f>
        <v>17875</v>
      </c>
      <c r="L3839" s="14" t="n">
        <f aca="false">($L$2*M3839)/100</f>
        <v>360499.95</v>
      </c>
      <c r="M3839" s="15" t="n">
        <v>0.3</v>
      </c>
      <c r="N3839" s="9" t="s">
        <v>20</v>
      </c>
    </row>
    <row r="3840" customFormat="false" ht="14.25" hidden="false" customHeight="true" outlineLevel="0" collapsed="false">
      <c r="B3840" s="9" t="s">
        <v>63</v>
      </c>
      <c r="C3840" s="9" t="n">
        <v>1185732</v>
      </c>
      <c r="D3840" s="10" t="n">
        <v>44333</v>
      </c>
      <c r="E3840" s="9" t="s">
        <v>17</v>
      </c>
      <c r="F3840" s="9" t="s">
        <v>135</v>
      </c>
      <c r="G3840" s="9" t="s">
        <v>136</v>
      </c>
      <c r="H3840" s="11" t="s">
        <v>23</v>
      </c>
      <c r="I3840" s="12" t="n">
        <v>55</v>
      </c>
      <c r="J3840" s="13" t="n">
        <v>275</v>
      </c>
      <c r="K3840" s="14" t="n">
        <f aca="false">I3840*J3840</f>
        <v>15125</v>
      </c>
      <c r="L3840" s="14" t="n">
        <f aca="false">($L$2*M3840)/100</f>
        <v>360499.95</v>
      </c>
      <c r="M3840" s="15" t="n">
        <v>0.3</v>
      </c>
      <c r="N3840" s="9" t="s">
        <v>20</v>
      </c>
    </row>
    <row r="3841" customFormat="false" ht="14.25" hidden="false" customHeight="true" outlineLevel="0" collapsed="false">
      <c r="B3841" s="9" t="s">
        <v>63</v>
      </c>
      <c r="C3841" s="9" t="n">
        <v>1185732</v>
      </c>
      <c r="D3841" s="10" t="n">
        <v>44333</v>
      </c>
      <c r="E3841" s="9" t="s">
        <v>17</v>
      </c>
      <c r="F3841" s="9" t="s">
        <v>135</v>
      </c>
      <c r="G3841" s="9" t="s">
        <v>136</v>
      </c>
      <c r="H3841" s="11" t="s">
        <v>24</v>
      </c>
      <c r="I3841" s="12" t="n">
        <v>65</v>
      </c>
      <c r="J3841" s="13" t="n">
        <v>300</v>
      </c>
      <c r="K3841" s="14" t="n">
        <f aca="false">I3841*J3841</f>
        <v>19500</v>
      </c>
      <c r="L3841" s="14" t="n">
        <f aca="false">($L$2*M3841)/100</f>
        <v>360499.95</v>
      </c>
      <c r="M3841" s="15" t="n">
        <v>0.3</v>
      </c>
      <c r="N3841" s="9" t="s">
        <v>20</v>
      </c>
    </row>
    <row r="3842" customFormat="false" ht="14.25" hidden="false" customHeight="true" outlineLevel="0" collapsed="false">
      <c r="B3842" s="9" t="s">
        <v>63</v>
      </c>
      <c r="C3842" s="9" t="n">
        <v>1185732</v>
      </c>
      <c r="D3842" s="10" t="n">
        <v>44333</v>
      </c>
      <c r="E3842" s="9" t="s">
        <v>17</v>
      </c>
      <c r="F3842" s="9" t="s">
        <v>135</v>
      </c>
      <c r="G3842" s="9" t="s">
        <v>136</v>
      </c>
      <c r="H3842" s="11" t="s">
        <v>25</v>
      </c>
      <c r="I3842" s="12" t="n">
        <v>70</v>
      </c>
      <c r="J3842" s="13" t="n">
        <v>425</v>
      </c>
      <c r="K3842" s="14" t="n">
        <f aca="false">I3842*J3842</f>
        <v>29750</v>
      </c>
      <c r="L3842" s="14" t="n">
        <f aca="false">($L$2*M3842)/100</f>
        <v>420583.275</v>
      </c>
      <c r="M3842" s="15" t="n">
        <v>0.35</v>
      </c>
      <c r="N3842" s="9" t="s">
        <v>20</v>
      </c>
    </row>
    <row r="3843" customFormat="false" ht="14.25" hidden="false" customHeight="true" outlineLevel="0" collapsed="false">
      <c r="B3843" s="9" t="s">
        <v>63</v>
      </c>
      <c r="C3843" s="9" t="n">
        <v>1185732</v>
      </c>
      <c r="D3843" s="10" t="n">
        <v>44366</v>
      </c>
      <c r="E3843" s="9" t="s">
        <v>17</v>
      </c>
      <c r="F3843" s="9" t="s">
        <v>135</v>
      </c>
      <c r="G3843" s="9" t="s">
        <v>136</v>
      </c>
      <c r="H3843" s="11" t="s">
        <v>19</v>
      </c>
      <c r="I3843" s="12" t="n">
        <v>65</v>
      </c>
      <c r="J3843" s="13" t="n">
        <v>675</v>
      </c>
      <c r="K3843" s="14" t="n">
        <f aca="false">I3843*J3843</f>
        <v>43875</v>
      </c>
      <c r="L3843" s="14" t="n">
        <f aca="false">($L$2*M3843)/100</f>
        <v>480666.6</v>
      </c>
      <c r="M3843" s="15" t="n">
        <v>0.4</v>
      </c>
      <c r="N3843" s="9" t="s">
        <v>20</v>
      </c>
    </row>
    <row r="3844" customFormat="false" ht="14.25" hidden="false" customHeight="true" outlineLevel="0" collapsed="false">
      <c r="B3844" s="9" t="s">
        <v>63</v>
      </c>
      <c r="C3844" s="9" t="n">
        <v>1185732</v>
      </c>
      <c r="D3844" s="10" t="n">
        <v>44366</v>
      </c>
      <c r="E3844" s="9" t="s">
        <v>17</v>
      </c>
      <c r="F3844" s="9" t="s">
        <v>135</v>
      </c>
      <c r="G3844" s="9" t="s">
        <v>136</v>
      </c>
      <c r="H3844" s="11" t="s">
        <v>21</v>
      </c>
      <c r="I3844" s="12" t="n">
        <v>60</v>
      </c>
      <c r="J3844" s="13" t="n">
        <v>425</v>
      </c>
      <c r="K3844" s="14" t="n">
        <f aca="false">I3844*J3844</f>
        <v>25500</v>
      </c>
      <c r="L3844" s="14" t="n">
        <f aca="false">($L$2*M3844)/100</f>
        <v>480666.6</v>
      </c>
      <c r="M3844" s="15" t="n">
        <v>0.4</v>
      </c>
      <c r="N3844" s="9" t="s">
        <v>20</v>
      </c>
    </row>
    <row r="3845" customFormat="false" ht="14.25" hidden="false" customHeight="true" outlineLevel="0" collapsed="false">
      <c r="B3845" s="9" t="s">
        <v>63</v>
      </c>
      <c r="C3845" s="9" t="n">
        <v>1185732</v>
      </c>
      <c r="D3845" s="10" t="n">
        <v>44366</v>
      </c>
      <c r="E3845" s="9" t="s">
        <v>17</v>
      </c>
      <c r="F3845" s="9" t="s">
        <v>135</v>
      </c>
      <c r="G3845" s="9" t="s">
        <v>136</v>
      </c>
      <c r="H3845" s="11" t="s">
        <v>22</v>
      </c>
      <c r="I3845" s="12" t="n">
        <v>55</v>
      </c>
      <c r="J3845" s="13" t="n">
        <v>350</v>
      </c>
      <c r="K3845" s="14" t="n">
        <f aca="false">I3845*J3845</f>
        <v>19250</v>
      </c>
      <c r="L3845" s="14" t="n">
        <f aca="false">($L$2*M3845)/100</f>
        <v>360499.95</v>
      </c>
      <c r="M3845" s="15" t="n">
        <v>0.3</v>
      </c>
      <c r="N3845" s="9" t="s">
        <v>20</v>
      </c>
    </row>
    <row r="3846" customFormat="false" ht="14.25" hidden="false" customHeight="true" outlineLevel="0" collapsed="false">
      <c r="B3846" s="9" t="s">
        <v>63</v>
      </c>
      <c r="C3846" s="9" t="n">
        <v>1185732</v>
      </c>
      <c r="D3846" s="10" t="n">
        <v>44366</v>
      </c>
      <c r="E3846" s="9" t="s">
        <v>17</v>
      </c>
      <c r="F3846" s="9" t="s">
        <v>135</v>
      </c>
      <c r="G3846" s="9" t="s">
        <v>136</v>
      </c>
      <c r="H3846" s="11" t="s">
        <v>23</v>
      </c>
      <c r="I3846" s="12" t="n">
        <v>55</v>
      </c>
      <c r="J3846" s="13" t="n">
        <v>325</v>
      </c>
      <c r="K3846" s="14" t="n">
        <f aca="false">I3846*J3846</f>
        <v>17875</v>
      </c>
      <c r="L3846" s="14" t="n">
        <f aca="false">($L$2*M3846)/100</f>
        <v>360499.95</v>
      </c>
      <c r="M3846" s="15" t="n">
        <v>0.3</v>
      </c>
      <c r="N3846" s="9" t="s">
        <v>20</v>
      </c>
    </row>
    <row r="3847" customFormat="false" ht="14.25" hidden="false" customHeight="true" outlineLevel="0" collapsed="false">
      <c r="B3847" s="9" t="s">
        <v>63</v>
      </c>
      <c r="C3847" s="9" t="n">
        <v>1185732</v>
      </c>
      <c r="D3847" s="10" t="n">
        <v>44366</v>
      </c>
      <c r="E3847" s="9" t="s">
        <v>17</v>
      </c>
      <c r="F3847" s="9" t="s">
        <v>135</v>
      </c>
      <c r="G3847" s="9" t="s">
        <v>136</v>
      </c>
      <c r="H3847" s="11" t="s">
        <v>24</v>
      </c>
      <c r="I3847" s="12" t="n">
        <v>65</v>
      </c>
      <c r="J3847" s="13" t="n">
        <v>325</v>
      </c>
      <c r="K3847" s="14" t="n">
        <f aca="false">I3847*J3847</f>
        <v>21125</v>
      </c>
      <c r="L3847" s="14" t="n">
        <f aca="false">($L$2*M3847)/100</f>
        <v>360499.95</v>
      </c>
      <c r="M3847" s="15" t="n">
        <v>0.3</v>
      </c>
      <c r="N3847" s="9" t="s">
        <v>20</v>
      </c>
    </row>
    <row r="3848" customFormat="false" ht="14.25" hidden="false" customHeight="true" outlineLevel="0" collapsed="false">
      <c r="B3848" s="9" t="s">
        <v>63</v>
      </c>
      <c r="C3848" s="9" t="n">
        <v>1185732</v>
      </c>
      <c r="D3848" s="10" t="n">
        <v>44366</v>
      </c>
      <c r="E3848" s="9" t="s">
        <v>17</v>
      </c>
      <c r="F3848" s="9" t="s">
        <v>135</v>
      </c>
      <c r="G3848" s="9" t="s">
        <v>136</v>
      </c>
      <c r="H3848" s="11" t="s">
        <v>25</v>
      </c>
      <c r="I3848" s="12" t="n">
        <v>70</v>
      </c>
      <c r="J3848" s="13" t="n">
        <v>475</v>
      </c>
      <c r="K3848" s="14" t="n">
        <f aca="false">I3848*J3848</f>
        <v>33250</v>
      </c>
      <c r="L3848" s="14" t="n">
        <f aca="false">($L$2*M3848)/100</f>
        <v>420583.275</v>
      </c>
      <c r="M3848" s="15" t="n">
        <v>0.35</v>
      </c>
      <c r="N3848" s="9" t="s">
        <v>20</v>
      </c>
    </row>
    <row r="3849" customFormat="false" ht="14.25" hidden="false" customHeight="true" outlineLevel="0" collapsed="false">
      <c r="B3849" s="9" t="s">
        <v>63</v>
      </c>
      <c r="C3849" s="9" t="n">
        <v>1185732</v>
      </c>
      <c r="D3849" s="10" t="n">
        <v>44394</v>
      </c>
      <c r="E3849" s="9" t="s">
        <v>17</v>
      </c>
      <c r="F3849" s="9" t="s">
        <v>135</v>
      </c>
      <c r="G3849" s="9" t="s">
        <v>136</v>
      </c>
      <c r="H3849" s="11" t="s">
        <v>19</v>
      </c>
      <c r="I3849" s="12" t="n">
        <v>65</v>
      </c>
      <c r="J3849" s="13" t="n">
        <v>700</v>
      </c>
      <c r="K3849" s="14" t="n">
        <f aca="false">I3849*J3849</f>
        <v>45500</v>
      </c>
      <c r="L3849" s="14" t="n">
        <f aca="false">($L$2*M3849)/100</f>
        <v>480666.6</v>
      </c>
      <c r="M3849" s="15" t="n">
        <v>0.4</v>
      </c>
      <c r="N3849" s="9" t="s">
        <v>20</v>
      </c>
    </row>
    <row r="3850" customFormat="false" ht="14.25" hidden="false" customHeight="true" outlineLevel="0" collapsed="false">
      <c r="B3850" s="9" t="s">
        <v>63</v>
      </c>
      <c r="C3850" s="9" t="n">
        <v>1185732</v>
      </c>
      <c r="D3850" s="10" t="n">
        <v>44394</v>
      </c>
      <c r="E3850" s="9" t="s">
        <v>17</v>
      </c>
      <c r="F3850" s="9" t="s">
        <v>135</v>
      </c>
      <c r="G3850" s="9" t="s">
        <v>136</v>
      </c>
      <c r="H3850" s="11" t="s">
        <v>21</v>
      </c>
      <c r="I3850" s="12" t="n">
        <v>60</v>
      </c>
      <c r="J3850" s="13" t="n">
        <v>450</v>
      </c>
      <c r="K3850" s="14" t="n">
        <f aca="false">I3850*J3850</f>
        <v>27000</v>
      </c>
      <c r="L3850" s="14" t="n">
        <f aca="false">($L$2*M3850)/100</f>
        <v>480666.6</v>
      </c>
      <c r="M3850" s="15" t="n">
        <v>0.4</v>
      </c>
      <c r="N3850" s="9" t="s">
        <v>26</v>
      </c>
    </row>
    <row r="3851" customFormat="false" ht="14.25" hidden="false" customHeight="true" outlineLevel="0" collapsed="false">
      <c r="B3851" s="9" t="s">
        <v>63</v>
      </c>
      <c r="C3851" s="9" t="n">
        <v>1185732</v>
      </c>
      <c r="D3851" s="10" t="n">
        <v>44394</v>
      </c>
      <c r="E3851" s="9" t="s">
        <v>17</v>
      </c>
      <c r="F3851" s="9" t="s">
        <v>135</v>
      </c>
      <c r="G3851" s="9" t="s">
        <v>136</v>
      </c>
      <c r="H3851" s="11" t="s">
        <v>22</v>
      </c>
      <c r="I3851" s="12" t="n">
        <v>55</v>
      </c>
      <c r="J3851" s="13" t="n">
        <v>375</v>
      </c>
      <c r="K3851" s="14" t="n">
        <f aca="false">I3851*J3851</f>
        <v>20625</v>
      </c>
      <c r="L3851" s="14" t="n">
        <f aca="false">($L$2*M3851)/100</f>
        <v>360499.95</v>
      </c>
      <c r="M3851" s="15" t="n">
        <v>0.3</v>
      </c>
      <c r="N3851" s="9" t="s">
        <v>26</v>
      </c>
    </row>
    <row r="3852" customFormat="false" ht="14.25" hidden="false" customHeight="true" outlineLevel="0" collapsed="false">
      <c r="B3852" s="9" t="s">
        <v>63</v>
      </c>
      <c r="C3852" s="9" t="n">
        <v>1185732</v>
      </c>
      <c r="D3852" s="10" t="n">
        <v>44394</v>
      </c>
      <c r="E3852" s="9" t="s">
        <v>17</v>
      </c>
      <c r="F3852" s="9" t="s">
        <v>135</v>
      </c>
      <c r="G3852" s="9" t="s">
        <v>136</v>
      </c>
      <c r="H3852" s="11" t="s">
        <v>23</v>
      </c>
      <c r="I3852" s="12" t="n">
        <v>55</v>
      </c>
      <c r="J3852" s="13" t="n">
        <v>325</v>
      </c>
      <c r="K3852" s="14" t="n">
        <f aca="false">I3852*J3852</f>
        <v>17875</v>
      </c>
      <c r="L3852" s="14" t="n">
        <f aca="false">($L$2*M3852)/100</f>
        <v>360499.95</v>
      </c>
      <c r="M3852" s="15" t="n">
        <v>0.3</v>
      </c>
      <c r="N3852" s="9" t="s">
        <v>26</v>
      </c>
    </row>
    <row r="3853" customFormat="false" ht="14.25" hidden="false" customHeight="true" outlineLevel="0" collapsed="false">
      <c r="B3853" s="9" t="s">
        <v>63</v>
      </c>
      <c r="C3853" s="9" t="n">
        <v>1185732</v>
      </c>
      <c r="D3853" s="10" t="n">
        <v>44394</v>
      </c>
      <c r="E3853" s="9" t="s">
        <v>17</v>
      </c>
      <c r="F3853" s="9" t="s">
        <v>135</v>
      </c>
      <c r="G3853" s="9" t="s">
        <v>136</v>
      </c>
      <c r="H3853" s="11" t="s">
        <v>24</v>
      </c>
      <c r="I3853" s="12" t="n">
        <v>65</v>
      </c>
      <c r="J3853" s="13" t="n">
        <v>350</v>
      </c>
      <c r="K3853" s="14" t="n">
        <f aca="false">I3853*J3853</f>
        <v>22750</v>
      </c>
      <c r="L3853" s="14" t="n">
        <f aca="false">($L$2*M3853)/100</f>
        <v>360499.95</v>
      </c>
      <c r="M3853" s="15" t="n">
        <v>0.3</v>
      </c>
      <c r="N3853" s="9" t="s">
        <v>26</v>
      </c>
    </row>
    <row r="3854" customFormat="false" ht="14.25" hidden="false" customHeight="true" outlineLevel="0" collapsed="false">
      <c r="B3854" s="9" t="s">
        <v>63</v>
      </c>
      <c r="C3854" s="9" t="n">
        <v>1185732</v>
      </c>
      <c r="D3854" s="10" t="n">
        <v>44394</v>
      </c>
      <c r="E3854" s="9" t="s">
        <v>17</v>
      </c>
      <c r="F3854" s="9" t="s">
        <v>135</v>
      </c>
      <c r="G3854" s="9" t="s">
        <v>136</v>
      </c>
      <c r="H3854" s="11" t="s">
        <v>25</v>
      </c>
      <c r="I3854" s="12" t="n">
        <v>70</v>
      </c>
      <c r="J3854" s="13" t="n">
        <v>525</v>
      </c>
      <c r="K3854" s="14" t="n">
        <f aca="false">I3854*J3854</f>
        <v>36750</v>
      </c>
      <c r="L3854" s="14" t="n">
        <f aca="false">($L$2*M3854)/100</f>
        <v>420583.275</v>
      </c>
      <c r="M3854" s="15" t="n">
        <v>0.35</v>
      </c>
      <c r="N3854" s="9" t="s">
        <v>26</v>
      </c>
    </row>
    <row r="3855" customFormat="false" ht="14.25" hidden="false" customHeight="true" outlineLevel="0" collapsed="false">
      <c r="B3855" s="9" t="s">
        <v>63</v>
      </c>
      <c r="C3855" s="9" t="n">
        <v>1185732</v>
      </c>
      <c r="D3855" s="10" t="n">
        <v>44426</v>
      </c>
      <c r="E3855" s="9" t="s">
        <v>17</v>
      </c>
      <c r="F3855" s="9" t="s">
        <v>135</v>
      </c>
      <c r="G3855" s="9" t="s">
        <v>136</v>
      </c>
      <c r="H3855" s="11" t="s">
        <v>19</v>
      </c>
      <c r="I3855" s="12" t="n">
        <v>65</v>
      </c>
      <c r="J3855" s="13" t="n">
        <v>675</v>
      </c>
      <c r="K3855" s="14" t="n">
        <f aca="false">I3855*J3855</f>
        <v>43875</v>
      </c>
      <c r="L3855" s="14" t="n">
        <f aca="false">($L$2*M3855)/100</f>
        <v>480666.6</v>
      </c>
      <c r="M3855" s="15" t="n">
        <v>0.4</v>
      </c>
      <c r="N3855" s="9" t="s">
        <v>26</v>
      </c>
    </row>
    <row r="3856" customFormat="false" ht="14.25" hidden="false" customHeight="true" outlineLevel="0" collapsed="false">
      <c r="B3856" s="9" t="s">
        <v>63</v>
      </c>
      <c r="C3856" s="9" t="n">
        <v>1185732</v>
      </c>
      <c r="D3856" s="10" t="n">
        <v>44426</v>
      </c>
      <c r="E3856" s="9" t="s">
        <v>17</v>
      </c>
      <c r="F3856" s="9" t="s">
        <v>135</v>
      </c>
      <c r="G3856" s="9" t="s">
        <v>136</v>
      </c>
      <c r="H3856" s="11" t="s">
        <v>21</v>
      </c>
      <c r="I3856" s="12" t="n">
        <v>60</v>
      </c>
      <c r="J3856" s="13" t="n">
        <v>450</v>
      </c>
      <c r="K3856" s="14" t="n">
        <f aca="false">I3856*J3856</f>
        <v>27000</v>
      </c>
      <c r="L3856" s="14" t="n">
        <f aca="false">($L$2*M3856)/100</f>
        <v>480666.6</v>
      </c>
      <c r="M3856" s="15" t="n">
        <v>0.4</v>
      </c>
      <c r="N3856" s="9" t="s">
        <v>26</v>
      </c>
    </row>
    <row r="3857" customFormat="false" ht="14.25" hidden="false" customHeight="true" outlineLevel="0" collapsed="false">
      <c r="B3857" s="9" t="s">
        <v>63</v>
      </c>
      <c r="C3857" s="9" t="n">
        <v>1185732</v>
      </c>
      <c r="D3857" s="10" t="n">
        <v>44426</v>
      </c>
      <c r="E3857" s="9" t="s">
        <v>17</v>
      </c>
      <c r="F3857" s="9" t="s">
        <v>135</v>
      </c>
      <c r="G3857" s="9" t="s">
        <v>136</v>
      </c>
      <c r="H3857" s="11" t="s">
        <v>22</v>
      </c>
      <c r="I3857" s="12" t="n">
        <v>55</v>
      </c>
      <c r="J3857" s="13" t="n">
        <v>375</v>
      </c>
      <c r="K3857" s="14" t="n">
        <f aca="false">I3857*J3857</f>
        <v>20625</v>
      </c>
      <c r="L3857" s="14" t="n">
        <f aca="false">($L$2*M3857)/100</f>
        <v>360499.95</v>
      </c>
      <c r="M3857" s="15" t="n">
        <v>0.3</v>
      </c>
      <c r="N3857" s="9" t="s">
        <v>26</v>
      </c>
    </row>
    <row r="3858" customFormat="false" ht="14.25" hidden="false" customHeight="true" outlineLevel="0" collapsed="false">
      <c r="B3858" s="9" t="s">
        <v>63</v>
      </c>
      <c r="C3858" s="9" t="n">
        <v>1185732</v>
      </c>
      <c r="D3858" s="10" t="n">
        <v>44426</v>
      </c>
      <c r="E3858" s="9" t="s">
        <v>17</v>
      </c>
      <c r="F3858" s="9" t="s">
        <v>135</v>
      </c>
      <c r="G3858" s="9" t="s">
        <v>136</v>
      </c>
      <c r="H3858" s="11" t="s">
        <v>23</v>
      </c>
      <c r="I3858" s="12" t="n">
        <v>55</v>
      </c>
      <c r="J3858" s="13" t="n">
        <v>275</v>
      </c>
      <c r="K3858" s="14" t="n">
        <f aca="false">I3858*J3858</f>
        <v>15125</v>
      </c>
      <c r="L3858" s="14" t="n">
        <f aca="false">($L$2*M3858)/100</f>
        <v>360499.95</v>
      </c>
      <c r="M3858" s="15" t="n">
        <v>0.3</v>
      </c>
      <c r="N3858" s="9" t="s">
        <v>26</v>
      </c>
    </row>
    <row r="3859" customFormat="false" ht="14.25" hidden="false" customHeight="true" outlineLevel="0" collapsed="false">
      <c r="B3859" s="9" t="s">
        <v>63</v>
      </c>
      <c r="C3859" s="9" t="n">
        <v>1185732</v>
      </c>
      <c r="D3859" s="10" t="n">
        <v>44426</v>
      </c>
      <c r="E3859" s="9" t="s">
        <v>17</v>
      </c>
      <c r="F3859" s="9" t="s">
        <v>135</v>
      </c>
      <c r="G3859" s="9" t="s">
        <v>136</v>
      </c>
      <c r="H3859" s="11" t="s">
        <v>24</v>
      </c>
      <c r="I3859" s="12" t="n">
        <v>65</v>
      </c>
      <c r="J3859" s="13" t="n">
        <v>250</v>
      </c>
      <c r="K3859" s="14" t="n">
        <f aca="false">I3859*J3859</f>
        <v>16250</v>
      </c>
      <c r="L3859" s="14" t="n">
        <f aca="false">($L$2*M3859)/100</f>
        <v>360499.95</v>
      </c>
      <c r="M3859" s="15" t="n">
        <v>0.3</v>
      </c>
      <c r="N3859" s="9" t="s">
        <v>26</v>
      </c>
    </row>
    <row r="3860" customFormat="false" ht="14.25" hidden="false" customHeight="true" outlineLevel="0" collapsed="false">
      <c r="B3860" s="9" t="s">
        <v>63</v>
      </c>
      <c r="C3860" s="9" t="n">
        <v>1185732</v>
      </c>
      <c r="D3860" s="10" t="n">
        <v>44426</v>
      </c>
      <c r="E3860" s="9" t="s">
        <v>17</v>
      </c>
      <c r="F3860" s="9" t="s">
        <v>135</v>
      </c>
      <c r="G3860" s="9" t="s">
        <v>136</v>
      </c>
      <c r="H3860" s="11" t="s">
        <v>25</v>
      </c>
      <c r="I3860" s="12" t="n">
        <v>70</v>
      </c>
      <c r="J3860" s="13" t="n">
        <v>425</v>
      </c>
      <c r="K3860" s="14" t="n">
        <f aca="false">I3860*J3860</f>
        <v>29750</v>
      </c>
      <c r="L3860" s="14" t="n">
        <f aca="false">($L$2*M3860)/100</f>
        <v>420583.275</v>
      </c>
      <c r="M3860" s="15" t="n">
        <v>0.35</v>
      </c>
      <c r="N3860" s="9" t="s">
        <v>26</v>
      </c>
    </row>
    <row r="3861" customFormat="false" ht="14.25" hidden="false" customHeight="true" outlineLevel="0" collapsed="false">
      <c r="B3861" s="9" t="s">
        <v>63</v>
      </c>
      <c r="C3861" s="9" t="n">
        <v>1185732</v>
      </c>
      <c r="D3861" s="10" t="n">
        <v>44456</v>
      </c>
      <c r="E3861" s="9" t="s">
        <v>17</v>
      </c>
      <c r="F3861" s="9" t="s">
        <v>135</v>
      </c>
      <c r="G3861" s="9" t="s">
        <v>136</v>
      </c>
      <c r="H3861" s="11" t="s">
        <v>19</v>
      </c>
      <c r="I3861" s="12" t="n">
        <v>65</v>
      </c>
      <c r="J3861" s="13" t="n">
        <v>550</v>
      </c>
      <c r="K3861" s="14" t="n">
        <f aca="false">I3861*J3861</f>
        <v>35750</v>
      </c>
      <c r="L3861" s="14" t="n">
        <f aca="false">($L$2*M3861)/100</f>
        <v>480666.6</v>
      </c>
      <c r="M3861" s="15" t="n">
        <v>0.4</v>
      </c>
      <c r="N3861" s="9" t="s">
        <v>26</v>
      </c>
    </row>
    <row r="3862" customFormat="false" ht="14.25" hidden="false" customHeight="true" outlineLevel="0" collapsed="false">
      <c r="B3862" s="9" t="s">
        <v>63</v>
      </c>
      <c r="C3862" s="9" t="n">
        <v>1185732</v>
      </c>
      <c r="D3862" s="10" t="n">
        <v>44456</v>
      </c>
      <c r="E3862" s="9" t="s">
        <v>17</v>
      </c>
      <c r="F3862" s="9" t="s">
        <v>135</v>
      </c>
      <c r="G3862" s="9" t="s">
        <v>136</v>
      </c>
      <c r="H3862" s="11" t="s">
        <v>21</v>
      </c>
      <c r="I3862" s="12" t="n">
        <v>60</v>
      </c>
      <c r="J3862" s="13" t="n">
        <v>350</v>
      </c>
      <c r="K3862" s="14" t="n">
        <f aca="false">I3862*J3862</f>
        <v>21000</v>
      </c>
      <c r="L3862" s="14" t="n">
        <f aca="false">($L$2*M3862)/100</f>
        <v>480666.6</v>
      </c>
      <c r="M3862" s="15" t="n">
        <v>0.4</v>
      </c>
      <c r="N3862" s="9" t="s">
        <v>26</v>
      </c>
    </row>
    <row r="3863" customFormat="false" ht="14.25" hidden="false" customHeight="true" outlineLevel="0" collapsed="false">
      <c r="B3863" s="9" t="s">
        <v>63</v>
      </c>
      <c r="C3863" s="9" t="n">
        <v>1185732</v>
      </c>
      <c r="D3863" s="10" t="n">
        <v>44456</v>
      </c>
      <c r="E3863" s="9" t="s">
        <v>17</v>
      </c>
      <c r="F3863" s="9" t="s">
        <v>135</v>
      </c>
      <c r="G3863" s="9" t="s">
        <v>136</v>
      </c>
      <c r="H3863" s="11" t="s">
        <v>22</v>
      </c>
      <c r="I3863" s="12" t="n">
        <v>55</v>
      </c>
      <c r="J3863" s="13" t="n">
        <v>250</v>
      </c>
      <c r="K3863" s="14" t="n">
        <f aca="false">I3863*J3863</f>
        <v>13750</v>
      </c>
      <c r="L3863" s="14" t="n">
        <f aca="false">($L$2*M3863)/100</f>
        <v>360499.95</v>
      </c>
      <c r="M3863" s="15" t="n">
        <v>0.3</v>
      </c>
      <c r="N3863" s="9" t="s">
        <v>26</v>
      </c>
    </row>
    <row r="3864" customFormat="false" ht="14.25" hidden="false" customHeight="true" outlineLevel="0" collapsed="false">
      <c r="B3864" s="9" t="s">
        <v>63</v>
      </c>
      <c r="C3864" s="9" t="n">
        <v>1185732</v>
      </c>
      <c r="D3864" s="10" t="n">
        <v>44456</v>
      </c>
      <c r="E3864" s="9" t="s">
        <v>17</v>
      </c>
      <c r="F3864" s="9" t="s">
        <v>135</v>
      </c>
      <c r="G3864" s="9" t="s">
        <v>136</v>
      </c>
      <c r="H3864" s="11" t="s">
        <v>23</v>
      </c>
      <c r="I3864" s="12" t="n">
        <v>55</v>
      </c>
      <c r="J3864" s="13" t="n">
        <v>225</v>
      </c>
      <c r="K3864" s="14" t="n">
        <f aca="false">I3864*J3864</f>
        <v>12375</v>
      </c>
      <c r="L3864" s="14" t="n">
        <f aca="false">($L$2*M3864)/100</f>
        <v>360499.95</v>
      </c>
      <c r="M3864" s="15" t="n">
        <v>0.3</v>
      </c>
      <c r="N3864" s="9" t="s">
        <v>26</v>
      </c>
    </row>
    <row r="3865" customFormat="false" ht="14.25" hidden="false" customHeight="true" outlineLevel="0" collapsed="false">
      <c r="B3865" s="9" t="s">
        <v>63</v>
      </c>
      <c r="C3865" s="9" t="n">
        <v>1185732</v>
      </c>
      <c r="D3865" s="10" t="n">
        <v>44456</v>
      </c>
      <c r="E3865" s="9" t="s">
        <v>17</v>
      </c>
      <c r="F3865" s="9" t="s">
        <v>135</v>
      </c>
      <c r="G3865" s="9" t="s">
        <v>136</v>
      </c>
      <c r="H3865" s="11" t="s">
        <v>24</v>
      </c>
      <c r="I3865" s="12" t="n">
        <v>65</v>
      </c>
      <c r="J3865" s="13" t="n">
        <v>225</v>
      </c>
      <c r="K3865" s="14" t="n">
        <f aca="false">I3865*J3865</f>
        <v>14625</v>
      </c>
      <c r="L3865" s="14" t="n">
        <f aca="false">($L$2*M3865)/100</f>
        <v>360499.95</v>
      </c>
      <c r="M3865" s="15" t="n">
        <v>0.3</v>
      </c>
      <c r="N3865" s="9" t="s">
        <v>26</v>
      </c>
    </row>
    <row r="3866" customFormat="false" ht="14.25" hidden="false" customHeight="true" outlineLevel="0" collapsed="false">
      <c r="B3866" s="9" t="s">
        <v>63</v>
      </c>
      <c r="C3866" s="9" t="n">
        <v>1185732</v>
      </c>
      <c r="D3866" s="10" t="n">
        <v>44456</v>
      </c>
      <c r="E3866" s="9" t="s">
        <v>17</v>
      </c>
      <c r="F3866" s="9" t="s">
        <v>135</v>
      </c>
      <c r="G3866" s="9" t="s">
        <v>136</v>
      </c>
      <c r="H3866" s="11" t="s">
        <v>25</v>
      </c>
      <c r="I3866" s="12" t="n">
        <v>70</v>
      </c>
      <c r="J3866" s="13" t="n">
        <v>325</v>
      </c>
      <c r="K3866" s="14" t="n">
        <f aca="false">I3866*J3866</f>
        <v>22750</v>
      </c>
      <c r="L3866" s="14" t="n">
        <f aca="false">($L$2*M3866)/100</f>
        <v>420583.275</v>
      </c>
      <c r="M3866" s="15" t="n">
        <v>0.35</v>
      </c>
      <c r="N3866" s="9" t="s">
        <v>26</v>
      </c>
    </row>
    <row r="3867" customFormat="false" ht="14.25" hidden="false" customHeight="true" outlineLevel="0" collapsed="false">
      <c r="B3867" s="9" t="s">
        <v>16</v>
      </c>
      <c r="C3867" s="9" t="n">
        <v>1185732</v>
      </c>
      <c r="D3867" s="10" t="n">
        <v>44488</v>
      </c>
      <c r="E3867" s="9" t="s">
        <v>17</v>
      </c>
      <c r="F3867" s="9" t="s">
        <v>135</v>
      </c>
      <c r="G3867" s="9" t="s">
        <v>136</v>
      </c>
      <c r="H3867" s="11" t="s">
        <v>19</v>
      </c>
      <c r="I3867" s="12" t="n">
        <v>70</v>
      </c>
      <c r="J3867" s="13" t="n">
        <v>475</v>
      </c>
      <c r="K3867" s="14" t="n">
        <f aca="false">I3867*J3867</f>
        <v>33250</v>
      </c>
      <c r="L3867" s="14" t="n">
        <f aca="false">($L$2*M3867)/100</f>
        <v>480666.6</v>
      </c>
      <c r="M3867" s="15" t="n">
        <v>0.4</v>
      </c>
      <c r="N3867" s="9" t="s">
        <v>26</v>
      </c>
    </row>
    <row r="3868" customFormat="false" ht="14.25" hidden="false" customHeight="true" outlineLevel="0" collapsed="false">
      <c r="B3868" s="9" t="s">
        <v>16</v>
      </c>
      <c r="C3868" s="9" t="n">
        <v>1185732</v>
      </c>
      <c r="D3868" s="10" t="n">
        <v>44488</v>
      </c>
      <c r="E3868" s="9" t="s">
        <v>17</v>
      </c>
      <c r="F3868" s="9" t="s">
        <v>135</v>
      </c>
      <c r="G3868" s="9" t="s">
        <v>136</v>
      </c>
      <c r="H3868" s="11" t="s">
        <v>21</v>
      </c>
      <c r="I3868" s="12" t="n">
        <v>65</v>
      </c>
      <c r="J3868" s="13" t="n">
        <v>300</v>
      </c>
      <c r="K3868" s="14" t="n">
        <f aca="false">I3868*J3868</f>
        <v>19500</v>
      </c>
      <c r="L3868" s="14" t="n">
        <f aca="false">($L$2*M3868)/100</f>
        <v>480666.6</v>
      </c>
      <c r="M3868" s="15" t="n">
        <v>0.4</v>
      </c>
      <c r="N3868" s="9" t="s">
        <v>26</v>
      </c>
    </row>
    <row r="3869" customFormat="false" ht="14.25" hidden="false" customHeight="true" outlineLevel="0" collapsed="false">
      <c r="B3869" s="9" t="s">
        <v>16</v>
      </c>
      <c r="C3869" s="9" t="n">
        <v>1185732</v>
      </c>
      <c r="D3869" s="10" t="n">
        <v>44488</v>
      </c>
      <c r="E3869" s="9" t="s">
        <v>17</v>
      </c>
      <c r="F3869" s="9" t="s">
        <v>135</v>
      </c>
      <c r="G3869" s="9" t="s">
        <v>136</v>
      </c>
      <c r="H3869" s="11" t="s">
        <v>22</v>
      </c>
      <c r="I3869" s="12" t="n">
        <v>65</v>
      </c>
      <c r="J3869" s="13" t="n">
        <v>200</v>
      </c>
      <c r="K3869" s="14" t="n">
        <f aca="false">I3869*J3869</f>
        <v>13000</v>
      </c>
      <c r="L3869" s="14" t="n">
        <f aca="false">($L$2*M3869)/100</f>
        <v>360499.95</v>
      </c>
      <c r="M3869" s="15" t="n">
        <v>0.3</v>
      </c>
      <c r="N3869" s="9" t="s">
        <v>26</v>
      </c>
    </row>
    <row r="3870" customFormat="false" ht="14.25" hidden="false" customHeight="true" outlineLevel="0" collapsed="false">
      <c r="B3870" s="9" t="s">
        <v>16</v>
      </c>
      <c r="C3870" s="9" t="n">
        <v>1185732</v>
      </c>
      <c r="D3870" s="10" t="n">
        <v>44488</v>
      </c>
      <c r="E3870" s="9" t="s">
        <v>17</v>
      </c>
      <c r="F3870" s="9" t="s">
        <v>135</v>
      </c>
      <c r="G3870" s="9" t="s">
        <v>136</v>
      </c>
      <c r="H3870" s="11" t="s">
        <v>23</v>
      </c>
      <c r="I3870" s="12" t="n">
        <v>65</v>
      </c>
      <c r="J3870" s="13" t="n">
        <v>175</v>
      </c>
      <c r="K3870" s="14" t="n">
        <f aca="false">I3870*J3870</f>
        <v>11375</v>
      </c>
      <c r="L3870" s="14" t="n">
        <f aca="false">($L$2*M3870)/100</f>
        <v>360499.95</v>
      </c>
      <c r="M3870" s="15" t="n">
        <v>0.3</v>
      </c>
      <c r="N3870" s="9" t="s">
        <v>26</v>
      </c>
    </row>
    <row r="3871" customFormat="false" ht="14.25" hidden="false" customHeight="true" outlineLevel="0" collapsed="false">
      <c r="B3871" s="9" t="s">
        <v>16</v>
      </c>
      <c r="C3871" s="9" t="n">
        <v>1185732</v>
      </c>
      <c r="D3871" s="10" t="n">
        <v>44488</v>
      </c>
      <c r="E3871" s="9" t="s">
        <v>17</v>
      </c>
      <c r="F3871" s="9" t="s">
        <v>135</v>
      </c>
      <c r="G3871" s="9" t="s">
        <v>136</v>
      </c>
      <c r="H3871" s="11" t="s">
        <v>24</v>
      </c>
      <c r="I3871" s="12" t="n">
        <v>75</v>
      </c>
      <c r="J3871" s="13" t="n">
        <v>175</v>
      </c>
      <c r="K3871" s="14" t="n">
        <f aca="false">I3871*J3871</f>
        <v>13125</v>
      </c>
      <c r="L3871" s="14" t="n">
        <f aca="false">($L$2*M3871)/100</f>
        <v>360499.95</v>
      </c>
      <c r="M3871" s="15" t="n">
        <v>0.3</v>
      </c>
      <c r="N3871" s="9" t="s">
        <v>26</v>
      </c>
    </row>
    <row r="3872" customFormat="false" ht="14.25" hidden="false" customHeight="true" outlineLevel="0" collapsed="false">
      <c r="B3872" s="9" t="s">
        <v>16</v>
      </c>
      <c r="C3872" s="9" t="n">
        <v>1185732</v>
      </c>
      <c r="D3872" s="10" t="n">
        <v>44488</v>
      </c>
      <c r="E3872" s="9" t="s">
        <v>17</v>
      </c>
      <c r="F3872" s="9" t="s">
        <v>135</v>
      </c>
      <c r="G3872" s="9" t="s">
        <v>136</v>
      </c>
      <c r="H3872" s="11" t="s">
        <v>25</v>
      </c>
      <c r="I3872" s="12" t="n">
        <v>80</v>
      </c>
      <c r="J3872" s="13" t="n">
        <v>300</v>
      </c>
      <c r="K3872" s="14" t="n">
        <f aca="false">I3872*J3872</f>
        <v>24000</v>
      </c>
      <c r="L3872" s="14" t="n">
        <f aca="false">($L$2*M3872)/100</f>
        <v>420583.275</v>
      </c>
      <c r="M3872" s="15" t="n">
        <v>0.35</v>
      </c>
      <c r="N3872" s="9" t="s">
        <v>26</v>
      </c>
    </row>
    <row r="3873" customFormat="false" ht="14.25" hidden="false" customHeight="true" outlineLevel="0" collapsed="false">
      <c r="B3873" s="9" t="s">
        <v>16</v>
      </c>
      <c r="C3873" s="9" t="n">
        <v>1185732</v>
      </c>
      <c r="D3873" s="10" t="n">
        <v>44518</v>
      </c>
      <c r="E3873" s="9" t="s">
        <v>17</v>
      </c>
      <c r="F3873" s="9" t="s">
        <v>135</v>
      </c>
      <c r="G3873" s="9" t="s">
        <v>136</v>
      </c>
      <c r="H3873" s="11" t="s">
        <v>19</v>
      </c>
      <c r="I3873" s="12" t="n">
        <v>75</v>
      </c>
      <c r="J3873" s="13" t="n">
        <v>450</v>
      </c>
      <c r="K3873" s="14" t="n">
        <f aca="false">I3873*J3873</f>
        <v>33750</v>
      </c>
      <c r="L3873" s="14" t="n">
        <f aca="false">($L$2*M3873)/100</f>
        <v>480666.6</v>
      </c>
      <c r="M3873" s="15" t="n">
        <v>0.4</v>
      </c>
      <c r="N3873" s="9" t="s">
        <v>26</v>
      </c>
    </row>
    <row r="3874" customFormat="false" ht="14.25" hidden="false" customHeight="true" outlineLevel="0" collapsed="false">
      <c r="B3874" s="9" t="s">
        <v>16</v>
      </c>
      <c r="C3874" s="9" t="n">
        <v>1185732</v>
      </c>
      <c r="D3874" s="10" t="n">
        <v>44518</v>
      </c>
      <c r="E3874" s="9" t="s">
        <v>17</v>
      </c>
      <c r="F3874" s="9" t="s">
        <v>135</v>
      </c>
      <c r="G3874" s="9" t="s">
        <v>136</v>
      </c>
      <c r="H3874" s="11" t="s">
        <v>21</v>
      </c>
      <c r="I3874" s="12" t="n">
        <v>65</v>
      </c>
      <c r="J3874" s="13" t="n">
        <v>325</v>
      </c>
      <c r="K3874" s="14" t="n">
        <f aca="false">I3874*J3874</f>
        <v>21125</v>
      </c>
      <c r="L3874" s="14" t="n">
        <f aca="false">($L$2*M3874)/100</f>
        <v>480666.6</v>
      </c>
      <c r="M3874" s="15" t="n">
        <v>0.4</v>
      </c>
      <c r="N3874" s="9" t="s">
        <v>26</v>
      </c>
    </row>
    <row r="3875" customFormat="false" ht="14.25" hidden="false" customHeight="true" outlineLevel="0" collapsed="false">
      <c r="B3875" s="9" t="s">
        <v>16</v>
      </c>
      <c r="C3875" s="9" t="n">
        <v>1185732</v>
      </c>
      <c r="D3875" s="10" t="n">
        <v>44518</v>
      </c>
      <c r="E3875" s="9" t="s">
        <v>17</v>
      </c>
      <c r="F3875" s="9" t="s">
        <v>135</v>
      </c>
      <c r="G3875" s="9" t="s">
        <v>136</v>
      </c>
      <c r="H3875" s="11" t="s">
        <v>22</v>
      </c>
      <c r="I3875" s="12" t="n">
        <v>65</v>
      </c>
      <c r="J3875" s="13" t="n">
        <v>345</v>
      </c>
      <c r="K3875" s="14" t="n">
        <f aca="false">I3875*J3875</f>
        <v>22425</v>
      </c>
      <c r="L3875" s="14" t="n">
        <f aca="false">($L$2*M3875)/100</f>
        <v>360499.95</v>
      </c>
      <c r="M3875" s="15" t="n">
        <v>0.3</v>
      </c>
      <c r="N3875" s="9" t="s">
        <v>26</v>
      </c>
    </row>
    <row r="3876" customFormat="false" ht="14.25" hidden="false" customHeight="true" outlineLevel="0" collapsed="false">
      <c r="B3876" s="9" t="s">
        <v>16</v>
      </c>
      <c r="C3876" s="9" t="n">
        <v>1185732</v>
      </c>
      <c r="D3876" s="10" t="n">
        <v>44518</v>
      </c>
      <c r="E3876" s="9" t="s">
        <v>17</v>
      </c>
      <c r="F3876" s="9" t="s">
        <v>135</v>
      </c>
      <c r="G3876" s="9" t="s">
        <v>136</v>
      </c>
      <c r="H3876" s="11" t="s">
        <v>23</v>
      </c>
      <c r="I3876" s="12" t="n">
        <v>65</v>
      </c>
      <c r="J3876" s="13" t="n">
        <v>325</v>
      </c>
      <c r="K3876" s="14" t="n">
        <f aca="false">I3876*J3876</f>
        <v>21125</v>
      </c>
      <c r="L3876" s="14" t="n">
        <f aca="false">($L$2*M3876)/100</f>
        <v>360499.95</v>
      </c>
      <c r="M3876" s="15" t="n">
        <v>0.3</v>
      </c>
      <c r="N3876" s="9" t="s">
        <v>26</v>
      </c>
    </row>
    <row r="3877" customFormat="false" ht="14.25" hidden="false" customHeight="true" outlineLevel="0" collapsed="false">
      <c r="B3877" s="9" t="s">
        <v>16</v>
      </c>
      <c r="C3877" s="9" t="n">
        <v>1185732</v>
      </c>
      <c r="D3877" s="10" t="n">
        <v>44518</v>
      </c>
      <c r="E3877" s="9" t="s">
        <v>17</v>
      </c>
      <c r="F3877" s="9" t="s">
        <v>135</v>
      </c>
      <c r="G3877" s="9" t="s">
        <v>136</v>
      </c>
      <c r="H3877" s="11" t="s">
        <v>24</v>
      </c>
      <c r="I3877" s="12" t="n">
        <v>75</v>
      </c>
      <c r="J3877" s="13" t="n">
        <v>300</v>
      </c>
      <c r="K3877" s="14" t="n">
        <f aca="false">I3877*J3877</f>
        <v>22500</v>
      </c>
      <c r="L3877" s="14" t="n">
        <f aca="false">($L$2*M3877)/100</f>
        <v>360499.95</v>
      </c>
      <c r="M3877" s="15" t="n">
        <v>0.3</v>
      </c>
      <c r="N3877" s="9" t="s">
        <v>26</v>
      </c>
    </row>
    <row r="3878" customFormat="false" ht="14.25" hidden="false" customHeight="true" outlineLevel="0" collapsed="false">
      <c r="B3878" s="9" t="s">
        <v>16</v>
      </c>
      <c r="C3878" s="9" t="n">
        <v>1185732</v>
      </c>
      <c r="D3878" s="10" t="n">
        <v>44518</v>
      </c>
      <c r="E3878" s="9" t="s">
        <v>17</v>
      </c>
      <c r="F3878" s="9" t="s">
        <v>135</v>
      </c>
      <c r="G3878" s="9" t="s">
        <v>136</v>
      </c>
      <c r="H3878" s="11" t="s">
        <v>25</v>
      </c>
      <c r="I3878" s="12" t="n">
        <v>80</v>
      </c>
      <c r="J3878" s="13" t="n">
        <v>400</v>
      </c>
      <c r="K3878" s="14" t="n">
        <f aca="false">I3878*J3878</f>
        <v>32000</v>
      </c>
      <c r="L3878" s="14" t="n">
        <f aca="false">($L$2*M3878)/100</f>
        <v>420583.275</v>
      </c>
      <c r="M3878" s="15" t="n">
        <v>0.35</v>
      </c>
      <c r="N3878" s="9" t="s">
        <v>26</v>
      </c>
    </row>
    <row r="3879" customFormat="false" ht="14.25" hidden="false" customHeight="true" outlineLevel="0" collapsed="false">
      <c r="B3879" s="9" t="s">
        <v>16</v>
      </c>
      <c r="C3879" s="9" t="n">
        <v>1185732</v>
      </c>
      <c r="D3879" s="10" t="n">
        <v>44547</v>
      </c>
      <c r="E3879" s="9" t="s">
        <v>17</v>
      </c>
      <c r="F3879" s="9" t="s">
        <v>135</v>
      </c>
      <c r="G3879" s="9" t="s">
        <v>136</v>
      </c>
      <c r="H3879" s="11" t="s">
        <v>19</v>
      </c>
      <c r="I3879" s="12" t="n">
        <v>75</v>
      </c>
      <c r="J3879" s="13" t="n">
        <v>625</v>
      </c>
      <c r="K3879" s="14" t="n">
        <f aca="false">I3879*J3879</f>
        <v>46875</v>
      </c>
      <c r="L3879" s="14" t="n">
        <f aca="false">($L$2*M3879)/100</f>
        <v>480666.6</v>
      </c>
      <c r="M3879" s="15" t="n">
        <v>0.4</v>
      </c>
      <c r="N3879" s="9" t="s">
        <v>26</v>
      </c>
    </row>
    <row r="3880" customFormat="false" ht="14.25" hidden="false" customHeight="true" outlineLevel="0" collapsed="false">
      <c r="B3880" s="9" t="s">
        <v>16</v>
      </c>
      <c r="C3880" s="9" t="n">
        <v>1185732</v>
      </c>
      <c r="D3880" s="10" t="n">
        <v>44547</v>
      </c>
      <c r="E3880" s="9" t="s">
        <v>17</v>
      </c>
      <c r="F3880" s="9" t="s">
        <v>135</v>
      </c>
      <c r="G3880" s="9" t="s">
        <v>136</v>
      </c>
      <c r="H3880" s="11" t="s">
        <v>21</v>
      </c>
      <c r="I3880" s="12" t="n">
        <v>65</v>
      </c>
      <c r="J3880" s="13" t="n">
        <v>425</v>
      </c>
      <c r="K3880" s="14" t="n">
        <f aca="false">I3880*J3880</f>
        <v>27625</v>
      </c>
      <c r="L3880" s="14" t="n">
        <f aca="false">($L$2*M3880)/100</f>
        <v>480666.6</v>
      </c>
      <c r="M3880" s="15" t="n">
        <v>0.4</v>
      </c>
      <c r="N3880" s="9" t="s">
        <v>26</v>
      </c>
    </row>
    <row r="3881" customFormat="false" ht="14.25" hidden="false" customHeight="true" outlineLevel="0" collapsed="false">
      <c r="B3881" s="9" t="s">
        <v>16</v>
      </c>
      <c r="C3881" s="9" t="n">
        <v>1185732</v>
      </c>
      <c r="D3881" s="10" t="n">
        <v>44547</v>
      </c>
      <c r="E3881" s="9" t="s">
        <v>17</v>
      </c>
      <c r="F3881" s="9" t="s">
        <v>135</v>
      </c>
      <c r="G3881" s="9" t="s">
        <v>136</v>
      </c>
      <c r="H3881" s="11" t="s">
        <v>22</v>
      </c>
      <c r="I3881" s="12" t="n">
        <v>65</v>
      </c>
      <c r="J3881" s="13" t="n">
        <v>400</v>
      </c>
      <c r="K3881" s="14" t="n">
        <f aca="false">I3881*J3881</f>
        <v>26000</v>
      </c>
      <c r="L3881" s="14" t="n">
        <f aca="false">($L$2*M3881)/100</f>
        <v>360499.95</v>
      </c>
      <c r="M3881" s="15" t="n">
        <v>0.3</v>
      </c>
      <c r="N3881" s="9" t="s">
        <v>26</v>
      </c>
    </row>
    <row r="3882" customFormat="false" ht="14.25" hidden="false" customHeight="true" outlineLevel="0" collapsed="false">
      <c r="B3882" s="9" t="s">
        <v>16</v>
      </c>
      <c r="C3882" s="9" t="n">
        <v>1185732</v>
      </c>
      <c r="D3882" s="10" t="n">
        <v>44547</v>
      </c>
      <c r="E3882" s="9" t="s">
        <v>17</v>
      </c>
      <c r="F3882" s="9" t="s">
        <v>135</v>
      </c>
      <c r="G3882" s="9" t="s">
        <v>136</v>
      </c>
      <c r="H3882" s="11" t="s">
        <v>23</v>
      </c>
      <c r="I3882" s="12" t="n">
        <v>65</v>
      </c>
      <c r="J3882" s="13" t="n">
        <v>350</v>
      </c>
      <c r="K3882" s="14" t="n">
        <f aca="false">I3882*J3882</f>
        <v>22750</v>
      </c>
      <c r="L3882" s="14" t="n">
        <f aca="false">($L$2*M3882)/100</f>
        <v>360499.95</v>
      </c>
      <c r="M3882" s="15" t="n">
        <v>0.3</v>
      </c>
      <c r="N3882" s="9" t="s">
        <v>26</v>
      </c>
    </row>
    <row r="3883" customFormat="false" ht="14.25" hidden="false" customHeight="true" outlineLevel="0" collapsed="false">
      <c r="B3883" s="9" t="s">
        <v>16</v>
      </c>
      <c r="C3883" s="9" t="n">
        <v>1185732</v>
      </c>
      <c r="D3883" s="10" t="n">
        <v>44547</v>
      </c>
      <c r="E3883" s="9" t="s">
        <v>17</v>
      </c>
      <c r="F3883" s="9" t="s">
        <v>135</v>
      </c>
      <c r="G3883" s="9" t="s">
        <v>136</v>
      </c>
      <c r="H3883" s="11" t="s">
        <v>24</v>
      </c>
      <c r="I3883" s="12" t="n">
        <v>75</v>
      </c>
      <c r="J3883" s="13" t="n">
        <v>350</v>
      </c>
      <c r="K3883" s="14" t="n">
        <f aca="false">I3883*J3883</f>
        <v>26250</v>
      </c>
      <c r="L3883" s="14" t="n">
        <f aca="false">($L$2*M3883)/100</f>
        <v>360499.95</v>
      </c>
      <c r="M3883" s="15" t="n">
        <v>0.3</v>
      </c>
      <c r="N3883" s="9" t="s">
        <v>26</v>
      </c>
    </row>
    <row r="3884" customFormat="false" ht="14.25" hidden="false" customHeight="true" outlineLevel="0" collapsed="false">
      <c r="B3884" s="9" t="s">
        <v>16</v>
      </c>
      <c r="C3884" s="9" t="n">
        <v>1185732</v>
      </c>
      <c r="D3884" s="10" t="n">
        <v>44547</v>
      </c>
      <c r="E3884" s="9" t="s">
        <v>17</v>
      </c>
      <c r="F3884" s="9" t="s">
        <v>135</v>
      </c>
      <c r="G3884" s="9" t="s">
        <v>136</v>
      </c>
      <c r="H3884" s="11" t="s">
        <v>25</v>
      </c>
      <c r="I3884" s="12" t="n">
        <v>80</v>
      </c>
      <c r="J3884" s="13" t="n">
        <v>450</v>
      </c>
      <c r="K3884" s="14" t="n">
        <f aca="false">I3884*J3884</f>
        <v>36000</v>
      </c>
      <c r="L3884" s="14" t="n">
        <f aca="false">($L$2*M3884)/100</f>
        <v>420583.275</v>
      </c>
      <c r="M3884" s="15" t="n">
        <v>0.35</v>
      </c>
      <c r="N3884" s="9" t="s">
        <v>26</v>
      </c>
    </row>
    <row r="3885" customFormat="false" ht="14.25" hidden="false" customHeight="true" outlineLevel="0" collapsed="false">
      <c r="B3885" s="9" t="s">
        <v>16</v>
      </c>
      <c r="C3885" s="9" t="n">
        <v>1185732</v>
      </c>
      <c r="D3885" s="10" t="n">
        <v>44220</v>
      </c>
      <c r="E3885" s="9" t="s">
        <v>17</v>
      </c>
      <c r="F3885" s="9" t="s">
        <v>135</v>
      </c>
      <c r="G3885" s="9" t="s">
        <v>136</v>
      </c>
      <c r="H3885" s="11" t="s">
        <v>19</v>
      </c>
      <c r="I3885" s="12" t="n">
        <v>55</v>
      </c>
      <c r="J3885" s="13" t="n">
        <v>500</v>
      </c>
      <c r="K3885" s="14" t="n">
        <f aca="false">I3885*J3885</f>
        <v>27500</v>
      </c>
      <c r="L3885" s="14" t="n">
        <f aca="false">($L$2*M3885)/100</f>
        <v>420583.275</v>
      </c>
      <c r="M3885" s="15" t="n">
        <v>0.35</v>
      </c>
      <c r="N3885" s="9" t="s">
        <v>26</v>
      </c>
    </row>
    <row r="3886" customFormat="false" ht="14.25" hidden="false" customHeight="true" outlineLevel="0" collapsed="false">
      <c r="B3886" s="9" t="s">
        <v>16</v>
      </c>
      <c r="C3886" s="9" t="n">
        <v>1185732</v>
      </c>
      <c r="D3886" s="10" t="n">
        <v>44220</v>
      </c>
      <c r="E3886" s="9" t="s">
        <v>17</v>
      </c>
      <c r="F3886" s="9" t="s">
        <v>135</v>
      </c>
      <c r="G3886" s="9" t="s">
        <v>136</v>
      </c>
      <c r="H3886" s="11" t="s">
        <v>21</v>
      </c>
      <c r="I3886" s="12" t="n">
        <v>55</v>
      </c>
      <c r="J3886" s="13" t="n">
        <v>300</v>
      </c>
      <c r="K3886" s="14" t="n">
        <f aca="false">I3886*J3886</f>
        <v>16500</v>
      </c>
      <c r="L3886" s="14" t="n">
        <f aca="false">($L$2*M3886)/100</f>
        <v>420583.275</v>
      </c>
      <c r="M3886" s="15" t="n">
        <v>0.35</v>
      </c>
      <c r="N3886" s="9" t="s">
        <v>26</v>
      </c>
    </row>
    <row r="3887" customFormat="false" ht="14.25" hidden="false" customHeight="true" outlineLevel="0" collapsed="false">
      <c r="B3887" s="9" t="s">
        <v>16</v>
      </c>
      <c r="C3887" s="9" t="n">
        <v>1185732</v>
      </c>
      <c r="D3887" s="10" t="n">
        <v>44220</v>
      </c>
      <c r="E3887" s="9" t="s">
        <v>17</v>
      </c>
      <c r="F3887" s="9" t="s">
        <v>135</v>
      </c>
      <c r="G3887" s="9" t="s">
        <v>136</v>
      </c>
      <c r="H3887" s="11" t="s">
        <v>22</v>
      </c>
      <c r="I3887" s="12" t="n">
        <v>45</v>
      </c>
      <c r="J3887" s="13" t="n">
        <v>300</v>
      </c>
      <c r="K3887" s="14" t="n">
        <f aca="false">I3887*J3887</f>
        <v>13500</v>
      </c>
      <c r="L3887" s="14" t="n">
        <f aca="false">($L$2*M3887)/100</f>
        <v>300416.625</v>
      </c>
      <c r="M3887" s="15" t="n">
        <v>0.25</v>
      </c>
      <c r="N3887" s="9" t="s">
        <v>26</v>
      </c>
    </row>
    <row r="3888" customFormat="false" ht="14.25" hidden="false" customHeight="true" outlineLevel="0" collapsed="false">
      <c r="B3888" s="9" t="s">
        <v>16</v>
      </c>
      <c r="C3888" s="9" t="n">
        <v>1185732</v>
      </c>
      <c r="D3888" s="10" t="n">
        <v>44220</v>
      </c>
      <c r="E3888" s="9" t="s">
        <v>17</v>
      </c>
      <c r="F3888" s="9" t="s">
        <v>135</v>
      </c>
      <c r="G3888" s="9" t="s">
        <v>136</v>
      </c>
      <c r="H3888" s="11" t="s">
        <v>23</v>
      </c>
      <c r="I3888" s="12" t="n">
        <v>50</v>
      </c>
      <c r="J3888" s="13" t="n">
        <v>150</v>
      </c>
      <c r="K3888" s="14" t="n">
        <f aca="false">I3888*J3888</f>
        <v>7500</v>
      </c>
      <c r="L3888" s="14" t="n">
        <f aca="false">($L$2*M3888)/100</f>
        <v>300416.625</v>
      </c>
      <c r="M3888" s="15" t="n">
        <v>0.25</v>
      </c>
      <c r="N3888" s="9" t="s">
        <v>26</v>
      </c>
    </row>
    <row r="3889" customFormat="false" ht="14.25" hidden="false" customHeight="true" outlineLevel="0" collapsed="false">
      <c r="B3889" s="9" t="s">
        <v>16</v>
      </c>
      <c r="C3889" s="9" t="n">
        <v>1185732</v>
      </c>
      <c r="D3889" s="10" t="n">
        <v>44220</v>
      </c>
      <c r="E3889" s="9" t="s">
        <v>17</v>
      </c>
      <c r="F3889" s="9" t="s">
        <v>135</v>
      </c>
      <c r="G3889" s="9" t="s">
        <v>136</v>
      </c>
      <c r="H3889" s="11" t="s">
        <v>24</v>
      </c>
      <c r="I3889" s="12" t="n">
        <v>65</v>
      </c>
      <c r="J3889" s="13" t="n">
        <v>200</v>
      </c>
      <c r="K3889" s="14" t="n">
        <f aca="false">I3889*J3889</f>
        <v>13000</v>
      </c>
      <c r="L3889" s="14" t="n">
        <f aca="false">($L$2*M3889)/100</f>
        <v>300416.625</v>
      </c>
      <c r="M3889" s="15" t="n">
        <v>0.25</v>
      </c>
      <c r="N3889" s="9" t="s">
        <v>26</v>
      </c>
    </row>
    <row r="3890" customFormat="false" ht="14.25" hidden="false" customHeight="true" outlineLevel="0" collapsed="false">
      <c r="B3890" s="9" t="s">
        <v>16</v>
      </c>
      <c r="C3890" s="9" t="n">
        <v>1185732</v>
      </c>
      <c r="D3890" s="10" t="n">
        <v>44220</v>
      </c>
      <c r="E3890" s="9" t="s">
        <v>17</v>
      </c>
      <c r="F3890" s="9" t="s">
        <v>135</v>
      </c>
      <c r="G3890" s="9" t="s">
        <v>136</v>
      </c>
      <c r="H3890" s="11" t="s">
        <v>25</v>
      </c>
      <c r="I3890" s="12" t="n">
        <v>55</v>
      </c>
      <c r="J3890" s="13" t="n">
        <v>300</v>
      </c>
      <c r="K3890" s="14" t="n">
        <f aca="false">I3890*J3890</f>
        <v>16500</v>
      </c>
      <c r="L3890" s="14" t="n">
        <f aca="false">($L$2*M3890)/100</f>
        <v>360499.95</v>
      </c>
      <c r="M3890" s="15" t="n">
        <v>0.3</v>
      </c>
      <c r="N3890" s="9" t="s">
        <v>26</v>
      </c>
    </row>
    <row r="3891" customFormat="false" ht="14.25" hidden="false" customHeight="true" outlineLevel="0" collapsed="false">
      <c r="B3891" s="9" t="s">
        <v>16</v>
      </c>
      <c r="C3891" s="9" t="n">
        <v>1185732</v>
      </c>
      <c r="D3891" s="10" t="n">
        <v>44249</v>
      </c>
      <c r="E3891" s="9" t="s">
        <v>17</v>
      </c>
      <c r="F3891" s="9" t="s">
        <v>135</v>
      </c>
      <c r="G3891" s="9" t="s">
        <v>136</v>
      </c>
      <c r="H3891" s="11" t="s">
        <v>19</v>
      </c>
      <c r="I3891" s="12" t="n">
        <v>55</v>
      </c>
      <c r="J3891" s="13" t="n">
        <v>575</v>
      </c>
      <c r="K3891" s="14" t="n">
        <f aca="false">I3891*J3891</f>
        <v>31625</v>
      </c>
      <c r="L3891" s="14" t="n">
        <f aca="false">($L$2*M3891)/100</f>
        <v>420583.275</v>
      </c>
      <c r="M3891" s="15" t="n">
        <v>0.35</v>
      </c>
      <c r="N3891" s="9" t="s">
        <v>26</v>
      </c>
    </row>
    <row r="3892" customFormat="false" ht="14.25" hidden="false" customHeight="true" outlineLevel="0" collapsed="false">
      <c r="B3892" s="9" t="s">
        <v>16</v>
      </c>
      <c r="C3892" s="9" t="n">
        <v>1185732</v>
      </c>
      <c r="D3892" s="10" t="n">
        <v>44249</v>
      </c>
      <c r="E3892" s="9" t="s">
        <v>17</v>
      </c>
      <c r="F3892" s="9" t="s">
        <v>135</v>
      </c>
      <c r="G3892" s="9" t="s">
        <v>136</v>
      </c>
      <c r="H3892" s="11" t="s">
        <v>21</v>
      </c>
      <c r="I3892" s="12" t="n">
        <v>55</v>
      </c>
      <c r="J3892" s="13" t="n">
        <v>225</v>
      </c>
      <c r="K3892" s="14" t="n">
        <f aca="false">I3892*J3892</f>
        <v>12375</v>
      </c>
      <c r="L3892" s="14" t="n">
        <f aca="false">($L$2*M3892)/100</f>
        <v>420583.275</v>
      </c>
      <c r="M3892" s="15" t="n">
        <v>0.35</v>
      </c>
      <c r="N3892" s="9" t="s">
        <v>26</v>
      </c>
    </row>
    <row r="3893" customFormat="false" ht="14.25" hidden="false" customHeight="true" outlineLevel="0" collapsed="false">
      <c r="B3893" s="9" t="s">
        <v>16</v>
      </c>
      <c r="C3893" s="9" t="n">
        <v>1185732</v>
      </c>
      <c r="D3893" s="10" t="n">
        <v>44249</v>
      </c>
      <c r="E3893" s="9" t="s">
        <v>17</v>
      </c>
      <c r="F3893" s="9" t="s">
        <v>135</v>
      </c>
      <c r="G3893" s="9" t="s">
        <v>136</v>
      </c>
      <c r="H3893" s="11" t="s">
        <v>22</v>
      </c>
      <c r="I3893" s="12" t="n">
        <v>45</v>
      </c>
      <c r="J3893" s="13" t="n">
        <v>275</v>
      </c>
      <c r="K3893" s="14" t="n">
        <f aca="false">I3893*J3893</f>
        <v>12375</v>
      </c>
      <c r="L3893" s="14" t="n">
        <f aca="false">($L$2*M3893)/100</f>
        <v>300416.625</v>
      </c>
      <c r="M3893" s="15" t="n">
        <v>0.25</v>
      </c>
      <c r="N3893" s="9" t="s">
        <v>26</v>
      </c>
    </row>
    <row r="3894" customFormat="false" ht="14.25" hidden="false" customHeight="true" outlineLevel="0" collapsed="false">
      <c r="B3894" s="9" t="s">
        <v>16</v>
      </c>
      <c r="C3894" s="9" t="n">
        <v>1185732</v>
      </c>
      <c r="D3894" s="10" t="n">
        <v>43831</v>
      </c>
      <c r="E3894" s="9" t="s">
        <v>17</v>
      </c>
      <c r="F3894" s="9" t="s">
        <v>18</v>
      </c>
      <c r="G3894" s="9" t="s">
        <v>18</v>
      </c>
      <c r="H3894" s="11" t="s">
        <v>19</v>
      </c>
      <c r="I3894" s="12" t="n">
        <v>47</v>
      </c>
      <c r="J3894" s="13" t="n">
        <v>336</v>
      </c>
      <c r="K3894" s="14" t="n">
        <f aca="false">I3894*J3894</f>
        <v>15792</v>
      </c>
      <c r="L3894" s="14" t="n">
        <f aca="false">($L$2*M3894)/100</f>
        <v>733016.565</v>
      </c>
      <c r="M3894" s="15" t="n">
        <v>0.61</v>
      </c>
      <c r="N3894" s="9" t="s">
        <v>85</v>
      </c>
    </row>
    <row r="3895" customFormat="false" ht="14.25" hidden="false" customHeight="true" outlineLevel="0" collapsed="false">
      <c r="B3895" s="9" t="s">
        <v>16</v>
      </c>
      <c r="C3895" s="9" t="n">
        <v>1185732</v>
      </c>
      <c r="D3895" s="10" t="n">
        <v>43832</v>
      </c>
      <c r="E3895" s="9" t="s">
        <v>17</v>
      </c>
      <c r="F3895" s="9" t="s">
        <v>18</v>
      </c>
      <c r="G3895" s="9" t="s">
        <v>18</v>
      </c>
      <c r="H3895" s="11" t="s">
        <v>21</v>
      </c>
      <c r="I3895" s="12" t="n">
        <v>47</v>
      </c>
      <c r="J3895" s="13" t="n">
        <v>260</v>
      </c>
      <c r="K3895" s="14" t="n">
        <f aca="false">I3895*J3895</f>
        <v>12220</v>
      </c>
      <c r="L3895" s="14" t="n">
        <f aca="false">($L$2*M3895)/100</f>
        <v>504699.93</v>
      </c>
      <c r="M3895" s="15" t="n">
        <v>0.42</v>
      </c>
      <c r="N3895" s="9" t="s">
        <v>85</v>
      </c>
    </row>
    <row r="3896" customFormat="false" ht="14.25" hidden="false" customHeight="true" outlineLevel="0" collapsed="false">
      <c r="B3896" s="9" t="s">
        <v>16</v>
      </c>
      <c r="C3896" s="9" t="n">
        <v>1185732</v>
      </c>
      <c r="D3896" s="10" t="n">
        <v>43833</v>
      </c>
      <c r="E3896" s="9" t="s">
        <v>17</v>
      </c>
      <c r="F3896" s="9" t="s">
        <v>18</v>
      </c>
      <c r="G3896" s="9" t="s">
        <v>18</v>
      </c>
      <c r="H3896" s="11" t="s">
        <v>22</v>
      </c>
      <c r="I3896" s="12" t="n">
        <v>36</v>
      </c>
      <c r="J3896" s="13" t="n">
        <v>250</v>
      </c>
      <c r="K3896" s="14" t="n">
        <f aca="false">I3896*J3896</f>
        <v>9000</v>
      </c>
      <c r="L3896" s="14" t="n">
        <f aca="false">($L$2*M3896)/100</f>
        <v>552766.59</v>
      </c>
      <c r="M3896" s="15" t="n">
        <v>0.46</v>
      </c>
      <c r="N3896" s="9" t="s">
        <v>85</v>
      </c>
    </row>
    <row r="3897" customFormat="false" ht="14.25" hidden="false" customHeight="true" outlineLevel="0" collapsed="false">
      <c r="B3897" s="9" t="s">
        <v>16</v>
      </c>
      <c r="C3897" s="9" t="n">
        <v>1185732</v>
      </c>
      <c r="D3897" s="10" t="n">
        <v>43834</v>
      </c>
      <c r="E3897" s="9" t="s">
        <v>17</v>
      </c>
      <c r="F3897" s="9" t="s">
        <v>18</v>
      </c>
      <c r="G3897" s="9" t="s">
        <v>18</v>
      </c>
      <c r="H3897" s="11" t="s">
        <v>23</v>
      </c>
      <c r="I3897" s="12" t="n">
        <v>41</v>
      </c>
      <c r="J3897" s="13" t="n">
        <v>247</v>
      </c>
      <c r="K3897" s="14" t="n">
        <f aca="false">I3897*J3897</f>
        <v>10127</v>
      </c>
      <c r="L3897" s="14" t="n">
        <f aca="false">($L$2*M3897)/100</f>
        <v>552766.59</v>
      </c>
      <c r="M3897" s="15" t="n">
        <v>0.46</v>
      </c>
      <c r="N3897" s="9" t="s">
        <v>85</v>
      </c>
    </row>
    <row r="3898" customFormat="false" ht="14.25" hidden="false" customHeight="true" outlineLevel="0" collapsed="false">
      <c r="B3898" s="9" t="s">
        <v>16</v>
      </c>
      <c r="C3898" s="9" t="n">
        <v>1185732</v>
      </c>
      <c r="D3898" s="10" t="n">
        <v>43835</v>
      </c>
      <c r="E3898" s="9" t="s">
        <v>17</v>
      </c>
      <c r="F3898" s="9" t="s">
        <v>18</v>
      </c>
      <c r="G3898" s="9" t="s">
        <v>18</v>
      </c>
      <c r="H3898" s="11" t="s">
        <v>24</v>
      </c>
      <c r="I3898" s="12" t="n">
        <v>55</v>
      </c>
      <c r="J3898" s="13" t="n">
        <v>234</v>
      </c>
      <c r="K3898" s="14" t="n">
        <f aca="false">I3898*J3898</f>
        <v>12870</v>
      </c>
      <c r="L3898" s="14" t="n">
        <f aca="false">($L$2*M3898)/100</f>
        <v>480666.6</v>
      </c>
      <c r="M3898" s="15" t="n">
        <v>0.4</v>
      </c>
      <c r="N3898" s="9" t="s">
        <v>85</v>
      </c>
    </row>
    <row r="3899" customFormat="false" ht="14.25" hidden="false" customHeight="true" outlineLevel="0" collapsed="false">
      <c r="B3899" s="9" t="s">
        <v>16</v>
      </c>
      <c r="C3899" s="9" t="n">
        <v>1185732</v>
      </c>
      <c r="D3899" s="10" t="n">
        <v>43836</v>
      </c>
      <c r="E3899" s="9" t="s">
        <v>17</v>
      </c>
      <c r="F3899" s="9" t="s">
        <v>18</v>
      </c>
      <c r="G3899" s="9" t="s">
        <v>18</v>
      </c>
      <c r="H3899" s="11" t="s">
        <v>25</v>
      </c>
      <c r="I3899" s="12" t="n">
        <v>46</v>
      </c>
      <c r="J3899" s="13" t="n">
        <v>260</v>
      </c>
      <c r="K3899" s="14" t="n">
        <f aca="false">I3899*J3899</f>
        <v>11960</v>
      </c>
      <c r="L3899" s="14" t="n">
        <f aca="false">($L$2*M3899)/100</f>
        <v>444616.605</v>
      </c>
      <c r="M3899" s="15" t="n">
        <v>0.37</v>
      </c>
      <c r="N3899" s="9" t="s">
        <v>85</v>
      </c>
    </row>
    <row r="3900" customFormat="false" ht="14.25" hidden="false" customHeight="true" outlineLevel="0" collapsed="false">
      <c r="B3900" s="9" t="s">
        <v>16</v>
      </c>
      <c r="C3900" s="9" t="n">
        <v>1185732</v>
      </c>
      <c r="D3900" s="10" t="n">
        <v>43837</v>
      </c>
      <c r="E3900" s="9" t="s">
        <v>17</v>
      </c>
      <c r="F3900" s="9" t="s">
        <v>18</v>
      </c>
      <c r="G3900" s="9" t="s">
        <v>18</v>
      </c>
      <c r="H3900" s="11" t="s">
        <v>19</v>
      </c>
      <c r="I3900" s="12" t="n">
        <v>46</v>
      </c>
      <c r="J3900" s="13" t="n">
        <v>313</v>
      </c>
      <c r="K3900" s="14" t="n">
        <f aca="false">I3900*J3900</f>
        <v>14398</v>
      </c>
      <c r="L3900" s="14" t="n">
        <f aca="false">($L$2*M3900)/100</f>
        <v>745033.23</v>
      </c>
      <c r="M3900" s="15" t="n">
        <v>0.62</v>
      </c>
      <c r="N3900" s="9" t="s">
        <v>85</v>
      </c>
    </row>
    <row r="3901" customFormat="false" ht="14.25" hidden="false" customHeight="true" outlineLevel="0" collapsed="false">
      <c r="B3901" s="9" t="s">
        <v>16</v>
      </c>
      <c r="C3901" s="9" t="n">
        <v>1185732</v>
      </c>
      <c r="D3901" s="10" t="n">
        <v>43838</v>
      </c>
      <c r="E3901" s="9" t="s">
        <v>17</v>
      </c>
      <c r="F3901" s="9" t="s">
        <v>18</v>
      </c>
      <c r="G3901" s="9" t="s">
        <v>18</v>
      </c>
      <c r="H3901" s="11" t="s">
        <v>21</v>
      </c>
      <c r="I3901" s="12" t="n">
        <v>46</v>
      </c>
      <c r="J3901" s="13" t="n">
        <v>261</v>
      </c>
      <c r="K3901" s="14" t="n">
        <f aca="false">I3901*J3901</f>
        <v>12006</v>
      </c>
      <c r="L3901" s="14" t="n">
        <f aca="false">($L$2*M3901)/100</f>
        <v>528733.26</v>
      </c>
      <c r="M3901" s="15" t="n">
        <v>0.44</v>
      </c>
      <c r="N3901" s="9" t="s">
        <v>85</v>
      </c>
    </row>
    <row r="3902" customFormat="false" ht="14.25" hidden="false" customHeight="true" outlineLevel="0" collapsed="false">
      <c r="B3902" s="9" t="s">
        <v>16</v>
      </c>
      <c r="C3902" s="9" t="n">
        <v>1185732</v>
      </c>
      <c r="D3902" s="10" t="n">
        <v>43851</v>
      </c>
      <c r="E3902" s="9" t="s">
        <v>17</v>
      </c>
      <c r="F3902" s="9" t="s">
        <v>18</v>
      </c>
      <c r="G3902" s="9" t="s">
        <v>18</v>
      </c>
      <c r="H3902" s="11" t="s">
        <v>22</v>
      </c>
      <c r="I3902" s="12" t="n">
        <v>36</v>
      </c>
      <c r="J3902" s="13" t="n">
        <v>276</v>
      </c>
      <c r="K3902" s="14" t="n">
        <f aca="false">I3902*J3902</f>
        <v>9936</v>
      </c>
      <c r="L3902" s="14" t="n">
        <f aca="false">($L$2*M3902)/100</f>
        <v>564783.255</v>
      </c>
      <c r="M3902" s="15" t="n">
        <v>0.47</v>
      </c>
      <c r="N3902" s="9" t="s">
        <v>85</v>
      </c>
    </row>
    <row r="3903" customFormat="false" ht="14.25" hidden="false" customHeight="true" outlineLevel="0" collapsed="false">
      <c r="B3903" s="9" t="s">
        <v>16</v>
      </c>
      <c r="C3903" s="9" t="n">
        <v>1185732</v>
      </c>
      <c r="D3903" s="10" t="n">
        <v>43852</v>
      </c>
      <c r="E3903" s="9" t="s">
        <v>17</v>
      </c>
      <c r="F3903" s="9" t="s">
        <v>18</v>
      </c>
      <c r="G3903" s="9" t="s">
        <v>18</v>
      </c>
      <c r="H3903" s="11" t="s">
        <v>23</v>
      </c>
      <c r="I3903" s="12" t="n">
        <v>44</v>
      </c>
      <c r="J3903" s="13" t="n">
        <v>206</v>
      </c>
      <c r="K3903" s="14" t="n">
        <f aca="false">I3903*J3903</f>
        <v>9064</v>
      </c>
      <c r="L3903" s="14" t="n">
        <f aca="false">($L$2*M3903)/100</f>
        <v>588816.585</v>
      </c>
      <c r="M3903" s="15" t="n">
        <v>0.49</v>
      </c>
      <c r="N3903" s="9" t="s">
        <v>85</v>
      </c>
    </row>
    <row r="3904" customFormat="false" ht="14.25" hidden="false" customHeight="true" outlineLevel="0" collapsed="false">
      <c r="B3904" s="9" t="s">
        <v>16</v>
      </c>
      <c r="C3904" s="9" t="n">
        <v>1185732</v>
      </c>
      <c r="D3904" s="10" t="n">
        <v>43853</v>
      </c>
      <c r="E3904" s="9" t="s">
        <v>17</v>
      </c>
      <c r="F3904" s="9" t="s">
        <v>18</v>
      </c>
      <c r="G3904" s="9" t="s">
        <v>18</v>
      </c>
      <c r="H3904" s="11" t="s">
        <v>24</v>
      </c>
      <c r="I3904" s="12" t="n">
        <v>58</v>
      </c>
      <c r="J3904" s="13" t="n">
        <v>243</v>
      </c>
      <c r="K3904" s="14" t="n">
        <f aca="false">I3904*J3904</f>
        <v>14094</v>
      </c>
      <c r="L3904" s="14" t="n">
        <f aca="false">($L$2*M3904)/100</f>
        <v>516716.595</v>
      </c>
      <c r="M3904" s="15" t="n">
        <v>0.43</v>
      </c>
      <c r="N3904" s="9" t="s">
        <v>85</v>
      </c>
    </row>
    <row r="3905" customFormat="false" ht="14.25" hidden="false" customHeight="true" outlineLevel="0" collapsed="false">
      <c r="B3905" s="9" t="s">
        <v>16</v>
      </c>
      <c r="C3905" s="9" t="n">
        <v>1185732</v>
      </c>
      <c r="D3905" s="10" t="n">
        <v>43854</v>
      </c>
      <c r="E3905" s="9" t="s">
        <v>17</v>
      </c>
      <c r="F3905" s="9" t="s">
        <v>18</v>
      </c>
      <c r="G3905" s="9" t="s">
        <v>18</v>
      </c>
      <c r="H3905" s="11" t="s">
        <v>25</v>
      </c>
      <c r="I3905" s="12" t="n">
        <v>48</v>
      </c>
      <c r="J3905" s="13" t="n">
        <v>290</v>
      </c>
      <c r="K3905" s="14" t="n">
        <f aca="false">I3905*J3905</f>
        <v>13920</v>
      </c>
      <c r="L3905" s="14" t="n">
        <f aca="false">($L$2*M3905)/100</f>
        <v>456633.27</v>
      </c>
      <c r="M3905" s="15" t="n">
        <v>0.38</v>
      </c>
      <c r="N3905" s="9" t="s">
        <v>85</v>
      </c>
    </row>
    <row r="3906" customFormat="false" ht="14.25" hidden="false" customHeight="true" outlineLevel="0" collapsed="false">
      <c r="B3906" s="9" t="s">
        <v>16</v>
      </c>
      <c r="C3906" s="9" t="n">
        <v>1185732</v>
      </c>
      <c r="D3906" s="10" t="n">
        <v>43855</v>
      </c>
      <c r="E3906" s="9" t="s">
        <v>17</v>
      </c>
      <c r="F3906" s="9" t="s">
        <v>18</v>
      </c>
      <c r="G3906" s="9" t="s">
        <v>18</v>
      </c>
      <c r="H3906" s="11" t="s">
        <v>19</v>
      </c>
      <c r="I3906" s="12" t="n">
        <v>46</v>
      </c>
      <c r="J3906" s="13" t="n">
        <v>354</v>
      </c>
      <c r="K3906" s="14" t="n">
        <f aca="false">I3906*J3906</f>
        <v>16284</v>
      </c>
      <c r="L3906" s="14" t="n">
        <f aca="false">($L$2*M3906)/100</f>
        <v>757049.895</v>
      </c>
      <c r="M3906" s="15" t="n">
        <v>0.63</v>
      </c>
      <c r="N3906" s="9" t="s">
        <v>85</v>
      </c>
    </row>
    <row r="3907" customFormat="false" ht="14.25" hidden="false" customHeight="true" outlineLevel="0" collapsed="false">
      <c r="B3907" s="9" t="s">
        <v>16</v>
      </c>
      <c r="C3907" s="9" t="n">
        <v>1185732</v>
      </c>
      <c r="D3907" s="10" t="n">
        <v>43856</v>
      </c>
      <c r="E3907" s="9" t="s">
        <v>17</v>
      </c>
      <c r="F3907" s="9" t="s">
        <v>18</v>
      </c>
      <c r="G3907" s="9" t="s">
        <v>18</v>
      </c>
      <c r="H3907" s="11" t="s">
        <v>21</v>
      </c>
      <c r="I3907" s="12" t="n">
        <v>48</v>
      </c>
      <c r="J3907" s="13" t="n">
        <v>259</v>
      </c>
      <c r="K3907" s="14" t="n">
        <f aca="false">I3907*J3907</f>
        <v>12432</v>
      </c>
      <c r="L3907" s="14" t="n">
        <f aca="false">($L$2*M3907)/100</f>
        <v>516716.595</v>
      </c>
      <c r="M3907" s="15" t="n">
        <v>0.43</v>
      </c>
      <c r="N3907" s="9" t="s">
        <v>85</v>
      </c>
    </row>
    <row r="3908" customFormat="false" ht="14.25" hidden="false" customHeight="true" outlineLevel="0" collapsed="false">
      <c r="B3908" s="9" t="s">
        <v>16</v>
      </c>
      <c r="C3908" s="9" t="n">
        <v>1185732</v>
      </c>
      <c r="D3908" s="10" t="n">
        <v>43857</v>
      </c>
      <c r="E3908" s="9" t="s">
        <v>17</v>
      </c>
      <c r="F3908" s="9" t="s">
        <v>18</v>
      </c>
      <c r="G3908" s="9" t="s">
        <v>18</v>
      </c>
      <c r="H3908" s="11" t="s">
        <v>22</v>
      </c>
      <c r="I3908" s="12" t="n">
        <v>39</v>
      </c>
      <c r="J3908" s="13" t="n">
        <v>247</v>
      </c>
      <c r="K3908" s="14" t="n">
        <f aca="false">I3908*J3908</f>
        <v>9633</v>
      </c>
      <c r="L3908" s="14" t="n">
        <f aca="false">($L$2*M3908)/100</f>
        <v>588816.585</v>
      </c>
      <c r="M3908" s="15" t="n">
        <v>0.49</v>
      </c>
      <c r="N3908" s="9" t="s">
        <v>85</v>
      </c>
    </row>
    <row r="3909" customFormat="false" ht="14.25" hidden="false" customHeight="true" outlineLevel="0" collapsed="false">
      <c r="B3909" s="9" t="s">
        <v>16</v>
      </c>
      <c r="C3909" s="9" t="n">
        <v>1185732</v>
      </c>
      <c r="D3909" s="10" t="n">
        <v>43858</v>
      </c>
      <c r="E3909" s="9" t="s">
        <v>17</v>
      </c>
      <c r="F3909" s="9" t="s">
        <v>18</v>
      </c>
      <c r="G3909" s="9" t="s">
        <v>18</v>
      </c>
      <c r="H3909" s="11" t="s">
        <v>23</v>
      </c>
      <c r="I3909" s="12" t="n">
        <v>43</v>
      </c>
      <c r="J3909" s="13" t="n">
        <v>216</v>
      </c>
      <c r="K3909" s="14" t="n">
        <f aca="false">I3909*J3909</f>
        <v>9288</v>
      </c>
      <c r="L3909" s="14" t="n">
        <f aca="false">($L$2*M3909)/100</f>
        <v>600833.25</v>
      </c>
      <c r="M3909" s="15" t="n">
        <v>0.5</v>
      </c>
      <c r="N3909" s="9" t="s">
        <v>85</v>
      </c>
    </row>
    <row r="3910" customFormat="false" ht="14.25" hidden="false" customHeight="true" outlineLevel="0" collapsed="false">
      <c r="B3910" s="9" t="s">
        <v>16</v>
      </c>
      <c r="C3910" s="9" t="n">
        <v>1185732</v>
      </c>
      <c r="D3910" s="10" t="n">
        <v>43859</v>
      </c>
      <c r="E3910" s="9" t="s">
        <v>17</v>
      </c>
      <c r="F3910" s="9" t="s">
        <v>18</v>
      </c>
      <c r="G3910" s="9" t="s">
        <v>18</v>
      </c>
      <c r="H3910" s="11" t="s">
        <v>24</v>
      </c>
      <c r="I3910" s="12" t="n">
        <v>59</v>
      </c>
      <c r="J3910" s="13" t="n">
        <v>230</v>
      </c>
      <c r="K3910" s="14" t="n">
        <f aca="false">I3910*J3910</f>
        <v>13570</v>
      </c>
      <c r="L3910" s="14" t="n">
        <f aca="false">($L$2*M3910)/100</f>
        <v>504699.93</v>
      </c>
      <c r="M3910" s="15" t="n">
        <v>0.42</v>
      </c>
      <c r="N3910" s="9" t="s">
        <v>85</v>
      </c>
    </row>
    <row r="3911" customFormat="false" ht="14.25" hidden="false" customHeight="true" outlineLevel="0" collapsed="false">
      <c r="B3911" s="9" t="s">
        <v>16</v>
      </c>
      <c r="C3911" s="9" t="n">
        <v>1185732</v>
      </c>
      <c r="D3911" s="10" t="n">
        <v>43860</v>
      </c>
      <c r="E3911" s="9" t="s">
        <v>17</v>
      </c>
      <c r="F3911" s="9" t="s">
        <v>18</v>
      </c>
      <c r="G3911" s="9" t="s">
        <v>18</v>
      </c>
      <c r="H3911" s="11" t="s">
        <v>25</v>
      </c>
      <c r="I3911" s="12" t="n">
        <v>45</v>
      </c>
      <c r="J3911" s="13" t="n">
        <v>238</v>
      </c>
      <c r="K3911" s="14" t="n">
        <f aca="false">I3911*J3911</f>
        <v>10710</v>
      </c>
      <c r="L3911" s="14" t="n">
        <f aca="false">($L$2*M3911)/100</f>
        <v>420583.275</v>
      </c>
      <c r="M3911" s="15" t="n">
        <v>0.35</v>
      </c>
      <c r="N3911" s="9" t="s">
        <v>85</v>
      </c>
    </row>
    <row r="3912" customFormat="false" ht="14.25" hidden="false" customHeight="true" outlineLevel="0" collapsed="false">
      <c r="B3912" s="9" t="s">
        <v>16</v>
      </c>
      <c r="C3912" s="9" t="n">
        <v>1185732</v>
      </c>
      <c r="D3912" s="10" t="n">
        <v>43861</v>
      </c>
      <c r="E3912" s="9" t="s">
        <v>17</v>
      </c>
      <c r="F3912" s="9" t="s">
        <v>18</v>
      </c>
      <c r="G3912" s="9" t="s">
        <v>18</v>
      </c>
      <c r="H3912" s="11" t="s">
        <v>19</v>
      </c>
      <c r="I3912" s="12" t="n">
        <v>45</v>
      </c>
      <c r="J3912" s="13" t="n">
        <v>300</v>
      </c>
      <c r="K3912" s="14" t="n">
        <f aca="false">I3912*J3912</f>
        <v>13500</v>
      </c>
      <c r="L3912" s="14" t="n">
        <f aca="false">($L$2*M3912)/100</f>
        <v>745033.23</v>
      </c>
      <c r="M3912" s="15" t="n">
        <v>0.62</v>
      </c>
      <c r="N3912" s="9" t="s">
        <v>85</v>
      </c>
    </row>
    <row r="3913" customFormat="false" ht="14.25" hidden="false" customHeight="true" outlineLevel="0" collapsed="false">
      <c r="B3913" s="9" t="s">
        <v>16</v>
      </c>
      <c r="C3913" s="9" t="n">
        <v>1185732</v>
      </c>
      <c r="D3913" s="10" t="n">
        <v>43862</v>
      </c>
      <c r="E3913" s="9" t="s">
        <v>17</v>
      </c>
      <c r="F3913" s="9" t="s">
        <v>18</v>
      </c>
      <c r="G3913" s="9" t="s">
        <v>18</v>
      </c>
      <c r="H3913" s="11" t="s">
        <v>21</v>
      </c>
      <c r="I3913" s="12" t="n">
        <v>47</v>
      </c>
      <c r="J3913" s="13" t="n">
        <v>234</v>
      </c>
      <c r="K3913" s="14" t="n">
        <f aca="false">I3913*J3913</f>
        <v>10998</v>
      </c>
      <c r="L3913" s="14" t="n">
        <f aca="false">($L$2*M3913)/100</f>
        <v>492683.265</v>
      </c>
      <c r="M3913" s="15" t="n">
        <v>0.41</v>
      </c>
      <c r="N3913" s="9" t="s">
        <v>85</v>
      </c>
    </row>
    <row r="3914" customFormat="false" ht="14.25" hidden="false" customHeight="true" outlineLevel="0" collapsed="false">
      <c r="B3914" s="9" t="s">
        <v>16</v>
      </c>
      <c r="C3914" s="9" t="n">
        <v>1185732</v>
      </c>
      <c r="D3914" s="10" t="n">
        <v>43863</v>
      </c>
      <c r="E3914" s="9" t="s">
        <v>17</v>
      </c>
      <c r="F3914" s="9" t="s">
        <v>18</v>
      </c>
      <c r="G3914" s="9" t="s">
        <v>18</v>
      </c>
      <c r="H3914" s="11" t="s">
        <v>22</v>
      </c>
      <c r="I3914" s="12" t="n">
        <v>39</v>
      </c>
      <c r="J3914" s="13" t="n">
        <v>252</v>
      </c>
      <c r="K3914" s="14" t="n">
        <f aca="false">I3914*J3914</f>
        <v>9828</v>
      </c>
      <c r="L3914" s="14" t="n">
        <f aca="false">($L$2*M3914)/100</f>
        <v>600833.25</v>
      </c>
      <c r="M3914" s="15" t="n">
        <v>0.5</v>
      </c>
      <c r="N3914" s="9" t="s">
        <v>85</v>
      </c>
    </row>
    <row r="3915" customFormat="false" ht="14.25" hidden="false" customHeight="true" outlineLevel="0" collapsed="false">
      <c r="B3915" s="9" t="s">
        <v>16</v>
      </c>
      <c r="C3915" s="9" t="n">
        <v>1185732</v>
      </c>
      <c r="D3915" s="10" t="n">
        <v>43864</v>
      </c>
      <c r="E3915" s="9" t="s">
        <v>17</v>
      </c>
      <c r="F3915" s="9" t="s">
        <v>18</v>
      </c>
      <c r="G3915" s="9" t="s">
        <v>18</v>
      </c>
      <c r="H3915" s="11" t="s">
        <v>23</v>
      </c>
      <c r="I3915" s="12" t="n">
        <v>41</v>
      </c>
      <c r="J3915" s="13" t="n">
        <v>239</v>
      </c>
      <c r="K3915" s="14" t="n">
        <f aca="false">I3915*J3915</f>
        <v>9799</v>
      </c>
      <c r="L3915" s="14" t="n">
        <f aca="false">($L$2*M3915)/100</f>
        <v>588816.585</v>
      </c>
      <c r="M3915" s="15" t="n">
        <v>0.49</v>
      </c>
      <c r="N3915" s="9" t="s">
        <v>85</v>
      </c>
    </row>
    <row r="3916" customFormat="false" ht="14.25" hidden="false" customHeight="true" outlineLevel="0" collapsed="false">
      <c r="B3916" s="9" t="s">
        <v>16</v>
      </c>
      <c r="C3916" s="9" t="n">
        <v>1185732</v>
      </c>
      <c r="D3916" s="10" t="n">
        <v>43865</v>
      </c>
      <c r="E3916" s="9" t="s">
        <v>17</v>
      </c>
      <c r="F3916" s="9" t="s">
        <v>18</v>
      </c>
      <c r="G3916" s="9" t="s">
        <v>18</v>
      </c>
      <c r="H3916" s="11" t="s">
        <v>24</v>
      </c>
      <c r="I3916" s="12" t="n">
        <v>56</v>
      </c>
      <c r="J3916" s="13" t="n">
        <v>215</v>
      </c>
      <c r="K3916" s="14" t="n">
        <f aca="false">I3916*J3916</f>
        <v>12040</v>
      </c>
      <c r="L3916" s="14" t="n">
        <f aca="false">($L$2*M3916)/100</f>
        <v>504699.93</v>
      </c>
      <c r="M3916" s="15" t="n">
        <v>0.42</v>
      </c>
      <c r="N3916" s="9" t="s">
        <v>85</v>
      </c>
    </row>
    <row r="3917" customFormat="false" ht="14.25" hidden="false" customHeight="true" outlineLevel="0" collapsed="false">
      <c r="B3917" s="9" t="s">
        <v>16</v>
      </c>
      <c r="C3917" s="9" t="n">
        <v>1185732</v>
      </c>
      <c r="D3917" s="10" t="n">
        <v>43866</v>
      </c>
      <c r="E3917" s="9" t="s">
        <v>17</v>
      </c>
      <c r="F3917" s="9" t="s">
        <v>18</v>
      </c>
      <c r="G3917" s="9" t="s">
        <v>18</v>
      </c>
      <c r="H3917" s="11" t="s">
        <v>25</v>
      </c>
      <c r="I3917" s="12" t="n">
        <v>49</v>
      </c>
      <c r="J3917" s="13" t="n">
        <v>238</v>
      </c>
      <c r="K3917" s="14" t="n">
        <f aca="false">I3917*J3917</f>
        <v>11662</v>
      </c>
      <c r="L3917" s="14" t="n">
        <f aca="false">($L$2*M3917)/100</f>
        <v>444616.605</v>
      </c>
      <c r="M3917" s="15" t="n">
        <v>0.37</v>
      </c>
      <c r="N3917" s="9" t="s">
        <v>85</v>
      </c>
    </row>
    <row r="3918" customFormat="false" ht="14.25" hidden="false" customHeight="true" outlineLevel="0" collapsed="false">
      <c r="B3918" s="9" t="s">
        <v>16</v>
      </c>
      <c r="C3918" s="9" t="n">
        <v>1185732</v>
      </c>
      <c r="D3918" s="10" t="n">
        <v>43867</v>
      </c>
      <c r="E3918" s="9" t="s">
        <v>17</v>
      </c>
      <c r="F3918" s="9" t="s">
        <v>18</v>
      </c>
      <c r="G3918" s="9" t="s">
        <v>18</v>
      </c>
      <c r="H3918" s="11" t="s">
        <v>19</v>
      </c>
      <c r="I3918" s="12" t="n">
        <v>54</v>
      </c>
      <c r="J3918" s="13" t="n">
        <v>317</v>
      </c>
      <c r="K3918" s="14" t="n">
        <f aca="false">I3918*J3918</f>
        <v>17118</v>
      </c>
      <c r="L3918" s="14" t="n">
        <f aca="false">($L$2*M3918)/100</f>
        <v>769066.56</v>
      </c>
      <c r="M3918" s="15" t="n">
        <v>0.64</v>
      </c>
      <c r="N3918" s="9" t="s">
        <v>85</v>
      </c>
    </row>
    <row r="3919" customFormat="false" ht="14.25" hidden="false" customHeight="true" outlineLevel="0" collapsed="false">
      <c r="B3919" s="9" t="s">
        <v>16</v>
      </c>
      <c r="C3919" s="9" t="n">
        <v>1185732</v>
      </c>
      <c r="D3919" s="10" t="n">
        <v>43868</v>
      </c>
      <c r="E3919" s="9" t="s">
        <v>17</v>
      </c>
      <c r="F3919" s="9" t="s">
        <v>18</v>
      </c>
      <c r="G3919" s="9" t="s">
        <v>18</v>
      </c>
      <c r="H3919" s="11" t="s">
        <v>21</v>
      </c>
      <c r="I3919" s="12" t="n">
        <v>50</v>
      </c>
      <c r="J3919" s="13" t="n">
        <v>259</v>
      </c>
      <c r="K3919" s="14" t="n">
        <f aca="false">I3919*J3919</f>
        <v>12950</v>
      </c>
      <c r="L3919" s="14" t="n">
        <f aca="false">($L$2*M3919)/100</f>
        <v>480666.6</v>
      </c>
      <c r="M3919" s="15" t="n">
        <v>0.4</v>
      </c>
      <c r="N3919" s="9" t="s">
        <v>85</v>
      </c>
    </row>
    <row r="3920" customFormat="false" ht="14.25" hidden="false" customHeight="true" outlineLevel="0" collapsed="false">
      <c r="B3920" s="9" t="s">
        <v>16</v>
      </c>
      <c r="C3920" s="9" t="n">
        <v>1185732</v>
      </c>
      <c r="D3920" s="10" t="n">
        <v>43869</v>
      </c>
      <c r="E3920" s="9" t="s">
        <v>17</v>
      </c>
      <c r="F3920" s="9" t="s">
        <v>18</v>
      </c>
      <c r="G3920" s="9" t="s">
        <v>18</v>
      </c>
      <c r="H3920" s="11" t="s">
        <v>22</v>
      </c>
      <c r="I3920" s="12" t="n">
        <v>46</v>
      </c>
      <c r="J3920" s="13" t="n">
        <v>261</v>
      </c>
      <c r="K3920" s="14" t="n">
        <f aca="false">I3920*J3920</f>
        <v>12006</v>
      </c>
      <c r="L3920" s="14" t="n">
        <f aca="false">($L$2*M3920)/100</f>
        <v>564783.255</v>
      </c>
      <c r="M3920" s="15" t="n">
        <v>0.47</v>
      </c>
      <c r="N3920" s="9" t="s">
        <v>85</v>
      </c>
    </row>
    <row r="3921" customFormat="false" ht="14.25" hidden="false" customHeight="true" outlineLevel="0" collapsed="false">
      <c r="B3921" s="9" t="s">
        <v>16</v>
      </c>
      <c r="C3921" s="9" t="n">
        <v>1185732</v>
      </c>
      <c r="D3921" s="10" t="n">
        <v>43870</v>
      </c>
      <c r="E3921" s="9" t="s">
        <v>17</v>
      </c>
      <c r="F3921" s="9" t="s">
        <v>18</v>
      </c>
      <c r="G3921" s="9" t="s">
        <v>18</v>
      </c>
      <c r="H3921" s="11" t="s">
        <v>23</v>
      </c>
      <c r="I3921" s="12" t="n">
        <v>46</v>
      </c>
      <c r="J3921" s="13" t="n">
        <v>230</v>
      </c>
      <c r="K3921" s="14" t="n">
        <f aca="false">I3921*J3921</f>
        <v>10580</v>
      </c>
      <c r="L3921" s="14" t="n">
        <f aca="false">($L$2*M3921)/100</f>
        <v>576799.92</v>
      </c>
      <c r="M3921" s="15" t="n">
        <v>0.48</v>
      </c>
      <c r="N3921" s="9" t="s">
        <v>85</v>
      </c>
    </row>
    <row r="3922" customFormat="false" ht="14.25" hidden="false" customHeight="true" outlineLevel="0" collapsed="false">
      <c r="B3922" s="9" t="s">
        <v>16</v>
      </c>
      <c r="C3922" s="9" t="n">
        <v>1185732</v>
      </c>
      <c r="D3922" s="10" t="n">
        <v>43871</v>
      </c>
      <c r="E3922" s="9" t="s">
        <v>17</v>
      </c>
      <c r="F3922" s="9" t="s">
        <v>18</v>
      </c>
      <c r="G3922" s="9" t="s">
        <v>18</v>
      </c>
      <c r="H3922" s="11" t="s">
        <v>24</v>
      </c>
      <c r="I3922" s="12" t="n">
        <v>59</v>
      </c>
      <c r="J3922" s="13" t="n">
        <v>245</v>
      </c>
      <c r="K3922" s="14" t="n">
        <f aca="false">I3922*J3922</f>
        <v>14455</v>
      </c>
      <c r="L3922" s="14" t="n">
        <f aca="false">($L$2*M3922)/100</f>
        <v>540749.925</v>
      </c>
      <c r="M3922" s="15" t="n">
        <v>0.45</v>
      </c>
      <c r="N3922" s="9" t="s">
        <v>85</v>
      </c>
    </row>
    <row r="3923" customFormat="false" ht="14.25" hidden="false" customHeight="true" outlineLevel="0" collapsed="false">
      <c r="B3923" s="9" t="s">
        <v>16</v>
      </c>
      <c r="C3923" s="9" t="n">
        <v>1185732</v>
      </c>
      <c r="D3923" s="10" t="n">
        <v>43893</v>
      </c>
      <c r="E3923" s="9" t="s">
        <v>17</v>
      </c>
      <c r="F3923" s="9" t="s">
        <v>18</v>
      </c>
      <c r="G3923" s="9" t="s">
        <v>18</v>
      </c>
      <c r="H3923" s="11" t="s">
        <v>25</v>
      </c>
      <c r="I3923" s="12" t="n">
        <v>59</v>
      </c>
      <c r="J3923" s="13" t="n">
        <v>290</v>
      </c>
      <c r="K3923" s="14" t="n">
        <f aca="false">I3923*J3923</f>
        <v>17110</v>
      </c>
      <c r="L3923" s="14" t="n">
        <f aca="false">($L$2*M3923)/100</f>
        <v>432599.94</v>
      </c>
      <c r="M3923" s="15" t="n">
        <v>0.36</v>
      </c>
      <c r="N3923" s="9" t="s">
        <v>85</v>
      </c>
    </row>
    <row r="3924" customFormat="false" ht="14.25" hidden="false" customHeight="true" outlineLevel="0" collapsed="false">
      <c r="B3924" s="9" t="s">
        <v>16</v>
      </c>
      <c r="C3924" s="9" t="n">
        <v>1185732</v>
      </c>
      <c r="D3924" s="10" t="n">
        <v>43894</v>
      </c>
      <c r="E3924" s="9" t="s">
        <v>17</v>
      </c>
      <c r="F3924" s="9" t="s">
        <v>18</v>
      </c>
      <c r="G3924" s="9" t="s">
        <v>18</v>
      </c>
      <c r="H3924" s="11" t="s">
        <v>19</v>
      </c>
      <c r="I3924" s="12" t="n">
        <v>55</v>
      </c>
      <c r="J3924" s="13" t="n">
        <v>313</v>
      </c>
      <c r="K3924" s="14" t="n">
        <f aca="false">I3924*J3924</f>
        <v>17215</v>
      </c>
      <c r="L3924" s="14" t="n">
        <f aca="false">($L$2*M3924)/100</f>
        <v>733016.565</v>
      </c>
      <c r="M3924" s="15" t="n">
        <v>0.61</v>
      </c>
      <c r="N3924" s="9" t="s">
        <v>85</v>
      </c>
    </row>
    <row r="3925" customFormat="false" ht="14.25" hidden="false" customHeight="true" outlineLevel="0" collapsed="false">
      <c r="B3925" s="9" t="s">
        <v>16</v>
      </c>
      <c r="C3925" s="9" t="n">
        <v>1185732</v>
      </c>
      <c r="D3925" s="10" t="n">
        <v>43895</v>
      </c>
      <c r="E3925" s="9" t="s">
        <v>17</v>
      </c>
      <c r="F3925" s="9" t="s">
        <v>18</v>
      </c>
      <c r="G3925" s="9" t="s">
        <v>18</v>
      </c>
      <c r="H3925" s="11" t="s">
        <v>21</v>
      </c>
      <c r="I3925" s="12" t="n">
        <v>54</v>
      </c>
      <c r="J3925" s="13" t="n">
        <v>270</v>
      </c>
      <c r="K3925" s="14" t="n">
        <f aca="false">I3925*J3925</f>
        <v>14580</v>
      </c>
      <c r="L3925" s="14" t="n">
        <f aca="false">($L$2*M3925)/100</f>
        <v>492683.265</v>
      </c>
      <c r="M3925" s="15" t="n">
        <v>0.41</v>
      </c>
      <c r="N3925" s="9" t="s">
        <v>85</v>
      </c>
    </row>
    <row r="3926" customFormat="false" ht="14.25" hidden="false" customHeight="true" outlineLevel="0" collapsed="false">
      <c r="B3926" s="9" t="s">
        <v>16</v>
      </c>
      <c r="C3926" s="9" t="n">
        <v>1185732</v>
      </c>
      <c r="D3926" s="10" t="n">
        <v>43896</v>
      </c>
      <c r="E3926" s="9" t="s">
        <v>17</v>
      </c>
      <c r="F3926" s="9" t="s">
        <v>18</v>
      </c>
      <c r="G3926" s="9" t="s">
        <v>18</v>
      </c>
      <c r="H3926" s="11" t="s">
        <v>22</v>
      </c>
      <c r="I3926" s="12" t="n">
        <v>46</v>
      </c>
      <c r="J3926" s="13" t="n">
        <v>278</v>
      </c>
      <c r="K3926" s="14" t="n">
        <f aca="false">I3926*J3926</f>
        <v>12788</v>
      </c>
      <c r="L3926" s="14" t="n">
        <f aca="false">($L$2*M3926)/100</f>
        <v>576799.92</v>
      </c>
      <c r="M3926" s="15" t="n">
        <v>0.48</v>
      </c>
      <c r="N3926" s="9" t="s">
        <v>85</v>
      </c>
    </row>
    <row r="3927" customFormat="false" ht="14.25" hidden="false" customHeight="true" outlineLevel="0" collapsed="false">
      <c r="B3927" s="9" t="s">
        <v>16</v>
      </c>
      <c r="C3927" s="9" t="n">
        <v>1185732</v>
      </c>
      <c r="D3927" s="10" t="n">
        <v>43897</v>
      </c>
      <c r="E3927" s="9" t="s">
        <v>17</v>
      </c>
      <c r="F3927" s="9" t="s">
        <v>18</v>
      </c>
      <c r="G3927" s="9" t="s">
        <v>18</v>
      </c>
      <c r="H3927" s="11" t="s">
        <v>23</v>
      </c>
      <c r="I3927" s="12" t="n">
        <v>47</v>
      </c>
      <c r="J3927" s="13" t="n">
        <v>261</v>
      </c>
      <c r="K3927" s="14" t="n">
        <f aca="false">I3927*J3927</f>
        <v>12267</v>
      </c>
      <c r="L3927" s="14" t="n">
        <f aca="false">($L$2*M3927)/100</f>
        <v>540749.925</v>
      </c>
      <c r="M3927" s="15" t="n">
        <v>0.45</v>
      </c>
      <c r="N3927" s="9" t="s">
        <v>85</v>
      </c>
    </row>
    <row r="3928" customFormat="false" ht="14.25" hidden="false" customHeight="true" outlineLevel="0" collapsed="false">
      <c r="B3928" s="9" t="s">
        <v>16</v>
      </c>
      <c r="C3928" s="9" t="n">
        <v>1185732</v>
      </c>
      <c r="D3928" s="10" t="n">
        <v>43898</v>
      </c>
      <c r="E3928" s="9" t="s">
        <v>17</v>
      </c>
      <c r="F3928" s="9" t="s">
        <v>18</v>
      </c>
      <c r="G3928" s="9" t="s">
        <v>18</v>
      </c>
      <c r="H3928" s="11" t="s">
        <v>24</v>
      </c>
      <c r="I3928" s="12" t="n">
        <v>55</v>
      </c>
      <c r="J3928" s="13" t="n">
        <v>252</v>
      </c>
      <c r="K3928" s="14" t="n">
        <f aca="false">I3928*J3928</f>
        <v>13860</v>
      </c>
      <c r="L3928" s="14" t="n">
        <f aca="false">($L$2*M3928)/100</f>
        <v>540749.925</v>
      </c>
      <c r="M3928" s="15" t="n">
        <v>0.45</v>
      </c>
      <c r="N3928" s="9" t="s">
        <v>85</v>
      </c>
    </row>
    <row r="3929" customFormat="false" ht="14.25" hidden="false" customHeight="true" outlineLevel="0" collapsed="false">
      <c r="B3929" s="9" t="s">
        <v>16</v>
      </c>
      <c r="C3929" s="9" t="n">
        <v>1185732</v>
      </c>
      <c r="D3929" s="10" t="n">
        <v>43899</v>
      </c>
      <c r="E3929" s="9" t="s">
        <v>17</v>
      </c>
      <c r="F3929" s="9" t="s">
        <v>18</v>
      </c>
      <c r="G3929" s="9" t="s">
        <v>18</v>
      </c>
      <c r="H3929" s="11" t="s">
        <v>25</v>
      </c>
      <c r="I3929" s="12" t="n">
        <v>64</v>
      </c>
      <c r="J3929" s="13" t="n">
        <v>305</v>
      </c>
      <c r="K3929" s="14" t="n">
        <f aca="false">I3929*J3929</f>
        <v>19520</v>
      </c>
      <c r="L3929" s="14" t="n">
        <f aca="false">($L$2*M3929)/100</f>
        <v>468649.935</v>
      </c>
      <c r="M3929" s="15" t="n">
        <v>0.39</v>
      </c>
      <c r="N3929" s="9" t="s">
        <v>85</v>
      </c>
    </row>
    <row r="3930" customFormat="false" ht="14.25" hidden="false" customHeight="true" outlineLevel="0" collapsed="false">
      <c r="B3930" s="9" t="s">
        <v>16</v>
      </c>
      <c r="C3930" s="9" t="n">
        <v>1185732</v>
      </c>
      <c r="D3930" s="10" t="n">
        <v>43900</v>
      </c>
      <c r="E3930" s="9" t="s">
        <v>17</v>
      </c>
      <c r="F3930" s="9" t="s">
        <v>18</v>
      </c>
      <c r="G3930" s="9" t="s">
        <v>18</v>
      </c>
      <c r="H3930" s="11" t="s">
        <v>19</v>
      </c>
      <c r="I3930" s="12" t="n">
        <v>59</v>
      </c>
      <c r="J3930" s="13" t="n">
        <v>319</v>
      </c>
      <c r="K3930" s="14" t="n">
        <f aca="false">I3930*J3930</f>
        <v>18821</v>
      </c>
      <c r="L3930" s="14" t="n">
        <f aca="false">($L$2*M3930)/100</f>
        <v>720999.9</v>
      </c>
      <c r="M3930" s="15" t="n">
        <v>0.6</v>
      </c>
      <c r="N3930" s="9" t="s">
        <v>85</v>
      </c>
    </row>
    <row r="3931" customFormat="false" ht="14.25" hidden="false" customHeight="true" outlineLevel="0" collapsed="false">
      <c r="B3931" s="9" t="s">
        <v>16</v>
      </c>
      <c r="C3931" s="9" t="n">
        <v>1185732</v>
      </c>
      <c r="D3931" s="10" t="n">
        <v>43901</v>
      </c>
      <c r="E3931" s="9" t="s">
        <v>17</v>
      </c>
      <c r="F3931" s="9" t="s">
        <v>18</v>
      </c>
      <c r="G3931" s="9" t="s">
        <v>18</v>
      </c>
      <c r="H3931" s="11" t="s">
        <v>21</v>
      </c>
      <c r="I3931" s="12" t="n">
        <v>53</v>
      </c>
      <c r="J3931" s="13" t="n">
        <v>267</v>
      </c>
      <c r="K3931" s="14" t="n">
        <f aca="false">I3931*J3931</f>
        <v>14151</v>
      </c>
      <c r="L3931" s="14" t="n">
        <f aca="false">($L$2*M3931)/100</f>
        <v>504699.93</v>
      </c>
      <c r="M3931" s="15" t="n">
        <v>0.42</v>
      </c>
      <c r="N3931" s="9" t="s">
        <v>85</v>
      </c>
    </row>
    <row r="3932" customFormat="false" ht="14.25" hidden="false" customHeight="true" outlineLevel="0" collapsed="false">
      <c r="B3932" s="9" t="s">
        <v>16</v>
      </c>
      <c r="C3932" s="9" t="n">
        <v>1185732</v>
      </c>
      <c r="D3932" s="10" t="n">
        <v>43902</v>
      </c>
      <c r="E3932" s="9" t="s">
        <v>17</v>
      </c>
      <c r="F3932" s="9" t="s">
        <v>18</v>
      </c>
      <c r="G3932" s="9" t="s">
        <v>18</v>
      </c>
      <c r="H3932" s="11" t="s">
        <v>22</v>
      </c>
      <c r="I3932" s="12" t="n">
        <v>46</v>
      </c>
      <c r="J3932" s="13" t="n">
        <v>247</v>
      </c>
      <c r="K3932" s="14" t="n">
        <f aca="false">I3932*J3932</f>
        <v>11362</v>
      </c>
      <c r="L3932" s="14" t="n">
        <f aca="false">($L$2*M3932)/100</f>
        <v>540749.925</v>
      </c>
      <c r="M3932" s="15" t="n">
        <v>0.45</v>
      </c>
      <c r="N3932" s="9" t="s">
        <v>85</v>
      </c>
    </row>
    <row r="3933" customFormat="false" ht="14.25" hidden="false" customHeight="true" outlineLevel="0" collapsed="false">
      <c r="B3933" s="9" t="s">
        <v>16</v>
      </c>
      <c r="C3933" s="9" t="n">
        <v>1185732</v>
      </c>
      <c r="D3933" s="10" t="n">
        <v>43903</v>
      </c>
      <c r="E3933" s="9" t="s">
        <v>17</v>
      </c>
      <c r="F3933" s="9" t="s">
        <v>18</v>
      </c>
      <c r="G3933" s="9" t="s">
        <v>18</v>
      </c>
      <c r="H3933" s="11" t="s">
        <v>23</v>
      </c>
      <c r="I3933" s="12" t="n">
        <v>46</v>
      </c>
      <c r="J3933" s="13" t="n">
        <v>243</v>
      </c>
      <c r="K3933" s="14" t="n">
        <f aca="false">I3933*J3933</f>
        <v>11178</v>
      </c>
      <c r="L3933" s="14" t="n">
        <f aca="false">($L$2*M3933)/100</f>
        <v>552766.59</v>
      </c>
      <c r="M3933" s="15" t="n">
        <v>0.46</v>
      </c>
      <c r="N3933" s="9" t="s">
        <v>85</v>
      </c>
    </row>
    <row r="3934" customFormat="false" ht="14.25" hidden="false" customHeight="true" outlineLevel="0" collapsed="false">
      <c r="B3934" s="9" t="s">
        <v>16</v>
      </c>
      <c r="C3934" s="9" t="n">
        <v>1185732</v>
      </c>
      <c r="D3934" s="10" t="n">
        <v>43904</v>
      </c>
      <c r="E3934" s="9" t="s">
        <v>17</v>
      </c>
      <c r="F3934" s="9" t="s">
        <v>18</v>
      </c>
      <c r="G3934" s="9" t="s">
        <v>18</v>
      </c>
      <c r="H3934" s="11" t="s">
        <v>24</v>
      </c>
      <c r="I3934" s="12" t="n">
        <v>58</v>
      </c>
      <c r="J3934" s="13" t="n">
        <v>231</v>
      </c>
      <c r="K3934" s="14" t="n">
        <f aca="false">I3934*J3934</f>
        <v>13398</v>
      </c>
      <c r="L3934" s="14" t="n">
        <f aca="false">($L$2*M3934)/100</f>
        <v>516716.595</v>
      </c>
      <c r="M3934" s="15" t="n">
        <v>0.43</v>
      </c>
      <c r="N3934" s="9" t="s">
        <v>85</v>
      </c>
    </row>
    <row r="3935" customFormat="false" ht="14.25" hidden="false" customHeight="true" outlineLevel="0" collapsed="false">
      <c r="B3935" s="9" t="s">
        <v>16</v>
      </c>
      <c r="C3935" s="9" t="n">
        <v>1185732</v>
      </c>
      <c r="D3935" s="10" t="n">
        <v>43905</v>
      </c>
      <c r="E3935" s="9" t="s">
        <v>17</v>
      </c>
      <c r="F3935" s="9" t="s">
        <v>18</v>
      </c>
      <c r="G3935" s="9" t="s">
        <v>18</v>
      </c>
      <c r="H3935" s="11" t="s">
        <v>25</v>
      </c>
      <c r="I3935" s="12" t="n">
        <v>61</v>
      </c>
      <c r="J3935" s="13" t="n">
        <v>286</v>
      </c>
      <c r="K3935" s="14" t="n">
        <f aca="false">I3935*J3935</f>
        <v>17446</v>
      </c>
      <c r="L3935" s="14" t="n">
        <f aca="false">($L$2*M3935)/100</f>
        <v>480666.6</v>
      </c>
      <c r="M3935" s="15" t="n">
        <v>0.4</v>
      </c>
      <c r="N3935" s="9" t="s">
        <v>85</v>
      </c>
    </row>
    <row r="3936" customFormat="false" ht="14.25" hidden="false" customHeight="true" outlineLevel="0" collapsed="false">
      <c r="B3936" s="9" t="s">
        <v>16</v>
      </c>
      <c r="C3936" s="9" t="n">
        <v>1185732</v>
      </c>
      <c r="D3936" s="10" t="n">
        <v>43906</v>
      </c>
      <c r="E3936" s="9" t="s">
        <v>17</v>
      </c>
      <c r="F3936" s="9" t="s">
        <v>18</v>
      </c>
      <c r="G3936" s="9" t="s">
        <v>18</v>
      </c>
      <c r="H3936" s="11" t="s">
        <v>19</v>
      </c>
      <c r="I3936" s="12" t="n">
        <v>58</v>
      </c>
      <c r="J3936" s="13" t="n">
        <v>325</v>
      </c>
      <c r="K3936" s="14" t="n">
        <f aca="false">I3936*J3936</f>
        <v>18850</v>
      </c>
      <c r="L3936" s="14" t="n">
        <f aca="false">($L$2*M3936)/100</f>
        <v>733016.565</v>
      </c>
      <c r="M3936" s="15" t="n">
        <v>0.61</v>
      </c>
      <c r="N3936" s="9" t="s">
        <v>85</v>
      </c>
    </row>
    <row r="3937" customFormat="false" ht="14.25" hidden="false" customHeight="true" outlineLevel="0" collapsed="false">
      <c r="B3937" s="9" t="s">
        <v>16</v>
      </c>
      <c r="C3937" s="9" t="n">
        <v>1185732</v>
      </c>
      <c r="D3937" s="10" t="n">
        <v>43907</v>
      </c>
      <c r="E3937" s="9" t="s">
        <v>17</v>
      </c>
      <c r="F3937" s="9" t="s">
        <v>18</v>
      </c>
      <c r="G3937" s="9" t="s">
        <v>18</v>
      </c>
      <c r="H3937" s="11" t="s">
        <v>21</v>
      </c>
      <c r="I3937" s="12" t="n">
        <v>53</v>
      </c>
      <c r="J3937" s="13" t="n">
        <v>308</v>
      </c>
      <c r="K3937" s="14" t="n">
        <f aca="false">I3937*J3937</f>
        <v>16324</v>
      </c>
      <c r="L3937" s="14" t="n">
        <f aca="false">($L$2*M3937)/100</f>
        <v>492683.265</v>
      </c>
      <c r="M3937" s="15" t="n">
        <v>0.41</v>
      </c>
      <c r="N3937" s="9" t="s">
        <v>85</v>
      </c>
    </row>
    <row r="3938" customFormat="false" ht="14.25" hidden="false" customHeight="true" outlineLevel="0" collapsed="false">
      <c r="B3938" s="9" t="s">
        <v>16</v>
      </c>
      <c r="C3938" s="9" t="n">
        <v>1185732</v>
      </c>
      <c r="D3938" s="10" t="n">
        <v>43908</v>
      </c>
      <c r="E3938" s="9" t="s">
        <v>17</v>
      </c>
      <c r="F3938" s="9" t="s">
        <v>18</v>
      </c>
      <c r="G3938" s="9" t="s">
        <v>18</v>
      </c>
      <c r="H3938" s="11" t="s">
        <v>22</v>
      </c>
      <c r="I3938" s="12" t="n">
        <v>45</v>
      </c>
      <c r="J3938" s="13" t="n">
        <v>257</v>
      </c>
      <c r="K3938" s="14" t="n">
        <f aca="false">I3938*J3938</f>
        <v>11565</v>
      </c>
      <c r="L3938" s="14" t="n">
        <f aca="false">($L$2*M3938)/100</f>
        <v>552766.59</v>
      </c>
      <c r="M3938" s="15" t="n">
        <v>0.46</v>
      </c>
      <c r="N3938" s="9" t="s">
        <v>85</v>
      </c>
    </row>
    <row r="3939" customFormat="false" ht="14.25" hidden="false" customHeight="true" outlineLevel="0" collapsed="false">
      <c r="B3939" s="9" t="s">
        <v>16</v>
      </c>
      <c r="C3939" s="9" t="n">
        <v>1185732</v>
      </c>
      <c r="D3939" s="10" t="n">
        <v>43921</v>
      </c>
      <c r="E3939" s="9" t="s">
        <v>17</v>
      </c>
      <c r="F3939" s="9" t="s">
        <v>18</v>
      </c>
      <c r="G3939" s="9" t="s">
        <v>18</v>
      </c>
      <c r="H3939" s="11" t="s">
        <v>23</v>
      </c>
      <c r="I3939" s="12" t="n">
        <v>47</v>
      </c>
      <c r="J3939" s="13" t="n">
        <v>241</v>
      </c>
      <c r="K3939" s="14" t="n">
        <f aca="false">I3939*J3939</f>
        <v>11327</v>
      </c>
      <c r="L3939" s="14" t="n">
        <f aca="false">($L$2*M3939)/100</f>
        <v>564783.255</v>
      </c>
      <c r="M3939" s="15" t="n">
        <v>0.47</v>
      </c>
      <c r="N3939" s="9" t="s">
        <v>85</v>
      </c>
    </row>
    <row r="3940" customFormat="false" ht="14.25" hidden="false" customHeight="true" outlineLevel="0" collapsed="false">
      <c r="B3940" s="9" t="s">
        <v>27</v>
      </c>
      <c r="C3940" s="9" t="n">
        <v>1185732</v>
      </c>
      <c r="D3940" s="10" t="n">
        <v>43938</v>
      </c>
      <c r="E3940" s="9" t="s">
        <v>17</v>
      </c>
      <c r="F3940" s="9" t="s">
        <v>18</v>
      </c>
      <c r="G3940" s="9" t="s">
        <v>18</v>
      </c>
      <c r="H3940" s="11" t="s">
        <v>24</v>
      </c>
      <c r="I3940" s="12" t="n">
        <v>54</v>
      </c>
      <c r="J3940" s="13" t="n">
        <v>270</v>
      </c>
      <c r="K3940" s="14" t="n">
        <f aca="false">I3940*J3940</f>
        <v>14580</v>
      </c>
      <c r="L3940" s="14" t="n">
        <f aca="false">($L$2*M3940)/100</f>
        <v>540749.925</v>
      </c>
      <c r="M3940" s="15" t="n">
        <v>0.45</v>
      </c>
      <c r="N3940" s="9" t="s">
        <v>85</v>
      </c>
    </row>
    <row r="3941" customFormat="false" ht="14.25" hidden="false" customHeight="true" outlineLevel="0" collapsed="false">
      <c r="B3941" s="9" t="s">
        <v>27</v>
      </c>
      <c r="C3941" s="9" t="n">
        <v>1185732</v>
      </c>
      <c r="D3941" s="10" t="n">
        <v>43939</v>
      </c>
      <c r="E3941" s="9" t="s">
        <v>17</v>
      </c>
      <c r="F3941" s="9" t="s">
        <v>18</v>
      </c>
      <c r="G3941" s="9" t="s">
        <v>18</v>
      </c>
      <c r="H3941" s="11" t="s">
        <v>25</v>
      </c>
      <c r="I3941" s="12" t="n">
        <v>62</v>
      </c>
      <c r="J3941" s="13" t="n">
        <v>290</v>
      </c>
      <c r="K3941" s="14" t="n">
        <f aca="false">I3941*J3941</f>
        <v>17980</v>
      </c>
      <c r="L3941" s="14" t="n">
        <f aca="false">($L$2*M3941)/100</f>
        <v>444616.605</v>
      </c>
      <c r="M3941" s="15" t="n">
        <v>0.37</v>
      </c>
      <c r="N3941" s="9" t="s">
        <v>85</v>
      </c>
    </row>
    <row r="3942" customFormat="false" ht="14.25" hidden="false" customHeight="true" outlineLevel="0" collapsed="false">
      <c r="B3942" s="9" t="s">
        <v>27</v>
      </c>
      <c r="C3942" s="9" t="n">
        <v>1185732</v>
      </c>
      <c r="D3942" s="10" t="n">
        <v>43940</v>
      </c>
      <c r="E3942" s="9" t="s">
        <v>17</v>
      </c>
      <c r="F3942" s="9" t="s">
        <v>18</v>
      </c>
      <c r="G3942" s="9" t="s">
        <v>18</v>
      </c>
      <c r="H3942" s="11" t="s">
        <v>19</v>
      </c>
      <c r="I3942" s="12" t="n">
        <v>56</v>
      </c>
      <c r="J3942" s="13" t="n">
        <v>360</v>
      </c>
      <c r="K3942" s="14" t="n">
        <f aca="false">I3942*J3942</f>
        <v>20160</v>
      </c>
      <c r="L3942" s="14" t="n">
        <f aca="false">($L$2*M3942)/100</f>
        <v>745033.23</v>
      </c>
      <c r="M3942" s="15" t="n">
        <v>0.62</v>
      </c>
      <c r="N3942" s="9" t="s">
        <v>85</v>
      </c>
    </row>
    <row r="3943" customFormat="false" ht="14.25" hidden="false" customHeight="true" outlineLevel="0" collapsed="false">
      <c r="B3943" s="9" t="s">
        <v>27</v>
      </c>
      <c r="C3943" s="9" t="n">
        <v>1185732</v>
      </c>
      <c r="D3943" s="10" t="n">
        <v>43941</v>
      </c>
      <c r="E3943" s="9" t="s">
        <v>17</v>
      </c>
      <c r="F3943" s="9" t="s">
        <v>18</v>
      </c>
      <c r="G3943" s="9" t="s">
        <v>18</v>
      </c>
      <c r="H3943" s="11" t="s">
        <v>21</v>
      </c>
      <c r="I3943" s="12" t="n">
        <v>50</v>
      </c>
      <c r="J3943" s="13" t="n">
        <v>270</v>
      </c>
      <c r="K3943" s="14" t="n">
        <f aca="false">I3943*J3943</f>
        <v>13500</v>
      </c>
      <c r="L3943" s="14" t="n">
        <f aca="false">($L$2*M3943)/100</f>
        <v>528733.26</v>
      </c>
      <c r="M3943" s="15" t="n">
        <v>0.44</v>
      </c>
      <c r="N3943" s="9" t="s">
        <v>85</v>
      </c>
    </row>
    <row r="3944" customFormat="false" ht="14.25" hidden="false" customHeight="true" outlineLevel="0" collapsed="false">
      <c r="B3944" s="9" t="s">
        <v>27</v>
      </c>
      <c r="C3944" s="9" t="n">
        <v>1185732</v>
      </c>
      <c r="D3944" s="10" t="n">
        <v>43942</v>
      </c>
      <c r="E3944" s="9" t="s">
        <v>17</v>
      </c>
      <c r="F3944" s="9" t="s">
        <v>18</v>
      </c>
      <c r="G3944" s="9" t="s">
        <v>18</v>
      </c>
      <c r="H3944" s="11" t="s">
        <v>22</v>
      </c>
      <c r="I3944" s="12" t="n">
        <v>47</v>
      </c>
      <c r="J3944" s="13" t="n">
        <v>268</v>
      </c>
      <c r="K3944" s="14" t="n">
        <f aca="false">I3944*J3944</f>
        <v>12596</v>
      </c>
      <c r="L3944" s="14" t="n">
        <f aca="false">($L$2*M3944)/100</f>
        <v>564783.255</v>
      </c>
      <c r="M3944" s="15" t="n">
        <v>0.47</v>
      </c>
      <c r="N3944" s="9" t="s">
        <v>85</v>
      </c>
    </row>
    <row r="3945" customFormat="false" ht="14.25" hidden="false" customHeight="true" outlineLevel="0" collapsed="false">
      <c r="B3945" s="9" t="s">
        <v>27</v>
      </c>
      <c r="C3945" s="9" t="n">
        <v>1185732</v>
      </c>
      <c r="D3945" s="10" t="n">
        <v>43943</v>
      </c>
      <c r="E3945" s="9" t="s">
        <v>17</v>
      </c>
      <c r="F3945" s="9" t="s">
        <v>18</v>
      </c>
      <c r="G3945" s="9" t="s">
        <v>18</v>
      </c>
      <c r="H3945" s="11" t="s">
        <v>23</v>
      </c>
      <c r="I3945" s="12" t="n">
        <v>47</v>
      </c>
      <c r="J3945" s="13" t="n">
        <v>252</v>
      </c>
      <c r="K3945" s="14" t="n">
        <f aca="false">I3945*J3945</f>
        <v>11844</v>
      </c>
      <c r="L3945" s="14" t="n">
        <f aca="false">($L$2*M3945)/100</f>
        <v>552766.59</v>
      </c>
      <c r="M3945" s="15" t="n">
        <v>0.46</v>
      </c>
      <c r="N3945" s="9" t="s">
        <v>85</v>
      </c>
    </row>
    <row r="3946" customFormat="false" ht="14.25" hidden="false" customHeight="true" outlineLevel="0" collapsed="false">
      <c r="B3946" s="9" t="s">
        <v>27</v>
      </c>
      <c r="C3946" s="9" t="n">
        <v>1185732</v>
      </c>
      <c r="D3946" s="10" t="n">
        <v>43944</v>
      </c>
      <c r="E3946" s="9" t="s">
        <v>17</v>
      </c>
      <c r="F3946" s="9" t="s">
        <v>18</v>
      </c>
      <c r="G3946" s="9" t="s">
        <v>18</v>
      </c>
      <c r="H3946" s="11" t="s">
        <v>24</v>
      </c>
      <c r="I3946" s="12" t="n">
        <v>58</v>
      </c>
      <c r="J3946" s="13" t="n">
        <v>252</v>
      </c>
      <c r="K3946" s="14" t="n">
        <f aca="false">I3946*J3946</f>
        <v>14616</v>
      </c>
      <c r="L3946" s="14" t="n">
        <f aca="false">($L$2*M3946)/100</f>
        <v>480666.6</v>
      </c>
      <c r="M3946" s="15" t="n">
        <v>0.4</v>
      </c>
      <c r="N3946" s="9" t="s">
        <v>85</v>
      </c>
    </row>
    <row r="3947" customFormat="false" ht="14.25" hidden="false" customHeight="true" outlineLevel="0" collapsed="false">
      <c r="B3947" s="9" t="s">
        <v>27</v>
      </c>
      <c r="C3947" s="9" t="n">
        <v>1185732</v>
      </c>
      <c r="D3947" s="10" t="n">
        <v>43945</v>
      </c>
      <c r="E3947" s="9" t="s">
        <v>17</v>
      </c>
      <c r="F3947" s="9" t="s">
        <v>18</v>
      </c>
      <c r="G3947" s="9" t="s">
        <v>18</v>
      </c>
      <c r="H3947" s="11" t="s">
        <v>25</v>
      </c>
      <c r="I3947" s="12" t="n">
        <v>59</v>
      </c>
      <c r="J3947" s="13" t="n">
        <v>280</v>
      </c>
      <c r="K3947" s="14" t="n">
        <f aca="false">I3947*J3947</f>
        <v>16520</v>
      </c>
      <c r="L3947" s="14" t="n">
        <f aca="false">($L$2*M3947)/100</f>
        <v>480666.6</v>
      </c>
      <c r="M3947" s="15" t="n">
        <v>0.4</v>
      </c>
      <c r="N3947" s="9" t="s">
        <v>85</v>
      </c>
    </row>
    <row r="3948" customFormat="false" ht="14.25" hidden="false" customHeight="true" outlineLevel="0" collapsed="false">
      <c r="B3948" s="9" t="s">
        <v>27</v>
      </c>
      <c r="C3948" s="9" t="n">
        <v>1185732</v>
      </c>
      <c r="D3948" s="10" t="n">
        <v>43946</v>
      </c>
      <c r="E3948" s="9" t="s">
        <v>17</v>
      </c>
      <c r="F3948" s="9" t="s">
        <v>18</v>
      </c>
      <c r="G3948" s="9" t="s">
        <v>18</v>
      </c>
      <c r="H3948" s="11" t="s">
        <v>24</v>
      </c>
      <c r="I3948" s="12" t="n">
        <v>64</v>
      </c>
      <c r="J3948" s="13" t="n">
        <v>236</v>
      </c>
      <c r="K3948" s="14" t="n">
        <f aca="false">I3948*J3948</f>
        <v>15104</v>
      </c>
      <c r="L3948" s="14" t="n">
        <f aca="false">($L$2*M3948)/100</f>
        <v>504699.93</v>
      </c>
      <c r="M3948" s="15" t="n">
        <v>0.42</v>
      </c>
      <c r="N3948" s="9" t="s">
        <v>85</v>
      </c>
    </row>
    <row r="3949" customFormat="false" ht="14.25" hidden="false" customHeight="true" outlineLevel="0" collapsed="false">
      <c r="B3949" s="9" t="s">
        <v>27</v>
      </c>
      <c r="C3949" s="9" t="n">
        <v>1185732</v>
      </c>
      <c r="D3949" s="10" t="n">
        <v>43947</v>
      </c>
      <c r="E3949" s="9" t="s">
        <v>17</v>
      </c>
      <c r="F3949" s="9" t="s">
        <v>18</v>
      </c>
      <c r="G3949" s="9" t="s">
        <v>18</v>
      </c>
      <c r="H3949" s="11" t="s">
        <v>25</v>
      </c>
      <c r="I3949" s="12" t="n">
        <v>68</v>
      </c>
      <c r="J3949" s="13" t="n">
        <v>290</v>
      </c>
      <c r="K3949" s="14" t="n">
        <f aca="false">I3949*J3949</f>
        <v>19720</v>
      </c>
      <c r="L3949" s="14" t="n">
        <f aca="false">($L$2*M3949)/100</f>
        <v>456633.27</v>
      </c>
      <c r="M3949" s="15" t="n">
        <v>0.38</v>
      </c>
      <c r="N3949" s="9" t="s">
        <v>85</v>
      </c>
    </row>
    <row r="3950" customFormat="false" ht="14.25" hidden="false" customHeight="true" outlineLevel="0" collapsed="false">
      <c r="B3950" s="9" t="s">
        <v>27</v>
      </c>
      <c r="C3950" s="9" t="n">
        <v>1185732</v>
      </c>
      <c r="D3950" s="10" t="n">
        <v>43948</v>
      </c>
      <c r="E3950" s="9" t="s">
        <v>17</v>
      </c>
      <c r="F3950" s="9" t="s">
        <v>18</v>
      </c>
      <c r="G3950" s="9" t="s">
        <v>18</v>
      </c>
      <c r="H3950" s="11" t="s">
        <v>19</v>
      </c>
      <c r="I3950" s="12" t="n">
        <v>60</v>
      </c>
      <c r="J3950" s="13" t="n">
        <v>299</v>
      </c>
      <c r="K3950" s="14" t="n">
        <f aca="false">I3950*J3950</f>
        <v>17940</v>
      </c>
      <c r="L3950" s="14" t="n">
        <f aca="false">($L$2*M3950)/100</f>
        <v>720999.9</v>
      </c>
      <c r="M3950" s="15" t="n">
        <v>0.6</v>
      </c>
      <c r="N3950" s="9" t="s">
        <v>85</v>
      </c>
    </row>
    <row r="3951" customFormat="false" ht="14.25" hidden="false" customHeight="true" outlineLevel="0" collapsed="false">
      <c r="B3951" s="9" t="s">
        <v>27</v>
      </c>
      <c r="C3951" s="9" t="n">
        <v>1185732</v>
      </c>
      <c r="D3951" s="10" t="n">
        <v>43949</v>
      </c>
      <c r="E3951" s="9" t="s">
        <v>17</v>
      </c>
      <c r="F3951" s="9" t="s">
        <v>18</v>
      </c>
      <c r="G3951" s="9" t="s">
        <v>18</v>
      </c>
      <c r="H3951" s="11" t="s">
        <v>21</v>
      </c>
      <c r="I3951" s="12" t="n">
        <v>53</v>
      </c>
      <c r="J3951" s="13" t="n">
        <v>273</v>
      </c>
      <c r="K3951" s="14" t="n">
        <f aca="false">I3951*J3951</f>
        <v>14469</v>
      </c>
      <c r="L3951" s="14" t="n">
        <f aca="false">($L$2*M3951)/100</f>
        <v>516716.595</v>
      </c>
      <c r="M3951" s="15" t="n">
        <v>0.43</v>
      </c>
      <c r="N3951" s="9" t="s">
        <v>85</v>
      </c>
    </row>
    <row r="3952" customFormat="false" ht="14.25" hidden="false" customHeight="true" outlineLevel="0" collapsed="false">
      <c r="B3952" s="9" t="s">
        <v>27</v>
      </c>
      <c r="C3952" s="9" t="n">
        <v>1185732</v>
      </c>
      <c r="D3952" s="10" t="n">
        <v>43950</v>
      </c>
      <c r="E3952" s="9" t="s">
        <v>17</v>
      </c>
      <c r="F3952" s="9" t="s">
        <v>18</v>
      </c>
      <c r="G3952" s="9" t="s">
        <v>18</v>
      </c>
      <c r="H3952" s="11" t="s">
        <v>22</v>
      </c>
      <c r="I3952" s="12" t="n">
        <v>52</v>
      </c>
      <c r="J3952" s="13" t="n">
        <v>258</v>
      </c>
      <c r="K3952" s="14" t="n">
        <f aca="false">I3952*J3952</f>
        <v>13416</v>
      </c>
      <c r="L3952" s="14" t="n">
        <f aca="false">($L$2*M3952)/100</f>
        <v>576799.92</v>
      </c>
      <c r="M3952" s="15" t="n">
        <v>0.48</v>
      </c>
      <c r="N3952" s="9" t="s">
        <v>85</v>
      </c>
    </row>
    <row r="3953" customFormat="false" ht="14.25" hidden="false" customHeight="true" outlineLevel="0" collapsed="false">
      <c r="B3953" s="9" t="s">
        <v>27</v>
      </c>
      <c r="C3953" s="9" t="n">
        <v>1185732</v>
      </c>
      <c r="D3953" s="10" t="n">
        <v>43951</v>
      </c>
      <c r="E3953" s="9" t="s">
        <v>17</v>
      </c>
      <c r="F3953" s="9" t="s">
        <v>18</v>
      </c>
      <c r="G3953" s="9" t="s">
        <v>18</v>
      </c>
      <c r="H3953" s="11" t="s">
        <v>23</v>
      </c>
      <c r="I3953" s="12" t="n">
        <v>50</v>
      </c>
      <c r="J3953" s="13" t="n">
        <v>252</v>
      </c>
      <c r="K3953" s="14" t="n">
        <f aca="false">I3953*J3953</f>
        <v>12600</v>
      </c>
      <c r="L3953" s="14" t="n">
        <f aca="false">($L$2*M3953)/100</f>
        <v>588816.585</v>
      </c>
      <c r="M3953" s="15" t="n">
        <v>0.49</v>
      </c>
      <c r="N3953" s="9" t="s">
        <v>85</v>
      </c>
    </row>
    <row r="3954" customFormat="false" ht="14.25" hidden="false" customHeight="true" outlineLevel="0" collapsed="false">
      <c r="B3954" s="9" t="s">
        <v>27</v>
      </c>
      <c r="C3954" s="9" t="n">
        <v>1185732</v>
      </c>
      <c r="D3954" s="10" t="n">
        <v>43952</v>
      </c>
      <c r="E3954" s="9" t="s">
        <v>17</v>
      </c>
      <c r="F3954" s="9" t="s">
        <v>18</v>
      </c>
      <c r="G3954" s="9" t="s">
        <v>18</v>
      </c>
      <c r="H3954" s="11" t="s">
        <v>24</v>
      </c>
      <c r="I3954" s="12" t="n">
        <v>64</v>
      </c>
      <c r="J3954" s="13" t="n">
        <v>254</v>
      </c>
      <c r="K3954" s="14" t="n">
        <f aca="false">I3954*J3954</f>
        <v>16256</v>
      </c>
      <c r="L3954" s="14" t="n">
        <f aca="false">($L$2*M3954)/100</f>
        <v>504699.93</v>
      </c>
      <c r="M3954" s="15" t="n">
        <v>0.42</v>
      </c>
      <c r="N3954" s="9" t="s">
        <v>85</v>
      </c>
    </row>
    <row r="3955" customFormat="false" ht="14.25" hidden="false" customHeight="true" outlineLevel="0" collapsed="false">
      <c r="B3955" s="9" t="s">
        <v>27</v>
      </c>
      <c r="C3955" s="9" t="n">
        <v>1185732</v>
      </c>
      <c r="D3955" s="10" t="n">
        <v>43953</v>
      </c>
      <c r="E3955" s="9" t="s">
        <v>17</v>
      </c>
      <c r="F3955" s="9" t="s">
        <v>18</v>
      </c>
      <c r="G3955" s="9" t="s">
        <v>18</v>
      </c>
      <c r="H3955" s="11" t="s">
        <v>25</v>
      </c>
      <c r="I3955" s="12" t="n">
        <v>66</v>
      </c>
      <c r="J3955" s="13" t="n">
        <v>263</v>
      </c>
      <c r="K3955" s="14" t="n">
        <f aca="false">I3955*J3955</f>
        <v>17358</v>
      </c>
      <c r="L3955" s="14" t="n">
        <f aca="false">($L$2*M3955)/100</f>
        <v>444616.605</v>
      </c>
      <c r="M3955" s="15" t="n">
        <v>0.37</v>
      </c>
      <c r="N3955" s="9" t="s">
        <v>85</v>
      </c>
    </row>
    <row r="3956" customFormat="false" ht="14.25" hidden="false" customHeight="true" outlineLevel="0" collapsed="false">
      <c r="B3956" s="9" t="s">
        <v>27</v>
      </c>
      <c r="C3956" s="9" t="n">
        <v>1185732</v>
      </c>
      <c r="D3956" s="10" t="n">
        <v>43954</v>
      </c>
      <c r="E3956" s="9" t="s">
        <v>17</v>
      </c>
      <c r="F3956" s="9" t="s">
        <v>18</v>
      </c>
      <c r="G3956" s="9" t="s">
        <v>18</v>
      </c>
      <c r="H3956" s="11" t="s">
        <v>19</v>
      </c>
      <c r="I3956" s="12" t="n">
        <v>62</v>
      </c>
      <c r="J3956" s="13" t="n">
        <v>312</v>
      </c>
      <c r="K3956" s="14" t="n">
        <f aca="false">I3956*J3956</f>
        <v>19344</v>
      </c>
      <c r="L3956" s="14" t="n">
        <f aca="false">($L$2*M3956)/100</f>
        <v>769066.56</v>
      </c>
      <c r="M3956" s="15" t="n">
        <v>0.64</v>
      </c>
      <c r="N3956" s="9" t="s">
        <v>85</v>
      </c>
    </row>
    <row r="3957" customFormat="false" ht="14.25" hidden="false" customHeight="true" outlineLevel="0" collapsed="false">
      <c r="B3957" s="9" t="s">
        <v>27</v>
      </c>
      <c r="C3957" s="9" t="n">
        <v>1185732</v>
      </c>
      <c r="D3957" s="10" t="n">
        <v>43955</v>
      </c>
      <c r="E3957" s="9" t="s">
        <v>17</v>
      </c>
      <c r="F3957" s="9" t="s">
        <v>18</v>
      </c>
      <c r="G3957" s="9" t="s">
        <v>18</v>
      </c>
      <c r="H3957" s="11" t="s">
        <v>21</v>
      </c>
      <c r="I3957" s="12" t="n">
        <v>51</v>
      </c>
      <c r="J3957" s="13" t="n">
        <v>300</v>
      </c>
      <c r="K3957" s="14" t="n">
        <f aca="false">I3957*J3957</f>
        <v>15300</v>
      </c>
      <c r="L3957" s="14" t="n">
        <f aca="false">($L$2*M3957)/100</f>
        <v>504699.93</v>
      </c>
      <c r="M3957" s="15" t="n">
        <v>0.42</v>
      </c>
      <c r="N3957" s="9" t="s">
        <v>85</v>
      </c>
    </row>
    <row r="3958" customFormat="false" ht="14.25" hidden="false" customHeight="true" outlineLevel="0" collapsed="false">
      <c r="B3958" s="9" t="s">
        <v>27</v>
      </c>
      <c r="C3958" s="9" t="n">
        <v>1185732</v>
      </c>
      <c r="D3958" s="10" t="n">
        <v>43956</v>
      </c>
      <c r="E3958" s="9" t="s">
        <v>17</v>
      </c>
      <c r="F3958" s="9" t="s">
        <v>18</v>
      </c>
      <c r="G3958" s="9" t="s">
        <v>18</v>
      </c>
      <c r="H3958" s="11" t="s">
        <v>22</v>
      </c>
      <c r="I3958" s="12" t="n">
        <v>54</v>
      </c>
      <c r="J3958" s="13" t="n">
        <v>285</v>
      </c>
      <c r="K3958" s="14" t="n">
        <f aca="false">I3958*J3958</f>
        <v>15390</v>
      </c>
      <c r="L3958" s="14" t="n">
        <f aca="false">($L$2*M3958)/100</f>
        <v>564783.255</v>
      </c>
      <c r="M3958" s="15" t="n">
        <v>0.47</v>
      </c>
      <c r="N3958" s="9" t="s">
        <v>85</v>
      </c>
    </row>
    <row r="3959" customFormat="false" ht="14.25" hidden="false" customHeight="true" outlineLevel="0" collapsed="false">
      <c r="B3959" s="9" t="s">
        <v>27</v>
      </c>
      <c r="C3959" s="9" t="n">
        <v>1185732</v>
      </c>
      <c r="D3959" s="10" t="n">
        <v>43957</v>
      </c>
      <c r="E3959" s="9" t="s">
        <v>17</v>
      </c>
      <c r="F3959" s="9" t="s">
        <v>18</v>
      </c>
      <c r="G3959" s="9" t="s">
        <v>18</v>
      </c>
      <c r="H3959" s="11" t="s">
        <v>23</v>
      </c>
      <c r="I3959" s="12" t="n">
        <v>54</v>
      </c>
      <c r="J3959" s="13" t="n">
        <v>225</v>
      </c>
      <c r="K3959" s="14" t="n">
        <f aca="false">I3959*J3959</f>
        <v>12150</v>
      </c>
      <c r="L3959" s="14" t="n">
        <f aca="false">($L$2*M3959)/100</f>
        <v>552766.59</v>
      </c>
      <c r="M3959" s="15" t="n">
        <v>0.46</v>
      </c>
      <c r="N3959" s="9" t="s">
        <v>85</v>
      </c>
    </row>
    <row r="3960" customFormat="false" ht="14.25" hidden="false" customHeight="true" outlineLevel="0" collapsed="false">
      <c r="B3960" s="9" t="s">
        <v>27</v>
      </c>
      <c r="C3960" s="9" t="n">
        <v>1185732</v>
      </c>
      <c r="D3960" s="10" t="n">
        <v>43958</v>
      </c>
      <c r="E3960" s="9" t="s">
        <v>17</v>
      </c>
      <c r="F3960" s="9" t="s">
        <v>18</v>
      </c>
      <c r="G3960" s="9" t="s">
        <v>18</v>
      </c>
      <c r="H3960" s="11" t="s">
        <v>24</v>
      </c>
      <c r="I3960" s="12" t="n">
        <v>60</v>
      </c>
      <c r="J3960" s="13" t="n">
        <v>261</v>
      </c>
      <c r="K3960" s="14" t="n">
        <f aca="false">I3960*J3960</f>
        <v>15660</v>
      </c>
      <c r="L3960" s="14" t="n">
        <f aca="false">($L$2*M3960)/100</f>
        <v>516716.595</v>
      </c>
      <c r="M3960" s="15" t="n">
        <v>0.43</v>
      </c>
      <c r="N3960" s="9" t="s">
        <v>85</v>
      </c>
    </row>
    <row r="3961" customFormat="false" ht="14.25" hidden="false" customHeight="true" outlineLevel="0" collapsed="false">
      <c r="B3961" s="9" t="s">
        <v>27</v>
      </c>
      <c r="C3961" s="9" t="n">
        <v>1185732</v>
      </c>
      <c r="D3961" s="10" t="n">
        <v>44030</v>
      </c>
      <c r="E3961" s="9" t="s">
        <v>17</v>
      </c>
      <c r="F3961" s="9" t="s">
        <v>18</v>
      </c>
      <c r="G3961" s="9" t="s">
        <v>18</v>
      </c>
      <c r="H3961" s="11" t="s">
        <v>25</v>
      </c>
      <c r="I3961" s="12" t="n">
        <v>68</v>
      </c>
      <c r="J3961" s="13" t="n">
        <v>290</v>
      </c>
      <c r="K3961" s="14" t="n">
        <f aca="false">I3961*J3961</f>
        <v>19720</v>
      </c>
      <c r="L3961" s="14" t="n">
        <f aca="false">($L$2*M3961)/100</f>
        <v>420583.275</v>
      </c>
      <c r="M3961" s="15" t="n">
        <v>0.35</v>
      </c>
      <c r="N3961" s="9" t="s">
        <v>85</v>
      </c>
    </row>
    <row r="3962" customFormat="false" ht="14.25" hidden="false" customHeight="true" outlineLevel="0" collapsed="false">
      <c r="B3962" s="9" t="s">
        <v>28</v>
      </c>
      <c r="C3962" s="9" t="n">
        <v>1197831</v>
      </c>
      <c r="D3962" s="10" t="n">
        <v>44031</v>
      </c>
      <c r="E3962" s="9" t="s">
        <v>17</v>
      </c>
      <c r="F3962" s="9" t="s">
        <v>18</v>
      </c>
      <c r="G3962" s="9" t="s">
        <v>18</v>
      </c>
      <c r="H3962" s="11" t="s">
        <v>19</v>
      </c>
      <c r="I3962" s="12" t="n">
        <v>24</v>
      </c>
      <c r="J3962" s="13" t="n">
        <v>234</v>
      </c>
      <c r="K3962" s="14" t="n">
        <f aca="false">I3962*J3962</f>
        <v>5616</v>
      </c>
      <c r="L3962" s="14" t="n">
        <f aca="false">($L$2*M3962)/100</f>
        <v>564783.255</v>
      </c>
      <c r="M3962" s="15" t="n">
        <v>0.47</v>
      </c>
      <c r="N3962" s="9" t="s">
        <v>85</v>
      </c>
    </row>
    <row r="3963" customFormat="false" ht="14.25" hidden="false" customHeight="true" outlineLevel="0" collapsed="false">
      <c r="B3963" s="9" t="s">
        <v>28</v>
      </c>
      <c r="C3963" s="9" t="n">
        <v>1197831</v>
      </c>
      <c r="D3963" s="10" t="n">
        <v>44032</v>
      </c>
      <c r="E3963" s="9" t="s">
        <v>17</v>
      </c>
      <c r="F3963" s="9" t="s">
        <v>18</v>
      </c>
      <c r="G3963" s="9" t="s">
        <v>18</v>
      </c>
      <c r="H3963" s="11" t="s">
        <v>21</v>
      </c>
      <c r="I3963" s="12" t="n">
        <v>34</v>
      </c>
      <c r="J3963" s="13" t="n">
        <v>225</v>
      </c>
      <c r="K3963" s="14" t="n">
        <f aca="false">I3963*J3963</f>
        <v>7650</v>
      </c>
      <c r="L3963" s="14" t="n">
        <f aca="false">($L$2*M3963)/100</f>
        <v>588816.585</v>
      </c>
      <c r="M3963" s="15" t="n">
        <v>0.49</v>
      </c>
      <c r="N3963" s="9" t="s">
        <v>85</v>
      </c>
    </row>
    <row r="3964" customFormat="false" ht="14.25" hidden="false" customHeight="true" outlineLevel="0" collapsed="false">
      <c r="B3964" s="9" t="s">
        <v>28</v>
      </c>
      <c r="C3964" s="9" t="n">
        <v>1197831</v>
      </c>
      <c r="D3964" s="10" t="n">
        <v>44033</v>
      </c>
      <c r="E3964" s="9" t="s">
        <v>17</v>
      </c>
      <c r="F3964" s="9" t="s">
        <v>18</v>
      </c>
      <c r="G3964" s="9" t="s">
        <v>18</v>
      </c>
      <c r="H3964" s="11" t="s">
        <v>22</v>
      </c>
      <c r="I3964" s="12" t="n">
        <v>33</v>
      </c>
      <c r="J3964" s="13" t="n">
        <v>210</v>
      </c>
      <c r="K3964" s="14" t="n">
        <f aca="false">I3964*J3964</f>
        <v>6930</v>
      </c>
      <c r="L3964" s="14" t="n">
        <f aca="false">($L$2*M3964)/100</f>
        <v>552766.59</v>
      </c>
      <c r="M3964" s="15" t="n">
        <v>0.46</v>
      </c>
      <c r="N3964" s="9" t="s">
        <v>85</v>
      </c>
    </row>
    <row r="3965" customFormat="false" ht="14.25" hidden="false" customHeight="true" outlineLevel="0" collapsed="false">
      <c r="B3965" s="9" t="s">
        <v>28</v>
      </c>
      <c r="C3965" s="9" t="n">
        <v>1197831</v>
      </c>
      <c r="D3965" s="10" t="n">
        <v>44034</v>
      </c>
      <c r="E3965" s="9" t="s">
        <v>17</v>
      </c>
      <c r="F3965" s="9" t="s">
        <v>18</v>
      </c>
      <c r="G3965" s="9" t="s">
        <v>18</v>
      </c>
      <c r="H3965" s="11" t="s">
        <v>23</v>
      </c>
      <c r="I3965" s="12" t="n">
        <v>34</v>
      </c>
      <c r="J3965" s="13" t="n">
        <v>175</v>
      </c>
      <c r="K3965" s="14" t="n">
        <f aca="false">I3965*J3965</f>
        <v>5950</v>
      </c>
      <c r="L3965" s="14" t="n">
        <f aca="false">($L$2*M3965)/100</f>
        <v>660916.575</v>
      </c>
      <c r="M3965" s="15" t="n">
        <v>0.55</v>
      </c>
      <c r="N3965" s="9" t="s">
        <v>85</v>
      </c>
    </row>
    <row r="3966" customFormat="false" ht="14.25" hidden="false" customHeight="true" outlineLevel="0" collapsed="false">
      <c r="B3966" s="9" t="s">
        <v>28</v>
      </c>
      <c r="C3966" s="9" t="n">
        <v>1197831</v>
      </c>
      <c r="D3966" s="10" t="n">
        <v>44035</v>
      </c>
      <c r="E3966" s="9" t="s">
        <v>29</v>
      </c>
      <c r="F3966" s="9" t="s">
        <v>30</v>
      </c>
      <c r="G3966" s="9" t="s">
        <v>31</v>
      </c>
      <c r="H3966" s="11" t="s">
        <v>24</v>
      </c>
      <c r="I3966" s="12" t="n">
        <v>36</v>
      </c>
      <c r="J3966" s="13" t="n">
        <v>154</v>
      </c>
      <c r="K3966" s="14" t="n">
        <f aca="false">I3966*J3966</f>
        <v>5544</v>
      </c>
      <c r="L3966" s="14" t="n">
        <f aca="false">($L$2*M3966)/100</f>
        <v>516716.595</v>
      </c>
      <c r="M3966" s="15" t="n">
        <v>0.43</v>
      </c>
      <c r="N3966" s="9" t="s">
        <v>85</v>
      </c>
    </row>
    <row r="3967" customFormat="false" ht="14.25" hidden="false" customHeight="true" outlineLevel="0" collapsed="false">
      <c r="B3967" s="9" t="s">
        <v>28</v>
      </c>
      <c r="C3967" s="9" t="n">
        <v>1197831</v>
      </c>
      <c r="D3967" s="10" t="n">
        <v>44036</v>
      </c>
      <c r="E3967" s="9" t="s">
        <v>29</v>
      </c>
      <c r="F3967" s="9" t="s">
        <v>30</v>
      </c>
      <c r="G3967" s="9" t="s">
        <v>31</v>
      </c>
      <c r="H3967" s="11" t="s">
        <v>25</v>
      </c>
      <c r="I3967" s="12" t="n">
        <v>34</v>
      </c>
      <c r="J3967" s="13" t="n">
        <v>203</v>
      </c>
      <c r="K3967" s="14" t="n">
        <f aca="false">I3967*J3967</f>
        <v>6902</v>
      </c>
      <c r="L3967" s="14" t="n">
        <f aca="false">($L$2*M3967)/100</f>
        <v>769066.56</v>
      </c>
      <c r="M3967" s="15" t="n">
        <v>0.64</v>
      </c>
      <c r="N3967" s="9" t="s">
        <v>85</v>
      </c>
    </row>
    <row r="3968" customFormat="false" ht="14.25" hidden="false" customHeight="true" outlineLevel="0" collapsed="false">
      <c r="B3968" s="9" t="s">
        <v>28</v>
      </c>
      <c r="C3968" s="9" t="n">
        <v>1197831</v>
      </c>
      <c r="D3968" s="10" t="n">
        <v>44037</v>
      </c>
      <c r="E3968" s="9" t="s">
        <v>29</v>
      </c>
      <c r="F3968" s="9" t="s">
        <v>30</v>
      </c>
      <c r="G3968" s="9" t="s">
        <v>31</v>
      </c>
      <c r="H3968" s="11" t="s">
        <v>19</v>
      </c>
      <c r="I3968" s="12" t="n">
        <v>23</v>
      </c>
      <c r="J3968" s="13" t="n">
        <v>213</v>
      </c>
      <c r="K3968" s="14" t="n">
        <f aca="false">I3968*J3968</f>
        <v>4899</v>
      </c>
      <c r="L3968" s="14" t="n">
        <f aca="false">($L$2*M3968)/100</f>
        <v>600833.25</v>
      </c>
      <c r="M3968" s="15" t="n">
        <v>0.5</v>
      </c>
      <c r="N3968" s="9" t="s">
        <v>85</v>
      </c>
    </row>
    <row r="3969" customFormat="false" ht="14.25" hidden="false" customHeight="true" outlineLevel="0" collapsed="false">
      <c r="B3969" s="9" t="s">
        <v>28</v>
      </c>
      <c r="C3969" s="9" t="n">
        <v>1197831</v>
      </c>
      <c r="D3969" s="10" t="n">
        <v>44038</v>
      </c>
      <c r="E3969" s="9" t="s">
        <v>29</v>
      </c>
      <c r="F3969" s="9" t="s">
        <v>30</v>
      </c>
      <c r="G3969" s="9" t="s">
        <v>31</v>
      </c>
      <c r="H3969" s="11" t="s">
        <v>21</v>
      </c>
      <c r="I3969" s="12" t="n">
        <v>33</v>
      </c>
      <c r="J3969" s="13" t="n">
        <v>255</v>
      </c>
      <c r="K3969" s="14" t="n">
        <f aca="false">I3969*J3969</f>
        <v>8415</v>
      </c>
      <c r="L3969" s="14" t="n">
        <f aca="false">($L$2*M3969)/100</f>
        <v>540749.925</v>
      </c>
      <c r="M3969" s="15" t="n">
        <v>0.45</v>
      </c>
      <c r="N3969" s="9" t="s">
        <v>85</v>
      </c>
    </row>
    <row r="3970" customFormat="false" ht="14.25" hidden="false" customHeight="true" outlineLevel="0" collapsed="false">
      <c r="B3970" s="9" t="s">
        <v>28</v>
      </c>
      <c r="C3970" s="9" t="n">
        <v>1197831</v>
      </c>
      <c r="D3970" s="10" t="n">
        <v>44039</v>
      </c>
      <c r="E3970" s="9" t="s">
        <v>29</v>
      </c>
      <c r="F3970" s="9" t="s">
        <v>30</v>
      </c>
      <c r="G3970" s="9" t="s">
        <v>31</v>
      </c>
      <c r="H3970" s="11" t="s">
        <v>22</v>
      </c>
      <c r="I3970" s="12" t="n">
        <v>32</v>
      </c>
      <c r="J3970" s="13" t="n">
        <v>176</v>
      </c>
      <c r="K3970" s="14" t="n">
        <f aca="false">I3970*J3970</f>
        <v>5632</v>
      </c>
      <c r="L3970" s="14" t="n">
        <f aca="false">($L$2*M3970)/100</f>
        <v>540749.925</v>
      </c>
      <c r="M3970" s="15" t="n">
        <v>0.45</v>
      </c>
      <c r="N3970" s="9" t="s">
        <v>85</v>
      </c>
    </row>
    <row r="3971" customFormat="false" ht="14.25" hidden="false" customHeight="true" outlineLevel="0" collapsed="false">
      <c r="B3971" s="9" t="s">
        <v>28</v>
      </c>
      <c r="C3971" s="9" t="n">
        <v>1197831</v>
      </c>
      <c r="D3971" s="10" t="n">
        <v>44040</v>
      </c>
      <c r="E3971" s="9" t="s">
        <v>29</v>
      </c>
      <c r="F3971" s="9" t="s">
        <v>30</v>
      </c>
      <c r="G3971" s="9" t="s">
        <v>31</v>
      </c>
      <c r="H3971" s="11" t="s">
        <v>23</v>
      </c>
      <c r="I3971" s="12" t="n">
        <v>34</v>
      </c>
      <c r="J3971" s="13" t="n">
        <v>175</v>
      </c>
      <c r="K3971" s="14" t="n">
        <f aca="false">I3971*J3971</f>
        <v>5950</v>
      </c>
      <c r="L3971" s="14" t="n">
        <f aca="false">($L$2*M3971)/100</f>
        <v>720999.9</v>
      </c>
      <c r="M3971" s="15" t="n">
        <v>0.6</v>
      </c>
      <c r="N3971" s="9" t="s">
        <v>85</v>
      </c>
    </row>
    <row r="3972" customFormat="false" ht="14.25" hidden="false" customHeight="true" outlineLevel="0" collapsed="false">
      <c r="B3972" s="9" t="s">
        <v>28</v>
      </c>
      <c r="C3972" s="9" t="n">
        <v>1197831</v>
      </c>
      <c r="D3972" s="10" t="n">
        <v>44041</v>
      </c>
      <c r="E3972" s="9" t="s">
        <v>29</v>
      </c>
      <c r="F3972" s="9" t="s">
        <v>30</v>
      </c>
      <c r="G3972" s="9" t="s">
        <v>31</v>
      </c>
      <c r="H3972" s="11" t="s">
        <v>24</v>
      </c>
      <c r="I3972" s="12" t="n">
        <v>38</v>
      </c>
      <c r="J3972" s="13" t="n">
        <v>125</v>
      </c>
      <c r="K3972" s="14" t="n">
        <f aca="false">I3972*J3972</f>
        <v>4750</v>
      </c>
      <c r="L3972" s="14" t="n">
        <f aca="false">($L$2*M3972)/100</f>
        <v>540749.925</v>
      </c>
      <c r="M3972" s="15" t="n">
        <v>0.45</v>
      </c>
      <c r="N3972" s="9" t="s">
        <v>85</v>
      </c>
    </row>
    <row r="3973" customFormat="false" ht="14.25" hidden="false" customHeight="true" outlineLevel="0" collapsed="false">
      <c r="B3973" s="9" t="s">
        <v>28</v>
      </c>
      <c r="C3973" s="9" t="n">
        <v>1197831</v>
      </c>
      <c r="D3973" s="10" t="n">
        <v>44042</v>
      </c>
      <c r="E3973" s="9" t="s">
        <v>29</v>
      </c>
      <c r="F3973" s="9" t="s">
        <v>30</v>
      </c>
      <c r="G3973" s="9" t="s">
        <v>31</v>
      </c>
      <c r="H3973" s="11" t="s">
        <v>25</v>
      </c>
      <c r="I3973" s="12" t="n">
        <v>34</v>
      </c>
      <c r="J3973" s="13" t="n">
        <v>196</v>
      </c>
      <c r="K3973" s="14" t="n">
        <f aca="false">I3973*J3973</f>
        <v>6664</v>
      </c>
      <c r="L3973" s="14" t="n">
        <f aca="false">($L$2*M3973)/100</f>
        <v>757049.895</v>
      </c>
      <c r="M3973" s="15" t="n">
        <v>0.63</v>
      </c>
      <c r="N3973" s="9" t="s">
        <v>85</v>
      </c>
    </row>
    <row r="3974" customFormat="false" ht="14.25" hidden="false" customHeight="true" outlineLevel="0" collapsed="false">
      <c r="B3974" s="9" t="s">
        <v>28</v>
      </c>
      <c r="C3974" s="9" t="n">
        <v>1197831</v>
      </c>
      <c r="D3974" s="10" t="n">
        <v>44043</v>
      </c>
      <c r="E3974" s="9" t="s">
        <v>29</v>
      </c>
      <c r="F3974" s="9" t="s">
        <v>30</v>
      </c>
      <c r="G3974" s="9" t="s">
        <v>31</v>
      </c>
      <c r="H3974" s="11" t="s">
        <v>19</v>
      </c>
      <c r="I3974" s="12" t="n">
        <v>29</v>
      </c>
      <c r="J3974" s="13" t="n">
        <v>254</v>
      </c>
      <c r="K3974" s="14" t="n">
        <f aca="false">I3974*J3974</f>
        <v>7366</v>
      </c>
      <c r="L3974" s="14" t="n">
        <f aca="false">($L$2*M3974)/100</f>
        <v>540749.925</v>
      </c>
      <c r="M3974" s="15" t="n">
        <v>0.45</v>
      </c>
      <c r="N3974" s="9" t="s">
        <v>85</v>
      </c>
    </row>
    <row r="3975" customFormat="false" ht="14.25" hidden="false" customHeight="true" outlineLevel="0" collapsed="false">
      <c r="B3975" s="9" t="s">
        <v>28</v>
      </c>
      <c r="C3975" s="9" t="n">
        <v>1197831</v>
      </c>
      <c r="D3975" s="10" t="n">
        <v>44044</v>
      </c>
      <c r="E3975" s="9" t="s">
        <v>29</v>
      </c>
      <c r="F3975" s="9" t="s">
        <v>30</v>
      </c>
      <c r="G3975" s="9" t="s">
        <v>31</v>
      </c>
      <c r="H3975" s="11" t="s">
        <v>21</v>
      </c>
      <c r="I3975" s="12" t="n">
        <v>39</v>
      </c>
      <c r="J3975" s="13" t="n">
        <v>236</v>
      </c>
      <c r="K3975" s="14" t="n">
        <f aca="false">I3975*J3975</f>
        <v>9204</v>
      </c>
      <c r="L3975" s="14" t="n">
        <f aca="false">($L$2*M3975)/100</f>
        <v>540749.925</v>
      </c>
      <c r="M3975" s="15" t="n">
        <v>0.45</v>
      </c>
      <c r="N3975" s="9" t="s">
        <v>85</v>
      </c>
    </row>
    <row r="3976" customFormat="false" ht="14.25" hidden="false" customHeight="true" outlineLevel="0" collapsed="false">
      <c r="B3976" s="9" t="s">
        <v>28</v>
      </c>
      <c r="C3976" s="9" t="n">
        <v>1197831</v>
      </c>
      <c r="D3976" s="10" t="n">
        <v>44045</v>
      </c>
      <c r="E3976" s="9" t="s">
        <v>29</v>
      </c>
      <c r="F3976" s="9" t="s">
        <v>30</v>
      </c>
      <c r="G3976" s="9" t="s">
        <v>31</v>
      </c>
      <c r="H3976" s="11" t="s">
        <v>22</v>
      </c>
      <c r="I3976" s="12" t="n">
        <v>32</v>
      </c>
      <c r="J3976" s="13" t="n">
        <v>182</v>
      </c>
      <c r="K3976" s="14" t="n">
        <f aca="false">I3976*J3976</f>
        <v>5824</v>
      </c>
      <c r="L3976" s="14" t="n">
        <f aca="false">($L$2*M3976)/100</f>
        <v>588816.585</v>
      </c>
      <c r="M3976" s="15" t="n">
        <v>0.49</v>
      </c>
      <c r="N3976" s="9" t="s">
        <v>85</v>
      </c>
    </row>
    <row r="3977" customFormat="false" ht="14.25" hidden="false" customHeight="true" outlineLevel="0" collapsed="false">
      <c r="B3977" s="9" t="s">
        <v>28</v>
      </c>
      <c r="C3977" s="9" t="n">
        <v>1197831</v>
      </c>
      <c r="D3977" s="10" t="n">
        <v>44046</v>
      </c>
      <c r="E3977" s="9" t="s">
        <v>29</v>
      </c>
      <c r="F3977" s="9" t="s">
        <v>30</v>
      </c>
      <c r="G3977" s="9" t="s">
        <v>31</v>
      </c>
      <c r="H3977" s="11" t="s">
        <v>23</v>
      </c>
      <c r="I3977" s="12" t="n">
        <v>37</v>
      </c>
      <c r="J3977" s="13" t="n">
        <v>174</v>
      </c>
      <c r="K3977" s="14" t="n">
        <f aca="false">I3977*J3977</f>
        <v>6438</v>
      </c>
      <c r="L3977" s="14" t="n">
        <f aca="false">($L$2*M3977)/100</f>
        <v>696966.57</v>
      </c>
      <c r="M3977" s="15" t="n">
        <v>0.58</v>
      </c>
      <c r="N3977" s="9" t="s">
        <v>85</v>
      </c>
    </row>
    <row r="3978" customFormat="false" ht="14.25" hidden="false" customHeight="true" outlineLevel="0" collapsed="false">
      <c r="B3978" s="9" t="s">
        <v>28</v>
      </c>
      <c r="C3978" s="9" t="n">
        <v>1197831</v>
      </c>
      <c r="D3978" s="10" t="n">
        <v>44047</v>
      </c>
      <c r="E3978" s="9" t="s">
        <v>29</v>
      </c>
      <c r="F3978" s="9" t="s">
        <v>30</v>
      </c>
      <c r="G3978" s="9" t="s">
        <v>31</v>
      </c>
      <c r="H3978" s="11" t="s">
        <v>24</v>
      </c>
      <c r="I3978" s="12" t="n">
        <v>41</v>
      </c>
      <c r="J3978" s="13" t="n">
        <v>125</v>
      </c>
      <c r="K3978" s="14" t="n">
        <f aca="false">I3978*J3978</f>
        <v>5125</v>
      </c>
      <c r="L3978" s="14" t="n">
        <f aca="false">($L$2*M3978)/100</f>
        <v>480666.6</v>
      </c>
      <c r="M3978" s="15" t="n">
        <v>0.4</v>
      </c>
      <c r="N3978" s="9" t="s">
        <v>85</v>
      </c>
    </row>
    <row r="3979" customFormat="false" ht="14.25" hidden="false" customHeight="true" outlineLevel="0" collapsed="false">
      <c r="B3979" s="9" t="s">
        <v>28</v>
      </c>
      <c r="C3979" s="9" t="n">
        <v>1197831</v>
      </c>
      <c r="D3979" s="10" t="n">
        <v>44048</v>
      </c>
      <c r="E3979" s="9" t="s">
        <v>29</v>
      </c>
      <c r="F3979" s="9" t="s">
        <v>30</v>
      </c>
      <c r="G3979" s="9" t="s">
        <v>31</v>
      </c>
      <c r="H3979" s="11" t="s">
        <v>25</v>
      </c>
      <c r="I3979" s="12" t="n">
        <v>39</v>
      </c>
      <c r="J3979" s="13" t="n">
        <v>189</v>
      </c>
      <c r="K3979" s="14" t="n">
        <f aca="false">I3979*J3979</f>
        <v>7371</v>
      </c>
      <c r="L3979" s="14" t="n">
        <f aca="false">($L$2*M3979)/100</f>
        <v>720999.9</v>
      </c>
      <c r="M3979" s="15" t="n">
        <v>0.6</v>
      </c>
      <c r="N3979" s="9" t="s">
        <v>85</v>
      </c>
    </row>
    <row r="3980" customFormat="false" ht="14.25" hidden="false" customHeight="true" outlineLevel="0" collapsed="false">
      <c r="B3980" s="9" t="s">
        <v>28</v>
      </c>
      <c r="C3980" s="9" t="n">
        <v>1197831</v>
      </c>
      <c r="D3980" s="10" t="n">
        <v>44049</v>
      </c>
      <c r="E3980" s="9" t="s">
        <v>29</v>
      </c>
      <c r="F3980" s="9" t="s">
        <v>30</v>
      </c>
      <c r="G3980" s="9" t="s">
        <v>31</v>
      </c>
      <c r="H3980" s="11" t="s">
        <v>19</v>
      </c>
      <c r="I3980" s="12" t="n">
        <v>27</v>
      </c>
      <c r="J3980" s="13" t="n">
        <v>234</v>
      </c>
      <c r="K3980" s="14" t="n">
        <f aca="false">I3980*J3980</f>
        <v>6318</v>
      </c>
      <c r="L3980" s="14" t="n">
        <f aca="false">($L$2*M3980)/100</f>
        <v>576799.92</v>
      </c>
      <c r="M3980" s="15" t="n">
        <v>0.48</v>
      </c>
      <c r="N3980" s="9" t="s">
        <v>85</v>
      </c>
    </row>
    <row r="3981" customFormat="false" ht="14.25" hidden="false" customHeight="true" outlineLevel="0" collapsed="false">
      <c r="B3981" s="9" t="s">
        <v>28</v>
      </c>
      <c r="C3981" s="9" t="n">
        <v>1197831</v>
      </c>
      <c r="D3981" s="10" t="n">
        <v>44050</v>
      </c>
      <c r="E3981" s="9" t="s">
        <v>29</v>
      </c>
      <c r="F3981" s="9" t="s">
        <v>30</v>
      </c>
      <c r="G3981" s="9" t="s">
        <v>31</v>
      </c>
      <c r="H3981" s="11" t="s">
        <v>21</v>
      </c>
      <c r="I3981" s="12" t="n">
        <v>38</v>
      </c>
      <c r="J3981" s="13" t="n">
        <v>225</v>
      </c>
      <c r="K3981" s="14" t="n">
        <f aca="false">I3981*J3981</f>
        <v>8550</v>
      </c>
      <c r="L3981" s="14" t="n">
        <f aca="false">($L$2*M3981)/100</f>
        <v>540749.925</v>
      </c>
      <c r="M3981" s="15" t="n">
        <v>0.45</v>
      </c>
      <c r="N3981" s="9" t="s">
        <v>85</v>
      </c>
    </row>
    <row r="3982" customFormat="false" ht="14.25" hidden="false" customHeight="true" outlineLevel="0" collapsed="false">
      <c r="B3982" s="9" t="s">
        <v>28</v>
      </c>
      <c r="C3982" s="9" t="n">
        <v>1197831</v>
      </c>
      <c r="D3982" s="10" t="n">
        <v>44051</v>
      </c>
      <c r="E3982" s="9" t="s">
        <v>29</v>
      </c>
      <c r="F3982" s="9" t="s">
        <v>30</v>
      </c>
      <c r="G3982" s="9" t="s">
        <v>31</v>
      </c>
      <c r="H3982" s="11" t="s">
        <v>22</v>
      </c>
      <c r="I3982" s="12" t="n">
        <v>34</v>
      </c>
      <c r="J3982" s="13" t="n">
        <v>203</v>
      </c>
      <c r="K3982" s="14" t="n">
        <f aca="false">I3982*J3982</f>
        <v>6902</v>
      </c>
      <c r="L3982" s="14" t="n">
        <f aca="false">($L$2*M3982)/100</f>
        <v>552766.59</v>
      </c>
      <c r="M3982" s="15" t="n">
        <v>0.46</v>
      </c>
      <c r="N3982" s="9" t="s">
        <v>85</v>
      </c>
    </row>
    <row r="3983" customFormat="false" ht="14.25" hidden="false" customHeight="true" outlineLevel="0" collapsed="false">
      <c r="B3983" s="9" t="s">
        <v>28</v>
      </c>
      <c r="C3983" s="9" t="n">
        <v>1197831</v>
      </c>
      <c r="D3983" s="10" t="n">
        <v>44052</v>
      </c>
      <c r="E3983" s="9" t="s">
        <v>29</v>
      </c>
      <c r="F3983" s="9" t="s">
        <v>30</v>
      </c>
      <c r="G3983" s="9" t="s">
        <v>31</v>
      </c>
      <c r="H3983" s="11" t="s">
        <v>23</v>
      </c>
      <c r="I3983" s="12" t="n">
        <v>36</v>
      </c>
      <c r="J3983" s="13" t="n">
        <v>163</v>
      </c>
      <c r="K3983" s="14" t="n">
        <f aca="false">I3983*J3983</f>
        <v>5868</v>
      </c>
      <c r="L3983" s="14" t="n">
        <f aca="false">($L$2*M3983)/100</f>
        <v>708983.235</v>
      </c>
      <c r="M3983" s="15" t="n">
        <v>0.59</v>
      </c>
      <c r="N3983" s="9" t="s">
        <v>85</v>
      </c>
    </row>
    <row r="3984" customFormat="false" ht="14.25" hidden="false" customHeight="true" outlineLevel="0" collapsed="false">
      <c r="B3984" s="9" t="s">
        <v>27</v>
      </c>
      <c r="C3984" s="9" t="n">
        <v>1197831</v>
      </c>
      <c r="D3984" s="10" t="n">
        <v>44053</v>
      </c>
      <c r="E3984" s="9" t="s">
        <v>29</v>
      </c>
      <c r="F3984" s="9" t="s">
        <v>30</v>
      </c>
      <c r="G3984" s="9" t="s">
        <v>31</v>
      </c>
      <c r="H3984" s="11" t="s">
        <v>24</v>
      </c>
      <c r="I3984" s="12" t="n">
        <v>42</v>
      </c>
      <c r="J3984" s="13" t="n">
        <v>147</v>
      </c>
      <c r="K3984" s="14" t="n">
        <f aca="false">I3984*J3984</f>
        <v>6174</v>
      </c>
      <c r="L3984" s="14" t="n">
        <f aca="false">($L$2*M3984)/100</f>
        <v>504699.93</v>
      </c>
      <c r="M3984" s="15" t="n">
        <v>0.42</v>
      </c>
      <c r="N3984" s="9" t="s">
        <v>85</v>
      </c>
    </row>
    <row r="3985" customFormat="false" ht="14.25" hidden="false" customHeight="true" outlineLevel="0" collapsed="false">
      <c r="B3985" s="9" t="s">
        <v>27</v>
      </c>
      <c r="C3985" s="9" t="n">
        <v>1197831</v>
      </c>
      <c r="D3985" s="10" t="n">
        <v>44054</v>
      </c>
      <c r="E3985" s="9" t="s">
        <v>29</v>
      </c>
      <c r="F3985" s="9" t="s">
        <v>30</v>
      </c>
      <c r="G3985" s="9" t="s">
        <v>31</v>
      </c>
      <c r="H3985" s="11" t="s">
        <v>25</v>
      </c>
      <c r="I3985" s="12" t="n">
        <v>39</v>
      </c>
      <c r="J3985" s="13" t="n">
        <v>232</v>
      </c>
      <c r="K3985" s="14" t="n">
        <f aca="false">I3985*J3985</f>
        <v>9048</v>
      </c>
      <c r="L3985" s="14" t="n">
        <f aca="false">($L$2*M3985)/100</f>
        <v>733016.565</v>
      </c>
      <c r="M3985" s="15" t="n">
        <v>0.61</v>
      </c>
      <c r="N3985" s="9" t="s">
        <v>85</v>
      </c>
    </row>
    <row r="3986" customFormat="false" ht="14.25" hidden="false" customHeight="true" outlineLevel="0" collapsed="false">
      <c r="B3986" s="9" t="s">
        <v>27</v>
      </c>
      <c r="C3986" s="9" t="n">
        <v>1197831</v>
      </c>
      <c r="D3986" s="10" t="n">
        <v>44055</v>
      </c>
      <c r="E3986" s="9" t="s">
        <v>29</v>
      </c>
      <c r="F3986" s="9" t="s">
        <v>30</v>
      </c>
      <c r="G3986" s="9" t="s">
        <v>31</v>
      </c>
      <c r="H3986" s="11" t="s">
        <v>19</v>
      </c>
      <c r="I3986" s="12" t="n">
        <v>29</v>
      </c>
      <c r="J3986" s="13" t="n">
        <v>268</v>
      </c>
      <c r="K3986" s="14" t="n">
        <f aca="false">I3986*J3986</f>
        <v>7772</v>
      </c>
      <c r="L3986" s="14" t="n">
        <f aca="false">($L$2*M3986)/100</f>
        <v>576799.92</v>
      </c>
      <c r="M3986" s="15" t="n">
        <v>0.48</v>
      </c>
      <c r="N3986" s="9" t="s">
        <v>85</v>
      </c>
    </row>
    <row r="3987" customFormat="false" ht="14.25" hidden="false" customHeight="true" outlineLevel="0" collapsed="false">
      <c r="B3987" s="9" t="s">
        <v>27</v>
      </c>
      <c r="C3987" s="9" t="n">
        <v>1197831</v>
      </c>
      <c r="D3987" s="10" t="n">
        <v>44056</v>
      </c>
      <c r="E3987" s="9" t="s">
        <v>29</v>
      </c>
      <c r="F3987" s="9" t="s">
        <v>30</v>
      </c>
      <c r="G3987" s="9" t="s">
        <v>31</v>
      </c>
      <c r="H3987" s="11" t="s">
        <v>21</v>
      </c>
      <c r="I3987" s="12" t="n">
        <v>38</v>
      </c>
      <c r="J3987" s="13" t="n">
        <v>259</v>
      </c>
      <c r="K3987" s="14" t="n">
        <f aca="false">I3987*J3987</f>
        <v>9842</v>
      </c>
      <c r="L3987" s="14" t="n">
        <f aca="false">($L$2*M3987)/100</f>
        <v>552766.59</v>
      </c>
      <c r="M3987" s="15" t="n">
        <v>0.46</v>
      </c>
      <c r="N3987" s="9" t="s">
        <v>85</v>
      </c>
    </row>
    <row r="3988" customFormat="false" ht="14.25" hidden="false" customHeight="true" outlineLevel="0" collapsed="false">
      <c r="B3988" s="9" t="s">
        <v>27</v>
      </c>
      <c r="C3988" s="9" t="n">
        <v>1197831</v>
      </c>
      <c r="D3988" s="10" t="n">
        <v>44057</v>
      </c>
      <c r="E3988" s="9" t="s">
        <v>29</v>
      </c>
      <c r="F3988" s="9" t="s">
        <v>30</v>
      </c>
      <c r="G3988" s="9" t="s">
        <v>31</v>
      </c>
      <c r="H3988" s="11" t="s">
        <v>22</v>
      </c>
      <c r="I3988" s="12" t="n">
        <v>33</v>
      </c>
      <c r="J3988" s="13" t="n">
        <v>225</v>
      </c>
      <c r="K3988" s="14" t="n">
        <f aca="false">I3988*J3988</f>
        <v>7425</v>
      </c>
      <c r="L3988" s="14" t="n">
        <f aca="false">($L$2*M3988)/100</f>
        <v>576799.92</v>
      </c>
      <c r="M3988" s="15" t="n">
        <v>0.48</v>
      </c>
      <c r="N3988" s="9" t="s">
        <v>85</v>
      </c>
    </row>
    <row r="3989" customFormat="false" ht="14.25" hidden="false" customHeight="true" outlineLevel="0" collapsed="false">
      <c r="B3989" s="9" t="s">
        <v>27</v>
      </c>
      <c r="C3989" s="9" t="n">
        <v>1197831</v>
      </c>
      <c r="D3989" s="10" t="n">
        <v>44058</v>
      </c>
      <c r="E3989" s="9" t="s">
        <v>29</v>
      </c>
      <c r="F3989" s="9" t="s">
        <v>30</v>
      </c>
      <c r="G3989" s="9" t="s">
        <v>31</v>
      </c>
      <c r="H3989" s="11" t="s">
        <v>23</v>
      </c>
      <c r="I3989" s="12" t="n">
        <v>39</v>
      </c>
      <c r="J3989" s="13" t="n">
        <v>189</v>
      </c>
      <c r="K3989" s="14" t="n">
        <f aca="false">I3989*J3989</f>
        <v>7371</v>
      </c>
      <c r="L3989" s="14" t="n">
        <f aca="false">($L$2*M3989)/100</f>
        <v>696966.57</v>
      </c>
      <c r="M3989" s="15" t="n">
        <v>0.58</v>
      </c>
      <c r="N3989" s="9" t="s">
        <v>85</v>
      </c>
    </row>
    <row r="3990" customFormat="false" ht="14.25" hidden="false" customHeight="true" outlineLevel="0" collapsed="false">
      <c r="B3990" s="9" t="s">
        <v>27</v>
      </c>
      <c r="C3990" s="9" t="n">
        <v>1197831</v>
      </c>
      <c r="D3990" s="10" t="n">
        <v>44059</v>
      </c>
      <c r="E3990" s="9" t="s">
        <v>29</v>
      </c>
      <c r="F3990" s="9" t="s">
        <v>30</v>
      </c>
      <c r="G3990" s="9" t="s">
        <v>31</v>
      </c>
      <c r="H3990" s="11" t="s">
        <v>24</v>
      </c>
      <c r="I3990" s="12" t="n">
        <v>42</v>
      </c>
      <c r="J3990" s="13" t="n">
        <v>168</v>
      </c>
      <c r="K3990" s="14" t="n">
        <f aca="false">I3990*J3990</f>
        <v>7056</v>
      </c>
      <c r="L3990" s="14" t="n">
        <f aca="false">($L$2*M3990)/100</f>
        <v>480666.6</v>
      </c>
      <c r="M3990" s="15" t="n">
        <v>0.4</v>
      </c>
      <c r="N3990" s="9" t="s">
        <v>85</v>
      </c>
    </row>
    <row r="3991" customFormat="false" ht="14.25" hidden="false" customHeight="true" outlineLevel="0" collapsed="false">
      <c r="B3991" s="9" t="s">
        <v>27</v>
      </c>
      <c r="C3991" s="9" t="n">
        <v>1197831</v>
      </c>
      <c r="D3991" s="10" t="n">
        <v>44060</v>
      </c>
      <c r="E3991" s="9" t="s">
        <v>29</v>
      </c>
      <c r="F3991" s="9" t="s">
        <v>30</v>
      </c>
      <c r="G3991" s="9" t="s">
        <v>31</v>
      </c>
      <c r="H3991" s="11" t="s">
        <v>25</v>
      </c>
      <c r="I3991" s="12" t="n">
        <v>37</v>
      </c>
      <c r="J3991" s="13" t="n">
        <v>276</v>
      </c>
      <c r="K3991" s="14" t="n">
        <f aca="false">I3991*J3991</f>
        <v>10212</v>
      </c>
      <c r="L3991" s="14" t="n">
        <f aca="false">($L$2*M3991)/100</f>
        <v>757049.895</v>
      </c>
      <c r="M3991" s="15" t="n">
        <v>0.63</v>
      </c>
      <c r="N3991" s="9" t="s">
        <v>85</v>
      </c>
    </row>
    <row r="3992" customFormat="false" ht="14.25" hidden="false" customHeight="true" outlineLevel="0" collapsed="false">
      <c r="B3992" s="9" t="s">
        <v>27</v>
      </c>
      <c r="C3992" s="9" t="n">
        <v>1197831</v>
      </c>
      <c r="D3992" s="10" t="n">
        <v>44061</v>
      </c>
      <c r="E3992" s="9" t="s">
        <v>29</v>
      </c>
      <c r="F3992" s="9" t="s">
        <v>30</v>
      </c>
      <c r="G3992" s="9" t="s">
        <v>31</v>
      </c>
      <c r="H3992" s="11" t="s">
        <v>19</v>
      </c>
      <c r="I3992" s="12" t="n">
        <v>39</v>
      </c>
      <c r="J3992" s="13" t="n">
        <v>238</v>
      </c>
      <c r="K3992" s="14" t="n">
        <f aca="false">I3992*J3992</f>
        <v>9282</v>
      </c>
      <c r="L3992" s="14" t="n">
        <f aca="false">($L$2*M3992)/100</f>
        <v>564783.255</v>
      </c>
      <c r="M3992" s="15" t="n">
        <v>0.47</v>
      </c>
      <c r="N3992" s="9" t="s">
        <v>85</v>
      </c>
    </row>
    <row r="3993" customFormat="false" ht="14.25" hidden="false" customHeight="true" outlineLevel="0" collapsed="false">
      <c r="B3993" s="9" t="s">
        <v>27</v>
      </c>
      <c r="C3993" s="9" t="n">
        <v>1197831</v>
      </c>
      <c r="D3993" s="10" t="n">
        <v>44062</v>
      </c>
      <c r="E3993" s="9" t="s">
        <v>29</v>
      </c>
      <c r="F3993" s="9" t="s">
        <v>30</v>
      </c>
      <c r="G3993" s="9" t="s">
        <v>31</v>
      </c>
      <c r="H3993" s="11" t="s">
        <v>21</v>
      </c>
      <c r="I3993" s="12" t="n">
        <v>42</v>
      </c>
      <c r="J3993" s="13" t="n">
        <v>238</v>
      </c>
      <c r="K3993" s="14" t="n">
        <f aca="false">I3993*J3993</f>
        <v>9996</v>
      </c>
      <c r="L3993" s="14" t="n">
        <f aca="false">($L$2*M3993)/100</f>
        <v>540749.925</v>
      </c>
      <c r="M3993" s="15" t="n">
        <v>0.45</v>
      </c>
      <c r="N3993" s="9" t="s">
        <v>85</v>
      </c>
    </row>
    <row r="3994" customFormat="false" ht="14.25" hidden="false" customHeight="true" outlineLevel="0" collapsed="false">
      <c r="B3994" s="9" t="s">
        <v>27</v>
      </c>
      <c r="C3994" s="9" t="n">
        <v>1197831</v>
      </c>
      <c r="D3994" s="10" t="n">
        <v>44063</v>
      </c>
      <c r="E3994" s="9" t="s">
        <v>29</v>
      </c>
      <c r="F3994" s="9" t="s">
        <v>30</v>
      </c>
      <c r="G3994" s="9" t="s">
        <v>31</v>
      </c>
      <c r="H3994" s="11" t="s">
        <v>22</v>
      </c>
      <c r="I3994" s="12" t="n">
        <v>37</v>
      </c>
      <c r="J3994" s="13" t="n">
        <v>232</v>
      </c>
      <c r="K3994" s="14" t="n">
        <f aca="false">I3994*J3994</f>
        <v>8584</v>
      </c>
      <c r="L3994" s="14" t="n">
        <f aca="false">($L$2*M3994)/100</f>
        <v>588816.585</v>
      </c>
      <c r="M3994" s="15" t="n">
        <v>0.49</v>
      </c>
      <c r="N3994" s="9" t="s">
        <v>85</v>
      </c>
    </row>
    <row r="3995" customFormat="false" ht="14.25" hidden="false" customHeight="true" outlineLevel="0" collapsed="false">
      <c r="B3995" s="9" t="s">
        <v>27</v>
      </c>
      <c r="C3995" s="9" t="n">
        <v>1197831</v>
      </c>
      <c r="D3995" s="10" t="n">
        <v>44064</v>
      </c>
      <c r="E3995" s="9" t="s">
        <v>29</v>
      </c>
      <c r="F3995" s="9" t="s">
        <v>30</v>
      </c>
      <c r="G3995" s="9" t="s">
        <v>31</v>
      </c>
      <c r="H3995" s="11" t="s">
        <v>23</v>
      </c>
      <c r="I3995" s="12" t="n">
        <v>38</v>
      </c>
      <c r="J3995" s="13" t="n">
        <v>203</v>
      </c>
      <c r="K3995" s="14" t="n">
        <f aca="false">I3995*J3995</f>
        <v>7714</v>
      </c>
      <c r="L3995" s="14" t="n">
        <f aca="false">($L$2*M3995)/100</f>
        <v>684949.905</v>
      </c>
      <c r="M3995" s="15" t="n">
        <v>0.57</v>
      </c>
      <c r="N3995" s="9" t="s">
        <v>85</v>
      </c>
    </row>
    <row r="3996" customFormat="false" ht="14.25" hidden="false" customHeight="true" outlineLevel="0" collapsed="false">
      <c r="B3996" s="9" t="s">
        <v>27</v>
      </c>
      <c r="C3996" s="9" t="n">
        <v>1197831</v>
      </c>
      <c r="D3996" s="10" t="n">
        <v>44065</v>
      </c>
      <c r="E3996" s="9" t="s">
        <v>29</v>
      </c>
      <c r="F3996" s="9" t="s">
        <v>30</v>
      </c>
      <c r="G3996" s="9" t="s">
        <v>31</v>
      </c>
      <c r="H3996" s="11" t="s">
        <v>24</v>
      </c>
      <c r="I3996" s="12" t="n">
        <v>41</v>
      </c>
      <c r="J3996" s="13" t="n">
        <v>169</v>
      </c>
      <c r="K3996" s="14" t="n">
        <f aca="false">I3996*J3996</f>
        <v>6929</v>
      </c>
      <c r="L3996" s="14" t="n">
        <f aca="false">($L$2*M3996)/100</f>
        <v>540749.925</v>
      </c>
      <c r="M3996" s="15" t="n">
        <v>0.45</v>
      </c>
      <c r="N3996" s="9" t="s">
        <v>85</v>
      </c>
    </row>
    <row r="3997" customFormat="false" ht="14.25" hidden="false" customHeight="true" outlineLevel="0" collapsed="false">
      <c r="B3997" s="9" t="s">
        <v>27</v>
      </c>
      <c r="C3997" s="9" t="n">
        <v>1197831</v>
      </c>
      <c r="D3997" s="10" t="n">
        <v>44066</v>
      </c>
      <c r="E3997" s="9" t="s">
        <v>29</v>
      </c>
      <c r="F3997" s="9" t="s">
        <v>30</v>
      </c>
      <c r="G3997" s="9" t="s">
        <v>31</v>
      </c>
      <c r="H3997" s="11" t="s">
        <v>25</v>
      </c>
      <c r="I3997" s="12" t="n">
        <v>47</v>
      </c>
      <c r="J3997" s="13" t="n">
        <v>250</v>
      </c>
      <c r="K3997" s="14" t="n">
        <f aca="false">I3997*J3997</f>
        <v>11750</v>
      </c>
      <c r="L3997" s="14" t="n">
        <f aca="false">($L$2*M3997)/100</f>
        <v>769066.56</v>
      </c>
      <c r="M3997" s="15" t="n">
        <v>0.64</v>
      </c>
      <c r="N3997" s="9" t="s">
        <v>85</v>
      </c>
    </row>
    <row r="3998" customFormat="false" ht="14.25" hidden="false" customHeight="true" outlineLevel="0" collapsed="false">
      <c r="B3998" s="9" t="s">
        <v>27</v>
      </c>
      <c r="C3998" s="9" t="n">
        <v>1197831</v>
      </c>
      <c r="D3998" s="10" t="n">
        <v>44067</v>
      </c>
      <c r="E3998" s="9" t="s">
        <v>29</v>
      </c>
      <c r="F3998" s="9" t="s">
        <v>30</v>
      </c>
      <c r="G3998" s="9" t="s">
        <v>31</v>
      </c>
      <c r="H3998" s="11" t="s">
        <v>19</v>
      </c>
      <c r="I3998" s="12" t="n">
        <v>37</v>
      </c>
      <c r="J3998" s="13" t="n">
        <v>238</v>
      </c>
      <c r="K3998" s="14" t="n">
        <f aca="false">I3998*J3998</f>
        <v>8806</v>
      </c>
      <c r="L3998" s="14" t="n">
        <f aca="false">($L$2*M3998)/100</f>
        <v>540749.925</v>
      </c>
      <c r="M3998" s="15" t="n">
        <v>0.45</v>
      </c>
      <c r="N3998" s="9" t="s">
        <v>85</v>
      </c>
    </row>
    <row r="3999" customFormat="false" ht="14.25" hidden="false" customHeight="true" outlineLevel="0" collapsed="false">
      <c r="B3999" s="9" t="s">
        <v>27</v>
      </c>
      <c r="C3999" s="9" t="n">
        <v>1197831</v>
      </c>
      <c r="D3999" s="10" t="n">
        <v>44068</v>
      </c>
      <c r="E3999" s="9" t="s">
        <v>29</v>
      </c>
      <c r="F3999" s="9" t="s">
        <v>30</v>
      </c>
      <c r="G3999" s="9" t="s">
        <v>31</v>
      </c>
      <c r="H3999" s="11" t="s">
        <v>21</v>
      </c>
      <c r="I3999" s="12" t="n">
        <v>42</v>
      </c>
      <c r="J3999" s="13" t="n">
        <v>238</v>
      </c>
      <c r="K3999" s="14" t="n">
        <f aca="false">I3999*J3999</f>
        <v>9996</v>
      </c>
      <c r="L3999" s="14" t="n">
        <f aca="false">($L$2*M3999)/100</f>
        <v>552766.59</v>
      </c>
      <c r="M3999" s="15" t="n">
        <v>0.46</v>
      </c>
      <c r="N3999" s="9" t="s">
        <v>85</v>
      </c>
    </row>
    <row r="4000" customFormat="false" ht="14.25" hidden="false" customHeight="true" outlineLevel="0" collapsed="false">
      <c r="B4000" s="9" t="s">
        <v>27</v>
      </c>
      <c r="C4000" s="9" t="n">
        <v>1197831</v>
      </c>
      <c r="D4000" s="10" t="n">
        <v>44069</v>
      </c>
      <c r="E4000" s="9" t="s">
        <v>29</v>
      </c>
      <c r="F4000" s="9" t="s">
        <v>30</v>
      </c>
      <c r="G4000" s="9" t="s">
        <v>31</v>
      </c>
      <c r="H4000" s="11" t="s">
        <v>22</v>
      </c>
      <c r="I4000" s="12" t="n">
        <v>37</v>
      </c>
      <c r="J4000" s="13" t="n">
        <v>319</v>
      </c>
      <c r="K4000" s="14" t="n">
        <f aca="false">I4000*J4000</f>
        <v>11803</v>
      </c>
      <c r="L4000" s="14" t="n">
        <f aca="false">($L$2*M4000)/100</f>
        <v>540749.925</v>
      </c>
      <c r="M4000" s="15" t="n">
        <v>0.45</v>
      </c>
      <c r="N4000" s="9" t="s">
        <v>85</v>
      </c>
    </row>
    <row r="4001" customFormat="false" ht="14.25" hidden="false" customHeight="true" outlineLevel="0" collapsed="false">
      <c r="B4001" s="9" t="s">
        <v>27</v>
      </c>
      <c r="C4001" s="9" t="n">
        <v>1197831</v>
      </c>
      <c r="D4001" s="10" t="n">
        <v>44070</v>
      </c>
      <c r="E4001" s="9" t="s">
        <v>29</v>
      </c>
      <c r="F4001" s="9" t="s">
        <v>30</v>
      </c>
      <c r="G4001" s="9" t="s">
        <v>31</v>
      </c>
      <c r="H4001" s="11" t="s">
        <v>23</v>
      </c>
      <c r="I4001" s="12" t="n">
        <v>36</v>
      </c>
      <c r="J4001" s="13" t="n">
        <v>210</v>
      </c>
      <c r="K4001" s="14" t="n">
        <f aca="false">I4001*J4001</f>
        <v>7560</v>
      </c>
      <c r="L4001" s="14" t="n">
        <f aca="false">($L$2*M4001)/100</f>
        <v>720999.9</v>
      </c>
      <c r="M4001" s="15" t="n">
        <v>0.6</v>
      </c>
      <c r="N4001" s="9" t="s">
        <v>85</v>
      </c>
    </row>
    <row r="4002" customFormat="false" ht="14.25" hidden="false" customHeight="true" outlineLevel="0" collapsed="false">
      <c r="B4002" s="9" t="s">
        <v>27</v>
      </c>
      <c r="C4002" s="9" t="n">
        <v>1197831</v>
      </c>
      <c r="D4002" s="10" t="n">
        <v>44071</v>
      </c>
      <c r="E4002" s="9" t="s">
        <v>29</v>
      </c>
      <c r="F4002" s="9" t="s">
        <v>30</v>
      </c>
      <c r="G4002" s="9" t="s">
        <v>31</v>
      </c>
      <c r="H4002" s="11" t="s">
        <v>24</v>
      </c>
      <c r="I4002" s="12" t="n">
        <v>41</v>
      </c>
      <c r="J4002" s="13" t="n">
        <v>196</v>
      </c>
      <c r="K4002" s="14" t="n">
        <f aca="false">I4002*J4002</f>
        <v>8036</v>
      </c>
      <c r="L4002" s="14" t="n">
        <f aca="false">($L$2*M4002)/100</f>
        <v>480666.6</v>
      </c>
      <c r="M4002" s="15" t="n">
        <v>0.4</v>
      </c>
      <c r="N4002" s="9" t="s">
        <v>85</v>
      </c>
    </row>
    <row r="4003" customFormat="false" ht="14.25" hidden="false" customHeight="true" outlineLevel="0" collapsed="false">
      <c r="B4003" s="9" t="s">
        <v>27</v>
      </c>
      <c r="C4003" s="9" t="n">
        <v>1197831</v>
      </c>
      <c r="D4003" s="10" t="n">
        <v>44072</v>
      </c>
      <c r="E4003" s="9" t="s">
        <v>29</v>
      </c>
      <c r="F4003" s="9" t="s">
        <v>30</v>
      </c>
      <c r="G4003" s="9" t="s">
        <v>31</v>
      </c>
      <c r="H4003" s="11" t="s">
        <v>25</v>
      </c>
      <c r="I4003" s="12" t="n">
        <v>47</v>
      </c>
      <c r="J4003" s="13" t="n">
        <v>293</v>
      </c>
      <c r="K4003" s="14" t="n">
        <f aca="false">I4003*J4003</f>
        <v>13771</v>
      </c>
      <c r="L4003" s="14" t="n">
        <f aca="false">($L$2*M4003)/100</f>
        <v>757049.895</v>
      </c>
      <c r="M4003" s="15" t="n">
        <v>0.63</v>
      </c>
      <c r="N4003" s="9" t="s">
        <v>85</v>
      </c>
    </row>
    <row r="4004" customFormat="false" ht="14.25" hidden="false" customHeight="true" outlineLevel="0" collapsed="false">
      <c r="B4004" s="9" t="s">
        <v>27</v>
      </c>
      <c r="C4004" s="9" t="n">
        <v>1197831</v>
      </c>
      <c r="D4004" s="10" t="n">
        <v>44073</v>
      </c>
      <c r="E4004" s="9" t="s">
        <v>29</v>
      </c>
      <c r="F4004" s="9" t="s">
        <v>30</v>
      </c>
      <c r="G4004" s="9" t="s">
        <v>31</v>
      </c>
      <c r="H4004" s="11" t="s">
        <v>19</v>
      </c>
      <c r="I4004" s="12" t="n">
        <v>37</v>
      </c>
      <c r="J4004" s="13" t="n">
        <v>268</v>
      </c>
      <c r="K4004" s="14" t="n">
        <f aca="false">I4004*J4004</f>
        <v>9916</v>
      </c>
      <c r="L4004" s="14" t="n">
        <f aca="false">($L$2*M4004)/100</f>
        <v>588816.585</v>
      </c>
      <c r="M4004" s="15" t="n">
        <v>0.49</v>
      </c>
      <c r="N4004" s="9" t="s">
        <v>85</v>
      </c>
    </row>
    <row r="4005" customFormat="false" ht="14.25" hidden="false" customHeight="true" outlineLevel="0" collapsed="false">
      <c r="B4005" s="9" t="s">
        <v>27</v>
      </c>
      <c r="C4005" s="9" t="n">
        <v>1197831</v>
      </c>
      <c r="D4005" s="10" t="n">
        <v>44074</v>
      </c>
      <c r="E4005" s="9" t="s">
        <v>29</v>
      </c>
      <c r="F4005" s="9" t="s">
        <v>30</v>
      </c>
      <c r="G4005" s="9" t="s">
        <v>31</v>
      </c>
      <c r="H4005" s="11" t="s">
        <v>21</v>
      </c>
      <c r="I4005" s="12" t="n">
        <v>41</v>
      </c>
      <c r="J4005" s="13" t="n">
        <v>259</v>
      </c>
      <c r="K4005" s="14" t="n">
        <f aca="false">I4005*J4005</f>
        <v>10619</v>
      </c>
      <c r="L4005" s="14" t="n">
        <f aca="false">($L$2*M4005)/100</f>
        <v>540749.925</v>
      </c>
      <c r="M4005" s="15" t="n">
        <v>0.45</v>
      </c>
      <c r="N4005" s="9" t="s">
        <v>85</v>
      </c>
    </row>
    <row r="4006" customFormat="false" ht="14.25" hidden="false" customHeight="true" outlineLevel="0" collapsed="false">
      <c r="B4006" s="9" t="s">
        <v>27</v>
      </c>
      <c r="C4006" s="9" t="n">
        <v>1197831</v>
      </c>
      <c r="D4006" s="10" t="n">
        <v>44075</v>
      </c>
      <c r="E4006" s="9" t="s">
        <v>29</v>
      </c>
      <c r="F4006" s="9" t="s">
        <v>30</v>
      </c>
      <c r="G4006" s="9" t="s">
        <v>31</v>
      </c>
      <c r="H4006" s="11" t="s">
        <v>22</v>
      </c>
      <c r="I4006" s="12" t="n">
        <v>39</v>
      </c>
      <c r="J4006" s="13" t="n">
        <v>297</v>
      </c>
      <c r="K4006" s="14" t="n">
        <f aca="false">I4006*J4006</f>
        <v>11583</v>
      </c>
      <c r="L4006" s="14" t="n">
        <f aca="false">($L$2*M4006)/100</f>
        <v>552766.59</v>
      </c>
      <c r="M4006" s="15" t="n">
        <v>0.46</v>
      </c>
      <c r="N4006" s="9" t="s">
        <v>85</v>
      </c>
    </row>
    <row r="4007" customFormat="false" ht="14.25" hidden="false" customHeight="true" outlineLevel="0" collapsed="false">
      <c r="B4007" s="9" t="s">
        <v>27</v>
      </c>
      <c r="C4007" s="9" t="n">
        <v>1197831</v>
      </c>
      <c r="D4007" s="10" t="n">
        <v>44076</v>
      </c>
      <c r="E4007" s="9" t="s">
        <v>29</v>
      </c>
      <c r="F4007" s="9" t="s">
        <v>30</v>
      </c>
      <c r="G4007" s="9" t="s">
        <v>31</v>
      </c>
      <c r="H4007" s="11" t="s">
        <v>23</v>
      </c>
      <c r="I4007" s="12" t="n">
        <v>38</v>
      </c>
      <c r="J4007" s="13" t="n">
        <v>189</v>
      </c>
      <c r="K4007" s="14" t="n">
        <f aca="false">I4007*J4007</f>
        <v>7182</v>
      </c>
      <c r="L4007" s="14" t="n">
        <f aca="false">($L$2*M4007)/100</f>
        <v>708983.235</v>
      </c>
      <c r="M4007" s="15" t="n">
        <v>0.59</v>
      </c>
      <c r="N4007" s="9" t="s">
        <v>85</v>
      </c>
    </row>
    <row r="4008" customFormat="false" ht="14.25" hidden="false" customHeight="true" outlineLevel="0" collapsed="false">
      <c r="B4008" s="9" t="s">
        <v>27</v>
      </c>
      <c r="C4008" s="9" t="n">
        <v>1197831</v>
      </c>
      <c r="D4008" s="10" t="n">
        <v>44077</v>
      </c>
      <c r="E4008" s="9" t="s">
        <v>29</v>
      </c>
      <c r="F4008" s="9" t="s">
        <v>30</v>
      </c>
      <c r="G4008" s="9" t="s">
        <v>31</v>
      </c>
      <c r="H4008" s="11" t="s">
        <v>24</v>
      </c>
      <c r="I4008" s="12" t="n">
        <v>41</v>
      </c>
      <c r="J4008" s="13" t="n">
        <v>169</v>
      </c>
      <c r="K4008" s="14" t="n">
        <f aca="false">I4008*J4008</f>
        <v>6929</v>
      </c>
      <c r="L4008" s="14" t="n">
        <f aca="false">($L$2*M4008)/100</f>
        <v>480666.6</v>
      </c>
      <c r="M4008" s="15" t="n">
        <v>0.4</v>
      </c>
      <c r="N4008" s="9" t="s">
        <v>85</v>
      </c>
    </row>
    <row r="4009" customFormat="false" ht="14.25" hidden="false" customHeight="true" outlineLevel="0" collapsed="false">
      <c r="B4009" s="9" t="s">
        <v>27</v>
      </c>
      <c r="C4009" s="9" t="n">
        <v>1197831</v>
      </c>
      <c r="D4009" s="10" t="n">
        <v>44078</v>
      </c>
      <c r="E4009" s="9" t="s">
        <v>29</v>
      </c>
      <c r="F4009" s="9" t="s">
        <v>30</v>
      </c>
      <c r="G4009" s="9" t="s">
        <v>31</v>
      </c>
      <c r="H4009" s="11" t="s">
        <v>25</v>
      </c>
      <c r="I4009" s="12" t="n">
        <v>46</v>
      </c>
      <c r="J4009" s="13" t="n">
        <v>225</v>
      </c>
      <c r="K4009" s="14" t="n">
        <f aca="false">I4009*J4009</f>
        <v>10350</v>
      </c>
      <c r="L4009" s="14" t="n">
        <f aca="false">($L$2*M4009)/100</f>
        <v>781083.225</v>
      </c>
      <c r="M4009" s="15" t="n">
        <v>0.65</v>
      </c>
      <c r="N4009" s="9" t="s">
        <v>85</v>
      </c>
    </row>
    <row r="4010" customFormat="false" ht="14.25" hidden="false" customHeight="true" outlineLevel="0" collapsed="false">
      <c r="B4010" s="9" t="s">
        <v>27</v>
      </c>
      <c r="C4010" s="9" t="n">
        <v>1197831</v>
      </c>
      <c r="D4010" s="10" t="n">
        <v>44079</v>
      </c>
      <c r="E4010" s="9" t="s">
        <v>29</v>
      </c>
      <c r="F4010" s="9" t="s">
        <v>30</v>
      </c>
      <c r="G4010" s="9" t="s">
        <v>31</v>
      </c>
      <c r="H4010" s="11" t="s">
        <v>19</v>
      </c>
      <c r="I4010" s="12" t="n">
        <v>44</v>
      </c>
      <c r="J4010" s="13" t="n">
        <v>255</v>
      </c>
      <c r="K4010" s="14" t="n">
        <f aca="false">I4010*J4010</f>
        <v>11220</v>
      </c>
      <c r="L4010" s="14" t="n">
        <f aca="false">($L$2*M4010)/100</f>
        <v>576799.92</v>
      </c>
      <c r="M4010" s="15" t="n">
        <v>0.48</v>
      </c>
      <c r="N4010" s="9" t="s">
        <v>85</v>
      </c>
    </row>
    <row r="4011" customFormat="false" ht="14.25" hidden="false" customHeight="true" outlineLevel="0" collapsed="false">
      <c r="B4011" s="9" t="s">
        <v>27</v>
      </c>
      <c r="C4011" s="9" t="n">
        <v>1197831</v>
      </c>
      <c r="D4011" s="10" t="n">
        <v>44080</v>
      </c>
      <c r="E4011" s="9" t="s">
        <v>29</v>
      </c>
      <c r="F4011" s="9" t="s">
        <v>30</v>
      </c>
      <c r="G4011" s="9" t="s">
        <v>31</v>
      </c>
      <c r="H4011" s="11" t="s">
        <v>21</v>
      </c>
      <c r="I4011" s="12" t="n">
        <v>41</v>
      </c>
      <c r="J4011" s="13" t="n">
        <v>213</v>
      </c>
      <c r="K4011" s="14" t="n">
        <f aca="false">I4011*J4011</f>
        <v>8733</v>
      </c>
      <c r="L4011" s="14" t="n">
        <f aca="false">($L$2*M4011)/100</f>
        <v>552766.59</v>
      </c>
      <c r="M4011" s="15" t="n">
        <v>0.46</v>
      </c>
      <c r="N4011" s="9" t="s">
        <v>85</v>
      </c>
    </row>
    <row r="4012" customFormat="false" ht="14.25" hidden="false" customHeight="true" outlineLevel="0" collapsed="false">
      <c r="B4012" s="9" t="s">
        <v>27</v>
      </c>
      <c r="C4012" s="9" t="n">
        <v>1197831</v>
      </c>
      <c r="D4012" s="10" t="n">
        <v>44081</v>
      </c>
      <c r="E4012" s="9" t="s">
        <v>29</v>
      </c>
      <c r="F4012" s="9" t="s">
        <v>30</v>
      </c>
      <c r="G4012" s="9" t="s">
        <v>31</v>
      </c>
      <c r="H4012" s="11" t="s">
        <v>22</v>
      </c>
      <c r="I4012" s="12" t="n">
        <v>46</v>
      </c>
      <c r="J4012" s="13" t="n">
        <v>234</v>
      </c>
      <c r="K4012" s="14" t="n">
        <f aca="false">I4012*J4012</f>
        <v>10764</v>
      </c>
      <c r="L4012" s="14" t="n">
        <f aca="false">($L$2*M4012)/100</f>
        <v>588816.585</v>
      </c>
      <c r="M4012" s="15" t="n">
        <v>0.49</v>
      </c>
      <c r="N4012" s="9" t="s">
        <v>85</v>
      </c>
    </row>
    <row r="4013" customFormat="false" ht="14.25" hidden="false" customHeight="true" outlineLevel="0" collapsed="false">
      <c r="B4013" s="9" t="s">
        <v>27</v>
      </c>
      <c r="C4013" s="9" t="n">
        <v>1197831</v>
      </c>
      <c r="D4013" s="10" t="n">
        <v>44082</v>
      </c>
      <c r="E4013" s="9" t="s">
        <v>29</v>
      </c>
      <c r="F4013" s="9" t="s">
        <v>30</v>
      </c>
      <c r="G4013" s="9" t="s">
        <v>31</v>
      </c>
      <c r="H4013" s="11" t="s">
        <v>23</v>
      </c>
      <c r="I4013" s="12" t="n">
        <v>47</v>
      </c>
      <c r="J4013" s="13" t="n">
        <v>181</v>
      </c>
      <c r="K4013" s="14" t="n">
        <f aca="false">I4013*J4013</f>
        <v>8507</v>
      </c>
      <c r="L4013" s="14" t="n">
        <f aca="false">($L$2*M4013)/100</f>
        <v>660916.575</v>
      </c>
      <c r="M4013" s="15" t="n">
        <v>0.55</v>
      </c>
      <c r="N4013" s="9" t="s">
        <v>85</v>
      </c>
    </row>
    <row r="4014" customFormat="false" ht="14.25" hidden="false" customHeight="true" outlineLevel="0" collapsed="false">
      <c r="B4014" s="9" t="s">
        <v>27</v>
      </c>
      <c r="C4014" s="9" t="n">
        <v>1197831</v>
      </c>
      <c r="D4014" s="10" t="n">
        <v>44083</v>
      </c>
      <c r="E4014" s="9" t="s">
        <v>29</v>
      </c>
      <c r="F4014" s="9" t="s">
        <v>30</v>
      </c>
      <c r="G4014" s="9" t="s">
        <v>31</v>
      </c>
      <c r="H4014" s="11" t="s">
        <v>24</v>
      </c>
      <c r="I4014" s="12" t="n">
        <v>44</v>
      </c>
      <c r="J4014" s="13" t="n">
        <v>175</v>
      </c>
      <c r="K4014" s="14" t="n">
        <f aca="false">I4014*J4014</f>
        <v>7700</v>
      </c>
      <c r="L4014" s="14" t="n">
        <f aca="false">($L$2*M4014)/100</f>
        <v>516716.595</v>
      </c>
      <c r="M4014" s="15" t="n">
        <v>0.43</v>
      </c>
      <c r="N4014" s="9" t="s">
        <v>85</v>
      </c>
    </row>
    <row r="4015" customFormat="false" ht="14.25" hidden="false" customHeight="true" outlineLevel="0" collapsed="false">
      <c r="B4015" s="9" t="s">
        <v>27</v>
      </c>
      <c r="C4015" s="9" t="n">
        <v>1197831</v>
      </c>
      <c r="D4015" s="10" t="n">
        <v>44084</v>
      </c>
      <c r="E4015" s="9" t="s">
        <v>29</v>
      </c>
      <c r="F4015" s="9" t="s">
        <v>30</v>
      </c>
      <c r="G4015" s="9" t="s">
        <v>31</v>
      </c>
      <c r="H4015" s="11" t="s">
        <v>25</v>
      </c>
      <c r="I4015" s="12" t="n">
        <v>50</v>
      </c>
      <c r="J4015" s="13" t="n">
        <v>213</v>
      </c>
      <c r="K4015" s="14" t="n">
        <f aca="false">I4015*J4015</f>
        <v>10650</v>
      </c>
      <c r="L4015" s="14" t="n">
        <f aca="false">($L$2*M4015)/100</f>
        <v>769066.56</v>
      </c>
      <c r="M4015" s="15" t="n">
        <v>0.64</v>
      </c>
      <c r="N4015" s="9" t="s">
        <v>85</v>
      </c>
    </row>
    <row r="4016" customFormat="false" ht="14.25" hidden="false" customHeight="true" outlineLevel="0" collapsed="false">
      <c r="B4016" s="9" t="s">
        <v>27</v>
      </c>
      <c r="C4016" s="9" t="n">
        <v>1197831</v>
      </c>
      <c r="D4016" s="10" t="n">
        <v>44085</v>
      </c>
      <c r="E4016" s="9" t="s">
        <v>29</v>
      </c>
      <c r="F4016" s="9" t="s">
        <v>30</v>
      </c>
      <c r="G4016" s="9" t="s">
        <v>31</v>
      </c>
      <c r="H4016" s="11" t="s">
        <v>19</v>
      </c>
      <c r="I4016" s="12" t="n">
        <v>44</v>
      </c>
      <c r="J4016" s="13" t="n">
        <v>240</v>
      </c>
      <c r="K4016" s="14" t="n">
        <f aca="false">I4016*J4016</f>
        <v>10560</v>
      </c>
      <c r="L4016" s="14" t="n">
        <f aca="false">($L$2*M4016)/100</f>
        <v>600833.25</v>
      </c>
      <c r="M4016" s="15" t="n">
        <v>0.5</v>
      </c>
      <c r="N4016" s="9" t="s">
        <v>85</v>
      </c>
    </row>
    <row r="4017" customFormat="false" ht="14.25" hidden="false" customHeight="true" outlineLevel="0" collapsed="false">
      <c r="B4017" s="9" t="s">
        <v>27</v>
      </c>
      <c r="C4017" s="9" t="n">
        <v>1197831</v>
      </c>
      <c r="D4017" s="10" t="n">
        <v>44086</v>
      </c>
      <c r="E4017" s="9" t="s">
        <v>29</v>
      </c>
      <c r="F4017" s="9" t="s">
        <v>30</v>
      </c>
      <c r="G4017" s="9" t="s">
        <v>31</v>
      </c>
      <c r="H4017" s="11" t="s">
        <v>21</v>
      </c>
      <c r="I4017" s="12" t="n">
        <v>43</v>
      </c>
      <c r="J4017" s="13" t="n">
        <v>216</v>
      </c>
      <c r="K4017" s="14" t="n">
        <f aca="false">I4017*J4017</f>
        <v>9288</v>
      </c>
      <c r="L4017" s="14" t="n">
        <f aca="false">($L$2*M4017)/100</f>
        <v>564783.255</v>
      </c>
      <c r="M4017" s="15" t="n">
        <v>0.47</v>
      </c>
      <c r="N4017" s="9" t="s">
        <v>85</v>
      </c>
    </row>
    <row r="4018" customFormat="false" ht="14.25" hidden="false" customHeight="true" outlineLevel="0" collapsed="false">
      <c r="B4018" s="9" t="s">
        <v>27</v>
      </c>
      <c r="C4018" s="9" t="n">
        <v>1197831</v>
      </c>
      <c r="D4018" s="10" t="n">
        <v>44087</v>
      </c>
      <c r="E4018" s="9" t="s">
        <v>29</v>
      </c>
      <c r="F4018" s="9" t="s">
        <v>30</v>
      </c>
      <c r="G4018" s="9" t="s">
        <v>31</v>
      </c>
      <c r="H4018" s="11" t="s">
        <v>22</v>
      </c>
      <c r="I4018" s="12" t="n">
        <v>48</v>
      </c>
      <c r="J4018" s="13" t="n">
        <v>188</v>
      </c>
      <c r="K4018" s="14" t="n">
        <f aca="false">I4018*J4018</f>
        <v>9024</v>
      </c>
      <c r="L4018" s="14" t="n">
        <f aca="false">($L$2*M4018)/100</f>
        <v>564783.255</v>
      </c>
      <c r="M4018" s="15" t="n">
        <v>0.47</v>
      </c>
      <c r="N4018" s="9" t="s">
        <v>85</v>
      </c>
    </row>
    <row r="4019" customFormat="false" ht="14.25" hidden="false" customHeight="true" outlineLevel="0" collapsed="false">
      <c r="B4019" s="9" t="s">
        <v>27</v>
      </c>
      <c r="C4019" s="9" t="n">
        <v>1197831</v>
      </c>
      <c r="D4019" s="10" t="n">
        <v>44088</v>
      </c>
      <c r="E4019" s="9" t="s">
        <v>29</v>
      </c>
      <c r="F4019" s="9" t="s">
        <v>30</v>
      </c>
      <c r="G4019" s="9" t="s">
        <v>31</v>
      </c>
      <c r="H4019" s="11" t="s">
        <v>23</v>
      </c>
      <c r="I4019" s="12" t="n">
        <v>45</v>
      </c>
      <c r="J4019" s="13" t="n">
        <v>168</v>
      </c>
      <c r="K4019" s="14" t="n">
        <f aca="false">I4019*J4019</f>
        <v>7560</v>
      </c>
      <c r="L4019" s="14" t="n">
        <f aca="false">($L$2*M4019)/100</f>
        <v>696966.57</v>
      </c>
      <c r="M4019" s="15" t="n">
        <v>0.58</v>
      </c>
      <c r="N4019" s="9" t="s">
        <v>85</v>
      </c>
    </row>
    <row r="4020" customFormat="false" ht="14.25" hidden="false" customHeight="true" outlineLevel="0" collapsed="false">
      <c r="B4020" s="9" t="s">
        <v>27</v>
      </c>
      <c r="C4020" s="9" t="n">
        <v>1197831</v>
      </c>
      <c r="D4020" s="10" t="n">
        <v>44089</v>
      </c>
      <c r="E4020" s="9" t="s">
        <v>29</v>
      </c>
      <c r="F4020" s="9" t="s">
        <v>30</v>
      </c>
      <c r="G4020" s="9" t="s">
        <v>31</v>
      </c>
      <c r="H4020" s="11" t="s">
        <v>24</v>
      </c>
      <c r="I4020" s="12" t="n">
        <v>42</v>
      </c>
      <c r="J4020" s="13" t="n">
        <v>150</v>
      </c>
      <c r="K4020" s="14" t="n">
        <f aca="false">I4020*J4020</f>
        <v>6300</v>
      </c>
      <c r="L4020" s="14" t="n">
        <f aca="false">($L$2*M4020)/100</f>
        <v>492683.265</v>
      </c>
      <c r="M4020" s="15" t="n">
        <v>0.41</v>
      </c>
      <c r="N4020" s="9" t="s">
        <v>85</v>
      </c>
    </row>
    <row r="4021" customFormat="false" ht="14.25" hidden="false" customHeight="true" outlineLevel="0" collapsed="false">
      <c r="B4021" s="9" t="s">
        <v>27</v>
      </c>
      <c r="C4021" s="9" t="n">
        <v>1197831</v>
      </c>
      <c r="D4021" s="10" t="n">
        <v>44090</v>
      </c>
      <c r="E4021" s="9" t="s">
        <v>29</v>
      </c>
      <c r="F4021" s="9" t="s">
        <v>30</v>
      </c>
      <c r="G4021" s="9" t="s">
        <v>31</v>
      </c>
      <c r="H4021" s="11" t="s">
        <v>25</v>
      </c>
      <c r="I4021" s="12" t="n">
        <v>53</v>
      </c>
      <c r="J4021" s="13" t="n">
        <v>210</v>
      </c>
      <c r="K4021" s="14" t="n">
        <f aca="false">I4021*J4021</f>
        <v>11130</v>
      </c>
      <c r="L4021" s="14" t="n">
        <f aca="false">($L$2*M4021)/100</f>
        <v>745033.23</v>
      </c>
      <c r="M4021" s="15" t="n">
        <v>0.62</v>
      </c>
      <c r="N4021" s="9" t="s">
        <v>85</v>
      </c>
    </row>
    <row r="4022" customFormat="false" ht="14.25" hidden="false" customHeight="true" outlineLevel="0" collapsed="false">
      <c r="B4022" s="9" t="s">
        <v>27</v>
      </c>
      <c r="C4022" s="9" t="n">
        <v>1197831</v>
      </c>
      <c r="D4022" s="10" t="n">
        <v>44124</v>
      </c>
      <c r="E4022" s="9" t="s">
        <v>29</v>
      </c>
      <c r="F4022" s="9" t="s">
        <v>30</v>
      </c>
      <c r="G4022" s="9" t="s">
        <v>31</v>
      </c>
      <c r="H4022" s="11" t="s">
        <v>19</v>
      </c>
      <c r="I4022" s="12" t="n">
        <v>43</v>
      </c>
      <c r="J4022" s="13" t="n">
        <v>234</v>
      </c>
      <c r="K4022" s="14" t="n">
        <f aca="false">I4022*J4022</f>
        <v>10062</v>
      </c>
      <c r="L4022" s="14" t="n">
        <f aca="false">($L$2*M4022)/100</f>
        <v>588816.585</v>
      </c>
      <c r="M4022" s="15" t="n">
        <v>0.49</v>
      </c>
      <c r="N4022" s="9" t="s">
        <v>85</v>
      </c>
    </row>
    <row r="4023" customFormat="false" ht="14.25" hidden="false" customHeight="true" outlineLevel="0" collapsed="false">
      <c r="B4023" s="9" t="s">
        <v>27</v>
      </c>
      <c r="C4023" s="9" t="n">
        <v>1197831</v>
      </c>
      <c r="D4023" s="10" t="n">
        <v>44125</v>
      </c>
      <c r="E4023" s="9" t="s">
        <v>29</v>
      </c>
      <c r="F4023" s="9" t="s">
        <v>30</v>
      </c>
      <c r="G4023" s="9" t="s">
        <v>31</v>
      </c>
      <c r="H4023" s="11" t="s">
        <v>21</v>
      </c>
      <c r="I4023" s="12" t="n">
        <v>43</v>
      </c>
      <c r="J4023" s="13" t="n">
        <v>243</v>
      </c>
      <c r="K4023" s="14" t="n">
        <f aca="false">I4023*J4023</f>
        <v>10449</v>
      </c>
      <c r="L4023" s="14" t="n">
        <f aca="false">($L$2*M4023)/100</f>
        <v>588816.585</v>
      </c>
      <c r="M4023" s="15" t="n">
        <v>0.49</v>
      </c>
      <c r="N4023" s="9" t="s">
        <v>85</v>
      </c>
    </row>
    <row r="4024" customFormat="false" ht="14.25" hidden="false" customHeight="true" outlineLevel="0" collapsed="false">
      <c r="B4024" s="9" t="s">
        <v>27</v>
      </c>
      <c r="C4024" s="9" t="n">
        <v>1197831</v>
      </c>
      <c r="D4024" s="10" t="n">
        <v>44126</v>
      </c>
      <c r="E4024" s="9" t="s">
        <v>29</v>
      </c>
      <c r="F4024" s="9" t="s">
        <v>30</v>
      </c>
      <c r="G4024" s="9" t="s">
        <v>31</v>
      </c>
      <c r="H4024" s="11" t="s">
        <v>22</v>
      </c>
      <c r="I4024" s="12" t="n">
        <v>47</v>
      </c>
      <c r="J4024" s="13" t="n">
        <v>206</v>
      </c>
      <c r="K4024" s="14" t="n">
        <f aca="false">I4024*J4024</f>
        <v>9682</v>
      </c>
      <c r="L4024" s="14" t="n">
        <f aca="false">($L$2*M4024)/100</f>
        <v>576799.92</v>
      </c>
      <c r="M4024" s="15" t="n">
        <v>0.48</v>
      </c>
      <c r="N4024" s="9" t="s">
        <v>85</v>
      </c>
    </row>
    <row r="4025" customFormat="false" ht="14.25" hidden="false" customHeight="true" outlineLevel="0" collapsed="false">
      <c r="B4025" s="9" t="s">
        <v>27</v>
      </c>
      <c r="C4025" s="9" t="n">
        <v>1197831</v>
      </c>
      <c r="D4025" s="10" t="n">
        <v>44127</v>
      </c>
      <c r="E4025" s="9" t="s">
        <v>29</v>
      </c>
      <c r="F4025" s="9" t="s">
        <v>30</v>
      </c>
      <c r="G4025" s="9" t="s">
        <v>31</v>
      </c>
      <c r="H4025" s="11" t="s">
        <v>23</v>
      </c>
      <c r="I4025" s="12" t="n">
        <v>48</v>
      </c>
      <c r="J4025" s="13" t="n">
        <v>203</v>
      </c>
      <c r="K4025" s="14" t="n">
        <f aca="false">I4025*J4025</f>
        <v>9744</v>
      </c>
      <c r="L4025" s="14" t="n">
        <f aca="false">($L$2*M4025)/100</f>
        <v>660916.575</v>
      </c>
      <c r="M4025" s="15" t="n">
        <v>0.55</v>
      </c>
      <c r="N4025" s="9" t="s">
        <v>85</v>
      </c>
    </row>
    <row r="4026" customFormat="false" ht="14.25" hidden="false" customHeight="true" outlineLevel="0" collapsed="false">
      <c r="B4026" s="9" t="s">
        <v>27</v>
      </c>
      <c r="C4026" s="9" t="n">
        <v>1197831</v>
      </c>
      <c r="D4026" s="10" t="n">
        <v>44128</v>
      </c>
      <c r="E4026" s="9" t="s">
        <v>29</v>
      </c>
      <c r="F4026" s="9" t="s">
        <v>30</v>
      </c>
      <c r="G4026" s="9" t="s">
        <v>31</v>
      </c>
      <c r="H4026" s="11" t="s">
        <v>24</v>
      </c>
      <c r="I4026" s="12" t="n">
        <v>42</v>
      </c>
      <c r="J4026" s="13" t="n">
        <v>195</v>
      </c>
      <c r="K4026" s="14" t="n">
        <f aca="false">I4026*J4026</f>
        <v>8190</v>
      </c>
      <c r="L4026" s="14" t="n">
        <f aca="false">($L$2*M4026)/100</f>
        <v>540749.925</v>
      </c>
      <c r="M4026" s="15" t="n">
        <v>0.45</v>
      </c>
      <c r="N4026" s="9" t="s">
        <v>85</v>
      </c>
    </row>
    <row r="4027" customFormat="false" ht="14.25" hidden="false" customHeight="true" outlineLevel="0" collapsed="false">
      <c r="B4027" s="9" t="s">
        <v>27</v>
      </c>
      <c r="C4027" s="9" t="n">
        <v>1197831</v>
      </c>
      <c r="D4027" s="10" t="n">
        <v>44129</v>
      </c>
      <c r="E4027" s="9" t="s">
        <v>29</v>
      </c>
      <c r="F4027" s="9" t="s">
        <v>30</v>
      </c>
      <c r="G4027" s="9" t="s">
        <v>31</v>
      </c>
      <c r="H4027" s="11" t="s">
        <v>25</v>
      </c>
      <c r="I4027" s="12" t="n">
        <v>51</v>
      </c>
      <c r="J4027" s="13" t="n">
        <v>247</v>
      </c>
      <c r="K4027" s="14" t="n">
        <f aca="false">I4027*J4027</f>
        <v>12597</v>
      </c>
      <c r="L4027" s="14" t="n">
        <f aca="false">($L$2*M4027)/100</f>
        <v>745033.23</v>
      </c>
      <c r="M4027" s="15" t="n">
        <v>0.62</v>
      </c>
      <c r="N4027" s="9" t="s">
        <v>85</v>
      </c>
    </row>
    <row r="4028" customFormat="false" ht="14.25" hidden="false" customHeight="true" outlineLevel="0" collapsed="false">
      <c r="B4028" s="9" t="s">
        <v>27</v>
      </c>
      <c r="C4028" s="9" t="n">
        <v>1197831</v>
      </c>
      <c r="D4028" s="10" t="n">
        <v>44130</v>
      </c>
      <c r="E4028" s="9" t="s">
        <v>29</v>
      </c>
      <c r="F4028" s="9" t="s">
        <v>30</v>
      </c>
      <c r="G4028" s="9" t="s">
        <v>31</v>
      </c>
      <c r="H4028" s="11" t="s">
        <v>19</v>
      </c>
      <c r="I4028" s="12" t="n">
        <v>41</v>
      </c>
      <c r="J4028" s="13" t="n">
        <v>238</v>
      </c>
      <c r="K4028" s="14" t="n">
        <f aca="false">I4028*J4028</f>
        <v>9758</v>
      </c>
      <c r="L4028" s="14" t="n">
        <f aca="false">($L$2*M4028)/100</f>
        <v>576799.92</v>
      </c>
      <c r="M4028" s="15" t="n">
        <v>0.48</v>
      </c>
      <c r="N4028" s="9" t="s">
        <v>85</v>
      </c>
    </row>
    <row r="4029" customFormat="false" ht="14.25" hidden="false" customHeight="true" outlineLevel="0" collapsed="false">
      <c r="B4029" s="9" t="s">
        <v>27</v>
      </c>
      <c r="C4029" s="9" t="n">
        <v>1197831</v>
      </c>
      <c r="D4029" s="10" t="n">
        <v>44131</v>
      </c>
      <c r="E4029" s="9" t="s">
        <v>29</v>
      </c>
      <c r="F4029" s="9" t="s">
        <v>30</v>
      </c>
      <c r="G4029" s="9" t="s">
        <v>31</v>
      </c>
      <c r="H4029" s="11" t="s">
        <v>21</v>
      </c>
      <c r="I4029" s="12" t="n">
        <v>44</v>
      </c>
      <c r="J4029" s="13" t="n">
        <v>285</v>
      </c>
      <c r="K4029" s="14" t="n">
        <f aca="false">I4029*J4029</f>
        <v>12540</v>
      </c>
      <c r="L4029" s="14" t="n">
        <f aca="false">($L$2*M4029)/100</f>
        <v>576799.92</v>
      </c>
      <c r="M4029" s="15" t="n">
        <v>0.48</v>
      </c>
      <c r="N4029" s="9" t="s">
        <v>85</v>
      </c>
    </row>
    <row r="4030" customFormat="false" ht="14.25" hidden="false" customHeight="true" outlineLevel="0" collapsed="false">
      <c r="B4030" s="9" t="s">
        <v>27</v>
      </c>
      <c r="C4030" s="9" t="n">
        <v>1197831</v>
      </c>
      <c r="D4030" s="10" t="n">
        <v>44132</v>
      </c>
      <c r="E4030" s="9" t="s">
        <v>29</v>
      </c>
      <c r="F4030" s="9" t="s">
        <v>30</v>
      </c>
      <c r="G4030" s="9" t="s">
        <v>31</v>
      </c>
      <c r="H4030" s="11" t="s">
        <v>22</v>
      </c>
      <c r="I4030" s="12" t="n">
        <v>47</v>
      </c>
      <c r="J4030" s="13" t="n">
        <v>255</v>
      </c>
      <c r="K4030" s="14" t="n">
        <f aca="false">I4030*J4030</f>
        <v>11985</v>
      </c>
      <c r="L4030" s="14" t="n">
        <f aca="false">($L$2*M4030)/100</f>
        <v>588816.585</v>
      </c>
      <c r="M4030" s="15" t="n">
        <v>0.49</v>
      </c>
      <c r="N4030" s="9" t="s">
        <v>85</v>
      </c>
    </row>
    <row r="4031" customFormat="false" ht="14.25" hidden="false" customHeight="true" outlineLevel="0" collapsed="false">
      <c r="B4031" s="9" t="s">
        <v>27</v>
      </c>
      <c r="C4031" s="9" t="n">
        <v>1197831</v>
      </c>
      <c r="D4031" s="10" t="n">
        <v>44133</v>
      </c>
      <c r="E4031" s="9" t="s">
        <v>29</v>
      </c>
      <c r="F4031" s="9" t="s">
        <v>30</v>
      </c>
      <c r="G4031" s="9" t="s">
        <v>31</v>
      </c>
      <c r="H4031" s="11" t="s">
        <v>23</v>
      </c>
      <c r="I4031" s="12" t="n">
        <v>47</v>
      </c>
      <c r="J4031" s="13" t="n">
        <v>182</v>
      </c>
      <c r="K4031" s="14" t="n">
        <f aca="false">I4031*J4031</f>
        <v>8554</v>
      </c>
      <c r="L4031" s="14" t="n">
        <f aca="false">($L$2*M4031)/100</f>
        <v>696966.57</v>
      </c>
      <c r="M4031" s="15" t="n">
        <v>0.58</v>
      </c>
      <c r="N4031" s="9" t="s">
        <v>85</v>
      </c>
    </row>
    <row r="4032" customFormat="false" ht="14.25" hidden="false" customHeight="true" outlineLevel="0" collapsed="false">
      <c r="B4032" s="9" t="s">
        <v>27</v>
      </c>
      <c r="C4032" s="9" t="n">
        <v>1197831</v>
      </c>
      <c r="D4032" s="10" t="n">
        <v>44134</v>
      </c>
      <c r="E4032" s="9" t="s">
        <v>29</v>
      </c>
      <c r="F4032" s="9" t="s">
        <v>30</v>
      </c>
      <c r="G4032" s="9" t="s">
        <v>31</v>
      </c>
      <c r="H4032" s="11" t="s">
        <v>24</v>
      </c>
      <c r="I4032" s="12" t="n">
        <v>42</v>
      </c>
      <c r="J4032" s="13" t="n">
        <v>169</v>
      </c>
      <c r="K4032" s="14" t="n">
        <f aca="false">I4032*J4032</f>
        <v>7098</v>
      </c>
      <c r="L4032" s="14" t="n">
        <f aca="false">($L$2*M4032)/100</f>
        <v>540749.925</v>
      </c>
      <c r="M4032" s="15" t="n">
        <v>0.45</v>
      </c>
      <c r="N4032" s="9" t="s">
        <v>85</v>
      </c>
    </row>
    <row r="4033" customFormat="false" ht="14.25" hidden="false" customHeight="true" outlineLevel="0" collapsed="false">
      <c r="B4033" s="9" t="s">
        <v>27</v>
      </c>
      <c r="C4033" s="9" t="n">
        <v>1197831</v>
      </c>
      <c r="D4033" s="10" t="n">
        <v>44135</v>
      </c>
      <c r="E4033" s="9" t="s">
        <v>29</v>
      </c>
      <c r="F4033" s="9" t="s">
        <v>30</v>
      </c>
      <c r="G4033" s="9" t="s">
        <v>31</v>
      </c>
      <c r="H4033" s="11" t="s">
        <v>25</v>
      </c>
      <c r="I4033" s="12" t="n">
        <v>53</v>
      </c>
      <c r="J4033" s="13" t="n">
        <v>261</v>
      </c>
      <c r="K4033" s="14" t="n">
        <f aca="false">I4033*J4033</f>
        <v>13833</v>
      </c>
      <c r="L4033" s="14" t="n">
        <f aca="false">($L$2*M4033)/100</f>
        <v>745033.23</v>
      </c>
      <c r="M4033" s="15" t="n">
        <v>0.62</v>
      </c>
      <c r="N4033" s="9" t="s">
        <v>85</v>
      </c>
    </row>
    <row r="4034" customFormat="false" ht="14.25" hidden="false" customHeight="true" outlineLevel="0" collapsed="false">
      <c r="B4034" s="9" t="s">
        <v>32</v>
      </c>
      <c r="C4034" s="9" t="n">
        <v>1128299</v>
      </c>
      <c r="D4034" s="10" t="n">
        <v>44136</v>
      </c>
      <c r="E4034" s="9" t="s">
        <v>29</v>
      </c>
      <c r="F4034" s="9" t="s">
        <v>30</v>
      </c>
      <c r="G4034" s="9" t="s">
        <v>31</v>
      </c>
      <c r="H4034" s="11" t="s">
        <v>19</v>
      </c>
      <c r="I4034" s="12" t="n">
        <v>37</v>
      </c>
      <c r="J4034" s="13" t="n">
        <v>209</v>
      </c>
      <c r="K4034" s="14" t="n">
        <f aca="false">I4034*J4034</f>
        <v>7733</v>
      </c>
      <c r="L4034" s="14" t="n">
        <f aca="false">($L$2*M4034)/100</f>
        <v>540749.925</v>
      </c>
      <c r="M4034" s="15" t="n">
        <v>0.45</v>
      </c>
      <c r="N4034" s="9" t="s">
        <v>85</v>
      </c>
    </row>
    <row r="4035" customFormat="false" ht="14.25" hidden="false" customHeight="true" outlineLevel="0" collapsed="false">
      <c r="B4035" s="9" t="s">
        <v>32</v>
      </c>
      <c r="C4035" s="9" t="n">
        <v>1128299</v>
      </c>
      <c r="D4035" s="10" t="n">
        <v>44137</v>
      </c>
      <c r="E4035" s="9" t="s">
        <v>29</v>
      </c>
      <c r="F4035" s="9" t="s">
        <v>30</v>
      </c>
      <c r="G4035" s="9" t="s">
        <v>31</v>
      </c>
      <c r="H4035" s="11" t="s">
        <v>21</v>
      </c>
      <c r="I4035" s="12" t="n">
        <v>49</v>
      </c>
      <c r="J4035" s="13" t="n">
        <v>194</v>
      </c>
      <c r="K4035" s="14" t="n">
        <f aca="false">I4035*J4035</f>
        <v>9506</v>
      </c>
      <c r="L4035" s="14" t="n">
        <f aca="false">($L$2*M4035)/100</f>
        <v>372516.615</v>
      </c>
      <c r="M4035" s="15" t="n">
        <v>0.31</v>
      </c>
      <c r="N4035" s="9" t="s">
        <v>85</v>
      </c>
    </row>
    <row r="4036" customFormat="false" ht="14.25" hidden="false" customHeight="true" outlineLevel="0" collapsed="false">
      <c r="B4036" s="9" t="s">
        <v>32</v>
      </c>
      <c r="C4036" s="9" t="n">
        <v>1128299</v>
      </c>
      <c r="D4036" s="10" t="n">
        <v>44138</v>
      </c>
      <c r="E4036" s="9" t="s">
        <v>29</v>
      </c>
      <c r="F4036" s="9" t="s">
        <v>30</v>
      </c>
      <c r="G4036" s="9" t="s">
        <v>31</v>
      </c>
      <c r="H4036" s="11" t="s">
        <v>22</v>
      </c>
      <c r="I4036" s="12" t="n">
        <v>46</v>
      </c>
      <c r="J4036" s="13" t="n">
        <v>217</v>
      </c>
      <c r="K4036" s="14" t="n">
        <f aca="false">I4036*J4036</f>
        <v>9982</v>
      </c>
      <c r="L4036" s="14" t="n">
        <f aca="false">($L$2*M4036)/100</f>
        <v>540749.925</v>
      </c>
      <c r="M4036" s="15" t="n">
        <v>0.45</v>
      </c>
      <c r="N4036" s="9" t="s">
        <v>85</v>
      </c>
    </row>
    <row r="4037" customFormat="false" ht="14.25" hidden="false" customHeight="true" outlineLevel="0" collapsed="false">
      <c r="B4037" s="9" t="s">
        <v>32</v>
      </c>
      <c r="C4037" s="9" t="n">
        <v>1128299</v>
      </c>
      <c r="D4037" s="10" t="n">
        <v>44139</v>
      </c>
      <c r="E4037" s="9" t="s">
        <v>29</v>
      </c>
      <c r="F4037" s="9" t="s">
        <v>30</v>
      </c>
      <c r="G4037" s="9" t="s">
        <v>31</v>
      </c>
      <c r="H4037" s="11" t="s">
        <v>23</v>
      </c>
      <c r="I4037" s="12" t="n">
        <v>48</v>
      </c>
      <c r="J4037" s="13" t="n">
        <v>175</v>
      </c>
      <c r="K4037" s="14" t="n">
        <f aca="false">I4037*J4037</f>
        <v>8400</v>
      </c>
      <c r="L4037" s="14" t="n">
        <f aca="false">($L$2*M4037)/100</f>
        <v>480666.6</v>
      </c>
      <c r="M4037" s="15" t="n">
        <v>0.4</v>
      </c>
      <c r="N4037" s="9" t="s">
        <v>85</v>
      </c>
    </row>
    <row r="4038" customFormat="false" ht="14.25" hidden="false" customHeight="true" outlineLevel="0" collapsed="false">
      <c r="B4038" s="9" t="s">
        <v>32</v>
      </c>
      <c r="C4038" s="9" t="n">
        <v>1128299</v>
      </c>
      <c r="D4038" s="10" t="n">
        <v>44140</v>
      </c>
      <c r="E4038" s="9" t="s">
        <v>33</v>
      </c>
      <c r="F4038" s="9" t="s">
        <v>34</v>
      </c>
      <c r="G4038" s="9" t="s">
        <v>35</v>
      </c>
      <c r="H4038" s="11" t="s">
        <v>24</v>
      </c>
      <c r="I4038" s="12" t="n">
        <v>51</v>
      </c>
      <c r="J4038" s="13" t="n">
        <v>161</v>
      </c>
      <c r="K4038" s="14" t="n">
        <f aca="false">I4038*J4038</f>
        <v>8211</v>
      </c>
      <c r="L4038" s="14" t="n">
        <f aca="false">($L$2*M4038)/100</f>
        <v>757049.895</v>
      </c>
      <c r="M4038" s="15" t="n">
        <v>0.63</v>
      </c>
      <c r="N4038" s="9" t="s">
        <v>85</v>
      </c>
    </row>
    <row r="4039" customFormat="false" ht="14.25" hidden="false" customHeight="true" outlineLevel="0" collapsed="false">
      <c r="B4039" s="9" t="s">
        <v>32</v>
      </c>
      <c r="C4039" s="9" t="n">
        <v>1128299</v>
      </c>
      <c r="D4039" s="10" t="n">
        <v>44141</v>
      </c>
      <c r="E4039" s="9" t="s">
        <v>33</v>
      </c>
      <c r="F4039" s="9" t="s">
        <v>34</v>
      </c>
      <c r="G4039" s="9" t="s">
        <v>35</v>
      </c>
      <c r="H4039" s="11" t="s">
        <v>25</v>
      </c>
      <c r="I4039" s="12" t="n">
        <v>49</v>
      </c>
      <c r="J4039" s="13" t="n">
        <v>233</v>
      </c>
      <c r="K4039" s="14" t="n">
        <f aca="false">I4039*J4039</f>
        <v>11417</v>
      </c>
      <c r="L4039" s="14" t="n">
        <f aca="false">($L$2*M4039)/100</f>
        <v>300416.625</v>
      </c>
      <c r="M4039" s="15" t="n">
        <v>0.25</v>
      </c>
      <c r="N4039" s="9" t="s">
        <v>85</v>
      </c>
    </row>
    <row r="4040" customFormat="false" ht="14.25" hidden="false" customHeight="true" outlineLevel="0" collapsed="false">
      <c r="B4040" s="9" t="s">
        <v>32</v>
      </c>
      <c r="C4040" s="9" t="n">
        <v>1128299</v>
      </c>
      <c r="D4040" s="10" t="n">
        <v>44142</v>
      </c>
      <c r="E4040" s="9" t="s">
        <v>33</v>
      </c>
      <c r="F4040" s="9" t="s">
        <v>34</v>
      </c>
      <c r="G4040" s="9" t="s">
        <v>35</v>
      </c>
      <c r="H4040" s="11" t="s">
        <v>19</v>
      </c>
      <c r="I4040" s="12" t="n">
        <v>37</v>
      </c>
      <c r="J4040" s="13" t="n">
        <v>223</v>
      </c>
      <c r="K4040" s="14" t="n">
        <f aca="false">I4040*J4040</f>
        <v>8251</v>
      </c>
      <c r="L4040" s="14" t="n">
        <f aca="false">($L$2*M4040)/100</f>
        <v>600833.25</v>
      </c>
      <c r="M4040" s="15" t="n">
        <v>0.5</v>
      </c>
      <c r="N4040" s="9" t="s">
        <v>85</v>
      </c>
    </row>
    <row r="4041" customFormat="false" ht="14.25" hidden="false" customHeight="true" outlineLevel="0" collapsed="false">
      <c r="B4041" s="9" t="s">
        <v>32</v>
      </c>
      <c r="C4041" s="9" t="n">
        <v>1128299</v>
      </c>
      <c r="D4041" s="10" t="n">
        <v>44143</v>
      </c>
      <c r="E4041" s="9" t="s">
        <v>33</v>
      </c>
      <c r="F4041" s="9" t="s">
        <v>34</v>
      </c>
      <c r="G4041" s="9" t="s">
        <v>35</v>
      </c>
      <c r="H4041" s="11" t="s">
        <v>21</v>
      </c>
      <c r="I4041" s="12" t="n">
        <v>49</v>
      </c>
      <c r="J4041" s="13" t="n">
        <v>210</v>
      </c>
      <c r="K4041" s="14" t="n">
        <f aca="false">I4041*J4041</f>
        <v>10290</v>
      </c>
      <c r="L4041" s="14" t="n">
        <f aca="false">($L$2*M4041)/100</f>
        <v>372516.615</v>
      </c>
      <c r="M4041" s="15" t="n">
        <v>0.31</v>
      </c>
      <c r="N4041" s="9" t="s">
        <v>85</v>
      </c>
    </row>
    <row r="4042" customFormat="false" ht="14.25" hidden="false" customHeight="true" outlineLevel="0" collapsed="false">
      <c r="B4042" s="9" t="s">
        <v>32</v>
      </c>
      <c r="C4042" s="9" t="n">
        <v>1128299</v>
      </c>
      <c r="D4042" s="10" t="n">
        <v>44144</v>
      </c>
      <c r="E4042" s="9" t="s">
        <v>33</v>
      </c>
      <c r="F4042" s="9" t="s">
        <v>34</v>
      </c>
      <c r="G4042" s="9" t="s">
        <v>35</v>
      </c>
      <c r="H4042" s="11" t="s">
        <v>22</v>
      </c>
      <c r="I4042" s="12" t="n">
        <v>49</v>
      </c>
      <c r="J4042" s="13" t="n">
        <v>196</v>
      </c>
      <c r="K4042" s="14" t="n">
        <f aca="false">I4042*J4042</f>
        <v>9604</v>
      </c>
      <c r="L4042" s="14" t="n">
        <f aca="false">($L$2*M4042)/100</f>
        <v>588816.585</v>
      </c>
      <c r="M4042" s="15" t="n">
        <v>0.49</v>
      </c>
      <c r="N4042" s="9" t="s">
        <v>85</v>
      </c>
    </row>
    <row r="4043" customFormat="false" ht="14.25" hidden="false" customHeight="true" outlineLevel="0" collapsed="false">
      <c r="B4043" s="9" t="s">
        <v>32</v>
      </c>
      <c r="C4043" s="9" t="n">
        <v>1128299</v>
      </c>
      <c r="D4043" s="10" t="n">
        <v>44145</v>
      </c>
      <c r="E4043" s="9" t="s">
        <v>33</v>
      </c>
      <c r="F4043" s="9" t="s">
        <v>34</v>
      </c>
      <c r="G4043" s="9" t="s">
        <v>35</v>
      </c>
      <c r="H4043" s="11" t="s">
        <v>23</v>
      </c>
      <c r="I4043" s="12" t="n">
        <v>47</v>
      </c>
      <c r="J4043" s="13" t="n">
        <v>150</v>
      </c>
      <c r="K4043" s="14" t="n">
        <f aca="false">I4043*J4043</f>
        <v>7050</v>
      </c>
      <c r="L4043" s="14" t="n">
        <f aca="false">($L$2*M4043)/100</f>
        <v>504699.93</v>
      </c>
      <c r="M4043" s="15" t="n">
        <v>0.42</v>
      </c>
      <c r="N4043" s="9" t="s">
        <v>85</v>
      </c>
    </row>
    <row r="4044" customFormat="false" ht="14.25" hidden="false" customHeight="true" outlineLevel="0" collapsed="false">
      <c r="B4044" s="9" t="s">
        <v>32</v>
      </c>
      <c r="C4044" s="9" t="n">
        <v>1128299</v>
      </c>
      <c r="D4044" s="10" t="n">
        <v>44146</v>
      </c>
      <c r="E4044" s="9" t="s">
        <v>33</v>
      </c>
      <c r="F4044" s="9" t="s">
        <v>34</v>
      </c>
      <c r="G4044" s="9" t="s">
        <v>35</v>
      </c>
      <c r="H4044" s="11" t="s">
        <v>24</v>
      </c>
      <c r="I4044" s="12" t="n">
        <v>50</v>
      </c>
      <c r="J4044" s="13" t="n">
        <v>140</v>
      </c>
      <c r="K4044" s="14" t="n">
        <f aca="false">I4044*J4044</f>
        <v>7000</v>
      </c>
      <c r="L4044" s="14" t="n">
        <f aca="false">($L$2*M4044)/100</f>
        <v>733016.565</v>
      </c>
      <c r="M4044" s="15" t="n">
        <v>0.61</v>
      </c>
      <c r="N4044" s="9" t="s">
        <v>85</v>
      </c>
    </row>
    <row r="4045" customFormat="false" ht="14.25" hidden="false" customHeight="true" outlineLevel="0" collapsed="false">
      <c r="B4045" s="9" t="s">
        <v>32</v>
      </c>
      <c r="C4045" s="9" t="n">
        <v>1128299</v>
      </c>
      <c r="D4045" s="10" t="n">
        <v>44147</v>
      </c>
      <c r="E4045" s="9" t="s">
        <v>33</v>
      </c>
      <c r="F4045" s="9" t="s">
        <v>34</v>
      </c>
      <c r="G4045" s="9" t="s">
        <v>35</v>
      </c>
      <c r="H4045" s="11" t="s">
        <v>25</v>
      </c>
      <c r="I4045" s="12" t="n">
        <v>46</v>
      </c>
      <c r="J4045" s="13" t="n">
        <v>182</v>
      </c>
      <c r="K4045" s="14" t="n">
        <f aca="false">I4045*J4045</f>
        <v>8372</v>
      </c>
      <c r="L4045" s="14" t="n">
        <f aca="false">($L$2*M4045)/100</f>
        <v>336466.62</v>
      </c>
      <c r="M4045" s="15" t="n">
        <v>0.28</v>
      </c>
      <c r="N4045" s="9" t="s">
        <v>85</v>
      </c>
    </row>
    <row r="4046" customFormat="false" ht="14.25" hidden="false" customHeight="true" outlineLevel="0" collapsed="false">
      <c r="B4046" s="9" t="s">
        <v>32</v>
      </c>
      <c r="C4046" s="9" t="n">
        <v>1128299</v>
      </c>
      <c r="D4046" s="10" t="n">
        <v>44148</v>
      </c>
      <c r="E4046" s="9" t="s">
        <v>33</v>
      </c>
      <c r="F4046" s="9" t="s">
        <v>34</v>
      </c>
      <c r="G4046" s="9" t="s">
        <v>35</v>
      </c>
      <c r="H4046" s="11" t="s">
        <v>19</v>
      </c>
      <c r="I4046" s="12" t="n">
        <v>49</v>
      </c>
      <c r="J4046" s="13" t="n">
        <v>230</v>
      </c>
      <c r="K4046" s="14" t="n">
        <f aca="false">I4046*J4046</f>
        <v>11270</v>
      </c>
      <c r="L4046" s="14" t="n">
        <f aca="false">($L$2*M4046)/100</f>
        <v>540749.925</v>
      </c>
      <c r="M4046" s="15" t="n">
        <v>0.45</v>
      </c>
      <c r="N4046" s="9" t="s">
        <v>85</v>
      </c>
    </row>
    <row r="4047" customFormat="false" ht="14.25" hidden="false" customHeight="true" outlineLevel="0" collapsed="false">
      <c r="B4047" s="9" t="s">
        <v>32</v>
      </c>
      <c r="C4047" s="9" t="n">
        <v>1128299</v>
      </c>
      <c r="D4047" s="10" t="n">
        <v>44149</v>
      </c>
      <c r="E4047" s="9" t="s">
        <v>33</v>
      </c>
      <c r="F4047" s="9" t="s">
        <v>34</v>
      </c>
      <c r="G4047" s="9" t="s">
        <v>35</v>
      </c>
      <c r="H4047" s="11" t="s">
        <v>21</v>
      </c>
      <c r="I4047" s="12" t="n">
        <v>58</v>
      </c>
      <c r="J4047" s="13" t="n">
        <v>175</v>
      </c>
      <c r="K4047" s="14" t="n">
        <f aca="false">I4047*J4047</f>
        <v>10150</v>
      </c>
      <c r="L4047" s="14" t="n">
        <f aca="false">($L$2*M4047)/100</f>
        <v>360499.95</v>
      </c>
      <c r="M4047" s="15" t="n">
        <v>0.3</v>
      </c>
      <c r="N4047" s="9" t="s">
        <v>85</v>
      </c>
    </row>
    <row r="4048" customFormat="false" ht="14.25" hidden="false" customHeight="true" outlineLevel="0" collapsed="false">
      <c r="B4048" s="9" t="s">
        <v>32</v>
      </c>
      <c r="C4048" s="9" t="n">
        <v>1128299</v>
      </c>
      <c r="D4048" s="10" t="n">
        <v>44150</v>
      </c>
      <c r="E4048" s="9" t="s">
        <v>33</v>
      </c>
      <c r="F4048" s="9" t="s">
        <v>34</v>
      </c>
      <c r="G4048" s="9" t="s">
        <v>35</v>
      </c>
      <c r="H4048" s="11" t="s">
        <v>22</v>
      </c>
      <c r="I4048" s="12" t="n">
        <v>55</v>
      </c>
      <c r="J4048" s="13" t="n">
        <v>203</v>
      </c>
      <c r="K4048" s="14" t="n">
        <f aca="false">I4048*J4048</f>
        <v>11165</v>
      </c>
      <c r="L4048" s="14" t="n">
        <f aca="false">($L$2*M4048)/100</f>
        <v>564783.255</v>
      </c>
      <c r="M4048" s="15" t="n">
        <v>0.47</v>
      </c>
      <c r="N4048" s="9" t="s">
        <v>85</v>
      </c>
    </row>
    <row r="4049" customFormat="false" ht="14.25" hidden="false" customHeight="true" outlineLevel="0" collapsed="false">
      <c r="B4049" s="9" t="s">
        <v>32</v>
      </c>
      <c r="C4049" s="9" t="n">
        <v>1128299</v>
      </c>
      <c r="D4049" s="10" t="n">
        <v>44187</v>
      </c>
      <c r="E4049" s="9" t="s">
        <v>33</v>
      </c>
      <c r="F4049" s="9" t="s">
        <v>34</v>
      </c>
      <c r="G4049" s="9" t="s">
        <v>35</v>
      </c>
      <c r="H4049" s="11" t="s">
        <v>23</v>
      </c>
      <c r="I4049" s="12" t="n">
        <v>58</v>
      </c>
      <c r="J4049" s="13" t="n">
        <v>174</v>
      </c>
      <c r="K4049" s="14" t="n">
        <f aca="false">I4049*J4049</f>
        <v>10092</v>
      </c>
      <c r="L4049" s="14" t="n">
        <f aca="false">($L$2*M4049)/100</f>
        <v>516716.595</v>
      </c>
      <c r="M4049" s="15" t="n">
        <v>0.43</v>
      </c>
      <c r="N4049" s="9" t="s">
        <v>85</v>
      </c>
    </row>
    <row r="4050" customFormat="false" ht="14.25" hidden="false" customHeight="true" outlineLevel="0" collapsed="false">
      <c r="B4050" s="9" t="s">
        <v>32</v>
      </c>
      <c r="C4050" s="9" t="n">
        <v>1128299</v>
      </c>
      <c r="D4050" s="10" t="n">
        <v>44188</v>
      </c>
      <c r="E4050" s="9" t="s">
        <v>33</v>
      </c>
      <c r="F4050" s="9" t="s">
        <v>34</v>
      </c>
      <c r="G4050" s="9" t="s">
        <v>35</v>
      </c>
      <c r="H4050" s="11" t="s">
        <v>24</v>
      </c>
      <c r="I4050" s="12" t="n">
        <v>62</v>
      </c>
      <c r="J4050" s="13" t="n">
        <v>145</v>
      </c>
      <c r="K4050" s="14" t="n">
        <f aca="false">I4050*J4050</f>
        <v>8990</v>
      </c>
      <c r="L4050" s="14" t="n">
        <f aca="false">($L$2*M4050)/100</f>
        <v>757049.895</v>
      </c>
      <c r="M4050" s="15" t="n">
        <v>0.63</v>
      </c>
      <c r="N4050" s="9" t="s">
        <v>85</v>
      </c>
    </row>
    <row r="4051" customFormat="false" ht="14.25" hidden="false" customHeight="true" outlineLevel="0" collapsed="false">
      <c r="B4051" s="9" t="s">
        <v>32</v>
      </c>
      <c r="C4051" s="9" t="n">
        <v>1128299</v>
      </c>
      <c r="D4051" s="10" t="n">
        <v>44189</v>
      </c>
      <c r="E4051" s="9" t="s">
        <v>33</v>
      </c>
      <c r="F4051" s="9" t="s">
        <v>34</v>
      </c>
      <c r="G4051" s="9" t="s">
        <v>35</v>
      </c>
      <c r="H4051" s="11" t="s">
        <v>25</v>
      </c>
      <c r="I4051" s="12" t="n">
        <v>54</v>
      </c>
      <c r="J4051" s="13" t="n">
        <v>210</v>
      </c>
      <c r="K4051" s="14" t="n">
        <f aca="false">I4051*J4051</f>
        <v>11340</v>
      </c>
      <c r="L4051" s="14" t="n">
        <f aca="false">($L$2*M4051)/100</f>
        <v>324449.955</v>
      </c>
      <c r="M4051" s="15" t="n">
        <v>0.27</v>
      </c>
      <c r="N4051" s="9" t="s">
        <v>85</v>
      </c>
    </row>
    <row r="4052" customFormat="false" ht="14.25" hidden="false" customHeight="true" outlineLevel="0" collapsed="false">
      <c r="B4052" s="9" t="s">
        <v>32</v>
      </c>
      <c r="C4052" s="9" t="n">
        <v>1128299</v>
      </c>
      <c r="D4052" s="10" t="n">
        <v>44190</v>
      </c>
      <c r="E4052" s="9" t="s">
        <v>33</v>
      </c>
      <c r="F4052" s="9" t="s">
        <v>34</v>
      </c>
      <c r="G4052" s="9" t="s">
        <v>35</v>
      </c>
      <c r="H4052" s="11" t="s">
        <v>19</v>
      </c>
      <c r="I4052" s="12" t="n">
        <v>56</v>
      </c>
      <c r="J4052" s="13" t="n">
        <v>228</v>
      </c>
      <c r="K4052" s="14" t="n">
        <f aca="false">I4052*J4052</f>
        <v>12768</v>
      </c>
      <c r="L4052" s="14" t="n">
        <f aca="false">($L$2*M4052)/100</f>
        <v>564783.255</v>
      </c>
      <c r="M4052" s="15" t="n">
        <v>0.47</v>
      </c>
      <c r="N4052" s="9" t="s">
        <v>85</v>
      </c>
    </row>
    <row r="4053" customFormat="false" ht="14.25" hidden="false" customHeight="true" outlineLevel="0" collapsed="false">
      <c r="B4053" s="9" t="s">
        <v>32</v>
      </c>
      <c r="C4053" s="9" t="n">
        <v>1128299</v>
      </c>
      <c r="D4053" s="10" t="n">
        <v>44191</v>
      </c>
      <c r="E4053" s="9" t="s">
        <v>33</v>
      </c>
      <c r="F4053" s="9" t="s">
        <v>34</v>
      </c>
      <c r="G4053" s="9" t="s">
        <v>35</v>
      </c>
      <c r="H4053" s="11" t="s">
        <v>21</v>
      </c>
      <c r="I4053" s="12" t="n">
        <v>62</v>
      </c>
      <c r="J4053" s="13" t="n">
        <v>203</v>
      </c>
      <c r="K4053" s="14" t="n">
        <f aca="false">I4053*J4053</f>
        <v>12586</v>
      </c>
      <c r="L4053" s="14" t="n">
        <f aca="false">($L$2*M4053)/100</f>
        <v>360499.95</v>
      </c>
      <c r="M4053" s="15" t="n">
        <v>0.3</v>
      </c>
      <c r="N4053" s="9" t="s">
        <v>85</v>
      </c>
    </row>
    <row r="4054" customFormat="false" ht="14.25" hidden="false" customHeight="true" outlineLevel="0" collapsed="false">
      <c r="B4054" s="9" t="s">
        <v>32</v>
      </c>
      <c r="C4054" s="9" t="n">
        <v>1128299</v>
      </c>
      <c r="D4054" s="10" t="n">
        <v>44192</v>
      </c>
      <c r="E4054" s="9" t="s">
        <v>33</v>
      </c>
      <c r="F4054" s="9" t="s">
        <v>34</v>
      </c>
      <c r="G4054" s="9" t="s">
        <v>35</v>
      </c>
      <c r="H4054" s="11" t="s">
        <v>22</v>
      </c>
      <c r="I4054" s="12" t="n">
        <v>64</v>
      </c>
      <c r="J4054" s="13" t="n">
        <v>210</v>
      </c>
      <c r="K4054" s="14" t="n">
        <f aca="false">I4054*J4054</f>
        <v>13440</v>
      </c>
      <c r="L4054" s="14" t="n">
        <f aca="false">($L$2*M4054)/100</f>
        <v>600833.25</v>
      </c>
      <c r="M4054" s="15" t="n">
        <v>0.5</v>
      </c>
      <c r="N4054" s="9" t="s">
        <v>85</v>
      </c>
    </row>
    <row r="4055" customFormat="false" ht="14.25" hidden="false" customHeight="true" outlineLevel="0" collapsed="false">
      <c r="B4055" s="9" t="s">
        <v>32</v>
      </c>
      <c r="C4055" s="9" t="n">
        <v>1128299</v>
      </c>
      <c r="D4055" s="10" t="n">
        <v>44193</v>
      </c>
      <c r="E4055" s="9" t="s">
        <v>33</v>
      </c>
      <c r="F4055" s="9" t="s">
        <v>34</v>
      </c>
      <c r="G4055" s="9" t="s">
        <v>35</v>
      </c>
      <c r="H4055" s="11" t="s">
        <v>23</v>
      </c>
      <c r="I4055" s="12" t="n">
        <v>54</v>
      </c>
      <c r="J4055" s="13" t="n">
        <v>188</v>
      </c>
      <c r="K4055" s="14" t="n">
        <f aca="false">I4055*J4055</f>
        <v>10152</v>
      </c>
      <c r="L4055" s="14" t="n">
        <f aca="false">($L$2*M4055)/100</f>
        <v>492683.265</v>
      </c>
      <c r="M4055" s="15" t="n">
        <v>0.41</v>
      </c>
      <c r="N4055" s="9" t="s">
        <v>85</v>
      </c>
    </row>
    <row r="4056" customFormat="false" ht="14.25" hidden="false" customHeight="true" outlineLevel="0" collapsed="false">
      <c r="B4056" s="9" t="s">
        <v>32</v>
      </c>
      <c r="C4056" s="9" t="n">
        <v>1128299</v>
      </c>
      <c r="D4056" s="10" t="n">
        <v>44194</v>
      </c>
      <c r="E4056" s="9" t="s">
        <v>33</v>
      </c>
      <c r="F4056" s="9" t="s">
        <v>34</v>
      </c>
      <c r="G4056" s="9" t="s">
        <v>35</v>
      </c>
      <c r="H4056" s="11" t="s">
        <v>24</v>
      </c>
      <c r="I4056" s="12" t="n">
        <v>59</v>
      </c>
      <c r="J4056" s="13" t="n">
        <v>152</v>
      </c>
      <c r="K4056" s="14" t="n">
        <f aca="false">I4056*J4056</f>
        <v>8968</v>
      </c>
      <c r="L4056" s="14" t="n">
        <f aca="false">($L$2*M4056)/100</f>
        <v>781083.225</v>
      </c>
      <c r="M4056" s="15" t="n">
        <v>0.65</v>
      </c>
      <c r="N4056" s="9" t="s">
        <v>85</v>
      </c>
    </row>
    <row r="4057" customFormat="false" ht="14.25" hidden="false" customHeight="true" outlineLevel="0" collapsed="false">
      <c r="B4057" s="9" t="s">
        <v>32</v>
      </c>
      <c r="C4057" s="9" t="n">
        <v>1128299</v>
      </c>
      <c r="D4057" s="10" t="n">
        <v>44195</v>
      </c>
      <c r="E4057" s="9" t="s">
        <v>33</v>
      </c>
      <c r="F4057" s="9" t="s">
        <v>34</v>
      </c>
      <c r="G4057" s="9" t="s">
        <v>35</v>
      </c>
      <c r="H4057" s="11" t="s">
        <v>25</v>
      </c>
      <c r="I4057" s="12" t="n">
        <v>72</v>
      </c>
      <c r="J4057" s="13" t="n">
        <v>203</v>
      </c>
      <c r="K4057" s="14" t="n">
        <f aca="false">I4057*J4057</f>
        <v>14616</v>
      </c>
      <c r="L4057" s="14" t="n">
        <f aca="false">($L$2*M4057)/100</f>
        <v>324449.955</v>
      </c>
      <c r="M4057" s="15" t="n">
        <v>0.27</v>
      </c>
      <c r="N4057" s="9" t="s">
        <v>85</v>
      </c>
    </row>
    <row r="4058" customFormat="false" ht="14.25" hidden="false" customHeight="true" outlineLevel="0" collapsed="false">
      <c r="B4058" s="9" t="s">
        <v>32</v>
      </c>
      <c r="C4058" s="9" t="n">
        <v>1128299</v>
      </c>
      <c r="D4058" s="10" t="n">
        <v>44196</v>
      </c>
      <c r="E4058" s="9" t="s">
        <v>33</v>
      </c>
      <c r="F4058" s="9" t="s">
        <v>34</v>
      </c>
      <c r="G4058" s="9" t="s">
        <v>35</v>
      </c>
      <c r="H4058" s="11" t="s">
        <v>19</v>
      </c>
      <c r="I4058" s="12" t="n">
        <v>56</v>
      </c>
      <c r="J4058" s="13" t="n">
        <v>252</v>
      </c>
      <c r="K4058" s="14" t="n">
        <f aca="false">I4058*J4058</f>
        <v>14112</v>
      </c>
      <c r="L4058" s="14" t="n">
        <f aca="false">($L$2*M4058)/100</f>
        <v>600833.25</v>
      </c>
      <c r="M4058" s="15" t="n">
        <v>0.5</v>
      </c>
      <c r="N4058" s="9" t="s">
        <v>85</v>
      </c>
    </row>
    <row r="4059" customFormat="false" ht="14.25" hidden="false" customHeight="true" outlineLevel="0" collapsed="false">
      <c r="B4059" s="9" t="s">
        <v>32</v>
      </c>
      <c r="C4059" s="9" t="n">
        <v>1128299</v>
      </c>
      <c r="D4059" s="10" t="n">
        <v>44197</v>
      </c>
      <c r="E4059" s="9" t="s">
        <v>33</v>
      </c>
      <c r="F4059" s="9" t="s">
        <v>34</v>
      </c>
      <c r="G4059" s="9" t="s">
        <v>35</v>
      </c>
      <c r="H4059" s="11" t="s">
        <v>21</v>
      </c>
      <c r="I4059" s="12" t="n">
        <v>64</v>
      </c>
      <c r="J4059" s="13" t="n">
        <v>225</v>
      </c>
      <c r="K4059" s="14" t="n">
        <f aca="false">I4059*J4059</f>
        <v>14400</v>
      </c>
      <c r="L4059" s="14" t="n">
        <f aca="false">($L$2*M4059)/100</f>
        <v>432599.94</v>
      </c>
      <c r="M4059" s="15" t="n">
        <v>0.36</v>
      </c>
      <c r="N4059" s="9" t="s">
        <v>85</v>
      </c>
    </row>
    <row r="4060" customFormat="false" ht="14.25" hidden="false" customHeight="true" outlineLevel="0" collapsed="false">
      <c r="B4060" s="9" t="s">
        <v>32</v>
      </c>
      <c r="C4060" s="9" t="n">
        <v>1128299</v>
      </c>
      <c r="D4060" s="10" t="n">
        <v>44198</v>
      </c>
      <c r="E4060" s="9" t="s">
        <v>33</v>
      </c>
      <c r="F4060" s="9" t="s">
        <v>34</v>
      </c>
      <c r="G4060" s="9" t="s">
        <v>35</v>
      </c>
      <c r="H4060" s="11" t="s">
        <v>22</v>
      </c>
      <c r="I4060" s="12" t="n">
        <v>60</v>
      </c>
      <c r="J4060" s="13" t="n">
        <v>218</v>
      </c>
      <c r="K4060" s="14" t="n">
        <f aca="false">I4060*J4060</f>
        <v>13080</v>
      </c>
      <c r="L4060" s="14" t="n">
        <f aca="false">($L$2*M4060)/100</f>
        <v>612849.915</v>
      </c>
      <c r="M4060" s="15" t="n">
        <v>0.51</v>
      </c>
      <c r="N4060" s="9" t="s">
        <v>85</v>
      </c>
    </row>
    <row r="4061" customFormat="false" ht="14.25" hidden="false" customHeight="true" outlineLevel="0" collapsed="false">
      <c r="B4061" s="9" t="s">
        <v>32</v>
      </c>
      <c r="C4061" s="9" t="n">
        <v>1128299</v>
      </c>
      <c r="D4061" s="10" t="n">
        <v>44199</v>
      </c>
      <c r="E4061" s="9" t="s">
        <v>33</v>
      </c>
      <c r="F4061" s="9" t="s">
        <v>34</v>
      </c>
      <c r="G4061" s="9" t="s">
        <v>35</v>
      </c>
      <c r="H4061" s="11" t="s">
        <v>23</v>
      </c>
      <c r="I4061" s="12" t="n">
        <v>56</v>
      </c>
      <c r="J4061" s="13" t="n">
        <v>182</v>
      </c>
      <c r="K4061" s="14" t="n">
        <f aca="false">I4061*J4061</f>
        <v>10192</v>
      </c>
      <c r="L4061" s="14" t="n">
        <f aca="false">($L$2*M4061)/100</f>
        <v>540749.925</v>
      </c>
      <c r="M4061" s="15" t="n">
        <v>0.45</v>
      </c>
      <c r="N4061" s="9" t="s">
        <v>85</v>
      </c>
    </row>
    <row r="4062" customFormat="false" ht="14.25" hidden="false" customHeight="true" outlineLevel="0" collapsed="false">
      <c r="B4062" s="9" t="s">
        <v>32</v>
      </c>
      <c r="C4062" s="9" t="n">
        <v>1128299</v>
      </c>
      <c r="D4062" s="10" t="n">
        <v>44200</v>
      </c>
      <c r="E4062" s="9" t="s">
        <v>33</v>
      </c>
      <c r="F4062" s="9" t="s">
        <v>34</v>
      </c>
      <c r="G4062" s="9" t="s">
        <v>35</v>
      </c>
      <c r="H4062" s="11" t="s">
        <v>24</v>
      </c>
      <c r="I4062" s="12" t="n">
        <v>60</v>
      </c>
      <c r="J4062" s="13" t="n">
        <v>154</v>
      </c>
      <c r="K4062" s="14" t="n">
        <f aca="false">I4062*J4062</f>
        <v>9240</v>
      </c>
      <c r="L4062" s="14" t="n">
        <f aca="false">($L$2*M4062)/100</f>
        <v>793099.89</v>
      </c>
      <c r="M4062" s="15" t="n">
        <v>0.66</v>
      </c>
      <c r="N4062" s="9" t="s">
        <v>85</v>
      </c>
    </row>
    <row r="4063" customFormat="false" ht="14.25" hidden="false" customHeight="true" outlineLevel="0" collapsed="false">
      <c r="B4063" s="9" t="s">
        <v>32</v>
      </c>
      <c r="C4063" s="9" t="n">
        <v>1128299</v>
      </c>
      <c r="D4063" s="10" t="n">
        <v>44201</v>
      </c>
      <c r="E4063" s="9" t="s">
        <v>33</v>
      </c>
      <c r="F4063" s="9" t="s">
        <v>34</v>
      </c>
      <c r="G4063" s="9" t="s">
        <v>35</v>
      </c>
      <c r="H4063" s="11" t="s">
        <v>25</v>
      </c>
      <c r="I4063" s="12" t="n">
        <v>72</v>
      </c>
      <c r="J4063" s="13" t="n">
        <v>189</v>
      </c>
      <c r="K4063" s="14" t="n">
        <f aca="false">I4063*J4063</f>
        <v>13608</v>
      </c>
      <c r="L4063" s="14" t="n">
        <f aca="false">($L$2*M4063)/100</f>
        <v>396549.945</v>
      </c>
      <c r="M4063" s="15" t="n">
        <v>0.33</v>
      </c>
      <c r="N4063" s="9" t="s">
        <v>85</v>
      </c>
    </row>
    <row r="4064" customFormat="false" ht="14.25" hidden="false" customHeight="true" outlineLevel="0" collapsed="false">
      <c r="B4064" s="9" t="s">
        <v>32</v>
      </c>
      <c r="C4064" s="9" t="n">
        <v>1128299</v>
      </c>
      <c r="D4064" s="10" t="n">
        <v>44202</v>
      </c>
      <c r="E4064" s="9" t="s">
        <v>33</v>
      </c>
      <c r="F4064" s="9" t="s">
        <v>34</v>
      </c>
      <c r="G4064" s="9" t="s">
        <v>35</v>
      </c>
      <c r="H4064" s="11" t="s">
        <v>19</v>
      </c>
      <c r="I4064" s="12" t="n">
        <v>56</v>
      </c>
      <c r="J4064" s="13" t="n">
        <v>273</v>
      </c>
      <c r="K4064" s="14" t="n">
        <f aca="false">I4064*J4064</f>
        <v>15288</v>
      </c>
      <c r="L4064" s="14" t="n">
        <f aca="false">($L$2*M4064)/100</f>
        <v>600833.25</v>
      </c>
      <c r="M4064" s="15" t="n">
        <v>0.5</v>
      </c>
      <c r="N4064" s="9" t="s">
        <v>85</v>
      </c>
    </row>
    <row r="4065" customFormat="false" ht="14.25" hidden="false" customHeight="true" outlineLevel="0" collapsed="false">
      <c r="B4065" s="9" t="s">
        <v>32</v>
      </c>
      <c r="C4065" s="9" t="n">
        <v>1128299</v>
      </c>
      <c r="D4065" s="10" t="n">
        <v>44203</v>
      </c>
      <c r="E4065" s="9" t="s">
        <v>33</v>
      </c>
      <c r="F4065" s="9" t="s">
        <v>34</v>
      </c>
      <c r="G4065" s="9" t="s">
        <v>35</v>
      </c>
      <c r="H4065" s="11" t="s">
        <v>21</v>
      </c>
      <c r="I4065" s="12" t="n">
        <v>63</v>
      </c>
      <c r="J4065" s="13" t="n">
        <v>248</v>
      </c>
      <c r="K4065" s="14" t="n">
        <f aca="false">I4065*J4065</f>
        <v>15624</v>
      </c>
      <c r="L4065" s="14" t="n">
        <f aca="false">($L$2*M4065)/100</f>
        <v>444616.605</v>
      </c>
      <c r="M4065" s="15" t="n">
        <v>0.37</v>
      </c>
      <c r="N4065" s="9" t="s">
        <v>85</v>
      </c>
    </row>
    <row r="4066" customFormat="false" ht="14.25" hidden="false" customHeight="true" outlineLevel="0" collapsed="false">
      <c r="B4066" s="9" t="s">
        <v>32</v>
      </c>
      <c r="C4066" s="9" t="n">
        <v>1128299</v>
      </c>
      <c r="D4066" s="10" t="n">
        <v>44204</v>
      </c>
      <c r="E4066" s="9" t="s">
        <v>33</v>
      </c>
      <c r="F4066" s="9" t="s">
        <v>34</v>
      </c>
      <c r="G4066" s="9" t="s">
        <v>35</v>
      </c>
      <c r="H4066" s="11" t="s">
        <v>22</v>
      </c>
      <c r="I4066" s="12" t="n">
        <v>64</v>
      </c>
      <c r="J4066" s="13" t="n">
        <v>206</v>
      </c>
      <c r="K4066" s="14" t="n">
        <f aca="false">I4066*J4066</f>
        <v>13184</v>
      </c>
      <c r="L4066" s="14" t="n">
        <f aca="false">($L$2*M4066)/100</f>
        <v>660916.575</v>
      </c>
      <c r="M4066" s="15" t="n">
        <v>0.55</v>
      </c>
      <c r="N4066" s="9" t="s">
        <v>85</v>
      </c>
    </row>
    <row r="4067" customFormat="false" ht="14.25" hidden="false" customHeight="true" outlineLevel="0" collapsed="false">
      <c r="B4067" s="9" t="s">
        <v>32</v>
      </c>
      <c r="C4067" s="9" t="n">
        <v>1128299</v>
      </c>
      <c r="D4067" s="10" t="n">
        <v>44205</v>
      </c>
      <c r="E4067" s="9" t="s">
        <v>33</v>
      </c>
      <c r="F4067" s="9" t="s">
        <v>34</v>
      </c>
      <c r="G4067" s="9" t="s">
        <v>35</v>
      </c>
      <c r="H4067" s="11" t="s">
        <v>23</v>
      </c>
      <c r="I4067" s="12" t="n">
        <v>59</v>
      </c>
      <c r="J4067" s="13" t="n">
        <v>210</v>
      </c>
      <c r="K4067" s="14" t="n">
        <f aca="false">I4067*J4067</f>
        <v>12390</v>
      </c>
      <c r="L4067" s="14" t="n">
        <f aca="false">($L$2*M4067)/100</f>
        <v>588816.585</v>
      </c>
      <c r="M4067" s="15" t="n">
        <v>0.49</v>
      </c>
      <c r="N4067" s="9" t="s">
        <v>85</v>
      </c>
    </row>
    <row r="4068" customFormat="false" ht="14.25" hidden="false" customHeight="true" outlineLevel="0" collapsed="false">
      <c r="B4068" s="9" t="s">
        <v>32</v>
      </c>
      <c r="C4068" s="9" t="n">
        <v>1128299</v>
      </c>
      <c r="D4068" s="10" t="n">
        <v>44206</v>
      </c>
      <c r="E4068" s="9" t="s">
        <v>33</v>
      </c>
      <c r="F4068" s="9" t="s">
        <v>34</v>
      </c>
      <c r="G4068" s="9" t="s">
        <v>35</v>
      </c>
      <c r="H4068" s="11" t="s">
        <v>24</v>
      </c>
      <c r="I4068" s="12" t="n">
        <v>62</v>
      </c>
      <c r="J4068" s="13" t="n">
        <v>155</v>
      </c>
      <c r="K4068" s="14" t="n">
        <f aca="false">I4068*J4068</f>
        <v>9610</v>
      </c>
      <c r="L4068" s="14" t="n">
        <f aca="false">($L$2*M4068)/100</f>
        <v>793099.89</v>
      </c>
      <c r="M4068" s="15" t="n">
        <v>0.66</v>
      </c>
      <c r="N4068" s="9" t="s">
        <v>85</v>
      </c>
    </row>
    <row r="4069" customFormat="false" ht="14.25" hidden="false" customHeight="true" outlineLevel="0" collapsed="false">
      <c r="B4069" s="9" t="s">
        <v>32</v>
      </c>
      <c r="C4069" s="9" t="n">
        <v>1128299</v>
      </c>
      <c r="D4069" s="10" t="n">
        <v>44207</v>
      </c>
      <c r="E4069" s="9" t="s">
        <v>33</v>
      </c>
      <c r="F4069" s="9" t="s">
        <v>34</v>
      </c>
      <c r="G4069" s="9" t="s">
        <v>35</v>
      </c>
      <c r="H4069" s="11" t="s">
        <v>25</v>
      </c>
      <c r="I4069" s="12" t="n">
        <v>72</v>
      </c>
      <c r="J4069" s="13" t="n">
        <v>219</v>
      </c>
      <c r="K4069" s="14" t="n">
        <f aca="false">I4069*J4069</f>
        <v>15768</v>
      </c>
      <c r="L4069" s="14" t="n">
        <f aca="false">($L$2*M4069)/100</f>
        <v>420583.275</v>
      </c>
      <c r="M4069" s="15" t="n">
        <v>0.35</v>
      </c>
      <c r="N4069" s="9" t="s">
        <v>85</v>
      </c>
    </row>
    <row r="4070" customFormat="false" ht="14.25" hidden="false" customHeight="true" outlineLevel="0" collapsed="false">
      <c r="B4070" s="9" t="s">
        <v>32</v>
      </c>
      <c r="C4070" s="9" t="n">
        <v>1128299</v>
      </c>
      <c r="D4070" s="10" t="n">
        <v>44208</v>
      </c>
      <c r="E4070" s="9" t="s">
        <v>33</v>
      </c>
      <c r="F4070" s="9" t="s">
        <v>34</v>
      </c>
      <c r="G4070" s="9" t="s">
        <v>35</v>
      </c>
      <c r="H4070" s="11" t="s">
        <v>19</v>
      </c>
      <c r="I4070" s="12" t="n">
        <v>56</v>
      </c>
      <c r="J4070" s="13" t="n">
        <v>277</v>
      </c>
      <c r="K4070" s="14" t="n">
        <f aca="false">I4070*J4070</f>
        <v>15512</v>
      </c>
      <c r="L4070" s="14" t="n">
        <f aca="false">($L$2*M4070)/100</f>
        <v>540749.925</v>
      </c>
      <c r="M4070" s="15" t="n">
        <v>0.45</v>
      </c>
      <c r="N4070" s="9" t="s">
        <v>85</v>
      </c>
    </row>
    <row r="4071" customFormat="false" ht="14.25" hidden="false" customHeight="true" outlineLevel="0" collapsed="false">
      <c r="B4071" s="9" t="s">
        <v>32</v>
      </c>
      <c r="C4071" s="9" t="n">
        <v>1128299</v>
      </c>
      <c r="D4071" s="10" t="n">
        <v>44209</v>
      </c>
      <c r="E4071" s="9" t="s">
        <v>33</v>
      </c>
      <c r="F4071" s="9" t="s">
        <v>34</v>
      </c>
      <c r="G4071" s="9" t="s">
        <v>35</v>
      </c>
      <c r="H4071" s="11" t="s">
        <v>21</v>
      </c>
      <c r="I4071" s="12" t="n">
        <v>59</v>
      </c>
      <c r="J4071" s="13" t="n">
        <v>245</v>
      </c>
      <c r="K4071" s="14" t="n">
        <f aca="false">I4071*J4071</f>
        <v>14455</v>
      </c>
      <c r="L4071" s="14" t="n">
        <f aca="false">($L$2*M4071)/100</f>
        <v>408566.61</v>
      </c>
      <c r="M4071" s="15" t="n">
        <v>0.34</v>
      </c>
      <c r="N4071" s="9" t="s">
        <v>85</v>
      </c>
    </row>
    <row r="4072" customFormat="false" ht="14.25" hidden="false" customHeight="true" outlineLevel="0" collapsed="false">
      <c r="B4072" s="9" t="s">
        <v>32</v>
      </c>
      <c r="C4072" s="9" t="n">
        <v>1128299</v>
      </c>
      <c r="D4072" s="10" t="n">
        <v>44210</v>
      </c>
      <c r="E4072" s="9" t="s">
        <v>33</v>
      </c>
      <c r="F4072" s="9" t="s">
        <v>34</v>
      </c>
      <c r="G4072" s="9" t="s">
        <v>35</v>
      </c>
      <c r="H4072" s="11" t="s">
        <v>22</v>
      </c>
      <c r="I4072" s="12" t="n">
        <v>62</v>
      </c>
      <c r="J4072" s="13" t="n">
        <v>248</v>
      </c>
      <c r="K4072" s="14" t="n">
        <f aca="false">I4072*J4072</f>
        <v>15376</v>
      </c>
      <c r="L4072" s="14" t="n">
        <f aca="false">($L$2*M4072)/100</f>
        <v>552766.59</v>
      </c>
      <c r="M4072" s="15" t="n">
        <v>0.46</v>
      </c>
      <c r="N4072" s="9" t="s">
        <v>85</v>
      </c>
    </row>
    <row r="4073" customFormat="false" ht="14.25" hidden="false" customHeight="true" outlineLevel="0" collapsed="false">
      <c r="B4073" s="9" t="s">
        <v>32</v>
      </c>
      <c r="C4073" s="9" t="n">
        <v>1128299</v>
      </c>
      <c r="D4073" s="10" t="n">
        <v>44211</v>
      </c>
      <c r="E4073" s="9" t="s">
        <v>33</v>
      </c>
      <c r="F4073" s="9" t="s">
        <v>34</v>
      </c>
      <c r="G4073" s="9" t="s">
        <v>35</v>
      </c>
      <c r="H4073" s="11" t="s">
        <v>23</v>
      </c>
      <c r="I4073" s="12" t="n">
        <v>55</v>
      </c>
      <c r="J4073" s="13" t="n">
        <v>218</v>
      </c>
      <c r="K4073" s="14" t="n">
        <f aca="false">I4073*J4073</f>
        <v>11990</v>
      </c>
      <c r="L4073" s="14" t="n">
        <f aca="false">($L$2*M4073)/100</f>
        <v>480666.6</v>
      </c>
      <c r="M4073" s="15" t="n">
        <v>0.4</v>
      </c>
      <c r="N4073" s="9" t="s">
        <v>85</v>
      </c>
    </row>
    <row r="4074" customFormat="false" ht="14.25" hidden="false" customHeight="true" outlineLevel="0" collapsed="false">
      <c r="B4074" s="9" t="s">
        <v>32</v>
      </c>
      <c r="C4074" s="9" t="n">
        <v>1128299</v>
      </c>
      <c r="D4074" s="10" t="n">
        <v>44212</v>
      </c>
      <c r="E4074" s="9" t="s">
        <v>33</v>
      </c>
      <c r="F4074" s="9" t="s">
        <v>34</v>
      </c>
      <c r="G4074" s="9" t="s">
        <v>35</v>
      </c>
      <c r="H4074" s="11" t="s">
        <v>24</v>
      </c>
      <c r="I4074" s="12" t="n">
        <v>64</v>
      </c>
      <c r="J4074" s="13" t="n">
        <v>233</v>
      </c>
      <c r="K4074" s="14" t="n">
        <f aca="false">I4074*J4074</f>
        <v>14912</v>
      </c>
      <c r="L4074" s="14" t="n">
        <f aca="false">($L$2*M4074)/100</f>
        <v>769066.56</v>
      </c>
      <c r="M4074" s="15" t="n">
        <v>0.64</v>
      </c>
      <c r="N4074" s="9" t="s">
        <v>85</v>
      </c>
    </row>
    <row r="4075" customFormat="false" ht="14.25" hidden="false" customHeight="true" outlineLevel="0" collapsed="false">
      <c r="B4075" s="9" t="s">
        <v>32</v>
      </c>
      <c r="C4075" s="9" t="n">
        <v>1128299</v>
      </c>
      <c r="D4075" s="10" t="n">
        <v>44213</v>
      </c>
      <c r="E4075" s="9" t="s">
        <v>33</v>
      </c>
      <c r="F4075" s="9" t="s">
        <v>34</v>
      </c>
      <c r="G4075" s="9" t="s">
        <v>35</v>
      </c>
      <c r="H4075" s="11" t="s">
        <v>25</v>
      </c>
      <c r="I4075" s="12" t="n">
        <v>72</v>
      </c>
      <c r="J4075" s="13" t="n">
        <v>233</v>
      </c>
      <c r="K4075" s="14" t="n">
        <f aca="false">I4075*J4075</f>
        <v>16776</v>
      </c>
      <c r="L4075" s="14" t="n">
        <f aca="false">($L$2*M4075)/100</f>
        <v>348483.285</v>
      </c>
      <c r="M4075" s="15" t="n">
        <v>0.29</v>
      </c>
      <c r="N4075" s="9" t="s">
        <v>85</v>
      </c>
    </row>
    <row r="4076" customFormat="false" ht="14.25" hidden="false" customHeight="true" outlineLevel="0" collapsed="false">
      <c r="B4076" s="9" t="s">
        <v>32</v>
      </c>
      <c r="C4076" s="9" t="n">
        <v>1128299</v>
      </c>
      <c r="D4076" s="10" t="n">
        <v>44214</v>
      </c>
      <c r="E4076" s="9" t="s">
        <v>33</v>
      </c>
      <c r="F4076" s="9" t="s">
        <v>34</v>
      </c>
      <c r="G4076" s="9" t="s">
        <v>35</v>
      </c>
      <c r="H4076" s="11" t="s">
        <v>19</v>
      </c>
      <c r="I4076" s="12" t="n">
        <v>62</v>
      </c>
      <c r="J4076" s="13" t="n">
        <v>273</v>
      </c>
      <c r="K4076" s="14" t="n">
        <f aca="false">I4076*J4076</f>
        <v>16926</v>
      </c>
      <c r="L4076" s="14" t="n">
        <f aca="false">($L$2*M4076)/100</f>
        <v>552766.59</v>
      </c>
      <c r="M4076" s="15" t="n">
        <v>0.46</v>
      </c>
      <c r="N4076" s="9" t="s">
        <v>85</v>
      </c>
    </row>
    <row r="4077" customFormat="false" ht="14.25" hidden="false" customHeight="true" outlineLevel="0" collapsed="false">
      <c r="B4077" s="9" t="s">
        <v>32</v>
      </c>
      <c r="C4077" s="9" t="n">
        <v>1128299</v>
      </c>
      <c r="D4077" s="10" t="n">
        <v>44215</v>
      </c>
      <c r="E4077" s="9" t="s">
        <v>33</v>
      </c>
      <c r="F4077" s="9" t="s">
        <v>34</v>
      </c>
      <c r="G4077" s="9" t="s">
        <v>35</v>
      </c>
      <c r="H4077" s="11" t="s">
        <v>21</v>
      </c>
      <c r="I4077" s="12" t="n">
        <v>66</v>
      </c>
      <c r="J4077" s="13" t="n">
        <v>259</v>
      </c>
      <c r="K4077" s="14" t="n">
        <f aca="false">I4077*J4077</f>
        <v>17094</v>
      </c>
      <c r="L4077" s="14" t="n">
        <f aca="false">($L$2*M4077)/100</f>
        <v>360499.95</v>
      </c>
      <c r="M4077" s="15" t="n">
        <v>0.3</v>
      </c>
      <c r="N4077" s="9" t="s">
        <v>85</v>
      </c>
    </row>
    <row r="4078" customFormat="false" ht="14.25" hidden="false" customHeight="true" outlineLevel="0" collapsed="false">
      <c r="B4078" s="9" t="s">
        <v>32</v>
      </c>
      <c r="C4078" s="9" t="n">
        <v>1128299</v>
      </c>
      <c r="D4078" s="10" t="n">
        <v>44216</v>
      </c>
      <c r="E4078" s="9" t="s">
        <v>33</v>
      </c>
      <c r="F4078" s="9" t="s">
        <v>34</v>
      </c>
      <c r="G4078" s="9" t="s">
        <v>35</v>
      </c>
      <c r="H4078" s="11" t="s">
        <v>22</v>
      </c>
      <c r="I4078" s="12" t="n">
        <v>60</v>
      </c>
      <c r="J4078" s="13" t="n">
        <v>200</v>
      </c>
      <c r="K4078" s="14" t="n">
        <f aca="false">I4078*J4078</f>
        <v>12000</v>
      </c>
      <c r="L4078" s="14" t="n">
        <f aca="false">($L$2*M4078)/100</f>
        <v>564783.255</v>
      </c>
      <c r="M4078" s="15" t="n">
        <v>0.47</v>
      </c>
      <c r="N4078" s="9" t="s">
        <v>85</v>
      </c>
    </row>
    <row r="4079" customFormat="false" ht="14.25" hidden="false" customHeight="true" outlineLevel="0" collapsed="false">
      <c r="B4079" s="9" t="s">
        <v>32</v>
      </c>
      <c r="C4079" s="9" t="n">
        <v>1128299</v>
      </c>
      <c r="D4079" s="10" t="n">
        <v>44217</v>
      </c>
      <c r="E4079" s="9" t="s">
        <v>33</v>
      </c>
      <c r="F4079" s="9" t="s">
        <v>34</v>
      </c>
      <c r="G4079" s="9" t="s">
        <v>35</v>
      </c>
      <c r="H4079" s="11" t="s">
        <v>23</v>
      </c>
      <c r="I4079" s="12" t="n">
        <v>59</v>
      </c>
      <c r="J4079" s="13" t="n">
        <v>188</v>
      </c>
      <c r="K4079" s="14" t="n">
        <f aca="false">I4079*J4079</f>
        <v>11092</v>
      </c>
      <c r="L4079" s="14" t="n">
        <f aca="false">($L$2*M4079)/100</f>
        <v>492683.265</v>
      </c>
      <c r="M4079" s="15" t="n">
        <v>0.41</v>
      </c>
      <c r="N4079" s="9" t="s">
        <v>85</v>
      </c>
    </row>
    <row r="4080" customFormat="false" ht="14.25" hidden="false" customHeight="true" outlineLevel="0" collapsed="false">
      <c r="B4080" s="9" t="s">
        <v>32</v>
      </c>
      <c r="C4080" s="9" t="n">
        <v>1128299</v>
      </c>
      <c r="D4080" s="10" t="n">
        <v>44218</v>
      </c>
      <c r="E4080" s="9" t="s">
        <v>33</v>
      </c>
      <c r="F4080" s="9" t="s">
        <v>34</v>
      </c>
      <c r="G4080" s="9" t="s">
        <v>35</v>
      </c>
      <c r="H4080" s="11" t="s">
        <v>24</v>
      </c>
      <c r="I4080" s="12" t="n">
        <v>69</v>
      </c>
      <c r="J4080" s="13" t="n">
        <v>188</v>
      </c>
      <c r="K4080" s="14" t="n">
        <f aca="false">I4080*J4080</f>
        <v>12972</v>
      </c>
      <c r="L4080" s="14" t="n">
        <f aca="false">($L$2*M4080)/100</f>
        <v>733016.565</v>
      </c>
      <c r="M4080" s="15" t="n">
        <v>0.61</v>
      </c>
      <c r="N4080" s="9" t="s">
        <v>85</v>
      </c>
    </row>
    <row r="4081" customFormat="false" ht="14.25" hidden="false" customHeight="true" outlineLevel="0" collapsed="false">
      <c r="B4081" s="9" t="s">
        <v>32</v>
      </c>
      <c r="C4081" s="9" t="n">
        <v>1128299</v>
      </c>
      <c r="D4081" s="10" t="n">
        <v>44219</v>
      </c>
      <c r="E4081" s="9" t="s">
        <v>33</v>
      </c>
      <c r="F4081" s="9" t="s">
        <v>34</v>
      </c>
      <c r="G4081" s="9" t="s">
        <v>35</v>
      </c>
      <c r="H4081" s="11" t="s">
        <v>25</v>
      </c>
      <c r="I4081" s="12" t="n">
        <v>76</v>
      </c>
      <c r="J4081" s="13" t="n">
        <v>181</v>
      </c>
      <c r="K4081" s="14" t="n">
        <f aca="false">I4081*J4081</f>
        <v>13756</v>
      </c>
      <c r="L4081" s="14" t="n">
        <f aca="false">($L$2*M4081)/100</f>
        <v>300416.625</v>
      </c>
      <c r="M4081" s="15" t="n">
        <v>0.25</v>
      </c>
      <c r="N4081" s="9" t="s">
        <v>85</v>
      </c>
    </row>
    <row r="4082" customFormat="false" ht="14.25" hidden="false" customHeight="true" outlineLevel="0" collapsed="false">
      <c r="B4082" s="9" t="s">
        <v>32</v>
      </c>
      <c r="C4082" s="9" t="n">
        <v>1128299</v>
      </c>
      <c r="D4082" s="10" t="n">
        <v>44220</v>
      </c>
      <c r="E4082" s="9" t="s">
        <v>33</v>
      </c>
      <c r="F4082" s="9" t="s">
        <v>34</v>
      </c>
      <c r="G4082" s="9" t="s">
        <v>35</v>
      </c>
      <c r="H4082" s="11" t="s">
        <v>19</v>
      </c>
      <c r="I4082" s="12" t="n">
        <v>51</v>
      </c>
      <c r="J4082" s="13" t="n">
        <v>241</v>
      </c>
      <c r="K4082" s="14" t="n">
        <f aca="false">I4082*J4082</f>
        <v>12291</v>
      </c>
      <c r="L4082" s="14" t="n">
        <f aca="false">($L$2*M4082)/100</f>
        <v>504699.93</v>
      </c>
      <c r="M4082" s="15" t="n">
        <v>0.42</v>
      </c>
      <c r="N4082" s="9" t="s">
        <v>85</v>
      </c>
    </row>
    <row r="4083" customFormat="false" ht="14.25" hidden="false" customHeight="true" outlineLevel="0" collapsed="false">
      <c r="B4083" s="9" t="s">
        <v>32</v>
      </c>
      <c r="C4083" s="9" t="n">
        <v>1128299</v>
      </c>
      <c r="D4083" s="10" t="n">
        <v>44221</v>
      </c>
      <c r="E4083" s="9" t="s">
        <v>33</v>
      </c>
      <c r="F4083" s="9" t="s">
        <v>34</v>
      </c>
      <c r="G4083" s="9" t="s">
        <v>35</v>
      </c>
      <c r="H4083" s="11" t="s">
        <v>21</v>
      </c>
      <c r="I4083" s="12" t="n">
        <v>56</v>
      </c>
      <c r="J4083" s="13" t="n">
        <v>268</v>
      </c>
      <c r="K4083" s="14" t="n">
        <f aca="false">I4083*J4083</f>
        <v>15008</v>
      </c>
      <c r="L4083" s="14" t="n">
        <f aca="false">($L$2*M4083)/100</f>
        <v>336466.62</v>
      </c>
      <c r="M4083" s="15" t="n">
        <v>0.28</v>
      </c>
      <c r="N4083" s="9" t="s">
        <v>85</v>
      </c>
    </row>
    <row r="4084" customFormat="false" ht="14.25" hidden="false" customHeight="true" outlineLevel="0" collapsed="false">
      <c r="B4084" s="9" t="s">
        <v>32</v>
      </c>
      <c r="C4084" s="9" t="n">
        <v>1128299</v>
      </c>
      <c r="D4084" s="10" t="n">
        <v>44222</v>
      </c>
      <c r="E4084" s="9" t="s">
        <v>33</v>
      </c>
      <c r="F4084" s="9" t="s">
        <v>34</v>
      </c>
      <c r="G4084" s="9" t="s">
        <v>35</v>
      </c>
      <c r="H4084" s="11" t="s">
        <v>22</v>
      </c>
      <c r="I4084" s="12" t="n">
        <v>52</v>
      </c>
      <c r="J4084" s="13" t="n">
        <v>225</v>
      </c>
      <c r="K4084" s="14" t="n">
        <f aca="false">I4084*J4084</f>
        <v>11700</v>
      </c>
      <c r="L4084" s="14" t="n">
        <f aca="false">($L$2*M4084)/100</f>
        <v>480666.6</v>
      </c>
      <c r="M4084" s="15" t="n">
        <v>0.4</v>
      </c>
      <c r="N4084" s="9" t="s">
        <v>85</v>
      </c>
    </row>
    <row r="4085" customFormat="false" ht="14.25" hidden="false" customHeight="true" outlineLevel="0" collapsed="false">
      <c r="B4085" s="9" t="s">
        <v>32</v>
      </c>
      <c r="C4085" s="9" t="n">
        <v>1128299</v>
      </c>
      <c r="D4085" s="10" t="n">
        <v>44223</v>
      </c>
      <c r="E4085" s="9" t="s">
        <v>33</v>
      </c>
      <c r="F4085" s="9" t="s">
        <v>34</v>
      </c>
      <c r="G4085" s="9" t="s">
        <v>35</v>
      </c>
      <c r="H4085" s="11" t="s">
        <v>23</v>
      </c>
      <c r="I4085" s="12" t="n">
        <v>53</v>
      </c>
      <c r="J4085" s="13" t="n">
        <v>203</v>
      </c>
      <c r="K4085" s="14" t="n">
        <f aca="false">I4085*J4085</f>
        <v>10759</v>
      </c>
      <c r="L4085" s="14" t="n">
        <f aca="false">($L$2*M4085)/100</f>
        <v>420583.275</v>
      </c>
      <c r="M4085" s="15" t="n">
        <v>0.35</v>
      </c>
      <c r="N4085" s="9" t="s">
        <v>85</v>
      </c>
    </row>
    <row r="4086" customFormat="false" ht="14.25" hidden="false" customHeight="true" outlineLevel="0" collapsed="false">
      <c r="B4086" s="9" t="s">
        <v>32</v>
      </c>
      <c r="C4086" s="9" t="n">
        <v>1128299</v>
      </c>
      <c r="D4086" s="10" t="n">
        <v>44224</v>
      </c>
      <c r="E4086" s="9" t="s">
        <v>33</v>
      </c>
      <c r="F4086" s="9" t="s">
        <v>34</v>
      </c>
      <c r="G4086" s="9" t="s">
        <v>35</v>
      </c>
      <c r="H4086" s="11" t="s">
        <v>24</v>
      </c>
      <c r="I4086" s="12" t="n">
        <v>63</v>
      </c>
      <c r="J4086" s="13" t="n">
        <v>218</v>
      </c>
      <c r="K4086" s="14" t="n">
        <f aca="false">I4086*J4086</f>
        <v>13734</v>
      </c>
      <c r="L4086" s="14" t="n">
        <f aca="false">($L$2*M4086)/100</f>
        <v>696966.57</v>
      </c>
      <c r="M4086" s="15" t="n">
        <v>0.58</v>
      </c>
      <c r="N4086" s="9" t="s">
        <v>85</v>
      </c>
    </row>
    <row r="4087" customFormat="false" ht="14.25" hidden="false" customHeight="true" outlineLevel="0" collapsed="false">
      <c r="B4087" s="9" t="s">
        <v>32</v>
      </c>
      <c r="C4087" s="9" t="n">
        <v>1128299</v>
      </c>
      <c r="D4087" s="10" t="n">
        <v>44225</v>
      </c>
      <c r="E4087" s="9" t="s">
        <v>33</v>
      </c>
      <c r="F4087" s="9" t="s">
        <v>34</v>
      </c>
      <c r="G4087" s="9" t="s">
        <v>35</v>
      </c>
      <c r="H4087" s="11" t="s">
        <v>25</v>
      </c>
      <c r="I4087" s="12" t="n">
        <v>65</v>
      </c>
      <c r="J4087" s="13" t="n">
        <v>217</v>
      </c>
      <c r="K4087" s="14" t="n">
        <f aca="false">I4087*J4087</f>
        <v>14105</v>
      </c>
      <c r="L4087" s="14" t="n">
        <f aca="false">($L$2*M4087)/100</f>
        <v>288399.96</v>
      </c>
      <c r="M4087" s="15" t="n">
        <v>0.24</v>
      </c>
      <c r="N4087" s="9" t="s">
        <v>85</v>
      </c>
    </row>
    <row r="4088" customFormat="false" ht="14.25" hidden="false" customHeight="true" outlineLevel="0" collapsed="false">
      <c r="B4088" s="9" t="s">
        <v>32</v>
      </c>
      <c r="C4088" s="9" t="n">
        <v>1128299</v>
      </c>
      <c r="D4088" s="10" t="n">
        <v>44226</v>
      </c>
      <c r="E4088" s="9" t="s">
        <v>33</v>
      </c>
      <c r="F4088" s="9" t="s">
        <v>34</v>
      </c>
      <c r="G4088" s="9" t="s">
        <v>35</v>
      </c>
      <c r="H4088" s="11" t="s">
        <v>19</v>
      </c>
      <c r="I4088" s="12" t="n">
        <v>51</v>
      </c>
      <c r="J4088" s="13" t="n">
        <v>236</v>
      </c>
      <c r="K4088" s="14" t="n">
        <f aca="false">I4088*J4088</f>
        <v>12036</v>
      </c>
      <c r="L4088" s="14" t="n">
        <f aca="false">($L$2*M4088)/100</f>
        <v>540749.925</v>
      </c>
      <c r="M4088" s="15" t="n">
        <v>0.45</v>
      </c>
      <c r="N4088" s="9" t="s">
        <v>85</v>
      </c>
    </row>
    <row r="4089" customFormat="false" ht="14.25" hidden="false" customHeight="true" outlineLevel="0" collapsed="false">
      <c r="B4089" s="9" t="s">
        <v>32</v>
      </c>
      <c r="C4089" s="9" t="n">
        <v>1128299</v>
      </c>
      <c r="D4089" s="10" t="n">
        <v>44227</v>
      </c>
      <c r="E4089" s="9" t="s">
        <v>33</v>
      </c>
      <c r="F4089" s="9" t="s">
        <v>34</v>
      </c>
      <c r="G4089" s="9" t="s">
        <v>35</v>
      </c>
      <c r="H4089" s="11" t="s">
        <v>21</v>
      </c>
      <c r="I4089" s="12" t="n">
        <v>59</v>
      </c>
      <c r="J4089" s="13" t="n">
        <v>219</v>
      </c>
      <c r="K4089" s="14" t="n">
        <f aca="false">I4089*J4089</f>
        <v>12921</v>
      </c>
      <c r="L4089" s="14" t="n">
        <f aca="false">($L$2*M4089)/100</f>
        <v>348483.285</v>
      </c>
      <c r="M4089" s="15" t="n">
        <v>0.29</v>
      </c>
      <c r="N4089" s="9" t="s">
        <v>85</v>
      </c>
    </row>
    <row r="4090" customFormat="false" ht="14.25" hidden="false" customHeight="true" outlineLevel="0" collapsed="false">
      <c r="B4090" s="9" t="s">
        <v>32</v>
      </c>
      <c r="C4090" s="9" t="n">
        <v>1128299</v>
      </c>
      <c r="D4090" s="10" t="n">
        <v>44228</v>
      </c>
      <c r="E4090" s="9" t="s">
        <v>33</v>
      </c>
      <c r="F4090" s="9" t="s">
        <v>34</v>
      </c>
      <c r="G4090" s="9" t="s">
        <v>35</v>
      </c>
      <c r="H4090" s="11" t="s">
        <v>22</v>
      </c>
      <c r="I4090" s="12" t="n">
        <v>50</v>
      </c>
      <c r="J4090" s="13" t="n">
        <v>182</v>
      </c>
      <c r="K4090" s="14" t="n">
        <f aca="false">I4090*J4090</f>
        <v>9100</v>
      </c>
      <c r="L4090" s="14" t="n">
        <f aca="false">($L$2*M4090)/100</f>
        <v>504699.93</v>
      </c>
      <c r="M4090" s="15" t="n">
        <v>0.42</v>
      </c>
      <c r="N4090" s="9" t="s">
        <v>85</v>
      </c>
    </row>
    <row r="4091" customFormat="false" ht="14.25" hidden="false" customHeight="true" outlineLevel="0" collapsed="false">
      <c r="B4091" s="9" t="s">
        <v>32</v>
      </c>
      <c r="C4091" s="9" t="n">
        <v>1128299</v>
      </c>
      <c r="D4091" s="10" t="n">
        <v>44229</v>
      </c>
      <c r="E4091" s="9" t="s">
        <v>33</v>
      </c>
      <c r="F4091" s="9" t="s">
        <v>34</v>
      </c>
      <c r="G4091" s="9" t="s">
        <v>35</v>
      </c>
      <c r="H4091" s="11" t="s">
        <v>23</v>
      </c>
      <c r="I4091" s="12" t="n">
        <v>51</v>
      </c>
      <c r="J4091" s="13" t="n">
        <v>203</v>
      </c>
      <c r="K4091" s="14" t="n">
        <f aca="false">I4091*J4091</f>
        <v>10353</v>
      </c>
      <c r="L4091" s="14" t="n">
        <f aca="false">($L$2*M4091)/100</f>
        <v>432599.94</v>
      </c>
      <c r="M4091" s="15" t="n">
        <v>0.36</v>
      </c>
      <c r="N4091" s="9" t="s">
        <v>85</v>
      </c>
    </row>
    <row r="4092" customFormat="false" ht="14.25" hidden="false" customHeight="true" outlineLevel="0" collapsed="false">
      <c r="B4092" s="9" t="s">
        <v>32</v>
      </c>
      <c r="C4092" s="9" t="n">
        <v>1128299</v>
      </c>
      <c r="D4092" s="10" t="n">
        <v>44230</v>
      </c>
      <c r="E4092" s="9" t="s">
        <v>33</v>
      </c>
      <c r="F4092" s="9" t="s">
        <v>34</v>
      </c>
      <c r="G4092" s="9" t="s">
        <v>35</v>
      </c>
      <c r="H4092" s="11" t="s">
        <v>24</v>
      </c>
      <c r="I4092" s="12" t="n">
        <v>59</v>
      </c>
      <c r="J4092" s="13" t="n">
        <v>182</v>
      </c>
      <c r="K4092" s="14" t="n">
        <f aca="false">I4092*J4092</f>
        <v>10738</v>
      </c>
      <c r="L4092" s="14" t="n">
        <f aca="false">($L$2*M4092)/100</f>
        <v>696966.57</v>
      </c>
      <c r="M4092" s="15" t="n">
        <v>0.58</v>
      </c>
      <c r="N4092" s="9" t="s">
        <v>85</v>
      </c>
    </row>
    <row r="4093" customFormat="false" ht="14.25" hidden="false" customHeight="true" outlineLevel="0" collapsed="false">
      <c r="B4093" s="9" t="s">
        <v>32</v>
      </c>
      <c r="C4093" s="9" t="n">
        <v>1128299</v>
      </c>
      <c r="D4093" s="10" t="n">
        <v>44231</v>
      </c>
      <c r="E4093" s="9" t="s">
        <v>33</v>
      </c>
      <c r="F4093" s="9" t="s">
        <v>34</v>
      </c>
      <c r="G4093" s="9" t="s">
        <v>35</v>
      </c>
      <c r="H4093" s="11" t="s">
        <v>25</v>
      </c>
      <c r="I4093" s="12" t="n">
        <v>63</v>
      </c>
      <c r="J4093" s="13" t="n">
        <v>196</v>
      </c>
      <c r="K4093" s="14" t="n">
        <f aca="false">I4093*J4093</f>
        <v>12348</v>
      </c>
      <c r="L4093" s="14" t="n">
        <f aca="false">($L$2*M4093)/100</f>
        <v>276383.295</v>
      </c>
      <c r="M4093" s="15" t="n">
        <v>0.23</v>
      </c>
      <c r="N4093" s="9" t="s">
        <v>85</v>
      </c>
    </row>
    <row r="4094" customFormat="false" ht="14.25" hidden="false" customHeight="true" outlineLevel="0" collapsed="false">
      <c r="B4094" s="9" t="s">
        <v>32</v>
      </c>
      <c r="C4094" s="9" t="n">
        <v>1128299</v>
      </c>
      <c r="D4094" s="10" t="n">
        <v>44232</v>
      </c>
      <c r="E4094" s="9" t="s">
        <v>33</v>
      </c>
      <c r="F4094" s="9" t="s">
        <v>34</v>
      </c>
      <c r="G4094" s="9" t="s">
        <v>35</v>
      </c>
      <c r="H4094" s="11" t="s">
        <v>19</v>
      </c>
      <c r="I4094" s="12" t="n">
        <v>52</v>
      </c>
      <c r="J4094" s="13" t="n">
        <v>263</v>
      </c>
      <c r="K4094" s="14" t="n">
        <f aca="false">I4094*J4094</f>
        <v>13676</v>
      </c>
      <c r="L4094" s="14" t="n">
        <f aca="false">($L$2*M4094)/100</f>
        <v>528733.26</v>
      </c>
      <c r="M4094" s="15" t="n">
        <v>0.44</v>
      </c>
      <c r="N4094" s="9" t="s">
        <v>85</v>
      </c>
    </row>
    <row r="4095" customFormat="false" ht="14.25" hidden="false" customHeight="true" outlineLevel="0" collapsed="false">
      <c r="B4095" s="9" t="s">
        <v>32</v>
      </c>
      <c r="C4095" s="9" t="n">
        <v>1128299</v>
      </c>
      <c r="D4095" s="10" t="n">
        <v>44233</v>
      </c>
      <c r="E4095" s="9" t="s">
        <v>33</v>
      </c>
      <c r="F4095" s="9" t="s">
        <v>34</v>
      </c>
      <c r="G4095" s="9" t="s">
        <v>35</v>
      </c>
      <c r="H4095" s="11" t="s">
        <v>21</v>
      </c>
      <c r="I4095" s="12" t="n">
        <v>58</v>
      </c>
      <c r="J4095" s="13" t="n">
        <v>236</v>
      </c>
      <c r="K4095" s="14" t="n">
        <f aca="false">I4095*J4095</f>
        <v>13688</v>
      </c>
      <c r="L4095" s="14" t="n">
        <f aca="false">($L$2*M4095)/100</f>
        <v>300416.625</v>
      </c>
      <c r="M4095" s="15" t="n">
        <v>0.25</v>
      </c>
      <c r="N4095" s="9" t="s">
        <v>85</v>
      </c>
    </row>
    <row r="4096" customFormat="false" ht="14.25" hidden="false" customHeight="true" outlineLevel="0" collapsed="false">
      <c r="B4096" s="9" t="s">
        <v>32</v>
      </c>
      <c r="C4096" s="9" t="n">
        <v>1128299</v>
      </c>
      <c r="D4096" s="10" t="n">
        <v>44234</v>
      </c>
      <c r="E4096" s="9" t="s">
        <v>33</v>
      </c>
      <c r="F4096" s="9" t="s">
        <v>34</v>
      </c>
      <c r="G4096" s="9" t="s">
        <v>35</v>
      </c>
      <c r="H4096" s="11" t="s">
        <v>22</v>
      </c>
      <c r="I4096" s="12" t="n">
        <v>50</v>
      </c>
      <c r="J4096" s="13" t="n">
        <v>210</v>
      </c>
      <c r="K4096" s="14" t="n">
        <f aca="false">I4096*J4096</f>
        <v>10500</v>
      </c>
      <c r="L4096" s="14" t="n">
        <f aca="false">($L$2*M4096)/100</f>
        <v>480666.6</v>
      </c>
      <c r="M4096" s="15" t="n">
        <v>0.4</v>
      </c>
      <c r="N4096" s="9" t="s">
        <v>85</v>
      </c>
    </row>
    <row r="4097" customFormat="false" ht="14.25" hidden="false" customHeight="true" outlineLevel="0" collapsed="false">
      <c r="B4097" s="9" t="s">
        <v>32</v>
      </c>
      <c r="C4097" s="9" t="n">
        <v>1128299</v>
      </c>
      <c r="D4097" s="10" t="n">
        <v>44235</v>
      </c>
      <c r="E4097" s="9" t="s">
        <v>33</v>
      </c>
      <c r="F4097" s="9" t="s">
        <v>34</v>
      </c>
      <c r="G4097" s="9" t="s">
        <v>35</v>
      </c>
      <c r="H4097" s="11" t="s">
        <v>23</v>
      </c>
      <c r="I4097" s="12" t="n">
        <v>53</v>
      </c>
      <c r="J4097" s="13" t="n">
        <v>210</v>
      </c>
      <c r="K4097" s="14" t="n">
        <f aca="false">I4097*J4097</f>
        <v>11130</v>
      </c>
      <c r="L4097" s="14" t="n">
        <f aca="false">($L$2*M4097)/100</f>
        <v>480666.6</v>
      </c>
      <c r="M4097" s="15" t="n">
        <v>0.4</v>
      </c>
      <c r="N4097" s="9" t="s">
        <v>85</v>
      </c>
    </row>
    <row r="4098" customFormat="false" ht="14.25" hidden="false" customHeight="true" outlineLevel="0" collapsed="false">
      <c r="B4098" s="9" t="s">
        <v>32</v>
      </c>
      <c r="C4098" s="9" t="n">
        <v>1128299</v>
      </c>
      <c r="D4098" s="10" t="n">
        <v>44236</v>
      </c>
      <c r="E4098" s="9" t="s">
        <v>33</v>
      </c>
      <c r="F4098" s="9" t="s">
        <v>34</v>
      </c>
      <c r="G4098" s="9" t="s">
        <v>35</v>
      </c>
      <c r="H4098" s="11" t="s">
        <v>24</v>
      </c>
      <c r="I4098" s="12" t="n">
        <v>63</v>
      </c>
      <c r="J4098" s="13" t="n">
        <v>163</v>
      </c>
      <c r="K4098" s="14" t="n">
        <f aca="false">I4098*J4098</f>
        <v>10269</v>
      </c>
      <c r="L4098" s="14" t="n">
        <f aca="false">($L$2*M4098)/100</f>
        <v>684949.905</v>
      </c>
      <c r="M4098" s="15" t="n">
        <v>0.57</v>
      </c>
      <c r="N4098" s="9" t="s">
        <v>85</v>
      </c>
    </row>
    <row r="4099" customFormat="false" ht="14.25" hidden="false" customHeight="true" outlineLevel="0" collapsed="false">
      <c r="B4099" s="9" t="s">
        <v>32</v>
      </c>
      <c r="C4099" s="9" t="n">
        <v>1128299</v>
      </c>
      <c r="D4099" s="10" t="n">
        <v>44237</v>
      </c>
      <c r="E4099" s="9" t="s">
        <v>33</v>
      </c>
      <c r="F4099" s="9" t="s">
        <v>34</v>
      </c>
      <c r="G4099" s="9" t="s">
        <v>35</v>
      </c>
      <c r="H4099" s="11" t="s">
        <v>25</v>
      </c>
      <c r="I4099" s="12" t="n">
        <v>67</v>
      </c>
      <c r="J4099" s="13" t="n">
        <v>202</v>
      </c>
      <c r="K4099" s="14" t="n">
        <f aca="false">I4099*J4099</f>
        <v>13534</v>
      </c>
      <c r="L4099" s="14" t="n">
        <f aca="false">($L$2*M4099)/100</f>
        <v>252349.965</v>
      </c>
      <c r="M4099" s="15" t="n">
        <v>0.21</v>
      </c>
      <c r="N4099" s="9" t="s">
        <v>85</v>
      </c>
    </row>
    <row r="4100" customFormat="false" ht="14.25" hidden="false" customHeight="true" outlineLevel="0" collapsed="false">
      <c r="B4100" s="9" t="s">
        <v>32</v>
      </c>
      <c r="C4100" s="9" t="n">
        <v>1128299</v>
      </c>
      <c r="D4100" s="10" t="n">
        <v>44238</v>
      </c>
      <c r="E4100" s="9" t="s">
        <v>33</v>
      </c>
      <c r="F4100" s="9" t="s">
        <v>34</v>
      </c>
      <c r="G4100" s="9" t="s">
        <v>35</v>
      </c>
      <c r="H4100" s="11" t="s">
        <v>19</v>
      </c>
      <c r="I4100" s="12" t="n">
        <v>51</v>
      </c>
      <c r="J4100" s="13" t="n">
        <v>293</v>
      </c>
      <c r="K4100" s="14" t="n">
        <f aca="false">I4100*J4100</f>
        <v>14943</v>
      </c>
      <c r="L4100" s="14" t="n">
        <f aca="false">($L$2*M4100)/100</f>
        <v>480666.6</v>
      </c>
      <c r="M4100" s="15" t="n">
        <v>0.4</v>
      </c>
      <c r="N4100" s="9" t="s">
        <v>85</v>
      </c>
    </row>
    <row r="4101" customFormat="false" ht="14.25" hidden="false" customHeight="true" outlineLevel="0" collapsed="false">
      <c r="B4101" s="9" t="s">
        <v>32</v>
      </c>
      <c r="C4101" s="9" t="n">
        <v>1128299</v>
      </c>
      <c r="D4101" s="10" t="n">
        <v>44239</v>
      </c>
      <c r="E4101" s="9" t="s">
        <v>33</v>
      </c>
      <c r="F4101" s="9" t="s">
        <v>34</v>
      </c>
      <c r="G4101" s="9" t="s">
        <v>35</v>
      </c>
      <c r="H4101" s="11" t="s">
        <v>21</v>
      </c>
      <c r="I4101" s="12" t="n">
        <v>58</v>
      </c>
      <c r="J4101" s="13" t="n">
        <v>273</v>
      </c>
      <c r="K4101" s="14" t="n">
        <f aca="false">I4101*J4101</f>
        <v>15834</v>
      </c>
      <c r="L4101" s="14" t="n">
        <f aca="false">($L$2*M4101)/100</f>
        <v>324449.955</v>
      </c>
      <c r="M4101" s="15" t="n">
        <v>0.27</v>
      </c>
      <c r="N4101" s="9" t="s">
        <v>85</v>
      </c>
    </row>
    <row r="4102" customFormat="false" ht="14.25" hidden="false" customHeight="true" outlineLevel="0" collapsed="false">
      <c r="B4102" s="9" t="s">
        <v>32</v>
      </c>
      <c r="C4102" s="9" t="n">
        <v>1128299</v>
      </c>
      <c r="D4102" s="10" t="n">
        <v>44240</v>
      </c>
      <c r="E4102" s="9" t="s">
        <v>33</v>
      </c>
      <c r="F4102" s="9" t="s">
        <v>34</v>
      </c>
      <c r="G4102" s="9" t="s">
        <v>35</v>
      </c>
      <c r="H4102" s="11" t="s">
        <v>22</v>
      </c>
      <c r="I4102" s="12" t="n">
        <v>52</v>
      </c>
      <c r="J4102" s="13" t="n">
        <v>233</v>
      </c>
      <c r="K4102" s="14" t="n">
        <f aca="false">I4102*J4102</f>
        <v>12116</v>
      </c>
      <c r="L4102" s="14" t="n">
        <f aca="false">($L$2*M4102)/100</f>
        <v>480666.6</v>
      </c>
      <c r="M4102" s="15" t="n">
        <v>0.4</v>
      </c>
      <c r="N4102" s="9" t="s">
        <v>85</v>
      </c>
    </row>
    <row r="4103" customFormat="false" ht="14.25" hidden="false" customHeight="true" outlineLevel="0" collapsed="false">
      <c r="B4103" s="9" t="s">
        <v>32</v>
      </c>
      <c r="C4103" s="9" t="n">
        <v>1128299</v>
      </c>
      <c r="D4103" s="10" t="n">
        <v>44241</v>
      </c>
      <c r="E4103" s="9" t="s">
        <v>33</v>
      </c>
      <c r="F4103" s="9" t="s">
        <v>34</v>
      </c>
      <c r="G4103" s="9" t="s">
        <v>35</v>
      </c>
      <c r="H4103" s="11" t="s">
        <v>23</v>
      </c>
      <c r="I4103" s="12" t="n">
        <v>51</v>
      </c>
      <c r="J4103" s="13" t="n">
        <v>194</v>
      </c>
      <c r="K4103" s="14" t="n">
        <f aca="false">I4103*J4103</f>
        <v>9894</v>
      </c>
      <c r="L4103" s="14" t="n">
        <f aca="false">($L$2*M4103)/100</f>
        <v>480666.6</v>
      </c>
      <c r="M4103" s="15" t="n">
        <v>0.4</v>
      </c>
      <c r="N4103" s="9" t="s">
        <v>85</v>
      </c>
    </row>
    <row r="4104" customFormat="false" ht="14.25" hidden="false" customHeight="true" outlineLevel="0" collapsed="false">
      <c r="B4104" s="9" t="s">
        <v>32</v>
      </c>
      <c r="C4104" s="9" t="n">
        <v>1128299</v>
      </c>
      <c r="D4104" s="10" t="n">
        <v>44242</v>
      </c>
      <c r="E4104" s="9" t="s">
        <v>33</v>
      </c>
      <c r="F4104" s="9" t="s">
        <v>34</v>
      </c>
      <c r="G4104" s="9" t="s">
        <v>35</v>
      </c>
      <c r="H4104" s="11" t="s">
        <v>24</v>
      </c>
      <c r="I4104" s="12" t="n">
        <v>59</v>
      </c>
      <c r="J4104" s="13" t="n">
        <v>175</v>
      </c>
      <c r="K4104" s="14" t="n">
        <f aca="false">I4104*J4104</f>
        <v>10325</v>
      </c>
      <c r="L4104" s="14" t="n">
        <f aca="false">($L$2*M4104)/100</f>
        <v>720999.9</v>
      </c>
      <c r="M4104" s="15" t="n">
        <v>0.6</v>
      </c>
      <c r="N4104" s="9" t="s">
        <v>85</v>
      </c>
    </row>
    <row r="4105" customFormat="false" ht="14.25" hidden="false" customHeight="true" outlineLevel="0" collapsed="false">
      <c r="B4105" s="9" t="s">
        <v>32</v>
      </c>
      <c r="C4105" s="9" t="n">
        <v>1128299</v>
      </c>
      <c r="D4105" s="10" t="n">
        <v>44243</v>
      </c>
      <c r="E4105" s="9" t="s">
        <v>33</v>
      </c>
      <c r="F4105" s="9" t="s">
        <v>34</v>
      </c>
      <c r="G4105" s="9" t="s">
        <v>35</v>
      </c>
      <c r="H4105" s="11" t="s">
        <v>25</v>
      </c>
      <c r="I4105" s="12" t="n">
        <v>67</v>
      </c>
      <c r="J4105" s="13" t="n">
        <v>208</v>
      </c>
      <c r="K4105" s="14" t="n">
        <f aca="false">I4105*J4105</f>
        <v>13936</v>
      </c>
      <c r="L4105" s="14" t="n">
        <f aca="false">($L$2*M4105)/100</f>
        <v>276383.295</v>
      </c>
      <c r="M4105" s="15" t="n">
        <v>0.23</v>
      </c>
      <c r="N4105" s="9" t="s">
        <v>85</v>
      </c>
    </row>
    <row r="4106" customFormat="false" ht="14.25" hidden="false" customHeight="true" outlineLevel="0" collapsed="false">
      <c r="B4106" s="9" t="s">
        <v>36</v>
      </c>
      <c r="C4106" s="9" t="n">
        <v>1189833</v>
      </c>
      <c r="D4106" s="10" t="n">
        <v>44244</v>
      </c>
      <c r="E4106" s="9" t="s">
        <v>33</v>
      </c>
      <c r="F4106" s="9" t="s">
        <v>34</v>
      </c>
      <c r="G4106" s="9" t="s">
        <v>35</v>
      </c>
      <c r="H4106" s="11" t="s">
        <v>19</v>
      </c>
      <c r="I4106" s="12" t="n">
        <v>32</v>
      </c>
      <c r="J4106" s="13" t="n">
        <v>203</v>
      </c>
      <c r="K4106" s="14" t="n">
        <f aca="false">I4106*J4106</f>
        <v>6496</v>
      </c>
      <c r="L4106" s="14" t="n">
        <f aca="false">($L$2*M4106)/100</f>
        <v>612849.915</v>
      </c>
      <c r="M4106" s="15" t="n">
        <v>0.51</v>
      </c>
      <c r="N4106" s="9" t="s">
        <v>85</v>
      </c>
    </row>
    <row r="4107" customFormat="false" ht="14.25" hidden="false" customHeight="true" outlineLevel="0" collapsed="false">
      <c r="B4107" s="9" t="s">
        <v>36</v>
      </c>
      <c r="C4107" s="9" t="n">
        <v>1189833</v>
      </c>
      <c r="D4107" s="10" t="n">
        <v>44245</v>
      </c>
      <c r="E4107" s="9" t="s">
        <v>33</v>
      </c>
      <c r="F4107" s="9" t="s">
        <v>34</v>
      </c>
      <c r="G4107" s="9" t="s">
        <v>35</v>
      </c>
      <c r="H4107" s="11" t="s">
        <v>21</v>
      </c>
      <c r="I4107" s="12" t="n">
        <v>41</v>
      </c>
      <c r="J4107" s="13" t="n">
        <v>196</v>
      </c>
      <c r="K4107" s="14" t="n">
        <f aca="false">I4107*J4107</f>
        <v>8036</v>
      </c>
      <c r="L4107" s="14" t="n">
        <f aca="false">($L$2*M4107)/100</f>
        <v>432599.94</v>
      </c>
      <c r="M4107" s="15" t="n">
        <v>0.36</v>
      </c>
      <c r="N4107" s="9" t="s">
        <v>85</v>
      </c>
    </row>
    <row r="4108" customFormat="false" ht="14.25" hidden="false" customHeight="true" outlineLevel="0" collapsed="false">
      <c r="B4108" s="9" t="s">
        <v>36</v>
      </c>
      <c r="C4108" s="9" t="n">
        <v>1189833</v>
      </c>
      <c r="D4108" s="10" t="n">
        <v>44264</v>
      </c>
      <c r="E4108" s="9" t="s">
        <v>33</v>
      </c>
      <c r="F4108" s="9" t="s">
        <v>34</v>
      </c>
      <c r="G4108" s="9" t="s">
        <v>35</v>
      </c>
      <c r="H4108" s="11" t="s">
        <v>22</v>
      </c>
      <c r="I4108" s="12" t="n">
        <v>41</v>
      </c>
      <c r="J4108" s="13" t="n">
        <v>189</v>
      </c>
      <c r="K4108" s="14" t="n">
        <f aca="false">I4108*J4108</f>
        <v>7749</v>
      </c>
      <c r="L4108" s="14" t="n">
        <f aca="false">($L$2*M4108)/100</f>
        <v>624866.58</v>
      </c>
      <c r="M4108" s="15" t="n">
        <v>0.52</v>
      </c>
      <c r="N4108" s="9" t="s">
        <v>85</v>
      </c>
    </row>
    <row r="4109" customFormat="false" ht="14.25" hidden="false" customHeight="true" outlineLevel="0" collapsed="false">
      <c r="B4109" s="9" t="s">
        <v>36</v>
      </c>
      <c r="C4109" s="9" t="n">
        <v>1189833</v>
      </c>
      <c r="D4109" s="10" t="n">
        <v>44265</v>
      </c>
      <c r="E4109" s="9" t="s">
        <v>33</v>
      </c>
      <c r="F4109" s="9" t="s">
        <v>34</v>
      </c>
      <c r="G4109" s="9" t="s">
        <v>35</v>
      </c>
      <c r="H4109" s="11" t="s">
        <v>23</v>
      </c>
      <c r="I4109" s="12" t="n">
        <v>41</v>
      </c>
      <c r="J4109" s="13" t="n">
        <v>160</v>
      </c>
      <c r="K4109" s="14" t="n">
        <f aca="false">I4109*J4109</f>
        <v>6560</v>
      </c>
      <c r="L4109" s="14" t="n">
        <f aca="false">($L$2*M4109)/100</f>
        <v>588816.585</v>
      </c>
      <c r="M4109" s="15" t="n">
        <v>0.49</v>
      </c>
      <c r="N4109" s="9" t="s">
        <v>85</v>
      </c>
    </row>
    <row r="4110" customFormat="false" ht="14.25" hidden="false" customHeight="true" outlineLevel="0" collapsed="false">
      <c r="B4110" s="9" t="s">
        <v>36</v>
      </c>
      <c r="C4110" s="9" t="n">
        <v>1189833</v>
      </c>
      <c r="D4110" s="10" t="n">
        <v>44266</v>
      </c>
      <c r="E4110" s="9" t="s">
        <v>33</v>
      </c>
      <c r="F4110" s="9" t="s">
        <v>34</v>
      </c>
      <c r="G4110" s="9" t="s">
        <v>37</v>
      </c>
      <c r="H4110" s="11" t="s">
        <v>24</v>
      </c>
      <c r="I4110" s="12" t="n">
        <v>49</v>
      </c>
      <c r="J4110" s="13" t="n">
        <v>145</v>
      </c>
      <c r="K4110" s="14" t="n">
        <f aca="false">I4110*J4110</f>
        <v>7105</v>
      </c>
      <c r="L4110" s="14" t="n">
        <f aca="false">($L$2*M4110)/100</f>
        <v>793099.89</v>
      </c>
      <c r="M4110" s="15" t="n">
        <v>0.66</v>
      </c>
      <c r="N4110" s="9" t="s">
        <v>85</v>
      </c>
    </row>
    <row r="4111" customFormat="false" ht="14.25" hidden="false" customHeight="true" outlineLevel="0" collapsed="false">
      <c r="B4111" s="9" t="s">
        <v>36</v>
      </c>
      <c r="C4111" s="9" t="n">
        <v>1189833</v>
      </c>
      <c r="D4111" s="10" t="n">
        <v>44267</v>
      </c>
      <c r="E4111" s="9" t="s">
        <v>33</v>
      </c>
      <c r="F4111" s="9" t="s">
        <v>34</v>
      </c>
      <c r="G4111" s="9" t="s">
        <v>37</v>
      </c>
      <c r="H4111" s="11" t="s">
        <v>25</v>
      </c>
      <c r="I4111" s="12" t="n">
        <v>41</v>
      </c>
      <c r="J4111" s="13" t="n">
        <v>182</v>
      </c>
      <c r="K4111" s="14" t="n">
        <f aca="false">I4111*J4111</f>
        <v>7462</v>
      </c>
      <c r="L4111" s="14" t="n">
        <f aca="false">($L$2*M4111)/100</f>
        <v>372516.615</v>
      </c>
      <c r="M4111" s="15" t="n">
        <v>0.31</v>
      </c>
      <c r="N4111" s="9" t="s">
        <v>85</v>
      </c>
    </row>
    <row r="4112" customFormat="false" ht="14.25" hidden="false" customHeight="true" outlineLevel="0" collapsed="false">
      <c r="B4112" s="9" t="s">
        <v>36</v>
      </c>
      <c r="C4112" s="9" t="n">
        <v>1189833</v>
      </c>
      <c r="D4112" s="10" t="n">
        <v>44268</v>
      </c>
      <c r="E4112" s="9" t="s">
        <v>33</v>
      </c>
      <c r="F4112" s="9" t="s">
        <v>34</v>
      </c>
      <c r="G4112" s="9" t="s">
        <v>37</v>
      </c>
      <c r="H4112" s="11" t="s">
        <v>19</v>
      </c>
      <c r="I4112" s="12" t="n">
        <v>34</v>
      </c>
      <c r="J4112" s="13" t="n">
        <v>225</v>
      </c>
      <c r="K4112" s="14" t="n">
        <f aca="false">I4112*J4112</f>
        <v>7650</v>
      </c>
      <c r="L4112" s="14" t="n">
        <f aca="false">($L$2*M4112)/100</f>
        <v>636883.245</v>
      </c>
      <c r="M4112" s="15" t="n">
        <v>0.53</v>
      </c>
      <c r="N4112" s="9" t="s">
        <v>85</v>
      </c>
    </row>
    <row r="4113" customFormat="false" ht="14.25" hidden="false" customHeight="true" outlineLevel="0" collapsed="false">
      <c r="B4113" s="9" t="s">
        <v>36</v>
      </c>
      <c r="C4113" s="9" t="n">
        <v>1189833</v>
      </c>
      <c r="D4113" s="10" t="n">
        <v>44269</v>
      </c>
      <c r="E4113" s="9" t="s">
        <v>33</v>
      </c>
      <c r="F4113" s="9" t="s">
        <v>34</v>
      </c>
      <c r="G4113" s="9" t="s">
        <v>37</v>
      </c>
      <c r="H4113" s="11" t="s">
        <v>21</v>
      </c>
      <c r="I4113" s="12" t="n">
        <v>43</v>
      </c>
      <c r="J4113" s="13" t="n">
        <v>195</v>
      </c>
      <c r="K4113" s="14" t="n">
        <f aca="false">I4113*J4113</f>
        <v>8385</v>
      </c>
      <c r="L4113" s="14" t="n">
        <f aca="false">($L$2*M4113)/100</f>
        <v>480666.6</v>
      </c>
      <c r="M4113" s="15" t="n">
        <v>0.4</v>
      </c>
      <c r="N4113" s="9" t="s">
        <v>85</v>
      </c>
    </row>
    <row r="4114" customFormat="false" ht="14.25" hidden="false" customHeight="true" outlineLevel="0" collapsed="false">
      <c r="B4114" s="9" t="s">
        <v>36</v>
      </c>
      <c r="C4114" s="9" t="n">
        <v>1189833</v>
      </c>
      <c r="D4114" s="10" t="n">
        <v>44270</v>
      </c>
      <c r="E4114" s="9" t="s">
        <v>33</v>
      </c>
      <c r="F4114" s="9" t="s">
        <v>34</v>
      </c>
      <c r="G4114" s="9" t="s">
        <v>37</v>
      </c>
      <c r="H4114" s="11" t="s">
        <v>22</v>
      </c>
      <c r="I4114" s="12" t="n">
        <v>44</v>
      </c>
      <c r="J4114" s="13" t="n">
        <v>169</v>
      </c>
      <c r="K4114" s="14" t="n">
        <f aca="false">I4114*J4114</f>
        <v>7436</v>
      </c>
      <c r="L4114" s="14" t="n">
        <f aca="false">($L$2*M4114)/100</f>
        <v>600833.25</v>
      </c>
      <c r="M4114" s="15" t="n">
        <v>0.5</v>
      </c>
      <c r="N4114" s="9" t="s">
        <v>85</v>
      </c>
    </row>
    <row r="4115" customFormat="false" ht="14.25" hidden="false" customHeight="true" outlineLevel="0" collapsed="false">
      <c r="B4115" s="9" t="s">
        <v>36</v>
      </c>
      <c r="C4115" s="9" t="n">
        <v>1189833</v>
      </c>
      <c r="D4115" s="10" t="n">
        <v>44271</v>
      </c>
      <c r="E4115" s="9" t="s">
        <v>33</v>
      </c>
      <c r="F4115" s="9" t="s">
        <v>34</v>
      </c>
      <c r="G4115" s="9" t="s">
        <v>37</v>
      </c>
      <c r="H4115" s="11" t="s">
        <v>23</v>
      </c>
      <c r="I4115" s="12" t="n">
        <v>41</v>
      </c>
      <c r="J4115" s="13" t="n">
        <v>152</v>
      </c>
      <c r="K4115" s="14" t="n">
        <f aca="false">I4115*J4115</f>
        <v>6232</v>
      </c>
      <c r="L4115" s="14" t="n">
        <f aca="false">($L$2*M4115)/100</f>
        <v>588816.585</v>
      </c>
      <c r="M4115" s="15" t="n">
        <v>0.49</v>
      </c>
      <c r="N4115" s="9" t="s">
        <v>85</v>
      </c>
    </row>
    <row r="4116" customFormat="false" ht="14.25" hidden="false" customHeight="true" outlineLevel="0" collapsed="false">
      <c r="B4116" s="9" t="s">
        <v>36</v>
      </c>
      <c r="C4116" s="9" t="n">
        <v>1189833</v>
      </c>
      <c r="D4116" s="10" t="n">
        <v>44272</v>
      </c>
      <c r="E4116" s="9" t="s">
        <v>33</v>
      </c>
      <c r="F4116" s="9" t="s">
        <v>34</v>
      </c>
      <c r="G4116" s="9" t="s">
        <v>37</v>
      </c>
      <c r="H4116" s="11" t="s">
        <v>24</v>
      </c>
      <c r="I4116" s="12" t="n">
        <v>46</v>
      </c>
      <c r="J4116" s="13" t="n">
        <v>113</v>
      </c>
      <c r="K4116" s="14" t="n">
        <f aca="false">I4116*J4116</f>
        <v>5198</v>
      </c>
      <c r="L4116" s="14" t="n">
        <f aca="false">($L$2*M4116)/100</f>
        <v>817133.22</v>
      </c>
      <c r="M4116" s="15" t="n">
        <v>0.68</v>
      </c>
      <c r="N4116" s="9" t="s">
        <v>85</v>
      </c>
    </row>
    <row r="4117" customFormat="false" ht="14.25" hidden="false" customHeight="true" outlineLevel="0" collapsed="false">
      <c r="B4117" s="9" t="s">
        <v>36</v>
      </c>
      <c r="C4117" s="9" t="n">
        <v>1189833</v>
      </c>
      <c r="D4117" s="10" t="n">
        <v>44273</v>
      </c>
      <c r="E4117" s="9" t="s">
        <v>33</v>
      </c>
      <c r="F4117" s="9" t="s">
        <v>34</v>
      </c>
      <c r="G4117" s="9" t="s">
        <v>37</v>
      </c>
      <c r="H4117" s="11" t="s">
        <v>25</v>
      </c>
      <c r="I4117" s="12" t="n">
        <v>41</v>
      </c>
      <c r="J4117" s="13" t="n">
        <v>176</v>
      </c>
      <c r="K4117" s="14" t="n">
        <f aca="false">I4117*J4117</f>
        <v>7216</v>
      </c>
      <c r="L4117" s="14" t="n">
        <f aca="false">($L$2*M4117)/100</f>
        <v>360499.95</v>
      </c>
      <c r="M4117" s="15" t="n">
        <v>0.3</v>
      </c>
      <c r="N4117" s="9" t="s">
        <v>85</v>
      </c>
    </row>
    <row r="4118" customFormat="false" ht="14.25" hidden="false" customHeight="true" outlineLevel="0" collapsed="false">
      <c r="B4118" s="9" t="s">
        <v>36</v>
      </c>
      <c r="C4118" s="9" t="n">
        <v>1189833</v>
      </c>
      <c r="D4118" s="10" t="n">
        <v>44274</v>
      </c>
      <c r="E4118" s="9" t="s">
        <v>33</v>
      </c>
      <c r="F4118" s="9" t="s">
        <v>34</v>
      </c>
      <c r="G4118" s="9" t="s">
        <v>37</v>
      </c>
      <c r="H4118" s="11" t="s">
        <v>19</v>
      </c>
      <c r="I4118" s="12" t="n">
        <v>32</v>
      </c>
      <c r="J4118" s="13" t="n">
        <v>216</v>
      </c>
      <c r="K4118" s="14" t="n">
        <f aca="false">I4118*J4118</f>
        <v>6912</v>
      </c>
      <c r="L4118" s="14" t="n">
        <f aca="false">($L$2*M4118)/100</f>
        <v>600833.25</v>
      </c>
      <c r="M4118" s="15" t="n">
        <v>0.5</v>
      </c>
      <c r="N4118" s="9" t="s">
        <v>85</v>
      </c>
    </row>
    <row r="4119" customFormat="false" ht="14.25" hidden="false" customHeight="true" outlineLevel="0" collapsed="false">
      <c r="B4119" s="9" t="s">
        <v>36</v>
      </c>
      <c r="C4119" s="9" t="n">
        <v>1189833</v>
      </c>
      <c r="D4119" s="10" t="n">
        <v>44275</v>
      </c>
      <c r="E4119" s="9" t="s">
        <v>33</v>
      </c>
      <c r="F4119" s="9" t="s">
        <v>34</v>
      </c>
      <c r="G4119" s="9" t="s">
        <v>37</v>
      </c>
      <c r="H4119" s="11" t="s">
        <v>21</v>
      </c>
      <c r="I4119" s="12" t="n">
        <v>41</v>
      </c>
      <c r="J4119" s="13" t="n">
        <v>195</v>
      </c>
      <c r="K4119" s="14" t="n">
        <f aca="false">I4119*J4119</f>
        <v>7995</v>
      </c>
      <c r="L4119" s="14" t="n">
        <f aca="false">($L$2*M4119)/100</f>
        <v>420583.275</v>
      </c>
      <c r="M4119" s="15" t="n">
        <v>0.35</v>
      </c>
      <c r="N4119" s="9" t="s">
        <v>85</v>
      </c>
    </row>
    <row r="4120" customFormat="false" ht="14.25" hidden="false" customHeight="true" outlineLevel="0" collapsed="false">
      <c r="B4120" s="9" t="s">
        <v>36</v>
      </c>
      <c r="C4120" s="9" t="n">
        <v>1189833</v>
      </c>
      <c r="D4120" s="10" t="n">
        <v>44276</v>
      </c>
      <c r="E4120" s="9" t="s">
        <v>33</v>
      </c>
      <c r="F4120" s="9" t="s">
        <v>34</v>
      </c>
      <c r="G4120" s="9" t="s">
        <v>37</v>
      </c>
      <c r="H4120" s="11" t="s">
        <v>22</v>
      </c>
      <c r="I4120" s="12" t="n">
        <v>42</v>
      </c>
      <c r="J4120" s="13" t="n">
        <v>169</v>
      </c>
      <c r="K4120" s="14" t="n">
        <f aca="false">I4120*J4120</f>
        <v>7098</v>
      </c>
      <c r="L4120" s="14" t="n">
        <f aca="false">($L$2*M4120)/100</f>
        <v>660916.575</v>
      </c>
      <c r="M4120" s="15" t="n">
        <v>0.55</v>
      </c>
      <c r="N4120" s="9" t="s">
        <v>85</v>
      </c>
    </row>
    <row r="4121" customFormat="false" ht="14.25" hidden="false" customHeight="true" outlineLevel="0" collapsed="false">
      <c r="B4121" s="9" t="s">
        <v>36</v>
      </c>
      <c r="C4121" s="9" t="n">
        <v>1189833</v>
      </c>
      <c r="D4121" s="10" t="n">
        <v>44277</v>
      </c>
      <c r="E4121" s="9" t="s">
        <v>33</v>
      </c>
      <c r="F4121" s="9" t="s">
        <v>34</v>
      </c>
      <c r="G4121" s="9" t="s">
        <v>37</v>
      </c>
      <c r="H4121" s="11" t="s">
        <v>23</v>
      </c>
      <c r="I4121" s="12" t="n">
        <v>41</v>
      </c>
      <c r="J4121" s="13" t="n">
        <v>154</v>
      </c>
      <c r="K4121" s="14" t="n">
        <f aca="false">I4121*J4121</f>
        <v>6314</v>
      </c>
      <c r="L4121" s="14" t="n">
        <f aca="false">($L$2*M4121)/100</f>
        <v>540749.925</v>
      </c>
      <c r="M4121" s="15" t="n">
        <v>0.45</v>
      </c>
      <c r="N4121" s="9" t="s">
        <v>85</v>
      </c>
    </row>
    <row r="4122" customFormat="false" ht="14.25" hidden="false" customHeight="true" outlineLevel="0" collapsed="false">
      <c r="B4122" s="9" t="s">
        <v>36</v>
      </c>
      <c r="C4122" s="9" t="n">
        <v>1189833</v>
      </c>
      <c r="D4122" s="10" t="n">
        <v>44278</v>
      </c>
      <c r="E4122" s="9" t="s">
        <v>33</v>
      </c>
      <c r="F4122" s="9" t="s">
        <v>34</v>
      </c>
      <c r="G4122" s="9" t="s">
        <v>37</v>
      </c>
      <c r="H4122" s="11" t="s">
        <v>24</v>
      </c>
      <c r="I4122" s="12" t="n">
        <v>46</v>
      </c>
      <c r="J4122" s="13" t="n">
        <v>106</v>
      </c>
      <c r="K4122" s="14" t="n">
        <f aca="false">I4122*J4122</f>
        <v>4876</v>
      </c>
      <c r="L4122" s="14" t="n">
        <f aca="false">($L$2*M4122)/100</f>
        <v>817133.22</v>
      </c>
      <c r="M4122" s="15" t="n">
        <v>0.68</v>
      </c>
      <c r="N4122" s="9" t="s">
        <v>85</v>
      </c>
    </row>
    <row r="4123" customFormat="false" ht="14.25" hidden="false" customHeight="true" outlineLevel="0" collapsed="false">
      <c r="B4123" s="9" t="s">
        <v>36</v>
      </c>
      <c r="C4123" s="9" t="n">
        <v>1189833</v>
      </c>
      <c r="D4123" s="10" t="n">
        <v>44292</v>
      </c>
      <c r="E4123" s="9" t="s">
        <v>33</v>
      </c>
      <c r="F4123" s="9" t="s">
        <v>34</v>
      </c>
      <c r="G4123" s="9" t="s">
        <v>37</v>
      </c>
      <c r="H4123" s="11" t="s">
        <v>25</v>
      </c>
      <c r="I4123" s="12" t="n">
        <v>41</v>
      </c>
      <c r="J4123" s="13" t="n">
        <v>188</v>
      </c>
      <c r="K4123" s="14" t="n">
        <f aca="false">I4123*J4123</f>
        <v>7708</v>
      </c>
      <c r="L4123" s="14" t="n">
        <f aca="false">($L$2*M4123)/100</f>
        <v>420583.275</v>
      </c>
      <c r="M4123" s="15" t="n">
        <v>0.35</v>
      </c>
      <c r="N4123" s="9" t="s">
        <v>85</v>
      </c>
    </row>
    <row r="4124" customFormat="false" ht="14.25" hidden="false" customHeight="true" outlineLevel="0" collapsed="false">
      <c r="B4124" s="9" t="s">
        <v>36</v>
      </c>
      <c r="C4124" s="9" t="n">
        <v>1189833</v>
      </c>
      <c r="D4124" s="10" t="n">
        <v>44293</v>
      </c>
      <c r="E4124" s="9" t="s">
        <v>33</v>
      </c>
      <c r="F4124" s="9" t="s">
        <v>34</v>
      </c>
      <c r="G4124" s="9" t="s">
        <v>37</v>
      </c>
      <c r="H4124" s="11" t="s">
        <v>19</v>
      </c>
      <c r="I4124" s="12" t="n">
        <v>43</v>
      </c>
      <c r="J4124" s="13" t="n">
        <v>240</v>
      </c>
      <c r="K4124" s="14" t="n">
        <f aca="false">I4124*J4124</f>
        <v>10320</v>
      </c>
      <c r="L4124" s="14" t="n">
        <f aca="false">($L$2*M4124)/100</f>
        <v>600833.25</v>
      </c>
      <c r="M4124" s="15" t="n">
        <v>0.5</v>
      </c>
      <c r="N4124" s="9" t="s">
        <v>85</v>
      </c>
    </row>
    <row r="4125" customFormat="false" ht="14.25" hidden="false" customHeight="true" outlineLevel="0" collapsed="false">
      <c r="B4125" s="9" t="s">
        <v>36</v>
      </c>
      <c r="C4125" s="9" t="n">
        <v>1189833</v>
      </c>
      <c r="D4125" s="10" t="n">
        <v>44294</v>
      </c>
      <c r="E4125" s="9" t="s">
        <v>33</v>
      </c>
      <c r="F4125" s="9" t="s">
        <v>34</v>
      </c>
      <c r="G4125" s="9" t="s">
        <v>37</v>
      </c>
      <c r="H4125" s="11" t="s">
        <v>21</v>
      </c>
      <c r="I4125" s="12" t="n">
        <v>49</v>
      </c>
      <c r="J4125" s="13" t="n">
        <v>156</v>
      </c>
      <c r="K4125" s="14" t="n">
        <f aca="false">I4125*J4125</f>
        <v>7644</v>
      </c>
      <c r="L4125" s="14" t="n">
        <f aca="false">($L$2*M4125)/100</f>
        <v>432599.94</v>
      </c>
      <c r="M4125" s="15" t="n">
        <v>0.36</v>
      </c>
      <c r="N4125" s="9" t="s">
        <v>85</v>
      </c>
    </row>
    <row r="4126" customFormat="false" ht="14.25" hidden="false" customHeight="true" outlineLevel="0" collapsed="false">
      <c r="B4126" s="9" t="s">
        <v>36</v>
      </c>
      <c r="C4126" s="9" t="n">
        <v>1189833</v>
      </c>
      <c r="D4126" s="10" t="n">
        <v>44295</v>
      </c>
      <c r="E4126" s="9" t="s">
        <v>33</v>
      </c>
      <c r="F4126" s="9" t="s">
        <v>34</v>
      </c>
      <c r="G4126" s="9" t="s">
        <v>37</v>
      </c>
      <c r="H4126" s="11" t="s">
        <v>22</v>
      </c>
      <c r="I4126" s="12" t="n">
        <v>49</v>
      </c>
      <c r="J4126" s="13" t="n">
        <v>175</v>
      </c>
      <c r="K4126" s="14" t="n">
        <f aca="false">I4126*J4126</f>
        <v>8575</v>
      </c>
      <c r="L4126" s="14" t="n">
        <f aca="false">($L$2*M4126)/100</f>
        <v>660916.575</v>
      </c>
      <c r="M4126" s="15" t="n">
        <v>0.55</v>
      </c>
      <c r="N4126" s="9" t="s">
        <v>85</v>
      </c>
    </row>
    <row r="4127" customFormat="false" ht="14.25" hidden="false" customHeight="true" outlineLevel="0" collapsed="false">
      <c r="B4127" s="9" t="s">
        <v>36</v>
      </c>
      <c r="C4127" s="9" t="n">
        <v>1189833</v>
      </c>
      <c r="D4127" s="10" t="n">
        <v>44296</v>
      </c>
      <c r="E4127" s="9" t="s">
        <v>33</v>
      </c>
      <c r="F4127" s="9" t="s">
        <v>34</v>
      </c>
      <c r="G4127" s="9" t="s">
        <v>37</v>
      </c>
      <c r="H4127" s="11" t="s">
        <v>23</v>
      </c>
      <c r="I4127" s="12" t="n">
        <v>43</v>
      </c>
      <c r="J4127" s="13" t="n">
        <v>152</v>
      </c>
      <c r="K4127" s="14" t="n">
        <f aca="false">I4127*J4127</f>
        <v>6536</v>
      </c>
      <c r="L4127" s="14" t="n">
        <f aca="false">($L$2*M4127)/100</f>
        <v>588816.585</v>
      </c>
      <c r="M4127" s="15" t="n">
        <v>0.49</v>
      </c>
      <c r="N4127" s="9" t="s">
        <v>85</v>
      </c>
    </row>
    <row r="4128" customFormat="false" ht="14.25" hidden="false" customHeight="true" outlineLevel="0" collapsed="false">
      <c r="B4128" s="9" t="s">
        <v>36</v>
      </c>
      <c r="C4128" s="9" t="n">
        <v>1189833</v>
      </c>
      <c r="D4128" s="10" t="n">
        <v>44297</v>
      </c>
      <c r="E4128" s="9" t="s">
        <v>33</v>
      </c>
      <c r="F4128" s="9" t="s">
        <v>34</v>
      </c>
      <c r="G4128" s="9" t="s">
        <v>37</v>
      </c>
      <c r="H4128" s="11" t="s">
        <v>24</v>
      </c>
      <c r="I4128" s="12" t="n">
        <v>49</v>
      </c>
      <c r="J4128" s="13" t="n">
        <v>119</v>
      </c>
      <c r="K4128" s="14" t="n">
        <f aca="false">I4128*J4128</f>
        <v>5831</v>
      </c>
      <c r="L4128" s="14" t="n">
        <f aca="false">($L$2*M4128)/100</f>
        <v>793099.89</v>
      </c>
      <c r="M4128" s="15" t="n">
        <v>0.66</v>
      </c>
      <c r="N4128" s="9" t="s">
        <v>85</v>
      </c>
    </row>
    <row r="4129" customFormat="false" ht="14.25" hidden="false" customHeight="true" outlineLevel="0" collapsed="false">
      <c r="B4129" s="9" t="s">
        <v>36</v>
      </c>
      <c r="C4129" s="9" t="n">
        <v>1189833</v>
      </c>
      <c r="D4129" s="10" t="n">
        <v>44298</v>
      </c>
      <c r="E4129" s="9" t="s">
        <v>33</v>
      </c>
      <c r="F4129" s="9" t="s">
        <v>34</v>
      </c>
      <c r="G4129" s="9" t="s">
        <v>37</v>
      </c>
      <c r="H4129" s="11" t="s">
        <v>25</v>
      </c>
      <c r="I4129" s="12" t="n">
        <v>62</v>
      </c>
      <c r="J4129" s="13" t="n">
        <v>174</v>
      </c>
      <c r="K4129" s="14" t="n">
        <f aca="false">I4129*J4129</f>
        <v>10788</v>
      </c>
      <c r="L4129" s="14" t="n">
        <f aca="false">($L$2*M4129)/100</f>
        <v>396549.945</v>
      </c>
      <c r="M4129" s="15" t="n">
        <v>0.33</v>
      </c>
      <c r="N4129" s="9" t="s">
        <v>85</v>
      </c>
    </row>
    <row r="4130" customFormat="false" ht="14.25" hidden="false" customHeight="true" outlineLevel="0" collapsed="false">
      <c r="B4130" s="9" t="s">
        <v>36</v>
      </c>
      <c r="C4130" s="9" t="n">
        <v>1189833</v>
      </c>
      <c r="D4130" s="10" t="n">
        <v>44299</v>
      </c>
      <c r="E4130" s="9" t="s">
        <v>33</v>
      </c>
      <c r="F4130" s="9" t="s">
        <v>34</v>
      </c>
      <c r="G4130" s="9" t="s">
        <v>37</v>
      </c>
      <c r="H4130" s="11" t="s">
        <v>19</v>
      </c>
      <c r="I4130" s="12" t="n">
        <v>41</v>
      </c>
      <c r="J4130" s="13" t="n">
        <v>208</v>
      </c>
      <c r="K4130" s="14" t="n">
        <f aca="false">I4130*J4130</f>
        <v>8528</v>
      </c>
      <c r="L4130" s="14" t="n">
        <f aca="false">($L$2*M4130)/100</f>
        <v>624866.58</v>
      </c>
      <c r="M4130" s="15" t="n">
        <v>0.52</v>
      </c>
      <c r="N4130" s="9" t="s">
        <v>85</v>
      </c>
    </row>
    <row r="4131" customFormat="false" ht="14.25" hidden="false" customHeight="true" outlineLevel="0" collapsed="false">
      <c r="B4131" s="9" t="s">
        <v>36</v>
      </c>
      <c r="C4131" s="9" t="n">
        <v>1189833</v>
      </c>
      <c r="D4131" s="10" t="n">
        <v>44300</v>
      </c>
      <c r="E4131" s="9" t="s">
        <v>33</v>
      </c>
      <c r="F4131" s="9" t="s">
        <v>34</v>
      </c>
      <c r="G4131" s="9" t="s">
        <v>37</v>
      </c>
      <c r="H4131" s="11" t="s">
        <v>21</v>
      </c>
      <c r="I4131" s="12" t="n">
        <v>47</v>
      </c>
      <c r="J4131" s="13" t="n">
        <v>169</v>
      </c>
      <c r="K4131" s="14" t="n">
        <f aca="false">I4131*J4131</f>
        <v>7943</v>
      </c>
      <c r="L4131" s="14" t="n">
        <f aca="false">($L$2*M4131)/100</f>
        <v>420583.275</v>
      </c>
      <c r="M4131" s="15" t="n">
        <v>0.35</v>
      </c>
      <c r="N4131" s="9" t="s">
        <v>85</v>
      </c>
    </row>
    <row r="4132" customFormat="false" ht="14.25" hidden="false" customHeight="true" outlineLevel="0" collapsed="false">
      <c r="B4132" s="9" t="s">
        <v>36</v>
      </c>
      <c r="C4132" s="9" t="n">
        <v>1189833</v>
      </c>
      <c r="D4132" s="10" t="n">
        <v>44301</v>
      </c>
      <c r="E4132" s="9" t="s">
        <v>33</v>
      </c>
      <c r="F4132" s="9" t="s">
        <v>34</v>
      </c>
      <c r="G4132" s="9" t="s">
        <v>37</v>
      </c>
      <c r="H4132" s="11" t="s">
        <v>22</v>
      </c>
      <c r="I4132" s="12" t="n">
        <v>45</v>
      </c>
      <c r="J4132" s="13" t="n">
        <v>163</v>
      </c>
      <c r="K4132" s="14" t="n">
        <f aca="false">I4132*J4132</f>
        <v>7335</v>
      </c>
      <c r="L4132" s="14" t="n">
        <f aca="false">($L$2*M4132)/100</f>
        <v>624866.58</v>
      </c>
      <c r="M4132" s="15" t="n">
        <v>0.52</v>
      </c>
      <c r="N4132" s="9" t="s">
        <v>85</v>
      </c>
    </row>
    <row r="4133" customFormat="false" ht="14.25" hidden="false" customHeight="true" outlineLevel="0" collapsed="false">
      <c r="B4133" s="9" t="s">
        <v>36</v>
      </c>
      <c r="C4133" s="9" t="n">
        <v>1189833</v>
      </c>
      <c r="D4133" s="10" t="n">
        <v>44302</v>
      </c>
      <c r="E4133" s="9" t="s">
        <v>33</v>
      </c>
      <c r="F4133" s="9" t="s">
        <v>34</v>
      </c>
      <c r="G4133" s="9" t="s">
        <v>37</v>
      </c>
      <c r="H4133" s="11" t="s">
        <v>23</v>
      </c>
      <c r="I4133" s="12" t="n">
        <v>41</v>
      </c>
      <c r="J4133" s="13" t="n">
        <v>154</v>
      </c>
      <c r="K4133" s="14" t="n">
        <f aca="false">I4133*J4133</f>
        <v>6314</v>
      </c>
      <c r="L4133" s="14" t="n">
        <f aca="false">($L$2*M4133)/100</f>
        <v>576799.92</v>
      </c>
      <c r="M4133" s="15" t="n">
        <v>0.48</v>
      </c>
      <c r="N4133" s="9" t="s">
        <v>85</v>
      </c>
    </row>
    <row r="4134" customFormat="false" ht="14.25" hidden="false" customHeight="true" outlineLevel="0" collapsed="false">
      <c r="B4134" s="9" t="s">
        <v>36</v>
      </c>
      <c r="C4134" s="9" t="n">
        <v>1189833</v>
      </c>
      <c r="D4134" s="10" t="n">
        <v>44303</v>
      </c>
      <c r="E4134" s="9" t="s">
        <v>33</v>
      </c>
      <c r="F4134" s="9" t="s">
        <v>34</v>
      </c>
      <c r="G4134" s="9" t="s">
        <v>37</v>
      </c>
      <c r="H4134" s="11" t="s">
        <v>24</v>
      </c>
      <c r="I4134" s="12" t="n">
        <v>45</v>
      </c>
      <c r="J4134" s="13" t="n">
        <v>131</v>
      </c>
      <c r="K4134" s="14" t="n">
        <f aca="false">I4134*J4134</f>
        <v>5895</v>
      </c>
      <c r="L4134" s="14" t="n">
        <f aca="false">($L$2*M4134)/100</f>
        <v>781083.225</v>
      </c>
      <c r="M4134" s="15" t="n">
        <v>0.65</v>
      </c>
      <c r="N4134" s="9" t="s">
        <v>85</v>
      </c>
    </row>
    <row r="4135" customFormat="false" ht="14.25" hidden="false" customHeight="true" outlineLevel="0" collapsed="false">
      <c r="B4135" s="9" t="s">
        <v>36</v>
      </c>
      <c r="C4135" s="9" t="n">
        <v>1189833</v>
      </c>
      <c r="D4135" s="10" t="n">
        <v>44304</v>
      </c>
      <c r="E4135" s="9" t="s">
        <v>33</v>
      </c>
      <c r="F4135" s="9" t="s">
        <v>34</v>
      </c>
      <c r="G4135" s="9" t="s">
        <v>37</v>
      </c>
      <c r="H4135" s="11" t="s">
        <v>25</v>
      </c>
      <c r="I4135" s="12" t="n">
        <v>64</v>
      </c>
      <c r="J4135" s="13" t="n">
        <v>181</v>
      </c>
      <c r="K4135" s="14" t="n">
        <f aca="false">I4135*J4135</f>
        <v>11584</v>
      </c>
      <c r="L4135" s="14" t="n">
        <f aca="false">($L$2*M4135)/100</f>
        <v>372516.615</v>
      </c>
      <c r="M4135" s="15" t="n">
        <v>0.31</v>
      </c>
      <c r="N4135" s="9" t="s">
        <v>85</v>
      </c>
    </row>
    <row r="4136" customFormat="false" ht="14.25" hidden="false" customHeight="true" outlineLevel="0" collapsed="false">
      <c r="B4136" s="9" t="s">
        <v>36</v>
      </c>
      <c r="C4136" s="9" t="n">
        <v>1189833</v>
      </c>
      <c r="D4136" s="10" t="n">
        <v>44305</v>
      </c>
      <c r="E4136" s="9" t="s">
        <v>33</v>
      </c>
      <c r="F4136" s="9" t="s">
        <v>34</v>
      </c>
      <c r="G4136" s="9" t="s">
        <v>37</v>
      </c>
      <c r="H4136" s="11" t="s">
        <v>19</v>
      </c>
      <c r="I4136" s="12" t="n">
        <v>44</v>
      </c>
      <c r="J4136" s="13" t="n">
        <v>270</v>
      </c>
      <c r="K4136" s="14" t="n">
        <f aca="false">I4136*J4136</f>
        <v>11880</v>
      </c>
      <c r="L4136" s="14" t="n">
        <f aca="false">($L$2*M4136)/100</f>
        <v>660916.575</v>
      </c>
      <c r="M4136" s="15" t="n">
        <v>0.55</v>
      </c>
      <c r="N4136" s="9" t="s">
        <v>85</v>
      </c>
    </row>
    <row r="4137" customFormat="false" ht="14.25" hidden="false" customHeight="true" outlineLevel="0" collapsed="false">
      <c r="B4137" s="9" t="s">
        <v>36</v>
      </c>
      <c r="C4137" s="9" t="n">
        <v>1189833</v>
      </c>
      <c r="D4137" s="10" t="n">
        <v>44306</v>
      </c>
      <c r="E4137" s="9" t="s">
        <v>33</v>
      </c>
      <c r="F4137" s="9" t="s">
        <v>34</v>
      </c>
      <c r="G4137" s="9" t="s">
        <v>37</v>
      </c>
      <c r="H4137" s="11" t="s">
        <v>21</v>
      </c>
      <c r="I4137" s="12" t="n">
        <v>47</v>
      </c>
      <c r="J4137" s="13" t="n">
        <v>225</v>
      </c>
      <c r="K4137" s="14" t="n">
        <f aca="false">I4137*J4137</f>
        <v>10575</v>
      </c>
      <c r="L4137" s="14" t="n">
        <f aca="false">($L$2*M4137)/100</f>
        <v>420583.275</v>
      </c>
      <c r="M4137" s="15" t="n">
        <v>0.35</v>
      </c>
      <c r="N4137" s="9" t="s">
        <v>85</v>
      </c>
    </row>
    <row r="4138" customFormat="false" ht="14.25" hidden="false" customHeight="true" outlineLevel="0" collapsed="false">
      <c r="B4138" s="9" t="s">
        <v>36</v>
      </c>
      <c r="C4138" s="9" t="n">
        <v>1189833</v>
      </c>
      <c r="D4138" s="10" t="n">
        <v>44307</v>
      </c>
      <c r="E4138" s="9" t="s">
        <v>33</v>
      </c>
      <c r="F4138" s="9" t="s">
        <v>34</v>
      </c>
      <c r="G4138" s="9" t="s">
        <v>37</v>
      </c>
      <c r="H4138" s="11" t="s">
        <v>22</v>
      </c>
      <c r="I4138" s="12" t="n">
        <v>48</v>
      </c>
      <c r="J4138" s="13" t="n">
        <v>203</v>
      </c>
      <c r="K4138" s="14" t="n">
        <f aca="false">I4138*J4138</f>
        <v>9744</v>
      </c>
      <c r="L4138" s="14" t="n">
        <f aca="false">($L$2*M4138)/100</f>
        <v>660916.575</v>
      </c>
      <c r="M4138" s="15" t="n">
        <v>0.55</v>
      </c>
      <c r="N4138" s="9" t="s">
        <v>85</v>
      </c>
    </row>
    <row r="4139" customFormat="false" ht="14.25" hidden="false" customHeight="true" outlineLevel="0" collapsed="false">
      <c r="B4139" s="9" t="s">
        <v>36</v>
      </c>
      <c r="C4139" s="9" t="n">
        <v>1189833</v>
      </c>
      <c r="D4139" s="10" t="n">
        <v>44308</v>
      </c>
      <c r="E4139" s="9" t="s">
        <v>33</v>
      </c>
      <c r="F4139" s="9" t="s">
        <v>34</v>
      </c>
      <c r="G4139" s="9" t="s">
        <v>37</v>
      </c>
      <c r="H4139" s="11" t="s">
        <v>23</v>
      </c>
      <c r="I4139" s="12" t="n">
        <v>44</v>
      </c>
      <c r="J4139" s="13" t="n">
        <v>175</v>
      </c>
      <c r="K4139" s="14" t="n">
        <f aca="false">I4139*J4139</f>
        <v>7700</v>
      </c>
      <c r="L4139" s="14" t="n">
        <f aca="false">($L$2*M4139)/100</f>
        <v>576799.92</v>
      </c>
      <c r="M4139" s="15" t="n">
        <v>0.48</v>
      </c>
      <c r="N4139" s="9" t="s">
        <v>85</v>
      </c>
    </row>
    <row r="4140" customFormat="false" ht="14.25" hidden="false" customHeight="true" outlineLevel="0" collapsed="false">
      <c r="B4140" s="9" t="s">
        <v>36</v>
      </c>
      <c r="C4140" s="9" t="n">
        <v>1189833</v>
      </c>
      <c r="D4140" s="10" t="n">
        <v>44309</v>
      </c>
      <c r="E4140" s="9" t="s">
        <v>33</v>
      </c>
      <c r="F4140" s="9" t="s">
        <v>34</v>
      </c>
      <c r="G4140" s="9" t="s">
        <v>37</v>
      </c>
      <c r="H4140" s="11" t="s">
        <v>24</v>
      </c>
      <c r="I4140" s="12" t="n">
        <v>45</v>
      </c>
      <c r="J4140" s="13" t="n">
        <v>125</v>
      </c>
      <c r="K4140" s="14" t="n">
        <f aca="false">I4140*J4140</f>
        <v>5625</v>
      </c>
      <c r="L4140" s="14" t="n">
        <f aca="false">($L$2*M4140)/100</f>
        <v>829149.885</v>
      </c>
      <c r="M4140" s="15" t="n">
        <v>0.69</v>
      </c>
      <c r="N4140" s="9" t="s">
        <v>85</v>
      </c>
    </row>
    <row r="4141" customFormat="false" ht="14.25" hidden="false" customHeight="true" outlineLevel="0" collapsed="false">
      <c r="B4141" s="9" t="s">
        <v>36</v>
      </c>
      <c r="C4141" s="9" t="n">
        <v>1189833</v>
      </c>
      <c r="D4141" s="10" t="n">
        <v>44310</v>
      </c>
      <c r="E4141" s="9" t="s">
        <v>33</v>
      </c>
      <c r="F4141" s="9" t="s">
        <v>34</v>
      </c>
      <c r="G4141" s="9" t="s">
        <v>37</v>
      </c>
      <c r="H4141" s="11" t="s">
        <v>25</v>
      </c>
      <c r="I4141" s="12" t="n">
        <v>60</v>
      </c>
      <c r="J4141" s="13" t="n">
        <v>200</v>
      </c>
      <c r="K4141" s="14" t="n">
        <f aca="false">I4141*J4141</f>
        <v>12000</v>
      </c>
      <c r="L4141" s="14" t="n">
        <f aca="false">($L$2*M4141)/100</f>
        <v>372516.615</v>
      </c>
      <c r="M4141" s="15" t="n">
        <v>0.31</v>
      </c>
      <c r="N4141" s="9" t="s">
        <v>85</v>
      </c>
    </row>
    <row r="4142" customFormat="false" ht="14.25" hidden="false" customHeight="true" outlineLevel="0" collapsed="false">
      <c r="B4142" s="9" t="s">
        <v>36</v>
      </c>
      <c r="C4142" s="9" t="n">
        <v>1189833</v>
      </c>
      <c r="D4142" s="10" t="n">
        <v>44311</v>
      </c>
      <c r="E4142" s="9" t="s">
        <v>33</v>
      </c>
      <c r="F4142" s="9" t="s">
        <v>34</v>
      </c>
      <c r="G4142" s="9" t="s">
        <v>37</v>
      </c>
      <c r="H4142" s="11" t="s">
        <v>19</v>
      </c>
      <c r="I4142" s="12" t="n">
        <v>41</v>
      </c>
      <c r="J4142" s="13" t="n">
        <v>238</v>
      </c>
      <c r="K4142" s="14" t="n">
        <f aca="false">I4142*J4142</f>
        <v>9758</v>
      </c>
      <c r="L4142" s="14" t="n">
        <f aca="false">($L$2*M4142)/100</f>
        <v>612849.915</v>
      </c>
      <c r="M4142" s="15" t="n">
        <v>0.51</v>
      </c>
      <c r="N4142" s="9" t="s">
        <v>85</v>
      </c>
    </row>
    <row r="4143" customFormat="false" ht="14.25" hidden="false" customHeight="true" outlineLevel="0" collapsed="false">
      <c r="B4143" s="9" t="s">
        <v>36</v>
      </c>
      <c r="C4143" s="9" t="n">
        <v>1189833</v>
      </c>
      <c r="D4143" s="10" t="n">
        <v>44312</v>
      </c>
      <c r="E4143" s="9" t="s">
        <v>33</v>
      </c>
      <c r="F4143" s="9" t="s">
        <v>34</v>
      </c>
      <c r="G4143" s="9" t="s">
        <v>37</v>
      </c>
      <c r="H4143" s="11" t="s">
        <v>21</v>
      </c>
      <c r="I4143" s="12" t="n">
        <v>46</v>
      </c>
      <c r="J4143" s="13" t="n">
        <v>216</v>
      </c>
      <c r="K4143" s="14" t="n">
        <f aca="false">I4143*J4143</f>
        <v>9936</v>
      </c>
      <c r="L4143" s="14" t="n">
        <f aca="false">($L$2*M4143)/100</f>
        <v>456633.27</v>
      </c>
      <c r="M4143" s="15" t="n">
        <v>0.38</v>
      </c>
      <c r="N4143" s="9" t="s">
        <v>85</v>
      </c>
    </row>
    <row r="4144" customFormat="false" ht="14.25" hidden="false" customHeight="true" outlineLevel="0" collapsed="false">
      <c r="B4144" s="9" t="s">
        <v>36</v>
      </c>
      <c r="C4144" s="9" t="n">
        <v>1189833</v>
      </c>
      <c r="D4144" s="10" t="n">
        <v>44313</v>
      </c>
      <c r="E4144" s="9" t="s">
        <v>33</v>
      </c>
      <c r="F4144" s="9" t="s">
        <v>34</v>
      </c>
      <c r="G4144" s="9" t="s">
        <v>37</v>
      </c>
      <c r="H4144" s="11" t="s">
        <v>22</v>
      </c>
      <c r="I4144" s="12" t="n">
        <v>47</v>
      </c>
      <c r="J4144" s="13" t="n">
        <v>218</v>
      </c>
      <c r="K4144" s="14" t="n">
        <f aca="false">I4144*J4144</f>
        <v>10246</v>
      </c>
      <c r="L4144" s="14" t="n">
        <f aca="false">($L$2*M4144)/100</f>
        <v>624866.58</v>
      </c>
      <c r="M4144" s="15" t="n">
        <v>0.52</v>
      </c>
      <c r="N4144" s="9" t="s">
        <v>85</v>
      </c>
    </row>
    <row r="4145" customFormat="false" ht="14.25" hidden="false" customHeight="true" outlineLevel="0" collapsed="false">
      <c r="B4145" s="9" t="s">
        <v>36</v>
      </c>
      <c r="C4145" s="9" t="n">
        <v>1189833</v>
      </c>
      <c r="D4145" s="10" t="n">
        <v>44314</v>
      </c>
      <c r="E4145" s="9" t="s">
        <v>33</v>
      </c>
      <c r="F4145" s="9" t="s">
        <v>34</v>
      </c>
      <c r="G4145" s="9" t="s">
        <v>37</v>
      </c>
      <c r="H4145" s="11" t="s">
        <v>23</v>
      </c>
      <c r="I4145" s="12" t="n">
        <v>44</v>
      </c>
      <c r="J4145" s="13" t="n">
        <v>189</v>
      </c>
      <c r="K4145" s="14" t="n">
        <f aca="false">I4145*J4145</f>
        <v>8316</v>
      </c>
      <c r="L4145" s="14" t="n">
        <f aca="false">($L$2*M4145)/100</f>
        <v>576799.92</v>
      </c>
      <c r="M4145" s="15" t="n">
        <v>0.48</v>
      </c>
      <c r="N4145" s="9" t="s">
        <v>85</v>
      </c>
    </row>
    <row r="4146" customFormat="false" ht="14.25" hidden="false" customHeight="true" outlineLevel="0" collapsed="false">
      <c r="B4146" s="9" t="s">
        <v>36</v>
      </c>
      <c r="C4146" s="9" t="n">
        <v>1189833</v>
      </c>
      <c r="D4146" s="10" t="n">
        <v>44315</v>
      </c>
      <c r="E4146" s="9" t="s">
        <v>33</v>
      </c>
      <c r="F4146" s="9" t="s">
        <v>34</v>
      </c>
      <c r="G4146" s="9" t="s">
        <v>37</v>
      </c>
      <c r="H4146" s="11" t="s">
        <v>24</v>
      </c>
      <c r="I4146" s="12" t="n">
        <v>46</v>
      </c>
      <c r="J4146" s="13" t="n">
        <v>189</v>
      </c>
      <c r="K4146" s="14" t="n">
        <f aca="false">I4146*J4146</f>
        <v>8694</v>
      </c>
      <c r="L4146" s="14" t="n">
        <f aca="false">($L$2*M4146)/100</f>
        <v>793099.89</v>
      </c>
      <c r="M4146" s="15" t="n">
        <v>0.66</v>
      </c>
      <c r="N4146" s="9" t="s">
        <v>85</v>
      </c>
    </row>
    <row r="4147" customFormat="false" ht="14.25" hidden="false" customHeight="true" outlineLevel="0" collapsed="false">
      <c r="B4147" s="9" t="s">
        <v>36</v>
      </c>
      <c r="C4147" s="9" t="n">
        <v>1189833</v>
      </c>
      <c r="D4147" s="10" t="n">
        <v>44316</v>
      </c>
      <c r="E4147" s="9" t="s">
        <v>33</v>
      </c>
      <c r="F4147" s="9" t="s">
        <v>34</v>
      </c>
      <c r="G4147" s="9" t="s">
        <v>37</v>
      </c>
      <c r="H4147" s="11" t="s">
        <v>25</v>
      </c>
      <c r="I4147" s="12" t="n">
        <v>59</v>
      </c>
      <c r="J4147" s="13" t="n">
        <v>203</v>
      </c>
      <c r="K4147" s="14" t="n">
        <f aca="false">I4147*J4147</f>
        <v>11977</v>
      </c>
      <c r="L4147" s="14" t="n">
        <f aca="false">($L$2*M4147)/100</f>
        <v>360499.95</v>
      </c>
      <c r="M4147" s="15" t="n">
        <v>0.3</v>
      </c>
      <c r="N4147" s="9" t="s">
        <v>85</v>
      </c>
    </row>
    <row r="4148" customFormat="false" ht="14.25" hidden="false" customHeight="true" outlineLevel="0" collapsed="false">
      <c r="B4148" s="9" t="s">
        <v>36</v>
      </c>
      <c r="C4148" s="9" t="n">
        <v>1189833</v>
      </c>
      <c r="D4148" s="10" t="n">
        <v>44317</v>
      </c>
      <c r="E4148" s="9" t="s">
        <v>33</v>
      </c>
      <c r="F4148" s="9" t="s">
        <v>34</v>
      </c>
      <c r="G4148" s="9" t="s">
        <v>37</v>
      </c>
      <c r="H4148" s="11" t="s">
        <v>19</v>
      </c>
      <c r="I4148" s="12" t="n">
        <v>47</v>
      </c>
      <c r="J4148" s="13" t="n">
        <v>252</v>
      </c>
      <c r="K4148" s="14" t="n">
        <f aca="false">I4148*J4148</f>
        <v>11844</v>
      </c>
      <c r="L4148" s="14" t="n">
        <f aca="false">($L$2*M4148)/100</f>
        <v>624866.58</v>
      </c>
      <c r="M4148" s="15" t="n">
        <v>0.52</v>
      </c>
      <c r="N4148" s="9" t="s">
        <v>85</v>
      </c>
    </row>
    <row r="4149" customFormat="false" ht="14.25" hidden="false" customHeight="true" outlineLevel="0" collapsed="false">
      <c r="B4149" s="9" t="s">
        <v>36</v>
      </c>
      <c r="C4149" s="9" t="n">
        <v>1189833</v>
      </c>
      <c r="D4149" s="10" t="n">
        <v>44318</v>
      </c>
      <c r="E4149" s="9" t="s">
        <v>33</v>
      </c>
      <c r="F4149" s="9" t="s">
        <v>34</v>
      </c>
      <c r="G4149" s="9" t="s">
        <v>37</v>
      </c>
      <c r="H4149" s="11" t="s">
        <v>21</v>
      </c>
      <c r="I4149" s="12" t="n">
        <v>51</v>
      </c>
      <c r="J4149" s="13" t="n">
        <v>221</v>
      </c>
      <c r="K4149" s="14" t="n">
        <f aca="false">I4149*J4149</f>
        <v>11271</v>
      </c>
      <c r="L4149" s="14" t="n">
        <f aca="false">($L$2*M4149)/100</f>
        <v>480666.6</v>
      </c>
      <c r="M4149" s="15" t="n">
        <v>0.4</v>
      </c>
      <c r="N4149" s="9" t="s">
        <v>85</v>
      </c>
    </row>
    <row r="4150" customFormat="false" ht="14.25" hidden="false" customHeight="true" outlineLevel="0" collapsed="false">
      <c r="B4150" s="9" t="s">
        <v>36</v>
      </c>
      <c r="C4150" s="9" t="n">
        <v>1189833</v>
      </c>
      <c r="D4150" s="10" t="n">
        <v>44319</v>
      </c>
      <c r="E4150" s="9" t="s">
        <v>33</v>
      </c>
      <c r="F4150" s="9" t="s">
        <v>34</v>
      </c>
      <c r="G4150" s="9" t="s">
        <v>37</v>
      </c>
      <c r="H4150" s="11" t="s">
        <v>22</v>
      </c>
      <c r="I4150" s="12" t="n">
        <v>48</v>
      </c>
      <c r="J4150" s="13" t="n">
        <v>218</v>
      </c>
      <c r="K4150" s="14" t="n">
        <f aca="false">I4150*J4150</f>
        <v>10464</v>
      </c>
      <c r="L4150" s="14" t="n">
        <f aca="false">($L$2*M4150)/100</f>
        <v>612849.915</v>
      </c>
      <c r="M4150" s="15" t="n">
        <v>0.51</v>
      </c>
      <c r="N4150" s="9" t="s">
        <v>85</v>
      </c>
    </row>
    <row r="4151" customFormat="false" ht="14.25" hidden="false" customHeight="true" outlineLevel="0" collapsed="false">
      <c r="B4151" s="9" t="s">
        <v>36</v>
      </c>
      <c r="C4151" s="9" t="n">
        <v>1189833</v>
      </c>
      <c r="D4151" s="10" t="n">
        <v>44320</v>
      </c>
      <c r="E4151" s="9" t="s">
        <v>33</v>
      </c>
      <c r="F4151" s="9" t="s">
        <v>34</v>
      </c>
      <c r="G4151" s="9" t="s">
        <v>37</v>
      </c>
      <c r="H4151" s="11" t="s">
        <v>23</v>
      </c>
      <c r="I4151" s="12" t="n">
        <v>47</v>
      </c>
      <c r="J4151" s="13" t="n">
        <v>169</v>
      </c>
      <c r="K4151" s="14" t="n">
        <f aca="false">I4151*J4151</f>
        <v>7943</v>
      </c>
      <c r="L4151" s="14" t="n">
        <f aca="false">($L$2*M4151)/100</f>
        <v>576799.92</v>
      </c>
      <c r="M4151" s="15" t="n">
        <v>0.48</v>
      </c>
      <c r="N4151" s="9" t="s">
        <v>85</v>
      </c>
    </row>
    <row r="4152" customFormat="false" ht="14.25" hidden="false" customHeight="true" outlineLevel="0" collapsed="false">
      <c r="B4152" s="9" t="s">
        <v>36</v>
      </c>
      <c r="C4152" s="9" t="n">
        <v>1189833</v>
      </c>
      <c r="D4152" s="10" t="n">
        <v>44321</v>
      </c>
      <c r="E4152" s="9" t="s">
        <v>33</v>
      </c>
      <c r="F4152" s="9" t="s">
        <v>34</v>
      </c>
      <c r="G4152" s="9" t="s">
        <v>37</v>
      </c>
      <c r="H4152" s="11" t="s">
        <v>24</v>
      </c>
      <c r="I4152" s="12" t="n">
        <v>58</v>
      </c>
      <c r="J4152" s="13" t="n">
        <v>182</v>
      </c>
      <c r="K4152" s="14" t="n">
        <f aca="false">I4152*J4152</f>
        <v>10556</v>
      </c>
      <c r="L4152" s="14" t="n">
        <f aca="false">($L$2*M4152)/100</f>
        <v>805116.555</v>
      </c>
      <c r="M4152" s="15" t="n">
        <v>0.67</v>
      </c>
      <c r="N4152" s="9" t="s">
        <v>85</v>
      </c>
    </row>
    <row r="4153" customFormat="false" ht="14.25" hidden="false" customHeight="true" outlineLevel="0" collapsed="false">
      <c r="B4153" s="9" t="s">
        <v>36</v>
      </c>
      <c r="C4153" s="9" t="n">
        <v>1189833</v>
      </c>
      <c r="D4153" s="10" t="n">
        <v>44322</v>
      </c>
      <c r="E4153" s="9" t="s">
        <v>33</v>
      </c>
      <c r="F4153" s="9" t="s">
        <v>34</v>
      </c>
      <c r="G4153" s="9" t="s">
        <v>37</v>
      </c>
      <c r="H4153" s="11" t="s">
        <v>25</v>
      </c>
      <c r="I4153" s="12" t="n">
        <v>61</v>
      </c>
      <c r="J4153" s="13" t="n">
        <v>189</v>
      </c>
      <c r="K4153" s="14" t="n">
        <f aca="false">I4153*J4153</f>
        <v>11529</v>
      </c>
      <c r="L4153" s="14" t="n">
        <f aca="false">($L$2*M4153)/100</f>
        <v>420583.275</v>
      </c>
      <c r="M4153" s="15" t="n">
        <v>0.35</v>
      </c>
      <c r="N4153" s="9" t="s">
        <v>85</v>
      </c>
    </row>
    <row r="4154" customFormat="false" ht="14.25" hidden="false" customHeight="true" outlineLevel="0" collapsed="false">
      <c r="B4154" s="9" t="s">
        <v>36</v>
      </c>
      <c r="C4154" s="9" t="n">
        <v>1189833</v>
      </c>
      <c r="D4154" s="10" t="n">
        <v>44323</v>
      </c>
      <c r="E4154" s="9" t="s">
        <v>33</v>
      </c>
      <c r="F4154" s="9" t="s">
        <v>34</v>
      </c>
      <c r="G4154" s="9" t="s">
        <v>37</v>
      </c>
      <c r="H4154" s="11" t="s">
        <v>19</v>
      </c>
      <c r="I4154" s="12" t="n">
        <v>47</v>
      </c>
      <c r="J4154" s="13" t="n">
        <v>213</v>
      </c>
      <c r="K4154" s="14" t="n">
        <f aca="false">I4154*J4154</f>
        <v>10011</v>
      </c>
      <c r="L4154" s="14" t="n">
        <f aca="false">($L$2*M4154)/100</f>
        <v>648899.91</v>
      </c>
      <c r="M4154" s="15" t="n">
        <v>0.54</v>
      </c>
      <c r="N4154" s="9" t="s">
        <v>85</v>
      </c>
    </row>
    <row r="4155" customFormat="false" ht="14.25" hidden="false" customHeight="true" outlineLevel="0" collapsed="false">
      <c r="B4155" s="9" t="s">
        <v>36</v>
      </c>
      <c r="C4155" s="9" t="n">
        <v>1189833</v>
      </c>
      <c r="D4155" s="10" t="n">
        <v>44324</v>
      </c>
      <c r="E4155" s="9" t="s">
        <v>33</v>
      </c>
      <c r="F4155" s="9" t="s">
        <v>34</v>
      </c>
      <c r="G4155" s="9" t="s">
        <v>37</v>
      </c>
      <c r="H4155" s="11" t="s">
        <v>21</v>
      </c>
      <c r="I4155" s="12" t="n">
        <v>50</v>
      </c>
      <c r="J4155" s="13" t="n">
        <v>247</v>
      </c>
      <c r="K4155" s="14" t="n">
        <f aca="false">I4155*J4155</f>
        <v>12350</v>
      </c>
      <c r="L4155" s="14" t="n">
        <f aca="false">($L$2*M4155)/100</f>
        <v>444616.605</v>
      </c>
      <c r="M4155" s="15" t="n">
        <v>0.37</v>
      </c>
      <c r="N4155" s="9" t="s">
        <v>85</v>
      </c>
    </row>
    <row r="4156" customFormat="false" ht="14.25" hidden="false" customHeight="true" outlineLevel="0" collapsed="false">
      <c r="B4156" s="9" t="s">
        <v>36</v>
      </c>
      <c r="C4156" s="9" t="n">
        <v>1189833</v>
      </c>
      <c r="D4156" s="10" t="n">
        <v>44325</v>
      </c>
      <c r="E4156" s="9" t="s">
        <v>33</v>
      </c>
      <c r="F4156" s="9" t="s">
        <v>34</v>
      </c>
      <c r="G4156" s="9" t="s">
        <v>37</v>
      </c>
      <c r="H4156" s="11" t="s">
        <v>22</v>
      </c>
      <c r="I4156" s="12" t="n">
        <v>46</v>
      </c>
      <c r="J4156" s="13" t="n">
        <v>196</v>
      </c>
      <c r="K4156" s="14" t="n">
        <f aca="false">I4156*J4156</f>
        <v>9016</v>
      </c>
      <c r="L4156" s="14" t="n">
        <f aca="false">($L$2*M4156)/100</f>
        <v>600833.25</v>
      </c>
      <c r="M4156" s="15" t="n">
        <v>0.5</v>
      </c>
      <c r="N4156" s="9" t="s">
        <v>85</v>
      </c>
    </row>
    <row r="4157" customFormat="false" ht="14.25" hidden="false" customHeight="true" outlineLevel="0" collapsed="false">
      <c r="B4157" s="9" t="s">
        <v>36</v>
      </c>
      <c r="C4157" s="9" t="n">
        <v>1189833</v>
      </c>
      <c r="D4157" s="10" t="n">
        <v>44326</v>
      </c>
      <c r="E4157" s="9" t="s">
        <v>33</v>
      </c>
      <c r="F4157" s="9" t="s">
        <v>34</v>
      </c>
      <c r="G4157" s="9" t="s">
        <v>37</v>
      </c>
      <c r="H4157" s="11" t="s">
        <v>23</v>
      </c>
      <c r="I4157" s="12" t="n">
        <v>46</v>
      </c>
      <c r="J4157" s="13" t="n">
        <v>176</v>
      </c>
      <c r="K4157" s="14" t="n">
        <f aca="false">I4157*J4157</f>
        <v>8096</v>
      </c>
      <c r="L4157" s="14" t="n">
        <f aca="false">($L$2*M4157)/100</f>
        <v>600833.25</v>
      </c>
      <c r="M4157" s="15" t="n">
        <v>0.5</v>
      </c>
      <c r="N4157" s="9" t="s">
        <v>85</v>
      </c>
    </row>
    <row r="4158" customFormat="false" ht="14.25" hidden="false" customHeight="true" outlineLevel="0" collapsed="false">
      <c r="B4158" s="9" t="s">
        <v>36</v>
      </c>
      <c r="C4158" s="9" t="n">
        <v>1189833</v>
      </c>
      <c r="D4158" s="10" t="n">
        <v>44327</v>
      </c>
      <c r="E4158" s="9" t="s">
        <v>33</v>
      </c>
      <c r="F4158" s="9" t="s">
        <v>34</v>
      </c>
      <c r="G4158" s="9" t="s">
        <v>37</v>
      </c>
      <c r="H4158" s="11" t="s">
        <v>24</v>
      </c>
      <c r="I4158" s="12" t="n">
        <v>58</v>
      </c>
      <c r="J4158" s="13" t="n">
        <v>163</v>
      </c>
      <c r="K4158" s="14" t="n">
        <f aca="false">I4158*J4158</f>
        <v>9454</v>
      </c>
      <c r="L4158" s="14" t="n">
        <f aca="false">($L$2*M4158)/100</f>
        <v>805116.555</v>
      </c>
      <c r="M4158" s="15" t="n">
        <v>0.67</v>
      </c>
      <c r="N4158" s="9" t="s">
        <v>85</v>
      </c>
    </row>
    <row r="4159" customFormat="false" ht="14.25" hidden="false" customHeight="true" outlineLevel="0" collapsed="false">
      <c r="B4159" s="9" t="s">
        <v>36</v>
      </c>
      <c r="C4159" s="9" t="n">
        <v>1189833</v>
      </c>
      <c r="D4159" s="10" t="n">
        <v>44328</v>
      </c>
      <c r="E4159" s="9" t="s">
        <v>33</v>
      </c>
      <c r="F4159" s="9" t="s">
        <v>34</v>
      </c>
      <c r="G4159" s="9" t="s">
        <v>37</v>
      </c>
      <c r="H4159" s="11" t="s">
        <v>25</v>
      </c>
      <c r="I4159" s="12" t="n">
        <v>59</v>
      </c>
      <c r="J4159" s="13" t="n">
        <v>189</v>
      </c>
      <c r="K4159" s="14" t="n">
        <f aca="false">I4159*J4159</f>
        <v>11151</v>
      </c>
      <c r="L4159" s="14" t="n">
        <f aca="false">($L$2*M4159)/100</f>
        <v>372516.615</v>
      </c>
      <c r="M4159" s="15" t="n">
        <v>0.31</v>
      </c>
      <c r="N4159" s="9" t="s">
        <v>85</v>
      </c>
    </row>
    <row r="4160" customFormat="false" ht="14.25" hidden="false" customHeight="true" outlineLevel="0" collapsed="false">
      <c r="B4160" s="9" t="s">
        <v>36</v>
      </c>
      <c r="C4160" s="9" t="n">
        <v>1189833</v>
      </c>
      <c r="D4160" s="10" t="n">
        <v>44329</v>
      </c>
      <c r="E4160" s="9" t="s">
        <v>33</v>
      </c>
      <c r="F4160" s="9" t="s">
        <v>34</v>
      </c>
      <c r="G4160" s="9" t="s">
        <v>37</v>
      </c>
      <c r="H4160" s="11" t="s">
        <v>19</v>
      </c>
      <c r="I4160" s="12" t="n">
        <v>49</v>
      </c>
      <c r="J4160" s="13" t="n">
        <v>224</v>
      </c>
      <c r="K4160" s="14" t="n">
        <f aca="false">I4160*J4160</f>
        <v>10976</v>
      </c>
      <c r="L4160" s="14" t="n">
        <f aca="false">($L$2*M4160)/100</f>
        <v>600833.25</v>
      </c>
      <c r="M4160" s="15" t="n">
        <v>0.5</v>
      </c>
      <c r="N4160" s="9" t="s">
        <v>85</v>
      </c>
    </row>
    <row r="4161" customFormat="false" ht="14.25" hidden="false" customHeight="true" outlineLevel="0" collapsed="false">
      <c r="B4161" s="9" t="s">
        <v>36</v>
      </c>
      <c r="C4161" s="9" t="n">
        <v>1189833</v>
      </c>
      <c r="D4161" s="10" t="n">
        <v>44330</v>
      </c>
      <c r="E4161" s="9" t="s">
        <v>33</v>
      </c>
      <c r="F4161" s="9" t="s">
        <v>34</v>
      </c>
      <c r="G4161" s="9" t="s">
        <v>37</v>
      </c>
      <c r="H4161" s="11" t="s">
        <v>21</v>
      </c>
      <c r="I4161" s="12" t="n">
        <v>51</v>
      </c>
      <c r="J4161" s="13" t="n">
        <v>232</v>
      </c>
      <c r="K4161" s="14" t="n">
        <f aca="false">I4161*J4161</f>
        <v>11832</v>
      </c>
      <c r="L4161" s="14" t="n">
        <f aca="false">($L$2*M4161)/100</f>
        <v>432599.94</v>
      </c>
      <c r="M4161" s="15" t="n">
        <v>0.36</v>
      </c>
      <c r="N4161" s="9" t="s">
        <v>85</v>
      </c>
    </row>
    <row r="4162" customFormat="false" ht="14.25" hidden="false" customHeight="true" outlineLevel="0" collapsed="false">
      <c r="B4162" s="9" t="s">
        <v>36</v>
      </c>
      <c r="C4162" s="9" t="n">
        <v>1189833</v>
      </c>
      <c r="D4162" s="10" t="n">
        <v>44331</v>
      </c>
      <c r="E4162" s="9" t="s">
        <v>33</v>
      </c>
      <c r="F4162" s="9" t="s">
        <v>34</v>
      </c>
      <c r="G4162" s="9" t="s">
        <v>37</v>
      </c>
      <c r="H4162" s="11" t="s">
        <v>22</v>
      </c>
      <c r="I4162" s="12" t="n">
        <v>49</v>
      </c>
      <c r="J4162" s="13" t="n">
        <v>176</v>
      </c>
      <c r="K4162" s="14" t="n">
        <f aca="false">I4162*J4162</f>
        <v>8624</v>
      </c>
      <c r="L4162" s="14" t="n">
        <f aca="false">($L$2*M4162)/100</f>
        <v>612849.915</v>
      </c>
      <c r="M4162" s="15" t="n">
        <v>0.51</v>
      </c>
      <c r="N4162" s="9" t="s">
        <v>85</v>
      </c>
    </row>
    <row r="4163" customFormat="false" ht="14.25" hidden="false" customHeight="true" outlineLevel="0" collapsed="false">
      <c r="B4163" s="9" t="s">
        <v>36</v>
      </c>
      <c r="C4163" s="9" t="n">
        <v>1189833</v>
      </c>
      <c r="D4163" s="10" t="n">
        <v>44332</v>
      </c>
      <c r="E4163" s="9" t="s">
        <v>33</v>
      </c>
      <c r="F4163" s="9" t="s">
        <v>34</v>
      </c>
      <c r="G4163" s="9" t="s">
        <v>37</v>
      </c>
      <c r="H4163" s="11" t="s">
        <v>23</v>
      </c>
      <c r="I4163" s="12" t="n">
        <v>48</v>
      </c>
      <c r="J4163" s="13" t="n">
        <v>175</v>
      </c>
      <c r="K4163" s="14" t="n">
        <f aca="false">I4163*J4163</f>
        <v>8400</v>
      </c>
      <c r="L4163" s="14" t="n">
        <f aca="false">($L$2*M4163)/100</f>
        <v>540749.925</v>
      </c>
      <c r="M4163" s="15" t="n">
        <v>0.45</v>
      </c>
      <c r="N4163" s="9" t="s">
        <v>85</v>
      </c>
    </row>
    <row r="4164" customFormat="false" ht="14.25" hidden="false" customHeight="true" outlineLevel="0" collapsed="false">
      <c r="B4164" s="9" t="s">
        <v>36</v>
      </c>
      <c r="C4164" s="9" t="n">
        <v>1189833</v>
      </c>
      <c r="D4164" s="10" t="n">
        <v>44333</v>
      </c>
      <c r="E4164" s="9" t="s">
        <v>33</v>
      </c>
      <c r="F4164" s="9" t="s">
        <v>34</v>
      </c>
      <c r="G4164" s="9" t="s">
        <v>37</v>
      </c>
      <c r="H4164" s="11" t="s">
        <v>24</v>
      </c>
      <c r="I4164" s="12" t="n">
        <v>56</v>
      </c>
      <c r="J4164" s="13" t="n">
        <v>174</v>
      </c>
      <c r="K4164" s="14" t="n">
        <f aca="false">I4164*J4164</f>
        <v>9744</v>
      </c>
      <c r="L4164" s="14" t="n">
        <f aca="false">($L$2*M4164)/100</f>
        <v>817133.22</v>
      </c>
      <c r="M4164" s="15" t="n">
        <v>0.68</v>
      </c>
      <c r="N4164" s="9" t="s">
        <v>85</v>
      </c>
    </row>
    <row r="4165" customFormat="false" ht="14.25" hidden="false" customHeight="true" outlineLevel="0" collapsed="false">
      <c r="B4165" s="9" t="s">
        <v>36</v>
      </c>
      <c r="C4165" s="9" t="n">
        <v>1189833</v>
      </c>
      <c r="D4165" s="10" t="n">
        <v>44334</v>
      </c>
      <c r="E4165" s="9" t="s">
        <v>33</v>
      </c>
      <c r="F4165" s="9" t="s">
        <v>34</v>
      </c>
      <c r="G4165" s="9" t="s">
        <v>37</v>
      </c>
      <c r="H4165" s="11" t="s">
        <v>25</v>
      </c>
      <c r="I4165" s="12" t="n">
        <v>62</v>
      </c>
      <c r="J4165" s="13" t="n">
        <v>176</v>
      </c>
      <c r="K4165" s="14" t="n">
        <f aca="false">I4165*J4165</f>
        <v>10912</v>
      </c>
      <c r="L4165" s="14" t="n">
        <f aca="false">($L$2*M4165)/100</f>
        <v>420583.275</v>
      </c>
      <c r="M4165" s="15" t="n">
        <v>0.35</v>
      </c>
      <c r="N4165" s="9" t="s">
        <v>85</v>
      </c>
    </row>
    <row r="4166" customFormat="false" ht="14.25" hidden="false" customHeight="true" outlineLevel="0" collapsed="false">
      <c r="B4166" s="9" t="s">
        <v>36</v>
      </c>
      <c r="C4166" s="9" t="n">
        <v>1189833</v>
      </c>
      <c r="D4166" s="10" t="n">
        <v>44335</v>
      </c>
      <c r="E4166" s="9" t="s">
        <v>33</v>
      </c>
      <c r="F4166" s="9" t="s">
        <v>34</v>
      </c>
      <c r="G4166" s="9" t="s">
        <v>37</v>
      </c>
      <c r="H4166" s="11" t="s">
        <v>19</v>
      </c>
      <c r="I4166" s="12" t="n">
        <v>49</v>
      </c>
      <c r="J4166" s="13" t="n">
        <v>231</v>
      </c>
      <c r="K4166" s="14" t="n">
        <f aca="false">I4166*J4166</f>
        <v>11319</v>
      </c>
      <c r="L4166" s="14" t="n">
        <f aca="false">($L$2*M4166)/100</f>
        <v>600833.25</v>
      </c>
      <c r="M4166" s="15" t="n">
        <v>0.5</v>
      </c>
      <c r="N4166" s="9" t="s">
        <v>85</v>
      </c>
    </row>
    <row r="4167" customFormat="false" ht="14.25" hidden="false" customHeight="true" outlineLevel="0" collapsed="false">
      <c r="B4167" s="9" t="s">
        <v>36</v>
      </c>
      <c r="C4167" s="9" t="n">
        <v>1189833</v>
      </c>
      <c r="D4167" s="10" t="n">
        <v>44336</v>
      </c>
      <c r="E4167" s="9" t="s">
        <v>33</v>
      </c>
      <c r="F4167" s="9" t="s">
        <v>34</v>
      </c>
      <c r="G4167" s="9" t="s">
        <v>37</v>
      </c>
      <c r="H4167" s="11" t="s">
        <v>21</v>
      </c>
      <c r="I4167" s="12" t="n">
        <v>54</v>
      </c>
      <c r="J4167" s="13" t="n">
        <v>215</v>
      </c>
      <c r="K4167" s="14" t="n">
        <f aca="false">I4167*J4167</f>
        <v>11610</v>
      </c>
      <c r="L4167" s="14" t="n">
        <f aca="false">($L$2*M4167)/100</f>
        <v>456633.27</v>
      </c>
      <c r="M4167" s="15" t="n">
        <v>0.38</v>
      </c>
      <c r="N4167" s="9" t="s">
        <v>85</v>
      </c>
    </row>
    <row r="4168" customFormat="false" ht="14.25" hidden="false" customHeight="true" outlineLevel="0" collapsed="false">
      <c r="B4168" s="9" t="s">
        <v>36</v>
      </c>
      <c r="C4168" s="9" t="n">
        <v>1189833</v>
      </c>
      <c r="D4168" s="10" t="n">
        <v>44337</v>
      </c>
      <c r="E4168" s="9" t="s">
        <v>33</v>
      </c>
      <c r="F4168" s="9" t="s">
        <v>34</v>
      </c>
      <c r="G4168" s="9" t="s">
        <v>37</v>
      </c>
      <c r="H4168" s="11" t="s">
        <v>22</v>
      </c>
      <c r="I4168" s="12" t="n">
        <v>47</v>
      </c>
      <c r="J4168" s="13" t="n">
        <v>169</v>
      </c>
      <c r="K4168" s="14" t="n">
        <f aca="false">I4168*J4168</f>
        <v>7943</v>
      </c>
      <c r="L4168" s="14" t="n">
        <f aca="false">($L$2*M4168)/100</f>
        <v>600833.25</v>
      </c>
      <c r="M4168" s="15" t="n">
        <v>0.5</v>
      </c>
      <c r="N4168" s="9" t="s">
        <v>85</v>
      </c>
    </row>
    <row r="4169" customFormat="false" ht="14.25" hidden="false" customHeight="true" outlineLevel="0" collapsed="false">
      <c r="B4169" s="9" t="s">
        <v>36</v>
      </c>
      <c r="C4169" s="9" t="n">
        <v>1189833</v>
      </c>
      <c r="D4169" s="10" t="n">
        <v>44338</v>
      </c>
      <c r="E4169" s="9" t="s">
        <v>33</v>
      </c>
      <c r="F4169" s="9" t="s">
        <v>34</v>
      </c>
      <c r="G4169" s="9" t="s">
        <v>37</v>
      </c>
      <c r="H4169" s="11" t="s">
        <v>23</v>
      </c>
      <c r="I4169" s="12" t="n">
        <v>47</v>
      </c>
      <c r="J4169" s="13" t="n">
        <v>176</v>
      </c>
      <c r="K4169" s="14" t="n">
        <f aca="false">I4169*J4169</f>
        <v>8272</v>
      </c>
      <c r="L4169" s="14" t="n">
        <f aca="false">($L$2*M4169)/100</f>
        <v>540749.925</v>
      </c>
      <c r="M4169" s="15" t="n">
        <v>0.45</v>
      </c>
      <c r="N4169" s="9" t="s">
        <v>85</v>
      </c>
    </row>
    <row r="4170" customFormat="false" ht="14.25" hidden="false" customHeight="true" outlineLevel="0" collapsed="false">
      <c r="B4170" s="9" t="s">
        <v>36</v>
      </c>
      <c r="C4170" s="9" t="n">
        <v>1189833</v>
      </c>
      <c r="D4170" s="10" t="n">
        <v>44339</v>
      </c>
      <c r="E4170" s="9" t="s">
        <v>33</v>
      </c>
      <c r="F4170" s="9" t="s">
        <v>34</v>
      </c>
      <c r="G4170" s="9" t="s">
        <v>37</v>
      </c>
      <c r="H4170" s="11" t="s">
        <v>24</v>
      </c>
      <c r="I4170" s="12" t="n">
        <v>55</v>
      </c>
      <c r="J4170" s="13" t="n">
        <v>174</v>
      </c>
      <c r="K4170" s="14" t="n">
        <f aca="false">I4170*J4170</f>
        <v>9570</v>
      </c>
      <c r="L4170" s="14" t="n">
        <f aca="false">($L$2*M4170)/100</f>
        <v>829149.885</v>
      </c>
      <c r="M4170" s="15" t="n">
        <v>0.69</v>
      </c>
      <c r="N4170" s="9" t="s">
        <v>85</v>
      </c>
    </row>
    <row r="4171" customFormat="false" ht="14.25" hidden="false" customHeight="true" outlineLevel="0" collapsed="false">
      <c r="B4171" s="9" t="s">
        <v>36</v>
      </c>
      <c r="C4171" s="9" t="n">
        <v>1189833</v>
      </c>
      <c r="D4171" s="10" t="n">
        <v>44340</v>
      </c>
      <c r="E4171" s="9" t="s">
        <v>33</v>
      </c>
      <c r="F4171" s="9" t="s">
        <v>34</v>
      </c>
      <c r="G4171" s="9" t="s">
        <v>37</v>
      </c>
      <c r="H4171" s="11" t="s">
        <v>25</v>
      </c>
      <c r="I4171" s="12" t="n">
        <v>59</v>
      </c>
      <c r="J4171" s="13" t="n">
        <v>189</v>
      </c>
      <c r="K4171" s="14" t="n">
        <f aca="false">I4171*J4171</f>
        <v>11151</v>
      </c>
      <c r="L4171" s="14" t="n">
        <f aca="false">($L$2*M4171)/100</f>
        <v>408566.61</v>
      </c>
      <c r="M4171" s="15" t="n">
        <v>0.34</v>
      </c>
      <c r="N4171" s="9" t="s">
        <v>85</v>
      </c>
    </row>
    <row r="4172" customFormat="false" ht="14.25" hidden="false" customHeight="true" outlineLevel="0" collapsed="false">
      <c r="B4172" s="9" t="s">
        <v>36</v>
      </c>
      <c r="C4172" s="9" t="n">
        <v>1189833</v>
      </c>
      <c r="D4172" s="10" t="n">
        <v>44341</v>
      </c>
      <c r="E4172" s="9" t="s">
        <v>33</v>
      </c>
      <c r="F4172" s="9" t="s">
        <v>34</v>
      </c>
      <c r="G4172" s="9" t="s">
        <v>37</v>
      </c>
      <c r="H4172" s="11" t="s">
        <v>19</v>
      </c>
      <c r="I4172" s="12" t="n">
        <v>49</v>
      </c>
      <c r="J4172" s="13" t="n">
        <v>225</v>
      </c>
      <c r="K4172" s="14" t="n">
        <f aca="false">I4172*J4172</f>
        <v>11025</v>
      </c>
      <c r="L4172" s="14" t="n">
        <f aca="false">($L$2*M4172)/100</f>
        <v>612849.915</v>
      </c>
      <c r="M4172" s="15" t="n">
        <v>0.51</v>
      </c>
      <c r="N4172" s="9" t="s">
        <v>85</v>
      </c>
    </row>
    <row r="4173" customFormat="false" ht="14.25" hidden="false" customHeight="true" outlineLevel="0" collapsed="false">
      <c r="B4173" s="9" t="s">
        <v>36</v>
      </c>
      <c r="C4173" s="9" t="n">
        <v>1189833</v>
      </c>
      <c r="D4173" s="10" t="n">
        <v>44342</v>
      </c>
      <c r="E4173" s="9" t="s">
        <v>33</v>
      </c>
      <c r="F4173" s="9" t="s">
        <v>34</v>
      </c>
      <c r="G4173" s="9" t="s">
        <v>37</v>
      </c>
      <c r="H4173" s="11" t="s">
        <v>21</v>
      </c>
      <c r="I4173" s="12" t="n">
        <v>50</v>
      </c>
      <c r="J4173" s="13" t="n">
        <v>243</v>
      </c>
      <c r="K4173" s="14" t="n">
        <f aca="false">I4173*J4173</f>
        <v>12150</v>
      </c>
      <c r="L4173" s="14" t="n">
        <f aca="false">($L$2*M4173)/100</f>
        <v>456633.27</v>
      </c>
      <c r="M4173" s="15" t="n">
        <v>0.38</v>
      </c>
      <c r="N4173" s="9" t="s">
        <v>85</v>
      </c>
    </row>
    <row r="4174" customFormat="false" ht="14.25" hidden="false" customHeight="true" outlineLevel="0" collapsed="false">
      <c r="B4174" s="9" t="s">
        <v>36</v>
      </c>
      <c r="C4174" s="9" t="n">
        <v>1189833</v>
      </c>
      <c r="D4174" s="10" t="n">
        <v>44343</v>
      </c>
      <c r="E4174" s="9" t="s">
        <v>33</v>
      </c>
      <c r="F4174" s="9" t="s">
        <v>34</v>
      </c>
      <c r="G4174" s="9" t="s">
        <v>37</v>
      </c>
      <c r="H4174" s="11" t="s">
        <v>22</v>
      </c>
      <c r="I4174" s="12" t="n">
        <v>46</v>
      </c>
      <c r="J4174" s="13" t="n">
        <v>182</v>
      </c>
      <c r="K4174" s="14" t="n">
        <f aca="false">I4174*J4174</f>
        <v>8372</v>
      </c>
      <c r="L4174" s="14" t="n">
        <f aca="false">($L$2*M4174)/100</f>
        <v>648899.91</v>
      </c>
      <c r="M4174" s="15" t="n">
        <v>0.54</v>
      </c>
      <c r="N4174" s="9" t="s">
        <v>85</v>
      </c>
    </row>
    <row r="4175" customFormat="false" ht="14.25" hidden="false" customHeight="true" outlineLevel="0" collapsed="false">
      <c r="B4175" s="9" t="s">
        <v>36</v>
      </c>
      <c r="C4175" s="9" t="n">
        <v>1189833</v>
      </c>
      <c r="D4175" s="10" t="n">
        <v>44344</v>
      </c>
      <c r="E4175" s="9" t="s">
        <v>33</v>
      </c>
      <c r="F4175" s="9" t="s">
        <v>34</v>
      </c>
      <c r="G4175" s="9" t="s">
        <v>37</v>
      </c>
      <c r="H4175" s="11" t="s">
        <v>23</v>
      </c>
      <c r="I4175" s="12" t="n">
        <v>49</v>
      </c>
      <c r="J4175" s="13" t="n">
        <v>210</v>
      </c>
      <c r="K4175" s="14" t="n">
        <f aca="false">I4175*J4175</f>
        <v>10290</v>
      </c>
      <c r="L4175" s="14" t="n">
        <f aca="false">($L$2*M4175)/100</f>
        <v>600833.25</v>
      </c>
      <c r="M4175" s="15" t="n">
        <v>0.5</v>
      </c>
      <c r="N4175" s="9" t="s">
        <v>85</v>
      </c>
    </row>
    <row r="4176" customFormat="false" ht="14.25" hidden="false" customHeight="true" outlineLevel="0" collapsed="false">
      <c r="B4176" s="9" t="s">
        <v>36</v>
      </c>
      <c r="C4176" s="9" t="n">
        <v>1189833</v>
      </c>
      <c r="D4176" s="10" t="n">
        <v>44345</v>
      </c>
      <c r="E4176" s="9" t="s">
        <v>33</v>
      </c>
      <c r="F4176" s="9" t="s">
        <v>34</v>
      </c>
      <c r="G4176" s="9" t="s">
        <v>37</v>
      </c>
      <c r="H4176" s="11" t="s">
        <v>24</v>
      </c>
      <c r="I4176" s="12" t="n">
        <v>55</v>
      </c>
      <c r="J4176" s="13" t="n">
        <v>156</v>
      </c>
      <c r="K4176" s="14" t="n">
        <f aca="false">I4176*J4176</f>
        <v>8580</v>
      </c>
      <c r="L4176" s="14" t="n">
        <f aca="false">($L$2*M4176)/100</f>
        <v>781083.225</v>
      </c>
      <c r="M4176" s="15" t="n">
        <v>0.65</v>
      </c>
      <c r="N4176" s="9" t="s">
        <v>85</v>
      </c>
    </row>
    <row r="4177" customFormat="false" ht="14.25" hidden="false" customHeight="true" outlineLevel="0" collapsed="false">
      <c r="B4177" s="9" t="s">
        <v>36</v>
      </c>
      <c r="C4177" s="9" t="n">
        <v>1189833</v>
      </c>
      <c r="D4177" s="10" t="n">
        <v>44346</v>
      </c>
      <c r="E4177" s="9" t="s">
        <v>33</v>
      </c>
      <c r="F4177" s="9" t="s">
        <v>34</v>
      </c>
      <c r="G4177" s="9" t="s">
        <v>37</v>
      </c>
      <c r="H4177" s="11" t="s">
        <v>25</v>
      </c>
      <c r="I4177" s="12" t="n">
        <v>59</v>
      </c>
      <c r="J4177" s="13" t="n">
        <v>196</v>
      </c>
      <c r="K4177" s="14" t="n">
        <f aca="false">I4177*J4177</f>
        <v>11564</v>
      </c>
      <c r="L4177" s="14" t="n">
        <f aca="false">($L$2*M4177)/100</f>
        <v>420583.275</v>
      </c>
      <c r="M4177" s="15" t="n">
        <v>0.35</v>
      </c>
      <c r="N4177" s="9" t="s">
        <v>85</v>
      </c>
    </row>
    <row r="4178" customFormat="false" ht="14.25" hidden="false" customHeight="true" outlineLevel="0" collapsed="false">
      <c r="B4178" s="9" t="s">
        <v>16</v>
      </c>
      <c r="C4178" s="9" t="n">
        <v>1185732</v>
      </c>
      <c r="D4178" s="10" t="n">
        <v>44347</v>
      </c>
      <c r="E4178" s="9" t="s">
        <v>33</v>
      </c>
      <c r="F4178" s="9" t="s">
        <v>34</v>
      </c>
      <c r="G4178" s="9" t="s">
        <v>37</v>
      </c>
      <c r="H4178" s="11" t="s">
        <v>19</v>
      </c>
      <c r="I4178" s="12" t="n">
        <v>44</v>
      </c>
      <c r="J4178" s="13" t="n">
        <v>124</v>
      </c>
      <c r="K4178" s="14" t="n">
        <f aca="false">I4178*J4178</f>
        <v>5456</v>
      </c>
      <c r="L4178" s="14" t="n">
        <f aca="false">($L$2*M4178)/100</f>
        <v>624866.58</v>
      </c>
      <c r="M4178" s="15" t="n">
        <v>0.52</v>
      </c>
      <c r="N4178" s="9" t="s">
        <v>85</v>
      </c>
    </row>
    <row r="4179" customFormat="false" ht="14.25" hidden="false" customHeight="true" outlineLevel="0" collapsed="false">
      <c r="B4179" s="9" t="s">
        <v>16</v>
      </c>
      <c r="C4179" s="9" t="n">
        <v>1185732</v>
      </c>
      <c r="D4179" s="10" t="n">
        <v>44348</v>
      </c>
      <c r="E4179" s="9" t="s">
        <v>33</v>
      </c>
      <c r="F4179" s="9" t="s">
        <v>34</v>
      </c>
      <c r="G4179" s="9" t="s">
        <v>37</v>
      </c>
      <c r="H4179" s="11" t="s">
        <v>21</v>
      </c>
      <c r="I4179" s="12" t="n">
        <v>41</v>
      </c>
      <c r="J4179" s="13" t="n">
        <v>77</v>
      </c>
      <c r="K4179" s="14" t="n">
        <f aca="false">I4179*J4179</f>
        <v>3157</v>
      </c>
      <c r="L4179" s="14" t="n">
        <f aca="false">($L$2*M4179)/100</f>
        <v>552766.59</v>
      </c>
      <c r="M4179" s="15" t="n">
        <v>0.46</v>
      </c>
      <c r="N4179" s="9" t="s">
        <v>85</v>
      </c>
    </row>
    <row r="4180" customFormat="false" ht="14.25" hidden="false" customHeight="true" outlineLevel="0" collapsed="false">
      <c r="B4180" s="9" t="s">
        <v>16</v>
      </c>
      <c r="C4180" s="9" t="n">
        <v>1185732</v>
      </c>
      <c r="D4180" s="10" t="n">
        <v>44349</v>
      </c>
      <c r="E4180" s="9" t="s">
        <v>33</v>
      </c>
      <c r="F4180" s="9" t="s">
        <v>34</v>
      </c>
      <c r="G4180" s="9" t="s">
        <v>37</v>
      </c>
      <c r="H4180" s="11" t="s">
        <v>22</v>
      </c>
      <c r="I4180" s="12" t="n">
        <v>32</v>
      </c>
      <c r="J4180" s="13" t="n">
        <v>83</v>
      </c>
      <c r="K4180" s="14" t="n">
        <f aca="false">I4180*J4180</f>
        <v>2656</v>
      </c>
      <c r="L4180" s="14" t="n">
        <f aca="false">($L$2*M4180)/100</f>
        <v>564783.255</v>
      </c>
      <c r="M4180" s="15" t="n">
        <v>0.47</v>
      </c>
      <c r="N4180" s="9" t="s">
        <v>85</v>
      </c>
    </row>
    <row r="4181" customFormat="false" ht="14.25" hidden="false" customHeight="true" outlineLevel="0" collapsed="false">
      <c r="B4181" s="9" t="s">
        <v>16</v>
      </c>
      <c r="C4181" s="9" t="n">
        <v>1185732</v>
      </c>
      <c r="D4181" s="10" t="n">
        <v>44350</v>
      </c>
      <c r="E4181" s="9" t="s">
        <v>33</v>
      </c>
      <c r="F4181" s="9" t="s">
        <v>34</v>
      </c>
      <c r="G4181" s="9" t="s">
        <v>37</v>
      </c>
      <c r="H4181" s="11" t="s">
        <v>23</v>
      </c>
      <c r="I4181" s="12" t="n">
        <v>37</v>
      </c>
      <c r="J4181" s="13" t="n">
        <v>34</v>
      </c>
      <c r="K4181" s="14" t="n">
        <f aca="false">I4181*J4181</f>
        <v>1258</v>
      </c>
      <c r="L4181" s="14" t="n">
        <f aca="false">($L$2*M4181)/100</f>
        <v>624866.58</v>
      </c>
      <c r="M4181" s="15" t="n">
        <v>0.52</v>
      </c>
      <c r="N4181" s="9" t="s">
        <v>85</v>
      </c>
    </row>
    <row r="4182" customFormat="false" ht="14.25" hidden="false" customHeight="true" outlineLevel="0" collapsed="false">
      <c r="B4182" s="9" t="s">
        <v>16</v>
      </c>
      <c r="C4182" s="9" t="n">
        <v>1185732</v>
      </c>
      <c r="D4182" s="10" t="n">
        <v>44351</v>
      </c>
      <c r="E4182" s="9" t="s">
        <v>38</v>
      </c>
      <c r="F4182" s="9" t="s">
        <v>39</v>
      </c>
      <c r="G4182" s="9" t="s">
        <v>40</v>
      </c>
      <c r="H4182" s="11" t="s">
        <v>24</v>
      </c>
      <c r="I4182" s="12" t="n">
        <v>53</v>
      </c>
      <c r="J4182" s="13" t="n">
        <v>47</v>
      </c>
      <c r="K4182" s="14" t="n">
        <f aca="false">I4182*J4182</f>
        <v>2491</v>
      </c>
      <c r="L4182" s="14" t="n">
        <f aca="false">($L$2*M4182)/100</f>
        <v>588816.585</v>
      </c>
      <c r="M4182" s="15" t="n">
        <v>0.49</v>
      </c>
      <c r="N4182" s="9" t="s">
        <v>85</v>
      </c>
    </row>
    <row r="4183" customFormat="false" ht="14.25" hidden="false" customHeight="true" outlineLevel="0" collapsed="false">
      <c r="B4183" s="9" t="s">
        <v>16</v>
      </c>
      <c r="C4183" s="9" t="n">
        <v>1185732</v>
      </c>
      <c r="D4183" s="10" t="n">
        <v>44352</v>
      </c>
      <c r="E4183" s="9" t="s">
        <v>38</v>
      </c>
      <c r="F4183" s="9" t="s">
        <v>39</v>
      </c>
      <c r="G4183" s="9" t="s">
        <v>40</v>
      </c>
      <c r="H4183" s="11" t="s">
        <v>25</v>
      </c>
      <c r="I4183" s="12" t="n">
        <v>41</v>
      </c>
      <c r="J4183" s="13" t="n">
        <v>69</v>
      </c>
      <c r="K4183" s="14" t="n">
        <f aca="false">I4183*J4183</f>
        <v>2829</v>
      </c>
      <c r="L4183" s="14" t="n">
        <f aca="false">($L$2*M4183)/100</f>
        <v>720999.9</v>
      </c>
      <c r="M4183" s="15" t="n">
        <v>0.6</v>
      </c>
      <c r="N4183" s="9" t="s">
        <v>85</v>
      </c>
    </row>
    <row r="4184" customFormat="false" ht="14.25" hidden="false" customHeight="true" outlineLevel="0" collapsed="false">
      <c r="B4184" s="9" t="s">
        <v>16</v>
      </c>
      <c r="C4184" s="9" t="n">
        <v>1185732</v>
      </c>
      <c r="D4184" s="10" t="n">
        <v>44353</v>
      </c>
      <c r="E4184" s="9" t="s">
        <v>38</v>
      </c>
      <c r="F4184" s="9" t="s">
        <v>39</v>
      </c>
      <c r="G4184" s="9" t="s">
        <v>40</v>
      </c>
      <c r="H4184" s="11" t="s">
        <v>19</v>
      </c>
      <c r="I4184" s="12" t="n">
        <v>44</v>
      </c>
      <c r="J4184" s="13" t="n">
        <v>158</v>
      </c>
      <c r="K4184" s="14" t="n">
        <f aca="false">I4184*J4184</f>
        <v>6952</v>
      </c>
      <c r="L4184" s="14" t="n">
        <f aca="false">($L$2*M4184)/100</f>
        <v>612849.915</v>
      </c>
      <c r="M4184" s="15" t="n">
        <v>0.51</v>
      </c>
      <c r="N4184" s="9" t="s">
        <v>85</v>
      </c>
    </row>
    <row r="4185" customFormat="false" ht="14.25" hidden="false" customHeight="true" outlineLevel="0" collapsed="false">
      <c r="B4185" s="9" t="s">
        <v>16</v>
      </c>
      <c r="C4185" s="9" t="n">
        <v>1185732</v>
      </c>
      <c r="D4185" s="10" t="n">
        <v>44354</v>
      </c>
      <c r="E4185" s="9" t="s">
        <v>38</v>
      </c>
      <c r="F4185" s="9" t="s">
        <v>39</v>
      </c>
      <c r="G4185" s="9" t="s">
        <v>40</v>
      </c>
      <c r="H4185" s="11" t="s">
        <v>21</v>
      </c>
      <c r="I4185" s="12" t="n">
        <v>43</v>
      </c>
      <c r="J4185" s="13" t="n">
        <v>51</v>
      </c>
      <c r="K4185" s="14" t="n">
        <f aca="false">I4185*J4185</f>
        <v>2193</v>
      </c>
      <c r="L4185" s="14" t="n">
        <f aca="false">($L$2*M4185)/100</f>
        <v>564783.255</v>
      </c>
      <c r="M4185" s="15" t="n">
        <v>0.47</v>
      </c>
      <c r="N4185" s="9" t="s">
        <v>85</v>
      </c>
    </row>
    <row r="4186" customFormat="false" ht="14.25" hidden="false" customHeight="true" outlineLevel="0" collapsed="false">
      <c r="B4186" s="9" t="s">
        <v>16</v>
      </c>
      <c r="C4186" s="9" t="n">
        <v>1185732</v>
      </c>
      <c r="D4186" s="10" t="n">
        <v>44355</v>
      </c>
      <c r="E4186" s="9" t="s">
        <v>38</v>
      </c>
      <c r="F4186" s="9" t="s">
        <v>39</v>
      </c>
      <c r="G4186" s="9" t="s">
        <v>40</v>
      </c>
      <c r="H4186" s="11" t="s">
        <v>22</v>
      </c>
      <c r="I4186" s="12" t="n">
        <v>32</v>
      </c>
      <c r="J4186" s="13" t="n">
        <v>61</v>
      </c>
      <c r="K4186" s="14" t="n">
        <f aca="false">I4186*J4186</f>
        <v>1952</v>
      </c>
      <c r="L4186" s="14" t="n">
        <f aca="false">($L$2*M4186)/100</f>
        <v>552766.59</v>
      </c>
      <c r="M4186" s="15" t="n">
        <v>0.46</v>
      </c>
      <c r="N4186" s="9" t="s">
        <v>85</v>
      </c>
    </row>
    <row r="4187" customFormat="false" ht="14.25" hidden="false" customHeight="true" outlineLevel="0" collapsed="false">
      <c r="B4187" s="9" t="s">
        <v>16</v>
      </c>
      <c r="C4187" s="9" t="n">
        <v>1185732</v>
      </c>
      <c r="D4187" s="10" t="n">
        <v>44356</v>
      </c>
      <c r="E4187" s="9" t="s">
        <v>38</v>
      </c>
      <c r="F4187" s="9" t="s">
        <v>39</v>
      </c>
      <c r="G4187" s="9" t="s">
        <v>40</v>
      </c>
      <c r="H4187" s="11" t="s">
        <v>23</v>
      </c>
      <c r="I4187" s="12" t="n">
        <v>39</v>
      </c>
      <c r="J4187" s="13" t="n">
        <v>28</v>
      </c>
      <c r="K4187" s="14" t="n">
        <f aca="false">I4187*J4187</f>
        <v>1092</v>
      </c>
      <c r="L4187" s="14" t="n">
        <f aca="false">($L$2*M4187)/100</f>
        <v>636883.245</v>
      </c>
      <c r="M4187" s="15" t="n">
        <v>0.53</v>
      </c>
      <c r="N4187" s="9" t="s">
        <v>85</v>
      </c>
    </row>
    <row r="4188" customFormat="false" ht="14.25" hidden="false" customHeight="true" outlineLevel="0" collapsed="false">
      <c r="B4188" s="9" t="s">
        <v>16</v>
      </c>
      <c r="C4188" s="9" t="n">
        <v>1185732</v>
      </c>
      <c r="D4188" s="10" t="n">
        <v>44357</v>
      </c>
      <c r="E4188" s="9" t="s">
        <v>38</v>
      </c>
      <c r="F4188" s="9" t="s">
        <v>39</v>
      </c>
      <c r="G4188" s="9" t="s">
        <v>40</v>
      </c>
      <c r="H4188" s="11" t="s">
        <v>24</v>
      </c>
      <c r="I4188" s="12" t="n">
        <v>50</v>
      </c>
      <c r="J4188" s="13" t="n">
        <v>44</v>
      </c>
      <c r="K4188" s="14" t="n">
        <f aca="false">I4188*J4188</f>
        <v>2200</v>
      </c>
      <c r="L4188" s="14" t="n">
        <f aca="false">($L$2*M4188)/100</f>
        <v>564783.255</v>
      </c>
      <c r="M4188" s="15" t="n">
        <v>0.47</v>
      </c>
      <c r="N4188" s="9" t="s">
        <v>85</v>
      </c>
    </row>
    <row r="4189" customFormat="false" ht="14.25" hidden="false" customHeight="true" outlineLevel="0" collapsed="false">
      <c r="B4189" s="9" t="s">
        <v>16</v>
      </c>
      <c r="C4189" s="9" t="n">
        <v>1185732</v>
      </c>
      <c r="D4189" s="10" t="n">
        <v>44358</v>
      </c>
      <c r="E4189" s="9" t="s">
        <v>38</v>
      </c>
      <c r="F4189" s="9" t="s">
        <v>39</v>
      </c>
      <c r="G4189" s="9" t="s">
        <v>40</v>
      </c>
      <c r="H4189" s="11" t="s">
        <v>25</v>
      </c>
      <c r="I4189" s="12" t="n">
        <v>43</v>
      </c>
      <c r="J4189" s="13" t="n">
        <v>77</v>
      </c>
      <c r="K4189" s="14" t="n">
        <f aca="false">I4189*J4189</f>
        <v>3311</v>
      </c>
      <c r="L4189" s="14" t="n">
        <f aca="false">($L$2*M4189)/100</f>
        <v>781083.225</v>
      </c>
      <c r="M4189" s="15" t="n">
        <v>0.65</v>
      </c>
      <c r="N4189" s="9" t="s">
        <v>85</v>
      </c>
    </row>
    <row r="4190" customFormat="false" ht="14.25" hidden="false" customHeight="true" outlineLevel="0" collapsed="false">
      <c r="B4190" s="9" t="s">
        <v>16</v>
      </c>
      <c r="C4190" s="9" t="n">
        <v>1185732</v>
      </c>
      <c r="D4190" s="10" t="n">
        <v>44359</v>
      </c>
      <c r="E4190" s="9" t="s">
        <v>38</v>
      </c>
      <c r="F4190" s="9" t="s">
        <v>39</v>
      </c>
      <c r="G4190" s="9" t="s">
        <v>40</v>
      </c>
      <c r="H4190" s="11" t="s">
        <v>19</v>
      </c>
      <c r="I4190" s="12" t="n">
        <v>47</v>
      </c>
      <c r="J4190" s="13" t="n">
        <v>144</v>
      </c>
      <c r="K4190" s="14" t="n">
        <f aca="false">I4190*J4190</f>
        <v>6768</v>
      </c>
      <c r="L4190" s="14" t="n">
        <f aca="false">($L$2*M4190)/100</f>
        <v>660916.575</v>
      </c>
      <c r="M4190" s="15" t="n">
        <v>0.55</v>
      </c>
      <c r="N4190" s="9" t="s">
        <v>85</v>
      </c>
    </row>
    <row r="4191" customFormat="false" ht="14.25" hidden="false" customHeight="true" outlineLevel="0" collapsed="false">
      <c r="B4191" s="9" t="s">
        <v>16</v>
      </c>
      <c r="C4191" s="9" t="n">
        <v>1185732</v>
      </c>
      <c r="D4191" s="10" t="n">
        <v>44360</v>
      </c>
      <c r="E4191" s="9" t="s">
        <v>38</v>
      </c>
      <c r="F4191" s="9" t="s">
        <v>39</v>
      </c>
      <c r="G4191" s="9" t="s">
        <v>40</v>
      </c>
      <c r="H4191" s="11" t="s">
        <v>21</v>
      </c>
      <c r="I4191" s="12" t="n">
        <v>46</v>
      </c>
      <c r="J4191" s="13" t="n">
        <v>60</v>
      </c>
      <c r="K4191" s="14" t="n">
        <f aca="false">I4191*J4191</f>
        <v>2760</v>
      </c>
      <c r="L4191" s="14" t="n">
        <f aca="false">($L$2*M4191)/100</f>
        <v>576799.92</v>
      </c>
      <c r="M4191" s="15" t="n">
        <v>0.48</v>
      </c>
      <c r="N4191" s="9" t="s">
        <v>85</v>
      </c>
    </row>
    <row r="4192" customFormat="false" ht="14.25" hidden="false" customHeight="true" outlineLevel="0" collapsed="false">
      <c r="B4192" s="9" t="s">
        <v>16</v>
      </c>
      <c r="C4192" s="9" t="n">
        <v>1185732</v>
      </c>
      <c r="D4192" s="10" t="n">
        <v>44361</v>
      </c>
      <c r="E4192" s="9" t="s">
        <v>38</v>
      </c>
      <c r="F4192" s="9" t="s">
        <v>39</v>
      </c>
      <c r="G4192" s="9" t="s">
        <v>40</v>
      </c>
      <c r="H4192" s="11" t="s">
        <v>22</v>
      </c>
      <c r="I4192" s="12" t="n">
        <v>37</v>
      </c>
      <c r="J4192" s="13" t="n">
        <v>68</v>
      </c>
      <c r="K4192" s="14" t="n">
        <f aca="false">I4192*J4192</f>
        <v>2516</v>
      </c>
      <c r="L4192" s="14" t="n">
        <f aca="false">($L$2*M4192)/100</f>
        <v>540749.925</v>
      </c>
      <c r="M4192" s="15" t="n">
        <v>0.45</v>
      </c>
      <c r="N4192" s="9" t="s">
        <v>85</v>
      </c>
    </row>
    <row r="4193" customFormat="false" ht="14.25" hidden="false" customHeight="true" outlineLevel="0" collapsed="false">
      <c r="B4193" s="9" t="s">
        <v>16</v>
      </c>
      <c r="C4193" s="9" t="n">
        <v>1185732</v>
      </c>
      <c r="D4193" s="10" t="n">
        <v>44362</v>
      </c>
      <c r="E4193" s="9" t="s">
        <v>38</v>
      </c>
      <c r="F4193" s="9" t="s">
        <v>39</v>
      </c>
      <c r="G4193" s="9" t="s">
        <v>40</v>
      </c>
      <c r="H4193" s="11" t="s">
        <v>23</v>
      </c>
      <c r="I4193" s="12" t="n">
        <v>41</v>
      </c>
      <c r="J4193" s="13" t="n">
        <v>19</v>
      </c>
      <c r="K4193" s="14" t="n">
        <f aca="false">I4193*J4193</f>
        <v>779</v>
      </c>
      <c r="L4193" s="14" t="n">
        <f aca="false">($L$2*M4193)/100</f>
        <v>636883.245</v>
      </c>
      <c r="M4193" s="15" t="n">
        <v>0.53</v>
      </c>
      <c r="N4193" s="9" t="s">
        <v>85</v>
      </c>
    </row>
    <row r="4194" customFormat="false" ht="14.25" hidden="false" customHeight="true" outlineLevel="0" collapsed="false">
      <c r="B4194" s="9" t="s">
        <v>16</v>
      </c>
      <c r="C4194" s="9" t="n">
        <v>1185732</v>
      </c>
      <c r="D4194" s="10" t="n">
        <v>44363</v>
      </c>
      <c r="E4194" s="9" t="s">
        <v>38</v>
      </c>
      <c r="F4194" s="9" t="s">
        <v>39</v>
      </c>
      <c r="G4194" s="9" t="s">
        <v>40</v>
      </c>
      <c r="H4194" s="11" t="s">
        <v>24</v>
      </c>
      <c r="I4194" s="12" t="n">
        <v>56</v>
      </c>
      <c r="J4194" s="13" t="n">
        <v>38</v>
      </c>
      <c r="K4194" s="14" t="n">
        <f aca="false">I4194*J4194</f>
        <v>2128</v>
      </c>
      <c r="L4194" s="14" t="n">
        <f aca="false">($L$2*M4194)/100</f>
        <v>564783.255</v>
      </c>
      <c r="M4194" s="15" t="n">
        <v>0.47</v>
      </c>
      <c r="N4194" s="9" t="s">
        <v>85</v>
      </c>
    </row>
    <row r="4195" customFormat="false" ht="14.25" hidden="false" customHeight="true" outlineLevel="0" collapsed="false">
      <c r="B4195" s="9" t="s">
        <v>16</v>
      </c>
      <c r="C4195" s="9" t="n">
        <v>1185732</v>
      </c>
      <c r="D4195" s="10" t="n">
        <v>44364</v>
      </c>
      <c r="E4195" s="9" t="s">
        <v>38</v>
      </c>
      <c r="F4195" s="9" t="s">
        <v>39</v>
      </c>
      <c r="G4195" s="9" t="s">
        <v>40</v>
      </c>
      <c r="H4195" s="11" t="s">
        <v>25</v>
      </c>
      <c r="I4195" s="12" t="n">
        <v>45</v>
      </c>
      <c r="J4195" s="13" t="n">
        <v>63</v>
      </c>
      <c r="K4195" s="14" t="n">
        <f aca="false">I4195*J4195</f>
        <v>2835</v>
      </c>
      <c r="L4195" s="14" t="n">
        <f aca="false">($L$2*M4195)/100</f>
        <v>757049.895</v>
      </c>
      <c r="M4195" s="15" t="n">
        <v>0.63</v>
      </c>
      <c r="N4195" s="9" t="s">
        <v>85</v>
      </c>
    </row>
    <row r="4196" customFormat="false" ht="14.25" hidden="false" customHeight="true" outlineLevel="0" collapsed="false">
      <c r="B4196" s="9" t="s">
        <v>16</v>
      </c>
      <c r="C4196" s="9" t="n">
        <v>1185732</v>
      </c>
      <c r="D4196" s="10" t="n">
        <v>44365</v>
      </c>
      <c r="E4196" s="9" t="s">
        <v>38</v>
      </c>
      <c r="F4196" s="9" t="s">
        <v>39</v>
      </c>
      <c r="G4196" s="9" t="s">
        <v>40</v>
      </c>
      <c r="H4196" s="11" t="s">
        <v>19</v>
      </c>
      <c r="I4196" s="12" t="n">
        <v>48</v>
      </c>
      <c r="J4196" s="13" t="n">
        <v>122</v>
      </c>
      <c r="K4196" s="14" t="n">
        <f aca="false">I4196*J4196</f>
        <v>5856</v>
      </c>
      <c r="L4196" s="14" t="n">
        <f aca="false">($L$2*M4196)/100</f>
        <v>624866.58</v>
      </c>
      <c r="M4196" s="15" t="n">
        <v>0.52</v>
      </c>
      <c r="N4196" s="9" t="s">
        <v>85</v>
      </c>
    </row>
    <row r="4197" customFormat="false" ht="14.25" hidden="false" customHeight="true" outlineLevel="0" collapsed="false">
      <c r="B4197" s="9" t="s">
        <v>16</v>
      </c>
      <c r="C4197" s="9" t="n">
        <v>1185732</v>
      </c>
      <c r="D4197" s="10" t="n">
        <v>44366</v>
      </c>
      <c r="E4197" s="9" t="s">
        <v>38</v>
      </c>
      <c r="F4197" s="9" t="s">
        <v>39</v>
      </c>
      <c r="G4197" s="9" t="s">
        <v>40</v>
      </c>
      <c r="H4197" s="11" t="s">
        <v>21</v>
      </c>
      <c r="I4197" s="12" t="n">
        <v>48</v>
      </c>
      <c r="J4197" s="13" t="n">
        <v>44</v>
      </c>
      <c r="K4197" s="14" t="n">
        <f aca="false">I4197*J4197</f>
        <v>2112</v>
      </c>
      <c r="L4197" s="14" t="n">
        <f aca="false">($L$2*M4197)/100</f>
        <v>552766.59</v>
      </c>
      <c r="M4197" s="15" t="n">
        <v>0.46</v>
      </c>
      <c r="N4197" s="9" t="s">
        <v>85</v>
      </c>
    </row>
    <row r="4198" customFormat="false" ht="14.25" hidden="false" customHeight="true" outlineLevel="0" collapsed="false">
      <c r="B4198" s="9" t="s">
        <v>16</v>
      </c>
      <c r="C4198" s="9" t="n">
        <v>1185732</v>
      </c>
      <c r="D4198" s="10" t="n">
        <v>44367</v>
      </c>
      <c r="E4198" s="9" t="s">
        <v>38</v>
      </c>
      <c r="F4198" s="9" t="s">
        <v>39</v>
      </c>
      <c r="G4198" s="9" t="s">
        <v>40</v>
      </c>
      <c r="H4198" s="11" t="s">
        <v>22</v>
      </c>
      <c r="I4198" s="12" t="n">
        <v>36</v>
      </c>
      <c r="J4198" s="13" t="n">
        <v>42</v>
      </c>
      <c r="K4198" s="14" t="n">
        <f aca="false">I4198*J4198</f>
        <v>1512</v>
      </c>
      <c r="L4198" s="14" t="n">
        <f aca="false">($L$2*M4198)/100</f>
        <v>576799.92</v>
      </c>
      <c r="M4198" s="15" t="n">
        <v>0.48</v>
      </c>
      <c r="N4198" s="9" t="s">
        <v>85</v>
      </c>
    </row>
    <row r="4199" customFormat="false" ht="14.25" hidden="false" customHeight="true" outlineLevel="0" collapsed="false">
      <c r="B4199" s="9" t="s">
        <v>16</v>
      </c>
      <c r="C4199" s="9" t="n">
        <v>1185732</v>
      </c>
      <c r="D4199" s="10" t="n">
        <v>44368</v>
      </c>
      <c r="E4199" s="9" t="s">
        <v>38</v>
      </c>
      <c r="F4199" s="9" t="s">
        <v>39</v>
      </c>
      <c r="G4199" s="9" t="s">
        <v>40</v>
      </c>
      <c r="H4199" s="11" t="s">
        <v>23</v>
      </c>
      <c r="I4199" s="12" t="n">
        <v>44</v>
      </c>
      <c r="J4199" s="13" t="n">
        <v>20</v>
      </c>
      <c r="K4199" s="14" t="n">
        <f aca="false">I4199*J4199</f>
        <v>880</v>
      </c>
      <c r="L4199" s="14" t="n">
        <f aca="false">($L$2*M4199)/100</f>
        <v>600833.25</v>
      </c>
      <c r="M4199" s="15" t="n">
        <v>0.5</v>
      </c>
      <c r="N4199" s="9" t="s">
        <v>85</v>
      </c>
    </row>
    <row r="4200" customFormat="false" ht="14.25" hidden="false" customHeight="true" outlineLevel="0" collapsed="false">
      <c r="B4200" s="9" t="s">
        <v>16</v>
      </c>
      <c r="C4200" s="9" t="n">
        <v>1185732</v>
      </c>
      <c r="D4200" s="10" t="n">
        <v>44369</v>
      </c>
      <c r="E4200" s="9" t="s">
        <v>38</v>
      </c>
      <c r="F4200" s="9" t="s">
        <v>39</v>
      </c>
      <c r="G4200" s="9" t="s">
        <v>40</v>
      </c>
      <c r="H4200" s="11" t="s">
        <v>24</v>
      </c>
      <c r="I4200" s="12" t="n">
        <v>54</v>
      </c>
      <c r="J4200" s="13" t="n">
        <v>28</v>
      </c>
      <c r="K4200" s="14" t="n">
        <f aca="false">I4200*J4200</f>
        <v>1512</v>
      </c>
      <c r="L4200" s="14" t="n">
        <f aca="false">($L$2*M4200)/100</f>
        <v>564783.255</v>
      </c>
      <c r="M4200" s="15" t="n">
        <v>0.47</v>
      </c>
      <c r="N4200" s="9" t="s">
        <v>85</v>
      </c>
    </row>
    <row r="4201" customFormat="false" ht="14.25" hidden="false" customHeight="true" outlineLevel="0" collapsed="false">
      <c r="B4201" s="9" t="s">
        <v>16</v>
      </c>
      <c r="C4201" s="9" t="n">
        <v>1185732</v>
      </c>
      <c r="D4201" s="10" t="n">
        <v>44370</v>
      </c>
      <c r="E4201" s="9" t="s">
        <v>38</v>
      </c>
      <c r="F4201" s="9" t="s">
        <v>39</v>
      </c>
      <c r="G4201" s="9" t="s">
        <v>40</v>
      </c>
      <c r="H4201" s="11" t="s">
        <v>25</v>
      </c>
      <c r="I4201" s="12" t="n">
        <v>49</v>
      </c>
      <c r="J4201" s="13" t="n">
        <v>65</v>
      </c>
      <c r="K4201" s="14" t="n">
        <f aca="false">I4201*J4201</f>
        <v>3185</v>
      </c>
      <c r="L4201" s="14" t="n">
        <f aca="false">($L$2*M4201)/100</f>
        <v>720999.9</v>
      </c>
      <c r="M4201" s="15" t="n">
        <v>0.6</v>
      </c>
      <c r="N4201" s="9" t="s">
        <v>85</v>
      </c>
    </row>
    <row r="4202" customFormat="false" ht="14.25" hidden="false" customHeight="true" outlineLevel="0" collapsed="false">
      <c r="B4202" s="9" t="s">
        <v>16</v>
      </c>
      <c r="C4202" s="9" t="n">
        <v>1185732</v>
      </c>
      <c r="D4202" s="10" t="n">
        <v>44371</v>
      </c>
      <c r="E4202" s="9" t="s">
        <v>38</v>
      </c>
      <c r="F4202" s="9" t="s">
        <v>39</v>
      </c>
      <c r="G4202" s="9" t="s">
        <v>40</v>
      </c>
      <c r="H4202" s="11" t="s">
        <v>19</v>
      </c>
      <c r="I4202" s="12" t="n">
        <v>58</v>
      </c>
      <c r="J4202" s="13" t="n">
        <v>134</v>
      </c>
      <c r="K4202" s="14" t="n">
        <f aca="false">I4202*J4202</f>
        <v>7772</v>
      </c>
      <c r="L4202" s="14" t="n">
        <f aca="false">($L$2*M4202)/100</f>
        <v>648899.91</v>
      </c>
      <c r="M4202" s="15" t="n">
        <v>0.54</v>
      </c>
      <c r="N4202" s="9" t="s">
        <v>85</v>
      </c>
    </row>
    <row r="4203" customFormat="false" ht="14.25" hidden="false" customHeight="true" outlineLevel="0" collapsed="false">
      <c r="B4203" s="9" t="s">
        <v>16</v>
      </c>
      <c r="C4203" s="9" t="n">
        <v>1185732</v>
      </c>
      <c r="D4203" s="10" t="n">
        <v>44372</v>
      </c>
      <c r="E4203" s="9" t="s">
        <v>38</v>
      </c>
      <c r="F4203" s="9" t="s">
        <v>39</v>
      </c>
      <c r="G4203" s="9" t="s">
        <v>40</v>
      </c>
      <c r="H4203" s="11" t="s">
        <v>21</v>
      </c>
      <c r="I4203" s="12" t="n">
        <v>53</v>
      </c>
      <c r="J4203" s="13" t="n">
        <v>54</v>
      </c>
      <c r="K4203" s="14" t="n">
        <f aca="false">I4203*J4203</f>
        <v>2862</v>
      </c>
      <c r="L4203" s="14" t="n">
        <f aca="false">($L$2*M4203)/100</f>
        <v>540749.925</v>
      </c>
      <c r="M4203" s="15" t="n">
        <v>0.45</v>
      </c>
      <c r="N4203" s="9" t="s">
        <v>85</v>
      </c>
    </row>
    <row r="4204" customFormat="false" ht="14.25" hidden="false" customHeight="true" outlineLevel="0" collapsed="false">
      <c r="B4204" s="9" t="s">
        <v>16</v>
      </c>
      <c r="C4204" s="9" t="n">
        <v>1185732</v>
      </c>
      <c r="D4204" s="10" t="n">
        <v>44373</v>
      </c>
      <c r="E4204" s="9" t="s">
        <v>38</v>
      </c>
      <c r="F4204" s="9" t="s">
        <v>39</v>
      </c>
      <c r="G4204" s="9" t="s">
        <v>40</v>
      </c>
      <c r="H4204" s="11" t="s">
        <v>22</v>
      </c>
      <c r="I4204" s="12" t="n">
        <v>49</v>
      </c>
      <c r="J4204" s="13" t="n">
        <v>44</v>
      </c>
      <c r="K4204" s="14" t="n">
        <f aca="false">I4204*J4204</f>
        <v>2156</v>
      </c>
      <c r="L4204" s="14" t="n">
        <f aca="false">($L$2*M4204)/100</f>
        <v>552766.59</v>
      </c>
      <c r="M4204" s="15" t="n">
        <v>0.46</v>
      </c>
      <c r="N4204" s="9" t="s">
        <v>85</v>
      </c>
    </row>
    <row r="4205" customFormat="false" ht="14.25" hidden="false" customHeight="true" outlineLevel="0" collapsed="false">
      <c r="B4205" s="9" t="s">
        <v>16</v>
      </c>
      <c r="C4205" s="9" t="n">
        <v>1185732</v>
      </c>
      <c r="D4205" s="10" t="n">
        <v>44374</v>
      </c>
      <c r="E4205" s="9" t="s">
        <v>38</v>
      </c>
      <c r="F4205" s="9" t="s">
        <v>39</v>
      </c>
      <c r="G4205" s="9" t="s">
        <v>40</v>
      </c>
      <c r="H4205" s="11" t="s">
        <v>23</v>
      </c>
      <c r="I4205" s="12" t="n">
        <v>48</v>
      </c>
      <c r="J4205" s="13" t="n">
        <v>28</v>
      </c>
      <c r="K4205" s="14" t="n">
        <f aca="false">I4205*J4205</f>
        <v>1344</v>
      </c>
      <c r="L4205" s="14" t="n">
        <f aca="false">($L$2*M4205)/100</f>
        <v>636883.245</v>
      </c>
      <c r="M4205" s="15" t="n">
        <v>0.53</v>
      </c>
      <c r="N4205" s="9" t="s">
        <v>85</v>
      </c>
    </row>
    <row r="4206" customFormat="false" ht="14.25" hidden="false" customHeight="true" outlineLevel="0" collapsed="false">
      <c r="B4206" s="9" t="s">
        <v>16</v>
      </c>
      <c r="C4206" s="9" t="n">
        <v>1185732</v>
      </c>
      <c r="D4206" s="10" t="n">
        <v>44375</v>
      </c>
      <c r="E4206" s="9" t="s">
        <v>38</v>
      </c>
      <c r="F4206" s="9" t="s">
        <v>39</v>
      </c>
      <c r="G4206" s="9" t="s">
        <v>40</v>
      </c>
      <c r="H4206" s="11" t="s">
        <v>24</v>
      </c>
      <c r="I4206" s="12" t="n">
        <v>59</v>
      </c>
      <c r="J4206" s="13" t="n">
        <v>35</v>
      </c>
      <c r="K4206" s="14" t="n">
        <f aca="false">I4206*J4206</f>
        <v>2065</v>
      </c>
      <c r="L4206" s="14" t="n">
        <f aca="false">($L$2*M4206)/100</f>
        <v>552766.59</v>
      </c>
      <c r="M4206" s="15" t="n">
        <v>0.46</v>
      </c>
      <c r="N4206" s="9" t="s">
        <v>85</v>
      </c>
    </row>
    <row r="4207" customFormat="false" ht="14.25" hidden="false" customHeight="true" outlineLevel="0" collapsed="false">
      <c r="B4207" s="9" t="s">
        <v>16</v>
      </c>
      <c r="C4207" s="9" t="n">
        <v>1185732</v>
      </c>
      <c r="D4207" s="10" t="n">
        <v>44376</v>
      </c>
      <c r="E4207" s="9" t="s">
        <v>38</v>
      </c>
      <c r="F4207" s="9" t="s">
        <v>39</v>
      </c>
      <c r="G4207" s="9" t="s">
        <v>40</v>
      </c>
      <c r="H4207" s="11" t="s">
        <v>25</v>
      </c>
      <c r="I4207" s="12" t="n">
        <v>64</v>
      </c>
      <c r="J4207" s="13" t="n">
        <v>63</v>
      </c>
      <c r="K4207" s="14" t="n">
        <f aca="false">I4207*J4207</f>
        <v>4032</v>
      </c>
      <c r="L4207" s="14" t="n">
        <f aca="false">($L$2*M4207)/100</f>
        <v>720999.9</v>
      </c>
      <c r="M4207" s="15" t="n">
        <v>0.6</v>
      </c>
      <c r="N4207" s="9" t="s">
        <v>85</v>
      </c>
    </row>
    <row r="4208" customFormat="false" ht="14.25" hidden="false" customHeight="true" outlineLevel="0" collapsed="false">
      <c r="B4208" s="9" t="s">
        <v>16</v>
      </c>
      <c r="C4208" s="9" t="n">
        <v>1185732</v>
      </c>
      <c r="D4208" s="10" t="n">
        <v>44377</v>
      </c>
      <c r="E4208" s="9" t="s">
        <v>38</v>
      </c>
      <c r="F4208" s="9" t="s">
        <v>39</v>
      </c>
      <c r="G4208" s="9" t="s">
        <v>40</v>
      </c>
      <c r="H4208" s="11" t="s">
        <v>19</v>
      </c>
      <c r="I4208" s="12" t="n">
        <v>46</v>
      </c>
      <c r="J4208" s="13" t="n">
        <v>135</v>
      </c>
      <c r="K4208" s="14" t="n">
        <f aca="false">I4208*J4208</f>
        <v>6210</v>
      </c>
      <c r="L4208" s="14" t="n">
        <f aca="false">($L$2*M4208)/100</f>
        <v>660916.575</v>
      </c>
      <c r="M4208" s="15" t="n">
        <v>0.55</v>
      </c>
      <c r="N4208" s="9" t="s">
        <v>85</v>
      </c>
    </row>
    <row r="4209" customFormat="false" ht="14.25" hidden="false" customHeight="true" outlineLevel="0" collapsed="false">
      <c r="B4209" s="9" t="s">
        <v>16</v>
      </c>
      <c r="C4209" s="9" t="n">
        <v>1185732</v>
      </c>
      <c r="D4209" s="10" t="n">
        <v>44378</v>
      </c>
      <c r="E4209" s="9" t="s">
        <v>38</v>
      </c>
      <c r="F4209" s="9" t="s">
        <v>39</v>
      </c>
      <c r="G4209" s="9" t="s">
        <v>40</v>
      </c>
      <c r="H4209" s="11" t="s">
        <v>21</v>
      </c>
      <c r="I4209" s="12" t="n">
        <v>43</v>
      </c>
      <c r="J4209" s="13" t="n">
        <v>63</v>
      </c>
      <c r="K4209" s="14" t="n">
        <f aca="false">I4209*J4209</f>
        <v>2709</v>
      </c>
      <c r="L4209" s="14" t="n">
        <f aca="false">($L$2*M4209)/100</f>
        <v>540749.925</v>
      </c>
      <c r="M4209" s="15" t="n">
        <v>0.45</v>
      </c>
      <c r="N4209" s="9" t="s">
        <v>85</v>
      </c>
    </row>
    <row r="4210" customFormat="false" ht="14.25" hidden="false" customHeight="true" outlineLevel="0" collapsed="false">
      <c r="B4210" s="9" t="s">
        <v>16</v>
      </c>
      <c r="C4210" s="9" t="n">
        <v>1185732</v>
      </c>
      <c r="D4210" s="10" t="n">
        <v>44379</v>
      </c>
      <c r="E4210" s="9" t="s">
        <v>38</v>
      </c>
      <c r="F4210" s="9" t="s">
        <v>39</v>
      </c>
      <c r="G4210" s="9" t="s">
        <v>40</v>
      </c>
      <c r="H4210" s="11" t="s">
        <v>22</v>
      </c>
      <c r="I4210" s="12" t="n">
        <v>39</v>
      </c>
      <c r="J4210" s="13" t="n">
        <v>54</v>
      </c>
      <c r="K4210" s="14" t="n">
        <f aca="false">I4210*J4210</f>
        <v>2106</v>
      </c>
      <c r="L4210" s="14" t="n">
        <f aca="false">($L$2*M4210)/100</f>
        <v>540749.925</v>
      </c>
      <c r="M4210" s="15" t="n">
        <v>0.45</v>
      </c>
      <c r="N4210" s="9" t="s">
        <v>85</v>
      </c>
    </row>
    <row r="4211" customFormat="false" ht="14.25" hidden="false" customHeight="true" outlineLevel="0" collapsed="false">
      <c r="B4211" s="9" t="s">
        <v>16</v>
      </c>
      <c r="C4211" s="9" t="n">
        <v>1185732</v>
      </c>
      <c r="D4211" s="10" t="n">
        <v>44380</v>
      </c>
      <c r="E4211" s="9" t="s">
        <v>38</v>
      </c>
      <c r="F4211" s="9" t="s">
        <v>39</v>
      </c>
      <c r="G4211" s="9" t="s">
        <v>40</v>
      </c>
      <c r="H4211" s="11" t="s">
        <v>23</v>
      </c>
      <c r="I4211" s="12" t="n">
        <v>38</v>
      </c>
      <c r="J4211" s="13" t="n">
        <v>47</v>
      </c>
      <c r="K4211" s="14" t="n">
        <f aca="false">I4211*J4211</f>
        <v>1786</v>
      </c>
      <c r="L4211" s="14" t="n">
        <f aca="false">($L$2*M4211)/100</f>
        <v>636883.245</v>
      </c>
      <c r="M4211" s="15" t="n">
        <v>0.53</v>
      </c>
      <c r="N4211" s="9" t="s">
        <v>85</v>
      </c>
    </row>
    <row r="4212" customFormat="false" ht="14.25" hidden="false" customHeight="true" outlineLevel="0" collapsed="false">
      <c r="B4212" s="9" t="s">
        <v>16</v>
      </c>
      <c r="C4212" s="9" t="n">
        <v>1185732</v>
      </c>
      <c r="D4212" s="10" t="n">
        <v>44381</v>
      </c>
      <c r="E4212" s="9" t="s">
        <v>38</v>
      </c>
      <c r="F4212" s="9" t="s">
        <v>39</v>
      </c>
      <c r="G4212" s="9" t="s">
        <v>40</v>
      </c>
      <c r="H4212" s="11" t="s">
        <v>24</v>
      </c>
      <c r="I4212" s="12" t="n">
        <v>46</v>
      </c>
      <c r="J4212" s="13" t="n">
        <v>51</v>
      </c>
      <c r="K4212" s="14" t="n">
        <f aca="false">I4212*J4212</f>
        <v>2346</v>
      </c>
      <c r="L4212" s="14" t="n">
        <f aca="false">($L$2*M4212)/100</f>
        <v>600833.25</v>
      </c>
      <c r="M4212" s="15" t="n">
        <v>0.5</v>
      </c>
      <c r="N4212" s="9" t="s">
        <v>85</v>
      </c>
    </row>
    <row r="4213" customFormat="false" ht="14.25" hidden="false" customHeight="true" outlineLevel="0" collapsed="false">
      <c r="B4213" s="9" t="s">
        <v>16</v>
      </c>
      <c r="C4213" s="9" t="n">
        <v>1185732</v>
      </c>
      <c r="D4213" s="10" t="n">
        <v>44382</v>
      </c>
      <c r="E4213" s="9" t="s">
        <v>38</v>
      </c>
      <c r="F4213" s="9" t="s">
        <v>39</v>
      </c>
      <c r="G4213" s="9" t="s">
        <v>40</v>
      </c>
      <c r="H4213" s="11" t="s">
        <v>25</v>
      </c>
      <c r="I4213" s="12" t="n">
        <v>51</v>
      </c>
      <c r="J4213" s="13" t="n">
        <v>105</v>
      </c>
      <c r="K4213" s="14" t="n">
        <f aca="false">I4213*J4213</f>
        <v>5355</v>
      </c>
      <c r="L4213" s="14" t="n">
        <f aca="false">($L$2*M4213)/100</f>
        <v>757049.895</v>
      </c>
      <c r="M4213" s="15" t="n">
        <v>0.63</v>
      </c>
      <c r="N4213" s="9" t="s">
        <v>85</v>
      </c>
    </row>
    <row r="4214" customFormat="false" ht="14.25" hidden="false" customHeight="true" outlineLevel="0" collapsed="false">
      <c r="B4214" s="9" t="s">
        <v>16</v>
      </c>
      <c r="C4214" s="9" t="n">
        <v>1185732</v>
      </c>
      <c r="D4214" s="10" t="n">
        <v>44383</v>
      </c>
      <c r="E4214" s="9" t="s">
        <v>38</v>
      </c>
      <c r="F4214" s="9" t="s">
        <v>39</v>
      </c>
      <c r="G4214" s="9" t="s">
        <v>40</v>
      </c>
      <c r="H4214" s="11" t="s">
        <v>19</v>
      </c>
      <c r="I4214" s="12" t="n">
        <v>47</v>
      </c>
      <c r="J4214" s="13" t="n">
        <v>161</v>
      </c>
      <c r="K4214" s="14" t="n">
        <f aca="false">I4214*J4214</f>
        <v>7567</v>
      </c>
      <c r="L4214" s="14" t="n">
        <f aca="false">($L$2*M4214)/100</f>
        <v>624866.58</v>
      </c>
      <c r="M4214" s="15" t="n">
        <v>0.52</v>
      </c>
      <c r="N4214" s="9" t="s">
        <v>85</v>
      </c>
    </row>
    <row r="4215" customFormat="false" ht="14.25" hidden="false" customHeight="true" outlineLevel="0" collapsed="false">
      <c r="B4215" s="9" t="s">
        <v>16</v>
      </c>
      <c r="C4215" s="9" t="n">
        <v>1185732</v>
      </c>
      <c r="D4215" s="10" t="n">
        <v>44384</v>
      </c>
      <c r="E4215" s="9" t="s">
        <v>38</v>
      </c>
      <c r="F4215" s="9" t="s">
        <v>39</v>
      </c>
      <c r="G4215" s="9" t="s">
        <v>40</v>
      </c>
      <c r="H4215" s="11" t="s">
        <v>21</v>
      </c>
      <c r="I4215" s="12" t="n">
        <v>43</v>
      </c>
      <c r="J4215" s="13" t="n">
        <v>81</v>
      </c>
      <c r="K4215" s="14" t="n">
        <f aca="false">I4215*J4215</f>
        <v>3483</v>
      </c>
      <c r="L4215" s="14" t="n">
        <f aca="false">($L$2*M4215)/100</f>
        <v>540749.925</v>
      </c>
      <c r="M4215" s="15" t="n">
        <v>0.45</v>
      </c>
      <c r="N4215" s="9" t="s">
        <v>85</v>
      </c>
    </row>
    <row r="4216" customFormat="false" ht="14.25" hidden="false" customHeight="true" outlineLevel="0" collapsed="false">
      <c r="B4216" s="9" t="s">
        <v>16</v>
      </c>
      <c r="C4216" s="9" t="n">
        <v>1185732</v>
      </c>
      <c r="D4216" s="10" t="n">
        <v>44385</v>
      </c>
      <c r="E4216" s="9" t="s">
        <v>38</v>
      </c>
      <c r="F4216" s="9" t="s">
        <v>39</v>
      </c>
      <c r="G4216" s="9" t="s">
        <v>40</v>
      </c>
      <c r="H4216" s="11" t="s">
        <v>22</v>
      </c>
      <c r="I4216" s="12" t="n">
        <v>36</v>
      </c>
      <c r="J4216" s="13" t="n">
        <v>65</v>
      </c>
      <c r="K4216" s="14" t="n">
        <f aca="false">I4216*J4216</f>
        <v>2340</v>
      </c>
      <c r="L4216" s="14" t="n">
        <f aca="false">($L$2*M4216)/100</f>
        <v>540749.925</v>
      </c>
      <c r="M4216" s="15" t="n">
        <v>0.45</v>
      </c>
      <c r="N4216" s="9" t="s">
        <v>85</v>
      </c>
    </row>
    <row r="4217" customFormat="false" ht="14.25" hidden="false" customHeight="true" outlineLevel="0" collapsed="false">
      <c r="B4217" s="9" t="s">
        <v>16</v>
      </c>
      <c r="C4217" s="9" t="n">
        <v>1185732</v>
      </c>
      <c r="D4217" s="10" t="n">
        <v>44386</v>
      </c>
      <c r="E4217" s="9" t="s">
        <v>38</v>
      </c>
      <c r="F4217" s="9" t="s">
        <v>39</v>
      </c>
      <c r="G4217" s="9" t="s">
        <v>40</v>
      </c>
      <c r="H4217" s="11" t="s">
        <v>23</v>
      </c>
      <c r="I4217" s="12" t="n">
        <v>39</v>
      </c>
      <c r="J4217" s="13" t="n">
        <v>50</v>
      </c>
      <c r="K4217" s="14" t="n">
        <f aca="false">I4217*J4217</f>
        <v>1950</v>
      </c>
      <c r="L4217" s="14" t="n">
        <f aca="false">($L$2*M4217)/100</f>
        <v>648899.91</v>
      </c>
      <c r="M4217" s="15" t="n">
        <v>0.54</v>
      </c>
      <c r="N4217" s="9" t="s">
        <v>85</v>
      </c>
    </row>
    <row r="4218" customFormat="false" ht="14.25" hidden="false" customHeight="true" outlineLevel="0" collapsed="false">
      <c r="B4218" s="9" t="s">
        <v>16</v>
      </c>
      <c r="C4218" s="9" t="n">
        <v>1185732</v>
      </c>
      <c r="D4218" s="10" t="n">
        <v>44387</v>
      </c>
      <c r="E4218" s="9" t="s">
        <v>38</v>
      </c>
      <c r="F4218" s="9" t="s">
        <v>39</v>
      </c>
      <c r="G4218" s="9" t="s">
        <v>40</v>
      </c>
      <c r="H4218" s="11" t="s">
        <v>24</v>
      </c>
      <c r="I4218" s="12" t="n">
        <v>47</v>
      </c>
      <c r="J4218" s="13" t="n">
        <v>56</v>
      </c>
      <c r="K4218" s="14" t="n">
        <f aca="false">I4218*J4218</f>
        <v>2632</v>
      </c>
      <c r="L4218" s="14" t="n">
        <f aca="false">($L$2*M4218)/100</f>
        <v>552766.59</v>
      </c>
      <c r="M4218" s="15" t="n">
        <v>0.46</v>
      </c>
      <c r="N4218" s="9" t="s">
        <v>85</v>
      </c>
    </row>
    <row r="4219" customFormat="false" ht="14.25" hidden="false" customHeight="true" outlineLevel="0" collapsed="false">
      <c r="B4219" s="9" t="s">
        <v>16</v>
      </c>
      <c r="C4219" s="9" t="n">
        <v>1185732</v>
      </c>
      <c r="D4219" s="10" t="n">
        <v>44388</v>
      </c>
      <c r="E4219" s="9" t="s">
        <v>38</v>
      </c>
      <c r="F4219" s="9" t="s">
        <v>39</v>
      </c>
      <c r="G4219" s="9" t="s">
        <v>40</v>
      </c>
      <c r="H4219" s="11" t="s">
        <v>25</v>
      </c>
      <c r="I4219" s="12" t="n">
        <v>54</v>
      </c>
      <c r="J4219" s="13" t="n">
        <v>120</v>
      </c>
      <c r="K4219" s="14" t="n">
        <f aca="false">I4219*J4219</f>
        <v>6480</v>
      </c>
      <c r="L4219" s="14" t="n">
        <f aca="false">($L$2*M4219)/100</f>
        <v>733016.565</v>
      </c>
      <c r="M4219" s="15" t="n">
        <v>0.61</v>
      </c>
      <c r="N4219" s="9" t="s">
        <v>85</v>
      </c>
    </row>
    <row r="4220" customFormat="false" ht="14.25" hidden="false" customHeight="true" outlineLevel="0" collapsed="false">
      <c r="B4220" s="9" t="s">
        <v>16</v>
      </c>
      <c r="C4220" s="9" t="n">
        <v>1185732</v>
      </c>
      <c r="D4220" s="10" t="n">
        <v>44389</v>
      </c>
      <c r="E4220" s="9" t="s">
        <v>38</v>
      </c>
      <c r="F4220" s="9" t="s">
        <v>39</v>
      </c>
      <c r="G4220" s="9" t="s">
        <v>40</v>
      </c>
      <c r="H4220" s="11" t="s">
        <v>19</v>
      </c>
      <c r="I4220" s="12" t="n">
        <v>49</v>
      </c>
      <c r="J4220" s="13" t="n">
        <v>149</v>
      </c>
      <c r="K4220" s="14" t="n">
        <f aca="false">I4220*J4220</f>
        <v>7301</v>
      </c>
      <c r="L4220" s="14" t="n">
        <f aca="false">($L$2*M4220)/100</f>
        <v>612849.915</v>
      </c>
      <c r="M4220" s="15" t="n">
        <v>0.51</v>
      </c>
      <c r="N4220" s="9" t="s">
        <v>85</v>
      </c>
    </row>
    <row r="4221" customFormat="false" ht="14.25" hidden="false" customHeight="true" outlineLevel="0" collapsed="false">
      <c r="B4221" s="9" t="s">
        <v>16</v>
      </c>
      <c r="C4221" s="9" t="n">
        <v>1185732</v>
      </c>
      <c r="D4221" s="10" t="n">
        <v>44390</v>
      </c>
      <c r="E4221" s="9" t="s">
        <v>38</v>
      </c>
      <c r="F4221" s="9" t="s">
        <v>39</v>
      </c>
      <c r="G4221" s="9" t="s">
        <v>40</v>
      </c>
      <c r="H4221" s="11" t="s">
        <v>21</v>
      </c>
      <c r="I4221" s="12" t="n">
        <v>41</v>
      </c>
      <c r="J4221" s="13" t="n">
        <v>94</v>
      </c>
      <c r="K4221" s="14" t="n">
        <f aca="false">I4221*J4221</f>
        <v>3854</v>
      </c>
      <c r="L4221" s="14" t="n">
        <f aca="false">($L$2*M4221)/100</f>
        <v>552766.59</v>
      </c>
      <c r="M4221" s="15" t="n">
        <v>0.46</v>
      </c>
      <c r="N4221" s="9" t="s">
        <v>85</v>
      </c>
    </row>
    <row r="4222" customFormat="false" ht="14.25" hidden="false" customHeight="true" outlineLevel="0" collapsed="false">
      <c r="B4222" s="9" t="s">
        <v>16</v>
      </c>
      <c r="C4222" s="9" t="n">
        <v>1185732</v>
      </c>
      <c r="D4222" s="10" t="n">
        <v>44391</v>
      </c>
      <c r="E4222" s="9" t="s">
        <v>38</v>
      </c>
      <c r="F4222" s="9" t="s">
        <v>39</v>
      </c>
      <c r="G4222" s="9" t="s">
        <v>40</v>
      </c>
      <c r="H4222" s="11" t="s">
        <v>22</v>
      </c>
      <c r="I4222" s="12" t="n">
        <v>38</v>
      </c>
      <c r="J4222" s="13" t="n">
        <v>75</v>
      </c>
      <c r="K4222" s="14" t="n">
        <f aca="false">I4222*J4222</f>
        <v>2850</v>
      </c>
      <c r="L4222" s="14" t="n">
        <f aca="false">($L$2*M4222)/100</f>
        <v>588816.585</v>
      </c>
      <c r="M4222" s="15" t="n">
        <v>0.49</v>
      </c>
      <c r="N4222" s="9" t="s">
        <v>85</v>
      </c>
    </row>
    <row r="4223" customFormat="false" ht="14.25" hidden="false" customHeight="true" outlineLevel="0" collapsed="false">
      <c r="B4223" s="9" t="s">
        <v>16</v>
      </c>
      <c r="C4223" s="9" t="n">
        <v>1185732</v>
      </c>
      <c r="D4223" s="10" t="n">
        <v>44392</v>
      </c>
      <c r="E4223" s="9" t="s">
        <v>38</v>
      </c>
      <c r="F4223" s="9" t="s">
        <v>39</v>
      </c>
      <c r="G4223" s="9" t="s">
        <v>40</v>
      </c>
      <c r="H4223" s="11" t="s">
        <v>23</v>
      </c>
      <c r="I4223" s="12" t="n">
        <v>37</v>
      </c>
      <c r="J4223" s="13" t="n">
        <v>63</v>
      </c>
      <c r="K4223" s="14" t="n">
        <f aca="false">I4223*J4223</f>
        <v>2331</v>
      </c>
      <c r="L4223" s="14" t="n">
        <f aca="false">($L$2*M4223)/100</f>
        <v>600833.25</v>
      </c>
      <c r="M4223" s="15" t="n">
        <v>0.5</v>
      </c>
      <c r="N4223" s="9" t="s">
        <v>85</v>
      </c>
    </row>
    <row r="4224" customFormat="false" ht="14.25" hidden="false" customHeight="true" outlineLevel="0" collapsed="false">
      <c r="B4224" s="9" t="s">
        <v>16</v>
      </c>
      <c r="C4224" s="9" t="n">
        <v>1185732</v>
      </c>
      <c r="D4224" s="10" t="n">
        <v>44393</v>
      </c>
      <c r="E4224" s="9" t="s">
        <v>38</v>
      </c>
      <c r="F4224" s="9" t="s">
        <v>39</v>
      </c>
      <c r="G4224" s="9" t="s">
        <v>40</v>
      </c>
      <c r="H4224" s="11" t="s">
        <v>24</v>
      </c>
      <c r="I4224" s="12" t="n">
        <v>49</v>
      </c>
      <c r="J4224" s="13" t="n">
        <v>50</v>
      </c>
      <c r="K4224" s="14" t="n">
        <f aca="false">I4224*J4224</f>
        <v>2450</v>
      </c>
      <c r="L4224" s="14" t="n">
        <f aca="false">($L$2*M4224)/100</f>
        <v>600833.25</v>
      </c>
      <c r="M4224" s="15" t="n">
        <v>0.5</v>
      </c>
      <c r="N4224" s="9" t="s">
        <v>85</v>
      </c>
    </row>
    <row r="4225" customFormat="false" ht="14.25" hidden="false" customHeight="true" outlineLevel="0" collapsed="false">
      <c r="B4225" s="9" t="s">
        <v>16</v>
      </c>
      <c r="C4225" s="9" t="n">
        <v>1185732</v>
      </c>
      <c r="D4225" s="10" t="n">
        <v>44394</v>
      </c>
      <c r="E4225" s="9" t="s">
        <v>38</v>
      </c>
      <c r="F4225" s="9" t="s">
        <v>39</v>
      </c>
      <c r="G4225" s="9" t="s">
        <v>40</v>
      </c>
      <c r="H4225" s="11" t="s">
        <v>25</v>
      </c>
      <c r="I4225" s="12" t="n">
        <v>50</v>
      </c>
      <c r="J4225" s="13" t="n">
        <v>94</v>
      </c>
      <c r="K4225" s="14" t="n">
        <f aca="false">I4225*J4225</f>
        <v>4700</v>
      </c>
      <c r="L4225" s="14" t="n">
        <f aca="false">($L$2*M4225)/100</f>
        <v>781083.225</v>
      </c>
      <c r="M4225" s="15" t="n">
        <v>0.65</v>
      </c>
      <c r="N4225" s="9" t="s">
        <v>85</v>
      </c>
    </row>
    <row r="4226" customFormat="false" ht="14.25" hidden="false" customHeight="true" outlineLevel="0" collapsed="false">
      <c r="B4226" s="9" t="s">
        <v>16</v>
      </c>
      <c r="C4226" s="9" t="n">
        <v>1185732</v>
      </c>
      <c r="D4226" s="10" t="n">
        <v>44395</v>
      </c>
      <c r="E4226" s="9" t="s">
        <v>38</v>
      </c>
      <c r="F4226" s="9" t="s">
        <v>39</v>
      </c>
      <c r="G4226" s="9" t="s">
        <v>40</v>
      </c>
      <c r="H4226" s="11" t="s">
        <v>19</v>
      </c>
      <c r="I4226" s="12" t="n">
        <v>47</v>
      </c>
      <c r="J4226" s="13" t="n">
        <v>135</v>
      </c>
      <c r="K4226" s="14" t="n">
        <f aca="false">I4226*J4226</f>
        <v>6345</v>
      </c>
      <c r="L4226" s="14" t="n">
        <f aca="false">($L$2*M4226)/100</f>
        <v>600833.25</v>
      </c>
      <c r="M4226" s="15" t="n">
        <v>0.5</v>
      </c>
      <c r="N4226" s="9" t="s">
        <v>85</v>
      </c>
    </row>
    <row r="4227" customFormat="false" ht="14.25" hidden="false" customHeight="true" outlineLevel="0" collapsed="false">
      <c r="B4227" s="9" t="s">
        <v>16</v>
      </c>
      <c r="C4227" s="9" t="n">
        <v>1185732</v>
      </c>
      <c r="D4227" s="10" t="n">
        <v>44396</v>
      </c>
      <c r="E4227" s="9" t="s">
        <v>38</v>
      </c>
      <c r="F4227" s="9" t="s">
        <v>39</v>
      </c>
      <c r="G4227" s="9" t="s">
        <v>40</v>
      </c>
      <c r="H4227" s="11" t="s">
        <v>21</v>
      </c>
      <c r="I4227" s="12" t="n">
        <v>41</v>
      </c>
      <c r="J4227" s="13" t="n">
        <v>84</v>
      </c>
      <c r="K4227" s="14" t="n">
        <f aca="false">I4227*J4227</f>
        <v>3444</v>
      </c>
      <c r="L4227" s="14" t="n">
        <f aca="false">($L$2*M4227)/100</f>
        <v>588816.585</v>
      </c>
      <c r="M4227" s="15" t="n">
        <v>0.49</v>
      </c>
      <c r="N4227" s="9" t="s">
        <v>85</v>
      </c>
    </row>
    <row r="4228" customFormat="false" ht="14.25" hidden="false" customHeight="true" outlineLevel="0" collapsed="false">
      <c r="B4228" s="9" t="s">
        <v>16</v>
      </c>
      <c r="C4228" s="9" t="n">
        <v>1185732</v>
      </c>
      <c r="D4228" s="10" t="n">
        <v>44397</v>
      </c>
      <c r="E4228" s="9" t="s">
        <v>38</v>
      </c>
      <c r="F4228" s="9" t="s">
        <v>39</v>
      </c>
      <c r="G4228" s="9" t="s">
        <v>40</v>
      </c>
      <c r="H4228" s="11" t="s">
        <v>22</v>
      </c>
      <c r="I4228" s="12" t="n">
        <v>36</v>
      </c>
      <c r="J4228" s="13" t="n">
        <v>60</v>
      </c>
      <c r="K4228" s="14" t="n">
        <f aca="false">I4228*J4228</f>
        <v>2160</v>
      </c>
      <c r="L4228" s="14" t="n">
        <f aca="false">($L$2*M4228)/100</f>
        <v>564783.255</v>
      </c>
      <c r="M4228" s="15" t="n">
        <v>0.47</v>
      </c>
      <c r="N4228" s="9" t="s">
        <v>85</v>
      </c>
    </row>
    <row r="4229" customFormat="false" ht="14.25" hidden="false" customHeight="true" outlineLevel="0" collapsed="false">
      <c r="B4229" s="9" t="s">
        <v>16</v>
      </c>
      <c r="C4229" s="9" t="n">
        <v>1185732</v>
      </c>
      <c r="D4229" s="10" t="n">
        <v>44398</v>
      </c>
      <c r="E4229" s="9" t="s">
        <v>38</v>
      </c>
      <c r="F4229" s="9" t="s">
        <v>39</v>
      </c>
      <c r="G4229" s="9" t="s">
        <v>40</v>
      </c>
      <c r="H4229" s="11" t="s">
        <v>23</v>
      </c>
      <c r="I4229" s="12" t="n">
        <v>36</v>
      </c>
      <c r="J4229" s="13" t="n">
        <v>44</v>
      </c>
      <c r="K4229" s="14" t="n">
        <f aca="false">I4229*J4229</f>
        <v>1584</v>
      </c>
      <c r="L4229" s="14" t="n">
        <f aca="false">($L$2*M4229)/100</f>
        <v>636883.245</v>
      </c>
      <c r="M4229" s="15" t="n">
        <v>0.53</v>
      </c>
      <c r="N4229" s="9" t="s">
        <v>85</v>
      </c>
    </row>
    <row r="4230" customFormat="false" ht="14.25" hidden="false" customHeight="true" outlineLevel="0" collapsed="false">
      <c r="B4230" s="9" t="s">
        <v>16</v>
      </c>
      <c r="C4230" s="9" t="n">
        <v>1185732</v>
      </c>
      <c r="D4230" s="10" t="n">
        <v>44399</v>
      </c>
      <c r="E4230" s="9" t="s">
        <v>38</v>
      </c>
      <c r="F4230" s="9" t="s">
        <v>39</v>
      </c>
      <c r="G4230" s="9" t="s">
        <v>40</v>
      </c>
      <c r="H4230" s="11" t="s">
        <v>24</v>
      </c>
      <c r="I4230" s="12" t="n">
        <v>49</v>
      </c>
      <c r="J4230" s="13" t="n">
        <v>49</v>
      </c>
      <c r="K4230" s="14" t="n">
        <f aca="false">I4230*J4230</f>
        <v>2401</v>
      </c>
      <c r="L4230" s="14" t="n">
        <f aca="false">($L$2*M4230)/100</f>
        <v>552766.59</v>
      </c>
      <c r="M4230" s="15" t="n">
        <v>0.46</v>
      </c>
      <c r="N4230" s="9" t="s">
        <v>85</v>
      </c>
    </row>
    <row r="4231" customFormat="false" ht="14.25" hidden="false" customHeight="true" outlineLevel="0" collapsed="false">
      <c r="B4231" s="9" t="s">
        <v>16</v>
      </c>
      <c r="C4231" s="9" t="n">
        <v>1185732</v>
      </c>
      <c r="D4231" s="10" t="n">
        <v>44400</v>
      </c>
      <c r="E4231" s="9" t="s">
        <v>38</v>
      </c>
      <c r="F4231" s="9" t="s">
        <v>39</v>
      </c>
      <c r="G4231" s="9" t="s">
        <v>40</v>
      </c>
      <c r="H4231" s="11" t="s">
        <v>25</v>
      </c>
      <c r="I4231" s="12" t="n">
        <v>53</v>
      </c>
      <c r="J4231" s="13" t="n">
        <v>73</v>
      </c>
      <c r="K4231" s="14" t="n">
        <f aca="false">I4231*J4231</f>
        <v>3869</v>
      </c>
      <c r="L4231" s="14" t="n">
        <f aca="false">($L$2*M4231)/100</f>
        <v>769066.56</v>
      </c>
      <c r="M4231" s="15" t="n">
        <v>0.64</v>
      </c>
      <c r="N4231" s="9" t="s">
        <v>85</v>
      </c>
    </row>
    <row r="4232" customFormat="false" ht="14.25" hidden="false" customHeight="true" outlineLevel="0" collapsed="false">
      <c r="B4232" s="9" t="s">
        <v>16</v>
      </c>
      <c r="C4232" s="9" t="n">
        <v>1185732</v>
      </c>
      <c r="D4232" s="10" t="n">
        <v>44401</v>
      </c>
      <c r="E4232" s="9" t="s">
        <v>38</v>
      </c>
      <c r="F4232" s="9" t="s">
        <v>39</v>
      </c>
      <c r="G4232" s="9" t="s">
        <v>40</v>
      </c>
      <c r="H4232" s="11" t="s">
        <v>19</v>
      </c>
      <c r="I4232" s="12" t="n">
        <v>56</v>
      </c>
      <c r="J4232" s="13" t="n">
        <v>115</v>
      </c>
      <c r="K4232" s="14" t="n">
        <f aca="false">I4232*J4232</f>
        <v>6440</v>
      </c>
      <c r="L4232" s="14" t="n">
        <f aca="false">($L$2*M4232)/100</f>
        <v>660916.575</v>
      </c>
      <c r="M4232" s="15" t="n">
        <v>0.55</v>
      </c>
      <c r="N4232" s="9" t="s">
        <v>85</v>
      </c>
    </row>
    <row r="4233" customFormat="false" ht="14.25" hidden="false" customHeight="true" outlineLevel="0" collapsed="false">
      <c r="B4233" s="9" t="s">
        <v>16</v>
      </c>
      <c r="C4233" s="9" t="n">
        <v>1185732</v>
      </c>
      <c r="D4233" s="10" t="n">
        <v>44402</v>
      </c>
      <c r="E4233" s="9" t="s">
        <v>38</v>
      </c>
      <c r="F4233" s="9" t="s">
        <v>39</v>
      </c>
      <c r="G4233" s="9" t="s">
        <v>40</v>
      </c>
      <c r="H4233" s="11" t="s">
        <v>21</v>
      </c>
      <c r="I4233" s="12" t="n">
        <v>49</v>
      </c>
      <c r="J4233" s="13" t="n">
        <v>75</v>
      </c>
      <c r="K4233" s="14" t="n">
        <f aca="false">I4233*J4233</f>
        <v>3675</v>
      </c>
      <c r="L4233" s="14" t="n">
        <f aca="false">($L$2*M4233)/100</f>
        <v>588816.585</v>
      </c>
      <c r="M4233" s="15" t="n">
        <v>0.49</v>
      </c>
      <c r="N4233" s="9" t="s">
        <v>85</v>
      </c>
    </row>
    <row r="4234" customFormat="false" ht="14.25" hidden="false" customHeight="true" outlineLevel="0" collapsed="false">
      <c r="B4234" s="9" t="s">
        <v>16</v>
      </c>
      <c r="C4234" s="9" t="n">
        <v>1185732</v>
      </c>
      <c r="D4234" s="10" t="n">
        <v>44403</v>
      </c>
      <c r="E4234" s="9" t="s">
        <v>38</v>
      </c>
      <c r="F4234" s="9" t="s">
        <v>39</v>
      </c>
      <c r="G4234" s="9" t="s">
        <v>40</v>
      </c>
      <c r="H4234" s="11" t="s">
        <v>22</v>
      </c>
      <c r="I4234" s="12" t="n">
        <v>48</v>
      </c>
      <c r="J4234" s="13" t="n">
        <v>39</v>
      </c>
      <c r="K4234" s="14" t="n">
        <f aca="false">I4234*J4234</f>
        <v>1872</v>
      </c>
      <c r="L4234" s="14" t="n">
        <f aca="false">($L$2*M4234)/100</f>
        <v>540749.925</v>
      </c>
      <c r="M4234" s="15" t="n">
        <v>0.45</v>
      </c>
      <c r="N4234" s="9" t="s">
        <v>85</v>
      </c>
    </row>
    <row r="4235" customFormat="false" ht="14.25" hidden="false" customHeight="true" outlineLevel="0" collapsed="false">
      <c r="B4235" s="9" t="s">
        <v>16</v>
      </c>
      <c r="C4235" s="9" t="n">
        <v>1185732</v>
      </c>
      <c r="D4235" s="10" t="n">
        <v>44404</v>
      </c>
      <c r="E4235" s="9" t="s">
        <v>38</v>
      </c>
      <c r="F4235" s="9" t="s">
        <v>39</v>
      </c>
      <c r="G4235" s="9" t="s">
        <v>40</v>
      </c>
      <c r="H4235" s="11" t="s">
        <v>23</v>
      </c>
      <c r="I4235" s="12" t="n">
        <v>47</v>
      </c>
      <c r="J4235" s="13" t="n">
        <v>33</v>
      </c>
      <c r="K4235" s="14" t="n">
        <f aca="false">I4235*J4235</f>
        <v>1551</v>
      </c>
      <c r="L4235" s="14" t="n">
        <f aca="false">($L$2*M4235)/100</f>
        <v>612849.915</v>
      </c>
      <c r="M4235" s="15" t="n">
        <v>0.51</v>
      </c>
      <c r="N4235" s="9" t="s">
        <v>85</v>
      </c>
    </row>
    <row r="4236" customFormat="false" ht="14.25" hidden="false" customHeight="true" outlineLevel="0" collapsed="false">
      <c r="B4236" s="9" t="s">
        <v>16</v>
      </c>
      <c r="C4236" s="9" t="n">
        <v>1185732</v>
      </c>
      <c r="D4236" s="10" t="n">
        <v>44405</v>
      </c>
      <c r="E4236" s="9" t="s">
        <v>38</v>
      </c>
      <c r="F4236" s="9" t="s">
        <v>39</v>
      </c>
      <c r="G4236" s="9" t="s">
        <v>40</v>
      </c>
      <c r="H4236" s="11" t="s">
        <v>24</v>
      </c>
      <c r="I4236" s="12" t="n">
        <v>56</v>
      </c>
      <c r="J4236" s="13" t="n">
        <v>33</v>
      </c>
      <c r="K4236" s="14" t="n">
        <f aca="false">I4236*J4236</f>
        <v>1848</v>
      </c>
      <c r="L4236" s="14" t="n">
        <f aca="false">($L$2*M4236)/100</f>
        <v>564783.255</v>
      </c>
      <c r="M4236" s="15" t="n">
        <v>0.47</v>
      </c>
      <c r="N4236" s="9" t="s">
        <v>85</v>
      </c>
    </row>
    <row r="4237" customFormat="false" ht="14.25" hidden="false" customHeight="true" outlineLevel="0" collapsed="false">
      <c r="B4237" s="9" t="s">
        <v>16</v>
      </c>
      <c r="C4237" s="9" t="n">
        <v>1185732</v>
      </c>
      <c r="D4237" s="10" t="n">
        <v>44406</v>
      </c>
      <c r="E4237" s="9" t="s">
        <v>38</v>
      </c>
      <c r="F4237" s="9" t="s">
        <v>39</v>
      </c>
      <c r="G4237" s="9" t="s">
        <v>40</v>
      </c>
      <c r="H4237" s="11" t="s">
        <v>25</v>
      </c>
      <c r="I4237" s="12" t="n">
        <v>60</v>
      </c>
      <c r="J4237" s="13" t="n">
        <v>65</v>
      </c>
      <c r="K4237" s="14" t="n">
        <f aca="false">I4237*J4237</f>
        <v>3900</v>
      </c>
      <c r="L4237" s="14" t="n">
        <f aca="false">($L$2*M4237)/100</f>
        <v>720999.9</v>
      </c>
      <c r="M4237" s="15" t="n">
        <v>0.6</v>
      </c>
      <c r="N4237" s="9" t="s">
        <v>85</v>
      </c>
    </row>
    <row r="4238" customFormat="false" ht="14.25" hidden="false" customHeight="true" outlineLevel="0" collapsed="false">
      <c r="B4238" s="9" t="s">
        <v>16</v>
      </c>
      <c r="C4238" s="9" t="n">
        <v>1185732</v>
      </c>
      <c r="D4238" s="10" t="n">
        <v>44407</v>
      </c>
      <c r="E4238" s="9" t="s">
        <v>38</v>
      </c>
      <c r="F4238" s="9" t="s">
        <v>39</v>
      </c>
      <c r="G4238" s="9" t="s">
        <v>40</v>
      </c>
      <c r="H4238" s="11" t="s">
        <v>19</v>
      </c>
      <c r="I4238" s="12" t="n">
        <v>55</v>
      </c>
      <c r="J4238" s="13" t="n">
        <v>112</v>
      </c>
      <c r="K4238" s="14" t="n">
        <f aca="false">I4238*J4238</f>
        <v>6160</v>
      </c>
      <c r="L4238" s="14" t="n">
        <f aca="false">($L$2*M4238)/100</f>
        <v>648899.91</v>
      </c>
      <c r="M4238" s="15" t="n">
        <v>0.54</v>
      </c>
      <c r="N4238" s="9" t="s">
        <v>85</v>
      </c>
    </row>
    <row r="4239" customFormat="false" ht="14.25" hidden="false" customHeight="true" outlineLevel="0" collapsed="false">
      <c r="B4239" s="9" t="s">
        <v>16</v>
      </c>
      <c r="C4239" s="9" t="n">
        <v>1185732</v>
      </c>
      <c r="D4239" s="10" t="n">
        <v>44408</v>
      </c>
      <c r="E4239" s="9" t="s">
        <v>38</v>
      </c>
      <c r="F4239" s="9" t="s">
        <v>39</v>
      </c>
      <c r="G4239" s="9" t="s">
        <v>40</v>
      </c>
      <c r="H4239" s="11" t="s">
        <v>21</v>
      </c>
      <c r="I4239" s="12" t="n">
        <v>46</v>
      </c>
      <c r="J4239" s="13" t="n">
        <v>65</v>
      </c>
      <c r="K4239" s="14" t="n">
        <f aca="false">I4239*J4239</f>
        <v>2990</v>
      </c>
      <c r="L4239" s="14" t="n">
        <f aca="false">($L$2*M4239)/100</f>
        <v>564783.255</v>
      </c>
      <c r="M4239" s="15" t="n">
        <v>0.47</v>
      </c>
      <c r="N4239" s="9" t="s">
        <v>85</v>
      </c>
    </row>
    <row r="4240" customFormat="false" ht="14.25" hidden="false" customHeight="true" outlineLevel="0" collapsed="false">
      <c r="B4240" s="9" t="s">
        <v>16</v>
      </c>
      <c r="C4240" s="9" t="n">
        <v>1185732</v>
      </c>
      <c r="D4240" s="10" t="n">
        <v>44409</v>
      </c>
      <c r="E4240" s="9" t="s">
        <v>38</v>
      </c>
      <c r="F4240" s="9" t="s">
        <v>39</v>
      </c>
      <c r="G4240" s="9" t="s">
        <v>40</v>
      </c>
      <c r="H4240" s="11" t="s">
        <v>22</v>
      </c>
      <c r="I4240" s="12" t="n">
        <v>48</v>
      </c>
      <c r="J4240" s="13" t="n">
        <v>49</v>
      </c>
      <c r="K4240" s="14" t="n">
        <f aca="false">I4240*J4240</f>
        <v>2352</v>
      </c>
      <c r="L4240" s="14" t="n">
        <f aca="false">($L$2*M4240)/100</f>
        <v>564783.255</v>
      </c>
      <c r="M4240" s="15" t="n">
        <v>0.47</v>
      </c>
      <c r="N4240" s="9" t="s">
        <v>85</v>
      </c>
    </row>
    <row r="4241" customFormat="false" ht="14.25" hidden="false" customHeight="true" outlineLevel="0" collapsed="false">
      <c r="B4241" s="9" t="s">
        <v>16</v>
      </c>
      <c r="C4241" s="9" t="n">
        <v>1185732</v>
      </c>
      <c r="D4241" s="10" t="n">
        <v>44410</v>
      </c>
      <c r="E4241" s="9" t="s">
        <v>38</v>
      </c>
      <c r="F4241" s="9" t="s">
        <v>39</v>
      </c>
      <c r="G4241" s="9" t="s">
        <v>40</v>
      </c>
      <c r="H4241" s="11" t="s">
        <v>23</v>
      </c>
      <c r="I4241" s="12" t="n">
        <v>46</v>
      </c>
      <c r="J4241" s="13" t="n">
        <v>53</v>
      </c>
      <c r="K4241" s="14" t="n">
        <f aca="false">I4241*J4241</f>
        <v>2438</v>
      </c>
      <c r="L4241" s="14" t="n">
        <f aca="false">($L$2*M4241)/100</f>
        <v>636883.245</v>
      </c>
      <c r="M4241" s="15" t="n">
        <v>0.53</v>
      </c>
      <c r="N4241" s="9" t="s">
        <v>85</v>
      </c>
    </row>
    <row r="4242" customFormat="false" ht="14.25" hidden="false" customHeight="true" outlineLevel="0" collapsed="false">
      <c r="B4242" s="9" t="s">
        <v>16</v>
      </c>
      <c r="C4242" s="9" t="n">
        <v>1185732</v>
      </c>
      <c r="D4242" s="10" t="n">
        <v>44411</v>
      </c>
      <c r="E4242" s="9" t="s">
        <v>38</v>
      </c>
      <c r="F4242" s="9" t="s">
        <v>39</v>
      </c>
      <c r="G4242" s="9" t="s">
        <v>40</v>
      </c>
      <c r="H4242" s="11" t="s">
        <v>24</v>
      </c>
      <c r="I4242" s="12" t="n">
        <v>56</v>
      </c>
      <c r="J4242" s="13" t="n">
        <v>41</v>
      </c>
      <c r="K4242" s="14" t="n">
        <f aca="false">I4242*J4242</f>
        <v>2296</v>
      </c>
      <c r="L4242" s="14" t="n">
        <f aca="false">($L$2*M4242)/100</f>
        <v>600833.25</v>
      </c>
      <c r="M4242" s="15" t="n">
        <v>0.5</v>
      </c>
      <c r="N4242" s="9" t="s">
        <v>85</v>
      </c>
    </row>
    <row r="4243" customFormat="false" ht="14.25" hidden="false" customHeight="true" outlineLevel="0" collapsed="false">
      <c r="B4243" s="9" t="s">
        <v>16</v>
      </c>
      <c r="C4243" s="9" t="n">
        <v>1185732</v>
      </c>
      <c r="D4243" s="10" t="n">
        <v>44412</v>
      </c>
      <c r="E4243" s="9" t="s">
        <v>38</v>
      </c>
      <c r="F4243" s="9" t="s">
        <v>39</v>
      </c>
      <c r="G4243" s="9" t="s">
        <v>40</v>
      </c>
      <c r="H4243" s="11" t="s">
        <v>25</v>
      </c>
      <c r="I4243" s="12" t="n">
        <v>61</v>
      </c>
      <c r="J4243" s="13" t="n">
        <v>65</v>
      </c>
      <c r="K4243" s="14" t="n">
        <f aca="false">I4243*J4243</f>
        <v>3965</v>
      </c>
      <c r="L4243" s="14" t="n">
        <f aca="false">($L$2*M4243)/100</f>
        <v>720999.9</v>
      </c>
      <c r="M4243" s="15" t="n">
        <v>0.6</v>
      </c>
      <c r="N4243" s="9" t="s">
        <v>85</v>
      </c>
    </row>
    <row r="4244" customFormat="false" ht="14.25" hidden="false" customHeight="true" outlineLevel="0" collapsed="false">
      <c r="B4244" s="9" t="s">
        <v>16</v>
      </c>
      <c r="C4244" s="9" t="n">
        <v>1185732</v>
      </c>
      <c r="D4244" s="10" t="n">
        <v>44413</v>
      </c>
      <c r="E4244" s="9" t="s">
        <v>38</v>
      </c>
      <c r="F4244" s="9" t="s">
        <v>39</v>
      </c>
      <c r="G4244" s="9" t="s">
        <v>40</v>
      </c>
      <c r="H4244" s="11" t="s">
        <v>19</v>
      </c>
      <c r="I4244" s="12" t="n">
        <v>57</v>
      </c>
      <c r="J4244" s="13" t="n">
        <v>150</v>
      </c>
      <c r="K4244" s="14" t="n">
        <f aca="false">I4244*J4244</f>
        <v>8550</v>
      </c>
      <c r="L4244" s="14" t="n">
        <f aca="false">($L$2*M4244)/100</f>
        <v>660916.575</v>
      </c>
      <c r="M4244" s="15" t="n">
        <v>0.55</v>
      </c>
      <c r="N4244" s="9" t="s">
        <v>85</v>
      </c>
    </row>
    <row r="4245" customFormat="false" ht="14.25" hidden="false" customHeight="true" outlineLevel="0" collapsed="false">
      <c r="B4245" s="9" t="s">
        <v>16</v>
      </c>
      <c r="C4245" s="9" t="n">
        <v>1185732</v>
      </c>
      <c r="D4245" s="10" t="n">
        <v>44414</v>
      </c>
      <c r="E4245" s="9" t="s">
        <v>38</v>
      </c>
      <c r="F4245" s="9" t="s">
        <v>39</v>
      </c>
      <c r="G4245" s="9" t="s">
        <v>40</v>
      </c>
      <c r="H4245" s="11" t="s">
        <v>21</v>
      </c>
      <c r="I4245" s="12" t="n">
        <v>46</v>
      </c>
      <c r="J4245" s="13" t="n">
        <v>75</v>
      </c>
      <c r="K4245" s="14" t="n">
        <f aca="false">I4245*J4245</f>
        <v>3450</v>
      </c>
      <c r="L4245" s="14" t="n">
        <f aca="false">($L$2*M4245)/100</f>
        <v>576799.92</v>
      </c>
      <c r="M4245" s="15" t="n">
        <v>0.48</v>
      </c>
      <c r="N4245" s="9" t="s">
        <v>85</v>
      </c>
    </row>
    <row r="4246" customFormat="false" ht="14.25" hidden="false" customHeight="true" outlineLevel="0" collapsed="false">
      <c r="B4246" s="9" t="s">
        <v>16</v>
      </c>
      <c r="C4246" s="9" t="n">
        <v>1185732</v>
      </c>
      <c r="D4246" s="10" t="n">
        <v>44415</v>
      </c>
      <c r="E4246" s="9" t="s">
        <v>38</v>
      </c>
      <c r="F4246" s="9" t="s">
        <v>39</v>
      </c>
      <c r="G4246" s="9" t="s">
        <v>40</v>
      </c>
      <c r="H4246" s="11" t="s">
        <v>22</v>
      </c>
      <c r="I4246" s="12" t="n">
        <v>46</v>
      </c>
      <c r="J4246" s="13" t="n">
        <v>75</v>
      </c>
      <c r="K4246" s="14" t="n">
        <f aca="false">I4246*J4246</f>
        <v>3450</v>
      </c>
      <c r="L4246" s="14" t="n">
        <f aca="false">($L$2*M4246)/100</f>
        <v>588816.585</v>
      </c>
      <c r="M4246" s="15" t="n">
        <v>0.49</v>
      </c>
      <c r="N4246" s="9" t="s">
        <v>85</v>
      </c>
    </row>
    <row r="4247" customFormat="false" ht="14.25" hidden="false" customHeight="true" outlineLevel="0" collapsed="false">
      <c r="B4247" s="9" t="s">
        <v>16</v>
      </c>
      <c r="C4247" s="9" t="n">
        <v>1185732</v>
      </c>
      <c r="D4247" s="10" t="n">
        <v>44416</v>
      </c>
      <c r="E4247" s="9" t="s">
        <v>38</v>
      </c>
      <c r="F4247" s="9" t="s">
        <v>39</v>
      </c>
      <c r="G4247" s="9" t="s">
        <v>40</v>
      </c>
      <c r="H4247" s="11" t="s">
        <v>23</v>
      </c>
      <c r="I4247" s="12" t="n">
        <v>49</v>
      </c>
      <c r="J4247" s="13" t="n">
        <v>54</v>
      </c>
      <c r="K4247" s="14" t="n">
        <f aca="false">I4247*J4247</f>
        <v>2646</v>
      </c>
      <c r="L4247" s="14" t="n">
        <f aca="false">($L$2*M4247)/100</f>
        <v>636883.245</v>
      </c>
      <c r="M4247" s="15" t="n">
        <v>0.53</v>
      </c>
      <c r="N4247" s="9" t="s">
        <v>85</v>
      </c>
    </row>
    <row r="4248" customFormat="false" ht="14.25" hidden="false" customHeight="true" outlineLevel="0" collapsed="false">
      <c r="B4248" s="9" t="s">
        <v>16</v>
      </c>
      <c r="C4248" s="9" t="n">
        <v>1185732</v>
      </c>
      <c r="D4248" s="10" t="n">
        <v>44417</v>
      </c>
      <c r="E4248" s="9" t="s">
        <v>38</v>
      </c>
      <c r="F4248" s="9" t="s">
        <v>39</v>
      </c>
      <c r="G4248" s="9" t="s">
        <v>40</v>
      </c>
      <c r="H4248" s="11" t="s">
        <v>24</v>
      </c>
      <c r="I4248" s="12" t="n">
        <v>59</v>
      </c>
      <c r="J4248" s="13" t="n">
        <v>58</v>
      </c>
      <c r="K4248" s="14" t="n">
        <f aca="false">I4248*J4248</f>
        <v>3422</v>
      </c>
      <c r="L4248" s="14" t="n">
        <f aca="false">($L$2*M4248)/100</f>
        <v>540749.925</v>
      </c>
      <c r="M4248" s="15" t="n">
        <v>0.45</v>
      </c>
      <c r="N4248" s="9" t="s">
        <v>85</v>
      </c>
    </row>
    <row r="4249" customFormat="false" ht="14.25" hidden="false" customHeight="true" outlineLevel="0" collapsed="false">
      <c r="B4249" s="9" t="s">
        <v>16</v>
      </c>
      <c r="C4249" s="9" t="n">
        <v>1185732</v>
      </c>
      <c r="D4249" s="10" t="n">
        <v>44418</v>
      </c>
      <c r="E4249" s="9" t="s">
        <v>38</v>
      </c>
      <c r="F4249" s="9" t="s">
        <v>39</v>
      </c>
      <c r="G4249" s="9" t="s">
        <v>40</v>
      </c>
      <c r="H4249" s="11" t="s">
        <v>25</v>
      </c>
      <c r="I4249" s="12" t="n">
        <v>64</v>
      </c>
      <c r="J4249" s="13" t="n">
        <v>81</v>
      </c>
      <c r="K4249" s="14" t="n">
        <f aca="false">I4249*J4249</f>
        <v>5184</v>
      </c>
      <c r="L4249" s="14" t="n">
        <f aca="false">($L$2*M4249)/100</f>
        <v>757049.895</v>
      </c>
      <c r="M4249" s="15" t="n">
        <v>0.63</v>
      </c>
      <c r="N4249" s="9" t="s">
        <v>85</v>
      </c>
    </row>
    <row r="4250" customFormat="false" ht="14.25" hidden="false" customHeight="true" outlineLevel="0" collapsed="false">
      <c r="B4250" s="9" t="s">
        <v>28</v>
      </c>
      <c r="C4250" s="9" t="n">
        <v>1197831</v>
      </c>
      <c r="D4250" s="10" t="n">
        <v>44419</v>
      </c>
      <c r="E4250" s="9" t="s">
        <v>38</v>
      </c>
      <c r="F4250" s="9" t="s">
        <v>39</v>
      </c>
      <c r="G4250" s="9" t="s">
        <v>40</v>
      </c>
      <c r="H4250" s="11" t="s">
        <v>19</v>
      </c>
      <c r="I4250" s="12" t="n">
        <v>20</v>
      </c>
      <c r="J4250" s="13" t="n">
        <v>189</v>
      </c>
      <c r="K4250" s="14" t="n">
        <f aca="false">I4250*J4250</f>
        <v>3780</v>
      </c>
      <c r="L4250" s="14" t="n">
        <f aca="false">($L$2*M4250)/100</f>
        <v>480666.6</v>
      </c>
      <c r="M4250" s="15" t="n">
        <v>0.4</v>
      </c>
      <c r="N4250" s="9" t="s">
        <v>85</v>
      </c>
    </row>
    <row r="4251" customFormat="false" ht="14.25" hidden="false" customHeight="true" outlineLevel="0" collapsed="false">
      <c r="B4251" s="9" t="s">
        <v>28</v>
      </c>
      <c r="C4251" s="9" t="n">
        <v>1197831</v>
      </c>
      <c r="D4251" s="10" t="n">
        <v>44420</v>
      </c>
      <c r="E4251" s="9" t="s">
        <v>38</v>
      </c>
      <c r="F4251" s="9" t="s">
        <v>39</v>
      </c>
      <c r="G4251" s="9" t="s">
        <v>40</v>
      </c>
      <c r="H4251" s="11" t="s">
        <v>21</v>
      </c>
      <c r="I4251" s="12" t="n">
        <v>28</v>
      </c>
      <c r="J4251" s="13" t="n">
        <v>196</v>
      </c>
      <c r="K4251" s="14" t="n">
        <f aca="false">I4251*J4251</f>
        <v>5488</v>
      </c>
      <c r="L4251" s="14" t="n">
        <f aca="false">($L$2*M4251)/100</f>
        <v>480666.6</v>
      </c>
      <c r="M4251" s="15" t="n">
        <v>0.4</v>
      </c>
      <c r="N4251" s="9" t="s">
        <v>85</v>
      </c>
    </row>
    <row r="4252" customFormat="false" ht="14.25" hidden="false" customHeight="true" outlineLevel="0" collapsed="false">
      <c r="B4252" s="9" t="s">
        <v>28</v>
      </c>
      <c r="C4252" s="9" t="n">
        <v>1197831</v>
      </c>
      <c r="D4252" s="10" t="n">
        <v>44421</v>
      </c>
      <c r="E4252" s="9" t="s">
        <v>38</v>
      </c>
      <c r="F4252" s="9" t="s">
        <v>39</v>
      </c>
      <c r="G4252" s="9" t="s">
        <v>40</v>
      </c>
      <c r="H4252" s="11" t="s">
        <v>22</v>
      </c>
      <c r="I4252" s="12" t="n">
        <v>27</v>
      </c>
      <c r="J4252" s="13" t="n">
        <v>158</v>
      </c>
      <c r="K4252" s="14" t="n">
        <f aca="false">I4252*J4252</f>
        <v>4266</v>
      </c>
      <c r="L4252" s="14" t="n">
        <f aca="false">($L$2*M4252)/100</f>
        <v>492683.265</v>
      </c>
      <c r="M4252" s="15" t="n">
        <v>0.41</v>
      </c>
      <c r="N4252" s="9" t="s">
        <v>85</v>
      </c>
    </row>
    <row r="4253" customFormat="false" ht="14.25" hidden="false" customHeight="true" outlineLevel="0" collapsed="false">
      <c r="B4253" s="9" t="s">
        <v>28</v>
      </c>
      <c r="C4253" s="9" t="n">
        <v>1197831</v>
      </c>
      <c r="D4253" s="10" t="n">
        <v>44422</v>
      </c>
      <c r="E4253" s="9" t="s">
        <v>38</v>
      </c>
      <c r="F4253" s="9" t="s">
        <v>39</v>
      </c>
      <c r="G4253" s="9" t="s">
        <v>40</v>
      </c>
      <c r="H4253" s="11" t="s">
        <v>23</v>
      </c>
      <c r="I4253" s="12" t="n">
        <v>34</v>
      </c>
      <c r="J4253" s="13" t="n">
        <v>152</v>
      </c>
      <c r="K4253" s="14" t="n">
        <f aca="false">I4253*J4253</f>
        <v>5168</v>
      </c>
      <c r="L4253" s="14" t="n">
        <f aca="false">($L$2*M4253)/100</f>
        <v>612849.915</v>
      </c>
      <c r="M4253" s="15" t="n">
        <v>0.51</v>
      </c>
      <c r="N4253" s="9" t="s">
        <v>85</v>
      </c>
    </row>
    <row r="4254" customFormat="false" ht="14.25" hidden="false" customHeight="true" outlineLevel="0" collapsed="false">
      <c r="B4254" s="9" t="s">
        <v>28</v>
      </c>
      <c r="C4254" s="9" t="n">
        <v>1197831</v>
      </c>
      <c r="D4254" s="10" t="n">
        <v>44423</v>
      </c>
      <c r="E4254" s="9" t="s">
        <v>29</v>
      </c>
      <c r="F4254" s="9" t="s">
        <v>30</v>
      </c>
      <c r="G4254" s="9" t="s">
        <v>41</v>
      </c>
      <c r="H4254" s="11" t="s">
        <v>24</v>
      </c>
      <c r="I4254" s="12" t="n">
        <v>37</v>
      </c>
      <c r="J4254" s="13" t="n">
        <v>94</v>
      </c>
      <c r="K4254" s="14" t="n">
        <f aca="false">I4254*J4254</f>
        <v>3478</v>
      </c>
      <c r="L4254" s="14" t="n">
        <f aca="false">($L$2*M4254)/100</f>
        <v>420583.275</v>
      </c>
      <c r="M4254" s="15" t="n">
        <v>0.35</v>
      </c>
      <c r="N4254" s="9" t="s">
        <v>85</v>
      </c>
    </row>
    <row r="4255" customFormat="false" ht="14.25" hidden="false" customHeight="true" outlineLevel="0" collapsed="false">
      <c r="B4255" s="9" t="s">
        <v>28</v>
      </c>
      <c r="C4255" s="9" t="n">
        <v>1197831</v>
      </c>
      <c r="D4255" s="10" t="n">
        <v>44424</v>
      </c>
      <c r="E4255" s="9" t="s">
        <v>29</v>
      </c>
      <c r="F4255" s="9" t="s">
        <v>30</v>
      </c>
      <c r="G4255" s="9" t="s">
        <v>41</v>
      </c>
      <c r="H4255" s="11" t="s">
        <v>25</v>
      </c>
      <c r="I4255" s="12" t="n">
        <v>33</v>
      </c>
      <c r="J4255" s="13" t="n">
        <v>147</v>
      </c>
      <c r="K4255" s="14" t="n">
        <f aca="false">I4255*J4255</f>
        <v>4851</v>
      </c>
      <c r="L4255" s="14" t="n">
        <f aca="false">($L$2*M4255)/100</f>
        <v>660916.575</v>
      </c>
      <c r="M4255" s="15" t="n">
        <v>0.55</v>
      </c>
      <c r="N4255" s="9" t="s">
        <v>85</v>
      </c>
    </row>
    <row r="4256" customFormat="false" ht="14.25" hidden="false" customHeight="true" outlineLevel="0" collapsed="false">
      <c r="B4256" s="9" t="s">
        <v>28</v>
      </c>
      <c r="C4256" s="9" t="n">
        <v>1197831</v>
      </c>
      <c r="D4256" s="10" t="n">
        <v>44425</v>
      </c>
      <c r="E4256" s="9" t="s">
        <v>29</v>
      </c>
      <c r="F4256" s="9" t="s">
        <v>30</v>
      </c>
      <c r="G4256" s="9" t="s">
        <v>41</v>
      </c>
      <c r="H4256" s="11" t="s">
        <v>19</v>
      </c>
      <c r="I4256" s="12" t="n">
        <v>23</v>
      </c>
      <c r="J4256" s="13" t="n">
        <v>176</v>
      </c>
      <c r="K4256" s="14" t="n">
        <f aca="false">I4256*J4256</f>
        <v>4048</v>
      </c>
      <c r="L4256" s="14" t="n">
        <f aca="false">($L$2*M4256)/100</f>
        <v>516716.595</v>
      </c>
      <c r="M4256" s="15" t="n">
        <v>0.43</v>
      </c>
      <c r="N4256" s="9" t="s">
        <v>85</v>
      </c>
    </row>
    <row r="4257" customFormat="false" ht="14.25" hidden="false" customHeight="true" outlineLevel="0" collapsed="false">
      <c r="B4257" s="9" t="s">
        <v>28</v>
      </c>
      <c r="C4257" s="9" t="n">
        <v>1197831</v>
      </c>
      <c r="D4257" s="10" t="n">
        <v>44426</v>
      </c>
      <c r="E4257" s="9" t="s">
        <v>29</v>
      </c>
      <c r="F4257" s="9" t="s">
        <v>30</v>
      </c>
      <c r="G4257" s="9" t="s">
        <v>41</v>
      </c>
      <c r="H4257" s="11" t="s">
        <v>21</v>
      </c>
      <c r="I4257" s="12" t="n">
        <v>32</v>
      </c>
      <c r="J4257" s="13" t="n">
        <v>163</v>
      </c>
      <c r="K4257" s="14" t="n">
        <f aca="false">I4257*J4257</f>
        <v>5216</v>
      </c>
      <c r="L4257" s="14" t="n">
        <f aca="false">($L$2*M4257)/100</f>
        <v>480666.6</v>
      </c>
      <c r="M4257" s="15" t="n">
        <v>0.4</v>
      </c>
      <c r="N4257" s="9" t="s">
        <v>85</v>
      </c>
    </row>
    <row r="4258" customFormat="false" ht="14.25" hidden="false" customHeight="true" outlineLevel="0" collapsed="false">
      <c r="B4258" s="9" t="s">
        <v>28</v>
      </c>
      <c r="C4258" s="9" t="n">
        <v>1197831</v>
      </c>
      <c r="D4258" s="10" t="n">
        <v>44427</v>
      </c>
      <c r="E4258" s="9" t="s">
        <v>29</v>
      </c>
      <c r="F4258" s="9" t="s">
        <v>30</v>
      </c>
      <c r="G4258" s="9" t="s">
        <v>41</v>
      </c>
      <c r="H4258" s="11" t="s">
        <v>22</v>
      </c>
      <c r="I4258" s="12" t="n">
        <v>34</v>
      </c>
      <c r="J4258" s="13" t="n">
        <v>119</v>
      </c>
      <c r="K4258" s="14" t="n">
        <f aca="false">I4258*J4258</f>
        <v>4046</v>
      </c>
      <c r="L4258" s="14" t="n">
        <f aca="false">($L$2*M4258)/100</f>
        <v>516716.595</v>
      </c>
      <c r="M4258" s="15" t="n">
        <v>0.43</v>
      </c>
      <c r="N4258" s="9" t="s">
        <v>85</v>
      </c>
    </row>
    <row r="4259" customFormat="false" ht="14.25" hidden="false" customHeight="true" outlineLevel="0" collapsed="false">
      <c r="B4259" s="9" t="s">
        <v>28</v>
      </c>
      <c r="C4259" s="9" t="n">
        <v>1197831</v>
      </c>
      <c r="D4259" s="10" t="n">
        <v>44428</v>
      </c>
      <c r="E4259" s="9" t="s">
        <v>29</v>
      </c>
      <c r="F4259" s="9" t="s">
        <v>30</v>
      </c>
      <c r="G4259" s="9" t="s">
        <v>41</v>
      </c>
      <c r="H4259" s="11" t="s">
        <v>23</v>
      </c>
      <c r="I4259" s="12" t="n">
        <v>32</v>
      </c>
      <c r="J4259" s="13" t="n">
        <v>128</v>
      </c>
      <c r="K4259" s="14" t="n">
        <f aca="false">I4259*J4259</f>
        <v>4096</v>
      </c>
      <c r="L4259" s="14" t="n">
        <f aca="false">($L$2*M4259)/100</f>
        <v>636883.245</v>
      </c>
      <c r="M4259" s="15" t="n">
        <v>0.53</v>
      </c>
      <c r="N4259" s="9" t="s">
        <v>85</v>
      </c>
    </row>
    <row r="4260" customFormat="false" ht="14.25" hidden="false" customHeight="true" outlineLevel="0" collapsed="false">
      <c r="B4260" s="9" t="s">
        <v>28</v>
      </c>
      <c r="C4260" s="9" t="n">
        <v>1197831</v>
      </c>
      <c r="D4260" s="10" t="n">
        <v>44429</v>
      </c>
      <c r="E4260" s="9" t="s">
        <v>29</v>
      </c>
      <c r="F4260" s="9" t="s">
        <v>30</v>
      </c>
      <c r="G4260" s="9" t="s">
        <v>41</v>
      </c>
      <c r="H4260" s="11" t="s">
        <v>24</v>
      </c>
      <c r="I4260" s="12" t="n">
        <v>38</v>
      </c>
      <c r="J4260" s="13" t="n">
        <v>75</v>
      </c>
      <c r="K4260" s="14" t="n">
        <f aca="false">I4260*J4260</f>
        <v>2850</v>
      </c>
      <c r="L4260" s="14" t="n">
        <f aca="false">($L$2*M4260)/100</f>
        <v>420583.275</v>
      </c>
      <c r="M4260" s="15" t="n">
        <v>0.35</v>
      </c>
      <c r="N4260" s="9" t="s">
        <v>85</v>
      </c>
    </row>
    <row r="4261" customFormat="false" ht="14.25" hidden="false" customHeight="true" outlineLevel="0" collapsed="false">
      <c r="B4261" s="9" t="s">
        <v>28</v>
      </c>
      <c r="C4261" s="9" t="n">
        <v>1197831</v>
      </c>
      <c r="D4261" s="10" t="n">
        <v>44430</v>
      </c>
      <c r="E4261" s="9" t="s">
        <v>29</v>
      </c>
      <c r="F4261" s="9" t="s">
        <v>30</v>
      </c>
      <c r="G4261" s="9" t="s">
        <v>41</v>
      </c>
      <c r="H4261" s="11" t="s">
        <v>25</v>
      </c>
      <c r="I4261" s="12" t="n">
        <v>32</v>
      </c>
      <c r="J4261" s="13" t="n">
        <v>140</v>
      </c>
      <c r="K4261" s="14" t="n">
        <f aca="false">I4261*J4261</f>
        <v>4480</v>
      </c>
      <c r="L4261" s="14" t="n">
        <f aca="false">($L$2*M4261)/100</f>
        <v>672933.24</v>
      </c>
      <c r="M4261" s="15" t="n">
        <v>0.56</v>
      </c>
      <c r="N4261" s="9" t="s">
        <v>85</v>
      </c>
    </row>
    <row r="4262" customFormat="false" ht="14.25" hidden="false" customHeight="true" outlineLevel="0" collapsed="false">
      <c r="B4262" s="9" t="s">
        <v>28</v>
      </c>
      <c r="C4262" s="9" t="n">
        <v>1197831</v>
      </c>
      <c r="D4262" s="10" t="n">
        <v>44431</v>
      </c>
      <c r="E4262" s="9" t="s">
        <v>29</v>
      </c>
      <c r="F4262" s="9" t="s">
        <v>30</v>
      </c>
      <c r="G4262" s="9" t="s">
        <v>41</v>
      </c>
      <c r="H4262" s="11" t="s">
        <v>19</v>
      </c>
      <c r="I4262" s="12" t="n">
        <v>29</v>
      </c>
      <c r="J4262" s="13" t="n">
        <v>182</v>
      </c>
      <c r="K4262" s="14" t="n">
        <f aca="false">I4262*J4262</f>
        <v>5278</v>
      </c>
      <c r="L4262" s="14" t="n">
        <f aca="false">($L$2*M4262)/100</f>
        <v>600833.25</v>
      </c>
      <c r="M4262" s="15" t="n">
        <v>0.5</v>
      </c>
      <c r="N4262" s="9" t="s">
        <v>85</v>
      </c>
    </row>
    <row r="4263" customFormat="false" ht="14.25" hidden="false" customHeight="true" outlineLevel="0" collapsed="false">
      <c r="B4263" s="9" t="s">
        <v>28</v>
      </c>
      <c r="C4263" s="9" t="n">
        <v>1197831</v>
      </c>
      <c r="D4263" s="10" t="n">
        <v>44432</v>
      </c>
      <c r="E4263" s="9" t="s">
        <v>29</v>
      </c>
      <c r="F4263" s="9" t="s">
        <v>30</v>
      </c>
      <c r="G4263" s="9" t="s">
        <v>41</v>
      </c>
      <c r="H4263" s="11" t="s">
        <v>21</v>
      </c>
      <c r="I4263" s="12" t="n">
        <v>39</v>
      </c>
      <c r="J4263" s="13" t="n">
        <v>169</v>
      </c>
      <c r="K4263" s="14" t="n">
        <f aca="false">I4263*J4263</f>
        <v>6591</v>
      </c>
      <c r="L4263" s="14" t="n">
        <f aca="false">($L$2*M4263)/100</f>
        <v>600833.25</v>
      </c>
      <c r="M4263" s="15" t="n">
        <v>0.5</v>
      </c>
      <c r="N4263" s="9" t="s">
        <v>85</v>
      </c>
    </row>
    <row r="4264" customFormat="false" ht="14.25" hidden="false" customHeight="true" outlineLevel="0" collapsed="false">
      <c r="B4264" s="9" t="s">
        <v>28</v>
      </c>
      <c r="C4264" s="9" t="n">
        <v>1197831</v>
      </c>
      <c r="D4264" s="10" t="n">
        <v>44433</v>
      </c>
      <c r="E4264" s="9" t="s">
        <v>29</v>
      </c>
      <c r="F4264" s="9" t="s">
        <v>30</v>
      </c>
      <c r="G4264" s="9" t="s">
        <v>41</v>
      </c>
      <c r="H4264" s="11" t="s">
        <v>22</v>
      </c>
      <c r="I4264" s="12" t="n">
        <v>28</v>
      </c>
      <c r="J4264" s="13" t="n">
        <v>145</v>
      </c>
      <c r="K4264" s="14" t="n">
        <f aca="false">I4264*J4264</f>
        <v>4060</v>
      </c>
      <c r="L4264" s="14" t="n">
        <f aca="false">($L$2*M4264)/100</f>
        <v>564783.255</v>
      </c>
      <c r="M4264" s="15" t="n">
        <v>0.47</v>
      </c>
      <c r="N4264" s="9" t="s">
        <v>85</v>
      </c>
    </row>
    <row r="4265" customFormat="false" ht="14.25" hidden="false" customHeight="true" outlineLevel="0" collapsed="false">
      <c r="B4265" s="9" t="s">
        <v>28</v>
      </c>
      <c r="C4265" s="9" t="n">
        <v>1197831</v>
      </c>
      <c r="D4265" s="10" t="n">
        <v>44434</v>
      </c>
      <c r="E4265" s="9" t="s">
        <v>29</v>
      </c>
      <c r="F4265" s="9" t="s">
        <v>30</v>
      </c>
      <c r="G4265" s="9" t="s">
        <v>41</v>
      </c>
      <c r="H4265" s="11" t="s">
        <v>23</v>
      </c>
      <c r="I4265" s="12" t="n">
        <v>32</v>
      </c>
      <c r="J4265" s="13" t="n">
        <v>116</v>
      </c>
      <c r="K4265" s="14" t="n">
        <f aca="false">I4265*J4265</f>
        <v>3712</v>
      </c>
      <c r="L4265" s="14" t="n">
        <f aca="false">($L$2*M4265)/100</f>
        <v>684949.905</v>
      </c>
      <c r="M4265" s="15" t="n">
        <v>0.57</v>
      </c>
      <c r="N4265" s="9" t="s">
        <v>85</v>
      </c>
    </row>
    <row r="4266" customFormat="false" ht="14.25" hidden="false" customHeight="true" outlineLevel="0" collapsed="false">
      <c r="B4266" s="9" t="s">
        <v>28</v>
      </c>
      <c r="C4266" s="9" t="n">
        <v>1197831</v>
      </c>
      <c r="D4266" s="10" t="n">
        <v>44435</v>
      </c>
      <c r="E4266" s="9" t="s">
        <v>29</v>
      </c>
      <c r="F4266" s="9" t="s">
        <v>30</v>
      </c>
      <c r="G4266" s="9" t="s">
        <v>41</v>
      </c>
      <c r="H4266" s="11" t="s">
        <v>24</v>
      </c>
      <c r="I4266" s="12" t="n">
        <v>38</v>
      </c>
      <c r="J4266" s="13" t="n">
        <v>81</v>
      </c>
      <c r="K4266" s="14" t="n">
        <f aca="false">I4266*J4266</f>
        <v>3078</v>
      </c>
      <c r="L4266" s="14" t="n">
        <f aca="false">($L$2*M4266)/100</f>
        <v>540749.925</v>
      </c>
      <c r="M4266" s="15" t="n">
        <v>0.45</v>
      </c>
      <c r="N4266" s="9" t="s">
        <v>85</v>
      </c>
    </row>
    <row r="4267" customFormat="false" ht="14.25" hidden="false" customHeight="true" outlineLevel="0" collapsed="false">
      <c r="B4267" s="9" t="s">
        <v>28</v>
      </c>
      <c r="C4267" s="9" t="n">
        <v>1197831</v>
      </c>
      <c r="D4267" s="10" t="n">
        <v>44436</v>
      </c>
      <c r="E4267" s="9" t="s">
        <v>29</v>
      </c>
      <c r="F4267" s="9" t="s">
        <v>30</v>
      </c>
      <c r="G4267" s="9" t="s">
        <v>41</v>
      </c>
      <c r="H4267" s="11" t="s">
        <v>25</v>
      </c>
      <c r="I4267" s="12" t="n">
        <v>32</v>
      </c>
      <c r="J4267" s="13" t="n">
        <v>135</v>
      </c>
      <c r="K4267" s="14" t="n">
        <f aca="false">I4267*J4267</f>
        <v>4320</v>
      </c>
      <c r="L4267" s="14" t="n">
        <f aca="false">($L$2*M4267)/100</f>
        <v>757049.895</v>
      </c>
      <c r="M4267" s="15" t="n">
        <v>0.63</v>
      </c>
      <c r="N4267" s="9" t="s">
        <v>85</v>
      </c>
    </row>
    <row r="4268" customFormat="false" ht="14.25" hidden="false" customHeight="true" outlineLevel="0" collapsed="false">
      <c r="B4268" s="9" t="s">
        <v>28</v>
      </c>
      <c r="C4268" s="9" t="n">
        <v>1197831</v>
      </c>
      <c r="D4268" s="10" t="n">
        <v>44437</v>
      </c>
      <c r="E4268" s="9" t="s">
        <v>29</v>
      </c>
      <c r="F4268" s="9" t="s">
        <v>30</v>
      </c>
      <c r="G4268" s="9" t="s">
        <v>41</v>
      </c>
      <c r="H4268" s="11" t="s">
        <v>19</v>
      </c>
      <c r="I4268" s="12" t="n">
        <v>18</v>
      </c>
      <c r="J4268" s="13" t="n">
        <v>182</v>
      </c>
      <c r="K4268" s="14" t="n">
        <f aca="false">I4268*J4268</f>
        <v>3276</v>
      </c>
      <c r="L4268" s="14" t="n">
        <f aca="false">($L$2*M4268)/100</f>
        <v>540749.925</v>
      </c>
      <c r="M4268" s="15" t="n">
        <v>0.45</v>
      </c>
      <c r="N4268" s="9" t="s">
        <v>85</v>
      </c>
    </row>
    <row r="4269" customFormat="false" ht="14.25" hidden="false" customHeight="true" outlineLevel="0" collapsed="false">
      <c r="B4269" s="9" t="s">
        <v>28</v>
      </c>
      <c r="C4269" s="9" t="n">
        <v>1197831</v>
      </c>
      <c r="D4269" s="10" t="n">
        <v>44438</v>
      </c>
      <c r="E4269" s="9" t="s">
        <v>29</v>
      </c>
      <c r="F4269" s="9" t="s">
        <v>30</v>
      </c>
      <c r="G4269" s="9" t="s">
        <v>41</v>
      </c>
      <c r="H4269" s="11" t="s">
        <v>21</v>
      </c>
      <c r="I4269" s="12" t="n">
        <v>28</v>
      </c>
      <c r="J4269" s="13" t="n">
        <v>175</v>
      </c>
      <c r="K4269" s="14" t="n">
        <f aca="false">I4269*J4269</f>
        <v>4900</v>
      </c>
      <c r="L4269" s="14" t="n">
        <f aca="false">($L$2*M4269)/100</f>
        <v>576799.92</v>
      </c>
      <c r="M4269" s="15" t="n">
        <v>0.48</v>
      </c>
      <c r="N4269" s="9" t="s">
        <v>85</v>
      </c>
    </row>
    <row r="4270" customFormat="false" ht="14.25" hidden="false" customHeight="true" outlineLevel="0" collapsed="false">
      <c r="B4270" s="9" t="s">
        <v>28</v>
      </c>
      <c r="C4270" s="9" t="n">
        <v>1197831</v>
      </c>
      <c r="D4270" s="10" t="n">
        <v>44439</v>
      </c>
      <c r="E4270" s="9" t="s">
        <v>29</v>
      </c>
      <c r="F4270" s="9" t="s">
        <v>30</v>
      </c>
      <c r="G4270" s="9" t="s">
        <v>41</v>
      </c>
      <c r="H4270" s="11" t="s">
        <v>22</v>
      </c>
      <c r="I4270" s="12" t="n">
        <v>25</v>
      </c>
      <c r="J4270" s="13" t="n">
        <v>152</v>
      </c>
      <c r="K4270" s="14" t="n">
        <f aca="false">I4270*J4270</f>
        <v>3800</v>
      </c>
      <c r="L4270" s="14" t="n">
        <f aca="false">($L$2*M4270)/100</f>
        <v>588816.585</v>
      </c>
      <c r="M4270" s="15" t="n">
        <v>0.49</v>
      </c>
      <c r="N4270" s="9" t="s">
        <v>85</v>
      </c>
    </row>
    <row r="4271" customFormat="false" ht="14.25" hidden="false" customHeight="true" outlineLevel="0" collapsed="false">
      <c r="B4271" s="9" t="s">
        <v>28</v>
      </c>
      <c r="C4271" s="9" t="n">
        <v>1197831</v>
      </c>
      <c r="D4271" s="10" t="n">
        <v>44440</v>
      </c>
      <c r="E4271" s="9" t="s">
        <v>29</v>
      </c>
      <c r="F4271" s="9" t="s">
        <v>30</v>
      </c>
      <c r="G4271" s="9" t="s">
        <v>41</v>
      </c>
      <c r="H4271" s="11" t="s">
        <v>23</v>
      </c>
      <c r="I4271" s="12" t="n">
        <v>29</v>
      </c>
      <c r="J4271" s="13" t="n">
        <v>128</v>
      </c>
      <c r="K4271" s="14" t="n">
        <f aca="false">I4271*J4271</f>
        <v>3712</v>
      </c>
      <c r="L4271" s="14" t="n">
        <f aca="false">($L$2*M4271)/100</f>
        <v>708983.235</v>
      </c>
      <c r="M4271" s="15" t="n">
        <v>0.59</v>
      </c>
      <c r="N4271" s="9" t="s">
        <v>85</v>
      </c>
    </row>
    <row r="4272" customFormat="false" ht="14.25" hidden="false" customHeight="true" outlineLevel="0" collapsed="false">
      <c r="B4272" s="9" t="s">
        <v>28</v>
      </c>
      <c r="C4272" s="9" t="n">
        <v>1197831</v>
      </c>
      <c r="D4272" s="10" t="n">
        <v>44441</v>
      </c>
      <c r="E4272" s="9" t="s">
        <v>29</v>
      </c>
      <c r="F4272" s="9" t="s">
        <v>30</v>
      </c>
      <c r="G4272" s="9" t="s">
        <v>41</v>
      </c>
      <c r="H4272" s="11" t="s">
        <v>24</v>
      </c>
      <c r="I4272" s="12" t="n">
        <v>34</v>
      </c>
      <c r="J4272" s="13" t="n">
        <v>85</v>
      </c>
      <c r="K4272" s="14" t="n">
        <f aca="false">I4272*J4272</f>
        <v>2890</v>
      </c>
      <c r="L4272" s="14" t="n">
        <f aca="false">($L$2*M4272)/100</f>
        <v>480666.6</v>
      </c>
      <c r="M4272" s="15" t="n">
        <v>0.4</v>
      </c>
      <c r="N4272" s="9" t="s">
        <v>85</v>
      </c>
    </row>
    <row r="4273" customFormat="false" ht="14.25" hidden="false" customHeight="true" outlineLevel="0" collapsed="false">
      <c r="B4273" s="9" t="s">
        <v>28</v>
      </c>
      <c r="C4273" s="9" t="n">
        <v>1197831</v>
      </c>
      <c r="D4273" s="10" t="n">
        <v>44442</v>
      </c>
      <c r="E4273" s="9" t="s">
        <v>29</v>
      </c>
      <c r="F4273" s="9" t="s">
        <v>30</v>
      </c>
      <c r="G4273" s="9" t="s">
        <v>41</v>
      </c>
      <c r="H4273" s="11" t="s">
        <v>25</v>
      </c>
      <c r="I4273" s="12" t="n">
        <v>29</v>
      </c>
      <c r="J4273" s="13" t="n">
        <v>156</v>
      </c>
      <c r="K4273" s="14" t="n">
        <f aca="false">I4273*J4273</f>
        <v>4524</v>
      </c>
      <c r="L4273" s="14" t="n">
        <f aca="false">($L$2*M4273)/100</f>
        <v>745033.23</v>
      </c>
      <c r="M4273" s="15" t="n">
        <v>0.62</v>
      </c>
      <c r="N4273" s="9" t="s">
        <v>85</v>
      </c>
    </row>
    <row r="4274" customFormat="false" ht="14.25" hidden="false" customHeight="true" outlineLevel="0" collapsed="false">
      <c r="B4274" s="9" t="s">
        <v>28</v>
      </c>
      <c r="C4274" s="9" t="n">
        <v>1197831</v>
      </c>
      <c r="D4274" s="10" t="n">
        <v>44443</v>
      </c>
      <c r="E4274" s="9" t="s">
        <v>29</v>
      </c>
      <c r="F4274" s="9" t="s">
        <v>30</v>
      </c>
      <c r="G4274" s="9" t="s">
        <v>41</v>
      </c>
      <c r="H4274" s="11" t="s">
        <v>19</v>
      </c>
      <c r="I4274" s="12" t="n">
        <v>19</v>
      </c>
      <c r="J4274" s="13" t="n">
        <v>195</v>
      </c>
      <c r="K4274" s="14" t="n">
        <f aca="false">I4274*J4274</f>
        <v>3705</v>
      </c>
      <c r="L4274" s="14" t="n">
        <f aca="false">($L$2*M4274)/100</f>
        <v>600833.25</v>
      </c>
      <c r="M4274" s="15" t="n">
        <v>0.5</v>
      </c>
      <c r="N4274" s="9" t="s">
        <v>85</v>
      </c>
    </row>
    <row r="4275" customFormat="false" ht="14.25" hidden="false" customHeight="true" outlineLevel="0" collapsed="false">
      <c r="B4275" s="9" t="s">
        <v>28</v>
      </c>
      <c r="C4275" s="9" t="n">
        <v>1197831</v>
      </c>
      <c r="D4275" s="10" t="n">
        <v>44444</v>
      </c>
      <c r="E4275" s="9" t="s">
        <v>29</v>
      </c>
      <c r="F4275" s="9" t="s">
        <v>30</v>
      </c>
      <c r="G4275" s="9" t="s">
        <v>41</v>
      </c>
      <c r="H4275" s="11" t="s">
        <v>21</v>
      </c>
      <c r="I4275" s="12" t="n">
        <v>29</v>
      </c>
      <c r="J4275" s="13" t="n">
        <v>194</v>
      </c>
      <c r="K4275" s="14" t="n">
        <f aca="false">I4275*J4275</f>
        <v>5626</v>
      </c>
      <c r="L4275" s="14" t="n">
        <f aca="false">($L$2*M4275)/100</f>
        <v>588816.585</v>
      </c>
      <c r="M4275" s="15" t="n">
        <v>0.49</v>
      </c>
      <c r="N4275" s="9" t="s">
        <v>85</v>
      </c>
    </row>
    <row r="4276" customFormat="false" ht="14.25" hidden="false" customHeight="true" outlineLevel="0" collapsed="false">
      <c r="B4276" s="9" t="s">
        <v>28</v>
      </c>
      <c r="C4276" s="9" t="n">
        <v>1197831</v>
      </c>
      <c r="D4276" s="10" t="n">
        <v>44445</v>
      </c>
      <c r="E4276" s="9" t="s">
        <v>29</v>
      </c>
      <c r="F4276" s="9" t="s">
        <v>30</v>
      </c>
      <c r="G4276" s="9" t="s">
        <v>41</v>
      </c>
      <c r="H4276" s="11" t="s">
        <v>22</v>
      </c>
      <c r="I4276" s="12" t="n">
        <v>24</v>
      </c>
      <c r="J4276" s="13" t="n">
        <v>175</v>
      </c>
      <c r="K4276" s="14" t="n">
        <f aca="false">I4276*J4276</f>
        <v>4200</v>
      </c>
      <c r="L4276" s="14" t="n">
        <f aca="false">($L$2*M4276)/100</f>
        <v>564783.255</v>
      </c>
      <c r="M4276" s="15" t="n">
        <v>0.47</v>
      </c>
      <c r="N4276" s="9" t="s">
        <v>85</v>
      </c>
    </row>
    <row r="4277" customFormat="false" ht="14.25" hidden="false" customHeight="true" outlineLevel="0" collapsed="false">
      <c r="B4277" s="9" t="s">
        <v>28</v>
      </c>
      <c r="C4277" s="9" t="n">
        <v>1197831</v>
      </c>
      <c r="D4277" s="10" t="n">
        <v>44446</v>
      </c>
      <c r="E4277" s="9" t="s">
        <v>29</v>
      </c>
      <c r="F4277" s="9" t="s">
        <v>30</v>
      </c>
      <c r="G4277" s="9" t="s">
        <v>41</v>
      </c>
      <c r="H4277" s="11" t="s">
        <v>23</v>
      </c>
      <c r="I4277" s="12" t="n">
        <v>34</v>
      </c>
      <c r="J4277" s="13" t="n">
        <v>154</v>
      </c>
      <c r="K4277" s="14" t="n">
        <f aca="false">I4277*J4277</f>
        <v>5236</v>
      </c>
      <c r="L4277" s="14" t="n">
        <f aca="false">($L$2*M4277)/100</f>
        <v>720999.9</v>
      </c>
      <c r="M4277" s="15" t="n">
        <v>0.6</v>
      </c>
      <c r="N4277" s="9" t="s">
        <v>85</v>
      </c>
    </row>
    <row r="4278" customFormat="false" ht="14.25" hidden="false" customHeight="true" outlineLevel="0" collapsed="false">
      <c r="B4278" s="9" t="s">
        <v>28</v>
      </c>
      <c r="C4278" s="9" t="n">
        <v>1197831</v>
      </c>
      <c r="D4278" s="10" t="n">
        <v>44447</v>
      </c>
      <c r="E4278" s="9" t="s">
        <v>29</v>
      </c>
      <c r="F4278" s="9" t="s">
        <v>30</v>
      </c>
      <c r="G4278" s="9" t="s">
        <v>41</v>
      </c>
      <c r="H4278" s="11" t="s">
        <v>24</v>
      </c>
      <c r="I4278" s="12" t="n">
        <v>49</v>
      </c>
      <c r="J4278" s="13" t="n">
        <v>131</v>
      </c>
      <c r="K4278" s="14" t="n">
        <f aca="false">I4278*J4278</f>
        <v>6419</v>
      </c>
      <c r="L4278" s="14" t="n">
        <f aca="false">($L$2*M4278)/100</f>
        <v>540749.925</v>
      </c>
      <c r="M4278" s="15" t="n">
        <v>0.45</v>
      </c>
      <c r="N4278" s="9" t="s">
        <v>85</v>
      </c>
    </row>
    <row r="4279" customFormat="false" ht="14.25" hidden="false" customHeight="true" outlineLevel="0" collapsed="false">
      <c r="B4279" s="9" t="s">
        <v>28</v>
      </c>
      <c r="C4279" s="9" t="n">
        <v>1197831</v>
      </c>
      <c r="D4279" s="10" t="n">
        <v>44448</v>
      </c>
      <c r="E4279" s="9" t="s">
        <v>29</v>
      </c>
      <c r="F4279" s="9" t="s">
        <v>30</v>
      </c>
      <c r="G4279" s="9" t="s">
        <v>41</v>
      </c>
      <c r="H4279" s="11" t="s">
        <v>25</v>
      </c>
      <c r="I4279" s="12" t="n">
        <v>43</v>
      </c>
      <c r="J4279" s="13" t="n">
        <v>224</v>
      </c>
      <c r="K4279" s="14" t="n">
        <f aca="false">I4279*J4279</f>
        <v>9632</v>
      </c>
      <c r="L4279" s="14" t="n">
        <f aca="false">($L$2*M4279)/100</f>
        <v>781083.225</v>
      </c>
      <c r="M4279" s="15" t="n">
        <v>0.65</v>
      </c>
      <c r="N4279" s="9" t="s">
        <v>85</v>
      </c>
    </row>
    <row r="4280" customFormat="false" ht="14.25" hidden="false" customHeight="true" outlineLevel="0" collapsed="false">
      <c r="B4280" s="9" t="s">
        <v>28</v>
      </c>
      <c r="C4280" s="9" t="n">
        <v>1197831</v>
      </c>
      <c r="D4280" s="10" t="n">
        <v>44449</v>
      </c>
      <c r="E4280" s="9" t="s">
        <v>29</v>
      </c>
      <c r="F4280" s="9" t="s">
        <v>30</v>
      </c>
      <c r="G4280" s="9" t="s">
        <v>41</v>
      </c>
      <c r="H4280" s="11" t="s">
        <v>19</v>
      </c>
      <c r="I4280" s="12" t="n">
        <v>41</v>
      </c>
      <c r="J4280" s="13" t="n">
        <v>224</v>
      </c>
      <c r="K4280" s="14" t="n">
        <f aca="false">I4280*J4280</f>
        <v>9184</v>
      </c>
      <c r="L4280" s="14" t="n">
        <f aca="false">($L$2*M4280)/100</f>
        <v>540749.925</v>
      </c>
      <c r="M4280" s="15" t="n">
        <v>0.45</v>
      </c>
      <c r="N4280" s="9" t="s">
        <v>85</v>
      </c>
    </row>
    <row r="4281" customFormat="false" ht="14.25" hidden="false" customHeight="true" outlineLevel="0" collapsed="false">
      <c r="B4281" s="9" t="s">
        <v>28</v>
      </c>
      <c r="C4281" s="9" t="n">
        <v>1197831</v>
      </c>
      <c r="D4281" s="10" t="n">
        <v>44450</v>
      </c>
      <c r="E4281" s="9" t="s">
        <v>29</v>
      </c>
      <c r="F4281" s="9" t="s">
        <v>30</v>
      </c>
      <c r="G4281" s="9" t="s">
        <v>41</v>
      </c>
      <c r="H4281" s="11" t="s">
        <v>21</v>
      </c>
      <c r="I4281" s="12" t="n">
        <v>49</v>
      </c>
      <c r="J4281" s="13" t="n">
        <v>200</v>
      </c>
      <c r="K4281" s="14" t="n">
        <f aca="false">I4281*J4281</f>
        <v>9800</v>
      </c>
      <c r="L4281" s="14" t="n">
        <f aca="false">($L$2*M4281)/100</f>
        <v>576799.92</v>
      </c>
      <c r="M4281" s="15" t="n">
        <v>0.48</v>
      </c>
      <c r="N4281" s="9" t="s">
        <v>85</v>
      </c>
    </row>
    <row r="4282" customFormat="false" ht="14.25" hidden="false" customHeight="true" outlineLevel="0" collapsed="false">
      <c r="B4282" s="9" t="s">
        <v>28</v>
      </c>
      <c r="C4282" s="9" t="n">
        <v>1197831</v>
      </c>
      <c r="D4282" s="10" t="n">
        <v>44451</v>
      </c>
      <c r="E4282" s="9" t="s">
        <v>29</v>
      </c>
      <c r="F4282" s="9" t="s">
        <v>30</v>
      </c>
      <c r="G4282" s="9" t="s">
        <v>41</v>
      </c>
      <c r="H4282" s="11" t="s">
        <v>22</v>
      </c>
      <c r="I4282" s="12" t="n">
        <v>44</v>
      </c>
      <c r="J4282" s="13" t="n">
        <v>176</v>
      </c>
      <c r="K4282" s="14" t="n">
        <f aca="false">I4282*J4282</f>
        <v>7744</v>
      </c>
      <c r="L4282" s="14" t="n">
        <f aca="false">($L$2*M4282)/100</f>
        <v>564783.255</v>
      </c>
      <c r="M4282" s="15" t="n">
        <v>0.47</v>
      </c>
      <c r="N4282" s="9" t="s">
        <v>85</v>
      </c>
    </row>
    <row r="4283" customFormat="false" ht="14.25" hidden="false" customHeight="true" outlineLevel="0" collapsed="false">
      <c r="B4283" s="9" t="s">
        <v>28</v>
      </c>
      <c r="C4283" s="9" t="n">
        <v>1197831</v>
      </c>
      <c r="D4283" s="10" t="n">
        <v>44452</v>
      </c>
      <c r="E4283" s="9" t="s">
        <v>29</v>
      </c>
      <c r="F4283" s="9" t="s">
        <v>30</v>
      </c>
      <c r="G4283" s="9" t="s">
        <v>41</v>
      </c>
      <c r="H4283" s="11" t="s">
        <v>23</v>
      </c>
      <c r="I4283" s="12" t="n">
        <v>43</v>
      </c>
      <c r="J4283" s="13" t="n">
        <v>174</v>
      </c>
      <c r="K4283" s="14" t="n">
        <f aca="false">I4283*J4283</f>
        <v>7482</v>
      </c>
      <c r="L4283" s="14" t="n">
        <f aca="false">($L$2*M4283)/100</f>
        <v>660916.575</v>
      </c>
      <c r="M4283" s="15" t="n">
        <v>0.55</v>
      </c>
      <c r="N4283" s="9" t="s">
        <v>85</v>
      </c>
    </row>
    <row r="4284" customFormat="false" ht="14.25" hidden="false" customHeight="true" outlineLevel="0" collapsed="false">
      <c r="B4284" s="9" t="s">
        <v>28</v>
      </c>
      <c r="C4284" s="9" t="n">
        <v>1197831</v>
      </c>
      <c r="D4284" s="10" t="n">
        <v>44453</v>
      </c>
      <c r="E4284" s="9" t="s">
        <v>29</v>
      </c>
      <c r="F4284" s="9" t="s">
        <v>30</v>
      </c>
      <c r="G4284" s="9" t="s">
        <v>41</v>
      </c>
      <c r="H4284" s="11" t="s">
        <v>24</v>
      </c>
      <c r="I4284" s="12" t="n">
        <v>45</v>
      </c>
      <c r="J4284" s="13" t="n">
        <v>145</v>
      </c>
      <c r="K4284" s="14" t="n">
        <f aca="false">I4284*J4284</f>
        <v>6525</v>
      </c>
      <c r="L4284" s="14" t="n">
        <f aca="false">($L$2*M4284)/100</f>
        <v>516716.595</v>
      </c>
      <c r="M4284" s="15" t="n">
        <v>0.43</v>
      </c>
      <c r="N4284" s="9" t="s">
        <v>85</v>
      </c>
    </row>
    <row r="4285" customFormat="false" ht="14.25" hidden="false" customHeight="true" outlineLevel="0" collapsed="false">
      <c r="B4285" s="9" t="s">
        <v>28</v>
      </c>
      <c r="C4285" s="9" t="n">
        <v>1197831</v>
      </c>
      <c r="D4285" s="10" t="n">
        <v>44454</v>
      </c>
      <c r="E4285" s="9" t="s">
        <v>29</v>
      </c>
      <c r="F4285" s="9" t="s">
        <v>30</v>
      </c>
      <c r="G4285" s="9" t="s">
        <v>41</v>
      </c>
      <c r="H4285" s="11" t="s">
        <v>25</v>
      </c>
      <c r="I4285" s="12" t="n">
        <v>53</v>
      </c>
      <c r="J4285" s="13" t="n">
        <v>263</v>
      </c>
      <c r="K4285" s="14" t="n">
        <f aca="false">I4285*J4285</f>
        <v>13939</v>
      </c>
      <c r="L4285" s="14" t="n">
        <f aca="false">($L$2*M4285)/100</f>
        <v>757049.895</v>
      </c>
      <c r="M4285" s="15" t="n">
        <v>0.63</v>
      </c>
      <c r="N4285" s="9" t="s">
        <v>85</v>
      </c>
    </row>
    <row r="4286" customFormat="false" ht="14.25" hidden="false" customHeight="true" outlineLevel="0" collapsed="false">
      <c r="B4286" s="9" t="s">
        <v>28</v>
      </c>
      <c r="C4286" s="9" t="n">
        <v>1197831</v>
      </c>
      <c r="D4286" s="10" t="n">
        <v>44455</v>
      </c>
      <c r="E4286" s="9" t="s">
        <v>29</v>
      </c>
      <c r="F4286" s="9" t="s">
        <v>30</v>
      </c>
      <c r="G4286" s="9" t="s">
        <v>41</v>
      </c>
      <c r="H4286" s="11" t="s">
        <v>19</v>
      </c>
      <c r="I4286" s="12" t="n">
        <v>41</v>
      </c>
      <c r="J4286" s="13" t="n">
        <v>231</v>
      </c>
      <c r="K4286" s="14" t="n">
        <f aca="false">I4286*J4286</f>
        <v>9471</v>
      </c>
      <c r="L4286" s="14" t="n">
        <f aca="false">($L$2*M4286)/100</f>
        <v>624866.58</v>
      </c>
      <c r="M4286" s="15" t="n">
        <v>0.52</v>
      </c>
      <c r="N4286" s="9" t="s">
        <v>85</v>
      </c>
    </row>
    <row r="4287" customFormat="false" ht="14.25" hidden="false" customHeight="true" outlineLevel="0" collapsed="false">
      <c r="B4287" s="9" t="s">
        <v>28</v>
      </c>
      <c r="C4287" s="9" t="n">
        <v>1197831</v>
      </c>
      <c r="D4287" s="10" t="n">
        <v>44456</v>
      </c>
      <c r="E4287" s="9" t="s">
        <v>29</v>
      </c>
      <c r="F4287" s="9" t="s">
        <v>30</v>
      </c>
      <c r="G4287" s="9" t="s">
        <v>41</v>
      </c>
      <c r="H4287" s="11" t="s">
        <v>21</v>
      </c>
      <c r="I4287" s="12" t="n">
        <v>48</v>
      </c>
      <c r="J4287" s="13" t="n">
        <v>215</v>
      </c>
      <c r="K4287" s="14" t="n">
        <f aca="false">I4287*J4287</f>
        <v>10320</v>
      </c>
      <c r="L4287" s="14" t="n">
        <f aca="false">($L$2*M4287)/100</f>
        <v>648899.91</v>
      </c>
      <c r="M4287" s="15" t="n">
        <v>0.54</v>
      </c>
      <c r="N4287" s="9" t="s">
        <v>85</v>
      </c>
    </row>
    <row r="4288" customFormat="false" ht="14.25" hidden="false" customHeight="true" outlineLevel="0" collapsed="false">
      <c r="B4288" s="9" t="s">
        <v>28</v>
      </c>
      <c r="C4288" s="9" t="n">
        <v>1197831</v>
      </c>
      <c r="D4288" s="10" t="n">
        <v>44457</v>
      </c>
      <c r="E4288" s="9" t="s">
        <v>29</v>
      </c>
      <c r="F4288" s="9" t="s">
        <v>30</v>
      </c>
      <c r="G4288" s="9" t="s">
        <v>41</v>
      </c>
      <c r="H4288" s="11" t="s">
        <v>22</v>
      </c>
      <c r="I4288" s="12" t="n">
        <v>44</v>
      </c>
      <c r="J4288" s="13" t="n">
        <v>254</v>
      </c>
      <c r="K4288" s="14" t="n">
        <f aca="false">I4288*J4288</f>
        <v>11176</v>
      </c>
      <c r="L4288" s="14" t="n">
        <f aca="false">($L$2*M4288)/100</f>
        <v>660916.575</v>
      </c>
      <c r="M4288" s="15" t="n">
        <v>0.55</v>
      </c>
      <c r="N4288" s="9" t="s">
        <v>85</v>
      </c>
    </row>
    <row r="4289" customFormat="false" ht="14.25" hidden="false" customHeight="true" outlineLevel="0" collapsed="false">
      <c r="B4289" s="9" t="s">
        <v>28</v>
      </c>
      <c r="C4289" s="9" t="n">
        <v>1197831</v>
      </c>
      <c r="D4289" s="10" t="n">
        <v>44458</v>
      </c>
      <c r="E4289" s="9" t="s">
        <v>29</v>
      </c>
      <c r="F4289" s="9" t="s">
        <v>30</v>
      </c>
      <c r="G4289" s="9" t="s">
        <v>41</v>
      </c>
      <c r="H4289" s="11" t="s">
        <v>23</v>
      </c>
      <c r="I4289" s="12" t="n">
        <v>43</v>
      </c>
      <c r="J4289" s="13" t="n">
        <v>150</v>
      </c>
      <c r="K4289" s="14" t="n">
        <f aca="false">I4289*J4289</f>
        <v>6450</v>
      </c>
      <c r="L4289" s="14" t="n">
        <f aca="false">($L$2*M4289)/100</f>
        <v>733016.565</v>
      </c>
      <c r="M4289" s="15" t="n">
        <v>0.61</v>
      </c>
      <c r="N4289" s="9" t="s">
        <v>85</v>
      </c>
    </row>
    <row r="4290" customFormat="false" ht="14.25" hidden="false" customHeight="true" outlineLevel="0" collapsed="false">
      <c r="B4290" s="9" t="s">
        <v>28</v>
      </c>
      <c r="C4290" s="9" t="n">
        <v>1197831</v>
      </c>
      <c r="D4290" s="10" t="n">
        <v>44459</v>
      </c>
      <c r="E4290" s="9" t="s">
        <v>29</v>
      </c>
      <c r="F4290" s="9" t="s">
        <v>30</v>
      </c>
      <c r="G4290" s="9" t="s">
        <v>41</v>
      </c>
      <c r="H4290" s="11" t="s">
        <v>24</v>
      </c>
      <c r="I4290" s="12" t="n">
        <v>47</v>
      </c>
      <c r="J4290" s="13" t="n">
        <v>167</v>
      </c>
      <c r="K4290" s="14" t="n">
        <f aca="false">I4290*J4290</f>
        <v>7849</v>
      </c>
      <c r="L4290" s="14" t="n">
        <f aca="false">($L$2*M4290)/100</f>
        <v>552766.59</v>
      </c>
      <c r="M4290" s="15" t="n">
        <v>0.46</v>
      </c>
      <c r="N4290" s="9" t="s">
        <v>85</v>
      </c>
    </row>
    <row r="4291" customFormat="false" ht="14.25" hidden="false" customHeight="true" outlineLevel="0" collapsed="false">
      <c r="B4291" s="9" t="s">
        <v>28</v>
      </c>
      <c r="C4291" s="9" t="n">
        <v>1197831</v>
      </c>
      <c r="D4291" s="10" t="n">
        <v>44460</v>
      </c>
      <c r="E4291" s="9" t="s">
        <v>29</v>
      </c>
      <c r="F4291" s="9" t="s">
        <v>30</v>
      </c>
      <c r="G4291" s="9" t="s">
        <v>41</v>
      </c>
      <c r="H4291" s="11" t="s">
        <v>25</v>
      </c>
      <c r="I4291" s="12" t="n">
        <v>54</v>
      </c>
      <c r="J4291" s="13" t="n">
        <v>255</v>
      </c>
      <c r="K4291" s="14" t="n">
        <f aca="false">I4291*J4291</f>
        <v>13770</v>
      </c>
      <c r="L4291" s="14" t="n">
        <f aca="false">($L$2*M4291)/100</f>
        <v>805116.555</v>
      </c>
      <c r="M4291" s="15" t="n">
        <v>0.67</v>
      </c>
      <c r="N4291" s="9" t="s">
        <v>85</v>
      </c>
    </row>
    <row r="4292" customFormat="false" ht="14.25" hidden="false" customHeight="true" outlineLevel="0" collapsed="false">
      <c r="B4292" s="9" t="s">
        <v>28</v>
      </c>
      <c r="C4292" s="9" t="n">
        <v>1197831</v>
      </c>
      <c r="D4292" s="10" t="n">
        <v>44461</v>
      </c>
      <c r="E4292" s="9" t="s">
        <v>29</v>
      </c>
      <c r="F4292" s="9" t="s">
        <v>30</v>
      </c>
      <c r="G4292" s="9" t="s">
        <v>41</v>
      </c>
      <c r="H4292" s="11" t="s">
        <v>19</v>
      </c>
      <c r="I4292" s="12" t="n">
        <v>49</v>
      </c>
      <c r="J4292" s="13" t="n">
        <v>208</v>
      </c>
      <c r="K4292" s="14" t="n">
        <f aca="false">I4292*J4292</f>
        <v>10192</v>
      </c>
      <c r="L4292" s="14" t="n">
        <f aca="false">($L$2*M4292)/100</f>
        <v>612849.915</v>
      </c>
      <c r="M4292" s="15" t="n">
        <v>0.51</v>
      </c>
      <c r="N4292" s="9" t="s">
        <v>85</v>
      </c>
    </row>
    <row r="4293" customFormat="false" ht="14.25" hidden="false" customHeight="true" outlineLevel="0" collapsed="false">
      <c r="B4293" s="9" t="s">
        <v>28</v>
      </c>
      <c r="C4293" s="9" t="n">
        <v>1197831</v>
      </c>
      <c r="D4293" s="10" t="n">
        <v>44462</v>
      </c>
      <c r="E4293" s="9" t="s">
        <v>29</v>
      </c>
      <c r="F4293" s="9" t="s">
        <v>30</v>
      </c>
      <c r="G4293" s="9" t="s">
        <v>41</v>
      </c>
      <c r="H4293" s="11" t="s">
        <v>21</v>
      </c>
      <c r="I4293" s="12" t="n">
        <v>53</v>
      </c>
      <c r="J4293" s="13" t="n">
        <v>208</v>
      </c>
      <c r="K4293" s="14" t="n">
        <f aca="false">I4293*J4293</f>
        <v>11024</v>
      </c>
      <c r="L4293" s="14" t="n">
        <f aca="false">($L$2*M4293)/100</f>
        <v>600833.25</v>
      </c>
      <c r="M4293" s="15" t="n">
        <v>0.5</v>
      </c>
      <c r="N4293" s="9" t="s">
        <v>85</v>
      </c>
    </row>
    <row r="4294" customFormat="false" ht="14.25" hidden="false" customHeight="true" outlineLevel="0" collapsed="false">
      <c r="B4294" s="9" t="s">
        <v>28</v>
      </c>
      <c r="C4294" s="9" t="n">
        <v>1197831</v>
      </c>
      <c r="D4294" s="10" t="n">
        <v>44463</v>
      </c>
      <c r="E4294" s="9" t="s">
        <v>29</v>
      </c>
      <c r="F4294" s="9" t="s">
        <v>30</v>
      </c>
      <c r="G4294" s="9" t="s">
        <v>41</v>
      </c>
      <c r="H4294" s="11" t="s">
        <v>22</v>
      </c>
      <c r="I4294" s="12" t="n">
        <v>46</v>
      </c>
      <c r="J4294" s="13" t="n">
        <v>273</v>
      </c>
      <c r="K4294" s="14" t="n">
        <f aca="false">I4294*J4294</f>
        <v>12558</v>
      </c>
      <c r="L4294" s="14" t="n">
        <f aca="false">($L$2*M4294)/100</f>
        <v>660916.575</v>
      </c>
      <c r="M4294" s="15" t="n">
        <v>0.55</v>
      </c>
      <c r="N4294" s="9" t="s">
        <v>85</v>
      </c>
    </row>
    <row r="4295" customFormat="false" ht="14.25" hidden="false" customHeight="true" outlineLevel="0" collapsed="false">
      <c r="B4295" s="9" t="s">
        <v>28</v>
      </c>
      <c r="C4295" s="9" t="n">
        <v>1197831</v>
      </c>
      <c r="D4295" s="10" t="n">
        <v>44464</v>
      </c>
      <c r="E4295" s="9" t="s">
        <v>29</v>
      </c>
      <c r="F4295" s="9" t="s">
        <v>30</v>
      </c>
      <c r="G4295" s="9" t="s">
        <v>41</v>
      </c>
      <c r="H4295" s="11" t="s">
        <v>23</v>
      </c>
      <c r="I4295" s="12" t="n">
        <v>47</v>
      </c>
      <c r="J4295" s="13" t="n">
        <v>147</v>
      </c>
      <c r="K4295" s="14" t="n">
        <f aca="false">I4295*J4295</f>
        <v>6909</v>
      </c>
      <c r="L4295" s="14" t="n">
        <f aca="false">($L$2*M4295)/100</f>
        <v>781083.225</v>
      </c>
      <c r="M4295" s="15" t="n">
        <v>0.65</v>
      </c>
      <c r="N4295" s="9" t="s">
        <v>85</v>
      </c>
    </row>
    <row r="4296" customFormat="false" ht="14.25" hidden="false" customHeight="true" outlineLevel="0" collapsed="false">
      <c r="B4296" s="9" t="s">
        <v>28</v>
      </c>
      <c r="C4296" s="9" t="n">
        <v>1197831</v>
      </c>
      <c r="D4296" s="10" t="n">
        <v>44465</v>
      </c>
      <c r="E4296" s="9" t="s">
        <v>29</v>
      </c>
      <c r="F4296" s="9" t="s">
        <v>30</v>
      </c>
      <c r="G4296" s="9" t="s">
        <v>41</v>
      </c>
      <c r="H4296" s="11" t="s">
        <v>24</v>
      </c>
      <c r="I4296" s="12" t="n">
        <v>53</v>
      </c>
      <c r="J4296" s="13" t="n">
        <v>142</v>
      </c>
      <c r="K4296" s="14" t="n">
        <f aca="false">I4296*J4296</f>
        <v>7526</v>
      </c>
      <c r="L4296" s="14" t="n">
        <f aca="false">($L$2*M4296)/100</f>
        <v>576799.92</v>
      </c>
      <c r="M4296" s="15" t="n">
        <v>0.48</v>
      </c>
      <c r="N4296" s="9" t="s">
        <v>85</v>
      </c>
    </row>
    <row r="4297" customFormat="false" ht="14.25" hidden="false" customHeight="true" outlineLevel="0" collapsed="false">
      <c r="B4297" s="9" t="s">
        <v>28</v>
      </c>
      <c r="C4297" s="9" t="n">
        <v>1197831</v>
      </c>
      <c r="D4297" s="10" t="n">
        <v>44466</v>
      </c>
      <c r="E4297" s="9" t="s">
        <v>29</v>
      </c>
      <c r="F4297" s="9" t="s">
        <v>30</v>
      </c>
      <c r="G4297" s="9" t="s">
        <v>41</v>
      </c>
      <c r="H4297" s="11" t="s">
        <v>25</v>
      </c>
      <c r="I4297" s="12" t="n">
        <v>56</v>
      </c>
      <c r="J4297" s="13" t="n">
        <v>233</v>
      </c>
      <c r="K4297" s="14" t="n">
        <f aca="false">I4297*J4297</f>
        <v>13048</v>
      </c>
      <c r="L4297" s="14" t="n">
        <f aca="false">($L$2*M4297)/100</f>
        <v>841166.55</v>
      </c>
      <c r="M4297" s="15" t="n">
        <v>0.7</v>
      </c>
      <c r="N4297" s="9" t="s">
        <v>85</v>
      </c>
    </row>
    <row r="4298" customFormat="false" ht="14.25" hidden="false" customHeight="true" outlineLevel="0" collapsed="false">
      <c r="B4298" s="9" t="s">
        <v>28</v>
      </c>
      <c r="C4298" s="9" t="n">
        <v>1197831</v>
      </c>
      <c r="D4298" s="10" t="n">
        <v>44467</v>
      </c>
      <c r="E4298" s="9" t="s">
        <v>29</v>
      </c>
      <c r="F4298" s="9" t="s">
        <v>30</v>
      </c>
      <c r="G4298" s="9" t="s">
        <v>41</v>
      </c>
      <c r="H4298" s="11" t="s">
        <v>19</v>
      </c>
      <c r="I4298" s="12" t="n">
        <v>53</v>
      </c>
      <c r="J4298" s="13" t="n">
        <v>181</v>
      </c>
      <c r="K4298" s="14" t="n">
        <f aca="false">I4298*J4298</f>
        <v>9593</v>
      </c>
      <c r="L4298" s="14" t="n">
        <f aca="false">($L$2*M4298)/100</f>
        <v>660916.575</v>
      </c>
      <c r="M4298" s="15" t="n">
        <v>0.55</v>
      </c>
      <c r="N4298" s="9" t="s">
        <v>85</v>
      </c>
    </row>
    <row r="4299" customFormat="false" ht="14.25" hidden="false" customHeight="true" outlineLevel="0" collapsed="false">
      <c r="B4299" s="9" t="s">
        <v>28</v>
      </c>
      <c r="C4299" s="9" t="n">
        <v>1197831</v>
      </c>
      <c r="D4299" s="10" t="n">
        <v>44468</v>
      </c>
      <c r="E4299" s="9" t="s">
        <v>29</v>
      </c>
      <c r="F4299" s="9" t="s">
        <v>30</v>
      </c>
      <c r="G4299" s="9" t="s">
        <v>41</v>
      </c>
      <c r="H4299" s="11" t="s">
        <v>21</v>
      </c>
      <c r="I4299" s="12" t="n">
        <v>54</v>
      </c>
      <c r="J4299" s="13" t="n">
        <v>176</v>
      </c>
      <c r="K4299" s="14" t="n">
        <f aca="false">I4299*J4299</f>
        <v>9504</v>
      </c>
      <c r="L4299" s="14" t="n">
        <f aca="false">($L$2*M4299)/100</f>
        <v>612849.915</v>
      </c>
      <c r="M4299" s="15" t="n">
        <v>0.51</v>
      </c>
      <c r="N4299" s="9" t="s">
        <v>85</v>
      </c>
    </row>
    <row r="4300" customFormat="false" ht="14.25" hidden="false" customHeight="true" outlineLevel="0" collapsed="false">
      <c r="B4300" s="9" t="s">
        <v>28</v>
      </c>
      <c r="C4300" s="9" t="n">
        <v>1197831</v>
      </c>
      <c r="D4300" s="10" t="n">
        <v>44469</v>
      </c>
      <c r="E4300" s="9" t="s">
        <v>29</v>
      </c>
      <c r="F4300" s="9" t="s">
        <v>30</v>
      </c>
      <c r="G4300" s="9" t="s">
        <v>41</v>
      </c>
      <c r="H4300" s="11" t="s">
        <v>22</v>
      </c>
      <c r="I4300" s="12" t="n">
        <v>59</v>
      </c>
      <c r="J4300" s="13" t="n">
        <v>203</v>
      </c>
      <c r="K4300" s="14" t="n">
        <f aca="false">I4300*J4300</f>
        <v>11977</v>
      </c>
      <c r="L4300" s="14" t="n">
        <f aca="false">($L$2*M4300)/100</f>
        <v>636883.245</v>
      </c>
      <c r="M4300" s="15" t="n">
        <v>0.53</v>
      </c>
      <c r="N4300" s="9" t="s">
        <v>85</v>
      </c>
    </row>
    <row r="4301" customFormat="false" ht="14.25" hidden="false" customHeight="true" outlineLevel="0" collapsed="false">
      <c r="B4301" s="9" t="s">
        <v>28</v>
      </c>
      <c r="C4301" s="9" t="n">
        <v>1197831</v>
      </c>
      <c r="D4301" s="10" t="n">
        <v>44470</v>
      </c>
      <c r="E4301" s="9" t="s">
        <v>29</v>
      </c>
      <c r="F4301" s="9" t="s">
        <v>30</v>
      </c>
      <c r="G4301" s="9" t="s">
        <v>41</v>
      </c>
      <c r="H4301" s="11" t="s">
        <v>23</v>
      </c>
      <c r="I4301" s="12" t="n">
        <v>56</v>
      </c>
      <c r="J4301" s="13" t="n">
        <v>126</v>
      </c>
      <c r="K4301" s="14" t="n">
        <f aca="false">I4301*J4301</f>
        <v>7056</v>
      </c>
      <c r="L4301" s="14" t="n">
        <f aca="false">($L$2*M4301)/100</f>
        <v>781083.225</v>
      </c>
      <c r="M4301" s="15" t="n">
        <v>0.65</v>
      </c>
      <c r="N4301" s="9" t="s">
        <v>85</v>
      </c>
    </row>
    <row r="4302" customFormat="false" ht="14.25" hidden="false" customHeight="true" outlineLevel="0" collapsed="false">
      <c r="B4302" s="9" t="s">
        <v>28</v>
      </c>
      <c r="C4302" s="9" t="n">
        <v>1197831</v>
      </c>
      <c r="D4302" s="10" t="n">
        <v>44471</v>
      </c>
      <c r="E4302" s="9" t="s">
        <v>29</v>
      </c>
      <c r="F4302" s="9" t="s">
        <v>30</v>
      </c>
      <c r="G4302" s="9" t="s">
        <v>41</v>
      </c>
      <c r="H4302" s="11" t="s">
        <v>24</v>
      </c>
      <c r="I4302" s="12" t="n">
        <v>53</v>
      </c>
      <c r="J4302" s="13" t="n">
        <v>135</v>
      </c>
      <c r="K4302" s="14" t="n">
        <f aca="false">I4302*J4302</f>
        <v>7155</v>
      </c>
      <c r="L4302" s="14" t="n">
        <f aca="false">($L$2*M4302)/100</f>
        <v>588816.585</v>
      </c>
      <c r="M4302" s="15" t="n">
        <v>0.49</v>
      </c>
      <c r="N4302" s="9" t="s">
        <v>85</v>
      </c>
    </row>
    <row r="4303" customFormat="false" ht="14.25" hidden="false" customHeight="true" outlineLevel="0" collapsed="false">
      <c r="B4303" s="9" t="s">
        <v>28</v>
      </c>
      <c r="C4303" s="9" t="n">
        <v>1197831</v>
      </c>
      <c r="D4303" s="10" t="n">
        <v>44472</v>
      </c>
      <c r="E4303" s="9" t="s">
        <v>29</v>
      </c>
      <c r="F4303" s="9" t="s">
        <v>30</v>
      </c>
      <c r="G4303" s="9" t="s">
        <v>41</v>
      </c>
      <c r="H4303" s="11" t="s">
        <v>25</v>
      </c>
      <c r="I4303" s="12" t="n">
        <v>48</v>
      </c>
      <c r="J4303" s="13" t="n">
        <v>203</v>
      </c>
      <c r="K4303" s="14" t="n">
        <f aca="false">I4303*J4303</f>
        <v>9744</v>
      </c>
      <c r="L4303" s="14" t="n">
        <f aca="false">($L$2*M4303)/100</f>
        <v>841166.55</v>
      </c>
      <c r="M4303" s="15" t="n">
        <v>0.7</v>
      </c>
      <c r="N4303" s="9" t="s">
        <v>85</v>
      </c>
    </row>
    <row r="4304" customFormat="false" ht="14.25" hidden="false" customHeight="true" outlineLevel="0" collapsed="false">
      <c r="B4304" s="9" t="s">
        <v>28</v>
      </c>
      <c r="C4304" s="9" t="n">
        <v>1197831</v>
      </c>
      <c r="D4304" s="10" t="n">
        <v>44473</v>
      </c>
      <c r="E4304" s="9" t="s">
        <v>29</v>
      </c>
      <c r="F4304" s="9" t="s">
        <v>30</v>
      </c>
      <c r="G4304" s="9" t="s">
        <v>41</v>
      </c>
      <c r="H4304" s="11" t="s">
        <v>19</v>
      </c>
      <c r="I4304" s="12" t="n">
        <v>39</v>
      </c>
      <c r="J4304" s="13" t="n">
        <v>156</v>
      </c>
      <c r="K4304" s="14" t="n">
        <f aca="false">I4304*J4304</f>
        <v>6084</v>
      </c>
      <c r="L4304" s="14" t="n">
        <f aca="false">($L$2*M4304)/100</f>
        <v>600833.25</v>
      </c>
      <c r="M4304" s="15" t="n">
        <v>0.5</v>
      </c>
      <c r="N4304" s="9" t="s">
        <v>85</v>
      </c>
    </row>
    <row r="4305" customFormat="false" ht="14.25" hidden="false" customHeight="true" outlineLevel="0" collapsed="false">
      <c r="B4305" s="9" t="s">
        <v>28</v>
      </c>
      <c r="C4305" s="9" t="n">
        <v>1197831</v>
      </c>
      <c r="D4305" s="10" t="n">
        <v>44474</v>
      </c>
      <c r="E4305" s="9" t="s">
        <v>29</v>
      </c>
      <c r="F4305" s="9" t="s">
        <v>30</v>
      </c>
      <c r="G4305" s="9" t="s">
        <v>41</v>
      </c>
      <c r="H4305" s="11" t="s">
        <v>21</v>
      </c>
      <c r="I4305" s="12" t="n">
        <v>38</v>
      </c>
      <c r="J4305" s="13" t="n">
        <v>169</v>
      </c>
      <c r="K4305" s="14" t="n">
        <f aca="false">I4305*J4305</f>
        <v>6422</v>
      </c>
      <c r="L4305" s="14" t="n">
        <f aca="false">($L$2*M4305)/100</f>
        <v>612849.915</v>
      </c>
      <c r="M4305" s="15" t="n">
        <v>0.51</v>
      </c>
      <c r="N4305" s="9" t="s">
        <v>85</v>
      </c>
    </row>
    <row r="4306" customFormat="false" ht="14.25" hidden="false" customHeight="true" outlineLevel="0" collapsed="false">
      <c r="B4306" s="9" t="s">
        <v>28</v>
      </c>
      <c r="C4306" s="9" t="n">
        <v>1197831</v>
      </c>
      <c r="D4306" s="10" t="n">
        <v>44475</v>
      </c>
      <c r="E4306" s="9" t="s">
        <v>29</v>
      </c>
      <c r="F4306" s="9" t="s">
        <v>30</v>
      </c>
      <c r="G4306" s="9" t="s">
        <v>41</v>
      </c>
      <c r="H4306" s="11" t="s">
        <v>22</v>
      </c>
      <c r="I4306" s="12" t="n">
        <v>41</v>
      </c>
      <c r="J4306" s="13" t="n">
        <v>144</v>
      </c>
      <c r="K4306" s="14" t="n">
        <f aca="false">I4306*J4306</f>
        <v>5904</v>
      </c>
      <c r="L4306" s="14" t="n">
        <f aca="false">($L$2*M4306)/100</f>
        <v>624866.58</v>
      </c>
      <c r="M4306" s="15" t="n">
        <v>0.52</v>
      </c>
      <c r="N4306" s="9" t="s">
        <v>85</v>
      </c>
    </row>
    <row r="4307" customFormat="false" ht="14.25" hidden="false" customHeight="true" outlineLevel="0" collapsed="false">
      <c r="B4307" s="9" t="s">
        <v>28</v>
      </c>
      <c r="C4307" s="9" t="n">
        <v>1197831</v>
      </c>
      <c r="D4307" s="10" t="n">
        <v>44476</v>
      </c>
      <c r="E4307" s="9" t="s">
        <v>29</v>
      </c>
      <c r="F4307" s="9" t="s">
        <v>30</v>
      </c>
      <c r="G4307" s="9" t="s">
        <v>41</v>
      </c>
      <c r="H4307" s="11" t="s">
        <v>23</v>
      </c>
      <c r="I4307" s="12" t="n">
        <v>41</v>
      </c>
      <c r="J4307" s="13" t="n">
        <v>111</v>
      </c>
      <c r="K4307" s="14" t="n">
        <f aca="false">I4307*J4307</f>
        <v>4551</v>
      </c>
      <c r="L4307" s="14" t="n">
        <f aca="false">($L$2*M4307)/100</f>
        <v>720999.9</v>
      </c>
      <c r="M4307" s="15" t="n">
        <v>0.6</v>
      </c>
      <c r="N4307" s="9" t="s">
        <v>85</v>
      </c>
    </row>
    <row r="4308" customFormat="false" ht="14.25" hidden="false" customHeight="true" outlineLevel="0" collapsed="false">
      <c r="B4308" s="9" t="s">
        <v>28</v>
      </c>
      <c r="C4308" s="9" t="n">
        <v>1197831</v>
      </c>
      <c r="D4308" s="10" t="n">
        <v>44477</v>
      </c>
      <c r="E4308" s="9" t="s">
        <v>29</v>
      </c>
      <c r="F4308" s="9" t="s">
        <v>30</v>
      </c>
      <c r="G4308" s="9" t="s">
        <v>41</v>
      </c>
      <c r="H4308" s="11" t="s">
        <v>24</v>
      </c>
      <c r="I4308" s="12" t="n">
        <v>36</v>
      </c>
      <c r="J4308" s="13" t="n">
        <v>100</v>
      </c>
      <c r="K4308" s="14" t="n">
        <f aca="false">I4308*J4308</f>
        <v>3600</v>
      </c>
      <c r="L4308" s="14" t="n">
        <f aca="false">($L$2*M4308)/100</f>
        <v>540749.925</v>
      </c>
      <c r="M4308" s="15" t="n">
        <v>0.45</v>
      </c>
      <c r="N4308" s="9" t="s">
        <v>85</v>
      </c>
    </row>
    <row r="4309" customFormat="false" ht="14.25" hidden="false" customHeight="true" outlineLevel="0" collapsed="false">
      <c r="B4309" s="9" t="s">
        <v>28</v>
      </c>
      <c r="C4309" s="9" t="n">
        <v>1197831</v>
      </c>
      <c r="D4309" s="10" t="n">
        <v>44478</v>
      </c>
      <c r="E4309" s="9" t="s">
        <v>29</v>
      </c>
      <c r="F4309" s="9" t="s">
        <v>30</v>
      </c>
      <c r="G4309" s="9" t="s">
        <v>41</v>
      </c>
      <c r="H4309" s="11" t="s">
        <v>25</v>
      </c>
      <c r="I4309" s="12" t="n">
        <v>45</v>
      </c>
      <c r="J4309" s="13" t="n">
        <v>161</v>
      </c>
      <c r="K4309" s="14" t="n">
        <f aca="false">I4309*J4309</f>
        <v>7245</v>
      </c>
      <c r="L4309" s="14" t="n">
        <f aca="false">($L$2*M4309)/100</f>
        <v>841166.55</v>
      </c>
      <c r="M4309" s="15" t="n">
        <v>0.7</v>
      </c>
      <c r="N4309" s="9" t="s">
        <v>85</v>
      </c>
    </row>
    <row r="4310" customFormat="false" ht="14.25" hidden="false" customHeight="true" outlineLevel="0" collapsed="false">
      <c r="B4310" s="9" t="s">
        <v>28</v>
      </c>
      <c r="C4310" s="9" t="n">
        <v>1197831</v>
      </c>
      <c r="D4310" s="10" t="n">
        <v>44479</v>
      </c>
      <c r="E4310" s="9" t="s">
        <v>29</v>
      </c>
      <c r="F4310" s="9" t="s">
        <v>30</v>
      </c>
      <c r="G4310" s="9" t="s">
        <v>41</v>
      </c>
      <c r="H4310" s="11" t="s">
        <v>19</v>
      </c>
      <c r="I4310" s="12" t="n">
        <v>38</v>
      </c>
      <c r="J4310" s="13" t="n">
        <v>181</v>
      </c>
      <c r="K4310" s="14" t="n">
        <f aca="false">I4310*J4310</f>
        <v>6878</v>
      </c>
      <c r="L4310" s="14" t="n">
        <f aca="false">($L$2*M4310)/100</f>
        <v>660916.575</v>
      </c>
      <c r="M4310" s="15" t="n">
        <v>0.55</v>
      </c>
      <c r="N4310" s="9" t="s">
        <v>85</v>
      </c>
    </row>
    <row r="4311" customFormat="false" ht="14.25" hidden="false" customHeight="true" outlineLevel="0" collapsed="false">
      <c r="B4311" s="9" t="s">
        <v>28</v>
      </c>
      <c r="C4311" s="9" t="n">
        <v>1197831</v>
      </c>
      <c r="D4311" s="10" t="n">
        <v>44480</v>
      </c>
      <c r="E4311" s="9" t="s">
        <v>29</v>
      </c>
      <c r="F4311" s="9" t="s">
        <v>30</v>
      </c>
      <c r="G4311" s="9" t="s">
        <v>41</v>
      </c>
      <c r="H4311" s="11" t="s">
        <v>21</v>
      </c>
      <c r="I4311" s="12" t="n">
        <v>37</v>
      </c>
      <c r="J4311" s="13" t="n">
        <v>218</v>
      </c>
      <c r="K4311" s="14" t="n">
        <f aca="false">I4311*J4311</f>
        <v>8066</v>
      </c>
      <c r="L4311" s="14" t="n">
        <f aca="false">($L$2*M4311)/100</f>
        <v>600833.25</v>
      </c>
      <c r="M4311" s="15" t="n">
        <v>0.5</v>
      </c>
      <c r="N4311" s="9" t="s">
        <v>85</v>
      </c>
    </row>
    <row r="4312" customFormat="false" ht="14.25" hidden="false" customHeight="true" outlineLevel="0" collapsed="false">
      <c r="B4312" s="9" t="s">
        <v>28</v>
      </c>
      <c r="C4312" s="9" t="n">
        <v>1197831</v>
      </c>
      <c r="D4312" s="10" t="n">
        <v>44481</v>
      </c>
      <c r="E4312" s="9" t="s">
        <v>29</v>
      </c>
      <c r="F4312" s="9" t="s">
        <v>30</v>
      </c>
      <c r="G4312" s="9" t="s">
        <v>41</v>
      </c>
      <c r="H4312" s="11" t="s">
        <v>22</v>
      </c>
      <c r="I4312" s="12" t="n">
        <v>63</v>
      </c>
      <c r="J4312" s="13" t="n">
        <v>176</v>
      </c>
      <c r="K4312" s="14" t="n">
        <f aca="false">I4312*J4312</f>
        <v>11088</v>
      </c>
      <c r="L4312" s="14" t="n">
        <f aca="false">($L$2*M4312)/100</f>
        <v>660916.575</v>
      </c>
      <c r="M4312" s="15" t="n">
        <v>0.55</v>
      </c>
      <c r="N4312" s="9" t="s">
        <v>85</v>
      </c>
    </row>
    <row r="4313" customFormat="false" ht="14.25" hidden="false" customHeight="true" outlineLevel="0" collapsed="false">
      <c r="B4313" s="9" t="s">
        <v>28</v>
      </c>
      <c r="C4313" s="9" t="n">
        <v>1197831</v>
      </c>
      <c r="D4313" s="10" t="n">
        <v>44482</v>
      </c>
      <c r="E4313" s="9" t="s">
        <v>29</v>
      </c>
      <c r="F4313" s="9" t="s">
        <v>30</v>
      </c>
      <c r="G4313" s="9" t="s">
        <v>41</v>
      </c>
      <c r="H4313" s="11" t="s">
        <v>23</v>
      </c>
      <c r="I4313" s="12" t="n">
        <v>59</v>
      </c>
      <c r="J4313" s="13" t="n">
        <v>145</v>
      </c>
      <c r="K4313" s="14" t="n">
        <f aca="false">I4313*J4313</f>
        <v>8555</v>
      </c>
      <c r="L4313" s="14" t="n">
        <f aca="false">($L$2*M4313)/100</f>
        <v>745033.23</v>
      </c>
      <c r="M4313" s="15" t="n">
        <v>0.62</v>
      </c>
      <c r="N4313" s="9" t="s">
        <v>85</v>
      </c>
    </row>
    <row r="4314" customFormat="false" ht="14.25" hidden="false" customHeight="true" outlineLevel="0" collapsed="false">
      <c r="B4314" s="9" t="s">
        <v>28</v>
      </c>
      <c r="C4314" s="9" t="n">
        <v>1197831</v>
      </c>
      <c r="D4314" s="10" t="n">
        <v>44483</v>
      </c>
      <c r="E4314" s="9" t="s">
        <v>29</v>
      </c>
      <c r="F4314" s="9" t="s">
        <v>30</v>
      </c>
      <c r="G4314" s="9" t="s">
        <v>41</v>
      </c>
      <c r="H4314" s="11" t="s">
        <v>24</v>
      </c>
      <c r="I4314" s="12" t="n">
        <v>56</v>
      </c>
      <c r="J4314" s="13" t="n">
        <v>138</v>
      </c>
      <c r="K4314" s="14" t="n">
        <f aca="false">I4314*J4314</f>
        <v>7728</v>
      </c>
      <c r="L4314" s="14" t="n">
        <f aca="false">($L$2*M4314)/100</f>
        <v>576799.92</v>
      </c>
      <c r="M4314" s="15" t="n">
        <v>0.48</v>
      </c>
      <c r="N4314" s="9" t="s">
        <v>85</v>
      </c>
    </row>
    <row r="4315" customFormat="false" ht="14.25" hidden="false" customHeight="true" outlineLevel="0" collapsed="false">
      <c r="B4315" s="9" t="s">
        <v>28</v>
      </c>
      <c r="C4315" s="9" t="n">
        <v>1197831</v>
      </c>
      <c r="D4315" s="10" t="n">
        <v>44484</v>
      </c>
      <c r="E4315" s="9" t="s">
        <v>29</v>
      </c>
      <c r="F4315" s="9" t="s">
        <v>30</v>
      </c>
      <c r="G4315" s="9" t="s">
        <v>41</v>
      </c>
      <c r="H4315" s="11" t="s">
        <v>25</v>
      </c>
      <c r="I4315" s="12" t="n">
        <v>67</v>
      </c>
      <c r="J4315" s="13" t="n">
        <v>176</v>
      </c>
      <c r="K4315" s="14" t="n">
        <f aca="false">I4315*J4315</f>
        <v>11792</v>
      </c>
      <c r="L4315" s="14" t="n">
        <f aca="false">($L$2*M4315)/100</f>
        <v>781083.225</v>
      </c>
      <c r="M4315" s="15" t="n">
        <v>0.65</v>
      </c>
      <c r="N4315" s="9" t="s">
        <v>85</v>
      </c>
    </row>
    <row r="4316" customFormat="false" ht="14.25" hidden="false" customHeight="true" outlineLevel="0" collapsed="false">
      <c r="B4316" s="9" t="s">
        <v>28</v>
      </c>
      <c r="C4316" s="9" t="n">
        <v>1197831</v>
      </c>
      <c r="D4316" s="10" t="n">
        <v>44485</v>
      </c>
      <c r="E4316" s="9" t="s">
        <v>29</v>
      </c>
      <c r="F4316" s="9" t="s">
        <v>30</v>
      </c>
      <c r="G4316" s="9" t="s">
        <v>41</v>
      </c>
      <c r="H4316" s="11" t="s">
        <v>19</v>
      </c>
      <c r="I4316" s="12" t="n">
        <v>59</v>
      </c>
      <c r="J4316" s="13" t="n">
        <v>223</v>
      </c>
      <c r="K4316" s="14" t="n">
        <f aca="false">I4316*J4316</f>
        <v>13157</v>
      </c>
      <c r="L4316" s="14" t="n">
        <f aca="false">($L$2*M4316)/100</f>
        <v>648899.91</v>
      </c>
      <c r="M4316" s="15" t="n">
        <v>0.54</v>
      </c>
      <c r="N4316" s="9" t="s">
        <v>85</v>
      </c>
    </row>
    <row r="4317" customFormat="false" ht="14.25" hidden="false" customHeight="true" outlineLevel="0" collapsed="false">
      <c r="B4317" s="9" t="s">
        <v>28</v>
      </c>
      <c r="C4317" s="9" t="n">
        <v>1197831</v>
      </c>
      <c r="D4317" s="10" t="n">
        <v>44486</v>
      </c>
      <c r="E4317" s="9" t="s">
        <v>29</v>
      </c>
      <c r="F4317" s="9" t="s">
        <v>30</v>
      </c>
      <c r="G4317" s="9" t="s">
        <v>41</v>
      </c>
      <c r="H4317" s="11" t="s">
        <v>21</v>
      </c>
      <c r="I4317" s="12" t="n">
        <v>56</v>
      </c>
      <c r="J4317" s="13" t="n">
        <v>231</v>
      </c>
      <c r="K4317" s="14" t="n">
        <f aca="false">I4317*J4317</f>
        <v>12936</v>
      </c>
      <c r="L4317" s="14" t="n">
        <f aca="false">($L$2*M4317)/100</f>
        <v>624866.58</v>
      </c>
      <c r="M4317" s="15" t="n">
        <v>0.52</v>
      </c>
      <c r="N4317" s="9" t="s">
        <v>85</v>
      </c>
    </row>
    <row r="4318" customFormat="false" ht="14.25" hidden="false" customHeight="true" outlineLevel="0" collapsed="false">
      <c r="B4318" s="9" t="s">
        <v>28</v>
      </c>
      <c r="C4318" s="9" t="n">
        <v>1197831</v>
      </c>
      <c r="D4318" s="10" t="n">
        <v>44487</v>
      </c>
      <c r="E4318" s="9" t="s">
        <v>29</v>
      </c>
      <c r="F4318" s="9" t="s">
        <v>30</v>
      </c>
      <c r="G4318" s="9" t="s">
        <v>41</v>
      </c>
      <c r="H4318" s="11" t="s">
        <v>22</v>
      </c>
      <c r="I4318" s="12" t="n">
        <v>62</v>
      </c>
      <c r="J4318" s="13" t="n">
        <v>189</v>
      </c>
      <c r="K4318" s="14" t="n">
        <f aca="false">I4318*J4318</f>
        <v>11718</v>
      </c>
      <c r="L4318" s="14" t="n">
        <f aca="false">($L$2*M4318)/100</f>
        <v>648899.91</v>
      </c>
      <c r="M4318" s="15" t="n">
        <v>0.54</v>
      </c>
      <c r="N4318" s="9" t="s">
        <v>85</v>
      </c>
    </row>
    <row r="4319" customFormat="false" ht="14.25" hidden="false" customHeight="true" outlineLevel="0" collapsed="false">
      <c r="B4319" s="9" t="s">
        <v>28</v>
      </c>
      <c r="C4319" s="9" t="n">
        <v>1197831</v>
      </c>
      <c r="D4319" s="10" t="n">
        <v>44488</v>
      </c>
      <c r="E4319" s="9" t="s">
        <v>29</v>
      </c>
      <c r="F4319" s="9" t="s">
        <v>30</v>
      </c>
      <c r="G4319" s="9" t="s">
        <v>41</v>
      </c>
      <c r="H4319" s="11" t="s">
        <v>23</v>
      </c>
      <c r="I4319" s="12" t="n">
        <v>59</v>
      </c>
      <c r="J4319" s="13" t="n">
        <v>173</v>
      </c>
      <c r="K4319" s="14" t="n">
        <f aca="false">I4319*J4319</f>
        <v>10207</v>
      </c>
      <c r="L4319" s="14" t="n">
        <f aca="false">($L$2*M4319)/100</f>
        <v>745033.23</v>
      </c>
      <c r="M4319" s="15" t="n">
        <v>0.62</v>
      </c>
      <c r="N4319" s="9" t="s">
        <v>85</v>
      </c>
    </row>
    <row r="4320" customFormat="false" ht="14.25" hidden="false" customHeight="true" outlineLevel="0" collapsed="false">
      <c r="B4320" s="9" t="s">
        <v>28</v>
      </c>
      <c r="C4320" s="9" t="n">
        <v>1197831</v>
      </c>
      <c r="D4320" s="10" t="n">
        <v>44489</v>
      </c>
      <c r="E4320" s="9" t="s">
        <v>29</v>
      </c>
      <c r="F4320" s="9" t="s">
        <v>30</v>
      </c>
      <c r="G4320" s="9" t="s">
        <v>41</v>
      </c>
      <c r="H4320" s="11" t="s">
        <v>24</v>
      </c>
      <c r="I4320" s="12" t="n">
        <v>58</v>
      </c>
      <c r="J4320" s="13" t="n">
        <v>158</v>
      </c>
      <c r="K4320" s="14" t="n">
        <f aca="false">I4320*J4320</f>
        <v>9164</v>
      </c>
      <c r="L4320" s="14" t="n">
        <f aca="false">($L$2*M4320)/100</f>
        <v>600833.25</v>
      </c>
      <c r="M4320" s="15" t="n">
        <v>0.5</v>
      </c>
      <c r="N4320" s="9" t="s">
        <v>85</v>
      </c>
    </row>
    <row r="4321" customFormat="false" ht="14.25" hidden="false" customHeight="true" outlineLevel="0" collapsed="false">
      <c r="B4321" s="9" t="s">
        <v>28</v>
      </c>
      <c r="C4321" s="9" t="n">
        <v>1197831</v>
      </c>
      <c r="D4321" s="10" t="n">
        <v>44490</v>
      </c>
      <c r="E4321" s="9" t="s">
        <v>29</v>
      </c>
      <c r="F4321" s="9" t="s">
        <v>30</v>
      </c>
      <c r="G4321" s="9" t="s">
        <v>41</v>
      </c>
      <c r="H4321" s="11" t="s">
        <v>25</v>
      </c>
      <c r="I4321" s="12" t="n">
        <v>65</v>
      </c>
      <c r="J4321" s="13" t="n">
        <v>233</v>
      </c>
      <c r="K4321" s="14" t="n">
        <f aca="false">I4321*J4321</f>
        <v>15145</v>
      </c>
      <c r="L4321" s="14" t="n">
        <f aca="false">($L$2*M4321)/100</f>
        <v>793099.89</v>
      </c>
      <c r="M4321" s="15" t="n">
        <v>0.66</v>
      </c>
      <c r="N4321" s="9" t="s">
        <v>85</v>
      </c>
    </row>
    <row r="4322" customFormat="false" ht="14.25" hidden="false" customHeight="true" outlineLevel="0" collapsed="false">
      <c r="B4322" s="9" t="s">
        <v>16</v>
      </c>
      <c r="C4322" s="9" t="n">
        <v>1185732</v>
      </c>
      <c r="D4322" s="10" t="n">
        <v>44491</v>
      </c>
      <c r="E4322" s="9" t="s">
        <v>29</v>
      </c>
      <c r="F4322" s="9" t="s">
        <v>30</v>
      </c>
      <c r="G4322" s="9" t="s">
        <v>41</v>
      </c>
      <c r="H4322" s="11" t="s">
        <v>19</v>
      </c>
      <c r="I4322" s="12" t="n">
        <v>44</v>
      </c>
      <c r="J4322" s="13" t="n">
        <v>111</v>
      </c>
      <c r="K4322" s="14" t="n">
        <f aca="false">I4322*J4322</f>
        <v>4884</v>
      </c>
      <c r="L4322" s="14" t="n">
        <f aca="false">($L$2*M4322)/100</f>
        <v>841166.55</v>
      </c>
      <c r="M4322" s="15" t="n">
        <v>0.7</v>
      </c>
      <c r="N4322" s="9" t="s">
        <v>85</v>
      </c>
    </row>
    <row r="4323" customFormat="false" ht="14.25" hidden="false" customHeight="true" outlineLevel="0" collapsed="false">
      <c r="B4323" s="9" t="s">
        <v>16</v>
      </c>
      <c r="C4323" s="9" t="n">
        <v>1185732</v>
      </c>
      <c r="D4323" s="10" t="n">
        <v>44492</v>
      </c>
      <c r="E4323" s="9" t="s">
        <v>29</v>
      </c>
      <c r="F4323" s="9" t="s">
        <v>30</v>
      </c>
      <c r="G4323" s="9" t="s">
        <v>41</v>
      </c>
      <c r="H4323" s="11" t="s">
        <v>21</v>
      </c>
      <c r="I4323" s="12" t="n">
        <v>41</v>
      </c>
      <c r="J4323" s="13" t="n">
        <v>68</v>
      </c>
      <c r="K4323" s="14" t="n">
        <f aca="false">I4323*J4323</f>
        <v>2788</v>
      </c>
      <c r="L4323" s="14" t="n">
        <f aca="false">($L$2*M4323)/100</f>
        <v>564783.255</v>
      </c>
      <c r="M4323" s="15" t="n">
        <v>0.47</v>
      </c>
      <c r="N4323" s="9" t="s">
        <v>85</v>
      </c>
    </row>
    <row r="4324" customFormat="false" ht="14.25" hidden="false" customHeight="true" outlineLevel="0" collapsed="false">
      <c r="B4324" s="9" t="s">
        <v>16</v>
      </c>
      <c r="C4324" s="9" t="n">
        <v>1185732</v>
      </c>
      <c r="D4324" s="10" t="n">
        <v>44493</v>
      </c>
      <c r="E4324" s="9" t="s">
        <v>29</v>
      </c>
      <c r="F4324" s="9" t="s">
        <v>30</v>
      </c>
      <c r="G4324" s="9" t="s">
        <v>41</v>
      </c>
      <c r="H4324" s="11" t="s">
        <v>22</v>
      </c>
      <c r="I4324" s="12" t="n">
        <v>33</v>
      </c>
      <c r="J4324" s="13" t="n">
        <v>56</v>
      </c>
      <c r="K4324" s="14" t="n">
        <f aca="false">I4324*J4324</f>
        <v>1848</v>
      </c>
      <c r="L4324" s="14" t="n">
        <f aca="false">($L$2*M4324)/100</f>
        <v>612849.915</v>
      </c>
      <c r="M4324" s="15" t="n">
        <v>0.51</v>
      </c>
      <c r="N4324" s="9" t="s">
        <v>85</v>
      </c>
    </row>
    <row r="4325" customFormat="false" ht="14.25" hidden="false" customHeight="true" outlineLevel="0" collapsed="false">
      <c r="B4325" s="9" t="s">
        <v>16</v>
      </c>
      <c r="C4325" s="9" t="n">
        <v>1185732</v>
      </c>
      <c r="D4325" s="10" t="n">
        <v>44494</v>
      </c>
      <c r="E4325" s="9" t="s">
        <v>29</v>
      </c>
      <c r="F4325" s="9" t="s">
        <v>30</v>
      </c>
      <c r="G4325" s="9" t="s">
        <v>41</v>
      </c>
      <c r="H4325" s="11" t="s">
        <v>23</v>
      </c>
      <c r="I4325" s="12" t="n">
        <v>38</v>
      </c>
      <c r="J4325" s="13" t="n">
        <v>19</v>
      </c>
      <c r="K4325" s="14" t="n">
        <f aca="false">I4325*J4325</f>
        <v>722</v>
      </c>
      <c r="L4325" s="14" t="n">
        <f aca="false">($L$2*M4325)/100</f>
        <v>612849.915</v>
      </c>
      <c r="M4325" s="15" t="n">
        <v>0.51</v>
      </c>
      <c r="N4325" s="9" t="s">
        <v>85</v>
      </c>
    </row>
    <row r="4326" customFormat="false" ht="14.25" hidden="false" customHeight="true" outlineLevel="0" collapsed="false">
      <c r="B4326" s="9" t="s">
        <v>16</v>
      </c>
      <c r="C4326" s="9" t="n">
        <v>1185732</v>
      </c>
      <c r="D4326" s="10" t="n">
        <v>44495</v>
      </c>
      <c r="E4326" s="9" t="s">
        <v>17</v>
      </c>
      <c r="F4326" s="9" t="s">
        <v>42</v>
      </c>
      <c r="G4326" s="9" t="s">
        <v>43</v>
      </c>
      <c r="H4326" s="11" t="s">
        <v>24</v>
      </c>
      <c r="I4326" s="12" t="n">
        <v>54</v>
      </c>
      <c r="J4326" s="13" t="n">
        <v>36</v>
      </c>
      <c r="K4326" s="14" t="n">
        <f aca="false">I4326*J4326</f>
        <v>1944</v>
      </c>
      <c r="L4326" s="14" t="n">
        <f aca="false">($L$2*M4326)/100</f>
        <v>540749.925</v>
      </c>
      <c r="M4326" s="15" t="n">
        <v>0.45</v>
      </c>
      <c r="N4326" s="9" t="s">
        <v>85</v>
      </c>
    </row>
    <row r="4327" customFormat="false" ht="14.25" hidden="false" customHeight="true" outlineLevel="0" collapsed="false">
      <c r="B4327" s="9" t="s">
        <v>16</v>
      </c>
      <c r="C4327" s="9" t="n">
        <v>1185732</v>
      </c>
      <c r="D4327" s="10" t="n">
        <v>44496</v>
      </c>
      <c r="E4327" s="9" t="s">
        <v>17</v>
      </c>
      <c r="F4327" s="9" t="s">
        <v>42</v>
      </c>
      <c r="G4327" s="9" t="s">
        <v>43</v>
      </c>
      <c r="H4327" s="11" t="s">
        <v>25</v>
      </c>
      <c r="I4327" s="12" t="n">
        <v>43</v>
      </c>
      <c r="J4327" s="13" t="n">
        <v>61</v>
      </c>
      <c r="K4327" s="14" t="n">
        <f aca="false">I4327*J4327</f>
        <v>2623</v>
      </c>
      <c r="L4327" s="14" t="n">
        <f aca="false">($L$2*M4327)/100</f>
        <v>528733.26</v>
      </c>
      <c r="M4327" s="15" t="n">
        <v>0.44</v>
      </c>
      <c r="N4327" s="9" t="s">
        <v>85</v>
      </c>
    </row>
    <row r="4328" customFormat="false" ht="14.25" hidden="false" customHeight="true" outlineLevel="0" collapsed="false">
      <c r="B4328" s="9" t="s">
        <v>16</v>
      </c>
      <c r="C4328" s="9" t="n">
        <v>1185732</v>
      </c>
      <c r="D4328" s="10" t="n">
        <v>44497</v>
      </c>
      <c r="E4328" s="9" t="s">
        <v>17</v>
      </c>
      <c r="F4328" s="9" t="s">
        <v>42</v>
      </c>
      <c r="G4328" s="9" t="s">
        <v>43</v>
      </c>
      <c r="H4328" s="11" t="s">
        <v>19</v>
      </c>
      <c r="I4328" s="12" t="n">
        <v>42</v>
      </c>
      <c r="J4328" s="13" t="n">
        <v>119</v>
      </c>
      <c r="K4328" s="14" t="n">
        <f aca="false">I4328*J4328</f>
        <v>4998</v>
      </c>
      <c r="L4328" s="14" t="n">
        <f aca="false">($L$2*M4328)/100</f>
        <v>805116.555</v>
      </c>
      <c r="M4328" s="15" t="n">
        <v>0.67</v>
      </c>
      <c r="N4328" s="9" t="s">
        <v>85</v>
      </c>
    </row>
    <row r="4329" customFormat="false" ht="14.25" hidden="false" customHeight="true" outlineLevel="0" collapsed="false">
      <c r="B4329" s="9" t="s">
        <v>16</v>
      </c>
      <c r="C4329" s="9" t="n">
        <v>1185732</v>
      </c>
      <c r="D4329" s="10" t="n">
        <v>44498</v>
      </c>
      <c r="E4329" s="9" t="s">
        <v>17</v>
      </c>
      <c r="F4329" s="9" t="s">
        <v>42</v>
      </c>
      <c r="G4329" s="9" t="s">
        <v>43</v>
      </c>
      <c r="H4329" s="11" t="s">
        <v>21</v>
      </c>
      <c r="I4329" s="12" t="n">
        <v>44</v>
      </c>
      <c r="J4329" s="13" t="n">
        <v>35</v>
      </c>
      <c r="K4329" s="14" t="n">
        <f aca="false">I4329*J4329</f>
        <v>1540</v>
      </c>
      <c r="L4329" s="14" t="n">
        <f aca="false">($L$2*M4329)/100</f>
        <v>576799.92</v>
      </c>
      <c r="M4329" s="15" t="n">
        <v>0.48</v>
      </c>
      <c r="N4329" s="9" t="s">
        <v>85</v>
      </c>
    </row>
    <row r="4330" customFormat="false" ht="14.25" hidden="false" customHeight="true" outlineLevel="0" collapsed="false">
      <c r="B4330" s="9" t="s">
        <v>16</v>
      </c>
      <c r="C4330" s="9" t="n">
        <v>1185732</v>
      </c>
      <c r="D4330" s="10" t="n">
        <v>44499</v>
      </c>
      <c r="E4330" s="9" t="s">
        <v>17</v>
      </c>
      <c r="F4330" s="9" t="s">
        <v>42</v>
      </c>
      <c r="G4330" s="9" t="s">
        <v>43</v>
      </c>
      <c r="H4330" s="11" t="s">
        <v>22</v>
      </c>
      <c r="I4330" s="12" t="n">
        <v>34</v>
      </c>
      <c r="J4330" s="13" t="n">
        <v>46</v>
      </c>
      <c r="K4330" s="14" t="n">
        <f aca="false">I4330*J4330</f>
        <v>1564</v>
      </c>
      <c r="L4330" s="14" t="n">
        <f aca="false">($L$2*M4330)/100</f>
        <v>624866.58</v>
      </c>
      <c r="M4330" s="15" t="n">
        <v>0.52</v>
      </c>
      <c r="N4330" s="9" t="s">
        <v>85</v>
      </c>
    </row>
    <row r="4331" customFormat="false" ht="14.25" hidden="false" customHeight="true" outlineLevel="0" collapsed="false">
      <c r="B4331" s="9" t="s">
        <v>16</v>
      </c>
      <c r="C4331" s="9" t="n">
        <v>1185732</v>
      </c>
      <c r="D4331" s="10" t="n">
        <v>44500</v>
      </c>
      <c r="E4331" s="9" t="s">
        <v>17</v>
      </c>
      <c r="F4331" s="9" t="s">
        <v>42</v>
      </c>
      <c r="G4331" s="9" t="s">
        <v>43</v>
      </c>
      <c r="H4331" s="11" t="s">
        <v>23</v>
      </c>
      <c r="I4331" s="12" t="n">
        <v>39</v>
      </c>
      <c r="J4331" s="13" t="n">
        <v>13</v>
      </c>
      <c r="K4331" s="14" t="n">
        <f aca="false">I4331*J4331</f>
        <v>507</v>
      </c>
      <c r="L4331" s="14" t="n">
        <f aca="false">($L$2*M4331)/100</f>
        <v>624866.58</v>
      </c>
      <c r="M4331" s="15" t="n">
        <v>0.52</v>
      </c>
      <c r="N4331" s="9" t="s">
        <v>85</v>
      </c>
    </row>
    <row r="4332" customFormat="false" ht="14.25" hidden="false" customHeight="true" outlineLevel="0" collapsed="false">
      <c r="B4332" s="9" t="s">
        <v>16</v>
      </c>
      <c r="C4332" s="9" t="n">
        <v>1185732</v>
      </c>
      <c r="D4332" s="10" t="n">
        <v>44501</v>
      </c>
      <c r="E4332" s="9" t="s">
        <v>17</v>
      </c>
      <c r="F4332" s="9" t="s">
        <v>42</v>
      </c>
      <c r="G4332" s="9" t="s">
        <v>43</v>
      </c>
      <c r="H4332" s="11" t="s">
        <v>24</v>
      </c>
      <c r="I4332" s="12" t="n">
        <v>51</v>
      </c>
      <c r="J4332" s="13" t="n">
        <v>36</v>
      </c>
      <c r="K4332" s="14" t="n">
        <f aca="false">I4332*J4332</f>
        <v>1836</v>
      </c>
      <c r="L4332" s="14" t="n">
        <f aca="false">($L$2*M4332)/100</f>
        <v>552766.59</v>
      </c>
      <c r="M4332" s="15" t="n">
        <v>0.46</v>
      </c>
      <c r="N4332" s="9" t="s">
        <v>85</v>
      </c>
    </row>
    <row r="4333" customFormat="false" ht="14.25" hidden="false" customHeight="true" outlineLevel="0" collapsed="false">
      <c r="B4333" s="9" t="s">
        <v>16</v>
      </c>
      <c r="C4333" s="9" t="n">
        <v>1185732</v>
      </c>
      <c r="D4333" s="10" t="n">
        <v>44502</v>
      </c>
      <c r="E4333" s="9" t="s">
        <v>17</v>
      </c>
      <c r="F4333" s="9" t="s">
        <v>42</v>
      </c>
      <c r="G4333" s="9" t="s">
        <v>43</v>
      </c>
      <c r="H4333" s="11" t="s">
        <v>25</v>
      </c>
      <c r="I4333" s="12" t="n">
        <v>44</v>
      </c>
      <c r="J4333" s="13" t="n">
        <v>68</v>
      </c>
      <c r="K4333" s="14" t="n">
        <f aca="false">I4333*J4333</f>
        <v>2992</v>
      </c>
      <c r="L4333" s="14" t="n">
        <f aca="false">($L$2*M4333)/100</f>
        <v>540749.925</v>
      </c>
      <c r="M4333" s="15" t="n">
        <v>0.45</v>
      </c>
      <c r="N4333" s="9" t="s">
        <v>85</v>
      </c>
    </row>
    <row r="4334" customFormat="false" ht="14.25" hidden="false" customHeight="true" outlineLevel="0" collapsed="false">
      <c r="B4334" s="9" t="s">
        <v>16</v>
      </c>
      <c r="C4334" s="9" t="n">
        <v>1185732</v>
      </c>
      <c r="D4334" s="10" t="n">
        <v>44503</v>
      </c>
      <c r="E4334" s="9" t="s">
        <v>17</v>
      </c>
      <c r="F4334" s="9" t="s">
        <v>42</v>
      </c>
      <c r="G4334" s="9" t="s">
        <v>43</v>
      </c>
      <c r="H4334" s="11" t="s">
        <v>19</v>
      </c>
      <c r="I4334" s="12" t="n">
        <v>49</v>
      </c>
      <c r="J4334" s="13" t="n">
        <v>120</v>
      </c>
      <c r="K4334" s="14" t="n">
        <f aca="false">I4334*J4334</f>
        <v>5880</v>
      </c>
      <c r="L4334" s="14" t="n">
        <f aca="false">($L$2*M4334)/100</f>
        <v>841166.55</v>
      </c>
      <c r="M4334" s="15" t="n">
        <v>0.7</v>
      </c>
      <c r="N4334" s="9" t="s">
        <v>85</v>
      </c>
    </row>
    <row r="4335" customFormat="false" ht="14.25" hidden="false" customHeight="true" outlineLevel="0" collapsed="false">
      <c r="B4335" s="9" t="s">
        <v>16</v>
      </c>
      <c r="C4335" s="9" t="n">
        <v>1185732</v>
      </c>
      <c r="D4335" s="10" t="n">
        <v>44504</v>
      </c>
      <c r="E4335" s="9" t="s">
        <v>17</v>
      </c>
      <c r="F4335" s="9" t="s">
        <v>42</v>
      </c>
      <c r="G4335" s="9" t="s">
        <v>43</v>
      </c>
      <c r="H4335" s="11" t="s">
        <v>21</v>
      </c>
      <c r="I4335" s="12" t="n">
        <v>47</v>
      </c>
      <c r="J4335" s="13" t="n">
        <v>38</v>
      </c>
      <c r="K4335" s="14" t="n">
        <f aca="false">I4335*J4335</f>
        <v>1786</v>
      </c>
      <c r="L4335" s="14" t="n">
        <f aca="false">($L$2*M4335)/100</f>
        <v>588816.585</v>
      </c>
      <c r="M4335" s="15" t="n">
        <v>0.49</v>
      </c>
      <c r="N4335" s="9" t="s">
        <v>85</v>
      </c>
    </row>
    <row r="4336" customFormat="false" ht="14.25" hidden="false" customHeight="true" outlineLevel="0" collapsed="false">
      <c r="B4336" s="9" t="s">
        <v>16</v>
      </c>
      <c r="C4336" s="9" t="n">
        <v>1185732</v>
      </c>
      <c r="D4336" s="10" t="n">
        <v>44505</v>
      </c>
      <c r="E4336" s="9" t="s">
        <v>17</v>
      </c>
      <c r="F4336" s="9" t="s">
        <v>42</v>
      </c>
      <c r="G4336" s="9" t="s">
        <v>43</v>
      </c>
      <c r="H4336" s="11" t="s">
        <v>22</v>
      </c>
      <c r="I4336" s="12" t="n">
        <v>36</v>
      </c>
      <c r="J4336" s="13" t="n">
        <v>51</v>
      </c>
      <c r="K4336" s="14" t="n">
        <f aca="false">I4336*J4336</f>
        <v>1836</v>
      </c>
      <c r="L4336" s="14" t="n">
        <f aca="false">($L$2*M4336)/100</f>
        <v>648899.91</v>
      </c>
      <c r="M4336" s="15" t="n">
        <v>0.54</v>
      </c>
      <c r="N4336" s="9" t="s">
        <v>85</v>
      </c>
    </row>
    <row r="4337" customFormat="false" ht="14.25" hidden="false" customHeight="true" outlineLevel="0" collapsed="false">
      <c r="B4337" s="9" t="s">
        <v>16</v>
      </c>
      <c r="C4337" s="9" t="n">
        <v>1185732</v>
      </c>
      <c r="D4337" s="10" t="n">
        <v>44506</v>
      </c>
      <c r="E4337" s="9" t="s">
        <v>17</v>
      </c>
      <c r="F4337" s="9" t="s">
        <v>42</v>
      </c>
      <c r="G4337" s="9" t="s">
        <v>43</v>
      </c>
      <c r="H4337" s="11" t="s">
        <v>23</v>
      </c>
      <c r="I4337" s="12" t="n">
        <v>43</v>
      </c>
      <c r="J4337" s="13" t="n">
        <v>8</v>
      </c>
      <c r="K4337" s="14" t="n">
        <f aca="false">I4337*J4337</f>
        <v>344</v>
      </c>
      <c r="L4337" s="14" t="n">
        <f aca="false">($L$2*M4337)/100</f>
        <v>612849.915</v>
      </c>
      <c r="M4337" s="15" t="n">
        <v>0.51</v>
      </c>
      <c r="N4337" s="9" t="s">
        <v>85</v>
      </c>
    </row>
    <row r="4338" customFormat="false" ht="14.25" hidden="false" customHeight="true" outlineLevel="0" collapsed="false">
      <c r="B4338" s="9" t="s">
        <v>16</v>
      </c>
      <c r="C4338" s="9" t="n">
        <v>1185732</v>
      </c>
      <c r="D4338" s="10" t="n">
        <v>44507</v>
      </c>
      <c r="E4338" s="9" t="s">
        <v>17</v>
      </c>
      <c r="F4338" s="9" t="s">
        <v>42</v>
      </c>
      <c r="G4338" s="9" t="s">
        <v>43</v>
      </c>
      <c r="H4338" s="11" t="s">
        <v>24</v>
      </c>
      <c r="I4338" s="12" t="n">
        <v>58</v>
      </c>
      <c r="J4338" s="13" t="n">
        <v>20</v>
      </c>
      <c r="K4338" s="14" t="n">
        <f aca="false">I4338*J4338</f>
        <v>1160</v>
      </c>
      <c r="L4338" s="14" t="n">
        <f aca="false">($L$2*M4338)/100</f>
        <v>480666.6</v>
      </c>
      <c r="M4338" s="15" t="n">
        <v>0.4</v>
      </c>
      <c r="N4338" s="9" t="s">
        <v>85</v>
      </c>
    </row>
    <row r="4339" customFormat="false" ht="14.25" hidden="false" customHeight="true" outlineLevel="0" collapsed="false">
      <c r="B4339" s="9" t="s">
        <v>16</v>
      </c>
      <c r="C4339" s="9" t="n">
        <v>1185732</v>
      </c>
      <c r="D4339" s="10" t="n">
        <v>44508</v>
      </c>
      <c r="E4339" s="9" t="s">
        <v>17</v>
      </c>
      <c r="F4339" s="9" t="s">
        <v>42</v>
      </c>
      <c r="G4339" s="9" t="s">
        <v>43</v>
      </c>
      <c r="H4339" s="11" t="s">
        <v>25</v>
      </c>
      <c r="I4339" s="12" t="n">
        <v>47</v>
      </c>
      <c r="J4339" s="13" t="n">
        <v>44</v>
      </c>
      <c r="K4339" s="14" t="n">
        <f aca="false">I4339*J4339</f>
        <v>2068</v>
      </c>
      <c r="L4339" s="14" t="n">
        <f aca="false">($L$2*M4339)/100</f>
        <v>420583.275</v>
      </c>
      <c r="M4339" s="15" t="n">
        <v>0.35</v>
      </c>
      <c r="N4339" s="9" t="s">
        <v>85</v>
      </c>
    </row>
    <row r="4340" customFormat="false" ht="14.25" hidden="false" customHeight="true" outlineLevel="0" collapsed="false">
      <c r="B4340" s="9" t="s">
        <v>16</v>
      </c>
      <c r="C4340" s="9" t="n">
        <v>1185732</v>
      </c>
      <c r="D4340" s="10" t="n">
        <v>44509</v>
      </c>
      <c r="E4340" s="9" t="s">
        <v>17</v>
      </c>
      <c r="F4340" s="9" t="s">
        <v>42</v>
      </c>
      <c r="G4340" s="9" t="s">
        <v>43</v>
      </c>
      <c r="H4340" s="11" t="s">
        <v>19</v>
      </c>
      <c r="I4340" s="12" t="n">
        <v>46</v>
      </c>
      <c r="J4340" s="13" t="n">
        <v>122</v>
      </c>
      <c r="K4340" s="14" t="n">
        <f aca="false">I4340*J4340</f>
        <v>5612</v>
      </c>
      <c r="L4340" s="14" t="n">
        <f aca="false">($L$2*M4340)/100</f>
        <v>757049.895</v>
      </c>
      <c r="M4340" s="15" t="n">
        <v>0.63</v>
      </c>
      <c r="N4340" s="9" t="s">
        <v>85</v>
      </c>
    </row>
    <row r="4341" customFormat="false" ht="14.25" hidden="false" customHeight="true" outlineLevel="0" collapsed="false">
      <c r="B4341" s="9" t="s">
        <v>16</v>
      </c>
      <c r="C4341" s="9" t="n">
        <v>1185732</v>
      </c>
      <c r="D4341" s="10" t="n">
        <v>44510</v>
      </c>
      <c r="E4341" s="9" t="s">
        <v>17</v>
      </c>
      <c r="F4341" s="9" t="s">
        <v>42</v>
      </c>
      <c r="G4341" s="9" t="s">
        <v>43</v>
      </c>
      <c r="H4341" s="11" t="s">
        <v>21</v>
      </c>
      <c r="I4341" s="12" t="n">
        <v>45</v>
      </c>
      <c r="J4341" s="13" t="n">
        <v>45</v>
      </c>
      <c r="K4341" s="14" t="n">
        <f aca="false">I4341*J4341</f>
        <v>2025</v>
      </c>
      <c r="L4341" s="14" t="n">
        <f aca="false">($L$2*M4341)/100</f>
        <v>504699.93</v>
      </c>
      <c r="M4341" s="15" t="n">
        <v>0.42</v>
      </c>
      <c r="N4341" s="9" t="s">
        <v>85</v>
      </c>
    </row>
    <row r="4342" customFormat="false" ht="14.25" hidden="false" customHeight="true" outlineLevel="0" collapsed="false">
      <c r="B4342" s="9" t="s">
        <v>16</v>
      </c>
      <c r="C4342" s="9" t="n">
        <v>1185732</v>
      </c>
      <c r="D4342" s="10" t="n">
        <v>44511</v>
      </c>
      <c r="E4342" s="9" t="s">
        <v>17</v>
      </c>
      <c r="F4342" s="9" t="s">
        <v>42</v>
      </c>
      <c r="G4342" s="9" t="s">
        <v>43</v>
      </c>
      <c r="H4342" s="11" t="s">
        <v>22</v>
      </c>
      <c r="I4342" s="12" t="n">
        <v>38</v>
      </c>
      <c r="J4342" s="13" t="n">
        <v>38</v>
      </c>
      <c r="K4342" s="14" t="n">
        <f aca="false">I4342*J4342</f>
        <v>1444</v>
      </c>
      <c r="L4342" s="14" t="n">
        <f aca="false">($L$2*M4342)/100</f>
        <v>552766.59</v>
      </c>
      <c r="M4342" s="15" t="n">
        <v>0.46</v>
      </c>
      <c r="N4342" s="9" t="s">
        <v>85</v>
      </c>
    </row>
    <row r="4343" customFormat="false" ht="14.25" hidden="false" customHeight="true" outlineLevel="0" collapsed="false">
      <c r="B4343" s="9" t="s">
        <v>16</v>
      </c>
      <c r="C4343" s="9" t="n">
        <v>1185732</v>
      </c>
      <c r="D4343" s="10" t="n">
        <v>44512</v>
      </c>
      <c r="E4343" s="9" t="s">
        <v>17</v>
      </c>
      <c r="F4343" s="9" t="s">
        <v>42</v>
      </c>
      <c r="G4343" s="9" t="s">
        <v>43</v>
      </c>
      <c r="H4343" s="11" t="s">
        <v>23</v>
      </c>
      <c r="I4343" s="12" t="n">
        <v>42</v>
      </c>
      <c r="J4343" s="13" t="n">
        <v>20</v>
      </c>
      <c r="K4343" s="14" t="n">
        <f aca="false">I4343*J4343</f>
        <v>840</v>
      </c>
      <c r="L4343" s="14" t="n">
        <f aca="false">($L$2*M4343)/100</f>
        <v>552766.59</v>
      </c>
      <c r="M4343" s="15" t="n">
        <v>0.46</v>
      </c>
      <c r="N4343" s="9" t="s">
        <v>85</v>
      </c>
    </row>
    <row r="4344" customFormat="false" ht="14.25" hidden="false" customHeight="true" outlineLevel="0" collapsed="false">
      <c r="B4344" s="9" t="s">
        <v>16</v>
      </c>
      <c r="C4344" s="9" t="n">
        <v>1185732</v>
      </c>
      <c r="D4344" s="10" t="n">
        <v>44513</v>
      </c>
      <c r="E4344" s="9" t="s">
        <v>17</v>
      </c>
      <c r="F4344" s="9" t="s">
        <v>42</v>
      </c>
      <c r="G4344" s="9" t="s">
        <v>43</v>
      </c>
      <c r="H4344" s="11" t="s">
        <v>24</v>
      </c>
      <c r="I4344" s="12" t="n">
        <v>55</v>
      </c>
      <c r="J4344" s="13" t="n">
        <v>22</v>
      </c>
      <c r="K4344" s="14" t="n">
        <f aca="false">I4344*J4344</f>
        <v>1210</v>
      </c>
      <c r="L4344" s="14" t="n">
        <f aca="false">($L$2*M4344)/100</f>
        <v>504699.93</v>
      </c>
      <c r="M4344" s="15" t="n">
        <v>0.42</v>
      </c>
      <c r="N4344" s="9" t="s">
        <v>85</v>
      </c>
    </row>
    <row r="4345" customFormat="false" ht="14.25" hidden="false" customHeight="true" outlineLevel="0" collapsed="false">
      <c r="B4345" s="9" t="s">
        <v>16</v>
      </c>
      <c r="C4345" s="9" t="n">
        <v>1185732</v>
      </c>
      <c r="D4345" s="10" t="n">
        <v>44514</v>
      </c>
      <c r="E4345" s="9" t="s">
        <v>17</v>
      </c>
      <c r="F4345" s="9" t="s">
        <v>42</v>
      </c>
      <c r="G4345" s="9" t="s">
        <v>43</v>
      </c>
      <c r="H4345" s="11" t="s">
        <v>25</v>
      </c>
      <c r="I4345" s="12" t="n">
        <v>48</v>
      </c>
      <c r="J4345" s="13" t="n">
        <v>54</v>
      </c>
      <c r="K4345" s="14" t="n">
        <f aca="false">I4345*J4345</f>
        <v>2592</v>
      </c>
      <c r="L4345" s="14" t="n">
        <f aca="false">($L$2*M4345)/100</f>
        <v>432599.94</v>
      </c>
      <c r="M4345" s="15" t="n">
        <v>0.36</v>
      </c>
      <c r="N4345" s="9" t="s">
        <v>85</v>
      </c>
    </row>
    <row r="4346" customFormat="false" ht="14.25" hidden="false" customHeight="true" outlineLevel="0" collapsed="false">
      <c r="B4346" s="9" t="s">
        <v>16</v>
      </c>
      <c r="C4346" s="9" t="n">
        <v>1185732</v>
      </c>
      <c r="D4346" s="10" t="n">
        <v>44515</v>
      </c>
      <c r="E4346" s="9" t="s">
        <v>17</v>
      </c>
      <c r="F4346" s="9" t="s">
        <v>42</v>
      </c>
      <c r="G4346" s="9" t="s">
        <v>43</v>
      </c>
      <c r="H4346" s="11" t="s">
        <v>19</v>
      </c>
      <c r="I4346" s="12" t="n">
        <v>58</v>
      </c>
      <c r="J4346" s="13" t="n">
        <v>136</v>
      </c>
      <c r="K4346" s="14" t="n">
        <f aca="false">I4346*J4346</f>
        <v>7888</v>
      </c>
      <c r="L4346" s="14" t="n">
        <f aca="false">($L$2*M4346)/100</f>
        <v>757049.895</v>
      </c>
      <c r="M4346" s="15" t="n">
        <v>0.63</v>
      </c>
      <c r="N4346" s="9" t="s">
        <v>85</v>
      </c>
    </row>
    <row r="4347" customFormat="false" ht="14.25" hidden="false" customHeight="true" outlineLevel="0" collapsed="false">
      <c r="B4347" s="9" t="s">
        <v>16</v>
      </c>
      <c r="C4347" s="9" t="n">
        <v>1185732</v>
      </c>
      <c r="D4347" s="10" t="n">
        <v>44516</v>
      </c>
      <c r="E4347" s="9" t="s">
        <v>17</v>
      </c>
      <c r="F4347" s="9" t="s">
        <v>42</v>
      </c>
      <c r="G4347" s="9" t="s">
        <v>43</v>
      </c>
      <c r="H4347" s="11" t="s">
        <v>21</v>
      </c>
      <c r="I4347" s="12" t="n">
        <v>54</v>
      </c>
      <c r="J4347" s="13" t="n">
        <v>53</v>
      </c>
      <c r="K4347" s="14" t="n">
        <f aca="false">I4347*J4347</f>
        <v>2862</v>
      </c>
      <c r="L4347" s="14" t="n">
        <f aca="false">($L$2*M4347)/100</f>
        <v>480666.6</v>
      </c>
      <c r="M4347" s="15" t="n">
        <v>0.4</v>
      </c>
      <c r="N4347" s="9" t="s">
        <v>85</v>
      </c>
    </row>
    <row r="4348" customFormat="false" ht="14.25" hidden="false" customHeight="true" outlineLevel="0" collapsed="false">
      <c r="B4348" s="9" t="s">
        <v>16</v>
      </c>
      <c r="C4348" s="9" t="n">
        <v>1185732</v>
      </c>
      <c r="D4348" s="10" t="n">
        <v>44517</v>
      </c>
      <c r="E4348" s="9" t="s">
        <v>17</v>
      </c>
      <c r="F4348" s="9" t="s">
        <v>42</v>
      </c>
      <c r="G4348" s="9" t="s">
        <v>43</v>
      </c>
      <c r="H4348" s="11" t="s">
        <v>22</v>
      </c>
      <c r="I4348" s="12" t="n">
        <v>52</v>
      </c>
      <c r="J4348" s="13" t="n">
        <v>42</v>
      </c>
      <c r="K4348" s="14" t="n">
        <f aca="false">I4348*J4348</f>
        <v>2184</v>
      </c>
      <c r="L4348" s="14" t="n">
        <f aca="false">($L$2*M4348)/100</f>
        <v>552766.59</v>
      </c>
      <c r="M4348" s="15" t="n">
        <v>0.46</v>
      </c>
      <c r="N4348" s="9" t="s">
        <v>85</v>
      </c>
    </row>
    <row r="4349" customFormat="false" ht="14.25" hidden="false" customHeight="true" outlineLevel="0" collapsed="false">
      <c r="B4349" s="9" t="s">
        <v>16</v>
      </c>
      <c r="C4349" s="9" t="n">
        <v>1185732</v>
      </c>
      <c r="D4349" s="10" t="n">
        <v>44518</v>
      </c>
      <c r="E4349" s="9" t="s">
        <v>17</v>
      </c>
      <c r="F4349" s="9" t="s">
        <v>42</v>
      </c>
      <c r="G4349" s="9" t="s">
        <v>43</v>
      </c>
      <c r="H4349" s="11" t="s">
        <v>23</v>
      </c>
      <c r="I4349" s="12" t="n">
        <v>51</v>
      </c>
      <c r="J4349" s="13" t="n">
        <v>29</v>
      </c>
      <c r="K4349" s="14" t="n">
        <f aca="false">I4349*J4349</f>
        <v>1479</v>
      </c>
      <c r="L4349" s="14" t="n">
        <f aca="false">($L$2*M4349)/100</f>
        <v>564783.255</v>
      </c>
      <c r="M4349" s="15" t="n">
        <v>0.47</v>
      </c>
      <c r="N4349" s="9" t="s">
        <v>85</v>
      </c>
    </row>
    <row r="4350" customFormat="false" ht="14.25" hidden="false" customHeight="true" outlineLevel="0" collapsed="false">
      <c r="B4350" s="9" t="s">
        <v>16</v>
      </c>
      <c r="C4350" s="9" t="n">
        <v>1185732</v>
      </c>
      <c r="D4350" s="10" t="n">
        <v>44519</v>
      </c>
      <c r="E4350" s="9" t="s">
        <v>17</v>
      </c>
      <c r="F4350" s="9" t="s">
        <v>42</v>
      </c>
      <c r="G4350" s="9" t="s">
        <v>43</v>
      </c>
      <c r="H4350" s="11" t="s">
        <v>24</v>
      </c>
      <c r="I4350" s="12" t="n">
        <v>59</v>
      </c>
      <c r="J4350" s="13" t="n">
        <v>31</v>
      </c>
      <c r="K4350" s="14" t="n">
        <f aca="false">I4350*J4350</f>
        <v>1829</v>
      </c>
      <c r="L4350" s="14" t="n">
        <f aca="false">($L$2*M4350)/100</f>
        <v>504699.93</v>
      </c>
      <c r="M4350" s="15" t="n">
        <v>0.42</v>
      </c>
      <c r="N4350" s="9" t="s">
        <v>85</v>
      </c>
    </row>
    <row r="4351" customFormat="false" ht="14.25" hidden="false" customHeight="true" outlineLevel="0" collapsed="false">
      <c r="B4351" s="9" t="s">
        <v>16</v>
      </c>
      <c r="C4351" s="9" t="n">
        <v>1185732</v>
      </c>
      <c r="D4351" s="10" t="n">
        <v>44520</v>
      </c>
      <c r="E4351" s="9" t="s">
        <v>17</v>
      </c>
      <c r="F4351" s="9" t="s">
        <v>42</v>
      </c>
      <c r="G4351" s="9" t="s">
        <v>43</v>
      </c>
      <c r="H4351" s="11" t="s">
        <v>25</v>
      </c>
      <c r="I4351" s="12" t="n">
        <v>64</v>
      </c>
      <c r="J4351" s="13" t="n">
        <v>63</v>
      </c>
      <c r="K4351" s="14" t="n">
        <f aca="false">I4351*J4351</f>
        <v>4032</v>
      </c>
      <c r="L4351" s="14" t="n">
        <f aca="false">($L$2*M4351)/100</f>
        <v>540749.925</v>
      </c>
      <c r="M4351" s="15" t="n">
        <v>0.45</v>
      </c>
      <c r="N4351" s="9" t="s">
        <v>85</v>
      </c>
    </row>
    <row r="4352" customFormat="false" ht="14.25" hidden="false" customHeight="true" outlineLevel="0" collapsed="false">
      <c r="B4352" s="9" t="s">
        <v>16</v>
      </c>
      <c r="C4352" s="9" t="n">
        <v>1185732</v>
      </c>
      <c r="D4352" s="10" t="n">
        <v>44521</v>
      </c>
      <c r="E4352" s="9" t="s">
        <v>17</v>
      </c>
      <c r="F4352" s="9" t="s">
        <v>42</v>
      </c>
      <c r="G4352" s="9" t="s">
        <v>43</v>
      </c>
      <c r="H4352" s="11" t="s">
        <v>19</v>
      </c>
      <c r="I4352" s="12" t="n">
        <v>64</v>
      </c>
      <c r="J4352" s="13" t="n">
        <v>135</v>
      </c>
      <c r="K4352" s="14" t="n">
        <f aca="false">I4352*J4352</f>
        <v>8640</v>
      </c>
      <c r="L4352" s="14" t="n">
        <f aca="false">($L$2*M4352)/100</f>
        <v>781083.225</v>
      </c>
      <c r="M4352" s="15" t="n">
        <v>0.65</v>
      </c>
      <c r="N4352" s="9" t="s">
        <v>85</v>
      </c>
    </row>
    <row r="4353" customFormat="false" ht="14.25" hidden="false" customHeight="true" outlineLevel="0" collapsed="false">
      <c r="B4353" s="9" t="s">
        <v>16</v>
      </c>
      <c r="C4353" s="9" t="n">
        <v>1185732</v>
      </c>
      <c r="D4353" s="10" t="n">
        <v>44522</v>
      </c>
      <c r="E4353" s="9" t="s">
        <v>17</v>
      </c>
      <c r="F4353" s="9" t="s">
        <v>42</v>
      </c>
      <c r="G4353" s="9" t="s">
        <v>43</v>
      </c>
      <c r="H4353" s="11" t="s">
        <v>21</v>
      </c>
      <c r="I4353" s="12" t="n">
        <v>59</v>
      </c>
      <c r="J4353" s="13" t="n">
        <v>70</v>
      </c>
      <c r="K4353" s="14" t="n">
        <f aca="false">I4353*J4353</f>
        <v>4130</v>
      </c>
      <c r="L4353" s="14" t="n">
        <f aca="false">($L$2*M4353)/100</f>
        <v>552766.59</v>
      </c>
      <c r="M4353" s="15" t="n">
        <v>0.46</v>
      </c>
      <c r="N4353" s="9" t="s">
        <v>85</v>
      </c>
    </row>
    <row r="4354" customFormat="false" ht="14.25" hidden="false" customHeight="true" outlineLevel="0" collapsed="false">
      <c r="B4354" s="9" t="s">
        <v>16</v>
      </c>
      <c r="C4354" s="9" t="n">
        <v>1185732</v>
      </c>
      <c r="D4354" s="10" t="n">
        <v>44523</v>
      </c>
      <c r="E4354" s="9" t="s">
        <v>17</v>
      </c>
      <c r="F4354" s="9" t="s">
        <v>42</v>
      </c>
      <c r="G4354" s="9" t="s">
        <v>43</v>
      </c>
      <c r="H4354" s="11" t="s">
        <v>22</v>
      </c>
      <c r="I4354" s="12" t="n">
        <v>52</v>
      </c>
      <c r="J4354" s="13" t="n">
        <v>44</v>
      </c>
      <c r="K4354" s="14" t="n">
        <f aca="false">I4354*J4354</f>
        <v>2288</v>
      </c>
      <c r="L4354" s="14" t="n">
        <f aca="false">($L$2*M4354)/100</f>
        <v>600833.25</v>
      </c>
      <c r="M4354" s="15" t="n">
        <v>0.5</v>
      </c>
      <c r="N4354" s="9" t="s">
        <v>85</v>
      </c>
    </row>
    <row r="4355" customFormat="false" ht="14.25" hidden="false" customHeight="true" outlineLevel="0" collapsed="false">
      <c r="B4355" s="9" t="s">
        <v>16</v>
      </c>
      <c r="C4355" s="9" t="n">
        <v>1185732</v>
      </c>
      <c r="D4355" s="10" t="n">
        <v>44524</v>
      </c>
      <c r="E4355" s="9" t="s">
        <v>17</v>
      </c>
      <c r="F4355" s="9" t="s">
        <v>42</v>
      </c>
      <c r="G4355" s="9" t="s">
        <v>43</v>
      </c>
      <c r="H4355" s="11" t="s">
        <v>23</v>
      </c>
      <c r="I4355" s="12" t="n">
        <v>52</v>
      </c>
      <c r="J4355" s="13" t="n">
        <v>39</v>
      </c>
      <c r="K4355" s="14" t="n">
        <f aca="false">I4355*J4355</f>
        <v>2028</v>
      </c>
      <c r="L4355" s="14" t="n">
        <f aca="false">($L$2*M4355)/100</f>
        <v>636883.245</v>
      </c>
      <c r="M4355" s="15" t="n">
        <v>0.53</v>
      </c>
      <c r="N4355" s="9" t="s">
        <v>85</v>
      </c>
    </row>
    <row r="4356" customFormat="false" ht="14.25" hidden="false" customHeight="true" outlineLevel="0" collapsed="false">
      <c r="B4356" s="9" t="s">
        <v>16</v>
      </c>
      <c r="C4356" s="9" t="n">
        <v>1185732</v>
      </c>
      <c r="D4356" s="10" t="n">
        <v>44525</v>
      </c>
      <c r="E4356" s="9" t="s">
        <v>17</v>
      </c>
      <c r="F4356" s="9" t="s">
        <v>42</v>
      </c>
      <c r="G4356" s="9" t="s">
        <v>43</v>
      </c>
      <c r="H4356" s="11" t="s">
        <v>24</v>
      </c>
      <c r="I4356" s="12" t="n">
        <v>60</v>
      </c>
      <c r="J4356" s="13" t="n">
        <v>45</v>
      </c>
      <c r="K4356" s="14" t="n">
        <f aca="false">I4356*J4356</f>
        <v>2700</v>
      </c>
      <c r="L4356" s="14" t="n">
        <f aca="false">($L$2*M4356)/100</f>
        <v>552766.59</v>
      </c>
      <c r="M4356" s="15" t="n">
        <v>0.46</v>
      </c>
      <c r="N4356" s="9" t="s">
        <v>85</v>
      </c>
    </row>
    <row r="4357" customFormat="false" ht="14.25" hidden="false" customHeight="true" outlineLevel="0" collapsed="false">
      <c r="B4357" s="9" t="s">
        <v>16</v>
      </c>
      <c r="C4357" s="9" t="n">
        <v>1185732</v>
      </c>
      <c r="D4357" s="10" t="n">
        <v>44526</v>
      </c>
      <c r="E4357" s="9" t="s">
        <v>17</v>
      </c>
      <c r="F4357" s="9" t="s">
        <v>42</v>
      </c>
      <c r="G4357" s="9" t="s">
        <v>43</v>
      </c>
      <c r="H4357" s="11" t="s">
        <v>25</v>
      </c>
      <c r="I4357" s="12" t="n">
        <v>65</v>
      </c>
      <c r="J4357" s="13" t="n">
        <v>81</v>
      </c>
      <c r="K4357" s="14" t="n">
        <f aca="false">I4357*J4357</f>
        <v>5265</v>
      </c>
      <c r="L4357" s="14" t="n">
        <f aca="false">($L$2*M4357)/100</f>
        <v>504699.93</v>
      </c>
      <c r="M4357" s="15" t="n">
        <v>0.42</v>
      </c>
      <c r="N4357" s="9" t="s">
        <v>85</v>
      </c>
    </row>
    <row r="4358" customFormat="false" ht="14.25" hidden="false" customHeight="true" outlineLevel="0" collapsed="false">
      <c r="B4358" s="9" t="s">
        <v>16</v>
      </c>
      <c r="C4358" s="9" t="n">
        <v>1185732</v>
      </c>
      <c r="D4358" s="10" t="n">
        <v>44527</v>
      </c>
      <c r="E4358" s="9" t="s">
        <v>17</v>
      </c>
      <c r="F4358" s="9" t="s">
        <v>42</v>
      </c>
      <c r="G4358" s="9" t="s">
        <v>43</v>
      </c>
      <c r="H4358" s="11" t="s">
        <v>19</v>
      </c>
      <c r="I4358" s="12" t="n">
        <v>60</v>
      </c>
      <c r="J4358" s="13" t="n">
        <v>145</v>
      </c>
      <c r="K4358" s="14" t="n">
        <f aca="false">I4358*J4358</f>
        <v>8700</v>
      </c>
      <c r="L4358" s="14" t="n">
        <f aca="false">($L$2*M4358)/100</f>
        <v>805116.555</v>
      </c>
      <c r="M4358" s="15" t="n">
        <v>0.67</v>
      </c>
      <c r="N4358" s="9" t="s">
        <v>85</v>
      </c>
    </row>
    <row r="4359" customFormat="false" ht="14.25" hidden="false" customHeight="true" outlineLevel="0" collapsed="false">
      <c r="B4359" s="9" t="s">
        <v>16</v>
      </c>
      <c r="C4359" s="9" t="n">
        <v>1185732</v>
      </c>
      <c r="D4359" s="10" t="n">
        <v>44528</v>
      </c>
      <c r="E4359" s="9" t="s">
        <v>17</v>
      </c>
      <c r="F4359" s="9" t="s">
        <v>42</v>
      </c>
      <c r="G4359" s="9" t="s">
        <v>43</v>
      </c>
      <c r="H4359" s="11" t="s">
        <v>21</v>
      </c>
      <c r="I4359" s="12" t="n">
        <v>55</v>
      </c>
      <c r="J4359" s="13" t="n">
        <v>90</v>
      </c>
      <c r="K4359" s="14" t="n">
        <f aca="false">I4359*J4359</f>
        <v>4950</v>
      </c>
      <c r="L4359" s="14" t="n">
        <f aca="false">($L$2*M4359)/100</f>
        <v>600833.25</v>
      </c>
      <c r="M4359" s="15" t="n">
        <v>0.5</v>
      </c>
      <c r="N4359" s="9" t="s">
        <v>85</v>
      </c>
    </row>
    <row r="4360" customFormat="false" ht="14.25" hidden="false" customHeight="true" outlineLevel="0" collapsed="false">
      <c r="B4360" s="9" t="s">
        <v>16</v>
      </c>
      <c r="C4360" s="9" t="n">
        <v>1185732</v>
      </c>
      <c r="D4360" s="10" t="n">
        <v>44529</v>
      </c>
      <c r="E4360" s="9" t="s">
        <v>17</v>
      </c>
      <c r="F4360" s="9" t="s">
        <v>42</v>
      </c>
      <c r="G4360" s="9" t="s">
        <v>43</v>
      </c>
      <c r="H4360" s="11" t="s">
        <v>22</v>
      </c>
      <c r="I4360" s="12" t="n">
        <v>51</v>
      </c>
      <c r="J4360" s="13" t="n">
        <v>59</v>
      </c>
      <c r="K4360" s="14" t="n">
        <f aca="false">I4360*J4360</f>
        <v>3009</v>
      </c>
      <c r="L4360" s="14" t="n">
        <f aca="false">($L$2*M4360)/100</f>
        <v>600833.25</v>
      </c>
      <c r="M4360" s="15" t="n">
        <v>0.5</v>
      </c>
      <c r="N4360" s="9" t="s">
        <v>85</v>
      </c>
    </row>
    <row r="4361" customFormat="false" ht="14.25" hidden="false" customHeight="true" outlineLevel="0" collapsed="false">
      <c r="B4361" s="9" t="s">
        <v>16</v>
      </c>
      <c r="C4361" s="9" t="n">
        <v>1185732</v>
      </c>
      <c r="D4361" s="10" t="n">
        <v>44530</v>
      </c>
      <c r="E4361" s="9" t="s">
        <v>17</v>
      </c>
      <c r="F4361" s="9" t="s">
        <v>42</v>
      </c>
      <c r="G4361" s="9" t="s">
        <v>43</v>
      </c>
      <c r="H4361" s="11" t="s">
        <v>23</v>
      </c>
      <c r="I4361" s="12" t="n">
        <v>51</v>
      </c>
      <c r="J4361" s="13" t="n">
        <v>44</v>
      </c>
      <c r="K4361" s="14" t="n">
        <f aca="false">I4361*J4361</f>
        <v>2244</v>
      </c>
      <c r="L4361" s="14" t="n">
        <f aca="false">($L$2*M4361)/100</f>
        <v>636883.245</v>
      </c>
      <c r="M4361" s="15" t="n">
        <v>0.53</v>
      </c>
      <c r="N4361" s="9" t="s">
        <v>85</v>
      </c>
    </row>
    <row r="4362" customFormat="false" ht="14.25" hidden="false" customHeight="true" outlineLevel="0" collapsed="false">
      <c r="B4362" s="9" t="s">
        <v>16</v>
      </c>
      <c r="C4362" s="9" t="n">
        <v>1185732</v>
      </c>
      <c r="D4362" s="10" t="n">
        <v>44531</v>
      </c>
      <c r="E4362" s="9" t="s">
        <v>17</v>
      </c>
      <c r="F4362" s="9" t="s">
        <v>42</v>
      </c>
      <c r="G4362" s="9" t="s">
        <v>43</v>
      </c>
      <c r="H4362" s="11" t="s">
        <v>24</v>
      </c>
      <c r="I4362" s="12" t="n">
        <v>64</v>
      </c>
      <c r="J4362" s="13" t="n">
        <v>60</v>
      </c>
      <c r="K4362" s="14" t="n">
        <f aca="false">I4362*J4362</f>
        <v>3840</v>
      </c>
      <c r="L4362" s="14" t="n">
        <f aca="false">($L$2*M4362)/100</f>
        <v>576799.92</v>
      </c>
      <c r="M4362" s="15" t="n">
        <v>0.48</v>
      </c>
      <c r="N4362" s="9" t="s">
        <v>85</v>
      </c>
    </row>
    <row r="4363" customFormat="false" ht="14.25" hidden="false" customHeight="true" outlineLevel="0" collapsed="false">
      <c r="B4363" s="9" t="s">
        <v>16</v>
      </c>
      <c r="C4363" s="9" t="n">
        <v>1185732</v>
      </c>
      <c r="D4363" s="10" t="n">
        <v>44532</v>
      </c>
      <c r="E4363" s="9" t="s">
        <v>17</v>
      </c>
      <c r="F4363" s="9" t="s">
        <v>42</v>
      </c>
      <c r="G4363" s="9" t="s">
        <v>43</v>
      </c>
      <c r="H4363" s="11" t="s">
        <v>25</v>
      </c>
      <c r="I4363" s="12" t="n">
        <v>64</v>
      </c>
      <c r="J4363" s="13" t="n">
        <v>98</v>
      </c>
      <c r="K4363" s="14" t="n">
        <f aca="false">I4363*J4363</f>
        <v>6272</v>
      </c>
      <c r="L4363" s="14" t="n">
        <f aca="false">($L$2*M4363)/100</f>
        <v>504699.93</v>
      </c>
      <c r="M4363" s="15" t="n">
        <v>0.42</v>
      </c>
      <c r="N4363" s="9" t="s">
        <v>85</v>
      </c>
    </row>
    <row r="4364" customFormat="false" ht="14.25" hidden="false" customHeight="true" outlineLevel="0" collapsed="false">
      <c r="B4364" s="9" t="s">
        <v>16</v>
      </c>
      <c r="C4364" s="9" t="n">
        <v>1185732</v>
      </c>
      <c r="D4364" s="10" t="n">
        <v>44533</v>
      </c>
      <c r="E4364" s="9" t="s">
        <v>17</v>
      </c>
      <c r="F4364" s="9" t="s">
        <v>42</v>
      </c>
      <c r="G4364" s="9" t="s">
        <v>43</v>
      </c>
      <c r="H4364" s="11" t="s">
        <v>19</v>
      </c>
      <c r="I4364" s="12" t="n">
        <v>60</v>
      </c>
      <c r="J4364" s="13" t="n">
        <v>158</v>
      </c>
      <c r="K4364" s="14" t="n">
        <f aca="false">I4364*J4364</f>
        <v>9480</v>
      </c>
      <c r="L4364" s="14" t="n">
        <f aca="false">($L$2*M4364)/100</f>
        <v>793099.89</v>
      </c>
      <c r="M4364" s="15" t="n">
        <v>0.66</v>
      </c>
      <c r="N4364" s="9" t="s">
        <v>85</v>
      </c>
    </row>
    <row r="4365" customFormat="false" ht="14.25" hidden="false" customHeight="true" outlineLevel="0" collapsed="false">
      <c r="B4365" s="9" t="s">
        <v>16</v>
      </c>
      <c r="C4365" s="9" t="n">
        <v>1185732</v>
      </c>
      <c r="D4365" s="10" t="n">
        <v>44534</v>
      </c>
      <c r="E4365" s="9" t="s">
        <v>17</v>
      </c>
      <c r="F4365" s="9" t="s">
        <v>42</v>
      </c>
      <c r="G4365" s="9" t="s">
        <v>43</v>
      </c>
      <c r="H4365" s="11" t="s">
        <v>21</v>
      </c>
      <c r="I4365" s="12" t="n">
        <v>54</v>
      </c>
      <c r="J4365" s="13" t="n">
        <v>75</v>
      </c>
      <c r="K4365" s="14" t="n">
        <f aca="false">I4365*J4365</f>
        <v>4050</v>
      </c>
      <c r="L4365" s="14" t="n">
        <f aca="false">($L$2*M4365)/100</f>
        <v>564783.255</v>
      </c>
      <c r="M4365" s="15" t="n">
        <v>0.47</v>
      </c>
      <c r="N4365" s="9" t="s">
        <v>85</v>
      </c>
    </row>
    <row r="4366" customFormat="false" ht="14.25" hidden="false" customHeight="true" outlineLevel="0" collapsed="false">
      <c r="B4366" s="9" t="s">
        <v>16</v>
      </c>
      <c r="C4366" s="9" t="n">
        <v>1185732</v>
      </c>
      <c r="D4366" s="10" t="n">
        <v>44535</v>
      </c>
      <c r="E4366" s="9" t="s">
        <v>17</v>
      </c>
      <c r="F4366" s="9" t="s">
        <v>42</v>
      </c>
      <c r="G4366" s="9" t="s">
        <v>43</v>
      </c>
      <c r="H4366" s="11" t="s">
        <v>22</v>
      </c>
      <c r="I4366" s="12" t="n">
        <v>54</v>
      </c>
      <c r="J4366" s="13" t="n">
        <v>61</v>
      </c>
      <c r="K4366" s="14" t="n">
        <f aca="false">I4366*J4366</f>
        <v>3294</v>
      </c>
      <c r="L4366" s="14" t="n">
        <f aca="false">($L$2*M4366)/100</f>
        <v>660916.575</v>
      </c>
      <c r="M4366" s="15" t="n">
        <v>0.55</v>
      </c>
      <c r="N4366" s="9" t="s">
        <v>85</v>
      </c>
    </row>
    <row r="4367" customFormat="false" ht="14.25" hidden="false" customHeight="true" outlineLevel="0" collapsed="false">
      <c r="B4367" s="9" t="s">
        <v>16</v>
      </c>
      <c r="C4367" s="9" t="n">
        <v>1185732</v>
      </c>
      <c r="D4367" s="10" t="n">
        <v>44536</v>
      </c>
      <c r="E4367" s="9" t="s">
        <v>17</v>
      </c>
      <c r="F4367" s="9" t="s">
        <v>42</v>
      </c>
      <c r="G4367" s="9" t="s">
        <v>43</v>
      </c>
      <c r="H4367" s="11" t="s">
        <v>23</v>
      </c>
      <c r="I4367" s="12" t="n">
        <v>53</v>
      </c>
      <c r="J4367" s="13" t="n">
        <v>58</v>
      </c>
      <c r="K4367" s="14" t="n">
        <f aca="false">I4367*J4367</f>
        <v>3074</v>
      </c>
      <c r="L4367" s="14" t="n">
        <f aca="false">($L$2*M4367)/100</f>
        <v>648899.91</v>
      </c>
      <c r="M4367" s="15" t="n">
        <v>0.54</v>
      </c>
      <c r="N4367" s="9" t="s">
        <v>85</v>
      </c>
    </row>
    <row r="4368" customFormat="false" ht="14.25" hidden="false" customHeight="true" outlineLevel="0" collapsed="false">
      <c r="B4368" s="9" t="s">
        <v>16</v>
      </c>
      <c r="C4368" s="9" t="n">
        <v>1185732</v>
      </c>
      <c r="D4368" s="10" t="n">
        <v>44537</v>
      </c>
      <c r="E4368" s="9" t="s">
        <v>17</v>
      </c>
      <c r="F4368" s="9" t="s">
        <v>42</v>
      </c>
      <c r="G4368" s="9" t="s">
        <v>43</v>
      </c>
      <c r="H4368" s="11" t="s">
        <v>24</v>
      </c>
      <c r="I4368" s="12" t="n">
        <v>61</v>
      </c>
      <c r="J4368" s="13" t="n">
        <v>46</v>
      </c>
      <c r="K4368" s="14" t="n">
        <f aca="false">I4368*J4368</f>
        <v>2806</v>
      </c>
      <c r="L4368" s="14" t="n">
        <f aca="false">($L$2*M4368)/100</f>
        <v>552766.59</v>
      </c>
      <c r="M4368" s="15" t="n">
        <v>0.46</v>
      </c>
      <c r="N4368" s="9" t="s">
        <v>85</v>
      </c>
    </row>
    <row r="4369" customFormat="false" ht="14.25" hidden="false" customHeight="true" outlineLevel="0" collapsed="false">
      <c r="B4369" s="9" t="s">
        <v>16</v>
      </c>
      <c r="C4369" s="9" t="n">
        <v>1185732</v>
      </c>
      <c r="D4369" s="10" t="n">
        <v>44538</v>
      </c>
      <c r="E4369" s="9" t="s">
        <v>17</v>
      </c>
      <c r="F4369" s="9" t="s">
        <v>42</v>
      </c>
      <c r="G4369" s="9" t="s">
        <v>43</v>
      </c>
      <c r="H4369" s="11" t="s">
        <v>25</v>
      </c>
      <c r="I4369" s="12" t="n">
        <v>64</v>
      </c>
      <c r="J4369" s="13" t="n">
        <v>95</v>
      </c>
      <c r="K4369" s="14" t="n">
        <f aca="false">I4369*J4369</f>
        <v>6080</v>
      </c>
      <c r="L4369" s="14" t="n">
        <f aca="false">($L$2*M4369)/100</f>
        <v>516716.595</v>
      </c>
      <c r="M4369" s="15" t="n">
        <v>0.43</v>
      </c>
      <c r="N4369" s="9" t="s">
        <v>85</v>
      </c>
    </row>
    <row r="4370" customFormat="false" ht="14.25" hidden="false" customHeight="true" outlineLevel="0" collapsed="false">
      <c r="B4370" s="9" t="s">
        <v>16</v>
      </c>
      <c r="C4370" s="9" t="n">
        <v>1185732</v>
      </c>
      <c r="D4370" s="10" t="n">
        <v>44539</v>
      </c>
      <c r="E4370" s="9" t="s">
        <v>17</v>
      </c>
      <c r="F4370" s="9" t="s">
        <v>42</v>
      </c>
      <c r="G4370" s="9" t="s">
        <v>43</v>
      </c>
      <c r="H4370" s="11" t="s">
        <v>19</v>
      </c>
      <c r="I4370" s="12" t="n">
        <v>62</v>
      </c>
      <c r="J4370" s="13" t="n">
        <v>143</v>
      </c>
      <c r="K4370" s="14" t="n">
        <f aca="false">I4370*J4370</f>
        <v>8866</v>
      </c>
      <c r="L4370" s="14" t="n">
        <f aca="false">($L$2*M4370)/100</f>
        <v>720999.9</v>
      </c>
      <c r="M4370" s="15" t="n">
        <v>0.6</v>
      </c>
      <c r="N4370" s="9" t="s">
        <v>85</v>
      </c>
    </row>
    <row r="4371" customFormat="false" ht="14.25" hidden="false" customHeight="true" outlineLevel="0" collapsed="false">
      <c r="B4371" s="9" t="s">
        <v>16</v>
      </c>
      <c r="C4371" s="9" t="n">
        <v>1185732</v>
      </c>
      <c r="D4371" s="10" t="n">
        <v>44540</v>
      </c>
      <c r="E4371" s="9" t="s">
        <v>17</v>
      </c>
      <c r="F4371" s="9" t="s">
        <v>42</v>
      </c>
      <c r="G4371" s="9" t="s">
        <v>43</v>
      </c>
      <c r="H4371" s="11" t="s">
        <v>21</v>
      </c>
      <c r="I4371" s="12" t="n">
        <v>48</v>
      </c>
      <c r="J4371" s="13" t="n">
        <v>80</v>
      </c>
      <c r="K4371" s="14" t="n">
        <f aca="false">I4371*J4371</f>
        <v>3840</v>
      </c>
      <c r="L4371" s="14" t="n">
        <f aca="false">($L$2*M4371)/100</f>
        <v>480666.6</v>
      </c>
      <c r="M4371" s="15" t="n">
        <v>0.4</v>
      </c>
      <c r="N4371" s="9" t="s">
        <v>85</v>
      </c>
    </row>
    <row r="4372" customFormat="false" ht="14.25" hidden="false" customHeight="true" outlineLevel="0" collapsed="false">
      <c r="B4372" s="9" t="s">
        <v>16</v>
      </c>
      <c r="C4372" s="9" t="n">
        <v>1185732</v>
      </c>
      <c r="D4372" s="10" t="n">
        <v>44541</v>
      </c>
      <c r="E4372" s="9" t="s">
        <v>17</v>
      </c>
      <c r="F4372" s="9" t="s">
        <v>42</v>
      </c>
      <c r="G4372" s="9" t="s">
        <v>43</v>
      </c>
      <c r="H4372" s="11" t="s">
        <v>22</v>
      </c>
      <c r="I4372" s="12" t="n">
        <v>41</v>
      </c>
      <c r="J4372" s="13" t="n">
        <v>50</v>
      </c>
      <c r="K4372" s="14" t="n">
        <f aca="false">I4372*J4372</f>
        <v>2050</v>
      </c>
      <c r="L4372" s="14" t="n">
        <f aca="false">($L$2*M4372)/100</f>
        <v>540749.925</v>
      </c>
      <c r="M4372" s="15" t="n">
        <v>0.45</v>
      </c>
      <c r="N4372" s="9" t="s">
        <v>85</v>
      </c>
    </row>
    <row r="4373" customFormat="false" ht="14.25" hidden="false" customHeight="true" outlineLevel="0" collapsed="false">
      <c r="B4373" s="9" t="s">
        <v>16</v>
      </c>
      <c r="C4373" s="9" t="n">
        <v>1185732</v>
      </c>
      <c r="D4373" s="10" t="n">
        <v>44542</v>
      </c>
      <c r="E4373" s="9" t="s">
        <v>17</v>
      </c>
      <c r="F4373" s="9" t="s">
        <v>42</v>
      </c>
      <c r="G4373" s="9" t="s">
        <v>43</v>
      </c>
      <c r="H4373" s="11" t="s">
        <v>23</v>
      </c>
      <c r="I4373" s="12" t="n">
        <v>41</v>
      </c>
      <c r="J4373" s="13" t="n">
        <v>53</v>
      </c>
      <c r="K4373" s="14" t="n">
        <f aca="false">I4373*J4373</f>
        <v>2173</v>
      </c>
      <c r="L4373" s="14" t="n">
        <f aca="false">($L$2*M4373)/100</f>
        <v>564783.255</v>
      </c>
      <c r="M4373" s="15" t="n">
        <v>0.47</v>
      </c>
      <c r="N4373" s="9" t="s">
        <v>85</v>
      </c>
    </row>
    <row r="4374" customFormat="false" ht="14.25" hidden="false" customHeight="true" outlineLevel="0" collapsed="false">
      <c r="B4374" s="9" t="s">
        <v>16</v>
      </c>
      <c r="C4374" s="9" t="n">
        <v>1185732</v>
      </c>
      <c r="D4374" s="10" t="n">
        <v>44543</v>
      </c>
      <c r="E4374" s="9" t="s">
        <v>17</v>
      </c>
      <c r="F4374" s="9" t="s">
        <v>42</v>
      </c>
      <c r="G4374" s="9" t="s">
        <v>43</v>
      </c>
      <c r="H4374" s="11" t="s">
        <v>24</v>
      </c>
      <c r="I4374" s="12" t="n">
        <v>50</v>
      </c>
      <c r="J4374" s="13" t="n">
        <v>36</v>
      </c>
      <c r="K4374" s="14" t="n">
        <f aca="false">I4374*J4374</f>
        <v>1800</v>
      </c>
      <c r="L4374" s="14" t="n">
        <f aca="false">($L$2*M4374)/100</f>
        <v>540749.925</v>
      </c>
      <c r="M4374" s="15" t="n">
        <v>0.45</v>
      </c>
      <c r="N4374" s="9" t="s">
        <v>85</v>
      </c>
    </row>
    <row r="4375" customFormat="false" ht="14.25" hidden="false" customHeight="true" outlineLevel="0" collapsed="false">
      <c r="B4375" s="9" t="s">
        <v>16</v>
      </c>
      <c r="C4375" s="9" t="n">
        <v>1185732</v>
      </c>
      <c r="D4375" s="10" t="n">
        <v>44544</v>
      </c>
      <c r="E4375" s="9" t="s">
        <v>17</v>
      </c>
      <c r="F4375" s="9" t="s">
        <v>42</v>
      </c>
      <c r="G4375" s="9" t="s">
        <v>43</v>
      </c>
      <c r="H4375" s="11" t="s">
        <v>25</v>
      </c>
      <c r="I4375" s="12" t="n">
        <v>55</v>
      </c>
      <c r="J4375" s="13" t="n">
        <v>61</v>
      </c>
      <c r="K4375" s="14" t="n">
        <f aca="false">I4375*J4375</f>
        <v>3355</v>
      </c>
      <c r="L4375" s="14" t="n">
        <f aca="false">($L$2*M4375)/100</f>
        <v>480666.6</v>
      </c>
      <c r="M4375" s="15" t="n">
        <v>0.4</v>
      </c>
      <c r="N4375" s="9" t="s">
        <v>85</v>
      </c>
    </row>
    <row r="4376" customFormat="false" ht="14.25" hidden="false" customHeight="true" outlineLevel="0" collapsed="false">
      <c r="B4376" s="9" t="s">
        <v>16</v>
      </c>
      <c r="C4376" s="9" t="n">
        <v>1185732</v>
      </c>
      <c r="D4376" s="10" t="n">
        <v>44545</v>
      </c>
      <c r="E4376" s="9" t="s">
        <v>17</v>
      </c>
      <c r="F4376" s="9" t="s">
        <v>42</v>
      </c>
      <c r="G4376" s="9" t="s">
        <v>43</v>
      </c>
      <c r="H4376" s="11" t="s">
        <v>19</v>
      </c>
      <c r="I4376" s="12" t="n">
        <v>55</v>
      </c>
      <c r="J4376" s="13" t="n">
        <v>104</v>
      </c>
      <c r="K4376" s="14" t="n">
        <f aca="false">I4376*J4376</f>
        <v>5720</v>
      </c>
      <c r="L4376" s="14" t="n">
        <f aca="false">($L$2*M4376)/100</f>
        <v>745033.23</v>
      </c>
      <c r="M4376" s="15" t="n">
        <v>0.62</v>
      </c>
      <c r="N4376" s="9" t="s">
        <v>85</v>
      </c>
    </row>
    <row r="4377" customFormat="false" ht="14.25" hidden="false" customHeight="true" outlineLevel="0" collapsed="false">
      <c r="B4377" s="9" t="s">
        <v>16</v>
      </c>
      <c r="C4377" s="9" t="n">
        <v>1185732</v>
      </c>
      <c r="D4377" s="10" t="n">
        <v>44546</v>
      </c>
      <c r="E4377" s="9" t="s">
        <v>17</v>
      </c>
      <c r="F4377" s="9" t="s">
        <v>42</v>
      </c>
      <c r="G4377" s="9" t="s">
        <v>43</v>
      </c>
      <c r="H4377" s="11" t="s">
        <v>21</v>
      </c>
      <c r="I4377" s="12" t="n">
        <v>47</v>
      </c>
      <c r="J4377" s="13" t="n">
        <v>63</v>
      </c>
      <c r="K4377" s="14" t="n">
        <f aca="false">I4377*J4377</f>
        <v>2961</v>
      </c>
      <c r="L4377" s="14" t="n">
        <f aca="false">($L$2*M4377)/100</f>
        <v>504699.93</v>
      </c>
      <c r="M4377" s="15" t="n">
        <v>0.42</v>
      </c>
      <c r="N4377" s="9" t="s">
        <v>85</v>
      </c>
    </row>
    <row r="4378" customFormat="false" ht="14.25" hidden="false" customHeight="true" outlineLevel="0" collapsed="false">
      <c r="B4378" s="9" t="s">
        <v>16</v>
      </c>
      <c r="C4378" s="9" t="n">
        <v>1185732</v>
      </c>
      <c r="D4378" s="10" t="n">
        <v>44547</v>
      </c>
      <c r="E4378" s="9" t="s">
        <v>17</v>
      </c>
      <c r="F4378" s="9" t="s">
        <v>42</v>
      </c>
      <c r="G4378" s="9" t="s">
        <v>43</v>
      </c>
      <c r="H4378" s="11" t="s">
        <v>22</v>
      </c>
      <c r="I4378" s="12" t="n">
        <v>48</v>
      </c>
      <c r="J4378" s="13" t="n">
        <v>34</v>
      </c>
      <c r="K4378" s="14" t="n">
        <f aca="false">I4378*J4378</f>
        <v>1632</v>
      </c>
      <c r="L4378" s="14" t="n">
        <f aca="false">($L$2*M4378)/100</f>
        <v>540749.925</v>
      </c>
      <c r="M4378" s="15" t="n">
        <v>0.45</v>
      </c>
      <c r="N4378" s="9" t="s">
        <v>85</v>
      </c>
    </row>
    <row r="4379" customFormat="false" ht="14.25" hidden="false" customHeight="true" outlineLevel="0" collapsed="false">
      <c r="B4379" s="9" t="s">
        <v>16</v>
      </c>
      <c r="C4379" s="9" t="n">
        <v>1185732</v>
      </c>
      <c r="D4379" s="10" t="n">
        <v>44548</v>
      </c>
      <c r="E4379" s="9" t="s">
        <v>17</v>
      </c>
      <c r="F4379" s="9" t="s">
        <v>42</v>
      </c>
      <c r="G4379" s="9" t="s">
        <v>43</v>
      </c>
      <c r="H4379" s="11" t="s">
        <v>23</v>
      </c>
      <c r="I4379" s="12" t="n">
        <v>48</v>
      </c>
      <c r="J4379" s="13" t="n">
        <v>29</v>
      </c>
      <c r="K4379" s="14" t="n">
        <f aca="false">I4379*J4379</f>
        <v>1392</v>
      </c>
      <c r="L4379" s="14" t="n">
        <f aca="false">($L$2*M4379)/100</f>
        <v>540749.925</v>
      </c>
      <c r="M4379" s="15" t="n">
        <v>0.45</v>
      </c>
      <c r="N4379" s="9" t="s">
        <v>85</v>
      </c>
    </row>
    <row r="4380" customFormat="false" ht="14.25" hidden="false" customHeight="true" outlineLevel="0" collapsed="false">
      <c r="B4380" s="9" t="s">
        <v>16</v>
      </c>
      <c r="C4380" s="9" t="n">
        <v>1185732</v>
      </c>
      <c r="D4380" s="10" t="n">
        <v>44549</v>
      </c>
      <c r="E4380" s="9" t="s">
        <v>17</v>
      </c>
      <c r="F4380" s="9" t="s">
        <v>42</v>
      </c>
      <c r="G4380" s="9" t="s">
        <v>43</v>
      </c>
      <c r="H4380" s="11" t="s">
        <v>24</v>
      </c>
      <c r="I4380" s="12" t="n">
        <v>56</v>
      </c>
      <c r="J4380" s="13" t="n">
        <v>27</v>
      </c>
      <c r="K4380" s="14" t="n">
        <f aca="false">I4380*J4380</f>
        <v>1512</v>
      </c>
      <c r="L4380" s="14" t="n">
        <f aca="false">($L$2*M4380)/100</f>
        <v>516716.595</v>
      </c>
      <c r="M4380" s="15" t="n">
        <v>0.43</v>
      </c>
      <c r="N4380" s="9" t="s">
        <v>85</v>
      </c>
    </row>
    <row r="4381" customFormat="false" ht="14.25" hidden="false" customHeight="true" outlineLevel="0" collapsed="false">
      <c r="B4381" s="9" t="s">
        <v>16</v>
      </c>
      <c r="C4381" s="9" t="n">
        <v>1185732</v>
      </c>
      <c r="D4381" s="10" t="n">
        <v>44550</v>
      </c>
      <c r="E4381" s="9" t="s">
        <v>17</v>
      </c>
      <c r="F4381" s="9" t="s">
        <v>42</v>
      </c>
      <c r="G4381" s="9" t="s">
        <v>43</v>
      </c>
      <c r="H4381" s="11" t="s">
        <v>25</v>
      </c>
      <c r="I4381" s="12" t="n">
        <v>60</v>
      </c>
      <c r="J4381" s="13" t="n">
        <v>63</v>
      </c>
      <c r="K4381" s="14" t="n">
        <f aca="false">I4381*J4381</f>
        <v>3780</v>
      </c>
      <c r="L4381" s="14" t="n">
        <f aca="false">($L$2*M4381)/100</f>
        <v>468649.935</v>
      </c>
      <c r="M4381" s="15" t="n">
        <v>0.39</v>
      </c>
      <c r="N4381" s="9" t="s">
        <v>85</v>
      </c>
    </row>
    <row r="4382" customFormat="false" ht="14.25" hidden="false" customHeight="true" outlineLevel="0" collapsed="false">
      <c r="B4382" s="9" t="s">
        <v>16</v>
      </c>
      <c r="C4382" s="9" t="n">
        <v>1185732</v>
      </c>
      <c r="D4382" s="10" t="n">
        <v>44551</v>
      </c>
      <c r="E4382" s="9" t="s">
        <v>17</v>
      </c>
      <c r="F4382" s="9" t="s">
        <v>42</v>
      </c>
      <c r="G4382" s="9" t="s">
        <v>43</v>
      </c>
      <c r="H4382" s="11" t="s">
        <v>19</v>
      </c>
      <c r="I4382" s="12" t="n">
        <v>66</v>
      </c>
      <c r="J4382" s="13" t="n">
        <v>113</v>
      </c>
      <c r="K4382" s="14" t="n">
        <f aca="false">I4382*J4382</f>
        <v>7458</v>
      </c>
      <c r="L4382" s="14" t="n">
        <f aca="false">($L$2*M4382)/100</f>
        <v>781083.225</v>
      </c>
      <c r="M4382" s="15" t="n">
        <v>0.65</v>
      </c>
      <c r="N4382" s="9" t="s">
        <v>85</v>
      </c>
    </row>
    <row r="4383" customFormat="false" ht="14.25" hidden="false" customHeight="true" outlineLevel="0" collapsed="false">
      <c r="B4383" s="9" t="s">
        <v>16</v>
      </c>
      <c r="C4383" s="9" t="n">
        <v>1185732</v>
      </c>
      <c r="D4383" s="10" t="n">
        <v>44552</v>
      </c>
      <c r="E4383" s="9" t="s">
        <v>17</v>
      </c>
      <c r="F4383" s="9" t="s">
        <v>42</v>
      </c>
      <c r="G4383" s="9" t="s">
        <v>43</v>
      </c>
      <c r="H4383" s="11" t="s">
        <v>21</v>
      </c>
      <c r="I4383" s="12" t="n">
        <v>55</v>
      </c>
      <c r="J4383" s="13" t="n">
        <v>60</v>
      </c>
      <c r="K4383" s="14" t="n">
        <f aca="false">I4383*J4383</f>
        <v>3300</v>
      </c>
      <c r="L4383" s="14" t="n">
        <f aca="false">($L$2*M4383)/100</f>
        <v>564783.255</v>
      </c>
      <c r="M4383" s="15" t="n">
        <v>0.47</v>
      </c>
      <c r="N4383" s="9" t="s">
        <v>85</v>
      </c>
    </row>
    <row r="4384" customFormat="false" ht="14.25" hidden="false" customHeight="true" outlineLevel="0" collapsed="false">
      <c r="B4384" s="9" t="s">
        <v>16</v>
      </c>
      <c r="C4384" s="9" t="n">
        <v>1185732</v>
      </c>
      <c r="D4384" s="10" t="n">
        <v>44553</v>
      </c>
      <c r="E4384" s="9" t="s">
        <v>17</v>
      </c>
      <c r="F4384" s="9" t="s">
        <v>42</v>
      </c>
      <c r="G4384" s="9" t="s">
        <v>43</v>
      </c>
      <c r="H4384" s="11" t="s">
        <v>22</v>
      </c>
      <c r="I4384" s="12" t="n">
        <v>55</v>
      </c>
      <c r="J4384" s="13" t="n">
        <v>55</v>
      </c>
      <c r="K4384" s="14" t="n">
        <f aca="false">I4384*J4384</f>
        <v>3025</v>
      </c>
      <c r="L4384" s="14" t="n">
        <f aca="false">($L$2*M4384)/100</f>
        <v>636883.245</v>
      </c>
      <c r="M4384" s="15" t="n">
        <v>0.53</v>
      </c>
      <c r="N4384" s="9" t="s">
        <v>85</v>
      </c>
    </row>
    <row r="4385" customFormat="false" ht="14.25" hidden="false" customHeight="true" outlineLevel="0" collapsed="false">
      <c r="B4385" s="9" t="s">
        <v>16</v>
      </c>
      <c r="C4385" s="9" t="n">
        <v>1185732</v>
      </c>
      <c r="D4385" s="10" t="n">
        <v>44554</v>
      </c>
      <c r="E4385" s="9" t="s">
        <v>17</v>
      </c>
      <c r="F4385" s="9" t="s">
        <v>42</v>
      </c>
      <c r="G4385" s="9" t="s">
        <v>43</v>
      </c>
      <c r="H4385" s="11" t="s">
        <v>23</v>
      </c>
      <c r="I4385" s="12" t="n">
        <v>56</v>
      </c>
      <c r="J4385" s="13" t="n">
        <v>44</v>
      </c>
      <c r="K4385" s="14" t="n">
        <f aca="false">I4385*J4385</f>
        <v>2464</v>
      </c>
      <c r="L4385" s="14" t="n">
        <f aca="false">($L$2*M4385)/100</f>
        <v>612849.915</v>
      </c>
      <c r="M4385" s="15" t="n">
        <v>0.51</v>
      </c>
      <c r="N4385" s="9" t="s">
        <v>85</v>
      </c>
    </row>
    <row r="4386" customFormat="false" ht="14.25" hidden="false" customHeight="true" outlineLevel="0" collapsed="false">
      <c r="B4386" s="9" t="s">
        <v>16</v>
      </c>
      <c r="C4386" s="9" t="n">
        <v>1185732</v>
      </c>
      <c r="D4386" s="10" t="n">
        <v>44555</v>
      </c>
      <c r="E4386" s="9" t="s">
        <v>17</v>
      </c>
      <c r="F4386" s="9" t="s">
        <v>42</v>
      </c>
      <c r="G4386" s="9" t="s">
        <v>43</v>
      </c>
      <c r="H4386" s="11" t="s">
        <v>24</v>
      </c>
      <c r="I4386" s="12" t="n">
        <v>64</v>
      </c>
      <c r="J4386" s="13" t="n">
        <v>42</v>
      </c>
      <c r="K4386" s="14" t="n">
        <f aca="false">I4386*J4386</f>
        <v>2688</v>
      </c>
      <c r="L4386" s="14" t="n">
        <f aca="false">($L$2*M4386)/100</f>
        <v>576799.92</v>
      </c>
      <c r="M4386" s="15" t="n">
        <v>0.48</v>
      </c>
      <c r="N4386" s="9" t="s">
        <v>85</v>
      </c>
    </row>
    <row r="4387" customFormat="false" ht="14.25" hidden="false" customHeight="true" outlineLevel="0" collapsed="false">
      <c r="B4387" s="9" t="s">
        <v>16</v>
      </c>
      <c r="C4387" s="9" t="n">
        <v>1185732</v>
      </c>
      <c r="D4387" s="10" t="n">
        <v>44556</v>
      </c>
      <c r="E4387" s="9" t="s">
        <v>17</v>
      </c>
      <c r="F4387" s="9" t="s">
        <v>42</v>
      </c>
      <c r="G4387" s="9" t="s">
        <v>43</v>
      </c>
      <c r="H4387" s="11" t="s">
        <v>25</v>
      </c>
      <c r="I4387" s="12" t="n">
        <v>71</v>
      </c>
      <c r="J4387" s="13" t="n">
        <v>65</v>
      </c>
      <c r="K4387" s="14" t="n">
        <f aca="false">I4387*J4387</f>
        <v>4615</v>
      </c>
      <c r="L4387" s="14" t="n">
        <f aca="false">($L$2*M4387)/100</f>
        <v>528733.26</v>
      </c>
      <c r="M4387" s="15" t="n">
        <v>0.44</v>
      </c>
      <c r="N4387" s="9" t="s">
        <v>85</v>
      </c>
    </row>
    <row r="4388" customFormat="false" ht="14.25" hidden="false" customHeight="true" outlineLevel="0" collapsed="false">
      <c r="B4388" s="9" t="s">
        <v>16</v>
      </c>
      <c r="C4388" s="9" t="n">
        <v>1185732</v>
      </c>
      <c r="D4388" s="10" t="n">
        <v>44557</v>
      </c>
      <c r="E4388" s="9" t="s">
        <v>17</v>
      </c>
      <c r="F4388" s="9" t="s">
        <v>42</v>
      </c>
      <c r="G4388" s="9" t="s">
        <v>43</v>
      </c>
      <c r="H4388" s="11" t="s">
        <v>19</v>
      </c>
      <c r="I4388" s="12" t="n">
        <v>67</v>
      </c>
      <c r="J4388" s="13" t="n">
        <v>124</v>
      </c>
      <c r="K4388" s="14" t="n">
        <f aca="false">I4388*J4388</f>
        <v>8308</v>
      </c>
      <c r="L4388" s="14" t="n">
        <f aca="false">($L$2*M4388)/100</f>
        <v>829149.885</v>
      </c>
      <c r="M4388" s="15" t="n">
        <v>0.69</v>
      </c>
      <c r="N4388" s="9" t="s">
        <v>85</v>
      </c>
    </row>
    <row r="4389" customFormat="false" ht="14.25" hidden="false" customHeight="true" outlineLevel="0" collapsed="false">
      <c r="B4389" s="9" t="s">
        <v>16</v>
      </c>
      <c r="C4389" s="9" t="n">
        <v>1185732</v>
      </c>
      <c r="D4389" s="10" t="n">
        <v>44558</v>
      </c>
      <c r="E4389" s="9" t="s">
        <v>17</v>
      </c>
      <c r="F4389" s="9" t="s">
        <v>42</v>
      </c>
      <c r="G4389" s="9" t="s">
        <v>43</v>
      </c>
      <c r="H4389" s="11" t="s">
        <v>21</v>
      </c>
      <c r="I4389" s="12" t="n">
        <v>55</v>
      </c>
      <c r="J4389" s="13" t="n">
        <v>69</v>
      </c>
      <c r="K4389" s="14" t="n">
        <f aca="false">I4389*J4389</f>
        <v>3795</v>
      </c>
      <c r="L4389" s="14" t="n">
        <f aca="false">($L$2*M4389)/100</f>
        <v>540749.925</v>
      </c>
      <c r="M4389" s="15" t="n">
        <v>0.45</v>
      </c>
      <c r="N4389" s="9" t="s">
        <v>85</v>
      </c>
    </row>
    <row r="4390" customFormat="false" ht="14.25" hidden="false" customHeight="true" outlineLevel="0" collapsed="false">
      <c r="B4390" s="9" t="s">
        <v>16</v>
      </c>
      <c r="C4390" s="9" t="n">
        <v>1185732</v>
      </c>
      <c r="D4390" s="10" t="n">
        <v>44559</v>
      </c>
      <c r="E4390" s="9" t="s">
        <v>17</v>
      </c>
      <c r="F4390" s="9" t="s">
        <v>42</v>
      </c>
      <c r="G4390" s="9" t="s">
        <v>43</v>
      </c>
      <c r="H4390" s="11" t="s">
        <v>22</v>
      </c>
      <c r="I4390" s="12" t="n">
        <v>55</v>
      </c>
      <c r="J4390" s="13" t="n">
        <v>65</v>
      </c>
      <c r="K4390" s="14" t="n">
        <f aca="false">I4390*J4390</f>
        <v>3575</v>
      </c>
      <c r="L4390" s="14" t="n">
        <f aca="false">($L$2*M4390)/100</f>
        <v>636883.245</v>
      </c>
      <c r="M4390" s="15" t="n">
        <v>0.53</v>
      </c>
      <c r="N4390" s="9" t="s">
        <v>85</v>
      </c>
    </row>
    <row r="4391" customFormat="false" ht="14.25" hidden="false" customHeight="true" outlineLevel="0" collapsed="false">
      <c r="B4391" s="9" t="s">
        <v>16</v>
      </c>
      <c r="C4391" s="9" t="n">
        <v>1185732</v>
      </c>
      <c r="D4391" s="10" t="n">
        <v>44560</v>
      </c>
      <c r="E4391" s="9" t="s">
        <v>17</v>
      </c>
      <c r="F4391" s="9" t="s">
        <v>42</v>
      </c>
      <c r="G4391" s="9" t="s">
        <v>43</v>
      </c>
      <c r="H4391" s="11" t="s">
        <v>23</v>
      </c>
      <c r="I4391" s="12" t="n">
        <v>57</v>
      </c>
      <c r="J4391" s="13" t="n">
        <v>53</v>
      </c>
      <c r="K4391" s="14" t="n">
        <f aca="false">I4391*J4391</f>
        <v>3021</v>
      </c>
      <c r="L4391" s="14" t="n">
        <f aca="false">($L$2*M4391)/100</f>
        <v>636883.245</v>
      </c>
      <c r="M4391" s="15" t="n">
        <v>0.53</v>
      </c>
      <c r="N4391" s="9" t="s">
        <v>85</v>
      </c>
    </row>
    <row r="4392" customFormat="false" ht="14.25" hidden="false" customHeight="true" outlineLevel="0" collapsed="false">
      <c r="B4392" s="9" t="s">
        <v>16</v>
      </c>
      <c r="C4392" s="9" t="n">
        <v>1185732</v>
      </c>
      <c r="D4392" s="10" t="n">
        <v>44561</v>
      </c>
      <c r="E4392" s="9" t="s">
        <v>17</v>
      </c>
      <c r="F4392" s="9" t="s">
        <v>42</v>
      </c>
      <c r="G4392" s="9" t="s">
        <v>43</v>
      </c>
      <c r="H4392" s="11" t="s">
        <v>24</v>
      </c>
      <c r="I4392" s="12" t="n">
        <v>63</v>
      </c>
      <c r="J4392" s="13" t="n">
        <v>47</v>
      </c>
      <c r="K4392" s="14" t="n">
        <f aca="false">I4392*J4392</f>
        <v>2961</v>
      </c>
      <c r="L4392" s="14" t="n">
        <f aca="false">($L$2*M4392)/100</f>
        <v>552766.59</v>
      </c>
      <c r="M4392" s="15" t="n">
        <v>0.46</v>
      </c>
      <c r="N4392" s="9" t="s">
        <v>85</v>
      </c>
    </row>
    <row r="4393" customFormat="false" ht="14.25" hidden="false" customHeight="true" outlineLevel="0" collapsed="false">
      <c r="B4393" s="9" t="s">
        <v>16</v>
      </c>
      <c r="C4393" s="9" t="n">
        <v>1185732</v>
      </c>
      <c r="D4393" s="10" t="n">
        <v>43831</v>
      </c>
      <c r="E4393" s="9" t="s">
        <v>17</v>
      </c>
      <c r="F4393" s="9" t="s">
        <v>42</v>
      </c>
      <c r="G4393" s="9" t="s">
        <v>43</v>
      </c>
      <c r="H4393" s="11" t="s">
        <v>25</v>
      </c>
      <c r="I4393" s="12" t="n">
        <v>68</v>
      </c>
      <c r="J4393" s="13" t="n">
        <v>83</v>
      </c>
      <c r="K4393" s="14" t="n">
        <f aca="false">I4393*J4393</f>
        <v>5644</v>
      </c>
      <c r="L4393" s="14" t="n">
        <f aca="false">($L$2*M4393)/100</f>
        <v>516716.595</v>
      </c>
      <c r="M4393" s="15" t="n">
        <v>0.43</v>
      </c>
      <c r="N4393" s="9" t="s">
        <v>85</v>
      </c>
    </row>
    <row r="4394" customFormat="false" ht="14.25" hidden="false" customHeight="true" outlineLevel="0" collapsed="false">
      <c r="B4394" s="9" t="s">
        <v>32</v>
      </c>
      <c r="C4394" s="9" t="n">
        <v>1128299</v>
      </c>
      <c r="D4394" s="10" t="n">
        <v>43832</v>
      </c>
      <c r="E4394" s="9" t="s">
        <v>17</v>
      </c>
      <c r="F4394" s="9" t="s">
        <v>42</v>
      </c>
      <c r="G4394" s="9" t="s">
        <v>43</v>
      </c>
      <c r="H4394" s="11" t="s">
        <v>19</v>
      </c>
      <c r="I4394" s="12" t="n">
        <v>32</v>
      </c>
      <c r="J4394" s="13" t="n">
        <v>122</v>
      </c>
      <c r="K4394" s="14" t="n">
        <f aca="false">I4394*J4394</f>
        <v>3904</v>
      </c>
      <c r="L4394" s="14" t="n">
        <f aca="false">($L$2*M4394)/100</f>
        <v>612849.915</v>
      </c>
      <c r="M4394" s="15" t="n">
        <v>0.51</v>
      </c>
      <c r="N4394" s="9" t="s">
        <v>85</v>
      </c>
    </row>
    <row r="4395" customFormat="false" ht="14.25" hidden="false" customHeight="true" outlineLevel="0" collapsed="false">
      <c r="B4395" s="9" t="s">
        <v>32</v>
      </c>
      <c r="C4395" s="9" t="n">
        <v>1128299</v>
      </c>
      <c r="D4395" s="10" t="n">
        <v>43833</v>
      </c>
      <c r="E4395" s="9" t="s">
        <v>17</v>
      </c>
      <c r="F4395" s="9" t="s">
        <v>42</v>
      </c>
      <c r="G4395" s="9" t="s">
        <v>43</v>
      </c>
      <c r="H4395" s="11" t="s">
        <v>21</v>
      </c>
      <c r="I4395" s="12" t="n">
        <v>44</v>
      </c>
      <c r="J4395" s="13" t="n">
        <v>117</v>
      </c>
      <c r="K4395" s="14" t="n">
        <f aca="false">I4395*J4395</f>
        <v>5148</v>
      </c>
      <c r="L4395" s="14" t="n">
        <f aca="false">($L$2*M4395)/100</f>
        <v>444616.605</v>
      </c>
      <c r="M4395" s="15" t="n">
        <v>0.37</v>
      </c>
      <c r="N4395" s="9" t="s">
        <v>85</v>
      </c>
    </row>
    <row r="4396" customFormat="false" ht="14.25" hidden="false" customHeight="true" outlineLevel="0" collapsed="false">
      <c r="B4396" s="9" t="s">
        <v>32</v>
      </c>
      <c r="C4396" s="9" t="n">
        <v>1128299</v>
      </c>
      <c r="D4396" s="10" t="n">
        <v>43834</v>
      </c>
      <c r="E4396" s="9" t="s">
        <v>17</v>
      </c>
      <c r="F4396" s="9" t="s">
        <v>42</v>
      </c>
      <c r="G4396" s="9" t="s">
        <v>43</v>
      </c>
      <c r="H4396" s="11" t="s">
        <v>22</v>
      </c>
      <c r="I4396" s="12" t="n">
        <v>41</v>
      </c>
      <c r="J4396" s="13" t="n">
        <v>117</v>
      </c>
      <c r="K4396" s="14" t="n">
        <f aca="false">I4396*J4396</f>
        <v>4797</v>
      </c>
      <c r="L4396" s="14" t="n">
        <f aca="false">($L$2*M4396)/100</f>
        <v>648899.91</v>
      </c>
      <c r="M4396" s="15" t="n">
        <v>0.54</v>
      </c>
      <c r="N4396" s="9" t="s">
        <v>85</v>
      </c>
    </row>
    <row r="4397" customFormat="false" ht="14.25" hidden="false" customHeight="true" outlineLevel="0" collapsed="false">
      <c r="B4397" s="9" t="s">
        <v>32</v>
      </c>
      <c r="C4397" s="9" t="n">
        <v>1128299</v>
      </c>
      <c r="D4397" s="10" t="n">
        <v>43835</v>
      </c>
      <c r="E4397" s="9" t="s">
        <v>17</v>
      </c>
      <c r="F4397" s="9" t="s">
        <v>42</v>
      </c>
      <c r="G4397" s="9" t="s">
        <v>43</v>
      </c>
      <c r="H4397" s="11" t="s">
        <v>23</v>
      </c>
      <c r="I4397" s="12" t="n">
        <v>43</v>
      </c>
      <c r="J4397" s="13" t="n">
        <v>87</v>
      </c>
      <c r="K4397" s="14" t="n">
        <f aca="false">I4397*J4397</f>
        <v>3741</v>
      </c>
      <c r="L4397" s="14" t="n">
        <f aca="false">($L$2*M4397)/100</f>
        <v>600833.25</v>
      </c>
      <c r="M4397" s="15" t="n">
        <v>0.5</v>
      </c>
      <c r="N4397" s="9" t="s">
        <v>85</v>
      </c>
    </row>
    <row r="4398" customFormat="false" ht="14.25" hidden="false" customHeight="true" outlineLevel="0" collapsed="false">
      <c r="B4398" s="9" t="s">
        <v>32</v>
      </c>
      <c r="C4398" s="9" t="n">
        <v>1128299</v>
      </c>
      <c r="D4398" s="10" t="n">
        <v>43836</v>
      </c>
      <c r="E4398" s="9" t="s">
        <v>33</v>
      </c>
      <c r="F4398" s="9" t="s">
        <v>44</v>
      </c>
      <c r="G4398" s="9" t="s">
        <v>45</v>
      </c>
      <c r="H4398" s="11" t="s">
        <v>24</v>
      </c>
      <c r="I4398" s="12" t="n">
        <v>47</v>
      </c>
      <c r="J4398" s="13" t="n">
        <v>70</v>
      </c>
      <c r="K4398" s="14" t="n">
        <f aca="false">I4398*J4398</f>
        <v>3290</v>
      </c>
      <c r="L4398" s="14" t="n">
        <f aca="false">($L$2*M4398)/100</f>
        <v>781083.225</v>
      </c>
      <c r="M4398" s="15" t="n">
        <v>0.65</v>
      </c>
      <c r="N4398" s="9" t="s">
        <v>85</v>
      </c>
    </row>
    <row r="4399" customFormat="false" ht="14.25" hidden="false" customHeight="true" outlineLevel="0" collapsed="false">
      <c r="B4399" s="9" t="s">
        <v>32</v>
      </c>
      <c r="C4399" s="9" t="n">
        <v>1128299</v>
      </c>
      <c r="D4399" s="10" t="n">
        <v>43837</v>
      </c>
      <c r="E4399" s="9" t="s">
        <v>33</v>
      </c>
      <c r="F4399" s="9" t="s">
        <v>44</v>
      </c>
      <c r="G4399" s="9" t="s">
        <v>45</v>
      </c>
      <c r="H4399" s="11" t="s">
        <v>25</v>
      </c>
      <c r="I4399" s="12" t="n">
        <v>41</v>
      </c>
      <c r="J4399" s="13" t="n">
        <v>128</v>
      </c>
      <c r="K4399" s="14" t="n">
        <f aca="false">I4399*J4399</f>
        <v>5248</v>
      </c>
      <c r="L4399" s="14" t="n">
        <f aca="false">($L$2*M4399)/100</f>
        <v>360499.95</v>
      </c>
      <c r="M4399" s="15" t="n">
        <v>0.3</v>
      </c>
      <c r="N4399" s="9" t="s">
        <v>85</v>
      </c>
    </row>
    <row r="4400" customFormat="false" ht="14.25" hidden="false" customHeight="true" outlineLevel="0" collapsed="false">
      <c r="B4400" s="9" t="s">
        <v>32</v>
      </c>
      <c r="C4400" s="9" t="n">
        <v>1128299</v>
      </c>
      <c r="D4400" s="10" t="n">
        <v>43838</v>
      </c>
      <c r="E4400" s="9" t="s">
        <v>33</v>
      </c>
      <c r="F4400" s="9" t="s">
        <v>44</v>
      </c>
      <c r="G4400" s="9" t="s">
        <v>45</v>
      </c>
      <c r="H4400" s="11" t="s">
        <v>19</v>
      </c>
      <c r="I4400" s="12" t="n">
        <v>34</v>
      </c>
      <c r="J4400" s="13" t="n">
        <v>158</v>
      </c>
      <c r="K4400" s="14" t="n">
        <f aca="false">I4400*J4400</f>
        <v>5372</v>
      </c>
      <c r="L4400" s="14" t="n">
        <f aca="false">($L$2*M4400)/100</f>
        <v>600833.25</v>
      </c>
      <c r="M4400" s="15" t="n">
        <v>0.5</v>
      </c>
      <c r="N4400" s="9" t="s">
        <v>85</v>
      </c>
    </row>
    <row r="4401" customFormat="false" ht="14.25" hidden="false" customHeight="true" outlineLevel="0" collapsed="false">
      <c r="B4401" s="9" t="s">
        <v>32</v>
      </c>
      <c r="C4401" s="9" t="n">
        <v>1128299</v>
      </c>
      <c r="D4401" s="10" t="n">
        <v>43839</v>
      </c>
      <c r="E4401" s="9" t="s">
        <v>33</v>
      </c>
      <c r="F4401" s="9" t="s">
        <v>44</v>
      </c>
      <c r="G4401" s="9" t="s">
        <v>45</v>
      </c>
      <c r="H4401" s="11" t="s">
        <v>21</v>
      </c>
      <c r="I4401" s="12" t="n">
        <v>43</v>
      </c>
      <c r="J4401" s="13" t="n">
        <v>128</v>
      </c>
      <c r="K4401" s="14" t="n">
        <f aca="false">I4401*J4401</f>
        <v>5504</v>
      </c>
      <c r="L4401" s="14" t="n">
        <f aca="false">($L$2*M4401)/100</f>
        <v>480666.6</v>
      </c>
      <c r="M4401" s="15" t="n">
        <v>0.4</v>
      </c>
      <c r="N4401" s="9" t="s">
        <v>85</v>
      </c>
    </row>
    <row r="4402" customFormat="false" ht="14.25" hidden="false" customHeight="true" outlineLevel="0" collapsed="false">
      <c r="B4402" s="9" t="s">
        <v>32</v>
      </c>
      <c r="C4402" s="9" t="n">
        <v>1128299</v>
      </c>
      <c r="D4402" s="10" t="n">
        <v>43840</v>
      </c>
      <c r="E4402" s="9" t="s">
        <v>33</v>
      </c>
      <c r="F4402" s="9" t="s">
        <v>44</v>
      </c>
      <c r="G4402" s="9" t="s">
        <v>45</v>
      </c>
      <c r="H4402" s="11" t="s">
        <v>22</v>
      </c>
      <c r="I4402" s="12" t="n">
        <v>41</v>
      </c>
      <c r="J4402" s="13" t="n">
        <v>119</v>
      </c>
      <c r="K4402" s="14" t="n">
        <f aca="false">I4402*J4402</f>
        <v>4879</v>
      </c>
      <c r="L4402" s="14" t="n">
        <f aca="false">($L$2*M4402)/100</f>
        <v>636883.245</v>
      </c>
      <c r="M4402" s="15" t="n">
        <v>0.53</v>
      </c>
      <c r="N4402" s="9" t="s">
        <v>85</v>
      </c>
    </row>
    <row r="4403" customFormat="false" ht="14.25" hidden="false" customHeight="true" outlineLevel="0" collapsed="false">
      <c r="B4403" s="9" t="s">
        <v>32</v>
      </c>
      <c r="C4403" s="9" t="n">
        <v>1128299</v>
      </c>
      <c r="D4403" s="10" t="n">
        <v>43841</v>
      </c>
      <c r="E4403" s="9" t="s">
        <v>33</v>
      </c>
      <c r="F4403" s="9" t="s">
        <v>44</v>
      </c>
      <c r="G4403" s="9" t="s">
        <v>45</v>
      </c>
      <c r="H4403" s="11" t="s">
        <v>23</v>
      </c>
      <c r="I4403" s="12" t="n">
        <v>44</v>
      </c>
      <c r="J4403" s="13" t="n">
        <v>74</v>
      </c>
      <c r="K4403" s="14" t="n">
        <f aca="false">I4403*J4403</f>
        <v>3256</v>
      </c>
      <c r="L4403" s="14" t="n">
        <f aca="false">($L$2*M4403)/100</f>
        <v>552766.59</v>
      </c>
      <c r="M4403" s="15" t="n">
        <v>0.46</v>
      </c>
      <c r="N4403" s="9" t="s">
        <v>85</v>
      </c>
    </row>
    <row r="4404" customFormat="false" ht="14.25" hidden="false" customHeight="true" outlineLevel="0" collapsed="false">
      <c r="B4404" s="9" t="s">
        <v>32</v>
      </c>
      <c r="C4404" s="9" t="n">
        <v>1128299</v>
      </c>
      <c r="D4404" s="10" t="n">
        <v>43842</v>
      </c>
      <c r="E4404" s="9" t="s">
        <v>33</v>
      </c>
      <c r="F4404" s="9" t="s">
        <v>44</v>
      </c>
      <c r="G4404" s="9" t="s">
        <v>45</v>
      </c>
      <c r="H4404" s="11" t="s">
        <v>24</v>
      </c>
      <c r="I4404" s="12" t="n">
        <v>46</v>
      </c>
      <c r="J4404" s="13" t="n">
        <v>52</v>
      </c>
      <c r="K4404" s="14" t="n">
        <f aca="false">I4404*J4404</f>
        <v>2392</v>
      </c>
      <c r="L4404" s="14" t="n">
        <f aca="false">($L$2*M4404)/100</f>
        <v>841166.55</v>
      </c>
      <c r="M4404" s="15" t="n">
        <v>0.7</v>
      </c>
      <c r="N4404" s="9" t="s">
        <v>85</v>
      </c>
    </row>
    <row r="4405" customFormat="false" ht="14.25" hidden="false" customHeight="true" outlineLevel="0" collapsed="false">
      <c r="B4405" s="9" t="s">
        <v>32</v>
      </c>
      <c r="C4405" s="9" t="n">
        <v>1128299</v>
      </c>
      <c r="D4405" s="10" t="n">
        <v>43843</v>
      </c>
      <c r="E4405" s="9" t="s">
        <v>33</v>
      </c>
      <c r="F4405" s="9" t="s">
        <v>44</v>
      </c>
      <c r="G4405" s="9" t="s">
        <v>45</v>
      </c>
      <c r="H4405" s="11" t="s">
        <v>25</v>
      </c>
      <c r="I4405" s="12" t="n">
        <v>41</v>
      </c>
      <c r="J4405" s="13" t="n">
        <v>116</v>
      </c>
      <c r="K4405" s="14" t="n">
        <f aca="false">I4405*J4405</f>
        <v>4756</v>
      </c>
      <c r="L4405" s="14" t="n">
        <f aca="false">($L$2*M4405)/100</f>
        <v>408566.61</v>
      </c>
      <c r="M4405" s="15" t="n">
        <v>0.34</v>
      </c>
      <c r="N4405" s="9" t="s">
        <v>85</v>
      </c>
    </row>
    <row r="4406" customFormat="false" ht="14.25" hidden="false" customHeight="true" outlineLevel="0" collapsed="false">
      <c r="B4406" s="9" t="s">
        <v>32</v>
      </c>
      <c r="C4406" s="9" t="n">
        <v>1128299</v>
      </c>
      <c r="D4406" s="10" t="n">
        <v>43844</v>
      </c>
      <c r="E4406" s="9" t="s">
        <v>33</v>
      </c>
      <c r="F4406" s="9" t="s">
        <v>44</v>
      </c>
      <c r="G4406" s="9" t="s">
        <v>45</v>
      </c>
      <c r="H4406" s="11" t="s">
        <v>19</v>
      </c>
      <c r="I4406" s="12" t="n">
        <v>43</v>
      </c>
      <c r="J4406" s="13" t="n">
        <v>160</v>
      </c>
      <c r="K4406" s="14" t="n">
        <f aca="false">I4406*J4406</f>
        <v>6880</v>
      </c>
      <c r="L4406" s="14" t="n">
        <f aca="false">($L$2*M4406)/100</f>
        <v>660916.575</v>
      </c>
      <c r="M4406" s="15" t="n">
        <v>0.55</v>
      </c>
      <c r="N4406" s="9" t="s">
        <v>85</v>
      </c>
    </row>
    <row r="4407" customFormat="false" ht="14.25" hidden="false" customHeight="true" outlineLevel="0" collapsed="false">
      <c r="B4407" s="9" t="s">
        <v>32</v>
      </c>
      <c r="C4407" s="9" t="n">
        <v>1128299</v>
      </c>
      <c r="D4407" s="10" t="n">
        <v>43845</v>
      </c>
      <c r="E4407" s="9" t="s">
        <v>33</v>
      </c>
      <c r="F4407" s="9" t="s">
        <v>44</v>
      </c>
      <c r="G4407" s="9" t="s">
        <v>45</v>
      </c>
      <c r="H4407" s="11" t="s">
        <v>21</v>
      </c>
      <c r="I4407" s="12" t="n">
        <v>50</v>
      </c>
      <c r="J4407" s="13" t="n">
        <v>120</v>
      </c>
      <c r="K4407" s="14" t="n">
        <f aca="false">I4407*J4407</f>
        <v>6000</v>
      </c>
      <c r="L4407" s="14" t="n">
        <f aca="false">($L$2*M4407)/100</f>
        <v>480666.6</v>
      </c>
      <c r="M4407" s="15" t="n">
        <v>0.4</v>
      </c>
      <c r="N4407" s="9" t="s">
        <v>85</v>
      </c>
    </row>
    <row r="4408" customFormat="false" ht="14.25" hidden="false" customHeight="true" outlineLevel="0" collapsed="false">
      <c r="B4408" s="9" t="s">
        <v>32</v>
      </c>
      <c r="C4408" s="9" t="n">
        <v>1128299</v>
      </c>
      <c r="D4408" s="10" t="n">
        <v>43846</v>
      </c>
      <c r="E4408" s="9" t="s">
        <v>33</v>
      </c>
      <c r="F4408" s="9" t="s">
        <v>44</v>
      </c>
      <c r="G4408" s="9" t="s">
        <v>45</v>
      </c>
      <c r="H4408" s="11" t="s">
        <v>22</v>
      </c>
      <c r="I4408" s="12" t="n">
        <v>52</v>
      </c>
      <c r="J4408" s="13" t="n">
        <v>104</v>
      </c>
      <c r="K4408" s="14" t="n">
        <f aca="false">I4408*J4408</f>
        <v>5408</v>
      </c>
      <c r="L4408" s="14" t="n">
        <f aca="false">($L$2*M4408)/100</f>
        <v>636883.245</v>
      </c>
      <c r="M4408" s="15" t="n">
        <v>0.53</v>
      </c>
      <c r="N4408" s="9" t="s">
        <v>85</v>
      </c>
    </row>
    <row r="4409" customFormat="false" ht="14.25" hidden="false" customHeight="true" outlineLevel="0" collapsed="false">
      <c r="B4409" s="9" t="s">
        <v>32</v>
      </c>
      <c r="C4409" s="9" t="n">
        <v>1128299</v>
      </c>
      <c r="D4409" s="10" t="n">
        <v>43847</v>
      </c>
      <c r="E4409" s="9" t="s">
        <v>33</v>
      </c>
      <c r="F4409" s="9" t="s">
        <v>44</v>
      </c>
      <c r="G4409" s="9" t="s">
        <v>45</v>
      </c>
      <c r="H4409" s="11" t="s">
        <v>23</v>
      </c>
      <c r="I4409" s="12" t="n">
        <v>50</v>
      </c>
      <c r="J4409" s="13" t="n">
        <v>84</v>
      </c>
      <c r="K4409" s="14" t="n">
        <f aca="false">I4409*J4409</f>
        <v>4200</v>
      </c>
      <c r="L4409" s="14" t="n">
        <f aca="false">($L$2*M4409)/100</f>
        <v>564783.255</v>
      </c>
      <c r="M4409" s="15" t="n">
        <v>0.47</v>
      </c>
      <c r="N4409" s="9" t="s">
        <v>85</v>
      </c>
    </row>
    <row r="4410" customFormat="false" ht="14.25" hidden="false" customHeight="true" outlineLevel="0" collapsed="false">
      <c r="B4410" s="9" t="s">
        <v>32</v>
      </c>
      <c r="C4410" s="9" t="n">
        <v>1128299</v>
      </c>
      <c r="D4410" s="10" t="n">
        <v>43848</v>
      </c>
      <c r="E4410" s="9" t="s">
        <v>33</v>
      </c>
      <c r="F4410" s="9" t="s">
        <v>44</v>
      </c>
      <c r="G4410" s="9" t="s">
        <v>45</v>
      </c>
      <c r="H4410" s="11" t="s">
        <v>24</v>
      </c>
      <c r="I4410" s="12" t="n">
        <v>55</v>
      </c>
      <c r="J4410" s="13" t="n">
        <v>47</v>
      </c>
      <c r="K4410" s="14" t="n">
        <f aca="false">I4410*J4410</f>
        <v>2585</v>
      </c>
      <c r="L4410" s="14" t="n">
        <f aca="false">($L$2*M4410)/100</f>
        <v>841166.55</v>
      </c>
      <c r="M4410" s="15" t="n">
        <v>0.7</v>
      </c>
      <c r="N4410" s="9" t="s">
        <v>85</v>
      </c>
    </row>
    <row r="4411" customFormat="false" ht="14.25" hidden="false" customHeight="true" outlineLevel="0" collapsed="false">
      <c r="B4411" s="9" t="s">
        <v>32</v>
      </c>
      <c r="C4411" s="9" t="n">
        <v>1128299</v>
      </c>
      <c r="D4411" s="10" t="n">
        <v>43849</v>
      </c>
      <c r="E4411" s="9" t="s">
        <v>33</v>
      </c>
      <c r="F4411" s="9" t="s">
        <v>44</v>
      </c>
      <c r="G4411" s="9" t="s">
        <v>45</v>
      </c>
      <c r="H4411" s="11" t="s">
        <v>25</v>
      </c>
      <c r="I4411" s="12" t="n">
        <v>54</v>
      </c>
      <c r="J4411" s="13" t="n">
        <v>94</v>
      </c>
      <c r="K4411" s="14" t="n">
        <f aca="false">I4411*J4411</f>
        <v>5076</v>
      </c>
      <c r="L4411" s="14" t="n">
        <f aca="false">($L$2*M4411)/100</f>
        <v>408566.61</v>
      </c>
      <c r="M4411" s="15" t="n">
        <v>0.34</v>
      </c>
      <c r="N4411" s="9" t="s">
        <v>85</v>
      </c>
    </row>
    <row r="4412" customFormat="false" ht="14.25" hidden="false" customHeight="true" outlineLevel="0" collapsed="false">
      <c r="B4412" s="9" t="s">
        <v>32</v>
      </c>
      <c r="C4412" s="9" t="n">
        <v>1128299</v>
      </c>
      <c r="D4412" s="10" t="n">
        <v>43850</v>
      </c>
      <c r="E4412" s="9" t="s">
        <v>33</v>
      </c>
      <c r="F4412" s="9" t="s">
        <v>44</v>
      </c>
      <c r="G4412" s="9" t="s">
        <v>45</v>
      </c>
      <c r="H4412" s="11" t="s">
        <v>19</v>
      </c>
      <c r="I4412" s="12" t="n">
        <v>58</v>
      </c>
      <c r="J4412" s="13" t="n">
        <v>143</v>
      </c>
      <c r="K4412" s="14" t="n">
        <f aca="false">I4412*J4412</f>
        <v>8294</v>
      </c>
      <c r="L4412" s="14" t="n">
        <f aca="false">($L$2*M4412)/100</f>
        <v>612849.915</v>
      </c>
      <c r="M4412" s="15" t="n">
        <v>0.51</v>
      </c>
      <c r="N4412" s="9" t="s">
        <v>85</v>
      </c>
    </row>
    <row r="4413" customFormat="false" ht="14.25" hidden="false" customHeight="true" outlineLevel="0" collapsed="false">
      <c r="B4413" s="9" t="s">
        <v>32</v>
      </c>
      <c r="C4413" s="9" t="n">
        <v>1128299</v>
      </c>
      <c r="D4413" s="10" t="n">
        <v>43851</v>
      </c>
      <c r="E4413" s="9" t="s">
        <v>33</v>
      </c>
      <c r="F4413" s="9" t="s">
        <v>44</v>
      </c>
      <c r="G4413" s="9" t="s">
        <v>45</v>
      </c>
      <c r="H4413" s="11" t="s">
        <v>21</v>
      </c>
      <c r="I4413" s="12" t="n">
        <v>62</v>
      </c>
      <c r="J4413" s="13" t="n">
        <v>102</v>
      </c>
      <c r="K4413" s="14" t="n">
        <f aca="false">I4413*J4413</f>
        <v>6324</v>
      </c>
      <c r="L4413" s="14" t="n">
        <f aca="false">($L$2*M4413)/100</f>
        <v>456633.27</v>
      </c>
      <c r="M4413" s="15" t="n">
        <v>0.38</v>
      </c>
      <c r="N4413" s="9" t="s">
        <v>85</v>
      </c>
    </row>
    <row r="4414" customFormat="false" ht="14.25" hidden="false" customHeight="true" outlineLevel="0" collapsed="false">
      <c r="B4414" s="9" t="s">
        <v>32</v>
      </c>
      <c r="C4414" s="9" t="n">
        <v>1128299</v>
      </c>
      <c r="D4414" s="10" t="n">
        <v>43852</v>
      </c>
      <c r="E4414" s="9" t="s">
        <v>33</v>
      </c>
      <c r="F4414" s="9" t="s">
        <v>44</v>
      </c>
      <c r="G4414" s="9" t="s">
        <v>45</v>
      </c>
      <c r="H4414" s="11" t="s">
        <v>22</v>
      </c>
      <c r="I4414" s="12" t="n">
        <v>61</v>
      </c>
      <c r="J4414" s="13" t="n">
        <v>120</v>
      </c>
      <c r="K4414" s="14" t="n">
        <f aca="false">I4414*J4414</f>
        <v>7320</v>
      </c>
      <c r="L4414" s="14" t="n">
        <f aca="false">($L$2*M4414)/100</f>
        <v>636883.245</v>
      </c>
      <c r="M4414" s="15" t="n">
        <v>0.53</v>
      </c>
      <c r="N4414" s="9" t="s">
        <v>85</v>
      </c>
    </row>
    <row r="4415" customFormat="false" ht="14.25" hidden="false" customHeight="true" outlineLevel="0" collapsed="false">
      <c r="B4415" s="9" t="s">
        <v>32</v>
      </c>
      <c r="C4415" s="9" t="n">
        <v>1128299</v>
      </c>
      <c r="D4415" s="10" t="n">
        <v>43853</v>
      </c>
      <c r="E4415" s="9" t="s">
        <v>33</v>
      </c>
      <c r="F4415" s="9" t="s">
        <v>44</v>
      </c>
      <c r="G4415" s="9" t="s">
        <v>45</v>
      </c>
      <c r="H4415" s="11" t="s">
        <v>23</v>
      </c>
      <c r="I4415" s="12" t="n">
        <v>59</v>
      </c>
      <c r="J4415" s="13" t="n">
        <v>75</v>
      </c>
      <c r="K4415" s="14" t="n">
        <f aca="false">I4415*J4415</f>
        <v>4425</v>
      </c>
      <c r="L4415" s="14" t="n">
        <f aca="false">($L$2*M4415)/100</f>
        <v>552766.59</v>
      </c>
      <c r="M4415" s="15" t="n">
        <v>0.46</v>
      </c>
      <c r="N4415" s="9" t="s">
        <v>85</v>
      </c>
    </row>
    <row r="4416" customFormat="false" ht="14.25" hidden="false" customHeight="true" outlineLevel="0" collapsed="false">
      <c r="B4416" s="9" t="s">
        <v>32</v>
      </c>
      <c r="C4416" s="9" t="n">
        <v>1128299</v>
      </c>
      <c r="D4416" s="10" t="n">
        <v>43854</v>
      </c>
      <c r="E4416" s="9" t="s">
        <v>33</v>
      </c>
      <c r="F4416" s="9" t="s">
        <v>44</v>
      </c>
      <c r="G4416" s="9" t="s">
        <v>45</v>
      </c>
      <c r="H4416" s="11" t="s">
        <v>24</v>
      </c>
      <c r="I4416" s="12" t="n">
        <v>63</v>
      </c>
      <c r="J4416" s="13" t="n">
        <v>52</v>
      </c>
      <c r="K4416" s="14" t="n">
        <f aca="false">I4416*J4416</f>
        <v>3276</v>
      </c>
      <c r="L4416" s="14" t="n">
        <f aca="false">($L$2*M4416)/100</f>
        <v>793099.89</v>
      </c>
      <c r="M4416" s="15" t="n">
        <v>0.66</v>
      </c>
      <c r="N4416" s="9" t="s">
        <v>85</v>
      </c>
    </row>
    <row r="4417" customFormat="false" ht="14.25" hidden="false" customHeight="true" outlineLevel="0" collapsed="false">
      <c r="B4417" s="9" t="s">
        <v>32</v>
      </c>
      <c r="C4417" s="9" t="n">
        <v>1128299</v>
      </c>
      <c r="D4417" s="10" t="n">
        <v>43855</v>
      </c>
      <c r="E4417" s="9" t="s">
        <v>33</v>
      </c>
      <c r="F4417" s="9" t="s">
        <v>44</v>
      </c>
      <c r="G4417" s="9" t="s">
        <v>45</v>
      </c>
      <c r="H4417" s="11" t="s">
        <v>25</v>
      </c>
      <c r="I4417" s="12" t="n">
        <v>78</v>
      </c>
      <c r="J4417" s="13" t="n">
        <v>95</v>
      </c>
      <c r="K4417" s="14" t="n">
        <f aca="false">I4417*J4417</f>
        <v>7410</v>
      </c>
      <c r="L4417" s="14" t="n">
        <f aca="false">($L$2*M4417)/100</f>
        <v>408566.61</v>
      </c>
      <c r="M4417" s="15" t="n">
        <v>0.34</v>
      </c>
      <c r="N4417" s="9" t="s">
        <v>85</v>
      </c>
    </row>
    <row r="4418" customFormat="false" ht="14.25" hidden="false" customHeight="true" outlineLevel="0" collapsed="false">
      <c r="B4418" s="9" t="s">
        <v>32</v>
      </c>
      <c r="C4418" s="9" t="n">
        <v>1128299</v>
      </c>
      <c r="D4418" s="10" t="n">
        <v>43856</v>
      </c>
      <c r="E4418" s="9" t="s">
        <v>33</v>
      </c>
      <c r="F4418" s="9" t="s">
        <v>44</v>
      </c>
      <c r="G4418" s="9" t="s">
        <v>45</v>
      </c>
      <c r="H4418" s="11" t="s">
        <v>19</v>
      </c>
      <c r="I4418" s="12" t="n">
        <v>58</v>
      </c>
      <c r="J4418" s="13" t="n">
        <v>149</v>
      </c>
      <c r="K4418" s="14" t="n">
        <f aca="false">I4418*J4418</f>
        <v>8642</v>
      </c>
      <c r="L4418" s="14" t="n">
        <f aca="false">($L$2*M4418)/100</f>
        <v>696966.57</v>
      </c>
      <c r="M4418" s="15" t="n">
        <v>0.58</v>
      </c>
      <c r="N4418" s="9" t="s">
        <v>85</v>
      </c>
    </row>
    <row r="4419" customFormat="false" ht="14.25" hidden="false" customHeight="true" outlineLevel="0" collapsed="false">
      <c r="B4419" s="9" t="s">
        <v>32</v>
      </c>
      <c r="C4419" s="9" t="n">
        <v>1128299</v>
      </c>
      <c r="D4419" s="10" t="n">
        <v>43857</v>
      </c>
      <c r="E4419" s="9" t="s">
        <v>33</v>
      </c>
      <c r="F4419" s="9" t="s">
        <v>44</v>
      </c>
      <c r="G4419" s="9" t="s">
        <v>45</v>
      </c>
      <c r="H4419" s="11" t="s">
        <v>21</v>
      </c>
      <c r="I4419" s="12" t="n">
        <v>60</v>
      </c>
      <c r="J4419" s="13" t="n">
        <v>104</v>
      </c>
      <c r="K4419" s="14" t="n">
        <f aca="false">I4419*J4419</f>
        <v>6240</v>
      </c>
      <c r="L4419" s="14" t="n">
        <f aca="false">($L$2*M4419)/100</f>
        <v>516716.595</v>
      </c>
      <c r="M4419" s="15" t="n">
        <v>0.43</v>
      </c>
      <c r="N4419" s="9" t="s">
        <v>85</v>
      </c>
    </row>
    <row r="4420" customFormat="false" ht="14.25" hidden="false" customHeight="true" outlineLevel="0" collapsed="false">
      <c r="B4420" s="9" t="s">
        <v>32</v>
      </c>
      <c r="C4420" s="9" t="n">
        <v>1128299</v>
      </c>
      <c r="D4420" s="10" t="n">
        <v>43858</v>
      </c>
      <c r="E4420" s="9" t="s">
        <v>33</v>
      </c>
      <c r="F4420" s="9" t="s">
        <v>44</v>
      </c>
      <c r="G4420" s="9" t="s">
        <v>45</v>
      </c>
      <c r="H4420" s="11" t="s">
        <v>22</v>
      </c>
      <c r="I4420" s="12" t="n">
        <v>63</v>
      </c>
      <c r="J4420" s="13" t="n">
        <v>116</v>
      </c>
      <c r="K4420" s="14" t="n">
        <f aca="false">I4420*J4420</f>
        <v>7308</v>
      </c>
      <c r="L4420" s="14" t="n">
        <f aca="false">($L$2*M4420)/100</f>
        <v>684949.905</v>
      </c>
      <c r="M4420" s="15" t="n">
        <v>0.57</v>
      </c>
      <c r="N4420" s="9" t="s">
        <v>85</v>
      </c>
    </row>
    <row r="4421" customFormat="false" ht="14.25" hidden="false" customHeight="true" outlineLevel="0" collapsed="false">
      <c r="B4421" s="9" t="s">
        <v>32</v>
      </c>
      <c r="C4421" s="9" t="n">
        <v>1128299</v>
      </c>
      <c r="D4421" s="10" t="n">
        <v>43859</v>
      </c>
      <c r="E4421" s="9" t="s">
        <v>33</v>
      </c>
      <c r="F4421" s="9" t="s">
        <v>44</v>
      </c>
      <c r="G4421" s="9" t="s">
        <v>45</v>
      </c>
      <c r="H4421" s="11" t="s">
        <v>23</v>
      </c>
      <c r="I4421" s="12" t="n">
        <v>57</v>
      </c>
      <c r="J4421" s="13" t="n">
        <v>90</v>
      </c>
      <c r="K4421" s="14" t="n">
        <f aca="false">I4421*J4421</f>
        <v>5130</v>
      </c>
      <c r="L4421" s="14" t="n">
        <f aca="false">($L$2*M4421)/100</f>
        <v>600833.25</v>
      </c>
      <c r="M4421" s="15" t="n">
        <v>0.5</v>
      </c>
      <c r="N4421" s="9" t="s">
        <v>85</v>
      </c>
    </row>
    <row r="4422" customFormat="false" ht="14.25" hidden="false" customHeight="true" outlineLevel="0" collapsed="false">
      <c r="B4422" s="9" t="s">
        <v>32</v>
      </c>
      <c r="C4422" s="9" t="n">
        <v>1128299</v>
      </c>
      <c r="D4422" s="10" t="n">
        <v>43860</v>
      </c>
      <c r="E4422" s="9" t="s">
        <v>33</v>
      </c>
      <c r="F4422" s="9" t="s">
        <v>44</v>
      </c>
      <c r="G4422" s="9" t="s">
        <v>45</v>
      </c>
      <c r="H4422" s="11" t="s">
        <v>24</v>
      </c>
      <c r="I4422" s="12" t="n">
        <v>60</v>
      </c>
      <c r="J4422" s="13" t="n">
        <v>60</v>
      </c>
      <c r="K4422" s="14" t="n">
        <f aca="false">I4422*J4422</f>
        <v>3600</v>
      </c>
      <c r="L4422" s="14" t="n">
        <f aca="false">($L$2*M4422)/100</f>
        <v>841166.55</v>
      </c>
      <c r="M4422" s="15" t="n">
        <v>0.7</v>
      </c>
      <c r="N4422" s="9" t="s">
        <v>85</v>
      </c>
    </row>
    <row r="4423" customFormat="false" ht="14.25" hidden="false" customHeight="true" outlineLevel="0" collapsed="false">
      <c r="B4423" s="9" t="s">
        <v>32</v>
      </c>
      <c r="C4423" s="9" t="n">
        <v>1128299</v>
      </c>
      <c r="D4423" s="10" t="n">
        <v>43861</v>
      </c>
      <c r="E4423" s="9" t="s">
        <v>33</v>
      </c>
      <c r="F4423" s="9" t="s">
        <v>44</v>
      </c>
      <c r="G4423" s="9" t="s">
        <v>45</v>
      </c>
      <c r="H4423" s="11" t="s">
        <v>25</v>
      </c>
      <c r="I4423" s="12" t="n">
        <v>78</v>
      </c>
      <c r="J4423" s="13" t="n">
        <v>131</v>
      </c>
      <c r="K4423" s="14" t="n">
        <f aca="false">I4423*J4423</f>
        <v>10218</v>
      </c>
      <c r="L4423" s="14" t="n">
        <f aca="false">($L$2*M4423)/100</f>
        <v>420583.275</v>
      </c>
      <c r="M4423" s="15" t="n">
        <v>0.35</v>
      </c>
      <c r="N4423" s="9" t="s">
        <v>85</v>
      </c>
    </row>
    <row r="4424" customFormat="false" ht="14.25" hidden="false" customHeight="true" outlineLevel="0" collapsed="false">
      <c r="B4424" s="9" t="s">
        <v>32</v>
      </c>
      <c r="C4424" s="9" t="n">
        <v>1128299</v>
      </c>
      <c r="D4424" s="10" t="n">
        <v>43862</v>
      </c>
      <c r="E4424" s="9" t="s">
        <v>33</v>
      </c>
      <c r="F4424" s="9" t="s">
        <v>44</v>
      </c>
      <c r="G4424" s="9" t="s">
        <v>45</v>
      </c>
      <c r="H4424" s="11" t="s">
        <v>19</v>
      </c>
      <c r="I4424" s="12" t="n">
        <v>56</v>
      </c>
      <c r="J4424" s="13" t="n">
        <v>189</v>
      </c>
      <c r="K4424" s="14" t="n">
        <f aca="false">I4424*J4424</f>
        <v>10584</v>
      </c>
      <c r="L4424" s="14" t="n">
        <f aca="false">($L$2*M4424)/100</f>
        <v>684949.905</v>
      </c>
      <c r="M4424" s="15" t="n">
        <v>0.57</v>
      </c>
      <c r="N4424" s="9" t="s">
        <v>85</v>
      </c>
    </row>
    <row r="4425" customFormat="false" ht="14.25" hidden="false" customHeight="true" outlineLevel="0" collapsed="false">
      <c r="B4425" s="9" t="s">
        <v>32</v>
      </c>
      <c r="C4425" s="9" t="n">
        <v>1128299</v>
      </c>
      <c r="D4425" s="10" t="n">
        <v>43863</v>
      </c>
      <c r="E4425" s="9" t="s">
        <v>33</v>
      </c>
      <c r="F4425" s="9" t="s">
        <v>44</v>
      </c>
      <c r="G4425" s="9" t="s">
        <v>45</v>
      </c>
      <c r="H4425" s="11" t="s">
        <v>21</v>
      </c>
      <c r="I4425" s="12" t="n">
        <v>62</v>
      </c>
      <c r="J4425" s="13" t="n">
        <v>165</v>
      </c>
      <c r="K4425" s="14" t="n">
        <f aca="false">I4425*J4425</f>
        <v>10230</v>
      </c>
      <c r="L4425" s="14" t="n">
        <f aca="false">($L$2*M4425)/100</f>
        <v>492683.265</v>
      </c>
      <c r="M4425" s="15" t="n">
        <v>0.41</v>
      </c>
      <c r="N4425" s="9" t="s">
        <v>85</v>
      </c>
    </row>
    <row r="4426" customFormat="false" ht="14.25" hidden="false" customHeight="true" outlineLevel="0" collapsed="false">
      <c r="B4426" s="9" t="s">
        <v>32</v>
      </c>
      <c r="C4426" s="9" t="n">
        <v>1128299</v>
      </c>
      <c r="D4426" s="10" t="n">
        <v>43864</v>
      </c>
      <c r="E4426" s="9" t="s">
        <v>33</v>
      </c>
      <c r="F4426" s="9" t="s">
        <v>44</v>
      </c>
      <c r="G4426" s="9" t="s">
        <v>45</v>
      </c>
      <c r="H4426" s="11" t="s">
        <v>22</v>
      </c>
      <c r="I4426" s="12" t="n">
        <v>62</v>
      </c>
      <c r="J4426" s="13" t="n">
        <v>165</v>
      </c>
      <c r="K4426" s="14" t="n">
        <f aca="false">I4426*J4426</f>
        <v>10230</v>
      </c>
      <c r="L4426" s="14" t="n">
        <f aca="false">($L$2*M4426)/100</f>
        <v>708983.235</v>
      </c>
      <c r="M4426" s="15" t="n">
        <v>0.59</v>
      </c>
      <c r="N4426" s="9" t="s">
        <v>85</v>
      </c>
    </row>
    <row r="4427" customFormat="false" ht="14.25" hidden="false" customHeight="true" outlineLevel="0" collapsed="false">
      <c r="B4427" s="9" t="s">
        <v>32</v>
      </c>
      <c r="C4427" s="9" t="n">
        <v>1128299</v>
      </c>
      <c r="D4427" s="10" t="n">
        <v>43865</v>
      </c>
      <c r="E4427" s="9" t="s">
        <v>33</v>
      </c>
      <c r="F4427" s="9" t="s">
        <v>44</v>
      </c>
      <c r="G4427" s="9" t="s">
        <v>45</v>
      </c>
      <c r="H4427" s="11" t="s">
        <v>23</v>
      </c>
      <c r="I4427" s="12" t="n">
        <v>58</v>
      </c>
      <c r="J4427" s="13" t="n">
        <v>111</v>
      </c>
      <c r="K4427" s="14" t="n">
        <f aca="false">I4427*J4427</f>
        <v>6438</v>
      </c>
      <c r="L4427" s="14" t="n">
        <f aca="false">($L$2*M4427)/100</f>
        <v>612849.915</v>
      </c>
      <c r="M4427" s="15" t="n">
        <v>0.51</v>
      </c>
      <c r="N4427" s="9" t="s">
        <v>85</v>
      </c>
    </row>
    <row r="4428" customFormat="false" ht="14.25" hidden="false" customHeight="true" outlineLevel="0" collapsed="false">
      <c r="B4428" s="9" t="s">
        <v>32</v>
      </c>
      <c r="C4428" s="9" t="n">
        <v>1128299</v>
      </c>
      <c r="D4428" s="10" t="n">
        <v>43866</v>
      </c>
      <c r="E4428" s="9" t="s">
        <v>33</v>
      </c>
      <c r="F4428" s="9" t="s">
        <v>44</v>
      </c>
      <c r="G4428" s="9" t="s">
        <v>45</v>
      </c>
      <c r="H4428" s="11" t="s">
        <v>24</v>
      </c>
      <c r="I4428" s="12" t="n">
        <v>59</v>
      </c>
      <c r="J4428" s="13" t="n">
        <v>81</v>
      </c>
      <c r="K4428" s="14" t="n">
        <f aca="false">I4428*J4428</f>
        <v>4779</v>
      </c>
      <c r="L4428" s="14" t="n">
        <f aca="false">($L$2*M4428)/100</f>
        <v>889233.21</v>
      </c>
      <c r="M4428" s="15" t="n">
        <v>0.74</v>
      </c>
      <c r="N4428" s="9" t="s">
        <v>85</v>
      </c>
    </row>
    <row r="4429" customFormat="false" ht="14.25" hidden="false" customHeight="true" outlineLevel="0" collapsed="false">
      <c r="B4429" s="9" t="s">
        <v>32</v>
      </c>
      <c r="C4429" s="9" t="n">
        <v>1128299</v>
      </c>
      <c r="D4429" s="10" t="n">
        <v>43867</v>
      </c>
      <c r="E4429" s="9" t="s">
        <v>33</v>
      </c>
      <c r="F4429" s="9" t="s">
        <v>44</v>
      </c>
      <c r="G4429" s="9" t="s">
        <v>45</v>
      </c>
      <c r="H4429" s="11" t="s">
        <v>25</v>
      </c>
      <c r="I4429" s="12" t="n">
        <v>73</v>
      </c>
      <c r="J4429" s="13" t="n">
        <v>174</v>
      </c>
      <c r="K4429" s="14" t="n">
        <f aca="false">I4429*J4429</f>
        <v>12702</v>
      </c>
      <c r="L4429" s="14" t="n">
        <f aca="false">($L$2*M4429)/100</f>
        <v>480666.6</v>
      </c>
      <c r="M4429" s="15" t="n">
        <v>0.4</v>
      </c>
      <c r="N4429" s="9" t="s">
        <v>85</v>
      </c>
    </row>
    <row r="4430" customFormat="false" ht="14.25" hidden="false" customHeight="true" outlineLevel="0" collapsed="false">
      <c r="B4430" s="9" t="s">
        <v>32</v>
      </c>
      <c r="C4430" s="9" t="n">
        <v>1128299</v>
      </c>
      <c r="D4430" s="10" t="n">
        <v>43868</v>
      </c>
      <c r="E4430" s="9" t="s">
        <v>33</v>
      </c>
      <c r="F4430" s="9" t="s">
        <v>44</v>
      </c>
      <c r="G4430" s="9" t="s">
        <v>45</v>
      </c>
      <c r="H4430" s="11" t="s">
        <v>19</v>
      </c>
      <c r="I4430" s="12" t="n">
        <v>58</v>
      </c>
      <c r="J4430" s="13" t="n">
        <v>218</v>
      </c>
      <c r="K4430" s="14" t="n">
        <f aca="false">I4430*J4430</f>
        <v>12644</v>
      </c>
      <c r="L4430" s="14" t="n">
        <f aca="false">($L$2*M4430)/100</f>
        <v>636883.245</v>
      </c>
      <c r="M4430" s="15" t="n">
        <v>0.53</v>
      </c>
      <c r="N4430" s="9" t="s">
        <v>85</v>
      </c>
    </row>
    <row r="4431" customFormat="false" ht="14.25" hidden="false" customHeight="true" outlineLevel="0" collapsed="false">
      <c r="B4431" s="9" t="s">
        <v>32</v>
      </c>
      <c r="C4431" s="9" t="n">
        <v>1128299</v>
      </c>
      <c r="D4431" s="10" t="n">
        <v>43869</v>
      </c>
      <c r="E4431" s="9" t="s">
        <v>33</v>
      </c>
      <c r="F4431" s="9" t="s">
        <v>44</v>
      </c>
      <c r="G4431" s="9" t="s">
        <v>45</v>
      </c>
      <c r="H4431" s="11" t="s">
        <v>21</v>
      </c>
      <c r="I4431" s="12" t="n">
        <v>61</v>
      </c>
      <c r="J4431" s="13" t="n">
        <v>174</v>
      </c>
      <c r="K4431" s="14" t="n">
        <f aca="false">I4431*J4431</f>
        <v>10614</v>
      </c>
      <c r="L4431" s="14" t="n">
        <f aca="false">($L$2*M4431)/100</f>
        <v>432599.94</v>
      </c>
      <c r="M4431" s="15" t="n">
        <v>0.36</v>
      </c>
      <c r="N4431" s="9" t="s">
        <v>85</v>
      </c>
    </row>
    <row r="4432" customFormat="false" ht="14.25" hidden="false" customHeight="true" outlineLevel="0" collapsed="false">
      <c r="B4432" s="9" t="s">
        <v>32</v>
      </c>
      <c r="C4432" s="9" t="n">
        <v>1128299</v>
      </c>
      <c r="D4432" s="10" t="n">
        <v>43870</v>
      </c>
      <c r="E4432" s="9" t="s">
        <v>33</v>
      </c>
      <c r="F4432" s="9" t="s">
        <v>44</v>
      </c>
      <c r="G4432" s="9" t="s">
        <v>45</v>
      </c>
      <c r="H4432" s="11" t="s">
        <v>22</v>
      </c>
      <c r="I4432" s="12" t="n">
        <v>61</v>
      </c>
      <c r="J4432" s="13" t="n">
        <v>143</v>
      </c>
      <c r="K4432" s="14" t="n">
        <f aca="false">I4432*J4432</f>
        <v>8723</v>
      </c>
      <c r="L4432" s="14" t="n">
        <f aca="false">($L$2*M4432)/100</f>
        <v>636883.245</v>
      </c>
      <c r="M4432" s="15" t="n">
        <v>0.53</v>
      </c>
      <c r="N4432" s="9" t="s">
        <v>85</v>
      </c>
    </row>
    <row r="4433" customFormat="false" ht="14.25" hidden="false" customHeight="true" outlineLevel="0" collapsed="false">
      <c r="B4433" s="9" t="s">
        <v>32</v>
      </c>
      <c r="C4433" s="9" t="n">
        <v>1128299</v>
      </c>
      <c r="D4433" s="10" t="n">
        <v>43871</v>
      </c>
      <c r="E4433" s="9" t="s">
        <v>33</v>
      </c>
      <c r="F4433" s="9" t="s">
        <v>44</v>
      </c>
      <c r="G4433" s="9" t="s">
        <v>45</v>
      </c>
      <c r="H4433" s="11" t="s">
        <v>23</v>
      </c>
      <c r="I4433" s="12" t="n">
        <v>55</v>
      </c>
      <c r="J4433" s="13" t="n">
        <v>117</v>
      </c>
      <c r="K4433" s="14" t="n">
        <f aca="false">I4433*J4433</f>
        <v>6435</v>
      </c>
      <c r="L4433" s="14" t="n">
        <f aca="false">($L$2*M4433)/100</f>
        <v>588816.585</v>
      </c>
      <c r="M4433" s="15" t="n">
        <v>0.49</v>
      </c>
      <c r="N4433" s="9" t="s">
        <v>85</v>
      </c>
    </row>
    <row r="4434" customFormat="false" ht="14.25" hidden="false" customHeight="true" outlineLevel="0" collapsed="false">
      <c r="B4434" s="9" t="s">
        <v>32</v>
      </c>
      <c r="C4434" s="9" t="n">
        <v>1128299</v>
      </c>
      <c r="D4434" s="10" t="n">
        <v>43872</v>
      </c>
      <c r="E4434" s="9" t="s">
        <v>33</v>
      </c>
      <c r="F4434" s="9" t="s">
        <v>44</v>
      </c>
      <c r="G4434" s="9" t="s">
        <v>45</v>
      </c>
      <c r="H4434" s="11" t="s">
        <v>24</v>
      </c>
      <c r="I4434" s="12" t="n">
        <v>60</v>
      </c>
      <c r="J4434" s="13" t="n">
        <v>130</v>
      </c>
      <c r="K4434" s="14" t="n">
        <f aca="false">I4434*J4434</f>
        <v>7800</v>
      </c>
      <c r="L4434" s="14" t="n">
        <f aca="false">($L$2*M4434)/100</f>
        <v>841166.55</v>
      </c>
      <c r="M4434" s="15" t="n">
        <v>0.7</v>
      </c>
      <c r="N4434" s="9" t="s">
        <v>85</v>
      </c>
    </row>
    <row r="4435" customFormat="false" ht="14.25" hidden="false" customHeight="true" outlineLevel="0" collapsed="false">
      <c r="B4435" s="9" t="s">
        <v>32</v>
      </c>
      <c r="C4435" s="9" t="n">
        <v>1128299</v>
      </c>
      <c r="D4435" s="10" t="n">
        <v>43873</v>
      </c>
      <c r="E4435" s="9" t="s">
        <v>33</v>
      </c>
      <c r="F4435" s="9" t="s">
        <v>44</v>
      </c>
      <c r="G4435" s="9" t="s">
        <v>45</v>
      </c>
      <c r="H4435" s="11" t="s">
        <v>25</v>
      </c>
      <c r="I4435" s="12" t="n">
        <v>78</v>
      </c>
      <c r="J4435" s="13" t="n">
        <v>145</v>
      </c>
      <c r="K4435" s="14" t="n">
        <f aca="false">I4435*J4435</f>
        <v>11310</v>
      </c>
      <c r="L4435" s="14" t="n">
        <f aca="false">($L$2*M4435)/100</f>
        <v>360499.95</v>
      </c>
      <c r="M4435" s="15" t="n">
        <v>0.3</v>
      </c>
      <c r="N4435" s="9" t="s">
        <v>85</v>
      </c>
    </row>
    <row r="4436" customFormat="false" ht="14.25" hidden="false" customHeight="true" outlineLevel="0" collapsed="false">
      <c r="B4436" s="9" t="s">
        <v>32</v>
      </c>
      <c r="C4436" s="9" t="n">
        <v>1128299</v>
      </c>
      <c r="D4436" s="10" t="n">
        <v>43874</v>
      </c>
      <c r="E4436" s="9" t="s">
        <v>33</v>
      </c>
      <c r="F4436" s="9" t="s">
        <v>44</v>
      </c>
      <c r="G4436" s="9" t="s">
        <v>45</v>
      </c>
      <c r="H4436" s="11" t="s">
        <v>19</v>
      </c>
      <c r="I4436" s="12" t="n">
        <v>62</v>
      </c>
      <c r="J4436" s="13" t="n">
        <v>210</v>
      </c>
      <c r="K4436" s="14" t="n">
        <f aca="false">I4436*J4436</f>
        <v>13020</v>
      </c>
      <c r="L4436" s="14" t="n">
        <f aca="false">($L$2*M4436)/100</f>
        <v>636883.245</v>
      </c>
      <c r="M4436" s="15" t="n">
        <v>0.53</v>
      </c>
      <c r="N4436" s="9" t="s">
        <v>85</v>
      </c>
    </row>
    <row r="4437" customFormat="false" ht="14.25" hidden="false" customHeight="true" outlineLevel="0" collapsed="false">
      <c r="B4437" s="9" t="s">
        <v>32</v>
      </c>
      <c r="C4437" s="9" t="n">
        <v>1128299</v>
      </c>
      <c r="D4437" s="10" t="n">
        <v>43875</v>
      </c>
      <c r="E4437" s="9" t="s">
        <v>33</v>
      </c>
      <c r="F4437" s="9" t="s">
        <v>44</v>
      </c>
      <c r="G4437" s="9" t="s">
        <v>45</v>
      </c>
      <c r="H4437" s="11" t="s">
        <v>21</v>
      </c>
      <c r="I4437" s="12" t="n">
        <v>64</v>
      </c>
      <c r="J4437" s="13" t="n">
        <v>182</v>
      </c>
      <c r="K4437" s="14" t="n">
        <f aca="false">I4437*J4437</f>
        <v>11648</v>
      </c>
      <c r="L4437" s="14" t="n">
        <f aca="false">($L$2*M4437)/100</f>
        <v>468649.935</v>
      </c>
      <c r="M4437" s="15" t="n">
        <v>0.39</v>
      </c>
      <c r="N4437" s="9" t="s">
        <v>85</v>
      </c>
    </row>
    <row r="4438" customFormat="false" ht="14.25" hidden="false" customHeight="true" outlineLevel="0" collapsed="false">
      <c r="B4438" s="9" t="s">
        <v>32</v>
      </c>
      <c r="C4438" s="9" t="n">
        <v>1128299</v>
      </c>
      <c r="D4438" s="10" t="n">
        <v>43876</v>
      </c>
      <c r="E4438" s="9" t="s">
        <v>33</v>
      </c>
      <c r="F4438" s="9" t="s">
        <v>44</v>
      </c>
      <c r="G4438" s="9" t="s">
        <v>45</v>
      </c>
      <c r="H4438" s="11" t="s">
        <v>22</v>
      </c>
      <c r="I4438" s="12" t="n">
        <v>60</v>
      </c>
      <c r="J4438" s="13" t="n">
        <v>152</v>
      </c>
      <c r="K4438" s="14" t="n">
        <f aca="false">I4438*J4438</f>
        <v>9120</v>
      </c>
      <c r="L4438" s="14" t="n">
        <f aca="false">($L$2*M4438)/100</f>
        <v>624866.58</v>
      </c>
      <c r="M4438" s="15" t="n">
        <v>0.52</v>
      </c>
      <c r="N4438" s="9" t="s">
        <v>85</v>
      </c>
    </row>
    <row r="4439" customFormat="false" ht="14.25" hidden="false" customHeight="true" outlineLevel="0" collapsed="false">
      <c r="B4439" s="9" t="s">
        <v>32</v>
      </c>
      <c r="C4439" s="9" t="n">
        <v>1128299</v>
      </c>
      <c r="D4439" s="10" t="n">
        <v>43877</v>
      </c>
      <c r="E4439" s="9" t="s">
        <v>33</v>
      </c>
      <c r="F4439" s="9" t="s">
        <v>44</v>
      </c>
      <c r="G4439" s="9" t="s">
        <v>45</v>
      </c>
      <c r="H4439" s="11" t="s">
        <v>23</v>
      </c>
      <c r="I4439" s="12" t="n">
        <v>64</v>
      </c>
      <c r="J4439" s="13" t="n">
        <v>124</v>
      </c>
      <c r="K4439" s="14" t="n">
        <f aca="false">I4439*J4439</f>
        <v>7936</v>
      </c>
      <c r="L4439" s="14" t="n">
        <f aca="false">($L$2*M4439)/100</f>
        <v>564783.255</v>
      </c>
      <c r="M4439" s="15" t="n">
        <v>0.47</v>
      </c>
      <c r="N4439" s="9" t="s">
        <v>85</v>
      </c>
    </row>
    <row r="4440" customFormat="false" ht="14.25" hidden="false" customHeight="true" outlineLevel="0" collapsed="false">
      <c r="B4440" s="9" t="s">
        <v>32</v>
      </c>
      <c r="C4440" s="9" t="n">
        <v>1128299</v>
      </c>
      <c r="D4440" s="10" t="n">
        <v>43878</v>
      </c>
      <c r="E4440" s="9" t="s">
        <v>33</v>
      </c>
      <c r="F4440" s="9" t="s">
        <v>44</v>
      </c>
      <c r="G4440" s="9" t="s">
        <v>45</v>
      </c>
      <c r="H4440" s="11" t="s">
        <v>24</v>
      </c>
      <c r="I4440" s="12" t="n">
        <v>68</v>
      </c>
      <c r="J4440" s="13" t="n">
        <v>138</v>
      </c>
      <c r="K4440" s="14" t="n">
        <f aca="false">I4440*J4440</f>
        <v>9384</v>
      </c>
      <c r="L4440" s="14" t="n">
        <f aca="false">($L$2*M4440)/100</f>
        <v>817133.22</v>
      </c>
      <c r="M4440" s="15" t="n">
        <v>0.68</v>
      </c>
      <c r="N4440" s="9" t="s">
        <v>85</v>
      </c>
    </row>
    <row r="4441" customFormat="false" ht="14.25" hidden="false" customHeight="true" outlineLevel="0" collapsed="false">
      <c r="B4441" s="9" t="s">
        <v>32</v>
      </c>
      <c r="C4441" s="9" t="n">
        <v>1128299</v>
      </c>
      <c r="D4441" s="10" t="n">
        <v>43879</v>
      </c>
      <c r="E4441" s="9" t="s">
        <v>33</v>
      </c>
      <c r="F4441" s="9" t="s">
        <v>44</v>
      </c>
      <c r="G4441" s="9" t="s">
        <v>45</v>
      </c>
      <c r="H4441" s="11" t="s">
        <v>25</v>
      </c>
      <c r="I4441" s="12" t="n">
        <v>78</v>
      </c>
      <c r="J4441" s="13" t="n">
        <v>108</v>
      </c>
      <c r="K4441" s="14" t="n">
        <f aca="false">I4441*J4441</f>
        <v>8424</v>
      </c>
      <c r="L4441" s="14" t="n">
        <f aca="false">($L$2*M4441)/100</f>
        <v>408566.61</v>
      </c>
      <c r="M4441" s="15" t="n">
        <v>0.34</v>
      </c>
      <c r="N4441" s="9" t="s">
        <v>85</v>
      </c>
    </row>
    <row r="4442" customFormat="false" ht="14.25" hidden="false" customHeight="true" outlineLevel="0" collapsed="false">
      <c r="B4442" s="9" t="s">
        <v>32</v>
      </c>
      <c r="C4442" s="9" t="n">
        <v>1128299</v>
      </c>
      <c r="D4442" s="10" t="n">
        <v>43880</v>
      </c>
      <c r="E4442" s="9" t="s">
        <v>33</v>
      </c>
      <c r="F4442" s="9" t="s">
        <v>44</v>
      </c>
      <c r="G4442" s="9" t="s">
        <v>45</v>
      </c>
      <c r="H4442" s="11" t="s">
        <v>19</v>
      </c>
      <c r="I4442" s="12" t="n">
        <v>56</v>
      </c>
      <c r="J4442" s="13" t="n">
        <v>174</v>
      </c>
      <c r="K4442" s="14" t="n">
        <f aca="false">I4442*J4442</f>
        <v>9744</v>
      </c>
      <c r="L4442" s="14" t="n">
        <f aca="false">($L$2*M4442)/100</f>
        <v>576799.92</v>
      </c>
      <c r="M4442" s="15" t="n">
        <v>0.48</v>
      </c>
      <c r="N4442" s="9" t="s">
        <v>85</v>
      </c>
    </row>
    <row r="4443" customFormat="false" ht="14.25" hidden="false" customHeight="true" outlineLevel="0" collapsed="false">
      <c r="B4443" s="9" t="s">
        <v>32</v>
      </c>
      <c r="C4443" s="9" t="n">
        <v>1128299</v>
      </c>
      <c r="D4443" s="10" t="n">
        <v>43881</v>
      </c>
      <c r="E4443" s="9" t="s">
        <v>33</v>
      </c>
      <c r="F4443" s="9" t="s">
        <v>44</v>
      </c>
      <c r="G4443" s="9" t="s">
        <v>45</v>
      </c>
      <c r="H4443" s="11" t="s">
        <v>21</v>
      </c>
      <c r="I4443" s="12" t="n">
        <v>61</v>
      </c>
      <c r="J4443" s="13" t="n">
        <v>162</v>
      </c>
      <c r="K4443" s="14" t="n">
        <f aca="false">I4443*J4443</f>
        <v>9882</v>
      </c>
      <c r="L4443" s="14" t="n">
        <f aca="false">($L$2*M4443)/100</f>
        <v>408566.61</v>
      </c>
      <c r="M4443" s="15" t="n">
        <v>0.34</v>
      </c>
      <c r="N4443" s="9" t="s">
        <v>85</v>
      </c>
    </row>
    <row r="4444" customFormat="false" ht="14.25" hidden="false" customHeight="true" outlineLevel="0" collapsed="false">
      <c r="B4444" s="9" t="s">
        <v>32</v>
      </c>
      <c r="C4444" s="9" t="n">
        <v>1128299</v>
      </c>
      <c r="D4444" s="10" t="n">
        <v>43882</v>
      </c>
      <c r="E4444" s="9" t="s">
        <v>33</v>
      </c>
      <c r="F4444" s="9" t="s">
        <v>44</v>
      </c>
      <c r="G4444" s="9" t="s">
        <v>45</v>
      </c>
      <c r="H4444" s="11" t="s">
        <v>22</v>
      </c>
      <c r="I4444" s="12" t="n">
        <v>57</v>
      </c>
      <c r="J4444" s="13" t="n">
        <v>117</v>
      </c>
      <c r="K4444" s="14" t="n">
        <f aca="false">I4444*J4444</f>
        <v>6669</v>
      </c>
      <c r="L4444" s="14" t="n">
        <f aca="false">($L$2*M4444)/100</f>
        <v>600833.25</v>
      </c>
      <c r="M4444" s="15" t="n">
        <v>0.5</v>
      </c>
      <c r="N4444" s="9" t="s">
        <v>85</v>
      </c>
    </row>
    <row r="4445" customFormat="false" ht="14.25" hidden="false" customHeight="true" outlineLevel="0" collapsed="false">
      <c r="B4445" s="9" t="s">
        <v>32</v>
      </c>
      <c r="C4445" s="9" t="n">
        <v>1128299</v>
      </c>
      <c r="D4445" s="10" t="n">
        <v>43883</v>
      </c>
      <c r="E4445" s="9" t="s">
        <v>33</v>
      </c>
      <c r="F4445" s="9" t="s">
        <v>44</v>
      </c>
      <c r="G4445" s="9" t="s">
        <v>45</v>
      </c>
      <c r="H4445" s="11" t="s">
        <v>23</v>
      </c>
      <c r="I4445" s="12" t="n">
        <v>58</v>
      </c>
      <c r="J4445" s="13" t="n">
        <v>112</v>
      </c>
      <c r="K4445" s="14" t="n">
        <f aca="false">I4445*J4445</f>
        <v>6496</v>
      </c>
      <c r="L4445" s="14" t="n">
        <f aca="false">($L$2*M4445)/100</f>
        <v>528733.26</v>
      </c>
      <c r="M4445" s="15" t="n">
        <v>0.44</v>
      </c>
      <c r="N4445" s="9" t="s">
        <v>85</v>
      </c>
    </row>
    <row r="4446" customFormat="false" ht="14.25" hidden="false" customHeight="true" outlineLevel="0" collapsed="false">
      <c r="B4446" s="9" t="s">
        <v>32</v>
      </c>
      <c r="C4446" s="9" t="n">
        <v>1128299</v>
      </c>
      <c r="D4446" s="10" t="n">
        <v>43884</v>
      </c>
      <c r="E4446" s="9" t="s">
        <v>33</v>
      </c>
      <c r="F4446" s="9" t="s">
        <v>44</v>
      </c>
      <c r="G4446" s="9" t="s">
        <v>45</v>
      </c>
      <c r="H4446" s="11" t="s">
        <v>24</v>
      </c>
      <c r="I4446" s="12" t="n">
        <v>67</v>
      </c>
      <c r="J4446" s="13" t="n">
        <v>120</v>
      </c>
      <c r="K4446" s="14" t="n">
        <f aca="false">I4446*J4446</f>
        <v>8040</v>
      </c>
      <c r="L4446" s="14" t="n">
        <f aca="false">($L$2*M4446)/100</f>
        <v>733016.565</v>
      </c>
      <c r="M4446" s="15" t="n">
        <v>0.61</v>
      </c>
      <c r="N4446" s="9" t="s">
        <v>85</v>
      </c>
    </row>
    <row r="4447" customFormat="false" ht="14.25" hidden="false" customHeight="true" outlineLevel="0" collapsed="false">
      <c r="B4447" s="9" t="s">
        <v>32</v>
      </c>
      <c r="C4447" s="9" t="n">
        <v>1128299</v>
      </c>
      <c r="D4447" s="10" t="n">
        <v>43885</v>
      </c>
      <c r="E4447" s="9" t="s">
        <v>33</v>
      </c>
      <c r="F4447" s="9" t="s">
        <v>44</v>
      </c>
      <c r="G4447" s="9" t="s">
        <v>45</v>
      </c>
      <c r="H4447" s="11" t="s">
        <v>25</v>
      </c>
      <c r="I4447" s="12" t="n">
        <v>74</v>
      </c>
      <c r="J4447" s="13" t="n">
        <v>113</v>
      </c>
      <c r="K4447" s="14" t="n">
        <f aca="false">I4447*J4447</f>
        <v>8362</v>
      </c>
      <c r="L4447" s="14" t="n">
        <f aca="false">($L$2*M4447)/100</f>
        <v>360499.95</v>
      </c>
      <c r="M4447" s="15" t="n">
        <v>0.3</v>
      </c>
      <c r="N4447" s="9" t="s">
        <v>85</v>
      </c>
    </row>
    <row r="4448" customFormat="false" ht="14.25" hidden="false" customHeight="true" outlineLevel="0" collapsed="false">
      <c r="B4448" s="9" t="s">
        <v>32</v>
      </c>
      <c r="C4448" s="9" t="n">
        <v>1128299</v>
      </c>
      <c r="D4448" s="10" t="n">
        <v>43886</v>
      </c>
      <c r="E4448" s="9" t="s">
        <v>33</v>
      </c>
      <c r="F4448" s="9" t="s">
        <v>44</v>
      </c>
      <c r="G4448" s="9" t="s">
        <v>45</v>
      </c>
      <c r="H4448" s="11" t="s">
        <v>19</v>
      </c>
      <c r="I4448" s="12" t="n">
        <v>56</v>
      </c>
      <c r="J4448" s="13" t="n">
        <v>138</v>
      </c>
      <c r="K4448" s="14" t="n">
        <f aca="false">I4448*J4448</f>
        <v>7728</v>
      </c>
      <c r="L4448" s="14" t="n">
        <f aca="false">($L$2*M4448)/100</f>
        <v>588816.585</v>
      </c>
      <c r="M4448" s="15" t="n">
        <v>0.49</v>
      </c>
      <c r="N4448" s="9" t="s">
        <v>85</v>
      </c>
    </row>
    <row r="4449" customFormat="false" ht="14.25" hidden="false" customHeight="true" outlineLevel="0" collapsed="false">
      <c r="B4449" s="9" t="s">
        <v>32</v>
      </c>
      <c r="C4449" s="9" t="n">
        <v>1128299</v>
      </c>
      <c r="D4449" s="10" t="n">
        <v>43887</v>
      </c>
      <c r="E4449" s="9" t="s">
        <v>33</v>
      </c>
      <c r="F4449" s="9" t="s">
        <v>44</v>
      </c>
      <c r="G4449" s="9" t="s">
        <v>45</v>
      </c>
      <c r="H4449" s="11" t="s">
        <v>21</v>
      </c>
      <c r="I4449" s="12" t="n">
        <v>59</v>
      </c>
      <c r="J4449" s="13" t="n">
        <v>165</v>
      </c>
      <c r="K4449" s="14" t="n">
        <f aca="false">I4449*J4449</f>
        <v>9735</v>
      </c>
      <c r="L4449" s="14" t="n">
        <f aca="false">($L$2*M4449)/100</f>
        <v>420583.275</v>
      </c>
      <c r="M4449" s="15" t="n">
        <v>0.35</v>
      </c>
      <c r="N4449" s="9" t="s">
        <v>85</v>
      </c>
    </row>
    <row r="4450" customFormat="false" ht="14.25" hidden="false" customHeight="true" outlineLevel="0" collapsed="false">
      <c r="B4450" s="9" t="s">
        <v>32</v>
      </c>
      <c r="C4450" s="9" t="n">
        <v>1128299</v>
      </c>
      <c r="D4450" s="10" t="n">
        <v>43888</v>
      </c>
      <c r="E4450" s="9" t="s">
        <v>33</v>
      </c>
      <c r="F4450" s="9" t="s">
        <v>44</v>
      </c>
      <c r="G4450" s="9" t="s">
        <v>45</v>
      </c>
      <c r="H4450" s="11" t="s">
        <v>22</v>
      </c>
      <c r="I4450" s="12" t="n">
        <v>54</v>
      </c>
      <c r="J4450" s="13" t="n">
        <v>109</v>
      </c>
      <c r="K4450" s="14" t="n">
        <f aca="false">I4450*J4450</f>
        <v>5886</v>
      </c>
      <c r="L4450" s="14" t="n">
        <f aca="false">($L$2*M4450)/100</f>
        <v>540749.925</v>
      </c>
      <c r="M4450" s="15" t="n">
        <v>0.45</v>
      </c>
      <c r="N4450" s="9" t="s">
        <v>85</v>
      </c>
    </row>
    <row r="4451" customFormat="false" ht="14.25" hidden="false" customHeight="true" outlineLevel="0" collapsed="false">
      <c r="B4451" s="9" t="s">
        <v>32</v>
      </c>
      <c r="C4451" s="9" t="n">
        <v>1128299</v>
      </c>
      <c r="D4451" s="10" t="n">
        <v>43889</v>
      </c>
      <c r="E4451" s="9" t="s">
        <v>33</v>
      </c>
      <c r="F4451" s="9" t="s">
        <v>44</v>
      </c>
      <c r="G4451" s="9" t="s">
        <v>45</v>
      </c>
      <c r="H4451" s="11" t="s">
        <v>23</v>
      </c>
      <c r="I4451" s="12" t="n">
        <v>54</v>
      </c>
      <c r="J4451" s="13" t="n">
        <v>105</v>
      </c>
      <c r="K4451" s="14" t="n">
        <f aca="false">I4451*J4451</f>
        <v>5670</v>
      </c>
      <c r="L4451" s="14" t="n">
        <f aca="false">($L$2*M4451)/100</f>
        <v>504699.93</v>
      </c>
      <c r="M4451" s="15" t="n">
        <v>0.42</v>
      </c>
      <c r="N4451" s="9" t="s">
        <v>85</v>
      </c>
    </row>
    <row r="4452" customFormat="false" ht="14.25" hidden="false" customHeight="true" outlineLevel="0" collapsed="false">
      <c r="B4452" s="9" t="s">
        <v>32</v>
      </c>
      <c r="C4452" s="9" t="n">
        <v>1128299</v>
      </c>
      <c r="D4452" s="10" t="n">
        <v>43891</v>
      </c>
      <c r="E4452" s="9" t="s">
        <v>33</v>
      </c>
      <c r="F4452" s="9" t="s">
        <v>44</v>
      </c>
      <c r="G4452" s="9" t="s">
        <v>45</v>
      </c>
      <c r="H4452" s="11" t="s">
        <v>24</v>
      </c>
      <c r="I4452" s="12" t="n">
        <v>63</v>
      </c>
      <c r="J4452" s="13" t="n">
        <v>81</v>
      </c>
      <c r="K4452" s="14" t="n">
        <f aca="false">I4452*J4452</f>
        <v>5103</v>
      </c>
      <c r="L4452" s="14" t="n">
        <f aca="false">($L$2*M4452)/100</f>
        <v>733016.565</v>
      </c>
      <c r="M4452" s="15" t="n">
        <v>0.61</v>
      </c>
      <c r="N4452" s="9" t="s">
        <v>85</v>
      </c>
    </row>
    <row r="4453" customFormat="false" ht="14.25" hidden="false" customHeight="true" outlineLevel="0" collapsed="false">
      <c r="B4453" s="9" t="s">
        <v>32</v>
      </c>
      <c r="C4453" s="9" t="n">
        <v>1128299</v>
      </c>
      <c r="D4453" s="10" t="n">
        <v>43892</v>
      </c>
      <c r="E4453" s="9" t="s">
        <v>33</v>
      </c>
      <c r="F4453" s="9" t="s">
        <v>44</v>
      </c>
      <c r="G4453" s="9" t="s">
        <v>45</v>
      </c>
      <c r="H4453" s="11" t="s">
        <v>25</v>
      </c>
      <c r="I4453" s="12" t="n">
        <v>68</v>
      </c>
      <c r="J4453" s="13" t="n">
        <v>94</v>
      </c>
      <c r="K4453" s="14" t="n">
        <f aca="false">I4453*J4453</f>
        <v>6392</v>
      </c>
      <c r="L4453" s="14" t="n">
        <f aca="false">($L$2*M4453)/100</f>
        <v>300416.625</v>
      </c>
      <c r="M4453" s="15" t="n">
        <v>0.25</v>
      </c>
      <c r="N4453" s="9" t="s">
        <v>85</v>
      </c>
    </row>
    <row r="4454" customFormat="false" ht="14.25" hidden="false" customHeight="true" outlineLevel="0" collapsed="false">
      <c r="B4454" s="9" t="s">
        <v>32</v>
      </c>
      <c r="C4454" s="9" t="n">
        <v>1128299</v>
      </c>
      <c r="D4454" s="10" t="n">
        <v>43893</v>
      </c>
      <c r="E4454" s="9" t="s">
        <v>33</v>
      </c>
      <c r="F4454" s="9" t="s">
        <v>44</v>
      </c>
      <c r="G4454" s="9" t="s">
        <v>45</v>
      </c>
      <c r="H4454" s="11" t="s">
        <v>19</v>
      </c>
      <c r="I4454" s="12" t="n">
        <v>57</v>
      </c>
      <c r="J4454" s="13" t="n">
        <v>155</v>
      </c>
      <c r="K4454" s="14" t="n">
        <f aca="false">I4454*J4454</f>
        <v>8835</v>
      </c>
      <c r="L4454" s="14" t="n">
        <f aca="false">($L$2*M4454)/100</f>
        <v>576799.92</v>
      </c>
      <c r="M4454" s="15" t="n">
        <v>0.48</v>
      </c>
      <c r="N4454" s="9" t="s">
        <v>85</v>
      </c>
    </row>
    <row r="4455" customFormat="false" ht="14.25" hidden="false" customHeight="true" outlineLevel="0" collapsed="false">
      <c r="B4455" s="9" t="s">
        <v>32</v>
      </c>
      <c r="C4455" s="9" t="n">
        <v>1128299</v>
      </c>
      <c r="D4455" s="10" t="n">
        <v>43894</v>
      </c>
      <c r="E4455" s="9" t="s">
        <v>33</v>
      </c>
      <c r="F4455" s="9" t="s">
        <v>44</v>
      </c>
      <c r="G4455" s="9" t="s">
        <v>45</v>
      </c>
      <c r="H4455" s="11" t="s">
        <v>21</v>
      </c>
      <c r="I4455" s="12" t="n">
        <v>64</v>
      </c>
      <c r="J4455" s="13" t="n">
        <v>150</v>
      </c>
      <c r="K4455" s="14" t="n">
        <f aca="false">I4455*J4455</f>
        <v>9600</v>
      </c>
      <c r="L4455" s="14" t="n">
        <f aca="false">($L$2*M4455)/100</f>
        <v>408566.61</v>
      </c>
      <c r="M4455" s="15" t="n">
        <v>0.34</v>
      </c>
      <c r="N4455" s="9" t="s">
        <v>85</v>
      </c>
    </row>
    <row r="4456" customFormat="false" ht="14.25" hidden="false" customHeight="true" outlineLevel="0" collapsed="false">
      <c r="B4456" s="9" t="s">
        <v>32</v>
      </c>
      <c r="C4456" s="9" t="n">
        <v>1128299</v>
      </c>
      <c r="D4456" s="10" t="n">
        <v>43895</v>
      </c>
      <c r="E4456" s="9" t="s">
        <v>33</v>
      </c>
      <c r="F4456" s="9" t="s">
        <v>44</v>
      </c>
      <c r="G4456" s="9" t="s">
        <v>45</v>
      </c>
      <c r="H4456" s="11" t="s">
        <v>22</v>
      </c>
      <c r="I4456" s="12" t="n">
        <v>55</v>
      </c>
      <c r="J4456" s="13" t="n">
        <v>106</v>
      </c>
      <c r="K4456" s="14" t="n">
        <f aca="false">I4456*J4456</f>
        <v>5830</v>
      </c>
      <c r="L4456" s="14" t="n">
        <f aca="false">($L$2*M4456)/100</f>
        <v>552766.59</v>
      </c>
      <c r="M4456" s="15" t="n">
        <v>0.46</v>
      </c>
      <c r="N4456" s="9" t="s">
        <v>85</v>
      </c>
    </row>
    <row r="4457" customFormat="false" ht="14.25" hidden="false" customHeight="true" outlineLevel="0" collapsed="false">
      <c r="B4457" s="9" t="s">
        <v>32</v>
      </c>
      <c r="C4457" s="9" t="n">
        <v>1128299</v>
      </c>
      <c r="D4457" s="10" t="n">
        <v>43896</v>
      </c>
      <c r="E4457" s="9" t="s">
        <v>33</v>
      </c>
      <c r="F4457" s="9" t="s">
        <v>44</v>
      </c>
      <c r="G4457" s="9" t="s">
        <v>45</v>
      </c>
      <c r="H4457" s="11" t="s">
        <v>23</v>
      </c>
      <c r="I4457" s="12" t="n">
        <v>56</v>
      </c>
      <c r="J4457" s="13" t="n">
        <v>108</v>
      </c>
      <c r="K4457" s="14" t="n">
        <f aca="false">I4457*J4457</f>
        <v>6048</v>
      </c>
      <c r="L4457" s="14" t="n">
        <f aca="false">($L$2*M4457)/100</f>
        <v>492683.265</v>
      </c>
      <c r="M4457" s="15" t="n">
        <v>0.41</v>
      </c>
      <c r="N4457" s="9" t="s">
        <v>85</v>
      </c>
    </row>
    <row r="4458" customFormat="false" ht="14.25" hidden="false" customHeight="true" outlineLevel="0" collapsed="false">
      <c r="B4458" s="9" t="s">
        <v>32</v>
      </c>
      <c r="C4458" s="9" t="n">
        <v>1128299</v>
      </c>
      <c r="D4458" s="10" t="n">
        <v>43897</v>
      </c>
      <c r="E4458" s="9" t="s">
        <v>33</v>
      </c>
      <c r="F4458" s="9" t="s">
        <v>44</v>
      </c>
      <c r="G4458" s="9" t="s">
        <v>45</v>
      </c>
      <c r="H4458" s="11" t="s">
        <v>24</v>
      </c>
      <c r="I4458" s="12" t="n">
        <v>64</v>
      </c>
      <c r="J4458" s="13" t="n">
        <v>88</v>
      </c>
      <c r="K4458" s="14" t="n">
        <f aca="false">I4458*J4458</f>
        <v>5632</v>
      </c>
      <c r="L4458" s="14" t="n">
        <f aca="false">($L$2*M4458)/100</f>
        <v>769066.56</v>
      </c>
      <c r="M4458" s="15" t="n">
        <v>0.64</v>
      </c>
      <c r="N4458" s="9" t="s">
        <v>85</v>
      </c>
    </row>
    <row r="4459" customFormat="false" ht="14.25" hidden="false" customHeight="true" outlineLevel="0" collapsed="false">
      <c r="B4459" s="9" t="s">
        <v>32</v>
      </c>
      <c r="C4459" s="9" t="n">
        <v>1128299</v>
      </c>
      <c r="D4459" s="10" t="n">
        <v>43898</v>
      </c>
      <c r="E4459" s="9" t="s">
        <v>33</v>
      </c>
      <c r="F4459" s="9" t="s">
        <v>44</v>
      </c>
      <c r="G4459" s="9" t="s">
        <v>45</v>
      </c>
      <c r="H4459" s="11" t="s">
        <v>25</v>
      </c>
      <c r="I4459" s="12" t="n">
        <v>68</v>
      </c>
      <c r="J4459" s="13" t="n">
        <v>133</v>
      </c>
      <c r="K4459" s="14" t="n">
        <f aca="false">I4459*J4459</f>
        <v>9044</v>
      </c>
      <c r="L4459" s="14" t="n">
        <f aca="false">($L$2*M4459)/100</f>
        <v>312433.29</v>
      </c>
      <c r="M4459" s="15" t="n">
        <v>0.26</v>
      </c>
      <c r="N4459" s="9" t="s">
        <v>85</v>
      </c>
    </row>
    <row r="4460" customFormat="false" ht="14.25" hidden="false" customHeight="true" outlineLevel="0" collapsed="false">
      <c r="B4460" s="9" t="s">
        <v>32</v>
      </c>
      <c r="C4460" s="9" t="n">
        <v>1128299</v>
      </c>
      <c r="D4460" s="10" t="n">
        <v>43899</v>
      </c>
      <c r="E4460" s="9" t="s">
        <v>33</v>
      </c>
      <c r="F4460" s="9" t="s">
        <v>44</v>
      </c>
      <c r="G4460" s="9" t="s">
        <v>45</v>
      </c>
      <c r="H4460" s="11" t="s">
        <v>19</v>
      </c>
      <c r="I4460" s="12" t="n">
        <v>58</v>
      </c>
      <c r="J4460" s="13" t="n">
        <v>196</v>
      </c>
      <c r="K4460" s="14" t="n">
        <f aca="false">I4460*J4460</f>
        <v>11368</v>
      </c>
      <c r="L4460" s="14" t="n">
        <f aca="false">($L$2*M4460)/100</f>
        <v>564783.255</v>
      </c>
      <c r="M4460" s="15" t="n">
        <v>0.47</v>
      </c>
      <c r="N4460" s="9" t="s">
        <v>85</v>
      </c>
    </row>
    <row r="4461" customFormat="false" ht="14.25" hidden="false" customHeight="true" outlineLevel="0" collapsed="false">
      <c r="B4461" s="9" t="s">
        <v>32</v>
      </c>
      <c r="C4461" s="9" t="n">
        <v>1128299</v>
      </c>
      <c r="D4461" s="10" t="n">
        <v>43900</v>
      </c>
      <c r="E4461" s="9" t="s">
        <v>33</v>
      </c>
      <c r="F4461" s="9" t="s">
        <v>44</v>
      </c>
      <c r="G4461" s="9" t="s">
        <v>45</v>
      </c>
      <c r="H4461" s="11" t="s">
        <v>21</v>
      </c>
      <c r="I4461" s="12" t="n">
        <v>62</v>
      </c>
      <c r="J4461" s="13" t="n">
        <v>189</v>
      </c>
      <c r="K4461" s="14" t="n">
        <f aca="false">I4461*J4461</f>
        <v>11718</v>
      </c>
      <c r="L4461" s="14" t="n">
        <f aca="false">($L$2*M4461)/100</f>
        <v>408566.61</v>
      </c>
      <c r="M4461" s="15" t="n">
        <v>0.34</v>
      </c>
      <c r="N4461" s="9" t="s">
        <v>85</v>
      </c>
    </row>
    <row r="4462" customFormat="false" ht="14.25" hidden="false" customHeight="true" outlineLevel="0" collapsed="false">
      <c r="B4462" s="9" t="s">
        <v>32</v>
      </c>
      <c r="C4462" s="9" t="n">
        <v>1128299</v>
      </c>
      <c r="D4462" s="10" t="n">
        <v>43901</v>
      </c>
      <c r="E4462" s="9" t="s">
        <v>33</v>
      </c>
      <c r="F4462" s="9" t="s">
        <v>44</v>
      </c>
      <c r="G4462" s="9" t="s">
        <v>45</v>
      </c>
      <c r="H4462" s="11" t="s">
        <v>22</v>
      </c>
      <c r="I4462" s="12" t="n">
        <v>59</v>
      </c>
      <c r="J4462" s="13" t="n">
        <v>119</v>
      </c>
      <c r="K4462" s="14" t="n">
        <f aca="false">I4462*J4462</f>
        <v>7021</v>
      </c>
      <c r="L4462" s="14" t="n">
        <f aca="false">($L$2*M4462)/100</f>
        <v>564783.255</v>
      </c>
      <c r="M4462" s="15" t="n">
        <v>0.47</v>
      </c>
      <c r="N4462" s="9" t="s">
        <v>85</v>
      </c>
    </row>
    <row r="4463" customFormat="false" ht="14.25" hidden="false" customHeight="true" outlineLevel="0" collapsed="false">
      <c r="B4463" s="9" t="s">
        <v>32</v>
      </c>
      <c r="C4463" s="9" t="n">
        <v>1128299</v>
      </c>
      <c r="D4463" s="10" t="n">
        <v>43902</v>
      </c>
      <c r="E4463" s="9" t="s">
        <v>33</v>
      </c>
      <c r="F4463" s="9" t="s">
        <v>44</v>
      </c>
      <c r="G4463" s="9" t="s">
        <v>45</v>
      </c>
      <c r="H4463" s="11" t="s">
        <v>23</v>
      </c>
      <c r="I4463" s="12" t="n">
        <v>57</v>
      </c>
      <c r="J4463" s="13" t="n">
        <v>133</v>
      </c>
      <c r="K4463" s="14" t="n">
        <f aca="false">I4463*J4463</f>
        <v>7581</v>
      </c>
      <c r="L4463" s="14" t="n">
        <f aca="false">($L$2*M4463)/100</f>
        <v>528733.26</v>
      </c>
      <c r="M4463" s="15" t="n">
        <v>0.44</v>
      </c>
      <c r="N4463" s="9" t="s">
        <v>85</v>
      </c>
    </row>
    <row r="4464" customFormat="false" ht="14.25" hidden="false" customHeight="true" outlineLevel="0" collapsed="false">
      <c r="B4464" s="9" t="s">
        <v>32</v>
      </c>
      <c r="C4464" s="9" t="n">
        <v>1128299</v>
      </c>
      <c r="D4464" s="10" t="n">
        <v>43903</v>
      </c>
      <c r="E4464" s="9" t="s">
        <v>33</v>
      </c>
      <c r="F4464" s="9" t="s">
        <v>44</v>
      </c>
      <c r="G4464" s="9" t="s">
        <v>45</v>
      </c>
      <c r="H4464" s="11" t="s">
        <v>24</v>
      </c>
      <c r="I4464" s="12" t="n">
        <v>69</v>
      </c>
      <c r="J4464" s="13" t="n">
        <v>112</v>
      </c>
      <c r="K4464" s="14" t="n">
        <f aca="false">I4464*J4464</f>
        <v>7728</v>
      </c>
      <c r="L4464" s="14" t="n">
        <f aca="false">($L$2*M4464)/100</f>
        <v>720999.9</v>
      </c>
      <c r="M4464" s="15" t="n">
        <v>0.6</v>
      </c>
      <c r="N4464" s="9" t="s">
        <v>85</v>
      </c>
    </row>
    <row r="4465" customFormat="false" ht="14.25" hidden="false" customHeight="true" outlineLevel="0" collapsed="false">
      <c r="B4465" s="9" t="s">
        <v>32</v>
      </c>
      <c r="C4465" s="9" t="n">
        <v>1128299</v>
      </c>
      <c r="D4465" s="10" t="n">
        <v>43904</v>
      </c>
      <c r="E4465" s="9" t="s">
        <v>33</v>
      </c>
      <c r="F4465" s="9" t="s">
        <v>44</v>
      </c>
      <c r="G4465" s="9" t="s">
        <v>45</v>
      </c>
      <c r="H4465" s="11" t="s">
        <v>25</v>
      </c>
      <c r="I4465" s="12" t="n">
        <v>74</v>
      </c>
      <c r="J4465" s="13" t="n">
        <v>150</v>
      </c>
      <c r="K4465" s="14" t="n">
        <f aca="false">I4465*J4465</f>
        <v>11100</v>
      </c>
      <c r="L4465" s="14" t="n">
        <f aca="false">($L$2*M4465)/100</f>
        <v>324449.955</v>
      </c>
      <c r="M4465" s="15" t="n">
        <v>0.27</v>
      </c>
      <c r="N4465" s="9" t="s">
        <v>85</v>
      </c>
    </row>
    <row r="4466" customFormat="false" ht="14.25" hidden="false" customHeight="true" outlineLevel="0" collapsed="false">
      <c r="B4466" s="9" t="s">
        <v>32</v>
      </c>
      <c r="C4466" s="9" t="n">
        <v>1128299</v>
      </c>
      <c r="D4466" s="10" t="n">
        <v>43905</v>
      </c>
      <c r="E4466" s="9" t="s">
        <v>33</v>
      </c>
      <c r="F4466" s="9" t="s">
        <v>44</v>
      </c>
      <c r="G4466" s="9" t="s">
        <v>45</v>
      </c>
      <c r="H4466" s="11" t="s">
        <v>19</v>
      </c>
      <c r="I4466" s="12" t="n">
        <v>28</v>
      </c>
      <c r="J4466" s="13" t="n">
        <v>123</v>
      </c>
      <c r="K4466" s="14" t="n">
        <f aca="false">I4466*J4466</f>
        <v>3444</v>
      </c>
      <c r="L4466" s="14" t="n">
        <f aca="false">($L$2*M4466)/100</f>
        <v>600833.25</v>
      </c>
      <c r="M4466" s="15" t="n">
        <v>0.5</v>
      </c>
      <c r="N4466" s="9" t="s">
        <v>85</v>
      </c>
    </row>
    <row r="4467" customFormat="false" ht="14.25" hidden="false" customHeight="true" outlineLevel="0" collapsed="false">
      <c r="B4467" s="9" t="s">
        <v>32</v>
      </c>
      <c r="C4467" s="9" t="n">
        <v>1128299</v>
      </c>
      <c r="D4467" s="10" t="n">
        <v>43906</v>
      </c>
      <c r="E4467" s="9" t="s">
        <v>33</v>
      </c>
      <c r="F4467" s="9" t="s">
        <v>44</v>
      </c>
      <c r="G4467" s="9" t="s">
        <v>45</v>
      </c>
      <c r="H4467" s="11" t="s">
        <v>21</v>
      </c>
      <c r="I4467" s="12" t="n">
        <v>38</v>
      </c>
      <c r="J4467" s="13" t="n">
        <v>123</v>
      </c>
      <c r="K4467" s="14" t="n">
        <f aca="false">I4467*J4467</f>
        <v>4674</v>
      </c>
      <c r="L4467" s="14" t="n">
        <f aca="false">($L$2*M4467)/100</f>
        <v>396549.945</v>
      </c>
      <c r="M4467" s="15" t="n">
        <v>0.33</v>
      </c>
      <c r="N4467" s="9" t="s">
        <v>85</v>
      </c>
    </row>
    <row r="4468" customFormat="false" ht="14.25" hidden="false" customHeight="true" outlineLevel="0" collapsed="false">
      <c r="B4468" s="9" t="s">
        <v>32</v>
      </c>
      <c r="C4468" s="9" t="n">
        <v>1128299</v>
      </c>
      <c r="D4468" s="10" t="n">
        <v>43907</v>
      </c>
      <c r="E4468" s="9" t="s">
        <v>33</v>
      </c>
      <c r="F4468" s="9" t="s">
        <v>44</v>
      </c>
      <c r="G4468" s="9" t="s">
        <v>45</v>
      </c>
      <c r="H4468" s="11" t="s">
        <v>22</v>
      </c>
      <c r="I4468" s="12" t="n">
        <v>39</v>
      </c>
      <c r="J4468" s="13" t="n">
        <v>115</v>
      </c>
      <c r="K4468" s="14" t="n">
        <f aca="false">I4468*J4468</f>
        <v>4485</v>
      </c>
      <c r="L4468" s="14" t="n">
        <f aca="false">($L$2*M4468)/100</f>
        <v>552766.59</v>
      </c>
      <c r="M4468" s="15" t="n">
        <v>0.46</v>
      </c>
      <c r="N4468" s="9" t="s">
        <v>85</v>
      </c>
    </row>
    <row r="4469" customFormat="false" ht="14.25" hidden="false" customHeight="true" outlineLevel="0" collapsed="false">
      <c r="B4469" s="9" t="s">
        <v>32</v>
      </c>
      <c r="C4469" s="9" t="n">
        <v>1128299</v>
      </c>
      <c r="D4469" s="10" t="n">
        <v>43908</v>
      </c>
      <c r="E4469" s="9" t="s">
        <v>33</v>
      </c>
      <c r="F4469" s="9" t="s">
        <v>44</v>
      </c>
      <c r="G4469" s="9" t="s">
        <v>45</v>
      </c>
      <c r="H4469" s="11" t="s">
        <v>23</v>
      </c>
      <c r="I4469" s="12" t="n">
        <v>38</v>
      </c>
      <c r="J4469" s="13" t="n">
        <v>72</v>
      </c>
      <c r="K4469" s="14" t="n">
        <f aca="false">I4469*J4469</f>
        <v>2736</v>
      </c>
      <c r="L4469" s="14" t="n">
        <f aca="false">($L$2*M4469)/100</f>
        <v>540749.925</v>
      </c>
      <c r="M4469" s="15" t="n">
        <v>0.45</v>
      </c>
      <c r="N4469" s="9" t="s">
        <v>85</v>
      </c>
    </row>
    <row r="4470" customFormat="false" ht="14.25" hidden="false" customHeight="true" outlineLevel="0" collapsed="false">
      <c r="B4470" s="9" t="s">
        <v>32</v>
      </c>
      <c r="C4470" s="9" t="n">
        <v>1128299</v>
      </c>
      <c r="D4470" s="10" t="n">
        <v>43909</v>
      </c>
      <c r="E4470" s="9" t="s">
        <v>33</v>
      </c>
      <c r="F4470" s="9" t="s">
        <v>46</v>
      </c>
      <c r="G4470" s="9" t="s">
        <v>47</v>
      </c>
      <c r="H4470" s="11" t="s">
        <v>24</v>
      </c>
      <c r="I4470" s="12" t="n">
        <v>41</v>
      </c>
      <c r="J4470" s="13" t="n">
        <v>56</v>
      </c>
      <c r="K4470" s="14" t="n">
        <f aca="false">I4470*J4470</f>
        <v>2296</v>
      </c>
      <c r="L4470" s="14" t="n">
        <f aca="false">($L$2*M4470)/100</f>
        <v>769066.56</v>
      </c>
      <c r="M4470" s="15" t="n">
        <v>0.64</v>
      </c>
      <c r="N4470" s="9" t="s">
        <v>85</v>
      </c>
    </row>
    <row r="4471" customFormat="false" ht="14.25" hidden="false" customHeight="true" outlineLevel="0" collapsed="false">
      <c r="B4471" s="9" t="s">
        <v>32</v>
      </c>
      <c r="C4471" s="9" t="n">
        <v>1128299</v>
      </c>
      <c r="D4471" s="10" t="n">
        <v>43910</v>
      </c>
      <c r="E4471" s="9" t="s">
        <v>33</v>
      </c>
      <c r="F4471" s="9" t="s">
        <v>46</v>
      </c>
      <c r="G4471" s="9" t="s">
        <v>47</v>
      </c>
      <c r="H4471" s="11" t="s">
        <v>25</v>
      </c>
      <c r="I4471" s="12" t="n">
        <v>37</v>
      </c>
      <c r="J4471" s="13" t="n">
        <v>128</v>
      </c>
      <c r="K4471" s="14" t="n">
        <f aca="false">I4471*J4471</f>
        <v>4736</v>
      </c>
      <c r="L4471" s="14" t="n">
        <f aca="false">($L$2*M4471)/100</f>
        <v>312433.29</v>
      </c>
      <c r="M4471" s="15" t="n">
        <v>0.26</v>
      </c>
      <c r="N4471" s="9" t="s">
        <v>85</v>
      </c>
    </row>
    <row r="4472" customFormat="false" ht="14.25" hidden="false" customHeight="true" outlineLevel="0" collapsed="false">
      <c r="B4472" s="9" t="s">
        <v>32</v>
      </c>
      <c r="C4472" s="9" t="n">
        <v>1128299</v>
      </c>
      <c r="D4472" s="10" t="n">
        <v>43911</v>
      </c>
      <c r="E4472" s="9" t="s">
        <v>33</v>
      </c>
      <c r="F4472" s="9" t="s">
        <v>46</v>
      </c>
      <c r="G4472" s="9" t="s">
        <v>47</v>
      </c>
      <c r="H4472" s="11" t="s">
        <v>19</v>
      </c>
      <c r="I4472" s="12" t="n">
        <v>27</v>
      </c>
      <c r="J4472" s="13" t="n">
        <v>131</v>
      </c>
      <c r="K4472" s="14" t="n">
        <f aca="false">I4472*J4472</f>
        <v>3537</v>
      </c>
      <c r="L4472" s="14" t="n">
        <f aca="false">($L$2*M4472)/100</f>
        <v>576799.92</v>
      </c>
      <c r="M4472" s="15" t="n">
        <v>0.48</v>
      </c>
      <c r="N4472" s="9" t="s">
        <v>85</v>
      </c>
    </row>
    <row r="4473" customFormat="false" ht="14.25" hidden="false" customHeight="true" outlineLevel="0" collapsed="false">
      <c r="B4473" s="9" t="s">
        <v>32</v>
      </c>
      <c r="C4473" s="9" t="n">
        <v>1128299</v>
      </c>
      <c r="D4473" s="10" t="n">
        <v>43912</v>
      </c>
      <c r="E4473" s="9" t="s">
        <v>33</v>
      </c>
      <c r="F4473" s="9" t="s">
        <v>46</v>
      </c>
      <c r="G4473" s="9" t="s">
        <v>47</v>
      </c>
      <c r="H4473" s="11" t="s">
        <v>21</v>
      </c>
      <c r="I4473" s="12" t="n">
        <v>38</v>
      </c>
      <c r="J4473" s="13" t="n">
        <v>111</v>
      </c>
      <c r="K4473" s="14" t="n">
        <f aca="false">I4473*J4473</f>
        <v>4218</v>
      </c>
      <c r="L4473" s="14" t="n">
        <f aca="false">($L$2*M4473)/100</f>
        <v>360499.95</v>
      </c>
      <c r="M4473" s="15" t="n">
        <v>0.3</v>
      </c>
      <c r="N4473" s="9" t="s">
        <v>85</v>
      </c>
    </row>
    <row r="4474" customFormat="false" ht="14.25" hidden="false" customHeight="true" outlineLevel="0" collapsed="false">
      <c r="B4474" s="9" t="s">
        <v>32</v>
      </c>
      <c r="C4474" s="9" t="n">
        <v>1128299</v>
      </c>
      <c r="D4474" s="10" t="n">
        <v>43913</v>
      </c>
      <c r="E4474" s="9" t="s">
        <v>33</v>
      </c>
      <c r="F4474" s="9" t="s">
        <v>46</v>
      </c>
      <c r="G4474" s="9" t="s">
        <v>47</v>
      </c>
      <c r="H4474" s="11" t="s">
        <v>22</v>
      </c>
      <c r="I4474" s="12" t="n">
        <v>38</v>
      </c>
      <c r="J4474" s="13" t="n">
        <v>123</v>
      </c>
      <c r="K4474" s="14" t="n">
        <f aca="false">I4474*J4474</f>
        <v>4674</v>
      </c>
      <c r="L4474" s="14" t="n">
        <f aca="false">($L$2*M4474)/100</f>
        <v>600833.25</v>
      </c>
      <c r="M4474" s="15" t="n">
        <v>0.5</v>
      </c>
      <c r="N4474" s="9" t="s">
        <v>85</v>
      </c>
    </row>
    <row r="4475" customFormat="false" ht="14.25" hidden="false" customHeight="true" outlineLevel="0" collapsed="false">
      <c r="B4475" s="9" t="s">
        <v>32</v>
      </c>
      <c r="C4475" s="9" t="n">
        <v>1128299</v>
      </c>
      <c r="D4475" s="10" t="n">
        <v>43914</v>
      </c>
      <c r="E4475" s="9" t="s">
        <v>33</v>
      </c>
      <c r="F4475" s="9" t="s">
        <v>46</v>
      </c>
      <c r="G4475" s="9" t="s">
        <v>47</v>
      </c>
      <c r="H4475" s="11" t="s">
        <v>23</v>
      </c>
      <c r="I4475" s="12" t="n">
        <v>36</v>
      </c>
      <c r="J4475" s="13" t="n">
        <v>72</v>
      </c>
      <c r="K4475" s="14" t="n">
        <f aca="false">I4475*J4475</f>
        <v>2592</v>
      </c>
      <c r="L4475" s="14" t="n">
        <f aca="false">($L$2*M4475)/100</f>
        <v>540749.925</v>
      </c>
      <c r="M4475" s="15" t="n">
        <v>0.45</v>
      </c>
      <c r="N4475" s="9" t="s">
        <v>85</v>
      </c>
    </row>
    <row r="4476" customFormat="false" ht="14.25" hidden="false" customHeight="true" outlineLevel="0" collapsed="false">
      <c r="B4476" s="9" t="s">
        <v>32</v>
      </c>
      <c r="C4476" s="9" t="n">
        <v>1128299</v>
      </c>
      <c r="D4476" s="10" t="n">
        <v>43915</v>
      </c>
      <c r="E4476" s="9" t="s">
        <v>33</v>
      </c>
      <c r="F4476" s="9" t="s">
        <v>46</v>
      </c>
      <c r="G4476" s="9" t="s">
        <v>47</v>
      </c>
      <c r="H4476" s="11" t="s">
        <v>24</v>
      </c>
      <c r="I4476" s="12" t="n">
        <v>43</v>
      </c>
      <c r="J4476" s="13" t="n">
        <v>58</v>
      </c>
      <c r="K4476" s="14" t="n">
        <f aca="false">I4476*J4476</f>
        <v>2494</v>
      </c>
      <c r="L4476" s="14" t="n">
        <f aca="false">($L$2*M4476)/100</f>
        <v>745033.23</v>
      </c>
      <c r="M4476" s="15" t="n">
        <v>0.62</v>
      </c>
      <c r="N4476" s="9" t="s">
        <v>85</v>
      </c>
    </row>
    <row r="4477" customFormat="false" ht="14.25" hidden="false" customHeight="true" outlineLevel="0" collapsed="false">
      <c r="B4477" s="9" t="s">
        <v>32</v>
      </c>
      <c r="C4477" s="9" t="n">
        <v>1128299</v>
      </c>
      <c r="D4477" s="10" t="n">
        <v>43916</v>
      </c>
      <c r="E4477" s="9" t="s">
        <v>33</v>
      </c>
      <c r="F4477" s="9" t="s">
        <v>46</v>
      </c>
      <c r="G4477" s="9" t="s">
        <v>47</v>
      </c>
      <c r="H4477" s="11" t="s">
        <v>25</v>
      </c>
      <c r="I4477" s="12" t="n">
        <v>37</v>
      </c>
      <c r="J4477" s="13" t="n">
        <v>116</v>
      </c>
      <c r="K4477" s="14" t="n">
        <f aca="false">I4477*J4477</f>
        <v>4292</v>
      </c>
      <c r="L4477" s="14" t="n">
        <f aca="false">($L$2*M4477)/100</f>
        <v>324449.955</v>
      </c>
      <c r="M4477" s="15" t="n">
        <v>0.27</v>
      </c>
      <c r="N4477" s="9" t="s">
        <v>85</v>
      </c>
    </row>
    <row r="4478" customFormat="false" ht="14.25" hidden="false" customHeight="true" outlineLevel="0" collapsed="false">
      <c r="B4478" s="9" t="s">
        <v>32</v>
      </c>
      <c r="C4478" s="9" t="n">
        <v>1128299</v>
      </c>
      <c r="D4478" s="10" t="n">
        <v>43917</v>
      </c>
      <c r="E4478" s="9" t="s">
        <v>33</v>
      </c>
      <c r="F4478" s="9" t="s">
        <v>46</v>
      </c>
      <c r="G4478" s="9" t="s">
        <v>47</v>
      </c>
      <c r="H4478" s="11" t="s">
        <v>19</v>
      </c>
      <c r="I4478" s="12" t="n">
        <v>37</v>
      </c>
      <c r="J4478" s="13" t="n">
        <v>165</v>
      </c>
      <c r="K4478" s="14" t="n">
        <f aca="false">I4478*J4478</f>
        <v>6105</v>
      </c>
      <c r="L4478" s="14" t="n">
        <f aca="false">($L$2*M4478)/100</f>
        <v>576799.92</v>
      </c>
      <c r="M4478" s="15" t="n">
        <v>0.48</v>
      </c>
      <c r="N4478" s="9" t="s">
        <v>85</v>
      </c>
    </row>
    <row r="4479" customFormat="false" ht="14.25" hidden="false" customHeight="true" outlineLevel="0" collapsed="false">
      <c r="B4479" s="9" t="s">
        <v>32</v>
      </c>
      <c r="C4479" s="9" t="n">
        <v>1128299</v>
      </c>
      <c r="D4479" s="10" t="n">
        <v>43918</v>
      </c>
      <c r="E4479" s="9" t="s">
        <v>33</v>
      </c>
      <c r="F4479" s="9" t="s">
        <v>46</v>
      </c>
      <c r="G4479" s="9" t="s">
        <v>47</v>
      </c>
      <c r="H4479" s="11" t="s">
        <v>21</v>
      </c>
      <c r="I4479" s="12" t="n">
        <v>48</v>
      </c>
      <c r="J4479" s="13" t="n">
        <v>112</v>
      </c>
      <c r="K4479" s="14" t="n">
        <f aca="false">I4479*J4479</f>
        <v>5376</v>
      </c>
      <c r="L4479" s="14" t="n">
        <f aca="false">($L$2*M4479)/100</f>
        <v>408566.61</v>
      </c>
      <c r="M4479" s="15" t="n">
        <v>0.34</v>
      </c>
      <c r="N4479" s="9" t="s">
        <v>85</v>
      </c>
    </row>
    <row r="4480" customFormat="false" ht="14.25" hidden="false" customHeight="true" outlineLevel="0" collapsed="false">
      <c r="B4480" s="9" t="s">
        <v>32</v>
      </c>
      <c r="C4480" s="9" t="n">
        <v>1128299</v>
      </c>
      <c r="D4480" s="10" t="n">
        <v>43919</v>
      </c>
      <c r="E4480" s="9" t="s">
        <v>33</v>
      </c>
      <c r="F4480" s="9" t="s">
        <v>46</v>
      </c>
      <c r="G4480" s="9" t="s">
        <v>47</v>
      </c>
      <c r="H4480" s="11" t="s">
        <v>22</v>
      </c>
      <c r="I4480" s="12" t="n">
        <v>51</v>
      </c>
      <c r="J4480" s="13" t="n">
        <v>116</v>
      </c>
      <c r="K4480" s="14" t="n">
        <f aca="false">I4480*J4480</f>
        <v>5916</v>
      </c>
      <c r="L4480" s="14" t="n">
        <f aca="false">($L$2*M4480)/100</f>
        <v>588816.585</v>
      </c>
      <c r="M4480" s="15" t="n">
        <v>0.49</v>
      </c>
      <c r="N4480" s="9" t="s">
        <v>85</v>
      </c>
    </row>
    <row r="4481" customFormat="false" ht="14.25" hidden="false" customHeight="true" outlineLevel="0" collapsed="false">
      <c r="B4481" s="9" t="s">
        <v>32</v>
      </c>
      <c r="C4481" s="9" t="n">
        <v>1128299</v>
      </c>
      <c r="D4481" s="10" t="n">
        <v>43920</v>
      </c>
      <c r="E4481" s="9" t="s">
        <v>33</v>
      </c>
      <c r="F4481" s="9" t="s">
        <v>46</v>
      </c>
      <c r="G4481" s="9" t="s">
        <v>47</v>
      </c>
      <c r="H4481" s="11" t="s">
        <v>23</v>
      </c>
      <c r="I4481" s="12" t="n">
        <v>51</v>
      </c>
      <c r="J4481" s="13" t="n">
        <v>90</v>
      </c>
      <c r="K4481" s="14" t="n">
        <f aca="false">I4481*J4481</f>
        <v>4590</v>
      </c>
      <c r="L4481" s="14" t="n">
        <f aca="false">($L$2*M4481)/100</f>
        <v>516716.595</v>
      </c>
      <c r="M4481" s="15" t="n">
        <v>0.43</v>
      </c>
      <c r="N4481" s="9" t="s">
        <v>85</v>
      </c>
    </row>
    <row r="4482" customFormat="false" ht="14.25" hidden="false" customHeight="true" outlineLevel="0" collapsed="false">
      <c r="B4482" s="9" t="s">
        <v>32</v>
      </c>
      <c r="C4482" s="9" t="n">
        <v>1128299</v>
      </c>
      <c r="D4482" s="10" t="n">
        <v>43921</v>
      </c>
      <c r="E4482" s="9" t="s">
        <v>33</v>
      </c>
      <c r="F4482" s="9" t="s">
        <v>46</v>
      </c>
      <c r="G4482" s="9" t="s">
        <v>47</v>
      </c>
      <c r="H4482" s="11" t="s">
        <v>24</v>
      </c>
      <c r="I4482" s="12" t="n">
        <v>56</v>
      </c>
      <c r="J4482" s="13" t="n">
        <v>39</v>
      </c>
      <c r="K4482" s="14" t="n">
        <f aca="false">I4482*J4482</f>
        <v>2184</v>
      </c>
      <c r="L4482" s="14" t="n">
        <f aca="false">($L$2*M4482)/100</f>
        <v>720999.9</v>
      </c>
      <c r="M4482" s="15" t="n">
        <v>0.6</v>
      </c>
      <c r="N4482" s="9" t="s">
        <v>85</v>
      </c>
    </row>
    <row r="4483" customFormat="false" ht="14.25" hidden="false" customHeight="true" outlineLevel="0" collapsed="false">
      <c r="B4483" s="9" t="s">
        <v>32</v>
      </c>
      <c r="C4483" s="9" t="n">
        <v>1128299</v>
      </c>
      <c r="D4483" s="10" t="n">
        <v>43922</v>
      </c>
      <c r="E4483" s="9" t="s">
        <v>33</v>
      </c>
      <c r="F4483" s="9" t="s">
        <v>46</v>
      </c>
      <c r="G4483" s="9" t="s">
        <v>47</v>
      </c>
      <c r="H4483" s="11" t="s">
        <v>25</v>
      </c>
      <c r="I4483" s="12" t="n">
        <v>52</v>
      </c>
      <c r="J4483" s="13" t="n">
        <v>95</v>
      </c>
      <c r="K4483" s="14" t="n">
        <f aca="false">I4483*J4483</f>
        <v>4940</v>
      </c>
      <c r="L4483" s="14" t="n">
        <f aca="false">($L$2*M4483)/100</f>
        <v>348483.285</v>
      </c>
      <c r="M4483" s="15" t="n">
        <v>0.29</v>
      </c>
      <c r="N4483" s="9" t="s">
        <v>85</v>
      </c>
    </row>
    <row r="4484" customFormat="false" ht="14.25" hidden="false" customHeight="true" outlineLevel="0" collapsed="false">
      <c r="B4484" s="9" t="s">
        <v>32</v>
      </c>
      <c r="C4484" s="9" t="n">
        <v>1128299</v>
      </c>
      <c r="D4484" s="10" t="n">
        <v>43923</v>
      </c>
      <c r="E4484" s="9" t="s">
        <v>33</v>
      </c>
      <c r="F4484" s="9" t="s">
        <v>46</v>
      </c>
      <c r="G4484" s="9" t="s">
        <v>47</v>
      </c>
      <c r="H4484" s="11" t="s">
        <v>19</v>
      </c>
      <c r="I4484" s="12" t="n">
        <v>55</v>
      </c>
      <c r="J4484" s="13" t="n">
        <v>131</v>
      </c>
      <c r="K4484" s="14" t="n">
        <f aca="false">I4484*J4484</f>
        <v>7205</v>
      </c>
      <c r="L4484" s="14" t="n">
        <f aca="false">($L$2*M4484)/100</f>
        <v>564783.255</v>
      </c>
      <c r="M4484" s="15" t="n">
        <v>0.47</v>
      </c>
      <c r="N4484" s="9" t="s">
        <v>85</v>
      </c>
    </row>
    <row r="4485" customFormat="false" ht="14.25" hidden="false" customHeight="true" outlineLevel="0" collapsed="false">
      <c r="B4485" s="9" t="s">
        <v>32</v>
      </c>
      <c r="C4485" s="9" t="n">
        <v>1128299</v>
      </c>
      <c r="D4485" s="10" t="n">
        <v>43924</v>
      </c>
      <c r="E4485" s="9" t="s">
        <v>33</v>
      </c>
      <c r="F4485" s="9" t="s">
        <v>46</v>
      </c>
      <c r="G4485" s="9" t="s">
        <v>47</v>
      </c>
      <c r="H4485" s="11" t="s">
        <v>21</v>
      </c>
      <c r="I4485" s="12" t="n">
        <v>59</v>
      </c>
      <c r="J4485" s="13" t="n">
        <v>94</v>
      </c>
      <c r="K4485" s="14" t="n">
        <f aca="false">I4485*J4485</f>
        <v>5546</v>
      </c>
      <c r="L4485" s="14" t="n">
        <f aca="false">($L$2*M4485)/100</f>
        <v>420583.275</v>
      </c>
      <c r="M4485" s="15" t="n">
        <v>0.35</v>
      </c>
      <c r="N4485" s="9" t="s">
        <v>85</v>
      </c>
    </row>
    <row r="4486" customFormat="false" ht="14.25" hidden="false" customHeight="true" outlineLevel="0" collapsed="false">
      <c r="B4486" s="9" t="s">
        <v>32</v>
      </c>
      <c r="C4486" s="9" t="n">
        <v>1128299</v>
      </c>
      <c r="D4486" s="10" t="n">
        <v>43925</v>
      </c>
      <c r="E4486" s="9" t="s">
        <v>33</v>
      </c>
      <c r="F4486" s="9" t="s">
        <v>46</v>
      </c>
      <c r="G4486" s="9" t="s">
        <v>47</v>
      </c>
      <c r="H4486" s="11" t="s">
        <v>22</v>
      </c>
      <c r="I4486" s="12" t="n">
        <v>61</v>
      </c>
      <c r="J4486" s="13" t="n">
        <v>113</v>
      </c>
      <c r="K4486" s="14" t="n">
        <f aca="false">I4486*J4486</f>
        <v>6893</v>
      </c>
      <c r="L4486" s="14" t="n">
        <f aca="false">($L$2*M4486)/100</f>
        <v>600833.25</v>
      </c>
      <c r="M4486" s="15" t="n">
        <v>0.5</v>
      </c>
      <c r="N4486" s="9" t="s">
        <v>85</v>
      </c>
    </row>
    <row r="4487" customFormat="false" ht="14.25" hidden="false" customHeight="true" outlineLevel="0" collapsed="false">
      <c r="B4487" s="9" t="s">
        <v>32</v>
      </c>
      <c r="C4487" s="9" t="n">
        <v>1128299</v>
      </c>
      <c r="D4487" s="10" t="n">
        <v>43926</v>
      </c>
      <c r="E4487" s="9" t="s">
        <v>33</v>
      </c>
      <c r="F4487" s="9" t="s">
        <v>46</v>
      </c>
      <c r="G4487" s="9" t="s">
        <v>47</v>
      </c>
      <c r="H4487" s="11" t="s">
        <v>23</v>
      </c>
      <c r="I4487" s="12" t="n">
        <v>56</v>
      </c>
      <c r="J4487" s="13" t="n">
        <v>74</v>
      </c>
      <c r="K4487" s="14" t="n">
        <f aca="false">I4487*J4487</f>
        <v>4144</v>
      </c>
      <c r="L4487" s="14" t="n">
        <f aca="false">($L$2*M4487)/100</f>
        <v>516716.595</v>
      </c>
      <c r="M4487" s="15" t="n">
        <v>0.43</v>
      </c>
      <c r="N4487" s="9" t="s">
        <v>85</v>
      </c>
    </row>
    <row r="4488" customFormat="false" ht="14.25" hidden="false" customHeight="true" outlineLevel="0" collapsed="false">
      <c r="B4488" s="9" t="s">
        <v>32</v>
      </c>
      <c r="C4488" s="9" t="n">
        <v>1128299</v>
      </c>
      <c r="D4488" s="10" t="n">
        <v>43927</v>
      </c>
      <c r="E4488" s="9" t="s">
        <v>33</v>
      </c>
      <c r="F4488" s="9" t="s">
        <v>46</v>
      </c>
      <c r="G4488" s="9" t="s">
        <v>47</v>
      </c>
      <c r="H4488" s="11" t="s">
        <v>24</v>
      </c>
      <c r="I4488" s="12" t="n">
        <v>62</v>
      </c>
      <c r="J4488" s="13" t="n">
        <v>44</v>
      </c>
      <c r="K4488" s="14" t="n">
        <f aca="false">I4488*J4488</f>
        <v>2728</v>
      </c>
      <c r="L4488" s="14" t="n">
        <f aca="false">($L$2*M4488)/100</f>
        <v>733016.565</v>
      </c>
      <c r="M4488" s="15" t="n">
        <v>0.61</v>
      </c>
      <c r="N4488" s="9" t="s">
        <v>85</v>
      </c>
    </row>
    <row r="4489" customFormat="false" ht="14.25" hidden="false" customHeight="true" outlineLevel="0" collapsed="false">
      <c r="B4489" s="9" t="s">
        <v>32</v>
      </c>
      <c r="C4489" s="9" t="n">
        <v>1128299</v>
      </c>
      <c r="D4489" s="10" t="n">
        <v>43928</v>
      </c>
      <c r="E4489" s="9" t="s">
        <v>33</v>
      </c>
      <c r="F4489" s="9" t="s">
        <v>46</v>
      </c>
      <c r="G4489" s="9" t="s">
        <v>47</v>
      </c>
      <c r="H4489" s="11" t="s">
        <v>25</v>
      </c>
      <c r="I4489" s="12" t="n">
        <v>72</v>
      </c>
      <c r="J4489" s="13" t="n">
        <v>98</v>
      </c>
      <c r="K4489" s="14" t="n">
        <f aca="false">I4489*J4489</f>
        <v>7056</v>
      </c>
      <c r="L4489" s="14" t="n">
        <f aca="false">($L$2*M4489)/100</f>
        <v>300416.625</v>
      </c>
      <c r="M4489" s="15" t="n">
        <v>0.25</v>
      </c>
      <c r="N4489" s="9" t="s">
        <v>85</v>
      </c>
    </row>
    <row r="4490" customFormat="false" ht="14.25" hidden="false" customHeight="true" outlineLevel="0" collapsed="false">
      <c r="B4490" s="9" t="s">
        <v>32</v>
      </c>
      <c r="C4490" s="9" t="n">
        <v>1128299</v>
      </c>
      <c r="D4490" s="10" t="n">
        <v>43929</v>
      </c>
      <c r="E4490" s="9" t="s">
        <v>33</v>
      </c>
      <c r="F4490" s="9" t="s">
        <v>46</v>
      </c>
      <c r="G4490" s="9" t="s">
        <v>47</v>
      </c>
      <c r="H4490" s="11" t="s">
        <v>19</v>
      </c>
      <c r="I4490" s="12" t="n">
        <v>55</v>
      </c>
      <c r="J4490" s="13" t="n">
        <v>131</v>
      </c>
      <c r="K4490" s="14" t="n">
        <f aca="false">I4490*J4490</f>
        <v>7205</v>
      </c>
      <c r="L4490" s="14" t="n">
        <f aca="false">($L$2*M4490)/100</f>
        <v>733016.565</v>
      </c>
      <c r="M4490" s="15" t="n">
        <v>0.61</v>
      </c>
      <c r="N4490" s="9" t="s">
        <v>85</v>
      </c>
    </row>
    <row r="4491" customFormat="false" ht="14.25" hidden="false" customHeight="true" outlineLevel="0" collapsed="false">
      <c r="B4491" s="9" t="s">
        <v>32</v>
      </c>
      <c r="C4491" s="9" t="n">
        <v>1128299</v>
      </c>
      <c r="D4491" s="10" t="n">
        <v>43930</v>
      </c>
      <c r="E4491" s="9" t="s">
        <v>33</v>
      </c>
      <c r="F4491" s="9" t="s">
        <v>46</v>
      </c>
      <c r="G4491" s="9" t="s">
        <v>47</v>
      </c>
      <c r="H4491" s="11" t="s">
        <v>21</v>
      </c>
      <c r="I4491" s="12" t="n">
        <v>60</v>
      </c>
      <c r="J4491" s="13" t="n">
        <v>105</v>
      </c>
      <c r="K4491" s="14" t="n">
        <f aca="false">I4491*J4491</f>
        <v>6300</v>
      </c>
      <c r="L4491" s="14" t="n">
        <f aca="false">($L$2*M4491)/100</f>
        <v>552766.59</v>
      </c>
      <c r="M4491" s="15" t="n">
        <v>0.46</v>
      </c>
      <c r="N4491" s="9" t="s">
        <v>85</v>
      </c>
    </row>
    <row r="4492" customFormat="false" ht="14.25" hidden="false" customHeight="true" outlineLevel="0" collapsed="false">
      <c r="B4492" s="9" t="s">
        <v>32</v>
      </c>
      <c r="C4492" s="9" t="n">
        <v>1128299</v>
      </c>
      <c r="D4492" s="10" t="n">
        <v>43931</v>
      </c>
      <c r="E4492" s="9" t="s">
        <v>33</v>
      </c>
      <c r="F4492" s="9" t="s">
        <v>46</v>
      </c>
      <c r="G4492" s="9" t="s">
        <v>47</v>
      </c>
      <c r="H4492" s="11" t="s">
        <v>22</v>
      </c>
      <c r="I4492" s="12" t="n">
        <v>59</v>
      </c>
      <c r="J4492" s="13" t="n">
        <v>98</v>
      </c>
      <c r="K4492" s="14" t="n">
        <f aca="false">I4492*J4492</f>
        <v>5782</v>
      </c>
      <c r="L4492" s="14" t="n">
        <f aca="false">($L$2*M4492)/100</f>
        <v>720999.9</v>
      </c>
      <c r="M4492" s="15" t="n">
        <v>0.6</v>
      </c>
      <c r="N4492" s="9" t="s">
        <v>85</v>
      </c>
    </row>
    <row r="4493" customFormat="false" ht="14.25" hidden="false" customHeight="true" outlineLevel="0" collapsed="false">
      <c r="B4493" s="9" t="s">
        <v>32</v>
      </c>
      <c r="C4493" s="9" t="n">
        <v>1128299</v>
      </c>
      <c r="D4493" s="10" t="n">
        <v>43932</v>
      </c>
      <c r="E4493" s="9" t="s">
        <v>33</v>
      </c>
      <c r="F4493" s="9" t="s">
        <v>46</v>
      </c>
      <c r="G4493" s="9" t="s">
        <v>47</v>
      </c>
      <c r="H4493" s="11" t="s">
        <v>23</v>
      </c>
      <c r="I4493" s="12" t="n">
        <v>58</v>
      </c>
      <c r="J4493" s="13" t="n">
        <v>69</v>
      </c>
      <c r="K4493" s="14" t="n">
        <f aca="false">I4493*J4493</f>
        <v>4002</v>
      </c>
      <c r="L4493" s="14" t="n">
        <f aca="false">($L$2*M4493)/100</f>
        <v>708983.235</v>
      </c>
      <c r="M4493" s="15" t="n">
        <v>0.59</v>
      </c>
      <c r="N4493" s="9" t="s">
        <v>85</v>
      </c>
    </row>
    <row r="4494" customFormat="false" ht="14.25" hidden="false" customHeight="true" outlineLevel="0" collapsed="false">
      <c r="B4494" s="9" t="s">
        <v>32</v>
      </c>
      <c r="C4494" s="9" t="n">
        <v>1128299</v>
      </c>
      <c r="D4494" s="10" t="n">
        <v>43933</v>
      </c>
      <c r="E4494" s="9" t="s">
        <v>33</v>
      </c>
      <c r="F4494" s="9" t="s">
        <v>46</v>
      </c>
      <c r="G4494" s="9" t="s">
        <v>47</v>
      </c>
      <c r="H4494" s="11" t="s">
        <v>24</v>
      </c>
      <c r="I4494" s="12" t="n">
        <v>63</v>
      </c>
      <c r="J4494" s="13" t="n">
        <v>44</v>
      </c>
      <c r="K4494" s="14" t="n">
        <f aca="false">I4494*J4494</f>
        <v>2772</v>
      </c>
      <c r="L4494" s="14" t="n">
        <f aca="false">($L$2*M4494)/100</f>
        <v>913266.54</v>
      </c>
      <c r="M4494" s="15" t="n">
        <v>0.76</v>
      </c>
      <c r="N4494" s="9" t="s">
        <v>85</v>
      </c>
    </row>
    <row r="4495" customFormat="false" ht="14.25" hidden="false" customHeight="true" outlineLevel="0" collapsed="false">
      <c r="B4495" s="9" t="s">
        <v>32</v>
      </c>
      <c r="C4495" s="9" t="n">
        <v>1128299</v>
      </c>
      <c r="D4495" s="10" t="n">
        <v>43934</v>
      </c>
      <c r="E4495" s="9" t="s">
        <v>33</v>
      </c>
      <c r="F4495" s="9" t="s">
        <v>46</v>
      </c>
      <c r="G4495" s="9" t="s">
        <v>47</v>
      </c>
      <c r="H4495" s="11" t="s">
        <v>25</v>
      </c>
      <c r="I4495" s="12" t="n">
        <v>74</v>
      </c>
      <c r="J4495" s="13" t="n">
        <v>133</v>
      </c>
      <c r="K4495" s="14" t="n">
        <f aca="false">I4495*J4495</f>
        <v>9842</v>
      </c>
      <c r="L4495" s="14" t="n">
        <f aca="false">($L$2*M4495)/100</f>
        <v>516716.595</v>
      </c>
      <c r="M4495" s="15" t="n">
        <v>0.43</v>
      </c>
      <c r="N4495" s="9" t="s">
        <v>85</v>
      </c>
    </row>
    <row r="4496" customFormat="false" ht="14.25" hidden="false" customHeight="true" outlineLevel="0" collapsed="false">
      <c r="B4496" s="9" t="s">
        <v>32</v>
      </c>
      <c r="C4496" s="9" t="n">
        <v>1128299</v>
      </c>
      <c r="D4496" s="10" t="n">
        <v>43935</v>
      </c>
      <c r="E4496" s="9" t="s">
        <v>33</v>
      </c>
      <c r="F4496" s="9" t="s">
        <v>46</v>
      </c>
      <c r="G4496" s="9" t="s">
        <v>47</v>
      </c>
      <c r="H4496" s="11" t="s">
        <v>19</v>
      </c>
      <c r="I4496" s="12" t="n">
        <v>54</v>
      </c>
      <c r="J4496" s="13" t="n">
        <v>189</v>
      </c>
      <c r="K4496" s="14" t="n">
        <f aca="false">I4496*J4496</f>
        <v>10206</v>
      </c>
      <c r="L4496" s="14" t="n">
        <f aca="false">($L$2*M4496)/100</f>
        <v>769066.56</v>
      </c>
      <c r="M4496" s="15" t="n">
        <v>0.64</v>
      </c>
      <c r="N4496" s="9" t="s">
        <v>85</v>
      </c>
    </row>
    <row r="4497" customFormat="false" ht="14.25" hidden="false" customHeight="true" outlineLevel="0" collapsed="false">
      <c r="B4497" s="9" t="s">
        <v>32</v>
      </c>
      <c r="C4497" s="9" t="n">
        <v>1128299</v>
      </c>
      <c r="D4497" s="10" t="n">
        <v>43936</v>
      </c>
      <c r="E4497" s="9" t="s">
        <v>33</v>
      </c>
      <c r="F4497" s="9" t="s">
        <v>46</v>
      </c>
      <c r="G4497" s="9" t="s">
        <v>47</v>
      </c>
      <c r="H4497" s="11" t="s">
        <v>21</v>
      </c>
      <c r="I4497" s="12" t="n">
        <v>59</v>
      </c>
      <c r="J4497" s="13" t="n">
        <v>144</v>
      </c>
      <c r="K4497" s="14" t="n">
        <f aca="false">I4497*J4497</f>
        <v>8496</v>
      </c>
      <c r="L4497" s="14" t="n">
        <f aca="false">($L$2*M4497)/100</f>
        <v>600833.25</v>
      </c>
      <c r="M4497" s="15" t="n">
        <v>0.5</v>
      </c>
      <c r="N4497" s="9" t="s">
        <v>85</v>
      </c>
    </row>
    <row r="4498" customFormat="false" ht="14.25" hidden="false" customHeight="true" outlineLevel="0" collapsed="false">
      <c r="B4498" s="9" t="s">
        <v>32</v>
      </c>
      <c r="C4498" s="9" t="n">
        <v>1128299</v>
      </c>
      <c r="D4498" s="10" t="n">
        <v>43937</v>
      </c>
      <c r="E4498" s="9" t="s">
        <v>33</v>
      </c>
      <c r="F4498" s="9" t="s">
        <v>46</v>
      </c>
      <c r="G4498" s="9" t="s">
        <v>47</v>
      </c>
      <c r="H4498" s="11" t="s">
        <v>22</v>
      </c>
      <c r="I4498" s="12" t="n">
        <v>64</v>
      </c>
      <c r="J4498" s="13" t="n">
        <v>150</v>
      </c>
      <c r="K4498" s="14" t="n">
        <f aca="false">I4498*J4498</f>
        <v>9600</v>
      </c>
      <c r="L4498" s="14" t="n">
        <f aca="false">($L$2*M4498)/100</f>
        <v>769066.56</v>
      </c>
      <c r="M4498" s="15" t="n">
        <v>0.64</v>
      </c>
      <c r="N4498" s="9" t="s">
        <v>85</v>
      </c>
    </row>
    <row r="4499" customFormat="false" ht="14.25" hidden="false" customHeight="true" outlineLevel="0" collapsed="false">
      <c r="B4499" s="9" t="s">
        <v>32</v>
      </c>
      <c r="C4499" s="9" t="n">
        <v>1128299</v>
      </c>
      <c r="D4499" s="10" t="n">
        <v>43938</v>
      </c>
      <c r="E4499" s="9" t="s">
        <v>33</v>
      </c>
      <c r="F4499" s="9" t="s">
        <v>46</v>
      </c>
      <c r="G4499" s="9" t="s">
        <v>47</v>
      </c>
      <c r="H4499" s="11" t="s">
        <v>23</v>
      </c>
      <c r="I4499" s="12" t="n">
        <v>62</v>
      </c>
      <c r="J4499" s="13" t="n">
        <v>135</v>
      </c>
      <c r="K4499" s="14" t="n">
        <f aca="false">I4499*J4499</f>
        <v>8370</v>
      </c>
      <c r="L4499" s="14" t="n">
        <f aca="false">($L$2*M4499)/100</f>
        <v>720999.9</v>
      </c>
      <c r="M4499" s="15" t="n">
        <v>0.6</v>
      </c>
      <c r="N4499" s="9" t="s">
        <v>85</v>
      </c>
    </row>
    <row r="4500" customFormat="false" ht="14.25" hidden="false" customHeight="true" outlineLevel="0" collapsed="false">
      <c r="B4500" s="9" t="s">
        <v>32</v>
      </c>
      <c r="C4500" s="9" t="n">
        <v>1128299</v>
      </c>
      <c r="D4500" s="10" t="n">
        <v>43939</v>
      </c>
      <c r="E4500" s="9" t="s">
        <v>33</v>
      </c>
      <c r="F4500" s="9" t="s">
        <v>46</v>
      </c>
      <c r="G4500" s="9" t="s">
        <v>47</v>
      </c>
      <c r="H4500" s="11" t="s">
        <v>24</v>
      </c>
      <c r="I4500" s="12" t="n">
        <v>66</v>
      </c>
      <c r="J4500" s="13" t="n">
        <v>91</v>
      </c>
      <c r="K4500" s="14" t="n">
        <f aca="false">I4500*J4500</f>
        <v>6006</v>
      </c>
      <c r="L4500" s="14" t="n">
        <f aca="false">($L$2*M4500)/100</f>
        <v>925283.205</v>
      </c>
      <c r="M4500" s="15" t="n">
        <v>0.77</v>
      </c>
      <c r="N4500" s="9" t="s">
        <v>85</v>
      </c>
    </row>
    <row r="4501" customFormat="false" ht="14.25" hidden="false" customHeight="true" outlineLevel="0" collapsed="false">
      <c r="B4501" s="9" t="s">
        <v>32</v>
      </c>
      <c r="C4501" s="9" t="n">
        <v>1128299</v>
      </c>
      <c r="D4501" s="10" t="n">
        <v>43940</v>
      </c>
      <c r="E4501" s="9" t="s">
        <v>33</v>
      </c>
      <c r="F4501" s="9" t="s">
        <v>46</v>
      </c>
      <c r="G4501" s="9" t="s">
        <v>47</v>
      </c>
      <c r="H4501" s="11" t="s">
        <v>25</v>
      </c>
      <c r="I4501" s="12" t="n">
        <v>83</v>
      </c>
      <c r="J4501" s="13" t="n">
        <v>181</v>
      </c>
      <c r="K4501" s="14" t="n">
        <f aca="false">I4501*J4501</f>
        <v>15023</v>
      </c>
      <c r="L4501" s="14" t="n">
        <f aca="false">($L$2*M4501)/100</f>
        <v>516716.595</v>
      </c>
      <c r="M4501" s="15" t="n">
        <v>0.43</v>
      </c>
      <c r="N4501" s="9" t="s">
        <v>85</v>
      </c>
    </row>
    <row r="4502" customFormat="false" ht="14.25" hidden="false" customHeight="true" outlineLevel="0" collapsed="false">
      <c r="B4502" s="9" t="s">
        <v>32</v>
      </c>
      <c r="C4502" s="9" t="n">
        <v>1128299</v>
      </c>
      <c r="D4502" s="10" t="n">
        <v>43941</v>
      </c>
      <c r="E4502" s="9" t="s">
        <v>33</v>
      </c>
      <c r="F4502" s="9" t="s">
        <v>46</v>
      </c>
      <c r="G4502" s="9" t="s">
        <v>47</v>
      </c>
      <c r="H4502" s="11" t="s">
        <v>19</v>
      </c>
      <c r="I4502" s="12" t="n">
        <v>64</v>
      </c>
      <c r="J4502" s="13" t="n">
        <v>202</v>
      </c>
      <c r="K4502" s="14" t="n">
        <f aca="false">I4502*J4502</f>
        <v>12928</v>
      </c>
      <c r="L4502" s="14" t="n">
        <f aca="false">($L$2*M4502)/100</f>
        <v>720999.9</v>
      </c>
      <c r="M4502" s="15" t="n">
        <v>0.6</v>
      </c>
      <c r="N4502" s="9" t="s">
        <v>85</v>
      </c>
    </row>
    <row r="4503" customFormat="false" ht="14.25" hidden="false" customHeight="true" outlineLevel="0" collapsed="false">
      <c r="B4503" s="9" t="s">
        <v>32</v>
      </c>
      <c r="C4503" s="9" t="n">
        <v>1128299</v>
      </c>
      <c r="D4503" s="10" t="n">
        <v>43942</v>
      </c>
      <c r="E4503" s="9" t="s">
        <v>33</v>
      </c>
      <c r="F4503" s="9" t="s">
        <v>46</v>
      </c>
      <c r="G4503" s="9" t="s">
        <v>47</v>
      </c>
      <c r="H4503" s="11" t="s">
        <v>21</v>
      </c>
      <c r="I4503" s="12" t="n">
        <v>67</v>
      </c>
      <c r="J4503" s="13" t="n">
        <v>188</v>
      </c>
      <c r="K4503" s="14" t="n">
        <f aca="false">I4503*J4503</f>
        <v>12596</v>
      </c>
      <c r="L4503" s="14" t="n">
        <f aca="false">($L$2*M4503)/100</f>
        <v>480666.6</v>
      </c>
      <c r="M4503" s="15" t="n">
        <v>0.4</v>
      </c>
      <c r="N4503" s="9" t="s">
        <v>85</v>
      </c>
    </row>
    <row r="4504" customFormat="false" ht="14.25" hidden="false" customHeight="true" outlineLevel="0" collapsed="false">
      <c r="B4504" s="9" t="s">
        <v>32</v>
      </c>
      <c r="C4504" s="9" t="n">
        <v>1128299</v>
      </c>
      <c r="D4504" s="10" t="n">
        <v>43943</v>
      </c>
      <c r="E4504" s="9" t="s">
        <v>33</v>
      </c>
      <c r="F4504" s="9" t="s">
        <v>46</v>
      </c>
      <c r="G4504" s="9" t="s">
        <v>47</v>
      </c>
      <c r="H4504" s="11" t="s">
        <v>22</v>
      </c>
      <c r="I4504" s="12" t="n">
        <v>67</v>
      </c>
      <c r="J4504" s="13" t="n">
        <v>161</v>
      </c>
      <c r="K4504" s="14" t="n">
        <f aca="false">I4504*J4504</f>
        <v>10787</v>
      </c>
      <c r="L4504" s="14" t="n">
        <f aca="false">($L$2*M4504)/100</f>
        <v>660916.575</v>
      </c>
      <c r="M4504" s="15" t="n">
        <v>0.55</v>
      </c>
      <c r="N4504" s="9" t="s">
        <v>85</v>
      </c>
    </row>
    <row r="4505" customFormat="false" ht="14.25" hidden="false" customHeight="true" outlineLevel="0" collapsed="false">
      <c r="B4505" s="9" t="s">
        <v>32</v>
      </c>
      <c r="C4505" s="9" t="n">
        <v>1128299</v>
      </c>
      <c r="D4505" s="10" t="n">
        <v>43944</v>
      </c>
      <c r="E4505" s="9" t="s">
        <v>33</v>
      </c>
      <c r="F4505" s="9" t="s">
        <v>46</v>
      </c>
      <c r="G4505" s="9" t="s">
        <v>47</v>
      </c>
      <c r="H4505" s="11" t="s">
        <v>23</v>
      </c>
      <c r="I4505" s="12" t="n">
        <v>61</v>
      </c>
      <c r="J4505" s="13" t="n">
        <v>143</v>
      </c>
      <c r="K4505" s="14" t="n">
        <f aca="false">I4505*J4505</f>
        <v>8723</v>
      </c>
      <c r="L4505" s="14" t="n">
        <f aca="false">($L$2*M4505)/100</f>
        <v>624866.58</v>
      </c>
      <c r="M4505" s="15" t="n">
        <v>0.52</v>
      </c>
      <c r="N4505" s="9" t="s">
        <v>85</v>
      </c>
    </row>
    <row r="4506" customFormat="false" ht="14.25" hidden="false" customHeight="true" outlineLevel="0" collapsed="false">
      <c r="B4506" s="9" t="s">
        <v>32</v>
      </c>
      <c r="C4506" s="9" t="n">
        <v>1128299</v>
      </c>
      <c r="D4506" s="10" t="n">
        <v>43945</v>
      </c>
      <c r="E4506" s="9" t="s">
        <v>33</v>
      </c>
      <c r="F4506" s="9" t="s">
        <v>46</v>
      </c>
      <c r="G4506" s="9" t="s">
        <v>47</v>
      </c>
      <c r="H4506" s="11" t="s">
        <v>24</v>
      </c>
      <c r="I4506" s="12" t="n">
        <v>67</v>
      </c>
      <c r="J4506" s="13" t="n">
        <v>131</v>
      </c>
      <c r="K4506" s="14" t="n">
        <f aca="false">I4506*J4506</f>
        <v>8777</v>
      </c>
      <c r="L4506" s="14" t="n">
        <f aca="false">($L$2*M4506)/100</f>
        <v>841166.55</v>
      </c>
      <c r="M4506" s="15" t="n">
        <v>0.7</v>
      </c>
      <c r="N4506" s="9" t="s">
        <v>85</v>
      </c>
    </row>
    <row r="4507" customFormat="false" ht="14.25" hidden="false" customHeight="true" outlineLevel="0" collapsed="false">
      <c r="B4507" s="9" t="s">
        <v>32</v>
      </c>
      <c r="C4507" s="9" t="n">
        <v>1128299</v>
      </c>
      <c r="D4507" s="10" t="n">
        <v>43946</v>
      </c>
      <c r="E4507" s="9" t="s">
        <v>33</v>
      </c>
      <c r="F4507" s="9" t="s">
        <v>46</v>
      </c>
      <c r="G4507" s="9" t="s">
        <v>47</v>
      </c>
      <c r="H4507" s="11" t="s">
        <v>25</v>
      </c>
      <c r="I4507" s="12" t="n">
        <v>78</v>
      </c>
      <c r="J4507" s="13" t="n">
        <v>137</v>
      </c>
      <c r="K4507" s="14" t="n">
        <f aca="false">I4507*J4507</f>
        <v>10686</v>
      </c>
      <c r="L4507" s="14" t="n">
        <f aca="false">($L$2*M4507)/100</f>
        <v>480666.6</v>
      </c>
      <c r="M4507" s="15" t="n">
        <v>0.4</v>
      </c>
      <c r="N4507" s="9" t="s">
        <v>85</v>
      </c>
    </row>
    <row r="4508" customFormat="false" ht="14.25" hidden="false" customHeight="true" outlineLevel="0" collapsed="false">
      <c r="B4508" s="9" t="s">
        <v>32</v>
      </c>
      <c r="C4508" s="9" t="n">
        <v>1128299</v>
      </c>
      <c r="D4508" s="10" t="n">
        <v>43947</v>
      </c>
      <c r="E4508" s="9" t="s">
        <v>33</v>
      </c>
      <c r="F4508" s="9" t="s">
        <v>46</v>
      </c>
      <c r="G4508" s="9" t="s">
        <v>47</v>
      </c>
      <c r="H4508" s="11" t="s">
        <v>19</v>
      </c>
      <c r="I4508" s="12" t="n">
        <v>63</v>
      </c>
      <c r="J4508" s="13" t="n">
        <v>196</v>
      </c>
      <c r="K4508" s="14" t="n">
        <f aca="false">I4508*J4508</f>
        <v>12348</v>
      </c>
      <c r="L4508" s="14" t="n">
        <f aca="false">($L$2*M4508)/100</f>
        <v>708983.235</v>
      </c>
      <c r="M4508" s="15" t="n">
        <v>0.59</v>
      </c>
      <c r="N4508" s="9" t="s">
        <v>85</v>
      </c>
    </row>
    <row r="4509" customFormat="false" ht="14.25" hidden="false" customHeight="true" outlineLevel="0" collapsed="false">
      <c r="B4509" s="9" t="s">
        <v>32</v>
      </c>
      <c r="C4509" s="9" t="n">
        <v>1128299</v>
      </c>
      <c r="D4509" s="10" t="n">
        <v>43948</v>
      </c>
      <c r="E4509" s="9" t="s">
        <v>33</v>
      </c>
      <c r="F4509" s="9" t="s">
        <v>46</v>
      </c>
      <c r="G4509" s="9" t="s">
        <v>47</v>
      </c>
      <c r="H4509" s="11" t="s">
        <v>21</v>
      </c>
      <c r="I4509" s="12" t="n">
        <v>73</v>
      </c>
      <c r="J4509" s="13" t="n">
        <v>189</v>
      </c>
      <c r="K4509" s="14" t="n">
        <f aca="false">I4509*J4509</f>
        <v>13797</v>
      </c>
      <c r="L4509" s="14" t="n">
        <f aca="false">($L$2*M4509)/100</f>
        <v>504699.93</v>
      </c>
      <c r="M4509" s="15" t="n">
        <v>0.42</v>
      </c>
      <c r="N4509" s="9" t="s">
        <v>85</v>
      </c>
    </row>
    <row r="4510" customFormat="false" ht="14.25" hidden="false" customHeight="true" outlineLevel="0" collapsed="false">
      <c r="B4510" s="9" t="s">
        <v>32</v>
      </c>
      <c r="C4510" s="9" t="n">
        <v>1128299</v>
      </c>
      <c r="D4510" s="10" t="n">
        <v>43949</v>
      </c>
      <c r="E4510" s="9" t="s">
        <v>33</v>
      </c>
      <c r="F4510" s="9" t="s">
        <v>46</v>
      </c>
      <c r="G4510" s="9" t="s">
        <v>47</v>
      </c>
      <c r="H4510" s="11" t="s">
        <v>22</v>
      </c>
      <c r="I4510" s="12" t="n">
        <v>67</v>
      </c>
      <c r="J4510" s="13" t="n">
        <v>143</v>
      </c>
      <c r="K4510" s="14" t="n">
        <f aca="false">I4510*J4510</f>
        <v>9581</v>
      </c>
      <c r="L4510" s="14" t="n">
        <f aca="false">($L$2*M4510)/100</f>
        <v>684949.905</v>
      </c>
      <c r="M4510" s="15" t="n">
        <v>0.57</v>
      </c>
      <c r="N4510" s="9" t="s">
        <v>85</v>
      </c>
    </row>
    <row r="4511" customFormat="false" ht="14.25" hidden="false" customHeight="true" outlineLevel="0" collapsed="false">
      <c r="B4511" s="9" t="s">
        <v>32</v>
      </c>
      <c r="C4511" s="9" t="n">
        <v>1128299</v>
      </c>
      <c r="D4511" s="10" t="n">
        <v>43950</v>
      </c>
      <c r="E4511" s="9" t="s">
        <v>33</v>
      </c>
      <c r="F4511" s="9" t="s">
        <v>46</v>
      </c>
      <c r="G4511" s="9" t="s">
        <v>47</v>
      </c>
      <c r="H4511" s="11" t="s">
        <v>23</v>
      </c>
      <c r="I4511" s="12" t="n">
        <v>63</v>
      </c>
      <c r="J4511" s="13" t="n">
        <v>135</v>
      </c>
      <c r="K4511" s="14" t="n">
        <f aca="false">I4511*J4511</f>
        <v>8505</v>
      </c>
      <c r="L4511" s="14" t="n">
        <f aca="false">($L$2*M4511)/100</f>
        <v>648899.91</v>
      </c>
      <c r="M4511" s="15" t="n">
        <v>0.54</v>
      </c>
      <c r="N4511" s="9" t="s">
        <v>85</v>
      </c>
    </row>
    <row r="4512" customFormat="false" ht="14.25" hidden="false" customHeight="true" outlineLevel="0" collapsed="false">
      <c r="B4512" s="9" t="s">
        <v>32</v>
      </c>
      <c r="C4512" s="9" t="n">
        <v>1128299</v>
      </c>
      <c r="D4512" s="10" t="n">
        <v>43951</v>
      </c>
      <c r="E4512" s="9" t="s">
        <v>33</v>
      </c>
      <c r="F4512" s="9" t="s">
        <v>46</v>
      </c>
      <c r="G4512" s="9" t="s">
        <v>47</v>
      </c>
      <c r="H4512" s="11" t="s">
        <v>24</v>
      </c>
      <c r="I4512" s="12" t="n">
        <v>74</v>
      </c>
      <c r="J4512" s="13" t="n">
        <v>140</v>
      </c>
      <c r="K4512" s="14" t="n">
        <f aca="false">I4512*J4512</f>
        <v>10360</v>
      </c>
      <c r="L4512" s="14" t="n">
        <f aca="false">($L$2*M4512)/100</f>
        <v>877216.545</v>
      </c>
      <c r="M4512" s="15" t="n">
        <v>0.73</v>
      </c>
      <c r="N4512" s="9" t="s">
        <v>85</v>
      </c>
    </row>
    <row r="4513" customFormat="false" ht="14.25" hidden="false" customHeight="true" outlineLevel="0" collapsed="false">
      <c r="B4513" s="9" t="s">
        <v>32</v>
      </c>
      <c r="C4513" s="9" t="n">
        <v>1128299</v>
      </c>
      <c r="D4513" s="10" t="n">
        <v>43952</v>
      </c>
      <c r="E4513" s="9" t="s">
        <v>33</v>
      </c>
      <c r="F4513" s="9" t="s">
        <v>46</v>
      </c>
      <c r="G4513" s="9" t="s">
        <v>47</v>
      </c>
      <c r="H4513" s="11" t="s">
        <v>25</v>
      </c>
      <c r="I4513" s="12" t="n">
        <v>74</v>
      </c>
      <c r="J4513" s="13" t="n">
        <v>100</v>
      </c>
      <c r="K4513" s="14" t="n">
        <f aca="false">I4513*J4513</f>
        <v>7400</v>
      </c>
      <c r="L4513" s="14" t="n">
        <f aca="false">($L$2*M4513)/100</f>
        <v>420583.275</v>
      </c>
      <c r="M4513" s="15" t="n">
        <v>0.35</v>
      </c>
      <c r="N4513" s="9" t="s">
        <v>85</v>
      </c>
    </row>
    <row r="4514" customFormat="false" ht="14.25" hidden="false" customHeight="true" outlineLevel="0" collapsed="false">
      <c r="B4514" s="9" t="s">
        <v>32</v>
      </c>
      <c r="C4514" s="9" t="n">
        <v>1128299</v>
      </c>
      <c r="D4514" s="10" t="n">
        <v>43953</v>
      </c>
      <c r="E4514" s="9" t="s">
        <v>33</v>
      </c>
      <c r="F4514" s="9" t="s">
        <v>46</v>
      </c>
      <c r="G4514" s="9" t="s">
        <v>47</v>
      </c>
      <c r="H4514" s="11" t="s">
        <v>19</v>
      </c>
      <c r="I4514" s="12" t="n">
        <v>59</v>
      </c>
      <c r="J4514" s="13" t="n">
        <v>162</v>
      </c>
      <c r="K4514" s="14" t="n">
        <f aca="false">I4514*J4514</f>
        <v>9558</v>
      </c>
      <c r="L4514" s="14" t="n">
        <f aca="false">($L$2*M4514)/100</f>
        <v>636883.245</v>
      </c>
      <c r="M4514" s="15" t="n">
        <v>0.53</v>
      </c>
      <c r="N4514" s="9" t="s">
        <v>85</v>
      </c>
    </row>
    <row r="4515" customFormat="false" ht="14.25" hidden="false" customHeight="true" outlineLevel="0" collapsed="false">
      <c r="B4515" s="9" t="s">
        <v>32</v>
      </c>
      <c r="C4515" s="9" t="n">
        <v>1128299</v>
      </c>
      <c r="D4515" s="10" t="n">
        <v>43954</v>
      </c>
      <c r="E4515" s="9" t="s">
        <v>33</v>
      </c>
      <c r="F4515" s="9" t="s">
        <v>46</v>
      </c>
      <c r="G4515" s="9" t="s">
        <v>47</v>
      </c>
      <c r="H4515" s="11" t="s">
        <v>21</v>
      </c>
      <c r="I4515" s="12" t="n">
        <v>69</v>
      </c>
      <c r="J4515" s="13" t="n">
        <v>168</v>
      </c>
      <c r="K4515" s="14" t="n">
        <f aca="false">I4515*J4515</f>
        <v>11592</v>
      </c>
      <c r="L4515" s="14" t="n">
        <f aca="false">($L$2*M4515)/100</f>
        <v>432599.94</v>
      </c>
      <c r="M4515" s="15" t="n">
        <v>0.36</v>
      </c>
      <c r="N4515" s="9" t="s">
        <v>85</v>
      </c>
    </row>
    <row r="4516" customFormat="false" ht="14.25" hidden="false" customHeight="true" outlineLevel="0" collapsed="false">
      <c r="B4516" s="9" t="s">
        <v>32</v>
      </c>
      <c r="C4516" s="9" t="n">
        <v>1128299</v>
      </c>
      <c r="D4516" s="10" t="n">
        <v>43955</v>
      </c>
      <c r="E4516" s="9" t="s">
        <v>33</v>
      </c>
      <c r="F4516" s="9" t="s">
        <v>46</v>
      </c>
      <c r="G4516" s="9" t="s">
        <v>47</v>
      </c>
      <c r="H4516" s="11" t="s">
        <v>22</v>
      </c>
      <c r="I4516" s="12" t="n">
        <v>60</v>
      </c>
      <c r="J4516" s="13" t="n">
        <v>113</v>
      </c>
      <c r="K4516" s="14" t="n">
        <f aca="false">I4516*J4516</f>
        <v>6780</v>
      </c>
      <c r="L4516" s="14" t="n">
        <f aca="false">($L$2*M4516)/100</f>
        <v>600833.25</v>
      </c>
      <c r="M4516" s="15" t="n">
        <v>0.5</v>
      </c>
      <c r="N4516" s="9" t="s">
        <v>85</v>
      </c>
    </row>
    <row r="4517" customFormat="false" ht="14.25" hidden="false" customHeight="true" outlineLevel="0" collapsed="false">
      <c r="B4517" s="9" t="s">
        <v>32</v>
      </c>
      <c r="C4517" s="9" t="n">
        <v>1128299</v>
      </c>
      <c r="D4517" s="10" t="n">
        <v>43956</v>
      </c>
      <c r="E4517" s="9" t="s">
        <v>33</v>
      </c>
      <c r="F4517" s="9" t="s">
        <v>46</v>
      </c>
      <c r="G4517" s="9" t="s">
        <v>47</v>
      </c>
      <c r="H4517" s="11" t="s">
        <v>23</v>
      </c>
      <c r="I4517" s="12" t="n">
        <v>59</v>
      </c>
      <c r="J4517" s="13" t="n">
        <v>100</v>
      </c>
      <c r="K4517" s="14" t="n">
        <f aca="false">I4517*J4517</f>
        <v>5900</v>
      </c>
      <c r="L4517" s="14" t="n">
        <f aca="false">($L$2*M4517)/100</f>
        <v>576799.92</v>
      </c>
      <c r="M4517" s="15" t="n">
        <v>0.48</v>
      </c>
      <c r="N4517" s="9" t="s">
        <v>85</v>
      </c>
    </row>
    <row r="4518" customFormat="false" ht="14.25" hidden="false" customHeight="true" outlineLevel="0" collapsed="false">
      <c r="B4518" s="9" t="s">
        <v>32</v>
      </c>
      <c r="C4518" s="9" t="n">
        <v>1128299</v>
      </c>
      <c r="D4518" s="10" t="n">
        <v>43957</v>
      </c>
      <c r="E4518" s="9" t="s">
        <v>33</v>
      </c>
      <c r="F4518" s="9" t="s">
        <v>46</v>
      </c>
      <c r="G4518" s="9" t="s">
        <v>47</v>
      </c>
      <c r="H4518" s="11" t="s">
        <v>24</v>
      </c>
      <c r="I4518" s="12" t="n">
        <v>74</v>
      </c>
      <c r="J4518" s="13" t="n">
        <v>120</v>
      </c>
      <c r="K4518" s="14" t="n">
        <f aca="false">I4518*J4518</f>
        <v>8880</v>
      </c>
      <c r="L4518" s="14" t="n">
        <f aca="false">($L$2*M4518)/100</f>
        <v>829149.885</v>
      </c>
      <c r="M4518" s="15" t="n">
        <v>0.69</v>
      </c>
      <c r="N4518" s="9" t="s">
        <v>85</v>
      </c>
    </row>
    <row r="4519" customFormat="false" ht="14.25" hidden="false" customHeight="true" outlineLevel="0" collapsed="false">
      <c r="B4519" s="9" t="s">
        <v>32</v>
      </c>
      <c r="C4519" s="9" t="n">
        <v>1128299</v>
      </c>
      <c r="D4519" s="10" t="n">
        <v>43958</v>
      </c>
      <c r="E4519" s="9" t="s">
        <v>33</v>
      </c>
      <c r="F4519" s="9" t="s">
        <v>46</v>
      </c>
      <c r="G4519" s="9" t="s">
        <v>47</v>
      </c>
      <c r="H4519" s="11" t="s">
        <v>25</v>
      </c>
      <c r="I4519" s="12" t="n">
        <v>65</v>
      </c>
      <c r="J4519" s="13" t="n">
        <v>106</v>
      </c>
      <c r="K4519" s="14" t="n">
        <f aca="false">I4519*J4519</f>
        <v>6890</v>
      </c>
      <c r="L4519" s="14" t="n">
        <f aca="false">($L$2*M4519)/100</f>
        <v>372516.615</v>
      </c>
      <c r="M4519" s="15" t="n">
        <v>0.31</v>
      </c>
      <c r="N4519" s="9" t="s">
        <v>85</v>
      </c>
    </row>
    <row r="4520" customFormat="false" ht="14.25" hidden="false" customHeight="true" outlineLevel="0" collapsed="false">
      <c r="B4520" s="9" t="s">
        <v>32</v>
      </c>
      <c r="C4520" s="9" t="n">
        <v>1128299</v>
      </c>
      <c r="D4520" s="10" t="n">
        <v>43959</v>
      </c>
      <c r="E4520" s="9" t="s">
        <v>33</v>
      </c>
      <c r="F4520" s="9" t="s">
        <v>46</v>
      </c>
      <c r="G4520" s="9" t="s">
        <v>47</v>
      </c>
      <c r="H4520" s="11" t="s">
        <v>19</v>
      </c>
      <c r="I4520" s="12" t="n">
        <v>51</v>
      </c>
      <c r="J4520" s="13" t="n">
        <v>137</v>
      </c>
      <c r="K4520" s="14" t="n">
        <f aca="false">I4520*J4520</f>
        <v>6987</v>
      </c>
      <c r="L4520" s="14" t="n">
        <f aca="false">($L$2*M4520)/100</f>
        <v>600833.25</v>
      </c>
      <c r="M4520" s="15" t="n">
        <v>0.5</v>
      </c>
      <c r="N4520" s="9" t="s">
        <v>85</v>
      </c>
    </row>
    <row r="4521" customFormat="false" ht="14.25" hidden="false" customHeight="true" outlineLevel="0" collapsed="false">
      <c r="B4521" s="9" t="s">
        <v>32</v>
      </c>
      <c r="C4521" s="9" t="n">
        <v>1128299</v>
      </c>
      <c r="D4521" s="10" t="n">
        <v>43960</v>
      </c>
      <c r="E4521" s="9" t="s">
        <v>33</v>
      </c>
      <c r="F4521" s="9" t="s">
        <v>46</v>
      </c>
      <c r="G4521" s="9" t="s">
        <v>47</v>
      </c>
      <c r="H4521" s="11" t="s">
        <v>21</v>
      </c>
      <c r="I4521" s="12" t="n">
        <v>54</v>
      </c>
      <c r="J4521" s="13" t="n">
        <v>152</v>
      </c>
      <c r="K4521" s="14" t="n">
        <f aca="false">I4521*J4521</f>
        <v>8208</v>
      </c>
      <c r="L4521" s="14" t="n">
        <f aca="false">($L$2*M4521)/100</f>
        <v>420583.275</v>
      </c>
      <c r="M4521" s="15" t="n">
        <v>0.35</v>
      </c>
      <c r="N4521" s="9" t="s">
        <v>85</v>
      </c>
    </row>
    <row r="4522" customFormat="false" ht="14.25" hidden="false" customHeight="true" outlineLevel="0" collapsed="false">
      <c r="B4522" s="9" t="s">
        <v>32</v>
      </c>
      <c r="C4522" s="9" t="n">
        <v>1128299</v>
      </c>
      <c r="D4522" s="10" t="n">
        <v>43961</v>
      </c>
      <c r="E4522" s="9" t="s">
        <v>33</v>
      </c>
      <c r="F4522" s="9" t="s">
        <v>46</v>
      </c>
      <c r="G4522" s="9" t="s">
        <v>47</v>
      </c>
      <c r="H4522" s="11" t="s">
        <v>22</v>
      </c>
      <c r="I4522" s="12" t="n">
        <v>51</v>
      </c>
      <c r="J4522" s="13" t="n">
        <v>102</v>
      </c>
      <c r="K4522" s="14" t="n">
        <f aca="false">I4522*J4522</f>
        <v>5202</v>
      </c>
      <c r="L4522" s="14" t="n">
        <f aca="false">($L$2*M4522)/100</f>
        <v>600833.25</v>
      </c>
      <c r="M4522" s="15" t="n">
        <v>0.5</v>
      </c>
      <c r="N4522" s="9" t="s">
        <v>85</v>
      </c>
    </row>
    <row r="4523" customFormat="false" ht="14.25" hidden="false" customHeight="true" outlineLevel="0" collapsed="false">
      <c r="B4523" s="9" t="s">
        <v>32</v>
      </c>
      <c r="C4523" s="9" t="n">
        <v>1128299</v>
      </c>
      <c r="D4523" s="10" t="n">
        <v>43962</v>
      </c>
      <c r="E4523" s="9" t="s">
        <v>33</v>
      </c>
      <c r="F4523" s="9" t="s">
        <v>46</v>
      </c>
      <c r="G4523" s="9" t="s">
        <v>47</v>
      </c>
      <c r="H4523" s="11" t="s">
        <v>23</v>
      </c>
      <c r="I4523" s="12" t="n">
        <v>53</v>
      </c>
      <c r="J4523" s="13" t="n">
        <v>85</v>
      </c>
      <c r="K4523" s="14" t="n">
        <f aca="false">I4523*J4523</f>
        <v>4505</v>
      </c>
      <c r="L4523" s="14" t="n">
        <f aca="false">($L$2*M4523)/100</f>
        <v>552766.59</v>
      </c>
      <c r="M4523" s="15" t="n">
        <v>0.46</v>
      </c>
      <c r="N4523" s="9" t="s">
        <v>85</v>
      </c>
    </row>
    <row r="4524" customFormat="false" ht="14.25" hidden="false" customHeight="true" outlineLevel="0" collapsed="false">
      <c r="B4524" s="9" t="s">
        <v>32</v>
      </c>
      <c r="C4524" s="9" t="n">
        <v>1128299</v>
      </c>
      <c r="D4524" s="10" t="n">
        <v>43963</v>
      </c>
      <c r="E4524" s="9" t="s">
        <v>33</v>
      </c>
      <c r="F4524" s="9" t="s">
        <v>46</v>
      </c>
      <c r="G4524" s="9" t="s">
        <v>47</v>
      </c>
      <c r="H4524" s="11" t="s">
        <v>24</v>
      </c>
      <c r="I4524" s="12" t="n">
        <v>64</v>
      </c>
      <c r="J4524" s="13" t="n">
        <v>75</v>
      </c>
      <c r="K4524" s="14" t="n">
        <f aca="false">I4524*J4524</f>
        <v>4800</v>
      </c>
      <c r="L4524" s="14" t="n">
        <f aca="false">($L$2*M4524)/100</f>
        <v>793099.89</v>
      </c>
      <c r="M4524" s="15" t="n">
        <v>0.66</v>
      </c>
      <c r="N4524" s="9" t="s">
        <v>85</v>
      </c>
    </row>
    <row r="4525" customFormat="false" ht="14.25" hidden="false" customHeight="true" outlineLevel="0" collapsed="false">
      <c r="B4525" s="9" t="s">
        <v>32</v>
      </c>
      <c r="C4525" s="9" t="n">
        <v>1128299</v>
      </c>
      <c r="D4525" s="10" t="n">
        <v>43964</v>
      </c>
      <c r="E4525" s="9" t="s">
        <v>33</v>
      </c>
      <c r="F4525" s="9" t="s">
        <v>46</v>
      </c>
      <c r="G4525" s="9" t="s">
        <v>47</v>
      </c>
      <c r="H4525" s="11" t="s">
        <v>25</v>
      </c>
      <c r="I4525" s="12" t="n">
        <v>65</v>
      </c>
      <c r="J4525" s="13" t="n">
        <v>105</v>
      </c>
      <c r="K4525" s="14" t="n">
        <f aca="false">I4525*J4525</f>
        <v>6825</v>
      </c>
      <c r="L4525" s="14" t="n">
        <f aca="false">($L$2*M4525)/100</f>
        <v>360499.95</v>
      </c>
      <c r="M4525" s="15" t="n">
        <v>0.3</v>
      </c>
      <c r="N4525" s="9" t="s">
        <v>85</v>
      </c>
    </row>
    <row r="4526" customFormat="false" ht="14.25" hidden="false" customHeight="true" outlineLevel="0" collapsed="false">
      <c r="B4526" s="9" t="s">
        <v>32</v>
      </c>
      <c r="C4526" s="9" t="n">
        <v>1128299</v>
      </c>
      <c r="D4526" s="10" t="n">
        <v>43965</v>
      </c>
      <c r="E4526" s="9" t="s">
        <v>33</v>
      </c>
      <c r="F4526" s="9" t="s">
        <v>46</v>
      </c>
      <c r="G4526" s="9" t="s">
        <v>47</v>
      </c>
      <c r="H4526" s="11" t="s">
        <v>19</v>
      </c>
      <c r="I4526" s="12" t="n">
        <v>52</v>
      </c>
      <c r="J4526" s="13" t="n">
        <v>150</v>
      </c>
      <c r="K4526" s="14" t="n">
        <f aca="false">I4526*J4526</f>
        <v>7800</v>
      </c>
      <c r="L4526" s="14" t="n">
        <f aca="false">($L$2*M4526)/100</f>
        <v>660916.575</v>
      </c>
      <c r="M4526" s="15" t="n">
        <v>0.55</v>
      </c>
      <c r="N4526" s="9" t="s">
        <v>85</v>
      </c>
    </row>
    <row r="4527" customFormat="false" ht="14.25" hidden="false" customHeight="true" outlineLevel="0" collapsed="false">
      <c r="B4527" s="9" t="s">
        <v>32</v>
      </c>
      <c r="C4527" s="9" t="n">
        <v>1128299</v>
      </c>
      <c r="D4527" s="10" t="n">
        <v>43966</v>
      </c>
      <c r="E4527" s="9" t="s">
        <v>33</v>
      </c>
      <c r="F4527" s="9" t="s">
        <v>46</v>
      </c>
      <c r="G4527" s="9" t="s">
        <v>47</v>
      </c>
      <c r="H4527" s="11" t="s">
        <v>21</v>
      </c>
      <c r="I4527" s="12" t="n">
        <v>55</v>
      </c>
      <c r="J4527" s="13" t="n">
        <v>150</v>
      </c>
      <c r="K4527" s="14" t="n">
        <f aca="false">I4527*J4527</f>
        <v>8250</v>
      </c>
      <c r="L4527" s="14" t="n">
        <f aca="false">($L$2*M4527)/100</f>
        <v>444616.605</v>
      </c>
      <c r="M4527" s="15" t="n">
        <v>0.37</v>
      </c>
      <c r="N4527" s="9" t="s">
        <v>85</v>
      </c>
    </row>
    <row r="4528" customFormat="false" ht="14.25" hidden="false" customHeight="true" outlineLevel="0" collapsed="false">
      <c r="B4528" s="9" t="s">
        <v>32</v>
      </c>
      <c r="C4528" s="9" t="n">
        <v>1128299</v>
      </c>
      <c r="D4528" s="10" t="n">
        <v>43967</v>
      </c>
      <c r="E4528" s="9" t="s">
        <v>33</v>
      </c>
      <c r="F4528" s="9" t="s">
        <v>46</v>
      </c>
      <c r="G4528" s="9" t="s">
        <v>47</v>
      </c>
      <c r="H4528" s="11" t="s">
        <v>22</v>
      </c>
      <c r="I4528" s="12" t="n">
        <v>51</v>
      </c>
      <c r="J4528" s="13" t="n">
        <v>128</v>
      </c>
      <c r="K4528" s="14" t="n">
        <f aca="false">I4528*J4528</f>
        <v>6528</v>
      </c>
      <c r="L4528" s="14" t="n">
        <f aca="false">($L$2*M4528)/100</f>
        <v>636883.245</v>
      </c>
      <c r="M4528" s="15" t="n">
        <v>0.53</v>
      </c>
      <c r="N4528" s="9" t="s">
        <v>85</v>
      </c>
    </row>
    <row r="4529" customFormat="false" ht="14.25" hidden="false" customHeight="true" outlineLevel="0" collapsed="false">
      <c r="B4529" s="9" t="s">
        <v>32</v>
      </c>
      <c r="C4529" s="9" t="n">
        <v>1128299</v>
      </c>
      <c r="D4529" s="10" t="n">
        <v>43968</v>
      </c>
      <c r="E4529" s="9" t="s">
        <v>33</v>
      </c>
      <c r="F4529" s="9" t="s">
        <v>46</v>
      </c>
      <c r="G4529" s="9" t="s">
        <v>47</v>
      </c>
      <c r="H4529" s="11" t="s">
        <v>23</v>
      </c>
      <c r="I4529" s="12" t="n">
        <v>60</v>
      </c>
      <c r="J4529" s="13" t="n">
        <v>116</v>
      </c>
      <c r="K4529" s="14" t="n">
        <f aca="false">I4529*J4529</f>
        <v>6960</v>
      </c>
      <c r="L4529" s="14" t="n">
        <f aca="false">($L$2*M4529)/100</f>
        <v>576799.92</v>
      </c>
      <c r="M4529" s="15" t="n">
        <v>0.48</v>
      </c>
      <c r="N4529" s="9" t="s">
        <v>85</v>
      </c>
    </row>
    <row r="4530" customFormat="false" ht="14.25" hidden="false" customHeight="true" outlineLevel="0" collapsed="false">
      <c r="B4530" s="9" t="s">
        <v>32</v>
      </c>
      <c r="C4530" s="9" t="n">
        <v>1128299</v>
      </c>
      <c r="D4530" s="10" t="n">
        <v>43969</v>
      </c>
      <c r="E4530" s="9" t="s">
        <v>33</v>
      </c>
      <c r="F4530" s="9" t="s">
        <v>46</v>
      </c>
      <c r="G4530" s="9" t="s">
        <v>47</v>
      </c>
      <c r="H4530" s="11" t="s">
        <v>24</v>
      </c>
      <c r="I4530" s="12" t="n">
        <v>68</v>
      </c>
      <c r="J4530" s="13" t="n">
        <v>105</v>
      </c>
      <c r="K4530" s="14" t="n">
        <f aca="false">I4530*J4530</f>
        <v>7140</v>
      </c>
      <c r="L4530" s="14" t="n">
        <f aca="false">($L$2*M4530)/100</f>
        <v>829149.885</v>
      </c>
      <c r="M4530" s="15" t="n">
        <v>0.69</v>
      </c>
      <c r="N4530" s="9" t="s">
        <v>85</v>
      </c>
    </row>
    <row r="4531" customFormat="false" ht="14.25" hidden="false" customHeight="true" outlineLevel="0" collapsed="false">
      <c r="B4531" s="9" t="s">
        <v>32</v>
      </c>
      <c r="C4531" s="9" t="n">
        <v>1128299</v>
      </c>
      <c r="D4531" s="10" t="n">
        <v>43970</v>
      </c>
      <c r="E4531" s="9" t="s">
        <v>33</v>
      </c>
      <c r="F4531" s="9" t="s">
        <v>46</v>
      </c>
      <c r="G4531" s="9" t="s">
        <v>47</v>
      </c>
      <c r="H4531" s="11" t="s">
        <v>25</v>
      </c>
      <c r="I4531" s="12" t="n">
        <v>73</v>
      </c>
      <c r="J4531" s="13" t="n">
        <v>130</v>
      </c>
      <c r="K4531" s="14" t="n">
        <f aca="false">I4531*J4531</f>
        <v>9490</v>
      </c>
      <c r="L4531" s="14" t="n">
        <f aca="false">($L$2*M4531)/100</f>
        <v>372516.615</v>
      </c>
      <c r="M4531" s="15" t="n">
        <v>0.31</v>
      </c>
      <c r="N4531" s="9" t="s">
        <v>85</v>
      </c>
    </row>
    <row r="4532" customFormat="false" ht="14.25" hidden="false" customHeight="true" outlineLevel="0" collapsed="false">
      <c r="B4532" s="9" t="s">
        <v>32</v>
      </c>
      <c r="C4532" s="9" t="n">
        <v>1128299</v>
      </c>
      <c r="D4532" s="10" t="n">
        <v>43971</v>
      </c>
      <c r="E4532" s="9" t="s">
        <v>33</v>
      </c>
      <c r="F4532" s="9" t="s">
        <v>46</v>
      </c>
      <c r="G4532" s="9" t="s">
        <v>47</v>
      </c>
      <c r="H4532" s="11" t="s">
        <v>19</v>
      </c>
      <c r="I4532" s="12" t="n">
        <v>59</v>
      </c>
      <c r="J4532" s="13" t="n">
        <v>203</v>
      </c>
      <c r="K4532" s="14" t="n">
        <f aca="false">I4532*J4532</f>
        <v>11977</v>
      </c>
      <c r="L4532" s="14" t="n">
        <f aca="false">($L$2*M4532)/100</f>
        <v>624866.58</v>
      </c>
      <c r="M4532" s="15" t="n">
        <v>0.52</v>
      </c>
      <c r="N4532" s="9" t="s">
        <v>85</v>
      </c>
    </row>
    <row r="4533" customFormat="false" ht="14.25" hidden="false" customHeight="true" outlineLevel="0" collapsed="false">
      <c r="B4533" s="9" t="s">
        <v>32</v>
      </c>
      <c r="C4533" s="9" t="n">
        <v>1128299</v>
      </c>
      <c r="D4533" s="10" t="n">
        <v>43972</v>
      </c>
      <c r="E4533" s="9" t="s">
        <v>33</v>
      </c>
      <c r="F4533" s="9" t="s">
        <v>46</v>
      </c>
      <c r="G4533" s="9" t="s">
        <v>47</v>
      </c>
      <c r="H4533" s="11" t="s">
        <v>21</v>
      </c>
      <c r="I4533" s="12" t="n">
        <v>64</v>
      </c>
      <c r="J4533" s="13" t="n">
        <v>182</v>
      </c>
      <c r="K4533" s="14" t="n">
        <f aca="false">I4533*J4533</f>
        <v>11648</v>
      </c>
      <c r="L4533" s="14" t="n">
        <f aca="false">($L$2*M4533)/100</f>
        <v>456633.27</v>
      </c>
      <c r="M4533" s="15" t="n">
        <v>0.38</v>
      </c>
      <c r="N4533" s="9" t="s">
        <v>85</v>
      </c>
    </row>
    <row r="4534" customFormat="false" ht="14.25" hidden="false" customHeight="true" outlineLevel="0" collapsed="false">
      <c r="B4534" s="9" t="s">
        <v>32</v>
      </c>
      <c r="C4534" s="9" t="n">
        <v>1128299</v>
      </c>
      <c r="D4534" s="10" t="n">
        <v>43973</v>
      </c>
      <c r="E4534" s="9" t="s">
        <v>33</v>
      </c>
      <c r="F4534" s="9" t="s">
        <v>46</v>
      </c>
      <c r="G4534" s="9" t="s">
        <v>47</v>
      </c>
      <c r="H4534" s="11" t="s">
        <v>22</v>
      </c>
      <c r="I4534" s="12" t="n">
        <v>60</v>
      </c>
      <c r="J4534" s="13" t="n">
        <v>125</v>
      </c>
      <c r="K4534" s="14" t="n">
        <f aca="false">I4534*J4534</f>
        <v>7500</v>
      </c>
      <c r="L4534" s="14" t="n">
        <f aca="false">($L$2*M4534)/100</f>
        <v>660916.575</v>
      </c>
      <c r="M4534" s="15" t="n">
        <v>0.55</v>
      </c>
      <c r="N4534" s="9" t="s">
        <v>85</v>
      </c>
    </row>
    <row r="4535" customFormat="false" ht="14.25" hidden="false" customHeight="true" outlineLevel="0" collapsed="false">
      <c r="B4535" s="9" t="s">
        <v>32</v>
      </c>
      <c r="C4535" s="9" t="n">
        <v>1128299</v>
      </c>
      <c r="D4535" s="10" t="n">
        <v>43974</v>
      </c>
      <c r="E4535" s="9" t="s">
        <v>33</v>
      </c>
      <c r="F4535" s="9" t="s">
        <v>46</v>
      </c>
      <c r="G4535" s="9" t="s">
        <v>47</v>
      </c>
      <c r="H4535" s="11" t="s">
        <v>23</v>
      </c>
      <c r="I4535" s="12" t="n">
        <v>63</v>
      </c>
      <c r="J4535" s="13" t="n">
        <v>125</v>
      </c>
      <c r="K4535" s="14" t="n">
        <f aca="false">I4535*J4535</f>
        <v>7875</v>
      </c>
      <c r="L4535" s="14" t="n">
        <f aca="false">($L$2*M4535)/100</f>
        <v>540749.925</v>
      </c>
      <c r="M4535" s="15" t="n">
        <v>0.45</v>
      </c>
      <c r="N4535" s="9" t="s">
        <v>85</v>
      </c>
    </row>
    <row r="4536" customFormat="false" ht="14.25" hidden="false" customHeight="true" outlineLevel="0" collapsed="false">
      <c r="B4536" s="9" t="s">
        <v>32</v>
      </c>
      <c r="C4536" s="9" t="n">
        <v>1128299</v>
      </c>
      <c r="D4536" s="10" t="n">
        <v>43975</v>
      </c>
      <c r="E4536" s="9" t="s">
        <v>33</v>
      </c>
      <c r="F4536" s="9" t="s">
        <v>46</v>
      </c>
      <c r="G4536" s="9" t="s">
        <v>47</v>
      </c>
      <c r="H4536" s="11" t="s">
        <v>24</v>
      </c>
      <c r="I4536" s="12" t="n">
        <v>68</v>
      </c>
      <c r="J4536" s="13" t="n">
        <v>115</v>
      </c>
      <c r="K4536" s="14" t="n">
        <f aca="false">I4536*J4536</f>
        <v>7820</v>
      </c>
      <c r="L4536" s="14" t="n">
        <f aca="false">($L$2*M4536)/100</f>
        <v>805116.555</v>
      </c>
      <c r="M4536" s="15" t="n">
        <v>0.67</v>
      </c>
      <c r="N4536" s="9" t="s">
        <v>85</v>
      </c>
    </row>
    <row r="4537" customFormat="false" ht="14.25" hidden="false" customHeight="true" outlineLevel="0" collapsed="false">
      <c r="B4537" s="9" t="s">
        <v>32</v>
      </c>
      <c r="C4537" s="9" t="n">
        <v>1128299</v>
      </c>
      <c r="D4537" s="10" t="n">
        <v>43976</v>
      </c>
      <c r="E4537" s="9" t="s">
        <v>33</v>
      </c>
      <c r="F4537" s="9" t="s">
        <v>46</v>
      </c>
      <c r="G4537" s="9" t="s">
        <v>47</v>
      </c>
      <c r="H4537" s="11" t="s">
        <v>25</v>
      </c>
      <c r="I4537" s="12" t="n">
        <v>75</v>
      </c>
      <c r="J4537" s="13" t="n">
        <v>137</v>
      </c>
      <c r="K4537" s="14" t="n">
        <f aca="false">I4537*J4537</f>
        <v>10275</v>
      </c>
      <c r="L4537" s="14" t="n">
        <f aca="false">($L$2*M4537)/100</f>
        <v>396549.945</v>
      </c>
      <c r="M4537" s="15" t="n">
        <v>0.33</v>
      </c>
      <c r="N4537" s="9" t="s">
        <v>85</v>
      </c>
    </row>
    <row r="4538" customFormat="false" ht="14.25" hidden="false" customHeight="true" outlineLevel="0" collapsed="false">
      <c r="B4538" s="9" t="s">
        <v>32</v>
      </c>
      <c r="C4538" s="9" t="n">
        <v>1128299</v>
      </c>
      <c r="D4538" s="10" t="n">
        <v>43977</v>
      </c>
      <c r="E4538" s="9" t="s">
        <v>33</v>
      </c>
      <c r="F4538" s="9" t="s">
        <v>46</v>
      </c>
      <c r="G4538" s="9" t="s">
        <v>47</v>
      </c>
      <c r="H4538" s="11" t="s">
        <v>19</v>
      </c>
      <c r="I4538" s="12" t="n">
        <v>36</v>
      </c>
      <c r="J4538" s="13" t="n">
        <v>117</v>
      </c>
      <c r="K4538" s="14" t="n">
        <f aca="false">I4538*J4538</f>
        <v>4212</v>
      </c>
      <c r="L4538" s="14" t="n">
        <f aca="false">($L$2*M4538)/100</f>
        <v>492683.265</v>
      </c>
      <c r="M4538" s="15" t="n">
        <v>0.41</v>
      </c>
      <c r="N4538" s="9" t="s">
        <v>85</v>
      </c>
    </row>
    <row r="4539" customFormat="false" ht="14.25" hidden="false" customHeight="true" outlineLevel="0" collapsed="false">
      <c r="B4539" s="9" t="s">
        <v>32</v>
      </c>
      <c r="C4539" s="9" t="n">
        <v>1128299</v>
      </c>
      <c r="D4539" s="10" t="n">
        <v>43978</v>
      </c>
      <c r="E4539" s="9" t="s">
        <v>33</v>
      </c>
      <c r="F4539" s="9" t="s">
        <v>46</v>
      </c>
      <c r="G4539" s="9" t="s">
        <v>47</v>
      </c>
      <c r="H4539" s="11" t="s">
        <v>21</v>
      </c>
      <c r="I4539" s="12" t="n">
        <v>48</v>
      </c>
      <c r="J4539" s="13" t="n">
        <v>131</v>
      </c>
      <c r="K4539" s="14" t="n">
        <f aca="false">I4539*J4539</f>
        <v>6288</v>
      </c>
      <c r="L4539" s="14" t="n">
        <f aca="false">($L$2*M4539)/100</f>
        <v>480666.6</v>
      </c>
      <c r="M4539" s="15" t="n">
        <v>0.4</v>
      </c>
      <c r="N4539" s="9" t="s">
        <v>85</v>
      </c>
    </row>
    <row r="4540" customFormat="false" ht="14.25" hidden="false" customHeight="true" outlineLevel="0" collapsed="false">
      <c r="B4540" s="9" t="s">
        <v>32</v>
      </c>
      <c r="C4540" s="9" t="n">
        <v>1128299</v>
      </c>
      <c r="D4540" s="10" t="n">
        <v>43979</v>
      </c>
      <c r="E4540" s="9" t="s">
        <v>33</v>
      </c>
      <c r="F4540" s="9" t="s">
        <v>46</v>
      </c>
      <c r="G4540" s="9" t="s">
        <v>47</v>
      </c>
      <c r="H4540" s="11" t="s">
        <v>22</v>
      </c>
      <c r="I4540" s="12" t="n">
        <v>46</v>
      </c>
      <c r="J4540" s="13" t="n">
        <v>135</v>
      </c>
      <c r="K4540" s="14" t="n">
        <f aca="false">I4540*J4540</f>
        <v>6210</v>
      </c>
      <c r="L4540" s="14" t="n">
        <f aca="false">($L$2*M4540)/100</f>
        <v>420583.275</v>
      </c>
      <c r="M4540" s="15" t="n">
        <v>0.35</v>
      </c>
      <c r="N4540" s="9" t="s">
        <v>85</v>
      </c>
    </row>
    <row r="4541" customFormat="false" ht="14.25" hidden="false" customHeight="true" outlineLevel="0" collapsed="false">
      <c r="B4541" s="9" t="s">
        <v>32</v>
      </c>
      <c r="C4541" s="9" t="n">
        <v>1128299</v>
      </c>
      <c r="D4541" s="10" t="n">
        <v>43980</v>
      </c>
      <c r="E4541" s="9" t="s">
        <v>33</v>
      </c>
      <c r="F4541" s="9" t="s">
        <v>46</v>
      </c>
      <c r="G4541" s="9" t="s">
        <v>47</v>
      </c>
      <c r="H4541" s="11" t="s">
        <v>23</v>
      </c>
      <c r="I4541" s="12" t="n">
        <v>49</v>
      </c>
      <c r="J4541" s="13" t="n">
        <v>78</v>
      </c>
      <c r="K4541" s="14" t="n">
        <f aca="false">I4541*J4541</f>
        <v>3822</v>
      </c>
      <c r="L4541" s="14" t="n">
        <f aca="false">($L$2*M4541)/100</f>
        <v>492683.265</v>
      </c>
      <c r="M4541" s="15" t="n">
        <v>0.41</v>
      </c>
      <c r="N4541" s="9" t="s">
        <v>85</v>
      </c>
    </row>
    <row r="4542" customFormat="false" ht="14.25" hidden="false" customHeight="true" outlineLevel="0" collapsed="false">
      <c r="B4542" s="9" t="s">
        <v>32</v>
      </c>
      <c r="C4542" s="9" t="n">
        <v>1128299</v>
      </c>
      <c r="D4542" s="10" t="n">
        <v>43981</v>
      </c>
      <c r="E4542" s="9" t="s">
        <v>33</v>
      </c>
      <c r="F4542" s="9" t="s">
        <v>48</v>
      </c>
      <c r="G4542" s="9" t="s">
        <v>49</v>
      </c>
      <c r="H4542" s="11" t="s">
        <v>24</v>
      </c>
      <c r="I4542" s="12" t="n">
        <v>51</v>
      </c>
      <c r="J4542" s="13" t="n">
        <v>73</v>
      </c>
      <c r="K4542" s="14" t="n">
        <f aca="false">I4542*J4542</f>
        <v>3723</v>
      </c>
      <c r="L4542" s="14" t="n">
        <f aca="false">($L$2*M4542)/100</f>
        <v>468649.935</v>
      </c>
      <c r="M4542" s="15" t="n">
        <v>0.39</v>
      </c>
      <c r="N4542" s="9" t="s">
        <v>85</v>
      </c>
    </row>
    <row r="4543" customFormat="false" ht="14.25" hidden="false" customHeight="true" outlineLevel="0" collapsed="false">
      <c r="B4543" s="9" t="s">
        <v>32</v>
      </c>
      <c r="C4543" s="9" t="n">
        <v>1128299</v>
      </c>
      <c r="D4543" s="10" t="n">
        <v>43982</v>
      </c>
      <c r="E4543" s="9" t="s">
        <v>33</v>
      </c>
      <c r="F4543" s="9" t="s">
        <v>48</v>
      </c>
      <c r="G4543" s="9" t="s">
        <v>49</v>
      </c>
      <c r="H4543" s="11" t="s">
        <v>25</v>
      </c>
      <c r="I4543" s="12" t="n">
        <v>46</v>
      </c>
      <c r="J4543" s="13" t="n">
        <v>125</v>
      </c>
      <c r="K4543" s="14" t="n">
        <f aca="false">I4543*J4543</f>
        <v>5750</v>
      </c>
      <c r="L4543" s="14" t="n">
        <f aca="false">($L$2*M4543)/100</f>
        <v>372516.615</v>
      </c>
      <c r="M4543" s="15" t="n">
        <v>0.31</v>
      </c>
      <c r="N4543" s="9" t="s">
        <v>85</v>
      </c>
    </row>
    <row r="4544" customFormat="false" ht="14.25" hidden="false" customHeight="true" outlineLevel="0" collapsed="false">
      <c r="B4544" s="9" t="s">
        <v>32</v>
      </c>
      <c r="C4544" s="9" t="n">
        <v>1128299</v>
      </c>
      <c r="D4544" s="10" t="n">
        <v>43983</v>
      </c>
      <c r="E4544" s="9" t="s">
        <v>33</v>
      </c>
      <c r="F4544" s="9" t="s">
        <v>48</v>
      </c>
      <c r="G4544" s="9" t="s">
        <v>49</v>
      </c>
      <c r="H4544" s="11" t="s">
        <v>19</v>
      </c>
      <c r="I4544" s="12" t="n">
        <v>36</v>
      </c>
      <c r="J4544" s="13" t="n">
        <v>138</v>
      </c>
      <c r="K4544" s="14" t="n">
        <f aca="false">I4544*J4544</f>
        <v>4968</v>
      </c>
      <c r="L4544" s="14" t="n">
        <f aca="false">($L$2*M4544)/100</f>
        <v>516716.595</v>
      </c>
      <c r="M4544" s="15" t="n">
        <v>0.43</v>
      </c>
      <c r="N4544" s="9" t="s">
        <v>85</v>
      </c>
    </row>
    <row r="4545" customFormat="false" ht="14.25" hidden="false" customHeight="true" outlineLevel="0" collapsed="false">
      <c r="B4545" s="9" t="s">
        <v>32</v>
      </c>
      <c r="C4545" s="9" t="n">
        <v>1128299</v>
      </c>
      <c r="D4545" s="10" t="n">
        <v>43984</v>
      </c>
      <c r="E4545" s="9" t="s">
        <v>33</v>
      </c>
      <c r="F4545" s="9" t="s">
        <v>48</v>
      </c>
      <c r="G4545" s="9" t="s">
        <v>49</v>
      </c>
      <c r="H4545" s="11" t="s">
        <v>21</v>
      </c>
      <c r="I4545" s="12" t="n">
        <v>47</v>
      </c>
      <c r="J4545" s="13" t="n">
        <v>131</v>
      </c>
      <c r="K4545" s="14" t="n">
        <f aca="false">I4545*J4545</f>
        <v>6157</v>
      </c>
      <c r="L4545" s="14" t="n">
        <f aca="false">($L$2*M4545)/100</f>
        <v>468649.935</v>
      </c>
      <c r="M4545" s="15" t="n">
        <v>0.39</v>
      </c>
      <c r="N4545" s="9" t="s">
        <v>85</v>
      </c>
    </row>
    <row r="4546" customFormat="false" ht="14.25" hidden="false" customHeight="true" outlineLevel="0" collapsed="false">
      <c r="B4546" s="9" t="s">
        <v>32</v>
      </c>
      <c r="C4546" s="9" t="n">
        <v>1128299</v>
      </c>
      <c r="D4546" s="10" t="n">
        <v>43985</v>
      </c>
      <c r="E4546" s="9" t="s">
        <v>33</v>
      </c>
      <c r="F4546" s="9" t="s">
        <v>48</v>
      </c>
      <c r="G4546" s="9" t="s">
        <v>49</v>
      </c>
      <c r="H4546" s="11" t="s">
        <v>22</v>
      </c>
      <c r="I4546" s="12" t="n">
        <v>47</v>
      </c>
      <c r="J4546" s="13" t="n">
        <v>122</v>
      </c>
      <c r="K4546" s="14" t="n">
        <f aca="false">I4546*J4546</f>
        <v>5734</v>
      </c>
      <c r="L4546" s="14" t="n">
        <f aca="false">($L$2*M4546)/100</f>
        <v>468649.935</v>
      </c>
      <c r="M4546" s="15" t="n">
        <v>0.39</v>
      </c>
      <c r="N4546" s="9" t="s">
        <v>85</v>
      </c>
    </row>
    <row r="4547" customFormat="false" ht="14.25" hidden="false" customHeight="true" outlineLevel="0" collapsed="false">
      <c r="B4547" s="9" t="s">
        <v>32</v>
      </c>
      <c r="C4547" s="9" t="n">
        <v>1128299</v>
      </c>
      <c r="D4547" s="10" t="n">
        <v>43986</v>
      </c>
      <c r="E4547" s="9" t="s">
        <v>33</v>
      </c>
      <c r="F4547" s="9" t="s">
        <v>48</v>
      </c>
      <c r="G4547" s="9" t="s">
        <v>49</v>
      </c>
      <c r="H4547" s="11" t="s">
        <v>23</v>
      </c>
      <c r="I4547" s="12" t="n">
        <v>48</v>
      </c>
      <c r="J4547" s="13" t="n">
        <v>87</v>
      </c>
      <c r="K4547" s="14" t="n">
        <f aca="false">I4547*J4547</f>
        <v>4176</v>
      </c>
      <c r="L4547" s="14" t="n">
        <f aca="false">($L$2*M4547)/100</f>
        <v>504699.93</v>
      </c>
      <c r="M4547" s="15" t="n">
        <v>0.42</v>
      </c>
      <c r="N4547" s="9" t="s">
        <v>85</v>
      </c>
    </row>
    <row r="4548" customFormat="false" ht="14.25" hidden="false" customHeight="true" outlineLevel="0" collapsed="false">
      <c r="B4548" s="9" t="s">
        <v>32</v>
      </c>
      <c r="C4548" s="9" t="n">
        <v>1128299</v>
      </c>
      <c r="D4548" s="10" t="n">
        <v>43987</v>
      </c>
      <c r="E4548" s="9" t="s">
        <v>33</v>
      </c>
      <c r="F4548" s="9" t="s">
        <v>48</v>
      </c>
      <c r="G4548" s="9" t="s">
        <v>49</v>
      </c>
      <c r="H4548" s="11" t="s">
        <v>24</v>
      </c>
      <c r="I4548" s="12" t="n">
        <v>52</v>
      </c>
      <c r="J4548" s="13" t="n">
        <v>65</v>
      </c>
      <c r="K4548" s="14" t="n">
        <f aca="false">I4548*J4548</f>
        <v>3380</v>
      </c>
      <c r="L4548" s="14" t="n">
        <f aca="false">($L$2*M4548)/100</f>
        <v>480666.6</v>
      </c>
      <c r="M4548" s="15" t="n">
        <v>0.4</v>
      </c>
      <c r="N4548" s="9" t="s">
        <v>85</v>
      </c>
    </row>
    <row r="4549" customFormat="false" ht="14.25" hidden="false" customHeight="true" outlineLevel="0" collapsed="false">
      <c r="B4549" s="9" t="s">
        <v>32</v>
      </c>
      <c r="C4549" s="9" t="n">
        <v>1128299</v>
      </c>
      <c r="D4549" s="10" t="n">
        <v>43988</v>
      </c>
      <c r="E4549" s="9" t="s">
        <v>33</v>
      </c>
      <c r="F4549" s="9" t="s">
        <v>48</v>
      </c>
      <c r="G4549" s="9" t="s">
        <v>49</v>
      </c>
      <c r="H4549" s="11" t="s">
        <v>25</v>
      </c>
      <c r="I4549" s="12" t="n">
        <v>46</v>
      </c>
      <c r="J4549" s="13" t="n">
        <v>123</v>
      </c>
      <c r="K4549" s="14" t="n">
        <f aca="false">I4549*J4549</f>
        <v>5658</v>
      </c>
      <c r="L4549" s="14" t="n">
        <f aca="false">($L$2*M4549)/100</f>
        <v>372516.615</v>
      </c>
      <c r="M4549" s="15" t="n">
        <v>0.31</v>
      </c>
      <c r="N4549" s="9" t="s">
        <v>85</v>
      </c>
    </row>
    <row r="4550" customFormat="false" ht="14.25" hidden="false" customHeight="true" outlineLevel="0" collapsed="false">
      <c r="B4550" s="9" t="s">
        <v>32</v>
      </c>
      <c r="C4550" s="9" t="n">
        <v>1128299</v>
      </c>
      <c r="D4550" s="10" t="n">
        <v>43989</v>
      </c>
      <c r="E4550" s="9" t="s">
        <v>33</v>
      </c>
      <c r="F4550" s="9" t="s">
        <v>48</v>
      </c>
      <c r="G4550" s="9" t="s">
        <v>49</v>
      </c>
      <c r="H4550" s="11" t="s">
        <v>19</v>
      </c>
      <c r="I4550" s="12" t="n">
        <v>46</v>
      </c>
      <c r="J4550" s="13" t="n">
        <v>167</v>
      </c>
      <c r="K4550" s="14" t="n">
        <f aca="false">I4550*J4550</f>
        <v>7682</v>
      </c>
      <c r="L4550" s="14" t="n">
        <f aca="false">($L$2*M4550)/100</f>
        <v>540749.925</v>
      </c>
      <c r="M4550" s="15" t="n">
        <v>0.45</v>
      </c>
      <c r="N4550" s="9" t="s">
        <v>85</v>
      </c>
    </row>
    <row r="4551" customFormat="false" ht="14.25" hidden="false" customHeight="true" outlineLevel="0" collapsed="false">
      <c r="B4551" s="9" t="s">
        <v>32</v>
      </c>
      <c r="C4551" s="9" t="n">
        <v>1128299</v>
      </c>
      <c r="D4551" s="10" t="n">
        <v>43990</v>
      </c>
      <c r="E4551" s="9" t="s">
        <v>33</v>
      </c>
      <c r="F4551" s="9" t="s">
        <v>48</v>
      </c>
      <c r="G4551" s="9" t="s">
        <v>49</v>
      </c>
      <c r="H4551" s="11" t="s">
        <v>21</v>
      </c>
      <c r="I4551" s="12" t="n">
        <v>58</v>
      </c>
      <c r="J4551" s="13" t="n">
        <v>115</v>
      </c>
      <c r="K4551" s="14" t="n">
        <f aca="false">I4551*J4551</f>
        <v>6670</v>
      </c>
      <c r="L4551" s="14" t="n">
        <f aca="false">($L$2*M4551)/100</f>
        <v>432599.94</v>
      </c>
      <c r="M4551" s="15" t="n">
        <v>0.36</v>
      </c>
      <c r="N4551" s="9" t="s">
        <v>85</v>
      </c>
    </row>
    <row r="4552" customFormat="false" ht="14.25" hidden="false" customHeight="true" outlineLevel="0" collapsed="false">
      <c r="B4552" s="9" t="s">
        <v>32</v>
      </c>
      <c r="C4552" s="9" t="n">
        <v>1128299</v>
      </c>
      <c r="D4552" s="10" t="n">
        <v>43991</v>
      </c>
      <c r="E4552" s="9" t="s">
        <v>33</v>
      </c>
      <c r="F4552" s="9" t="s">
        <v>48</v>
      </c>
      <c r="G4552" s="9" t="s">
        <v>49</v>
      </c>
      <c r="H4552" s="11" t="s">
        <v>22</v>
      </c>
      <c r="I4552" s="12" t="n">
        <v>60</v>
      </c>
      <c r="J4552" s="13" t="n">
        <v>115</v>
      </c>
      <c r="K4552" s="14" t="n">
        <f aca="false">I4552*J4552</f>
        <v>6900</v>
      </c>
      <c r="L4552" s="14" t="n">
        <f aca="false">($L$2*M4552)/100</f>
        <v>480666.6</v>
      </c>
      <c r="M4552" s="15" t="n">
        <v>0.4</v>
      </c>
      <c r="N4552" s="9" t="s">
        <v>85</v>
      </c>
    </row>
    <row r="4553" customFormat="false" ht="14.25" hidden="false" customHeight="true" outlineLevel="0" collapsed="false">
      <c r="B4553" s="9" t="s">
        <v>32</v>
      </c>
      <c r="C4553" s="9" t="n">
        <v>1128299</v>
      </c>
      <c r="D4553" s="10" t="n">
        <v>43992</v>
      </c>
      <c r="E4553" s="9" t="s">
        <v>33</v>
      </c>
      <c r="F4553" s="9" t="s">
        <v>48</v>
      </c>
      <c r="G4553" s="9" t="s">
        <v>49</v>
      </c>
      <c r="H4553" s="11" t="s">
        <v>23</v>
      </c>
      <c r="I4553" s="12" t="n">
        <v>64</v>
      </c>
      <c r="J4553" s="13" t="n">
        <v>85</v>
      </c>
      <c r="K4553" s="14" t="n">
        <f aca="false">I4553*J4553</f>
        <v>5440</v>
      </c>
      <c r="L4553" s="14" t="n">
        <f aca="false">($L$2*M4553)/100</f>
        <v>504699.93</v>
      </c>
      <c r="M4553" s="15" t="n">
        <v>0.42</v>
      </c>
      <c r="N4553" s="9" t="s">
        <v>85</v>
      </c>
    </row>
    <row r="4554" customFormat="false" ht="14.25" hidden="false" customHeight="true" outlineLevel="0" collapsed="false">
      <c r="B4554" s="9" t="s">
        <v>32</v>
      </c>
      <c r="C4554" s="9" t="n">
        <v>1128299</v>
      </c>
      <c r="D4554" s="10" t="n">
        <v>43993</v>
      </c>
      <c r="E4554" s="9" t="s">
        <v>33</v>
      </c>
      <c r="F4554" s="9" t="s">
        <v>48</v>
      </c>
      <c r="G4554" s="9" t="s">
        <v>49</v>
      </c>
      <c r="H4554" s="11" t="s">
        <v>24</v>
      </c>
      <c r="I4554" s="12" t="n">
        <v>69</v>
      </c>
      <c r="J4554" s="13" t="n">
        <v>46</v>
      </c>
      <c r="K4554" s="14" t="n">
        <f aca="false">I4554*J4554</f>
        <v>3174</v>
      </c>
      <c r="L4554" s="14" t="n">
        <f aca="false">($L$2*M4554)/100</f>
        <v>456633.27</v>
      </c>
      <c r="M4554" s="15" t="n">
        <v>0.38</v>
      </c>
      <c r="N4554" s="9" t="s">
        <v>85</v>
      </c>
    </row>
    <row r="4555" customFormat="false" ht="14.25" hidden="false" customHeight="true" outlineLevel="0" collapsed="false">
      <c r="B4555" s="9" t="s">
        <v>32</v>
      </c>
      <c r="C4555" s="9" t="n">
        <v>1128299</v>
      </c>
      <c r="D4555" s="10" t="n">
        <v>43994</v>
      </c>
      <c r="E4555" s="9" t="s">
        <v>33</v>
      </c>
      <c r="F4555" s="9" t="s">
        <v>48</v>
      </c>
      <c r="G4555" s="9" t="s">
        <v>49</v>
      </c>
      <c r="H4555" s="11" t="s">
        <v>25</v>
      </c>
      <c r="I4555" s="12" t="n">
        <v>62</v>
      </c>
      <c r="J4555" s="13" t="n">
        <v>105</v>
      </c>
      <c r="K4555" s="14" t="n">
        <f aca="false">I4555*J4555</f>
        <v>6510</v>
      </c>
      <c r="L4555" s="14" t="n">
        <f aca="false">($L$2*M4555)/100</f>
        <v>408566.61</v>
      </c>
      <c r="M4555" s="15" t="n">
        <v>0.34</v>
      </c>
      <c r="N4555" s="9" t="s">
        <v>85</v>
      </c>
    </row>
    <row r="4556" customFormat="false" ht="14.25" hidden="false" customHeight="true" outlineLevel="0" collapsed="false">
      <c r="B4556" s="9" t="s">
        <v>32</v>
      </c>
      <c r="C4556" s="9" t="n">
        <v>1128299</v>
      </c>
      <c r="D4556" s="10" t="n">
        <v>43995</v>
      </c>
      <c r="E4556" s="9" t="s">
        <v>33</v>
      </c>
      <c r="F4556" s="9" t="s">
        <v>48</v>
      </c>
      <c r="G4556" s="9" t="s">
        <v>49</v>
      </c>
      <c r="H4556" s="11" t="s">
        <v>19</v>
      </c>
      <c r="I4556" s="12" t="n">
        <v>68</v>
      </c>
      <c r="J4556" s="13" t="n">
        <v>160</v>
      </c>
      <c r="K4556" s="14" t="n">
        <f aca="false">I4556*J4556</f>
        <v>10880</v>
      </c>
      <c r="L4556" s="14" t="n">
        <f aca="false">($L$2*M4556)/100</f>
        <v>528733.26</v>
      </c>
      <c r="M4556" s="15" t="n">
        <v>0.44</v>
      </c>
      <c r="N4556" s="9" t="s">
        <v>85</v>
      </c>
    </row>
    <row r="4557" customFormat="false" ht="14.25" hidden="false" customHeight="true" outlineLevel="0" collapsed="false">
      <c r="B4557" s="9" t="s">
        <v>32</v>
      </c>
      <c r="C4557" s="9" t="n">
        <v>1128299</v>
      </c>
      <c r="D4557" s="10" t="n">
        <v>43996</v>
      </c>
      <c r="E4557" s="9" t="s">
        <v>33</v>
      </c>
      <c r="F4557" s="9" t="s">
        <v>48</v>
      </c>
      <c r="G4557" s="9" t="s">
        <v>49</v>
      </c>
      <c r="H4557" s="11" t="s">
        <v>21</v>
      </c>
      <c r="I4557" s="12" t="n">
        <v>71</v>
      </c>
      <c r="J4557" s="13" t="n">
        <v>88</v>
      </c>
      <c r="K4557" s="14" t="n">
        <f aca="false">I4557*J4557</f>
        <v>6248</v>
      </c>
      <c r="L4557" s="14" t="n">
        <f aca="false">($L$2*M4557)/100</f>
        <v>468649.935</v>
      </c>
      <c r="M4557" s="15" t="n">
        <v>0.39</v>
      </c>
      <c r="N4557" s="9" t="s">
        <v>85</v>
      </c>
    </row>
    <row r="4558" customFormat="false" ht="14.25" hidden="false" customHeight="true" outlineLevel="0" collapsed="false">
      <c r="B4558" s="9" t="s">
        <v>32</v>
      </c>
      <c r="C4558" s="9" t="n">
        <v>1128299</v>
      </c>
      <c r="D4558" s="10" t="n">
        <v>43997</v>
      </c>
      <c r="E4558" s="9" t="s">
        <v>33</v>
      </c>
      <c r="F4558" s="9" t="s">
        <v>48</v>
      </c>
      <c r="G4558" s="9" t="s">
        <v>49</v>
      </c>
      <c r="H4558" s="11" t="s">
        <v>22</v>
      </c>
      <c r="I4558" s="12" t="n">
        <v>74</v>
      </c>
      <c r="J4558" s="13" t="n">
        <v>120</v>
      </c>
      <c r="K4558" s="14" t="n">
        <f aca="false">I4558*J4558</f>
        <v>8880</v>
      </c>
      <c r="L4558" s="14" t="n">
        <f aca="false">($L$2*M4558)/100</f>
        <v>468649.935</v>
      </c>
      <c r="M4558" s="15" t="n">
        <v>0.39</v>
      </c>
      <c r="N4558" s="9" t="s">
        <v>85</v>
      </c>
    </row>
    <row r="4559" customFormat="false" ht="14.25" hidden="false" customHeight="true" outlineLevel="0" collapsed="false">
      <c r="B4559" s="9" t="s">
        <v>32</v>
      </c>
      <c r="C4559" s="9" t="n">
        <v>1128299</v>
      </c>
      <c r="D4559" s="10" t="n">
        <v>43998</v>
      </c>
      <c r="E4559" s="9" t="s">
        <v>33</v>
      </c>
      <c r="F4559" s="9" t="s">
        <v>48</v>
      </c>
      <c r="G4559" s="9" t="s">
        <v>49</v>
      </c>
      <c r="H4559" s="11" t="s">
        <v>23</v>
      </c>
      <c r="I4559" s="12" t="n">
        <v>55</v>
      </c>
      <c r="J4559" s="13" t="n">
        <v>90</v>
      </c>
      <c r="K4559" s="14" t="n">
        <f aca="false">I4559*J4559</f>
        <v>4950</v>
      </c>
      <c r="L4559" s="14" t="n">
        <f aca="false">($L$2*M4559)/100</f>
        <v>504699.93</v>
      </c>
      <c r="M4559" s="15" t="n">
        <v>0.42</v>
      </c>
      <c r="N4559" s="9" t="s">
        <v>85</v>
      </c>
    </row>
    <row r="4560" customFormat="false" ht="14.25" hidden="false" customHeight="true" outlineLevel="0" collapsed="false">
      <c r="B4560" s="9" t="s">
        <v>32</v>
      </c>
      <c r="C4560" s="9" t="n">
        <v>1128299</v>
      </c>
      <c r="D4560" s="10" t="n">
        <v>43999</v>
      </c>
      <c r="E4560" s="9" t="s">
        <v>33</v>
      </c>
      <c r="F4560" s="9" t="s">
        <v>48</v>
      </c>
      <c r="G4560" s="9" t="s">
        <v>49</v>
      </c>
      <c r="H4560" s="11" t="s">
        <v>24</v>
      </c>
      <c r="I4560" s="12" t="n">
        <v>59</v>
      </c>
      <c r="J4560" s="13" t="n">
        <v>56</v>
      </c>
      <c r="K4560" s="14" t="n">
        <f aca="false">I4560*J4560</f>
        <v>3304</v>
      </c>
      <c r="L4560" s="14" t="n">
        <f aca="false">($L$2*M4560)/100</f>
        <v>480666.6</v>
      </c>
      <c r="M4560" s="15" t="n">
        <v>0.4</v>
      </c>
      <c r="N4560" s="9" t="s">
        <v>85</v>
      </c>
    </row>
    <row r="4561" customFormat="false" ht="14.25" hidden="false" customHeight="true" outlineLevel="0" collapsed="false">
      <c r="B4561" s="9" t="s">
        <v>32</v>
      </c>
      <c r="C4561" s="9" t="n">
        <v>1128299</v>
      </c>
      <c r="D4561" s="10" t="n">
        <v>44000</v>
      </c>
      <c r="E4561" s="9" t="s">
        <v>33</v>
      </c>
      <c r="F4561" s="9" t="s">
        <v>48</v>
      </c>
      <c r="G4561" s="9" t="s">
        <v>49</v>
      </c>
      <c r="H4561" s="11" t="s">
        <v>25</v>
      </c>
      <c r="I4561" s="12" t="n">
        <v>78</v>
      </c>
      <c r="J4561" s="13" t="n">
        <v>88</v>
      </c>
      <c r="K4561" s="14" t="n">
        <f aca="false">I4561*J4561</f>
        <v>6864</v>
      </c>
      <c r="L4561" s="14" t="n">
        <f aca="false">($L$2*M4561)/100</f>
        <v>384533.28</v>
      </c>
      <c r="M4561" s="15" t="n">
        <v>0.32</v>
      </c>
      <c r="N4561" s="9" t="s">
        <v>85</v>
      </c>
    </row>
    <row r="4562" customFormat="false" ht="14.25" hidden="false" customHeight="true" outlineLevel="0" collapsed="false">
      <c r="B4562" s="9" t="s">
        <v>32</v>
      </c>
      <c r="C4562" s="9" t="n">
        <v>1128299</v>
      </c>
      <c r="D4562" s="10" t="n">
        <v>44001</v>
      </c>
      <c r="E4562" s="9" t="s">
        <v>33</v>
      </c>
      <c r="F4562" s="9" t="s">
        <v>48</v>
      </c>
      <c r="G4562" s="9" t="s">
        <v>49</v>
      </c>
      <c r="H4562" s="11" t="s">
        <v>19</v>
      </c>
      <c r="I4562" s="12" t="n">
        <v>55</v>
      </c>
      <c r="J4562" s="13" t="n">
        <v>165</v>
      </c>
      <c r="K4562" s="14" t="n">
        <f aca="false">I4562*J4562</f>
        <v>9075</v>
      </c>
      <c r="L4562" s="14" t="n">
        <f aca="false">($L$2*M4562)/100</f>
        <v>492683.265</v>
      </c>
      <c r="M4562" s="15" t="n">
        <v>0.41</v>
      </c>
      <c r="N4562" s="9" t="s">
        <v>85</v>
      </c>
    </row>
    <row r="4563" customFormat="false" ht="14.25" hidden="false" customHeight="true" outlineLevel="0" collapsed="false">
      <c r="B4563" s="9" t="s">
        <v>32</v>
      </c>
      <c r="C4563" s="9" t="n">
        <v>1128299</v>
      </c>
      <c r="D4563" s="10" t="n">
        <v>44002</v>
      </c>
      <c r="E4563" s="9" t="s">
        <v>33</v>
      </c>
      <c r="F4563" s="9" t="s">
        <v>48</v>
      </c>
      <c r="G4563" s="9" t="s">
        <v>49</v>
      </c>
      <c r="H4563" s="11" t="s">
        <v>21</v>
      </c>
      <c r="I4563" s="12" t="n">
        <v>60</v>
      </c>
      <c r="J4563" s="13" t="n">
        <v>108</v>
      </c>
      <c r="K4563" s="14" t="n">
        <f aca="false">I4563*J4563</f>
        <v>6480</v>
      </c>
      <c r="L4563" s="14" t="n">
        <f aca="false">($L$2*M4563)/100</f>
        <v>456633.27</v>
      </c>
      <c r="M4563" s="15" t="n">
        <v>0.38</v>
      </c>
      <c r="N4563" s="9" t="s">
        <v>85</v>
      </c>
    </row>
    <row r="4564" customFormat="false" ht="14.25" hidden="false" customHeight="true" outlineLevel="0" collapsed="false">
      <c r="B4564" s="9" t="s">
        <v>32</v>
      </c>
      <c r="C4564" s="9" t="n">
        <v>1128299</v>
      </c>
      <c r="D4564" s="10" t="n">
        <v>44003</v>
      </c>
      <c r="E4564" s="9" t="s">
        <v>33</v>
      </c>
      <c r="F4564" s="9" t="s">
        <v>48</v>
      </c>
      <c r="G4564" s="9" t="s">
        <v>49</v>
      </c>
      <c r="H4564" s="11" t="s">
        <v>22</v>
      </c>
      <c r="I4564" s="12" t="n">
        <v>61</v>
      </c>
      <c r="J4564" s="13" t="n">
        <v>120</v>
      </c>
      <c r="K4564" s="14" t="n">
        <f aca="false">I4564*J4564</f>
        <v>7320</v>
      </c>
      <c r="L4564" s="14" t="n">
        <f aca="false">($L$2*M4564)/100</f>
        <v>456633.27</v>
      </c>
      <c r="M4564" s="15" t="n">
        <v>0.38</v>
      </c>
      <c r="N4564" s="9" t="s">
        <v>85</v>
      </c>
    </row>
    <row r="4565" customFormat="false" ht="14.25" hidden="false" customHeight="true" outlineLevel="0" collapsed="false">
      <c r="B4565" s="9" t="s">
        <v>32</v>
      </c>
      <c r="C4565" s="9" t="n">
        <v>1128299</v>
      </c>
      <c r="D4565" s="10" t="n">
        <v>44004</v>
      </c>
      <c r="E4565" s="9" t="s">
        <v>33</v>
      </c>
      <c r="F4565" s="9" t="s">
        <v>48</v>
      </c>
      <c r="G4565" s="9" t="s">
        <v>49</v>
      </c>
      <c r="H4565" s="11" t="s">
        <v>23</v>
      </c>
      <c r="I4565" s="12" t="n">
        <v>59</v>
      </c>
      <c r="J4565" s="13" t="n">
        <v>90</v>
      </c>
      <c r="K4565" s="14" t="n">
        <f aca="false">I4565*J4565</f>
        <v>5310</v>
      </c>
      <c r="L4565" s="14" t="n">
        <f aca="false">($L$2*M4565)/100</f>
        <v>528733.26</v>
      </c>
      <c r="M4565" s="15" t="n">
        <v>0.44</v>
      </c>
      <c r="N4565" s="9" t="s">
        <v>85</v>
      </c>
    </row>
    <row r="4566" customFormat="false" ht="14.25" hidden="false" customHeight="true" outlineLevel="0" collapsed="false">
      <c r="B4566" s="9" t="s">
        <v>32</v>
      </c>
      <c r="C4566" s="9" t="n">
        <v>1128299</v>
      </c>
      <c r="D4566" s="10" t="n">
        <v>44005</v>
      </c>
      <c r="E4566" s="9" t="s">
        <v>33</v>
      </c>
      <c r="F4566" s="9" t="s">
        <v>48</v>
      </c>
      <c r="G4566" s="9" t="s">
        <v>49</v>
      </c>
      <c r="H4566" s="11" t="s">
        <v>24</v>
      </c>
      <c r="I4566" s="12" t="n">
        <v>60</v>
      </c>
      <c r="J4566" s="13" t="n">
        <v>52</v>
      </c>
      <c r="K4566" s="14" t="n">
        <f aca="false">I4566*J4566</f>
        <v>3120</v>
      </c>
      <c r="L4566" s="14" t="n">
        <f aca="false">($L$2*M4566)/100</f>
        <v>456633.27</v>
      </c>
      <c r="M4566" s="15" t="n">
        <v>0.38</v>
      </c>
      <c r="N4566" s="9" t="s">
        <v>85</v>
      </c>
    </row>
    <row r="4567" customFormat="false" ht="14.25" hidden="false" customHeight="true" outlineLevel="0" collapsed="false">
      <c r="B4567" s="9" t="s">
        <v>32</v>
      </c>
      <c r="C4567" s="9" t="n">
        <v>1128299</v>
      </c>
      <c r="D4567" s="10" t="n">
        <v>44006</v>
      </c>
      <c r="E4567" s="9" t="s">
        <v>33</v>
      </c>
      <c r="F4567" s="9" t="s">
        <v>48</v>
      </c>
      <c r="G4567" s="9" t="s">
        <v>49</v>
      </c>
      <c r="H4567" s="11" t="s">
        <v>25</v>
      </c>
      <c r="I4567" s="12" t="n">
        <v>75</v>
      </c>
      <c r="J4567" s="13" t="n">
        <v>125</v>
      </c>
      <c r="K4567" s="14" t="n">
        <f aca="false">I4567*J4567</f>
        <v>9375</v>
      </c>
      <c r="L4567" s="14" t="n">
        <f aca="false">($L$2*M4567)/100</f>
        <v>396549.945</v>
      </c>
      <c r="M4567" s="15" t="n">
        <v>0.33</v>
      </c>
      <c r="N4567" s="9" t="s">
        <v>85</v>
      </c>
    </row>
    <row r="4568" customFormat="false" ht="14.25" hidden="false" customHeight="true" outlineLevel="0" collapsed="false">
      <c r="B4568" s="9" t="s">
        <v>32</v>
      </c>
      <c r="C4568" s="9" t="n">
        <v>1128299</v>
      </c>
      <c r="D4568" s="10" t="n">
        <v>44007</v>
      </c>
      <c r="E4568" s="9" t="s">
        <v>33</v>
      </c>
      <c r="F4568" s="9" t="s">
        <v>48</v>
      </c>
      <c r="G4568" s="9" t="s">
        <v>49</v>
      </c>
      <c r="H4568" s="11" t="s">
        <v>19</v>
      </c>
      <c r="I4568" s="12" t="n">
        <v>71</v>
      </c>
      <c r="J4568" s="13" t="n">
        <v>195</v>
      </c>
      <c r="K4568" s="14" t="n">
        <f aca="false">I4568*J4568</f>
        <v>13845</v>
      </c>
      <c r="L4568" s="14" t="n">
        <f aca="false">($L$2*M4568)/100</f>
        <v>504699.93</v>
      </c>
      <c r="M4568" s="15" t="n">
        <v>0.42</v>
      </c>
      <c r="N4568" s="9" t="s">
        <v>85</v>
      </c>
    </row>
    <row r="4569" customFormat="false" ht="14.25" hidden="false" customHeight="true" outlineLevel="0" collapsed="false">
      <c r="B4569" s="9" t="s">
        <v>32</v>
      </c>
      <c r="C4569" s="9" t="n">
        <v>1128299</v>
      </c>
      <c r="D4569" s="10" t="n">
        <v>44008</v>
      </c>
      <c r="E4569" s="9" t="s">
        <v>33</v>
      </c>
      <c r="F4569" s="9" t="s">
        <v>48</v>
      </c>
      <c r="G4569" s="9" t="s">
        <v>49</v>
      </c>
      <c r="H4569" s="11" t="s">
        <v>21</v>
      </c>
      <c r="I4569" s="12" t="n">
        <v>74</v>
      </c>
      <c r="J4569" s="13" t="n">
        <v>188</v>
      </c>
      <c r="K4569" s="14" t="n">
        <f aca="false">I4569*J4569</f>
        <v>13912</v>
      </c>
      <c r="L4569" s="14" t="n">
        <f aca="false">($L$2*M4569)/100</f>
        <v>444616.605</v>
      </c>
      <c r="M4569" s="15" t="n">
        <v>0.37</v>
      </c>
      <c r="N4569" s="9" t="s">
        <v>85</v>
      </c>
    </row>
    <row r="4570" customFormat="false" ht="14.25" hidden="false" customHeight="true" outlineLevel="0" collapsed="false">
      <c r="B4570" s="9" t="s">
        <v>32</v>
      </c>
      <c r="C4570" s="9" t="n">
        <v>1128299</v>
      </c>
      <c r="D4570" s="10" t="n">
        <v>44009</v>
      </c>
      <c r="E4570" s="9" t="s">
        <v>33</v>
      </c>
      <c r="F4570" s="9" t="s">
        <v>48</v>
      </c>
      <c r="G4570" s="9" t="s">
        <v>49</v>
      </c>
      <c r="H4570" s="11" t="s">
        <v>22</v>
      </c>
      <c r="I4570" s="12" t="n">
        <v>72</v>
      </c>
      <c r="J4570" s="13" t="n">
        <v>163</v>
      </c>
      <c r="K4570" s="14" t="n">
        <f aca="false">I4570*J4570</f>
        <v>11736</v>
      </c>
      <c r="L4570" s="14" t="n">
        <f aca="false">($L$2*M4570)/100</f>
        <v>456633.27</v>
      </c>
      <c r="M4570" s="15" t="n">
        <v>0.38</v>
      </c>
      <c r="N4570" s="9" t="s">
        <v>85</v>
      </c>
    </row>
    <row r="4571" customFormat="false" ht="14.25" hidden="false" customHeight="true" outlineLevel="0" collapsed="false">
      <c r="B4571" s="9" t="s">
        <v>32</v>
      </c>
      <c r="C4571" s="9" t="n">
        <v>1128299</v>
      </c>
      <c r="D4571" s="10" t="n">
        <v>44010</v>
      </c>
      <c r="E4571" s="9" t="s">
        <v>33</v>
      </c>
      <c r="F4571" s="9" t="s">
        <v>48</v>
      </c>
      <c r="G4571" s="9" t="s">
        <v>49</v>
      </c>
      <c r="H4571" s="11" t="s">
        <v>23</v>
      </c>
      <c r="I4571" s="12" t="n">
        <v>75</v>
      </c>
      <c r="J4571" s="13" t="n">
        <v>125</v>
      </c>
      <c r="K4571" s="14" t="n">
        <f aca="false">I4571*J4571</f>
        <v>9375</v>
      </c>
      <c r="L4571" s="14" t="n">
        <f aca="false">($L$2*M4571)/100</f>
        <v>480666.6</v>
      </c>
      <c r="M4571" s="15" t="n">
        <v>0.4</v>
      </c>
      <c r="N4571" s="9" t="s">
        <v>85</v>
      </c>
    </row>
    <row r="4572" customFormat="false" ht="14.25" hidden="false" customHeight="true" outlineLevel="0" collapsed="false">
      <c r="B4572" s="9" t="s">
        <v>32</v>
      </c>
      <c r="C4572" s="9" t="n">
        <v>1128299</v>
      </c>
      <c r="D4572" s="10" t="n">
        <v>44011</v>
      </c>
      <c r="E4572" s="9" t="s">
        <v>33</v>
      </c>
      <c r="F4572" s="9" t="s">
        <v>48</v>
      </c>
      <c r="G4572" s="9" t="s">
        <v>49</v>
      </c>
      <c r="H4572" s="11" t="s">
        <v>24</v>
      </c>
      <c r="I4572" s="12" t="n">
        <v>82</v>
      </c>
      <c r="J4572" s="13" t="n">
        <v>105</v>
      </c>
      <c r="K4572" s="14" t="n">
        <f aca="false">I4572*J4572</f>
        <v>8610</v>
      </c>
      <c r="L4572" s="14" t="n">
        <f aca="false">($L$2*M4572)/100</f>
        <v>468649.935</v>
      </c>
      <c r="M4572" s="15" t="n">
        <v>0.39</v>
      </c>
      <c r="N4572" s="9" t="s">
        <v>85</v>
      </c>
    </row>
    <row r="4573" customFormat="false" ht="14.25" hidden="false" customHeight="true" outlineLevel="0" collapsed="false">
      <c r="B4573" s="9" t="s">
        <v>32</v>
      </c>
      <c r="C4573" s="9" t="n">
        <v>1128299</v>
      </c>
      <c r="D4573" s="10" t="n">
        <v>44012</v>
      </c>
      <c r="E4573" s="9" t="s">
        <v>33</v>
      </c>
      <c r="F4573" s="9" t="s">
        <v>48</v>
      </c>
      <c r="G4573" s="9" t="s">
        <v>49</v>
      </c>
      <c r="H4573" s="11" t="s">
        <v>25</v>
      </c>
      <c r="I4573" s="12" t="n">
        <v>98</v>
      </c>
      <c r="J4573" s="13" t="n">
        <v>182</v>
      </c>
      <c r="K4573" s="14" t="n">
        <f aca="false">I4573*J4573</f>
        <v>17836</v>
      </c>
      <c r="L4573" s="14" t="n">
        <f aca="false">($L$2*M4573)/100</f>
        <v>408566.61</v>
      </c>
      <c r="M4573" s="15" t="n">
        <v>0.34</v>
      </c>
      <c r="N4573" s="9" t="s">
        <v>85</v>
      </c>
    </row>
    <row r="4574" customFormat="false" ht="14.25" hidden="false" customHeight="true" outlineLevel="0" collapsed="false">
      <c r="B4574" s="9" t="s">
        <v>32</v>
      </c>
      <c r="C4574" s="9" t="n">
        <v>1128299</v>
      </c>
      <c r="D4574" s="10" t="n">
        <v>44013</v>
      </c>
      <c r="E4574" s="9" t="s">
        <v>33</v>
      </c>
      <c r="F4574" s="9" t="s">
        <v>48</v>
      </c>
      <c r="G4574" s="9" t="s">
        <v>49</v>
      </c>
      <c r="H4574" s="11" t="s">
        <v>19</v>
      </c>
      <c r="I4574" s="12" t="n">
        <v>73</v>
      </c>
      <c r="J4574" s="13" t="n">
        <v>239</v>
      </c>
      <c r="K4574" s="14" t="n">
        <f aca="false">I4574*J4574</f>
        <v>17447</v>
      </c>
      <c r="L4574" s="14" t="n">
        <f aca="false">($L$2*M4574)/100</f>
        <v>480666.6</v>
      </c>
      <c r="M4574" s="15" t="n">
        <v>0.4</v>
      </c>
      <c r="N4574" s="9" t="s">
        <v>85</v>
      </c>
    </row>
    <row r="4575" customFormat="false" ht="14.25" hidden="false" customHeight="true" outlineLevel="0" collapsed="false">
      <c r="B4575" s="9" t="s">
        <v>32</v>
      </c>
      <c r="C4575" s="9" t="n">
        <v>1128299</v>
      </c>
      <c r="D4575" s="10" t="n">
        <v>44014</v>
      </c>
      <c r="E4575" s="9" t="s">
        <v>33</v>
      </c>
      <c r="F4575" s="9" t="s">
        <v>48</v>
      </c>
      <c r="G4575" s="9" t="s">
        <v>49</v>
      </c>
      <c r="H4575" s="11" t="s">
        <v>21</v>
      </c>
      <c r="I4575" s="12" t="n">
        <v>82</v>
      </c>
      <c r="J4575" s="13" t="n">
        <v>182</v>
      </c>
      <c r="K4575" s="14" t="n">
        <f aca="false">I4575*J4575</f>
        <v>14924</v>
      </c>
      <c r="L4575" s="14" t="n">
        <f aca="false">($L$2*M4575)/100</f>
        <v>432599.94</v>
      </c>
      <c r="M4575" s="15" t="n">
        <v>0.36</v>
      </c>
      <c r="N4575" s="9" t="s">
        <v>85</v>
      </c>
    </row>
    <row r="4576" customFormat="false" ht="14.25" hidden="false" customHeight="true" outlineLevel="0" collapsed="false">
      <c r="B4576" s="9" t="s">
        <v>32</v>
      </c>
      <c r="C4576" s="9" t="n">
        <v>1128299</v>
      </c>
      <c r="D4576" s="10" t="n">
        <v>44015</v>
      </c>
      <c r="E4576" s="9" t="s">
        <v>33</v>
      </c>
      <c r="F4576" s="9" t="s">
        <v>48</v>
      </c>
      <c r="G4576" s="9" t="s">
        <v>49</v>
      </c>
      <c r="H4576" s="11" t="s">
        <v>22</v>
      </c>
      <c r="I4576" s="12" t="n">
        <v>78</v>
      </c>
      <c r="J4576" s="13" t="n">
        <v>175</v>
      </c>
      <c r="K4576" s="14" t="n">
        <f aca="false">I4576*J4576</f>
        <v>13650</v>
      </c>
      <c r="L4576" s="14" t="n">
        <f aca="false">($L$2*M4576)/100</f>
        <v>420583.275</v>
      </c>
      <c r="M4576" s="15" t="n">
        <v>0.35</v>
      </c>
      <c r="N4576" s="9" t="s">
        <v>85</v>
      </c>
    </row>
    <row r="4577" customFormat="false" ht="14.25" hidden="false" customHeight="true" outlineLevel="0" collapsed="false">
      <c r="B4577" s="9" t="s">
        <v>32</v>
      </c>
      <c r="C4577" s="9" t="n">
        <v>1128299</v>
      </c>
      <c r="D4577" s="10" t="n">
        <v>44016</v>
      </c>
      <c r="E4577" s="9" t="s">
        <v>33</v>
      </c>
      <c r="F4577" s="9" t="s">
        <v>48</v>
      </c>
      <c r="G4577" s="9" t="s">
        <v>49</v>
      </c>
      <c r="H4577" s="11" t="s">
        <v>23</v>
      </c>
      <c r="I4577" s="12" t="n">
        <v>78</v>
      </c>
      <c r="J4577" s="13" t="n">
        <v>137</v>
      </c>
      <c r="K4577" s="14" t="n">
        <f aca="false">I4577*J4577</f>
        <v>10686</v>
      </c>
      <c r="L4577" s="14" t="n">
        <f aca="false">($L$2*M4577)/100</f>
        <v>492683.265</v>
      </c>
      <c r="M4577" s="15" t="n">
        <v>0.41</v>
      </c>
      <c r="N4577" s="9" t="s">
        <v>85</v>
      </c>
    </row>
    <row r="4578" customFormat="false" ht="14.25" hidden="false" customHeight="true" outlineLevel="0" collapsed="false">
      <c r="B4578" s="9" t="s">
        <v>32</v>
      </c>
      <c r="C4578" s="9" t="n">
        <v>1128299</v>
      </c>
      <c r="D4578" s="10" t="n">
        <v>44017</v>
      </c>
      <c r="E4578" s="9" t="s">
        <v>33</v>
      </c>
      <c r="F4578" s="9" t="s">
        <v>48</v>
      </c>
      <c r="G4578" s="9" t="s">
        <v>49</v>
      </c>
      <c r="H4578" s="11" t="s">
        <v>24</v>
      </c>
      <c r="I4578" s="12" t="n">
        <v>77</v>
      </c>
      <c r="J4578" s="13" t="n">
        <v>144</v>
      </c>
      <c r="K4578" s="14" t="n">
        <f aca="false">I4578*J4578</f>
        <v>11088</v>
      </c>
      <c r="L4578" s="14" t="n">
        <f aca="false">($L$2*M4578)/100</f>
        <v>420583.275</v>
      </c>
      <c r="M4578" s="15" t="n">
        <v>0.35</v>
      </c>
      <c r="N4578" s="9" t="s">
        <v>85</v>
      </c>
    </row>
    <row r="4579" customFormat="false" ht="14.25" hidden="false" customHeight="true" outlineLevel="0" collapsed="false">
      <c r="B4579" s="9" t="s">
        <v>32</v>
      </c>
      <c r="C4579" s="9" t="n">
        <v>1128299</v>
      </c>
      <c r="D4579" s="10" t="n">
        <v>44018</v>
      </c>
      <c r="E4579" s="9" t="s">
        <v>33</v>
      </c>
      <c r="F4579" s="9" t="s">
        <v>48</v>
      </c>
      <c r="G4579" s="9" t="s">
        <v>49</v>
      </c>
      <c r="H4579" s="11" t="s">
        <v>25</v>
      </c>
      <c r="I4579" s="12" t="n">
        <v>95</v>
      </c>
      <c r="J4579" s="13" t="n">
        <v>155</v>
      </c>
      <c r="K4579" s="14" t="n">
        <f aca="false">I4579*J4579</f>
        <v>14725</v>
      </c>
      <c r="L4579" s="14" t="n">
        <f aca="false">($L$2*M4579)/100</f>
        <v>420583.275</v>
      </c>
      <c r="M4579" s="15" t="n">
        <v>0.35</v>
      </c>
      <c r="N4579" s="9" t="s">
        <v>85</v>
      </c>
    </row>
    <row r="4580" customFormat="false" ht="14.25" hidden="false" customHeight="true" outlineLevel="0" collapsed="false">
      <c r="B4580" s="9" t="s">
        <v>32</v>
      </c>
      <c r="C4580" s="9" t="n">
        <v>1128299</v>
      </c>
      <c r="D4580" s="10" t="n">
        <v>44019</v>
      </c>
      <c r="E4580" s="9" t="s">
        <v>33</v>
      </c>
      <c r="F4580" s="9" t="s">
        <v>48</v>
      </c>
      <c r="G4580" s="9" t="s">
        <v>49</v>
      </c>
      <c r="H4580" s="11" t="s">
        <v>19</v>
      </c>
      <c r="I4580" s="12" t="n">
        <v>80</v>
      </c>
      <c r="J4580" s="13" t="n">
        <v>217</v>
      </c>
      <c r="K4580" s="14" t="n">
        <f aca="false">I4580*J4580</f>
        <v>17360</v>
      </c>
      <c r="L4580" s="14" t="n">
        <f aca="false">($L$2*M4580)/100</f>
        <v>540749.925</v>
      </c>
      <c r="M4580" s="15" t="n">
        <v>0.45</v>
      </c>
      <c r="N4580" s="9" t="s">
        <v>85</v>
      </c>
    </row>
    <row r="4581" customFormat="false" ht="14.25" hidden="false" customHeight="true" outlineLevel="0" collapsed="false">
      <c r="B4581" s="9" t="s">
        <v>32</v>
      </c>
      <c r="C4581" s="9" t="n">
        <v>1128299</v>
      </c>
      <c r="D4581" s="10" t="n">
        <v>44020</v>
      </c>
      <c r="E4581" s="9" t="s">
        <v>33</v>
      </c>
      <c r="F4581" s="9" t="s">
        <v>48</v>
      </c>
      <c r="G4581" s="9" t="s">
        <v>49</v>
      </c>
      <c r="H4581" s="11" t="s">
        <v>21</v>
      </c>
      <c r="I4581" s="12" t="n">
        <v>77</v>
      </c>
      <c r="J4581" s="13" t="n">
        <v>210</v>
      </c>
      <c r="K4581" s="14" t="n">
        <f aca="false">I4581*J4581</f>
        <v>16170</v>
      </c>
      <c r="L4581" s="14" t="n">
        <f aca="false">($L$2*M4581)/100</f>
        <v>468649.935</v>
      </c>
      <c r="M4581" s="15" t="n">
        <v>0.39</v>
      </c>
      <c r="N4581" s="9" t="s">
        <v>85</v>
      </c>
    </row>
    <row r="4582" customFormat="false" ht="14.25" hidden="false" customHeight="true" outlineLevel="0" collapsed="false">
      <c r="B4582" s="9" t="s">
        <v>32</v>
      </c>
      <c r="C4582" s="9" t="n">
        <v>1128299</v>
      </c>
      <c r="D4582" s="10" t="n">
        <v>44021</v>
      </c>
      <c r="E4582" s="9" t="s">
        <v>33</v>
      </c>
      <c r="F4582" s="9" t="s">
        <v>48</v>
      </c>
      <c r="G4582" s="9" t="s">
        <v>49</v>
      </c>
      <c r="H4582" s="11" t="s">
        <v>22</v>
      </c>
      <c r="I4582" s="12" t="n">
        <v>73</v>
      </c>
      <c r="J4582" s="13" t="n">
        <v>163</v>
      </c>
      <c r="K4582" s="14" t="n">
        <f aca="false">I4582*J4582</f>
        <v>11899</v>
      </c>
      <c r="L4582" s="14" t="n">
        <f aca="false">($L$2*M4582)/100</f>
        <v>420583.275</v>
      </c>
      <c r="M4582" s="15" t="n">
        <v>0.35</v>
      </c>
      <c r="N4582" s="9" t="s">
        <v>85</v>
      </c>
    </row>
    <row r="4583" customFormat="false" ht="14.25" hidden="false" customHeight="true" outlineLevel="0" collapsed="false">
      <c r="B4583" s="9" t="s">
        <v>32</v>
      </c>
      <c r="C4583" s="9" t="n">
        <v>1128299</v>
      </c>
      <c r="D4583" s="10" t="n">
        <v>44022</v>
      </c>
      <c r="E4583" s="9" t="s">
        <v>33</v>
      </c>
      <c r="F4583" s="9" t="s">
        <v>48</v>
      </c>
      <c r="G4583" s="9" t="s">
        <v>49</v>
      </c>
      <c r="H4583" s="11" t="s">
        <v>23</v>
      </c>
      <c r="I4583" s="12" t="n">
        <v>74</v>
      </c>
      <c r="J4583" s="13" t="n">
        <v>155</v>
      </c>
      <c r="K4583" s="14" t="n">
        <f aca="false">I4583*J4583</f>
        <v>11470</v>
      </c>
      <c r="L4583" s="14" t="n">
        <f aca="false">($L$2*M4583)/100</f>
        <v>528733.26</v>
      </c>
      <c r="M4583" s="15" t="n">
        <v>0.44</v>
      </c>
      <c r="N4583" s="9" t="s">
        <v>85</v>
      </c>
    </row>
    <row r="4584" customFormat="false" ht="14.25" hidden="false" customHeight="true" outlineLevel="0" collapsed="false">
      <c r="B4584" s="9" t="s">
        <v>32</v>
      </c>
      <c r="C4584" s="9" t="n">
        <v>1128299</v>
      </c>
      <c r="D4584" s="10" t="n">
        <v>44023</v>
      </c>
      <c r="E4584" s="9" t="s">
        <v>33</v>
      </c>
      <c r="F4584" s="9" t="s">
        <v>48</v>
      </c>
      <c r="G4584" s="9" t="s">
        <v>49</v>
      </c>
      <c r="H4584" s="11" t="s">
        <v>24</v>
      </c>
      <c r="I4584" s="12" t="n">
        <v>71</v>
      </c>
      <c r="J4584" s="13" t="n">
        <v>155</v>
      </c>
      <c r="K4584" s="14" t="n">
        <f aca="false">I4584*J4584</f>
        <v>11005</v>
      </c>
      <c r="L4584" s="14" t="n">
        <f aca="false">($L$2*M4584)/100</f>
        <v>468649.935</v>
      </c>
      <c r="M4584" s="15" t="n">
        <v>0.39</v>
      </c>
      <c r="N4584" s="9" t="s">
        <v>85</v>
      </c>
    </row>
    <row r="4585" customFormat="false" ht="14.25" hidden="false" customHeight="true" outlineLevel="0" collapsed="false">
      <c r="B4585" s="9" t="s">
        <v>32</v>
      </c>
      <c r="C4585" s="9" t="n">
        <v>1128299</v>
      </c>
      <c r="D4585" s="10" t="n">
        <v>44024</v>
      </c>
      <c r="E4585" s="9" t="s">
        <v>33</v>
      </c>
      <c r="F4585" s="9" t="s">
        <v>48</v>
      </c>
      <c r="G4585" s="9" t="s">
        <v>49</v>
      </c>
      <c r="H4585" s="11" t="s">
        <v>25</v>
      </c>
      <c r="I4585" s="12" t="n">
        <v>76</v>
      </c>
      <c r="J4585" s="13" t="n">
        <v>108</v>
      </c>
      <c r="K4585" s="14" t="n">
        <f aca="false">I4585*J4585</f>
        <v>8208</v>
      </c>
      <c r="L4585" s="14" t="n">
        <f aca="false">($L$2*M4585)/100</f>
        <v>396549.945</v>
      </c>
      <c r="M4585" s="15" t="n">
        <v>0.33</v>
      </c>
      <c r="N4585" s="9" t="s">
        <v>85</v>
      </c>
    </row>
    <row r="4586" customFormat="false" ht="14.25" hidden="false" customHeight="true" outlineLevel="0" collapsed="false">
      <c r="B4586" s="9" t="s">
        <v>32</v>
      </c>
      <c r="C4586" s="9" t="n">
        <v>1128299</v>
      </c>
      <c r="D4586" s="10" t="n">
        <v>44025</v>
      </c>
      <c r="E4586" s="9" t="s">
        <v>33</v>
      </c>
      <c r="F4586" s="9" t="s">
        <v>48</v>
      </c>
      <c r="G4586" s="9" t="s">
        <v>49</v>
      </c>
      <c r="H4586" s="11" t="s">
        <v>19</v>
      </c>
      <c r="I4586" s="12" t="n">
        <v>64</v>
      </c>
      <c r="J4586" s="13" t="n">
        <v>156</v>
      </c>
      <c r="K4586" s="14" t="n">
        <f aca="false">I4586*J4586</f>
        <v>9984</v>
      </c>
      <c r="L4586" s="14" t="n">
        <f aca="false">($L$2*M4586)/100</f>
        <v>492683.265</v>
      </c>
      <c r="M4586" s="15" t="n">
        <v>0.41</v>
      </c>
      <c r="N4586" s="9" t="s">
        <v>85</v>
      </c>
    </row>
    <row r="4587" customFormat="false" ht="14.25" hidden="false" customHeight="true" outlineLevel="0" collapsed="false">
      <c r="B4587" s="9" t="s">
        <v>32</v>
      </c>
      <c r="C4587" s="9" t="n">
        <v>1128299</v>
      </c>
      <c r="D4587" s="10" t="n">
        <v>44026</v>
      </c>
      <c r="E4587" s="9" t="s">
        <v>33</v>
      </c>
      <c r="F4587" s="9" t="s">
        <v>48</v>
      </c>
      <c r="G4587" s="9" t="s">
        <v>49</v>
      </c>
      <c r="H4587" s="11" t="s">
        <v>21</v>
      </c>
      <c r="I4587" s="12" t="n">
        <v>71</v>
      </c>
      <c r="J4587" s="13" t="n">
        <v>174</v>
      </c>
      <c r="K4587" s="14" t="n">
        <f aca="false">I4587*J4587</f>
        <v>12354</v>
      </c>
      <c r="L4587" s="14" t="n">
        <f aca="false">($L$2*M4587)/100</f>
        <v>420583.275</v>
      </c>
      <c r="M4587" s="15" t="n">
        <v>0.35</v>
      </c>
      <c r="N4587" s="9" t="s">
        <v>85</v>
      </c>
    </row>
    <row r="4588" customFormat="false" ht="14.25" hidden="false" customHeight="true" outlineLevel="0" collapsed="false">
      <c r="B4588" s="9" t="s">
        <v>32</v>
      </c>
      <c r="C4588" s="9" t="n">
        <v>1128299</v>
      </c>
      <c r="D4588" s="10" t="n">
        <v>44027</v>
      </c>
      <c r="E4588" s="9" t="s">
        <v>33</v>
      </c>
      <c r="F4588" s="9" t="s">
        <v>48</v>
      </c>
      <c r="G4588" s="9" t="s">
        <v>49</v>
      </c>
      <c r="H4588" s="11" t="s">
        <v>22</v>
      </c>
      <c r="I4588" s="12" t="n">
        <v>63</v>
      </c>
      <c r="J4588" s="13" t="n">
        <v>135</v>
      </c>
      <c r="K4588" s="14" t="n">
        <f aca="false">I4588*J4588</f>
        <v>8505</v>
      </c>
      <c r="L4588" s="14" t="n">
        <f aca="false">($L$2*M4588)/100</f>
        <v>444616.605</v>
      </c>
      <c r="M4588" s="15" t="n">
        <v>0.37</v>
      </c>
      <c r="N4588" s="9" t="s">
        <v>85</v>
      </c>
    </row>
    <row r="4589" customFormat="false" ht="14.25" hidden="false" customHeight="true" outlineLevel="0" collapsed="false">
      <c r="B4589" s="9" t="s">
        <v>32</v>
      </c>
      <c r="C4589" s="9" t="n">
        <v>1128299</v>
      </c>
      <c r="D4589" s="10" t="n">
        <v>44028</v>
      </c>
      <c r="E4589" s="9" t="s">
        <v>33</v>
      </c>
      <c r="F4589" s="9" t="s">
        <v>48</v>
      </c>
      <c r="G4589" s="9" t="s">
        <v>49</v>
      </c>
      <c r="H4589" s="11" t="s">
        <v>23</v>
      </c>
      <c r="I4589" s="12" t="n">
        <v>67</v>
      </c>
      <c r="J4589" s="13" t="n">
        <v>112</v>
      </c>
      <c r="K4589" s="14" t="n">
        <f aca="false">I4589*J4589</f>
        <v>7504</v>
      </c>
      <c r="L4589" s="14" t="n">
        <f aca="false">($L$2*M4589)/100</f>
        <v>480666.6</v>
      </c>
      <c r="M4589" s="15" t="n">
        <v>0.4</v>
      </c>
      <c r="N4589" s="9" t="s">
        <v>85</v>
      </c>
    </row>
    <row r="4590" customFormat="false" ht="14.25" hidden="false" customHeight="true" outlineLevel="0" collapsed="false">
      <c r="B4590" s="9" t="s">
        <v>32</v>
      </c>
      <c r="C4590" s="9" t="n">
        <v>1128299</v>
      </c>
      <c r="D4590" s="10" t="n">
        <v>44029</v>
      </c>
      <c r="E4590" s="9" t="s">
        <v>33</v>
      </c>
      <c r="F4590" s="9" t="s">
        <v>48</v>
      </c>
      <c r="G4590" s="9" t="s">
        <v>49</v>
      </c>
      <c r="H4590" s="11" t="s">
        <v>24</v>
      </c>
      <c r="I4590" s="12" t="n">
        <v>72</v>
      </c>
      <c r="J4590" s="13" t="n">
        <v>111</v>
      </c>
      <c r="K4590" s="14" t="n">
        <f aca="false">I4590*J4590</f>
        <v>7992</v>
      </c>
      <c r="L4590" s="14" t="n">
        <f aca="false">($L$2*M4590)/100</f>
        <v>480666.6</v>
      </c>
      <c r="M4590" s="15" t="n">
        <v>0.4</v>
      </c>
      <c r="N4590" s="9" t="s">
        <v>85</v>
      </c>
    </row>
    <row r="4591" customFormat="false" ht="14.25" hidden="false" customHeight="true" outlineLevel="0" collapsed="false">
      <c r="B4591" s="9" t="s">
        <v>32</v>
      </c>
      <c r="C4591" s="9" t="n">
        <v>1128299</v>
      </c>
      <c r="D4591" s="10" t="n">
        <v>44030</v>
      </c>
      <c r="E4591" s="9" t="s">
        <v>33</v>
      </c>
      <c r="F4591" s="9" t="s">
        <v>48</v>
      </c>
      <c r="G4591" s="9" t="s">
        <v>49</v>
      </c>
      <c r="H4591" s="11" t="s">
        <v>25</v>
      </c>
      <c r="I4591" s="12" t="n">
        <v>62</v>
      </c>
      <c r="J4591" s="13" t="n">
        <v>113</v>
      </c>
      <c r="K4591" s="14" t="n">
        <f aca="false">I4591*J4591</f>
        <v>7006</v>
      </c>
      <c r="L4591" s="14" t="n">
        <f aca="false">($L$2*M4591)/100</f>
        <v>420583.275</v>
      </c>
      <c r="M4591" s="15" t="n">
        <v>0.35</v>
      </c>
      <c r="N4591" s="9" t="s">
        <v>85</v>
      </c>
    </row>
    <row r="4592" customFormat="false" ht="14.25" hidden="false" customHeight="true" outlineLevel="0" collapsed="false">
      <c r="B4592" s="9" t="s">
        <v>32</v>
      </c>
      <c r="C4592" s="9" t="n">
        <v>1128299</v>
      </c>
      <c r="D4592" s="10" t="n">
        <v>44031</v>
      </c>
      <c r="E4592" s="9" t="s">
        <v>33</v>
      </c>
      <c r="F4592" s="9" t="s">
        <v>48</v>
      </c>
      <c r="G4592" s="9" t="s">
        <v>49</v>
      </c>
      <c r="H4592" s="11" t="s">
        <v>19</v>
      </c>
      <c r="I4592" s="12" t="n">
        <v>58</v>
      </c>
      <c r="J4592" s="13" t="n">
        <v>149</v>
      </c>
      <c r="K4592" s="14" t="n">
        <f aca="false">I4592*J4592</f>
        <v>8642</v>
      </c>
      <c r="L4592" s="14" t="n">
        <f aca="false">($L$2*M4592)/100</f>
        <v>480666.6</v>
      </c>
      <c r="M4592" s="15" t="n">
        <v>0.4</v>
      </c>
      <c r="N4592" s="9" t="s">
        <v>85</v>
      </c>
    </row>
    <row r="4593" customFormat="false" ht="14.25" hidden="false" customHeight="true" outlineLevel="0" collapsed="false">
      <c r="B4593" s="9" t="s">
        <v>32</v>
      </c>
      <c r="C4593" s="9" t="n">
        <v>1128299</v>
      </c>
      <c r="D4593" s="10" t="n">
        <v>44032</v>
      </c>
      <c r="E4593" s="9" t="s">
        <v>33</v>
      </c>
      <c r="F4593" s="9" t="s">
        <v>48</v>
      </c>
      <c r="G4593" s="9" t="s">
        <v>49</v>
      </c>
      <c r="H4593" s="11" t="s">
        <v>21</v>
      </c>
      <c r="I4593" s="12" t="n">
        <v>64</v>
      </c>
      <c r="J4593" s="13" t="n">
        <v>138</v>
      </c>
      <c r="K4593" s="14" t="n">
        <f aca="false">I4593*J4593</f>
        <v>8832</v>
      </c>
      <c r="L4593" s="14" t="n">
        <f aca="false">($L$2*M4593)/100</f>
        <v>444616.605</v>
      </c>
      <c r="M4593" s="15" t="n">
        <v>0.37</v>
      </c>
      <c r="N4593" s="9" t="s">
        <v>85</v>
      </c>
    </row>
    <row r="4594" customFormat="false" ht="14.25" hidden="false" customHeight="true" outlineLevel="0" collapsed="false">
      <c r="B4594" s="9" t="s">
        <v>32</v>
      </c>
      <c r="C4594" s="9" t="n">
        <v>1128299</v>
      </c>
      <c r="D4594" s="10" t="n">
        <v>44033</v>
      </c>
      <c r="E4594" s="9" t="s">
        <v>33</v>
      </c>
      <c r="F4594" s="9" t="s">
        <v>48</v>
      </c>
      <c r="G4594" s="9" t="s">
        <v>49</v>
      </c>
      <c r="H4594" s="11" t="s">
        <v>22</v>
      </c>
      <c r="I4594" s="12" t="n">
        <v>56</v>
      </c>
      <c r="J4594" s="13" t="n">
        <v>113</v>
      </c>
      <c r="K4594" s="14" t="n">
        <f aca="false">I4594*J4594</f>
        <v>6328</v>
      </c>
      <c r="L4594" s="14" t="n">
        <f aca="false">($L$2*M4594)/100</f>
        <v>432599.94</v>
      </c>
      <c r="M4594" s="15" t="n">
        <v>0.36</v>
      </c>
      <c r="N4594" s="9" t="s">
        <v>85</v>
      </c>
    </row>
    <row r="4595" customFormat="false" ht="14.25" hidden="false" customHeight="true" outlineLevel="0" collapsed="false">
      <c r="B4595" s="9" t="s">
        <v>32</v>
      </c>
      <c r="C4595" s="9" t="n">
        <v>1128299</v>
      </c>
      <c r="D4595" s="10" t="n">
        <v>44034</v>
      </c>
      <c r="E4595" s="9" t="s">
        <v>33</v>
      </c>
      <c r="F4595" s="9" t="s">
        <v>48</v>
      </c>
      <c r="G4595" s="9" t="s">
        <v>49</v>
      </c>
      <c r="H4595" s="11" t="s">
        <v>23</v>
      </c>
      <c r="I4595" s="12" t="n">
        <v>58</v>
      </c>
      <c r="J4595" s="13" t="n">
        <v>98</v>
      </c>
      <c r="K4595" s="14" t="n">
        <f aca="false">I4595*J4595</f>
        <v>5684</v>
      </c>
      <c r="L4595" s="14" t="n">
        <f aca="false">($L$2*M4595)/100</f>
        <v>528733.26</v>
      </c>
      <c r="M4595" s="15" t="n">
        <v>0.44</v>
      </c>
      <c r="N4595" s="9" t="s">
        <v>85</v>
      </c>
    </row>
    <row r="4596" customFormat="false" ht="14.25" hidden="false" customHeight="true" outlineLevel="0" collapsed="false">
      <c r="B4596" s="9" t="s">
        <v>32</v>
      </c>
      <c r="C4596" s="9" t="n">
        <v>1128299</v>
      </c>
      <c r="D4596" s="10" t="n">
        <v>44035</v>
      </c>
      <c r="E4596" s="9" t="s">
        <v>33</v>
      </c>
      <c r="F4596" s="9" t="s">
        <v>48</v>
      </c>
      <c r="G4596" s="9" t="s">
        <v>49</v>
      </c>
      <c r="H4596" s="11" t="s">
        <v>24</v>
      </c>
      <c r="I4596" s="12" t="n">
        <v>69</v>
      </c>
      <c r="J4596" s="13" t="n">
        <v>94</v>
      </c>
      <c r="K4596" s="14" t="n">
        <f aca="false">I4596*J4596</f>
        <v>6486</v>
      </c>
      <c r="L4596" s="14" t="n">
        <f aca="false">($L$2*M4596)/100</f>
        <v>420583.275</v>
      </c>
      <c r="M4596" s="15" t="n">
        <v>0.35</v>
      </c>
      <c r="N4596" s="9" t="s">
        <v>85</v>
      </c>
    </row>
    <row r="4597" customFormat="false" ht="14.25" hidden="false" customHeight="true" outlineLevel="0" collapsed="false">
      <c r="B4597" s="9" t="s">
        <v>32</v>
      </c>
      <c r="C4597" s="9" t="n">
        <v>1128299</v>
      </c>
      <c r="D4597" s="10" t="n">
        <v>44036</v>
      </c>
      <c r="E4597" s="9" t="s">
        <v>33</v>
      </c>
      <c r="F4597" s="9" t="s">
        <v>48</v>
      </c>
      <c r="G4597" s="9" t="s">
        <v>49</v>
      </c>
      <c r="H4597" s="11" t="s">
        <v>25</v>
      </c>
      <c r="I4597" s="12" t="n">
        <v>71</v>
      </c>
      <c r="J4597" s="13" t="n">
        <v>101</v>
      </c>
      <c r="K4597" s="14" t="n">
        <f aca="false">I4597*J4597</f>
        <v>7171</v>
      </c>
      <c r="L4597" s="14" t="n">
        <f aca="false">($L$2*M4597)/100</f>
        <v>420583.275</v>
      </c>
      <c r="M4597" s="15" t="n">
        <v>0.35</v>
      </c>
      <c r="N4597" s="9" t="s">
        <v>85</v>
      </c>
    </row>
    <row r="4598" customFormat="false" ht="14.25" hidden="false" customHeight="true" outlineLevel="0" collapsed="false">
      <c r="B4598" s="9" t="s">
        <v>32</v>
      </c>
      <c r="C4598" s="9" t="n">
        <v>1128299</v>
      </c>
      <c r="D4598" s="10" t="n">
        <v>44037</v>
      </c>
      <c r="E4598" s="9" t="s">
        <v>33</v>
      </c>
      <c r="F4598" s="9" t="s">
        <v>48</v>
      </c>
      <c r="G4598" s="9" t="s">
        <v>49</v>
      </c>
      <c r="H4598" s="11" t="s">
        <v>19</v>
      </c>
      <c r="I4598" s="12" t="n">
        <v>54</v>
      </c>
      <c r="J4598" s="13" t="n">
        <v>162</v>
      </c>
      <c r="K4598" s="14" t="n">
        <f aca="false">I4598*J4598</f>
        <v>8748</v>
      </c>
      <c r="L4598" s="14" t="n">
        <f aca="false">($L$2*M4598)/100</f>
        <v>528733.26</v>
      </c>
      <c r="M4598" s="15" t="n">
        <v>0.44</v>
      </c>
      <c r="N4598" s="9" t="s">
        <v>85</v>
      </c>
    </row>
    <row r="4599" customFormat="false" ht="14.25" hidden="false" customHeight="true" outlineLevel="0" collapsed="false">
      <c r="B4599" s="9" t="s">
        <v>32</v>
      </c>
      <c r="C4599" s="9" t="n">
        <v>1128299</v>
      </c>
      <c r="D4599" s="10" t="n">
        <v>44038</v>
      </c>
      <c r="E4599" s="9" t="s">
        <v>33</v>
      </c>
      <c r="F4599" s="9" t="s">
        <v>48</v>
      </c>
      <c r="G4599" s="9" t="s">
        <v>49</v>
      </c>
      <c r="H4599" s="11" t="s">
        <v>21</v>
      </c>
      <c r="I4599" s="12" t="n">
        <v>60</v>
      </c>
      <c r="J4599" s="13" t="n">
        <v>188</v>
      </c>
      <c r="K4599" s="14" t="n">
        <f aca="false">I4599*J4599</f>
        <v>11280</v>
      </c>
      <c r="L4599" s="14" t="n">
        <f aca="false">($L$2*M4599)/100</f>
        <v>444616.605</v>
      </c>
      <c r="M4599" s="15" t="n">
        <v>0.37</v>
      </c>
      <c r="N4599" s="9" t="s">
        <v>85</v>
      </c>
    </row>
    <row r="4600" customFormat="false" ht="14.25" hidden="false" customHeight="true" outlineLevel="0" collapsed="false">
      <c r="B4600" s="9" t="s">
        <v>32</v>
      </c>
      <c r="C4600" s="9" t="n">
        <v>1128299</v>
      </c>
      <c r="D4600" s="10" t="n">
        <v>44039</v>
      </c>
      <c r="E4600" s="9" t="s">
        <v>33</v>
      </c>
      <c r="F4600" s="9" t="s">
        <v>48</v>
      </c>
      <c r="G4600" s="9" t="s">
        <v>49</v>
      </c>
      <c r="H4600" s="11" t="s">
        <v>22</v>
      </c>
      <c r="I4600" s="12" t="n">
        <v>54</v>
      </c>
      <c r="J4600" s="13" t="n">
        <v>124</v>
      </c>
      <c r="K4600" s="14" t="n">
        <f aca="false">I4600*J4600</f>
        <v>6696</v>
      </c>
      <c r="L4600" s="14" t="n">
        <f aca="false">($L$2*M4600)/100</f>
        <v>444616.605</v>
      </c>
      <c r="M4600" s="15" t="n">
        <v>0.37</v>
      </c>
      <c r="N4600" s="9" t="s">
        <v>85</v>
      </c>
    </row>
    <row r="4601" customFormat="false" ht="14.25" hidden="false" customHeight="true" outlineLevel="0" collapsed="false">
      <c r="B4601" s="9" t="s">
        <v>32</v>
      </c>
      <c r="C4601" s="9" t="n">
        <v>1128299</v>
      </c>
      <c r="D4601" s="10" t="n">
        <v>44040</v>
      </c>
      <c r="E4601" s="9" t="s">
        <v>33</v>
      </c>
      <c r="F4601" s="9" t="s">
        <v>48</v>
      </c>
      <c r="G4601" s="9" t="s">
        <v>49</v>
      </c>
      <c r="H4601" s="11" t="s">
        <v>23</v>
      </c>
      <c r="I4601" s="12" t="n">
        <v>69</v>
      </c>
      <c r="J4601" s="13" t="n">
        <v>117</v>
      </c>
      <c r="K4601" s="14" t="n">
        <f aca="false">I4601*J4601</f>
        <v>8073</v>
      </c>
      <c r="L4601" s="14" t="n">
        <f aca="false">($L$2*M4601)/100</f>
        <v>516716.595</v>
      </c>
      <c r="M4601" s="15" t="n">
        <v>0.43</v>
      </c>
      <c r="N4601" s="9" t="s">
        <v>85</v>
      </c>
    </row>
    <row r="4602" customFormat="false" ht="14.25" hidden="false" customHeight="true" outlineLevel="0" collapsed="false">
      <c r="B4602" s="9" t="s">
        <v>32</v>
      </c>
      <c r="C4602" s="9" t="n">
        <v>1128299</v>
      </c>
      <c r="D4602" s="10" t="n">
        <v>44041</v>
      </c>
      <c r="E4602" s="9" t="s">
        <v>33</v>
      </c>
      <c r="F4602" s="9" t="s">
        <v>48</v>
      </c>
      <c r="G4602" s="9" t="s">
        <v>49</v>
      </c>
      <c r="H4602" s="11" t="s">
        <v>24</v>
      </c>
      <c r="I4602" s="12" t="n">
        <v>85</v>
      </c>
      <c r="J4602" s="13" t="n">
        <v>115</v>
      </c>
      <c r="K4602" s="14" t="n">
        <f aca="false">I4602*J4602</f>
        <v>9775</v>
      </c>
      <c r="L4602" s="14" t="n">
        <f aca="false">($L$2*M4602)/100</f>
        <v>480666.6</v>
      </c>
      <c r="M4602" s="15" t="n">
        <v>0.4</v>
      </c>
      <c r="N4602" s="9" t="s">
        <v>85</v>
      </c>
    </row>
    <row r="4603" customFormat="false" ht="14.25" hidden="false" customHeight="true" outlineLevel="0" collapsed="false">
      <c r="B4603" s="9" t="s">
        <v>32</v>
      </c>
      <c r="C4603" s="9" t="n">
        <v>1128299</v>
      </c>
      <c r="D4603" s="10" t="n">
        <v>44042</v>
      </c>
      <c r="E4603" s="9" t="s">
        <v>33</v>
      </c>
      <c r="F4603" s="9" t="s">
        <v>48</v>
      </c>
      <c r="G4603" s="9" t="s">
        <v>49</v>
      </c>
      <c r="H4603" s="11" t="s">
        <v>25</v>
      </c>
      <c r="I4603" s="12" t="n">
        <v>88</v>
      </c>
      <c r="J4603" s="13" t="n">
        <v>138</v>
      </c>
      <c r="K4603" s="14" t="n">
        <f aca="false">I4603*J4603</f>
        <v>12144</v>
      </c>
      <c r="L4603" s="14" t="n">
        <f aca="false">($L$2*M4603)/100</f>
        <v>372516.615</v>
      </c>
      <c r="M4603" s="15" t="n">
        <v>0.31</v>
      </c>
      <c r="N4603" s="9" t="s">
        <v>85</v>
      </c>
    </row>
    <row r="4604" customFormat="false" ht="14.25" hidden="false" customHeight="true" outlineLevel="0" collapsed="false">
      <c r="B4604" s="9" t="s">
        <v>32</v>
      </c>
      <c r="C4604" s="9" t="n">
        <v>1128299</v>
      </c>
      <c r="D4604" s="10" t="n">
        <v>44043</v>
      </c>
      <c r="E4604" s="9" t="s">
        <v>33</v>
      </c>
      <c r="F4604" s="9" t="s">
        <v>48</v>
      </c>
      <c r="G4604" s="9" t="s">
        <v>49</v>
      </c>
      <c r="H4604" s="11" t="s">
        <v>19</v>
      </c>
      <c r="I4604" s="12" t="n">
        <v>78</v>
      </c>
      <c r="J4604" s="13" t="n">
        <v>188</v>
      </c>
      <c r="K4604" s="14" t="n">
        <f aca="false">I4604*J4604</f>
        <v>14664</v>
      </c>
      <c r="L4604" s="14" t="n">
        <f aca="false">($L$2*M4604)/100</f>
        <v>480666.6</v>
      </c>
      <c r="M4604" s="15" t="n">
        <v>0.4</v>
      </c>
      <c r="N4604" s="9" t="s">
        <v>85</v>
      </c>
    </row>
    <row r="4605" customFormat="false" ht="14.25" hidden="false" customHeight="true" outlineLevel="0" collapsed="false">
      <c r="B4605" s="9" t="s">
        <v>32</v>
      </c>
      <c r="C4605" s="9" t="n">
        <v>1128299</v>
      </c>
      <c r="D4605" s="10" t="n">
        <v>44044</v>
      </c>
      <c r="E4605" s="9" t="s">
        <v>33</v>
      </c>
      <c r="F4605" s="9" t="s">
        <v>48</v>
      </c>
      <c r="G4605" s="9" t="s">
        <v>49</v>
      </c>
      <c r="H4605" s="11" t="s">
        <v>21</v>
      </c>
      <c r="I4605" s="12" t="n">
        <v>77</v>
      </c>
      <c r="J4605" s="13" t="n">
        <v>195</v>
      </c>
      <c r="K4605" s="14" t="n">
        <f aca="false">I4605*J4605</f>
        <v>15015</v>
      </c>
      <c r="L4605" s="14" t="n">
        <f aca="false">($L$2*M4605)/100</f>
        <v>456633.27</v>
      </c>
      <c r="M4605" s="15" t="n">
        <v>0.38</v>
      </c>
      <c r="N4605" s="9" t="s">
        <v>85</v>
      </c>
    </row>
    <row r="4606" customFormat="false" ht="14.25" hidden="false" customHeight="true" outlineLevel="0" collapsed="false">
      <c r="B4606" s="9" t="s">
        <v>32</v>
      </c>
      <c r="C4606" s="9" t="n">
        <v>1128299</v>
      </c>
      <c r="D4606" s="10" t="n">
        <v>44045</v>
      </c>
      <c r="E4606" s="9" t="s">
        <v>33</v>
      </c>
      <c r="F4606" s="9" t="s">
        <v>48</v>
      </c>
      <c r="G4606" s="9" t="s">
        <v>49</v>
      </c>
      <c r="H4606" s="11" t="s">
        <v>22</v>
      </c>
      <c r="I4606" s="12" t="n">
        <v>73</v>
      </c>
      <c r="J4606" s="13" t="n">
        <v>138</v>
      </c>
      <c r="K4606" s="14" t="n">
        <f aca="false">I4606*J4606</f>
        <v>10074</v>
      </c>
      <c r="L4606" s="14" t="n">
        <f aca="false">($L$2*M4606)/100</f>
        <v>468649.935</v>
      </c>
      <c r="M4606" s="15" t="n">
        <v>0.39</v>
      </c>
      <c r="N4606" s="9" t="s">
        <v>85</v>
      </c>
    </row>
    <row r="4607" customFormat="false" ht="14.25" hidden="false" customHeight="true" outlineLevel="0" collapsed="false">
      <c r="B4607" s="9" t="s">
        <v>32</v>
      </c>
      <c r="C4607" s="9" t="n">
        <v>1128299</v>
      </c>
      <c r="D4607" s="10" t="n">
        <v>44046</v>
      </c>
      <c r="E4607" s="9" t="s">
        <v>33</v>
      </c>
      <c r="F4607" s="9" t="s">
        <v>48</v>
      </c>
      <c r="G4607" s="9" t="s">
        <v>49</v>
      </c>
      <c r="H4607" s="11" t="s">
        <v>23</v>
      </c>
      <c r="I4607" s="12" t="n">
        <v>76</v>
      </c>
      <c r="J4607" s="13" t="n">
        <v>138</v>
      </c>
      <c r="K4607" s="14" t="n">
        <f aca="false">I4607*J4607</f>
        <v>10488</v>
      </c>
      <c r="L4607" s="14" t="n">
        <f aca="false">($L$2*M4607)/100</f>
        <v>516716.595</v>
      </c>
      <c r="M4607" s="15" t="n">
        <v>0.43</v>
      </c>
      <c r="N4607" s="9" t="s">
        <v>85</v>
      </c>
    </row>
    <row r="4608" customFormat="false" ht="14.25" hidden="false" customHeight="true" outlineLevel="0" collapsed="false">
      <c r="B4608" s="9" t="s">
        <v>32</v>
      </c>
      <c r="C4608" s="9" t="n">
        <v>1128299</v>
      </c>
      <c r="D4608" s="10" t="n">
        <v>44047</v>
      </c>
      <c r="E4608" s="9" t="s">
        <v>33</v>
      </c>
      <c r="F4608" s="9" t="s">
        <v>48</v>
      </c>
      <c r="G4608" s="9" t="s">
        <v>49</v>
      </c>
      <c r="H4608" s="11" t="s">
        <v>24</v>
      </c>
      <c r="I4608" s="12" t="n">
        <v>82</v>
      </c>
      <c r="J4608" s="13" t="n">
        <v>133</v>
      </c>
      <c r="K4608" s="14" t="n">
        <f aca="false">I4608*J4608</f>
        <v>10906</v>
      </c>
      <c r="L4608" s="14" t="n">
        <f aca="false">($L$2*M4608)/100</f>
        <v>456633.27</v>
      </c>
      <c r="M4608" s="15" t="n">
        <v>0.38</v>
      </c>
      <c r="N4608" s="9" t="s">
        <v>85</v>
      </c>
    </row>
    <row r="4609" customFormat="false" ht="14.25" hidden="false" customHeight="true" outlineLevel="0" collapsed="false">
      <c r="B4609" s="9" t="s">
        <v>32</v>
      </c>
      <c r="C4609" s="9" t="n">
        <v>1128299</v>
      </c>
      <c r="D4609" s="10" t="n">
        <v>44048</v>
      </c>
      <c r="E4609" s="9" t="s">
        <v>33</v>
      </c>
      <c r="F4609" s="9" t="s">
        <v>48</v>
      </c>
      <c r="G4609" s="9" t="s">
        <v>49</v>
      </c>
      <c r="H4609" s="11" t="s">
        <v>25</v>
      </c>
      <c r="I4609" s="12" t="n">
        <v>86</v>
      </c>
      <c r="J4609" s="13" t="n">
        <v>150</v>
      </c>
      <c r="K4609" s="14" t="n">
        <f aca="false">I4609*J4609</f>
        <v>12900</v>
      </c>
      <c r="L4609" s="14" t="n">
        <f aca="false">($L$2*M4609)/100</f>
        <v>408566.61</v>
      </c>
      <c r="M4609" s="15" t="n">
        <v>0.34</v>
      </c>
      <c r="N4609" s="9" t="s">
        <v>85</v>
      </c>
    </row>
    <row r="4610" customFormat="false" ht="14.25" hidden="false" customHeight="true" outlineLevel="0" collapsed="false">
      <c r="B4610" s="9" t="s">
        <v>16</v>
      </c>
      <c r="C4610" s="9" t="n">
        <v>1185732</v>
      </c>
      <c r="D4610" s="10" t="n">
        <v>44049</v>
      </c>
      <c r="E4610" s="9" t="s">
        <v>33</v>
      </c>
      <c r="F4610" s="9" t="s">
        <v>48</v>
      </c>
      <c r="G4610" s="9" t="s">
        <v>49</v>
      </c>
      <c r="H4610" s="11" t="s">
        <v>19</v>
      </c>
      <c r="I4610" s="12" t="n">
        <v>44</v>
      </c>
      <c r="J4610" s="13" t="n">
        <v>273</v>
      </c>
      <c r="K4610" s="14" t="n">
        <f aca="false">I4610*J4610</f>
        <v>12012</v>
      </c>
      <c r="L4610" s="14" t="n">
        <f aca="false">($L$2*M4610)/100</f>
        <v>660916.575</v>
      </c>
      <c r="M4610" s="15" t="n">
        <v>0.55</v>
      </c>
      <c r="N4610" s="9" t="s">
        <v>85</v>
      </c>
    </row>
    <row r="4611" customFormat="false" ht="14.25" hidden="false" customHeight="true" outlineLevel="0" collapsed="false">
      <c r="B4611" s="9" t="s">
        <v>16</v>
      </c>
      <c r="C4611" s="9" t="n">
        <v>1185732</v>
      </c>
      <c r="D4611" s="10" t="n">
        <v>44050</v>
      </c>
      <c r="E4611" s="9" t="s">
        <v>33</v>
      </c>
      <c r="F4611" s="9" t="s">
        <v>48</v>
      </c>
      <c r="G4611" s="9" t="s">
        <v>49</v>
      </c>
      <c r="H4611" s="11" t="s">
        <v>21</v>
      </c>
      <c r="I4611" s="12" t="n">
        <v>41</v>
      </c>
      <c r="J4611" s="13" t="n">
        <v>221</v>
      </c>
      <c r="K4611" s="14" t="n">
        <f aca="false">I4611*J4611</f>
        <v>9061</v>
      </c>
      <c r="L4611" s="14" t="n">
        <f aca="false">($L$2*M4611)/100</f>
        <v>588816.585</v>
      </c>
      <c r="M4611" s="15" t="n">
        <v>0.49</v>
      </c>
      <c r="N4611" s="9" t="s">
        <v>85</v>
      </c>
    </row>
    <row r="4612" customFormat="false" ht="14.25" hidden="false" customHeight="true" outlineLevel="0" collapsed="false">
      <c r="B4612" s="9" t="s">
        <v>16</v>
      </c>
      <c r="C4612" s="9" t="n">
        <v>1185732</v>
      </c>
      <c r="D4612" s="10" t="n">
        <v>44051</v>
      </c>
      <c r="E4612" s="9" t="s">
        <v>33</v>
      </c>
      <c r="F4612" s="9" t="s">
        <v>48</v>
      </c>
      <c r="G4612" s="9" t="s">
        <v>49</v>
      </c>
      <c r="H4612" s="11" t="s">
        <v>22</v>
      </c>
      <c r="I4612" s="12" t="n">
        <v>34</v>
      </c>
      <c r="J4612" s="13" t="n">
        <v>230</v>
      </c>
      <c r="K4612" s="14" t="n">
        <f aca="false">I4612*J4612</f>
        <v>7820</v>
      </c>
      <c r="L4612" s="14" t="n">
        <f aca="false">($L$2*M4612)/100</f>
        <v>468649.935</v>
      </c>
      <c r="M4612" s="15" t="n">
        <v>0.39</v>
      </c>
      <c r="N4612" s="9" t="s">
        <v>85</v>
      </c>
    </row>
    <row r="4613" customFormat="false" ht="14.25" hidden="false" customHeight="true" outlineLevel="0" collapsed="false">
      <c r="B4613" s="9" t="s">
        <v>16</v>
      </c>
      <c r="C4613" s="9" t="n">
        <v>1185732</v>
      </c>
      <c r="D4613" s="10" t="n">
        <v>44052</v>
      </c>
      <c r="E4613" s="9" t="s">
        <v>33</v>
      </c>
      <c r="F4613" s="9" t="s">
        <v>48</v>
      </c>
      <c r="G4613" s="9" t="s">
        <v>49</v>
      </c>
      <c r="H4613" s="11" t="s">
        <v>23</v>
      </c>
      <c r="I4613" s="12" t="n">
        <v>38</v>
      </c>
      <c r="J4613" s="13" t="n">
        <v>175</v>
      </c>
      <c r="K4613" s="14" t="n">
        <f aca="false">I4613*J4613</f>
        <v>6650</v>
      </c>
      <c r="L4613" s="14" t="n">
        <f aca="false">($L$2*M4613)/100</f>
        <v>480666.6</v>
      </c>
      <c r="M4613" s="15" t="n">
        <v>0.4</v>
      </c>
      <c r="N4613" s="9" t="s">
        <v>85</v>
      </c>
    </row>
    <row r="4614" customFormat="false" ht="14.25" hidden="false" customHeight="true" outlineLevel="0" collapsed="false">
      <c r="B4614" s="9" t="s">
        <v>16</v>
      </c>
      <c r="C4614" s="9" t="n">
        <v>1185732</v>
      </c>
      <c r="D4614" s="10" t="n">
        <v>44053</v>
      </c>
      <c r="E4614" s="9" t="s">
        <v>50</v>
      </c>
      <c r="F4614" s="9" t="s">
        <v>51</v>
      </c>
      <c r="G4614" s="9" t="s">
        <v>52</v>
      </c>
      <c r="H4614" s="11" t="s">
        <v>24</v>
      </c>
      <c r="I4614" s="12" t="n">
        <v>50</v>
      </c>
      <c r="J4614" s="13" t="n">
        <v>195</v>
      </c>
      <c r="K4614" s="14" t="n">
        <f aca="false">I4614*J4614</f>
        <v>9750</v>
      </c>
      <c r="L4614" s="14" t="n">
        <f aca="false">($L$2*M4614)/100</f>
        <v>600833.25</v>
      </c>
      <c r="M4614" s="15" t="n">
        <v>0.5</v>
      </c>
      <c r="N4614" s="9" t="s">
        <v>85</v>
      </c>
    </row>
    <row r="4615" customFormat="false" ht="14.25" hidden="false" customHeight="true" outlineLevel="0" collapsed="false">
      <c r="B4615" s="9" t="s">
        <v>16</v>
      </c>
      <c r="C4615" s="9" t="n">
        <v>1185732</v>
      </c>
      <c r="D4615" s="10" t="n">
        <v>44054</v>
      </c>
      <c r="E4615" s="9" t="s">
        <v>50</v>
      </c>
      <c r="F4615" s="9" t="s">
        <v>51</v>
      </c>
      <c r="G4615" s="9" t="s">
        <v>52</v>
      </c>
      <c r="H4615" s="11" t="s">
        <v>25</v>
      </c>
      <c r="I4615" s="12" t="n">
        <v>41</v>
      </c>
      <c r="J4615" s="13" t="n">
        <v>247</v>
      </c>
      <c r="K4615" s="14" t="n">
        <f aca="false">I4615*J4615</f>
        <v>10127</v>
      </c>
      <c r="L4615" s="14" t="n">
        <f aca="false">($L$2*M4615)/100</f>
        <v>745033.23</v>
      </c>
      <c r="M4615" s="15" t="n">
        <v>0.62</v>
      </c>
      <c r="N4615" s="9" t="s">
        <v>85</v>
      </c>
    </row>
    <row r="4616" customFormat="false" ht="14.25" hidden="false" customHeight="true" outlineLevel="0" collapsed="false">
      <c r="B4616" s="9" t="s">
        <v>16</v>
      </c>
      <c r="C4616" s="9" t="n">
        <v>1185732</v>
      </c>
      <c r="D4616" s="10" t="n">
        <v>44055</v>
      </c>
      <c r="E4616" s="9" t="s">
        <v>50</v>
      </c>
      <c r="F4616" s="9" t="s">
        <v>51</v>
      </c>
      <c r="G4616" s="9" t="s">
        <v>52</v>
      </c>
      <c r="H4616" s="11" t="s">
        <v>19</v>
      </c>
      <c r="I4616" s="12" t="n">
        <v>43</v>
      </c>
      <c r="J4616" s="13" t="n">
        <v>319</v>
      </c>
      <c r="K4616" s="14" t="n">
        <f aca="false">I4616*J4616</f>
        <v>13717</v>
      </c>
      <c r="L4616" s="14" t="n">
        <f aca="false">($L$2*M4616)/100</f>
        <v>684949.905</v>
      </c>
      <c r="M4616" s="15" t="n">
        <v>0.57</v>
      </c>
      <c r="N4616" s="9" t="s">
        <v>85</v>
      </c>
    </row>
    <row r="4617" customFormat="false" ht="14.25" hidden="false" customHeight="true" outlineLevel="0" collapsed="false">
      <c r="B4617" s="9" t="s">
        <v>16</v>
      </c>
      <c r="C4617" s="9" t="n">
        <v>1185732</v>
      </c>
      <c r="D4617" s="10" t="n">
        <v>44056</v>
      </c>
      <c r="E4617" s="9" t="s">
        <v>50</v>
      </c>
      <c r="F4617" s="9" t="s">
        <v>51</v>
      </c>
      <c r="G4617" s="9" t="s">
        <v>52</v>
      </c>
      <c r="H4617" s="11" t="s">
        <v>21</v>
      </c>
      <c r="I4617" s="12" t="n">
        <v>43</v>
      </c>
      <c r="J4617" s="13" t="n">
        <v>195</v>
      </c>
      <c r="K4617" s="14" t="n">
        <f aca="false">I4617*J4617</f>
        <v>8385</v>
      </c>
      <c r="L4617" s="14" t="n">
        <f aca="false">($L$2*M4617)/100</f>
        <v>588816.585</v>
      </c>
      <c r="M4617" s="15" t="n">
        <v>0.49</v>
      </c>
      <c r="N4617" s="9" t="s">
        <v>85</v>
      </c>
    </row>
    <row r="4618" customFormat="false" ht="14.25" hidden="false" customHeight="true" outlineLevel="0" collapsed="false">
      <c r="B4618" s="9" t="s">
        <v>16</v>
      </c>
      <c r="C4618" s="9" t="n">
        <v>1185732</v>
      </c>
      <c r="D4618" s="10" t="n">
        <v>44057</v>
      </c>
      <c r="E4618" s="9" t="s">
        <v>50</v>
      </c>
      <c r="F4618" s="9" t="s">
        <v>51</v>
      </c>
      <c r="G4618" s="9" t="s">
        <v>52</v>
      </c>
      <c r="H4618" s="11" t="s">
        <v>22</v>
      </c>
      <c r="I4618" s="12" t="n">
        <v>32</v>
      </c>
      <c r="J4618" s="13" t="n">
        <v>240</v>
      </c>
      <c r="K4618" s="14" t="n">
        <f aca="false">I4618*J4618</f>
        <v>7680</v>
      </c>
      <c r="L4618" s="14" t="n">
        <f aca="false">($L$2*M4618)/100</f>
        <v>456633.27</v>
      </c>
      <c r="M4618" s="15" t="n">
        <v>0.38</v>
      </c>
      <c r="N4618" s="9" t="s">
        <v>85</v>
      </c>
    </row>
    <row r="4619" customFormat="false" ht="14.25" hidden="false" customHeight="true" outlineLevel="0" collapsed="false">
      <c r="B4619" s="9" t="s">
        <v>32</v>
      </c>
      <c r="C4619" s="9" t="n">
        <v>1185732</v>
      </c>
      <c r="D4619" s="10" t="n">
        <v>44058</v>
      </c>
      <c r="E4619" s="9" t="s">
        <v>50</v>
      </c>
      <c r="F4619" s="9" t="s">
        <v>51</v>
      </c>
      <c r="G4619" s="9" t="s">
        <v>52</v>
      </c>
      <c r="H4619" s="11" t="s">
        <v>23</v>
      </c>
      <c r="I4619" s="12" t="n">
        <v>38</v>
      </c>
      <c r="J4619" s="13" t="n">
        <v>169</v>
      </c>
      <c r="K4619" s="14" t="n">
        <f aca="false">I4619*J4619</f>
        <v>6422</v>
      </c>
      <c r="L4619" s="14" t="n">
        <f aca="false">($L$2*M4619)/100</f>
        <v>528733.26</v>
      </c>
      <c r="M4619" s="15" t="n">
        <v>0.44</v>
      </c>
      <c r="N4619" s="9" t="s">
        <v>85</v>
      </c>
    </row>
    <row r="4620" customFormat="false" ht="14.25" hidden="false" customHeight="true" outlineLevel="0" collapsed="false">
      <c r="B4620" s="9" t="s">
        <v>16</v>
      </c>
      <c r="C4620" s="9" t="n">
        <v>1185732</v>
      </c>
      <c r="D4620" s="10" t="n">
        <v>44059</v>
      </c>
      <c r="E4620" s="9" t="s">
        <v>50</v>
      </c>
      <c r="F4620" s="9" t="s">
        <v>51</v>
      </c>
      <c r="G4620" s="9" t="s">
        <v>52</v>
      </c>
      <c r="H4620" s="11" t="s">
        <v>24</v>
      </c>
      <c r="I4620" s="12" t="n">
        <v>53</v>
      </c>
      <c r="J4620" s="13" t="n">
        <v>218</v>
      </c>
      <c r="K4620" s="14" t="n">
        <f aca="false">I4620*J4620</f>
        <v>11554</v>
      </c>
      <c r="L4620" s="14" t="n">
        <f aca="false">($L$2*M4620)/100</f>
        <v>576799.92</v>
      </c>
      <c r="M4620" s="15" t="n">
        <v>0.48</v>
      </c>
      <c r="N4620" s="9" t="s">
        <v>85</v>
      </c>
    </row>
    <row r="4621" customFormat="false" ht="14.25" hidden="false" customHeight="true" outlineLevel="0" collapsed="false">
      <c r="B4621" s="9" t="s">
        <v>16</v>
      </c>
      <c r="C4621" s="9" t="n">
        <v>1185732</v>
      </c>
      <c r="D4621" s="10" t="n">
        <v>44060</v>
      </c>
      <c r="E4621" s="9" t="s">
        <v>50</v>
      </c>
      <c r="F4621" s="9" t="s">
        <v>51</v>
      </c>
      <c r="G4621" s="9" t="s">
        <v>52</v>
      </c>
      <c r="H4621" s="11" t="s">
        <v>25</v>
      </c>
      <c r="I4621" s="12" t="n">
        <v>41</v>
      </c>
      <c r="J4621" s="13" t="n">
        <v>221</v>
      </c>
      <c r="K4621" s="14" t="n">
        <f aca="false">I4621*J4621</f>
        <v>9061</v>
      </c>
      <c r="L4621" s="14" t="n">
        <f aca="false">($L$2*M4621)/100</f>
        <v>781083.225</v>
      </c>
      <c r="M4621" s="15" t="n">
        <v>0.65</v>
      </c>
      <c r="N4621" s="9" t="s">
        <v>85</v>
      </c>
    </row>
    <row r="4622" customFormat="false" ht="14.25" hidden="false" customHeight="true" outlineLevel="0" collapsed="false">
      <c r="B4622" s="9" t="s">
        <v>16</v>
      </c>
      <c r="C4622" s="9" t="n">
        <v>1185732</v>
      </c>
      <c r="D4622" s="10" t="n">
        <v>44061</v>
      </c>
      <c r="E4622" s="9" t="s">
        <v>50</v>
      </c>
      <c r="F4622" s="9" t="s">
        <v>51</v>
      </c>
      <c r="G4622" s="9" t="s">
        <v>52</v>
      </c>
      <c r="H4622" s="11" t="s">
        <v>19</v>
      </c>
      <c r="I4622" s="12" t="n">
        <v>41</v>
      </c>
      <c r="J4622" s="13" t="n">
        <v>268</v>
      </c>
      <c r="K4622" s="14" t="n">
        <f aca="false">I4622*J4622</f>
        <v>10988</v>
      </c>
      <c r="L4622" s="14" t="n">
        <f aca="false">($L$2*M4622)/100</f>
        <v>720999.9</v>
      </c>
      <c r="M4622" s="15" t="n">
        <v>0.6</v>
      </c>
      <c r="N4622" s="9" t="s">
        <v>85</v>
      </c>
    </row>
    <row r="4623" customFormat="false" ht="14.25" hidden="false" customHeight="true" outlineLevel="0" collapsed="false">
      <c r="B4623" s="9" t="s">
        <v>16</v>
      </c>
      <c r="C4623" s="9" t="n">
        <v>1185732</v>
      </c>
      <c r="D4623" s="10" t="n">
        <v>44062</v>
      </c>
      <c r="E4623" s="9" t="s">
        <v>50</v>
      </c>
      <c r="F4623" s="9" t="s">
        <v>51</v>
      </c>
      <c r="G4623" s="9" t="s">
        <v>52</v>
      </c>
      <c r="H4623" s="11" t="s">
        <v>21</v>
      </c>
      <c r="I4623" s="12" t="n">
        <v>42</v>
      </c>
      <c r="J4623" s="13" t="n">
        <v>225</v>
      </c>
      <c r="K4623" s="14" t="n">
        <f aca="false">I4623*J4623</f>
        <v>9450</v>
      </c>
      <c r="L4623" s="14" t="n">
        <f aca="false">($L$2*M4623)/100</f>
        <v>576799.92</v>
      </c>
      <c r="M4623" s="15" t="n">
        <v>0.48</v>
      </c>
      <c r="N4623" s="9" t="s">
        <v>85</v>
      </c>
    </row>
    <row r="4624" customFormat="false" ht="14.25" hidden="false" customHeight="true" outlineLevel="0" collapsed="false">
      <c r="B4624" s="9" t="s">
        <v>16</v>
      </c>
      <c r="C4624" s="9" t="n">
        <v>1185732</v>
      </c>
      <c r="D4624" s="10" t="n">
        <v>44063</v>
      </c>
      <c r="E4624" s="9" t="s">
        <v>50</v>
      </c>
      <c r="F4624" s="9" t="s">
        <v>51</v>
      </c>
      <c r="G4624" s="9" t="s">
        <v>52</v>
      </c>
      <c r="H4624" s="11" t="s">
        <v>22</v>
      </c>
      <c r="I4624" s="12" t="n">
        <v>32</v>
      </c>
      <c r="J4624" s="13" t="n">
        <v>217</v>
      </c>
      <c r="K4624" s="14" t="n">
        <f aca="false">I4624*J4624</f>
        <v>6944</v>
      </c>
      <c r="L4624" s="14" t="n">
        <f aca="false">($L$2*M4624)/100</f>
        <v>420583.275</v>
      </c>
      <c r="M4624" s="15" t="n">
        <v>0.35</v>
      </c>
      <c r="N4624" s="9" t="s">
        <v>85</v>
      </c>
    </row>
    <row r="4625" customFormat="false" ht="14.25" hidden="false" customHeight="true" outlineLevel="0" collapsed="false">
      <c r="B4625" s="9" t="s">
        <v>16</v>
      </c>
      <c r="C4625" s="9" t="n">
        <v>1185732</v>
      </c>
      <c r="D4625" s="10" t="n">
        <v>44064</v>
      </c>
      <c r="E4625" s="9" t="s">
        <v>50</v>
      </c>
      <c r="F4625" s="9" t="s">
        <v>51</v>
      </c>
      <c r="G4625" s="9" t="s">
        <v>52</v>
      </c>
      <c r="H4625" s="11" t="s">
        <v>23</v>
      </c>
      <c r="I4625" s="12" t="n">
        <v>36</v>
      </c>
      <c r="J4625" s="13" t="n">
        <v>175</v>
      </c>
      <c r="K4625" s="14" t="n">
        <f aca="false">I4625*J4625</f>
        <v>6300</v>
      </c>
      <c r="L4625" s="14" t="n">
        <f aca="false">($L$2*M4625)/100</f>
        <v>480666.6</v>
      </c>
      <c r="M4625" s="15" t="n">
        <v>0.4</v>
      </c>
      <c r="N4625" s="9" t="s">
        <v>85</v>
      </c>
    </row>
    <row r="4626" customFormat="false" ht="14.25" hidden="false" customHeight="true" outlineLevel="0" collapsed="false">
      <c r="B4626" s="9" t="s">
        <v>16</v>
      </c>
      <c r="C4626" s="9" t="n">
        <v>1185732</v>
      </c>
      <c r="D4626" s="10" t="n">
        <v>44065</v>
      </c>
      <c r="E4626" s="9" t="s">
        <v>50</v>
      </c>
      <c r="F4626" s="9" t="s">
        <v>51</v>
      </c>
      <c r="G4626" s="9" t="s">
        <v>52</v>
      </c>
      <c r="H4626" s="11" t="s">
        <v>24</v>
      </c>
      <c r="I4626" s="12" t="n">
        <v>53</v>
      </c>
      <c r="J4626" s="13" t="n">
        <v>182</v>
      </c>
      <c r="K4626" s="14" t="n">
        <f aca="false">I4626*J4626</f>
        <v>9646</v>
      </c>
      <c r="L4626" s="14" t="n">
        <f aca="false">($L$2*M4626)/100</f>
        <v>552766.59</v>
      </c>
      <c r="M4626" s="15" t="n">
        <v>0.46</v>
      </c>
      <c r="N4626" s="9" t="s">
        <v>85</v>
      </c>
    </row>
    <row r="4627" customFormat="false" ht="14.25" hidden="false" customHeight="true" outlineLevel="0" collapsed="false">
      <c r="B4627" s="9" t="s">
        <v>16</v>
      </c>
      <c r="C4627" s="9" t="n">
        <v>1185732</v>
      </c>
      <c r="D4627" s="10" t="n">
        <v>44066</v>
      </c>
      <c r="E4627" s="9" t="s">
        <v>50</v>
      </c>
      <c r="F4627" s="9" t="s">
        <v>51</v>
      </c>
      <c r="G4627" s="9" t="s">
        <v>52</v>
      </c>
      <c r="H4627" s="11" t="s">
        <v>25</v>
      </c>
      <c r="I4627" s="12" t="n">
        <v>42</v>
      </c>
      <c r="J4627" s="13" t="n">
        <v>225</v>
      </c>
      <c r="K4627" s="14" t="n">
        <f aca="false">I4627*J4627</f>
        <v>9450</v>
      </c>
      <c r="L4627" s="14" t="n">
        <f aca="false">($L$2*M4627)/100</f>
        <v>769066.56</v>
      </c>
      <c r="M4627" s="15" t="n">
        <v>0.64</v>
      </c>
      <c r="N4627" s="9" t="s">
        <v>85</v>
      </c>
    </row>
    <row r="4628" customFormat="false" ht="14.25" hidden="false" customHeight="true" outlineLevel="0" collapsed="false">
      <c r="B4628" s="9" t="s">
        <v>16</v>
      </c>
      <c r="C4628" s="9" t="n">
        <v>1185732</v>
      </c>
      <c r="D4628" s="10" t="n">
        <v>43945</v>
      </c>
      <c r="E4628" s="9" t="s">
        <v>50</v>
      </c>
      <c r="F4628" s="9" t="s">
        <v>51</v>
      </c>
      <c r="G4628" s="9" t="s">
        <v>52</v>
      </c>
      <c r="H4628" s="11" t="s">
        <v>19</v>
      </c>
      <c r="I4628" s="12" t="n">
        <v>42</v>
      </c>
      <c r="J4628" s="13" t="n">
        <v>256</v>
      </c>
      <c r="K4628" s="14" t="n">
        <f aca="false">I4628*J4628</f>
        <v>10752</v>
      </c>
      <c r="L4628" s="14" t="n">
        <f aca="false">($L$2*M4628)/100</f>
        <v>696966.57</v>
      </c>
      <c r="M4628" s="15" t="n">
        <v>0.58</v>
      </c>
      <c r="N4628" s="9" t="s">
        <v>85</v>
      </c>
    </row>
    <row r="4629" customFormat="false" ht="14.25" hidden="false" customHeight="true" outlineLevel="0" collapsed="false">
      <c r="B4629" s="9" t="s">
        <v>16</v>
      </c>
      <c r="C4629" s="9" t="n">
        <v>1185732</v>
      </c>
      <c r="D4629" s="10" t="n">
        <v>43945</v>
      </c>
      <c r="E4629" s="9" t="s">
        <v>50</v>
      </c>
      <c r="F4629" s="9" t="s">
        <v>51</v>
      </c>
      <c r="G4629" s="9" t="s">
        <v>52</v>
      </c>
      <c r="H4629" s="11" t="s">
        <v>21</v>
      </c>
      <c r="I4629" s="12" t="n">
        <v>41</v>
      </c>
      <c r="J4629" s="13" t="n">
        <v>210</v>
      </c>
      <c r="K4629" s="14" t="n">
        <f aca="false">I4629*J4629</f>
        <v>8610</v>
      </c>
      <c r="L4629" s="14" t="n">
        <f aca="false">($L$2*M4629)/100</f>
        <v>600833.25</v>
      </c>
      <c r="M4629" s="15" t="n">
        <v>0.5</v>
      </c>
      <c r="N4629" s="9" t="s">
        <v>85</v>
      </c>
    </row>
    <row r="4630" customFormat="false" ht="14.25" hidden="false" customHeight="true" outlineLevel="0" collapsed="false">
      <c r="B4630" s="9" t="s">
        <v>32</v>
      </c>
      <c r="C4630" s="9" t="n">
        <v>1185732</v>
      </c>
      <c r="D4630" s="10" t="n">
        <v>43945</v>
      </c>
      <c r="E4630" s="9" t="s">
        <v>50</v>
      </c>
      <c r="F4630" s="9" t="s">
        <v>51</v>
      </c>
      <c r="G4630" s="9" t="s">
        <v>52</v>
      </c>
      <c r="H4630" s="11" t="s">
        <v>22</v>
      </c>
      <c r="I4630" s="12" t="n">
        <v>32</v>
      </c>
      <c r="J4630" s="13" t="n">
        <v>203</v>
      </c>
      <c r="K4630" s="14" t="n">
        <f aca="false">I4630*J4630</f>
        <v>6496</v>
      </c>
      <c r="L4630" s="14" t="n">
        <f aca="false">($L$2*M4630)/100</f>
        <v>480666.6</v>
      </c>
      <c r="M4630" s="15" t="n">
        <v>0.4</v>
      </c>
      <c r="N4630" s="9" t="s">
        <v>85</v>
      </c>
    </row>
    <row r="4631" customFormat="false" ht="14.25" hidden="false" customHeight="true" outlineLevel="0" collapsed="false">
      <c r="B4631" s="9" t="s">
        <v>32</v>
      </c>
      <c r="C4631" s="9" t="n">
        <v>1185732</v>
      </c>
      <c r="D4631" s="10" t="n">
        <v>43945</v>
      </c>
      <c r="E4631" s="9" t="s">
        <v>50</v>
      </c>
      <c r="F4631" s="9" t="s">
        <v>51</v>
      </c>
      <c r="G4631" s="9" t="s">
        <v>52</v>
      </c>
      <c r="H4631" s="11" t="s">
        <v>23</v>
      </c>
      <c r="I4631" s="12" t="n">
        <v>38</v>
      </c>
      <c r="J4631" s="13" t="n">
        <v>189</v>
      </c>
      <c r="K4631" s="14" t="n">
        <f aca="false">I4631*J4631</f>
        <v>7182</v>
      </c>
      <c r="L4631" s="14" t="n">
        <f aca="false">($L$2*M4631)/100</f>
        <v>540749.925</v>
      </c>
      <c r="M4631" s="15" t="n">
        <v>0.45</v>
      </c>
      <c r="N4631" s="9" t="s">
        <v>85</v>
      </c>
    </row>
    <row r="4632" customFormat="false" ht="14.25" hidden="false" customHeight="true" outlineLevel="0" collapsed="false">
      <c r="B4632" s="9" t="s">
        <v>32</v>
      </c>
      <c r="C4632" s="9" t="n">
        <v>1185732</v>
      </c>
      <c r="D4632" s="10" t="n">
        <v>43945</v>
      </c>
      <c r="E4632" s="9" t="s">
        <v>50</v>
      </c>
      <c r="F4632" s="9" t="s">
        <v>51</v>
      </c>
      <c r="G4632" s="9" t="s">
        <v>52</v>
      </c>
      <c r="H4632" s="11" t="s">
        <v>24</v>
      </c>
      <c r="I4632" s="12" t="n">
        <v>52</v>
      </c>
      <c r="J4632" s="13" t="n">
        <v>196</v>
      </c>
      <c r="K4632" s="14" t="n">
        <f aca="false">I4632*J4632</f>
        <v>10192</v>
      </c>
      <c r="L4632" s="14" t="n">
        <f aca="false">($L$2*M4632)/100</f>
        <v>540749.925</v>
      </c>
      <c r="M4632" s="15" t="n">
        <v>0.45</v>
      </c>
      <c r="N4632" s="9" t="s">
        <v>85</v>
      </c>
    </row>
    <row r="4633" customFormat="false" ht="14.25" hidden="false" customHeight="true" outlineLevel="0" collapsed="false">
      <c r="B4633" s="9" t="s">
        <v>32</v>
      </c>
      <c r="C4633" s="9" t="n">
        <v>1185732</v>
      </c>
      <c r="D4633" s="10" t="n">
        <v>43945</v>
      </c>
      <c r="E4633" s="9" t="s">
        <v>50</v>
      </c>
      <c r="F4633" s="9" t="s">
        <v>51</v>
      </c>
      <c r="G4633" s="9" t="s">
        <v>52</v>
      </c>
      <c r="H4633" s="11" t="s">
        <v>25</v>
      </c>
      <c r="I4633" s="12" t="n">
        <v>44</v>
      </c>
      <c r="J4633" s="13" t="n">
        <v>208</v>
      </c>
      <c r="K4633" s="14" t="n">
        <f aca="false">I4633*J4633</f>
        <v>9152</v>
      </c>
      <c r="L4633" s="14" t="n">
        <f aca="false">($L$2*M4633)/100</f>
        <v>720999.9</v>
      </c>
      <c r="M4633" s="15" t="n">
        <v>0.6</v>
      </c>
      <c r="N4633" s="9" t="s">
        <v>85</v>
      </c>
    </row>
    <row r="4634" customFormat="false" ht="14.25" hidden="false" customHeight="true" outlineLevel="0" collapsed="false">
      <c r="B4634" s="9" t="s">
        <v>32</v>
      </c>
      <c r="C4634" s="9" t="n">
        <v>1185732</v>
      </c>
      <c r="D4634" s="10" t="n">
        <v>43945</v>
      </c>
      <c r="E4634" s="9" t="s">
        <v>50</v>
      </c>
      <c r="F4634" s="9" t="s">
        <v>51</v>
      </c>
      <c r="G4634" s="9" t="s">
        <v>52</v>
      </c>
      <c r="H4634" s="11" t="s">
        <v>19</v>
      </c>
      <c r="I4634" s="12" t="n">
        <v>52</v>
      </c>
      <c r="J4634" s="13" t="n">
        <v>300</v>
      </c>
      <c r="K4634" s="14" t="n">
        <f aca="false">I4634*J4634</f>
        <v>15600</v>
      </c>
      <c r="L4634" s="14" t="n">
        <f aca="false">($L$2*M4634)/100</f>
        <v>672933.24</v>
      </c>
      <c r="M4634" s="15" t="n">
        <v>0.56</v>
      </c>
      <c r="N4634" s="9" t="s">
        <v>85</v>
      </c>
    </row>
    <row r="4635" customFormat="false" ht="14.25" hidden="false" customHeight="true" outlineLevel="0" collapsed="false">
      <c r="B4635" s="9" t="s">
        <v>32</v>
      </c>
      <c r="C4635" s="9" t="n">
        <v>1185732</v>
      </c>
      <c r="D4635" s="10" t="n">
        <v>43945</v>
      </c>
      <c r="E4635" s="9" t="s">
        <v>50</v>
      </c>
      <c r="F4635" s="9" t="s">
        <v>51</v>
      </c>
      <c r="G4635" s="9" t="s">
        <v>52</v>
      </c>
      <c r="H4635" s="11" t="s">
        <v>21</v>
      </c>
      <c r="I4635" s="12" t="n">
        <v>54</v>
      </c>
      <c r="J4635" s="13" t="n">
        <v>194</v>
      </c>
      <c r="K4635" s="14" t="n">
        <f aca="false">I4635*J4635</f>
        <v>10476</v>
      </c>
      <c r="L4635" s="14" t="n">
        <f aca="false">($L$2*M4635)/100</f>
        <v>600833.25</v>
      </c>
      <c r="M4635" s="15" t="n">
        <v>0.5</v>
      </c>
      <c r="N4635" s="9" t="s">
        <v>85</v>
      </c>
    </row>
    <row r="4636" customFormat="false" ht="14.25" hidden="false" customHeight="true" outlineLevel="0" collapsed="false">
      <c r="B4636" s="9" t="s">
        <v>32</v>
      </c>
      <c r="C4636" s="9" t="n">
        <v>1185732</v>
      </c>
      <c r="D4636" s="10" t="n">
        <v>43945</v>
      </c>
      <c r="E4636" s="9" t="s">
        <v>50</v>
      </c>
      <c r="F4636" s="9" t="s">
        <v>51</v>
      </c>
      <c r="G4636" s="9" t="s">
        <v>52</v>
      </c>
      <c r="H4636" s="11" t="s">
        <v>22</v>
      </c>
      <c r="I4636" s="12" t="n">
        <v>47</v>
      </c>
      <c r="J4636" s="13" t="n">
        <v>188</v>
      </c>
      <c r="K4636" s="14" t="n">
        <f aca="false">I4636*J4636</f>
        <v>8836</v>
      </c>
      <c r="L4636" s="14" t="n">
        <f aca="false">($L$2*M4636)/100</f>
        <v>444616.605</v>
      </c>
      <c r="M4636" s="15" t="n">
        <v>0.37</v>
      </c>
      <c r="N4636" s="9" t="s">
        <v>85</v>
      </c>
    </row>
    <row r="4637" customFormat="false" ht="14.25" hidden="false" customHeight="true" outlineLevel="0" collapsed="false">
      <c r="B4637" s="9" t="s">
        <v>32</v>
      </c>
      <c r="C4637" s="9" t="n">
        <v>1185732</v>
      </c>
      <c r="D4637" s="10" t="n">
        <v>43945</v>
      </c>
      <c r="E4637" s="9" t="s">
        <v>50</v>
      </c>
      <c r="F4637" s="9" t="s">
        <v>51</v>
      </c>
      <c r="G4637" s="9" t="s">
        <v>52</v>
      </c>
      <c r="H4637" s="11" t="s">
        <v>23</v>
      </c>
      <c r="I4637" s="12" t="n">
        <v>49</v>
      </c>
      <c r="J4637" s="13" t="n">
        <v>175</v>
      </c>
      <c r="K4637" s="14" t="n">
        <f aca="false">I4637*J4637</f>
        <v>8575</v>
      </c>
      <c r="L4637" s="14" t="n">
        <f aca="false">($L$2*M4637)/100</f>
        <v>516716.595</v>
      </c>
      <c r="M4637" s="15" t="n">
        <v>0.43</v>
      </c>
      <c r="N4637" s="9" t="s">
        <v>85</v>
      </c>
    </row>
    <row r="4638" customFormat="false" ht="14.25" hidden="false" customHeight="true" outlineLevel="0" collapsed="false">
      <c r="B4638" s="9" t="s">
        <v>32</v>
      </c>
      <c r="C4638" s="9" t="n">
        <v>1185732</v>
      </c>
      <c r="D4638" s="10" t="n">
        <v>43945</v>
      </c>
      <c r="E4638" s="9" t="s">
        <v>50</v>
      </c>
      <c r="F4638" s="9" t="s">
        <v>51</v>
      </c>
      <c r="G4638" s="9" t="s">
        <v>52</v>
      </c>
      <c r="H4638" s="11" t="s">
        <v>24</v>
      </c>
      <c r="I4638" s="12" t="n">
        <v>58</v>
      </c>
      <c r="J4638" s="13" t="n">
        <v>196</v>
      </c>
      <c r="K4638" s="14" t="n">
        <f aca="false">I4638*J4638</f>
        <v>11368</v>
      </c>
      <c r="L4638" s="14" t="n">
        <f aca="false">($L$2*M4638)/100</f>
        <v>564783.255</v>
      </c>
      <c r="M4638" s="15" t="n">
        <v>0.47</v>
      </c>
      <c r="N4638" s="9" t="s">
        <v>85</v>
      </c>
    </row>
    <row r="4639" customFormat="false" ht="14.25" hidden="false" customHeight="true" outlineLevel="0" collapsed="false">
      <c r="B4639" s="9" t="s">
        <v>32</v>
      </c>
      <c r="C4639" s="9" t="n">
        <v>1185732</v>
      </c>
      <c r="D4639" s="10" t="n">
        <v>43945</v>
      </c>
      <c r="E4639" s="9" t="s">
        <v>50</v>
      </c>
      <c r="F4639" s="9" t="s">
        <v>51</v>
      </c>
      <c r="G4639" s="9" t="s">
        <v>52</v>
      </c>
      <c r="H4639" s="11" t="s">
        <v>25</v>
      </c>
      <c r="I4639" s="12" t="n">
        <v>64</v>
      </c>
      <c r="J4639" s="13" t="n">
        <v>248</v>
      </c>
      <c r="K4639" s="14" t="n">
        <f aca="false">I4639*J4639</f>
        <v>15872</v>
      </c>
      <c r="L4639" s="14" t="n">
        <f aca="false">($L$2*M4639)/100</f>
        <v>769066.56</v>
      </c>
      <c r="M4639" s="15" t="n">
        <v>0.64</v>
      </c>
      <c r="N4639" s="9" t="s">
        <v>85</v>
      </c>
    </row>
    <row r="4640" customFormat="false" ht="14.25" hidden="false" customHeight="true" outlineLevel="0" collapsed="false">
      <c r="B4640" s="9" t="s">
        <v>32</v>
      </c>
      <c r="C4640" s="9" t="n">
        <v>1185732</v>
      </c>
      <c r="D4640" s="10" t="n">
        <v>43945</v>
      </c>
      <c r="E4640" s="9" t="s">
        <v>50</v>
      </c>
      <c r="F4640" s="9" t="s">
        <v>51</v>
      </c>
      <c r="G4640" s="9" t="s">
        <v>52</v>
      </c>
      <c r="H4640" s="11" t="s">
        <v>19</v>
      </c>
      <c r="I4640" s="12" t="n">
        <v>55</v>
      </c>
      <c r="J4640" s="13" t="n">
        <v>290</v>
      </c>
      <c r="K4640" s="14" t="n">
        <f aca="false">I4640*J4640</f>
        <v>15950</v>
      </c>
      <c r="L4640" s="14" t="n">
        <f aca="false">($L$2*M4640)/100</f>
        <v>708983.235</v>
      </c>
      <c r="M4640" s="15" t="n">
        <v>0.59</v>
      </c>
      <c r="N4640" s="9" t="s">
        <v>85</v>
      </c>
    </row>
    <row r="4641" customFormat="false" ht="14.25" hidden="false" customHeight="true" outlineLevel="0" collapsed="false">
      <c r="B4641" s="9" t="s">
        <v>32</v>
      </c>
      <c r="C4641" s="9" t="n">
        <v>1185732</v>
      </c>
      <c r="D4641" s="10" t="n">
        <v>43945</v>
      </c>
      <c r="E4641" s="9" t="s">
        <v>50</v>
      </c>
      <c r="F4641" s="9" t="s">
        <v>51</v>
      </c>
      <c r="G4641" s="9" t="s">
        <v>52</v>
      </c>
      <c r="H4641" s="11" t="s">
        <v>21</v>
      </c>
      <c r="I4641" s="12" t="n">
        <v>54</v>
      </c>
      <c r="J4641" s="13" t="n">
        <v>206</v>
      </c>
      <c r="K4641" s="14" t="n">
        <f aca="false">I4641*J4641</f>
        <v>11124</v>
      </c>
      <c r="L4641" s="14" t="n">
        <f aca="false">($L$2*M4641)/100</f>
        <v>588816.585</v>
      </c>
      <c r="M4641" s="15" t="n">
        <v>0.49</v>
      </c>
      <c r="N4641" s="9" t="s">
        <v>85</v>
      </c>
    </row>
    <row r="4642" customFormat="false" ht="14.25" hidden="false" customHeight="true" outlineLevel="0" collapsed="false">
      <c r="B4642" s="9" t="s">
        <v>32</v>
      </c>
      <c r="C4642" s="9" t="n">
        <v>1185732</v>
      </c>
      <c r="D4642" s="10" t="n">
        <v>44081</v>
      </c>
      <c r="E4642" s="9" t="s">
        <v>50</v>
      </c>
      <c r="F4642" s="9" t="s">
        <v>51</v>
      </c>
      <c r="G4642" s="9" t="s">
        <v>52</v>
      </c>
      <c r="H4642" s="11" t="s">
        <v>22</v>
      </c>
      <c r="I4642" s="12" t="n">
        <v>49</v>
      </c>
      <c r="J4642" s="13" t="n">
        <v>208</v>
      </c>
      <c r="K4642" s="14" t="n">
        <f aca="false">I4642*J4642</f>
        <v>10192</v>
      </c>
      <c r="L4642" s="14" t="n">
        <f aca="false">($L$2*M4642)/100</f>
        <v>420583.275</v>
      </c>
      <c r="M4642" s="15" t="n">
        <v>0.35</v>
      </c>
      <c r="N4642" s="9" t="s">
        <v>85</v>
      </c>
    </row>
    <row r="4643" customFormat="false" ht="14.25" hidden="false" customHeight="true" outlineLevel="0" collapsed="false">
      <c r="B4643" s="9" t="s">
        <v>32</v>
      </c>
      <c r="C4643" s="9" t="n">
        <v>1185732</v>
      </c>
      <c r="D4643" s="10" t="n">
        <v>44082</v>
      </c>
      <c r="E4643" s="9" t="s">
        <v>50</v>
      </c>
      <c r="F4643" s="9" t="s">
        <v>51</v>
      </c>
      <c r="G4643" s="9" t="s">
        <v>52</v>
      </c>
      <c r="H4643" s="11" t="s">
        <v>23</v>
      </c>
      <c r="I4643" s="12" t="n">
        <v>47</v>
      </c>
      <c r="J4643" s="13" t="n">
        <v>217</v>
      </c>
      <c r="K4643" s="14" t="n">
        <f aca="false">I4643*J4643</f>
        <v>10199</v>
      </c>
      <c r="L4643" s="14" t="n">
        <f aca="false">($L$2*M4643)/100</f>
        <v>480666.6</v>
      </c>
      <c r="M4643" s="15" t="n">
        <v>0.4</v>
      </c>
      <c r="N4643" s="9" t="s">
        <v>85</v>
      </c>
    </row>
    <row r="4644" customFormat="false" ht="14.25" hidden="false" customHeight="true" outlineLevel="0" collapsed="false">
      <c r="B4644" s="9" t="s">
        <v>32</v>
      </c>
      <c r="C4644" s="9" t="n">
        <v>1185732</v>
      </c>
      <c r="D4644" s="10" t="n">
        <v>44083</v>
      </c>
      <c r="E4644" s="9" t="s">
        <v>50</v>
      </c>
      <c r="F4644" s="9" t="s">
        <v>51</v>
      </c>
      <c r="G4644" s="9" t="s">
        <v>52</v>
      </c>
      <c r="H4644" s="11" t="s">
        <v>24</v>
      </c>
      <c r="I4644" s="12" t="n">
        <v>62</v>
      </c>
      <c r="J4644" s="13" t="n">
        <v>233</v>
      </c>
      <c r="K4644" s="14" t="n">
        <f aca="false">I4644*J4644</f>
        <v>14446</v>
      </c>
      <c r="L4644" s="14" t="n">
        <f aca="false">($L$2*M4644)/100</f>
        <v>588816.585</v>
      </c>
      <c r="M4644" s="15" t="n">
        <v>0.49</v>
      </c>
      <c r="N4644" s="9" t="s">
        <v>85</v>
      </c>
    </row>
    <row r="4645" customFormat="false" ht="14.25" hidden="false" customHeight="true" outlineLevel="0" collapsed="false">
      <c r="B4645" s="9" t="s">
        <v>32</v>
      </c>
      <c r="C4645" s="9" t="n">
        <v>1185732</v>
      </c>
      <c r="D4645" s="10" t="n">
        <v>44084</v>
      </c>
      <c r="E4645" s="9" t="s">
        <v>50</v>
      </c>
      <c r="F4645" s="9" t="s">
        <v>51</v>
      </c>
      <c r="G4645" s="9" t="s">
        <v>52</v>
      </c>
      <c r="H4645" s="11" t="s">
        <v>25</v>
      </c>
      <c r="I4645" s="12" t="n">
        <v>63</v>
      </c>
      <c r="J4645" s="13" t="n">
        <v>259</v>
      </c>
      <c r="K4645" s="14" t="n">
        <f aca="false">I4645*J4645</f>
        <v>16317</v>
      </c>
      <c r="L4645" s="14" t="n">
        <f aca="false">($L$2*M4645)/100</f>
        <v>781083.225</v>
      </c>
      <c r="M4645" s="15" t="n">
        <v>0.65</v>
      </c>
      <c r="N4645" s="9" t="s">
        <v>85</v>
      </c>
    </row>
    <row r="4646" customFormat="false" ht="14.25" hidden="false" customHeight="true" outlineLevel="0" collapsed="false">
      <c r="B4646" s="9" t="s">
        <v>32</v>
      </c>
      <c r="C4646" s="9" t="n">
        <v>1185732</v>
      </c>
      <c r="D4646" s="10" t="n">
        <v>44085</v>
      </c>
      <c r="E4646" s="9" t="s">
        <v>50</v>
      </c>
      <c r="F4646" s="9" t="s">
        <v>51</v>
      </c>
      <c r="G4646" s="9" t="s">
        <v>52</v>
      </c>
      <c r="H4646" s="11" t="s">
        <v>19</v>
      </c>
      <c r="I4646" s="12" t="n">
        <v>60</v>
      </c>
      <c r="J4646" s="13" t="n">
        <v>299</v>
      </c>
      <c r="K4646" s="14" t="n">
        <f aca="false">I4646*J4646</f>
        <v>17940</v>
      </c>
      <c r="L4646" s="14" t="n">
        <f aca="false">($L$2*M4646)/100</f>
        <v>720999.9</v>
      </c>
      <c r="M4646" s="15" t="n">
        <v>0.6</v>
      </c>
      <c r="N4646" s="9" t="s">
        <v>85</v>
      </c>
    </row>
    <row r="4647" customFormat="false" ht="14.25" hidden="false" customHeight="true" outlineLevel="0" collapsed="false">
      <c r="B4647" s="9" t="s">
        <v>32</v>
      </c>
      <c r="C4647" s="9" t="n">
        <v>1185732</v>
      </c>
      <c r="D4647" s="10" t="n">
        <v>44086</v>
      </c>
      <c r="E4647" s="9" t="s">
        <v>50</v>
      </c>
      <c r="F4647" s="9" t="s">
        <v>51</v>
      </c>
      <c r="G4647" s="9" t="s">
        <v>52</v>
      </c>
      <c r="H4647" s="11" t="s">
        <v>21</v>
      </c>
      <c r="I4647" s="12" t="n">
        <v>57</v>
      </c>
      <c r="J4647" s="13" t="n">
        <v>225</v>
      </c>
      <c r="K4647" s="14" t="n">
        <f aca="false">I4647*J4647</f>
        <v>12825</v>
      </c>
      <c r="L4647" s="14" t="n">
        <f aca="false">($L$2*M4647)/100</f>
        <v>552766.59</v>
      </c>
      <c r="M4647" s="15" t="n">
        <v>0.46</v>
      </c>
      <c r="N4647" s="9" t="s">
        <v>85</v>
      </c>
    </row>
    <row r="4648" customFormat="false" ht="14.25" hidden="false" customHeight="true" outlineLevel="0" collapsed="false">
      <c r="B4648" s="9" t="s">
        <v>32</v>
      </c>
      <c r="C4648" s="9" t="n">
        <v>1185732</v>
      </c>
      <c r="D4648" s="10" t="n">
        <v>44087</v>
      </c>
      <c r="E4648" s="9" t="s">
        <v>50</v>
      </c>
      <c r="F4648" s="9" t="s">
        <v>51</v>
      </c>
      <c r="G4648" s="9" t="s">
        <v>52</v>
      </c>
      <c r="H4648" s="11" t="s">
        <v>22</v>
      </c>
      <c r="I4648" s="12" t="n">
        <v>50</v>
      </c>
      <c r="J4648" s="13" t="n">
        <v>215</v>
      </c>
      <c r="K4648" s="14" t="n">
        <f aca="false">I4648*J4648</f>
        <v>10750</v>
      </c>
      <c r="L4648" s="14" t="n">
        <f aca="false">($L$2*M4648)/100</f>
        <v>444616.605</v>
      </c>
      <c r="M4648" s="15" t="n">
        <v>0.37</v>
      </c>
      <c r="N4648" s="9" t="s">
        <v>85</v>
      </c>
    </row>
    <row r="4649" customFormat="false" ht="14.25" hidden="false" customHeight="true" outlineLevel="0" collapsed="false">
      <c r="B4649" s="9" t="s">
        <v>32</v>
      </c>
      <c r="C4649" s="9" t="n">
        <v>1185732</v>
      </c>
      <c r="D4649" s="10" t="n">
        <v>44088</v>
      </c>
      <c r="E4649" s="9" t="s">
        <v>50</v>
      </c>
      <c r="F4649" s="9" t="s">
        <v>51</v>
      </c>
      <c r="G4649" s="9" t="s">
        <v>52</v>
      </c>
      <c r="H4649" s="11" t="s">
        <v>23</v>
      </c>
      <c r="I4649" s="12" t="n">
        <v>53</v>
      </c>
      <c r="J4649" s="13" t="n">
        <v>233</v>
      </c>
      <c r="K4649" s="14" t="n">
        <f aca="false">I4649*J4649</f>
        <v>12349</v>
      </c>
      <c r="L4649" s="14" t="n">
        <f aca="false">($L$2*M4649)/100</f>
        <v>516716.595</v>
      </c>
      <c r="M4649" s="15" t="n">
        <v>0.43</v>
      </c>
      <c r="N4649" s="9" t="s">
        <v>85</v>
      </c>
    </row>
    <row r="4650" customFormat="false" ht="14.25" hidden="false" customHeight="true" outlineLevel="0" collapsed="false">
      <c r="B4650" s="9" t="s">
        <v>32</v>
      </c>
      <c r="C4650" s="9" t="n">
        <v>1185732</v>
      </c>
      <c r="D4650" s="10" t="n">
        <v>44089</v>
      </c>
      <c r="E4650" s="9" t="s">
        <v>50</v>
      </c>
      <c r="F4650" s="9" t="s">
        <v>51</v>
      </c>
      <c r="G4650" s="9" t="s">
        <v>52</v>
      </c>
      <c r="H4650" s="11" t="s">
        <v>24</v>
      </c>
      <c r="I4650" s="12" t="n">
        <v>61</v>
      </c>
      <c r="J4650" s="13" t="n">
        <v>208</v>
      </c>
      <c r="K4650" s="14" t="n">
        <f aca="false">I4650*J4650</f>
        <v>12688</v>
      </c>
      <c r="L4650" s="14" t="n">
        <f aca="false">($L$2*M4650)/100</f>
        <v>588816.585</v>
      </c>
      <c r="M4650" s="15" t="n">
        <v>0.49</v>
      </c>
      <c r="N4650" s="9" t="s">
        <v>85</v>
      </c>
    </row>
    <row r="4651" customFormat="false" ht="14.25" hidden="false" customHeight="true" outlineLevel="0" collapsed="false">
      <c r="B4651" s="9" t="s">
        <v>32</v>
      </c>
      <c r="C4651" s="9" t="n">
        <v>1185732</v>
      </c>
      <c r="D4651" s="10" t="n">
        <v>44090</v>
      </c>
      <c r="E4651" s="9" t="s">
        <v>50</v>
      </c>
      <c r="F4651" s="9" t="s">
        <v>51</v>
      </c>
      <c r="G4651" s="9" t="s">
        <v>52</v>
      </c>
      <c r="H4651" s="11" t="s">
        <v>25</v>
      </c>
      <c r="I4651" s="12" t="n">
        <v>67</v>
      </c>
      <c r="J4651" s="13" t="n">
        <v>244</v>
      </c>
      <c r="K4651" s="14" t="n">
        <f aca="false">I4651*J4651</f>
        <v>16348</v>
      </c>
      <c r="L4651" s="14" t="n">
        <f aca="false">($L$2*M4651)/100</f>
        <v>781083.225</v>
      </c>
      <c r="M4651" s="15" t="n">
        <v>0.65</v>
      </c>
      <c r="N4651" s="9" t="s">
        <v>85</v>
      </c>
    </row>
    <row r="4652" customFormat="false" ht="14.25" hidden="false" customHeight="true" outlineLevel="0" collapsed="false">
      <c r="B4652" s="9" t="s">
        <v>32</v>
      </c>
      <c r="C4652" s="9" t="n">
        <v>1185732</v>
      </c>
      <c r="D4652" s="10" t="n">
        <v>44091</v>
      </c>
      <c r="E4652" s="9" t="s">
        <v>50</v>
      </c>
      <c r="F4652" s="9" t="s">
        <v>51</v>
      </c>
      <c r="G4652" s="9" t="s">
        <v>52</v>
      </c>
      <c r="H4652" s="11" t="s">
        <v>19</v>
      </c>
      <c r="I4652" s="12" t="n">
        <v>60</v>
      </c>
      <c r="J4652" s="13" t="n">
        <v>304</v>
      </c>
      <c r="K4652" s="14" t="n">
        <f aca="false">I4652*J4652</f>
        <v>18240</v>
      </c>
      <c r="L4652" s="14" t="n">
        <f aca="false">($L$2*M4652)/100</f>
        <v>684949.905</v>
      </c>
      <c r="M4652" s="15" t="n">
        <v>0.57</v>
      </c>
      <c r="N4652" s="9" t="s">
        <v>85</v>
      </c>
    </row>
    <row r="4653" customFormat="false" ht="14.25" hidden="false" customHeight="true" outlineLevel="0" collapsed="false">
      <c r="B4653" s="9" t="s">
        <v>32</v>
      </c>
      <c r="C4653" s="9" t="n">
        <v>1185732</v>
      </c>
      <c r="D4653" s="10" t="n">
        <v>44092</v>
      </c>
      <c r="E4653" s="9" t="s">
        <v>50</v>
      </c>
      <c r="F4653" s="9" t="s">
        <v>51</v>
      </c>
      <c r="G4653" s="9" t="s">
        <v>52</v>
      </c>
      <c r="H4653" s="11" t="s">
        <v>21</v>
      </c>
      <c r="I4653" s="12" t="n">
        <v>55</v>
      </c>
      <c r="J4653" s="13" t="n">
        <v>252</v>
      </c>
      <c r="K4653" s="14" t="n">
        <f aca="false">I4653*J4653</f>
        <v>13860</v>
      </c>
      <c r="L4653" s="14" t="n">
        <f aca="false">($L$2*M4653)/100</f>
        <v>540749.925</v>
      </c>
      <c r="M4653" s="15" t="n">
        <v>0.45</v>
      </c>
      <c r="N4653" s="9" t="s">
        <v>85</v>
      </c>
    </row>
    <row r="4654" customFormat="false" ht="14.25" hidden="false" customHeight="true" outlineLevel="0" collapsed="false">
      <c r="B4654" s="9" t="s">
        <v>32</v>
      </c>
      <c r="C4654" s="9" t="n">
        <v>1185732</v>
      </c>
      <c r="D4654" s="10" t="n">
        <v>44093</v>
      </c>
      <c r="E4654" s="9" t="s">
        <v>50</v>
      </c>
      <c r="F4654" s="9" t="s">
        <v>51</v>
      </c>
      <c r="G4654" s="9" t="s">
        <v>52</v>
      </c>
      <c r="H4654" s="11" t="s">
        <v>22</v>
      </c>
      <c r="I4654" s="12" t="n">
        <v>53</v>
      </c>
      <c r="J4654" s="13" t="n">
        <v>231</v>
      </c>
      <c r="K4654" s="14" t="n">
        <f aca="false">I4654*J4654</f>
        <v>12243</v>
      </c>
      <c r="L4654" s="14" t="n">
        <f aca="false">($L$2*M4654)/100</f>
        <v>444616.605</v>
      </c>
      <c r="M4654" s="15" t="n">
        <v>0.37</v>
      </c>
      <c r="N4654" s="9" t="s">
        <v>85</v>
      </c>
    </row>
    <row r="4655" customFormat="false" ht="14.25" hidden="false" customHeight="true" outlineLevel="0" collapsed="false">
      <c r="B4655" s="9" t="s">
        <v>16</v>
      </c>
      <c r="C4655" s="9" t="n">
        <v>1185732</v>
      </c>
      <c r="D4655" s="10" t="n">
        <v>44094</v>
      </c>
      <c r="E4655" s="9" t="s">
        <v>50</v>
      </c>
      <c r="F4655" s="9" t="s">
        <v>51</v>
      </c>
      <c r="G4655" s="9" t="s">
        <v>52</v>
      </c>
      <c r="H4655" s="11" t="s">
        <v>23</v>
      </c>
      <c r="I4655" s="12" t="n">
        <v>44</v>
      </c>
      <c r="J4655" s="13" t="n">
        <v>233</v>
      </c>
      <c r="K4655" s="14" t="n">
        <f aca="false">I4655*J4655</f>
        <v>10252</v>
      </c>
      <c r="L4655" s="14" t="n">
        <f aca="false">($L$2*M4655)/100</f>
        <v>480666.6</v>
      </c>
      <c r="M4655" s="15" t="n">
        <v>0.4</v>
      </c>
      <c r="N4655" s="9" t="s">
        <v>85</v>
      </c>
    </row>
    <row r="4656" customFormat="false" ht="14.25" hidden="false" customHeight="true" outlineLevel="0" collapsed="false">
      <c r="B4656" s="9" t="s">
        <v>16</v>
      </c>
      <c r="C4656" s="9" t="n">
        <v>1185732</v>
      </c>
      <c r="D4656" s="10" t="n">
        <v>44095</v>
      </c>
      <c r="E4656" s="9" t="s">
        <v>50</v>
      </c>
      <c r="F4656" s="9" t="s">
        <v>51</v>
      </c>
      <c r="G4656" s="9" t="s">
        <v>52</v>
      </c>
      <c r="H4656" s="11" t="s">
        <v>24</v>
      </c>
      <c r="I4656" s="12" t="n">
        <v>52</v>
      </c>
      <c r="J4656" s="13" t="n">
        <v>225</v>
      </c>
      <c r="K4656" s="14" t="n">
        <f aca="false">I4656*J4656</f>
        <v>11700</v>
      </c>
      <c r="L4656" s="14" t="n">
        <f aca="false">($L$2*M4656)/100</f>
        <v>540749.925</v>
      </c>
      <c r="M4656" s="15" t="n">
        <v>0.45</v>
      </c>
      <c r="N4656" s="9" t="s">
        <v>85</v>
      </c>
    </row>
    <row r="4657" customFormat="false" ht="14.25" hidden="false" customHeight="true" outlineLevel="0" collapsed="false">
      <c r="B4657" s="9" t="s">
        <v>16</v>
      </c>
      <c r="C4657" s="9" t="n">
        <v>1185732</v>
      </c>
      <c r="D4657" s="10" t="n">
        <v>44096</v>
      </c>
      <c r="E4657" s="9" t="s">
        <v>50</v>
      </c>
      <c r="F4657" s="9" t="s">
        <v>51</v>
      </c>
      <c r="G4657" s="9" t="s">
        <v>52</v>
      </c>
      <c r="H4657" s="11" t="s">
        <v>25</v>
      </c>
      <c r="I4657" s="12" t="n">
        <v>56</v>
      </c>
      <c r="J4657" s="13" t="n">
        <v>278</v>
      </c>
      <c r="K4657" s="14" t="n">
        <f aca="false">I4657*J4657</f>
        <v>15568</v>
      </c>
      <c r="L4657" s="14" t="n">
        <f aca="false">($L$2*M4657)/100</f>
        <v>733016.565</v>
      </c>
      <c r="M4657" s="15" t="n">
        <v>0.61</v>
      </c>
      <c r="N4657" s="9" t="s">
        <v>85</v>
      </c>
    </row>
    <row r="4658" customFormat="false" ht="14.25" hidden="false" customHeight="true" outlineLevel="0" collapsed="false">
      <c r="B4658" s="9" t="s">
        <v>16</v>
      </c>
      <c r="C4658" s="9" t="n">
        <v>1185732</v>
      </c>
      <c r="D4658" s="10" t="n">
        <v>44097</v>
      </c>
      <c r="E4658" s="9" t="s">
        <v>50</v>
      </c>
      <c r="F4658" s="9" t="s">
        <v>51</v>
      </c>
      <c r="G4658" s="9" t="s">
        <v>52</v>
      </c>
      <c r="H4658" s="11" t="s">
        <v>19</v>
      </c>
      <c r="I4658" s="12" t="n">
        <v>53</v>
      </c>
      <c r="J4658" s="13" t="n">
        <v>284</v>
      </c>
      <c r="K4658" s="14" t="n">
        <f aca="false">I4658*J4658</f>
        <v>15052</v>
      </c>
      <c r="L4658" s="14" t="n">
        <f aca="false">($L$2*M4658)/100</f>
        <v>660916.575</v>
      </c>
      <c r="M4658" s="15" t="n">
        <v>0.55</v>
      </c>
      <c r="N4658" s="9" t="s">
        <v>85</v>
      </c>
    </row>
    <row r="4659" customFormat="false" ht="14.25" hidden="false" customHeight="true" outlineLevel="0" collapsed="false">
      <c r="B4659" s="9" t="s">
        <v>16</v>
      </c>
      <c r="C4659" s="9" t="n">
        <v>1185732</v>
      </c>
      <c r="D4659" s="10" t="n">
        <v>44098</v>
      </c>
      <c r="E4659" s="9" t="s">
        <v>50</v>
      </c>
      <c r="F4659" s="9" t="s">
        <v>51</v>
      </c>
      <c r="G4659" s="9" t="s">
        <v>52</v>
      </c>
      <c r="H4659" s="11" t="s">
        <v>21</v>
      </c>
      <c r="I4659" s="12" t="n">
        <v>46</v>
      </c>
      <c r="J4659" s="13" t="n">
        <v>255</v>
      </c>
      <c r="K4659" s="14" t="n">
        <f aca="false">I4659*J4659</f>
        <v>11730</v>
      </c>
      <c r="L4659" s="14" t="n">
        <f aca="false">($L$2*M4659)/100</f>
        <v>540749.925</v>
      </c>
      <c r="M4659" s="15" t="n">
        <v>0.45</v>
      </c>
      <c r="N4659" s="9" t="s">
        <v>85</v>
      </c>
    </row>
    <row r="4660" customFormat="false" ht="14.25" hidden="false" customHeight="true" outlineLevel="0" collapsed="false">
      <c r="B4660" s="9" t="s">
        <v>28</v>
      </c>
      <c r="C4660" s="9" t="n">
        <v>1185732</v>
      </c>
      <c r="D4660" s="10" t="n">
        <v>44099</v>
      </c>
      <c r="E4660" s="9" t="s">
        <v>50</v>
      </c>
      <c r="F4660" s="9" t="s">
        <v>51</v>
      </c>
      <c r="G4660" s="9" t="s">
        <v>52</v>
      </c>
      <c r="H4660" s="11" t="s">
        <v>22</v>
      </c>
      <c r="I4660" s="12" t="n">
        <v>41</v>
      </c>
      <c r="J4660" s="13" t="n">
        <v>225</v>
      </c>
      <c r="K4660" s="14" t="n">
        <f aca="false">I4660*J4660</f>
        <v>9225</v>
      </c>
      <c r="L4660" s="14" t="n">
        <f aca="false">($L$2*M4660)/100</f>
        <v>444616.605</v>
      </c>
      <c r="M4660" s="15" t="n">
        <v>0.37</v>
      </c>
      <c r="N4660" s="9" t="s">
        <v>85</v>
      </c>
    </row>
    <row r="4661" customFormat="false" ht="14.25" hidden="false" customHeight="true" outlineLevel="0" collapsed="false">
      <c r="B4661" s="9" t="s">
        <v>28</v>
      </c>
      <c r="C4661" s="9" t="n">
        <v>1185732</v>
      </c>
      <c r="D4661" s="10" t="n">
        <v>44100</v>
      </c>
      <c r="E4661" s="9" t="s">
        <v>50</v>
      </c>
      <c r="F4661" s="9" t="s">
        <v>51</v>
      </c>
      <c r="G4661" s="9" t="s">
        <v>52</v>
      </c>
      <c r="H4661" s="11" t="s">
        <v>23</v>
      </c>
      <c r="I4661" s="12" t="n">
        <v>42</v>
      </c>
      <c r="J4661" s="13" t="n">
        <v>210</v>
      </c>
      <c r="K4661" s="14" t="n">
        <f aca="false">I4661*J4661</f>
        <v>8820</v>
      </c>
      <c r="L4661" s="14" t="n">
        <f aca="false">($L$2*M4661)/100</f>
        <v>516716.595</v>
      </c>
      <c r="M4661" s="15" t="n">
        <v>0.43</v>
      </c>
      <c r="N4661" s="9" t="s">
        <v>85</v>
      </c>
    </row>
    <row r="4662" customFormat="false" ht="14.25" hidden="false" customHeight="true" outlineLevel="0" collapsed="false">
      <c r="B4662" s="9" t="s">
        <v>28</v>
      </c>
      <c r="C4662" s="9" t="n">
        <v>1185732</v>
      </c>
      <c r="D4662" s="10" t="n">
        <v>44101</v>
      </c>
      <c r="E4662" s="9" t="s">
        <v>50</v>
      </c>
      <c r="F4662" s="9" t="s">
        <v>51</v>
      </c>
      <c r="G4662" s="9" t="s">
        <v>52</v>
      </c>
      <c r="H4662" s="11" t="s">
        <v>24</v>
      </c>
      <c r="I4662" s="12" t="n">
        <v>50</v>
      </c>
      <c r="J4662" s="13" t="n">
        <v>210</v>
      </c>
      <c r="K4662" s="14" t="n">
        <f aca="false">I4662*J4662</f>
        <v>10500</v>
      </c>
      <c r="L4662" s="14" t="n">
        <f aca="false">($L$2*M4662)/100</f>
        <v>600833.25</v>
      </c>
      <c r="M4662" s="15" t="n">
        <v>0.5</v>
      </c>
      <c r="N4662" s="9" t="s">
        <v>85</v>
      </c>
    </row>
    <row r="4663" customFormat="false" ht="14.25" hidden="false" customHeight="true" outlineLevel="0" collapsed="false">
      <c r="B4663" s="9" t="s">
        <v>28</v>
      </c>
      <c r="C4663" s="9" t="n">
        <v>1185732</v>
      </c>
      <c r="D4663" s="10" t="n">
        <v>44102</v>
      </c>
      <c r="E4663" s="9" t="s">
        <v>50</v>
      </c>
      <c r="F4663" s="9" t="s">
        <v>51</v>
      </c>
      <c r="G4663" s="9" t="s">
        <v>52</v>
      </c>
      <c r="H4663" s="11" t="s">
        <v>25</v>
      </c>
      <c r="I4663" s="12" t="n">
        <v>55</v>
      </c>
      <c r="J4663" s="13" t="n">
        <v>223</v>
      </c>
      <c r="K4663" s="14" t="n">
        <f aca="false">I4663*J4663</f>
        <v>12265</v>
      </c>
      <c r="L4663" s="14" t="n">
        <f aca="false">($L$2*M4663)/100</f>
        <v>757049.895</v>
      </c>
      <c r="M4663" s="15" t="n">
        <v>0.63</v>
      </c>
      <c r="N4663" s="9" t="s">
        <v>85</v>
      </c>
    </row>
    <row r="4664" customFormat="false" ht="14.25" hidden="false" customHeight="true" outlineLevel="0" collapsed="false">
      <c r="B4664" s="9" t="s">
        <v>28</v>
      </c>
      <c r="C4664" s="9" t="n">
        <v>1185732</v>
      </c>
      <c r="D4664" s="10" t="n">
        <v>44103</v>
      </c>
      <c r="E4664" s="9" t="s">
        <v>50</v>
      </c>
      <c r="F4664" s="9" t="s">
        <v>51</v>
      </c>
      <c r="G4664" s="9" t="s">
        <v>52</v>
      </c>
      <c r="H4664" s="11" t="s">
        <v>19</v>
      </c>
      <c r="I4664" s="12" t="n">
        <v>56</v>
      </c>
      <c r="J4664" s="13" t="n">
        <v>270</v>
      </c>
      <c r="K4664" s="14" t="n">
        <f aca="false">I4664*J4664</f>
        <v>15120</v>
      </c>
      <c r="L4664" s="14" t="n">
        <f aca="false">($L$2*M4664)/100</f>
        <v>720999.9</v>
      </c>
      <c r="M4664" s="15" t="n">
        <v>0.6</v>
      </c>
      <c r="N4664" s="9" t="s">
        <v>85</v>
      </c>
    </row>
    <row r="4665" customFormat="false" ht="14.25" hidden="false" customHeight="true" outlineLevel="0" collapsed="false">
      <c r="B4665" s="9" t="s">
        <v>28</v>
      </c>
      <c r="C4665" s="9" t="n">
        <v>1185732</v>
      </c>
      <c r="D4665" s="10" t="n">
        <v>44104</v>
      </c>
      <c r="E4665" s="9" t="s">
        <v>50</v>
      </c>
      <c r="F4665" s="9" t="s">
        <v>51</v>
      </c>
      <c r="G4665" s="9" t="s">
        <v>52</v>
      </c>
      <c r="H4665" s="11" t="s">
        <v>21</v>
      </c>
      <c r="I4665" s="12" t="n">
        <v>47</v>
      </c>
      <c r="J4665" s="13" t="n">
        <v>215</v>
      </c>
      <c r="K4665" s="14" t="n">
        <f aca="false">I4665*J4665</f>
        <v>10105</v>
      </c>
      <c r="L4665" s="14" t="n">
        <f aca="false">($L$2*M4665)/100</f>
        <v>540749.925</v>
      </c>
      <c r="M4665" s="15" t="n">
        <v>0.45</v>
      </c>
      <c r="N4665" s="9" t="s">
        <v>85</v>
      </c>
    </row>
    <row r="4666" customFormat="false" ht="14.25" hidden="false" customHeight="true" outlineLevel="0" collapsed="false">
      <c r="B4666" s="9" t="s">
        <v>28</v>
      </c>
      <c r="C4666" s="9" t="n">
        <v>1185732</v>
      </c>
      <c r="D4666" s="10" t="n">
        <v>44105</v>
      </c>
      <c r="E4666" s="9" t="s">
        <v>50</v>
      </c>
      <c r="F4666" s="9" t="s">
        <v>51</v>
      </c>
      <c r="G4666" s="9" t="s">
        <v>52</v>
      </c>
      <c r="H4666" s="11" t="s">
        <v>22</v>
      </c>
      <c r="I4666" s="12" t="n">
        <v>47</v>
      </c>
      <c r="J4666" s="13" t="n">
        <v>203</v>
      </c>
      <c r="K4666" s="14" t="n">
        <f aca="false">I4666*J4666</f>
        <v>9541</v>
      </c>
      <c r="L4666" s="14" t="n">
        <f aca="false">($L$2*M4666)/100</f>
        <v>468649.935</v>
      </c>
      <c r="M4666" s="15" t="n">
        <v>0.39</v>
      </c>
      <c r="N4666" s="9" t="s">
        <v>85</v>
      </c>
    </row>
    <row r="4667" customFormat="false" ht="14.25" hidden="false" customHeight="true" outlineLevel="0" collapsed="false">
      <c r="B4667" s="9" t="s">
        <v>28</v>
      </c>
      <c r="C4667" s="9" t="n">
        <v>1185732</v>
      </c>
      <c r="D4667" s="10" t="n">
        <v>44106</v>
      </c>
      <c r="E4667" s="9" t="s">
        <v>50</v>
      </c>
      <c r="F4667" s="9" t="s">
        <v>51</v>
      </c>
      <c r="G4667" s="9" t="s">
        <v>52</v>
      </c>
      <c r="H4667" s="11" t="s">
        <v>23</v>
      </c>
      <c r="I4667" s="12" t="n">
        <v>45</v>
      </c>
      <c r="J4667" s="13" t="n">
        <v>182</v>
      </c>
      <c r="K4667" s="14" t="n">
        <f aca="false">I4667*J4667</f>
        <v>8190</v>
      </c>
      <c r="L4667" s="14" t="n">
        <f aca="false">($L$2*M4667)/100</f>
        <v>528733.26</v>
      </c>
      <c r="M4667" s="15" t="n">
        <v>0.44</v>
      </c>
      <c r="N4667" s="9" t="s">
        <v>85</v>
      </c>
    </row>
    <row r="4668" customFormat="false" ht="14.25" hidden="false" customHeight="true" outlineLevel="0" collapsed="false">
      <c r="B4668" s="9" t="s">
        <v>28</v>
      </c>
      <c r="C4668" s="9" t="n">
        <v>1185732</v>
      </c>
      <c r="D4668" s="10" t="n">
        <v>44107</v>
      </c>
      <c r="E4668" s="9" t="s">
        <v>50</v>
      </c>
      <c r="F4668" s="9" t="s">
        <v>51</v>
      </c>
      <c r="G4668" s="9" t="s">
        <v>52</v>
      </c>
      <c r="H4668" s="11" t="s">
        <v>24</v>
      </c>
      <c r="I4668" s="12" t="n">
        <v>57</v>
      </c>
      <c r="J4668" s="13" t="n">
        <v>189</v>
      </c>
      <c r="K4668" s="14" t="n">
        <f aca="false">I4668*J4668</f>
        <v>10773</v>
      </c>
      <c r="L4668" s="14" t="n">
        <f aca="false">($L$2*M4668)/100</f>
        <v>600833.25</v>
      </c>
      <c r="M4668" s="15" t="n">
        <v>0.5</v>
      </c>
      <c r="N4668" s="9" t="s">
        <v>85</v>
      </c>
    </row>
    <row r="4669" customFormat="false" ht="14.25" hidden="false" customHeight="true" outlineLevel="0" collapsed="false">
      <c r="B4669" s="9" t="s">
        <v>28</v>
      </c>
      <c r="C4669" s="9" t="n">
        <v>1185732</v>
      </c>
      <c r="D4669" s="10" t="n">
        <v>44108</v>
      </c>
      <c r="E4669" s="9" t="s">
        <v>50</v>
      </c>
      <c r="F4669" s="9" t="s">
        <v>51</v>
      </c>
      <c r="G4669" s="9" t="s">
        <v>52</v>
      </c>
      <c r="H4669" s="11" t="s">
        <v>25</v>
      </c>
      <c r="I4669" s="12" t="n">
        <v>59</v>
      </c>
      <c r="J4669" s="13" t="n">
        <v>223</v>
      </c>
      <c r="K4669" s="14" t="n">
        <f aca="false">I4669*J4669</f>
        <v>13157</v>
      </c>
      <c r="L4669" s="14" t="n">
        <f aca="false">($L$2*M4669)/100</f>
        <v>781083.225</v>
      </c>
      <c r="M4669" s="15" t="n">
        <v>0.65</v>
      </c>
      <c r="N4669" s="9" t="s">
        <v>85</v>
      </c>
    </row>
    <row r="4670" customFormat="false" ht="14.25" hidden="false" customHeight="true" outlineLevel="0" collapsed="false">
      <c r="B4670" s="9" t="s">
        <v>28</v>
      </c>
      <c r="C4670" s="9" t="n">
        <v>1185732</v>
      </c>
      <c r="D4670" s="10" t="n">
        <v>44109</v>
      </c>
      <c r="E4670" s="9" t="s">
        <v>50</v>
      </c>
      <c r="F4670" s="9" t="s">
        <v>51</v>
      </c>
      <c r="G4670" s="9" t="s">
        <v>52</v>
      </c>
      <c r="H4670" s="11" t="s">
        <v>19</v>
      </c>
      <c r="I4670" s="12" t="n">
        <v>56</v>
      </c>
      <c r="J4670" s="13" t="n">
        <v>244</v>
      </c>
      <c r="K4670" s="14" t="n">
        <f aca="false">I4670*J4670</f>
        <v>13664</v>
      </c>
      <c r="L4670" s="14" t="n">
        <f aca="false">($L$2*M4670)/100</f>
        <v>696966.57</v>
      </c>
      <c r="M4670" s="15" t="n">
        <v>0.58</v>
      </c>
      <c r="N4670" s="9" t="s">
        <v>85</v>
      </c>
    </row>
    <row r="4671" customFormat="false" ht="14.25" hidden="false" customHeight="true" outlineLevel="0" collapsed="false">
      <c r="B4671" s="9" t="s">
        <v>28</v>
      </c>
      <c r="C4671" s="9" t="n">
        <v>1185732</v>
      </c>
      <c r="D4671" s="10" t="n">
        <v>44110</v>
      </c>
      <c r="E4671" s="9" t="s">
        <v>50</v>
      </c>
      <c r="F4671" s="9" t="s">
        <v>51</v>
      </c>
      <c r="G4671" s="9" t="s">
        <v>52</v>
      </c>
      <c r="H4671" s="11" t="s">
        <v>21</v>
      </c>
      <c r="I4671" s="12" t="n">
        <v>49</v>
      </c>
      <c r="J4671" s="13" t="n">
        <v>224</v>
      </c>
      <c r="K4671" s="14" t="n">
        <f aca="false">I4671*J4671</f>
        <v>10976</v>
      </c>
      <c r="L4671" s="14" t="n">
        <f aca="false">($L$2*M4671)/100</f>
        <v>576799.92</v>
      </c>
      <c r="M4671" s="15" t="n">
        <v>0.48</v>
      </c>
      <c r="N4671" s="9" t="s">
        <v>85</v>
      </c>
    </row>
    <row r="4672" customFormat="false" ht="14.25" hidden="false" customHeight="true" outlineLevel="0" collapsed="false">
      <c r="B4672" s="9" t="s">
        <v>28</v>
      </c>
      <c r="C4672" s="9" t="n">
        <v>1185732</v>
      </c>
      <c r="D4672" s="10" t="n">
        <v>44111</v>
      </c>
      <c r="E4672" s="9" t="s">
        <v>50</v>
      </c>
      <c r="F4672" s="9" t="s">
        <v>51</v>
      </c>
      <c r="G4672" s="9" t="s">
        <v>52</v>
      </c>
      <c r="H4672" s="11" t="s">
        <v>22</v>
      </c>
      <c r="I4672" s="12" t="n">
        <v>46</v>
      </c>
      <c r="J4672" s="13" t="n">
        <v>224</v>
      </c>
      <c r="K4672" s="14" t="n">
        <f aca="false">I4672*J4672</f>
        <v>10304</v>
      </c>
      <c r="L4672" s="14" t="n">
        <f aca="false">($L$2*M4672)/100</f>
        <v>444616.605</v>
      </c>
      <c r="M4672" s="15" t="n">
        <v>0.37</v>
      </c>
      <c r="N4672" s="9" t="s">
        <v>85</v>
      </c>
    </row>
    <row r="4673" customFormat="false" ht="14.25" hidden="false" customHeight="true" outlineLevel="0" collapsed="false">
      <c r="B4673" s="9" t="s">
        <v>28</v>
      </c>
      <c r="C4673" s="9" t="n">
        <v>1185732</v>
      </c>
      <c r="D4673" s="10" t="n">
        <v>44112</v>
      </c>
      <c r="E4673" s="9" t="s">
        <v>50</v>
      </c>
      <c r="F4673" s="9" t="s">
        <v>51</v>
      </c>
      <c r="G4673" s="9" t="s">
        <v>52</v>
      </c>
      <c r="H4673" s="11" t="s">
        <v>23</v>
      </c>
      <c r="I4673" s="12" t="n">
        <v>49</v>
      </c>
      <c r="J4673" s="13" t="n">
        <v>202</v>
      </c>
      <c r="K4673" s="14" t="n">
        <f aca="false">I4673*J4673</f>
        <v>9898</v>
      </c>
      <c r="L4673" s="14" t="n">
        <f aca="false">($L$2*M4673)/100</f>
        <v>528733.26</v>
      </c>
      <c r="M4673" s="15" t="n">
        <v>0.44</v>
      </c>
      <c r="N4673" s="9" t="s">
        <v>85</v>
      </c>
    </row>
    <row r="4674" customFormat="false" ht="14.25" hidden="false" customHeight="true" outlineLevel="0" collapsed="false">
      <c r="B4674" s="9" t="s">
        <v>28</v>
      </c>
      <c r="C4674" s="9" t="n">
        <v>1185732</v>
      </c>
      <c r="D4674" s="10" t="n">
        <v>44113</v>
      </c>
      <c r="E4674" s="9" t="s">
        <v>50</v>
      </c>
      <c r="F4674" s="9" t="s">
        <v>51</v>
      </c>
      <c r="G4674" s="9" t="s">
        <v>52</v>
      </c>
      <c r="H4674" s="11" t="s">
        <v>24</v>
      </c>
      <c r="I4674" s="12" t="n">
        <v>64</v>
      </c>
      <c r="J4674" s="13" t="n">
        <v>195</v>
      </c>
      <c r="K4674" s="14" t="n">
        <f aca="false">I4674*J4674</f>
        <v>12480</v>
      </c>
      <c r="L4674" s="14" t="n">
        <f aca="false">($L$2*M4674)/100</f>
        <v>600833.25</v>
      </c>
      <c r="M4674" s="15" t="n">
        <v>0.5</v>
      </c>
      <c r="N4674" s="9" t="s">
        <v>85</v>
      </c>
    </row>
    <row r="4675" customFormat="false" ht="14.25" hidden="false" customHeight="true" outlineLevel="0" collapsed="false">
      <c r="B4675" s="9" t="s">
        <v>28</v>
      </c>
      <c r="C4675" s="9" t="n">
        <v>1185732</v>
      </c>
      <c r="D4675" s="10" t="n">
        <v>44114</v>
      </c>
      <c r="E4675" s="9" t="s">
        <v>50</v>
      </c>
      <c r="F4675" s="9" t="s">
        <v>51</v>
      </c>
      <c r="G4675" s="9" t="s">
        <v>52</v>
      </c>
      <c r="H4675" s="11" t="s">
        <v>25</v>
      </c>
      <c r="I4675" s="12" t="n">
        <v>64</v>
      </c>
      <c r="J4675" s="13" t="n">
        <v>213</v>
      </c>
      <c r="K4675" s="14" t="n">
        <f aca="false">I4675*J4675</f>
        <v>13632</v>
      </c>
      <c r="L4675" s="14" t="n">
        <f aca="false">($L$2*M4675)/100</f>
        <v>720999.9</v>
      </c>
      <c r="M4675" s="15" t="n">
        <v>0.6</v>
      </c>
      <c r="N4675" s="9" t="s">
        <v>85</v>
      </c>
    </row>
    <row r="4676" customFormat="false" ht="14.25" hidden="false" customHeight="true" outlineLevel="0" collapsed="false">
      <c r="B4676" s="9" t="s">
        <v>28</v>
      </c>
      <c r="C4676" s="9" t="n">
        <v>1185732</v>
      </c>
      <c r="D4676" s="10" t="n">
        <v>43975</v>
      </c>
      <c r="E4676" s="9" t="s">
        <v>50</v>
      </c>
      <c r="F4676" s="9" t="s">
        <v>51</v>
      </c>
      <c r="G4676" s="9" t="s">
        <v>52</v>
      </c>
      <c r="H4676" s="11" t="s">
        <v>19</v>
      </c>
      <c r="I4676" s="12" t="n">
        <v>63</v>
      </c>
      <c r="J4676" s="13" t="n">
        <v>323</v>
      </c>
      <c r="K4676" s="14" t="n">
        <f aca="false">I4676*J4676</f>
        <v>20349</v>
      </c>
      <c r="L4676" s="14" t="n">
        <f aca="false">($L$2*M4676)/100</f>
        <v>672933.24</v>
      </c>
      <c r="M4676" s="15" t="n">
        <v>0.56</v>
      </c>
      <c r="N4676" s="9" t="s">
        <v>85</v>
      </c>
    </row>
    <row r="4677" customFormat="false" ht="14.25" hidden="false" customHeight="true" outlineLevel="0" collapsed="false">
      <c r="B4677" s="9" t="s">
        <v>28</v>
      </c>
      <c r="C4677" s="9" t="n">
        <v>1185732</v>
      </c>
      <c r="D4677" s="10" t="n">
        <v>43975</v>
      </c>
      <c r="E4677" s="9" t="s">
        <v>50</v>
      </c>
      <c r="F4677" s="9" t="s">
        <v>51</v>
      </c>
      <c r="G4677" s="9" t="s">
        <v>52</v>
      </c>
      <c r="H4677" s="11" t="s">
        <v>21</v>
      </c>
      <c r="I4677" s="12" t="n">
        <v>51</v>
      </c>
      <c r="J4677" s="13" t="n">
        <v>254</v>
      </c>
      <c r="K4677" s="14" t="n">
        <f aca="false">I4677*J4677</f>
        <v>12954</v>
      </c>
      <c r="L4677" s="14" t="n">
        <f aca="false">($L$2*M4677)/100</f>
        <v>564783.255</v>
      </c>
      <c r="M4677" s="15" t="n">
        <v>0.47</v>
      </c>
      <c r="N4677" s="9" t="s">
        <v>85</v>
      </c>
    </row>
    <row r="4678" customFormat="false" ht="14.25" hidden="false" customHeight="true" outlineLevel="0" collapsed="false">
      <c r="B4678" s="9" t="s">
        <v>28</v>
      </c>
      <c r="C4678" s="9" t="n">
        <v>1185732</v>
      </c>
      <c r="D4678" s="10" t="n">
        <v>43975</v>
      </c>
      <c r="E4678" s="9" t="s">
        <v>50</v>
      </c>
      <c r="F4678" s="9" t="s">
        <v>51</v>
      </c>
      <c r="G4678" s="9" t="s">
        <v>52</v>
      </c>
      <c r="H4678" s="11" t="s">
        <v>22</v>
      </c>
      <c r="I4678" s="12" t="n">
        <v>52</v>
      </c>
      <c r="J4678" s="13" t="n">
        <v>248</v>
      </c>
      <c r="K4678" s="14" t="n">
        <f aca="false">I4678*J4678</f>
        <v>12896</v>
      </c>
      <c r="L4678" s="14" t="n">
        <f aca="false">($L$2*M4678)/100</f>
        <v>444616.605</v>
      </c>
      <c r="M4678" s="15" t="n">
        <v>0.37</v>
      </c>
      <c r="N4678" s="9" t="s">
        <v>85</v>
      </c>
    </row>
    <row r="4679" customFormat="false" ht="14.25" hidden="false" customHeight="true" outlineLevel="0" collapsed="false">
      <c r="B4679" s="9" t="s">
        <v>28</v>
      </c>
      <c r="C4679" s="9" t="n">
        <v>1185732</v>
      </c>
      <c r="D4679" s="10" t="n">
        <v>43975</v>
      </c>
      <c r="E4679" s="9" t="s">
        <v>50</v>
      </c>
      <c r="F4679" s="9" t="s">
        <v>51</v>
      </c>
      <c r="G4679" s="9" t="s">
        <v>52</v>
      </c>
      <c r="H4679" s="11" t="s">
        <v>23</v>
      </c>
      <c r="I4679" s="12" t="n">
        <v>54</v>
      </c>
      <c r="J4679" s="13" t="n">
        <v>209</v>
      </c>
      <c r="K4679" s="14" t="n">
        <f aca="false">I4679*J4679</f>
        <v>11286</v>
      </c>
      <c r="L4679" s="14" t="n">
        <f aca="false">($L$2*M4679)/100</f>
        <v>516716.595</v>
      </c>
      <c r="M4679" s="15" t="n">
        <v>0.43</v>
      </c>
      <c r="N4679" s="9" t="s">
        <v>85</v>
      </c>
    </row>
    <row r="4680" customFormat="false" ht="14.25" hidden="false" customHeight="true" outlineLevel="0" collapsed="false">
      <c r="B4680" s="9" t="s">
        <v>16</v>
      </c>
      <c r="C4680" s="9" t="n">
        <v>1185732</v>
      </c>
      <c r="D4680" s="10" t="n">
        <v>43975</v>
      </c>
      <c r="E4680" s="9" t="s">
        <v>50</v>
      </c>
      <c r="F4680" s="9" t="s">
        <v>51</v>
      </c>
      <c r="G4680" s="9" t="s">
        <v>52</v>
      </c>
      <c r="H4680" s="11" t="s">
        <v>24</v>
      </c>
      <c r="I4680" s="12" t="n">
        <v>60</v>
      </c>
      <c r="J4680" s="13" t="n">
        <v>202</v>
      </c>
      <c r="K4680" s="14" t="n">
        <f aca="false">I4680*J4680</f>
        <v>12120</v>
      </c>
      <c r="L4680" s="14" t="n">
        <f aca="false">($L$2*M4680)/100</f>
        <v>588816.585</v>
      </c>
      <c r="M4680" s="15" t="n">
        <v>0.49</v>
      </c>
      <c r="N4680" s="9" t="s">
        <v>85</v>
      </c>
    </row>
    <row r="4681" customFormat="false" ht="14.25" hidden="false" customHeight="true" outlineLevel="0" collapsed="false">
      <c r="B4681" s="9" t="s">
        <v>16</v>
      </c>
      <c r="C4681" s="9" t="n">
        <v>1185732</v>
      </c>
      <c r="D4681" s="10" t="n">
        <v>43975</v>
      </c>
      <c r="E4681" s="9" t="s">
        <v>50</v>
      </c>
      <c r="F4681" s="9" t="s">
        <v>51</v>
      </c>
      <c r="G4681" s="9" t="s">
        <v>52</v>
      </c>
      <c r="H4681" s="11" t="s">
        <v>25</v>
      </c>
      <c r="I4681" s="12" t="n">
        <v>64</v>
      </c>
      <c r="J4681" s="13" t="n">
        <v>219</v>
      </c>
      <c r="K4681" s="14" t="n">
        <f aca="false">I4681*J4681</f>
        <v>14016</v>
      </c>
      <c r="L4681" s="14" t="n">
        <f aca="false">($L$2*M4681)/100</f>
        <v>757049.895</v>
      </c>
      <c r="M4681" s="15" t="n">
        <v>0.63</v>
      </c>
      <c r="N4681" s="9" t="s">
        <v>85</v>
      </c>
    </row>
    <row r="4682" customFormat="false" ht="14.25" hidden="false" customHeight="true" outlineLevel="0" collapsed="false">
      <c r="B4682" s="9" t="s">
        <v>16</v>
      </c>
      <c r="C4682" s="9" t="n">
        <v>1185732</v>
      </c>
      <c r="D4682" s="10" t="n">
        <v>44121</v>
      </c>
      <c r="E4682" s="9" t="s">
        <v>50</v>
      </c>
      <c r="F4682" s="9" t="s">
        <v>51</v>
      </c>
      <c r="G4682" s="9" t="s">
        <v>52</v>
      </c>
      <c r="H4682" s="11" t="s">
        <v>19</v>
      </c>
      <c r="I4682" s="12" t="n">
        <v>33</v>
      </c>
      <c r="J4682" s="13" t="n">
        <v>131</v>
      </c>
      <c r="K4682" s="14" t="n">
        <f aca="false">I4682*J4682</f>
        <v>4323</v>
      </c>
      <c r="L4682" s="14" t="n">
        <f aca="false">($L$2*M4682)/100</f>
        <v>540749.925</v>
      </c>
      <c r="M4682" s="15" t="n">
        <v>0.45</v>
      </c>
      <c r="N4682" s="9" t="s">
        <v>85</v>
      </c>
    </row>
    <row r="4683" customFormat="false" ht="14.25" hidden="false" customHeight="true" outlineLevel="0" collapsed="false">
      <c r="B4683" s="9" t="s">
        <v>16</v>
      </c>
      <c r="C4683" s="9" t="n">
        <v>1185732</v>
      </c>
      <c r="D4683" s="10" t="n">
        <v>44122</v>
      </c>
      <c r="E4683" s="9" t="s">
        <v>50</v>
      </c>
      <c r="F4683" s="9" t="s">
        <v>51</v>
      </c>
      <c r="G4683" s="9" t="s">
        <v>52</v>
      </c>
      <c r="H4683" s="11" t="s">
        <v>21</v>
      </c>
      <c r="I4683" s="12" t="n">
        <v>33</v>
      </c>
      <c r="J4683" s="13" t="n">
        <v>65</v>
      </c>
      <c r="K4683" s="14" t="n">
        <f aca="false">I4683*J4683</f>
        <v>2145</v>
      </c>
      <c r="L4683" s="14" t="n">
        <f aca="false">($L$2*M4683)/100</f>
        <v>480666.6</v>
      </c>
      <c r="M4683" s="15" t="n">
        <v>0.4</v>
      </c>
      <c r="N4683" s="9" t="s">
        <v>85</v>
      </c>
    </row>
    <row r="4684" customFormat="false" ht="14.25" hidden="false" customHeight="true" outlineLevel="0" collapsed="false">
      <c r="B4684" s="9" t="s">
        <v>16</v>
      </c>
      <c r="C4684" s="9" t="n">
        <v>1185732</v>
      </c>
      <c r="D4684" s="10" t="n">
        <v>44123</v>
      </c>
      <c r="E4684" s="9" t="s">
        <v>50</v>
      </c>
      <c r="F4684" s="9" t="s">
        <v>51</v>
      </c>
      <c r="G4684" s="9" t="s">
        <v>52</v>
      </c>
      <c r="H4684" s="11" t="s">
        <v>22</v>
      </c>
      <c r="I4684" s="12" t="n">
        <v>24</v>
      </c>
      <c r="J4684" s="13" t="n">
        <v>63</v>
      </c>
      <c r="K4684" s="14" t="n">
        <f aca="false">I4684*J4684</f>
        <v>1512</v>
      </c>
      <c r="L4684" s="14" t="n">
        <f aca="false">($L$2*M4684)/100</f>
        <v>528733.26</v>
      </c>
      <c r="M4684" s="15" t="n">
        <v>0.44</v>
      </c>
      <c r="N4684" s="9" t="s">
        <v>85</v>
      </c>
    </row>
    <row r="4685" customFormat="false" ht="14.25" hidden="false" customHeight="true" outlineLevel="0" collapsed="false">
      <c r="B4685" s="9" t="s">
        <v>16</v>
      </c>
      <c r="C4685" s="9" t="n">
        <v>1185732</v>
      </c>
      <c r="D4685" s="10" t="n">
        <v>44124</v>
      </c>
      <c r="E4685" s="9" t="s">
        <v>50</v>
      </c>
      <c r="F4685" s="9" t="s">
        <v>51</v>
      </c>
      <c r="G4685" s="9" t="s">
        <v>52</v>
      </c>
      <c r="H4685" s="11" t="s">
        <v>23</v>
      </c>
      <c r="I4685" s="12" t="n">
        <v>29</v>
      </c>
      <c r="J4685" s="13" t="n">
        <v>26</v>
      </c>
      <c r="K4685" s="14" t="n">
        <f aca="false">I4685*J4685</f>
        <v>754</v>
      </c>
      <c r="L4685" s="14" t="n">
        <f aca="false">($L$2*M4685)/100</f>
        <v>540749.925</v>
      </c>
      <c r="M4685" s="15" t="n">
        <v>0.45</v>
      </c>
      <c r="N4685" s="9" t="s">
        <v>85</v>
      </c>
    </row>
    <row r="4686" customFormat="false" ht="14.25" hidden="false" customHeight="true" outlineLevel="0" collapsed="false">
      <c r="B4686" s="9" t="s">
        <v>16</v>
      </c>
      <c r="C4686" s="9" t="n">
        <v>1185732</v>
      </c>
      <c r="D4686" s="10" t="n">
        <v>44125</v>
      </c>
      <c r="E4686" s="9" t="s">
        <v>38</v>
      </c>
      <c r="F4686" s="9" t="s">
        <v>53</v>
      </c>
      <c r="G4686" s="9" t="s">
        <v>54</v>
      </c>
      <c r="H4686" s="11" t="s">
        <v>24</v>
      </c>
      <c r="I4686" s="12" t="n">
        <v>43</v>
      </c>
      <c r="J4686" s="13" t="n">
        <v>39</v>
      </c>
      <c r="K4686" s="14" t="n">
        <f aca="false">I4686*J4686</f>
        <v>1677</v>
      </c>
      <c r="L4686" s="14" t="n">
        <f aca="false">($L$2*M4686)/100</f>
        <v>540749.925</v>
      </c>
      <c r="M4686" s="15" t="n">
        <v>0.45</v>
      </c>
      <c r="N4686" s="9" t="s">
        <v>85</v>
      </c>
    </row>
    <row r="4687" customFormat="false" ht="14.25" hidden="false" customHeight="true" outlineLevel="0" collapsed="false">
      <c r="B4687" s="9" t="s">
        <v>16</v>
      </c>
      <c r="C4687" s="9" t="n">
        <v>1185732</v>
      </c>
      <c r="D4687" s="10" t="n">
        <v>44126</v>
      </c>
      <c r="E4687" s="9" t="s">
        <v>38</v>
      </c>
      <c r="F4687" s="9" t="s">
        <v>53</v>
      </c>
      <c r="G4687" s="9" t="s">
        <v>54</v>
      </c>
      <c r="H4687" s="11" t="s">
        <v>25</v>
      </c>
      <c r="I4687" s="12" t="n">
        <v>32</v>
      </c>
      <c r="J4687" s="13" t="n">
        <v>65</v>
      </c>
      <c r="K4687" s="14" t="n">
        <f aca="false">I4687*J4687</f>
        <v>2080</v>
      </c>
      <c r="L4687" s="14" t="n">
        <f aca="false">($L$2*M4687)/100</f>
        <v>672933.24</v>
      </c>
      <c r="M4687" s="15" t="n">
        <v>0.56</v>
      </c>
      <c r="N4687" s="9" t="s">
        <v>85</v>
      </c>
    </row>
    <row r="4688" customFormat="false" ht="14.25" hidden="false" customHeight="true" outlineLevel="0" collapsed="false">
      <c r="B4688" s="9" t="s">
        <v>16</v>
      </c>
      <c r="C4688" s="9" t="n">
        <v>1185732</v>
      </c>
      <c r="D4688" s="10" t="n">
        <v>44127</v>
      </c>
      <c r="E4688" s="9" t="s">
        <v>38</v>
      </c>
      <c r="F4688" s="9" t="s">
        <v>53</v>
      </c>
      <c r="G4688" s="9" t="s">
        <v>54</v>
      </c>
      <c r="H4688" s="11" t="s">
        <v>19</v>
      </c>
      <c r="I4688" s="12" t="n">
        <v>32</v>
      </c>
      <c r="J4688" s="13" t="n">
        <v>135</v>
      </c>
      <c r="K4688" s="14" t="n">
        <f aca="false">I4688*J4688</f>
        <v>4320</v>
      </c>
      <c r="L4688" s="14" t="n">
        <f aca="false">($L$2*M4688)/100</f>
        <v>540749.925</v>
      </c>
      <c r="M4688" s="15" t="n">
        <v>0.45</v>
      </c>
      <c r="N4688" s="9" t="s">
        <v>85</v>
      </c>
    </row>
    <row r="4689" customFormat="false" ht="14.25" hidden="false" customHeight="true" outlineLevel="0" collapsed="false">
      <c r="B4689" s="9" t="s">
        <v>16</v>
      </c>
      <c r="C4689" s="9" t="n">
        <v>1185732</v>
      </c>
      <c r="D4689" s="10" t="n">
        <v>44128</v>
      </c>
      <c r="E4689" s="9" t="s">
        <v>38</v>
      </c>
      <c r="F4689" s="9" t="s">
        <v>53</v>
      </c>
      <c r="G4689" s="9" t="s">
        <v>54</v>
      </c>
      <c r="H4689" s="11" t="s">
        <v>21</v>
      </c>
      <c r="I4689" s="12" t="n">
        <v>34</v>
      </c>
      <c r="J4689" s="13" t="n">
        <v>38</v>
      </c>
      <c r="K4689" s="14" t="n">
        <f aca="false">I4689*J4689</f>
        <v>1292</v>
      </c>
      <c r="L4689" s="14" t="n">
        <f aca="false">($L$2*M4689)/100</f>
        <v>540749.925</v>
      </c>
      <c r="M4689" s="15" t="n">
        <v>0.45</v>
      </c>
      <c r="N4689" s="9" t="s">
        <v>85</v>
      </c>
    </row>
    <row r="4690" customFormat="false" ht="14.25" hidden="false" customHeight="true" outlineLevel="0" collapsed="false">
      <c r="B4690" s="9" t="s">
        <v>16</v>
      </c>
      <c r="C4690" s="9" t="n">
        <v>1185732</v>
      </c>
      <c r="D4690" s="10" t="n">
        <v>44129</v>
      </c>
      <c r="E4690" s="9" t="s">
        <v>38</v>
      </c>
      <c r="F4690" s="9" t="s">
        <v>53</v>
      </c>
      <c r="G4690" s="9" t="s">
        <v>54</v>
      </c>
      <c r="H4690" s="11" t="s">
        <v>22</v>
      </c>
      <c r="I4690" s="12" t="n">
        <v>25</v>
      </c>
      <c r="J4690" s="13" t="n">
        <v>56</v>
      </c>
      <c r="K4690" s="14" t="n">
        <f aca="false">I4690*J4690</f>
        <v>1400</v>
      </c>
      <c r="L4690" s="14" t="n">
        <f aca="false">($L$2*M4690)/100</f>
        <v>504699.93</v>
      </c>
      <c r="M4690" s="15" t="n">
        <v>0.42</v>
      </c>
      <c r="N4690" s="9" t="s">
        <v>85</v>
      </c>
    </row>
    <row r="4691" customFormat="false" ht="14.25" hidden="false" customHeight="true" outlineLevel="0" collapsed="false">
      <c r="B4691" s="9" t="s">
        <v>16</v>
      </c>
      <c r="C4691" s="9" t="n">
        <v>1185732</v>
      </c>
      <c r="D4691" s="10" t="n">
        <v>44130</v>
      </c>
      <c r="E4691" s="9" t="s">
        <v>38</v>
      </c>
      <c r="F4691" s="9" t="s">
        <v>53</v>
      </c>
      <c r="G4691" s="9" t="s">
        <v>54</v>
      </c>
      <c r="H4691" s="11" t="s">
        <v>23</v>
      </c>
      <c r="I4691" s="12" t="n">
        <v>27</v>
      </c>
      <c r="J4691" s="13" t="n">
        <v>20</v>
      </c>
      <c r="K4691" s="14" t="n">
        <f aca="false">I4691*J4691</f>
        <v>540</v>
      </c>
      <c r="L4691" s="14" t="n">
        <f aca="false">($L$2*M4691)/100</f>
        <v>564783.255</v>
      </c>
      <c r="M4691" s="15" t="n">
        <v>0.47</v>
      </c>
      <c r="N4691" s="9" t="s">
        <v>85</v>
      </c>
    </row>
    <row r="4692" customFormat="false" ht="14.25" hidden="false" customHeight="true" outlineLevel="0" collapsed="false">
      <c r="B4692" s="9" t="s">
        <v>16</v>
      </c>
      <c r="C4692" s="9" t="n">
        <v>1185732</v>
      </c>
      <c r="D4692" s="10" t="n">
        <v>44131</v>
      </c>
      <c r="E4692" s="9" t="s">
        <v>38</v>
      </c>
      <c r="F4692" s="9" t="s">
        <v>53</v>
      </c>
      <c r="G4692" s="9" t="s">
        <v>54</v>
      </c>
      <c r="H4692" s="11" t="s">
        <v>24</v>
      </c>
      <c r="I4692" s="12" t="n">
        <v>41</v>
      </c>
      <c r="J4692" s="13" t="n">
        <v>44</v>
      </c>
      <c r="K4692" s="14" t="n">
        <f aca="false">I4692*J4692</f>
        <v>1804</v>
      </c>
      <c r="L4692" s="14" t="n">
        <f aca="false">($L$2*M4692)/100</f>
        <v>492683.265</v>
      </c>
      <c r="M4692" s="15" t="n">
        <v>0.41</v>
      </c>
      <c r="N4692" s="9" t="s">
        <v>85</v>
      </c>
    </row>
    <row r="4693" customFormat="false" ht="14.25" hidden="false" customHeight="true" outlineLevel="0" collapsed="false">
      <c r="B4693" s="9" t="s">
        <v>16</v>
      </c>
      <c r="C4693" s="9" t="n">
        <v>1185732</v>
      </c>
      <c r="D4693" s="10" t="n">
        <v>44132</v>
      </c>
      <c r="E4693" s="9" t="s">
        <v>38</v>
      </c>
      <c r="F4693" s="9" t="s">
        <v>53</v>
      </c>
      <c r="G4693" s="9" t="s">
        <v>54</v>
      </c>
      <c r="H4693" s="11" t="s">
        <v>25</v>
      </c>
      <c r="I4693" s="12" t="n">
        <v>34</v>
      </c>
      <c r="J4693" s="13" t="n">
        <v>65</v>
      </c>
      <c r="K4693" s="14" t="n">
        <f aca="false">I4693*J4693</f>
        <v>2210</v>
      </c>
      <c r="L4693" s="14" t="n">
        <f aca="false">($L$2*M4693)/100</f>
        <v>660916.575</v>
      </c>
      <c r="M4693" s="15" t="n">
        <v>0.55</v>
      </c>
      <c r="N4693" s="9" t="s">
        <v>85</v>
      </c>
    </row>
    <row r="4694" customFormat="false" ht="14.25" hidden="false" customHeight="true" outlineLevel="0" collapsed="false">
      <c r="B4694" s="9" t="s">
        <v>16</v>
      </c>
      <c r="C4694" s="9" t="n">
        <v>1185732</v>
      </c>
      <c r="D4694" s="10" t="n">
        <v>44133</v>
      </c>
      <c r="E4694" s="9" t="s">
        <v>38</v>
      </c>
      <c r="F4694" s="9" t="s">
        <v>53</v>
      </c>
      <c r="G4694" s="9" t="s">
        <v>54</v>
      </c>
      <c r="H4694" s="11" t="s">
        <v>19</v>
      </c>
      <c r="I4694" s="12" t="n">
        <v>39</v>
      </c>
      <c r="J4694" s="13" t="n">
        <v>116</v>
      </c>
      <c r="K4694" s="14" t="n">
        <f aca="false">I4694*J4694</f>
        <v>4524</v>
      </c>
      <c r="L4694" s="14" t="n">
        <f aca="false">($L$2*M4694)/100</f>
        <v>600833.25</v>
      </c>
      <c r="M4694" s="15" t="n">
        <v>0.5</v>
      </c>
      <c r="N4694" s="9" t="s">
        <v>85</v>
      </c>
    </row>
    <row r="4695" customFormat="false" ht="14.25" hidden="false" customHeight="true" outlineLevel="0" collapsed="false">
      <c r="B4695" s="9" t="s">
        <v>16</v>
      </c>
      <c r="C4695" s="9" t="n">
        <v>1185732</v>
      </c>
      <c r="D4695" s="10" t="n">
        <v>44134</v>
      </c>
      <c r="E4695" s="9" t="s">
        <v>38</v>
      </c>
      <c r="F4695" s="9" t="s">
        <v>53</v>
      </c>
      <c r="G4695" s="9" t="s">
        <v>54</v>
      </c>
      <c r="H4695" s="11" t="s">
        <v>21</v>
      </c>
      <c r="I4695" s="12" t="n">
        <v>38</v>
      </c>
      <c r="J4695" s="13" t="n">
        <v>35</v>
      </c>
      <c r="K4695" s="14" t="n">
        <f aca="false">I4695*J4695</f>
        <v>1330</v>
      </c>
      <c r="L4695" s="14" t="n">
        <f aca="false">($L$2*M4695)/100</f>
        <v>480666.6</v>
      </c>
      <c r="M4695" s="15" t="n">
        <v>0.4</v>
      </c>
      <c r="N4695" s="9" t="s">
        <v>85</v>
      </c>
    </row>
    <row r="4696" customFormat="false" ht="14.25" hidden="false" customHeight="true" outlineLevel="0" collapsed="false">
      <c r="B4696" s="9" t="s">
        <v>16</v>
      </c>
      <c r="C4696" s="9" t="n">
        <v>1185732</v>
      </c>
      <c r="D4696" s="10" t="n">
        <v>44135</v>
      </c>
      <c r="E4696" s="9" t="s">
        <v>38</v>
      </c>
      <c r="F4696" s="9" t="s">
        <v>53</v>
      </c>
      <c r="G4696" s="9" t="s">
        <v>54</v>
      </c>
      <c r="H4696" s="11" t="s">
        <v>22</v>
      </c>
      <c r="I4696" s="12" t="n">
        <v>29</v>
      </c>
      <c r="J4696" s="13" t="n">
        <v>53</v>
      </c>
      <c r="K4696" s="14" t="n">
        <f aca="false">I4696*J4696</f>
        <v>1537</v>
      </c>
      <c r="L4696" s="14" t="n">
        <f aca="false">($L$2*M4696)/100</f>
        <v>540749.925</v>
      </c>
      <c r="M4696" s="15" t="n">
        <v>0.45</v>
      </c>
      <c r="N4696" s="9" t="s">
        <v>85</v>
      </c>
    </row>
    <row r="4697" customFormat="false" ht="14.25" hidden="false" customHeight="true" outlineLevel="0" collapsed="false">
      <c r="B4697" s="9" t="s">
        <v>16</v>
      </c>
      <c r="C4697" s="9" t="n">
        <v>1185732</v>
      </c>
      <c r="D4697" s="10" t="n">
        <v>44136</v>
      </c>
      <c r="E4697" s="9" t="s">
        <v>38</v>
      </c>
      <c r="F4697" s="9" t="s">
        <v>53</v>
      </c>
      <c r="G4697" s="9" t="s">
        <v>54</v>
      </c>
      <c r="H4697" s="11" t="s">
        <v>23</v>
      </c>
      <c r="I4697" s="12" t="n">
        <v>32</v>
      </c>
      <c r="J4697" s="13" t="n">
        <v>7</v>
      </c>
      <c r="K4697" s="14" t="n">
        <f aca="false">I4697*J4697</f>
        <v>224</v>
      </c>
      <c r="L4697" s="14" t="n">
        <f aca="false">($L$2*M4697)/100</f>
        <v>600833.25</v>
      </c>
      <c r="M4697" s="15" t="n">
        <v>0.5</v>
      </c>
      <c r="N4697" s="9" t="s">
        <v>85</v>
      </c>
    </row>
    <row r="4698" customFormat="false" ht="14.25" hidden="false" customHeight="true" outlineLevel="0" collapsed="false">
      <c r="B4698" s="9" t="s">
        <v>16</v>
      </c>
      <c r="C4698" s="9" t="n">
        <v>1185732</v>
      </c>
      <c r="D4698" s="10" t="n">
        <v>44137</v>
      </c>
      <c r="E4698" s="9" t="s">
        <v>38</v>
      </c>
      <c r="F4698" s="9" t="s">
        <v>53</v>
      </c>
      <c r="G4698" s="9" t="s">
        <v>54</v>
      </c>
      <c r="H4698" s="11" t="s">
        <v>24</v>
      </c>
      <c r="I4698" s="12" t="n">
        <v>47</v>
      </c>
      <c r="J4698" s="13" t="n">
        <v>19</v>
      </c>
      <c r="K4698" s="14" t="n">
        <f aca="false">I4698*J4698</f>
        <v>893</v>
      </c>
      <c r="L4698" s="14" t="n">
        <f aca="false">($L$2*M4698)/100</f>
        <v>504699.93</v>
      </c>
      <c r="M4698" s="15" t="n">
        <v>0.42</v>
      </c>
      <c r="N4698" s="9" t="s">
        <v>85</v>
      </c>
    </row>
    <row r="4699" customFormat="false" ht="14.25" hidden="false" customHeight="true" outlineLevel="0" collapsed="false">
      <c r="B4699" s="9" t="s">
        <v>16</v>
      </c>
      <c r="C4699" s="9" t="n">
        <v>1185732</v>
      </c>
      <c r="D4699" s="10" t="n">
        <v>44138</v>
      </c>
      <c r="E4699" s="9" t="s">
        <v>38</v>
      </c>
      <c r="F4699" s="9" t="s">
        <v>53</v>
      </c>
      <c r="G4699" s="9" t="s">
        <v>54</v>
      </c>
      <c r="H4699" s="11" t="s">
        <v>25</v>
      </c>
      <c r="I4699" s="12" t="n">
        <v>38</v>
      </c>
      <c r="J4699" s="13" t="n">
        <v>47</v>
      </c>
      <c r="K4699" s="14" t="n">
        <f aca="false">I4699*J4699</f>
        <v>1786</v>
      </c>
      <c r="L4699" s="14" t="n">
        <f aca="false">($L$2*M4699)/100</f>
        <v>660916.575</v>
      </c>
      <c r="M4699" s="15" t="n">
        <v>0.55</v>
      </c>
      <c r="N4699" s="9" t="s">
        <v>85</v>
      </c>
    </row>
    <row r="4700" customFormat="false" ht="14.25" hidden="false" customHeight="true" outlineLevel="0" collapsed="false">
      <c r="B4700" s="9" t="s">
        <v>16</v>
      </c>
      <c r="C4700" s="9" t="n">
        <v>1185732</v>
      </c>
      <c r="D4700" s="10" t="n">
        <v>44139</v>
      </c>
      <c r="E4700" s="9" t="s">
        <v>38</v>
      </c>
      <c r="F4700" s="9" t="s">
        <v>53</v>
      </c>
      <c r="G4700" s="9" t="s">
        <v>54</v>
      </c>
      <c r="H4700" s="11" t="s">
        <v>19</v>
      </c>
      <c r="I4700" s="12" t="n">
        <v>36</v>
      </c>
      <c r="J4700" s="13" t="n">
        <v>120</v>
      </c>
      <c r="K4700" s="14" t="n">
        <f aca="false">I4700*J4700</f>
        <v>4320</v>
      </c>
      <c r="L4700" s="14" t="n">
        <f aca="false">($L$2*M4700)/100</f>
        <v>564783.255</v>
      </c>
      <c r="M4700" s="15" t="n">
        <v>0.47</v>
      </c>
      <c r="N4700" s="9" t="s">
        <v>85</v>
      </c>
    </row>
    <row r="4701" customFormat="false" ht="14.25" hidden="false" customHeight="true" outlineLevel="0" collapsed="false">
      <c r="B4701" s="9" t="s">
        <v>16</v>
      </c>
      <c r="C4701" s="9" t="n">
        <v>1185732</v>
      </c>
      <c r="D4701" s="10" t="n">
        <v>44140</v>
      </c>
      <c r="E4701" s="9" t="s">
        <v>38</v>
      </c>
      <c r="F4701" s="9" t="s">
        <v>53</v>
      </c>
      <c r="G4701" s="9" t="s">
        <v>54</v>
      </c>
      <c r="H4701" s="11" t="s">
        <v>21</v>
      </c>
      <c r="I4701" s="12" t="n">
        <v>38</v>
      </c>
      <c r="J4701" s="13" t="n">
        <v>28</v>
      </c>
      <c r="K4701" s="14" t="n">
        <f aca="false">I4701*J4701</f>
        <v>1064</v>
      </c>
      <c r="L4701" s="14" t="n">
        <f aca="false">($L$2*M4701)/100</f>
        <v>504699.93</v>
      </c>
      <c r="M4701" s="15" t="n">
        <v>0.42</v>
      </c>
      <c r="N4701" s="9" t="s">
        <v>85</v>
      </c>
    </row>
    <row r="4702" customFormat="false" ht="14.25" hidden="false" customHeight="true" outlineLevel="0" collapsed="false">
      <c r="B4702" s="9" t="s">
        <v>16</v>
      </c>
      <c r="C4702" s="9" t="n">
        <v>1185732</v>
      </c>
      <c r="D4702" s="10" t="n">
        <v>44141</v>
      </c>
      <c r="E4702" s="9" t="s">
        <v>38</v>
      </c>
      <c r="F4702" s="9" t="s">
        <v>53</v>
      </c>
      <c r="G4702" s="9" t="s">
        <v>54</v>
      </c>
      <c r="H4702" s="11" t="s">
        <v>22</v>
      </c>
      <c r="I4702" s="12" t="n">
        <v>29</v>
      </c>
      <c r="J4702" s="13" t="n">
        <v>26</v>
      </c>
      <c r="K4702" s="14" t="n">
        <f aca="false">I4702*J4702</f>
        <v>754</v>
      </c>
      <c r="L4702" s="14" t="n">
        <f aca="false">($L$2*M4702)/100</f>
        <v>528733.26</v>
      </c>
      <c r="M4702" s="15" t="n">
        <v>0.44</v>
      </c>
      <c r="N4702" s="9" t="s">
        <v>85</v>
      </c>
    </row>
    <row r="4703" customFormat="false" ht="14.25" hidden="false" customHeight="true" outlineLevel="0" collapsed="false">
      <c r="B4703" s="9" t="s">
        <v>16</v>
      </c>
      <c r="C4703" s="9" t="n">
        <v>1185732</v>
      </c>
      <c r="D4703" s="10" t="n">
        <v>44142</v>
      </c>
      <c r="E4703" s="9" t="s">
        <v>38</v>
      </c>
      <c r="F4703" s="9" t="s">
        <v>53</v>
      </c>
      <c r="G4703" s="9" t="s">
        <v>54</v>
      </c>
      <c r="H4703" s="11" t="s">
        <v>23</v>
      </c>
      <c r="I4703" s="12" t="n">
        <v>32</v>
      </c>
      <c r="J4703" s="13" t="n">
        <v>7</v>
      </c>
      <c r="K4703" s="14" t="n">
        <f aca="false">I4703*J4703</f>
        <v>224</v>
      </c>
      <c r="L4703" s="14" t="n">
        <f aca="false">($L$2*M4703)/100</f>
        <v>600833.25</v>
      </c>
      <c r="M4703" s="15" t="n">
        <v>0.5</v>
      </c>
      <c r="N4703" s="9" t="s">
        <v>85</v>
      </c>
    </row>
    <row r="4704" customFormat="false" ht="14.25" hidden="false" customHeight="true" outlineLevel="0" collapsed="false">
      <c r="B4704" s="9" t="s">
        <v>16</v>
      </c>
      <c r="C4704" s="9" t="n">
        <v>1185732</v>
      </c>
      <c r="D4704" s="10" t="n">
        <v>44143</v>
      </c>
      <c r="E4704" s="9" t="s">
        <v>38</v>
      </c>
      <c r="F4704" s="9" t="s">
        <v>53</v>
      </c>
      <c r="G4704" s="9" t="s">
        <v>54</v>
      </c>
      <c r="H4704" s="11" t="s">
        <v>24</v>
      </c>
      <c r="I4704" s="12" t="n">
        <v>47</v>
      </c>
      <c r="J4704" s="13" t="n">
        <v>14</v>
      </c>
      <c r="K4704" s="14" t="n">
        <f aca="false">I4704*J4704</f>
        <v>658</v>
      </c>
      <c r="L4704" s="14" t="n">
        <f aca="false">($L$2*M4704)/100</f>
        <v>480666.6</v>
      </c>
      <c r="M4704" s="15" t="n">
        <v>0.4</v>
      </c>
      <c r="N4704" s="9" t="s">
        <v>85</v>
      </c>
    </row>
    <row r="4705" customFormat="false" ht="14.25" hidden="false" customHeight="true" outlineLevel="0" collapsed="false">
      <c r="B4705" s="9" t="s">
        <v>16</v>
      </c>
      <c r="C4705" s="9" t="n">
        <v>1185732</v>
      </c>
      <c r="D4705" s="10" t="n">
        <v>44144</v>
      </c>
      <c r="E4705" s="9" t="s">
        <v>38</v>
      </c>
      <c r="F4705" s="9" t="s">
        <v>53</v>
      </c>
      <c r="G4705" s="9" t="s">
        <v>54</v>
      </c>
      <c r="H4705" s="11" t="s">
        <v>25</v>
      </c>
      <c r="I4705" s="12" t="n">
        <v>36</v>
      </c>
      <c r="J4705" s="13" t="n">
        <v>53</v>
      </c>
      <c r="K4705" s="14" t="n">
        <f aca="false">I4705*J4705</f>
        <v>1908</v>
      </c>
      <c r="L4705" s="14" t="n">
        <f aca="false">($L$2*M4705)/100</f>
        <v>720999.9</v>
      </c>
      <c r="M4705" s="15" t="n">
        <v>0.6</v>
      </c>
      <c r="N4705" s="9" t="s">
        <v>85</v>
      </c>
    </row>
    <row r="4706" customFormat="false" ht="14.25" hidden="false" customHeight="true" outlineLevel="0" collapsed="false">
      <c r="B4706" s="9" t="s">
        <v>16</v>
      </c>
      <c r="C4706" s="9" t="n">
        <v>1185732</v>
      </c>
      <c r="D4706" s="10" t="n">
        <v>44145</v>
      </c>
      <c r="E4706" s="9" t="s">
        <v>38</v>
      </c>
      <c r="F4706" s="9" t="s">
        <v>53</v>
      </c>
      <c r="G4706" s="9" t="s">
        <v>54</v>
      </c>
      <c r="H4706" s="11" t="s">
        <v>19</v>
      </c>
      <c r="I4706" s="12" t="n">
        <v>48</v>
      </c>
      <c r="J4706" s="13" t="n">
        <v>116</v>
      </c>
      <c r="K4706" s="14" t="n">
        <f aca="false">I4706*J4706</f>
        <v>5568</v>
      </c>
      <c r="L4706" s="14" t="n">
        <f aca="false">($L$2*M4706)/100</f>
        <v>564783.255</v>
      </c>
      <c r="M4706" s="15" t="n">
        <v>0.47</v>
      </c>
      <c r="N4706" s="9" t="s">
        <v>85</v>
      </c>
    </row>
    <row r="4707" customFormat="false" ht="14.25" hidden="false" customHeight="true" outlineLevel="0" collapsed="false">
      <c r="B4707" s="9" t="s">
        <v>16</v>
      </c>
      <c r="C4707" s="9" t="n">
        <v>1185732</v>
      </c>
      <c r="D4707" s="10" t="n">
        <v>44146</v>
      </c>
      <c r="E4707" s="9" t="s">
        <v>38</v>
      </c>
      <c r="F4707" s="9" t="s">
        <v>53</v>
      </c>
      <c r="G4707" s="9" t="s">
        <v>54</v>
      </c>
      <c r="H4707" s="11" t="s">
        <v>21</v>
      </c>
      <c r="I4707" s="12" t="n">
        <v>44</v>
      </c>
      <c r="J4707" s="13" t="n">
        <v>44</v>
      </c>
      <c r="K4707" s="14" t="n">
        <f aca="false">I4707*J4707</f>
        <v>1936</v>
      </c>
      <c r="L4707" s="14" t="n">
        <f aca="false">($L$2*M4707)/100</f>
        <v>492683.265</v>
      </c>
      <c r="M4707" s="15" t="n">
        <v>0.41</v>
      </c>
      <c r="N4707" s="9" t="s">
        <v>85</v>
      </c>
    </row>
    <row r="4708" customFormat="false" ht="14.25" hidden="false" customHeight="true" outlineLevel="0" collapsed="false">
      <c r="B4708" s="9" t="s">
        <v>16</v>
      </c>
      <c r="C4708" s="9" t="n">
        <v>1185732</v>
      </c>
      <c r="D4708" s="10" t="n">
        <v>44147</v>
      </c>
      <c r="E4708" s="9" t="s">
        <v>38</v>
      </c>
      <c r="F4708" s="9" t="s">
        <v>53</v>
      </c>
      <c r="G4708" s="9" t="s">
        <v>54</v>
      </c>
      <c r="H4708" s="11" t="s">
        <v>22</v>
      </c>
      <c r="I4708" s="12" t="n">
        <v>37</v>
      </c>
      <c r="J4708" s="13" t="n">
        <v>38</v>
      </c>
      <c r="K4708" s="14" t="n">
        <f aca="false">I4708*J4708</f>
        <v>1406</v>
      </c>
      <c r="L4708" s="14" t="n">
        <f aca="false">($L$2*M4708)/100</f>
        <v>528733.26</v>
      </c>
      <c r="M4708" s="15" t="n">
        <v>0.44</v>
      </c>
      <c r="N4708" s="9" t="s">
        <v>85</v>
      </c>
    </row>
    <row r="4709" customFormat="false" ht="14.25" hidden="false" customHeight="true" outlineLevel="0" collapsed="false">
      <c r="B4709" s="9" t="s">
        <v>16</v>
      </c>
      <c r="C4709" s="9" t="n">
        <v>1185732</v>
      </c>
      <c r="D4709" s="10" t="n">
        <v>44148</v>
      </c>
      <c r="E4709" s="9" t="s">
        <v>38</v>
      </c>
      <c r="F4709" s="9" t="s">
        <v>53</v>
      </c>
      <c r="G4709" s="9" t="s">
        <v>54</v>
      </c>
      <c r="H4709" s="11" t="s">
        <v>23</v>
      </c>
      <c r="I4709" s="12" t="n">
        <v>36</v>
      </c>
      <c r="J4709" s="13" t="n">
        <v>13</v>
      </c>
      <c r="K4709" s="14" t="n">
        <f aca="false">I4709*J4709</f>
        <v>468</v>
      </c>
      <c r="L4709" s="14" t="n">
        <f aca="false">($L$2*M4709)/100</f>
        <v>588816.585</v>
      </c>
      <c r="M4709" s="15" t="n">
        <v>0.49</v>
      </c>
      <c r="N4709" s="9" t="s">
        <v>85</v>
      </c>
    </row>
    <row r="4710" customFormat="false" ht="14.25" hidden="false" customHeight="true" outlineLevel="0" collapsed="false">
      <c r="B4710" s="9" t="s">
        <v>16</v>
      </c>
      <c r="C4710" s="9" t="n">
        <v>1185732</v>
      </c>
      <c r="D4710" s="10" t="n">
        <v>44149</v>
      </c>
      <c r="E4710" s="9" t="s">
        <v>38</v>
      </c>
      <c r="F4710" s="9" t="s">
        <v>53</v>
      </c>
      <c r="G4710" s="9" t="s">
        <v>54</v>
      </c>
      <c r="H4710" s="11" t="s">
        <v>24</v>
      </c>
      <c r="I4710" s="12" t="n">
        <v>50</v>
      </c>
      <c r="J4710" s="13" t="n">
        <v>20</v>
      </c>
      <c r="K4710" s="14" t="n">
        <f aca="false">I4710*J4710</f>
        <v>1000</v>
      </c>
      <c r="L4710" s="14" t="n">
        <f aca="false">($L$2*M4710)/100</f>
        <v>492683.265</v>
      </c>
      <c r="M4710" s="15" t="n">
        <v>0.41</v>
      </c>
      <c r="N4710" s="9" t="s">
        <v>85</v>
      </c>
    </row>
    <row r="4711" customFormat="false" ht="14.25" hidden="false" customHeight="true" outlineLevel="0" collapsed="false">
      <c r="B4711" s="9" t="s">
        <v>16</v>
      </c>
      <c r="C4711" s="9" t="n">
        <v>1185732</v>
      </c>
      <c r="D4711" s="10" t="n">
        <v>44150</v>
      </c>
      <c r="E4711" s="9" t="s">
        <v>38</v>
      </c>
      <c r="F4711" s="9" t="s">
        <v>53</v>
      </c>
      <c r="G4711" s="9" t="s">
        <v>54</v>
      </c>
      <c r="H4711" s="11" t="s">
        <v>25</v>
      </c>
      <c r="I4711" s="12" t="n">
        <v>58</v>
      </c>
      <c r="J4711" s="13" t="n">
        <v>51</v>
      </c>
      <c r="K4711" s="14" t="n">
        <f aca="false">I4711*J4711</f>
        <v>2958</v>
      </c>
      <c r="L4711" s="14" t="n">
        <f aca="false">($L$2*M4711)/100</f>
        <v>708983.235</v>
      </c>
      <c r="M4711" s="15" t="n">
        <v>0.59</v>
      </c>
      <c r="N4711" s="9" t="s">
        <v>85</v>
      </c>
    </row>
    <row r="4712" customFormat="false" ht="14.25" hidden="false" customHeight="true" outlineLevel="0" collapsed="false">
      <c r="B4712" s="9" t="s">
        <v>16</v>
      </c>
      <c r="C4712" s="9" t="n">
        <v>1185732</v>
      </c>
      <c r="D4712" s="10" t="n">
        <v>44151</v>
      </c>
      <c r="E4712" s="9" t="s">
        <v>38</v>
      </c>
      <c r="F4712" s="9" t="s">
        <v>53</v>
      </c>
      <c r="G4712" s="9" t="s">
        <v>54</v>
      </c>
      <c r="H4712" s="11" t="s">
        <v>19</v>
      </c>
      <c r="I4712" s="12" t="n">
        <v>44</v>
      </c>
      <c r="J4712" s="13" t="n">
        <v>106</v>
      </c>
      <c r="K4712" s="14" t="n">
        <f aca="false">I4712*J4712</f>
        <v>4664</v>
      </c>
      <c r="L4712" s="14" t="n">
        <f aca="false">($L$2*M4712)/100</f>
        <v>588816.585</v>
      </c>
      <c r="M4712" s="15" t="n">
        <v>0.49</v>
      </c>
      <c r="N4712" s="9" t="s">
        <v>85</v>
      </c>
    </row>
    <row r="4713" customFormat="false" ht="14.25" hidden="false" customHeight="true" outlineLevel="0" collapsed="false">
      <c r="B4713" s="9" t="s">
        <v>16</v>
      </c>
      <c r="C4713" s="9" t="n">
        <v>1185732</v>
      </c>
      <c r="D4713" s="10" t="n">
        <v>44152</v>
      </c>
      <c r="E4713" s="9" t="s">
        <v>38</v>
      </c>
      <c r="F4713" s="9" t="s">
        <v>53</v>
      </c>
      <c r="G4713" s="9" t="s">
        <v>54</v>
      </c>
      <c r="H4713" s="11" t="s">
        <v>21</v>
      </c>
      <c r="I4713" s="12" t="n">
        <v>38</v>
      </c>
      <c r="J4713" s="13" t="n">
        <v>49</v>
      </c>
      <c r="K4713" s="14" t="n">
        <f aca="false">I4713*J4713</f>
        <v>1862</v>
      </c>
      <c r="L4713" s="14" t="n">
        <f aca="false">($L$2*M4713)/100</f>
        <v>492683.265</v>
      </c>
      <c r="M4713" s="15" t="n">
        <v>0.41</v>
      </c>
      <c r="N4713" s="9" t="s">
        <v>85</v>
      </c>
    </row>
    <row r="4714" customFormat="false" ht="14.25" hidden="false" customHeight="true" outlineLevel="0" collapsed="false">
      <c r="B4714" s="9" t="s">
        <v>16</v>
      </c>
      <c r="C4714" s="9" t="n">
        <v>1185732</v>
      </c>
      <c r="D4714" s="10" t="n">
        <v>44153</v>
      </c>
      <c r="E4714" s="9" t="s">
        <v>38</v>
      </c>
      <c r="F4714" s="9" t="s">
        <v>53</v>
      </c>
      <c r="G4714" s="9" t="s">
        <v>54</v>
      </c>
      <c r="H4714" s="11" t="s">
        <v>22</v>
      </c>
      <c r="I4714" s="12" t="n">
        <v>33</v>
      </c>
      <c r="J4714" s="13" t="n">
        <v>47</v>
      </c>
      <c r="K4714" s="14" t="n">
        <f aca="false">I4714*J4714</f>
        <v>1551</v>
      </c>
      <c r="L4714" s="14" t="n">
        <f aca="false">($L$2*M4714)/100</f>
        <v>540749.925</v>
      </c>
      <c r="M4714" s="15" t="n">
        <v>0.45</v>
      </c>
      <c r="N4714" s="9" t="s">
        <v>85</v>
      </c>
    </row>
    <row r="4715" customFormat="false" ht="14.25" hidden="false" customHeight="true" outlineLevel="0" collapsed="false">
      <c r="B4715" s="9" t="s">
        <v>16</v>
      </c>
      <c r="C4715" s="9" t="n">
        <v>1185732</v>
      </c>
      <c r="D4715" s="10" t="n">
        <v>44154</v>
      </c>
      <c r="E4715" s="9" t="s">
        <v>38</v>
      </c>
      <c r="F4715" s="9" t="s">
        <v>53</v>
      </c>
      <c r="G4715" s="9" t="s">
        <v>54</v>
      </c>
      <c r="H4715" s="11" t="s">
        <v>23</v>
      </c>
      <c r="I4715" s="12" t="n">
        <v>32</v>
      </c>
      <c r="J4715" s="13" t="n">
        <v>45</v>
      </c>
      <c r="K4715" s="14" t="n">
        <f aca="false">I4715*J4715</f>
        <v>1440</v>
      </c>
      <c r="L4715" s="14" t="n">
        <f aca="false">($L$2*M4715)/100</f>
        <v>564783.255</v>
      </c>
      <c r="M4715" s="15" t="n">
        <v>0.47</v>
      </c>
      <c r="N4715" s="9" t="s">
        <v>85</v>
      </c>
    </row>
    <row r="4716" customFormat="false" ht="14.25" hidden="false" customHeight="true" outlineLevel="0" collapsed="false">
      <c r="B4716" s="9" t="s">
        <v>16</v>
      </c>
      <c r="C4716" s="9" t="n">
        <v>1185732</v>
      </c>
      <c r="D4716" s="10" t="n">
        <v>44155</v>
      </c>
      <c r="E4716" s="9" t="s">
        <v>38</v>
      </c>
      <c r="F4716" s="9" t="s">
        <v>53</v>
      </c>
      <c r="G4716" s="9" t="s">
        <v>54</v>
      </c>
      <c r="H4716" s="11" t="s">
        <v>24</v>
      </c>
      <c r="I4716" s="12" t="n">
        <v>49</v>
      </c>
      <c r="J4716" s="13" t="n">
        <v>45</v>
      </c>
      <c r="K4716" s="14" t="n">
        <f aca="false">I4716*J4716</f>
        <v>2205</v>
      </c>
      <c r="L4716" s="14" t="n">
        <f aca="false">($L$2*M4716)/100</f>
        <v>504699.93</v>
      </c>
      <c r="M4716" s="15" t="n">
        <v>0.42</v>
      </c>
      <c r="N4716" s="9" t="s">
        <v>85</v>
      </c>
    </row>
    <row r="4717" customFormat="false" ht="14.25" hidden="false" customHeight="true" outlineLevel="0" collapsed="false">
      <c r="B4717" s="9" t="s">
        <v>16</v>
      </c>
      <c r="C4717" s="9" t="n">
        <v>1185732</v>
      </c>
      <c r="D4717" s="10" t="n">
        <v>44156</v>
      </c>
      <c r="E4717" s="9" t="s">
        <v>38</v>
      </c>
      <c r="F4717" s="9" t="s">
        <v>53</v>
      </c>
      <c r="G4717" s="9" t="s">
        <v>54</v>
      </c>
      <c r="H4717" s="11" t="s">
        <v>25</v>
      </c>
      <c r="I4717" s="12" t="n">
        <v>53</v>
      </c>
      <c r="J4717" s="13" t="n">
        <v>81</v>
      </c>
      <c r="K4717" s="14" t="n">
        <f aca="false">I4717*J4717</f>
        <v>4293</v>
      </c>
      <c r="L4717" s="14" t="n">
        <f aca="false">($L$2*M4717)/100</f>
        <v>672933.24</v>
      </c>
      <c r="M4717" s="15" t="n">
        <v>0.56</v>
      </c>
      <c r="N4717" s="9" t="s">
        <v>85</v>
      </c>
    </row>
    <row r="4718" customFormat="false" ht="14.25" hidden="false" customHeight="true" outlineLevel="0" collapsed="false">
      <c r="B4718" s="9" t="s">
        <v>16</v>
      </c>
      <c r="C4718" s="9" t="n">
        <v>1185732</v>
      </c>
      <c r="D4718" s="10" t="n">
        <v>44157</v>
      </c>
      <c r="E4718" s="9" t="s">
        <v>38</v>
      </c>
      <c r="F4718" s="9" t="s">
        <v>53</v>
      </c>
      <c r="G4718" s="9" t="s">
        <v>54</v>
      </c>
      <c r="H4718" s="11" t="s">
        <v>19</v>
      </c>
      <c r="I4718" s="12" t="n">
        <v>49</v>
      </c>
      <c r="J4718" s="13" t="n">
        <v>160</v>
      </c>
      <c r="K4718" s="14" t="n">
        <f aca="false">I4718*J4718</f>
        <v>7840</v>
      </c>
      <c r="L4718" s="14" t="n">
        <f aca="false">($L$2*M4718)/100</f>
        <v>564783.255</v>
      </c>
      <c r="M4718" s="15" t="n">
        <v>0.47</v>
      </c>
      <c r="N4718" s="9" t="s">
        <v>85</v>
      </c>
    </row>
    <row r="4719" customFormat="false" ht="14.25" hidden="false" customHeight="true" outlineLevel="0" collapsed="false">
      <c r="B4719" s="9" t="s">
        <v>16</v>
      </c>
      <c r="C4719" s="9" t="n">
        <v>1185732</v>
      </c>
      <c r="D4719" s="10" t="n">
        <v>44158</v>
      </c>
      <c r="E4719" s="9" t="s">
        <v>38</v>
      </c>
      <c r="F4719" s="9" t="s">
        <v>53</v>
      </c>
      <c r="G4719" s="9" t="s">
        <v>54</v>
      </c>
      <c r="H4719" s="11" t="s">
        <v>21</v>
      </c>
      <c r="I4719" s="12" t="n">
        <v>42</v>
      </c>
      <c r="J4719" s="13" t="n">
        <v>75</v>
      </c>
      <c r="K4719" s="14" t="n">
        <f aca="false">I4719*J4719</f>
        <v>3150</v>
      </c>
      <c r="L4719" s="14" t="n">
        <f aca="false">($L$2*M4719)/100</f>
        <v>540749.925</v>
      </c>
      <c r="M4719" s="15" t="n">
        <v>0.45</v>
      </c>
      <c r="N4719" s="9" t="s">
        <v>85</v>
      </c>
    </row>
    <row r="4720" customFormat="false" ht="14.25" hidden="false" customHeight="true" outlineLevel="0" collapsed="false">
      <c r="B4720" s="9" t="s">
        <v>16</v>
      </c>
      <c r="C4720" s="9" t="n">
        <v>1185732</v>
      </c>
      <c r="D4720" s="10" t="n">
        <v>44159</v>
      </c>
      <c r="E4720" s="9" t="s">
        <v>38</v>
      </c>
      <c r="F4720" s="9" t="s">
        <v>53</v>
      </c>
      <c r="G4720" s="9" t="s">
        <v>54</v>
      </c>
      <c r="H4720" s="11" t="s">
        <v>22</v>
      </c>
      <c r="I4720" s="12" t="n">
        <v>36</v>
      </c>
      <c r="J4720" s="13" t="n">
        <v>63</v>
      </c>
      <c r="K4720" s="14" t="n">
        <f aca="false">I4720*J4720</f>
        <v>2268</v>
      </c>
      <c r="L4720" s="14" t="n">
        <f aca="false">($L$2*M4720)/100</f>
        <v>504699.93</v>
      </c>
      <c r="M4720" s="15" t="n">
        <v>0.42</v>
      </c>
      <c r="N4720" s="9" t="s">
        <v>85</v>
      </c>
    </row>
    <row r="4721" customFormat="false" ht="14.25" hidden="false" customHeight="true" outlineLevel="0" collapsed="false">
      <c r="B4721" s="9" t="s">
        <v>16</v>
      </c>
      <c r="C4721" s="9" t="n">
        <v>1185732</v>
      </c>
      <c r="D4721" s="10" t="n">
        <v>44160</v>
      </c>
      <c r="E4721" s="9" t="s">
        <v>38</v>
      </c>
      <c r="F4721" s="9" t="s">
        <v>53</v>
      </c>
      <c r="G4721" s="9" t="s">
        <v>54</v>
      </c>
      <c r="H4721" s="11" t="s">
        <v>23</v>
      </c>
      <c r="I4721" s="12" t="n">
        <v>38</v>
      </c>
      <c r="J4721" s="13" t="n">
        <v>51</v>
      </c>
      <c r="K4721" s="14" t="n">
        <f aca="false">I4721*J4721</f>
        <v>1938</v>
      </c>
      <c r="L4721" s="14" t="n">
        <f aca="false">($L$2*M4721)/100</f>
        <v>576799.92</v>
      </c>
      <c r="M4721" s="15" t="n">
        <v>0.48</v>
      </c>
      <c r="N4721" s="9" t="s">
        <v>85</v>
      </c>
    </row>
    <row r="4722" customFormat="false" ht="14.25" hidden="false" customHeight="true" outlineLevel="0" collapsed="false">
      <c r="B4722" s="9" t="s">
        <v>16</v>
      </c>
      <c r="C4722" s="9" t="n">
        <v>1185732</v>
      </c>
      <c r="D4722" s="10" t="n">
        <v>44161</v>
      </c>
      <c r="E4722" s="9" t="s">
        <v>38</v>
      </c>
      <c r="F4722" s="9" t="s">
        <v>53</v>
      </c>
      <c r="G4722" s="9" t="s">
        <v>54</v>
      </c>
      <c r="H4722" s="11" t="s">
        <v>24</v>
      </c>
      <c r="I4722" s="12" t="n">
        <v>49</v>
      </c>
      <c r="J4722" s="13" t="n">
        <v>58</v>
      </c>
      <c r="K4722" s="14" t="n">
        <f aca="false">I4722*J4722</f>
        <v>2842</v>
      </c>
      <c r="L4722" s="14" t="n">
        <f aca="false">($L$2*M4722)/100</f>
        <v>492683.265</v>
      </c>
      <c r="M4722" s="15" t="n">
        <v>0.41</v>
      </c>
      <c r="N4722" s="9" t="s">
        <v>85</v>
      </c>
    </row>
    <row r="4723" customFormat="false" ht="14.25" hidden="false" customHeight="true" outlineLevel="0" collapsed="false">
      <c r="B4723" s="9" t="s">
        <v>16</v>
      </c>
      <c r="C4723" s="9" t="n">
        <v>1185732</v>
      </c>
      <c r="D4723" s="10" t="n">
        <v>44162</v>
      </c>
      <c r="E4723" s="9" t="s">
        <v>38</v>
      </c>
      <c r="F4723" s="9" t="s">
        <v>53</v>
      </c>
      <c r="G4723" s="9" t="s">
        <v>54</v>
      </c>
      <c r="H4723" s="11" t="s">
        <v>25</v>
      </c>
      <c r="I4723" s="12" t="n">
        <v>54</v>
      </c>
      <c r="J4723" s="13" t="n">
        <v>98</v>
      </c>
      <c r="K4723" s="14" t="n">
        <f aca="false">I4723*J4723</f>
        <v>5292</v>
      </c>
      <c r="L4723" s="14" t="n">
        <f aca="false">($L$2*M4723)/100</f>
        <v>660916.575</v>
      </c>
      <c r="M4723" s="15" t="n">
        <v>0.55</v>
      </c>
      <c r="N4723" s="9" t="s">
        <v>85</v>
      </c>
    </row>
    <row r="4724" customFormat="false" ht="14.25" hidden="false" customHeight="true" outlineLevel="0" collapsed="false">
      <c r="B4724" s="9" t="s">
        <v>16</v>
      </c>
      <c r="C4724" s="9" t="n">
        <v>1185732</v>
      </c>
      <c r="D4724" s="10" t="n">
        <v>44163</v>
      </c>
      <c r="E4724" s="9" t="s">
        <v>38</v>
      </c>
      <c r="F4724" s="9" t="s">
        <v>53</v>
      </c>
      <c r="G4724" s="9" t="s">
        <v>54</v>
      </c>
      <c r="H4724" s="11" t="s">
        <v>19</v>
      </c>
      <c r="I4724" s="12" t="n">
        <v>47</v>
      </c>
      <c r="J4724" s="13" t="n">
        <v>137</v>
      </c>
      <c r="K4724" s="14" t="n">
        <f aca="false">I4724*J4724</f>
        <v>6439</v>
      </c>
      <c r="L4724" s="14" t="n">
        <f aca="false">($L$2*M4724)/100</f>
        <v>564783.255</v>
      </c>
      <c r="M4724" s="15" t="n">
        <v>0.47</v>
      </c>
      <c r="N4724" s="9" t="s">
        <v>85</v>
      </c>
    </row>
    <row r="4725" customFormat="false" ht="14.25" hidden="false" customHeight="true" outlineLevel="0" collapsed="false">
      <c r="B4725" s="9" t="s">
        <v>16</v>
      </c>
      <c r="C4725" s="9" t="n">
        <v>1185732</v>
      </c>
      <c r="D4725" s="10" t="n">
        <v>44164</v>
      </c>
      <c r="E4725" s="9" t="s">
        <v>38</v>
      </c>
      <c r="F4725" s="9" t="s">
        <v>53</v>
      </c>
      <c r="G4725" s="9" t="s">
        <v>54</v>
      </c>
      <c r="H4725" s="11" t="s">
        <v>21</v>
      </c>
      <c r="I4725" s="12" t="n">
        <v>43</v>
      </c>
      <c r="J4725" s="13" t="n">
        <v>87</v>
      </c>
      <c r="K4725" s="14" t="n">
        <f aca="false">I4725*J4725</f>
        <v>3741</v>
      </c>
      <c r="L4725" s="14" t="n">
        <f aca="false">($L$2*M4725)/100</f>
        <v>492683.265</v>
      </c>
      <c r="M4725" s="15" t="n">
        <v>0.41</v>
      </c>
      <c r="N4725" s="9" t="s">
        <v>85</v>
      </c>
    </row>
    <row r="4726" customFormat="false" ht="14.25" hidden="false" customHeight="true" outlineLevel="0" collapsed="false">
      <c r="B4726" s="9" t="s">
        <v>16</v>
      </c>
      <c r="C4726" s="9" t="n">
        <v>1185732</v>
      </c>
      <c r="D4726" s="10" t="n">
        <v>44165</v>
      </c>
      <c r="E4726" s="9" t="s">
        <v>38</v>
      </c>
      <c r="F4726" s="9" t="s">
        <v>53</v>
      </c>
      <c r="G4726" s="9" t="s">
        <v>54</v>
      </c>
      <c r="H4726" s="11" t="s">
        <v>22</v>
      </c>
      <c r="I4726" s="12" t="n">
        <v>37</v>
      </c>
      <c r="J4726" s="13" t="n">
        <v>68</v>
      </c>
      <c r="K4726" s="14" t="n">
        <f aca="false">I4726*J4726</f>
        <v>2516</v>
      </c>
      <c r="L4726" s="14" t="n">
        <f aca="false">($L$2*M4726)/100</f>
        <v>480666.6</v>
      </c>
      <c r="M4726" s="15" t="n">
        <v>0.4</v>
      </c>
      <c r="N4726" s="9" t="s">
        <v>85</v>
      </c>
    </row>
    <row r="4727" customFormat="false" ht="14.25" hidden="false" customHeight="true" outlineLevel="0" collapsed="false">
      <c r="B4727" s="9" t="s">
        <v>16</v>
      </c>
      <c r="C4727" s="9" t="n">
        <v>1185732</v>
      </c>
      <c r="D4727" s="10" t="n">
        <v>44166</v>
      </c>
      <c r="E4727" s="9" t="s">
        <v>38</v>
      </c>
      <c r="F4727" s="9" t="s">
        <v>53</v>
      </c>
      <c r="G4727" s="9" t="s">
        <v>54</v>
      </c>
      <c r="H4727" s="11" t="s">
        <v>23</v>
      </c>
      <c r="I4727" s="12" t="n">
        <v>33</v>
      </c>
      <c r="J4727" s="13" t="n">
        <v>47</v>
      </c>
      <c r="K4727" s="14" t="n">
        <f aca="false">I4727*J4727</f>
        <v>1551</v>
      </c>
      <c r="L4727" s="14" t="n">
        <f aca="false">($L$2*M4727)/100</f>
        <v>588816.585</v>
      </c>
      <c r="M4727" s="15" t="n">
        <v>0.49</v>
      </c>
      <c r="N4727" s="9" t="s">
        <v>85</v>
      </c>
    </row>
    <row r="4728" customFormat="false" ht="14.25" hidden="false" customHeight="true" outlineLevel="0" collapsed="false">
      <c r="B4728" s="9" t="s">
        <v>16</v>
      </c>
      <c r="C4728" s="9" t="n">
        <v>1185732</v>
      </c>
      <c r="D4728" s="10" t="n">
        <v>44167</v>
      </c>
      <c r="E4728" s="9" t="s">
        <v>38</v>
      </c>
      <c r="F4728" s="9" t="s">
        <v>53</v>
      </c>
      <c r="G4728" s="9" t="s">
        <v>54</v>
      </c>
      <c r="H4728" s="11" t="s">
        <v>24</v>
      </c>
      <c r="I4728" s="12" t="n">
        <v>42</v>
      </c>
      <c r="J4728" s="13" t="n">
        <v>42</v>
      </c>
      <c r="K4728" s="14" t="n">
        <f aca="false">I4728*J4728</f>
        <v>1764</v>
      </c>
      <c r="L4728" s="14" t="n">
        <f aca="false">($L$2*M4728)/100</f>
        <v>492683.265</v>
      </c>
      <c r="M4728" s="15" t="n">
        <v>0.41</v>
      </c>
      <c r="N4728" s="9" t="s">
        <v>85</v>
      </c>
    </row>
    <row r="4729" customFormat="false" ht="14.25" hidden="false" customHeight="true" outlineLevel="0" collapsed="false">
      <c r="B4729" s="9" t="s">
        <v>16</v>
      </c>
      <c r="C4729" s="9" t="n">
        <v>1185732</v>
      </c>
      <c r="D4729" s="10" t="n">
        <v>44168</v>
      </c>
      <c r="E4729" s="9" t="s">
        <v>38</v>
      </c>
      <c r="F4729" s="9" t="s">
        <v>53</v>
      </c>
      <c r="G4729" s="9" t="s">
        <v>54</v>
      </c>
      <c r="H4729" s="11" t="s">
        <v>25</v>
      </c>
      <c r="I4729" s="12" t="n">
        <v>46</v>
      </c>
      <c r="J4729" s="13" t="n">
        <v>88</v>
      </c>
      <c r="K4729" s="14" t="n">
        <f aca="false">I4729*J4729</f>
        <v>4048</v>
      </c>
      <c r="L4729" s="14" t="n">
        <f aca="false">($L$2*M4729)/100</f>
        <v>684949.905</v>
      </c>
      <c r="M4729" s="15" t="n">
        <v>0.57</v>
      </c>
      <c r="N4729" s="9" t="s">
        <v>85</v>
      </c>
    </row>
    <row r="4730" customFormat="false" ht="14.25" hidden="false" customHeight="true" outlineLevel="0" collapsed="false">
      <c r="B4730" s="9" t="s">
        <v>16</v>
      </c>
      <c r="C4730" s="9" t="n">
        <v>1185732</v>
      </c>
      <c r="D4730" s="10" t="n">
        <v>44169</v>
      </c>
      <c r="E4730" s="9" t="s">
        <v>38</v>
      </c>
      <c r="F4730" s="9" t="s">
        <v>53</v>
      </c>
      <c r="G4730" s="9" t="s">
        <v>54</v>
      </c>
      <c r="H4730" s="11" t="s">
        <v>19</v>
      </c>
      <c r="I4730" s="12" t="n">
        <v>43</v>
      </c>
      <c r="J4730" s="13" t="n">
        <v>113</v>
      </c>
      <c r="K4730" s="14" t="n">
        <f aca="false">I4730*J4730</f>
        <v>4859</v>
      </c>
      <c r="L4730" s="14" t="n">
        <f aca="false">($L$2*M4730)/100</f>
        <v>576799.92</v>
      </c>
      <c r="M4730" s="15" t="n">
        <v>0.48</v>
      </c>
      <c r="N4730" s="9" t="s">
        <v>85</v>
      </c>
    </row>
    <row r="4731" customFormat="false" ht="14.25" hidden="false" customHeight="true" outlineLevel="0" collapsed="false">
      <c r="B4731" s="9" t="s">
        <v>16</v>
      </c>
      <c r="C4731" s="9" t="n">
        <v>1185732</v>
      </c>
      <c r="D4731" s="10" t="n">
        <v>44170</v>
      </c>
      <c r="E4731" s="9" t="s">
        <v>38</v>
      </c>
      <c r="F4731" s="9" t="s">
        <v>53</v>
      </c>
      <c r="G4731" s="9" t="s">
        <v>54</v>
      </c>
      <c r="H4731" s="11" t="s">
        <v>21</v>
      </c>
      <c r="I4731" s="12" t="n">
        <v>37</v>
      </c>
      <c r="J4731" s="13" t="n">
        <v>73</v>
      </c>
      <c r="K4731" s="14" t="n">
        <f aca="false">I4731*J4731</f>
        <v>2701</v>
      </c>
      <c r="L4731" s="14" t="n">
        <f aca="false">($L$2*M4731)/100</f>
        <v>540749.925</v>
      </c>
      <c r="M4731" s="15" t="n">
        <v>0.45</v>
      </c>
      <c r="N4731" s="9" t="s">
        <v>85</v>
      </c>
    </row>
    <row r="4732" customFormat="false" ht="14.25" hidden="false" customHeight="true" outlineLevel="0" collapsed="false">
      <c r="B4732" s="9" t="s">
        <v>16</v>
      </c>
      <c r="C4732" s="9" t="n">
        <v>1185732</v>
      </c>
      <c r="D4732" s="10" t="n">
        <v>44171</v>
      </c>
      <c r="E4732" s="9" t="s">
        <v>38</v>
      </c>
      <c r="F4732" s="9" t="s">
        <v>53</v>
      </c>
      <c r="G4732" s="9" t="s">
        <v>54</v>
      </c>
      <c r="H4732" s="11" t="s">
        <v>22</v>
      </c>
      <c r="I4732" s="12" t="n">
        <v>24</v>
      </c>
      <c r="J4732" s="13" t="n">
        <v>41</v>
      </c>
      <c r="K4732" s="14" t="n">
        <f aca="false">I4732*J4732</f>
        <v>984</v>
      </c>
      <c r="L4732" s="14" t="n">
        <f aca="false">($L$2*M4732)/100</f>
        <v>480666.6</v>
      </c>
      <c r="M4732" s="15" t="n">
        <v>0.4</v>
      </c>
      <c r="N4732" s="9" t="s">
        <v>85</v>
      </c>
    </row>
    <row r="4733" customFormat="false" ht="14.25" hidden="false" customHeight="true" outlineLevel="0" collapsed="false">
      <c r="B4733" s="9" t="s">
        <v>16</v>
      </c>
      <c r="C4733" s="9" t="n">
        <v>1185732</v>
      </c>
      <c r="D4733" s="10" t="n">
        <v>44172</v>
      </c>
      <c r="E4733" s="9" t="s">
        <v>38</v>
      </c>
      <c r="F4733" s="9" t="s">
        <v>53</v>
      </c>
      <c r="G4733" s="9" t="s">
        <v>54</v>
      </c>
      <c r="H4733" s="11" t="s">
        <v>23</v>
      </c>
      <c r="I4733" s="12" t="n">
        <v>24</v>
      </c>
      <c r="J4733" s="13" t="n">
        <v>31</v>
      </c>
      <c r="K4733" s="14" t="n">
        <f aca="false">I4733*J4733</f>
        <v>744</v>
      </c>
      <c r="L4733" s="14" t="n">
        <f aca="false">($L$2*M4733)/100</f>
        <v>552766.59</v>
      </c>
      <c r="M4733" s="15" t="n">
        <v>0.46</v>
      </c>
      <c r="N4733" s="9" t="s">
        <v>85</v>
      </c>
    </row>
    <row r="4734" customFormat="false" ht="14.25" hidden="false" customHeight="true" outlineLevel="0" collapsed="false">
      <c r="B4734" s="9" t="s">
        <v>16</v>
      </c>
      <c r="C4734" s="9" t="n">
        <v>1185732</v>
      </c>
      <c r="D4734" s="10" t="n">
        <v>44173</v>
      </c>
      <c r="E4734" s="9" t="s">
        <v>38</v>
      </c>
      <c r="F4734" s="9" t="s">
        <v>53</v>
      </c>
      <c r="G4734" s="9" t="s">
        <v>54</v>
      </c>
      <c r="H4734" s="11" t="s">
        <v>24</v>
      </c>
      <c r="I4734" s="12" t="n">
        <v>32</v>
      </c>
      <c r="J4734" s="13" t="n">
        <v>34</v>
      </c>
      <c r="K4734" s="14" t="n">
        <f aca="false">I4734*J4734</f>
        <v>1088</v>
      </c>
      <c r="L4734" s="14" t="n">
        <f aca="false">($L$2*M4734)/100</f>
        <v>528733.26</v>
      </c>
      <c r="M4734" s="15" t="n">
        <v>0.44</v>
      </c>
      <c r="N4734" s="9" t="s">
        <v>85</v>
      </c>
    </row>
    <row r="4735" customFormat="false" ht="14.25" hidden="false" customHeight="true" outlineLevel="0" collapsed="false">
      <c r="B4735" s="9" t="s">
        <v>16</v>
      </c>
      <c r="C4735" s="9" t="n">
        <v>1185732</v>
      </c>
      <c r="D4735" s="10" t="n">
        <v>44174</v>
      </c>
      <c r="E4735" s="9" t="s">
        <v>38</v>
      </c>
      <c r="F4735" s="9" t="s">
        <v>53</v>
      </c>
      <c r="G4735" s="9" t="s">
        <v>54</v>
      </c>
      <c r="H4735" s="11" t="s">
        <v>25</v>
      </c>
      <c r="I4735" s="12" t="n">
        <v>39</v>
      </c>
      <c r="J4735" s="13" t="n">
        <v>52</v>
      </c>
      <c r="K4735" s="14" t="n">
        <f aca="false">I4735*J4735</f>
        <v>2028</v>
      </c>
      <c r="L4735" s="14" t="n">
        <f aca="false">($L$2*M4735)/100</f>
        <v>684949.905</v>
      </c>
      <c r="M4735" s="15" t="n">
        <v>0.57</v>
      </c>
      <c r="N4735" s="9" t="s">
        <v>85</v>
      </c>
    </row>
    <row r="4736" customFormat="false" ht="14.25" hidden="false" customHeight="true" outlineLevel="0" collapsed="false">
      <c r="B4736" s="9" t="s">
        <v>16</v>
      </c>
      <c r="C4736" s="9" t="n">
        <v>1185732</v>
      </c>
      <c r="D4736" s="10" t="n">
        <v>44175</v>
      </c>
      <c r="E4736" s="9" t="s">
        <v>38</v>
      </c>
      <c r="F4736" s="9" t="s">
        <v>53</v>
      </c>
      <c r="G4736" s="9" t="s">
        <v>54</v>
      </c>
      <c r="H4736" s="11" t="s">
        <v>19</v>
      </c>
      <c r="I4736" s="12" t="n">
        <v>41</v>
      </c>
      <c r="J4736" s="13" t="n">
        <v>98</v>
      </c>
      <c r="K4736" s="14" t="n">
        <f aca="false">I4736*J4736</f>
        <v>4018</v>
      </c>
      <c r="L4736" s="14" t="n">
        <f aca="false">($L$2*M4736)/100</f>
        <v>564783.255</v>
      </c>
      <c r="M4736" s="15" t="n">
        <v>0.47</v>
      </c>
      <c r="N4736" s="9" t="s">
        <v>85</v>
      </c>
    </row>
    <row r="4737" customFormat="false" ht="14.25" hidden="false" customHeight="true" outlineLevel="0" collapsed="false">
      <c r="B4737" s="9" t="s">
        <v>16</v>
      </c>
      <c r="C4737" s="9" t="n">
        <v>1185732</v>
      </c>
      <c r="D4737" s="10" t="n">
        <v>44176</v>
      </c>
      <c r="E4737" s="9" t="s">
        <v>38</v>
      </c>
      <c r="F4737" s="9" t="s">
        <v>53</v>
      </c>
      <c r="G4737" s="9" t="s">
        <v>54</v>
      </c>
      <c r="H4737" s="11" t="s">
        <v>21</v>
      </c>
      <c r="I4737" s="12" t="n">
        <v>34</v>
      </c>
      <c r="J4737" s="13" t="n">
        <v>58</v>
      </c>
      <c r="K4737" s="14" t="n">
        <f aca="false">I4737*J4737</f>
        <v>1972</v>
      </c>
      <c r="L4737" s="14" t="n">
        <f aca="false">($L$2*M4737)/100</f>
        <v>516716.595</v>
      </c>
      <c r="M4737" s="15" t="n">
        <v>0.43</v>
      </c>
      <c r="N4737" s="9" t="s">
        <v>85</v>
      </c>
    </row>
    <row r="4738" customFormat="false" ht="14.25" hidden="false" customHeight="true" outlineLevel="0" collapsed="false">
      <c r="B4738" s="9" t="s">
        <v>16</v>
      </c>
      <c r="C4738" s="9" t="n">
        <v>1185732</v>
      </c>
      <c r="D4738" s="10" t="n">
        <v>44177</v>
      </c>
      <c r="E4738" s="9" t="s">
        <v>38</v>
      </c>
      <c r="F4738" s="9" t="s">
        <v>53</v>
      </c>
      <c r="G4738" s="9" t="s">
        <v>54</v>
      </c>
      <c r="H4738" s="11" t="s">
        <v>22</v>
      </c>
      <c r="I4738" s="12" t="n">
        <v>32</v>
      </c>
      <c r="J4738" s="13" t="n">
        <v>25</v>
      </c>
      <c r="K4738" s="14" t="n">
        <f aca="false">I4738*J4738</f>
        <v>800</v>
      </c>
      <c r="L4738" s="14" t="n">
        <f aca="false">($L$2*M4738)/100</f>
        <v>504699.93</v>
      </c>
      <c r="M4738" s="15" t="n">
        <v>0.42</v>
      </c>
      <c r="N4738" s="9" t="s">
        <v>85</v>
      </c>
    </row>
    <row r="4739" customFormat="false" ht="14.25" hidden="false" customHeight="true" outlineLevel="0" collapsed="false">
      <c r="B4739" s="9" t="s">
        <v>16</v>
      </c>
      <c r="C4739" s="9" t="n">
        <v>1185732</v>
      </c>
      <c r="D4739" s="10" t="n">
        <v>44178</v>
      </c>
      <c r="E4739" s="9" t="s">
        <v>38</v>
      </c>
      <c r="F4739" s="9" t="s">
        <v>53</v>
      </c>
      <c r="G4739" s="9" t="s">
        <v>54</v>
      </c>
      <c r="H4739" s="11" t="s">
        <v>23</v>
      </c>
      <c r="I4739" s="12" t="n">
        <v>32</v>
      </c>
      <c r="J4739" s="13" t="n">
        <v>21</v>
      </c>
      <c r="K4739" s="14" t="n">
        <f aca="false">I4739*J4739</f>
        <v>672</v>
      </c>
      <c r="L4739" s="14" t="n">
        <f aca="false">($L$2*M4739)/100</f>
        <v>552766.59</v>
      </c>
      <c r="M4739" s="15" t="n">
        <v>0.46</v>
      </c>
      <c r="N4739" s="9" t="s">
        <v>85</v>
      </c>
    </row>
    <row r="4740" customFormat="false" ht="14.25" hidden="false" customHeight="true" outlineLevel="0" collapsed="false">
      <c r="B4740" s="9" t="s">
        <v>16</v>
      </c>
      <c r="C4740" s="9" t="n">
        <v>1185732</v>
      </c>
      <c r="D4740" s="10" t="n">
        <v>44179</v>
      </c>
      <c r="E4740" s="9" t="s">
        <v>38</v>
      </c>
      <c r="F4740" s="9" t="s">
        <v>53</v>
      </c>
      <c r="G4740" s="9" t="s">
        <v>54</v>
      </c>
      <c r="H4740" s="11" t="s">
        <v>24</v>
      </c>
      <c r="I4740" s="12" t="n">
        <v>41</v>
      </c>
      <c r="J4740" s="13" t="n">
        <v>19</v>
      </c>
      <c r="K4740" s="14" t="n">
        <f aca="false">I4740*J4740</f>
        <v>779</v>
      </c>
      <c r="L4740" s="14" t="n">
        <f aca="false">($L$2*M4740)/100</f>
        <v>504699.93</v>
      </c>
      <c r="M4740" s="15" t="n">
        <v>0.42</v>
      </c>
      <c r="N4740" s="9" t="s">
        <v>85</v>
      </c>
    </row>
    <row r="4741" customFormat="false" ht="14.25" hidden="false" customHeight="true" outlineLevel="0" collapsed="false">
      <c r="B4741" s="9" t="s">
        <v>16</v>
      </c>
      <c r="C4741" s="9" t="n">
        <v>1185732</v>
      </c>
      <c r="D4741" s="10" t="n">
        <v>44180</v>
      </c>
      <c r="E4741" s="9" t="s">
        <v>38</v>
      </c>
      <c r="F4741" s="9" t="s">
        <v>53</v>
      </c>
      <c r="G4741" s="9" t="s">
        <v>54</v>
      </c>
      <c r="H4741" s="11" t="s">
        <v>25</v>
      </c>
      <c r="I4741" s="12" t="n">
        <v>49</v>
      </c>
      <c r="J4741" s="13" t="n">
        <v>60</v>
      </c>
      <c r="K4741" s="14" t="n">
        <f aca="false">I4741*J4741</f>
        <v>2940</v>
      </c>
      <c r="L4741" s="14" t="n">
        <f aca="false">($L$2*M4741)/100</f>
        <v>720999.9</v>
      </c>
      <c r="M4741" s="15" t="n">
        <v>0.6</v>
      </c>
      <c r="N4741" s="9" t="s">
        <v>85</v>
      </c>
    </row>
    <row r="4742" customFormat="false" ht="14.25" hidden="false" customHeight="true" outlineLevel="0" collapsed="false">
      <c r="B4742" s="9" t="s">
        <v>16</v>
      </c>
      <c r="C4742" s="9" t="n">
        <v>1185732</v>
      </c>
      <c r="D4742" s="10" t="n">
        <v>44181</v>
      </c>
      <c r="E4742" s="9" t="s">
        <v>38</v>
      </c>
      <c r="F4742" s="9" t="s">
        <v>53</v>
      </c>
      <c r="G4742" s="9" t="s">
        <v>54</v>
      </c>
      <c r="H4742" s="11" t="s">
        <v>19</v>
      </c>
      <c r="I4742" s="12" t="n">
        <v>46</v>
      </c>
      <c r="J4742" s="13" t="n">
        <v>91</v>
      </c>
      <c r="K4742" s="14" t="n">
        <f aca="false">I4742*J4742</f>
        <v>4186</v>
      </c>
      <c r="L4742" s="14" t="n">
        <f aca="false">($L$2*M4742)/100</f>
        <v>564783.255</v>
      </c>
      <c r="M4742" s="15" t="n">
        <v>0.47</v>
      </c>
      <c r="N4742" s="9" t="s">
        <v>85</v>
      </c>
    </row>
    <row r="4743" customFormat="false" ht="14.25" hidden="false" customHeight="true" outlineLevel="0" collapsed="false">
      <c r="B4743" s="9" t="s">
        <v>16</v>
      </c>
      <c r="C4743" s="9" t="n">
        <v>1185732</v>
      </c>
      <c r="D4743" s="10" t="n">
        <v>44182</v>
      </c>
      <c r="E4743" s="9" t="s">
        <v>38</v>
      </c>
      <c r="F4743" s="9" t="s">
        <v>53</v>
      </c>
      <c r="G4743" s="9" t="s">
        <v>54</v>
      </c>
      <c r="H4743" s="11" t="s">
        <v>21</v>
      </c>
      <c r="I4743" s="12" t="n">
        <v>38</v>
      </c>
      <c r="J4743" s="13" t="n">
        <v>52</v>
      </c>
      <c r="K4743" s="14" t="n">
        <f aca="false">I4743*J4743</f>
        <v>1976</v>
      </c>
      <c r="L4743" s="14" t="n">
        <f aca="false">($L$2*M4743)/100</f>
        <v>480666.6</v>
      </c>
      <c r="M4743" s="15" t="n">
        <v>0.4</v>
      </c>
      <c r="N4743" s="9" t="s">
        <v>85</v>
      </c>
    </row>
    <row r="4744" customFormat="false" ht="14.25" hidden="false" customHeight="true" outlineLevel="0" collapsed="false">
      <c r="B4744" s="9" t="s">
        <v>16</v>
      </c>
      <c r="C4744" s="9" t="n">
        <v>1185732</v>
      </c>
      <c r="D4744" s="10" t="n">
        <v>44183</v>
      </c>
      <c r="E4744" s="9" t="s">
        <v>38</v>
      </c>
      <c r="F4744" s="9" t="s">
        <v>53</v>
      </c>
      <c r="G4744" s="9" t="s">
        <v>54</v>
      </c>
      <c r="H4744" s="11" t="s">
        <v>22</v>
      </c>
      <c r="I4744" s="12" t="n">
        <v>36</v>
      </c>
      <c r="J4744" s="13" t="n">
        <v>38</v>
      </c>
      <c r="K4744" s="14" t="n">
        <f aca="false">I4744*J4744</f>
        <v>1368</v>
      </c>
      <c r="L4744" s="14" t="n">
        <f aca="false">($L$2*M4744)/100</f>
        <v>480666.6</v>
      </c>
      <c r="M4744" s="15" t="n">
        <v>0.4</v>
      </c>
      <c r="N4744" s="9" t="s">
        <v>85</v>
      </c>
    </row>
    <row r="4745" customFormat="false" ht="14.25" hidden="false" customHeight="true" outlineLevel="0" collapsed="false">
      <c r="B4745" s="9" t="s">
        <v>16</v>
      </c>
      <c r="C4745" s="9" t="n">
        <v>1185732</v>
      </c>
      <c r="D4745" s="10" t="n">
        <v>44184</v>
      </c>
      <c r="E4745" s="9" t="s">
        <v>38</v>
      </c>
      <c r="F4745" s="9" t="s">
        <v>53</v>
      </c>
      <c r="G4745" s="9" t="s">
        <v>54</v>
      </c>
      <c r="H4745" s="11" t="s">
        <v>23</v>
      </c>
      <c r="I4745" s="12" t="n">
        <v>38</v>
      </c>
      <c r="J4745" s="13" t="n">
        <v>45</v>
      </c>
      <c r="K4745" s="14" t="n">
        <f aca="false">I4745*J4745</f>
        <v>1710</v>
      </c>
      <c r="L4745" s="14" t="n">
        <f aca="false">($L$2*M4745)/100</f>
        <v>588816.585</v>
      </c>
      <c r="M4745" s="15" t="n">
        <v>0.49</v>
      </c>
      <c r="N4745" s="9" t="s">
        <v>85</v>
      </c>
    </row>
    <row r="4746" customFormat="false" ht="14.25" hidden="false" customHeight="true" outlineLevel="0" collapsed="false">
      <c r="B4746" s="9" t="s">
        <v>16</v>
      </c>
      <c r="C4746" s="9" t="n">
        <v>1185732</v>
      </c>
      <c r="D4746" s="10" t="n">
        <v>44185</v>
      </c>
      <c r="E4746" s="9" t="s">
        <v>38</v>
      </c>
      <c r="F4746" s="9" t="s">
        <v>53</v>
      </c>
      <c r="G4746" s="9" t="s">
        <v>54</v>
      </c>
      <c r="H4746" s="11" t="s">
        <v>24</v>
      </c>
      <c r="I4746" s="12" t="n">
        <v>52</v>
      </c>
      <c r="J4746" s="13" t="n">
        <v>34</v>
      </c>
      <c r="K4746" s="14" t="n">
        <f aca="false">I4746*J4746</f>
        <v>1768</v>
      </c>
      <c r="L4746" s="14" t="n">
        <f aca="false">($L$2*M4746)/100</f>
        <v>504699.93</v>
      </c>
      <c r="M4746" s="15" t="n">
        <v>0.42</v>
      </c>
      <c r="N4746" s="9" t="s">
        <v>85</v>
      </c>
    </row>
    <row r="4747" customFormat="false" ht="14.25" hidden="false" customHeight="true" outlineLevel="0" collapsed="false">
      <c r="B4747" s="9" t="s">
        <v>16</v>
      </c>
      <c r="C4747" s="9" t="n">
        <v>1185732</v>
      </c>
      <c r="D4747" s="10" t="n">
        <v>44186</v>
      </c>
      <c r="E4747" s="9" t="s">
        <v>38</v>
      </c>
      <c r="F4747" s="9" t="s">
        <v>53</v>
      </c>
      <c r="G4747" s="9" t="s">
        <v>54</v>
      </c>
      <c r="H4747" s="11" t="s">
        <v>25</v>
      </c>
      <c r="I4747" s="12" t="n">
        <v>59</v>
      </c>
      <c r="J4747" s="13" t="n">
        <v>61</v>
      </c>
      <c r="K4747" s="14" t="n">
        <f aca="false">I4747*J4747</f>
        <v>3599</v>
      </c>
      <c r="L4747" s="14" t="n">
        <f aca="false">($L$2*M4747)/100</f>
        <v>720999.9</v>
      </c>
      <c r="M4747" s="15" t="n">
        <v>0.6</v>
      </c>
      <c r="N4747" s="9" t="s">
        <v>85</v>
      </c>
    </row>
    <row r="4748" customFormat="false" ht="14.25" hidden="false" customHeight="true" outlineLevel="0" collapsed="false">
      <c r="B4748" s="9" t="s">
        <v>16</v>
      </c>
      <c r="C4748" s="9" t="n">
        <v>1185732</v>
      </c>
      <c r="D4748" s="10" t="n">
        <v>44187</v>
      </c>
      <c r="E4748" s="9" t="s">
        <v>38</v>
      </c>
      <c r="F4748" s="9" t="s">
        <v>53</v>
      </c>
      <c r="G4748" s="9" t="s">
        <v>54</v>
      </c>
      <c r="H4748" s="11" t="s">
        <v>19</v>
      </c>
      <c r="I4748" s="12" t="n">
        <v>50</v>
      </c>
      <c r="J4748" s="13" t="n">
        <v>124</v>
      </c>
      <c r="K4748" s="14" t="n">
        <f aca="false">I4748*J4748</f>
        <v>6200</v>
      </c>
      <c r="L4748" s="14" t="n">
        <f aca="false">($L$2*M4748)/100</f>
        <v>600833.25</v>
      </c>
      <c r="M4748" s="15" t="n">
        <v>0.5</v>
      </c>
      <c r="N4748" s="9" t="s">
        <v>85</v>
      </c>
    </row>
    <row r="4749" customFormat="false" ht="14.25" hidden="false" customHeight="true" outlineLevel="0" collapsed="false">
      <c r="B4749" s="9" t="s">
        <v>16</v>
      </c>
      <c r="C4749" s="9" t="n">
        <v>1185732</v>
      </c>
      <c r="D4749" s="10" t="n">
        <v>44188</v>
      </c>
      <c r="E4749" s="9" t="s">
        <v>38</v>
      </c>
      <c r="F4749" s="9" t="s">
        <v>53</v>
      </c>
      <c r="G4749" s="9" t="s">
        <v>54</v>
      </c>
      <c r="H4749" s="11" t="s">
        <v>21</v>
      </c>
      <c r="I4749" s="12" t="n">
        <v>42</v>
      </c>
      <c r="J4749" s="13" t="n">
        <v>77</v>
      </c>
      <c r="K4749" s="14" t="n">
        <f aca="false">I4749*J4749</f>
        <v>3234</v>
      </c>
      <c r="L4749" s="14" t="n">
        <f aca="false">($L$2*M4749)/100</f>
        <v>540749.925</v>
      </c>
      <c r="M4749" s="15" t="n">
        <v>0.45</v>
      </c>
      <c r="N4749" s="9" t="s">
        <v>85</v>
      </c>
    </row>
    <row r="4750" customFormat="false" ht="14.25" hidden="false" customHeight="true" outlineLevel="0" collapsed="false">
      <c r="B4750" s="9" t="s">
        <v>16</v>
      </c>
      <c r="C4750" s="9" t="n">
        <v>1185732</v>
      </c>
      <c r="D4750" s="10" t="n">
        <v>44189</v>
      </c>
      <c r="E4750" s="9" t="s">
        <v>38</v>
      </c>
      <c r="F4750" s="9" t="s">
        <v>53</v>
      </c>
      <c r="G4750" s="9" t="s">
        <v>54</v>
      </c>
      <c r="H4750" s="11" t="s">
        <v>22</v>
      </c>
      <c r="I4750" s="12" t="n">
        <v>44</v>
      </c>
      <c r="J4750" s="13" t="n">
        <v>56</v>
      </c>
      <c r="K4750" s="14" t="n">
        <f aca="false">I4750*J4750</f>
        <v>2464</v>
      </c>
      <c r="L4750" s="14" t="n">
        <f aca="false">($L$2*M4750)/100</f>
        <v>492683.265</v>
      </c>
      <c r="M4750" s="15" t="n">
        <v>0.41</v>
      </c>
      <c r="N4750" s="9" t="s">
        <v>85</v>
      </c>
    </row>
    <row r="4751" customFormat="false" ht="14.25" hidden="false" customHeight="true" outlineLevel="0" collapsed="false">
      <c r="B4751" s="9" t="s">
        <v>16</v>
      </c>
      <c r="C4751" s="9" t="n">
        <v>1185732</v>
      </c>
      <c r="D4751" s="10" t="n">
        <v>44190</v>
      </c>
      <c r="E4751" s="9" t="s">
        <v>38</v>
      </c>
      <c r="F4751" s="9" t="s">
        <v>53</v>
      </c>
      <c r="G4751" s="9" t="s">
        <v>54</v>
      </c>
      <c r="H4751" s="11" t="s">
        <v>23</v>
      </c>
      <c r="I4751" s="12" t="n">
        <v>44</v>
      </c>
      <c r="J4751" s="13" t="n">
        <v>49</v>
      </c>
      <c r="K4751" s="14" t="n">
        <f aca="false">I4751*J4751</f>
        <v>2156</v>
      </c>
      <c r="L4751" s="14" t="n">
        <f aca="false">($L$2*M4751)/100</f>
        <v>588816.585</v>
      </c>
      <c r="M4751" s="15" t="n">
        <v>0.49</v>
      </c>
      <c r="N4751" s="9" t="s">
        <v>85</v>
      </c>
    </row>
    <row r="4752" customFormat="false" ht="14.25" hidden="false" customHeight="true" outlineLevel="0" collapsed="false">
      <c r="B4752" s="9" t="s">
        <v>16</v>
      </c>
      <c r="C4752" s="9" t="n">
        <v>1185732</v>
      </c>
      <c r="D4752" s="10" t="n">
        <v>44191</v>
      </c>
      <c r="E4752" s="9" t="s">
        <v>38</v>
      </c>
      <c r="F4752" s="9" t="s">
        <v>53</v>
      </c>
      <c r="G4752" s="9" t="s">
        <v>54</v>
      </c>
      <c r="H4752" s="11" t="s">
        <v>24</v>
      </c>
      <c r="I4752" s="12" t="n">
        <v>54</v>
      </c>
      <c r="J4752" s="13" t="n">
        <v>44</v>
      </c>
      <c r="K4752" s="14" t="n">
        <f aca="false">I4752*J4752</f>
        <v>2376</v>
      </c>
      <c r="L4752" s="14" t="n">
        <f aca="false">($L$2*M4752)/100</f>
        <v>492683.265</v>
      </c>
      <c r="M4752" s="15" t="n">
        <v>0.41</v>
      </c>
      <c r="N4752" s="9" t="s">
        <v>85</v>
      </c>
    </row>
    <row r="4753" customFormat="false" ht="14.25" hidden="false" customHeight="true" outlineLevel="0" collapsed="false">
      <c r="B4753" s="9" t="s">
        <v>16</v>
      </c>
      <c r="C4753" s="9" t="n">
        <v>1185732</v>
      </c>
      <c r="D4753" s="10" t="n">
        <v>44192</v>
      </c>
      <c r="E4753" s="9" t="s">
        <v>38</v>
      </c>
      <c r="F4753" s="9" t="s">
        <v>53</v>
      </c>
      <c r="G4753" s="9" t="s">
        <v>54</v>
      </c>
      <c r="H4753" s="11" t="s">
        <v>25</v>
      </c>
      <c r="I4753" s="12" t="n">
        <v>54</v>
      </c>
      <c r="J4753" s="13" t="n">
        <v>77</v>
      </c>
      <c r="K4753" s="14" t="n">
        <f aca="false">I4753*J4753</f>
        <v>4158</v>
      </c>
      <c r="L4753" s="14" t="n">
        <f aca="false">($L$2*M4753)/100</f>
        <v>684949.905</v>
      </c>
      <c r="M4753" s="15" t="n">
        <v>0.57</v>
      </c>
      <c r="N4753" s="9" t="s">
        <v>85</v>
      </c>
    </row>
    <row r="4754" customFormat="false" ht="14.25" hidden="false" customHeight="true" outlineLevel="0" collapsed="false">
      <c r="B4754" s="9" t="s">
        <v>36</v>
      </c>
      <c r="C4754" s="9" t="n">
        <v>1189833</v>
      </c>
      <c r="D4754" s="10" t="n">
        <v>44193</v>
      </c>
      <c r="E4754" s="9" t="s">
        <v>38</v>
      </c>
      <c r="F4754" s="9" t="s">
        <v>53</v>
      </c>
      <c r="G4754" s="9" t="s">
        <v>54</v>
      </c>
      <c r="H4754" s="11" t="s">
        <v>19</v>
      </c>
      <c r="I4754" s="12" t="n">
        <v>32</v>
      </c>
      <c r="J4754" s="13" t="n">
        <v>119</v>
      </c>
      <c r="K4754" s="14" t="n">
        <f aca="false">I4754*J4754</f>
        <v>3808</v>
      </c>
      <c r="L4754" s="14" t="n">
        <f aca="false">($L$2*M4754)/100</f>
        <v>696966.57</v>
      </c>
      <c r="M4754" s="15" t="n">
        <v>0.58</v>
      </c>
      <c r="N4754" s="9" t="s">
        <v>85</v>
      </c>
    </row>
    <row r="4755" customFormat="false" ht="14.25" hidden="false" customHeight="true" outlineLevel="0" collapsed="false">
      <c r="B4755" s="9" t="s">
        <v>36</v>
      </c>
      <c r="C4755" s="9" t="n">
        <v>1189833</v>
      </c>
      <c r="D4755" s="10" t="n">
        <v>44194</v>
      </c>
      <c r="E4755" s="9" t="s">
        <v>38</v>
      </c>
      <c r="F4755" s="9" t="s">
        <v>53</v>
      </c>
      <c r="G4755" s="9" t="s">
        <v>54</v>
      </c>
      <c r="H4755" s="11" t="s">
        <v>21</v>
      </c>
      <c r="I4755" s="12" t="n">
        <v>43</v>
      </c>
      <c r="J4755" s="13" t="n">
        <v>128</v>
      </c>
      <c r="K4755" s="14" t="n">
        <f aca="false">I4755*J4755</f>
        <v>5504</v>
      </c>
      <c r="L4755" s="14" t="n">
        <f aca="false">($L$2*M4755)/100</f>
        <v>504699.93</v>
      </c>
      <c r="M4755" s="15" t="n">
        <v>0.42</v>
      </c>
      <c r="N4755" s="9" t="s">
        <v>85</v>
      </c>
    </row>
    <row r="4756" customFormat="false" ht="14.25" hidden="false" customHeight="true" outlineLevel="0" collapsed="false">
      <c r="B4756" s="9" t="s">
        <v>36</v>
      </c>
      <c r="C4756" s="9" t="n">
        <v>1189833</v>
      </c>
      <c r="D4756" s="10" t="n">
        <v>44195</v>
      </c>
      <c r="E4756" s="9" t="s">
        <v>38</v>
      </c>
      <c r="F4756" s="9" t="s">
        <v>53</v>
      </c>
      <c r="G4756" s="9" t="s">
        <v>54</v>
      </c>
      <c r="H4756" s="11" t="s">
        <v>22</v>
      </c>
      <c r="I4756" s="12" t="n">
        <v>41</v>
      </c>
      <c r="J4756" s="13" t="n">
        <v>119</v>
      </c>
      <c r="K4756" s="14" t="n">
        <f aca="false">I4756*J4756</f>
        <v>4879</v>
      </c>
      <c r="L4756" s="14" t="n">
        <f aca="false">($L$2*M4756)/100</f>
        <v>708983.235</v>
      </c>
      <c r="M4756" s="15" t="n">
        <v>0.59</v>
      </c>
      <c r="N4756" s="9" t="s">
        <v>85</v>
      </c>
    </row>
    <row r="4757" customFormat="false" ht="14.25" hidden="false" customHeight="true" outlineLevel="0" collapsed="false">
      <c r="B4757" s="9" t="s">
        <v>36</v>
      </c>
      <c r="C4757" s="9" t="n">
        <v>1189833</v>
      </c>
      <c r="D4757" s="10" t="n">
        <v>44196</v>
      </c>
      <c r="E4757" s="9" t="s">
        <v>38</v>
      </c>
      <c r="F4757" s="9" t="s">
        <v>53</v>
      </c>
      <c r="G4757" s="9" t="s">
        <v>54</v>
      </c>
      <c r="H4757" s="11" t="s">
        <v>23</v>
      </c>
      <c r="I4757" s="12" t="n">
        <v>44</v>
      </c>
      <c r="J4757" s="13" t="n">
        <v>98</v>
      </c>
      <c r="K4757" s="14" t="n">
        <f aca="false">I4757*J4757</f>
        <v>4312</v>
      </c>
      <c r="L4757" s="14" t="n">
        <f aca="false">($L$2*M4757)/100</f>
        <v>624866.58</v>
      </c>
      <c r="M4757" s="15" t="n">
        <v>0.52</v>
      </c>
      <c r="N4757" s="9" t="s">
        <v>85</v>
      </c>
    </row>
    <row r="4758" customFormat="false" ht="14.25" hidden="false" customHeight="true" outlineLevel="0" collapsed="false">
      <c r="B4758" s="9" t="s">
        <v>36</v>
      </c>
      <c r="C4758" s="9" t="n">
        <v>1189833</v>
      </c>
      <c r="D4758" s="10" t="n">
        <v>44197</v>
      </c>
      <c r="E4758" s="9" t="s">
        <v>38</v>
      </c>
      <c r="F4758" s="9" t="s">
        <v>55</v>
      </c>
      <c r="G4758" s="9" t="s">
        <v>56</v>
      </c>
      <c r="H4758" s="11" t="s">
        <v>24</v>
      </c>
      <c r="I4758" s="12" t="n">
        <v>47</v>
      </c>
      <c r="J4758" s="13" t="n">
        <v>77</v>
      </c>
      <c r="K4758" s="14" t="n">
        <f aca="false">I4758*J4758</f>
        <v>3619</v>
      </c>
      <c r="L4758" s="14" t="n">
        <f aca="false">($L$2*M4758)/100</f>
        <v>901249.875</v>
      </c>
      <c r="M4758" s="15" t="n">
        <v>0.75</v>
      </c>
      <c r="N4758" s="9" t="s">
        <v>85</v>
      </c>
    </row>
    <row r="4759" customFormat="false" ht="14.25" hidden="false" customHeight="true" outlineLevel="0" collapsed="false">
      <c r="B4759" s="9" t="s">
        <v>36</v>
      </c>
      <c r="C4759" s="9" t="n">
        <v>1189833</v>
      </c>
      <c r="D4759" s="10" t="n">
        <v>44198</v>
      </c>
      <c r="E4759" s="9" t="s">
        <v>38</v>
      </c>
      <c r="F4759" s="9" t="s">
        <v>55</v>
      </c>
      <c r="G4759" s="9" t="s">
        <v>56</v>
      </c>
      <c r="H4759" s="11" t="s">
        <v>25</v>
      </c>
      <c r="I4759" s="12" t="n">
        <v>43</v>
      </c>
      <c r="J4759" s="13" t="n">
        <v>138</v>
      </c>
      <c r="K4759" s="14" t="n">
        <f aca="false">I4759*J4759</f>
        <v>5934</v>
      </c>
      <c r="L4759" s="14" t="n">
        <f aca="false">($L$2*M4759)/100</f>
        <v>468649.935</v>
      </c>
      <c r="M4759" s="15" t="n">
        <v>0.39</v>
      </c>
      <c r="N4759" s="9" t="s">
        <v>85</v>
      </c>
    </row>
    <row r="4760" customFormat="false" ht="14.25" hidden="false" customHeight="true" outlineLevel="0" collapsed="false">
      <c r="B4760" s="9" t="s">
        <v>36</v>
      </c>
      <c r="C4760" s="9" t="n">
        <v>1189833</v>
      </c>
      <c r="D4760" s="10" t="n">
        <v>44199</v>
      </c>
      <c r="E4760" s="9" t="s">
        <v>38</v>
      </c>
      <c r="F4760" s="9" t="s">
        <v>55</v>
      </c>
      <c r="G4760" s="9" t="s">
        <v>56</v>
      </c>
      <c r="H4760" s="11" t="s">
        <v>19</v>
      </c>
      <c r="I4760" s="12" t="n">
        <v>34</v>
      </c>
      <c r="J4760" s="13" t="n">
        <v>158</v>
      </c>
      <c r="K4760" s="14" t="n">
        <f aca="false">I4760*J4760</f>
        <v>5372</v>
      </c>
      <c r="L4760" s="14" t="n">
        <f aca="false">($L$2*M4760)/100</f>
        <v>684949.905</v>
      </c>
      <c r="M4760" s="15" t="n">
        <v>0.57</v>
      </c>
      <c r="N4760" s="9" t="s">
        <v>85</v>
      </c>
    </row>
    <row r="4761" customFormat="false" ht="14.25" hidden="false" customHeight="true" outlineLevel="0" collapsed="false">
      <c r="B4761" s="9" t="s">
        <v>36</v>
      </c>
      <c r="C4761" s="9" t="n">
        <v>1189833</v>
      </c>
      <c r="D4761" s="10" t="n">
        <v>44200</v>
      </c>
      <c r="E4761" s="9" t="s">
        <v>38</v>
      </c>
      <c r="F4761" s="9" t="s">
        <v>55</v>
      </c>
      <c r="G4761" s="9" t="s">
        <v>56</v>
      </c>
      <c r="H4761" s="11" t="s">
        <v>21</v>
      </c>
      <c r="I4761" s="12" t="n">
        <v>42</v>
      </c>
      <c r="J4761" s="13" t="n">
        <v>123</v>
      </c>
      <c r="K4761" s="14" t="n">
        <f aca="false">I4761*J4761</f>
        <v>5166</v>
      </c>
      <c r="L4761" s="14" t="n">
        <f aca="false">($L$2*M4761)/100</f>
        <v>540749.925</v>
      </c>
      <c r="M4761" s="15" t="n">
        <v>0.45</v>
      </c>
      <c r="N4761" s="9" t="s">
        <v>85</v>
      </c>
    </row>
    <row r="4762" customFormat="false" ht="14.25" hidden="false" customHeight="true" outlineLevel="0" collapsed="false">
      <c r="B4762" s="9" t="s">
        <v>36</v>
      </c>
      <c r="C4762" s="9" t="n">
        <v>1189833</v>
      </c>
      <c r="D4762" s="10" t="n">
        <v>44201</v>
      </c>
      <c r="E4762" s="9" t="s">
        <v>38</v>
      </c>
      <c r="F4762" s="9" t="s">
        <v>55</v>
      </c>
      <c r="G4762" s="9" t="s">
        <v>56</v>
      </c>
      <c r="H4762" s="11" t="s">
        <v>22</v>
      </c>
      <c r="I4762" s="12" t="n">
        <v>43</v>
      </c>
      <c r="J4762" s="13" t="n">
        <v>122</v>
      </c>
      <c r="K4762" s="14" t="n">
        <f aca="false">I4762*J4762</f>
        <v>5246</v>
      </c>
      <c r="L4762" s="14" t="n">
        <f aca="false">($L$2*M4762)/100</f>
        <v>684949.905</v>
      </c>
      <c r="M4762" s="15" t="n">
        <v>0.57</v>
      </c>
      <c r="N4762" s="9" t="s">
        <v>85</v>
      </c>
    </row>
    <row r="4763" customFormat="false" ht="14.25" hidden="false" customHeight="true" outlineLevel="0" collapsed="false">
      <c r="B4763" s="9" t="s">
        <v>36</v>
      </c>
      <c r="C4763" s="9" t="n">
        <v>1189833</v>
      </c>
      <c r="D4763" s="10" t="n">
        <v>44202</v>
      </c>
      <c r="E4763" s="9" t="s">
        <v>38</v>
      </c>
      <c r="F4763" s="9" t="s">
        <v>55</v>
      </c>
      <c r="G4763" s="9" t="s">
        <v>56</v>
      </c>
      <c r="H4763" s="11" t="s">
        <v>23</v>
      </c>
      <c r="I4763" s="12" t="n">
        <v>44</v>
      </c>
      <c r="J4763" s="13" t="n">
        <v>81</v>
      </c>
      <c r="K4763" s="14" t="n">
        <f aca="false">I4763*J4763</f>
        <v>3564</v>
      </c>
      <c r="L4763" s="14" t="n">
        <f aca="false">($L$2*M4763)/100</f>
        <v>660916.575</v>
      </c>
      <c r="M4763" s="15" t="n">
        <v>0.55</v>
      </c>
      <c r="N4763" s="9" t="s">
        <v>85</v>
      </c>
    </row>
    <row r="4764" customFormat="false" ht="14.25" hidden="false" customHeight="true" outlineLevel="0" collapsed="false">
      <c r="B4764" s="9" t="s">
        <v>36</v>
      </c>
      <c r="C4764" s="9" t="n">
        <v>1189833</v>
      </c>
      <c r="D4764" s="10" t="n">
        <v>44203</v>
      </c>
      <c r="E4764" s="9" t="s">
        <v>38</v>
      </c>
      <c r="F4764" s="9" t="s">
        <v>55</v>
      </c>
      <c r="G4764" s="9" t="s">
        <v>56</v>
      </c>
      <c r="H4764" s="11" t="s">
        <v>24</v>
      </c>
      <c r="I4764" s="12" t="n">
        <v>48</v>
      </c>
      <c r="J4764" s="13" t="n">
        <v>59</v>
      </c>
      <c r="K4764" s="14" t="n">
        <f aca="false">I4764*J4764</f>
        <v>2832</v>
      </c>
      <c r="L4764" s="14" t="n">
        <f aca="false">($L$2*M4764)/100</f>
        <v>865199.88</v>
      </c>
      <c r="M4764" s="15" t="n">
        <v>0.72</v>
      </c>
      <c r="N4764" s="9" t="s">
        <v>85</v>
      </c>
    </row>
    <row r="4765" customFormat="false" ht="14.25" hidden="false" customHeight="true" outlineLevel="0" collapsed="false">
      <c r="B4765" s="9" t="s">
        <v>36</v>
      </c>
      <c r="C4765" s="9" t="n">
        <v>1189833</v>
      </c>
      <c r="D4765" s="10" t="n">
        <v>44204</v>
      </c>
      <c r="E4765" s="9" t="s">
        <v>38</v>
      </c>
      <c r="F4765" s="9" t="s">
        <v>55</v>
      </c>
      <c r="G4765" s="9" t="s">
        <v>56</v>
      </c>
      <c r="H4765" s="11" t="s">
        <v>25</v>
      </c>
      <c r="I4765" s="12" t="n">
        <v>43</v>
      </c>
      <c r="J4765" s="13" t="n">
        <v>119</v>
      </c>
      <c r="K4765" s="14" t="n">
        <f aca="false">I4765*J4765</f>
        <v>5117</v>
      </c>
      <c r="L4765" s="14" t="n">
        <f aca="false">($L$2*M4765)/100</f>
        <v>444616.605</v>
      </c>
      <c r="M4765" s="15" t="n">
        <v>0.37</v>
      </c>
      <c r="N4765" s="9" t="s">
        <v>85</v>
      </c>
    </row>
    <row r="4766" customFormat="false" ht="14.25" hidden="false" customHeight="true" outlineLevel="0" collapsed="false">
      <c r="B4766" s="9" t="s">
        <v>36</v>
      </c>
      <c r="C4766" s="9" t="n">
        <v>1189833</v>
      </c>
      <c r="D4766" s="10" t="n">
        <v>44205</v>
      </c>
      <c r="E4766" s="9" t="s">
        <v>38</v>
      </c>
      <c r="F4766" s="9" t="s">
        <v>55</v>
      </c>
      <c r="G4766" s="9" t="s">
        <v>56</v>
      </c>
      <c r="H4766" s="11" t="s">
        <v>19</v>
      </c>
      <c r="I4766" s="12" t="n">
        <v>32</v>
      </c>
      <c r="J4766" s="13" t="n">
        <v>173</v>
      </c>
      <c r="K4766" s="14" t="n">
        <f aca="false">I4766*J4766</f>
        <v>5536</v>
      </c>
      <c r="L4766" s="14" t="n">
        <f aca="false">($L$2*M4766)/100</f>
        <v>660916.575</v>
      </c>
      <c r="M4766" s="15" t="n">
        <v>0.55</v>
      </c>
      <c r="N4766" s="9" t="s">
        <v>85</v>
      </c>
    </row>
    <row r="4767" customFormat="false" ht="14.25" hidden="false" customHeight="true" outlineLevel="0" collapsed="false">
      <c r="B4767" s="9" t="s">
        <v>36</v>
      </c>
      <c r="C4767" s="9" t="n">
        <v>1189833</v>
      </c>
      <c r="D4767" s="10" t="n">
        <v>44206</v>
      </c>
      <c r="E4767" s="9" t="s">
        <v>38</v>
      </c>
      <c r="F4767" s="9" t="s">
        <v>55</v>
      </c>
      <c r="G4767" s="9" t="s">
        <v>56</v>
      </c>
      <c r="H4767" s="11" t="s">
        <v>21</v>
      </c>
      <c r="I4767" s="12" t="n">
        <v>41</v>
      </c>
      <c r="J4767" s="13" t="n">
        <v>115</v>
      </c>
      <c r="K4767" s="14" t="n">
        <f aca="false">I4767*J4767</f>
        <v>4715</v>
      </c>
      <c r="L4767" s="14" t="n">
        <f aca="false">($L$2*M4767)/100</f>
        <v>492683.265</v>
      </c>
      <c r="M4767" s="15" t="n">
        <v>0.41</v>
      </c>
      <c r="N4767" s="9" t="s">
        <v>85</v>
      </c>
    </row>
    <row r="4768" customFormat="false" ht="14.25" hidden="false" customHeight="true" outlineLevel="0" collapsed="false">
      <c r="B4768" s="9" t="s">
        <v>36</v>
      </c>
      <c r="C4768" s="9" t="n">
        <v>1189833</v>
      </c>
      <c r="D4768" s="10" t="n">
        <v>44207</v>
      </c>
      <c r="E4768" s="9" t="s">
        <v>38</v>
      </c>
      <c r="F4768" s="9" t="s">
        <v>55</v>
      </c>
      <c r="G4768" s="9" t="s">
        <v>56</v>
      </c>
      <c r="H4768" s="11" t="s">
        <v>22</v>
      </c>
      <c r="I4768" s="12" t="n">
        <v>42</v>
      </c>
      <c r="J4768" s="13" t="n">
        <v>128</v>
      </c>
      <c r="K4768" s="14" t="n">
        <f aca="false">I4768*J4768</f>
        <v>5376</v>
      </c>
      <c r="L4768" s="14" t="n">
        <f aca="false">($L$2*M4768)/100</f>
        <v>684949.905</v>
      </c>
      <c r="M4768" s="15" t="n">
        <v>0.57</v>
      </c>
      <c r="N4768" s="9" t="s">
        <v>85</v>
      </c>
    </row>
    <row r="4769" customFormat="false" ht="14.25" hidden="false" customHeight="true" outlineLevel="0" collapsed="false">
      <c r="B4769" s="9" t="s">
        <v>36</v>
      </c>
      <c r="C4769" s="9" t="n">
        <v>1189833</v>
      </c>
      <c r="D4769" s="10" t="n">
        <v>44208</v>
      </c>
      <c r="E4769" s="9" t="s">
        <v>38</v>
      </c>
      <c r="F4769" s="9" t="s">
        <v>55</v>
      </c>
      <c r="G4769" s="9" t="s">
        <v>56</v>
      </c>
      <c r="H4769" s="11" t="s">
        <v>23</v>
      </c>
      <c r="I4769" s="12" t="n">
        <v>44</v>
      </c>
      <c r="J4769" s="13" t="n">
        <v>91</v>
      </c>
      <c r="K4769" s="14" t="n">
        <f aca="false">I4769*J4769</f>
        <v>4004</v>
      </c>
      <c r="L4769" s="14" t="n">
        <f aca="false">($L$2*M4769)/100</f>
        <v>636883.245</v>
      </c>
      <c r="M4769" s="15" t="n">
        <v>0.53</v>
      </c>
      <c r="N4769" s="9" t="s">
        <v>85</v>
      </c>
    </row>
    <row r="4770" customFormat="false" ht="14.25" hidden="false" customHeight="true" outlineLevel="0" collapsed="false">
      <c r="B4770" s="9" t="s">
        <v>36</v>
      </c>
      <c r="C4770" s="9" t="n">
        <v>1189833</v>
      </c>
      <c r="D4770" s="10" t="n">
        <v>44209</v>
      </c>
      <c r="E4770" s="9" t="s">
        <v>38</v>
      </c>
      <c r="F4770" s="9" t="s">
        <v>55</v>
      </c>
      <c r="G4770" s="9" t="s">
        <v>56</v>
      </c>
      <c r="H4770" s="11" t="s">
        <v>24</v>
      </c>
      <c r="I4770" s="12" t="n">
        <v>48</v>
      </c>
      <c r="J4770" s="13" t="n">
        <v>60</v>
      </c>
      <c r="K4770" s="14" t="n">
        <f aca="false">I4770*J4770</f>
        <v>2880</v>
      </c>
      <c r="L4770" s="14" t="n">
        <f aca="false">($L$2*M4770)/100</f>
        <v>853183.215</v>
      </c>
      <c r="M4770" s="15" t="n">
        <v>0.71</v>
      </c>
      <c r="N4770" s="9" t="s">
        <v>85</v>
      </c>
    </row>
    <row r="4771" customFormat="false" ht="14.25" hidden="false" customHeight="true" outlineLevel="0" collapsed="false">
      <c r="B4771" s="9" t="s">
        <v>36</v>
      </c>
      <c r="C4771" s="9" t="n">
        <v>1189833</v>
      </c>
      <c r="D4771" s="10" t="n">
        <v>44210</v>
      </c>
      <c r="E4771" s="9" t="s">
        <v>38</v>
      </c>
      <c r="F4771" s="9" t="s">
        <v>55</v>
      </c>
      <c r="G4771" s="9" t="s">
        <v>56</v>
      </c>
      <c r="H4771" s="11" t="s">
        <v>25</v>
      </c>
      <c r="I4771" s="12" t="n">
        <v>42</v>
      </c>
      <c r="J4771" s="13" t="n">
        <v>112</v>
      </c>
      <c r="K4771" s="14" t="n">
        <f aca="false">I4771*J4771</f>
        <v>4704</v>
      </c>
      <c r="L4771" s="14" t="n">
        <f aca="false">($L$2*M4771)/100</f>
        <v>468649.935</v>
      </c>
      <c r="M4771" s="15" t="n">
        <v>0.39</v>
      </c>
      <c r="N4771" s="9" t="s">
        <v>85</v>
      </c>
    </row>
    <row r="4772" customFormat="false" ht="14.25" hidden="false" customHeight="true" outlineLevel="0" collapsed="false">
      <c r="B4772" s="9" t="s">
        <v>36</v>
      </c>
      <c r="C4772" s="9" t="n">
        <v>1189833</v>
      </c>
      <c r="D4772" s="10" t="n">
        <v>44211</v>
      </c>
      <c r="E4772" s="9" t="s">
        <v>38</v>
      </c>
      <c r="F4772" s="9" t="s">
        <v>55</v>
      </c>
      <c r="G4772" s="9" t="s">
        <v>56</v>
      </c>
      <c r="H4772" s="11" t="s">
        <v>19</v>
      </c>
      <c r="I4772" s="12" t="n">
        <v>44</v>
      </c>
      <c r="J4772" s="13" t="n">
        <v>161</v>
      </c>
      <c r="K4772" s="14" t="n">
        <f aca="false">I4772*J4772</f>
        <v>7084</v>
      </c>
      <c r="L4772" s="14" t="n">
        <f aca="false">($L$2*M4772)/100</f>
        <v>708983.235</v>
      </c>
      <c r="M4772" s="15" t="n">
        <v>0.59</v>
      </c>
      <c r="N4772" s="9" t="s">
        <v>85</v>
      </c>
    </row>
    <row r="4773" customFormat="false" ht="14.25" hidden="false" customHeight="true" outlineLevel="0" collapsed="false">
      <c r="B4773" s="9" t="s">
        <v>36</v>
      </c>
      <c r="C4773" s="9" t="n">
        <v>1189833</v>
      </c>
      <c r="D4773" s="10" t="n">
        <v>44212</v>
      </c>
      <c r="E4773" s="9" t="s">
        <v>38</v>
      </c>
      <c r="F4773" s="9" t="s">
        <v>55</v>
      </c>
      <c r="G4773" s="9" t="s">
        <v>56</v>
      </c>
      <c r="H4773" s="11" t="s">
        <v>21</v>
      </c>
      <c r="I4773" s="12" t="n">
        <v>43</v>
      </c>
      <c r="J4773" s="13" t="n">
        <v>101</v>
      </c>
      <c r="K4773" s="14" t="n">
        <f aca="false">I4773*J4773</f>
        <v>4343</v>
      </c>
      <c r="L4773" s="14" t="n">
        <f aca="false">($L$2*M4773)/100</f>
        <v>540749.925</v>
      </c>
      <c r="M4773" s="15" t="n">
        <v>0.45</v>
      </c>
      <c r="N4773" s="9" t="s">
        <v>85</v>
      </c>
    </row>
    <row r="4774" customFormat="false" ht="14.25" hidden="false" customHeight="true" outlineLevel="0" collapsed="false">
      <c r="B4774" s="9" t="s">
        <v>36</v>
      </c>
      <c r="C4774" s="9" t="n">
        <v>1189833</v>
      </c>
      <c r="D4774" s="10" t="n">
        <v>44213</v>
      </c>
      <c r="E4774" s="9" t="s">
        <v>38</v>
      </c>
      <c r="F4774" s="9" t="s">
        <v>55</v>
      </c>
      <c r="G4774" s="9" t="s">
        <v>56</v>
      </c>
      <c r="H4774" s="11" t="s">
        <v>22</v>
      </c>
      <c r="I4774" s="12" t="n">
        <v>44</v>
      </c>
      <c r="J4774" s="13" t="n">
        <v>120</v>
      </c>
      <c r="K4774" s="14" t="n">
        <f aca="false">I4774*J4774</f>
        <v>5280</v>
      </c>
      <c r="L4774" s="14" t="n">
        <f aca="false">($L$2*M4774)/100</f>
        <v>720999.9</v>
      </c>
      <c r="M4774" s="15" t="n">
        <v>0.6</v>
      </c>
      <c r="N4774" s="9" t="s">
        <v>85</v>
      </c>
    </row>
    <row r="4775" customFormat="false" ht="14.25" hidden="false" customHeight="true" outlineLevel="0" collapsed="false">
      <c r="B4775" s="9" t="s">
        <v>36</v>
      </c>
      <c r="C4775" s="9" t="n">
        <v>1189833</v>
      </c>
      <c r="D4775" s="10" t="n">
        <v>44214</v>
      </c>
      <c r="E4775" s="9" t="s">
        <v>38</v>
      </c>
      <c r="F4775" s="9" t="s">
        <v>55</v>
      </c>
      <c r="G4775" s="9" t="s">
        <v>56</v>
      </c>
      <c r="H4775" s="11" t="s">
        <v>23</v>
      </c>
      <c r="I4775" s="12" t="n">
        <v>36</v>
      </c>
      <c r="J4775" s="13" t="n">
        <v>78</v>
      </c>
      <c r="K4775" s="14" t="n">
        <f aca="false">I4775*J4775</f>
        <v>2808</v>
      </c>
      <c r="L4775" s="14" t="n">
        <f aca="false">($L$2*M4775)/100</f>
        <v>600833.25</v>
      </c>
      <c r="M4775" s="15" t="n">
        <v>0.5</v>
      </c>
      <c r="N4775" s="9" t="s">
        <v>85</v>
      </c>
    </row>
    <row r="4776" customFormat="false" ht="14.25" hidden="false" customHeight="true" outlineLevel="0" collapsed="false">
      <c r="B4776" s="9" t="s">
        <v>36</v>
      </c>
      <c r="C4776" s="9" t="n">
        <v>1189833</v>
      </c>
      <c r="D4776" s="10" t="n">
        <v>44215</v>
      </c>
      <c r="E4776" s="9" t="s">
        <v>38</v>
      </c>
      <c r="F4776" s="9" t="s">
        <v>55</v>
      </c>
      <c r="G4776" s="9" t="s">
        <v>56</v>
      </c>
      <c r="H4776" s="11" t="s">
        <v>24</v>
      </c>
      <c r="I4776" s="12" t="n">
        <v>44</v>
      </c>
      <c r="J4776" s="13" t="n">
        <v>56</v>
      </c>
      <c r="K4776" s="14" t="n">
        <f aca="false">I4776*J4776</f>
        <v>2464</v>
      </c>
      <c r="L4776" s="14" t="n">
        <f aca="false">($L$2*M4776)/100</f>
        <v>889233.21</v>
      </c>
      <c r="M4776" s="15" t="n">
        <v>0.74</v>
      </c>
      <c r="N4776" s="9" t="s">
        <v>85</v>
      </c>
    </row>
    <row r="4777" customFormat="false" ht="14.25" hidden="false" customHeight="true" outlineLevel="0" collapsed="false">
      <c r="B4777" s="9" t="s">
        <v>36</v>
      </c>
      <c r="C4777" s="9" t="n">
        <v>1189833</v>
      </c>
      <c r="D4777" s="10" t="n">
        <v>44216</v>
      </c>
      <c r="E4777" s="9" t="s">
        <v>38</v>
      </c>
      <c r="F4777" s="9" t="s">
        <v>55</v>
      </c>
      <c r="G4777" s="9" t="s">
        <v>56</v>
      </c>
      <c r="H4777" s="11" t="s">
        <v>25</v>
      </c>
      <c r="I4777" s="12" t="n">
        <v>55</v>
      </c>
      <c r="J4777" s="13" t="n">
        <v>101</v>
      </c>
      <c r="K4777" s="14" t="n">
        <f aca="false">I4777*J4777</f>
        <v>5555</v>
      </c>
      <c r="L4777" s="14" t="n">
        <f aca="false">($L$2*M4777)/100</f>
        <v>468649.935</v>
      </c>
      <c r="M4777" s="15" t="n">
        <v>0.39</v>
      </c>
      <c r="N4777" s="9" t="s">
        <v>85</v>
      </c>
    </row>
    <row r="4778" customFormat="false" ht="14.25" hidden="false" customHeight="true" outlineLevel="0" collapsed="false">
      <c r="B4778" s="9" t="s">
        <v>36</v>
      </c>
      <c r="C4778" s="9" t="n">
        <v>1189833</v>
      </c>
      <c r="D4778" s="10" t="n">
        <v>44217</v>
      </c>
      <c r="E4778" s="9" t="s">
        <v>38</v>
      </c>
      <c r="F4778" s="9" t="s">
        <v>55</v>
      </c>
      <c r="G4778" s="9" t="s">
        <v>56</v>
      </c>
      <c r="H4778" s="11" t="s">
        <v>19</v>
      </c>
      <c r="I4778" s="12" t="n">
        <v>39</v>
      </c>
      <c r="J4778" s="13" t="n">
        <v>150</v>
      </c>
      <c r="K4778" s="14" t="n">
        <f aca="false">I4778*J4778</f>
        <v>5850</v>
      </c>
      <c r="L4778" s="14" t="n">
        <f aca="false">($L$2*M4778)/100</f>
        <v>684949.905</v>
      </c>
      <c r="M4778" s="15" t="n">
        <v>0.57</v>
      </c>
      <c r="N4778" s="9" t="s">
        <v>85</v>
      </c>
    </row>
    <row r="4779" customFormat="false" ht="14.25" hidden="false" customHeight="true" outlineLevel="0" collapsed="false">
      <c r="B4779" s="9" t="s">
        <v>36</v>
      </c>
      <c r="C4779" s="9" t="n">
        <v>1189833</v>
      </c>
      <c r="D4779" s="10" t="n">
        <v>44218</v>
      </c>
      <c r="E4779" s="9" t="s">
        <v>38</v>
      </c>
      <c r="F4779" s="9" t="s">
        <v>55</v>
      </c>
      <c r="G4779" s="9" t="s">
        <v>56</v>
      </c>
      <c r="H4779" s="11" t="s">
        <v>21</v>
      </c>
      <c r="I4779" s="12" t="n">
        <v>41</v>
      </c>
      <c r="J4779" s="13" t="n">
        <v>106</v>
      </c>
      <c r="K4779" s="14" t="n">
        <f aca="false">I4779*J4779</f>
        <v>4346</v>
      </c>
      <c r="L4779" s="14" t="n">
        <f aca="false">($L$2*M4779)/100</f>
        <v>528733.26</v>
      </c>
      <c r="M4779" s="15" t="n">
        <v>0.44</v>
      </c>
      <c r="N4779" s="9" t="s">
        <v>85</v>
      </c>
    </row>
    <row r="4780" customFormat="false" ht="14.25" hidden="false" customHeight="true" outlineLevel="0" collapsed="false">
      <c r="B4780" s="9" t="s">
        <v>36</v>
      </c>
      <c r="C4780" s="9" t="n">
        <v>1189833</v>
      </c>
      <c r="D4780" s="10" t="n">
        <v>44219</v>
      </c>
      <c r="E4780" s="9" t="s">
        <v>38</v>
      </c>
      <c r="F4780" s="9" t="s">
        <v>55</v>
      </c>
      <c r="G4780" s="9" t="s">
        <v>56</v>
      </c>
      <c r="H4780" s="11" t="s">
        <v>22</v>
      </c>
      <c r="I4780" s="12" t="n">
        <v>44</v>
      </c>
      <c r="J4780" s="13" t="n">
        <v>111</v>
      </c>
      <c r="K4780" s="14" t="n">
        <f aca="false">I4780*J4780</f>
        <v>4884</v>
      </c>
      <c r="L4780" s="14" t="n">
        <f aca="false">($L$2*M4780)/100</f>
        <v>660916.575</v>
      </c>
      <c r="M4780" s="15" t="n">
        <v>0.55</v>
      </c>
      <c r="N4780" s="9" t="s">
        <v>85</v>
      </c>
    </row>
    <row r="4781" customFormat="false" ht="14.25" hidden="false" customHeight="true" outlineLevel="0" collapsed="false">
      <c r="B4781" s="9" t="s">
        <v>36</v>
      </c>
      <c r="C4781" s="9" t="n">
        <v>1189833</v>
      </c>
      <c r="D4781" s="10" t="n">
        <v>44220</v>
      </c>
      <c r="E4781" s="9" t="s">
        <v>38</v>
      </c>
      <c r="F4781" s="9" t="s">
        <v>55</v>
      </c>
      <c r="G4781" s="9" t="s">
        <v>56</v>
      </c>
      <c r="H4781" s="11" t="s">
        <v>23</v>
      </c>
      <c r="I4781" s="12" t="n">
        <v>38</v>
      </c>
      <c r="J4781" s="13" t="n">
        <v>88</v>
      </c>
      <c r="K4781" s="14" t="n">
        <f aca="false">I4781*J4781</f>
        <v>3344</v>
      </c>
      <c r="L4781" s="14" t="n">
        <f aca="false">($L$2*M4781)/100</f>
        <v>636883.245</v>
      </c>
      <c r="M4781" s="15" t="n">
        <v>0.53</v>
      </c>
      <c r="N4781" s="9" t="s">
        <v>85</v>
      </c>
    </row>
    <row r="4782" customFormat="false" ht="14.25" hidden="false" customHeight="true" outlineLevel="0" collapsed="false">
      <c r="B4782" s="9" t="s">
        <v>36</v>
      </c>
      <c r="C4782" s="9" t="n">
        <v>1189833</v>
      </c>
      <c r="D4782" s="10" t="n">
        <v>44221</v>
      </c>
      <c r="E4782" s="9" t="s">
        <v>38</v>
      </c>
      <c r="F4782" s="9" t="s">
        <v>55</v>
      </c>
      <c r="G4782" s="9" t="s">
        <v>56</v>
      </c>
      <c r="H4782" s="11" t="s">
        <v>24</v>
      </c>
      <c r="I4782" s="12" t="n">
        <v>41</v>
      </c>
      <c r="J4782" s="13" t="n">
        <v>61</v>
      </c>
      <c r="K4782" s="14" t="n">
        <f aca="false">I4782*J4782</f>
        <v>2501</v>
      </c>
      <c r="L4782" s="14" t="n">
        <f aca="false">($L$2*M4782)/100</f>
        <v>889233.21</v>
      </c>
      <c r="M4782" s="15" t="n">
        <v>0.74</v>
      </c>
      <c r="N4782" s="9" t="s">
        <v>85</v>
      </c>
    </row>
    <row r="4783" customFormat="false" ht="14.25" hidden="false" customHeight="true" outlineLevel="0" collapsed="false">
      <c r="B4783" s="9" t="s">
        <v>36</v>
      </c>
      <c r="C4783" s="9" t="n">
        <v>1189833</v>
      </c>
      <c r="D4783" s="10" t="n">
        <v>44222</v>
      </c>
      <c r="E4783" s="9" t="s">
        <v>38</v>
      </c>
      <c r="F4783" s="9" t="s">
        <v>55</v>
      </c>
      <c r="G4783" s="9" t="s">
        <v>56</v>
      </c>
      <c r="H4783" s="11" t="s">
        <v>25</v>
      </c>
      <c r="I4783" s="12" t="n">
        <v>59</v>
      </c>
      <c r="J4783" s="13" t="n">
        <v>108</v>
      </c>
      <c r="K4783" s="14" t="n">
        <f aca="false">I4783*J4783</f>
        <v>6372</v>
      </c>
      <c r="L4783" s="14" t="n">
        <f aca="false">($L$2*M4783)/100</f>
        <v>456633.27</v>
      </c>
      <c r="M4783" s="15" t="n">
        <v>0.38</v>
      </c>
      <c r="N4783" s="9" t="s">
        <v>85</v>
      </c>
    </row>
    <row r="4784" customFormat="false" ht="14.25" hidden="false" customHeight="true" outlineLevel="0" collapsed="false">
      <c r="B4784" s="9" t="s">
        <v>36</v>
      </c>
      <c r="C4784" s="9" t="n">
        <v>1189833</v>
      </c>
      <c r="D4784" s="10" t="n">
        <v>44223</v>
      </c>
      <c r="E4784" s="9" t="s">
        <v>38</v>
      </c>
      <c r="F4784" s="9" t="s">
        <v>55</v>
      </c>
      <c r="G4784" s="9" t="s">
        <v>56</v>
      </c>
      <c r="H4784" s="11" t="s">
        <v>19</v>
      </c>
      <c r="I4784" s="12" t="n">
        <v>36</v>
      </c>
      <c r="J4784" s="13" t="n">
        <v>169</v>
      </c>
      <c r="K4784" s="14" t="n">
        <f aca="false">I4784*J4784</f>
        <v>6084</v>
      </c>
      <c r="L4784" s="14" t="n">
        <f aca="false">($L$2*M4784)/100</f>
        <v>708983.235</v>
      </c>
      <c r="M4784" s="15" t="n">
        <v>0.59</v>
      </c>
      <c r="N4784" s="9" t="s">
        <v>85</v>
      </c>
    </row>
    <row r="4785" customFormat="false" ht="14.25" hidden="false" customHeight="true" outlineLevel="0" collapsed="false">
      <c r="B4785" s="9" t="s">
        <v>36</v>
      </c>
      <c r="C4785" s="9" t="n">
        <v>1189833</v>
      </c>
      <c r="D4785" s="10" t="n">
        <v>44224</v>
      </c>
      <c r="E4785" s="9" t="s">
        <v>38</v>
      </c>
      <c r="F4785" s="9" t="s">
        <v>55</v>
      </c>
      <c r="G4785" s="9" t="s">
        <v>56</v>
      </c>
      <c r="H4785" s="11" t="s">
        <v>21</v>
      </c>
      <c r="I4785" s="12" t="n">
        <v>42</v>
      </c>
      <c r="J4785" s="13" t="n">
        <v>147</v>
      </c>
      <c r="K4785" s="14" t="n">
        <f aca="false">I4785*J4785</f>
        <v>6174</v>
      </c>
      <c r="L4785" s="14" t="n">
        <f aca="false">($L$2*M4785)/100</f>
        <v>492683.265</v>
      </c>
      <c r="M4785" s="15" t="n">
        <v>0.41</v>
      </c>
      <c r="N4785" s="9" t="s">
        <v>85</v>
      </c>
    </row>
    <row r="4786" customFormat="false" ht="14.25" hidden="false" customHeight="true" outlineLevel="0" collapsed="false">
      <c r="B4786" s="9" t="s">
        <v>36</v>
      </c>
      <c r="C4786" s="9" t="n">
        <v>1189833</v>
      </c>
      <c r="D4786" s="10" t="n">
        <v>44225</v>
      </c>
      <c r="E4786" s="9" t="s">
        <v>38</v>
      </c>
      <c r="F4786" s="9" t="s">
        <v>55</v>
      </c>
      <c r="G4786" s="9" t="s">
        <v>56</v>
      </c>
      <c r="H4786" s="11" t="s">
        <v>22</v>
      </c>
      <c r="I4786" s="12" t="n">
        <v>44</v>
      </c>
      <c r="J4786" s="13" t="n">
        <v>165</v>
      </c>
      <c r="K4786" s="14" t="n">
        <f aca="false">I4786*J4786</f>
        <v>7260</v>
      </c>
      <c r="L4786" s="14" t="n">
        <f aca="false">($L$2*M4786)/100</f>
        <v>660916.575</v>
      </c>
      <c r="M4786" s="15" t="n">
        <v>0.55</v>
      </c>
      <c r="N4786" s="9" t="s">
        <v>85</v>
      </c>
    </row>
    <row r="4787" customFormat="false" ht="14.25" hidden="false" customHeight="true" outlineLevel="0" collapsed="false">
      <c r="B4787" s="9" t="s">
        <v>36</v>
      </c>
      <c r="C4787" s="9" t="n">
        <v>1189833</v>
      </c>
      <c r="D4787" s="10" t="n">
        <v>44226</v>
      </c>
      <c r="E4787" s="9" t="s">
        <v>38</v>
      </c>
      <c r="F4787" s="9" t="s">
        <v>55</v>
      </c>
      <c r="G4787" s="9" t="s">
        <v>56</v>
      </c>
      <c r="H4787" s="11" t="s">
        <v>23</v>
      </c>
      <c r="I4787" s="12" t="n">
        <v>38</v>
      </c>
      <c r="J4787" s="13" t="n">
        <v>106</v>
      </c>
      <c r="K4787" s="14" t="n">
        <f aca="false">I4787*J4787</f>
        <v>4028</v>
      </c>
      <c r="L4787" s="14" t="n">
        <f aca="false">($L$2*M4787)/100</f>
        <v>636883.245</v>
      </c>
      <c r="M4787" s="15" t="n">
        <v>0.53</v>
      </c>
      <c r="N4787" s="9" t="s">
        <v>85</v>
      </c>
    </row>
    <row r="4788" customFormat="false" ht="14.25" hidden="false" customHeight="true" outlineLevel="0" collapsed="false">
      <c r="B4788" s="9" t="s">
        <v>36</v>
      </c>
      <c r="C4788" s="9" t="n">
        <v>1189833</v>
      </c>
      <c r="D4788" s="10" t="n">
        <v>44227</v>
      </c>
      <c r="E4788" s="9" t="s">
        <v>38</v>
      </c>
      <c r="F4788" s="9" t="s">
        <v>55</v>
      </c>
      <c r="G4788" s="9" t="s">
        <v>56</v>
      </c>
      <c r="H4788" s="11" t="s">
        <v>24</v>
      </c>
      <c r="I4788" s="12" t="n">
        <v>41</v>
      </c>
      <c r="J4788" s="13" t="n">
        <v>75</v>
      </c>
      <c r="K4788" s="14" t="n">
        <f aca="false">I4788*J4788</f>
        <v>3075</v>
      </c>
      <c r="L4788" s="14" t="n">
        <f aca="false">($L$2*M4788)/100</f>
        <v>889233.21</v>
      </c>
      <c r="M4788" s="15" t="n">
        <v>0.74</v>
      </c>
      <c r="N4788" s="9" t="s">
        <v>85</v>
      </c>
    </row>
    <row r="4789" customFormat="false" ht="14.25" hidden="false" customHeight="true" outlineLevel="0" collapsed="false">
      <c r="B4789" s="9" t="s">
        <v>36</v>
      </c>
      <c r="C4789" s="9" t="n">
        <v>1189833</v>
      </c>
      <c r="D4789" s="10" t="n">
        <v>44228</v>
      </c>
      <c r="E4789" s="9" t="s">
        <v>38</v>
      </c>
      <c r="F4789" s="9" t="s">
        <v>55</v>
      </c>
      <c r="G4789" s="9" t="s">
        <v>56</v>
      </c>
      <c r="H4789" s="11" t="s">
        <v>25</v>
      </c>
      <c r="I4789" s="12" t="n">
        <v>55</v>
      </c>
      <c r="J4789" s="13" t="n">
        <v>150</v>
      </c>
      <c r="K4789" s="14" t="n">
        <f aca="false">I4789*J4789</f>
        <v>8250</v>
      </c>
      <c r="L4789" s="14" t="n">
        <f aca="false">($L$2*M4789)/100</f>
        <v>432599.94</v>
      </c>
      <c r="M4789" s="15" t="n">
        <v>0.36</v>
      </c>
      <c r="N4789" s="9" t="s">
        <v>85</v>
      </c>
    </row>
    <row r="4790" customFormat="false" ht="14.25" hidden="false" customHeight="true" outlineLevel="0" collapsed="false">
      <c r="B4790" s="9" t="s">
        <v>36</v>
      </c>
      <c r="C4790" s="9" t="n">
        <v>1189833</v>
      </c>
      <c r="D4790" s="10" t="n">
        <v>44229</v>
      </c>
      <c r="E4790" s="9" t="s">
        <v>38</v>
      </c>
      <c r="F4790" s="9" t="s">
        <v>55</v>
      </c>
      <c r="G4790" s="9" t="s">
        <v>56</v>
      </c>
      <c r="H4790" s="11" t="s">
        <v>19</v>
      </c>
      <c r="I4790" s="12" t="n">
        <v>37</v>
      </c>
      <c r="J4790" s="13" t="n">
        <v>203</v>
      </c>
      <c r="K4790" s="14" t="n">
        <f aca="false">I4790*J4790</f>
        <v>7511</v>
      </c>
      <c r="L4790" s="14" t="n">
        <f aca="false">($L$2*M4790)/100</f>
        <v>708983.235</v>
      </c>
      <c r="M4790" s="15" t="n">
        <v>0.59</v>
      </c>
      <c r="N4790" s="9" t="s">
        <v>85</v>
      </c>
    </row>
    <row r="4791" customFormat="false" ht="14.25" hidden="false" customHeight="true" outlineLevel="0" collapsed="false">
      <c r="B4791" s="9" t="s">
        <v>36</v>
      </c>
      <c r="C4791" s="9" t="n">
        <v>1189833</v>
      </c>
      <c r="D4791" s="10" t="n">
        <v>44230</v>
      </c>
      <c r="E4791" s="9" t="s">
        <v>38</v>
      </c>
      <c r="F4791" s="9" t="s">
        <v>55</v>
      </c>
      <c r="G4791" s="9" t="s">
        <v>56</v>
      </c>
      <c r="H4791" s="11" t="s">
        <v>21</v>
      </c>
      <c r="I4791" s="12" t="n">
        <v>41</v>
      </c>
      <c r="J4791" s="13" t="n">
        <v>156</v>
      </c>
      <c r="K4791" s="14" t="n">
        <f aca="false">I4791*J4791</f>
        <v>6396</v>
      </c>
      <c r="L4791" s="14" t="n">
        <f aca="false">($L$2*M4791)/100</f>
        <v>516716.595</v>
      </c>
      <c r="M4791" s="15" t="n">
        <v>0.43</v>
      </c>
      <c r="N4791" s="9" t="s">
        <v>85</v>
      </c>
    </row>
    <row r="4792" customFormat="false" ht="14.25" hidden="false" customHeight="true" outlineLevel="0" collapsed="false">
      <c r="B4792" s="9" t="s">
        <v>36</v>
      </c>
      <c r="C4792" s="9" t="n">
        <v>1189833</v>
      </c>
      <c r="D4792" s="10" t="n">
        <v>44231</v>
      </c>
      <c r="E4792" s="9" t="s">
        <v>38</v>
      </c>
      <c r="F4792" s="9" t="s">
        <v>55</v>
      </c>
      <c r="G4792" s="9" t="s">
        <v>56</v>
      </c>
      <c r="H4792" s="11" t="s">
        <v>22</v>
      </c>
      <c r="I4792" s="12" t="n">
        <v>44</v>
      </c>
      <c r="J4792" s="13" t="n">
        <v>143</v>
      </c>
      <c r="K4792" s="14" t="n">
        <f aca="false">I4792*J4792</f>
        <v>6292</v>
      </c>
      <c r="L4792" s="14" t="n">
        <f aca="false">($L$2*M4792)/100</f>
        <v>708983.235</v>
      </c>
      <c r="M4792" s="15" t="n">
        <v>0.59</v>
      </c>
      <c r="N4792" s="9" t="s">
        <v>85</v>
      </c>
    </row>
    <row r="4793" customFormat="false" ht="14.25" hidden="false" customHeight="true" outlineLevel="0" collapsed="false">
      <c r="B4793" s="9" t="s">
        <v>36</v>
      </c>
      <c r="C4793" s="9" t="n">
        <v>1189833</v>
      </c>
      <c r="D4793" s="10" t="n">
        <v>44232</v>
      </c>
      <c r="E4793" s="9" t="s">
        <v>38</v>
      </c>
      <c r="F4793" s="9" t="s">
        <v>55</v>
      </c>
      <c r="G4793" s="9" t="s">
        <v>56</v>
      </c>
      <c r="H4793" s="11" t="s">
        <v>23</v>
      </c>
      <c r="I4793" s="12" t="n">
        <v>36</v>
      </c>
      <c r="J4793" s="13" t="n">
        <v>113</v>
      </c>
      <c r="K4793" s="14" t="n">
        <f aca="false">I4793*J4793</f>
        <v>4068</v>
      </c>
      <c r="L4793" s="14" t="n">
        <f aca="false">($L$2*M4793)/100</f>
        <v>636883.245</v>
      </c>
      <c r="M4793" s="15" t="n">
        <v>0.53</v>
      </c>
      <c r="N4793" s="9" t="s">
        <v>85</v>
      </c>
    </row>
    <row r="4794" customFormat="false" ht="14.25" hidden="false" customHeight="true" outlineLevel="0" collapsed="false">
      <c r="B4794" s="9" t="s">
        <v>36</v>
      </c>
      <c r="C4794" s="9" t="n">
        <v>1189833</v>
      </c>
      <c r="D4794" s="10" t="n">
        <v>44233</v>
      </c>
      <c r="E4794" s="9" t="s">
        <v>38</v>
      </c>
      <c r="F4794" s="9" t="s">
        <v>55</v>
      </c>
      <c r="G4794" s="9" t="s">
        <v>56</v>
      </c>
      <c r="H4794" s="11" t="s">
        <v>24</v>
      </c>
      <c r="I4794" s="12" t="n">
        <v>42</v>
      </c>
      <c r="J4794" s="13" t="n">
        <v>124</v>
      </c>
      <c r="K4794" s="14" t="n">
        <f aca="false">I4794*J4794</f>
        <v>5208</v>
      </c>
      <c r="L4794" s="14" t="n">
        <f aca="false">($L$2*M4794)/100</f>
        <v>841166.55</v>
      </c>
      <c r="M4794" s="15" t="n">
        <v>0.7</v>
      </c>
      <c r="N4794" s="9" t="s">
        <v>85</v>
      </c>
    </row>
    <row r="4795" customFormat="false" ht="14.25" hidden="false" customHeight="true" outlineLevel="0" collapsed="false">
      <c r="B4795" s="9" t="s">
        <v>36</v>
      </c>
      <c r="C4795" s="9" t="n">
        <v>1189833</v>
      </c>
      <c r="D4795" s="10" t="n">
        <v>44234</v>
      </c>
      <c r="E4795" s="9" t="s">
        <v>38</v>
      </c>
      <c r="F4795" s="9" t="s">
        <v>55</v>
      </c>
      <c r="G4795" s="9" t="s">
        <v>56</v>
      </c>
      <c r="H4795" s="11" t="s">
        <v>25</v>
      </c>
      <c r="I4795" s="12" t="n">
        <v>58</v>
      </c>
      <c r="J4795" s="13" t="n">
        <v>143</v>
      </c>
      <c r="K4795" s="14" t="n">
        <f aca="false">I4795*J4795</f>
        <v>8294</v>
      </c>
      <c r="L4795" s="14" t="n">
        <f aca="false">($L$2*M4795)/100</f>
        <v>420583.275</v>
      </c>
      <c r="M4795" s="15" t="n">
        <v>0.35</v>
      </c>
      <c r="N4795" s="9" t="s">
        <v>85</v>
      </c>
    </row>
    <row r="4796" customFormat="false" ht="14.25" hidden="false" customHeight="true" outlineLevel="0" collapsed="false">
      <c r="B4796" s="9" t="s">
        <v>36</v>
      </c>
      <c r="C4796" s="9" t="n">
        <v>1189833</v>
      </c>
      <c r="D4796" s="10" t="n">
        <v>44235</v>
      </c>
      <c r="E4796" s="9" t="s">
        <v>38</v>
      </c>
      <c r="F4796" s="9" t="s">
        <v>55</v>
      </c>
      <c r="G4796" s="9" t="s">
        <v>56</v>
      </c>
      <c r="H4796" s="11" t="s">
        <v>19</v>
      </c>
      <c r="I4796" s="12" t="n">
        <v>42</v>
      </c>
      <c r="J4796" s="13" t="n">
        <v>203</v>
      </c>
      <c r="K4796" s="14" t="n">
        <f aca="false">I4796*J4796</f>
        <v>8526</v>
      </c>
      <c r="L4796" s="14" t="n">
        <f aca="false">($L$2*M4796)/100</f>
        <v>696966.57</v>
      </c>
      <c r="M4796" s="15" t="n">
        <v>0.58</v>
      </c>
      <c r="N4796" s="9" t="s">
        <v>85</v>
      </c>
    </row>
    <row r="4797" customFormat="false" ht="14.25" hidden="false" customHeight="true" outlineLevel="0" collapsed="false">
      <c r="B4797" s="9" t="s">
        <v>36</v>
      </c>
      <c r="C4797" s="9" t="n">
        <v>1189833</v>
      </c>
      <c r="D4797" s="10" t="n">
        <v>44236</v>
      </c>
      <c r="E4797" s="9" t="s">
        <v>38</v>
      </c>
      <c r="F4797" s="9" t="s">
        <v>55</v>
      </c>
      <c r="G4797" s="9" t="s">
        <v>56</v>
      </c>
      <c r="H4797" s="11" t="s">
        <v>21</v>
      </c>
      <c r="I4797" s="12" t="n">
        <v>54</v>
      </c>
      <c r="J4797" s="13" t="n">
        <v>188</v>
      </c>
      <c r="K4797" s="14" t="n">
        <f aca="false">I4797*J4797</f>
        <v>10152</v>
      </c>
      <c r="L4797" s="14" t="n">
        <f aca="false">($L$2*M4797)/100</f>
        <v>516716.595</v>
      </c>
      <c r="M4797" s="15" t="n">
        <v>0.43</v>
      </c>
      <c r="N4797" s="9" t="s">
        <v>85</v>
      </c>
    </row>
    <row r="4798" customFormat="false" ht="14.25" hidden="false" customHeight="true" outlineLevel="0" collapsed="false">
      <c r="B4798" s="9" t="s">
        <v>36</v>
      </c>
      <c r="C4798" s="9" t="n">
        <v>1189833</v>
      </c>
      <c r="D4798" s="10" t="n">
        <v>44237</v>
      </c>
      <c r="E4798" s="9" t="s">
        <v>38</v>
      </c>
      <c r="F4798" s="9" t="s">
        <v>55</v>
      </c>
      <c r="G4798" s="9" t="s">
        <v>56</v>
      </c>
      <c r="H4798" s="11" t="s">
        <v>22</v>
      </c>
      <c r="I4798" s="12" t="n">
        <v>49</v>
      </c>
      <c r="J4798" s="13" t="n">
        <v>130</v>
      </c>
      <c r="K4798" s="14" t="n">
        <f aca="false">I4798*J4798</f>
        <v>6370</v>
      </c>
      <c r="L4798" s="14" t="n">
        <f aca="false">($L$2*M4798)/100</f>
        <v>708983.235</v>
      </c>
      <c r="M4798" s="15" t="n">
        <v>0.59</v>
      </c>
      <c r="N4798" s="9" t="s">
        <v>85</v>
      </c>
    </row>
    <row r="4799" customFormat="false" ht="14.25" hidden="false" customHeight="true" outlineLevel="0" collapsed="false">
      <c r="B4799" s="9" t="s">
        <v>36</v>
      </c>
      <c r="C4799" s="9" t="n">
        <v>1189833</v>
      </c>
      <c r="D4799" s="10" t="n">
        <v>44238</v>
      </c>
      <c r="E4799" s="9" t="s">
        <v>38</v>
      </c>
      <c r="F4799" s="9" t="s">
        <v>55</v>
      </c>
      <c r="G4799" s="9" t="s">
        <v>56</v>
      </c>
      <c r="H4799" s="11" t="s">
        <v>23</v>
      </c>
      <c r="I4799" s="12" t="n">
        <v>41</v>
      </c>
      <c r="J4799" s="13" t="n">
        <v>106</v>
      </c>
      <c r="K4799" s="14" t="n">
        <f aca="false">I4799*J4799</f>
        <v>4346</v>
      </c>
      <c r="L4799" s="14" t="n">
        <f aca="false">($L$2*M4799)/100</f>
        <v>648899.91</v>
      </c>
      <c r="M4799" s="15" t="n">
        <v>0.54</v>
      </c>
      <c r="N4799" s="9" t="s">
        <v>85</v>
      </c>
    </row>
    <row r="4800" customFormat="false" ht="14.25" hidden="false" customHeight="true" outlineLevel="0" collapsed="false">
      <c r="B4800" s="9" t="s">
        <v>36</v>
      </c>
      <c r="C4800" s="9" t="n">
        <v>1189833</v>
      </c>
      <c r="D4800" s="10" t="n">
        <v>44239</v>
      </c>
      <c r="E4800" s="9" t="s">
        <v>38</v>
      </c>
      <c r="F4800" s="9" t="s">
        <v>55</v>
      </c>
      <c r="G4800" s="9" t="s">
        <v>56</v>
      </c>
      <c r="H4800" s="11" t="s">
        <v>24</v>
      </c>
      <c r="I4800" s="12" t="n">
        <v>52</v>
      </c>
      <c r="J4800" s="13" t="n">
        <v>106</v>
      </c>
      <c r="K4800" s="14" t="n">
        <f aca="false">I4800*J4800</f>
        <v>5512</v>
      </c>
      <c r="L4800" s="14" t="n">
        <f aca="false">($L$2*M4800)/100</f>
        <v>841166.55</v>
      </c>
      <c r="M4800" s="15" t="n">
        <v>0.7</v>
      </c>
      <c r="N4800" s="9" t="s">
        <v>85</v>
      </c>
    </row>
    <row r="4801" customFormat="false" ht="14.25" hidden="false" customHeight="true" outlineLevel="0" collapsed="false">
      <c r="B4801" s="9" t="s">
        <v>36</v>
      </c>
      <c r="C4801" s="9" t="n">
        <v>1189833</v>
      </c>
      <c r="D4801" s="10" t="n">
        <v>44240</v>
      </c>
      <c r="E4801" s="9" t="s">
        <v>38</v>
      </c>
      <c r="F4801" s="9" t="s">
        <v>55</v>
      </c>
      <c r="G4801" s="9" t="s">
        <v>56</v>
      </c>
      <c r="H4801" s="11" t="s">
        <v>25</v>
      </c>
      <c r="I4801" s="12" t="n">
        <v>56</v>
      </c>
      <c r="J4801" s="13" t="n">
        <v>112</v>
      </c>
      <c r="K4801" s="14" t="n">
        <f aca="false">I4801*J4801</f>
        <v>6272</v>
      </c>
      <c r="L4801" s="14" t="n">
        <f aca="false">($L$2*M4801)/100</f>
        <v>456633.27</v>
      </c>
      <c r="M4801" s="15" t="n">
        <v>0.38</v>
      </c>
      <c r="N4801" s="9" t="s">
        <v>85</v>
      </c>
    </row>
    <row r="4802" customFormat="false" ht="14.25" hidden="false" customHeight="true" outlineLevel="0" collapsed="false">
      <c r="B4802" s="9" t="s">
        <v>36</v>
      </c>
      <c r="C4802" s="9" t="n">
        <v>1189833</v>
      </c>
      <c r="D4802" s="10" t="n">
        <v>44241</v>
      </c>
      <c r="E4802" s="9" t="s">
        <v>38</v>
      </c>
      <c r="F4802" s="9" t="s">
        <v>55</v>
      </c>
      <c r="G4802" s="9" t="s">
        <v>56</v>
      </c>
      <c r="H4802" s="11" t="s">
        <v>19</v>
      </c>
      <c r="I4802" s="12" t="n">
        <v>41</v>
      </c>
      <c r="J4802" s="13" t="n">
        <v>180</v>
      </c>
      <c r="K4802" s="14" t="n">
        <f aca="false">I4802*J4802</f>
        <v>7380</v>
      </c>
      <c r="L4802" s="14" t="n">
        <f aca="false">($L$2*M4802)/100</f>
        <v>696966.57</v>
      </c>
      <c r="M4802" s="15" t="n">
        <v>0.58</v>
      </c>
      <c r="N4802" s="9" t="s">
        <v>85</v>
      </c>
    </row>
    <row r="4803" customFormat="false" ht="14.25" hidden="false" customHeight="true" outlineLevel="0" collapsed="false">
      <c r="B4803" s="9" t="s">
        <v>36</v>
      </c>
      <c r="C4803" s="9" t="n">
        <v>1189833</v>
      </c>
      <c r="D4803" s="10" t="n">
        <v>44242</v>
      </c>
      <c r="E4803" s="9" t="s">
        <v>38</v>
      </c>
      <c r="F4803" s="9" t="s">
        <v>55</v>
      </c>
      <c r="G4803" s="9" t="s">
        <v>56</v>
      </c>
      <c r="H4803" s="11" t="s">
        <v>21</v>
      </c>
      <c r="I4803" s="12" t="n">
        <v>48</v>
      </c>
      <c r="J4803" s="13" t="n">
        <v>156</v>
      </c>
      <c r="K4803" s="14" t="n">
        <f aca="false">I4803*J4803</f>
        <v>7488</v>
      </c>
      <c r="L4803" s="14" t="n">
        <f aca="false">($L$2*M4803)/100</f>
        <v>528733.26</v>
      </c>
      <c r="M4803" s="15" t="n">
        <v>0.44</v>
      </c>
      <c r="N4803" s="9" t="s">
        <v>85</v>
      </c>
    </row>
    <row r="4804" customFormat="false" ht="14.25" hidden="false" customHeight="true" outlineLevel="0" collapsed="false">
      <c r="B4804" s="9" t="s">
        <v>36</v>
      </c>
      <c r="C4804" s="9" t="n">
        <v>1189833</v>
      </c>
      <c r="D4804" s="10" t="n">
        <v>44243</v>
      </c>
      <c r="E4804" s="9" t="s">
        <v>38</v>
      </c>
      <c r="F4804" s="9" t="s">
        <v>55</v>
      </c>
      <c r="G4804" s="9" t="s">
        <v>56</v>
      </c>
      <c r="H4804" s="11" t="s">
        <v>22</v>
      </c>
      <c r="I4804" s="12" t="n">
        <v>42</v>
      </c>
      <c r="J4804" s="13" t="n">
        <v>117</v>
      </c>
      <c r="K4804" s="14" t="n">
        <f aca="false">I4804*J4804</f>
        <v>4914</v>
      </c>
      <c r="L4804" s="14" t="n">
        <f aca="false">($L$2*M4804)/100</f>
        <v>672933.24</v>
      </c>
      <c r="M4804" s="15" t="n">
        <v>0.56</v>
      </c>
      <c r="N4804" s="9" t="s">
        <v>85</v>
      </c>
    </row>
    <row r="4805" customFormat="false" ht="14.25" hidden="false" customHeight="true" outlineLevel="0" collapsed="false">
      <c r="B4805" s="9" t="s">
        <v>36</v>
      </c>
      <c r="C4805" s="9" t="n">
        <v>1189833</v>
      </c>
      <c r="D4805" s="10" t="n">
        <v>44244</v>
      </c>
      <c r="E4805" s="9" t="s">
        <v>38</v>
      </c>
      <c r="F4805" s="9" t="s">
        <v>55</v>
      </c>
      <c r="G4805" s="9" t="s">
        <v>56</v>
      </c>
      <c r="H4805" s="11" t="s">
        <v>23</v>
      </c>
      <c r="I4805" s="12" t="n">
        <v>41</v>
      </c>
      <c r="J4805" s="13" t="n">
        <v>116</v>
      </c>
      <c r="K4805" s="14" t="n">
        <f aca="false">I4805*J4805</f>
        <v>4756</v>
      </c>
      <c r="L4805" s="14" t="n">
        <f aca="false">($L$2*M4805)/100</f>
        <v>660916.575</v>
      </c>
      <c r="M4805" s="15" t="n">
        <v>0.55</v>
      </c>
      <c r="N4805" s="9" t="s">
        <v>85</v>
      </c>
    </row>
    <row r="4806" customFormat="false" ht="14.25" hidden="false" customHeight="true" outlineLevel="0" collapsed="false">
      <c r="B4806" s="9" t="s">
        <v>36</v>
      </c>
      <c r="C4806" s="9" t="n">
        <v>1189833</v>
      </c>
      <c r="D4806" s="10" t="n">
        <v>44245</v>
      </c>
      <c r="E4806" s="9" t="s">
        <v>38</v>
      </c>
      <c r="F4806" s="9" t="s">
        <v>55</v>
      </c>
      <c r="G4806" s="9" t="s">
        <v>56</v>
      </c>
      <c r="H4806" s="11" t="s">
        <v>24</v>
      </c>
      <c r="I4806" s="12" t="n">
        <v>50</v>
      </c>
      <c r="J4806" s="13" t="n">
        <v>100</v>
      </c>
      <c r="K4806" s="14" t="n">
        <f aca="false">I4806*J4806</f>
        <v>5000</v>
      </c>
      <c r="L4806" s="14" t="n">
        <f aca="false">($L$2*M4806)/100</f>
        <v>877216.545</v>
      </c>
      <c r="M4806" s="15" t="n">
        <v>0.73</v>
      </c>
      <c r="N4806" s="9" t="s">
        <v>85</v>
      </c>
    </row>
    <row r="4807" customFormat="false" ht="14.25" hidden="false" customHeight="true" outlineLevel="0" collapsed="false">
      <c r="B4807" s="9" t="s">
        <v>36</v>
      </c>
      <c r="C4807" s="9" t="n">
        <v>1189833</v>
      </c>
      <c r="D4807" s="10" t="n">
        <v>44246</v>
      </c>
      <c r="E4807" s="9" t="s">
        <v>38</v>
      </c>
      <c r="F4807" s="9" t="s">
        <v>55</v>
      </c>
      <c r="G4807" s="9" t="s">
        <v>56</v>
      </c>
      <c r="H4807" s="11" t="s">
        <v>25</v>
      </c>
      <c r="I4807" s="12" t="n">
        <v>59</v>
      </c>
      <c r="J4807" s="13" t="n">
        <v>122</v>
      </c>
      <c r="K4807" s="14" t="n">
        <f aca="false">I4807*J4807</f>
        <v>7198</v>
      </c>
      <c r="L4807" s="14" t="n">
        <f aca="false">($L$2*M4807)/100</f>
        <v>480666.6</v>
      </c>
      <c r="M4807" s="15" t="n">
        <v>0.4</v>
      </c>
      <c r="N4807" s="9" t="s">
        <v>85</v>
      </c>
    </row>
    <row r="4808" customFormat="false" ht="14.25" hidden="false" customHeight="true" outlineLevel="0" collapsed="false">
      <c r="B4808" s="9" t="s">
        <v>36</v>
      </c>
      <c r="C4808" s="9" t="n">
        <v>1189833</v>
      </c>
      <c r="D4808" s="10" t="n">
        <v>44247</v>
      </c>
      <c r="E4808" s="9" t="s">
        <v>38</v>
      </c>
      <c r="F4808" s="9" t="s">
        <v>55</v>
      </c>
      <c r="G4808" s="9" t="s">
        <v>56</v>
      </c>
      <c r="H4808" s="11" t="s">
        <v>19</v>
      </c>
      <c r="I4808" s="12" t="n">
        <v>44</v>
      </c>
      <c r="J4808" s="13" t="n">
        <v>160</v>
      </c>
      <c r="K4808" s="14" t="n">
        <f aca="false">I4808*J4808</f>
        <v>7040</v>
      </c>
      <c r="L4808" s="14" t="n">
        <f aca="false">($L$2*M4808)/100</f>
        <v>672933.24</v>
      </c>
      <c r="M4808" s="15" t="n">
        <v>0.56</v>
      </c>
      <c r="N4808" s="9" t="s">
        <v>85</v>
      </c>
    </row>
    <row r="4809" customFormat="false" ht="14.25" hidden="false" customHeight="true" outlineLevel="0" collapsed="false">
      <c r="B4809" s="9" t="s">
        <v>36</v>
      </c>
      <c r="C4809" s="9" t="n">
        <v>1189833</v>
      </c>
      <c r="D4809" s="10" t="n">
        <v>44248</v>
      </c>
      <c r="E4809" s="9" t="s">
        <v>38</v>
      </c>
      <c r="F4809" s="9" t="s">
        <v>55</v>
      </c>
      <c r="G4809" s="9" t="s">
        <v>56</v>
      </c>
      <c r="H4809" s="11" t="s">
        <v>21</v>
      </c>
      <c r="I4809" s="12" t="n">
        <v>49</v>
      </c>
      <c r="J4809" s="13" t="n">
        <v>160</v>
      </c>
      <c r="K4809" s="14" t="n">
        <f aca="false">I4809*J4809</f>
        <v>7840</v>
      </c>
      <c r="L4809" s="14" t="n">
        <f aca="false">($L$2*M4809)/100</f>
        <v>516716.595</v>
      </c>
      <c r="M4809" s="15" t="n">
        <v>0.43</v>
      </c>
      <c r="N4809" s="9" t="s">
        <v>85</v>
      </c>
    </row>
    <row r="4810" customFormat="false" ht="14.25" hidden="false" customHeight="true" outlineLevel="0" collapsed="false">
      <c r="B4810" s="9" t="s">
        <v>36</v>
      </c>
      <c r="C4810" s="9" t="n">
        <v>1189833</v>
      </c>
      <c r="D4810" s="10" t="n">
        <v>44249</v>
      </c>
      <c r="E4810" s="9" t="s">
        <v>38</v>
      </c>
      <c r="F4810" s="9" t="s">
        <v>55</v>
      </c>
      <c r="G4810" s="9" t="s">
        <v>56</v>
      </c>
      <c r="H4810" s="11" t="s">
        <v>22</v>
      </c>
      <c r="I4810" s="12" t="n">
        <v>41</v>
      </c>
      <c r="J4810" s="13" t="n">
        <v>116</v>
      </c>
      <c r="K4810" s="14" t="n">
        <f aca="false">I4810*J4810</f>
        <v>4756</v>
      </c>
      <c r="L4810" s="14" t="n">
        <f aca="false">($L$2*M4810)/100</f>
        <v>684949.905</v>
      </c>
      <c r="M4810" s="15" t="n">
        <v>0.57</v>
      </c>
      <c r="N4810" s="9" t="s">
        <v>85</v>
      </c>
    </row>
    <row r="4811" customFormat="false" ht="14.25" hidden="false" customHeight="true" outlineLevel="0" collapsed="false">
      <c r="B4811" s="9" t="s">
        <v>36</v>
      </c>
      <c r="C4811" s="9" t="n">
        <v>1189833</v>
      </c>
      <c r="D4811" s="10" t="n">
        <v>44250</v>
      </c>
      <c r="E4811" s="9" t="s">
        <v>38</v>
      </c>
      <c r="F4811" s="9" t="s">
        <v>55</v>
      </c>
      <c r="G4811" s="9" t="s">
        <v>56</v>
      </c>
      <c r="H4811" s="11" t="s">
        <v>23</v>
      </c>
      <c r="I4811" s="12" t="n">
        <v>44</v>
      </c>
      <c r="J4811" s="13" t="n">
        <v>105</v>
      </c>
      <c r="K4811" s="14" t="n">
        <f aca="false">I4811*J4811</f>
        <v>4620</v>
      </c>
      <c r="L4811" s="14" t="n">
        <f aca="false">($L$2*M4811)/100</f>
        <v>624866.58</v>
      </c>
      <c r="M4811" s="15" t="n">
        <v>0.52</v>
      </c>
      <c r="N4811" s="9" t="s">
        <v>85</v>
      </c>
    </row>
    <row r="4812" customFormat="false" ht="14.25" hidden="false" customHeight="true" outlineLevel="0" collapsed="false">
      <c r="B4812" s="9" t="s">
        <v>36</v>
      </c>
      <c r="C4812" s="9" t="n">
        <v>1189833</v>
      </c>
      <c r="D4812" s="10" t="n">
        <v>44251</v>
      </c>
      <c r="E4812" s="9" t="s">
        <v>38</v>
      </c>
      <c r="F4812" s="9" t="s">
        <v>55</v>
      </c>
      <c r="G4812" s="9" t="s">
        <v>56</v>
      </c>
      <c r="H4812" s="11" t="s">
        <v>24</v>
      </c>
      <c r="I4812" s="12" t="n">
        <v>54</v>
      </c>
      <c r="J4812" s="13" t="n">
        <v>98</v>
      </c>
      <c r="K4812" s="14" t="n">
        <f aca="false">I4812*J4812</f>
        <v>5292</v>
      </c>
      <c r="L4812" s="14" t="n">
        <f aca="false">($L$2*M4812)/100</f>
        <v>901249.875</v>
      </c>
      <c r="M4812" s="15" t="n">
        <v>0.75</v>
      </c>
      <c r="N4812" s="9" t="s">
        <v>85</v>
      </c>
    </row>
    <row r="4813" customFormat="false" ht="14.25" hidden="false" customHeight="true" outlineLevel="0" collapsed="false">
      <c r="B4813" s="9" t="s">
        <v>36</v>
      </c>
      <c r="C4813" s="9" t="n">
        <v>1189833</v>
      </c>
      <c r="D4813" s="10" t="n">
        <v>44252</v>
      </c>
      <c r="E4813" s="9" t="s">
        <v>38</v>
      </c>
      <c r="F4813" s="9" t="s">
        <v>55</v>
      </c>
      <c r="G4813" s="9" t="s">
        <v>56</v>
      </c>
      <c r="H4813" s="11" t="s">
        <v>25</v>
      </c>
      <c r="I4813" s="12" t="n">
        <v>58</v>
      </c>
      <c r="J4813" s="13" t="n">
        <v>108</v>
      </c>
      <c r="K4813" s="14" t="n">
        <f aca="false">I4813*J4813</f>
        <v>6264</v>
      </c>
      <c r="L4813" s="14" t="n">
        <f aca="false">($L$2*M4813)/100</f>
        <v>468649.935</v>
      </c>
      <c r="M4813" s="15" t="n">
        <v>0.39</v>
      </c>
      <c r="N4813" s="9" t="s">
        <v>85</v>
      </c>
    </row>
    <row r="4814" customFormat="false" ht="14.25" hidden="false" customHeight="true" outlineLevel="0" collapsed="false">
      <c r="B4814" s="9" t="s">
        <v>36</v>
      </c>
      <c r="C4814" s="9" t="n">
        <v>1189833</v>
      </c>
      <c r="D4814" s="10" t="n">
        <v>44253</v>
      </c>
      <c r="E4814" s="9" t="s">
        <v>38</v>
      </c>
      <c r="F4814" s="9" t="s">
        <v>55</v>
      </c>
      <c r="G4814" s="9" t="s">
        <v>56</v>
      </c>
      <c r="H4814" s="11" t="s">
        <v>19</v>
      </c>
      <c r="I4814" s="12" t="n">
        <v>38</v>
      </c>
      <c r="J4814" s="13" t="n">
        <v>167</v>
      </c>
      <c r="K4814" s="14" t="n">
        <f aca="false">I4814*J4814</f>
        <v>6346</v>
      </c>
      <c r="L4814" s="14" t="n">
        <f aca="false">($L$2*M4814)/100</f>
        <v>708983.235</v>
      </c>
      <c r="M4814" s="15" t="n">
        <v>0.59</v>
      </c>
      <c r="N4814" s="9" t="s">
        <v>85</v>
      </c>
    </row>
    <row r="4815" customFormat="false" ht="14.25" hidden="false" customHeight="true" outlineLevel="0" collapsed="false">
      <c r="B4815" s="9" t="s">
        <v>36</v>
      </c>
      <c r="C4815" s="9" t="n">
        <v>1189833</v>
      </c>
      <c r="D4815" s="10" t="n">
        <v>44254</v>
      </c>
      <c r="E4815" s="9" t="s">
        <v>38</v>
      </c>
      <c r="F4815" s="9" t="s">
        <v>55</v>
      </c>
      <c r="G4815" s="9" t="s">
        <v>56</v>
      </c>
      <c r="H4815" s="11" t="s">
        <v>21</v>
      </c>
      <c r="I4815" s="12" t="n">
        <v>42</v>
      </c>
      <c r="J4815" s="13" t="n">
        <v>173</v>
      </c>
      <c r="K4815" s="14" t="n">
        <f aca="false">I4815*J4815</f>
        <v>7266</v>
      </c>
      <c r="L4815" s="14" t="n">
        <f aca="false">($L$2*M4815)/100</f>
        <v>492683.265</v>
      </c>
      <c r="M4815" s="15" t="n">
        <v>0.41</v>
      </c>
      <c r="N4815" s="9" t="s">
        <v>85</v>
      </c>
    </row>
    <row r="4816" customFormat="false" ht="14.25" hidden="false" customHeight="true" outlineLevel="0" collapsed="false">
      <c r="B4816" s="9" t="s">
        <v>36</v>
      </c>
      <c r="C4816" s="9" t="n">
        <v>1189833</v>
      </c>
      <c r="D4816" s="10" t="n">
        <v>44255</v>
      </c>
      <c r="E4816" s="9" t="s">
        <v>38</v>
      </c>
      <c r="F4816" s="9" t="s">
        <v>55</v>
      </c>
      <c r="G4816" s="9" t="s">
        <v>56</v>
      </c>
      <c r="H4816" s="11" t="s">
        <v>22</v>
      </c>
      <c r="I4816" s="12" t="n">
        <v>37</v>
      </c>
      <c r="J4816" s="13" t="n">
        <v>123</v>
      </c>
      <c r="K4816" s="14" t="n">
        <f aca="false">I4816*J4816</f>
        <v>4551</v>
      </c>
      <c r="L4816" s="14" t="n">
        <f aca="false">($L$2*M4816)/100</f>
        <v>684949.905</v>
      </c>
      <c r="M4816" s="15" t="n">
        <v>0.57</v>
      </c>
      <c r="N4816" s="9" t="s">
        <v>85</v>
      </c>
    </row>
    <row r="4817" customFormat="false" ht="14.25" hidden="false" customHeight="true" outlineLevel="0" collapsed="false">
      <c r="B4817" s="9" t="s">
        <v>36</v>
      </c>
      <c r="C4817" s="9" t="n">
        <v>1189833</v>
      </c>
      <c r="D4817" s="10" t="n">
        <v>44256</v>
      </c>
      <c r="E4817" s="9" t="s">
        <v>38</v>
      </c>
      <c r="F4817" s="9" t="s">
        <v>55</v>
      </c>
      <c r="G4817" s="9" t="s">
        <v>56</v>
      </c>
      <c r="H4817" s="11" t="s">
        <v>23</v>
      </c>
      <c r="I4817" s="12" t="n">
        <v>39</v>
      </c>
      <c r="J4817" s="13" t="n">
        <v>119</v>
      </c>
      <c r="K4817" s="14" t="n">
        <f aca="false">I4817*J4817</f>
        <v>4641</v>
      </c>
      <c r="L4817" s="14" t="n">
        <f aca="false">($L$2*M4817)/100</f>
        <v>660916.575</v>
      </c>
      <c r="M4817" s="15" t="n">
        <v>0.55</v>
      </c>
      <c r="N4817" s="9" t="s">
        <v>85</v>
      </c>
    </row>
    <row r="4818" customFormat="false" ht="14.25" hidden="false" customHeight="true" outlineLevel="0" collapsed="false">
      <c r="B4818" s="9" t="s">
        <v>36</v>
      </c>
      <c r="C4818" s="9" t="n">
        <v>1189833</v>
      </c>
      <c r="D4818" s="10" t="n">
        <v>44257</v>
      </c>
      <c r="E4818" s="9" t="s">
        <v>38</v>
      </c>
      <c r="F4818" s="9" t="s">
        <v>55</v>
      </c>
      <c r="G4818" s="9" t="s">
        <v>56</v>
      </c>
      <c r="H4818" s="11" t="s">
        <v>24</v>
      </c>
      <c r="I4818" s="12" t="n">
        <v>51</v>
      </c>
      <c r="J4818" s="13" t="n">
        <v>113</v>
      </c>
      <c r="K4818" s="14" t="n">
        <f aca="false">I4818*J4818</f>
        <v>5763</v>
      </c>
      <c r="L4818" s="14" t="n">
        <f aca="false">($L$2*M4818)/100</f>
        <v>889233.21</v>
      </c>
      <c r="M4818" s="15" t="n">
        <v>0.74</v>
      </c>
      <c r="N4818" s="9" t="s">
        <v>85</v>
      </c>
    </row>
    <row r="4819" customFormat="false" ht="14.25" hidden="false" customHeight="true" outlineLevel="0" collapsed="false">
      <c r="B4819" s="9" t="s">
        <v>36</v>
      </c>
      <c r="C4819" s="9" t="n">
        <v>1189833</v>
      </c>
      <c r="D4819" s="10" t="n">
        <v>44258</v>
      </c>
      <c r="E4819" s="9" t="s">
        <v>38</v>
      </c>
      <c r="F4819" s="9" t="s">
        <v>55</v>
      </c>
      <c r="G4819" s="9" t="s">
        <v>56</v>
      </c>
      <c r="H4819" s="11" t="s">
        <v>25</v>
      </c>
      <c r="I4819" s="12" t="n">
        <v>56</v>
      </c>
      <c r="J4819" s="13" t="n">
        <v>133</v>
      </c>
      <c r="K4819" s="14" t="n">
        <f aca="false">I4819*J4819</f>
        <v>7448</v>
      </c>
      <c r="L4819" s="14" t="n">
        <f aca="false">($L$2*M4819)/100</f>
        <v>456633.27</v>
      </c>
      <c r="M4819" s="15" t="n">
        <v>0.38</v>
      </c>
      <c r="N4819" s="9" t="s">
        <v>85</v>
      </c>
    </row>
    <row r="4820" customFormat="false" ht="14.25" hidden="false" customHeight="true" outlineLevel="0" collapsed="false">
      <c r="B4820" s="9" t="s">
        <v>36</v>
      </c>
      <c r="C4820" s="9" t="n">
        <v>1189833</v>
      </c>
      <c r="D4820" s="10" t="n">
        <v>44259</v>
      </c>
      <c r="E4820" s="9" t="s">
        <v>38</v>
      </c>
      <c r="F4820" s="9" t="s">
        <v>55</v>
      </c>
      <c r="G4820" s="9" t="s">
        <v>56</v>
      </c>
      <c r="H4820" s="11" t="s">
        <v>19</v>
      </c>
      <c r="I4820" s="12" t="n">
        <v>41</v>
      </c>
      <c r="J4820" s="13" t="n">
        <v>196</v>
      </c>
      <c r="K4820" s="14" t="n">
        <f aca="false">I4820*J4820</f>
        <v>8036</v>
      </c>
      <c r="L4820" s="14" t="n">
        <f aca="false">($L$2*M4820)/100</f>
        <v>672933.24</v>
      </c>
      <c r="M4820" s="15" t="n">
        <v>0.56</v>
      </c>
      <c r="N4820" s="9" t="s">
        <v>85</v>
      </c>
    </row>
    <row r="4821" customFormat="false" ht="14.25" hidden="false" customHeight="true" outlineLevel="0" collapsed="false">
      <c r="B4821" s="9" t="s">
        <v>36</v>
      </c>
      <c r="C4821" s="9" t="n">
        <v>1189833</v>
      </c>
      <c r="D4821" s="10" t="n">
        <v>44260</v>
      </c>
      <c r="E4821" s="9" t="s">
        <v>38</v>
      </c>
      <c r="F4821" s="9" t="s">
        <v>55</v>
      </c>
      <c r="G4821" s="9" t="s">
        <v>56</v>
      </c>
      <c r="H4821" s="11" t="s">
        <v>21</v>
      </c>
      <c r="I4821" s="12" t="n">
        <v>45</v>
      </c>
      <c r="J4821" s="13" t="n">
        <v>182</v>
      </c>
      <c r="K4821" s="14" t="n">
        <f aca="false">I4821*J4821</f>
        <v>8190</v>
      </c>
      <c r="L4821" s="14" t="n">
        <f aca="false">($L$2*M4821)/100</f>
        <v>516716.595</v>
      </c>
      <c r="M4821" s="15" t="n">
        <v>0.43</v>
      </c>
      <c r="N4821" s="9" t="s">
        <v>85</v>
      </c>
    </row>
    <row r="4822" customFormat="false" ht="14.25" hidden="false" customHeight="true" outlineLevel="0" collapsed="false">
      <c r="B4822" s="9" t="s">
        <v>36</v>
      </c>
      <c r="C4822" s="9" t="n">
        <v>1189833</v>
      </c>
      <c r="D4822" s="10" t="n">
        <v>44261</v>
      </c>
      <c r="E4822" s="9" t="s">
        <v>38</v>
      </c>
      <c r="F4822" s="9" t="s">
        <v>55</v>
      </c>
      <c r="G4822" s="9" t="s">
        <v>56</v>
      </c>
      <c r="H4822" s="11" t="s">
        <v>22</v>
      </c>
      <c r="I4822" s="12" t="n">
        <v>42</v>
      </c>
      <c r="J4822" s="13" t="n">
        <v>133</v>
      </c>
      <c r="K4822" s="14" t="n">
        <f aca="false">I4822*J4822</f>
        <v>5586</v>
      </c>
      <c r="L4822" s="14" t="n">
        <f aca="false">($L$2*M4822)/100</f>
        <v>720999.9</v>
      </c>
      <c r="M4822" s="15" t="n">
        <v>0.6</v>
      </c>
      <c r="N4822" s="9" t="s">
        <v>85</v>
      </c>
    </row>
    <row r="4823" customFormat="false" ht="14.25" hidden="false" customHeight="true" outlineLevel="0" collapsed="false">
      <c r="B4823" s="9" t="s">
        <v>36</v>
      </c>
      <c r="C4823" s="9" t="n">
        <v>1189833</v>
      </c>
      <c r="D4823" s="10" t="n">
        <v>44262</v>
      </c>
      <c r="E4823" s="9" t="s">
        <v>38</v>
      </c>
      <c r="F4823" s="9" t="s">
        <v>55</v>
      </c>
      <c r="G4823" s="9" t="s">
        <v>56</v>
      </c>
      <c r="H4823" s="11" t="s">
        <v>23</v>
      </c>
      <c r="I4823" s="12" t="n">
        <v>43</v>
      </c>
      <c r="J4823" s="13" t="n">
        <v>143</v>
      </c>
      <c r="K4823" s="14" t="n">
        <f aca="false">I4823*J4823</f>
        <v>6149</v>
      </c>
      <c r="L4823" s="14" t="n">
        <f aca="false">($L$2*M4823)/100</f>
        <v>612849.915</v>
      </c>
      <c r="M4823" s="15" t="n">
        <v>0.51</v>
      </c>
      <c r="N4823" s="9" t="s">
        <v>85</v>
      </c>
    </row>
    <row r="4824" customFormat="false" ht="14.25" hidden="false" customHeight="true" outlineLevel="0" collapsed="false">
      <c r="B4824" s="9" t="s">
        <v>36</v>
      </c>
      <c r="C4824" s="9" t="n">
        <v>1189833</v>
      </c>
      <c r="D4824" s="10" t="n">
        <v>44263</v>
      </c>
      <c r="E4824" s="9" t="s">
        <v>38</v>
      </c>
      <c r="F4824" s="9" t="s">
        <v>55</v>
      </c>
      <c r="G4824" s="9" t="s">
        <v>56</v>
      </c>
      <c r="H4824" s="11" t="s">
        <v>24</v>
      </c>
      <c r="I4824" s="12" t="n">
        <v>53</v>
      </c>
      <c r="J4824" s="13" t="n">
        <v>120</v>
      </c>
      <c r="K4824" s="14" t="n">
        <f aca="false">I4824*J4824</f>
        <v>6360</v>
      </c>
      <c r="L4824" s="14" t="n">
        <f aca="false">($L$2*M4824)/100</f>
        <v>877216.545</v>
      </c>
      <c r="M4824" s="15" t="n">
        <v>0.73</v>
      </c>
      <c r="N4824" s="9" t="s">
        <v>85</v>
      </c>
    </row>
    <row r="4825" customFormat="false" ht="14.25" hidden="false" customHeight="true" outlineLevel="0" collapsed="false">
      <c r="B4825" s="9" t="s">
        <v>36</v>
      </c>
      <c r="C4825" s="9" t="n">
        <v>1189833</v>
      </c>
      <c r="D4825" s="10" t="n">
        <v>44264</v>
      </c>
      <c r="E4825" s="9" t="s">
        <v>38</v>
      </c>
      <c r="F4825" s="9" t="s">
        <v>55</v>
      </c>
      <c r="G4825" s="9" t="s">
        <v>56</v>
      </c>
      <c r="H4825" s="11" t="s">
        <v>25</v>
      </c>
      <c r="I4825" s="12" t="n">
        <v>55</v>
      </c>
      <c r="J4825" s="13" t="n">
        <v>130</v>
      </c>
      <c r="K4825" s="14" t="n">
        <f aca="false">I4825*J4825</f>
        <v>7150</v>
      </c>
      <c r="L4825" s="14" t="n">
        <f aca="false">($L$2*M4825)/100</f>
        <v>480666.6</v>
      </c>
      <c r="M4825" s="15" t="n">
        <v>0.4</v>
      </c>
      <c r="N4825" s="9" t="s">
        <v>85</v>
      </c>
    </row>
    <row r="4826" customFormat="false" ht="14.25" hidden="false" customHeight="true" outlineLevel="0" collapsed="false">
      <c r="B4826" s="9" t="s">
        <v>28</v>
      </c>
      <c r="C4826" s="9" t="n">
        <v>1197831</v>
      </c>
      <c r="D4826" s="10" t="n">
        <v>44265</v>
      </c>
      <c r="E4826" s="9" t="s">
        <v>38</v>
      </c>
      <c r="F4826" s="9" t="s">
        <v>55</v>
      </c>
      <c r="G4826" s="9" t="s">
        <v>56</v>
      </c>
      <c r="H4826" s="11" t="s">
        <v>19</v>
      </c>
      <c r="I4826" s="12" t="n">
        <v>18</v>
      </c>
      <c r="J4826" s="13" t="n">
        <v>210</v>
      </c>
      <c r="K4826" s="14" t="n">
        <f aca="false">I4826*J4826</f>
        <v>3780</v>
      </c>
      <c r="L4826" s="14" t="n">
        <f aca="false">($L$2*M4826)/100</f>
        <v>600833.25</v>
      </c>
      <c r="M4826" s="15" t="n">
        <v>0.5</v>
      </c>
      <c r="N4826" s="9" t="s">
        <v>85</v>
      </c>
    </row>
    <row r="4827" customFormat="false" ht="14.25" hidden="false" customHeight="true" outlineLevel="0" collapsed="false">
      <c r="B4827" s="9" t="s">
        <v>28</v>
      </c>
      <c r="C4827" s="9" t="n">
        <v>1197831</v>
      </c>
      <c r="D4827" s="10" t="n">
        <v>44266</v>
      </c>
      <c r="E4827" s="9" t="s">
        <v>38</v>
      </c>
      <c r="F4827" s="9" t="s">
        <v>55</v>
      </c>
      <c r="G4827" s="9" t="s">
        <v>56</v>
      </c>
      <c r="H4827" s="11" t="s">
        <v>21</v>
      </c>
      <c r="I4827" s="12" t="n">
        <v>29</v>
      </c>
      <c r="J4827" s="13" t="n">
        <v>182</v>
      </c>
      <c r="K4827" s="14" t="n">
        <f aca="false">I4827*J4827</f>
        <v>5278</v>
      </c>
      <c r="L4827" s="14" t="n">
        <f aca="false">($L$2*M4827)/100</f>
        <v>552766.59</v>
      </c>
      <c r="M4827" s="15" t="n">
        <v>0.46</v>
      </c>
      <c r="N4827" s="9" t="s">
        <v>85</v>
      </c>
    </row>
    <row r="4828" customFormat="false" ht="14.25" hidden="false" customHeight="true" outlineLevel="0" collapsed="false">
      <c r="B4828" s="9" t="s">
        <v>28</v>
      </c>
      <c r="C4828" s="9" t="n">
        <v>1197831</v>
      </c>
      <c r="D4828" s="10" t="n">
        <v>44267</v>
      </c>
      <c r="E4828" s="9" t="s">
        <v>38</v>
      </c>
      <c r="F4828" s="9" t="s">
        <v>55</v>
      </c>
      <c r="G4828" s="9" t="s">
        <v>56</v>
      </c>
      <c r="H4828" s="11" t="s">
        <v>22</v>
      </c>
      <c r="I4828" s="12" t="n">
        <v>27</v>
      </c>
      <c r="J4828" s="13" t="n">
        <v>130</v>
      </c>
      <c r="K4828" s="14" t="n">
        <f aca="false">I4828*J4828</f>
        <v>3510</v>
      </c>
      <c r="L4828" s="14" t="n">
        <f aca="false">($L$2*M4828)/100</f>
        <v>540749.925</v>
      </c>
      <c r="M4828" s="15" t="n">
        <v>0.45</v>
      </c>
      <c r="N4828" s="9" t="s">
        <v>85</v>
      </c>
    </row>
    <row r="4829" customFormat="false" ht="14.25" hidden="false" customHeight="true" outlineLevel="0" collapsed="false">
      <c r="B4829" s="9" t="s">
        <v>28</v>
      </c>
      <c r="C4829" s="9" t="n">
        <v>1197831</v>
      </c>
      <c r="D4829" s="10" t="n">
        <v>44268</v>
      </c>
      <c r="E4829" s="9" t="s">
        <v>38</v>
      </c>
      <c r="F4829" s="9" t="s">
        <v>55</v>
      </c>
      <c r="G4829" s="9" t="s">
        <v>56</v>
      </c>
      <c r="H4829" s="11" t="s">
        <v>23</v>
      </c>
      <c r="I4829" s="12" t="n">
        <v>32</v>
      </c>
      <c r="J4829" s="13" t="n">
        <v>135</v>
      </c>
      <c r="K4829" s="14" t="n">
        <f aca="false">I4829*J4829</f>
        <v>4320</v>
      </c>
      <c r="L4829" s="14" t="n">
        <f aca="false">($L$2*M4829)/100</f>
        <v>684949.905</v>
      </c>
      <c r="M4829" s="15" t="n">
        <v>0.57</v>
      </c>
      <c r="N4829" s="9" t="s">
        <v>85</v>
      </c>
    </row>
    <row r="4830" customFormat="false" ht="14.25" hidden="false" customHeight="true" outlineLevel="0" collapsed="false">
      <c r="B4830" s="9" t="s">
        <v>28</v>
      </c>
      <c r="C4830" s="9" t="n">
        <v>1197831</v>
      </c>
      <c r="D4830" s="10" t="n">
        <v>44269</v>
      </c>
      <c r="E4830" s="9" t="s">
        <v>29</v>
      </c>
      <c r="F4830" s="9" t="s">
        <v>57</v>
      </c>
      <c r="G4830" s="9" t="s">
        <v>58</v>
      </c>
      <c r="H4830" s="11" t="s">
        <v>24</v>
      </c>
      <c r="I4830" s="12" t="n">
        <v>39</v>
      </c>
      <c r="J4830" s="13" t="n">
        <v>95</v>
      </c>
      <c r="K4830" s="14" t="n">
        <f aca="false">I4830*J4830</f>
        <v>3705</v>
      </c>
      <c r="L4830" s="14" t="n">
        <f aca="false">($L$2*M4830)/100</f>
        <v>480666.6</v>
      </c>
      <c r="M4830" s="15" t="n">
        <v>0.4</v>
      </c>
      <c r="N4830" s="9" t="s">
        <v>85</v>
      </c>
    </row>
    <row r="4831" customFormat="false" ht="14.25" hidden="false" customHeight="true" outlineLevel="0" collapsed="false">
      <c r="B4831" s="9" t="s">
        <v>28</v>
      </c>
      <c r="C4831" s="9" t="n">
        <v>1197831</v>
      </c>
      <c r="D4831" s="10" t="n">
        <v>44270</v>
      </c>
      <c r="E4831" s="9" t="s">
        <v>29</v>
      </c>
      <c r="F4831" s="9" t="s">
        <v>57</v>
      </c>
      <c r="G4831" s="9" t="s">
        <v>58</v>
      </c>
      <c r="H4831" s="11" t="s">
        <v>25</v>
      </c>
      <c r="I4831" s="12" t="n">
        <v>33</v>
      </c>
      <c r="J4831" s="13" t="n">
        <v>125</v>
      </c>
      <c r="K4831" s="14" t="n">
        <f aca="false">I4831*J4831</f>
        <v>4125</v>
      </c>
      <c r="L4831" s="14" t="n">
        <f aca="false">($L$2*M4831)/100</f>
        <v>781083.225</v>
      </c>
      <c r="M4831" s="15" t="n">
        <v>0.65</v>
      </c>
      <c r="N4831" s="9" t="s">
        <v>85</v>
      </c>
    </row>
    <row r="4832" customFormat="false" ht="14.25" hidden="false" customHeight="true" outlineLevel="0" collapsed="false">
      <c r="B4832" s="9" t="s">
        <v>28</v>
      </c>
      <c r="C4832" s="9" t="n">
        <v>1197831</v>
      </c>
      <c r="D4832" s="10" t="n">
        <v>44271</v>
      </c>
      <c r="E4832" s="9" t="s">
        <v>29</v>
      </c>
      <c r="F4832" s="9" t="s">
        <v>57</v>
      </c>
      <c r="G4832" s="9" t="s">
        <v>58</v>
      </c>
      <c r="H4832" s="11" t="s">
        <v>19</v>
      </c>
      <c r="I4832" s="12" t="n">
        <v>24</v>
      </c>
      <c r="J4832" s="13" t="n">
        <v>169</v>
      </c>
      <c r="K4832" s="14" t="n">
        <f aca="false">I4832*J4832</f>
        <v>4056</v>
      </c>
      <c r="L4832" s="14" t="n">
        <f aca="false">($L$2*M4832)/100</f>
        <v>600833.25</v>
      </c>
      <c r="M4832" s="15" t="n">
        <v>0.5</v>
      </c>
      <c r="N4832" s="9" t="s">
        <v>85</v>
      </c>
    </row>
    <row r="4833" customFormat="false" ht="14.25" hidden="false" customHeight="true" outlineLevel="0" collapsed="false">
      <c r="B4833" s="9" t="s">
        <v>28</v>
      </c>
      <c r="C4833" s="9" t="n">
        <v>1197831</v>
      </c>
      <c r="D4833" s="10" t="n">
        <v>44272</v>
      </c>
      <c r="E4833" s="9" t="s">
        <v>29</v>
      </c>
      <c r="F4833" s="9" t="s">
        <v>57</v>
      </c>
      <c r="G4833" s="9" t="s">
        <v>58</v>
      </c>
      <c r="H4833" s="11" t="s">
        <v>21</v>
      </c>
      <c r="I4833" s="12" t="n">
        <v>33</v>
      </c>
      <c r="J4833" s="13" t="n">
        <v>181</v>
      </c>
      <c r="K4833" s="14" t="n">
        <f aca="false">I4833*J4833</f>
        <v>5973</v>
      </c>
      <c r="L4833" s="14" t="n">
        <f aca="false">($L$2*M4833)/100</f>
        <v>576799.92</v>
      </c>
      <c r="M4833" s="15" t="n">
        <v>0.48</v>
      </c>
      <c r="N4833" s="9" t="s">
        <v>85</v>
      </c>
    </row>
    <row r="4834" customFormat="false" ht="14.25" hidden="false" customHeight="true" outlineLevel="0" collapsed="false">
      <c r="B4834" s="9" t="s">
        <v>28</v>
      </c>
      <c r="C4834" s="9" t="n">
        <v>1197831</v>
      </c>
      <c r="D4834" s="10" t="n">
        <v>44273</v>
      </c>
      <c r="E4834" s="9" t="s">
        <v>29</v>
      </c>
      <c r="F4834" s="9" t="s">
        <v>57</v>
      </c>
      <c r="G4834" s="9" t="s">
        <v>58</v>
      </c>
      <c r="H4834" s="11" t="s">
        <v>22</v>
      </c>
      <c r="I4834" s="12" t="n">
        <v>32</v>
      </c>
      <c r="J4834" s="13" t="n">
        <v>122</v>
      </c>
      <c r="K4834" s="14" t="n">
        <f aca="false">I4834*J4834</f>
        <v>3904</v>
      </c>
      <c r="L4834" s="14" t="n">
        <f aca="false">($L$2*M4834)/100</f>
        <v>576799.92</v>
      </c>
      <c r="M4834" s="15" t="n">
        <v>0.48</v>
      </c>
      <c r="N4834" s="9" t="s">
        <v>85</v>
      </c>
    </row>
    <row r="4835" customFormat="false" ht="14.25" hidden="false" customHeight="true" outlineLevel="0" collapsed="false">
      <c r="B4835" s="9" t="s">
        <v>28</v>
      </c>
      <c r="C4835" s="9" t="n">
        <v>1197831</v>
      </c>
      <c r="D4835" s="10" t="n">
        <v>44274</v>
      </c>
      <c r="E4835" s="9" t="s">
        <v>29</v>
      </c>
      <c r="F4835" s="9" t="s">
        <v>57</v>
      </c>
      <c r="G4835" s="9" t="s">
        <v>58</v>
      </c>
      <c r="H4835" s="11" t="s">
        <v>23</v>
      </c>
      <c r="I4835" s="12" t="n">
        <v>33</v>
      </c>
      <c r="J4835" s="13" t="n">
        <v>108</v>
      </c>
      <c r="K4835" s="14" t="n">
        <f aca="false">I4835*J4835</f>
        <v>3564</v>
      </c>
      <c r="L4835" s="14" t="n">
        <f aca="false">($L$2*M4835)/100</f>
        <v>720999.9</v>
      </c>
      <c r="M4835" s="15" t="n">
        <v>0.6</v>
      </c>
      <c r="N4835" s="9" t="s">
        <v>85</v>
      </c>
    </row>
    <row r="4836" customFormat="false" ht="14.25" hidden="false" customHeight="true" outlineLevel="0" collapsed="false">
      <c r="B4836" s="9" t="s">
        <v>28</v>
      </c>
      <c r="C4836" s="9" t="n">
        <v>1197831</v>
      </c>
      <c r="D4836" s="10" t="n">
        <v>44275</v>
      </c>
      <c r="E4836" s="9" t="s">
        <v>29</v>
      </c>
      <c r="F4836" s="9" t="s">
        <v>57</v>
      </c>
      <c r="G4836" s="9" t="s">
        <v>58</v>
      </c>
      <c r="H4836" s="11" t="s">
        <v>24</v>
      </c>
      <c r="I4836" s="12" t="n">
        <v>37</v>
      </c>
      <c r="J4836" s="13" t="n">
        <v>83</v>
      </c>
      <c r="K4836" s="14" t="n">
        <f aca="false">I4836*J4836</f>
        <v>3071</v>
      </c>
      <c r="L4836" s="14" t="n">
        <f aca="false">($L$2*M4836)/100</f>
        <v>492683.265</v>
      </c>
      <c r="M4836" s="15" t="n">
        <v>0.41</v>
      </c>
      <c r="N4836" s="9" t="s">
        <v>85</v>
      </c>
    </row>
    <row r="4837" customFormat="false" ht="14.25" hidden="false" customHeight="true" outlineLevel="0" collapsed="false">
      <c r="B4837" s="9" t="s">
        <v>28</v>
      </c>
      <c r="C4837" s="9" t="n">
        <v>1197831</v>
      </c>
      <c r="D4837" s="10" t="n">
        <v>44276</v>
      </c>
      <c r="E4837" s="9" t="s">
        <v>29</v>
      </c>
      <c r="F4837" s="9" t="s">
        <v>57</v>
      </c>
      <c r="G4837" s="9" t="s">
        <v>58</v>
      </c>
      <c r="H4837" s="11" t="s">
        <v>25</v>
      </c>
      <c r="I4837" s="12" t="n">
        <v>32</v>
      </c>
      <c r="J4837" s="13" t="n">
        <v>133</v>
      </c>
      <c r="K4837" s="14" t="n">
        <f aca="false">I4837*J4837</f>
        <v>4256</v>
      </c>
      <c r="L4837" s="14" t="n">
        <f aca="false">($L$2*M4837)/100</f>
        <v>769066.56</v>
      </c>
      <c r="M4837" s="15" t="n">
        <v>0.64</v>
      </c>
      <c r="N4837" s="9" t="s">
        <v>85</v>
      </c>
    </row>
    <row r="4838" customFormat="false" ht="14.25" hidden="false" customHeight="true" outlineLevel="0" collapsed="false">
      <c r="B4838" s="9" t="s">
        <v>28</v>
      </c>
      <c r="C4838" s="9" t="n">
        <v>1197831</v>
      </c>
      <c r="D4838" s="10" t="n">
        <v>44277</v>
      </c>
      <c r="E4838" s="9" t="s">
        <v>29</v>
      </c>
      <c r="F4838" s="9" t="s">
        <v>57</v>
      </c>
      <c r="G4838" s="9" t="s">
        <v>58</v>
      </c>
      <c r="H4838" s="11" t="s">
        <v>19</v>
      </c>
      <c r="I4838" s="12" t="n">
        <v>27</v>
      </c>
      <c r="J4838" s="13" t="n">
        <v>189</v>
      </c>
      <c r="K4838" s="14" t="n">
        <f aca="false">I4838*J4838</f>
        <v>5103</v>
      </c>
      <c r="L4838" s="14" t="n">
        <f aca="false">($L$2*M4838)/100</f>
        <v>612849.915</v>
      </c>
      <c r="M4838" s="15" t="n">
        <v>0.51</v>
      </c>
      <c r="N4838" s="9" t="s">
        <v>85</v>
      </c>
    </row>
    <row r="4839" customFormat="false" ht="14.25" hidden="false" customHeight="true" outlineLevel="0" collapsed="false">
      <c r="B4839" s="9" t="s">
        <v>28</v>
      </c>
      <c r="C4839" s="9" t="n">
        <v>1197831</v>
      </c>
      <c r="D4839" s="10" t="n">
        <v>44278</v>
      </c>
      <c r="E4839" s="9" t="s">
        <v>29</v>
      </c>
      <c r="F4839" s="9" t="s">
        <v>57</v>
      </c>
      <c r="G4839" s="9" t="s">
        <v>58</v>
      </c>
      <c r="H4839" s="11" t="s">
        <v>21</v>
      </c>
      <c r="I4839" s="12" t="n">
        <v>37</v>
      </c>
      <c r="J4839" s="13" t="n">
        <v>163</v>
      </c>
      <c r="K4839" s="14" t="n">
        <f aca="false">I4839*J4839</f>
        <v>6031</v>
      </c>
      <c r="L4839" s="14" t="n">
        <f aca="false">($L$2*M4839)/100</f>
        <v>624866.58</v>
      </c>
      <c r="M4839" s="15" t="n">
        <v>0.52</v>
      </c>
      <c r="N4839" s="9" t="s">
        <v>85</v>
      </c>
    </row>
    <row r="4840" customFormat="false" ht="14.25" hidden="false" customHeight="true" outlineLevel="0" collapsed="false">
      <c r="B4840" s="9" t="s">
        <v>28</v>
      </c>
      <c r="C4840" s="9" t="n">
        <v>1197831</v>
      </c>
      <c r="D4840" s="10" t="n">
        <v>44279</v>
      </c>
      <c r="E4840" s="9" t="s">
        <v>29</v>
      </c>
      <c r="F4840" s="9" t="s">
        <v>57</v>
      </c>
      <c r="G4840" s="9" t="s">
        <v>58</v>
      </c>
      <c r="H4840" s="11" t="s">
        <v>22</v>
      </c>
      <c r="I4840" s="12" t="n">
        <v>28</v>
      </c>
      <c r="J4840" s="13" t="n">
        <v>124</v>
      </c>
      <c r="K4840" s="14" t="n">
        <f aca="false">I4840*J4840</f>
        <v>3472</v>
      </c>
      <c r="L4840" s="14" t="n">
        <f aca="false">($L$2*M4840)/100</f>
        <v>660916.575</v>
      </c>
      <c r="M4840" s="15" t="n">
        <v>0.55</v>
      </c>
      <c r="N4840" s="9" t="s">
        <v>85</v>
      </c>
    </row>
    <row r="4841" customFormat="false" ht="14.25" hidden="false" customHeight="true" outlineLevel="0" collapsed="false">
      <c r="B4841" s="9" t="s">
        <v>28</v>
      </c>
      <c r="C4841" s="9" t="n">
        <v>1197831</v>
      </c>
      <c r="D4841" s="10" t="n">
        <v>44280</v>
      </c>
      <c r="E4841" s="9" t="s">
        <v>29</v>
      </c>
      <c r="F4841" s="9" t="s">
        <v>57</v>
      </c>
      <c r="G4841" s="9" t="s">
        <v>58</v>
      </c>
      <c r="H4841" s="11" t="s">
        <v>23</v>
      </c>
      <c r="I4841" s="12" t="n">
        <v>33</v>
      </c>
      <c r="J4841" s="13" t="n">
        <v>101</v>
      </c>
      <c r="K4841" s="14" t="n">
        <f aca="false">I4841*J4841</f>
        <v>3333</v>
      </c>
      <c r="L4841" s="14" t="n">
        <f aca="false">($L$2*M4841)/100</f>
        <v>769066.56</v>
      </c>
      <c r="M4841" s="15" t="n">
        <v>0.64</v>
      </c>
      <c r="N4841" s="9" t="s">
        <v>85</v>
      </c>
    </row>
    <row r="4842" customFormat="false" ht="14.25" hidden="false" customHeight="true" outlineLevel="0" collapsed="false">
      <c r="B4842" s="9" t="s">
        <v>28</v>
      </c>
      <c r="C4842" s="9" t="n">
        <v>1197831</v>
      </c>
      <c r="D4842" s="10" t="n">
        <v>44281</v>
      </c>
      <c r="E4842" s="9" t="s">
        <v>29</v>
      </c>
      <c r="F4842" s="9" t="s">
        <v>57</v>
      </c>
      <c r="G4842" s="9" t="s">
        <v>58</v>
      </c>
      <c r="H4842" s="11" t="s">
        <v>24</v>
      </c>
      <c r="I4842" s="12" t="n">
        <v>39</v>
      </c>
      <c r="J4842" s="13" t="n">
        <v>69</v>
      </c>
      <c r="K4842" s="14" t="n">
        <f aca="false">I4842*J4842</f>
        <v>2691</v>
      </c>
      <c r="L4842" s="14" t="n">
        <f aca="false">($L$2*M4842)/100</f>
        <v>564783.255</v>
      </c>
      <c r="M4842" s="15" t="n">
        <v>0.47</v>
      </c>
      <c r="N4842" s="9" t="s">
        <v>85</v>
      </c>
    </row>
    <row r="4843" customFormat="false" ht="14.25" hidden="false" customHeight="true" outlineLevel="0" collapsed="false">
      <c r="B4843" s="9" t="s">
        <v>28</v>
      </c>
      <c r="C4843" s="9" t="n">
        <v>1197831</v>
      </c>
      <c r="D4843" s="10" t="n">
        <v>44282</v>
      </c>
      <c r="E4843" s="9" t="s">
        <v>29</v>
      </c>
      <c r="F4843" s="9" t="s">
        <v>57</v>
      </c>
      <c r="G4843" s="9" t="s">
        <v>58</v>
      </c>
      <c r="H4843" s="11" t="s">
        <v>25</v>
      </c>
      <c r="I4843" s="12" t="n">
        <v>33</v>
      </c>
      <c r="J4843" s="13" t="n">
        <v>111</v>
      </c>
      <c r="K4843" s="14" t="n">
        <f aca="false">I4843*J4843</f>
        <v>3663</v>
      </c>
      <c r="L4843" s="14" t="n">
        <f aca="false">($L$2*M4843)/100</f>
        <v>793099.89</v>
      </c>
      <c r="M4843" s="15" t="n">
        <v>0.66</v>
      </c>
      <c r="N4843" s="9" t="s">
        <v>85</v>
      </c>
    </row>
    <row r="4844" customFormat="false" ht="14.25" hidden="false" customHeight="true" outlineLevel="0" collapsed="false">
      <c r="B4844" s="9" t="s">
        <v>28</v>
      </c>
      <c r="C4844" s="9" t="n">
        <v>1197831</v>
      </c>
      <c r="D4844" s="10" t="n">
        <v>44283</v>
      </c>
      <c r="E4844" s="9" t="s">
        <v>29</v>
      </c>
      <c r="F4844" s="9" t="s">
        <v>57</v>
      </c>
      <c r="G4844" s="9" t="s">
        <v>58</v>
      </c>
      <c r="H4844" s="11" t="s">
        <v>19</v>
      </c>
      <c r="I4844" s="12" t="n">
        <v>19</v>
      </c>
      <c r="J4844" s="13" t="n">
        <v>169</v>
      </c>
      <c r="K4844" s="14" t="n">
        <f aca="false">I4844*J4844</f>
        <v>3211</v>
      </c>
      <c r="L4844" s="14" t="n">
        <f aca="false">($L$2*M4844)/100</f>
        <v>600833.25</v>
      </c>
      <c r="M4844" s="15" t="n">
        <v>0.5</v>
      </c>
      <c r="N4844" s="9" t="s">
        <v>85</v>
      </c>
    </row>
    <row r="4845" customFormat="false" ht="14.25" hidden="false" customHeight="true" outlineLevel="0" collapsed="false">
      <c r="B4845" s="9" t="s">
        <v>28</v>
      </c>
      <c r="C4845" s="9" t="n">
        <v>1197831</v>
      </c>
      <c r="D4845" s="10" t="n">
        <v>44284</v>
      </c>
      <c r="E4845" s="9" t="s">
        <v>29</v>
      </c>
      <c r="F4845" s="9" t="s">
        <v>57</v>
      </c>
      <c r="G4845" s="9" t="s">
        <v>58</v>
      </c>
      <c r="H4845" s="11" t="s">
        <v>21</v>
      </c>
      <c r="I4845" s="12" t="n">
        <v>24</v>
      </c>
      <c r="J4845" s="13" t="n">
        <v>176</v>
      </c>
      <c r="K4845" s="14" t="n">
        <f aca="false">I4845*J4845</f>
        <v>4224</v>
      </c>
      <c r="L4845" s="14" t="n">
        <f aca="false">($L$2*M4845)/100</f>
        <v>612849.915</v>
      </c>
      <c r="M4845" s="15" t="n">
        <v>0.51</v>
      </c>
      <c r="N4845" s="9" t="s">
        <v>85</v>
      </c>
    </row>
    <row r="4846" customFormat="false" ht="14.25" hidden="false" customHeight="true" outlineLevel="0" collapsed="false">
      <c r="B4846" s="9" t="s">
        <v>28</v>
      </c>
      <c r="C4846" s="9" t="n">
        <v>1197831</v>
      </c>
      <c r="D4846" s="10" t="n">
        <v>44285</v>
      </c>
      <c r="E4846" s="9" t="s">
        <v>29</v>
      </c>
      <c r="F4846" s="9" t="s">
        <v>57</v>
      </c>
      <c r="G4846" s="9" t="s">
        <v>58</v>
      </c>
      <c r="H4846" s="11" t="s">
        <v>22</v>
      </c>
      <c r="I4846" s="12" t="n">
        <v>19</v>
      </c>
      <c r="J4846" s="13" t="n">
        <v>135</v>
      </c>
      <c r="K4846" s="14" t="n">
        <f aca="false">I4846*J4846</f>
        <v>2565</v>
      </c>
      <c r="L4846" s="14" t="n">
        <f aca="false">($L$2*M4846)/100</f>
        <v>660916.575</v>
      </c>
      <c r="M4846" s="15" t="n">
        <v>0.55</v>
      </c>
      <c r="N4846" s="9" t="s">
        <v>85</v>
      </c>
    </row>
    <row r="4847" customFormat="false" ht="14.25" hidden="false" customHeight="true" outlineLevel="0" collapsed="false">
      <c r="B4847" s="9" t="s">
        <v>28</v>
      </c>
      <c r="C4847" s="9" t="n">
        <v>1197831</v>
      </c>
      <c r="D4847" s="10" t="n">
        <v>44286</v>
      </c>
      <c r="E4847" s="9" t="s">
        <v>29</v>
      </c>
      <c r="F4847" s="9" t="s">
        <v>57</v>
      </c>
      <c r="G4847" s="9" t="s">
        <v>58</v>
      </c>
      <c r="H4847" s="11" t="s">
        <v>23</v>
      </c>
      <c r="I4847" s="12" t="n">
        <v>23</v>
      </c>
      <c r="J4847" s="13" t="n">
        <v>112</v>
      </c>
      <c r="K4847" s="14" t="n">
        <f aca="false">I4847*J4847</f>
        <v>2576</v>
      </c>
      <c r="L4847" s="14" t="n">
        <f aca="false">($L$2*M4847)/100</f>
        <v>781083.225</v>
      </c>
      <c r="M4847" s="15" t="n">
        <v>0.65</v>
      </c>
      <c r="N4847" s="9" t="s">
        <v>85</v>
      </c>
    </row>
    <row r="4848" customFormat="false" ht="14.25" hidden="false" customHeight="true" outlineLevel="0" collapsed="false">
      <c r="B4848" s="9" t="s">
        <v>28</v>
      </c>
      <c r="C4848" s="9" t="n">
        <v>1197831</v>
      </c>
      <c r="D4848" s="10" t="n">
        <v>44287</v>
      </c>
      <c r="E4848" s="9" t="s">
        <v>29</v>
      </c>
      <c r="F4848" s="9" t="s">
        <v>57</v>
      </c>
      <c r="G4848" s="9" t="s">
        <v>58</v>
      </c>
      <c r="H4848" s="11" t="s">
        <v>24</v>
      </c>
      <c r="I4848" s="12" t="n">
        <v>28</v>
      </c>
      <c r="J4848" s="13" t="n">
        <v>84</v>
      </c>
      <c r="K4848" s="14" t="n">
        <f aca="false">I4848*J4848</f>
        <v>2352</v>
      </c>
      <c r="L4848" s="14" t="n">
        <f aca="false">($L$2*M4848)/100</f>
        <v>540749.925</v>
      </c>
      <c r="M4848" s="15" t="n">
        <v>0.45</v>
      </c>
      <c r="N4848" s="9" t="s">
        <v>85</v>
      </c>
    </row>
    <row r="4849" customFormat="false" ht="14.25" hidden="false" customHeight="true" outlineLevel="0" collapsed="false">
      <c r="B4849" s="9" t="s">
        <v>28</v>
      </c>
      <c r="C4849" s="9" t="n">
        <v>1197831</v>
      </c>
      <c r="D4849" s="10" t="n">
        <v>44288</v>
      </c>
      <c r="E4849" s="9" t="s">
        <v>29</v>
      </c>
      <c r="F4849" s="9" t="s">
        <v>57</v>
      </c>
      <c r="G4849" s="9" t="s">
        <v>58</v>
      </c>
      <c r="H4849" s="11" t="s">
        <v>25</v>
      </c>
      <c r="I4849" s="12" t="n">
        <v>24</v>
      </c>
      <c r="J4849" s="13" t="n">
        <v>161</v>
      </c>
      <c r="K4849" s="14" t="n">
        <f aca="false">I4849*J4849</f>
        <v>3864</v>
      </c>
      <c r="L4849" s="14" t="n">
        <f aca="false">($L$2*M4849)/100</f>
        <v>817133.22</v>
      </c>
      <c r="M4849" s="15" t="n">
        <v>0.68</v>
      </c>
      <c r="N4849" s="9" t="s">
        <v>85</v>
      </c>
    </row>
    <row r="4850" customFormat="false" ht="14.25" hidden="false" customHeight="true" outlineLevel="0" collapsed="false">
      <c r="B4850" s="9" t="s">
        <v>28</v>
      </c>
      <c r="C4850" s="9" t="n">
        <v>1197831</v>
      </c>
      <c r="D4850" s="10" t="n">
        <v>44289</v>
      </c>
      <c r="E4850" s="9" t="s">
        <v>29</v>
      </c>
      <c r="F4850" s="9" t="s">
        <v>57</v>
      </c>
      <c r="G4850" s="9" t="s">
        <v>58</v>
      </c>
      <c r="H4850" s="11" t="s">
        <v>19</v>
      </c>
      <c r="I4850" s="12" t="n">
        <v>14</v>
      </c>
      <c r="J4850" s="13" t="n">
        <v>189</v>
      </c>
      <c r="K4850" s="14" t="n">
        <f aca="false">I4850*J4850</f>
        <v>2646</v>
      </c>
      <c r="L4850" s="14" t="n">
        <f aca="false">($L$2*M4850)/100</f>
        <v>600833.25</v>
      </c>
      <c r="M4850" s="15" t="n">
        <v>0.5</v>
      </c>
      <c r="N4850" s="9" t="s">
        <v>85</v>
      </c>
    </row>
    <row r="4851" customFormat="false" ht="14.25" hidden="false" customHeight="true" outlineLevel="0" collapsed="false">
      <c r="B4851" s="9" t="s">
        <v>28</v>
      </c>
      <c r="C4851" s="9" t="n">
        <v>1197831</v>
      </c>
      <c r="D4851" s="10" t="n">
        <v>44290</v>
      </c>
      <c r="E4851" s="9" t="s">
        <v>29</v>
      </c>
      <c r="F4851" s="9" t="s">
        <v>57</v>
      </c>
      <c r="G4851" s="9" t="s">
        <v>58</v>
      </c>
      <c r="H4851" s="11" t="s">
        <v>21</v>
      </c>
      <c r="I4851" s="12" t="n">
        <v>23</v>
      </c>
      <c r="J4851" s="13" t="n">
        <v>218</v>
      </c>
      <c r="K4851" s="14" t="n">
        <f aca="false">I4851*J4851</f>
        <v>5014</v>
      </c>
      <c r="L4851" s="14" t="n">
        <f aca="false">($L$2*M4851)/100</f>
        <v>600833.25</v>
      </c>
      <c r="M4851" s="15" t="n">
        <v>0.5</v>
      </c>
      <c r="N4851" s="9" t="s">
        <v>85</v>
      </c>
    </row>
    <row r="4852" customFormat="false" ht="14.25" hidden="false" customHeight="true" outlineLevel="0" collapsed="false">
      <c r="B4852" s="9" t="s">
        <v>28</v>
      </c>
      <c r="C4852" s="9" t="n">
        <v>1197831</v>
      </c>
      <c r="D4852" s="10" t="n">
        <v>44291</v>
      </c>
      <c r="E4852" s="9" t="s">
        <v>29</v>
      </c>
      <c r="F4852" s="9" t="s">
        <v>57</v>
      </c>
      <c r="G4852" s="9" t="s">
        <v>58</v>
      </c>
      <c r="H4852" s="11" t="s">
        <v>22</v>
      </c>
      <c r="I4852" s="12" t="n">
        <v>19</v>
      </c>
      <c r="J4852" s="13" t="n">
        <v>180</v>
      </c>
      <c r="K4852" s="14" t="n">
        <f aca="false">I4852*J4852</f>
        <v>3420</v>
      </c>
      <c r="L4852" s="14" t="n">
        <f aca="false">($L$2*M4852)/100</f>
        <v>648899.91</v>
      </c>
      <c r="M4852" s="15" t="n">
        <v>0.54</v>
      </c>
      <c r="N4852" s="9" t="s">
        <v>85</v>
      </c>
    </row>
    <row r="4853" customFormat="false" ht="14.25" hidden="false" customHeight="true" outlineLevel="0" collapsed="false">
      <c r="B4853" s="9" t="s">
        <v>28</v>
      </c>
      <c r="C4853" s="9" t="n">
        <v>1197831</v>
      </c>
      <c r="D4853" s="10" t="n">
        <v>44292</v>
      </c>
      <c r="E4853" s="9" t="s">
        <v>29</v>
      </c>
      <c r="F4853" s="9" t="s">
        <v>57</v>
      </c>
      <c r="G4853" s="9" t="s">
        <v>58</v>
      </c>
      <c r="H4853" s="11" t="s">
        <v>23</v>
      </c>
      <c r="I4853" s="12" t="n">
        <v>27</v>
      </c>
      <c r="J4853" s="13" t="n">
        <v>142</v>
      </c>
      <c r="K4853" s="14" t="n">
        <f aca="false">I4853*J4853</f>
        <v>3834</v>
      </c>
      <c r="L4853" s="14" t="n">
        <f aca="false">($L$2*M4853)/100</f>
        <v>720999.9</v>
      </c>
      <c r="M4853" s="15" t="n">
        <v>0.6</v>
      </c>
      <c r="N4853" s="9" t="s">
        <v>85</v>
      </c>
    </row>
    <row r="4854" customFormat="false" ht="14.25" hidden="false" customHeight="true" outlineLevel="0" collapsed="false">
      <c r="B4854" s="9" t="s">
        <v>28</v>
      </c>
      <c r="C4854" s="9" t="n">
        <v>1197831</v>
      </c>
      <c r="D4854" s="10" t="n">
        <v>44293</v>
      </c>
      <c r="E4854" s="9" t="s">
        <v>29</v>
      </c>
      <c r="F4854" s="9" t="s">
        <v>57</v>
      </c>
      <c r="G4854" s="9" t="s">
        <v>58</v>
      </c>
      <c r="H4854" s="11" t="s">
        <v>24</v>
      </c>
      <c r="I4854" s="12" t="n">
        <v>41</v>
      </c>
      <c r="J4854" s="13" t="n">
        <v>106</v>
      </c>
      <c r="K4854" s="14" t="n">
        <f aca="false">I4854*J4854</f>
        <v>4346</v>
      </c>
      <c r="L4854" s="14" t="n">
        <f aca="false">($L$2*M4854)/100</f>
        <v>588816.585</v>
      </c>
      <c r="M4854" s="15" t="n">
        <v>0.49</v>
      </c>
      <c r="N4854" s="9" t="s">
        <v>85</v>
      </c>
    </row>
    <row r="4855" customFormat="false" ht="14.25" hidden="false" customHeight="true" outlineLevel="0" collapsed="false">
      <c r="B4855" s="9" t="s">
        <v>28</v>
      </c>
      <c r="C4855" s="9" t="n">
        <v>1197831</v>
      </c>
      <c r="D4855" s="10" t="n">
        <v>44294</v>
      </c>
      <c r="E4855" s="9" t="s">
        <v>29</v>
      </c>
      <c r="F4855" s="9" t="s">
        <v>57</v>
      </c>
      <c r="G4855" s="9" t="s">
        <v>58</v>
      </c>
      <c r="H4855" s="11" t="s">
        <v>25</v>
      </c>
      <c r="I4855" s="12" t="n">
        <v>38</v>
      </c>
      <c r="J4855" s="13" t="n">
        <v>202</v>
      </c>
      <c r="K4855" s="14" t="n">
        <f aca="false">I4855*J4855</f>
        <v>7676</v>
      </c>
      <c r="L4855" s="14" t="n">
        <f aca="false">($L$2*M4855)/100</f>
        <v>805116.555</v>
      </c>
      <c r="M4855" s="15" t="n">
        <v>0.67</v>
      </c>
      <c r="N4855" s="9" t="s">
        <v>85</v>
      </c>
    </row>
    <row r="4856" customFormat="false" ht="14.25" hidden="false" customHeight="true" outlineLevel="0" collapsed="false">
      <c r="B4856" s="9" t="s">
        <v>28</v>
      </c>
      <c r="C4856" s="9" t="n">
        <v>1197831</v>
      </c>
      <c r="D4856" s="10" t="n">
        <v>44295</v>
      </c>
      <c r="E4856" s="9" t="s">
        <v>29</v>
      </c>
      <c r="F4856" s="9" t="s">
        <v>57</v>
      </c>
      <c r="G4856" s="9" t="s">
        <v>58</v>
      </c>
      <c r="H4856" s="11" t="s">
        <v>19</v>
      </c>
      <c r="I4856" s="12" t="n">
        <v>36</v>
      </c>
      <c r="J4856" s="13" t="n">
        <v>217</v>
      </c>
      <c r="K4856" s="14" t="n">
        <f aca="false">I4856*J4856</f>
        <v>7812</v>
      </c>
      <c r="L4856" s="14" t="n">
        <f aca="false">($L$2*M4856)/100</f>
        <v>612849.915</v>
      </c>
      <c r="M4856" s="15" t="n">
        <v>0.51</v>
      </c>
      <c r="N4856" s="9" t="s">
        <v>85</v>
      </c>
    </row>
    <row r="4857" customFormat="false" ht="14.25" hidden="false" customHeight="true" outlineLevel="0" collapsed="false">
      <c r="B4857" s="9" t="s">
        <v>28</v>
      </c>
      <c r="C4857" s="9" t="n">
        <v>1197831</v>
      </c>
      <c r="D4857" s="10" t="n">
        <v>44296</v>
      </c>
      <c r="E4857" s="9" t="s">
        <v>29</v>
      </c>
      <c r="F4857" s="9" t="s">
        <v>57</v>
      </c>
      <c r="G4857" s="9" t="s">
        <v>58</v>
      </c>
      <c r="H4857" s="11" t="s">
        <v>21</v>
      </c>
      <c r="I4857" s="12" t="n">
        <v>42</v>
      </c>
      <c r="J4857" s="13" t="n">
        <v>202</v>
      </c>
      <c r="K4857" s="14" t="n">
        <f aca="false">I4857*J4857</f>
        <v>8484</v>
      </c>
      <c r="L4857" s="14" t="n">
        <f aca="false">($L$2*M4857)/100</f>
        <v>612849.915</v>
      </c>
      <c r="M4857" s="15" t="n">
        <v>0.51</v>
      </c>
      <c r="N4857" s="9" t="s">
        <v>85</v>
      </c>
    </row>
    <row r="4858" customFormat="false" ht="14.25" hidden="false" customHeight="true" outlineLevel="0" collapsed="false">
      <c r="B4858" s="9" t="s">
        <v>28</v>
      </c>
      <c r="C4858" s="9" t="n">
        <v>1197831</v>
      </c>
      <c r="D4858" s="10" t="n">
        <v>44297</v>
      </c>
      <c r="E4858" s="9" t="s">
        <v>29</v>
      </c>
      <c r="F4858" s="9" t="s">
        <v>57</v>
      </c>
      <c r="G4858" s="9" t="s">
        <v>58</v>
      </c>
      <c r="H4858" s="11" t="s">
        <v>22</v>
      </c>
      <c r="I4858" s="12" t="n">
        <v>36</v>
      </c>
      <c r="J4858" s="13" t="n">
        <v>169</v>
      </c>
      <c r="K4858" s="14" t="n">
        <f aca="false">I4858*J4858</f>
        <v>6084</v>
      </c>
      <c r="L4858" s="14" t="n">
        <f aca="false">($L$2*M4858)/100</f>
        <v>612849.915</v>
      </c>
      <c r="M4858" s="15" t="n">
        <v>0.51</v>
      </c>
      <c r="N4858" s="9" t="s">
        <v>85</v>
      </c>
    </row>
    <row r="4859" customFormat="false" ht="14.25" hidden="false" customHeight="true" outlineLevel="0" collapsed="false">
      <c r="B4859" s="9" t="s">
        <v>28</v>
      </c>
      <c r="C4859" s="9" t="n">
        <v>1197831</v>
      </c>
      <c r="D4859" s="10" t="n">
        <v>44298</v>
      </c>
      <c r="E4859" s="9" t="s">
        <v>29</v>
      </c>
      <c r="F4859" s="9" t="s">
        <v>57</v>
      </c>
      <c r="G4859" s="9" t="s">
        <v>58</v>
      </c>
      <c r="H4859" s="11" t="s">
        <v>23</v>
      </c>
      <c r="I4859" s="12" t="n">
        <v>36</v>
      </c>
      <c r="J4859" s="13" t="n">
        <v>174</v>
      </c>
      <c r="K4859" s="14" t="n">
        <f aca="false">I4859*J4859</f>
        <v>6264</v>
      </c>
      <c r="L4859" s="14" t="n">
        <f aca="false">($L$2*M4859)/100</f>
        <v>733016.565</v>
      </c>
      <c r="M4859" s="15" t="n">
        <v>0.61</v>
      </c>
      <c r="N4859" s="9" t="s">
        <v>85</v>
      </c>
    </row>
    <row r="4860" customFormat="false" ht="14.25" hidden="false" customHeight="true" outlineLevel="0" collapsed="false">
      <c r="B4860" s="9" t="s">
        <v>28</v>
      </c>
      <c r="C4860" s="9" t="n">
        <v>1197831</v>
      </c>
      <c r="D4860" s="10" t="n">
        <v>44299</v>
      </c>
      <c r="E4860" s="9" t="s">
        <v>29</v>
      </c>
      <c r="F4860" s="9" t="s">
        <v>57</v>
      </c>
      <c r="G4860" s="9" t="s">
        <v>58</v>
      </c>
      <c r="H4860" s="11" t="s">
        <v>24</v>
      </c>
      <c r="I4860" s="12" t="n">
        <v>43</v>
      </c>
      <c r="J4860" s="13" t="n">
        <v>145</v>
      </c>
      <c r="K4860" s="14" t="n">
        <f aca="false">I4860*J4860</f>
        <v>6235</v>
      </c>
      <c r="L4860" s="14" t="n">
        <f aca="false">($L$2*M4860)/100</f>
        <v>576799.92</v>
      </c>
      <c r="M4860" s="15" t="n">
        <v>0.48</v>
      </c>
      <c r="N4860" s="9" t="s">
        <v>85</v>
      </c>
    </row>
    <row r="4861" customFormat="false" ht="14.25" hidden="false" customHeight="true" outlineLevel="0" collapsed="false">
      <c r="B4861" s="9" t="s">
        <v>28</v>
      </c>
      <c r="C4861" s="9" t="n">
        <v>1197831</v>
      </c>
      <c r="D4861" s="10" t="n">
        <v>44300</v>
      </c>
      <c r="E4861" s="9" t="s">
        <v>29</v>
      </c>
      <c r="F4861" s="9" t="s">
        <v>57</v>
      </c>
      <c r="G4861" s="9" t="s">
        <v>58</v>
      </c>
      <c r="H4861" s="11" t="s">
        <v>25</v>
      </c>
      <c r="I4861" s="12" t="n">
        <v>49</v>
      </c>
      <c r="J4861" s="13" t="n">
        <v>236</v>
      </c>
      <c r="K4861" s="14" t="n">
        <f aca="false">I4861*J4861</f>
        <v>11564</v>
      </c>
      <c r="L4861" s="14" t="n">
        <f aca="false">($L$2*M4861)/100</f>
        <v>781083.225</v>
      </c>
      <c r="M4861" s="15" t="n">
        <v>0.65</v>
      </c>
      <c r="N4861" s="9" t="s">
        <v>85</v>
      </c>
    </row>
    <row r="4862" customFormat="false" ht="14.25" hidden="false" customHeight="true" outlineLevel="0" collapsed="false">
      <c r="B4862" s="9" t="s">
        <v>28</v>
      </c>
      <c r="C4862" s="9" t="n">
        <v>1197831</v>
      </c>
      <c r="D4862" s="10" t="n">
        <v>44301</v>
      </c>
      <c r="E4862" s="9" t="s">
        <v>29</v>
      </c>
      <c r="F4862" s="9" t="s">
        <v>57</v>
      </c>
      <c r="G4862" s="9" t="s">
        <v>58</v>
      </c>
      <c r="H4862" s="11" t="s">
        <v>19</v>
      </c>
      <c r="I4862" s="12" t="n">
        <v>36</v>
      </c>
      <c r="J4862" s="13" t="n">
        <v>215</v>
      </c>
      <c r="K4862" s="14" t="n">
        <f aca="false">I4862*J4862</f>
        <v>7740</v>
      </c>
      <c r="L4862" s="14" t="n">
        <f aca="false">($L$2*M4862)/100</f>
        <v>684949.905</v>
      </c>
      <c r="M4862" s="15" t="n">
        <v>0.57</v>
      </c>
      <c r="N4862" s="9" t="s">
        <v>85</v>
      </c>
    </row>
    <row r="4863" customFormat="false" ht="14.25" hidden="false" customHeight="true" outlineLevel="0" collapsed="false">
      <c r="B4863" s="9" t="s">
        <v>28</v>
      </c>
      <c r="C4863" s="9" t="n">
        <v>1197831</v>
      </c>
      <c r="D4863" s="10" t="n">
        <v>44302</v>
      </c>
      <c r="E4863" s="9" t="s">
        <v>29</v>
      </c>
      <c r="F4863" s="9" t="s">
        <v>57</v>
      </c>
      <c r="G4863" s="9" t="s">
        <v>58</v>
      </c>
      <c r="H4863" s="11" t="s">
        <v>21</v>
      </c>
      <c r="I4863" s="12" t="n">
        <v>43</v>
      </c>
      <c r="J4863" s="13" t="n">
        <v>206</v>
      </c>
      <c r="K4863" s="14" t="n">
        <f aca="false">I4863*J4863</f>
        <v>8858</v>
      </c>
      <c r="L4863" s="14" t="n">
        <f aca="false">($L$2*M4863)/100</f>
        <v>696966.57</v>
      </c>
      <c r="M4863" s="15" t="n">
        <v>0.58</v>
      </c>
      <c r="N4863" s="9" t="s">
        <v>85</v>
      </c>
    </row>
    <row r="4864" customFormat="false" ht="14.25" hidden="false" customHeight="true" outlineLevel="0" collapsed="false">
      <c r="B4864" s="9" t="s">
        <v>28</v>
      </c>
      <c r="C4864" s="9" t="n">
        <v>1197831</v>
      </c>
      <c r="D4864" s="10" t="n">
        <v>44303</v>
      </c>
      <c r="E4864" s="9" t="s">
        <v>29</v>
      </c>
      <c r="F4864" s="9" t="s">
        <v>57</v>
      </c>
      <c r="G4864" s="9" t="s">
        <v>58</v>
      </c>
      <c r="H4864" s="11" t="s">
        <v>22</v>
      </c>
      <c r="I4864" s="12" t="n">
        <v>36</v>
      </c>
      <c r="J4864" s="13" t="n">
        <v>263</v>
      </c>
      <c r="K4864" s="14" t="n">
        <f aca="false">I4864*J4864</f>
        <v>9468</v>
      </c>
      <c r="L4864" s="14" t="n">
        <f aca="false">($L$2*M4864)/100</f>
        <v>720999.9</v>
      </c>
      <c r="M4864" s="15" t="n">
        <v>0.6</v>
      </c>
      <c r="N4864" s="9" t="s">
        <v>85</v>
      </c>
    </row>
    <row r="4865" customFormat="false" ht="14.25" hidden="false" customHeight="true" outlineLevel="0" collapsed="false">
      <c r="B4865" s="9" t="s">
        <v>28</v>
      </c>
      <c r="C4865" s="9" t="n">
        <v>1197831</v>
      </c>
      <c r="D4865" s="10" t="n">
        <v>44304</v>
      </c>
      <c r="E4865" s="9" t="s">
        <v>29</v>
      </c>
      <c r="F4865" s="9" t="s">
        <v>57</v>
      </c>
      <c r="G4865" s="9" t="s">
        <v>58</v>
      </c>
      <c r="H4865" s="11" t="s">
        <v>23</v>
      </c>
      <c r="I4865" s="12" t="n">
        <v>37</v>
      </c>
      <c r="J4865" s="13" t="n">
        <v>161</v>
      </c>
      <c r="K4865" s="14" t="n">
        <f aca="false">I4865*J4865</f>
        <v>5957</v>
      </c>
      <c r="L4865" s="14" t="n">
        <f aca="false">($L$2*M4865)/100</f>
        <v>781083.225</v>
      </c>
      <c r="M4865" s="15" t="n">
        <v>0.65</v>
      </c>
      <c r="N4865" s="9" t="s">
        <v>85</v>
      </c>
    </row>
    <row r="4866" customFormat="false" ht="14.25" hidden="false" customHeight="true" outlineLevel="0" collapsed="false">
      <c r="B4866" s="9" t="s">
        <v>28</v>
      </c>
      <c r="C4866" s="9" t="n">
        <v>1197831</v>
      </c>
      <c r="D4866" s="10" t="n">
        <v>44305</v>
      </c>
      <c r="E4866" s="9" t="s">
        <v>29</v>
      </c>
      <c r="F4866" s="9" t="s">
        <v>57</v>
      </c>
      <c r="G4866" s="9" t="s">
        <v>58</v>
      </c>
      <c r="H4866" s="11" t="s">
        <v>24</v>
      </c>
      <c r="I4866" s="12" t="n">
        <v>43</v>
      </c>
      <c r="J4866" s="13" t="n">
        <v>165</v>
      </c>
      <c r="K4866" s="14" t="n">
        <f aca="false">I4866*J4866</f>
        <v>7095</v>
      </c>
      <c r="L4866" s="14" t="n">
        <f aca="false">($L$2*M4866)/100</f>
        <v>636883.245</v>
      </c>
      <c r="M4866" s="15" t="n">
        <v>0.53</v>
      </c>
      <c r="N4866" s="9" t="s">
        <v>85</v>
      </c>
    </row>
    <row r="4867" customFormat="false" ht="14.25" hidden="false" customHeight="true" outlineLevel="0" collapsed="false">
      <c r="B4867" s="9" t="s">
        <v>28</v>
      </c>
      <c r="C4867" s="9" t="n">
        <v>1197831</v>
      </c>
      <c r="D4867" s="10" t="n">
        <v>44306</v>
      </c>
      <c r="E4867" s="9" t="s">
        <v>29</v>
      </c>
      <c r="F4867" s="9" t="s">
        <v>57</v>
      </c>
      <c r="G4867" s="9" t="s">
        <v>58</v>
      </c>
      <c r="H4867" s="11" t="s">
        <v>25</v>
      </c>
      <c r="I4867" s="12" t="n">
        <v>52</v>
      </c>
      <c r="J4867" s="13" t="n">
        <v>223</v>
      </c>
      <c r="K4867" s="14" t="n">
        <f aca="false">I4867*J4867</f>
        <v>11596</v>
      </c>
      <c r="L4867" s="14" t="n">
        <f aca="false">($L$2*M4867)/100</f>
        <v>841166.55</v>
      </c>
      <c r="M4867" s="15" t="n">
        <v>0.7</v>
      </c>
      <c r="N4867" s="9" t="s">
        <v>85</v>
      </c>
    </row>
    <row r="4868" customFormat="false" ht="14.25" hidden="false" customHeight="true" outlineLevel="0" collapsed="false">
      <c r="B4868" s="9" t="s">
        <v>28</v>
      </c>
      <c r="C4868" s="9" t="n">
        <v>1197831</v>
      </c>
      <c r="D4868" s="10" t="n">
        <v>44307</v>
      </c>
      <c r="E4868" s="9" t="s">
        <v>29</v>
      </c>
      <c r="F4868" s="9" t="s">
        <v>57</v>
      </c>
      <c r="G4868" s="9" t="s">
        <v>58</v>
      </c>
      <c r="H4868" s="11" t="s">
        <v>19</v>
      </c>
      <c r="I4868" s="12" t="n">
        <v>41</v>
      </c>
      <c r="J4868" s="13" t="n">
        <v>233</v>
      </c>
      <c r="K4868" s="14" t="n">
        <f aca="false">I4868*J4868</f>
        <v>9553</v>
      </c>
      <c r="L4868" s="14" t="n">
        <f aca="false">($L$2*M4868)/100</f>
        <v>684949.905</v>
      </c>
      <c r="M4868" s="15" t="n">
        <v>0.57</v>
      </c>
      <c r="N4868" s="9" t="s">
        <v>85</v>
      </c>
    </row>
    <row r="4869" customFormat="false" ht="14.25" hidden="false" customHeight="true" outlineLevel="0" collapsed="false">
      <c r="B4869" s="9" t="s">
        <v>28</v>
      </c>
      <c r="C4869" s="9" t="n">
        <v>1197831</v>
      </c>
      <c r="D4869" s="10" t="n">
        <v>44308</v>
      </c>
      <c r="E4869" s="9" t="s">
        <v>29</v>
      </c>
      <c r="F4869" s="9" t="s">
        <v>57</v>
      </c>
      <c r="G4869" s="9" t="s">
        <v>58</v>
      </c>
      <c r="H4869" s="11" t="s">
        <v>21</v>
      </c>
      <c r="I4869" s="12" t="n">
        <v>54</v>
      </c>
      <c r="J4869" s="13" t="n">
        <v>233</v>
      </c>
      <c r="K4869" s="14" t="n">
        <f aca="false">I4869*J4869</f>
        <v>12582</v>
      </c>
      <c r="L4869" s="14" t="n">
        <f aca="false">($L$2*M4869)/100</f>
        <v>684949.905</v>
      </c>
      <c r="M4869" s="15" t="n">
        <v>0.57</v>
      </c>
      <c r="N4869" s="9" t="s">
        <v>85</v>
      </c>
    </row>
    <row r="4870" customFormat="false" ht="14.25" hidden="false" customHeight="true" outlineLevel="0" collapsed="false">
      <c r="B4870" s="9" t="s">
        <v>28</v>
      </c>
      <c r="C4870" s="9" t="n">
        <v>1197831</v>
      </c>
      <c r="D4870" s="10" t="n">
        <v>44309</v>
      </c>
      <c r="E4870" s="9" t="s">
        <v>29</v>
      </c>
      <c r="F4870" s="9" t="s">
        <v>57</v>
      </c>
      <c r="G4870" s="9" t="s">
        <v>58</v>
      </c>
      <c r="H4870" s="11" t="s">
        <v>22</v>
      </c>
      <c r="I4870" s="12" t="n">
        <v>46</v>
      </c>
      <c r="J4870" s="13" t="n">
        <v>285</v>
      </c>
      <c r="K4870" s="14" t="n">
        <f aca="false">I4870*J4870</f>
        <v>13110</v>
      </c>
      <c r="L4870" s="14" t="n">
        <f aca="false">($L$2*M4870)/100</f>
        <v>720999.9</v>
      </c>
      <c r="M4870" s="15" t="n">
        <v>0.6</v>
      </c>
      <c r="N4870" s="9" t="s">
        <v>85</v>
      </c>
    </row>
    <row r="4871" customFormat="false" ht="14.25" hidden="false" customHeight="true" outlineLevel="0" collapsed="false">
      <c r="B4871" s="9" t="s">
        <v>28</v>
      </c>
      <c r="C4871" s="9" t="n">
        <v>1197831</v>
      </c>
      <c r="D4871" s="10" t="n">
        <v>44310</v>
      </c>
      <c r="E4871" s="9" t="s">
        <v>29</v>
      </c>
      <c r="F4871" s="9" t="s">
        <v>57</v>
      </c>
      <c r="G4871" s="9" t="s">
        <v>58</v>
      </c>
      <c r="H4871" s="11" t="s">
        <v>23</v>
      </c>
      <c r="I4871" s="12" t="n">
        <v>42</v>
      </c>
      <c r="J4871" s="13" t="n">
        <v>133</v>
      </c>
      <c r="K4871" s="14" t="n">
        <f aca="false">I4871*J4871</f>
        <v>5586</v>
      </c>
      <c r="L4871" s="14" t="n">
        <f aca="false">($L$2*M4871)/100</f>
        <v>829149.885</v>
      </c>
      <c r="M4871" s="15" t="n">
        <v>0.69</v>
      </c>
      <c r="N4871" s="9" t="s">
        <v>85</v>
      </c>
    </row>
    <row r="4872" customFormat="false" ht="14.25" hidden="false" customHeight="true" outlineLevel="0" collapsed="false">
      <c r="B4872" s="9" t="s">
        <v>28</v>
      </c>
      <c r="C4872" s="9" t="n">
        <v>1197831</v>
      </c>
      <c r="D4872" s="10" t="n">
        <v>44311</v>
      </c>
      <c r="E4872" s="9" t="s">
        <v>29</v>
      </c>
      <c r="F4872" s="9" t="s">
        <v>57</v>
      </c>
      <c r="G4872" s="9" t="s">
        <v>58</v>
      </c>
      <c r="H4872" s="11" t="s">
        <v>24</v>
      </c>
      <c r="I4872" s="12" t="n">
        <v>49</v>
      </c>
      <c r="J4872" s="13" t="n">
        <v>133</v>
      </c>
      <c r="K4872" s="14" t="n">
        <f aca="false">I4872*J4872</f>
        <v>6517</v>
      </c>
      <c r="L4872" s="14" t="n">
        <f aca="false">($L$2*M4872)/100</f>
        <v>636883.245</v>
      </c>
      <c r="M4872" s="15" t="n">
        <v>0.53</v>
      </c>
      <c r="N4872" s="9" t="s">
        <v>85</v>
      </c>
    </row>
    <row r="4873" customFormat="false" ht="14.25" hidden="false" customHeight="true" outlineLevel="0" collapsed="false">
      <c r="B4873" s="9" t="s">
        <v>28</v>
      </c>
      <c r="C4873" s="9" t="n">
        <v>1197831</v>
      </c>
      <c r="D4873" s="10" t="n">
        <v>44312</v>
      </c>
      <c r="E4873" s="9" t="s">
        <v>29</v>
      </c>
      <c r="F4873" s="9" t="s">
        <v>57</v>
      </c>
      <c r="G4873" s="9" t="s">
        <v>58</v>
      </c>
      <c r="H4873" s="11" t="s">
        <v>25</v>
      </c>
      <c r="I4873" s="12" t="n">
        <v>53</v>
      </c>
      <c r="J4873" s="13" t="n">
        <v>181</v>
      </c>
      <c r="K4873" s="14" t="n">
        <f aca="false">I4873*J4873</f>
        <v>9593</v>
      </c>
      <c r="L4873" s="14" t="n">
        <f aca="false">($L$2*M4873)/100</f>
        <v>853183.215</v>
      </c>
      <c r="M4873" s="15" t="n">
        <v>0.71</v>
      </c>
      <c r="N4873" s="9" t="s">
        <v>85</v>
      </c>
    </row>
    <row r="4874" customFormat="false" ht="14.25" hidden="false" customHeight="true" outlineLevel="0" collapsed="false">
      <c r="B4874" s="9" t="s">
        <v>28</v>
      </c>
      <c r="C4874" s="9" t="n">
        <v>1197831</v>
      </c>
      <c r="D4874" s="10" t="n">
        <v>44313</v>
      </c>
      <c r="E4874" s="9" t="s">
        <v>29</v>
      </c>
      <c r="F4874" s="9" t="s">
        <v>57</v>
      </c>
      <c r="G4874" s="9" t="s">
        <v>58</v>
      </c>
      <c r="H4874" s="11" t="s">
        <v>19</v>
      </c>
      <c r="I4874" s="12" t="n">
        <v>49</v>
      </c>
      <c r="J4874" s="13" t="n">
        <v>182</v>
      </c>
      <c r="K4874" s="14" t="n">
        <f aca="false">I4874*J4874</f>
        <v>8918</v>
      </c>
      <c r="L4874" s="14" t="n">
        <f aca="false">($L$2*M4874)/100</f>
        <v>720999.9</v>
      </c>
      <c r="M4874" s="15" t="n">
        <v>0.6</v>
      </c>
      <c r="N4874" s="9" t="s">
        <v>85</v>
      </c>
    </row>
    <row r="4875" customFormat="false" ht="14.25" hidden="false" customHeight="true" outlineLevel="0" collapsed="false">
      <c r="B4875" s="9" t="s">
        <v>28</v>
      </c>
      <c r="C4875" s="9" t="n">
        <v>1197831</v>
      </c>
      <c r="D4875" s="10" t="n">
        <v>44314</v>
      </c>
      <c r="E4875" s="9" t="s">
        <v>29</v>
      </c>
      <c r="F4875" s="9" t="s">
        <v>57</v>
      </c>
      <c r="G4875" s="9" t="s">
        <v>58</v>
      </c>
      <c r="H4875" s="11" t="s">
        <v>21</v>
      </c>
      <c r="I4875" s="12" t="n">
        <v>47</v>
      </c>
      <c r="J4875" s="13" t="n">
        <v>169</v>
      </c>
      <c r="K4875" s="14" t="n">
        <f aca="false">I4875*J4875</f>
        <v>7943</v>
      </c>
      <c r="L4875" s="14" t="n">
        <f aca="false">($L$2*M4875)/100</f>
        <v>720999.9</v>
      </c>
      <c r="M4875" s="15" t="n">
        <v>0.6</v>
      </c>
      <c r="N4875" s="9" t="s">
        <v>85</v>
      </c>
    </row>
    <row r="4876" customFormat="false" ht="14.25" hidden="false" customHeight="true" outlineLevel="0" collapsed="false">
      <c r="B4876" s="9" t="s">
        <v>28</v>
      </c>
      <c r="C4876" s="9" t="n">
        <v>1197831</v>
      </c>
      <c r="D4876" s="10" t="n">
        <v>44315</v>
      </c>
      <c r="E4876" s="9" t="s">
        <v>29</v>
      </c>
      <c r="F4876" s="9" t="s">
        <v>57</v>
      </c>
      <c r="G4876" s="9" t="s">
        <v>58</v>
      </c>
      <c r="H4876" s="11" t="s">
        <v>22</v>
      </c>
      <c r="I4876" s="12" t="n">
        <v>54</v>
      </c>
      <c r="J4876" s="13" t="n">
        <v>182</v>
      </c>
      <c r="K4876" s="14" t="n">
        <f aca="false">I4876*J4876</f>
        <v>9828</v>
      </c>
      <c r="L4876" s="14" t="n">
        <f aca="false">($L$2*M4876)/100</f>
        <v>708983.235</v>
      </c>
      <c r="M4876" s="15" t="n">
        <v>0.59</v>
      </c>
      <c r="N4876" s="9" t="s">
        <v>85</v>
      </c>
    </row>
    <row r="4877" customFormat="false" ht="14.25" hidden="false" customHeight="true" outlineLevel="0" collapsed="false">
      <c r="B4877" s="9" t="s">
        <v>28</v>
      </c>
      <c r="C4877" s="9" t="n">
        <v>1197831</v>
      </c>
      <c r="D4877" s="10" t="n">
        <v>44316</v>
      </c>
      <c r="E4877" s="9" t="s">
        <v>29</v>
      </c>
      <c r="F4877" s="9" t="s">
        <v>57</v>
      </c>
      <c r="G4877" s="9" t="s">
        <v>58</v>
      </c>
      <c r="H4877" s="11" t="s">
        <v>23</v>
      </c>
      <c r="I4877" s="12" t="n">
        <v>53</v>
      </c>
      <c r="J4877" s="13" t="n">
        <v>100</v>
      </c>
      <c r="K4877" s="14" t="n">
        <f aca="false">I4877*J4877</f>
        <v>5300</v>
      </c>
      <c r="L4877" s="14" t="n">
        <f aca="false">($L$2*M4877)/100</f>
        <v>841166.55</v>
      </c>
      <c r="M4877" s="15" t="n">
        <v>0.7</v>
      </c>
      <c r="N4877" s="9" t="s">
        <v>85</v>
      </c>
    </row>
    <row r="4878" customFormat="false" ht="14.25" hidden="false" customHeight="true" outlineLevel="0" collapsed="false">
      <c r="B4878" s="9" t="s">
        <v>28</v>
      </c>
      <c r="C4878" s="9" t="n">
        <v>1197831</v>
      </c>
      <c r="D4878" s="10" t="n">
        <v>44317</v>
      </c>
      <c r="E4878" s="9" t="s">
        <v>29</v>
      </c>
      <c r="F4878" s="9" t="s">
        <v>57</v>
      </c>
      <c r="G4878" s="9" t="s">
        <v>58</v>
      </c>
      <c r="H4878" s="11" t="s">
        <v>24</v>
      </c>
      <c r="I4878" s="12" t="n">
        <v>47</v>
      </c>
      <c r="J4878" s="13" t="n">
        <v>120</v>
      </c>
      <c r="K4878" s="14" t="n">
        <f aca="false">I4878*J4878</f>
        <v>5640</v>
      </c>
      <c r="L4878" s="14" t="n">
        <f aca="false">($L$2*M4878)/100</f>
        <v>612849.915</v>
      </c>
      <c r="M4878" s="15" t="n">
        <v>0.51</v>
      </c>
      <c r="N4878" s="9" t="s">
        <v>85</v>
      </c>
    </row>
    <row r="4879" customFormat="false" ht="14.25" hidden="false" customHeight="true" outlineLevel="0" collapsed="false">
      <c r="B4879" s="9" t="s">
        <v>28</v>
      </c>
      <c r="C4879" s="9" t="n">
        <v>1197831</v>
      </c>
      <c r="D4879" s="10" t="n">
        <v>44318</v>
      </c>
      <c r="E4879" s="9" t="s">
        <v>29</v>
      </c>
      <c r="F4879" s="9" t="s">
        <v>57</v>
      </c>
      <c r="G4879" s="9" t="s">
        <v>58</v>
      </c>
      <c r="H4879" s="11" t="s">
        <v>25</v>
      </c>
      <c r="I4879" s="12" t="n">
        <v>42</v>
      </c>
      <c r="J4879" s="13" t="n">
        <v>163</v>
      </c>
      <c r="K4879" s="14" t="n">
        <f aca="false">I4879*J4879</f>
        <v>6846</v>
      </c>
      <c r="L4879" s="14" t="n">
        <f aca="false">($L$2*M4879)/100</f>
        <v>889233.21</v>
      </c>
      <c r="M4879" s="15" t="n">
        <v>0.74</v>
      </c>
      <c r="N4879" s="9" t="s">
        <v>85</v>
      </c>
    </row>
    <row r="4880" customFormat="false" ht="14.25" hidden="false" customHeight="true" outlineLevel="0" collapsed="false">
      <c r="B4880" s="9" t="s">
        <v>28</v>
      </c>
      <c r="C4880" s="9" t="n">
        <v>1197831</v>
      </c>
      <c r="D4880" s="10" t="n">
        <v>44319</v>
      </c>
      <c r="E4880" s="9" t="s">
        <v>29</v>
      </c>
      <c r="F4880" s="9" t="s">
        <v>57</v>
      </c>
      <c r="G4880" s="9" t="s">
        <v>58</v>
      </c>
      <c r="H4880" s="11" t="s">
        <v>19</v>
      </c>
      <c r="I4880" s="12" t="n">
        <v>33</v>
      </c>
      <c r="J4880" s="13" t="n">
        <v>173</v>
      </c>
      <c r="K4880" s="14" t="n">
        <f aca="false">I4880*J4880</f>
        <v>5709</v>
      </c>
      <c r="L4880" s="14" t="n">
        <f aca="false">($L$2*M4880)/100</f>
        <v>684949.905</v>
      </c>
      <c r="M4880" s="15" t="n">
        <v>0.57</v>
      </c>
      <c r="N4880" s="9" t="s">
        <v>85</v>
      </c>
    </row>
    <row r="4881" customFormat="false" ht="14.25" hidden="false" customHeight="true" outlineLevel="0" collapsed="false">
      <c r="B4881" s="9" t="s">
        <v>28</v>
      </c>
      <c r="C4881" s="9" t="n">
        <v>1197831</v>
      </c>
      <c r="D4881" s="10" t="n">
        <v>44320</v>
      </c>
      <c r="E4881" s="9" t="s">
        <v>29</v>
      </c>
      <c r="F4881" s="9" t="s">
        <v>57</v>
      </c>
      <c r="G4881" s="9" t="s">
        <v>58</v>
      </c>
      <c r="H4881" s="11" t="s">
        <v>21</v>
      </c>
      <c r="I4881" s="12" t="n">
        <v>32</v>
      </c>
      <c r="J4881" s="13" t="n">
        <v>150</v>
      </c>
      <c r="K4881" s="14" t="n">
        <f aca="false">I4881*J4881</f>
        <v>4800</v>
      </c>
      <c r="L4881" s="14" t="n">
        <f aca="false">($L$2*M4881)/100</f>
        <v>720999.9</v>
      </c>
      <c r="M4881" s="15" t="n">
        <v>0.6</v>
      </c>
      <c r="N4881" s="9" t="s">
        <v>85</v>
      </c>
    </row>
    <row r="4882" customFormat="false" ht="14.25" hidden="false" customHeight="true" outlineLevel="0" collapsed="false">
      <c r="B4882" s="9" t="s">
        <v>28</v>
      </c>
      <c r="C4882" s="9" t="n">
        <v>1197831</v>
      </c>
      <c r="D4882" s="10" t="n">
        <v>44321</v>
      </c>
      <c r="E4882" s="9" t="s">
        <v>29</v>
      </c>
      <c r="F4882" s="9" t="s">
        <v>57</v>
      </c>
      <c r="G4882" s="9" t="s">
        <v>58</v>
      </c>
      <c r="H4882" s="11" t="s">
        <v>22</v>
      </c>
      <c r="I4882" s="12" t="n">
        <v>36</v>
      </c>
      <c r="J4882" s="13" t="n">
        <v>147</v>
      </c>
      <c r="K4882" s="14" t="n">
        <f aca="false">I4882*J4882</f>
        <v>5292</v>
      </c>
      <c r="L4882" s="14" t="n">
        <f aca="false">($L$2*M4882)/100</f>
        <v>696966.57</v>
      </c>
      <c r="M4882" s="15" t="n">
        <v>0.58</v>
      </c>
      <c r="N4882" s="9" t="s">
        <v>85</v>
      </c>
    </row>
    <row r="4883" customFormat="false" ht="14.25" hidden="false" customHeight="true" outlineLevel="0" collapsed="false">
      <c r="B4883" s="9" t="s">
        <v>28</v>
      </c>
      <c r="C4883" s="9" t="n">
        <v>1197831</v>
      </c>
      <c r="D4883" s="10" t="n">
        <v>44322</v>
      </c>
      <c r="E4883" s="9" t="s">
        <v>29</v>
      </c>
      <c r="F4883" s="9" t="s">
        <v>57</v>
      </c>
      <c r="G4883" s="9" t="s">
        <v>58</v>
      </c>
      <c r="H4883" s="11" t="s">
        <v>23</v>
      </c>
      <c r="I4883" s="12" t="n">
        <v>38</v>
      </c>
      <c r="J4883" s="13" t="n">
        <v>98</v>
      </c>
      <c r="K4883" s="14" t="n">
        <f aca="false">I4883*J4883</f>
        <v>3724</v>
      </c>
      <c r="L4883" s="14" t="n">
        <f aca="false">($L$2*M4883)/100</f>
        <v>841166.55</v>
      </c>
      <c r="M4883" s="15" t="n">
        <v>0.7</v>
      </c>
      <c r="N4883" s="9" t="s">
        <v>85</v>
      </c>
    </row>
    <row r="4884" customFormat="false" ht="14.25" hidden="false" customHeight="true" outlineLevel="0" collapsed="false">
      <c r="B4884" s="9" t="s">
        <v>28</v>
      </c>
      <c r="C4884" s="9" t="n">
        <v>1197831</v>
      </c>
      <c r="D4884" s="10" t="n">
        <v>44323</v>
      </c>
      <c r="E4884" s="9" t="s">
        <v>29</v>
      </c>
      <c r="F4884" s="9" t="s">
        <v>57</v>
      </c>
      <c r="G4884" s="9" t="s">
        <v>58</v>
      </c>
      <c r="H4884" s="11" t="s">
        <v>24</v>
      </c>
      <c r="I4884" s="12" t="n">
        <v>32</v>
      </c>
      <c r="J4884" s="13" t="n">
        <v>88</v>
      </c>
      <c r="K4884" s="14" t="n">
        <f aca="false">I4884*J4884</f>
        <v>2816</v>
      </c>
      <c r="L4884" s="14" t="n">
        <f aca="false">($L$2*M4884)/100</f>
        <v>612849.915</v>
      </c>
      <c r="M4884" s="15" t="n">
        <v>0.51</v>
      </c>
      <c r="N4884" s="9" t="s">
        <v>85</v>
      </c>
    </row>
    <row r="4885" customFormat="false" ht="14.25" hidden="false" customHeight="true" outlineLevel="0" collapsed="false">
      <c r="B4885" s="9" t="s">
        <v>28</v>
      </c>
      <c r="C4885" s="9" t="n">
        <v>1197831</v>
      </c>
      <c r="D4885" s="10" t="n">
        <v>44324</v>
      </c>
      <c r="E4885" s="9" t="s">
        <v>29</v>
      </c>
      <c r="F4885" s="9" t="s">
        <v>57</v>
      </c>
      <c r="G4885" s="9" t="s">
        <v>58</v>
      </c>
      <c r="H4885" s="11" t="s">
        <v>25</v>
      </c>
      <c r="I4885" s="12" t="n">
        <v>43</v>
      </c>
      <c r="J4885" s="13" t="n">
        <v>131</v>
      </c>
      <c r="K4885" s="14" t="n">
        <f aca="false">I4885*J4885</f>
        <v>5633</v>
      </c>
      <c r="L4885" s="14" t="n">
        <f aca="false">($L$2*M4885)/100</f>
        <v>853183.215</v>
      </c>
      <c r="M4885" s="15" t="n">
        <v>0.71</v>
      </c>
      <c r="N4885" s="9" t="s">
        <v>85</v>
      </c>
    </row>
    <row r="4886" customFormat="false" ht="14.25" hidden="false" customHeight="true" outlineLevel="0" collapsed="false">
      <c r="B4886" s="9" t="s">
        <v>28</v>
      </c>
      <c r="C4886" s="9" t="n">
        <v>1197831</v>
      </c>
      <c r="D4886" s="10" t="n">
        <v>44325</v>
      </c>
      <c r="E4886" s="9" t="s">
        <v>29</v>
      </c>
      <c r="F4886" s="9" t="s">
        <v>57</v>
      </c>
      <c r="G4886" s="9" t="s">
        <v>58</v>
      </c>
      <c r="H4886" s="11" t="s">
        <v>19</v>
      </c>
      <c r="I4886" s="12" t="n">
        <v>29</v>
      </c>
      <c r="J4886" s="13" t="n">
        <v>196</v>
      </c>
      <c r="K4886" s="14" t="n">
        <f aca="false">I4886*J4886</f>
        <v>5684</v>
      </c>
      <c r="L4886" s="14" t="n">
        <f aca="false">($L$2*M4886)/100</f>
        <v>672933.24</v>
      </c>
      <c r="M4886" s="15" t="n">
        <v>0.56</v>
      </c>
      <c r="N4886" s="9" t="s">
        <v>85</v>
      </c>
    </row>
    <row r="4887" customFormat="false" ht="14.25" hidden="false" customHeight="true" outlineLevel="0" collapsed="false">
      <c r="B4887" s="9" t="s">
        <v>28</v>
      </c>
      <c r="C4887" s="9" t="n">
        <v>1197831</v>
      </c>
      <c r="D4887" s="10" t="n">
        <v>44326</v>
      </c>
      <c r="E4887" s="9" t="s">
        <v>29</v>
      </c>
      <c r="F4887" s="9" t="s">
        <v>57</v>
      </c>
      <c r="G4887" s="9" t="s">
        <v>58</v>
      </c>
      <c r="H4887" s="11" t="s">
        <v>21</v>
      </c>
      <c r="I4887" s="12" t="n">
        <v>29</v>
      </c>
      <c r="J4887" s="13" t="n">
        <v>189</v>
      </c>
      <c r="K4887" s="14" t="n">
        <f aca="false">I4887*J4887</f>
        <v>5481</v>
      </c>
      <c r="L4887" s="14" t="n">
        <f aca="false">($L$2*M4887)/100</f>
        <v>672933.24</v>
      </c>
      <c r="M4887" s="15" t="n">
        <v>0.56</v>
      </c>
      <c r="N4887" s="9" t="s">
        <v>85</v>
      </c>
    </row>
    <row r="4888" customFormat="false" ht="14.25" hidden="false" customHeight="true" outlineLevel="0" collapsed="false">
      <c r="B4888" s="9" t="s">
        <v>28</v>
      </c>
      <c r="C4888" s="9" t="n">
        <v>1197831</v>
      </c>
      <c r="D4888" s="10" t="n">
        <v>44327</v>
      </c>
      <c r="E4888" s="9" t="s">
        <v>29</v>
      </c>
      <c r="F4888" s="9" t="s">
        <v>57</v>
      </c>
      <c r="G4888" s="9" t="s">
        <v>58</v>
      </c>
      <c r="H4888" s="11" t="s">
        <v>22</v>
      </c>
      <c r="I4888" s="12" t="n">
        <v>50</v>
      </c>
      <c r="J4888" s="13" t="n">
        <v>174</v>
      </c>
      <c r="K4888" s="14" t="n">
        <f aca="false">I4888*J4888</f>
        <v>8700</v>
      </c>
      <c r="L4888" s="14" t="n">
        <f aca="false">($L$2*M4888)/100</f>
        <v>672933.24</v>
      </c>
      <c r="M4888" s="15" t="n">
        <v>0.56</v>
      </c>
      <c r="N4888" s="9" t="s">
        <v>85</v>
      </c>
    </row>
    <row r="4889" customFormat="false" ht="14.25" hidden="false" customHeight="true" outlineLevel="0" collapsed="false">
      <c r="B4889" s="9" t="s">
        <v>28</v>
      </c>
      <c r="C4889" s="9" t="n">
        <v>1197831</v>
      </c>
      <c r="D4889" s="10" t="n">
        <v>44328</v>
      </c>
      <c r="E4889" s="9" t="s">
        <v>29</v>
      </c>
      <c r="F4889" s="9" t="s">
        <v>57</v>
      </c>
      <c r="G4889" s="9" t="s">
        <v>58</v>
      </c>
      <c r="H4889" s="11" t="s">
        <v>23</v>
      </c>
      <c r="I4889" s="12" t="n">
        <v>52</v>
      </c>
      <c r="J4889" s="13" t="n">
        <v>133</v>
      </c>
      <c r="K4889" s="14" t="n">
        <f aca="false">I4889*J4889</f>
        <v>6916</v>
      </c>
      <c r="L4889" s="14" t="n">
        <f aca="false">($L$2*M4889)/100</f>
        <v>829149.885</v>
      </c>
      <c r="M4889" s="15" t="n">
        <v>0.69</v>
      </c>
      <c r="N4889" s="9" t="s">
        <v>85</v>
      </c>
    </row>
    <row r="4890" customFormat="false" ht="14.25" hidden="false" customHeight="true" outlineLevel="0" collapsed="false">
      <c r="B4890" s="9" t="s">
        <v>28</v>
      </c>
      <c r="C4890" s="9" t="n">
        <v>1197831</v>
      </c>
      <c r="D4890" s="10" t="n">
        <v>44329</v>
      </c>
      <c r="E4890" s="9" t="s">
        <v>29</v>
      </c>
      <c r="F4890" s="9" t="s">
        <v>57</v>
      </c>
      <c r="G4890" s="9" t="s">
        <v>58</v>
      </c>
      <c r="H4890" s="11" t="s">
        <v>24</v>
      </c>
      <c r="I4890" s="12" t="n">
        <v>51</v>
      </c>
      <c r="J4890" s="13" t="n">
        <v>113</v>
      </c>
      <c r="K4890" s="14" t="n">
        <f aca="false">I4890*J4890</f>
        <v>5763</v>
      </c>
      <c r="L4890" s="14" t="n">
        <f aca="false">($L$2*M4890)/100</f>
        <v>636883.245</v>
      </c>
      <c r="M4890" s="15" t="n">
        <v>0.53</v>
      </c>
      <c r="N4890" s="9" t="s">
        <v>85</v>
      </c>
    </row>
    <row r="4891" customFormat="false" ht="14.25" hidden="false" customHeight="true" outlineLevel="0" collapsed="false">
      <c r="B4891" s="9" t="s">
        <v>28</v>
      </c>
      <c r="C4891" s="9" t="n">
        <v>1197831</v>
      </c>
      <c r="D4891" s="10" t="n">
        <v>44330</v>
      </c>
      <c r="E4891" s="9" t="s">
        <v>29</v>
      </c>
      <c r="F4891" s="9" t="s">
        <v>57</v>
      </c>
      <c r="G4891" s="9" t="s">
        <v>58</v>
      </c>
      <c r="H4891" s="11" t="s">
        <v>25</v>
      </c>
      <c r="I4891" s="12" t="n">
        <v>59</v>
      </c>
      <c r="J4891" s="13" t="n">
        <v>169</v>
      </c>
      <c r="K4891" s="14" t="n">
        <f aca="false">I4891*J4891</f>
        <v>9971</v>
      </c>
      <c r="L4891" s="14" t="n">
        <f aca="false">($L$2*M4891)/100</f>
        <v>853183.215</v>
      </c>
      <c r="M4891" s="15" t="n">
        <v>0.71</v>
      </c>
      <c r="N4891" s="9" t="s">
        <v>85</v>
      </c>
    </row>
    <row r="4892" customFormat="false" ht="14.25" hidden="false" customHeight="true" outlineLevel="0" collapsed="false">
      <c r="B4892" s="9" t="s">
        <v>28</v>
      </c>
      <c r="C4892" s="9" t="n">
        <v>1197831</v>
      </c>
      <c r="D4892" s="10" t="n">
        <v>44331</v>
      </c>
      <c r="E4892" s="9" t="s">
        <v>29</v>
      </c>
      <c r="F4892" s="9" t="s">
        <v>57</v>
      </c>
      <c r="G4892" s="9" t="s">
        <v>58</v>
      </c>
      <c r="H4892" s="11" t="s">
        <v>19</v>
      </c>
      <c r="I4892" s="12" t="n">
        <v>53</v>
      </c>
      <c r="J4892" s="13" t="n">
        <v>200</v>
      </c>
      <c r="K4892" s="14" t="n">
        <f aca="false">I4892*J4892</f>
        <v>10600</v>
      </c>
      <c r="L4892" s="14" t="n">
        <f aca="false">($L$2*M4892)/100</f>
        <v>696966.57</v>
      </c>
      <c r="M4892" s="15" t="n">
        <v>0.58</v>
      </c>
      <c r="N4892" s="9" t="s">
        <v>85</v>
      </c>
    </row>
    <row r="4893" customFormat="false" ht="14.25" hidden="false" customHeight="true" outlineLevel="0" collapsed="false">
      <c r="B4893" s="9" t="s">
        <v>28</v>
      </c>
      <c r="C4893" s="9" t="n">
        <v>1197831</v>
      </c>
      <c r="D4893" s="10" t="n">
        <v>44332</v>
      </c>
      <c r="E4893" s="9" t="s">
        <v>29</v>
      </c>
      <c r="F4893" s="9" t="s">
        <v>57</v>
      </c>
      <c r="G4893" s="9" t="s">
        <v>58</v>
      </c>
      <c r="H4893" s="11" t="s">
        <v>21</v>
      </c>
      <c r="I4893" s="12" t="n">
        <v>51</v>
      </c>
      <c r="J4893" s="13" t="n">
        <v>240</v>
      </c>
      <c r="K4893" s="14" t="n">
        <f aca="false">I4893*J4893</f>
        <v>12240</v>
      </c>
      <c r="L4893" s="14" t="n">
        <f aca="false">($L$2*M4893)/100</f>
        <v>660916.575</v>
      </c>
      <c r="M4893" s="15" t="n">
        <v>0.55</v>
      </c>
      <c r="N4893" s="9" t="s">
        <v>85</v>
      </c>
    </row>
    <row r="4894" customFormat="false" ht="14.25" hidden="false" customHeight="true" outlineLevel="0" collapsed="false">
      <c r="B4894" s="9" t="s">
        <v>28</v>
      </c>
      <c r="C4894" s="9" t="n">
        <v>1197831</v>
      </c>
      <c r="D4894" s="10" t="n">
        <v>44333</v>
      </c>
      <c r="E4894" s="9" t="s">
        <v>29</v>
      </c>
      <c r="F4894" s="9" t="s">
        <v>57</v>
      </c>
      <c r="G4894" s="9" t="s">
        <v>58</v>
      </c>
      <c r="H4894" s="11" t="s">
        <v>22</v>
      </c>
      <c r="I4894" s="12" t="n">
        <v>54</v>
      </c>
      <c r="J4894" s="13" t="n">
        <v>210</v>
      </c>
      <c r="K4894" s="14" t="n">
        <f aca="false">I4894*J4894</f>
        <v>11340</v>
      </c>
      <c r="L4894" s="14" t="n">
        <f aca="false">($L$2*M4894)/100</f>
        <v>660916.575</v>
      </c>
      <c r="M4894" s="15" t="n">
        <v>0.55</v>
      </c>
      <c r="N4894" s="9" t="s">
        <v>85</v>
      </c>
    </row>
    <row r="4895" customFormat="false" ht="14.25" hidden="false" customHeight="true" outlineLevel="0" collapsed="false">
      <c r="B4895" s="9" t="s">
        <v>28</v>
      </c>
      <c r="C4895" s="9" t="n">
        <v>1197831</v>
      </c>
      <c r="D4895" s="10" t="n">
        <v>44334</v>
      </c>
      <c r="E4895" s="9" t="s">
        <v>29</v>
      </c>
      <c r="F4895" s="9" t="s">
        <v>57</v>
      </c>
      <c r="G4895" s="9" t="s">
        <v>58</v>
      </c>
      <c r="H4895" s="11" t="s">
        <v>23</v>
      </c>
      <c r="I4895" s="12" t="n">
        <v>54</v>
      </c>
      <c r="J4895" s="13" t="n">
        <v>149</v>
      </c>
      <c r="K4895" s="14" t="n">
        <f aca="false">I4895*J4895</f>
        <v>8046</v>
      </c>
      <c r="L4895" s="14" t="n">
        <f aca="false">($L$2*M4895)/100</f>
        <v>829149.885</v>
      </c>
      <c r="M4895" s="15" t="n">
        <v>0.69</v>
      </c>
      <c r="N4895" s="9" t="s">
        <v>85</v>
      </c>
    </row>
    <row r="4896" customFormat="false" ht="14.25" hidden="false" customHeight="true" outlineLevel="0" collapsed="false">
      <c r="B4896" s="9" t="s">
        <v>28</v>
      </c>
      <c r="C4896" s="9" t="n">
        <v>1197831</v>
      </c>
      <c r="D4896" s="10" t="n">
        <v>44335</v>
      </c>
      <c r="E4896" s="9" t="s">
        <v>29</v>
      </c>
      <c r="F4896" s="9" t="s">
        <v>57</v>
      </c>
      <c r="G4896" s="9" t="s">
        <v>58</v>
      </c>
      <c r="H4896" s="11" t="s">
        <v>24</v>
      </c>
      <c r="I4896" s="12" t="n">
        <v>50</v>
      </c>
      <c r="J4896" s="13" t="n">
        <v>140</v>
      </c>
      <c r="K4896" s="14" t="n">
        <f aca="false">I4896*J4896</f>
        <v>7000</v>
      </c>
      <c r="L4896" s="14" t="n">
        <f aca="false">($L$2*M4896)/100</f>
        <v>600833.25</v>
      </c>
      <c r="M4896" s="15" t="n">
        <v>0.5</v>
      </c>
      <c r="N4896" s="9" t="s">
        <v>85</v>
      </c>
    </row>
    <row r="4897" customFormat="false" ht="14.25" hidden="false" customHeight="true" outlineLevel="0" collapsed="false">
      <c r="B4897" s="9" t="s">
        <v>28</v>
      </c>
      <c r="C4897" s="9" t="n">
        <v>1197831</v>
      </c>
      <c r="D4897" s="10" t="n">
        <v>44336</v>
      </c>
      <c r="E4897" s="9" t="s">
        <v>29</v>
      </c>
      <c r="F4897" s="9" t="s">
        <v>57</v>
      </c>
      <c r="G4897" s="9" t="s">
        <v>58</v>
      </c>
      <c r="H4897" s="11" t="s">
        <v>25</v>
      </c>
      <c r="I4897" s="12" t="n">
        <v>61</v>
      </c>
      <c r="J4897" s="13" t="n">
        <v>225</v>
      </c>
      <c r="K4897" s="14" t="n">
        <f aca="false">I4897*J4897</f>
        <v>13725</v>
      </c>
      <c r="L4897" s="14" t="n">
        <f aca="false">($L$2*M4897)/100</f>
        <v>889233.21</v>
      </c>
      <c r="M4897" s="15" t="n">
        <v>0.74</v>
      </c>
      <c r="N4897" s="9" t="s">
        <v>85</v>
      </c>
    </row>
    <row r="4898" customFormat="false" ht="14.25" hidden="false" customHeight="true" outlineLevel="0" collapsed="false">
      <c r="B4898" s="9" t="s">
        <v>16</v>
      </c>
      <c r="C4898" s="9" t="n">
        <v>1185732</v>
      </c>
      <c r="D4898" s="10" t="n">
        <v>44337</v>
      </c>
      <c r="E4898" s="9" t="s">
        <v>29</v>
      </c>
      <c r="F4898" s="9" t="s">
        <v>57</v>
      </c>
      <c r="G4898" s="9" t="s">
        <v>58</v>
      </c>
      <c r="H4898" s="11" t="s">
        <v>19</v>
      </c>
      <c r="I4898" s="12" t="n">
        <v>32</v>
      </c>
      <c r="J4898" s="13" t="n">
        <v>119</v>
      </c>
      <c r="K4898" s="14" t="n">
        <f aca="false">I4898*J4898</f>
        <v>3808</v>
      </c>
      <c r="L4898" s="14" t="n">
        <f aca="false">($L$2*M4898)/100</f>
        <v>600833.25</v>
      </c>
      <c r="M4898" s="15" t="n">
        <v>0.5</v>
      </c>
      <c r="N4898" s="9" t="s">
        <v>85</v>
      </c>
    </row>
    <row r="4899" customFormat="false" ht="14.25" hidden="false" customHeight="true" outlineLevel="0" collapsed="false">
      <c r="B4899" s="9" t="s">
        <v>16</v>
      </c>
      <c r="C4899" s="9" t="n">
        <v>1185732</v>
      </c>
      <c r="D4899" s="10" t="n">
        <v>44338</v>
      </c>
      <c r="E4899" s="9" t="s">
        <v>29</v>
      </c>
      <c r="F4899" s="9" t="s">
        <v>57</v>
      </c>
      <c r="G4899" s="9" t="s">
        <v>58</v>
      </c>
      <c r="H4899" s="11" t="s">
        <v>21</v>
      </c>
      <c r="I4899" s="12" t="n">
        <v>32</v>
      </c>
      <c r="J4899" s="13" t="n">
        <v>56</v>
      </c>
      <c r="K4899" s="14" t="n">
        <f aca="false">I4899*J4899</f>
        <v>1792</v>
      </c>
      <c r="L4899" s="14" t="n">
        <f aca="false">($L$2*M4899)/100</f>
        <v>588816.585</v>
      </c>
      <c r="M4899" s="15" t="n">
        <v>0.49</v>
      </c>
      <c r="N4899" s="9" t="s">
        <v>85</v>
      </c>
    </row>
    <row r="4900" customFormat="false" ht="14.25" hidden="false" customHeight="true" outlineLevel="0" collapsed="false">
      <c r="B4900" s="9" t="s">
        <v>16</v>
      </c>
      <c r="C4900" s="9" t="n">
        <v>1185732</v>
      </c>
      <c r="D4900" s="10" t="n">
        <v>44339</v>
      </c>
      <c r="E4900" s="9" t="s">
        <v>29</v>
      </c>
      <c r="F4900" s="9" t="s">
        <v>57</v>
      </c>
      <c r="G4900" s="9" t="s">
        <v>58</v>
      </c>
      <c r="H4900" s="11" t="s">
        <v>22</v>
      </c>
      <c r="I4900" s="12" t="n">
        <v>24</v>
      </c>
      <c r="J4900" s="13" t="n">
        <v>65</v>
      </c>
      <c r="K4900" s="14" t="n">
        <f aca="false">I4900*J4900</f>
        <v>1560</v>
      </c>
      <c r="L4900" s="14" t="n">
        <f aca="false">($L$2*M4900)/100</f>
        <v>576799.92</v>
      </c>
      <c r="M4900" s="15" t="n">
        <v>0.48</v>
      </c>
      <c r="N4900" s="9" t="s">
        <v>85</v>
      </c>
    </row>
    <row r="4901" customFormat="false" ht="14.25" hidden="false" customHeight="true" outlineLevel="0" collapsed="false">
      <c r="B4901" s="9" t="s">
        <v>16</v>
      </c>
      <c r="C4901" s="9" t="n">
        <v>1185732</v>
      </c>
      <c r="D4901" s="10" t="n">
        <v>44340</v>
      </c>
      <c r="E4901" s="9" t="s">
        <v>29</v>
      </c>
      <c r="F4901" s="9" t="s">
        <v>57</v>
      </c>
      <c r="G4901" s="9" t="s">
        <v>58</v>
      </c>
      <c r="H4901" s="11" t="s">
        <v>23</v>
      </c>
      <c r="I4901" s="12" t="n">
        <v>27</v>
      </c>
      <c r="J4901" s="13" t="n">
        <v>19</v>
      </c>
      <c r="K4901" s="14" t="n">
        <f aca="false">I4901*J4901</f>
        <v>513</v>
      </c>
      <c r="L4901" s="14" t="n">
        <f aca="false">($L$2*M4901)/100</f>
        <v>636883.245</v>
      </c>
      <c r="M4901" s="15" t="n">
        <v>0.53</v>
      </c>
      <c r="N4901" s="9" t="s">
        <v>85</v>
      </c>
    </row>
    <row r="4902" customFormat="false" ht="14.25" hidden="false" customHeight="true" outlineLevel="0" collapsed="false">
      <c r="B4902" s="9" t="s">
        <v>16</v>
      </c>
      <c r="C4902" s="9" t="n">
        <v>1185732</v>
      </c>
      <c r="D4902" s="10" t="n">
        <v>44341</v>
      </c>
      <c r="E4902" s="9" t="s">
        <v>38</v>
      </c>
      <c r="F4902" s="9" t="s">
        <v>59</v>
      </c>
      <c r="G4902" s="9" t="s">
        <v>60</v>
      </c>
      <c r="H4902" s="11" t="s">
        <v>24</v>
      </c>
      <c r="I4902" s="12" t="n">
        <v>43</v>
      </c>
      <c r="J4902" s="13" t="n">
        <v>35</v>
      </c>
      <c r="K4902" s="14" t="n">
        <f aca="false">I4902*J4902</f>
        <v>1505</v>
      </c>
      <c r="L4902" s="14" t="n">
        <f aca="false">($L$2*M4902)/100</f>
        <v>540749.925</v>
      </c>
      <c r="M4902" s="15" t="n">
        <v>0.45</v>
      </c>
      <c r="N4902" s="9" t="s">
        <v>85</v>
      </c>
    </row>
    <row r="4903" customFormat="false" ht="14.25" hidden="false" customHeight="true" outlineLevel="0" collapsed="false">
      <c r="B4903" s="9" t="s">
        <v>16</v>
      </c>
      <c r="C4903" s="9" t="n">
        <v>1185732</v>
      </c>
      <c r="D4903" s="10" t="n">
        <v>44342</v>
      </c>
      <c r="E4903" s="9" t="s">
        <v>38</v>
      </c>
      <c r="F4903" s="9" t="s">
        <v>59</v>
      </c>
      <c r="G4903" s="9" t="s">
        <v>60</v>
      </c>
      <c r="H4903" s="11" t="s">
        <v>25</v>
      </c>
      <c r="I4903" s="12" t="n">
        <v>32</v>
      </c>
      <c r="J4903" s="13" t="n">
        <v>68</v>
      </c>
      <c r="K4903" s="14" t="n">
        <f aca="false">I4903*J4903</f>
        <v>2176</v>
      </c>
      <c r="L4903" s="14" t="n">
        <f aca="false">($L$2*M4903)/100</f>
        <v>733016.565</v>
      </c>
      <c r="M4903" s="15" t="n">
        <v>0.61</v>
      </c>
      <c r="N4903" s="9" t="s">
        <v>85</v>
      </c>
    </row>
    <row r="4904" customFormat="false" ht="14.25" hidden="false" customHeight="true" outlineLevel="0" collapsed="false">
      <c r="B4904" s="9" t="s">
        <v>16</v>
      </c>
      <c r="C4904" s="9" t="n">
        <v>1185732</v>
      </c>
      <c r="D4904" s="10" t="n">
        <v>44343</v>
      </c>
      <c r="E4904" s="9" t="s">
        <v>38</v>
      </c>
      <c r="F4904" s="9" t="s">
        <v>59</v>
      </c>
      <c r="G4904" s="9" t="s">
        <v>60</v>
      </c>
      <c r="H4904" s="11" t="s">
        <v>19</v>
      </c>
      <c r="I4904" s="12" t="n">
        <v>32</v>
      </c>
      <c r="J4904" s="13" t="n">
        <v>119</v>
      </c>
      <c r="K4904" s="14" t="n">
        <f aca="false">I4904*J4904</f>
        <v>3808</v>
      </c>
      <c r="L4904" s="14" t="n">
        <f aca="false">($L$2*M4904)/100</f>
        <v>648899.91</v>
      </c>
      <c r="M4904" s="15" t="n">
        <v>0.54</v>
      </c>
      <c r="N4904" s="9" t="s">
        <v>85</v>
      </c>
    </row>
    <row r="4905" customFormat="false" ht="14.25" hidden="false" customHeight="true" outlineLevel="0" collapsed="false">
      <c r="B4905" s="9" t="s">
        <v>16</v>
      </c>
      <c r="C4905" s="9" t="n">
        <v>1185732</v>
      </c>
      <c r="D4905" s="10" t="n">
        <v>44344</v>
      </c>
      <c r="E4905" s="9" t="s">
        <v>38</v>
      </c>
      <c r="F4905" s="9" t="s">
        <v>59</v>
      </c>
      <c r="G4905" s="9" t="s">
        <v>60</v>
      </c>
      <c r="H4905" s="11" t="s">
        <v>21</v>
      </c>
      <c r="I4905" s="12" t="n">
        <v>33</v>
      </c>
      <c r="J4905" s="13" t="n">
        <v>38</v>
      </c>
      <c r="K4905" s="14" t="n">
        <f aca="false">I4905*J4905</f>
        <v>1254</v>
      </c>
      <c r="L4905" s="14" t="n">
        <f aca="false">($L$2*M4905)/100</f>
        <v>600833.25</v>
      </c>
      <c r="M4905" s="15" t="n">
        <v>0.5</v>
      </c>
      <c r="N4905" s="9" t="s">
        <v>85</v>
      </c>
    </row>
    <row r="4906" customFormat="false" ht="14.25" hidden="false" customHeight="true" outlineLevel="0" collapsed="false">
      <c r="B4906" s="9" t="s">
        <v>16</v>
      </c>
      <c r="C4906" s="9" t="n">
        <v>1185732</v>
      </c>
      <c r="D4906" s="10" t="n">
        <v>44345</v>
      </c>
      <c r="E4906" s="9" t="s">
        <v>38</v>
      </c>
      <c r="F4906" s="9" t="s">
        <v>59</v>
      </c>
      <c r="G4906" s="9" t="s">
        <v>60</v>
      </c>
      <c r="H4906" s="11" t="s">
        <v>22</v>
      </c>
      <c r="I4906" s="12" t="n">
        <v>23</v>
      </c>
      <c r="J4906" s="13" t="n">
        <v>47</v>
      </c>
      <c r="K4906" s="14" t="n">
        <f aca="false">I4906*J4906</f>
        <v>1081</v>
      </c>
      <c r="L4906" s="14" t="n">
        <f aca="false">($L$2*M4906)/100</f>
        <v>600833.25</v>
      </c>
      <c r="M4906" s="15" t="n">
        <v>0.5</v>
      </c>
      <c r="N4906" s="9" t="s">
        <v>85</v>
      </c>
    </row>
    <row r="4907" customFormat="false" ht="14.25" hidden="false" customHeight="true" outlineLevel="0" collapsed="false">
      <c r="B4907" s="9" t="s">
        <v>16</v>
      </c>
      <c r="C4907" s="9" t="n">
        <v>1185732</v>
      </c>
      <c r="D4907" s="10" t="n">
        <v>44346</v>
      </c>
      <c r="E4907" s="9" t="s">
        <v>38</v>
      </c>
      <c r="F4907" s="9" t="s">
        <v>59</v>
      </c>
      <c r="G4907" s="9" t="s">
        <v>60</v>
      </c>
      <c r="H4907" s="11" t="s">
        <v>23</v>
      </c>
      <c r="I4907" s="12" t="n">
        <v>29</v>
      </c>
      <c r="J4907" s="13" t="n">
        <v>14</v>
      </c>
      <c r="K4907" s="14" t="n">
        <f aca="false">I4907*J4907</f>
        <v>406</v>
      </c>
      <c r="L4907" s="14" t="n">
        <f aca="false">($L$2*M4907)/100</f>
        <v>600833.25</v>
      </c>
      <c r="M4907" s="15" t="n">
        <v>0.5</v>
      </c>
      <c r="N4907" s="9" t="s">
        <v>85</v>
      </c>
    </row>
    <row r="4908" customFormat="false" ht="14.25" hidden="false" customHeight="true" outlineLevel="0" collapsed="false">
      <c r="B4908" s="9" t="s">
        <v>16</v>
      </c>
      <c r="C4908" s="9" t="n">
        <v>1185732</v>
      </c>
      <c r="D4908" s="10" t="n">
        <v>44347</v>
      </c>
      <c r="E4908" s="9" t="s">
        <v>38</v>
      </c>
      <c r="F4908" s="9" t="s">
        <v>59</v>
      </c>
      <c r="G4908" s="9" t="s">
        <v>60</v>
      </c>
      <c r="H4908" s="11" t="s">
        <v>24</v>
      </c>
      <c r="I4908" s="12" t="n">
        <v>41</v>
      </c>
      <c r="J4908" s="13" t="n">
        <v>31</v>
      </c>
      <c r="K4908" s="14" t="n">
        <f aca="false">I4908*J4908</f>
        <v>1271</v>
      </c>
      <c r="L4908" s="14" t="n">
        <f aca="false">($L$2*M4908)/100</f>
        <v>588816.585</v>
      </c>
      <c r="M4908" s="15" t="n">
        <v>0.49</v>
      </c>
      <c r="N4908" s="9" t="s">
        <v>85</v>
      </c>
    </row>
    <row r="4909" customFormat="false" ht="14.25" hidden="false" customHeight="true" outlineLevel="0" collapsed="false">
      <c r="B4909" s="9" t="s">
        <v>16</v>
      </c>
      <c r="C4909" s="9" t="n">
        <v>1185732</v>
      </c>
      <c r="D4909" s="10" t="n">
        <v>44348</v>
      </c>
      <c r="E4909" s="9" t="s">
        <v>38</v>
      </c>
      <c r="F4909" s="9" t="s">
        <v>59</v>
      </c>
      <c r="G4909" s="9" t="s">
        <v>60</v>
      </c>
      <c r="H4909" s="11" t="s">
        <v>25</v>
      </c>
      <c r="I4909" s="12" t="n">
        <v>32</v>
      </c>
      <c r="J4909" s="13" t="n">
        <v>60</v>
      </c>
      <c r="K4909" s="14" t="n">
        <f aca="false">I4909*J4909</f>
        <v>1920</v>
      </c>
      <c r="L4909" s="14" t="n">
        <f aca="false">($L$2*M4909)/100</f>
        <v>745033.23</v>
      </c>
      <c r="M4909" s="15" t="n">
        <v>0.62</v>
      </c>
      <c r="N4909" s="9" t="s">
        <v>85</v>
      </c>
    </row>
    <row r="4910" customFormat="false" ht="14.25" hidden="false" customHeight="true" outlineLevel="0" collapsed="false">
      <c r="B4910" s="9" t="s">
        <v>16</v>
      </c>
      <c r="C4910" s="9" t="n">
        <v>1185732</v>
      </c>
      <c r="D4910" s="10" t="n">
        <v>44349</v>
      </c>
      <c r="E4910" s="9" t="s">
        <v>38</v>
      </c>
      <c r="F4910" s="9" t="s">
        <v>59</v>
      </c>
      <c r="G4910" s="9" t="s">
        <v>60</v>
      </c>
      <c r="H4910" s="11" t="s">
        <v>19</v>
      </c>
      <c r="I4910" s="12" t="n">
        <v>38</v>
      </c>
      <c r="J4910" s="13" t="n">
        <v>122</v>
      </c>
      <c r="K4910" s="14" t="n">
        <f aca="false">I4910*J4910</f>
        <v>4636</v>
      </c>
      <c r="L4910" s="14" t="n">
        <f aca="false">($L$2*M4910)/100</f>
        <v>648899.91</v>
      </c>
      <c r="M4910" s="15" t="n">
        <v>0.54</v>
      </c>
      <c r="N4910" s="9" t="s">
        <v>85</v>
      </c>
    </row>
    <row r="4911" customFormat="false" ht="14.25" hidden="false" customHeight="true" outlineLevel="0" collapsed="false">
      <c r="B4911" s="9" t="s">
        <v>16</v>
      </c>
      <c r="C4911" s="9" t="n">
        <v>1185732</v>
      </c>
      <c r="D4911" s="10" t="n">
        <v>44350</v>
      </c>
      <c r="E4911" s="9" t="s">
        <v>38</v>
      </c>
      <c r="F4911" s="9" t="s">
        <v>59</v>
      </c>
      <c r="G4911" s="9" t="s">
        <v>60</v>
      </c>
      <c r="H4911" s="11" t="s">
        <v>21</v>
      </c>
      <c r="I4911" s="12" t="n">
        <v>39</v>
      </c>
      <c r="J4911" s="13" t="n">
        <v>26</v>
      </c>
      <c r="K4911" s="14" t="n">
        <f aca="false">I4911*J4911</f>
        <v>1014</v>
      </c>
      <c r="L4911" s="14" t="n">
        <f aca="false">($L$2*M4911)/100</f>
        <v>552766.59</v>
      </c>
      <c r="M4911" s="15" t="n">
        <v>0.46</v>
      </c>
      <c r="N4911" s="9" t="s">
        <v>85</v>
      </c>
    </row>
    <row r="4912" customFormat="false" ht="14.25" hidden="false" customHeight="true" outlineLevel="0" collapsed="false">
      <c r="B4912" s="9" t="s">
        <v>16</v>
      </c>
      <c r="C4912" s="9" t="n">
        <v>1185732</v>
      </c>
      <c r="D4912" s="10" t="n">
        <v>44351</v>
      </c>
      <c r="E4912" s="9" t="s">
        <v>38</v>
      </c>
      <c r="F4912" s="9" t="s">
        <v>59</v>
      </c>
      <c r="G4912" s="9" t="s">
        <v>60</v>
      </c>
      <c r="H4912" s="11" t="s">
        <v>22</v>
      </c>
      <c r="I4912" s="12" t="n">
        <v>29</v>
      </c>
      <c r="J4912" s="13" t="n">
        <v>39</v>
      </c>
      <c r="K4912" s="14" t="n">
        <f aca="false">I4912*J4912</f>
        <v>1131</v>
      </c>
      <c r="L4912" s="14" t="n">
        <f aca="false">($L$2*M4912)/100</f>
        <v>600833.25</v>
      </c>
      <c r="M4912" s="15" t="n">
        <v>0.5</v>
      </c>
      <c r="N4912" s="9" t="s">
        <v>85</v>
      </c>
    </row>
    <row r="4913" customFormat="false" ht="14.25" hidden="false" customHeight="true" outlineLevel="0" collapsed="false">
      <c r="B4913" s="9" t="s">
        <v>16</v>
      </c>
      <c r="C4913" s="9" t="n">
        <v>1185732</v>
      </c>
      <c r="D4913" s="10" t="n">
        <v>44352</v>
      </c>
      <c r="E4913" s="9" t="s">
        <v>38</v>
      </c>
      <c r="F4913" s="9" t="s">
        <v>59</v>
      </c>
      <c r="G4913" s="9" t="s">
        <v>60</v>
      </c>
      <c r="H4913" s="11" t="s">
        <v>23</v>
      </c>
      <c r="I4913" s="12" t="n">
        <v>33</v>
      </c>
      <c r="J4913" s="13" t="n">
        <v>0</v>
      </c>
      <c r="K4913" s="14" t="n">
        <f aca="false">I4913*J4913</f>
        <v>0</v>
      </c>
      <c r="L4913" s="14" t="n">
        <f aca="false">($L$2*M4913)/100</f>
        <v>660916.575</v>
      </c>
      <c r="M4913" s="15" t="n">
        <v>0.55</v>
      </c>
      <c r="N4913" s="9" t="s">
        <v>85</v>
      </c>
    </row>
    <row r="4914" customFormat="false" ht="14.25" hidden="false" customHeight="true" outlineLevel="0" collapsed="false">
      <c r="B4914" s="9" t="s">
        <v>16</v>
      </c>
      <c r="C4914" s="9" t="n">
        <v>1185732</v>
      </c>
      <c r="D4914" s="10" t="n">
        <v>44353</v>
      </c>
      <c r="E4914" s="9" t="s">
        <v>38</v>
      </c>
      <c r="F4914" s="9" t="s">
        <v>59</v>
      </c>
      <c r="G4914" s="9" t="s">
        <v>60</v>
      </c>
      <c r="H4914" s="11" t="s">
        <v>24</v>
      </c>
      <c r="I4914" s="12" t="n">
        <v>45</v>
      </c>
      <c r="J4914" s="13" t="n">
        <v>13</v>
      </c>
      <c r="K4914" s="14" t="n">
        <f aca="false">I4914*J4914</f>
        <v>585</v>
      </c>
      <c r="L4914" s="14" t="n">
        <f aca="false">($L$2*M4914)/100</f>
        <v>564783.255</v>
      </c>
      <c r="M4914" s="15" t="n">
        <v>0.47</v>
      </c>
      <c r="N4914" s="9" t="s">
        <v>85</v>
      </c>
    </row>
    <row r="4915" customFormat="false" ht="14.25" hidden="false" customHeight="true" outlineLevel="0" collapsed="false">
      <c r="B4915" s="9" t="s">
        <v>16</v>
      </c>
      <c r="C4915" s="9" t="n">
        <v>1185732</v>
      </c>
      <c r="D4915" s="10" t="n">
        <v>44354</v>
      </c>
      <c r="E4915" s="9" t="s">
        <v>38</v>
      </c>
      <c r="F4915" s="9" t="s">
        <v>59</v>
      </c>
      <c r="G4915" s="9" t="s">
        <v>60</v>
      </c>
      <c r="H4915" s="11" t="s">
        <v>25</v>
      </c>
      <c r="I4915" s="12" t="n">
        <v>37</v>
      </c>
      <c r="J4915" s="13" t="n">
        <v>38</v>
      </c>
      <c r="K4915" s="14" t="n">
        <f aca="false">I4915*J4915</f>
        <v>1406</v>
      </c>
      <c r="L4915" s="14" t="n">
        <f aca="false">($L$2*M4915)/100</f>
        <v>733016.565</v>
      </c>
      <c r="M4915" s="15" t="n">
        <v>0.61</v>
      </c>
      <c r="N4915" s="9" t="s">
        <v>85</v>
      </c>
    </row>
    <row r="4916" customFormat="false" ht="14.25" hidden="false" customHeight="true" outlineLevel="0" collapsed="false">
      <c r="B4916" s="9" t="s">
        <v>16</v>
      </c>
      <c r="C4916" s="9" t="n">
        <v>1185732</v>
      </c>
      <c r="D4916" s="10" t="n">
        <v>44355</v>
      </c>
      <c r="E4916" s="9" t="s">
        <v>38</v>
      </c>
      <c r="F4916" s="9" t="s">
        <v>59</v>
      </c>
      <c r="G4916" s="9" t="s">
        <v>60</v>
      </c>
      <c r="H4916" s="11" t="s">
        <v>19</v>
      </c>
      <c r="I4916" s="12" t="n">
        <v>38</v>
      </c>
      <c r="J4916" s="13" t="n">
        <v>105</v>
      </c>
      <c r="K4916" s="14" t="n">
        <f aca="false">I4916*J4916</f>
        <v>3990</v>
      </c>
      <c r="L4916" s="14" t="n">
        <f aca="false">($L$2*M4916)/100</f>
        <v>636883.245</v>
      </c>
      <c r="M4916" s="15" t="n">
        <v>0.53</v>
      </c>
      <c r="N4916" s="9" t="s">
        <v>85</v>
      </c>
    </row>
    <row r="4917" customFormat="false" ht="14.25" hidden="false" customHeight="true" outlineLevel="0" collapsed="false">
      <c r="B4917" s="9" t="s">
        <v>16</v>
      </c>
      <c r="C4917" s="9" t="n">
        <v>1185732</v>
      </c>
      <c r="D4917" s="10" t="n">
        <v>44356</v>
      </c>
      <c r="E4917" s="9" t="s">
        <v>38</v>
      </c>
      <c r="F4917" s="9" t="s">
        <v>59</v>
      </c>
      <c r="G4917" s="9" t="s">
        <v>60</v>
      </c>
      <c r="H4917" s="11" t="s">
        <v>21</v>
      </c>
      <c r="I4917" s="12" t="n">
        <v>32</v>
      </c>
      <c r="J4917" s="13" t="n">
        <v>23</v>
      </c>
      <c r="K4917" s="14" t="n">
        <f aca="false">I4917*J4917</f>
        <v>736</v>
      </c>
      <c r="L4917" s="14" t="n">
        <f aca="false">($L$2*M4917)/100</f>
        <v>540749.925</v>
      </c>
      <c r="M4917" s="15" t="n">
        <v>0.45</v>
      </c>
      <c r="N4917" s="9" t="s">
        <v>85</v>
      </c>
    </row>
    <row r="4918" customFormat="false" ht="14.25" hidden="false" customHeight="true" outlineLevel="0" collapsed="false">
      <c r="B4918" s="9" t="s">
        <v>16</v>
      </c>
      <c r="C4918" s="9" t="n">
        <v>1185732</v>
      </c>
      <c r="D4918" s="10" t="n">
        <v>44357</v>
      </c>
      <c r="E4918" s="9" t="s">
        <v>38</v>
      </c>
      <c r="F4918" s="9" t="s">
        <v>59</v>
      </c>
      <c r="G4918" s="9" t="s">
        <v>60</v>
      </c>
      <c r="H4918" s="11" t="s">
        <v>22</v>
      </c>
      <c r="I4918" s="12" t="n">
        <v>23</v>
      </c>
      <c r="J4918" s="13" t="n">
        <v>21</v>
      </c>
      <c r="K4918" s="14" t="n">
        <f aca="false">I4918*J4918</f>
        <v>483</v>
      </c>
      <c r="L4918" s="14" t="n">
        <f aca="false">($L$2*M4918)/100</f>
        <v>540749.925</v>
      </c>
      <c r="M4918" s="15" t="n">
        <v>0.45</v>
      </c>
      <c r="N4918" s="9" t="s">
        <v>85</v>
      </c>
    </row>
    <row r="4919" customFormat="false" ht="14.25" hidden="false" customHeight="true" outlineLevel="0" collapsed="false">
      <c r="B4919" s="9" t="s">
        <v>16</v>
      </c>
      <c r="C4919" s="9" t="n">
        <v>1185732</v>
      </c>
      <c r="D4919" s="10" t="n">
        <v>44358</v>
      </c>
      <c r="E4919" s="9" t="s">
        <v>38</v>
      </c>
      <c r="F4919" s="9" t="s">
        <v>59</v>
      </c>
      <c r="G4919" s="9" t="s">
        <v>60</v>
      </c>
      <c r="H4919" s="11" t="s">
        <v>23</v>
      </c>
      <c r="I4919" s="12" t="n">
        <v>27</v>
      </c>
      <c r="J4919" s="13" t="n">
        <v>0</v>
      </c>
      <c r="K4919" s="14" t="n">
        <f aca="false">I4919*J4919</f>
        <v>0</v>
      </c>
      <c r="L4919" s="14" t="n">
        <f aca="false">($L$2*M4919)/100</f>
        <v>636883.245</v>
      </c>
      <c r="M4919" s="15" t="n">
        <v>0.53</v>
      </c>
      <c r="N4919" s="9" t="s">
        <v>85</v>
      </c>
    </row>
    <row r="4920" customFormat="false" ht="14.25" hidden="false" customHeight="true" outlineLevel="0" collapsed="false">
      <c r="B4920" s="9" t="s">
        <v>16</v>
      </c>
      <c r="C4920" s="9" t="n">
        <v>1185732</v>
      </c>
      <c r="D4920" s="10" t="n">
        <v>44359</v>
      </c>
      <c r="E4920" s="9" t="s">
        <v>38</v>
      </c>
      <c r="F4920" s="9" t="s">
        <v>59</v>
      </c>
      <c r="G4920" s="9" t="s">
        <v>60</v>
      </c>
      <c r="H4920" s="11" t="s">
        <v>24</v>
      </c>
      <c r="I4920" s="12" t="n">
        <v>42</v>
      </c>
      <c r="J4920" s="13" t="n">
        <v>6</v>
      </c>
      <c r="K4920" s="14" t="n">
        <f aca="false">I4920*J4920</f>
        <v>252</v>
      </c>
      <c r="L4920" s="14" t="n">
        <f aca="false">($L$2*M4920)/100</f>
        <v>576799.92</v>
      </c>
      <c r="M4920" s="15" t="n">
        <v>0.48</v>
      </c>
      <c r="N4920" s="9" t="s">
        <v>85</v>
      </c>
    </row>
    <row r="4921" customFormat="false" ht="14.25" hidden="false" customHeight="true" outlineLevel="0" collapsed="false">
      <c r="B4921" s="9" t="s">
        <v>16</v>
      </c>
      <c r="C4921" s="9" t="n">
        <v>1185732</v>
      </c>
      <c r="D4921" s="10" t="n">
        <v>44360</v>
      </c>
      <c r="E4921" s="9" t="s">
        <v>38</v>
      </c>
      <c r="F4921" s="9" t="s">
        <v>59</v>
      </c>
      <c r="G4921" s="9" t="s">
        <v>60</v>
      </c>
      <c r="H4921" s="11" t="s">
        <v>25</v>
      </c>
      <c r="I4921" s="12" t="n">
        <v>34</v>
      </c>
      <c r="J4921" s="13" t="n">
        <v>39</v>
      </c>
      <c r="K4921" s="14" t="n">
        <f aca="false">I4921*J4921</f>
        <v>1326</v>
      </c>
      <c r="L4921" s="14" t="n">
        <f aca="false">($L$2*M4921)/100</f>
        <v>745033.23</v>
      </c>
      <c r="M4921" s="15" t="n">
        <v>0.62</v>
      </c>
      <c r="N4921" s="9" t="s">
        <v>85</v>
      </c>
    </row>
    <row r="4922" customFormat="false" ht="14.25" hidden="false" customHeight="true" outlineLevel="0" collapsed="false">
      <c r="B4922" s="9" t="s">
        <v>16</v>
      </c>
      <c r="C4922" s="9" t="n">
        <v>1185732</v>
      </c>
      <c r="D4922" s="10" t="n">
        <v>44361</v>
      </c>
      <c r="E4922" s="9" t="s">
        <v>38</v>
      </c>
      <c r="F4922" s="9" t="s">
        <v>59</v>
      </c>
      <c r="G4922" s="9" t="s">
        <v>60</v>
      </c>
      <c r="H4922" s="11" t="s">
        <v>19</v>
      </c>
      <c r="I4922" s="12" t="n">
        <v>44</v>
      </c>
      <c r="J4922" s="13" t="n">
        <v>118</v>
      </c>
      <c r="K4922" s="14" t="n">
        <f aca="false">I4922*J4922</f>
        <v>5192</v>
      </c>
      <c r="L4922" s="14" t="n">
        <f aca="false">($L$2*M4922)/100</f>
        <v>648899.91</v>
      </c>
      <c r="M4922" s="15" t="n">
        <v>0.54</v>
      </c>
      <c r="N4922" s="9" t="s">
        <v>85</v>
      </c>
    </row>
    <row r="4923" customFormat="false" ht="14.25" hidden="false" customHeight="true" outlineLevel="0" collapsed="false">
      <c r="B4923" s="9" t="s">
        <v>16</v>
      </c>
      <c r="C4923" s="9" t="n">
        <v>1185732</v>
      </c>
      <c r="D4923" s="10" t="n">
        <v>44362</v>
      </c>
      <c r="E4923" s="9" t="s">
        <v>38</v>
      </c>
      <c r="F4923" s="9" t="s">
        <v>59</v>
      </c>
      <c r="G4923" s="9" t="s">
        <v>60</v>
      </c>
      <c r="H4923" s="11" t="s">
        <v>21</v>
      </c>
      <c r="I4923" s="12" t="n">
        <v>38</v>
      </c>
      <c r="J4923" s="13" t="n">
        <v>33</v>
      </c>
      <c r="K4923" s="14" t="n">
        <f aca="false">I4923*J4923</f>
        <v>1254</v>
      </c>
      <c r="L4923" s="14" t="n">
        <f aca="false">($L$2*M4923)/100</f>
        <v>600833.25</v>
      </c>
      <c r="M4923" s="15" t="n">
        <v>0.5</v>
      </c>
      <c r="N4923" s="9" t="s">
        <v>85</v>
      </c>
    </row>
    <row r="4924" customFormat="false" ht="14.25" hidden="false" customHeight="true" outlineLevel="0" collapsed="false">
      <c r="B4924" s="9" t="s">
        <v>16</v>
      </c>
      <c r="C4924" s="9" t="n">
        <v>1185732</v>
      </c>
      <c r="D4924" s="10" t="n">
        <v>44363</v>
      </c>
      <c r="E4924" s="9" t="s">
        <v>38</v>
      </c>
      <c r="F4924" s="9" t="s">
        <v>59</v>
      </c>
      <c r="G4924" s="9" t="s">
        <v>60</v>
      </c>
      <c r="H4924" s="11" t="s">
        <v>22</v>
      </c>
      <c r="I4924" s="12" t="n">
        <v>32</v>
      </c>
      <c r="J4924" s="13" t="n">
        <v>30</v>
      </c>
      <c r="K4924" s="14" t="n">
        <f aca="false">I4924*J4924</f>
        <v>960</v>
      </c>
      <c r="L4924" s="14" t="n">
        <f aca="false">($L$2*M4924)/100</f>
        <v>576799.92</v>
      </c>
      <c r="M4924" s="15" t="n">
        <v>0.48</v>
      </c>
      <c r="N4924" s="9" t="s">
        <v>85</v>
      </c>
    </row>
    <row r="4925" customFormat="false" ht="14.25" hidden="false" customHeight="true" outlineLevel="0" collapsed="false">
      <c r="B4925" s="9" t="s">
        <v>16</v>
      </c>
      <c r="C4925" s="9" t="n">
        <v>1185732</v>
      </c>
      <c r="D4925" s="10" t="n">
        <v>44364</v>
      </c>
      <c r="E4925" s="9" t="s">
        <v>38</v>
      </c>
      <c r="F4925" s="9" t="s">
        <v>59</v>
      </c>
      <c r="G4925" s="9" t="s">
        <v>60</v>
      </c>
      <c r="H4925" s="11" t="s">
        <v>23</v>
      </c>
      <c r="I4925" s="12" t="n">
        <v>34</v>
      </c>
      <c r="J4925" s="13" t="n">
        <v>7</v>
      </c>
      <c r="K4925" s="14" t="n">
        <f aca="false">I4925*J4925</f>
        <v>238</v>
      </c>
      <c r="L4925" s="14" t="n">
        <f aca="false">($L$2*M4925)/100</f>
        <v>636883.245</v>
      </c>
      <c r="M4925" s="15" t="n">
        <v>0.53</v>
      </c>
      <c r="N4925" s="9" t="s">
        <v>85</v>
      </c>
    </row>
    <row r="4926" customFormat="false" ht="14.25" hidden="false" customHeight="true" outlineLevel="0" collapsed="false">
      <c r="B4926" s="9" t="s">
        <v>16</v>
      </c>
      <c r="C4926" s="9" t="n">
        <v>1185732</v>
      </c>
      <c r="D4926" s="10" t="n">
        <v>44365</v>
      </c>
      <c r="E4926" s="9" t="s">
        <v>38</v>
      </c>
      <c r="F4926" s="9" t="s">
        <v>59</v>
      </c>
      <c r="G4926" s="9" t="s">
        <v>60</v>
      </c>
      <c r="H4926" s="11" t="s">
        <v>24</v>
      </c>
      <c r="I4926" s="12" t="n">
        <v>46</v>
      </c>
      <c r="J4926" s="13" t="n">
        <v>13</v>
      </c>
      <c r="K4926" s="14" t="n">
        <f aca="false">I4926*J4926</f>
        <v>598</v>
      </c>
      <c r="L4926" s="14" t="n">
        <f aca="false">($L$2*M4926)/100</f>
        <v>552766.59</v>
      </c>
      <c r="M4926" s="15" t="n">
        <v>0.46</v>
      </c>
      <c r="N4926" s="9" t="s">
        <v>85</v>
      </c>
    </row>
    <row r="4927" customFormat="false" ht="14.25" hidden="false" customHeight="true" outlineLevel="0" collapsed="false">
      <c r="B4927" s="9" t="s">
        <v>16</v>
      </c>
      <c r="C4927" s="9" t="n">
        <v>1185732</v>
      </c>
      <c r="D4927" s="10" t="n">
        <v>44366</v>
      </c>
      <c r="E4927" s="9" t="s">
        <v>38</v>
      </c>
      <c r="F4927" s="9" t="s">
        <v>59</v>
      </c>
      <c r="G4927" s="9" t="s">
        <v>60</v>
      </c>
      <c r="H4927" s="11" t="s">
        <v>25</v>
      </c>
      <c r="I4927" s="12" t="n">
        <v>51</v>
      </c>
      <c r="J4927" s="13" t="n">
        <v>41</v>
      </c>
      <c r="K4927" s="14" t="n">
        <f aca="false">I4927*J4927</f>
        <v>2091</v>
      </c>
      <c r="L4927" s="14" t="n">
        <f aca="false">($L$2*M4927)/100</f>
        <v>745033.23</v>
      </c>
      <c r="M4927" s="15" t="n">
        <v>0.62</v>
      </c>
      <c r="N4927" s="9" t="s">
        <v>85</v>
      </c>
    </row>
    <row r="4928" customFormat="false" ht="14.25" hidden="false" customHeight="true" outlineLevel="0" collapsed="false">
      <c r="B4928" s="9" t="s">
        <v>16</v>
      </c>
      <c r="C4928" s="9" t="n">
        <v>1185732</v>
      </c>
      <c r="D4928" s="10" t="n">
        <v>44367</v>
      </c>
      <c r="E4928" s="9" t="s">
        <v>38</v>
      </c>
      <c r="F4928" s="9" t="s">
        <v>59</v>
      </c>
      <c r="G4928" s="9" t="s">
        <v>60</v>
      </c>
      <c r="H4928" s="11" t="s">
        <v>19</v>
      </c>
      <c r="I4928" s="12" t="n">
        <v>36</v>
      </c>
      <c r="J4928" s="13" t="n">
        <v>120</v>
      </c>
      <c r="K4928" s="14" t="n">
        <f aca="false">I4928*J4928</f>
        <v>4320</v>
      </c>
      <c r="L4928" s="14" t="n">
        <f aca="false">($L$2*M4928)/100</f>
        <v>636883.245</v>
      </c>
      <c r="M4928" s="15" t="n">
        <v>0.53</v>
      </c>
      <c r="N4928" s="9" t="s">
        <v>85</v>
      </c>
    </row>
    <row r="4929" customFormat="false" ht="14.25" hidden="false" customHeight="true" outlineLevel="0" collapsed="false">
      <c r="B4929" s="9" t="s">
        <v>16</v>
      </c>
      <c r="C4929" s="9" t="n">
        <v>1185732</v>
      </c>
      <c r="D4929" s="10" t="n">
        <v>44368</v>
      </c>
      <c r="E4929" s="9" t="s">
        <v>38</v>
      </c>
      <c r="F4929" s="9" t="s">
        <v>59</v>
      </c>
      <c r="G4929" s="9" t="s">
        <v>60</v>
      </c>
      <c r="H4929" s="11" t="s">
        <v>21</v>
      </c>
      <c r="I4929" s="12" t="n">
        <v>32</v>
      </c>
      <c r="J4929" s="13" t="n">
        <v>45</v>
      </c>
      <c r="K4929" s="14" t="n">
        <f aca="false">I4929*J4929</f>
        <v>1440</v>
      </c>
      <c r="L4929" s="14" t="n">
        <f aca="false">($L$2*M4929)/100</f>
        <v>600833.25</v>
      </c>
      <c r="M4929" s="15" t="n">
        <v>0.5</v>
      </c>
      <c r="N4929" s="9" t="s">
        <v>85</v>
      </c>
    </row>
    <row r="4930" customFormat="false" ht="14.25" hidden="false" customHeight="true" outlineLevel="0" collapsed="false">
      <c r="B4930" s="9" t="s">
        <v>16</v>
      </c>
      <c r="C4930" s="9" t="n">
        <v>1185732</v>
      </c>
      <c r="D4930" s="10" t="n">
        <v>44369</v>
      </c>
      <c r="E4930" s="9" t="s">
        <v>38</v>
      </c>
      <c r="F4930" s="9" t="s">
        <v>59</v>
      </c>
      <c r="G4930" s="9" t="s">
        <v>60</v>
      </c>
      <c r="H4930" s="11" t="s">
        <v>22</v>
      </c>
      <c r="I4930" s="12" t="n">
        <v>27</v>
      </c>
      <c r="J4930" s="13" t="n">
        <v>46</v>
      </c>
      <c r="K4930" s="14" t="n">
        <f aca="false">I4930*J4930</f>
        <v>1242</v>
      </c>
      <c r="L4930" s="14" t="n">
        <f aca="false">($L$2*M4930)/100</f>
        <v>540749.925</v>
      </c>
      <c r="M4930" s="15" t="n">
        <v>0.45</v>
      </c>
      <c r="N4930" s="9" t="s">
        <v>85</v>
      </c>
    </row>
    <row r="4931" customFormat="false" ht="14.25" hidden="false" customHeight="true" outlineLevel="0" collapsed="false">
      <c r="B4931" s="9" t="s">
        <v>16</v>
      </c>
      <c r="C4931" s="9" t="n">
        <v>1185732</v>
      </c>
      <c r="D4931" s="10" t="n">
        <v>44370</v>
      </c>
      <c r="E4931" s="9" t="s">
        <v>38</v>
      </c>
      <c r="F4931" s="9" t="s">
        <v>59</v>
      </c>
      <c r="G4931" s="9" t="s">
        <v>60</v>
      </c>
      <c r="H4931" s="11" t="s">
        <v>23</v>
      </c>
      <c r="I4931" s="12" t="n">
        <v>27</v>
      </c>
      <c r="J4931" s="13" t="n">
        <v>39</v>
      </c>
      <c r="K4931" s="14" t="n">
        <f aca="false">I4931*J4931</f>
        <v>1053</v>
      </c>
      <c r="L4931" s="14" t="n">
        <f aca="false">($L$2*M4931)/100</f>
        <v>648899.91</v>
      </c>
      <c r="M4931" s="15" t="n">
        <v>0.54</v>
      </c>
      <c r="N4931" s="9" t="s">
        <v>85</v>
      </c>
    </row>
    <row r="4932" customFormat="false" ht="14.25" hidden="false" customHeight="true" outlineLevel="0" collapsed="false">
      <c r="B4932" s="9" t="s">
        <v>16</v>
      </c>
      <c r="C4932" s="9" t="n">
        <v>1185732</v>
      </c>
      <c r="D4932" s="10" t="n">
        <v>44371</v>
      </c>
      <c r="E4932" s="9" t="s">
        <v>38</v>
      </c>
      <c r="F4932" s="9" t="s">
        <v>59</v>
      </c>
      <c r="G4932" s="9" t="s">
        <v>60</v>
      </c>
      <c r="H4932" s="11" t="s">
        <v>24</v>
      </c>
      <c r="I4932" s="12" t="n">
        <v>42</v>
      </c>
      <c r="J4932" s="13" t="n">
        <v>42</v>
      </c>
      <c r="K4932" s="14" t="n">
        <f aca="false">I4932*J4932</f>
        <v>1764</v>
      </c>
      <c r="L4932" s="14" t="n">
        <f aca="false">($L$2*M4932)/100</f>
        <v>600833.25</v>
      </c>
      <c r="M4932" s="15" t="n">
        <v>0.5</v>
      </c>
      <c r="N4932" s="9" t="s">
        <v>85</v>
      </c>
    </row>
    <row r="4933" customFormat="false" ht="14.25" hidden="false" customHeight="true" outlineLevel="0" collapsed="false">
      <c r="B4933" s="9" t="s">
        <v>16</v>
      </c>
      <c r="C4933" s="9" t="n">
        <v>1185732</v>
      </c>
      <c r="D4933" s="10" t="n">
        <v>44372</v>
      </c>
      <c r="E4933" s="9" t="s">
        <v>38</v>
      </c>
      <c r="F4933" s="9" t="s">
        <v>59</v>
      </c>
      <c r="G4933" s="9" t="s">
        <v>60</v>
      </c>
      <c r="H4933" s="11" t="s">
        <v>25</v>
      </c>
      <c r="I4933" s="12" t="n">
        <v>49</v>
      </c>
      <c r="J4933" s="13" t="n">
        <v>85</v>
      </c>
      <c r="K4933" s="14" t="n">
        <f aca="false">I4933*J4933</f>
        <v>4165</v>
      </c>
      <c r="L4933" s="14" t="n">
        <f aca="false">($L$2*M4933)/100</f>
        <v>745033.23</v>
      </c>
      <c r="M4933" s="15" t="n">
        <v>0.62</v>
      </c>
      <c r="N4933" s="9" t="s">
        <v>85</v>
      </c>
    </row>
    <row r="4934" customFormat="false" ht="14.25" hidden="false" customHeight="true" outlineLevel="0" collapsed="false">
      <c r="B4934" s="9" t="s">
        <v>16</v>
      </c>
      <c r="C4934" s="9" t="n">
        <v>1185732</v>
      </c>
      <c r="D4934" s="10" t="n">
        <v>44373</v>
      </c>
      <c r="E4934" s="9" t="s">
        <v>38</v>
      </c>
      <c r="F4934" s="9" t="s">
        <v>59</v>
      </c>
      <c r="G4934" s="9" t="s">
        <v>60</v>
      </c>
      <c r="H4934" s="11" t="s">
        <v>19</v>
      </c>
      <c r="I4934" s="12" t="n">
        <v>43</v>
      </c>
      <c r="J4934" s="13" t="n">
        <v>165</v>
      </c>
      <c r="K4934" s="14" t="n">
        <f aca="false">I4934*J4934</f>
        <v>7095</v>
      </c>
      <c r="L4934" s="14" t="n">
        <f aca="false">($L$2*M4934)/100</f>
        <v>612849.915</v>
      </c>
      <c r="M4934" s="15" t="n">
        <v>0.51</v>
      </c>
      <c r="N4934" s="9" t="s">
        <v>85</v>
      </c>
    </row>
    <row r="4935" customFormat="false" ht="14.25" hidden="false" customHeight="true" outlineLevel="0" collapsed="false">
      <c r="B4935" s="9" t="s">
        <v>16</v>
      </c>
      <c r="C4935" s="9" t="n">
        <v>1185732</v>
      </c>
      <c r="D4935" s="10" t="n">
        <v>44374</v>
      </c>
      <c r="E4935" s="9" t="s">
        <v>38</v>
      </c>
      <c r="F4935" s="9" t="s">
        <v>59</v>
      </c>
      <c r="G4935" s="9" t="s">
        <v>60</v>
      </c>
      <c r="H4935" s="11" t="s">
        <v>21</v>
      </c>
      <c r="I4935" s="12" t="n">
        <v>37</v>
      </c>
      <c r="J4935" s="13" t="n">
        <v>81</v>
      </c>
      <c r="K4935" s="14" t="n">
        <f aca="false">I4935*J4935</f>
        <v>2997</v>
      </c>
      <c r="L4935" s="14" t="n">
        <f aca="false">($L$2*M4935)/100</f>
        <v>540749.925</v>
      </c>
      <c r="M4935" s="15" t="n">
        <v>0.45</v>
      </c>
      <c r="N4935" s="9" t="s">
        <v>85</v>
      </c>
    </row>
    <row r="4936" customFormat="false" ht="14.25" hidden="false" customHeight="true" outlineLevel="0" collapsed="false">
      <c r="B4936" s="9" t="s">
        <v>16</v>
      </c>
      <c r="C4936" s="9" t="n">
        <v>1185732</v>
      </c>
      <c r="D4936" s="10" t="n">
        <v>44375</v>
      </c>
      <c r="E4936" s="9" t="s">
        <v>38</v>
      </c>
      <c r="F4936" s="9" t="s">
        <v>59</v>
      </c>
      <c r="G4936" s="9" t="s">
        <v>60</v>
      </c>
      <c r="H4936" s="11" t="s">
        <v>22</v>
      </c>
      <c r="I4936" s="12" t="n">
        <v>34</v>
      </c>
      <c r="J4936" s="13" t="n">
        <v>63</v>
      </c>
      <c r="K4936" s="14" t="n">
        <f aca="false">I4936*J4936</f>
        <v>2142</v>
      </c>
      <c r="L4936" s="14" t="n">
        <f aca="false">($L$2*M4936)/100</f>
        <v>540749.925</v>
      </c>
      <c r="M4936" s="15" t="n">
        <v>0.45</v>
      </c>
      <c r="N4936" s="9" t="s">
        <v>85</v>
      </c>
    </row>
    <row r="4937" customFormat="false" ht="14.25" hidden="false" customHeight="true" outlineLevel="0" collapsed="false">
      <c r="B4937" s="9" t="s">
        <v>16</v>
      </c>
      <c r="C4937" s="9" t="n">
        <v>1185732</v>
      </c>
      <c r="D4937" s="10" t="n">
        <v>44376</v>
      </c>
      <c r="E4937" s="9" t="s">
        <v>38</v>
      </c>
      <c r="F4937" s="9" t="s">
        <v>59</v>
      </c>
      <c r="G4937" s="9" t="s">
        <v>60</v>
      </c>
      <c r="H4937" s="11" t="s">
        <v>23</v>
      </c>
      <c r="I4937" s="12" t="n">
        <v>33</v>
      </c>
      <c r="J4937" s="13" t="n">
        <v>46</v>
      </c>
      <c r="K4937" s="14" t="n">
        <f aca="false">I4937*J4937</f>
        <v>1518</v>
      </c>
      <c r="L4937" s="14" t="n">
        <f aca="false">($L$2*M4937)/100</f>
        <v>624866.58</v>
      </c>
      <c r="M4937" s="15" t="n">
        <v>0.52</v>
      </c>
      <c r="N4937" s="9" t="s">
        <v>85</v>
      </c>
    </row>
    <row r="4938" customFormat="false" ht="14.25" hidden="false" customHeight="true" outlineLevel="0" collapsed="false">
      <c r="B4938" s="9" t="s">
        <v>16</v>
      </c>
      <c r="C4938" s="9" t="n">
        <v>1185732</v>
      </c>
      <c r="D4938" s="10" t="n">
        <v>44377</v>
      </c>
      <c r="E4938" s="9" t="s">
        <v>38</v>
      </c>
      <c r="F4938" s="9" t="s">
        <v>59</v>
      </c>
      <c r="G4938" s="9" t="s">
        <v>60</v>
      </c>
      <c r="H4938" s="11" t="s">
        <v>24</v>
      </c>
      <c r="I4938" s="12" t="n">
        <v>41</v>
      </c>
      <c r="J4938" s="13" t="n">
        <v>44</v>
      </c>
      <c r="K4938" s="14" t="n">
        <f aca="false">I4938*J4938</f>
        <v>1804</v>
      </c>
      <c r="L4938" s="14" t="n">
        <f aca="false">($L$2*M4938)/100</f>
        <v>588816.585</v>
      </c>
      <c r="M4938" s="15" t="n">
        <v>0.49</v>
      </c>
      <c r="N4938" s="9" t="s">
        <v>85</v>
      </c>
    </row>
    <row r="4939" customFormat="false" ht="14.25" hidden="false" customHeight="true" outlineLevel="0" collapsed="false">
      <c r="B4939" s="9" t="s">
        <v>16</v>
      </c>
      <c r="C4939" s="9" t="n">
        <v>1185732</v>
      </c>
      <c r="D4939" s="10" t="n">
        <v>44378</v>
      </c>
      <c r="E4939" s="9" t="s">
        <v>38</v>
      </c>
      <c r="F4939" s="9" t="s">
        <v>59</v>
      </c>
      <c r="G4939" s="9" t="s">
        <v>60</v>
      </c>
      <c r="H4939" s="11" t="s">
        <v>25</v>
      </c>
      <c r="I4939" s="12" t="n">
        <v>49</v>
      </c>
      <c r="J4939" s="13" t="n">
        <v>91</v>
      </c>
      <c r="K4939" s="14" t="n">
        <f aca="false">I4939*J4939</f>
        <v>4459</v>
      </c>
      <c r="L4939" s="14" t="n">
        <f aca="false">($L$2*M4939)/100</f>
        <v>757049.895</v>
      </c>
      <c r="M4939" s="15" t="n">
        <v>0.63</v>
      </c>
      <c r="N4939" s="9" t="s">
        <v>85</v>
      </c>
    </row>
    <row r="4940" customFormat="false" ht="14.25" hidden="false" customHeight="true" outlineLevel="0" collapsed="false">
      <c r="B4940" s="9" t="s">
        <v>16</v>
      </c>
      <c r="C4940" s="9" t="n">
        <v>1185732</v>
      </c>
      <c r="D4940" s="10" t="n">
        <v>44379</v>
      </c>
      <c r="E4940" s="9" t="s">
        <v>38</v>
      </c>
      <c r="F4940" s="9" t="s">
        <v>59</v>
      </c>
      <c r="G4940" s="9" t="s">
        <v>60</v>
      </c>
      <c r="H4940" s="11" t="s">
        <v>19</v>
      </c>
      <c r="I4940" s="12" t="n">
        <v>41</v>
      </c>
      <c r="J4940" s="13" t="n">
        <v>145</v>
      </c>
      <c r="K4940" s="14" t="n">
        <f aca="false">I4940*J4940</f>
        <v>5945</v>
      </c>
      <c r="L4940" s="14" t="n">
        <f aca="false">($L$2*M4940)/100</f>
        <v>636883.245</v>
      </c>
      <c r="M4940" s="15" t="n">
        <v>0.53</v>
      </c>
      <c r="N4940" s="9" t="s">
        <v>85</v>
      </c>
    </row>
    <row r="4941" customFormat="false" ht="14.25" hidden="false" customHeight="true" outlineLevel="0" collapsed="false">
      <c r="B4941" s="9" t="s">
        <v>16</v>
      </c>
      <c r="C4941" s="9" t="n">
        <v>1185732</v>
      </c>
      <c r="D4941" s="10" t="n">
        <v>44380</v>
      </c>
      <c r="E4941" s="9" t="s">
        <v>38</v>
      </c>
      <c r="F4941" s="9" t="s">
        <v>59</v>
      </c>
      <c r="G4941" s="9" t="s">
        <v>60</v>
      </c>
      <c r="H4941" s="11" t="s">
        <v>21</v>
      </c>
      <c r="I4941" s="12" t="n">
        <v>42</v>
      </c>
      <c r="J4941" s="13" t="n">
        <v>80</v>
      </c>
      <c r="K4941" s="14" t="n">
        <f aca="false">I4941*J4941</f>
        <v>3360</v>
      </c>
      <c r="L4941" s="14" t="n">
        <f aca="false">($L$2*M4941)/100</f>
        <v>588816.585</v>
      </c>
      <c r="M4941" s="15" t="n">
        <v>0.49</v>
      </c>
      <c r="N4941" s="9" t="s">
        <v>85</v>
      </c>
    </row>
    <row r="4942" customFormat="false" ht="14.25" hidden="false" customHeight="true" outlineLevel="0" collapsed="false">
      <c r="B4942" s="9" t="s">
        <v>16</v>
      </c>
      <c r="C4942" s="9" t="n">
        <v>1185732</v>
      </c>
      <c r="D4942" s="10" t="n">
        <v>44381</v>
      </c>
      <c r="E4942" s="9" t="s">
        <v>38</v>
      </c>
      <c r="F4942" s="9" t="s">
        <v>59</v>
      </c>
      <c r="G4942" s="9" t="s">
        <v>60</v>
      </c>
      <c r="H4942" s="11" t="s">
        <v>22</v>
      </c>
      <c r="I4942" s="12" t="n">
        <v>36</v>
      </c>
      <c r="J4942" s="13" t="n">
        <v>52</v>
      </c>
      <c r="K4942" s="14" t="n">
        <f aca="false">I4942*J4942</f>
        <v>1872</v>
      </c>
      <c r="L4942" s="14" t="n">
        <f aca="false">($L$2*M4942)/100</f>
        <v>576799.92</v>
      </c>
      <c r="M4942" s="15" t="n">
        <v>0.48</v>
      </c>
      <c r="N4942" s="9" t="s">
        <v>85</v>
      </c>
    </row>
    <row r="4943" customFormat="false" ht="14.25" hidden="false" customHeight="true" outlineLevel="0" collapsed="false">
      <c r="B4943" s="9" t="s">
        <v>16</v>
      </c>
      <c r="C4943" s="9" t="n">
        <v>1185732</v>
      </c>
      <c r="D4943" s="10" t="n">
        <v>44382</v>
      </c>
      <c r="E4943" s="9" t="s">
        <v>38</v>
      </c>
      <c r="F4943" s="9" t="s">
        <v>59</v>
      </c>
      <c r="G4943" s="9" t="s">
        <v>60</v>
      </c>
      <c r="H4943" s="11" t="s">
        <v>23</v>
      </c>
      <c r="I4943" s="12" t="n">
        <v>29</v>
      </c>
      <c r="J4943" s="13" t="n">
        <v>38</v>
      </c>
      <c r="K4943" s="14" t="n">
        <f aca="false">I4943*J4943</f>
        <v>1102</v>
      </c>
      <c r="L4943" s="14" t="n">
        <f aca="false">($L$2*M4943)/100</f>
        <v>612849.915</v>
      </c>
      <c r="M4943" s="15" t="n">
        <v>0.51</v>
      </c>
      <c r="N4943" s="9" t="s">
        <v>85</v>
      </c>
    </row>
    <row r="4944" customFormat="false" ht="14.25" hidden="false" customHeight="true" outlineLevel="0" collapsed="false">
      <c r="B4944" s="9" t="s">
        <v>16</v>
      </c>
      <c r="C4944" s="9" t="n">
        <v>1185732</v>
      </c>
      <c r="D4944" s="10" t="n">
        <v>44383</v>
      </c>
      <c r="E4944" s="9" t="s">
        <v>38</v>
      </c>
      <c r="F4944" s="9" t="s">
        <v>59</v>
      </c>
      <c r="G4944" s="9" t="s">
        <v>60</v>
      </c>
      <c r="H4944" s="11" t="s">
        <v>24</v>
      </c>
      <c r="I4944" s="12" t="n">
        <v>37</v>
      </c>
      <c r="J4944" s="13" t="n">
        <v>27</v>
      </c>
      <c r="K4944" s="14" t="n">
        <f aca="false">I4944*J4944</f>
        <v>999</v>
      </c>
      <c r="L4944" s="14" t="n">
        <f aca="false">($L$2*M4944)/100</f>
        <v>576799.92</v>
      </c>
      <c r="M4944" s="15" t="n">
        <v>0.48</v>
      </c>
      <c r="N4944" s="9" t="s">
        <v>85</v>
      </c>
    </row>
    <row r="4945" customFormat="false" ht="14.25" hidden="false" customHeight="true" outlineLevel="0" collapsed="false">
      <c r="B4945" s="9" t="s">
        <v>16</v>
      </c>
      <c r="C4945" s="9" t="n">
        <v>1185732</v>
      </c>
      <c r="D4945" s="10" t="n">
        <v>44384</v>
      </c>
      <c r="E4945" s="9" t="s">
        <v>38</v>
      </c>
      <c r="F4945" s="9" t="s">
        <v>59</v>
      </c>
      <c r="G4945" s="9" t="s">
        <v>60</v>
      </c>
      <c r="H4945" s="11" t="s">
        <v>25</v>
      </c>
      <c r="I4945" s="12" t="n">
        <v>44</v>
      </c>
      <c r="J4945" s="13" t="n">
        <v>69</v>
      </c>
      <c r="K4945" s="14" t="n">
        <f aca="false">I4945*J4945</f>
        <v>3036</v>
      </c>
      <c r="L4945" s="14" t="n">
        <f aca="false">($L$2*M4945)/100</f>
        <v>720999.9</v>
      </c>
      <c r="M4945" s="15" t="n">
        <v>0.6</v>
      </c>
      <c r="N4945" s="9" t="s">
        <v>85</v>
      </c>
    </row>
    <row r="4946" customFormat="false" ht="14.25" hidden="false" customHeight="true" outlineLevel="0" collapsed="false">
      <c r="B4946" s="9" t="s">
        <v>16</v>
      </c>
      <c r="C4946" s="9" t="n">
        <v>1185732</v>
      </c>
      <c r="D4946" s="10" t="n">
        <v>44385</v>
      </c>
      <c r="E4946" s="9" t="s">
        <v>38</v>
      </c>
      <c r="F4946" s="9" t="s">
        <v>59</v>
      </c>
      <c r="G4946" s="9" t="s">
        <v>60</v>
      </c>
      <c r="H4946" s="11" t="s">
        <v>19</v>
      </c>
      <c r="I4946" s="12" t="n">
        <v>38</v>
      </c>
      <c r="J4946" s="13" t="n">
        <v>112</v>
      </c>
      <c r="K4946" s="14" t="n">
        <f aca="false">I4946*J4946</f>
        <v>4256</v>
      </c>
      <c r="L4946" s="14" t="n">
        <f aca="false">($L$2*M4946)/100</f>
        <v>648899.91</v>
      </c>
      <c r="M4946" s="15" t="n">
        <v>0.54</v>
      </c>
      <c r="N4946" s="9" t="s">
        <v>85</v>
      </c>
    </row>
    <row r="4947" customFormat="false" ht="14.25" hidden="false" customHeight="true" outlineLevel="0" collapsed="false">
      <c r="B4947" s="9" t="s">
        <v>16</v>
      </c>
      <c r="C4947" s="9" t="n">
        <v>1185732</v>
      </c>
      <c r="D4947" s="10" t="n">
        <v>44386</v>
      </c>
      <c r="E4947" s="9" t="s">
        <v>38</v>
      </c>
      <c r="F4947" s="9" t="s">
        <v>59</v>
      </c>
      <c r="G4947" s="9" t="s">
        <v>60</v>
      </c>
      <c r="H4947" s="11" t="s">
        <v>21</v>
      </c>
      <c r="I4947" s="12" t="n">
        <v>33</v>
      </c>
      <c r="J4947" s="13" t="n">
        <v>56</v>
      </c>
      <c r="K4947" s="14" t="n">
        <f aca="false">I4947*J4947</f>
        <v>1848</v>
      </c>
      <c r="L4947" s="14" t="n">
        <f aca="false">($L$2*M4947)/100</f>
        <v>552766.59</v>
      </c>
      <c r="M4947" s="15" t="n">
        <v>0.46</v>
      </c>
      <c r="N4947" s="9" t="s">
        <v>85</v>
      </c>
    </row>
    <row r="4948" customFormat="false" ht="14.25" hidden="false" customHeight="true" outlineLevel="0" collapsed="false">
      <c r="B4948" s="9" t="s">
        <v>16</v>
      </c>
      <c r="C4948" s="9" t="n">
        <v>1185732</v>
      </c>
      <c r="D4948" s="10" t="n">
        <v>44387</v>
      </c>
      <c r="E4948" s="9" t="s">
        <v>38</v>
      </c>
      <c r="F4948" s="9" t="s">
        <v>59</v>
      </c>
      <c r="G4948" s="9" t="s">
        <v>60</v>
      </c>
      <c r="H4948" s="11" t="s">
        <v>22</v>
      </c>
      <c r="I4948" s="12" t="n">
        <v>18</v>
      </c>
      <c r="J4948" s="13" t="n">
        <v>25</v>
      </c>
      <c r="K4948" s="14" t="n">
        <f aca="false">I4948*J4948</f>
        <v>450</v>
      </c>
      <c r="L4948" s="14" t="n">
        <f aca="false">($L$2*M4948)/100</f>
        <v>576799.92</v>
      </c>
      <c r="M4948" s="15" t="n">
        <v>0.48</v>
      </c>
      <c r="N4948" s="9" t="s">
        <v>85</v>
      </c>
    </row>
    <row r="4949" customFormat="false" ht="14.25" hidden="false" customHeight="true" outlineLevel="0" collapsed="false">
      <c r="B4949" s="9" t="s">
        <v>16</v>
      </c>
      <c r="C4949" s="9" t="n">
        <v>1185732</v>
      </c>
      <c r="D4949" s="10" t="n">
        <v>44388</v>
      </c>
      <c r="E4949" s="9" t="s">
        <v>38</v>
      </c>
      <c r="F4949" s="9" t="s">
        <v>59</v>
      </c>
      <c r="G4949" s="9" t="s">
        <v>60</v>
      </c>
      <c r="H4949" s="11" t="s">
        <v>23</v>
      </c>
      <c r="I4949" s="12" t="n">
        <v>19</v>
      </c>
      <c r="J4949" s="13" t="n">
        <v>23</v>
      </c>
      <c r="K4949" s="14" t="n">
        <f aca="false">I4949*J4949</f>
        <v>437</v>
      </c>
      <c r="L4949" s="14" t="n">
        <f aca="false">($L$2*M4949)/100</f>
        <v>624866.58</v>
      </c>
      <c r="M4949" s="15" t="n">
        <v>0.52</v>
      </c>
      <c r="N4949" s="9" t="s">
        <v>85</v>
      </c>
    </row>
    <row r="4950" customFormat="false" ht="14.25" hidden="false" customHeight="true" outlineLevel="0" collapsed="false">
      <c r="B4950" s="9" t="s">
        <v>16</v>
      </c>
      <c r="C4950" s="9" t="n">
        <v>1185732</v>
      </c>
      <c r="D4950" s="10" t="n">
        <v>44389</v>
      </c>
      <c r="E4950" s="9" t="s">
        <v>38</v>
      </c>
      <c r="F4950" s="9" t="s">
        <v>59</v>
      </c>
      <c r="G4950" s="9" t="s">
        <v>60</v>
      </c>
      <c r="H4950" s="11" t="s">
        <v>24</v>
      </c>
      <c r="I4950" s="12" t="n">
        <v>29</v>
      </c>
      <c r="J4950" s="13" t="n">
        <v>21</v>
      </c>
      <c r="K4950" s="14" t="n">
        <f aca="false">I4950*J4950</f>
        <v>609</v>
      </c>
      <c r="L4950" s="14" t="n">
        <f aca="false">($L$2*M4950)/100</f>
        <v>576799.92</v>
      </c>
      <c r="M4950" s="15" t="n">
        <v>0.48</v>
      </c>
      <c r="N4950" s="9" t="s">
        <v>85</v>
      </c>
    </row>
    <row r="4951" customFormat="false" ht="14.25" hidden="false" customHeight="true" outlineLevel="0" collapsed="false">
      <c r="B4951" s="9" t="s">
        <v>16</v>
      </c>
      <c r="C4951" s="9" t="n">
        <v>1185732</v>
      </c>
      <c r="D4951" s="10" t="n">
        <v>44390</v>
      </c>
      <c r="E4951" s="9" t="s">
        <v>38</v>
      </c>
      <c r="F4951" s="9" t="s">
        <v>59</v>
      </c>
      <c r="G4951" s="9" t="s">
        <v>60</v>
      </c>
      <c r="H4951" s="11" t="s">
        <v>25</v>
      </c>
      <c r="I4951" s="12" t="n">
        <v>34</v>
      </c>
      <c r="J4951" s="13" t="n">
        <v>39</v>
      </c>
      <c r="K4951" s="14" t="n">
        <f aca="false">I4951*J4951</f>
        <v>1326</v>
      </c>
      <c r="L4951" s="14" t="n">
        <f aca="false">($L$2*M4951)/100</f>
        <v>745033.23</v>
      </c>
      <c r="M4951" s="15" t="n">
        <v>0.62</v>
      </c>
      <c r="N4951" s="9" t="s">
        <v>85</v>
      </c>
    </row>
    <row r="4952" customFormat="false" ht="14.25" hidden="false" customHeight="true" outlineLevel="0" collapsed="false">
      <c r="B4952" s="9" t="s">
        <v>16</v>
      </c>
      <c r="C4952" s="9" t="n">
        <v>1185732</v>
      </c>
      <c r="D4952" s="10" t="n">
        <v>44391</v>
      </c>
      <c r="E4952" s="9" t="s">
        <v>38</v>
      </c>
      <c r="F4952" s="9" t="s">
        <v>59</v>
      </c>
      <c r="G4952" s="9" t="s">
        <v>60</v>
      </c>
      <c r="H4952" s="11" t="s">
        <v>19</v>
      </c>
      <c r="I4952" s="12" t="n">
        <v>36</v>
      </c>
      <c r="J4952" s="13" t="n">
        <v>94</v>
      </c>
      <c r="K4952" s="14" t="n">
        <f aca="false">I4952*J4952</f>
        <v>3384</v>
      </c>
      <c r="L4952" s="14" t="n">
        <f aca="false">($L$2*M4952)/100</f>
        <v>648899.91</v>
      </c>
      <c r="M4952" s="15" t="n">
        <v>0.54</v>
      </c>
      <c r="N4952" s="9" t="s">
        <v>85</v>
      </c>
    </row>
    <row r="4953" customFormat="false" ht="14.25" hidden="false" customHeight="true" outlineLevel="0" collapsed="false">
      <c r="B4953" s="9" t="s">
        <v>16</v>
      </c>
      <c r="C4953" s="9" t="n">
        <v>1185732</v>
      </c>
      <c r="D4953" s="10" t="n">
        <v>44392</v>
      </c>
      <c r="E4953" s="9" t="s">
        <v>38</v>
      </c>
      <c r="F4953" s="9" t="s">
        <v>59</v>
      </c>
      <c r="G4953" s="9" t="s">
        <v>60</v>
      </c>
      <c r="H4953" s="11" t="s">
        <v>21</v>
      </c>
      <c r="I4953" s="12" t="n">
        <v>29</v>
      </c>
      <c r="J4953" s="13" t="n">
        <v>41</v>
      </c>
      <c r="K4953" s="14" t="n">
        <f aca="false">I4953*J4953</f>
        <v>1189</v>
      </c>
      <c r="L4953" s="14" t="n">
        <f aca="false">($L$2*M4953)/100</f>
        <v>552766.59</v>
      </c>
      <c r="M4953" s="15" t="n">
        <v>0.46</v>
      </c>
      <c r="N4953" s="9" t="s">
        <v>85</v>
      </c>
    </row>
    <row r="4954" customFormat="false" ht="14.25" hidden="false" customHeight="true" outlineLevel="0" collapsed="false">
      <c r="B4954" s="9" t="s">
        <v>16</v>
      </c>
      <c r="C4954" s="9" t="n">
        <v>1185732</v>
      </c>
      <c r="D4954" s="10" t="n">
        <v>44393</v>
      </c>
      <c r="E4954" s="9" t="s">
        <v>38</v>
      </c>
      <c r="F4954" s="9" t="s">
        <v>59</v>
      </c>
      <c r="G4954" s="9" t="s">
        <v>60</v>
      </c>
      <c r="H4954" s="11" t="s">
        <v>22</v>
      </c>
      <c r="I4954" s="12" t="n">
        <v>29</v>
      </c>
      <c r="J4954" s="13" t="n">
        <v>14</v>
      </c>
      <c r="K4954" s="14" t="n">
        <f aca="false">I4954*J4954</f>
        <v>406</v>
      </c>
      <c r="L4954" s="14" t="n">
        <f aca="false">($L$2*M4954)/100</f>
        <v>600833.25</v>
      </c>
      <c r="M4954" s="15" t="n">
        <v>0.5</v>
      </c>
      <c r="N4954" s="9" t="s">
        <v>85</v>
      </c>
    </row>
    <row r="4955" customFormat="false" ht="14.25" hidden="false" customHeight="true" outlineLevel="0" collapsed="false">
      <c r="B4955" s="9" t="s">
        <v>16</v>
      </c>
      <c r="C4955" s="9" t="n">
        <v>1185732</v>
      </c>
      <c r="D4955" s="10" t="n">
        <v>44394</v>
      </c>
      <c r="E4955" s="9" t="s">
        <v>38</v>
      </c>
      <c r="F4955" s="9" t="s">
        <v>59</v>
      </c>
      <c r="G4955" s="9" t="s">
        <v>60</v>
      </c>
      <c r="H4955" s="11" t="s">
        <v>23</v>
      </c>
      <c r="I4955" s="12" t="n">
        <v>29</v>
      </c>
      <c r="J4955" s="13" t="n">
        <v>7</v>
      </c>
      <c r="K4955" s="14" t="n">
        <f aca="false">I4955*J4955</f>
        <v>203</v>
      </c>
      <c r="L4955" s="14" t="n">
        <f aca="false">($L$2*M4955)/100</f>
        <v>636883.245</v>
      </c>
      <c r="M4955" s="15" t="n">
        <v>0.53</v>
      </c>
      <c r="N4955" s="9" t="s">
        <v>85</v>
      </c>
    </row>
    <row r="4956" customFormat="false" ht="14.25" hidden="false" customHeight="true" outlineLevel="0" collapsed="false">
      <c r="B4956" s="9" t="s">
        <v>16</v>
      </c>
      <c r="C4956" s="9" t="n">
        <v>1185732</v>
      </c>
      <c r="D4956" s="10" t="n">
        <v>44395</v>
      </c>
      <c r="E4956" s="9" t="s">
        <v>38</v>
      </c>
      <c r="F4956" s="9" t="s">
        <v>59</v>
      </c>
      <c r="G4956" s="9" t="s">
        <v>60</v>
      </c>
      <c r="H4956" s="11" t="s">
        <v>24</v>
      </c>
      <c r="I4956" s="12" t="n">
        <v>37</v>
      </c>
      <c r="J4956" s="13" t="n">
        <v>7</v>
      </c>
      <c r="K4956" s="14" t="n">
        <f aca="false">I4956*J4956</f>
        <v>259</v>
      </c>
      <c r="L4956" s="14" t="n">
        <f aca="false">($L$2*M4956)/100</f>
        <v>576799.92</v>
      </c>
      <c r="M4956" s="15" t="n">
        <v>0.48</v>
      </c>
      <c r="N4956" s="9" t="s">
        <v>85</v>
      </c>
    </row>
    <row r="4957" customFormat="false" ht="14.25" hidden="false" customHeight="true" outlineLevel="0" collapsed="false">
      <c r="B4957" s="9" t="s">
        <v>16</v>
      </c>
      <c r="C4957" s="9" t="n">
        <v>1185732</v>
      </c>
      <c r="D4957" s="10" t="n">
        <v>44396</v>
      </c>
      <c r="E4957" s="9" t="s">
        <v>38</v>
      </c>
      <c r="F4957" s="9" t="s">
        <v>59</v>
      </c>
      <c r="G4957" s="9" t="s">
        <v>60</v>
      </c>
      <c r="H4957" s="11" t="s">
        <v>25</v>
      </c>
      <c r="I4957" s="12" t="n">
        <v>44</v>
      </c>
      <c r="J4957" s="13" t="n">
        <v>38</v>
      </c>
      <c r="K4957" s="14" t="n">
        <f aca="false">I4957*J4957</f>
        <v>1672</v>
      </c>
      <c r="L4957" s="14" t="n">
        <f aca="false">($L$2*M4957)/100</f>
        <v>757049.895</v>
      </c>
      <c r="M4957" s="15" t="n">
        <v>0.63</v>
      </c>
      <c r="N4957" s="9" t="s">
        <v>85</v>
      </c>
    </row>
    <row r="4958" customFormat="false" ht="14.25" hidden="false" customHeight="true" outlineLevel="0" collapsed="false">
      <c r="B4958" s="9" t="s">
        <v>16</v>
      </c>
      <c r="C4958" s="9" t="n">
        <v>1185732</v>
      </c>
      <c r="D4958" s="10" t="n">
        <v>44397</v>
      </c>
      <c r="E4958" s="9" t="s">
        <v>38</v>
      </c>
      <c r="F4958" s="9" t="s">
        <v>59</v>
      </c>
      <c r="G4958" s="9" t="s">
        <v>60</v>
      </c>
      <c r="H4958" s="11" t="s">
        <v>19</v>
      </c>
      <c r="I4958" s="12" t="n">
        <v>37</v>
      </c>
      <c r="J4958" s="13" t="n">
        <v>84</v>
      </c>
      <c r="K4958" s="14" t="n">
        <f aca="false">I4958*J4958</f>
        <v>3108</v>
      </c>
      <c r="L4958" s="14" t="n">
        <f aca="false">($L$2*M4958)/100</f>
        <v>648899.91</v>
      </c>
      <c r="M4958" s="15" t="n">
        <v>0.54</v>
      </c>
      <c r="N4958" s="9" t="s">
        <v>85</v>
      </c>
    </row>
    <row r="4959" customFormat="false" ht="14.25" hidden="false" customHeight="true" outlineLevel="0" collapsed="false">
      <c r="B4959" s="9" t="s">
        <v>16</v>
      </c>
      <c r="C4959" s="9" t="n">
        <v>1185732</v>
      </c>
      <c r="D4959" s="10" t="n">
        <v>44398</v>
      </c>
      <c r="E4959" s="9" t="s">
        <v>38</v>
      </c>
      <c r="F4959" s="9" t="s">
        <v>59</v>
      </c>
      <c r="G4959" s="9" t="s">
        <v>60</v>
      </c>
      <c r="H4959" s="11" t="s">
        <v>21</v>
      </c>
      <c r="I4959" s="12" t="n">
        <v>29</v>
      </c>
      <c r="J4959" s="13" t="n">
        <v>41</v>
      </c>
      <c r="K4959" s="14" t="n">
        <f aca="false">I4959*J4959</f>
        <v>1189</v>
      </c>
      <c r="L4959" s="14" t="n">
        <f aca="false">($L$2*M4959)/100</f>
        <v>552766.59</v>
      </c>
      <c r="M4959" s="15" t="n">
        <v>0.46</v>
      </c>
      <c r="N4959" s="9" t="s">
        <v>85</v>
      </c>
    </row>
    <row r="4960" customFormat="false" ht="14.25" hidden="false" customHeight="true" outlineLevel="0" collapsed="false">
      <c r="B4960" s="9" t="s">
        <v>16</v>
      </c>
      <c r="C4960" s="9" t="n">
        <v>1185732</v>
      </c>
      <c r="D4960" s="10" t="n">
        <v>44399</v>
      </c>
      <c r="E4960" s="9" t="s">
        <v>38</v>
      </c>
      <c r="F4960" s="9" t="s">
        <v>59</v>
      </c>
      <c r="G4960" s="9" t="s">
        <v>60</v>
      </c>
      <c r="H4960" s="11" t="s">
        <v>22</v>
      </c>
      <c r="I4960" s="12" t="n">
        <v>29</v>
      </c>
      <c r="J4960" s="13" t="n">
        <v>25</v>
      </c>
      <c r="K4960" s="14" t="n">
        <f aca="false">I4960*J4960</f>
        <v>725</v>
      </c>
      <c r="L4960" s="14" t="n">
        <f aca="false">($L$2*M4960)/100</f>
        <v>564783.255</v>
      </c>
      <c r="M4960" s="15" t="n">
        <v>0.47</v>
      </c>
      <c r="N4960" s="9" t="s">
        <v>85</v>
      </c>
    </row>
    <row r="4961" customFormat="false" ht="14.25" hidden="false" customHeight="true" outlineLevel="0" collapsed="false">
      <c r="B4961" s="9" t="s">
        <v>16</v>
      </c>
      <c r="C4961" s="9" t="n">
        <v>1185732</v>
      </c>
      <c r="D4961" s="10" t="n">
        <v>44400</v>
      </c>
      <c r="E4961" s="9" t="s">
        <v>38</v>
      </c>
      <c r="F4961" s="9" t="s">
        <v>59</v>
      </c>
      <c r="G4961" s="9" t="s">
        <v>60</v>
      </c>
      <c r="H4961" s="11" t="s">
        <v>23</v>
      </c>
      <c r="I4961" s="12" t="n">
        <v>27</v>
      </c>
      <c r="J4961" s="13" t="n">
        <v>36</v>
      </c>
      <c r="K4961" s="14" t="n">
        <f aca="false">I4961*J4961</f>
        <v>972</v>
      </c>
      <c r="L4961" s="14" t="n">
        <f aca="false">($L$2*M4961)/100</f>
        <v>660916.575</v>
      </c>
      <c r="M4961" s="15" t="n">
        <v>0.55</v>
      </c>
      <c r="N4961" s="9" t="s">
        <v>85</v>
      </c>
    </row>
    <row r="4962" customFormat="false" ht="14.25" hidden="false" customHeight="true" outlineLevel="0" collapsed="false">
      <c r="B4962" s="9" t="s">
        <v>16</v>
      </c>
      <c r="C4962" s="9" t="n">
        <v>1185732</v>
      </c>
      <c r="D4962" s="10" t="n">
        <v>44401</v>
      </c>
      <c r="E4962" s="9" t="s">
        <v>38</v>
      </c>
      <c r="F4962" s="9" t="s">
        <v>59</v>
      </c>
      <c r="G4962" s="9" t="s">
        <v>60</v>
      </c>
      <c r="H4962" s="11" t="s">
        <v>24</v>
      </c>
      <c r="I4962" s="12" t="n">
        <v>48</v>
      </c>
      <c r="J4962" s="13" t="n">
        <v>27</v>
      </c>
      <c r="K4962" s="14" t="n">
        <f aca="false">I4962*J4962</f>
        <v>1296</v>
      </c>
      <c r="L4962" s="14" t="n">
        <f aca="false">($L$2*M4962)/100</f>
        <v>540749.925</v>
      </c>
      <c r="M4962" s="15" t="n">
        <v>0.45</v>
      </c>
      <c r="N4962" s="9" t="s">
        <v>85</v>
      </c>
    </row>
    <row r="4963" customFormat="false" ht="14.25" hidden="false" customHeight="true" outlineLevel="0" collapsed="false">
      <c r="B4963" s="9" t="s">
        <v>16</v>
      </c>
      <c r="C4963" s="9" t="n">
        <v>1185732</v>
      </c>
      <c r="D4963" s="10" t="n">
        <v>44402</v>
      </c>
      <c r="E4963" s="9" t="s">
        <v>38</v>
      </c>
      <c r="F4963" s="9" t="s">
        <v>59</v>
      </c>
      <c r="G4963" s="9" t="s">
        <v>60</v>
      </c>
      <c r="H4963" s="11" t="s">
        <v>25</v>
      </c>
      <c r="I4963" s="12" t="n">
        <v>53</v>
      </c>
      <c r="J4963" s="13" t="n">
        <v>58</v>
      </c>
      <c r="K4963" s="14" t="n">
        <f aca="false">I4963*J4963</f>
        <v>3074</v>
      </c>
      <c r="L4963" s="14" t="n">
        <f aca="false">($L$2*M4963)/100</f>
        <v>745033.23</v>
      </c>
      <c r="M4963" s="15" t="n">
        <v>0.62</v>
      </c>
      <c r="N4963" s="9" t="s">
        <v>85</v>
      </c>
    </row>
    <row r="4964" customFormat="false" ht="14.25" hidden="false" customHeight="true" outlineLevel="0" collapsed="false">
      <c r="B4964" s="9" t="s">
        <v>16</v>
      </c>
      <c r="C4964" s="9" t="n">
        <v>1185732</v>
      </c>
      <c r="D4964" s="10" t="n">
        <v>44403</v>
      </c>
      <c r="E4964" s="9" t="s">
        <v>38</v>
      </c>
      <c r="F4964" s="9" t="s">
        <v>59</v>
      </c>
      <c r="G4964" s="9" t="s">
        <v>60</v>
      </c>
      <c r="H4964" s="11" t="s">
        <v>19</v>
      </c>
      <c r="I4964" s="12" t="n">
        <v>49</v>
      </c>
      <c r="J4964" s="13" t="n">
        <v>117</v>
      </c>
      <c r="K4964" s="14" t="n">
        <f aca="false">I4964*J4964</f>
        <v>5733</v>
      </c>
      <c r="L4964" s="14" t="n">
        <f aca="false">($L$2*M4964)/100</f>
        <v>600833.25</v>
      </c>
      <c r="M4964" s="15" t="n">
        <v>0.5</v>
      </c>
      <c r="N4964" s="9" t="s">
        <v>85</v>
      </c>
    </row>
    <row r="4965" customFormat="false" ht="14.25" hidden="false" customHeight="true" outlineLevel="0" collapsed="false">
      <c r="B4965" s="9" t="s">
        <v>16</v>
      </c>
      <c r="C4965" s="9" t="n">
        <v>1185732</v>
      </c>
      <c r="D4965" s="10" t="n">
        <v>44404</v>
      </c>
      <c r="E4965" s="9" t="s">
        <v>38</v>
      </c>
      <c r="F4965" s="9" t="s">
        <v>59</v>
      </c>
      <c r="G4965" s="9" t="s">
        <v>60</v>
      </c>
      <c r="H4965" s="11" t="s">
        <v>21</v>
      </c>
      <c r="I4965" s="12" t="n">
        <v>36</v>
      </c>
      <c r="J4965" s="13" t="n">
        <v>63</v>
      </c>
      <c r="K4965" s="14" t="n">
        <f aca="false">I4965*J4965</f>
        <v>2268</v>
      </c>
      <c r="L4965" s="14" t="n">
        <f aca="false">($L$2*M4965)/100</f>
        <v>600833.25</v>
      </c>
      <c r="M4965" s="15" t="n">
        <v>0.5</v>
      </c>
      <c r="N4965" s="9" t="s">
        <v>85</v>
      </c>
    </row>
    <row r="4966" customFormat="false" ht="14.25" hidden="false" customHeight="true" outlineLevel="0" collapsed="false">
      <c r="B4966" s="9" t="s">
        <v>16</v>
      </c>
      <c r="C4966" s="9" t="n">
        <v>1185732</v>
      </c>
      <c r="D4966" s="10" t="n">
        <v>44405</v>
      </c>
      <c r="E4966" s="9" t="s">
        <v>38</v>
      </c>
      <c r="F4966" s="9" t="s">
        <v>59</v>
      </c>
      <c r="G4966" s="9" t="s">
        <v>60</v>
      </c>
      <c r="H4966" s="11" t="s">
        <v>22</v>
      </c>
      <c r="I4966" s="12" t="n">
        <v>39</v>
      </c>
      <c r="J4966" s="13" t="n">
        <v>60</v>
      </c>
      <c r="K4966" s="14" t="n">
        <f aca="false">I4966*J4966</f>
        <v>2340</v>
      </c>
      <c r="L4966" s="14" t="n">
        <f aca="false">($L$2*M4966)/100</f>
        <v>588816.585</v>
      </c>
      <c r="M4966" s="15" t="n">
        <v>0.49</v>
      </c>
      <c r="N4966" s="9" t="s">
        <v>85</v>
      </c>
    </row>
    <row r="4967" customFormat="false" ht="14.25" hidden="false" customHeight="true" outlineLevel="0" collapsed="false">
      <c r="B4967" s="9" t="s">
        <v>16</v>
      </c>
      <c r="C4967" s="9" t="n">
        <v>1185732</v>
      </c>
      <c r="D4967" s="10" t="n">
        <v>44406</v>
      </c>
      <c r="E4967" s="9" t="s">
        <v>38</v>
      </c>
      <c r="F4967" s="9" t="s">
        <v>59</v>
      </c>
      <c r="G4967" s="9" t="s">
        <v>60</v>
      </c>
      <c r="H4967" s="11" t="s">
        <v>23</v>
      </c>
      <c r="I4967" s="12" t="n">
        <v>38</v>
      </c>
      <c r="J4967" s="13" t="n">
        <v>38</v>
      </c>
      <c r="K4967" s="14" t="n">
        <f aca="false">I4967*J4967</f>
        <v>1444</v>
      </c>
      <c r="L4967" s="14" t="n">
        <f aca="false">($L$2*M4967)/100</f>
        <v>660916.575</v>
      </c>
      <c r="M4967" s="15" t="n">
        <v>0.55</v>
      </c>
      <c r="N4967" s="9" t="s">
        <v>85</v>
      </c>
    </row>
    <row r="4968" customFormat="false" ht="14.25" hidden="false" customHeight="true" outlineLevel="0" collapsed="false">
      <c r="B4968" s="9" t="s">
        <v>16</v>
      </c>
      <c r="C4968" s="9" t="n">
        <v>1185732</v>
      </c>
      <c r="D4968" s="10" t="n">
        <v>44407</v>
      </c>
      <c r="E4968" s="9" t="s">
        <v>38</v>
      </c>
      <c r="F4968" s="9" t="s">
        <v>59</v>
      </c>
      <c r="G4968" s="9" t="s">
        <v>60</v>
      </c>
      <c r="H4968" s="11" t="s">
        <v>24</v>
      </c>
      <c r="I4968" s="12" t="n">
        <v>45</v>
      </c>
      <c r="J4968" s="13" t="n">
        <v>39</v>
      </c>
      <c r="K4968" s="14" t="n">
        <f aca="false">I4968*J4968</f>
        <v>1755</v>
      </c>
      <c r="L4968" s="14" t="n">
        <f aca="false">($L$2*M4968)/100</f>
        <v>576799.92</v>
      </c>
      <c r="M4968" s="15" t="n">
        <v>0.48</v>
      </c>
      <c r="N4968" s="9" t="s">
        <v>85</v>
      </c>
    </row>
    <row r="4969" customFormat="false" ht="14.25" hidden="false" customHeight="true" outlineLevel="0" collapsed="false">
      <c r="B4969" s="9" t="s">
        <v>16</v>
      </c>
      <c r="C4969" s="9" t="n">
        <v>1185732</v>
      </c>
      <c r="D4969" s="10" t="n">
        <v>44408</v>
      </c>
      <c r="E4969" s="9" t="s">
        <v>38</v>
      </c>
      <c r="F4969" s="9" t="s">
        <v>59</v>
      </c>
      <c r="G4969" s="9" t="s">
        <v>60</v>
      </c>
      <c r="H4969" s="11" t="s">
        <v>25</v>
      </c>
      <c r="I4969" s="12" t="n">
        <v>54</v>
      </c>
      <c r="J4969" s="13" t="n">
        <v>65</v>
      </c>
      <c r="K4969" s="14" t="n">
        <f aca="false">I4969*J4969</f>
        <v>3510</v>
      </c>
      <c r="L4969" s="14" t="n">
        <f aca="false">($L$2*M4969)/100</f>
        <v>745033.23</v>
      </c>
      <c r="M4969" s="15" t="n">
        <v>0.62</v>
      </c>
      <c r="N4969" s="9" t="s">
        <v>85</v>
      </c>
    </row>
    <row r="4970" customFormat="false" ht="14.25" hidden="false" customHeight="true" outlineLevel="0" collapsed="false">
      <c r="B4970" s="9" t="s">
        <v>28</v>
      </c>
      <c r="C4970" s="9" t="n">
        <v>1197831</v>
      </c>
      <c r="D4970" s="10" t="n">
        <v>44409</v>
      </c>
      <c r="E4970" s="9" t="s">
        <v>38</v>
      </c>
      <c r="F4970" s="9" t="s">
        <v>59</v>
      </c>
      <c r="G4970" s="9" t="s">
        <v>60</v>
      </c>
      <c r="H4970" s="11" t="s">
        <v>19</v>
      </c>
      <c r="I4970" s="12" t="n">
        <v>19</v>
      </c>
      <c r="J4970" s="13" t="n">
        <v>203</v>
      </c>
      <c r="K4970" s="14" t="n">
        <f aca="false">I4970*J4970</f>
        <v>3857</v>
      </c>
      <c r="L4970" s="14" t="n">
        <f aca="false">($L$2*M4970)/100</f>
        <v>636883.245</v>
      </c>
      <c r="M4970" s="15" t="n">
        <v>0.53</v>
      </c>
      <c r="N4970" s="9" t="s">
        <v>85</v>
      </c>
    </row>
    <row r="4971" customFormat="false" ht="14.25" hidden="false" customHeight="true" outlineLevel="0" collapsed="false">
      <c r="B4971" s="9" t="s">
        <v>28</v>
      </c>
      <c r="C4971" s="9" t="n">
        <v>1197831</v>
      </c>
      <c r="D4971" s="10" t="n">
        <v>44410</v>
      </c>
      <c r="E4971" s="9" t="s">
        <v>38</v>
      </c>
      <c r="F4971" s="9" t="s">
        <v>59</v>
      </c>
      <c r="G4971" s="9" t="s">
        <v>60</v>
      </c>
      <c r="H4971" s="11" t="s">
        <v>21</v>
      </c>
      <c r="I4971" s="12" t="n">
        <v>29</v>
      </c>
      <c r="J4971" s="13" t="n">
        <v>196</v>
      </c>
      <c r="K4971" s="14" t="n">
        <f aca="false">I4971*J4971</f>
        <v>5684</v>
      </c>
      <c r="L4971" s="14" t="n">
        <f aca="false">($L$2*M4971)/100</f>
        <v>648899.91</v>
      </c>
      <c r="M4971" s="15" t="n">
        <v>0.54</v>
      </c>
      <c r="N4971" s="9" t="s">
        <v>85</v>
      </c>
    </row>
    <row r="4972" customFormat="false" ht="14.25" hidden="false" customHeight="true" outlineLevel="0" collapsed="false">
      <c r="B4972" s="9" t="s">
        <v>28</v>
      </c>
      <c r="C4972" s="9" t="n">
        <v>1197831</v>
      </c>
      <c r="D4972" s="10" t="n">
        <v>44411</v>
      </c>
      <c r="E4972" s="9" t="s">
        <v>38</v>
      </c>
      <c r="F4972" s="9" t="s">
        <v>59</v>
      </c>
      <c r="G4972" s="9" t="s">
        <v>60</v>
      </c>
      <c r="H4972" s="11" t="s">
        <v>22</v>
      </c>
      <c r="I4972" s="12" t="n">
        <v>28</v>
      </c>
      <c r="J4972" s="13" t="n">
        <v>138</v>
      </c>
      <c r="K4972" s="14" t="n">
        <f aca="false">I4972*J4972</f>
        <v>3864</v>
      </c>
      <c r="L4972" s="14" t="n">
        <f aca="false">($L$2*M4972)/100</f>
        <v>660916.575</v>
      </c>
      <c r="M4972" s="15" t="n">
        <v>0.55</v>
      </c>
      <c r="N4972" s="9" t="s">
        <v>85</v>
      </c>
    </row>
    <row r="4973" customFormat="false" ht="14.25" hidden="false" customHeight="true" outlineLevel="0" collapsed="false">
      <c r="B4973" s="9" t="s">
        <v>28</v>
      </c>
      <c r="C4973" s="9" t="n">
        <v>1197831</v>
      </c>
      <c r="D4973" s="10" t="n">
        <v>44412</v>
      </c>
      <c r="E4973" s="9" t="s">
        <v>38</v>
      </c>
      <c r="F4973" s="9" t="s">
        <v>59</v>
      </c>
      <c r="G4973" s="9" t="s">
        <v>60</v>
      </c>
      <c r="H4973" s="11" t="s">
        <v>23</v>
      </c>
      <c r="I4973" s="12" t="n">
        <v>33</v>
      </c>
      <c r="J4973" s="13" t="n">
        <v>138</v>
      </c>
      <c r="K4973" s="14" t="n">
        <f aca="false">I4973*J4973</f>
        <v>4554</v>
      </c>
      <c r="L4973" s="14" t="n">
        <f aca="false">($L$2*M4973)/100</f>
        <v>769066.56</v>
      </c>
      <c r="M4973" s="15" t="n">
        <v>0.64</v>
      </c>
      <c r="N4973" s="9" t="s">
        <v>85</v>
      </c>
    </row>
    <row r="4974" customFormat="false" ht="14.25" hidden="false" customHeight="true" outlineLevel="0" collapsed="false">
      <c r="B4974" s="9" t="s">
        <v>28</v>
      </c>
      <c r="C4974" s="9" t="n">
        <v>1197831</v>
      </c>
      <c r="D4974" s="10" t="n">
        <v>44413</v>
      </c>
      <c r="E4974" s="9" t="s">
        <v>29</v>
      </c>
      <c r="F4974" s="9" t="s">
        <v>61</v>
      </c>
      <c r="G4974" s="9" t="s">
        <v>62</v>
      </c>
      <c r="H4974" s="11" t="s">
        <v>24</v>
      </c>
      <c r="I4974" s="12" t="n">
        <v>37</v>
      </c>
      <c r="J4974" s="13" t="n">
        <v>88</v>
      </c>
      <c r="K4974" s="14" t="n">
        <f aca="false">I4974*J4974</f>
        <v>3256</v>
      </c>
      <c r="L4974" s="14" t="n">
        <f aca="false">($L$2*M4974)/100</f>
        <v>576799.92</v>
      </c>
      <c r="M4974" s="15" t="n">
        <v>0.48</v>
      </c>
      <c r="N4974" s="9" t="s">
        <v>85</v>
      </c>
    </row>
    <row r="4975" customFormat="false" ht="14.25" hidden="false" customHeight="true" outlineLevel="0" collapsed="false">
      <c r="B4975" s="9" t="s">
        <v>28</v>
      </c>
      <c r="C4975" s="9" t="n">
        <v>1197831</v>
      </c>
      <c r="D4975" s="10" t="n">
        <v>44414</v>
      </c>
      <c r="E4975" s="9" t="s">
        <v>29</v>
      </c>
      <c r="F4975" s="9" t="s">
        <v>61</v>
      </c>
      <c r="G4975" s="9" t="s">
        <v>62</v>
      </c>
      <c r="H4975" s="11" t="s">
        <v>25</v>
      </c>
      <c r="I4975" s="12" t="n">
        <v>32</v>
      </c>
      <c r="J4975" s="13" t="n">
        <v>138</v>
      </c>
      <c r="K4975" s="14" t="n">
        <f aca="false">I4975*J4975</f>
        <v>4416</v>
      </c>
      <c r="L4975" s="14" t="n">
        <f aca="false">($L$2*M4975)/100</f>
        <v>841166.55</v>
      </c>
      <c r="M4975" s="15" t="n">
        <v>0.7</v>
      </c>
      <c r="N4975" s="9" t="s">
        <v>85</v>
      </c>
    </row>
    <row r="4976" customFormat="false" ht="14.25" hidden="false" customHeight="true" outlineLevel="0" collapsed="false">
      <c r="B4976" s="9" t="s">
        <v>28</v>
      </c>
      <c r="C4976" s="9" t="n">
        <v>1197831</v>
      </c>
      <c r="D4976" s="10" t="n">
        <v>44415</v>
      </c>
      <c r="E4976" s="9" t="s">
        <v>29</v>
      </c>
      <c r="F4976" s="9" t="s">
        <v>61</v>
      </c>
      <c r="G4976" s="9" t="s">
        <v>62</v>
      </c>
      <c r="H4976" s="11" t="s">
        <v>19</v>
      </c>
      <c r="I4976" s="12" t="n">
        <v>24</v>
      </c>
      <c r="J4976" s="13" t="n">
        <v>156</v>
      </c>
      <c r="K4976" s="14" t="n">
        <f aca="false">I4976*J4976</f>
        <v>3744</v>
      </c>
      <c r="L4976" s="14" t="n">
        <f aca="false">($L$2*M4976)/100</f>
        <v>648899.91</v>
      </c>
      <c r="M4976" s="15" t="n">
        <v>0.54</v>
      </c>
      <c r="N4976" s="9" t="s">
        <v>85</v>
      </c>
    </row>
    <row r="4977" customFormat="false" ht="14.25" hidden="false" customHeight="true" outlineLevel="0" collapsed="false">
      <c r="B4977" s="9" t="s">
        <v>28</v>
      </c>
      <c r="C4977" s="9" t="n">
        <v>1197831</v>
      </c>
      <c r="D4977" s="10" t="n">
        <v>44416</v>
      </c>
      <c r="E4977" s="9" t="s">
        <v>29</v>
      </c>
      <c r="F4977" s="9" t="s">
        <v>61</v>
      </c>
      <c r="G4977" s="9" t="s">
        <v>62</v>
      </c>
      <c r="H4977" s="11" t="s">
        <v>21</v>
      </c>
      <c r="I4977" s="12" t="n">
        <v>33</v>
      </c>
      <c r="J4977" s="13" t="n">
        <v>174</v>
      </c>
      <c r="K4977" s="14" t="n">
        <f aca="false">I4977*J4977</f>
        <v>5742</v>
      </c>
      <c r="L4977" s="14" t="n">
        <f aca="false">($L$2*M4977)/100</f>
        <v>648899.91</v>
      </c>
      <c r="M4977" s="15" t="n">
        <v>0.54</v>
      </c>
      <c r="N4977" s="9" t="s">
        <v>85</v>
      </c>
    </row>
    <row r="4978" customFormat="false" ht="14.25" hidden="false" customHeight="true" outlineLevel="0" collapsed="false">
      <c r="B4978" s="9" t="s">
        <v>28</v>
      </c>
      <c r="C4978" s="9" t="n">
        <v>1197831</v>
      </c>
      <c r="D4978" s="10" t="n">
        <v>44417</v>
      </c>
      <c r="E4978" s="9" t="s">
        <v>29</v>
      </c>
      <c r="F4978" s="9" t="s">
        <v>61</v>
      </c>
      <c r="G4978" s="9" t="s">
        <v>62</v>
      </c>
      <c r="H4978" s="11" t="s">
        <v>22</v>
      </c>
      <c r="I4978" s="12" t="n">
        <v>32</v>
      </c>
      <c r="J4978" s="13" t="n">
        <v>128</v>
      </c>
      <c r="K4978" s="14" t="n">
        <f aca="false">I4978*J4978</f>
        <v>4096</v>
      </c>
      <c r="L4978" s="14" t="n">
        <f aca="false">($L$2*M4978)/100</f>
        <v>624866.58</v>
      </c>
      <c r="M4978" s="15" t="n">
        <v>0.52</v>
      </c>
      <c r="N4978" s="9" t="s">
        <v>85</v>
      </c>
    </row>
    <row r="4979" customFormat="false" ht="14.25" hidden="false" customHeight="true" outlineLevel="0" collapsed="false">
      <c r="B4979" s="9" t="s">
        <v>28</v>
      </c>
      <c r="C4979" s="9" t="n">
        <v>1197831</v>
      </c>
      <c r="D4979" s="10" t="n">
        <v>44418</v>
      </c>
      <c r="E4979" s="9" t="s">
        <v>29</v>
      </c>
      <c r="F4979" s="9" t="s">
        <v>61</v>
      </c>
      <c r="G4979" s="9" t="s">
        <v>62</v>
      </c>
      <c r="H4979" s="11" t="s">
        <v>23</v>
      </c>
      <c r="I4979" s="12" t="n">
        <v>32</v>
      </c>
      <c r="J4979" s="13" t="n">
        <v>98</v>
      </c>
      <c r="K4979" s="14" t="n">
        <f aca="false">I4979*J4979</f>
        <v>3136</v>
      </c>
      <c r="L4979" s="14" t="n">
        <f aca="false">($L$2*M4979)/100</f>
        <v>745033.23</v>
      </c>
      <c r="M4979" s="15" t="n">
        <v>0.62</v>
      </c>
      <c r="N4979" s="9" t="s">
        <v>85</v>
      </c>
    </row>
    <row r="4980" customFormat="false" ht="14.25" hidden="false" customHeight="true" outlineLevel="0" collapsed="false">
      <c r="B4980" s="9" t="s">
        <v>28</v>
      </c>
      <c r="C4980" s="9" t="n">
        <v>1197831</v>
      </c>
      <c r="D4980" s="10" t="n">
        <v>44419</v>
      </c>
      <c r="E4980" s="9" t="s">
        <v>29</v>
      </c>
      <c r="F4980" s="9" t="s">
        <v>61</v>
      </c>
      <c r="G4980" s="9" t="s">
        <v>62</v>
      </c>
      <c r="H4980" s="11" t="s">
        <v>24</v>
      </c>
      <c r="I4980" s="12" t="n">
        <v>38</v>
      </c>
      <c r="J4980" s="13" t="n">
        <v>68</v>
      </c>
      <c r="K4980" s="14" t="n">
        <f aca="false">I4980*J4980</f>
        <v>2584</v>
      </c>
      <c r="L4980" s="14" t="n">
        <f aca="false">($L$2*M4980)/100</f>
        <v>576799.92</v>
      </c>
      <c r="M4980" s="15" t="n">
        <v>0.48</v>
      </c>
      <c r="N4980" s="9" t="s">
        <v>85</v>
      </c>
    </row>
    <row r="4981" customFormat="false" ht="14.25" hidden="false" customHeight="true" outlineLevel="0" collapsed="false">
      <c r="B4981" s="9" t="s">
        <v>28</v>
      </c>
      <c r="C4981" s="9" t="n">
        <v>1197831</v>
      </c>
      <c r="D4981" s="10" t="n">
        <v>44420</v>
      </c>
      <c r="E4981" s="9" t="s">
        <v>29</v>
      </c>
      <c r="F4981" s="9" t="s">
        <v>61</v>
      </c>
      <c r="G4981" s="9" t="s">
        <v>62</v>
      </c>
      <c r="H4981" s="11" t="s">
        <v>25</v>
      </c>
      <c r="I4981" s="12" t="n">
        <v>33</v>
      </c>
      <c r="J4981" s="13" t="n">
        <v>126</v>
      </c>
      <c r="K4981" s="14" t="n">
        <f aca="false">I4981*J4981</f>
        <v>4158</v>
      </c>
      <c r="L4981" s="14" t="n">
        <f aca="false">($L$2*M4981)/100</f>
        <v>805116.555</v>
      </c>
      <c r="M4981" s="15" t="n">
        <v>0.67</v>
      </c>
      <c r="N4981" s="9" t="s">
        <v>85</v>
      </c>
    </row>
    <row r="4982" customFormat="false" ht="14.25" hidden="false" customHeight="true" outlineLevel="0" collapsed="false">
      <c r="B4982" s="9" t="s">
        <v>28</v>
      </c>
      <c r="C4982" s="9" t="n">
        <v>1197831</v>
      </c>
      <c r="D4982" s="10" t="n">
        <v>44421</v>
      </c>
      <c r="E4982" s="9" t="s">
        <v>29</v>
      </c>
      <c r="F4982" s="9" t="s">
        <v>61</v>
      </c>
      <c r="G4982" s="9" t="s">
        <v>62</v>
      </c>
      <c r="H4982" s="11" t="s">
        <v>19</v>
      </c>
      <c r="I4982" s="12" t="n">
        <v>28</v>
      </c>
      <c r="J4982" s="13" t="n">
        <v>163</v>
      </c>
      <c r="K4982" s="14" t="n">
        <f aca="false">I4982*J4982</f>
        <v>4564</v>
      </c>
      <c r="L4982" s="14" t="n">
        <f aca="false">($L$2*M4982)/100</f>
        <v>660916.575</v>
      </c>
      <c r="M4982" s="15" t="n">
        <v>0.55</v>
      </c>
      <c r="N4982" s="9" t="s">
        <v>85</v>
      </c>
    </row>
    <row r="4983" customFormat="false" ht="14.25" hidden="false" customHeight="true" outlineLevel="0" collapsed="false">
      <c r="B4983" s="9" t="s">
        <v>28</v>
      </c>
      <c r="C4983" s="9" t="n">
        <v>1197831</v>
      </c>
      <c r="D4983" s="10" t="n">
        <v>44422</v>
      </c>
      <c r="E4983" s="9" t="s">
        <v>29</v>
      </c>
      <c r="F4983" s="9" t="s">
        <v>61</v>
      </c>
      <c r="G4983" s="9" t="s">
        <v>62</v>
      </c>
      <c r="H4983" s="11" t="s">
        <v>21</v>
      </c>
      <c r="I4983" s="12" t="n">
        <v>36</v>
      </c>
      <c r="J4983" s="13" t="n">
        <v>188</v>
      </c>
      <c r="K4983" s="14" t="n">
        <f aca="false">I4983*J4983</f>
        <v>6768</v>
      </c>
      <c r="L4983" s="14" t="n">
        <f aca="false">($L$2*M4983)/100</f>
        <v>660916.575</v>
      </c>
      <c r="M4983" s="15" t="n">
        <v>0.55</v>
      </c>
      <c r="N4983" s="9" t="s">
        <v>85</v>
      </c>
    </row>
    <row r="4984" customFormat="false" ht="14.25" hidden="false" customHeight="true" outlineLevel="0" collapsed="false">
      <c r="B4984" s="9" t="s">
        <v>28</v>
      </c>
      <c r="C4984" s="9" t="n">
        <v>1197831</v>
      </c>
      <c r="D4984" s="10" t="n">
        <v>44423</v>
      </c>
      <c r="E4984" s="9" t="s">
        <v>29</v>
      </c>
      <c r="F4984" s="9" t="s">
        <v>61</v>
      </c>
      <c r="G4984" s="9" t="s">
        <v>62</v>
      </c>
      <c r="H4984" s="11" t="s">
        <v>22</v>
      </c>
      <c r="I4984" s="12" t="n">
        <v>27</v>
      </c>
      <c r="J4984" s="13" t="n">
        <v>117</v>
      </c>
      <c r="K4984" s="14" t="n">
        <f aca="false">I4984*J4984</f>
        <v>3159</v>
      </c>
      <c r="L4984" s="14" t="n">
        <f aca="false">($L$2*M4984)/100</f>
        <v>696966.57</v>
      </c>
      <c r="M4984" s="15" t="n">
        <v>0.58</v>
      </c>
      <c r="N4984" s="9" t="s">
        <v>85</v>
      </c>
    </row>
    <row r="4985" customFormat="false" ht="14.25" hidden="false" customHeight="true" outlineLevel="0" collapsed="false">
      <c r="B4985" s="9" t="s">
        <v>28</v>
      </c>
      <c r="C4985" s="9" t="n">
        <v>1197831</v>
      </c>
      <c r="D4985" s="10" t="n">
        <v>44424</v>
      </c>
      <c r="E4985" s="9" t="s">
        <v>29</v>
      </c>
      <c r="F4985" s="9" t="s">
        <v>61</v>
      </c>
      <c r="G4985" s="9" t="s">
        <v>62</v>
      </c>
      <c r="H4985" s="11" t="s">
        <v>23</v>
      </c>
      <c r="I4985" s="12" t="n">
        <v>33</v>
      </c>
      <c r="J4985" s="13" t="n">
        <v>105</v>
      </c>
      <c r="K4985" s="14" t="n">
        <f aca="false">I4985*J4985</f>
        <v>3465</v>
      </c>
      <c r="L4985" s="14" t="n">
        <f aca="false">($L$2*M4985)/100</f>
        <v>817133.22</v>
      </c>
      <c r="M4985" s="15" t="n">
        <v>0.68</v>
      </c>
      <c r="N4985" s="9" t="s">
        <v>85</v>
      </c>
    </row>
    <row r="4986" customFormat="false" ht="14.25" hidden="false" customHeight="true" outlineLevel="0" collapsed="false">
      <c r="B4986" s="9" t="s">
        <v>28</v>
      </c>
      <c r="C4986" s="9" t="n">
        <v>1197831</v>
      </c>
      <c r="D4986" s="10" t="n">
        <v>44425</v>
      </c>
      <c r="E4986" s="9" t="s">
        <v>29</v>
      </c>
      <c r="F4986" s="9" t="s">
        <v>61</v>
      </c>
      <c r="G4986" s="9" t="s">
        <v>62</v>
      </c>
      <c r="H4986" s="11" t="s">
        <v>24</v>
      </c>
      <c r="I4986" s="12" t="n">
        <v>37</v>
      </c>
      <c r="J4986" s="13" t="n">
        <v>73</v>
      </c>
      <c r="K4986" s="14" t="n">
        <f aca="false">I4986*J4986</f>
        <v>2701</v>
      </c>
      <c r="L4986" s="14" t="n">
        <f aca="false">($L$2*M4986)/100</f>
        <v>600833.25</v>
      </c>
      <c r="M4986" s="15" t="n">
        <v>0.5</v>
      </c>
      <c r="N4986" s="9" t="s">
        <v>85</v>
      </c>
    </row>
    <row r="4987" customFormat="false" ht="14.25" hidden="false" customHeight="true" outlineLevel="0" collapsed="false">
      <c r="B4987" s="9" t="s">
        <v>28</v>
      </c>
      <c r="C4987" s="9" t="n">
        <v>1197831</v>
      </c>
      <c r="D4987" s="10" t="n">
        <v>44426</v>
      </c>
      <c r="E4987" s="9" t="s">
        <v>29</v>
      </c>
      <c r="F4987" s="9" t="s">
        <v>61</v>
      </c>
      <c r="G4987" s="9" t="s">
        <v>62</v>
      </c>
      <c r="H4987" s="11" t="s">
        <v>25</v>
      </c>
      <c r="I4987" s="12" t="n">
        <v>34</v>
      </c>
      <c r="J4987" s="13" t="n">
        <v>104</v>
      </c>
      <c r="K4987" s="14" t="n">
        <f aca="false">I4987*J4987</f>
        <v>3536</v>
      </c>
      <c r="L4987" s="14" t="n">
        <f aca="false">($L$2*M4987)/100</f>
        <v>901249.875</v>
      </c>
      <c r="M4987" s="15" t="n">
        <v>0.75</v>
      </c>
      <c r="N4987" s="9" t="s">
        <v>85</v>
      </c>
    </row>
    <row r="4988" customFormat="false" ht="14.25" hidden="false" customHeight="true" outlineLevel="0" collapsed="false">
      <c r="B4988" s="9" t="s">
        <v>28</v>
      </c>
      <c r="C4988" s="9" t="n">
        <v>1197831</v>
      </c>
      <c r="D4988" s="10" t="n">
        <v>44427</v>
      </c>
      <c r="E4988" s="9" t="s">
        <v>29</v>
      </c>
      <c r="F4988" s="9" t="s">
        <v>61</v>
      </c>
      <c r="G4988" s="9" t="s">
        <v>62</v>
      </c>
      <c r="H4988" s="11" t="s">
        <v>19</v>
      </c>
      <c r="I4988" s="12" t="n">
        <v>19</v>
      </c>
      <c r="J4988" s="13" t="n">
        <v>195</v>
      </c>
      <c r="K4988" s="14" t="n">
        <f aca="false">I4988*J4988</f>
        <v>3705</v>
      </c>
      <c r="L4988" s="14" t="n">
        <f aca="false">($L$2*M4988)/100</f>
        <v>696966.57</v>
      </c>
      <c r="M4988" s="15" t="n">
        <v>0.58</v>
      </c>
      <c r="N4988" s="9" t="s">
        <v>85</v>
      </c>
    </row>
    <row r="4989" customFormat="false" ht="14.25" hidden="false" customHeight="true" outlineLevel="0" collapsed="false">
      <c r="B4989" s="9" t="s">
        <v>28</v>
      </c>
      <c r="C4989" s="9" t="n">
        <v>1197831</v>
      </c>
      <c r="D4989" s="10" t="n">
        <v>44428</v>
      </c>
      <c r="E4989" s="9" t="s">
        <v>29</v>
      </c>
      <c r="F4989" s="9" t="s">
        <v>61</v>
      </c>
      <c r="G4989" s="9" t="s">
        <v>62</v>
      </c>
      <c r="H4989" s="11" t="s">
        <v>21</v>
      </c>
      <c r="I4989" s="12" t="n">
        <v>19</v>
      </c>
      <c r="J4989" s="13" t="n">
        <v>189</v>
      </c>
      <c r="K4989" s="14" t="n">
        <f aca="false">I4989*J4989</f>
        <v>3591</v>
      </c>
      <c r="L4989" s="14" t="n">
        <f aca="false">($L$2*M4989)/100</f>
        <v>696966.57</v>
      </c>
      <c r="M4989" s="15" t="n">
        <v>0.58</v>
      </c>
      <c r="N4989" s="9" t="s">
        <v>85</v>
      </c>
    </row>
    <row r="4990" customFormat="false" ht="14.25" hidden="false" customHeight="true" outlineLevel="0" collapsed="false">
      <c r="B4990" s="9" t="s">
        <v>28</v>
      </c>
      <c r="C4990" s="9" t="n">
        <v>1197831</v>
      </c>
      <c r="D4990" s="10" t="n">
        <v>44429</v>
      </c>
      <c r="E4990" s="9" t="s">
        <v>29</v>
      </c>
      <c r="F4990" s="9" t="s">
        <v>61</v>
      </c>
      <c r="G4990" s="9" t="s">
        <v>62</v>
      </c>
      <c r="H4990" s="11" t="s">
        <v>22</v>
      </c>
      <c r="I4990" s="12" t="n">
        <v>14</v>
      </c>
      <c r="J4990" s="13" t="n">
        <v>119</v>
      </c>
      <c r="K4990" s="14" t="n">
        <f aca="false">I4990*J4990</f>
        <v>1666</v>
      </c>
      <c r="L4990" s="14" t="n">
        <f aca="false">($L$2*M4990)/100</f>
        <v>708983.235</v>
      </c>
      <c r="M4990" s="15" t="n">
        <v>0.59</v>
      </c>
      <c r="N4990" s="9" t="s">
        <v>85</v>
      </c>
    </row>
    <row r="4991" customFormat="false" ht="14.25" hidden="false" customHeight="true" outlineLevel="0" collapsed="false">
      <c r="B4991" s="9" t="s">
        <v>28</v>
      </c>
      <c r="C4991" s="9" t="n">
        <v>1197831</v>
      </c>
      <c r="D4991" s="10" t="n">
        <v>44430</v>
      </c>
      <c r="E4991" s="9" t="s">
        <v>29</v>
      </c>
      <c r="F4991" s="9" t="s">
        <v>61</v>
      </c>
      <c r="G4991" s="9" t="s">
        <v>62</v>
      </c>
      <c r="H4991" s="11" t="s">
        <v>23</v>
      </c>
      <c r="I4991" s="12" t="n">
        <v>18</v>
      </c>
      <c r="J4991" s="13" t="n">
        <v>113</v>
      </c>
      <c r="K4991" s="14" t="n">
        <f aca="false">I4991*J4991</f>
        <v>2034</v>
      </c>
      <c r="L4991" s="14" t="n">
        <f aca="false">($L$2*M4991)/100</f>
        <v>793099.89</v>
      </c>
      <c r="M4991" s="15" t="n">
        <v>0.66</v>
      </c>
      <c r="N4991" s="9" t="s">
        <v>85</v>
      </c>
    </row>
    <row r="4992" customFormat="false" ht="14.25" hidden="false" customHeight="true" outlineLevel="0" collapsed="false">
      <c r="B4992" s="9" t="s">
        <v>28</v>
      </c>
      <c r="C4992" s="9" t="n">
        <v>1197831</v>
      </c>
      <c r="D4992" s="10" t="n">
        <v>44431</v>
      </c>
      <c r="E4992" s="9" t="s">
        <v>29</v>
      </c>
      <c r="F4992" s="9" t="s">
        <v>61</v>
      </c>
      <c r="G4992" s="9" t="s">
        <v>62</v>
      </c>
      <c r="H4992" s="11" t="s">
        <v>24</v>
      </c>
      <c r="I4992" s="12" t="n">
        <v>23</v>
      </c>
      <c r="J4992" s="13" t="n">
        <v>74</v>
      </c>
      <c r="K4992" s="14" t="n">
        <f aca="false">I4992*J4992</f>
        <v>1702</v>
      </c>
      <c r="L4992" s="14" t="n">
        <f aca="false">($L$2*M4992)/100</f>
        <v>636883.245</v>
      </c>
      <c r="M4992" s="15" t="n">
        <v>0.53</v>
      </c>
      <c r="N4992" s="9" t="s">
        <v>85</v>
      </c>
    </row>
    <row r="4993" customFormat="false" ht="14.25" hidden="false" customHeight="true" outlineLevel="0" collapsed="false">
      <c r="B4993" s="9" t="s">
        <v>28</v>
      </c>
      <c r="C4993" s="9" t="n">
        <v>1197831</v>
      </c>
      <c r="D4993" s="10" t="n">
        <v>44432</v>
      </c>
      <c r="E4993" s="9" t="s">
        <v>29</v>
      </c>
      <c r="F4993" s="9" t="s">
        <v>61</v>
      </c>
      <c r="G4993" s="9" t="s">
        <v>62</v>
      </c>
      <c r="H4993" s="11" t="s">
        <v>25</v>
      </c>
      <c r="I4993" s="12" t="n">
        <v>20</v>
      </c>
      <c r="J4993" s="13" t="n">
        <v>149</v>
      </c>
      <c r="K4993" s="14" t="n">
        <f aca="false">I4993*J4993</f>
        <v>2980</v>
      </c>
      <c r="L4993" s="14" t="n">
        <f aca="false">($L$2*M4993)/100</f>
        <v>901249.875</v>
      </c>
      <c r="M4993" s="15" t="n">
        <v>0.75</v>
      </c>
      <c r="N4993" s="9" t="s">
        <v>85</v>
      </c>
    </row>
    <row r="4994" customFormat="false" ht="14.25" hidden="false" customHeight="true" outlineLevel="0" collapsed="false">
      <c r="B4994" s="9" t="s">
        <v>28</v>
      </c>
      <c r="C4994" s="9" t="n">
        <v>1197831</v>
      </c>
      <c r="D4994" s="10" t="n">
        <v>44433</v>
      </c>
      <c r="E4994" s="9" t="s">
        <v>29</v>
      </c>
      <c r="F4994" s="9" t="s">
        <v>61</v>
      </c>
      <c r="G4994" s="9" t="s">
        <v>62</v>
      </c>
      <c r="H4994" s="11" t="s">
        <v>19</v>
      </c>
      <c r="I4994" s="12" t="n">
        <v>9</v>
      </c>
      <c r="J4994" s="13" t="n">
        <v>203</v>
      </c>
      <c r="K4994" s="14" t="n">
        <f aca="false">I4994*J4994</f>
        <v>1827</v>
      </c>
      <c r="L4994" s="14" t="n">
        <f aca="false">($L$2*M4994)/100</f>
        <v>708983.235</v>
      </c>
      <c r="M4994" s="15" t="n">
        <v>0.59</v>
      </c>
      <c r="N4994" s="9" t="s">
        <v>85</v>
      </c>
    </row>
    <row r="4995" customFormat="false" ht="14.25" hidden="false" customHeight="true" outlineLevel="0" collapsed="false">
      <c r="B4995" s="9" t="s">
        <v>28</v>
      </c>
      <c r="C4995" s="9" t="n">
        <v>1197831</v>
      </c>
      <c r="D4995" s="10" t="n">
        <v>44434</v>
      </c>
      <c r="E4995" s="9" t="s">
        <v>29</v>
      </c>
      <c r="F4995" s="9" t="s">
        <v>61</v>
      </c>
      <c r="G4995" s="9" t="s">
        <v>62</v>
      </c>
      <c r="H4995" s="11" t="s">
        <v>21</v>
      </c>
      <c r="I4995" s="12" t="n">
        <v>19</v>
      </c>
      <c r="J4995" s="13" t="n">
        <v>189</v>
      </c>
      <c r="K4995" s="14" t="n">
        <f aca="false">I4995*J4995</f>
        <v>3591</v>
      </c>
      <c r="L4995" s="14" t="n">
        <f aca="false">($L$2*M4995)/100</f>
        <v>708983.235</v>
      </c>
      <c r="M4995" s="15" t="n">
        <v>0.59</v>
      </c>
      <c r="N4995" s="9" t="s">
        <v>85</v>
      </c>
    </row>
    <row r="4996" customFormat="false" ht="14.25" hidden="false" customHeight="true" outlineLevel="0" collapsed="false">
      <c r="B4996" s="9" t="s">
        <v>28</v>
      </c>
      <c r="C4996" s="9" t="n">
        <v>1197831</v>
      </c>
      <c r="D4996" s="10" t="n">
        <v>44435</v>
      </c>
      <c r="E4996" s="9" t="s">
        <v>29</v>
      </c>
      <c r="F4996" s="9" t="s">
        <v>61</v>
      </c>
      <c r="G4996" s="9" t="s">
        <v>62</v>
      </c>
      <c r="H4996" s="11" t="s">
        <v>22</v>
      </c>
      <c r="I4996" s="12" t="n">
        <v>15</v>
      </c>
      <c r="J4996" s="13" t="n">
        <v>173</v>
      </c>
      <c r="K4996" s="14" t="n">
        <f aca="false">I4996*J4996</f>
        <v>2595</v>
      </c>
      <c r="L4996" s="14" t="n">
        <f aca="false">($L$2*M4996)/100</f>
        <v>672933.24</v>
      </c>
      <c r="M4996" s="15" t="n">
        <v>0.56</v>
      </c>
      <c r="N4996" s="9" t="s">
        <v>85</v>
      </c>
    </row>
    <row r="4997" customFormat="false" ht="14.25" hidden="false" customHeight="true" outlineLevel="0" collapsed="false">
      <c r="B4997" s="9" t="s">
        <v>28</v>
      </c>
      <c r="C4997" s="9" t="n">
        <v>1197831</v>
      </c>
      <c r="D4997" s="10" t="n">
        <v>44436</v>
      </c>
      <c r="E4997" s="9" t="s">
        <v>29</v>
      </c>
      <c r="F4997" s="9" t="s">
        <v>61</v>
      </c>
      <c r="G4997" s="9" t="s">
        <v>62</v>
      </c>
      <c r="H4997" s="11" t="s">
        <v>23</v>
      </c>
      <c r="I4997" s="12" t="n">
        <v>34</v>
      </c>
      <c r="J4997" s="13" t="n">
        <v>135</v>
      </c>
      <c r="K4997" s="14" t="n">
        <f aca="false">I4997*J4997</f>
        <v>4590</v>
      </c>
      <c r="L4997" s="14" t="n">
        <f aca="false">($L$2*M4997)/100</f>
        <v>817133.22</v>
      </c>
      <c r="M4997" s="15" t="n">
        <v>0.68</v>
      </c>
      <c r="N4997" s="9" t="s">
        <v>85</v>
      </c>
    </row>
    <row r="4998" customFormat="false" ht="14.25" hidden="false" customHeight="true" outlineLevel="0" collapsed="false">
      <c r="B4998" s="9" t="s">
        <v>28</v>
      </c>
      <c r="C4998" s="9" t="n">
        <v>1197831</v>
      </c>
      <c r="D4998" s="10" t="n">
        <v>44437</v>
      </c>
      <c r="E4998" s="9" t="s">
        <v>29</v>
      </c>
      <c r="F4998" s="9" t="s">
        <v>61</v>
      </c>
      <c r="G4998" s="9" t="s">
        <v>62</v>
      </c>
      <c r="H4998" s="11" t="s">
        <v>24</v>
      </c>
      <c r="I4998" s="12" t="n">
        <v>49</v>
      </c>
      <c r="J4998" s="13" t="n">
        <v>120</v>
      </c>
      <c r="K4998" s="14" t="n">
        <f aca="false">I4998*J4998</f>
        <v>5880</v>
      </c>
      <c r="L4998" s="14" t="n">
        <f aca="false">($L$2*M4998)/100</f>
        <v>648899.91</v>
      </c>
      <c r="M4998" s="15" t="n">
        <v>0.54</v>
      </c>
      <c r="N4998" s="9" t="s">
        <v>85</v>
      </c>
    </row>
    <row r="4999" customFormat="false" ht="14.25" hidden="false" customHeight="true" outlineLevel="0" collapsed="false">
      <c r="B4999" s="9" t="s">
        <v>28</v>
      </c>
      <c r="C4999" s="9" t="n">
        <v>1197831</v>
      </c>
      <c r="D4999" s="10" t="n">
        <v>44438</v>
      </c>
      <c r="E4999" s="9" t="s">
        <v>29</v>
      </c>
      <c r="F4999" s="9" t="s">
        <v>61</v>
      </c>
      <c r="G4999" s="9" t="s">
        <v>62</v>
      </c>
      <c r="H4999" s="11" t="s">
        <v>25</v>
      </c>
      <c r="I4999" s="12" t="n">
        <v>43</v>
      </c>
      <c r="J4999" s="13" t="n">
        <v>203</v>
      </c>
      <c r="K4999" s="14" t="n">
        <f aca="false">I4999*J4999</f>
        <v>8729</v>
      </c>
      <c r="L4999" s="14" t="n">
        <f aca="false">($L$2*M4999)/100</f>
        <v>865199.88</v>
      </c>
      <c r="M4999" s="15" t="n">
        <v>0.72</v>
      </c>
      <c r="N4999" s="9" t="s">
        <v>85</v>
      </c>
    </row>
    <row r="5000" customFormat="false" ht="14.25" hidden="false" customHeight="true" outlineLevel="0" collapsed="false">
      <c r="B5000" s="9" t="s">
        <v>28</v>
      </c>
      <c r="C5000" s="9" t="n">
        <v>1197831</v>
      </c>
      <c r="D5000" s="10" t="n">
        <v>44439</v>
      </c>
      <c r="E5000" s="9" t="s">
        <v>29</v>
      </c>
      <c r="F5000" s="9" t="s">
        <v>61</v>
      </c>
      <c r="G5000" s="9" t="s">
        <v>62</v>
      </c>
      <c r="H5000" s="11" t="s">
        <v>19</v>
      </c>
      <c r="I5000" s="12" t="n">
        <v>43</v>
      </c>
      <c r="J5000" s="13" t="n">
        <v>203</v>
      </c>
      <c r="K5000" s="14" t="n">
        <f aca="false">I5000*J5000</f>
        <v>8729</v>
      </c>
      <c r="L5000" s="14" t="n">
        <f aca="false">($L$2*M5000)/100</f>
        <v>660916.575</v>
      </c>
      <c r="M5000" s="15" t="n">
        <v>0.55</v>
      </c>
      <c r="N5000" s="9" t="s">
        <v>85</v>
      </c>
    </row>
    <row r="5001" customFormat="false" ht="14.25" hidden="false" customHeight="true" outlineLevel="0" collapsed="false">
      <c r="B5001" s="9" t="s">
        <v>28</v>
      </c>
      <c r="C5001" s="9" t="n">
        <v>1197831</v>
      </c>
      <c r="D5001" s="10" t="n">
        <v>44440</v>
      </c>
      <c r="E5001" s="9" t="s">
        <v>29</v>
      </c>
      <c r="F5001" s="9" t="s">
        <v>61</v>
      </c>
      <c r="G5001" s="9" t="s">
        <v>62</v>
      </c>
      <c r="H5001" s="11" t="s">
        <v>21</v>
      </c>
      <c r="I5001" s="12" t="n">
        <v>49</v>
      </c>
      <c r="J5001" s="13" t="n">
        <v>203</v>
      </c>
      <c r="K5001" s="14" t="n">
        <f aca="false">I5001*J5001</f>
        <v>9947</v>
      </c>
      <c r="L5001" s="14" t="n">
        <f aca="false">($L$2*M5001)/100</f>
        <v>672933.24</v>
      </c>
      <c r="M5001" s="15" t="n">
        <v>0.56</v>
      </c>
      <c r="N5001" s="9" t="s">
        <v>85</v>
      </c>
    </row>
    <row r="5002" customFormat="false" ht="14.25" hidden="false" customHeight="true" outlineLevel="0" collapsed="false">
      <c r="B5002" s="9" t="s">
        <v>28</v>
      </c>
      <c r="C5002" s="9" t="n">
        <v>1197831</v>
      </c>
      <c r="D5002" s="10" t="n">
        <v>44441</v>
      </c>
      <c r="E5002" s="9" t="s">
        <v>29</v>
      </c>
      <c r="F5002" s="9" t="s">
        <v>61</v>
      </c>
      <c r="G5002" s="9" t="s">
        <v>62</v>
      </c>
      <c r="H5002" s="11" t="s">
        <v>22</v>
      </c>
      <c r="I5002" s="12" t="n">
        <v>44</v>
      </c>
      <c r="J5002" s="13" t="n">
        <v>189</v>
      </c>
      <c r="K5002" s="14" t="n">
        <f aca="false">I5002*J5002</f>
        <v>8316</v>
      </c>
      <c r="L5002" s="14" t="n">
        <f aca="false">($L$2*M5002)/100</f>
        <v>708983.235</v>
      </c>
      <c r="M5002" s="15" t="n">
        <v>0.59</v>
      </c>
      <c r="N5002" s="9" t="s">
        <v>85</v>
      </c>
    </row>
    <row r="5003" customFormat="false" ht="14.25" hidden="false" customHeight="true" outlineLevel="0" collapsed="false">
      <c r="B5003" s="9" t="s">
        <v>28</v>
      </c>
      <c r="C5003" s="9" t="n">
        <v>1197831</v>
      </c>
      <c r="D5003" s="10" t="n">
        <v>44442</v>
      </c>
      <c r="E5003" s="9" t="s">
        <v>29</v>
      </c>
      <c r="F5003" s="9" t="s">
        <v>61</v>
      </c>
      <c r="G5003" s="9" t="s">
        <v>62</v>
      </c>
      <c r="H5003" s="11" t="s">
        <v>23</v>
      </c>
      <c r="I5003" s="12" t="n">
        <v>41</v>
      </c>
      <c r="J5003" s="13" t="n">
        <v>180</v>
      </c>
      <c r="K5003" s="14" t="n">
        <f aca="false">I5003*J5003</f>
        <v>7380</v>
      </c>
      <c r="L5003" s="14" t="n">
        <f aca="false">($L$2*M5003)/100</f>
        <v>829149.885</v>
      </c>
      <c r="M5003" s="15" t="n">
        <v>0.69</v>
      </c>
      <c r="N5003" s="9" t="s">
        <v>85</v>
      </c>
    </row>
    <row r="5004" customFormat="false" ht="14.25" hidden="false" customHeight="true" outlineLevel="0" collapsed="false">
      <c r="B5004" s="9" t="s">
        <v>28</v>
      </c>
      <c r="C5004" s="9" t="n">
        <v>1197831</v>
      </c>
      <c r="D5004" s="10" t="n">
        <v>44443</v>
      </c>
      <c r="E5004" s="9" t="s">
        <v>29</v>
      </c>
      <c r="F5004" s="9" t="s">
        <v>61</v>
      </c>
      <c r="G5004" s="9" t="s">
        <v>62</v>
      </c>
      <c r="H5004" s="11" t="s">
        <v>24</v>
      </c>
      <c r="I5004" s="12" t="n">
        <v>49</v>
      </c>
      <c r="J5004" s="13" t="n">
        <v>145</v>
      </c>
      <c r="K5004" s="14" t="n">
        <f aca="false">I5004*J5004</f>
        <v>7105</v>
      </c>
      <c r="L5004" s="14" t="n">
        <f aca="false">($L$2*M5004)/100</f>
        <v>660916.575</v>
      </c>
      <c r="M5004" s="15" t="n">
        <v>0.55</v>
      </c>
      <c r="N5004" s="9" t="s">
        <v>85</v>
      </c>
    </row>
    <row r="5005" customFormat="false" ht="14.25" hidden="false" customHeight="true" outlineLevel="0" collapsed="false">
      <c r="B5005" s="9" t="s">
        <v>28</v>
      </c>
      <c r="C5005" s="9" t="n">
        <v>1197831</v>
      </c>
      <c r="D5005" s="10" t="n">
        <v>44444</v>
      </c>
      <c r="E5005" s="9" t="s">
        <v>29</v>
      </c>
      <c r="F5005" s="9" t="s">
        <v>61</v>
      </c>
      <c r="G5005" s="9" t="s">
        <v>62</v>
      </c>
      <c r="H5005" s="11" t="s">
        <v>25</v>
      </c>
      <c r="I5005" s="12" t="n">
        <v>50</v>
      </c>
      <c r="J5005" s="13" t="n">
        <v>245</v>
      </c>
      <c r="K5005" s="14" t="n">
        <f aca="false">I5005*J5005</f>
        <v>12250</v>
      </c>
      <c r="L5005" s="14" t="n">
        <f aca="false">($L$2*M5005)/100</f>
        <v>865199.88</v>
      </c>
      <c r="M5005" s="15" t="n">
        <v>0.72</v>
      </c>
      <c r="N5005" s="9" t="s">
        <v>85</v>
      </c>
    </row>
    <row r="5006" customFormat="false" ht="14.25" hidden="false" customHeight="true" outlineLevel="0" collapsed="false">
      <c r="B5006" s="9" t="s">
        <v>28</v>
      </c>
      <c r="C5006" s="9" t="n">
        <v>1197831</v>
      </c>
      <c r="D5006" s="10" t="n">
        <v>44445</v>
      </c>
      <c r="E5006" s="9" t="s">
        <v>29</v>
      </c>
      <c r="F5006" s="9" t="s">
        <v>61</v>
      </c>
      <c r="G5006" s="9" t="s">
        <v>62</v>
      </c>
      <c r="H5006" s="11" t="s">
        <v>19</v>
      </c>
      <c r="I5006" s="12" t="n">
        <v>44</v>
      </c>
      <c r="J5006" s="13" t="n">
        <v>206</v>
      </c>
      <c r="K5006" s="14" t="n">
        <f aca="false">I5006*J5006</f>
        <v>9064</v>
      </c>
      <c r="L5006" s="14" t="n">
        <f aca="false">($L$2*M5006)/100</f>
        <v>769066.56</v>
      </c>
      <c r="M5006" s="15" t="n">
        <v>0.64</v>
      </c>
      <c r="N5006" s="9" t="s">
        <v>85</v>
      </c>
    </row>
    <row r="5007" customFormat="false" ht="14.25" hidden="false" customHeight="true" outlineLevel="0" collapsed="false">
      <c r="B5007" s="9" t="s">
        <v>28</v>
      </c>
      <c r="C5007" s="9" t="n">
        <v>1197831</v>
      </c>
      <c r="D5007" s="10" t="n">
        <v>44446</v>
      </c>
      <c r="E5007" s="9" t="s">
        <v>29</v>
      </c>
      <c r="F5007" s="9" t="s">
        <v>61</v>
      </c>
      <c r="G5007" s="9" t="s">
        <v>62</v>
      </c>
      <c r="H5007" s="11" t="s">
        <v>21</v>
      </c>
      <c r="I5007" s="12" t="n">
        <v>49</v>
      </c>
      <c r="J5007" s="13" t="n">
        <v>215</v>
      </c>
      <c r="K5007" s="14" t="n">
        <f aca="false">I5007*J5007</f>
        <v>10535</v>
      </c>
      <c r="L5007" s="14" t="n">
        <f aca="false">($L$2*M5007)/100</f>
        <v>769066.56</v>
      </c>
      <c r="M5007" s="15" t="n">
        <v>0.64</v>
      </c>
      <c r="N5007" s="9" t="s">
        <v>85</v>
      </c>
    </row>
    <row r="5008" customFormat="false" ht="14.25" hidden="false" customHeight="true" outlineLevel="0" collapsed="false">
      <c r="B5008" s="9" t="s">
        <v>28</v>
      </c>
      <c r="C5008" s="9" t="n">
        <v>1197831</v>
      </c>
      <c r="D5008" s="10" t="n">
        <v>44447</v>
      </c>
      <c r="E5008" s="9" t="s">
        <v>29</v>
      </c>
      <c r="F5008" s="9" t="s">
        <v>61</v>
      </c>
      <c r="G5008" s="9" t="s">
        <v>62</v>
      </c>
      <c r="H5008" s="11" t="s">
        <v>22</v>
      </c>
      <c r="I5008" s="12" t="n">
        <v>41</v>
      </c>
      <c r="J5008" s="13" t="n">
        <v>254</v>
      </c>
      <c r="K5008" s="14" t="n">
        <f aca="false">I5008*J5008</f>
        <v>10414</v>
      </c>
      <c r="L5008" s="14" t="n">
        <f aca="false">($L$2*M5008)/100</f>
        <v>757049.895</v>
      </c>
      <c r="M5008" s="15" t="n">
        <v>0.63</v>
      </c>
      <c r="N5008" s="9" t="s">
        <v>85</v>
      </c>
    </row>
    <row r="5009" customFormat="false" ht="14.25" hidden="false" customHeight="true" outlineLevel="0" collapsed="false">
      <c r="B5009" s="9" t="s">
        <v>28</v>
      </c>
      <c r="C5009" s="9" t="n">
        <v>1197831</v>
      </c>
      <c r="D5009" s="10" t="n">
        <v>44448</v>
      </c>
      <c r="E5009" s="9" t="s">
        <v>29</v>
      </c>
      <c r="F5009" s="9" t="s">
        <v>61</v>
      </c>
      <c r="G5009" s="9" t="s">
        <v>62</v>
      </c>
      <c r="H5009" s="11" t="s">
        <v>23</v>
      </c>
      <c r="I5009" s="12" t="n">
        <v>44</v>
      </c>
      <c r="J5009" s="13" t="n">
        <v>173</v>
      </c>
      <c r="K5009" s="14" t="n">
        <f aca="false">I5009*J5009</f>
        <v>7612</v>
      </c>
      <c r="L5009" s="14" t="n">
        <f aca="false">($L$2*M5009)/100</f>
        <v>889233.21</v>
      </c>
      <c r="M5009" s="15" t="n">
        <v>0.74</v>
      </c>
      <c r="N5009" s="9" t="s">
        <v>85</v>
      </c>
    </row>
    <row r="5010" customFormat="false" ht="14.25" hidden="false" customHeight="true" outlineLevel="0" collapsed="false">
      <c r="B5010" s="9" t="s">
        <v>28</v>
      </c>
      <c r="C5010" s="9" t="n">
        <v>1197831</v>
      </c>
      <c r="D5010" s="10" t="n">
        <v>44449</v>
      </c>
      <c r="E5010" s="9" t="s">
        <v>29</v>
      </c>
      <c r="F5010" s="9" t="s">
        <v>61</v>
      </c>
      <c r="G5010" s="9" t="s">
        <v>62</v>
      </c>
      <c r="H5010" s="11" t="s">
        <v>24</v>
      </c>
      <c r="I5010" s="12" t="n">
        <v>45</v>
      </c>
      <c r="J5010" s="13" t="n">
        <v>131</v>
      </c>
      <c r="K5010" s="14" t="n">
        <f aca="false">I5010*J5010</f>
        <v>5895</v>
      </c>
      <c r="L5010" s="14" t="n">
        <f aca="false">($L$2*M5010)/100</f>
        <v>696966.57</v>
      </c>
      <c r="M5010" s="15" t="n">
        <v>0.58</v>
      </c>
      <c r="N5010" s="9" t="s">
        <v>85</v>
      </c>
    </row>
    <row r="5011" customFormat="false" ht="14.25" hidden="false" customHeight="true" outlineLevel="0" collapsed="false">
      <c r="B5011" s="9" t="s">
        <v>28</v>
      </c>
      <c r="C5011" s="9" t="n">
        <v>1197831</v>
      </c>
      <c r="D5011" s="10" t="n">
        <v>44450</v>
      </c>
      <c r="E5011" s="9" t="s">
        <v>29</v>
      </c>
      <c r="F5011" s="9" t="s">
        <v>61</v>
      </c>
      <c r="G5011" s="9" t="s">
        <v>62</v>
      </c>
      <c r="H5011" s="11" t="s">
        <v>25</v>
      </c>
      <c r="I5011" s="12" t="n">
        <v>56</v>
      </c>
      <c r="J5011" s="13" t="n">
        <v>240</v>
      </c>
      <c r="K5011" s="14" t="n">
        <f aca="false">I5011*J5011</f>
        <v>13440</v>
      </c>
      <c r="L5011" s="14" t="n">
        <f aca="false">($L$2*M5011)/100</f>
        <v>961333.2</v>
      </c>
      <c r="M5011" s="15" t="n">
        <v>0.8</v>
      </c>
      <c r="N5011" s="9" t="s">
        <v>85</v>
      </c>
    </row>
    <row r="5012" customFormat="false" ht="14.25" hidden="false" customHeight="true" outlineLevel="0" collapsed="false">
      <c r="B5012" s="9" t="s">
        <v>28</v>
      </c>
      <c r="C5012" s="9" t="n">
        <v>1197831</v>
      </c>
      <c r="D5012" s="10" t="n">
        <v>44451</v>
      </c>
      <c r="E5012" s="9" t="s">
        <v>29</v>
      </c>
      <c r="F5012" s="9" t="s">
        <v>61</v>
      </c>
      <c r="G5012" s="9" t="s">
        <v>62</v>
      </c>
      <c r="H5012" s="11" t="s">
        <v>19</v>
      </c>
      <c r="I5012" s="12" t="n">
        <v>38</v>
      </c>
      <c r="J5012" s="13" t="n">
        <v>225</v>
      </c>
      <c r="K5012" s="14" t="n">
        <f aca="false">I5012*J5012</f>
        <v>8550</v>
      </c>
      <c r="L5012" s="14" t="n">
        <f aca="false">($L$2*M5012)/100</f>
        <v>733016.565</v>
      </c>
      <c r="M5012" s="15" t="n">
        <v>0.61</v>
      </c>
      <c r="N5012" s="9" t="s">
        <v>85</v>
      </c>
    </row>
    <row r="5013" customFormat="false" ht="14.25" hidden="false" customHeight="true" outlineLevel="0" collapsed="false">
      <c r="B5013" s="9" t="s">
        <v>28</v>
      </c>
      <c r="C5013" s="9" t="n">
        <v>1197831</v>
      </c>
      <c r="D5013" s="10" t="n">
        <v>44452</v>
      </c>
      <c r="E5013" s="9" t="s">
        <v>29</v>
      </c>
      <c r="F5013" s="9" t="s">
        <v>61</v>
      </c>
      <c r="G5013" s="9" t="s">
        <v>62</v>
      </c>
      <c r="H5013" s="11" t="s">
        <v>21</v>
      </c>
      <c r="I5013" s="12" t="n">
        <v>52</v>
      </c>
      <c r="J5013" s="13" t="n">
        <v>210</v>
      </c>
      <c r="K5013" s="14" t="n">
        <f aca="false">I5013*J5013</f>
        <v>10920</v>
      </c>
      <c r="L5013" s="14" t="n">
        <f aca="false">($L$2*M5013)/100</f>
        <v>781083.225</v>
      </c>
      <c r="M5013" s="15" t="n">
        <v>0.65</v>
      </c>
      <c r="N5013" s="9" t="s">
        <v>85</v>
      </c>
    </row>
    <row r="5014" customFormat="false" ht="14.25" hidden="false" customHeight="true" outlineLevel="0" collapsed="false">
      <c r="B5014" s="9" t="s">
        <v>28</v>
      </c>
      <c r="C5014" s="9" t="n">
        <v>1197831</v>
      </c>
      <c r="D5014" s="10" t="n">
        <v>44453</v>
      </c>
      <c r="E5014" s="9" t="s">
        <v>29</v>
      </c>
      <c r="F5014" s="9" t="s">
        <v>61</v>
      </c>
      <c r="G5014" s="9" t="s">
        <v>62</v>
      </c>
      <c r="H5014" s="11" t="s">
        <v>22</v>
      </c>
      <c r="I5014" s="12" t="n">
        <v>51</v>
      </c>
      <c r="J5014" s="13" t="n">
        <v>268</v>
      </c>
      <c r="K5014" s="14" t="n">
        <f aca="false">I5014*J5014</f>
        <v>13668</v>
      </c>
      <c r="L5014" s="14" t="n">
        <f aca="false">($L$2*M5014)/100</f>
        <v>720999.9</v>
      </c>
      <c r="M5014" s="15" t="n">
        <v>0.6</v>
      </c>
      <c r="N5014" s="9" t="s">
        <v>85</v>
      </c>
    </row>
    <row r="5015" customFormat="false" ht="14.25" hidden="false" customHeight="true" outlineLevel="0" collapsed="false">
      <c r="B5015" s="9" t="s">
        <v>28</v>
      </c>
      <c r="C5015" s="9" t="n">
        <v>1197831</v>
      </c>
      <c r="D5015" s="10" t="n">
        <v>44454</v>
      </c>
      <c r="E5015" s="9" t="s">
        <v>29</v>
      </c>
      <c r="F5015" s="9" t="s">
        <v>61</v>
      </c>
      <c r="G5015" s="9" t="s">
        <v>62</v>
      </c>
      <c r="H5015" s="11" t="s">
        <v>23</v>
      </c>
      <c r="I5015" s="12" t="n">
        <v>46</v>
      </c>
      <c r="J5015" s="13" t="n">
        <v>119</v>
      </c>
      <c r="K5015" s="14" t="n">
        <f aca="false">I5015*J5015</f>
        <v>5474</v>
      </c>
      <c r="L5015" s="14" t="n">
        <f aca="false">($L$2*M5015)/100</f>
        <v>853183.215</v>
      </c>
      <c r="M5015" s="15" t="n">
        <v>0.71</v>
      </c>
      <c r="N5015" s="9" t="s">
        <v>85</v>
      </c>
    </row>
    <row r="5016" customFormat="false" ht="14.25" hidden="false" customHeight="true" outlineLevel="0" collapsed="false">
      <c r="B5016" s="9" t="s">
        <v>28</v>
      </c>
      <c r="C5016" s="9" t="n">
        <v>1197831</v>
      </c>
      <c r="D5016" s="10" t="n">
        <v>44455</v>
      </c>
      <c r="E5016" s="9" t="s">
        <v>29</v>
      </c>
      <c r="F5016" s="9" t="s">
        <v>61</v>
      </c>
      <c r="G5016" s="9" t="s">
        <v>62</v>
      </c>
      <c r="H5016" s="11" t="s">
        <v>24</v>
      </c>
      <c r="I5016" s="12" t="n">
        <v>50</v>
      </c>
      <c r="J5016" s="13" t="n">
        <v>123</v>
      </c>
      <c r="K5016" s="14" t="n">
        <f aca="false">I5016*J5016</f>
        <v>6150</v>
      </c>
      <c r="L5016" s="14" t="n">
        <f aca="false">($L$2*M5016)/100</f>
        <v>708983.235</v>
      </c>
      <c r="M5016" s="15" t="n">
        <v>0.59</v>
      </c>
      <c r="N5016" s="9" t="s">
        <v>85</v>
      </c>
    </row>
    <row r="5017" customFormat="false" ht="14.25" hidden="false" customHeight="true" outlineLevel="0" collapsed="false">
      <c r="B5017" s="9" t="s">
        <v>28</v>
      </c>
      <c r="C5017" s="9" t="n">
        <v>1197831</v>
      </c>
      <c r="D5017" s="10" t="n">
        <v>44456</v>
      </c>
      <c r="E5017" s="9" t="s">
        <v>29</v>
      </c>
      <c r="F5017" s="9" t="s">
        <v>61</v>
      </c>
      <c r="G5017" s="9" t="s">
        <v>62</v>
      </c>
      <c r="H5017" s="11" t="s">
        <v>25</v>
      </c>
      <c r="I5017" s="12" t="n">
        <v>59</v>
      </c>
      <c r="J5017" s="13" t="n">
        <v>182</v>
      </c>
      <c r="K5017" s="14" t="n">
        <f aca="false">I5017*J5017</f>
        <v>10738</v>
      </c>
      <c r="L5017" s="14" t="n">
        <f aca="false">($L$2*M5017)/100</f>
        <v>925283.205</v>
      </c>
      <c r="M5017" s="15" t="n">
        <v>0.77</v>
      </c>
      <c r="N5017" s="9" t="s">
        <v>85</v>
      </c>
    </row>
    <row r="5018" customFormat="false" ht="14.25" hidden="false" customHeight="true" outlineLevel="0" collapsed="false">
      <c r="B5018" s="9" t="s">
        <v>28</v>
      </c>
      <c r="C5018" s="9" t="n">
        <v>1197831</v>
      </c>
      <c r="D5018" s="10" t="n">
        <v>44457</v>
      </c>
      <c r="E5018" s="9" t="s">
        <v>29</v>
      </c>
      <c r="F5018" s="9" t="s">
        <v>61</v>
      </c>
      <c r="G5018" s="9" t="s">
        <v>62</v>
      </c>
      <c r="H5018" s="11" t="s">
        <v>19</v>
      </c>
      <c r="I5018" s="12" t="n">
        <v>51</v>
      </c>
      <c r="J5018" s="13" t="n">
        <v>175</v>
      </c>
      <c r="K5018" s="14" t="n">
        <f aca="false">I5018*J5018</f>
        <v>8925</v>
      </c>
      <c r="L5018" s="14" t="n">
        <f aca="false">($L$2*M5018)/100</f>
        <v>720999.9</v>
      </c>
      <c r="M5018" s="15" t="n">
        <v>0.6</v>
      </c>
      <c r="N5018" s="9" t="s">
        <v>85</v>
      </c>
    </row>
    <row r="5019" customFormat="false" ht="14.25" hidden="false" customHeight="true" outlineLevel="0" collapsed="false">
      <c r="B5019" s="9" t="s">
        <v>28</v>
      </c>
      <c r="C5019" s="9" t="n">
        <v>1197831</v>
      </c>
      <c r="D5019" s="10" t="n">
        <v>44458</v>
      </c>
      <c r="E5019" s="9" t="s">
        <v>29</v>
      </c>
      <c r="F5019" s="9" t="s">
        <v>61</v>
      </c>
      <c r="G5019" s="9" t="s">
        <v>62</v>
      </c>
      <c r="H5019" s="11" t="s">
        <v>21</v>
      </c>
      <c r="I5019" s="12" t="n">
        <v>50</v>
      </c>
      <c r="J5019" s="13" t="n">
        <v>144</v>
      </c>
      <c r="K5019" s="14" t="n">
        <f aca="false">I5019*J5019</f>
        <v>7200</v>
      </c>
      <c r="L5019" s="14" t="n">
        <f aca="false">($L$2*M5019)/100</f>
        <v>757049.895</v>
      </c>
      <c r="M5019" s="15" t="n">
        <v>0.63</v>
      </c>
      <c r="N5019" s="9" t="s">
        <v>85</v>
      </c>
    </row>
    <row r="5020" customFormat="false" ht="14.25" hidden="false" customHeight="true" outlineLevel="0" collapsed="false">
      <c r="B5020" s="9" t="s">
        <v>28</v>
      </c>
      <c r="C5020" s="9" t="n">
        <v>1197831</v>
      </c>
      <c r="D5020" s="10" t="n">
        <v>44459</v>
      </c>
      <c r="E5020" s="9" t="s">
        <v>29</v>
      </c>
      <c r="F5020" s="9" t="s">
        <v>61</v>
      </c>
      <c r="G5020" s="9" t="s">
        <v>62</v>
      </c>
      <c r="H5020" s="11" t="s">
        <v>22</v>
      </c>
      <c r="I5020" s="12" t="n">
        <v>59</v>
      </c>
      <c r="J5020" s="13" t="n">
        <v>188</v>
      </c>
      <c r="K5020" s="14" t="n">
        <f aca="false">I5020*J5020</f>
        <v>11092</v>
      </c>
      <c r="L5020" s="14" t="n">
        <f aca="false">($L$2*M5020)/100</f>
        <v>757049.895</v>
      </c>
      <c r="M5020" s="15" t="n">
        <v>0.63</v>
      </c>
      <c r="N5020" s="9" t="s">
        <v>85</v>
      </c>
    </row>
    <row r="5021" customFormat="false" ht="14.25" hidden="false" customHeight="true" outlineLevel="0" collapsed="false">
      <c r="B5021" s="9" t="s">
        <v>28</v>
      </c>
      <c r="C5021" s="9" t="n">
        <v>1197831</v>
      </c>
      <c r="D5021" s="10" t="n">
        <v>44460</v>
      </c>
      <c r="E5021" s="9" t="s">
        <v>29</v>
      </c>
      <c r="F5021" s="9" t="s">
        <v>61</v>
      </c>
      <c r="G5021" s="9" t="s">
        <v>62</v>
      </c>
      <c r="H5021" s="11" t="s">
        <v>23</v>
      </c>
      <c r="I5021" s="12" t="n">
        <v>58</v>
      </c>
      <c r="J5021" s="13" t="n">
        <v>95</v>
      </c>
      <c r="K5021" s="14" t="n">
        <f aca="false">I5021*J5021</f>
        <v>5510</v>
      </c>
      <c r="L5021" s="14" t="n">
        <f aca="false">($L$2*M5021)/100</f>
        <v>853183.215</v>
      </c>
      <c r="M5021" s="15" t="n">
        <v>0.71</v>
      </c>
      <c r="N5021" s="9" t="s">
        <v>85</v>
      </c>
    </row>
    <row r="5022" customFormat="false" ht="14.25" hidden="false" customHeight="true" outlineLevel="0" collapsed="false">
      <c r="B5022" s="9" t="s">
        <v>28</v>
      </c>
      <c r="C5022" s="9" t="n">
        <v>1197831</v>
      </c>
      <c r="D5022" s="10" t="n">
        <v>44461</v>
      </c>
      <c r="E5022" s="9" t="s">
        <v>29</v>
      </c>
      <c r="F5022" s="9" t="s">
        <v>61</v>
      </c>
      <c r="G5022" s="9" t="s">
        <v>62</v>
      </c>
      <c r="H5022" s="11" t="s">
        <v>24</v>
      </c>
      <c r="I5022" s="12" t="n">
        <v>41</v>
      </c>
      <c r="J5022" s="13" t="n">
        <v>88</v>
      </c>
      <c r="K5022" s="14" t="n">
        <f aca="false">I5022*J5022</f>
        <v>3608</v>
      </c>
      <c r="L5022" s="14" t="n">
        <f aca="false">($L$2*M5022)/100</f>
        <v>684949.905</v>
      </c>
      <c r="M5022" s="15" t="n">
        <v>0.57</v>
      </c>
      <c r="N5022" s="9" t="s">
        <v>85</v>
      </c>
    </row>
    <row r="5023" customFormat="false" ht="14.25" hidden="false" customHeight="true" outlineLevel="0" collapsed="false">
      <c r="B5023" s="9" t="s">
        <v>28</v>
      </c>
      <c r="C5023" s="9" t="n">
        <v>1197831</v>
      </c>
      <c r="D5023" s="10" t="n">
        <v>44462</v>
      </c>
      <c r="E5023" s="9" t="s">
        <v>29</v>
      </c>
      <c r="F5023" s="9" t="s">
        <v>61</v>
      </c>
      <c r="G5023" s="9" t="s">
        <v>62</v>
      </c>
      <c r="H5023" s="11" t="s">
        <v>25</v>
      </c>
      <c r="I5023" s="12" t="n">
        <v>37</v>
      </c>
      <c r="J5023" s="13" t="n">
        <v>150</v>
      </c>
      <c r="K5023" s="14" t="n">
        <f aca="false">I5023*J5023</f>
        <v>5550</v>
      </c>
      <c r="L5023" s="14" t="n">
        <f aca="false">($L$2*M5023)/100</f>
        <v>925283.205</v>
      </c>
      <c r="M5023" s="15" t="n">
        <v>0.77</v>
      </c>
      <c r="N5023" s="9" t="s">
        <v>85</v>
      </c>
    </row>
    <row r="5024" customFormat="false" ht="14.25" hidden="false" customHeight="true" outlineLevel="0" collapsed="false">
      <c r="B5024" s="9" t="s">
        <v>28</v>
      </c>
      <c r="C5024" s="9" t="n">
        <v>1197831</v>
      </c>
      <c r="D5024" s="10" t="n">
        <v>44463</v>
      </c>
      <c r="E5024" s="9" t="s">
        <v>29</v>
      </c>
      <c r="F5024" s="9" t="s">
        <v>61</v>
      </c>
      <c r="G5024" s="9" t="s">
        <v>62</v>
      </c>
      <c r="H5024" s="11" t="s">
        <v>19</v>
      </c>
      <c r="I5024" s="12" t="n">
        <v>29</v>
      </c>
      <c r="J5024" s="13" t="n">
        <v>131</v>
      </c>
      <c r="K5024" s="14" t="n">
        <f aca="false">I5024*J5024</f>
        <v>3799</v>
      </c>
      <c r="L5024" s="14" t="n">
        <f aca="false">($L$2*M5024)/100</f>
        <v>720999.9</v>
      </c>
      <c r="M5024" s="15" t="n">
        <v>0.6</v>
      </c>
      <c r="N5024" s="9" t="s">
        <v>85</v>
      </c>
    </row>
    <row r="5025" customFormat="false" ht="14.25" hidden="false" customHeight="true" outlineLevel="0" collapsed="false">
      <c r="B5025" s="9" t="s">
        <v>28</v>
      </c>
      <c r="C5025" s="9" t="n">
        <v>1197831</v>
      </c>
      <c r="D5025" s="10" t="n">
        <v>44464</v>
      </c>
      <c r="E5025" s="9" t="s">
        <v>29</v>
      </c>
      <c r="F5025" s="9" t="s">
        <v>61</v>
      </c>
      <c r="G5025" s="9" t="s">
        <v>62</v>
      </c>
      <c r="H5025" s="11" t="s">
        <v>21</v>
      </c>
      <c r="I5025" s="12" t="n">
        <v>29</v>
      </c>
      <c r="J5025" s="13" t="n">
        <v>158</v>
      </c>
      <c r="K5025" s="14" t="n">
        <f aca="false">I5025*J5025</f>
        <v>4582</v>
      </c>
      <c r="L5025" s="14" t="n">
        <f aca="false">($L$2*M5025)/100</f>
        <v>757049.895</v>
      </c>
      <c r="M5025" s="15" t="n">
        <v>0.63</v>
      </c>
      <c r="N5025" s="9" t="s">
        <v>85</v>
      </c>
    </row>
    <row r="5026" customFormat="false" ht="14.25" hidden="false" customHeight="true" outlineLevel="0" collapsed="false">
      <c r="B5026" s="9" t="s">
        <v>28</v>
      </c>
      <c r="C5026" s="9" t="n">
        <v>1197831</v>
      </c>
      <c r="D5026" s="10" t="n">
        <v>44465</v>
      </c>
      <c r="E5026" s="9" t="s">
        <v>29</v>
      </c>
      <c r="F5026" s="9" t="s">
        <v>61</v>
      </c>
      <c r="G5026" s="9" t="s">
        <v>62</v>
      </c>
      <c r="H5026" s="11" t="s">
        <v>22</v>
      </c>
      <c r="I5026" s="12" t="n">
        <v>32</v>
      </c>
      <c r="J5026" s="13" t="n">
        <v>124</v>
      </c>
      <c r="K5026" s="14" t="n">
        <f aca="false">I5026*J5026</f>
        <v>3968</v>
      </c>
      <c r="L5026" s="14" t="n">
        <f aca="false">($L$2*M5026)/100</f>
        <v>720999.9</v>
      </c>
      <c r="M5026" s="15" t="n">
        <v>0.6</v>
      </c>
      <c r="N5026" s="9" t="s">
        <v>85</v>
      </c>
    </row>
    <row r="5027" customFormat="false" ht="14.25" hidden="false" customHeight="true" outlineLevel="0" collapsed="false">
      <c r="B5027" s="9" t="s">
        <v>28</v>
      </c>
      <c r="C5027" s="9" t="n">
        <v>1197831</v>
      </c>
      <c r="D5027" s="10" t="n">
        <v>44466</v>
      </c>
      <c r="E5027" s="9" t="s">
        <v>29</v>
      </c>
      <c r="F5027" s="9" t="s">
        <v>61</v>
      </c>
      <c r="G5027" s="9" t="s">
        <v>62</v>
      </c>
      <c r="H5027" s="11" t="s">
        <v>23</v>
      </c>
      <c r="I5027" s="12" t="n">
        <v>32</v>
      </c>
      <c r="J5027" s="13" t="n">
        <v>91</v>
      </c>
      <c r="K5027" s="14" t="n">
        <f aca="false">I5027*J5027</f>
        <v>2912</v>
      </c>
      <c r="L5027" s="14" t="n">
        <f aca="false">($L$2*M5027)/100</f>
        <v>877216.545</v>
      </c>
      <c r="M5027" s="15" t="n">
        <v>0.73</v>
      </c>
      <c r="N5027" s="9" t="s">
        <v>85</v>
      </c>
    </row>
    <row r="5028" customFormat="false" ht="14.25" hidden="false" customHeight="true" outlineLevel="0" collapsed="false">
      <c r="B5028" s="9" t="s">
        <v>28</v>
      </c>
      <c r="C5028" s="9" t="n">
        <v>1197831</v>
      </c>
      <c r="D5028" s="10" t="n">
        <v>44467</v>
      </c>
      <c r="E5028" s="9" t="s">
        <v>29</v>
      </c>
      <c r="F5028" s="9" t="s">
        <v>61</v>
      </c>
      <c r="G5028" s="9" t="s">
        <v>62</v>
      </c>
      <c r="H5028" s="11" t="s">
        <v>24</v>
      </c>
      <c r="I5028" s="12" t="n">
        <v>29</v>
      </c>
      <c r="J5028" s="13" t="n">
        <v>78</v>
      </c>
      <c r="K5028" s="14" t="n">
        <f aca="false">I5028*J5028</f>
        <v>2262</v>
      </c>
      <c r="L5028" s="14" t="n">
        <f aca="false">($L$2*M5028)/100</f>
        <v>720999.9</v>
      </c>
      <c r="M5028" s="15" t="n">
        <v>0.6</v>
      </c>
      <c r="N5028" s="9" t="s">
        <v>85</v>
      </c>
    </row>
    <row r="5029" customFormat="false" ht="14.25" hidden="false" customHeight="true" outlineLevel="0" collapsed="false">
      <c r="B5029" s="9" t="s">
        <v>28</v>
      </c>
      <c r="C5029" s="9" t="n">
        <v>1197831</v>
      </c>
      <c r="D5029" s="10" t="n">
        <v>44468</v>
      </c>
      <c r="E5029" s="9" t="s">
        <v>29</v>
      </c>
      <c r="F5029" s="9" t="s">
        <v>61</v>
      </c>
      <c r="G5029" s="9" t="s">
        <v>62</v>
      </c>
      <c r="H5029" s="11" t="s">
        <v>25</v>
      </c>
      <c r="I5029" s="12" t="n">
        <v>36</v>
      </c>
      <c r="J5029" s="13" t="n">
        <v>143</v>
      </c>
      <c r="K5029" s="14" t="n">
        <f aca="false">I5029*J5029</f>
        <v>5148</v>
      </c>
      <c r="L5029" s="14" t="n">
        <f aca="false">($L$2*M5029)/100</f>
        <v>901249.875</v>
      </c>
      <c r="M5029" s="15" t="n">
        <v>0.75</v>
      </c>
      <c r="N5029" s="9" t="s">
        <v>85</v>
      </c>
    </row>
    <row r="5030" customFormat="false" ht="14.25" hidden="false" customHeight="true" outlineLevel="0" collapsed="false">
      <c r="B5030" s="9" t="s">
        <v>28</v>
      </c>
      <c r="C5030" s="9" t="n">
        <v>1197831</v>
      </c>
      <c r="D5030" s="10" t="n">
        <v>44469</v>
      </c>
      <c r="E5030" s="9" t="s">
        <v>29</v>
      </c>
      <c r="F5030" s="9" t="s">
        <v>61</v>
      </c>
      <c r="G5030" s="9" t="s">
        <v>62</v>
      </c>
      <c r="H5030" s="11" t="s">
        <v>19</v>
      </c>
      <c r="I5030" s="12" t="n">
        <v>18</v>
      </c>
      <c r="J5030" s="13" t="n">
        <v>169</v>
      </c>
      <c r="K5030" s="14" t="n">
        <f aca="false">I5030*J5030</f>
        <v>3042</v>
      </c>
      <c r="L5030" s="14" t="n">
        <f aca="false">($L$2*M5030)/100</f>
        <v>769066.56</v>
      </c>
      <c r="M5030" s="15" t="n">
        <v>0.64</v>
      </c>
      <c r="N5030" s="9" t="s">
        <v>85</v>
      </c>
    </row>
    <row r="5031" customFormat="false" ht="14.25" hidden="false" customHeight="true" outlineLevel="0" collapsed="false">
      <c r="B5031" s="9" t="s">
        <v>28</v>
      </c>
      <c r="C5031" s="9" t="n">
        <v>1197831</v>
      </c>
      <c r="D5031" s="10" t="n">
        <v>44470</v>
      </c>
      <c r="E5031" s="9" t="s">
        <v>29</v>
      </c>
      <c r="F5031" s="9" t="s">
        <v>61</v>
      </c>
      <c r="G5031" s="9" t="s">
        <v>62</v>
      </c>
      <c r="H5031" s="11" t="s">
        <v>21</v>
      </c>
      <c r="I5031" s="12" t="n">
        <v>19</v>
      </c>
      <c r="J5031" s="13" t="n">
        <v>169</v>
      </c>
      <c r="K5031" s="14" t="n">
        <f aca="false">I5031*J5031</f>
        <v>3211</v>
      </c>
      <c r="L5031" s="14" t="n">
        <f aca="false">($L$2*M5031)/100</f>
        <v>733016.565</v>
      </c>
      <c r="M5031" s="15" t="n">
        <v>0.61</v>
      </c>
      <c r="N5031" s="9" t="s">
        <v>85</v>
      </c>
    </row>
    <row r="5032" customFormat="false" ht="14.25" hidden="false" customHeight="true" outlineLevel="0" collapsed="false">
      <c r="B5032" s="9" t="s">
        <v>28</v>
      </c>
      <c r="C5032" s="9" t="n">
        <v>1197831</v>
      </c>
      <c r="D5032" s="10" t="n">
        <v>44471</v>
      </c>
      <c r="E5032" s="9" t="s">
        <v>29</v>
      </c>
      <c r="F5032" s="9" t="s">
        <v>61</v>
      </c>
      <c r="G5032" s="9" t="s">
        <v>62</v>
      </c>
      <c r="H5032" s="11" t="s">
        <v>22</v>
      </c>
      <c r="I5032" s="12" t="n">
        <v>43</v>
      </c>
      <c r="J5032" s="13" t="n">
        <v>144</v>
      </c>
      <c r="K5032" s="14" t="n">
        <f aca="false">I5032*J5032</f>
        <v>6192</v>
      </c>
      <c r="L5032" s="14" t="n">
        <f aca="false">($L$2*M5032)/100</f>
        <v>769066.56</v>
      </c>
      <c r="M5032" s="15" t="n">
        <v>0.64</v>
      </c>
      <c r="N5032" s="9" t="s">
        <v>85</v>
      </c>
    </row>
    <row r="5033" customFormat="false" ht="14.25" hidden="false" customHeight="true" outlineLevel="0" collapsed="false">
      <c r="B5033" s="9" t="s">
        <v>28</v>
      </c>
      <c r="C5033" s="9" t="n">
        <v>1197831</v>
      </c>
      <c r="D5033" s="10" t="n">
        <v>44472</v>
      </c>
      <c r="E5033" s="9" t="s">
        <v>29</v>
      </c>
      <c r="F5033" s="9" t="s">
        <v>61</v>
      </c>
      <c r="G5033" s="9" t="s">
        <v>62</v>
      </c>
      <c r="H5033" s="11" t="s">
        <v>23</v>
      </c>
      <c r="I5033" s="12" t="n">
        <v>44</v>
      </c>
      <c r="J5033" s="13" t="n">
        <v>131</v>
      </c>
      <c r="K5033" s="14" t="n">
        <f aca="false">I5033*J5033</f>
        <v>5764</v>
      </c>
      <c r="L5033" s="14" t="n">
        <f aca="false">($L$2*M5033)/100</f>
        <v>877216.545</v>
      </c>
      <c r="M5033" s="15" t="n">
        <v>0.73</v>
      </c>
      <c r="N5033" s="9" t="s">
        <v>85</v>
      </c>
    </row>
    <row r="5034" customFormat="false" ht="14.25" hidden="false" customHeight="true" outlineLevel="0" collapsed="false">
      <c r="B5034" s="9" t="s">
        <v>28</v>
      </c>
      <c r="C5034" s="9" t="n">
        <v>1197831</v>
      </c>
      <c r="D5034" s="10" t="n">
        <v>44473</v>
      </c>
      <c r="E5034" s="9" t="s">
        <v>29</v>
      </c>
      <c r="F5034" s="9" t="s">
        <v>61</v>
      </c>
      <c r="G5034" s="9" t="s">
        <v>62</v>
      </c>
      <c r="H5034" s="11" t="s">
        <v>24</v>
      </c>
      <c r="I5034" s="12" t="n">
        <v>48</v>
      </c>
      <c r="J5034" s="13" t="n">
        <v>111</v>
      </c>
      <c r="K5034" s="14" t="n">
        <f aca="false">I5034*J5034</f>
        <v>5328</v>
      </c>
      <c r="L5034" s="14" t="n">
        <f aca="false">($L$2*M5034)/100</f>
        <v>708983.235</v>
      </c>
      <c r="M5034" s="15" t="n">
        <v>0.59</v>
      </c>
      <c r="N5034" s="9" t="s">
        <v>85</v>
      </c>
    </row>
    <row r="5035" customFormat="false" ht="14.25" hidden="false" customHeight="true" outlineLevel="0" collapsed="false">
      <c r="B5035" s="9" t="s">
        <v>28</v>
      </c>
      <c r="C5035" s="9" t="n">
        <v>1197831</v>
      </c>
      <c r="D5035" s="10" t="n">
        <v>44474</v>
      </c>
      <c r="E5035" s="9" t="s">
        <v>29</v>
      </c>
      <c r="F5035" s="9" t="s">
        <v>61</v>
      </c>
      <c r="G5035" s="9" t="s">
        <v>62</v>
      </c>
      <c r="H5035" s="11" t="s">
        <v>25</v>
      </c>
      <c r="I5035" s="12" t="n">
        <v>56</v>
      </c>
      <c r="J5035" s="13" t="n">
        <v>188</v>
      </c>
      <c r="K5035" s="14" t="n">
        <f aca="false">I5035*J5035</f>
        <v>10528</v>
      </c>
      <c r="L5035" s="14" t="n">
        <f aca="false">($L$2*M5035)/100</f>
        <v>949316.535</v>
      </c>
      <c r="M5035" s="15" t="n">
        <v>0.79</v>
      </c>
      <c r="N5035" s="9" t="s">
        <v>85</v>
      </c>
    </row>
    <row r="5036" customFormat="false" ht="14.25" hidden="false" customHeight="true" outlineLevel="0" collapsed="false">
      <c r="B5036" s="9" t="s">
        <v>28</v>
      </c>
      <c r="C5036" s="9" t="n">
        <v>1197831</v>
      </c>
      <c r="D5036" s="10" t="n">
        <v>44475</v>
      </c>
      <c r="E5036" s="9" t="s">
        <v>29</v>
      </c>
      <c r="F5036" s="9" t="s">
        <v>61</v>
      </c>
      <c r="G5036" s="9" t="s">
        <v>62</v>
      </c>
      <c r="H5036" s="11" t="s">
        <v>19</v>
      </c>
      <c r="I5036" s="12" t="n">
        <v>56</v>
      </c>
      <c r="J5036" s="13" t="n">
        <v>233</v>
      </c>
      <c r="K5036" s="14" t="n">
        <f aca="false">I5036*J5036</f>
        <v>13048</v>
      </c>
      <c r="L5036" s="14" t="n">
        <f aca="false">($L$2*M5036)/100</f>
        <v>757049.895</v>
      </c>
      <c r="M5036" s="15" t="n">
        <v>0.63</v>
      </c>
      <c r="N5036" s="9" t="s">
        <v>85</v>
      </c>
    </row>
    <row r="5037" customFormat="false" ht="14.25" hidden="false" customHeight="true" outlineLevel="0" collapsed="false">
      <c r="B5037" s="9" t="s">
        <v>28</v>
      </c>
      <c r="C5037" s="9" t="n">
        <v>1197831</v>
      </c>
      <c r="D5037" s="10" t="n">
        <v>44476</v>
      </c>
      <c r="E5037" s="9" t="s">
        <v>29</v>
      </c>
      <c r="F5037" s="9" t="s">
        <v>61</v>
      </c>
      <c r="G5037" s="9" t="s">
        <v>62</v>
      </c>
      <c r="H5037" s="11" t="s">
        <v>21</v>
      </c>
      <c r="I5037" s="12" t="n">
        <v>58</v>
      </c>
      <c r="J5037" s="13" t="n">
        <v>225</v>
      </c>
      <c r="K5037" s="14" t="n">
        <f aca="false">I5037*J5037</f>
        <v>13050</v>
      </c>
      <c r="L5037" s="14" t="n">
        <f aca="false">($L$2*M5037)/100</f>
        <v>769066.56</v>
      </c>
      <c r="M5037" s="15" t="n">
        <v>0.64</v>
      </c>
      <c r="N5037" s="9" t="s">
        <v>85</v>
      </c>
    </row>
    <row r="5038" customFormat="false" ht="14.25" hidden="false" customHeight="true" outlineLevel="0" collapsed="false">
      <c r="B5038" s="9" t="s">
        <v>28</v>
      </c>
      <c r="C5038" s="9" t="n">
        <v>1197831</v>
      </c>
      <c r="D5038" s="10" t="n">
        <v>44477</v>
      </c>
      <c r="E5038" s="9" t="s">
        <v>29</v>
      </c>
      <c r="F5038" s="9" t="s">
        <v>61</v>
      </c>
      <c r="G5038" s="9" t="s">
        <v>62</v>
      </c>
      <c r="H5038" s="11" t="s">
        <v>22</v>
      </c>
      <c r="I5038" s="12" t="n">
        <v>64</v>
      </c>
      <c r="J5038" s="13" t="n">
        <v>175</v>
      </c>
      <c r="K5038" s="14" t="n">
        <f aca="false">I5038*J5038</f>
        <v>11200</v>
      </c>
      <c r="L5038" s="14" t="n">
        <f aca="false">($L$2*M5038)/100</f>
        <v>745033.23</v>
      </c>
      <c r="M5038" s="15" t="n">
        <v>0.62</v>
      </c>
      <c r="N5038" s="9" t="s">
        <v>85</v>
      </c>
    </row>
    <row r="5039" customFormat="false" ht="14.25" hidden="false" customHeight="true" outlineLevel="0" collapsed="false">
      <c r="B5039" s="9" t="s">
        <v>28</v>
      </c>
      <c r="C5039" s="9" t="n">
        <v>1197831</v>
      </c>
      <c r="D5039" s="10" t="n">
        <v>44478</v>
      </c>
      <c r="E5039" s="9" t="s">
        <v>29</v>
      </c>
      <c r="F5039" s="9" t="s">
        <v>61</v>
      </c>
      <c r="G5039" s="9" t="s">
        <v>62</v>
      </c>
      <c r="H5039" s="11" t="s">
        <v>23</v>
      </c>
      <c r="I5039" s="12" t="n">
        <v>63</v>
      </c>
      <c r="J5039" s="13" t="n">
        <v>143</v>
      </c>
      <c r="K5039" s="14" t="n">
        <f aca="false">I5039*J5039</f>
        <v>9009</v>
      </c>
      <c r="L5039" s="14" t="n">
        <f aca="false">($L$2*M5039)/100</f>
        <v>901249.875</v>
      </c>
      <c r="M5039" s="15" t="n">
        <v>0.75</v>
      </c>
      <c r="N5039" s="9" t="s">
        <v>85</v>
      </c>
    </row>
    <row r="5040" customFormat="false" ht="14.25" hidden="false" customHeight="true" outlineLevel="0" collapsed="false">
      <c r="B5040" s="9" t="s">
        <v>28</v>
      </c>
      <c r="C5040" s="9" t="n">
        <v>1197831</v>
      </c>
      <c r="D5040" s="10" t="n">
        <v>44479</v>
      </c>
      <c r="E5040" s="9" t="s">
        <v>29</v>
      </c>
      <c r="F5040" s="9" t="s">
        <v>61</v>
      </c>
      <c r="G5040" s="9" t="s">
        <v>62</v>
      </c>
      <c r="H5040" s="11" t="s">
        <v>24</v>
      </c>
      <c r="I5040" s="12" t="n">
        <v>58</v>
      </c>
      <c r="J5040" s="13" t="n">
        <v>145</v>
      </c>
      <c r="K5040" s="14" t="n">
        <f aca="false">I5040*J5040</f>
        <v>8410</v>
      </c>
      <c r="L5040" s="14" t="n">
        <f aca="false">($L$2*M5040)/100</f>
        <v>672933.24</v>
      </c>
      <c r="M5040" s="15" t="n">
        <v>0.56</v>
      </c>
      <c r="N5040" s="9" t="s">
        <v>85</v>
      </c>
    </row>
    <row r="5041" customFormat="false" ht="14.25" hidden="false" customHeight="true" outlineLevel="0" collapsed="false">
      <c r="B5041" s="9" t="s">
        <v>28</v>
      </c>
      <c r="C5041" s="9" t="n">
        <v>1197831</v>
      </c>
      <c r="D5041" s="10" t="n">
        <v>44480</v>
      </c>
      <c r="E5041" s="9" t="s">
        <v>29</v>
      </c>
      <c r="F5041" s="9" t="s">
        <v>61</v>
      </c>
      <c r="G5041" s="9" t="s">
        <v>62</v>
      </c>
      <c r="H5041" s="11" t="s">
        <v>25</v>
      </c>
      <c r="I5041" s="12" t="n">
        <v>68</v>
      </c>
      <c r="J5041" s="13" t="n">
        <v>203</v>
      </c>
      <c r="K5041" s="14" t="n">
        <f aca="false">I5041*J5041</f>
        <v>13804</v>
      </c>
      <c r="L5041" s="14" t="n">
        <f aca="false">($L$2*M5041)/100</f>
        <v>961333.2</v>
      </c>
      <c r="M5041" s="15" t="n">
        <v>0.8</v>
      </c>
      <c r="N5041" s="9" t="s">
        <v>85</v>
      </c>
    </row>
    <row r="5042" customFormat="false" ht="14.25" hidden="false" customHeight="true" outlineLevel="0" collapsed="false">
      <c r="B5042" s="9" t="s">
        <v>63</v>
      </c>
      <c r="C5042" s="9" t="n">
        <v>1185732</v>
      </c>
      <c r="D5042" s="10" t="n">
        <v>44481</v>
      </c>
      <c r="E5042" s="9" t="s">
        <v>29</v>
      </c>
      <c r="F5042" s="9" t="s">
        <v>61</v>
      </c>
      <c r="G5042" s="9" t="s">
        <v>62</v>
      </c>
      <c r="H5042" s="11" t="s">
        <v>19</v>
      </c>
      <c r="I5042" s="12" t="n">
        <v>38</v>
      </c>
      <c r="J5042" s="13" t="n">
        <v>117</v>
      </c>
      <c r="K5042" s="14" t="n">
        <f aca="false">I5042*J5042</f>
        <v>4446</v>
      </c>
      <c r="L5042" s="14" t="n">
        <f aca="false">($L$2*M5042)/100</f>
        <v>600833.25</v>
      </c>
      <c r="M5042" s="15" t="n">
        <v>0.5</v>
      </c>
      <c r="N5042" s="9" t="s">
        <v>85</v>
      </c>
    </row>
    <row r="5043" customFormat="false" ht="14.25" hidden="false" customHeight="true" outlineLevel="0" collapsed="false">
      <c r="B5043" s="9" t="s">
        <v>63</v>
      </c>
      <c r="C5043" s="9" t="n">
        <v>1185732</v>
      </c>
      <c r="D5043" s="10" t="n">
        <v>44482</v>
      </c>
      <c r="E5043" s="9" t="s">
        <v>29</v>
      </c>
      <c r="F5043" s="9" t="s">
        <v>61</v>
      </c>
      <c r="G5043" s="9" t="s">
        <v>62</v>
      </c>
      <c r="H5043" s="11" t="s">
        <v>21</v>
      </c>
      <c r="I5043" s="12" t="n">
        <v>38</v>
      </c>
      <c r="J5043" s="13" t="n">
        <v>75</v>
      </c>
      <c r="K5043" s="14" t="n">
        <f aca="false">I5043*J5043</f>
        <v>2850</v>
      </c>
      <c r="L5043" s="14" t="n">
        <f aca="false">($L$2*M5043)/100</f>
        <v>552766.59</v>
      </c>
      <c r="M5043" s="15" t="n">
        <v>0.46</v>
      </c>
      <c r="N5043" s="9" t="s">
        <v>85</v>
      </c>
    </row>
    <row r="5044" customFormat="false" ht="14.25" hidden="false" customHeight="true" outlineLevel="0" collapsed="false">
      <c r="B5044" s="9" t="s">
        <v>63</v>
      </c>
      <c r="C5044" s="9" t="n">
        <v>1185732</v>
      </c>
      <c r="D5044" s="10" t="n">
        <v>44483</v>
      </c>
      <c r="E5044" s="9" t="s">
        <v>29</v>
      </c>
      <c r="F5044" s="9" t="s">
        <v>61</v>
      </c>
      <c r="G5044" s="9" t="s">
        <v>62</v>
      </c>
      <c r="H5044" s="11" t="s">
        <v>22</v>
      </c>
      <c r="I5044" s="12" t="n">
        <v>28</v>
      </c>
      <c r="J5044" s="13" t="n">
        <v>63</v>
      </c>
      <c r="K5044" s="14" t="n">
        <f aca="false">I5044*J5044</f>
        <v>1764</v>
      </c>
      <c r="L5044" s="14" t="n">
        <f aca="false">($L$2*M5044)/100</f>
        <v>624866.58</v>
      </c>
      <c r="M5044" s="15" t="n">
        <v>0.52</v>
      </c>
      <c r="N5044" s="9" t="s">
        <v>85</v>
      </c>
    </row>
    <row r="5045" customFormat="false" ht="14.25" hidden="false" customHeight="true" outlineLevel="0" collapsed="false">
      <c r="B5045" s="9" t="s">
        <v>63</v>
      </c>
      <c r="C5045" s="9" t="n">
        <v>1185732</v>
      </c>
      <c r="D5045" s="10" t="n">
        <v>44484</v>
      </c>
      <c r="E5045" s="9" t="s">
        <v>29</v>
      </c>
      <c r="F5045" s="9" t="s">
        <v>61</v>
      </c>
      <c r="G5045" s="9" t="s">
        <v>62</v>
      </c>
      <c r="H5045" s="11" t="s">
        <v>23</v>
      </c>
      <c r="I5045" s="12" t="n">
        <v>34</v>
      </c>
      <c r="J5045" s="13" t="n">
        <v>28</v>
      </c>
      <c r="K5045" s="14" t="n">
        <f aca="false">I5045*J5045</f>
        <v>952</v>
      </c>
      <c r="L5045" s="14" t="n">
        <f aca="false">($L$2*M5045)/100</f>
        <v>492683.265</v>
      </c>
      <c r="M5045" s="15" t="n">
        <v>0.41</v>
      </c>
      <c r="N5045" s="9" t="s">
        <v>85</v>
      </c>
    </row>
    <row r="5046" customFormat="false" ht="14.25" hidden="false" customHeight="true" outlineLevel="0" collapsed="false">
      <c r="B5046" s="9" t="s">
        <v>63</v>
      </c>
      <c r="C5046" s="9" t="n">
        <v>1185732</v>
      </c>
      <c r="D5046" s="10" t="n">
        <v>44485</v>
      </c>
      <c r="E5046" s="9" t="s">
        <v>17</v>
      </c>
      <c r="F5046" s="9" t="s">
        <v>64</v>
      </c>
      <c r="G5046" s="9" t="s">
        <v>65</v>
      </c>
      <c r="H5046" s="11" t="s">
        <v>24</v>
      </c>
      <c r="I5046" s="12" t="n">
        <v>47</v>
      </c>
      <c r="J5046" s="13" t="n">
        <v>42</v>
      </c>
      <c r="K5046" s="14" t="n">
        <f aca="false">I5046*J5046</f>
        <v>1974</v>
      </c>
      <c r="L5046" s="14" t="n">
        <f aca="false">($L$2*M5046)/100</f>
        <v>468649.935</v>
      </c>
      <c r="M5046" s="15" t="n">
        <v>0.39</v>
      </c>
      <c r="N5046" s="9" t="s">
        <v>85</v>
      </c>
    </row>
    <row r="5047" customFormat="false" ht="14.25" hidden="false" customHeight="true" outlineLevel="0" collapsed="false">
      <c r="B5047" s="9" t="s">
        <v>63</v>
      </c>
      <c r="C5047" s="9" t="n">
        <v>1185732</v>
      </c>
      <c r="D5047" s="10" t="n">
        <v>44486</v>
      </c>
      <c r="E5047" s="9" t="s">
        <v>17</v>
      </c>
      <c r="F5047" s="9" t="s">
        <v>64</v>
      </c>
      <c r="G5047" s="9" t="s">
        <v>65</v>
      </c>
      <c r="H5047" s="11" t="s">
        <v>25</v>
      </c>
      <c r="I5047" s="12" t="n">
        <v>38</v>
      </c>
      <c r="J5047" s="13" t="n">
        <v>68</v>
      </c>
      <c r="K5047" s="14" t="n">
        <f aca="false">I5047*J5047</f>
        <v>2584</v>
      </c>
      <c r="L5047" s="14" t="n">
        <f aca="false">($L$2*M5047)/100</f>
        <v>624866.58</v>
      </c>
      <c r="M5047" s="15" t="n">
        <v>0.52</v>
      </c>
      <c r="N5047" s="9" t="s">
        <v>85</v>
      </c>
    </row>
    <row r="5048" customFormat="false" ht="14.25" hidden="false" customHeight="true" outlineLevel="0" collapsed="false">
      <c r="B5048" s="9" t="s">
        <v>63</v>
      </c>
      <c r="C5048" s="9" t="n">
        <v>1185732</v>
      </c>
      <c r="D5048" s="10" t="n">
        <v>44487</v>
      </c>
      <c r="E5048" s="9" t="s">
        <v>17</v>
      </c>
      <c r="F5048" s="9" t="s">
        <v>64</v>
      </c>
      <c r="G5048" s="9" t="s">
        <v>65</v>
      </c>
      <c r="H5048" s="11" t="s">
        <v>19</v>
      </c>
      <c r="I5048" s="12" t="n">
        <v>38</v>
      </c>
      <c r="J5048" s="13" t="n">
        <v>140</v>
      </c>
      <c r="K5048" s="14" t="n">
        <f aca="false">I5048*J5048</f>
        <v>5320</v>
      </c>
      <c r="L5048" s="14" t="n">
        <f aca="false">($L$2*M5048)/100</f>
        <v>588816.585</v>
      </c>
      <c r="M5048" s="15" t="n">
        <v>0.49</v>
      </c>
      <c r="N5048" s="9" t="s">
        <v>85</v>
      </c>
    </row>
    <row r="5049" customFormat="false" ht="14.25" hidden="false" customHeight="true" outlineLevel="0" collapsed="false">
      <c r="B5049" s="9" t="s">
        <v>63</v>
      </c>
      <c r="C5049" s="9" t="n">
        <v>1185732</v>
      </c>
      <c r="D5049" s="10" t="n">
        <v>44488</v>
      </c>
      <c r="E5049" s="9" t="s">
        <v>17</v>
      </c>
      <c r="F5049" s="9" t="s">
        <v>64</v>
      </c>
      <c r="G5049" s="9" t="s">
        <v>65</v>
      </c>
      <c r="H5049" s="11" t="s">
        <v>21</v>
      </c>
      <c r="I5049" s="12" t="n">
        <v>38</v>
      </c>
      <c r="J5049" s="13" t="n">
        <v>45</v>
      </c>
      <c r="K5049" s="14" t="n">
        <f aca="false">I5049*J5049</f>
        <v>1710</v>
      </c>
      <c r="L5049" s="14" t="n">
        <f aca="false">($L$2*M5049)/100</f>
        <v>564783.255</v>
      </c>
      <c r="M5049" s="15" t="n">
        <v>0.47</v>
      </c>
      <c r="N5049" s="9" t="s">
        <v>85</v>
      </c>
    </row>
    <row r="5050" customFormat="false" ht="14.25" hidden="false" customHeight="true" outlineLevel="0" collapsed="false">
      <c r="B5050" s="9" t="s">
        <v>63</v>
      </c>
      <c r="C5050" s="9" t="n">
        <v>1185732</v>
      </c>
      <c r="D5050" s="10" t="n">
        <v>44489</v>
      </c>
      <c r="E5050" s="9" t="s">
        <v>17</v>
      </c>
      <c r="F5050" s="9" t="s">
        <v>64</v>
      </c>
      <c r="G5050" s="9" t="s">
        <v>65</v>
      </c>
      <c r="H5050" s="11" t="s">
        <v>22</v>
      </c>
      <c r="I5050" s="12" t="n">
        <v>29</v>
      </c>
      <c r="J5050" s="13" t="n">
        <v>60</v>
      </c>
      <c r="K5050" s="14" t="n">
        <f aca="false">I5050*J5050</f>
        <v>1740</v>
      </c>
      <c r="L5050" s="14" t="n">
        <f aca="false">($L$2*M5050)/100</f>
        <v>636883.245</v>
      </c>
      <c r="M5050" s="15" t="n">
        <v>0.53</v>
      </c>
      <c r="N5050" s="9" t="s">
        <v>85</v>
      </c>
    </row>
    <row r="5051" customFormat="false" ht="14.25" hidden="false" customHeight="true" outlineLevel="0" collapsed="false">
      <c r="B5051" s="9" t="s">
        <v>63</v>
      </c>
      <c r="C5051" s="9" t="n">
        <v>1185732</v>
      </c>
      <c r="D5051" s="10" t="n">
        <v>44490</v>
      </c>
      <c r="E5051" s="9" t="s">
        <v>17</v>
      </c>
      <c r="F5051" s="9" t="s">
        <v>64</v>
      </c>
      <c r="G5051" s="9" t="s">
        <v>65</v>
      </c>
      <c r="H5051" s="11" t="s">
        <v>23</v>
      </c>
      <c r="I5051" s="12" t="n">
        <v>34</v>
      </c>
      <c r="J5051" s="13" t="n">
        <v>19</v>
      </c>
      <c r="K5051" s="14" t="n">
        <f aca="false">I5051*J5051</f>
        <v>646</v>
      </c>
      <c r="L5051" s="14" t="n">
        <f aca="false">($L$2*M5051)/100</f>
        <v>504699.93</v>
      </c>
      <c r="M5051" s="15" t="n">
        <v>0.42</v>
      </c>
      <c r="N5051" s="9" t="s">
        <v>85</v>
      </c>
    </row>
    <row r="5052" customFormat="false" ht="14.25" hidden="false" customHeight="true" outlineLevel="0" collapsed="false">
      <c r="B5052" s="9" t="s">
        <v>63</v>
      </c>
      <c r="C5052" s="9" t="n">
        <v>1185732</v>
      </c>
      <c r="D5052" s="10" t="n">
        <v>44491</v>
      </c>
      <c r="E5052" s="9" t="s">
        <v>17</v>
      </c>
      <c r="F5052" s="9" t="s">
        <v>64</v>
      </c>
      <c r="G5052" s="9" t="s">
        <v>65</v>
      </c>
      <c r="H5052" s="11" t="s">
        <v>24</v>
      </c>
      <c r="I5052" s="12" t="n">
        <v>46</v>
      </c>
      <c r="J5052" s="13" t="n">
        <v>45</v>
      </c>
      <c r="K5052" s="14" t="n">
        <f aca="false">I5052*J5052</f>
        <v>2070</v>
      </c>
      <c r="L5052" s="14" t="n">
        <f aca="false">($L$2*M5052)/100</f>
        <v>468649.935</v>
      </c>
      <c r="M5052" s="15" t="n">
        <v>0.39</v>
      </c>
      <c r="N5052" s="9" t="s">
        <v>85</v>
      </c>
    </row>
    <row r="5053" customFormat="false" ht="14.25" hidden="false" customHeight="true" outlineLevel="0" collapsed="false">
      <c r="B5053" s="9" t="s">
        <v>63</v>
      </c>
      <c r="C5053" s="9" t="n">
        <v>1185732</v>
      </c>
      <c r="D5053" s="10" t="n">
        <v>44492</v>
      </c>
      <c r="E5053" s="9" t="s">
        <v>17</v>
      </c>
      <c r="F5053" s="9" t="s">
        <v>64</v>
      </c>
      <c r="G5053" s="9" t="s">
        <v>65</v>
      </c>
      <c r="H5053" s="11" t="s">
        <v>25</v>
      </c>
      <c r="I5053" s="12" t="n">
        <v>37</v>
      </c>
      <c r="J5053" s="13" t="n">
        <v>63</v>
      </c>
      <c r="K5053" s="14" t="n">
        <f aca="false">I5053*J5053</f>
        <v>2331</v>
      </c>
      <c r="L5053" s="14" t="n">
        <f aca="false">($L$2*M5053)/100</f>
        <v>612849.915</v>
      </c>
      <c r="M5053" s="15" t="n">
        <v>0.51</v>
      </c>
      <c r="N5053" s="9" t="s">
        <v>85</v>
      </c>
    </row>
    <row r="5054" customFormat="false" ht="14.25" hidden="false" customHeight="true" outlineLevel="0" collapsed="false">
      <c r="B5054" s="9" t="s">
        <v>63</v>
      </c>
      <c r="C5054" s="9" t="n">
        <v>1185732</v>
      </c>
      <c r="D5054" s="10" t="n">
        <v>44493</v>
      </c>
      <c r="E5054" s="9" t="s">
        <v>17</v>
      </c>
      <c r="F5054" s="9" t="s">
        <v>64</v>
      </c>
      <c r="G5054" s="9" t="s">
        <v>65</v>
      </c>
      <c r="H5054" s="11" t="s">
        <v>19</v>
      </c>
      <c r="I5054" s="12" t="n">
        <v>39</v>
      </c>
      <c r="J5054" s="13" t="n">
        <v>127</v>
      </c>
      <c r="K5054" s="14" t="n">
        <f aca="false">I5054*J5054</f>
        <v>4953</v>
      </c>
      <c r="L5054" s="14" t="n">
        <f aca="false">($L$2*M5054)/100</f>
        <v>588816.585</v>
      </c>
      <c r="M5054" s="15" t="n">
        <v>0.49</v>
      </c>
      <c r="N5054" s="9" t="s">
        <v>85</v>
      </c>
    </row>
    <row r="5055" customFormat="false" ht="14.25" hidden="false" customHeight="true" outlineLevel="0" collapsed="false">
      <c r="B5055" s="9" t="s">
        <v>63</v>
      </c>
      <c r="C5055" s="9" t="n">
        <v>1185732</v>
      </c>
      <c r="D5055" s="10" t="n">
        <v>44494</v>
      </c>
      <c r="E5055" s="9" t="s">
        <v>17</v>
      </c>
      <c r="F5055" s="9" t="s">
        <v>64</v>
      </c>
      <c r="G5055" s="9" t="s">
        <v>65</v>
      </c>
      <c r="H5055" s="11" t="s">
        <v>21</v>
      </c>
      <c r="I5055" s="12" t="n">
        <v>39</v>
      </c>
      <c r="J5055" s="13" t="n">
        <v>46</v>
      </c>
      <c r="K5055" s="14" t="n">
        <f aca="false">I5055*J5055</f>
        <v>1794</v>
      </c>
      <c r="L5055" s="14" t="n">
        <f aca="false">($L$2*M5055)/100</f>
        <v>588816.585</v>
      </c>
      <c r="M5055" s="15" t="n">
        <v>0.49</v>
      </c>
      <c r="N5055" s="9" t="s">
        <v>85</v>
      </c>
    </row>
    <row r="5056" customFormat="false" ht="14.25" hidden="false" customHeight="true" outlineLevel="0" collapsed="false">
      <c r="B5056" s="9" t="s">
        <v>63</v>
      </c>
      <c r="C5056" s="9" t="n">
        <v>1185732</v>
      </c>
      <c r="D5056" s="10" t="n">
        <v>44495</v>
      </c>
      <c r="E5056" s="9" t="s">
        <v>17</v>
      </c>
      <c r="F5056" s="9" t="s">
        <v>64</v>
      </c>
      <c r="G5056" s="9" t="s">
        <v>65</v>
      </c>
      <c r="H5056" s="11" t="s">
        <v>22</v>
      </c>
      <c r="I5056" s="12" t="n">
        <v>27</v>
      </c>
      <c r="J5056" s="13" t="n">
        <v>52</v>
      </c>
      <c r="K5056" s="14" t="n">
        <f aca="false">I5056*J5056</f>
        <v>1404</v>
      </c>
      <c r="L5056" s="14" t="n">
        <f aca="false">($L$2*M5056)/100</f>
        <v>660916.575</v>
      </c>
      <c r="M5056" s="15" t="n">
        <v>0.55</v>
      </c>
      <c r="N5056" s="9" t="s">
        <v>85</v>
      </c>
    </row>
    <row r="5057" customFormat="false" ht="14.25" hidden="false" customHeight="true" outlineLevel="0" collapsed="false">
      <c r="B5057" s="9" t="s">
        <v>63</v>
      </c>
      <c r="C5057" s="9" t="n">
        <v>1185732</v>
      </c>
      <c r="D5057" s="10" t="n">
        <v>44496</v>
      </c>
      <c r="E5057" s="9" t="s">
        <v>17</v>
      </c>
      <c r="F5057" s="9" t="s">
        <v>64</v>
      </c>
      <c r="G5057" s="9" t="s">
        <v>65</v>
      </c>
      <c r="H5057" s="11" t="s">
        <v>23</v>
      </c>
      <c r="I5057" s="12" t="n">
        <v>32</v>
      </c>
      <c r="J5057" s="13" t="n">
        <v>13</v>
      </c>
      <c r="K5057" s="14" t="n">
        <f aca="false">I5057*J5057</f>
        <v>416</v>
      </c>
      <c r="L5057" s="14" t="n">
        <f aca="false">($L$2*M5057)/100</f>
        <v>480666.6</v>
      </c>
      <c r="M5057" s="15" t="n">
        <v>0.4</v>
      </c>
      <c r="N5057" s="9" t="s">
        <v>85</v>
      </c>
    </row>
    <row r="5058" customFormat="false" ht="14.25" hidden="false" customHeight="true" outlineLevel="0" collapsed="false">
      <c r="B5058" s="9" t="s">
        <v>63</v>
      </c>
      <c r="C5058" s="9" t="n">
        <v>1185732</v>
      </c>
      <c r="D5058" s="10" t="n">
        <v>44497</v>
      </c>
      <c r="E5058" s="9" t="s">
        <v>17</v>
      </c>
      <c r="F5058" s="9" t="s">
        <v>64</v>
      </c>
      <c r="G5058" s="9" t="s">
        <v>65</v>
      </c>
      <c r="H5058" s="11" t="s">
        <v>24</v>
      </c>
      <c r="I5058" s="12" t="n">
        <v>49</v>
      </c>
      <c r="J5058" s="13" t="n">
        <v>29</v>
      </c>
      <c r="K5058" s="14" t="n">
        <f aca="false">I5058*J5058</f>
        <v>1421</v>
      </c>
      <c r="L5058" s="14" t="n">
        <f aca="false">($L$2*M5058)/100</f>
        <v>432599.94</v>
      </c>
      <c r="M5058" s="15" t="n">
        <v>0.36</v>
      </c>
      <c r="N5058" s="9" t="s">
        <v>85</v>
      </c>
    </row>
    <row r="5059" customFormat="false" ht="14.25" hidden="false" customHeight="true" outlineLevel="0" collapsed="false">
      <c r="B5059" s="9" t="s">
        <v>63</v>
      </c>
      <c r="C5059" s="9" t="n">
        <v>1185732</v>
      </c>
      <c r="D5059" s="10" t="n">
        <v>44498</v>
      </c>
      <c r="E5059" s="9" t="s">
        <v>17</v>
      </c>
      <c r="F5059" s="9" t="s">
        <v>64</v>
      </c>
      <c r="G5059" s="9" t="s">
        <v>65</v>
      </c>
      <c r="H5059" s="11" t="s">
        <v>25</v>
      </c>
      <c r="I5059" s="12" t="n">
        <v>36</v>
      </c>
      <c r="J5059" s="13" t="n">
        <v>50</v>
      </c>
      <c r="K5059" s="14" t="n">
        <f aca="false">I5059*J5059</f>
        <v>1800</v>
      </c>
      <c r="L5059" s="14" t="n">
        <f aca="false">($L$2*M5059)/100</f>
        <v>660916.575</v>
      </c>
      <c r="M5059" s="15" t="n">
        <v>0.55</v>
      </c>
      <c r="N5059" s="9" t="s">
        <v>85</v>
      </c>
    </row>
    <row r="5060" customFormat="false" ht="14.25" hidden="false" customHeight="true" outlineLevel="0" collapsed="false">
      <c r="B5060" s="9" t="s">
        <v>63</v>
      </c>
      <c r="C5060" s="9" t="n">
        <v>1185732</v>
      </c>
      <c r="D5060" s="10" t="n">
        <v>44499</v>
      </c>
      <c r="E5060" s="9" t="s">
        <v>17</v>
      </c>
      <c r="F5060" s="9" t="s">
        <v>64</v>
      </c>
      <c r="G5060" s="9" t="s">
        <v>65</v>
      </c>
      <c r="H5060" s="11" t="s">
        <v>19</v>
      </c>
      <c r="I5060" s="12" t="n">
        <v>37</v>
      </c>
      <c r="J5060" s="13" t="n">
        <v>122</v>
      </c>
      <c r="K5060" s="14" t="n">
        <f aca="false">I5060*J5060</f>
        <v>4514</v>
      </c>
      <c r="L5060" s="14" t="n">
        <f aca="false">($L$2*M5060)/100</f>
        <v>576799.92</v>
      </c>
      <c r="M5060" s="15" t="n">
        <v>0.48</v>
      </c>
      <c r="N5060" s="9" t="s">
        <v>85</v>
      </c>
    </row>
    <row r="5061" customFormat="false" ht="14.25" hidden="false" customHeight="true" outlineLevel="0" collapsed="false">
      <c r="B5061" s="9" t="s">
        <v>63</v>
      </c>
      <c r="C5061" s="9" t="n">
        <v>1185732</v>
      </c>
      <c r="D5061" s="10" t="n">
        <v>44500</v>
      </c>
      <c r="E5061" s="9" t="s">
        <v>17</v>
      </c>
      <c r="F5061" s="9" t="s">
        <v>64</v>
      </c>
      <c r="G5061" s="9" t="s">
        <v>65</v>
      </c>
      <c r="H5061" s="11" t="s">
        <v>21</v>
      </c>
      <c r="I5061" s="12" t="n">
        <v>37</v>
      </c>
      <c r="J5061" s="13" t="n">
        <v>44</v>
      </c>
      <c r="K5061" s="14" t="n">
        <f aca="false">I5061*J5061</f>
        <v>1628</v>
      </c>
      <c r="L5061" s="14" t="n">
        <f aca="false">($L$2*M5061)/100</f>
        <v>564783.255</v>
      </c>
      <c r="M5061" s="15" t="n">
        <v>0.47</v>
      </c>
      <c r="N5061" s="9" t="s">
        <v>85</v>
      </c>
    </row>
    <row r="5062" customFormat="false" ht="14.25" hidden="false" customHeight="true" outlineLevel="0" collapsed="false">
      <c r="B5062" s="9" t="s">
        <v>63</v>
      </c>
      <c r="C5062" s="9" t="n">
        <v>1185732</v>
      </c>
      <c r="D5062" s="10" t="n">
        <v>44501</v>
      </c>
      <c r="E5062" s="9" t="s">
        <v>17</v>
      </c>
      <c r="F5062" s="9" t="s">
        <v>64</v>
      </c>
      <c r="G5062" s="9" t="s">
        <v>65</v>
      </c>
      <c r="H5062" s="11" t="s">
        <v>22</v>
      </c>
      <c r="I5062" s="12" t="n">
        <v>27</v>
      </c>
      <c r="J5062" s="13" t="n">
        <v>44</v>
      </c>
      <c r="K5062" s="14" t="n">
        <f aca="false">I5062*J5062</f>
        <v>1188</v>
      </c>
      <c r="L5062" s="14" t="n">
        <f aca="false">($L$2*M5062)/100</f>
        <v>648899.91</v>
      </c>
      <c r="M5062" s="15" t="n">
        <v>0.54</v>
      </c>
      <c r="N5062" s="9" t="s">
        <v>85</v>
      </c>
    </row>
    <row r="5063" customFormat="false" ht="14.25" hidden="false" customHeight="true" outlineLevel="0" collapsed="false">
      <c r="B5063" s="9" t="s">
        <v>63</v>
      </c>
      <c r="C5063" s="9" t="n">
        <v>1185732</v>
      </c>
      <c r="D5063" s="10" t="n">
        <v>44502</v>
      </c>
      <c r="E5063" s="9" t="s">
        <v>17</v>
      </c>
      <c r="F5063" s="9" t="s">
        <v>64</v>
      </c>
      <c r="G5063" s="9" t="s">
        <v>65</v>
      </c>
      <c r="H5063" s="11" t="s">
        <v>23</v>
      </c>
      <c r="I5063" s="12" t="n">
        <v>33</v>
      </c>
      <c r="J5063" s="13" t="n">
        <v>21</v>
      </c>
      <c r="K5063" s="14" t="n">
        <f aca="false">I5063*J5063</f>
        <v>693</v>
      </c>
      <c r="L5063" s="14" t="n">
        <f aca="false">($L$2*M5063)/100</f>
        <v>480666.6</v>
      </c>
      <c r="M5063" s="15" t="n">
        <v>0.4</v>
      </c>
      <c r="N5063" s="9" t="s">
        <v>85</v>
      </c>
    </row>
    <row r="5064" customFormat="false" ht="14.25" hidden="false" customHeight="true" outlineLevel="0" collapsed="false">
      <c r="B5064" s="9" t="s">
        <v>63</v>
      </c>
      <c r="C5064" s="9" t="n">
        <v>1185732</v>
      </c>
      <c r="D5064" s="10" t="n">
        <v>44503</v>
      </c>
      <c r="E5064" s="9" t="s">
        <v>17</v>
      </c>
      <c r="F5064" s="9" t="s">
        <v>64</v>
      </c>
      <c r="G5064" s="9" t="s">
        <v>65</v>
      </c>
      <c r="H5064" s="11" t="s">
        <v>24</v>
      </c>
      <c r="I5064" s="12" t="n">
        <v>47</v>
      </c>
      <c r="J5064" s="13" t="n">
        <v>20</v>
      </c>
      <c r="K5064" s="14" t="n">
        <f aca="false">I5064*J5064</f>
        <v>940</v>
      </c>
      <c r="L5064" s="14" t="n">
        <f aca="false">($L$2*M5064)/100</f>
        <v>456633.27</v>
      </c>
      <c r="M5064" s="15" t="n">
        <v>0.38</v>
      </c>
      <c r="N5064" s="9" t="s">
        <v>85</v>
      </c>
    </row>
    <row r="5065" customFormat="false" ht="14.25" hidden="false" customHeight="true" outlineLevel="0" collapsed="false">
      <c r="B5065" s="9" t="s">
        <v>63</v>
      </c>
      <c r="C5065" s="9" t="n">
        <v>1185732</v>
      </c>
      <c r="D5065" s="10" t="n">
        <v>44504</v>
      </c>
      <c r="E5065" s="9" t="s">
        <v>17</v>
      </c>
      <c r="F5065" s="9" t="s">
        <v>64</v>
      </c>
      <c r="G5065" s="9" t="s">
        <v>65</v>
      </c>
      <c r="H5065" s="11" t="s">
        <v>25</v>
      </c>
      <c r="I5065" s="12" t="n">
        <v>39</v>
      </c>
      <c r="J5065" s="13" t="n">
        <v>63</v>
      </c>
      <c r="K5065" s="14" t="n">
        <f aca="false">I5065*J5065</f>
        <v>2457</v>
      </c>
      <c r="L5065" s="14" t="n">
        <f aca="false">($L$2*M5065)/100</f>
        <v>612849.915</v>
      </c>
      <c r="M5065" s="15" t="n">
        <v>0.51</v>
      </c>
      <c r="N5065" s="9" t="s">
        <v>85</v>
      </c>
    </row>
    <row r="5066" customFormat="false" ht="14.25" hidden="false" customHeight="true" outlineLevel="0" collapsed="false">
      <c r="B5066" s="9" t="s">
        <v>63</v>
      </c>
      <c r="C5066" s="9" t="n">
        <v>1185732</v>
      </c>
      <c r="D5066" s="10" t="n">
        <v>44505</v>
      </c>
      <c r="E5066" s="9" t="s">
        <v>17</v>
      </c>
      <c r="F5066" s="9" t="s">
        <v>64</v>
      </c>
      <c r="G5066" s="9" t="s">
        <v>65</v>
      </c>
      <c r="H5066" s="11" t="s">
        <v>19</v>
      </c>
      <c r="I5066" s="12" t="n">
        <v>52</v>
      </c>
      <c r="J5066" s="13" t="n">
        <v>144</v>
      </c>
      <c r="K5066" s="14" t="n">
        <f aca="false">I5066*J5066</f>
        <v>7488</v>
      </c>
      <c r="L5066" s="14" t="n">
        <f aca="false">($L$2*M5066)/100</f>
        <v>540749.925</v>
      </c>
      <c r="M5066" s="15" t="n">
        <v>0.45</v>
      </c>
      <c r="N5066" s="9" t="s">
        <v>85</v>
      </c>
    </row>
    <row r="5067" customFormat="false" ht="14.25" hidden="false" customHeight="true" outlineLevel="0" collapsed="false">
      <c r="B5067" s="9" t="s">
        <v>63</v>
      </c>
      <c r="C5067" s="9" t="n">
        <v>1185732</v>
      </c>
      <c r="D5067" s="10" t="n">
        <v>44506</v>
      </c>
      <c r="E5067" s="9" t="s">
        <v>17</v>
      </c>
      <c r="F5067" s="9" t="s">
        <v>64</v>
      </c>
      <c r="G5067" s="9" t="s">
        <v>65</v>
      </c>
      <c r="H5067" s="11" t="s">
        <v>21</v>
      </c>
      <c r="I5067" s="12" t="n">
        <v>48</v>
      </c>
      <c r="J5067" s="13" t="n">
        <v>60</v>
      </c>
      <c r="K5067" s="14" t="n">
        <f aca="false">I5067*J5067</f>
        <v>2880</v>
      </c>
      <c r="L5067" s="14" t="n">
        <f aca="false">($L$2*M5067)/100</f>
        <v>600833.25</v>
      </c>
      <c r="M5067" s="15" t="n">
        <v>0.5</v>
      </c>
      <c r="N5067" s="9" t="s">
        <v>85</v>
      </c>
    </row>
    <row r="5068" customFormat="false" ht="14.25" hidden="false" customHeight="true" outlineLevel="0" collapsed="false">
      <c r="B5068" s="9" t="s">
        <v>63</v>
      </c>
      <c r="C5068" s="9" t="n">
        <v>1185732</v>
      </c>
      <c r="D5068" s="10" t="n">
        <v>44507</v>
      </c>
      <c r="E5068" s="9" t="s">
        <v>17</v>
      </c>
      <c r="F5068" s="9" t="s">
        <v>64</v>
      </c>
      <c r="G5068" s="9" t="s">
        <v>65</v>
      </c>
      <c r="H5068" s="11" t="s">
        <v>22</v>
      </c>
      <c r="I5068" s="12" t="n">
        <v>42</v>
      </c>
      <c r="J5068" s="13" t="n">
        <v>47</v>
      </c>
      <c r="K5068" s="14" t="n">
        <f aca="false">I5068*J5068</f>
        <v>1974</v>
      </c>
      <c r="L5068" s="14" t="n">
        <f aca="false">($L$2*M5068)/100</f>
        <v>648899.91</v>
      </c>
      <c r="M5068" s="15" t="n">
        <v>0.54</v>
      </c>
      <c r="N5068" s="9" t="s">
        <v>85</v>
      </c>
    </row>
    <row r="5069" customFormat="false" ht="14.25" hidden="false" customHeight="true" outlineLevel="0" collapsed="false">
      <c r="B5069" s="9" t="s">
        <v>63</v>
      </c>
      <c r="C5069" s="9" t="n">
        <v>1185732</v>
      </c>
      <c r="D5069" s="10" t="n">
        <v>44508</v>
      </c>
      <c r="E5069" s="9" t="s">
        <v>17</v>
      </c>
      <c r="F5069" s="9" t="s">
        <v>64</v>
      </c>
      <c r="G5069" s="9" t="s">
        <v>65</v>
      </c>
      <c r="H5069" s="11" t="s">
        <v>23</v>
      </c>
      <c r="I5069" s="12" t="n">
        <v>41</v>
      </c>
      <c r="J5069" s="13" t="n">
        <v>34</v>
      </c>
      <c r="K5069" s="14" t="n">
        <f aca="false">I5069*J5069</f>
        <v>1394</v>
      </c>
      <c r="L5069" s="14" t="n">
        <f aca="false">($L$2*M5069)/100</f>
        <v>480666.6</v>
      </c>
      <c r="M5069" s="15" t="n">
        <v>0.4</v>
      </c>
      <c r="N5069" s="9" t="s">
        <v>85</v>
      </c>
    </row>
    <row r="5070" customFormat="false" ht="14.25" hidden="false" customHeight="true" outlineLevel="0" collapsed="false">
      <c r="B5070" s="9" t="s">
        <v>63</v>
      </c>
      <c r="C5070" s="9" t="n">
        <v>1185732</v>
      </c>
      <c r="D5070" s="10" t="n">
        <v>44509</v>
      </c>
      <c r="E5070" s="9" t="s">
        <v>17</v>
      </c>
      <c r="F5070" s="9" t="s">
        <v>64</v>
      </c>
      <c r="G5070" s="9" t="s">
        <v>65</v>
      </c>
      <c r="H5070" s="11" t="s">
        <v>24</v>
      </c>
      <c r="I5070" s="12" t="n">
        <v>51</v>
      </c>
      <c r="J5070" s="13" t="n">
        <v>42</v>
      </c>
      <c r="K5070" s="14" t="n">
        <f aca="false">I5070*J5070</f>
        <v>2142</v>
      </c>
      <c r="L5070" s="14" t="n">
        <f aca="false">($L$2*M5070)/100</f>
        <v>444616.605</v>
      </c>
      <c r="M5070" s="15" t="n">
        <v>0.37</v>
      </c>
      <c r="N5070" s="9" t="s">
        <v>85</v>
      </c>
    </row>
    <row r="5071" customFormat="false" ht="14.25" hidden="false" customHeight="true" outlineLevel="0" collapsed="false">
      <c r="B5071" s="9" t="s">
        <v>63</v>
      </c>
      <c r="C5071" s="9" t="n">
        <v>1185732</v>
      </c>
      <c r="D5071" s="10" t="n">
        <v>44510</v>
      </c>
      <c r="E5071" s="9" t="s">
        <v>17</v>
      </c>
      <c r="F5071" s="9" t="s">
        <v>64</v>
      </c>
      <c r="G5071" s="9" t="s">
        <v>65</v>
      </c>
      <c r="H5071" s="11" t="s">
        <v>25</v>
      </c>
      <c r="I5071" s="12" t="n">
        <v>56</v>
      </c>
      <c r="J5071" s="13" t="n">
        <v>72</v>
      </c>
      <c r="K5071" s="14" t="n">
        <f aca="false">I5071*J5071</f>
        <v>4032</v>
      </c>
      <c r="L5071" s="14" t="n">
        <f aca="false">($L$2*M5071)/100</f>
        <v>636883.245</v>
      </c>
      <c r="M5071" s="15" t="n">
        <v>0.53</v>
      </c>
      <c r="N5071" s="9" t="s">
        <v>85</v>
      </c>
    </row>
    <row r="5072" customFormat="false" ht="14.25" hidden="false" customHeight="true" outlineLevel="0" collapsed="false">
      <c r="B5072" s="9" t="s">
        <v>63</v>
      </c>
      <c r="C5072" s="9" t="n">
        <v>1185732</v>
      </c>
      <c r="D5072" s="10" t="n">
        <v>44511</v>
      </c>
      <c r="E5072" s="9" t="s">
        <v>17</v>
      </c>
      <c r="F5072" s="9" t="s">
        <v>64</v>
      </c>
      <c r="G5072" s="9" t="s">
        <v>65</v>
      </c>
      <c r="H5072" s="11" t="s">
        <v>19</v>
      </c>
      <c r="I5072" s="12" t="n">
        <v>54</v>
      </c>
      <c r="J5072" s="13" t="n">
        <v>158</v>
      </c>
      <c r="K5072" s="14" t="n">
        <f aca="false">I5072*J5072</f>
        <v>8532</v>
      </c>
      <c r="L5072" s="14" t="n">
        <f aca="false">($L$2*M5072)/100</f>
        <v>564783.255</v>
      </c>
      <c r="M5072" s="15" t="n">
        <v>0.47</v>
      </c>
      <c r="N5072" s="9" t="s">
        <v>85</v>
      </c>
    </row>
    <row r="5073" customFormat="false" ht="14.25" hidden="false" customHeight="true" outlineLevel="0" collapsed="false">
      <c r="B5073" s="9" t="s">
        <v>63</v>
      </c>
      <c r="C5073" s="9" t="n">
        <v>1185732</v>
      </c>
      <c r="D5073" s="10" t="n">
        <v>44512</v>
      </c>
      <c r="E5073" s="9" t="s">
        <v>17</v>
      </c>
      <c r="F5073" s="9" t="s">
        <v>64</v>
      </c>
      <c r="G5073" s="9" t="s">
        <v>65</v>
      </c>
      <c r="H5073" s="11" t="s">
        <v>21</v>
      </c>
      <c r="I5073" s="12" t="n">
        <v>48</v>
      </c>
      <c r="J5073" s="13" t="n">
        <v>77</v>
      </c>
      <c r="K5073" s="14" t="n">
        <f aca="false">I5073*J5073</f>
        <v>3696</v>
      </c>
      <c r="L5073" s="14" t="n">
        <f aca="false">($L$2*M5073)/100</f>
        <v>588816.585</v>
      </c>
      <c r="M5073" s="15" t="n">
        <v>0.49</v>
      </c>
      <c r="N5073" s="9" t="s">
        <v>85</v>
      </c>
    </row>
    <row r="5074" customFormat="false" ht="14.25" hidden="false" customHeight="true" outlineLevel="0" collapsed="false">
      <c r="B5074" s="9" t="s">
        <v>63</v>
      </c>
      <c r="C5074" s="9" t="n">
        <v>1185732</v>
      </c>
      <c r="D5074" s="10" t="n">
        <v>44513</v>
      </c>
      <c r="E5074" s="9" t="s">
        <v>17</v>
      </c>
      <c r="F5074" s="9" t="s">
        <v>64</v>
      </c>
      <c r="G5074" s="9" t="s">
        <v>65</v>
      </c>
      <c r="H5074" s="11" t="s">
        <v>22</v>
      </c>
      <c r="I5074" s="12" t="n">
        <v>42</v>
      </c>
      <c r="J5074" s="13" t="n">
        <v>58</v>
      </c>
      <c r="K5074" s="14" t="n">
        <f aca="false">I5074*J5074</f>
        <v>2436</v>
      </c>
      <c r="L5074" s="14" t="n">
        <f aca="false">($L$2*M5074)/100</f>
        <v>612849.915</v>
      </c>
      <c r="M5074" s="15" t="n">
        <v>0.51</v>
      </c>
      <c r="N5074" s="9" t="s">
        <v>85</v>
      </c>
    </row>
    <row r="5075" customFormat="false" ht="14.25" hidden="false" customHeight="true" outlineLevel="0" collapsed="false">
      <c r="B5075" s="9" t="s">
        <v>63</v>
      </c>
      <c r="C5075" s="9" t="n">
        <v>1185732</v>
      </c>
      <c r="D5075" s="10" t="n">
        <v>44514</v>
      </c>
      <c r="E5075" s="9" t="s">
        <v>17</v>
      </c>
      <c r="F5075" s="9" t="s">
        <v>64</v>
      </c>
      <c r="G5075" s="9" t="s">
        <v>65</v>
      </c>
      <c r="H5075" s="11" t="s">
        <v>23</v>
      </c>
      <c r="I5075" s="12" t="n">
        <v>41</v>
      </c>
      <c r="J5075" s="13" t="n">
        <v>51</v>
      </c>
      <c r="K5075" s="14" t="n">
        <f aca="false">I5075*J5075</f>
        <v>2091</v>
      </c>
      <c r="L5075" s="14" t="n">
        <f aca="false">($L$2*M5075)/100</f>
        <v>504699.93</v>
      </c>
      <c r="M5075" s="15" t="n">
        <v>0.42</v>
      </c>
      <c r="N5075" s="9" t="s">
        <v>85</v>
      </c>
    </row>
    <row r="5076" customFormat="false" ht="14.25" hidden="false" customHeight="true" outlineLevel="0" collapsed="false">
      <c r="B5076" s="9" t="s">
        <v>63</v>
      </c>
      <c r="C5076" s="9" t="n">
        <v>1185732</v>
      </c>
      <c r="D5076" s="10" t="n">
        <v>44515</v>
      </c>
      <c r="E5076" s="9" t="s">
        <v>17</v>
      </c>
      <c r="F5076" s="9" t="s">
        <v>64</v>
      </c>
      <c r="G5076" s="9" t="s">
        <v>65</v>
      </c>
      <c r="H5076" s="11" t="s">
        <v>24</v>
      </c>
      <c r="I5076" s="12" t="n">
        <v>50</v>
      </c>
      <c r="J5076" s="13" t="n">
        <v>53</v>
      </c>
      <c r="K5076" s="14" t="n">
        <f aca="false">I5076*J5076</f>
        <v>2650</v>
      </c>
      <c r="L5076" s="14" t="n">
        <f aca="false">($L$2*M5076)/100</f>
        <v>432599.94</v>
      </c>
      <c r="M5076" s="15" t="n">
        <v>0.36</v>
      </c>
      <c r="N5076" s="9" t="s">
        <v>85</v>
      </c>
    </row>
    <row r="5077" customFormat="false" ht="14.25" hidden="false" customHeight="true" outlineLevel="0" collapsed="false">
      <c r="B5077" s="9" t="s">
        <v>63</v>
      </c>
      <c r="C5077" s="9" t="n">
        <v>1185732</v>
      </c>
      <c r="D5077" s="10" t="n">
        <v>44516</v>
      </c>
      <c r="E5077" s="9" t="s">
        <v>17</v>
      </c>
      <c r="F5077" s="9" t="s">
        <v>64</v>
      </c>
      <c r="G5077" s="9" t="s">
        <v>65</v>
      </c>
      <c r="H5077" s="11" t="s">
        <v>25</v>
      </c>
      <c r="I5077" s="12" t="n">
        <v>56</v>
      </c>
      <c r="J5077" s="13" t="n">
        <v>85</v>
      </c>
      <c r="K5077" s="14" t="n">
        <f aca="false">I5077*J5077</f>
        <v>4760</v>
      </c>
      <c r="L5077" s="14" t="n">
        <f aca="false">($L$2*M5077)/100</f>
        <v>612849.915</v>
      </c>
      <c r="M5077" s="15" t="n">
        <v>0.51</v>
      </c>
      <c r="N5077" s="9" t="s">
        <v>85</v>
      </c>
    </row>
    <row r="5078" customFormat="false" ht="14.25" hidden="false" customHeight="true" outlineLevel="0" collapsed="false">
      <c r="B5078" s="9" t="s">
        <v>63</v>
      </c>
      <c r="C5078" s="9" t="n">
        <v>1185732</v>
      </c>
      <c r="D5078" s="10" t="n">
        <v>44517</v>
      </c>
      <c r="E5078" s="9" t="s">
        <v>17</v>
      </c>
      <c r="F5078" s="9" t="s">
        <v>64</v>
      </c>
      <c r="G5078" s="9" t="s">
        <v>65</v>
      </c>
      <c r="H5078" s="11" t="s">
        <v>19</v>
      </c>
      <c r="I5078" s="12" t="n">
        <v>51</v>
      </c>
      <c r="J5078" s="13" t="n">
        <v>143</v>
      </c>
      <c r="K5078" s="14" t="n">
        <f aca="false">I5078*J5078</f>
        <v>7293</v>
      </c>
      <c r="L5078" s="14" t="n">
        <f aca="false">($L$2*M5078)/100</f>
        <v>588816.585</v>
      </c>
      <c r="M5078" s="15" t="n">
        <v>0.49</v>
      </c>
      <c r="N5078" s="9" t="s">
        <v>85</v>
      </c>
    </row>
    <row r="5079" customFormat="false" ht="14.25" hidden="false" customHeight="true" outlineLevel="0" collapsed="false">
      <c r="B5079" s="9" t="s">
        <v>63</v>
      </c>
      <c r="C5079" s="9" t="n">
        <v>1185732</v>
      </c>
      <c r="D5079" s="10" t="n">
        <v>44518</v>
      </c>
      <c r="E5079" s="9" t="s">
        <v>17</v>
      </c>
      <c r="F5079" s="9" t="s">
        <v>64</v>
      </c>
      <c r="G5079" s="9" t="s">
        <v>65</v>
      </c>
      <c r="H5079" s="11" t="s">
        <v>21</v>
      </c>
      <c r="I5079" s="12" t="n">
        <v>46</v>
      </c>
      <c r="J5079" s="13" t="n">
        <v>84</v>
      </c>
      <c r="K5079" s="14" t="n">
        <f aca="false">I5079*J5079</f>
        <v>3864</v>
      </c>
      <c r="L5079" s="14" t="n">
        <f aca="false">($L$2*M5079)/100</f>
        <v>576799.92</v>
      </c>
      <c r="M5079" s="15" t="n">
        <v>0.48</v>
      </c>
      <c r="N5079" s="9" t="s">
        <v>85</v>
      </c>
    </row>
    <row r="5080" customFormat="false" ht="14.25" hidden="false" customHeight="true" outlineLevel="0" collapsed="false">
      <c r="B5080" s="9" t="s">
        <v>63</v>
      </c>
      <c r="C5080" s="9" t="n">
        <v>1185732</v>
      </c>
      <c r="D5080" s="10" t="n">
        <v>44519</v>
      </c>
      <c r="E5080" s="9" t="s">
        <v>17</v>
      </c>
      <c r="F5080" s="9" t="s">
        <v>64</v>
      </c>
      <c r="G5080" s="9" t="s">
        <v>65</v>
      </c>
      <c r="H5080" s="11" t="s">
        <v>22</v>
      </c>
      <c r="I5080" s="12" t="n">
        <v>43</v>
      </c>
      <c r="J5080" s="13" t="n">
        <v>63</v>
      </c>
      <c r="K5080" s="14" t="n">
        <f aca="false">I5080*J5080</f>
        <v>2709</v>
      </c>
      <c r="L5080" s="14" t="n">
        <f aca="false">($L$2*M5080)/100</f>
        <v>660916.575</v>
      </c>
      <c r="M5080" s="15" t="n">
        <v>0.55</v>
      </c>
      <c r="N5080" s="9" t="s">
        <v>85</v>
      </c>
    </row>
    <row r="5081" customFormat="false" ht="14.25" hidden="false" customHeight="true" outlineLevel="0" collapsed="false">
      <c r="B5081" s="9" t="s">
        <v>63</v>
      </c>
      <c r="C5081" s="9" t="n">
        <v>1185732</v>
      </c>
      <c r="D5081" s="10" t="n">
        <v>44520</v>
      </c>
      <c r="E5081" s="9" t="s">
        <v>17</v>
      </c>
      <c r="F5081" s="9" t="s">
        <v>64</v>
      </c>
      <c r="G5081" s="9" t="s">
        <v>65</v>
      </c>
      <c r="H5081" s="11" t="s">
        <v>23</v>
      </c>
      <c r="I5081" s="12" t="n">
        <v>43</v>
      </c>
      <c r="J5081" s="13" t="n">
        <v>44</v>
      </c>
      <c r="K5081" s="14" t="n">
        <f aca="false">I5081*J5081</f>
        <v>1892</v>
      </c>
      <c r="L5081" s="14" t="n">
        <f aca="false">($L$2*M5081)/100</f>
        <v>492683.265</v>
      </c>
      <c r="M5081" s="15" t="n">
        <v>0.41</v>
      </c>
      <c r="N5081" s="9" t="s">
        <v>85</v>
      </c>
    </row>
    <row r="5082" customFormat="false" ht="14.25" hidden="false" customHeight="true" outlineLevel="0" collapsed="false">
      <c r="B5082" s="9" t="s">
        <v>63</v>
      </c>
      <c r="C5082" s="9" t="n">
        <v>1185732</v>
      </c>
      <c r="D5082" s="10" t="n">
        <v>44521</v>
      </c>
      <c r="E5082" s="9" t="s">
        <v>17</v>
      </c>
      <c r="F5082" s="9" t="s">
        <v>64</v>
      </c>
      <c r="G5082" s="9" t="s">
        <v>65</v>
      </c>
      <c r="H5082" s="11" t="s">
        <v>24</v>
      </c>
      <c r="I5082" s="12" t="n">
        <v>53</v>
      </c>
      <c r="J5082" s="13" t="n">
        <v>60</v>
      </c>
      <c r="K5082" s="14" t="n">
        <f aca="false">I5082*J5082</f>
        <v>3180</v>
      </c>
      <c r="L5082" s="14" t="n">
        <f aca="false">($L$2*M5082)/100</f>
        <v>456633.27</v>
      </c>
      <c r="M5082" s="15" t="n">
        <v>0.38</v>
      </c>
      <c r="N5082" s="9" t="s">
        <v>85</v>
      </c>
    </row>
    <row r="5083" customFormat="false" ht="14.25" hidden="false" customHeight="true" outlineLevel="0" collapsed="false">
      <c r="B5083" s="9" t="s">
        <v>63</v>
      </c>
      <c r="C5083" s="9" t="n">
        <v>1185732</v>
      </c>
      <c r="D5083" s="10" t="n">
        <v>44550</v>
      </c>
      <c r="E5083" s="9" t="s">
        <v>17</v>
      </c>
      <c r="F5083" s="9" t="s">
        <v>64</v>
      </c>
      <c r="G5083" s="9" t="s">
        <v>65</v>
      </c>
      <c r="H5083" s="11" t="s">
        <v>25</v>
      </c>
      <c r="I5083" s="12" t="n">
        <v>58</v>
      </c>
      <c r="J5083" s="13" t="n">
        <v>113</v>
      </c>
      <c r="K5083" s="14" t="n">
        <f aca="false">I5083*J5083</f>
        <v>6554</v>
      </c>
      <c r="L5083" s="14" t="n">
        <f aca="false">($L$2*M5083)/100</f>
        <v>648899.91</v>
      </c>
      <c r="M5083" s="15" t="n">
        <v>0.54</v>
      </c>
      <c r="N5083" s="9" t="s">
        <v>85</v>
      </c>
    </row>
    <row r="5084" customFormat="false" ht="14.25" hidden="false" customHeight="true" outlineLevel="0" collapsed="false">
      <c r="B5084" s="9" t="s">
        <v>63</v>
      </c>
      <c r="C5084" s="9" t="n">
        <v>1185732</v>
      </c>
      <c r="D5084" s="10" t="n">
        <v>44551</v>
      </c>
      <c r="E5084" s="9" t="s">
        <v>17</v>
      </c>
      <c r="F5084" s="9" t="s">
        <v>64</v>
      </c>
      <c r="G5084" s="9" t="s">
        <v>65</v>
      </c>
      <c r="H5084" s="11" t="s">
        <v>19</v>
      </c>
      <c r="I5084" s="12" t="n">
        <v>50</v>
      </c>
      <c r="J5084" s="13" t="n">
        <v>147</v>
      </c>
      <c r="K5084" s="14" t="n">
        <f aca="false">I5084*J5084</f>
        <v>7350</v>
      </c>
      <c r="L5084" s="14" t="n">
        <f aca="false">($L$2*M5084)/100</f>
        <v>552766.59</v>
      </c>
      <c r="M5084" s="15" t="n">
        <v>0.46</v>
      </c>
      <c r="N5084" s="9" t="s">
        <v>85</v>
      </c>
    </row>
    <row r="5085" customFormat="false" ht="14.25" hidden="false" customHeight="true" outlineLevel="0" collapsed="false">
      <c r="B5085" s="9" t="s">
        <v>63</v>
      </c>
      <c r="C5085" s="9" t="n">
        <v>1185732</v>
      </c>
      <c r="D5085" s="10" t="n">
        <v>44552</v>
      </c>
      <c r="E5085" s="9" t="s">
        <v>17</v>
      </c>
      <c r="F5085" s="9" t="s">
        <v>64</v>
      </c>
      <c r="G5085" s="9" t="s">
        <v>65</v>
      </c>
      <c r="H5085" s="11" t="s">
        <v>21</v>
      </c>
      <c r="I5085" s="12" t="n">
        <v>49</v>
      </c>
      <c r="J5085" s="13" t="n">
        <v>90</v>
      </c>
      <c r="K5085" s="14" t="n">
        <f aca="false">I5085*J5085</f>
        <v>4410</v>
      </c>
      <c r="L5085" s="14" t="n">
        <f aca="false">($L$2*M5085)/100</f>
        <v>564783.255</v>
      </c>
      <c r="M5085" s="15" t="n">
        <v>0.47</v>
      </c>
      <c r="N5085" s="9" t="s">
        <v>85</v>
      </c>
    </row>
    <row r="5086" customFormat="false" ht="14.25" hidden="false" customHeight="true" outlineLevel="0" collapsed="false">
      <c r="B5086" s="9" t="s">
        <v>63</v>
      </c>
      <c r="C5086" s="9" t="n">
        <v>1185732</v>
      </c>
      <c r="D5086" s="10" t="n">
        <v>44553</v>
      </c>
      <c r="E5086" s="9" t="s">
        <v>17</v>
      </c>
      <c r="F5086" s="9" t="s">
        <v>64</v>
      </c>
      <c r="G5086" s="9" t="s">
        <v>65</v>
      </c>
      <c r="H5086" s="11" t="s">
        <v>22</v>
      </c>
      <c r="I5086" s="12" t="n">
        <v>41</v>
      </c>
      <c r="J5086" s="13" t="n">
        <v>68</v>
      </c>
      <c r="K5086" s="14" t="n">
        <f aca="false">I5086*J5086</f>
        <v>2788</v>
      </c>
      <c r="L5086" s="14" t="n">
        <f aca="false">($L$2*M5086)/100</f>
        <v>600833.25</v>
      </c>
      <c r="M5086" s="15" t="n">
        <v>0.5</v>
      </c>
      <c r="N5086" s="9" t="s">
        <v>85</v>
      </c>
    </row>
    <row r="5087" customFormat="false" ht="14.25" hidden="false" customHeight="true" outlineLevel="0" collapsed="false">
      <c r="B5087" s="9" t="s">
        <v>63</v>
      </c>
      <c r="C5087" s="9" t="n">
        <v>1185732</v>
      </c>
      <c r="D5087" s="10" t="n">
        <v>44554</v>
      </c>
      <c r="E5087" s="9" t="s">
        <v>17</v>
      </c>
      <c r="F5087" s="9" t="s">
        <v>64</v>
      </c>
      <c r="G5087" s="9" t="s">
        <v>65</v>
      </c>
      <c r="H5087" s="11" t="s">
        <v>23</v>
      </c>
      <c r="I5087" s="12" t="n">
        <v>41</v>
      </c>
      <c r="J5087" s="13" t="n">
        <v>51</v>
      </c>
      <c r="K5087" s="14" t="n">
        <f aca="false">I5087*J5087</f>
        <v>2091</v>
      </c>
      <c r="L5087" s="14" t="n">
        <f aca="false">($L$2*M5087)/100</f>
        <v>492683.265</v>
      </c>
      <c r="M5087" s="15" t="n">
        <v>0.41</v>
      </c>
      <c r="N5087" s="9" t="s">
        <v>85</v>
      </c>
    </row>
    <row r="5088" customFormat="false" ht="14.25" hidden="false" customHeight="true" outlineLevel="0" collapsed="false">
      <c r="B5088" s="9" t="s">
        <v>63</v>
      </c>
      <c r="C5088" s="9" t="n">
        <v>1185732</v>
      </c>
      <c r="D5088" s="10" t="n">
        <v>44555</v>
      </c>
      <c r="E5088" s="9" t="s">
        <v>17</v>
      </c>
      <c r="F5088" s="9" t="s">
        <v>64</v>
      </c>
      <c r="G5088" s="9" t="s">
        <v>65</v>
      </c>
      <c r="H5088" s="11" t="s">
        <v>24</v>
      </c>
      <c r="I5088" s="12" t="n">
        <v>54</v>
      </c>
      <c r="J5088" s="13" t="n">
        <v>41</v>
      </c>
      <c r="K5088" s="14" t="n">
        <f aca="false">I5088*J5088</f>
        <v>2214</v>
      </c>
      <c r="L5088" s="14" t="n">
        <f aca="false">($L$2*M5088)/100</f>
        <v>444616.605</v>
      </c>
      <c r="M5088" s="15" t="n">
        <v>0.37</v>
      </c>
      <c r="N5088" s="9" t="s">
        <v>85</v>
      </c>
    </row>
    <row r="5089" customFormat="false" ht="14.25" hidden="false" customHeight="true" outlineLevel="0" collapsed="false">
      <c r="B5089" s="9" t="s">
        <v>63</v>
      </c>
      <c r="C5089" s="9" t="n">
        <v>1185732</v>
      </c>
      <c r="D5089" s="10" t="n">
        <v>44556</v>
      </c>
      <c r="E5089" s="9" t="s">
        <v>17</v>
      </c>
      <c r="F5089" s="9" t="s">
        <v>64</v>
      </c>
      <c r="G5089" s="9" t="s">
        <v>65</v>
      </c>
      <c r="H5089" s="11" t="s">
        <v>25</v>
      </c>
      <c r="I5089" s="12" t="n">
        <v>54</v>
      </c>
      <c r="J5089" s="13" t="n">
        <v>91</v>
      </c>
      <c r="K5089" s="14" t="n">
        <f aca="false">I5089*J5089</f>
        <v>4914</v>
      </c>
      <c r="L5089" s="14" t="n">
        <f aca="false">($L$2*M5089)/100</f>
        <v>648899.91</v>
      </c>
      <c r="M5089" s="15" t="n">
        <v>0.54</v>
      </c>
      <c r="N5089" s="9" t="s">
        <v>85</v>
      </c>
    </row>
    <row r="5090" customFormat="false" ht="14.25" hidden="false" customHeight="true" outlineLevel="0" collapsed="false">
      <c r="B5090" s="9" t="s">
        <v>63</v>
      </c>
      <c r="C5090" s="9" t="n">
        <v>1185732</v>
      </c>
      <c r="D5090" s="10" t="n">
        <v>44557</v>
      </c>
      <c r="E5090" s="9" t="s">
        <v>17</v>
      </c>
      <c r="F5090" s="9" t="s">
        <v>64</v>
      </c>
      <c r="G5090" s="9" t="s">
        <v>65</v>
      </c>
      <c r="H5090" s="11" t="s">
        <v>19</v>
      </c>
      <c r="I5090" s="12" t="n">
        <v>53</v>
      </c>
      <c r="J5090" s="13" t="n">
        <v>122</v>
      </c>
      <c r="K5090" s="14" t="n">
        <f aca="false">I5090*J5090</f>
        <v>6466</v>
      </c>
      <c r="L5090" s="14" t="n">
        <f aca="false">($L$2*M5090)/100</f>
        <v>576799.92</v>
      </c>
      <c r="M5090" s="15" t="n">
        <v>0.48</v>
      </c>
      <c r="N5090" s="9" t="s">
        <v>85</v>
      </c>
    </row>
    <row r="5091" customFormat="false" ht="14.25" hidden="false" customHeight="true" outlineLevel="0" collapsed="false">
      <c r="B5091" s="9" t="s">
        <v>63</v>
      </c>
      <c r="C5091" s="9" t="n">
        <v>1185732</v>
      </c>
      <c r="D5091" s="10" t="n">
        <v>44558</v>
      </c>
      <c r="E5091" s="9" t="s">
        <v>17</v>
      </c>
      <c r="F5091" s="9" t="s">
        <v>64</v>
      </c>
      <c r="G5091" s="9" t="s">
        <v>65</v>
      </c>
      <c r="H5091" s="11" t="s">
        <v>21</v>
      </c>
      <c r="I5091" s="12" t="n">
        <v>46</v>
      </c>
      <c r="J5091" s="13" t="n">
        <v>70</v>
      </c>
      <c r="K5091" s="14" t="n">
        <f aca="false">I5091*J5091</f>
        <v>3220</v>
      </c>
      <c r="L5091" s="14" t="n">
        <f aca="false">($L$2*M5091)/100</f>
        <v>564783.255</v>
      </c>
      <c r="M5091" s="15" t="n">
        <v>0.47</v>
      </c>
      <c r="N5091" s="9" t="s">
        <v>85</v>
      </c>
    </row>
    <row r="5092" customFormat="false" ht="14.25" hidden="false" customHeight="true" outlineLevel="0" collapsed="false">
      <c r="B5092" s="9" t="s">
        <v>63</v>
      </c>
      <c r="C5092" s="9" t="n">
        <v>1185732</v>
      </c>
      <c r="D5092" s="10" t="n">
        <v>44559</v>
      </c>
      <c r="E5092" s="9" t="s">
        <v>17</v>
      </c>
      <c r="F5092" s="9" t="s">
        <v>64</v>
      </c>
      <c r="G5092" s="9" t="s">
        <v>65</v>
      </c>
      <c r="H5092" s="11" t="s">
        <v>22</v>
      </c>
      <c r="I5092" s="12" t="n">
        <v>41</v>
      </c>
      <c r="J5092" s="13" t="n">
        <v>38</v>
      </c>
      <c r="K5092" s="14" t="n">
        <f aca="false">I5092*J5092</f>
        <v>1558</v>
      </c>
      <c r="L5092" s="14" t="n">
        <f aca="false">($L$2*M5092)/100</f>
        <v>660916.575</v>
      </c>
      <c r="M5092" s="15" t="n">
        <v>0.55</v>
      </c>
      <c r="N5092" s="9" t="s">
        <v>85</v>
      </c>
    </row>
    <row r="5093" customFormat="false" ht="14.25" hidden="false" customHeight="true" outlineLevel="0" collapsed="false">
      <c r="B5093" s="9" t="s">
        <v>63</v>
      </c>
      <c r="C5093" s="9" t="n">
        <v>1185732</v>
      </c>
      <c r="D5093" s="10" t="n">
        <v>44560</v>
      </c>
      <c r="E5093" s="9" t="s">
        <v>17</v>
      </c>
      <c r="F5093" s="9" t="s">
        <v>64</v>
      </c>
      <c r="G5093" s="9" t="s">
        <v>65</v>
      </c>
      <c r="H5093" s="11" t="s">
        <v>23</v>
      </c>
      <c r="I5093" s="12" t="n">
        <v>42</v>
      </c>
      <c r="J5093" s="13" t="n">
        <v>36</v>
      </c>
      <c r="K5093" s="14" t="n">
        <f aca="false">I5093*J5093</f>
        <v>1512</v>
      </c>
      <c r="L5093" s="14" t="n">
        <f aca="false">($L$2*M5093)/100</f>
        <v>540749.925</v>
      </c>
      <c r="M5093" s="15" t="n">
        <v>0.45</v>
      </c>
      <c r="N5093" s="9" t="s">
        <v>85</v>
      </c>
    </row>
    <row r="5094" customFormat="false" ht="14.25" hidden="false" customHeight="true" outlineLevel="0" collapsed="false">
      <c r="B5094" s="9" t="s">
        <v>63</v>
      </c>
      <c r="C5094" s="9" t="n">
        <v>1185732</v>
      </c>
      <c r="D5094" s="10" t="n">
        <v>44561</v>
      </c>
      <c r="E5094" s="9" t="s">
        <v>17</v>
      </c>
      <c r="F5094" s="9" t="s">
        <v>64</v>
      </c>
      <c r="G5094" s="9" t="s">
        <v>65</v>
      </c>
      <c r="H5094" s="11" t="s">
        <v>24</v>
      </c>
      <c r="I5094" s="12" t="n">
        <v>52</v>
      </c>
      <c r="J5094" s="13" t="n">
        <v>36</v>
      </c>
      <c r="K5094" s="14" t="n">
        <f aca="false">I5094*J5094</f>
        <v>1872</v>
      </c>
      <c r="L5094" s="14" t="n">
        <f aca="false">($L$2*M5094)/100</f>
        <v>444616.605</v>
      </c>
      <c r="M5094" s="15" t="n">
        <v>0.37</v>
      </c>
      <c r="N5094" s="9" t="s">
        <v>85</v>
      </c>
    </row>
    <row r="5095" customFormat="false" ht="14.25" hidden="false" customHeight="true" outlineLevel="0" collapsed="false">
      <c r="B5095" s="9" t="s">
        <v>63</v>
      </c>
      <c r="C5095" s="9" t="n">
        <v>1185732</v>
      </c>
      <c r="D5095" s="10" t="n">
        <v>44456</v>
      </c>
      <c r="E5095" s="9" t="s">
        <v>17</v>
      </c>
      <c r="F5095" s="9" t="s">
        <v>64</v>
      </c>
      <c r="G5095" s="9" t="s">
        <v>65</v>
      </c>
      <c r="H5095" s="11" t="s">
        <v>25</v>
      </c>
      <c r="I5095" s="12" t="n">
        <v>57</v>
      </c>
      <c r="J5095" s="13" t="n">
        <v>59</v>
      </c>
      <c r="K5095" s="14" t="n">
        <f aca="false">I5095*J5095</f>
        <v>3363</v>
      </c>
      <c r="L5095" s="14" t="n">
        <f aca="false">($L$2*M5095)/100</f>
        <v>624866.58</v>
      </c>
      <c r="M5095" s="15" t="n">
        <v>0.52</v>
      </c>
      <c r="N5095" s="9" t="s">
        <v>85</v>
      </c>
    </row>
    <row r="5096" customFormat="false" ht="14.25" hidden="false" customHeight="true" outlineLevel="0" collapsed="false">
      <c r="B5096" s="9" t="s">
        <v>63</v>
      </c>
      <c r="C5096" s="9" t="n">
        <v>1185732</v>
      </c>
      <c r="D5096" s="10" t="n">
        <v>44488</v>
      </c>
      <c r="E5096" s="9" t="s">
        <v>17</v>
      </c>
      <c r="F5096" s="9" t="s">
        <v>64</v>
      </c>
      <c r="G5096" s="9" t="s">
        <v>65</v>
      </c>
      <c r="H5096" s="11" t="s">
        <v>19</v>
      </c>
      <c r="I5096" s="12" t="n">
        <v>55</v>
      </c>
      <c r="J5096" s="13" t="n">
        <v>120</v>
      </c>
      <c r="K5096" s="14" t="n">
        <f aca="false">I5096*J5096</f>
        <v>6600</v>
      </c>
      <c r="L5096" s="14" t="n">
        <f aca="false">($L$2*M5096)/100</f>
        <v>600833.25</v>
      </c>
      <c r="M5096" s="15" t="n">
        <v>0.5</v>
      </c>
      <c r="N5096" s="9" t="s">
        <v>85</v>
      </c>
    </row>
    <row r="5097" customFormat="false" ht="14.25" hidden="false" customHeight="true" outlineLevel="0" collapsed="false">
      <c r="B5097" s="9" t="s">
        <v>63</v>
      </c>
      <c r="C5097" s="9" t="n">
        <v>1185732</v>
      </c>
      <c r="D5097" s="10" t="n">
        <v>44488</v>
      </c>
      <c r="E5097" s="9" t="s">
        <v>17</v>
      </c>
      <c r="F5097" s="9" t="s">
        <v>64</v>
      </c>
      <c r="G5097" s="9" t="s">
        <v>65</v>
      </c>
      <c r="H5097" s="11" t="s">
        <v>21</v>
      </c>
      <c r="I5097" s="12" t="n">
        <v>54</v>
      </c>
      <c r="J5097" s="13" t="n">
        <v>59</v>
      </c>
      <c r="K5097" s="14" t="n">
        <f aca="false">I5097*J5097</f>
        <v>3186</v>
      </c>
      <c r="L5097" s="14" t="n">
        <f aca="false">($L$2*M5097)/100</f>
        <v>588816.585</v>
      </c>
      <c r="M5097" s="15" t="n">
        <v>0.49</v>
      </c>
      <c r="N5097" s="9" t="s">
        <v>85</v>
      </c>
    </row>
    <row r="5098" customFormat="false" ht="14.25" hidden="false" customHeight="true" outlineLevel="0" collapsed="false">
      <c r="B5098" s="9" t="s">
        <v>63</v>
      </c>
      <c r="C5098" s="9" t="n">
        <v>1185732</v>
      </c>
      <c r="D5098" s="10" t="n">
        <v>44488</v>
      </c>
      <c r="E5098" s="9" t="s">
        <v>17</v>
      </c>
      <c r="F5098" s="9" t="s">
        <v>64</v>
      </c>
      <c r="G5098" s="9" t="s">
        <v>65</v>
      </c>
      <c r="H5098" s="11" t="s">
        <v>22</v>
      </c>
      <c r="I5098" s="12" t="n">
        <v>52</v>
      </c>
      <c r="J5098" s="13" t="n">
        <v>31</v>
      </c>
      <c r="K5098" s="14" t="n">
        <f aca="false">I5098*J5098</f>
        <v>1612</v>
      </c>
      <c r="L5098" s="14" t="n">
        <f aca="false">($L$2*M5098)/100</f>
        <v>660916.575</v>
      </c>
      <c r="M5098" s="15" t="n">
        <v>0.55</v>
      </c>
      <c r="N5098" s="9" t="s">
        <v>85</v>
      </c>
    </row>
    <row r="5099" customFormat="false" ht="14.25" hidden="false" customHeight="true" outlineLevel="0" collapsed="false">
      <c r="B5099" s="9" t="s">
        <v>63</v>
      </c>
      <c r="C5099" s="9" t="n">
        <v>1185732</v>
      </c>
      <c r="D5099" s="10" t="n">
        <v>44488</v>
      </c>
      <c r="E5099" s="9" t="s">
        <v>17</v>
      </c>
      <c r="F5099" s="9" t="s">
        <v>64</v>
      </c>
      <c r="G5099" s="9" t="s">
        <v>65</v>
      </c>
      <c r="H5099" s="11" t="s">
        <v>23</v>
      </c>
      <c r="I5099" s="12" t="n">
        <v>50</v>
      </c>
      <c r="J5099" s="13" t="n">
        <v>26</v>
      </c>
      <c r="K5099" s="14" t="n">
        <f aca="false">I5099*J5099</f>
        <v>1300</v>
      </c>
      <c r="L5099" s="14" t="n">
        <f aca="false">($L$2*M5099)/100</f>
        <v>480666.6</v>
      </c>
      <c r="M5099" s="15" t="n">
        <v>0.4</v>
      </c>
      <c r="N5099" s="9" t="s">
        <v>85</v>
      </c>
    </row>
    <row r="5100" customFormat="false" ht="14.25" hidden="false" customHeight="true" outlineLevel="0" collapsed="false">
      <c r="B5100" s="9" t="s">
        <v>63</v>
      </c>
      <c r="C5100" s="9" t="n">
        <v>1185732</v>
      </c>
      <c r="D5100" s="10" t="n">
        <v>44488</v>
      </c>
      <c r="E5100" s="9" t="s">
        <v>17</v>
      </c>
      <c r="F5100" s="9" t="s">
        <v>64</v>
      </c>
      <c r="G5100" s="9" t="s">
        <v>65</v>
      </c>
      <c r="H5100" s="11" t="s">
        <v>24</v>
      </c>
      <c r="I5100" s="12" t="n">
        <v>61</v>
      </c>
      <c r="J5100" s="13" t="n">
        <v>27</v>
      </c>
      <c r="K5100" s="14" t="n">
        <f aca="false">I5100*J5100</f>
        <v>1647</v>
      </c>
      <c r="L5100" s="14" t="n">
        <f aca="false">($L$2*M5100)/100</f>
        <v>456633.27</v>
      </c>
      <c r="M5100" s="15" t="n">
        <v>0.38</v>
      </c>
      <c r="N5100" s="9" t="s">
        <v>85</v>
      </c>
    </row>
    <row r="5101" customFormat="false" ht="14.25" hidden="false" customHeight="true" outlineLevel="0" collapsed="false">
      <c r="B5101" s="9" t="s">
        <v>63</v>
      </c>
      <c r="C5101" s="9" t="n">
        <v>1185732</v>
      </c>
      <c r="D5101" s="10" t="n">
        <v>44488</v>
      </c>
      <c r="E5101" s="9" t="s">
        <v>17</v>
      </c>
      <c r="F5101" s="9" t="s">
        <v>64</v>
      </c>
      <c r="G5101" s="9" t="s">
        <v>65</v>
      </c>
      <c r="H5101" s="11" t="s">
        <v>25</v>
      </c>
      <c r="I5101" s="12" t="n">
        <v>68</v>
      </c>
      <c r="J5101" s="13" t="n">
        <v>56</v>
      </c>
      <c r="K5101" s="14" t="n">
        <f aca="false">I5101*J5101</f>
        <v>3808</v>
      </c>
      <c r="L5101" s="14" t="n">
        <f aca="false">($L$2*M5101)/100</f>
        <v>636883.245</v>
      </c>
      <c r="M5101" s="15" t="n">
        <v>0.53</v>
      </c>
      <c r="N5101" s="9" t="s">
        <v>85</v>
      </c>
    </row>
    <row r="5102" customFormat="false" ht="14.25" hidden="false" customHeight="true" outlineLevel="0" collapsed="false">
      <c r="B5102" s="9" t="s">
        <v>63</v>
      </c>
      <c r="C5102" s="9" t="n">
        <v>1185732</v>
      </c>
      <c r="D5102" s="10" t="n">
        <v>44518</v>
      </c>
      <c r="E5102" s="9" t="s">
        <v>17</v>
      </c>
      <c r="F5102" s="9" t="s">
        <v>64</v>
      </c>
      <c r="G5102" s="9" t="s">
        <v>65</v>
      </c>
      <c r="H5102" s="11" t="s">
        <v>19</v>
      </c>
      <c r="I5102" s="12" t="n">
        <v>62</v>
      </c>
      <c r="J5102" s="13" t="n">
        <v>98</v>
      </c>
      <c r="K5102" s="14" t="n">
        <f aca="false">I5102*J5102</f>
        <v>6076</v>
      </c>
      <c r="L5102" s="14" t="n">
        <f aca="false">($L$2*M5102)/100</f>
        <v>588816.585</v>
      </c>
      <c r="M5102" s="15" t="n">
        <v>0.49</v>
      </c>
      <c r="N5102" s="9" t="s">
        <v>85</v>
      </c>
    </row>
    <row r="5103" customFormat="false" ht="14.25" hidden="false" customHeight="true" outlineLevel="0" collapsed="false">
      <c r="B5103" s="9" t="s">
        <v>63</v>
      </c>
      <c r="C5103" s="9" t="n">
        <v>1185732</v>
      </c>
      <c r="D5103" s="10" t="n">
        <v>44518</v>
      </c>
      <c r="E5103" s="9" t="s">
        <v>17</v>
      </c>
      <c r="F5103" s="9" t="s">
        <v>64</v>
      </c>
      <c r="G5103" s="9" t="s">
        <v>65</v>
      </c>
      <c r="H5103" s="11" t="s">
        <v>21</v>
      </c>
      <c r="I5103" s="12" t="n">
        <v>52</v>
      </c>
      <c r="J5103" s="13" t="n">
        <v>52</v>
      </c>
      <c r="K5103" s="14" t="n">
        <f aca="false">I5103*J5103</f>
        <v>2704</v>
      </c>
      <c r="L5103" s="14" t="n">
        <f aca="false">($L$2*M5103)/100</f>
        <v>600833.25</v>
      </c>
      <c r="M5103" s="15" t="n">
        <v>0.5</v>
      </c>
      <c r="N5103" s="9" t="s">
        <v>85</v>
      </c>
    </row>
    <row r="5104" customFormat="false" ht="14.25" hidden="false" customHeight="true" outlineLevel="0" collapsed="false">
      <c r="B5104" s="9" t="s">
        <v>63</v>
      </c>
      <c r="C5104" s="9" t="n">
        <v>1185732</v>
      </c>
      <c r="D5104" s="10" t="n">
        <v>44518</v>
      </c>
      <c r="E5104" s="9" t="s">
        <v>17</v>
      </c>
      <c r="F5104" s="9" t="s">
        <v>64</v>
      </c>
      <c r="G5104" s="9" t="s">
        <v>65</v>
      </c>
      <c r="H5104" s="11" t="s">
        <v>22</v>
      </c>
      <c r="I5104" s="12" t="n">
        <v>52</v>
      </c>
      <c r="J5104" s="13" t="n">
        <v>55</v>
      </c>
      <c r="K5104" s="14" t="n">
        <f aca="false">I5104*J5104</f>
        <v>2860</v>
      </c>
      <c r="L5104" s="14" t="n">
        <f aca="false">($L$2*M5104)/100</f>
        <v>624866.58</v>
      </c>
      <c r="M5104" s="15" t="n">
        <v>0.52</v>
      </c>
      <c r="N5104" s="9" t="s">
        <v>85</v>
      </c>
    </row>
    <row r="5105" customFormat="false" ht="14.25" hidden="false" customHeight="true" outlineLevel="0" collapsed="false">
      <c r="B5105" s="9" t="s">
        <v>63</v>
      </c>
      <c r="C5105" s="9" t="n">
        <v>1185732</v>
      </c>
      <c r="D5105" s="10" t="n">
        <v>44518</v>
      </c>
      <c r="E5105" s="9" t="s">
        <v>17</v>
      </c>
      <c r="F5105" s="9" t="s">
        <v>64</v>
      </c>
      <c r="G5105" s="9" t="s">
        <v>65</v>
      </c>
      <c r="H5105" s="11" t="s">
        <v>23</v>
      </c>
      <c r="I5105" s="12" t="n">
        <v>54</v>
      </c>
      <c r="J5105" s="13" t="n">
        <v>46</v>
      </c>
      <c r="K5105" s="14" t="n">
        <f aca="false">I5105*J5105</f>
        <v>2484</v>
      </c>
      <c r="L5105" s="14" t="n">
        <f aca="false">($L$2*M5105)/100</f>
        <v>516716.595</v>
      </c>
      <c r="M5105" s="15" t="n">
        <v>0.43</v>
      </c>
      <c r="N5105" s="9" t="s">
        <v>85</v>
      </c>
    </row>
    <row r="5106" customFormat="false" ht="14.25" hidden="false" customHeight="true" outlineLevel="0" collapsed="false">
      <c r="B5106" s="9" t="s">
        <v>63</v>
      </c>
      <c r="C5106" s="9" t="n">
        <v>1185732</v>
      </c>
      <c r="D5106" s="10" t="n">
        <v>44518</v>
      </c>
      <c r="E5106" s="9" t="s">
        <v>17</v>
      </c>
      <c r="F5106" s="9" t="s">
        <v>64</v>
      </c>
      <c r="G5106" s="9" t="s">
        <v>65</v>
      </c>
      <c r="H5106" s="11" t="s">
        <v>24</v>
      </c>
      <c r="I5106" s="12" t="n">
        <v>60</v>
      </c>
      <c r="J5106" s="13" t="n">
        <v>41</v>
      </c>
      <c r="K5106" s="14" t="n">
        <f aca="false">I5106*J5106</f>
        <v>2460</v>
      </c>
      <c r="L5106" s="14" t="n">
        <f aca="false">($L$2*M5106)/100</f>
        <v>432599.94</v>
      </c>
      <c r="M5106" s="15" t="n">
        <v>0.36</v>
      </c>
      <c r="N5106" s="9" t="s">
        <v>85</v>
      </c>
    </row>
    <row r="5107" customFormat="false" ht="14.25" hidden="false" customHeight="true" outlineLevel="0" collapsed="false">
      <c r="B5107" s="9" t="s">
        <v>63</v>
      </c>
      <c r="C5107" s="9" t="n">
        <v>1185732</v>
      </c>
      <c r="D5107" s="10" t="n">
        <v>44518</v>
      </c>
      <c r="E5107" s="9" t="s">
        <v>17</v>
      </c>
      <c r="F5107" s="9" t="s">
        <v>64</v>
      </c>
      <c r="G5107" s="9" t="s">
        <v>65</v>
      </c>
      <c r="H5107" s="11" t="s">
        <v>25</v>
      </c>
      <c r="I5107" s="12" t="n">
        <v>67</v>
      </c>
      <c r="J5107" s="13" t="n">
        <v>63</v>
      </c>
      <c r="K5107" s="14" t="n">
        <f aca="false">I5107*J5107</f>
        <v>4221</v>
      </c>
      <c r="L5107" s="14" t="n">
        <f aca="false">($L$2*M5107)/100</f>
        <v>648899.91</v>
      </c>
      <c r="M5107" s="15" t="n">
        <v>0.54</v>
      </c>
      <c r="N5107" s="9" t="s">
        <v>85</v>
      </c>
    </row>
    <row r="5108" customFormat="false" ht="14.25" hidden="false" customHeight="true" outlineLevel="0" collapsed="false">
      <c r="B5108" s="9" t="s">
        <v>63</v>
      </c>
      <c r="C5108" s="9" t="n">
        <v>1185732</v>
      </c>
      <c r="D5108" s="10" t="n">
        <v>44547</v>
      </c>
      <c r="E5108" s="9" t="s">
        <v>17</v>
      </c>
      <c r="F5108" s="9" t="s">
        <v>64</v>
      </c>
      <c r="G5108" s="9" t="s">
        <v>65</v>
      </c>
      <c r="H5108" s="11" t="s">
        <v>19</v>
      </c>
      <c r="I5108" s="12" t="n">
        <v>62</v>
      </c>
      <c r="J5108" s="13" t="n">
        <v>138</v>
      </c>
      <c r="K5108" s="14" t="n">
        <f aca="false">I5108*J5108</f>
        <v>8556</v>
      </c>
      <c r="L5108" s="14" t="n">
        <f aca="false">($L$2*M5108)/100</f>
        <v>576799.92</v>
      </c>
      <c r="M5108" s="15" t="n">
        <v>0.48</v>
      </c>
      <c r="N5108" s="9" t="s">
        <v>85</v>
      </c>
    </row>
    <row r="5109" customFormat="false" ht="14.25" hidden="false" customHeight="true" outlineLevel="0" collapsed="false">
      <c r="B5109" s="9" t="s">
        <v>63</v>
      </c>
      <c r="C5109" s="9" t="n">
        <v>1185732</v>
      </c>
      <c r="D5109" s="10" t="n">
        <v>44547</v>
      </c>
      <c r="E5109" s="9" t="s">
        <v>17</v>
      </c>
      <c r="F5109" s="9" t="s">
        <v>64</v>
      </c>
      <c r="G5109" s="9" t="s">
        <v>65</v>
      </c>
      <c r="H5109" s="11" t="s">
        <v>21</v>
      </c>
      <c r="I5109" s="12" t="n">
        <v>53</v>
      </c>
      <c r="J5109" s="13" t="n">
        <v>74</v>
      </c>
      <c r="K5109" s="14" t="n">
        <f aca="false">I5109*J5109</f>
        <v>3922</v>
      </c>
      <c r="L5109" s="14" t="n">
        <f aca="false">($L$2*M5109)/100</f>
        <v>600833.25</v>
      </c>
      <c r="M5109" s="15" t="n">
        <v>0.5</v>
      </c>
      <c r="N5109" s="9" t="s">
        <v>85</v>
      </c>
    </row>
    <row r="5110" customFormat="false" ht="14.25" hidden="false" customHeight="true" outlineLevel="0" collapsed="false">
      <c r="B5110" s="9" t="s">
        <v>63</v>
      </c>
      <c r="C5110" s="9" t="n">
        <v>1185732</v>
      </c>
      <c r="D5110" s="10" t="n">
        <v>44547</v>
      </c>
      <c r="E5110" s="9" t="s">
        <v>17</v>
      </c>
      <c r="F5110" s="9" t="s">
        <v>64</v>
      </c>
      <c r="G5110" s="9" t="s">
        <v>65</v>
      </c>
      <c r="H5110" s="11" t="s">
        <v>22</v>
      </c>
      <c r="I5110" s="12" t="n">
        <v>52</v>
      </c>
      <c r="J5110" s="13" t="n">
        <v>68</v>
      </c>
      <c r="K5110" s="14" t="n">
        <f aca="false">I5110*J5110</f>
        <v>3536</v>
      </c>
      <c r="L5110" s="14" t="n">
        <f aca="false">($L$2*M5110)/100</f>
        <v>600833.25</v>
      </c>
      <c r="M5110" s="15" t="n">
        <v>0.5</v>
      </c>
      <c r="N5110" s="9" t="s">
        <v>85</v>
      </c>
    </row>
    <row r="5111" customFormat="false" ht="14.25" hidden="false" customHeight="true" outlineLevel="0" collapsed="false">
      <c r="B5111" s="9" t="s">
        <v>63</v>
      </c>
      <c r="C5111" s="9" t="n">
        <v>1185732</v>
      </c>
      <c r="D5111" s="10" t="n">
        <v>44547</v>
      </c>
      <c r="E5111" s="9" t="s">
        <v>17</v>
      </c>
      <c r="F5111" s="9" t="s">
        <v>64</v>
      </c>
      <c r="G5111" s="9" t="s">
        <v>65</v>
      </c>
      <c r="H5111" s="11" t="s">
        <v>23</v>
      </c>
      <c r="I5111" s="12" t="n">
        <v>52</v>
      </c>
      <c r="J5111" s="13" t="n">
        <v>50</v>
      </c>
      <c r="K5111" s="14" t="n">
        <f aca="false">I5111*J5111</f>
        <v>2600</v>
      </c>
      <c r="L5111" s="14" t="n">
        <f aca="false">($L$2*M5111)/100</f>
        <v>516716.595</v>
      </c>
      <c r="M5111" s="15" t="n">
        <v>0.43</v>
      </c>
      <c r="N5111" s="9" t="s">
        <v>85</v>
      </c>
    </row>
    <row r="5112" customFormat="false" ht="14.25" hidden="false" customHeight="true" outlineLevel="0" collapsed="false">
      <c r="B5112" s="9" t="s">
        <v>63</v>
      </c>
      <c r="C5112" s="9" t="n">
        <v>1185732</v>
      </c>
      <c r="D5112" s="10" t="n">
        <v>44547</v>
      </c>
      <c r="E5112" s="9" t="s">
        <v>17</v>
      </c>
      <c r="F5112" s="9" t="s">
        <v>64</v>
      </c>
      <c r="G5112" s="9" t="s">
        <v>65</v>
      </c>
      <c r="H5112" s="11" t="s">
        <v>24</v>
      </c>
      <c r="I5112" s="12" t="n">
        <v>60</v>
      </c>
      <c r="J5112" s="13" t="n">
        <v>54</v>
      </c>
      <c r="K5112" s="14" t="n">
        <f aca="false">I5112*J5112</f>
        <v>3240</v>
      </c>
      <c r="L5112" s="14" t="n">
        <f aca="false">($L$2*M5112)/100</f>
        <v>432599.94</v>
      </c>
      <c r="M5112" s="15" t="n">
        <v>0.36</v>
      </c>
      <c r="N5112" s="9" t="s">
        <v>85</v>
      </c>
    </row>
    <row r="5113" customFormat="false" ht="14.25" hidden="false" customHeight="true" outlineLevel="0" collapsed="false">
      <c r="B5113" s="9" t="s">
        <v>63</v>
      </c>
      <c r="C5113" s="9" t="n">
        <v>1185732</v>
      </c>
      <c r="D5113" s="10" t="n">
        <v>44547</v>
      </c>
      <c r="E5113" s="9" t="s">
        <v>17</v>
      </c>
      <c r="F5113" s="9" t="s">
        <v>64</v>
      </c>
      <c r="G5113" s="9" t="s">
        <v>65</v>
      </c>
      <c r="H5113" s="11" t="s">
        <v>25</v>
      </c>
      <c r="I5113" s="12" t="n">
        <v>69</v>
      </c>
      <c r="J5113" s="13" t="n">
        <v>75</v>
      </c>
      <c r="K5113" s="14" t="n">
        <f aca="false">I5113*J5113</f>
        <v>5175</v>
      </c>
      <c r="L5113" s="14" t="n">
        <f aca="false">($L$2*M5113)/100</f>
        <v>636883.245</v>
      </c>
      <c r="M5113" s="15" t="n">
        <v>0.53</v>
      </c>
      <c r="N5113" s="9" t="s">
        <v>85</v>
      </c>
    </row>
    <row r="5114" customFormat="false" ht="14.25" hidden="false" customHeight="true" outlineLevel="0" collapsed="false">
      <c r="B5114" s="9" t="s">
        <v>32</v>
      </c>
      <c r="C5114" s="9" t="n">
        <v>1128299</v>
      </c>
      <c r="D5114" s="10" t="n">
        <v>44206</v>
      </c>
      <c r="E5114" s="9" t="s">
        <v>17</v>
      </c>
      <c r="F5114" s="9" t="s">
        <v>64</v>
      </c>
      <c r="G5114" s="9" t="s">
        <v>65</v>
      </c>
      <c r="H5114" s="11" t="s">
        <v>19</v>
      </c>
      <c r="I5114" s="12" t="n">
        <v>33</v>
      </c>
      <c r="J5114" s="13" t="n">
        <v>98</v>
      </c>
      <c r="K5114" s="14" t="n">
        <f aca="false">I5114*J5114</f>
        <v>3234</v>
      </c>
      <c r="L5114" s="14" t="n">
        <f aca="false">($L$2*M5114)/100</f>
        <v>420583.275</v>
      </c>
      <c r="M5114" s="15" t="n">
        <v>0.35</v>
      </c>
      <c r="N5114" s="9" t="s">
        <v>85</v>
      </c>
    </row>
    <row r="5115" customFormat="false" ht="14.25" hidden="false" customHeight="true" outlineLevel="0" collapsed="false">
      <c r="B5115" s="9" t="s">
        <v>32</v>
      </c>
      <c r="C5115" s="9" t="n">
        <v>1128299</v>
      </c>
      <c r="D5115" s="10" t="n">
        <v>44206</v>
      </c>
      <c r="E5115" s="9" t="s">
        <v>17</v>
      </c>
      <c r="F5115" s="9" t="s">
        <v>64</v>
      </c>
      <c r="G5115" s="9" t="s">
        <v>65</v>
      </c>
      <c r="H5115" s="11" t="s">
        <v>21</v>
      </c>
      <c r="I5115" s="12" t="n">
        <v>41</v>
      </c>
      <c r="J5115" s="13" t="n">
        <v>109</v>
      </c>
      <c r="K5115" s="14" t="n">
        <f aca="false">I5115*J5115</f>
        <v>4469</v>
      </c>
      <c r="L5115" s="14" t="n">
        <f aca="false">($L$2*M5115)/100</f>
        <v>396549.945</v>
      </c>
      <c r="M5115" s="15" t="n">
        <v>0.33</v>
      </c>
      <c r="N5115" s="9" t="s">
        <v>85</v>
      </c>
    </row>
    <row r="5116" customFormat="false" ht="14.25" hidden="false" customHeight="true" outlineLevel="0" collapsed="false">
      <c r="B5116" s="9" t="s">
        <v>32</v>
      </c>
      <c r="C5116" s="9" t="n">
        <v>1128299</v>
      </c>
      <c r="D5116" s="10" t="n">
        <v>44206</v>
      </c>
      <c r="E5116" s="9" t="s">
        <v>17</v>
      </c>
      <c r="F5116" s="9" t="s">
        <v>64</v>
      </c>
      <c r="G5116" s="9" t="s">
        <v>65</v>
      </c>
      <c r="H5116" s="11" t="s">
        <v>22</v>
      </c>
      <c r="I5116" s="12" t="n">
        <v>43</v>
      </c>
      <c r="J5116" s="13" t="n">
        <v>101</v>
      </c>
      <c r="K5116" s="14" t="n">
        <f aca="false">I5116*J5116</f>
        <v>4343</v>
      </c>
      <c r="L5116" s="14" t="n">
        <f aca="false">($L$2*M5116)/100</f>
        <v>480666.6</v>
      </c>
      <c r="M5116" s="15" t="n">
        <v>0.4</v>
      </c>
      <c r="N5116" s="9" t="s">
        <v>85</v>
      </c>
    </row>
    <row r="5117" customFormat="false" ht="14.25" hidden="false" customHeight="true" outlineLevel="0" collapsed="false">
      <c r="B5117" s="9" t="s">
        <v>32</v>
      </c>
      <c r="C5117" s="9" t="n">
        <v>1128299</v>
      </c>
      <c r="D5117" s="10" t="n">
        <v>44206</v>
      </c>
      <c r="E5117" s="9" t="s">
        <v>17</v>
      </c>
      <c r="F5117" s="9" t="s">
        <v>64</v>
      </c>
      <c r="G5117" s="9" t="s">
        <v>65</v>
      </c>
      <c r="H5117" s="11" t="s">
        <v>23</v>
      </c>
      <c r="I5117" s="12" t="n">
        <v>43</v>
      </c>
      <c r="J5117" s="13" t="n">
        <v>59</v>
      </c>
      <c r="K5117" s="14" t="n">
        <f aca="false">I5117*J5117</f>
        <v>2537</v>
      </c>
      <c r="L5117" s="14" t="n">
        <f aca="false">($L$2*M5117)/100</f>
        <v>468649.935</v>
      </c>
      <c r="M5117" s="15" t="n">
        <v>0.39</v>
      </c>
      <c r="N5117" s="9" t="s">
        <v>85</v>
      </c>
    </row>
    <row r="5118" customFormat="false" ht="14.25" hidden="false" customHeight="true" outlineLevel="0" collapsed="false">
      <c r="B5118" s="9" t="s">
        <v>63</v>
      </c>
      <c r="C5118" s="9" t="n">
        <v>1185732</v>
      </c>
      <c r="D5118" s="10" t="n">
        <v>44220</v>
      </c>
      <c r="E5118" s="9" t="s">
        <v>33</v>
      </c>
      <c r="F5118" s="9" t="s">
        <v>66</v>
      </c>
      <c r="G5118" s="9" t="s">
        <v>67</v>
      </c>
      <c r="H5118" s="11" t="s">
        <v>25</v>
      </c>
      <c r="I5118" s="12" t="n">
        <v>52</v>
      </c>
      <c r="J5118" s="13" t="n">
        <v>84</v>
      </c>
      <c r="K5118" s="14" t="n">
        <f aca="false">I5118*J5118</f>
        <v>4368</v>
      </c>
      <c r="L5118" s="14" t="n">
        <f aca="false">($L$2*M5118)/100</f>
        <v>492683.265</v>
      </c>
      <c r="M5118" s="15" t="n">
        <v>0.41</v>
      </c>
      <c r="N5118" s="9" t="s">
        <v>85</v>
      </c>
    </row>
    <row r="5119" customFormat="false" ht="14.25" hidden="false" customHeight="true" outlineLevel="0" collapsed="false">
      <c r="B5119" s="9" t="s">
        <v>63</v>
      </c>
      <c r="C5119" s="9" t="n">
        <v>1185732</v>
      </c>
      <c r="D5119" s="10" t="n">
        <v>44249</v>
      </c>
      <c r="E5119" s="9" t="s">
        <v>33</v>
      </c>
      <c r="F5119" s="9" t="s">
        <v>66</v>
      </c>
      <c r="G5119" s="9" t="s">
        <v>67</v>
      </c>
      <c r="H5119" s="11" t="s">
        <v>19</v>
      </c>
      <c r="I5119" s="12" t="n">
        <v>51</v>
      </c>
      <c r="J5119" s="13" t="n">
        <v>173</v>
      </c>
      <c r="K5119" s="14" t="n">
        <f aca="false">I5119*J5119</f>
        <v>8823</v>
      </c>
      <c r="L5119" s="14" t="n">
        <f aca="false">($L$2*M5119)/100</f>
        <v>564783.255</v>
      </c>
      <c r="M5119" s="15" t="n">
        <v>0.47</v>
      </c>
      <c r="N5119" s="9" t="s">
        <v>85</v>
      </c>
    </row>
    <row r="5120" customFormat="false" ht="14.25" hidden="false" customHeight="true" outlineLevel="0" collapsed="false">
      <c r="B5120" s="9" t="s">
        <v>63</v>
      </c>
      <c r="C5120" s="9" t="n">
        <v>1185732</v>
      </c>
      <c r="D5120" s="10" t="n">
        <v>44249</v>
      </c>
      <c r="E5120" s="9" t="s">
        <v>33</v>
      </c>
      <c r="F5120" s="9" t="s">
        <v>66</v>
      </c>
      <c r="G5120" s="9" t="s">
        <v>67</v>
      </c>
      <c r="H5120" s="11" t="s">
        <v>21</v>
      </c>
      <c r="I5120" s="12" t="n">
        <v>53</v>
      </c>
      <c r="J5120" s="13" t="n">
        <v>65</v>
      </c>
      <c r="K5120" s="14" t="n">
        <f aca="false">I5120*J5120</f>
        <v>3445</v>
      </c>
      <c r="L5120" s="14" t="n">
        <f aca="false">($L$2*M5120)/100</f>
        <v>576799.92</v>
      </c>
      <c r="M5120" s="15" t="n">
        <v>0.48</v>
      </c>
      <c r="N5120" s="9" t="s">
        <v>85</v>
      </c>
    </row>
    <row r="5121" customFormat="false" ht="14.25" hidden="false" customHeight="true" outlineLevel="0" collapsed="false">
      <c r="B5121" s="9" t="s">
        <v>63</v>
      </c>
      <c r="C5121" s="9" t="n">
        <v>1185732</v>
      </c>
      <c r="D5121" s="10" t="n">
        <v>44249</v>
      </c>
      <c r="E5121" s="9" t="s">
        <v>33</v>
      </c>
      <c r="F5121" s="9" t="s">
        <v>66</v>
      </c>
      <c r="G5121" s="9" t="s">
        <v>67</v>
      </c>
      <c r="H5121" s="11" t="s">
        <v>22</v>
      </c>
      <c r="I5121" s="12" t="n">
        <v>43</v>
      </c>
      <c r="J5121" s="13" t="n">
        <v>77</v>
      </c>
      <c r="K5121" s="14" t="n">
        <f aca="false">I5121*J5121</f>
        <v>3311</v>
      </c>
      <c r="L5121" s="14" t="n">
        <f aca="false">($L$2*M5121)/100</f>
        <v>444616.605</v>
      </c>
      <c r="M5121" s="15" t="n">
        <v>0.37</v>
      </c>
      <c r="N5121" s="9" t="s">
        <v>85</v>
      </c>
    </row>
    <row r="5122" customFormat="false" ht="14.25" hidden="false" customHeight="true" outlineLevel="0" collapsed="false">
      <c r="B5122" s="9" t="s">
        <v>63</v>
      </c>
      <c r="C5122" s="9" t="n">
        <v>1185732</v>
      </c>
      <c r="D5122" s="10" t="n">
        <v>44249</v>
      </c>
      <c r="E5122" s="9" t="s">
        <v>33</v>
      </c>
      <c r="F5122" s="9" t="s">
        <v>66</v>
      </c>
      <c r="G5122" s="9" t="s">
        <v>67</v>
      </c>
      <c r="H5122" s="11" t="s">
        <v>23</v>
      </c>
      <c r="I5122" s="12" t="n">
        <v>49</v>
      </c>
      <c r="J5122" s="13" t="n">
        <v>46</v>
      </c>
      <c r="K5122" s="14" t="n">
        <f aca="false">I5122*J5122</f>
        <v>2254</v>
      </c>
      <c r="L5122" s="14" t="n">
        <f aca="false">($L$2*M5122)/100</f>
        <v>468649.935</v>
      </c>
      <c r="M5122" s="15" t="n">
        <v>0.39</v>
      </c>
      <c r="N5122" s="9" t="s">
        <v>85</v>
      </c>
    </row>
    <row r="5123" customFormat="false" ht="14.25" hidden="false" customHeight="true" outlineLevel="0" collapsed="false">
      <c r="B5123" s="9" t="s">
        <v>63</v>
      </c>
      <c r="C5123" s="9" t="n">
        <v>1185732</v>
      </c>
      <c r="D5123" s="10" t="n">
        <v>44249</v>
      </c>
      <c r="E5123" s="9" t="s">
        <v>33</v>
      </c>
      <c r="F5123" s="9" t="s">
        <v>66</v>
      </c>
      <c r="G5123" s="9" t="s">
        <v>67</v>
      </c>
      <c r="H5123" s="11" t="s">
        <v>24</v>
      </c>
      <c r="I5123" s="12" t="n">
        <v>60</v>
      </c>
      <c r="J5123" s="13" t="n">
        <v>75</v>
      </c>
      <c r="K5123" s="14" t="n">
        <f aca="false">I5123*J5123</f>
        <v>4500</v>
      </c>
      <c r="L5123" s="14" t="n">
        <f aca="false">($L$2*M5123)/100</f>
        <v>456633.27</v>
      </c>
      <c r="M5123" s="15" t="n">
        <v>0.38</v>
      </c>
      <c r="N5123" s="9" t="s">
        <v>85</v>
      </c>
    </row>
    <row r="5124" customFormat="false" ht="14.25" hidden="false" customHeight="true" outlineLevel="0" collapsed="false">
      <c r="B5124" s="9" t="s">
        <v>63</v>
      </c>
      <c r="C5124" s="9" t="n">
        <v>1185732</v>
      </c>
      <c r="D5124" s="10" t="n">
        <v>44249</v>
      </c>
      <c r="E5124" s="9" t="s">
        <v>33</v>
      </c>
      <c r="F5124" s="9" t="s">
        <v>66</v>
      </c>
      <c r="G5124" s="9" t="s">
        <v>67</v>
      </c>
      <c r="H5124" s="11" t="s">
        <v>25</v>
      </c>
      <c r="I5124" s="12" t="n">
        <v>52</v>
      </c>
      <c r="J5124" s="13" t="n">
        <v>102</v>
      </c>
      <c r="K5124" s="14" t="n">
        <f aca="false">I5124*J5124</f>
        <v>5304</v>
      </c>
      <c r="L5124" s="14" t="n">
        <f aca="false">($L$2*M5124)/100</f>
        <v>528733.26</v>
      </c>
      <c r="M5124" s="15" t="n">
        <v>0.44</v>
      </c>
      <c r="N5124" s="9" t="s">
        <v>85</v>
      </c>
    </row>
    <row r="5125" customFormat="false" ht="14.25" hidden="false" customHeight="true" outlineLevel="0" collapsed="false">
      <c r="B5125" s="9" t="s">
        <v>63</v>
      </c>
      <c r="C5125" s="9" t="n">
        <v>1185732</v>
      </c>
      <c r="D5125" s="10" t="n">
        <v>44275</v>
      </c>
      <c r="E5125" s="9" t="s">
        <v>33</v>
      </c>
      <c r="F5125" s="9" t="s">
        <v>66</v>
      </c>
      <c r="G5125" s="9" t="s">
        <v>67</v>
      </c>
      <c r="H5125" s="11" t="s">
        <v>19</v>
      </c>
      <c r="I5125" s="12" t="n">
        <v>53</v>
      </c>
      <c r="J5125" s="13" t="n">
        <v>153</v>
      </c>
      <c r="K5125" s="14" t="n">
        <f aca="false">I5125*J5125</f>
        <v>8109</v>
      </c>
      <c r="L5125" s="14" t="n">
        <f aca="false">($L$2*M5125)/100</f>
        <v>588816.585</v>
      </c>
      <c r="M5125" s="15" t="n">
        <v>0.49</v>
      </c>
      <c r="N5125" s="9" t="s">
        <v>85</v>
      </c>
    </row>
    <row r="5126" customFormat="false" ht="14.25" hidden="false" customHeight="true" outlineLevel="0" collapsed="false">
      <c r="B5126" s="9" t="s">
        <v>63</v>
      </c>
      <c r="C5126" s="9" t="n">
        <v>1185732</v>
      </c>
      <c r="D5126" s="10" t="n">
        <v>44275</v>
      </c>
      <c r="E5126" s="9" t="s">
        <v>33</v>
      </c>
      <c r="F5126" s="9" t="s">
        <v>66</v>
      </c>
      <c r="G5126" s="9" t="s">
        <v>67</v>
      </c>
      <c r="H5126" s="11" t="s">
        <v>21</v>
      </c>
      <c r="I5126" s="12" t="n">
        <v>52</v>
      </c>
      <c r="J5126" s="13" t="n">
        <v>65</v>
      </c>
      <c r="K5126" s="14" t="n">
        <f aca="false">I5126*J5126</f>
        <v>3380</v>
      </c>
      <c r="L5126" s="14" t="n">
        <f aca="false">($L$2*M5126)/100</f>
        <v>600833.25</v>
      </c>
      <c r="M5126" s="15" t="n">
        <v>0.5</v>
      </c>
      <c r="N5126" s="9" t="s">
        <v>85</v>
      </c>
    </row>
    <row r="5127" customFormat="false" ht="14.25" hidden="false" customHeight="true" outlineLevel="0" collapsed="false">
      <c r="B5127" s="9" t="s">
        <v>63</v>
      </c>
      <c r="C5127" s="9" t="n">
        <v>1185732</v>
      </c>
      <c r="D5127" s="10" t="n">
        <v>44275</v>
      </c>
      <c r="E5127" s="9" t="s">
        <v>33</v>
      </c>
      <c r="F5127" s="9" t="s">
        <v>66</v>
      </c>
      <c r="G5127" s="9" t="s">
        <v>67</v>
      </c>
      <c r="H5127" s="11" t="s">
        <v>22</v>
      </c>
      <c r="I5127" s="12" t="n">
        <v>41</v>
      </c>
      <c r="J5127" s="13" t="n">
        <v>69</v>
      </c>
      <c r="K5127" s="14" t="n">
        <f aca="false">I5127*J5127</f>
        <v>2829</v>
      </c>
      <c r="L5127" s="14" t="n">
        <f aca="false">($L$2*M5127)/100</f>
        <v>444616.605</v>
      </c>
      <c r="M5127" s="15" t="n">
        <v>0.37</v>
      </c>
      <c r="N5127" s="9" t="s">
        <v>85</v>
      </c>
    </row>
    <row r="5128" customFormat="false" ht="14.25" hidden="false" customHeight="true" outlineLevel="0" collapsed="false">
      <c r="B5128" s="9" t="s">
        <v>63</v>
      </c>
      <c r="C5128" s="9" t="n">
        <v>1185732</v>
      </c>
      <c r="D5128" s="10" t="n">
        <v>44275</v>
      </c>
      <c r="E5128" s="9" t="s">
        <v>33</v>
      </c>
      <c r="F5128" s="9" t="s">
        <v>66</v>
      </c>
      <c r="G5128" s="9" t="s">
        <v>67</v>
      </c>
      <c r="H5128" s="11" t="s">
        <v>23</v>
      </c>
      <c r="I5128" s="12" t="n">
        <v>49</v>
      </c>
      <c r="J5128" s="13" t="n">
        <v>36</v>
      </c>
      <c r="K5128" s="14" t="n">
        <f aca="false">I5128*J5128</f>
        <v>1764</v>
      </c>
      <c r="L5128" s="14" t="n">
        <f aca="false">($L$2*M5128)/100</f>
        <v>456633.27</v>
      </c>
      <c r="M5128" s="15" t="n">
        <v>0.38</v>
      </c>
      <c r="N5128" s="9" t="s">
        <v>85</v>
      </c>
    </row>
    <row r="5129" customFormat="false" ht="14.25" hidden="false" customHeight="true" outlineLevel="0" collapsed="false">
      <c r="B5129" s="9" t="s">
        <v>63</v>
      </c>
      <c r="C5129" s="9" t="n">
        <v>1185732</v>
      </c>
      <c r="D5129" s="10" t="n">
        <v>44275</v>
      </c>
      <c r="E5129" s="9" t="s">
        <v>33</v>
      </c>
      <c r="F5129" s="9" t="s">
        <v>66</v>
      </c>
      <c r="G5129" s="9" t="s">
        <v>67</v>
      </c>
      <c r="H5129" s="11" t="s">
        <v>24</v>
      </c>
      <c r="I5129" s="12" t="n">
        <v>64</v>
      </c>
      <c r="J5129" s="13" t="n">
        <v>53</v>
      </c>
      <c r="K5129" s="14" t="n">
        <f aca="false">I5129*J5129</f>
        <v>3392</v>
      </c>
      <c r="L5129" s="14" t="n">
        <f aca="false">($L$2*M5129)/100</f>
        <v>468649.935</v>
      </c>
      <c r="M5129" s="15" t="n">
        <v>0.39</v>
      </c>
      <c r="N5129" s="9" t="s">
        <v>85</v>
      </c>
    </row>
    <row r="5130" customFormat="false" ht="14.25" hidden="false" customHeight="true" outlineLevel="0" collapsed="false">
      <c r="B5130" s="9" t="s">
        <v>63</v>
      </c>
      <c r="C5130" s="9" t="n">
        <v>1185732</v>
      </c>
      <c r="D5130" s="10" t="n">
        <v>44275</v>
      </c>
      <c r="E5130" s="9" t="s">
        <v>33</v>
      </c>
      <c r="F5130" s="9" t="s">
        <v>66</v>
      </c>
      <c r="G5130" s="9" t="s">
        <v>67</v>
      </c>
      <c r="H5130" s="11" t="s">
        <v>25</v>
      </c>
      <c r="I5130" s="12" t="n">
        <v>53</v>
      </c>
      <c r="J5130" s="13" t="n">
        <v>72</v>
      </c>
      <c r="K5130" s="14" t="n">
        <f aca="false">I5130*J5130</f>
        <v>3816</v>
      </c>
      <c r="L5130" s="14" t="n">
        <f aca="false">($L$2*M5130)/100</f>
        <v>480666.6</v>
      </c>
      <c r="M5130" s="15" t="n">
        <v>0.4</v>
      </c>
      <c r="N5130" s="9" t="s">
        <v>85</v>
      </c>
    </row>
    <row r="5131" customFormat="false" ht="14.25" hidden="false" customHeight="true" outlineLevel="0" collapsed="false">
      <c r="B5131" s="9" t="s">
        <v>63</v>
      </c>
      <c r="C5131" s="9" t="n">
        <v>1185732</v>
      </c>
      <c r="D5131" s="10" t="n">
        <v>44307</v>
      </c>
      <c r="E5131" s="9" t="s">
        <v>33</v>
      </c>
      <c r="F5131" s="9" t="s">
        <v>66</v>
      </c>
      <c r="G5131" s="9" t="s">
        <v>67</v>
      </c>
      <c r="H5131" s="11" t="s">
        <v>19</v>
      </c>
      <c r="I5131" s="12" t="n">
        <v>54</v>
      </c>
      <c r="J5131" s="13" t="n">
        <v>131</v>
      </c>
      <c r="K5131" s="14" t="n">
        <f aca="false">I5131*J5131</f>
        <v>7074</v>
      </c>
      <c r="L5131" s="14" t="n">
        <f aca="false">($L$2*M5131)/100</f>
        <v>552766.59</v>
      </c>
      <c r="M5131" s="15" t="n">
        <v>0.46</v>
      </c>
      <c r="N5131" s="9" t="s">
        <v>85</v>
      </c>
    </row>
    <row r="5132" customFormat="false" ht="14.25" hidden="false" customHeight="true" outlineLevel="0" collapsed="false">
      <c r="B5132" s="9" t="s">
        <v>63</v>
      </c>
      <c r="C5132" s="9" t="n">
        <v>1185732</v>
      </c>
      <c r="D5132" s="10" t="n">
        <v>44307</v>
      </c>
      <c r="E5132" s="9" t="s">
        <v>33</v>
      </c>
      <c r="F5132" s="9" t="s">
        <v>66</v>
      </c>
      <c r="G5132" s="9" t="s">
        <v>67</v>
      </c>
      <c r="H5132" s="11" t="s">
        <v>21</v>
      </c>
      <c r="I5132" s="12" t="n">
        <v>50</v>
      </c>
      <c r="J5132" s="13" t="n">
        <v>61</v>
      </c>
      <c r="K5132" s="14" t="n">
        <f aca="false">I5132*J5132</f>
        <v>3050</v>
      </c>
      <c r="L5132" s="14" t="n">
        <f aca="false">($L$2*M5132)/100</f>
        <v>600833.25</v>
      </c>
      <c r="M5132" s="15" t="n">
        <v>0.5</v>
      </c>
      <c r="N5132" s="9" t="s">
        <v>85</v>
      </c>
    </row>
    <row r="5133" customFormat="false" ht="14.25" hidden="false" customHeight="true" outlineLevel="0" collapsed="false">
      <c r="B5133" s="9" t="s">
        <v>63</v>
      </c>
      <c r="C5133" s="9" t="n">
        <v>1185732</v>
      </c>
      <c r="D5133" s="10" t="n">
        <v>44307</v>
      </c>
      <c r="E5133" s="9" t="s">
        <v>33</v>
      </c>
      <c r="F5133" s="9" t="s">
        <v>66</v>
      </c>
      <c r="G5133" s="9" t="s">
        <v>67</v>
      </c>
      <c r="H5133" s="11" t="s">
        <v>22</v>
      </c>
      <c r="I5133" s="12" t="n">
        <v>44</v>
      </c>
      <c r="J5133" s="13" t="n">
        <v>61</v>
      </c>
      <c r="K5133" s="14" t="n">
        <f aca="false">I5133*J5133</f>
        <v>2684</v>
      </c>
      <c r="L5133" s="14" t="n">
        <f aca="false">($L$2*M5133)/100</f>
        <v>480666.6</v>
      </c>
      <c r="M5133" s="15" t="n">
        <v>0.4</v>
      </c>
      <c r="N5133" s="9" t="s">
        <v>85</v>
      </c>
    </row>
    <row r="5134" customFormat="false" ht="14.25" hidden="false" customHeight="true" outlineLevel="0" collapsed="false">
      <c r="B5134" s="9" t="s">
        <v>63</v>
      </c>
      <c r="C5134" s="9" t="n">
        <v>1185732</v>
      </c>
      <c r="D5134" s="10" t="n">
        <v>44307</v>
      </c>
      <c r="E5134" s="9" t="s">
        <v>33</v>
      </c>
      <c r="F5134" s="9" t="s">
        <v>66</v>
      </c>
      <c r="G5134" s="9" t="s">
        <v>67</v>
      </c>
      <c r="H5134" s="11" t="s">
        <v>23</v>
      </c>
      <c r="I5134" s="12" t="n">
        <v>47</v>
      </c>
      <c r="J5134" s="13" t="n">
        <v>44</v>
      </c>
      <c r="K5134" s="14" t="n">
        <f aca="false">I5134*J5134</f>
        <v>2068</v>
      </c>
      <c r="L5134" s="14" t="n">
        <f aca="false">($L$2*M5134)/100</f>
        <v>444616.605</v>
      </c>
      <c r="M5134" s="15" t="n">
        <v>0.37</v>
      </c>
      <c r="N5134" s="9" t="s">
        <v>85</v>
      </c>
    </row>
    <row r="5135" customFormat="false" ht="14.25" hidden="false" customHeight="true" outlineLevel="0" collapsed="false">
      <c r="B5135" s="9" t="s">
        <v>63</v>
      </c>
      <c r="C5135" s="9" t="n">
        <v>1185732</v>
      </c>
      <c r="D5135" s="10" t="n">
        <v>44307</v>
      </c>
      <c r="E5135" s="9" t="s">
        <v>33</v>
      </c>
      <c r="F5135" s="9" t="s">
        <v>66</v>
      </c>
      <c r="G5135" s="9" t="s">
        <v>67</v>
      </c>
      <c r="H5135" s="11" t="s">
        <v>24</v>
      </c>
      <c r="I5135" s="12" t="n">
        <v>56</v>
      </c>
      <c r="J5135" s="13" t="n">
        <v>41</v>
      </c>
      <c r="K5135" s="14" t="n">
        <f aca="false">I5135*J5135</f>
        <v>2296</v>
      </c>
      <c r="L5135" s="14" t="n">
        <f aca="false">($L$2*M5135)/100</f>
        <v>444616.605</v>
      </c>
      <c r="M5135" s="15" t="n">
        <v>0.37</v>
      </c>
      <c r="N5135" s="9" t="s">
        <v>85</v>
      </c>
    </row>
    <row r="5136" customFormat="false" ht="14.25" hidden="false" customHeight="true" outlineLevel="0" collapsed="false">
      <c r="B5136" s="9" t="s">
        <v>63</v>
      </c>
      <c r="C5136" s="9" t="n">
        <v>1185732</v>
      </c>
      <c r="D5136" s="10" t="n">
        <v>44307</v>
      </c>
      <c r="E5136" s="9" t="s">
        <v>33</v>
      </c>
      <c r="F5136" s="9" t="s">
        <v>66</v>
      </c>
      <c r="G5136" s="9" t="s">
        <v>67</v>
      </c>
      <c r="H5136" s="11" t="s">
        <v>25</v>
      </c>
      <c r="I5136" s="12" t="n">
        <v>49</v>
      </c>
      <c r="J5136" s="13" t="n">
        <v>84</v>
      </c>
      <c r="K5136" s="14" t="n">
        <f aca="false">I5136*J5136</f>
        <v>4116</v>
      </c>
      <c r="L5136" s="14" t="n">
        <f aca="false">($L$2*M5136)/100</f>
        <v>528733.26</v>
      </c>
      <c r="M5136" s="15" t="n">
        <v>0.44</v>
      </c>
      <c r="N5136" s="9" t="s">
        <v>85</v>
      </c>
    </row>
    <row r="5137" customFormat="false" ht="14.25" hidden="false" customHeight="true" outlineLevel="0" collapsed="false">
      <c r="B5137" s="9" t="s">
        <v>63</v>
      </c>
      <c r="C5137" s="9" t="n">
        <v>1185732</v>
      </c>
      <c r="D5137" s="10" t="n">
        <v>44336</v>
      </c>
      <c r="E5137" s="9" t="s">
        <v>33</v>
      </c>
      <c r="F5137" s="9" t="s">
        <v>66</v>
      </c>
      <c r="G5137" s="9" t="s">
        <v>67</v>
      </c>
      <c r="H5137" s="11" t="s">
        <v>19</v>
      </c>
      <c r="I5137" s="12" t="n">
        <v>59</v>
      </c>
      <c r="J5137" s="13" t="n">
        <v>160</v>
      </c>
      <c r="K5137" s="14" t="n">
        <f aca="false">I5137*J5137</f>
        <v>9440</v>
      </c>
      <c r="L5137" s="14" t="n">
        <f aca="false">($L$2*M5137)/100</f>
        <v>600833.25</v>
      </c>
      <c r="M5137" s="15" t="n">
        <v>0.5</v>
      </c>
      <c r="N5137" s="9" t="s">
        <v>85</v>
      </c>
    </row>
    <row r="5138" customFormat="false" ht="14.25" hidden="false" customHeight="true" outlineLevel="0" collapsed="false">
      <c r="B5138" s="9" t="s">
        <v>63</v>
      </c>
      <c r="C5138" s="9" t="n">
        <v>1185732</v>
      </c>
      <c r="D5138" s="10" t="n">
        <v>44336</v>
      </c>
      <c r="E5138" s="9" t="s">
        <v>33</v>
      </c>
      <c r="F5138" s="9" t="s">
        <v>66</v>
      </c>
      <c r="G5138" s="9" t="s">
        <v>67</v>
      </c>
      <c r="H5138" s="11" t="s">
        <v>21</v>
      </c>
      <c r="I5138" s="12" t="n">
        <v>56</v>
      </c>
      <c r="J5138" s="13" t="n">
        <v>72</v>
      </c>
      <c r="K5138" s="14" t="n">
        <f aca="false">I5138*J5138</f>
        <v>4032</v>
      </c>
      <c r="L5138" s="14" t="n">
        <f aca="false">($L$2*M5138)/100</f>
        <v>540749.925</v>
      </c>
      <c r="M5138" s="15" t="n">
        <v>0.45</v>
      </c>
      <c r="N5138" s="9" t="s">
        <v>85</v>
      </c>
    </row>
    <row r="5139" customFormat="false" ht="14.25" hidden="false" customHeight="true" outlineLevel="0" collapsed="false">
      <c r="B5139" s="9" t="s">
        <v>63</v>
      </c>
      <c r="C5139" s="9" t="n">
        <v>1185732</v>
      </c>
      <c r="D5139" s="10" t="n">
        <v>44336</v>
      </c>
      <c r="E5139" s="9" t="s">
        <v>33</v>
      </c>
      <c r="F5139" s="9" t="s">
        <v>66</v>
      </c>
      <c r="G5139" s="9" t="s">
        <v>67</v>
      </c>
      <c r="H5139" s="11" t="s">
        <v>22</v>
      </c>
      <c r="I5139" s="12" t="n">
        <v>53</v>
      </c>
      <c r="J5139" s="13" t="n">
        <v>84</v>
      </c>
      <c r="K5139" s="14" t="n">
        <f aca="false">I5139*J5139</f>
        <v>4452</v>
      </c>
      <c r="L5139" s="14" t="n">
        <f aca="false">($L$2*M5139)/100</f>
        <v>480666.6</v>
      </c>
      <c r="M5139" s="15" t="n">
        <v>0.4</v>
      </c>
      <c r="N5139" s="9" t="s">
        <v>85</v>
      </c>
    </row>
    <row r="5140" customFormat="false" ht="14.25" hidden="false" customHeight="true" outlineLevel="0" collapsed="false">
      <c r="B5140" s="9" t="s">
        <v>63</v>
      </c>
      <c r="C5140" s="9" t="n">
        <v>1185732</v>
      </c>
      <c r="D5140" s="10" t="n">
        <v>44336</v>
      </c>
      <c r="E5140" s="9" t="s">
        <v>33</v>
      </c>
      <c r="F5140" s="9" t="s">
        <v>66</v>
      </c>
      <c r="G5140" s="9" t="s">
        <v>67</v>
      </c>
      <c r="H5140" s="11" t="s">
        <v>23</v>
      </c>
      <c r="I5140" s="12" t="n">
        <v>51</v>
      </c>
      <c r="J5140" s="13" t="n">
        <v>63</v>
      </c>
      <c r="K5140" s="14" t="n">
        <f aca="false">I5140*J5140</f>
        <v>3213</v>
      </c>
      <c r="L5140" s="14" t="n">
        <f aca="false">($L$2*M5140)/100</f>
        <v>456633.27</v>
      </c>
      <c r="M5140" s="15" t="n">
        <v>0.38</v>
      </c>
      <c r="N5140" s="9" t="s">
        <v>85</v>
      </c>
    </row>
    <row r="5141" customFormat="false" ht="14.25" hidden="false" customHeight="true" outlineLevel="0" collapsed="false">
      <c r="B5141" s="9" t="s">
        <v>63</v>
      </c>
      <c r="C5141" s="9" t="n">
        <v>1185732</v>
      </c>
      <c r="D5141" s="10" t="n">
        <v>44336</v>
      </c>
      <c r="E5141" s="9" t="s">
        <v>33</v>
      </c>
      <c r="F5141" s="9" t="s">
        <v>66</v>
      </c>
      <c r="G5141" s="9" t="s">
        <v>67</v>
      </c>
      <c r="H5141" s="11" t="s">
        <v>24</v>
      </c>
      <c r="I5141" s="12" t="n">
        <v>62</v>
      </c>
      <c r="J5141" s="13" t="n">
        <v>69</v>
      </c>
      <c r="K5141" s="14" t="n">
        <f aca="false">I5141*J5141</f>
        <v>4278</v>
      </c>
      <c r="L5141" s="14" t="n">
        <f aca="false">($L$2*M5141)/100</f>
        <v>456633.27</v>
      </c>
      <c r="M5141" s="15" t="n">
        <v>0.38</v>
      </c>
      <c r="N5141" s="9" t="s">
        <v>85</v>
      </c>
    </row>
    <row r="5142" customFormat="false" ht="14.25" hidden="false" customHeight="true" outlineLevel="0" collapsed="false">
      <c r="B5142" s="9" t="s">
        <v>63</v>
      </c>
      <c r="C5142" s="9" t="n">
        <v>1185732</v>
      </c>
      <c r="D5142" s="10" t="n">
        <v>44336</v>
      </c>
      <c r="E5142" s="9" t="s">
        <v>33</v>
      </c>
      <c r="F5142" s="9" t="s">
        <v>66</v>
      </c>
      <c r="G5142" s="9" t="s">
        <v>67</v>
      </c>
      <c r="H5142" s="11" t="s">
        <v>25</v>
      </c>
      <c r="I5142" s="12" t="n">
        <v>67</v>
      </c>
      <c r="J5142" s="13" t="n">
        <v>100</v>
      </c>
      <c r="K5142" s="14" t="n">
        <f aca="false">I5142*J5142</f>
        <v>6700</v>
      </c>
      <c r="L5142" s="14" t="n">
        <f aca="false">($L$2*M5142)/100</f>
        <v>492683.265</v>
      </c>
      <c r="M5142" s="15" t="n">
        <v>0.41</v>
      </c>
      <c r="N5142" s="9" t="s">
        <v>85</v>
      </c>
    </row>
    <row r="5143" customFormat="false" ht="14.25" hidden="false" customHeight="true" outlineLevel="0" collapsed="false">
      <c r="B5143" s="9" t="s">
        <v>63</v>
      </c>
      <c r="C5143" s="9" t="n">
        <v>1185732</v>
      </c>
      <c r="D5143" s="10" t="n">
        <v>44369</v>
      </c>
      <c r="E5143" s="9" t="s">
        <v>33</v>
      </c>
      <c r="F5143" s="9" t="s">
        <v>66</v>
      </c>
      <c r="G5143" s="9" t="s">
        <v>67</v>
      </c>
      <c r="H5143" s="11" t="s">
        <v>19</v>
      </c>
      <c r="I5143" s="12" t="n">
        <v>59</v>
      </c>
      <c r="J5143" s="13" t="n">
        <v>189</v>
      </c>
      <c r="K5143" s="14" t="n">
        <f aca="false">I5143*J5143</f>
        <v>11151</v>
      </c>
      <c r="L5143" s="14" t="n">
        <f aca="false">($L$2*M5143)/100</f>
        <v>552766.59</v>
      </c>
      <c r="M5143" s="15" t="n">
        <v>0.46</v>
      </c>
      <c r="N5143" s="9" t="s">
        <v>85</v>
      </c>
    </row>
    <row r="5144" customFormat="false" ht="14.25" hidden="false" customHeight="true" outlineLevel="0" collapsed="false">
      <c r="B5144" s="9" t="s">
        <v>63</v>
      </c>
      <c r="C5144" s="9" t="n">
        <v>1185732</v>
      </c>
      <c r="D5144" s="10" t="n">
        <v>44369</v>
      </c>
      <c r="E5144" s="9" t="s">
        <v>33</v>
      </c>
      <c r="F5144" s="9" t="s">
        <v>66</v>
      </c>
      <c r="G5144" s="9" t="s">
        <v>67</v>
      </c>
      <c r="H5144" s="11" t="s">
        <v>21</v>
      </c>
      <c r="I5144" s="12" t="n">
        <v>55</v>
      </c>
      <c r="J5144" s="13" t="n">
        <v>112</v>
      </c>
      <c r="K5144" s="14" t="n">
        <f aca="false">I5144*J5144</f>
        <v>6160</v>
      </c>
      <c r="L5144" s="14" t="n">
        <f aca="false">($L$2*M5144)/100</f>
        <v>600833.25</v>
      </c>
      <c r="M5144" s="15" t="n">
        <v>0.5</v>
      </c>
      <c r="N5144" s="9" t="s">
        <v>85</v>
      </c>
    </row>
    <row r="5145" customFormat="false" ht="14.25" hidden="false" customHeight="true" outlineLevel="0" collapsed="false">
      <c r="B5145" s="9" t="s">
        <v>63</v>
      </c>
      <c r="C5145" s="9" t="n">
        <v>1185732</v>
      </c>
      <c r="D5145" s="10" t="n">
        <v>44369</v>
      </c>
      <c r="E5145" s="9" t="s">
        <v>33</v>
      </c>
      <c r="F5145" s="9" t="s">
        <v>66</v>
      </c>
      <c r="G5145" s="9" t="s">
        <v>67</v>
      </c>
      <c r="H5145" s="11" t="s">
        <v>22</v>
      </c>
      <c r="I5145" s="12" t="n">
        <v>53</v>
      </c>
      <c r="J5145" s="13" t="n">
        <v>81</v>
      </c>
      <c r="K5145" s="14" t="n">
        <f aca="false">I5145*J5145</f>
        <v>4293</v>
      </c>
      <c r="L5145" s="14" t="n">
        <f aca="false">($L$2*M5145)/100</f>
        <v>432599.94</v>
      </c>
      <c r="M5145" s="15" t="n">
        <v>0.36</v>
      </c>
      <c r="N5145" s="9" t="s">
        <v>85</v>
      </c>
    </row>
    <row r="5146" customFormat="false" ht="14.25" hidden="false" customHeight="true" outlineLevel="0" collapsed="false">
      <c r="B5146" s="9" t="s">
        <v>63</v>
      </c>
      <c r="C5146" s="9" t="n">
        <v>1185732</v>
      </c>
      <c r="D5146" s="10" t="n">
        <v>44369</v>
      </c>
      <c r="E5146" s="9" t="s">
        <v>33</v>
      </c>
      <c r="F5146" s="9" t="s">
        <v>66</v>
      </c>
      <c r="G5146" s="9" t="s">
        <v>67</v>
      </c>
      <c r="H5146" s="11" t="s">
        <v>23</v>
      </c>
      <c r="I5146" s="12" t="n">
        <v>53</v>
      </c>
      <c r="J5146" s="13" t="n">
        <v>90</v>
      </c>
      <c r="K5146" s="14" t="n">
        <f aca="false">I5146*J5146</f>
        <v>4770</v>
      </c>
      <c r="L5146" s="14" t="n">
        <f aca="false">($L$2*M5146)/100</f>
        <v>432599.94</v>
      </c>
      <c r="M5146" s="15" t="n">
        <v>0.36</v>
      </c>
      <c r="N5146" s="9" t="s">
        <v>85</v>
      </c>
    </row>
    <row r="5147" customFormat="false" ht="14.25" hidden="false" customHeight="true" outlineLevel="0" collapsed="false">
      <c r="B5147" s="9" t="s">
        <v>63</v>
      </c>
      <c r="C5147" s="9" t="n">
        <v>1185732</v>
      </c>
      <c r="D5147" s="10" t="n">
        <v>44369</v>
      </c>
      <c r="E5147" s="9" t="s">
        <v>33</v>
      </c>
      <c r="F5147" s="9" t="s">
        <v>66</v>
      </c>
      <c r="G5147" s="9" t="s">
        <v>67</v>
      </c>
      <c r="H5147" s="11" t="s">
        <v>24</v>
      </c>
      <c r="I5147" s="12" t="n">
        <v>60</v>
      </c>
      <c r="J5147" s="13" t="n">
        <v>84</v>
      </c>
      <c r="K5147" s="14" t="n">
        <f aca="false">I5147*J5147</f>
        <v>5040</v>
      </c>
      <c r="L5147" s="14" t="n">
        <f aca="false">($L$2*M5147)/100</f>
        <v>432599.94</v>
      </c>
      <c r="M5147" s="15" t="n">
        <v>0.36</v>
      </c>
      <c r="N5147" s="9" t="s">
        <v>85</v>
      </c>
    </row>
    <row r="5148" customFormat="false" ht="14.25" hidden="false" customHeight="true" outlineLevel="0" collapsed="false">
      <c r="B5148" s="9" t="s">
        <v>63</v>
      </c>
      <c r="C5148" s="9" t="n">
        <v>1185732</v>
      </c>
      <c r="D5148" s="10" t="n">
        <v>44369</v>
      </c>
      <c r="E5148" s="9" t="s">
        <v>33</v>
      </c>
      <c r="F5148" s="9" t="s">
        <v>66</v>
      </c>
      <c r="G5148" s="9" t="s">
        <v>67</v>
      </c>
      <c r="H5148" s="11" t="s">
        <v>25</v>
      </c>
      <c r="I5148" s="12" t="n">
        <v>67</v>
      </c>
      <c r="J5148" s="13" t="n">
        <v>126</v>
      </c>
      <c r="K5148" s="14" t="n">
        <f aca="false">I5148*J5148</f>
        <v>8442</v>
      </c>
      <c r="L5148" s="14" t="n">
        <f aca="false">($L$2*M5148)/100</f>
        <v>504699.93</v>
      </c>
      <c r="M5148" s="15" t="n">
        <v>0.42</v>
      </c>
      <c r="N5148" s="9" t="s">
        <v>85</v>
      </c>
    </row>
    <row r="5149" customFormat="false" ht="14.25" hidden="false" customHeight="true" outlineLevel="0" collapsed="false">
      <c r="B5149" s="9" t="s">
        <v>63</v>
      </c>
      <c r="C5149" s="9" t="n">
        <v>1185732</v>
      </c>
      <c r="D5149" s="10" t="n">
        <v>44397</v>
      </c>
      <c r="E5149" s="9" t="s">
        <v>33</v>
      </c>
      <c r="F5149" s="9" t="s">
        <v>66</v>
      </c>
      <c r="G5149" s="9" t="s">
        <v>67</v>
      </c>
      <c r="H5149" s="11" t="s">
        <v>19</v>
      </c>
      <c r="I5149" s="12" t="n">
        <v>63</v>
      </c>
      <c r="J5149" s="13" t="n">
        <v>182</v>
      </c>
      <c r="K5149" s="14" t="n">
        <f aca="false">I5149*J5149</f>
        <v>11466</v>
      </c>
      <c r="L5149" s="14" t="n">
        <f aca="false">($L$2*M5149)/100</f>
        <v>552766.59</v>
      </c>
      <c r="M5149" s="15" t="n">
        <v>0.46</v>
      </c>
      <c r="N5149" s="9" t="s">
        <v>85</v>
      </c>
    </row>
    <row r="5150" customFormat="false" ht="14.25" hidden="false" customHeight="true" outlineLevel="0" collapsed="false">
      <c r="B5150" s="9" t="s">
        <v>63</v>
      </c>
      <c r="C5150" s="9" t="n">
        <v>1185732</v>
      </c>
      <c r="D5150" s="10" t="n">
        <v>44397</v>
      </c>
      <c r="E5150" s="9" t="s">
        <v>33</v>
      </c>
      <c r="F5150" s="9" t="s">
        <v>66</v>
      </c>
      <c r="G5150" s="9" t="s">
        <v>67</v>
      </c>
      <c r="H5150" s="11" t="s">
        <v>21</v>
      </c>
      <c r="I5150" s="12" t="n">
        <v>59</v>
      </c>
      <c r="J5150" s="13" t="n">
        <v>111</v>
      </c>
      <c r="K5150" s="14" t="n">
        <f aca="false">I5150*J5150</f>
        <v>6549</v>
      </c>
      <c r="L5150" s="14" t="n">
        <f aca="false">($L$2*M5150)/100</f>
        <v>564783.255</v>
      </c>
      <c r="M5150" s="15" t="n">
        <v>0.47</v>
      </c>
      <c r="N5150" s="9" t="s">
        <v>85</v>
      </c>
    </row>
    <row r="5151" customFormat="false" ht="14.25" hidden="false" customHeight="true" outlineLevel="0" collapsed="false">
      <c r="B5151" s="9" t="s">
        <v>63</v>
      </c>
      <c r="C5151" s="9" t="n">
        <v>1185732</v>
      </c>
      <c r="D5151" s="10" t="n">
        <v>44397</v>
      </c>
      <c r="E5151" s="9" t="s">
        <v>33</v>
      </c>
      <c r="F5151" s="9" t="s">
        <v>66</v>
      </c>
      <c r="G5151" s="9" t="s">
        <v>67</v>
      </c>
      <c r="H5151" s="11" t="s">
        <v>22</v>
      </c>
      <c r="I5151" s="12" t="n">
        <v>53</v>
      </c>
      <c r="J5151" s="13" t="n">
        <v>102</v>
      </c>
      <c r="K5151" s="14" t="n">
        <f aca="false">I5151*J5151</f>
        <v>5406</v>
      </c>
      <c r="L5151" s="14" t="n">
        <f aca="false">($L$2*M5151)/100</f>
        <v>432599.94</v>
      </c>
      <c r="M5151" s="15" t="n">
        <v>0.36</v>
      </c>
      <c r="N5151" s="9" t="s">
        <v>85</v>
      </c>
    </row>
    <row r="5152" customFormat="false" ht="14.25" hidden="false" customHeight="true" outlineLevel="0" collapsed="false">
      <c r="B5152" s="9" t="s">
        <v>63</v>
      </c>
      <c r="C5152" s="9" t="n">
        <v>1185732</v>
      </c>
      <c r="D5152" s="10" t="n">
        <v>44397</v>
      </c>
      <c r="E5152" s="9" t="s">
        <v>33</v>
      </c>
      <c r="F5152" s="9" t="s">
        <v>66</v>
      </c>
      <c r="G5152" s="9" t="s">
        <v>67</v>
      </c>
      <c r="H5152" s="11" t="s">
        <v>23</v>
      </c>
      <c r="I5152" s="12" t="n">
        <v>51</v>
      </c>
      <c r="J5152" s="13" t="n">
        <v>75</v>
      </c>
      <c r="K5152" s="14" t="n">
        <f aca="false">I5152*J5152</f>
        <v>3825</v>
      </c>
      <c r="L5152" s="14" t="n">
        <f aca="false">($L$2*M5152)/100</f>
        <v>456633.27</v>
      </c>
      <c r="M5152" s="15" t="n">
        <v>0.38</v>
      </c>
      <c r="N5152" s="9" t="s">
        <v>85</v>
      </c>
    </row>
    <row r="5153" customFormat="false" ht="14.25" hidden="false" customHeight="true" outlineLevel="0" collapsed="false">
      <c r="B5153" s="9" t="s">
        <v>63</v>
      </c>
      <c r="C5153" s="9" t="n">
        <v>1185732</v>
      </c>
      <c r="D5153" s="10" t="n">
        <v>44397</v>
      </c>
      <c r="E5153" s="9" t="s">
        <v>33</v>
      </c>
      <c r="F5153" s="9" t="s">
        <v>66</v>
      </c>
      <c r="G5153" s="9" t="s">
        <v>67</v>
      </c>
      <c r="H5153" s="11" t="s">
        <v>24</v>
      </c>
      <c r="I5153" s="12" t="n">
        <v>61</v>
      </c>
      <c r="J5153" s="13" t="n">
        <v>91</v>
      </c>
      <c r="K5153" s="14" t="n">
        <f aca="false">I5153*J5153</f>
        <v>5551</v>
      </c>
      <c r="L5153" s="14" t="n">
        <f aca="false">($L$2*M5153)/100</f>
        <v>468649.935</v>
      </c>
      <c r="M5153" s="15" t="n">
        <v>0.39</v>
      </c>
      <c r="N5153" s="9" t="s">
        <v>85</v>
      </c>
    </row>
    <row r="5154" customFormat="false" ht="14.25" hidden="false" customHeight="true" outlineLevel="0" collapsed="false">
      <c r="B5154" s="9" t="s">
        <v>63</v>
      </c>
      <c r="C5154" s="9" t="n">
        <v>1185732</v>
      </c>
      <c r="D5154" s="10" t="n">
        <v>44397</v>
      </c>
      <c r="E5154" s="9" t="s">
        <v>33</v>
      </c>
      <c r="F5154" s="9" t="s">
        <v>66</v>
      </c>
      <c r="G5154" s="9" t="s">
        <v>67</v>
      </c>
      <c r="H5154" s="11" t="s">
        <v>25</v>
      </c>
      <c r="I5154" s="12" t="n">
        <v>67</v>
      </c>
      <c r="J5154" s="13" t="n">
        <v>130</v>
      </c>
      <c r="K5154" s="14" t="n">
        <f aca="false">I5154*J5154</f>
        <v>8710</v>
      </c>
      <c r="L5154" s="14" t="n">
        <f aca="false">($L$2*M5154)/100</f>
        <v>540749.925</v>
      </c>
      <c r="M5154" s="15" t="n">
        <v>0.45</v>
      </c>
      <c r="N5154" s="9" t="s">
        <v>85</v>
      </c>
    </row>
    <row r="5155" customFormat="false" ht="14.25" hidden="false" customHeight="true" outlineLevel="0" collapsed="false">
      <c r="B5155" s="9" t="s">
        <v>63</v>
      </c>
      <c r="C5155" s="9" t="n">
        <v>1185732</v>
      </c>
      <c r="D5155" s="10" t="n">
        <v>44429</v>
      </c>
      <c r="E5155" s="9" t="s">
        <v>33</v>
      </c>
      <c r="F5155" s="9" t="s">
        <v>66</v>
      </c>
      <c r="G5155" s="9" t="s">
        <v>67</v>
      </c>
      <c r="H5155" s="11" t="s">
        <v>19</v>
      </c>
      <c r="I5155" s="12" t="n">
        <v>59</v>
      </c>
      <c r="J5155" s="13" t="n">
        <v>163</v>
      </c>
      <c r="K5155" s="14" t="n">
        <f aca="false">I5155*J5155</f>
        <v>9617</v>
      </c>
      <c r="L5155" s="14" t="n">
        <f aca="false">($L$2*M5155)/100</f>
        <v>540749.925</v>
      </c>
      <c r="M5155" s="15" t="n">
        <v>0.45</v>
      </c>
      <c r="N5155" s="9" t="s">
        <v>85</v>
      </c>
    </row>
    <row r="5156" customFormat="false" ht="14.25" hidden="false" customHeight="true" outlineLevel="0" collapsed="false">
      <c r="B5156" s="9" t="s">
        <v>63</v>
      </c>
      <c r="C5156" s="9" t="n">
        <v>1185732</v>
      </c>
      <c r="D5156" s="10" t="n">
        <v>44429</v>
      </c>
      <c r="E5156" s="9" t="s">
        <v>33</v>
      </c>
      <c r="F5156" s="9" t="s">
        <v>66</v>
      </c>
      <c r="G5156" s="9" t="s">
        <v>67</v>
      </c>
      <c r="H5156" s="11" t="s">
        <v>21</v>
      </c>
      <c r="I5156" s="12" t="n">
        <v>56</v>
      </c>
      <c r="J5156" s="13" t="n">
        <v>106</v>
      </c>
      <c r="K5156" s="14" t="n">
        <f aca="false">I5156*J5156</f>
        <v>5936</v>
      </c>
      <c r="L5156" s="14" t="n">
        <f aca="false">($L$2*M5156)/100</f>
        <v>540749.925</v>
      </c>
      <c r="M5156" s="15" t="n">
        <v>0.45</v>
      </c>
      <c r="N5156" s="9" t="s">
        <v>85</v>
      </c>
    </row>
    <row r="5157" customFormat="false" ht="14.25" hidden="false" customHeight="true" outlineLevel="0" collapsed="false">
      <c r="B5157" s="9" t="s">
        <v>63</v>
      </c>
      <c r="C5157" s="9" t="n">
        <v>1185732</v>
      </c>
      <c r="D5157" s="10" t="n">
        <v>44429</v>
      </c>
      <c r="E5157" s="9" t="s">
        <v>33</v>
      </c>
      <c r="F5157" s="9" t="s">
        <v>66</v>
      </c>
      <c r="G5157" s="9" t="s">
        <v>67</v>
      </c>
      <c r="H5157" s="11" t="s">
        <v>22</v>
      </c>
      <c r="I5157" s="12" t="n">
        <v>54</v>
      </c>
      <c r="J5157" s="13" t="n">
        <v>102</v>
      </c>
      <c r="K5157" s="14" t="n">
        <f aca="false">I5157*J5157</f>
        <v>5508</v>
      </c>
      <c r="L5157" s="14" t="n">
        <f aca="false">($L$2*M5157)/100</f>
        <v>432599.94</v>
      </c>
      <c r="M5157" s="15" t="n">
        <v>0.36</v>
      </c>
      <c r="N5157" s="9" t="s">
        <v>85</v>
      </c>
    </row>
    <row r="5158" customFormat="false" ht="14.25" hidden="false" customHeight="true" outlineLevel="0" collapsed="false">
      <c r="B5158" s="9" t="s">
        <v>63</v>
      </c>
      <c r="C5158" s="9" t="n">
        <v>1185732</v>
      </c>
      <c r="D5158" s="10" t="n">
        <v>44429</v>
      </c>
      <c r="E5158" s="9" t="s">
        <v>33</v>
      </c>
      <c r="F5158" s="9" t="s">
        <v>66</v>
      </c>
      <c r="G5158" s="9" t="s">
        <v>67</v>
      </c>
      <c r="H5158" s="11" t="s">
        <v>23</v>
      </c>
      <c r="I5158" s="12" t="n">
        <v>53</v>
      </c>
      <c r="J5158" s="13" t="n">
        <v>68</v>
      </c>
      <c r="K5158" s="14" t="n">
        <f aca="false">I5158*J5158</f>
        <v>3604</v>
      </c>
      <c r="L5158" s="14" t="n">
        <f aca="false">($L$2*M5158)/100</f>
        <v>480666.6</v>
      </c>
      <c r="M5158" s="15" t="n">
        <v>0.4</v>
      </c>
      <c r="N5158" s="9" t="s">
        <v>85</v>
      </c>
    </row>
    <row r="5159" customFormat="false" ht="14.25" hidden="false" customHeight="true" outlineLevel="0" collapsed="false">
      <c r="B5159" s="9" t="s">
        <v>63</v>
      </c>
      <c r="C5159" s="9" t="n">
        <v>1185732</v>
      </c>
      <c r="D5159" s="10" t="n">
        <v>44429</v>
      </c>
      <c r="E5159" s="9" t="s">
        <v>33</v>
      </c>
      <c r="F5159" s="9" t="s">
        <v>66</v>
      </c>
      <c r="G5159" s="9" t="s">
        <v>67</v>
      </c>
      <c r="H5159" s="11" t="s">
        <v>24</v>
      </c>
      <c r="I5159" s="12" t="n">
        <v>62</v>
      </c>
      <c r="J5159" s="13" t="n">
        <v>65</v>
      </c>
      <c r="K5159" s="14" t="n">
        <f aca="false">I5159*J5159</f>
        <v>4030</v>
      </c>
      <c r="L5159" s="14" t="n">
        <f aca="false">($L$2*M5159)/100</f>
        <v>456633.27</v>
      </c>
      <c r="M5159" s="15" t="n">
        <v>0.38</v>
      </c>
      <c r="N5159" s="9" t="s">
        <v>85</v>
      </c>
    </row>
    <row r="5160" customFormat="false" ht="14.25" hidden="false" customHeight="true" outlineLevel="0" collapsed="false">
      <c r="B5160" s="9" t="s">
        <v>63</v>
      </c>
      <c r="C5160" s="9" t="n">
        <v>1185732</v>
      </c>
      <c r="D5160" s="10" t="n">
        <v>44429</v>
      </c>
      <c r="E5160" s="9" t="s">
        <v>33</v>
      </c>
      <c r="F5160" s="9" t="s">
        <v>66</v>
      </c>
      <c r="G5160" s="9" t="s">
        <v>67</v>
      </c>
      <c r="H5160" s="11" t="s">
        <v>25</v>
      </c>
      <c r="I5160" s="12" t="n">
        <v>67</v>
      </c>
      <c r="J5160" s="13" t="n">
        <v>104</v>
      </c>
      <c r="K5160" s="14" t="n">
        <f aca="false">I5160*J5160</f>
        <v>6968</v>
      </c>
      <c r="L5160" s="14" t="n">
        <f aca="false">($L$2*M5160)/100</f>
        <v>504699.93</v>
      </c>
      <c r="M5160" s="15" t="n">
        <v>0.42</v>
      </c>
      <c r="N5160" s="9" t="s">
        <v>85</v>
      </c>
    </row>
    <row r="5161" customFormat="false" ht="14.25" hidden="false" customHeight="true" outlineLevel="0" collapsed="false">
      <c r="B5161" s="9" t="s">
        <v>63</v>
      </c>
      <c r="C5161" s="9" t="n">
        <v>1185732</v>
      </c>
      <c r="D5161" s="10" t="n">
        <v>44459</v>
      </c>
      <c r="E5161" s="9" t="s">
        <v>33</v>
      </c>
      <c r="F5161" s="9" t="s">
        <v>66</v>
      </c>
      <c r="G5161" s="9" t="s">
        <v>67</v>
      </c>
      <c r="H5161" s="11" t="s">
        <v>19</v>
      </c>
      <c r="I5161" s="12" t="n">
        <v>64</v>
      </c>
      <c r="J5161" s="13" t="n">
        <v>131</v>
      </c>
      <c r="K5161" s="14" t="n">
        <f aca="false">I5161*J5161</f>
        <v>8384</v>
      </c>
      <c r="L5161" s="14" t="n">
        <f aca="false">($L$2*M5161)/100</f>
        <v>576799.92</v>
      </c>
      <c r="M5161" s="15" t="n">
        <v>0.48</v>
      </c>
      <c r="N5161" s="9" t="s">
        <v>85</v>
      </c>
    </row>
    <row r="5162" customFormat="false" ht="14.25" hidden="false" customHeight="true" outlineLevel="0" collapsed="false">
      <c r="B5162" s="9" t="s">
        <v>63</v>
      </c>
      <c r="C5162" s="9" t="n">
        <v>1185732</v>
      </c>
      <c r="D5162" s="10" t="n">
        <v>44459</v>
      </c>
      <c r="E5162" s="9" t="s">
        <v>33</v>
      </c>
      <c r="F5162" s="9" t="s">
        <v>66</v>
      </c>
      <c r="G5162" s="9" t="s">
        <v>67</v>
      </c>
      <c r="H5162" s="11" t="s">
        <v>21</v>
      </c>
      <c r="I5162" s="12" t="n">
        <v>55</v>
      </c>
      <c r="J5162" s="13" t="n">
        <v>91</v>
      </c>
      <c r="K5162" s="14" t="n">
        <f aca="false">I5162*J5162</f>
        <v>5005</v>
      </c>
      <c r="L5162" s="14" t="n">
        <f aca="false">($L$2*M5162)/100</f>
        <v>576799.92</v>
      </c>
      <c r="M5162" s="15" t="n">
        <v>0.48</v>
      </c>
      <c r="N5162" s="9" t="s">
        <v>85</v>
      </c>
    </row>
    <row r="5163" customFormat="false" ht="14.25" hidden="false" customHeight="true" outlineLevel="0" collapsed="false">
      <c r="B5163" s="9" t="s">
        <v>63</v>
      </c>
      <c r="C5163" s="9" t="n">
        <v>1185732</v>
      </c>
      <c r="D5163" s="10" t="n">
        <v>44459</v>
      </c>
      <c r="E5163" s="9" t="s">
        <v>33</v>
      </c>
      <c r="F5163" s="9" t="s">
        <v>66</v>
      </c>
      <c r="G5163" s="9" t="s">
        <v>67</v>
      </c>
      <c r="H5163" s="11" t="s">
        <v>22</v>
      </c>
      <c r="I5163" s="12" t="n">
        <v>50</v>
      </c>
      <c r="J5163" s="13" t="n">
        <v>59</v>
      </c>
      <c r="K5163" s="14" t="n">
        <f aca="false">I5163*J5163</f>
        <v>2950</v>
      </c>
      <c r="L5163" s="14" t="n">
        <f aca="false">($L$2*M5163)/100</f>
        <v>456633.27</v>
      </c>
      <c r="M5163" s="15" t="n">
        <v>0.38</v>
      </c>
      <c r="N5163" s="9" t="s">
        <v>85</v>
      </c>
    </row>
    <row r="5164" customFormat="false" ht="14.25" hidden="false" customHeight="true" outlineLevel="0" collapsed="false">
      <c r="B5164" s="9" t="s">
        <v>63</v>
      </c>
      <c r="C5164" s="9" t="n">
        <v>1185732</v>
      </c>
      <c r="D5164" s="10" t="n">
        <v>44459</v>
      </c>
      <c r="E5164" s="9" t="s">
        <v>33</v>
      </c>
      <c r="F5164" s="9" t="s">
        <v>66</v>
      </c>
      <c r="G5164" s="9" t="s">
        <v>67</v>
      </c>
      <c r="H5164" s="11" t="s">
        <v>23</v>
      </c>
      <c r="I5164" s="12" t="n">
        <v>50</v>
      </c>
      <c r="J5164" s="13" t="n">
        <v>56</v>
      </c>
      <c r="K5164" s="14" t="n">
        <f aca="false">I5164*J5164</f>
        <v>2800</v>
      </c>
      <c r="L5164" s="14" t="n">
        <f aca="false">($L$2*M5164)/100</f>
        <v>468649.935</v>
      </c>
      <c r="M5164" s="15" t="n">
        <v>0.39</v>
      </c>
      <c r="N5164" s="9" t="s">
        <v>85</v>
      </c>
    </row>
    <row r="5165" customFormat="false" ht="14.25" hidden="false" customHeight="true" outlineLevel="0" collapsed="false">
      <c r="B5165" s="9" t="s">
        <v>63</v>
      </c>
      <c r="C5165" s="9" t="n">
        <v>1185732</v>
      </c>
      <c r="D5165" s="10" t="n">
        <v>44459</v>
      </c>
      <c r="E5165" s="9" t="s">
        <v>33</v>
      </c>
      <c r="F5165" s="9" t="s">
        <v>66</v>
      </c>
      <c r="G5165" s="9" t="s">
        <v>67</v>
      </c>
      <c r="H5165" s="11" t="s">
        <v>24</v>
      </c>
      <c r="I5165" s="12" t="n">
        <v>62</v>
      </c>
      <c r="J5165" s="13" t="n">
        <v>60</v>
      </c>
      <c r="K5165" s="14" t="n">
        <f aca="false">I5165*J5165</f>
        <v>3720</v>
      </c>
      <c r="L5165" s="14" t="n">
        <f aca="false">($L$2*M5165)/100</f>
        <v>480666.6</v>
      </c>
      <c r="M5165" s="15" t="n">
        <v>0.4</v>
      </c>
      <c r="N5165" s="9" t="s">
        <v>85</v>
      </c>
    </row>
    <row r="5166" customFormat="false" ht="14.25" hidden="false" customHeight="true" outlineLevel="0" collapsed="false">
      <c r="B5166" s="9" t="s">
        <v>63</v>
      </c>
      <c r="C5166" s="9" t="n">
        <v>1185732</v>
      </c>
      <c r="D5166" s="10" t="n">
        <v>44459</v>
      </c>
      <c r="E5166" s="9" t="s">
        <v>33</v>
      </c>
      <c r="F5166" s="9" t="s">
        <v>66</v>
      </c>
      <c r="G5166" s="9" t="s">
        <v>67</v>
      </c>
      <c r="H5166" s="11" t="s">
        <v>25</v>
      </c>
      <c r="I5166" s="12" t="n">
        <v>64</v>
      </c>
      <c r="J5166" s="13" t="n">
        <v>84</v>
      </c>
      <c r="K5166" s="14" t="n">
        <f aca="false">I5166*J5166</f>
        <v>5376</v>
      </c>
      <c r="L5166" s="14" t="n">
        <f aca="false">($L$2*M5166)/100</f>
        <v>492683.265</v>
      </c>
      <c r="M5166" s="15" t="n">
        <v>0.41</v>
      </c>
      <c r="N5166" s="9" t="s">
        <v>85</v>
      </c>
    </row>
    <row r="5167" customFormat="false" ht="14.25" hidden="false" customHeight="true" outlineLevel="0" collapsed="false">
      <c r="B5167" s="9" t="s">
        <v>63</v>
      </c>
      <c r="C5167" s="9" t="n">
        <v>1185732</v>
      </c>
      <c r="D5167" s="10" t="n">
        <v>44491</v>
      </c>
      <c r="E5167" s="9" t="s">
        <v>33</v>
      </c>
      <c r="F5167" s="9" t="s">
        <v>66</v>
      </c>
      <c r="G5167" s="9" t="s">
        <v>67</v>
      </c>
      <c r="H5167" s="11" t="s">
        <v>19</v>
      </c>
      <c r="I5167" s="12" t="n">
        <v>68</v>
      </c>
      <c r="J5167" s="13" t="n">
        <v>113</v>
      </c>
      <c r="K5167" s="14" t="n">
        <f aca="false">I5167*J5167</f>
        <v>7684</v>
      </c>
      <c r="L5167" s="14" t="n">
        <f aca="false">($L$2*M5167)/100</f>
        <v>564783.255</v>
      </c>
      <c r="M5167" s="15" t="n">
        <v>0.47</v>
      </c>
      <c r="N5167" s="9" t="s">
        <v>85</v>
      </c>
    </row>
    <row r="5168" customFormat="false" ht="14.25" hidden="false" customHeight="true" outlineLevel="0" collapsed="false">
      <c r="B5168" s="9" t="s">
        <v>63</v>
      </c>
      <c r="C5168" s="9" t="n">
        <v>1185732</v>
      </c>
      <c r="D5168" s="10" t="n">
        <v>44491</v>
      </c>
      <c r="E5168" s="9" t="s">
        <v>33</v>
      </c>
      <c r="F5168" s="9" t="s">
        <v>66</v>
      </c>
      <c r="G5168" s="9" t="s">
        <v>67</v>
      </c>
      <c r="H5168" s="11" t="s">
        <v>21</v>
      </c>
      <c r="I5168" s="12" t="n">
        <v>60</v>
      </c>
      <c r="J5168" s="13" t="n">
        <v>77</v>
      </c>
      <c r="K5168" s="14" t="n">
        <f aca="false">I5168*J5168</f>
        <v>4620</v>
      </c>
      <c r="L5168" s="14" t="n">
        <f aca="false">($L$2*M5168)/100</f>
        <v>576799.92</v>
      </c>
      <c r="M5168" s="15" t="n">
        <v>0.48</v>
      </c>
      <c r="N5168" s="9" t="s">
        <v>85</v>
      </c>
    </row>
    <row r="5169" customFormat="false" ht="14.25" hidden="false" customHeight="true" outlineLevel="0" collapsed="false">
      <c r="B5169" s="9" t="s">
        <v>63</v>
      </c>
      <c r="C5169" s="9" t="n">
        <v>1185732</v>
      </c>
      <c r="D5169" s="10" t="n">
        <v>44491</v>
      </c>
      <c r="E5169" s="9" t="s">
        <v>33</v>
      </c>
      <c r="F5169" s="9" t="s">
        <v>66</v>
      </c>
      <c r="G5169" s="9" t="s">
        <v>67</v>
      </c>
      <c r="H5169" s="11" t="s">
        <v>22</v>
      </c>
      <c r="I5169" s="12" t="n">
        <v>59</v>
      </c>
      <c r="J5169" s="13" t="n">
        <v>46</v>
      </c>
      <c r="K5169" s="14" t="n">
        <f aca="false">I5169*J5169</f>
        <v>2714</v>
      </c>
      <c r="L5169" s="14" t="n">
        <f aca="false">($L$2*M5169)/100</f>
        <v>480666.6</v>
      </c>
      <c r="M5169" s="15" t="n">
        <v>0.4</v>
      </c>
      <c r="N5169" s="9" t="s">
        <v>85</v>
      </c>
    </row>
    <row r="5170" customFormat="false" ht="14.25" hidden="false" customHeight="true" outlineLevel="0" collapsed="false">
      <c r="B5170" s="9" t="s">
        <v>63</v>
      </c>
      <c r="C5170" s="9" t="n">
        <v>1185732</v>
      </c>
      <c r="D5170" s="10" t="n">
        <v>44491</v>
      </c>
      <c r="E5170" s="9" t="s">
        <v>33</v>
      </c>
      <c r="F5170" s="9" t="s">
        <v>66</v>
      </c>
      <c r="G5170" s="9" t="s">
        <v>67</v>
      </c>
      <c r="H5170" s="11" t="s">
        <v>23</v>
      </c>
      <c r="I5170" s="12" t="n">
        <v>59</v>
      </c>
      <c r="J5170" s="13" t="n">
        <v>42</v>
      </c>
      <c r="K5170" s="14" t="n">
        <f aca="false">I5170*J5170</f>
        <v>2478</v>
      </c>
      <c r="L5170" s="14" t="n">
        <f aca="false">($L$2*M5170)/100</f>
        <v>432599.94</v>
      </c>
      <c r="M5170" s="15" t="n">
        <v>0.36</v>
      </c>
      <c r="N5170" s="9" t="s">
        <v>85</v>
      </c>
    </row>
    <row r="5171" customFormat="false" ht="14.25" hidden="false" customHeight="true" outlineLevel="0" collapsed="false">
      <c r="B5171" s="9" t="s">
        <v>63</v>
      </c>
      <c r="C5171" s="9" t="n">
        <v>1185732</v>
      </c>
      <c r="D5171" s="10" t="n">
        <v>44491</v>
      </c>
      <c r="E5171" s="9" t="s">
        <v>33</v>
      </c>
      <c r="F5171" s="9" t="s">
        <v>66</v>
      </c>
      <c r="G5171" s="9" t="s">
        <v>67</v>
      </c>
      <c r="H5171" s="11" t="s">
        <v>24</v>
      </c>
      <c r="I5171" s="12" t="n">
        <v>71</v>
      </c>
      <c r="J5171" s="13" t="n">
        <v>44</v>
      </c>
      <c r="K5171" s="14" t="n">
        <f aca="false">I5171*J5171</f>
        <v>3124</v>
      </c>
      <c r="L5171" s="14" t="n">
        <f aca="false">($L$2*M5171)/100</f>
        <v>420583.275</v>
      </c>
      <c r="M5171" s="15" t="n">
        <v>0.35</v>
      </c>
      <c r="N5171" s="9" t="s">
        <v>85</v>
      </c>
    </row>
    <row r="5172" customFormat="false" ht="14.25" hidden="false" customHeight="true" outlineLevel="0" collapsed="false">
      <c r="B5172" s="9" t="s">
        <v>63</v>
      </c>
      <c r="C5172" s="9" t="n">
        <v>1185732</v>
      </c>
      <c r="D5172" s="10" t="n">
        <v>44491</v>
      </c>
      <c r="E5172" s="9" t="s">
        <v>33</v>
      </c>
      <c r="F5172" s="9" t="s">
        <v>66</v>
      </c>
      <c r="G5172" s="9" t="s">
        <v>67</v>
      </c>
      <c r="H5172" s="11" t="s">
        <v>25</v>
      </c>
      <c r="I5172" s="12" t="n">
        <v>73</v>
      </c>
      <c r="J5172" s="13" t="n">
        <v>83</v>
      </c>
      <c r="K5172" s="14" t="n">
        <f aca="false">I5172*J5172</f>
        <v>6059</v>
      </c>
      <c r="L5172" s="14" t="n">
        <f aca="false">($L$2*M5172)/100</f>
        <v>480666.6</v>
      </c>
      <c r="M5172" s="15" t="n">
        <v>0.4</v>
      </c>
      <c r="N5172" s="9" t="s">
        <v>85</v>
      </c>
    </row>
    <row r="5173" customFormat="false" ht="14.25" hidden="false" customHeight="true" outlineLevel="0" collapsed="false">
      <c r="B5173" s="9" t="s">
        <v>63</v>
      </c>
      <c r="C5173" s="9" t="n">
        <v>1185732</v>
      </c>
      <c r="D5173" s="10" t="n">
        <v>44521</v>
      </c>
      <c r="E5173" s="9" t="s">
        <v>33</v>
      </c>
      <c r="F5173" s="9" t="s">
        <v>66</v>
      </c>
      <c r="G5173" s="9" t="s">
        <v>67</v>
      </c>
      <c r="H5173" s="11" t="s">
        <v>19</v>
      </c>
      <c r="I5173" s="12" t="n">
        <v>68</v>
      </c>
      <c r="J5173" s="13" t="n">
        <v>123</v>
      </c>
      <c r="K5173" s="14" t="n">
        <f aca="false">I5173*J5173</f>
        <v>8364</v>
      </c>
      <c r="L5173" s="14" t="n">
        <f aca="false">($L$2*M5173)/100</f>
        <v>576799.92</v>
      </c>
      <c r="M5173" s="15" t="n">
        <v>0.48</v>
      </c>
      <c r="N5173" s="9" t="s">
        <v>85</v>
      </c>
    </row>
    <row r="5174" customFormat="false" ht="14.25" hidden="false" customHeight="true" outlineLevel="0" collapsed="false">
      <c r="B5174" s="9" t="s">
        <v>63</v>
      </c>
      <c r="C5174" s="9" t="n">
        <v>1185732</v>
      </c>
      <c r="D5174" s="10" t="n">
        <v>44521</v>
      </c>
      <c r="E5174" s="9" t="s">
        <v>33</v>
      </c>
      <c r="F5174" s="9" t="s">
        <v>66</v>
      </c>
      <c r="G5174" s="9" t="s">
        <v>67</v>
      </c>
      <c r="H5174" s="11" t="s">
        <v>21</v>
      </c>
      <c r="I5174" s="12" t="n">
        <v>59</v>
      </c>
      <c r="J5174" s="13" t="n">
        <v>81</v>
      </c>
      <c r="K5174" s="14" t="n">
        <f aca="false">I5174*J5174</f>
        <v>4779</v>
      </c>
      <c r="L5174" s="14" t="n">
        <f aca="false">($L$2*M5174)/100</f>
        <v>552766.59</v>
      </c>
      <c r="M5174" s="15" t="n">
        <v>0.46</v>
      </c>
      <c r="N5174" s="9" t="s">
        <v>85</v>
      </c>
    </row>
    <row r="5175" customFormat="false" ht="14.25" hidden="false" customHeight="true" outlineLevel="0" collapsed="false">
      <c r="B5175" s="9" t="s">
        <v>63</v>
      </c>
      <c r="C5175" s="9" t="n">
        <v>1185732</v>
      </c>
      <c r="D5175" s="10" t="n">
        <v>44521</v>
      </c>
      <c r="E5175" s="9" t="s">
        <v>33</v>
      </c>
      <c r="F5175" s="9" t="s">
        <v>66</v>
      </c>
      <c r="G5175" s="9" t="s">
        <v>67</v>
      </c>
      <c r="H5175" s="11" t="s">
        <v>22</v>
      </c>
      <c r="I5175" s="12" t="n">
        <v>59</v>
      </c>
      <c r="J5175" s="13" t="n">
        <v>93</v>
      </c>
      <c r="K5175" s="14" t="n">
        <f aca="false">I5175*J5175</f>
        <v>5487</v>
      </c>
      <c r="L5175" s="14" t="n">
        <f aca="false">($L$2*M5175)/100</f>
        <v>468649.935</v>
      </c>
      <c r="M5175" s="15" t="n">
        <v>0.39</v>
      </c>
      <c r="N5175" s="9" t="s">
        <v>85</v>
      </c>
    </row>
    <row r="5176" customFormat="false" ht="14.25" hidden="false" customHeight="true" outlineLevel="0" collapsed="false">
      <c r="B5176" s="9" t="s">
        <v>63</v>
      </c>
      <c r="C5176" s="9" t="n">
        <v>1185732</v>
      </c>
      <c r="D5176" s="10" t="n">
        <v>44521</v>
      </c>
      <c r="E5176" s="9" t="s">
        <v>33</v>
      </c>
      <c r="F5176" s="9" t="s">
        <v>66</v>
      </c>
      <c r="G5176" s="9" t="s">
        <v>67</v>
      </c>
      <c r="H5176" s="11" t="s">
        <v>23</v>
      </c>
      <c r="I5176" s="12" t="n">
        <v>62</v>
      </c>
      <c r="J5176" s="13" t="n">
        <v>90</v>
      </c>
      <c r="K5176" s="14" t="n">
        <f aca="false">I5176*J5176</f>
        <v>5580</v>
      </c>
      <c r="L5176" s="14" t="n">
        <f aca="false">($L$2*M5176)/100</f>
        <v>456633.27</v>
      </c>
      <c r="M5176" s="15" t="n">
        <v>0.38</v>
      </c>
      <c r="N5176" s="9" t="s">
        <v>85</v>
      </c>
    </row>
    <row r="5177" customFormat="false" ht="14.25" hidden="false" customHeight="true" outlineLevel="0" collapsed="false">
      <c r="B5177" s="9" t="s">
        <v>63</v>
      </c>
      <c r="C5177" s="9" t="n">
        <v>1185732</v>
      </c>
      <c r="D5177" s="10" t="n">
        <v>44521</v>
      </c>
      <c r="E5177" s="9" t="s">
        <v>33</v>
      </c>
      <c r="F5177" s="9" t="s">
        <v>66</v>
      </c>
      <c r="G5177" s="9" t="s">
        <v>67</v>
      </c>
      <c r="H5177" s="11" t="s">
        <v>24</v>
      </c>
      <c r="I5177" s="12" t="n">
        <v>69</v>
      </c>
      <c r="J5177" s="13" t="n">
        <v>83</v>
      </c>
      <c r="K5177" s="14" t="n">
        <f aca="false">I5177*J5177</f>
        <v>5727</v>
      </c>
      <c r="L5177" s="14" t="n">
        <f aca="false">($L$2*M5177)/100</f>
        <v>420583.275</v>
      </c>
      <c r="M5177" s="15" t="n">
        <v>0.35</v>
      </c>
      <c r="N5177" s="9" t="s">
        <v>85</v>
      </c>
    </row>
    <row r="5178" customFormat="false" ht="14.25" hidden="false" customHeight="true" outlineLevel="0" collapsed="false">
      <c r="B5178" s="9" t="s">
        <v>63</v>
      </c>
      <c r="C5178" s="9" t="n">
        <v>1185732</v>
      </c>
      <c r="D5178" s="10" t="n">
        <v>44521</v>
      </c>
      <c r="E5178" s="9" t="s">
        <v>33</v>
      </c>
      <c r="F5178" s="9" t="s">
        <v>66</v>
      </c>
      <c r="G5178" s="9" t="s">
        <v>67</v>
      </c>
      <c r="H5178" s="11" t="s">
        <v>25</v>
      </c>
      <c r="I5178" s="12" t="n">
        <v>74</v>
      </c>
      <c r="J5178" s="13" t="n">
        <v>101</v>
      </c>
      <c r="K5178" s="14" t="n">
        <f aca="false">I5178*J5178</f>
        <v>7474</v>
      </c>
      <c r="L5178" s="14" t="n">
        <f aca="false">($L$2*M5178)/100</f>
        <v>504699.93</v>
      </c>
      <c r="M5178" s="15" t="n">
        <v>0.42</v>
      </c>
      <c r="N5178" s="9" t="s">
        <v>85</v>
      </c>
    </row>
    <row r="5179" customFormat="false" ht="14.25" hidden="false" customHeight="true" outlineLevel="0" collapsed="false">
      <c r="B5179" s="9" t="s">
        <v>63</v>
      </c>
      <c r="C5179" s="9" t="n">
        <v>1185732</v>
      </c>
      <c r="D5179" s="10" t="n">
        <v>44550</v>
      </c>
      <c r="E5179" s="9" t="s">
        <v>33</v>
      </c>
      <c r="F5179" s="9" t="s">
        <v>66</v>
      </c>
      <c r="G5179" s="9" t="s">
        <v>67</v>
      </c>
      <c r="H5179" s="11" t="s">
        <v>19</v>
      </c>
      <c r="I5179" s="12" t="n">
        <v>69</v>
      </c>
      <c r="J5179" s="13" t="n">
        <v>174</v>
      </c>
      <c r="K5179" s="14" t="n">
        <f aca="false">I5179*J5179</f>
        <v>12006</v>
      </c>
      <c r="L5179" s="14" t="n">
        <f aca="false">($L$2*M5179)/100</f>
        <v>564783.255</v>
      </c>
      <c r="M5179" s="15" t="n">
        <v>0.47</v>
      </c>
      <c r="N5179" s="9" t="s">
        <v>85</v>
      </c>
    </row>
    <row r="5180" customFormat="false" ht="14.25" hidden="false" customHeight="true" outlineLevel="0" collapsed="false">
      <c r="B5180" s="9" t="s">
        <v>63</v>
      </c>
      <c r="C5180" s="9" t="n">
        <v>1185732</v>
      </c>
      <c r="D5180" s="10" t="n">
        <v>44550</v>
      </c>
      <c r="E5180" s="9" t="s">
        <v>33</v>
      </c>
      <c r="F5180" s="9" t="s">
        <v>66</v>
      </c>
      <c r="G5180" s="9" t="s">
        <v>67</v>
      </c>
      <c r="H5180" s="11" t="s">
        <v>21</v>
      </c>
      <c r="I5180" s="12" t="n">
        <v>60</v>
      </c>
      <c r="J5180" s="13" t="n">
        <v>112</v>
      </c>
      <c r="K5180" s="14" t="n">
        <f aca="false">I5180*J5180</f>
        <v>6720</v>
      </c>
      <c r="L5180" s="14" t="n">
        <f aca="false">($L$2*M5180)/100</f>
        <v>564783.255</v>
      </c>
      <c r="M5180" s="15" t="n">
        <v>0.47</v>
      </c>
      <c r="N5180" s="9" t="s">
        <v>85</v>
      </c>
    </row>
    <row r="5181" customFormat="false" ht="14.25" hidden="false" customHeight="true" outlineLevel="0" collapsed="false">
      <c r="B5181" s="9" t="s">
        <v>16</v>
      </c>
      <c r="C5181" s="9" t="n">
        <v>1128299</v>
      </c>
      <c r="D5181" s="10" t="n">
        <v>44206</v>
      </c>
      <c r="E5181" s="9" t="s">
        <v>33</v>
      </c>
      <c r="F5181" s="9" t="s">
        <v>66</v>
      </c>
      <c r="G5181" s="9" t="s">
        <v>67</v>
      </c>
      <c r="H5181" s="11" t="s">
        <v>19</v>
      </c>
      <c r="I5181" s="12" t="n">
        <v>33</v>
      </c>
      <c r="J5181" s="13" t="n">
        <v>109</v>
      </c>
      <c r="K5181" s="14" t="n">
        <f aca="false">I5181*J5181</f>
        <v>3597</v>
      </c>
      <c r="L5181" s="14" t="n">
        <f aca="false">($L$2*M5181)/100</f>
        <v>456633.27</v>
      </c>
      <c r="M5181" s="15" t="n">
        <v>0.38</v>
      </c>
      <c r="N5181" s="9" t="s">
        <v>85</v>
      </c>
    </row>
    <row r="5182" customFormat="false" ht="14.25" hidden="false" customHeight="true" outlineLevel="0" collapsed="false">
      <c r="B5182" s="9" t="s">
        <v>16</v>
      </c>
      <c r="C5182" s="9" t="n">
        <v>1128299</v>
      </c>
      <c r="D5182" s="10" t="n">
        <v>44206</v>
      </c>
      <c r="E5182" s="9" t="s">
        <v>33</v>
      </c>
      <c r="F5182" s="9" t="s">
        <v>66</v>
      </c>
      <c r="G5182" s="9" t="s">
        <v>67</v>
      </c>
      <c r="H5182" s="11" t="s">
        <v>21</v>
      </c>
      <c r="I5182" s="12" t="n">
        <v>43</v>
      </c>
      <c r="J5182" s="13" t="n">
        <v>109</v>
      </c>
      <c r="K5182" s="14" t="n">
        <f aca="false">I5182*J5182</f>
        <v>4687</v>
      </c>
      <c r="L5182" s="14" t="n">
        <f aca="false">($L$2*M5182)/100</f>
        <v>396549.945</v>
      </c>
      <c r="M5182" s="15" t="n">
        <v>0.33</v>
      </c>
      <c r="N5182" s="9" t="s">
        <v>85</v>
      </c>
    </row>
    <row r="5183" customFormat="false" ht="14.25" hidden="false" customHeight="true" outlineLevel="0" collapsed="false">
      <c r="B5183" s="9" t="s">
        <v>16</v>
      </c>
      <c r="C5183" s="9" t="n">
        <v>1128299</v>
      </c>
      <c r="D5183" s="10" t="n">
        <v>44206</v>
      </c>
      <c r="E5183" s="9" t="s">
        <v>33</v>
      </c>
      <c r="F5183" s="9" t="s">
        <v>66</v>
      </c>
      <c r="G5183" s="9" t="s">
        <v>67</v>
      </c>
      <c r="H5183" s="11" t="s">
        <v>22</v>
      </c>
      <c r="I5183" s="12" t="n">
        <v>41</v>
      </c>
      <c r="J5183" s="13" t="n">
        <v>113</v>
      </c>
      <c r="K5183" s="14" t="n">
        <f aca="false">I5183*J5183</f>
        <v>4633</v>
      </c>
      <c r="L5183" s="14" t="n">
        <f aca="false">($L$2*M5183)/100</f>
        <v>432599.94</v>
      </c>
      <c r="M5183" s="15" t="n">
        <v>0.36</v>
      </c>
      <c r="N5183" s="9" t="s">
        <v>85</v>
      </c>
    </row>
    <row r="5184" customFormat="false" ht="14.25" hidden="false" customHeight="true" outlineLevel="0" collapsed="false">
      <c r="B5184" s="9" t="s">
        <v>16</v>
      </c>
      <c r="C5184" s="9" t="n">
        <v>1128299</v>
      </c>
      <c r="D5184" s="10" t="n">
        <v>44206</v>
      </c>
      <c r="E5184" s="9" t="s">
        <v>33</v>
      </c>
      <c r="F5184" s="9" t="s">
        <v>66</v>
      </c>
      <c r="G5184" s="9" t="s">
        <v>67</v>
      </c>
      <c r="H5184" s="11" t="s">
        <v>23</v>
      </c>
      <c r="I5184" s="12" t="n">
        <v>43</v>
      </c>
      <c r="J5184" s="13" t="n">
        <v>56</v>
      </c>
      <c r="K5184" s="14" t="n">
        <f aca="false">I5184*J5184</f>
        <v>2408</v>
      </c>
      <c r="L5184" s="14" t="n">
        <f aca="false">($L$2*M5184)/100</f>
        <v>420583.275</v>
      </c>
      <c r="M5184" s="15" t="n">
        <v>0.35</v>
      </c>
      <c r="N5184" s="9" t="s">
        <v>85</v>
      </c>
    </row>
    <row r="5185" customFormat="false" ht="14.25" hidden="false" customHeight="true" outlineLevel="0" collapsed="false">
      <c r="B5185" s="9" t="s">
        <v>16</v>
      </c>
      <c r="C5185" s="9" t="n">
        <v>1128299</v>
      </c>
      <c r="D5185" s="10" t="n">
        <v>44206</v>
      </c>
      <c r="E5185" s="9" t="s">
        <v>33</v>
      </c>
      <c r="F5185" s="9" t="s">
        <v>66</v>
      </c>
      <c r="G5185" s="9" t="s">
        <v>67</v>
      </c>
      <c r="H5185" s="11" t="s">
        <v>24</v>
      </c>
      <c r="I5185" s="12" t="n">
        <v>46</v>
      </c>
      <c r="J5185" s="13" t="n">
        <v>46</v>
      </c>
      <c r="K5185" s="14" t="n">
        <f aca="false">I5185*J5185</f>
        <v>2116</v>
      </c>
      <c r="L5185" s="14" t="n">
        <f aca="false">($L$2*M5185)/100</f>
        <v>360499.95</v>
      </c>
      <c r="M5185" s="15" t="n">
        <v>0.3</v>
      </c>
      <c r="N5185" s="9" t="s">
        <v>85</v>
      </c>
    </row>
    <row r="5186" customFormat="false" ht="14.25" hidden="false" customHeight="true" outlineLevel="0" collapsed="false">
      <c r="B5186" s="9" t="s">
        <v>16</v>
      </c>
      <c r="C5186" s="9" t="n">
        <v>1128299</v>
      </c>
      <c r="D5186" s="10" t="n">
        <v>44206</v>
      </c>
      <c r="E5186" s="9" t="s">
        <v>33</v>
      </c>
      <c r="F5186" s="9" t="s">
        <v>66</v>
      </c>
      <c r="G5186" s="9" t="s">
        <v>67</v>
      </c>
      <c r="H5186" s="11" t="s">
        <v>25</v>
      </c>
      <c r="I5186" s="12" t="n">
        <v>42</v>
      </c>
      <c r="J5186" s="13" t="n">
        <v>123</v>
      </c>
      <c r="K5186" s="14" t="n">
        <f aca="false">I5186*J5186</f>
        <v>5166</v>
      </c>
      <c r="L5186" s="14" t="n">
        <f aca="false">($L$2*M5186)/100</f>
        <v>648899.91</v>
      </c>
      <c r="M5186" s="15" t="n">
        <v>0.54</v>
      </c>
      <c r="N5186" s="9" t="s">
        <v>85</v>
      </c>
    </row>
    <row r="5187" customFormat="false" ht="14.25" hidden="false" customHeight="true" outlineLevel="0" collapsed="false">
      <c r="B5187" s="9" t="s">
        <v>16</v>
      </c>
      <c r="C5187" s="9" t="n">
        <v>1128299</v>
      </c>
      <c r="D5187" s="10" t="n">
        <v>44237</v>
      </c>
      <c r="E5187" s="9" t="s">
        <v>33</v>
      </c>
      <c r="F5187" s="9" t="s">
        <v>66</v>
      </c>
      <c r="G5187" s="9" t="s">
        <v>67</v>
      </c>
      <c r="H5187" s="11" t="s">
        <v>19</v>
      </c>
      <c r="I5187" s="12" t="n">
        <v>33</v>
      </c>
      <c r="J5187" s="13" t="n">
        <v>143</v>
      </c>
      <c r="K5187" s="14" t="n">
        <f aca="false">I5187*J5187</f>
        <v>4719</v>
      </c>
      <c r="L5187" s="14" t="n">
        <f aca="false">($L$2*M5187)/100</f>
        <v>432599.94</v>
      </c>
      <c r="M5187" s="15" t="n">
        <v>0.36</v>
      </c>
      <c r="N5187" s="9" t="s">
        <v>85</v>
      </c>
    </row>
    <row r="5188" customFormat="false" ht="14.25" hidden="false" customHeight="true" outlineLevel="0" collapsed="false">
      <c r="B5188" s="9" t="s">
        <v>16</v>
      </c>
      <c r="C5188" s="9" t="n">
        <v>1128299</v>
      </c>
      <c r="D5188" s="10" t="n">
        <v>44237</v>
      </c>
      <c r="E5188" s="9" t="s">
        <v>33</v>
      </c>
      <c r="F5188" s="9" t="s">
        <v>66</v>
      </c>
      <c r="G5188" s="9" t="s">
        <v>67</v>
      </c>
      <c r="H5188" s="11" t="s">
        <v>21</v>
      </c>
      <c r="I5188" s="12" t="n">
        <v>42</v>
      </c>
      <c r="J5188" s="13" t="n">
        <v>98</v>
      </c>
      <c r="K5188" s="14" t="n">
        <f aca="false">I5188*J5188</f>
        <v>4116</v>
      </c>
      <c r="L5188" s="14" t="n">
        <f aca="false">($L$2*M5188)/100</f>
        <v>384533.28</v>
      </c>
      <c r="M5188" s="15" t="n">
        <v>0.32</v>
      </c>
      <c r="N5188" s="9" t="s">
        <v>85</v>
      </c>
    </row>
    <row r="5189" customFormat="false" ht="14.25" hidden="false" customHeight="true" outlineLevel="0" collapsed="false">
      <c r="B5189" s="9" t="s">
        <v>16</v>
      </c>
      <c r="C5189" s="9" t="n">
        <v>1128299</v>
      </c>
      <c r="D5189" s="10" t="n">
        <v>44237</v>
      </c>
      <c r="E5189" s="9" t="s">
        <v>33</v>
      </c>
      <c r="F5189" s="9" t="s">
        <v>66</v>
      </c>
      <c r="G5189" s="9" t="s">
        <v>67</v>
      </c>
      <c r="H5189" s="11" t="s">
        <v>22</v>
      </c>
      <c r="I5189" s="12" t="n">
        <v>44</v>
      </c>
      <c r="J5189" s="13" t="n">
        <v>94</v>
      </c>
      <c r="K5189" s="14" t="n">
        <f aca="false">I5189*J5189</f>
        <v>4136</v>
      </c>
      <c r="L5189" s="14" t="n">
        <f aca="false">($L$2*M5189)/100</f>
        <v>432599.94</v>
      </c>
      <c r="M5189" s="15" t="n">
        <v>0.36</v>
      </c>
      <c r="N5189" s="9" t="s">
        <v>85</v>
      </c>
    </row>
    <row r="5190" customFormat="false" ht="14.25" hidden="false" customHeight="true" outlineLevel="0" collapsed="false">
      <c r="B5190" s="9" t="s">
        <v>16</v>
      </c>
      <c r="C5190" s="9" t="n">
        <v>1128299</v>
      </c>
      <c r="D5190" s="10" t="n">
        <v>44237</v>
      </c>
      <c r="E5190" s="9" t="s">
        <v>33</v>
      </c>
      <c r="F5190" s="9" t="s">
        <v>68</v>
      </c>
      <c r="G5190" s="9" t="s">
        <v>69</v>
      </c>
      <c r="H5190" s="11" t="s">
        <v>23</v>
      </c>
      <c r="I5190" s="12" t="n">
        <v>41</v>
      </c>
      <c r="J5190" s="13" t="n">
        <v>56</v>
      </c>
      <c r="K5190" s="14" t="n">
        <f aca="false">I5190*J5190</f>
        <v>2296</v>
      </c>
      <c r="L5190" s="14" t="n">
        <f aca="false">($L$2*M5190)/100</f>
        <v>468649.935</v>
      </c>
      <c r="M5190" s="15" t="n">
        <v>0.39</v>
      </c>
      <c r="N5190" s="9" t="s">
        <v>85</v>
      </c>
    </row>
    <row r="5191" customFormat="false" ht="14.25" hidden="false" customHeight="true" outlineLevel="0" collapsed="false">
      <c r="B5191" s="9" t="s">
        <v>16</v>
      </c>
      <c r="C5191" s="9" t="n">
        <v>1128299</v>
      </c>
      <c r="D5191" s="10" t="n">
        <v>44237</v>
      </c>
      <c r="E5191" s="9" t="s">
        <v>33</v>
      </c>
      <c r="F5191" s="9" t="s">
        <v>68</v>
      </c>
      <c r="G5191" s="9" t="s">
        <v>69</v>
      </c>
      <c r="H5191" s="11" t="s">
        <v>24</v>
      </c>
      <c r="I5191" s="12" t="n">
        <v>47</v>
      </c>
      <c r="J5191" s="13" t="n">
        <v>38</v>
      </c>
      <c r="K5191" s="14" t="n">
        <f aca="false">I5191*J5191</f>
        <v>1786</v>
      </c>
      <c r="L5191" s="14" t="n">
        <f aca="false">($L$2*M5191)/100</f>
        <v>360499.95</v>
      </c>
      <c r="M5191" s="15" t="n">
        <v>0.3</v>
      </c>
      <c r="N5191" s="9" t="s">
        <v>85</v>
      </c>
    </row>
    <row r="5192" customFormat="false" ht="14.25" hidden="false" customHeight="true" outlineLevel="0" collapsed="false">
      <c r="B5192" s="9" t="s">
        <v>16</v>
      </c>
      <c r="C5192" s="9" t="n">
        <v>1128299</v>
      </c>
      <c r="D5192" s="10" t="n">
        <v>44237</v>
      </c>
      <c r="E5192" s="9" t="s">
        <v>33</v>
      </c>
      <c r="F5192" s="9" t="s">
        <v>68</v>
      </c>
      <c r="G5192" s="9" t="s">
        <v>69</v>
      </c>
      <c r="H5192" s="11" t="s">
        <v>25</v>
      </c>
      <c r="I5192" s="12" t="n">
        <v>44</v>
      </c>
      <c r="J5192" s="13" t="n">
        <v>102</v>
      </c>
      <c r="K5192" s="14" t="n">
        <f aca="false">I5192*J5192</f>
        <v>4488</v>
      </c>
      <c r="L5192" s="14" t="n">
        <f aca="false">($L$2*M5192)/100</f>
        <v>660916.575</v>
      </c>
      <c r="M5192" s="15" t="n">
        <v>0.55</v>
      </c>
      <c r="N5192" s="9" t="s">
        <v>85</v>
      </c>
    </row>
    <row r="5193" customFormat="false" ht="14.25" hidden="false" customHeight="true" outlineLevel="0" collapsed="false">
      <c r="B5193" s="9" t="s">
        <v>16</v>
      </c>
      <c r="C5193" s="9" t="n">
        <v>1128299</v>
      </c>
      <c r="D5193" s="10" t="n">
        <v>44264</v>
      </c>
      <c r="E5193" s="9" t="s">
        <v>33</v>
      </c>
      <c r="F5193" s="9" t="s">
        <v>68</v>
      </c>
      <c r="G5193" s="9" t="s">
        <v>69</v>
      </c>
      <c r="H5193" s="11" t="s">
        <v>19</v>
      </c>
      <c r="I5193" s="12" t="n">
        <v>44</v>
      </c>
      <c r="J5193" s="13" t="n">
        <v>135</v>
      </c>
      <c r="K5193" s="14" t="n">
        <f aca="false">I5193*J5193</f>
        <v>5940</v>
      </c>
      <c r="L5193" s="14" t="n">
        <f aca="false">($L$2*M5193)/100</f>
        <v>480666.6</v>
      </c>
      <c r="M5193" s="15" t="n">
        <v>0.4</v>
      </c>
      <c r="N5193" s="9" t="s">
        <v>85</v>
      </c>
    </row>
    <row r="5194" customFormat="false" ht="14.25" hidden="false" customHeight="true" outlineLevel="0" collapsed="false">
      <c r="B5194" s="9" t="s">
        <v>16</v>
      </c>
      <c r="C5194" s="9" t="n">
        <v>1128299</v>
      </c>
      <c r="D5194" s="10" t="n">
        <v>44264</v>
      </c>
      <c r="E5194" s="9" t="s">
        <v>33</v>
      </c>
      <c r="F5194" s="9" t="s">
        <v>68</v>
      </c>
      <c r="G5194" s="9" t="s">
        <v>69</v>
      </c>
      <c r="H5194" s="11" t="s">
        <v>21</v>
      </c>
      <c r="I5194" s="12" t="n">
        <v>54</v>
      </c>
      <c r="J5194" s="13" t="n">
        <v>91</v>
      </c>
      <c r="K5194" s="14" t="n">
        <f aca="false">I5194*J5194</f>
        <v>4914</v>
      </c>
      <c r="L5194" s="14" t="n">
        <f aca="false">($L$2*M5194)/100</f>
        <v>372516.615</v>
      </c>
      <c r="M5194" s="15" t="n">
        <v>0.31</v>
      </c>
      <c r="N5194" s="9" t="s">
        <v>85</v>
      </c>
    </row>
    <row r="5195" customFormat="false" ht="14.25" hidden="false" customHeight="true" outlineLevel="0" collapsed="false">
      <c r="B5195" s="9" t="s">
        <v>16</v>
      </c>
      <c r="C5195" s="9" t="n">
        <v>1128299</v>
      </c>
      <c r="D5195" s="10" t="n">
        <v>44264</v>
      </c>
      <c r="E5195" s="9" t="s">
        <v>33</v>
      </c>
      <c r="F5195" s="9" t="s">
        <v>68</v>
      </c>
      <c r="G5195" s="9" t="s">
        <v>69</v>
      </c>
      <c r="H5195" s="11" t="s">
        <v>22</v>
      </c>
      <c r="I5195" s="12" t="n">
        <v>57</v>
      </c>
      <c r="J5195" s="13" t="n">
        <v>101</v>
      </c>
      <c r="K5195" s="14" t="n">
        <f aca="false">I5195*J5195</f>
        <v>5757</v>
      </c>
      <c r="L5195" s="14" t="n">
        <f aca="false">($L$2*M5195)/100</f>
        <v>468649.935</v>
      </c>
      <c r="M5195" s="15" t="n">
        <v>0.39</v>
      </c>
      <c r="N5195" s="9" t="s">
        <v>85</v>
      </c>
    </row>
    <row r="5196" customFormat="false" ht="14.25" hidden="false" customHeight="true" outlineLevel="0" collapsed="false">
      <c r="B5196" s="9" t="s">
        <v>16</v>
      </c>
      <c r="C5196" s="9" t="n">
        <v>1128299</v>
      </c>
      <c r="D5196" s="10" t="n">
        <v>44264</v>
      </c>
      <c r="E5196" s="9" t="s">
        <v>33</v>
      </c>
      <c r="F5196" s="9" t="s">
        <v>68</v>
      </c>
      <c r="G5196" s="9" t="s">
        <v>69</v>
      </c>
      <c r="H5196" s="11" t="s">
        <v>23</v>
      </c>
      <c r="I5196" s="12" t="n">
        <v>52</v>
      </c>
      <c r="J5196" s="13" t="n">
        <v>69</v>
      </c>
      <c r="K5196" s="14" t="n">
        <f aca="false">I5196*J5196</f>
        <v>3588</v>
      </c>
      <c r="L5196" s="14" t="n">
        <f aca="false">($L$2*M5196)/100</f>
        <v>432599.94</v>
      </c>
      <c r="M5196" s="15" t="n">
        <v>0.36</v>
      </c>
      <c r="N5196" s="9" t="s">
        <v>85</v>
      </c>
    </row>
    <row r="5197" customFormat="false" ht="14.25" hidden="false" customHeight="true" outlineLevel="0" collapsed="false">
      <c r="B5197" s="9" t="s">
        <v>16</v>
      </c>
      <c r="C5197" s="9" t="n">
        <v>1128299</v>
      </c>
      <c r="D5197" s="10" t="n">
        <v>44264</v>
      </c>
      <c r="E5197" s="9" t="s">
        <v>33</v>
      </c>
      <c r="F5197" s="9" t="s">
        <v>68</v>
      </c>
      <c r="G5197" s="9" t="s">
        <v>69</v>
      </c>
      <c r="H5197" s="11" t="s">
        <v>24</v>
      </c>
      <c r="I5197" s="12" t="n">
        <v>55</v>
      </c>
      <c r="J5197" s="13" t="n">
        <v>36</v>
      </c>
      <c r="K5197" s="14" t="n">
        <f aca="false">I5197*J5197</f>
        <v>1980</v>
      </c>
      <c r="L5197" s="14" t="n">
        <f aca="false">($L$2*M5197)/100</f>
        <v>312433.29</v>
      </c>
      <c r="M5197" s="15" t="n">
        <v>0.26</v>
      </c>
      <c r="N5197" s="9" t="s">
        <v>85</v>
      </c>
    </row>
    <row r="5198" customFormat="false" ht="14.25" hidden="false" customHeight="true" outlineLevel="0" collapsed="false">
      <c r="B5198" s="9" t="s">
        <v>16</v>
      </c>
      <c r="C5198" s="9" t="n">
        <v>1128299</v>
      </c>
      <c r="D5198" s="10" t="n">
        <v>44264</v>
      </c>
      <c r="E5198" s="9" t="s">
        <v>33</v>
      </c>
      <c r="F5198" s="9" t="s">
        <v>68</v>
      </c>
      <c r="G5198" s="9" t="s">
        <v>69</v>
      </c>
      <c r="H5198" s="11" t="s">
        <v>25</v>
      </c>
      <c r="I5198" s="12" t="n">
        <v>50</v>
      </c>
      <c r="J5198" s="13" t="n">
        <v>85</v>
      </c>
      <c r="K5198" s="14" t="n">
        <f aca="false">I5198*J5198</f>
        <v>4250</v>
      </c>
      <c r="L5198" s="14" t="n">
        <f aca="false">($L$2*M5198)/100</f>
        <v>660916.575</v>
      </c>
      <c r="M5198" s="15" t="n">
        <v>0.55</v>
      </c>
      <c r="N5198" s="9" t="s">
        <v>85</v>
      </c>
    </row>
    <row r="5199" customFormat="false" ht="14.25" hidden="false" customHeight="true" outlineLevel="0" collapsed="false">
      <c r="B5199" s="9" t="s">
        <v>16</v>
      </c>
      <c r="C5199" s="9" t="n">
        <v>1128299</v>
      </c>
      <c r="D5199" s="10" t="n">
        <v>44296</v>
      </c>
      <c r="E5199" s="9" t="s">
        <v>33</v>
      </c>
      <c r="F5199" s="9" t="s">
        <v>68</v>
      </c>
      <c r="G5199" s="9" t="s">
        <v>69</v>
      </c>
      <c r="H5199" s="11" t="s">
        <v>19</v>
      </c>
      <c r="I5199" s="12" t="n">
        <v>59</v>
      </c>
      <c r="J5199" s="13" t="n">
        <v>130</v>
      </c>
      <c r="K5199" s="14" t="n">
        <f aca="false">I5199*J5199</f>
        <v>7670</v>
      </c>
      <c r="L5199" s="14" t="n">
        <f aca="false">($L$2*M5199)/100</f>
        <v>432599.94</v>
      </c>
      <c r="M5199" s="15" t="n">
        <v>0.36</v>
      </c>
      <c r="N5199" s="9" t="s">
        <v>85</v>
      </c>
    </row>
    <row r="5200" customFormat="false" ht="14.25" hidden="false" customHeight="true" outlineLevel="0" collapsed="false">
      <c r="B5200" s="9" t="s">
        <v>16</v>
      </c>
      <c r="C5200" s="9" t="n">
        <v>1128299</v>
      </c>
      <c r="D5200" s="10" t="n">
        <v>44296</v>
      </c>
      <c r="E5200" s="9" t="s">
        <v>33</v>
      </c>
      <c r="F5200" s="9" t="s">
        <v>68</v>
      </c>
      <c r="G5200" s="9" t="s">
        <v>69</v>
      </c>
      <c r="H5200" s="11" t="s">
        <v>21</v>
      </c>
      <c r="I5200" s="12" t="n">
        <v>61</v>
      </c>
      <c r="J5200" s="13" t="n">
        <v>81</v>
      </c>
      <c r="K5200" s="14" t="n">
        <f aca="false">I5200*J5200</f>
        <v>4941</v>
      </c>
      <c r="L5200" s="14" t="n">
        <f aca="false">($L$2*M5200)/100</f>
        <v>420583.275</v>
      </c>
      <c r="M5200" s="15" t="n">
        <v>0.35</v>
      </c>
      <c r="N5200" s="9" t="s">
        <v>85</v>
      </c>
    </row>
    <row r="5201" customFormat="false" ht="14.25" hidden="false" customHeight="true" outlineLevel="0" collapsed="false">
      <c r="B5201" s="9" t="s">
        <v>16</v>
      </c>
      <c r="C5201" s="9" t="n">
        <v>1128299</v>
      </c>
      <c r="D5201" s="10" t="n">
        <v>44296</v>
      </c>
      <c r="E5201" s="9" t="s">
        <v>33</v>
      </c>
      <c r="F5201" s="9" t="s">
        <v>68</v>
      </c>
      <c r="G5201" s="9" t="s">
        <v>69</v>
      </c>
      <c r="H5201" s="11" t="s">
        <v>22</v>
      </c>
      <c r="I5201" s="12" t="n">
        <v>60</v>
      </c>
      <c r="J5201" s="13" t="n">
        <v>91</v>
      </c>
      <c r="K5201" s="14" t="n">
        <f aca="false">I5201*J5201</f>
        <v>5460</v>
      </c>
      <c r="L5201" s="14" t="n">
        <f aca="false">($L$2*M5201)/100</f>
        <v>456633.27</v>
      </c>
      <c r="M5201" s="15" t="n">
        <v>0.38</v>
      </c>
      <c r="N5201" s="9" t="s">
        <v>85</v>
      </c>
    </row>
    <row r="5202" customFormat="false" ht="14.25" hidden="false" customHeight="true" outlineLevel="0" collapsed="false">
      <c r="B5202" s="9" t="s">
        <v>16</v>
      </c>
      <c r="C5202" s="9" t="n">
        <v>1128299</v>
      </c>
      <c r="D5202" s="10" t="n">
        <v>44296</v>
      </c>
      <c r="E5202" s="9" t="s">
        <v>33</v>
      </c>
      <c r="F5202" s="9" t="s">
        <v>68</v>
      </c>
      <c r="G5202" s="9" t="s">
        <v>69</v>
      </c>
      <c r="H5202" s="11" t="s">
        <v>23</v>
      </c>
      <c r="I5202" s="12" t="n">
        <v>48</v>
      </c>
      <c r="J5202" s="13" t="n">
        <v>73</v>
      </c>
      <c r="K5202" s="14" t="n">
        <f aca="false">I5202*J5202</f>
        <v>3504</v>
      </c>
      <c r="L5202" s="14" t="n">
        <f aca="false">($L$2*M5202)/100</f>
        <v>420583.275</v>
      </c>
      <c r="M5202" s="15" t="n">
        <v>0.35</v>
      </c>
      <c r="N5202" s="9" t="s">
        <v>85</v>
      </c>
    </row>
    <row r="5203" customFormat="false" ht="14.25" hidden="false" customHeight="true" outlineLevel="0" collapsed="false">
      <c r="B5203" s="9" t="s">
        <v>16</v>
      </c>
      <c r="C5203" s="9" t="n">
        <v>1128299</v>
      </c>
      <c r="D5203" s="10" t="n">
        <v>44296</v>
      </c>
      <c r="E5203" s="9" t="s">
        <v>33</v>
      </c>
      <c r="F5203" s="9" t="s">
        <v>68</v>
      </c>
      <c r="G5203" s="9" t="s">
        <v>69</v>
      </c>
      <c r="H5203" s="11" t="s">
        <v>24</v>
      </c>
      <c r="I5203" s="12" t="n">
        <v>52</v>
      </c>
      <c r="J5203" s="13" t="n">
        <v>42</v>
      </c>
      <c r="K5203" s="14" t="n">
        <f aca="false">I5203*J5203</f>
        <v>2184</v>
      </c>
      <c r="L5203" s="14" t="n">
        <f aca="false">($L$2*M5203)/100</f>
        <v>324449.955</v>
      </c>
      <c r="M5203" s="15" t="n">
        <v>0.27</v>
      </c>
      <c r="N5203" s="9" t="s">
        <v>85</v>
      </c>
    </row>
    <row r="5204" customFormat="false" ht="14.25" hidden="false" customHeight="true" outlineLevel="0" collapsed="false">
      <c r="B5204" s="9" t="s">
        <v>16</v>
      </c>
      <c r="C5204" s="9" t="n">
        <v>1128299</v>
      </c>
      <c r="D5204" s="10" t="n">
        <v>44296</v>
      </c>
      <c r="E5204" s="9" t="s">
        <v>33</v>
      </c>
      <c r="F5204" s="9" t="s">
        <v>68</v>
      </c>
      <c r="G5204" s="9" t="s">
        <v>69</v>
      </c>
      <c r="H5204" s="11" t="s">
        <v>25</v>
      </c>
      <c r="I5204" s="12" t="n">
        <v>66</v>
      </c>
      <c r="J5204" s="13" t="n">
        <v>94</v>
      </c>
      <c r="K5204" s="14" t="n">
        <f aca="false">I5204*J5204</f>
        <v>6204</v>
      </c>
      <c r="L5204" s="14" t="n">
        <f aca="false">($L$2*M5204)/100</f>
        <v>600833.25</v>
      </c>
      <c r="M5204" s="15" t="n">
        <v>0.5</v>
      </c>
      <c r="N5204" s="9" t="s">
        <v>85</v>
      </c>
    </row>
    <row r="5205" customFormat="false" ht="14.25" hidden="false" customHeight="true" outlineLevel="0" collapsed="false">
      <c r="B5205" s="9" t="s">
        <v>16</v>
      </c>
      <c r="C5205" s="9" t="n">
        <v>1128299</v>
      </c>
      <c r="D5205" s="10" t="n">
        <v>44327</v>
      </c>
      <c r="E5205" s="9" t="s">
        <v>33</v>
      </c>
      <c r="F5205" s="9" t="s">
        <v>68</v>
      </c>
      <c r="G5205" s="9" t="s">
        <v>69</v>
      </c>
      <c r="H5205" s="11" t="s">
        <v>19</v>
      </c>
      <c r="I5205" s="12" t="n">
        <v>51</v>
      </c>
      <c r="J5205" s="13" t="n">
        <v>158</v>
      </c>
      <c r="K5205" s="14" t="n">
        <f aca="false">I5205*J5205</f>
        <v>8058</v>
      </c>
      <c r="L5205" s="14" t="n">
        <f aca="false">($L$2*M5205)/100</f>
        <v>444616.605</v>
      </c>
      <c r="M5205" s="15" t="n">
        <v>0.37</v>
      </c>
      <c r="N5205" s="9" t="s">
        <v>85</v>
      </c>
    </row>
    <row r="5206" customFormat="false" ht="14.25" hidden="false" customHeight="true" outlineLevel="0" collapsed="false">
      <c r="B5206" s="9" t="s">
        <v>16</v>
      </c>
      <c r="C5206" s="9" t="n">
        <v>1128299</v>
      </c>
      <c r="D5206" s="10" t="n">
        <v>44327</v>
      </c>
      <c r="E5206" s="9" t="s">
        <v>33</v>
      </c>
      <c r="F5206" s="9" t="s">
        <v>68</v>
      </c>
      <c r="G5206" s="9" t="s">
        <v>69</v>
      </c>
      <c r="H5206" s="11" t="s">
        <v>21</v>
      </c>
      <c r="I5206" s="12" t="n">
        <v>58</v>
      </c>
      <c r="J5206" s="13" t="n">
        <v>98</v>
      </c>
      <c r="K5206" s="14" t="n">
        <f aca="false">I5206*J5206</f>
        <v>5684</v>
      </c>
      <c r="L5206" s="14" t="n">
        <f aca="false">($L$2*M5206)/100</f>
        <v>396549.945</v>
      </c>
      <c r="M5206" s="15" t="n">
        <v>0.33</v>
      </c>
      <c r="N5206" s="9" t="s">
        <v>85</v>
      </c>
    </row>
    <row r="5207" customFormat="false" ht="14.25" hidden="false" customHeight="true" outlineLevel="0" collapsed="false">
      <c r="B5207" s="9" t="s">
        <v>16</v>
      </c>
      <c r="C5207" s="9" t="n">
        <v>1128299</v>
      </c>
      <c r="D5207" s="10" t="n">
        <v>44327</v>
      </c>
      <c r="E5207" s="9" t="s">
        <v>33</v>
      </c>
      <c r="F5207" s="9" t="s">
        <v>68</v>
      </c>
      <c r="G5207" s="9" t="s">
        <v>69</v>
      </c>
      <c r="H5207" s="11" t="s">
        <v>22</v>
      </c>
      <c r="I5207" s="12" t="n">
        <v>56</v>
      </c>
      <c r="J5207" s="13" t="n">
        <v>98</v>
      </c>
      <c r="K5207" s="14" t="n">
        <f aca="false">I5207*J5207</f>
        <v>5488</v>
      </c>
      <c r="L5207" s="14" t="n">
        <f aca="false">($L$2*M5207)/100</f>
        <v>480666.6</v>
      </c>
      <c r="M5207" s="15" t="n">
        <v>0.4</v>
      </c>
      <c r="N5207" s="9" t="s">
        <v>85</v>
      </c>
    </row>
    <row r="5208" customFormat="false" ht="14.25" hidden="false" customHeight="true" outlineLevel="0" collapsed="false">
      <c r="B5208" s="9" t="s">
        <v>16</v>
      </c>
      <c r="C5208" s="9" t="n">
        <v>1128299</v>
      </c>
      <c r="D5208" s="10" t="n">
        <v>44327</v>
      </c>
      <c r="E5208" s="9" t="s">
        <v>33</v>
      </c>
      <c r="F5208" s="9" t="s">
        <v>68</v>
      </c>
      <c r="G5208" s="9" t="s">
        <v>69</v>
      </c>
      <c r="H5208" s="11" t="s">
        <v>23</v>
      </c>
      <c r="I5208" s="12" t="n">
        <v>52</v>
      </c>
      <c r="J5208" s="13" t="n">
        <v>80</v>
      </c>
      <c r="K5208" s="14" t="n">
        <f aca="false">I5208*J5208</f>
        <v>4160</v>
      </c>
      <c r="L5208" s="14" t="n">
        <f aca="false">($L$2*M5208)/100</f>
        <v>480666.6</v>
      </c>
      <c r="M5208" s="15" t="n">
        <v>0.4</v>
      </c>
      <c r="N5208" s="9" t="s">
        <v>85</v>
      </c>
    </row>
    <row r="5209" customFormat="false" ht="14.25" hidden="false" customHeight="true" outlineLevel="0" collapsed="false">
      <c r="B5209" s="9" t="s">
        <v>16</v>
      </c>
      <c r="C5209" s="9" t="n">
        <v>1128299</v>
      </c>
      <c r="D5209" s="10" t="n">
        <v>44327</v>
      </c>
      <c r="E5209" s="9" t="s">
        <v>33</v>
      </c>
      <c r="F5209" s="9" t="s">
        <v>68</v>
      </c>
      <c r="G5209" s="9" t="s">
        <v>69</v>
      </c>
      <c r="H5209" s="11" t="s">
        <v>24</v>
      </c>
      <c r="I5209" s="12" t="n">
        <v>55</v>
      </c>
      <c r="J5209" s="13" t="n">
        <v>46</v>
      </c>
      <c r="K5209" s="14" t="n">
        <f aca="false">I5209*J5209</f>
        <v>2530</v>
      </c>
      <c r="L5209" s="14" t="n">
        <f aca="false">($L$2*M5209)/100</f>
        <v>336466.62</v>
      </c>
      <c r="M5209" s="15" t="n">
        <v>0.28</v>
      </c>
      <c r="N5209" s="9" t="s">
        <v>85</v>
      </c>
    </row>
    <row r="5210" customFormat="false" ht="14.25" hidden="false" customHeight="true" outlineLevel="0" collapsed="false">
      <c r="B5210" s="9" t="s">
        <v>16</v>
      </c>
      <c r="C5210" s="9" t="n">
        <v>1128299</v>
      </c>
      <c r="D5210" s="10" t="n">
        <v>44327</v>
      </c>
      <c r="E5210" s="9" t="s">
        <v>33</v>
      </c>
      <c r="F5210" s="9" t="s">
        <v>68</v>
      </c>
      <c r="G5210" s="9" t="s">
        <v>69</v>
      </c>
      <c r="H5210" s="11" t="s">
        <v>25</v>
      </c>
      <c r="I5210" s="12" t="n">
        <v>69</v>
      </c>
      <c r="J5210" s="13" t="n">
        <v>143</v>
      </c>
      <c r="K5210" s="14" t="n">
        <f aca="false">I5210*J5210</f>
        <v>9867</v>
      </c>
      <c r="L5210" s="14" t="n">
        <f aca="false">($L$2*M5210)/100</f>
        <v>660916.575</v>
      </c>
      <c r="M5210" s="15" t="n">
        <v>0.55</v>
      </c>
      <c r="N5210" s="9" t="s">
        <v>85</v>
      </c>
    </row>
    <row r="5211" customFormat="false" ht="14.25" hidden="false" customHeight="true" outlineLevel="0" collapsed="false">
      <c r="B5211" s="9" t="s">
        <v>16</v>
      </c>
      <c r="C5211" s="9" t="n">
        <v>1128299</v>
      </c>
      <c r="D5211" s="10" t="n">
        <v>44357</v>
      </c>
      <c r="E5211" s="9" t="s">
        <v>33</v>
      </c>
      <c r="F5211" s="9" t="s">
        <v>68</v>
      </c>
      <c r="G5211" s="9" t="s">
        <v>69</v>
      </c>
      <c r="H5211" s="11" t="s">
        <v>19</v>
      </c>
      <c r="I5211" s="12" t="n">
        <v>67</v>
      </c>
      <c r="J5211" s="13" t="n">
        <v>210</v>
      </c>
      <c r="K5211" s="14" t="n">
        <f aca="false">I5211*J5211</f>
        <v>14070</v>
      </c>
      <c r="L5211" s="14" t="n">
        <f aca="false">($L$2*M5211)/100</f>
        <v>480666.6</v>
      </c>
      <c r="M5211" s="15" t="n">
        <v>0.4</v>
      </c>
      <c r="N5211" s="9" t="s">
        <v>85</v>
      </c>
    </row>
    <row r="5212" customFormat="false" ht="14.25" hidden="false" customHeight="true" outlineLevel="0" collapsed="false">
      <c r="B5212" s="9" t="s">
        <v>16</v>
      </c>
      <c r="C5212" s="9" t="n">
        <v>1128299</v>
      </c>
      <c r="D5212" s="10" t="n">
        <v>44357</v>
      </c>
      <c r="E5212" s="9" t="s">
        <v>33</v>
      </c>
      <c r="F5212" s="9" t="s">
        <v>68</v>
      </c>
      <c r="G5212" s="9" t="s">
        <v>69</v>
      </c>
      <c r="H5212" s="11" t="s">
        <v>21</v>
      </c>
      <c r="I5212" s="12" t="n">
        <v>72</v>
      </c>
      <c r="J5212" s="13" t="n">
        <v>156</v>
      </c>
      <c r="K5212" s="14" t="n">
        <f aca="false">I5212*J5212</f>
        <v>11232</v>
      </c>
      <c r="L5212" s="14" t="n">
        <f aca="false">($L$2*M5212)/100</f>
        <v>372516.615</v>
      </c>
      <c r="M5212" s="15" t="n">
        <v>0.31</v>
      </c>
      <c r="N5212" s="9" t="s">
        <v>85</v>
      </c>
    </row>
    <row r="5213" customFormat="false" ht="14.25" hidden="false" customHeight="true" outlineLevel="0" collapsed="false">
      <c r="B5213" s="9" t="s">
        <v>16</v>
      </c>
      <c r="C5213" s="9" t="n">
        <v>1128299</v>
      </c>
      <c r="D5213" s="10" t="n">
        <v>44357</v>
      </c>
      <c r="E5213" s="9" t="s">
        <v>33</v>
      </c>
      <c r="F5213" s="9" t="s">
        <v>68</v>
      </c>
      <c r="G5213" s="9" t="s">
        <v>69</v>
      </c>
      <c r="H5213" s="11" t="s">
        <v>22</v>
      </c>
      <c r="I5213" s="12" t="n">
        <v>71</v>
      </c>
      <c r="J5213" s="13" t="n">
        <v>180</v>
      </c>
      <c r="K5213" s="14" t="n">
        <f aca="false">I5213*J5213</f>
        <v>12780</v>
      </c>
      <c r="L5213" s="14" t="n">
        <f aca="false">($L$2*M5213)/100</f>
        <v>432599.94</v>
      </c>
      <c r="M5213" s="15" t="n">
        <v>0.36</v>
      </c>
      <c r="N5213" s="9" t="s">
        <v>85</v>
      </c>
    </row>
    <row r="5214" customFormat="false" ht="14.25" hidden="false" customHeight="true" outlineLevel="0" collapsed="false">
      <c r="B5214" s="9" t="s">
        <v>16</v>
      </c>
      <c r="C5214" s="9" t="n">
        <v>1128299</v>
      </c>
      <c r="D5214" s="10" t="n">
        <v>44357</v>
      </c>
      <c r="E5214" s="9" t="s">
        <v>33</v>
      </c>
      <c r="F5214" s="9" t="s">
        <v>68</v>
      </c>
      <c r="G5214" s="9" t="s">
        <v>69</v>
      </c>
      <c r="H5214" s="11" t="s">
        <v>23</v>
      </c>
      <c r="I5214" s="12" t="n">
        <v>74</v>
      </c>
      <c r="J5214" s="13" t="n">
        <v>133</v>
      </c>
      <c r="K5214" s="14" t="n">
        <f aca="false">I5214*J5214</f>
        <v>9842</v>
      </c>
      <c r="L5214" s="14" t="n">
        <f aca="false">($L$2*M5214)/100</f>
        <v>456633.27</v>
      </c>
      <c r="M5214" s="15" t="n">
        <v>0.38</v>
      </c>
      <c r="N5214" s="9" t="s">
        <v>85</v>
      </c>
    </row>
    <row r="5215" customFormat="false" ht="14.25" hidden="false" customHeight="true" outlineLevel="0" collapsed="false">
      <c r="B5215" s="9" t="s">
        <v>16</v>
      </c>
      <c r="C5215" s="9" t="n">
        <v>1128299</v>
      </c>
      <c r="D5215" s="10" t="n">
        <v>44357</v>
      </c>
      <c r="E5215" s="9" t="s">
        <v>33</v>
      </c>
      <c r="F5215" s="9" t="s">
        <v>68</v>
      </c>
      <c r="G5215" s="9" t="s">
        <v>69</v>
      </c>
      <c r="H5215" s="11" t="s">
        <v>24</v>
      </c>
      <c r="I5215" s="12" t="n">
        <v>83</v>
      </c>
      <c r="J5215" s="13" t="n">
        <v>88</v>
      </c>
      <c r="K5215" s="14" t="n">
        <f aca="false">I5215*J5215</f>
        <v>7304</v>
      </c>
      <c r="L5215" s="14" t="n">
        <f aca="false">($L$2*M5215)/100</f>
        <v>360499.95</v>
      </c>
      <c r="M5215" s="15" t="n">
        <v>0.3</v>
      </c>
      <c r="N5215" s="9" t="s">
        <v>85</v>
      </c>
    </row>
    <row r="5216" customFormat="false" ht="14.25" hidden="false" customHeight="true" outlineLevel="0" collapsed="false">
      <c r="B5216" s="9" t="s">
        <v>16</v>
      </c>
      <c r="C5216" s="9" t="n">
        <v>1128299</v>
      </c>
      <c r="D5216" s="10" t="n">
        <v>44357</v>
      </c>
      <c r="E5216" s="9" t="s">
        <v>33</v>
      </c>
      <c r="F5216" s="9" t="s">
        <v>68</v>
      </c>
      <c r="G5216" s="9" t="s">
        <v>69</v>
      </c>
      <c r="H5216" s="11" t="s">
        <v>25</v>
      </c>
      <c r="I5216" s="12" t="n">
        <v>97</v>
      </c>
      <c r="J5216" s="13" t="n">
        <v>169</v>
      </c>
      <c r="K5216" s="14" t="n">
        <f aca="false">I5216*J5216</f>
        <v>16393</v>
      </c>
      <c r="L5216" s="14" t="n">
        <f aca="false">($L$2*M5216)/100</f>
        <v>624866.58</v>
      </c>
      <c r="M5216" s="15" t="n">
        <v>0.52</v>
      </c>
      <c r="N5216" s="9" t="s">
        <v>85</v>
      </c>
    </row>
    <row r="5217" customFormat="false" ht="14.25" hidden="false" customHeight="true" outlineLevel="0" collapsed="false">
      <c r="B5217" s="9" t="s">
        <v>16</v>
      </c>
      <c r="C5217" s="9" t="n">
        <v>1128299</v>
      </c>
      <c r="D5217" s="10" t="n">
        <v>44386</v>
      </c>
      <c r="E5217" s="9" t="s">
        <v>33</v>
      </c>
      <c r="F5217" s="9" t="s">
        <v>68</v>
      </c>
      <c r="G5217" s="9" t="s">
        <v>69</v>
      </c>
      <c r="H5217" s="11" t="s">
        <v>19</v>
      </c>
      <c r="I5217" s="12" t="n">
        <v>74</v>
      </c>
      <c r="J5217" s="13" t="n">
        <v>208</v>
      </c>
      <c r="K5217" s="14" t="n">
        <f aca="false">I5217*J5217</f>
        <v>15392</v>
      </c>
      <c r="L5217" s="14" t="n">
        <f aca="false">($L$2*M5217)/100</f>
        <v>444616.605</v>
      </c>
      <c r="M5217" s="15" t="n">
        <v>0.37</v>
      </c>
      <c r="N5217" s="9" t="s">
        <v>85</v>
      </c>
    </row>
    <row r="5218" customFormat="false" ht="14.25" hidden="false" customHeight="true" outlineLevel="0" collapsed="false">
      <c r="B5218" s="9" t="s">
        <v>16</v>
      </c>
      <c r="C5218" s="9" t="n">
        <v>1128299</v>
      </c>
      <c r="D5218" s="10" t="n">
        <v>44386</v>
      </c>
      <c r="E5218" s="9" t="s">
        <v>33</v>
      </c>
      <c r="F5218" s="9" t="s">
        <v>68</v>
      </c>
      <c r="G5218" s="9" t="s">
        <v>69</v>
      </c>
      <c r="H5218" s="11" t="s">
        <v>21</v>
      </c>
      <c r="I5218" s="12" t="n">
        <v>81</v>
      </c>
      <c r="J5218" s="13" t="n">
        <v>182</v>
      </c>
      <c r="K5218" s="14" t="n">
        <f aca="false">I5218*J5218</f>
        <v>14742</v>
      </c>
      <c r="L5218" s="14" t="n">
        <f aca="false">($L$2*M5218)/100</f>
        <v>408566.61</v>
      </c>
      <c r="M5218" s="15" t="n">
        <v>0.34</v>
      </c>
      <c r="N5218" s="9" t="s">
        <v>85</v>
      </c>
    </row>
    <row r="5219" customFormat="false" ht="14.25" hidden="false" customHeight="true" outlineLevel="0" collapsed="false">
      <c r="B5219" s="9" t="s">
        <v>16</v>
      </c>
      <c r="C5219" s="9" t="n">
        <v>1128299</v>
      </c>
      <c r="D5219" s="10" t="n">
        <v>44386</v>
      </c>
      <c r="E5219" s="9" t="s">
        <v>33</v>
      </c>
      <c r="F5219" s="9" t="s">
        <v>68</v>
      </c>
      <c r="G5219" s="9" t="s">
        <v>69</v>
      </c>
      <c r="H5219" s="11" t="s">
        <v>22</v>
      </c>
      <c r="I5219" s="12" t="n">
        <v>79</v>
      </c>
      <c r="J5219" s="13" t="n">
        <v>150</v>
      </c>
      <c r="K5219" s="14" t="n">
        <f aca="false">I5219*J5219</f>
        <v>11850</v>
      </c>
      <c r="L5219" s="14" t="n">
        <f aca="false">($L$2*M5219)/100</f>
        <v>432599.94</v>
      </c>
      <c r="M5219" s="15" t="n">
        <v>0.36</v>
      </c>
      <c r="N5219" s="9" t="s">
        <v>85</v>
      </c>
    </row>
    <row r="5220" customFormat="false" ht="14.25" hidden="false" customHeight="true" outlineLevel="0" collapsed="false">
      <c r="B5220" s="9" t="s">
        <v>16</v>
      </c>
      <c r="C5220" s="9" t="n">
        <v>1128299</v>
      </c>
      <c r="D5220" s="10" t="n">
        <v>44386</v>
      </c>
      <c r="E5220" s="9" t="s">
        <v>33</v>
      </c>
      <c r="F5220" s="9" t="s">
        <v>68</v>
      </c>
      <c r="G5220" s="9" t="s">
        <v>69</v>
      </c>
      <c r="H5220" s="11" t="s">
        <v>23</v>
      </c>
      <c r="I5220" s="12" t="n">
        <v>73</v>
      </c>
      <c r="J5220" s="13" t="n">
        <v>130</v>
      </c>
      <c r="K5220" s="14" t="n">
        <f aca="false">I5220*J5220</f>
        <v>9490</v>
      </c>
      <c r="L5220" s="14" t="n">
        <f aca="false">($L$2*M5220)/100</f>
        <v>480666.6</v>
      </c>
      <c r="M5220" s="15" t="n">
        <v>0.4</v>
      </c>
      <c r="N5220" s="9" t="s">
        <v>85</v>
      </c>
    </row>
    <row r="5221" customFormat="false" ht="14.25" hidden="false" customHeight="true" outlineLevel="0" collapsed="false">
      <c r="B5221" s="9" t="s">
        <v>16</v>
      </c>
      <c r="C5221" s="9" t="n">
        <v>1128299</v>
      </c>
      <c r="D5221" s="10" t="n">
        <v>44386</v>
      </c>
      <c r="E5221" s="9" t="s">
        <v>33</v>
      </c>
      <c r="F5221" s="9" t="s">
        <v>68</v>
      </c>
      <c r="G5221" s="9" t="s">
        <v>69</v>
      </c>
      <c r="H5221" s="11" t="s">
        <v>24</v>
      </c>
      <c r="I5221" s="12" t="n">
        <v>80</v>
      </c>
      <c r="J5221" s="13" t="n">
        <v>149</v>
      </c>
      <c r="K5221" s="14" t="n">
        <f aca="false">I5221*J5221</f>
        <v>11920</v>
      </c>
      <c r="L5221" s="14" t="n">
        <f aca="false">($L$2*M5221)/100</f>
        <v>360499.95</v>
      </c>
      <c r="M5221" s="15" t="n">
        <v>0.3</v>
      </c>
      <c r="N5221" s="9" t="s">
        <v>85</v>
      </c>
    </row>
    <row r="5222" customFormat="false" ht="14.25" hidden="false" customHeight="true" outlineLevel="0" collapsed="false">
      <c r="B5222" s="9" t="s">
        <v>16</v>
      </c>
      <c r="C5222" s="9" t="n">
        <v>1128299</v>
      </c>
      <c r="D5222" s="10" t="n">
        <v>44386</v>
      </c>
      <c r="E5222" s="9" t="s">
        <v>33</v>
      </c>
      <c r="F5222" s="9" t="s">
        <v>68</v>
      </c>
      <c r="G5222" s="9" t="s">
        <v>69</v>
      </c>
      <c r="H5222" s="11" t="s">
        <v>25</v>
      </c>
      <c r="I5222" s="12" t="n">
        <v>96</v>
      </c>
      <c r="J5222" s="13" t="n">
        <v>154</v>
      </c>
      <c r="K5222" s="14" t="n">
        <f aca="false">I5222*J5222</f>
        <v>14784</v>
      </c>
      <c r="L5222" s="14" t="n">
        <f aca="false">($L$2*M5222)/100</f>
        <v>624866.58</v>
      </c>
      <c r="M5222" s="15" t="n">
        <v>0.52</v>
      </c>
      <c r="N5222" s="9" t="s">
        <v>85</v>
      </c>
    </row>
    <row r="5223" customFormat="false" ht="14.25" hidden="false" customHeight="true" outlineLevel="0" collapsed="false">
      <c r="B5223" s="9" t="s">
        <v>16</v>
      </c>
      <c r="C5223" s="9" t="n">
        <v>1128299</v>
      </c>
      <c r="D5223" s="10" t="n">
        <v>44418</v>
      </c>
      <c r="E5223" s="9" t="s">
        <v>33</v>
      </c>
      <c r="F5223" s="9" t="s">
        <v>68</v>
      </c>
      <c r="G5223" s="9" t="s">
        <v>69</v>
      </c>
      <c r="H5223" s="11" t="s">
        <v>19</v>
      </c>
      <c r="I5223" s="12" t="n">
        <v>79</v>
      </c>
      <c r="J5223" s="13" t="n">
        <v>210</v>
      </c>
      <c r="K5223" s="14" t="n">
        <f aca="false">I5223*J5223</f>
        <v>16590</v>
      </c>
      <c r="L5223" s="14" t="n">
        <f aca="false">($L$2*M5223)/100</f>
        <v>444616.605</v>
      </c>
      <c r="M5223" s="15" t="n">
        <v>0.37</v>
      </c>
      <c r="N5223" s="9" t="s">
        <v>85</v>
      </c>
    </row>
    <row r="5224" customFormat="false" ht="14.25" hidden="false" customHeight="true" outlineLevel="0" collapsed="false">
      <c r="B5224" s="9" t="s">
        <v>16</v>
      </c>
      <c r="C5224" s="9" t="n">
        <v>1128299</v>
      </c>
      <c r="D5224" s="10" t="n">
        <v>44418</v>
      </c>
      <c r="E5224" s="9" t="s">
        <v>33</v>
      </c>
      <c r="F5224" s="9" t="s">
        <v>68</v>
      </c>
      <c r="G5224" s="9" t="s">
        <v>69</v>
      </c>
      <c r="H5224" s="11" t="s">
        <v>21</v>
      </c>
      <c r="I5224" s="12" t="n">
        <v>71</v>
      </c>
      <c r="J5224" s="13" t="n">
        <v>218</v>
      </c>
      <c r="K5224" s="14" t="n">
        <f aca="false">I5224*J5224</f>
        <v>15478</v>
      </c>
      <c r="L5224" s="14" t="n">
        <f aca="false">($L$2*M5224)/100</f>
        <v>408566.61</v>
      </c>
      <c r="M5224" s="15" t="n">
        <v>0.34</v>
      </c>
      <c r="N5224" s="9" t="s">
        <v>85</v>
      </c>
    </row>
    <row r="5225" customFormat="false" ht="14.25" hidden="false" customHeight="true" outlineLevel="0" collapsed="false">
      <c r="B5225" s="9" t="s">
        <v>16</v>
      </c>
      <c r="C5225" s="9" t="n">
        <v>1128299</v>
      </c>
      <c r="D5225" s="10" t="n">
        <v>44418</v>
      </c>
      <c r="E5225" s="9" t="s">
        <v>33</v>
      </c>
      <c r="F5225" s="9" t="s">
        <v>68</v>
      </c>
      <c r="G5225" s="9" t="s">
        <v>69</v>
      </c>
      <c r="H5225" s="11" t="s">
        <v>22</v>
      </c>
      <c r="I5225" s="12" t="n">
        <v>64</v>
      </c>
      <c r="J5225" s="13" t="n">
        <v>162</v>
      </c>
      <c r="K5225" s="14" t="n">
        <f aca="false">I5225*J5225</f>
        <v>10368</v>
      </c>
      <c r="L5225" s="14" t="n">
        <f aca="false">($L$2*M5225)/100</f>
        <v>468649.935</v>
      </c>
      <c r="M5225" s="15" t="n">
        <v>0.39</v>
      </c>
      <c r="N5225" s="9" t="s">
        <v>85</v>
      </c>
    </row>
    <row r="5226" customFormat="false" ht="14.25" hidden="false" customHeight="true" outlineLevel="0" collapsed="false">
      <c r="B5226" s="9" t="s">
        <v>16</v>
      </c>
      <c r="C5226" s="9" t="n">
        <v>1128299</v>
      </c>
      <c r="D5226" s="10" t="n">
        <v>44418</v>
      </c>
      <c r="E5226" s="9" t="s">
        <v>33</v>
      </c>
      <c r="F5226" s="9" t="s">
        <v>68</v>
      </c>
      <c r="G5226" s="9" t="s">
        <v>69</v>
      </c>
      <c r="H5226" s="11" t="s">
        <v>23</v>
      </c>
      <c r="I5226" s="12" t="n">
        <v>67</v>
      </c>
      <c r="J5226" s="13" t="n">
        <v>142</v>
      </c>
      <c r="K5226" s="14" t="n">
        <f aca="false">I5226*J5226</f>
        <v>9514</v>
      </c>
      <c r="L5226" s="14" t="n">
        <f aca="false">($L$2*M5226)/100</f>
        <v>456633.27</v>
      </c>
      <c r="M5226" s="15" t="n">
        <v>0.38</v>
      </c>
      <c r="N5226" s="9" t="s">
        <v>85</v>
      </c>
    </row>
    <row r="5227" customFormat="false" ht="14.25" hidden="false" customHeight="true" outlineLevel="0" collapsed="false">
      <c r="B5227" s="9" t="s">
        <v>27</v>
      </c>
      <c r="C5227" s="9" t="n">
        <v>1128299</v>
      </c>
      <c r="D5227" s="10" t="n">
        <v>44418</v>
      </c>
      <c r="E5227" s="9" t="s">
        <v>33</v>
      </c>
      <c r="F5227" s="9" t="s">
        <v>68</v>
      </c>
      <c r="G5227" s="9" t="s">
        <v>69</v>
      </c>
      <c r="H5227" s="11" t="s">
        <v>24</v>
      </c>
      <c r="I5227" s="12" t="n">
        <v>69</v>
      </c>
      <c r="J5227" s="13" t="n">
        <v>147</v>
      </c>
      <c r="K5227" s="14" t="n">
        <f aca="false">I5227*J5227</f>
        <v>10143</v>
      </c>
      <c r="L5227" s="14" t="n">
        <f aca="false">($L$2*M5227)/100</f>
        <v>324449.955</v>
      </c>
      <c r="M5227" s="15" t="n">
        <v>0.27</v>
      </c>
      <c r="N5227" s="9" t="s">
        <v>85</v>
      </c>
    </row>
    <row r="5228" customFormat="false" ht="14.25" hidden="false" customHeight="true" outlineLevel="0" collapsed="false">
      <c r="B5228" s="9" t="s">
        <v>27</v>
      </c>
      <c r="C5228" s="9" t="n">
        <v>1128299</v>
      </c>
      <c r="D5228" s="10" t="n">
        <v>44418</v>
      </c>
      <c r="E5228" s="9" t="s">
        <v>33</v>
      </c>
      <c r="F5228" s="9" t="s">
        <v>68</v>
      </c>
      <c r="G5228" s="9" t="s">
        <v>69</v>
      </c>
      <c r="H5228" s="11" t="s">
        <v>25</v>
      </c>
      <c r="I5228" s="12" t="n">
        <v>72</v>
      </c>
      <c r="J5228" s="13" t="n">
        <v>88</v>
      </c>
      <c r="K5228" s="14" t="n">
        <f aca="false">I5228*J5228</f>
        <v>6336</v>
      </c>
      <c r="L5228" s="14" t="n">
        <f aca="false">($L$2*M5228)/100</f>
        <v>636883.245</v>
      </c>
      <c r="M5228" s="15" t="n">
        <v>0.53</v>
      </c>
      <c r="N5228" s="9" t="s">
        <v>85</v>
      </c>
    </row>
    <row r="5229" customFormat="false" ht="14.25" hidden="false" customHeight="true" outlineLevel="0" collapsed="false">
      <c r="B5229" s="9" t="s">
        <v>27</v>
      </c>
      <c r="C5229" s="9" t="n">
        <v>1128299</v>
      </c>
      <c r="D5229" s="10" t="n">
        <v>44450</v>
      </c>
      <c r="E5229" s="9" t="s">
        <v>33</v>
      </c>
      <c r="F5229" s="9" t="s">
        <v>68</v>
      </c>
      <c r="G5229" s="9" t="s">
        <v>69</v>
      </c>
      <c r="H5229" s="11" t="s">
        <v>19</v>
      </c>
      <c r="I5229" s="12" t="n">
        <v>62</v>
      </c>
      <c r="J5229" s="13" t="n">
        <v>149</v>
      </c>
      <c r="K5229" s="14" t="n">
        <f aca="false">I5229*J5229</f>
        <v>9238</v>
      </c>
      <c r="L5229" s="14" t="n">
        <f aca="false">($L$2*M5229)/100</f>
        <v>432599.94</v>
      </c>
      <c r="M5229" s="15" t="n">
        <v>0.36</v>
      </c>
      <c r="N5229" s="9" t="s">
        <v>85</v>
      </c>
    </row>
    <row r="5230" customFormat="false" ht="14.25" hidden="false" customHeight="true" outlineLevel="0" collapsed="false">
      <c r="B5230" s="9" t="s">
        <v>27</v>
      </c>
      <c r="C5230" s="9" t="n">
        <v>1128299</v>
      </c>
      <c r="D5230" s="10" t="n">
        <v>44450</v>
      </c>
      <c r="E5230" s="9" t="s">
        <v>33</v>
      </c>
      <c r="F5230" s="9" t="s">
        <v>68</v>
      </c>
      <c r="G5230" s="9" t="s">
        <v>69</v>
      </c>
      <c r="H5230" s="11" t="s">
        <v>21</v>
      </c>
      <c r="I5230" s="12" t="n">
        <v>69</v>
      </c>
      <c r="J5230" s="13" t="n">
        <v>149</v>
      </c>
      <c r="K5230" s="14" t="n">
        <f aca="false">I5230*J5230</f>
        <v>10281</v>
      </c>
      <c r="L5230" s="14" t="n">
        <f aca="false">($L$2*M5230)/100</f>
        <v>396549.945</v>
      </c>
      <c r="M5230" s="15" t="n">
        <v>0.33</v>
      </c>
      <c r="N5230" s="9" t="s">
        <v>85</v>
      </c>
    </row>
    <row r="5231" customFormat="false" ht="14.25" hidden="false" customHeight="true" outlineLevel="0" collapsed="false">
      <c r="B5231" s="9" t="s">
        <v>27</v>
      </c>
      <c r="C5231" s="9" t="n">
        <v>1128299</v>
      </c>
      <c r="D5231" s="10" t="n">
        <v>44450</v>
      </c>
      <c r="E5231" s="9" t="s">
        <v>33</v>
      </c>
      <c r="F5231" s="9" t="s">
        <v>68</v>
      </c>
      <c r="G5231" s="9" t="s">
        <v>69</v>
      </c>
      <c r="H5231" s="11" t="s">
        <v>22</v>
      </c>
      <c r="I5231" s="12" t="n">
        <v>64</v>
      </c>
      <c r="J5231" s="13" t="n">
        <v>105</v>
      </c>
      <c r="K5231" s="14" t="n">
        <f aca="false">I5231*J5231</f>
        <v>6720</v>
      </c>
      <c r="L5231" s="14" t="n">
        <f aca="false">($L$2*M5231)/100</f>
        <v>468649.935</v>
      </c>
      <c r="M5231" s="15" t="n">
        <v>0.39</v>
      </c>
      <c r="N5231" s="9" t="s">
        <v>85</v>
      </c>
    </row>
    <row r="5232" customFormat="false" ht="14.25" hidden="false" customHeight="true" outlineLevel="0" collapsed="false">
      <c r="B5232" s="9" t="s">
        <v>27</v>
      </c>
      <c r="C5232" s="9" t="n">
        <v>1128299</v>
      </c>
      <c r="D5232" s="10" t="n">
        <v>44450</v>
      </c>
      <c r="E5232" s="9" t="s">
        <v>33</v>
      </c>
      <c r="F5232" s="9" t="s">
        <v>68</v>
      </c>
      <c r="G5232" s="9" t="s">
        <v>69</v>
      </c>
      <c r="H5232" s="11" t="s">
        <v>23</v>
      </c>
      <c r="I5232" s="12" t="n">
        <v>62</v>
      </c>
      <c r="J5232" s="13" t="n">
        <v>85</v>
      </c>
      <c r="K5232" s="14" t="n">
        <f aca="false">I5232*J5232</f>
        <v>5270</v>
      </c>
      <c r="L5232" s="14" t="n">
        <f aca="false">($L$2*M5232)/100</f>
        <v>480666.6</v>
      </c>
      <c r="M5232" s="15" t="n">
        <v>0.4</v>
      </c>
      <c r="N5232" s="9" t="s">
        <v>85</v>
      </c>
    </row>
    <row r="5233" customFormat="false" ht="14.25" hidden="false" customHeight="true" outlineLevel="0" collapsed="false">
      <c r="B5233" s="9" t="s">
        <v>27</v>
      </c>
      <c r="C5233" s="9" t="n">
        <v>1128299</v>
      </c>
      <c r="D5233" s="10" t="n">
        <v>44450</v>
      </c>
      <c r="E5233" s="9" t="s">
        <v>33</v>
      </c>
      <c r="F5233" s="9" t="s">
        <v>68</v>
      </c>
      <c r="G5233" s="9" t="s">
        <v>69</v>
      </c>
      <c r="H5233" s="11" t="s">
        <v>24</v>
      </c>
      <c r="I5233" s="12" t="n">
        <v>71</v>
      </c>
      <c r="J5233" s="13" t="n">
        <v>91</v>
      </c>
      <c r="K5233" s="14" t="n">
        <f aca="false">I5233*J5233</f>
        <v>6461</v>
      </c>
      <c r="L5233" s="14" t="n">
        <f aca="false">($L$2*M5233)/100</f>
        <v>360499.95</v>
      </c>
      <c r="M5233" s="15" t="n">
        <v>0.3</v>
      </c>
      <c r="N5233" s="9" t="s">
        <v>85</v>
      </c>
    </row>
    <row r="5234" customFormat="false" ht="14.25" hidden="false" customHeight="true" outlineLevel="0" collapsed="false">
      <c r="B5234" s="9" t="s">
        <v>27</v>
      </c>
      <c r="C5234" s="9" t="n">
        <v>1128299</v>
      </c>
      <c r="D5234" s="10" t="n">
        <v>44450</v>
      </c>
      <c r="E5234" s="9" t="s">
        <v>33</v>
      </c>
      <c r="F5234" s="9" t="s">
        <v>68</v>
      </c>
      <c r="G5234" s="9" t="s">
        <v>69</v>
      </c>
      <c r="H5234" s="11" t="s">
        <v>25</v>
      </c>
      <c r="I5234" s="12" t="n">
        <v>56</v>
      </c>
      <c r="J5234" s="13" t="n">
        <v>105</v>
      </c>
      <c r="K5234" s="14" t="n">
        <f aca="false">I5234*J5234</f>
        <v>5880</v>
      </c>
      <c r="L5234" s="14" t="n">
        <f aca="false">($L$2*M5234)/100</f>
        <v>636883.245</v>
      </c>
      <c r="M5234" s="15" t="n">
        <v>0.53</v>
      </c>
      <c r="N5234" s="9" t="s">
        <v>85</v>
      </c>
    </row>
    <row r="5235" customFormat="false" ht="14.25" hidden="false" customHeight="true" outlineLevel="0" collapsed="false">
      <c r="B5235" s="9" t="s">
        <v>27</v>
      </c>
      <c r="C5235" s="9" t="n">
        <v>1128299</v>
      </c>
      <c r="D5235" s="10" t="n">
        <v>44479</v>
      </c>
      <c r="E5235" s="9" t="s">
        <v>33</v>
      </c>
      <c r="F5235" s="9" t="s">
        <v>68</v>
      </c>
      <c r="G5235" s="9" t="s">
        <v>69</v>
      </c>
      <c r="H5235" s="11" t="s">
        <v>19</v>
      </c>
      <c r="I5235" s="12" t="n">
        <v>52</v>
      </c>
      <c r="J5235" s="13" t="n">
        <v>124</v>
      </c>
      <c r="K5235" s="14" t="n">
        <f aca="false">I5235*J5235</f>
        <v>6448</v>
      </c>
      <c r="L5235" s="14" t="n">
        <f aca="false">($L$2*M5235)/100</f>
        <v>480666.6</v>
      </c>
      <c r="M5235" s="15" t="n">
        <v>0.4</v>
      </c>
      <c r="N5235" s="9" t="s">
        <v>85</v>
      </c>
    </row>
    <row r="5236" customFormat="false" ht="14.25" hidden="false" customHeight="true" outlineLevel="0" collapsed="false">
      <c r="B5236" s="9" t="s">
        <v>27</v>
      </c>
      <c r="C5236" s="9" t="n">
        <v>1128299</v>
      </c>
      <c r="D5236" s="10" t="n">
        <v>44479</v>
      </c>
      <c r="E5236" s="9" t="s">
        <v>33</v>
      </c>
      <c r="F5236" s="9" t="s">
        <v>68</v>
      </c>
      <c r="G5236" s="9" t="s">
        <v>69</v>
      </c>
      <c r="H5236" s="11" t="s">
        <v>21</v>
      </c>
      <c r="I5236" s="12" t="n">
        <v>61</v>
      </c>
      <c r="J5236" s="13" t="n">
        <v>138</v>
      </c>
      <c r="K5236" s="14" t="n">
        <f aca="false">I5236*J5236</f>
        <v>8418</v>
      </c>
      <c r="L5236" s="14" t="n">
        <f aca="false">($L$2*M5236)/100</f>
        <v>360499.95</v>
      </c>
      <c r="M5236" s="15" t="n">
        <v>0.3</v>
      </c>
      <c r="N5236" s="9" t="s">
        <v>85</v>
      </c>
    </row>
    <row r="5237" customFormat="false" ht="14.25" hidden="false" customHeight="true" outlineLevel="0" collapsed="false">
      <c r="B5237" s="9" t="s">
        <v>27</v>
      </c>
      <c r="C5237" s="9" t="n">
        <v>1128299</v>
      </c>
      <c r="D5237" s="10" t="n">
        <v>44479</v>
      </c>
      <c r="E5237" s="9" t="s">
        <v>33</v>
      </c>
      <c r="F5237" s="9" t="s">
        <v>68</v>
      </c>
      <c r="G5237" s="9" t="s">
        <v>69</v>
      </c>
      <c r="H5237" s="11" t="s">
        <v>22</v>
      </c>
      <c r="I5237" s="12" t="n">
        <v>56</v>
      </c>
      <c r="J5237" s="13" t="n">
        <v>87</v>
      </c>
      <c r="K5237" s="14" t="n">
        <f aca="false">I5237*J5237</f>
        <v>4872</v>
      </c>
      <c r="L5237" s="14" t="n">
        <f aca="false">($L$2*M5237)/100</f>
        <v>420583.275</v>
      </c>
      <c r="M5237" s="15" t="n">
        <v>0.35</v>
      </c>
      <c r="N5237" s="9" t="s">
        <v>85</v>
      </c>
    </row>
    <row r="5238" customFormat="false" ht="14.25" hidden="false" customHeight="true" outlineLevel="0" collapsed="false">
      <c r="B5238" s="9" t="s">
        <v>27</v>
      </c>
      <c r="C5238" s="9" t="n">
        <v>1128299</v>
      </c>
      <c r="D5238" s="10" t="n">
        <v>44479</v>
      </c>
      <c r="E5238" s="9" t="s">
        <v>33</v>
      </c>
      <c r="F5238" s="9" t="s">
        <v>68</v>
      </c>
      <c r="G5238" s="9" t="s">
        <v>69</v>
      </c>
      <c r="H5238" s="11" t="s">
        <v>23</v>
      </c>
      <c r="I5238" s="12" t="n">
        <v>50</v>
      </c>
      <c r="J5238" s="13" t="n">
        <v>83</v>
      </c>
      <c r="K5238" s="14" t="n">
        <f aca="false">I5238*J5238</f>
        <v>4150</v>
      </c>
      <c r="L5238" s="14" t="n">
        <f aca="false">($L$2*M5238)/100</f>
        <v>444616.605</v>
      </c>
      <c r="M5238" s="15" t="n">
        <v>0.37</v>
      </c>
      <c r="N5238" s="9" t="s">
        <v>85</v>
      </c>
    </row>
    <row r="5239" customFormat="false" ht="14.25" hidden="false" customHeight="true" outlineLevel="0" collapsed="false">
      <c r="B5239" s="9" t="s">
        <v>27</v>
      </c>
      <c r="C5239" s="9" t="n">
        <v>1128299</v>
      </c>
      <c r="D5239" s="10" t="n">
        <v>44479</v>
      </c>
      <c r="E5239" s="9" t="s">
        <v>33</v>
      </c>
      <c r="F5239" s="9" t="s">
        <v>68</v>
      </c>
      <c r="G5239" s="9" t="s">
        <v>69</v>
      </c>
      <c r="H5239" s="11" t="s">
        <v>24</v>
      </c>
      <c r="I5239" s="12" t="n">
        <v>63</v>
      </c>
      <c r="J5239" s="13" t="n">
        <v>70</v>
      </c>
      <c r="K5239" s="14" t="n">
        <f aca="false">I5239*J5239</f>
        <v>4410</v>
      </c>
      <c r="L5239" s="14" t="n">
        <f aca="false">($L$2*M5239)/100</f>
        <v>336466.62</v>
      </c>
      <c r="M5239" s="15" t="n">
        <v>0.28</v>
      </c>
      <c r="N5239" s="9" t="s">
        <v>85</v>
      </c>
    </row>
    <row r="5240" customFormat="false" ht="14.25" hidden="false" customHeight="true" outlineLevel="0" collapsed="false">
      <c r="B5240" s="9" t="s">
        <v>27</v>
      </c>
      <c r="C5240" s="9" t="n">
        <v>1128299</v>
      </c>
      <c r="D5240" s="10" t="n">
        <v>44479</v>
      </c>
      <c r="E5240" s="9" t="s">
        <v>33</v>
      </c>
      <c r="F5240" s="9" t="s">
        <v>68</v>
      </c>
      <c r="G5240" s="9" t="s">
        <v>69</v>
      </c>
      <c r="H5240" s="11" t="s">
        <v>25</v>
      </c>
      <c r="I5240" s="12" t="n">
        <v>64</v>
      </c>
      <c r="J5240" s="13" t="n">
        <v>75</v>
      </c>
      <c r="K5240" s="14" t="n">
        <f aca="false">I5240*J5240</f>
        <v>4800</v>
      </c>
      <c r="L5240" s="14" t="n">
        <f aca="false">($L$2*M5240)/100</f>
        <v>612849.915</v>
      </c>
      <c r="M5240" s="15" t="n">
        <v>0.51</v>
      </c>
      <c r="N5240" s="9" t="s">
        <v>85</v>
      </c>
    </row>
    <row r="5241" customFormat="false" ht="14.25" hidden="false" customHeight="true" outlineLevel="0" collapsed="false">
      <c r="B5241" s="9" t="s">
        <v>27</v>
      </c>
      <c r="C5241" s="9" t="n">
        <v>1128299</v>
      </c>
      <c r="D5241" s="10" t="n">
        <v>44510</v>
      </c>
      <c r="E5241" s="9" t="s">
        <v>33</v>
      </c>
      <c r="F5241" s="9" t="s">
        <v>68</v>
      </c>
      <c r="G5241" s="9" t="s">
        <v>69</v>
      </c>
      <c r="H5241" s="11" t="s">
        <v>19</v>
      </c>
      <c r="I5241" s="12" t="n">
        <v>51</v>
      </c>
      <c r="J5241" s="13" t="n">
        <v>158</v>
      </c>
      <c r="K5241" s="14" t="n">
        <f aca="false">I5241*J5241</f>
        <v>8058</v>
      </c>
      <c r="L5241" s="14" t="n">
        <f aca="false">($L$2*M5241)/100</f>
        <v>444616.605</v>
      </c>
      <c r="M5241" s="15" t="n">
        <v>0.37</v>
      </c>
      <c r="N5241" s="9" t="s">
        <v>85</v>
      </c>
    </row>
    <row r="5242" customFormat="false" ht="14.25" hidden="false" customHeight="true" outlineLevel="0" collapsed="false">
      <c r="B5242" s="9" t="s">
        <v>27</v>
      </c>
      <c r="C5242" s="9" t="n">
        <v>1128299</v>
      </c>
      <c r="D5242" s="10" t="n">
        <v>44510</v>
      </c>
      <c r="E5242" s="9" t="s">
        <v>33</v>
      </c>
      <c r="F5242" s="9" t="s">
        <v>68</v>
      </c>
      <c r="G5242" s="9" t="s">
        <v>69</v>
      </c>
      <c r="H5242" s="11" t="s">
        <v>21</v>
      </c>
      <c r="I5242" s="12" t="n">
        <v>56</v>
      </c>
      <c r="J5242" s="13" t="n">
        <v>168</v>
      </c>
      <c r="K5242" s="14" t="n">
        <f aca="false">I5242*J5242</f>
        <v>9408</v>
      </c>
      <c r="L5242" s="14" t="n">
        <f aca="false">($L$2*M5242)/100</f>
        <v>384533.28</v>
      </c>
      <c r="M5242" s="15" t="n">
        <v>0.32</v>
      </c>
      <c r="N5242" s="9" t="s">
        <v>85</v>
      </c>
    </row>
    <row r="5243" customFormat="false" ht="14.25" hidden="false" customHeight="true" outlineLevel="0" collapsed="false">
      <c r="B5243" s="9" t="s">
        <v>27</v>
      </c>
      <c r="C5243" s="9" t="n">
        <v>1128299</v>
      </c>
      <c r="D5243" s="10" t="n">
        <v>44510</v>
      </c>
      <c r="E5243" s="9" t="s">
        <v>33</v>
      </c>
      <c r="F5243" s="9" t="s">
        <v>68</v>
      </c>
      <c r="G5243" s="9" t="s">
        <v>69</v>
      </c>
      <c r="H5243" s="11" t="s">
        <v>22</v>
      </c>
      <c r="I5243" s="12" t="n">
        <v>50</v>
      </c>
      <c r="J5243" s="13" t="n">
        <v>123</v>
      </c>
      <c r="K5243" s="14" t="n">
        <f aca="false">I5243*J5243</f>
        <v>6150</v>
      </c>
      <c r="L5243" s="14" t="n">
        <f aca="false">($L$2*M5243)/100</f>
        <v>480666.6</v>
      </c>
      <c r="M5243" s="15" t="n">
        <v>0.4</v>
      </c>
      <c r="N5243" s="9" t="s">
        <v>85</v>
      </c>
    </row>
    <row r="5244" customFormat="false" ht="14.25" hidden="false" customHeight="true" outlineLevel="0" collapsed="false">
      <c r="B5244" s="9" t="s">
        <v>27</v>
      </c>
      <c r="C5244" s="9" t="n">
        <v>1128299</v>
      </c>
      <c r="D5244" s="10" t="n">
        <v>44510</v>
      </c>
      <c r="E5244" s="9" t="s">
        <v>33</v>
      </c>
      <c r="F5244" s="9" t="s">
        <v>68</v>
      </c>
      <c r="G5244" s="9" t="s">
        <v>69</v>
      </c>
      <c r="H5244" s="11" t="s">
        <v>23</v>
      </c>
      <c r="I5244" s="12" t="n">
        <v>60</v>
      </c>
      <c r="J5244" s="13" t="n">
        <v>104</v>
      </c>
      <c r="K5244" s="14" t="n">
        <f aca="false">I5244*J5244</f>
        <v>6240</v>
      </c>
      <c r="L5244" s="14" t="n">
        <f aca="false">($L$2*M5244)/100</f>
        <v>468649.935</v>
      </c>
      <c r="M5244" s="15" t="n">
        <v>0.39</v>
      </c>
      <c r="N5244" s="9" t="s">
        <v>85</v>
      </c>
    </row>
    <row r="5245" customFormat="false" ht="14.25" hidden="false" customHeight="true" outlineLevel="0" collapsed="false">
      <c r="B5245" s="9" t="s">
        <v>27</v>
      </c>
      <c r="C5245" s="9" t="n">
        <v>1128299</v>
      </c>
      <c r="D5245" s="10" t="n">
        <v>44510</v>
      </c>
      <c r="E5245" s="9" t="s">
        <v>33</v>
      </c>
      <c r="F5245" s="9" t="s">
        <v>68</v>
      </c>
      <c r="G5245" s="9" t="s">
        <v>69</v>
      </c>
      <c r="H5245" s="11" t="s">
        <v>24</v>
      </c>
      <c r="I5245" s="12" t="n">
        <v>83</v>
      </c>
      <c r="J5245" s="13" t="n">
        <v>113</v>
      </c>
      <c r="K5245" s="14" t="n">
        <f aca="false">I5245*J5245</f>
        <v>9379</v>
      </c>
      <c r="L5245" s="14" t="n">
        <f aca="false">($L$2*M5245)/100</f>
        <v>360499.95</v>
      </c>
      <c r="M5245" s="15" t="n">
        <v>0.3</v>
      </c>
      <c r="N5245" s="9" t="s">
        <v>85</v>
      </c>
    </row>
    <row r="5246" customFormat="false" ht="14.25" hidden="false" customHeight="true" outlineLevel="0" collapsed="false">
      <c r="B5246" s="9" t="s">
        <v>27</v>
      </c>
      <c r="C5246" s="9" t="n">
        <v>1128299</v>
      </c>
      <c r="D5246" s="10" t="n">
        <v>44510</v>
      </c>
      <c r="E5246" s="9" t="s">
        <v>33</v>
      </c>
      <c r="F5246" s="9" t="s">
        <v>68</v>
      </c>
      <c r="G5246" s="9" t="s">
        <v>69</v>
      </c>
      <c r="H5246" s="11" t="s">
        <v>25</v>
      </c>
      <c r="I5246" s="12" t="n">
        <v>82</v>
      </c>
      <c r="J5246" s="13" t="n">
        <v>140</v>
      </c>
      <c r="K5246" s="14" t="n">
        <f aca="false">I5246*J5246</f>
        <v>11480</v>
      </c>
      <c r="L5246" s="14" t="n">
        <f aca="false">($L$2*M5246)/100</f>
        <v>624866.58</v>
      </c>
      <c r="M5246" s="15" t="n">
        <v>0.52</v>
      </c>
      <c r="N5246" s="9" t="s">
        <v>85</v>
      </c>
    </row>
    <row r="5247" customFormat="false" ht="14.25" hidden="false" customHeight="true" outlineLevel="0" collapsed="false">
      <c r="B5247" s="9" t="s">
        <v>27</v>
      </c>
      <c r="C5247" s="9" t="n">
        <v>1128299</v>
      </c>
      <c r="D5247" s="10" t="n">
        <v>44539</v>
      </c>
      <c r="E5247" s="9" t="s">
        <v>33</v>
      </c>
      <c r="F5247" s="9" t="s">
        <v>68</v>
      </c>
      <c r="G5247" s="9" t="s">
        <v>69</v>
      </c>
      <c r="H5247" s="11" t="s">
        <v>19</v>
      </c>
      <c r="I5247" s="12" t="n">
        <v>68</v>
      </c>
      <c r="J5247" s="13" t="n">
        <v>189</v>
      </c>
      <c r="K5247" s="14" t="n">
        <f aca="false">I5247*J5247</f>
        <v>12852</v>
      </c>
      <c r="L5247" s="14" t="n">
        <f aca="false">($L$2*M5247)/100</f>
        <v>480666.6</v>
      </c>
      <c r="M5247" s="15" t="n">
        <v>0.4</v>
      </c>
      <c r="N5247" s="9" t="s">
        <v>85</v>
      </c>
    </row>
    <row r="5248" customFormat="false" ht="14.25" hidden="false" customHeight="true" outlineLevel="0" collapsed="false">
      <c r="B5248" s="9" t="s">
        <v>27</v>
      </c>
      <c r="C5248" s="9" t="n">
        <v>1128299</v>
      </c>
      <c r="D5248" s="10" t="n">
        <v>44539</v>
      </c>
      <c r="E5248" s="9" t="s">
        <v>33</v>
      </c>
      <c r="F5248" s="9" t="s">
        <v>68</v>
      </c>
      <c r="G5248" s="9" t="s">
        <v>69</v>
      </c>
      <c r="H5248" s="11" t="s">
        <v>21</v>
      </c>
      <c r="I5248" s="12" t="n">
        <v>77</v>
      </c>
      <c r="J5248" s="13" t="n">
        <v>182</v>
      </c>
      <c r="K5248" s="14" t="n">
        <f aca="false">I5248*J5248</f>
        <v>14014</v>
      </c>
      <c r="L5248" s="14" t="n">
        <f aca="false">($L$2*M5248)/100</f>
        <v>360499.95</v>
      </c>
      <c r="M5248" s="15" t="n">
        <v>0.3</v>
      </c>
      <c r="N5248" s="9" t="s">
        <v>85</v>
      </c>
    </row>
    <row r="5249" customFormat="false" ht="14.25" hidden="false" customHeight="true" outlineLevel="0" collapsed="false">
      <c r="B5249" s="9" t="s">
        <v>28</v>
      </c>
      <c r="C5249" s="9" t="n">
        <v>1128299</v>
      </c>
      <c r="D5249" s="10" t="n">
        <v>44539</v>
      </c>
      <c r="E5249" s="9" t="s">
        <v>33</v>
      </c>
      <c r="F5249" s="9" t="s">
        <v>68</v>
      </c>
      <c r="G5249" s="9" t="s">
        <v>69</v>
      </c>
      <c r="H5249" s="11" t="s">
        <v>22</v>
      </c>
      <c r="I5249" s="12" t="n">
        <v>74</v>
      </c>
      <c r="J5249" s="13" t="n">
        <v>135</v>
      </c>
      <c r="K5249" s="14" t="n">
        <f aca="false">I5249*J5249</f>
        <v>9990</v>
      </c>
      <c r="L5249" s="14" t="n">
        <f aca="false">($L$2*M5249)/100</f>
        <v>420583.275</v>
      </c>
      <c r="M5249" s="15" t="n">
        <v>0.35</v>
      </c>
      <c r="N5249" s="9" t="s">
        <v>85</v>
      </c>
    </row>
    <row r="5250" customFormat="false" ht="14.25" hidden="false" customHeight="true" outlineLevel="0" collapsed="false">
      <c r="B5250" s="9" t="s">
        <v>28</v>
      </c>
      <c r="C5250" s="9" t="n">
        <v>1128299</v>
      </c>
      <c r="D5250" s="10" t="n">
        <v>44539</v>
      </c>
      <c r="E5250" s="9" t="s">
        <v>33</v>
      </c>
      <c r="F5250" s="9" t="s">
        <v>68</v>
      </c>
      <c r="G5250" s="9" t="s">
        <v>69</v>
      </c>
      <c r="H5250" s="11" t="s">
        <v>23</v>
      </c>
      <c r="I5250" s="12" t="n">
        <v>73</v>
      </c>
      <c r="J5250" s="13" t="n">
        <v>145</v>
      </c>
      <c r="K5250" s="14" t="n">
        <f aca="false">I5250*J5250</f>
        <v>10585</v>
      </c>
      <c r="L5250" s="14" t="n">
        <f aca="false">($L$2*M5250)/100</f>
        <v>420583.275</v>
      </c>
      <c r="M5250" s="15" t="n">
        <v>0.35</v>
      </c>
      <c r="N5250" s="9" t="s">
        <v>85</v>
      </c>
    </row>
    <row r="5251" customFormat="false" ht="14.25" hidden="false" customHeight="true" outlineLevel="0" collapsed="false">
      <c r="B5251" s="9" t="s">
        <v>28</v>
      </c>
      <c r="C5251" s="9" t="n">
        <v>1128299</v>
      </c>
      <c r="D5251" s="10" t="n">
        <v>44539</v>
      </c>
      <c r="E5251" s="9" t="s">
        <v>33</v>
      </c>
      <c r="F5251" s="9" t="s">
        <v>68</v>
      </c>
      <c r="G5251" s="9" t="s">
        <v>69</v>
      </c>
      <c r="H5251" s="11" t="s">
        <v>24</v>
      </c>
      <c r="I5251" s="12" t="n">
        <v>84</v>
      </c>
      <c r="J5251" s="13" t="n">
        <v>128</v>
      </c>
      <c r="K5251" s="14" t="n">
        <f aca="false">I5251*J5251</f>
        <v>10752</v>
      </c>
      <c r="L5251" s="14" t="n">
        <f aca="false">($L$2*M5251)/100</f>
        <v>312433.29</v>
      </c>
      <c r="M5251" s="15" t="n">
        <v>0.26</v>
      </c>
      <c r="N5251" s="9" t="s">
        <v>85</v>
      </c>
    </row>
    <row r="5252" customFormat="false" ht="14.25" hidden="false" customHeight="true" outlineLevel="0" collapsed="false">
      <c r="B5252" s="9" t="s">
        <v>28</v>
      </c>
      <c r="C5252" s="9" t="n">
        <v>1128299</v>
      </c>
      <c r="D5252" s="10" t="n">
        <v>44539</v>
      </c>
      <c r="E5252" s="9" t="s">
        <v>33</v>
      </c>
      <c r="F5252" s="9" t="s">
        <v>68</v>
      </c>
      <c r="G5252" s="9" t="s">
        <v>69</v>
      </c>
      <c r="H5252" s="11" t="s">
        <v>25</v>
      </c>
      <c r="I5252" s="12" t="n">
        <v>89</v>
      </c>
      <c r="J5252" s="13" t="n">
        <v>142</v>
      </c>
      <c r="K5252" s="14" t="n">
        <f aca="false">I5252*J5252</f>
        <v>12638</v>
      </c>
      <c r="L5252" s="14" t="n">
        <f aca="false">($L$2*M5252)/100</f>
        <v>600833.25</v>
      </c>
      <c r="M5252" s="15" t="n">
        <v>0.5</v>
      </c>
      <c r="N5252" s="9" t="s">
        <v>85</v>
      </c>
    </row>
    <row r="5253" customFormat="false" ht="14.25" hidden="false" customHeight="true" outlineLevel="0" collapsed="false">
      <c r="B5253" s="9" t="s">
        <v>28</v>
      </c>
      <c r="C5253" s="9" t="n">
        <v>1128299</v>
      </c>
      <c r="D5253" s="10" t="n">
        <v>44213</v>
      </c>
      <c r="E5253" s="9" t="s">
        <v>33</v>
      </c>
      <c r="F5253" s="9" t="s">
        <v>68</v>
      </c>
      <c r="G5253" s="9" t="s">
        <v>69</v>
      </c>
      <c r="H5253" s="11" t="s">
        <v>19</v>
      </c>
      <c r="I5253" s="12" t="n">
        <v>38</v>
      </c>
      <c r="J5253" s="13" t="n">
        <v>115</v>
      </c>
      <c r="K5253" s="14" t="n">
        <f aca="false">I5253*J5253</f>
        <v>4370</v>
      </c>
      <c r="L5253" s="14" t="n">
        <f aca="false">($L$2*M5253)/100</f>
        <v>516716.595</v>
      </c>
      <c r="M5253" s="15" t="n">
        <v>0.43</v>
      </c>
      <c r="N5253" s="9" t="s">
        <v>85</v>
      </c>
    </row>
    <row r="5254" customFormat="false" ht="14.25" hidden="false" customHeight="true" outlineLevel="0" collapsed="false">
      <c r="B5254" s="9" t="s">
        <v>28</v>
      </c>
      <c r="C5254" s="9" t="n">
        <v>1128299</v>
      </c>
      <c r="D5254" s="10" t="n">
        <v>44213</v>
      </c>
      <c r="E5254" s="9" t="s">
        <v>33</v>
      </c>
      <c r="F5254" s="9" t="s">
        <v>68</v>
      </c>
      <c r="G5254" s="9" t="s">
        <v>69</v>
      </c>
      <c r="H5254" s="11" t="s">
        <v>21</v>
      </c>
      <c r="I5254" s="12" t="n">
        <v>48</v>
      </c>
      <c r="J5254" s="13" t="n">
        <v>123</v>
      </c>
      <c r="K5254" s="14" t="n">
        <f aca="false">I5254*J5254</f>
        <v>5904</v>
      </c>
      <c r="L5254" s="14" t="n">
        <f aca="false">($L$2*M5254)/100</f>
        <v>420583.275</v>
      </c>
      <c r="M5254" s="15" t="n">
        <v>0.35</v>
      </c>
      <c r="N5254" s="9" t="s">
        <v>85</v>
      </c>
    </row>
    <row r="5255" customFormat="false" ht="14.25" hidden="false" customHeight="true" outlineLevel="0" collapsed="false">
      <c r="B5255" s="9" t="s">
        <v>28</v>
      </c>
      <c r="C5255" s="9" t="n">
        <v>1128299</v>
      </c>
      <c r="D5255" s="10" t="n">
        <v>44213</v>
      </c>
      <c r="E5255" s="9" t="s">
        <v>33</v>
      </c>
      <c r="F5255" s="9" t="s">
        <v>68</v>
      </c>
      <c r="G5255" s="9" t="s">
        <v>69</v>
      </c>
      <c r="H5255" s="11" t="s">
        <v>22</v>
      </c>
      <c r="I5255" s="12" t="n">
        <v>45</v>
      </c>
      <c r="J5255" s="13" t="n">
        <v>123</v>
      </c>
      <c r="K5255" s="14" t="n">
        <f aca="false">I5255*J5255</f>
        <v>5535</v>
      </c>
      <c r="L5255" s="14" t="n">
        <f aca="false">($L$2*M5255)/100</f>
        <v>492683.265</v>
      </c>
      <c r="M5255" s="15" t="n">
        <v>0.41</v>
      </c>
      <c r="N5255" s="9" t="s">
        <v>85</v>
      </c>
    </row>
    <row r="5256" customFormat="false" ht="14.25" hidden="false" customHeight="true" outlineLevel="0" collapsed="false">
      <c r="B5256" s="9" t="s">
        <v>28</v>
      </c>
      <c r="C5256" s="9" t="n">
        <v>1128299</v>
      </c>
      <c r="D5256" s="10" t="n">
        <v>44213</v>
      </c>
      <c r="E5256" s="9" t="s">
        <v>33</v>
      </c>
      <c r="F5256" s="9" t="s">
        <v>68</v>
      </c>
      <c r="G5256" s="9" t="s">
        <v>69</v>
      </c>
      <c r="H5256" s="11" t="s">
        <v>23</v>
      </c>
      <c r="I5256" s="12" t="n">
        <v>47</v>
      </c>
      <c r="J5256" s="13" t="n">
        <v>77</v>
      </c>
      <c r="K5256" s="14" t="n">
        <f aca="false">I5256*J5256</f>
        <v>3619</v>
      </c>
      <c r="L5256" s="14" t="n">
        <f aca="false">($L$2*M5256)/100</f>
        <v>540749.925</v>
      </c>
      <c r="M5256" s="15" t="n">
        <v>0.45</v>
      </c>
      <c r="N5256" s="9" t="s">
        <v>85</v>
      </c>
    </row>
    <row r="5257" customFormat="false" ht="14.25" hidden="false" customHeight="true" outlineLevel="0" collapsed="false">
      <c r="B5257" s="9" t="s">
        <v>28</v>
      </c>
      <c r="C5257" s="9" t="n">
        <v>1128299</v>
      </c>
      <c r="D5257" s="10" t="n">
        <v>44213</v>
      </c>
      <c r="E5257" s="9" t="s">
        <v>33</v>
      </c>
      <c r="F5257" s="9" t="s">
        <v>68</v>
      </c>
      <c r="G5257" s="9" t="s">
        <v>69</v>
      </c>
      <c r="H5257" s="11" t="s">
        <v>24</v>
      </c>
      <c r="I5257" s="12" t="n">
        <v>54</v>
      </c>
      <c r="J5257" s="13" t="n">
        <v>68</v>
      </c>
      <c r="K5257" s="14" t="n">
        <f aca="false">I5257*J5257</f>
        <v>3672</v>
      </c>
      <c r="L5257" s="14" t="n">
        <f aca="false">($L$2*M5257)/100</f>
        <v>360499.95</v>
      </c>
      <c r="M5257" s="15" t="n">
        <v>0.3</v>
      </c>
      <c r="N5257" s="9" t="s">
        <v>85</v>
      </c>
    </row>
    <row r="5258" customFormat="false" ht="14.25" hidden="false" customHeight="true" outlineLevel="0" collapsed="false">
      <c r="B5258" s="9" t="s">
        <v>28</v>
      </c>
      <c r="C5258" s="9" t="n">
        <v>1128299</v>
      </c>
      <c r="D5258" s="10" t="n">
        <v>44213</v>
      </c>
      <c r="E5258" s="9" t="s">
        <v>33</v>
      </c>
      <c r="F5258" s="9" t="s">
        <v>68</v>
      </c>
      <c r="G5258" s="9" t="s">
        <v>69</v>
      </c>
      <c r="H5258" s="11" t="s">
        <v>25</v>
      </c>
      <c r="I5258" s="12" t="n">
        <v>49</v>
      </c>
      <c r="J5258" s="13" t="n">
        <v>124</v>
      </c>
      <c r="K5258" s="14" t="n">
        <f aca="false">I5258*J5258</f>
        <v>6076</v>
      </c>
      <c r="L5258" s="14" t="n">
        <f aca="false">($L$2*M5258)/100</f>
        <v>708983.235</v>
      </c>
      <c r="M5258" s="15" t="n">
        <v>0.59</v>
      </c>
      <c r="N5258" s="9" t="s">
        <v>85</v>
      </c>
    </row>
    <row r="5259" customFormat="false" ht="14.25" hidden="false" customHeight="true" outlineLevel="0" collapsed="false">
      <c r="B5259" s="9" t="s">
        <v>28</v>
      </c>
      <c r="C5259" s="9" t="n">
        <v>1128299</v>
      </c>
      <c r="D5259" s="10" t="n">
        <v>44244</v>
      </c>
      <c r="E5259" s="9" t="s">
        <v>33</v>
      </c>
      <c r="F5259" s="9" t="s">
        <v>68</v>
      </c>
      <c r="G5259" s="9" t="s">
        <v>69</v>
      </c>
      <c r="H5259" s="11" t="s">
        <v>19</v>
      </c>
      <c r="I5259" s="12" t="n">
        <v>36</v>
      </c>
      <c r="J5259" s="13" t="n">
        <v>137</v>
      </c>
      <c r="K5259" s="14" t="n">
        <f aca="false">I5259*J5259</f>
        <v>4932</v>
      </c>
      <c r="L5259" s="14" t="n">
        <f aca="false">($L$2*M5259)/100</f>
        <v>504699.93</v>
      </c>
      <c r="M5259" s="15" t="n">
        <v>0.42</v>
      </c>
      <c r="N5259" s="9" t="s">
        <v>85</v>
      </c>
    </row>
    <row r="5260" customFormat="false" ht="14.25" hidden="false" customHeight="true" outlineLevel="0" collapsed="false">
      <c r="B5260" s="9" t="s">
        <v>28</v>
      </c>
      <c r="C5260" s="9" t="n">
        <v>1128299</v>
      </c>
      <c r="D5260" s="10" t="n">
        <v>44244</v>
      </c>
      <c r="E5260" s="9" t="s">
        <v>33</v>
      </c>
      <c r="F5260" s="9" t="s">
        <v>68</v>
      </c>
      <c r="G5260" s="9" t="s">
        <v>69</v>
      </c>
      <c r="H5260" s="11" t="s">
        <v>21</v>
      </c>
      <c r="I5260" s="12" t="n">
        <v>49</v>
      </c>
      <c r="J5260" s="13" t="n">
        <v>111</v>
      </c>
      <c r="K5260" s="14" t="n">
        <f aca="false">I5260*J5260</f>
        <v>5439</v>
      </c>
      <c r="L5260" s="14" t="n">
        <f aca="false">($L$2*M5260)/100</f>
        <v>420583.275</v>
      </c>
      <c r="M5260" s="15" t="n">
        <v>0.35</v>
      </c>
      <c r="N5260" s="9" t="s">
        <v>85</v>
      </c>
    </row>
    <row r="5261" customFormat="false" ht="14.25" hidden="false" customHeight="true" outlineLevel="0" collapsed="false">
      <c r="B5261" s="9" t="s">
        <v>28</v>
      </c>
      <c r="C5261" s="9" t="n">
        <v>1128299</v>
      </c>
      <c r="D5261" s="10" t="n">
        <v>44244</v>
      </c>
      <c r="E5261" s="9" t="s">
        <v>33</v>
      </c>
      <c r="F5261" s="9" t="s">
        <v>68</v>
      </c>
      <c r="G5261" s="9" t="s">
        <v>69</v>
      </c>
      <c r="H5261" s="11" t="s">
        <v>22</v>
      </c>
      <c r="I5261" s="12" t="n">
        <v>49</v>
      </c>
      <c r="J5261" s="13" t="n">
        <v>111</v>
      </c>
      <c r="K5261" s="14" t="n">
        <f aca="false">I5261*J5261</f>
        <v>5439</v>
      </c>
      <c r="L5261" s="14" t="n">
        <f aca="false">($L$2*M5261)/100</f>
        <v>480666.6</v>
      </c>
      <c r="M5261" s="15" t="n">
        <v>0.4</v>
      </c>
      <c r="N5261" s="9" t="s">
        <v>85</v>
      </c>
    </row>
    <row r="5262" customFormat="false" ht="14.25" hidden="false" customHeight="true" outlineLevel="0" collapsed="false">
      <c r="B5262" s="9" t="s">
        <v>28</v>
      </c>
      <c r="C5262" s="9" t="n">
        <v>1128299</v>
      </c>
      <c r="D5262" s="10" t="n">
        <v>44244</v>
      </c>
      <c r="E5262" s="9" t="s">
        <v>50</v>
      </c>
      <c r="F5262" s="9" t="s">
        <v>51</v>
      </c>
      <c r="G5262" s="9" t="s">
        <v>70</v>
      </c>
      <c r="H5262" s="11" t="s">
        <v>23</v>
      </c>
      <c r="I5262" s="12" t="n">
        <v>45</v>
      </c>
      <c r="J5262" s="13" t="n">
        <v>74</v>
      </c>
      <c r="K5262" s="14" t="n">
        <f aca="false">I5262*J5262</f>
        <v>3330</v>
      </c>
      <c r="L5262" s="14" t="n">
        <f aca="false">($L$2*M5262)/100</f>
        <v>528733.26</v>
      </c>
      <c r="M5262" s="15" t="n">
        <v>0.44</v>
      </c>
      <c r="N5262" s="9" t="s">
        <v>85</v>
      </c>
    </row>
    <row r="5263" customFormat="false" ht="14.25" hidden="false" customHeight="true" outlineLevel="0" collapsed="false">
      <c r="B5263" s="9" t="s">
        <v>28</v>
      </c>
      <c r="C5263" s="9" t="n">
        <v>1128299</v>
      </c>
      <c r="D5263" s="10" t="n">
        <v>44244</v>
      </c>
      <c r="E5263" s="9" t="s">
        <v>50</v>
      </c>
      <c r="F5263" s="9" t="s">
        <v>51</v>
      </c>
      <c r="G5263" s="9" t="s">
        <v>70</v>
      </c>
      <c r="H5263" s="11" t="s">
        <v>24</v>
      </c>
      <c r="I5263" s="12" t="n">
        <v>52</v>
      </c>
      <c r="J5263" s="13" t="n">
        <v>60</v>
      </c>
      <c r="K5263" s="14" t="n">
        <f aca="false">I5263*J5263</f>
        <v>3120</v>
      </c>
      <c r="L5263" s="14" t="n">
        <f aca="false">($L$2*M5263)/100</f>
        <v>384533.28</v>
      </c>
      <c r="M5263" s="15" t="n">
        <v>0.32</v>
      </c>
      <c r="N5263" s="9" t="s">
        <v>85</v>
      </c>
    </row>
    <row r="5264" customFormat="false" ht="14.25" hidden="false" customHeight="true" outlineLevel="0" collapsed="false">
      <c r="B5264" s="9" t="s">
        <v>28</v>
      </c>
      <c r="C5264" s="9" t="n">
        <v>1128299</v>
      </c>
      <c r="D5264" s="10" t="n">
        <v>44244</v>
      </c>
      <c r="E5264" s="9" t="s">
        <v>50</v>
      </c>
      <c r="F5264" s="9" t="s">
        <v>51</v>
      </c>
      <c r="G5264" s="9" t="s">
        <v>70</v>
      </c>
      <c r="H5264" s="11" t="s">
        <v>25</v>
      </c>
      <c r="I5264" s="12" t="n">
        <v>47</v>
      </c>
      <c r="J5264" s="13" t="n">
        <v>108</v>
      </c>
      <c r="K5264" s="14" t="n">
        <f aca="false">I5264*J5264</f>
        <v>5076</v>
      </c>
      <c r="L5264" s="14" t="n">
        <f aca="false">($L$2*M5264)/100</f>
        <v>696966.57</v>
      </c>
      <c r="M5264" s="15" t="n">
        <v>0.58</v>
      </c>
      <c r="N5264" s="9" t="s">
        <v>85</v>
      </c>
    </row>
    <row r="5265" customFormat="false" ht="14.25" hidden="false" customHeight="true" outlineLevel="0" collapsed="false">
      <c r="B5265" s="9" t="s">
        <v>28</v>
      </c>
      <c r="C5265" s="9" t="n">
        <v>1128299</v>
      </c>
      <c r="D5265" s="10" t="n">
        <v>44271</v>
      </c>
      <c r="E5265" s="9" t="s">
        <v>50</v>
      </c>
      <c r="F5265" s="9" t="s">
        <v>51</v>
      </c>
      <c r="G5265" s="9" t="s">
        <v>70</v>
      </c>
      <c r="H5265" s="11" t="s">
        <v>19</v>
      </c>
      <c r="I5265" s="12" t="n">
        <v>46</v>
      </c>
      <c r="J5265" s="13" t="n">
        <v>160</v>
      </c>
      <c r="K5265" s="14" t="n">
        <f aca="false">I5265*J5265</f>
        <v>7360</v>
      </c>
      <c r="L5265" s="14" t="n">
        <f aca="false">($L$2*M5265)/100</f>
        <v>492683.265</v>
      </c>
      <c r="M5265" s="15" t="n">
        <v>0.41</v>
      </c>
      <c r="N5265" s="9" t="s">
        <v>85</v>
      </c>
    </row>
    <row r="5266" customFormat="false" ht="14.25" hidden="false" customHeight="true" outlineLevel="0" collapsed="false">
      <c r="B5266" s="9" t="s">
        <v>28</v>
      </c>
      <c r="C5266" s="9" t="n">
        <v>1128299</v>
      </c>
      <c r="D5266" s="10" t="n">
        <v>44271</v>
      </c>
      <c r="E5266" s="9" t="s">
        <v>50</v>
      </c>
      <c r="F5266" s="9" t="s">
        <v>51</v>
      </c>
      <c r="G5266" s="9" t="s">
        <v>70</v>
      </c>
      <c r="H5266" s="11" t="s">
        <v>21</v>
      </c>
      <c r="I5266" s="12" t="n">
        <v>58</v>
      </c>
      <c r="J5266" s="13" t="n">
        <v>100</v>
      </c>
      <c r="K5266" s="14" t="n">
        <f aca="false">I5266*J5266</f>
        <v>5800</v>
      </c>
      <c r="L5266" s="14" t="n">
        <f aca="false">($L$2*M5266)/100</f>
        <v>456633.27</v>
      </c>
      <c r="M5266" s="15" t="n">
        <v>0.38</v>
      </c>
      <c r="N5266" s="9" t="s">
        <v>85</v>
      </c>
    </row>
    <row r="5267" customFormat="false" ht="14.25" hidden="false" customHeight="true" outlineLevel="0" collapsed="false">
      <c r="B5267" s="9" t="s">
        <v>28</v>
      </c>
      <c r="C5267" s="9" t="n">
        <v>1128299</v>
      </c>
      <c r="D5267" s="10" t="n">
        <v>44271</v>
      </c>
      <c r="E5267" s="9" t="s">
        <v>50</v>
      </c>
      <c r="F5267" s="9" t="s">
        <v>51</v>
      </c>
      <c r="G5267" s="9" t="s">
        <v>70</v>
      </c>
      <c r="H5267" s="11" t="s">
        <v>22</v>
      </c>
      <c r="I5267" s="12" t="n">
        <v>59</v>
      </c>
      <c r="J5267" s="13" t="n">
        <v>115</v>
      </c>
      <c r="K5267" s="14" t="n">
        <f aca="false">I5267*J5267</f>
        <v>6785</v>
      </c>
      <c r="L5267" s="14" t="n">
        <f aca="false">($L$2*M5267)/100</f>
        <v>516716.595</v>
      </c>
      <c r="M5267" s="15" t="n">
        <v>0.43</v>
      </c>
      <c r="N5267" s="9" t="s">
        <v>85</v>
      </c>
    </row>
    <row r="5268" customFormat="false" ht="14.25" hidden="false" customHeight="true" outlineLevel="0" collapsed="false">
      <c r="B5268" s="9" t="s">
        <v>28</v>
      </c>
      <c r="C5268" s="9" t="n">
        <v>1128299</v>
      </c>
      <c r="D5268" s="10" t="n">
        <v>44271</v>
      </c>
      <c r="E5268" s="9" t="s">
        <v>50</v>
      </c>
      <c r="F5268" s="9" t="s">
        <v>51</v>
      </c>
      <c r="G5268" s="9" t="s">
        <v>70</v>
      </c>
      <c r="H5268" s="11" t="s">
        <v>23</v>
      </c>
      <c r="I5268" s="12" t="n">
        <v>58</v>
      </c>
      <c r="J5268" s="13" t="n">
        <v>91</v>
      </c>
      <c r="K5268" s="14" t="n">
        <f aca="false">I5268*J5268</f>
        <v>5278</v>
      </c>
      <c r="L5268" s="14" t="n">
        <f aca="false">($L$2*M5268)/100</f>
        <v>504699.93</v>
      </c>
      <c r="M5268" s="15" t="n">
        <v>0.42</v>
      </c>
      <c r="N5268" s="9" t="s">
        <v>85</v>
      </c>
    </row>
    <row r="5269" customFormat="false" ht="14.25" hidden="false" customHeight="true" outlineLevel="0" collapsed="false">
      <c r="B5269" s="9" t="s">
        <v>28</v>
      </c>
      <c r="C5269" s="9" t="n">
        <v>1128299</v>
      </c>
      <c r="D5269" s="10" t="n">
        <v>44271</v>
      </c>
      <c r="E5269" s="9" t="s">
        <v>50</v>
      </c>
      <c r="F5269" s="9" t="s">
        <v>51</v>
      </c>
      <c r="G5269" s="9" t="s">
        <v>70</v>
      </c>
      <c r="H5269" s="11" t="s">
        <v>24</v>
      </c>
      <c r="I5269" s="12" t="n">
        <v>61</v>
      </c>
      <c r="J5269" s="13" t="n">
        <v>44</v>
      </c>
      <c r="K5269" s="14" t="n">
        <f aca="false">I5269*J5269</f>
        <v>2684</v>
      </c>
      <c r="L5269" s="14" t="n">
        <f aca="false">($L$2*M5269)/100</f>
        <v>396549.945</v>
      </c>
      <c r="M5269" s="15" t="n">
        <v>0.33</v>
      </c>
      <c r="N5269" s="9" t="s">
        <v>85</v>
      </c>
    </row>
    <row r="5270" customFormat="false" ht="14.25" hidden="false" customHeight="true" outlineLevel="0" collapsed="false">
      <c r="B5270" s="9" t="s">
        <v>28</v>
      </c>
      <c r="C5270" s="9" t="n">
        <v>1128299</v>
      </c>
      <c r="D5270" s="10" t="n">
        <v>44271</v>
      </c>
      <c r="E5270" s="9" t="s">
        <v>50</v>
      </c>
      <c r="F5270" s="9" t="s">
        <v>51</v>
      </c>
      <c r="G5270" s="9" t="s">
        <v>70</v>
      </c>
      <c r="H5270" s="11" t="s">
        <v>25</v>
      </c>
      <c r="I5270" s="12" t="n">
        <v>54</v>
      </c>
      <c r="J5270" s="13" t="n">
        <v>101</v>
      </c>
      <c r="K5270" s="14" t="n">
        <f aca="false">I5270*J5270</f>
        <v>5454</v>
      </c>
      <c r="L5270" s="14" t="n">
        <f aca="false">($L$2*M5270)/100</f>
        <v>720999.9</v>
      </c>
      <c r="M5270" s="15" t="n">
        <v>0.6</v>
      </c>
      <c r="N5270" s="9" t="s">
        <v>85</v>
      </c>
    </row>
    <row r="5271" customFormat="false" ht="14.25" hidden="false" customHeight="true" outlineLevel="0" collapsed="false">
      <c r="B5271" s="9" t="s">
        <v>27</v>
      </c>
      <c r="C5271" s="9" t="n">
        <v>1128299</v>
      </c>
      <c r="D5271" s="10" t="n">
        <v>44303</v>
      </c>
      <c r="E5271" s="9" t="s">
        <v>50</v>
      </c>
      <c r="F5271" s="9" t="s">
        <v>51</v>
      </c>
      <c r="G5271" s="9" t="s">
        <v>70</v>
      </c>
      <c r="H5271" s="11" t="s">
        <v>19</v>
      </c>
      <c r="I5271" s="12" t="n">
        <v>62</v>
      </c>
      <c r="J5271" s="13" t="n">
        <v>138</v>
      </c>
      <c r="K5271" s="14" t="n">
        <f aca="false">I5271*J5271</f>
        <v>8556</v>
      </c>
      <c r="L5271" s="14" t="n">
        <f aca="false">($L$2*M5271)/100</f>
        <v>504699.93</v>
      </c>
      <c r="M5271" s="15" t="n">
        <v>0.42</v>
      </c>
      <c r="N5271" s="9" t="s">
        <v>85</v>
      </c>
    </row>
    <row r="5272" customFormat="false" ht="14.25" hidden="false" customHeight="true" outlineLevel="0" collapsed="false">
      <c r="B5272" s="9" t="s">
        <v>27</v>
      </c>
      <c r="C5272" s="9" t="n">
        <v>1128299</v>
      </c>
      <c r="D5272" s="10" t="n">
        <v>44303</v>
      </c>
      <c r="E5272" s="9" t="s">
        <v>50</v>
      </c>
      <c r="F5272" s="9" t="s">
        <v>51</v>
      </c>
      <c r="G5272" s="9" t="s">
        <v>70</v>
      </c>
      <c r="H5272" s="11" t="s">
        <v>21</v>
      </c>
      <c r="I5272" s="12" t="n">
        <v>66</v>
      </c>
      <c r="J5272" s="13" t="n">
        <v>98</v>
      </c>
      <c r="K5272" s="14" t="n">
        <f aca="false">I5272*J5272</f>
        <v>6468</v>
      </c>
      <c r="L5272" s="14" t="n">
        <f aca="false">($L$2*M5272)/100</f>
        <v>420583.275</v>
      </c>
      <c r="M5272" s="15" t="n">
        <v>0.35</v>
      </c>
      <c r="N5272" s="9" t="s">
        <v>85</v>
      </c>
    </row>
    <row r="5273" customFormat="false" ht="14.25" hidden="false" customHeight="true" outlineLevel="0" collapsed="false">
      <c r="B5273" s="9" t="s">
        <v>27</v>
      </c>
      <c r="C5273" s="9" t="n">
        <v>1128299</v>
      </c>
      <c r="D5273" s="10" t="n">
        <v>44303</v>
      </c>
      <c r="E5273" s="9" t="s">
        <v>50</v>
      </c>
      <c r="F5273" s="9" t="s">
        <v>51</v>
      </c>
      <c r="G5273" s="9" t="s">
        <v>70</v>
      </c>
      <c r="H5273" s="11" t="s">
        <v>22</v>
      </c>
      <c r="I5273" s="12" t="n">
        <v>66</v>
      </c>
      <c r="J5273" s="13" t="n">
        <v>120</v>
      </c>
      <c r="K5273" s="14" t="n">
        <f aca="false">I5273*J5273</f>
        <v>7920</v>
      </c>
      <c r="L5273" s="14" t="n">
        <f aca="false">($L$2*M5273)/100</f>
        <v>492683.265</v>
      </c>
      <c r="M5273" s="15" t="n">
        <v>0.41</v>
      </c>
      <c r="N5273" s="9" t="s">
        <v>85</v>
      </c>
    </row>
    <row r="5274" customFormat="false" ht="14.25" hidden="false" customHeight="true" outlineLevel="0" collapsed="false">
      <c r="B5274" s="9" t="s">
        <v>27</v>
      </c>
      <c r="C5274" s="9" t="n">
        <v>1128299</v>
      </c>
      <c r="D5274" s="10" t="n">
        <v>44303</v>
      </c>
      <c r="E5274" s="9" t="s">
        <v>50</v>
      </c>
      <c r="F5274" s="9" t="s">
        <v>51</v>
      </c>
      <c r="G5274" s="9" t="s">
        <v>70</v>
      </c>
      <c r="H5274" s="11" t="s">
        <v>23</v>
      </c>
      <c r="I5274" s="12" t="n">
        <v>52</v>
      </c>
      <c r="J5274" s="13" t="n">
        <v>84</v>
      </c>
      <c r="K5274" s="14" t="n">
        <f aca="false">I5274*J5274</f>
        <v>4368</v>
      </c>
      <c r="L5274" s="14" t="n">
        <f aca="false">($L$2*M5274)/100</f>
        <v>540749.925</v>
      </c>
      <c r="M5274" s="15" t="n">
        <v>0.45</v>
      </c>
      <c r="N5274" s="9" t="s">
        <v>85</v>
      </c>
    </row>
    <row r="5275" customFormat="false" ht="14.25" hidden="false" customHeight="true" outlineLevel="0" collapsed="false">
      <c r="B5275" s="9" t="s">
        <v>27</v>
      </c>
      <c r="C5275" s="9" t="n">
        <v>1128299</v>
      </c>
      <c r="D5275" s="10" t="n">
        <v>44303</v>
      </c>
      <c r="E5275" s="9" t="s">
        <v>50</v>
      </c>
      <c r="F5275" s="9" t="s">
        <v>51</v>
      </c>
      <c r="G5275" s="9" t="s">
        <v>70</v>
      </c>
      <c r="H5275" s="11" t="s">
        <v>24</v>
      </c>
      <c r="I5275" s="12" t="n">
        <v>59</v>
      </c>
      <c r="J5275" s="13" t="n">
        <v>58</v>
      </c>
      <c r="K5275" s="14" t="n">
        <f aca="false">I5275*J5275</f>
        <v>3422</v>
      </c>
      <c r="L5275" s="14" t="n">
        <f aca="false">($L$2*M5275)/100</f>
        <v>420583.275</v>
      </c>
      <c r="M5275" s="15" t="n">
        <v>0.35</v>
      </c>
      <c r="N5275" s="9" t="s">
        <v>85</v>
      </c>
    </row>
    <row r="5276" customFormat="false" ht="14.25" hidden="false" customHeight="true" outlineLevel="0" collapsed="false">
      <c r="B5276" s="9" t="s">
        <v>27</v>
      </c>
      <c r="C5276" s="9" t="n">
        <v>1128299</v>
      </c>
      <c r="D5276" s="10" t="n">
        <v>44303</v>
      </c>
      <c r="E5276" s="9" t="s">
        <v>50</v>
      </c>
      <c r="F5276" s="9" t="s">
        <v>51</v>
      </c>
      <c r="G5276" s="9" t="s">
        <v>70</v>
      </c>
      <c r="H5276" s="11" t="s">
        <v>25</v>
      </c>
      <c r="I5276" s="12" t="n">
        <v>72</v>
      </c>
      <c r="J5276" s="13" t="n">
        <v>109</v>
      </c>
      <c r="K5276" s="14" t="n">
        <f aca="false">I5276*J5276</f>
        <v>7848</v>
      </c>
      <c r="L5276" s="14" t="n">
        <f aca="false">($L$2*M5276)/100</f>
        <v>720999.9</v>
      </c>
      <c r="M5276" s="15" t="n">
        <v>0.6</v>
      </c>
      <c r="N5276" s="9" t="s">
        <v>85</v>
      </c>
    </row>
    <row r="5277" customFormat="false" ht="14.25" hidden="false" customHeight="true" outlineLevel="0" collapsed="false">
      <c r="B5277" s="9" t="s">
        <v>27</v>
      </c>
      <c r="C5277" s="9" t="n">
        <v>1128299</v>
      </c>
      <c r="D5277" s="10" t="n">
        <v>44334</v>
      </c>
      <c r="E5277" s="9" t="s">
        <v>50</v>
      </c>
      <c r="F5277" s="9" t="s">
        <v>51</v>
      </c>
      <c r="G5277" s="9" t="s">
        <v>70</v>
      </c>
      <c r="H5277" s="11" t="s">
        <v>19</v>
      </c>
      <c r="I5277" s="12" t="n">
        <v>58</v>
      </c>
      <c r="J5277" s="13" t="n">
        <v>155</v>
      </c>
      <c r="K5277" s="14" t="n">
        <f aca="false">I5277*J5277</f>
        <v>8990</v>
      </c>
      <c r="L5277" s="14" t="n">
        <f aca="false">($L$2*M5277)/100</f>
        <v>516716.595</v>
      </c>
      <c r="M5277" s="15" t="n">
        <v>0.43</v>
      </c>
      <c r="N5277" s="9" t="s">
        <v>85</v>
      </c>
    </row>
    <row r="5278" customFormat="false" ht="14.25" hidden="false" customHeight="true" outlineLevel="0" collapsed="false">
      <c r="B5278" s="9" t="s">
        <v>27</v>
      </c>
      <c r="C5278" s="9" t="n">
        <v>1128299</v>
      </c>
      <c r="D5278" s="10" t="n">
        <v>44334</v>
      </c>
      <c r="E5278" s="9" t="s">
        <v>50</v>
      </c>
      <c r="F5278" s="9" t="s">
        <v>51</v>
      </c>
      <c r="G5278" s="9" t="s">
        <v>70</v>
      </c>
      <c r="H5278" s="11" t="s">
        <v>21</v>
      </c>
      <c r="I5278" s="12" t="n">
        <v>60</v>
      </c>
      <c r="J5278" s="13" t="n">
        <v>128</v>
      </c>
      <c r="K5278" s="14" t="n">
        <f aca="false">I5278*J5278</f>
        <v>7680</v>
      </c>
      <c r="L5278" s="14" t="n">
        <f aca="false">($L$2*M5278)/100</f>
        <v>480666.6</v>
      </c>
      <c r="M5278" s="15" t="n">
        <v>0.4</v>
      </c>
      <c r="N5278" s="9" t="s">
        <v>85</v>
      </c>
    </row>
    <row r="5279" customFormat="false" ht="14.25" hidden="false" customHeight="true" outlineLevel="0" collapsed="false">
      <c r="B5279" s="9" t="s">
        <v>27</v>
      </c>
      <c r="C5279" s="9" t="n">
        <v>1128299</v>
      </c>
      <c r="D5279" s="10" t="n">
        <v>44334</v>
      </c>
      <c r="E5279" s="9" t="s">
        <v>50</v>
      </c>
      <c r="F5279" s="9" t="s">
        <v>51</v>
      </c>
      <c r="G5279" s="9" t="s">
        <v>70</v>
      </c>
      <c r="H5279" s="11" t="s">
        <v>22</v>
      </c>
      <c r="I5279" s="12" t="n">
        <v>59</v>
      </c>
      <c r="J5279" s="13" t="n">
        <v>119</v>
      </c>
      <c r="K5279" s="14" t="n">
        <f aca="false">I5279*J5279</f>
        <v>7021</v>
      </c>
      <c r="L5279" s="14" t="n">
        <f aca="false">($L$2*M5279)/100</f>
        <v>540749.925</v>
      </c>
      <c r="M5279" s="15" t="n">
        <v>0.45</v>
      </c>
      <c r="N5279" s="9" t="s">
        <v>85</v>
      </c>
    </row>
    <row r="5280" customFormat="false" ht="14.25" hidden="false" customHeight="true" outlineLevel="0" collapsed="false">
      <c r="B5280" s="9" t="s">
        <v>27</v>
      </c>
      <c r="C5280" s="9" t="n">
        <v>1128299</v>
      </c>
      <c r="D5280" s="10" t="n">
        <v>44334</v>
      </c>
      <c r="E5280" s="9" t="s">
        <v>50</v>
      </c>
      <c r="F5280" s="9" t="s">
        <v>51</v>
      </c>
      <c r="G5280" s="9" t="s">
        <v>70</v>
      </c>
      <c r="H5280" s="11" t="s">
        <v>23</v>
      </c>
      <c r="I5280" s="12" t="n">
        <v>59</v>
      </c>
      <c r="J5280" s="13" t="n">
        <v>88</v>
      </c>
      <c r="K5280" s="14" t="n">
        <f aca="false">I5280*J5280</f>
        <v>5192</v>
      </c>
      <c r="L5280" s="14" t="n">
        <f aca="false">($L$2*M5280)/100</f>
        <v>516716.595</v>
      </c>
      <c r="M5280" s="15" t="n">
        <v>0.43</v>
      </c>
      <c r="N5280" s="9" t="s">
        <v>85</v>
      </c>
    </row>
    <row r="5281" customFormat="false" ht="14.25" hidden="false" customHeight="true" outlineLevel="0" collapsed="false">
      <c r="B5281" s="9" t="s">
        <v>27</v>
      </c>
      <c r="C5281" s="9" t="n">
        <v>1128299</v>
      </c>
      <c r="D5281" s="10" t="n">
        <v>44334</v>
      </c>
      <c r="E5281" s="9" t="s">
        <v>50</v>
      </c>
      <c r="F5281" s="9" t="s">
        <v>51</v>
      </c>
      <c r="G5281" s="9" t="s">
        <v>70</v>
      </c>
      <c r="H5281" s="11" t="s">
        <v>24</v>
      </c>
      <c r="I5281" s="12" t="n">
        <v>52</v>
      </c>
      <c r="J5281" s="13" t="n">
        <v>68</v>
      </c>
      <c r="K5281" s="14" t="n">
        <f aca="false">I5281*J5281</f>
        <v>3536</v>
      </c>
      <c r="L5281" s="14" t="n">
        <f aca="false">($L$2*M5281)/100</f>
        <v>384533.28</v>
      </c>
      <c r="M5281" s="15" t="n">
        <v>0.32</v>
      </c>
      <c r="N5281" s="9" t="s">
        <v>85</v>
      </c>
    </row>
    <row r="5282" customFormat="false" ht="14.25" hidden="false" customHeight="true" outlineLevel="0" collapsed="false">
      <c r="B5282" s="9" t="s">
        <v>27</v>
      </c>
      <c r="C5282" s="9" t="n">
        <v>1128299</v>
      </c>
      <c r="D5282" s="10" t="n">
        <v>44334</v>
      </c>
      <c r="E5282" s="9" t="s">
        <v>50</v>
      </c>
      <c r="F5282" s="9" t="s">
        <v>51</v>
      </c>
      <c r="G5282" s="9" t="s">
        <v>70</v>
      </c>
      <c r="H5282" s="11" t="s">
        <v>25</v>
      </c>
      <c r="I5282" s="12" t="n">
        <v>67</v>
      </c>
      <c r="J5282" s="13" t="n">
        <v>173</v>
      </c>
      <c r="K5282" s="14" t="n">
        <f aca="false">I5282*J5282</f>
        <v>11591</v>
      </c>
      <c r="L5282" s="14" t="n">
        <f aca="false">($L$2*M5282)/100</f>
        <v>696966.57</v>
      </c>
      <c r="M5282" s="15" t="n">
        <v>0.58</v>
      </c>
      <c r="N5282" s="9" t="s">
        <v>85</v>
      </c>
    </row>
    <row r="5283" customFormat="false" ht="14.25" hidden="false" customHeight="true" outlineLevel="0" collapsed="false">
      <c r="B5283" s="9" t="s">
        <v>27</v>
      </c>
      <c r="C5283" s="9" t="n">
        <v>1128299</v>
      </c>
      <c r="D5283" s="10" t="n">
        <v>44364</v>
      </c>
      <c r="E5283" s="9" t="s">
        <v>50</v>
      </c>
      <c r="F5283" s="9" t="s">
        <v>51</v>
      </c>
      <c r="G5283" s="9" t="s">
        <v>70</v>
      </c>
      <c r="H5283" s="11" t="s">
        <v>19</v>
      </c>
      <c r="I5283" s="12" t="n">
        <v>61</v>
      </c>
      <c r="J5283" s="13" t="n">
        <v>223</v>
      </c>
      <c r="K5283" s="14" t="n">
        <f aca="false">I5283*J5283</f>
        <v>13603</v>
      </c>
      <c r="L5283" s="14" t="n">
        <f aca="false">($L$2*M5283)/100</f>
        <v>540749.925</v>
      </c>
      <c r="M5283" s="15" t="n">
        <v>0.45</v>
      </c>
      <c r="N5283" s="9" t="s">
        <v>85</v>
      </c>
    </row>
    <row r="5284" customFormat="false" ht="14.25" hidden="false" customHeight="true" outlineLevel="0" collapsed="false">
      <c r="B5284" s="9" t="s">
        <v>27</v>
      </c>
      <c r="C5284" s="9" t="n">
        <v>1128299</v>
      </c>
      <c r="D5284" s="10" t="n">
        <v>44364</v>
      </c>
      <c r="E5284" s="9" t="s">
        <v>50</v>
      </c>
      <c r="F5284" s="9" t="s">
        <v>51</v>
      </c>
      <c r="G5284" s="9" t="s">
        <v>70</v>
      </c>
      <c r="H5284" s="11" t="s">
        <v>21</v>
      </c>
      <c r="I5284" s="12" t="n">
        <v>64</v>
      </c>
      <c r="J5284" s="13" t="n">
        <v>203</v>
      </c>
      <c r="K5284" s="14" t="n">
        <f aca="false">I5284*J5284</f>
        <v>12992</v>
      </c>
      <c r="L5284" s="14" t="n">
        <f aca="false">($L$2*M5284)/100</f>
        <v>420583.275</v>
      </c>
      <c r="M5284" s="15" t="n">
        <v>0.35</v>
      </c>
      <c r="N5284" s="9" t="s">
        <v>85</v>
      </c>
    </row>
    <row r="5285" customFormat="false" ht="14.25" hidden="false" customHeight="true" outlineLevel="0" collapsed="false">
      <c r="B5285" s="9" t="s">
        <v>27</v>
      </c>
      <c r="C5285" s="9" t="n">
        <v>1128299</v>
      </c>
      <c r="D5285" s="10" t="n">
        <v>44364</v>
      </c>
      <c r="E5285" s="9" t="s">
        <v>50</v>
      </c>
      <c r="F5285" s="9" t="s">
        <v>51</v>
      </c>
      <c r="G5285" s="9" t="s">
        <v>70</v>
      </c>
      <c r="H5285" s="11" t="s">
        <v>22</v>
      </c>
      <c r="I5285" s="12" t="n">
        <v>80</v>
      </c>
      <c r="J5285" s="13" t="n">
        <v>210</v>
      </c>
      <c r="K5285" s="14" t="n">
        <f aca="false">I5285*J5285</f>
        <v>16800</v>
      </c>
      <c r="L5285" s="14" t="n">
        <f aca="false">($L$2*M5285)/100</f>
        <v>516716.595</v>
      </c>
      <c r="M5285" s="15" t="n">
        <v>0.43</v>
      </c>
      <c r="N5285" s="9" t="s">
        <v>85</v>
      </c>
    </row>
    <row r="5286" customFormat="false" ht="14.25" hidden="false" customHeight="true" outlineLevel="0" collapsed="false">
      <c r="B5286" s="9" t="s">
        <v>27</v>
      </c>
      <c r="C5286" s="9" t="n">
        <v>1128299</v>
      </c>
      <c r="D5286" s="10" t="n">
        <v>44364</v>
      </c>
      <c r="E5286" s="9" t="s">
        <v>50</v>
      </c>
      <c r="F5286" s="9" t="s">
        <v>51</v>
      </c>
      <c r="G5286" s="9" t="s">
        <v>70</v>
      </c>
      <c r="H5286" s="11" t="s">
        <v>23</v>
      </c>
      <c r="I5286" s="12" t="n">
        <v>77</v>
      </c>
      <c r="J5286" s="13" t="n">
        <v>155</v>
      </c>
      <c r="K5286" s="14" t="n">
        <f aca="false">I5286*J5286</f>
        <v>11935</v>
      </c>
      <c r="L5286" s="14" t="n">
        <f aca="false">($L$2*M5286)/100</f>
        <v>504699.93</v>
      </c>
      <c r="M5286" s="15" t="n">
        <v>0.42</v>
      </c>
      <c r="N5286" s="9" t="s">
        <v>85</v>
      </c>
    </row>
    <row r="5287" customFormat="false" ht="14.25" hidden="false" customHeight="true" outlineLevel="0" collapsed="false">
      <c r="B5287" s="9" t="s">
        <v>27</v>
      </c>
      <c r="C5287" s="9" t="n">
        <v>1128299</v>
      </c>
      <c r="D5287" s="10" t="n">
        <v>44364</v>
      </c>
      <c r="E5287" s="9" t="s">
        <v>50</v>
      </c>
      <c r="F5287" s="9" t="s">
        <v>51</v>
      </c>
      <c r="G5287" s="9" t="s">
        <v>70</v>
      </c>
      <c r="H5287" s="11" t="s">
        <v>24</v>
      </c>
      <c r="I5287" s="12" t="n">
        <v>89</v>
      </c>
      <c r="J5287" s="13" t="n">
        <v>126</v>
      </c>
      <c r="K5287" s="14" t="n">
        <f aca="false">I5287*J5287</f>
        <v>11214</v>
      </c>
      <c r="L5287" s="14" t="n">
        <f aca="false">($L$2*M5287)/100</f>
        <v>384533.28</v>
      </c>
      <c r="M5287" s="15" t="n">
        <v>0.32</v>
      </c>
      <c r="N5287" s="9" t="s">
        <v>85</v>
      </c>
    </row>
    <row r="5288" customFormat="false" ht="14.25" hidden="false" customHeight="true" outlineLevel="0" collapsed="false">
      <c r="B5288" s="9" t="s">
        <v>27</v>
      </c>
      <c r="C5288" s="9" t="n">
        <v>1128299</v>
      </c>
      <c r="D5288" s="10" t="n">
        <v>44364</v>
      </c>
      <c r="E5288" s="9" t="s">
        <v>50</v>
      </c>
      <c r="F5288" s="9" t="s">
        <v>51</v>
      </c>
      <c r="G5288" s="9" t="s">
        <v>70</v>
      </c>
      <c r="H5288" s="11" t="s">
        <v>25</v>
      </c>
      <c r="I5288" s="12" t="n">
        <v>103</v>
      </c>
      <c r="J5288" s="13" t="n">
        <v>218</v>
      </c>
      <c r="K5288" s="14" t="n">
        <f aca="false">I5288*J5288</f>
        <v>22454</v>
      </c>
      <c r="L5288" s="14" t="n">
        <f aca="false">($L$2*M5288)/100</f>
        <v>672933.24</v>
      </c>
      <c r="M5288" s="15" t="n">
        <v>0.56</v>
      </c>
      <c r="N5288" s="9" t="s">
        <v>85</v>
      </c>
    </row>
    <row r="5289" customFormat="false" ht="14.25" hidden="false" customHeight="true" outlineLevel="0" collapsed="false">
      <c r="B5289" s="9" t="s">
        <v>27</v>
      </c>
      <c r="C5289" s="9" t="n">
        <v>1128299</v>
      </c>
      <c r="D5289" s="10" t="n">
        <v>44393</v>
      </c>
      <c r="E5289" s="9" t="s">
        <v>50</v>
      </c>
      <c r="F5289" s="9" t="s">
        <v>51</v>
      </c>
      <c r="G5289" s="9" t="s">
        <v>70</v>
      </c>
      <c r="H5289" s="11" t="s">
        <v>19</v>
      </c>
      <c r="I5289" s="12" t="n">
        <v>83</v>
      </c>
      <c r="J5289" s="13" t="n">
        <v>261</v>
      </c>
      <c r="K5289" s="14" t="n">
        <f aca="false">I5289*J5289</f>
        <v>21663</v>
      </c>
      <c r="L5289" s="14" t="n">
        <f aca="false">($L$2*M5289)/100</f>
        <v>528733.26</v>
      </c>
      <c r="M5289" s="15" t="n">
        <v>0.44</v>
      </c>
      <c r="N5289" s="9" t="s">
        <v>85</v>
      </c>
    </row>
    <row r="5290" customFormat="false" ht="14.25" hidden="false" customHeight="true" outlineLevel="0" collapsed="false">
      <c r="B5290" s="9" t="s">
        <v>27</v>
      </c>
      <c r="C5290" s="9" t="n">
        <v>1128299</v>
      </c>
      <c r="D5290" s="10" t="n">
        <v>44393</v>
      </c>
      <c r="E5290" s="9" t="s">
        <v>50</v>
      </c>
      <c r="F5290" s="9" t="s">
        <v>51</v>
      </c>
      <c r="G5290" s="9" t="s">
        <v>70</v>
      </c>
      <c r="H5290" s="11" t="s">
        <v>21</v>
      </c>
      <c r="I5290" s="12" t="n">
        <v>88</v>
      </c>
      <c r="J5290" s="13" t="n">
        <v>225</v>
      </c>
      <c r="K5290" s="14" t="n">
        <f aca="false">I5290*J5290</f>
        <v>19800</v>
      </c>
      <c r="L5290" s="14" t="n">
        <f aca="false">($L$2*M5290)/100</f>
        <v>480666.6</v>
      </c>
      <c r="M5290" s="15" t="n">
        <v>0.4</v>
      </c>
      <c r="N5290" s="9" t="s">
        <v>85</v>
      </c>
    </row>
    <row r="5291" customFormat="false" ht="14.25" hidden="false" customHeight="true" outlineLevel="0" collapsed="false">
      <c r="B5291" s="9" t="s">
        <v>27</v>
      </c>
      <c r="C5291" s="9" t="n">
        <v>1128299</v>
      </c>
      <c r="D5291" s="10" t="n">
        <v>44393</v>
      </c>
      <c r="E5291" s="9" t="s">
        <v>50</v>
      </c>
      <c r="F5291" s="9" t="s">
        <v>51</v>
      </c>
      <c r="G5291" s="9" t="s">
        <v>70</v>
      </c>
      <c r="H5291" s="11" t="s">
        <v>22</v>
      </c>
      <c r="I5291" s="12" t="n">
        <v>86</v>
      </c>
      <c r="J5291" s="13" t="n">
        <v>189</v>
      </c>
      <c r="K5291" s="14" t="n">
        <f aca="false">I5291*J5291</f>
        <v>16254</v>
      </c>
      <c r="L5291" s="14" t="n">
        <f aca="false">($L$2*M5291)/100</f>
        <v>528733.26</v>
      </c>
      <c r="M5291" s="15" t="n">
        <v>0.44</v>
      </c>
      <c r="N5291" s="9" t="s">
        <v>85</v>
      </c>
    </row>
    <row r="5292" customFormat="false" ht="14.25" hidden="false" customHeight="true" outlineLevel="0" collapsed="false">
      <c r="B5292" s="9" t="s">
        <v>27</v>
      </c>
      <c r="C5292" s="9" t="n">
        <v>1128299</v>
      </c>
      <c r="D5292" s="10" t="n">
        <v>44393</v>
      </c>
      <c r="E5292" s="9" t="s">
        <v>50</v>
      </c>
      <c r="F5292" s="9" t="s">
        <v>51</v>
      </c>
      <c r="G5292" s="9" t="s">
        <v>70</v>
      </c>
      <c r="H5292" s="11" t="s">
        <v>23</v>
      </c>
      <c r="I5292" s="12" t="n">
        <v>82</v>
      </c>
      <c r="J5292" s="13" t="n">
        <v>180</v>
      </c>
      <c r="K5292" s="14" t="n">
        <f aca="false">I5292*J5292</f>
        <v>14760</v>
      </c>
      <c r="L5292" s="14" t="n">
        <f aca="false">($L$2*M5292)/100</f>
        <v>516716.595</v>
      </c>
      <c r="M5292" s="15" t="n">
        <v>0.43</v>
      </c>
      <c r="N5292" s="9" t="s">
        <v>85</v>
      </c>
    </row>
    <row r="5293" customFormat="false" ht="14.25" hidden="false" customHeight="true" outlineLevel="0" collapsed="false">
      <c r="B5293" s="9" t="s">
        <v>27</v>
      </c>
      <c r="C5293" s="9" t="n">
        <v>1128299</v>
      </c>
      <c r="D5293" s="10" t="n">
        <v>44393</v>
      </c>
      <c r="E5293" s="9" t="s">
        <v>50</v>
      </c>
      <c r="F5293" s="9" t="s">
        <v>51</v>
      </c>
      <c r="G5293" s="9" t="s">
        <v>70</v>
      </c>
      <c r="H5293" s="11" t="s">
        <v>24</v>
      </c>
      <c r="I5293" s="12" t="n">
        <v>89</v>
      </c>
      <c r="J5293" s="13" t="n">
        <v>195</v>
      </c>
      <c r="K5293" s="14" t="n">
        <f aca="false">I5293*J5293</f>
        <v>17355</v>
      </c>
      <c r="L5293" s="14" t="n">
        <f aca="false">($L$2*M5293)/100</f>
        <v>384533.28</v>
      </c>
      <c r="M5293" s="15" t="n">
        <v>0.32</v>
      </c>
      <c r="N5293" s="9" t="s">
        <v>85</v>
      </c>
    </row>
    <row r="5294" customFormat="false" ht="14.25" hidden="false" customHeight="true" outlineLevel="0" collapsed="false">
      <c r="B5294" s="9" t="s">
        <v>27</v>
      </c>
      <c r="C5294" s="9" t="n">
        <v>1128299</v>
      </c>
      <c r="D5294" s="10" t="n">
        <v>44393</v>
      </c>
      <c r="E5294" s="9" t="s">
        <v>50</v>
      </c>
      <c r="F5294" s="9" t="s">
        <v>51</v>
      </c>
      <c r="G5294" s="9" t="s">
        <v>70</v>
      </c>
      <c r="H5294" s="11" t="s">
        <v>25</v>
      </c>
      <c r="I5294" s="12" t="n">
        <v>101</v>
      </c>
      <c r="J5294" s="13" t="n">
        <v>163</v>
      </c>
      <c r="K5294" s="14" t="n">
        <f aca="false">I5294*J5294</f>
        <v>16463</v>
      </c>
      <c r="L5294" s="14" t="n">
        <f aca="false">($L$2*M5294)/100</f>
        <v>684949.905</v>
      </c>
      <c r="M5294" s="15" t="n">
        <v>0.57</v>
      </c>
      <c r="N5294" s="9" t="s">
        <v>85</v>
      </c>
    </row>
    <row r="5295" customFormat="false" ht="14.25" hidden="false" customHeight="true" outlineLevel="0" collapsed="false">
      <c r="B5295" s="9" t="s">
        <v>27</v>
      </c>
      <c r="C5295" s="9" t="n">
        <v>1128299</v>
      </c>
      <c r="D5295" s="10" t="n">
        <v>44425</v>
      </c>
      <c r="E5295" s="9" t="s">
        <v>50</v>
      </c>
      <c r="F5295" s="9" t="s">
        <v>51</v>
      </c>
      <c r="G5295" s="9" t="s">
        <v>70</v>
      </c>
      <c r="H5295" s="11" t="s">
        <v>19</v>
      </c>
      <c r="I5295" s="12" t="n">
        <v>87</v>
      </c>
      <c r="J5295" s="13" t="n">
        <v>213</v>
      </c>
      <c r="K5295" s="14" t="n">
        <f aca="false">I5295*J5295</f>
        <v>18531</v>
      </c>
      <c r="L5295" s="14" t="n">
        <f aca="false">($L$2*M5295)/100</f>
        <v>492683.265</v>
      </c>
      <c r="M5295" s="15" t="n">
        <v>0.41</v>
      </c>
      <c r="N5295" s="9" t="s">
        <v>85</v>
      </c>
    </row>
    <row r="5296" customFormat="false" ht="14.25" hidden="false" customHeight="true" outlineLevel="0" collapsed="false">
      <c r="B5296" s="9" t="s">
        <v>27</v>
      </c>
      <c r="C5296" s="9" t="n">
        <v>1128299</v>
      </c>
      <c r="D5296" s="10" t="n">
        <v>44425</v>
      </c>
      <c r="E5296" s="9" t="s">
        <v>50</v>
      </c>
      <c r="F5296" s="9" t="s">
        <v>51</v>
      </c>
      <c r="G5296" s="9" t="s">
        <v>70</v>
      </c>
      <c r="H5296" s="11" t="s">
        <v>21</v>
      </c>
      <c r="I5296" s="12" t="n">
        <v>77</v>
      </c>
      <c r="J5296" s="13" t="n">
        <v>206</v>
      </c>
      <c r="K5296" s="14" t="n">
        <f aca="false">I5296*J5296</f>
        <v>15862</v>
      </c>
      <c r="L5296" s="14" t="n">
        <f aca="false">($L$2*M5296)/100</f>
        <v>420583.275</v>
      </c>
      <c r="M5296" s="15" t="n">
        <v>0.35</v>
      </c>
      <c r="N5296" s="9" t="s">
        <v>85</v>
      </c>
    </row>
    <row r="5297" customFormat="false" ht="14.25" hidden="false" customHeight="true" outlineLevel="0" collapsed="false">
      <c r="B5297" s="9" t="s">
        <v>27</v>
      </c>
      <c r="C5297" s="9" t="n">
        <v>1128299</v>
      </c>
      <c r="D5297" s="10" t="n">
        <v>44425</v>
      </c>
      <c r="E5297" s="9" t="s">
        <v>50</v>
      </c>
      <c r="F5297" s="9" t="s">
        <v>51</v>
      </c>
      <c r="G5297" s="9" t="s">
        <v>70</v>
      </c>
      <c r="H5297" s="11" t="s">
        <v>22</v>
      </c>
      <c r="I5297" s="12" t="n">
        <v>78</v>
      </c>
      <c r="J5297" s="13" t="n">
        <v>189</v>
      </c>
      <c r="K5297" s="14" t="n">
        <f aca="false">I5297*J5297</f>
        <v>14742</v>
      </c>
      <c r="L5297" s="14" t="n">
        <f aca="false">($L$2*M5297)/100</f>
        <v>516716.595</v>
      </c>
      <c r="M5297" s="15" t="n">
        <v>0.43</v>
      </c>
      <c r="N5297" s="9" t="s">
        <v>85</v>
      </c>
    </row>
    <row r="5298" customFormat="false" ht="14.25" hidden="false" customHeight="true" outlineLevel="0" collapsed="false">
      <c r="B5298" s="9" t="s">
        <v>27</v>
      </c>
      <c r="C5298" s="9" t="n">
        <v>1128299</v>
      </c>
      <c r="D5298" s="10" t="n">
        <v>44425</v>
      </c>
      <c r="E5298" s="9" t="s">
        <v>50</v>
      </c>
      <c r="F5298" s="9" t="s">
        <v>51</v>
      </c>
      <c r="G5298" s="9" t="s">
        <v>70</v>
      </c>
      <c r="H5298" s="11" t="s">
        <v>23</v>
      </c>
      <c r="I5298" s="12" t="n">
        <v>77</v>
      </c>
      <c r="J5298" s="13" t="n">
        <v>143</v>
      </c>
      <c r="K5298" s="14" t="n">
        <f aca="false">I5298*J5298</f>
        <v>11011</v>
      </c>
      <c r="L5298" s="14" t="n">
        <f aca="false">($L$2*M5298)/100</f>
        <v>504699.93</v>
      </c>
      <c r="M5298" s="15" t="n">
        <v>0.42</v>
      </c>
      <c r="N5298" s="9" t="s">
        <v>85</v>
      </c>
    </row>
    <row r="5299" customFormat="false" ht="14.25" hidden="false" customHeight="true" outlineLevel="0" collapsed="false">
      <c r="B5299" s="9" t="s">
        <v>27</v>
      </c>
      <c r="C5299" s="9" t="n">
        <v>1128299</v>
      </c>
      <c r="D5299" s="10" t="n">
        <v>44425</v>
      </c>
      <c r="E5299" s="9" t="s">
        <v>50</v>
      </c>
      <c r="F5299" s="9" t="s">
        <v>51</v>
      </c>
      <c r="G5299" s="9" t="s">
        <v>70</v>
      </c>
      <c r="H5299" s="11" t="s">
        <v>24</v>
      </c>
      <c r="I5299" s="12" t="n">
        <v>74</v>
      </c>
      <c r="J5299" s="13" t="n">
        <v>143</v>
      </c>
      <c r="K5299" s="14" t="n">
        <f aca="false">I5299*J5299</f>
        <v>10582</v>
      </c>
      <c r="L5299" s="14" t="n">
        <f aca="false">($L$2*M5299)/100</f>
        <v>372516.615</v>
      </c>
      <c r="M5299" s="15" t="n">
        <v>0.31</v>
      </c>
      <c r="N5299" s="9" t="s">
        <v>85</v>
      </c>
    </row>
    <row r="5300" customFormat="false" ht="14.25" hidden="false" customHeight="true" outlineLevel="0" collapsed="false">
      <c r="B5300" s="9" t="s">
        <v>27</v>
      </c>
      <c r="C5300" s="9" t="n">
        <v>1128299</v>
      </c>
      <c r="D5300" s="10" t="n">
        <v>44425</v>
      </c>
      <c r="E5300" s="9" t="s">
        <v>50</v>
      </c>
      <c r="F5300" s="9" t="s">
        <v>51</v>
      </c>
      <c r="G5300" s="9" t="s">
        <v>70</v>
      </c>
      <c r="H5300" s="11" t="s">
        <v>25</v>
      </c>
      <c r="I5300" s="12" t="n">
        <v>81</v>
      </c>
      <c r="J5300" s="13" t="n">
        <v>87</v>
      </c>
      <c r="K5300" s="14" t="n">
        <f aca="false">I5300*J5300</f>
        <v>7047</v>
      </c>
      <c r="L5300" s="14" t="n">
        <f aca="false">($L$2*M5300)/100</f>
        <v>696966.57</v>
      </c>
      <c r="M5300" s="15" t="n">
        <v>0.58</v>
      </c>
      <c r="N5300" s="9" t="s">
        <v>85</v>
      </c>
    </row>
    <row r="5301" customFormat="false" ht="14.25" hidden="false" customHeight="true" outlineLevel="0" collapsed="false">
      <c r="B5301" s="9" t="s">
        <v>27</v>
      </c>
      <c r="C5301" s="9" t="n">
        <v>1128299</v>
      </c>
      <c r="D5301" s="10" t="n">
        <v>44457</v>
      </c>
      <c r="E5301" s="9" t="s">
        <v>50</v>
      </c>
      <c r="F5301" s="9" t="s">
        <v>51</v>
      </c>
      <c r="G5301" s="9" t="s">
        <v>70</v>
      </c>
      <c r="H5301" s="11" t="s">
        <v>19</v>
      </c>
      <c r="I5301" s="12" t="n">
        <v>58</v>
      </c>
      <c r="J5301" s="13" t="n">
        <v>140</v>
      </c>
      <c r="K5301" s="14" t="n">
        <f aca="false">I5301*J5301</f>
        <v>8120</v>
      </c>
      <c r="L5301" s="14" t="n">
        <f aca="false">($L$2*M5301)/100</f>
        <v>480666.6</v>
      </c>
      <c r="M5301" s="15" t="n">
        <v>0.4</v>
      </c>
      <c r="N5301" s="9" t="s">
        <v>85</v>
      </c>
    </row>
    <row r="5302" customFormat="false" ht="14.25" hidden="false" customHeight="true" outlineLevel="0" collapsed="false">
      <c r="B5302" s="9" t="s">
        <v>27</v>
      </c>
      <c r="C5302" s="9" t="n">
        <v>1128299</v>
      </c>
      <c r="D5302" s="10" t="n">
        <v>44457</v>
      </c>
      <c r="E5302" s="9" t="s">
        <v>50</v>
      </c>
      <c r="F5302" s="9" t="s">
        <v>51</v>
      </c>
      <c r="G5302" s="9" t="s">
        <v>70</v>
      </c>
      <c r="H5302" s="11" t="s">
        <v>21</v>
      </c>
      <c r="I5302" s="12" t="n">
        <v>60</v>
      </c>
      <c r="J5302" s="13" t="n">
        <v>135</v>
      </c>
      <c r="K5302" s="14" t="n">
        <f aca="false">I5302*J5302</f>
        <v>8100</v>
      </c>
      <c r="L5302" s="14" t="n">
        <f aca="false">($L$2*M5302)/100</f>
        <v>444616.605</v>
      </c>
      <c r="M5302" s="15" t="n">
        <v>0.37</v>
      </c>
      <c r="N5302" s="9" t="s">
        <v>85</v>
      </c>
    </row>
    <row r="5303" customFormat="false" ht="14.25" hidden="false" customHeight="true" outlineLevel="0" collapsed="false">
      <c r="B5303" s="9" t="s">
        <v>27</v>
      </c>
      <c r="C5303" s="9" t="n">
        <v>1128299</v>
      </c>
      <c r="D5303" s="10" t="n">
        <v>44457</v>
      </c>
      <c r="E5303" s="9" t="s">
        <v>50</v>
      </c>
      <c r="F5303" s="9" t="s">
        <v>51</v>
      </c>
      <c r="G5303" s="9" t="s">
        <v>70</v>
      </c>
      <c r="H5303" s="11" t="s">
        <v>22</v>
      </c>
      <c r="I5303" s="12" t="n">
        <v>54</v>
      </c>
      <c r="J5303" s="13" t="n">
        <v>75</v>
      </c>
      <c r="K5303" s="14" t="n">
        <f aca="false">I5303*J5303</f>
        <v>4050</v>
      </c>
      <c r="L5303" s="14" t="n">
        <f aca="false">($L$2*M5303)/100</f>
        <v>540749.925</v>
      </c>
      <c r="M5303" s="15" t="n">
        <v>0.45</v>
      </c>
      <c r="N5303" s="9" t="s">
        <v>85</v>
      </c>
    </row>
    <row r="5304" customFormat="false" ht="14.25" hidden="false" customHeight="true" outlineLevel="0" collapsed="false">
      <c r="B5304" s="9" t="s">
        <v>27</v>
      </c>
      <c r="C5304" s="9" t="n">
        <v>1128299</v>
      </c>
      <c r="D5304" s="10" t="n">
        <v>44457</v>
      </c>
      <c r="E5304" s="9" t="s">
        <v>50</v>
      </c>
      <c r="F5304" s="9" t="s">
        <v>51</v>
      </c>
      <c r="G5304" s="9" t="s">
        <v>70</v>
      </c>
      <c r="H5304" s="11" t="s">
        <v>23</v>
      </c>
      <c r="I5304" s="12" t="n">
        <v>54</v>
      </c>
      <c r="J5304" s="13" t="n">
        <v>65</v>
      </c>
      <c r="K5304" s="14" t="n">
        <f aca="false">I5304*J5304</f>
        <v>3510</v>
      </c>
      <c r="L5304" s="14" t="n">
        <f aca="false">($L$2*M5304)/100</f>
        <v>528733.26</v>
      </c>
      <c r="M5304" s="15" t="n">
        <v>0.44</v>
      </c>
      <c r="N5304" s="9" t="s">
        <v>85</v>
      </c>
    </row>
    <row r="5305" customFormat="false" ht="14.25" hidden="false" customHeight="true" outlineLevel="0" collapsed="false">
      <c r="B5305" s="9" t="s">
        <v>27</v>
      </c>
      <c r="C5305" s="9" t="n">
        <v>1128299</v>
      </c>
      <c r="D5305" s="10" t="n">
        <v>44457</v>
      </c>
      <c r="E5305" s="9" t="s">
        <v>50</v>
      </c>
      <c r="F5305" s="9" t="s">
        <v>51</v>
      </c>
      <c r="G5305" s="9" t="s">
        <v>70</v>
      </c>
      <c r="H5305" s="11" t="s">
        <v>24</v>
      </c>
      <c r="I5305" s="12" t="n">
        <v>64</v>
      </c>
      <c r="J5305" s="13" t="n">
        <v>74</v>
      </c>
      <c r="K5305" s="14" t="n">
        <f aca="false">I5305*J5305</f>
        <v>4736</v>
      </c>
      <c r="L5305" s="14" t="n">
        <f aca="false">($L$2*M5305)/100</f>
        <v>372516.615</v>
      </c>
      <c r="M5305" s="15" t="n">
        <v>0.31</v>
      </c>
      <c r="N5305" s="9" t="s">
        <v>85</v>
      </c>
    </row>
    <row r="5306" customFormat="false" ht="14.25" hidden="false" customHeight="true" outlineLevel="0" collapsed="false">
      <c r="B5306" s="9" t="s">
        <v>27</v>
      </c>
      <c r="C5306" s="9" t="n">
        <v>1128299</v>
      </c>
      <c r="D5306" s="10" t="n">
        <v>44457</v>
      </c>
      <c r="E5306" s="9" t="s">
        <v>50</v>
      </c>
      <c r="F5306" s="9" t="s">
        <v>51</v>
      </c>
      <c r="G5306" s="9" t="s">
        <v>70</v>
      </c>
      <c r="H5306" s="11" t="s">
        <v>25</v>
      </c>
      <c r="I5306" s="12" t="n">
        <v>51</v>
      </c>
      <c r="J5306" s="13" t="n">
        <v>75</v>
      </c>
      <c r="K5306" s="14" t="n">
        <f aca="false">I5306*J5306</f>
        <v>3825</v>
      </c>
      <c r="L5306" s="14" t="n">
        <f aca="false">($L$2*M5306)/100</f>
        <v>660916.575</v>
      </c>
      <c r="M5306" s="15" t="n">
        <v>0.55</v>
      </c>
      <c r="N5306" s="9" t="s">
        <v>85</v>
      </c>
    </row>
    <row r="5307" customFormat="false" ht="14.25" hidden="false" customHeight="true" outlineLevel="0" collapsed="false">
      <c r="B5307" s="9" t="s">
        <v>27</v>
      </c>
      <c r="C5307" s="9" t="n">
        <v>1128299</v>
      </c>
      <c r="D5307" s="10" t="n">
        <v>44486</v>
      </c>
      <c r="E5307" s="9" t="s">
        <v>50</v>
      </c>
      <c r="F5307" s="9" t="s">
        <v>51</v>
      </c>
      <c r="G5307" s="9" t="s">
        <v>70</v>
      </c>
      <c r="H5307" s="11" t="s">
        <v>19</v>
      </c>
      <c r="I5307" s="12" t="n">
        <v>47</v>
      </c>
      <c r="J5307" s="13" t="n">
        <v>100</v>
      </c>
      <c r="K5307" s="14" t="n">
        <f aca="false">I5307*J5307</f>
        <v>4700</v>
      </c>
      <c r="L5307" s="14" t="n">
        <f aca="false">($L$2*M5307)/100</f>
        <v>528733.26</v>
      </c>
      <c r="M5307" s="15" t="n">
        <v>0.44</v>
      </c>
      <c r="N5307" s="9" t="s">
        <v>85</v>
      </c>
    </row>
    <row r="5308" customFormat="false" ht="14.25" hidden="false" customHeight="true" outlineLevel="0" collapsed="false">
      <c r="B5308" s="9" t="s">
        <v>27</v>
      </c>
      <c r="C5308" s="9" t="n">
        <v>1128299</v>
      </c>
      <c r="D5308" s="10" t="n">
        <v>44486</v>
      </c>
      <c r="E5308" s="9" t="s">
        <v>50</v>
      </c>
      <c r="F5308" s="9" t="s">
        <v>51</v>
      </c>
      <c r="G5308" s="9" t="s">
        <v>70</v>
      </c>
      <c r="H5308" s="11" t="s">
        <v>21</v>
      </c>
      <c r="I5308" s="12" t="n">
        <v>59</v>
      </c>
      <c r="J5308" s="13" t="n">
        <v>144</v>
      </c>
      <c r="K5308" s="14" t="n">
        <f aca="false">I5308*J5308</f>
        <v>8496</v>
      </c>
      <c r="L5308" s="14" t="n">
        <f aca="false">($L$2*M5308)/100</f>
        <v>456633.27</v>
      </c>
      <c r="M5308" s="15" t="n">
        <v>0.38</v>
      </c>
      <c r="N5308" s="9" t="s">
        <v>85</v>
      </c>
    </row>
    <row r="5309" customFormat="false" ht="14.25" hidden="false" customHeight="true" outlineLevel="0" collapsed="false">
      <c r="B5309" s="9" t="s">
        <v>27</v>
      </c>
      <c r="C5309" s="9" t="n">
        <v>1128299</v>
      </c>
      <c r="D5309" s="10" t="n">
        <v>44486</v>
      </c>
      <c r="E5309" s="9" t="s">
        <v>50</v>
      </c>
      <c r="F5309" s="9" t="s">
        <v>51</v>
      </c>
      <c r="G5309" s="9" t="s">
        <v>70</v>
      </c>
      <c r="H5309" s="11" t="s">
        <v>22</v>
      </c>
      <c r="I5309" s="12" t="n">
        <v>55</v>
      </c>
      <c r="J5309" s="13" t="n">
        <v>112</v>
      </c>
      <c r="K5309" s="14" t="n">
        <f aca="false">I5309*J5309</f>
        <v>6160</v>
      </c>
      <c r="L5309" s="14" t="n">
        <f aca="false">($L$2*M5309)/100</f>
        <v>492683.265</v>
      </c>
      <c r="M5309" s="15" t="n">
        <v>0.41</v>
      </c>
      <c r="N5309" s="9" t="s">
        <v>85</v>
      </c>
    </row>
    <row r="5310" customFormat="false" ht="14.25" hidden="false" customHeight="true" outlineLevel="0" collapsed="false">
      <c r="B5310" s="9" t="s">
        <v>27</v>
      </c>
      <c r="C5310" s="9" t="n">
        <v>1128299</v>
      </c>
      <c r="D5310" s="10" t="n">
        <v>44486</v>
      </c>
      <c r="E5310" s="9" t="s">
        <v>50</v>
      </c>
      <c r="F5310" s="9" t="s">
        <v>51</v>
      </c>
      <c r="G5310" s="9" t="s">
        <v>70</v>
      </c>
      <c r="H5310" s="11" t="s">
        <v>23</v>
      </c>
      <c r="I5310" s="12" t="n">
        <v>51</v>
      </c>
      <c r="J5310" s="13" t="n">
        <v>113</v>
      </c>
      <c r="K5310" s="14" t="n">
        <f aca="false">I5310*J5310</f>
        <v>5763</v>
      </c>
      <c r="L5310" s="14" t="n">
        <f aca="false">($L$2*M5310)/100</f>
        <v>492683.265</v>
      </c>
      <c r="M5310" s="15" t="n">
        <v>0.41</v>
      </c>
      <c r="N5310" s="9" t="s">
        <v>85</v>
      </c>
    </row>
    <row r="5311" customFormat="false" ht="14.25" hidden="false" customHeight="true" outlineLevel="0" collapsed="false">
      <c r="B5311" s="9" t="s">
        <v>27</v>
      </c>
      <c r="C5311" s="9" t="n">
        <v>1128299</v>
      </c>
      <c r="D5311" s="10" t="n">
        <v>44486</v>
      </c>
      <c r="E5311" s="9" t="s">
        <v>50</v>
      </c>
      <c r="F5311" s="9" t="s">
        <v>51</v>
      </c>
      <c r="G5311" s="9" t="s">
        <v>70</v>
      </c>
      <c r="H5311" s="11" t="s">
        <v>24</v>
      </c>
      <c r="I5311" s="12" t="n">
        <v>59</v>
      </c>
      <c r="J5311" s="13" t="n">
        <v>98</v>
      </c>
      <c r="K5311" s="14" t="n">
        <f aca="false">I5311*J5311</f>
        <v>5782</v>
      </c>
      <c r="L5311" s="14" t="n">
        <f aca="false">($L$2*M5311)/100</f>
        <v>372516.615</v>
      </c>
      <c r="M5311" s="15" t="n">
        <v>0.31</v>
      </c>
      <c r="N5311" s="9" t="s">
        <v>85</v>
      </c>
    </row>
    <row r="5312" customFormat="false" ht="14.25" hidden="false" customHeight="true" outlineLevel="0" collapsed="false">
      <c r="B5312" s="9" t="s">
        <v>27</v>
      </c>
      <c r="C5312" s="9" t="n">
        <v>1128299</v>
      </c>
      <c r="D5312" s="10" t="n">
        <v>44486</v>
      </c>
      <c r="E5312" s="9" t="s">
        <v>50</v>
      </c>
      <c r="F5312" s="9" t="s">
        <v>51</v>
      </c>
      <c r="G5312" s="9" t="s">
        <v>70</v>
      </c>
      <c r="H5312" s="11" t="s">
        <v>25</v>
      </c>
      <c r="I5312" s="12" t="n">
        <v>65</v>
      </c>
      <c r="J5312" s="13" t="n">
        <v>104</v>
      </c>
      <c r="K5312" s="14" t="n">
        <f aca="false">I5312*J5312</f>
        <v>6760</v>
      </c>
      <c r="L5312" s="14" t="n">
        <f aca="false">($L$2*M5312)/100</f>
        <v>696966.57</v>
      </c>
      <c r="M5312" s="15" t="n">
        <v>0.58</v>
      </c>
      <c r="N5312" s="9" t="s">
        <v>85</v>
      </c>
    </row>
    <row r="5313" customFormat="false" ht="14.25" hidden="false" customHeight="true" outlineLevel="0" collapsed="false">
      <c r="B5313" s="9" t="s">
        <v>27</v>
      </c>
      <c r="C5313" s="9" t="n">
        <v>1128299</v>
      </c>
      <c r="D5313" s="10" t="n">
        <v>44517</v>
      </c>
      <c r="E5313" s="9" t="s">
        <v>50</v>
      </c>
      <c r="F5313" s="9" t="s">
        <v>51</v>
      </c>
      <c r="G5313" s="9" t="s">
        <v>70</v>
      </c>
      <c r="H5313" s="11" t="s">
        <v>19</v>
      </c>
      <c r="I5313" s="12" t="n">
        <v>52</v>
      </c>
      <c r="J5313" s="13" t="n">
        <v>169</v>
      </c>
      <c r="K5313" s="14" t="n">
        <f aca="false">I5313*J5313</f>
        <v>8788</v>
      </c>
      <c r="L5313" s="14" t="n">
        <f aca="false">($L$2*M5313)/100</f>
        <v>480666.6</v>
      </c>
      <c r="M5313" s="15" t="n">
        <v>0.4</v>
      </c>
      <c r="N5313" s="9" t="s">
        <v>85</v>
      </c>
    </row>
    <row r="5314" customFormat="false" ht="14.25" hidden="false" customHeight="true" outlineLevel="0" collapsed="false">
      <c r="B5314" s="9" t="s">
        <v>27</v>
      </c>
      <c r="C5314" s="9" t="n">
        <v>1128299</v>
      </c>
      <c r="D5314" s="10" t="n">
        <v>44517</v>
      </c>
      <c r="E5314" s="9" t="s">
        <v>50</v>
      </c>
      <c r="F5314" s="9" t="s">
        <v>51</v>
      </c>
      <c r="G5314" s="9" t="s">
        <v>70</v>
      </c>
      <c r="H5314" s="11" t="s">
        <v>21</v>
      </c>
      <c r="I5314" s="12" t="n">
        <v>54</v>
      </c>
      <c r="J5314" s="13" t="n">
        <v>175</v>
      </c>
      <c r="K5314" s="14" t="n">
        <f aca="false">I5314*J5314</f>
        <v>9450</v>
      </c>
      <c r="L5314" s="14" t="n">
        <f aca="false">($L$2*M5314)/100</f>
        <v>456633.27</v>
      </c>
      <c r="M5314" s="15" t="n">
        <v>0.38</v>
      </c>
      <c r="N5314" s="9" t="s">
        <v>85</v>
      </c>
    </row>
    <row r="5315" customFormat="false" ht="14.25" hidden="false" customHeight="true" outlineLevel="0" collapsed="false">
      <c r="B5315" s="9" t="s">
        <v>27</v>
      </c>
      <c r="C5315" s="9" t="n">
        <v>1128299</v>
      </c>
      <c r="D5315" s="10" t="n">
        <v>44517</v>
      </c>
      <c r="E5315" s="9" t="s">
        <v>50</v>
      </c>
      <c r="F5315" s="9" t="s">
        <v>51</v>
      </c>
      <c r="G5315" s="9" t="s">
        <v>70</v>
      </c>
      <c r="H5315" s="11" t="s">
        <v>22</v>
      </c>
      <c r="I5315" s="12" t="n">
        <v>53</v>
      </c>
      <c r="J5315" s="13" t="n">
        <v>147</v>
      </c>
      <c r="K5315" s="14" t="n">
        <f aca="false">I5315*J5315</f>
        <v>7791</v>
      </c>
      <c r="L5315" s="14" t="n">
        <f aca="false">($L$2*M5315)/100</f>
        <v>492683.265</v>
      </c>
      <c r="M5315" s="15" t="n">
        <v>0.41</v>
      </c>
      <c r="N5315" s="9" t="s">
        <v>85</v>
      </c>
    </row>
    <row r="5316" customFormat="false" ht="14.25" hidden="false" customHeight="true" outlineLevel="0" collapsed="false">
      <c r="B5316" s="9" t="s">
        <v>27</v>
      </c>
      <c r="C5316" s="9" t="n">
        <v>1128299</v>
      </c>
      <c r="D5316" s="10" t="n">
        <v>44517</v>
      </c>
      <c r="E5316" s="9" t="s">
        <v>50</v>
      </c>
      <c r="F5316" s="9" t="s">
        <v>51</v>
      </c>
      <c r="G5316" s="9" t="s">
        <v>70</v>
      </c>
      <c r="H5316" s="11" t="s">
        <v>23</v>
      </c>
      <c r="I5316" s="12" t="n">
        <v>64</v>
      </c>
      <c r="J5316" s="13" t="n">
        <v>150</v>
      </c>
      <c r="K5316" s="14" t="n">
        <f aca="false">I5316*J5316</f>
        <v>9600</v>
      </c>
      <c r="L5316" s="14" t="n">
        <f aca="false">($L$2*M5316)/100</f>
        <v>516716.595</v>
      </c>
      <c r="M5316" s="15" t="n">
        <v>0.43</v>
      </c>
      <c r="N5316" s="9" t="s">
        <v>85</v>
      </c>
    </row>
    <row r="5317" customFormat="false" ht="14.25" hidden="false" customHeight="true" outlineLevel="0" collapsed="false">
      <c r="B5317" s="9" t="s">
        <v>27</v>
      </c>
      <c r="C5317" s="9" t="n">
        <v>1128299</v>
      </c>
      <c r="D5317" s="10" t="n">
        <v>44517</v>
      </c>
      <c r="E5317" s="9" t="s">
        <v>50</v>
      </c>
      <c r="F5317" s="9" t="s">
        <v>51</v>
      </c>
      <c r="G5317" s="9" t="s">
        <v>70</v>
      </c>
      <c r="H5317" s="11" t="s">
        <v>24</v>
      </c>
      <c r="I5317" s="12" t="n">
        <v>77</v>
      </c>
      <c r="J5317" s="13" t="n">
        <v>124</v>
      </c>
      <c r="K5317" s="14" t="n">
        <f aca="false">I5317*J5317</f>
        <v>9548</v>
      </c>
      <c r="L5317" s="14" t="n">
        <f aca="false">($L$2*M5317)/100</f>
        <v>360499.95</v>
      </c>
      <c r="M5317" s="15" t="n">
        <v>0.3</v>
      </c>
      <c r="N5317" s="9" t="s">
        <v>85</v>
      </c>
    </row>
    <row r="5318" customFormat="false" ht="14.25" hidden="false" customHeight="true" outlineLevel="0" collapsed="false">
      <c r="B5318" s="9" t="s">
        <v>27</v>
      </c>
      <c r="C5318" s="9" t="n">
        <v>1128299</v>
      </c>
      <c r="D5318" s="10" t="n">
        <v>44517</v>
      </c>
      <c r="E5318" s="9" t="s">
        <v>50</v>
      </c>
      <c r="F5318" s="9" t="s">
        <v>51</v>
      </c>
      <c r="G5318" s="9" t="s">
        <v>70</v>
      </c>
      <c r="H5318" s="11" t="s">
        <v>25</v>
      </c>
      <c r="I5318" s="12" t="n">
        <v>86</v>
      </c>
      <c r="J5318" s="13" t="n">
        <v>162</v>
      </c>
      <c r="K5318" s="14" t="n">
        <f aca="false">I5318*J5318</f>
        <v>13932</v>
      </c>
      <c r="L5318" s="14" t="n">
        <f aca="false">($L$2*M5318)/100</f>
        <v>708983.235</v>
      </c>
      <c r="M5318" s="15" t="n">
        <v>0.59</v>
      </c>
      <c r="N5318" s="9" t="s">
        <v>85</v>
      </c>
    </row>
    <row r="5319" customFormat="false" ht="14.25" hidden="false" customHeight="true" outlineLevel="0" collapsed="false">
      <c r="B5319" s="9" t="s">
        <v>27</v>
      </c>
      <c r="C5319" s="9" t="n">
        <v>1128299</v>
      </c>
      <c r="D5319" s="10" t="n">
        <v>44546</v>
      </c>
      <c r="E5319" s="9" t="s">
        <v>50</v>
      </c>
      <c r="F5319" s="9" t="s">
        <v>51</v>
      </c>
      <c r="G5319" s="9" t="s">
        <v>70</v>
      </c>
      <c r="H5319" s="11" t="s">
        <v>19</v>
      </c>
      <c r="I5319" s="12" t="n">
        <v>72</v>
      </c>
      <c r="J5319" s="13" t="n">
        <v>216</v>
      </c>
      <c r="K5319" s="14" t="n">
        <f aca="false">I5319*J5319</f>
        <v>15552</v>
      </c>
      <c r="L5319" s="14" t="n">
        <f aca="false">($L$2*M5319)/100</f>
        <v>480666.6</v>
      </c>
      <c r="M5319" s="15" t="n">
        <v>0.4</v>
      </c>
      <c r="N5319" s="9" t="s">
        <v>85</v>
      </c>
    </row>
    <row r="5320" customFormat="false" ht="14.25" hidden="false" customHeight="true" outlineLevel="0" collapsed="false">
      <c r="B5320" s="9" t="s">
        <v>27</v>
      </c>
      <c r="C5320" s="9" t="n">
        <v>1128299</v>
      </c>
      <c r="D5320" s="10" t="n">
        <v>44546</v>
      </c>
      <c r="E5320" s="9" t="s">
        <v>50</v>
      </c>
      <c r="F5320" s="9" t="s">
        <v>51</v>
      </c>
      <c r="G5320" s="9" t="s">
        <v>70</v>
      </c>
      <c r="H5320" s="11" t="s">
        <v>21</v>
      </c>
      <c r="I5320" s="12" t="n">
        <v>82</v>
      </c>
      <c r="J5320" s="13" t="n">
        <v>200</v>
      </c>
      <c r="K5320" s="14" t="n">
        <f aca="false">I5320*J5320</f>
        <v>16400</v>
      </c>
      <c r="L5320" s="14" t="n">
        <f aca="false">($L$2*M5320)/100</f>
        <v>420583.275</v>
      </c>
      <c r="M5320" s="15" t="n">
        <v>0.35</v>
      </c>
      <c r="N5320" s="9" t="s">
        <v>85</v>
      </c>
    </row>
    <row r="5321" customFormat="false" ht="14.25" hidden="false" customHeight="true" outlineLevel="0" collapsed="false">
      <c r="B5321" s="9" t="s">
        <v>32</v>
      </c>
      <c r="C5321" s="9" t="n">
        <v>1128299</v>
      </c>
      <c r="D5321" s="10" t="n">
        <v>44546</v>
      </c>
      <c r="E5321" s="9" t="s">
        <v>50</v>
      </c>
      <c r="F5321" s="9" t="s">
        <v>51</v>
      </c>
      <c r="G5321" s="9" t="s">
        <v>70</v>
      </c>
      <c r="H5321" s="11" t="s">
        <v>22</v>
      </c>
      <c r="I5321" s="12" t="n">
        <v>75</v>
      </c>
      <c r="J5321" s="13" t="n">
        <v>174</v>
      </c>
      <c r="K5321" s="14" t="n">
        <f aca="false">I5321*J5321</f>
        <v>13050</v>
      </c>
      <c r="L5321" s="14" t="n">
        <f aca="false">($L$2*M5321)/100</f>
        <v>480666.6</v>
      </c>
      <c r="M5321" s="15" t="n">
        <v>0.4</v>
      </c>
      <c r="N5321" s="9" t="s">
        <v>85</v>
      </c>
    </row>
    <row r="5322" customFormat="false" ht="14.25" hidden="false" customHeight="true" outlineLevel="0" collapsed="false">
      <c r="B5322" s="9" t="s">
        <v>32</v>
      </c>
      <c r="C5322" s="9" t="n">
        <v>1128299</v>
      </c>
      <c r="D5322" s="10" t="n">
        <v>44546</v>
      </c>
      <c r="E5322" s="9" t="s">
        <v>50</v>
      </c>
      <c r="F5322" s="9" t="s">
        <v>51</v>
      </c>
      <c r="G5322" s="9" t="s">
        <v>70</v>
      </c>
      <c r="H5322" s="11" t="s">
        <v>23</v>
      </c>
      <c r="I5322" s="12" t="n">
        <v>78</v>
      </c>
      <c r="J5322" s="13" t="n">
        <v>180</v>
      </c>
      <c r="K5322" s="14" t="n">
        <f aca="false">I5322*J5322</f>
        <v>14040</v>
      </c>
      <c r="L5322" s="14" t="n">
        <f aca="false">($L$2*M5322)/100</f>
        <v>492683.265</v>
      </c>
      <c r="M5322" s="15" t="n">
        <v>0.41</v>
      </c>
      <c r="N5322" s="9" t="s">
        <v>85</v>
      </c>
    </row>
    <row r="5323" customFormat="false" ht="14.25" hidden="false" customHeight="true" outlineLevel="0" collapsed="false">
      <c r="B5323" s="9" t="s">
        <v>32</v>
      </c>
      <c r="C5323" s="9" t="n">
        <v>1128299</v>
      </c>
      <c r="D5323" s="10" t="n">
        <v>44546</v>
      </c>
      <c r="E5323" s="9" t="s">
        <v>50</v>
      </c>
      <c r="F5323" s="9" t="s">
        <v>51</v>
      </c>
      <c r="G5323" s="9" t="s">
        <v>70</v>
      </c>
      <c r="H5323" s="11" t="s">
        <v>24</v>
      </c>
      <c r="I5323" s="12" t="n">
        <v>86</v>
      </c>
      <c r="J5323" s="13" t="n">
        <v>147</v>
      </c>
      <c r="K5323" s="14" t="n">
        <f aca="false">I5323*J5323</f>
        <v>12642</v>
      </c>
      <c r="L5323" s="14" t="n">
        <f aca="false">($L$2*M5323)/100</f>
        <v>420583.275</v>
      </c>
      <c r="M5323" s="15" t="n">
        <v>0.35</v>
      </c>
      <c r="N5323" s="9" t="s">
        <v>85</v>
      </c>
    </row>
    <row r="5324" customFormat="false" ht="14.25" hidden="false" customHeight="true" outlineLevel="0" collapsed="false">
      <c r="B5324" s="9" t="s">
        <v>32</v>
      </c>
      <c r="C5324" s="9" t="n">
        <v>1128299</v>
      </c>
      <c r="D5324" s="10" t="n">
        <v>44546</v>
      </c>
      <c r="E5324" s="9" t="s">
        <v>50</v>
      </c>
      <c r="F5324" s="9" t="s">
        <v>51</v>
      </c>
      <c r="G5324" s="9" t="s">
        <v>70</v>
      </c>
      <c r="H5324" s="11" t="s">
        <v>25</v>
      </c>
      <c r="I5324" s="12" t="n">
        <v>87</v>
      </c>
      <c r="J5324" s="13" t="n">
        <v>156</v>
      </c>
      <c r="K5324" s="14" t="n">
        <f aca="false">I5324*J5324</f>
        <v>13572</v>
      </c>
      <c r="L5324" s="14" t="n">
        <f aca="false">($L$2*M5324)/100</f>
        <v>660916.575</v>
      </c>
      <c r="M5324" s="15" t="n">
        <v>0.55</v>
      </c>
      <c r="N5324" s="9" t="s">
        <v>85</v>
      </c>
    </row>
    <row r="5325" customFormat="false" ht="14.25" hidden="false" customHeight="true" outlineLevel="0" collapsed="false">
      <c r="B5325" s="9" t="s">
        <v>32</v>
      </c>
      <c r="C5325" s="9" t="n">
        <v>1185732</v>
      </c>
      <c r="D5325" s="10" t="n">
        <v>44208</v>
      </c>
      <c r="E5325" s="9" t="s">
        <v>50</v>
      </c>
      <c r="F5325" s="9" t="s">
        <v>51</v>
      </c>
      <c r="G5325" s="9" t="s">
        <v>70</v>
      </c>
      <c r="H5325" s="11" t="s">
        <v>19</v>
      </c>
      <c r="I5325" s="12" t="n">
        <v>41</v>
      </c>
      <c r="J5325" s="13" t="n">
        <v>255</v>
      </c>
      <c r="K5325" s="14" t="n">
        <f aca="false">I5325*J5325</f>
        <v>10455</v>
      </c>
      <c r="L5325" s="14" t="n">
        <f aca="false">($L$2*M5325)/100</f>
        <v>660916.575</v>
      </c>
      <c r="M5325" s="15" t="n">
        <v>0.55</v>
      </c>
      <c r="N5325" s="9" t="s">
        <v>85</v>
      </c>
    </row>
    <row r="5326" customFormat="false" ht="14.25" hidden="false" customHeight="true" outlineLevel="0" collapsed="false">
      <c r="B5326" s="9" t="s">
        <v>32</v>
      </c>
      <c r="C5326" s="9" t="n">
        <v>1185732</v>
      </c>
      <c r="D5326" s="10" t="n">
        <v>44208</v>
      </c>
      <c r="E5326" s="9" t="s">
        <v>50</v>
      </c>
      <c r="F5326" s="9" t="s">
        <v>51</v>
      </c>
      <c r="G5326" s="9" t="s">
        <v>70</v>
      </c>
      <c r="H5326" s="11" t="s">
        <v>21</v>
      </c>
      <c r="I5326" s="12" t="n">
        <v>44</v>
      </c>
      <c r="J5326" s="13" t="n">
        <v>189</v>
      </c>
      <c r="K5326" s="14" t="n">
        <f aca="false">I5326*J5326</f>
        <v>8316</v>
      </c>
      <c r="L5326" s="14" t="n">
        <f aca="false">($L$2*M5326)/100</f>
        <v>564783.255</v>
      </c>
      <c r="M5326" s="15" t="n">
        <v>0.47</v>
      </c>
      <c r="N5326" s="9" t="s">
        <v>85</v>
      </c>
    </row>
    <row r="5327" customFormat="false" ht="14.25" hidden="false" customHeight="true" outlineLevel="0" collapsed="false">
      <c r="B5327" s="9" t="s">
        <v>32</v>
      </c>
      <c r="C5327" s="9" t="n">
        <v>1185732</v>
      </c>
      <c r="D5327" s="10" t="n">
        <v>44208</v>
      </c>
      <c r="E5327" s="9" t="s">
        <v>50</v>
      </c>
      <c r="F5327" s="9" t="s">
        <v>51</v>
      </c>
      <c r="G5327" s="9" t="s">
        <v>70</v>
      </c>
      <c r="H5327" s="11" t="s">
        <v>22</v>
      </c>
      <c r="I5327" s="12" t="n">
        <v>32</v>
      </c>
      <c r="J5327" s="13" t="n">
        <v>169</v>
      </c>
      <c r="K5327" s="14" t="n">
        <f aca="false">I5327*J5327</f>
        <v>5408</v>
      </c>
      <c r="L5327" s="14" t="n">
        <f aca="false">($L$2*M5327)/100</f>
        <v>456633.27</v>
      </c>
      <c r="M5327" s="15" t="n">
        <v>0.38</v>
      </c>
      <c r="N5327" s="9" t="s">
        <v>85</v>
      </c>
    </row>
    <row r="5328" customFormat="false" ht="14.25" hidden="false" customHeight="true" outlineLevel="0" collapsed="false">
      <c r="B5328" s="9" t="s">
        <v>32</v>
      </c>
      <c r="C5328" s="9" t="n">
        <v>1185732</v>
      </c>
      <c r="D5328" s="10" t="n">
        <v>44208</v>
      </c>
      <c r="E5328" s="9" t="s">
        <v>50</v>
      </c>
      <c r="F5328" s="9" t="s">
        <v>51</v>
      </c>
      <c r="G5328" s="9" t="s">
        <v>70</v>
      </c>
      <c r="H5328" s="11" t="s">
        <v>23</v>
      </c>
      <c r="I5328" s="12" t="n">
        <v>37</v>
      </c>
      <c r="J5328" s="13" t="n">
        <v>145</v>
      </c>
      <c r="K5328" s="14" t="n">
        <f aca="false">I5328*J5328</f>
        <v>5365</v>
      </c>
      <c r="L5328" s="14" t="n">
        <f aca="false">($L$2*M5328)/100</f>
        <v>492683.265</v>
      </c>
      <c r="M5328" s="15" t="n">
        <v>0.41</v>
      </c>
      <c r="N5328" s="9" t="s">
        <v>85</v>
      </c>
    </row>
    <row r="5329" customFormat="false" ht="14.25" hidden="false" customHeight="true" outlineLevel="0" collapsed="false">
      <c r="B5329" s="9" t="s">
        <v>32</v>
      </c>
      <c r="C5329" s="9" t="n">
        <v>1185732</v>
      </c>
      <c r="D5329" s="10" t="n">
        <v>44208</v>
      </c>
      <c r="E5329" s="9" t="s">
        <v>50</v>
      </c>
      <c r="F5329" s="9" t="s">
        <v>51</v>
      </c>
      <c r="G5329" s="9" t="s">
        <v>70</v>
      </c>
      <c r="H5329" s="11" t="s">
        <v>24</v>
      </c>
      <c r="I5329" s="12" t="n">
        <v>51</v>
      </c>
      <c r="J5329" s="13" t="n">
        <v>165</v>
      </c>
      <c r="K5329" s="14" t="n">
        <f aca="false">I5329*J5329</f>
        <v>8415</v>
      </c>
      <c r="L5329" s="14" t="n">
        <f aca="false">($L$2*M5329)/100</f>
        <v>540749.925</v>
      </c>
      <c r="M5329" s="15" t="n">
        <v>0.45</v>
      </c>
      <c r="N5329" s="9" t="s">
        <v>85</v>
      </c>
    </row>
    <row r="5330" customFormat="false" ht="14.25" hidden="false" customHeight="true" outlineLevel="0" collapsed="false">
      <c r="B5330" s="9" t="s">
        <v>32</v>
      </c>
      <c r="C5330" s="9" t="n">
        <v>1185732</v>
      </c>
      <c r="D5330" s="10" t="n">
        <v>44208</v>
      </c>
      <c r="E5330" s="9" t="s">
        <v>50</v>
      </c>
      <c r="F5330" s="9" t="s">
        <v>51</v>
      </c>
      <c r="G5330" s="9" t="s">
        <v>70</v>
      </c>
      <c r="H5330" s="11" t="s">
        <v>25</v>
      </c>
      <c r="I5330" s="12" t="n">
        <v>44</v>
      </c>
      <c r="J5330" s="13" t="n">
        <v>176</v>
      </c>
      <c r="K5330" s="14" t="n">
        <f aca="false">I5330*J5330</f>
        <v>7744</v>
      </c>
      <c r="L5330" s="14" t="n">
        <f aca="false">($L$2*M5330)/100</f>
        <v>781083.225</v>
      </c>
      <c r="M5330" s="15" t="n">
        <v>0.65</v>
      </c>
      <c r="N5330" s="9" t="s">
        <v>85</v>
      </c>
    </row>
    <row r="5331" customFormat="false" ht="14.25" hidden="false" customHeight="true" outlineLevel="0" collapsed="false">
      <c r="B5331" s="9" t="s">
        <v>32</v>
      </c>
      <c r="C5331" s="9" t="n">
        <v>1185732</v>
      </c>
      <c r="D5331" s="10" t="n">
        <v>44237</v>
      </c>
      <c r="E5331" s="9" t="s">
        <v>50</v>
      </c>
      <c r="F5331" s="9" t="s">
        <v>51</v>
      </c>
      <c r="G5331" s="9" t="s">
        <v>70</v>
      </c>
      <c r="H5331" s="11" t="s">
        <v>19</v>
      </c>
      <c r="I5331" s="12" t="n">
        <v>44</v>
      </c>
      <c r="J5331" s="13" t="n">
        <v>234</v>
      </c>
      <c r="K5331" s="14" t="n">
        <f aca="false">I5331*J5331</f>
        <v>10296</v>
      </c>
      <c r="L5331" s="14" t="n">
        <f aca="false">($L$2*M5331)/100</f>
        <v>660916.575</v>
      </c>
      <c r="M5331" s="15" t="n">
        <v>0.55</v>
      </c>
      <c r="N5331" s="9" t="s">
        <v>85</v>
      </c>
    </row>
    <row r="5332" customFormat="false" ht="14.25" hidden="false" customHeight="true" outlineLevel="0" collapsed="false">
      <c r="B5332" s="9" t="s">
        <v>32</v>
      </c>
      <c r="C5332" s="9" t="n">
        <v>1185732</v>
      </c>
      <c r="D5332" s="10" t="n">
        <v>44237</v>
      </c>
      <c r="E5332" s="9" t="s">
        <v>50</v>
      </c>
      <c r="F5332" s="9" t="s">
        <v>51</v>
      </c>
      <c r="G5332" s="9" t="s">
        <v>70</v>
      </c>
      <c r="H5332" s="11" t="s">
        <v>21</v>
      </c>
      <c r="I5332" s="12" t="n">
        <v>42</v>
      </c>
      <c r="J5332" s="13" t="n">
        <v>138</v>
      </c>
      <c r="K5332" s="14" t="n">
        <f aca="false">I5332*J5332</f>
        <v>5796</v>
      </c>
      <c r="L5332" s="14" t="n">
        <f aca="false">($L$2*M5332)/100</f>
        <v>588816.585</v>
      </c>
      <c r="M5332" s="15" t="n">
        <v>0.49</v>
      </c>
      <c r="N5332" s="9" t="s">
        <v>85</v>
      </c>
    </row>
    <row r="5333" customFormat="false" ht="14.25" hidden="false" customHeight="true" outlineLevel="0" collapsed="false">
      <c r="B5333" s="9" t="s">
        <v>32</v>
      </c>
      <c r="C5333" s="9" t="n">
        <v>1185732</v>
      </c>
      <c r="D5333" s="10" t="n">
        <v>44237</v>
      </c>
      <c r="E5333" s="9" t="s">
        <v>50</v>
      </c>
      <c r="F5333" s="9" t="s">
        <v>51</v>
      </c>
      <c r="G5333" s="9" t="s">
        <v>70</v>
      </c>
      <c r="H5333" s="11" t="s">
        <v>22</v>
      </c>
      <c r="I5333" s="12" t="n">
        <v>33</v>
      </c>
      <c r="J5333" s="13" t="n">
        <v>174</v>
      </c>
      <c r="K5333" s="14" t="n">
        <f aca="false">I5333*J5333</f>
        <v>5742</v>
      </c>
      <c r="L5333" s="14" t="n">
        <f aca="false">($L$2*M5333)/100</f>
        <v>444616.605</v>
      </c>
      <c r="M5333" s="15" t="n">
        <v>0.37</v>
      </c>
      <c r="N5333" s="9" t="s">
        <v>85</v>
      </c>
    </row>
    <row r="5334" customFormat="false" ht="14.25" hidden="false" customHeight="true" outlineLevel="0" collapsed="false">
      <c r="B5334" s="9" t="s">
        <v>32</v>
      </c>
      <c r="C5334" s="9" t="n">
        <v>1185732</v>
      </c>
      <c r="D5334" s="10" t="n">
        <v>44237</v>
      </c>
      <c r="E5334" s="9" t="s">
        <v>17</v>
      </c>
      <c r="F5334" s="9" t="s">
        <v>18</v>
      </c>
      <c r="G5334" s="9" t="s">
        <v>71</v>
      </c>
      <c r="H5334" s="11" t="s">
        <v>23</v>
      </c>
      <c r="I5334" s="12" t="n">
        <v>37</v>
      </c>
      <c r="J5334" s="13" t="n">
        <v>133</v>
      </c>
      <c r="K5334" s="14" t="n">
        <f aca="false">I5334*J5334</f>
        <v>4921</v>
      </c>
      <c r="L5334" s="14" t="n">
        <f aca="false">($L$2*M5334)/100</f>
        <v>504699.93</v>
      </c>
      <c r="M5334" s="15" t="n">
        <v>0.42</v>
      </c>
      <c r="N5334" s="9" t="s">
        <v>85</v>
      </c>
    </row>
    <row r="5335" customFormat="false" ht="14.25" hidden="false" customHeight="true" outlineLevel="0" collapsed="false">
      <c r="B5335" s="9" t="s">
        <v>32</v>
      </c>
      <c r="C5335" s="9" t="n">
        <v>1185732</v>
      </c>
      <c r="D5335" s="10" t="n">
        <v>44237</v>
      </c>
      <c r="E5335" s="9" t="s">
        <v>17</v>
      </c>
      <c r="F5335" s="9" t="s">
        <v>18</v>
      </c>
      <c r="G5335" s="9" t="s">
        <v>71</v>
      </c>
      <c r="H5335" s="11" t="s">
        <v>24</v>
      </c>
      <c r="I5335" s="12" t="n">
        <v>50</v>
      </c>
      <c r="J5335" s="13" t="n">
        <v>154</v>
      </c>
      <c r="K5335" s="14" t="n">
        <f aca="false">I5335*J5335</f>
        <v>7700</v>
      </c>
      <c r="L5335" s="14" t="n">
        <f aca="false">($L$2*M5335)/100</f>
        <v>552766.59</v>
      </c>
      <c r="M5335" s="15" t="n">
        <v>0.46</v>
      </c>
      <c r="N5335" s="9" t="s">
        <v>85</v>
      </c>
    </row>
    <row r="5336" customFormat="false" ht="14.25" hidden="false" customHeight="true" outlineLevel="0" collapsed="false">
      <c r="B5336" s="9" t="s">
        <v>32</v>
      </c>
      <c r="C5336" s="9" t="n">
        <v>1185732</v>
      </c>
      <c r="D5336" s="10" t="n">
        <v>44237</v>
      </c>
      <c r="E5336" s="9" t="s">
        <v>17</v>
      </c>
      <c r="F5336" s="9" t="s">
        <v>18</v>
      </c>
      <c r="G5336" s="9" t="s">
        <v>71</v>
      </c>
      <c r="H5336" s="11" t="s">
        <v>25</v>
      </c>
      <c r="I5336" s="12" t="n">
        <v>42</v>
      </c>
      <c r="J5336" s="13" t="n">
        <v>182</v>
      </c>
      <c r="K5336" s="14" t="n">
        <f aca="false">I5336*J5336</f>
        <v>7644</v>
      </c>
      <c r="L5336" s="14" t="n">
        <f aca="false">($L$2*M5336)/100</f>
        <v>769066.56</v>
      </c>
      <c r="M5336" s="15" t="n">
        <v>0.64</v>
      </c>
      <c r="N5336" s="9" t="s">
        <v>85</v>
      </c>
    </row>
    <row r="5337" customFormat="false" ht="14.25" hidden="false" customHeight="true" outlineLevel="0" collapsed="false">
      <c r="B5337" s="9" t="s">
        <v>32</v>
      </c>
      <c r="C5337" s="9" t="n">
        <v>1185732</v>
      </c>
      <c r="D5337" s="10" t="n">
        <v>44263</v>
      </c>
      <c r="E5337" s="9" t="s">
        <v>17</v>
      </c>
      <c r="F5337" s="9" t="s">
        <v>18</v>
      </c>
      <c r="G5337" s="9" t="s">
        <v>71</v>
      </c>
      <c r="H5337" s="11" t="s">
        <v>19</v>
      </c>
      <c r="I5337" s="12" t="n">
        <v>44</v>
      </c>
      <c r="J5337" s="13" t="n">
        <v>252</v>
      </c>
      <c r="K5337" s="14" t="n">
        <f aca="false">I5337*J5337</f>
        <v>11088</v>
      </c>
      <c r="L5337" s="14" t="n">
        <f aca="false">($L$2*M5337)/100</f>
        <v>708983.235</v>
      </c>
      <c r="M5337" s="15" t="n">
        <v>0.59</v>
      </c>
      <c r="N5337" s="9" t="s">
        <v>85</v>
      </c>
    </row>
    <row r="5338" customFormat="false" ht="14.25" hidden="false" customHeight="true" outlineLevel="0" collapsed="false">
      <c r="B5338" s="9" t="s">
        <v>32</v>
      </c>
      <c r="C5338" s="9" t="n">
        <v>1185732</v>
      </c>
      <c r="D5338" s="10" t="n">
        <v>44263</v>
      </c>
      <c r="E5338" s="9" t="s">
        <v>17</v>
      </c>
      <c r="F5338" s="9" t="s">
        <v>18</v>
      </c>
      <c r="G5338" s="9" t="s">
        <v>71</v>
      </c>
      <c r="H5338" s="11" t="s">
        <v>21</v>
      </c>
      <c r="I5338" s="12" t="n">
        <v>44</v>
      </c>
      <c r="J5338" s="13" t="n">
        <v>165</v>
      </c>
      <c r="K5338" s="14" t="n">
        <f aca="false">I5338*J5338</f>
        <v>7260</v>
      </c>
      <c r="L5338" s="14" t="n">
        <f aca="false">($L$2*M5338)/100</f>
        <v>552766.59</v>
      </c>
      <c r="M5338" s="15" t="n">
        <v>0.46</v>
      </c>
      <c r="N5338" s="9" t="s">
        <v>85</v>
      </c>
    </row>
    <row r="5339" customFormat="false" ht="14.25" hidden="false" customHeight="true" outlineLevel="0" collapsed="false">
      <c r="B5339" s="9" t="s">
        <v>32</v>
      </c>
      <c r="C5339" s="9" t="n">
        <v>1185732</v>
      </c>
      <c r="D5339" s="10" t="n">
        <v>44263</v>
      </c>
      <c r="E5339" s="9" t="s">
        <v>17</v>
      </c>
      <c r="F5339" s="9" t="s">
        <v>18</v>
      </c>
      <c r="G5339" s="9" t="s">
        <v>71</v>
      </c>
      <c r="H5339" s="11" t="s">
        <v>22</v>
      </c>
      <c r="I5339" s="12" t="n">
        <v>33</v>
      </c>
      <c r="J5339" s="13" t="n">
        <v>161</v>
      </c>
      <c r="K5339" s="14" t="n">
        <f aca="false">I5339*J5339</f>
        <v>5313</v>
      </c>
      <c r="L5339" s="14" t="n">
        <f aca="false">($L$2*M5339)/100</f>
        <v>432599.94</v>
      </c>
      <c r="M5339" s="15" t="n">
        <v>0.36</v>
      </c>
      <c r="N5339" s="9" t="s">
        <v>85</v>
      </c>
    </row>
    <row r="5340" customFormat="false" ht="14.25" hidden="false" customHeight="true" outlineLevel="0" collapsed="false">
      <c r="B5340" s="9" t="s">
        <v>32</v>
      </c>
      <c r="C5340" s="9" t="n">
        <v>1185732</v>
      </c>
      <c r="D5340" s="10" t="n">
        <v>44263</v>
      </c>
      <c r="E5340" s="9" t="s">
        <v>17</v>
      </c>
      <c r="F5340" s="9" t="s">
        <v>18</v>
      </c>
      <c r="G5340" s="9" t="s">
        <v>71</v>
      </c>
      <c r="H5340" s="11" t="s">
        <v>23</v>
      </c>
      <c r="I5340" s="12" t="n">
        <v>39</v>
      </c>
      <c r="J5340" s="13" t="n">
        <v>106</v>
      </c>
      <c r="K5340" s="14" t="n">
        <f aca="false">I5340*J5340</f>
        <v>4134</v>
      </c>
      <c r="L5340" s="14" t="n">
        <f aca="false">($L$2*M5340)/100</f>
        <v>492683.265</v>
      </c>
      <c r="M5340" s="15" t="n">
        <v>0.41</v>
      </c>
      <c r="N5340" s="9" t="s">
        <v>85</v>
      </c>
    </row>
    <row r="5341" customFormat="false" ht="14.25" hidden="false" customHeight="true" outlineLevel="0" collapsed="false">
      <c r="B5341" s="9" t="s">
        <v>32</v>
      </c>
      <c r="C5341" s="9" t="n">
        <v>1185732</v>
      </c>
      <c r="D5341" s="10" t="n">
        <v>44263</v>
      </c>
      <c r="E5341" s="9" t="s">
        <v>17</v>
      </c>
      <c r="F5341" s="9" t="s">
        <v>18</v>
      </c>
      <c r="G5341" s="9" t="s">
        <v>71</v>
      </c>
      <c r="H5341" s="11" t="s">
        <v>24</v>
      </c>
      <c r="I5341" s="12" t="n">
        <v>51</v>
      </c>
      <c r="J5341" s="13" t="n">
        <v>133</v>
      </c>
      <c r="K5341" s="14" t="n">
        <f aca="false">I5341*J5341</f>
        <v>6783</v>
      </c>
      <c r="L5341" s="14" t="n">
        <f aca="false">($L$2*M5341)/100</f>
        <v>588816.585</v>
      </c>
      <c r="M5341" s="15" t="n">
        <v>0.49</v>
      </c>
      <c r="N5341" s="9" t="s">
        <v>85</v>
      </c>
    </row>
    <row r="5342" customFormat="false" ht="14.25" hidden="false" customHeight="true" outlineLevel="0" collapsed="false">
      <c r="B5342" s="9" t="s">
        <v>32</v>
      </c>
      <c r="C5342" s="9" t="n">
        <v>1185732</v>
      </c>
      <c r="D5342" s="10" t="n">
        <v>44263</v>
      </c>
      <c r="E5342" s="9" t="s">
        <v>17</v>
      </c>
      <c r="F5342" s="9" t="s">
        <v>18</v>
      </c>
      <c r="G5342" s="9" t="s">
        <v>71</v>
      </c>
      <c r="H5342" s="11" t="s">
        <v>25</v>
      </c>
      <c r="I5342" s="12" t="n">
        <v>43</v>
      </c>
      <c r="J5342" s="13" t="n">
        <v>161</v>
      </c>
      <c r="K5342" s="14" t="n">
        <f aca="false">I5342*J5342</f>
        <v>6923</v>
      </c>
      <c r="L5342" s="14" t="n">
        <f aca="false">($L$2*M5342)/100</f>
        <v>720999.9</v>
      </c>
      <c r="M5342" s="15" t="n">
        <v>0.6</v>
      </c>
      <c r="N5342" s="9" t="s">
        <v>85</v>
      </c>
    </row>
    <row r="5343" customFormat="false" ht="14.25" hidden="false" customHeight="true" outlineLevel="0" collapsed="false">
      <c r="B5343" s="9" t="s">
        <v>32</v>
      </c>
      <c r="C5343" s="9" t="n">
        <v>1185732</v>
      </c>
      <c r="D5343" s="10" t="n">
        <v>44295</v>
      </c>
      <c r="E5343" s="9" t="s">
        <v>17</v>
      </c>
      <c r="F5343" s="9" t="s">
        <v>18</v>
      </c>
      <c r="G5343" s="9" t="s">
        <v>71</v>
      </c>
      <c r="H5343" s="11" t="s">
        <v>19</v>
      </c>
      <c r="I5343" s="12" t="n">
        <v>42</v>
      </c>
      <c r="J5343" s="13" t="n">
        <v>248</v>
      </c>
      <c r="K5343" s="14" t="n">
        <f aca="false">I5343*J5343</f>
        <v>10416</v>
      </c>
      <c r="L5343" s="14" t="n">
        <f aca="false">($L$2*M5343)/100</f>
        <v>672933.24</v>
      </c>
      <c r="M5343" s="15" t="n">
        <v>0.56</v>
      </c>
      <c r="N5343" s="9" t="s">
        <v>85</v>
      </c>
    </row>
    <row r="5344" customFormat="false" ht="14.25" hidden="false" customHeight="true" outlineLevel="0" collapsed="false">
      <c r="B5344" s="9" t="s">
        <v>32</v>
      </c>
      <c r="C5344" s="9" t="n">
        <v>1185732</v>
      </c>
      <c r="D5344" s="10" t="n">
        <v>44295</v>
      </c>
      <c r="E5344" s="9" t="s">
        <v>17</v>
      </c>
      <c r="F5344" s="9" t="s">
        <v>18</v>
      </c>
      <c r="G5344" s="9" t="s">
        <v>71</v>
      </c>
      <c r="H5344" s="11" t="s">
        <v>21</v>
      </c>
      <c r="I5344" s="12" t="n">
        <v>43</v>
      </c>
      <c r="J5344" s="13" t="n">
        <v>147</v>
      </c>
      <c r="K5344" s="14" t="n">
        <f aca="false">I5344*J5344</f>
        <v>6321</v>
      </c>
      <c r="L5344" s="14" t="n">
        <f aca="false">($L$2*M5344)/100</f>
        <v>540749.925</v>
      </c>
      <c r="M5344" s="15" t="n">
        <v>0.45</v>
      </c>
      <c r="N5344" s="9" t="s">
        <v>85</v>
      </c>
    </row>
    <row r="5345" customFormat="false" ht="14.25" hidden="false" customHeight="true" outlineLevel="0" collapsed="false">
      <c r="B5345" s="9" t="s">
        <v>32</v>
      </c>
      <c r="C5345" s="9" t="n">
        <v>1185732</v>
      </c>
      <c r="D5345" s="10" t="n">
        <v>44295</v>
      </c>
      <c r="E5345" s="9" t="s">
        <v>17</v>
      </c>
      <c r="F5345" s="9" t="s">
        <v>18</v>
      </c>
      <c r="G5345" s="9" t="s">
        <v>71</v>
      </c>
      <c r="H5345" s="11" t="s">
        <v>22</v>
      </c>
      <c r="I5345" s="12" t="n">
        <v>34</v>
      </c>
      <c r="J5345" s="13" t="n">
        <v>152</v>
      </c>
      <c r="K5345" s="14" t="n">
        <f aca="false">I5345*J5345</f>
        <v>5168</v>
      </c>
      <c r="L5345" s="14" t="n">
        <f aca="false">($L$2*M5345)/100</f>
        <v>432599.94</v>
      </c>
      <c r="M5345" s="15" t="n">
        <v>0.36</v>
      </c>
      <c r="N5345" s="9" t="s">
        <v>85</v>
      </c>
    </row>
    <row r="5346" customFormat="false" ht="14.25" hidden="false" customHeight="true" outlineLevel="0" collapsed="false">
      <c r="B5346" s="9" t="s">
        <v>32</v>
      </c>
      <c r="C5346" s="9" t="n">
        <v>1185732</v>
      </c>
      <c r="D5346" s="10" t="n">
        <v>44295</v>
      </c>
      <c r="E5346" s="9" t="s">
        <v>17</v>
      </c>
      <c r="F5346" s="9" t="s">
        <v>18</v>
      </c>
      <c r="G5346" s="9" t="s">
        <v>71</v>
      </c>
      <c r="H5346" s="11" t="s">
        <v>23</v>
      </c>
      <c r="I5346" s="12" t="n">
        <v>37</v>
      </c>
      <c r="J5346" s="13" t="n">
        <v>135</v>
      </c>
      <c r="K5346" s="14" t="n">
        <f aca="false">I5346*J5346</f>
        <v>4995</v>
      </c>
      <c r="L5346" s="14" t="n">
        <f aca="false">($L$2*M5346)/100</f>
        <v>492683.265</v>
      </c>
      <c r="M5346" s="15" t="n">
        <v>0.41</v>
      </c>
      <c r="N5346" s="9" t="s">
        <v>85</v>
      </c>
    </row>
    <row r="5347" customFormat="false" ht="14.25" hidden="false" customHeight="true" outlineLevel="0" collapsed="false">
      <c r="B5347" s="9" t="s">
        <v>32</v>
      </c>
      <c r="C5347" s="9" t="n">
        <v>1185732</v>
      </c>
      <c r="D5347" s="10" t="n">
        <v>44295</v>
      </c>
      <c r="E5347" s="9" t="s">
        <v>17</v>
      </c>
      <c r="F5347" s="9" t="s">
        <v>18</v>
      </c>
      <c r="G5347" s="9" t="s">
        <v>71</v>
      </c>
      <c r="H5347" s="11" t="s">
        <v>24</v>
      </c>
      <c r="I5347" s="12" t="n">
        <v>50</v>
      </c>
      <c r="J5347" s="13" t="n">
        <v>124</v>
      </c>
      <c r="K5347" s="14" t="n">
        <f aca="false">I5347*J5347</f>
        <v>6200</v>
      </c>
      <c r="L5347" s="14" t="n">
        <f aca="false">($L$2*M5347)/100</f>
        <v>564783.255</v>
      </c>
      <c r="M5347" s="15" t="n">
        <v>0.47</v>
      </c>
      <c r="N5347" s="9" t="s">
        <v>85</v>
      </c>
    </row>
    <row r="5348" customFormat="false" ht="14.25" hidden="false" customHeight="true" outlineLevel="0" collapsed="false">
      <c r="B5348" s="9" t="s">
        <v>32</v>
      </c>
      <c r="C5348" s="9" t="n">
        <v>1185732</v>
      </c>
      <c r="D5348" s="10" t="n">
        <v>44295</v>
      </c>
      <c r="E5348" s="9" t="s">
        <v>17</v>
      </c>
      <c r="F5348" s="9" t="s">
        <v>18</v>
      </c>
      <c r="G5348" s="9" t="s">
        <v>71</v>
      </c>
      <c r="H5348" s="11" t="s">
        <v>25</v>
      </c>
      <c r="I5348" s="12" t="n">
        <v>41</v>
      </c>
      <c r="J5348" s="13" t="n">
        <v>156</v>
      </c>
      <c r="K5348" s="14" t="n">
        <f aca="false">I5348*J5348</f>
        <v>6396</v>
      </c>
      <c r="L5348" s="14" t="n">
        <f aca="false">($L$2*M5348)/100</f>
        <v>781083.225</v>
      </c>
      <c r="M5348" s="15" t="n">
        <v>0.65</v>
      </c>
      <c r="N5348" s="9" t="s">
        <v>85</v>
      </c>
    </row>
    <row r="5349" customFormat="false" ht="14.25" hidden="false" customHeight="true" outlineLevel="0" collapsed="false">
      <c r="B5349" s="9" t="s">
        <v>32</v>
      </c>
      <c r="C5349" s="9" t="n">
        <v>1185732</v>
      </c>
      <c r="D5349" s="10" t="n">
        <v>44324</v>
      </c>
      <c r="E5349" s="9" t="s">
        <v>17</v>
      </c>
      <c r="F5349" s="9" t="s">
        <v>18</v>
      </c>
      <c r="G5349" s="9" t="s">
        <v>71</v>
      </c>
      <c r="H5349" s="11" t="s">
        <v>19</v>
      </c>
      <c r="I5349" s="12" t="n">
        <v>50</v>
      </c>
      <c r="J5349" s="13" t="n">
        <v>261</v>
      </c>
      <c r="K5349" s="14" t="n">
        <f aca="false">I5349*J5349</f>
        <v>13050</v>
      </c>
      <c r="L5349" s="14" t="n">
        <f aca="false">($L$2*M5349)/100</f>
        <v>720999.9</v>
      </c>
      <c r="M5349" s="15" t="n">
        <v>0.6</v>
      </c>
      <c r="N5349" s="9" t="s">
        <v>85</v>
      </c>
    </row>
    <row r="5350" customFormat="false" ht="14.25" hidden="false" customHeight="true" outlineLevel="0" collapsed="false">
      <c r="B5350" s="9" t="s">
        <v>32</v>
      </c>
      <c r="C5350" s="9" t="n">
        <v>1185732</v>
      </c>
      <c r="D5350" s="10" t="n">
        <v>44324</v>
      </c>
      <c r="E5350" s="9" t="s">
        <v>17</v>
      </c>
      <c r="F5350" s="9" t="s">
        <v>18</v>
      </c>
      <c r="G5350" s="9" t="s">
        <v>71</v>
      </c>
      <c r="H5350" s="11" t="s">
        <v>21</v>
      </c>
      <c r="I5350" s="12" t="n">
        <v>53</v>
      </c>
      <c r="J5350" s="13" t="n">
        <v>161</v>
      </c>
      <c r="K5350" s="14" t="n">
        <f aca="false">I5350*J5350</f>
        <v>8533</v>
      </c>
      <c r="L5350" s="14" t="n">
        <f aca="false">($L$2*M5350)/100</f>
        <v>564783.255</v>
      </c>
      <c r="M5350" s="15" t="n">
        <v>0.47</v>
      </c>
      <c r="N5350" s="9" t="s">
        <v>85</v>
      </c>
    </row>
    <row r="5351" customFormat="false" ht="14.25" hidden="false" customHeight="true" outlineLevel="0" collapsed="false">
      <c r="B5351" s="9" t="s">
        <v>32</v>
      </c>
      <c r="C5351" s="9" t="n">
        <v>1185732</v>
      </c>
      <c r="D5351" s="10" t="n">
        <v>44324</v>
      </c>
      <c r="E5351" s="9" t="s">
        <v>17</v>
      </c>
      <c r="F5351" s="9" t="s">
        <v>18</v>
      </c>
      <c r="G5351" s="9" t="s">
        <v>71</v>
      </c>
      <c r="H5351" s="11" t="s">
        <v>22</v>
      </c>
      <c r="I5351" s="12" t="n">
        <v>49</v>
      </c>
      <c r="J5351" s="13" t="n">
        <v>160</v>
      </c>
      <c r="K5351" s="14" t="n">
        <f aca="false">I5351*J5351</f>
        <v>7840</v>
      </c>
      <c r="L5351" s="14" t="n">
        <f aca="false">($L$2*M5351)/100</f>
        <v>432599.94</v>
      </c>
      <c r="M5351" s="15" t="n">
        <v>0.36</v>
      </c>
      <c r="N5351" s="9" t="s">
        <v>85</v>
      </c>
    </row>
    <row r="5352" customFormat="false" ht="14.25" hidden="false" customHeight="true" outlineLevel="0" collapsed="false">
      <c r="B5352" s="9" t="s">
        <v>32</v>
      </c>
      <c r="C5352" s="9" t="n">
        <v>1185732</v>
      </c>
      <c r="D5352" s="10" t="n">
        <v>44324</v>
      </c>
      <c r="E5352" s="9" t="s">
        <v>17</v>
      </c>
      <c r="F5352" s="9" t="s">
        <v>18</v>
      </c>
      <c r="G5352" s="9" t="s">
        <v>71</v>
      </c>
      <c r="H5352" s="11" t="s">
        <v>23</v>
      </c>
      <c r="I5352" s="12" t="n">
        <v>47</v>
      </c>
      <c r="J5352" s="13" t="n">
        <v>130</v>
      </c>
      <c r="K5352" s="14" t="n">
        <f aca="false">I5352*J5352</f>
        <v>6110</v>
      </c>
      <c r="L5352" s="14" t="n">
        <f aca="false">($L$2*M5352)/100</f>
        <v>480666.6</v>
      </c>
      <c r="M5352" s="15" t="n">
        <v>0.4</v>
      </c>
      <c r="N5352" s="9" t="s">
        <v>85</v>
      </c>
    </row>
    <row r="5353" customFormat="false" ht="14.25" hidden="false" customHeight="true" outlineLevel="0" collapsed="false">
      <c r="B5353" s="9" t="s">
        <v>32</v>
      </c>
      <c r="C5353" s="9" t="n">
        <v>1185732</v>
      </c>
      <c r="D5353" s="10" t="n">
        <v>44324</v>
      </c>
      <c r="E5353" s="9" t="s">
        <v>17</v>
      </c>
      <c r="F5353" s="9" t="s">
        <v>18</v>
      </c>
      <c r="G5353" s="9" t="s">
        <v>71</v>
      </c>
      <c r="H5353" s="11" t="s">
        <v>24</v>
      </c>
      <c r="I5353" s="12" t="n">
        <v>56</v>
      </c>
      <c r="J5353" s="13" t="n">
        <v>137</v>
      </c>
      <c r="K5353" s="14" t="n">
        <f aca="false">I5353*J5353</f>
        <v>7672</v>
      </c>
      <c r="L5353" s="14" t="n">
        <f aca="false">($L$2*M5353)/100</f>
        <v>588816.585</v>
      </c>
      <c r="M5353" s="15" t="n">
        <v>0.49</v>
      </c>
      <c r="N5353" s="9" t="s">
        <v>85</v>
      </c>
    </row>
    <row r="5354" customFormat="false" ht="14.25" hidden="false" customHeight="true" outlineLevel="0" collapsed="false">
      <c r="B5354" s="9" t="s">
        <v>32</v>
      </c>
      <c r="C5354" s="9" t="n">
        <v>1185732</v>
      </c>
      <c r="D5354" s="10" t="n">
        <v>44324</v>
      </c>
      <c r="E5354" s="9" t="s">
        <v>17</v>
      </c>
      <c r="F5354" s="9" t="s">
        <v>18</v>
      </c>
      <c r="G5354" s="9" t="s">
        <v>71</v>
      </c>
      <c r="H5354" s="11" t="s">
        <v>25</v>
      </c>
      <c r="I5354" s="12" t="n">
        <v>59</v>
      </c>
      <c r="J5354" s="13" t="n">
        <v>169</v>
      </c>
      <c r="K5354" s="14" t="n">
        <f aca="false">I5354*J5354</f>
        <v>9971</v>
      </c>
      <c r="L5354" s="14" t="n">
        <f aca="false">($L$2*M5354)/100</f>
        <v>757049.895</v>
      </c>
      <c r="M5354" s="15" t="n">
        <v>0.63</v>
      </c>
      <c r="N5354" s="9" t="s">
        <v>85</v>
      </c>
    </row>
    <row r="5355" customFormat="false" ht="14.25" hidden="false" customHeight="true" outlineLevel="0" collapsed="false">
      <c r="B5355" s="9" t="s">
        <v>32</v>
      </c>
      <c r="C5355" s="9" t="n">
        <v>1185732</v>
      </c>
      <c r="D5355" s="10" t="n">
        <v>44357</v>
      </c>
      <c r="E5355" s="9" t="s">
        <v>17</v>
      </c>
      <c r="F5355" s="9" t="s">
        <v>18</v>
      </c>
      <c r="G5355" s="9" t="s">
        <v>71</v>
      </c>
      <c r="H5355" s="11" t="s">
        <v>19</v>
      </c>
      <c r="I5355" s="12" t="n">
        <v>59</v>
      </c>
      <c r="J5355" s="13" t="n">
        <v>263</v>
      </c>
      <c r="K5355" s="14" t="n">
        <f aca="false">I5355*J5355</f>
        <v>15517</v>
      </c>
      <c r="L5355" s="14" t="n">
        <f aca="false">($L$2*M5355)/100</f>
        <v>672933.24</v>
      </c>
      <c r="M5355" s="15" t="n">
        <v>0.56</v>
      </c>
      <c r="N5355" s="9" t="s">
        <v>85</v>
      </c>
    </row>
    <row r="5356" customFormat="false" ht="14.25" hidden="false" customHeight="true" outlineLevel="0" collapsed="false">
      <c r="B5356" s="9" t="s">
        <v>32</v>
      </c>
      <c r="C5356" s="9" t="n">
        <v>1185732</v>
      </c>
      <c r="D5356" s="10" t="n">
        <v>44357</v>
      </c>
      <c r="E5356" s="9" t="s">
        <v>17</v>
      </c>
      <c r="F5356" s="9" t="s">
        <v>18</v>
      </c>
      <c r="G5356" s="9" t="s">
        <v>71</v>
      </c>
      <c r="H5356" s="11" t="s">
        <v>21</v>
      </c>
      <c r="I5356" s="12" t="n">
        <v>54</v>
      </c>
      <c r="J5356" s="13" t="n">
        <v>175</v>
      </c>
      <c r="K5356" s="14" t="n">
        <f aca="false">I5356*J5356</f>
        <v>9450</v>
      </c>
      <c r="L5356" s="14" t="n">
        <f aca="false">($L$2*M5356)/100</f>
        <v>576799.92</v>
      </c>
      <c r="M5356" s="15" t="n">
        <v>0.48</v>
      </c>
      <c r="N5356" s="9" t="s">
        <v>85</v>
      </c>
    </row>
    <row r="5357" customFormat="false" ht="14.25" hidden="false" customHeight="true" outlineLevel="0" collapsed="false">
      <c r="B5357" s="9" t="s">
        <v>32</v>
      </c>
      <c r="C5357" s="9" t="n">
        <v>1185732</v>
      </c>
      <c r="D5357" s="10" t="n">
        <v>44357</v>
      </c>
      <c r="E5357" s="9" t="s">
        <v>17</v>
      </c>
      <c r="F5357" s="9" t="s">
        <v>18</v>
      </c>
      <c r="G5357" s="9" t="s">
        <v>71</v>
      </c>
      <c r="H5357" s="11" t="s">
        <v>22</v>
      </c>
      <c r="I5357" s="12" t="n">
        <v>48</v>
      </c>
      <c r="J5357" s="13" t="n">
        <v>150</v>
      </c>
      <c r="K5357" s="14" t="n">
        <f aca="false">I5357*J5357</f>
        <v>7200</v>
      </c>
      <c r="L5357" s="14" t="n">
        <f aca="false">($L$2*M5357)/100</f>
        <v>456633.27</v>
      </c>
      <c r="M5357" s="15" t="n">
        <v>0.38</v>
      </c>
      <c r="N5357" s="9" t="s">
        <v>85</v>
      </c>
    </row>
    <row r="5358" customFormat="false" ht="14.25" hidden="false" customHeight="true" outlineLevel="0" collapsed="false">
      <c r="B5358" s="9" t="s">
        <v>32</v>
      </c>
      <c r="C5358" s="9" t="n">
        <v>1185732</v>
      </c>
      <c r="D5358" s="10" t="n">
        <v>44357</v>
      </c>
      <c r="E5358" s="9" t="s">
        <v>17</v>
      </c>
      <c r="F5358" s="9" t="s">
        <v>18</v>
      </c>
      <c r="G5358" s="9" t="s">
        <v>71</v>
      </c>
      <c r="H5358" s="11" t="s">
        <v>23</v>
      </c>
      <c r="I5358" s="12" t="n">
        <v>49</v>
      </c>
      <c r="J5358" s="13" t="n">
        <v>144</v>
      </c>
      <c r="K5358" s="14" t="n">
        <f aca="false">I5358*J5358</f>
        <v>7056</v>
      </c>
      <c r="L5358" s="14" t="n">
        <f aca="false">($L$2*M5358)/100</f>
        <v>492683.265</v>
      </c>
      <c r="M5358" s="15" t="n">
        <v>0.41</v>
      </c>
      <c r="N5358" s="9" t="s">
        <v>85</v>
      </c>
    </row>
    <row r="5359" customFormat="false" ht="14.25" hidden="false" customHeight="true" outlineLevel="0" collapsed="false">
      <c r="B5359" s="9" t="s">
        <v>32</v>
      </c>
      <c r="C5359" s="9" t="n">
        <v>1185732</v>
      </c>
      <c r="D5359" s="10" t="n">
        <v>44357</v>
      </c>
      <c r="E5359" s="9" t="s">
        <v>17</v>
      </c>
      <c r="F5359" s="9" t="s">
        <v>18</v>
      </c>
      <c r="G5359" s="9" t="s">
        <v>71</v>
      </c>
      <c r="H5359" s="11" t="s">
        <v>24</v>
      </c>
      <c r="I5359" s="12" t="n">
        <v>62</v>
      </c>
      <c r="J5359" s="13" t="n">
        <v>150</v>
      </c>
      <c r="K5359" s="14" t="n">
        <f aca="false">I5359*J5359</f>
        <v>9300</v>
      </c>
      <c r="L5359" s="14" t="n">
        <f aca="false">($L$2*M5359)/100</f>
        <v>588816.585</v>
      </c>
      <c r="M5359" s="15" t="n">
        <v>0.49</v>
      </c>
      <c r="N5359" s="9" t="s">
        <v>85</v>
      </c>
    </row>
    <row r="5360" customFormat="false" ht="14.25" hidden="false" customHeight="true" outlineLevel="0" collapsed="false">
      <c r="B5360" s="9" t="s">
        <v>32</v>
      </c>
      <c r="C5360" s="9" t="n">
        <v>1185732</v>
      </c>
      <c r="D5360" s="10" t="n">
        <v>44357</v>
      </c>
      <c r="E5360" s="9" t="s">
        <v>17</v>
      </c>
      <c r="F5360" s="9" t="s">
        <v>18</v>
      </c>
      <c r="G5360" s="9" t="s">
        <v>71</v>
      </c>
      <c r="H5360" s="11" t="s">
        <v>25</v>
      </c>
      <c r="I5360" s="12" t="n">
        <v>69</v>
      </c>
      <c r="J5360" s="13" t="n">
        <v>181</v>
      </c>
      <c r="K5360" s="14" t="n">
        <f aca="false">I5360*J5360</f>
        <v>12489</v>
      </c>
      <c r="L5360" s="14" t="n">
        <f aca="false">($L$2*M5360)/100</f>
        <v>745033.23</v>
      </c>
      <c r="M5360" s="15" t="n">
        <v>0.62</v>
      </c>
      <c r="N5360" s="9" t="s">
        <v>85</v>
      </c>
    </row>
    <row r="5361" customFormat="false" ht="14.25" hidden="false" customHeight="true" outlineLevel="0" collapsed="false">
      <c r="B5361" s="9" t="s">
        <v>32</v>
      </c>
      <c r="C5361" s="9" t="n">
        <v>1185732</v>
      </c>
      <c r="D5361" s="10" t="n">
        <v>44385</v>
      </c>
      <c r="E5361" s="9" t="s">
        <v>17</v>
      </c>
      <c r="F5361" s="9" t="s">
        <v>18</v>
      </c>
      <c r="G5361" s="9" t="s">
        <v>71</v>
      </c>
      <c r="H5361" s="11" t="s">
        <v>19</v>
      </c>
      <c r="I5361" s="12" t="n">
        <v>59</v>
      </c>
      <c r="J5361" s="13" t="n">
        <v>247</v>
      </c>
      <c r="K5361" s="14" t="n">
        <f aca="false">I5361*J5361</f>
        <v>14573</v>
      </c>
      <c r="L5361" s="14" t="n">
        <f aca="false">($L$2*M5361)/100</f>
        <v>660916.575</v>
      </c>
      <c r="M5361" s="15" t="n">
        <v>0.55</v>
      </c>
      <c r="N5361" s="9" t="s">
        <v>85</v>
      </c>
    </row>
    <row r="5362" customFormat="false" ht="14.25" hidden="false" customHeight="true" outlineLevel="0" collapsed="false">
      <c r="B5362" s="9" t="s">
        <v>32</v>
      </c>
      <c r="C5362" s="9" t="n">
        <v>1185732</v>
      </c>
      <c r="D5362" s="10" t="n">
        <v>44385</v>
      </c>
      <c r="E5362" s="9" t="s">
        <v>17</v>
      </c>
      <c r="F5362" s="9" t="s">
        <v>18</v>
      </c>
      <c r="G5362" s="9" t="s">
        <v>71</v>
      </c>
      <c r="H5362" s="11" t="s">
        <v>21</v>
      </c>
      <c r="I5362" s="12" t="n">
        <v>56</v>
      </c>
      <c r="J5362" s="13" t="n">
        <v>196</v>
      </c>
      <c r="K5362" s="14" t="n">
        <f aca="false">I5362*J5362</f>
        <v>10976</v>
      </c>
      <c r="L5362" s="14" t="n">
        <f aca="false">($L$2*M5362)/100</f>
        <v>540749.925</v>
      </c>
      <c r="M5362" s="15" t="n">
        <v>0.45</v>
      </c>
      <c r="N5362" s="9" t="s">
        <v>85</v>
      </c>
    </row>
    <row r="5363" customFormat="false" ht="14.25" hidden="false" customHeight="true" outlineLevel="0" collapsed="false">
      <c r="B5363" s="9" t="s">
        <v>32</v>
      </c>
      <c r="C5363" s="9" t="n">
        <v>1185732</v>
      </c>
      <c r="D5363" s="10" t="n">
        <v>44385</v>
      </c>
      <c r="E5363" s="9" t="s">
        <v>17</v>
      </c>
      <c r="F5363" s="9" t="s">
        <v>18</v>
      </c>
      <c r="G5363" s="9" t="s">
        <v>71</v>
      </c>
      <c r="H5363" s="11" t="s">
        <v>22</v>
      </c>
      <c r="I5363" s="12" t="n">
        <v>51</v>
      </c>
      <c r="J5363" s="13" t="n">
        <v>169</v>
      </c>
      <c r="K5363" s="14" t="n">
        <f aca="false">I5363*J5363</f>
        <v>8619</v>
      </c>
      <c r="L5363" s="14" t="n">
        <f aca="false">($L$2*M5363)/100</f>
        <v>420583.275</v>
      </c>
      <c r="M5363" s="15" t="n">
        <v>0.35</v>
      </c>
      <c r="N5363" s="9" t="s">
        <v>85</v>
      </c>
    </row>
    <row r="5364" customFormat="false" ht="14.25" hidden="false" customHeight="true" outlineLevel="0" collapsed="false">
      <c r="B5364" s="9" t="s">
        <v>32</v>
      </c>
      <c r="C5364" s="9" t="n">
        <v>1185732</v>
      </c>
      <c r="D5364" s="10" t="n">
        <v>44385</v>
      </c>
      <c r="E5364" s="9" t="s">
        <v>17</v>
      </c>
      <c r="F5364" s="9" t="s">
        <v>18</v>
      </c>
      <c r="G5364" s="9" t="s">
        <v>71</v>
      </c>
      <c r="H5364" s="11" t="s">
        <v>23</v>
      </c>
      <c r="I5364" s="12" t="n">
        <v>53</v>
      </c>
      <c r="J5364" s="13" t="n">
        <v>150</v>
      </c>
      <c r="K5364" s="14" t="n">
        <f aca="false">I5364*J5364</f>
        <v>7950</v>
      </c>
      <c r="L5364" s="14" t="n">
        <f aca="false">($L$2*M5364)/100</f>
        <v>516716.595</v>
      </c>
      <c r="M5364" s="15" t="n">
        <v>0.43</v>
      </c>
      <c r="N5364" s="9" t="s">
        <v>85</v>
      </c>
    </row>
    <row r="5365" customFormat="false" ht="14.25" hidden="false" customHeight="true" outlineLevel="0" collapsed="false">
      <c r="B5365" s="9" t="s">
        <v>32</v>
      </c>
      <c r="C5365" s="9" t="n">
        <v>1185732</v>
      </c>
      <c r="D5365" s="10" t="n">
        <v>44385</v>
      </c>
      <c r="E5365" s="9" t="s">
        <v>17</v>
      </c>
      <c r="F5365" s="9" t="s">
        <v>18</v>
      </c>
      <c r="G5365" s="9" t="s">
        <v>71</v>
      </c>
      <c r="H5365" s="11" t="s">
        <v>24</v>
      </c>
      <c r="I5365" s="12" t="n">
        <v>62</v>
      </c>
      <c r="J5365" s="13" t="n">
        <v>168</v>
      </c>
      <c r="K5365" s="14" t="n">
        <f aca="false">I5365*J5365</f>
        <v>10416</v>
      </c>
      <c r="L5365" s="14" t="n">
        <f aca="false">($L$2*M5365)/100</f>
        <v>552766.59</v>
      </c>
      <c r="M5365" s="15" t="n">
        <v>0.46</v>
      </c>
      <c r="N5365" s="9" t="s">
        <v>85</v>
      </c>
    </row>
    <row r="5366" customFormat="false" ht="14.25" hidden="false" customHeight="true" outlineLevel="0" collapsed="false">
      <c r="B5366" s="9" t="s">
        <v>32</v>
      </c>
      <c r="C5366" s="9" t="n">
        <v>1185732</v>
      </c>
      <c r="D5366" s="10" t="n">
        <v>44385</v>
      </c>
      <c r="E5366" s="9" t="s">
        <v>17</v>
      </c>
      <c r="F5366" s="9" t="s">
        <v>18</v>
      </c>
      <c r="G5366" s="9" t="s">
        <v>71</v>
      </c>
      <c r="H5366" s="11" t="s">
        <v>25</v>
      </c>
      <c r="I5366" s="12" t="n">
        <v>66</v>
      </c>
      <c r="J5366" s="13" t="n">
        <v>194</v>
      </c>
      <c r="K5366" s="14" t="n">
        <f aca="false">I5366*J5366</f>
        <v>12804</v>
      </c>
      <c r="L5366" s="14" t="n">
        <f aca="false">($L$2*M5366)/100</f>
        <v>781083.225</v>
      </c>
      <c r="M5366" s="15" t="n">
        <v>0.65</v>
      </c>
      <c r="N5366" s="9" t="s">
        <v>85</v>
      </c>
    </row>
    <row r="5367" customFormat="false" ht="14.25" hidden="false" customHeight="true" outlineLevel="0" collapsed="false">
      <c r="B5367" s="9" t="s">
        <v>32</v>
      </c>
      <c r="C5367" s="9" t="n">
        <v>1185732</v>
      </c>
      <c r="D5367" s="10" t="n">
        <v>44417</v>
      </c>
      <c r="E5367" s="9" t="s">
        <v>17</v>
      </c>
      <c r="F5367" s="9" t="s">
        <v>18</v>
      </c>
      <c r="G5367" s="9" t="s">
        <v>71</v>
      </c>
      <c r="H5367" s="11" t="s">
        <v>19</v>
      </c>
      <c r="I5367" s="12" t="n">
        <v>62</v>
      </c>
      <c r="J5367" s="13" t="n">
        <v>250</v>
      </c>
      <c r="K5367" s="14" t="n">
        <f aca="false">I5367*J5367</f>
        <v>15500</v>
      </c>
      <c r="L5367" s="14" t="n">
        <f aca="false">($L$2*M5367)/100</f>
        <v>672933.24</v>
      </c>
      <c r="M5367" s="15" t="n">
        <v>0.56</v>
      </c>
      <c r="N5367" s="9" t="s">
        <v>85</v>
      </c>
    </row>
    <row r="5368" customFormat="false" ht="14.25" hidden="false" customHeight="true" outlineLevel="0" collapsed="false">
      <c r="B5368" s="9" t="s">
        <v>32</v>
      </c>
      <c r="C5368" s="9" t="n">
        <v>1185732</v>
      </c>
      <c r="D5368" s="10" t="n">
        <v>44417</v>
      </c>
      <c r="E5368" s="9" t="s">
        <v>17</v>
      </c>
      <c r="F5368" s="9" t="s">
        <v>18</v>
      </c>
      <c r="G5368" s="9" t="s">
        <v>71</v>
      </c>
      <c r="H5368" s="11" t="s">
        <v>21</v>
      </c>
      <c r="I5368" s="12" t="n">
        <v>55</v>
      </c>
      <c r="J5368" s="13" t="n">
        <v>210</v>
      </c>
      <c r="K5368" s="14" t="n">
        <f aca="false">I5368*J5368</f>
        <v>11550</v>
      </c>
      <c r="L5368" s="14" t="n">
        <f aca="false">($L$2*M5368)/100</f>
        <v>540749.925</v>
      </c>
      <c r="M5368" s="15" t="n">
        <v>0.45</v>
      </c>
      <c r="N5368" s="9" t="s">
        <v>85</v>
      </c>
    </row>
    <row r="5369" customFormat="false" ht="14.25" hidden="false" customHeight="true" outlineLevel="0" collapsed="false">
      <c r="B5369" s="9" t="s">
        <v>32</v>
      </c>
      <c r="C5369" s="9" t="n">
        <v>1185732</v>
      </c>
      <c r="D5369" s="10" t="n">
        <v>44417</v>
      </c>
      <c r="E5369" s="9" t="s">
        <v>17</v>
      </c>
      <c r="F5369" s="9" t="s">
        <v>18</v>
      </c>
      <c r="G5369" s="9" t="s">
        <v>71</v>
      </c>
      <c r="H5369" s="11" t="s">
        <v>22</v>
      </c>
      <c r="I5369" s="12" t="n">
        <v>51</v>
      </c>
      <c r="J5369" s="13" t="n">
        <v>188</v>
      </c>
      <c r="K5369" s="14" t="n">
        <f aca="false">I5369*J5369</f>
        <v>9588</v>
      </c>
      <c r="L5369" s="14" t="n">
        <f aca="false">($L$2*M5369)/100</f>
        <v>432599.94</v>
      </c>
      <c r="M5369" s="15" t="n">
        <v>0.36</v>
      </c>
      <c r="N5369" s="9" t="s">
        <v>85</v>
      </c>
    </row>
    <row r="5370" customFormat="false" ht="14.25" hidden="false" customHeight="true" outlineLevel="0" collapsed="false">
      <c r="B5370" s="9" t="s">
        <v>32</v>
      </c>
      <c r="C5370" s="9" t="n">
        <v>1185732</v>
      </c>
      <c r="D5370" s="10" t="n">
        <v>44417</v>
      </c>
      <c r="E5370" s="9" t="s">
        <v>17</v>
      </c>
      <c r="F5370" s="9" t="s">
        <v>18</v>
      </c>
      <c r="G5370" s="9" t="s">
        <v>71</v>
      </c>
      <c r="H5370" s="11" t="s">
        <v>23</v>
      </c>
      <c r="I5370" s="12" t="n">
        <v>41</v>
      </c>
      <c r="J5370" s="13" t="n">
        <v>150</v>
      </c>
      <c r="K5370" s="14" t="n">
        <f aca="false">I5370*J5370</f>
        <v>6150</v>
      </c>
      <c r="L5370" s="14" t="n">
        <f aca="false">($L$2*M5370)/100</f>
        <v>480666.6</v>
      </c>
      <c r="M5370" s="15" t="n">
        <v>0.4</v>
      </c>
      <c r="N5370" s="9" t="s">
        <v>85</v>
      </c>
    </row>
    <row r="5371" customFormat="false" ht="14.25" hidden="false" customHeight="true" outlineLevel="0" collapsed="false">
      <c r="B5371" s="9" t="s">
        <v>32</v>
      </c>
      <c r="C5371" s="9" t="n">
        <v>1185732</v>
      </c>
      <c r="D5371" s="10" t="n">
        <v>44417</v>
      </c>
      <c r="E5371" s="9" t="s">
        <v>17</v>
      </c>
      <c r="F5371" s="9" t="s">
        <v>18</v>
      </c>
      <c r="G5371" s="9" t="s">
        <v>71</v>
      </c>
      <c r="H5371" s="11" t="s">
        <v>24</v>
      </c>
      <c r="I5371" s="12" t="n">
        <v>52</v>
      </c>
      <c r="J5371" s="13" t="n">
        <v>149</v>
      </c>
      <c r="K5371" s="14" t="n">
        <f aca="false">I5371*J5371</f>
        <v>7748</v>
      </c>
      <c r="L5371" s="14" t="n">
        <f aca="false">($L$2*M5371)/100</f>
        <v>576799.92</v>
      </c>
      <c r="M5371" s="15" t="n">
        <v>0.48</v>
      </c>
      <c r="N5371" s="9" t="s">
        <v>85</v>
      </c>
    </row>
    <row r="5372" customFormat="false" ht="14.25" hidden="false" customHeight="true" outlineLevel="0" collapsed="false">
      <c r="B5372" s="9" t="s">
        <v>32</v>
      </c>
      <c r="C5372" s="9" t="n">
        <v>1185732</v>
      </c>
      <c r="D5372" s="10" t="n">
        <v>44417</v>
      </c>
      <c r="E5372" s="9" t="s">
        <v>17</v>
      </c>
      <c r="F5372" s="9" t="s">
        <v>18</v>
      </c>
      <c r="G5372" s="9" t="s">
        <v>71</v>
      </c>
      <c r="H5372" s="11" t="s">
        <v>25</v>
      </c>
      <c r="I5372" s="12" t="n">
        <v>55</v>
      </c>
      <c r="J5372" s="13" t="n">
        <v>218</v>
      </c>
      <c r="K5372" s="14" t="n">
        <f aca="false">I5372*J5372</f>
        <v>11990</v>
      </c>
      <c r="L5372" s="14" t="n">
        <f aca="false">($L$2*M5372)/100</f>
        <v>720999.9</v>
      </c>
      <c r="M5372" s="15" t="n">
        <v>0.6</v>
      </c>
      <c r="N5372" s="9" t="s">
        <v>85</v>
      </c>
    </row>
    <row r="5373" customFormat="false" ht="14.25" hidden="false" customHeight="true" outlineLevel="0" collapsed="false">
      <c r="B5373" s="9" t="s">
        <v>32</v>
      </c>
      <c r="C5373" s="9" t="n">
        <v>1185732</v>
      </c>
      <c r="D5373" s="10" t="n">
        <v>44447</v>
      </c>
      <c r="E5373" s="9" t="s">
        <v>17</v>
      </c>
      <c r="F5373" s="9" t="s">
        <v>18</v>
      </c>
      <c r="G5373" s="9" t="s">
        <v>71</v>
      </c>
      <c r="H5373" s="11" t="s">
        <v>19</v>
      </c>
      <c r="I5373" s="12" t="n">
        <v>50</v>
      </c>
      <c r="J5373" s="13" t="n">
        <v>238</v>
      </c>
      <c r="K5373" s="14" t="n">
        <f aca="false">I5373*J5373</f>
        <v>11900</v>
      </c>
      <c r="L5373" s="14" t="n">
        <f aca="false">($L$2*M5373)/100</f>
        <v>708983.235</v>
      </c>
      <c r="M5373" s="15" t="n">
        <v>0.59</v>
      </c>
      <c r="N5373" s="9" t="s">
        <v>85</v>
      </c>
    </row>
    <row r="5374" customFormat="false" ht="14.25" hidden="false" customHeight="true" outlineLevel="0" collapsed="false">
      <c r="B5374" s="9" t="s">
        <v>32</v>
      </c>
      <c r="C5374" s="9" t="n">
        <v>1185732</v>
      </c>
      <c r="D5374" s="10" t="n">
        <v>44447</v>
      </c>
      <c r="E5374" s="9" t="s">
        <v>17</v>
      </c>
      <c r="F5374" s="9" t="s">
        <v>18</v>
      </c>
      <c r="G5374" s="9" t="s">
        <v>71</v>
      </c>
      <c r="H5374" s="11" t="s">
        <v>21</v>
      </c>
      <c r="I5374" s="12" t="n">
        <v>48</v>
      </c>
      <c r="J5374" s="13" t="n">
        <v>163</v>
      </c>
      <c r="K5374" s="14" t="n">
        <f aca="false">I5374*J5374</f>
        <v>7824</v>
      </c>
      <c r="L5374" s="14" t="n">
        <f aca="false">($L$2*M5374)/100</f>
        <v>540749.925</v>
      </c>
      <c r="M5374" s="15" t="n">
        <v>0.45</v>
      </c>
      <c r="N5374" s="9" t="s">
        <v>85</v>
      </c>
    </row>
    <row r="5375" customFormat="false" ht="14.25" hidden="false" customHeight="true" outlineLevel="0" collapsed="false">
      <c r="B5375" s="9" t="s">
        <v>32</v>
      </c>
      <c r="C5375" s="9" t="n">
        <v>1185732</v>
      </c>
      <c r="D5375" s="10" t="n">
        <v>44447</v>
      </c>
      <c r="E5375" s="9" t="s">
        <v>17</v>
      </c>
      <c r="F5375" s="9" t="s">
        <v>18</v>
      </c>
      <c r="G5375" s="9" t="s">
        <v>71</v>
      </c>
      <c r="H5375" s="11" t="s">
        <v>22</v>
      </c>
      <c r="I5375" s="12" t="n">
        <v>41</v>
      </c>
      <c r="J5375" s="13" t="n">
        <v>138</v>
      </c>
      <c r="K5375" s="14" t="n">
        <f aca="false">I5375*J5375</f>
        <v>5658</v>
      </c>
      <c r="L5375" s="14" t="n">
        <f aca="false">($L$2*M5375)/100</f>
        <v>420583.275</v>
      </c>
      <c r="M5375" s="15" t="n">
        <v>0.35</v>
      </c>
      <c r="N5375" s="9" t="s">
        <v>85</v>
      </c>
    </row>
    <row r="5376" customFormat="false" ht="14.25" hidden="false" customHeight="true" outlineLevel="0" collapsed="false">
      <c r="B5376" s="9" t="s">
        <v>32</v>
      </c>
      <c r="C5376" s="9" t="n">
        <v>1185732</v>
      </c>
      <c r="D5376" s="10" t="n">
        <v>44447</v>
      </c>
      <c r="E5376" s="9" t="s">
        <v>17</v>
      </c>
      <c r="F5376" s="9" t="s">
        <v>18</v>
      </c>
      <c r="G5376" s="9" t="s">
        <v>71</v>
      </c>
      <c r="H5376" s="11" t="s">
        <v>23</v>
      </c>
      <c r="I5376" s="12" t="n">
        <v>44</v>
      </c>
      <c r="J5376" s="13" t="n">
        <v>137</v>
      </c>
      <c r="K5376" s="14" t="n">
        <f aca="false">I5376*J5376</f>
        <v>6028</v>
      </c>
      <c r="L5376" s="14" t="n">
        <f aca="false">($L$2*M5376)/100</f>
        <v>492683.265</v>
      </c>
      <c r="M5376" s="15" t="n">
        <v>0.41</v>
      </c>
      <c r="N5376" s="9" t="s">
        <v>85</v>
      </c>
    </row>
    <row r="5377" customFormat="false" ht="14.25" hidden="false" customHeight="true" outlineLevel="0" collapsed="false">
      <c r="B5377" s="9" t="s">
        <v>32</v>
      </c>
      <c r="C5377" s="9" t="n">
        <v>1185732</v>
      </c>
      <c r="D5377" s="10" t="n">
        <v>44447</v>
      </c>
      <c r="E5377" s="9" t="s">
        <v>17</v>
      </c>
      <c r="F5377" s="9" t="s">
        <v>18</v>
      </c>
      <c r="G5377" s="9" t="s">
        <v>71</v>
      </c>
      <c r="H5377" s="11" t="s">
        <v>24</v>
      </c>
      <c r="I5377" s="12" t="n">
        <v>51</v>
      </c>
      <c r="J5377" s="13" t="n">
        <v>131</v>
      </c>
      <c r="K5377" s="14" t="n">
        <f aca="false">I5377*J5377</f>
        <v>6681</v>
      </c>
      <c r="L5377" s="14" t="n">
        <f aca="false">($L$2*M5377)/100</f>
        <v>576799.92</v>
      </c>
      <c r="M5377" s="15" t="n">
        <v>0.48</v>
      </c>
      <c r="N5377" s="9" t="s">
        <v>85</v>
      </c>
    </row>
    <row r="5378" customFormat="false" ht="14.25" hidden="false" customHeight="true" outlineLevel="0" collapsed="false">
      <c r="B5378" s="9" t="s">
        <v>32</v>
      </c>
      <c r="C5378" s="9" t="n">
        <v>1185732</v>
      </c>
      <c r="D5378" s="10" t="n">
        <v>44447</v>
      </c>
      <c r="E5378" s="9" t="s">
        <v>17</v>
      </c>
      <c r="F5378" s="9" t="s">
        <v>18</v>
      </c>
      <c r="G5378" s="9" t="s">
        <v>71</v>
      </c>
      <c r="H5378" s="11" t="s">
        <v>25</v>
      </c>
      <c r="I5378" s="12" t="n">
        <v>59</v>
      </c>
      <c r="J5378" s="13" t="n">
        <v>156</v>
      </c>
      <c r="K5378" s="14" t="n">
        <f aca="false">I5378*J5378</f>
        <v>9204</v>
      </c>
      <c r="L5378" s="14" t="n">
        <f aca="false">($L$2*M5378)/100</f>
        <v>720999.9</v>
      </c>
      <c r="M5378" s="15" t="n">
        <v>0.6</v>
      </c>
      <c r="N5378" s="9" t="s">
        <v>85</v>
      </c>
    </row>
    <row r="5379" customFormat="false" ht="14.25" hidden="false" customHeight="true" outlineLevel="0" collapsed="false">
      <c r="B5379" s="9" t="s">
        <v>32</v>
      </c>
      <c r="C5379" s="9" t="n">
        <v>1185732</v>
      </c>
      <c r="D5379" s="10" t="n">
        <v>44479</v>
      </c>
      <c r="E5379" s="9" t="s">
        <v>17</v>
      </c>
      <c r="F5379" s="9" t="s">
        <v>18</v>
      </c>
      <c r="G5379" s="9" t="s">
        <v>71</v>
      </c>
      <c r="H5379" s="11" t="s">
        <v>19</v>
      </c>
      <c r="I5379" s="12" t="n">
        <v>57</v>
      </c>
      <c r="J5379" s="13" t="n">
        <v>208</v>
      </c>
      <c r="K5379" s="14" t="n">
        <f aca="false">I5379*J5379</f>
        <v>11856</v>
      </c>
      <c r="L5379" s="14" t="n">
        <f aca="false">($L$2*M5379)/100</f>
        <v>684949.905</v>
      </c>
      <c r="M5379" s="15" t="n">
        <v>0.57</v>
      </c>
      <c r="N5379" s="9" t="s">
        <v>85</v>
      </c>
    </row>
    <row r="5380" customFormat="false" ht="14.25" hidden="false" customHeight="true" outlineLevel="0" collapsed="false">
      <c r="B5380" s="9" t="s">
        <v>32</v>
      </c>
      <c r="C5380" s="9" t="n">
        <v>1185732</v>
      </c>
      <c r="D5380" s="10" t="n">
        <v>44479</v>
      </c>
      <c r="E5380" s="9" t="s">
        <v>17</v>
      </c>
      <c r="F5380" s="9" t="s">
        <v>18</v>
      </c>
      <c r="G5380" s="9" t="s">
        <v>71</v>
      </c>
      <c r="H5380" s="11" t="s">
        <v>21</v>
      </c>
      <c r="I5380" s="12" t="n">
        <v>46</v>
      </c>
      <c r="J5380" s="13" t="n">
        <v>156</v>
      </c>
      <c r="K5380" s="14" t="n">
        <f aca="false">I5380*J5380</f>
        <v>7176</v>
      </c>
      <c r="L5380" s="14" t="n">
        <f aca="false">($L$2*M5380)/100</f>
        <v>552766.59</v>
      </c>
      <c r="M5380" s="15" t="n">
        <v>0.46</v>
      </c>
      <c r="N5380" s="9" t="s">
        <v>85</v>
      </c>
    </row>
    <row r="5381" customFormat="false" ht="14.25" hidden="false" customHeight="true" outlineLevel="0" collapsed="false">
      <c r="B5381" s="9" t="s">
        <v>32</v>
      </c>
      <c r="C5381" s="9" t="n">
        <v>1185732</v>
      </c>
      <c r="D5381" s="10" t="n">
        <v>44479</v>
      </c>
      <c r="E5381" s="9" t="s">
        <v>17</v>
      </c>
      <c r="F5381" s="9" t="s">
        <v>18</v>
      </c>
      <c r="G5381" s="9" t="s">
        <v>71</v>
      </c>
      <c r="H5381" s="11" t="s">
        <v>22</v>
      </c>
      <c r="I5381" s="12" t="n">
        <v>46</v>
      </c>
      <c r="J5381" s="13" t="n">
        <v>137</v>
      </c>
      <c r="K5381" s="14" t="n">
        <f aca="false">I5381*J5381</f>
        <v>6302</v>
      </c>
      <c r="L5381" s="14" t="n">
        <f aca="false">($L$2*M5381)/100</f>
        <v>480666.6</v>
      </c>
      <c r="M5381" s="15" t="n">
        <v>0.4</v>
      </c>
      <c r="N5381" s="9" t="s">
        <v>85</v>
      </c>
    </row>
    <row r="5382" customFormat="false" ht="14.25" hidden="false" customHeight="true" outlineLevel="0" collapsed="false">
      <c r="B5382" s="9" t="s">
        <v>32</v>
      </c>
      <c r="C5382" s="9" t="n">
        <v>1185732</v>
      </c>
      <c r="D5382" s="10" t="n">
        <v>44479</v>
      </c>
      <c r="E5382" s="9" t="s">
        <v>17</v>
      </c>
      <c r="F5382" s="9" t="s">
        <v>18</v>
      </c>
      <c r="G5382" s="9" t="s">
        <v>71</v>
      </c>
      <c r="H5382" s="11" t="s">
        <v>23</v>
      </c>
      <c r="I5382" s="12" t="n">
        <v>45</v>
      </c>
      <c r="J5382" s="13" t="n">
        <v>135</v>
      </c>
      <c r="K5382" s="14" t="n">
        <f aca="false">I5382*J5382</f>
        <v>6075</v>
      </c>
      <c r="L5382" s="14" t="n">
        <f aca="false">($L$2*M5382)/100</f>
        <v>492683.265</v>
      </c>
      <c r="M5382" s="15" t="n">
        <v>0.41</v>
      </c>
      <c r="N5382" s="9" t="s">
        <v>85</v>
      </c>
    </row>
    <row r="5383" customFormat="false" ht="14.25" hidden="false" customHeight="true" outlineLevel="0" collapsed="false">
      <c r="B5383" s="9" t="s">
        <v>32</v>
      </c>
      <c r="C5383" s="9" t="n">
        <v>1185732</v>
      </c>
      <c r="D5383" s="10" t="n">
        <v>44479</v>
      </c>
      <c r="E5383" s="9" t="s">
        <v>17</v>
      </c>
      <c r="F5383" s="9" t="s">
        <v>18</v>
      </c>
      <c r="G5383" s="9" t="s">
        <v>71</v>
      </c>
      <c r="H5383" s="11" t="s">
        <v>24</v>
      </c>
      <c r="I5383" s="12" t="n">
        <v>59</v>
      </c>
      <c r="J5383" s="13" t="n">
        <v>150</v>
      </c>
      <c r="K5383" s="14" t="n">
        <f aca="false">I5383*J5383</f>
        <v>8850</v>
      </c>
      <c r="L5383" s="14" t="n">
        <f aca="false">($L$2*M5383)/100</f>
        <v>564783.255</v>
      </c>
      <c r="M5383" s="15" t="n">
        <v>0.47</v>
      </c>
      <c r="N5383" s="9" t="s">
        <v>85</v>
      </c>
    </row>
    <row r="5384" customFormat="false" ht="14.25" hidden="false" customHeight="true" outlineLevel="0" collapsed="false">
      <c r="B5384" s="9" t="s">
        <v>32</v>
      </c>
      <c r="C5384" s="9" t="n">
        <v>1185732</v>
      </c>
      <c r="D5384" s="10" t="n">
        <v>44479</v>
      </c>
      <c r="E5384" s="9" t="s">
        <v>17</v>
      </c>
      <c r="F5384" s="9" t="s">
        <v>18</v>
      </c>
      <c r="G5384" s="9" t="s">
        <v>71</v>
      </c>
      <c r="H5384" s="11" t="s">
        <v>25</v>
      </c>
      <c r="I5384" s="12" t="n">
        <v>64</v>
      </c>
      <c r="J5384" s="13" t="n">
        <v>156</v>
      </c>
      <c r="K5384" s="14" t="n">
        <f aca="false">I5384*J5384</f>
        <v>9984</v>
      </c>
      <c r="L5384" s="14" t="n">
        <f aca="false">($L$2*M5384)/100</f>
        <v>745033.23</v>
      </c>
      <c r="M5384" s="15" t="n">
        <v>0.62</v>
      </c>
      <c r="N5384" s="9" t="s">
        <v>85</v>
      </c>
    </row>
    <row r="5385" customFormat="false" ht="14.25" hidden="false" customHeight="true" outlineLevel="0" collapsed="false">
      <c r="B5385" s="9" t="s">
        <v>32</v>
      </c>
      <c r="C5385" s="9" t="n">
        <v>1185732</v>
      </c>
      <c r="D5385" s="10" t="n">
        <v>44509</v>
      </c>
      <c r="E5385" s="9" t="s">
        <v>17</v>
      </c>
      <c r="F5385" s="9" t="s">
        <v>18</v>
      </c>
      <c r="G5385" s="9" t="s">
        <v>71</v>
      </c>
      <c r="H5385" s="11" t="s">
        <v>19</v>
      </c>
      <c r="I5385" s="12" t="n">
        <v>56</v>
      </c>
      <c r="J5385" s="13" t="n">
        <v>217</v>
      </c>
      <c r="K5385" s="14" t="n">
        <f aca="false">I5385*J5385</f>
        <v>12152</v>
      </c>
      <c r="L5385" s="14" t="n">
        <f aca="false">($L$2*M5385)/100</f>
        <v>660916.575</v>
      </c>
      <c r="M5385" s="15" t="n">
        <v>0.55</v>
      </c>
      <c r="N5385" s="9" t="s">
        <v>85</v>
      </c>
    </row>
    <row r="5386" customFormat="false" ht="14.25" hidden="false" customHeight="true" outlineLevel="0" collapsed="false">
      <c r="B5386" s="9" t="s">
        <v>32</v>
      </c>
      <c r="C5386" s="9" t="n">
        <v>1185732</v>
      </c>
      <c r="D5386" s="10" t="n">
        <v>44509</v>
      </c>
      <c r="E5386" s="9" t="s">
        <v>17</v>
      </c>
      <c r="F5386" s="9" t="s">
        <v>18</v>
      </c>
      <c r="G5386" s="9" t="s">
        <v>71</v>
      </c>
      <c r="H5386" s="11" t="s">
        <v>21</v>
      </c>
      <c r="I5386" s="12" t="n">
        <v>49</v>
      </c>
      <c r="J5386" s="13" t="n">
        <v>162</v>
      </c>
      <c r="K5386" s="14" t="n">
        <f aca="false">I5386*J5386</f>
        <v>7938</v>
      </c>
      <c r="L5386" s="14" t="n">
        <f aca="false">($L$2*M5386)/100</f>
        <v>588816.585</v>
      </c>
      <c r="M5386" s="15" t="n">
        <v>0.49</v>
      </c>
      <c r="N5386" s="9" t="s">
        <v>85</v>
      </c>
    </row>
    <row r="5387" customFormat="false" ht="14.25" hidden="false" customHeight="true" outlineLevel="0" collapsed="false">
      <c r="B5387" s="9" t="s">
        <v>32</v>
      </c>
      <c r="C5387" s="9" t="n">
        <v>1185732</v>
      </c>
      <c r="D5387" s="10" t="n">
        <v>44509</v>
      </c>
      <c r="E5387" s="9" t="s">
        <v>17</v>
      </c>
      <c r="F5387" s="9" t="s">
        <v>18</v>
      </c>
      <c r="G5387" s="9" t="s">
        <v>71</v>
      </c>
      <c r="H5387" s="11" t="s">
        <v>22</v>
      </c>
      <c r="I5387" s="12" t="n">
        <v>45</v>
      </c>
      <c r="J5387" s="13" t="n">
        <v>147</v>
      </c>
      <c r="K5387" s="14" t="n">
        <f aca="false">I5387*J5387</f>
        <v>6615</v>
      </c>
      <c r="L5387" s="14" t="n">
        <f aca="false">($L$2*M5387)/100</f>
        <v>432599.94</v>
      </c>
      <c r="M5387" s="15" t="n">
        <v>0.36</v>
      </c>
      <c r="N5387" s="9" t="s">
        <v>85</v>
      </c>
    </row>
    <row r="5388" customFormat="false" ht="14.25" hidden="false" customHeight="true" outlineLevel="0" collapsed="false">
      <c r="B5388" s="9" t="s">
        <v>32</v>
      </c>
      <c r="C5388" s="9" t="n">
        <v>1185732</v>
      </c>
      <c r="D5388" s="10" t="n">
        <v>44509</v>
      </c>
      <c r="E5388" s="9" t="s">
        <v>17</v>
      </c>
      <c r="F5388" s="9" t="s">
        <v>18</v>
      </c>
      <c r="G5388" s="9" t="s">
        <v>71</v>
      </c>
      <c r="H5388" s="11" t="s">
        <v>23</v>
      </c>
      <c r="I5388" s="12" t="n">
        <v>47</v>
      </c>
      <c r="J5388" s="13" t="n">
        <v>144</v>
      </c>
      <c r="K5388" s="14" t="n">
        <f aca="false">I5388*J5388</f>
        <v>6768</v>
      </c>
      <c r="L5388" s="14" t="n">
        <f aca="false">($L$2*M5388)/100</f>
        <v>480666.6</v>
      </c>
      <c r="M5388" s="15" t="n">
        <v>0.4</v>
      </c>
      <c r="N5388" s="9" t="s">
        <v>85</v>
      </c>
    </row>
    <row r="5389" customFormat="false" ht="14.25" hidden="false" customHeight="true" outlineLevel="0" collapsed="false">
      <c r="B5389" s="9" t="s">
        <v>32</v>
      </c>
      <c r="C5389" s="9" t="n">
        <v>1185732</v>
      </c>
      <c r="D5389" s="10" t="n">
        <v>44509</v>
      </c>
      <c r="E5389" s="9" t="s">
        <v>17</v>
      </c>
      <c r="F5389" s="9" t="s">
        <v>18</v>
      </c>
      <c r="G5389" s="9" t="s">
        <v>71</v>
      </c>
      <c r="H5389" s="11" t="s">
        <v>24</v>
      </c>
      <c r="I5389" s="12" t="n">
        <v>62</v>
      </c>
      <c r="J5389" s="13" t="n">
        <v>154</v>
      </c>
      <c r="K5389" s="14" t="n">
        <f aca="false">I5389*J5389</f>
        <v>9548</v>
      </c>
      <c r="L5389" s="14" t="n">
        <f aca="false">($L$2*M5389)/100</f>
        <v>540749.925</v>
      </c>
      <c r="M5389" s="15" t="n">
        <v>0.45</v>
      </c>
      <c r="N5389" s="9" t="s">
        <v>85</v>
      </c>
    </row>
    <row r="5390" customFormat="false" ht="14.25" hidden="false" customHeight="true" outlineLevel="0" collapsed="false">
      <c r="B5390" s="9" t="s">
        <v>32</v>
      </c>
      <c r="C5390" s="9" t="n">
        <v>1185732</v>
      </c>
      <c r="D5390" s="10" t="n">
        <v>44509</v>
      </c>
      <c r="E5390" s="9" t="s">
        <v>17</v>
      </c>
      <c r="F5390" s="9" t="s">
        <v>18</v>
      </c>
      <c r="G5390" s="9" t="s">
        <v>71</v>
      </c>
      <c r="H5390" s="11" t="s">
        <v>25</v>
      </c>
      <c r="I5390" s="12" t="n">
        <v>68</v>
      </c>
      <c r="J5390" s="13" t="n">
        <v>176</v>
      </c>
      <c r="K5390" s="14" t="n">
        <f aca="false">I5390*J5390</f>
        <v>11968</v>
      </c>
      <c r="L5390" s="14" t="n">
        <f aca="false">($L$2*M5390)/100</f>
        <v>769066.56</v>
      </c>
      <c r="M5390" s="15" t="n">
        <v>0.64</v>
      </c>
      <c r="N5390" s="9" t="s">
        <v>85</v>
      </c>
    </row>
    <row r="5391" customFormat="false" ht="14.25" hidden="false" customHeight="true" outlineLevel="0" collapsed="false">
      <c r="B5391" s="9" t="s">
        <v>32</v>
      </c>
      <c r="C5391" s="9" t="n">
        <v>1185732</v>
      </c>
      <c r="D5391" s="10" t="n">
        <v>44538</v>
      </c>
      <c r="E5391" s="9" t="s">
        <v>17</v>
      </c>
      <c r="F5391" s="9" t="s">
        <v>18</v>
      </c>
      <c r="G5391" s="9" t="s">
        <v>71</v>
      </c>
      <c r="H5391" s="11" t="s">
        <v>19</v>
      </c>
      <c r="I5391" s="12" t="n">
        <v>59</v>
      </c>
      <c r="J5391" s="13" t="n">
        <v>245</v>
      </c>
      <c r="K5391" s="14" t="n">
        <f aca="false">I5391*J5391</f>
        <v>14455</v>
      </c>
      <c r="L5391" s="14" t="n">
        <f aca="false">($L$2*M5391)/100</f>
        <v>696966.57</v>
      </c>
      <c r="M5391" s="15" t="n">
        <v>0.58</v>
      </c>
      <c r="N5391" s="9" t="s">
        <v>85</v>
      </c>
    </row>
    <row r="5392" customFormat="false" ht="14.25" hidden="false" customHeight="true" outlineLevel="0" collapsed="false">
      <c r="B5392" s="9" t="s">
        <v>32</v>
      </c>
      <c r="C5392" s="9" t="n">
        <v>1185732</v>
      </c>
      <c r="D5392" s="10" t="n">
        <v>44538</v>
      </c>
      <c r="E5392" s="9" t="s">
        <v>17</v>
      </c>
      <c r="F5392" s="9" t="s">
        <v>18</v>
      </c>
      <c r="G5392" s="9" t="s">
        <v>71</v>
      </c>
      <c r="H5392" s="11" t="s">
        <v>21</v>
      </c>
      <c r="I5392" s="12" t="n">
        <v>51</v>
      </c>
      <c r="J5392" s="13" t="n">
        <v>169</v>
      </c>
      <c r="K5392" s="14" t="n">
        <f aca="false">I5392*J5392</f>
        <v>8619</v>
      </c>
      <c r="L5392" s="14" t="n">
        <f aca="false">($L$2*M5392)/100</f>
        <v>600833.25</v>
      </c>
      <c r="M5392" s="15" t="n">
        <v>0.5</v>
      </c>
      <c r="N5392" s="9" t="s">
        <v>85</v>
      </c>
    </row>
    <row r="5393" customFormat="false" ht="14.25" hidden="false" customHeight="true" outlineLevel="0" collapsed="false">
      <c r="B5393" s="9" t="s">
        <v>36</v>
      </c>
      <c r="C5393" s="9" t="n">
        <v>1185732</v>
      </c>
      <c r="D5393" s="10" t="n">
        <v>44538</v>
      </c>
      <c r="E5393" s="9" t="s">
        <v>17</v>
      </c>
      <c r="F5393" s="9" t="s">
        <v>18</v>
      </c>
      <c r="G5393" s="9" t="s">
        <v>71</v>
      </c>
      <c r="H5393" s="11" t="s">
        <v>22</v>
      </c>
      <c r="I5393" s="12" t="n">
        <v>52</v>
      </c>
      <c r="J5393" s="13" t="n">
        <v>163</v>
      </c>
      <c r="K5393" s="14" t="n">
        <f aca="false">I5393*J5393</f>
        <v>8476</v>
      </c>
      <c r="L5393" s="14" t="n">
        <f aca="false">($L$2*M5393)/100</f>
        <v>468649.935</v>
      </c>
      <c r="M5393" s="15" t="n">
        <v>0.39</v>
      </c>
      <c r="N5393" s="9" t="s">
        <v>85</v>
      </c>
    </row>
    <row r="5394" customFormat="false" ht="14.25" hidden="false" customHeight="true" outlineLevel="0" collapsed="false">
      <c r="B5394" s="9" t="s">
        <v>36</v>
      </c>
      <c r="C5394" s="9" t="n">
        <v>1185732</v>
      </c>
      <c r="D5394" s="10" t="n">
        <v>44538</v>
      </c>
      <c r="E5394" s="9" t="s">
        <v>17</v>
      </c>
      <c r="F5394" s="9" t="s">
        <v>18</v>
      </c>
      <c r="G5394" s="9" t="s">
        <v>71</v>
      </c>
      <c r="H5394" s="11" t="s">
        <v>23</v>
      </c>
      <c r="I5394" s="12" t="n">
        <v>54</v>
      </c>
      <c r="J5394" s="13" t="n">
        <v>155</v>
      </c>
      <c r="K5394" s="14" t="n">
        <f aca="false">I5394*J5394</f>
        <v>8370</v>
      </c>
      <c r="L5394" s="14" t="n">
        <f aca="false">($L$2*M5394)/100</f>
        <v>492683.265</v>
      </c>
      <c r="M5394" s="15" t="n">
        <v>0.41</v>
      </c>
      <c r="N5394" s="9" t="s">
        <v>85</v>
      </c>
    </row>
    <row r="5395" customFormat="false" ht="14.25" hidden="false" customHeight="true" outlineLevel="0" collapsed="false">
      <c r="B5395" s="9" t="s">
        <v>36</v>
      </c>
      <c r="C5395" s="9" t="n">
        <v>1185732</v>
      </c>
      <c r="D5395" s="10" t="n">
        <v>44538</v>
      </c>
      <c r="E5395" s="9" t="s">
        <v>17</v>
      </c>
      <c r="F5395" s="9" t="s">
        <v>18</v>
      </c>
      <c r="G5395" s="9" t="s">
        <v>71</v>
      </c>
      <c r="H5395" s="11" t="s">
        <v>24</v>
      </c>
      <c r="I5395" s="12" t="n">
        <v>60</v>
      </c>
      <c r="J5395" s="13" t="n">
        <v>155</v>
      </c>
      <c r="K5395" s="14" t="n">
        <f aca="false">I5395*J5395</f>
        <v>9300</v>
      </c>
      <c r="L5395" s="14" t="n">
        <f aca="false">($L$2*M5395)/100</f>
        <v>552766.59</v>
      </c>
      <c r="M5395" s="15" t="n">
        <v>0.46</v>
      </c>
      <c r="N5395" s="9" t="s">
        <v>85</v>
      </c>
    </row>
    <row r="5396" customFormat="false" ht="14.25" hidden="false" customHeight="true" outlineLevel="0" collapsed="false">
      <c r="B5396" s="9" t="s">
        <v>36</v>
      </c>
      <c r="C5396" s="9" t="n">
        <v>1185732</v>
      </c>
      <c r="D5396" s="10" t="n">
        <v>44538</v>
      </c>
      <c r="E5396" s="9" t="s">
        <v>17</v>
      </c>
      <c r="F5396" s="9" t="s">
        <v>18</v>
      </c>
      <c r="G5396" s="9" t="s">
        <v>71</v>
      </c>
      <c r="H5396" s="11" t="s">
        <v>25</v>
      </c>
      <c r="I5396" s="12" t="n">
        <v>69</v>
      </c>
      <c r="J5396" s="13" t="n">
        <v>182</v>
      </c>
      <c r="K5396" s="14" t="n">
        <f aca="false">I5396*J5396</f>
        <v>12558</v>
      </c>
      <c r="L5396" s="14" t="n">
        <f aca="false">($L$2*M5396)/100</f>
        <v>769066.56</v>
      </c>
      <c r="M5396" s="15" t="n">
        <v>0.64</v>
      </c>
      <c r="N5396" s="9" t="s">
        <v>85</v>
      </c>
    </row>
    <row r="5397" customFormat="false" ht="14.25" hidden="false" customHeight="true" outlineLevel="0" collapsed="false">
      <c r="B5397" s="9" t="s">
        <v>36</v>
      </c>
      <c r="C5397" s="9" t="n">
        <v>1185732</v>
      </c>
      <c r="D5397" s="10" t="n">
        <v>44210</v>
      </c>
      <c r="E5397" s="9" t="s">
        <v>17</v>
      </c>
      <c r="F5397" s="9" t="s">
        <v>18</v>
      </c>
      <c r="G5397" s="9" t="s">
        <v>71</v>
      </c>
      <c r="H5397" s="11" t="s">
        <v>19</v>
      </c>
      <c r="I5397" s="12" t="n">
        <v>39</v>
      </c>
      <c r="J5397" s="13" t="n">
        <v>216</v>
      </c>
      <c r="K5397" s="14" t="n">
        <f aca="false">I5397*J5397</f>
        <v>8424</v>
      </c>
      <c r="L5397" s="14" t="n">
        <f aca="false">($L$2*M5397)/100</f>
        <v>757049.895</v>
      </c>
      <c r="M5397" s="15" t="n">
        <v>0.63</v>
      </c>
      <c r="N5397" s="9" t="s">
        <v>85</v>
      </c>
    </row>
    <row r="5398" customFormat="false" ht="14.25" hidden="false" customHeight="true" outlineLevel="0" collapsed="false">
      <c r="B5398" s="9" t="s">
        <v>36</v>
      </c>
      <c r="C5398" s="9" t="n">
        <v>1185732</v>
      </c>
      <c r="D5398" s="10" t="n">
        <v>44210</v>
      </c>
      <c r="E5398" s="9" t="s">
        <v>17</v>
      </c>
      <c r="F5398" s="9" t="s">
        <v>18</v>
      </c>
      <c r="G5398" s="9" t="s">
        <v>71</v>
      </c>
      <c r="H5398" s="11" t="s">
        <v>21</v>
      </c>
      <c r="I5398" s="12" t="n">
        <v>39</v>
      </c>
      <c r="J5398" s="13" t="n">
        <v>156</v>
      </c>
      <c r="K5398" s="14" t="n">
        <f aca="false">I5398*J5398</f>
        <v>6084</v>
      </c>
      <c r="L5398" s="14" t="n">
        <f aca="false">($L$2*M5398)/100</f>
        <v>540749.925</v>
      </c>
      <c r="M5398" s="15" t="n">
        <v>0.45</v>
      </c>
      <c r="N5398" s="9" t="s">
        <v>85</v>
      </c>
    </row>
    <row r="5399" customFormat="false" ht="14.25" hidden="false" customHeight="true" outlineLevel="0" collapsed="false">
      <c r="B5399" s="9" t="s">
        <v>36</v>
      </c>
      <c r="C5399" s="9" t="n">
        <v>1185732</v>
      </c>
      <c r="D5399" s="10" t="n">
        <v>44210</v>
      </c>
      <c r="E5399" s="9" t="s">
        <v>17</v>
      </c>
      <c r="F5399" s="9" t="s">
        <v>18</v>
      </c>
      <c r="G5399" s="9" t="s">
        <v>71</v>
      </c>
      <c r="H5399" s="11" t="s">
        <v>22</v>
      </c>
      <c r="I5399" s="12" t="n">
        <v>29</v>
      </c>
      <c r="J5399" s="13" t="n">
        <v>168</v>
      </c>
      <c r="K5399" s="14" t="n">
        <f aca="false">I5399*J5399</f>
        <v>4872</v>
      </c>
      <c r="L5399" s="14" t="n">
        <f aca="false">($L$2*M5399)/100</f>
        <v>576799.92</v>
      </c>
      <c r="M5399" s="15" t="n">
        <v>0.48</v>
      </c>
      <c r="N5399" s="9" t="s">
        <v>85</v>
      </c>
    </row>
    <row r="5400" customFormat="false" ht="14.25" hidden="false" customHeight="true" outlineLevel="0" collapsed="false">
      <c r="B5400" s="9" t="s">
        <v>36</v>
      </c>
      <c r="C5400" s="9" t="n">
        <v>1185732</v>
      </c>
      <c r="D5400" s="10" t="n">
        <v>44210</v>
      </c>
      <c r="E5400" s="9" t="s">
        <v>17</v>
      </c>
      <c r="F5400" s="9" t="s">
        <v>18</v>
      </c>
      <c r="G5400" s="9" t="s">
        <v>71</v>
      </c>
      <c r="H5400" s="11" t="s">
        <v>23</v>
      </c>
      <c r="I5400" s="12" t="n">
        <v>34</v>
      </c>
      <c r="J5400" s="13" t="n">
        <v>131</v>
      </c>
      <c r="K5400" s="14" t="n">
        <f aca="false">I5400*J5400</f>
        <v>4454</v>
      </c>
      <c r="L5400" s="14" t="n">
        <f aca="false">($L$2*M5400)/100</f>
        <v>564783.255</v>
      </c>
      <c r="M5400" s="15" t="n">
        <v>0.47</v>
      </c>
      <c r="N5400" s="9" t="s">
        <v>85</v>
      </c>
    </row>
    <row r="5401" customFormat="false" ht="14.25" hidden="false" customHeight="true" outlineLevel="0" collapsed="false">
      <c r="B5401" s="9" t="s">
        <v>36</v>
      </c>
      <c r="C5401" s="9" t="n">
        <v>1185732</v>
      </c>
      <c r="D5401" s="10" t="n">
        <v>44210</v>
      </c>
      <c r="E5401" s="9" t="s">
        <v>17</v>
      </c>
      <c r="F5401" s="9" t="s">
        <v>18</v>
      </c>
      <c r="G5401" s="9" t="s">
        <v>71</v>
      </c>
      <c r="H5401" s="11" t="s">
        <v>24</v>
      </c>
      <c r="I5401" s="12" t="n">
        <v>49</v>
      </c>
      <c r="J5401" s="13" t="n">
        <v>145</v>
      </c>
      <c r="K5401" s="14" t="n">
        <f aca="false">I5401*J5401</f>
        <v>7105</v>
      </c>
      <c r="L5401" s="14" t="n">
        <f aca="false">($L$2*M5401)/100</f>
        <v>540749.925</v>
      </c>
      <c r="M5401" s="15" t="n">
        <v>0.45</v>
      </c>
      <c r="N5401" s="9" t="s">
        <v>85</v>
      </c>
    </row>
    <row r="5402" customFormat="false" ht="14.25" hidden="false" customHeight="true" outlineLevel="0" collapsed="false">
      <c r="B5402" s="9" t="s">
        <v>36</v>
      </c>
      <c r="C5402" s="9" t="n">
        <v>1185732</v>
      </c>
      <c r="D5402" s="10" t="n">
        <v>44210</v>
      </c>
      <c r="E5402" s="9" t="s">
        <v>17</v>
      </c>
      <c r="F5402" s="9" t="s">
        <v>18</v>
      </c>
      <c r="G5402" s="9" t="s">
        <v>71</v>
      </c>
      <c r="H5402" s="11" t="s">
        <v>25</v>
      </c>
      <c r="I5402" s="12" t="n">
        <v>38</v>
      </c>
      <c r="J5402" s="13" t="n">
        <v>156</v>
      </c>
      <c r="K5402" s="14" t="n">
        <f aca="false">I5402*J5402</f>
        <v>5928</v>
      </c>
      <c r="L5402" s="14" t="n">
        <f aca="false">($L$2*M5402)/100</f>
        <v>480666.6</v>
      </c>
      <c r="M5402" s="15" t="n">
        <v>0.4</v>
      </c>
      <c r="N5402" s="9" t="s">
        <v>85</v>
      </c>
    </row>
    <row r="5403" customFormat="false" ht="14.25" hidden="false" customHeight="true" outlineLevel="0" collapsed="false">
      <c r="B5403" s="9" t="s">
        <v>36</v>
      </c>
      <c r="C5403" s="9" t="n">
        <v>1185732</v>
      </c>
      <c r="D5403" s="10" t="n">
        <v>44239</v>
      </c>
      <c r="E5403" s="9" t="s">
        <v>17</v>
      </c>
      <c r="F5403" s="9" t="s">
        <v>18</v>
      </c>
      <c r="G5403" s="9" t="s">
        <v>71</v>
      </c>
      <c r="H5403" s="11" t="s">
        <v>19</v>
      </c>
      <c r="I5403" s="12" t="n">
        <v>37</v>
      </c>
      <c r="J5403" s="13" t="n">
        <v>238</v>
      </c>
      <c r="K5403" s="14" t="n">
        <f aca="false">I5403*J5403</f>
        <v>8806</v>
      </c>
      <c r="L5403" s="14" t="n">
        <f aca="false">($L$2*M5403)/100</f>
        <v>733016.565</v>
      </c>
      <c r="M5403" s="15" t="n">
        <v>0.61</v>
      </c>
      <c r="N5403" s="9" t="s">
        <v>85</v>
      </c>
    </row>
    <row r="5404" customFormat="false" ht="14.25" hidden="false" customHeight="true" outlineLevel="0" collapsed="false">
      <c r="B5404" s="9" t="s">
        <v>36</v>
      </c>
      <c r="C5404" s="9" t="n">
        <v>1185732</v>
      </c>
      <c r="D5404" s="10" t="n">
        <v>44239</v>
      </c>
      <c r="E5404" s="9" t="s">
        <v>17</v>
      </c>
      <c r="F5404" s="9" t="s">
        <v>18</v>
      </c>
      <c r="G5404" s="9" t="s">
        <v>71</v>
      </c>
      <c r="H5404" s="11" t="s">
        <v>21</v>
      </c>
      <c r="I5404" s="12" t="n">
        <v>37</v>
      </c>
      <c r="J5404" s="13" t="n">
        <v>145</v>
      </c>
      <c r="K5404" s="14" t="n">
        <f aca="false">I5404*J5404</f>
        <v>5365</v>
      </c>
      <c r="L5404" s="14" t="n">
        <f aca="false">($L$2*M5404)/100</f>
        <v>492683.265</v>
      </c>
      <c r="M5404" s="15" t="n">
        <v>0.41</v>
      </c>
      <c r="N5404" s="9" t="s">
        <v>85</v>
      </c>
    </row>
    <row r="5405" customFormat="false" ht="14.25" hidden="false" customHeight="true" outlineLevel="0" collapsed="false">
      <c r="B5405" s="9" t="s">
        <v>36</v>
      </c>
      <c r="C5405" s="9" t="n">
        <v>1185732</v>
      </c>
      <c r="D5405" s="10" t="n">
        <v>44239</v>
      </c>
      <c r="E5405" s="9" t="s">
        <v>17</v>
      </c>
      <c r="F5405" s="9" t="s">
        <v>18</v>
      </c>
      <c r="G5405" s="9" t="s">
        <v>71</v>
      </c>
      <c r="H5405" s="11" t="s">
        <v>22</v>
      </c>
      <c r="I5405" s="12" t="n">
        <v>29</v>
      </c>
      <c r="J5405" s="13" t="n">
        <v>143</v>
      </c>
      <c r="K5405" s="14" t="n">
        <f aca="false">I5405*J5405</f>
        <v>4147</v>
      </c>
      <c r="L5405" s="14" t="n">
        <f aca="false">($L$2*M5405)/100</f>
        <v>588816.585</v>
      </c>
      <c r="M5405" s="15" t="n">
        <v>0.49</v>
      </c>
      <c r="N5405" s="9" t="s">
        <v>85</v>
      </c>
    </row>
    <row r="5406" customFormat="false" ht="14.25" hidden="false" customHeight="true" outlineLevel="0" collapsed="false">
      <c r="B5406" s="9" t="s">
        <v>36</v>
      </c>
      <c r="C5406" s="9" t="n">
        <v>1185732</v>
      </c>
      <c r="D5406" s="10" t="n">
        <v>44239</v>
      </c>
      <c r="E5406" s="9" t="s">
        <v>33</v>
      </c>
      <c r="F5406" s="9" t="s">
        <v>72</v>
      </c>
      <c r="G5406" s="9" t="s">
        <v>73</v>
      </c>
      <c r="H5406" s="11" t="s">
        <v>23</v>
      </c>
      <c r="I5406" s="12" t="n">
        <v>32</v>
      </c>
      <c r="J5406" s="13" t="n">
        <v>123</v>
      </c>
      <c r="K5406" s="14" t="n">
        <f aca="false">I5406*J5406</f>
        <v>3936</v>
      </c>
      <c r="L5406" s="14" t="n">
        <f aca="false">($L$2*M5406)/100</f>
        <v>576799.92</v>
      </c>
      <c r="M5406" s="15" t="n">
        <v>0.48</v>
      </c>
      <c r="N5406" s="9" t="s">
        <v>85</v>
      </c>
    </row>
    <row r="5407" customFormat="false" ht="14.25" hidden="false" customHeight="true" outlineLevel="0" collapsed="false">
      <c r="B5407" s="9" t="s">
        <v>36</v>
      </c>
      <c r="C5407" s="9" t="n">
        <v>1185732</v>
      </c>
      <c r="D5407" s="10" t="n">
        <v>44239</v>
      </c>
      <c r="E5407" s="9" t="s">
        <v>33</v>
      </c>
      <c r="F5407" s="9" t="s">
        <v>72</v>
      </c>
      <c r="G5407" s="9" t="s">
        <v>73</v>
      </c>
      <c r="H5407" s="11" t="s">
        <v>24</v>
      </c>
      <c r="I5407" s="12" t="n">
        <v>47</v>
      </c>
      <c r="J5407" s="13" t="n">
        <v>145</v>
      </c>
      <c r="K5407" s="14" t="n">
        <f aca="false">I5407*J5407</f>
        <v>6815</v>
      </c>
      <c r="L5407" s="14" t="n">
        <f aca="false">($L$2*M5407)/100</f>
        <v>492683.265</v>
      </c>
      <c r="M5407" s="15" t="n">
        <v>0.41</v>
      </c>
      <c r="N5407" s="9" t="s">
        <v>85</v>
      </c>
    </row>
    <row r="5408" customFormat="false" ht="14.25" hidden="false" customHeight="true" outlineLevel="0" collapsed="false">
      <c r="B5408" s="9" t="s">
        <v>36</v>
      </c>
      <c r="C5408" s="9" t="n">
        <v>1185732</v>
      </c>
      <c r="D5408" s="10" t="n">
        <v>44239</v>
      </c>
      <c r="E5408" s="9" t="s">
        <v>33</v>
      </c>
      <c r="F5408" s="9" t="s">
        <v>72</v>
      </c>
      <c r="G5408" s="9" t="s">
        <v>73</v>
      </c>
      <c r="H5408" s="11" t="s">
        <v>25</v>
      </c>
      <c r="I5408" s="12" t="n">
        <v>38</v>
      </c>
      <c r="J5408" s="13" t="n">
        <v>174</v>
      </c>
      <c r="K5408" s="14" t="n">
        <f aca="false">I5408*J5408</f>
        <v>6612</v>
      </c>
      <c r="L5408" s="14" t="n">
        <f aca="false">($L$2*M5408)/100</f>
        <v>468649.935</v>
      </c>
      <c r="M5408" s="15" t="n">
        <v>0.39</v>
      </c>
      <c r="N5408" s="9" t="s">
        <v>85</v>
      </c>
    </row>
    <row r="5409" customFormat="false" ht="14.25" hidden="false" customHeight="true" outlineLevel="0" collapsed="false">
      <c r="B5409" s="9" t="s">
        <v>36</v>
      </c>
      <c r="C5409" s="9" t="n">
        <v>1185732</v>
      </c>
      <c r="D5409" s="10" t="n">
        <v>44265</v>
      </c>
      <c r="E5409" s="9" t="s">
        <v>33</v>
      </c>
      <c r="F5409" s="9" t="s">
        <v>72</v>
      </c>
      <c r="G5409" s="9" t="s">
        <v>73</v>
      </c>
      <c r="H5409" s="11" t="s">
        <v>19</v>
      </c>
      <c r="I5409" s="12" t="n">
        <v>38</v>
      </c>
      <c r="J5409" s="13" t="n">
        <v>246</v>
      </c>
      <c r="K5409" s="14" t="n">
        <f aca="false">I5409*J5409</f>
        <v>9348</v>
      </c>
      <c r="L5409" s="14" t="n">
        <f aca="false">($L$2*M5409)/100</f>
        <v>720999.9</v>
      </c>
      <c r="M5409" s="15" t="n">
        <v>0.6</v>
      </c>
      <c r="N5409" s="9" t="s">
        <v>85</v>
      </c>
    </row>
    <row r="5410" customFormat="false" ht="14.25" hidden="false" customHeight="true" outlineLevel="0" collapsed="false">
      <c r="B5410" s="9" t="s">
        <v>36</v>
      </c>
      <c r="C5410" s="9" t="n">
        <v>1185732</v>
      </c>
      <c r="D5410" s="10" t="n">
        <v>44265</v>
      </c>
      <c r="E5410" s="9" t="s">
        <v>33</v>
      </c>
      <c r="F5410" s="9" t="s">
        <v>72</v>
      </c>
      <c r="G5410" s="9" t="s">
        <v>73</v>
      </c>
      <c r="H5410" s="11" t="s">
        <v>21</v>
      </c>
      <c r="I5410" s="12" t="n">
        <v>37</v>
      </c>
      <c r="J5410" s="13" t="n">
        <v>131</v>
      </c>
      <c r="K5410" s="14" t="n">
        <f aca="false">I5410*J5410</f>
        <v>4847</v>
      </c>
      <c r="L5410" s="14" t="n">
        <f aca="false">($L$2*M5410)/100</f>
        <v>528733.26</v>
      </c>
      <c r="M5410" s="15" t="n">
        <v>0.44</v>
      </c>
      <c r="N5410" s="9" t="s">
        <v>85</v>
      </c>
    </row>
    <row r="5411" customFormat="false" ht="14.25" hidden="false" customHeight="true" outlineLevel="0" collapsed="false">
      <c r="B5411" s="9" t="s">
        <v>36</v>
      </c>
      <c r="C5411" s="9" t="n">
        <v>1185732</v>
      </c>
      <c r="D5411" s="10" t="n">
        <v>44265</v>
      </c>
      <c r="E5411" s="9" t="s">
        <v>33</v>
      </c>
      <c r="F5411" s="9" t="s">
        <v>72</v>
      </c>
      <c r="G5411" s="9" t="s">
        <v>73</v>
      </c>
      <c r="H5411" s="11" t="s">
        <v>22</v>
      </c>
      <c r="I5411" s="12" t="n">
        <v>27</v>
      </c>
      <c r="J5411" s="13" t="n">
        <v>149</v>
      </c>
      <c r="K5411" s="14" t="n">
        <f aca="false">I5411*J5411</f>
        <v>4023</v>
      </c>
      <c r="L5411" s="14" t="n">
        <f aca="false">($L$2*M5411)/100</f>
        <v>540749.925</v>
      </c>
      <c r="M5411" s="15" t="n">
        <v>0.45</v>
      </c>
      <c r="N5411" s="9" t="s">
        <v>85</v>
      </c>
    </row>
    <row r="5412" customFormat="false" ht="14.25" hidden="false" customHeight="true" outlineLevel="0" collapsed="false">
      <c r="B5412" s="9" t="s">
        <v>36</v>
      </c>
      <c r="C5412" s="9" t="n">
        <v>1185732</v>
      </c>
      <c r="D5412" s="10" t="n">
        <v>44265</v>
      </c>
      <c r="E5412" s="9" t="s">
        <v>33</v>
      </c>
      <c r="F5412" s="9" t="s">
        <v>72</v>
      </c>
      <c r="G5412" s="9" t="s">
        <v>73</v>
      </c>
      <c r="H5412" s="11" t="s">
        <v>23</v>
      </c>
      <c r="I5412" s="12" t="n">
        <v>33</v>
      </c>
      <c r="J5412" s="13" t="n">
        <v>112</v>
      </c>
      <c r="K5412" s="14" t="n">
        <f aca="false">I5412*J5412</f>
        <v>3696</v>
      </c>
      <c r="L5412" s="14" t="n">
        <f aca="false">($L$2*M5412)/100</f>
        <v>564783.255</v>
      </c>
      <c r="M5412" s="15" t="n">
        <v>0.47</v>
      </c>
      <c r="N5412" s="9" t="s">
        <v>85</v>
      </c>
    </row>
    <row r="5413" customFormat="false" ht="14.25" hidden="false" customHeight="true" outlineLevel="0" collapsed="false">
      <c r="B5413" s="9" t="s">
        <v>36</v>
      </c>
      <c r="C5413" s="9" t="n">
        <v>1185732</v>
      </c>
      <c r="D5413" s="10" t="n">
        <v>44265</v>
      </c>
      <c r="E5413" s="9" t="s">
        <v>33</v>
      </c>
      <c r="F5413" s="9" t="s">
        <v>72</v>
      </c>
      <c r="G5413" s="9" t="s">
        <v>73</v>
      </c>
      <c r="H5413" s="11" t="s">
        <v>24</v>
      </c>
      <c r="I5413" s="12" t="n">
        <v>47</v>
      </c>
      <c r="J5413" s="13" t="n">
        <v>126</v>
      </c>
      <c r="K5413" s="14" t="n">
        <f aca="false">I5413*J5413</f>
        <v>5922</v>
      </c>
      <c r="L5413" s="14" t="n">
        <f aca="false">($L$2*M5413)/100</f>
        <v>540749.925</v>
      </c>
      <c r="M5413" s="15" t="n">
        <v>0.45</v>
      </c>
      <c r="N5413" s="9" t="s">
        <v>85</v>
      </c>
    </row>
    <row r="5414" customFormat="false" ht="14.25" hidden="false" customHeight="true" outlineLevel="0" collapsed="false">
      <c r="B5414" s="9" t="s">
        <v>36</v>
      </c>
      <c r="C5414" s="9" t="n">
        <v>1185732</v>
      </c>
      <c r="D5414" s="10" t="n">
        <v>44265</v>
      </c>
      <c r="E5414" s="9" t="s">
        <v>33</v>
      </c>
      <c r="F5414" s="9" t="s">
        <v>72</v>
      </c>
      <c r="G5414" s="9" t="s">
        <v>73</v>
      </c>
      <c r="H5414" s="11" t="s">
        <v>25</v>
      </c>
      <c r="I5414" s="12" t="n">
        <v>37</v>
      </c>
      <c r="J5414" s="13" t="n">
        <v>165</v>
      </c>
      <c r="K5414" s="14" t="n">
        <f aca="false">I5414*J5414</f>
        <v>6105</v>
      </c>
      <c r="L5414" s="14" t="n">
        <f aca="false">($L$2*M5414)/100</f>
        <v>444616.605</v>
      </c>
      <c r="M5414" s="15" t="n">
        <v>0.37</v>
      </c>
      <c r="N5414" s="9" t="s">
        <v>85</v>
      </c>
    </row>
    <row r="5415" customFormat="false" ht="14.25" hidden="false" customHeight="true" outlineLevel="0" collapsed="false">
      <c r="B5415" s="9" t="s">
        <v>36</v>
      </c>
      <c r="C5415" s="9" t="n">
        <v>1185732</v>
      </c>
      <c r="D5415" s="10" t="n">
        <v>44297</v>
      </c>
      <c r="E5415" s="9" t="s">
        <v>33</v>
      </c>
      <c r="F5415" s="9" t="s">
        <v>72</v>
      </c>
      <c r="G5415" s="9" t="s">
        <v>73</v>
      </c>
      <c r="H5415" s="11" t="s">
        <v>19</v>
      </c>
      <c r="I5415" s="12" t="n">
        <v>39</v>
      </c>
      <c r="J5415" s="13" t="n">
        <v>208</v>
      </c>
      <c r="K5415" s="14" t="n">
        <f aca="false">I5415*J5415</f>
        <v>8112</v>
      </c>
      <c r="L5415" s="14" t="n">
        <f aca="false">($L$2*M5415)/100</f>
        <v>745033.23</v>
      </c>
      <c r="M5415" s="15" t="n">
        <v>0.62</v>
      </c>
      <c r="N5415" s="9" t="s">
        <v>85</v>
      </c>
    </row>
    <row r="5416" customFormat="false" ht="14.25" hidden="false" customHeight="true" outlineLevel="0" collapsed="false">
      <c r="B5416" s="9" t="s">
        <v>36</v>
      </c>
      <c r="C5416" s="9" t="n">
        <v>1185732</v>
      </c>
      <c r="D5416" s="10" t="n">
        <v>44297</v>
      </c>
      <c r="E5416" s="9" t="s">
        <v>33</v>
      </c>
      <c r="F5416" s="9" t="s">
        <v>72</v>
      </c>
      <c r="G5416" s="9" t="s">
        <v>73</v>
      </c>
      <c r="H5416" s="11" t="s">
        <v>21</v>
      </c>
      <c r="I5416" s="12" t="n">
        <v>39</v>
      </c>
      <c r="J5416" s="13" t="n">
        <v>140</v>
      </c>
      <c r="K5416" s="14" t="n">
        <f aca="false">I5416*J5416</f>
        <v>5460</v>
      </c>
      <c r="L5416" s="14" t="n">
        <f aca="false">($L$2*M5416)/100</f>
        <v>540749.925</v>
      </c>
      <c r="M5416" s="15" t="n">
        <v>0.45</v>
      </c>
      <c r="N5416" s="9" t="s">
        <v>85</v>
      </c>
    </row>
    <row r="5417" customFormat="false" ht="14.25" hidden="false" customHeight="true" outlineLevel="0" collapsed="false">
      <c r="B5417" s="9" t="s">
        <v>36</v>
      </c>
      <c r="C5417" s="9" t="n">
        <v>1185732</v>
      </c>
      <c r="D5417" s="10" t="n">
        <v>44297</v>
      </c>
      <c r="E5417" s="9" t="s">
        <v>33</v>
      </c>
      <c r="F5417" s="9" t="s">
        <v>72</v>
      </c>
      <c r="G5417" s="9" t="s">
        <v>73</v>
      </c>
      <c r="H5417" s="11" t="s">
        <v>22</v>
      </c>
      <c r="I5417" s="12" t="n">
        <v>28</v>
      </c>
      <c r="J5417" s="13" t="n">
        <v>145</v>
      </c>
      <c r="K5417" s="14" t="n">
        <f aca="false">I5417*J5417</f>
        <v>4060</v>
      </c>
      <c r="L5417" s="14" t="n">
        <f aca="false">($L$2*M5417)/100</f>
        <v>552766.59</v>
      </c>
      <c r="M5417" s="15" t="n">
        <v>0.46</v>
      </c>
      <c r="N5417" s="9" t="s">
        <v>85</v>
      </c>
    </row>
    <row r="5418" customFormat="false" ht="14.25" hidden="false" customHeight="true" outlineLevel="0" collapsed="false">
      <c r="B5418" s="9" t="s">
        <v>36</v>
      </c>
      <c r="C5418" s="9" t="n">
        <v>1185732</v>
      </c>
      <c r="D5418" s="10" t="n">
        <v>44297</v>
      </c>
      <c r="E5418" s="9" t="s">
        <v>33</v>
      </c>
      <c r="F5418" s="9" t="s">
        <v>72</v>
      </c>
      <c r="G5418" s="9" t="s">
        <v>73</v>
      </c>
      <c r="H5418" s="11" t="s">
        <v>23</v>
      </c>
      <c r="I5418" s="12" t="n">
        <v>33</v>
      </c>
      <c r="J5418" s="13" t="n">
        <v>119</v>
      </c>
      <c r="K5418" s="14" t="n">
        <f aca="false">I5418*J5418</f>
        <v>3927</v>
      </c>
      <c r="L5418" s="14" t="n">
        <f aca="false">($L$2*M5418)/100</f>
        <v>564783.255</v>
      </c>
      <c r="M5418" s="15" t="n">
        <v>0.47</v>
      </c>
      <c r="N5418" s="9" t="s">
        <v>85</v>
      </c>
    </row>
    <row r="5419" customFormat="false" ht="14.25" hidden="false" customHeight="true" outlineLevel="0" collapsed="false">
      <c r="B5419" s="9" t="s">
        <v>36</v>
      </c>
      <c r="C5419" s="9" t="n">
        <v>1185732</v>
      </c>
      <c r="D5419" s="10" t="n">
        <v>44297</v>
      </c>
      <c r="E5419" s="9" t="s">
        <v>33</v>
      </c>
      <c r="F5419" s="9" t="s">
        <v>72</v>
      </c>
      <c r="G5419" s="9" t="s">
        <v>73</v>
      </c>
      <c r="H5419" s="11" t="s">
        <v>24</v>
      </c>
      <c r="I5419" s="12" t="n">
        <v>47</v>
      </c>
      <c r="J5419" s="13" t="n">
        <v>106</v>
      </c>
      <c r="K5419" s="14" t="n">
        <f aca="false">I5419*J5419</f>
        <v>4982</v>
      </c>
      <c r="L5419" s="14" t="n">
        <f aca="false">($L$2*M5419)/100</f>
        <v>504699.93</v>
      </c>
      <c r="M5419" s="15" t="n">
        <v>0.42</v>
      </c>
      <c r="N5419" s="9" t="s">
        <v>85</v>
      </c>
    </row>
    <row r="5420" customFormat="false" ht="14.25" hidden="false" customHeight="true" outlineLevel="0" collapsed="false">
      <c r="B5420" s="9" t="s">
        <v>36</v>
      </c>
      <c r="C5420" s="9" t="n">
        <v>1185732</v>
      </c>
      <c r="D5420" s="10" t="n">
        <v>44297</v>
      </c>
      <c r="E5420" s="9" t="s">
        <v>33</v>
      </c>
      <c r="F5420" s="9" t="s">
        <v>72</v>
      </c>
      <c r="G5420" s="9" t="s">
        <v>73</v>
      </c>
      <c r="H5420" s="11" t="s">
        <v>25</v>
      </c>
      <c r="I5420" s="12" t="n">
        <v>36</v>
      </c>
      <c r="J5420" s="13" t="n">
        <v>149</v>
      </c>
      <c r="K5420" s="14" t="n">
        <f aca="false">I5420*J5420</f>
        <v>5364</v>
      </c>
      <c r="L5420" s="14" t="n">
        <f aca="false">($L$2*M5420)/100</f>
        <v>420583.275</v>
      </c>
      <c r="M5420" s="15" t="n">
        <v>0.35</v>
      </c>
      <c r="N5420" s="9" t="s">
        <v>85</v>
      </c>
    </row>
    <row r="5421" customFormat="false" ht="14.25" hidden="false" customHeight="true" outlineLevel="0" collapsed="false">
      <c r="B5421" s="9" t="s">
        <v>36</v>
      </c>
      <c r="C5421" s="9" t="n">
        <v>1185732</v>
      </c>
      <c r="D5421" s="10" t="n">
        <v>44326</v>
      </c>
      <c r="E5421" s="9" t="s">
        <v>33</v>
      </c>
      <c r="F5421" s="9" t="s">
        <v>72</v>
      </c>
      <c r="G5421" s="9" t="s">
        <v>73</v>
      </c>
      <c r="H5421" s="11" t="s">
        <v>19</v>
      </c>
      <c r="I5421" s="12" t="n">
        <v>45</v>
      </c>
      <c r="J5421" s="13" t="n">
        <v>246</v>
      </c>
      <c r="K5421" s="14" t="n">
        <f aca="false">I5421*J5421</f>
        <v>11070</v>
      </c>
      <c r="L5421" s="14" t="n">
        <f aca="false">($L$2*M5421)/100</f>
        <v>781083.225</v>
      </c>
      <c r="M5421" s="15" t="n">
        <v>0.65</v>
      </c>
      <c r="N5421" s="9" t="s">
        <v>85</v>
      </c>
    </row>
    <row r="5422" customFormat="false" ht="14.25" hidden="false" customHeight="true" outlineLevel="0" collapsed="false">
      <c r="B5422" s="9" t="s">
        <v>36</v>
      </c>
      <c r="C5422" s="9" t="n">
        <v>1185732</v>
      </c>
      <c r="D5422" s="10" t="n">
        <v>44326</v>
      </c>
      <c r="E5422" s="9" t="s">
        <v>33</v>
      </c>
      <c r="F5422" s="9" t="s">
        <v>72</v>
      </c>
      <c r="G5422" s="9" t="s">
        <v>73</v>
      </c>
      <c r="H5422" s="11" t="s">
        <v>21</v>
      </c>
      <c r="I5422" s="12" t="n">
        <v>41</v>
      </c>
      <c r="J5422" s="13" t="n">
        <v>152</v>
      </c>
      <c r="K5422" s="14" t="n">
        <f aca="false">I5422*J5422</f>
        <v>6232</v>
      </c>
      <c r="L5422" s="14" t="n">
        <f aca="false">($L$2*M5422)/100</f>
        <v>480666.6</v>
      </c>
      <c r="M5422" s="15" t="n">
        <v>0.4</v>
      </c>
      <c r="N5422" s="9" t="s">
        <v>85</v>
      </c>
    </row>
    <row r="5423" customFormat="false" ht="14.25" hidden="false" customHeight="true" outlineLevel="0" collapsed="false">
      <c r="B5423" s="9" t="s">
        <v>36</v>
      </c>
      <c r="C5423" s="9" t="n">
        <v>1185732</v>
      </c>
      <c r="D5423" s="10" t="n">
        <v>44326</v>
      </c>
      <c r="E5423" s="9" t="s">
        <v>33</v>
      </c>
      <c r="F5423" s="9" t="s">
        <v>72</v>
      </c>
      <c r="G5423" s="9" t="s">
        <v>73</v>
      </c>
      <c r="H5423" s="11" t="s">
        <v>22</v>
      </c>
      <c r="I5423" s="12" t="n">
        <v>39</v>
      </c>
      <c r="J5423" s="13" t="n">
        <v>145</v>
      </c>
      <c r="K5423" s="14" t="n">
        <f aca="false">I5423*J5423</f>
        <v>5655</v>
      </c>
      <c r="L5423" s="14" t="n">
        <f aca="false">($L$2*M5423)/100</f>
        <v>588816.585</v>
      </c>
      <c r="M5423" s="15" t="n">
        <v>0.49</v>
      </c>
      <c r="N5423" s="9" t="s">
        <v>85</v>
      </c>
    </row>
    <row r="5424" customFormat="false" ht="14.25" hidden="false" customHeight="true" outlineLevel="0" collapsed="false">
      <c r="B5424" s="9" t="s">
        <v>36</v>
      </c>
      <c r="C5424" s="9" t="n">
        <v>1185732</v>
      </c>
      <c r="D5424" s="10" t="n">
        <v>44326</v>
      </c>
      <c r="E5424" s="9" t="s">
        <v>33</v>
      </c>
      <c r="F5424" s="9" t="s">
        <v>72</v>
      </c>
      <c r="G5424" s="9" t="s">
        <v>73</v>
      </c>
      <c r="H5424" s="11" t="s">
        <v>23</v>
      </c>
      <c r="I5424" s="12" t="n">
        <v>39</v>
      </c>
      <c r="J5424" s="13" t="n">
        <v>131</v>
      </c>
      <c r="K5424" s="14" t="n">
        <f aca="false">I5424*J5424</f>
        <v>5109</v>
      </c>
      <c r="L5424" s="14" t="n">
        <f aca="false">($L$2*M5424)/100</f>
        <v>600833.25</v>
      </c>
      <c r="M5424" s="15" t="n">
        <v>0.5</v>
      </c>
      <c r="N5424" s="9" t="s">
        <v>85</v>
      </c>
    </row>
    <row r="5425" customFormat="false" ht="14.25" hidden="false" customHeight="true" outlineLevel="0" collapsed="false">
      <c r="B5425" s="9" t="s">
        <v>36</v>
      </c>
      <c r="C5425" s="9" t="n">
        <v>1185732</v>
      </c>
      <c r="D5425" s="10" t="n">
        <v>44326</v>
      </c>
      <c r="E5425" s="9" t="s">
        <v>33</v>
      </c>
      <c r="F5425" s="9" t="s">
        <v>72</v>
      </c>
      <c r="G5425" s="9" t="s">
        <v>73</v>
      </c>
      <c r="H5425" s="11" t="s">
        <v>24</v>
      </c>
      <c r="I5425" s="12" t="n">
        <v>45</v>
      </c>
      <c r="J5425" s="13" t="n">
        <v>133</v>
      </c>
      <c r="K5425" s="14" t="n">
        <f aca="false">I5425*J5425</f>
        <v>5985</v>
      </c>
      <c r="L5425" s="14" t="n">
        <f aca="false">($L$2*M5425)/100</f>
        <v>504699.93</v>
      </c>
      <c r="M5425" s="15" t="n">
        <v>0.42</v>
      </c>
      <c r="N5425" s="9" t="s">
        <v>85</v>
      </c>
    </row>
    <row r="5426" customFormat="false" ht="14.25" hidden="false" customHeight="true" outlineLevel="0" collapsed="false">
      <c r="B5426" s="9" t="s">
        <v>36</v>
      </c>
      <c r="C5426" s="9" t="n">
        <v>1185732</v>
      </c>
      <c r="D5426" s="10" t="n">
        <v>44326</v>
      </c>
      <c r="E5426" s="9" t="s">
        <v>33</v>
      </c>
      <c r="F5426" s="9" t="s">
        <v>72</v>
      </c>
      <c r="G5426" s="9" t="s">
        <v>73</v>
      </c>
      <c r="H5426" s="11" t="s">
        <v>25</v>
      </c>
      <c r="I5426" s="12" t="n">
        <v>52</v>
      </c>
      <c r="J5426" s="13" t="n">
        <v>156</v>
      </c>
      <c r="K5426" s="14" t="n">
        <f aca="false">I5426*J5426</f>
        <v>8112</v>
      </c>
      <c r="L5426" s="14" t="n">
        <f aca="false">($L$2*M5426)/100</f>
        <v>480666.6</v>
      </c>
      <c r="M5426" s="15" t="n">
        <v>0.4</v>
      </c>
      <c r="N5426" s="9" t="s">
        <v>85</v>
      </c>
    </row>
    <row r="5427" customFormat="false" ht="14.25" hidden="false" customHeight="true" outlineLevel="0" collapsed="false">
      <c r="B5427" s="9" t="s">
        <v>36</v>
      </c>
      <c r="C5427" s="9" t="n">
        <v>1185732</v>
      </c>
      <c r="D5427" s="10" t="n">
        <v>44359</v>
      </c>
      <c r="E5427" s="9" t="s">
        <v>33</v>
      </c>
      <c r="F5427" s="9" t="s">
        <v>72</v>
      </c>
      <c r="G5427" s="9" t="s">
        <v>73</v>
      </c>
      <c r="H5427" s="11" t="s">
        <v>19</v>
      </c>
      <c r="I5427" s="12" t="n">
        <v>46</v>
      </c>
      <c r="J5427" s="13" t="n">
        <v>247</v>
      </c>
      <c r="K5427" s="14" t="n">
        <f aca="false">I5427*J5427</f>
        <v>11362</v>
      </c>
      <c r="L5427" s="14" t="n">
        <f aca="false">($L$2*M5427)/100</f>
        <v>757049.895</v>
      </c>
      <c r="M5427" s="15" t="n">
        <v>0.63</v>
      </c>
      <c r="N5427" s="9" t="s">
        <v>85</v>
      </c>
    </row>
    <row r="5428" customFormat="false" ht="14.25" hidden="false" customHeight="true" outlineLevel="0" collapsed="false">
      <c r="B5428" s="9" t="s">
        <v>36</v>
      </c>
      <c r="C5428" s="9" t="n">
        <v>1185732</v>
      </c>
      <c r="D5428" s="10" t="n">
        <v>44359</v>
      </c>
      <c r="E5428" s="9" t="s">
        <v>33</v>
      </c>
      <c r="F5428" s="9" t="s">
        <v>72</v>
      </c>
      <c r="G5428" s="9" t="s">
        <v>73</v>
      </c>
      <c r="H5428" s="11" t="s">
        <v>21</v>
      </c>
      <c r="I5428" s="12" t="n">
        <v>42</v>
      </c>
      <c r="J5428" s="13" t="n">
        <v>168</v>
      </c>
      <c r="K5428" s="14" t="n">
        <f aca="false">I5428*J5428</f>
        <v>7056</v>
      </c>
      <c r="L5428" s="14" t="n">
        <f aca="false">($L$2*M5428)/100</f>
        <v>492683.265</v>
      </c>
      <c r="M5428" s="15" t="n">
        <v>0.41</v>
      </c>
      <c r="N5428" s="9" t="s">
        <v>85</v>
      </c>
    </row>
    <row r="5429" customFormat="false" ht="14.25" hidden="false" customHeight="true" outlineLevel="0" collapsed="false">
      <c r="B5429" s="9" t="s">
        <v>36</v>
      </c>
      <c r="C5429" s="9" t="n">
        <v>1185732</v>
      </c>
      <c r="D5429" s="10" t="n">
        <v>44359</v>
      </c>
      <c r="E5429" s="9" t="s">
        <v>33</v>
      </c>
      <c r="F5429" s="9" t="s">
        <v>72</v>
      </c>
      <c r="G5429" s="9" t="s">
        <v>73</v>
      </c>
      <c r="H5429" s="11" t="s">
        <v>22</v>
      </c>
      <c r="I5429" s="12" t="n">
        <v>38</v>
      </c>
      <c r="J5429" s="13" t="n">
        <v>131</v>
      </c>
      <c r="K5429" s="14" t="n">
        <f aca="false">I5429*J5429</f>
        <v>4978</v>
      </c>
      <c r="L5429" s="14" t="n">
        <f aca="false">($L$2*M5429)/100</f>
        <v>540749.925</v>
      </c>
      <c r="M5429" s="15" t="n">
        <v>0.45</v>
      </c>
      <c r="N5429" s="9" t="s">
        <v>85</v>
      </c>
    </row>
    <row r="5430" customFormat="false" ht="14.25" hidden="false" customHeight="true" outlineLevel="0" collapsed="false">
      <c r="B5430" s="9" t="s">
        <v>36</v>
      </c>
      <c r="C5430" s="9" t="n">
        <v>1185732</v>
      </c>
      <c r="D5430" s="10" t="n">
        <v>44359</v>
      </c>
      <c r="E5430" s="9" t="s">
        <v>33</v>
      </c>
      <c r="F5430" s="9" t="s">
        <v>72</v>
      </c>
      <c r="G5430" s="9" t="s">
        <v>73</v>
      </c>
      <c r="H5430" s="11" t="s">
        <v>23</v>
      </c>
      <c r="I5430" s="12" t="n">
        <v>38</v>
      </c>
      <c r="J5430" s="13" t="n">
        <v>140</v>
      </c>
      <c r="K5430" s="14" t="n">
        <f aca="false">I5430*J5430</f>
        <v>5320</v>
      </c>
      <c r="L5430" s="14" t="n">
        <f aca="false">($L$2*M5430)/100</f>
        <v>564783.255</v>
      </c>
      <c r="M5430" s="15" t="n">
        <v>0.47</v>
      </c>
      <c r="N5430" s="9" t="s">
        <v>85</v>
      </c>
    </row>
    <row r="5431" customFormat="false" ht="14.25" hidden="false" customHeight="true" outlineLevel="0" collapsed="false">
      <c r="B5431" s="9" t="s">
        <v>36</v>
      </c>
      <c r="C5431" s="9" t="n">
        <v>1185732</v>
      </c>
      <c r="D5431" s="10" t="n">
        <v>44359</v>
      </c>
      <c r="E5431" s="9" t="s">
        <v>33</v>
      </c>
      <c r="F5431" s="9" t="s">
        <v>72</v>
      </c>
      <c r="G5431" s="9" t="s">
        <v>73</v>
      </c>
      <c r="H5431" s="11" t="s">
        <v>24</v>
      </c>
      <c r="I5431" s="12" t="n">
        <v>49</v>
      </c>
      <c r="J5431" s="13" t="n">
        <v>135</v>
      </c>
      <c r="K5431" s="14" t="n">
        <f aca="false">I5431*J5431</f>
        <v>6615</v>
      </c>
      <c r="L5431" s="14" t="n">
        <f aca="false">($L$2*M5431)/100</f>
        <v>528733.26</v>
      </c>
      <c r="M5431" s="15" t="n">
        <v>0.44</v>
      </c>
      <c r="N5431" s="9" t="s">
        <v>85</v>
      </c>
    </row>
    <row r="5432" customFormat="false" ht="14.25" hidden="false" customHeight="true" outlineLevel="0" collapsed="false">
      <c r="B5432" s="9" t="s">
        <v>36</v>
      </c>
      <c r="C5432" s="9" t="n">
        <v>1185732</v>
      </c>
      <c r="D5432" s="10" t="n">
        <v>44359</v>
      </c>
      <c r="E5432" s="9" t="s">
        <v>33</v>
      </c>
      <c r="F5432" s="9" t="s">
        <v>72</v>
      </c>
      <c r="G5432" s="9" t="s">
        <v>73</v>
      </c>
      <c r="H5432" s="11" t="s">
        <v>25</v>
      </c>
      <c r="I5432" s="12" t="n">
        <v>50</v>
      </c>
      <c r="J5432" s="13" t="n">
        <v>163</v>
      </c>
      <c r="K5432" s="14" t="n">
        <f aca="false">I5432*J5432</f>
        <v>8150</v>
      </c>
      <c r="L5432" s="14" t="n">
        <f aca="false">($L$2*M5432)/100</f>
        <v>444616.605</v>
      </c>
      <c r="M5432" s="15" t="n">
        <v>0.37</v>
      </c>
      <c r="N5432" s="9" t="s">
        <v>85</v>
      </c>
    </row>
    <row r="5433" customFormat="false" ht="14.25" hidden="false" customHeight="true" outlineLevel="0" collapsed="false">
      <c r="B5433" s="9" t="s">
        <v>36</v>
      </c>
      <c r="C5433" s="9" t="n">
        <v>1185732</v>
      </c>
      <c r="D5433" s="10" t="n">
        <v>44387</v>
      </c>
      <c r="E5433" s="9" t="s">
        <v>33</v>
      </c>
      <c r="F5433" s="9" t="s">
        <v>72</v>
      </c>
      <c r="G5433" s="9" t="s">
        <v>73</v>
      </c>
      <c r="H5433" s="11" t="s">
        <v>19</v>
      </c>
      <c r="I5433" s="12" t="n">
        <v>48</v>
      </c>
      <c r="J5433" s="13" t="n">
        <v>228</v>
      </c>
      <c r="K5433" s="14" t="n">
        <f aca="false">I5433*J5433</f>
        <v>10944</v>
      </c>
      <c r="L5433" s="14" t="n">
        <f aca="false">($L$2*M5433)/100</f>
        <v>769066.56</v>
      </c>
      <c r="M5433" s="15" t="n">
        <v>0.64</v>
      </c>
      <c r="N5433" s="9" t="s">
        <v>85</v>
      </c>
    </row>
    <row r="5434" customFormat="false" ht="14.25" hidden="false" customHeight="true" outlineLevel="0" collapsed="false">
      <c r="B5434" s="9" t="s">
        <v>36</v>
      </c>
      <c r="C5434" s="9" t="n">
        <v>1185732</v>
      </c>
      <c r="D5434" s="10" t="n">
        <v>44387</v>
      </c>
      <c r="E5434" s="9" t="s">
        <v>33</v>
      </c>
      <c r="F5434" s="9" t="s">
        <v>72</v>
      </c>
      <c r="G5434" s="9" t="s">
        <v>73</v>
      </c>
      <c r="H5434" s="11" t="s">
        <v>21</v>
      </c>
      <c r="I5434" s="12" t="n">
        <v>44</v>
      </c>
      <c r="J5434" s="13" t="n">
        <v>163</v>
      </c>
      <c r="K5434" s="14" t="n">
        <f aca="false">I5434*J5434</f>
        <v>7172</v>
      </c>
      <c r="L5434" s="14" t="n">
        <f aca="false">($L$2*M5434)/100</f>
        <v>516716.595</v>
      </c>
      <c r="M5434" s="15" t="n">
        <v>0.43</v>
      </c>
      <c r="N5434" s="9" t="s">
        <v>85</v>
      </c>
    </row>
    <row r="5435" customFormat="false" ht="14.25" hidden="false" customHeight="true" outlineLevel="0" collapsed="false">
      <c r="B5435" s="9" t="s">
        <v>36</v>
      </c>
      <c r="C5435" s="9" t="n">
        <v>1185732</v>
      </c>
      <c r="D5435" s="10" t="n">
        <v>44387</v>
      </c>
      <c r="E5435" s="9" t="s">
        <v>33</v>
      </c>
      <c r="F5435" s="9" t="s">
        <v>72</v>
      </c>
      <c r="G5435" s="9" t="s">
        <v>73</v>
      </c>
      <c r="H5435" s="11" t="s">
        <v>22</v>
      </c>
      <c r="I5435" s="12" t="n">
        <v>38</v>
      </c>
      <c r="J5435" s="13" t="n">
        <v>149</v>
      </c>
      <c r="K5435" s="14" t="n">
        <f aca="false">I5435*J5435</f>
        <v>5662</v>
      </c>
      <c r="L5435" s="14" t="n">
        <f aca="false">($L$2*M5435)/100</f>
        <v>576799.92</v>
      </c>
      <c r="M5435" s="15" t="n">
        <v>0.48</v>
      </c>
      <c r="N5435" s="9" t="s">
        <v>85</v>
      </c>
    </row>
    <row r="5436" customFormat="false" ht="14.25" hidden="false" customHeight="true" outlineLevel="0" collapsed="false">
      <c r="B5436" s="9" t="s">
        <v>36</v>
      </c>
      <c r="C5436" s="9" t="n">
        <v>1185732</v>
      </c>
      <c r="D5436" s="10" t="n">
        <v>44387</v>
      </c>
      <c r="E5436" s="9" t="s">
        <v>33</v>
      </c>
      <c r="F5436" s="9" t="s">
        <v>72</v>
      </c>
      <c r="G5436" s="9" t="s">
        <v>73</v>
      </c>
      <c r="H5436" s="11" t="s">
        <v>23</v>
      </c>
      <c r="I5436" s="12" t="n">
        <v>39</v>
      </c>
      <c r="J5436" s="13" t="n">
        <v>150</v>
      </c>
      <c r="K5436" s="14" t="n">
        <f aca="false">I5436*J5436</f>
        <v>5850</v>
      </c>
      <c r="L5436" s="14" t="n">
        <f aca="false">($L$2*M5436)/100</f>
        <v>564783.255</v>
      </c>
      <c r="M5436" s="15" t="n">
        <v>0.47</v>
      </c>
      <c r="N5436" s="9" t="s">
        <v>85</v>
      </c>
    </row>
    <row r="5437" customFormat="false" ht="14.25" hidden="false" customHeight="true" outlineLevel="0" collapsed="false">
      <c r="B5437" s="9" t="s">
        <v>36</v>
      </c>
      <c r="C5437" s="9" t="n">
        <v>1185732</v>
      </c>
      <c r="D5437" s="10" t="n">
        <v>44387</v>
      </c>
      <c r="E5437" s="9" t="s">
        <v>33</v>
      </c>
      <c r="F5437" s="9" t="s">
        <v>72</v>
      </c>
      <c r="G5437" s="9" t="s">
        <v>73</v>
      </c>
      <c r="H5437" s="11" t="s">
        <v>24</v>
      </c>
      <c r="I5437" s="12" t="n">
        <v>48</v>
      </c>
      <c r="J5437" s="13" t="n">
        <v>137</v>
      </c>
      <c r="K5437" s="14" t="n">
        <f aca="false">I5437*J5437</f>
        <v>6576</v>
      </c>
      <c r="L5437" s="14" t="n">
        <f aca="false">($L$2*M5437)/100</f>
        <v>504699.93</v>
      </c>
      <c r="M5437" s="15" t="n">
        <v>0.42</v>
      </c>
      <c r="N5437" s="9" t="s">
        <v>85</v>
      </c>
    </row>
    <row r="5438" customFormat="false" ht="14.25" hidden="false" customHeight="true" outlineLevel="0" collapsed="false">
      <c r="B5438" s="9" t="s">
        <v>36</v>
      </c>
      <c r="C5438" s="9" t="n">
        <v>1185732</v>
      </c>
      <c r="D5438" s="10" t="n">
        <v>44387</v>
      </c>
      <c r="E5438" s="9" t="s">
        <v>33</v>
      </c>
      <c r="F5438" s="9" t="s">
        <v>72</v>
      </c>
      <c r="G5438" s="9" t="s">
        <v>73</v>
      </c>
      <c r="H5438" s="11" t="s">
        <v>25</v>
      </c>
      <c r="I5438" s="12" t="n">
        <v>51</v>
      </c>
      <c r="J5438" s="13" t="n">
        <v>196</v>
      </c>
      <c r="K5438" s="14" t="n">
        <f aca="false">I5438*J5438</f>
        <v>9996</v>
      </c>
      <c r="L5438" s="14" t="n">
        <f aca="false">($L$2*M5438)/100</f>
        <v>432599.94</v>
      </c>
      <c r="M5438" s="15" t="n">
        <v>0.36</v>
      </c>
      <c r="N5438" s="9" t="s">
        <v>85</v>
      </c>
    </row>
    <row r="5439" customFormat="false" ht="14.25" hidden="false" customHeight="true" outlineLevel="0" collapsed="false">
      <c r="B5439" s="9" t="s">
        <v>36</v>
      </c>
      <c r="C5439" s="9" t="n">
        <v>1185732</v>
      </c>
      <c r="D5439" s="10" t="n">
        <v>44419</v>
      </c>
      <c r="E5439" s="9" t="s">
        <v>33</v>
      </c>
      <c r="F5439" s="9" t="s">
        <v>72</v>
      </c>
      <c r="G5439" s="9" t="s">
        <v>73</v>
      </c>
      <c r="H5439" s="11" t="s">
        <v>19</v>
      </c>
      <c r="I5439" s="12" t="n">
        <v>47</v>
      </c>
      <c r="J5439" s="13" t="n">
        <v>255</v>
      </c>
      <c r="K5439" s="14" t="n">
        <f aca="false">I5439*J5439</f>
        <v>11985</v>
      </c>
      <c r="L5439" s="14" t="n">
        <f aca="false">($L$2*M5439)/100</f>
        <v>769066.56</v>
      </c>
      <c r="M5439" s="15" t="n">
        <v>0.64</v>
      </c>
      <c r="N5439" s="9" t="s">
        <v>85</v>
      </c>
    </row>
    <row r="5440" customFormat="false" ht="14.25" hidden="false" customHeight="true" outlineLevel="0" collapsed="false">
      <c r="B5440" s="9" t="s">
        <v>36</v>
      </c>
      <c r="C5440" s="9" t="n">
        <v>1185732</v>
      </c>
      <c r="D5440" s="10" t="n">
        <v>44419</v>
      </c>
      <c r="E5440" s="9" t="s">
        <v>33</v>
      </c>
      <c r="F5440" s="9" t="s">
        <v>72</v>
      </c>
      <c r="G5440" s="9" t="s">
        <v>73</v>
      </c>
      <c r="H5440" s="11" t="s">
        <v>21</v>
      </c>
      <c r="I5440" s="12" t="n">
        <v>43</v>
      </c>
      <c r="J5440" s="13" t="n">
        <v>163</v>
      </c>
      <c r="K5440" s="14" t="n">
        <f aca="false">I5440*J5440</f>
        <v>7009</v>
      </c>
      <c r="L5440" s="14" t="n">
        <f aca="false">($L$2*M5440)/100</f>
        <v>492683.265</v>
      </c>
      <c r="M5440" s="15" t="n">
        <v>0.41</v>
      </c>
      <c r="N5440" s="9" t="s">
        <v>85</v>
      </c>
    </row>
    <row r="5441" customFormat="false" ht="14.25" hidden="false" customHeight="true" outlineLevel="0" collapsed="false">
      <c r="B5441" s="9" t="s">
        <v>36</v>
      </c>
      <c r="C5441" s="9" t="n">
        <v>1185732</v>
      </c>
      <c r="D5441" s="10" t="n">
        <v>44419</v>
      </c>
      <c r="E5441" s="9" t="s">
        <v>33</v>
      </c>
      <c r="F5441" s="9" t="s">
        <v>72</v>
      </c>
      <c r="G5441" s="9" t="s">
        <v>73</v>
      </c>
      <c r="H5441" s="11" t="s">
        <v>22</v>
      </c>
      <c r="I5441" s="12" t="n">
        <v>38</v>
      </c>
      <c r="J5441" s="13" t="n">
        <v>143</v>
      </c>
      <c r="K5441" s="14" t="n">
        <f aca="false">I5441*J5441</f>
        <v>5434</v>
      </c>
      <c r="L5441" s="14" t="n">
        <f aca="false">($L$2*M5441)/100</f>
        <v>540749.925</v>
      </c>
      <c r="M5441" s="15" t="n">
        <v>0.45</v>
      </c>
      <c r="N5441" s="9" t="s">
        <v>85</v>
      </c>
    </row>
    <row r="5442" customFormat="false" ht="14.25" hidden="false" customHeight="true" outlineLevel="0" collapsed="false">
      <c r="B5442" s="9" t="s">
        <v>36</v>
      </c>
      <c r="C5442" s="9" t="n">
        <v>1185732</v>
      </c>
      <c r="D5442" s="10" t="n">
        <v>44419</v>
      </c>
      <c r="E5442" s="9" t="s">
        <v>33</v>
      </c>
      <c r="F5442" s="9" t="s">
        <v>72</v>
      </c>
      <c r="G5442" s="9" t="s">
        <v>73</v>
      </c>
      <c r="H5442" s="11" t="s">
        <v>23</v>
      </c>
      <c r="I5442" s="12" t="n">
        <v>38</v>
      </c>
      <c r="J5442" s="13" t="n">
        <v>147</v>
      </c>
      <c r="K5442" s="14" t="n">
        <f aca="false">I5442*J5442</f>
        <v>5586</v>
      </c>
      <c r="L5442" s="14" t="n">
        <f aca="false">($L$2*M5442)/100</f>
        <v>588816.585</v>
      </c>
      <c r="M5442" s="15" t="n">
        <v>0.49</v>
      </c>
      <c r="N5442" s="9" t="s">
        <v>85</v>
      </c>
    </row>
    <row r="5443" customFormat="false" ht="14.25" hidden="false" customHeight="true" outlineLevel="0" collapsed="false">
      <c r="B5443" s="9" t="s">
        <v>36</v>
      </c>
      <c r="C5443" s="9" t="n">
        <v>1185732</v>
      </c>
      <c r="D5443" s="10" t="n">
        <v>44419</v>
      </c>
      <c r="E5443" s="9" t="s">
        <v>33</v>
      </c>
      <c r="F5443" s="9" t="s">
        <v>72</v>
      </c>
      <c r="G5443" s="9" t="s">
        <v>73</v>
      </c>
      <c r="H5443" s="11" t="s">
        <v>24</v>
      </c>
      <c r="I5443" s="12" t="n">
        <v>47</v>
      </c>
      <c r="J5443" s="13" t="n">
        <v>140</v>
      </c>
      <c r="K5443" s="14" t="n">
        <f aca="false">I5443*J5443</f>
        <v>6580</v>
      </c>
      <c r="L5443" s="14" t="n">
        <f aca="false">($L$2*M5443)/100</f>
        <v>492683.265</v>
      </c>
      <c r="M5443" s="15" t="n">
        <v>0.41</v>
      </c>
      <c r="N5443" s="9" t="s">
        <v>85</v>
      </c>
    </row>
    <row r="5444" customFormat="false" ht="14.25" hidden="false" customHeight="true" outlineLevel="0" collapsed="false">
      <c r="B5444" s="9" t="s">
        <v>36</v>
      </c>
      <c r="C5444" s="9" t="n">
        <v>1185732</v>
      </c>
      <c r="D5444" s="10" t="n">
        <v>44419</v>
      </c>
      <c r="E5444" s="9" t="s">
        <v>33</v>
      </c>
      <c r="F5444" s="9" t="s">
        <v>72</v>
      </c>
      <c r="G5444" s="9" t="s">
        <v>73</v>
      </c>
      <c r="H5444" s="11" t="s">
        <v>25</v>
      </c>
      <c r="I5444" s="12" t="n">
        <v>52</v>
      </c>
      <c r="J5444" s="13" t="n">
        <v>196</v>
      </c>
      <c r="K5444" s="14" t="n">
        <f aca="false">I5444*J5444</f>
        <v>10192</v>
      </c>
      <c r="L5444" s="14" t="n">
        <f aca="false">($L$2*M5444)/100</f>
        <v>480666.6</v>
      </c>
      <c r="M5444" s="15" t="n">
        <v>0.4</v>
      </c>
      <c r="N5444" s="9" t="s">
        <v>85</v>
      </c>
    </row>
    <row r="5445" customFormat="false" ht="14.25" hidden="false" customHeight="true" outlineLevel="0" collapsed="false">
      <c r="B5445" s="9" t="s">
        <v>36</v>
      </c>
      <c r="C5445" s="9" t="n">
        <v>1185732</v>
      </c>
      <c r="D5445" s="10" t="n">
        <v>44449</v>
      </c>
      <c r="E5445" s="9" t="s">
        <v>33</v>
      </c>
      <c r="F5445" s="9" t="s">
        <v>72</v>
      </c>
      <c r="G5445" s="9" t="s">
        <v>73</v>
      </c>
      <c r="H5445" s="11" t="s">
        <v>19</v>
      </c>
      <c r="I5445" s="12" t="n">
        <v>48</v>
      </c>
      <c r="J5445" s="13" t="n">
        <v>208</v>
      </c>
      <c r="K5445" s="14" t="n">
        <f aca="false">I5445*J5445</f>
        <v>9984</v>
      </c>
      <c r="L5445" s="14" t="n">
        <f aca="false">($L$2*M5445)/100</f>
        <v>769066.56</v>
      </c>
      <c r="M5445" s="15" t="n">
        <v>0.64</v>
      </c>
      <c r="N5445" s="9" t="s">
        <v>85</v>
      </c>
    </row>
    <row r="5446" customFormat="false" ht="14.25" hidden="false" customHeight="true" outlineLevel="0" collapsed="false">
      <c r="B5446" s="9" t="s">
        <v>36</v>
      </c>
      <c r="C5446" s="9" t="n">
        <v>1185732</v>
      </c>
      <c r="D5446" s="10" t="n">
        <v>44449</v>
      </c>
      <c r="E5446" s="9" t="s">
        <v>33</v>
      </c>
      <c r="F5446" s="9" t="s">
        <v>72</v>
      </c>
      <c r="G5446" s="9" t="s">
        <v>73</v>
      </c>
      <c r="H5446" s="11" t="s">
        <v>21</v>
      </c>
      <c r="I5446" s="12" t="n">
        <v>44</v>
      </c>
      <c r="J5446" s="13" t="n">
        <v>150</v>
      </c>
      <c r="K5446" s="14" t="n">
        <f aca="false">I5446*J5446</f>
        <v>6600</v>
      </c>
      <c r="L5446" s="14" t="n">
        <f aca="false">($L$2*M5446)/100</f>
        <v>516716.595</v>
      </c>
      <c r="M5446" s="15" t="n">
        <v>0.43</v>
      </c>
      <c r="N5446" s="9" t="s">
        <v>85</v>
      </c>
    </row>
    <row r="5447" customFormat="false" ht="14.25" hidden="false" customHeight="true" outlineLevel="0" collapsed="false">
      <c r="B5447" s="9" t="s">
        <v>36</v>
      </c>
      <c r="C5447" s="9" t="n">
        <v>1185732</v>
      </c>
      <c r="D5447" s="10" t="n">
        <v>44449</v>
      </c>
      <c r="E5447" s="9" t="s">
        <v>33</v>
      </c>
      <c r="F5447" s="9" t="s">
        <v>72</v>
      </c>
      <c r="G5447" s="9" t="s">
        <v>73</v>
      </c>
      <c r="H5447" s="11" t="s">
        <v>22</v>
      </c>
      <c r="I5447" s="12" t="n">
        <v>38</v>
      </c>
      <c r="J5447" s="13" t="n">
        <v>137</v>
      </c>
      <c r="K5447" s="14" t="n">
        <f aca="false">I5447*J5447</f>
        <v>5206</v>
      </c>
      <c r="L5447" s="14" t="n">
        <f aca="false">($L$2*M5447)/100</f>
        <v>552766.59</v>
      </c>
      <c r="M5447" s="15" t="n">
        <v>0.46</v>
      </c>
      <c r="N5447" s="9" t="s">
        <v>85</v>
      </c>
    </row>
    <row r="5448" customFormat="false" ht="14.25" hidden="false" customHeight="true" outlineLevel="0" collapsed="false">
      <c r="B5448" s="9" t="s">
        <v>36</v>
      </c>
      <c r="C5448" s="9" t="n">
        <v>1185732</v>
      </c>
      <c r="D5448" s="10" t="n">
        <v>44449</v>
      </c>
      <c r="E5448" s="9" t="s">
        <v>33</v>
      </c>
      <c r="F5448" s="9" t="s">
        <v>72</v>
      </c>
      <c r="G5448" s="9" t="s">
        <v>73</v>
      </c>
      <c r="H5448" s="11" t="s">
        <v>23</v>
      </c>
      <c r="I5448" s="12" t="n">
        <v>38</v>
      </c>
      <c r="J5448" s="13" t="n">
        <v>135</v>
      </c>
      <c r="K5448" s="14" t="n">
        <f aca="false">I5448*J5448</f>
        <v>5130</v>
      </c>
      <c r="L5448" s="14" t="n">
        <f aca="false">($L$2*M5448)/100</f>
        <v>588816.585</v>
      </c>
      <c r="M5448" s="15" t="n">
        <v>0.49</v>
      </c>
      <c r="N5448" s="9" t="s">
        <v>85</v>
      </c>
    </row>
    <row r="5449" customFormat="false" ht="14.25" hidden="false" customHeight="true" outlineLevel="0" collapsed="false">
      <c r="B5449" s="9" t="s">
        <v>36</v>
      </c>
      <c r="C5449" s="9" t="n">
        <v>1185732</v>
      </c>
      <c r="D5449" s="10" t="n">
        <v>44449</v>
      </c>
      <c r="E5449" s="9" t="s">
        <v>33</v>
      </c>
      <c r="F5449" s="9" t="s">
        <v>72</v>
      </c>
      <c r="G5449" s="9" t="s">
        <v>73</v>
      </c>
      <c r="H5449" s="11" t="s">
        <v>24</v>
      </c>
      <c r="I5449" s="12" t="n">
        <v>48</v>
      </c>
      <c r="J5449" s="13" t="n">
        <v>125</v>
      </c>
      <c r="K5449" s="14" t="n">
        <f aca="false">I5449*J5449</f>
        <v>6000</v>
      </c>
      <c r="L5449" s="14" t="n">
        <f aca="false">($L$2*M5449)/100</f>
        <v>516716.595</v>
      </c>
      <c r="M5449" s="15" t="n">
        <v>0.43</v>
      </c>
      <c r="N5449" s="9" t="s">
        <v>85</v>
      </c>
    </row>
    <row r="5450" customFormat="false" ht="14.25" hidden="false" customHeight="true" outlineLevel="0" collapsed="false">
      <c r="B5450" s="9" t="s">
        <v>36</v>
      </c>
      <c r="C5450" s="9" t="n">
        <v>1185732</v>
      </c>
      <c r="D5450" s="10" t="n">
        <v>44449</v>
      </c>
      <c r="E5450" s="9" t="s">
        <v>33</v>
      </c>
      <c r="F5450" s="9" t="s">
        <v>72</v>
      </c>
      <c r="G5450" s="9" t="s">
        <v>73</v>
      </c>
      <c r="H5450" s="11" t="s">
        <v>25</v>
      </c>
      <c r="I5450" s="12" t="n">
        <v>52</v>
      </c>
      <c r="J5450" s="13" t="n">
        <v>174</v>
      </c>
      <c r="K5450" s="14" t="n">
        <f aca="false">I5450*J5450</f>
        <v>9048</v>
      </c>
      <c r="L5450" s="14" t="n">
        <f aca="false">($L$2*M5450)/100</f>
        <v>480666.6</v>
      </c>
      <c r="M5450" s="15" t="n">
        <v>0.4</v>
      </c>
      <c r="N5450" s="9" t="s">
        <v>85</v>
      </c>
    </row>
    <row r="5451" customFormat="false" ht="14.25" hidden="false" customHeight="true" outlineLevel="0" collapsed="false">
      <c r="B5451" s="9" t="s">
        <v>36</v>
      </c>
      <c r="C5451" s="9" t="n">
        <v>1185732</v>
      </c>
      <c r="D5451" s="10" t="n">
        <v>44481</v>
      </c>
      <c r="E5451" s="9" t="s">
        <v>33</v>
      </c>
      <c r="F5451" s="9" t="s">
        <v>72</v>
      </c>
      <c r="G5451" s="9" t="s">
        <v>73</v>
      </c>
      <c r="H5451" s="11" t="s">
        <v>19</v>
      </c>
      <c r="I5451" s="12" t="n">
        <v>50</v>
      </c>
      <c r="J5451" s="13" t="n">
        <v>202</v>
      </c>
      <c r="K5451" s="14" t="n">
        <f aca="false">I5451*J5451</f>
        <v>10100</v>
      </c>
      <c r="L5451" s="14" t="n">
        <f aca="false">($L$2*M5451)/100</f>
        <v>769066.56</v>
      </c>
      <c r="M5451" s="15" t="n">
        <v>0.64</v>
      </c>
      <c r="N5451" s="9" t="s">
        <v>85</v>
      </c>
    </row>
    <row r="5452" customFormat="false" ht="14.25" hidden="false" customHeight="true" outlineLevel="0" collapsed="false">
      <c r="B5452" s="9" t="s">
        <v>36</v>
      </c>
      <c r="C5452" s="9" t="n">
        <v>1185732</v>
      </c>
      <c r="D5452" s="10" t="n">
        <v>44481</v>
      </c>
      <c r="E5452" s="9" t="s">
        <v>33</v>
      </c>
      <c r="F5452" s="9" t="s">
        <v>72</v>
      </c>
      <c r="G5452" s="9" t="s">
        <v>73</v>
      </c>
      <c r="H5452" s="11" t="s">
        <v>21</v>
      </c>
      <c r="I5452" s="12" t="n">
        <v>44</v>
      </c>
      <c r="J5452" s="13" t="n">
        <v>174</v>
      </c>
      <c r="K5452" s="14" t="n">
        <f aca="false">I5452*J5452</f>
        <v>7656</v>
      </c>
      <c r="L5452" s="14" t="n">
        <f aca="false">($L$2*M5452)/100</f>
        <v>480666.6</v>
      </c>
      <c r="M5452" s="15" t="n">
        <v>0.4</v>
      </c>
      <c r="N5452" s="9" t="s">
        <v>85</v>
      </c>
    </row>
    <row r="5453" customFormat="false" ht="14.25" hidden="false" customHeight="true" outlineLevel="0" collapsed="false">
      <c r="B5453" s="9" t="s">
        <v>36</v>
      </c>
      <c r="C5453" s="9" t="n">
        <v>1185732</v>
      </c>
      <c r="D5453" s="10" t="n">
        <v>44481</v>
      </c>
      <c r="E5453" s="9" t="s">
        <v>33</v>
      </c>
      <c r="F5453" s="9" t="s">
        <v>72</v>
      </c>
      <c r="G5453" s="9" t="s">
        <v>73</v>
      </c>
      <c r="H5453" s="11" t="s">
        <v>22</v>
      </c>
      <c r="I5453" s="12" t="n">
        <v>42</v>
      </c>
      <c r="J5453" s="13" t="n">
        <v>125</v>
      </c>
      <c r="K5453" s="14" t="n">
        <f aca="false">I5453*J5453</f>
        <v>5250</v>
      </c>
      <c r="L5453" s="14" t="n">
        <f aca="false">($L$2*M5453)/100</f>
        <v>552766.59</v>
      </c>
      <c r="M5453" s="15" t="n">
        <v>0.46</v>
      </c>
      <c r="N5453" s="9" t="s">
        <v>85</v>
      </c>
    </row>
    <row r="5454" customFormat="false" ht="14.25" hidden="false" customHeight="true" outlineLevel="0" collapsed="false">
      <c r="B5454" s="9" t="s">
        <v>36</v>
      </c>
      <c r="C5454" s="9" t="n">
        <v>1185732</v>
      </c>
      <c r="D5454" s="10" t="n">
        <v>44481</v>
      </c>
      <c r="E5454" s="9" t="s">
        <v>33</v>
      </c>
      <c r="F5454" s="9" t="s">
        <v>72</v>
      </c>
      <c r="G5454" s="9" t="s">
        <v>73</v>
      </c>
      <c r="H5454" s="11" t="s">
        <v>23</v>
      </c>
      <c r="I5454" s="12" t="n">
        <v>41</v>
      </c>
      <c r="J5454" s="13" t="n">
        <v>119</v>
      </c>
      <c r="K5454" s="14" t="n">
        <f aca="false">I5454*J5454</f>
        <v>4879</v>
      </c>
      <c r="L5454" s="14" t="n">
        <f aca="false">($L$2*M5454)/100</f>
        <v>552766.59</v>
      </c>
      <c r="M5454" s="15" t="n">
        <v>0.46</v>
      </c>
      <c r="N5454" s="9" t="s">
        <v>85</v>
      </c>
    </row>
    <row r="5455" customFormat="false" ht="14.25" hidden="false" customHeight="true" outlineLevel="0" collapsed="false">
      <c r="B5455" s="9" t="s">
        <v>36</v>
      </c>
      <c r="C5455" s="9" t="n">
        <v>1185732</v>
      </c>
      <c r="D5455" s="10" t="n">
        <v>44481</v>
      </c>
      <c r="E5455" s="9" t="s">
        <v>33</v>
      </c>
      <c r="F5455" s="9" t="s">
        <v>72</v>
      </c>
      <c r="G5455" s="9" t="s">
        <v>73</v>
      </c>
      <c r="H5455" s="11" t="s">
        <v>24</v>
      </c>
      <c r="I5455" s="12" t="n">
        <v>54</v>
      </c>
      <c r="J5455" s="13" t="n">
        <v>128</v>
      </c>
      <c r="K5455" s="14" t="n">
        <f aca="false">I5455*J5455</f>
        <v>6912</v>
      </c>
      <c r="L5455" s="14" t="n">
        <f aca="false">($L$2*M5455)/100</f>
        <v>528733.26</v>
      </c>
      <c r="M5455" s="15" t="n">
        <v>0.44</v>
      </c>
      <c r="N5455" s="9" t="s">
        <v>85</v>
      </c>
    </row>
    <row r="5456" customFormat="false" ht="14.25" hidden="false" customHeight="true" outlineLevel="0" collapsed="false">
      <c r="B5456" s="9" t="s">
        <v>36</v>
      </c>
      <c r="C5456" s="9" t="n">
        <v>1185732</v>
      </c>
      <c r="D5456" s="10" t="n">
        <v>44481</v>
      </c>
      <c r="E5456" s="9" t="s">
        <v>33</v>
      </c>
      <c r="F5456" s="9" t="s">
        <v>72</v>
      </c>
      <c r="G5456" s="9" t="s">
        <v>73</v>
      </c>
      <c r="H5456" s="11" t="s">
        <v>25</v>
      </c>
      <c r="I5456" s="12" t="n">
        <v>55</v>
      </c>
      <c r="J5456" s="13" t="n">
        <v>150</v>
      </c>
      <c r="K5456" s="14" t="n">
        <f aca="false">I5456*J5456</f>
        <v>8250</v>
      </c>
      <c r="L5456" s="14" t="n">
        <f aca="false">($L$2*M5456)/100</f>
        <v>444616.605</v>
      </c>
      <c r="M5456" s="15" t="n">
        <v>0.37</v>
      </c>
      <c r="N5456" s="9" t="s">
        <v>85</v>
      </c>
    </row>
    <row r="5457" customFormat="false" ht="14.25" hidden="false" customHeight="true" outlineLevel="0" collapsed="false">
      <c r="B5457" s="9" t="s">
        <v>36</v>
      </c>
      <c r="C5457" s="9" t="n">
        <v>1185732</v>
      </c>
      <c r="D5457" s="10" t="n">
        <v>44511</v>
      </c>
      <c r="E5457" s="9" t="s">
        <v>33</v>
      </c>
      <c r="F5457" s="9" t="s">
        <v>72</v>
      </c>
      <c r="G5457" s="9" t="s">
        <v>73</v>
      </c>
      <c r="H5457" s="11" t="s">
        <v>19</v>
      </c>
      <c r="I5457" s="12" t="n">
        <v>53</v>
      </c>
      <c r="J5457" s="13" t="n">
        <v>218</v>
      </c>
      <c r="K5457" s="14" t="n">
        <f aca="false">I5457*J5457</f>
        <v>11554</v>
      </c>
      <c r="L5457" s="14" t="n">
        <f aca="false">($L$2*M5457)/100</f>
        <v>733016.565</v>
      </c>
      <c r="M5457" s="15" t="n">
        <v>0.61</v>
      </c>
      <c r="N5457" s="9" t="s">
        <v>85</v>
      </c>
    </row>
    <row r="5458" customFormat="false" ht="14.25" hidden="false" customHeight="true" outlineLevel="0" collapsed="false">
      <c r="B5458" s="9" t="s">
        <v>36</v>
      </c>
      <c r="C5458" s="9" t="n">
        <v>1185732</v>
      </c>
      <c r="D5458" s="10" t="n">
        <v>44511</v>
      </c>
      <c r="E5458" s="9" t="s">
        <v>33</v>
      </c>
      <c r="F5458" s="9" t="s">
        <v>72</v>
      </c>
      <c r="G5458" s="9" t="s">
        <v>73</v>
      </c>
      <c r="H5458" s="11" t="s">
        <v>21</v>
      </c>
      <c r="I5458" s="12" t="n">
        <v>42</v>
      </c>
      <c r="J5458" s="13" t="n">
        <v>167</v>
      </c>
      <c r="K5458" s="14" t="n">
        <f aca="false">I5458*J5458</f>
        <v>7014</v>
      </c>
      <c r="L5458" s="14" t="n">
        <f aca="false">($L$2*M5458)/100</f>
        <v>516716.595</v>
      </c>
      <c r="M5458" s="15" t="n">
        <v>0.43</v>
      </c>
      <c r="N5458" s="9" t="s">
        <v>85</v>
      </c>
    </row>
    <row r="5459" customFormat="false" ht="14.25" hidden="false" customHeight="true" outlineLevel="0" collapsed="false">
      <c r="B5459" s="9" t="s">
        <v>36</v>
      </c>
      <c r="C5459" s="9" t="n">
        <v>1185732</v>
      </c>
      <c r="D5459" s="10" t="n">
        <v>44511</v>
      </c>
      <c r="E5459" s="9" t="s">
        <v>33</v>
      </c>
      <c r="F5459" s="9" t="s">
        <v>72</v>
      </c>
      <c r="G5459" s="9" t="s">
        <v>73</v>
      </c>
      <c r="H5459" s="11" t="s">
        <v>22</v>
      </c>
      <c r="I5459" s="12" t="n">
        <v>42</v>
      </c>
      <c r="J5459" s="13" t="n">
        <v>146</v>
      </c>
      <c r="K5459" s="14" t="n">
        <f aca="false">I5459*J5459</f>
        <v>6132</v>
      </c>
      <c r="L5459" s="14" t="n">
        <f aca="false">($L$2*M5459)/100</f>
        <v>600833.25</v>
      </c>
      <c r="M5459" s="15" t="n">
        <v>0.5</v>
      </c>
      <c r="N5459" s="9" t="s">
        <v>85</v>
      </c>
    </row>
    <row r="5460" customFormat="false" ht="14.25" hidden="false" customHeight="true" outlineLevel="0" collapsed="false">
      <c r="B5460" s="9" t="s">
        <v>36</v>
      </c>
      <c r="C5460" s="9" t="n">
        <v>1185732</v>
      </c>
      <c r="D5460" s="10" t="n">
        <v>44511</v>
      </c>
      <c r="E5460" s="9" t="s">
        <v>33</v>
      </c>
      <c r="F5460" s="9" t="s">
        <v>72</v>
      </c>
      <c r="G5460" s="9" t="s">
        <v>73</v>
      </c>
      <c r="H5460" s="11" t="s">
        <v>23</v>
      </c>
      <c r="I5460" s="12" t="n">
        <v>42</v>
      </c>
      <c r="J5460" s="13" t="n">
        <v>135</v>
      </c>
      <c r="K5460" s="14" t="n">
        <f aca="false">I5460*J5460</f>
        <v>5670</v>
      </c>
      <c r="L5460" s="14" t="n">
        <f aca="false">($L$2*M5460)/100</f>
        <v>588816.585</v>
      </c>
      <c r="M5460" s="15" t="n">
        <v>0.49</v>
      </c>
      <c r="N5460" s="9" t="s">
        <v>85</v>
      </c>
    </row>
    <row r="5461" customFormat="false" ht="14.25" hidden="false" customHeight="true" outlineLevel="0" collapsed="false">
      <c r="B5461" s="9" t="s">
        <v>36</v>
      </c>
      <c r="C5461" s="9" t="n">
        <v>1185732</v>
      </c>
      <c r="D5461" s="10" t="n">
        <v>44511</v>
      </c>
      <c r="E5461" s="9" t="s">
        <v>33</v>
      </c>
      <c r="F5461" s="9" t="s">
        <v>72</v>
      </c>
      <c r="G5461" s="9" t="s">
        <v>73</v>
      </c>
      <c r="H5461" s="11" t="s">
        <v>24</v>
      </c>
      <c r="I5461" s="12" t="n">
        <v>51</v>
      </c>
      <c r="J5461" s="13" t="n">
        <v>143</v>
      </c>
      <c r="K5461" s="14" t="n">
        <f aca="false">I5461*J5461</f>
        <v>7293</v>
      </c>
      <c r="L5461" s="14" t="n">
        <f aca="false">($L$2*M5461)/100</f>
        <v>492683.265</v>
      </c>
      <c r="M5461" s="15" t="n">
        <v>0.41</v>
      </c>
      <c r="N5461" s="9" t="s">
        <v>85</v>
      </c>
    </row>
    <row r="5462" customFormat="false" ht="14.25" hidden="false" customHeight="true" outlineLevel="0" collapsed="false">
      <c r="B5462" s="9" t="s">
        <v>36</v>
      </c>
      <c r="C5462" s="9" t="n">
        <v>1185732</v>
      </c>
      <c r="D5462" s="10" t="n">
        <v>44511</v>
      </c>
      <c r="E5462" s="9" t="s">
        <v>33</v>
      </c>
      <c r="F5462" s="9" t="s">
        <v>72</v>
      </c>
      <c r="G5462" s="9" t="s">
        <v>73</v>
      </c>
      <c r="H5462" s="11" t="s">
        <v>25</v>
      </c>
      <c r="I5462" s="12" t="n">
        <v>55</v>
      </c>
      <c r="J5462" s="13" t="n">
        <v>161</v>
      </c>
      <c r="K5462" s="14" t="n">
        <f aca="false">I5462*J5462</f>
        <v>8855</v>
      </c>
      <c r="L5462" s="14" t="n">
        <f aca="false">($L$2*M5462)/100</f>
        <v>468649.935</v>
      </c>
      <c r="M5462" s="15" t="n">
        <v>0.39</v>
      </c>
      <c r="N5462" s="9" t="s">
        <v>85</v>
      </c>
    </row>
    <row r="5463" customFormat="false" ht="14.25" hidden="false" customHeight="true" outlineLevel="0" collapsed="false">
      <c r="B5463" s="9" t="s">
        <v>36</v>
      </c>
      <c r="C5463" s="9" t="n">
        <v>1185732</v>
      </c>
      <c r="D5463" s="10" t="n">
        <v>44540</v>
      </c>
      <c r="E5463" s="9" t="s">
        <v>33</v>
      </c>
      <c r="F5463" s="9" t="s">
        <v>72</v>
      </c>
      <c r="G5463" s="9" t="s">
        <v>73</v>
      </c>
      <c r="H5463" s="11" t="s">
        <v>19</v>
      </c>
      <c r="I5463" s="12" t="n">
        <v>52</v>
      </c>
      <c r="J5463" s="13" t="n">
        <v>224</v>
      </c>
      <c r="K5463" s="14" t="n">
        <f aca="false">I5463*J5463</f>
        <v>11648</v>
      </c>
      <c r="L5463" s="14" t="n">
        <f aca="false">($L$2*M5463)/100</f>
        <v>733016.565</v>
      </c>
      <c r="M5463" s="15" t="n">
        <v>0.61</v>
      </c>
      <c r="N5463" s="9" t="s">
        <v>85</v>
      </c>
    </row>
    <row r="5464" customFormat="false" ht="14.25" hidden="false" customHeight="true" outlineLevel="0" collapsed="false">
      <c r="B5464" s="9" t="s">
        <v>36</v>
      </c>
      <c r="C5464" s="9" t="n">
        <v>1185732</v>
      </c>
      <c r="D5464" s="10" t="n">
        <v>44540</v>
      </c>
      <c r="E5464" s="9" t="s">
        <v>33</v>
      </c>
      <c r="F5464" s="9" t="s">
        <v>72</v>
      </c>
      <c r="G5464" s="9" t="s">
        <v>73</v>
      </c>
      <c r="H5464" s="11" t="s">
        <v>21</v>
      </c>
      <c r="I5464" s="12" t="n">
        <v>44</v>
      </c>
      <c r="J5464" s="13" t="n">
        <v>168</v>
      </c>
      <c r="K5464" s="14" t="n">
        <f aca="false">I5464*J5464</f>
        <v>7392</v>
      </c>
      <c r="L5464" s="14" t="n">
        <f aca="false">($L$2*M5464)/100</f>
        <v>492683.265</v>
      </c>
      <c r="M5464" s="15" t="n">
        <v>0.41</v>
      </c>
      <c r="N5464" s="9" t="s">
        <v>85</v>
      </c>
    </row>
    <row r="5465" customFormat="false" ht="14.25" hidden="false" customHeight="true" outlineLevel="0" collapsed="false">
      <c r="B5465" s="9" t="s">
        <v>16</v>
      </c>
      <c r="C5465" s="9" t="n">
        <v>1185732</v>
      </c>
      <c r="D5465" s="10" t="n">
        <v>44540</v>
      </c>
      <c r="E5465" s="9" t="s">
        <v>33</v>
      </c>
      <c r="F5465" s="9" t="s">
        <v>72</v>
      </c>
      <c r="G5465" s="9" t="s">
        <v>73</v>
      </c>
      <c r="H5465" s="11" t="s">
        <v>22</v>
      </c>
      <c r="I5465" s="12" t="n">
        <v>44</v>
      </c>
      <c r="J5465" s="13" t="n">
        <v>165</v>
      </c>
      <c r="K5465" s="14" t="n">
        <f aca="false">I5465*J5465</f>
        <v>7260</v>
      </c>
      <c r="L5465" s="14" t="n">
        <f aca="false">($L$2*M5465)/100</f>
        <v>552766.59</v>
      </c>
      <c r="M5465" s="15" t="n">
        <v>0.46</v>
      </c>
      <c r="N5465" s="9" t="s">
        <v>85</v>
      </c>
    </row>
    <row r="5466" customFormat="false" ht="14.25" hidden="false" customHeight="true" outlineLevel="0" collapsed="false">
      <c r="B5466" s="9" t="s">
        <v>16</v>
      </c>
      <c r="C5466" s="9" t="n">
        <v>1185732</v>
      </c>
      <c r="D5466" s="10" t="n">
        <v>44540</v>
      </c>
      <c r="E5466" s="9" t="s">
        <v>33</v>
      </c>
      <c r="F5466" s="9" t="s">
        <v>72</v>
      </c>
      <c r="G5466" s="9" t="s">
        <v>73</v>
      </c>
      <c r="H5466" s="11" t="s">
        <v>23</v>
      </c>
      <c r="I5466" s="12" t="n">
        <v>44</v>
      </c>
      <c r="J5466" s="13" t="n">
        <v>135</v>
      </c>
      <c r="K5466" s="14" t="n">
        <f aca="false">I5466*J5466</f>
        <v>5940</v>
      </c>
      <c r="L5466" s="14" t="n">
        <f aca="false">($L$2*M5466)/100</f>
        <v>588816.585</v>
      </c>
      <c r="M5466" s="15" t="n">
        <v>0.49</v>
      </c>
      <c r="N5466" s="9" t="s">
        <v>85</v>
      </c>
    </row>
    <row r="5467" customFormat="false" ht="14.25" hidden="false" customHeight="true" outlineLevel="0" collapsed="false">
      <c r="B5467" s="9" t="s">
        <v>16</v>
      </c>
      <c r="C5467" s="9" t="n">
        <v>1185732</v>
      </c>
      <c r="D5467" s="10" t="n">
        <v>44540</v>
      </c>
      <c r="E5467" s="9" t="s">
        <v>33</v>
      </c>
      <c r="F5467" s="9" t="s">
        <v>72</v>
      </c>
      <c r="G5467" s="9" t="s">
        <v>73</v>
      </c>
      <c r="H5467" s="11" t="s">
        <v>24</v>
      </c>
      <c r="I5467" s="12" t="n">
        <v>54</v>
      </c>
      <c r="J5467" s="13" t="n">
        <v>145</v>
      </c>
      <c r="K5467" s="14" t="n">
        <f aca="false">I5467*J5467</f>
        <v>7830</v>
      </c>
      <c r="L5467" s="14" t="n">
        <f aca="false">($L$2*M5467)/100</f>
        <v>540749.925</v>
      </c>
      <c r="M5467" s="15" t="n">
        <v>0.45</v>
      </c>
      <c r="N5467" s="9" t="s">
        <v>85</v>
      </c>
    </row>
    <row r="5468" customFormat="false" ht="14.25" hidden="false" customHeight="true" outlineLevel="0" collapsed="false">
      <c r="B5468" s="9" t="s">
        <v>16</v>
      </c>
      <c r="C5468" s="9" t="n">
        <v>1185732</v>
      </c>
      <c r="D5468" s="10" t="n">
        <v>44540</v>
      </c>
      <c r="E5468" s="9" t="s">
        <v>33</v>
      </c>
      <c r="F5468" s="9" t="s">
        <v>72</v>
      </c>
      <c r="G5468" s="9" t="s">
        <v>73</v>
      </c>
      <c r="H5468" s="11" t="s">
        <v>25</v>
      </c>
      <c r="I5468" s="12" t="n">
        <v>56</v>
      </c>
      <c r="J5468" s="13" t="n">
        <v>174</v>
      </c>
      <c r="K5468" s="14" t="n">
        <f aca="false">I5468*J5468</f>
        <v>9744</v>
      </c>
      <c r="L5468" s="14" t="n">
        <f aca="false">($L$2*M5468)/100</f>
        <v>432599.94</v>
      </c>
      <c r="M5468" s="15" t="n">
        <v>0.36</v>
      </c>
      <c r="N5468" s="9" t="s">
        <v>85</v>
      </c>
    </row>
    <row r="5469" customFormat="false" ht="14.25" hidden="false" customHeight="true" outlineLevel="0" collapsed="false">
      <c r="B5469" s="9" t="s">
        <v>16</v>
      </c>
      <c r="C5469" s="9" t="n">
        <v>1128299</v>
      </c>
      <c r="D5469" s="10" t="n">
        <v>44220</v>
      </c>
      <c r="E5469" s="9" t="s">
        <v>33</v>
      </c>
      <c r="F5469" s="9" t="s">
        <v>72</v>
      </c>
      <c r="G5469" s="9" t="s">
        <v>73</v>
      </c>
      <c r="H5469" s="11" t="s">
        <v>19</v>
      </c>
      <c r="I5469" s="12" t="n">
        <v>29</v>
      </c>
      <c r="J5469" s="13" t="n">
        <v>91</v>
      </c>
      <c r="K5469" s="14" t="n">
        <f aca="false">I5469*J5469</f>
        <v>2639</v>
      </c>
      <c r="L5469" s="14" t="n">
        <f aca="false">($L$2*M5469)/100</f>
        <v>552766.59</v>
      </c>
      <c r="M5469" s="15" t="n">
        <v>0.46</v>
      </c>
      <c r="N5469" s="9" t="s">
        <v>85</v>
      </c>
    </row>
    <row r="5470" customFormat="false" ht="14.25" hidden="false" customHeight="true" outlineLevel="0" collapsed="false">
      <c r="B5470" s="9" t="s">
        <v>16</v>
      </c>
      <c r="C5470" s="9" t="n">
        <v>1128299</v>
      </c>
      <c r="D5470" s="10" t="n">
        <v>44220</v>
      </c>
      <c r="E5470" s="9" t="s">
        <v>33</v>
      </c>
      <c r="F5470" s="9" t="s">
        <v>72</v>
      </c>
      <c r="G5470" s="9" t="s">
        <v>73</v>
      </c>
      <c r="H5470" s="11" t="s">
        <v>21</v>
      </c>
      <c r="I5470" s="12" t="n">
        <v>36</v>
      </c>
      <c r="J5470" s="13" t="n">
        <v>105</v>
      </c>
      <c r="K5470" s="14" t="n">
        <f aca="false">I5470*J5470</f>
        <v>3780</v>
      </c>
      <c r="L5470" s="14" t="n">
        <f aca="false">($L$2*M5470)/100</f>
        <v>552766.59</v>
      </c>
      <c r="M5470" s="15" t="n">
        <v>0.46</v>
      </c>
      <c r="N5470" s="9" t="s">
        <v>85</v>
      </c>
    </row>
    <row r="5471" customFormat="false" ht="14.25" hidden="false" customHeight="true" outlineLevel="0" collapsed="false">
      <c r="B5471" s="9" t="s">
        <v>16</v>
      </c>
      <c r="C5471" s="9" t="n">
        <v>1128299</v>
      </c>
      <c r="D5471" s="10" t="n">
        <v>44220</v>
      </c>
      <c r="E5471" s="9" t="s">
        <v>33</v>
      </c>
      <c r="F5471" s="9" t="s">
        <v>72</v>
      </c>
      <c r="G5471" s="9" t="s">
        <v>73</v>
      </c>
      <c r="H5471" s="11" t="s">
        <v>22</v>
      </c>
      <c r="I5471" s="12" t="n">
        <v>39</v>
      </c>
      <c r="J5471" s="13" t="n">
        <v>91</v>
      </c>
      <c r="K5471" s="14" t="n">
        <f aca="false">I5471*J5471</f>
        <v>3549</v>
      </c>
      <c r="L5471" s="14" t="n">
        <f aca="false">($L$2*M5471)/100</f>
        <v>540749.925</v>
      </c>
      <c r="M5471" s="15" t="n">
        <v>0.45</v>
      </c>
      <c r="N5471" s="9" t="s">
        <v>85</v>
      </c>
    </row>
    <row r="5472" customFormat="false" ht="14.25" hidden="false" customHeight="true" outlineLevel="0" collapsed="false">
      <c r="B5472" s="9" t="s">
        <v>16</v>
      </c>
      <c r="C5472" s="9" t="n">
        <v>1128299</v>
      </c>
      <c r="D5472" s="10" t="n">
        <v>44220</v>
      </c>
      <c r="E5472" s="9" t="s">
        <v>33</v>
      </c>
      <c r="F5472" s="9" t="s">
        <v>72</v>
      </c>
      <c r="G5472" s="9" t="s">
        <v>73</v>
      </c>
      <c r="H5472" s="11" t="s">
        <v>23</v>
      </c>
      <c r="I5472" s="12" t="n">
        <v>38</v>
      </c>
      <c r="J5472" s="13" t="n">
        <v>54</v>
      </c>
      <c r="K5472" s="14" t="n">
        <f aca="false">I5472*J5472</f>
        <v>2052</v>
      </c>
      <c r="L5472" s="14" t="n">
        <f aca="false">($L$2*M5472)/100</f>
        <v>564783.255</v>
      </c>
      <c r="M5472" s="15" t="n">
        <v>0.47</v>
      </c>
      <c r="N5472" s="9" t="s">
        <v>85</v>
      </c>
    </row>
    <row r="5473" customFormat="false" ht="14.25" hidden="false" customHeight="true" outlineLevel="0" collapsed="false">
      <c r="B5473" s="9" t="s">
        <v>16</v>
      </c>
      <c r="C5473" s="9" t="n">
        <v>1128299</v>
      </c>
      <c r="D5473" s="10" t="n">
        <v>44220</v>
      </c>
      <c r="E5473" s="9" t="s">
        <v>33</v>
      </c>
      <c r="F5473" s="9" t="s">
        <v>72</v>
      </c>
      <c r="G5473" s="9" t="s">
        <v>73</v>
      </c>
      <c r="H5473" s="11" t="s">
        <v>24</v>
      </c>
      <c r="I5473" s="12" t="n">
        <v>42</v>
      </c>
      <c r="J5473" s="13" t="n">
        <v>45</v>
      </c>
      <c r="K5473" s="14" t="n">
        <f aca="false">I5473*J5473</f>
        <v>1890</v>
      </c>
      <c r="L5473" s="14" t="n">
        <f aca="false">($L$2*M5473)/100</f>
        <v>612849.915</v>
      </c>
      <c r="M5473" s="15" t="n">
        <v>0.51</v>
      </c>
      <c r="N5473" s="9" t="s">
        <v>85</v>
      </c>
    </row>
    <row r="5474" customFormat="false" ht="14.25" hidden="false" customHeight="true" outlineLevel="0" collapsed="false">
      <c r="B5474" s="9" t="s">
        <v>16</v>
      </c>
      <c r="C5474" s="9" t="n">
        <v>1128299</v>
      </c>
      <c r="D5474" s="10" t="n">
        <v>44220</v>
      </c>
      <c r="E5474" s="9" t="s">
        <v>33</v>
      </c>
      <c r="F5474" s="9" t="s">
        <v>72</v>
      </c>
      <c r="G5474" s="9" t="s">
        <v>73</v>
      </c>
      <c r="H5474" s="11" t="s">
        <v>25</v>
      </c>
      <c r="I5474" s="12" t="n">
        <v>38</v>
      </c>
      <c r="J5474" s="13" t="n">
        <v>116</v>
      </c>
      <c r="K5474" s="14" t="n">
        <f aca="false">I5474*J5474</f>
        <v>4408</v>
      </c>
      <c r="L5474" s="14" t="n">
        <f aca="false">($L$2*M5474)/100</f>
        <v>540749.925</v>
      </c>
      <c r="M5474" s="15" t="n">
        <v>0.45</v>
      </c>
      <c r="N5474" s="9" t="s">
        <v>85</v>
      </c>
    </row>
    <row r="5475" customFormat="false" ht="14.25" hidden="false" customHeight="true" outlineLevel="0" collapsed="false">
      <c r="B5475" s="9" t="s">
        <v>16</v>
      </c>
      <c r="C5475" s="9" t="n">
        <v>1128299</v>
      </c>
      <c r="D5475" s="10" t="n">
        <v>44251</v>
      </c>
      <c r="E5475" s="9" t="s">
        <v>33</v>
      </c>
      <c r="F5475" s="9" t="s">
        <v>72</v>
      </c>
      <c r="G5475" s="9" t="s">
        <v>73</v>
      </c>
      <c r="H5475" s="11" t="s">
        <v>19</v>
      </c>
      <c r="I5475" s="12" t="n">
        <v>27</v>
      </c>
      <c r="J5475" s="13" t="n">
        <v>113</v>
      </c>
      <c r="K5475" s="14" t="n">
        <f aca="false">I5475*J5475</f>
        <v>3051</v>
      </c>
      <c r="L5475" s="14" t="n">
        <f aca="false">($L$2*M5475)/100</f>
        <v>552766.59</v>
      </c>
      <c r="M5475" s="15" t="n">
        <v>0.46</v>
      </c>
      <c r="N5475" s="9" t="s">
        <v>85</v>
      </c>
    </row>
    <row r="5476" customFormat="false" ht="14.25" hidden="false" customHeight="true" outlineLevel="0" collapsed="false">
      <c r="B5476" s="9" t="s">
        <v>16</v>
      </c>
      <c r="C5476" s="9" t="n">
        <v>1128299</v>
      </c>
      <c r="D5476" s="10" t="n">
        <v>44251</v>
      </c>
      <c r="E5476" s="9" t="s">
        <v>33</v>
      </c>
      <c r="F5476" s="9" t="s">
        <v>72</v>
      </c>
      <c r="G5476" s="9" t="s">
        <v>73</v>
      </c>
      <c r="H5476" s="11" t="s">
        <v>21</v>
      </c>
      <c r="I5476" s="12" t="n">
        <v>36</v>
      </c>
      <c r="J5476" s="13" t="n">
        <v>105</v>
      </c>
      <c r="K5476" s="14" t="n">
        <f aca="false">I5476*J5476</f>
        <v>3780</v>
      </c>
      <c r="L5476" s="14" t="n">
        <f aca="false">($L$2*M5476)/100</f>
        <v>540749.925</v>
      </c>
      <c r="M5476" s="15" t="n">
        <v>0.45</v>
      </c>
      <c r="N5476" s="9" t="s">
        <v>85</v>
      </c>
    </row>
    <row r="5477" customFormat="false" ht="14.25" hidden="false" customHeight="true" outlineLevel="0" collapsed="false">
      <c r="B5477" s="9" t="s">
        <v>16</v>
      </c>
      <c r="C5477" s="9" t="n">
        <v>1128299</v>
      </c>
      <c r="D5477" s="10" t="n">
        <v>44251</v>
      </c>
      <c r="E5477" s="9" t="s">
        <v>33</v>
      </c>
      <c r="F5477" s="9" t="s">
        <v>72</v>
      </c>
      <c r="G5477" s="9" t="s">
        <v>73</v>
      </c>
      <c r="H5477" s="11" t="s">
        <v>22</v>
      </c>
      <c r="I5477" s="12" t="n">
        <v>39</v>
      </c>
      <c r="J5477" s="13" t="n">
        <v>88</v>
      </c>
      <c r="K5477" s="14" t="n">
        <f aca="false">I5477*J5477</f>
        <v>3432</v>
      </c>
      <c r="L5477" s="14" t="n">
        <f aca="false">($L$2*M5477)/100</f>
        <v>540749.925</v>
      </c>
      <c r="M5477" s="15" t="n">
        <v>0.45</v>
      </c>
      <c r="N5477" s="9" t="s">
        <v>85</v>
      </c>
    </row>
    <row r="5478" customFormat="false" ht="14.25" hidden="false" customHeight="true" outlineLevel="0" collapsed="false">
      <c r="B5478" s="9" t="s">
        <v>16</v>
      </c>
      <c r="C5478" s="9" t="n">
        <v>1128299</v>
      </c>
      <c r="D5478" s="10" t="n">
        <v>44251</v>
      </c>
      <c r="E5478" s="9" t="s">
        <v>50</v>
      </c>
      <c r="F5478" s="9" t="s">
        <v>74</v>
      </c>
      <c r="G5478" s="9" t="s">
        <v>75</v>
      </c>
      <c r="H5478" s="11" t="s">
        <v>23</v>
      </c>
      <c r="I5478" s="12" t="n">
        <v>38</v>
      </c>
      <c r="J5478" s="13" t="n">
        <v>58</v>
      </c>
      <c r="K5478" s="14" t="n">
        <f aca="false">I5478*J5478</f>
        <v>2204</v>
      </c>
      <c r="L5478" s="14" t="n">
        <f aca="false">($L$2*M5478)/100</f>
        <v>600833.25</v>
      </c>
      <c r="M5478" s="15" t="n">
        <v>0.5</v>
      </c>
      <c r="N5478" s="9" t="s">
        <v>85</v>
      </c>
    </row>
    <row r="5479" customFormat="false" ht="14.25" hidden="false" customHeight="true" outlineLevel="0" collapsed="false">
      <c r="B5479" s="9" t="s">
        <v>16</v>
      </c>
      <c r="C5479" s="9" t="n">
        <v>1128299</v>
      </c>
      <c r="D5479" s="10" t="n">
        <v>44251</v>
      </c>
      <c r="E5479" s="9" t="s">
        <v>50</v>
      </c>
      <c r="F5479" s="9" t="s">
        <v>74</v>
      </c>
      <c r="G5479" s="9" t="s">
        <v>75</v>
      </c>
      <c r="H5479" s="11" t="s">
        <v>24</v>
      </c>
      <c r="I5479" s="12" t="n">
        <v>42</v>
      </c>
      <c r="J5479" s="13" t="n">
        <v>38</v>
      </c>
      <c r="K5479" s="14" t="n">
        <f aca="false">I5479*J5479</f>
        <v>1596</v>
      </c>
      <c r="L5479" s="14" t="n">
        <f aca="false">($L$2*M5479)/100</f>
        <v>660916.575</v>
      </c>
      <c r="M5479" s="15" t="n">
        <v>0.55</v>
      </c>
      <c r="N5479" s="9" t="s">
        <v>85</v>
      </c>
    </row>
    <row r="5480" customFormat="false" ht="14.25" hidden="false" customHeight="true" outlineLevel="0" collapsed="false">
      <c r="B5480" s="9" t="s">
        <v>16</v>
      </c>
      <c r="C5480" s="9" t="n">
        <v>1128299</v>
      </c>
      <c r="D5480" s="10" t="n">
        <v>44251</v>
      </c>
      <c r="E5480" s="9" t="s">
        <v>50</v>
      </c>
      <c r="F5480" s="9" t="s">
        <v>74</v>
      </c>
      <c r="G5480" s="9" t="s">
        <v>75</v>
      </c>
      <c r="H5480" s="11" t="s">
        <v>25</v>
      </c>
      <c r="I5480" s="12" t="n">
        <v>38</v>
      </c>
      <c r="J5480" s="13" t="n">
        <v>81</v>
      </c>
      <c r="K5480" s="14" t="n">
        <f aca="false">I5480*J5480</f>
        <v>3078</v>
      </c>
      <c r="L5480" s="14" t="n">
        <f aca="false">($L$2*M5480)/100</f>
        <v>516716.595</v>
      </c>
      <c r="M5480" s="15" t="n">
        <v>0.43</v>
      </c>
      <c r="N5480" s="9" t="s">
        <v>85</v>
      </c>
    </row>
    <row r="5481" customFormat="false" ht="14.25" hidden="false" customHeight="true" outlineLevel="0" collapsed="false">
      <c r="B5481" s="9" t="s">
        <v>16</v>
      </c>
      <c r="C5481" s="9" t="n">
        <v>1128299</v>
      </c>
      <c r="D5481" s="10" t="n">
        <v>44278</v>
      </c>
      <c r="E5481" s="9" t="s">
        <v>50</v>
      </c>
      <c r="F5481" s="9" t="s">
        <v>74</v>
      </c>
      <c r="G5481" s="9" t="s">
        <v>75</v>
      </c>
      <c r="H5481" s="11" t="s">
        <v>19</v>
      </c>
      <c r="I5481" s="12" t="n">
        <v>38</v>
      </c>
      <c r="J5481" s="13" t="n">
        <v>143</v>
      </c>
      <c r="K5481" s="14" t="n">
        <f aca="false">I5481*J5481</f>
        <v>5434</v>
      </c>
      <c r="L5481" s="14" t="n">
        <f aca="false">($L$2*M5481)/100</f>
        <v>564783.255</v>
      </c>
      <c r="M5481" s="15" t="n">
        <v>0.47</v>
      </c>
      <c r="N5481" s="9" t="s">
        <v>85</v>
      </c>
    </row>
    <row r="5482" customFormat="false" ht="14.25" hidden="false" customHeight="true" outlineLevel="0" collapsed="false">
      <c r="B5482" s="9" t="s">
        <v>16</v>
      </c>
      <c r="C5482" s="9" t="n">
        <v>1128299</v>
      </c>
      <c r="D5482" s="10" t="n">
        <v>44278</v>
      </c>
      <c r="E5482" s="9" t="s">
        <v>50</v>
      </c>
      <c r="F5482" s="9" t="s">
        <v>74</v>
      </c>
      <c r="G5482" s="9" t="s">
        <v>75</v>
      </c>
      <c r="H5482" s="11" t="s">
        <v>21</v>
      </c>
      <c r="I5482" s="12" t="n">
        <v>45</v>
      </c>
      <c r="J5482" s="13" t="n">
        <v>85</v>
      </c>
      <c r="K5482" s="14" t="n">
        <f aca="false">I5482*J5482</f>
        <v>3825</v>
      </c>
      <c r="L5482" s="14" t="n">
        <f aca="false">($L$2*M5482)/100</f>
        <v>564783.255</v>
      </c>
      <c r="M5482" s="15" t="n">
        <v>0.47</v>
      </c>
      <c r="N5482" s="9" t="s">
        <v>85</v>
      </c>
    </row>
    <row r="5483" customFormat="false" ht="14.25" hidden="false" customHeight="true" outlineLevel="0" collapsed="false">
      <c r="B5483" s="9" t="s">
        <v>16</v>
      </c>
      <c r="C5483" s="9" t="n">
        <v>1128299</v>
      </c>
      <c r="D5483" s="10" t="n">
        <v>44278</v>
      </c>
      <c r="E5483" s="9" t="s">
        <v>50</v>
      </c>
      <c r="F5483" s="9" t="s">
        <v>74</v>
      </c>
      <c r="G5483" s="9" t="s">
        <v>75</v>
      </c>
      <c r="H5483" s="11" t="s">
        <v>22</v>
      </c>
      <c r="I5483" s="12" t="n">
        <v>52</v>
      </c>
      <c r="J5483" s="13" t="n">
        <v>91</v>
      </c>
      <c r="K5483" s="14" t="n">
        <f aca="false">I5483*J5483</f>
        <v>4732</v>
      </c>
      <c r="L5483" s="14" t="n">
        <f aca="false">($L$2*M5483)/100</f>
        <v>576799.92</v>
      </c>
      <c r="M5483" s="15" t="n">
        <v>0.48</v>
      </c>
      <c r="N5483" s="9" t="s">
        <v>85</v>
      </c>
    </row>
    <row r="5484" customFormat="false" ht="14.25" hidden="false" customHeight="true" outlineLevel="0" collapsed="false">
      <c r="B5484" s="9" t="s">
        <v>16</v>
      </c>
      <c r="C5484" s="9" t="n">
        <v>1128299</v>
      </c>
      <c r="D5484" s="10" t="n">
        <v>44278</v>
      </c>
      <c r="E5484" s="9" t="s">
        <v>50</v>
      </c>
      <c r="F5484" s="9" t="s">
        <v>74</v>
      </c>
      <c r="G5484" s="9" t="s">
        <v>75</v>
      </c>
      <c r="H5484" s="11" t="s">
        <v>23</v>
      </c>
      <c r="I5484" s="12" t="n">
        <v>48</v>
      </c>
      <c r="J5484" s="13" t="n">
        <v>65</v>
      </c>
      <c r="K5484" s="14" t="n">
        <f aca="false">I5484*J5484</f>
        <v>3120</v>
      </c>
      <c r="L5484" s="14" t="n">
        <f aca="false">($L$2*M5484)/100</f>
        <v>552766.59</v>
      </c>
      <c r="M5484" s="15" t="n">
        <v>0.46</v>
      </c>
      <c r="N5484" s="9" t="s">
        <v>85</v>
      </c>
    </row>
    <row r="5485" customFormat="false" ht="14.25" hidden="false" customHeight="true" outlineLevel="0" collapsed="false">
      <c r="B5485" s="9" t="s">
        <v>16</v>
      </c>
      <c r="C5485" s="9" t="n">
        <v>1128299</v>
      </c>
      <c r="D5485" s="10" t="n">
        <v>44278</v>
      </c>
      <c r="E5485" s="9" t="s">
        <v>50</v>
      </c>
      <c r="F5485" s="9" t="s">
        <v>74</v>
      </c>
      <c r="G5485" s="9" t="s">
        <v>75</v>
      </c>
      <c r="H5485" s="11" t="s">
        <v>24</v>
      </c>
      <c r="I5485" s="12" t="n">
        <v>51</v>
      </c>
      <c r="J5485" s="13" t="n">
        <v>30</v>
      </c>
      <c r="K5485" s="14" t="n">
        <f aca="false">I5485*J5485</f>
        <v>1530</v>
      </c>
      <c r="L5485" s="14" t="n">
        <f aca="false">($L$2*M5485)/100</f>
        <v>624866.58</v>
      </c>
      <c r="M5485" s="15" t="n">
        <v>0.52</v>
      </c>
      <c r="N5485" s="9" t="s">
        <v>85</v>
      </c>
    </row>
    <row r="5486" customFormat="false" ht="14.25" hidden="false" customHeight="true" outlineLevel="0" collapsed="false">
      <c r="B5486" s="9" t="s">
        <v>16</v>
      </c>
      <c r="C5486" s="9" t="n">
        <v>1128299</v>
      </c>
      <c r="D5486" s="10" t="n">
        <v>44278</v>
      </c>
      <c r="E5486" s="9" t="s">
        <v>50</v>
      </c>
      <c r="F5486" s="9" t="s">
        <v>74</v>
      </c>
      <c r="G5486" s="9" t="s">
        <v>75</v>
      </c>
      <c r="H5486" s="11" t="s">
        <v>25</v>
      </c>
      <c r="I5486" s="12" t="n">
        <v>49</v>
      </c>
      <c r="J5486" s="13" t="n">
        <v>78</v>
      </c>
      <c r="K5486" s="14" t="n">
        <f aca="false">I5486*J5486</f>
        <v>3822</v>
      </c>
      <c r="L5486" s="14" t="n">
        <f aca="false">($L$2*M5486)/100</f>
        <v>504699.93</v>
      </c>
      <c r="M5486" s="15" t="n">
        <v>0.42</v>
      </c>
      <c r="N5486" s="9" t="s">
        <v>85</v>
      </c>
    </row>
    <row r="5487" customFormat="false" ht="14.25" hidden="false" customHeight="true" outlineLevel="0" collapsed="false">
      <c r="B5487" s="9" t="s">
        <v>16</v>
      </c>
      <c r="C5487" s="9" t="n">
        <v>1128299</v>
      </c>
      <c r="D5487" s="10" t="n">
        <v>44310</v>
      </c>
      <c r="E5487" s="9" t="s">
        <v>50</v>
      </c>
      <c r="F5487" s="9" t="s">
        <v>74</v>
      </c>
      <c r="G5487" s="9" t="s">
        <v>75</v>
      </c>
      <c r="H5487" s="11" t="s">
        <v>19</v>
      </c>
      <c r="I5487" s="12" t="n">
        <v>52</v>
      </c>
      <c r="J5487" s="13" t="n">
        <v>124</v>
      </c>
      <c r="K5487" s="14" t="n">
        <f aca="false">I5487*J5487</f>
        <v>6448</v>
      </c>
      <c r="L5487" s="14" t="n">
        <f aca="false">($L$2*M5487)/100</f>
        <v>576799.92</v>
      </c>
      <c r="M5487" s="15" t="n">
        <v>0.48</v>
      </c>
      <c r="N5487" s="9" t="s">
        <v>85</v>
      </c>
    </row>
    <row r="5488" customFormat="false" ht="14.25" hidden="false" customHeight="true" outlineLevel="0" collapsed="false">
      <c r="B5488" s="9" t="s">
        <v>16</v>
      </c>
      <c r="C5488" s="9" t="n">
        <v>1128299</v>
      </c>
      <c r="D5488" s="10" t="n">
        <v>44310</v>
      </c>
      <c r="E5488" s="9" t="s">
        <v>50</v>
      </c>
      <c r="F5488" s="9" t="s">
        <v>74</v>
      </c>
      <c r="G5488" s="9" t="s">
        <v>75</v>
      </c>
      <c r="H5488" s="11" t="s">
        <v>21</v>
      </c>
      <c r="I5488" s="12" t="n">
        <v>59</v>
      </c>
      <c r="J5488" s="13" t="n">
        <v>69</v>
      </c>
      <c r="K5488" s="14" t="n">
        <f aca="false">I5488*J5488</f>
        <v>4071</v>
      </c>
      <c r="L5488" s="14" t="n">
        <f aca="false">($L$2*M5488)/100</f>
        <v>576799.92</v>
      </c>
      <c r="M5488" s="15" t="n">
        <v>0.48</v>
      </c>
      <c r="N5488" s="9" t="s">
        <v>85</v>
      </c>
    </row>
    <row r="5489" customFormat="false" ht="14.25" hidden="false" customHeight="true" outlineLevel="0" collapsed="false">
      <c r="B5489" s="9" t="s">
        <v>16</v>
      </c>
      <c r="C5489" s="9" t="n">
        <v>1128299</v>
      </c>
      <c r="D5489" s="10" t="n">
        <v>44310</v>
      </c>
      <c r="E5489" s="9" t="s">
        <v>50</v>
      </c>
      <c r="F5489" s="9" t="s">
        <v>74</v>
      </c>
      <c r="G5489" s="9" t="s">
        <v>75</v>
      </c>
      <c r="H5489" s="11" t="s">
        <v>22</v>
      </c>
      <c r="I5489" s="12" t="n">
        <v>57</v>
      </c>
      <c r="J5489" s="13" t="n">
        <v>85</v>
      </c>
      <c r="K5489" s="14" t="n">
        <f aca="false">I5489*J5489</f>
        <v>4845</v>
      </c>
      <c r="L5489" s="14" t="n">
        <f aca="false">($L$2*M5489)/100</f>
        <v>588816.585</v>
      </c>
      <c r="M5489" s="15" t="n">
        <v>0.49</v>
      </c>
      <c r="N5489" s="9" t="s">
        <v>85</v>
      </c>
    </row>
    <row r="5490" customFormat="false" ht="14.25" hidden="false" customHeight="true" outlineLevel="0" collapsed="false">
      <c r="B5490" s="9" t="s">
        <v>16</v>
      </c>
      <c r="C5490" s="9" t="n">
        <v>1128299</v>
      </c>
      <c r="D5490" s="10" t="n">
        <v>44310</v>
      </c>
      <c r="E5490" s="9" t="s">
        <v>50</v>
      </c>
      <c r="F5490" s="9" t="s">
        <v>74</v>
      </c>
      <c r="G5490" s="9" t="s">
        <v>75</v>
      </c>
      <c r="H5490" s="11" t="s">
        <v>23</v>
      </c>
      <c r="I5490" s="12" t="n">
        <v>42</v>
      </c>
      <c r="J5490" s="13" t="n">
        <v>56</v>
      </c>
      <c r="K5490" s="14" t="n">
        <f aca="false">I5490*J5490</f>
        <v>2352</v>
      </c>
      <c r="L5490" s="14" t="n">
        <f aca="false">($L$2*M5490)/100</f>
        <v>564783.255</v>
      </c>
      <c r="M5490" s="15" t="n">
        <v>0.47</v>
      </c>
      <c r="N5490" s="9" t="s">
        <v>85</v>
      </c>
    </row>
    <row r="5491" customFormat="false" ht="14.25" hidden="false" customHeight="true" outlineLevel="0" collapsed="false">
      <c r="B5491" s="9" t="s">
        <v>16</v>
      </c>
      <c r="C5491" s="9" t="n">
        <v>1128299</v>
      </c>
      <c r="D5491" s="10" t="n">
        <v>44310</v>
      </c>
      <c r="E5491" s="9" t="s">
        <v>50</v>
      </c>
      <c r="F5491" s="9" t="s">
        <v>74</v>
      </c>
      <c r="G5491" s="9" t="s">
        <v>75</v>
      </c>
      <c r="H5491" s="11" t="s">
        <v>24</v>
      </c>
      <c r="I5491" s="12" t="n">
        <v>49</v>
      </c>
      <c r="J5491" s="13" t="n">
        <v>35</v>
      </c>
      <c r="K5491" s="14" t="n">
        <f aca="false">I5491*J5491</f>
        <v>1715</v>
      </c>
      <c r="L5491" s="14" t="n">
        <f aca="false">($L$2*M5491)/100</f>
        <v>612849.915</v>
      </c>
      <c r="M5491" s="15" t="n">
        <v>0.51</v>
      </c>
      <c r="N5491" s="9" t="s">
        <v>85</v>
      </c>
    </row>
    <row r="5492" customFormat="false" ht="14.25" hidden="false" customHeight="true" outlineLevel="0" collapsed="false">
      <c r="B5492" s="9" t="s">
        <v>16</v>
      </c>
      <c r="C5492" s="9" t="n">
        <v>1128299</v>
      </c>
      <c r="D5492" s="10" t="n">
        <v>44310</v>
      </c>
      <c r="E5492" s="9" t="s">
        <v>50</v>
      </c>
      <c r="F5492" s="9" t="s">
        <v>74</v>
      </c>
      <c r="G5492" s="9" t="s">
        <v>75</v>
      </c>
      <c r="H5492" s="11" t="s">
        <v>25</v>
      </c>
      <c r="I5492" s="12" t="n">
        <v>64</v>
      </c>
      <c r="J5492" s="13" t="n">
        <v>78</v>
      </c>
      <c r="K5492" s="14" t="n">
        <f aca="false">I5492*J5492</f>
        <v>4992</v>
      </c>
      <c r="L5492" s="14" t="n">
        <f aca="false">($L$2*M5492)/100</f>
        <v>528733.26</v>
      </c>
      <c r="M5492" s="15" t="n">
        <v>0.44</v>
      </c>
      <c r="N5492" s="9" t="s">
        <v>85</v>
      </c>
    </row>
    <row r="5493" customFormat="false" ht="14.25" hidden="false" customHeight="true" outlineLevel="0" collapsed="false">
      <c r="B5493" s="9" t="s">
        <v>16</v>
      </c>
      <c r="C5493" s="9" t="n">
        <v>1128299</v>
      </c>
      <c r="D5493" s="10" t="n">
        <v>44341</v>
      </c>
      <c r="E5493" s="9" t="s">
        <v>50</v>
      </c>
      <c r="F5493" s="9" t="s">
        <v>74</v>
      </c>
      <c r="G5493" s="9" t="s">
        <v>75</v>
      </c>
      <c r="H5493" s="11" t="s">
        <v>19</v>
      </c>
      <c r="I5493" s="12" t="n">
        <v>46</v>
      </c>
      <c r="J5493" s="13" t="n">
        <v>125</v>
      </c>
      <c r="K5493" s="14" t="n">
        <f aca="false">I5493*J5493</f>
        <v>5750</v>
      </c>
      <c r="L5493" s="14" t="n">
        <f aca="false">($L$2*M5493)/100</f>
        <v>552766.59</v>
      </c>
      <c r="M5493" s="15" t="n">
        <v>0.46</v>
      </c>
      <c r="N5493" s="9" t="s">
        <v>85</v>
      </c>
    </row>
    <row r="5494" customFormat="false" ht="14.25" hidden="false" customHeight="true" outlineLevel="0" collapsed="false">
      <c r="B5494" s="9" t="s">
        <v>16</v>
      </c>
      <c r="C5494" s="9" t="n">
        <v>1128299</v>
      </c>
      <c r="D5494" s="10" t="n">
        <v>44341</v>
      </c>
      <c r="E5494" s="9" t="s">
        <v>50</v>
      </c>
      <c r="F5494" s="9" t="s">
        <v>74</v>
      </c>
      <c r="G5494" s="9" t="s">
        <v>75</v>
      </c>
      <c r="H5494" s="11" t="s">
        <v>21</v>
      </c>
      <c r="I5494" s="12" t="n">
        <v>51</v>
      </c>
      <c r="J5494" s="13" t="n">
        <v>98</v>
      </c>
      <c r="K5494" s="14" t="n">
        <f aca="false">I5494*J5494</f>
        <v>4998</v>
      </c>
      <c r="L5494" s="14" t="n">
        <f aca="false">($L$2*M5494)/100</f>
        <v>540749.925</v>
      </c>
      <c r="M5494" s="15" t="n">
        <v>0.45</v>
      </c>
      <c r="N5494" s="9" t="s">
        <v>85</v>
      </c>
    </row>
    <row r="5495" customFormat="false" ht="14.25" hidden="false" customHeight="true" outlineLevel="0" collapsed="false">
      <c r="B5495" s="9" t="s">
        <v>16</v>
      </c>
      <c r="C5495" s="9" t="n">
        <v>1128299</v>
      </c>
      <c r="D5495" s="10" t="n">
        <v>44341</v>
      </c>
      <c r="E5495" s="9" t="s">
        <v>50</v>
      </c>
      <c r="F5495" s="9" t="s">
        <v>74</v>
      </c>
      <c r="G5495" s="9" t="s">
        <v>75</v>
      </c>
      <c r="H5495" s="11" t="s">
        <v>22</v>
      </c>
      <c r="I5495" s="12" t="n">
        <v>50</v>
      </c>
      <c r="J5495" s="13" t="n">
        <v>88</v>
      </c>
      <c r="K5495" s="14" t="n">
        <f aca="false">I5495*J5495</f>
        <v>4400</v>
      </c>
      <c r="L5495" s="14" t="n">
        <f aca="false">($L$2*M5495)/100</f>
        <v>600833.25</v>
      </c>
      <c r="M5495" s="15" t="n">
        <v>0.5</v>
      </c>
      <c r="N5495" s="9" t="s">
        <v>85</v>
      </c>
    </row>
    <row r="5496" customFormat="false" ht="14.25" hidden="false" customHeight="true" outlineLevel="0" collapsed="false">
      <c r="B5496" s="9" t="s">
        <v>16</v>
      </c>
      <c r="C5496" s="9" t="n">
        <v>1128299</v>
      </c>
      <c r="D5496" s="10" t="n">
        <v>44341</v>
      </c>
      <c r="E5496" s="9" t="s">
        <v>50</v>
      </c>
      <c r="F5496" s="9" t="s">
        <v>74</v>
      </c>
      <c r="G5496" s="9" t="s">
        <v>75</v>
      </c>
      <c r="H5496" s="11" t="s">
        <v>23</v>
      </c>
      <c r="I5496" s="12" t="n">
        <v>47</v>
      </c>
      <c r="J5496" s="13" t="n">
        <v>69</v>
      </c>
      <c r="K5496" s="14" t="n">
        <f aca="false">I5496*J5496</f>
        <v>3243</v>
      </c>
      <c r="L5496" s="14" t="n">
        <f aca="false">($L$2*M5496)/100</f>
        <v>600833.25</v>
      </c>
      <c r="M5496" s="15" t="n">
        <v>0.5</v>
      </c>
      <c r="N5496" s="9" t="s">
        <v>85</v>
      </c>
    </row>
    <row r="5497" customFormat="false" ht="14.25" hidden="false" customHeight="true" outlineLevel="0" collapsed="false">
      <c r="B5497" s="9" t="s">
        <v>16</v>
      </c>
      <c r="C5497" s="9" t="n">
        <v>1128299</v>
      </c>
      <c r="D5497" s="10" t="n">
        <v>44341</v>
      </c>
      <c r="E5497" s="9" t="s">
        <v>50</v>
      </c>
      <c r="F5497" s="9" t="s">
        <v>74</v>
      </c>
      <c r="G5497" s="9" t="s">
        <v>75</v>
      </c>
      <c r="H5497" s="11" t="s">
        <v>24</v>
      </c>
      <c r="I5497" s="12" t="n">
        <v>44</v>
      </c>
      <c r="J5497" s="13" t="n">
        <v>49</v>
      </c>
      <c r="K5497" s="14" t="n">
        <f aca="false">I5497*J5497</f>
        <v>2156</v>
      </c>
      <c r="L5497" s="14" t="n">
        <f aca="false">($L$2*M5497)/100</f>
        <v>648899.91</v>
      </c>
      <c r="M5497" s="15" t="n">
        <v>0.54</v>
      </c>
      <c r="N5497" s="9" t="s">
        <v>85</v>
      </c>
    </row>
    <row r="5498" customFormat="false" ht="14.25" hidden="false" customHeight="true" outlineLevel="0" collapsed="false">
      <c r="B5498" s="9" t="s">
        <v>16</v>
      </c>
      <c r="C5498" s="9" t="n">
        <v>1128299</v>
      </c>
      <c r="D5498" s="10" t="n">
        <v>44341</v>
      </c>
      <c r="E5498" s="9" t="s">
        <v>50</v>
      </c>
      <c r="F5498" s="9" t="s">
        <v>74</v>
      </c>
      <c r="G5498" s="9" t="s">
        <v>75</v>
      </c>
      <c r="H5498" s="11" t="s">
        <v>25</v>
      </c>
      <c r="I5498" s="12" t="n">
        <v>56</v>
      </c>
      <c r="J5498" s="13" t="n">
        <v>152</v>
      </c>
      <c r="K5498" s="14" t="n">
        <f aca="false">I5498*J5498</f>
        <v>8512</v>
      </c>
      <c r="L5498" s="14" t="n">
        <f aca="false">($L$2*M5498)/100</f>
        <v>516716.595</v>
      </c>
      <c r="M5498" s="15" t="n">
        <v>0.43</v>
      </c>
      <c r="N5498" s="9" t="s">
        <v>85</v>
      </c>
    </row>
    <row r="5499" customFormat="false" ht="14.25" hidden="false" customHeight="true" outlineLevel="0" collapsed="false">
      <c r="B5499" s="9" t="s">
        <v>16</v>
      </c>
      <c r="C5499" s="9" t="n">
        <v>1128299</v>
      </c>
      <c r="D5499" s="10" t="n">
        <v>44371</v>
      </c>
      <c r="E5499" s="9" t="s">
        <v>50</v>
      </c>
      <c r="F5499" s="9" t="s">
        <v>74</v>
      </c>
      <c r="G5499" s="9" t="s">
        <v>75</v>
      </c>
      <c r="H5499" s="11" t="s">
        <v>19</v>
      </c>
      <c r="I5499" s="12" t="n">
        <v>53</v>
      </c>
      <c r="J5499" s="13" t="n">
        <v>233</v>
      </c>
      <c r="K5499" s="14" t="n">
        <f aca="false">I5499*J5499</f>
        <v>12349</v>
      </c>
      <c r="L5499" s="14" t="n">
        <f aca="false">($L$2*M5499)/100</f>
        <v>564783.255</v>
      </c>
      <c r="M5499" s="15" t="n">
        <v>0.47</v>
      </c>
      <c r="N5499" s="9" t="s">
        <v>85</v>
      </c>
    </row>
    <row r="5500" customFormat="false" ht="14.25" hidden="false" customHeight="true" outlineLevel="0" collapsed="false">
      <c r="B5500" s="9" t="s">
        <v>16</v>
      </c>
      <c r="C5500" s="9" t="n">
        <v>1128299</v>
      </c>
      <c r="D5500" s="10" t="n">
        <v>44371</v>
      </c>
      <c r="E5500" s="9" t="s">
        <v>50</v>
      </c>
      <c r="F5500" s="9" t="s">
        <v>74</v>
      </c>
      <c r="G5500" s="9" t="s">
        <v>75</v>
      </c>
      <c r="H5500" s="11" t="s">
        <v>21</v>
      </c>
      <c r="I5500" s="12" t="n">
        <v>62</v>
      </c>
      <c r="J5500" s="13" t="n">
        <v>176</v>
      </c>
      <c r="K5500" s="14" t="n">
        <f aca="false">I5500*J5500</f>
        <v>10912</v>
      </c>
      <c r="L5500" s="14" t="n">
        <f aca="false">($L$2*M5500)/100</f>
        <v>552766.59</v>
      </c>
      <c r="M5500" s="15" t="n">
        <v>0.46</v>
      </c>
      <c r="N5500" s="9" t="s">
        <v>85</v>
      </c>
    </row>
    <row r="5501" customFormat="false" ht="14.25" hidden="false" customHeight="true" outlineLevel="0" collapsed="false">
      <c r="B5501" s="9" t="s">
        <v>16</v>
      </c>
      <c r="C5501" s="9" t="n">
        <v>1128299</v>
      </c>
      <c r="D5501" s="10" t="n">
        <v>44371</v>
      </c>
      <c r="E5501" s="9" t="s">
        <v>50</v>
      </c>
      <c r="F5501" s="9" t="s">
        <v>74</v>
      </c>
      <c r="G5501" s="9" t="s">
        <v>75</v>
      </c>
      <c r="H5501" s="11" t="s">
        <v>22</v>
      </c>
      <c r="I5501" s="12" t="n">
        <v>73</v>
      </c>
      <c r="J5501" s="13" t="n">
        <v>195</v>
      </c>
      <c r="K5501" s="14" t="n">
        <f aca="false">I5501*J5501</f>
        <v>14235</v>
      </c>
      <c r="L5501" s="14" t="n">
        <f aca="false">($L$2*M5501)/100</f>
        <v>576799.92</v>
      </c>
      <c r="M5501" s="15" t="n">
        <v>0.48</v>
      </c>
      <c r="N5501" s="9" t="s">
        <v>85</v>
      </c>
    </row>
    <row r="5502" customFormat="false" ht="14.25" hidden="false" customHeight="true" outlineLevel="0" collapsed="false">
      <c r="B5502" s="9" t="s">
        <v>16</v>
      </c>
      <c r="C5502" s="9" t="n">
        <v>1128299</v>
      </c>
      <c r="D5502" s="10" t="n">
        <v>44371</v>
      </c>
      <c r="E5502" s="9" t="s">
        <v>50</v>
      </c>
      <c r="F5502" s="9" t="s">
        <v>74</v>
      </c>
      <c r="G5502" s="9" t="s">
        <v>75</v>
      </c>
      <c r="H5502" s="11" t="s">
        <v>23</v>
      </c>
      <c r="I5502" s="12" t="n">
        <v>72</v>
      </c>
      <c r="J5502" s="13" t="n">
        <v>142</v>
      </c>
      <c r="K5502" s="14" t="n">
        <f aca="false">I5502*J5502</f>
        <v>10224</v>
      </c>
      <c r="L5502" s="14" t="n">
        <f aca="false">($L$2*M5502)/100</f>
        <v>588816.585</v>
      </c>
      <c r="M5502" s="15" t="n">
        <v>0.49</v>
      </c>
      <c r="N5502" s="9" t="s">
        <v>85</v>
      </c>
    </row>
    <row r="5503" customFormat="false" ht="14.25" hidden="false" customHeight="true" outlineLevel="0" collapsed="false">
      <c r="B5503" s="9" t="s">
        <v>16</v>
      </c>
      <c r="C5503" s="9" t="n">
        <v>1128299</v>
      </c>
      <c r="D5503" s="10" t="n">
        <v>44371</v>
      </c>
      <c r="E5503" s="9" t="s">
        <v>50</v>
      </c>
      <c r="F5503" s="9" t="s">
        <v>74</v>
      </c>
      <c r="G5503" s="9" t="s">
        <v>75</v>
      </c>
      <c r="H5503" s="11" t="s">
        <v>24</v>
      </c>
      <c r="I5503" s="12" t="n">
        <v>81</v>
      </c>
      <c r="J5503" s="13" t="n">
        <v>104</v>
      </c>
      <c r="K5503" s="14" t="n">
        <f aca="false">I5503*J5503</f>
        <v>8424</v>
      </c>
      <c r="L5503" s="14" t="n">
        <f aca="false">($L$2*M5503)/100</f>
        <v>612849.915</v>
      </c>
      <c r="M5503" s="15" t="n">
        <v>0.51</v>
      </c>
      <c r="N5503" s="9" t="s">
        <v>85</v>
      </c>
    </row>
    <row r="5504" customFormat="false" ht="14.25" hidden="false" customHeight="true" outlineLevel="0" collapsed="false">
      <c r="B5504" s="9" t="s">
        <v>16</v>
      </c>
      <c r="C5504" s="9" t="n">
        <v>1128299</v>
      </c>
      <c r="D5504" s="10" t="n">
        <v>44371</v>
      </c>
      <c r="E5504" s="9" t="s">
        <v>50</v>
      </c>
      <c r="F5504" s="9" t="s">
        <v>74</v>
      </c>
      <c r="G5504" s="9" t="s">
        <v>75</v>
      </c>
      <c r="H5504" s="11" t="s">
        <v>25</v>
      </c>
      <c r="I5504" s="12" t="n">
        <v>96</v>
      </c>
      <c r="J5504" s="13" t="n">
        <v>182</v>
      </c>
      <c r="K5504" s="14" t="n">
        <f aca="false">I5504*J5504</f>
        <v>17472</v>
      </c>
      <c r="L5504" s="14" t="n">
        <f aca="false">($L$2*M5504)/100</f>
        <v>480666.6</v>
      </c>
      <c r="M5504" s="15" t="n">
        <v>0.4</v>
      </c>
      <c r="N5504" s="9" t="s">
        <v>85</v>
      </c>
    </row>
    <row r="5505" customFormat="false" ht="14.25" hidden="false" customHeight="true" outlineLevel="0" collapsed="false">
      <c r="B5505" s="9" t="s">
        <v>16</v>
      </c>
      <c r="C5505" s="9" t="n">
        <v>1128299</v>
      </c>
      <c r="D5505" s="10" t="n">
        <v>44400</v>
      </c>
      <c r="E5505" s="9" t="s">
        <v>50</v>
      </c>
      <c r="F5505" s="9" t="s">
        <v>74</v>
      </c>
      <c r="G5505" s="9" t="s">
        <v>75</v>
      </c>
      <c r="H5505" s="11" t="s">
        <v>19</v>
      </c>
      <c r="I5505" s="12" t="n">
        <v>79</v>
      </c>
      <c r="J5505" s="13" t="n">
        <v>255</v>
      </c>
      <c r="K5505" s="14" t="n">
        <f aca="false">I5505*J5505</f>
        <v>20145</v>
      </c>
      <c r="L5505" s="14" t="n">
        <f aca="false">($L$2*M5505)/100</f>
        <v>600833.25</v>
      </c>
      <c r="M5505" s="15" t="n">
        <v>0.5</v>
      </c>
      <c r="N5505" s="9" t="s">
        <v>85</v>
      </c>
    </row>
    <row r="5506" customFormat="false" ht="14.25" hidden="false" customHeight="true" outlineLevel="0" collapsed="false">
      <c r="B5506" s="9" t="s">
        <v>16</v>
      </c>
      <c r="C5506" s="9" t="n">
        <v>1128299</v>
      </c>
      <c r="D5506" s="10" t="n">
        <v>44400</v>
      </c>
      <c r="E5506" s="9" t="s">
        <v>50</v>
      </c>
      <c r="F5506" s="9" t="s">
        <v>74</v>
      </c>
      <c r="G5506" s="9" t="s">
        <v>75</v>
      </c>
      <c r="H5506" s="11" t="s">
        <v>21</v>
      </c>
      <c r="I5506" s="12" t="n">
        <v>81</v>
      </c>
      <c r="J5506" s="13" t="n">
        <v>203</v>
      </c>
      <c r="K5506" s="14" t="n">
        <f aca="false">I5506*J5506</f>
        <v>16443</v>
      </c>
      <c r="L5506" s="14" t="n">
        <f aca="false">($L$2*M5506)/100</f>
        <v>600833.25</v>
      </c>
      <c r="M5506" s="15" t="n">
        <v>0.5</v>
      </c>
      <c r="N5506" s="9" t="s">
        <v>85</v>
      </c>
    </row>
    <row r="5507" customFormat="false" ht="14.25" hidden="false" customHeight="true" outlineLevel="0" collapsed="false">
      <c r="B5507" s="9" t="s">
        <v>16</v>
      </c>
      <c r="C5507" s="9" t="n">
        <v>1128299</v>
      </c>
      <c r="D5507" s="10" t="n">
        <v>44400</v>
      </c>
      <c r="E5507" s="9" t="s">
        <v>50</v>
      </c>
      <c r="F5507" s="9" t="s">
        <v>74</v>
      </c>
      <c r="G5507" s="9" t="s">
        <v>75</v>
      </c>
      <c r="H5507" s="11" t="s">
        <v>22</v>
      </c>
      <c r="I5507" s="12" t="n">
        <v>86</v>
      </c>
      <c r="J5507" s="13" t="n">
        <v>182</v>
      </c>
      <c r="K5507" s="14" t="n">
        <f aca="false">I5507*J5507</f>
        <v>15652</v>
      </c>
      <c r="L5507" s="14" t="n">
        <f aca="false">($L$2*M5507)/100</f>
        <v>540749.925</v>
      </c>
      <c r="M5507" s="15" t="n">
        <v>0.45</v>
      </c>
      <c r="N5507" s="9" t="s">
        <v>85</v>
      </c>
    </row>
    <row r="5508" customFormat="false" ht="14.25" hidden="false" customHeight="true" outlineLevel="0" collapsed="false">
      <c r="B5508" s="9" t="s">
        <v>16</v>
      </c>
      <c r="C5508" s="9" t="n">
        <v>1128299</v>
      </c>
      <c r="D5508" s="10" t="n">
        <v>44400</v>
      </c>
      <c r="E5508" s="9" t="s">
        <v>50</v>
      </c>
      <c r="F5508" s="9" t="s">
        <v>74</v>
      </c>
      <c r="G5508" s="9" t="s">
        <v>75</v>
      </c>
      <c r="H5508" s="11" t="s">
        <v>23</v>
      </c>
      <c r="I5508" s="12" t="n">
        <v>82</v>
      </c>
      <c r="J5508" s="13" t="n">
        <v>149</v>
      </c>
      <c r="K5508" s="14" t="n">
        <f aca="false">I5508*J5508</f>
        <v>12218</v>
      </c>
      <c r="L5508" s="14" t="n">
        <f aca="false">($L$2*M5508)/100</f>
        <v>552766.59</v>
      </c>
      <c r="M5508" s="15" t="n">
        <v>0.46</v>
      </c>
      <c r="N5508" s="9" t="s">
        <v>85</v>
      </c>
    </row>
    <row r="5509" customFormat="false" ht="14.25" hidden="false" customHeight="true" outlineLevel="0" collapsed="false">
      <c r="B5509" s="9" t="s">
        <v>16</v>
      </c>
      <c r="C5509" s="9" t="n">
        <v>1128299</v>
      </c>
      <c r="D5509" s="10" t="n">
        <v>44400</v>
      </c>
      <c r="E5509" s="9" t="s">
        <v>50</v>
      </c>
      <c r="F5509" s="9" t="s">
        <v>74</v>
      </c>
      <c r="G5509" s="9" t="s">
        <v>75</v>
      </c>
      <c r="H5509" s="11" t="s">
        <v>24</v>
      </c>
      <c r="I5509" s="12" t="n">
        <v>85</v>
      </c>
      <c r="J5509" s="13" t="n">
        <v>162</v>
      </c>
      <c r="K5509" s="14" t="n">
        <f aca="false">I5509*J5509</f>
        <v>13770</v>
      </c>
      <c r="L5509" s="14" t="n">
        <f aca="false">($L$2*M5509)/100</f>
        <v>660916.575</v>
      </c>
      <c r="M5509" s="15" t="n">
        <v>0.55</v>
      </c>
      <c r="N5509" s="9" t="s">
        <v>85</v>
      </c>
    </row>
    <row r="5510" customFormat="false" ht="14.25" hidden="false" customHeight="true" outlineLevel="0" collapsed="false">
      <c r="B5510" s="9" t="s">
        <v>16</v>
      </c>
      <c r="C5510" s="9" t="n">
        <v>1128299</v>
      </c>
      <c r="D5510" s="10" t="n">
        <v>44400</v>
      </c>
      <c r="E5510" s="9" t="s">
        <v>50</v>
      </c>
      <c r="F5510" s="9" t="s">
        <v>74</v>
      </c>
      <c r="G5510" s="9" t="s">
        <v>75</v>
      </c>
      <c r="H5510" s="11" t="s">
        <v>25</v>
      </c>
      <c r="I5510" s="12" t="n">
        <v>96</v>
      </c>
      <c r="J5510" s="13" t="n">
        <v>180</v>
      </c>
      <c r="K5510" s="14" t="n">
        <f aca="false">I5510*J5510</f>
        <v>17280</v>
      </c>
      <c r="L5510" s="14" t="n">
        <f aca="false">($L$2*M5510)/100</f>
        <v>480666.6</v>
      </c>
      <c r="M5510" s="15" t="n">
        <v>0.4</v>
      </c>
      <c r="N5510" s="9" t="s">
        <v>85</v>
      </c>
    </row>
    <row r="5511" customFormat="false" ht="14.25" hidden="false" customHeight="true" outlineLevel="0" collapsed="false">
      <c r="B5511" s="9" t="s">
        <v>16</v>
      </c>
      <c r="C5511" s="9" t="n">
        <v>1128299</v>
      </c>
      <c r="D5511" s="10" t="n">
        <v>44432</v>
      </c>
      <c r="E5511" s="9" t="s">
        <v>50</v>
      </c>
      <c r="F5511" s="9" t="s">
        <v>74</v>
      </c>
      <c r="G5511" s="9" t="s">
        <v>75</v>
      </c>
      <c r="H5511" s="11" t="s">
        <v>19</v>
      </c>
      <c r="I5511" s="12" t="n">
        <v>83</v>
      </c>
      <c r="J5511" s="13" t="n">
        <v>240</v>
      </c>
      <c r="K5511" s="14" t="n">
        <f aca="false">I5511*J5511</f>
        <v>19920</v>
      </c>
      <c r="L5511" s="14" t="n">
        <f aca="false">($L$2*M5511)/100</f>
        <v>540749.925</v>
      </c>
      <c r="M5511" s="15" t="n">
        <v>0.45</v>
      </c>
      <c r="N5511" s="9" t="s">
        <v>85</v>
      </c>
    </row>
    <row r="5512" customFormat="false" ht="14.25" hidden="false" customHeight="true" outlineLevel="0" collapsed="false">
      <c r="B5512" s="9" t="s">
        <v>16</v>
      </c>
      <c r="C5512" s="9" t="n">
        <v>1128299</v>
      </c>
      <c r="D5512" s="10" t="n">
        <v>44432</v>
      </c>
      <c r="E5512" s="9" t="s">
        <v>50</v>
      </c>
      <c r="F5512" s="9" t="s">
        <v>74</v>
      </c>
      <c r="G5512" s="9" t="s">
        <v>75</v>
      </c>
      <c r="H5512" s="11" t="s">
        <v>21</v>
      </c>
      <c r="I5512" s="12" t="n">
        <v>76</v>
      </c>
      <c r="J5512" s="13" t="n">
        <v>202</v>
      </c>
      <c r="K5512" s="14" t="n">
        <f aca="false">I5512*J5512</f>
        <v>15352</v>
      </c>
      <c r="L5512" s="14" t="n">
        <f aca="false">($L$2*M5512)/100</f>
        <v>576799.92</v>
      </c>
      <c r="M5512" s="15" t="n">
        <v>0.48</v>
      </c>
      <c r="N5512" s="9" t="s">
        <v>85</v>
      </c>
    </row>
    <row r="5513" customFormat="false" ht="14.25" hidden="false" customHeight="true" outlineLevel="0" collapsed="false">
      <c r="B5513" s="9" t="s">
        <v>16</v>
      </c>
      <c r="C5513" s="9" t="n">
        <v>1128299</v>
      </c>
      <c r="D5513" s="10" t="n">
        <v>44432</v>
      </c>
      <c r="E5513" s="9" t="s">
        <v>50</v>
      </c>
      <c r="F5513" s="9" t="s">
        <v>74</v>
      </c>
      <c r="G5513" s="9" t="s">
        <v>75</v>
      </c>
      <c r="H5513" s="11" t="s">
        <v>22</v>
      </c>
      <c r="I5513" s="12" t="n">
        <v>69</v>
      </c>
      <c r="J5513" s="13" t="n">
        <v>189</v>
      </c>
      <c r="K5513" s="14" t="n">
        <f aca="false">I5513*J5513</f>
        <v>13041</v>
      </c>
      <c r="L5513" s="14" t="n">
        <f aca="false">($L$2*M5513)/100</f>
        <v>576799.92</v>
      </c>
      <c r="M5513" s="15" t="n">
        <v>0.48</v>
      </c>
      <c r="N5513" s="9" t="s">
        <v>85</v>
      </c>
    </row>
    <row r="5514" customFormat="false" ht="14.25" hidden="false" customHeight="true" outlineLevel="0" collapsed="false">
      <c r="B5514" s="9" t="s">
        <v>16</v>
      </c>
      <c r="C5514" s="9" t="n">
        <v>1128299</v>
      </c>
      <c r="D5514" s="10" t="n">
        <v>44432</v>
      </c>
      <c r="E5514" s="9" t="s">
        <v>50</v>
      </c>
      <c r="F5514" s="9" t="s">
        <v>74</v>
      </c>
      <c r="G5514" s="9" t="s">
        <v>75</v>
      </c>
      <c r="H5514" s="11" t="s">
        <v>23</v>
      </c>
      <c r="I5514" s="12" t="n">
        <v>66</v>
      </c>
      <c r="J5514" s="13" t="n">
        <v>111</v>
      </c>
      <c r="K5514" s="14" t="n">
        <f aca="false">I5514*J5514</f>
        <v>7326</v>
      </c>
      <c r="L5514" s="14" t="n">
        <f aca="false">($L$2*M5514)/100</f>
        <v>588816.585</v>
      </c>
      <c r="M5514" s="15" t="n">
        <v>0.49</v>
      </c>
      <c r="N5514" s="9" t="s">
        <v>85</v>
      </c>
    </row>
    <row r="5515" customFormat="false" ht="14.25" hidden="false" customHeight="true" outlineLevel="0" collapsed="false">
      <c r="B5515" s="9" t="s">
        <v>16</v>
      </c>
      <c r="C5515" s="9" t="n">
        <v>1128299</v>
      </c>
      <c r="D5515" s="10" t="n">
        <v>44432</v>
      </c>
      <c r="E5515" s="9" t="s">
        <v>50</v>
      </c>
      <c r="F5515" s="9" t="s">
        <v>74</v>
      </c>
      <c r="G5515" s="9" t="s">
        <v>75</v>
      </c>
      <c r="H5515" s="11" t="s">
        <v>24</v>
      </c>
      <c r="I5515" s="12" t="n">
        <v>64</v>
      </c>
      <c r="J5515" s="13" t="n">
        <v>106</v>
      </c>
      <c r="K5515" s="14" t="n">
        <f aca="false">I5515*J5515</f>
        <v>6784</v>
      </c>
      <c r="L5515" s="14" t="n">
        <f aca="false">($L$2*M5515)/100</f>
        <v>612849.915</v>
      </c>
      <c r="M5515" s="15" t="n">
        <v>0.51</v>
      </c>
      <c r="N5515" s="9" t="s">
        <v>85</v>
      </c>
    </row>
    <row r="5516" customFormat="false" ht="14.25" hidden="false" customHeight="true" outlineLevel="0" collapsed="false">
      <c r="B5516" s="9" t="s">
        <v>16</v>
      </c>
      <c r="C5516" s="9" t="n">
        <v>1128299</v>
      </c>
      <c r="D5516" s="10" t="n">
        <v>44432</v>
      </c>
      <c r="E5516" s="9" t="s">
        <v>50</v>
      </c>
      <c r="F5516" s="9" t="s">
        <v>74</v>
      </c>
      <c r="G5516" s="9" t="s">
        <v>75</v>
      </c>
      <c r="H5516" s="11" t="s">
        <v>25</v>
      </c>
      <c r="I5516" s="12" t="n">
        <v>73</v>
      </c>
      <c r="J5516" s="13" t="n">
        <v>75</v>
      </c>
      <c r="K5516" s="14" t="n">
        <f aca="false">I5516*J5516</f>
        <v>5475</v>
      </c>
      <c r="L5516" s="14" t="n">
        <f aca="false">($L$2*M5516)/100</f>
        <v>504699.93</v>
      </c>
      <c r="M5516" s="15" t="n">
        <v>0.42</v>
      </c>
      <c r="N5516" s="9" t="s">
        <v>85</v>
      </c>
    </row>
    <row r="5517" customFormat="false" ht="14.25" hidden="false" customHeight="true" outlineLevel="0" collapsed="false">
      <c r="B5517" s="9" t="s">
        <v>16</v>
      </c>
      <c r="C5517" s="9" t="n">
        <v>1128299</v>
      </c>
      <c r="D5517" s="10" t="n">
        <v>44464</v>
      </c>
      <c r="E5517" s="9" t="s">
        <v>50</v>
      </c>
      <c r="F5517" s="9" t="s">
        <v>74</v>
      </c>
      <c r="G5517" s="9" t="s">
        <v>75</v>
      </c>
      <c r="H5517" s="11" t="s">
        <v>19</v>
      </c>
      <c r="I5517" s="12" t="n">
        <v>46</v>
      </c>
      <c r="J5517" s="13" t="n">
        <v>113</v>
      </c>
      <c r="K5517" s="14" t="n">
        <f aca="false">I5517*J5517</f>
        <v>5198</v>
      </c>
      <c r="L5517" s="14" t="n">
        <f aca="false">($L$2*M5517)/100</f>
        <v>600833.25</v>
      </c>
      <c r="M5517" s="15" t="n">
        <v>0.5</v>
      </c>
      <c r="N5517" s="9" t="s">
        <v>85</v>
      </c>
    </row>
    <row r="5518" customFormat="false" ht="14.25" hidden="false" customHeight="true" outlineLevel="0" collapsed="false">
      <c r="B5518" s="9" t="s">
        <v>16</v>
      </c>
      <c r="C5518" s="9" t="n">
        <v>1128299</v>
      </c>
      <c r="D5518" s="10" t="n">
        <v>44464</v>
      </c>
      <c r="E5518" s="9" t="s">
        <v>50</v>
      </c>
      <c r="F5518" s="9" t="s">
        <v>74</v>
      </c>
      <c r="G5518" s="9" t="s">
        <v>75</v>
      </c>
      <c r="H5518" s="11" t="s">
        <v>21</v>
      </c>
      <c r="I5518" s="12" t="n">
        <v>52</v>
      </c>
      <c r="J5518" s="13" t="n">
        <v>113</v>
      </c>
      <c r="K5518" s="14" t="n">
        <f aca="false">I5518*J5518</f>
        <v>5876</v>
      </c>
      <c r="L5518" s="14" t="n">
        <f aca="false">($L$2*M5518)/100</f>
        <v>552766.59</v>
      </c>
      <c r="M5518" s="15" t="n">
        <v>0.46</v>
      </c>
      <c r="N5518" s="9" t="s">
        <v>85</v>
      </c>
    </row>
    <row r="5519" customFormat="false" ht="14.25" hidden="false" customHeight="true" outlineLevel="0" collapsed="false">
      <c r="B5519" s="9" t="s">
        <v>16</v>
      </c>
      <c r="C5519" s="9" t="n">
        <v>1128299</v>
      </c>
      <c r="D5519" s="10" t="n">
        <v>44464</v>
      </c>
      <c r="E5519" s="9" t="s">
        <v>50</v>
      </c>
      <c r="F5519" s="9" t="s">
        <v>74</v>
      </c>
      <c r="G5519" s="9" t="s">
        <v>75</v>
      </c>
      <c r="H5519" s="11" t="s">
        <v>22</v>
      </c>
      <c r="I5519" s="12" t="n">
        <v>47</v>
      </c>
      <c r="J5519" s="13" t="n">
        <v>65</v>
      </c>
      <c r="K5519" s="14" t="n">
        <f aca="false">I5519*J5519</f>
        <v>3055</v>
      </c>
      <c r="L5519" s="14" t="n">
        <f aca="false">($L$2*M5519)/100</f>
        <v>564783.255</v>
      </c>
      <c r="M5519" s="15" t="n">
        <v>0.47</v>
      </c>
      <c r="N5519" s="9" t="s">
        <v>85</v>
      </c>
    </row>
    <row r="5520" customFormat="false" ht="14.25" hidden="false" customHeight="true" outlineLevel="0" collapsed="false">
      <c r="B5520" s="9" t="s">
        <v>16</v>
      </c>
      <c r="C5520" s="9" t="n">
        <v>1128299</v>
      </c>
      <c r="D5520" s="10" t="n">
        <v>44464</v>
      </c>
      <c r="E5520" s="9" t="s">
        <v>50</v>
      </c>
      <c r="F5520" s="9" t="s">
        <v>74</v>
      </c>
      <c r="G5520" s="9" t="s">
        <v>75</v>
      </c>
      <c r="H5520" s="11" t="s">
        <v>23</v>
      </c>
      <c r="I5520" s="12" t="n">
        <v>45</v>
      </c>
      <c r="J5520" s="13" t="n">
        <v>54</v>
      </c>
      <c r="K5520" s="14" t="n">
        <f aca="false">I5520*J5520</f>
        <v>2430</v>
      </c>
      <c r="L5520" s="14" t="n">
        <f aca="false">($L$2*M5520)/100</f>
        <v>588816.585</v>
      </c>
      <c r="M5520" s="15" t="n">
        <v>0.49</v>
      </c>
      <c r="N5520" s="9" t="s">
        <v>85</v>
      </c>
    </row>
    <row r="5521" customFormat="false" ht="14.25" hidden="false" customHeight="true" outlineLevel="0" collapsed="false">
      <c r="B5521" s="9" t="s">
        <v>16</v>
      </c>
      <c r="C5521" s="9" t="n">
        <v>1128299</v>
      </c>
      <c r="D5521" s="10" t="n">
        <v>44464</v>
      </c>
      <c r="E5521" s="9" t="s">
        <v>50</v>
      </c>
      <c r="F5521" s="9" t="s">
        <v>74</v>
      </c>
      <c r="G5521" s="9" t="s">
        <v>75</v>
      </c>
      <c r="H5521" s="11" t="s">
        <v>24</v>
      </c>
      <c r="I5521" s="12" t="n">
        <v>58</v>
      </c>
      <c r="J5521" s="13" t="n">
        <v>56</v>
      </c>
      <c r="K5521" s="14" t="n">
        <f aca="false">I5521*J5521</f>
        <v>3248</v>
      </c>
      <c r="L5521" s="14" t="n">
        <f aca="false">($L$2*M5521)/100</f>
        <v>600833.25</v>
      </c>
      <c r="M5521" s="15" t="n">
        <v>0.5</v>
      </c>
      <c r="N5521" s="9" t="s">
        <v>85</v>
      </c>
    </row>
    <row r="5522" customFormat="false" ht="14.25" hidden="false" customHeight="true" outlineLevel="0" collapsed="false">
      <c r="B5522" s="9" t="s">
        <v>16</v>
      </c>
      <c r="C5522" s="9" t="n">
        <v>1128299</v>
      </c>
      <c r="D5522" s="10" t="n">
        <v>44464</v>
      </c>
      <c r="E5522" s="9" t="s">
        <v>50</v>
      </c>
      <c r="F5522" s="9" t="s">
        <v>74</v>
      </c>
      <c r="G5522" s="9" t="s">
        <v>75</v>
      </c>
      <c r="H5522" s="11" t="s">
        <v>25</v>
      </c>
      <c r="I5522" s="12" t="n">
        <v>42</v>
      </c>
      <c r="J5522" s="13" t="n">
        <v>70</v>
      </c>
      <c r="K5522" s="14" t="n">
        <f aca="false">I5522*J5522</f>
        <v>2940</v>
      </c>
      <c r="L5522" s="14" t="n">
        <f aca="false">($L$2*M5522)/100</f>
        <v>516716.595</v>
      </c>
      <c r="M5522" s="15" t="n">
        <v>0.43</v>
      </c>
      <c r="N5522" s="9" t="s">
        <v>85</v>
      </c>
    </row>
    <row r="5523" customFormat="false" ht="14.25" hidden="false" customHeight="true" outlineLevel="0" collapsed="false">
      <c r="B5523" s="9" t="s">
        <v>16</v>
      </c>
      <c r="C5523" s="9" t="n">
        <v>1128299</v>
      </c>
      <c r="D5523" s="10" t="n">
        <v>44493</v>
      </c>
      <c r="E5523" s="9" t="s">
        <v>50</v>
      </c>
      <c r="F5523" s="9" t="s">
        <v>74</v>
      </c>
      <c r="G5523" s="9" t="s">
        <v>75</v>
      </c>
      <c r="H5523" s="11" t="s">
        <v>19</v>
      </c>
      <c r="I5523" s="12" t="n">
        <v>38</v>
      </c>
      <c r="J5523" s="13" t="n">
        <v>102</v>
      </c>
      <c r="K5523" s="14" t="n">
        <f aca="false">I5523*J5523</f>
        <v>3876</v>
      </c>
      <c r="L5523" s="14" t="n">
        <f aca="false">($L$2*M5523)/100</f>
        <v>540749.925</v>
      </c>
      <c r="M5523" s="15" t="n">
        <v>0.45</v>
      </c>
      <c r="N5523" s="9" t="s">
        <v>85</v>
      </c>
    </row>
    <row r="5524" customFormat="false" ht="14.25" hidden="false" customHeight="true" outlineLevel="0" collapsed="false">
      <c r="B5524" s="9" t="s">
        <v>16</v>
      </c>
      <c r="C5524" s="9" t="n">
        <v>1128299</v>
      </c>
      <c r="D5524" s="10" t="n">
        <v>44493</v>
      </c>
      <c r="E5524" s="9" t="s">
        <v>50</v>
      </c>
      <c r="F5524" s="9" t="s">
        <v>74</v>
      </c>
      <c r="G5524" s="9" t="s">
        <v>75</v>
      </c>
      <c r="H5524" s="11" t="s">
        <v>21</v>
      </c>
      <c r="I5524" s="12" t="n">
        <v>51</v>
      </c>
      <c r="J5524" s="13" t="n">
        <v>142</v>
      </c>
      <c r="K5524" s="14" t="n">
        <f aca="false">I5524*J5524</f>
        <v>7242</v>
      </c>
      <c r="L5524" s="14" t="n">
        <f aca="false">($L$2*M5524)/100</f>
        <v>588816.585</v>
      </c>
      <c r="M5524" s="15" t="n">
        <v>0.49</v>
      </c>
      <c r="N5524" s="9" t="s">
        <v>85</v>
      </c>
    </row>
    <row r="5525" customFormat="false" ht="14.25" hidden="false" customHeight="true" outlineLevel="0" collapsed="false">
      <c r="B5525" s="9" t="s">
        <v>16</v>
      </c>
      <c r="C5525" s="9" t="n">
        <v>1128299</v>
      </c>
      <c r="D5525" s="10" t="n">
        <v>44493</v>
      </c>
      <c r="E5525" s="9" t="s">
        <v>50</v>
      </c>
      <c r="F5525" s="9" t="s">
        <v>74</v>
      </c>
      <c r="G5525" s="9" t="s">
        <v>75</v>
      </c>
      <c r="H5525" s="11" t="s">
        <v>22</v>
      </c>
      <c r="I5525" s="12" t="n">
        <v>46</v>
      </c>
      <c r="J5525" s="13" t="n">
        <v>95</v>
      </c>
      <c r="K5525" s="14" t="n">
        <f aca="false">I5525*J5525</f>
        <v>4370</v>
      </c>
      <c r="L5525" s="14" t="n">
        <f aca="false">($L$2*M5525)/100</f>
        <v>552766.59</v>
      </c>
      <c r="M5525" s="15" t="n">
        <v>0.46</v>
      </c>
      <c r="N5525" s="9" t="s">
        <v>85</v>
      </c>
    </row>
    <row r="5526" customFormat="false" ht="14.25" hidden="false" customHeight="true" outlineLevel="0" collapsed="false">
      <c r="B5526" s="9" t="s">
        <v>16</v>
      </c>
      <c r="C5526" s="9" t="n">
        <v>1128299</v>
      </c>
      <c r="D5526" s="10" t="n">
        <v>44493</v>
      </c>
      <c r="E5526" s="9" t="s">
        <v>50</v>
      </c>
      <c r="F5526" s="9" t="s">
        <v>74</v>
      </c>
      <c r="G5526" s="9" t="s">
        <v>75</v>
      </c>
      <c r="H5526" s="11" t="s">
        <v>23</v>
      </c>
      <c r="I5526" s="12" t="n">
        <v>41</v>
      </c>
      <c r="J5526" s="13" t="n">
        <v>98</v>
      </c>
      <c r="K5526" s="14" t="n">
        <f aca="false">I5526*J5526</f>
        <v>4018</v>
      </c>
      <c r="L5526" s="14" t="n">
        <f aca="false">($L$2*M5526)/100</f>
        <v>588816.585</v>
      </c>
      <c r="M5526" s="15" t="n">
        <v>0.49</v>
      </c>
      <c r="N5526" s="9" t="s">
        <v>85</v>
      </c>
    </row>
    <row r="5527" customFormat="false" ht="14.25" hidden="false" customHeight="true" outlineLevel="0" collapsed="false">
      <c r="B5527" s="9" t="s">
        <v>16</v>
      </c>
      <c r="C5527" s="9" t="n">
        <v>1128299</v>
      </c>
      <c r="D5527" s="10" t="n">
        <v>44493</v>
      </c>
      <c r="E5527" s="9" t="s">
        <v>50</v>
      </c>
      <c r="F5527" s="9" t="s">
        <v>74</v>
      </c>
      <c r="G5527" s="9" t="s">
        <v>75</v>
      </c>
      <c r="H5527" s="11" t="s">
        <v>24</v>
      </c>
      <c r="I5527" s="12" t="n">
        <v>53</v>
      </c>
      <c r="J5527" s="13" t="n">
        <v>87</v>
      </c>
      <c r="K5527" s="14" t="n">
        <f aca="false">I5527*J5527</f>
        <v>4611</v>
      </c>
      <c r="L5527" s="14" t="n">
        <f aca="false">($L$2*M5527)/100</f>
        <v>648899.91</v>
      </c>
      <c r="M5527" s="15" t="n">
        <v>0.54</v>
      </c>
      <c r="N5527" s="9" t="s">
        <v>85</v>
      </c>
    </row>
    <row r="5528" customFormat="false" ht="14.25" hidden="false" customHeight="true" outlineLevel="0" collapsed="false">
      <c r="B5528" s="9" t="s">
        <v>16</v>
      </c>
      <c r="C5528" s="9" t="n">
        <v>1128299</v>
      </c>
      <c r="D5528" s="10" t="n">
        <v>44493</v>
      </c>
      <c r="E5528" s="9" t="s">
        <v>50</v>
      </c>
      <c r="F5528" s="9" t="s">
        <v>74</v>
      </c>
      <c r="G5528" s="9" t="s">
        <v>75</v>
      </c>
      <c r="H5528" s="11" t="s">
        <v>25</v>
      </c>
      <c r="I5528" s="12" t="n">
        <v>59</v>
      </c>
      <c r="J5528" s="13" t="n">
        <v>102</v>
      </c>
      <c r="K5528" s="14" t="n">
        <f aca="false">I5528*J5528</f>
        <v>6018</v>
      </c>
      <c r="L5528" s="14" t="n">
        <f aca="false">($L$2*M5528)/100</f>
        <v>528733.26</v>
      </c>
      <c r="M5528" s="15" t="n">
        <v>0.44</v>
      </c>
      <c r="N5528" s="9" t="s">
        <v>85</v>
      </c>
    </row>
    <row r="5529" customFormat="false" ht="14.25" hidden="false" customHeight="true" outlineLevel="0" collapsed="false">
      <c r="B5529" s="9" t="s">
        <v>16</v>
      </c>
      <c r="C5529" s="9" t="n">
        <v>1128299</v>
      </c>
      <c r="D5529" s="10" t="n">
        <v>44524</v>
      </c>
      <c r="E5529" s="9" t="s">
        <v>50</v>
      </c>
      <c r="F5529" s="9" t="s">
        <v>74</v>
      </c>
      <c r="G5529" s="9" t="s">
        <v>75</v>
      </c>
      <c r="H5529" s="11" t="s">
        <v>19</v>
      </c>
      <c r="I5529" s="12" t="n">
        <v>42</v>
      </c>
      <c r="J5529" s="13" t="n">
        <v>155</v>
      </c>
      <c r="K5529" s="14" t="n">
        <f aca="false">I5529*J5529</f>
        <v>6510</v>
      </c>
      <c r="L5529" s="14" t="n">
        <f aca="false">($L$2*M5529)/100</f>
        <v>564783.255</v>
      </c>
      <c r="M5529" s="15" t="n">
        <v>0.47</v>
      </c>
      <c r="N5529" s="9" t="s">
        <v>85</v>
      </c>
    </row>
    <row r="5530" customFormat="false" ht="14.25" hidden="false" customHeight="true" outlineLevel="0" collapsed="false">
      <c r="B5530" s="9" t="s">
        <v>16</v>
      </c>
      <c r="C5530" s="9" t="n">
        <v>1128299</v>
      </c>
      <c r="D5530" s="10" t="n">
        <v>44524</v>
      </c>
      <c r="E5530" s="9" t="s">
        <v>50</v>
      </c>
      <c r="F5530" s="9" t="s">
        <v>74</v>
      </c>
      <c r="G5530" s="9" t="s">
        <v>75</v>
      </c>
      <c r="H5530" s="11" t="s">
        <v>21</v>
      </c>
      <c r="I5530" s="12" t="n">
        <v>47</v>
      </c>
      <c r="J5530" s="13" t="n">
        <v>169</v>
      </c>
      <c r="K5530" s="14" t="n">
        <f aca="false">I5530*J5530</f>
        <v>7943</v>
      </c>
      <c r="L5530" s="14" t="n">
        <f aca="false">($L$2*M5530)/100</f>
        <v>588816.585</v>
      </c>
      <c r="M5530" s="15" t="n">
        <v>0.49</v>
      </c>
      <c r="N5530" s="9" t="s">
        <v>85</v>
      </c>
    </row>
    <row r="5531" customFormat="false" ht="14.25" hidden="false" customHeight="true" outlineLevel="0" collapsed="false">
      <c r="B5531" s="9" t="s">
        <v>16</v>
      </c>
      <c r="C5531" s="9" t="n">
        <v>1128299</v>
      </c>
      <c r="D5531" s="10" t="n">
        <v>44524</v>
      </c>
      <c r="E5531" s="9" t="s">
        <v>50</v>
      </c>
      <c r="F5531" s="9" t="s">
        <v>74</v>
      </c>
      <c r="G5531" s="9" t="s">
        <v>75</v>
      </c>
      <c r="H5531" s="11" t="s">
        <v>22</v>
      </c>
      <c r="I5531" s="12" t="n">
        <v>43</v>
      </c>
      <c r="J5531" s="13" t="n">
        <v>138</v>
      </c>
      <c r="K5531" s="14" t="n">
        <f aca="false">I5531*J5531</f>
        <v>5934</v>
      </c>
      <c r="L5531" s="14" t="n">
        <f aca="false">($L$2*M5531)/100</f>
        <v>576799.92</v>
      </c>
      <c r="M5531" s="15" t="n">
        <v>0.48</v>
      </c>
      <c r="N5531" s="9" t="s">
        <v>85</v>
      </c>
    </row>
    <row r="5532" customFormat="false" ht="14.25" hidden="false" customHeight="true" outlineLevel="0" collapsed="false">
      <c r="B5532" s="9" t="s">
        <v>16</v>
      </c>
      <c r="C5532" s="9" t="n">
        <v>1128299</v>
      </c>
      <c r="D5532" s="10" t="n">
        <v>44524</v>
      </c>
      <c r="E5532" s="9" t="s">
        <v>50</v>
      </c>
      <c r="F5532" s="9" t="s">
        <v>74</v>
      </c>
      <c r="G5532" s="9" t="s">
        <v>75</v>
      </c>
      <c r="H5532" s="11" t="s">
        <v>23</v>
      </c>
      <c r="I5532" s="12" t="n">
        <v>52</v>
      </c>
      <c r="J5532" s="13" t="n">
        <v>113</v>
      </c>
      <c r="K5532" s="14" t="n">
        <f aca="false">I5532*J5532</f>
        <v>5876</v>
      </c>
      <c r="L5532" s="14" t="n">
        <f aca="false">($L$2*M5532)/100</f>
        <v>576799.92</v>
      </c>
      <c r="M5532" s="15" t="n">
        <v>0.48</v>
      </c>
      <c r="N5532" s="9" t="s">
        <v>85</v>
      </c>
    </row>
    <row r="5533" customFormat="false" ht="14.25" hidden="false" customHeight="true" outlineLevel="0" collapsed="false">
      <c r="B5533" s="9" t="s">
        <v>16</v>
      </c>
      <c r="C5533" s="9" t="n">
        <v>1128299</v>
      </c>
      <c r="D5533" s="10" t="n">
        <v>44524</v>
      </c>
      <c r="E5533" s="9" t="s">
        <v>50</v>
      </c>
      <c r="F5533" s="9" t="s">
        <v>74</v>
      </c>
      <c r="G5533" s="9" t="s">
        <v>75</v>
      </c>
      <c r="H5533" s="11" t="s">
        <v>24</v>
      </c>
      <c r="I5533" s="12" t="n">
        <v>73</v>
      </c>
      <c r="J5533" s="13" t="n">
        <v>111</v>
      </c>
      <c r="K5533" s="14" t="n">
        <f aca="false">I5533*J5533</f>
        <v>8103</v>
      </c>
      <c r="L5533" s="14" t="n">
        <f aca="false">($L$2*M5533)/100</f>
        <v>660916.575</v>
      </c>
      <c r="M5533" s="15" t="n">
        <v>0.55</v>
      </c>
      <c r="N5533" s="9" t="s">
        <v>85</v>
      </c>
    </row>
    <row r="5534" customFormat="false" ht="14.25" hidden="false" customHeight="true" outlineLevel="0" collapsed="false">
      <c r="B5534" s="9" t="s">
        <v>16</v>
      </c>
      <c r="C5534" s="9" t="n">
        <v>1128299</v>
      </c>
      <c r="D5534" s="10" t="n">
        <v>44524</v>
      </c>
      <c r="E5534" s="9" t="s">
        <v>50</v>
      </c>
      <c r="F5534" s="9" t="s">
        <v>74</v>
      </c>
      <c r="G5534" s="9" t="s">
        <v>75</v>
      </c>
      <c r="H5534" s="11" t="s">
        <v>25</v>
      </c>
      <c r="I5534" s="12" t="n">
        <v>74</v>
      </c>
      <c r="J5534" s="13" t="n">
        <v>149</v>
      </c>
      <c r="K5534" s="14" t="n">
        <f aca="false">I5534*J5534</f>
        <v>11026</v>
      </c>
      <c r="L5534" s="14" t="n">
        <f aca="false">($L$2*M5534)/100</f>
        <v>480666.6</v>
      </c>
      <c r="M5534" s="15" t="n">
        <v>0.4</v>
      </c>
      <c r="N5534" s="9" t="s">
        <v>85</v>
      </c>
    </row>
    <row r="5535" customFormat="false" ht="14.25" hidden="false" customHeight="true" outlineLevel="0" collapsed="false">
      <c r="B5535" s="9" t="s">
        <v>16</v>
      </c>
      <c r="C5535" s="9" t="n">
        <v>1128299</v>
      </c>
      <c r="D5535" s="10" t="n">
        <v>44553</v>
      </c>
      <c r="E5535" s="9" t="s">
        <v>50</v>
      </c>
      <c r="F5535" s="9" t="s">
        <v>74</v>
      </c>
      <c r="G5535" s="9" t="s">
        <v>75</v>
      </c>
      <c r="H5535" s="11" t="s">
        <v>19</v>
      </c>
      <c r="I5535" s="12" t="n">
        <v>60</v>
      </c>
      <c r="J5535" s="13" t="n">
        <v>225</v>
      </c>
      <c r="K5535" s="14" t="n">
        <f aca="false">I5535*J5535</f>
        <v>13500</v>
      </c>
      <c r="L5535" s="14" t="n">
        <f aca="false">($L$2*M5535)/100</f>
        <v>564783.255</v>
      </c>
      <c r="M5535" s="15" t="n">
        <v>0.47</v>
      </c>
      <c r="N5535" s="9" t="s">
        <v>85</v>
      </c>
    </row>
    <row r="5536" customFormat="false" ht="14.25" hidden="false" customHeight="true" outlineLevel="0" collapsed="false">
      <c r="B5536" s="9" t="s">
        <v>16</v>
      </c>
      <c r="C5536" s="9" t="n">
        <v>1128299</v>
      </c>
      <c r="D5536" s="10" t="n">
        <v>44553</v>
      </c>
      <c r="E5536" s="9" t="s">
        <v>50</v>
      </c>
      <c r="F5536" s="9" t="s">
        <v>74</v>
      </c>
      <c r="G5536" s="9" t="s">
        <v>75</v>
      </c>
      <c r="H5536" s="11" t="s">
        <v>21</v>
      </c>
      <c r="I5536" s="12" t="n">
        <v>74</v>
      </c>
      <c r="J5536" s="13" t="n">
        <v>225</v>
      </c>
      <c r="K5536" s="14" t="n">
        <f aca="false">I5536*J5536</f>
        <v>16650</v>
      </c>
      <c r="L5536" s="14" t="n">
        <f aca="false">($L$2*M5536)/100</f>
        <v>540749.925</v>
      </c>
      <c r="M5536" s="15" t="n">
        <v>0.45</v>
      </c>
      <c r="N5536" s="9" t="s">
        <v>85</v>
      </c>
    </row>
    <row r="5537" customFormat="false" ht="14.25" hidden="false" customHeight="true" outlineLevel="0" collapsed="false">
      <c r="B5537" s="9" t="s">
        <v>28</v>
      </c>
      <c r="C5537" s="9" t="n">
        <v>1128299</v>
      </c>
      <c r="D5537" s="10" t="n">
        <v>44553</v>
      </c>
      <c r="E5537" s="9" t="s">
        <v>50</v>
      </c>
      <c r="F5537" s="9" t="s">
        <v>74</v>
      </c>
      <c r="G5537" s="9" t="s">
        <v>75</v>
      </c>
      <c r="H5537" s="11" t="s">
        <v>22</v>
      </c>
      <c r="I5537" s="12" t="n">
        <v>64</v>
      </c>
      <c r="J5537" s="13" t="n">
        <v>154</v>
      </c>
      <c r="K5537" s="14" t="n">
        <f aca="false">I5537*J5537</f>
        <v>9856</v>
      </c>
      <c r="L5537" s="14" t="n">
        <f aca="false">($L$2*M5537)/100</f>
        <v>576799.92</v>
      </c>
      <c r="M5537" s="15" t="n">
        <v>0.48</v>
      </c>
      <c r="N5537" s="9" t="s">
        <v>85</v>
      </c>
    </row>
    <row r="5538" customFormat="false" ht="14.25" hidden="false" customHeight="true" outlineLevel="0" collapsed="false">
      <c r="B5538" s="9" t="s">
        <v>28</v>
      </c>
      <c r="C5538" s="9" t="n">
        <v>1128299</v>
      </c>
      <c r="D5538" s="10" t="n">
        <v>44553</v>
      </c>
      <c r="E5538" s="9" t="s">
        <v>50</v>
      </c>
      <c r="F5538" s="9" t="s">
        <v>74</v>
      </c>
      <c r="G5538" s="9" t="s">
        <v>75</v>
      </c>
      <c r="H5538" s="11" t="s">
        <v>23</v>
      </c>
      <c r="I5538" s="12" t="n">
        <v>67</v>
      </c>
      <c r="J5538" s="13" t="n">
        <v>160</v>
      </c>
      <c r="K5538" s="14" t="n">
        <f aca="false">I5538*J5538</f>
        <v>10720</v>
      </c>
      <c r="L5538" s="14" t="n">
        <f aca="false">($L$2*M5538)/100</f>
        <v>600833.25</v>
      </c>
      <c r="M5538" s="15" t="n">
        <v>0.5</v>
      </c>
      <c r="N5538" s="9" t="s">
        <v>85</v>
      </c>
    </row>
    <row r="5539" customFormat="false" ht="14.25" hidden="false" customHeight="true" outlineLevel="0" collapsed="false">
      <c r="B5539" s="9" t="s">
        <v>28</v>
      </c>
      <c r="C5539" s="9" t="n">
        <v>1128299</v>
      </c>
      <c r="D5539" s="10" t="n">
        <v>44553</v>
      </c>
      <c r="E5539" s="9" t="s">
        <v>50</v>
      </c>
      <c r="F5539" s="9" t="s">
        <v>74</v>
      </c>
      <c r="G5539" s="9" t="s">
        <v>75</v>
      </c>
      <c r="H5539" s="11" t="s">
        <v>24</v>
      </c>
      <c r="I5539" s="12" t="n">
        <v>72</v>
      </c>
      <c r="J5539" s="13" t="n">
        <v>133</v>
      </c>
      <c r="K5539" s="14" t="n">
        <f aca="false">I5539*J5539</f>
        <v>9576</v>
      </c>
      <c r="L5539" s="14" t="n">
        <f aca="false">($L$2*M5539)/100</f>
        <v>612849.915</v>
      </c>
      <c r="M5539" s="15" t="n">
        <v>0.51</v>
      </c>
      <c r="N5539" s="9" t="s">
        <v>85</v>
      </c>
    </row>
    <row r="5540" customFormat="false" ht="14.25" hidden="false" customHeight="true" outlineLevel="0" collapsed="false">
      <c r="B5540" s="9" t="s">
        <v>28</v>
      </c>
      <c r="C5540" s="9" t="n">
        <v>1128299</v>
      </c>
      <c r="D5540" s="10" t="n">
        <v>44553</v>
      </c>
      <c r="E5540" s="9" t="s">
        <v>50</v>
      </c>
      <c r="F5540" s="9" t="s">
        <v>74</v>
      </c>
      <c r="G5540" s="9" t="s">
        <v>75</v>
      </c>
      <c r="H5540" s="11" t="s">
        <v>25</v>
      </c>
      <c r="I5540" s="12" t="n">
        <v>82</v>
      </c>
      <c r="J5540" s="13" t="n">
        <v>150</v>
      </c>
      <c r="K5540" s="14" t="n">
        <f aca="false">I5540*J5540</f>
        <v>12300</v>
      </c>
      <c r="L5540" s="14" t="n">
        <f aca="false">($L$2*M5540)/100</f>
        <v>516716.595</v>
      </c>
      <c r="M5540" s="15" t="n">
        <v>0.43</v>
      </c>
      <c r="N5540" s="9" t="s">
        <v>85</v>
      </c>
    </row>
    <row r="5541" customFormat="false" ht="14.25" hidden="false" customHeight="true" outlineLevel="0" collapsed="false">
      <c r="B5541" s="9" t="s">
        <v>28</v>
      </c>
      <c r="C5541" s="9" t="n">
        <v>1185732</v>
      </c>
      <c r="D5541" s="10" t="n">
        <v>44215</v>
      </c>
      <c r="E5541" s="9" t="s">
        <v>50</v>
      </c>
      <c r="F5541" s="9" t="s">
        <v>74</v>
      </c>
      <c r="G5541" s="9" t="s">
        <v>75</v>
      </c>
      <c r="H5541" s="11" t="s">
        <v>19</v>
      </c>
      <c r="I5541" s="12" t="n">
        <v>34</v>
      </c>
      <c r="J5541" s="13" t="n">
        <v>203</v>
      </c>
      <c r="K5541" s="14" t="n">
        <f aca="false">I5541*J5541</f>
        <v>6902</v>
      </c>
      <c r="L5541" s="14" t="n">
        <f aca="false">($L$2*M5541)/100</f>
        <v>733016.565</v>
      </c>
      <c r="M5541" s="15" t="n">
        <v>0.61</v>
      </c>
      <c r="N5541" s="9" t="s">
        <v>85</v>
      </c>
    </row>
    <row r="5542" customFormat="false" ht="14.25" hidden="false" customHeight="true" outlineLevel="0" collapsed="false">
      <c r="B5542" s="9" t="s">
        <v>28</v>
      </c>
      <c r="C5542" s="9" t="n">
        <v>1185732</v>
      </c>
      <c r="D5542" s="10" t="n">
        <v>44215</v>
      </c>
      <c r="E5542" s="9" t="s">
        <v>50</v>
      </c>
      <c r="F5542" s="9" t="s">
        <v>74</v>
      </c>
      <c r="G5542" s="9" t="s">
        <v>75</v>
      </c>
      <c r="H5542" s="11" t="s">
        <v>21</v>
      </c>
      <c r="I5542" s="12" t="n">
        <v>34</v>
      </c>
      <c r="J5542" s="13" t="n">
        <v>154</v>
      </c>
      <c r="K5542" s="14" t="n">
        <f aca="false">I5542*J5542</f>
        <v>5236</v>
      </c>
      <c r="L5542" s="14" t="n">
        <f aca="false">($L$2*M5542)/100</f>
        <v>612849.915</v>
      </c>
      <c r="M5542" s="15" t="n">
        <v>0.51</v>
      </c>
      <c r="N5542" s="9" t="s">
        <v>85</v>
      </c>
    </row>
    <row r="5543" customFormat="false" ht="14.25" hidden="false" customHeight="true" outlineLevel="0" collapsed="false">
      <c r="B5543" s="9" t="s">
        <v>28</v>
      </c>
      <c r="C5543" s="9" t="n">
        <v>1185732</v>
      </c>
      <c r="D5543" s="10" t="n">
        <v>44215</v>
      </c>
      <c r="E5543" s="9" t="s">
        <v>50</v>
      </c>
      <c r="F5543" s="9" t="s">
        <v>74</v>
      </c>
      <c r="G5543" s="9" t="s">
        <v>75</v>
      </c>
      <c r="H5543" s="11" t="s">
        <v>22</v>
      </c>
      <c r="I5543" s="12" t="n">
        <v>23</v>
      </c>
      <c r="J5543" s="13" t="n">
        <v>149</v>
      </c>
      <c r="K5543" s="14" t="n">
        <f aca="false">I5543*J5543</f>
        <v>3427</v>
      </c>
      <c r="L5543" s="14" t="n">
        <f aca="false">($L$2*M5543)/100</f>
        <v>480666.6</v>
      </c>
      <c r="M5543" s="15" t="n">
        <v>0.4</v>
      </c>
      <c r="N5543" s="9" t="s">
        <v>85</v>
      </c>
    </row>
    <row r="5544" customFormat="false" ht="14.25" hidden="false" customHeight="true" outlineLevel="0" collapsed="false">
      <c r="B5544" s="9" t="s">
        <v>28</v>
      </c>
      <c r="C5544" s="9" t="n">
        <v>1185732</v>
      </c>
      <c r="D5544" s="10" t="n">
        <v>44215</v>
      </c>
      <c r="E5544" s="9" t="s">
        <v>50</v>
      </c>
      <c r="F5544" s="9" t="s">
        <v>74</v>
      </c>
      <c r="G5544" s="9" t="s">
        <v>75</v>
      </c>
      <c r="H5544" s="11" t="s">
        <v>23</v>
      </c>
      <c r="I5544" s="12" t="n">
        <v>29</v>
      </c>
      <c r="J5544" s="13" t="n">
        <v>116</v>
      </c>
      <c r="K5544" s="14" t="n">
        <f aca="false">I5544*J5544</f>
        <v>3364</v>
      </c>
      <c r="L5544" s="14" t="n">
        <f aca="false">($L$2*M5544)/100</f>
        <v>600833.25</v>
      </c>
      <c r="M5544" s="15" t="n">
        <v>0.5</v>
      </c>
      <c r="N5544" s="9" t="s">
        <v>85</v>
      </c>
    </row>
    <row r="5545" customFormat="false" ht="14.25" hidden="false" customHeight="true" outlineLevel="0" collapsed="false">
      <c r="B5545" s="9" t="s">
        <v>28</v>
      </c>
      <c r="C5545" s="9" t="n">
        <v>1185732</v>
      </c>
      <c r="D5545" s="10" t="n">
        <v>44215</v>
      </c>
      <c r="E5545" s="9" t="s">
        <v>50</v>
      </c>
      <c r="F5545" s="9" t="s">
        <v>74</v>
      </c>
      <c r="G5545" s="9" t="s">
        <v>75</v>
      </c>
      <c r="H5545" s="11" t="s">
        <v>24</v>
      </c>
      <c r="I5545" s="12" t="n">
        <v>43</v>
      </c>
      <c r="J5545" s="13" t="n">
        <v>122</v>
      </c>
      <c r="K5545" s="14" t="n">
        <f aca="false">I5545*J5545</f>
        <v>5246</v>
      </c>
      <c r="L5545" s="14" t="n">
        <f aca="false">($L$2*M5545)/100</f>
        <v>624866.58</v>
      </c>
      <c r="M5545" s="15" t="n">
        <v>0.52</v>
      </c>
      <c r="N5545" s="9" t="s">
        <v>85</v>
      </c>
    </row>
    <row r="5546" customFormat="false" ht="14.25" hidden="false" customHeight="true" outlineLevel="0" collapsed="false">
      <c r="B5546" s="9" t="s">
        <v>28</v>
      </c>
      <c r="C5546" s="9" t="n">
        <v>1185732</v>
      </c>
      <c r="D5546" s="10" t="n">
        <v>44215</v>
      </c>
      <c r="E5546" s="9" t="s">
        <v>50</v>
      </c>
      <c r="F5546" s="9" t="s">
        <v>74</v>
      </c>
      <c r="G5546" s="9" t="s">
        <v>75</v>
      </c>
      <c r="H5546" s="11" t="s">
        <v>25</v>
      </c>
      <c r="I5546" s="12" t="n">
        <v>33</v>
      </c>
      <c r="J5546" s="13" t="n">
        <v>138</v>
      </c>
      <c r="K5546" s="14" t="n">
        <f aca="false">I5546*J5546</f>
        <v>4554</v>
      </c>
      <c r="L5546" s="14" t="n">
        <f aca="false">($L$2*M5546)/100</f>
        <v>817133.22</v>
      </c>
      <c r="M5546" s="15" t="n">
        <v>0.68</v>
      </c>
      <c r="N5546" s="9" t="s">
        <v>85</v>
      </c>
    </row>
    <row r="5547" customFormat="false" ht="14.25" hidden="false" customHeight="true" outlineLevel="0" collapsed="false">
      <c r="B5547" s="9" t="s">
        <v>28</v>
      </c>
      <c r="C5547" s="9" t="n">
        <v>1185732</v>
      </c>
      <c r="D5547" s="10" t="n">
        <v>44244</v>
      </c>
      <c r="E5547" s="9" t="s">
        <v>50</v>
      </c>
      <c r="F5547" s="9" t="s">
        <v>74</v>
      </c>
      <c r="G5547" s="9" t="s">
        <v>75</v>
      </c>
      <c r="H5547" s="11" t="s">
        <v>19</v>
      </c>
      <c r="I5547" s="12" t="n">
        <v>34</v>
      </c>
      <c r="J5547" s="13" t="n">
        <v>200</v>
      </c>
      <c r="K5547" s="14" t="n">
        <f aca="false">I5547*J5547</f>
        <v>6800</v>
      </c>
      <c r="L5547" s="14" t="n">
        <f aca="false">($L$2*M5547)/100</f>
        <v>757049.895</v>
      </c>
      <c r="M5547" s="15" t="n">
        <v>0.63</v>
      </c>
      <c r="N5547" s="9" t="s">
        <v>85</v>
      </c>
    </row>
    <row r="5548" customFormat="false" ht="14.25" hidden="false" customHeight="true" outlineLevel="0" collapsed="false">
      <c r="B5548" s="9" t="s">
        <v>28</v>
      </c>
      <c r="C5548" s="9" t="n">
        <v>1185732</v>
      </c>
      <c r="D5548" s="10" t="n">
        <v>44244</v>
      </c>
      <c r="E5548" s="9" t="s">
        <v>50</v>
      </c>
      <c r="F5548" s="9" t="s">
        <v>74</v>
      </c>
      <c r="G5548" s="9" t="s">
        <v>75</v>
      </c>
      <c r="H5548" s="11" t="s">
        <v>21</v>
      </c>
      <c r="I5548" s="12" t="n">
        <v>33</v>
      </c>
      <c r="J5548" s="13" t="n">
        <v>117</v>
      </c>
      <c r="K5548" s="14" t="n">
        <f aca="false">I5548*J5548</f>
        <v>3861</v>
      </c>
      <c r="L5548" s="14" t="n">
        <f aca="false">($L$2*M5548)/100</f>
        <v>624866.58</v>
      </c>
      <c r="M5548" s="15" t="n">
        <v>0.52</v>
      </c>
      <c r="N5548" s="9" t="s">
        <v>85</v>
      </c>
    </row>
    <row r="5549" customFormat="false" ht="14.25" hidden="false" customHeight="true" outlineLevel="0" collapsed="false">
      <c r="B5549" s="9" t="s">
        <v>28</v>
      </c>
      <c r="C5549" s="9" t="n">
        <v>1185732</v>
      </c>
      <c r="D5549" s="10" t="n">
        <v>44244</v>
      </c>
      <c r="E5549" s="9" t="s">
        <v>50</v>
      </c>
      <c r="F5549" s="9" t="s">
        <v>74</v>
      </c>
      <c r="G5549" s="9" t="s">
        <v>75</v>
      </c>
      <c r="H5549" s="11" t="s">
        <v>22</v>
      </c>
      <c r="I5549" s="12" t="n">
        <v>23</v>
      </c>
      <c r="J5549" s="13" t="n">
        <v>150</v>
      </c>
      <c r="K5549" s="14" t="n">
        <f aca="false">I5549*J5549</f>
        <v>3450</v>
      </c>
      <c r="L5549" s="14" t="n">
        <f aca="false">($L$2*M5549)/100</f>
        <v>516716.595</v>
      </c>
      <c r="M5549" s="15" t="n">
        <v>0.43</v>
      </c>
      <c r="N5549" s="9" t="s">
        <v>85</v>
      </c>
    </row>
    <row r="5550" customFormat="false" ht="14.25" hidden="false" customHeight="true" outlineLevel="0" collapsed="false">
      <c r="B5550" s="9" t="s">
        <v>28</v>
      </c>
      <c r="C5550" s="9" t="n">
        <v>1185732</v>
      </c>
      <c r="D5550" s="10" t="n">
        <v>44244</v>
      </c>
      <c r="E5550" s="9" t="s">
        <v>38</v>
      </c>
      <c r="F5550" s="9" t="s">
        <v>76</v>
      </c>
      <c r="G5550" s="9" t="s">
        <v>77</v>
      </c>
      <c r="H5550" s="11" t="s">
        <v>23</v>
      </c>
      <c r="I5550" s="12" t="n">
        <v>28</v>
      </c>
      <c r="J5550" s="13" t="n">
        <v>109</v>
      </c>
      <c r="K5550" s="14" t="n">
        <f aca="false">I5550*J5550</f>
        <v>3052</v>
      </c>
      <c r="L5550" s="14" t="n">
        <f aca="false">($L$2*M5550)/100</f>
        <v>588816.585</v>
      </c>
      <c r="M5550" s="15" t="n">
        <v>0.49</v>
      </c>
      <c r="N5550" s="9" t="s">
        <v>85</v>
      </c>
    </row>
    <row r="5551" customFormat="false" ht="14.25" hidden="false" customHeight="true" outlineLevel="0" collapsed="false">
      <c r="B5551" s="9" t="s">
        <v>28</v>
      </c>
      <c r="C5551" s="9" t="n">
        <v>1185732</v>
      </c>
      <c r="D5551" s="10" t="n">
        <v>44244</v>
      </c>
      <c r="E5551" s="9" t="s">
        <v>38</v>
      </c>
      <c r="F5551" s="9" t="s">
        <v>76</v>
      </c>
      <c r="G5551" s="9" t="s">
        <v>77</v>
      </c>
      <c r="H5551" s="11" t="s">
        <v>24</v>
      </c>
      <c r="I5551" s="12" t="n">
        <v>41</v>
      </c>
      <c r="J5551" s="13" t="n">
        <v>126</v>
      </c>
      <c r="K5551" s="14" t="n">
        <f aca="false">I5551*J5551</f>
        <v>5166</v>
      </c>
      <c r="L5551" s="14" t="n">
        <f aca="false">($L$2*M5551)/100</f>
        <v>660916.575</v>
      </c>
      <c r="M5551" s="15" t="n">
        <v>0.55</v>
      </c>
      <c r="N5551" s="9" t="s">
        <v>85</v>
      </c>
    </row>
    <row r="5552" customFormat="false" ht="14.25" hidden="false" customHeight="true" outlineLevel="0" collapsed="false">
      <c r="B5552" s="9" t="s">
        <v>28</v>
      </c>
      <c r="C5552" s="9" t="n">
        <v>1185732</v>
      </c>
      <c r="D5552" s="10" t="n">
        <v>44244</v>
      </c>
      <c r="E5552" s="9" t="s">
        <v>38</v>
      </c>
      <c r="F5552" s="9" t="s">
        <v>76</v>
      </c>
      <c r="G5552" s="9" t="s">
        <v>77</v>
      </c>
      <c r="H5552" s="11" t="s">
        <v>25</v>
      </c>
      <c r="I5552" s="12" t="n">
        <v>33</v>
      </c>
      <c r="J5552" s="13" t="n">
        <v>138</v>
      </c>
      <c r="K5552" s="14" t="n">
        <f aca="false">I5552*J5552</f>
        <v>4554</v>
      </c>
      <c r="L5552" s="14" t="n">
        <f aca="false">($L$2*M5552)/100</f>
        <v>805116.555</v>
      </c>
      <c r="M5552" s="15" t="n">
        <v>0.67</v>
      </c>
      <c r="N5552" s="9" t="s">
        <v>85</v>
      </c>
    </row>
    <row r="5553" customFormat="false" ht="14.25" hidden="false" customHeight="true" outlineLevel="0" collapsed="false">
      <c r="B5553" s="9" t="s">
        <v>28</v>
      </c>
      <c r="C5553" s="9" t="n">
        <v>1185732</v>
      </c>
      <c r="D5553" s="10" t="n">
        <v>44270</v>
      </c>
      <c r="E5553" s="9" t="s">
        <v>38</v>
      </c>
      <c r="F5553" s="9" t="s">
        <v>76</v>
      </c>
      <c r="G5553" s="9" t="s">
        <v>77</v>
      </c>
      <c r="H5553" s="11" t="s">
        <v>19</v>
      </c>
      <c r="I5553" s="12" t="n">
        <v>34</v>
      </c>
      <c r="J5553" s="13" t="n">
        <v>216</v>
      </c>
      <c r="K5553" s="14" t="n">
        <f aca="false">I5553*J5553</f>
        <v>7344</v>
      </c>
      <c r="L5553" s="14" t="n">
        <f aca="false">($L$2*M5553)/100</f>
        <v>733016.565</v>
      </c>
      <c r="M5553" s="15" t="n">
        <v>0.61</v>
      </c>
      <c r="N5553" s="9" t="s">
        <v>85</v>
      </c>
    </row>
    <row r="5554" customFormat="false" ht="14.25" hidden="false" customHeight="true" outlineLevel="0" collapsed="false">
      <c r="B5554" s="9" t="s">
        <v>28</v>
      </c>
      <c r="C5554" s="9" t="n">
        <v>1185732</v>
      </c>
      <c r="D5554" s="10" t="n">
        <v>44270</v>
      </c>
      <c r="E5554" s="9" t="s">
        <v>38</v>
      </c>
      <c r="F5554" s="9" t="s">
        <v>76</v>
      </c>
      <c r="G5554" s="9" t="s">
        <v>77</v>
      </c>
      <c r="H5554" s="11" t="s">
        <v>21</v>
      </c>
      <c r="I5554" s="12" t="n">
        <v>32</v>
      </c>
      <c r="J5554" s="13" t="n">
        <v>126</v>
      </c>
      <c r="K5554" s="14" t="n">
        <f aca="false">I5554*J5554</f>
        <v>4032</v>
      </c>
      <c r="L5554" s="14" t="n">
        <f aca="false">($L$2*M5554)/100</f>
        <v>648899.91</v>
      </c>
      <c r="M5554" s="15" t="n">
        <v>0.54</v>
      </c>
      <c r="N5554" s="9" t="s">
        <v>85</v>
      </c>
    </row>
    <row r="5555" customFormat="false" ht="14.25" hidden="false" customHeight="true" outlineLevel="0" collapsed="false">
      <c r="B5555" s="9" t="s">
        <v>28</v>
      </c>
      <c r="C5555" s="9" t="n">
        <v>1185732</v>
      </c>
      <c r="D5555" s="10" t="n">
        <v>44270</v>
      </c>
      <c r="E5555" s="9" t="s">
        <v>38</v>
      </c>
      <c r="F5555" s="9" t="s">
        <v>76</v>
      </c>
      <c r="G5555" s="9" t="s">
        <v>77</v>
      </c>
      <c r="H5555" s="11" t="s">
        <v>22</v>
      </c>
      <c r="I5555" s="12" t="n">
        <v>25</v>
      </c>
      <c r="J5555" s="13" t="n">
        <v>124</v>
      </c>
      <c r="K5555" s="14" t="n">
        <f aca="false">I5555*J5555</f>
        <v>3100</v>
      </c>
      <c r="L5555" s="14" t="n">
        <f aca="false">($L$2*M5555)/100</f>
        <v>480666.6</v>
      </c>
      <c r="M5555" s="15" t="n">
        <v>0.4</v>
      </c>
      <c r="N5555" s="9" t="s">
        <v>85</v>
      </c>
    </row>
    <row r="5556" customFormat="false" ht="14.25" hidden="false" customHeight="true" outlineLevel="0" collapsed="false">
      <c r="B5556" s="9" t="s">
        <v>28</v>
      </c>
      <c r="C5556" s="9" t="n">
        <v>1185732</v>
      </c>
      <c r="D5556" s="10" t="n">
        <v>44270</v>
      </c>
      <c r="E5556" s="9" t="s">
        <v>38</v>
      </c>
      <c r="F5556" s="9" t="s">
        <v>76</v>
      </c>
      <c r="G5556" s="9" t="s">
        <v>77</v>
      </c>
      <c r="H5556" s="11" t="s">
        <v>23</v>
      </c>
      <c r="I5556" s="12" t="n">
        <v>29</v>
      </c>
      <c r="J5556" s="13" t="n">
        <v>91</v>
      </c>
      <c r="K5556" s="14" t="n">
        <f aca="false">I5556*J5556</f>
        <v>2639</v>
      </c>
      <c r="L5556" s="14" t="n">
        <f aca="false">($L$2*M5556)/100</f>
        <v>576799.92</v>
      </c>
      <c r="M5556" s="15" t="n">
        <v>0.48</v>
      </c>
      <c r="N5556" s="9" t="s">
        <v>85</v>
      </c>
    </row>
    <row r="5557" customFormat="false" ht="14.25" hidden="false" customHeight="true" outlineLevel="0" collapsed="false">
      <c r="B5557" s="9" t="s">
        <v>28</v>
      </c>
      <c r="C5557" s="9" t="n">
        <v>1185732</v>
      </c>
      <c r="D5557" s="10" t="n">
        <v>44270</v>
      </c>
      <c r="E5557" s="9" t="s">
        <v>38</v>
      </c>
      <c r="F5557" s="9" t="s">
        <v>76</v>
      </c>
      <c r="G5557" s="9" t="s">
        <v>77</v>
      </c>
      <c r="H5557" s="11" t="s">
        <v>24</v>
      </c>
      <c r="I5557" s="12" t="n">
        <v>43</v>
      </c>
      <c r="J5557" s="13" t="n">
        <v>94</v>
      </c>
      <c r="K5557" s="14" t="n">
        <f aca="false">I5557*J5557</f>
        <v>4042</v>
      </c>
      <c r="L5557" s="14" t="n">
        <f aca="false">($L$2*M5557)/100</f>
        <v>624866.58</v>
      </c>
      <c r="M5557" s="15" t="n">
        <v>0.52</v>
      </c>
      <c r="N5557" s="9" t="s">
        <v>85</v>
      </c>
    </row>
    <row r="5558" customFormat="false" ht="14.25" hidden="false" customHeight="true" outlineLevel="0" collapsed="false">
      <c r="B5558" s="9" t="s">
        <v>28</v>
      </c>
      <c r="C5558" s="9" t="n">
        <v>1185732</v>
      </c>
      <c r="D5558" s="10" t="n">
        <v>44270</v>
      </c>
      <c r="E5558" s="9" t="s">
        <v>38</v>
      </c>
      <c r="F5558" s="9" t="s">
        <v>76</v>
      </c>
      <c r="G5558" s="9" t="s">
        <v>77</v>
      </c>
      <c r="H5558" s="11" t="s">
        <v>25</v>
      </c>
      <c r="I5558" s="12" t="n">
        <v>33</v>
      </c>
      <c r="J5558" s="13" t="n">
        <v>143</v>
      </c>
      <c r="K5558" s="14" t="n">
        <f aca="false">I5558*J5558</f>
        <v>4719</v>
      </c>
      <c r="L5558" s="14" t="n">
        <f aca="false">($L$2*M5558)/100</f>
        <v>829149.885</v>
      </c>
      <c r="M5558" s="15" t="n">
        <v>0.69</v>
      </c>
      <c r="N5558" s="9" t="s">
        <v>85</v>
      </c>
    </row>
    <row r="5559" customFormat="false" ht="14.25" hidden="false" customHeight="true" outlineLevel="0" collapsed="false">
      <c r="B5559" s="9" t="s">
        <v>28</v>
      </c>
      <c r="C5559" s="9" t="n">
        <v>1185732</v>
      </c>
      <c r="D5559" s="10" t="n">
        <v>44302</v>
      </c>
      <c r="E5559" s="9" t="s">
        <v>38</v>
      </c>
      <c r="F5559" s="9" t="s">
        <v>76</v>
      </c>
      <c r="G5559" s="9" t="s">
        <v>77</v>
      </c>
      <c r="H5559" s="11" t="s">
        <v>19</v>
      </c>
      <c r="I5559" s="12" t="n">
        <v>32</v>
      </c>
      <c r="J5559" s="13" t="n">
        <v>181</v>
      </c>
      <c r="K5559" s="14" t="n">
        <f aca="false">I5559*J5559</f>
        <v>5792</v>
      </c>
      <c r="L5559" s="14" t="n">
        <f aca="false">($L$2*M5559)/100</f>
        <v>720999.9</v>
      </c>
      <c r="M5559" s="15" t="n">
        <v>0.6</v>
      </c>
      <c r="N5559" s="9" t="s">
        <v>85</v>
      </c>
    </row>
    <row r="5560" customFormat="false" ht="14.25" hidden="false" customHeight="true" outlineLevel="0" collapsed="false">
      <c r="B5560" s="9" t="s">
        <v>28</v>
      </c>
      <c r="C5560" s="9" t="n">
        <v>1185732</v>
      </c>
      <c r="D5560" s="10" t="n">
        <v>44302</v>
      </c>
      <c r="E5560" s="9" t="s">
        <v>38</v>
      </c>
      <c r="F5560" s="9" t="s">
        <v>76</v>
      </c>
      <c r="G5560" s="9" t="s">
        <v>77</v>
      </c>
      <c r="H5560" s="11" t="s">
        <v>21</v>
      </c>
      <c r="I5560" s="12" t="n">
        <v>38</v>
      </c>
      <c r="J5560" s="13" t="n">
        <v>111</v>
      </c>
      <c r="K5560" s="14" t="n">
        <f aca="false">I5560*J5560</f>
        <v>4218</v>
      </c>
      <c r="L5560" s="14" t="n">
        <f aca="false">($L$2*M5560)/100</f>
        <v>636883.245</v>
      </c>
      <c r="M5560" s="15" t="n">
        <v>0.53</v>
      </c>
      <c r="N5560" s="9" t="s">
        <v>85</v>
      </c>
    </row>
    <row r="5561" customFormat="false" ht="14.25" hidden="false" customHeight="true" outlineLevel="0" collapsed="false">
      <c r="B5561" s="9" t="s">
        <v>28</v>
      </c>
      <c r="C5561" s="9" t="n">
        <v>1185732</v>
      </c>
      <c r="D5561" s="10" t="n">
        <v>44302</v>
      </c>
      <c r="E5561" s="9" t="s">
        <v>38</v>
      </c>
      <c r="F5561" s="9" t="s">
        <v>76</v>
      </c>
      <c r="G5561" s="9" t="s">
        <v>77</v>
      </c>
      <c r="H5561" s="11" t="s">
        <v>22</v>
      </c>
      <c r="I5561" s="12" t="n">
        <v>27</v>
      </c>
      <c r="J5561" s="13" t="n">
        <v>135</v>
      </c>
      <c r="K5561" s="14" t="n">
        <f aca="false">I5561*J5561</f>
        <v>3645</v>
      </c>
      <c r="L5561" s="14" t="n">
        <f aca="false">($L$2*M5561)/100</f>
        <v>504699.93</v>
      </c>
      <c r="M5561" s="15" t="n">
        <v>0.42</v>
      </c>
      <c r="N5561" s="9" t="s">
        <v>85</v>
      </c>
    </row>
    <row r="5562" customFormat="false" ht="14.25" hidden="false" customHeight="true" outlineLevel="0" collapsed="false">
      <c r="B5562" s="9" t="s">
        <v>28</v>
      </c>
      <c r="C5562" s="9" t="n">
        <v>1185732</v>
      </c>
      <c r="D5562" s="10" t="n">
        <v>44302</v>
      </c>
      <c r="E5562" s="9" t="s">
        <v>38</v>
      </c>
      <c r="F5562" s="9" t="s">
        <v>76</v>
      </c>
      <c r="G5562" s="9" t="s">
        <v>77</v>
      </c>
      <c r="H5562" s="11" t="s">
        <v>23</v>
      </c>
      <c r="I5562" s="12" t="n">
        <v>32</v>
      </c>
      <c r="J5562" s="13" t="n">
        <v>109</v>
      </c>
      <c r="K5562" s="14" t="n">
        <f aca="false">I5562*J5562</f>
        <v>3488</v>
      </c>
      <c r="L5562" s="14" t="n">
        <f aca="false">($L$2*M5562)/100</f>
        <v>552766.59</v>
      </c>
      <c r="M5562" s="15" t="n">
        <v>0.46</v>
      </c>
      <c r="N5562" s="9" t="s">
        <v>85</v>
      </c>
    </row>
    <row r="5563" customFormat="false" ht="14.25" hidden="false" customHeight="true" outlineLevel="0" collapsed="false">
      <c r="B5563" s="9" t="s">
        <v>28</v>
      </c>
      <c r="C5563" s="9" t="n">
        <v>1185732</v>
      </c>
      <c r="D5563" s="10" t="n">
        <v>44302</v>
      </c>
      <c r="E5563" s="9" t="s">
        <v>38</v>
      </c>
      <c r="F5563" s="9" t="s">
        <v>76</v>
      </c>
      <c r="G5563" s="9" t="s">
        <v>77</v>
      </c>
      <c r="H5563" s="11" t="s">
        <v>24</v>
      </c>
      <c r="I5563" s="12" t="n">
        <v>45</v>
      </c>
      <c r="J5563" s="13" t="n">
        <v>120</v>
      </c>
      <c r="K5563" s="14" t="n">
        <f aca="false">I5563*J5563</f>
        <v>5400</v>
      </c>
      <c r="L5563" s="14" t="n">
        <f aca="false">($L$2*M5563)/100</f>
        <v>600833.25</v>
      </c>
      <c r="M5563" s="15" t="n">
        <v>0.5</v>
      </c>
      <c r="N5563" s="9" t="s">
        <v>85</v>
      </c>
    </row>
    <row r="5564" customFormat="false" ht="14.25" hidden="false" customHeight="true" outlineLevel="0" collapsed="false">
      <c r="B5564" s="9" t="s">
        <v>28</v>
      </c>
      <c r="C5564" s="9" t="n">
        <v>1185732</v>
      </c>
      <c r="D5564" s="10" t="n">
        <v>44302</v>
      </c>
      <c r="E5564" s="9" t="s">
        <v>38</v>
      </c>
      <c r="F5564" s="9" t="s">
        <v>76</v>
      </c>
      <c r="G5564" s="9" t="s">
        <v>77</v>
      </c>
      <c r="H5564" s="11" t="s">
        <v>25</v>
      </c>
      <c r="I5564" s="12" t="n">
        <v>37</v>
      </c>
      <c r="J5564" s="13" t="n">
        <v>152</v>
      </c>
      <c r="K5564" s="14" t="n">
        <f aca="false">I5564*J5564</f>
        <v>5624</v>
      </c>
      <c r="L5564" s="14" t="n">
        <f aca="false">($L$2*M5564)/100</f>
        <v>829149.885</v>
      </c>
      <c r="M5564" s="15" t="n">
        <v>0.69</v>
      </c>
      <c r="N5564" s="9" t="s">
        <v>85</v>
      </c>
    </row>
    <row r="5565" customFormat="false" ht="14.25" hidden="false" customHeight="true" outlineLevel="0" collapsed="false">
      <c r="B5565" s="9" t="s">
        <v>28</v>
      </c>
      <c r="C5565" s="9" t="n">
        <v>1185732</v>
      </c>
      <c r="D5565" s="10" t="n">
        <v>44331</v>
      </c>
      <c r="E5565" s="9" t="s">
        <v>38</v>
      </c>
      <c r="F5565" s="9" t="s">
        <v>76</v>
      </c>
      <c r="G5565" s="9" t="s">
        <v>77</v>
      </c>
      <c r="H5565" s="11" t="s">
        <v>19</v>
      </c>
      <c r="I5565" s="12" t="n">
        <v>48</v>
      </c>
      <c r="J5565" s="13" t="n">
        <v>207</v>
      </c>
      <c r="K5565" s="14" t="n">
        <f aca="false">I5565*J5565</f>
        <v>9936</v>
      </c>
      <c r="L5565" s="14" t="n">
        <f aca="false">($L$2*M5565)/100</f>
        <v>733016.565</v>
      </c>
      <c r="M5565" s="15" t="n">
        <v>0.61</v>
      </c>
      <c r="N5565" s="9" t="s">
        <v>85</v>
      </c>
    </row>
    <row r="5566" customFormat="false" ht="14.25" hidden="false" customHeight="true" outlineLevel="0" collapsed="false">
      <c r="B5566" s="9" t="s">
        <v>28</v>
      </c>
      <c r="C5566" s="9" t="n">
        <v>1185732</v>
      </c>
      <c r="D5566" s="10" t="n">
        <v>44331</v>
      </c>
      <c r="E5566" s="9" t="s">
        <v>38</v>
      </c>
      <c r="F5566" s="9" t="s">
        <v>76</v>
      </c>
      <c r="G5566" s="9" t="s">
        <v>77</v>
      </c>
      <c r="H5566" s="11" t="s">
        <v>21</v>
      </c>
      <c r="I5566" s="12" t="n">
        <v>47</v>
      </c>
      <c r="J5566" s="13" t="n">
        <v>150</v>
      </c>
      <c r="K5566" s="14" t="n">
        <f aca="false">I5566*J5566</f>
        <v>7050</v>
      </c>
      <c r="L5566" s="14" t="n">
        <f aca="false">($L$2*M5566)/100</f>
        <v>660916.575</v>
      </c>
      <c r="M5566" s="15" t="n">
        <v>0.55</v>
      </c>
      <c r="N5566" s="9" t="s">
        <v>85</v>
      </c>
    </row>
    <row r="5567" customFormat="false" ht="14.25" hidden="false" customHeight="true" outlineLevel="0" collapsed="false">
      <c r="B5567" s="9" t="s">
        <v>28</v>
      </c>
      <c r="C5567" s="9" t="n">
        <v>1185732</v>
      </c>
      <c r="D5567" s="10" t="n">
        <v>44331</v>
      </c>
      <c r="E5567" s="9" t="s">
        <v>38</v>
      </c>
      <c r="F5567" s="9" t="s">
        <v>76</v>
      </c>
      <c r="G5567" s="9" t="s">
        <v>77</v>
      </c>
      <c r="H5567" s="11" t="s">
        <v>22</v>
      </c>
      <c r="I5567" s="12" t="n">
        <v>44</v>
      </c>
      <c r="J5567" s="13" t="n">
        <v>133</v>
      </c>
      <c r="K5567" s="14" t="n">
        <f aca="false">I5567*J5567</f>
        <v>5852</v>
      </c>
      <c r="L5567" s="14" t="n">
        <f aca="false">($L$2*M5567)/100</f>
        <v>480666.6</v>
      </c>
      <c r="M5567" s="15" t="n">
        <v>0.4</v>
      </c>
      <c r="N5567" s="9" t="s">
        <v>85</v>
      </c>
    </row>
    <row r="5568" customFormat="false" ht="14.25" hidden="false" customHeight="true" outlineLevel="0" collapsed="false">
      <c r="B5568" s="9" t="s">
        <v>28</v>
      </c>
      <c r="C5568" s="9" t="n">
        <v>1185732</v>
      </c>
      <c r="D5568" s="10" t="n">
        <v>44331</v>
      </c>
      <c r="E5568" s="9" t="s">
        <v>38</v>
      </c>
      <c r="F5568" s="9" t="s">
        <v>76</v>
      </c>
      <c r="G5568" s="9" t="s">
        <v>77</v>
      </c>
      <c r="H5568" s="11" t="s">
        <v>23</v>
      </c>
      <c r="I5568" s="12" t="n">
        <v>42</v>
      </c>
      <c r="J5568" s="13" t="n">
        <v>126</v>
      </c>
      <c r="K5568" s="14" t="n">
        <f aca="false">I5568*J5568</f>
        <v>5292</v>
      </c>
      <c r="L5568" s="14" t="n">
        <f aca="false">($L$2*M5568)/100</f>
        <v>600833.25</v>
      </c>
      <c r="M5568" s="15" t="n">
        <v>0.5</v>
      </c>
      <c r="N5568" s="9" t="s">
        <v>85</v>
      </c>
    </row>
    <row r="5569" customFormat="false" ht="14.25" hidden="false" customHeight="true" outlineLevel="0" collapsed="false">
      <c r="B5569" s="9" t="s">
        <v>28</v>
      </c>
      <c r="C5569" s="9" t="n">
        <v>1185732</v>
      </c>
      <c r="D5569" s="10" t="n">
        <v>44331</v>
      </c>
      <c r="E5569" s="9" t="s">
        <v>38</v>
      </c>
      <c r="F5569" s="9" t="s">
        <v>76</v>
      </c>
      <c r="G5569" s="9" t="s">
        <v>77</v>
      </c>
      <c r="H5569" s="11" t="s">
        <v>24</v>
      </c>
      <c r="I5569" s="12" t="n">
        <v>52</v>
      </c>
      <c r="J5569" s="13" t="n">
        <v>124</v>
      </c>
      <c r="K5569" s="14" t="n">
        <f aca="false">I5569*J5569</f>
        <v>6448</v>
      </c>
      <c r="L5569" s="14" t="n">
        <f aca="false">($L$2*M5569)/100</f>
        <v>636883.245</v>
      </c>
      <c r="M5569" s="15" t="n">
        <v>0.53</v>
      </c>
      <c r="N5569" s="9" t="s">
        <v>85</v>
      </c>
    </row>
    <row r="5570" customFormat="false" ht="14.25" hidden="false" customHeight="true" outlineLevel="0" collapsed="false">
      <c r="B5570" s="9" t="s">
        <v>28</v>
      </c>
      <c r="C5570" s="9" t="n">
        <v>1185732</v>
      </c>
      <c r="D5570" s="10" t="n">
        <v>44331</v>
      </c>
      <c r="E5570" s="9" t="s">
        <v>38</v>
      </c>
      <c r="F5570" s="9" t="s">
        <v>76</v>
      </c>
      <c r="G5570" s="9" t="s">
        <v>77</v>
      </c>
      <c r="H5570" s="11" t="s">
        <v>25</v>
      </c>
      <c r="I5570" s="12" t="n">
        <v>55</v>
      </c>
      <c r="J5570" s="13" t="n">
        <v>150</v>
      </c>
      <c r="K5570" s="14" t="n">
        <f aca="false">I5570*J5570</f>
        <v>8250</v>
      </c>
      <c r="L5570" s="14" t="n">
        <f aca="false">($L$2*M5570)/100</f>
        <v>841166.55</v>
      </c>
      <c r="M5570" s="15" t="n">
        <v>0.7</v>
      </c>
      <c r="N5570" s="9" t="s">
        <v>85</v>
      </c>
    </row>
    <row r="5571" customFormat="false" ht="14.25" hidden="false" customHeight="true" outlineLevel="0" collapsed="false">
      <c r="B5571" s="9" t="s">
        <v>28</v>
      </c>
      <c r="C5571" s="9" t="n">
        <v>1185732</v>
      </c>
      <c r="D5571" s="10" t="n">
        <v>44364</v>
      </c>
      <c r="E5571" s="9" t="s">
        <v>38</v>
      </c>
      <c r="F5571" s="9" t="s">
        <v>76</v>
      </c>
      <c r="G5571" s="9" t="s">
        <v>77</v>
      </c>
      <c r="H5571" s="11" t="s">
        <v>19</v>
      </c>
      <c r="I5571" s="12" t="n">
        <v>52</v>
      </c>
      <c r="J5571" s="13" t="n">
        <v>206</v>
      </c>
      <c r="K5571" s="14" t="n">
        <f aca="false">I5571*J5571</f>
        <v>10712</v>
      </c>
      <c r="L5571" s="14" t="n">
        <f aca="false">($L$2*M5571)/100</f>
        <v>745033.23</v>
      </c>
      <c r="M5571" s="15" t="n">
        <v>0.62</v>
      </c>
      <c r="N5571" s="9" t="s">
        <v>85</v>
      </c>
    </row>
    <row r="5572" customFormat="false" ht="14.25" hidden="false" customHeight="true" outlineLevel="0" collapsed="false">
      <c r="B5572" s="9" t="s">
        <v>28</v>
      </c>
      <c r="C5572" s="9" t="n">
        <v>1185732</v>
      </c>
      <c r="D5572" s="10" t="n">
        <v>44364</v>
      </c>
      <c r="E5572" s="9" t="s">
        <v>38</v>
      </c>
      <c r="F5572" s="9" t="s">
        <v>76</v>
      </c>
      <c r="G5572" s="9" t="s">
        <v>77</v>
      </c>
      <c r="H5572" s="11" t="s">
        <v>21</v>
      </c>
      <c r="I5572" s="12" t="n">
        <v>46</v>
      </c>
      <c r="J5572" s="13" t="n">
        <v>167</v>
      </c>
      <c r="K5572" s="14" t="n">
        <f aca="false">I5572*J5572</f>
        <v>7682</v>
      </c>
      <c r="L5572" s="14" t="n">
        <f aca="false">($L$2*M5572)/100</f>
        <v>648899.91</v>
      </c>
      <c r="M5572" s="15" t="n">
        <v>0.54</v>
      </c>
      <c r="N5572" s="9" t="s">
        <v>85</v>
      </c>
    </row>
    <row r="5573" customFormat="false" ht="14.25" hidden="false" customHeight="true" outlineLevel="0" collapsed="false">
      <c r="B5573" s="9" t="s">
        <v>28</v>
      </c>
      <c r="C5573" s="9" t="n">
        <v>1185732</v>
      </c>
      <c r="D5573" s="10" t="n">
        <v>44364</v>
      </c>
      <c r="E5573" s="9" t="s">
        <v>38</v>
      </c>
      <c r="F5573" s="9" t="s">
        <v>76</v>
      </c>
      <c r="G5573" s="9" t="s">
        <v>77</v>
      </c>
      <c r="H5573" s="11" t="s">
        <v>22</v>
      </c>
      <c r="I5573" s="12" t="n">
        <v>41</v>
      </c>
      <c r="J5573" s="13" t="n">
        <v>138</v>
      </c>
      <c r="K5573" s="14" t="n">
        <f aca="false">I5573*J5573</f>
        <v>5658</v>
      </c>
      <c r="L5573" s="14" t="n">
        <f aca="false">($L$2*M5573)/100</f>
        <v>528733.26</v>
      </c>
      <c r="M5573" s="15" t="n">
        <v>0.44</v>
      </c>
      <c r="N5573" s="9" t="s">
        <v>85</v>
      </c>
    </row>
    <row r="5574" customFormat="false" ht="14.25" hidden="false" customHeight="true" outlineLevel="0" collapsed="false">
      <c r="B5574" s="9" t="s">
        <v>28</v>
      </c>
      <c r="C5574" s="9" t="n">
        <v>1185732</v>
      </c>
      <c r="D5574" s="10" t="n">
        <v>44364</v>
      </c>
      <c r="E5574" s="9" t="s">
        <v>38</v>
      </c>
      <c r="F5574" s="9" t="s">
        <v>76</v>
      </c>
      <c r="G5574" s="9" t="s">
        <v>77</v>
      </c>
      <c r="H5574" s="11" t="s">
        <v>23</v>
      </c>
      <c r="I5574" s="12" t="n">
        <v>43</v>
      </c>
      <c r="J5574" s="13" t="n">
        <v>158</v>
      </c>
      <c r="K5574" s="14" t="n">
        <f aca="false">I5574*J5574</f>
        <v>6794</v>
      </c>
      <c r="L5574" s="14" t="n">
        <f aca="false">($L$2*M5574)/100</f>
        <v>576799.92</v>
      </c>
      <c r="M5574" s="15" t="n">
        <v>0.48</v>
      </c>
      <c r="N5574" s="9" t="s">
        <v>85</v>
      </c>
    </row>
    <row r="5575" customFormat="false" ht="14.25" hidden="false" customHeight="true" outlineLevel="0" collapsed="false">
      <c r="B5575" s="9" t="s">
        <v>28</v>
      </c>
      <c r="C5575" s="9" t="n">
        <v>1185732</v>
      </c>
      <c r="D5575" s="10" t="n">
        <v>44364</v>
      </c>
      <c r="E5575" s="9" t="s">
        <v>38</v>
      </c>
      <c r="F5575" s="9" t="s">
        <v>76</v>
      </c>
      <c r="G5575" s="9" t="s">
        <v>77</v>
      </c>
      <c r="H5575" s="11" t="s">
        <v>24</v>
      </c>
      <c r="I5575" s="12" t="n">
        <v>57</v>
      </c>
      <c r="J5575" s="13" t="n">
        <v>152</v>
      </c>
      <c r="K5575" s="14" t="n">
        <f aca="false">I5575*J5575</f>
        <v>8664</v>
      </c>
      <c r="L5575" s="14" t="n">
        <f aca="false">($L$2*M5575)/100</f>
        <v>660916.575</v>
      </c>
      <c r="M5575" s="15" t="n">
        <v>0.55</v>
      </c>
      <c r="N5575" s="9" t="s">
        <v>85</v>
      </c>
    </row>
    <row r="5576" customFormat="false" ht="14.25" hidden="false" customHeight="true" outlineLevel="0" collapsed="false">
      <c r="B5576" s="9" t="s">
        <v>28</v>
      </c>
      <c r="C5576" s="9" t="n">
        <v>1185732</v>
      </c>
      <c r="D5576" s="10" t="n">
        <v>44364</v>
      </c>
      <c r="E5576" s="9" t="s">
        <v>38</v>
      </c>
      <c r="F5576" s="9" t="s">
        <v>76</v>
      </c>
      <c r="G5576" s="9" t="s">
        <v>77</v>
      </c>
      <c r="H5576" s="11" t="s">
        <v>25</v>
      </c>
      <c r="I5576" s="12" t="n">
        <v>60</v>
      </c>
      <c r="J5576" s="13" t="n">
        <v>169</v>
      </c>
      <c r="K5576" s="14" t="n">
        <f aca="false">I5576*J5576</f>
        <v>10140</v>
      </c>
      <c r="L5576" s="14" t="n">
        <f aca="false">($L$2*M5576)/100</f>
        <v>781083.225</v>
      </c>
      <c r="M5576" s="15" t="n">
        <v>0.65</v>
      </c>
      <c r="N5576" s="9" t="s">
        <v>85</v>
      </c>
    </row>
    <row r="5577" customFormat="false" ht="14.25" hidden="false" customHeight="true" outlineLevel="0" collapsed="false">
      <c r="B5577" s="9" t="s">
        <v>28</v>
      </c>
      <c r="C5577" s="9" t="n">
        <v>1185732</v>
      </c>
      <c r="D5577" s="10" t="n">
        <v>44392</v>
      </c>
      <c r="E5577" s="9" t="s">
        <v>38</v>
      </c>
      <c r="F5577" s="9" t="s">
        <v>76</v>
      </c>
      <c r="G5577" s="9" t="s">
        <v>77</v>
      </c>
      <c r="H5577" s="11" t="s">
        <v>19</v>
      </c>
      <c r="I5577" s="12" t="n">
        <v>57</v>
      </c>
      <c r="J5577" s="13" t="n">
        <v>225</v>
      </c>
      <c r="K5577" s="14" t="n">
        <f aca="false">I5577*J5577</f>
        <v>12825</v>
      </c>
      <c r="L5577" s="14" t="n">
        <f aca="false">($L$2*M5577)/100</f>
        <v>720999.9</v>
      </c>
      <c r="M5577" s="15" t="n">
        <v>0.6</v>
      </c>
      <c r="N5577" s="9" t="s">
        <v>85</v>
      </c>
    </row>
    <row r="5578" customFormat="false" ht="14.25" hidden="false" customHeight="true" outlineLevel="0" collapsed="false">
      <c r="B5578" s="9" t="s">
        <v>28</v>
      </c>
      <c r="C5578" s="9" t="n">
        <v>1185732</v>
      </c>
      <c r="D5578" s="10" t="n">
        <v>44392</v>
      </c>
      <c r="E5578" s="9" t="s">
        <v>38</v>
      </c>
      <c r="F5578" s="9" t="s">
        <v>76</v>
      </c>
      <c r="G5578" s="9" t="s">
        <v>77</v>
      </c>
      <c r="H5578" s="11" t="s">
        <v>21</v>
      </c>
      <c r="I5578" s="12" t="n">
        <v>53</v>
      </c>
      <c r="J5578" s="13" t="n">
        <v>189</v>
      </c>
      <c r="K5578" s="14" t="n">
        <f aca="false">I5578*J5578</f>
        <v>10017</v>
      </c>
      <c r="L5578" s="14" t="n">
        <f aca="false">($L$2*M5578)/100</f>
        <v>612849.915</v>
      </c>
      <c r="M5578" s="15" t="n">
        <v>0.51</v>
      </c>
      <c r="N5578" s="9" t="s">
        <v>85</v>
      </c>
    </row>
    <row r="5579" customFormat="false" ht="14.25" hidden="false" customHeight="true" outlineLevel="0" collapsed="false">
      <c r="B5579" s="9" t="s">
        <v>28</v>
      </c>
      <c r="C5579" s="9" t="n">
        <v>1185732</v>
      </c>
      <c r="D5579" s="10" t="n">
        <v>44392</v>
      </c>
      <c r="E5579" s="9" t="s">
        <v>38</v>
      </c>
      <c r="F5579" s="9" t="s">
        <v>76</v>
      </c>
      <c r="G5579" s="9" t="s">
        <v>77</v>
      </c>
      <c r="H5579" s="11" t="s">
        <v>22</v>
      </c>
      <c r="I5579" s="12" t="n">
        <v>46</v>
      </c>
      <c r="J5579" s="13" t="n">
        <v>173</v>
      </c>
      <c r="K5579" s="14" t="n">
        <f aca="false">I5579*J5579</f>
        <v>7958</v>
      </c>
      <c r="L5579" s="14" t="n">
        <f aca="false">($L$2*M5579)/100</f>
        <v>540749.925</v>
      </c>
      <c r="M5579" s="15" t="n">
        <v>0.45</v>
      </c>
      <c r="N5579" s="9" t="s">
        <v>85</v>
      </c>
    </row>
    <row r="5580" customFormat="false" ht="14.25" hidden="false" customHeight="true" outlineLevel="0" collapsed="false">
      <c r="B5580" s="9" t="s">
        <v>28</v>
      </c>
      <c r="C5580" s="9" t="n">
        <v>1185732</v>
      </c>
      <c r="D5580" s="10" t="n">
        <v>44392</v>
      </c>
      <c r="E5580" s="9" t="s">
        <v>38</v>
      </c>
      <c r="F5580" s="9" t="s">
        <v>76</v>
      </c>
      <c r="G5580" s="9" t="s">
        <v>77</v>
      </c>
      <c r="H5580" s="11" t="s">
        <v>23</v>
      </c>
      <c r="I5580" s="12" t="n">
        <v>47</v>
      </c>
      <c r="J5580" s="13" t="n">
        <v>158</v>
      </c>
      <c r="K5580" s="14" t="n">
        <f aca="false">I5580*J5580</f>
        <v>7426</v>
      </c>
      <c r="L5580" s="14" t="n">
        <f aca="false">($L$2*M5580)/100</f>
        <v>540749.925</v>
      </c>
      <c r="M5580" s="15" t="n">
        <v>0.45</v>
      </c>
      <c r="N5580" s="9" t="s">
        <v>85</v>
      </c>
    </row>
    <row r="5581" customFormat="false" ht="14.25" hidden="false" customHeight="true" outlineLevel="0" collapsed="false">
      <c r="B5581" s="9" t="s">
        <v>28</v>
      </c>
      <c r="C5581" s="9" t="n">
        <v>1185732</v>
      </c>
      <c r="D5581" s="10" t="n">
        <v>44392</v>
      </c>
      <c r="E5581" s="9" t="s">
        <v>38</v>
      </c>
      <c r="F5581" s="9" t="s">
        <v>76</v>
      </c>
      <c r="G5581" s="9" t="s">
        <v>77</v>
      </c>
      <c r="H5581" s="11" t="s">
        <v>24</v>
      </c>
      <c r="I5581" s="12" t="n">
        <v>54</v>
      </c>
      <c r="J5581" s="13" t="n">
        <v>143</v>
      </c>
      <c r="K5581" s="14" t="n">
        <f aca="false">I5581*J5581</f>
        <v>7722</v>
      </c>
      <c r="L5581" s="14" t="n">
        <f aca="false">($L$2*M5581)/100</f>
        <v>612849.915</v>
      </c>
      <c r="M5581" s="15" t="n">
        <v>0.51</v>
      </c>
      <c r="N5581" s="9" t="s">
        <v>85</v>
      </c>
    </row>
    <row r="5582" customFormat="false" ht="14.25" hidden="false" customHeight="true" outlineLevel="0" collapsed="false">
      <c r="B5582" s="9" t="s">
        <v>28</v>
      </c>
      <c r="C5582" s="9" t="n">
        <v>1185732</v>
      </c>
      <c r="D5582" s="10" t="n">
        <v>44392</v>
      </c>
      <c r="E5582" s="9" t="s">
        <v>38</v>
      </c>
      <c r="F5582" s="9" t="s">
        <v>76</v>
      </c>
      <c r="G5582" s="9" t="s">
        <v>77</v>
      </c>
      <c r="H5582" s="11" t="s">
        <v>25</v>
      </c>
      <c r="I5582" s="12" t="n">
        <v>62</v>
      </c>
      <c r="J5582" s="13" t="n">
        <v>210</v>
      </c>
      <c r="K5582" s="14" t="n">
        <f aca="false">I5582*J5582</f>
        <v>13020</v>
      </c>
      <c r="L5582" s="14" t="n">
        <f aca="false">($L$2*M5582)/100</f>
        <v>829149.885</v>
      </c>
      <c r="M5582" s="15" t="n">
        <v>0.69</v>
      </c>
      <c r="N5582" s="9" t="s">
        <v>85</v>
      </c>
    </row>
    <row r="5583" customFormat="false" ht="14.25" hidden="false" customHeight="true" outlineLevel="0" collapsed="false">
      <c r="B5583" s="9" t="s">
        <v>28</v>
      </c>
      <c r="C5583" s="9" t="n">
        <v>1185732</v>
      </c>
      <c r="D5583" s="10" t="n">
        <v>44424</v>
      </c>
      <c r="E5583" s="9" t="s">
        <v>38</v>
      </c>
      <c r="F5583" s="9" t="s">
        <v>76</v>
      </c>
      <c r="G5583" s="9" t="s">
        <v>77</v>
      </c>
      <c r="H5583" s="11" t="s">
        <v>19</v>
      </c>
      <c r="I5583" s="12" t="n">
        <v>55</v>
      </c>
      <c r="J5583" s="13" t="n">
        <v>263</v>
      </c>
      <c r="K5583" s="14" t="n">
        <f aca="false">I5583*J5583</f>
        <v>14465</v>
      </c>
      <c r="L5583" s="14" t="n">
        <f aca="false">($L$2*M5583)/100</f>
        <v>769066.56</v>
      </c>
      <c r="M5583" s="15" t="n">
        <v>0.64</v>
      </c>
      <c r="N5583" s="9" t="s">
        <v>85</v>
      </c>
    </row>
    <row r="5584" customFormat="false" ht="14.25" hidden="false" customHeight="true" outlineLevel="0" collapsed="false">
      <c r="B5584" s="9" t="s">
        <v>28</v>
      </c>
      <c r="C5584" s="9" t="n">
        <v>1185732</v>
      </c>
      <c r="D5584" s="10" t="n">
        <v>44424</v>
      </c>
      <c r="E5584" s="9" t="s">
        <v>38</v>
      </c>
      <c r="F5584" s="9" t="s">
        <v>76</v>
      </c>
      <c r="G5584" s="9" t="s">
        <v>77</v>
      </c>
      <c r="H5584" s="11" t="s">
        <v>21</v>
      </c>
      <c r="I5584" s="12" t="n">
        <v>50</v>
      </c>
      <c r="J5584" s="13" t="n">
        <v>195</v>
      </c>
      <c r="K5584" s="14" t="n">
        <f aca="false">I5584*J5584</f>
        <v>9750</v>
      </c>
      <c r="L5584" s="14" t="n">
        <f aca="false">($L$2*M5584)/100</f>
        <v>600833.25</v>
      </c>
      <c r="M5584" s="15" t="n">
        <v>0.5</v>
      </c>
      <c r="N5584" s="9" t="s">
        <v>85</v>
      </c>
    </row>
    <row r="5585" customFormat="false" ht="14.25" hidden="false" customHeight="true" outlineLevel="0" collapsed="false">
      <c r="B5585" s="9" t="s">
        <v>28</v>
      </c>
      <c r="C5585" s="9" t="n">
        <v>1185732</v>
      </c>
      <c r="D5585" s="10" t="n">
        <v>44424</v>
      </c>
      <c r="E5585" s="9" t="s">
        <v>38</v>
      </c>
      <c r="F5585" s="9" t="s">
        <v>76</v>
      </c>
      <c r="G5585" s="9" t="s">
        <v>77</v>
      </c>
      <c r="H5585" s="11" t="s">
        <v>22</v>
      </c>
      <c r="I5585" s="12" t="n">
        <v>42</v>
      </c>
      <c r="J5585" s="13" t="n">
        <v>144</v>
      </c>
      <c r="K5585" s="14" t="n">
        <f aca="false">I5585*J5585</f>
        <v>6048</v>
      </c>
      <c r="L5585" s="14" t="n">
        <f aca="false">($L$2*M5585)/100</f>
        <v>504699.93</v>
      </c>
      <c r="M5585" s="15" t="n">
        <v>0.42</v>
      </c>
      <c r="N5585" s="9" t="s">
        <v>85</v>
      </c>
    </row>
    <row r="5586" customFormat="false" ht="14.25" hidden="false" customHeight="true" outlineLevel="0" collapsed="false">
      <c r="B5586" s="9" t="s">
        <v>28</v>
      </c>
      <c r="C5586" s="9" t="n">
        <v>1185732</v>
      </c>
      <c r="D5586" s="10" t="n">
        <v>44424</v>
      </c>
      <c r="E5586" s="9" t="s">
        <v>38</v>
      </c>
      <c r="F5586" s="9" t="s">
        <v>76</v>
      </c>
      <c r="G5586" s="9" t="s">
        <v>77</v>
      </c>
      <c r="H5586" s="11" t="s">
        <v>23</v>
      </c>
      <c r="I5586" s="12" t="n">
        <v>34</v>
      </c>
      <c r="J5586" s="13" t="n">
        <v>142</v>
      </c>
      <c r="K5586" s="14" t="n">
        <f aca="false">I5586*J5586</f>
        <v>4828</v>
      </c>
      <c r="L5586" s="14" t="n">
        <f aca="false">($L$2*M5586)/100</f>
        <v>540749.925</v>
      </c>
      <c r="M5586" s="15" t="n">
        <v>0.45</v>
      </c>
      <c r="N5586" s="9" t="s">
        <v>85</v>
      </c>
    </row>
    <row r="5587" customFormat="false" ht="14.25" hidden="false" customHeight="true" outlineLevel="0" collapsed="false">
      <c r="B5587" s="9" t="s">
        <v>28</v>
      </c>
      <c r="C5587" s="9" t="n">
        <v>1185732</v>
      </c>
      <c r="D5587" s="10" t="n">
        <v>44424</v>
      </c>
      <c r="E5587" s="9" t="s">
        <v>38</v>
      </c>
      <c r="F5587" s="9" t="s">
        <v>76</v>
      </c>
      <c r="G5587" s="9" t="s">
        <v>77</v>
      </c>
      <c r="H5587" s="11" t="s">
        <v>24</v>
      </c>
      <c r="I5587" s="12" t="n">
        <v>42</v>
      </c>
      <c r="J5587" s="13" t="n">
        <v>135</v>
      </c>
      <c r="K5587" s="14" t="n">
        <f aca="false">I5587*J5587</f>
        <v>5670</v>
      </c>
      <c r="L5587" s="14" t="n">
        <f aca="false">($L$2*M5587)/100</f>
        <v>636883.245</v>
      </c>
      <c r="M5587" s="15" t="n">
        <v>0.53</v>
      </c>
      <c r="N5587" s="9" t="s">
        <v>85</v>
      </c>
    </row>
    <row r="5588" customFormat="false" ht="14.25" hidden="false" customHeight="true" outlineLevel="0" collapsed="false">
      <c r="B5588" s="9" t="s">
        <v>28</v>
      </c>
      <c r="C5588" s="9" t="n">
        <v>1185732</v>
      </c>
      <c r="D5588" s="10" t="n">
        <v>44424</v>
      </c>
      <c r="E5588" s="9" t="s">
        <v>38</v>
      </c>
      <c r="F5588" s="9" t="s">
        <v>76</v>
      </c>
      <c r="G5588" s="9" t="s">
        <v>77</v>
      </c>
      <c r="H5588" s="11" t="s">
        <v>25</v>
      </c>
      <c r="I5588" s="12" t="n">
        <v>45</v>
      </c>
      <c r="J5588" s="13" t="n">
        <v>176</v>
      </c>
      <c r="K5588" s="14" t="n">
        <f aca="false">I5588*J5588</f>
        <v>7920</v>
      </c>
      <c r="L5588" s="14" t="n">
        <f aca="false">($L$2*M5588)/100</f>
        <v>817133.22</v>
      </c>
      <c r="M5588" s="15" t="n">
        <v>0.68</v>
      </c>
      <c r="N5588" s="9" t="s">
        <v>85</v>
      </c>
    </row>
    <row r="5589" customFormat="false" ht="14.25" hidden="false" customHeight="true" outlineLevel="0" collapsed="false">
      <c r="B5589" s="9" t="s">
        <v>28</v>
      </c>
      <c r="C5589" s="9" t="n">
        <v>1185732</v>
      </c>
      <c r="D5589" s="10" t="n">
        <v>44454</v>
      </c>
      <c r="E5589" s="9" t="s">
        <v>38</v>
      </c>
      <c r="F5589" s="9" t="s">
        <v>76</v>
      </c>
      <c r="G5589" s="9" t="s">
        <v>77</v>
      </c>
      <c r="H5589" s="11" t="s">
        <v>19</v>
      </c>
      <c r="I5589" s="12" t="n">
        <v>42</v>
      </c>
      <c r="J5589" s="13" t="n">
        <v>232</v>
      </c>
      <c r="K5589" s="14" t="n">
        <f aca="false">I5589*J5589</f>
        <v>9744</v>
      </c>
      <c r="L5589" s="14" t="n">
        <f aca="false">($L$2*M5589)/100</f>
        <v>757049.895</v>
      </c>
      <c r="M5589" s="15" t="n">
        <v>0.63</v>
      </c>
      <c r="N5589" s="9" t="s">
        <v>85</v>
      </c>
    </row>
    <row r="5590" customFormat="false" ht="14.25" hidden="false" customHeight="true" outlineLevel="0" collapsed="false">
      <c r="B5590" s="9" t="s">
        <v>28</v>
      </c>
      <c r="C5590" s="9" t="n">
        <v>1185732</v>
      </c>
      <c r="D5590" s="10" t="n">
        <v>44454</v>
      </c>
      <c r="E5590" s="9" t="s">
        <v>38</v>
      </c>
      <c r="F5590" s="9" t="s">
        <v>76</v>
      </c>
      <c r="G5590" s="9" t="s">
        <v>77</v>
      </c>
      <c r="H5590" s="11" t="s">
        <v>21</v>
      </c>
      <c r="I5590" s="12" t="n">
        <v>37</v>
      </c>
      <c r="J5590" s="13" t="n">
        <v>174</v>
      </c>
      <c r="K5590" s="14" t="n">
        <f aca="false">I5590*J5590</f>
        <v>6438</v>
      </c>
      <c r="L5590" s="14" t="n">
        <f aca="false">($L$2*M5590)/100</f>
        <v>612849.915</v>
      </c>
      <c r="M5590" s="15" t="n">
        <v>0.51</v>
      </c>
      <c r="N5590" s="9" t="s">
        <v>85</v>
      </c>
    </row>
    <row r="5591" customFormat="false" ht="14.25" hidden="false" customHeight="true" outlineLevel="0" collapsed="false">
      <c r="B5591" s="9" t="s">
        <v>28</v>
      </c>
      <c r="C5591" s="9" t="n">
        <v>1185732</v>
      </c>
      <c r="D5591" s="10" t="n">
        <v>44454</v>
      </c>
      <c r="E5591" s="9" t="s">
        <v>38</v>
      </c>
      <c r="F5591" s="9" t="s">
        <v>76</v>
      </c>
      <c r="G5591" s="9" t="s">
        <v>77</v>
      </c>
      <c r="H5591" s="11" t="s">
        <v>22</v>
      </c>
      <c r="I5591" s="12" t="n">
        <v>34</v>
      </c>
      <c r="J5591" s="13" t="n">
        <v>145</v>
      </c>
      <c r="K5591" s="14" t="n">
        <f aca="false">I5591*J5591</f>
        <v>4930</v>
      </c>
      <c r="L5591" s="14" t="n">
        <f aca="false">($L$2*M5591)/100</f>
        <v>504699.93</v>
      </c>
      <c r="M5591" s="15" t="n">
        <v>0.42</v>
      </c>
      <c r="N5591" s="9" t="s">
        <v>85</v>
      </c>
    </row>
    <row r="5592" customFormat="false" ht="14.25" hidden="false" customHeight="true" outlineLevel="0" collapsed="false">
      <c r="B5592" s="9" t="s">
        <v>28</v>
      </c>
      <c r="C5592" s="9" t="n">
        <v>1185732</v>
      </c>
      <c r="D5592" s="10" t="n">
        <v>44454</v>
      </c>
      <c r="E5592" s="9" t="s">
        <v>38</v>
      </c>
      <c r="F5592" s="9" t="s">
        <v>76</v>
      </c>
      <c r="G5592" s="9" t="s">
        <v>77</v>
      </c>
      <c r="H5592" s="11" t="s">
        <v>23</v>
      </c>
      <c r="I5592" s="12" t="n">
        <v>34</v>
      </c>
      <c r="J5592" s="13" t="n">
        <v>119</v>
      </c>
      <c r="K5592" s="14" t="n">
        <f aca="false">I5592*J5592</f>
        <v>4046</v>
      </c>
      <c r="L5592" s="14" t="n">
        <f aca="false">($L$2*M5592)/100</f>
        <v>540749.925</v>
      </c>
      <c r="M5592" s="15" t="n">
        <v>0.45</v>
      </c>
      <c r="N5592" s="9" t="s">
        <v>85</v>
      </c>
    </row>
    <row r="5593" customFormat="false" ht="14.25" hidden="false" customHeight="true" outlineLevel="0" collapsed="false">
      <c r="B5593" s="9" t="s">
        <v>28</v>
      </c>
      <c r="C5593" s="9" t="n">
        <v>1185732</v>
      </c>
      <c r="D5593" s="10" t="n">
        <v>44454</v>
      </c>
      <c r="E5593" s="9" t="s">
        <v>38</v>
      </c>
      <c r="F5593" s="9" t="s">
        <v>76</v>
      </c>
      <c r="G5593" s="9" t="s">
        <v>77</v>
      </c>
      <c r="H5593" s="11" t="s">
        <v>24</v>
      </c>
      <c r="I5593" s="12" t="n">
        <v>41</v>
      </c>
      <c r="J5593" s="13" t="n">
        <v>128</v>
      </c>
      <c r="K5593" s="14" t="n">
        <f aca="false">I5593*J5593</f>
        <v>5248</v>
      </c>
      <c r="L5593" s="14" t="n">
        <f aca="false">($L$2*M5593)/100</f>
        <v>600833.25</v>
      </c>
      <c r="M5593" s="15" t="n">
        <v>0.5</v>
      </c>
      <c r="N5593" s="9" t="s">
        <v>85</v>
      </c>
    </row>
    <row r="5594" customFormat="false" ht="14.25" hidden="false" customHeight="true" outlineLevel="0" collapsed="false">
      <c r="B5594" s="9" t="s">
        <v>28</v>
      </c>
      <c r="C5594" s="9" t="n">
        <v>1185732</v>
      </c>
      <c r="D5594" s="10" t="n">
        <v>44454</v>
      </c>
      <c r="E5594" s="9" t="s">
        <v>38</v>
      </c>
      <c r="F5594" s="9" t="s">
        <v>76</v>
      </c>
      <c r="G5594" s="9" t="s">
        <v>77</v>
      </c>
      <c r="H5594" s="11" t="s">
        <v>25</v>
      </c>
      <c r="I5594" s="12" t="n">
        <v>48</v>
      </c>
      <c r="J5594" s="13" t="n">
        <v>173</v>
      </c>
      <c r="K5594" s="14" t="n">
        <f aca="false">I5594*J5594</f>
        <v>8304</v>
      </c>
      <c r="L5594" s="14" t="n">
        <f aca="false">($L$2*M5594)/100</f>
        <v>781083.225</v>
      </c>
      <c r="M5594" s="15" t="n">
        <v>0.65</v>
      </c>
      <c r="N5594" s="9" t="s">
        <v>85</v>
      </c>
    </row>
    <row r="5595" customFormat="false" ht="14.25" hidden="false" customHeight="true" outlineLevel="0" collapsed="false">
      <c r="B5595" s="9" t="s">
        <v>28</v>
      </c>
      <c r="C5595" s="9" t="n">
        <v>1185732</v>
      </c>
      <c r="D5595" s="10" t="n">
        <v>44486</v>
      </c>
      <c r="E5595" s="9" t="s">
        <v>38</v>
      </c>
      <c r="F5595" s="9" t="s">
        <v>76</v>
      </c>
      <c r="G5595" s="9" t="s">
        <v>77</v>
      </c>
      <c r="H5595" s="11" t="s">
        <v>19</v>
      </c>
      <c r="I5595" s="12" t="n">
        <v>49</v>
      </c>
      <c r="J5595" s="13" t="n">
        <v>225</v>
      </c>
      <c r="K5595" s="14" t="n">
        <f aca="false">I5595*J5595</f>
        <v>11025</v>
      </c>
      <c r="L5595" s="14" t="n">
        <f aca="false">($L$2*M5595)/100</f>
        <v>733016.565</v>
      </c>
      <c r="M5595" s="15" t="n">
        <v>0.61</v>
      </c>
      <c r="N5595" s="9" t="s">
        <v>85</v>
      </c>
    </row>
    <row r="5596" customFormat="false" ht="14.25" hidden="false" customHeight="true" outlineLevel="0" collapsed="false">
      <c r="B5596" s="9" t="s">
        <v>28</v>
      </c>
      <c r="C5596" s="9" t="n">
        <v>1185732</v>
      </c>
      <c r="D5596" s="10" t="n">
        <v>44486</v>
      </c>
      <c r="E5596" s="9" t="s">
        <v>38</v>
      </c>
      <c r="F5596" s="9" t="s">
        <v>76</v>
      </c>
      <c r="G5596" s="9" t="s">
        <v>77</v>
      </c>
      <c r="H5596" s="11" t="s">
        <v>21</v>
      </c>
      <c r="I5596" s="12" t="n">
        <v>37</v>
      </c>
      <c r="J5596" s="13" t="n">
        <v>167</v>
      </c>
      <c r="K5596" s="14" t="n">
        <f aca="false">I5596*J5596</f>
        <v>6179</v>
      </c>
      <c r="L5596" s="14" t="n">
        <f aca="false">($L$2*M5596)/100</f>
        <v>612849.915</v>
      </c>
      <c r="M5596" s="15" t="n">
        <v>0.51</v>
      </c>
      <c r="N5596" s="9" t="s">
        <v>85</v>
      </c>
    </row>
    <row r="5597" customFormat="false" ht="14.25" hidden="false" customHeight="true" outlineLevel="0" collapsed="false">
      <c r="B5597" s="9" t="s">
        <v>28</v>
      </c>
      <c r="C5597" s="9" t="n">
        <v>1185732</v>
      </c>
      <c r="D5597" s="10" t="n">
        <v>44486</v>
      </c>
      <c r="E5597" s="9" t="s">
        <v>38</v>
      </c>
      <c r="F5597" s="9" t="s">
        <v>76</v>
      </c>
      <c r="G5597" s="9" t="s">
        <v>77</v>
      </c>
      <c r="H5597" s="11" t="s">
        <v>22</v>
      </c>
      <c r="I5597" s="12" t="n">
        <v>37</v>
      </c>
      <c r="J5597" s="13" t="n">
        <v>123</v>
      </c>
      <c r="K5597" s="14" t="n">
        <f aca="false">I5597*J5597</f>
        <v>4551</v>
      </c>
      <c r="L5597" s="14" t="n">
        <f aca="false">($L$2*M5597)/100</f>
        <v>540749.925</v>
      </c>
      <c r="M5597" s="15" t="n">
        <v>0.45</v>
      </c>
      <c r="N5597" s="9" t="s">
        <v>85</v>
      </c>
    </row>
    <row r="5598" customFormat="false" ht="14.25" hidden="false" customHeight="true" outlineLevel="0" collapsed="false">
      <c r="B5598" s="9" t="s">
        <v>28</v>
      </c>
      <c r="C5598" s="9" t="n">
        <v>1185732</v>
      </c>
      <c r="D5598" s="10" t="n">
        <v>44486</v>
      </c>
      <c r="E5598" s="9" t="s">
        <v>38</v>
      </c>
      <c r="F5598" s="9" t="s">
        <v>76</v>
      </c>
      <c r="G5598" s="9" t="s">
        <v>77</v>
      </c>
      <c r="H5598" s="11" t="s">
        <v>23</v>
      </c>
      <c r="I5598" s="12" t="n">
        <v>38</v>
      </c>
      <c r="J5598" s="13" t="n">
        <v>116</v>
      </c>
      <c r="K5598" s="14" t="n">
        <f aca="false">I5598*J5598</f>
        <v>4408</v>
      </c>
      <c r="L5598" s="14" t="n">
        <f aca="false">($L$2*M5598)/100</f>
        <v>600833.25</v>
      </c>
      <c r="M5598" s="15" t="n">
        <v>0.5</v>
      </c>
      <c r="N5598" s="9" t="s">
        <v>85</v>
      </c>
    </row>
    <row r="5599" customFormat="false" ht="14.25" hidden="false" customHeight="true" outlineLevel="0" collapsed="false">
      <c r="B5599" s="9" t="s">
        <v>28</v>
      </c>
      <c r="C5599" s="9" t="n">
        <v>1185732</v>
      </c>
      <c r="D5599" s="10" t="n">
        <v>44486</v>
      </c>
      <c r="E5599" s="9" t="s">
        <v>38</v>
      </c>
      <c r="F5599" s="9" t="s">
        <v>76</v>
      </c>
      <c r="G5599" s="9" t="s">
        <v>77</v>
      </c>
      <c r="H5599" s="11" t="s">
        <v>24</v>
      </c>
      <c r="I5599" s="12" t="n">
        <v>48</v>
      </c>
      <c r="J5599" s="13" t="n">
        <v>112</v>
      </c>
      <c r="K5599" s="14" t="n">
        <f aca="false">I5599*J5599</f>
        <v>5376</v>
      </c>
      <c r="L5599" s="14" t="n">
        <f aca="false">($L$2*M5599)/100</f>
        <v>660916.575</v>
      </c>
      <c r="M5599" s="15" t="n">
        <v>0.55</v>
      </c>
      <c r="N5599" s="9" t="s">
        <v>85</v>
      </c>
    </row>
    <row r="5600" customFormat="false" ht="14.25" hidden="false" customHeight="true" outlineLevel="0" collapsed="false">
      <c r="B5600" s="9" t="s">
        <v>28</v>
      </c>
      <c r="C5600" s="9" t="n">
        <v>1185732</v>
      </c>
      <c r="D5600" s="10" t="n">
        <v>44486</v>
      </c>
      <c r="E5600" s="9" t="s">
        <v>38</v>
      </c>
      <c r="F5600" s="9" t="s">
        <v>76</v>
      </c>
      <c r="G5600" s="9" t="s">
        <v>77</v>
      </c>
      <c r="H5600" s="11" t="s">
        <v>25</v>
      </c>
      <c r="I5600" s="12" t="n">
        <v>52</v>
      </c>
      <c r="J5600" s="13" t="n">
        <v>137</v>
      </c>
      <c r="K5600" s="14" t="n">
        <f aca="false">I5600*J5600</f>
        <v>7124</v>
      </c>
      <c r="L5600" s="14" t="n">
        <f aca="false">($L$2*M5600)/100</f>
        <v>841166.55</v>
      </c>
      <c r="M5600" s="15" t="n">
        <v>0.7</v>
      </c>
      <c r="N5600" s="9" t="s">
        <v>85</v>
      </c>
    </row>
    <row r="5601" customFormat="false" ht="14.25" hidden="false" customHeight="true" outlineLevel="0" collapsed="false">
      <c r="B5601" s="9" t="s">
        <v>28</v>
      </c>
      <c r="C5601" s="9" t="n">
        <v>1185732</v>
      </c>
      <c r="D5601" s="10" t="n">
        <v>44516</v>
      </c>
      <c r="E5601" s="9" t="s">
        <v>38</v>
      </c>
      <c r="F5601" s="9" t="s">
        <v>76</v>
      </c>
      <c r="G5601" s="9" t="s">
        <v>77</v>
      </c>
      <c r="H5601" s="11" t="s">
        <v>19</v>
      </c>
      <c r="I5601" s="12" t="n">
        <v>49</v>
      </c>
      <c r="J5601" s="13" t="n">
        <v>196</v>
      </c>
      <c r="K5601" s="14" t="n">
        <f aca="false">I5601*J5601</f>
        <v>9604</v>
      </c>
      <c r="L5601" s="14" t="n">
        <f aca="false">($L$2*M5601)/100</f>
        <v>757049.895</v>
      </c>
      <c r="M5601" s="15" t="n">
        <v>0.63</v>
      </c>
      <c r="N5601" s="9" t="s">
        <v>85</v>
      </c>
    </row>
    <row r="5602" customFormat="false" ht="14.25" hidden="false" customHeight="true" outlineLevel="0" collapsed="false">
      <c r="B5602" s="9" t="s">
        <v>28</v>
      </c>
      <c r="C5602" s="9" t="n">
        <v>1185732</v>
      </c>
      <c r="D5602" s="10" t="n">
        <v>44516</v>
      </c>
      <c r="E5602" s="9" t="s">
        <v>38</v>
      </c>
      <c r="F5602" s="9" t="s">
        <v>76</v>
      </c>
      <c r="G5602" s="9" t="s">
        <v>77</v>
      </c>
      <c r="H5602" s="11" t="s">
        <v>21</v>
      </c>
      <c r="I5602" s="12" t="n">
        <v>42</v>
      </c>
      <c r="J5602" s="13" t="n">
        <v>145</v>
      </c>
      <c r="K5602" s="14" t="n">
        <f aca="false">I5602*J5602</f>
        <v>6090</v>
      </c>
      <c r="L5602" s="14" t="n">
        <f aca="false">($L$2*M5602)/100</f>
        <v>660916.575</v>
      </c>
      <c r="M5602" s="15" t="n">
        <v>0.55</v>
      </c>
      <c r="N5602" s="9" t="s">
        <v>85</v>
      </c>
    </row>
    <row r="5603" customFormat="false" ht="14.25" hidden="false" customHeight="true" outlineLevel="0" collapsed="false">
      <c r="B5603" s="9" t="s">
        <v>28</v>
      </c>
      <c r="C5603" s="9" t="n">
        <v>1185732</v>
      </c>
      <c r="D5603" s="10" t="n">
        <v>44516</v>
      </c>
      <c r="E5603" s="9" t="s">
        <v>38</v>
      </c>
      <c r="F5603" s="9" t="s">
        <v>76</v>
      </c>
      <c r="G5603" s="9" t="s">
        <v>77</v>
      </c>
      <c r="H5603" s="11" t="s">
        <v>22</v>
      </c>
      <c r="I5603" s="12" t="n">
        <v>43</v>
      </c>
      <c r="J5603" s="13" t="n">
        <v>120</v>
      </c>
      <c r="K5603" s="14" t="n">
        <f aca="false">I5603*J5603</f>
        <v>5160</v>
      </c>
      <c r="L5603" s="14" t="n">
        <f aca="false">($L$2*M5603)/100</f>
        <v>540749.925</v>
      </c>
      <c r="M5603" s="15" t="n">
        <v>0.45</v>
      </c>
      <c r="N5603" s="9" t="s">
        <v>85</v>
      </c>
    </row>
    <row r="5604" customFormat="false" ht="14.25" hidden="false" customHeight="true" outlineLevel="0" collapsed="false">
      <c r="B5604" s="9" t="s">
        <v>28</v>
      </c>
      <c r="C5604" s="9" t="n">
        <v>1185732</v>
      </c>
      <c r="D5604" s="10" t="n">
        <v>44516</v>
      </c>
      <c r="E5604" s="9" t="s">
        <v>38</v>
      </c>
      <c r="F5604" s="9" t="s">
        <v>76</v>
      </c>
      <c r="G5604" s="9" t="s">
        <v>77</v>
      </c>
      <c r="H5604" s="11" t="s">
        <v>23</v>
      </c>
      <c r="I5604" s="12" t="n">
        <v>41</v>
      </c>
      <c r="J5604" s="13" t="n">
        <v>138</v>
      </c>
      <c r="K5604" s="14" t="n">
        <f aca="false">I5604*J5604</f>
        <v>5658</v>
      </c>
      <c r="L5604" s="14" t="n">
        <f aca="false">($L$2*M5604)/100</f>
        <v>588816.585</v>
      </c>
      <c r="M5604" s="15" t="n">
        <v>0.49</v>
      </c>
      <c r="N5604" s="9" t="s">
        <v>85</v>
      </c>
    </row>
    <row r="5605" customFormat="false" ht="14.25" hidden="false" customHeight="true" outlineLevel="0" collapsed="false">
      <c r="B5605" s="9" t="s">
        <v>28</v>
      </c>
      <c r="C5605" s="9" t="n">
        <v>1185732</v>
      </c>
      <c r="D5605" s="10" t="n">
        <v>44516</v>
      </c>
      <c r="E5605" s="9" t="s">
        <v>38</v>
      </c>
      <c r="F5605" s="9" t="s">
        <v>76</v>
      </c>
      <c r="G5605" s="9" t="s">
        <v>77</v>
      </c>
      <c r="H5605" s="11" t="s">
        <v>24</v>
      </c>
      <c r="I5605" s="12" t="n">
        <v>59</v>
      </c>
      <c r="J5605" s="13" t="n">
        <v>126</v>
      </c>
      <c r="K5605" s="14" t="n">
        <f aca="false">I5605*J5605</f>
        <v>7434</v>
      </c>
      <c r="L5605" s="14" t="n">
        <f aca="false">($L$2*M5605)/100</f>
        <v>660916.575</v>
      </c>
      <c r="M5605" s="15" t="n">
        <v>0.55</v>
      </c>
      <c r="N5605" s="9" t="s">
        <v>85</v>
      </c>
    </row>
    <row r="5606" customFormat="false" ht="14.25" hidden="false" customHeight="true" outlineLevel="0" collapsed="false">
      <c r="B5606" s="9" t="s">
        <v>28</v>
      </c>
      <c r="C5606" s="9" t="n">
        <v>1185732</v>
      </c>
      <c r="D5606" s="10" t="n">
        <v>44516</v>
      </c>
      <c r="E5606" s="9" t="s">
        <v>38</v>
      </c>
      <c r="F5606" s="9" t="s">
        <v>76</v>
      </c>
      <c r="G5606" s="9" t="s">
        <v>77</v>
      </c>
      <c r="H5606" s="11" t="s">
        <v>25</v>
      </c>
      <c r="I5606" s="12" t="n">
        <v>59</v>
      </c>
      <c r="J5606" s="13" t="n">
        <v>169</v>
      </c>
      <c r="K5606" s="14" t="n">
        <f aca="false">I5606*J5606</f>
        <v>9971</v>
      </c>
      <c r="L5606" s="14" t="n">
        <f aca="false">($L$2*M5606)/100</f>
        <v>829149.885</v>
      </c>
      <c r="M5606" s="15" t="n">
        <v>0.69</v>
      </c>
      <c r="N5606" s="9" t="s">
        <v>85</v>
      </c>
    </row>
    <row r="5607" customFormat="false" ht="14.25" hidden="false" customHeight="true" outlineLevel="0" collapsed="false">
      <c r="B5607" s="9" t="s">
        <v>28</v>
      </c>
      <c r="C5607" s="9" t="n">
        <v>1185732</v>
      </c>
      <c r="D5607" s="10" t="n">
        <v>44545</v>
      </c>
      <c r="E5607" s="9" t="s">
        <v>38</v>
      </c>
      <c r="F5607" s="9" t="s">
        <v>76</v>
      </c>
      <c r="G5607" s="9" t="s">
        <v>77</v>
      </c>
      <c r="H5607" s="11" t="s">
        <v>19</v>
      </c>
      <c r="I5607" s="12" t="n">
        <v>55</v>
      </c>
      <c r="J5607" s="13" t="n">
        <v>255</v>
      </c>
      <c r="K5607" s="14" t="n">
        <f aca="false">I5607*J5607</f>
        <v>14025</v>
      </c>
      <c r="L5607" s="14" t="n">
        <f aca="false">($L$2*M5607)/100</f>
        <v>733016.565</v>
      </c>
      <c r="M5607" s="15" t="n">
        <v>0.61</v>
      </c>
      <c r="N5607" s="9" t="s">
        <v>85</v>
      </c>
    </row>
    <row r="5608" customFormat="false" ht="14.25" hidden="false" customHeight="true" outlineLevel="0" collapsed="false">
      <c r="B5608" s="9" t="s">
        <v>28</v>
      </c>
      <c r="C5608" s="9" t="n">
        <v>1185732</v>
      </c>
      <c r="D5608" s="10" t="n">
        <v>44545</v>
      </c>
      <c r="E5608" s="9" t="s">
        <v>38</v>
      </c>
      <c r="F5608" s="9" t="s">
        <v>76</v>
      </c>
      <c r="G5608" s="9" t="s">
        <v>77</v>
      </c>
      <c r="H5608" s="11" t="s">
        <v>21</v>
      </c>
      <c r="I5608" s="12" t="n">
        <v>46</v>
      </c>
      <c r="J5608" s="13" t="n">
        <v>176</v>
      </c>
      <c r="K5608" s="14" t="n">
        <f aca="false">I5608*J5608</f>
        <v>8096</v>
      </c>
      <c r="L5608" s="14" t="n">
        <f aca="false">($L$2*M5608)/100</f>
        <v>636883.245</v>
      </c>
      <c r="M5608" s="15" t="n">
        <v>0.53</v>
      </c>
      <c r="N5608" s="9" t="s">
        <v>85</v>
      </c>
    </row>
    <row r="5609" customFormat="false" ht="14.25" hidden="false" customHeight="true" outlineLevel="0" collapsed="false">
      <c r="B5609" s="9" t="s">
        <v>16</v>
      </c>
      <c r="C5609" s="9" t="n">
        <v>1185732</v>
      </c>
      <c r="D5609" s="10" t="n">
        <v>44545</v>
      </c>
      <c r="E5609" s="9" t="s">
        <v>38</v>
      </c>
      <c r="F5609" s="9" t="s">
        <v>76</v>
      </c>
      <c r="G5609" s="9" t="s">
        <v>77</v>
      </c>
      <c r="H5609" s="11" t="s">
        <v>22</v>
      </c>
      <c r="I5609" s="12" t="n">
        <v>48</v>
      </c>
      <c r="J5609" s="13" t="n">
        <v>168</v>
      </c>
      <c r="K5609" s="14" t="n">
        <f aca="false">I5609*J5609</f>
        <v>8064</v>
      </c>
      <c r="L5609" s="14" t="n">
        <f aca="false">($L$2*M5609)/100</f>
        <v>540749.925</v>
      </c>
      <c r="M5609" s="15" t="n">
        <v>0.45</v>
      </c>
      <c r="N5609" s="9" t="s">
        <v>85</v>
      </c>
    </row>
    <row r="5610" customFormat="false" ht="14.25" hidden="false" customHeight="true" outlineLevel="0" collapsed="false">
      <c r="B5610" s="9" t="s">
        <v>16</v>
      </c>
      <c r="C5610" s="9" t="n">
        <v>1185732</v>
      </c>
      <c r="D5610" s="10" t="n">
        <v>44545</v>
      </c>
      <c r="E5610" s="9" t="s">
        <v>38</v>
      </c>
      <c r="F5610" s="9" t="s">
        <v>76</v>
      </c>
      <c r="G5610" s="9" t="s">
        <v>77</v>
      </c>
      <c r="H5610" s="11" t="s">
        <v>23</v>
      </c>
      <c r="I5610" s="12" t="n">
        <v>48</v>
      </c>
      <c r="J5610" s="13" t="n">
        <v>138</v>
      </c>
      <c r="K5610" s="14" t="n">
        <f aca="false">I5610*J5610</f>
        <v>6624</v>
      </c>
      <c r="L5610" s="14" t="n">
        <f aca="false">($L$2*M5610)/100</f>
        <v>576799.92</v>
      </c>
      <c r="M5610" s="15" t="n">
        <v>0.48</v>
      </c>
      <c r="N5610" s="9" t="s">
        <v>85</v>
      </c>
    </row>
    <row r="5611" customFormat="false" ht="14.25" hidden="false" customHeight="true" outlineLevel="0" collapsed="false">
      <c r="B5611" s="9" t="s">
        <v>16</v>
      </c>
      <c r="C5611" s="9" t="n">
        <v>1185732</v>
      </c>
      <c r="D5611" s="10" t="n">
        <v>44545</v>
      </c>
      <c r="E5611" s="9" t="s">
        <v>38</v>
      </c>
      <c r="F5611" s="9" t="s">
        <v>76</v>
      </c>
      <c r="G5611" s="9" t="s">
        <v>77</v>
      </c>
      <c r="H5611" s="11" t="s">
        <v>24</v>
      </c>
      <c r="I5611" s="12" t="n">
        <v>55</v>
      </c>
      <c r="J5611" s="13" t="n">
        <v>143</v>
      </c>
      <c r="K5611" s="14" t="n">
        <f aca="false">I5611*J5611</f>
        <v>7865</v>
      </c>
      <c r="L5611" s="14" t="n">
        <f aca="false">($L$2*M5611)/100</f>
        <v>624866.58</v>
      </c>
      <c r="M5611" s="15" t="n">
        <v>0.52</v>
      </c>
      <c r="N5611" s="9" t="s">
        <v>85</v>
      </c>
    </row>
    <row r="5612" customFormat="false" ht="14.25" hidden="false" customHeight="true" outlineLevel="0" collapsed="false">
      <c r="B5612" s="9" t="s">
        <v>16</v>
      </c>
      <c r="C5612" s="9" t="n">
        <v>1185732</v>
      </c>
      <c r="D5612" s="10" t="n">
        <v>44545</v>
      </c>
      <c r="E5612" s="9" t="s">
        <v>38</v>
      </c>
      <c r="F5612" s="9" t="s">
        <v>76</v>
      </c>
      <c r="G5612" s="9" t="s">
        <v>77</v>
      </c>
      <c r="H5612" s="11" t="s">
        <v>25</v>
      </c>
      <c r="I5612" s="12" t="n">
        <v>59</v>
      </c>
      <c r="J5612" s="13" t="n">
        <v>163</v>
      </c>
      <c r="K5612" s="14" t="n">
        <f aca="false">I5612*J5612</f>
        <v>9617</v>
      </c>
      <c r="L5612" s="14" t="n">
        <f aca="false">($L$2*M5612)/100</f>
        <v>781083.225</v>
      </c>
      <c r="M5612" s="15" t="n">
        <v>0.65</v>
      </c>
      <c r="N5612" s="9" t="s">
        <v>85</v>
      </c>
    </row>
    <row r="5613" customFormat="false" ht="14.25" hidden="false" customHeight="true" outlineLevel="0" collapsed="false">
      <c r="B5613" s="9" t="s">
        <v>16</v>
      </c>
      <c r="C5613" s="9" t="n">
        <v>1185732</v>
      </c>
      <c r="D5613" s="10" t="n">
        <v>44214</v>
      </c>
      <c r="E5613" s="9" t="s">
        <v>38</v>
      </c>
      <c r="F5613" s="9" t="s">
        <v>76</v>
      </c>
      <c r="G5613" s="9" t="s">
        <v>77</v>
      </c>
      <c r="H5613" s="11" t="s">
        <v>19</v>
      </c>
      <c r="I5613" s="12" t="n">
        <v>27</v>
      </c>
      <c r="J5613" s="13" t="n">
        <v>156</v>
      </c>
      <c r="K5613" s="14" t="n">
        <f aca="false">I5613*J5613</f>
        <v>4212</v>
      </c>
      <c r="L5613" s="14" t="n">
        <f aca="false">($L$2*M5613)/100</f>
        <v>600833.25</v>
      </c>
      <c r="M5613" s="15" t="n">
        <v>0.5</v>
      </c>
      <c r="N5613" s="9" t="s">
        <v>85</v>
      </c>
    </row>
    <row r="5614" customFormat="false" ht="14.25" hidden="false" customHeight="true" outlineLevel="0" collapsed="false">
      <c r="B5614" s="9" t="s">
        <v>16</v>
      </c>
      <c r="C5614" s="9" t="n">
        <v>1185732</v>
      </c>
      <c r="D5614" s="10" t="n">
        <v>44214</v>
      </c>
      <c r="E5614" s="9" t="s">
        <v>38</v>
      </c>
      <c r="F5614" s="9" t="s">
        <v>76</v>
      </c>
      <c r="G5614" s="9" t="s">
        <v>77</v>
      </c>
      <c r="H5614" s="11" t="s">
        <v>21</v>
      </c>
      <c r="I5614" s="12" t="n">
        <v>29</v>
      </c>
      <c r="J5614" s="13" t="n">
        <v>123</v>
      </c>
      <c r="K5614" s="14" t="n">
        <f aca="false">I5614*J5614</f>
        <v>3567</v>
      </c>
      <c r="L5614" s="14" t="n">
        <f aca="false">($L$2*M5614)/100</f>
        <v>564783.255</v>
      </c>
      <c r="M5614" s="15" t="n">
        <v>0.47</v>
      </c>
      <c r="N5614" s="9" t="s">
        <v>85</v>
      </c>
    </row>
    <row r="5615" customFormat="false" ht="14.25" hidden="false" customHeight="true" outlineLevel="0" collapsed="false">
      <c r="B5615" s="9" t="s">
        <v>16</v>
      </c>
      <c r="C5615" s="9" t="n">
        <v>1185732</v>
      </c>
      <c r="D5615" s="10" t="n">
        <v>44214</v>
      </c>
      <c r="E5615" s="9" t="s">
        <v>38</v>
      </c>
      <c r="F5615" s="9" t="s">
        <v>76</v>
      </c>
      <c r="G5615" s="9" t="s">
        <v>77</v>
      </c>
      <c r="H5615" s="11" t="s">
        <v>22</v>
      </c>
      <c r="I5615" s="12" t="n">
        <v>19</v>
      </c>
      <c r="J5615" s="13" t="n">
        <v>123</v>
      </c>
      <c r="K5615" s="14" t="n">
        <f aca="false">I5615*J5615</f>
        <v>2337</v>
      </c>
      <c r="L5615" s="14" t="n">
        <f aca="false">($L$2*M5615)/100</f>
        <v>540749.925</v>
      </c>
      <c r="M5615" s="15" t="n">
        <v>0.45</v>
      </c>
      <c r="N5615" s="9" t="s">
        <v>85</v>
      </c>
    </row>
    <row r="5616" customFormat="false" ht="14.25" hidden="false" customHeight="true" outlineLevel="0" collapsed="false">
      <c r="B5616" s="9" t="s">
        <v>16</v>
      </c>
      <c r="C5616" s="9" t="n">
        <v>1185732</v>
      </c>
      <c r="D5616" s="10" t="n">
        <v>44214</v>
      </c>
      <c r="E5616" s="9" t="s">
        <v>38</v>
      </c>
      <c r="F5616" s="9" t="s">
        <v>76</v>
      </c>
      <c r="G5616" s="9" t="s">
        <v>77</v>
      </c>
      <c r="H5616" s="11" t="s">
        <v>23</v>
      </c>
      <c r="I5616" s="12" t="n">
        <v>24</v>
      </c>
      <c r="J5616" s="13" t="n">
        <v>77</v>
      </c>
      <c r="K5616" s="14" t="n">
        <f aca="false">I5616*J5616</f>
        <v>1848</v>
      </c>
      <c r="L5616" s="14" t="n">
        <f aca="false">($L$2*M5616)/100</f>
        <v>624866.58</v>
      </c>
      <c r="M5616" s="15" t="n">
        <v>0.52</v>
      </c>
      <c r="N5616" s="9" t="s">
        <v>85</v>
      </c>
    </row>
    <row r="5617" customFormat="false" ht="14.25" hidden="false" customHeight="true" outlineLevel="0" collapsed="false">
      <c r="B5617" s="9" t="s">
        <v>16</v>
      </c>
      <c r="C5617" s="9" t="n">
        <v>1185732</v>
      </c>
      <c r="D5617" s="10" t="n">
        <v>44214</v>
      </c>
      <c r="E5617" s="9" t="s">
        <v>38</v>
      </c>
      <c r="F5617" s="9" t="s">
        <v>76</v>
      </c>
      <c r="G5617" s="9" t="s">
        <v>77</v>
      </c>
      <c r="H5617" s="11" t="s">
        <v>24</v>
      </c>
      <c r="I5617" s="12" t="n">
        <v>39</v>
      </c>
      <c r="J5617" s="13" t="n">
        <v>98</v>
      </c>
      <c r="K5617" s="14" t="n">
        <f aca="false">I5617*J5617</f>
        <v>3822</v>
      </c>
      <c r="L5617" s="14" t="n">
        <f aca="false">($L$2*M5617)/100</f>
        <v>588816.585</v>
      </c>
      <c r="M5617" s="15" t="n">
        <v>0.49</v>
      </c>
      <c r="N5617" s="9" t="s">
        <v>85</v>
      </c>
    </row>
    <row r="5618" customFormat="false" ht="14.25" hidden="false" customHeight="true" outlineLevel="0" collapsed="false">
      <c r="B5618" s="9" t="s">
        <v>16</v>
      </c>
      <c r="C5618" s="9" t="n">
        <v>1185732</v>
      </c>
      <c r="D5618" s="10" t="n">
        <v>44214</v>
      </c>
      <c r="E5618" s="9" t="s">
        <v>38</v>
      </c>
      <c r="F5618" s="9" t="s">
        <v>76</v>
      </c>
      <c r="G5618" s="9" t="s">
        <v>77</v>
      </c>
      <c r="H5618" s="11" t="s">
        <v>25</v>
      </c>
      <c r="I5618" s="12" t="n">
        <v>29</v>
      </c>
      <c r="J5618" s="13" t="n">
        <v>123</v>
      </c>
      <c r="K5618" s="14" t="n">
        <f aca="false">I5618*J5618</f>
        <v>3567</v>
      </c>
      <c r="L5618" s="14" t="n">
        <f aca="false">($L$2*M5618)/100</f>
        <v>757049.895</v>
      </c>
      <c r="M5618" s="15" t="n">
        <v>0.63</v>
      </c>
      <c r="N5618" s="9" t="s">
        <v>85</v>
      </c>
    </row>
    <row r="5619" customFormat="false" ht="14.25" hidden="false" customHeight="true" outlineLevel="0" collapsed="false">
      <c r="B5619" s="9" t="s">
        <v>16</v>
      </c>
      <c r="C5619" s="9" t="n">
        <v>1185732</v>
      </c>
      <c r="D5619" s="10" t="n">
        <v>44245</v>
      </c>
      <c r="E5619" s="9" t="s">
        <v>38</v>
      </c>
      <c r="F5619" s="9" t="s">
        <v>76</v>
      </c>
      <c r="G5619" s="9" t="s">
        <v>77</v>
      </c>
      <c r="H5619" s="11" t="s">
        <v>19</v>
      </c>
      <c r="I5619" s="12" t="n">
        <v>29</v>
      </c>
      <c r="J5619" s="13" t="n">
        <v>182</v>
      </c>
      <c r="K5619" s="14" t="n">
        <f aca="false">I5619*J5619</f>
        <v>5278</v>
      </c>
      <c r="L5619" s="14" t="n">
        <f aca="false">($L$2*M5619)/100</f>
        <v>636883.245</v>
      </c>
      <c r="M5619" s="15" t="n">
        <v>0.53</v>
      </c>
      <c r="N5619" s="9" t="s">
        <v>85</v>
      </c>
    </row>
    <row r="5620" customFormat="false" ht="14.25" hidden="false" customHeight="true" outlineLevel="0" collapsed="false">
      <c r="B5620" s="9" t="s">
        <v>16</v>
      </c>
      <c r="C5620" s="9" t="n">
        <v>1185732</v>
      </c>
      <c r="D5620" s="10" t="n">
        <v>44245</v>
      </c>
      <c r="E5620" s="9" t="s">
        <v>38</v>
      </c>
      <c r="F5620" s="9" t="s">
        <v>76</v>
      </c>
      <c r="G5620" s="9" t="s">
        <v>77</v>
      </c>
      <c r="H5620" s="11" t="s">
        <v>21</v>
      </c>
      <c r="I5620" s="12" t="n">
        <v>28</v>
      </c>
      <c r="J5620" s="13" t="n">
        <v>94</v>
      </c>
      <c r="K5620" s="14" t="n">
        <f aca="false">I5620*J5620</f>
        <v>2632</v>
      </c>
      <c r="L5620" s="14" t="n">
        <f aca="false">($L$2*M5620)/100</f>
        <v>588816.585</v>
      </c>
      <c r="M5620" s="15" t="n">
        <v>0.49</v>
      </c>
      <c r="N5620" s="9" t="s">
        <v>85</v>
      </c>
    </row>
    <row r="5621" customFormat="false" ht="14.25" hidden="false" customHeight="true" outlineLevel="0" collapsed="false">
      <c r="B5621" s="9" t="s">
        <v>16</v>
      </c>
      <c r="C5621" s="9" t="n">
        <v>1185732</v>
      </c>
      <c r="D5621" s="10" t="n">
        <v>44245</v>
      </c>
      <c r="E5621" s="9" t="s">
        <v>38</v>
      </c>
      <c r="F5621" s="9" t="s">
        <v>76</v>
      </c>
      <c r="G5621" s="9" t="s">
        <v>77</v>
      </c>
      <c r="H5621" s="11" t="s">
        <v>22</v>
      </c>
      <c r="I5621" s="12" t="n">
        <v>19</v>
      </c>
      <c r="J5621" s="13" t="n">
        <v>113</v>
      </c>
      <c r="K5621" s="14" t="n">
        <f aca="false">I5621*J5621</f>
        <v>2147</v>
      </c>
      <c r="L5621" s="14" t="n">
        <f aca="false">($L$2*M5621)/100</f>
        <v>540749.925</v>
      </c>
      <c r="M5621" s="15" t="n">
        <v>0.45</v>
      </c>
      <c r="N5621" s="9" t="s">
        <v>85</v>
      </c>
    </row>
    <row r="5622" customFormat="false" ht="14.25" hidden="false" customHeight="true" outlineLevel="0" collapsed="false">
      <c r="B5622" s="9" t="s">
        <v>16</v>
      </c>
      <c r="C5622" s="9" t="n">
        <v>1185732</v>
      </c>
      <c r="D5622" s="10" t="n">
        <v>44245</v>
      </c>
      <c r="E5622" s="9" t="s">
        <v>38</v>
      </c>
      <c r="F5622" s="9" t="s">
        <v>78</v>
      </c>
      <c r="G5622" s="9" t="s">
        <v>79</v>
      </c>
      <c r="H5622" s="11" t="s">
        <v>23</v>
      </c>
      <c r="I5622" s="12" t="n">
        <v>24</v>
      </c>
      <c r="J5622" s="13" t="n">
        <v>70</v>
      </c>
      <c r="K5622" s="14" t="n">
        <f aca="false">I5622*J5622</f>
        <v>1680</v>
      </c>
      <c r="L5622" s="14" t="n">
        <f aca="false">($L$2*M5622)/100</f>
        <v>624866.58</v>
      </c>
      <c r="M5622" s="15" t="n">
        <v>0.52</v>
      </c>
      <c r="N5622" s="9" t="s">
        <v>85</v>
      </c>
    </row>
    <row r="5623" customFormat="false" ht="14.25" hidden="false" customHeight="true" outlineLevel="0" collapsed="false">
      <c r="B5623" s="9" t="s">
        <v>16</v>
      </c>
      <c r="C5623" s="9" t="n">
        <v>1185732</v>
      </c>
      <c r="D5623" s="10" t="n">
        <v>44245</v>
      </c>
      <c r="E5623" s="9" t="s">
        <v>38</v>
      </c>
      <c r="F5623" s="9" t="s">
        <v>78</v>
      </c>
      <c r="G5623" s="9" t="s">
        <v>79</v>
      </c>
      <c r="H5623" s="11" t="s">
        <v>24</v>
      </c>
      <c r="I5623" s="12" t="n">
        <v>38</v>
      </c>
      <c r="J5623" s="13" t="n">
        <v>88</v>
      </c>
      <c r="K5623" s="14" t="n">
        <f aca="false">I5623*J5623</f>
        <v>3344</v>
      </c>
      <c r="L5623" s="14" t="n">
        <f aca="false">($L$2*M5623)/100</f>
        <v>540749.925</v>
      </c>
      <c r="M5623" s="15" t="n">
        <v>0.45</v>
      </c>
      <c r="N5623" s="9" t="s">
        <v>85</v>
      </c>
    </row>
    <row r="5624" customFormat="false" ht="14.25" hidden="false" customHeight="true" outlineLevel="0" collapsed="false">
      <c r="B5624" s="9" t="s">
        <v>16</v>
      </c>
      <c r="C5624" s="9" t="n">
        <v>1185732</v>
      </c>
      <c r="D5624" s="10" t="n">
        <v>44245</v>
      </c>
      <c r="E5624" s="9" t="s">
        <v>38</v>
      </c>
      <c r="F5624" s="9" t="s">
        <v>78</v>
      </c>
      <c r="G5624" s="9" t="s">
        <v>79</v>
      </c>
      <c r="H5624" s="11" t="s">
        <v>25</v>
      </c>
      <c r="I5624" s="12" t="n">
        <v>28</v>
      </c>
      <c r="J5624" s="13" t="n">
        <v>120</v>
      </c>
      <c r="K5624" s="14" t="n">
        <f aca="false">I5624*J5624</f>
        <v>3360</v>
      </c>
      <c r="L5624" s="14" t="n">
        <f aca="false">($L$2*M5624)/100</f>
        <v>757049.895</v>
      </c>
      <c r="M5624" s="15" t="n">
        <v>0.63</v>
      </c>
      <c r="N5624" s="9" t="s">
        <v>85</v>
      </c>
    </row>
    <row r="5625" customFormat="false" ht="14.25" hidden="false" customHeight="true" outlineLevel="0" collapsed="false">
      <c r="B5625" s="9" t="s">
        <v>16</v>
      </c>
      <c r="C5625" s="9" t="n">
        <v>1185732</v>
      </c>
      <c r="D5625" s="10" t="n">
        <v>44272</v>
      </c>
      <c r="E5625" s="9" t="s">
        <v>38</v>
      </c>
      <c r="F5625" s="9" t="s">
        <v>78</v>
      </c>
      <c r="G5625" s="9" t="s">
        <v>79</v>
      </c>
      <c r="H5625" s="11" t="s">
        <v>19</v>
      </c>
      <c r="I5625" s="12" t="n">
        <v>34</v>
      </c>
      <c r="J5625" s="13" t="n">
        <v>186</v>
      </c>
      <c r="K5625" s="14" t="n">
        <f aca="false">I5625*J5625</f>
        <v>6324</v>
      </c>
      <c r="L5625" s="14" t="n">
        <f aca="false">($L$2*M5625)/100</f>
        <v>612849.915</v>
      </c>
      <c r="M5625" s="15" t="n">
        <v>0.51</v>
      </c>
      <c r="N5625" s="9" t="s">
        <v>85</v>
      </c>
    </row>
    <row r="5626" customFormat="false" ht="14.25" hidden="false" customHeight="true" outlineLevel="0" collapsed="false">
      <c r="B5626" s="9" t="s">
        <v>16</v>
      </c>
      <c r="C5626" s="9" t="n">
        <v>1185732</v>
      </c>
      <c r="D5626" s="10" t="n">
        <v>44272</v>
      </c>
      <c r="E5626" s="9" t="s">
        <v>38</v>
      </c>
      <c r="F5626" s="9" t="s">
        <v>78</v>
      </c>
      <c r="G5626" s="9" t="s">
        <v>79</v>
      </c>
      <c r="H5626" s="11" t="s">
        <v>21</v>
      </c>
      <c r="I5626" s="12" t="n">
        <v>34</v>
      </c>
      <c r="J5626" s="13" t="n">
        <v>87</v>
      </c>
      <c r="K5626" s="14" t="n">
        <f aca="false">I5626*J5626</f>
        <v>2958</v>
      </c>
      <c r="L5626" s="14" t="n">
        <f aca="false">($L$2*M5626)/100</f>
        <v>540749.925</v>
      </c>
      <c r="M5626" s="15" t="n">
        <v>0.45</v>
      </c>
      <c r="N5626" s="9" t="s">
        <v>85</v>
      </c>
    </row>
    <row r="5627" customFormat="false" ht="14.25" hidden="false" customHeight="true" outlineLevel="0" collapsed="false">
      <c r="B5627" s="9" t="s">
        <v>16</v>
      </c>
      <c r="C5627" s="9" t="n">
        <v>1185732</v>
      </c>
      <c r="D5627" s="10" t="n">
        <v>44272</v>
      </c>
      <c r="E5627" s="9" t="s">
        <v>38</v>
      </c>
      <c r="F5627" s="9" t="s">
        <v>78</v>
      </c>
      <c r="G5627" s="9" t="s">
        <v>79</v>
      </c>
      <c r="H5627" s="11" t="s">
        <v>22</v>
      </c>
      <c r="I5627" s="12" t="n">
        <v>23</v>
      </c>
      <c r="J5627" s="13" t="n">
        <v>95</v>
      </c>
      <c r="K5627" s="14" t="n">
        <f aca="false">I5627*J5627</f>
        <v>2185</v>
      </c>
      <c r="L5627" s="14" t="n">
        <f aca="false">($L$2*M5627)/100</f>
        <v>552766.59</v>
      </c>
      <c r="M5627" s="15" t="n">
        <v>0.46</v>
      </c>
      <c r="N5627" s="9" t="s">
        <v>85</v>
      </c>
    </row>
    <row r="5628" customFormat="false" ht="14.25" hidden="false" customHeight="true" outlineLevel="0" collapsed="false">
      <c r="B5628" s="9" t="s">
        <v>16</v>
      </c>
      <c r="C5628" s="9" t="n">
        <v>1185732</v>
      </c>
      <c r="D5628" s="10" t="n">
        <v>44272</v>
      </c>
      <c r="E5628" s="9" t="s">
        <v>38</v>
      </c>
      <c r="F5628" s="9" t="s">
        <v>78</v>
      </c>
      <c r="G5628" s="9" t="s">
        <v>79</v>
      </c>
      <c r="H5628" s="11" t="s">
        <v>23</v>
      </c>
      <c r="I5628" s="12" t="n">
        <v>28</v>
      </c>
      <c r="J5628" s="13" t="n">
        <v>54</v>
      </c>
      <c r="K5628" s="14" t="n">
        <f aca="false">I5628*J5628</f>
        <v>1512</v>
      </c>
      <c r="L5628" s="14" t="n">
        <f aca="false">($L$2*M5628)/100</f>
        <v>612849.915</v>
      </c>
      <c r="M5628" s="15" t="n">
        <v>0.51</v>
      </c>
      <c r="N5628" s="9" t="s">
        <v>85</v>
      </c>
    </row>
    <row r="5629" customFormat="false" ht="14.25" hidden="false" customHeight="true" outlineLevel="0" collapsed="false">
      <c r="B5629" s="9" t="s">
        <v>16</v>
      </c>
      <c r="C5629" s="9" t="n">
        <v>1185732</v>
      </c>
      <c r="D5629" s="10" t="n">
        <v>44272</v>
      </c>
      <c r="E5629" s="9" t="s">
        <v>38</v>
      </c>
      <c r="F5629" s="9" t="s">
        <v>78</v>
      </c>
      <c r="G5629" s="9" t="s">
        <v>79</v>
      </c>
      <c r="H5629" s="11" t="s">
        <v>24</v>
      </c>
      <c r="I5629" s="12" t="n">
        <v>41</v>
      </c>
      <c r="J5629" s="13" t="n">
        <v>75</v>
      </c>
      <c r="K5629" s="14" t="n">
        <f aca="false">I5629*J5629</f>
        <v>3075</v>
      </c>
      <c r="L5629" s="14" t="n">
        <f aca="false">($L$2*M5629)/100</f>
        <v>588816.585</v>
      </c>
      <c r="M5629" s="15" t="n">
        <v>0.49</v>
      </c>
      <c r="N5629" s="9" t="s">
        <v>85</v>
      </c>
    </row>
    <row r="5630" customFormat="false" ht="14.25" hidden="false" customHeight="true" outlineLevel="0" collapsed="false">
      <c r="B5630" s="9" t="s">
        <v>16</v>
      </c>
      <c r="C5630" s="9" t="n">
        <v>1185732</v>
      </c>
      <c r="D5630" s="10" t="n">
        <v>44272</v>
      </c>
      <c r="E5630" s="9" t="s">
        <v>38</v>
      </c>
      <c r="F5630" s="9" t="s">
        <v>78</v>
      </c>
      <c r="G5630" s="9" t="s">
        <v>79</v>
      </c>
      <c r="H5630" s="11" t="s">
        <v>25</v>
      </c>
      <c r="I5630" s="12" t="n">
        <v>34</v>
      </c>
      <c r="J5630" s="13" t="n">
        <v>102</v>
      </c>
      <c r="K5630" s="14" t="n">
        <f aca="false">I5630*J5630</f>
        <v>3468</v>
      </c>
      <c r="L5630" s="14" t="n">
        <f aca="false">($L$2*M5630)/100</f>
        <v>781083.225</v>
      </c>
      <c r="M5630" s="15" t="n">
        <v>0.65</v>
      </c>
      <c r="N5630" s="9" t="s">
        <v>85</v>
      </c>
    </row>
    <row r="5631" customFormat="false" ht="14.25" hidden="false" customHeight="true" outlineLevel="0" collapsed="false">
      <c r="B5631" s="9" t="s">
        <v>16</v>
      </c>
      <c r="C5631" s="9" t="n">
        <v>1185732</v>
      </c>
      <c r="D5631" s="10" t="n">
        <v>44304</v>
      </c>
      <c r="E5631" s="9" t="s">
        <v>38</v>
      </c>
      <c r="F5631" s="9" t="s">
        <v>78</v>
      </c>
      <c r="G5631" s="9" t="s">
        <v>79</v>
      </c>
      <c r="H5631" s="11" t="s">
        <v>19</v>
      </c>
      <c r="I5631" s="12" t="n">
        <v>33</v>
      </c>
      <c r="J5631" s="13" t="n">
        <v>144</v>
      </c>
      <c r="K5631" s="14" t="n">
        <f aca="false">I5631*J5631</f>
        <v>4752</v>
      </c>
      <c r="L5631" s="14" t="n">
        <f aca="false">($L$2*M5631)/100</f>
        <v>624866.58</v>
      </c>
      <c r="M5631" s="15" t="n">
        <v>0.52</v>
      </c>
      <c r="N5631" s="9" t="s">
        <v>85</v>
      </c>
    </row>
    <row r="5632" customFormat="false" ht="14.25" hidden="false" customHeight="true" outlineLevel="0" collapsed="false">
      <c r="B5632" s="9" t="s">
        <v>16</v>
      </c>
      <c r="C5632" s="9" t="n">
        <v>1185732</v>
      </c>
      <c r="D5632" s="10" t="n">
        <v>44304</v>
      </c>
      <c r="E5632" s="9" t="s">
        <v>38</v>
      </c>
      <c r="F5632" s="9" t="s">
        <v>78</v>
      </c>
      <c r="G5632" s="9" t="s">
        <v>79</v>
      </c>
      <c r="H5632" s="11" t="s">
        <v>21</v>
      </c>
      <c r="I5632" s="12" t="n">
        <v>27</v>
      </c>
      <c r="J5632" s="13" t="n">
        <v>72</v>
      </c>
      <c r="K5632" s="14" t="n">
        <f aca="false">I5632*J5632</f>
        <v>1944</v>
      </c>
      <c r="L5632" s="14" t="n">
        <f aca="false">($L$2*M5632)/100</f>
        <v>588816.585</v>
      </c>
      <c r="M5632" s="15" t="n">
        <v>0.49</v>
      </c>
      <c r="N5632" s="9" t="s">
        <v>85</v>
      </c>
    </row>
    <row r="5633" customFormat="false" ht="14.25" hidden="false" customHeight="true" outlineLevel="0" collapsed="false">
      <c r="B5633" s="9" t="s">
        <v>16</v>
      </c>
      <c r="C5633" s="9" t="n">
        <v>1185732</v>
      </c>
      <c r="D5633" s="10" t="n">
        <v>44304</v>
      </c>
      <c r="E5633" s="9" t="s">
        <v>38</v>
      </c>
      <c r="F5633" s="9" t="s">
        <v>78</v>
      </c>
      <c r="G5633" s="9" t="s">
        <v>79</v>
      </c>
      <c r="H5633" s="11" t="s">
        <v>22</v>
      </c>
      <c r="I5633" s="12" t="n">
        <v>18</v>
      </c>
      <c r="J5633" s="13" t="n">
        <v>83</v>
      </c>
      <c r="K5633" s="14" t="n">
        <f aca="false">I5633*J5633</f>
        <v>1494</v>
      </c>
      <c r="L5633" s="14" t="n">
        <f aca="false">($L$2*M5633)/100</f>
        <v>588816.585</v>
      </c>
      <c r="M5633" s="15" t="n">
        <v>0.49</v>
      </c>
      <c r="N5633" s="9" t="s">
        <v>85</v>
      </c>
    </row>
    <row r="5634" customFormat="false" ht="14.25" hidden="false" customHeight="true" outlineLevel="0" collapsed="false">
      <c r="B5634" s="9" t="s">
        <v>16</v>
      </c>
      <c r="C5634" s="9" t="n">
        <v>1185732</v>
      </c>
      <c r="D5634" s="10" t="n">
        <v>44304</v>
      </c>
      <c r="E5634" s="9" t="s">
        <v>38</v>
      </c>
      <c r="F5634" s="9" t="s">
        <v>78</v>
      </c>
      <c r="G5634" s="9" t="s">
        <v>79</v>
      </c>
      <c r="H5634" s="11" t="s">
        <v>23</v>
      </c>
      <c r="I5634" s="12" t="n">
        <v>23</v>
      </c>
      <c r="J5634" s="13" t="n">
        <v>52</v>
      </c>
      <c r="K5634" s="14" t="n">
        <f aca="false">I5634*J5634</f>
        <v>1196</v>
      </c>
      <c r="L5634" s="14" t="n">
        <f aca="false">($L$2*M5634)/100</f>
        <v>624866.58</v>
      </c>
      <c r="M5634" s="15" t="n">
        <v>0.52</v>
      </c>
      <c r="N5634" s="9" t="s">
        <v>85</v>
      </c>
    </row>
    <row r="5635" customFormat="false" ht="14.25" hidden="false" customHeight="true" outlineLevel="0" collapsed="false">
      <c r="B5635" s="9" t="s">
        <v>16</v>
      </c>
      <c r="C5635" s="9" t="n">
        <v>1185732</v>
      </c>
      <c r="D5635" s="10" t="n">
        <v>44304</v>
      </c>
      <c r="E5635" s="9" t="s">
        <v>38</v>
      </c>
      <c r="F5635" s="9" t="s">
        <v>78</v>
      </c>
      <c r="G5635" s="9" t="s">
        <v>79</v>
      </c>
      <c r="H5635" s="11" t="s">
        <v>24</v>
      </c>
      <c r="I5635" s="12" t="n">
        <v>36</v>
      </c>
      <c r="J5635" s="13" t="n">
        <v>65</v>
      </c>
      <c r="K5635" s="14" t="n">
        <f aca="false">I5635*J5635</f>
        <v>2340</v>
      </c>
      <c r="L5635" s="14" t="n">
        <f aca="false">($L$2*M5635)/100</f>
        <v>540749.925</v>
      </c>
      <c r="M5635" s="15" t="n">
        <v>0.45</v>
      </c>
      <c r="N5635" s="9" t="s">
        <v>85</v>
      </c>
    </row>
    <row r="5636" customFormat="false" ht="14.25" hidden="false" customHeight="true" outlineLevel="0" collapsed="false">
      <c r="B5636" s="9" t="s">
        <v>16</v>
      </c>
      <c r="C5636" s="9" t="n">
        <v>1185732</v>
      </c>
      <c r="D5636" s="10" t="n">
        <v>44304</v>
      </c>
      <c r="E5636" s="9" t="s">
        <v>38</v>
      </c>
      <c r="F5636" s="9" t="s">
        <v>78</v>
      </c>
      <c r="G5636" s="9" t="s">
        <v>79</v>
      </c>
      <c r="H5636" s="11" t="s">
        <v>25</v>
      </c>
      <c r="I5636" s="12" t="n">
        <v>28</v>
      </c>
      <c r="J5636" s="13" t="n">
        <v>105</v>
      </c>
      <c r="K5636" s="14" t="n">
        <f aca="false">I5636*J5636</f>
        <v>2940</v>
      </c>
      <c r="L5636" s="14" t="n">
        <f aca="false">($L$2*M5636)/100</f>
        <v>733016.565</v>
      </c>
      <c r="M5636" s="15" t="n">
        <v>0.61</v>
      </c>
      <c r="N5636" s="9" t="s">
        <v>85</v>
      </c>
    </row>
    <row r="5637" customFormat="false" ht="14.25" hidden="false" customHeight="true" outlineLevel="0" collapsed="false">
      <c r="B5637" s="9" t="s">
        <v>16</v>
      </c>
      <c r="C5637" s="9" t="n">
        <v>1185732</v>
      </c>
      <c r="D5637" s="10" t="n">
        <v>44335</v>
      </c>
      <c r="E5637" s="9" t="s">
        <v>38</v>
      </c>
      <c r="F5637" s="9" t="s">
        <v>78</v>
      </c>
      <c r="G5637" s="9" t="s">
        <v>79</v>
      </c>
      <c r="H5637" s="11" t="s">
        <v>19</v>
      </c>
      <c r="I5637" s="12" t="n">
        <v>39</v>
      </c>
      <c r="J5637" s="13" t="n">
        <v>180</v>
      </c>
      <c r="K5637" s="14" t="n">
        <f aca="false">I5637*J5637</f>
        <v>7020</v>
      </c>
      <c r="L5637" s="14" t="n">
        <f aca="false">($L$2*M5637)/100</f>
        <v>612849.915</v>
      </c>
      <c r="M5637" s="15" t="n">
        <v>0.51</v>
      </c>
      <c r="N5637" s="9" t="s">
        <v>85</v>
      </c>
    </row>
    <row r="5638" customFormat="false" ht="14.25" hidden="false" customHeight="true" outlineLevel="0" collapsed="false">
      <c r="B5638" s="9" t="s">
        <v>16</v>
      </c>
      <c r="C5638" s="9" t="n">
        <v>1185732</v>
      </c>
      <c r="D5638" s="10" t="n">
        <v>44335</v>
      </c>
      <c r="E5638" s="9" t="s">
        <v>38</v>
      </c>
      <c r="F5638" s="9" t="s">
        <v>78</v>
      </c>
      <c r="G5638" s="9" t="s">
        <v>79</v>
      </c>
      <c r="H5638" s="11" t="s">
        <v>21</v>
      </c>
      <c r="I5638" s="12" t="n">
        <v>34</v>
      </c>
      <c r="J5638" s="13" t="n">
        <v>88</v>
      </c>
      <c r="K5638" s="14" t="n">
        <f aca="false">I5638*J5638</f>
        <v>2992</v>
      </c>
      <c r="L5638" s="14" t="n">
        <f aca="false">($L$2*M5638)/100</f>
        <v>564783.255</v>
      </c>
      <c r="M5638" s="15" t="n">
        <v>0.47</v>
      </c>
      <c r="N5638" s="9" t="s">
        <v>85</v>
      </c>
    </row>
    <row r="5639" customFormat="false" ht="14.25" hidden="false" customHeight="true" outlineLevel="0" collapsed="false">
      <c r="B5639" s="9" t="s">
        <v>16</v>
      </c>
      <c r="C5639" s="9" t="n">
        <v>1185732</v>
      </c>
      <c r="D5639" s="10" t="n">
        <v>44335</v>
      </c>
      <c r="E5639" s="9" t="s">
        <v>38</v>
      </c>
      <c r="F5639" s="9" t="s">
        <v>78</v>
      </c>
      <c r="G5639" s="9" t="s">
        <v>79</v>
      </c>
      <c r="H5639" s="11" t="s">
        <v>22</v>
      </c>
      <c r="I5639" s="12" t="n">
        <v>29</v>
      </c>
      <c r="J5639" s="13" t="n">
        <v>87</v>
      </c>
      <c r="K5639" s="14" t="n">
        <f aca="false">I5639*J5639</f>
        <v>2523</v>
      </c>
      <c r="L5639" s="14" t="n">
        <f aca="false">($L$2*M5639)/100</f>
        <v>552766.59</v>
      </c>
      <c r="M5639" s="15" t="n">
        <v>0.46</v>
      </c>
      <c r="N5639" s="9" t="s">
        <v>85</v>
      </c>
    </row>
    <row r="5640" customFormat="false" ht="14.25" hidden="false" customHeight="true" outlineLevel="0" collapsed="false">
      <c r="B5640" s="9" t="s">
        <v>16</v>
      </c>
      <c r="C5640" s="9" t="n">
        <v>1185732</v>
      </c>
      <c r="D5640" s="10" t="n">
        <v>44335</v>
      </c>
      <c r="E5640" s="9" t="s">
        <v>38</v>
      </c>
      <c r="F5640" s="9" t="s">
        <v>78</v>
      </c>
      <c r="G5640" s="9" t="s">
        <v>79</v>
      </c>
      <c r="H5640" s="11" t="s">
        <v>23</v>
      </c>
      <c r="I5640" s="12" t="n">
        <v>29</v>
      </c>
      <c r="J5640" s="13" t="n">
        <v>65</v>
      </c>
      <c r="K5640" s="14" t="n">
        <f aca="false">I5640*J5640</f>
        <v>1885</v>
      </c>
      <c r="L5640" s="14" t="n">
        <f aca="false">($L$2*M5640)/100</f>
        <v>660916.575</v>
      </c>
      <c r="M5640" s="15" t="n">
        <v>0.55</v>
      </c>
      <c r="N5640" s="9" t="s">
        <v>85</v>
      </c>
    </row>
    <row r="5641" customFormat="false" ht="14.25" hidden="false" customHeight="true" outlineLevel="0" collapsed="false">
      <c r="B5641" s="9" t="s">
        <v>16</v>
      </c>
      <c r="C5641" s="9" t="n">
        <v>1185732</v>
      </c>
      <c r="D5641" s="10" t="n">
        <v>44335</v>
      </c>
      <c r="E5641" s="9" t="s">
        <v>38</v>
      </c>
      <c r="F5641" s="9" t="s">
        <v>78</v>
      </c>
      <c r="G5641" s="9" t="s">
        <v>79</v>
      </c>
      <c r="H5641" s="11" t="s">
        <v>24</v>
      </c>
      <c r="I5641" s="12" t="n">
        <v>44</v>
      </c>
      <c r="J5641" s="13" t="n">
        <v>70</v>
      </c>
      <c r="K5641" s="14" t="n">
        <f aca="false">I5641*J5641</f>
        <v>3080</v>
      </c>
      <c r="L5641" s="14" t="n">
        <f aca="false">($L$2*M5641)/100</f>
        <v>576799.92</v>
      </c>
      <c r="M5641" s="15" t="n">
        <v>0.48</v>
      </c>
      <c r="N5641" s="9" t="s">
        <v>85</v>
      </c>
    </row>
    <row r="5642" customFormat="false" ht="14.25" hidden="false" customHeight="true" outlineLevel="0" collapsed="false">
      <c r="B5642" s="9" t="s">
        <v>16</v>
      </c>
      <c r="C5642" s="9" t="n">
        <v>1185732</v>
      </c>
      <c r="D5642" s="10" t="n">
        <v>44335</v>
      </c>
      <c r="E5642" s="9" t="s">
        <v>38</v>
      </c>
      <c r="F5642" s="9" t="s">
        <v>78</v>
      </c>
      <c r="G5642" s="9" t="s">
        <v>79</v>
      </c>
      <c r="H5642" s="11" t="s">
        <v>25</v>
      </c>
      <c r="I5642" s="12" t="n">
        <v>45</v>
      </c>
      <c r="J5642" s="13" t="n">
        <v>105</v>
      </c>
      <c r="K5642" s="14" t="n">
        <f aca="false">I5642*J5642</f>
        <v>4725</v>
      </c>
      <c r="L5642" s="14" t="n">
        <f aca="false">($L$2*M5642)/100</f>
        <v>720999.9</v>
      </c>
      <c r="M5642" s="15" t="n">
        <v>0.6</v>
      </c>
      <c r="N5642" s="9" t="s">
        <v>85</v>
      </c>
    </row>
    <row r="5643" customFormat="false" ht="14.25" hidden="false" customHeight="true" outlineLevel="0" collapsed="false">
      <c r="B5643" s="9" t="s">
        <v>16</v>
      </c>
      <c r="C5643" s="9" t="n">
        <v>1185732</v>
      </c>
      <c r="D5643" s="10" t="n">
        <v>44365</v>
      </c>
      <c r="E5643" s="9" t="s">
        <v>38</v>
      </c>
      <c r="F5643" s="9" t="s">
        <v>78</v>
      </c>
      <c r="G5643" s="9" t="s">
        <v>79</v>
      </c>
      <c r="H5643" s="11" t="s">
        <v>19</v>
      </c>
      <c r="I5643" s="12" t="n">
        <v>32</v>
      </c>
      <c r="J5643" s="13" t="n">
        <v>168</v>
      </c>
      <c r="K5643" s="14" t="n">
        <f aca="false">I5643*J5643</f>
        <v>5376</v>
      </c>
      <c r="L5643" s="14" t="n">
        <f aca="false">($L$2*M5643)/100</f>
        <v>648899.91</v>
      </c>
      <c r="M5643" s="15" t="n">
        <v>0.54</v>
      </c>
      <c r="N5643" s="9" t="s">
        <v>85</v>
      </c>
    </row>
    <row r="5644" customFormat="false" ht="14.25" hidden="false" customHeight="true" outlineLevel="0" collapsed="false">
      <c r="B5644" s="9" t="s">
        <v>16</v>
      </c>
      <c r="C5644" s="9" t="n">
        <v>1185732</v>
      </c>
      <c r="D5644" s="10" t="n">
        <v>44365</v>
      </c>
      <c r="E5644" s="9" t="s">
        <v>38</v>
      </c>
      <c r="F5644" s="9" t="s">
        <v>78</v>
      </c>
      <c r="G5644" s="9" t="s">
        <v>79</v>
      </c>
      <c r="H5644" s="11" t="s">
        <v>21</v>
      </c>
      <c r="I5644" s="12" t="n">
        <v>27</v>
      </c>
      <c r="J5644" s="13" t="n">
        <v>91</v>
      </c>
      <c r="K5644" s="14" t="n">
        <f aca="false">I5644*J5644</f>
        <v>2457</v>
      </c>
      <c r="L5644" s="14" t="n">
        <f aca="false">($L$2*M5644)/100</f>
        <v>552766.59</v>
      </c>
      <c r="M5644" s="15" t="n">
        <v>0.46</v>
      </c>
      <c r="N5644" s="9" t="s">
        <v>85</v>
      </c>
    </row>
    <row r="5645" customFormat="false" ht="14.25" hidden="false" customHeight="true" outlineLevel="0" collapsed="false">
      <c r="B5645" s="9" t="s">
        <v>16</v>
      </c>
      <c r="C5645" s="9" t="n">
        <v>1185732</v>
      </c>
      <c r="D5645" s="10" t="n">
        <v>44365</v>
      </c>
      <c r="E5645" s="9" t="s">
        <v>38</v>
      </c>
      <c r="F5645" s="9" t="s">
        <v>78</v>
      </c>
      <c r="G5645" s="9" t="s">
        <v>79</v>
      </c>
      <c r="H5645" s="11" t="s">
        <v>22</v>
      </c>
      <c r="I5645" s="12" t="n">
        <v>23</v>
      </c>
      <c r="J5645" s="13" t="n">
        <v>113</v>
      </c>
      <c r="K5645" s="14" t="n">
        <f aca="false">I5645*J5645</f>
        <v>2599</v>
      </c>
      <c r="L5645" s="14" t="n">
        <f aca="false">($L$2*M5645)/100</f>
        <v>588816.585</v>
      </c>
      <c r="M5645" s="15" t="n">
        <v>0.49</v>
      </c>
      <c r="N5645" s="9" t="s">
        <v>85</v>
      </c>
    </row>
    <row r="5646" customFormat="false" ht="14.25" hidden="false" customHeight="true" outlineLevel="0" collapsed="false">
      <c r="B5646" s="9" t="s">
        <v>16</v>
      </c>
      <c r="C5646" s="9" t="n">
        <v>1185732</v>
      </c>
      <c r="D5646" s="10" t="n">
        <v>44365</v>
      </c>
      <c r="E5646" s="9" t="s">
        <v>38</v>
      </c>
      <c r="F5646" s="9" t="s">
        <v>78</v>
      </c>
      <c r="G5646" s="9" t="s">
        <v>79</v>
      </c>
      <c r="H5646" s="11" t="s">
        <v>23</v>
      </c>
      <c r="I5646" s="12" t="n">
        <v>23</v>
      </c>
      <c r="J5646" s="13" t="n">
        <v>91</v>
      </c>
      <c r="K5646" s="14" t="n">
        <f aca="false">I5646*J5646</f>
        <v>2093</v>
      </c>
      <c r="L5646" s="14" t="n">
        <f aca="false">($L$2*M5646)/100</f>
        <v>600833.25</v>
      </c>
      <c r="M5646" s="15" t="n">
        <v>0.5</v>
      </c>
      <c r="N5646" s="9" t="s">
        <v>85</v>
      </c>
    </row>
    <row r="5647" customFormat="false" ht="14.25" hidden="false" customHeight="true" outlineLevel="0" collapsed="false">
      <c r="B5647" s="9" t="s">
        <v>16</v>
      </c>
      <c r="C5647" s="9" t="n">
        <v>1185732</v>
      </c>
      <c r="D5647" s="10" t="n">
        <v>44365</v>
      </c>
      <c r="E5647" s="9" t="s">
        <v>38</v>
      </c>
      <c r="F5647" s="9" t="s">
        <v>78</v>
      </c>
      <c r="G5647" s="9" t="s">
        <v>79</v>
      </c>
      <c r="H5647" s="11" t="s">
        <v>24</v>
      </c>
      <c r="I5647" s="12" t="n">
        <v>38</v>
      </c>
      <c r="J5647" s="13" t="n">
        <v>102</v>
      </c>
      <c r="K5647" s="14" t="n">
        <f aca="false">I5647*J5647</f>
        <v>3876</v>
      </c>
      <c r="L5647" s="14" t="n">
        <f aca="false">($L$2*M5647)/100</f>
        <v>540749.925</v>
      </c>
      <c r="M5647" s="15" t="n">
        <v>0.45</v>
      </c>
      <c r="N5647" s="9" t="s">
        <v>85</v>
      </c>
    </row>
    <row r="5648" customFormat="false" ht="14.25" hidden="false" customHeight="true" outlineLevel="0" collapsed="false">
      <c r="B5648" s="9" t="s">
        <v>16</v>
      </c>
      <c r="C5648" s="9" t="n">
        <v>1185732</v>
      </c>
      <c r="D5648" s="10" t="n">
        <v>44365</v>
      </c>
      <c r="E5648" s="9" t="s">
        <v>38</v>
      </c>
      <c r="F5648" s="9" t="s">
        <v>78</v>
      </c>
      <c r="G5648" s="9" t="s">
        <v>79</v>
      </c>
      <c r="H5648" s="11" t="s">
        <v>25</v>
      </c>
      <c r="I5648" s="12" t="n">
        <v>42</v>
      </c>
      <c r="J5648" s="13" t="n">
        <v>142</v>
      </c>
      <c r="K5648" s="14" t="n">
        <f aca="false">I5648*J5648</f>
        <v>5964</v>
      </c>
      <c r="L5648" s="14" t="n">
        <f aca="false">($L$2*M5648)/100</f>
        <v>781083.225</v>
      </c>
      <c r="M5648" s="15" t="n">
        <v>0.65</v>
      </c>
      <c r="N5648" s="9" t="s">
        <v>85</v>
      </c>
    </row>
    <row r="5649" customFormat="false" ht="14.25" hidden="false" customHeight="true" outlineLevel="0" collapsed="false">
      <c r="B5649" s="9" t="s">
        <v>16</v>
      </c>
      <c r="C5649" s="9" t="n">
        <v>1185732</v>
      </c>
      <c r="D5649" s="10" t="n">
        <v>44394</v>
      </c>
      <c r="E5649" s="9" t="s">
        <v>38</v>
      </c>
      <c r="F5649" s="9" t="s">
        <v>78</v>
      </c>
      <c r="G5649" s="9" t="s">
        <v>79</v>
      </c>
      <c r="H5649" s="11" t="s">
        <v>19</v>
      </c>
      <c r="I5649" s="12" t="n">
        <v>36</v>
      </c>
      <c r="J5649" s="13" t="n">
        <v>203</v>
      </c>
      <c r="K5649" s="14" t="n">
        <f aca="false">I5649*J5649</f>
        <v>7308</v>
      </c>
      <c r="L5649" s="14" t="n">
        <f aca="false">($L$2*M5649)/100</f>
        <v>660916.575</v>
      </c>
      <c r="M5649" s="15" t="n">
        <v>0.55</v>
      </c>
      <c r="N5649" s="9" t="s">
        <v>85</v>
      </c>
    </row>
    <row r="5650" customFormat="false" ht="14.25" hidden="false" customHeight="true" outlineLevel="0" collapsed="false">
      <c r="B5650" s="9" t="s">
        <v>16</v>
      </c>
      <c r="C5650" s="9" t="n">
        <v>1185732</v>
      </c>
      <c r="D5650" s="10" t="n">
        <v>44394</v>
      </c>
      <c r="E5650" s="9" t="s">
        <v>38</v>
      </c>
      <c r="F5650" s="9" t="s">
        <v>78</v>
      </c>
      <c r="G5650" s="9" t="s">
        <v>79</v>
      </c>
      <c r="H5650" s="11" t="s">
        <v>21</v>
      </c>
      <c r="I5650" s="12" t="n">
        <v>33</v>
      </c>
      <c r="J5650" s="13" t="n">
        <v>130</v>
      </c>
      <c r="K5650" s="14" t="n">
        <f aca="false">I5650*J5650</f>
        <v>4290</v>
      </c>
      <c r="L5650" s="14" t="n">
        <f aca="false">($L$2*M5650)/100</f>
        <v>564783.255</v>
      </c>
      <c r="M5650" s="15" t="n">
        <v>0.47</v>
      </c>
      <c r="N5650" s="9" t="s">
        <v>85</v>
      </c>
    </row>
    <row r="5651" customFormat="false" ht="14.25" hidden="false" customHeight="true" outlineLevel="0" collapsed="false">
      <c r="B5651" s="9" t="s">
        <v>16</v>
      </c>
      <c r="C5651" s="9" t="n">
        <v>1185732</v>
      </c>
      <c r="D5651" s="10" t="n">
        <v>44394</v>
      </c>
      <c r="E5651" s="9" t="s">
        <v>38</v>
      </c>
      <c r="F5651" s="9" t="s">
        <v>78</v>
      </c>
      <c r="G5651" s="9" t="s">
        <v>79</v>
      </c>
      <c r="H5651" s="11" t="s">
        <v>22</v>
      </c>
      <c r="I5651" s="12" t="n">
        <v>29</v>
      </c>
      <c r="J5651" s="13" t="n">
        <v>128</v>
      </c>
      <c r="K5651" s="14" t="n">
        <f aca="false">I5651*J5651</f>
        <v>3712</v>
      </c>
      <c r="L5651" s="14" t="n">
        <f aca="false">($L$2*M5651)/100</f>
        <v>552766.59</v>
      </c>
      <c r="M5651" s="15" t="n">
        <v>0.46</v>
      </c>
      <c r="N5651" s="9" t="s">
        <v>85</v>
      </c>
    </row>
    <row r="5652" customFormat="false" ht="14.25" hidden="false" customHeight="true" outlineLevel="0" collapsed="false">
      <c r="B5652" s="9" t="s">
        <v>16</v>
      </c>
      <c r="C5652" s="9" t="n">
        <v>1185732</v>
      </c>
      <c r="D5652" s="10" t="n">
        <v>44394</v>
      </c>
      <c r="E5652" s="9" t="s">
        <v>38</v>
      </c>
      <c r="F5652" s="9" t="s">
        <v>78</v>
      </c>
      <c r="G5652" s="9" t="s">
        <v>79</v>
      </c>
      <c r="H5652" s="11" t="s">
        <v>23</v>
      </c>
      <c r="I5652" s="12" t="n">
        <v>29</v>
      </c>
      <c r="J5652" s="13" t="n">
        <v>101</v>
      </c>
      <c r="K5652" s="14" t="n">
        <f aca="false">I5652*J5652</f>
        <v>2929</v>
      </c>
      <c r="L5652" s="14" t="n">
        <f aca="false">($L$2*M5652)/100</f>
        <v>636883.245</v>
      </c>
      <c r="M5652" s="15" t="n">
        <v>0.53</v>
      </c>
      <c r="N5652" s="9" t="s">
        <v>85</v>
      </c>
    </row>
    <row r="5653" customFormat="false" ht="14.25" hidden="false" customHeight="true" outlineLevel="0" collapsed="false">
      <c r="B5653" s="9" t="s">
        <v>16</v>
      </c>
      <c r="C5653" s="9" t="n">
        <v>1185732</v>
      </c>
      <c r="D5653" s="10" t="n">
        <v>44394</v>
      </c>
      <c r="E5653" s="9" t="s">
        <v>38</v>
      </c>
      <c r="F5653" s="9" t="s">
        <v>78</v>
      </c>
      <c r="G5653" s="9" t="s">
        <v>79</v>
      </c>
      <c r="H5653" s="11" t="s">
        <v>24</v>
      </c>
      <c r="I5653" s="12" t="n">
        <v>37</v>
      </c>
      <c r="J5653" s="13" t="n">
        <v>94</v>
      </c>
      <c r="K5653" s="14" t="n">
        <f aca="false">I5653*J5653</f>
        <v>3478</v>
      </c>
      <c r="L5653" s="14" t="n">
        <f aca="false">($L$2*M5653)/100</f>
        <v>588816.585</v>
      </c>
      <c r="M5653" s="15" t="n">
        <v>0.49</v>
      </c>
      <c r="N5653" s="9" t="s">
        <v>85</v>
      </c>
    </row>
    <row r="5654" customFormat="false" ht="14.25" hidden="false" customHeight="true" outlineLevel="0" collapsed="false">
      <c r="B5654" s="9" t="s">
        <v>16</v>
      </c>
      <c r="C5654" s="9" t="n">
        <v>1185732</v>
      </c>
      <c r="D5654" s="10" t="n">
        <v>44394</v>
      </c>
      <c r="E5654" s="9" t="s">
        <v>38</v>
      </c>
      <c r="F5654" s="9" t="s">
        <v>78</v>
      </c>
      <c r="G5654" s="9" t="s">
        <v>79</v>
      </c>
      <c r="H5654" s="11" t="s">
        <v>25</v>
      </c>
      <c r="I5654" s="12" t="n">
        <v>41</v>
      </c>
      <c r="J5654" s="13" t="n">
        <v>160</v>
      </c>
      <c r="K5654" s="14" t="n">
        <f aca="false">I5654*J5654</f>
        <v>6560</v>
      </c>
      <c r="L5654" s="14" t="n">
        <f aca="false">($L$2*M5654)/100</f>
        <v>733016.565</v>
      </c>
      <c r="M5654" s="15" t="n">
        <v>0.61</v>
      </c>
      <c r="N5654" s="9" t="s">
        <v>85</v>
      </c>
    </row>
    <row r="5655" customFormat="false" ht="14.25" hidden="false" customHeight="true" outlineLevel="0" collapsed="false">
      <c r="B5655" s="9" t="s">
        <v>16</v>
      </c>
      <c r="C5655" s="9" t="n">
        <v>1185732</v>
      </c>
      <c r="D5655" s="10" t="n">
        <v>44426</v>
      </c>
      <c r="E5655" s="9" t="s">
        <v>38</v>
      </c>
      <c r="F5655" s="9" t="s">
        <v>78</v>
      </c>
      <c r="G5655" s="9" t="s">
        <v>79</v>
      </c>
      <c r="H5655" s="11" t="s">
        <v>19</v>
      </c>
      <c r="I5655" s="12" t="n">
        <v>38</v>
      </c>
      <c r="J5655" s="13" t="n">
        <v>203</v>
      </c>
      <c r="K5655" s="14" t="n">
        <f aca="false">I5655*J5655</f>
        <v>7714</v>
      </c>
      <c r="L5655" s="14" t="n">
        <f aca="false">($L$2*M5655)/100</f>
        <v>600833.25</v>
      </c>
      <c r="M5655" s="15" t="n">
        <v>0.5</v>
      </c>
      <c r="N5655" s="9" t="s">
        <v>85</v>
      </c>
    </row>
    <row r="5656" customFormat="false" ht="14.25" hidden="false" customHeight="true" outlineLevel="0" collapsed="false">
      <c r="B5656" s="9" t="s">
        <v>16</v>
      </c>
      <c r="C5656" s="9" t="n">
        <v>1185732</v>
      </c>
      <c r="D5656" s="10" t="n">
        <v>44426</v>
      </c>
      <c r="E5656" s="9" t="s">
        <v>38</v>
      </c>
      <c r="F5656" s="9" t="s">
        <v>78</v>
      </c>
      <c r="G5656" s="9" t="s">
        <v>79</v>
      </c>
      <c r="H5656" s="11" t="s">
        <v>21</v>
      </c>
      <c r="I5656" s="12" t="n">
        <v>38</v>
      </c>
      <c r="J5656" s="13" t="n">
        <v>143</v>
      </c>
      <c r="K5656" s="14" t="n">
        <f aca="false">I5656*J5656</f>
        <v>5434</v>
      </c>
      <c r="L5656" s="14" t="n">
        <f aca="false">($L$2*M5656)/100</f>
        <v>552766.59</v>
      </c>
      <c r="M5656" s="15" t="n">
        <v>0.46</v>
      </c>
      <c r="N5656" s="9" t="s">
        <v>85</v>
      </c>
    </row>
    <row r="5657" customFormat="false" ht="14.25" hidden="false" customHeight="true" outlineLevel="0" collapsed="false">
      <c r="B5657" s="9" t="s">
        <v>16</v>
      </c>
      <c r="C5657" s="9" t="n">
        <v>1185732</v>
      </c>
      <c r="D5657" s="10" t="n">
        <v>44426</v>
      </c>
      <c r="E5657" s="9" t="s">
        <v>38</v>
      </c>
      <c r="F5657" s="9" t="s">
        <v>78</v>
      </c>
      <c r="G5657" s="9" t="s">
        <v>79</v>
      </c>
      <c r="H5657" s="11" t="s">
        <v>22</v>
      </c>
      <c r="I5657" s="12" t="n">
        <v>32</v>
      </c>
      <c r="J5657" s="13" t="n">
        <v>120</v>
      </c>
      <c r="K5657" s="14" t="n">
        <f aca="false">I5657*J5657</f>
        <v>3840</v>
      </c>
      <c r="L5657" s="14" t="n">
        <f aca="false">($L$2*M5657)/100</f>
        <v>552766.59</v>
      </c>
      <c r="M5657" s="15" t="n">
        <v>0.46</v>
      </c>
      <c r="N5657" s="9" t="s">
        <v>85</v>
      </c>
    </row>
    <row r="5658" customFormat="false" ht="14.25" hidden="false" customHeight="true" outlineLevel="0" collapsed="false">
      <c r="B5658" s="9" t="s">
        <v>16</v>
      </c>
      <c r="C5658" s="9" t="n">
        <v>1185732</v>
      </c>
      <c r="D5658" s="10" t="n">
        <v>44426</v>
      </c>
      <c r="E5658" s="9" t="s">
        <v>38</v>
      </c>
      <c r="F5658" s="9" t="s">
        <v>78</v>
      </c>
      <c r="G5658" s="9" t="s">
        <v>79</v>
      </c>
      <c r="H5658" s="11" t="s">
        <v>23</v>
      </c>
      <c r="I5658" s="12" t="n">
        <v>24</v>
      </c>
      <c r="J5658" s="13" t="n">
        <v>91</v>
      </c>
      <c r="K5658" s="14" t="n">
        <f aca="false">I5658*J5658</f>
        <v>2184</v>
      </c>
      <c r="L5658" s="14" t="n">
        <f aca="false">($L$2*M5658)/100</f>
        <v>660916.575</v>
      </c>
      <c r="M5658" s="15" t="n">
        <v>0.55</v>
      </c>
      <c r="N5658" s="9" t="s">
        <v>85</v>
      </c>
    </row>
    <row r="5659" customFormat="false" ht="14.25" hidden="false" customHeight="true" outlineLevel="0" collapsed="false">
      <c r="B5659" s="9" t="s">
        <v>16</v>
      </c>
      <c r="C5659" s="9" t="n">
        <v>1185732</v>
      </c>
      <c r="D5659" s="10" t="n">
        <v>44426</v>
      </c>
      <c r="E5659" s="9" t="s">
        <v>38</v>
      </c>
      <c r="F5659" s="9" t="s">
        <v>78</v>
      </c>
      <c r="G5659" s="9" t="s">
        <v>79</v>
      </c>
      <c r="H5659" s="11" t="s">
        <v>24</v>
      </c>
      <c r="I5659" s="12" t="n">
        <v>34</v>
      </c>
      <c r="J5659" s="13" t="n">
        <v>81</v>
      </c>
      <c r="K5659" s="14" t="n">
        <f aca="false">I5659*J5659</f>
        <v>2754</v>
      </c>
      <c r="L5659" s="14" t="n">
        <f aca="false">($L$2*M5659)/100</f>
        <v>564783.255</v>
      </c>
      <c r="M5659" s="15" t="n">
        <v>0.47</v>
      </c>
      <c r="N5659" s="9" t="s">
        <v>85</v>
      </c>
    </row>
    <row r="5660" customFormat="false" ht="14.25" hidden="false" customHeight="true" outlineLevel="0" collapsed="false">
      <c r="B5660" s="9" t="s">
        <v>16</v>
      </c>
      <c r="C5660" s="9" t="n">
        <v>1185732</v>
      </c>
      <c r="D5660" s="10" t="n">
        <v>44426</v>
      </c>
      <c r="E5660" s="9" t="s">
        <v>38</v>
      </c>
      <c r="F5660" s="9" t="s">
        <v>78</v>
      </c>
      <c r="G5660" s="9" t="s">
        <v>79</v>
      </c>
      <c r="H5660" s="11" t="s">
        <v>25</v>
      </c>
      <c r="I5660" s="12" t="n">
        <v>36</v>
      </c>
      <c r="J5660" s="13" t="n">
        <v>128</v>
      </c>
      <c r="K5660" s="14" t="n">
        <f aca="false">I5660*J5660</f>
        <v>4608</v>
      </c>
      <c r="L5660" s="14" t="n">
        <f aca="false">($L$2*M5660)/100</f>
        <v>781083.225</v>
      </c>
      <c r="M5660" s="15" t="n">
        <v>0.65</v>
      </c>
      <c r="N5660" s="9" t="s">
        <v>85</v>
      </c>
    </row>
    <row r="5661" customFormat="false" ht="14.25" hidden="false" customHeight="true" outlineLevel="0" collapsed="false">
      <c r="B5661" s="9" t="s">
        <v>16</v>
      </c>
      <c r="C5661" s="9" t="n">
        <v>1185732</v>
      </c>
      <c r="D5661" s="10" t="n">
        <v>44458</v>
      </c>
      <c r="E5661" s="9" t="s">
        <v>38</v>
      </c>
      <c r="F5661" s="9" t="s">
        <v>78</v>
      </c>
      <c r="G5661" s="9" t="s">
        <v>79</v>
      </c>
      <c r="H5661" s="11" t="s">
        <v>19</v>
      </c>
      <c r="I5661" s="12" t="n">
        <v>32</v>
      </c>
      <c r="J5661" s="13" t="n">
        <v>174</v>
      </c>
      <c r="K5661" s="14" t="n">
        <f aca="false">I5661*J5661</f>
        <v>5568</v>
      </c>
      <c r="L5661" s="14" t="n">
        <f aca="false">($L$2*M5661)/100</f>
        <v>600833.25</v>
      </c>
      <c r="M5661" s="15" t="n">
        <v>0.5</v>
      </c>
      <c r="N5661" s="9" t="s">
        <v>85</v>
      </c>
    </row>
    <row r="5662" customFormat="false" ht="14.25" hidden="false" customHeight="true" outlineLevel="0" collapsed="false">
      <c r="B5662" s="9" t="s">
        <v>16</v>
      </c>
      <c r="C5662" s="9" t="n">
        <v>1185732</v>
      </c>
      <c r="D5662" s="10" t="n">
        <v>44458</v>
      </c>
      <c r="E5662" s="9" t="s">
        <v>38</v>
      </c>
      <c r="F5662" s="9" t="s">
        <v>78</v>
      </c>
      <c r="G5662" s="9" t="s">
        <v>79</v>
      </c>
      <c r="H5662" s="11" t="s">
        <v>21</v>
      </c>
      <c r="I5662" s="12" t="n">
        <v>28</v>
      </c>
      <c r="J5662" s="13" t="n">
        <v>100</v>
      </c>
      <c r="K5662" s="14" t="n">
        <f aca="false">I5662*J5662</f>
        <v>2800</v>
      </c>
      <c r="L5662" s="14" t="n">
        <f aca="false">($L$2*M5662)/100</f>
        <v>564783.255</v>
      </c>
      <c r="M5662" s="15" t="n">
        <v>0.47</v>
      </c>
      <c r="N5662" s="9" t="s">
        <v>85</v>
      </c>
    </row>
    <row r="5663" customFormat="false" ht="14.25" hidden="false" customHeight="true" outlineLevel="0" collapsed="false">
      <c r="B5663" s="9" t="s">
        <v>16</v>
      </c>
      <c r="C5663" s="9" t="n">
        <v>1185732</v>
      </c>
      <c r="D5663" s="10" t="n">
        <v>44458</v>
      </c>
      <c r="E5663" s="9" t="s">
        <v>38</v>
      </c>
      <c r="F5663" s="9" t="s">
        <v>78</v>
      </c>
      <c r="G5663" s="9" t="s">
        <v>79</v>
      </c>
      <c r="H5663" s="11" t="s">
        <v>22</v>
      </c>
      <c r="I5663" s="12" t="n">
        <v>14</v>
      </c>
      <c r="J5663" s="13" t="n">
        <v>75</v>
      </c>
      <c r="K5663" s="14" t="n">
        <f aca="false">I5663*J5663</f>
        <v>1050</v>
      </c>
      <c r="L5663" s="14" t="n">
        <f aca="false">($L$2*M5663)/100</f>
        <v>588816.585</v>
      </c>
      <c r="M5663" s="15" t="n">
        <v>0.49</v>
      </c>
      <c r="N5663" s="9" t="s">
        <v>85</v>
      </c>
    </row>
    <row r="5664" customFormat="false" ht="14.25" hidden="false" customHeight="true" outlineLevel="0" collapsed="false">
      <c r="B5664" s="9" t="s">
        <v>16</v>
      </c>
      <c r="C5664" s="9" t="n">
        <v>1185732</v>
      </c>
      <c r="D5664" s="10" t="n">
        <v>44458</v>
      </c>
      <c r="E5664" s="9" t="s">
        <v>38</v>
      </c>
      <c r="F5664" s="9" t="s">
        <v>78</v>
      </c>
      <c r="G5664" s="9" t="s">
        <v>79</v>
      </c>
      <c r="H5664" s="11" t="s">
        <v>23</v>
      </c>
      <c r="I5664" s="12" t="n">
        <v>14</v>
      </c>
      <c r="J5664" s="13" t="n">
        <v>83</v>
      </c>
      <c r="K5664" s="14" t="n">
        <f aca="false">I5664*J5664</f>
        <v>1162</v>
      </c>
      <c r="L5664" s="14" t="n">
        <f aca="false">($L$2*M5664)/100</f>
        <v>636883.245</v>
      </c>
      <c r="M5664" s="15" t="n">
        <v>0.53</v>
      </c>
      <c r="N5664" s="9" t="s">
        <v>85</v>
      </c>
    </row>
    <row r="5665" customFormat="false" ht="14.25" hidden="false" customHeight="true" outlineLevel="0" collapsed="false">
      <c r="B5665" s="9" t="s">
        <v>16</v>
      </c>
      <c r="C5665" s="9" t="n">
        <v>1185732</v>
      </c>
      <c r="D5665" s="10" t="n">
        <v>44458</v>
      </c>
      <c r="E5665" s="9" t="s">
        <v>38</v>
      </c>
      <c r="F5665" s="9" t="s">
        <v>78</v>
      </c>
      <c r="G5665" s="9" t="s">
        <v>79</v>
      </c>
      <c r="H5665" s="11" t="s">
        <v>24</v>
      </c>
      <c r="I5665" s="12" t="n">
        <v>23</v>
      </c>
      <c r="J5665" s="13" t="n">
        <v>77</v>
      </c>
      <c r="K5665" s="14" t="n">
        <f aca="false">I5665*J5665</f>
        <v>1771</v>
      </c>
      <c r="L5665" s="14" t="n">
        <f aca="false">($L$2*M5665)/100</f>
        <v>564783.255</v>
      </c>
      <c r="M5665" s="15" t="n">
        <v>0.47</v>
      </c>
      <c r="N5665" s="9" t="s">
        <v>85</v>
      </c>
    </row>
    <row r="5666" customFormat="false" ht="14.25" hidden="false" customHeight="true" outlineLevel="0" collapsed="false">
      <c r="B5666" s="9" t="s">
        <v>16</v>
      </c>
      <c r="C5666" s="9" t="n">
        <v>1185732</v>
      </c>
      <c r="D5666" s="10" t="n">
        <v>44458</v>
      </c>
      <c r="E5666" s="9" t="s">
        <v>38</v>
      </c>
      <c r="F5666" s="9" t="s">
        <v>78</v>
      </c>
      <c r="G5666" s="9" t="s">
        <v>79</v>
      </c>
      <c r="H5666" s="11" t="s">
        <v>25</v>
      </c>
      <c r="I5666" s="12" t="n">
        <v>28</v>
      </c>
      <c r="J5666" s="13" t="n">
        <v>95</v>
      </c>
      <c r="K5666" s="14" t="n">
        <f aca="false">I5666*J5666</f>
        <v>2660</v>
      </c>
      <c r="L5666" s="14" t="n">
        <f aca="false">($L$2*M5666)/100</f>
        <v>769066.56</v>
      </c>
      <c r="M5666" s="15" t="n">
        <v>0.64</v>
      </c>
      <c r="N5666" s="9" t="s">
        <v>85</v>
      </c>
    </row>
    <row r="5667" customFormat="false" ht="14.25" hidden="false" customHeight="true" outlineLevel="0" collapsed="false">
      <c r="B5667" s="9" t="s">
        <v>16</v>
      </c>
      <c r="C5667" s="9" t="n">
        <v>1185732</v>
      </c>
      <c r="D5667" s="10" t="n">
        <v>44487</v>
      </c>
      <c r="E5667" s="9" t="s">
        <v>38</v>
      </c>
      <c r="F5667" s="9" t="s">
        <v>78</v>
      </c>
      <c r="G5667" s="9" t="s">
        <v>79</v>
      </c>
      <c r="H5667" s="11" t="s">
        <v>19</v>
      </c>
      <c r="I5667" s="12" t="n">
        <v>34</v>
      </c>
      <c r="J5667" s="13" t="n">
        <v>131</v>
      </c>
      <c r="K5667" s="14" t="n">
        <f aca="false">I5667*J5667</f>
        <v>4454</v>
      </c>
      <c r="L5667" s="14" t="n">
        <f aca="false">($L$2*M5667)/100</f>
        <v>612849.915</v>
      </c>
      <c r="M5667" s="15" t="n">
        <v>0.51</v>
      </c>
      <c r="N5667" s="9" t="s">
        <v>85</v>
      </c>
    </row>
    <row r="5668" customFormat="false" ht="14.25" hidden="false" customHeight="true" outlineLevel="0" collapsed="false">
      <c r="B5668" s="9" t="s">
        <v>16</v>
      </c>
      <c r="C5668" s="9" t="n">
        <v>1185732</v>
      </c>
      <c r="D5668" s="10" t="n">
        <v>44487</v>
      </c>
      <c r="E5668" s="9" t="s">
        <v>38</v>
      </c>
      <c r="F5668" s="9" t="s">
        <v>78</v>
      </c>
      <c r="G5668" s="9" t="s">
        <v>79</v>
      </c>
      <c r="H5668" s="11" t="s">
        <v>21</v>
      </c>
      <c r="I5668" s="12" t="n">
        <v>24</v>
      </c>
      <c r="J5668" s="13" t="n">
        <v>91</v>
      </c>
      <c r="K5668" s="14" t="n">
        <f aca="false">I5668*J5668</f>
        <v>2184</v>
      </c>
      <c r="L5668" s="14" t="n">
        <f aca="false">($L$2*M5668)/100</f>
        <v>600833.25</v>
      </c>
      <c r="M5668" s="15" t="n">
        <v>0.5</v>
      </c>
      <c r="N5668" s="9" t="s">
        <v>85</v>
      </c>
    </row>
    <row r="5669" customFormat="false" ht="14.25" hidden="false" customHeight="true" outlineLevel="0" collapsed="false">
      <c r="B5669" s="9" t="s">
        <v>16</v>
      </c>
      <c r="C5669" s="9" t="n">
        <v>1185732</v>
      </c>
      <c r="D5669" s="10" t="n">
        <v>44487</v>
      </c>
      <c r="E5669" s="9" t="s">
        <v>38</v>
      </c>
      <c r="F5669" s="9" t="s">
        <v>78</v>
      </c>
      <c r="G5669" s="9" t="s">
        <v>79</v>
      </c>
      <c r="H5669" s="11" t="s">
        <v>22</v>
      </c>
      <c r="I5669" s="12" t="n">
        <v>23</v>
      </c>
      <c r="J5669" s="13" t="n">
        <v>73</v>
      </c>
      <c r="K5669" s="14" t="n">
        <f aca="false">I5669*J5669</f>
        <v>1679</v>
      </c>
      <c r="L5669" s="14" t="n">
        <f aca="false">($L$2*M5669)/100</f>
        <v>576799.92</v>
      </c>
      <c r="M5669" s="15" t="n">
        <v>0.48</v>
      </c>
      <c r="N5669" s="9" t="s">
        <v>85</v>
      </c>
    </row>
    <row r="5670" customFormat="false" ht="14.25" hidden="false" customHeight="true" outlineLevel="0" collapsed="false">
      <c r="B5670" s="9" t="s">
        <v>16</v>
      </c>
      <c r="C5670" s="9" t="n">
        <v>1185732</v>
      </c>
      <c r="D5670" s="10" t="n">
        <v>44487</v>
      </c>
      <c r="E5670" s="9" t="s">
        <v>38</v>
      </c>
      <c r="F5670" s="9" t="s">
        <v>78</v>
      </c>
      <c r="G5670" s="9" t="s">
        <v>79</v>
      </c>
      <c r="H5670" s="11" t="s">
        <v>23</v>
      </c>
      <c r="I5670" s="12" t="n">
        <v>23</v>
      </c>
      <c r="J5670" s="13" t="n">
        <v>59</v>
      </c>
      <c r="K5670" s="14" t="n">
        <f aca="false">I5670*J5670</f>
        <v>1357</v>
      </c>
      <c r="L5670" s="14" t="n">
        <f aca="false">($L$2*M5670)/100</f>
        <v>600833.25</v>
      </c>
      <c r="M5670" s="15" t="n">
        <v>0.5</v>
      </c>
      <c r="N5670" s="9" t="s">
        <v>85</v>
      </c>
    </row>
    <row r="5671" customFormat="false" ht="14.25" hidden="false" customHeight="true" outlineLevel="0" collapsed="false">
      <c r="B5671" s="9" t="s">
        <v>16</v>
      </c>
      <c r="C5671" s="9" t="n">
        <v>1185732</v>
      </c>
      <c r="D5671" s="10" t="n">
        <v>44487</v>
      </c>
      <c r="E5671" s="9" t="s">
        <v>38</v>
      </c>
      <c r="F5671" s="9" t="s">
        <v>78</v>
      </c>
      <c r="G5671" s="9" t="s">
        <v>79</v>
      </c>
      <c r="H5671" s="11" t="s">
        <v>24</v>
      </c>
      <c r="I5671" s="12" t="n">
        <v>32</v>
      </c>
      <c r="J5671" s="13" t="n">
        <v>68</v>
      </c>
      <c r="K5671" s="14" t="n">
        <f aca="false">I5671*J5671</f>
        <v>2176</v>
      </c>
      <c r="L5671" s="14" t="n">
        <f aca="false">($L$2*M5671)/100</f>
        <v>564783.255</v>
      </c>
      <c r="M5671" s="15" t="n">
        <v>0.47</v>
      </c>
      <c r="N5671" s="9" t="s">
        <v>85</v>
      </c>
    </row>
    <row r="5672" customFormat="false" ht="14.25" hidden="false" customHeight="true" outlineLevel="0" collapsed="false">
      <c r="B5672" s="9" t="s">
        <v>16</v>
      </c>
      <c r="C5672" s="9" t="n">
        <v>1185732</v>
      </c>
      <c r="D5672" s="10" t="n">
        <v>44487</v>
      </c>
      <c r="E5672" s="9" t="s">
        <v>38</v>
      </c>
      <c r="F5672" s="9" t="s">
        <v>78</v>
      </c>
      <c r="G5672" s="9" t="s">
        <v>79</v>
      </c>
      <c r="H5672" s="11" t="s">
        <v>25</v>
      </c>
      <c r="I5672" s="12" t="n">
        <v>38</v>
      </c>
      <c r="J5672" s="13" t="n">
        <v>88</v>
      </c>
      <c r="K5672" s="14" t="n">
        <f aca="false">I5672*J5672</f>
        <v>3344</v>
      </c>
      <c r="L5672" s="14" t="n">
        <f aca="false">($L$2*M5672)/100</f>
        <v>769066.56</v>
      </c>
      <c r="M5672" s="15" t="n">
        <v>0.64</v>
      </c>
      <c r="N5672" s="9" t="s">
        <v>85</v>
      </c>
    </row>
    <row r="5673" customFormat="false" ht="14.25" hidden="false" customHeight="true" outlineLevel="0" collapsed="false">
      <c r="B5673" s="9" t="s">
        <v>16</v>
      </c>
      <c r="C5673" s="9" t="n">
        <v>1185732</v>
      </c>
      <c r="D5673" s="10" t="n">
        <v>44518</v>
      </c>
      <c r="E5673" s="9" t="s">
        <v>38</v>
      </c>
      <c r="F5673" s="9" t="s">
        <v>78</v>
      </c>
      <c r="G5673" s="9" t="s">
        <v>79</v>
      </c>
      <c r="H5673" s="11" t="s">
        <v>19</v>
      </c>
      <c r="I5673" s="12" t="n">
        <v>34</v>
      </c>
      <c r="J5673" s="13" t="n">
        <v>150</v>
      </c>
      <c r="K5673" s="14" t="n">
        <f aca="false">I5673*J5673</f>
        <v>5100</v>
      </c>
      <c r="L5673" s="14" t="n">
        <f aca="false">($L$2*M5673)/100</f>
        <v>612849.915</v>
      </c>
      <c r="M5673" s="15" t="n">
        <v>0.51</v>
      </c>
      <c r="N5673" s="9" t="s">
        <v>85</v>
      </c>
    </row>
    <row r="5674" customFormat="false" ht="14.25" hidden="false" customHeight="true" outlineLevel="0" collapsed="false">
      <c r="B5674" s="9" t="s">
        <v>16</v>
      </c>
      <c r="C5674" s="9" t="n">
        <v>1185732</v>
      </c>
      <c r="D5674" s="10" t="n">
        <v>44518</v>
      </c>
      <c r="E5674" s="9" t="s">
        <v>38</v>
      </c>
      <c r="F5674" s="9" t="s">
        <v>78</v>
      </c>
      <c r="G5674" s="9" t="s">
        <v>79</v>
      </c>
      <c r="H5674" s="11" t="s">
        <v>21</v>
      </c>
      <c r="I5674" s="12" t="n">
        <v>23</v>
      </c>
      <c r="J5674" s="13" t="n">
        <v>88</v>
      </c>
      <c r="K5674" s="14" t="n">
        <f aca="false">I5674*J5674</f>
        <v>2024</v>
      </c>
      <c r="L5674" s="14" t="n">
        <f aca="false">($L$2*M5674)/100</f>
        <v>540749.925</v>
      </c>
      <c r="M5674" s="15" t="n">
        <v>0.45</v>
      </c>
      <c r="N5674" s="9" t="s">
        <v>85</v>
      </c>
    </row>
    <row r="5675" customFormat="false" ht="14.25" hidden="false" customHeight="true" outlineLevel="0" collapsed="false">
      <c r="B5675" s="9" t="s">
        <v>16</v>
      </c>
      <c r="C5675" s="9" t="n">
        <v>1185732</v>
      </c>
      <c r="D5675" s="10" t="n">
        <v>44518</v>
      </c>
      <c r="E5675" s="9" t="s">
        <v>38</v>
      </c>
      <c r="F5675" s="9" t="s">
        <v>78</v>
      </c>
      <c r="G5675" s="9" t="s">
        <v>79</v>
      </c>
      <c r="H5675" s="11" t="s">
        <v>22</v>
      </c>
      <c r="I5675" s="12" t="n">
        <v>23</v>
      </c>
      <c r="J5675" s="13" t="n">
        <v>80</v>
      </c>
      <c r="K5675" s="14" t="n">
        <f aca="false">I5675*J5675</f>
        <v>1840</v>
      </c>
      <c r="L5675" s="14" t="n">
        <f aca="false">($L$2*M5675)/100</f>
        <v>588816.585</v>
      </c>
      <c r="M5675" s="15" t="n">
        <v>0.49</v>
      </c>
      <c r="N5675" s="9" t="s">
        <v>85</v>
      </c>
    </row>
    <row r="5676" customFormat="false" ht="14.25" hidden="false" customHeight="true" outlineLevel="0" collapsed="false">
      <c r="B5676" s="9" t="s">
        <v>16</v>
      </c>
      <c r="C5676" s="9" t="n">
        <v>1185732</v>
      </c>
      <c r="D5676" s="10" t="n">
        <v>44518</v>
      </c>
      <c r="E5676" s="9" t="s">
        <v>38</v>
      </c>
      <c r="F5676" s="9" t="s">
        <v>78</v>
      </c>
      <c r="G5676" s="9" t="s">
        <v>79</v>
      </c>
      <c r="H5676" s="11" t="s">
        <v>23</v>
      </c>
      <c r="I5676" s="12" t="n">
        <v>23</v>
      </c>
      <c r="J5676" s="13" t="n">
        <v>88</v>
      </c>
      <c r="K5676" s="14" t="n">
        <f aca="false">I5676*J5676</f>
        <v>2024</v>
      </c>
      <c r="L5676" s="14" t="n">
        <f aca="false">($L$2*M5676)/100</f>
        <v>624866.58</v>
      </c>
      <c r="M5676" s="15" t="n">
        <v>0.52</v>
      </c>
      <c r="N5676" s="9" t="s">
        <v>85</v>
      </c>
    </row>
    <row r="5677" customFormat="false" ht="14.25" hidden="false" customHeight="true" outlineLevel="0" collapsed="false">
      <c r="B5677" s="9" t="s">
        <v>16</v>
      </c>
      <c r="C5677" s="9" t="n">
        <v>1185732</v>
      </c>
      <c r="D5677" s="10" t="n">
        <v>44518</v>
      </c>
      <c r="E5677" s="9" t="s">
        <v>38</v>
      </c>
      <c r="F5677" s="9" t="s">
        <v>78</v>
      </c>
      <c r="G5677" s="9" t="s">
        <v>79</v>
      </c>
      <c r="H5677" s="11" t="s">
        <v>24</v>
      </c>
      <c r="I5677" s="12" t="n">
        <v>43</v>
      </c>
      <c r="J5677" s="13" t="n">
        <v>81</v>
      </c>
      <c r="K5677" s="14" t="n">
        <f aca="false">I5677*J5677</f>
        <v>3483</v>
      </c>
      <c r="L5677" s="14" t="n">
        <f aca="false">($L$2*M5677)/100</f>
        <v>576799.92</v>
      </c>
      <c r="M5677" s="15" t="n">
        <v>0.48</v>
      </c>
      <c r="N5677" s="9" t="s">
        <v>85</v>
      </c>
    </row>
    <row r="5678" customFormat="false" ht="14.25" hidden="false" customHeight="true" outlineLevel="0" collapsed="false">
      <c r="B5678" s="9" t="s">
        <v>16</v>
      </c>
      <c r="C5678" s="9" t="n">
        <v>1185732</v>
      </c>
      <c r="D5678" s="10" t="n">
        <v>44518</v>
      </c>
      <c r="E5678" s="9" t="s">
        <v>38</v>
      </c>
      <c r="F5678" s="9" t="s">
        <v>78</v>
      </c>
      <c r="G5678" s="9" t="s">
        <v>79</v>
      </c>
      <c r="H5678" s="11" t="s">
        <v>25</v>
      </c>
      <c r="I5678" s="12" t="n">
        <v>48</v>
      </c>
      <c r="J5678" s="13" t="n">
        <v>108</v>
      </c>
      <c r="K5678" s="14" t="n">
        <f aca="false">I5678*J5678</f>
        <v>5184</v>
      </c>
      <c r="L5678" s="14" t="n">
        <f aca="false">($L$2*M5678)/100</f>
        <v>757049.895</v>
      </c>
      <c r="M5678" s="15" t="n">
        <v>0.63</v>
      </c>
      <c r="N5678" s="9" t="s">
        <v>85</v>
      </c>
    </row>
    <row r="5679" customFormat="false" ht="14.25" hidden="false" customHeight="true" outlineLevel="0" collapsed="false">
      <c r="B5679" s="9" t="s">
        <v>16</v>
      </c>
      <c r="C5679" s="9" t="n">
        <v>1185732</v>
      </c>
      <c r="D5679" s="10" t="n">
        <v>44547</v>
      </c>
      <c r="E5679" s="9" t="s">
        <v>38</v>
      </c>
      <c r="F5679" s="9" t="s">
        <v>78</v>
      </c>
      <c r="G5679" s="9" t="s">
        <v>79</v>
      </c>
      <c r="H5679" s="11" t="s">
        <v>19</v>
      </c>
      <c r="I5679" s="12" t="n">
        <v>41</v>
      </c>
      <c r="J5679" s="13" t="n">
        <v>163</v>
      </c>
      <c r="K5679" s="14" t="n">
        <f aca="false">I5679*J5679</f>
        <v>6683</v>
      </c>
      <c r="L5679" s="14" t="n">
        <f aca="false">($L$2*M5679)/100</f>
        <v>624866.58</v>
      </c>
      <c r="M5679" s="15" t="n">
        <v>0.52</v>
      </c>
      <c r="N5679" s="9" t="s">
        <v>85</v>
      </c>
    </row>
    <row r="5680" customFormat="false" ht="14.25" hidden="false" customHeight="true" outlineLevel="0" collapsed="false">
      <c r="B5680" s="9" t="s">
        <v>16</v>
      </c>
      <c r="C5680" s="9" t="n">
        <v>1185732</v>
      </c>
      <c r="D5680" s="10" t="n">
        <v>44547</v>
      </c>
      <c r="E5680" s="9" t="s">
        <v>38</v>
      </c>
      <c r="F5680" s="9" t="s">
        <v>78</v>
      </c>
      <c r="G5680" s="9" t="s">
        <v>79</v>
      </c>
      <c r="H5680" s="11" t="s">
        <v>21</v>
      </c>
      <c r="I5680" s="12" t="n">
        <v>32</v>
      </c>
      <c r="J5680" s="13" t="n">
        <v>113</v>
      </c>
      <c r="K5680" s="14" t="n">
        <f aca="false">I5680*J5680</f>
        <v>3616</v>
      </c>
      <c r="L5680" s="14" t="n">
        <f aca="false">($L$2*M5680)/100</f>
        <v>576799.92</v>
      </c>
      <c r="M5680" s="15" t="n">
        <v>0.48</v>
      </c>
      <c r="N5680" s="9" t="s">
        <v>85</v>
      </c>
    </row>
    <row r="5681" customFormat="false" ht="14.25" hidden="false" customHeight="true" outlineLevel="0" collapsed="false">
      <c r="B5681" s="9" t="s">
        <v>32</v>
      </c>
      <c r="C5681" s="9" t="n">
        <v>1185732</v>
      </c>
      <c r="D5681" s="10" t="n">
        <v>44547</v>
      </c>
      <c r="E5681" s="9" t="s">
        <v>38</v>
      </c>
      <c r="F5681" s="9" t="s">
        <v>78</v>
      </c>
      <c r="G5681" s="9" t="s">
        <v>79</v>
      </c>
      <c r="H5681" s="11" t="s">
        <v>22</v>
      </c>
      <c r="I5681" s="12" t="n">
        <v>32</v>
      </c>
      <c r="J5681" s="13" t="n">
        <v>120</v>
      </c>
      <c r="K5681" s="14" t="n">
        <f aca="false">I5681*J5681</f>
        <v>3840</v>
      </c>
      <c r="L5681" s="14" t="n">
        <f aca="false">($L$2*M5681)/100</f>
        <v>564783.255</v>
      </c>
      <c r="M5681" s="15" t="n">
        <v>0.47</v>
      </c>
      <c r="N5681" s="9" t="s">
        <v>85</v>
      </c>
    </row>
    <row r="5682" customFormat="false" ht="14.25" hidden="false" customHeight="true" outlineLevel="0" collapsed="false">
      <c r="B5682" s="9" t="s">
        <v>32</v>
      </c>
      <c r="C5682" s="9" t="n">
        <v>1185732</v>
      </c>
      <c r="D5682" s="10" t="n">
        <v>44547</v>
      </c>
      <c r="E5682" s="9" t="s">
        <v>38</v>
      </c>
      <c r="F5682" s="9" t="s">
        <v>78</v>
      </c>
      <c r="G5682" s="9" t="s">
        <v>79</v>
      </c>
      <c r="H5682" s="11" t="s">
        <v>23</v>
      </c>
      <c r="I5682" s="12" t="n">
        <v>34</v>
      </c>
      <c r="J5682" s="13" t="n">
        <v>88</v>
      </c>
      <c r="K5682" s="14" t="n">
        <f aca="false">I5682*J5682</f>
        <v>2992</v>
      </c>
      <c r="L5682" s="14" t="n">
        <f aca="false">($L$2*M5682)/100</f>
        <v>624866.58</v>
      </c>
      <c r="M5682" s="15" t="n">
        <v>0.52</v>
      </c>
      <c r="N5682" s="9" t="s">
        <v>85</v>
      </c>
    </row>
    <row r="5683" customFormat="false" ht="14.25" hidden="false" customHeight="true" outlineLevel="0" collapsed="false">
      <c r="B5683" s="9" t="s">
        <v>32</v>
      </c>
      <c r="C5683" s="9" t="n">
        <v>1185732</v>
      </c>
      <c r="D5683" s="10" t="n">
        <v>44547</v>
      </c>
      <c r="E5683" s="9" t="s">
        <v>38</v>
      </c>
      <c r="F5683" s="9" t="s">
        <v>78</v>
      </c>
      <c r="G5683" s="9" t="s">
        <v>79</v>
      </c>
      <c r="H5683" s="11" t="s">
        <v>24</v>
      </c>
      <c r="I5683" s="12" t="n">
        <v>42</v>
      </c>
      <c r="J5683" s="13" t="n">
        <v>88</v>
      </c>
      <c r="K5683" s="14" t="n">
        <f aca="false">I5683*J5683</f>
        <v>3696</v>
      </c>
      <c r="L5683" s="14" t="n">
        <f aca="false">($L$2*M5683)/100</f>
        <v>600833.25</v>
      </c>
      <c r="M5683" s="15" t="n">
        <v>0.5</v>
      </c>
      <c r="N5683" s="9" t="s">
        <v>85</v>
      </c>
    </row>
    <row r="5684" customFormat="false" ht="14.25" hidden="false" customHeight="true" outlineLevel="0" collapsed="false">
      <c r="B5684" s="9" t="s">
        <v>32</v>
      </c>
      <c r="C5684" s="9" t="n">
        <v>1185732</v>
      </c>
      <c r="D5684" s="10" t="n">
        <v>44547</v>
      </c>
      <c r="E5684" s="9" t="s">
        <v>38</v>
      </c>
      <c r="F5684" s="9" t="s">
        <v>78</v>
      </c>
      <c r="G5684" s="9" t="s">
        <v>79</v>
      </c>
      <c r="H5684" s="11" t="s">
        <v>25</v>
      </c>
      <c r="I5684" s="12" t="n">
        <v>47</v>
      </c>
      <c r="J5684" s="13" t="n">
        <v>126</v>
      </c>
      <c r="K5684" s="14" t="n">
        <f aca="false">I5684*J5684</f>
        <v>5922</v>
      </c>
      <c r="L5684" s="14" t="n">
        <f aca="false">($L$2*M5684)/100</f>
        <v>733016.565</v>
      </c>
      <c r="M5684" s="15" t="n">
        <v>0.61</v>
      </c>
      <c r="N5684" s="9" t="s">
        <v>85</v>
      </c>
    </row>
    <row r="5685" customFormat="false" ht="14.25" hidden="false" customHeight="true" outlineLevel="0" collapsed="false">
      <c r="B5685" s="9" t="s">
        <v>32</v>
      </c>
      <c r="C5685" s="9" t="n">
        <v>1185732</v>
      </c>
      <c r="D5685" s="10" t="n">
        <v>44207</v>
      </c>
      <c r="E5685" s="9" t="s">
        <v>38</v>
      </c>
      <c r="F5685" s="9" t="s">
        <v>78</v>
      </c>
      <c r="G5685" s="9" t="s">
        <v>79</v>
      </c>
      <c r="H5685" s="11" t="s">
        <v>19</v>
      </c>
      <c r="I5685" s="12" t="n">
        <v>23</v>
      </c>
      <c r="J5685" s="13" t="n">
        <v>196</v>
      </c>
      <c r="K5685" s="14" t="n">
        <f aca="false">I5685*J5685</f>
        <v>4508</v>
      </c>
      <c r="L5685" s="14" t="n">
        <f aca="false">($L$2*M5685)/100</f>
        <v>660916.575</v>
      </c>
      <c r="M5685" s="15" t="n">
        <v>0.55</v>
      </c>
      <c r="N5685" s="9" t="s">
        <v>85</v>
      </c>
    </row>
    <row r="5686" customFormat="false" ht="14.25" hidden="false" customHeight="true" outlineLevel="0" collapsed="false">
      <c r="B5686" s="9" t="s">
        <v>32</v>
      </c>
      <c r="C5686" s="9" t="n">
        <v>1185732</v>
      </c>
      <c r="D5686" s="10" t="n">
        <v>44207</v>
      </c>
      <c r="E5686" s="9" t="s">
        <v>38</v>
      </c>
      <c r="F5686" s="9" t="s">
        <v>78</v>
      </c>
      <c r="G5686" s="9" t="s">
        <v>79</v>
      </c>
      <c r="H5686" s="11" t="s">
        <v>21</v>
      </c>
      <c r="I5686" s="12" t="n">
        <v>23</v>
      </c>
      <c r="J5686" s="13" t="n">
        <v>133</v>
      </c>
      <c r="K5686" s="14" t="n">
        <f aca="false">I5686*J5686</f>
        <v>3059</v>
      </c>
      <c r="L5686" s="14" t="n">
        <f aca="false">($L$2*M5686)/100</f>
        <v>564783.255</v>
      </c>
      <c r="M5686" s="15" t="n">
        <v>0.47</v>
      </c>
      <c r="N5686" s="9" t="s">
        <v>85</v>
      </c>
    </row>
    <row r="5687" customFormat="false" ht="14.25" hidden="false" customHeight="true" outlineLevel="0" collapsed="false">
      <c r="B5687" s="9" t="s">
        <v>32</v>
      </c>
      <c r="C5687" s="9" t="n">
        <v>1185732</v>
      </c>
      <c r="D5687" s="10" t="n">
        <v>44207</v>
      </c>
      <c r="E5687" s="9" t="s">
        <v>38</v>
      </c>
      <c r="F5687" s="9" t="s">
        <v>78</v>
      </c>
      <c r="G5687" s="9" t="s">
        <v>79</v>
      </c>
      <c r="H5687" s="11" t="s">
        <v>22</v>
      </c>
      <c r="I5687" s="12" t="n">
        <v>14</v>
      </c>
      <c r="J5687" s="13" t="n">
        <v>143</v>
      </c>
      <c r="K5687" s="14" t="n">
        <f aca="false">I5687*J5687</f>
        <v>2002</v>
      </c>
      <c r="L5687" s="14" t="n">
        <f aca="false">($L$2*M5687)/100</f>
        <v>564783.255</v>
      </c>
      <c r="M5687" s="15" t="n">
        <v>0.47</v>
      </c>
      <c r="N5687" s="9" t="s">
        <v>85</v>
      </c>
    </row>
    <row r="5688" customFormat="false" ht="14.25" hidden="false" customHeight="true" outlineLevel="0" collapsed="false">
      <c r="B5688" s="9" t="s">
        <v>32</v>
      </c>
      <c r="C5688" s="9" t="n">
        <v>1185732</v>
      </c>
      <c r="D5688" s="10" t="n">
        <v>44207</v>
      </c>
      <c r="E5688" s="9" t="s">
        <v>38</v>
      </c>
      <c r="F5688" s="9" t="s">
        <v>78</v>
      </c>
      <c r="G5688" s="9" t="s">
        <v>79</v>
      </c>
      <c r="H5688" s="11" t="s">
        <v>23</v>
      </c>
      <c r="I5688" s="12" t="n">
        <v>18</v>
      </c>
      <c r="J5688" s="13" t="n">
        <v>88</v>
      </c>
      <c r="K5688" s="14" t="n">
        <f aca="false">I5688*J5688</f>
        <v>1584</v>
      </c>
      <c r="L5688" s="14" t="n">
        <f aca="false">($L$2*M5688)/100</f>
        <v>624866.58</v>
      </c>
      <c r="M5688" s="15" t="n">
        <v>0.52</v>
      </c>
      <c r="N5688" s="9" t="s">
        <v>85</v>
      </c>
    </row>
    <row r="5689" customFormat="false" ht="14.25" hidden="false" customHeight="true" outlineLevel="0" collapsed="false">
      <c r="B5689" s="9" t="s">
        <v>32</v>
      </c>
      <c r="C5689" s="9" t="n">
        <v>1185732</v>
      </c>
      <c r="D5689" s="10" t="n">
        <v>44207</v>
      </c>
      <c r="E5689" s="9" t="s">
        <v>38</v>
      </c>
      <c r="F5689" s="9" t="s">
        <v>78</v>
      </c>
      <c r="G5689" s="9" t="s">
        <v>79</v>
      </c>
      <c r="H5689" s="11" t="s">
        <v>24</v>
      </c>
      <c r="I5689" s="12" t="n">
        <v>33</v>
      </c>
      <c r="J5689" s="13" t="n">
        <v>98</v>
      </c>
      <c r="K5689" s="14" t="n">
        <f aca="false">I5689*J5689</f>
        <v>3234</v>
      </c>
      <c r="L5689" s="14" t="n">
        <f aca="false">($L$2*M5689)/100</f>
        <v>564783.255</v>
      </c>
      <c r="M5689" s="15" t="n">
        <v>0.47</v>
      </c>
      <c r="N5689" s="9" t="s">
        <v>85</v>
      </c>
    </row>
    <row r="5690" customFormat="false" ht="14.25" hidden="false" customHeight="true" outlineLevel="0" collapsed="false">
      <c r="B5690" s="9" t="s">
        <v>32</v>
      </c>
      <c r="C5690" s="9" t="n">
        <v>1185732</v>
      </c>
      <c r="D5690" s="10" t="n">
        <v>44207</v>
      </c>
      <c r="E5690" s="9" t="s">
        <v>38</v>
      </c>
      <c r="F5690" s="9" t="s">
        <v>78</v>
      </c>
      <c r="G5690" s="9" t="s">
        <v>79</v>
      </c>
      <c r="H5690" s="11" t="s">
        <v>25</v>
      </c>
      <c r="I5690" s="12" t="n">
        <v>24</v>
      </c>
      <c r="J5690" s="13" t="n">
        <v>138</v>
      </c>
      <c r="K5690" s="14" t="n">
        <f aca="false">I5690*J5690</f>
        <v>3312</v>
      </c>
      <c r="L5690" s="14" t="n">
        <f aca="false">($L$2*M5690)/100</f>
        <v>769066.56</v>
      </c>
      <c r="M5690" s="15" t="n">
        <v>0.64</v>
      </c>
      <c r="N5690" s="9" t="s">
        <v>85</v>
      </c>
    </row>
    <row r="5691" customFormat="false" ht="14.25" hidden="false" customHeight="true" outlineLevel="0" collapsed="false">
      <c r="B5691" s="9" t="s">
        <v>32</v>
      </c>
      <c r="C5691" s="9" t="n">
        <v>1185732</v>
      </c>
      <c r="D5691" s="10" t="n">
        <v>44238</v>
      </c>
      <c r="E5691" s="9" t="s">
        <v>38</v>
      </c>
      <c r="F5691" s="9" t="s">
        <v>78</v>
      </c>
      <c r="G5691" s="9" t="s">
        <v>79</v>
      </c>
      <c r="H5691" s="11" t="s">
        <v>19</v>
      </c>
      <c r="I5691" s="12" t="n">
        <v>25</v>
      </c>
      <c r="J5691" s="13" t="n">
        <v>218</v>
      </c>
      <c r="K5691" s="14" t="n">
        <f aca="false">I5691*J5691</f>
        <v>5450</v>
      </c>
      <c r="L5691" s="14" t="n">
        <f aca="false">($L$2*M5691)/100</f>
        <v>636883.245</v>
      </c>
      <c r="M5691" s="15" t="n">
        <v>0.53</v>
      </c>
      <c r="N5691" s="9" t="s">
        <v>85</v>
      </c>
    </row>
    <row r="5692" customFormat="false" ht="14.25" hidden="false" customHeight="true" outlineLevel="0" collapsed="false">
      <c r="B5692" s="9" t="s">
        <v>32</v>
      </c>
      <c r="C5692" s="9" t="n">
        <v>1185732</v>
      </c>
      <c r="D5692" s="10" t="n">
        <v>44238</v>
      </c>
      <c r="E5692" s="9" t="s">
        <v>38</v>
      </c>
      <c r="F5692" s="9" t="s">
        <v>78</v>
      </c>
      <c r="G5692" s="9" t="s">
        <v>79</v>
      </c>
      <c r="H5692" s="11" t="s">
        <v>21</v>
      </c>
      <c r="I5692" s="12" t="n">
        <v>24</v>
      </c>
      <c r="J5692" s="13" t="n">
        <v>101</v>
      </c>
      <c r="K5692" s="14" t="n">
        <f aca="false">I5692*J5692</f>
        <v>2424</v>
      </c>
      <c r="L5692" s="14" t="n">
        <f aca="false">($L$2*M5692)/100</f>
        <v>564783.255</v>
      </c>
      <c r="M5692" s="15" t="n">
        <v>0.47</v>
      </c>
      <c r="N5692" s="9" t="s">
        <v>85</v>
      </c>
    </row>
    <row r="5693" customFormat="false" ht="14.25" hidden="false" customHeight="true" outlineLevel="0" collapsed="false">
      <c r="B5693" s="9" t="s">
        <v>32</v>
      </c>
      <c r="C5693" s="9" t="n">
        <v>1185732</v>
      </c>
      <c r="D5693" s="10" t="n">
        <v>44238</v>
      </c>
      <c r="E5693" s="9" t="s">
        <v>38</v>
      </c>
      <c r="F5693" s="9" t="s">
        <v>78</v>
      </c>
      <c r="G5693" s="9" t="s">
        <v>79</v>
      </c>
      <c r="H5693" s="11" t="s">
        <v>22</v>
      </c>
      <c r="I5693" s="12" t="n">
        <v>14</v>
      </c>
      <c r="J5693" s="13" t="n">
        <v>115</v>
      </c>
      <c r="K5693" s="14" t="n">
        <f aca="false">I5693*J5693</f>
        <v>1610</v>
      </c>
      <c r="L5693" s="14" t="n">
        <f aca="false">($L$2*M5693)/100</f>
        <v>540749.925</v>
      </c>
      <c r="M5693" s="15" t="n">
        <v>0.45</v>
      </c>
      <c r="N5693" s="9" t="s">
        <v>85</v>
      </c>
    </row>
    <row r="5694" customFormat="false" ht="14.25" hidden="false" customHeight="true" outlineLevel="0" collapsed="false">
      <c r="B5694" s="9" t="s">
        <v>32</v>
      </c>
      <c r="C5694" s="9" t="n">
        <v>1185732</v>
      </c>
      <c r="D5694" s="10" t="n">
        <v>44238</v>
      </c>
      <c r="E5694" s="9" t="s">
        <v>33</v>
      </c>
      <c r="F5694" s="9" t="s">
        <v>80</v>
      </c>
      <c r="G5694" s="9" t="s">
        <v>81</v>
      </c>
      <c r="H5694" s="11" t="s">
        <v>23</v>
      </c>
      <c r="I5694" s="12" t="n">
        <v>19</v>
      </c>
      <c r="J5694" s="13" t="n">
        <v>87</v>
      </c>
      <c r="K5694" s="14" t="n">
        <f aca="false">I5694*J5694</f>
        <v>1653</v>
      </c>
      <c r="L5694" s="14" t="n">
        <f aca="false">($L$2*M5694)/100</f>
        <v>600833.25</v>
      </c>
      <c r="M5694" s="15" t="n">
        <v>0.5</v>
      </c>
      <c r="N5694" s="9" t="s">
        <v>85</v>
      </c>
    </row>
    <row r="5695" customFormat="false" ht="14.25" hidden="false" customHeight="true" outlineLevel="0" collapsed="false">
      <c r="B5695" s="9" t="s">
        <v>32</v>
      </c>
      <c r="C5695" s="9" t="n">
        <v>1185732</v>
      </c>
      <c r="D5695" s="10" t="n">
        <v>44238</v>
      </c>
      <c r="E5695" s="9" t="s">
        <v>33</v>
      </c>
      <c r="F5695" s="9" t="s">
        <v>80</v>
      </c>
      <c r="G5695" s="9" t="s">
        <v>81</v>
      </c>
      <c r="H5695" s="11" t="s">
        <v>24</v>
      </c>
      <c r="I5695" s="12" t="n">
        <v>32</v>
      </c>
      <c r="J5695" s="13" t="n">
        <v>101</v>
      </c>
      <c r="K5695" s="14" t="n">
        <f aca="false">I5695*J5695</f>
        <v>3232</v>
      </c>
      <c r="L5695" s="14" t="n">
        <f aca="false">($L$2*M5695)/100</f>
        <v>540749.925</v>
      </c>
      <c r="M5695" s="15" t="n">
        <v>0.45</v>
      </c>
      <c r="N5695" s="9" t="s">
        <v>85</v>
      </c>
    </row>
    <row r="5696" customFormat="false" ht="14.25" hidden="false" customHeight="true" outlineLevel="0" collapsed="false">
      <c r="B5696" s="9" t="s">
        <v>32</v>
      </c>
      <c r="C5696" s="9" t="n">
        <v>1185732</v>
      </c>
      <c r="D5696" s="10" t="n">
        <v>44238</v>
      </c>
      <c r="E5696" s="9" t="s">
        <v>33</v>
      </c>
      <c r="F5696" s="9" t="s">
        <v>80</v>
      </c>
      <c r="G5696" s="9" t="s">
        <v>81</v>
      </c>
      <c r="H5696" s="11" t="s">
        <v>25</v>
      </c>
      <c r="I5696" s="12" t="n">
        <v>24</v>
      </c>
      <c r="J5696" s="13" t="n">
        <v>131</v>
      </c>
      <c r="K5696" s="14" t="n">
        <f aca="false">I5696*J5696</f>
        <v>3144</v>
      </c>
      <c r="L5696" s="14" t="n">
        <f aca="false">($L$2*M5696)/100</f>
        <v>745033.23</v>
      </c>
      <c r="M5696" s="15" t="n">
        <v>0.62</v>
      </c>
      <c r="N5696" s="9" t="s">
        <v>85</v>
      </c>
    </row>
    <row r="5697" customFormat="false" ht="14.25" hidden="false" customHeight="true" outlineLevel="0" collapsed="false">
      <c r="B5697" s="9" t="s">
        <v>32</v>
      </c>
      <c r="C5697" s="9" t="n">
        <v>1185732</v>
      </c>
      <c r="D5697" s="10" t="n">
        <v>44265</v>
      </c>
      <c r="E5697" s="9" t="s">
        <v>33</v>
      </c>
      <c r="F5697" s="9" t="s">
        <v>80</v>
      </c>
      <c r="G5697" s="9" t="s">
        <v>81</v>
      </c>
      <c r="H5697" s="11" t="s">
        <v>19</v>
      </c>
      <c r="I5697" s="12" t="n">
        <v>29</v>
      </c>
      <c r="J5697" s="13" t="n">
        <v>168</v>
      </c>
      <c r="K5697" s="14" t="n">
        <f aca="false">I5697*J5697</f>
        <v>4872</v>
      </c>
      <c r="L5697" s="14" t="n">
        <f aca="false">($L$2*M5697)/100</f>
        <v>624866.58</v>
      </c>
      <c r="M5697" s="15" t="n">
        <v>0.52</v>
      </c>
      <c r="N5697" s="9" t="s">
        <v>85</v>
      </c>
    </row>
    <row r="5698" customFormat="false" ht="14.25" hidden="false" customHeight="true" outlineLevel="0" collapsed="false">
      <c r="B5698" s="9" t="s">
        <v>32</v>
      </c>
      <c r="C5698" s="9" t="n">
        <v>1185732</v>
      </c>
      <c r="D5698" s="10" t="n">
        <v>44265</v>
      </c>
      <c r="E5698" s="9" t="s">
        <v>33</v>
      </c>
      <c r="F5698" s="9" t="s">
        <v>80</v>
      </c>
      <c r="G5698" s="9" t="s">
        <v>81</v>
      </c>
      <c r="H5698" s="11" t="s">
        <v>21</v>
      </c>
      <c r="I5698" s="12" t="n">
        <v>28</v>
      </c>
      <c r="J5698" s="13" t="n">
        <v>102</v>
      </c>
      <c r="K5698" s="14" t="n">
        <f aca="false">I5698*J5698</f>
        <v>2856</v>
      </c>
      <c r="L5698" s="14" t="n">
        <f aca="false">($L$2*M5698)/100</f>
        <v>600833.25</v>
      </c>
      <c r="M5698" s="15" t="n">
        <v>0.5</v>
      </c>
      <c r="N5698" s="9" t="s">
        <v>85</v>
      </c>
    </row>
    <row r="5699" customFormat="false" ht="14.25" hidden="false" customHeight="true" outlineLevel="0" collapsed="false">
      <c r="B5699" s="9" t="s">
        <v>32</v>
      </c>
      <c r="C5699" s="9" t="n">
        <v>1185732</v>
      </c>
      <c r="D5699" s="10" t="n">
        <v>44265</v>
      </c>
      <c r="E5699" s="9" t="s">
        <v>33</v>
      </c>
      <c r="F5699" s="9" t="s">
        <v>80</v>
      </c>
      <c r="G5699" s="9" t="s">
        <v>81</v>
      </c>
      <c r="H5699" s="11" t="s">
        <v>22</v>
      </c>
      <c r="I5699" s="12" t="n">
        <v>18</v>
      </c>
      <c r="J5699" s="13" t="n">
        <v>112</v>
      </c>
      <c r="K5699" s="14" t="n">
        <f aca="false">I5699*J5699</f>
        <v>2016</v>
      </c>
      <c r="L5699" s="14" t="n">
        <f aca="false">($L$2*M5699)/100</f>
        <v>600833.25</v>
      </c>
      <c r="M5699" s="15" t="n">
        <v>0.5</v>
      </c>
      <c r="N5699" s="9" t="s">
        <v>85</v>
      </c>
    </row>
    <row r="5700" customFormat="false" ht="14.25" hidden="false" customHeight="true" outlineLevel="0" collapsed="false">
      <c r="B5700" s="9" t="s">
        <v>32</v>
      </c>
      <c r="C5700" s="9" t="n">
        <v>1185732</v>
      </c>
      <c r="D5700" s="10" t="n">
        <v>44265</v>
      </c>
      <c r="E5700" s="9" t="s">
        <v>33</v>
      </c>
      <c r="F5700" s="9" t="s">
        <v>80</v>
      </c>
      <c r="G5700" s="9" t="s">
        <v>81</v>
      </c>
      <c r="H5700" s="11" t="s">
        <v>23</v>
      </c>
      <c r="I5700" s="12" t="n">
        <v>23</v>
      </c>
      <c r="J5700" s="13" t="n">
        <v>73</v>
      </c>
      <c r="K5700" s="14" t="n">
        <f aca="false">I5700*J5700</f>
        <v>1679</v>
      </c>
      <c r="L5700" s="14" t="n">
        <f aca="false">($L$2*M5700)/100</f>
        <v>636883.245</v>
      </c>
      <c r="M5700" s="15" t="n">
        <v>0.53</v>
      </c>
      <c r="N5700" s="9" t="s">
        <v>85</v>
      </c>
    </row>
    <row r="5701" customFormat="false" ht="14.25" hidden="false" customHeight="true" outlineLevel="0" collapsed="false">
      <c r="B5701" s="9" t="s">
        <v>32</v>
      </c>
      <c r="C5701" s="9" t="n">
        <v>1185732</v>
      </c>
      <c r="D5701" s="10" t="n">
        <v>44265</v>
      </c>
      <c r="E5701" s="9" t="s">
        <v>33</v>
      </c>
      <c r="F5701" s="9" t="s">
        <v>80</v>
      </c>
      <c r="G5701" s="9" t="s">
        <v>81</v>
      </c>
      <c r="H5701" s="11" t="s">
        <v>24</v>
      </c>
      <c r="I5701" s="12" t="n">
        <v>38</v>
      </c>
      <c r="J5701" s="13" t="n">
        <v>75</v>
      </c>
      <c r="K5701" s="14" t="n">
        <f aca="false">I5701*J5701</f>
        <v>2850</v>
      </c>
      <c r="L5701" s="14" t="n">
        <f aca="false">($L$2*M5701)/100</f>
        <v>600833.25</v>
      </c>
      <c r="M5701" s="15" t="n">
        <v>0.5</v>
      </c>
      <c r="N5701" s="9" t="s">
        <v>85</v>
      </c>
    </row>
    <row r="5702" customFormat="false" ht="14.25" hidden="false" customHeight="true" outlineLevel="0" collapsed="false">
      <c r="B5702" s="9" t="s">
        <v>32</v>
      </c>
      <c r="C5702" s="9" t="n">
        <v>1185732</v>
      </c>
      <c r="D5702" s="10" t="n">
        <v>44265</v>
      </c>
      <c r="E5702" s="9" t="s">
        <v>33</v>
      </c>
      <c r="F5702" s="9" t="s">
        <v>80</v>
      </c>
      <c r="G5702" s="9" t="s">
        <v>81</v>
      </c>
      <c r="H5702" s="11" t="s">
        <v>25</v>
      </c>
      <c r="I5702" s="12" t="n">
        <v>29</v>
      </c>
      <c r="J5702" s="13" t="n">
        <v>100</v>
      </c>
      <c r="K5702" s="14" t="n">
        <f aca="false">I5702*J5702</f>
        <v>2900</v>
      </c>
      <c r="L5702" s="14" t="n">
        <f aca="false">($L$2*M5702)/100</f>
        <v>769066.56</v>
      </c>
      <c r="M5702" s="15" t="n">
        <v>0.64</v>
      </c>
      <c r="N5702" s="9" t="s">
        <v>85</v>
      </c>
    </row>
    <row r="5703" customFormat="false" ht="14.25" hidden="false" customHeight="true" outlineLevel="0" collapsed="false">
      <c r="B5703" s="9" t="s">
        <v>32</v>
      </c>
      <c r="C5703" s="9" t="n">
        <v>1185732</v>
      </c>
      <c r="D5703" s="10" t="n">
        <v>44297</v>
      </c>
      <c r="E5703" s="9" t="s">
        <v>33</v>
      </c>
      <c r="F5703" s="9" t="s">
        <v>80</v>
      </c>
      <c r="G5703" s="9" t="s">
        <v>81</v>
      </c>
      <c r="H5703" s="11" t="s">
        <v>19</v>
      </c>
      <c r="I5703" s="12" t="n">
        <v>27</v>
      </c>
      <c r="J5703" s="13" t="n">
        <v>181</v>
      </c>
      <c r="K5703" s="14" t="n">
        <f aca="false">I5703*J5703</f>
        <v>4887</v>
      </c>
      <c r="L5703" s="14" t="n">
        <f aca="false">($L$2*M5703)/100</f>
        <v>600833.25</v>
      </c>
      <c r="M5703" s="15" t="n">
        <v>0.5</v>
      </c>
      <c r="N5703" s="9" t="s">
        <v>85</v>
      </c>
    </row>
    <row r="5704" customFormat="false" ht="14.25" hidden="false" customHeight="true" outlineLevel="0" collapsed="false">
      <c r="B5704" s="9" t="s">
        <v>32</v>
      </c>
      <c r="C5704" s="9" t="n">
        <v>1185732</v>
      </c>
      <c r="D5704" s="10" t="n">
        <v>44297</v>
      </c>
      <c r="E5704" s="9" t="s">
        <v>33</v>
      </c>
      <c r="F5704" s="9" t="s">
        <v>80</v>
      </c>
      <c r="G5704" s="9" t="s">
        <v>81</v>
      </c>
      <c r="H5704" s="11" t="s">
        <v>21</v>
      </c>
      <c r="I5704" s="12" t="n">
        <v>25</v>
      </c>
      <c r="J5704" s="13" t="n">
        <v>94</v>
      </c>
      <c r="K5704" s="14" t="n">
        <f aca="false">I5704*J5704</f>
        <v>2350</v>
      </c>
      <c r="L5704" s="14" t="n">
        <f aca="false">($L$2*M5704)/100</f>
        <v>540749.925</v>
      </c>
      <c r="M5704" s="15" t="n">
        <v>0.45</v>
      </c>
      <c r="N5704" s="9" t="s">
        <v>85</v>
      </c>
    </row>
    <row r="5705" customFormat="false" ht="14.25" hidden="false" customHeight="true" outlineLevel="0" collapsed="false">
      <c r="B5705" s="9" t="s">
        <v>32</v>
      </c>
      <c r="C5705" s="9" t="n">
        <v>1185732</v>
      </c>
      <c r="D5705" s="10" t="n">
        <v>44297</v>
      </c>
      <c r="E5705" s="9" t="s">
        <v>33</v>
      </c>
      <c r="F5705" s="9" t="s">
        <v>80</v>
      </c>
      <c r="G5705" s="9" t="s">
        <v>81</v>
      </c>
      <c r="H5705" s="11" t="s">
        <v>22</v>
      </c>
      <c r="I5705" s="12" t="n">
        <v>14</v>
      </c>
      <c r="J5705" s="13" t="n">
        <v>98</v>
      </c>
      <c r="K5705" s="14" t="n">
        <f aca="false">I5705*J5705</f>
        <v>1372</v>
      </c>
      <c r="L5705" s="14" t="n">
        <f aca="false">($L$2*M5705)/100</f>
        <v>552766.59</v>
      </c>
      <c r="M5705" s="15" t="n">
        <v>0.46</v>
      </c>
      <c r="N5705" s="9" t="s">
        <v>85</v>
      </c>
    </row>
    <row r="5706" customFormat="false" ht="14.25" hidden="false" customHeight="true" outlineLevel="0" collapsed="false">
      <c r="B5706" s="9" t="s">
        <v>32</v>
      </c>
      <c r="C5706" s="9" t="n">
        <v>1185732</v>
      </c>
      <c r="D5706" s="10" t="n">
        <v>44297</v>
      </c>
      <c r="E5706" s="9" t="s">
        <v>33</v>
      </c>
      <c r="F5706" s="9" t="s">
        <v>80</v>
      </c>
      <c r="G5706" s="9" t="s">
        <v>81</v>
      </c>
      <c r="H5706" s="11" t="s">
        <v>23</v>
      </c>
      <c r="I5706" s="12" t="n">
        <v>18</v>
      </c>
      <c r="J5706" s="13" t="n">
        <v>70</v>
      </c>
      <c r="K5706" s="14" t="n">
        <f aca="false">I5706*J5706</f>
        <v>1260</v>
      </c>
      <c r="L5706" s="14" t="n">
        <f aca="false">($L$2*M5706)/100</f>
        <v>636883.245</v>
      </c>
      <c r="M5706" s="15" t="n">
        <v>0.53</v>
      </c>
      <c r="N5706" s="9" t="s">
        <v>85</v>
      </c>
    </row>
    <row r="5707" customFormat="false" ht="14.25" hidden="false" customHeight="true" outlineLevel="0" collapsed="false">
      <c r="B5707" s="9" t="s">
        <v>32</v>
      </c>
      <c r="C5707" s="9" t="n">
        <v>1185732</v>
      </c>
      <c r="D5707" s="10" t="n">
        <v>44297</v>
      </c>
      <c r="E5707" s="9" t="s">
        <v>33</v>
      </c>
      <c r="F5707" s="9" t="s">
        <v>80</v>
      </c>
      <c r="G5707" s="9" t="s">
        <v>81</v>
      </c>
      <c r="H5707" s="11" t="s">
        <v>24</v>
      </c>
      <c r="I5707" s="12" t="n">
        <v>33</v>
      </c>
      <c r="J5707" s="13" t="n">
        <v>74</v>
      </c>
      <c r="K5707" s="14" t="n">
        <f aca="false">I5707*J5707</f>
        <v>2442</v>
      </c>
      <c r="L5707" s="14" t="n">
        <f aca="false">($L$2*M5707)/100</f>
        <v>552766.59</v>
      </c>
      <c r="M5707" s="15" t="n">
        <v>0.46</v>
      </c>
      <c r="N5707" s="9" t="s">
        <v>85</v>
      </c>
    </row>
    <row r="5708" customFormat="false" ht="14.25" hidden="false" customHeight="true" outlineLevel="0" collapsed="false">
      <c r="B5708" s="9" t="s">
        <v>32</v>
      </c>
      <c r="C5708" s="9" t="n">
        <v>1185732</v>
      </c>
      <c r="D5708" s="10" t="n">
        <v>44297</v>
      </c>
      <c r="E5708" s="9" t="s">
        <v>33</v>
      </c>
      <c r="F5708" s="9" t="s">
        <v>80</v>
      </c>
      <c r="G5708" s="9" t="s">
        <v>81</v>
      </c>
      <c r="H5708" s="11" t="s">
        <v>25</v>
      </c>
      <c r="I5708" s="12" t="n">
        <v>24</v>
      </c>
      <c r="J5708" s="13" t="n">
        <v>112</v>
      </c>
      <c r="K5708" s="14" t="n">
        <f aca="false">I5708*J5708</f>
        <v>2688</v>
      </c>
      <c r="L5708" s="14" t="n">
        <f aca="false">($L$2*M5708)/100</f>
        <v>720999.9</v>
      </c>
      <c r="M5708" s="15" t="n">
        <v>0.6</v>
      </c>
      <c r="N5708" s="9" t="s">
        <v>85</v>
      </c>
    </row>
    <row r="5709" customFormat="false" ht="14.25" hidden="false" customHeight="true" outlineLevel="0" collapsed="false">
      <c r="B5709" s="9" t="s">
        <v>32</v>
      </c>
      <c r="C5709" s="9" t="n">
        <v>1185732</v>
      </c>
      <c r="D5709" s="10" t="n">
        <v>44328</v>
      </c>
      <c r="E5709" s="9" t="s">
        <v>33</v>
      </c>
      <c r="F5709" s="9" t="s">
        <v>80</v>
      </c>
      <c r="G5709" s="9" t="s">
        <v>81</v>
      </c>
      <c r="H5709" s="11" t="s">
        <v>19</v>
      </c>
      <c r="I5709" s="12" t="n">
        <v>32</v>
      </c>
      <c r="J5709" s="13" t="n">
        <v>174</v>
      </c>
      <c r="K5709" s="14" t="n">
        <f aca="false">I5709*J5709</f>
        <v>5568</v>
      </c>
      <c r="L5709" s="14" t="n">
        <f aca="false">($L$2*M5709)/100</f>
        <v>612849.915</v>
      </c>
      <c r="M5709" s="15" t="n">
        <v>0.51</v>
      </c>
      <c r="N5709" s="9" t="s">
        <v>85</v>
      </c>
    </row>
    <row r="5710" customFormat="false" ht="14.25" hidden="false" customHeight="true" outlineLevel="0" collapsed="false">
      <c r="B5710" s="9" t="s">
        <v>32</v>
      </c>
      <c r="C5710" s="9" t="n">
        <v>1185732</v>
      </c>
      <c r="D5710" s="10" t="n">
        <v>44328</v>
      </c>
      <c r="E5710" s="9" t="s">
        <v>33</v>
      </c>
      <c r="F5710" s="9" t="s">
        <v>80</v>
      </c>
      <c r="G5710" s="9" t="s">
        <v>81</v>
      </c>
      <c r="H5710" s="11" t="s">
        <v>21</v>
      </c>
      <c r="I5710" s="12" t="n">
        <v>29</v>
      </c>
      <c r="J5710" s="13" t="n">
        <v>101</v>
      </c>
      <c r="K5710" s="14" t="n">
        <f aca="false">I5710*J5710</f>
        <v>2929</v>
      </c>
      <c r="L5710" s="14" t="n">
        <f aca="false">($L$2*M5710)/100</f>
        <v>588816.585</v>
      </c>
      <c r="M5710" s="15" t="n">
        <v>0.49</v>
      </c>
      <c r="N5710" s="9" t="s">
        <v>85</v>
      </c>
    </row>
    <row r="5711" customFormat="false" ht="14.25" hidden="false" customHeight="true" outlineLevel="0" collapsed="false">
      <c r="B5711" s="9" t="s">
        <v>32</v>
      </c>
      <c r="C5711" s="9" t="n">
        <v>1185732</v>
      </c>
      <c r="D5711" s="10" t="n">
        <v>44328</v>
      </c>
      <c r="E5711" s="9" t="s">
        <v>33</v>
      </c>
      <c r="F5711" s="9" t="s">
        <v>80</v>
      </c>
      <c r="G5711" s="9" t="s">
        <v>81</v>
      </c>
      <c r="H5711" s="11" t="s">
        <v>22</v>
      </c>
      <c r="I5711" s="12" t="n">
        <v>25</v>
      </c>
      <c r="J5711" s="13" t="n">
        <v>98</v>
      </c>
      <c r="K5711" s="14" t="n">
        <f aca="false">I5711*J5711</f>
        <v>2450</v>
      </c>
      <c r="L5711" s="14" t="n">
        <f aca="false">($L$2*M5711)/100</f>
        <v>600833.25</v>
      </c>
      <c r="M5711" s="15" t="n">
        <v>0.5</v>
      </c>
      <c r="N5711" s="9" t="s">
        <v>85</v>
      </c>
    </row>
    <row r="5712" customFormat="false" ht="14.25" hidden="false" customHeight="true" outlineLevel="0" collapsed="false">
      <c r="B5712" s="9" t="s">
        <v>32</v>
      </c>
      <c r="C5712" s="9" t="n">
        <v>1185732</v>
      </c>
      <c r="D5712" s="10" t="n">
        <v>44328</v>
      </c>
      <c r="E5712" s="9" t="s">
        <v>33</v>
      </c>
      <c r="F5712" s="9" t="s">
        <v>80</v>
      </c>
      <c r="G5712" s="9" t="s">
        <v>81</v>
      </c>
      <c r="H5712" s="11" t="s">
        <v>23</v>
      </c>
      <c r="I5712" s="12" t="n">
        <v>23</v>
      </c>
      <c r="J5712" s="13" t="n">
        <v>72</v>
      </c>
      <c r="K5712" s="14" t="n">
        <f aca="false">I5712*J5712</f>
        <v>1656</v>
      </c>
      <c r="L5712" s="14" t="n">
        <f aca="false">($L$2*M5712)/100</f>
        <v>660916.575</v>
      </c>
      <c r="M5712" s="15" t="n">
        <v>0.55</v>
      </c>
      <c r="N5712" s="9" t="s">
        <v>85</v>
      </c>
    </row>
    <row r="5713" customFormat="false" ht="14.25" hidden="false" customHeight="true" outlineLevel="0" collapsed="false">
      <c r="B5713" s="9" t="s">
        <v>32</v>
      </c>
      <c r="C5713" s="9" t="n">
        <v>1185732</v>
      </c>
      <c r="D5713" s="10" t="n">
        <v>44328</v>
      </c>
      <c r="E5713" s="9" t="s">
        <v>33</v>
      </c>
      <c r="F5713" s="9" t="s">
        <v>80</v>
      </c>
      <c r="G5713" s="9" t="s">
        <v>81</v>
      </c>
      <c r="H5713" s="11" t="s">
        <v>24</v>
      </c>
      <c r="I5713" s="12" t="n">
        <v>39</v>
      </c>
      <c r="J5713" s="13" t="n">
        <v>75</v>
      </c>
      <c r="K5713" s="14" t="n">
        <f aca="false">I5713*J5713</f>
        <v>2925</v>
      </c>
      <c r="L5713" s="14" t="n">
        <f aca="false">($L$2*M5713)/100</f>
        <v>600833.25</v>
      </c>
      <c r="M5713" s="15" t="n">
        <v>0.5</v>
      </c>
      <c r="N5713" s="9" t="s">
        <v>85</v>
      </c>
    </row>
    <row r="5714" customFormat="false" ht="14.25" hidden="false" customHeight="true" outlineLevel="0" collapsed="false">
      <c r="B5714" s="9" t="s">
        <v>32</v>
      </c>
      <c r="C5714" s="9" t="n">
        <v>1185732</v>
      </c>
      <c r="D5714" s="10" t="n">
        <v>44328</v>
      </c>
      <c r="E5714" s="9" t="s">
        <v>33</v>
      </c>
      <c r="F5714" s="9" t="s">
        <v>80</v>
      </c>
      <c r="G5714" s="9" t="s">
        <v>81</v>
      </c>
      <c r="H5714" s="11" t="s">
        <v>25</v>
      </c>
      <c r="I5714" s="12" t="n">
        <v>44</v>
      </c>
      <c r="J5714" s="13" t="n">
        <v>120</v>
      </c>
      <c r="K5714" s="14" t="n">
        <f aca="false">I5714*J5714</f>
        <v>5280</v>
      </c>
      <c r="L5714" s="14" t="n">
        <f aca="false">($L$2*M5714)/100</f>
        <v>781083.225</v>
      </c>
      <c r="M5714" s="15" t="n">
        <v>0.65</v>
      </c>
      <c r="N5714" s="9" t="s">
        <v>85</v>
      </c>
    </row>
    <row r="5715" customFormat="false" ht="14.25" hidden="false" customHeight="true" outlineLevel="0" collapsed="false">
      <c r="B5715" s="9" t="s">
        <v>32</v>
      </c>
      <c r="C5715" s="9" t="n">
        <v>1185732</v>
      </c>
      <c r="D5715" s="10" t="n">
        <v>44358</v>
      </c>
      <c r="E5715" s="9" t="s">
        <v>33</v>
      </c>
      <c r="F5715" s="9" t="s">
        <v>80</v>
      </c>
      <c r="G5715" s="9" t="s">
        <v>81</v>
      </c>
      <c r="H5715" s="11" t="s">
        <v>19</v>
      </c>
      <c r="I5715" s="12" t="n">
        <v>28</v>
      </c>
      <c r="J5715" s="13" t="n">
        <v>182</v>
      </c>
      <c r="K5715" s="14" t="n">
        <f aca="false">I5715*J5715</f>
        <v>5096</v>
      </c>
      <c r="L5715" s="14" t="n">
        <f aca="false">($L$2*M5715)/100</f>
        <v>612849.915</v>
      </c>
      <c r="M5715" s="15" t="n">
        <v>0.51</v>
      </c>
      <c r="N5715" s="9" t="s">
        <v>85</v>
      </c>
    </row>
    <row r="5716" customFormat="false" ht="14.25" hidden="false" customHeight="true" outlineLevel="0" collapsed="false">
      <c r="B5716" s="9" t="s">
        <v>32</v>
      </c>
      <c r="C5716" s="9" t="n">
        <v>1185732</v>
      </c>
      <c r="D5716" s="10" t="n">
        <v>44358</v>
      </c>
      <c r="E5716" s="9" t="s">
        <v>33</v>
      </c>
      <c r="F5716" s="9" t="s">
        <v>80</v>
      </c>
      <c r="G5716" s="9" t="s">
        <v>81</v>
      </c>
      <c r="H5716" s="11" t="s">
        <v>21</v>
      </c>
      <c r="I5716" s="12" t="n">
        <v>24</v>
      </c>
      <c r="J5716" s="13" t="n">
        <v>112</v>
      </c>
      <c r="K5716" s="14" t="n">
        <f aca="false">I5716*J5716</f>
        <v>2688</v>
      </c>
      <c r="L5716" s="14" t="n">
        <f aca="false">($L$2*M5716)/100</f>
        <v>588816.585</v>
      </c>
      <c r="M5716" s="15" t="n">
        <v>0.49</v>
      </c>
      <c r="N5716" s="9" t="s">
        <v>85</v>
      </c>
    </row>
    <row r="5717" customFormat="false" ht="14.25" hidden="false" customHeight="true" outlineLevel="0" collapsed="false">
      <c r="B5717" s="9" t="s">
        <v>32</v>
      </c>
      <c r="C5717" s="9" t="n">
        <v>1185732</v>
      </c>
      <c r="D5717" s="10" t="n">
        <v>44358</v>
      </c>
      <c r="E5717" s="9" t="s">
        <v>33</v>
      </c>
      <c r="F5717" s="9" t="s">
        <v>80</v>
      </c>
      <c r="G5717" s="9" t="s">
        <v>81</v>
      </c>
      <c r="H5717" s="11" t="s">
        <v>22</v>
      </c>
      <c r="I5717" s="12" t="n">
        <v>19</v>
      </c>
      <c r="J5717" s="13" t="n">
        <v>115</v>
      </c>
      <c r="K5717" s="14" t="n">
        <f aca="false">I5717*J5717</f>
        <v>2185</v>
      </c>
      <c r="L5717" s="14" t="n">
        <f aca="false">($L$2*M5717)/100</f>
        <v>588816.585</v>
      </c>
      <c r="M5717" s="15" t="n">
        <v>0.49</v>
      </c>
      <c r="N5717" s="9" t="s">
        <v>85</v>
      </c>
    </row>
    <row r="5718" customFormat="false" ht="14.25" hidden="false" customHeight="true" outlineLevel="0" collapsed="false">
      <c r="B5718" s="9" t="s">
        <v>32</v>
      </c>
      <c r="C5718" s="9" t="n">
        <v>1185732</v>
      </c>
      <c r="D5718" s="10" t="n">
        <v>44358</v>
      </c>
      <c r="E5718" s="9" t="s">
        <v>33</v>
      </c>
      <c r="F5718" s="9" t="s">
        <v>80</v>
      </c>
      <c r="G5718" s="9" t="s">
        <v>81</v>
      </c>
      <c r="H5718" s="11" t="s">
        <v>23</v>
      </c>
      <c r="I5718" s="12" t="n">
        <v>19</v>
      </c>
      <c r="J5718" s="13" t="n">
        <v>108</v>
      </c>
      <c r="K5718" s="14" t="n">
        <f aca="false">I5718*J5718</f>
        <v>2052</v>
      </c>
      <c r="L5718" s="14" t="n">
        <f aca="false">($L$2*M5718)/100</f>
        <v>612849.915</v>
      </c>
      <c r="M5718" s="15" t="n">
        <v>0.51</v>
      </c>
      <c r="N5718" s="9" t="s">
        <v>85</v>
      </c>
    </row>
    <row r="5719" customFormat="false" ht="14.25" hidden="false" customHeight="true" outlineLevel="0" collapsed="false">
      <c r="B5719" s="9" t="s">
        <v>32</v>
      </c>
      <c r="C5719" s="9" t="n">
        <v>1185732</v>
      </c>
      <c r="D5719" s="10" t="n">
        <v>44358</v>
      </c>
      <c r="E5719" s="9" t="s">
        <v>33</v>
      </c>
      <c r="F5719" s="9" t="s">
        <v>80</v>
      </c>
      <c r="G5719" s="9" t="s">
        <v>81</v>
      </c>
      <c r="H5719" s="11" t="s">
        <v>24</v>
      </c>
      <c r="I5719" s="12" t="n">
        <v>34</v>
      </c>
      <c r="J5719" s="13" t="n">
        <v>108</v>
      </c>
      <c r="K5719" s="14" t="n">
        <f aca="false">I5719*J5719</f>
        <v>3672</v>
      </c>
      <c r="L5719" s="14" t="n">
        <f aca="false">($L$2*M5719)/100</f>
        <v>540749.925</v>
      </c>
      <c r="M5719" s="15" t="n">
        <v>0.45</v>
      </c>
      <c r="N5719" s="9" t="s">
        <v>85</v>
      </c>
    </row>
    <row r="5720" customFormat="false" ht="14.25" hidden="false" customHeight="true" outlineLevel="0" collapsed="false">
      <c r="B5720" s="9" t="s">
        <v>32</v>
      </c>
      <c r="C5720" s="9" t="n">
        <v>1185732</v>
      </c>
      <c r="D5720" s="10" t="n">
        <v>44358</v>
      </c>
      <c r="E5720" s="9" t="s">
        <v>33</v>
      </c>
      <c r="F5720" s="9" t="s">
        <v>80</v>
      </c>
      <c r="G5720" s="9" t="s">
        <v>81</v>
      </c>
      <c r="H5720" s="11" t="s">
        <v>25</v>
      </c>
      <c r="I5720" s="12" t="n">
        <v>38</v>
      </c>
      <c r="J5720" s="13" t="n">
        <v>150</v>
      </c>
      <c r="K5720" s="14" t="n">
        <f aca="false">I5720*J5720</f>
        <v>5700</v>
      </c>
      <c r="L5720" s="14" t="n">
        <f aca="false">($L$2*M5720)/100</f>
        <v>720999.9</v>
      </c>
      <c r="M5720" s="15" t="n">
        <v>0.6</v>
      </c>
      <c r="N5720" s="9" t="s">
        <v>85</v>
      </c>
    </row>
    <row r="5721" customFormat="false" ht="14.25" hidden="false" customHeight="true" outlineLevel="0" collapsed="false">
      <c r="B5721" s="9" t="s">
        <v>32</v>
      </c>
      <c r="C5721" s="9" t="n">
        <v>1185732</v>
      </c>
      <c r="D5721" s="10" t="n">
        <v>44387</v>
      </c>
      <c r="E5721" s="9" t="s">
        <v>33</v>
      </c>
      <c r="F5721" s="9" t="s">
        <v>80</v>
      </c>
      <c r="G5721" s="9" t="s">
        <v>81</v>
      </c>
      <c r="H5721" s="11" t="s">
        <v>19</v>
      </c>
      <c r="I5721" s="12" t="n">
        <v>34</v>
      </c>
      <c r="J5721" s="13" t="n">
        <v>224</v>
      </c>
      <c r="K5721" s="14" t="n">
        <f aca="false">I5721*J5721</f>
        <v>7616</v>
      </c>
      <c r="L5721" s="14" t="n">
        <f aca="false">($L$2*M5721)/100</f>
        <v>624866.58</v>
      </c>
      <c r="M5721" s="15" t="n">
        <v>0.52</v>
      </c>
      <c r="N5721" s="9" t="s">
        <v>85</v>
      </c>
    </row>
    <row r="5722" customFormat="false" ht="14.25" hidden="false" customHeight="true" outlineLevel="0" collapsed="false">
      <c r="B5722" s="9" t="s">
        <v>32</v>
      </c>
      <c r="C5722" s="9" t="n">
        <v>1185732</v>
      </c>
      <c r="D5722" s="10" t="n">
        <v>44387</v>
      </c>
      <c r="E5722" s="9" t="s">
        <v>33</v>
      </c>
      <c r="F5722" s="9" t="s">
        <v>80</v>
      </c>
      <c r="G5722" s="9" t="s">
        <v>81</v>
      </c>
      <c r="H5722" s="11" t="s">
        <v>21</v>
      </c>
      <c r="I5722" s="12" t="n">
        <v>29</v>
      </c>
      <c r="J5722" s="13" t="n">
        <v>160</v>
      </c>
      <c r="K5722" s="14" t="n">
        <f aca="false">I5722*J5722</f>
        <v>4640</v>
      </c>
      <c r="L5722" s="14" t="n">
        <f aca="false">($L$2*M5722)/100</f>
        <v>576799.92</v>
      </c>
      <c r="M5722" s="15" t="n">
        <v>0.48</v>
      </c>
      <c r="N5722" s="9" t="s">
        <v>85</v>
      </c>
    </row>
    <row r="5723" customFormat="false" ht="14.25" hidden="false" customHeight="true" outlineLevel="0" collapsed="false">
      <c r="B5723" s="9" t="s">
        <v>32</v>
      </c>
      <c r="C5723" s="9" t="n">
        <v>1185732</v>
      </c>
      <c r="D5723" s="10" t="n">
        <v>44387</v>
      </c>
      <c r="E5723" s="9" t="s">
        <v>33</v>
      </c>
      <c r="F5723" s="9" t="s">
        <v>80</v>
      </c>
      <c r="G5723" s="9" t="s">
        <v>81</v>
      </c>
      <c r="H5723" s="11" t="s">
        <v>22</v>
      </c>
      <c r="I5723" s="12" t="n">
        <v>24</v>
      </c>
      <c r="J5723" s="13" t="n">
        <v>138</v>
      </c>
      <c r="K5723" s="14" t="n">
        <f aca="false">I5723*J5723</f>
        <v>3312</v>
      </c>
      <c r="L5723" s="14" t="n">
        <f aca="false">($L$2*M5723)/100</f>
        <v>576799.92</v>
      </c>
      <c r="M5723" s="15" t="n">
        <v>0.48</v>
      </c>
      <c r="N5723" s="9" t="s">
        <v>85</v>
      </c>
    </row>
    <row r="5724" customFormat="false" ht="14.25" hidden="false" customHeight="true" outlineLevel="0" collapsed="false">
      <c r="B5724" s="9" t="s">
        <v>32</v>
      </c>
      <c r="C5724" s="9" t="n">
        <v>1185732</v>
      </c>
      <c r="D5724" s="10" t="n">
        <v>44387</v>
      </c>
      <c r="E5724" s="9" t="s">
        <v>33</v>
      </c>
      <c r="F5724" s="9" t="s">
        <v>80</v>
      </c>
      <c r="G5724" s="9" t="s">
        <v>81</v>
      </c>
      <c r="H5724" s="11" t="s">
        <v>23</v>
      </c>
      <c r="I5724" s="12" t="n">
        <v>23</v>
      </c>
      <c r="J5724" s="13" t="n">
        <v>115</v>
      </c>
      <c r="K5724" s="14" t="n">
        <f aca="false">I5724*J5724</f>
        <v>2645</v>
      </c>
      <c r="L5724" s="14" t="n">
        <f aca="false">($L$2*M5724)/100</f>
        <v>600833.25</v>
      </c>
      <c r="M5724" s="15" t="n">
        <v>0.5</v>
      </c>
      <c r="N5724" s="9" t="s">
        <v>85</v>
      </c>
    </row>
    <row r="5725" customFormat="false" ht="14.25" hidden="false" customHeight="true" outlineLevel="0" collapsed="false">
      <c r="B5725" s="9" t="s">
        <v>32</v>
      </c>
      <c r="C5725" s="9" t="n">
        <v>1185732</v>
      </c>
      <c r="D5725" s="10" t="n">
        <v>44387</v>
      </c>
      <c r="E5725" s="9" t="s">
        <v>33</v>
      </c>
      <c r="F5725" s="9" t="s">
        <v>80</v>
      </c>
      <c r="G5725" s="9" t="s">
        <v>81</v>
      </c>
      <c r="H5725" s="11" t="s">
        <v>24</v>
      </c>
      <c r="I5725" s="12" t="n">
        <v>32</v>
      </c>
      <c r="J5725" s="13" t="n">
        <v>128</v>
      </c>
      <c r="K5725" s="14" t="n">
        <f aca="false">I5725*J5725</f>
        <v>4096</v>
      </c>
      <c r="L5725" s="14" t="n">
        <f aca="false">($L$2*M5725)/100</f>
        <v>552766.59</v>
      </c>
      <c r="M5725" s="15" t="n">
        <v>0.46</v>
      </c>
      <c r="N5725" s="9" t="s">
        <v>85</v>
      </c>
    </row>
    <row r="5726" customFormat="false" ht="14.25" hidden="false" customHeight="true" outlineLevel="0" collapsed="false">
      <c r="B5726" s="9" t="s">
        <v>32</v>
      </c>
      <c r="C5726" s="9" t="n">
        <v>1185732</v>
      </c>
      <c r="D5726" s="10" t="n">
        <v>44387</v>
      </c>
      <c r="E5726" s="9" t="s">
        <v>33</v>
      </c>
      <c r="F5726" s="9" t="s">
        <v>80</v>
      </c>
      <c r="G5726" s="9" t="s">
        <v>81</v>
      </c>
      <c r="H5726" s="11" t="s">
        <v>25</v>
      </c>
      <c r="I5726" s="12" t="n">
        <v>38</v>
      </c>
      <c r="J5726" s="13" t="n">
        <v>150</v>
      </c>
      <c r="K5726" s="14" t="n">
        <f aca="false">I5726*J5726</f>
        <v>5700</v>
      </c>
      <c r="L5726" s="14" t="n">
        <f aca="false">($L$2*M5726)/100</f>
        <v>781083.225</v>
      </c>
      <c r="M5726" s="15" t="n">
        <v>0.65</v>
      </c>
      <c r="N5726" s="9" t="s">
        <v>85</v>
      </c>
    </row>
    <row r="5727" customFormat="false" ht="14.25" hidden="false" customHeight="true" outlineLevel="0" collapsed="false">
      <c r="B5727" s="9" t="s">
        <v>32</v>
      </c>
      <c r="C5727" s="9" t="n">
        <v>1185732</v>
      </c>
      <c r="D5727" s="10" t="n">
        <v>44419</v>
      </c>
      <c r="E5727" s="9" t="s">
        <v>33</v>
      </c>
      <c r="F5727" s="9" t="s">
        <v>80</v>
      </c>
      <c r="G5727" s="9" t="s">
        <v>81</v>
      </c>
      <c r="H5727" s="11" t="s">
        <v>19</v>
      </c>
      <c r="I5727" s="12" t="n">
        <v>33</v>
      </c>
      <c r="J5727" s="13" t="n">
        <v>203</v>
      </c>
      <c r="K5727" s="14" t="n">
        <f aca="false">I5727*J5727</f>
        <v>6699</v>
      </c>
      <c r="L5727" s="14" t="n">
        <f aca="false">($L$2*M5727)/100</f>
        <v>600833.25</v>
      </c>
      <c r="M5727" s="15" t="n">
        <v>0.5</v>
      </c>
      <c r="N5727" s="9" t="s">
        <v>85</v>
      </c>
    </row>
    <row r="5728" customFormat="false" ht="14.25" hidden="false" customHeight="true" outlineLevel="0" collapsed="false">
      <c r="B5728" s="9" t="s">
        <v>32</v>
      </c>
      <c r="C5728" s="9" t="n">
        <v>1185732</v>
      </c>
      <c r="D5728" s="10" t="n">
        <v>44419</v>
      </c>
      <c r="E5728" s="9" t="s">
        <v>33</v>
      </c>
      <c r="F5728" s="9" t="s">
        <v>80</v>
      </c>
      <c r="G5728" s="9" t="s">
        <v>81</v>
      </c>
      <c r="H5728" s="11" t="s">
        <v>21</v>
      </c>
      <c r="I5728" s="12" t="n">
        <v>34</v>
      </c>
      <c r="J5728" s="13" t="n">
        <v>131</v>
      </c>
      <c r="K5728" s="14" t="n">
        <f aca="false">I5728*J5728</f>
        <v>4454</v>
      </c>
      <c r="L5728" s="14" t="n">
        <f aca="false">($L$2*M5728)/100</f>
        <v>564783.255</v>
      </c>
      <c r="M5728" s="15" t="n">
        <v>0.47</v>
      </c>
      <c r="N5728" s="9" t="s">
        <v>85</v>
      </c>
    </row>
    <row r="5729" customFormat="false" ht="14.25" hidden="false" customHeight="true" outlineLevel="0" collapsed="false">
      <c r="B5729" s="9" t="s">
        <v>32</v>
      </c>
      <c r="C5729" s="9" t="n">
        <v>1185732</v>
      </c>
      <c r="D5729" s="10" t="n">
        <v>44419</v>
      </c>
      <c r="E5729" s="9" t="s">
        <v>33</v>
      </c>
      <c r="F5729" s="9" t="s">
        <v>80</v>
      </c>
      <c r="G5729" s="9" t="s">
        <v>81</v>
      </c>
      <c r="H5729" s="11" t="s">
        <v>22</v>
      </c>
      <c r="I5729" s="12" t="n">
        <v>29</v>
      </c>
      <c r="J5729" s="13" t="n">
        <v>113</v>
      </c>
      <c r="K5729" s="14" t="n">
        <f aca="false">I5729*J5729</f>
        <v>3277</v>
      </c>
      <c r="L5729" s="14" t="n">
        <f aca="false">($L$2*M5729)/100</f>
        <v>588816.585</v>
      </c>
      <c r="M5729" s="15" t="n">
        <v>0.49</v>
      </c>
      <c r="N5729" s="9" t="s">
        <v>85</v>
      </c>
    </row>
    <row r="5730" customFormat="false" ht="14.25" hidden="false" customHeight="true" outlineLevel="0" collapsed="false">
      <c r="B5730" s="9" t="s">
        <v>32</v>
      </c>
      <c r="C5730" s="9" t="n">
        <v>1185732</v>
      </c>
      <c r="D5730" s="10" t="n">
        <v>44419</v>
      </c>
      <c r="E5730" s="9" t="s">
        <v>33</v>
      </c>
      <c r="F5730" s="9" t="s">
        <v>80</v>
      </c>
      <c r="G5730" s="9" t="s">
        <v>81</v>
      </c>
      <c r="H5730" s="11" t="s">
        <v>23</v>
      </c>
      <c r="I5730" s="12" t="n">
        <v>19</v>
      </c>
      <c r="J5730" s="13" t="n">
        <v>101</v>
      </c>
      <c r="K5730" s="14" t="n">
        <f aca="false">I5730*J5730</f>
        <v>1919</v>
      </c>
      <c r="L5730" s="14" t="n">
        <f aca="false">($L$2*M5730)/100</f>
        <v>636883.245</v>
      </c>
      <c r="M5730" s="15" t="n">
        <v>0.53</v>
      </c>
      <c r="N5730" s="9" t="s">
        <v>85</v>
      </c>
    </row>
    <row r="5731" customFormat="false" ht="14.25" hidden="false" customHeight="true" outlineLevel="0" collapsed="false">
      <c r="B5731" s="9" t="s">
        <v>32</v>
      </c>
      <c r="C5731" s="9" t="n">
        <v>1185732</v>
      </c>
      <c r="D5731" s="10" t="n">
        <v>44419</v>
      </c>
      <c r="E5731" s="9" t="s">
        <v>33</v>
      </c>
      <c r="F5731" s="9" t="s">
        <v>80</v>
      </c>
      <c r="G5731" s="9" t="s">
        <v>81</v>
      </c>
      <c r="H5731" s="11" t="s">
        <v>24</v>
      </c>
      <c r="I5731" s="12" t="n">
        <v>29</v>
      </c>
      <c r="J5731" s="13" t="n">
        <v>105</v>
      </c>
      <c r="K5731" s="14" t="n">
        <f aca="false">I5731*J5731</f>
        <v>3045</v>
      </c>
      <c r="L5731" s="14" t="n">
        <f aca="false">($L$2*M5731)/100</f>
        <v>552766.59</v>
      </c>
      <c r="M5731" s="15" t="n">
        <v>0.46</v>
      </c>
      <c r="N5731" s="9" t="s">
        <v>85</v>
      </c>
    </row>
    <row r="5732" customFormat="false" ht="14.25" hidden="false" customHeight="true" outlineLevel="0" collapsed="false">
      <c r="B5732" s="9" t="s">
        <v>32</v>
      </c>
      <c r="C5732" s="9" t="n">
        <v>1185732</v>
      </c>
      <c r="D5732" s="10" t="n">
        <v>44419</v>
      </c>
      <c r="E5732" s="9" t="s">
        <v>33</v>
      </c>
      <c r="F5732" s="9" t="s">
        <v>80</v>
      </c>
      <c r="G5732" s="9" t="s">
        <v>81</v>
      </c>
      <c r="H5732" s="11" t="s">
        <v>25</v>
      </c>
      <c r="I5732" s="12" t="n">
        <v>32</v>
      </c>
      <c r="J5732" s="13" t="n">
        <v>152</v>
      </c>
      <c r="K5732" s="14" t="n">
        <f aca="false">I5732*J5732</f>
        <v>4864</v>
      </c>
      <c r="L5732" s="14" t="n">
        <f aca="false">($L$2*M5732)/100</f>
        <v>720999.9</v>
      </c>
      <c r="M5732" s="15" t="n">
        <v>0.6</v>
      </c>
      <c r="N5732" s="9" t="s">
        <v>85</v>
      </c>
    </row>
    <row r="5733" customFormat="false" ht="14.25" hidden="false" customHeight="true" outlineLevel="0" collapsed="false">
      <c r="B5733" s="9" t="s">
        <v>32</v>
      </c>
      <c r="C5733" s="9" t="n">
        <v>1185732</v>
      </c>
      <c r="D5733" s="10" t="n">
        <v>44451</v>
      </c>
      <c r="E5733" s="9" t="s">
        <v>33</v>
      </c>
      <c r="F5733" s="9" t="s">
        <v>80</v>
      </c>
      <c r="G5733" s="9" t="s">
        <v>81</v>
      </c>
      <c r="H5733" s="11" t="s">
        <v>19</v>
      </c>
      <c r="I5733" s="12" t="n">
        <v>29</v>
      </c>
      <c r="J5733" s="13" t="n">
        <v>169</v>
      </c>
      <c r="K5733" s="14" t="n">
        <f aca="false">I5733*J5733</f>
        <v>4901</v>
      </c>
      <c r="L5733" s="14" t="n">
        <f aca="false">($L$2*M5733)/100</f>
        <v>624866.58</v>
      </c>
      <c r="M5733" s="15" t="n">
        <v>0.52</v>
      </c>
      <c r="N5733" s="9" t="s">
        <v>85</v>
      </c>
    </row>
    <row r="5734" customFormat="false" ht="14.25" hidden="false" customHeight="true" outlineLevel="0" collapsed="false">
      <c r="B5734" s="9" t="s">
        <v>32</v>
      </c>
      <c r="C5734" s="9" t="n">
        <v>1185732</v>
      </c>
      <c r="D5734" s="10" t="n">
        <v>44451</v>
      </c>
      <c r="E5734" s="9" t="s">
        <v>33</v>
      </c>
      <c r="F5734" s="9" t="s">
        <v>80</v>
      </c>
      <c r="G5734" s="9" t="s">
        <v>81</v>
      </c>
      <c r="H5734" s="11" t="s">
        <v>21</v>
      </c>
      <c r="I5734" s="12" t="n">
        <v>23</v>
      </c>
      <c r="J5734" s="13" t="n">
        <v>122</v>
      </c>
      <c r="K5734" s="14" t="n">
        <f aca="false">I5734*J5734</f>
        <v>2806</v>
      </c>
      <c r="L5734" s="14" t="n">
        <f aca="false">($L$2*M5734)/100</f>
        <v>540749.925</v>
      </c>
      <c r="M5734" s="15" t="n">
        <v>0.45</v>
      </c>
      <c r="N5734" s="9" t="s">
        <v>85</v>
      </c>
    </row>
    <row r="5735" customFormat="false" ht="14.25" hidden="false" customHeight="true" outlineLevel="0" collapsed="false">
      <c r="B5735" s="9" t="s">
        <v>32</v>
      </c>
      <c r="C5735" s="9" t="n">
        <v>1185732</v>
      </c>
      <c r="D5735" s="10" t="n">
        <v>44451</v>
      </c>
      <c r="E5735" s="9" t="s">
        <v>33</v>
      </c>
      <c r="F5735" s="9" t="s">
        <v>80</v>
      </c>
      <c r="G5735" s="9" t="s">
        <v>81</v>
      </c>
      <c r="H5735" s="11" t="s">
        <v>22</v>
      </c>
      <c r="I5735" s="12" t="n">
        <v>9</v>
      </c>
      <c r="J5735" s="13" t="n">
        <v>91</v>
      </c>
      <c r="K5735" s="14" t="n">
        <f aca="false">I5735*J5735</f>
        <v>819</v>
      </c>
      <c r="L5735" s="14" t="n">
        <f aca="false">($L$2*M5735)/100</f>
        <v>600833.25</v>
      </c>
      <c r="M5735" s="15" t="n">
        <v>0.5</v>
      </c>
      <c r="N5735" s="9" t="s">
        <v>85</v>
      </c>
    </row>
    <row r="5736" customFormat="false" ht="14.25" hidden="false" customHeight="true" outlineLevel="0" collapsed="false">
      <c r="B5736" s="9" t="s">
        <v>32</v>
      </c>
      <c r="C5736" s="9" t="n">
        <v>1185732</v>
      </c>
      <c r="D5736" s="10" t="n">
        <v>44451</v>
      </c>
      <c r="E5736" s="9" t="s">
        <v>33</v>
      </c>
      <c r="F5736" s="9" t="s">
        <v>80</v>
      </c>
      <c r="G5736" s="9" t="s">
        <v>81</v>
      </c>
      <c r="H5736" s="11" t="s">
        <v>23</v>
      </c>
      <c r="I5736" s="12" t="n">
        <v>10</v>
      </c>
      <c r="J5736" s="13" t="n">
        <v>88</v>
      </c>
      <c r="K5736" s="14" t="n">
        <f aca="false">I5736*J5736</f>
        <v>880</v>
      </c>
      <c r="L5736" s="14" t="n">
        <f aca="false">($L$2*M5736)/100</f>
        <v>612849.915</v>
      </c>
      <c r="M5736" s="15" t="n">
        <v>0.51</v>
      </c>
      <c r="N5736" s="9" t="s">
        <v>85</v>
      </c>
    </row>
    <row r="5737" customFormat="false" ht="14.25" hidden="false" customHeight="true" outlineLevel="0" collapsed="false">
      <c r="B5737" s="9" t="s">
        <v>32</v>
      </c>
      <c r="C5737" s="9" t="n">
        <v>1185732</v>
      </c>
      <c r="D5737" s="10" t="n">
        <v>44451</v>
      </c>
      <c r="E5737" s="9" t="s">
        <v>33</v>
      </c>
      <c r="F5737" s="9" t="s">
        <v>80</v>
      </c>
      <c r="G5737" s="9" t="s">
        <v>81</v>
      </c>
      <c r="H5737" s="11" t="s">
        <v>24</v>
      </c>
      <c r="I5737" s="12" t="n">
        <v>19</v>
      </c>
      <c r="J5737" s="13" t="n">
        <v>88</v>
      </c>
      <c r="K5737" s="14" t="n">
        <f aca="false">I5737*J5737</f>
        <v>1672</v>
      </c>
      <c r="L5737" s="14" t="n">
        <f aca="false">($L$2*M5737)/100</f>
        <v>600833.25</v>
      </c>
      <c r="M5737" s="15" t="n">
        <v>0.5</v>
      </c>
      <c r="N5737" s="9" t="s">
        <v>85</v>
      </c>
    </row>
    <row r="5738" customFormat="false" ht="14.25" hidden="false" customHeight="true" outlineLevel="0" collapsed="false">
      <c r="B5738" s="9" t="s">
        <v>32</v>
      </c>
      <c r="C5738" s="9" t="n">
        <v>1185732</v>
      </c>
      <c r="D5738" s="10" t="n">
        <v>44451</v>
      </c>
      <c r="E5738" s="9" t="s">
        <v>33</v>
      </c>
      <c r="F5738" s="9" t="s">
        <v>80</v>
      </c>
      <c r="G5738" s="9" t="s">
        <v>81</v>
      </c>
      <c r="H5738" s="11" t="s">
        <v>25</v>
      </c>
      <c r="I5738" s="12" t="n">
        <v>24</v>
      </c>
      <c r="J5738" s="13" t="n">
        <v>120</v>
      </c>
      <c r="K5738" s="14" t="n">
        <f aca="false">I5738*J5738</f>
        <v>2880</v>
      </c>
      <c r="L5738" s="14" t="n">
        <f aca="false">($L$2*M5738)/100</f>
        <v>769066.56</v>
      </c>
      <c r="M5738" s="15" t="n">
        <v>0.64</v>
      </c>
      <c r="N5738" s="9" t="s">
        <v>85</v>
      </c>
    </row>
    <row r="5739" customFormat="false" ht="14.25" hidden="false" customHeight="true" outlineLevel="0" collapsed="false">
      <c r="B5739" s="9" t="s">
        <v>32</v>
      </c>
      <c r="C5739" s="9" t="n">
        <v>1185732</v>
      </c>
      <c r="D5739" s="10" t="n">
        <v>44480</v>
      </c>
      <c r="E5739" s="9" t="s">
        <v>33</v>
      </c>
      <c r="F5739" s="9" t="s">
        <v>80</v>
      </c>
      <c r="G5739" s="9" t="s">
        <v>81</v>
      </c>
      <c r="H5739" s="11" t="s">
        <v>19</v>
      </c>
      <c r="I5739" s="12" t="n">
        <v>28</v>
      </c>
      <c r="J5739" s="13" t="n">
        <v>173</v>
      </c>
      <c r="K5739" s="14" t="n">
        <f aca="false">I5739*J5739</f>
        <v>4844</v>
      </c>
      <c r="L5739" s="14" t="n">
        <f aca="false">($L$2*M5739)/100</f>
        <v>612849.915</v>
      </c>
      <c r="M5739" s="15" t="n">
        <v>0.51</v>
      </c>
      <c r="N5739" s="9" t="s">
        <v>85</v>
      </c>
    </row>
    <row r="5740" customFormat="false" ht="14.25" hidden="false" customHeight="true" outlineLevel="0" collapsed="false">
      <c r="B5740" s="9" t="s">
        <v>32</v>
      </c>
      <c r="C5740" s="9" t="n">
        <v>1185732</v>
      </c>
      <c r="D5740" s="10" t="n">
        <v>44480</v>
      </c>
      <c r="E5740" s="9" t="s">
        <v>33</v>
      </c>
      <c r="F5740" s="9" t="s">
        <v>80</v>
      </c>
      <c r="G5740" s="9" t="s">
        <v>81</v>
      </c>
      <c r="H5740" s="11" t="s">
        <v>21</v>
      </c>
      <c r="I5740" s="12" t="n">
        <v>19</v>
      </c>
      <c r="J5740" s="13" t="n">
        <v>100</v>
      </c>
      <c r="K5740" s="14" t="n">
        <f aca="false">I5740*J5740</f>
        <v>1900</v>
      </c>
      <c r="L5740" s="14" t="n">
        <f aca="false">($L$2*M5740)/100</f>
        <v>600833.25</v>
      </c>
      <c r="M5740" s="15" t="n">
        <v>0.5</v>
      </c>
      <c r="N5740" s="9" t="s">
        <v>85</v>
      </c>
    </row>
    <row r="5741" customFormat="false" ht="14.25" hidden="false" customHeight="true" outlineLevel="0" collapsed="false">
      <c r="B5741" s="9" t="s">
        <v>32</v>
      </c>
      <c r="C5741" s="9" t="n">
        <v>1185732</v>
      </c>
      <c r="D5741" s="10" t="n">
        <v>44480</v>
      </c>
      <c r="E5741" s="9" t="s">
        <v>33</v>
      </c>
      <c r="F5741" s="9" t="s">
        <v>80</v>
      </c>
      <c r="G5741" s="9" t="s">
        <v>81</v>
      </c>
      <c r="H5741" s="11" t="s">
        <v>22</v>
      </c>
      <c r="I5741" s="12" t="n">
        <v>19</v>
      </c>
      <c r="J5741" s="13" t="n">
        <v>87</v>
      </c>
      <c r="K5741" s="14" t="n">
        <f aca="false">I5741*J5741</f>
        <v>1653</v>
      </c>
      <c r="L5741" s="14" t="n">
        <f aca="false">($L$2*M5741)/100</f>
        <v>588816.585</v>
      </c>
      <c r="M5741" s="15" t="n">
        <v>0.49</v>
      </c>
      <c r="N5741" s="9" t="s">
        <v>85</v>
      </c>
    </row>
    <row r="5742" customFormat="false" ht="14.25" hidden="false" customHeight="true" outlineLevel="0" collapsed="false">
      <c r="B5742" s="9" t="s">
        <v>32</v>
      </c>
      <c r="C5742" s="9" t="n">
        <v>1185732</v>
      </c>
      <c r="D5742" s="10" t="n">
        <v>44480</v>
      </c>
      <c r="E5742" s="9" t="s">
        <v>33</v>
      </c>
      <c r="F5742" s="9" t="s">
        <v>80</v>
      </c>
      <c r="G5742" s="9" t="s">
        <v>81</v>
      </c>
      <c r="H5742" s="11" t="s">
        <v>23</v>
      </c>
      <c r="I5742" s="12" t="n">
        <v>19</v>
      </c>
      <c r="J5742" s="13" t="n">
        <v>72</v>
      </c>
      <c r="K5742" s="14" t="n">
        <f aca="false">I5742*J5742</f>
        <v>1368</v>
      </c>
      <c r="L5742" s="14" t="n">
        <f aca="false">($L$2*M5742)/100</f>
        <v>660916.575</v>
      </c>
      <c r="M5742" s="15" t="n">
        <v>0.55</v>
      </c>
      <c r="N5742" s="9" t="s">
        <v>85</v>
      </c>
    </row>
    <row r="5743" customFormat="false" ht="14.25" hidden="false" customHeight="true" outlineLevel="0" collapsed="false">
      <c r="B5743" s="9" t="s">
        <v>32</v>
      </c>
      <c r="C5743" s="9" t="n">
        <v>1185732</v>
      </c>
      <c r="D5743" s="10" t="n">
        <v>44480</v>
      </c>
      <c r="E5743" s="9" t="s">
        <v>33</v>
      </c>
      <c r="F5743" s="9" t="s">
        <v>80</v>
      </c>
      <c r="G5743" s="9" t="s">
        <v>81</v>
      </c>
      <c r="H5743" s="11" t="s">
        <v>24</v>
      </c>
      <c r="I5743" s="12" t="n">
        <v>29</v>
      </c>
      <c r="J5743" s="13" t="n">
        <v>83</v>
      </c>
      <c r="K5743" s="14" t="n">
        <f aca="false">I5743*J5743</f>
        <v>2407</v>
      </c>
      <c r="L5743" s="14" t="n">
        <f aca="false">($L$2*M5743)/100</f>
        <v>600833.25</v>
      </c>
      <c r="M5743" s="15" t="n">
        <v>0.5</v>
      </c>
      <c r="N5743" s="9" t="s">
        <v>85</v>
      </c>
    </row>
    <row r="5744" customFormat="false" ht="14.25" hidden="false" customHeight="true" outlineLevel="0" collapsed="false">
      <c r="B5744" s="9" t="s">
        <v>32</v>
      </c>
      <c r="C5744" s="9" t="n">
        <v>1185732</v>
      </c>
      <c r="D5744" s="10" t="n">
        <v>44480</v>
      </c>
      <c r="E5744" s="9" t="s">
        <v>33</v>
      </c>
      <c r="F5744" s="9" t="s">
        <v>80</v>
      </c>
      <c r="G5744" s="9" t="s">
        <v>81</v>
      </c>
      <c r="H5744" s="11" t="s">
        <v>25</v>
      </c>
      <c r="I5744" s="12" t="n">
        <v>32</v>
      </c>
      <c r="J5744" s="13" t="n">
        <v>104</v>
      </c>
      <c r="K5744" s="14" t="n">
        <f aca="false">I5744*J5744</f>
        <v>3328</v>
      </c>
      <c r="L5744" s="14" t="n">
        <f aca="false">($L$2*M5744)/100</f>
        <v>745033.23</v>
      </c>
      <c r="M5744" s="15" t="n">
        <v>0.62</v>
      </c>
      <c r="N5744" s="9" t="s">
        <v>85</v>
      </c>
    </row>
    <row r="5745" customFormat="false" ht="14.25" hidden="false" customHeight="true" outlineLevel="0" collapsed="false">
      <c r="B5745" s="9" t="s">
        <v>32</v>
      </c>
      <c r="C5745" s="9" t="n">
        <v>1185732</v>
      </c>
      <c r="D5745" s="10" t="n">
        <v>44511</v>
      </c>
      <c r="E5745" s="9" t="s">
        <v>33</v>
      </c>
      <c r="F5745" s="9" t="s">
        <v>80</v>
      </c>
      <c r="G5745" s="9" t="s">
        <v>81</v>
      </c>
      <c r="H5745" s="11" t="s">
        <v>19</v>
      </c>
      <c r="I5745" s="12" t="n">
        <v>29</v>
      </c>
      <c r="J5745" s="13" t="n">
        <v>149</v>
      </c>
      <c r="K5745" s="14" t="n">
        <f aca="false">I5745*J5745</f>
        <v>4321</v>
      </c>
      <c r="L5745" s="14" t="n">
        <f aca="false">($L$2*M5745)/100</f>
        <v>600833.25</v>
      </c>
      <c r="M5745" s="15" t="n">
        <v>0.5</v>
      </c>
      <c r="N5745" s="9" t="s">
        <v>85</v>
      </c>
    </row>
    <row r="5746" customFormat="false" ht="14.25" hidden="false" customHeight="true" outlineLevel="0" collapsed="false">
      <c r="B5746" s="9" t="s">
        <v>32</v>
      </c>
      <c r="C5746" s="9" t="n">
        <v>1185732</v>
      </c>
      <c r="D5746" s="10" t="n">
        <v>44511</v>
      </c>
      <c r="E5746" s="9" t="s">
        <v>33</v>
      </c>
      <c r="F5746" s="9" t="s">
        <v>80</v>
      </c>
      <c r="G5746" s="9" t="s">
        <v>81</v>
      </c>
      <c r="H5746" s="11" t="s">
        <v>21</v>
      </c>
      <c r="I5746" s="12" t="n">
        <v>20</v>
      </c>
      <c r="J5746" s="13" t="n">
        <v>108</v>
      </c>
      <c r="K5746" s="14" t="n">
        <f aca="false">I5746*J5746</f>
        <v>2160</v>
      </c>
      <c r="L5746" s="14" t="n">
        <f aca="false">($L$2*M5746)/100</f>
        <v>552766.59</v>
      </c>
      <c r="M5746" s="15" t="n">
        <v>0.46</v>
      </c>
      <c r="N5746" s="9" t="s">
        <v>85</v>
      </c>
    </row>
    <row r="5747" customFormat="false" ht="14.25" hidden="false" customHeight="true" outlineLevel="0" collapsed="false">
      <c r="B5747" s="9" t="s">
        <v>32</v>
      </c>
      <c r="C5747" s="9" t="n">
        <v>1185732</v>
      </c>
      <c r="D5747" s="10" t="n">
        <v>44511</v>
      </c>
      <c r="E5747" s="9" t="s">
        <v>33</v>
      </c>
      <c r="F5747" s="9" t="s">
        <v>80</v>
      </c>
      <c r="G5747" s="9" t="s">
        <v>81</v>
      </c>
      <c r="H5747" s="11" t="s">
        <v>22</v>
      </c>
      <c r="I5747" s="12" t="n">
        <v>19</v>
      </c>
      <c r="J5747" s="13" t="n">
        <v>93</v>
      </c>
      <c r="K5747" s="14" t="n">
        <f aca="false">I5747*J5747</f>
        <v>1767</v>
      </c>
      <c r="L5747" s="14" t="n">
        <f aca="false">($L$2*M5747)/100</f>
        <v>576799.92</v>
      </c>
      <c r="M5747" s="15" t="n">
        <v>0.48</v>
      </c>
      <c r="N5747" s="9" t="s">
        <v>85</v>
      </c>
    </row>
    <row r="5748" customFormat="false" ht="14.25" hidden="false" customHeight="true" outlineLevel="0" collapsed="false">
      <c r="B5748" s="9" t="s">
        <v>32</v>
      </c>
      <c r="C5748" s="9" t="n">
        <v>1185732</v>
      </c>
      <c r="D5748" s="10" t="n">
        <v>44511</v>
      </c>
      <c r="E5748" s="9" t="s">
        <v>33</v>
      </c>
      <c r="F5748" s="9" t="s">
        <v>80</v>
      </c>
      <c r="G5748" s="9" t="s">
        <v>81</v>
      </c>
      <c r="H5748" s="11" t="s">
        <v>23</v>
      </c>
      <c r="I5748" s="12" t="n">
        <v>19</v>
      </c>
      <c r="J5748" s="13" t="n">
        <v>113</v>
      </c>
      <c r="K5748" s="14" t="n">
        <f aca="false">I5748*J5748</f>
        <v>2147</v>
      </c>
      <c r="L5748" s="14" t="n">
        <f aca="false">($L$2*M5748)/100</f>
        <v>612849.915</v>
      </c>
      <c r="M5748" s="15" t="n">
        <v>0.51</v>
      </c>
      <c r="N5748" s="9" t="s">
        <v>85</v>
      </c>
    </row>
    <row r="5749" customFormat="false" ht="14.25" hidden="false" customHeight="true" outlineLevel="0" collapsed="false">
      <c r="B5749" s="9" t="s">
        <v>32</v>
      </c>
      <c r="C5749" s="9" t="n">
        <v>1185732</v>
      </c>
      <c r="D5749" s="10" t="n">
        <v>44511</v>
      </c>
      <c r="E5749" s="9" t="s">
        <v>33</v>
      </c>
      <c r="F5749" s="9" t="s">
        <v>80</v>
      </c>
      <c r="G5749" s="9" t="s">
        <v>81</v>
      </c>
      <c r="H5749" s="11" t="s">
        <v>24</v>
      </c>
      <c r="I5749" s="12" t="n">
        <v>39</v>
      </c>
      <c r="J5749" s="13" t="n">
        <v>91</v>
      </c>
      <c r="K5749" s="14" t="n">
        <f aca="false">I5749*J5749</f>
        <v>3549</v>
      </c>
      <c r="L5749" s="14" t="n">
        <f aca="false">($L$2*M5749)/100</f>
        <v>588816.585</v>
      </c>
      <c r="M5749" s="15" t="n">
        <v>0.49</v>
      </c>
      <c r="N5749" s="9" t="s">
        <v>85</v>
      </c>
    </row>
    <row r="5750" customFormat="false" ht="14.25" hidden="false" customHeight="true" outlineLevel="0" collapsed="false">
      <c r="B5750" s="9" t="s">
        <v>32</v>
      </c>
      <c r="C5750" s="9" t="n">
        <v>1185732</v>
      </c>
      <c r="D5750" s="10" t="n">
        <v>44511</v>
      </c>
      <c r="E5750" s="9" t="s">
        <v>33</v>
      </c>
      <c r="F5750" s="9" t="s">
        <v>80</v>
      </c>
      <c r="G5750" s="9" t="s">
        <v>81</v>
      </c>
      <c r="H5750" s="11" t="s">
        <v>25</v>
      </c>
      <c r="I5750" s="12" t="n">
        <v>43</v>
      </c>
      <c r="J5750" s="13" t="n">
        <v>113</v>
      </c>
      <c r="K5750" s="14" t="n">
        <f aca="false">I5750*J5750</f>
        <v>4859</v>
      </c>
      <c r="L5750" s="14" t="n">
        <f aca="false">($L$2*M5750)/100</f>
        <v>781083.225</v>
      </c>
      <c r="M5750" s="15" t="n">
        <v>0.65</v>
      </c>
      <c r="N5750" s="9" t="s">
        <v>85</v>
      </c>
    </row>
    <row r="5751" customFormat="false" ht="14.25" hidden="false" customHeight="true" outlineLevel="0" collapsed="false">
      <c r="B5751" s="9" t="s">
        <v>32</v>
      </c>
      <c r="C5751" s="9" t="n">
        <v>1185732</v>
      </c>
      <c r="D5751" s="10" t="n">
        <v>44540</v>
      </c>
      <c r="E5751" s="9" t="s">
        <v>33</v>
      </c>
      <c r="F5751" s="9" t="s">
        <v>80</v>
      </c>
      <c r="G5751" s="9" t="s">
        <v>81</v>
      </c>
      <c r="H5751" s="11" t="s">
        <v>19</v>
      </c>
      <c r="I5751" s="12" t="n">
        <v>39</v>
      </c>
      <c r="J5751" s="13" t="n">
        <v>203</v>
      </c>
      <c r="K5751" s="14" t="n">
        <f aca="false">I5751*J5751</f>
        <v>7917</v>
      </c>
      <c r="L5751" s="14" t="n">
        <f aca="false">($L$2*M5751)/100</f>
        <v>660916.575</v>
      </c>
      <c r="M5751" s="15" t="n">
        <v>0.55</v>
      </c>
      <c r="N5751" s="9" t="s">
        <v>85</v>
      </c>
    </row>
    <row r="5752" customFormat="false" ht="14.25" hidden="false" customHeight="true" outlineLevel="0" collapsed="false">
      <c r="B5752" s="9" t="s">
        <v>32</v>
      </c>
      <c r="C5752" s="9" t="n">
        <v>1185732</v>
      </c>
      <c r="D5752" s="10" t="n">
        <v>44540</v>
      </c>
      <c r="E5752" s="9" t="s">
        <v>33</v>
      </c>
      <c r="F5752" s="9" t="s">
        <v>80</v>
      </c>
      <c r="G5752" s="9" t="s">
        <v>81</v>
      </c>
      <c r="H5752" s="11" t="s">
        <v>21</v>
      </c>
      <c r="I5752" s="12" t="n">
        <v>28</v>
      </c>
      <c r="J5752" s="13" t="n">
        <v>145</v>
      </c>
      <c r="K5752" s="14" t="n">
        <f aca="false">I5752*J5752</f>
        <v>4060</v>
      </c>
      <c r="L5752" s="14" t="n">
        <f aca="false">($L$2*M5752)/100</f>
        <v>588816.585</v>
      </c>
      <c r="M5752" s="15" t="n">
        <v>0.49</v>
      </c>
      <c r="N5752" s="9" t="s">
        <v>85</v>
      </c>
    </row>
    <row r="5753" customFormat="false" ht="14.25" hidden="false" customHeight="true" outlineLevel="0" collapsed="false">
      <c r="B5753" s="9" t="s">
        <v>32</v>
      </c>
      <c r="C5753" s="9" t="n">
        <v>1185732</v>
      </c>
      <c r="D5753" s="10" t="n">
        <v>44540</v>
      </c>
      <c r="E5753" s="9" t="s">
        <v>33</v>
      </c>
      <c r="F5753" s="9" t="s">
        <v>80</v>
      </c>
      <c r="G5753" s="9" t="s">
        <v>81</v>
      </c>
      <c r="H5753" s="11" t="s">
        <v>22</v>
      </c>
      <c r="I5753" s="12" t="n">
        <v>29</v>
      </c>
      <c r="J5753" s="13" t="n">
        <v>113</v>
      </c>
      <c r="K5753" s="14" t="n">
        <f aca="false">I5753*J5753</f>
        <v>3277</v>
      </c>
      <c r="L5753" s="14" t="n">
        <f aca="false">($L$2*M5753)/100</f>
        <v>564783.255</v>
      </c>
      <c r="M5753" s="15" t="n">
        <v>0.47</v>
      </c>
      <c r="N5753" s="9" t="s">
        <v>85</v>
      </c>
    </row>
    <row r="5754" customFormat="false" ht="14.25" hidden="false" customHeight="true" outlineLevel="0" collapsed="false">
      <c r="B5754" s="9" t="s">
        <v>32</v>
      </c>
      <c r="C5754" s="9" t="n">
        <v>1185732</v>
      </c>
      <c r="D5754" s="10" t="n">
        <v>44540</v>
      </c>
      <c r="E5754" s="9" t="s">
        <v>33</v>
      </c>
      <c r="F5754" s="9" t="s">
        <v>80</v>
      </c>
      <c r="G5754" s="9" t="s">
        <v>81</v>
      </c>
      <c r="H5754" s="11" t="s">
        <v>23</v>
      </c>
      <c r="I5754" s="12" t="n">
        <v>27</v>
      </c>
      <c r="J5754" s="13" t="n">
        <v>112</v>
      </c>
      <c r="K5754" s="14" t="n">
        <f aca="false">I5754*J5754</f>
        <v>3024</v>
      </c>
      <c r="L5754" s="14" t="n">
        <f aca="false">($L$2*M5754)/100</f>
        <v>612849.915</v>
      </c>
      <c r="M5754" s="15" t="n">
        <v>0.51</v>
      </c>
      <c r="N5754" s="9" t="s">
        <v>85</v>
      </c>
    </row>
    <row r="5755" customFormat="false" ht="14.25" hidden="false" customHeight="true" outlineLevel="0" collapsed="false">
      <c r="B5755" s="9" t="s">
        <v>32</v>
      </c>
      <c r="C5755" s="9" t="n">
        <v>1185732</v>
      </c>
      <c r="D5755" s="10" t="n">
        <v>44540</v>
      </c>
      <c r="E5755" s="9" t="s">
        <v>33</v>
      </c>
      <c r="F5755" s="9" t="s">
        <v>80</v>
      </c>
      <c r="G5755" s="9" t="s">
        <v>81</v>
      </c>
      <c r="H5755" s="11" t="s">
        <v>24</v>
      </c>
      <c r="I5755" s="12" t="n">
        <v>38</v>
      </c>
      <c r="J5755" s="13" t="n">
        <v>112</v>
      </c>
      <c r="K5755" s="14" t="n">
        <f aca="false">I5755*J5755</f>
        <v>4256</v>
      </c>
      <c r="L5755" s="14" t="n">
        <f aca="false">($L$2*M5755)/100</f>
        <v>600833.25</v>
      </c>
      <c r="M5755" s="15" t="n">
        <v>0.5</v>
      </c>
      <c r="N5755" s="9" t="s">
        <v>85</v>
      </c>
    </row>
    <row r="5756" customFormat="false" ht="14.25" hidden="false" customHeight="true" outlineLevel="0" collapsed="false">
      <c r="B5756" s="9" t="s">
        <v>32</v>
      </c>
      <c r="C5756" s="9" t="n">
        <v>1185732</v>
      </c>
      <c r="D5756" s="10" t="n">
        <v>44540</v>
      </c>
      <c r="E5756" s="9" t="s">
        <v>33</v>
      </c>
      <c r="F5756" s="9" t="s">
        <v>80</v>
      </c>
      <c r="G5756" s="9" t="s">
        <v>81</v>
      </c>
      <c r="H5756" s="11" t="s">
        <v>25</v>
      </c>
      <c r="I5756" s="12" t="n">
        <v>42</v>
      </c>
      <c r="J5756" s="13" t="n">
        <v>125</v>
      </c>
      <c r="K5756" s="14" t="n">
        <f aca="false">I5756*J5756</f>
        <v>5250</v>
      </c>
      <c r="L5756" s="14" t="n">
        <f aca="false">($L$2*M5756)/100</f>
        <v>733016.565</v>
      </c>
      <c r="M5756" s="15" t="n">
        <v>0.61</v>
      </c>
      <c r="N5756" s="9" t="s">
        <v>85</v>
      </c>
    </row>
    <row r="5757" customFormat="false" ht="14.25" hidden="false" customHeight="true" outlineLevel="0" collapsed="false">
      <c r="B5757" s="9" t="s">
        <v>32</v>
      </c>
      <c r="C5757" s="9" t="n">
        <v>1128299</v>
      </c>
      <c r="D5757" s="10" t="n">
        <v>44220</v>
      </c>
      <c r="E5757" s="9" t="s">
        <v>33</v>
      </c>
      <c r="F5757" s="9" t="s">
        <v>80</v>
      </c>
      <c r="G5757" s="9" t="s">
        <v>81</v>
      </c>
      <c r="H5757" s="11" t="s">
        <v>19</v>
      </c>
      <c r="I5757" s="12" t="n">
        <v>27</v>
      </c>
      <c r="J5757" s="13" t="n">
        <v>98</v>
      </c>
      <c r="K5757" s="14" t="n">
        <f aca="false">I5757*J5757</f>
        <v>2646</v>
      </c>
      <c r="L5757" s="14" t="n">
        <f aca="false">($L$2*M5757)/100</f>
        <v>576799.92</v>
      </c>
      <c r="M5757" s="15" t="n">
        <v>0.48</v>
      </c>
      <c r="N5757" s="9" t="s">
        <v>85</v>
      </c>
    </row>
    <row r="5758" customFormat="false" ht="14.25" hidden="false" customHeight="true" outlineLevel="0" collapsed="false">
      <c r="B5758" s="9" t="s">
        <v>32</v>
      </c>
      <c r="C5758" s="9" t="n">
        <v>1128299</v>
      </c>
      <c r="D5758" s="10" t="n">
        <v>44220</v>
      </c>
      <c r="E5758" s="9" t="s">
        <v>33</v>
      </c>
      <c r="F5758" s="9" t="s">
        <v>80</v>
      </c>
      <c r="G5758" s="9" t="s">
        <v>81</v>
      </c>
      <c r="H5758" s="11" t="s">
        <v>21</v>
      </c>
      <c r="I5758" s="12" t="n">
        <v>39</v>
      </c>
      <c r="J5758" s="13" t="n">
        <v>105</v>
      </c>
      <c r="K5758" s="14" t="n">
        <f aca="false">I5758*J5758</f>
        <v>4095</v>
      </c>
      <c r="L5758" s="14" t="n">
        <f aca="false">($L$2*M5758)/100</f>
        <v>588816.585</v>
      </c>
      <c r="M5758" s="15" t="n">
        <v>0.49</v>
      </c>
      <c r="N5758" s="9" t="s">
        <v>85</v>
      </c>
    </row>
    <row r="5759" customFormat="false" ht="14.25" hidden="false" customHeight="true" outlineLevel="0" collapsed="false">
      <c r="B5759" s="9" t="s">
        <v>32</v>
      </c>
      <c r="C5759" s="9" t="n">
        <v>1128299</v>
      </c>
      <c r="D5759" s="10" t="n">
        <v>44220</v>
      </c>
      <c r="E5759" s="9" t="s">
        <v>33</v>
      </c>
      <c r="F5759" s="9" t="s">
        <v>80</v>
      </c>
      <c r="G5759" s="9" t="s">
        <v>81</v>
      </c>
      <c r="H5759" s="11" t="s">
        <v>22</v>
      </c>
      <c r="I5759" s="12" t="n">
        <v>39</v>
      </c>
      <c r="J5759" s="13" t="n">
        <v>105</v>
      </c>
      <c r="K5759" s="14" t="n">
        <f aca="false">I5759*J5759</f>
        <v>4095</v>
      </c>
      <c r="L5759" s="14" t="n">
        <f aca="false">($L$2*M5759)/100</f>
        <v>576799.92</v>
      </c>
      <c r="M5759" s="15" t="n">
        <v>0.48</v>
      </c>
      <c r="N5759" s="9" t="s">
        <v>85</v>
      </c>
    </row>
    <row r="5760" customFormat="false" ht="14.25" hidden="false" customHeight="true" outlineLevel="0" collapsed="false">
      <c r="B5760" s="9" t="s">
        <v>32</v>
      </c>
      <c r="C5760" s="9" t="n">
        <v>1128299</v>
      </c>
      <c r="D5760" s="10" t="n">
        <v>44220</v>
      </c>
      <c r="E5760" s="9" t="s">
        <v>33</v>
      </c>
      <c r="F5760" s="9" t="s">
        <v>80</v>
      </c>
      <c r="G5760" s="9" t="s">
        <v>81</v>
      </c>
      <c r="H5760" s="11" t="s">
        <v>23</v>
      </c>
      <c r="I5760" s="12" t="n">
        <v>39</v>
      </c>
      <c r="J5760" s="13" t="n">
        <v>58</v>
      </c>
      <c r="K5760" s="14" t="n">
        <f aca="false">I5760*J5760</f>
        <v>2262</v>
      </c>
      <c r="L5760" s="14" t="n">
        <f aca="false">($L$2*M5760)/100</f>
        <v>552766.59</v>
      </c>
      <c r="M5760" s="15" t="n">
        <v>0.46</v>
      </c>
      <c r="N5760" s="9" t="s">
        <v>85</v>
      </c>
    </row>
    <row r="5761" customFormat="false" ht="14.25" hidden="false" customHeight="true" outlineLevel="0" collapsed="false">
      <c r="B5761" s="9" t="s">
        <v>32</v>
      </c>
      <c r="C5761" s="9" t="n">
        <v>1128299</v>
      </c>
      <c r="D5761" s="10" t="n">
        <v>44220</v>
      </c>
      <c r="E5761" s="9" t="s">
        <v>33</v>
      </c>
      <c r="F5761" s="9" t="s">
        <v>80</v>
      </c>
      <c r="G5761" s="9" t="s">
        <v>81</v>
      </c>
      <c r="H5761" s="11" t="s">
        <v>24</v>
      </c>
      <c r="I5761" s="12" t="n">
        <v>42</v>
      </c>
      <c r="J5761" s="13" t="n">
        <v>44</v>
      </c>
      <c r="K5761" s="14" t="n">
        <f aca="false">I5761*J5761</f>
        <v>1848</v>
      </c>
      <c r="L5761" s="14" t="n">
        <f aca="false">($L$2*M5761)/100</f>
        <v>660916.575</v>
      </c>
      <c r="M5761" s="15" t="n">
        <v>0.55</v>
      </c>
      <c r="N5761" s="9" t="s">
        <v>85</v>
      </c>
    </row>
    <row r="5762" customFormat="false" ht="14.25" hidden="false" customHeight="true" outlineLevel="0" collapsed="false">
      <c r="B5762" s="9" t="s">
        <v>32</v>
      </c>
      <c r="C5762" s="9" t="n">
        <v>1128299</v>
      </c>
      <c r="D5762" s="10" t="n">
        <v>44220</v>
      </c>
      <c r="E5762" s="9" t="s">
        <v>33</v>
      </c>
      <c r="F5762" s="9" t="s">
        <v>80</v>
      </c>
      <c r="G5762" s="9" t="s">
        <v>81</v>
      </c>
      <c r="H5762" s="11" t="s">
        <v>25</v>
      </c>
      <c r="I5762" s="12" t="n">
        <v>39</v>
      </c>
      <c r="J5762" s="13" t="n">
        <v>108</v>
      </c>
      <c r="K5762" s="14" t="n">
        <f aca="false">I5762*J5762</f>
        <v>4212</v>
      </c>
      <c r="L5762" s="14" t="n">
        <f aca="false">($L$2*M5762)/100</f>
        <v>516716.595</v>
      </c>
      <c r="M5762" s="15" t="n">
        <v>0.43</v>
      </c>
      <c r="N5762" s="9" t="s">
        <v>85</v>
      </c>
    </row>
    <row r="5763" customFormat="false" ht="14.25" hidden="false" customHeight="true" outlineLevel="0" collapsed="false">
      <c r="B5763" s="9" t="s">
        <v>32</v>
      </c>
      <c r="C5763" s="9" t="n">
        <v>1128299</v>
      </c>
      <c r="D5763" s="10" t="n">
        <v>44251</v>
      </c>
      <c r="E5763" s="9" t="s">
        <v>33</v>
      </c>
      <c r="F5763" s="9" t="s">
        <v>80</v>
      </c>
      <c r="G5763" s="9" t="s">
        <v>81</v>
      </c>
      <c r="H5763" s="11" t="s">
        <v>19</v>
      </c>
      <c r="I5763" s="12" t="n">
        <v>29</v>
      </c>
      <c r="J5763" s="13" t="n">
        <v>117</v>
      </c>
      <c r="K5763" s="14" t="n">
        <f aca="false">I5763*J5763</f>
        <v>3393</v>
      </c>
      <c r="L5763" s="14" t="n">
        <f aca="false">($L$2*M5763)/100</f>
        <v>540749.925</v>
      </c>
      <c r="M5763" s="15" t="n">
        <v>0.45</v>
      </c>
      <c r="N5763" s="9" t="s">
        <v>85</v>
      </c>
    </row>
    <row r="5764" customFormat="false" ht="14.25" hidden="false" customHeight="true" outlineLevel="0" collapsed="false">
      <c r="B5764" s="9" t="s">
        <v>32</v>
      </c>
      <c r="C5764" s="9" t="n">
        <v>1128299</v>
      </c>
      <c r="D5764" s="10" t="n">
        <v>44251</v>
      </c>
      <c r="E5764" s="9" t="s">
        <v>33</v>
      </c>
      <c r="F5764" s="9" t="s">
        <v>80</v>
      </c>
      <c r="G5764" s="9" t="s">
        <v>81</v>
      </c>
      <c r="H5764" s="11" t="s">
        <v>21</v>
      </c>
      <c r="I5764" s="12" t="n">
        <v>39</v>
      </c>
      <c r="J5764" s="13" t="n">
        <v>91</v>
      </c>
      <c r="K5764" s="14" t="n">
        <f aca="false">I5764*J5764</f>
        <v>3549</v>
      </c>
      <c r="L5764" s="14" t="n">
        <f aca="false">($L$2*M5764)/100</f>
        <v>576799.92</v>
      </c>
      <c r="M5764" s="15" t="n">
        <v>0.48</v>
      </c>
      <c r="N5764" s="9" t="s">
        <v>85</v>
      </c>
    </row>
    <row r="5765" customFormat="false" ht="14.25" hidden="false" customHeight="true" outlineLevel="0" collapsed="false">
      <c r="B5765" s="9" t="s">
        <v>32</v>
      </c>
      <c r="C5765" s="9" t="n">
        <v>1128299</v>
      </c>
      <c r="D5765" s="10" t="n">
        <v>44251</v>
      </c>
      <c r="E5765" s="9" t="s">
        <v>33</v>
      </c>
      <c r="F5765" s="9" t="s">
        <v>80</v>
      </c>
      <c r="G5765" s="9" t="s">
        <v>81</v>
      </c>
      <c r="H5765" s="11" t="s">
        <v>22</v>
      </c>
      <c r="I5765" s="12" t="n">
        <v>36</v>
      </c>
      <c r="J5765" s="13" t="n">
        <v>88</v>
      </c>
      <c r="K5765" s="14" t="n">
        <f aca="false">I5765*J5765</f>
        <v>3168</v>
      </c>
      <c r="L5765" s="14" t="n">
        <f aca="false">($L$2*M5765)/100</f>
        <v>540749.925</v>
      </c>
      <c r="M5765" s="15" t="n">
        <v>0.45</v>
      </c>
      <c r="N5765" s="9" t="s">
        <v>85</v>
      </c>
    </row>
    <row r="5766" customFormat="false" ht="14.25" hidden="false" customHeight="true" outlineLevel="0" collapsed="false">
      <c r="B5766" s="9" t="s">
        <v>32</v>
      </c>
      <c r="C5766" s="9" t="n">
        <v>1128299</v>
      </c>
      <c r="D5766" s="10" t="n">
        <v>44251</v>
      </c>
      <c r="E5766" s="9" t="s">
        <v>33</v>
      </c>
      <c r="F5766" s="9" t="s">
        <v>82</v>
      </c>
      <c r="G5766" s="9" t="s">
        <v>65</v>
      </c>
      <c r="H5766" s="11" t="s">
        <v>23</v>
      </c>
      <c r="I5766" s="12" t="n">
        <v>39</v>
      </c>
      <c r="J5766" s="13" t="n">
        <v>58</v>
      </c>
      <c r="K5766" s="14" t="n">
        <f aca="false">I5766*J5766</f>
        <v>2262</v>
      </c>
      <c r="L5766" s="14" t="n">
        <f aca="false">($L$2*M5766)/100</f>
        <v>576799.92</v>
      </c>
      <c r="M5766" s="15" t="n">
        <v>0.48</v>
      </c>
      <c r="N5766" s="9" t="s">
        <v>85</v>
      </c>
    </row>
    <row r="5767" customFormat="false" ht="14.25" hidden="false" customHeight="true" outlineLevel="0" collapsed="false">
      <c r="B5767" s="9" t="s">
        <v>32</v>
      </c>
      <c r="C5767" s="9" t="n">
        <v>1128299</v>
      </c>
      <c r="D5767" s="10" t="n">
        <v>44251</v>
      </c>
      <c r="E5767" s="9" t="s">
        <v>33</v>
      </c>
      <c r="F5767" s="9" t="s">
        <v>82</v>
      </c>
      <c r="G5767" s="9" t="s">
        <v>65</v>
      </c>
      <c r="H5767" s="11" t="s">
        <v>24</v>
      </c>
      <c r="I5767" s="12" t="n">
        <v>42</v>
      </c>
      <c r="J5767" s="13" t="n">
        <v>38</v>
      </c>
      <c r="K5767" s="14" t="n">
        <f aca="false">I5767*J5767</f>
        <v>1596</v>
      </c>
      <c r="L5767" s="14" t="n">
        <f aca="false">($L$2*M5767)/100</f>
        <v>624866.58</v>
      </c>
      <c r="M5767" s="15" t="n">
        <v>0.52</v>
      </c>
      <c r="N5767" s="9" t="s">
        <v>85</v>
      </c>
    </row>
    <row r="5768" customFormat="false" ht="14.25" hidden="false" customHeight="true" outlineLevel="0" collapsed="false">
      <c r="B5768" s="9" t="s">
        <v>32</v>
      </c>
      <c r="C5768" s="9" t="n">
        <v>1128299</v>
      </c>
      <c r="D5768" s="10" t="n">
        <v>44251</v>
      </c>
      <c r="E5768" s="9" t="s">
        <v>33</v>
      </c>
      <c r="F5768" s="9" t="s">
        <v>82</v>
      </c>
      <c r="G5768" s="9" t="s">
        <v>65</v>
      </c>
      <c r="H5768" s="11" t="s">
        <v>25</v>
      </c>
      <c r="I5768" s="12" t="n">
        <v>37</v>
      </c>
      <c r="J5768" s="13" t="n">
        <v>85</v>
      </c>
      <c r="K5768" s="14" t="n">
        <f aca="false">I5768*J5768</f>
        <v>3145</v>
      </c>
      <c r="L5768" s="14" t="n">
        <f aca="false">($L$2*M5768)/100</f>
        <v>480666.6</v>
      </c>
      <c r="M5768" s="15" t="n">
        <v>0.4</v>
      </c>
      <c r="N5768" s="9" t="s">
        <v>85</v>
      </c>
    </row>
    <row r="5769" customFormat="false" ht="14.25" hidden="false" customHeight="true" outlineLevel="0" collapsed="false">
      <c r="B5769" s="9" t="s">
        <v>32</v>
      </c>
      <c r="C5769" s="9" t="n">
        <v>1128299</v>
      </c>
      <c r="D5769" s="10" t="n">
        <v>44278</v>
      </c>
      <c r="E5769" s="9" t="s">
        <v>33</v>
      </c>
      <c r="F5769" s="9" t="s">
        <v>82</v>
      </c>
      <c r="G5769" s="9" t="s">
        <v>65</v>
      </c>
      <c r="H5769" s="11" t="s">
        <v>19</v>
      </c>
      <c r="I5769" s="12" t="n">
        <v>38</v>
      </c>
      <c r="J5769" s="13" t="n">
        <v>128</v>
      </c>
      <c r="K5769" s="14" t="n">
        <f aca="false">I5769*J5769</f>
        <v>4864</v>
      </c>
      <c r="L5769" s="14" t="n">
        <f aca="false">($L$2*M5769)/100</f>
        <v>588816.585</v>
      </c>
      <c r="M5769" s="15" t="n">
        <v>0.49</v>
      </c>
      <c r="N5769" s="9" t="s">
        <v>85</v>
      </c>
    </row>
    <row r="5770" customFormat="false" ht="14.25" hidden="false" customHeight="true" outlineLevel="0" collapsed="false">
      <c r="B5770" s="9" t="s">
        <v>32</v>
      </c>
      <c r="C5770" s="9" t="n">
        <v>1128299</v>
      </c>
      <c r="D5770" s="10" t="n">
        <v>44278</v>
      </c>
      <c r="E5770" s="9" t="s">
        <v>33</v>
      </c>
      <c r="F5770" s="9" t="s">
        <v>82</v>
      </c>
      <c r="G5770" s="9" t="s">
        <v>65</v>
      </c>
      <c r="H5770" s="11" t="s">
        <v>21</v>
      </c>
      <c r="I5770" s="12" t="n">
        <v>45</v>
      </c>
      <c r="J5770" s="13" t="n">
        <v>85</v>
      </c>
      <c r="K5770" s="14" t="n">
        <f aca="false">I5770*J5770</f>
        <v>3825</v>
      </c>
      <c r="L5770" s="14" t="n">
        <f aca="false">($L$2*M5770)/100</f>
        <v>576799.92</v>
      </c>
      <c r="M5770" s="15" t="n">
        <v>0.48</v>
      </c>
      <c r="N5770" s="9" t="s">
        <v>85</v>
      </c>
    </row>
    <row r="5771" customFormat="false" ht="14.25" hidden="false" customHeight="true" outlineLevel="0" collapsed="false">
      <c r="B5771" s="9" t="s">
        <v>32</v>
      </c>
      <c r="C5771" s="9" t="n">
        <v>1128299</v>
      </c>
      <c r="D5771" s="10" t="n">
        <v>44278</v>
      </c>
      <c r="E5771" s="9" t="s">
        <v>33</v>
      </c>
      <c r="F5771" s="9" t="s">
        <v>82</v>
      </c>
      <c r="G5771" s="9" t="s">
        <v>65</v>
      </c>
      <c r="H5771" s="11" t="s">
        <v>22</v>
      </c>
      <c r="I5771" s="12" t="n">
        <v>54</v>
      </c>
      <c r="J5771" s="13" t="n">
        <v>88</v>
      </c>
      <c r="K5771" s="14" t="n">
        <f aca="false">I5771*J5771</f>
        <v>4752</v>
      </c>
      <c r="L5771" s="14" t="n">
        <f aca="false">($L$2*M5771)/100</f>
        <v>540749.925</v>
      </c>
      <c r="M5771" s="15" t="n">
        <v>0.45</v>
      </c>
      <c r="N5771" s="9" t="s">
        <v>85</v>
      </c>
    </row>
    <row r="5772" customFormat="false" ht="14.25" hidden="false" customHeight="true" outlineLevel="0" collapsed="false">
      <c r="B5772" s="9" t="s">
        <v>32</v>
      </c>
      <c r="C5772" s="9" t="n">
        <v>1128299</v>
      </c>
      <c r="D5772" s="10" t="n">
        <v>44278</v>
      </c>
      <c r="E5772" s="9" t="s">
        <v>33</v>
      </c>
      <c r="F5772" s="9" t="s">
        <v>82</v>
      </c>
      <c r="G5772" s="9" t="s">
        <v>65</v>
      </c>
      <c r="H5772" s="11" t="s">
        <v>23</v>
      </c>
      <c r="I5772" s="12" t="n">
        <v>49</v>
      </c>
      <c r="J5772" s="13" t="n">
        <v>65</v>
      </c>
      <c r="K5772" s="14" t="n">
        <f aca="false">I5772*J5772</f>
        <v>3185</v>
      </c>
      <c r="L5772" s="14" t="n">
        <f aca="false">($L$2*M5772)/100</f>
        <v>576799.92</v>
      </c>
      <c r="M5772" s="15" t="n">
        <v>0.48</v>
      </c>
      <c r="N5772" s="9" t="s">
        <v>85</v>
      </c>
    </row>
    <row r="5773" customFormat="false" ht="14.25" hidden="false" customHeight="true" outlineLevel="0" collapsed="false">
      <c r="B5773" s="9" t="s">
        <v>32</v>
      </c>
      <c r="C5773" s="9" t="n">
        <v>1128299</v>
      </c>
      <c r="D5773" s="10" t="n">
        <v>44278</v>
      </c>
      <c r="E5773" s="9" t="s">
        <v>33</v>
      </c>
      <c r="F5773" s="9" t="s">
        <v>82</v>
      </c>
      <c r="G5773" s="9" t="s">
        <v>65</v>
      </c>
      <c r="H5773" s="11" t="s">
        <v>24</v>
      </c>
      <c r="I5773" s="12" t="n">
        <v>54</v>
      </c>
      <c r="J5773" s="13" t="n">
        <v>26</v>
      </c>
      <c r="K5773" s="14" t="n">
        <f aca="false">I5773*J5773</f>
        <v>1404</v>
      </c>
      <c r="L5773" s="14" t="n">
        <f aca="false">($L$2*M5773)/100</f>
        <v>636883.245</v>
      </c>
      <c r="M5773" s="15" t="n">
        <v>0.53</v>
      </c>
      <c r="N5773" s="9" t="s">
        <v>85</v>
      </c>
    </row>
    <row r="5774" customFormat="false" ht="14.25" hidden="false" customHeight="true" outlineLevel="0" collapsed="false">
      <c r="B5774" s="9" t="s">
        <v>32</v>
      </c>
      <c r="C5774" s="9" t="n">
        <v>1128299</v>
      </c>
      <c r="D5774" s="10" t="n">
        <v>44278</v>
      </c>
      <c r="E5774" s="9" t="s">
        <v>33</v>
      </c>
      <c r="F5774" s="9" t="s">
        <v>82</v>
      </c>
      <c r="G5774" s="9" t="s">
        <v>65</v>
      </c>
      <c r="H5774" s="11" t="s">
        <v>25</v>
      </c>
      <c r="I5774" s="12" t="n">
        <v>49</v>
      </c>
      <c r="J5774" s="13" t="n">
        <v>87</v>
      </c>
      <c r="K5774" s="14" t="n">
        <f aca="false">I5774*J5774</f>
        <v>4263</v>
      </c>
      <c r="L5774" s="14" t="n">
        <f aca="false">($L$2*M5774)/100</f>
        <v>504699.93</v>
      </c>
      <c r="M5774" s="15" t="n">
        <v>0.42</v>
      </c>
      <c r="N5774" s="9" t="s">
        <v>85</v>
      </c>
    </row>
    <row r="5775" customFormat="false" ht="14.25" hidden="false" customHeight="true" outlineLevel="0" collapsed="false">
      <c r="B5775" s="9" t="s">
        <v>32</v>
      </c>
      <c r="C5775" s="9" t="n">
        <v>1128299</v>
      </c>
      <c r="D5775" s="10" t="n">
        <v>44310</v>
      </c>
      <c r="E5775" s="9" t="s">
        <v>33</v>
      </c>
      <c r="F5775" s="9" t="s">
        <v>82</v>
      </c>
      <c r="G5775" s="9" t="s">
        <v>65</v>
      </c>
      <c r="H5775" s="11" t="s">
        <v>19</v>
      </c>
      <c r="I5775" s="12" t="n">
        <v>51</v>
      </c>
      <c r="J5775" s="13" t="n">
        <v>124</v>
      </c>
      <c r="K5775" s="14" t="n">
        <f aca="false">I5775*J5775</f>
        <v>6324</v>
      </c>
      <c r="L5775" s="14" t="n">
        <f aca="false">($L$2*M5775)/100</f>
        <v>552766.59</v>
      </c>
      <c r="M5775" s="15" t="n">
        <v>0.46</v>
      </c>
      <c r="N5775" s="9" t="s">
        <v>85</v>
      </c>
    </row>
    <row r="5776" customFormat="false" ht="14.25" hidden="false" customHeight="true" outlineLevel="0" collapsed="false">
      <c r="B5776" s="9" t="s">
        <v>32</v>
      </c>
      <c r="C5776" s="9" t="n">
        <v>1128299</v>
      </c>
      <c r="D5776" s="10" t="n">
        <v>44310</v>
      </c>
      <c r="E5776" s="9" t="s">
        <v>33</v>
      </c>
      <c r="F5776" s="9" t="s">
        <v>82</v>
      </c>
      <c r="G5776" s="9" t="s">
        <v>65</v>
      </c>
      <c r="H5776" s="11" t="s">
        <v>21</v>
      </c>
      <c r="I5776" s="12" t="n">
        <v>54</v>
      </c>
      <c r="J5776" s="13" t="n">
        <v>83</v>
      </c>
      <c r="K5776" s="14" t="n">
        <f aca="false">I5776*J5776</f>
        <v>4482</v>
      </c>
      <c r="L5776" s="14" t="n">
        <f aca="false">($L$2*M5776)/100</f>
        <v>588816.585</v>
      </c>
      <c r="M5776" s="15" t="n">
        <v>0.49</v>
      </c>
      <c r="N5776" s="9" t="s">
        <v>85</v>
      </c>
    </row>
    <row r="5777" customFormat="false" ht="14.25" hidden="false" customHeight="true" outlineLevel="0" collapsed="false">
      <c r="B5777" s="9" t="s">
        <v>32</v>
      </c>
      <c r="C5777" s="9" t="n">
        <v>1128299</v>
      </c>
      <c r="D5777" s="10" t="n">
        <v>44310</v>
      </c>
      <c r="E5777" s="9" t="s">
        <v>33</v>
      </c>
      <c r="F5777" s="9" t="s">
        <v>82</v>
      </c>
      <c r="G5777" s="9" t="s">
        <v>65</v>
      </c>
      <c r="H5777" s="11" t="s">
        <v>22</v>
      </c>
      <c r="I5777" s="12" t="n">
        <v>55</v>
      </c>
      <c r="J5777" s="13" t="n">
        <v>85</v>
      </c>
      <c r="K5777" s="14" t="n">
        <f aca="false">I5777*J5777</f>
        <v>4675</v>
      </c>
      <c r="L5777" s="14" t="n">
        <f aca="false">($L$2*M5777)/100</f>
        <v>576799.92</v>
      </c>
      <c r="M5777" s="15" t="n">
        <v>0.48</v>
      </c>
      <c r="N5777" s="9" t="s">
        <v>85</v>
      </c>
    </row>
    <row r="5778" customFormat="false" ht="14.25" hidden="false" customHeight="true" outlineLevel="0" collapsed="false">
      <c r="B5778" s="9" t="s">
        <v>32</v>
      </c>
      <c r="C5778" s="9" t="n">
        <v>1128299</v>
      </c>
      <c r="D5778" s="10" t="n">
        <v>44310</v>
      </c>
      <c r="E5778" s="9" t="s">
        <v>33</v>
      </c>
      <c r="F5778" s="9" t="s">
        <v>82</v>
      </c>
      <c r="G5778" s="9" t="s">
        <v>65</v>
      </c>
      <c r="H5778" s="11" t="s">
        <v>23</v>
      </c>
      <c r="I5778" s="12" t="n">
        <v>41</v>
      </c>
      <c r="J5778" s="13" t="n">
        <v>63</v>
      </c>
      <c r="K5778" s="14" t="n">
        <f aca="false">I5778*J5778</f>
        <v>2583</v>
      </c>
      <c r="L5778" s="14" t="n">
        <f aca="false">($L$2*M5778)/100</f>
        <v>600833.25</v>
      </c>
      <c r="M5778" s="15" t="n">
        <v>0.5</v>
      </c>
      <c r="N5778" s="9" t="s">
        <v>85</v>
      </c>
    </row>
    <row r="5779" customFormat="false" ht="14.25" hidden="false" customHeight="true" outlineLevel="0" collapsed="false">
      <c r="B5779" s="9" t="s">
        <v>32</v>
      </c>
      <c r="C5779" s="9" t="n">
        <v>1128299</v>
      </c>
      <c r="D5779" s="10" t="n">
        <v>44310</v>
      </c>
      <c r="E5779" s="9" t="s">
        <v>33</v>
      </c>
      <c r="F5779" s="9" t="s">
        <v>82</v>
      </c>
      <c r="G5779" s="9" t="s">
        <v>65</v>
      </c>
      <c r="H5779" s="11" t="s">
        <v>24</v>
      </c>
      <c r="I5779" s="12" t="n">
        <v>48</v>
      </c>
      <c r="J5779" s="13" t="n">
        <v>36</v>
      </c>
      <c r="K5779" s="14" t="n">
        <f aca="false">I5779*J5779</f>
        <v>1728</v>
      </c>
      <c r="L5779" s="14" t="n">
        <f aca="false">($L$2*M5779)/100</f>
        <v>600833.25</v>
      </c>
      <c r="M5779" s="15" t="n">
        <v>0.5</v>
      </c>
      <c r="N5779" s="9" t="s">
        <v>85</v>
      </c>
    </row>
    <row r="5780" customFormat="false" ht="14.25" hidden="false" customHeight="true" outlineLevel="0" collapsed="false">
      <c r="B5780" s="9" t="s">
        <v>32</v>
      </c>
      <c r="C5780" s="9" t="n">
        <v>1128299</v>
      </c>
      <c r="D5780" s="10" t="n">
        <v>44310</v>
      </c>
      <c r="E5780" s="9" t="s">
        <v>33</v>
      </c>
      <c r="F5780" s="9" t="s">
        <v>82</v>
      </c>
      <c r="G5780" s="9" t="s">
        <v>65</v>
      </c>
      <c r="H5780" s="11" t="s">
        <v>25</v>
      </c>
      <c r="I5780" s="12" t="n">
        <v>59</v>
      </c>
      <c r="J5780" s="13" t="n">
        <v>84</v>
      </c>
      <c r="K5780" s="14" t="n">
        <f aca="false">I5780*J5780</f>
        <v>4956</v>
      </c>
      <c r="L5780" s="14" t="n">
        <f aca="false">($L$2*M5780)/100</f>
        <v>540749.925</v>
      </c>
      <c r="M5780" s="15" t="n">
        <v>0.45</v>
      </c>
      <c r="N5780" s="9" t="s">
        <v>85</v>
      </c>
    </row>
    <row r="5781" customFormat="false" ht="14.25" hidden="false" customHeight="true" outlineLevel="0" collapsed="false">
      <c r="B5781" s="9" t="s">
        <v>32</v>
      </c>
      <c r="C5781" s="9" t="n">
        <v>1128299</v>
      </c>
      <c r="D5781" s="10" t="n">
        <v>44341</v>
      </c>
      <c r="E5781" s="9" t="s">
        <v>33</v>
      </c>
      <c r="F5781" s="9" t="s">
        <v>82</v>
      </c>
      <c r="G5781" s="9" t="s">
        <v>65</v>
      </c>
      <c r="H5781" s="11" t="s">
        <v>19</v>
      </c>
      <c r="I5781" s="12" t="n">
        <v>48</v>
      </c>
      <c r="J5781" s="13" t="n">
        <v>145</v>
      </c>
      <c r="K5781" s="14" t="n">
        <f aca="false">I5781*J5781</f>
        <v>6960</v>
      </c>
      <c r="L5781" s="14" t="n">
        <f aca="false">($L$2*M5781)/100</f>
        <v>540749.925</v>
      </c>
      <c r="M5781" s="15" t="n">
        <v>0.45</v>
      </c>
      <c r="N5781" s="9" t="s">
        <v>85</v>
      </c>
    </row>
    <row r="5782" customFormat="false" ht="14.25" hidden="false" customHeight="true" outlineLevel="0" collapsed="false">
      <c r="B5782" s="9" t="s">
        <v>32</v>
      </c>
      <c r="C5782" s="9" t="n">
        <v>1128299</v>
      </c>
      <c r="D5782" s="10" t="n">
        <v>44341</v>
      </c>
      <c r="E5782" s="9" t="s">
        <v>33</v>
      </c>
      <c r="F5782" s="9" t="s">
        <v>82</v>
      </c>
      <c r="G5782" s="9" t="s">
        <v>65</v>
      </c>
      <c r="H5782" s="11" t="s">
        <v>21</v>
      </c>
      <c r="I5782" s="12" t="n">
        <v>50</v>
      </c>
      <c r="J5782" s="13" t="n">
        <v>105</v>
      </c>
      <c r="K5782" s="14" t="n">
        <f aca="false">I5782*J5782</f>
        <v>5250</v>
      </c>
      <c r="L5782" s="14" t="n">
        <f aca="false">($L$2*M5782)/100</f>
        <v>552766.59</v>
      </c>
      <c r="M5782" s="15" t="n">
        <v>0.46</v>
      </c>
      <c r="N5782" s="9" t="s">
        <v>85</v>
      </c>
    </row>
    <row r="5783" customFormat="false" ht="14.25" hidden="false" customHeight="true" outlineLevel="0" collapsed="false">
      <c r="B5783" s="9" t="s">
        <v>32</v>
      </c>
      <c r="C5783" s="9" t="n">
        <v>1128299</v>
      </c>
      <c r="D5783" s="10" t="n">
        <v>44341</v>
      </c>
      <c r="E5783" s="9" t="s">
        <v>33</v>
      </c>
      <c r="F5783" s="9" t="s">
        <v>82</v>
      </c>
      <c r="G5783" s="9" t="s">
        <v>65</v>
      </c>
      <c r="H5783" s="11" t="s">
        <v>22</v>
      </c>
      <c r="I5783" s="12" t="n">
        <v>50</v>
      </c>
      <c r="J5783" s="13" t="n">
        <v>95</v>
      </c>
      <c r="K5783" s="14" t="n">
        <f aca="false">I5783*J5783</f>
        <v>4750</v>
      </c>
      <c r="L5783" s="14" t="n">
        <f aca="false">($L$2*M5783)/100</f>
        <v>600833.25</v>
      </c>
      <c r="M5783" s="15" t="n">
        <v>0.5</v>
      </c>
      <c r="N5783" s="9" t="s">
        <v>85</v>
      </c>
    </row>
    <row r="5784" customFormat="false" ht="14.25" hidden="false" customHeight="true" outlineLevel="0" collapsed="false">
      <c r="B5784" s="9" t="s">
        <v>32</v>
      </c>
      <c r="C5784" s="9" t="n">
        <v>1128299</v>
      </c>
      <c r="D5784" s="10" t="n">
        <v>44341</v>
      </c>
      <c r="E5784" s="9" t="s">
        <v>33</v>
      </c>
      <c r="F5784" s="9" t="s">
        <v>82</v>
      </c>
      <c r="G5784" s="9" t="s">
        <v>65</v>
      </c>
      <c r="H5784" s="11" t="s">
        <v>23</v>
      </c>
      <c r="I5784" s="12" t="n">
        <v>49</v>
      </c>
      <c r="J5784" s="13" t="n">
        <v>83</v>
      </c>
      <c r="K5784" s="14" t="n">
        <f aca="false">I5784*J5784</f>
        <v>4067</v>
      </c>
      <c r="L5784" s="14" t="n">
        <f aca="false">($L$2*M5784)/100</f>
        <v>576799.92</v>
      </c>
      <c r="M5784" s="15" t="n">
        <v>0.48</v>
      </c>
      <c r="N5784" s="9" t="s">
        <v>85</v>
      </c>
    </row>
    <row r="5785" customFormat="false" ht="14.25" hidden="false" customHeight="true" outlineLevel="0" collapsed="false">
      <c r="B5785" s="9" t="s">
        <v>32</v>
      </c>
      <c r="C5785" s="9" t="n">
        <v>1128299</v>
      </c>
      <c r="D5785" s="10" t="n">
        <v>44341</v>
      </c>
      <c r="E5785" s="9" t="s">
        <v>33</v>
      </c>
      <c r="F5785" s="9" t="s">
        <v>82</v>
      </c>
      <c r="G5785" s="9" t="s">
        <v>65</v>
      </c>
      <c r="H5785" s="11" t="s">
        <v>24</v>
      </c>
      <c r="I5785" s="12" t="n">
        <v>41</v>
      </c>
      <c r="J5785" s="13" t="n">
        <v>44</v>
      </c>
      <c r="K5785" s="14" t="n">
        <f aca="false">I5785*J5785</f>
        <v>1804</v>
      </c>
      <c r="L5785" s="14" t="n">
        <f aca="false">($L$2*M5785)/100</f>
        <v>660916.575</v>
      </c>
      <c r="M5785" s="15" t="n">
        <v>0.55</v>
      </c>
      <c r="N5785" s="9" t="s">
        <v>85</v>
      </c>
    </row>
    <row r="5786" customFormat="false" ht="14.25" hidden="false" customHeight="true" outlineLevel="0" collapsed="false">
      <c r="B5786" s="9" t="s">
        <v>32</v>
      </c>
      <c r="C5786" s="9" t="n">
        <v>1128299</v>
      </c>
      <c r="D5786" s="10" t="n">
        <v>44341</v>
      </c>
      <c r="E5786" s="9" t="s">
        <v>33</v>
      </c>
      <c r="F5786" s="9" t="s">
        <v>82</v>
      </c>
      <c r="G5786" s="9" t="s">
        <v>65</v>
      </c>
      <c r="H5786" s="11" t="s">
        <v>25</v>
      </c>
      <c r="I5786" s="12" t="n">
        <v>54</v>
      </c>
      <c r="J5786" s="13" t="n">
        <v>158</v>
      </c>
      <c r="K5786" s="14" t="n">
        <f aca="false">I5786*J5786</f>
        <v>8532</v>
      </c>
      <c r="L5786" s="14" t="n">
        <f aca="false">($L$2*M5786)/100</f>
        <v>540749.925</v>
      </c>
      <c r="M5786" s="15" t="n">
        <v>0.45</v>
      </c>
      <c r="N5786" s="9" t="s">
        <v>85</v>
      </c>
    </row>
    <row r="5787" customFormat="false" ht="14.25" hidden="false" customHeight="true" outlineLevel="0" collapsed="false">
      <c r="B5787" s="9" t="s">
        <v>32</v>
      </c>
      <c r="C5787" s="9" t="n">
        <v>1128299</v>
      </c>
      <c r="D5787" s="10" t="n">
        <v>44371</v>
      </c>
      <c r="E5787" s="9" t="s">
        <v>33</v>
      </c>
      <c r="F5787" s="9" t="s">
        <v>82</v>
      </c>
      <c r="G5787" s="9" t="s">
        <v>65</v>
      </c>
      <c r="H5787" s="11" t="s">
        <v>19</v>
      </c>
      <c r="I5787" s="12" t="n">
        <v>51</v>
      </c>
      <c r="J5787" s="13" t="n">
        <v>225</v>
      </c>
      <c r="K5787" s="14" t="n">
        <f aca="false">I5787*J5787</f>
        <v>11475</v>
      </c>
      <c r="L5787" s="14" t="n">
        <f aca="false">($L$2*M5787)/100</f>
        <v>588816.585</v>
      </c>
      <c r="M5787" s="15" t="n">
        <v>0.49</v>
      </c>
      <c r="N5787" s="9" t="s">
        <v>85</v>
      </c>
    </row>
    <row r="5788" customFormat="false" ht="14.25" hidden="false" customHeight="true" outlineLevel="0" collapsed="false">
      <c r="B5788" s="9" t="s">
        <v>32</v>
      </c>
      <c r="C5788" s="9" t="n">
        <v>1128299</v>
      </c>
      <c r="D5788" s="10" t="n">
        <v>44371</v>
      </c>
      <c r="E5788" s="9" t="s">
        <v>33</v>
      </c>
      <c r="F5788" s="9" t="s">
        <v>82</v>
      </c>
      <c r="G5788" s="9" t="s">
        <v>65</v>
      </c>
      <c r="H5788" s="11" t="s">
        <v>21</v>
      </c>
      <c r="I5788" s="12" t="n">
        <v>62</v>
      </c>
      <c r="J5788" s="13" t="n">
        <v>169</v>
      </c>
      <c r="K5788" s="14" t="n">
        <f aca="false">I5788*J5788</f>
        <v>10478</v>
      </c>
      <c r="L5788" s="14" t="n">
        <f aca="false">($L$2*M5788)/100</f>
        <v>588816.585</v>
      </c>
      <c r="M5788" s="15" t="n">
        <v>0.49</v>
      </c>
      <c r="N5788" s="9" t="s">
        <v>85</v>
      </c>
    </row>
    <row r="5789" customFormat="false" ht="14.25" hidden="false" customHeight="true" outlineLevel="0" collapsed="false">
      <c r="B5789" s="9" t="s">
        <v>32</v>
      </c>
      <c r="C5789" s="9" t="n">
        <v>1128299</v>
      </c>
      <c r="D5789" s="10" t="n">
        <v>44371</v>
      </c>
      <c r="E5789" s="9" t="s">
        <v>33</v>
      </c>
      <c r="F5789" s="9" t="s">
        <v>82</v>
      </c>
      <c r="G5789" s="9" t="s">
        <v>65</v>
      </c>
      <c r="H5789" s="11" t="s">
        <v>22</v>
      </c>
      <c r="I5789" s="12" t="n">
        <v>78</v>
      </c>
      <c r="J5789" s="13" t="n">
        <v>189</v>
      </c>
      <c r="K5789" s="14" t="n">
        <f aca="false">I5789*J5789</f>
        <v>14742</v>
      </c>
      <c r="L5789" s="14" t="n">
        <f aca="false">($L$2*M5789)/100</f>
        <v>552766.59</v>
      </c>
      <c r="M5789" s="15" t="n">
        <v>0.46</v>
      </c>
      <c r="N5789" s="9" t="s">
        <v>85</v>
      </c>
    </row>
    <row r="5790" customFormat="false" ht="14.25" hidden="false" customHeight="true" outlineLevel="0" collapsed="false">
      <c r="B5790" s="9" t="s">
        <v>32</v>
      </c>
      <c r="C5790" s="9" t="n">
        <v>1128299</v>
      </c>
      <c r="D5790" s="10" t="n">
        <v>44371</v>
      </c>
      <c r="E5790" s="9" t="s">
        <v>33</v>
      </c>
      <c r="F5790" s="9" t="s">
        <v>82</v>
      </c>
      <c r="G5790" s="9" t="s">
        <v>65</v>
      </c>
      <c r="H5790" s="11" t="s">
        <v>23</v>
      </c>
      <c r="I5790" s="12" t="n">
        <v>74</v>
      </c>
      <c r="J5790" s="13" t="n">
        <v>158</v>
      </c>
      <c r="K5790" s="14" t="n">
        <f aca="false">I5790*J5790</f>
        <v>11692</v>
      </c>
      <c r="L5790" s="14" t="n">
        <f aca="false">($L$2*M5790)/100</f>
        <v>600833.25</v>
      </c>
      <c r="M5790" s="15" t="n">
        <v>0.5</v>
      </c>
      <c r="N5790" s="9" t="s">
        <v>85</v>
      </c>
    </row>
    <row r="5791" customFormat="false" ht="14.25" hidden="false" customHeight="true" outlineLevel="0" collapsed="false">
      <c r="B5791" s="9" t="s">
        <v>32</v>
      </c>
      <c r="C5791" s="9" t="n">
        <v>1128299</v>
      </c>
      <c r="D5791" s="10" t="n">
        <v>44371</v>
      </c>
      <c r="E5791" s="9" t="s">
        <v>33</v>
      </c>
      <c r="F5791" s="9" t="s">
        <v>82</v>
      </c>
      <c r="G5791" s="9" t="s">
        <v>65</v>
      </c>
      <c r="H5791" s="11" t="s">
        <v>24</v>
      </c>
      <c r="I5791" s="12" t="n">
        <v>86</v>
      </c>
      <c r="J5791" s="13" t="n">
        <v>108</v>
      </c>
      <c r="K5791" s="14" t="n">
        <f aca="false">I5791*J5791</f>
        <v>9288</v>
      </c>
      <c r="L5791" s="14" t="n">
        <f aca="false">($L$2*M5791)/100</f>
        <v>636883.245</v>
      </c>
      <c r="M5791" s="15" t="n">
        <v>0.53</v>
      </c>
      <c r="N5791" s="9" t="s">
        <v>85</v>
      </c>
    </row>
    <row r="5792" customFormat="false" ht="14.25" hidden="false" customHeight="true" outlineLevel="0" collapsed="false">
      <c r="B5792" s="9" t="s">
        <v>32</v>
      </c>
      <c r="C5792" s="9" t="n">
        <v>1128299</v>
      </c>
      <c r="D5792" s="10" t="n">
        <v>44371</v>
      </c>
      <c r="E5792" s="9" t="s">
        <v>33</v>
      </c>
      <c r="F5792" s="9" t="s">
        <v>82</v>
      </c>
      <c r="G5792" s="9" t="s">
        <v>65</v>
      </c>
      <c r="H5792" s="11" t="s">
        <v>25</v>
      </c>
      <c r="I5792" s="12" t="n">
        <v>95</v>
      </c>
      <c r="J5792" s="13" t="n">
        <v>189</v>
      </c>
      <c r="K5792" s="14" t="n">
        <f aca="false">I5792*J5792</f>
        <v>17955</v>
      </c>
      <c r="L5792" s="14" t="n">
        <f aca="false">($L$2*M5792)/100</f>
        <v>540749.925</v>
      </c>
      <c r="M5792" s="15" t="n">
        <v>0.45</v>
      </c>
      <c r="N5792" s="9" t="s">
        <v>85</v>
      </c>
    </row>
    <row r="5793" customFormat="false" ht="14.25" hidden="false" customHeight="true" outlineLevel="0" collapsed="false">
      <c r="B5793" s="9" t="s">
        <v>32</v>
      </c>
      <c r="C5793" s="9" t="n">
        <v>1128299</v>
      </c>
      <c r="D5793" s="10" t="n">
        <v>44400</v>
      </c>
      <c r="E5793" s="9" t="s">
        <v>33</v>
      </c>
      <c r="F5793" s="9" t="s">
        <v>82</v>
      </c>
      <c r="G5793" s="9" t="s">
        <v>65</v>
      </c>
      <c r="H5793" s="11" t="s">
        <v>19</v>
      </c>
      <c r="I5793" s="12" t="n">
        <v>79</v>
      </c>
      <c r="J5793" s="13" t="n">
        <v>255</v>
      </c>
      <c r="K5793" s="14" t="n">
        <f aca="false">I5793*J5793</f>
        <v>20145</v>
      </c>
      <c r="L5793" s="14" t="n">
        <f aca="false">($L$2*M5793)/100</f>
        <v>576799.92</v>
      </c>
      <c r="M5793" s="15" t="n">
        <v>0.48</v>
      </c>
      <c r="N5793" s="9" t="s">
        <v>85</v>
      </c>
    </row>
    <row r="5794" customFormat="false" ht="14.25" hidden="false" customHeight="true" outlineLevel="0" collapsed="false">
      <c r="B5794" s="9" t="s">
        <v>32</v>
      </c>
      <c r="C5794" s="9" t="n">
        <v>1128299</v>
      </c>
      <c r="D5794" s="10" t="n">
        <v>44400</v>
      </c>
      <c r="E5794" s="9" t="s">
        <v>33</v>
      </c>
      <c r="F5794" s="9" t="s">
        <v>82</v>
      </c>
      <c r="G5794" s="9" t="s">
        <v>65</v>
      </c>
      <c r="H5794" s="11" t="s">
        <v>21</v>
      </c>
      <c r="I5794" s="12" t="n">
        <v>85</v>
      </c>
      <c r="J5794" s="13" t="n">
        <v>196</v>
      </c>
      <c r="K5794" s="14" t="n">
        <f aca="false">I5794*J5794</f>
        <v>16660</v>
      </c>
      <c r="L5794" s="14" t="n">
        <f aca="false">($L$2*M5794)/100</f>
        <v>564783.255</v>
      </c>
      <c r="M5794" s="15" t="n">
        <v>0.47</v>
      </c>
      <c r="N5794" s="9" t="s">
        <v>85</v>
      </c>
    </row>
    <row r="5795" customFormat="false" ht="14.25" hidden="false" customHeight="true" outlineLevel="0" collapsed="false">
      <c r="B5795" s="9" t="s">
        <v>32</v>
      </c>
      <c r="C5795" s="9" t="n">
        <v>1128299</v>
      </c>
      <c r="D5795" s="10" t="n">
        <v>44400</v>
      </c>
      <c r="E5795" s="9" t="s">
        <v>33</v>
      </c>
      <c r="F5795" s="9" t="s">
        <v>82</v>
      </c>
      <c r="G5795" s="9" t="s">
        <v>65</v>
      </c>
      <c r="H5795" s="11" t="s">
        <v>22</v>
      </c>
      <c r="I5795" s="12" t="n">
        <v>86</v>
      </c>
      <c r="J5795" s="13" t="n">
        <v>163</v>
      </c>
      <c r="K5795" s="14" t="n">
        <f aca="false">I5795*J5795</f>
        <v>14018</v>
      </c>
      <c r="L5795" s="14" t="n">
        <f aca="false">($L$2*M5795)/100</f>
        <v>564783.255</v>
      </c>
      <c r="M5795" s="15" t="n">
        <v>0.47</v>
      </c>
      <c r="N5795" s="9" t="s">
        <v>85</v>
      </c>
    </row>
    <row r="5796" customFormat="false" ht="14.25" hidden="false" customHeight="true" outlineLevel="0" collapsed="false">
      <c r="B5796" s="9" t="s">
        <v>32</v>
      </c>
      <c r="C5796" s="9" t="n">
        <v>1128299</v>
      </c>
      <c r="D5796" s="10" t="n">
        <v>44400</v>
      </c>
      <c r="E5796" s="9" t="s">
        <v>33</v>
      </c>
      <c r="F5796" s="9" t="s">
        <v>82</v>
      </c>
      <c r="G5796" s="9" t="s">
        <v>65</v>
      </c>
      <c r="H5796" s="11" t="s">
        <v>23</v>
      </c>
      <c r="I5796" s="12" t="n">
        <v>82</v>
      </c>
      <c r="J5796" s="13" t="n">
        <v>165</v>
      </c>
      <c r="K5796" s="14" t="n">
        <f aca="false">I5796*J5796</f>
        <v>13530</v>
      </c>
      <c r="L5796" s="14" t="n">
        <f aca="false">($L$2*M5796)/100</f>
        <v>576799.92</v>
      </c>
      <c r="M5796" s="15" t="n">
        <v>0.48</v>
      </c>
      <c r="N5796" s="9" t="s">
        <v>85</v>
      </c>
    </row>
    <row r="5797" customFormat="false" ht="14.25" hidden="false" customHeight="true" outlineLevel="0" collapsed="false">
      <c r="B5797" s="9" t="s">
        <v>32</v>
      </c>
      <c r="C5797" s="9" t="n">
        <v>1128299</v>
      </c>
      <c r="D5797" s="10" t="n">
        <v>44400</v>
      </c>
      <c r="E5797" s="9" t="s">
        <v>33</v>
      </c>
      <c r="F5797" s="9" t="s">
        <v>82</v>
      </c>
      <c r="G5797" s="9" t="s">
        <v>65</v>
      </c>
      <c r="H5797" s="11" t="s">
        <v>24</v>
      </c>
      <c r="I5797" s="12" t="n">
        <v>84</v>
      </c>
      <c r="J5797" s="13" t="n">
        <v>156</v>
      </c>
      <c r="K5797" s="14" t="n">
        <f aca="false">I5797*J5797</f>
        <v>13104</v>
      </c>
      <c r="L5797" s="14" t="n">
        <f aca="false">($L$2*M5797)/100</f>
        <v>600833.25</v>
      </c>
      <c r="M5797" s="15" t="n">
        <v>0.5</v>
      </c>
      <c r="N5797" s="9" t="s">
        <v>85</v>
      </c>
    </row>
    <row r="5798" customFormat="false" ht="14.25" hidden="false" customHeight="true" outlineLevel="0" collapsed="false">
      <c r="B5798" s="9" t="s">
        <v>32</v>
      </c>
      <c r="C5798" s="9" t="n">
        <v>1128299</v>
      </c>
      <c r="D5798" s="10" t="n">
        <v>44400</v>
      </c>
      <c r="E5798" s="9" t="s">
        <v>33</v>
      </c>
      <c r="F5798" s="9" t="s">
        <v>82</v>
      </c>
      <c r="G5798" s="9" t="s">
        <v>65</v>
      </c>
      <c r="H5798" s="11" t="s">
        <v>25</v>
      </c>
      <c r="I5798" s="12" t="n">
        <v>97</v>
      </c>
      <c r="J5798" s="13" t="n">
        <v>150</v>
      </c>
      <c r="K5798" s="14" t="n">
        <f aca="false">I5798*J5798</f>
        <v>14550</v>
      </c>
      <c r="L5798" s="14" t="n">
        <f aca="false">($L$2*M5798)/100</f>
        <v>504699.93</v>
      </c>
      <c r="M5798" s="15" t="n">
        <v>0.42</v>
      </c>
      <c r="N5798" s="9" t="s">
        <v>85</v>
      </c>
    </row>
    <row r="5799" customFormat="false" ht="14.25" hidden="false" customHeight="true" outlineLevel="0" collapsed="false">
      <c r="B5799" s="9" t="s">
        <v>32</v>
      </c>
      <c r="C5799" s="9" t="n">
        <v>1128299</v>
      </c>
      <c r="D5799" s="10" t="n">
        <v>44432</v>
      </c>
      <c r="E5799" s="9" t="s">
        <v>33</v>
      </c>
      <c r="F5799" s="9" t="s">
        <v>82</v>
      </c>
      <c r="G5799" s="9" t="s">
        <v>65</v>
      </c>
      <c r="H5799" s="11" t="s">
        <v>19</v>
      </c>
      <c r="I5799" s="12" t="n">
        <v>81</v>
      </c>
      <c r="J5799" s="13" t="n">
        <v>200</v>
      </c>
      <c r="K5799" s="14" t="n">
        <f aca="false">I5799*J5799</f>
        <v>16200</v>
      </c>
      <c r="L5799" s="14" t="n">
        <f aca="false">($L$2*M5799)/100</f>
        <v>576799.92</v>
      </c>
      <c r="M5799" s="15" t="n">
        <v>0.48</v>
      </c>
      <c r="N5799" s="9" t="s">
        <v>85</v>
      </c>
    </row>
    <row r="5800" customFormat="false" ht="14.25" hidden="false" customHeight="true" outlineLevel="0" collapsed="false">
      <c r="B5800" s="9" t="s">
        <v>32</v>
      </c>
      <c r="C5800" s="9" t="n">
        <v>1128299</v>
      </c>
      <c r="D5800" s="10" t="n">
        <v>44432</v>
      </c>
      <c r="E5800" s="9" t="s">
        <v>33</v>
      </c>
      <c r="F5800" s="9" t="s">
        <v>82</v>
      </c>
      <c r="G5800" s="9" t="s">
        <v>65</v>
      </c>
      <c r="H5800" s="11" t="s">
        <v>21</v>
      </c>
      <c r="I5800" s="12" t="n">
        <v>76</v>
      </c>
      <c r="J5800" s="13" t="n">
        <v>233</v>
      </c>
      <c r="K5800" s="14" t="n">
        <f aca="false">I5800*J5800</f>
        <v>17708</v>
      </c>
      <c r="L5800" s="14" t="n">
        <f aca="false">($L$2*M5800)/100</f>
        <v>588816.585</v>
      </c>
      <c r="M5800" s="15" t="n">
        <v>0.49</v>
      </c>
      <c r="N5800" s="9" t="s">
        <v>85</v>
      </c>
    </row>
    <row r="5801" customFormat="false" ht="14.25" hidden="false" customHeight="true" outlineLevel="0" collapsed="false">
      <c r="B5801" s="9" t="s">
        <v>32</v>
      </c>
      <c r="C5801" s="9" t="n">
        <v>1128299</v>
      </c>
      <c r="D5801" s="10" t="n">
        <v>44432</v>
      </c>
      <c r="E5801" s="9" t="s">
        <v>33</v>
      </c>
      <c r="F5801" s="9" t="s">
        <v>82</v>
      </c>
      <c r="G5801" s="9" t="s">
        <v>65</v>
      </c>
      <c r="H5801" s="11" t="s">
        <v>22</v>
      </c>
      <c r="I5801" s="12" t="n">
        <v>68</v>
      </c>
      <c r="J5801" s="13" t="n">
        <v>195</v>
      </c>
      <c r="K5801" s="14" t="n">
        <f aca="false">I5801*J5801</f>
        <v>13260</v>
      </c>
      <c r="L5801" s="14" t="n">
        <f aca="false">($L$2*M5801)/100</f>
        <v>588816.585</v>
      </c>
      <c r="M5801" s="15" t="n">
        <v>0.49</v>
      </c>
      <c r="N5801" s="9" t="s">
        <v>85</v>
      </c>
    </row>
    <row r="5802" customFormat="false" ht="14.25" hidden="false" customHeight="true" outlineLevel="0" collapsed="false">
      <c r="B5802" s="9" t="s">
        <v>32</v>
      </c>
      <c r="C5802" s="9" t="n">
        <v>1128299</v>
      </c>
      <c r="D5802" s="10" t="n">
        <v>44432</v>
      </c>
      <c r="E5802" s="9" t="s">
        <v>33</v>
      </c>
      <c r="F5802" s="9" t="s">
        <v>82</v>
      </c>
      <c r="G5802" s="9" t="s">
        <v>65</v>
      </c>
      <c r="H5802" s="11" t="s">
        <v>23</v>
      </c>
      <c r="I5802" s="12" t="n">
        <v>68</v>
      </c>
      <c r="J5802" s="13" t="n">
        <v>119</v>
      </c>
      <c r="K5802" s="14" t="n">
        <f aca="false">I5802*J5802</f>
        <v>8092</v>
      </c>
      <c r="L5802" s="14" t="n">
        <f aca="false">($L$2*M5802)/100</f>
        <v>552766.59</v>
      </c>
      <c r="M5802" s="15" t="n">
        <v>0.46</v>
      </c>
      <c r="N5802" s="9" t="s">
        <v>85</v>
      </c>
    </row>
    <row r="5803" customFormat="false" ht="14.25" hidden="false" customHeight="true" outlineLevel="0" collapsed="false">
      <c r="B5803" s="9" t="s">
        <v>32</v>
      </c>
      <c r="C5803" s="9" t="n">
        <v>1128299</v>
      </c>
      <c r="D5803" s="10" t="n">
        <v>44432</v>
      </c>
      <c r="E5803" s="9" t="s">
        <v>33</v>
      </c>
      <c r="F5803" s="9" t="s">
        <v>82</v>
      </c>
      <c r="G5803" s="9" t="s">
        <v>65</v>
      </c>
      <c r="H5803" s="11" t="s">
        <v>24</v>
      </c>
      <c r="I5803" s="12" t="n">
        <v>65</v>
      </c>
      <c r="J5803" s="13" t="n">
        <v>128</v>
      </c>
      <c r="K5803" s="14" t="n">
        <f aca="false">I5803*J5803</f>
        <v>8320</v>
      </c>
      <c r="L5803" s="14" t="n">
        <f aca="false">($L$2*M5803)/100</f>
        <v>636883.245</v>
      </c>
      <c r="M5803" s="15" t="n">
        <v>0.53</v>
      </c>
      <c r="N5803" s="9" t="s">
        <v>85</v>
      </c>
    </row>
    <row r="5804" customFormat="false" ht="14.25" hidden="false" customHeight="true" outlineLevel="0" collapsed="false">
      <c r="B5804" s="9" t="s">
        <v>32</v>
      </c>
      <c r="C5804" s="9" t="n">
        <v>1128299</v>
      </c>
      <c r="D5804" s="10" t="n">
        <v>44432</v>
      </c>
      <c r="E5804" s="9" t="s">
        <v>33</v>
      </c>
      <c r="F5804" s="9" t="s">
        <v>82</v>
      </c>
      <c r="G5804" s="9" t="s">
        <v>65</v>
      </c>
      <c r="H5804" s="11" t="s">
        <v>25</v>
      </c>
      <c r="I5804" s="12" t="n">
        <v>69</v>
      </c>
      <c r="J5804" s="13" t="n">
        <v>73</v>
      </c>
      <c r="K5804" s="14" t="n">
        <f aca="false">I5804*J5804</f>
        <v>5037</v>
      </c>
      <c r="L5804" s="14" t="n">
        <f aca="false">($L$2*M5804)/100</f>
        <v>528733.26</v>
      </c>
      <c r="M5804" s="15" t="n">
        <v>0.44</v>
      </c>
      <c r="N5804" s="9" t="s">
        <v>85</v>
      </c>
    </row>
    <row r="5805" customFormat="false" ht="14.25" hidden="false" customHeight="true" outlineLevel="0" collapsed="false">
      <c r="B5805" s="9" t="s">
        <v>32</v>
      </c>
      <c r="C5805" s="9" t="n">
        <v>1128299</v>
      </c>
      <c r="D5805" s="10" t="n">
        <v>44464</v>
      </c>
      <c r="E5805" s="9" t="s">
        <v>33</v>
      </c>
      <c r="F5805" s="9" t="s">
        <v>82</v>
      </c>
      <c r="G5805" s="9" t="s">
        <v>65</v>
      </c>
      <c r="H5805" s="11" t="s">
        <v>19</v>
      </c>
      <c r="I5805" s="12" t="n">
        <v>46</v>
      </c>
      <c r="J5805" s="13" t="n">
        <v>122</v>
      </c>
      <c r="K5805" s="14" t="n">
        <f aca="false">I5805*J5805</f>
        <v>5612</v>
      </c>
      <c r="L5805" s="14" t="n">
        <f aca="false">($L$2*M5805)/100</f>
        <v>540749.925</v>
      </c>
      <c r="M5805" s="15" t="n">
        <v>0.45</v>
      </c>
      <c r="N5805" s="9" t="s">
        <v>85</v>
      </c>
    </row>
    <row r="5806" customFormat="false" ht="14.25" hidden="false" customHeight="true" outlineLevel="0" collapsed="false">
      <c r="B5806" s="9" t="s">
        <v>32</v>
      </c>
      <c r="C5806" s="9" t="n">
        <v>1128299</v>
      </c>
      <c r="D5806" s="10" t="n">
        <v>44464</v>
      </c>
      <c r="E5806" s="9" t="s">
        <v>33</v>
      </c>
      <c r="F5806" s="9" t="s">
        <v>82</v>
      </c>
      <c r="G5806" s="9" t="s">
        <v>65</v>
      </c>
      <c r="H5806" s="11" t="s">
        <v>21</v>
      </c>
      <c r="I5806" s="12" t="n">
        <v>51</v>
      </c>
      <c r="J5806" s="13" t="n">
        <v>122</v>
      </c>
      <c r="K5806" s="14" t="n">
        <f aca="false">I5806*J5806</f>
        <v>6222</v>
      </c>
      <c r="L5806" s="14" t="n">
        <f aca="false">($L$2*M5806)/100</f>
        <v>552766.59</v>
      </c>
      <c r="M5806" s="15" t="n">
        <v>0.46</v>
      </c>
      <c r="N5806" s="9" t="s">
        <v>85</v>
      </c>
    </row>
    <row r="5807" customFormat="false" ht="14.25" hidden="false" customHeight="true" outlineLevel="0" collapsed="false">
      <c r="B5807" s="9" t="s">
        <v>32</v>
      </c>
      <c r="C5807" s="9" t="n">
        <v>1128299</v>
      </c>
      <c r="D5807" s="10" t="n">
        <v>44464</v>
      </c>
      <c r="E5807" s="9" t="s">
        <v>33</v>
      </c>
      <c r="F5807" s="9" t="s">
        <v>82</v>
      </c>
      <c r="G5807" s="9" t="s">
        <v>65</v>
      </c>
      <c r="H5807" s="11" t="s">
        <v>22</v>
      </c>
      <c r="I5807" s="12" t="n">
        <v>49</v>
      </c>
      <c r="J5807" s="13" t="n">
        <v>75</v>
      </c>
      <c r="K5807" s="14" t="n">
        <f aca="false">I5807*J5807</f>
        <v>3675</v>
      </c>
      <c r="L5807" s="14" t="n">
        <f aca="false">($L$2*M5807)/100</f>
        <v>540749.925</v>
      </c>
      <c r="M5807" s="15" t="n">
        <v>0.45</v>
      </c>
      <c r="N5807" s="9" t="s">
        <v>85</v>
      </c>
    </row>
    <row r="5808" customFormat="false" ht="14.25" hidden="false" customHeight="true" outlineLevel="0" collapsed="false">
      <c r="B5808" s="9" t="s">
        <v>32</v>
      </c>
      <c r="C5808" s="9" t="n">
        <v>1128299</v>
      </c>
      <c r="D5808" s="10" t="n">
        <v>44464</v>
      </c>
      <c r="E5808" s="9" t="s">
        <v>33</v>
      </c>
      <c r="F5808" s="9" t="s">
        <v>82</v>
      </c>
      <c r="G5808" s="9" t="s">
        <v>65</v>
      </c>
      <c r="H5808" s="11" t="s">
        <v>23</v>
      </c>
      <c r="I5808" s="12" t="n">
        <v>49</v>
      </c>
      <c r="J5808" s="13" t="n">
        <v>52</v>
      </c>
      <c r="K5808" s="14" t="n">
        <f aca="false">I5808*J5808</f>
        <v>2548</v>
      </c>
      <c r="L5808" s="14" t="n">
        <f aca="false">($L$2*M5808)/100</f>
        <v>552766.59</v>
      </c>
      <c r="M5808" s="15" t="n">
        <v>0.46</v>
      </c>
      <c r="N5808" s="9" t="s">
        <v>85</v>
      </c>
    </row>
    <row r="5809" customFormat="false" ht="14.25" hidden="false" customHeight="true" outlineLevel="0" collapsed="false">
      <c r="B5809" s="9" t="s">
        <v>32</v>
      </c>
      <c r="C5809" s="9" t="n">
        <v>1128299</v>
      </c>
      <c r="D5809" s="10" t="n">
        <v>44464</v>
      </c>
      <c r="E5809" s="9" t="s">
        <v>33</v>
      </c>
      <c r="F5809" s="9" t="s">
        <v>82</v>
      </c>
      <c r="G5809" s="9" t="s">
        <v>65</v>
      </c>
      <c r="H5809" s="11" t="s">
        <v>24</v>
      </c>
      <c r="I5809" s="12" t="n">
        <v>58</v>
      </c>
      <c r="J5809" s="13" t="n">
        <v>59</v>
      </c>
      <c r="K5809" s="14" t="n">
        <f aca="false">I5809*J5809</f>
        <v>3422</v>
      </c>
      <c r="L5809" s="14" t="n">
        <f aca="false">($L$2*M5809)/100</f>
        <v>636883.245</v>
      </c>
      <c r="M5809" s="15" t="n">
        <v>0.53</v>
      </c>
      <c r="N5809" s="9" t="s">
        <v>85</v>
      </c>
    </row>
    <row r="5810" customFormat="false" ht="14.25" hidden="false" customHeight="true" outlineLevel="0" collapsed="false">
      <c r="B5810" s="9" t="s">
        <v>32</v>
      </c>
      <c r="C5810" s="9" t="n">
        <v>1128299</v>
      </c>
      <c r="D5810" s="10" t="n">
        <v>44464</v>
      </c>
      <c r="E5810" s="9" t="s">
        <v>33</v>
      </c>
      <c r="F5810" s="9" t="s">
        <v>82</v>
      </c>
      <c r="G5810" s="9" t="s">
        <v>65</v>
      </c>
      <c r="H5810" s="11" t="s">
        <v>25</v>
      </c>
      <c r="I5810" s="12" t="n">
        <v>41</v>
      </c>
      <c r="J5810" s="13" t="n">
        <v>73</v>
      </c>
      <c r="K5810" s="14" t="n">
        <f aca="false">I5810*J5810</f>
        <v>2993</v>
      </c>
      <c r="L5810" s="14" t="n">
        <f aca="false">($L$2*M5810)/100</f>
        <v>504699.93</v>
      </c>
      <c r="M5810" s="15" t="n">
        <v>0.42</v>
      </c>
      <c r="N5810" s="9" t="s">
        <v>85</v>
      </c>
    </row>
    <row r="5811" customFormat="false" ht="14.25" hidden="false" customHeight="true" outlineLevel="0" collapsed="false">
      <c r="B5811" s="9" t="s">
        <v>32</v>
      </c>
      <c r="C5811" s="9" t="n">
        <v>1128299</v>
      </c>
      <c r="D5811" s="10" t="n">
        <v>44493</v>
      </c>
      <c r="E5811" s="9" t="s">
        <v>33</v>
      </c>
      <c r="F5811" s="9" t="s">
        <v>82</v>
      </c>
      <c r="G5811" s="9" t="s">
        <v>65</v>
      </c>
      <c r="H5811" s="11" t="s">
        <v>19</v>
      </c>
      <c r="I5811" s="12" t="n">
        <v>38</v>
      </c>
      <c r="J5811" s="13" t="n">
        <v>102</v>
      </c>
      <c r="K5811" s="14" t="n">
        <f aca="false">I5811*J5811</f>
        <v>3876</v>
      </c>
      <c r="L5811" s="14" t="n">
        <f aca="false">($L$2*M5811)/100</f>
        <v>564783.255</v>
      </c>
      <c r="M5811" s="15" t="n">
        <v>0.47</v>
      </c>
      <c r="N5811" s="9" t="s">
        <v>85</v>
      </c>
    </row>
    <row r="5812" customFormat="false" ht="14.25" hidden="false" customHeight="true" outlineLevel="0" collapsed="false">
      <c r="B5812" s="9" t="s">
        <v>32</v>
      </c>
      <c r="C5812" s="9" t="n">
        <v>1128299</v>
      </c>
      <c r="D5812" s="10" t="n">
        <v>44493</v>
      </c>
      <c r="E5812" s="9" t="s">
        <v>33</v>
      </c>
      <c r="F5812" s="9" t="s">
        <v>82</v>
      </c>
      <c r="G5812" s="9" t="s">
        <v>65</v>
      </c>
      <c r="H5812" s="11" t="s">
        <v>21</v>
      </c>
      <c r="I5812" s="12" t="n">
        <v>50</v>
      </c>
      <c r="J5812" s="13" t="n">
        <v>142</v>
      </c>
      <c r="K5812" s="14" t="n">
        <f aca="false">I5812*J5812</f>
        <v>7100</v>
      </c>
      <c r="L5812" s="14" t="n">
        <f aca="false">($L$2*M5812)/100</f>
        <v>552766.59</v>
      </c>
      <c r="M5812" s="15" t="n">
        <v>0.46</v>
      </c>
      <c r="N5812" s="9" t="s">
        <v>85</v>
      </c>
    </row>
    <row r="5813" customFormat="false" ht="14.25" hidden="false" customHeight="true" outlineLevel="0" collapsed="false">
      <c r="B5813" s="9" t="s">
        <v>32</v>
      </c>
      <c r="C5813" s="9" t="n">
        <v>1128299</v>
      </c>
      <c r="D5813" s="10" t="n">
        <v>44493</v>
      </c>
      <c r="E5813" s="9" t="s">
        <v>33</v>
      </c>
      <c r="F5813" s="9" t="s">
        <v>82</v>
      </c>
      <c r="G5813" s="9" t="s">
        <v>65</v>
      </c>
      <c r="H5813" s="11" t="s">
        <v>22</v>
      </c>
      <c r="I5813" s="12" t="n">
        <v>46</v>
      </c>
      <c r="J5813" s="13" t="n">
        <v>91</v>
      </c>
      <c r="K5813" s="14" t="n">
        <f aca="false">I5813*J5813</f>
        <v>4186</v>
      </c>
      <c r="L5813" s="14" t="n">
        <f aca="false">($L$2*M5813)/100</f>
        <v>588816.585</v>
      </c>
      <c r="M5813" s="15" t="n">
        <v>0.49</v>
      </c>
      <c r="N5813" s="9" t="s">
        <v>85</v>
      </c>
    </row>
    <row r="5814" customFormat="false" ht="14.25" hidden="false" customHeight="true" outlineLevel="0" collapsed="false">
      <c r="B5814" s="9" t="s">
        <v>32</v>
      </c>
      <c r="C5814" s="9" t="n">
        <v>1128299</v>
      </c>
      <c r="D5814" s="10" t="n">
        <v>44493</v>
      </c>
      <c r="E5814" s="9" t="s">
        <v>33</v>
      </c>
      <c r="F5814" s="9" t="s">
        <v>82</v>
      </c>
      <c r="G5814" s="9" t="s">
        <v>65</v>
      </c>
      <c r="H5814" s="11" t="s">
        <v>23</v>
      </c>
      <c r="I5814" s="12" t="n">
        <v>44</v>
      </c>
      <c r="J5814" s="13" t="n">
        <v>81</v>
      </c>
      <c r="K5814" s="14" t="n">
        <f aca="false">I5814*J5814</f>
        <v>3564</v>
      </c>
      <c r="L5814" s="14" t="n">
        <f aca="false">($L$2*M5814)/100</f>
        <v>576799.92</v>
      </c>
      <c r="M5814" s="15" t="n">
        <v>0.48</v>
      </c>
      <c r="N5814" s="9" t="s">
        <v>85</v>
      </c>
    </row>
    <row r="5815" customFormat="false" ht="14.25" hidden="false" customHeight="true" outlineLevel="0" collapsed="false">
      <c r="B5815" s="9" t="s">
        <v>32</v>
      </c>
      <c r="C5815" s="9" t="n">
        <v>1128299</v>
      </c>
      <c r="D5815" s="10" t="n">
        <v>44493</v>
      </c>
      <c r="E5815" s="9" t="s">
        <v>33</v>
      </c>
      <c r="F5815" s="9" t="s">
        <v>82</v>
      </c>
      <c r="G5815" s="9" t="s">
        <v>65</v>
      </c>
      <c r="H5815" s="11" t="s">
        <v>24</v>
      </c>
      <c r="I5815" s="12" t="n">
        <v>51</v>
      </c>
      <c r="J5815" s="13" t="n">
        <v>75</v>
      </c>
      <c r="K5815" s="14" t="n">
        <f aca="false">I5815*J5815</f>
        <v>3825</v>
      </c>
      <c r="L5815" s="14" t="n">
        <f aca="false">($L$2*M5815)/100</f>
        <v>648899.91</v>
      </c>
      <c r="M5815" s="15" t="n">
        <v>0.54</v>
      </c>
      <c r="N5815" s="9" t="s">
        <v>85</v>
      </c>
    </row>
    <row r="5816" customFormat="false" ht="14.25" hidden="false" customHeight="true" outlineLevel="0" collapsed="false">
      <c r="B5816" s="9" t="s">
        <v>32</v>
      </c>
      <c r="C5816" s="9" t="n">
        <v>1128299</v>
      </c>
      <c r="D5816" s="10" t="n">
        <v>44493</v>
      </c>
      <c r="E5816" s="9" t="s">
        <v>33</v>
      </c>
      <c r="F5816" s="9" t="s">
        <v>82</v>
      </c>
      <c r="G5816" s="9" t="s">
        <v>65</v>
      </c>
      <c r="H5816" s="11" t="s">
        <v>25</v>
      </c>
      <c r="I5816" s="12" t="n">
        <v>58</v>
      </c>
      <c r="J5816" s="13" t="n">
        <v>105</v>
      </c>
      <c r="K5816" s="14" t="n">
        <f aca="false">I5816*J5816</f>
        <v>6090</v>
      </c>
      <c r="L5816" s="14" t="n">
        <f aca="false">($L$2*M5816)/100</f>
        <v>516716.595</v>
      </c>
      <c r="M5816" s="15" t="n">
        <v>0.43</v>
      </c>
      <c r="N5816" s="9" t="s">
        <v>85</v>
      </c>
    </row>
    <row r="5817" customFormat="false" ht="14.25" hidden="false" customHeight="true" outlineLevel="0" collapsed="false">
      <c r="B5817" s="9" t="s">
        <v>32</v>
      </c>
      <c r="C5817" s="9" t="n">
        <v>1128299</v>
      </c>
      <c r="D5817" s="10" t="n">
        <v>44524</v>
      </c>
      <c r="E5817" s="9" t="s">
        <v>33</v>
      </c>
      <c r="F5817" s="9" t="s">
        <v>82</v>
      </c>
      <c r="G5817" s="9" t="s">
        <v>65</v>
      </c>
      <c r="H5817" s="11" t="s">
        <v>19</v>
      </c>
      <c r="I5817" s="12" t="n">
        <v>44</v>
      </c>
      <c r="J5817" s="13" t="n">
        <v>173</v>
      </c>
      <c r="K5817" s="14" t="n">
        <f aca="false">I5817*J5817</f>
        <v>7612</v>
      </c>
      <c r="L5817" s="14" t="n">
        <f aca="false">($L$2*M5817)/100</f>
        <v>552766.59</v>
      </c>
      <c r="M5817" s="15" t="n">
        <v>0.46</v>
      </c>
      <c r="N5817" s="9" t="s">
        <v>85</v>
      </c>
    </row>
    <row r="5818" customFormat="false" ht="14.25" hidden="false" customHeight="true" outlineLevel="0" collapsed="false">
      <c r="B5818" s="9" t="s">
        <v>32</v>
      </c>
      <c r="C5818" s="9" t="n">
        <v>1128299</v>
      </c>
      <c r="D5818" s="10" t="n">
        <v>44524</v>
      </c>
      <c r="E5818" s="9" t="s">
        <v>33</v>
      </c>
      <c r="F5818" s="9" t="s">
        <v>82</v>
      </c>
      <c r="G5818" s="9" t="s">
        <v>65</v>
      </c>
      <c r="H5818" s="11" t="s">
        <v>21</v>
      </c>
      <c r="I5818" s="12" t="n">
        <v>48</v>
      </c>
      <c r="J5818" s="13" t="n">
        <v>195</v>
      </c>
      <c r="K5818" s="14" t="n">
        <f aca="false">I5818*J5818</f>
        <v>9360</v>
      </c>
      <c r="L5818" s="14" t="n">
        <f aca="false">($L$2*M5818)/100</f>
        <v>600833.25</v>
      </c>
      <c r="M5818" s="15" t="n">
        <v>0.5</v>
      </c>
      <c r="N5818" s="9" t="s">
        <v>85</v>
      </c>
    </row>
    <row r="5819" customFormat="false" ht="14.25" hidden="false" customHeight="true" outlineLevel="0" collapsed="false">
      <c r="B5819" s="9" t="s">
        <v>32</v>
      </c>
      <c r="C5819" s="9" t="n">
        <v>1128299</v>
      </c>
      <c r="D5819" s="10" t="n">
        <v>44524</v>
      </c>
      <c r="E5819" s="9" t="s">
        <v>33</v>
      </c>
      <c r="F5819" s="9" t="s">
        <v>82</v>
      </c>
      <c r="G5819" s="9" t="s">
        <v>65</v>
      </c>
      <c r="H5819" s="11" t="s">
        <v>22</v>
      </c>
      <c r="I5819" s="12" t="n">
        <v>42</v>
      </c>
      <c r="J5819" s="13" t="n">
        <v>128</v>
      </c>
      <c r="K5819" s="14" t="n">
        <f aca="false">I5819*J5819</f>
        <v>5376</v>
      </c>
      <c r="L5819" s="14" t="n">
        <f aca="false">($L$2*M5819)/100</f>
        <v>600833.25</v>
      </c>
      <c r="M5819" s="15" t="n">
        <v>0.5</v>
      </c>
      <c r="N5819" s="9" t="s">
        <v>85</v>
      </c>
    </row>
    <row r="5820" customFormat="false" ht="14.25" hidden="false" customHeight="true" outlineLevel="0" collapsed="false">
      <c r="B5820" s="9" t="s">
        <v>32</v>
      </c>
      <c r="C5820" s="9" t="n">
        <v>1128299</v>
      </c>
      <c r="D5820" s="10" t="n">
        <v>44524</v>
      </c>
      <c r="E5820" s="9" t="s">
        <v>33</v>
      </c>
      <c r="F5820" s="9" t="s">
        <v>82</v>
      </c>
      <c r="G5820" s="9" t="s">
        <v>65</v>
      </c>
      <c r="H5820" s="11" t="s">
        <v>23</v>
      </c>
      <c r="I5820" s="12" t="n">
        <v>51</v>
      </c>
      <c r="J5820" s="13" t="n">
        <v>131</v>
      </c>
      <c r="K5820" s="14" t="n">
        <f aca="false">I5820*J5820</f>
        <v>6681</v>
      </c>
      <c r="L5820" s="14" t="n">
        <f aca="false">($L$2*M5820)/100</f>
        <v>552766.59</v>
      </c>
      <c r="M5820" s="15" t="n">
        <v>0.46</v>
      </c>
      <c r="N5820" s="9" t="s">
        <v>85</v>
      </c>
    </row>
    <row r="5821" customFormat="false" ht="14.25" hidden="false" customHeight="true" outlineLevel="0" collapsed="false">
      <c r="B5821" s="9" t="s">
        <v>32</v>
      </c>
      <c r="C5821" s="9" t="n">
        <v>1128299</v>
      </c>
      <c r="D5821" s="10" t="n">
        <v>44524</v>
      </c>
      <c r="E5821" s="9" t="s">
        <v>33</v>
      </c>
      <c r="F5821" s="9" t="s">
        <v>82</v>
      </c>
      <c r="G5821" s="9" t="s">
        <v>65</v>
      </c>
      <c r="H5821" s="11" t="s">
        <v>24</v>
      </c>
      <c r="I5821" s="12" t="n">
        <v>68</v>
      </c>
      <c r="J5821" s="13" t="n">
        <v>111</v>
      </c>
      <c r="K5821" s="14" t="n">
        <f aca="false">I5821*J5821</f>
        <v>7548</v>
      </c>
      <c r="L5821" s="14" t="n">
        <f aca="false">($L$2*M5821)/100</f>
        <v>648899.91</v>
      </c>
      <c r="M5821" s="15" t="n">
        <v>0.54</v>
      </c>
      <c r="N5821" s="9" t="s">
        <v>85</v>
      </c>
    </row>
    <row r="5822" customFormat="false" ht="14.25" hidden="false" customHeight="true" outlineLevel="0" collapsed="false">
      <c r="B5822" s="9" t="s">
        <v>32</v>
      </c>
      <c r="C5822" s="9" t="n">
        <v>1128299</v>
      </c>
      <c r="D5822" s="10" t="n">
        <v>44524</v>
      </c>
      <c r="E5822" s="9" t="s">
        <v>33</v>
      </c>
      <c r="F5822" s="9" t="s">
        <v>82</v>
      </c>
      <c r="G5822" s="9" t="s">
        <v>65</v>
      </c>
      <c r="H5822" s="11" t="s">
        <v>25</v>
      </c>
      <c r="I5822" s="12" t="n">
        <v>76</v>
      </c>
      <c r="J5822" s="13" t="n">
        <v>149</v>
      </c>
      <c r="K5822" s="14" t="n">
        <f aca="false">I5822*J5822</f>
        <v>11324</v>
      </c>
      <c r="L5822" s="14" t="n">
        <f aca="false">($L$2*M5822)/100</f>
        <v>504699.93</v>
      </c>
      <c r="M5822" s="15" t="n">
        <v>0.42</v>
      </c>
      <c r="N5822" s="9" t="s">
        <v>85</v>
      </c>
    </row>
    <row r="5823" customFormat="false" ht="14.25" hidden="false" customHeight="true" outlineLevel="0" collapsed="false">
      <c r="B5823" s="9" t="s">
        <v>32</v>
      </c>
      <c r="C5823" s="9" t="n">
        <v>1128299</v>
      </c>
      <c r="D5823" s="10" t="n">
        <v>44553</v>
      </c>
      <c r="E5823" s="9" t="s">
        <v>33</v>
      </c>
      <c r="F5823" s="9" t="s">
        <v>82</v>
      </c>
      <c r="G5823" s="9" t="s">
        <v>65</v>
      </c>
      <c r="H5823" s="11" t="s">
        <v>19</v>
      </c>
      <c r="I5823" s="12" t="n">
        <v>61</v>
      </c>
      <c r="J5823" s="13" t="n">
        <v>188</v>
      </c>
      <c r="K5823" s="14" t="n">
        <f aca="false">I5823*J5823</f>
        <v>11468</v>
      </c>
      <c r="L5823" s="14" t="n">
        <f aca="false">($L$2*M5823)/100</f>
        <v>576799.92</v>
      </c>
      <c r="M5823" s="15" t="n">
        <v>0.48</v>
      </c>
      <c r="N5823" s="9" t="s">
        <v>85</v>
      </c>
    </row>
    <row r="5824" customFormat="false" ht="14.25" hidden="false" customHeight="true" outlineLevel="0" collapsed="false">
      <c r="B5824" s="9" t="s">
        <v>32</v>
      </c>
      <c r="C5824" s="9" t="n">
        <v>1128299</v>
      </c>
      <c r="D5824" s="10" t="n">
        <v>44553</v>
      </c>
      <c r="E5824" s="9" t="s">
        <v>33</v>
      </c>
      <c r="F5824" s="9" t="s">
        <v>82</v>
      </c>
      <c r="G5824" s="9" t="s">
        <v>65</v>
      </c>
      <c r="H5824" s="11" t="s">
        <v>21</v>
      </c>
      <c r="I5824" s="12" t="n">
        <v>72</v>
      </c>
      <c r="J5824" s="13" t="n">
        <v>218</v>
      </c>
      <c r="K5824" s="14" t="n">
        <f aca="false">I5824*J5824</f>
        <v>15696</v>
      </c>
      <c r="L5824" s="14" t="n">
        <f aca="false">($L$2*M5824)/100</f>
        <v>564783.255</v>
      </c>
      <c r="M5824" s="15" t="n">
        <v>0.47</v>
      </c>
      <c r="N5824" s="9" t="s">
        <v>85</v>
      </c>
    </row>
    <row r="5825" customFormat="false" ht="14.25" hidden="false" customHeight="true" outlineLevel="0" collapsed="false">
      <c r="B5825" s="9" t="s">
        <v>32</v>
      </c>
      <c r="C5825" s="9" t="n">
        <v>1128299</v>
      </c>
      <c r="D5825" s="10" t="n">
        <v>44553</v>
      </c>
      <c r="E5825" s="9" t="s">
        <v>33</v>
      </c>
      <c r="F5825" s="9" t="s">
        <v>82</v>
      </c>
      <c r="G5825" s="9" t="s">
        <v>65</v>
      </c>
      <c r="H5825" s="11" t="s">
        <v>22</v>
      </c>
      <c r="I5825" s="12" t="n">
        <v>67</v>
      </c>
      <c r="J5825" s="13" t="n">
        <v>165</v>
      </c>
      <c r="K5825" s="14" t="n">
        <f aca="false">I5825*J5825</f>
        <v>11055</v>
      </c>
      <c r="L5825" s="14" t="n">
        <f aca="false">($L$2*M5825)/100</f>
        <v>540749.925</v>
      </c>
      <c r="M5825" s="15" t="n">
        <v>0.45</v>
      </c>
      <c r="N5825" s="9" t="s">
        <v>85</v>
      </c>
    </row>
    <row r="5826" customFormat="false" ht="14.25" hidden="false" customHeight="true" outlineLevel="0" collapsed="false">
      <c r="B5826" s="9" t="s">
        <v>32</v>
      </c>
      <c r="C5826" s="9" t="n">
        <v>1128299</v>
      </c>
      <c r="D5826" s="10" t="n">
        <v>44553</v>
      </c>
      <c r="E5826" s="9" t="s">
        <v>33</v>
      </c>
      <c r="F5826" s="9" t="s">
        <v>82</v>
      </c>
      <c r="G5826" s="9" t="s">
        <v>65</v>
      </c>
      <c r="H5826" s="11" t="s">
        <v>23</v>
      </c>
      <c r="I5826" s="12" t="n">
        <v>67</v>
      </c>
      <c r="J5826" s="13" t="n">
        <v>143</v>
      </c>
      <c r="K5826" s="14" t="n">
        <f aca="false">I5826*J5826</f>
        <v>9581</v>
      </c>
      <c r="L5826" s="14" t="n">
        <f aca="false">($L$2*M5826)/100</f>
        <v>540749.925</v>
      </c>
      <c r="M5826" s="15" t="n">
        <v>0.45</v>
      </c>
      <c r="N5826" s="9" t="s">
        <v>85</v>
      </c>
    </row>
    <row r="5827" customFormat="false" ht="14.25" hidden="false" customHeight="true" outlineLevel="0" collapsed="false">
      <c r="B5827" s="9" t="s">
        <v>32</v>
      </c>
      <c r="C5827" s="9" t="n">
        <v>1128299</v>
      </c>
      <c r="D5827" s="10" t="n">
        <v>44553</v>
      </c>
      <c r="E5827" s="9" t="s">
        <v>33</v>
      </c>
      <c r="F5827" s="9" t="s">
        <v>82</v>
      </c>
      <c r="G5827" s="9" t="s">
        <v>65</v>
      </c>
      <c r="H5827" s="11" t="s">
        <v>24</v>
      </c>
      <c r="I5827" s="12" t="n">
        <v>72</v>
      </c>
      <c r="J5827" s="13" t="n">
        <v>133</v>
      </c>
      <c r="K5827" s="14" t="n">
        <f aca="false">I5827*J5827</f>
        <v>9576</v>
      </c>
      <c r="L5827" s="14" t="n">
        <f aca="false">($L$2*M5827)/100</f>
        <v>600833.25</v>
      </c>
      <c r="M5827" s="15" t="n">
        <v>0.5</v>
      </c>
      <c r="N5827" s="9" t="s">
        <v>85</v>
      </c>
    </row>
    <row r="5828" customFormat="false" ht="14.25" hidden="false" customHeight="true" outlineLevel="0" collapsed="false">
      <c r="B5828" s="9" t="s">
        <v>32</v>
      </c>
      <c r="C5828" s="9" t="n">
        <v>1128299</v>
      </c>
      <c r="D5828" s="10" t="n">
        <v>44553</v>
      </c>
      <c r="E5828" s="9" t="s">
        <v>33</v>
      </c>
      <c r="F5828" s="9" t="s">
        <v>82</v>
      </c>
      <c r="G5828" s="9" t="s">
        <v>65</v>
      </c>
      <c r="H5828" s="11" t="s">
        <v>25</v>
      </c>
      <c r="I5828" s="12" t="n">
        <v>77</v>
      </c>
      <c r="J5828" s="13" t="n">
        <v>173</v>
      </c>
      <c r="K5828" s="14" t="n">
        <f aca="false">I5828*J5828</f>
        <v>13321</v>
      </c>
      <c r="L5828" s="14" t="n">
        <f aca="false">($L$2*M5828)/100</f>
        <v>480666.6</v>
      </c>
      <c r="M5828" s="15" t="n">
        <v>0.4</v>
      </c>
      <c r="N5828" s="9" t="s">
        <v>85</v>
      </c>
    </row>
    <row r="5829" customFormat="false" ht="14.25" hidden="false" customHeight="true" outlineLevel="0" collapsed="false">
      <c r="B5829" s="9" t="s">
        <v>32</v>
      </c>
      <c r="C5829" s="9" t="n">
        <v>1128299</v>
      </c>
      <c r="D5829" s="10" t="n">
        <v>44213</v>
      </c>
      <c r="E5829" s="9" t="s">
        <v>33</v>
      </c>
      <c r="F5829" s="9" t="s">
        <v>82</v>
      </c>
      <c r="G5829" s="9" t="s">
        <v>65</v>
      </c>
      <c r="H5829" s="11" t="s">
        <v>19</v>
      </c>
      <c r="I5829" s="12" t="n">
        <v>33</v>
      </c>
      <c r="J5829" s="13" t="n">
        <v>100</v>
      </c>
      <c r="K5829" s="14" t="n">
        <f aca="false">I5829*J5829</f>
        <v>3300</v>
      </c>
      <c r="L5829" s="14" t="n">
        <f aca="false">($L$2*M5829)/100</f>
        <v>612849.915</v>
      </c>
      <c r="M5829" s="15" t="n">
        <v>0.51</v>
      </c>
      <c r="N5829" s="9" t="s">
        <v>85</v>
      </c>
    </row>
    <row r="5830" customFormat="false" ht="14.25" hidden="false" customHeight="true" outlineLevel="0" collapsed="false">
      <c r="B5830" s="9" t="s">
        <v>32</v>
      </c>
      <c r="C5830" s="9" t="n">
        <v>1128299</v>
      </c>
      <c r="D5830" s="10" t="n">
        <v>44213</v>
      </c>
      <c r="E5830" s="9" t="s">
        <v>33</v>
      </c>
      <c r="F5830" s="9" t="s">
        <v>82</v>
      </c>
      <c r="G5830" s="9" t="s">
        <v>65</v>
      </c>
      <c r="H5830" s="11" t="s">
        <v>21</v>
      </c>
      <c r="I5830" s="12" t="n">
        <v>42</v>
      </c>
      <c r="J5830" s="13" t="n">
        <v>100</v>
      </c>
      <c r="K5830" s="14" t="n">
        <f aca="false">I5830*J5830</f>
        <v>4200</v>
      </c>
      <c r="L5830" s="14" t="n">
        <f aca="false">($L$2*M5830)/100</f>
        <v>648899.91</v>
      </c>
      <c r="M5830" s="15" t="n">
        <v>0.54</v>
      </c>
      <c r="N5830" s="9" t="s">
        <v>85</v>
      </c>
    </row>
    <row r="5831" customFormat="false" ht="14.25" hidden="false" customHeight="true" outlineLevel="0" collapsed="false">
      <c r="B5831" s="9" t="s">
        <v>32</v>
      </c>
      <c r="C5831" s="9" t="n">
        <v>1128299</v>
      </c>
      <c r="D5831" s="10" t="n">
        <v>44213</v>
      </c>
      <c r="E5831" s="9" t="s">
        <v>33</v>
      </c>
      <c r="F5831" s="9" t="s">
        <v>82</v>
      </c>
      <c r="G5831" s="9" t="s">
        <v>65</v>
      </c>
      <c r="H5831" s="11" t="s">
        <v>22</v>
      </c>
      <c r="I5831" s="12" t="n">
        <v>43</v>
      </c>
      <c r="J5831" s="13" t="n">
        <v>112</v>
      </c>
      <c r="K5831" s="14" t="n">
        <f aca="false">I5831*J5831</f>
        <v>4816</v>
      </c>
      <c r="L5831" s="14" t="n">
        <f aca="false">($L$2*M5831)/100</f>
        <v>648899.91</v>
      </c>
      <c r="M5831" s="15" t="n">
        <v>0.54</v>
      </c>
      <c r="N5831" s="9" t="s">
        <v>85</v>
      </c>
    </row>
    <row r="5832" customFormat="false" ht="14.25" hidden="false" customHeight="true" outlineLevel="0" collapsed="false">
      <c r="B5832" s="9" t="s">
        <v>32</v>
      </c>
      <c r="C5832" s="9" t="n">
        <v>1128299</v>
      </c>
      <c r="D5832" s="10" t="n">
        <v>44213</v>
      </c>
      <c r="E5832" s="9" t="s">
        <v>33</v>
      </c>
      <c r="F5832" s="9" t="s">
        <v>82</v>
      </c>
      <c r="G5832" s="9" t="s">
        <v>65</v>
      </c>
      <c r="H5832" s="11" t="s">
        <v>23</v>
      </c>
      <c r="I5832" s="12" t="n">
        <v>41</v>
      </c>
      <c r="J5832" s="13" t="n">
        <v>68</v>
      </c>
      <c r="K5832" s="14" t="n">
        <f aca="false">I5832*J5832</f>
        <v>2788</v>
      </c>
      <c r="L5832" s="14" t="n">
        <f aca="false">($L$2*M5832)/100</f>
        <v>660916.575</v>
      </c>
      <c r="M5832" s="15" t="n">
        <v>0.55</v>
      </c>
      <c r="N5832" s="9" t="s">
        <v>85</v>
      </c>
    </row>
    <row r="5833" customFormat="false" ht="14.25" hidden="false" customHeight="true" outlineLevel="0" collapsed="false">
      <c r="B5833" s="9" t="s">
        <v>32</v>
      </c>
      <c r="C5833" s="9" t="n">
        <v>1128299</v>
      </c>
      <c r="D5833" s="10" t="n">
        <v>44213</v>
      </c>
      <c r="E5833" s="9" t="s">
        <v>33</v>
      </c>
      <c r="F5833" s="9" t="s">
        <v>82</v>
      </c>
      <c r="G5833" s="9" t="s">
        <v>65</v>
      </c>
      <c r="H5833" s="11" t="s">
        <v>24</v>
      </c>
      <c r="I5833" s="12" t="n">
        <v>46</v>
      </c>
      <c r="J5833" s="13" t="n">
        <v>58</v>
      </c>
      <c r="K5833" s="14" t="n">
        <f aca="false">I5833*J5833</f>
        <v>2668</v>
      </c>
      <c r="L5833" s="14" t="n">
        <f aca="false">($L$2*M5833)/100</f>
        <v>708983.235</v>
      </c>
      <c r="M5833" s="15" t="n">
        <v>0.59</v>
      </c>
      <c r="N5833" s="9" t="s">
        <v>85</v>
      </c>
    </row>
    <row r="5834" customFormat="false" ht="14.25" hidden="false" customHeight="true" outlineLevel="0" collapsed="false">
      <c r="B5834" s="9" t="s">
        <v>32</v>
      </c>
      <c r="C5834" s="9" t="n">
        <v>1128299</v>
      </c>
      <c r="D5834" s="10" t="n">
        <v>44213</v>
      </c>
      <c r="E5834" s="9" t="s">
        <v>33</v>
      </c>
      <c r="F5834" s="9" t="s">
        <v>82</v>
      </c>
      <c r="G5834" s="9" t="s">
        <v>65</v>
      </c>
      <c r="H5834" s="11" t="s">
        <v>25</v>
      </c>
      <c r="I5834" s="12" t="n">
        <v>41</v>
      </c>
      <c r="J5834" s="13" t="n">
        <v>122</v>
      </c>
      <c r="K5834" s="14" t="n">
        <f aca="false">I5834*J5834</f>
        <v>5002</v>
      </c>
      <c r="L5834" s="14" t="n">
        <f aca="false">($L$2*M5834)/100</f>
        <v>576799.92</v>
      </c>
      <c r="M5834" s="15" t="n">
        <v>0.48</v>
      </c>
      <c r="N5834" s="9" t="s">
        <v>85</v>
      </c>
    </row>
    <row r="5835" customFormat="false" ht="14.25" hidden="false" customHeight="true" outlineLevel="0" collapsed="false">
      <c r="B5835" s="9" t="s">
        <v>32</v>
      </c>
      <c r="C5835" s="9" t="n">
        <v>1128299</v>
      </c>
      <c r="D5835" s="10" t="n">
        <v>44244</v>
      </c>
      <c r="E5835" s="9" t="s">
        <v>33</v>
      </c>
      <c r="F5835" s="9" t="s">
        <v>82</v>
      </c>
      <c r="G5835" s="9" t="s">
        <v>65</v>
      </c>
      <c r="H5835" s="11" t="s">
        <v>19</v>
      </c>
      <c r="I5835" s="12" t="n">
        <v>33</v>
      </c>
      <c r="J5835" s="13" t="n">
        <v>140</v>
      </c>
      <c r="K5835" s="14" t="n">
        <f aca="false">I5835*J5835</f>
        <v>4620</v>
      </c>
      <c r="L5835" s="14" t="n">
        <f aca="false">($L$2*M5835)/100</f>
        <v>636883.245</v>
      </c>
      <c r="M5835" s="15" t="n">
        <v>0.53</v>
      </c>
      <c r="N5835" s="9" t="s">
        <v>85</v>
      </c>
    </row>
    <row r="5836" customFormat="false" ht="14.25" hidden="false" customHeight="true" outlineLevel="0" collapsed="false">
      <c r="B5836" s="9" t="s">
        <v>32</v>
      </c>
      <c r="C5836" s="9" t="n">
        <v>1128299</v>
      </c>
      <c r="D5836" s="10" t="n">
        <v>44244</v>
      </c>
      <c r="E5836" s="9" t="s">
        <v>33</v>
      </c>
      <c r="F5836" s="9" t="s">
        <v>82</v>
      </c>
      <c r="G5836" s="9" t="s">
        <v>65</v>
      </c>
      <c r="H5836" s="11" t="s">
        <v>21</v>
      </c>
      <c r="I5836" s="12" t="n">
        <v>41</v>
      </c>
      <c r="J5836" s="13" t="n">
        <v>116</v>
      </c>
      <c r="K5836" s="14" t="n">
        <f aca="false">I5836*J5836</f>
        <v>4756</v>
      </c>
      <c r="L5836" s="14" t="n">
        <f aca="false">($L$2*M5836)/100</f>
        <v>612849.915</v>
      </c>
      <c r="M5836" s="15" t="n">
        <v>0.51</v>
      </c>
      <c r="N5836" s="9" t="s">
        <v>85</v>
      </c>
    </row>
    <row r="5837" customFormat="false" ht="14.25" hidden="false" customHeight="true" outlineLevel="0" collapsed="false">
      <c r="B5837" s="9" t="s">
        <v>32</v>
      </c>
      <c r="C5837" s="9" t="n">
        <v>1128299</v>
      </c>
      <c r="D5837" s="10" t="n">
        <v>44244</v>
      </c>
      <c r="E5837" s="9" t="s">
        <v>33</v>
      </c>
      <c r="F5837" s="9" t="s">
        <v>82</v>
      </c>
      <c r="G5837" s="9" t="s">
        <v>65</v>
      </c>
      <c r="H5837" s="11" t="s">
        <v>22</v>
      </c>
      <c r="I5837" s="12" t="n">
        <v>41</v>
      </c>
      <c r="J5837" s="13" t="n">
        <v>120</v>
      </c>
      <c r="K5837" s="14" t="n">
        <f aca="false">I5837*J5837</f>
        <v>4920</v>
      </c>
      <c r="L5837" s="14" t="n">
        <f aca="false">($L$2*M5837)/100</f>
        <v>624866.58</v>
      </c>
      <c r="M5837" s="15" t="n">
        <v>0.52</v>
      </c>
      <c r="N5837" s="9" t="s">
        <v>85</v>
      </c>
    </row>
    <row r="5838" customFormat="false" ht="14.25" hidden="false" customHeight="true" outlineLevel="0" collapsed="false">
      <c r="B5838" s="9" t="s">
        <v>32</v>
      </c>
      <c r="C5838" s="9" t="n">
        <v>1128299</v>
      </c>
      <c r="D5838" s="10" t="n">
        <v>44244</v>
      </c>
      <c r="E5838" s="9" t="s">
        <v>29</v>
      </c>
      <c r="F5838" s="9" t="s">
        <v>83</v>
      </c>
      <c r="G5838" s="9" t="s">
        <v>84</v>
      </c>
      <c r="H5838" s="11" t="s">
        <v>23</v>
      </c>
      <c r="I5838" s="12" t="n">
        <v>44</v>
      </c>
      <c r="J5838" s="13" t="n">
        <v>73</v>
      </c>
      <c r="K5838" s="14" t="n">
        <f aca="false">I5838*J5838</f>
        <v>3212</v>
      </c>
      <c r="L5838" s="14" t="n">
        <f aca="false">($L$2*M5838)/100</f>
        <v>660916.575</v>
      </c>
      <c r="M5838" s="15" t="n">
        <v>0.55</v>
      </c>
      <c r="N5838" s="9" t="s">
        <v>85</v>
      </c>
    </row>
    <row r="5839" customFormat="false" ht="14.25" hidden="false" customHeight="true" outlineLevel="0" collapsed="false">
      <c r="B5839" s="9" t="s">
        <v>32</v>
      </c>
      <c r="C5839" s="9" t="n">
        <v>1128299</v>
      </c>
      <c r="D5839" s="10" t="n">
        <v>44244</v>
      </c>
      <c r="E5839" s="9" t="s">
        <v>29</v>
      </c>
      <c r="F5839" s="9" t="s">
        <v>83</v>
      </c>
      <c r="G5839" s="9" t="s">
        <v>84</v>
      </c>
      <c r="H5839" s="11" t="s">
        <v>24</v>
      </c>
      <c r="I5839" s="12" t="n">
        <v>48</v>
      </c>
      <c r="J5839" s="13" t="n">
        <v>51</v>
      </c>
      <c r="K5839" s="14" t="n">
        <f aca="false">I5839*J5839</f>
        <v>2448</v>
      </c>
      <c r="L5839" s="14" t="n">
        <f aca="false">($L$2*M5839)/100</f>
        <v>720999.9</v>
      </c>
      <c r="M5839" s="15" t="n">
        <v>0.6</v>
      </c>
      <c r="N5839" s="9" t="s">
        <v>85</v>
      </c>
    </row>
    <row r="5840" customFormat="false" ht="14.25" hidden="false" customHeight="true" outlineLevel="0" collapsed="false">
      <c r="B5840" s="9" t="s">
        <v>32</v>
      </c>
      <c r="C5840" s="9" t="n">
        <v>1128299</v>
      </c>
      <c r="D5840" s="10" t="n">
        <v>44244</v>
      </c>
      <c r="E5840" s="9" t="s">
        <v>29</v>
      </c>
      <c r="F5840" s="9" t="s">
        <v>83</v>
      </c>
      <c r="G5840" s="9" t="s">
        <v>84</v>
      </c>
      <c r="H5840" s="11" t="s">
        <v>25</v>
      </c>
      <c r="I5840" s="12" t="n">
        <v>44</v>
      </c>
      <c r="J5840" s="13" t="n">
        <v>105</v>
      </c>
      <c r="K5840" s="14" t="n">
        <f aca="false">I5840*J5840</f>
        <v>4620</v>
      </c>
      <c r="L5840" s="14" t="n">
        <f aca="false">($L$2*M5840)/100</f>
        <v>576799.92</v>
      </c>
      <c r="M5840" s="15" t="n">
        <v>0.48</v>
      </c>
      <c r="N5840" s="9" t="s">
        <v>85</v>
      </c>
    </row>
    <row r="5841" customFormat="false" ht="14.25" hidden="false" customHeight="true" outlineLevel="0" collapsed="false">
      <c r="B5841" s="9" t="s">
        <v>32</v>
      </c>
      <c r="C5841" s="9" t="n">
        <v>1128299</v>
      </c>
      <c r="D5841" s="10" t="n">
        <v>44271</v>
      </c>
      <c r="E5841" s="9" t="s">
        <v>29</v>
      </c>
      <c r="F5841" s="9" t="s">
        <v>83</v>
      </c>
      <c r="G5841" s="9" t="s">
        <v>84</v>
      </c>
      <c r="H5841" s="11" t="s">
        <v>19</v>
      </c>
      <c r="I5841" s="12" t="n">
        <v>44</v>
      </c>
      <c r="J5841" s="13" t="n">
        <v>147</v>
      </c>
      <c r="K5841" s="14" t="n">
        <f aca="false">I5841*J5841</f>
        <v>6468</v>
      </c>
      <c r="L5841" s="14" t="n">
        <f aca="false">($L$2*M5841)/100</f>
        <v>612849.915</v>
      </c>
      <c r="M5841" s="15" t="n">
        <v>0.51</v>
      </c>
      <c r="N5841" s="9" t="s">
        <v>85</v>
      </c>
    </row>
    <row r="5842" customFormat="false" ht="14.25" hidden="false" customHeight="true" outlineLevel="0" collapsed="false">
      <c r="B5842" s="9" t="s">
        <v>32</v>
      </c>
      <c r="C5842" s="9" t="n">
        <v>1128299</v>
      </c>
      <c r="D5842" s="10" t="n">
        <v>44271</v>
      </c>
      <c r="E5842" s="9" t="s">
        <v>29</v>
      </c>
      <c r="F5842" s="9" t="s">
        <v>83</v>
      </c>
      <c r="G5842" s="9" t="s">
        <v>84</v>
      </c>
      <c r="H5842" s="11" t="s">
        <v>21</v>
      </c>
      <c r="I5842" s="12" t="n">
        <v>51</v>
      </c>
      <c r="J5842" s="13" t="n">
        <v>101</v>
      </c>
      <c r="K5842" s="14" t="n">
        <f aca="false">I5842*J5842</f>
        <v>5151</v>
      </c>
      <c r="L5842" s="14" t="n">
        <f aca="false">($L$2*M5842)/100</f>
        <v>660916.575</v>
      </c>
      <c r="M5842" s="15" t="n">
        <v>0.55</v>
      </c>
      <c r="N5842" s="9" t="s">
        <v>85</v>
      </c>
    </row>
    <row r="5843" customFormat="false" ht="14.25" hidden="false" customHeight="true" outlineLevel="0" collapsed="false">
      <c r="B5843" s="9" t="s">
        <v>32</v>
      </c>
      <c r="C5843" s="9" t="n">
        <v>1128299</v>
      </c>
      <c r="D5843" s="10" t="n">
        <v>44271</v>
      </c>
      <c r="E5843" s="9" t="s">
        <v>29</v>
      </c>
      <c r="F5843" s="9" t="s">
        <v>83</v>
      </c>
      <c r="G5843" s="9" t="s">
        <v>84</v>
      </c>
      <c r="H5843" s="11" t="s">
        <v>22</v>
      </c>
      <c r="I5843" s="12" t="n">
        <v>56</v>
      </c>
      <c r="J5843" s="13" t="n">
        <v>116</v>
      </c>
      <c r="K5843" s="14" t="n">
        <f aca="false">I5843*J5843</f>
        <v>6496</v>
      </c>
      <c r="L5843" s="14" t="n">
        <f aca="false">($L$2*M5843)/100</f>
        <v>660916.575</v>
      </c>
      <c r="M5843" s="15" t="n">
        <v>0.55</v>
      </c>
      <c r="N5843" s="9" t="s">
        <v>85</v>
      </c>
    </row>
    <row r="5844" customFormat="false" ht="14.25" hidden="false" customHeight="true" outlineLevel="0" collapsed="false">
      <c r="B5844" s="9" t="s">
        <v>32</v>
      </c>
      <c r="C5844" s="9" t="n">
        <v>1128299</v>
      </c>
      <c r="D5844" s="10" t="n">
        <v>44271</v>
      </c>
      <c r="E5844" s="9" t="s">
        <v>29</v>
      </c>
      <c r="F5844" s="9" t="s">
        <v>83</v>
      </c>
      <c r="G5844" s="9" t="s">
        <v>84</v>
      </c>
      <c r="H5844" s="11" t="s">
        <v>23</v>
      </c>
      <c r="I5844" s="12" t="n">
        <v>50</v>
      </c>
      <c r="J5844" s="13" t="n">
        <v>84</v>
      </c>
      <c r="K5844" s="14" t="n">
        <f aca="false">I5844*J5844</f>
        <v>4200</v>
      </c>
      <c r="L5844" s="14" t="n">
        <f aca="false">($L$2*M5844)/100</f>
        <v>660916.575</v>
      </c>
      <c r="M5844" s="15" t="n">
        <v>0.55</v>
      </c>
      <c r="N5844" s="9" t="s">
        <v>85</v>
      </c>
    </row>
    <row r="5845" customFormat="false" ht="14.25" hidden="false" customHeight="true" outlineLevel="0" collapsed="false">
      <c r="B5845" s="9" t="s">
        <v>32</v>
      </c>
      <c r="C5845" s="9" t="n">
        <v>1128299</v>
      </c>
      <c r="D5845" s="10" t="n">
        <v>44271</v>
      </c>
      <c r="E5845" s="9" t="s">
        <v>29</v>
      </c>
      <c r="F5845" s="9" t="s">
        <v>83</v>
      </c>
      <c r="G5845" s="9" t="s">
        <v>84</v>
      </c>
      <c r="H5845" s="11" t="s">
        <v>24</v>
      </c>
      <c r="I5845" s="12" t="n">
        <v>56</v>
      </c>
      <c r="J5845" s="13" t="n">
        <v>39</v>
      </c>
      <c r="K5845" s="14" t="n">
        <f aca="false">I5845*J5845</f>
        <v>2184</v>
      </c>
      <c r="L5845" s="14" t="n">
        <f aca="false">($L$2*M5845)/100</f>
        <v>720999.9</v>
      </c>
      <c r="M5845" s="15" t="n">
        <v>0.6</v>
      </c>
      <c r="N5845" s="9" t="s">
        <v>85</v>
      </c>
    </row>
    <row r="5846" customFormat="false" ht="14.25" hidden="false" customHeight="true" outlineLevel="0" collapsed="false">
      <c r="B5846" s="9" t="s">
        <v>32</v>
      </c>
      <c r="C5846" s="9" t="n">
        <v>1128299</v>
      </c>
      <c r="D5846" s="10" t="n">
        <v>44271</v>
      </c>
      <c r="E5846" s="9" t="s">
        <v>29</v>
      </c>
      <c r="F5846" s="9" t="s">
        <v>83</v>
      </c>
      <c r="G5846" s="9" t="s">
        <v>84</v>
      </c>
      <c r="H5846" s="11" t="s">
        <v>25</v>
      </c>
      <c r="I5846" s="12" t="n">
        <v>41</v>
      </c>
      <c r="J5846" s="13" t="n">
        <v>95</v>
      </c>
      <c r="K5846" s="14" t="n">
        <f aca="false">I5846*J5846</f>
        <v>3895</v>
      </c>
      <c r="L5846" s="14" t="n">
        <f aca="false">($L$2*M5846)/100</f>
        <v>540749.925</v>
      </c>
      <c r="M5846" s="15" t="n">
        <v>0.45</v>
      </c>
      <c r="N5846" s="9" t="s">
        <v>85</v>
      </c>
    </row>
    <row r="5847" customFormat="false" ht="14.25" hidden="false" customHeight="true" outlineLevel="0" collapsed="false">
      <c r="B5847" s="9" t="s">
        <v>32</v>
      </c>
      <c r="C5847" s="9" t="n">
        <v>1128299</v>
      </c>
      <c r="D5847" s="10" t="n">
        <v>44303</v>
      </c>
      <c r="E5847" s="9" t="s">
        <v>29</v>
      </c>
      <c r="F5847" s="9" t="s">
        <v>83</v>
      </c>
      <c r="G5847" s="9" t="s">
        <v>84</v>
      </c>
      <c r="H5847" s="11" t="s">
        <v>19</v>
      </c>
      <c r="I5847" s="12" t="n">
        <v>48</v>
      </c>
      <c r="J5847" s="13" t="n">
        <v>142</v>
      </c>
      <c r="K5847" s="14" t="n">
        <f aca="false">I5847*J5847</f>
        <v>6816</v>
      </c>
      <c r="L5847" s="14" t="n">
        <f aca="false">($L$2*M5847)/100</f>
        <v>624866.58</v>
      </c>
      <c r="M5847" s="15" t="n">
        <v>0.52</v>
      </c>
      <c r="N5847" s="9" t="s">
        <v>85</v>
      </c>
    </row>
    <row r="5848" customFormat="false" ht="14.25" hidden="false" customHeight="true" outlineLevel="0" collapsed="false">
      <c r="B5848" s="9" t="s">
        <v>32</v>
      </c>
      <c r="C5848" s="9" t="n">
        <v>1128299</v>
      </c>
      <c r="D5848" s="10" t="n">
        <v>44303</v>
      </c>
      <c r="E5848" s="9" t="s">
        <v>29</v>
      </c>
      <c r="F5848" s="9" t="s">
        <v>83</v>
      </c>
      <c r="G5848" s="9" t="s">
        <v>84</v>
      </c>
      <c r="H5848" s="11" t="s">
        <v>21</v>
      </c>
      <c r="I5848" s="12" t="n">
        <v>52</v>
      </c>
      <c r="J5848" s="13" t="n">
        <v>88</v>
      </c>
      <c r="K5848" s="14" t="n">
        <f aca="false">I5848*J5848</f>
        <v>4576</v>
      </c>
      <c r="L5848" s="14" t="n">
        <f aca="false">($L$2*M5848)/100</f>
        <v>600833.25</v>
      </c>
      <c r="M5848" s="15" t="n">
        <v>0.5</v>
      </c>
      <c r="N5848" s="9" t="s">
        <v>85</v>
      </c>
    </row>
    <row r="5849" customFormat="false" ht="14.25" hidden="false" customHeight="true" outlineLevel="0" collapsed="false">
      <c r="B5849" s="9" t="s">
        <v>32</v>
      </c>
      <c r="C5849" s="9" t="n">
        <v>1128299</v>
      </c>
      <c r="D5849" s="10" t="n">
        <v>44303</v>
      </c>
      <c r="E5849" s="9" t="s">
        <v>29</v>
      </c>
      <c r="F5849" s="9" t="s">
        <v>83</v>
      </c>
      <c r="G5849" s="9" t="s">
        <v>84</v>
      </c>
      <c r="H5849" s="11" t="s">
        <v>22</v>
      </c>
      <c r="I5849" s="12" t="n">
        <v>52</v>
      </c>
      <c r="J5849" s="13" t="n">
        <v>105</v>
      </c>
      <c r="K5849" s="14" t="n">
        <f aca="false">I5849*J5849</f>
        <v>5460</v>
      </c>
      <c r="L5849" s="14" t="n">
        <f aca="false">($L$2*M5849)/100</f>
        <v>612849.915</v>
      </c>
      <c r="M5849" s="15" t="n">
        <v>0.51</v>
      </c>
      <c r="N5849" s="9" t="s">
        <v>85</v>
      </c>
    </row>
    <row r="5850" customFormat="false" ht="14.25" hidden="false" customHeight="true" outlineLevel="0" collapsed="false">
      <c r="B5850" s="9" t="s">
        <v>32</v>
      </c>
      <c r="C5850" s="9" t="n">
        <v>1128299</v>
      </c>
      <c r="D5850" s="10" t="n">
        <v>44303</v>
      </c>
      <c r="E5850" s="9" t="s">
        <v>29</v>
      </c>
      <c r="F5850" s="9" t="s">
        <v>83</v>
      </c>
      <c r="G5850" s="9" t="s">
        <v>84</v>
      </c>
      <c r="H5850" s="11" t="s">
        <v>23</v>
      </c>
      <c r="I5850" s="12" t="n">
        <v>39</v>
      </c>
      <c r="J5850" s="13" t="n">
        <v>74</v>
      </c>
      <c r="K5850" s="14" t="n">
        <f aca="false">I5850*J5850</f>
        <v>2886</v>
      </c>
      <c r="L5850" s="14" t="n">
        <f aca="false">($L$2*M5850)/100</f>
        <v>636883.245</v>
      </c>
      <c r="M5850" s="15" t="n">
        <v>0.53</v>
      </c>
      <c r="N5850" s="9" t="s">
        <v>85</v>
      </c>
    </row>
    <row r="5851" customFormat="false" ht="14.25" hidden="false" customHeight="true" outlineLevel="0" collapsed="false">
      <c r="B5851" s="9" t="s">
        <v>32</v>
      </c>
      <c r="C5851" s="9" t="n">
        <v>1128299</v>
      </c>
      <c r="D5851" s="10" t="n">
        <v>44303</v>
      </c>
      <c r="E5851" s="9" t="s">
        <v>29</v>
      </c>
      <c r="F5851" s="9" t="s">
        <v>83</v>
      </c>
      <c r="G5851" s="9" t="s">
        <v>84</v>
      </c>
      <c r="H5851" s="11" t="s">
        <v>24</v>
      </c>
      <c r="I5851" s="12" t="n">
        <v>43</v>
      </c>
      <c r="J5851" s="13" t="n">
        <v>53</v>
      </c>
      <c r="K5851" s="14" t="n">
        <f aca="false">I5851*J5851</f>
        <v>2279</v>
      </c>
      <c r="L5851" s="14" t="n">
        <f aca="false">($L$2*M5851)/100</f>
        <v>684949.905</v>
      </c>
      <c r="M5851" s="15" t="n">
        <v>0.57</v>
      </c>
      <c r="N5851" s="9" t="s">
        <v>85</v>
      </c>
    </row>
    <row r="5852" customFormat="false" ht="14.25" hidden="false" customHeight="true" outlineLevel="0" collapsed="false">
      <c r="B5852" s="9" t="s">
        <v>32</v>
      </c>
      <c r="C5852" s="9" t="n">
        <v>1128299</v>
      </c>
      <c r="D5852" s="10" t="n">
        <v>44303</v>
      </c>
      <c r="E5852" s="9" t="s">
        <v>29</v>
      </c>
      <c r="F5852" s="9" t="s">
        <v>83</v>
      </c>
      <c r="G5852" s="9" t="s">
        <v>84</v>
      </c>
      <c r="H5852" s="11" t="s">
        <v>25</v>
      </c>
      <c r="I5852" s="12" t="n">
        <v>55</v>
      </c>
      <c r="J5852" s="13" t="n">
        <v>105</v>
      </c>
      <c r="K5852" s="14" t="n">
        <f aca="false">I5852*J5852</f>
        <v>5775</v>
      </c>
      <c r="L5852" s="14" t="n">
        <f aca="false">($L$2*M5852)/100</f>
        <v>600833.25</v>
      </c>
      <c r="M5852" s="15" t="n">
        <v>0.5</v>
      </c>
      <c r="N5852" s="9" t="s">
        <v>85</v>
      </c>
    </row>
    <row r="5853" customFormat="false" ht="14.25" hidden="false" customHeight="true" outlineLevel="0" collapsed="false">
      <c r="B5853" s="9" t="s">
        <v>32</v>
      </c>
      <c r="C5853" s="9" t="n">
        <v>1128299</v>
      </c>
      <c r="D5853" s="10" t="n">
        <v>44334</v>
      </c>
      <c r="E5853" s="9" t="s">
        <v>29</v>
      </c>
      <c r="F5853" s="9" t="s">
        <v>83</v>
      </c>
      <c r="G5853" s="9" t="s">
        <v>84</v>
      </c>
      <c r="H5853" s="11" t="s">
        <v>19</v>
      </c>
      <c r="I5853" s="12" t="n">
        <v>43</v>
      </c>
      <c r="J5853" s="13" t="n">
        <v>160</v>
      </c>
      <c r="K5853" s="14" t="n">
        <f aca="false">I5853*J5853</f>
        <v>6880</v>
      </c>
      <c r="L5853" s="14" t="n">
        <f aca="false">($L$2*M5853)/100</f>
        <v>636883.245</v>
      </c>
      <c r="M5853" s="15" t="n">
        <v>0.53</v>
      </c>
      <c r="N5853" s="9" t="s">
        <v>85</v>
      </c>
    </row>
    <row r="5854" customFormat="false" ht="14.25" hidden="false" customHeight="true" outlineLevel="0" collapsed="false">
      <c r="B5854" s="9" t="s">
        <v>32</v>
      </c>
      <c r="C5854" s="9" t="n">
        <v>1128299</v>
      </c>
      <c r="D5854" s="10" t="n">
        <v>44334</v>
      </c>
      <c r="E5854" s="9" t="s">
        <v>29</v>
      </c>
      <c r="F5854" s="9" t="s">
        <v>83</v>
      </c>
      <c r="G5854" s="9" t="s">
        <v>84</v>
      </c>
      <c r="H5854" s="11" t="s">
        <v>21</v>
      </c>
      <c r="I5854" s="12" t="n">
        <v>47</v>
      </c>
      <c r="J5854" s="13" t="n">
        <v>100</v>
      </c>
      <c r="K5854" s="14" t="n">
        <f aca="false">I5854*J5854</f>
        <v>4700</v>
      </c>
      <c r="L5854" s="14" t="n">
        <f aca="false">($L$2*M5854)/100</f>
        <v>624866.58</v>
      </c>
      <c r="M5854" s="15" t="n">
        <v>0.52</v>
      </c>
      <c r="N5854" s="9" t="s">
        <v>85</v>
      </c>
    </row>
    <row r="5855" customFormat="false" ht="14.25" hidden="false" customHeight="true" outlineLevel="0" collapsed="false">
      <c r="B5855" s="9" t="s">
        <v>32</v>
      </c>
      <c r="C5855" s="9" t="n">
        <v>1128299</v>
      </c>
      <c r="D5855" s="10" t="n">
        <v>44334</v>
      </c>
      <c r="E5855" s="9" t="s">
        <v>29</v>
      </c>
      <c r="F5855" s="9" t="s">
        <v>83</v>
      </c>
      <c r="G5855" s="9" t="s">
        <v>84</v>
      </c>
      <c r="H5855" s="11" t="s">
        <v>22</v>
      </c>
      <c r="I5855" s="12" t="n">
        <v>49</v>
      </c>
      <c r="J5855" s="13" t="n">
        <v>112</v>
      </c>
      <c r="K5855" s="14" t="n">
        <f aca="false">I5855*J5855</f>
        <v>5488</v>
      </c>
      <c r="L5855" s="14" t="n">
        <f aca="false">($L$2*M5855)/100</f>
        <v>612849.915</v>
      </c>
      <c r="M5855" s="15" t="n">
        <v>0.51</v>
      </c>
      <c r="N5855" s="9" t="s">
        <v>85</v>
      </c>
    </row>
    <row r="5856" customFormat="false" ht="14.25" hidden="false" customHeight="true" outlineLevel="0" collapsed="false">
      <c r="B5856" s="9" t="s">
        <v>32</v>
      </c>
      <c r="C5856" s="9" t="n">
        <v>1128299</v>
      </c>
      <c r="D5856" s="10" t="n">
        <v>44334</v>
      </c>
      <c r="E5856" s="9" t="s">
        <v>29</v>
      </c>
      <c r="F5856" s="9" t="s">
        <v>83</v>
      </c>
      <c r="G5856" s="9" t="s">
        <v>84</v>
      </c>
      <c r="H5856" s="11" t="s">
        <v>23</v>
      </c>
      <c r="I5856" s="12" t="n">
        <v>44</v>
      </c>
      <c r="J5856" s="13" t="n">
        <v>85</v>
      </c>
      <c r="K5856" s="14" t="n">
        <f aca="false">I5856*J5856</f>
        <v>3740</v>
      </c>
      <c r="L5856" s="14" t="n">
        <f aca="false">($L$2*M5856)/100</f>
        <v>612849.915</v>
      </c>
      <c r="M5856" s="15" t="n">
        <v>0.51</v>
      </c>
      <c r="N5856" s="9" t="s">
        <v>85</v>
      </c>
    </row>
    <row r="5857" customFormat="false" ht="14.25" hidden="false" customHeight="true" outlineLevel="0" collapsed="false">
      <c r="B5857" s="9" t="s">
        <v>32</v>
      </c>
      <c r="C5857" s="9" t="n">
        <v>1128299</v>
      </c>
      <c r="D5857" s="10" t="n">
        <v>44334</v>
      </c>
      <c r="E5857" s="9" t="s">
        <v>29</v>
      </c>
      <c r="F5857" s="9" t="s">
        <v>83</v>
      </c>
      <c r="G5857" s="9" t="s">
        <v>84</v>
      </c>
      <c r="H5857" s="11" t="s">
        <v>24</v>
      </c>
      <c r="I5857" s="12" t="n">
        <v>36</v>
      </c>
      <c r="J5857" s="13" t="n">
        <v>65</v>
      </c>
      <c r="K5857" s="14" t="n">
        <f aca="false">I5857*J5857</f>
        <v>2340</v>
      </c>
      <c r="L5857" s="14" t="n">
        <f aca="false">($L$2*M5857)/100</f>
        <v>708983.235</v>
      </c>
      <c r="M5857" s="15" t="n">
        <v>0.59</v>
      </c>
      <c r="N5857" s="9" t="s">
        <v>85</v>
      </c>
    </row>
    <row r="5858" customFormat="false" ht="14.25" hidden="false" customHeight="true" outlineLevel="0" collapsed="false">
      <c r="B5858" s="9" t="s">
        <v>32</v>
      </c>
      <c r="C5858" s="9" t="n">
        <v>1128299</v>
      </c>
      <c r="D5858" s="10" t="n">
        <v>44334</v>
      </c>
      <c r="E5858" s="9" t="s">
        <v>29</v>
      </c>
      <c r="F5858" s="9" t="s">
        <v>83</v>
      </c>
      <c r="G5858" s="9" t="s">
        <v>84</v>
      </c>
      <c r="H5858" s="11" t="s">
        <v>25</v>
      </c>
      <c r="I5858" s="12" t="n">
        <v>59</v>
      </c>
      <c r="J5858" s="13" t="n">
        <v>167</v>
      </c>
      <c r="K5858" s="14" t="n">
        <f aca="false">I5858*J5858</f>
        <v>9853</v>
      </c>
      <c r="L5858" s="14" t="n">
        <f aca="false">($L$2*M5858)/100</f>
        <v>540749.925</v>
      </c>
      <c r="M5858" s="15" t="n">
        <v>0.45</v>
      </c>
      <c r="N5858" s="9" t="s">
        <v>85</v>
      </c>
    </row>
    <row r="5859" customFormat="false" ht="14.25" hidden="false" customHeight="true" outlineLevel="0" collapsed="false">
      <c r="B5859" s="9" t="s">
        <v>32</v>
      </c>
      <c r="C5859" s="9" t="n">
        <v>1128299</v>
      </c>
      <c r="D5859" s="10" t="n">
        <v>44364</v>
      </c>
      <c r="E5859" s="9" t="s">
        <v>29</v>
      </c>
      <c r="F5859" s="9" t="s">
        <v>83</v>
      </c>
      <c r="G5859" s="9" t="s">
        <v>84</v>
      </c>
      <c r="H5859" s="11" t="s">
        <v>19</v>
      </c>
      <c r="I5859" s="12" t="n">
        <v>58</v>
      </c>
      <c r="J5859" s="13" t="n">
        <v>248</v>
      </c>
      <c r="K5859" s="14" t="n">
        <f aca="false">I5859*J5859</f>
        <v>14384</v>
      </c>
      <c r="L5859" s="14" t="n">
        <f aca="false">($L$2*M5859)/100</f>
        <v>612849.915</v>
      </c>
      <c r="M5859" s="15" t="n">
        <v>0.51</v>
      </c>
      <c r="N5859" s="9" t="s">
        <v>85</v>
      </c>
    </row>
    <row r="5860" customFormat="false" ht="14.25" hidden="false" customHeight="true" outlineLevel="0" collapsed="false">
      <c r="B5860" s="9" t="s">
        <v>32</v>
      </c>
      <c r="C5860" s="9" t="n">
        <v>1128299</v>
      </c>
      <c r="D5860" s="10" t="n">
        <v>44364</v>
      </c>
      <c r="E5860" s="9" t="s">
        <v>29</v>
      </c>
      <c r="F5860" s="9" t="s">
        <v>83</v>
      </c>
      <c r="G5860" s="9" t="s">
        <v>84</v>
      </c>
      <c r="H5860" s="11" t="s">
        <v>21</v>
      </c>
      <c r="I5860" s="12" t="n">
        <v>65</v>
      </c>
      <c r="J5860" s="13" t="n">
        <v>210</v>
      </c>
      <c r="K5860" s="14" t="n">
        <f aca="false">I5860*J5860</f>
        <v>13650</v>
      </c>
      <c r="L5860" s="14" t="n">
        <f aca="false">($L$2*M5860)/100</f>
        <v>624866.58</v>
      </c>
      <c r="M5860" s="15" t="n">
        <v>0.52</v>
      </c>
      <c r="N5860" s="9" t="s">
        <v>85</v>
      </c>
    </row>
    <row r="5861" customFormat="false" ht="14.25" hidden="false" customHeight="true" outlineLevel="0" collapsed="false">
      <c r="B5861" s="9" t="s">
        <v>32</v>
      </c>
      <c r="C5861" s="9" t="n">
        <v>1128299</v>
      </c>
      <c r="D5861" s="10" t="n">
        <v>44364</v>
      </c>
      <c r="E5861" s="9" t="s">
        <v>29</v>
      </c>
      <c r="F5861" s="9" t="s">
        <v>83</v>
      </c>
      <c r="G5861" s="9" t="s">
        <v>84</v>
      </c>
      <c r="H5861" s="11" t="s">
        <v>22</v>
      </c>
      <c r="I5861" s="12" t="n">
        <v>83</v>
      </c>
      <c r="J5861" s="13" t="n">
        <v>203</v>
      </c>
      <c r="K5861" s="14" t="n">
        <f aca="false">I5861*J5861</f>
        <v>16849</v>
      </c>
      <c r="L5861" s="14" t="n">
        <f aca="false">($L$2*M5861)/100</f>
        <v>660916.575</v>
      </c>
      <c r="M5861" s="15" t="n">
        <v>0.55</v>
      </c>
      <c r="N5861" s="9" t="s">
        <v>85</v>
      </c>
    </row>
    <row r="5862" customFormat="false" ht="14.25" hidden="false" customHeight="true" outlineLevel="0" collapsed="false">
      <c r="B5862" s="9" t="s">
        <v>32</v>
      </c>
      <c r="C5862" s="9" t="n">
        <v>1128299</v>
      </c>
      <c r="D5862" s="10" t="n">
        <v>44364</v>
      </c>
      <c r="E5862" s="9" t="s">
        <v>29</v>
      </c>
      <c r="F5862" s="9" t="s">
        <v>83</v>
      </c>
      <c r="G5862" s="9" t="s">
        <v>84</v>
      </c>
      <c r="H5862" s="11" t="s">
        <v>23</v>
      </c>
      <c r="I5862" s="12" t="n">
        <v>82</v>
      </c>
      <c r="J5862" s="13" t="n">
        <v>161</v>
      </c>
      <c r="K5862" s="14" t="n">
        <f aca="false">I5862*J5862</f>
        <v>13202</v>
      </c>
      <c r="L5862" s="14" t="n">
        <f aca="false">($L$2*M5862)/100</f>
        <v>660916.575</v>
      </c>
      <c r="M5862" s="15" t="n">
        <v>0.55</v>
      </c>
      <c r="N5862" s="9" t="s">
        <v>85</v>
      </c>
    </row>
    <row r="5863" customFormat="false" ht="14.25" hidden="false" customHeight="true" outlineLevel="0" collapsed="false">
      <c r="B5863" s="9" t="s">
        <v>32</v>
      </c>
      <c r="C5863" s="9" t="n">
        <v>1128299</v>
      </c>
      <c r="D5863" s="10" t="n">
        <v>44364</v>
      </c>
      <c r="E5863" s="9" t="s">
        <v>29</v>
      </c>
      <c r="F5863" s="9" t="s">
        <v>83</v>
      </c>
      <c r="G5863" s="9" t="s">
        <v>84</v>
      </c>
      <c r="H5863" s="11" t="s">
        <v>24</v>
      </c>
      <c r="I5863" s="12" t="n">
        <v>92</v>
      </c>
      <c r="J5863" s="13" t="n">
        <v>117</v>
      </c>
      <c r="K5863" s="14" t="n">
        <f aca="false">I5863*J5863</f>
        <v>10764</v>
      </c>
      <c r="L5863" s="14" t="n">
        <f aca="false">($L$2*M5863)/100</f>
        <v>684949.905</v>
      </c>
      <c r="M5863" s="15" t="n">
        <v>0.57</v>
      </c>
      <c r="N5863" s="9" t="s">
        <v>85</v>
      </c>
    </row>
    <row r="5864" customFormat="false" ht="14.25" hidden="false" customHeight="true" outlineLevel="0" collapsed="false">
      <c r="B5864" s="9" t="s">
        <v>32</v>
      </c>
      <c r="C5864" s="9" t="n">
        <v>1128299</v>
      </c>
      <c r="D5864" s="10" t="n">
        <v>44364</v>
      </c>
      <c r="E5864" s="9" t="s">
        <v>29</v>
      </c>
      <c r="F5864" s="9" t="s">
        <v>83</v>
      </c>
      <c r="G5864" s="9" t="s">
        <v>84</v>
      </c>
      <c r="H5864" s="11" t="s">
        <v>25</v>
      </c>
      <c r="I5864" s="12" t="n">
        <v>100</v>
      </c>
      <c r="J5864" s="13" t="n">
        <v>195</v>
      </c>
      <c r="K5864" s="14" t="n">
        <f aca="false">I5864*J5864</f>
        <v>19500</v>
      </c>
      <c r="L5864" s="14" t="n">
        <f aca="false">($L$2*M5864)/100</f>
        <v>576799.92</v>
      </c>
      <c r="M5864" s="15" t="n">
        <v>0.48</v>
      </c>
      <c r="N5864" s="9" t="s">
        <v>85</v>
      </c>
    </row>
    <row r="5865" customFormat="false" ht="14.25" hidden="false" customHeight="true" outlineLevel="0" collapsed="false">
      <c r="B5865" s="9" t="s">
        <v>32</v>
      </c>
      <c r="C5865" s="9" t="n">
        <v>1128299</v>
      </c>
      <c r="D5865" s="10" t="n">
        <v>44393</v>
      </c>
      <c r="E5865" s="9" t="s">
        <v>29</v>
      </c>
      <c r="F5865" s="9" t="s">
        <v>83</v>
      </c>
      <c r="G5865" s="9" t="s">
        <v>84</v>
      </c>
      <c r="H5865" s="11" t="s">
        <v>19</v>
      </c>
      <c r="I5865" s="12" t="n">
        <v>86</v>
      </c>
      <c r="J5865" s="13" t="n">
        <v>270</v>
      </c>
      <c r="K5865" s="14" t="n">
        <f aca="false">I5865*J5865</f>
        <v>23220</v>
      </c>
      <c r="L5865" s="14" t="n">
        <f aca="false">($L$2*M5865)/100</f>
        <v>636883.245</v>
      </c>
      <c r="M5865" s="15" t="n">
        <v>0.53</v>
      </c>
      <c r="N5865" s="9" t="s">
        <v>85</v>
      </c>
    </row>
    <row r="5866" customFormat="false" ht="14.25" hidden="false" customHeight="true" outlineLevel="0" collapsed="false">
      <c r="B5866" s="9" t="s">
        <v>32</v>
      </c>
      <c r="C5866" s="9" t="n">
        <v>1128299</v>
      </c>
      <c r="D5866" s="10" t="n">
        <v>44393</v>
      </c>
      <c r="E5866" s="9" t="s">
        <v>29</v>
      </c>
      <c r="F5866" s="9" t="s">
        <v>83</v>
      </c>
      <c r="G5866" s="9" t="s">
        <v>84</v>
      </c>
      <c r="H5866" s="11" t="s">
        <v>21</v>
      </c>
      <c r="I5866" s="12" t="n">
        <v>92</v>
      </c>
      <c r="J5866" s="13" t="n">
        <v>203</v>
      </c>
      <c r="K5866" s="14" t="n">
        <f aca="false">I5866*J5866</f>
        <v>18676</v>
      </c>
      <c r="L5866" s="14" t="n">
        <f aca="false">($L$2*M5866)/100</f>
        <v>660916.575</v>
      </c>
      <c r="M5866" s="15" t="n">
        <v>0.55</v>
      </c>
      <c r="N5866" s="9" t="s">
        <v>85</v>
      </c>
    </row>
    <row r="5867" customFormat="false" ht="14.25" hidden="false" customHeight="true" outlineLevel="0" collapsed="false">
      <c r="B5867" s="9" t="s">
        <v>32</v>
      </c>
      <c r="C5867" s="9" t="n">
        <v>1128299</v>
      </c>
      <c r="D5867" s="10" t="n">
        <v>44393</v>
      </c>
      <c r="E5867" s="9" t="s">
        <v>29</v>
      </c>
      <c r="F5867" s="9" t="s">
        <v>83</v>
      </c>
      <c r="G5867" s="9" t="s">
        <v>84</v>
      </c>
      <c r="H5867" s="11" t="s">
        <v>22</v>
      </c>
      <c r="I5867" s="12" t="n">
        <v>90</v>
      </c>
      <c r="J5867" s="13" t="n">
        <v>196</v>
      </c>
      <c r="K5867" s="14" t="n">
        <f aca="false">I5867*J5867</f>
        <v>17640</v>
      </c>
      <c r="L5867" s="14" t="n">
        <f aca="false">($L$2*M5867)/100</f>
        <v>648899.91</v>
      </c>
      <c r="M5867" s="15" t="n">
        <v>0.54</v>
      </c>
      <c r="N5867" s="9" t="s">
        <v>85</v>
      </c>
    </row>
    <row r="5868" customFormat="false" ht="14.25" hidden="false" customHeight="true" outlineLevel="0" collapsed="false">
      <c r="B5868" s="9" t="s">
        <v>32</v>
      </c>
      <c r="C5868" s="9" t="n">
        <v>1128299</v>
      </c>
      <c r="D5868" s="10" t="n">
        <v>44393</v>
      </c>
      <c r="E5868" s="9" t="s">
        <v>29</v>
      </c>
      <c r="F5868" s="9" t="s">
        <v>83</v>
      </c>
      <c r="G5868" s="9" t="s">
        <v>84</v>
      </c>
      <c r="H5868" s="11" t="s">
        <v>23</v>
      </c>
      <c r="I5868" s="12" t="n">
        <v>86</v>
      </c>
      <c r="J5868" s="13" t="n">
        <v>168</v>
      </c>
      <c r="K5868" s="14" t="n">
        <f aca="false">I5868*J5868</f>
        <v>14448</v>
      </c>
      <c r="L5868" s="14" t="n">
        <f aca="false">($L$2*M5868)/100</f>
        <v>648899.91</v>
      </c>
      <c r="M5868" s="15" t="n">
        <v>0.54</v>
      </c>
      <c r="N5868" s="9" t="s">
        <v>85</v>
      </c>
    </row>
    <row r="5869" customFormat="false" ht="14.25" hidden="false" customHeight="true" outlineLevel="0" collapsed="false">
      <c r="B5869" s="9" t="s">
        <v>32</v>
      </c>
      <c r="C5869" s="9" t="n">
        <v>1128299</v>
      </c>
      <c r="D5869" s="10" t="n">
        <v>44393</v>
      </c>
      <c r="E5869" s="9" t="s">
        <v>29</v>
      </c>
      <c r="F5869" s="9" t="s">
        <v>83</v>
      </c>
      <c r="G5869" s="9" t="s">
        <v>84</v>
      </c>
      <c r="H5869" s="11" t="s">
        <v>24</v>
      </c>
      <c r="I5869" s="12" t="n">
        <v>86</v>
      </c>
      <c r="J5869" s="13" t="n">
        <v>189</v>
      </c>
      <c r="K5869" s="14" t="n">
        <f aca="false">I5869*J5869</f>
        <v>16254</v>
      </c>
      <c r="L5869" s="14" t="n">
        <f aca="false">($L$2*M5869)/100</f>
        <v>696966.57</v>
      </c>
      <c r="M5869" s="15" t="n">
        <v>0.58</v>
      </c>
      <c r="N5869" s="9" t="s">
        <v>85</v>
      </c>
    </row>
    <row r="5870" customFormat="false" ht="14.25" hidden="false" customHeight="true" outlineLevel="0" collapsed="false">
      <c r="B5870" s="9" t="s">
        <v>32</v>
      </c>
      <c r="C5870" s="9" t="n">
        <v>1128299</v>
      </c>
      <c r="D5870" s="10" t="n">
        <v>44393</v>
      </c>
      <c r="E5870" s="9" t="s">
        <v>29</v>
      </c>
      <c r="F5870" s="9" t="s">
        <v>83</v>
      </c>
      <c r="G5870" s="9" t="s">
        <v>84</v>
      </c>
      <c r="H5870" s="11" t="s">
        <v>25</v>
      </c>
      <c r="I5870" s="12" t="n">
        <v>103</v>
      </c>
      <c r="J5870" s="13" t="n">
        <v>163</v>
      </c>
      <c r="K5870" s="14" t="n">
        <f aca="false">I5870*J5870</f>
        <v>16789</v>
      </c>
      <c r="L5870" s="14" t="n">
        <f aca="false">($L$2*M5870)/100</f>
        <v>576799.92</v>
      </c>
      <c r="M5870" s="15" t="n">
        <v>0.48</v>
      </c>
      <c r="N5870" s="9" t="s">
        <v>85</v>
      </c>
    </row>
    <row r="5871" customFormat="false" ht="14.25" hidden="false" customHeight="true" outlineLevel="0" collapsed="false">
      <c r="B5871" s="9" t="s">
        <v>32</v>
      </c>
      <c r="C5871" s="9" t="n">
        <v>1128299</v>
      </c>
      <c r="D5871" s="10" t="n">
        <v>44425</v>
      </c>
      <c r="E5871" s="9" t="s">
        <v>29</v>
      </c>
      <c r="F5871" s="9" t="s">
        <v>83</v>
      </c>
      <c r="G5871" s="9" t="s">
        <v>84</v>
      </c>
      <c r="H5871" s="11" t="s">
        <v>19</v>
      </c>
      <c r="I5871" s="12" t="n">
        <v>86</v>
      </c>
      <c r="J5871" s="13" t="n">
        <v>255</v>
      </c>
      <c r="K5871" s="14" t="n">
        <f aca="false">I5871*J5871</f>
        <v>21930</v>
      </c>
      <c r="L5871" s="14" t="n">
        <f aca="false">($L$2*M5871)/100</f>
        <v>612849.915</v>
      </c>
      <c r="M5871" s="15" t="n">
        <v>0.51</v>
      </c>
      <c r="N5871" s="9" t="s">
        <v>85</v>
      </c>
    </row>
    <row r="5872" customFormat="false" ht="14.25" hidden="false" customHeight="true" outlineLevel="0" collapsed="false">
      <c r="B5872" s="9" t="s">
        <v>32</v>
      </c>
      <c r="C5872" s="9" t="n">
        <v>1128299</v>
      </c>
      <c r="D5872" s="10" t="n">
        <v>44425</v>
      </c>
      <c r="E5872" s="9" t="s">
        <v>29</v>
      </c>
      <c r="F5872" s="9" t="s">
        <v>83</v>
      </c>
      <c r="G5872" s="9" t="s">
        <v>84</v>
      </c>
      <c r="H5872" s="11" t="s">
        <v>21</v>
      </c>
      <c r="I5872" s="12" t="n">
        <v>77</v>
      </c>
      <c r="J5872" s="13" t="n">
        <v>239</v>
      </c>
      <c r="K5872" s="14" t="n">
        <f aca="false">I5872*J5872</f>
        <v>18403</v>
      </c>
      <c r="L5872" s="14" t="n">
        <f aca="false">($L$2*M5872)/100</f>
        <v>612849.915</v>
      </c>
      <c r="M5872" s="15" t="n">
        <v>0.51</v>
      </c>
      <c r="N5872" s="9" t="s">
        <v>85</v>
      </c>
    </row>
    <row r="5873" customFormat="false" ht="14.25" hidden="false" customHeight="true" outlineLevel="0" collapsed="false">
      <c r="B5873" s="9" t="s">
        <v>32</v>
      </c>
      <c r="C5873" s="9" t="n">
        <v>1128299</v>
      </c>
      <c r="D5873" s="10" t="n">
        <v>44425</v>
      </c>
      <c r="E5873" s="9" t="s">
        <v>29</v>
      </c>
      <c r="F5873" s="9" t="s">
        <v>83</v>
      </c>
      <c r="G5873" s="9" t="s">
        <v>84</v>
      </c>
      <c r="H5873" s="11" t="s">
        <v>22</v>
      </c>
      <c r="I5873" s="12" t="n">
        <v>70</v>
      </c>
      <c r="J5873" s="13" t="n">
        <v>189</v>
      </c>
      <c r="K5873" s="14" t="n">
        <f aca="false">I5873*J5873</f>
        <v>13230</v>
      </c>
      <c r="L5873" s="14" t="n">
        <f aca="false">($L$2*M5873)/100</f>
        <v>660916.575</v>
      </c>
      <c r="M5873" s="15" t="n">
        <v>0.55</v>
      </c>
      <c r="N5873" s="9" t="s">
        <v>85</v>
      </c>
    </row>
    <row r="5874" customFormat="false" ht="14.25" hidden="false" customHeight="true" outlineLevel="0" collapsed="false">
      <c r="B5874" s="9" t="s">
        <v>32</v>
      </c>
      <c r="C5874" s="9" t="n">
        <v>1128299</v>
      </c>
      <c r="D5874" s="10" t="n">
        <v>44425</v>
      </c>
      <c r="E5874" s="9" t="s">
        <v>29</v>
      </c>
      <c r="F5874" s="9" t="s">
        <v>83</v>
      </c>
      <c r="G5874" s="9" t="s">
        <v>84</v>
      </c>
      <c r="H5874" s="11" t="s">
        <v>23</v>
      </c>
      <c r="I5874" s="12" t="n">
        <v>74</v>
      </c>
      <c r="J5874" s="13" t="n">
        <v>128</v>
      </c>
      <c r="K5874" s="14" t="n">
        <f aca="false">I5874*J5874</f>
        <v>9472</v>
      </c>
      <c r="L5874" s="14" t="n">
        <f aca="false">($L$2*M5874)/100</f>
        <v>636883.245</v>
      </c>
      <c r="M5874" s="15" t="n">
        <v>0.53</v>
      </c>
      <c r="N5874" s="9" t="s">
        <v>85</v>
      </c>
    </row>
    <row r="5875" customFormat="false" ht="14.25" hidden="false" customHeight="true" outlineLevel="0" collapsed="false">
      <c r="B5875" s="9" t="s">
        <v>32</v>
      </c>
      <c r="C5875" s="9" t="n">
        <v>1128299</v>
      </c>
      <c r="D5875" s="10" t="n">
        <v>44425</v>
      </c>
      <c r="E5875" s="9" t="s">
        <v>29</v>
      </c>
      <c r="F5875" s="9" t="s">
        <v>83</v>
      </c>
      <c r="G5875" s="9" t="s">
        <v>84</v>
      </c>
      <c r="H5875" s="11" t="s">
        <v>24</v>
      </c>
      <c r="I5875" s="12" t="n">
        <v>64</v>
      </c>
      <c r="J5875" s="13" t="n">
        <v>138</v>
      </c>
      <c r="K5875" s="14" t="n">
        <f aca="false">I5875*J5875</f>
        <v>8832</v>
      </c>
      <c r="L5875" s="14" t="n">
        <f aca="false">($L$2*M5875)/100</f>
        <v>708983.235</v>
      </c>
      <c r="M5875" s="15" t="n">
        <v>0.59</v>
      </c>
      <c r="N5875" s="9" t="s">
        <v>85</v>
      </c>
    </row>
    <row r="5876" customFormat="false" ht="14.25" hidden="false" customHeight="true" outlineLevel="0" collapsed="false">
      <c r="B5876" s="9" t="s">
        <v>32</v>
      </c>
      <c r="C5876" s="9" t="n">
        <v>1128299</v>
      </c>
      <c r="D5876" s="10" t="n">
        <v>44425</v>
      </c>
      <c r="E5876" s="9" t="s">
        <v>29</v>
      </c>
      <c r="F5876" s="9" t="s">
        <v>83</v>
      </c>
      <c r="G5876" s="9" t="s">
        <v>84</v>
      </c>
      <c r="H5876" s="11" t="s">
        <v>25</v>
      </c>
      <c r="I5876" s="12" t="n">
        <v>63</v>
      </c>
      <c r="J5876" s="13" t="n">
        <v>90</v>
      </c>
      <c r="K5876" s="14" t="n">
        <f aca="false">I5876*J5876</f>
        <v>5670</v>
      </c>
      <c r="L5876" s="14" t="n">
        <f aca="false">($L$2*M5876)/100</f>
        <v>588816.585</v>
      </c>
      <c r="M5876" s="15" t="n">
        <v>0.49</v>
      </c>
      <c r="N5876" s="9" t="s">
        <v>85</v>
      </c>
    </row>
    <row r="5877" customFormat="false" ht="14.25" hidden="false" customHeight="true" outlineLevel="0" collapsed="false">
      <c r="B5877" s="9" t="s">
        <v>32</v>
      </c>
      <c r="C5877" s="9" t="n">
        <v>1128299</v>
      </c>
      <c r="D5877" s="10" t="n">
        <v>44457</v>
      </c>
      <c r="E5877" s="9" t="s">
        <v>29</v>
      </c>
      <c r="F5877" s="9" t="s">
        <v>83</v>
      </c>
      <c r="G5877" s="9" t="s">
        <v>84</v>
      </c>
      <c r="H5877" s="11" t="s">
        <v>19</v>
      </c>
      <c r="I5877" s="12" t="n">
        <v>43</v>
      </c>
      <c r="J5877" s="13" t="n">
        <v>145</v>
      </c>
      <c r="K5877" s="14" t="n">
        <f aca="false">I5877*J5877</f>
        <v>6235</v>
      </c>
      <c r="L5877" s="14" t="n">
        <f aca="false">($L$2*M5877)/100</f>
        <v>660916.575</v>
      </c>
      <c r="M5877" s="15" t="n">
        <v>0.55</v>
      </c>
      <c r="N5877" s="9" t="s">
        <v>85</v>
      </c>
    </row>
    <row r="5878" customFormat="false" ht="14.25" hidden="false" customHeight="true" outlineLevel="0" collapsed="false">
      <c r="B5878" s="9" t="s">
        <v>32</v>
      </c>
      <c r="C5878" s="9" t="n">
        <v>1128299</v>
      </c>
      <c r="D5878" s="10" t="n">
        <v>44457</v>
      </c>
      <c r="E5878" s="9" t="s">
        <v>29</v>
      </c>
      <c r="F5878" s="9" t="s">
        <v>83</v>
      </c>
      <c r="G5878" s="9" t="s">
        <v>84</v>
      </c>
      <c r="H5878" s="11" t="s">
        <v>21</v>
      </c>
      <c r="I5878" s="12" t="n">
        <v>46</v>
      </c>
      <c r="J5878" s="13" t="n">
        <v>125</v>
      </c>
      <c r="K5878" s="14" t="n">
        <f aca="false">I5878*J5878</f>
        <v>5750</v>
      </c>
      <c r="L5878" s="14" t="n">
        <f aca="false">($L$2*M5878)/100</f>
        <v>612849.915</v>
      </c>
      <c r="M5878" s="15" t="n">
        <v>0.51</v>
      </c>
      <c r="N5878" s="9" t="s">
        <v>85</v>
      </c>
    </row>
    <row r="5879" customFormat="false" ht="14.25" hidden="false" customHeight="true" outlineLevel="0" collapsed="false">
      <c r="B5879" s="9" t="s">
        <v>32</v>
      </c>
      <c r="C5879" s="9" t="n">
        <v>1128299</v>
      </c>
      <c r="D5879" s="10" t="n">
        <v>44457</v>
      </c>
      <c r="E5879" s="9" t="s">
        <v>29</v>
      </c>
      <c r="F5879" s="9" t="s">
        <v>83</v>
      </c>
      <c r="G5879" s="9" t="s">
        <v>84</v>
      </c>
      <c r="H5879" s="11" t="s">
        <v>22</v>
      </c>
      <c r="I5879" s="12" t="n">
        <v>43</v>
      </c>
      <c r="J5879" s="13" t="n">
        <v>78</v>
      </c>
      <c r="K5879" s="14" t="n">
        <f aca="false">I5879*J5879</f>
        <v>3354</v>
      </c>
      <c r="L5879" s="14" t="n">
        <f aca="false">($L$2*M5879)/100</f>
        <v>624866.58</v>
      </c>
      <c r="M5879" s="15" t="n">
        <v>0.52</v>
      </c>
      <c r="N5879" s="9" t="s">
        <v>85</v>
      </c>
    </row>
    <row r="5880" customFormat="false" ht="14.25" hidden="false" customHeight="true" outlineLevel="0" collapsed="false">
      <c r="B5880" s="9" t="s">
        <v>32</v>
      </c>
      <c r="C5880" s="9" t="n">
        <v>1128299</v>
      </c>
      <c r="D5880" s="10" t="n">
        <v>44457</v>
      </c>
      <c r="E5880" s="9" t="s">
        <v>29</v>
      </c>
      <c r="F5880" s="9" t="s">
        <v>83</v>
      </c>
      <c r="G5880" s="9" t="s">
        <v>84</v>
      </c>
      <c r="H5880" s="11" t="s">
        <v>23</v>
      </c>
      <c r="I5880" s="12" t="n">
        <v>41</v>
      </c>
      <c r="J5880" s="13" t="n">
        <v>63</v>
      </c>
      <c r="K5880" s="14" t="n">
        <f aca="false">I5880*J5880</f>
        <v>2583</v>
      </c>
      <c r="L5880" s="14" t="n">
        <f aca="false">($L$2*M5880)/100</f>
        <v>612849.915</v>
      </c>
      <c r="M5880" s="15" t="n">
        <v>0.51</v>
      </c>
      <c r="N5880" s="9" t="s">
        <v>85</v>
      </c>
    </row>
    <row r="5881" customFormat="false" ht="14.25" hidden="false" customHeight="true" outlineLevel="0" collapsed="false">
      <c r="B5881" s="9" t="s">
        <v>32</v>
      </c>
      <c r="C5881" s="9" t="n">
        <v>1128299</v>
      </c>
      <c r="D5881" s="10" t="n">
        <v>44457</v>
      </c>
      <c r="E5881" s="9" t="s">
        <v>29</v>
      </c>
      <c r="F5881" s="9" t="s">
        <v>83</v>
      </c>
      <c r="G5881" s="9" t="s">
        <v>84</v>
      </c>
      <c r="H5881" s="11" t="s">
        <v>24</v>
      </c>
      <c r="I5881" s="12" t="n">
        <v>51</v>
      </c>
      <c r="J5881" s="13" t="n">
        <v>77</v>
      </c>
      <c r="K5881" s="14" t="n">
        <f aca="false">I5881*J5881</f>
        <v>3927</v>
      </c>
      <c r="L5881" s="14" t="n">
        <f aca="false">($L$2*M5881)/100</f>
        <v>660916.575</v>
      </c>
      <c r="M5881" s="15" t="n">
        <v>0.55</v>
      </c>
      <c r="N5881" s="9" t="s">
        <v>85</v>
      </c>
    </row>
    <row r="5882" customFormat="false" ht="14.25" hidden="false" customHeight="true" outlineLevel="0" collapsed="false">
      <c r="B5882" s="9" t="s">
        <v>32</v>
      </c>
      <c r="C5882" s="9" t="n">
        <v>1128299</v>
      </c>
      <c r="D5882" s="10" t="n">
        <v>44457</v>
      </c>
      <c r="E5882" s="9" t="s">
        <v>29</v>
      </c>
      <c r="F5882" s="9" t="s">
        <v>83</v>
      </c>
      <c r="G5882" s="9" t="s">
        <v>84</v>
      </c>
      <c r="H5882" s="11" t="s">
        <v>25</v>
      </c>
      <c r="I5882" s="12" t="n">
        <v>39</v>
      </c>
      <c r="J5882" s="13" t="n">
        <v>75</v>
      </c>
      <c r="K5882" s="14" t="n">
        <f aca="false">I5882*J5882</f>
        <v>2925</v>
      </c>
      <c r="L5882" s="14" t="n">
        <f aca="false">($L$2*M5882)/100</f>
        <v>600833.25</v>
      </c>
      <c r="M5882" s="15" t="n">
        <v>0.5</v>
      </c>
      <c r="N5882" s="9" t="s">
        <v>85</v>
      </c>
    </row>
    <row r="5883" customFormat="false" ht="14.25" hidden="false" customHeight="true" outlineLevel="0" collapsed="false">
      <c r="B5883" s="9" t="s">
        <v>32</v>
      </c>
      <c r="C5883" s="9" t="n">
        <v>1128299</v>
      </c>
      <c r="D5883" s="10" t="n">
        <v>44486</v>
      </c>
      <c r="E5883" s="9" t="s">
        <v>29</v>
      </c>
      <c r="F5883" s="9" t="s">
        <v>83</v>
      </c>
      <c r="G5883" s="9" t="s">
        <v>84</v>
      </c>
      <c r="H5883" s="11" t="s">
        <v>19</v>
      </c>
      <c r="I5883" s="12" t="n">
        <v>34</v>
      </c>
      <c r="J5883" s="13" t="n">
        <v>112</v>
      </c>
      <c r="K5883" s="14" t="n">
        <f aca="false">I5883*J5883</f>
        <v>3808</v>
      </c>
      <c r="L5883" s="14" t="n">
        <f aca="false">($L$2*M5883)/100</f>
        <v>648899.91</v>
      </c>
      <c r="M5883" s="15" t="n">
        <v>0.54</v>
      </c>
      <c r="N5883" s="9" t="s">
        <v>85</v>
      </c>
    </row>
    <row r="5884" customFormat="false" ht="14.25" hidden="false" customHeight="true" outlineLevel="0" collapsed="false">
      <c r="B5884" s="9" t="s">
        <v>32</v>
      </c>
      <c r="C5884" s="9" t="n">
        <v>1128299</v>
      </c>
      <c r="D5884" s="10" t="n">
        <v>44486</v>
      </c>
      <c r="E5884" s="9" t="s">
        <v>29</v>
      </c>
      <c r="F5884" s="9" t="s">
        <v>83</v>
      </c>
      <c r="G5884" s="9" t="s">
        <v>84</v>
      </c>
      <c r="H5884" s="11" t="s">
        <v>21</v>
      </c>
      <c r="I5884" s="12" t="n">
        <v>45</v>
      </c>
      <c r="J5884" s="13" t="n">
        <v>155</v>
      </c>
      <c r="K5884" s="14" t="n">
        <f aca="false">I5884*J5884</f>
        <v>6975</v>
      </c>
      <c r="L5884" s="14" t="n">
        <f aca="false">($L$2*M5884)/100</f>
        <v>660916.575</v>
      </c>
      <c r="M5884" s="15" t="n">
        <v>0.55</v>
      </c>
      <c r="N5884" s="9" t="s">
        <v>85</v>
      </c>
    </row>
    <row r="5885" customFormat="false" ht="14.25" hidden="false" customHeight="true" outlineLevel="0" collapsed="false">
      <c r="B5885" s="9" t="s">
        <v>32</v>
      </c>
      <c r="C5885" s="9" t="n">
        <v>1128299</v>
      </c>
      <c r="D5885" s="10" t="n">
        <v>44486</v>
      </c>
      <c r="E5885" s="9" t="s">
        <v>29</v>
      </c>
      <c r="F5885" s="9" t="s">
        <v>83</v>
      </c>
      <c r="G5885" s="9" t="s">
        <v>84</v>
      </c>
      <c r="H5885" s="11" t="s">
        <v>22</v>
      </c>
      <c r="I5885" s="12" t="n">
        <v>42</v>
      </c>
      <c r="J5885" s="13" t="n">
        <v>100</v>
      </c>
      <c r="K5885" s="14" t="n">
        <f aca="false">I5885*J5885</f>
        <v>4200</v>
      </c>
      <c r="L5885" s="14" t="n">
        <f aca="false">($L$2*M5885)/100</f>
        <v>600833.25</v>
      </c>
      <c r="M5885" s="15" t="n">
        <v>0.5</v>
      </c>
      <c r="N5885" s="9" t="s">
        <v>85</v>
      </c>
    </row>
    <row r="5886" customFormat="false" ht="14.25" hidden="false" customHeight="true" outlineLevel="0" collapsed="false">
      <c r="B5886" s="9" t="s">
        <v>32</v>
      </c>
      <c r="C5886" s="9" t="n">
        <v>1128299</v>
      </c>
      <c r="D5886" s="10" t="n">
        <v>44486</v>
      </c>
      <c r="E5886" s="9" t="s">
        <v>29</v>
      </c>
      <c r="F5886" s="9" t="s">
        <v>83</v>
      </c>
      <c r="G5886" s="9" t="s">
        <v>84</v>
      </c>
      <c r="H5886" s="11" t="s">
        <v>23</v>
      </c>
      <c r="I5886" s="12" t="n">
        <v>36</v>
      </c>
      <c r="J5886" s="13" t="n">
        <v>105</v>
      </c>
      <c r="K5886" s="14" t="n">
        <f aca="false">I5886*J5886</f>
        <v>3780</v>
      </c>
      <c r="L5886" s="14" t="n">
        <f aca="false">($L$2*M5886)/100</f>
        <v>600833.25</v>
      </c>
      <c r="M5886" s="15" t="n">
        <v>0.5</v>
      </c>
      <c r="N5886" s="9" t="s">
        <v>85</v>
      </c>
    </row>
    <row r="5887" customFormat="false" ht="14.25" hidden="false" customHeight="true" outlineLevel="0" collapsed="false">
      <c r="B5887" s="9" t="s">
        <v>32</v>
      </c>
      <c r="C5887" s="9" t="n">
        <v>1128299</v>
      </c>
      <c r="D5887" s="10" t="n">
        <v>44486</v>
      </c>
      <c r="E5887" s="9" t="s">
        <v>29</v>
      </c>
      <c r="F5887" s="9" t="s">
        <v>83</v>
      </c>
      <c r="G5887" s="9" t="s">
        <v>84</v>
      </c>
      <c r="H5887" s="11" t="s">
        <v>24</v>
      </c>
      <c r="I5887" s="12" t="n">
        <v>47</v>
      </c>
      <c r="J5887" s="13" t="n">
        <v>95</v>
      </c>
      <c r="K5887" s="14" t="n">
        <f aca="false">I5887*J5887</f>
        <v>4465</v>
      </c>
      <c r="L5887" s="14" t="n">
        <f aca="false">($L$2*M5887)/100</f>
        <v>708983.235</v>
      </c>
      <c r="M5887" s="15" t="n">
        <v>0.59</v>
      </c>
      <c r="N5887" s="9" t="s">
        <v>85</v>
      </c>
    </row>
    <row r="5888" customFormat="false" ht="14.25" hidden="false" customHeight="true" outlineLevel="0" collapsed="false">
      <c r="B5888" s="9" t="s">
        <v>32</v>
      </c>
      <c r="C5888" s="9" t="n">
        <v>1128299</v>
      </c>
      <c r="D5888" s="10" t="n">
        <v>44486</v>
      </c>
      <c r="E5888" s="9" t="s">
        <v>29</v>
      </c>
      <c r="F5888" s="9" t="s">
        <v>83</v>
      </c>
      <c r="G5888" s="9" t="s">
        <v>84</v>
      </c>
      <c r="H5888" s="11" t="s">
        <v>25</v>
      </c>
      <c r="I5888" s="12" t="n">
        <v>50</v>
      </c>
      <c r="J5888" s="13" t="n">
        <v>108</v>
      </c>
      <c r="K5888" s="14" t="n">
        <f aca="false">I5888*J5888</f>
        <v>5400</v>
      </c>
      <c r="L5888" s="14" t="n">
        <f aca="false">($L$2*M5888)/100</f>
        <v>564783.255</v>
      </c>
      <c r="M5888" s="15" t="n">
        <v>0.47</v>
      </c>
      <c r="N5888" s="9" t="s">
        <v>85</v>
      </c>
    </row>
    <row r="5889" customFormat="false" ht="14.25" hidden="false" customHeight="true" outlineLevel="0" collapsed="false">
      <c r="B5889" s="9" t="s">
        <v>32</v>
      </c>
      <c r="C5889" s="9" t="n">
        <v>1128299</v>
      </c>
      <c r="D5889" s="10" t="n">
        <v>44517</v>
      </c>
      <c r="E5889" s="9" t="s">
        <v>29</v>
      </c>
      <c r="F5889" s="9" t="s">
        <v>83</v>
      </c>
      <c r="G5889" s="9" t="s">
        <v>84</v>
      </c>
      <c r="H5889" s="11" t="s">
        <v>19</v>
      </c>
      <c r="I5889" s="12" t="n">
        <v>39</v>
      </c>
      <c r="J5889" s="13" t="n">
        <v>188</v>
      </c>
      <c r="K5889" s="14" t="n">
        <f aca="false">I5889*J5889</f>
        <v>7332</v>
      </c>
      <c r="L5889" s="14" t="n">
        <f aca="false">($L$2*M5889)/100</f>
        <v>600833.25</v>
      </c>
      <c r="M5889" s="15" t="n">
        <v>0.5</v>
      </c>
      <c r="N5889" s="9" t="s">
        <v>85</v>
      </c>
    </row>
    <row r="5890" customFormat="false" ht="14.25" hidden="false" customHeight="true" outlineLevel="0" collapsed="false">
      <c r="B5890" s="9" t="s">
        <v>32</v>
      </c>
      <c r="C5890" s="9" t="n">
        <v>1128299</v>
      </c>
      <c r="D5890" s="10" t="n">
        <v>44517</v>
      </c>
      <c r="E5890" s="9" t="s">
        <v>29</v>
      </c>
      <c r="F5890" s="9" t="s">
        <v>83</v>
      </c>
      <c r="G5890" s="9" t="s">
        <v>84</v>
      </c>
      <c r="H5890" s="11" t="s">
        <v>21</v>
      </c>
      <c r="I5890" s="12" t="n">
        <v>42</v>
      </c>
      <c r="J5890" s="13" t="n">
        <v>210</v>
      </c>
      <c r="K5890" s="14" t="n">
        <f aca="false">I5890*J5890</f>
        <v>8820</v>
      </c>
      <c r="L5890" s="14" t="n">
        <f aca="false">($L$2*M5890)/100</f>
        <v>624866.58</v>
      </c>
      <c r="M5890" s="15" t="n">
        <v>0.52</v>
      </c>
      <c r="N5890" s="9" t="s">
        <v>85</v>
      </c>
    </row>
    <row r="5891" customFormat="false" ht="14.25" hidden="false" customHeight="true" outlineLevel="0" collapsed="false">
      <c r="B5891" s="9" t="s">
        <v>32</v>
      </c>
      <c r="C5891" s="9" t="n">
        <v>1128299</v>
      </c>
      <c r="D5891" s="10" t="n">
        <v>44517</v>
      </c>
      <c r="E5891" s="9" t="s">
        <v>29</v>
      </c>
      <c r="F5891" s="9" t="s">
        <v>83</v>
      </c>
      <c r="G5891" s="9" t="s">
        <v>84</v>
      </c>
      <c r="H5891" s="11" t="s">
        <v>22</v>
      </c>
      <c r="I5891" s="12" t="n">
        <v>38</v>
      </c>
      <c r="J5891" s="13" t="n">
        <v>137</v>
      </c>
      <c r="K5891" s="14" t="n">
        <f aca="false">I5891*J5891</f>
        <v>5206</v>
      </c>
      <c r="L5891" s="14" t="n">
        <f aca="false">($L$2*M5891)/100</f>
        <v>624866.58</v>
      </c>
      <c r="M5891" s="15" t="n">
        <v>0.52</v>
      </c>
      <c r="N5891" s="9" t="s">
        <v>85</v>
      </c>
    </row>
    <row r="5892" customFormat="false" ht="14.25" hidden="false" customHeight="true" outlineLevel="0" collapsed="false">
      <c r="B5892" s="9" t="s">
        <v>32</v>
      </c>
      <c r="C5892" s="9" t="n">
        <v>1128299</v>
      </c>
      <c r="D5892" s="10" t="n">
        <v>44517</v>
      </c>
      <c r="E5892" s="9" t="s">
        <v>29</v>
      </c>
      <c r="F5892" s="9" t="s">
        <v>83</v>
      </c>
      <c r="G5892" s="9" t="s">
        <v>84</v>
      </c>
      <c r="H5892" s="11" t="s">
        <v>23</v>
      </c>
      <c r="I5892" s="12" t="n">
        <v>48</v>
      </c>
      <c r="J5892" s="13" t="n">
        <v>125</v>
      </c>
      <c r="K5892" s="14" t="n">
        <f aca="false">I5892*J5892</f>
        <v>6000</v>
      </c>
      <c r="L5892" s="14" t="n">
        <f aca="false">($L$2*M5892)/100</f>
        <v>600833.25</v>
      </c>
      <c r="M5892" s="15" t="n">
        <v>0.5</v>
      </c>
      <c r="N5892" s="9" t="s">
        <v>85</v>
      </c>
    </row>
    <row r="5893" customFormat="false" ht="14.25" hidden="false" customHeight="true" outlineLevel="0" collapsed="false">
      <c r="B5893" s="9" t="s">
        <v>32</v>
      </c>
      <c r="C5893" s="9" t="n">
        <v>1128299</v>
      </c>
      <c r="D5893" s="10" t="n">
        <v>44517</v>
      </c>
      <c r="E5893" s="9" t="s">
        <v>29</v>
      </c>
      <c r="F5893" s="9" t="s">
        <v>83</v>
      </c>
      <c r="G5893" s="9" t="s">
        <v>84</v>
      </c>
      <c r="H5893" s="11" t="s">
        <v>24</v>
      </c>
      <c r="I5893" s="12" t="n">
        <v>68</v>
      </c>
      <c r="J5893" s="13" t="n">
        <v>119</v>
      </c>
      <c r="K5893" s="14" t="n">
        <f aca="false">I5893*J5893</f>
        <v>8092</v>
      </c>
      <c r="L5893" s="14" t="n">
        <f aca="false">($L$2*M5893)/100</f>
        <v>660916.575</v>
      </c>
      <c r="M5893" s="15" t="n">
        <v>0.55</v>
      </c>
      <c r="N5893" s="9" t="s">
        <v>85</v>
      </c>
    </row>
    <row r="5894" customFormat="false" ht="14.25" hidden="false" customHeight="true" outlineLevel="0" collapsed="false">
      <c r="B5894" s="9" t="s">
        <v>32</v>
      </c>
      <c r="C5894" s="9" t="n">
        <v>1128299</v>
      </c>
      <c r="D5894" s="10" t="n">
        <v>44517</v>
      </c>
      <c r="E5894" s="9" t="s">
        <v>29</v>
      </c>
      <c r="F5894" s="9" t="s">
        <v>83</v>
      </c>
      <c r="G5894" s="9" t="s">
        <v>84</v>
      </c>
      <c r="H5894" s="11" t="s">
        <v>25</v>
      </c>
      <c r="I5894" s="12" t="n">
        <v>81</v>
      </c>
      <c r="J5894" s="13" t="n">
        <v>174</v>
      </c>
      <c r="K5894" s="14" t="n">
        <f aca="false">I5894*J5894</f>
        <v>14094</v>
      </c>
      <c r="L5894" s="14" t="n">
        <f aca="false">($L$2*M5894)/100</f>
        <v>576799.92</v>
      </c>
      <c r="M5894" s="15" t="n">
        <v>0.48</v>
      </c>
      <c r="N5894" s="9" t="s">
        <v>85</v>
      </c>
    </row>
    <row r="5895" customFormat="false" ht="14.25" hidden="false" customHeight="true" outlineLevel="0" collapsed="false">
      <c r="B5895" s="9" t="s">
        <v>32</v>
      </c>
      <c r="C5895" s="9" t="n">
        <v>1128299</v>
      </c>
      <c r="D5895" s="10" t="n">
        <v>44546</v>
      </c>
      <c r="E5895" s="9" t="s">
        <v>29</v>
      </c>
      <c r="F5895" s="9" t="s">
        <v>83</v>
      </c>
      <c r="G5895" s="9" t="s">
        <v>84</v>
      </c>
      <c r="H5895" s="11" t="s">
        <v>19</v>
      </c>
      <c r="I5895" s="12" t="n">
        <v>69</v>
      </c>
      <c r="J5895" s="13" t="n">
        <v>240</v>
      </c>
      <c r="K5895" s="14" t="n">
        <f aca="false">I5895*J5895</f>
        <v>16560</v>
      </c>
      <c r="L5895" s="14" t="n">
        <f aca="false">($L$2*M5895)/100</f>
        <v>624866.58</v>
      </c>
      <c r="M5895" s="15" t="n">
        <v>0.52</v>
      </c>
      <c r="N5895" s="9" t="s">
        <v>85</v>
      </c>
    </row>
    <row r="5896" customFormat="false" ht="14.25" hidden="false" customHeight="true" outlineLevel="0" collapsed="false">
      <c r="B5896" s="9" t="s">
        <v>32</v>
      </c>
      <c r="C5896" s="9" t="n">
        <v>1128299</v>
      </c>
      <c r="D5896" s="10" t="n">
        <v>44546</v>
      </c>
      <c r="E5896" s="9" t="s">
        <v>29</v>
      </c>
      <c r="F5896" s="9" t="s">
        <v>83</v>
      </c>
      <c r="G5896" s="9" t="s">
        <v>84</v>
      </c>
      <c r="H5896" s="11" t="s">
        <v>21</v>
      </c>
      <c r="I5896" s="12" t="n">
        <v>72</v>
      </c>
      <c r="J5896" s="13" t="n">
        <v>216</v>
      </c>
      <c r="K5896" s="14" t="n">
        <f aca="false">I5896*J5896</f>
        <v>15552</v>
      </c>
      <c r="L5896" s="14" t="n">
        <f aca="false">($L$2*M5896)/100</f>
        <v>600833.25</v>
      </c>
      <c r="M5896" s="15" t="n">
        <v>0.5</v>
      </c>
      <c r="N5896" s="9" t="s">
        <v>85</v>
      </c>
    </row>
    <row r="5897" customFormat="false" ht="14.25" hidden="false" customHeight="true" outlineLevel="0" collapsed="false">
      <c r="B5897" s="9" t="s">
        <v>16</v>
      </c>
      <c r="C5897" s="9" t="n">
        <v>1128299</v>
      </c>
      <c r="D5897" s="10" t="n">
        <v>44546</v>
      </c>
      <c r="E5897" s="9" t="s">
        <v>29</v>
      </c>
      <c r="F5897" s="9" t="s">
        <v>83</v>
      </c>
      <c r="G5897" s="9" t="s">
        <v>84</v>
      </c>
      <c r="H5897" s="11" t="s">
        <v>22</v>
      </c>
      <c r="I5897" s="12" t="n">
        <v>69</v>
      </c>
      <c r="J5897" s="13" t="n">
        <v>162</v>
      </c>
      <c r="K5897" s="14" t="n">
        <f aca="false">I5897*J5897</f>
        <v>11178</v>
      </c>
      <c r="L5897" s="14" t="n">
        <f aca="false">($L$2*M5897)/100</f>
        <v>624866.58</v>
      </c>
      <c r="M5897" s="15" t="n">
        <v>0.52</v>
      </c>
      <c r="N5897" s="9" t="s">
        <v>85</v>
      </c>
    </row>
    <row r="5898" customFormat="false" ht="14.25" hidden="false" customHeight="true" outlineLevel="0" collapsed="false">
      <c r="B5898" s="9" t="s">
        <v>16</v>
      </c>
      <c r="C5898" s="9" t="n">
        <v>1128299</v>
      </c>
      <c r="D5898" s="10" t="n">
        <v>44546</v>
      </c>
      <c r="E5898" s="9" t="s">
        <v>29</v>
      </c>
      <c r="F5898" s="9" t="s">
        <v>83</v>
      </c>
      <c r="G5898" s="9" t="s">
        <v>84</v>
      </c>
      <c r="H5898" s="11" t="s">
        <v>23</v>
      </c>
      <c r="I5898" s="12" t="n">
        <v>72</v>
      </c>
      <c r="J5898" s="13" t="n">
        <v>156</v>
      </c>
      <c r="K5898" s="14" t="n">
        <f aca="false">I5898*J5898</f>
        <v>11232</v>
      </c>
      <c r="L5898" s="14" t="n">
        <f aca="false">($L$2*M5898)/100</f>
        <v>648899.91</v>
      </c>
      <c r="M5898" s="15" t="n">
        <v>0.54</v>
      </c>
      <c r="N5898" s="9" t="s">
        <v>85</v>
      </c>
    </row>
    <row r="5899" customFormat="false" ht="14.25" hidden="false" customHeight="true" outlineLevel="0" collapsed="false">
      <c r="B5899" s="9" t="s">
        <v>16</v>
      </c>
      <c r="C5899" s="9" t="n">
        <v>1128299</v>
      </c>
      <c r="D5899" s="10" t="n">
        <v>44546</v>
      </c>
      <c r="E5899" s="9" t="s">
        <v>29</v>
      </c>
      <c r="F5899" s="9" t="s">
        <v>83</v>
      </c>
      <c r="G5899" s="9" t="s">
        <v>84</v>
      </c>
      <c r="H5899" s="11" t="s">
        <v>24</v>
      </c>
      <c r="I5899" s="12" t="n">
        <v>82</v>
      </c>
      <c r="J5899" s="13" t="n">
        <v>131</v>
      </c>
      <c r="K5899" s="14" t="n">
        <f aca="false">I5899*J5899</f>
        <v>10742</v>
      </c>
      <c r="L5899" s="14" t="n">
        <f aca="false">($L$2*M5899)/100</f>
        <v>696966.57</v>
      </c>
      <c r="M5899" s="15" t="n">
        <v>0.58</v>
      </c>
      <c r="N5899" s="9" t="s">
        <v>85</v>
      </c>
    </row>
    <row r="5900" customFormat="false" ht="14.25" hidden="false" customHeight="true" outlineLevel="0" collapsed="false">
      <c r="B5900" s="9" t="s">
        <v>16</v>
      </c>
      <c r="C5900" s="9" t="n">
        <v>1128299</v>
      </c>
      <c r="D5900" s="10" t="n">
        <v>44546</v>
      </c>
      <c r="E5900" s="9" t="s">
        <v>29</v>
      </c>
      <c r="F5900" s="9" t="s">
        <v>83</v>
      </c>
      <c r="G5900" s="9" t="s">
        <v>84</v>
      </c>
      <c r="H5900" s="11" t="s">
        <v>25</v>
      </c>
      <c r="I5900" s="12" t="n">
        <v>87</v>
      </c>
      <c r="J5900" s="13" t="n">
        <v>175</v>
      </c>
      <c r="K5900" s="14" t="n">
        <f aca="false">I5900*J5900</f>
        <v>15225</v>
      </c>
      <c r="L5900" s="14" t="n">
        <f aca="false">($L$2*M5900)/100</f>
        <v>540749.925</v>
      </c>
      <c r="M5900" s="15" t="n">
        <v>0.45</v>
      </c>
      <c r="N5900" s="9" t="s">
        <v>85</v>
      </c>
    </row>
    <row r="5901" customFormat="false" ht="14.25" hidden="false" customHeight="true" outlineLevel="0" collapsed="false">
      <c r="B5901" s="9" t="s">
        <v>16</v>
      </c>
      <c r="C5901" s="9" t="n">
        <v>1197831</v>
      </c>
      <c r="D5901" s="10" t="n">
        <v>44201</v>
      </c>
      <c r="E5901" s="9" t="s">
        <v>29</v>
      </c>
      <c r="F5901" s="9" t="s">
        <v>83</v>
      </c>
      <c r="G5901" s="9" t="s">
        <v>84</v>
      </c>
      <c r="H5901" s="11" t="s">
        <v>19</v>
      </c>
      <c r="I5901" s="12" t="n">
        <v>19</v>
      </c>
      <c r="J5901" s="13" t="n">
        <v>182</v>
      </c>
      <c r="K5901" s="14" t="n">
        <f aca="false">I5901*J5901</f>
        <v>3458</v>
      </c>
      <c r="L5901" s="14" t="n">
        <f aca="false">($L$2*M5901)/100</f>
        <v>516716.595</v>
      </c>
      <c r="M5901" s="15" t="n">
        <v>0.43</v>
      </c>
      <c r="N5901" s="9" t="s">
        <v>85</v>
      </c>
    </row>
    <row r="5902" customFormat="false" ht="14.25" hidden="false" customHeight="true" outlineLevel="0" collapsed="false">
      <c r="B5902" s="9" t="s">
        <v>16</v>
      </c>
      <c r="C5902" s="9" t="n">
        <v>1197831</v>
      </c>
      <c r="D5902" s="10" t="n">
        <v>44201</v>
      </c>
      <c r="E5902" s="9" t="s">
        <v>29</v>
      </c>
      <c r="F5902" s="9" t="s">
        <v>83</v>
      </c>
      <c r="G5902" s="9" t="s">
        <v>84</v>
      </c>
      <c r="H5902" s="11" t="s">
        <v>21</v>
      </c>
      <c r="I5902" s="12" t="n">
        <v>28</v>
      </c>
      <c r="J5902" s="13" t="n">
        <v>196</v>
      </c>
      <c r="K5902" s="14" t="n">
        <f aca="false">I5902*J5902</f>
        <v>5488</v>
      </c>
      <c r="L5902" s="14" t="n">
        <f aca="false">($L$2*M5902)/100</f>
        <v>540749.925</v>
      </c>
      <c r="M5902" s="15" t="n">
        <v>0.45</v>
      </c>
      <c r="N5902" s="9" t="s">
        <v>85</v>
      </c>
    </row>
    <row r="5903" customFormat="false" ht="14.25" hidden="false" customHeight="true" outlineLevel="0" collapsed="false">
      <c r="B5903" s="9" t="s">
        <v>16</v>
      </c>
      <c r="C5903" s="9" t="n">
        <v>1197831</v>
      </c>
      <c r="D5903" s="10" t="n">
        <v>44201</v>
      </c>
      <c r="E5903" s="9" t="s">
        <v>29</v>
      </c>
      <c r="F5903" s="9" t="s">
        <v>83</v>
      </c>
      <c r="G5903" s="9" t="s">
        <v>84</v>
      </c>
      <c r="H5903" s="11" t="s">
        <v>22</v>
      </c>
      <c r="I5903" s="12" t="n">
        <v>28</v>
      </c>
      <c r="J5903" s="13" t="n">
        <v>119</v>
      </c>
      <c r="K5903" s="14" t="n">
        <f aca="false">I5903*J5903</f>
        <v>3332</v>
      </c>
      <c r="L5903" s="14" t="n">
        <f aca="false">($L$2*M5903)/100</f>
        <v>480666.6</v>
      </c>
      <c r="M5903" s="15" t="n">
        <v>0.4</v>
      </c>
      <c r="N5903" s="9" t="s">
        <v>85</v>
      </c>
    </row>
    <row r="5904" customFormat="false" ht="14.25" hidden="false" customHeight="true" outlineLevel="0" collapsed="false">
      <c r="B5904" s="9" t="s">
        <v>16</v>
      </c>
      <c r="C5904" s="9" t="n">
        <v>1197831</v>
      </c>
      <c r="D5904" s="10" t="n">
        <v>44201</v>
      </c>
      <c r="E5904" s="9" t="s">
        <v>29</v>
      </c>
      <c r="F5904" s="9" t="s">
        <v>83</v>
      </c>
      <c r="G5904" s="9" t="s">
        <v>84</v>
      </c>
      <c r="H5904" s="11" t="s">
        <v>23</v>
      </c>
      <c r="I5904" s="12" t="n">
        <v>33</v>
      </c>
      <c r="J5904" s="13" t="n">
        <v>133</v>
      </c>
      <c r="K5904" s="14" t="n">
        <f aca="false">I5904*J5904</f>
        <v>4389</v>
      </c>
      <c r="L5904" s="14" t="n">
        <f aca="false">($L$2*M5904)/100</f>
        <v>636883.245</v>
      </c>
      <c r="M5904" s="15" t="n">
        <v>0.53</v>
      </c>
      <c r="N5904" s="9" t="s">
        <v>85</v>
      </c>
    </row>
    <row r="5905" customFormat="false" ht="14.25" hidden="false" customHeight="true" outlineLevel="0" collapsed="false">
      <c r="B5905" s="9" t="s">
        <v>16</v>
      </c>
      <c r="C5905" s="9" t="n">
        <v>1197831</v>
      </c>
      <c r="D5905" s="10" t="n">
        <v>44201</v>
      </c>
      <c r="E5905" s="9" t="s">
        <v>29</v>
      </c>
      <c r="F5905" s="9" t="s">
        <v>83</v>
      </c>
      <c r="G5905" s="9" t="s">
        <v>84</v>
      </c>
      <c r="H5905" s="11" t="s">
        <v>24</v>
      </c>
      <c r="I5905" s="12" t="n">
        <v>36</v>
      </c>
      <c r="J5905" s="13" t="n">
        <v>85</v>
      </c>
      <c r="K5905" s="14" t="n">
        <f aca="false">I5905*J5905</f>
        <v>3060</v>
      </c>
      <c r="L5905" s="14" t="n">
        <f aca="false">($L$2*M5905)/100</f>
        <v>444616.605</v>
      </c>
      <c r="M5905" s="15" t="n">
        <v>0.37</v>
      </c>
      <c r="N5905" s="9" t="s">
        <v>85</v>
      </c>
    </row>
    <row r="5906" customFormat="false" ht="14.25" hidden="false" customHeight="true" outlineLevel="0" collapsed="false">
      <c r="B5906" s="9" t="s">
        <v>32</v>
      </c>
      <c r="C5906" s="9" t="n">
        <v>1197831</v>
      </c>
      <c r="D5906" s="10" t="n">
        <v>44201</v>
      </c>
      <c r="E5906" s="9" t="s">
        <v>29</v>
      </c>
      <c r="F5906" s="9" t="s">
        <v>83</v>
      </c>
      <c r="G5906" s="9" t="s">
        <v>84</v>
      </c>
      <c r="H5906" s="11" t="s">
        <v>25</v>
      </c>
      <c r="I5906" s="12" t="n">
        <v>34</v>
      </c>
      <c r="J5906" s="13" t="n">
        <v>143</v>
      </c>
      <c r="K5906" s="14" t="n">
        <f aca="false">I5906*J5906</f>
        <v>4862</v>
      </c>
      <c r="L5906" s="14" t="n">
        <f aca="false">($L$2*M5906)/100</f>
        <v>720999.9</v>
      </c>
      <c r="M5906" s="15" t="n">
        <v>0.6</v>
      </c>
      <c r="N5906" s="9" t="s">
        <v>85</v>
      </c>
    </row>
    <row r="5907" customFormat="false" ht="14.25" hidden="false" customHeight="true" outlineLevel="0" collapsed="false">
      <c r="B5907" s="9" t="s">
        <v>16</v>
      </c>
      <c r="C5907" s="9" t="n">
        <v>1197831</v>
      </c>
      <c r="D5907" s="10" t="n">
        <v>44231</v>
      </c>
      <c r="E5907" s="9" t="s">
        <v>29</v>
      </c>
      <c r="F5907" s="9" t="s">
        <v>83</v>
      </c>
      <c r="G5907" s="9" t="s">
        <v>84</v>
      </c>
      <c r="H5907" s="11" t="s">
        <v>19</v>
      </c>
      <c r="I5907" s="12" t="n">
        <v>23</v>
      </c>
      <c r="J5907" s="13" t="n">
        <v>163</v>
      </c>
      <c r="K5907" s="14" t="n">
        <f aca="false">I5907*J5907</f>
        <v>3749</v>
      </c>
      <c r="L5907" s="14" t="n">
        <f aca="false">($L$2*M5907)/100</f>
        <v>480666.6</v>
      </c>
      <c r="M5907" s="15" t="n">
        <v>0.4</v>
      </c>
      <c r="N5907" s="9" t="s">
        <v>85</v>
      </c>
    </row>
    <row r="5908" customFormat="false" ht="14.25" hidden="false" customHeight="true" outlineLevel="0" collapsed="false">
      <c r="B5908" s="9" t="s">
        <v>16</v>
      </c>
      <c r="C5908" s="9" t="n">
        <v>1197831</v>
      </c>
      <c r="D5908" s="10" t="n">
        <v>44231</v>
      </c>
      <c r="E5908" s="9" t="s">
        <v>29</v>
      </c>
      <c r="F5908" s="9" t="s">
        <v>83</v>
      </c>
      <c r="G5908" s="9" t="s">
        <v>84</v>
      </c>
      <c r="H5908" s="11" t="s">
        <v>21</v>
      </c>
      <c r="I5908" s="12" t="n">
        <v>32</v>
      </c>
      <c r="J5908" s="13" t="n">
        <v>174</v>
      </c>
      <c r="K5908" s="14" t="n">
        <f aca="false">I5908*J5908</f>
        <v>5568</v>
      </c>
      <c r="L5908" s="14" t="n">
        <f aca="false">($L$2*M5908)/100</f>
        <v>504699.93</v>
      </c>
      <c r="M5908" s="15" t="n">
        <v>0.42</v>
      </c>
      <c r="N5908" s="9" t="s">
        <v>85</v>
      </c>
    </row>
    <row r="5909" customFormat="false" ht="14.25" hidden="false" customHeight="true" outlineLevel="0" collapsed="false">
      <c r="B5909" s="9" t="s">
        <v>16</v>
      </c>
      <c r="C5909" s="9" t="n">
        <v>1197831</v>
      </c>
      <c r="D5909" s="10" t="n">
        <v>44231</v>
      </c>
      <c r="E5909" s="9" t="s">
        <v>29</v>
      </c>
      <c r="F5909" s="9" t="s">
        <v>83</v>
      </c>
      <c r="G5909" s="9" t="s">
        <v>84</v>
      </c>
      <c r="H5909" s="11" t="s">
        <v>22</v>
      </c>
      <c r="I5909" s="12" t="n">
        <v>34</v>
      </c>
      <c r="J5909" s="13" t="n">
        <v>128</v>
      </c>
      <c r="K5909" s="14" t="n">
        <f aca="false">I5909*J5909</f>
        <v>4352</v>
      </c>
      <c r="L5909" s="14" t="n">
        <f aca="false">($L$2*M5909)/100</f>
        <v>492683.265</v>
      </c>
      <c r="M5909" s="15" t="n">
        <v>0.41</v>
      </c>
      <c r="N5909" s="9" t="s">
        <v>85</v>
      </c>
    </row>
    <row r="5910" customFormat="false" ht="14.25" hidden="false" customHeight="true" outlineLevel="0" collapsed="false">
      <c r="B5910" s="9" t="s">
        <v>16</v>
      </c>
      <c r="C5910" s="9" t="n">
        <v>1197831</v>
      </c>
      <c r="D5910" s="10" t="n">
        <v>44231</v>
      </c>
      <c r="E5910" s="9" t="s">
        <v>33</v>
      </c>
      <c r="F5910" s="9" t="s">
        <v>86</v>
      </c>
      <c r="G5910" s="9" t="s">
        <v>87</v>
      </c>
      <c r="H5910" s="11" t="s">
        <v>23</v>
      </c>
      <c r="I5910" s="12" t="n">
        <v>32</v>
      </c>
      <c r="J5910" s="13" t="n">
        <v>109</v>
      </c>
      <c r="K5910" s="14" t="n">
        <f aca="false">I5910*J5910</f>
        <v>3488</v>
      </c>
      <c r="L5910" s="14" t="n">
        <f aca="false">($L$2*M5910)/100</f>
        <v>648899.91</v>
      </c>
      <c r="M5910" s="15" t="n">
        <v>0.54</v>
      </c>
      <c r="N5910" s="9" t="s">
        <v>85</v>
      </c>
    </row>
    <row r="5911" customFormat="false" ht="14.25" hidden="false" customHeight="true" outlineLevel="0" collapsed="false">
      <c r="B5911" s="9" t="s">
        <v>16</v>
      </c>
      <c r="C5911" s="9" t="n">
        <v>1197831</v>
      </c>
      <c r="D5911" s="10" t="n">
        <v>44231</v>
      </c>
      <c r="E5911" s="9" t="s">
        <v>33</v>
      </c>
      <c r="F5911" s="9" t="s">
        <v>86</v>
      </c>
      <c r="G5911" s="9" t="s">
        <v>87</v>
      </c>
      <c r="H5911" s="11" t="s">
        <v>24</v>
      </c>
      <c r="I5911" s="12" t="n">
        <v>39</v>
      </c>
      <c r="J5911" s="13" t="n">
        <v>70</v>
      </c>
      <c r="K5911" s="14" t="n">
        <f aca="false">I5911*J5911</f>
        <v>2730</v>
      </c>
      <c r="L5911" s="14" t="n">
        <f aca="false">($L$2*M5911)/100</f>
        <v>420583.275</v>
      </c>
      <c r="M5911" s="15" t="n">
        <v>0.35</v>
      </c>
      <c r="N5911" s="9" t="s">
        <v>85</v>
      </c>
    </row>
    <row r="5912" customFormat="false" ht="14.25" hidden="false" customHeight="true" outlineLevel="0" collapsed="false">
      <c r="B5912" s="9" t="s">
        <v>16</v>
      </c>
      <c r="C5912" s="9" t="n">
        <v>1197831</v>
      </c>
      <c r="D5912" s="10" t="n">
        <v>44231</v>
      </c>
      <c r="E5912" s="9" t="s">
        <v>33</v>
      </c>
      <c r="F5912" s="9" t="s">
        <v>86</v>
      </c>
      <c r="G5912" s="9" t="s">
        <v>87</v>
      </c>
      <c r="H5912" s="11" t="s">
        <v>25</v>
      </c>
      <c r="I5912" s="12" t="n">
        <v>34</v>
      </c>
      <c r="J5912" s="13" t="n">
        <v>131</v>
      </c>
      <c r="K5912" s="14" t="n">
        <f aca="false">I5912*J5912</f>
        <v>4454</v>
      </c>
      <c r="L5912" s="14" t="n">
        <f aca="false">($L$2*M5912)/100</f>
        <v>660916.575</v>
      </c>
      <c r="M5912" s="15" t="n">
        <v>0.55</v>
      </c>
      <c r="N5912" s="9" t="s">
        <v>85</v>
      </c>
    </row>
    <row r="5913" customFormat="false" ht="14.25" hidden="false" customHeight="true" outlineLevel="0" collapsed="false">
      <c r="B5913" s="9" t="s">
        <v>16</v>
      </c>
      <c r="C5913" s="9" t="n">
        <v>1197831</v>
      </c>
      <c r="D5913" s="10" t="n">
        <v>44261</v>
      </c>
      <c r="E5913" s="9" t="s">
        <v>33</v>
      </c>
      <c r="F5913" s="9" t="s">
        <v>86</v>
      </c>
      <c r="G5913" s="9" t="s">
        <v>87</v>
      </c>
      <c r="H5913" s="11" t="s">
        <v>19</v>
      </c>
      <c r="I5913" s="12" t="n">
        <v>28</v>
      </c>
      <c r="J5913" s="13" t="n">
        <v>156</v>
      </c>
      <c r="K5913" s="14" t="n">
        <f aca="false">I5913*J5913</f>
        <v>4368</v>
      </c>
      <c r="L5913" s="14" t="n">
        <f aca="false">($L$2*M5913)/100</f>
        <v>540749.925</v>
      </c>
      <c r="M5913" s="15" t="n">
        <v>0.45</v>
      </c>
      <c r="N5913" s="9" t="s">
        <v>85</v>
      </c>
    </row>
    <row r="5914" customFormat="false" ht="14.25" hidden="false" customHeight="true" outlineLevel="0" collapsed="false">
      <c r="B5914" s="9" t="s">
        <v>16</v>
      </c>
      <c r="C5914" s="9" t="n">
        <v>1197831</v>
      </c>
      <c r="D5914" s="10" t="n">
        <v>44261</v>
      </c>
      <c r="E5914" s="9" t="s">
        <v>33</v>
      </c>
      <c r="F5914" s="9" t="s">
        <v>86</v>
      </c>
      <c r="G5914" s="9" t="s">
        <v>87</v>
      </c>
      <c r="H5914" s="11" t="s">
        <v>21</v>
      </c>
      <c r="I5914" s="12" t="n">
        <v>36</v>
      </c>
      <c r="J5914" s="13" t="n">
        <v>169</v>
      </c>
      <c r="K5914" s="14" t="n">
        <f aca="false">I5914*J5914</f>
        <v>6084</v>
      </c>
      <c r="L5914" s="14" t="n">
        <f aca="false">($L$2*M5914)/100</f>
        <v>552766.59</v>
      </c>
      <c r="M5914" s="15" t="n">
        <v>0.46</v>
      </c>
      <c r="N5914" s="9" t="s">
        <v>85</v>
      </c>
    </row>
    <row r="5915" customFormat="false" ht="14.25" hidden="false" customHeight="true" outlineLevel="0" collapsed="false">
      <c r="B5915" s="9" t="s">
        <v>16</v>
      </c>
      <c r="C5915" s="9" t="n">
        <v>1197831</v>
      </c>
      <c r="D5915" s="10" t="n">
        <v>44261</v>
      </c>
      <c r="E5915" s="9" t="s">
        <v>33</v>
      </c>
      <c r="F5915" s="9" t="s">
        <v>86</v>
      </c>
      <c r="G5915" s="9" t="s">
        <v>87</v>
      </c>
      <c r="H5915" s="11" t="s">
        <v>22</v>
      </c>
      <c r="I5915" s="12" t="n">
        <v>28</v>
      </c>
      <c r="J5915" s="13" t="n">
        <v>113</v>
      </c>
      <c r="K5915" s="14" t="n">
        <f aca="false">I5915*J5915</f>
        <v>3164</v>
      </c>
      <c r="L5915" s="14" t="n">
        <f aca="false">($L$2*M5915)/100</f>
        <v>588816.585</v>
      </c>
      <c r="M5915" s="15" t="n">
        <v>0.49</v>
      </c>
      <c r="N5915" s="9" t="s">
        <v>85</v>
      </c>
    </row>
    <row r="5916" customFormat="false" ht="14.25" hidden="false" customHeight="true" outlineLevel="0" collapsed="false">
      <c r="B5916" s="9" t="s">
        <v>16</v>
      </c>
      <c r="C5916" s="9" t="n">
        <v>1197831</v>
      </c>
      <c r="D5916" s="10" t="n">
        <v>44261</v>
      </c>
      <c r="E5916" s="9" t="s">
        <v>33</v>
      </c>
      <c r="F5916" s="9" t="s">
        <v>86</v>
      </c>
      <c r="G5916" s="9" t="s">
        <v>87</v>
      </c>
      <c r="H5916" s="11" t="s">
        <v>23</v>
      </c>
      <c r="I5916" s="12" t="n">
        <v>33</v>
      </c>
      <c r="J5916" s="13" t="n">
        <v>105</v>
      </c>
      <c r="K5916" s="14" t="n">
        <f aca="false">I5916*J5916</f>
        <v>3465</v>
      </c>
      <c r="L5916" s="14" t="n">
        <f aca="false">($L$2*M5916)/100</f>
        <v>696966.57</v>
      </c>
      <c r="M5916" s="15" t="n">
        <v>0.58</v>
      </c>
      <c r="N5916" s="9" t="s">
        <v>85</v>
      </c>
    </row>
    <row r="5917" customFormat="false" ht="14.25" hidden="false" customHeight="true" outlineLevel="0" collapsed="false">
      <c r="B5917" s="9" t="s">
        <v>32</v>
      </c>
      <c r="C5917" s="9" t="n">
        <v>1197831</v>
      </c>
      <c r="D5917" s="10" t="n">
        <v>44261</v>
      </c>
      <c r="E5917" s="9" t="s">
        <v>33</v>
      </c>
      <c r="F5917" s="9" t="s">
        <v>86</v>
      </c>
      <c r="G5917" s="9" t="s">
        <v>87</v>
      </c>
      <c r="H5917" s="11" t="s">
        <v>24</v>
      </c>
      <c r="I5917" s="12" t="n">
        <v>37</v>
      </c>
      <c r="J5917" s="13" t="n">
        <v>75</v>
      </c>
      <c r="K5917" s="14" t="n">
        <f aca="false">I5917*J5917</f>
        <v>2775</v>
      </c>
      <c r="L5917" s="14" t="n">
        <f aca="false">($L$2*M5917)/100</f>
        <v>540749.925</v>
      </c>
      <c r="M5917" s="15" t="n">
        <v>0.45</v>
      </c>
      <c r="N5917" s="9" t="s">
        <v>85</v>
      </c>
    </row>
    <row r="5918" customFormat="false" ht="14.25" hidden="false" customHeight="true" outlineLevel="0" collapsed="false">
      <c r="B5918" s="9" t="s">
        <v>32</v>
      </c>
      <c r="C5918" s="9" t="n">
        <v>1197831</v>
      </c>
      <c r="D5918" s="10" t="n">
        <v>44261</v>
      </c>
      <c r="E5918" s="9" t="s">
        <v>33</v>
      </c>
      <c r="F5918" s="9" t="s">
        <v>86</v>
      </c>
      <c r="G5918" s="9" t="s">
        <v>87</v>
      </c>
      <c r="H5918" s="11" t="s">
        <v>25</v>
      </c>
      <c r="I5918" s="12" t="n">
        <v>33</v>
      </c>
      <c r="J5918" s="13" t="n">
        <v>116</v>
      </c>
      <c r="K5918" s="14" t="n">
        <f aca="false">I5918*J5918</f>
        <v>3828</v>
      </c>
      <c r="L5918" s="14" t="n">
        <f aca="false">($L$2*M5918)/100</f>
        <v>781083.225</v>
      </c>
      <c r="M5918" s="15" t="n">
        <v>0.65</v>
      </c>
      <c r="N5918" s="9" t="s">
        <v>85</v>
      </c>
    </row>
    <row r="5919" customFormat="false" ht="14.25" hidden="false" customHeight="true" outlineLevel="0" collapsed="false">
      <c r="B5919" s="9" t="s">
        <v>32</v>
      </c>
      <c r="C5919" s="9" t="n">
        <v>1197831</v>
      </c>
      <c r="D5919" s="10" t="n">
        <v>44291</v>
      </c>
      <c r="E5919" s="9" t="s">
        <v>33</v>
      </c>
      <c r="F5919" s="9" t="s">
        <v>86</v>
      </c>
      <c r="G5919" s="9" t="s">
        <v>87</v>
      </c>
      <c r="H5919" s="11" t="s">
        <v>19</v>
      </c>
      <c r="I5919" s="12" t="n">
        <v>19</v>
      </c>
      <c r="J5919" s="13" t="n">
        <v>195</v>
      </c>
      <c r="K5919" s="14" t="n">
        <f aca="false">I5919*J5919</f>
        <v>3705</v>
      </c>
      <c r="L5919" s="14" t="n">
        <f aca="false">($L$2*M5919)/100</f>
        <v>564783.255</v>
      </c>
      <c r="M5919" s="15" t="n">
        <v>0.47</v>
      </c>
      <c r="N5919" s="9" t="s">
        <v>85</v>
      </c>
    </row>
    <row r="5920" customFormat="false" ht="14.25" hidden="false" customHeight="true" outlineLevel="0" collapsed="false">
      <c r="B5920" s="9" t="s">
        <v>32</v>
      </c>
      <c r="C5920" s="9" t="n">
        <v>1197831</v>
      </c>
      <c r="D5920" s="10" t="n">
        <v>44291</v>
      </c>
      <c r="E5920" s="9" t="s">
        <v>33</v>
      </c>
      <c r="F5920" s="9" t="s">
        <v>86</v>
      </c>
      <c r="G5920" s="9" t="s">
        <v>87</v>
      </c>
      <c r="H5920" s="11" t="s">
        <v>21</v>
      </c>
      <c r="I5920" s="12" t="n">
        <v>29</v>
      </c>
      <c r="J5920" s="13" t="n">
        <v>195</v>
      </c>
      <c r="K5920" s="14" t="n">
        <f aca="false">I5920*J5920</f>
        <v>5655</v>
      </c>
      <c r="L5920" s="14" t="n">
        <f aca="false">($L$2*M5920)/100</f>
        <v>576799.92</v>
      </c>
      <c r="M5920" s="15" t="n">
        <v>0.48</v>
      </c>
      <c r="N5920" s="9" t="s">
        <v>85</v>
      </c>
    </row>
    <row r="5921" customFormat="false" ht="14.25" hidden="false" customHeight="true" outlineLevel="0" collapsed="false">
      <c r="B5921" s="9" t="s">
        <v>32</v>
      </c>
      <c r="C5921" s="9" t="n">
        <v>1197831</v>
      </c>
      <c r="D5921" s="10" t="n">
        <v>44291</v>
      </c>
      <c r="E5921" s="9" t="s">
        <v>33</v>
      </c>
      <c r="F5921" s="9" t="s">
        <v>86</v>
      </c>
      <c r="G5921" s="9" t="s">
        <v>87</v>
      </c>
      <c r="H5921" s="11" t="s">
        <v>22</v>
      </c>
      <c r="I5921" s="12" t="n">
        <v>24</v>
      </c>
      <c r="J5921" s="13" t="n">
        <v>138</v>
      </c>
      <c r="K5921" s="14" t="n">
        <f aca="false">I5921*J5921</f>
        <v>3312</v>
      </c>
      <c r="L5921" s="14" t="n">
        <f aca="false">($L$2*M5921)/100</f>
        <v>564783.255</v>
      </c>
      <c r="M5921" s="15" t="n">
        <v>0.47</v>
      </c>
      <c r="N5921" s="9" t="s">
        <v>85</v>
      </c>
    </row>
    <row r="5922" customFormat="false" ht="14.25" hidden="false" customHeight="true" outlineLevel="0" collapsed="false">
      <c r="B5922" s="9" t="s">
        <v>32</v>
      </c>
      <c r="C5922" s="9" t="n">
        <v>1197831</v>
      </c>
      <c r="D5922" s="10" t="n">
        <v>44291</v>
      </c>
      <c r="E5922" s="9" t="s">
        <v>33</v>
      </c>
      <c r="F5922" s="9" t="s">
        <v>86</v>
      </c>
      <c r="G5922" s="9" t="s">
        <v>87</v>
      </c>
      <c r="H5922" s="11" t="s">
        <v>23</v>
      </c>
      <c r="I5922" s="12" t="n">
        <v>29</v>
      </c>
      <c r="J5922" s="13" t="n">
        <v>113</v>
      </c>
      <c r="K5922" s="14" t="n">
        <f aca="false">I5922*J5922</f>
        <v>3277</v>
      </c>
      <c r="L5922" s="14" t="n">
        <f aca="false">($L$2*M5922)/100</f>
        <v>660916.575</v>
      </c>
      <c r="M5922" s="15" t="n">
        <v>0.55</v>
      </c>
      <c r="N5922" s="9" t="s">
        <v>85</v>
      </c>
    </row>
    <row r="5923" customFormat="false" ht="14.25" hidden="false" customHeight="true" outlineLevel="0" collapsed="false">
      <c r="B5923" s="9" t="s">
        <v>32</v>
      </c>
      <c r="C5923" s="9" t="n">
        <v>1197831</v>
      </c>
      <c r="D5923" s="10" t="n">
        <v>44291</v>
      </c>
      <c r="E5923" s="9" t="s">
        <v>33</v>
      </c>
      <c r="F5923" s="9" t="s">
        <v>86</v>
      </c>
      <c r="G5923" s="9" t="s">
        <v>87</v>
      </c>
      <c r="H5923" s="11" t="s">
        <v>24</v>
      </c>
      <c r="I5923" s="12" t="n">
        <v>34</v>
      </c>
      <c r="J5923" s="13" t="n">
        <v>72</v>
      </c>
      <c r="K5923" s="14" t="n">
        <f aca="false">I5923*J5923</f>
        <v>2448</v>
      </c>
      <c r="L5923" s="14" t="n">
        <f aca="false">($L$2*M5923)/100</f>
        <v>516716.595</v>
      </c>
      <c r="M5923" s="15" t="n">
        <v>0.43</v>
      </c>
      <c r="N5923" s="9" t="s">
        <v>85</v>
      </c>
    </row>
    <row r="5924" customFormat="false" ht="14.25" hidden="false" customHeight="true" outlineLevel="0" collapsed="false">
      <c r="B5924" s="9" t="s">
        <v>32</v>
      </c>
      <c r="C5924" s="9" t="n">
        <v>1197831</v>
      </c>
      <c r="D5924" s="10" t="n">
        <v>44291</v>
      </c>
      <c r="E5924" s="9" t="s">
        <v>33</v>
      </c>
      <c r="F5924" s="9" t="s">
        <v>86</v>
      </c>
      <c r="G5924" s="9" t="s">
        <v>87</v>
      </c>
      <c r="H5924" s="11" t="s">
        <v>25</v>
      </c>
      <c r="I5924" s="12" t="n">
        <v>28</v>
      </c>
      <c r="J5924" s="13" t="n">
        <v>138</v>
      </c>
      <c r="K5924" s="14" t="n">
        <f aca="false">I5924*J5924</f>
        <v>3864</v>
      </c>
      <c r="L5924" s="14" t="n">
        <f aca="false">($L$2*M5924)/100</f>
        <v>733016.565</v>
      </c>
      <c r="M5924" s="15" t="n">
        <v>0.61</v>
      </c>
      <c r="N5924" s="9" t="s">
        <v>85</v>
      </c>
    </row>
    <row r="5925" customFormat="false" ht="14.25" hidden="false" customHeight="true" outlineLevel="0" collapsed="false">
      <c r="B5925" s="9" t="s">
        <v>32</v>
      </c>
      <c r="C5925" s="9" t="n">
        <v>1197831</v>
      </c>
      <c r="D5925" s="10" t="n">
        <v>44321</v>
      </c>
      <c r="E5925" s="9" t="s">
        <v>33</v>
      </c>
      <c r="F5925" s="9" t="s">
        <v>86</v>
      </c>
      <c r="G5925" s="9" t="s">
        <v>87</v>
      </c>
      <c r="H5925" s="11" t="s">
        <v>19</v>
      </c>
      <c r="I5925" s="12" t="n">
        <v>18</v>
      </c>
      <c r="J5925" s="13" t="n">
        <v>203</v>
      </c>
      <c r="K5925" s="14" t="n">
        <f aca="false">I5925*J5925</f>
        <v>3654</v>
      </c>
      <c r="L5925" s="14" t="n">
        <f aca="false">($L$2*M5925)/100</f>
        <v>600833.25</v>
      </c>
      <c r="M5925" s="15" t="n">
        <v>0.5</v>
      </c>
      <c r="N5925" s="9" t="s">
        <v>85</v>
      </c>
    </row>
    <row r="5926" customFormat="false" ht="14.25" hidden="false" customHeight="true" outlineLevel="0" collapsed="false">
      <c r="B5926" s="9" t="s">
        <v>32</v>
      </c>
      <c r="C5926" s="9" t="n">
        <v>1197831</v>
      </c>
      <c r="D5926" s="10" t="n">
        <v>44321</v>
      </c>
      <c r="E5926" s="9" t="s">
        <v>33</v>
      </c>
      <c r="F5926" s="9" t="s">
        <v>86</v>
      </c>
      <c r="G5926" s="9" t="s">
        <v>87</v>
      </c>
      <c r="H5926" s="11" t="s">
        <v>21</v>
      </c>
      <c r="I5926" s="12" t="n">
        <v>28</v>
      </c>
      <c r="J5926" s="13" t="n">
        <v>196</v>
      </c>
      <c r="K5926" s="14" t="n">
        <f aca="false">I5926*J5926</f>
        <v>5488</v>
      </c>
      <c r="L5926" s="14" t="n">
        <f aca="false">($L$2*M5926)/100</f>
        <v>576799.92</v>
      </c>
      <c r="M5926" s="15" t="n">
        <v>0.48</v>
      </c>
      <c r="N5926" s="9" t="s">
        <v>85</v>
      </c>
    </row>
    <row r="5927" customFormat="false" ht="14.25" hidden="false" customHeight="true" outlineLevel="0" collapsed="false">
      <c r="B5927" s="9" t="s">
        <v>32</v>
      </c>
      <c r="C5927" s="9" t="n">
        <v>1197831</v>
      </c>
      <c r="D5927" s="10" t="n">
        <v>44321</v>
      </c>
      <c r="E5927" s="9" t="s">
        <v>33</v>
      </c>
      <c r="F5927" s="9" t="s">
        <v>86</v>
      </c>
      <c r="G5927" s="9" t="s">
        <v>87</v>
      </c>
      <c r="H5927" s="11" t="s">
        <v>22</v>
      </c>
      <c r="I5927" s="12" t="n">
        <v>23</v>
      </c>
      <c r="J5927" s="13" t="n">
        <v>167</v>
      </c>
      <c r="K5927" s="14" t="n">
        <f aca="false">I5927*J5927</f>
        <v>3841</v>
      </c>
      <c r="L5927" s="14" t="n">
        <f aca="false">($L$2*M5927)/100</f>
        <v>564783.255</v>
      </c>
      <c r="M5927" s="15" t="n">
        <v>0.47</v>
      </c>
      <c r="N5927" s="9" t="s">
        <v>85</v>
      </c>
    </row>
    <row r="5928" customFormat="false" ht="14.25" hidden="false" customHeight="true" outlineLevel="0" collapsed="false">
      <c r="B5928" s="9" t="s">
        <v>32</v>
      </c>
      <c r="C5928" s="9" t="n">
        <v>1197831</v>
      </c>
      <c r="D5928" s="10" t="n">
        <v>44321</v>
      </c>
      <c r="E5928" s="9" t="s">
        <v>33</v>
      </c>
      <c r="F5928" s="9" t="s">
        <v>86</v>
      </c>
      <c r="G5928" s="9" t="s">
        <v>87</v>
      </c>
      <c r="H5928" s="11" t="s">
        <v>23</v>
      </c>
      <c r="I5928" s="12" t="n">
        <v>33</v>
      </c>
      <c r="J5928" s="13" t="n">
        <v>130</v>
      </c>
      <c r="K5928" s="14" t="n">
        <f aca="false">I5928*J5928</f>
        <v>4290</v>
      </c>
      <c r="L5928" s="14" t="n">
        <f aca="false">($L$2*M5928)/100</f>
        <v>660916.575</v>
      </c>
      <c r="M5928" s="15" t="n">
        <v>0.55</v>
      </c>
      <c r="N5928" s="9" t="s">
        <v>85</v>
      </c>
    </row>
    <row r="5929" customFormat="false" ht="14.25" hidden="false" customHeight="true" outlineLevel="0" collapsed="false">
      <c r="B5929" s="9" t="s">
        <v>32</v>
      </c>
      <c r="C5929" s="9" t="n">
        <v>1197831</v>
      </c>
      <c r="D5929" s="10" t="n">
        <v>44321</v>
      </c>
      <c r="E5929" s="9" t="s">
        <v>33</v>
      </c>
      <c r="F5929" s="9" t="s">
        <v>86</v>
      </c>
      <c r="G5929" s="9" t="s">
        <v>87</v>
      </c>
      <c r="H5929" s="11" t="s">
        <v>24</v>
      </c>
      <c r="I5929" s="12" t="n">
        <v>47</v>
      </c>
      <c r="J5929" s="13" t="n">
        <v>120</v>
      </c>
      <c r="K5929" s="14" t="n">
        <f aca="false">I5929*J5929</f>
        <v>5640</v>
      </c>
      <c r="L5929" s="14" t="n">
        <f aca="false">($L$2*M5929)/100</f>
        <v>480666.6</v>
      </c>
      <c r="M5929" s="15" t="n">
        <v>0.4</v>
      </c>
      <c r="N5929" s="9" t="s">
        <v>85</v>
      </c>
    </row>
    <row r="5930" customFormat="false" ht="14.25" hidden="false" customHeight="true" outlineLevel="0" collapsed="false">
      <c r="B5930" s="9" t="s">
        <v>32</v>
      </c>
      <c r="C5930" s="9" t="n">
        <v>1197831</v>
      </c>
      <c r="D5930" s="10" t="n">
        <v>44321</v>
      </c>
      <c r="E5930" s="9" t="s">
        <v>33</v>
      </c>
      <c r="F5930" s="9" t="s">
        <v>86</v>
      </c>
      <c r="G5930" s="9" t="s">
        <v>87</v>
      </c>
      <c r="H5930" s="11" t="s">
        <v>25</v>
      </c>
      <c r="I5930" s="12" t="n">
        <v>42</v>
      </c>
      <c r="J5930" s="13" t="n">
        <v>218</v>
      </c>
      <c r="K5930" s="14" t="n">
        <f aca="false">I5930*J5930</f>
        <v>9156</v>
      </c>
      <c r="L5930" s="14" t="n">
        <f aca="false">($L$2*M5930)/100</f>
        <v>757049.895</v>
      </c>
      <c r="M5930" s="15" t="n">
        <v>0.63</v>
      </c>
      <c r="N5930" s="9" t="s">
        <v>85</v>
      </c>
    </row>
    <row r="5931" customFormat="false" ht="14.25" hidden="false" customHeight="true" outlineLevel="0" collapsed="false">
      <c r="B5931" s="9" t="s">
        <v>32</v>
      </c>
      <c r="C5931" s="9" t="n">
        <v>1197831</v>
      </c>
      <c r="D5931" s="10" t="n">
        <v>44351</v>
      </c>
      <c r="E5931" s="9" t="s">
        <v>33</v>
      </c>
      <c r="F5931" s="9" t="s">
        <v>86</v>
      </c>
      <c r="G5931" s="9" t="s">
        <v>87</v>
      </c>
      <c r="H5931" s="11" t="s">
        <v>19</v>
      </c>
      <c r="I5931" s="12" t="n">
        <v>42</v>
      </c>
      <c r="J5931" s="13" t="n">
        <v>195</v>
      </c>
      <c r="K5931" s="14" t="n">
        <f aca="false">I5931*J5931</f>
        <v>8190</v>
      </c>
      <c r="L5931" s="14" t="n">
        <f aca="false">($L$2*M5931)/100</f>
        <v>588816.585</v>
      </c>
      <c r="M5931" s="15" t="n">
        <v>0.49</v>
      </c>
      <c r="N5931" s="9" t="s">
        <v>85</v>
      </c>
    </row>
    <row r="5932" customFormat="false" ht="14.25" hidden="false" customHeight="true" outlineLevel="0" collapsed="false">
      <c r="B5932" s="9" t="s">
        <v>32</v>
      </c>
      <c r="C5932" s="9" t="n">
        <v>1197831</v>
      </c>
      <c r="D5932" s="10" t="n">
        <v>44351</v>
      </c>
      <c r="E5932" s="9" t="s">
        <v>33</v>
      </c>
      <c r="F5932" s="9" t="s">
        <v>86</v>
      </c>
      <c r="G5932" s="9" t="s">
        <v>87</v>
      </c>
      <c r="H5932" s="11" t="s">
        <v>21</v>
      </c>
      <c r="I5932" s="12" t="n">
        <v>46</v>
      </c>
      <c r="J5932" s="13" t="n">
        <v>188</v>
      </c>
      <c r="K5932" s="14" t="n">
        <f aca="false">I5932*J5932</f>
        <v>8648</v>
      </c>
      <c r="L5932" s="14" t="n">
        <f aca="false">($L$2*M5932)/100</f>
        <v>576799.92</v>
      </c>
      <c r="M5932" s="15" t="n">
        <v>0.48</v>
      </c>
      <c r="N5932" s="9" t="s">
        <v>85</v>
      </c>
    </row>
    <row r="5933" customFormat="false" ht="14.25" hidden="false" customHeight="true" outlineLevel="0" collapsed="false">
      <c r="B5933" s="9" t="s">
        <v>32</v>
      </c>
      <c r="C5933" s="9" t="n">
        <v>1197831</v>
      </c>
      <c r="D5933" s="10" t="n">
        <v>44351</v>
      </c>
      <c r="E5933" s="9" t="s">
        <v>33</v>
      </c>
      <c r="F5933" s="9" t="s">
        <v>86</v>
      </c>
      <c r="G5933" s="9" t="s">
        <v>87</v>
      </c>
      <c r="H5933" s="11" t="s">
        <v>22</v>
      </c>
      <c r="I5933" s="12" t="n">
        <v>47</v>
      </c>
      <c r="J5933" s="13" t="n">
        <v>174</v>
      </c>
      <c r="K5933" s="14" t="n">
        <f aca="false">I5933*J5933</f>
        <v>8178</v>
      </c>
      <c r="L5933" s="14" t="n">
        <f aca="false">($L$2*M5933)/100</f>
        <v>576799.92</v>
      </c>
      <c r="M5933" s="15" t="n">
        <v>0.48</v>
      </c>
      <c r="N5933" s="9" t="s">
        <v>85</v>
      </c>
    </row>
    <row r="5934" customFormat="false" ht="14.25" hidden="false" customHeight="true" outlineLevel="0" collapsed="false">
      <c r="B5934" s="9" t="s">
        <v>32</v>
      </c>
      <c r="C5934" s="9" t="n">
        <v>1197831</v>
      </c>
      <c r="D5934" s="10" t="n">
        <v>44351</v>
      </c>
      <c r="E5934" s="9" t="s">
        <v>33</v>
      </c>
      <c r="F5934" s="9" t="s">
        <v>86</v>
      </c>
      <c r="G5934" s="9" t="s">
        <v>87</v>
      </c>
      <c r="H5934" s="11" t="s">
        <v>23</v>
      </c>
      <c r="I5934" s="12" t="n">
        <v>48</v>
      </c>
      <c r="J5934" s="13" t="n">
        <v>143</v>
      </c>
      <c r="K5934" s="14" t="n">
        <f aca="false">I5934*J5934</f>
        <v>6864</v>
      </c>
      <c r="L5934" s="14" t="n">
        <f aca="false">($L$2*M5934)/100</f>
        <v>708983.235</v>
      </c>
      <c r="M5934" s="15" t="n">
        <v>0.59</v>
      </c>
      <c r="N5934" s="9" t="s">
        <v>85</v>
      </c>
    </row>
    <row r="5935" customFormat="false" ht="14.25" hidden="false" customHeight="true" outlineLevel="0" collapsed="false">
      <c r="B5935" s="9" t="s">
        <v>32</v>
      </c>
      <c r="C5935" s="9" t="n">
        <v>1197831</v>
      </c>
      <c r="D5935" s="10" t="n">
        <v>44351</v>
      </c>
      <c r="E5935" s="9" t="s">
        <v>33</v>
      </c>
      <c r="F5935" s="9" t="s">
        <v>86</v>
      </c>
      <c r="G5935" s="9" t="s">
        <v>87</v>
      </c>
      <c r="H5935" s="11" t="s">
        <v>24</v>
      </c>
      <c r="I5935" s="12" t="n">
        <v>52</v>
      </c>
      <c r="J5935" s="13" t="n">
        <v>117</v>
      </c>
      <c r="K5935" s="14" t="n">
        <f aca="false">I5935*J5935</f>
        <v>6084</v>
      </c>
      <c r="L5935" s="14" t="n">
        <f aca="false">($L$2*M5935)/100</f>
        <v>516716.595</v>
      </c>
      <c r="M5935" s="15" t="n">
        <v>0.43</v>
      </c>
      <c r="N5935" s="9" t="s">
        <v>85</v>
      </c>
    </row>
    <row r="5936" customFormat="false" ht="14.25" hidden="false" customHeight="true" outlineLevel="0" collapsed="false">
      <c r="B5936" s="9" t="s">
        <v>32</v>
      </c>
      <c r="C5936" s="9" t="n">
        <v>1197831</v>
      </c>
      <c r="D5936" s="10" t="n">
        <v>44351</v>
      </c>
      <c r="E5936" s="9" t="s">
        <v>33</v>
      </c>
      <c r="F5936" s="9" t="s">
        <v>86</v>
      </c>
      <c r="G5936" s="9" t="s">
        <v>87</v>
      </c>
      <c r="H5936" s="11" t="s">
        <v>25</v>
      </c>
      <c r="I5936" s="12" t="n">
        <v>55</v>
      </c>
      <c r="J5936" s="13" t="n">
        <v>231</v>
      </c>
      <c r="K5936" s="14" t="n">
        <f aca="false">I5936*J5936</f>
        <v>12705</v>
      </c>
      <c r="L5936" s="14" t="n">
        <f aca="false">($L$2*M5936)/100</f>
        <v>733016.565</v>
      </c>
      <c r="M5936" s="15" t="n">
        <v>0.61</v>
      </c>
      <c r="N5936" s="9" t="s">
        <v>85</v>
      </c>
    </row>
    <row r="5937" customFormat="false" ht="14.25" hidden="false" customHeight="true" outlineLevel="0" collapsed="false">
      <c r="B5937" s="9" t="s">
        <v>32</v>
      </c>
      <c r="C5937" s="9" t="n">
        <v>1197831</v>
      </c>
      <c r="D5937" s="10" t="n">
        <v>44383</v>
      </c>
      <c r="E5937" s="9" t="s">
        <v>33</v>
      </c>
      <c r="F5937" s="9" t="s">
        <v>86</v>
      </c>
      <c r="G5937" s="9" t="s">
        <v>87</v>
      </c>
      <c r="H5937" s="11" t="s">
        <v>19</v>
      </c>
      <c r="I5937" s="12" t="n">
        <v>48</v>
      </c>
      <c r="J5937" s="13" t="n">
        <v>217</v>
      </c>
      <c r="K5937" s="14" t="n">
        <f aca="false">I5937*J5937</f>
        <v>10416</v>
      </c>
      <c r="L5937" s="14" t="n">
        <f aca="false">($L$2*M5937)/100</f>
        <v>600833.25</v>
      </c>
      <c r="M5937" s="15" t="n">
        <v>0.5</v>
      </c>
      <c r="N5937" s="9" t="s">
        <v>85</v>
      </c>
    </row>
    <row r="5938" customFormat="false" ht="14.25" hidden="false" customHeight="true" outlineLevel="0" collapsed="false">
      <c r="B5938" s="9" t="s">
        <v>32</v>
      </c>
      <c r="C5938" s="9" t="n">
        <v>1197831</v>
      </c>
      <c r="D5938" s="10" t="n">
        <v>44383</v>
      </c>
      <c r="E5938" s="9" t="s">
        <v>33</v>
      </c>
      <c r="F5938" s="9" t="s">
        <v>86</v>
      </c>
      <c r="G5938" s="9" t="s">
        <v>87</v>
      </c>
      <c r="H5938" s="11" t="s">
        <v>21</v>
      </c>
      <c r="I5938" s="12" t="n">
        <v>52</v>
      </c>
      <c r="J5938" s="13" t="n">
        <v>202</v>
      </c>
      <c r="K5938" s="14" t="n">
        <f aca="false">I5938*J5938</f>
        <v>10504</v>
      </c>
      <c r="L5938" s="14" t="n">
        <f aca="false">($L$2*M5938)/100</f>
        <v>624866.58</v>
      </c>
      <c r="M5938" s="15" t="n">
        <v>0.52</v>
      </c>
      <c r="N5938" s="9" t="s">
        <v>85</v>
      </c>
    </row>
    <row r="5939" customFormat="false" ht="14.25" hidden="false" customHeight="true" outlineLevel="0" collapsed="false">
      <c r="B5939" s="9" t="s">
        <v>32</v>
      </c>
      <c r="C5939" s="9" t="n">
        <v>1197831</v>
      </c>
      <c r="D5939" s="10" t="n">
        <v>44383</v>
      </c>
      <c r="E5939" s="9" t="s">
        <v>33</v>
      </c>
      <c r="F5939" s="9" t="s">
        <v>86</v>
      </c>
      <c r="G5939" s="9" t="s">
        <v>87</v>
      </c>
      <c r="H5939" s="11" t="s">
        <v>22</v>
      </c>
      <c r="I5939" s="12" t="n">
        <v>46</v>
      </c>
      <c r="J5939" s="13" t="n">
        <v>241</v>
      </c>
      <c r="K5939" s="14" t="n">
        <f aca="false">I5939*J5939</f>
        <v>11086</v>
      </c>
      <c r="L5939" s="14" t="n">
        <f aca="false">($L$2*M5939)/100</f>
        <v>660916.575</v>
      </c>
      <c r="M5939" s="15" t="n">
        <v>0.55</v>
      </c>
      <c r="N5939" s="9" t="s">
        <v>85</v>
      </c>
    </row>
    <row r="5940" customFormat="false" ht="14.25" hidden="false" customHeight="true" outlineLevel="0" collapsed="false">
      <c r="B5940" s="9" t="s">
        <v>32</v>
      </c>
      <c r="C5940" s="9" t="n">
        <v>1197831</v>
      </c>
      <c r="D5940" s="10" t="n">
        <v>44383</v>
      </c>
      <c r="E5940" s="9" t="s">
        <v>33</v>
      </c>
      <c r="F5940" s="9" t="s">
        <v>86</v>
      </c>
      <c r="G5940" s="9" t="s">
        <v>87</v>
      </c>
      <c r="H5940" s="11" t="s">
        <v>23</v>
      </c>
      <c r="I5940" s="12" t="n">
        <v>47</v>
      </c>
      <c r="J5940" s="13" t="n">
        <v>137</v>
      </c>
      <c r="K5940" s="14" t="n">
        <f aca="false">I5940*J5940</f>
        <v>6439</v>
      </c>
      <c r="L5940" s="14" t="n">
        <f aca="false">($L$2*M5940)/100</f>
        <v>769066.56</v>
      </c>
      <c r="M5940" s="15" t="n">
        <v>0.64</v>
      </c>
      <c r="N5940" s="9" t="s">
        <v>85</v>
      </c>
    </row>
    <row r="5941" customFormat="false" ht="14.25" hidden="false" customHeight="true" outlineLevel="0" collapsed="false">
      <c r="B5941" s="9" t="s">
        <v>32</v>
      </c>
      <c r="C5941" s="9" t="n">
        <v>1197831</v>
      </c>
      <c r="D5941" s="10" t="n">
        <v>44383</v>
      </c>
      <c r="E5941" s="9" t="s">
        <v>33</v>
      </c>
      <c r="F5941" s="9" t="s">
        <v>86</v>
      </c>
      <c r="G5941" s="9" t="s">
        <v>87</v>
      </c>
      <c r="H5941" s="11" t="s">
        <v>24</v>
      </c>
      <c r="I5941" s="12" t="n">
        <v>53</v>
      </c>
      <c r="J5941" s="13" t="n">
        <v>131</v>
      </c>
      <c r="K5941" s="14" t="n">
        <f aca="false">I5941*J5941</f>
        <v>6943</v>
      </c>
      <c r="L5941" s="14" t="n">
        <f aca="false">($L$2*M5941)/100</f>
        <v>576799.92</v>
      </c>
      <c r="M5941" s="15" t="n">
        <v>0.48</v>
      </c>
      <c r="N5941" s="9" t="s">
        <v>85</v>
      </c>
    </row>
    <row r="5942" customFormat="false" ht="14.25" hidden="false" customHeight="true" outlineLevel="0" collapsed="false">
      <c r="B5942" s="9" t="s">
        <v>16</v>
      </c>
      <c r="C5942" s="9" t="n">
        <v>1197831</v>
      </c>
      <c r="D5942" s="10" t="n">
        <v>44383</v>
      </c>
      <c r="E5942" s="9" t="s">
        <v>33</v>
      </c>
      <c r="F5942" s="9" t="s">
        <v>86</v>
      </c>
      <c r="G5942" s="9" t="s">
        <v>87</v>
      </c>
      <c r="H5942" s="11" t="s">
        <v>25</v>
      </c>
      <c r="I5942" s="12" t="n">
        <v>64</v>
      </c>
      <c r="J5942" s="13" t="n">
        <v>208</v>
      </c>
      <c r="K5942" s="14" t="n">
        <f aca="false">I5942*J5942</f>
        <v>13312</v>
      </c>
      <c r="L5942" s="14" t="n">
        <f aca="false">($L$2*M5942)/100</f>
        <v>829149.885</v>
      </c>
      <c r="M5942" s="15" t="n">
        <v>0.69</v>
      </c>
      <c r="N5942" s="9" t="s">
        <v>85</v>
      </c>
    </row>
    <row r="5943" customFormat="false" ht="14.25" hidden="false" customHeight="true" outlineLevel="0" collapsed="false">
      <c r="B5943" s="9" t="s">
        <v>16</v>
      </c>
      <c r="C5943" s="9" t="n">
        <v>1197831</v>
      </c>
      <c r="D5943" s="10" t="n">
        <v>44416</v>
      </c>
      <c r="E5943" s="9" t="s">
        <v>33</v>
      </c>
      <c r="F5943" s="9" t="s">
        <v>86</v>
      </c>
      <c r="G5943" s="9" t="s">
        <v>87</v>
      </c>
      <c r="H5943" s="11" t="s">
        <v>19</v>
      </c>
      <c r="I5943" s="12" t="n">
        <v>46</v>
      </c>
      <c r="J5943" s="13" t="n">
        <v>210</v>
      </c>
      <c r="K5943" s="14" t="n">
        <f aca="false">I5943*J5943</f>
        <v>9660</v>
      </c>
      <c r="L5943" s="14" t="n">
        <f aca="false">($L$2*M5943)/100</f>
        <v>660916.575</v>
      </c>
      <c r="M5943" s="15" t="n">
        <v>0.55</v>
      </c>
      <c r="N5943" s="9" t="s">
        <v>85</v>
      </c>
    </row>
    <row r="5944" customFormat="false" ht="14.25" hidden="false" customHeight="true" outlineLevel="0" collapsed="false">
      <c r="B5944" s="9" t="s">
        <v>16</v>
      </c>
      <c r="C5944" s="9" t="n">
        <v>1197831</v>
      </c>
      <c r="D5944" s="10" t="n">
        <v>44416</v>
      </c>
      <c r="E5944" s="9" t="s">
        <v>33</v>
      </c>
      <c r="F5944" s="9" t="s">
        <v>86</v>
      </c>
      <c r="G5944" s="9" t="s">
        <v>87</v>
      </c>
      <c r="H5944" s="11" t="s">
        <v>21</v>
      </c>
      <c r="I5944" s="12" t="n">
        <v>53</v>
      </c>
      <c r="J5944" s="13" t="n">
        <v>195</v>
      </c>
      <c r="K5944" s="14" t="n">
        <f aca="false">I5944*J5944</f>
        <v>10335</v>
      </c>
      <c r="L5944" s="14" t="n">
        <f aca="false">($L$2*M5944)/100</f>
        <v>636883.245</v>
      </c>
      <c r="M5944" s="15" t="n">
        <v>0.53</v>
      </c>
      <c r="N5944" s="9" t="s">
        <v>85</v>
      </c>
    </row>
    <row r="5945" customFormat="false" ht="14.25" hidden="false" customHeight="true" outlineLevel="0" collapsed="false">
      <c r="B5945" s="9" t="s">
        <v>16</v>
      </c>
      <c r="C5945" s="9" t="n">
        <v>1197831</v>
      </c>
      <c r="D5945" s="10" t="n">
        <v>44416</v>
      </c>
      <c r="E5945" s="9" t="s">
        <v>33</v>
      </c>
      <c r="F5945" s="9" t="s">
        <v>86</v>
      </c>
      <c r="G5945" s="9" t="s">
        <v>87</v>
      </c>
      <c r="H5945" s="11" t="s">
        <v>22</v>
      </c>
      <c r="I5945" s="12" t="n">
        <v>46</v>
      </c>
      <c r="J5945" s="13" t="n">
        <v>250</v>
      </c>
      <c r="K5945" s="14" t="n">
        <f aca="false">I5945*J5945</f>
        <v>11500</v>
      </c>
      <c r="L5945" s="14" t="n">
        <f aca="false">($L$2*M5945)/100</f>
        <v>636883.245</v>
      </c>
      <c r="M5945" s="15" t="n">
        <v>0.53</v>
      </c>
      <c r="N5945" s="9" t="s">
        <v>85</v>
      </c>
    </row>
    <row r="5946" customFormat="false" ht="14.25" hidden="false" customHeight="true" outlineLevel="0" collapsed="false">
      <c r="B5946" s="9" t="s">
        <v>16</v>
      </c>
      <c r="C5946" s="9" t="n">
        <v>1197831</v>
      </c>
      <c r="D5946" s="10" t="n">
        <v>44416</v>
      </c>
      <c r="E5946" s="9" t="s">
        <v>33</v>
      </c>
      <c r="F5946" s="9" t="s">
        <v>86</v>
      </c>
      <c r="G5946" s="9" t="s">
        <v>87</v>
      </c>
      <c r="H5946" s="11" t="s">
        <v>23</v>
      </c>
      <c r="I5946" s="12" t="n">
        <v>48</v>
      </c>
      <c r="J5946" s="13" t="n">
        <v>124</v>
      </c>
      <c r="K5946" s="14" t="n">
        <f aca="false">I5946*J5946</f>
        <v>5952</v>
      </c>
      <c r="L5946" s="14" t="n">
        <f aca="false">($L$2*M5946)/100</f>
        <v>781083.225</v>
      </c>
      <c r="M5946" s="15" t="n">
        <v>0.65</v>
      </c>
      <c r="N5946" s="9" t="s">
        <v>85</v>
      </c>
    </row>
    <row r="5947" customFormat="false" ht="14.25" hidden="false" customHeight="true" outlineLevel="0" collapsed="false">
      <c r="B5947" s="9" t="s">
        <v>28</v>
      </c>
      <c r="C5947" s="9" t="n">
        <v>1197831</v>
      </c>
      <c r="D5947" s="10" t="n">
        <v>44416</v>
      </c>
      <c r="E5947" s="9" t="s">
        <v>33</v>
      </c>
      <c r="F5947" s="9" t="s">
        <v>86</v>
      </c>
      <c r="G5947" s="9" t="s">
        <v>87</v>
      </c>
      <c r="H5947" s="11" t="s">
        <v>24</v>
      </c>
      <c r="I5947" s="12" t="n">
        <v>52</v>
      </c>
      <c r="J5947" s="13" t="n">
        <v>133</v>
      </c>
      <c r="K5947" s="14" t="n">
        <f aca="false">I5947*J5947</f>
        <v>6916</v>
      </c>
      <c r="L5947" s="14" t="n">
        <f aca="false">($L$2*M5947)/100</f>
        <v>552766.59</v>
      </c>
      <c r="M5947" s="15" t="n">
        <v>0.46</v>
      </c>
      <c r="N5947" s="9" t="s">
        <v>85</v>
      </c>
    </row>
    <row r="5948" customFormat="false" ht="14.25" hidden="false" customHeight="true" outlineLevel="0" collapsed="false">
      <c r="B5948" s="9" t="s">
        <v>28</v>
      </c>
      <c r="C5948" s="9" t="n">
        <v>1197831</v>
      </c>
      <c r="D5948" s="10" t="n">
        <v>44416</v>
      </c>
      <c r="E5948" s="9" t="s">
        <v>33</v>
      </c>
      <c r="F5948" s="9" t="s">
        <v>86</v>
      </c>
      <c r="G5948" s="9" t="s">
        <v>87</v>
      </c>
      <c r="H5948" s="11" t="s">
        <v>25</v>
      </c>
      <c r="I5948" s="12" t="n">
        <v>54</v>
      </c>
      <c r="J5948" s="13" t="n">
        <v>196</v>
      </c>
      <c r="K5948" s="14" t="n">
        <f aca="false">I5948*J5948</f>
        <v>10584</v>
      </c>
      <c r="L5948" s="14" t="n">
        <f aca="false">($L$2*M5948)/100</f>
        <v>817133.22</v>
      </c>
      <c r="M5948" s="15" t="n">
        <v>0.68</v>
      </c>
      <c r="N5948" s="9" t="s">
        <v>85</v>
      </c>
    </row>
    <row r="5949" customFormat="false" ht="14.25" hidden="false" customHeight="true" outlineLevel="0" collapsed="false">
      <c r="B5949" s="9" t="s">
        <v>28</v>
      </c>
      <c r="C5949" s="9" t="n">
        <v>1197831</v>
      </c>
      <c r="D5949" s="10" t="n">
        <v>44444</v>
      </c>
      <c r="E5949" s="9" t="s">
        <v>33</v>
      </c>
      <c r="F5949" s="9" t="s">
        <v>86</v>
      </c>
      <c r="G5949" s="9" t="s">
        <v>87</v>
      </c>
      <c r="H5949" s="11" t="s">
        <v>19</v>
      </c>
      <c r="I5949" s="12" t="n">
        <v>50</v>
      </c>
      <c r="J5949" s="13" t="n">
        <v>176</v>
      </c>
      <c r="K5949" s="14" t="n">
        <f aca="false">I5949*J5949</f>
        <v>8800</v>
      </c>
      <c r="L5949" s="14" t="n">
        <f aca="false">($L$2*M5949)/100</f>
        <v>600833.25</v>
      </c>
      <c r="M5949" s="15" t="n">
        <v>0.5</v>
      </c>
      <c r="N5949" s="9" t="s">
        <v>85</v>
      </c>
    </row>
    <row r="5950" customFormat="false" ht="14.25" hidden="false" customHeight="true" outlineLevel="0" collapsed="false">
      <c r="B5950" s="9" t="s">
        <v>28</v>
      </c>
      <c r="C5950" s="9" t="n">
        <v>1197831</v>
      </c>
      <c r="D5950" s="10" t="n">
        <v>44444</v>
      </c>
      <c r="E5950" s="9" t="s">
        <v>33</v>
      </c>
      <c r="F5950" s="9" t="s">
        <v>86</v>
      </c>
      <c r="G5950" s="9" t="s">
        <v>87</v>
      </c>
      <c r="H5950" s="11" t="s">
        <v>21</v>
      </c>
      <c r="I5950" s="12" t="n">
        <v>50</v>
      </c>
      <c r="J5950" s="13" t="n">
        <v>188</v>
      </c>
      <c r="K5950" s="14" t="n">
        <f aca="false">I5950*J5950</f>
        <v>9400</v>
      </c>
      <c r="L5950" s="14" t="n">
        <f aca="false">($L$2*M5950)/100</f>
        <v>624866.58</v>
      </c>
      <c r="M5950" s="15" t="n">
        <v>0.52</v>
      </c>
      <c r="N5950" s="9" t="s">
        <v>85</v>
      </c>
    </row>
    <row r="5951" customFormat="false" ht="14.25" hidden="false" customHeight="true" outlineLevel="0" collapsed="false">
      <c r="B5951" s="9" t="s">
        <v>28</v>
      </c>
      <c r="C5951" s="9" t="n">
        <v>1197831</v>
      </c>
      <c r="D5951" s="10" t="n">
        <v>44444</v>
      </c>
      <c r="E5951" s="9" t="s">
        <v>33</v>
      </c>
      <c r="F5951" s="9" t="s">
        <v>86</v>
      </c>
      <c r="G5951" s="9" t="s">
        <v>87</v>
      </c>
      <c r="H5951" s="11" t="s">
        <v>22</v>
      </c>
      <c r="I5951" s="12" t="n">
        <v>56</v>
      </c>
      <c r="J5951" s="13" t="n">
        <v>182</v>
      </c>
      <c r="K5951" s="14" t="n">
        <f aca="false">I5951*J5951</f>
        <v>10192</v>
      </c>
      <c r="L5951" s="14" t="n">
        <f aca="false">($L$2*M5951)/100</f>
        <v>624866.58</v>
      </c>
      <c r="M5951" s="15" t="n">
        <v>0.52</v>
      </c>
      <c r="N5951" s="9" t="s">
        <v>85</v>
      </c>
    </row>
    <row r="5952" customFormat="false" ht="14.25" hidden="false" customHeight="true" outlineLevel="0" collapsed="false">
      <c r="B5952" s="9" t="s">
        <v>28</v>
      </c>
      <c r="C5952" s="9" t="n">
        <v>1197831</v>
      </c>
      <c r="D5952" s="10" t="n">
        <v>44444</v>
      </c>
      <c r="E5952" s="9" t="s">
        <v>33</v>
      </c>
      <c r="F5952" s="9" t="s">
        <v>86</v>
      </c>
      <c r="G5952" s="9" t="s">
        <v>87</v>
      </c>
      <c r="H5952" s="11" t="s">
        <v>23</v>
      </c>
      <c r="I5952" s="12" t="n">
        <v>55</v>
      </c>
      <c r="J5952" s="13" t="n">
        <v>116</v>
      </c>
      <c r="K5952" s="14" t="n">
        <f aca="false">I5952*J5952</f>
        <v>6380</v>
      </c>
      <c r="L5952" s="14" t="n">
        <f aca="false">($L$2*M5952)/100</f>
        <v>757049.895</v>
      </c>
      <c r="M5952" s="15" t="n">
        <v>0.63</v>
      </c>
      <c r="N5952" s="9" t="s">
        <v>85</v>
      </c>
    </row>
    <row r="5953" customFormat="false" ht="14.25" hidden="false" customHeight="true" outlineLevel="0" collapsed="false">
      <c r="B5953" s="9" t="s">
        <v>28</v>
      </c>
      <c r="C5953" s="9" t="n">
        <v>1197831</v>
      </c>
      <c r="D5953" s="10" t="n">
        <v>44444</v>
      </c>
      <c r="E5953" s="9" t="s">
        <v>33</v>
      </c>
      <c r="F5953" s="9" t="s">
        <v>86</v>
      </c>
      <c r="G5953" s="9" t="s">
        <v>87</v>
      </c>
      <c r="H5953" s="11" t="s">
        <v>24</v>
      </c>
      <c r="I5953" s="12" t="n">
        <v>50</v>
      </c>
      <c r="J5953" s="13" t="n">
        <v>104</v>
      </c>
      <c r="K5953" s="14" t="n">
        <f aca="false">I5953*J5953</f>
        <v>5200</v>
      </c>
      <c r="L5953" s="14" t="n">
        <f aca="false">($L$2*M5953)/100</f>
        <v>552766.59</v>
      </c>
      <c r="M5953" s="15" t="n">
        <v>0.46</v>
      </c>
      <c r="N5953" s="9" t="s">
        <v>85</v>
      </c>
    </row>
    <row r="5954" customFormat="false" ht="14.25" hidden="false" customHeight="true" outlineLevel="0" collapsed="false">
      <c r="B5954" s="9" t="s">
        <v>28</v>
      </c>
      <c r="C5954" s="9" t="n">
        <v>1197831</v>
      </c>
      <c r="D5954" s="10" t="n">
        <v>44444</v>
      </c>
      <c r="E5954" s="9" t="s">
        <v>33</v>
      </c>
      <c r="F5954" s="9" t="s">
        <v>86</v>
      </c>
      <c r="G5954" s="9" t="s">
        <v>87</v>
      </c>
      <c r="H5954" s="11" t="s">
        <v>25</v>
      </c>
      <c r="I5954" s="12" t="n">
        <v>49</v>
      </c>
      <c r="J5954" s="13" t="n">
        <v>181</v>
      </c>
      <c r="K5954" s="14" t="n">
        <f aca="false">I5954*J5954</f>
        <v>8869</v>
      </c>
      <c r="L5954" s="14" t="n">
        <f aca="false">($L$2*M5954)/100</f>
        <v>805116.555</v>
      </c>
      <c r="M5954" s="15" t="n">
        <v>0.67</v>
      </c>
      <c r="N5954" s="9" t="s">
        <v>85</v>
      </c>
    </row>
    <row r="5955" customFormat="false" ht="14.25" hidden="false" customHeight="true" outlineLevel="0" collapsed="false">
      <c r="B5955" s="9" t="s">
        <v>28</v>
      </c>
      <c r="C5955" s="9" t="n">
        <v>1197831</v>
      </c>
      <c r="D5955" s="10" t="n">
        <v>44473</v>
      </c>
      <c r="E5955" s="9" t="s">
        <v>33</v>
      </c>
      <c r="F5955" s="9" t="s">
        <v>86</v>
      </c>
      <c r="G5955" s="9" t="s">
        <v>87</v>
      </c>
      <c r="H5955" s="11" t="s">
        <v>19</v>
      </c>
      <c r="I5955" s="12" t="n">
        <v>36</v>
      </c>
      <c r="J5955" s="13" t="n">
        <v>167</v>
      </c>
      <c r="K5955" s="14" t="n">
        <f aca="false">I5955*J5955</f>
        <v>6012</v>
      </c>
      <c r="L5955" s="14" t="n">
        <f aca="false">($L$2*M5955)/100</f>
        <v>612849.915</v>
      </c>
      <c r="M5955" s="15" t="n">
        <v>0.51</v>
      </c>
      <c r="N5955" s="9" t="s">
        <v>85</v>
      </c>
    </row>
    <row r="5956" customFormat="false" ht="14.25" hidden="false" customHeight="true" outlineLevel="0" collapsed="false">
      <c r="B5956" s="9" t="s">
        <v>28</v>
      </c>
      <c r="C5956" s="9" t="n">
        <v>1197831</v>
      </c>
      <c r="D5956" s="10" t="n">
        <v>44473</v>
      </c>
      <c r="E5956" s="9" t="s">
        <v>33</v>
      </c>
      <c r="F5956" s="9" t="s">
        <v>86</v>
      </c>
      <c r="G5956" s="9" t="s">
        <v>87</v>
      </c>
      <c r="H5956" s="11" t="s">
        <v>21</v>
      </c>
      <c r="I5956" s="12" t="n">
        <v>37</v>
      </c>
      <c r="J5956" s="13" t="n">
        <v>173</v>
      </c>
      <c r="K5956" s="14" t="n">
        <f aca="false">I5956*J5956</f>
        <v>6401</v>
      </c>
      <c r="L5956" s="14" t="n">
        <f aca="false">($L$2*M5956)/100</f>
        <v>648899.91</v>
      </c>
      <c r="M5956" s="15" t="n">
        <v>0.54</v>
      </c>
      <c r="N5956" s="9" t="s">
        <v>85</v>
      </c>
    </row>
    <row r="5957" customFormat="false" ht="14.25" hidden="false" customHeight="true" outlineLevel="0" collapsed="false">
      <c r="B5957" s="9" t="s">
        <v>28</v>
      </c>
      <c r="C5957" s="9" t="n">
        <v>1197831</v>
      </c>
      <c r="D5957" s="10" t="n">
        <v>44473</v>
      </c>
      <c r="E5957" s="9" t="s">
        <v>33</v>
      </c>
      <c r="F5957" s="9" t="s">
        <v>86</v>
      </c>
      <c r="G5957" s="9" t="s">
        <v>87</v>
      </c>
      <c r="H5957" s="11" t="s">
        <v>22</v>
      </c>
      <c r="I5957" s="12" t="n">
        <v>41</v>
      </c>
      <c r="J5957" s="13" t="n">
        <v>131</v>
      </c>
      <c r="K5957" s="14" t="n">
        <f aca="false">I5957*J5957</f>
        <v>5371</v>
      </c>
      <c r="L5957" s="14" t="n">
        <f aca="false">($L$2*M5957)/100</f>
        <v>612849.915</v>
      </c>
      <c r="M5957" s="15" t="n">
        <v>0.51</v>
      </c>
      <c r="N5957" s="9" t="s">
        <v>85</v>
      </c>
    </row>
    <row r="5958" customFormat="false" ht="14.25" hidden="false" customHeight="true" outlineLevel="0" collapsed="false">
      <c r="B5958" s="9" t="s">
        <v>28</v>
      </c>
      <c r="C5958" s="9" t="n">
        <v>1197831</v>
      </c>
      <c r="D5958" s="10" t="n">
        <v>44473</v>
      </c>
      <c r="E5958" s="9" t="s">
        <v>33</v>
      </c>
      <c r="F5958" s="9" t="s">
        <v>86</v>
      </c>
      <c r="G5958" s="9" t="s">
        <v>87</v>
      </c>
      <c r="H5958" s="11" t="s">
        <v>23</v>
      </c>
      <c r="I5958" s="12" t="n">
        <v>44</v>
      </c>
      <c r="J5958" s="13" t="n">
        <v>101</v>
      </c>
      <c r="K5958" s="14" t="n">
        <f aca="false">I5958*J5958</f>
        <v>4444</v>
      </c>
      <c r="L5958" s="14" t="n">
        <f aca="false">($L$2*M5958)/100</f>
        <v>781083.225</v>
      </c>
      <c r="M5958" s="15" t="n">
        <v>0.65</v>
      </c>
      <c r="N5958" s="9" t="s">
        <v>85</v>
      </c>
    </row>
    <row r="5959" customFormat="false" ht="14.25" hidden="false" customHeight="true" outlineLevel="0" collapsed="false">
      <c r="B5959" s="9" t="s">
        <v>28</v>
      </c>
      <c r="C5959" s="9" t="n">
        <v>1197831</v>
      </c>
      <c r="D5959" s="10" t="n">
        <v>44473</v>
      </c>
      <c r="E5959" s="9" t="s">
        <v>33</v>
      </c>
      <c r="F5959" s="9" t="s">
        <v>86</v>
      </c>
      <c r="G5959" s="9" t="s">
        <v>87</v>
      </c>
      <c r="H5959" s="11" t="s">
        <v>24</v>
      </c>
      <c r="I5959" s="12" t="n">
        <v>32</v>
      </c>
      <c r="J5959" s="13" t="n">
        <v>91</v>
      </c>
      <c r="K5959" s="14" t="n">
        <f aca="false">I5959*J5959</f>
        <v>2912</v>
      </c>
      <c r="L5959" s="14" t="n">
        <f aca="false">($L$2*M5959)/100</f>
        <v>576799.92</v>
      </c>
      <c r="M5959" s="15" t="n">
        <v>0.48</v>
      </c>
      <c r="N5959" s="9" t="s">
        <v>85</v>
      </c>
    </row>
    <row r="5960" customFormat="false" ht="14.25" hidden="false" customHeight="true" outlineLevel="0" collapsed="false">
      <c r="B5960" s="9" t="s">
        <v>28</v>
      </c>
      <c r="C5960" s="9" t="n">
        <v>1197831</v>
      </c>
      <c r="D5960" s="10" t="n">
        <v>44473</v>
      </c>
      <c r="E5960" s="9" t="s">
        <v>33</v>
      </c>
      <c r="F5960" s="9" t="s">
        <v>86</v>
      </c>
      <c r="G5960" s="9" t="s">
        <v>87</v>
      </c>
      <c r="H5960" s="11" t="s">
        <v>25</v>
      </c>
      <c r="I5960" s="12" t="n">
        <v>42</v>
      </c>
      <c r="J5960" s="13" t="n">
        <v>142</v>
      </c>
      <c r="K5960" s="14" t="n">
        <f aca="false">I5960*J5960</f>
        <v>5964</v>
      </c>
      <c r="L5960" s="14" t="n">
        <f aca="false">($L$2*M5960)/100</f>
        <v>793099.89</v>
      </c>
      <c r="M5960" s="15" t="n">
        <v>0.66</v>
      </c>
      <c r="N5960" s="9" t="s">
        <v>85</v>
      </c>
    </row>
    <row r="5961" customFormat="false" ht="14.25" hidden="false" customHeight="true" outlineLevel="0" collapsed="false">
      <c r="B5961" s="9" t="s">
        <v>28</v>
      </c>
      <c r="C5961" s="9" t="n">
        <v>1197831</v>
      </c>
      <c r="D5961" s="10" t="n">
        <v>44505</v>
      </c>
      <c r="E5961" s="9" t="s">
        <v>33</v>
      </c>
      <c r="F5961" s="9" t="s">
        <v>86</v>
      </c>
      <c r="G5961" s="9" t="s">
        <v>87</v>
      </c>
      <c r="H5961" s="11" t="s">
        <v>19</v>
      </c>
      <c r="I5961" s="12" t="n">
        <v>33</v>
      </c>
      <c r="J5961" s="13" t="n">
        <v>182</v>
      </c>
      <c r="K5961" s="14" t="n">
        <f aca="false">I5961*J5961</f>
        <v>6006</v>
      </c>
      <c r="L5961" s="14" t="n">
        <f aca="false">($L$2*M5961)/100</f>
        <v>660916.575</v>
      </c>
      <c r="M5961" s="15" t="n">
        <v>0.55</v>
      </c>
      <c r="N5961" s="9" t="s">
        <v>85</v>
      </c>
    </row>
    <row r="5962" customFormat="false" ht="14.25" hidden="false" customHeight="true" outlineLevel="0" collapsed="false">
      <c r="B5962" s="9" t="s">
        <v>28</v>
      </c>
      <c r="C5962" s="9" t="n">
        <v>1197831</v>
      </c>
      <c r="D5962" s="10" t="n">
        <v>44505</v>
      </c>
      <c r="E5962" s="9" t="s">
        <v>33</v>
      </c>
      <c r="F5962" s="9" t="s">
        <v>86</v>
      </c>
      <c r="G5962" s="9" t="s">
        <v>87</v>
      </c>
      <c r="H5962" s="11" t="s">
        <v>21</v>
      </c>
      <c r="I5962" s="12" t="n">
        <v>32</v>
      </c>
      <c r="J5962" s="13" t="n">
        <v>189</v>
      </c>
      <c r="K5962" s="14" t="n">
        <f aca="false">I5962*J5962</f>
        <v>6048</v>
      </c>
      <c r="L5962" s="14" t="n">
        <f aca="false">($L$2*M5962)/100</f>
        <v>624866.58</v>
      </c>
      <c r="M5962" s="15" t="n">
        <v>0.52</v>
      </c>
      <c r="N5962" s="9" t="s">
        <v>85</v>
      </c>
    </row>
    <row r="5963" customFormat="false" ht="14.25" hidden="false" customHeight="true" outlineLevel="0" collapsed="false">
      <c r="B5963" s="9" t="s">
        <v>28</v>
      </c>
      <c r="C5963" s="9" t="n">
        <v>1197831</v>
      </c>
      <c r="D5963" s="10" t="n">
        <v>44505</v>
      </c>
      <c r="E5963" s="9" t="s">
        <v>33</v>
      </c>
      <c r="F5963" s="9" t="s">
        <v>86</v>
      </c>
      <c r="G5963" s="9" t="s">
        <v>87</v>
      </c>
      <c r="H5963" s="11" t="s">
        <v>22</v>
      </c>
      <c r="I5963" s="12" t="n">
        <v>58</v>
      </c>
      <c r="J5963" s="13" t="n">
        <v>150</v>
      </c>
      <c r="K5963" s="14" t="n">
        <f aca="false">I5963*J5963</f>
        <v>8700</v>
      </c>
      <c r="L5963" s="14" t="n">
        <f aca="false">($L$2*M5963)/100</f>
        <v>648899.91</v>
      </c>
      <c r="M5963" s="15" t="n">
        <v>0.54</v>
      </c>
      <c r="N5963" s="9" t="s">
        <v>85</v>
      </c>
    </row>
    <row r="5964" customFormat="false" ht="14.25" hidden="false" customHeight="true" outlineLevel="0" collapsed="false">
      <c r="B5964" s="9" t="s">
        <v>28</v>
      </c>
      <c r="C5964" s="9" t="n">
        <v>1197831</v>
      </c>
      <c r="D5964" s="10" t="n">
        <v>44505</v>
      </c>
      <c r="E5964" s="9" t="s">
        <v>33</v>
      </c>
      <c r="F5964" s="9" t="s">
        <v>86</v>
      </c>
      <c r="G5964" s="9" t="s">
        <v>87</v>
      </c>
      <c r="H5964" s="11" t="s">
        <v>23</v>
      </c>
      <c r="I5964" s="12" t="n">
        <v>54</v>
      </c>
      <c r="J5964" s="13" t="n">
        <v>122</v>
      </c>
      <c r="K5964" s="14" t="n">
        <f aca="false">I5964*J5964</f>
        <v>6588</v>
      </c>
      <c r="L5964" s="14" t="n">
        <f aca="false">($L$2*M5964)/100</f>
        <v>733016.565</v>
      </c>
      <c r="M5964" s="15" t="n">
        <v>0.61</v>
      </c>
      <c r="N5964" s="9" t="s">
        <v>85</v>
      </c>
    </row>
    <row r="5965" customFormat="false" ht="14.25" hidden="false" customHeight="true" outlineLevel="0" collapsed="false">
      <c r="B5965" s="9" t="s">
        <v>28</v>
      </c>
      <c r="C5965" s="9" t="n">
        <v>1197831</v>
      </c>
      <c r="D5965" s="10" t="n">
        <v>44505</v>
      </c>
      <c r="E5965" s="9" t="s">
        <v>33</v>
      </c>
      <c r="F5965" s="9" t="s">
        <v>86</v>
      </c>
      <c r="G5965" s="9" t="s">
        <v>87</v>
      </c>
      <c r="H5965" s="11" t="s">
        <v>24</v>
      </c>
      <c r="I5965" s="12" t="n">
        <v>54</v>
      </c>
      <c r="J5965" s="13" t="n">
        <v>106</v>
      </c>
      <c r="K5965" s="14" t="n">
        <f aca="false">I5965*J5965</f>
        <v>5724</v>
      </c>
      <c r="L5965" s="14" t="n">
        <f aca="false">($L$2*M5965)/100</f>
        <v>600833.25</v>
      </c>
      <c r="M5965" s="15" t="n">
        <v>0.5</v>
      </c>
      <c r="N5965" s="9" t="s">
        <v>85</v>
      </c>
    </row>
    <row r="5966" customFormat="false" ht="14.25" hidden="false" customHeight="true" outlineLevel="0" collapsed="false">
      <c r="B5966" s="9" t="s">
        <v>28</v>
      </c>
      <c r="C5966" s="9" t="n">
        <v>1197831</v>
      </c>
      <c r="D5966" s="10" t="n">
        <v>44505</v>
      </c>
      <c r="E5966" s="9" t="s">
        <v>33</v>
      </c>
      <c r="F5966" s="9" t="s">
        <v>86</v>
      </c>
      <c r="G5966" s="9" t="s">
        <v>87</v>
      </c>
      <c r="H5966" s="11" t="s">
        <v>25</v>
      </c>
      <c r="I5966" s="12" t="n">
        <v>63</v>
      </c>
      <c r="J5966" s="13" t="n">
        <v>163</v>
      </c>
      <c r="K5966" s="14" t="n">
        <f aca="false">I5966*J5966</f>
        <v>10269</v>
      </c>
      <c r="L5966" s="14" t="n">
        <f aca="false">($L$2*M5966)/100</f>
        <v>805116.555</v>
      </c>
      <c r="M5966" s="15" t="n">
        <v>0.67</v>
      </c>
      <c r="N5966" s="9" t="s">
        <v>85</v>
      </c>
    </row>
    <row r="5967" customFormat="false" ht="14.25" hidden="false" customHeight="true" outlineLevel="0" collapsed="false">
      <c r="B5967" s="9" t="s">
        <v>16</v>
      </c>
      <c r="C5967" s="9" t="n">
        <v>1197831</v>
      </c>
      <c r="D5967" s="10" t="n">
        <v>44534</v>
      </c>
      <c r="E5967" s="9" t="s">
        <v>33</v>
      </c>
      <c r="F5967" s="9" t="s">
        <v>86</v>
      </c>
      <c r="G5967" s="9" t="s">
        <v>87</v>
      </c>
      <c r="H5967" s="11" t="s">
        <v>19</v>
      </c>
      <c r="I5967" s="12" t="n">
        <v>54</v>
      </c>
      <c r="J5967" s="13" t="n">
        <v>233</v>
      </c>
      <c r="K5967" s="14" t="n">
        <f aca="false">I5967*J5967</f>
        <v>12582</v>
      </c>
      <c r="L5967" s="14" t="n">
        <f aca="false">($L$2*M5967)/100</f>
        <v>648899.91</v>
      </c>
      <c r="M5967" s="15" t="n">
        <v>0.54</v>
      </c>
      <c r="N5967" s="9" t="s">
        <v>85</v>
      </c>
    </row>
    <row r="5968" customFormat="false" ht="14.25" hidden="false" customHeight="true" outlineLevel="0" collapsed="false">
      <c r="B5968" s="9" t="s">
        <v>16</v>
      </c>
      <c r="C5968" s="9" t="n">
        <v>1197831</v>
      </c>
      <c r="D5968" s="10" t="n">
        <v>44534</v>
      </c>
      <c r="E5968" s="9" t="s">
        <v>33</v>
      </c>
      <c r="F5968" s="9" t="s">
        <v>86</v>
      </c>
      <c r="G5968" s="9" t="s">
        <v>87</v>
      </c>
      <c r="H5968" s="11" t="s">
        <v>21</v>
      </c>
      <c r="I5968" s="12" t="n">
        <v>51</v>
      </c>
      <c r="J5968" s="13" t="n">
        <v>209</v>
      </c>
      <c r="K5968" s="14" t="n">
        <f aca="false">I5968*J5968</f>
        <v>10659</v>
      </c>
      <c r="L5968" s="14" t="n">
        <f aca="false">($L$2*M5968)/100</f>
        <v>648899.91</v>
      </c>
      <c r="M5968" s="15" t="n">
        <v>0.54</v>
      </c>
      <c r="N5968" s="9" t="s">
        <v>85</v>
      </c>
    </row>
    <row r="5969" customFormat="false" ht="14.25" hidden="false" customHeight="true" outlineLevel="0" collapsed="false">
      <c r="B5969" s="9" t="s">
        <v>16</v>
      </c>
      <c r="C5969" s="9" t="n">
        <v>1197831</v>
      </c>
      <c r="D5969" s="10" t="n">
        <v>44534</v>
      </c>
      <c r="E5969" s="9" t="s">
        <v>33</v>
      </c>
      <c r="F5969" s="9" t="s">
        <v>86</v>
      </c>
      <c r="G5969" s="9" t="s">
        <v>87</v>
      </c>
      <c r="H5969" s="11" t="s">
        <v>22</v>
      </c>
      <c r="I5969" s="12" t="n">
        <v>56</v>
      </c>
      <c r="J5969" s="13" t="n">
        <v>176</v>
      </c>
      <c r="K5969" s="14" t="n">
        <f aca="false">I5969*J5969</f>
        <v>9856</v>
      </c>
      <c r="L5969" s="14" t="n">
        <f aca="false">($L$2*M5969)/100</f>
        <v>624866.58</v>
      </c>
      <c r="M5969" s="15" t="n">
        <v>0.52</v>
      </c>
      <c r="N5969" s="9" t="s">
        <v>85</v>
      </c>
    </row>
    <row r="5970" customFormat="false" ht="14.25" hidden="false" customHeight="true" outlineLevel="0" collapsed="false">
      <c r="B5970" s="9" t="s">
        <v>16</v>
      </c>
      <c r="C5970" s="9" t="n">
        <v>1197831</v>
      </c>
      <c r="D5970" s="10" t="n">
        <v>44534</v>
      </c>
      <c r="E5970" s="9" t="s">
        <v>33</v>
      </c>
      <c r="F5970" s="9" t="s">
        <v>86</v>
      </c>
      <c r="G5970" s="9" t="s">
        <v>87</v>
      </c>
      <c r="H5970" s="11" t="s">
        <v>23</v>
      </c>
      <c r="I5970" s="12" t="n">
        <v>59</v>
      </c>
      <c r="J5970" s="13" t="n">
        <v>142</v>
      </c>
      <c r="K5970" s="14" t="n">
        <f aca="false">I5970*J5970</f>
        <v>8378</v>
      </c>
      <c r="L5970" s="14" t="n">
        <f aca="false">($L$2*M5970)/100</f>
        <v>781083.225</v>
      </c>
      <c r="M5970" s="15" t="n">
        <v>0.65</v>
      </c>
      <c r="N5970" s="9" t="s">
        <v>85</v>
      </c>
    </row>
    <row r="5971" customFormat="false" ht="14.25" hidden="false" customHeight="true" outlineLevel="0" collapsed="false">
      <c r="B5971" s="9" t="s">
        <v>16</v>
      </c>
      <c r="C5971" s="9" t="n">
        <v>1197831</v>
      </c>
      <c r="D5971" s="10" t="n">
        <v>44534</v>
      </c>
      <c r="E5971" s="9" t="s">
        <v>33</v>
      </c>
      <c r="F5971" s="9" t="s">
        <v>86</v>
      </c>
      <c r="G5971" s="9" t="s">
        <v>87</v>
      </c>
      <c r="H5971" s="11" t="s">
        <v>24</v>
      </c>
      <c r="I5971" s="12" t="n">
        <v>50</v>
      </c>
      <c r="J5971" s="13" t="n">
        <v>133</v>
      </c>
      <c r="K5971" s="14" t="n">
        <f aca="false">I5971*J5971</f>
        <v>6650</v>
      </c>
      <c r="L5971" s="14" t="n">
        <f aca="false">($L$2*M5971)/100</f>
        <v>588816.585</v>
      </c>
      <c r="M5971" s="15" t="n">
        <v>0.49</v>
      </c>
      <c r="N5971" s="9" t="s">
        <v>85</v>
      </c>
    </row>
    <row r="5972" customFormat="false" ht="14.25" hidden="false" customHeight="true" outlineLevel="0" collapsed="false">
      <c r="B5972" s="9" t="s">
        <v>16</v>
      </c>
      <c r="C5972" s="9" t="n">
        <v>1197831</v>
      </c>
      <c r="D5972" s="10" t="n">
        <v>44534</v>
      </c>
      <c r="E5972" s="9" t="s">
        <v>33</v>
      </c>
      <c r="F5972" s="9" t="s">
        <v>86</v>
      </c>
      <c r="G5972" s="9" t="s">
        <v>87</v>
      </c>
      <c r="H5972" s="11" t="s">
        <v>25</v>
      </c>
      <c r="I5972" s="12" t="n">
        <v>60</v>
      </c>
      <c r="J5972" s="13" t="n">
        <v>196</v>
      </c>
      <c r="K5972" s="14" t="n">
        <f aca="false">I5972*J5972</f>
        <v>11760</v>
      </c>
      <c r="L5972" s="14" t="n">
        <f aca="false">($L$2*M5972)/100</f>
        <v>829149.885</v>
      </c>
      <c r="M5972" s="15" t="n">
        <v>0.69</v>
      </c>
      <c r="N5972" s="9" t="s">
        <v>85</v>
      </c>
    </row>
    <row r="5973" customFormat="false" ht="14.25" hidden="false" customHeight="true" outlineLevel="0" collapsed="false">
      <c r="B5973" s="9" t="s">
        <v>16</v>
      </c>
      <c r="C5973" s="9" t="n">
        <v>1128299</v>
      </c>
      <c r="D5973" s="10" t="n">
        <v>44219</v>
      </c>
      <c r="E5973" s="9" t="s">
        <v>33</v>
      </c>
      <c r="F5973" s="9" t="s">
        <v>86</v>
      </c>
      <c r="G5973" s="9" t="s">
        <v>87</v>
      </c>
      <c r="H5973" s="11" t="s">
        <v>19</v>
      </c>
      <c r="I5973" s="12" t="n">
        <v>29</v>
      </c>
      <c r="J5973" s="13" t="n">
        <v>119</v>
      </c>
      <c r="K5973" s="14" t="n">
        <f aca="false">I5973*J5973</f>
        <v>3451</v>
      </c>
      <c r="L5973" s="14" t="n">
        <f aca="false">($L$2*M5973)/100</f>
        <v>576799.92</v>
      </c>
      <c r="M5973" s="15" t="n">
        <v>0.48</v>
      </c>
      <c r="N5973" s="9" t="s">
        <v>85</v>
      </c>
    </row>
    <row r="5974" customFormat="false" ht="14.25" hidden="false" customHeight="true" outlineLevel="0" collapsed="false">
      <c r="B5974" s="9" t="s">
        <v>16</v>
      </c>
      <c r="C5974" s="9" t="n">
        <v>1128299</v>
      </c>
      <c r="D5974" s="10" t="n">
        <v>44219</v>
      </c>
      <c r="E5974" s="9" t="s">
        <v>33</v>
      </c>
      <c r="F5974" s="9" t="s">
        <v>86</v>
      </c>
      <c r="G5974" s="9" t="s">
        <v>87</v>
      </c>
      <c r="H5974" s="11" t="s">
        <v>21</v>
      </c>
      <c r="I5974" s="12" t="n">
        <v>37</v>
      </c>
      <c r="J5974" s="13" t="n">
        <v>106</v>
      </c>
      <c r="K5974" s="14" t="n">
        <f aca="false">I5974*J5974</f>
        <v>3922</v>
      </c>
      <c r="L5974" s="14" t="n">
        <f aca="false">($L$2*M5974)/100</f>
        <v>612849.915</v>
      </c>
      <c r="M5974" s="15" t="n">
        <v>0.51</v>
      </c>
      <c r="N5974" s="9" t="s">
        <v>85</v>
      </c>
    </row>
    <row r="5975" customFormat="false" ht="14.25" hidden="false" customHeight="true" outlineLevel="0" collapsed="false">
      <c r="B5975" s="9" t="s">
        <v>16</v>
      </c>
      <c r="C5975" s="9" t="n">
        <v>1128299</v>
      </c>
      <c r="D5975" s="10" t="n">
        <v>44219</v>
      </c>
      <c r="E5975" s="9" t="s">
        <v>33</v>
      </c>
      <c r="F5975" s="9" t="s">
        <v>86</v>
      </c>
      <c r="G5975" s="9" t="s">
        <v>87</v>
      </c>
      <c r="H5975" s="11" t="s">
        <v>22</v>
      </c>
      <c r="I5975" s="12" t="n">
        <v>37</v>
      </c>
      <c r="J5975" s="13" t="n">
        <v>106</v>
      </c>
      <c r="K5975" s="14" t="n">
        <f aca="false">I5975*J5975</f>
        <v>3922</v>
      </c>
      <c r="L5975" s="14" t="n">
        <f aca="false">($L$2*M5975)/100</f>
        <v>588816.585</v>
      </c>
      <c r="M5975" s="15" t="n">
        <v>0.49</v>
      </c>
      <c r="N5975" s="9" t="s">
        <v>85</v>
      </c>
    </row>
    <row r="5976" customFormat="false" ht="14.25" hidden="false" customHeight="true" outlineLevel="0" collapsed="false">
      <c r="B5976" s="9" t="s">
        <v>16</v>
      </c>
      <c r="C5976" s="9" t="n">
        <v>1128299</v>
      </c>
      <c r="D5976" s="10" t="n">
        <v>44219</v>
      </c>
      <c r="E5976" s="9" t="s">
        <v>33</v>
      </c>
      <c r="F5976" s="9" t="s">
        <v>86</v>
      </c>
      <c r="G5976" s="9" t="s">
        <v>87</v>
      </c>
      <c r="H5976" s="11" t="s">
        <v>23</v>
      </c>
      <c r="I5976" s="12" t="n">
        <v>38</v>
      </c>
      <c r="J5976" s="13" t="n">
        <v>77</v>
      </c>
      <c r="K5976" s="14" t="n">
        <f aca="false">I5976*J5976</f>
        <v>2926</v>
      </c>
      <c r="L5976" s="14" t="n">
        <f aca="false">($L$2*M5976)/100</f>
        <v>552766.59</v>
      </c>
      <c r="M5976" s="15" t="n">
        <v>0.46</v>
      </c>
      <c r="N5976" s="9" t="s">
        <v>85</v>
      </c>
    </row>
    <row r="5977" customFormat="false" ht="14.25" hidden="false" customHeight="true" outlineLevel="0" collapsed="false">
      <c r="B5977" s="9" t="s">
        <v>16</v>
      </c>
      <c r="C5977" s="9" t="n">
        <v>1128299</v>
      </c>
      <c r="D5977" s="10" t="n">
        <v>44219</v>
      </c>
      <c r="E5977" s="9" t="s">
        <v>33</v>
      </c>
      <c r="F5977" s="9" t="s">
        <v>86</v>
      </c>
      <c r="G5977" s="9" t="s">
        <v>87</v>
      </c>
      <c r="H5977" s="11" t="s">
        <v>24</v>
      </c>
      <c r="I5977" s="12" t="n">
        <v>42</v>
      </c>
      <c r="J5977" s="13" t="n">
        <v>63</v>
      </c>
      <c r="K5977" s="14" t="n">
        <f aca="false">I5977*J5977</f>
        <v>2646</v>
      </c>
      <c r="L5977" s="14" t="n">
        <f aca="false">($L$2*M5977)/100</f>
        <v>540749.925</v>
      </c>
      <c r="M5977" s="15" t="n">
        <v>0.45</v>
      </c>
      <c r="N5977" s="9" t="s">
        <v>85</v>
      </c>
    </row>
    <row r="5978" customFormat="false" ht="14.25" hidden="false" customHeight="true" outlineLevel="0" collapsed="false">
      <c r="B5978" s="9" t="s">
        <v>16</v>
      </c>
      <c r="C5978" s="9" t="n">
        <v>1128299</v>
      </c>
      <c r="D5978" s="10" t="n">
        <v>44219</v>
      </c>
      <c r="E5978" s="9" t="s">
        <v>33</v>
      </c>
      <c r="F5978" s="9" t="s">
        <v>86</v>
      </c>
      <c r="G5978" s="9" t="s">
        <v>87</v>
      </c>
      <c r="H5978" s="11" t="s">
        <v>25</v>
      </c>
      <c r="I5978" s="12" t="n">
        <v>36</v>
      </c>
      <c r="J5978" s="13" t="n">
        <v>111</v>
      </c>
      <c r="K5978" s="14" t="n">
        <f aca="false">I5978*J5978</f>
        <v>3996</v>
      </c>
      <c r="L5978" s="14" t="n">
        <f aca="false">($L$2*M5978)/100</f>
        <v>420583.275</v>
      </c>
      <c r="M5978" s="15" t="n">
        <v>0.35</v>
      </c>
      <c r="N5978" s="9" t="s">
        <v>85</v>
      </c>
    </row>
    <row r="5979" customFormat="false" ht="14.25" hidden="false" customHeight="true" outlineLevel="0" collapsed="false">
      <c r="B5979" s="9" t="s">
        <v>16</v>
      </c>
      <c r="C5979" s="9" t="n">
        <v>1128299</v>
      </c>
      <c r="D5979" s="10" t="n">
        <v>44250</v>
      </c>
      <c r="E5979" s="9" t="s">
        <v>33</v>
      </c>
      <c r="F5979" s="9" t="s">
        <v>86</v>
      </c>
      <c r="G5979" s="9" t="s">
        <v>87</v>
      </c>
      <c r="H5979" s="11" t="s">
        <v>19</v>
      </c>
      <c r="I5979" s="12" t="n">
        <v>29</v>
      </c>
      <c r="J5979" s="13" t="n">
        <v>143</v>
      </c>
      <c r="K5979" s="14" t="n">
        <f aca="false">I5979*J5979</f>
        <v>4147</v>
      </c>
      <c r="L5979" s="14" t="n">
        <f aca="false">($L$2*M5979)/100</f>
        <v>600833.25</v>
      </c>
      <c r="M5979" s="15" t="n">
        <v>0.5</v>
      </c>
      <c r="N5979" s="9" t="s">
        <v>85</v>
      </c>
    </row>
    <row r="5980" customFormat="false" ht="14.25" hidden="false" customHeight="true" outlineLevel="0" collapsed="false">
      <c r="B5980" s="9" t="s">
        <v>16</v>
      </c>
      <c r="C5980" s="9" t="n">
        <v>1128299</v>
      </c>
      <c r="D5980" s="10" t="n">
        <v>44250</v>
      </c>
      <c r="E5980" s="9" t="s">
        <v>33</v>
      </c>
      <c r="F5980" s="9" t="s">
        <v>86</v>
      </c>
      <c r="G5980" s="9" t="s">
        <v>87</v>
      </c>
      <c r="H5980" s="11" t="s">
        <v>21</v>
      </c>
      <c r="I5980" s="12" t="n">
        <v>38</v>
      </c>
      <c r="J5980" s="13" t="n">
        <v>113</v>
      </c>
      <c r="K5980" s="14" t="n">
        <f aca="false">I5980*J5980</f>
        <v>4294</v>
      </c>
      <c r="L5980" s="14" t="n">
        <f aca="false">($L$2*M5980)/100</f>
        <v>648899.91</v>
      </c>
      <c r="M5980" s="15" t="n">
        <v>0.54</v>
      </c>
      <c r="N5980" s="9" t="s">
        <v>85</v>
      </c>
    </row>
    <row r="5981" customFormat="false" ht="14.25" hidden="false" customHeight="true" outlineLevel="0" collapsed="false">
      <c r="B5981" s="9" t="s">
        <v>16</v>
      </c>
      <c r="C5981" s="9" t="n">
        <v>1128299</v>
      </c>
      <c r="D5981" s="10" t="n">
        <v>44250</v>
      </c>
      <c r="E5981" s="9" t="s">
        <v>33</v>
      </c>
      <c r="F5981" s="9" t="s">
        <v>86</v>
      </c>
      <c r="G5981" s="9" t="s">
        <v>87</v>
      </c>
      <c r="H5981" s="11" t="s">
        <v>22</v>
      </c>
      <c r="I5981" s="12" t="n">
        <v>38</v>
      </c>
      <c r="J5981" s="13" t="n">
        <v>105</v>
      </c>
      <c r="K5981" s="14" t="n">
        <f aca="false">I5981*J5981</f>
        <v>3990</v>
      </c>
      <c r="L5981" s="14" t="n">
        <f aca="false">($L$2*M5981)/100</f>
        <v>564783.255</v>
      </c>
      <c r="M5981" s="15" t="n">
        <v>0.47</v>
      </c>
      <c r="N5981" s="9" t="s">
        <v>85</v>
      </c>
    </row>
    <row r="5982" customFormat="false" ht="14.25" hidden="false" customHeight="true" outlineLevel="0" collapsed="false">
      <c r="B5982" s="9" t="s">
        <v>16</v>
      </c>
      <c r="C5982" s="9" t="n">
        <v>1128299</v>
      </c>
      <c r="D5982" s="10" t="n">
        <v>44250</v>
      </c>
      <c r="E5982" s="9" t="s">
        <v>33</v>
      </c>
      <c r="F5982" s="9" t="s">
        <v>88</v>
      </c>
      <c r="G5982" s="9" t="s">
        <v>89</v>
      </c>
      <c r="H5982" s="11" t="s">
        <v>23</v>
      </c>
      <c r="I5982" s="12" t="n">
        <v>38</v>
      </c>
      <c r="J5982" s="13" t="n">
        <v>63</v>
      </c>
      <c r="K5982" s="14" t="n">
        <f aca="false">I5982*J5982</f>
        <v>2394</v>
      </c>
      <c r="L5982" s="14" t="n">
        <f aca="false">($L$2*M5982)/100</f>
        <v>576799.92</v>
      </c>
      <c r="M5982" s="15" t="n">
        <v>0.48</v>
      </c>
      <c r="N5982" s="9" t="s">
        <v>85</v>
      </c>
    </row>
    <row r="5983" customFormat="false" ht="14.25" hidden="false" customHeight="true" outlineLevel="0" collapsed="false">
      <c r="B5983" s="9" t="s">
        <v>16</v>
      </c>
      <c r="C5983" s="9" t="n">
        <v>1128299</v>
      </c>
      <c r="D5983" s="10" t="n">
        <v>44250</v>
      </c>
      <c r="E5983" s="9" t="s">
        <v>33</v>
      </c>
      <c r="F5983" s="9" t="s">
        <v>88</v>
      </c>
      <c r="G5983" s="9" t="s">
        <v>89</v>
      </c>
      <c r="H5983" s="11" t="s">
        <v>24</v>
      </c>
      <c r="I5983" s="12" t="n">
        <v>42</v>
      </c>
      <c r="J5983" s="13" t="n">
        <v>44</v>
      </c>
      <c r="K5983" s="14" t="n">
        <f aca="false">I5983*J5983</f>
        <v>1848</v>
      </c>
      <c r="L5983" s="14" t="n">
        <f aca="false">($L$2*M5983)/100</f>
        <v>528733.26</v>
      </c>
      <c r="M5983" s="15" t="n">
        <v>0.44</v>
      </c>
      <c r="N5983" s="9" t="s">
        <v>85</v>
      </c>
    </row>
    <row r="5984" customFormat="false" ht="14.25" hidden="false" customHeight="true" outlineLevel="0" collapsed="false">
      <c r="B5984" s="9" t="s">
        <v>16</v>
      </c>
      <c r="C5984" s="9" t="n">
        <v>1128299</v>
      </c>
      <c r="D5984" s="10" t="n">
        <v>44250</v>
      </c>
      <c r="E5984" s="9" t="s">
        <v>33</v>
      </c>
      <c r="F5984" s="9" t="s">
        <v>88</v>
      </c>
      <c r="G5984" s="9" t="s">
        <v>89</v>
      </c>
      <c r="H5984" s="11" t="s">
        <v>25</v>
      </c>
      <c r="I5984" s="12" t="n">
        <v>38</v>
      </c>
      <c r="J5984" s="13" t="n">
        <v>88</v>
      </c>
      <c r="K5984" s="14" t="n">
        <f aca="false">I5984*J5984</f>
        <v>3344</v>
      </c>
      <c r="L5984" s="14" t="n">
        <f aca="false">($L$2*M5984)/100</f>
        <v>432599.94</v>
      </c>
      <c r="M5984" s="15" t="n">
        <v>0.36</v>
      </c>
      <c r="N5984" s="9" t="s">
        <v>85</v>
      </c>
    </row>
    <row r="5985" customFormat="false" ht="14.25" hidden="false" customHeight="true" outlineLevel="0" collapsed="false">
      <c r="B5985" s="9" t="s">
        <v>16</v>
      </c>
      <c r="C5985" s="9" t="n">
        <v>1128299</v>
      </c>
      <c r="D5985" s="10" t="n">
        <v>44277</v>
      </c>
      <c r="E5985" s="9" t="s">
        <v>33</v>
      </c>
      <c r="F5985" s="9" t="s">
        <v>88</v>
      </c>
      <c r="G5985" s="9" t="s">
        <v>89</v>
      </c>
      <c r="H5985" s="11" t="s">
        <v>19</v>
      </c>
      <c r="I5985" s="12" t="n">
        <v>37</v>
      </c>
      <c r="J5985" s="13" t="n">
        <v>145</v>
      </c>
      <c r="K5985" s="14" t="n">
        <f aca="false">I5985*J5985</f>
        <v>5365</v>
      </c>
      <c r="L5985" s="14" t="n">
        <f aca="false">($L$2*M5985)/100</f>
        <v>564783.255</v>
      </c>
      <c r="M5985" s="15" t="n">
        <v>0.47</v>
      </c>
      <c r="N5985" s="9" t="s">
        <v>85</v>
      </c>
    </row>
    <row r="5986" customFormat="false" ht="14.25" hidden="false" customHeight="true" outlineLevel="0" collapsed="false">
      <c r="B5986" s="9" t="s">
        <v>16</v>
      </c>
      <c r="C5986" s="9" t="n">
        <v>1128299</v>
      </c>
      <c r="D5986" s="10" t="n">
        <v>44277</v>
      </c>
      <c r="E5986" s="9" t="s">
        <v>33</v>
      </c>
      <c r="F5986" s="9" t="s">
        <v>88</v>
      </c>
      <c r="G5986" s="9" t="s">
        <v>89</v>
      </c>
      <c r="H5986" s="11" t="s">
        <v>21</v>
      </c>
      <c r="I5986" s="12" t="n">
        <v>48</v>
      </c>
      <c r="J5986" s="13" t="n">
        <v>95</v>
      </c>
      <c r="K5986" s="14" t="n">
        <f aca="false">I5986*J5986</f>
        <v>4560</v>
      </c>
      <c r="L5986" s="14" t="n">
        <f aca="false">($L$2*M5986)/100</f>
        <v>660916.575</v>
      </c>
      <c r="M5986" s="15" t="n">
        <v>0.55</v>
      </c>
      <c r="N5986" s="9" t="s">
        <v>85</v>
      </c>
    </row>
    <row r="5987" customFormat="false" ht="14.25" hidden="false" customHeight="true" outlineLevel="0" collapsed="false">
      <c r="B5987" s="9" t="s">
        <v>16</v>
      </c>
      <c r="C5987" s="9" t="n">
        <v>1128299</v>
      </c>
      <c r="D5987" s="10" t="n">
        <v>44277</v>
      </c>
      <c r="E5987" s="9" t="s">
        <v>33</v>
      </c>
      <c r="F5987" s="9" t="s">
        <v>88</v>
      </c>
      <c r="G5987" s="9" t="s">
        <v>89</v>
      </c>
      <c r="H5987" s="11" t="s">
        <v>22</v>
      </c>
      <c r="I5987" s="12" t="n">
        <v>49</v>
      </c>
      <c r="J5987" s="13" t="n">
        <v>91</v>
      </c>
      <c r="K5987" s="14" t="n">
        <f aca="false">I5987*J5987</f>
        <v>4459</v>
      </c>
      <c r="L5987" s="14" t="n">
        <f aca="false">($L$2*M5987)/100</f>
        <v>600833.25</v>
      </c>
      <c r="M5987" s="15" t="n">
        <v>0.5</v>
      </c>
      <c r="N5987" s="9" t="s">
        <v>85</v>
      </c>
    </row>
    <row r="5988" customFormat="false" ht="14.25" hidden="false" customHeight="true" outlineLevel="0" collapsed="false">
      <c r="B5988" s="9" t="s">
        <v>16</v>
      </c>
      <c r="C5988" s="9" t="n">
        <v>1128299</v>
      </c>
      <c r="D5988" s="10" t="n">
        <v>44277</v>
      </c>
      <c r="E5988" s="9" t="s">
        <v>33</v>
      </c>
      <c r="F5988" s="9" t="s">
        <v>88</v>
      </c>
      <c r="G5988" s="9" t="s">
        <v>89</v>
      </c>
      <c r="H5988" s="11" t="s">
        <v>23</v>
      </c>
      <c r="I5988" s="12" t="n">
        <v>47</v>
      </c>
      <c r="J5988" s="13" t="n">
        <v>68</v>
      </c>
      <c r="K5988" s="14" t="n">
        <f aca="false">I5988*J5988</f>
        <v>3196</v>
      </c>
      <c r="L5988" s="14" t="n">
        <f aca="false">($L$2*M5988)/100</f>
        <v>552766.59</v>
      </c>
      <c r="M5988" s="15" t="n">
        <v>0.46</v>
      </c>
      <c r="N5988" s="9" t="s">
        <v>85</v>
      </c>
    </row>
    <row r="5989" customFormat="false" ht="14.25" hidden="false" customHeight="true" outlineLevel="0" collapsed="false">
      <c r="B5989" s="9" t="s">
        <v>16</v>
      </c>
      <c r="C5989" s="9" t="n">
        <v>1128299</v>
      </c>
      <c r="D5989" s="10" t="n">
        <v>44277</v>
      </c>
      <c r="E5989" s="9" t="s">
        <v>33</v>
      </c>
      <c r="F5989" s="9" t="s">
        <v>88</v>
      </c>
      <c r="G5989" s="9" t="s">
        <v>89</v>
      </c>
      <c r="H5989" s="11" t="s">
        <v>24</v>
      </c>
      <c r="I5989" s="12" t="n">
        <v>54</v>
      </c>
      <c r="J5989" s="13" t="n">
        <v>31</v>
      </c>
      <c r="K5989" s="14" t="n">
        <f aca="false">I5989*J5989</f>
        <v>1674</v>
      </c>
      <c r="L5989" s="14" t="n">
        <f aca="false">($L$2*M5989)/100</f>
        <v>492683.265</v>
      </c>
      <c r="M5989" s="15" t="n">
        <v>0.41</v>
      </c>
      <c r="N5989" s="9" t="s">
        <v>85</v>
      </c>
    </row>
    <row r="5990" customFormat="false" ht="14.25" hidden="false" customHeight="true" outlineLevel="0" collapsed="false">
      <c r="B5990" s="9" t="s">
        <v>16</v>
      </c>
      <c r="C5990" s="9" t="n">
        <v>1128299</v>
      </c>
      <c r="D5990" s="10" t="n">
        <v>44277</v>
      </c>
      <c r="E5990" s="9" t="s">
        <v>33</v>
      </c>
      <c r="F5990" s="9" t="s">
        <v>88</v>
      </c>
      <c r="G5990" s="9" t="s">
        <v>89</v>
      </c>
      <c r="H5990" s="11" t="s">
        <v>25</v>
      </c>
      <c r="I5990" s="12" t="n">
        <v>47</v>
      </c>
      <c r="J5990" s="13" t="n">
        <v>88</v>
      </c>
      <c r="K5990" s="14" t="n">
        <f aca="false">I5990*J5990</f>
        <v>4136</v>
      </c>
      <c r="L5990" s="14" t="n">
        <f aca="false">($L$2*M5990)/100</f>
        <v>480666.6</v>
      </c>
      <c r="M5990" s="15" t="n">
        <v>0.4</v>
      </c>
      <c r="N5990" s="9" t="s">
        <v>85</v>
      </c>
    </row>
    <row r="5991" customFormat="false" ht="14.25" hidden="false" customHeight="true" outlineLevel="0" collapsed="false">
      <c r="B5991" s="9" t="s">
        <v>16</v>
      </c>
      <c r="C5991" s="9" t="n">
        <v>1128299</v>
      </c>
      <c r="D5991" s="10" t="n">
        <v>44309</v>
      </c>
      <c r="E5991" s="9" t="s">
        <v>33</v>
      </c>
      <c r="F5991" s="9" t="s">
        <v>88</v>
      </c>
      <c r="G5991" s="9" t="s">
        <v>89</v>
      </c>
      <c r="H5991" s="11" t="s">
        <v>19</v>
      </c>
      <c r="I5991" s="12" t="n">
        <v>48</v>
      </c>
      <c r="J5991" s="13" t="n">
        <v>130</v>
      </c>
      <c r="K5991" s="14" t="n">
        <f aca="false">I5991*J5991</f>
        <v>6240</v>
      </c>
      <c r="L5991" s="14" t="n">
        <f aca="false">($L$2*M5991)/100</f>
        <v>540749.925</v>
      </c>
      <c r="M5991" s="15" t="n">
        <v>0.45</v>
      </c>
      <c r="N5991" s="9" t="s">
        <v>85</v>
      </c>
    </row>
    <row r="5992" customFormat="false" ht="14.25" hidden="false" customHeight="true" outlineLevel="0" collapsed="false">
      <c r="B5992" s="9" t="s">
        <v>16</v>
      </c>
      <c r="C5992" s="9" t="n">
        <v>1128299</v>
      </c>
      <c r="D5992" s="10" t="n">
        <v>44309</v>
      </c>
      <c r="E5992" s="9" t="s">
        <v>33</v>
      </c>
      <c r="F5992" s="9" t="s">
        <v>88</v>
      </c>
      <c r="G5992" s="9" t="s">
        <v>89</v>
      </c>
      <c r="H5992" s="11" t="s">
        <v>21</v>
      </c>
      <c r="I5992" s="12" t="n">
        <v>53</v>
      </c>
      <c r="J5992" s="13" t="n">
        <v>90</v>
      </c>
      <c r="K5992" s="14" t="n">
        <f aca="false">I5992*J5992</f>
        <v>4770</v>
      </c>
      <c r="L5992" s="14" t="n">
        <f aca="false">($L$2*M5992)/100</f>
        <v>600833.25</v>
      </c>
      <c r="M5992" s="15" t="n">
        <v>0.5</v>
      </c>
      <c r="N5992" s="9" t="s">
        <v>85</v>
      </c>
    </row>
    <row r="5993" customFormat="false" ht="14.25" hidden="false" customHeight="true" outlineLevel="0" collapsed="false">
      <c r="B5993" s="9" t="s">
        <v>16</v>
      </c>
      <c r="C5993" s="9" t="n">
        <v>1128299</v>
      </c>
      <c r="D5993" s="10" t="n">
        <v>44309</v>
      </c>
      <c r="E5993" s="9" t="s">
        <v>33</v>
      </c>
      <c r="F5993" s="9" t="s">
        <v>88</v>
      </c>
      <c r="G5993" s="9" t="s">
        <v>89</v>
      </c>
      <c r="H5993" s="11" t="s">
        <v>22</v>
      </c>
      <c r="I5993" s="12" t="n">
        <v>50</v>
      </c>
      <c r="J5993" s="13" t="n">
        <v>102</v>
      </c>
      <c r="K5993" s="14" t="n">
        <f aca="false">I5993*J5993</f>
        <v>5100</v>
      </c>
      <c r="L5993" s="14" t="n">
        <f aca="false">($L$2*M5993)/100</f>
        <v>600833.25</v>
      </c>
      <c r="M5993" s="15" t="n">
        <v>0.5</v>
      </c>
      <c r="N5993" s="9" t="s">
        <v>85</v>
      </c>
    </row>
    <row r="5994" customFormat="false" ht="14.25" hidden="false" customHeight="true" outlineLevel="0" collapsed="false">
      <c r="B5994" s="9" t="s">
        <v>16</v>
      </c>
      <c r="C5994" s="9" t="n">
        <v>1128299</v>
      </c>
      <c r="D5994" s="10" t="n">
        <v>44309</v>
      </c>
      <c r="E5994" s="9" t="s">
        <v>33</v>
      </c>
      <c r="F5994" s="9" t="s">
        <v>88</v>
      </c>
      <c r="G5994" s="9" t="s">
        <v>89</v>
      </c>
      <c r="H5994" s="11" t="s">
        <v>23</v>
      </c>
      <c r="I5994" s="12" t="n">
        <v>46</v>
      </c>
      <c r="J5994" s="13" t="n">
        <v>75</v>
      </c>
      <c r="K5994" s="14" t="n">
        <f aca="false">I5994*J5994</f>
        <v>3450</v>
      </c>
      <c r="L5994" s="14" t="n">
        <f aca="false">($L$2*M5994)/100</f>
        <v>600833.25</v>
      </c>
      <c r="M5994" s="15" t="n">
        <v>0.5</v>
      </c>
      <c r="N5994" s="9" t="s">
        <v>85</v>
      </c>
    </row>
    <row r="5995" customFormat="false" ht="14.25" hidden="false" customHeight="true" outlineLevel="0" collapsed="false">
      <c r="B5995" s="9" t="s">
        <v>16</v>
      </c>
      <c r="C5995" s="9" t="n">
        <v>1128299</v>
      </c>
      <c r="D5995" s="10" t="n">
        <v>44309</v>
      </c>
      <c r="E5995" s="9" t="s">
        <v>33</v>
      </c>
      <c r="F5995" s="9" t="s">
        <v>88</v>
      </c>
      <c r="G5995" s="9" t="s">
        <v>89</v>
      </c>
      <c r="H5995" s="11" t="s">
        <v>24</v>
      </c>
      <c r="I5995" s="12" t="n">
        <v>50</v>
      </c>
      <c r="J5995" s="13" t="n">
        <v>39</v>
      </c>
      <c r="K5995" s="14" t="n">
        <f aca="false">I5995*J5995</f>
        <v>1950</v>
      </c>
      <c r="L5995" s="14" t="n">
        <f aca="false">($L$2*M5995)/100</f>
        <v>504699.93</v>
      </c>
      <c r="M5995" s="15" t="n">
        <v>0.42</v>
      </c>
      <c r="N5995" s="9" t="s">
        <v>85</v>
      </c>
    </row>
    <row r="5996" customFormat="false" ht="14.25" hidden="false" customHeight="true" outlineLevel="0" collapsed="false">
      <c r="B5996" s="9" t="s">
        <v>16</v>
      </c>
      <c r="C5996" s="9" t="n">
        <v>1128299</v>
      </c>
      <c r="D5996" s="10" t="n">
        <v>44309</v>
      </c>
      <c r="E5996" s="9" t="s">
        <v>33</v>
      </c>
      <c r="F5996" s="9" t="s">
        <v>88</v>
      </c>
      <c r="G5996" s="9" t="s">
        <v>89</v>
      </c>
      <c r="H5996" s="11" t="s">
        <v>25</v>
      </c>
      <c r="I5996" s="12" t="n">
        <v>67</v>
      </c>
      <c r="J5996" s="13" t="n">
        <v>94</v>
      </c>
      <c r="K5996" s="14" t="n">
        <f aca="false">I5996*J5996</f>
        <v>6298</v>
      </c>
      <c r="L5996" s="14" t="n">
        <f aca="false">($L$2*M5996)/100</f>
        <v>432599.94</v>
      </c>
      <c r="M5996" s="15" t="n">
        <v>0.36</v>
      </c>
      <c r="N5996" s="9" t="s">
        <v>85</v>
      </c>
    </row>
    <row r="5997" customFormat="false" ht="14.25" hidden="false" customHeight="true" outlineLevel="0" collapsed="false">
      <c r="B5997" s="9" t="s">
        <v>16</v>
      </c>
      <c r="C5997" s="9" t="n">
        <v>1128299</v>
      </c>
      <c r="D5997" s="10" t="n">
        <v>44340</v>
      </c>
      <c r="E5997" s="9" t="s">
        <v>33</v>
      </c>
      <c r="F5997" s="9" t="s">
        <v>88</v>
      </c>
      <c r="G5997" s="9" t="s">
        <v>89</v>
      </c>
      <c r="H5997" s="11" t="s">
        <v>19</v>
      </c>
      <c r="I5997" s="12" t="n">
        <v>47</v>
      </c>
      <c r="J5997" s="13" t="n">
        <v>147</v>
      </c>
      <c r="K5997" s="14" t="n">
        <f aca="false">I5997*J5997</f>
        <v>6909</v>
      </c>
      <c r="L5997" s="14" t="n">
        <f aca="false">($L$2*M5997)/100</f>
        <v>564783.255</v>
      </c>
      <c r="M5997" s="15" t="n">
        <v>0.47</v>
      </c>
      <c r="N5997" s="9" t="s">
        <v>85</v>
      </c>
    </row>
    <row r="5998" customFormat="false" ht="14.25" hidden="false" customHeight="true" outlineLevel="0" collapsed="false">
      <c r="B5998" s="9" t="s">
        <v>16</v>
      </c>
      <c r="C5998" s="9" t="n">
        <v>1128299</v>
      </c>
      <c r="D5998" s="10" t="n">
        <v>44340</v>
      </c>
      <c r="E5998" s="9" t="s">
        <v>33</v>
      </c>
      <c r="F5998" s="9" t="s">
        <v>88</v>
      </c>
      <c r="G5998" s="9" t="s">
        <v>89</v>
      </c>
      <c r="H5998" s="11" t="s">
        <v>21</v>
      </c>
      <c r="I5998" s="12" t="n">
        <v>53</v>
      </c>
      <c r="J5998" s="13" t="n">
        <v>113</v>
      </c>
      <c r="K5998" s="14" t="n">
        <f aca="false">I5998*J5998</f>
        <v>5989</v>
      </c>
      <c r="L5998" s="14" t="n">
        <f aca="false">($L$2*M5998)/100</f>
        <v>648899.91</v>
      </c>
      <c r="M5998" s="15" t="n">
        <v>0.54</v>
      </c>
      <c r="N5998" s="9" t="s">
        <v>85</v>
      </c>
    </row>
    <row r="5999" customFormat="false" ht="14.25" hidden="false" customHeight="true" outlineLevel="0" collapsed="false">
      <c r="B5999" s="9" t="s">
        <v>16</v>
      </c>
      <c r="C5999" s="9" t="n">
        <v>1128299</v>
      </c>
      <c r="D5999" s="10" t="n">
        <v>44340</v>
      </c>
      <c r="E5999" s="9" t="s">
        <v>33</v>
      </c>
      <c r="F5999" s="9" t="s">
        <v>88</v>
      </c>
      <c r="G5999" s="9" t="s">
        <v>89</v>
      </c>
      <c r="H5999" s="11" t="s">
        <v>22</v>
      </c>
      <c r="I5999" s="12" t="n">
        <v>50</v>
      </c>
      <c r="J5999" s="13" t="n">
        <v>120</v>
      </c>
      <c r="K5999" s="14" t="n">
        <f aca="false">I5999*J5999</f>
        <v>6000</v>
      </c>
      <c r="L5999" s="14" t="n">
        <f aca="false">($L$2*M5999)/100</f>
        <v>564783.255</v>
      </c>
      <c r="M5999" s="15" t="n">
        <v>0.47</v>
      </c>
      <c r="N5999" s="9" t="s">
        <v>85</v>
      </c>
    </row>
    <row r="6000" customFormat="false" ht="14.25" hidden="false" customHeight="true" outlineLevel="0" collapsed="false">
      <c r="B6000" s="9" t="s">
        <v>16</v>
      </c>
      <c r="C6000" s="9" t="n">
        <v>1128299</v>
      </c>
      <c r="D6000" s="10" t="n">
        <v>44340</v>
      </c>
      <c r="E6000" s="9" t="s">
        <v>33</v>
      </c>
      <c r="F6000" s="9" t="s">
        <v>88</v>
      </c>
      <c r="G6000" s="9" t="s">
        <v>89</v>
      </c>
      <c r="H6000" s="11" t="s">
        <v>23</v>
      </c>
      <c r="I6000" s="12" t="n">
        <v>49</v>
      </c>
      <c r="J6000" s="13" t="n">
        <v>90</v>
      </c>
      <c r="K6000" s="14" t="n">
        <f aca="false">I6000*J6000</f>
        <v>4410</v>
      </c>
      <c r="L6000" s="14" t="n">
        <f aca="false">($L$2*M6000)/100</f>
        <v>600833.25</v>
      </c>
      <c r="M6000" s="15" t="n">
        <v>0.5</v>
      </c>
      <c r="N6000" s="9" t="s">
        <v>85</v>
      </c>
    </row>
    <row r="6001" customFormat="false" ht="14.25" hidden="false" customHeight="true" outlineLevel="0" collapsed="false">
      <c r="B6001" s="9" t="s">
        <v>16</v>
      </c>
      <c r="C6001" s="9" t="n">
        <v>1128299</v>
      </c>
      <c r="D6001" s="10" t="n">
        <v>44340</v>
      </c>
      <c r="E6001" s="9" t="s">
        <v>33</v>
      </c>
      <c r="F6001" s="9" t="s">
        <v>88</v>
      </c>
      <c r="G6001" s="9" t="s">
        <v>89</v>
      </c>
      <c r="H6001" s="11" t="s">
        <v>24</v>
      </c>
      <c r="I6001" s="12" t="n">
        <v>51</v>
      </c>
      <c r="J6001" s="13" t="n">
        <v>58</v>
      </c>
      <c r="K6001" s="14" t="n">
        <f aca="false">I6001*J6001</f>
        <v>2958</v>
      </c>
      <c r="L6001" s="14" t="n">
        <f aca="false">($L$2*M6001)/100</f>
        <v>492683.265</v>
      </c>
      <c r="M6001" s="15" t="n">
        <v>0.41</v>
      </c>
      <c r="N6001" s="9" t="s">
        <v>85</v>
      </c>
    </row>
    <row r="6002" customFormat="false" ht="14.25" hidden="false" customHeight="true" outlineLevel="0" collapsed="false">
      <c r="B6002" s="9" t="s">
        <v>16</v>
      </c>
      <c r="C6002" s="9" t="n">
        <v>1128299</v>
      </c>
      <c r="D6002" s="10" t="n">
        <v>44340</v>
      </c>
      <c r="E6002" s="9" t="s">
        <v>33</v>
      </c>
      <c r="F6002" s="9" t="s">
        <v>88</v>
      </c>
      <c r="G6002" s="9" t="s">
        <v>89</v>
      </c>
      <c r="H6002" s="11" t="s">
        <v>25</v>
      </c>
      <c r="I6002" s="12" t="n">
        <v>64</v>
      </c>
      <c r="J6002" s="13" t="n">
        <v>98</v>
      </c>
      <c r="K6002" s="14" t="n">
        <f aca="false">I6002*J6002</f>
        <v>6272</v>
      </c>
      <c r="L6002" s="14" t="n">
        <f aca="false">($L$2*M6002)/100</f>
        <v>432599.94</v>
      </c>
      <c r="M6002" s="15" t="n">
        <v>0.36</v>
      </c>
      <c r="N6002" s="9" t="s">
        <v>85</v>
      </c>
    </row>
    <row r="6003" customFormat="false" ht="14.25" hidden="false" customHeight="true" outlineLevel="0" collapsed="false">
      <c r="B6003" s="9" t="s">
        <v>16</v>
      </c>
      <c r="C6003" s="9" t="n">
        <v>1128299</v>
      </c>
      <c r="D6003" s="10" t="n">
        <v>44370</v>
      </c>
      <c r="E6003" s="9" t="s">
        <v>33</v>
      </c>
      <c r="F6003" s="9" t="s">
        <v>88</v>
      </c>
      <c r="G6003" s="9" t="s">
        <v>89</v>
      </c>
      <c r="H6003" s="11" t="s">
        <v>19</v>
      </c>
      <c r="I6003" s="12" t="n">
        <v>48</v>
      </c>
      <c r="J6003" s="13" t="n">
        <v>156</v>
      </c>
      <c r="K6003" s="14" t="n">
        <f aca="false">I6003*J6003</f>
        <v>7488</v>
      </c>
      <c r="L6003" s="14" t="n">
        <f aca="false">($L$2*M6003)/100</f>
        <v>588816.585</v>
      </c>
      <c r="M6003" s="15" t="n">
        <v>0.49</v>
      </c>
      <c r="N6003" s="9" t="s">
        <v>85</v>
      </c>
    </row>
    <row r="6004" customFormat="false" ht="14.25" hidden="false" customHeight="true" outlineLevel="0" collapsed="false">
      <c r="B6004" s="9" t="s">
        <v>16</v>
      </c>
      <c r="C6004" s="9" t="n">
        <v>1128299</v>
      </c>
      <c r="D6004" s="10" t="n">
        <v>44370</v>
      </c>
      <c r="E6004" s="9" t="s">
        <v>33</v>
      </c>
      <c r="F6004" s="9" t="s">
        <v>88</v>
      </c>
      <c r="G6004" s="9" t="s">
        <v>89</v>
      </c>
      <c r="H6004" s="11" t="s">
        <v>21</v>
      </c>
      <c r="I6004" s="12" t="n">
        <v>51</v>
      </c>
      <c r="J6004" s="13" t="n">
        <v>138</v>
      </c>
      <c r="K6004" s="14" t="n">
        <f aca="false">I6004*J6004</f>
        <v>7038</v>
      </c>
      <c r="L6004" s="14" t="n">
        <f aca="false">($L$2*M6004)/100</f>
        <v>624866.58</v>
      </c>
      <c r="M6004" s="15" t="n">
        <v>0.52</v>
      </c>
      <c r="N6004" s="9" t="s">
        <v>85</v>
      </c>
    </row>
    <row r="6005" customFormat="false" ht="14.25" hidden="false" customHeight="true" outlineLevel="0" collapsed="false">
      <c r="B6005" s="9" t="s">
        <v>16</v>
      </c>
      <c r="C6005" s="9" t="n">
        <v>1128299</v>
      </c>
      <c r="D6005" s="10" t="n">
        <v>44370</v>
      </c>
      <c r="E6005" s="9" t="s">
        <v>33</v>
      </c>
      <c r="F6005" s="9" t="s">
        <v>88</v>
      </c>
      <c r="G6005" s="9" t="s">
        <v>89</v>
      </c>
      <c r="H6005" s="11" t="s">
        <v>22</v>
      </c>
      <c r="I6005" s="12" t="n">
        <v>51</v>
      </c>
      <c r="J6005" s="13" t="n">
        <v>138</v>
      </c>
      <c r="K6005" s="14" t="n">
        <f aca="false">I6005*J6005</f>
        <v>7038</v>
      </c>
      <c r="L6005" s="14" t="n">
        <f aca="false">($L$2*M6005)/100</f>
        <v>540749.925</v>
      </c>
      <c r="M6005" s="15" t="n">
        <v>0.45</v>
      </c>
      <c r="N6005" s="9" t="s">
        <v>85</v>
      </c>
    </row>
    <row r="6006" customFormat="false" ht="14.25" hidden="false" customHeight="true" outlineLevel="0" collapsed="false">
      <c r="B6006" s="9" t="s">
        <v>16</v>
      </c>
      <c r="C6006" s="9" t="n">
        <v>1128299</v>
      </c>
      <c r="D6006" s="10" t="n">
        <v>44370</v>
      </c>
      <c r="E6006" s="9" t="s">
        <v>33</v>
      </c>
      <c r="F6006" s="9" t="s">
        <v>88</v>
      </c>
      <c r="G6006" s="9" t="s">
        <v>89</v>
      </c>
      <c r="H6006" s="11" t="s">
        <v>23</v>
      </c>
      <c r="I6006" s="12" t="n">
        <v>46</v>
      </c>
      <c r="J6006" s="13" t="n">
        <v>95</v>
      </c>
      <c r="K6006" s="14" t="n">
        <f aca="false">I6006*J6006</f>
        <v>4370</v>
      </c>
      <c r="L6006" s="14" t="n">
        <f aca="false">($L$2*M6006)/100</f>
        <v>600833.25</v>
      </c>
      <c r="M6006" s="15" t="n">
        <v>0.5</v>
      </c>
      <c r="N6006" s="9" t="s">
        <v>85</v>
      </c>
    </row>
    <row r="6007" customFormat="false" ht="14.25" hidden="false" customHeight="true" outlineLevel="0" collapsed="false">
      <c r="B6007" s="9" t="s">
        <v>16</v>
      </c>
      <c r="C6007" s="9" t="n">
        <v>1128299</v>
      </c>
      <c r="D6007" s="10" t="n">
        <v>44370</v>
      </c>
      <c r="E6007" s="9" t="s">
        <v>33</v>
      </c>
      <c r="F6007" s="9" t="s">
        <v>88</v>
      </c>
      <c r="G6007" s="9" t="s">
        <v>89</v>
      </c>
      <c r="H6007" s="11" t="s">
        <v>24</v>
      </c>
      <c r="I6007" s="12" t="n">
        <v>51</v>
      </c>
      <c r="J6007" s="13" t="n">
        <v>68</v>
      </c>
      <c r="K6007" s="14" t="n">
        <f aca="false">I6007*J6007</f>
        <v>3468</v>
      </c>
      <c r="L6007" s="14" t="n">
        <f aca="false">($L$2*M6007)/100</f>
        <v>504699.93</v>
      </c>
      <c r="M6007" s="15" t="n">
        <v>0.42</v>
      </c>
      <c r="N6007" s="9" t="s">
        <v>85</v>
      </c>
    </row>
    <row r="6008" customFormat="false" ht="14.25" hidden="false" customHeight="true" outlineLevel="0" collapsed="false">
      <c r="B6008" s="9" t="s">
        <v>16</v>
      </c>
      <c r="C6008" s="9" t="n">
        <v>1128299</v>
      </c>
      <c r="D6008" s="10" t="n">
        <v>44370</v>
      </c>
      <c r="E6008" s="9" t="s">
        <v>33</v>
      </c>
      <c r="F6008" s="9" t="s">
        <v>88</v>
      </c>
      <c r="G6008" s="9" t="s">
        <v>89</v>
      </c>
      <c r="H6008" s="11" t="s">
        <v>25</v>
      </c>
      <c r="I6008" s="12" t="n">
        <v>69</v>
      </c>
      <c r="J6008" s="13" t="n">
        <v>131</v>
      </c>
      <c r="K6008" s="14" t="n">
        <f aca="false">I6008*J6008</f>
        <v>9039</v>
      </c>
      <c r="L6008" s="14" t="n">
        <f aca="false">($L$2*M6008)/100</f>
        <v>468649.935</v>
      </c>
      <c r="M6008" s="15" t="n">
        <v>0.39</v>
      </c>
      <c r="N6008" s="9" t="s">
        <v>85</v>
      </c>
    </row>
    <row r="6009" customFormat="false" ht="14.25" hidden="false" customHeight="true" outlineLevel="0" collapsed="false">
      <c r="B6009" s="9" t="s">
        <v>16</v>
      </c>
      <c r="C6009" s="9" t="n">
        <v>1128299</v>
      </c>
      <c r="D6009" s="10" t="n">
        <v>44399</v>
      </c>
      <c r="E6009" s="9" t="s">
        <v>33</v>
      </c>
      <c r="F6009" s="9" t="s">
        <v>88</v>
      </c>
      <c r="G6009" s="9" t="s">
        <v>89</v>
      </c>
      <c r="H6009" s="11" t="s">
        <v>19</v>
      </c>
      <c r="I6009" s="12" t="n">
        <v>49</v>
      </c>
      <c r="J6009" s="13" t="n">
        <v>196</v>
      </c>
      <c r="K6009" s="14" t="n">
        <f aca="false">I6009*J6009</f>
        <v>9604</v>
      </c>
      <c r="L6009" s="14" t="n">
        <f aca="false">($L$2*M6009)/100</f>
        <v>588816.585</v>
      </c>
      <c r="M6009" s="15" t="n">
        <v>0.49</v>
      </c>
      <c r="N6009" s="9" t="s">
        <v>85</v>
      </c>
    </row>
    <row r="6010" customFormat="false" ht="14.25" hidden="false" customHeight="true" outlineLevel="0" collapsed="false">
      <c r="B6010" s="9" t="s">
        <v>16</v>
      </c>
      <c r="C6010" s="9" t="n">
        <v>1128299</v>
      </c>
      <c r="D6010" s="10" t="n">
        <v>44399</v>
      </c>
      <c r="E6010" s="9" t="s">
        <v>33</v>
      </c>
      <c r="F6010" s="9" t="s">
        <v>88</v>
      </c>
      <c r="G6010" s="9" t="s">
        <v>89</v>
      </c>
      <c r="H6010" s="11" t="s">
        <v>21</v>
      </c>
      <c r="I6010" s="12" t="n">
        <v>50</v>
      </c>
      <c r="J6010" s="13" t="n">
        <v>142</v>
      </c>
      <c r="K6010" s="14" t="n">
        <f aca="false">I6010*J6010</f>
        <v>7100</v>
      </c>
      <c r="L6010" s="14" t="n">
        <f aca="false">($L$2*M6010)/100</f>
        <v>612849.915</v>
      </c>
      <c r="M6010" s="15" t="n">
        <v>0.51</v>
      </c>
      <c r="N6010" s="9" t="s">
        <v>85</v>
      </c>
    </row>
    <row r="6011" customFormat="false" ht="14.25" hidden="false" customHeight="true" outlineLevel="0" collapsed="false">
      <c r="B6011" s="9" t="s">
        <v>16</v>
      </c>
      <c r="C6011" s="9" t="n">
        <v>1128299</v>
      </c>
      <c r="D6011" s="10" t="n">
        <v>44399</v>
      </c>
      <c r="E6011" s="9" t="s">
        <v>33</v>
      </c>
      <c r="F6011" s="9" t="s">
        <v>88</v>
      </c>
      <c r="G6011" s="9" t="s">
        <v>89</v>
      </c>
      <c r="H6011" s="11" t="s">
        <v>22</v>
      </c>
      <c r="I6011" s="12" t="n">
        <v>51</v>
      </c>
      <c r="J6011" s="13" t="n">
        <v>133</v>
      </c>
      <c r="K6011" s="14" t="n">
        <f aca="false">I6011*J6011</f>
        <v>6783</v>
      </c>
      <c r="L6011" s="14" t="n">
        <f aca="false">($L$2*M6011)/100</f>
        <v>564783.255</v>
      </c>
      <c r="M6011" s="15" t="n">
        <v>0.47</v>
      </c>
      <c r="N6011" s="9" t="s">
        <v>85</v>
      </c>
    </row>
    <row r="6012" customFormat="false" ht="14.25" hidden="false" customHeight="true" outlineLevel="0" collapsed="false">
      <c r="B6012" s="9" t="s">
        <v>16</v>
      </c>
      <c r="C6012" s="9" t="n">
        <v>1128299</v>
      </c>
      <c r="D6012" s="10" t="n">
        <v>44399</v>
      </c>
      <c r="E6012" s="9" t="s">
        <v>33</v>
      </c>
      <c r="F6012" s="9" t="s">
        <v>88</v>
      </c>
      <c r="G6012" s="9" t="s">
        <v>89</v>
      </c>
      <c r="H6012" s="11" t="s">
        <v>23</v>
      </c>
      <c r="I6012" s="12" t="n">
        <v>48</v>
      </c>
      <c r="J6012" s="13" t="n">
        <v>101</v>
      </c>
      <c r="K6012" s="14" t="n">
        <f aca="false">I6012*J6012</f>
        <v>4848</v>
      </c>
      <c r="L6012" s="14" t="n">
        <f aca="false">($L$2*M6012)/100</f>
        <v>540749.925</v>
      </c>
      <c r="M6012" s="15" t="n">
        <v>0.45</v>
      </c>
      <c r="N6012" s="9" t="s">
        <v>85</v>
      </c>
    </row>
    <row r="6013" customFormat="false" ht="14.25" hidden="false" customHeight="true" outlineLevel="0" collapsed="false">
      <c r="B6013" s="9" t="s">
        <v>16</v>
      </c>
      <c r="C6013" s="9" t="n">
        <v>1128299</v>
      </c>
      <c r="D6013" s="10" t="n">
        <v>44399</v>
      </c>
      <c r="E6013" s="9" t="s">
        <v>33</v>
      </c>
      <c r="F6013" s="9" t="s">
        <v>88</v>
      </c>
      <c r="G6013" s="9" t="s">
        <v>89</v>
      </c>
      <c r="H6013" s="11" t="s">
        <v>24</v>
      </c>
      <c r="I6013" s="12" t="n">
        <v>52</v>
      </c>
      <c r="J6013" s="13" t="n">
        <v>128</v>
      </c>
      <c r="K6013" s="14" t="n">
        <f aca="false">I6013*J6013</f>
        <v>6656</v>
      </c>
      <c r="L6013" s="14" t="n">
        <f aca="false">($L$2*M6013)/100</f>
        <v>516716.595</v>
      </c>
      <c r="M6013" s="15" t="n">
        <v>0.43</v>
      </c>
      <c r="N6013" s="9" t="s">
        <v>85</v>
      </c>
    </row>
    <row r="6014" customFormat="false" ht="14.25" hidden="false" customHeight="true" outlineLevel="0" collapsed="false">
      <c r="B6014" s="9" t="s">
        <v>16</v>
      </c>
      <c r="C6014" s="9" t="n">
        <v>1128299</v>
      </c>
      <c r="D6014" s="10" t="n">
        <v>44399</v>
      </c>
      <c r="E6014" s="9" t="s">
        <v>33</v>
      </c>
      <c r="F6014" s="9" t="s">
        <v>88</v>
      </c>
      <c r="G6014" s="9" t="s">
        <v>89</v>
      </c>
      <c r="H6014" s="11" t="s">
        <v>25</v>
      </c>
      <c r="I6014" s="12" t="n">
        <v>67</v>
      </c>
      <c r="J6014" s="13" t="n">
        <v>123</v>
      </c>
      <c r="K6014" s="14" t="n">
        <f aca="false">I6014*J6014</f>
        <v>8241</v>
      </c>
      <c r="L6014" s="14" t="n">
        <f aca="false">($L$2*M6014)/100</f>
        <v>456633.27</v>
      </c>
      <c r="M6014" s="15" t="n">
        <v>0.38</v>
      </c>
      <c r="N6014" s="9" t="s">
        <v>85</v>
      </c>
    </row>
    <row r="6015" customFormat="false" ht="14.25" hidden="false" customHeight="true" outlineLevel="0" collapsed="false">
      <c r="B6015" s="9" t="s">
        <v>16</v>
      </c>
      <c r="C6015" s="9" t="n">
        <v>1128299</v>
      </c>
      <c r="D6015" s="10" t="n">
        <v>44431</v>
      </c>
      <c r="E6015" s="9" t="s">
        <v>33</v>
      </c>
      <c r="F6015" s="9" t="s">
        <v>88</v>
      </c>
      <c r="G6015" s="9" t="s">
        <v>89</v>
      </c>
      <c r="H6015" s="11" t="s">
        <v>19</v>
      </c>
      <c r="I6015" s="12" t="n">
        <v>50</v>
      </c>
      <c r="J6015" s="13" t="n">
        <v>163</v>
      </c>
      <c r="K6015" s="14" t="n">
        <f aca="false">I6015*J6015</f>
        <v>8150</v>
      </c>
      <c r="L6015" s="14" t="n">
        <f aca="false">($L$2*M6015)/100</f>
        <v>600833.25</v>
      </c>
      <c r="M6015" s="15" t="n">
        <v>0.5</v>
      </c>
      <c r="N6015" s="9" t="s">
        <v>85</v>
      </c>
    </row>
    <row r="6016" customFormat="false" ht="14.25" hidden="false" customHeight="true" outlineLevel="0" collapsed="false">
      <c r="B6016" s="9" t="s">
        <v>16</v>
      </c>
      <c r="C6016" s="9" t="n">
        <v>1128299</v>
      </c>
      <c r="D6016" s="10" t="n">
        <v>44431</v>
      </c>
      <c r="E6016" s="9" t="s">
        <v>33</v>
      </c>
      <c r="F6016" s="9" t="s">
        <v>88</v>
      </c>
      <c r="G6016" s="9" t="s">
        <v>89</v>
      </c>
      <c r="H6016" s="11" t="s">
        <v>21</v>
      </c>
      <c r="I6016" s="12" t="n">
        <v>57</v>
      </c>
      <c r="J6016" s="13" t="n">
        <v>161</v>
      </c>
      <c r="K6016" s="14" t="n">
        <f aca="false">I6016*J6016</f>
        <v>9177</v>
      </c>
      <c r="L6016" s="14" t="n">
        <f aca="false">($L$2*M6016)/100</f>
        <v>600833.25</v>
      </c>
      <c r="M6016" s="15" t="n">
        <v>0.5</v>
      </c>
      <c r="N6016" s="9" t="s">
        <v>85</v>
      </c>
    </row>
    <row r="6017" customFormat="false" ht="14.25" hidden="false" customHeight="true" outlineLevel="0" collapsed="false">
      <c r="B6017" s="9" t="s">
        <v>16</v>
      </c>
      <c r="C6017" s="9" t="n">
        <v>1128299</v>
      </c>
      <c r="D6017" s="10" t="n">
        <v>44431</v>
      </c>
      <c r="E6017" s="9" t="s">
        <v>33</v>
      </c>
      <c r="F6017" s="9" t="s">
        <v>88</v>
      </c>
      <c r="G6017" s="9" t="s">
        <v>89</v>
      </c>
      <c r="H6017" s="11" t="s">
        <v>22</v>
      </c>
      <c r="I6017" s="12" t="n">
        <v>54</v>
      </c>
      <c r="J6017" s="13" t="n">
        <v>113</v>
      </c>
      <c r="K6017" s="14" t="n">
        <f aca="false">I6017*J6017</f>
        <v>6102</v>
      </c>
      <c r="L6017" s="14" t="n">
        <f aca="false">($L$2*M6017)/100</f>
        <v>588816.585</v>
      </c>
      <c r="M6017" s="15" t="n">
        <v>0.49</v>
      </c>
      <c r="N6017" s="9" t="s">
        <v>85</v>
      </c>
    </row>
    <row r="6018" customFormat="false" ht="14.25" hidden="false" customHeight="true" outlineLevel="0" collapsed="false">
      <c r="B6018" s="9" t="s">
        <v>16</v>
      </c>
      <c r="C6018" s="9" t="n">
        <v>1128299</v>
      </c>
      <c r="D6018" s="10" t="n">
        <v>44431</v>
      </c>
      <c r="E6018" s="9" t="s">
        <v>33</v>
      </c>
      <c r="F6018" s="9" t="s">
        <v>88</v>
      </c>
      <c r="G6018" s="9" t="s">
        <v>89</v>
      </c>
      <c r="H6018" s="11" t="s">
        <v>23</v>
      </c>
      <c r="I6018" s="12" t="n">
        <v>52</v>
      </c>
      <c r="J6018" s="13" t="n">
        <v>112</v>
      </c>
      <c r="K6018" s="14" t="n">
        <f aca="false">I6018*J6018</f>
        <v>5824</v>
      </c>
      <c r="L6018" s="14" t="n">
        <f aca="false">($L$2*M6018)/100</f>
        <v>588816.585</v>
      </c>
      <c r="M6018" s="15" t="n">
        <v>0.49</v>
      </c>
      <c r="N6018" s="9" t="s">
        <v>85</v>
      </c>
    </row>
    <row r="6019" customFormat="false" ht="14.25" hidden="false" customHeight="true" outlineLevel="0" collapsed="false">
      <c r="B6019" s="9" t="s">
        <v>16</v>
      </c>
      <c r="C6019" s="9" t="n">
        <v>1128299</v>
      </c>
      <c r="D6019" s="10" t="n">
        <v>44431</v>
      </c>
      <c r="E6019" s="9" t="s">
        <v>33</v>
      </c>
      <c r="F6019" s="9" t="s">
        <v>88</v>
      </c>
      <c r="G6019" s="9" t="s">
        <v>89</v>
      </c>
      <c r="H6019" s="11" t="s">
        <v>24</v>
      </c>
      <c r="I6019" s="12" t="n">
        <v>59</v>
      </c>
      <c r="J6019" s="13" t="n">
        <v>116</v>
      </c>
      <c r="K6019" s="14" t="n">
        <f aca="false">I6019*J6019</f>
        <v>6844</v>
      </c>
      <c r="L6019" s="14" t="n">
        <f aca="false">($L$2*M6019)/100</f>
        <v>492683.265</v>
      </c>
      <c r="M6019" s="15" t="n">
        <v>0.41</v>
      </c>
      <c r="N6019" s="9" t="s">
        <v>85</v>
      </c>
    </row>
    <row r="6020" customFormat="false" ht="14.25" hidden="false" customHeight="true" outlineLevel="0" collapsed="false">
      <c r="B6020" s="9" t="s">
        <v>16</v>
      </c>
      <c r="C6020" s="9" t="n">
        <v>1128299</v>
      </c>
      <c r="D6020" s="10" t="n">
        <v>44431</v>
      </c>
      <c r="E6020" s="9" t="s">
        <v>33</v>
      </c>
      <c r="F6020" s="9" t="s">
        <v>88</v>
      </c>
      <c r="G6020" s="9" t="s">
        <v>89</v>
      </c>
      <c r="H6020" s="11" t="s">
        <v>25</v>
      </c>
      <c r="I6020" s="12" t="n">
        <v>65</v>
      </c>
      <c r="J6020" s="13" t="n">
        <v>94</v>
      </c>
      <c r="K6020" s="14" t="n">
        <f aca="false">I6020*J6020</f>
        <v>6110</v>
      </c>
      <c r="L6020" s="14" t="n">
        <f aca="false">($L$2*M6020)/100</f>
        <v>480666.6</v>
      </c>
      <c r="M6020" s="15" t="n">
        <v>0.4</v>
      </c>
      <c r="N6020" s="9" t="s">
        <v>85</v>
      </c>
    </row>
    <row r="6021" customFormat="false" ht="14.25" hidden="false" customHeight="true" outlineLevel="0" collapsed="false">
      <c r="B6021" s="9" t="s">
        <v>16</v>
      </c>
      <c r="C6021" s="9" t="n">
        <v>1128299</v>
      </c>
      <c r="D6021" s="10" t="n">
        <v>44463</v>
      </c>
      <c r="E6021" s="9" t="s">
        <v>33</v>
      </c>
      <c r="F6021" s="9" t="s">
        <v>88</v>
      </c>
      <c r="G6021" s="9" t="s">
        <v>89</v>
      </c>
      <c r="H6021" s="11" t="s">
        <v>19</v>
      </c>
      <c r="I6021" s="12" t="n">
        <v>41</v>
      </c>
      <c r="J6021" s="13" t="n">
        <v>167</v>
      </c>
      <c r="K6021" s="14" t="n">
        <f aca="false">I6021*J6021</f>
        <v>6847</v>
      </c>
      <c r="L6021" s="14" t="n">
        <f aca="false">($L$2*M6021)/100</f>
        <v>588816.585</v>
      </c>
      <c r="M6021" s="15" t="n">
        <v>0.49</v>
      </c>
      <c r="N6021" s="9" t="s">
        <v>85</v>
      </c>
    </row>
    <row r="6022" customFormat="false" ht="14.25" hidden="false" customHeight="true" outlineLevel="0" collapsed="false">
      <c r="B6022" s="9" t="s">
        <v>16</v>
      </c>
      <c r="C6022" s="9" t="n">
        <v>1128299</v>
      </c>
      <c r="D6022" s="10" t="n">
        <v>44463</v>
      </c>
      <c r="E6022" s="9" t="s">
        <v>33</v>
      </c>
      <c r="F6022" s="9" t="s">
        <v>88</v>
      </c>
      <c r="G6022" s="9" t="s">
        <v>89</v>
      </c>
      <c r="H6022" s="11" t="s">
        <v>21</v>
      </c>
      <c r="I6022" s="12" t="n">
        <v>45</v>
      </c>
      <c r="J6022" s="13" t="n">
        <v>161</v>
      </c>
      <c r="K6022" s="14" t="n">
        <f aca="false">I6022*J6022</f>
        <v>7245</v>
      </c>
      <c r="L6022" s="14" t="n">
        <f aca="false">($L$2*M6022)/100</f>
        <v>636883.245</v>
      </c>
      <c r="M6022" s="15" t="n">
        <v>0.53</v>
      </c>
      <c r="N6022" s="9" t="s">
        <v>85</v>
      </c>
    </row>
    <row r="6023" customFormat="false" ht="14.25" hidden="false" customHeight="true" outlineLevel="0" collapsed="false">
      <c r="B6023" s="9" t="s">
        <v>16</v>
      </c>
      <c r="C6023" s="9" t="n">
        <v>1128299</v>
      </c>
      <c r="D6023" s="10" t="n">
        <v>44463</v>
      </c>
      <c r="E6023" s="9" t="s">
        <v>33</v>
      </c>
      <c r="F6023" s="9" t="s">
        <v>88</v>
      </c>
      <c r="G6023" s="9" t="s">
        <v>89</v>
      </c>
      <c r="H6023" s="11" t="s">
        <v>22</v>
      </c>
      <c r="I6023" s="12" t="n">
        <v>43</v>
      </c>
      <c r="J6023" s="13" t="n">
        <v>128</v>
      </c>
      <c r="K6023" s="14" t="n">
        <f aca="false">I6023*J6023</f>
        <v>5504</v>
      </c>
      <c r="L6023" s="14" t="n">
        <f aca="false">($L$2*M6023)/100</f>
        <v>540749.925</v>
      </c>
      <c r="M6023" s="15" t="n">
        <v>0.45</v>
      </c>
      <c r="N6023" s="9" t="s">
        <v>85</v>
      </c>
    </row>
    <row r="6024" customFormat="false" ht="14.25" hidden="false" customHeight="true" outlineLevel="0" collapsed="false">
      <c r="B6024" s="9" t="s">
        <v>16</v>
      </c>
      <c r="C6024" s="9" t="n">
        <v>1128299</v>
      </c>
      <c r="D6024" s="10" t="n">
        <v>44463</v>
      </c>
      <c r="E6024" s="9" t="s">
        <v>33</v>
      </c>
      <c r="F6024" s="9" t="s">
        <v>88</v>
      </c>
      <c r="G6024" s="9" t="s">
        <v>89</v>
      </c>
      <c r="H6024" s="11" t="s">
        <v>23</v>
      </c>
      <c r="I6024" s="12" t="n">
        <v>41</v>
      </c>
      <c r="J6024" s="13" t="n">
        <v>113</v>
      </c>
      <c r="K6024" s="14" t="n">
        <f aca="false">I6024*J6024</f>
        <v>4633</v>
      </c>
      <c r="L6024" s="14" t="n">
        <f aca="false">($L$2*M6024)/100</f>
        <v>564783.255</v>
      </c>
      <c r="M6024" s="15" t="n">
        <v>0.47</v>
      </c>
      <c r="N6024" s="9" t="s">
        <v>85</v>
      </c>
    </row>
    <row r="6025" customFormat="false" ht="14.25" hidden="false" customHeight="true" outlineLevel="0" collapsed="false">
      <c r="B6025" s="9" t="s">
        <v>16</v>
      </c>
      <c r="C6025" s="9" t="n">
        <v>1128299</v>
      </c>
      <c r="D6025" s="10" t="n">
        <v>44463</v>
      </c>
      <c r="E6025" s="9" t="s">
        <v>33</v>
      </c>
      <c r="F6025" s="9" t="s">
        <v>88</v>
      </c>
      <c r="G6025" s="9" t="s">
        <v>89</v>
      </c>
      <c r="H6025" s="11" t="s">
        <v>24</v>
      </c>
      <c r="I6025" s="12" t="n">
        <v>54</v>
      </c>
      <c r="J6025" s="13" t="n">
        <v>105</v>
      </c>
      <c r="K6025" s="14" t="n">
        <f aca="false">I6025*J6025</f>
        <v>5670</v>
      </c>
      <c r="L6025" s="14" t="n">
        <f aca="false">($L$2*M6025)/100</f>
        <v>528733.26</v>
      </c>
      <c r="M6025" s="15" t="n">
        <v>0.44</v>
      </c>
      <c r="N6025" s="9" t="s">
        <v>85</v>
      </c>
    </row>
    <row r="6026" customFormat="false" ht="14.25" hidden="false" customHeight="true" outlineLevel="0" collapsed="false">
      <c r="B6026" s="9" t="s">
        <v>16</v>
      </c>
      <c r="C6026" s="9" t="n">
        <v>1128299</v>
      </c>
      <c r="D6026" s="10" t="n">
        <v>44463</v>
      </c>
      <c r="E6026" s="9" t="s">
        <v>33</v>
      </c>
      <c r="F6026" s="9" t="s">
        <v>88</v>
      </c>
      <c r="G6026" s="9" t="s">
        <v>89</v>
      </c>
      <c r="H6026" s="11" t="s">
        <v>25</v>
      </c>
      <c r="I6026" s="12" t="n">
        <v>56</v>
      </c>
      <c r="J6026" s="13" t="n">
        <v>119</v>
      </c>
      <c r="K6026" s="14" t="n">
        <f aca="false">I6026*J6026</f>
        <v>6664</v>
      </c>
      <c r="L6026" s="14" t="n">
        <f aca="false">($L$2*M6026)/100</f>
        <v>444616.605</v>
      </c>
      <c r="M6026" s="15" t="n">
        <v>0.37</v>
      </c>
      <c r="N6026" s="9" t="s">
        <v>85</v>
      </c>
    </row>
    <row r="6027" customFormat="false" ht="14.25" hidden="false" customHeight="true" outlineLevel="0" collapsed="false">
      <c r="B6027" s="9" t="s">
        <v>16</v>
      </c>
      <c r="C6027" s="9" t="n">
        <v>1128299</v>
      </c>
      <c r="D6027" s="10" t="n">
        <v>44492</v>
      </c>
      <c r="E6027" s="9" t="s">
        <v>33</v>
      </c>
      <c r="F6027" s="9" t="s">
        <v>88</v>
      </c>
      <c r="G6027" s="9" t="s">
        <v>89</v>
      </c>
      <c r="H6027" s="11" t="s">
        <v>19</v>
      </c>
      <c r="I6027" s="12" t="n">
        <v>41</v>
      </c>
      <c r="J6027" s="13" t="n">
        <v>135</v>
      </c>
      <c r="K6027" s="14" t="n">
        <f aca="false">I6027*J6027</f>
        <v>5535</v>
      </c>
      <c r="L6027" s="14" t="n">
        <f aca="false">($L$2*M6027)/100</f>
        <v>576799.92</v>
      </c>
      <c r="M6027" s="15" t="n">
        <v>0.48</v>
      </c>
      <c r="N6027" s="9" t="s">
        <v>85</v>
      </c>
    </row>
    <row r="6028" customFormat="false" ht="14.25" hidden="false" customHeight="true" outlineLevel="0" collapsed="false">
      <c r="B6028" s="9" t="s">
        <v>16</v>
      </c>
      <c r="C6028" s="9" t="n">
        <v>1128299</v>
      </c>
      <c r="D6028" s="10" t="n">
        <v>44492</v>
      </c>
      <c r="E6028" s="9" t="s">
        <v>33</v>
      </c>
      <c r="F6028" s="9" t="s">
        <v>88</v>
      </c>
      <c r="G6028" s="9" t="s">
        <v>89</v>
      </c>
      <c r="H6028" s="11" t="s">
        <v>21</v>
      </c>
      <c r="I6028" s="12" t="n">
        <v>47</v>
      </c>
      <c r="J6028" s="13" t="n">
        <v>145</v>
      </c>
      <c r="K6028" s="14" t="n">
        <f aca="false">I6028*J6028</f>
        <v>6815</v>
      </c>
      <c r="L6028" s="14" t="n">
        <f aca="false">($L$2*M6028)/100</f>
        <v>636883.245</v>
      </c>
      <c r="M6028" s="15" t="n">
        <v>0.53</v>
      </c>
      <c r="N6028" s="9" t="s">
        <v>85</v>
      </c>
    </row>
    <row r="6029" customFormat="false" ht="14.25" hidden="false" customHeight="true" outlineLevel="0" collapsed="false">
      <c r="B6029" s="9" t="s">
        <v>16</v>
      </c>
      <c r="C6029" s="9" t="n">
        <v>1128299</v>
      </c>
      <c r="D6029" s="10" t="n">
        <v>44492</v>
      </c>
      <c r="E6029" s="9" t="s">
        <v>33</v>
      </c>
      <c r="F6029" s="9" t="s">
        <v>88</v>
      </c>
      <c r="G6029" s="9" t="s">
        <v>89</v>
      </c>
      <c r="H6029" s="11" t="s">
        <v>22</v>
      </c>
      <c r="I6029" s="12" t="n">
        <v>44</v>
      </c>
      <c r="J6029" s="13" t="n">
        <v>91</v>
      </c>
      <c r="K6029" s="14" t="n">
        <f aca="false">I6029*J6029</f>
        <v>4004</v>
      </c>
      <c r="L6029" s="14" t="n">
        <f aca="false">($L$2*M6029)/100</f>
        <v>576799.92</v>
      </c>
      <c r="M6029" s="15" t="n">
        <v>0.48</v>
      </c>
      <c r="N6029" s="9" t="s">
        <v>85</v>
      </c>
    </row>
    <row r="6030" customFormat="false" ht="14.25" hidden="false" customHeight="true" outlineLevel="0" collapsed="false">
      <c r="B6030" s="9" t="s">
        <v>16</v>
      </c>
      <c r="C6030" s="9" t="n">
        <v>1128299</v>
      </c>
      <c r="D6030" s="10" t="n">
        <v>44492</v>
      </c>
      <c r="E6030" s="9" t="s">
        <v>33</v>
      </c>
      <c r="F6030" s="9" t="s">
        <v>88</v>
      </c>
      <c r="G6030" s="9" t="s">
        <v>89</v>
      </c>
      <c r="H6030" s="11" t="s">
        <v>23</v>
      </c>
      <c r="I6030" s="12" t="n">
        <v>43</v>
      </c>
      <c r="J6030" s="13" t="n">
        <v>90</v>
      </c>
      <c r="K6030" s="14" t="n">
        <f aca="false">I6030*J6030</f>
        <v>3870</v>
      </c>
      <c r="L6030" s="14" t="n">
        <f aca="false">($L$2*M6030)/100</f>
        <v>588816.585</v>
      </c>
      <c r="M6030" s="15" t="n">
        <v>0.49</v>
      </c>
      <c r="N6030" s="9" t="s">
        <v>85</v>
      </c>
    </row>
    <row r="6031" customFormat="false" ht="14.25" hidden="false" customHeight="true" outlineLevel="0" collapsed="false">
      <c r="B6031" s="9" t="s">
        <v>16</v>
      </c>
      <c r="C6031" s="9" t="n">
        <v>1128299</v>
      </c>
      <c r="D6031" s="10" t="n">
        <v>44492</v>
      </c>
      <c r="E6031" s="9" t="s">
        <v>33</v>
      </c>
      <c r="F6031" s="9" t="s">
        <v>88</v>
      </c>
      <c r="G6031" s="9" t="s">
        <v>89</v>
      </c>
      <c r="H6031" s="11" t="s">
        <v>24</v>
      </c>
      <c r="I6031" s="12" t="n">
        <v>53</v>
      </c>
      <c r="J6031" s="13" t="n">
        <v>69</v>
      </c>
      <c r="K6031" s="14" t="n">
        <f aca="false">I6031*J6031</f>
        <v>3657</v>
      </c>
      <c r="L6031" s="14" t="n">
        <f aca="false">($L$2*M6031)/100</f>
        <v>480666.6</v>
      </c>
      <c r="M6031" s="15" t="n">
        <v>0.4</v>
      </c>
      <c r="N6031" s="9" t="s">
        <v>85</v>
      </c>
    </row>
    <row r="6032" customFormat="false" ht="14.25" hidden="false" customHeight="true" outlineLevel="0" collapsed="false">
      <c r="B6032" s="9" t="s">
        <v>16</v>
      </c>
      <c r="C6032" s="9" t="n">
        <v>1128299</v>
      </c>
      <c r="D6032" s="10" t="n">
        <v>44492</v>
      </c>
      <c r="E6032" s="9" t="s">
        <v>33</v>
      </c>
      <c r="F6032" s="9" t="s">
        <v>88</v>
      </c>
      <c r="G6032" s="9" t="s">
        <v>89</v>
      </c>
      <c r="H6032" s="11" t="s">
        <v>25</v>
      </c>
      <c r="I6032" s="12" t="n">
        <v>56</v>
      </c>
      <c r="J6032" s="13" t="n">
        <v>85</v>
      </c>
      <c r="K6032" s="14" t="n">
        <f aca="false">I6032*J6032</f>
        <v>4760</v>
      </c>
      <c r="L6032" s="14" t="n">
        <f aca="false">($L$2*M6032)/100</f>
        <v>456633.27</v>
      </c>
      <c r="M6032" s="15" t="n">
        <v>0.38</v>
      </c>
      <c r="N6032" s="9" t="s">
        <v>85</v>
      </c>
    </row>
    <row r="6033" customFormat="false" ht="14.25" hidden="false" customHeight="true" outlineLevel="0" collapsed="false">
      <c r="B6033" s="9" t="s">
        <v>16</v>
      </c>
      <c r="C6033" s="9" t="n">
        <v>1128299</v>
      </c>
      <c r="D6033" s="10" t="n">
        <v>44523</v>
      </c>
      <c r="E6033" s="9" t="s">
        <v>33</v>
      </c>
      <c r="F6033" s="9" t="s">
        <v>88</v>
      </c>
      <c r="G6033" s="9" t="s">
        <v>89</v>
      </c>
      <c r="H6033" s="11" t="s">
        <v>19</v>
      </c>
      <c r="I6033" s="12" t="n">
        <v>42</v>
      </c>
      <c r="J6033" s="13" t="n">
        <v>135</v>
      </c>
      <c r="K6033" s="14" t="n">
        <f aca="false">I6033*J6033</f>
        <v>5670</v>
      </c>
      <c r="L6033" s="14" t="n">
        <f aca="false">($L$2*M6033)/100</f>
        <v>564783.255</v>
      </c>
      <c r="M6033" s="15" t="n">
        <v>0.47</v>
      </c>
      <c r="N6033" s="9" t="s">
        <v>85</v>
      </c>
    </row>
    <row r="6034" customFormat="false" ht="14.25" hidden="false" customHeight="true" outlineLevel="0" collapsed="false">
      <c r="B6034" s="9" t="s">
        <v>16</v>
      </c>
      <c r="C6034" s="9" t="n">
        <v>1128299</v>
      </c>
      <c r="D6034" s="10" t="n">
        <v>44523</v>
      </c>
      <c r="E6034" s="9" t="s">
        <v>33</v>
      </c>
      <c r="F6034" s="9" t="s">
        <v>88</v>
      </c>
      <c r="G6034" s="9" t="s">
        <v>89</v>
      </c>
      <c r="H6034" s="11" t="s">
        <v>21</v>
      </c>
      <c r="I6034" s="12" t="n">
        <v>46</v>
      </c>
      <c r="J6034" s="13" t="n">
        <v>147</v>
      </c>
      <c r="K6034" s="14" t="n">
        <f aca="false">I6034*J6034</f>
        <v>6762</v>
      </c>
      <c r="L6034" s="14" t="n">
        <f aca="false">($L$2*M6034)/100</f>
        <v>624866.58</v>
      </c>
      <c r="M6034" s="15" t="n">
        <v>0.52</v>
      </c>
      <c r="N6034" s="9" t="s">
        <v>85</v>
      </c>
    </row>
    <row r="6035" customFormat="false" ht="14.25" hidden="false" customHeight="true" outlineLevel="0" collapsed="false">
      <c r="B6035" s="9" t="s">
        <v>16</v>
      </c>
      <c r="C6035" s="9" t="n">
        <v>1128299</v>
      </c>
      <c r="D6035" s="10" t="n">
        <v>44523</v>
      </c>
      <c r="E6035" s="9" t="s">
        <v>33</v>
      </c>
      <c r="F6035" s="9" t="s">
        <v>88</v>
      </c>
      <c r="G6035" s="9" t="s">
        <v>89</v>
      </c>
      <c r="H6035" s="11" t="s">
        <v>22</v>
      </c>
      <c r="I6035" s="12" t="n">
        <v>44</v>
      </c>
      <c r="J6035" s="13" t="n">
        <v>105</v>
      </c>
      <c r="K6035" s="14" t="n">
        <f aca="false">I6035*J6035</f>
        <v>4620</v>
      </c>
      <c r="L6035" s="14" t="n">
        <f aca="false">($L$2*M6035)/100</f>
        <v>552766.59</v>
      </c>
      <c r="M6035" s="15" t="n">
        <v>0.46</v>
      </c>
      <c r="N6035" s="9" t="s">
        <v>85</v>
      </c>
    </row>
    <row r="6036" customFormat="false" ht="14.25" hidden="false" customHeight="true" outlineLevel="0" collapsed="false">
      <c r="B6036" s="9" t="s">
        <v>16</v>
      </c>
      <c r="C6036" s="9" t="n">
        <v>1128299</v>
      </c>
      <c r="D6036" s="10" t="n">
        <v>44523</v>
      </c>
      <c r="E6036" s="9" t="s">
        <v>33</v>
      </c>
      <c r="F6036" s="9" t="s">
        <v>88</v>
      </c>
      <c r="G6036" s="9" t="s">
        <v>89</v>
      </c>
      <c r="H6036" s="11" t="s">
        <v>23</v>
      </c>
      <c r="I6036" s="12" t="n">
        <v>42</v>
      </c>
      <c r="J6036" s="13" t="n">
        <v>98</v>
      </c>
      <c r="K6036" s="14" t="n">
        <f aca="false">I6036*J6036</f>
        <v>4116</v>
      </c>
      <c r="L6036" s="14" t="n">
        <f aca="false">($L$2*M6036)/100</f>
        <v>564783.255</v>
      </c>
      <c r="M6036" s="15" t="n">
        <v>0.47</v>
      </c>
      <c r="N6036" s="9" t="s">
        <v>85</v>
      </c>
    </row>
    <row r="6037" customFormat="false" ht="14.25" hidden="false" customHeight="true" outlineLevel="0" collapsed="false">
      <c r="B6037" s="9" t="s">
        <v>16</v>
      </c>
      <c r="C6037" s="9" t="n">
        <v>1128299</v>
      </c>
      <c r="D6037" s="10" t="n">
        <v>44523</v>
      </c>
      <c r="E6037" s="9" t="s">
        <v>33</v>
      </c>
      <c r="F6037" s="9" t="s">
        <v>88</v>
      </c>
      <c r="G6037" s="9" t="s">
        <v>89</v>
      </c>
      <c r="H6037" s="11" t="s">
        <v>24</v>
      </c>
      <c r="I6037" s="12" t="n">
        <v>53</v>
      </c>
      <c r="J6037" s="13" t="n">
        <v>87</v>
      </c>
      <c r="K6037" s="14" t="n">
        <f aca="false">I6037*J6037</f>
        <v>4611</v>
      </c>
      <c r="L6037" s="14" t="n">
        <f aca="false">($L$2*M6037)/100</f>
        <v>492683.265</v>
      </c>
      <c r="M6037" s="15" t="n">
        <v>0.41</v>
      </c>
      <c r="N6037" s="9" t="s">
        <v>85</v>
      </c>
    </row>
    <row r="6038" customFormat="false" ht="14.25" hidden="false" customHeight="true" outlineLevel="0" collapsed="false">
      <c r="B6038" s="9" t="s">
        <v>16</v>
      </c>
      <c r="C6038" s="9" t="n">
        <v>1128299</v>
      </c>
      <c r="D6038" s="10" t="n">
        <v>44523</v>
      </c>
      <c r="E6038" s="9" t="s">
        <v>33</v>
      </c>
      <c r="F6038" s="9" t="s">
        <v>88</v>
      </c>
      <c r="G6038" s="9" t="s">
        <v>89</v>
      </c>
      <c r="H6038" s="11" t="s">
        <v>25</v>
      </c>
      <c r="I6038" s="12" t="n">
        <v>55</v>
      </c>
      <c r="J6038" s="13" t="n">
        <v>111</v>
      </c>
      <c r="K6038" s="14" t="n">
        <f aca="false">I6038*J6038</f>
        <v>6105</v>
      </c>
      <c r="L6038" s="14" t="n">
        <f aca="false">($L$2*M6038)/100</f>
        <v>444616.605</v>
      </c>
      <c r="M6038" s="15" t="n">
        <v>0.37</v>
      </c>
      <c r="N6038" s="9" t="s">
        <v>85</v>
      </c>
    </row>
    <row r="6039" customFormat="false" ht="14.25" hidden="false" customHeight="true" outlineLevel="0" collapsed="false">
      <c r="B6039" s="9" t="s">
        <v>16</v>
      </c>
      <c r="C6039" s="9" t="n">
        <v>1128299</v>
      </c>
      <c r="D6039" s="10" t="n">
        <v>44552</v>
      </c>
      <c r="E6039" s="9" t="s">
        <v>33</v>
      </c>
      <c r="F6039" s="9" t="s">
        <v>88</v>
      </c>
      <c r="G6039" s="9" t="s">
        <v>89</v>
      </c>
      <c r="H6039" s="11" t="s">
        <v>19</v>
      </c>
      <c r="I6039" s="12" t="n">
        <v>44</v>
      </c>
      <c r="J6039" s="13" t="n">
        <v>181</v>
      </c>
      <c r="K6039" s="14" t="n">
        <f aca="false">I6039*J6039</f>
        <v>7964</v>
      </c>
      <c r="L6039" s="14" t="n">
        <f aca="false">($L$2*M6039)/100</f>
        <v>552766.59</v>
      </c>
      <c r="M6039" s="15" t="n">
        <v>0.46</v>
      </c>
      <c r="N6039" s="9" t="s">
        <v>85</v>
      </c>
    </row>
    <row r="6040" customFormat="false" ht="14.25" hidden="false" customHeight="true" outlineLevel="0" collapsed="false">
      <c r="B6040" s="9" t="s">
        <v>16</v>
      </c>
      <c r="C6040" s="9" t="n">
        <v>1128299</v>
      </c>
      <c r="D6040" s="10" t="n">
        <v>44552</v>
      </c>
      <c r="E6040" s="9" t="s">
        <v>33</v>
      </c>
      <c r="F6040" s="9" t="s">
        <v>88</v>
      </c>
      <c r="G6040" s="9" t="s">
        <v>89</v>
      </c>
      <c r="H6040" s="11" t="s">
        <v>21</v>
      </c>
      <c r="I6040" s="12" t="n">
        <v>49</v>
      </c>
      <c r="J6040" s="13" t="n">
        <v>175</v>
      </c>
      <c r="K6040" s="14" t="n">
        <f aca="false">I6040*J6040</f>
        <v>8575</v>
      </c>
      <c r="L6040" s="14" t="n">
        <f aca="false">($L$2*M6040)/100</f>
        <v>648899.91</v>
      </c>
      <c r="M6040" s="15" t="n">
        <v>0.54</v>
      </c>
      <c r="N6040" s="9" t="s">
        <v>85</v>
      </c>
    </row>
    <row r="6041" customFormat="false" ht="14.25" hidden="false" customHeight="true" outlineLevel="0" collapsed="false">
      <c r="B6041" s="9" t="s">
        <v>36</v>
      </c>
      <c r="C6041" s="9" t="n">
        <v>1128299</v>
      </c>
      <c r="D6041" s="10" t="n">
        <v>44552</v>
      </c>
      <c r="E6041" s="9" t="s">
        <v>33</v>
      </c>
      <c r="F6041" s="9" t="s">
        <v>88</v>
      </c>
      <c r="G6041" s="9" t="s">
        <v>89</v>
      </c>
      <c r="H6041" s="11" t="s">
        <v>22</v>
      </c>
      <c r="I6041" s="12" t="n">
        <v>43</v>
      </c>
      <c r="J6041" s="13" t="n">
        <v>123</v>
      </c>
      <c r="K6041" s="14" t="n">
        <f aca="false">I6041*J6041</f>
        <v>5289</v>
      </c>
      <c r="L6041" s="14" t="n">
        <f aca="false">($L$2*M6041)/100</f>
        <v>576799.92</v>
      </c>
      <c r="M6041" s="15" t="n">
        <v>0.48</v>
      </c>
      <c r="N6041" s="9" t="s">
        <v>85</v>
      </c>
    </row>
    <row r="6042" customFormat="false" ht="14.25" hidden="false" customHeight="true" outlineLevel="0" collapsed="false">
      <c r="B6042" s="9" t="s">
        <v>36</v>
      </c>
      <c r="C6042" s="9" t="n">
        <v>1128299</v>
      </c>
      <c r="D6042" s="10" t="n">
        <v>44552</v>
      </c>
      <c r="E6042" s="9" t="s">
        <v>33</v>
      </c>
      <c r="F6042" s="9" t="s">
        <v>88</v>
      </c>
      <c r="G6042" s="9" t="s">
        <v>89</v>
      </c>
      <c r="H6042" s="11" t="s">
        <v>23</v>
      </c>
      <c r="I6042" s="12" t="n">
        <v>44</v>
      </c>
      <c r="J6042" s="13" t="n">
        <v>115</v>
      </c>
      <c r="K6042" s="14" t="n">
        <f aca="false">I6042*J6042</f>
        <v>5060</v>
      </c>
      <c r="L6042" s="14" t="n">
        <f aca="false">($L$2*M6042)/100</f>
        <v>540749.925</v>
      </c>
      <c r="M6042" s="15" t="n">
        <v>0.45</v>
      </c>
      <c r="N6042" s="9" t="s">
        <v>85</v>
      </c>
    </row>
    <row r="6043" customFormat="false" ht="14.25" hidden="false" customHeight="true" outlineLevel="0" collapsed="false">
      <c r="B6043" s="9" t="s">
        <v>36</v>
      </c>
      <c r="C6043" s="9" t="n">
        <v>1128299</v>
      </c>
      <c r="D6043" s="10" t="n">
        <v>44552</v>
      </c>
      <c r="E6043" s="9" t="s">
        <v>33</v>
      </c>
      <c r="F6043" s="9" t="s">
        <v>88</v>
      </c>
      <c r="G6043" s="9" t="s">
        <v>89</v>
      </c>
      <c r="H6043" s="11" t="s">
        <v>24</v>
      </c>
      <c r="I6043" s="12" t="n">
        <v>52</v>
      </c>
      <c r="J6043" s="13" t="n">
        <v>88</v>
      </c>
      <c r="K6043" s="14" t="n">
        <f aca="false">I6043*J6043</f>
        <v>4576</v>
      </c>
      <c r="L6043" s="14" t="n">
        <f aca="false">($L$2*M6043)/100</f>
        <v>516716.595</v>
      </c>
      <c r="M6043" s="15" t="n">
        <v>0.43</v>
      </c>
      <c r="N6043" s="9" t="s">
        <v>85</v>
      </c>
    </row>
    <row r="6044" customFormat="false" ht="14.25" hidden="false" customHeight="true" outlineLevel="0" collapsed="false">
      <c r="B6044" s="9" t="s">
        <v>36</v>
      </c>
      <c r="C6044" s="9" t="n">
        <v>1128299</v>
      </c>
      <c r="D6044" s="10" t="n">
        <v>44552</v>
      </c>
      <c r="E6044" s="9" t="s">
        <v>33</v>
      </c>
      <c r="F6044" s="9" t="s">
        <v>88</v>
      </c>
      <c r="G6044" s="9" t="s">
        <v>89</v>
      </c>
      <c r="H6044" s="11" t="s">
        <v>25</v>
      </c>
      <c r="I6044" s="12" t="n">
        <v>58</v>
      </c>
      <c r="J6044" s="13" t="n">
        <v>135</v>
      </c>
      <c r="K6044" s="14" t="n">
        <f aca="false">I6044*J6044</f>
        <v>7830</v>
      </c>
      <c r="L6044" s="14" t="n">
        <f aca="false">($L$2*M6044)/100</f>
        <v>444616.605</v>
      </c>
      <c r="M6044" s="15" t="n">
        <v>0.37</v>
      </c>
      <c r="N6044" s="9" t="s">
        <v>85</v>
      </c>
    </row>
    <row r="6045" customFormat="false" ht="14.25" hidden="false" customHeight="true" outlineLevel="0" collapsed="false">
      <c r="B6045" s="9" t="s">
        <v>36</v>
      </c>
      <c r="C6045" s="9" t="n">
        <v>1128299</v>
      </c>
      <c r="D6045" s="10" t="n">
        <v>44222</v>
      </c>
      <c r="E6045" s="9" t="s">
        <v>33</v>
      </c>
      <c r="F6045" s="9" t="s">
        <v>88</v>
      </c>
      <c r="G6045" s="9" t="s">
        <v>89</v>
      </c>
      <c r="H6045" s="11" t="s">
        <v>19</v>
      </c>
      <c r="I6045" s="12" t="n">
        <v>33</v>
      </c>
      <c r="J6045" s="13" t="n">
        <v>133</v>
      </c>
      <c r="K6045" s="14" t="n">
        <f aca="false">I6045*J6045</f>
        <v>4389</v>
      </c>
      <c r="L6045" s="14" t="n">
        <f aca="false">($L$2*M6045)/100</f>
        <v>588816.585</v>
      </c>
      <c r="M6045" s="15" t="n">
        <v>0.49</v>
      </c>
      <c r="N6045" s="9" t="s">
        <v>85</v>
      </c>
    </row>
    <row r="6046" customFormat="false" ht="14.25" hidden="false" customHeight="true" outlineLevel="0" collapsed="false">
      <c r="B6046" s="9" t="s">
        <v>36</v>
      </c>
      <c r="C6046" s="9" t="n">
        <v>1128299</v>
      </c>
      <c r="D6046" s="10" t="n">
        <v>44222</v>
      </c>
      <c r="E6046" s="9" t="s">
        <v>33</v>
      </c>
      <c r="F6046" s="9" t="s">
        <v>88</v>
      </c>
      <c r="G6046" s="9" t="s">
        <v>89</v>
      </c>
      <c r="H6046" s="11" t="s">
        <v>21</v>
      </c>
      <c r="I6046" s="12" t="n">
        <v>42</v>
      </c>
      <c r="J6046" s="13" t="n">
        <v>138</v>
      </c>
      <c r="K6046" s="14" t="n">
        <f aca="false">I6046*J6046</f>
        <v>5796</v>
      </c>
      <c r="L6046" s="14" t="n">
        <f aca="false">($L$2*M6046)/100</f>
        <v>636883.245</v>
      </c>
      <c r="M6046" s="15" t="n">
        <v>0.53</v>
      </c>
      <c r="N6046" s="9" t="s">
        <v>85</v>
      </c>
    </row>
    <row r="6047" customFormat="false" ht="14.25" hidden="false" customHeight="true" outlineLevel="0" collapsed="false">
      <c r="B6047" s="9" t="s">
        <v>36</v>
      </c>
      <c r="C6047" s="9" t="n">
        <v>1128299</v>
      </c>
      <c r="D6047" s="10" t="n">
        <v>44222</v>
      </c>
      <c r="E6047" s="9" t="s">
        <v>33</v>
      </c>
      <c r="F6047" s="9" t="s">
        <v>88</v>
      </c>
      <c r="G6047" s="9" t="s">
        <v>89</v>
      </c>
      <c r="H6047" s="11" t="s">
        <v>22</v>
      </c>
      <c r="I6047" s="12" t="n">
        <v>42</v>
      </c>
      <c r="J6047" s="13" t="n">
        <v>138</v>
      </c>
      <c r="K6047" s="14" t="n">
        <f aca="false">I6047*J6047</f>
        <v>5796</v>
      </c>
      <c r="L6047" s="14" t="n">
        <f aca="false">($L$2*M6047)/100</f>
        <v>552766.59</v>
      </c>
      <c r="M6047" s="15" t="n">
        <v>0.46</v>
      </c>
      <c r="N6047" s="9" t="s">
        <v>85</v>
      </c>
    </row>
    <row r="6048" customFormat="false" ht="14.25" hidden="false" customHeight="true" outlineLevel="0" collapsed="false">
      <c r="B6048" s="9" t="s">
        <v>36</v>
      </c>
      <c r="C6048" s="9" t="n">
        <v>1128299</v>
      </c>
      <c r="D6048" s="10" t="n">
        <v>44222</v>
      </c>
      <c r="E6048" s="9" t="s">
        <v>33</v>
      </c>
      <c r="F6048" s="9" t="s">
        <v>88</v>
      </c>
      <c r="G6048" s="9" t="s">
        <v>89</v>
      </c>
      <c r="H6048" s="11" t="s">
        <v>23</v>
      </c>
      <c r="I6048" s="12" t="n">
        <v>43</v>
      </c>
      <c r="J6048" s="13" t="n">
        <v>85</v>
      </c>
      <c r="K6048" s="14" t="n">
        <f aca="false">I6048*J6048</f>
        <v>3655</v>
      </c>
      <c r="L6048" s="14" t="n">
        <f aca="false">($L$2*M6048)/100</f>
        <v>588816.585</v>
      </c>
      <c r="M6048" s="15" t="n">
        <v>0.49</v>
      </c>
      <c r="N6048" s="9" t="s">
        <v>85</v>
      </c>
    </row>
    <row r="6049" customFormat="false" ht="14.25" hidden="false" customHeight="true" outlineLevel="0" collapsed="false">
      <c r="B6049" s="9" t="s">
        <v>36</v>
      </c>
      <c r="C6049" s="9" t="n">
        <v>1128299</v>
      </c>
      <c r="D6049" s="10" t="n">
        <v>44222</v>
      </c>
      <c r="E6049" s="9" t="s">
        <v>33</v>
      </c>
      <c r="F6049" s="9" t="s">
        <v>88</v>
      </c>
      <c r="G6049" s="9" t="s">
        <v>89</v>
      </c>
      <c r="H6049" s="11" t="s">
        <v>24</v>
      </c>
      <c r="I6049" s="12" t="n">
        <v>45</v>
      </c>
      <c r="J6049" s="13" t="n">
        <v>80</v>
      </c>
      <c r="K6049" s="14" t="n">
        <f aca="false">I6049*J6049</f>
        <v>3600</v>
      </c>
      <c r="L6049" s="14" t="n">
        <f aca="false">($L$2*M6049)/100</f>
        <v>492683.265</v>
      </c>
      <c r="M6049" s="15" t="n">
        <v>0.41</v>
      </c>
      <c r="N6049" s="9" t="s">
        <v>85</v>
      </c>
    </row>
    <row r="6050" customFormat="false" ht="14.25" hidden="false" customHeight="true" outlineLevel="0" collapsed="false">
      <c r="B6050" s="9" t="s">
        <v>36</v>
      </c>
      <c r="C6050" s="9" t="n">
        <v>1128299</v>
      </c>
      <c r="D6050" s="10" t="n">
        <v>44222</v>
      </c>
      <c r="E6050" s="9" t="s">
        <v>33</v>
      </c>
      <c r="F6050" s="9" t="s">
        <v>88</v>
      </c>
      <c r="G6050" s="9" t="s">
        <v>89</v>
      </c>
      <c r="H6050" s="11" t="s">
        <v>25</v>
      </c>
      <c r="I6050" s="12" t="n">
        <v>42</v>
      </c>
      <c r="J6050" s="13" t="n">
        <v>128</v>
      </c>
      <c r="K6050" s="14" t="n">
        <f aca="false">I6050*J6050</f>
        <v>5376</v>
      </c>
      <c r="L6050" s="14" t="n">
        <f aca="false">($L$2*M6050)/100</f>
        <v>432599.94</v>
      </c>
      <c r="M6050" s="15" t="n">
        <v>0.36</v>
      </c>
      <c r="N6050" s="9" t="s">
        <v>85</v>
      </c>
    </row>
    <row r="6051" customFormat="false" ht="14.25" hidden="false" customHeight="true" outlineLevel="0" collapsed="false">
      <c r="B6051" s="9" t="s">
        <v>36</v>
      </c>
      <c r="C6051" s="9" t="n">
        <v>1128299</v>
      </c>
      <c r="D6051" s="10" t="n">
        <v>44253</v>
      </c>
      <c r="E6051" s="9" t="s">
        <v>33</v>
      </c>
      <c r="F6051" s="9" t="s">
        <v>88</v>
      </c>
      <c r="G6051" s="9" t="s">
        <v>89</v>
      </c>
      <c r="H6051" s="11" t="s">
        <v>19</v>
      </c>
      <c r="I6051" s="12" t="n">
        <v>33</v>
      </c>
      <c r="J6051" s="13" t="n">
        <v>147</v>
      </c>
      <c r="K6051" s="14" t="n">
        <f aca="false">I6051*J6051</f>
        <v>4851</v>
      </c>
      <c r="L6051" s="14" t="n">
        <f aca="false">($L$2*M6051)/100</f>
        <v>588816.585</v>
      </c>
      <c r="M6051" s="15" t="n">
        <v>0.49</v>
      </c>
      <c r="N6051" s="9" t="s">
        <v>85</v>
      </c>
    </row>
    <row r="6052" customFormat="false" ht="14.25" hidden="false" customHeight="true" outlineLevel="0" collapsed="false">
      <c r="B6052" s="9" t="s">
        <v>36</v>
      </c>
      <c r="C6052" s="9" t="n">
        <v>1128299</v>
      </c>
      <c r="D6052" s="10" t="n">
        <v>44253</v>
      </c>
      <c r="E6052" s="9" t="s">
        <v>33</v>
      </c>
      <c r="F6052" s="9" t="s">
        <v>88</v>
      </c>
      <c r="G6052" s="9" t="s">
        <v>89</v>
      </c>
      <c r="H6052" s="11" t="s">
        <v>21</v>
      </c>
      <c r="I6052" s="12" t="n">
        <v>44</v>
      </c>
      <c r="J6052" s="13" t="n">
        <v>106</v>
      </c>
      <c r="K6052" s="14" t="n">
        <f aca="false">I6052*J6052</f>
        <v>4664</v>
      </c>
      <c r="L6052" s="14" t="n">
        <f aca="false">($L$2*M6052)/100</f>
        <v>660916.575</v>
      </c>
      <c r="M6052" s="15" t="n">
        <v>0.55</v>
      </c>
      <c r="N6052" s="9" t="s">
        <v>85</v>
      </c>
    </row>
    <row r="6053" customFormat="false" ht="14.25" hidden="false" customHeight="true" outlineLevel="0" collapsed="false">
      <c r="B6053" s="9" t="s">
        <v>36</v>
      </c>
      <c r="C6053" s="9" t="n">
        <v>1128299</v>
      </c>
      <c r="D6053" s="10" t="n">
        <v>44253</v>
      </c>
      <c r="E6053" s="9" t="s">
        <v>33</v>
      </c>
      <c r="F6053" s="9" t="s">
        <v>88</v>
      </c>
      <c r="G6053" s="9" t="s">
        <v>89</v>
      </c>
      <c r="H6053" s="11" t="s">
        <v>22</v>
      </c>
      <c r="I6053" s="12" t="n">
        <v>41</v>
      </c>
      <c r="J6053" s="13" t="n">
        <v>111</v>
      </c>
      <c r="K6053" s="14" t="n">
        <f aca="false">I6053*J6053</f>
        <v>4551</v>
      </c>
      <c r="L6053" s="14" t="n">
        <f aca="false">($L$2*M6053)/100</f>
        <v>552766.59</v>
      </c>
      <c r="M6053" s="15" t="n">
        <v>0.46</v>
      </c>
      <c r="N6053" s="9" t="s">
        <v>85</v>
      </c>
    </row>
    <row r="6054" customFormat="false" ht="14.25" hidden="false" customHeight="true" outlineLevel="0" collapsed="false">
      <c r="B6054" s="9" t="s">
        <v>36</v>
      </c>
      <c r="C6054" s="9" t="n">
        <v>1128299</v>
      </c>
      <c r="D6054" s="10" t="n">
        <v>44253</v>
      </c>
      <c r="E6054" s="9" t="s">
        <v>33</v>
      </c>
      <c r="F6054" s="9" t="s">
        <v>90</v>
      </c>
      <c r="G6054" s="9" t="s">
        <v>91</v>
      </c>
      <c r="H6054" s="11" t="s">
        <v>23</v>
      </c>
      <c r="I6054" s="12" t="n">
        <v>43</v>
      </c>
      <c r="J6054" s="13" t="n">
        <v>74</v>
      </c>
      <c r="K6054" s="14" t="n">
        <f aca="false">I6054*J6054</f>
        <v>3182</v>
      </c>
      <c r="L6054" s="14" t="n">
        <f aca="false">($L$2*M6054)/100</f>
        <v>588816.585</v>
      </c>
      <c r="M6054" s="15" t="n">
        <v>0.49</v>
      </c>
      <c r="N6054" s="9" t="s">
        <v>85</v>
      </c>
    </row>
    <row r="6055" customFormat="false" ht="14.25" hidden="false" customHeight="true" outlineLevel="0" collapsed="false">
      <c r="B6055" s="9" t="s">
        <v>36</v>
      </c>
      <c r="C6055" s="9" t="n">
        <v>1128299</v>
      </c>
      <c r="D6055" s="10" t="n">
        <v>44253</v>
      </c>
      <c r="E6055" s="9" t="s">
        <v>33</v>
      </c>
      <c r="F6055" s="9" t="s">
        <v>90</v>
      </c>
      <c r="G6055" s="9" t="s">
        <v>91</v>
      </c>
      <c r="H6055" s="11" t="s">
        <v>24</v>
      </c>
      <c r="I6055" s="12" t="n">
        <v>45</v>
      </c>
      <c r="J6055" s="13" t="n">
        <v>54</v>
      </c>
      <c r="K6055" s="14" t="n">
        <f aca="false">I6055*J6055</f>
        <v>2430</v>
      </c>
      <c r="L6055" s="14" t="n">
        <f aca="false">($L$2*M6055)/100</f>
        <v>528733.26</v>
      </c>
      <c r="M6055" s="15" t="n">
        <v>0.44</v>
      </c>
      <c r="N6055" s="9" t="s">
        <v>85</v>
      </c>
    </row>
    <row r="6056" customFormat="false" ht="14.25" hidden="false" customHeight="true" outlineLevel="0" collapsed="false">
      <c r="B6056" s="9" t="s">
        <v>36</v>
      </c>
      <c r="C6056" s="9" t="n">
        <v>1128299</v>
      </c>
      <c r="D6056" s="10" t="n">
        <v>44253</v>
      </c>
      <c r="E6056" s="9" t="s">
        <v>33</v>
      </c>
      <c r="F6056" s="9" t="s">
        <v>90</v>
      </c>
      <c r="G6056" s="9" t="s">
        <v>91</v>
      </c>
      <c r="H6056" s="11" t="s">
        <v>25</v>
      </c>
      <c r="I6056" s="12" t="n">
        <v>41</v>
      </c>
      <c r="J6056" s="13" t="n">
        <v>104</v>
      </c>
      <c r="K6056" s="14" t="n">
        <f aca="false">I6056*J6056</f>
        <v>4264</v>
      </c>
      <c r="L6056" s="14" t="n">
        <f aca="false">($L$2*M6056)/100</f>
        <v>456633.27</v>
      </c>
      <c r="M6056" s="15" t="n">
        <v>0.38</v>
      </c>
      <c r="N6056" s="9" t="s">
        <v>85</v>
      </c>
    </row>
    <row r="6057" customFormat="false" ht="14.25" hidden="false" customHeight="true" outlineLevel="0" collapsed="false">
      <c r="B6057" s="9" t="s">
        <v>36</v>
      </c>
      <c r="C6057" s="9" t="n">
        <v>1128299</v>
      </c>
      <c r="D6057" s="10" t="n">
        <v>44280</v>
      </c>
      <c r="E6057" s="9" t="s">
        <v>33</v>
      </c>
      <c r="F6057" s="9" t="s">
        <v>90</v>
      </c>
      <c r="G6057" s="9" t="s">
        <v>91</v>
      </c>
      <c r="H6057" s="11" t="s">
        <v>19</v>
      </c>
      <c r="I6057" s="12" t="n">
        <v>44</v>
      </c>
      <c r="J6057" s="13" t="n">
        <v>165</v>
      </c>
      <c r="K6057" s="14" t="n">
        <f aca="false">I6057*J6057</f>
        <v>7260</v>
      </c>
      <c r="L6057" s="14" t="n">
        <f aca="false">($L$2*M6057)/100</f>
        <v>600833.25</v>
      </c>
      <c r="M6057" s="15" t="n">
        <v>0.5</v>
      </c>
      <c r="N6057" s="9" t="s">
        <v>85</v>
      </c>
    </row>
    <row r="6058" customFormat="false" ht="14.25" hidden="false" customHeight="true" outlineLevel="0" collapsed="false">
      <c r="B6058" s="9" t="s">
        <v>36</v>
      </c>
      <c r="C6058" s="9" t="n">
        <v>1128299</v>
      </c>
      <c r="D6058" s="10" t="n">
        <v>44280</v>
      </c>
      <c r="E6058" s="9" t="s">
        <v>33</v>
      </c>
      <c r="F6058" s="9" t="s">
        <v>90</v>
      </c>
      <c r="G6058" s="9" t="s">
        <v>91</v>
      </c>
      <c r="H6058" s="11" t="s">
        <v>21</v>
      </c>
      <c r="I6058" s="12" t="n">
        <v>51</v>
      </c>
      <c r="J6058" s="13" t="n">
        <v>112</v>
      </c>
      <c r="K6058" s="14" t="n">
        <f aca="false">I6058*J6058</f>
        <v>5712</v>
      </c>
      <c r="L6058" s="14" t="n">
        <f aca="false">($L$2*M6058)/100</f>
        <v>636883.245</v>
      </c>
      <c r="M6058" s="15" t="n">
        <v>0.53</v>
      </c>
      <c r="N6058" s="9" t="s">
        <v>85</v>
      </c>
    </row>
    <row r="6059" customFormat="false" ht="14.25" hidden="false" customHeight="true" outlineLevel="0" collapsed="false">
      <c r="B6059" s="9" t="s">
        <v>36</v>
      </c>
      <c r="C6059" s="9" t="n">
        <v>1128299</v>
      </c>
      <c r="D6059" s="10" t="n">
        <v>44280</v>
      </c>
      <c r="E6059" s="9" t="s">
        <v>33</v>
      </c>
      <c r="F6059" s="9" t="s">
        <v>90</v>
      </c>
      <c r="G6059" s="9" t="s">
        <v>91</v>
      </c>
      <c r="H6059" s="11" t="s">
        <v>22</v>
      </c>
      <c r="I6059" s="12" t="n">
        <v>52</v>
      </c>
      <c r="J6059" s="13" t="n">
        <v>112</v>
      </c>
      <c r="K6059" s="14" t="n">
        <f aca="false">I6059*J6059</f>
        <v>5824</v>
      </c>
      <c r="L6059" s="14" t="n">
        <f aca="false">($L$2*M6059)/100</f>
        <v>588816.585</v>
      </c>
      <c r="M6059" s="15" t="n">
        <v>0.49</v>
      </c>
      <c r="N6059" s="9" t="s">
        <v>85</v>
      </c>
    </row>
    <row r="6060" customFormat="false" ht="14.25" hidden="false" customHeight="true" outlineLevel="0" collapsed="false">
      <c r="B6060" s="9" t="s">
        <v>36</v>
      </c>
      <c r="C6060" s="9" t="n">
        <v>1128299</v>
      </c>
      <c r="D6060" s="10" t="n">
        <v>44280</v>
      </c>
      <c r="E6060" s="9" t="s">
        <v>33</v>
      </c>
      <c r="F6060" s="9" t="s">
        <v>90</v>
      </c>
      <c r="G6060" s="9" t="s">
        <v>91</v>
      </c>
      <c r="H6060" s="11" t="s">
        <v>23</v>
      </c>
      <c r="I6060" s="12" t="n">
        <v>50</v>
      </c>
      <c r="J6060" s="13" t="n">
        <v>83</v>
      </c>
      <c r="K6060" s="14" t="n">
        <f aca="false">I6060*J6060</f>
        <v>4150</v>
      </c>
      <c r="L6060" s="14" t="n">
        <f aca="false">($L$2*M6060)/100</f>
        <v>552766.59</v>
      </c>
      <c r="M6060" s="15" t="n">
        <v>0.46</v>
      </c>
      <c r="N6060" s="9" t="s">
        <v>85</v>
      </c>
    </row>
    <row r="6061" customFormat="false" ht="14.25" hidden="false" customHeight="true" outlineLevel="0" collapsed="false">
      <c r="B6061" s="9" t="s">
        <v>36</v>
      </c>
      <c r="C6061" s="9" t="n">
        <v>1128299</v>
      </c>
      <c r="D6061" s="10" t="n">
        <v>44280</v>
      </c>
      <c r="E6061" s="9" t="s">
        <v>33</v>
      </c>
      <c r="F6061" s="9" t="s">
        <v>90</v>
      </c>
      <c r="G6061" s="9" t="s">
        <v>91</v>
      </c>
      <c r="H6061" s="11" t="s">
        <v>24</v>
      </c>
      <c r="I6061" s="12" t="n">
        <v>55</v>
      </c>
      <c r="J6061" s="13" t="n">
        <v>53</v>
      </c>
      <c r="K6061" s="14" t="n">
        <f aca="false">I6061*J6061</f>
        <v>2915</v>
      </c>
      <c r="L6061" s="14" t="n">
        <f aca="false">($L$2*M6061)/100</f>
        <v>516716.595</v>
      </c>
      <c r="M6061" s="15" t="n">
        <v>0.43</v>
      </c>
      <c r="N6061" s="9" t="s">
        <v>85</v>
      </c>
    </row>
    <row r="6062" customFormat="false" ht="14.25" hidden="false" customHeight="true" outlineLevel="0" collapsed="false">
      <c r="B6062" s="9" t="s">
        <v>36</v>
      </c>
      <c r="C6062" s="9" t="n">
        <v>1128299</v>
      </c>
      <c r="D6062" s="10" t="n">
        <v>44280</v>
      </c>
      <c r="E6062" s="9" t="s">
        <v>33</v>
      </c>
      <c r="F6062" s="9" t="s">
        <v>90</v>
      </c>
      <c r="G6062" s="9" t="s">
        <v>91</v>
      </c>
      <c r="H6062" s="11" t="s">
        <v>25</v>
      </c>
      <c r="I6062" s="12" t="n">
        <v>50</v>
      </c>
      <c r="J6062" s="13" t="n">
        <v>98</v>
      </c>
      <c r="K6062" s="14" t="n">
        <f aca="false">I6062*J6062</f>
        <v>4900</v>
      </c>
      <c r="L6062" s="14" t="n">
        <f aca="false">($L$2*M6062)/100</f>
        <v>456633.27</v>
      </c>
      <c r="M6062" s="15" t="n">
        <v>0.38</v>
      </c>
      <c r="N6062" s="9" t="s">
        <v>85</v>
      </c>
    </row>
    <row r="6063" customFormat="false" ht="14.25" hidden="false" customHeight="true" outlineLevel="0" collapsed="false">
      <c r="B6063" s="9" t="s">
        <v>36</v>
      </c>
      <c r="C6063" s="9" t="n">
        <v>1128299</v>
      </c>
      <c r="D6063" s="10" t="n">
        <v>44312</v>
      </c>
      <c r="E6063" s="9" t="s">
        <v>33</v>
      </c>
      <c r="F6063" s="9" t="s">
        <v>90</v>
      </c>
      <c r="G6063" s="9" t="s">
        <v>91</v>
      </c>
      <c r="H6063" s="11" t="s">
        <v>19</v>
      </c>
      <c r="I6063" s="12" t="n">
        <v>51</v>
      </c>
      <c r="J6063" s="13" t="n">
        <v>154</v>
      </c>
      <c r="K6063" s="14" t="n">
        <f aca="false">I6063*J6063</f>
        <v>7854</v>
      </c>
      <c r="L6063" s="14" t="n">
        <f aca="false">($L$2*M6063)/100</f>
        <v>540749.925</v>
      </c>
      <c r="M6063" s="15" t="n">
        <v>0.45</v>
      </c>
      <c r="N6063" s="9" t="s">
        <v>85</v>
      </c>
    </row>
    <row r="6064" customFormat="false" ht="14.25" hidden="false" customHeight="true" outlineLevel="0" collapsed="false">
      <c r="B6064" s="9" t="s">
        <v>36</v>
      </c>
      <c r="C6064" s="9" t="n">
        <v>1128299</v>
      </c>
      <c r="D6064" s="10" t="n">
        <v>44312</v>
      </c>
      <c r="E6064" s="9" t="s">
        <v>33</v>
      </c>
      <c r="F6064" s="9" t="s">
        <v>90</v>
      </c>
      <c r="G6064" s="9" t="s">
        <v>91</v>
      </c>
      <c r="H6064" s="11" t="s">
        <v>21</v>
      </c>
      <c r="I6064" s="12" t="n">
        <v>59</v>
      </c>
      <c r="J6064" s="13" t="n">
        <v>98</v>
      </c>
      <c r="K6064" s="14" t="n">
        <f aca="false">I6064*J6064</f>
        <v>5782</v>
      </c>
      <c r="L6064" s="14" t="n">
        <f aca="false">($L$2*M6064)/100</f>
        <v>600833.25</v>
      </c>
      <c r="M6064" s="15" t="n">
        <v>0.5</v>
      </c>
      <c r="N6064" s="9" t="s">
        <v>85</v>
      </c>
    </row>
    <row r="6065" customFormat="false" ht="14.25" hidden="false" customHeight="true" outlineLevel="0" collapsed="false">
      <c r="B6065" s="9" t="s">
        <v>36</v>
      </c>
      <c r="C6065" s="9" t="n">
        <v>1128299</v>
      </c>
      <c r="D6065" s="10" t="n">
        <v>44312</v>
      </c>
      <c r="E6065" s="9" t="s">
        <v>33</v>
      </c>
      <c r="F6065" s="9" t="s">
        <v>90</v>
      </c>
      <c r="G6065" s="9" t="s">
        <v>91</v>
      </c>
      <c r="H6065" s="11" t="s">
        <v>22</v>
      </c>
      <c r="I6065" s="12" t="n">
        <v>55</v>
      </c>
      <c r="J6065" s="13" t="n">
        <v>116</v>
      </c>
      <c r="K6065" s="14" t="n">
        <f aca="false">I6065*J6065</f>
        <v>6380</v>
      </c>
      <c r="L6065" s="14" t="n">
        <f aca="false">($L$2*M6065)/100</f>
        <v>600833.25</v>
      </c>
      <c r="M6065" s="15" t="n">
        <v>0.5</v>
      </c>
      <c r="N6065" s="9" t="s">
        <v>85</v>
      </c>
    </row>
    <row r="6066" customFormat="false" ht="14.25" hidden="false" customHeight="true" outlineLevel="0" collapsed="false">
      <c r="B6066" s="9" t="s">
        <v>36</v>
      </c>
      <c r="C6066" s="9" t="n">
        <v>1128299</v>
      </c>
      <c r="D6066" s="10" t="n">
        <v>44312</v>
      </c>
      <c r="E6066" s="9" t="s">
        <v>33</v>
      </c>
      <c r="F6066" s="9" t="s">
        <v>90</v>
      </c>
      <c r="G6066" s="9" t="s">
        <v>91</v>
      </c>
      <c r="H6066" s="11" t="s">
        <v>23</v>
      </c>
      <c r="I6066" s="12" t="n">
        <v>54</v>
      </c>
      <c r="J6066" s="13" t="n">
        <v>87</v>
      </c>
      <c r="K6066" s="14" t="n">
        <f aca="false">I6066*J6066</f>
        <v>4698</v>
      </c>
      <c r="L6066" s="14" t="n">
        <f aca="false">($L$2*M6066)/100</f>
        <v>552766.59</v>
      </c>
      <c r="M6066" s="15" t="n">
        <v>0.46</v>
      </c>
      <c r="N6066" s="9" t="s">
        <v>85</v>
      </c>
    </row>
    <row r="6067" customFormat="false" ht="14.25" hidden="false" customHeight="true" outlineLevel="0" collapsed="false">
      <c r="B6067" s="9" t="s">
        <v>36</v>
      </c>
      <c r="C6067" s="9" t="n">
        <v>1128299</v>
      </c>
      <c r="D6067" s="10" t="n">
        <v>44312</v>
      </c>
      <c r="E6067" s="9" t="s">
        <v>33</v>
      </c>
      <c r="F6067" s="9" t="s">
        <v>90</v>
      </c>
      <c r="G6067" s="9" t="s">
        <v>91</v>
      </c>
      <c r="H6067" s="11" t="s">
        <v>24</v>
      </c>
      <c r="I6067" s="12" t="n">
        <v>56</v>
      </c>
      <c r="J6067" s="13" t="n">
        <v>58</v>
      </c>
      <c r="K6067" s="14" t="n">
        <f aca="false">I6067*J6067</f>
        <v>3248</v>
      </c>
      <c r="L6067" s="14" t="n">
        <f aca="false">($L$2*M6067)/100</f>
        <v>492683.265</v>
      </c>
      <c r="M6067" s="15" t="n">
        <v>0.41</v>
      </c>
      <c r="N6067" s="9" t="s">
        <v>85</v>
      </c>
    </row>
    <row r="6068" customFormat="false" ht="14.25" hidden="false" customHeight="true" outlineLevel="0" collapsed="false">
      <c r="B6068" s="9" t="s">
        <v>36</v>
      </c>
      <c r="C6068" s="9" t="n">
        <v>1128299</v>
      </c>
      <c r="D6068" s="10" t="n">
        <v>44312</v>
      </c>
      <c r="E6068" s="9" t="s">
        <v>33</v>
      </c>
      <c r="F6068" s="9" t="s">
        <v>90</v>
      </c>
      <c r="G6068" s="9" t="s">
        <v>91</v>
      </c>
      <c r="H6068" s="11" t="s">
        <v>25</v>
      </c>
      <c r="I6068" s="12" t="n">
        <v>69</v>
      </c>
      <c r="J6068" s="13" t="n">
        <v>101</v>
      </c>
      <c r="K6068" s="14" t="n">
        <f aca="false">I6068*J6068</f>
        <v>6969</v>
      </c>
      <c r="L6068" s="14" t="n">
        <f aca="false">($L$2*M6068)/100</f>
        <v>456633.27</v>
      </c>
      <c r="M6068" s="15" t="n">
        <v>0.38</v>
      </c>
      <c r="N6068" s="9" t="s">
        <v>85</v>
      </c>
    </row>
    <row r="6069" customFormat="false" ht="14.25" hidden="false" customHeight="true" outlineLevel="0" collapsed="false">
      <c r="B6069" s="9" t="s">
        <v>36</v>
      </c>
      <c r="C6069" s="9" t="n">
        <v>1128299</v>
      </c>
      <c r="D6069" s="10" t="n">
        <v>44343</v>
      </c>
      <c r="E6069" s="9" t="s">
        <v>33</v>
      </c>
      <c r="F6069" s="9" t="s">
        <v>90</v>
      </c>
      <c r="G6069" s="9" t="s">
        <v>91</v>
      </c>
      <c r="H6069" s="11" t="s">
        <v>19</v>
      </c>
      <c r="I6069" s="12" t="n">
        <v>51</v>
      </c>
      <c r="J6069" s="13" t="n">
        <v>150</v>
      </c>
      <c r="K6069" s="14" t="n">
        <f aca="false">I6069*J6069</f>
        <v>7650</v>
      </c>
      <c r="L6069" s="14" t="n">
        <f aca="false">($L$2*M6069)/100</f>
        <v>540749.925</v>
      </c>
      <c r="M6069" s="15" t="n">
        <v>0.45</v>
      </c>
      <c r="N6069" s="9" t="s">
        <v>85</v>
      </c>
    </row>
    <row r="6070" customFormat="false" ht="14.25" hidden="false" customHeight="true" outlineLevel="0" collapsed="false">
      <c r="B6070" s="9" t="s">
        <v>36</v>
      </c>
      <c r="C6070" s="9" t="n">
        <v>1128299</v>
      </c>
      <c r="D6070" s="10" t="n">
        <v>44343</v>
      </c>
      <c r="E6070" s="9" t="s">
        <v>33</v>
      </c>
      <c r="F6070" s="9" t="s">
        <v>90</v>
      </c>
      <c r="G6070" s="9" t="s">
        <v>91</v>
      </c>
      <c r="H6070" s="11" t="s">
        <v>21</v>
      </c>
      <c r="I6070" s="12" t="n">
        <v>58</v>
      </c>
      <c r="J6070" s="13" t="n">
        <v>111</v>
      </c>
      <c r="K6070" s="14" t="n">
        <f aca="false">I6070*J6070</f>
        <v>6438</v>
      </c>
      <c r="L6070" s="14" t="n">
        <f aca="false">($L$2*M6070)/100</f>
        <v>612849.915</v>
      </c>
      <c r="M6070" s="15" t="n">
        <v>0.51</v>
      </c>
      <c r="N6070" s="9" t="s">
        <v>85</v>
      </c>
    </row>
    <row r="6071" customFormat="false" ht="14.25" hidden="false" customHeight="true" outlineLevel="0" collapsed="false">
      <c r="B6071" s="9" t="s">
        <v>36</v>
      </c>
      <c r="C6071" s="9" t="n">
        <v>1128299</v>
      </c>
      <c r="D6071" s="10" t="n">
        <v>44343</v>
      </c>
      <c r="E6071" s="9" t="s">
        <v>33</v>
      </c>
      <c r="F6071" s="9" t="s">
        <v>90</v>
      </c>
      <c r="G6071" s="9" t="s">
        <v>91</v>
      </c>
      <c r="H6071" s="11" t="s">
        <v>22</v>
      </c>
      <c r="I6071" s="12" t="n">
        <v>56</v>
      </c>
      <c r="J6071" s="13" t="n">
        <v>126</v>
      </c>
      <c r="K6071" s="14" t="n">
        <f aca="false">I6071*J6071</f>
        <v>7056</v>
      </c>
      <c r="L6071" s="14" t="n">
        <f aca="false">($L$2*M6071)/100</f>
        <v>564783.255</v>
      </c>
      <c r="M6071" s="15" t="n">
        <v>0.47</v>
      </c>
      <c r="N6071" s="9" t="s">
        <v>85</v>
      </c>
    </row>
    <row r="6072" customFormat="false" ht="14.25" hidden="false" customHeight="true" outlineLevel="0" collapsed="false">
      <c r="B6072" s="9" t="s">
        <v>36</v>
      </c>
      <c r="C6072" s="9" t="n">
        <v>1128299</v>
      </c>
      <c r="D6072" s="10" t="n">
        <v>44343</v>
      </c>
      <c r="E6072" s="9" t="s">
        <v>33</v>
      </c>
      <c r="F6072" s="9" t="s">
        <v>90</v>
      </c>
      <c r="G6072" s="9" t="s">
        <v>91</v>
      </c>
      <c r="H6072" s="11" t="s">
        <v>23</v>
      </c>
      <c r="I6072" s="12" t="n">
        <v>51</v>
      </c>
      <c r="J6072" s="13" t="n">
        <v>91</v>
      </c>
      <c r="K6072" s="14" t="n">
        <f aca="false">I6072*J6072</f>
        <v>4641</v>
      </c>
      <c r="L6072" s="14" t="n">
        <f aca="false">($L$2*M6072)/100</f>
        <v>552766.59</v>
      </c>
      <c r="M6072" s="15" t="n">
        <v>0.46</v>
      </c>
      <c r="N6072" s="9" t="s">
        <v>85</v>
      </c>
    </row>
    <row r="6073" customFormat="false" ht="14.25" hidden="false" customHeight="true" outlineLevel="0" collapsed="false">
      <c r="B6073" s="9" t="s">
        <v>36</v>
      </c>
      <c r="C6073" s="9" t="n">
        <v>1128299</v>
      </c>
      <c r="D6073" s="10" t="n">
        <v>44343</v>
      </c>
      <c r="E6073" s="9" t="s">
        <v>33</v>
      </c>
      <c r="F6073" s="9" t="s">
        <v>90</v>
      </c>
      <c r="G6073" s="9" t="s">
        <v>91</v>
      </c>
      <c r="H6073" s="11" t="s">
        <v>24</v>
      </c>
      <c r="I6073" s="12" t="n">
        <v>56</v>
      </c>
      <c r="J6073" s="13" t="n">
        <v>65</v>
      </c>
      <c r="K6073" s="14" t="n">
        <f aca="false">I6073*J6073</f>
        <v>3640</v>
      </c>
      <c r="L6073" s="14" t="n">
        <f aca="false">($L$2*M6073)/100</f>
        <v>504699.93</v>
      </c>
      <c r="M6073" s="15" t="n">
        <v>0.42</v>
      </c>
      <c r="N6073" s="9" t="s">
        <v>85</v>
      </c>
    </row>
    <row r="6074" customFormat="false" ht="14.25" hidden="false" customHeight="true" outlineLevel="0" collapsed="false">
      <c r="B6074" s="9" t="s">
        <v>36</v>
      </c>
      <c r="C6074" s="9" t="n">
        <v>1128299</v>
      </c>
      <c r="D6074" s="10" t="n">
        <v>44343</v>
      </c>
      <c r="E6074" s="9" t="s">
        <v>33</v>
      </c>
      <c r="F6074" s="9" t="s">
        <v>90</v>
      </c>
      <c r="G6074" s="9" t="s">
        <v>91</v>
      </c>
      <c r="H6074" s="11" t="s">
        <v>25</v>
      </c>
      <c r="I6074" s="12" t="n">
        <v>69</v>
      </c>
      <c r="J6074" s="13" t="n">
        <v>115</v>
      </c>
      <c r="K6074" s="14" t="n">
        <f aca="false">I6074*J6074</f>
        <v>7935</v>
      </c>
      <c r="L6074" s="14" t="n">
        <f aca="false">($L$2*M6074)/100</f>
        <v>468649.935</v>
      </c>
      <c r="M6074" s="15" t="n">
        <v>0.39</v>
      </c>
      <c r="N6074" s="9" t="s">
        <v>85</v>
      </c>
    </row>
    <row r="6075" customFormat="false" ht="14.25" hidden="false" customHeight="true" outlineLevel="0" collapsed="false">
      <c r="B6075" s="9" t="s">
        <v>36</v>
      </c>
      <c r="C6075" s="9" t="n">
        <v>1128299</v>
      </c>
      <c r="D6075" s="10" t="n">
        <v>44373</v>
      </c>
      <c r="E6075" s="9" t="s">
        <v>33</v>
      </c>
      <c r="F6075" s="9" t="s">
        <v>90</v>
      </c>
      <c r="G6075" s="9" t="s">
        <v>91</v>
      </c>
      <c r="H6075" s="11" t="s">
        <v>19</v>
      </c>
      <c r="I6075" s="12" t="n">
        <v>52</v>
      </c>
      <c r="J6075" s="13" t="n">
        <v>203</v>
      </c>
      <c r="K6075" s="14" t="n">
        <f aca="false">I6075*J6075</f>
        <v>10556</v>
      </c>
      <c r="L6075" s="14" t="n">
        <f aca="false">($L$2*M6075)/100</f>
        <v>576799.92</v>
      </c>
      <c r="M6075" s="15" t="n">
        <v>0.48</v>
      </c>
      <c r="N6075" s="9" t="s">
        <v>85</v>
      </c>
    </row>
    <row r="6076" customFormat="false" ht="14.25" hidden="false" customHeight="true" outlineLevel="0" collapsed="false">
      <c r="B6076" s="9" t="s">
        <v>36</v>
      </c>
      <c r="C6076" s="9" t="n">
        <v>1128299</v>
      </c>
      <c r="D6076" s="10" t="n">
        <v>44373</v>
      </c>
      <c r="E6076" s="9" t="s">
        <v>33</v>
      </c>
      <c r="F6076" s="9" t="s">
        <v>90</v>
      </c>
      <c r="G6076" s="9" t="s">
        <v>91</v>
      </c>
      <c r="H6076" s="11" t="s">
        <v>21</v>
      </c>
      <c r="I6076" s="12" t="n">
        <v>54</v>
      </c>
      <c r="J6076" s="13" t="n">
        <v>154</v>
      </c>
      <c r="K6076" s="14" t="n">
        <f aca="false">I6076*J6076</f>
        <v>8316</v>
      </c>
      <c r="L6076" s="14" t="n">
        <f aca="false">($L$2*M6076)/100</f>
        <v>624866.58</v>
      </c>
      <c r="M6076" s="15" t="n">
        <v>0.52</v>
      </c>
      <c r="N6076" s="9" t="s">
        <v>85</v>
      </c>
    </row>
    <row r="6077" customFormat="false" ht="14.25" hidden="false" customHeight="true" outlineLevel="0" collapsed="false">
      <c r="B6077" s="9" t="s">
        <v>36</v>
      </c>
      <c r="C6077" s="9" t="n">
        <v>1128299</v>
      </c>
      <c r="D6077" s="10" t="n">
        <v>44373</v>
      </c>
      <c r="E6077" s="9" t="s">
        <v>33</v>
      </c>
      <c r="F6077" s="9" t="s">
        <v>90</v>
      </c>
      <c r="G6077" s="9" t="s">
        <v>91</v>
      </c>
      <c r="H6077" s="11" t="s">
        <v>22</v>
      </c>
      <c r="I6077" s="12" t="n">
        <v>54</v>
      </c>
      <c r="J6077" s="13" t="n">
        <v>149</v>
      </c>
      <c r="K6077" s="14" t="n">
        <f aca="false">I6077*J6077</f>
        <v>8046</v>
      </c>
      <c r="L6077" s="14" t="n">
        <f aca="false">($L$2*M6077)/100</f>
        <v>600833.25</v>
      </c>
      <c r="M6077" s="15" t="n">
        <v>0.5</v>
      </c>
      <c r="N6077" s="9" t="s">
        <v>85</v>
      </c>
    </row>
    <row r="6078" customFormat="false" ht="14.25" hidden="false" customHeight="true" outlineLevel="0" collapsed="false">
      <c r="B6078" s="9" t="s">
        <v>36</v>
      </c>
      <c r="C6078" s="9" t="n">
        <v>1128299</v>
      </c>
      <c r="D6078" s="10" t="n">
        <v>44373</v>
      </c>
      <c r="E6078" s="9" t="s">
        <v>33</v>
      </c>
      <c r="F6078" s="9" t="s">
        <v>90</v>
      </c>
      <c r="G6078" s="9" t="s">
        <v>91</v>
      </c>
      <c r="H6078" s="11" t="s">
        <v>23</v>
      </c>
      <c r="I6078" s="12" t="n">
        <v>54</v>
      </c>
      <c r="J6078" s="13" t="n">
        <v>106</v>
      </c>
      <c r="K6078" s="14" t="n">
        <f aca="false">I6078*J6078</f>
        <v>5724</v>
      </c>
      <c r="L6078" s="14" t="n">
        <f aca="false">($L$2*M6078)/100</f>
        <v>540749.925</v>
      </c>
      <c r="M6078" s="15" t="n">
        <v>0.45</v>
      </c>
      <c r="N6078" s="9" t="s">
        <v>85</v>
      </c>
    </row>
    <row r="6079" customFormat="false" ht="14.25" hidden="false" customHeight="true" outlineLevel="0" collapsed="false">
      <c r="B6079" s="9" t="s">
        <v>36</v>
      </c>
      <c r="C6079" s="9" t="n">
        <v>1128299</v>
      </c>
      <c r="D6079" s="10" t="n">
        <v>44373</v>
      </c>
      <c r="E6079" s="9" t="s">
        <v>33</v>
      </c>
      <c r="F6079" s="9" t="s">
        <v>90</v>
      </c>
      <c r="G6079" s="9" t="s">
        <v>91</v>
      </c>
      <c r="H6079" s="11" t="s">
        <v>24</v>
      </c>
      <c r="I6079" s="12" t="n">
        <v>56</v>
      </c>
      <c r="J6079" s="13" t="n">
        <v>87</v>
      </c>
      <c r="K6079" s="14" t="n">
        <f aca="false">I6079*J6079</f>
        <v>4872</v>
      </c>
      <c r="L6079" s="14" t="n">
        <f aca="false">($L$2*M6079)/100</f>
        <v>516716.595</v>
      </c>
      <c r="M6079" s="15" t="n">
        <v>0.43</v>
      </c>
      <c r="N6079" s="9" t="s">
        <v>85</v>
      </c>
    </row>
    <row r="6080" customFormat="false" ht="14.25" hidden="false" customHeight="true" outlineLevel="0" collapsed="false">
      <c r="B6080" s="9" t="s">
        <v>36</v>
      </c>
      <c r="C6080" s="9" t="n">
        <v>1128299</v>
      </c>
      <c r="D6080" s="10" t="n">
        <v>44373</v>
      </c>
      <c r="E6080" s="9" t="s">
        <v>33</v>
      </c>
      <c r="F6080" s="9" t="s">
        <v>90</v>
      </c>
      <c r="G6080" s="9" t="s">
        <v>91</v>
      </c>
      <c r="H6080" s="11" t="s">
        <v>25</v>
      </c>
      <c r="I6080" s="12" t="n">
        <v>74</v>
      </c>
      <c r="J6080" s="13" t="n">
        <v>162</v>
      </c>
      <c r="K6080" s="14" t="n">
        <f aca="false">I6080*J6080</f>
        <v>11988</v>
      </c>
      <c r="L6080" s="14" t="n">
        <f aca="false">($L$2*M6080)/100</f>
        <v>432599.94</v>
      </c>
      <c r="M6080" s="15" t="n">
        <v>0.36</v>
      </c>
      <c r="N6080" s="9" t="s">
        <v>85</v>
      </c>
    </row>
    <row r="6081" customFormat="false" ht="14.25" hidden="false" customHeight="true" outlineLevel="0" collapsed="false">
      <c r="B6081" s="9" t="s">
        <v>36</v>
      </c>
      <c r="C6081" s="9" t="n">
        <v>1128299</v>
      </c>
      <c r="D6081" s="10" t="n">
        <v>44402</v>
      </c>
      <c r="E6081" s="9" t="s">
        <v>33</v>
      </c>
      <c r="F6081" s="9" t="s">
        <v>90</v>
      </c>
      <c r="G6081" s="9" t="s">
        <v>91</v>
      </c>
      <c r="H6081" s="11" t="s">
        <v>19</v>
      </c>
      <c r="I6081" s="12" t="n">
        <v>54</v>
      </c>
      <c r="J6081" s="13" t="n">
        <v>203</v>
      </c>
      <c r="K6081" s="14" t="n">
        <f aca="false">I6081*J6081</f>
        <v>10962</v>
      </c>
      <c r="L6081" s="14" t="n">
        <f aca="false">($L$2*M6081)/100</f>
        <v>564783.255</v>
      </c>
      <c r="M6081" s="15" t="n">
        <v>0.47</v>
      </c>
      <c r="N6081" s="9" t="s">
        <v>85</v>
      </c>
    </row>
    <row r="6082" customFormat="false" ht="14.25" hidden="false" customHeight="true" outlineLevel="0" collapsed="false">
      <c r="B6082" s="9" t="s">
        <v>36</v>
      </c>
      <c r="C6082" s="9" t="n">
        <v>1128299</v>
      </c>
      <c r="D6082" s="10" t="n">
        <v>44402</v>
      </c>
      <c r="E6082" s="9" t="s">
        <v>33</v>
      </c>
      <c r="F6082" s="9" t="s">
        <v>90</v>
      </c>
      <c r="G6082" s="9" t="s">
        <v>91</v>
      </c>
      <c r="H6082" s="11" t="s">
        <v>21</v>
      </c>
      <c r="I6082" s="12" t="n">
        <v>56</v>
      </c>
      <c r="J6082" s="13" t="n">
        <v>180</v>
      </c>
      <c r="K6082" s="14" t="n">
        <f aca="false">I6082*J6082</f>
        <v>10080</v>
      </c>
      <c r="L6082" s="14" t="n">
        <f aca="false">($L$2*M6082)/100</f>
        <v>648899.91</v>
      </c>
      <c r="M6082" s="15" t="n">
        <v>0.54</v>
      </c>
      <c r="N6082" s="9" t="s">
        <v>85</v>
      </c>
    </row>
    <row r="6083" customFormat="false" ht="14.25" hidden="false" customHeight="true" outlineLevel="0" collapsed="false">
      <c r="B6083" s="9" t="s">
        <v>36</v>
      </c>
      <c r="C6083" s="9" t="n">
        <v>1128299</v>
      </c>
      <c r="D6083" s="10" t="n">
        <v>44402</v>
      </c>
      <c r="E6083" s="9" t="s">
        <v>33</v>
      </c>
      <c r="F6083" s="9" t="s">
        <v>90</v>
      </c>
      <c r="G6083" s="9" t="s">
        <v>91</v>
      </c>
      <c r="H6083" s="11" t="s">
        <v>22</v>
      </c>
      <c r="I6083" s="12" t="n">
        <v>58</v>
      </c>
      <c r="J6083" s="13" t="n">
        <v>160</v>
      </c>
      <c r="K6083" s="14" t="n">
        <f aca="false">I6083*J6083</f>
        <v>9280</v>
      </c>
      <c r="L6083" s="14" t="n">
        <f aca="false">($L$2*M6083)/100</f>
        <v>576799.92</v>
      </c>
      <c r="M6083" s="15" t="n">
        <v>0.48</v>
      </c>
      <c r="N6083" s="9" t="s">
        <v>85</v>
      </c>
    </row>
    <row r="6084" customFormat="false" ht="14.25" hidden="false" customHeight="true" outlineLevel="0" collapsed="false">
      <c r="B6084" s="9" t="s">
        <v>36</v>
      </c>
      <c r="C6084" s="9" t="n">
        <v>1128299</v>
      </c>
      <c r="D6084" s="10" t="n">
        <v>44402</v>
      </c>
      <c r="E6084" s="9" t="s">
        <v>33</v>
      </c>
      <c r="F6084" s="9" t="s">
        <v>90</v>
      </c>
      <c r="G6084" s="9" t="s">
        <v>91</v>
      </c>
      <c r="H6084" s="11" t="s">
        <v>23</v>
      </c>
      <c r="I6084" s="12" t="n">
        <v>54</v>
      </c>
      <c r="J6084" s="13" t="n">
        <v>135</v>
      </c>
      <c r="K6084" s="14" t="n">
        <f aca="false">I6084*J6084</f>
        <v>7290</v>
      </c>
      <c r="L6084" s="14" t="n">
        <f aca="false">($L$2*M6084)/100</f>
        <v>540749.925</v>
      </c>
      <c r="M6084" s="15" t="n">
        <v>0.45</v>
      </c>
      <c r="N6084" s="9" t="s">
        <v>85</v>
      </c>
    </row>
    <row r="6085" customFormat="false" ht="14.25" hidden="false" customHeight="true" outlineLevel="0" collapsed="false">
      <c r="B6085" s="9" t="s">
        <v>36</v>
      </c>
      <c r="C6085" s="9" t="n">
        <v>1128299</v>
      </c>
      <c r="D6085" s="10" t="n">
        <v>44402</v>
      </c>
      <c r="E6085" s="9" t="s">
        <v>33</v>
      </c>
      <c r="F6085" s="9" t="s">
        <v>90</v>
      </c>
      <c r="G6085" s="9" t="s">
        <v>91</v>
      </c>
      <c r="H6085" s="11" t="s">
        <v>24</v>
      </c>
      <c r="I6085" s="12" t="n">
        <v>57</v>
      </c>
      <c r="J6085" s="13" t="n">
        <v>145</v>
      </c>
      <c r="K6085" s="14" t="n">
        <f aca="false">I6085*J6085</f>
        <v>8265</v>
      </c>
      <c r="L6085" s="14" t="n">
        <f aca="false">($L$2*M6085)/100</f>
        <v>516716.595</v>
      </c>
      <c r="M6085" s="15" t="n">
        <v>0.43</v>
      </c>
      <c r="N6085" s="9" t="s">
        <v>85</v>
      </c>
    </row>
    <row r="6086" customFormat="false" ht="14.25" hidden="false" customHeight="true" outlineLevel="0" collapsed="false">
      <c r="B6086" s="9" t="s">
        <v>36</v>
      </c>
      <c r="C6086" s="9" t="n">
        <v>1128299</v>
      </c>
      <c r="D6086" s="10" t="n">
        <v>44402</v>
      </c>
      <c r="E6086" s="9" t="s">
        <v>33</v>
      </c>
      <c r="F6086" s="9" t="s">
        <v>90</v>
      </c>
      <c r="G6086" s="9" t="s">
        <v>91</v>
      </c>
      <c r="H6086" s="11" t="s">
        <v>25</v>
      </c>
      <c r="I6086" s="12" t="n">
        <v>69</v>
      </c>
      <c r="J6086" s="13" t="n">
        <v>140</v>
      </c>
      <c r="K6086" s="14" t="n">
        <f aca="false">I6086*J6086</f>
        <v>9660</v>
      </c>
      <c r="L6086" s="14" t="n">
        <f aca="false">($L$2*M6086)/100</f>
        <v>456633.27</v>
      </c>
      <c r="M6086" s="15" t="n">
        <v>0.38</v>
      </c>
      <c r="N6086" s="9" t="s">
        <v>85</v>
      </c>
    </row>
    <row r="6087" customFormat="false" ht="14.25" hidden="false" customHeight="true" outlineLevel="0" collapsed="false">
      <c r="B6087" s="9" t="s">
        <v>36</v>
      </c>
      <c r="C6087" s="9" t="n">
        <v>1128299</v>
      </c>
      <c r="D6087" s="10" t="n">
        <v>44434</v>
      </c>
      <c r="E6087" s="9" t="s">
        <v>33</v>
      </c>
      <c r="F6087" s="9" t="s">
        <v>90</v>
      </c>
      <c r="G6087" s="9" t="s">
        <v>91</v>
      </c>
      <c r="H6087" s="11" t="s">
        <v>19</v>
      </c>
      <c r="I6087" s="12" t="n">
        <v>56</v>
      </c>
      <c r="J6087" s="13" t="n">
        <v>175</v>
      </c>
      <c r="K6087" s="14" t="n">
        <f aca="false">I6087*J6087</f>
        <v>9800</v>
      </c>
      <c r="L6087" s="14" t="n">
        <f aca="false">($L$2*M6087)/100</f>
        <v>600833.25</v>
      </c>
      <c r="M6087" s="15" t="n">
        <v>0.5</v>
      </c>
      <c r="N6087" s="9" t="s">
        <v>85</v>
      </c>
    </row>
    <row r="6088" customFormat="false" ht="14.25" hidden="false" customHeight="true" outlineLevel="0" collapsed="false">
      <c r="B6088" s="9" t="s">
        <v>36</v>
      </c>
      <c r="C6088" s="9" t="n">
        <v>1128299</v>
      </c>
      <c r="D6088" s="10" t="n">
        <v>44434</v>
      </c>
      <c r="E6088" s="9" t="s">
        <v>33</v>
      </c>
      <c r="F6088" s="9" t="s">
        <v>90</v>
      </c>
      <c r="G6088" s="9" t="s">
        <v>91</v>
      </c>
      <c r="H6088" s="11" t="s">
        <v>21</v>
      </c>
      <c r="I6088" s="12" t="n">
        <v>60</v>
      </c>
      <c r="J6088" s="13" t="n">
        <v>176</v>
      </c>
      <c r="K6088" s="14" t="n">
        <f aca="false">I6088*J6088</f>
        <v>10560</v>
      </c>
      <c r="L6088" s="14" t="n">
        <f aca="false">($L$2*M6088)/100</f>
        <v>624866.58</v>
      </c>
      <c r="M6088" s="15" t="n">
        <v>0.52</v>
      </c>
      <c r="N6088" s="9" t="s">
        <v>85</v>
      </c>
    </row>
    <row r="6089" customFormat="false" ht="14.25" hidden="false" customHeight="true" outlineLevel="0" collapsed="false">
      <c r="B6089" s="9" t="s">
        <v>36</v>
      </c>
      <c r="C6089" s="9" t="n">
        <v>1128299</v>
      </c>
      <c r="D6089" s="10" t="n">
        <v>44434</v>
      </c>
      <c r="E6089" s="9" t="s">
        <v>33</v>
      </c>
      <c r="F6089" s="9" t="s">
        <v>90</v>
      </c>
      <c r="G6089" s="9" t="s">
        <v>91</v>
      </c>
      <c r="H6089" s="11" t="s">
        <v>22</v>
      </c>
      <c r="I6089" s="12" t="n">
        <v>58</v>
      </c>
      <c r="J6089" s="13" t="n">
        <v>142</v>
      </c>
      <c r="K6089" s="14" t="n">
        <f aca="false">I6089*J6089</f>
        <v>8236</v>
      </c>
      <c r="L6089" s="14" t="n">
        <f aca="false">($L$2*M6089)/100</f>
        <v>552766.59</v>
      </c>
      <c r="M6089" s="15" t="n">
        <v>0.46</v>
      </c>
      <c r="N6089" s="9" t="s">
        <v>85</v>
      </c>
    </row>
    <row r="6090" customFormat="false" ht="14.25" hidden="false" customHeight="true" outlineLevel="0" collapsed="false">
      <c r="B6090" s="9" t="s">
        <v>36</v>
      </c>
      <c r="C6090" s="9" t="n">
        <v>1128299</v>
      </c>
      <c r="D6090" s="10" t="n">
        <v>44434</v>
      </c>
      <c r="E6090" s="9" t="s">
        <v>33</v>
      </c>
      <c r="F6090" s="9" t="s">
        <v>90</v>
      </c>
      <c r="G6090" s="9" t="s">
        <v>91</v>
      </c>
      <c r="H6090" s="11" t="s">
        <v>23</v>
      </c>
      <c r="I6090" s="12" t="n">
        <v>55</v>
      </c>
      <c r="J6090" s="13" t="n">
        <v>143</v>
      </c>
      <c r="K6090" s="14" t="n">
        <f aca="false">I6090*J6090</f>
        <v>7865</v>
      </c>
      <c r="L6090" s="14" t="n">
        <f aca="false">($L$2*M6090)/100</f>
        <v>564783.255</v>
      </c>
      <c r="M6090" s="15" t="n">
        <v>0.47</v>
      </c>
      <c r="N6090" s="9" t="s">
        <v>85</v>
      </c>
    </row>
    <row r="6091" customFormat="false" ht="14.25" hidden="false" customHeight="true" outlineLevel="0" collapsed="false">
      <c r="B6091" s="9" t="s">
        <v>36</v>
      </c>
      <c r="C6091" s="9" t="n">
        <v>1128299</v>
      </c>
      <c r="D6091" s="10" t="n">
        <v>44434</v>
      </c>
      <c r="E6091" s="9" t="s">
        <v>33</v>
      </c>
      <c r="F6091" s="9" t="s">
        <v>90</v>
      </c>
      <c r="G6091" s="9" t="s">
        <v>91</v>
      </c>
      <c r="H6091" s="11" t="s">
        <v>24</v>
      </c>
      <c r="I6091" s="12" t="n">
        <v>67</v>
      </c>
      <c r="J6091" s="13" t="n">
        <v>124</v>
      </c>
      <c r="K6091" s="14" t="n">
        <f aca="false">I6091*J6091</f>
        <v>8308</v>
      </c>
      <c r="L6091" s="14" t="n">
        <f aca="false">($L$2*M6091)/100</f>
        <v>480666.6</v>
      </c>
      <c r="M6091" s="15" t="n">
        <v>0.4</v>
      </c>
      <c r="N6091" s="9" t="s">
        <v>85</v>
      </c>
    </row>
    <row r="6092" customFormat="false" ht="14.25" hidden="false" customHeight="true" outlineLevel="0" collapsed="false">
      <c r="B6092" s="9" t="s">
        <v>36</v>
      </c>
      <c r="C6092" s="9" t="n">
        <v>1128299</v>
      </c>
      <c r="D6092" s="10" t="n">
        <v>44434</v>
      </c>
      <c r="E6092" s="9" t="s">
        <v>33</v>
      </c>
      <c r="F6092" s="9" t="s">
        <v>90</v>
      </c>
      <c r="G6092" s="9" t="s">
        <v>91</v>
      </c>
      <c r="H6092" s="11" t="s">
        <v>25</v>
      </c>
      <c r="I6092" s="12" t="n">
        <v>70</v>
      </c>
      <c r="J6092" s="13" t="n">
        <v>126</v>
      </c>
      <c r="K6092" s="14" t="n">
        <f aca="false">I6092*J6092</f>
        <v>8820</v>
      </c>
      <c r="L6092" s="14" t="n">
        <f aca="false">($L$2*M6092)/100</f>
        <v>456633.27</v>
      </c>
      <c r="M6092" s="15" t="n">
        <v>0.38</v>
      </c>
      <c r="N6092" s="9" t="s">
        <v>85</v>
      </c>
    </row>
    <row r="6093" customFormat="false" ht="14.25" hidden="false" customHeight="true" outlineLevel="0" collapsed="false">
      <c r="B6093" s="9" t="s">
        <v>36</v>
      </c>
      <c r="C6093" s="9" t="n">
        <v>1128299</v>
      </c>
      <c r="D6093" s="10" t="n">
        <v>44466</v>
      </c>
      <c r="E6093" s="9" t="s">
        <v>33</v>
      </c>
      <c r="F6093" s="9" t="s">
        <v>90</v>
      </c>
      <c r="G6093" s="9" t="s">
        <v>91</v>
      </c>
      <c r="H6093" s="11" t="s">
        <v>19</v>
      </c>
      <c r="I6093" s="12" t="n">
        <v>49</v>
      </c>
      <c r="J6093" s="13" t="n">
        <v>163</v>
      </c>
      <c r="K6093" s="14" t="n">
        <f aca="false">I6093*J6093</f>
        <v>7987</v>
      </c>
      <c r="L6093" s="14" t="n">
        <f aca="false">($L$2*M6093)/100</f>
        <v>540749.925</v>
      </c>
      <c r="M6093" s="15" t="n">
        <v>0.45</v>
      </c>
      <c r="N6093" s="9" t="s">
        <v>85</v>
      </c>
    </row>
    <row r="6094" customFormat="false" ht="14.25" hidden="false" customHeight="true" outlineLevel="0" collapsed="false">
      <c r="B6094" s="9" t="s">
        <v>36</v>
      </c>
      <c r="C6094" s="9" t="n">
        <v>1128299</v>
      </c>
      <c r="D6094" s="10" t="n">
        <v>44466</v>
      </c>
      <c r="E6094" s="9" t="s">
        <v>33</v>
      </c>
      <c r="F6094" s="9" t="s">
        <v>90</v>
      </c>
      <c r="G6094" s="9" t="s">
        <v>91</v>
      </c>
      <c r="H6094" s="11" t="s">
        <v>21</v>
      </c>
      <c r="I6094" s="12" t="n">
        <v>51</v>
      </c>
      <c r="J6094" s="13" t="n">
        <v>156</v>
      </c>
      <c r="K6094" s="14" t="n">
        <f aca="false">I6094*J6094</f>
        <v>7956</v>
      </c>
      <c r="L6094" s="14" t="n">
        <f aca="false">($L$2*M6094)/100</f>
        <v>612849.915</v>
      </c>
      <c r="M6094" s="15" t="n">
        <v>0.51</v>
      </c>
      <c r="N6094" s="9" t="s">
        <v>85</v>
      </c>
    </row>
    <row r="6095" customFormat="false" ht="14.25" hidden="false" customHeight="true" outlineLevel="0" collapsed="false">
      <c r="B6095" s="9" t="s">
        <v>36</v>
      </c>
      <c r="C6095" s="9" t="n">
        <v>1128299</v>
      </c>
      <c r="D6095" s="10" t="n">
        <v>44466</v>
      </c>
      <c r="E6095" s="9" t="s">
        <v>33</v>
      </c>
      <c r="F6095" s="9" t="s">
        <v>90</v>
      </c>
      <c r="G6095" s="9" t="s">
        <v>91</v>
      </c>
      <c r="H6095" s="11" t="s">
        <v>22</v>
      </c>
      <c r="I6095" s="12" t="n">
        <v>46</v>
      </c>
      <c r="J6095" s="13" t="n">
        <v>143</v>
      </c>
      <c r="K6095" s="14" t="n">
        <f aca="false">I6095*J6095</f>
        <v>6578</v>
      </c>
      <c r="L6095" s="14" t="n">
        <f aca="false">($L$2*M6095)/100</f>
        <v>564783.255</v>
      </c>
      <c r="M6095" s="15" t="n">
        <v>0.47</v>
      </c>
      <c r="N6095" s="9" t="s">
        <v>85</v>
      </c>
    </row>
    <row r="6096" customFormat="false" ht="14.25" hidden="false" customHeight="true" outlineLevel="0" collapsed="false">
      <c r="B6096" s="9" t="s">
        <v>36</v>
      </c>
      <c r="C6096" s="9" t="n">
        <v>1128299</v>
      </c>
      <c r="D6096" s="10" t="n">
        <v>44466</v>
      </c>
      <c r="E6096" s="9" t="s">
        <v>33</v>
      </c>
      <c r="F6096" s="9" t="s">
        <v>90</v>
      </c>
      <c r="G6096" s="9" t="s">
        <v>91</v>
      </c>
      <c r="H6096" s="11" t="s">
        <v>23</v>
      </c>
      <c r="I6096" s="12" t="n">
        <v>49</v>
      </c>
      <c r="J6096" s="13" t="n">
        <v>123</v>
      </c>
      <c r="K6096" s="14" t="n">
        <f aca="false">I6096*J6096</f>
        <v>6027</v>
      </c>
      <c r="L6096" s="14" t="n">
        <f aca="false">($L$2*M6096)/100</f>
        <v>564783.255</v>
      </c>
      <c r="M6096" s="15" t="n">
        <v>0.47</v>
      </c>
      <c r="N6096" s="9" t="s">
        <v>85</v>
      </c>
    </row>
    <row r="6097" customFormat="false" ht="14.25" hidden="false" customHeight="true" outlineLevel="0" collapsed="false">
      <c r="B6097" s="9" t="s">
        <v>36</v>
      </c>
      <c r="C6097" s="9" t="n">
        <v>1128299</v>
      </c>
      <c r="D6097" s="10" t="n">
        <v>44466</v>
      </c>
      <c r="E6097" s="9" t="s">
        <v>33</v>
      </c>
      <c r="F6097" s="9" t="s">
        <v>90</v>
      </c>
      <c r="G6097" s="9" t="s">
        <v>91</v>
      </c>
      <c r="H6097" s="11" t="s">
        <v>24</v>
      </c>
      <c r="I6097" s="12" t="n">
        <v>54</v>
      </c>
      <c r="J6097" s="13" t="n">
        <v>111</v>
      </c>
      <c r="K6097" s="14" t="n">
        <f aca="false">I6097*J6097</f>
        <v>5994</v>
      </c>
      <c r="L6097" s="14" t="n">
        <f aca="false">($L$2*M6097)/100</f>
        <v>480666.6</v>
      </c>
      <c r="M6097" s="15" t="n">
        <v>0.4</v>
      </c>
      <c r="N6097" s="9" t="s">
        <v>85</v>
      </c>
    </row>
    <row r="6098" customFormat="false" ht="14.25" hidden="false" customHeight="true" outlineLevel="0" collapsed="false">
      <c r="B6098" s="9" t="s">
        <v>36</v>
      </c>
      <c r="C6098" s="9" t="n">
        <v>1128299</v>
      </c>
      <c r="D6098" s="10" t="n">
        <v>44466</v>
      </c>
      <c r="E6098" s="9" t="s">
        <v>33</v>
      </c>
      <c r="F6098" s="9" t="s">
        <v>90</v>
      </c>
      <c r="G6098" s="9" t="s">
        <v>91</v>
      </c>
      <c r="H6098" s="11" t="s">
        <v>25</v>
      </c>
      <c r="I6098" s="12" t="n">
        <v>59</v>
      </c>
      <c r="J6098" s="13" t="n">
        <v>133</v>
      </c>
      <c r="K6098" s="14" t="n">
        <f aca="false">I6098*J6098</f>
        <v>7847</v>
      </c>
      <c r="L6098" s="14" t="n">
        <f aca="false">($L$2*M6098)/100</f>
        <v>432599.94</v>
      </c>
      <c r="M6098" s="15" t="n">
        <v>0.36</v>
      </c>
      <c r="N6098" s="9" t="s">
        <v>85</v>
      </c>
    </row>
    <row r="6099" customFormat="false" ht="14.25" hidden="false" customHeight="true" outlineLevel="0" collapsed="false">
      <c r="B6099" s="9" t="s">
        <v>36</v>
      </c>
      <c r="C6099" s="9" t="n">
        <v>1128299</v>
      </c>
      <c r="D6099" s="10" t="n">
        <v>44495</v>
      </c>
      <c r="E6099" s="9" t="s">
        <v>33</v>
      </c>
      <c r="F6099" s="9" t="s">
        <v>90</v>
      </c>
      <c r="G6099" s="9" t="s">
        <v>91</v>
      </c>
      <c r="H6099" s="11" t="s">
        <v>19</v>
      </c>
      <c r="I6099" s="12" t="n">
        <v>48</v>
      </c>
      <c r="J6099" s="13" t="n">
        <v>165</v>
      </c>
      <c r="K6099" s="14" t="n">
        <f aca="false">I6099*J6099</f>
        <v>7920</v>
      </c>
      <c r="L6099" s="14" t="n">
        <f aca="false">($L$2*M6099)/100</f>
        <v>600833.25</v>
      </c>
      <c r="M6099" s="15" t="n">
        <v>0.5</v>
      </c>
      <c r="N6099" s="9" t="s">
        <v>85</v>
      </c>
    </row>
    <row r="6100" customFormat="false" ht="14.25" hidden="false" customHeight="true" outlineLevel="0" collapsed="false">
      <c r="B6100" s="9" t="s">
        <v>36</v>
      </c>
      <c r="C6100" s="9" t="n">
        <v>1128299</v>
      </c>
      <c r="D6100" s="10" t="n">
        <v>44495</v>
      </c>
      <c r="E6100" s="9" t="s">
        <v>33</v>
      </c>
      <c r="F6100" s="9" t="s">
        <v>90</v>
      </c>
      <c r="G6100" s="9" t="s">
        <v>91</v>
      </c>
      <c r="H6100" s="11" t="s">
        <v>21</v>
      </c>
      <c r="I6100" s="12" t="n">
        <v>50</v>
      </c>
      <c r="J6100" s="13" t="n">
        <v>149</v>
      </c>
      <c r="K6100" s="14" t="n">
        <f aca="false">I6100*J6100</f>
        <v>7450</v>
      </c>
      <c r="L6100" s="14" t="n">
        <f aca="false">($L$2*M6100)/100</f>
        <v>636883.245</v>
      </c>
      <c r="M6100" s="15" t="n">
        <v>0.53</v>
      </c>
      <c r="N6100" s="9" t="s">
        <v>85</v>
      </c>
    </row>
    <row r="6101" customFormat="false" ht="14.25" hidden="false" customHeight="true" outlineLevel="0" collapsed="false">
      <c r="B6101" s="9" t="s">
        <v>36</v>
      </c>
      <c r="C6101" s="9" t="n">
        <v>1128299</v>
      </c>
      <c r="D6101" s="10" t="n">
        <v>44495</v>
      </c>
      <c r="E6101" s="9" t="s">
        <v>33</v>
      </c>
      <c r="F6101" s="9" t="s">
        <v>90</v>
      </c>
      <c r="G6101" s="9" t="s">
        <v>91</v>
      </c>
      <c r="H6101" s="11" t="s">
        <v>22</v>
      </c>
      <c r="I6101" s="12" t="n">
        <v>48</v>
      </c>
      <c r="J6101" s="13" t="n">
        <v>105</v>
      </c>
      <c r="K6101" s="14" t="n">
        <f aca="false">I6101*J6101</f>
        <v>5040</v>
      </c>
      <c r="L6101" s="14" t="n">
        <f aca="false">($L$2*M6101)/100</f>
        <v>564783.255</v>
      </c>
      <c r="M6101" s="15" t="n">
        <v>0.47</v>
      </c>
      <c r="N6101" s="9" t="s">
        <v>85</v>
      </c>
    </row>
    <row r="6102" customFormat="false" ht="14.25" hidden="false" customHeight="true" outlineLevel="0" collapsed="false">
      <c r="B6102" s="9" t="s">
        <v>36</v>
      </c>
      <c r="C6102" s="9" t="n">
        <v>1128299</v>
      </c>
      <c r="D6102" s="10" t="n">
        <v>44495</v>
      </c>
      <c r="E6102" s="9" t="s">
        <v>33</v>
      </c>
      <c r="F6102" s="9" t="s">
        <v>90</v>
      </c>
      <c r="G6102" s="9" t="s">
        <v>91</v>
      </c>
      <c r="H6102" s="11" t="s">
        <v>23</v>
      </c>
      <c r="I6102" s="12" t="n">
        <v>46</v>
      </c>
      <c r="J6102" s="13" t="n">
        <v>95</v>
      </c>
      <c r="K6102" s="14" t="n">
        <f aca="false">I6102*J6102</f>
        <v>4370</v>
      </c>
      <c r="L6102" s="14" t="n">
        <f aca="false">($L$2*M6102)/100</f>
        <v>588816.585</v>
      </c>
      <c r="M6102" s="15" t="n">
        <v>0.49</v>
      </c>
      <c r="N6102" s="9" t="s">
        <v>85</v>
      </c>
    </row>
    <row r="6103" customFormat="false" ht="14.25" hidden="false" customHeight="true" outlineLevel="0" collapsed="false">
      <c r="B6103" s="9" t="s">
        <v>36</v>
      </c>
      <c r="C6103" s="9" t="n">
        <v>1128299</v>
      </c>
      <c r="D6103" s="10" t="n">
        <v>44495</v>
      </c>
      <c r="E6103" s="9" t="s">
        <v>33</v>
      </c>
      <c r="F6103" s="9" t="s">
        <v>90</v>
      </c>
      <c r="G6103" s="9" t="s">
        <v>91</v>
      </c>
      <c r="H6103" s="11" t="s">
        <v>24</v>
      </c>
      <c r="I6103" s="12" t="n">
        <v>56</v>
      </c>
      <c r="J6103" s="13" t="n">
        <v>91</v>
      </c>
      <c r="K6103" s="14" t="n">
        <f aca="false">I6103*J6103</f>
        <v>5096</v>
      </c>
      <c r="L6103" s="14" t="n">
        <f aca="false">($L$2*M6103)/100</f>
        <v>528733.26</v>
      </c>
      <c r="M6103" s="15" t="n">
        <v>0.44</v>
      </c>
      <c r="N6103" s="9" t="s">
        <v>85</v>
      </c>
    </row>
    <row r="6104" customFormat="false" ht="14.25" hidden="false" customHeight="true" outlineLevel="0" collapsed="false">
      <c r="B6104" s="9" t="s">
        <v>36</v>
      </c>
      <c r="C6104" s="9" t="n">
        <v>1128299</v>
      </c>
      <c r="D6104" s="10" t="n">
        <v>44495</v>
      </c>
      <c r="E6104" s="9" t="s">
        <v>33</v>
      </c>
      <c r="F6104" s="9" t="s">
        <v>90</v>
      </c>
      <c r="G6104" s="9" t="s">
        <v>91</v>
      </c>
      <c r="H6104" s="11" t="s">
        <v>25</v>
      </c>
      <c r="I6104" s="12" t="n">
        <v>68</v>
      </c>
      <c r="J6104" s="13" t="n">
        <v>105</v>
      </c>
      <c r="K6104" s="14" t="n">
        <f aca="false">I6104*J6104</f>
        <v>7140</v>
      </c>
      <c r="L6104" s="14" t="n">
        <f aca="false">($L$2*M6104)/100</f>
        <v>444616.605</v>
      </c>
      <c r="M6104" s="15" t="n">
        <v>0.37</v>
      </c>
      <c r="N6104" s="9" t="s">
        <v>85</v>
      </c>
    </row>
    <row r="6105" customFormat="false" ht="14.25" hidden="false" customHeight="true" outlineLevel="0" collapsed="false">
      <c r="B6105" s="9" t="s">
        <v>36</v>
      </c>
      <c r="C6105" s="9" t="n">
        <v>1128299</v>
      </c>
      <c r="D6105" s="10" t="n">
        <v>44526</v>
      </c>
      <c r="E6105" s="9" t="s">
        <v>33</v>
      </c>
      <c r="F6105" s="9" t="s">
        <v>90</v>
      </c>
      <c r="G6105" s="9" t="s">
        <v>91</v>
      </c>
      <c r="H6105" s="11" t="s">
        <v>19</v>
      </c>
      <c r="I6105" s="12" t="n">
        <v>58</v>
      </c>
      <c r="J6105" s="13" t="n">
        <v>160</v>
      </c>
      <c r="K6105" s="14" t="n">
        <f aca="false">I6105*J6105</f>
        <v>9280</v>
      </c>
      <c r="L6105" s="14" t="n">
        <f aca="false">($L$2*M6105)/100</f>
        <v>588816.585</v>
      </c>
      <c r="M6105" s="15" t="n">
        <v>0.49</v>
      </c>
      <c r="N6105" s="9" t="s">
        <v>85</v>
      </c>
    </row>
    <row r="6106" customFormat="false" ht="14.25" hidden="false" customHeight="true" outlineLevel="0" collapsed="false">
      <c r="B6106" s="9" t="s">
        <v>36</v>
      </c>
      <c r="C6106" s="9" t="n">
        <v>1128299</v>
      </c>
      <c r="D6106" s="10" t="n">
        <v>44526</v>
      </c>
      <c r="E6106" s="9" t="s">
        <v>33</v>
      </c>
      <c r="F6106" s="9" t="s">
        <v>90</v>
      </c>
      <c r="G6106" s="9" t="s">
        <v>91</v>
      </c>
      <c r="H6106" s="11" t="s">
        <v>21</v>
      </c>
      <c r="I6106" s="12" t="n">
        <v>59</v>
      </c>
      <c r="J6106" s="13" t="n">
        <v>150</v>
      </c>
      <c r="K6106" s="14" t="n">
        <f aca="false">I6106*J6106</f>
        <v>8850</v>
      </c>
      <c r="L6106" s="14" t="n">
        <f aca="false">($L$2*M6106)/100</f>
        <v>648899.91</v>
      </c>
      <c r="M6106" s="15" t="n">
        <v>0.54</v>
      </c>
      <c r="N6106" s="9" t="s">
        <v>85</v>
      </c>
    </row>
    <row r="6107" customFormat="false" ht="14.25" hidden="false" customHeight="true" outlineLevel="0" collapsed="false">
      <c r="B6107" s="9" t="s">
        <v>36</v>
      </c>
      <c r="C6107" s="9" t="n">
        <v>1128299</v>
      </c>
      <c r="D6107" s="10" t="n">
        <v>44526</v>
      </c>
      <c r="E6107" s="9" t="s">
        <v>33</v>
      </c>
      <c r="F6107" s="9" t="s">
        <v>90</v>
      </c>
      <c r="G6107" s="9" t="s">
        <v>91</v>
      </c>
      <c r="H6107" s="11" t="s">
        <v>22</v>
      </c>
      <c r="I6107" s="12" t="n">
        <v>54</v>
      </c>
      <c r="J6107" s="13" t="n">
        <v>117</v>
      </c>
      <c r="K6107" s="14" t="n">
        <f aca="false">I6107*J6107</f>
        <v>6318</v>
      </c>
      <c r="L6107" s="14" t="n">
        <f aca="false">($L$2*M6107)/100</f>
        <v>576799.92</v>
      </c>
      <c r="M6107" s="15" t="n">
        <v>0.48</v>
      </c>
      <c r="N6107" s="9" t="s">
        <v>85</v>
      </c>
    </row>
    <row r="6108" customFormat="false" ht="14.25" hidden="false" customHeight="true" outlineLevel="0" collapsed="false">
      <c r="B6108" s="9" t="s">
        <v>36</v>
      </c>
      <c r="C6108" s="9" t="n">
        <v>1128299</v>
      </c>
      <c r="D6108" s="10" t="n">
        <v>44526</v>
      </c>
      <c r="E6108" s="9" t="s">
        <v>33</v>
      </c>
      <c r="F6108" s="9" t="s">
        <v>90</v>
      </c>
      <c r="G6108" s="9" t="s">
        <v>91</v>
      </c>
      <c r="H6108" s="11" t="s">
        <v>23</v>
      </c>
      <c r="I6108" s="12" t="n">
        <v>55</v>
      </c>
      <c r="J6108" s="13" t="n">
        <v>115</v>
      </c>
      <c r="K6108" s="14" t="n">
        <f aca="false">I6108*J6108</f>
        <v>6325</v>
      </c>
      <c r="L6108" s="14" t="n">
        <f aca="false">($L$2*M6108)/100</f>
        <v>564783.255</v>
      </c>
      <c r="M6108" s="15" t="n">
        <v>0.47</v>
      </c>
      <c r="N6108" s="9" t="s">
        <v>85</v>
      </c>
    </row>
    <row r="6109" customFormat="false" ht="14.25" hidden="false" customHeight="true" outlineLevel="0" collapsed="false">
      <c r="B6109" s="9" t="s">
        <v>36</v>
      </c>
      <c r="C6109" s="9" t="n">
        <v>1128299</v>
      </c>
      <c r="D6109" s="10" t="n">
        <v>44526</v>
      </c>
      <c r="E6109" s="9" t="s">
        <v>33</v>
      </c>
      <c r="F6109" s="9" t="s">
        <v>90</v>
      </c>
      <c r="G6109" s="9" t="s">
        <v>91</v>
      </c>
      <c r="H6109" s="11" t="s">
        <v>24</v>
      </c>
      <c r="I6109" s="12" t="n">
        <v>65</v>
      </c>
      <c r="J6109" s="13" t="n">
        <v>113</v>
      </c>
      <c r="K6109" s="14" t="n">
        <f aca="false">I6109*J6109</f>
        <v>7345</v>
      </c>
      <c r="L6109" s="14" t="n">
        <f aca="false">($L$2*M6109)/100</f>
        <v>528733.26</v>
      </c>
      <c r="M6109" s="15" t="n">
        <v>0.44</v>
      </c>
      <c r="N6109" s="9" t="s">
        <v>85</v>
      </c>
    </row>
    <row r="6110" customFormat="false" ht="14.25" hidden="false" customHeight="true" outlineLevel="0" collapsed="false">
      <c r="B6110" s="9" t="s">
        <v>36</v>
      </c>
      <c r="C6110" s="9" t="n">
        <v>1128299</v>
      </c>
      <c r="D6110" s="10" t="n">
        <v>44526</v>
      </c>
      <c r="E6110" s="9" t="s">
        <v>33</v>
      </c>
      <c r="F6110" s="9" t="s">
        <v>90</v>
      </c>
      <c r="G6110" s="9" t="s">
        <v>91</v>
      </c>
      <c r="H6110" s="11" t="s">
        <v>25</v>
      </c>
      <c r="I6110" s="12" t="n">
        <v>72</v>
      </c>
      <c r="J6110" s="13" t="n">
        <v>140</v>
      </c>
      <c r="K6110" s="14" t="n">
        <f aca="false">I6110*J6110</f>
        <v>10080</v>
      </c>
      <c r="L6110" s="14" t="n">
        <f aca="false">($L$2*M6110)/100</f>
        <v>468649.935</v>
      </c>
      <c r="M6110" s="15" t="n">
        <v>0.39</v>
      </c>
      <c r="N6110" s="9" t="s">
        <v>85</v>
      </c>
    </row>
    <row r="6111" customFormat="false" ht="14.25" hidden="false" customHeight="true" outlineLevel="0" collapsed="false">
      <c r="B6111" s="9" t="s">
        <v>36</v>
      </c>
      <c r="C6111" s="9" t="n">
        <v>1128299</v>
      </c>
      <c r="D6111" s="10" t="n">
        <v>44555</v>
      </c>
      <c r="E6111" s="9" t="s">
        <v>33</v>
      </c>
      <c r="F6111" s="9" t="s">
        <v>90</v>
      </c>
      <c r="G6111" s="9" t="s">
        <v>91</v>
      </c>
      <c r="H6111" s="11" t="s">
        <v>19</v>
      </c>
      <c r="I6111" s="12" t="n">
        <v>55</v>
      </c>
      <c r="J6111" s="13" t="n">
        <v>210</v>
      </c>
      <c r="K6111" s="14" t="n">
        <f aca="false">I6111*J6111</f>
        <v>11550</v>
      </c>
      <c r="L6111" s="14" t="n">
        <f aca="false">($L$2*M6111)/100</f>
        <v>552766.59</v>
      </c>
      <c r="M6111" s="15" t="n">
        <v>0.46</v>
      </c>
      <c r="N6111" s="9" t="s">
        <v>85</v>
      </c>
    </row>
    <row r="6112" customFormat="false" ht="14.25" hidden="false" customHeight="true" outlineLevel="0" collapsed="false">
      <c r="B6112" s="9" t="s">
        <v>36</v>
      </c>
      <c r="C6112" s="9" t="n">
        <v>1128299</v>
      </c>
      <c r="D6112" s="10" t="n">
        <v>44555</v>
      </c>
      <c r="E6112" s="9" t="s">
        <v>33</v>
      </c>
      <c r="F6112" s="9" t="s">
        <v>90</v>
      </c>
      <c r="G6112" s="9" t="s">
        <v>91</v>
      </c>
      <c r="H6112" s="11" t="s">
        <v>21</v>
      </c>
      <c r="I6112" s="12" t="n">
        <v>61</v>
      </c>
      <c r="J6112" s="13" t="n">
        <v>182</v>
      </c>
      <c r="K6112" s="14" t="n">
        <f aca="false">I6112*J6112</f>
        <v>11102</v>
      </c>
      <c r="L6112" s="14" t="n">
        <f aca="false">($L$2*M6112)/100</f>
        <v>600833.25</v>
      </c>
      <c r="M6112" s="15" t="n">
        <v>0.5</v>
      </c>
      <c r="N6112" s="9" t="s">
        <v>85</v>
      </c>
    </row>
    <row r="6113" customFormat="false" ht="14.25" hidden="false" customHeight="true" outlineLevel="0" collapsed="false">
      <c r="B6113" s="9" t="s">
        <v>28</v>
      </c>
      <c r="C6113" s="9" t="n">
        <v>1128299</v>
      </c>
      <c r="D6113" s="10" t="n">
        <v>44555</v>
      </c>
      <c r="E6113" s="9" t="s">
        <v>33</v>
      </c>
      <c r="F6113" s="9" t="s">
        <v>90</v>
      </c>
      <c r="G6113" s="9" t="s">
        <v>91</v>
      </c>
      <c r="H6113" s="11" t="s">
        <v>22</v>
      </c>
      <c r="I6113" s="12" t="n">
        <v>59</v>
      </c>
      <c r="J6113" s="13" t="n">
        <v>130</v>
      </c>
      <c r="K6113" s="14" t="n">
        <f aca="false">I6113*J6113</f>
        <v>7670</v>
      </c>
      <c r="L6113" s="14" t="n">
        <f aca="false">($L$2*M6113)/100</f>
        <v>588816.585</v>
      </c>
      <c r="M6113" s="15" t="n">
        <v>0.49</v>
      </c>
      <c r="N6113" s="9" t="s">
        <v>85</v>
      </c>
    </row>
    <row r="6114" customFormat="false" ht="14.25" hidden="false" customHeight="true" outlineLevel="0" collapsed="false">
      <c r="B6114" s="9" t="s">
        <v>28</v>
      </c>
      <c r="C6114" s="9" t="n">
        <v>1128299</v>
      </c>
      <c r="D6114" s="10" t="n">
        <v>44555</v>
      </c>
      <c r="E6114" s="9" t="s">
        <v>33</v>
      </c>
      <c r="F6114" s="9" t="s">
        <v>90</v>
      </c>
      <c r="G6114" s="9" t="s">
        <v>91</v>
      </c>
      <c r="H6114" s="11" t="s">
        <v>23</v>
      </c>
      <c r="I6114" s="12" t="n">
        <v>55</v>
      </c>
      <c r="J6114" s="13" t="n">
        <v>145</v>
      </c>
      <c r="K6114" s="14" t="n">
        <f aca="false">I6114*J6114</f>
        <v>7975</v>
      </c>
      <c r="L6114" s="14" t="n">
        <f aca="false">($L$2*M6114)/100</f>
        <v>552766.59</v>
      </c>
      <c r="M6114" s="15" t="n">
        <v>0.46</v>
      </c>
      <c r="N6114" s="9" t="s">
        <v>85</v>
      </c>
    </row>
    <row r="6115" customFormat="false" ht="14.25" hidden="false" customHeight="true" outlineLevel="0" collapsed="false">
      <c r="B6115" s="9" t="s">
        <v>28</v>
      </c>
      <c r="C6115" s="9" t="n">
        <v>1128299</v>
      </c>
      <c r="D6115" s="10" t="n">
        <v>44555</v>
      </c>
      <c r="E6115" s="9" t="s">
        <v>33</v>
      </c>
      <c r="F6115" s="9" t="s">
        <v>90</v>
      </c>
      <c r="G6115" s="9" t="s">
        <v>91</v>
      </c>
      <c r="H6115" s="11" t="s">
        <v>24</v>
      </c>
      <c r="I6115" s="12" t="n">
        <v>64</v>
      </c>
      <c r="J6115" s="13" t="n">
        <v>119</v>
      </c>
      <c r="K6115" s="14" t="n">
        <f aca="false">I6115*J6115</f>
        <v>7616</v>
      </c>
      <c r="L6115" s="14" t="n">
        <f aca="false">($L$2*M6115)/100</f>
        <v>540749.925</v>
      </c>
      <c r="M6115" s="15" t="n">
        <v>0.45</v>
      </c>
      <c r="N6115" s="9" t="s">
        <v>85</v>
      </c>
    </row>
    <row r="6116" customFormat="false" ht="14.25" hidden="false" customHeight="true" outlineLevel="0" collapsed="false">
      <c r="B6116" s="9" t="s">
        <v>28</v>
      </c>
      <c r="C6116" s="9" t="n">
        <v>1128299</v>
      </c>
      <c r="D6116" s="10" t="n">
        <v>44555</v>
      </c>
      <c r="E6116" s="9" t="s">
        <v>33</v>
      </c>
      <c r="F6116" s="9" t="s">
        <v>90</v>
      </c>
      <c r="G6116" s="9" t="s">
        <v>91</v>
      </c>
      <c r="H6116" s="11" t="s">
        <v>25</v>
      </c>
      <c r="I6116" s="12" t="n">
        <v>72</v>
      </c>
      <c r="J6116" s="13" t="n">
        <v>131</v>
      </c>
      <c r="K6116" s="14" t="n">
        <f aca="false">I6116*J6116</f>
        <v>9432</v>
      </c>
      <c r="L6116" s="14" t="n">
        <f aca="false">($L$2*M6116)/100</f>
        <v>420583.275</v>
      </c>
      <c r="M6116" s="15" t="n">
        <v>0.35</v>
      </c>
      <c r="N6116" s="9" t="s">
        <v>85</v>
      </c>
    </row>
    <row r="6117" customFormat="false" ht="14.25" hidden="false" customHeight="true" outlineLevel="0" collapsed="false">
      <c r="B6117" s="9" t="s">
        <v>28</v>
      </c>
      <c r="C6117" s="9" t="n">
        <v>1128299</v>
      </c>
      <c r="D6117" s="10" t="n">
        <v>44209</v>
      </c>
      <c r="E6117" s="9" t="s">
        <v>33</v>
      </c>
      <c r="F6117" s="9" t="s">
        <v>90</v>
      </c>
      <c r="G6117" s="9" t="s">
        <v>91</v>
      </c>
      <c r="H6117" s="11" t="s">
        <v>19</v>
      </c>
      <c r="I6117" s="12" t="n">
        <v>29</v>
      </c>
      <c r="J6117" s="13" t="n">
        <v>131</v>
      </c>
      <c r="K6117" s="14" t="n">
        <f aca="false">I6117*J6117</f>
        <v>3799</v>
      </c>
      <c r="L6117" s="14" t="n">
        <f aca="false">($L$2*M6117)/100</f>
        <v>612849.915</v>
      </c>
      <c r="M6117" s="15" t="n">
        <v>0.51</v>
      </c>
      <c r="N6117" s="9" t="s">
        <v>85</v>
      </c>
    </row>
    <row r="6118" customFormat="false" ht="14.25" hidden="false" customHeight="true" outlineLevel="0" collapsed="false">
      <c r="B6118" s="9" t="s">
        <v>28</v>
      </c>
      <c r="C6118" s="9" t="n">
        <v>1128299</v>
      </c>
      <c r="D6118" s="10" t="n">
        <v>44209</v>
      </c>
      <c r="E6118" s="9" t="s">
        <v>33</v>
      </c>
      <c r="F6118" s="9" t="s">
        <v>90</v>
      </c>
      <c r="G6118" s="9" t="s">
        <v>91</v>
      </c>
      <c r="H6118" s="11" t="s">
        <v>21</v>
      </c>
      <c r="I6118" s="12" t="n">
        <v>39</v>
      </c>
      <c r="J6118" s="13" t="n">
        <v>135</v>
      </c>
      <c r="K6118" s="14" t="n">
        <f aca="false">I6118*J6118</f>
        <v>5265</v>
      </c>
      <c r="L6118" s="14" t="n">
        <f aca="false">($L$2*M6118)/100</f>
        <v>612849.915</v>
      </c>
      <c r="M6118" s="15" t="n">
        <v>0.51</v>
      </c>
      <c r="N6118" s="9" t="s">
        <v>85</v>
      </c>
    </row>
    <row r="6119" customFormat="false" ht="14.25" hidden="false" customHeight="true" outlineLevel="0" collapsed="false">
      <c r="B6119" s="9" t="s">
        <v>28</v>
      </c>
      <c r="C6119" s="9" t="n">
        <v>1128299</v>
      </c>
      <c r="D6119" s="10" t="n">
        <v>44209</v>
      </c>
      <c r="E6119" s="9" t="s">
        <v>33</v>
      </c>
      <c r="F6119" s="9" t="s">
        <v>90</v>
      </c>
      <c r="G6119" s="9" t="s">
        <v>91</v>
      </c>
      <c r="H6119" s="11" t="s">
        <v>22</v>
      </c>
      <c r="I6119" s="12" t="n">
        <v>38</v>
      </c>
      <c r="J6119" s="13" t="n">
        <v>126</v>
      </c>
      <c r="K6119" s="14" t="n">
        <f aca="false">I6119*J6119</f>
        <v>4788</v>
      </c>
      <c r="L6119" s="14" t="n">
        <f aca="false">($L$2*M6119)/100</f>
        <v>540749.925</v>
      </c>
      <c r="M6119" s="15" t="n">
        <v>0.45</v>
      </c>
      <c r="N6119" s="9" t="s">
        <v>85</v>
      </c>
    </row>
    <row r="6120" customFormat="false" ht="14.25" hidden="false" customHeight="true" outlineLevel="0" collapsed="false">
      <c r="B6120" s="9" t="s">
        <v>28</v>
      </c>
      <c r="C6120" s="9" t="n">
        <v>1128299</v>
      </c>
      <c r="D6120" s="10" t="n">
        <v>44209</v>
      </c>
      <c r="E6120" s="9" t="s">
        <v>33</v>
      </c>
      <c r="F6120" s="9" t="s">
        <v>90</v>
      </c>
      <c r="G6120" s="9" t="s">
        <v>91</v>
      </c>
      <c r="H6120" s="11" t="s">
        <v>23</v>
      </c>
      <c r="I6120" s="12" t="n">
        <v>39</v>
      </c>
      <c r="J6120" s="13" t="n">
        <v>75</v>
      </c>
      <c r="K6120" s="14" t="n">
        <f aca="false">I6120*J6120</f>
        <v>2925</v>
      </c>
      <c r="L6120" s="14" t="n">
        <f aca="false">($L$2*M6120)/100</f>
        <v>600833.25</v>
      </c>
      <c r="M6120" s="15" t="n">
        <v>0.5</v>
      </c>
      <c r="N6120" s="9" t="s">
        <v>85</v>
      </c>
    </row>
    <row r="6121" customFormat="false" ht="14.25" hidden="false" customHeight="true" outlineLevel="0" collapsed="false">
      <c r="B6121" s="9" t="s">
        <v>28</v>
      </c>
      <c r="C6121" s="9" t="n">
        <v>1128299</v>
      </c>
      <c r="D6121" s="10" t="n">
        <v>44209</v>
      </c>
      <c r="E6121" s="9" t="s">
        <v>33</v>
      </c>
      <c r="F6121" s="9" t="s">
        <v>90</v>
      </c>
      <c r="G6121" s="9" t="s">
        <v>91</v>
      </c>
      <c r="H6121" s="11" t="s">
        <v>24</v>
      </c>
      <c r="I6121" s="12" t="n">
        <v>41</v>
      </c>
      <c r="J6121" s="13" t="n">
        <v>63</v>
      </c>
      <c r="K6121" s="14" t="n">
        <f aca="false">I6121*J6121</f>
        <v>2583</v>
      </c>
      <c r="L6121" s="14" t="n">
        <f aca="false">($L$2*M6121)/100</f>
        <v>540749.925</v>
      </c>
      <c r="M6121" s="15" t="n">
        <v>0.45</v>
      </c>
      <c r="N6121" s="9" t="s">
        <v>85</v>
      </c>
    </row>
    <row r="6122" customFormat="false" ht="14.25" hidden="false" customHeight="true" outlineLevel="0" collapsed="false">
      <c r="B6122" s="9" t="s">
        <v>28</v>
      </c>
      <c r="C6122" s="9" t="n">
        <v>1128299</v>
      </c>
      <c r="D6122" s="10" t="n">
        <v>44209</v>
      </c>
      <c r="E6122" s="9" t="s">
        <v>33</v>
      </c>
      <c r="F6122" s="9" t="s">
        <v>90</v>
      </c>
      <c r="G6122" s="9" t="s">
        <v>91</v>
      </c>
      <c r="H6122" s="11" t="s">
        <v>25</v>
      </c>
      <c r="I6122" s="12" t="n">
        <v>36</v>
      </c>
      <c r="J6122" s="13" t="n">
        <v>117</v>
      </c>
      <c r="K6122" s="14" t="n">
        <f aca="false">I6122*J6122</f>
        <v>4212</v>
      </c>
      <c r="L6122" s="14" t="n">
        <f aca="false">($L$2*M6122)/100</f>
        <v>468649.935</v>
      </c>
      <c r="M6122" s="15" t="n">
        <v>0.39</v>
      </c>
      <c r="N6122" s="9" t="s">
        <v>85</v>
      </c>
    </row>
    <row r="6123" customFormat="false" ht="14.25" hidden="false" customHeight="true" outlineLevel="0" collapsed="false">
      <c r="B6123" s="9" t="s">
        <v>28</v>
      </c>
      <c r="C6123" s="9" t="n">
        <v>1128299</v>
      </c>
      <c r="D6123" s="10" t="n">
        <v>44240</v>
      </c>
      <c r="E6123" s="9" t="s">
        <v>33</v>
      </c>
      <c r="F6123" s="9" t="s">
        <v>90</v>
      </c>
      <c r="G6123" s="9" t="s">
        <v>91</v>
      </c>
      <c r="H6123" s="11" t="s">
        <v>19</v>
      </c>
      <c r="I6123" s="12" t="n">
        <v>29</v>
      </c>
      <c r="J6123" s="13" t="n">
        <v>145</v>
      </c>
      <c r="K6123" s="14" t="n">
        <f aca="false">I6123*J6123</f>
        <v>4205</v>
      </c>
      <c r="L6123" s="14" t="n">
        <f aca="false">($L$2*M6123)/100</f>
        <v>636883.245</v>
      </c>
      <c r="M6123" s="15" t="n">
        <v>0.53</v>
      </c>
      <c r="N6123" s="9" t="s">
        <v>85</v>
      </c>
    </row>
    <row r="6124" customFormat="false" ht="14.25" hidden="false" customHeight="true" outlineLevel="0" collapsed="false">
      <c r="B6124" s="9" t="s">
        <v>28</v>
      </c>
      <c r="C6124" s="9" t="n">
        <v>1128299</v>
      </c>
      <c r="D6124" s="10" t="n">
        <v>44240</v>
      </c>
      <c r="E6124" s="9" t="s">
        <v>33</v>
      </c>
      <c r="F6124" s="9" t="s">
        <v>90</v>
      </c>
      <c r="G6124" s="9" t="s">
        <v>91</v>
      </c>
      <c r="H6124" s="11" t="s">
        <v>21</v>
      </c>
      <c r="I6124" s="12" t="n">
        <v>37</v>
      </c>
      <c r="J6124" s="13" t="n">
        <v>112</v>
      </c>
      <c r="K6124" s="14" t="n">
        <f aca="false">I6124*J6124</f>
        <v>4144</v>
      </c>
      <c r="L6124" s="14" t="n">
        <f aca="false">($L$2*M6124)/100</f>
        <v>660916.575</v>
      </c>
      <c r="M6124" s="15" t="n">
        <v>0.55</v>
      </c>
      <c r="N6124" s="9" t="s">
        <v>85</v>
      </c>
    </row>
    <row r="6125" customFormat="false" ht="14.25" hidden="false" customHeight="true" outlineLevel="0" collapsed="false">
      <c r="B6125" s="9" t="s">
        <v>28</v>
      </c>
      <c r="C6125" s="9" t="n">
        <v>1128299</v>
      </c>
      <c r="D6125" s="10" t="n">
        <v>44240</v>
      </c>
      <c r="E6125" s="9" t="s">
        <v>33</v>
      </c>
      <c r="F6125" s="9" t="s">
        <v>90</v>
      </c>
      <c r="G6125" s="9" t="s">
        <v>91</v>
      </c>
      <c r="H6125" s="11" t="s">
        <v>22</v>
      </c>
      <c r="I6125" s="12" t="n">
        <v>37</v>
      </c>
      <c r="J6125" s="13" t="n">
        <v>104</v>
      </c>
      <c r="K6125" s="14" t="n">
        <f aca="false">I6125*J6125</f>
        <v>3848</v>
      </c>
      <c r="L6125" s="14" t="n">
        <f aca="false">($L$2*M6125)/100</f>
        <v>600833.25</v>
      </c>
      <c r="M6125" s="15" t="n">
        <v>0.5</v>
      </c>
      <c r="N6125" s="9" t="s">
        <v>85</v>
      </c>
    </row>
    <row r="6126" customFormat="false" ht="14.25" hidden="false" customHeight="true" outlineLevel="0" collapsed="false">
      <c r="B6126" s="9" t="s">
        <v>28</v>
      </c>
      <c r="C6126" s="9" t="n">
        <v>1128299</v>
      </c>
      <c r="D6126" s="10" t="n">
        <v>44240</v>
      </c>
      <c r="E6126" s="9" t="s">
        <v>50</v>
      </c>
      <c r="F6126" s="9" t="s">
        <v>92</v>
      </c>
      <c r="G6126" s="9" t="s">
        <v>93</v>
      </c>
      <c r="H6126" s="11" t="s">
        <v>23</v>
      </c>
      <c r="I6126" s="12" t="n">
        <v>36</v>
      </c>
      <c r="J6126" s="13" t="n">
        <v>63</v>
      </c>
      <c r="K6126" s="14" t="n">
        <f aca="false">I6126*J6126</f>
        <v>2268</v>
      </c>
      <c r="L6126" s="14" t="n">
        <f aca="false">($L$2*M6126)/100</f>
        <v>624866.58</v>
      </c>
      <c r="M6126" s="15" t="n">
        <v>0.52</v>
      </c>
      <c r="N6126" s="9" t="s">
        <v>85</v>
      </c>
    </row>
    <row r="6127" customFormat="false" ht="14.25" hidden="false" customHeight="true" outlineLevel="0" collapsed="false">
      <c r="B6127" s="9" t="s">
        <v>28</v>
      </c>
      <c r="C6127" s="9" t="n">
        <v>1128299</v>
      </c>
      <c r="D6127" s="10" t="n">
        <v>44240</v>
      </c>
      <c r="E6127" s="9" t="s">
        <v>50</v>
      </c>
      <c r="F6127" s="9" t="s">
        <v>92</v>
      </c>
      <c r="G6127" s="9" t="s">
        <v>93</v>
      </c>
      <c r="H6127" s="11" t="s">
        <v>24</v>
      </c>
      <c r="I6127" s="12" t="n">
        <v>41</v>
      </c>
      <c r="J6127" s="13" t="n">
        <v>51</v>
      </c>
      <c r="K6127" s="14" t="n">
        <f aca="false">I6127*J6127</f>
        <v>2091</v>
      </c>
      <c r="L6127" s="14" t="n">
        <f aca="false">($L$2*M6127)/100</f>
        <v>576799.92</v>
      </c>
      <c r="M6127" s="15" t="n">
        <v>0.48</v>
      </c>
      <c r="N6127" s="9" t="s">
        <v>85</v>
      </c>
    </row>
    <row r="6128" customFormat="false" ht="14.25" hidden="false" customHeight="true" outlineLevel="0" collapsed="false">
      <c r="B6128" s="9" t="s">
        <v>28</v>
      </c>
      <c r="C6128" s="9" t="n">
        <v>1128299</v>
      </c>
      <c r="D6128" s="10" t="n">
        <v>44240</v>
      </c>
      <c r="E6128" s="9" t="s">
        <v>50</v>
      </c>
      <c r="F6128" s="9" t="s">
        <v>92</v>
      </c>
      <c r="G6128" s="9" t="s">
        <v>93</v>
      </c>
      <c r="H6128" s="11" t="s">
        <v>25</v>
      </c>
      <c r="I6128" s="12" t="n">
        <v>37</v>
      </c>
      <c r="J6128" s="13" t="n">
        <v>98</v>
      </c>
      <c r="K6128" s="14" t="n">
        <f aca="false">I6128*J6128</f>
        <v>3626</v>
      </c>
      <c r="L6128" s="14" t="n">
        <f aca="false">($L$2*M6128)/100</f>
        <v>432599.94</v>
      </c>
      <c r="M6128" s="15" t="n">
        <v>0.36</v>
      </c>
      <c r="N6128" s="9" t="s">
        <v>85</v>
      </c>
    </row>
    <row r="6129" customFormat="false" ht="14.25" hidden="false" customHeight="true" outlineLevel="0" collapsed="false">
      <c r="B6129" s="9" t="s">
        <v>28</v>
      </c>
      <c r="C6129" s="9" t="n">
        <v>1128299</v>
      </c>
      <c r="D6129" s="10" t="n">
        <v>44267</v>
      </c>
      <c r="E6129" s="9" t="s">
        <v>50</v>
      </c>
      <c r="F6129" s="9" t="s">
        <v>92</v>
      </c>
      <c r="G6129" s="9" t="s">
        <v>93</v>
      </c>
      <c r="H6129" s="11" t="s">
        <v>19</v>
      </c>
      <c r="I6129" s="12" t="n">
        <v>37</v>
      </c>
      <c r="J6129" s="13" t="n">
        <v>137</v>
      </c>
      <c r="K6129" s="14" t="n">
        <f aca="false">I6129*J6129</f>
        <v>5069</v>
      </c>
      <c r="L6129" s="14" t="n">
        <f aca="false">($L$2*M6129)/100</f>
        <v>600833.25</v>
      </c>
      <c r="M6129" s="15" t="n">
        <v>0.5</v>
      </c>
      <c r="N6129" s="9" t="s">
        <v>85</v>
      </c>
    </row>
    <row r="6130" customFormat="false" ht="14.25" hidden="false" customHeight="true" outlineLevel="0" collapsed="false">
      <c r="B6130" s="9" t="s">
        <v>28</v>
      </c>
      <c r="C6130" s="9" t="n">
        <v>1128299</v>
      </c>
      <c r="D6130" s="10" t="n">
        <v>44267</v>
      </c>
      <c r="E6130" s="9" t="s">
        <v>50</v>
      </c>
      <c r="F6130" s="9" t="s">
        <v>92</v>
      </c>
      <c r="G6130" s="9" t="s">
        <v>93</v>
      </c>
      <c r="H6130" s="11" t="s">
        <v>21</v>
      </c>
      <c r="I6130" s="12" t="n">
        <v>46</v>
      </c>
      <c r="J6130" s="13" t="n">
        <v>101</v>
      </c>
      <c r="K6130" s="14" t="n">
        <f aca="false">I6130*J6130</f>
        <v>4646</v>
      </c>
      <c r="L6130" s="14" t="n">
        <f aca="false">($L$2*M6130)/100</f>
        <v>636883.245</v>
      </c>
      <c r="M6130" s="15" t="n">
        <v>0.53</v>
      </c>
      <c r="N6130" s="9" t="s">
        <v>85</v>
      </c>
    </row>
    <row r="6131" customFormat="false" ht="14.25" hidden="false" customHeight="true" outlineLevel="0" collapsed="false">
      <c r="B6131" s="9" t="s">
        <v>28</v>
      </c>
      <c r="C6131" s="9" t="n">
        <v>1128299</v>
      </c>
      <c r="D6131" s="10" t="n">
        <v>44267</v>
      </c>
      <c r="E6131" s="9" t="s">
        <v>50</v>
      </c>
      <c r="F6131" s="9" t="s">
        <v>92</v>
      </c>
      <c r="G6131" s="9" t="s">
        <v>93</v>
      </c>
      <c r="H6131" s="11" t="s">
        <v>22</v>
      </c>
      <c r="I6131" s="12" t="n">
        <v>49</v>
      </c>
      <c r="J6131" s="13" t="n">
        <v>113</v>
      </c>
      <c r="K6131" s="14" t="n">
        <f aca="false">I6131*J6131</f>
        <v>5537</v>
      </c>
      <c r="L6131" s="14" t="n">
        <f aca="false">($L$2*M6131)/100</f>
        <v>588816.585</v>
      </c>
      <c r="M6131" s="15" t="n">
        <v>0.49</v>
      </c>
      <c r="N6131" s="9" t="s">
        <v>85</v>
      </c>
    </row>
    <row r="6132" customFormat="false" ht="14.25" hidden="false" customHeight="true" outlineLevel="0" collapsed="false">
      <c r="B6132" s="9" t="s">
        <v>28</v>
      </c>
      <c r="C6132" s="9" t="n">
        <v>1128299</v>
      </c>
      <c r="D6132" s="10" t="n">
        <v>44267</v>
      </c>
      <c r="E6132" s="9" t="s">
        <v>50</v>
      </c>
      <c r="F6132" s="9" t="s">
        <v>92</v>
      </c>
      <c r="G6132" s="9" t="s">
        <v>93</v>
      </c>
      <c r="H6132" s="11" t="s">
        <v>23</v>
      </c>
      <c r="I6132" s="12" t="n">
        <v>47</v>
      </c>
      <c r="J6132" s="13" t="n">
        <v>73</v>
      </c>
      <c r="K6132" s="14" t="n">
        <f aca="false">I6132*J6132</f>
        <v>3431</v>
      </c>
      <c r="L6132" s="14" t="n">
        <f aca="false">($L$2*M6132)/100</f>
        <v>624866.58</v>
      </c>
      <c r="M6132" s="15" t="n">
        <v>0.52</v>
      </c>
      <c r="N6132" s="9" t="s">
        <v>85</v>
      </c>
    </row>
    <row r="6133" customFormat="false" ht="14.25" hidden="false" customHeight="true" outlineLevel="0" collapsed="false">
      <c r="B6133" s="9" t="s">
        <v>28</v>
      </c>
      <c r="C6133" s="9" t="n">
        <v>1128299</v>
      </c>
      <c r="D6133" s="10" t="n">
        <v>44267</v>
      </c>
      <c r="E6133" s="9" t="s">
        <v>50</v>
      </c>
      <c r="F6133" s="9" t="s">
        <v>92</v>
      </c>
      <c r="G6133" s="9" t="s">
        <v>93</v>
      </c>
      <c r="H6133" s="11" t="s">
        <v>24</v>
      </c>
      <c r="I6133" s="12" t="n">
        <v>51</v>
      </c>
      <c r="J6133" s="13" t="n">
        <v>39</v>
      </c>
      <c r="K6133" s="14" t="n">
        <f aca="false">I6133*J6133</f>
        <v>1989</v>
      </c>
      <c r="L6133" s="14" t="n">
        <f aca="false">($L$2*M6133)/100</f>
        <v>564783.255</v>
      </c>
      <c r="M6133" s="15" t="n">
        <v>0.47</v>
      </c>
      <c r="N6133" s="9" t="s">
        <v>85</v>
      </c>
    </row>
    <row r="6134" customFormat="false" ht="14.25" hidden="false" customHeight="true" outlineLevel="0" collapsed="false">
      <c r="B6134" s="9" t="s">
        <v>28</v>
      </c>
      <c r="C6134" s="9" t="n">
        <v>1128299</v>
      </c>
      <c r="D6134" s="10" t="n">
        <v>44267</v>
      </c>
      <c r="E6134" s="9" t="s">
        <v>50</v>
      </c>
      <c r="F6134" s="9" t="s">
        <v>92</v>
      </c>
      <c r="G6134" s="9" t="s">
        <v>93</v>
      </c>
      <c r="H6134" s="11" t="s">
        <v>25</v>
      </c>
      <c r="I6134" s="12" t="n">
        <v>48</v>
      </c>
      <c r="J6134" s="13" t="n">
        <v>95</v>
      </c>
      <c r="K6134" s="14" t="n">
        <f aca="false">I6134*J6134</f>
        <v>4560</v>
      </c>
      <c r="L6134" s="14" t="n">
        <f aca="false">($L$2*M6134)/100</f>
        <v>432599.94</v>
      </c>
      <c r="M6134" s="15" t="n">
        <v>0.36</v>
      </c>
      <c r="N6134" s="9" t="s">
        <v>85</v>
      </c>
    </row>
    <row r="6135" customFormat="false" ht="14.25" hidden="false" customHeight="true" outlineLevel="0" collapsed="false">
      <c r="B6135" s="9" t="s">
        <v>28</v>
      </c>
      <c r="C6135" s="9" t="n">
        <v>1128299</v>
      </c>
      <c r="D6135" s="10" t="n">
        <v>44299</v>
      </c>
      <c r="E6135" s="9" t="s">
        <v>50</v>
      </c>
      <c r="F6135" s="9" t="s">
        <v>92</v>
      </c>
      <c r="G6135" s="9" t="s">
        <v>93</v>
      </c>
      <c r="H6135" s="11" t="s">
        <v>19</v>
      </c>
      <c r="I6135" s="12" t="n">
        <v>45</v>
      </c>
      <c r="J6135" s="13" t="n">
        <v>142</v>
      </c>
      <c r="K6135" s="14" t="n">
        <f aca="false">I6135*J6135</f>
        <v>6390</v>
      </c>
      <c r="L6135" s="14" t="n">
        <f aca="false">($L$2*M6135)/100</f>
        <v>612849.915</v>
      </c>
      <c r="M6135" s="15" t="n">
        <v>0.51</v>
      </c>
      <c r="N6135" s="9" t="s">
        <v>85</v>
      </c>
    </row>
    <row r="6136" customFormat="false" ht="14.25" hidden="false" customHeight="true" outlineLevel="0" collapsed="false">
      <c r="B6136" s="9" t="s">
        <v>28</v>
      </c>
      <c r="C6136" s="9" t="n">
        <v>1128299</v>
      </c>
      <c r="D6136" s="10" t="n">
        <v>44299</v>
      </c>
      <c r="E6136" s="9" t="s">
        <v>50</v>
      </c>
      <c r="F6136" s="9" t="s">
        <v>92</v>
      </c>
      <c r="G6136" s="9" t="s">
        <v>93</v>
      </c>
      <c r="H6136" s="11" t="s">
        <v>21</v>
      </c>
      <c r="I6136" s="12" t="n">
        <v>51</v>
      </c>
      <c r="J6136" s="13" t="n">
        <v>88</v>
      </c>
      <c r="K6136" s="14" t="n">
        <f aca="false">I6136*J6136</f>
        <v>4488</v>
      </c>
      <c r="L6136" s="14" t="n">
        <f aca="false">($L$2*M6136)/100</f>
        <v>600833.25</v>
      </c>
      <c r="M6136" s="15" t="n">
        <v>0.5</v>
      </c>
      <c r="N6136" s="9" t="s">
        <v>85</v>
      </c>
    </row>
    <row r="6137" customFormat="false" ht="14.25" hidden="false" customHeight="true" outlineLevel="0" collapsed="false">
      <c r="B6137" s="9" t="s">
        <v>28</v>
      </c>
      <c r="C6137" s="9" t="n">
        <v>1128299</v>
      </c>
      <c r="D6137" s="10" t="n">
        <v>44299</v>
      </c>
      <c r="E6137" s="9" t="s">
        <v>50</v>
      </c>
      <c r="F6137" s="9" t="s">
        <v>92</v>
      </c>
      <c r="G6137" s="9" t="s">
        <v>93</v>
      </c>
      <c r="H6137" s="11" t="s">
        <v>22</v>
      </c>
      <c r="I6137" s="12" t="n">
        <v>50</v>
      </c>
      <c r="J6137" s="13" t="n">
        <v>94</v>
      </c>
      <c r="K6137" s="14" t="n">
        <f aca="false">I6137*J6137</f>
        <v>4700</v>
      </c>
      <c r="L6137" s="14" t="n">
        <f aca="false">($L$2*M6137)/100</f>
        <v>600833.25</v>
      </c>
      <c r="M6137" s="15" t="n">
        <v>0.5</v>
      </c>
      <c r="N6137" s="9" t="s">
        <v>85</v>
      </c>
    </row>
    <row r="6138" customFormat="false" ht="14.25" hidden="false" customHeight="true" outlineLevel="0" collapsed="false">
      <c r="B6138" s="9" t="s">
        <v>28</v>
      </c>
      <c r="C6138" s="9" t="n">
        <v>1128299</v>
      </c>
      <c r="D6138" s="10" t="n">
        <v>44299</v>
      </c>
      <c r="E6138" s="9" t="s">
        <v>50</v>
      </c>
      <c r="F6138" s="9" t="s">
        <v>92</v>
      </c>
      <c r="G6138" s="9" t="s">
        <v>93</v>
      </c>
      <c r="H6138" s="11" t="s">
        <v>23</v>
      </c>
      <c r="I6138" s="12" t="n">
        <v>48</v>
      </c>
      <c r="J6138" s="13" t="n">
        <v>69</v>
      </c>
      <c r="K6138" s="14" t="n">
        <f aca="false">I6138*J6138</f>
        <v>3312</v>
      </c>
      <c r="L6138" s="14" t="n">
        <f aca="false">($L$2*M6138)/100</f>
        <v>660916.575</v>
      </c>
      <c r="M6138" s="15" t="n">
        <v>0.55</v>
      </c>
      <c r="N6138" s="9" t="s">
        <v>85</v>
      </c>
    </row>
    <row r="6139" customFormat="false" ht="14.25" hidden="false" customHeight="true" outlineLevel="0" collapsed="false">
      <c r="B6139" s="9" t="s">
        <v>28</v>
      </c>
      <c r="C6139" s="9" t="n">
        <v>1128299</v>
      </c>
      <c r="D6139" s="10" t="n">
        <v>44299</v>
      </c>
      <c r="E6139" s="9" t="s">
        <v>50</v>
      </c>
      <c r="F6139" s="9" t="s">
        <v>92</v>
      </c>
      <c r="G6139" s="9" t="s">
        <v>93</v>
      </c>
      <c r="H6139" s="11" t="s">
        <v>24</v>
      </c>
      <c r="I6139" s="12" t="n">
        <v>52</v>
      </c>
      <c r="J6139" s="13" t="n">
        <v>53</v>
      </c>
      <c r="K6139" s="14" t="n">
        <f aca="false">I6139*J6139</f>
        <v>2756</v>
      </c>
      <c r="L6139" s="14" t="n">
        <f aca="false">($L$2*M6139)/100</f>
        <v>576799.92</v>
      </c>
      <c r="M6139" s="15" t="n">
        <v>0.48</v>
      </c>
      <c r="N6139" s="9" t="s">
        <v>85</v>
      </c>
    </row>
    <row r="6140" customFormat="false" ht="14.25" hidden="false" customHeight="true" outlineLevel="0" collapsed="false">
      <c r="B6140" s="9" t="s">
        <v>28</v>
      </c>
      <c r="C6140" s="9" t="n">
        <v>1128299</v>
      </c>
      <c r="D6140" s="10" t="n">
        <v>44299</v>
      </c>
      <c r="E6140" s="9" t="s">
        <v>50</v>
      </c>
      <c r="F6140" s="9" t="s">
        <v>92</v>
      </c>
      <c r="G6140" s="9" t="s">
        <v>93</v>
      </c>
      <c r="H6140" s="11" t="s">
        <v>25</v>
      </c>
      <c r="I6140" s="12" t="n">
        <v>63</v>
      </c>
      <c r="J6140" s="13" t="n">
        <v>105</v>
      </c>
      <c r="K6140" s="14" t="n">
        <f aca="false">I6140*J6140</f>
        <v>6615</v>
      </c>
      <c r="L6140" s="14" t="n">
        <f aca="false">($L$2*M6140)/100</f>
        <v>480666.6</v>
      </c>
      <c r="M6140" s="15" t="n">
        <v>0.4</v>
      </c>
      <c r="N6140" s="9" t="s">
        <v>85</v>
      </c>
    </row>
    <row r="6141" customFormat="false" ht="14.25" hidden="false" customHeight="true" outlineLevel="0" collapsed="false">
      <c r="B6141" s="9" t="s">
        <v>28</v>
      </c>
      <c r="C6141" s="9" t="n">
        <v>1128299</v>
      </c>
      <c r="D6141" s="10" t="n">
        <v>44330</v>
      </c>
      <c r="E6141" s="9" t="s">
        <v>50</v>
      </c>
      <c r="F6141" s="9" t="s">
        <v>92</v>
      </c>
      <c r="G6141" s="9" t="s">
        <v>93</v>
      </c>
      <c r="H6141" s="11" t="s">
        <v>19</v>
      </c>
      <c r="I6141" s="12" t="n">
        <v>47</v>
      </c>
      <c r="J6141" s="13" t="n">
        <v>160</v>
      </c>
      <c r="K6141" s="14" t="n">
        <f aca="false">I6141*J6141</f>
        <v>7520</v>
      </c>
      <c r="L6141" s="14" t="n">
        <f aca="false">($L$2*M6141)/100</f>
        <v>648899.91</v>
      </c>
      <c r="M6141" s="15" t="n">
        <v>0.54</v>
      </c>
      <c r="N6141" s="9" t="s">
        <v>85</v>
      </c>
    </row>
    <row r="6142" customFormat="false" ht="14.25" hidden="false" customHeight="true" outlineLevel="0" collapsed="false">
      <c r="B6142" s="9" t="s">
        <v>28</v>
      </c>
      <c r="C6142" s="9" t="n">
        <v>1128299</v>
      </c>
      <c r="D6142" s="10" t="n">
        <v>44330</v>
      </c>
      <c r="E6142" s="9" t="s">
        <v>50</v>
      </c>
      <c r="F6142" s="9" t="s">
        <v>92</v>
      </c>
      <c r="G6142" s="9" t="s">
        <v>93</v>
      </c>
      <c r="H6142" s="11" t="s">
        <v>21</v>
      </c>
      <c r="I6142" s="12" t="n">
        <v>52</v>
      </c>
      <c r="J6142" s="13" t="n">
        <v>108</v>
      </c>
      <c r="K6142" s="14" t="n">
        <f aca="false">I6142*J6142</f>
        <v>5616</v>
      </c>
      <c r="L6142" s="14" t="n">
        <f aca="false">($L$2*M6142)/100</f>
        <v>624866.58</v>
      </c>
      <c r="M6142" s="15" t="n">
        <v>0.52</v>
      </c>
      <c r="N6142" s="9" t="s">
        <v>85</v>
      </c>
    </row>
    <row r="6143" customFormat="false" ht="14.25" hidden="false" customHeight="true" outlineLevel="0" collapsed="false">
      <c r="B6143" s="9" t="s">
        <v>28</v>
      </c>
      <c r="C6143" s="9" t="n">
        <v>1128299</v>
      </c>
      <c r="D6143" s="10" t="n">
        <v>44330</v>
      </c>
      <c r="E6143" s="9" t="s">
        <v>50</v>
      </c>
      <c r="F6143" s="9" t="s">
        <v>92</v>
      </c>
      <c r="G6143" s="9" t="s">
        <v>93</v>
      </c>
      <c r="H6143" s="11" t="s">
        <v>22</v>
      </c>
      <c r="I6143" s="12" t="n">
        <v>52</v>
      </c>
      <c r="J6143" s="13" t="n">
        <v>123</v>
      </c>
      <c r="K6143" s="14" t="n">
        <f aca="false">I6143*J6143</f>
        <v>6396</v>
      </c>
      <c r="L6143" s="14" t="n">
        <f aca="false">($L$2*M6143)/100</f>
        <v>600833.25</v>
      </c>
      <c r="M6143" s="15" t="n">
        <v>0.5</v>
      </c>
      <c r="N6143" s="9" t="s">
        <v>85</v>
      </c>
    </row>
    <row r="6144" customFormat="false" ht="14.25" hidden="false" customHeight="true" outlineLevel="0" collapsed="false">
      <c r="B6144" s="9" t="s">
        <v>28</v>
      </c>
      <c r="C6144" s="9" t="n">
        <v>1128299</v>
      </c>
      <c r="D6144" s="10" t="n">
        <v>44330</v>
      </c>
      <c r="E6144" s="9" t="s">
        <v>50</v>
      </c>
      <c r="F6144" s="9" t="s">
        <v>92</v>
      </c>
      <c r="G6144" s="9" t="s">
        <v>93</v>
      </c>
      <c r="H6144" s="11" t="s">
        <v>23</v>
      </c>
      <c r="I6144" s="12" t="n">
        <v>47</v>
      </c>
      <c r="J6144" s="13" t="n">
        <v>91</v>
      </c>
      <c r="K6144" s="14" t="n">
        <f aca="false">I6144*J6144</f>
        <v>4277</v>
      </c>
      <c r="L6144" s="14" t="n">
        <f aca="false">($L$2*M6144)/100</f>
        <v>648899.91</v>
      </c>
      <c r="M6144" s="15" t="n">
        <v>0.54</v>
      </c>
      <c r="N6144" s="9" t="s">
        <v>85</v>
      </c>
    </row>
    <row r="6145" customFormat="false" ht="14.25" hidden="false" customHeight="true" outlineLevel="0" collapsed="false">
      <c r="B6145" s="9" t="s">
        <v>28</v>
      </c>
      <c r="C6145" s="9" t="n">
        <v>1128299</v>
      </c>
      <c r="D6145" s="10" t="n">
        <v>44330</v>
      </c>
      <c r="E6145" s="9" t="s">
        <v>50</v>
      </c>
      <c r="F6145" s="9" t="s">
        <v>92</v>
      </c>
      <c r="G6145" s="9" t="s">
        <v>93</v>
      </c>
      <c r="H6145" s="11" t="s">
        <v>24</v>
      </c>
      <c r="I6145" s="12" t="n">
        <v>50</v>
      </c>
      <c r="J6145" s="13" t="n">
        <v>56</v>
      </c>
      <c r="K6145" s="14" t="n">
        <f aca="false">I6145*J6145</f>
        <v>2800</v>
      </c>
      <c r="L6145" s="14" t="n">
        <f aca="false">($L$2*M6145)/100</f>
        <v>576799.92</v>
      </c>
      <c r="M6145" s="15" t="n">
        <v>0.48</v>
      </c>
      <c r="N6145" s="9" t="s">
        <v>85</v>
      </c>
    </row>
    <row r="6146" customFormat="false" ht="14.25" hidden="false" customHeight="true" outlineLevel="0" collapsed="false">
      <c r="B6146" s="9" t="s">
        <v>28</v>
      </c>
      <c r="C6146" s="9" t="n">
        <v>1128299</v>
      </c>
      <c r="D6146" s="10" t="n">
        <v>44330</v>
      </c>
      <c r="E6146" s="9" t="s">
        <v>50</v>
      </c>
      <c r="F6146" s="9" t="s">
        <v>92</v>
      </c>
      <c r="G6146" s="9" t="s">
        <v>93</v>
      </c>
      <c r="H6146" s="11" t="s">
        <v>25</v>
      </c>
      <c r="I6146" s="12" t="n">
        <v>64</v>
      </c>
      <c r="J6146" s="13" t="n">
        <v>120</v>
      </c>
      <c r="K6146" s="14" t="n">
        <f aca="false">I6146*J6146</f>
        <v>7680</v>
      </c>
      <c r="L6146" s="14" t="n">
        <f aca="false">($L$2*M6146)/100</f>
        <v>480666.6</v>
      </c>
      <c r="M6146" s="15" t="n">
        <v>0.4</v>
      </c>
      <c r="N6146" s="9" t="s">
        <v>85</v>
      </c>
    </row>
    <row r="6147" customFormat="false" ht="14.25" hidden="false" customHeight="true" outlineLevel="0" collapsed="false">
      <c r="B6147" s="9" t="s">
        <v>28</v>
      </c>
      <c r="C6147" s="9" t="n">
        <v>1128299</v>
      </c>
      <c r="D6147" s="10" t="n">
        <v>44360</v>
      </c>
      <c r="E6147" s="9" t="s">
        <v>50</v>
      </c>
      <c r="F6147" s="9" t="s">
        <v>92</v>
      </c>
      <c r="G6147" s="9" t="s">
        <v>93</v>
      </c>
      <c r="H6147" s="11" t="s">
        <v>19</v>
      </c>
      <c r="I6147" s="12" t="n">
        <v>46</v>
      </c>
      <c r="J6147" s="13" t="n">
        <v>176</v>
      </c>
      <c r="K6147" s="14" t="n">
        <f aca="false">I6147*J6147</f>
        <v>8096</v>
      </c>
      <c r="L6147" s="14" t="n">
        <f aca="false">($L$2*M6147)/100</f>
        <v>636883.245</v>
      </c>
      <c r="M6147" s="15" t="n">
        <v>0.53</v>
      </c>
      <c r="N6147" s="9" t="s">
        <v>85</v>
      </c>
    </row>
    <row r="6148" customFormat="false" ht="14.25" hidden="false" customHeight="true" outlineLevel="0" collapsed="false">
      <c r="B6148" s="9" t="s">
        <v>28</v>
      </c>
      <c r="C6148" s="9" t="n">
        <v>1128299</v>
      </c>
      <c r="D6148" s="10" t="n">
        <v>44360</v>
      </c>
      <c r="E6148" s="9" t="s">
        <v>50</v>
      </c>
      <c r="F6148" s="9" t="s">
        <v>92</v>
      </c>
      <c r="G6148" s="9" t="s">
        <v>93</v>
      </c>
      <c r="H6148" s="11" t="s">
        <v>21</v>
      </c>
      <c r="I6148" s="12" t="n">
        <v>54</v>
      </c>
      <c r="J6148" s="13" t="n">
        <v>147</v>
      </c>
      <c r="K6148" s="14" t="n">
        <f aca="false">I6148*J6148</f>
        <v>7938</v>
      </c>
      <c r="L6148" s="14" t="n">
        <f aca="false">($L$2*M6148)/100</f>
        <v>612849.915</v>
      </c>
      <c r="M6148" s="15" t="n">
        <v>0.51</v>
      </c>
      <c r="N6148" s="9" t="s">
        <v>85</v>
      </c>
    </row>
    <row r="6149" customFormat="false" ht="14.25" hidden="false" customHeight="true" outlineLevel="0" collapsed="false">
      <c r="B6149" s="9" t="s">
        <v>28</v>
      </c>
      <c r="C6149" s="9" t="n">
        <v>1128299</v>
      </c>
      <c r="D6149" s="10" t="n">
        <v>44360</v>
      </c>
      <c r="E6149" s="9" t="s">
        <v>50</v>
      </c>
      <c r="F6149" s="9" t="s">
        <v>92</v>
      </c>
      <c r="G6149" s="9" t="s">
        <v>93</v>
      </c>
      <c r="H6149" s="11" t="s">
        <v>22</v>
      </c>
      <c r="I6149" s="12" t="n">
        <v>52</v>
      </c>
      <c r="J6149" s="13" t="n">
        <v>142</v>
      </c>
      <c r="K6149" s="14" t="n">
        <f aca="false">I6149*J6149</f>
        <v>7384</v>
      </c>
      <c r="L6149" s="14" t="n">
        <f aca="false">($L$2*M6149)/100</f>
        <v>576799.92</v>
      </c>
      <c r="M6149" s="15" t="n">
        <v>0.48</v>
      </c>
      <c r="N6149" s="9" t="s">
        <v>85</v>
      </c>
    </row>
    <row r="6150" customFormat="false" ht="14.25" hidden="false" customHeight="true" outlineLevel="0" collapsed="false">
      <c r="B6150" s="9" t="s">
        <v>28</v>
      </c>
      <c r="C6150" s="9" t="n">
        <v>1128299</v>
      </c>
      <c r="D6150" s="10" t="n">
        <v>44360</v>
      </c>
      <c r="E6150" s="9" t="s">
        <v>50</v>
      </c>
      <c r="F6150" s="9" t="s">
        <v>92</v>
      </c>
      <c r="G6150" s="9" t="s">
        <v>93</v>
      </c>
      <c r="H6150" s="11" t="s">
        <v>23</v>
      </c>
      <c r="I6150" s="12" t="n">
        <v>49</v>
      </c>
      <c r="J6150" s="13" t="n">
        <v>120</v>
      </c>
      <c r="K6150" s="14" t="n">
        <f aca="false">I6150*J6150</f>
        <v>5880</v>
      </c>
      <c r="L6150" s="14" t="n">
        <f aca="false">($L$2*M6150)/100</f>
        <v>612849.915</v>
      </c>
      <c r="M6150" s="15" t="n">
        <v>0.51</v>
      </c>
      <c r="N6150" s="9" t="s">
        <v>85</v>
      </c>
    </row>
    <row r="6151" customFormat="false" ht="14.25" hidden="false" customHeight="true" outlineLevel="0" collapsed="false">
      <c r="B6151" s="9" t="s">
        <v>28</v>
      </c>
      <c r="C6151" s="9" t="n">
        <v>1128299</v>
      </c>
      <c r="D6151" s="10" t="n">
        <v>44360</v>
      </c>
      <c r="E6151" s="9" t="s">
        <v>50</v>
      </c>
      <c r="F6151" s="9" t="s">
        <v>92</v>
      </c>
      <c r="G6151" s="9" t="s">
        <v>93</v>
      </c>
      <c r="H6151" s="11" t="s">
        <v>24</v>
      </c>
      <c r="I6151" s="12" t="n">
        <v>51</v>
      </c>
      <c r="J6151" s="13" t="n">
        <v>72</v>
      </c>
      <c r="K6151" s="14" t="n">
        <f aca="false">I6151*J6151</f>
        <v>3672</v>
      </c>
      <c r="L6151" s="14" t="n">
        <f aca="false">($L$2*M6151)/100</f>
        <v>576799.92</v>
      </c>
      <c r="M6151" s="15" t="n">
        <v>0.48</v>
      </c>
      <c r="N6151" s="9" t="s">
        <v>85</v>
      </c>
    </row>
    <row r="6152" customFormat="false" ht="14.25" hidden="false" customHeight="true" outlineLevel="0" collapsed="false">
      <c r="B6152" s="9" t="s">
        <v>28</v>
      </c>
      <c r="C6152" s="9" t="n">
        <v>1128299</v>
      </c>
      <c r="D6152" s="10" t="n">
        <v>44360</v>
      </c>
      <c r="E6152" s="9" t="s">
        <v>50</v>
      </c>
      <c r="F6152" s="9" t="s">
        <v>92</v>
      </c>
      <c r="G6152" s="9" t="s">
        <v>93</v>
      </c>
      <c r="H6152" s="11" t="s">
        <v>25</v>
      </c>
      <c r="I6152" s="12" t="n">
        <v>67</v>
      </c>
      <c r="J6152" s="13" t="n">
        <v>150</v>
      </c>
      <c r="K6152" s="14" t="n">
        <f aca="false">I6152*J6152</f>
        <v>10050</v>
      </c>
      <c r="L6152" s="14" t="n">
        <f aca="false">($L$2*M6152)/100</f>
        <v>420583.275</v>
      </c>
      <c r="M6152" s="15" t="n">
        <v>0.35</v>
      </c>
      <c r="N6152" s="9" t="s">
        <v>85</v>
      </c>
    </row>
    <row r="6153" customFormat="false" ht="14.25" hidden="false" customHeight="true" outlineLevel="0" collapsed="false">
      <c r="B6153" s="9" t="s">
        <v>28</v>
      </c>
      <c r="C6153" s="9" t="n">
        <v>1128299</v>
      </c>
      <c r="D6153" s="10" t="n">
        <v>44389</v>
      </c>
      <c r="E6153" s="9" t="s">
        <v>50</v>
      </c>
      <c r="F6153" s="9" t="s">
        <v>92</v>
      </c>
      <c r="G6153" s="9" t="s">
        <v>93</v>
      </c>
      <c r="H6153" s="11" t="s">
        <v>19</v>
      </c>
      <c r="I6153" s="12" t="n">
        <v>47</v>
      </c>
      <c r="J6153" s="13" t="n">
        <v>196</v>
      </c>
      <c r="K6153" s="14" t="n">
        <f aca="false">I6153*J6153</f>
        <v>9212</v>
      </c>
      <c r="L6153" s="14" t="n">
        <f aca="false">($L$2*M6153)/100</f>
        <v>600833.25</v>
      </c>
      <c r="M6153" s="15" t="n">
        <v>0.5</v>
      </c>
      <c r="N6153" s="9" t="s">
        <v>85</v>
      </c>
    </row>
    <row r="6154" customFormat="false" ht="14.25" hidden="false" customHeight="true" outlineLevel="0" collapsed="false">
      <c r="B6154" s="9" t="s">
        <v>28</v>
      </c>
      <c r="C6154" s="9" t="n">
        <v>1128299</v>
      </c>
      <c r="D6154" s="10" t="n">
        <v>44389</v>
      </c>
      <c r="E6154" s="9" t="s">
        <v>50</v>
      </c>
      <c r="F6154" s="9" t="s">
        <v>92</v>
      </c>
      <c r="G6154" s="9" t="s">
        <v>93</v>
      </c>
      <c r="H6154" s="11" t="s">
        <v>21</v>
      </c>
      <c r="I6154" s="12" t="n">
        <v>51</v>
      </c>
      <c r="J6154" s="13" t="n">
        <v>173</v>
      </c>
      <c r="K6154" s="14" t="n">
        <f aca="false">I6154*J6154</f>
        <v>8823</v>
      </c>
      <c r="L6154" s="14" t="n">
        <f aca="false">($L$2*M6154)/100</f>
        <v>612849.915</v>
      </c>
      <c r="M6154" s="15" t="n">
        <v>0.51</v>
      </c>
      <c r="N6154" s="9" t="s">
        <v>85</v>
      </c>
    </row>
    <row r="6155" customFormat="false" ht="14.25" hidden="false" customHeight="true" outlineLevel="0" collapsed="false">
      <c r="B6155" s="9" t="s">
        <v>28</v>
      </c>
      <c r="C6155" s="9" t="n">
        <v>1128299</v>
      </c>
      <c r="D6155" s="10" t="n">
        <v>44389</v>
      </c>
      <c r="E6155" s="9" t="s">
        <v>50</v>
      </c>
      <c r="F6155" s="9" t="s">
        <v>92</v>
      </c>
      <c r="G6155" s="9" t="s">
        <v>93</v>
      </c>
      <c r="H6155" s="11" t="s">
        <v>22</v>
      </c>
      <c r="I6155" s="12" t="n">
        <v>50</v>
      </c>
      <c r="J6155" s="13" t="n">
        <v>137</v>
      </c>
      <c r="K6155" s="14" t="n">
        <f aca="false">I6155*J6155</f>
        <v>6850</v>
      </c>
      <c r="L6155" s="14" t="n">
        <f aca="false">($L$2*M6155)/100</f>
        <v>600833.25</v>
      </c>
      <c r="M6155" s="15" t="n">
        <v>0.5</v>
      </c>
      <c r="N6155" s="9" t="s">
        <v>85</v>
      </c>
    </row>
    <row r="6156" customFormat="false" ht="14.25" hidden="false" customHeight="true" outlineLevel="0" collapsed="false">
      <c r="B6156" s="9" t="s">
        <v>28</v>
      </c>
      <c r="C6156" s="9" t="n">
        <v>1128299</v>
      </c>
      <c r="D6156" s="10" t="n">
        <v>44389</v>
      </c>
      <c r="E6156" s="9" t="s">
        <v>50</v>
      </c>
      <c r="F6156" s="9" t="s">
        <v>92</v>
      </c>
      <c r="G6156" s="9" t="s">
        <v>93</v>
      </c>
      <c r="H6156" s="11" t="s">
        <v>23</v>
      </c>
      <c r="I6156" s="12" t="n">
        <v>46</v>
      </c>
      <c r="J6156" s="13" t="n">
        <v>128</v>
      </c>
      <c r="K6156" s="14" t="n">
        <f aca="false">I6156*J6156</f>
        <v>5888</v>
      </c>
      <c r="L6156" s="14" t="n">
        <f aca="false">($L$2*M6156)/100</f>
        <v>612849.915</v>
      </c>
      <c r="M6156" s="15" t="n">
        <v>0.51</v>
      </c>
      <c r="N6156" s="9" t="s">
        <v>85</v>
      </c>
    </row>
    <row r="6157" customFormat="false" ht="14.25" hidden="false" customHeight="true" outlineLevel="0" collapsed="false">
      <c r="B6157" s="9" t="s">
        <v>28</v>
      </c>
      <c r="C6157" s="9" t="n">
        <v>1128299</v>
      </c>
      <c r="D6157" s="10" t="n">
        <v>44389</v>
      </c>
      <c r="E6157" s="9" t="s">
        <v>50</v>
      </c>
      <c r="F6157" s="9" t="s">
        <v>92</v>
      </c>
      <c r="G6157" s="9" t="s">
        <v>93</v>
      </c>
      <c r="H6157" s="11" t="s">
        <v>24</v>
      </c>
      <c r="I6157" s="12" t="n">
        <v>54</v>
      </c>
      <c r="J6157" s="13" t="n">
        <v>138</v>
      </c>
      <c r="K6157" s="14" t="n">
        <f aca="false">I6157*J6157</f>
        <v>7452</v>
      </c>
      <c r="L6157" s="14" t="n">
        <f aca="false">($L$2*M6157)/100</f>
        <v>576799.92</v>
      </c>
      <c r="M6157" s="15" t="n">
        <v>0.48</v>
      </c>
      <c r="N6157" s="9" t="s">
        <v>85</v>
      </c>
    </row>
    <row r="6158" customFormat="false" ht="14.25" hidden="false" customHeight="true" outlineLevel="0" collapsed="false">
      <c r="B6158" s="9" t="s">
        <v>28</v>
      </c>
      <c r="C6158" s="9" t="n">
        <v>1128299</v>
      </c>
      <c r="D6158" s="10" t="n">
        <v>44389</v>
      </c>
      <c r="E6158" s="9" t="s">
        <v>50</v>
      </c>
      <c r="F6158" s="9" t="s">
        <v>92</v>
      </c>
      <c r="G6158" s="9" t="s">
        <v>93</v>
      </c>
      <c r="H6158" s="11" t="s">
        <v>25</v>
      </c>
      <c r="I6158" s="12" t="n">
        <v>67</v>
      </c>
      <c r="J6158" s="13" t="n">
        <v>143</v>
      </c>
      <c r="K6158" s="14" t="n">
        <f aca="false">I6158*J6158</f>
        <v>9581</v>
      </c>
      <c r="L6158" s="14" t="n">
        <f aca="false">($L$2*M6158)/100</f>
        <v>456633.27</v>
      </c>
      <c r="M6158" s="15" t="n">
        <v>0.38</v>
      </c>
      <c r="N6158" s="9" t="s">
        <v>85</v>
      </c>
    </row>
    <row r="6159" customFormat="false" ht="14.25" hidden="false" customHeight="true" outlineLevel="0" collapsed="false">
      <c r="B6159" s="9" t="s">
        <v>28</v>
      </c>
      <c r="C6159" s="9" t="n">
        <v>1128299</v>
      </c>
      <c r="D6159" s="10" t="n">
        <v>44421</v>
      </c>
      <c r="E6159" s="9" t="s">
        <v>50</v>
      </c>
      <c r="F6159" s="9" t="s">
        <v>92</v>
      </c>
      <c r="G6159" s="9" t="s">
        <v>93</v>
      </c>
      <c r="H6159" s="11" t="s">
        <v>19</v>
      </c>
      <c r="I6159" s="12" t="n">
        <v>53</v>
      </c>
      <c r="J6159" s="13" t="n">
        <v>182</v>
      </c>
      <c r="K6159" s="14" t="n">
        <f aca="false">I6159*J6159</f>
        <v>9646</v>
      </c>
      <c r="L6159" s="14" t="n">
        <f aca="false">($L$2*M6159)/100</f>
        <v>612849.915</v>
      </c>
      <c r="M6159" s="15" t="n">
        <v>0.51</v>
      </c>
      <c r="N6159" s="9" t="s">
        <v>85</v>
      </c>
    </row>
    <row r="6160" customFormat="false" ht="14.25" hidden="false" customHeight="true" outlineLevel="0" collapsed="false">
      <c r="B6160" s="9" t="s">
        <v>28</v>
      </c>
      <c r="C6160" s="9" t="n">
        <v>1128299</v>
      </c>
      <c r="D6160" s="10" t="n">
        <v>44421</v>
      </c>
      <c r="E6160" s="9" t="s">
        <v>50</v>
      </c>
      <c r="F6160" s="9" t="s">
        <v>92</v>
      </c>
      <c r="G6160" s="9" t="s">
        <v>93</v>
      </c>
      <c r="H6160" s="11" t="s">
        <v>21</v>
      </c>
      <c r="I6160" s="12" t="n">
        <v>58</v>
      </c>
      <c r="J6160" s="13" t="n">
        <v>175</v>
      </c>
      <c r="K6160" s="14" t="n">
        <f aca="false">I6160*J6160</f>
        <v>10150</v>
      </c>
      <c r="L6160" s="14" t="n">
        <f aca="false">($L$2*M6160)/100</f>
        <v>624866.58</v>
      </c>
      <c r="M6160" s="15" t="n">
        <v>0.52</v>
      </c>
      <c r="N6160" s="9" t="s">
        <v>85</v>
      </c>
    </row>
    <row r="6161" customFormat="false" ht="14.25" hidden="false" customHeight="true" outlineLevel="0" collapsed="false">
      <c r="B6161" s="9" t="s">
        <v>28</v>
      </c>
      <c r="C6161" s="9" t="n">
        <v>1128299</v>
      </c>
      <c r="D6161" s="10" t="n">
        <v>44421</v>
      </c>
      <c r="E6161" s="9" t="s">
        <v>50</v>
      </c>
      <c r="F6161" s="9" t="s">
        <v>92</v>
      </c>
      <c r="G6161" s="9" t="s">
        <v>93</v>
      </c>
      <c r="H6161" s="11" t="s">
        <v>22</v>
      </c>
      <c r="I6161" s="12" t="n">
        <v>54</v>
      </c>
      <c r="J6161" s="13" t="n">
        <v>150</v>
      </c>
      <c r="K6161" s="14" t="n">
        <f aca="false">I6161*J6161</f>
        <v>8100</v>
      </c>
      <c r="L6161" s="14" t="n">
        <f aca="false">($L$2*M6161)/100</f>
        <v>552766.59</v>
      </c>
      <c r="M6161" s="15" t="n">
        <v>0.46</v>
      </c>
      <c r="N6161" s="9" t="s">
        <v>85</v>
      </c>
    </row>
    <row r="6162" customFormat="false" ht="14.25" hidden="false" customHeight="true" outlineLevel="0" collapsed="false">
      <c r="B6162" s="9" t="s">
        <v>28</v>
      </c>
      <c r="C6162" s="9" t="n">
        <v>1128299</v>
      </c>
      <c r="D6162" s="10" t="n">
        <v>44421</v>
      </c>
      <c r="E6162" s="9" t="s">
        <v>50</v>
      </c>
      <c r="F6162" s="9" t="s">
        <v>92</v>
      </c>
      <c r="G6162" s="9" t="s">
        <v>93</v>
      </c>
      <c r="H6162" s="11" t="s">
        <v>23</v>
      </c>
      <c r="I6162" s="12" t="n">
        <v>53</v>
      </c>
      <c r="J6162" s="13" t="n">
        <v>113</v>
      </c>
      <c r="K6162" s="14" t="n">
        <f aca="false">I6162*J6162</f>
        <v>5989</v>
      </c>
      <c r="L6162" s="14" t="n">
        <f aca="false">($L$2*M6162)/100</f>
        <v>624866.58</v>
      </c>
      <c r="M6162" s="15" t="n">
        <v>0.52</v>
      </c>
      <c r="N6162" s="9" t="s">
        <v>85</v>
      </c>
    </row>
    <row r="6163" customFormat="false" ht="14.25" hidden="false" customHeight="true" outlineLevel="0" collapsed="false">
      <c r="B6163" s="9" t="s">
        <v>28</v>
      </c>
      <c r="C6163" s="9" t="n">
        <v>1128299</v>
      </c>
      <c r="D6163" s="10" t="n">
        <v>44421</v>
      </c>
      <c r="E6163" s="9" t="s">
        <v>50</v>
      </c>
      <c r="F6163" s="9" t="s">
        <v>92</v>
      </c>
      <c r="G6163" s="9" t="s">
        <v>93</v>
      </c>
      <c r="H6163" s="11" t="s">
        <v>24</v>
      </c>
      <c r="I6163" s="12" t="n">
        <v>60</v>
      </c>
      <c r="J6163" s="13" t="n">
        <v>126</v>
      </c>
      <c r="K6163" s="14" t="n">
        <f aca="false">I6163*J6163</f>
        <v>7560</v>
      </c>
      <c r="L6163" s="14" t="n">
        <f aca="false">($L$2*M6163)/100</f>
        <v>576799.92</v>
      </c>
      <c r="M6163" s="15" t="n">
        <v>0.48</v>
      </c>
      <c r="N6163" s="9" t="s">
        <v>85</v>
      </c>
    </row>
    <row r="6164" customFormat="false" ht="14.25" hidden="false" customHeight="true" outlineLevel="0" collapsed="false">
      <c r="B6164" s="9" t="s">
        <v>28</v>
      </c>
      <c r="C6164" s="9" t="n">
        <v>1128299</v>
      </c>
      <c r="D6164" s="10" t="n">
        <v>44421</v>
      </c>
      <c r="E6164" s="9" t="s">
        <v>50</v>
      </c>
      <c r="F6164" s="9" t="s">
        <v>92</v>
      </c>
      <c r="G6164" s="9" t="s">
        <v>93</v>
      </c>
      <c r="H6164" s="11" t="s">
        <v>25</v>
      </c>
      <c r="I6164" s="12" t="n">
        <v>68</v>
      </c>
      <c r="J6164" s="13" t="n">
        <v>119</v>
      </c>
      <c r="K6164" s="14" t="n">
        <f aca="false">I6164*J6164</f>
        <v>8092</v>
      </c>
      <c r="L6164" s="14" t="n">
        <f aca="false">($L$2*M6164)/100</f>
        <v>420583.275</v>
      </c>
      <c r="M6164" s="15" t="n">
        <v>0.35</v>
      </c>
      <c r="N6164" s="9" t="s">
        <v>85</v>
      </c>
    </row>
    <row r="6165" customFormat="false" ht="14.25" hidden="false" customHeight="true" outlineLevel="0" collapsed="false">
      <c r="B6165" s="9" t="s">
        <v>28</v>
      </c>
      <c r="C6165" s="9" t="n">
        <v>1128299</v>
      </c>
      <c r="D6165" s="10" t="n">
        <v>44453</v>
      </c>
      <c r="E6165" s="9" t="s">
        <v>50</v>
      </c>
      <c r="F6165" s="9" t="s">
        <v>92</v>
      </c>
      <c r="G6165" s="9" t="s">
        <v>93</v>
      </c>
      <c r="H6165" s="11" t="s">
        <v>19</v>
      </c>
      <c r="I6165" s="12" t="n">
        <v>43</v>
      </c>
      <c r="J6165" s="13" t="n">
        <v>180</v>
      </c>
      <c r="K6165" s="14" t="n">
        <f aca="false">I6165*J6165</f>
        <v>7740</v>
      </c>
      <c r="L6165" s="14" t="n">
        <f aca="false">($L$2*M6165)/100</f>
        <v>648899.91</v>
      </c>
      <c r="M6165" s="15" t="n">
        <v>0.54</v>
      </c>
      <c r="N6165" s="9" t="s">
        <v>85</v>
      </c>
    </row>
    <row r="6166" customFormat="false" ht="14.25" hidden="false" customHeight="true" outlineLevel="0" collapsed="false">
      <c r="B6166" s="9" t="s">
        <v>28</v>
      </c>
      <c r="C6166" s="9" t="n">
        <v>1128299</v>
      </c>
      <c r="D6166" s="10" t="n">
        <v>44453</v>
      </c>
      <c r="E6166" s="9" t="s">
        <v>50</v>
      </c>
      <c r="F6166" s="9" t="s">
        <v>92</v>
      </c>
      <c r="G6166" s="9" t="s">
        <v>93</v>
      </c>
      <c r="H6166" s="11" t="s">
        <v>21</v>
      </c>
      <c r="I6166" s="12" t="n">
        <v>47</v>
      </c>
      <c r="J6166" s="13" t="n">
        <v>156</v>
      </c>
      <c r="K6166" s="14" t="n">
        <f aca="false">I6166*J6166</f>
        <v>7332</v>
      </c>
      <c r="L6166" s="14" t="n">
        <f aca="false">($L$2*M6166)/100</f>
        <v>660916.575</v>
      </c>
      <c r="M6166" s="15" t="n">
        <v>0.55</v>
      </c>
      <c r="N6166" s="9" t="s">
        <v>85</v>
      </c>
    </row>
    <row r="6167" customFormat="false" ht="14.25" hidden="false" customHeight="true" outlineLevel="0" collapsed="false">
      <c r="B6167" s="9" t="s">
        <v>28</v>
      </c>
      <c r="C6167" s="9" t="n">
        <v>1128299</v>
      </c>
      <c r="D6167" s="10" t="n">
        <v>44453</v>
      </c>
      <c r="E6167" s="9" t="s">
        <v>50</v>
      </c>
      <c r="F6167" s="9" t="s">
        <v>92</v>
      </c>
      <c r="G6167" s="9" t="s">
        <v>93</v>
      </c>
      <c r="H6167" s="11" t="s">
        <v>22</v>
      </c>
      <c r="I6167" s="12" t="n">
        <v>42</v>
      </c>
      <c r="J6167" s="13" t="n">
        <v>135</v>
      </c>
      <c r="K6167" s="14" t="n">
        <f aca="false">I6167*J6167</f>
        <v>5670</v>
      </c>
      <c r="L6167" s="14" t="n">
        <f aca="false">($L$2*M6167)/100</f>
        <v>564783.255</v>
      </c>
      <c r="M6167" s="15" t="n">
        <v>0.47</v>
      </c>
      <c r="N6167" s="9" t="s">
        <v>85</v>
      </c>
    </row>
    <row r="6168" customFormat="false" ht="14.25" hidden="false" customHeight="true" outlineLevel="0" collapsed="false">
      <c r="B6168" s="9" t="s">
        <v>28</v>
      </c>
      <c r="C6168" s="9" t="n">
        <v>1128299</v>
      </c>
      <c r="D6168" s="10" t="n">
        <v>44453</v>
      </c>
      <c r="E6168" s="9" t="s">
        <v>50</v>
      </c>
      <c r="F6168" s="9" t="s">
        <v>92</v>
      </c>
      <c r="G6168" s="9" t="s">
        <v>93</v>
      </c>
      <c r="H6168" s="11" t="s">
        <v>23</v>
      </c>
      <c r="I6168" s="12" t="n">
        <v>43</v>
      </c>
      <c r="J6168" s="13" t="n">
        <v>120</v>
      </c>
      <c r="K6168" s="14" t="n">
        <f aca="false">I6168*J6168</f>
        <v>5160</v>
      </c>
      <c r="L6168" s="14" t="n">
        <f aca="false">($L$2*M6168)/100</f>
        <v>648899.91</v>
      </c>
      <c r="M6168" s="15" t="n">
        <v>0.54</v>
      </c>
      <c r="N6168" s="9" t="s">
        <v>85</v>
      </c>
    </row>
    <row r="6169" customFormat="false" ht="14.25" hidden="false" customHeight="true" outlineLevel="0" collapsed="false">
      <c r="B6169" s="9" t="s">
        <v>28</v>
      </c>
      <c r="C6169" s="9" t="n">
        <v>1128299</v>
      </c>
      <c r="D6169" s="10" t="n">
        <v>44453</v>
      </c>
      <c r="E6169" s="9" t="s">
        <v>50</v>
      </c>
      <c r="F6169" s="9" t="s">
        <v>92</v>
      </c>
      <c r="G6169" s="9" t="s">
        <v>93</v>
      </c>
      <c r="H6169" s="11" t="s">
        <v>24</v>
      </c>
      <c r="I6169" s="12" t="n">
        <v>54</v>
      </c>
      <c r="J6169" s="13" t="n">
        <v>100</v>
      </c>
      <c r="K6169" s="14" t="n">
        <f aca="false">I6169*J6169</f>
        <v>5400</v>
      </c>
      <c r="L6169" s="14" t="n">
        <f aca="false">($L$2*M6169)/100</f>
        <v>576799.92</v>
      </c>
      <c r="M6169" s="15" t="n">
        <v>0.48</v>
      </c>
      <c r="N6169" s="9" t="s">
        <v>85</v>
      </c>
    </row>
    <row r="6170" customFormat="false" ht="14.25" hidden="false" customHeight="true" outlineLevel="0" collapsed="false">
      <c r="B6170" s="9" t="s">
        <v>28</v>
      </c>
      <c r="C6170" s="9" t="n">
        <v>1128299</v>
      </c>
      <c r="D6170" s="10" t="n">
        <v>44453</v>
      </c>
      <c r="E6170" s="9" t="s">
        <v>50</v>
      </c>
      <c r="F6170" s="9" t="s">
        <v>92</v>
      </c>
      <c r="G6170" s="9" t="s">
        <v>93</v>
      </c>
      <c r="H6170" s="11" t="s">
        <v>25</v>
      </c>
      <c r="I6170" s="12" t="n">
        <v>59</v>
      </c>
      <c r="J6170" s="13" t="n">
        <v>131</v>
      </c>
      <c r="K6170" s="14" t="n">
        <f aca="false">I6170*J6170</f>
        <v>7729</v>
      </c>
      <c r="L6170" s="14" t="n">
        <f aca="false">($L$2*M6170)/100</f>
        <v>480666.6</v>
      </c>
      <c r="M6170" s="15" t="n">
        <v>0.4</v>
      </c>
      <c r="N6170" s="9" t="s">
        <v>85</v>
      </c>
    </row>
    <row r="6171" customFormat="false" ht="14.25" hidden="false" customHeight="true" outlineLevel="0" collapsed="false">
      <c r="B6171" s="9" t="s">
        <v>28</v>
      </c>
      <c r="C6171" s="9" t="n">
        <v>1128299</v>
      </c>
      <c r="D6171" s="10" t="n">
        <v>44482</v>
      </c>
      <c r="E6171" s="9" t="s">
        <v>50</v>
      </c>
      <c r="F6171" s="9" t="s">
        <v>92</v>
      </c>
      <c r="G6171" s="9" t="s">
        <v>93</v>
      </c>
      <c r="H6171" s="11" t="s">
        <v>19</v>
      </c>
      <c r="I6171" s="12" t="n">
        <v>42</v>
      </c>
      <c r="J6171" s="13" t="n">
        <v>131</v>
      </c>
      <c r="K6171" s="14" t="n">
        <f aca="false">I6171*J6171</f>
        <v>5502</v>
      </c>
      <c r="L6171" s="14" t="n">
        <f aca="false">($L$2*M6171)/100</f>
        <v>612849.915</v>
      </c>
      <c r="M6171" s="15" t="n">
        <v>0.51</v>
      </c>
      <c r="N6171" s="9" t="s">
        <v>85</v>
      </c>
    </row>
    <row r="6172" customFormat="false" ht="14.25" hidden="false" customHeight="true" outlineLevel="0" collapsed="false">
      <c r="B6172" s="9" t="s">
        <v>28</v>
      </c>
      <c r="C6172" s="9" t="n">
        <v>1128299</v>
      </c>
      <c r="D6172" s="10" t="n">
        <v>44482</v>
      </c>
      <c r="E6172" s="9" t="s">
        <v>50</v>
      </c>
      <c r="F6172" s="9" t="s">
        <v>92</v>
      </c>
      <c r="G6172" s="9" t="s">
        <v>93</v>
      </c>
      <c r="H6172" s="11" t="s">
        <v>21</v>
      </c>
      <c r="I6172" s="12" t="n">
        <v>47</v>
      </c>
      <c r="J6172" s="13" t="n">
        <v>142</v>
      </c>
      <c r="K6172" s="14" t="n">
        <f aca="false">I6172*J6172</f>
        <v>6674</v>
      </c>
      <c r="L6172" s="14" t="n">
        <f aca="false">($L$2*M6172)/100</f>
        <v>624866.58</v>
      </c>
      <c r="M6172" s="15" t="n">
        <v>0.52</v>
      </c>
      <c r="N6172" s="9" t="s">
        <v>85</v>
      </c>
    </row>
    <row r="6173" customFormat="false" ht="14.25" hidden="false" customHeight="true" outlineLevel="0" collapsed="false">
      <c r="B6173" s="9" t="s">
        <v>28</v>
      </c>
      <c r="C6173" s="9" t="n">
        <v>1128299</v>
      </c>
      <c r="D6173" s="10" t="n">
        <v>44482</v>
      </c>
      <c r="E6173" s="9" t="s">
        <v>50</v>
      </c>
      <c r="F6173" s="9" t="s">
        <v>92</v>
      </c>
      <c r="G6173" s="9" t="s">
        <v>93</v>
      </c>
      <c r="H6173" s="11" t="s">
        <v>22</v>
      </c>
      <c r="I6173" s="12" t="n">
        <v>42</v>
      </c>
      <c r="J6173" s="13" t="n">
        <v>105</v>
      </c>
      <c r="K6173" s="14" t="n">
        <f aca="false">I6173*J6173</f>
        <v>4410</v>
      </c>
      <c r="L6173" s="14" t="n">
        <f aca="false">($L$2*M6173)/100</f>
        <v>564783.255</v>
      </c>
      <c r="M6173" s="15" t="n">
        <v>0.47</v>
      </c>
      <c r="N6173" s="9" t="s">
        <v>85</v>
      </c>
    </row>
    <row r="6174" customFormat="false" ht="14.25" hidden="false" customHeight="true" outlineLevel="0" collapsed="false">
      <c r="B6174" s="9" t="s">
        <v>28</v>
      </c>
      <c r="C6174" s="9" t="n">
        <v>1128299</v>
      </c>
      <c r="D6174" s="10" t="n">
        <v>44482</v>
      </c>
      <c r="E6174" s="9" t="s">
        <v>50</v>
      </c>
      <c r="F6174" s="9" t="s">
        <v>92</v>
      </c>
      <c r="G6174" s="9" t="s">
        <v>93</v>
      </c>
      <c r="H6174" s="11" t="s">
        <v>23</v>
      </c>
      <c r="I6174" s="12" t="n">
        <v>44</v>
      </c>
      <c r="J6174" s="13" t="n">
        <v>88</v>
      </c>
      <c r="K6174" s="14" t="n">
        <f aca="false">I6174*J6174</f>
        <v>3872</v>
      </c>
      <c r="L6174" s="14" t="n">
        <f aca="false">($L$2*M6174)/100</f>
        <v>600833.25</v>
      </c>
      <c r="M6174" s="15" t="n">
        <v>0.5</v>
      </c>
      <c r="N6174" s="9" t="s">
        <v>85</v>
      </c>
    </row>
    <row r="6175" customFormat="false" ht="14.25" hidden="false" customHeight="true" outlineLevel="0" collapsed="false">
      <c r="B6175" s="9" t="s">
        <v>28</v>
      </c>
      <c r="C6175" s="9" t="n">
        <v>1128299</v>
      </c>
      <c r="D6175" s="10" t="n">
        <v>44482</v>
      </c>
      <c r="E6175" s="9" t="s">
        <v>50</v>
      </c>
      <c r="F6175" s="9" t="s">
        <v>92</v>
      </c>
      <c r="G6175" s="9" t="s">
        <v>93</v>
      </c>
      <c r="H6175" s="11" t="s">
        <v>24</v>
      </c>
      <c r="I6175" s="12" t="n">
        <v>50</v>
      </c>
      <c r="J6175" s="13" t="n">
        <v>90</v>
      </c>
      <c r="K6175" s="14" t="n">
        <f aca="false">I6175*J6175</f>
        <v>4500</v>
      </c>
      <c r="L6175" s="14" t="n">
        <f aca="false">($L$2*M6175)/100</f>
        <v>552766.59</v>
      </c>
      <c r="M6175" s="15" t="n">
        <v>0.46</v>
      </c>
      <c r="N6175" s="9" t="s">
        <v>85</v>
      </c>
    </row>
    <row r="6176" customFormat="false" ht="14.25" hidden="false" customHeight="true" outlineLevel="0" collapsed="false">
      <c r="B6176" s="9" t="s">
        <v>28</v>
      </c>
      <c r="C6176" s="9" t="n">
        <v>1128299</v>
      </c>
      <c r="D6176" s="10" t="n">
        <v>44482</v>
      </c>
      <c r="E6176" s="9" t="s">
        <v>50</v>
      </c>
      <c r="F6176" s="9" t="s">
        <v>92</v>
      </c>
      <c r="G6176" s="9" t="s">
        <v>93</v>
      </c>
      <c r="H6176" s="11" t="s">
        <v>25</v>
      </c>
      <c r="I6176" s="12" t="n">
        <v>64</v>
      </c>
      <c r="J6176" s="13" t="n">
        <v>102</v>
      </c>
      <c r="K6176" s="14" t="n">
        <f aca="false">I6176*J6176</f>
        <v>6528</v>
      </c>
      <c r="L6176" s="14" t="n">
        <f aca="false">($L$2*M6176)/100</f>
        <v>468649.935</v>
      </c>
      <c r="M6176" s="15" t="n">
        <v>0.39</v>
      </c>
      <c r="N6176" s="9" t="s">
        <v>85</v>
      </c>
    </row>
    <row r="6177" customFormat="false" ht="14.25" hidden="false" customHeight="true" outlineLevel="0" collapsed="false">
      <c r="B6177" s="9" t="s">
        <v>28</v>
      </c>
      <c r="C6177" s="9" t="n">
        <v>1128299</v>
      </c>
      <c r="D6177" s="10" t="n">
        <v>44513</v>
      </c>
      <c r="E6177" s="9" t="s">
        <v>50</v>
      </c>
      <c r="F6177" s="9" t="s">
        <v>92</v>
      </c>
      <c r="G6177" s="9" t="s">
        <v>93</v>
      </c>
      <c r="H6177" s="11" t="s">
        <v>19</v>
      </c>
      <c r="I6177" s="12" t="n">
        <v>51</v>
      </c>
      <c r="J6177" s="13" t="n">
        <v>137</v>
      </c>
      <c r="K6177" s="14" t="n">
        <f aca="false">I6177*J6177</f>
        <v>6987</v>
      </c>
      <c r="L6177" s="14" t="n">
        <f aca="false">($L$2*M6177)/100</f>
        <v>612849.915</v>
      </c>
      <c r="M6177" s="15" t="n">
        <v>0.51</v>
      </c>
      <c r="N6177" s="9" t="s">
        <v>85</v>
      </c>
    </row>
    <row r="6178" customFormat="false" ht="14.25" hidden="false" customHeight="true" outlineLevel="0" collapsed="false">
      <c r="B6178" s="9" t="s">
        <v>28</v>
      </c>
      <c r="C6178" s="9" t="n">
        <v>1128299</v>
      </c>
      <c r="D6178" s="10" t="n">
        <v>44513</v>
      </c>
      <c r="E6178" s="9" t="s">
        <v>50</v>
      </c>
      <c r="F6178" s="9" t="s">
        <v>92</v>
      </c>
      <c r="G6178" s="9" t="s">
        <v>93</v>
      </c>
      <c r="H6178" s="11" t="s">
        <v>21</v>
      </c>
      <c r="I6178" s="12" t="n">
        <v>58</v>
      </c>
      <c r="J6178" s="13" t="n">
        <v>173</v>
      </c>
      <c r="K6178" s="14" t="n">
        <f aca="false">I6178*J6178</f>
        <v>10034</v>
      </c>
      <c r="L6178" s="14" t="n">
        <f aca="false">($L$2*M6178)/100</f>
        <v>648899.91</v>
      </c>
      <c r="M6178" s="15" t="n">
        <v>0.54</v>
      </c>
      <c r="N6178" s="9" t="s">
        <v>85</v>
      </c>
    </row>
    <row r="6179" customFormat="false" ht="14.25" hidden="false" customHeight="true" outlineLevel="0" collapsed="false">
      <c r="B6179" s="9" t="s">
        <v>28</v>
      </c>
      <c r="C6179" s="9" t="n">
        <v>1128299</v>
      </c>
      <c r="D6179" s="10" t="n">
        <v>44513</v>
      </c>
      <c r="E6179" s="9" t="s">
        <v>50</v>
      </c>
      <c r="F6179" s="9" t="s">
        <v>92</v>
      </c>
      <c r="G6179" s="9" t="s">
        <v>93</v>
      </c>
      <c r="H6179" s="11" t="s">
        <v>22</v>
      </c>
      <c r="I6179" s="12" t="n">
        <v>54</v>
      </c>
      <c r="J6179" s="13" t="n">
        <v>115</v>
      </c>
      <c r="K6179" s="14" t="n">
        <f aca="false">I6179*J6179</f>
        <v>6210</v>
      </c>
      <c r="L6179" s="14" t="n">
        <f aca="false">($L$2*M6179)/100</f>
        <v>564783.255</v>
      </c>
      <c r="M6179" s="15" t="n">
        <v>0.47</v>
      </c>
      <c r="N6179" s="9" t="s">
        <v>85</v>
      </c>
    </row>
    <row r="6180" customFormat="false" ht="14.25" hidden="false" customHeight="true" outlineLevel="0" collapsed="false">
      <c r="B6180" s="9" t="s">
        <v>28</v>
      </c>
      <c r="C6180" s="9" t="n">
        <v>1128299</v>
      </c>
      <c r="D6180" s="10" t="n">
        <v>44513</v>
      </c>
      <c r="E6180" s="9" t="s">
        <v>50</v>
      </c>
      <c r="F6180" s="9" t="s">
        <v>92</v>
      </c>
      <c r="G6180" s="9" t="s">
        <v>93</v>
      </c>
      <c r="H6180" s="11" t="s">
        <v>23</v>
      </c>
      <c r="I6180" s="12" t="n">
        <v>51</v>
      </c>
      <c r="J6180" s="13" t="n">
        <v>116</v>
      </c>
      <c r="K6180" s="14" t="n">
        <f aca="false">I6180*J6180</f>
        <v>5916</v>
      </c>
      <c r="L6180" s="14" t="n">
        <f aca="false">($L$2*M6180)/100</f>
        <v>624866.58</v>
      </c>
      <c r="M6180" s="15" t="n">
        <v>0.52</v>
      </c>
      <c r="N6180" s="9" t="s">
        <v>85</v>
      </c>
    </row>
    <row r="6181" customFormat="false" ht="14.25" hidden="false" customHeight="true" outlineLevel="0" collapsed="false">
      <c r="B6181" s="9" t="s">
        <v>28</v>
      </c>
      <c r="C6181" s="9" t="n">
        <v>1128299</v>
      </c>
      <c r="D6181" s="10" t="n">
        <v>44513</v>
      </c>
      <c r="E6181" s="9" t="s">
        <v>50</v>
      </c>
      <c r="F6181" s="9" t="s">
        <v>92</v>
      </c>
      <c r="G6181" s="9" t="s">
        <v>93</v>
      </c>
      <c r="H6181" s="11" t="s">
        <v>24</v>
      </c>
      <c r="I6181" s="12" t="n">
        <v>60</v>
      </c>
      <c r="J6181" s="13" t="n">
        <v>102</v>
      </c>
      <c r="K6181" s="14" t="n">
        <f aca="false">I6181*J6181</f>
        <v>6120</v>
      </c>
      <c r="L6181" s="14" t="n">
        <f aca="false">($L$2*M6181)/100</f>
        <v>564783.255</v>
      </c>
      <c r="M6181" s="15" t="n">
        <v>0.47</v>
      </c>
      <c r="N6181" s="9" t="s">
        <v>85</v>
      </c>
    </row>
    <row r="6182" customFormat="false" ht="14.25" hidden="false" customHeight="true" outlineLevel="0" collapsed="false">
      <c r="B6182" s="9" t="s">
        <v>28</v>
      </c>
      <c r="C6182" s="9" t="n">
        <v>1128299</v>
      </c>
      <c r="D6182" s="10" t="n">
        <v>44513</v>
      </c>
      <c r="E6182" s="9" t="s">
        <v>50</v>
      </c>
      <c r="F6182" s="9" t="s">
        <v>92</v>
      </c>
      <c r="G6182" s="9" t="s">
        <v>93</v>
      </c>
      <c r="H6182" s="11" t="s">
        <v>25</v>
      </c>
      <c r="I6182" s="12" t="n">
        <v>65</v>
      </c>
      <c r="J6182" s="13" t="n">
        <v>124</v>
      </c>
      <c r="K6182" s="14" t="n">
        <f aca="false">I6182*J6182</f>
        <v>8060</v>
      </c>
      <c r="L6182" s="14" t="n">
        <f aca="false">($L$2*M6182)/100</f>
        <v>420583.275</v>
      </c>
      <c r="M6182" s="15" t="n">
        <v>0.35</v>
      </c>
      <c r="N6182" s="9" t="s">
        <v>85</v>
      </c>
    </row>
    <row r="6183" customFormat="false" ht="14.25" hidden="false" customHeight="true" outlineLevel="0" collapsed="false">
      <c r="B6183" s="9" t="s">
        <v>28</v>
      </c>
      <c r="C6183" s="9" t="n">
        <v>1128299</v>
      </c>
      <c r="D6183" s="10" t="n">
        <v>44542</v>
      </c>
      <c r="E6183" s="9" t="s">
        <v>50</v>
      </c>
      <c r="F6183" s="9" t="s">
        <v>92</v>
      </c>
      <c r="G6183" s="9" t="s">
        <v>93</v>
      </c>
      <c r="H6183" s="11" t="s">
        <v>19</v>
      </c>
      <c r="I6183" s="12" t="n">
        <v>50</v>
      </c>
      <c r="J6183" s="13" t="n">
        <v>203</v>
      </c>
      <c r="K6183" s="14" t="n">
        <f aca="false">I6183*J6183</f>
        <v>10150</v>
      </c>
      <c r="L6183" s="14" t="n">
        <f aca="false">($L$2*M6183)/100</f>
        <v>660916.575</v>
      </c>
      <c r="M6183" s="15" t="n">
        <v>0.55</v>
      </c>
      <c r="N6183" s="9" t="s">
        <v>85</v>
      </c>
    </row>
    <row r="6184" customFormat="false" ht="14.25" hidden="false" customHeight="true" outlineLevel="0" collapsed="false">
      <c r="B6184" s="9" t="s">
        <v>28</v>
      </c>
      <c r="C6184" s="9" t="n">
        <v>1128299</v>
      </c>
      <c r="D6184" s="10" t="n">
        <v>44542</v>
      </c>
      <c r="E6184" s="9" t="s">
        <v>50</v>
      </c>
      <c r="F6184" s="9" t="s">
        <v>92</v>
      </c>
      <c r="G6184" s="9" t="s">
        <v>93</v>
      </c>
      <c r="H6184" s="11" t="s">
        <v>21</v>
      </c>
      <c r="I6184" s="12" t="n">
        <v>58</v>
      </c>
      <c r="J6184" s="13" t="n">
        <v>189</v>
      </c>
      <c r="K6184" s="14" t="n">
        <f aca="false">I6184*J6184</f>
        <v>10962</v>
      </c>
      <c r="L6184" s="14" t="n">
        <f aca="false">($L$2*M6184)/100</f>
        <v>636883.245</v>
      </c>
      <c r="M6184" s="15" t="n">
        <v>0.53</v>
      </c>
      <c r="N6184" s="9" t="s">
        <v>85</v>
      </c>
    </row>
    <row r="6185" customFormat="false" ht="14.25" hidden="false" customHeight="true" outlineLevel="0" collapsed="false">
      <c r="B6185" s="9" t="s">
        <v>16</v>
      </c>
      <c r="C6185" s="9" t="n">
        <v>1128299</v>
      </c>
      <c r="D6185" s="10" t="n">
        <v>44542</v>
      </c>
      <c r="E6185" s="9" t="s">
        <v>50</v>
      </c>
      <c r="F6185" s="9" t="s">
        <v>92</v>
      </c>
      <c r="G6185" s="9" t="s">
        <v>93</v>
      </c>
      <c r="H6185" s="11" t="s">
        <v>22</v>
      </c>
      <c r="I6185" s="12" t="n">
        <v>53</v>
      </c>
      <c r="J6185" s="13" t="n">
        <v>138</v>
      </c>
      <c r="K6185" s="14" t="n">
        <f aca="false">I6185*J6185</f>
        <v>7314</v>
      </c>
      <c r="L6185" s="14" t="n">
        <f aca="false">($L$2*M6185)/100</f>
        <v>600833.25</v>
      </c>
      <c r="M6185" s="15" t="n">
        <v>0.5</v>
      </c>
      <c r="N6185" s="9" t="s">
        <v>85</v>
      </c>
    </row>
    <row r="6186" customFormat="false" ht="14.25" hidden="false" customHeight="true" outlineLevel="0" collapsed="false">
      <c r="B6186" s="9" t="s">
        <v>16</v>
      </c>
      <c r="C6186" s="9" t="n">
        <v>1128299</v>
      </c>
      <c r="D6186" s="10" t="n">
        <v>44542</v>
      </c>
      <c r="E6186" s="9" t="s">
        <v>50</v>
      </c>
      <c r="F6186" s="9" t="s">
        <v>92</v>
      </c>
      <c r="G6186" s="9" t="s">
        <v>93</v>
      </c>
      <c r="H6186" s="11" t="s">
        <v>23</v>
      </c>
      <c r="I6186" s="12" t="n">
        <v>51</v>
      </c>
      <c r="J6186" s="13" t="n">
        <v>128</v>
      </c>
      <c r="K6186" s="14" t="n">
        <f aca="false">I6186*J6186</f>
        <v>6528</v>
      </c>
      <c r="L6186" s="14" t="n">
        <f aca="false">($L$2*M6186)/100</f>
        <v>600833.25</v>
      </c>
      <c r="M6186" s="15" t="n">
        <v>0.5</v>
      </c>
      <c r="N6186" s="9" t="s">
        <v>85</v>
      </c>
    </row>
    <row r="6187" customFormat="false" ht="14.25" hidden="false" customHeight="true" outlineLevel="0" collapsed="false">
      <c r="B6187" s="9" t="s">
        <v>16</v>
      </c>
      <c r="C6187" s="9" t="n">
        <v>1128299</v>
      </c>
      <c r="D6187" s="10" t="n">
        <v>44542</v>
      </c>
      <c r="E6187" s="9" t="s">
        <v>50</v>
      </c>
      <c r="F6187" s="9" t="s">
        <v>92</v>
      </c>
      <c r="G6187" s="9" t="s">
        <v>93</v>
      </c>
      <c r="H6187" s="11" t="s">
        <v>24</v>
      </c>
      <c r="I6187" s="12" t="n">
        <v>64</v>
      </c>
      <c r="J6187" s="13" t="n">
        <v>116</v>
      </c>
      <c r="K6187" s="14" t="n">
        <f aca="false">I6187*J6187</f>
        <v>7424</v>
      </c>
      <c r="L6187" s="14" t="n">
        <f aca="false">($L$2*M6187)/100</f>
        <v>600833.25</v>
      </c>
      <c r="M6187" s="15" t="n">
        <v>0.5</v>
      </c>
      <c r="N6187" s="9" t="s">
        <v>85</v>
      </c>
    </row>
    <row r="6188" customFormat="false" ht="14.25" hidden="false" customHeight="true" outlineLevel="0" collapsed="false">
      <c r="B6188" s="9" t="s">
        <v>16</v>
      </c>
      <c r="C6188" s="9" t="n">
        <v>1128299</v>
      </c>
      <c r="D6188" s="10" t="n">
        <v>44542</v>
      </c>
      <c r="E6188" s="9" t="s">
        <v>50</v>
      </c>
      <c r="F6188" s="9" t="s">
        <v>92</v>
      </c>
      <c r="G6188" s="9" t="s">
        <v>93</v>
      </c>
      <c r="H6188" s="11" t="s">
        <v>25</v>
      </c>
      <c r="I6188" s="12" t="n">
        <v>64</v>
      </c>
      <c r="J6188" s="13" t="n">
        <v>135</v>
      </c>
      <c r="K6188" s="14" t="n">
        <f aca="false">I6188*J6188</f>
        <v>8640</v>
      </c>
      <c r="L6188" s="14" t="n">
        <f aca="false">($L$2*M6188)/100</f>
        <v>420583.275</v>
      </c>
      <c r="M6188" s="15" t="n">
        <v>0.35</v>
      </c>
      <c r="N6188" s="9" t="s">
        <v>85</v>
      </c>
    </row>
    <row r="6189" customFormat="false" ht="14.25" hidden="false" customHeight="true" outlineLevel="0" collapsed="false">
      <c r="B6189" s="9" t="s">
        <v>16</v>
      </c>
      <c r="C6189" s="9" t="n">
        <v>1185732</v>
      </c>
      <c r="D6189" s="10" t="n">
        <v>44205</v>
      </c>
      <c r="E6189" s="9" t="s">
        <v>50</v>
      </c>
      <c r="F6189" s="9" t="s">
        <v>92</v>
      </c>
      <c r="G6189" s="9" t="s">
        <v>93</v>
      </c>
      <c r="H6189" s="11" t="s">
        <v>19</v>
      </c>
      <c r="I6189" s="12" t="n">
        <v>39</v>
      </c>
      <c r="J6189" s="13" t="n">
        <v>256</v>
      </c>
      <c r="K6189" s="14" t="n">
        <f aca="false">I6189*J6189</f>
        <v>9984</v>
      </c>
      <c r="L6189" s="14" t="n">
        <f aca="false">($L$2*M6189)/100</f>
        <v>696966.57</v>
      </c>
      <c r="M6189" s="15" t="n">
        <v>0.58</v>
      </c>
      <c r="N6189" s="9" t="s">
        <v>85</v>
      </c>
    </row>
    <row r="6190" customFormat="false" ht="14.25" hidden="false" customHeight="true" outlineLevel="0" collapsed="false">
      <c r="B6190" s="9" t="s">
        <v>16</v>
      </c>
      <c r="C6190" s="9" t="n">
        <v>1185732</v>
      </c>
      <c r="D6190" s="10" t="n">
        <v>44205</v>
      </c>
      <c r="E6190" s="9" t="s">
        <v>50</v>
      </c>
      <c r="F6190" s="9" t="s">
        <v>92</v>
      </c>
      <c r="G6190" s="9" t="s">
        <v>93</v>
      </c>
      <c r="H6190" s="11" t="s">
        <v>21</v>
      </c>
      <c r="I6190" s="12" t="n">
        <v>37</v>
      </c>
      <c r="J6190" s="13" t="n">
        <v>206</v>
      </c>
      <c r="K6190" s="14" t="n">
        <f aca="false">I6190*J6190</f>
        <v>7622</v>
      </c>
      <c r="L6190" s="14" t="n">
        <f aca="false">($L$2*M6190)/100</f>
        <v>540749.925</v>
      </c>
      <c r="M6190" s="15" t="n">
        <v>0.45</v>
      </c>
      <c r="N6190" s="9" t="s">
        <v>85</v>
      </c>
    </row>
    <row r="6191" customFormat="false" ht="14.25" hidden="false" customHeight="true" outlineLevel="0" collapsed="false">
      <c r="B6191" s="9" t="s">
        <v>16</v>
      </c>
      <c r="C6191" s="9" t="n">
        <v>1185732</v>
      </c>
      <c r="D6191" s="10" t="n">
        <v>44205</v>
      </c>
      <c r="E6191" s="9" t="s">
        <v>50</v>
      </c>
      <c r="F6191" s="9" t="s">
        <v>92</v>
      </c>
      <c r="G6191" s="9" t="s">
        <v>93</v>
      </c>
      <c r="H6191" s="11" t="s">
        <v>22</v>
      </c>
      <c r="I6191" s="12" t="n">
        <v>29</v>
      </c>
      <c r="J6191" s="13" t="n">
        <v>248</v>
      </c>
      <c r="K6191" s="14" t="n">
        <f aca="false">I6191*J6191</f>
        <v>7192</v>
      </c>
      <c r="L6191" s="14" t="n">
        <f aca="false">($L$2*M6191)/100</f>
        <v>468649.935</v>
      </c>
      <c r="M6191" s="15" t="n">
        <v>0.39</v>
      </c>
      <c r="N6191" s="9" t="s">
        <v>85</v>
      </c>
    </row>
    <row r="6192" customFormat="false" ht="14.25" hidden="false" customHeight="true" outlineLevel="0" collapsed="false">
      <c r="B6192" s="9" t="s">
        <v>16</v>
      </c>
      <c r="C6192" s="9" t="n">
        <v>1185732</v>
      </c>
      <c r="D6192" s="10" t="n">
        <v>44205</v>
      </c>
      <c r="E6192" s="9" t="s">
        <v>50</v>
      </c>
      <c r="F6192" s="9" t="s">
        <v>92</v>
      </c>
      <c r="G6192" s="9" t="s">
        <v>93</v>
      </c>
      <c r="H6192" s="11" t="s">
        <v>23</v>
      </c>
      <c r="I6192" s="12" t="n">
        <v>34</v>
      </c>
      <c r="J6192" s="13" t="n">
        <v>203</v>
      </c>
      <c r="K6192" s="14" t="n">
        <f aca="false">I6192*J6192</f>
        <v>6902</v>
      </c>
      <c r="L6192" s="14" t="n">
        <f aca="false">($L$2*M6192)/100</f>
        <v>528733.26</v>
      </c>
      <c r="M6192" s="15" t="n">
        <v>0.44</v>
      </c>
      <c r="N6192" s="9" t="s">
        <v>85</v>
      </c>
    </row>
    <row r="6193" customFormat="false" ht="14.25" hidden="false" customHeight="true" outlineLevel="0" collapsed="false">
      <c r="B6193" s="9" t="s">
        <v>16</v>
      </c>
      <c r="C6193" s="9" t="n">
        <v>1185732</v>
      </c>
      <c r="D6193" s="10" t="n">
        <v>44205</v>
      </c>
      <c r="E6193" s="9" t="s">
        <v>50</v>
      </c>
      <c r="F6193" s="9" t="s">
        <v>92</v>
      </c>
      <c r="G6193" s="9" t="s">
        <v>93</v>
      </c>
      <c r="H6193" s="11" t="s">
        <v>24</v>
      </c>
      <c r="I6193" s="12" t="n">
        <v>47</v>
      </c>
      <c r="J6193" s="13" t="n">
        <v>189</v>
      </c>
      <c r="K6193" s="14" t="n">
        <f aca="false">I6193*J6193</f>
        <v>8883</v>
      </c>
      <c r="L6193" s="14" t="n">
        <f aca="false">($L$2*M6193)/100</f>
        <v>564783.255</v>
      </c>
      <c r="M6193" s="15" t="n">
        <v>0.47</v>
      </c>
      <c r="N6193" s="9" t="s">
        <v>85</v>
      </c>
    </row>
    <row r="6194" customFormat="false" ht="14.25" hidden="false" customHeight="true" outlineLevel="0" collapsed="false">
      <c r="B6194" s="9" t="s">
        <v>16</v>
      </c>
      <c r="C6194" s="9" t="n">
        <v>1185732</v>
      </c>
      <c r="D6194" s="10" t="n">
        <v>44205</v>
      </c>
      <c r="E6194" s="9" t="s">
        <v>50</v>
      </c>
      <c r="F6194" s="9" t="s">
        <v>92</v>
      </c>
      <c r="G6194" s="9" t="s">
        <v>93</v>
      </c>
      <c r="H6194" s="11" t="s">
        <v>25</v>
      </c>
      <c r="I6194" s="12" t="n">
        <v>37</v>
      </c>
      <c r="J6194" s="13" t="n">
        <v>239</v>
      </c>
      <c r="K6194" s="14" t="n">
        <f aca="false">I6194*J6194</f>
        <v>8843</v>
      </c>
      <c r="L6194" s="14" t="n">
        <f aca="false">($L$2*M6194)/100</f>
        <v>720999.9</v>
      </c>
      <c r="M6194" s="15" t="n">
        <v>0.6</v>
      </c>
      <c r="N6194" s="9" t="s">
        <v>85</v>
      </c>
    </row>
    <row r="6195" customFormat="false" ht="14.25" hidden="false" customHeight="true" outlineLevel="0" collapsed="false">
      <c r="B6195" s="9" t="s">
        <v>16</v>
      </c>
      <c r="C6195" s="9" t="n">
        <v>1185732</v>
      </c>
      <c r="D6195" s="10" t="n">
        <v>44234</v>
      </c>
      <c r="E6195" s="9" t="s">
        <v>50</v>
      </c>
      <c r="F6195" s="9" t="s">
        <v>92</v>
      </c>
      <c r="G6195" s="9" t="s">
        <v>93</v>
      </c>
      <c r="H6195" s="11" t="s">
        <v>19</v>
      </c>
      <c r="I6195" s="12" t="n">
        <v>38</v>
      </c>
      <c r="J6195" s="13" t="n">
        <v>312</v>
      </c>
      <c r="K6195" s="14" t="n">
        <f aca="false">I6195*J6195</f>
        <v>11856</v>
      </c>
      <c r="L6195" s="14" t="n">
        <f aca="false">($L$2*M6195)/100</f>
        <v>708983.235</v>
      </c>
      <c r="M6195" s="15" t="n">
        <v>0.59</v>
      </c>
      <c r="N6195" s="9" t="s">
        <v>85</v>
      </c>
    </row>
    <row r="6196" customFormat="false" ht="14.25" hidden="false" customHeight="true" outlineLevel="0" collapsed="false">
      <c r="B6196" s="9" t="s">
        <v>16</v>
      </c>
      <c r="C6196" s="9" t="n">
        <v>1185732</v>
      </c>
      <c r="D6196" s="10" t="n">
        <v>44234</v>
      </c>
      <c r="E6196" s="9" t="s">
        <v>50</v>
      </c>
      <c r="F6196" s="9" t="s">
        <v>92</v>
      </c>
      <c r="G6196" s="9" t="s">
        <v>93</v>
      </c>
      <c r="H6196" s="11" t="s">
        <v>21</v>
      </c>
      <c r="I6196" s="12" t="n">
        <v>39</v>
      </c>
      <c r="J6196" s="13" t="n">
        <v>218</v>
      </c>
      <c r="K6196" s="14" t="n">
        <f aca="false">I6196*J6196</f>
        <v>8502</v>
      </c>
      <c r="L6196" s="14" t="n">
        <f aca="false">($L$2*M6196)/100</f>
        <v>552766.59</v>
      </c>
      <c r="M6196" s="15" t="n">
        <v>0.46</v>
      </c>
      <c r="N6196" s="9" t="s">
        <v>85</v>
      </c>
    </row>
    <row r="6197" customFormat="false" ht="14.25" hidden="false" customHeight="true" outlineLevel="0" collapsed="false">
      <c r="B6197" s="9" t="s">
        <v>16</v>
      </c>
      <c r="C6197" s="9" t="n">
        <v>1185732</v>
      </c>
      <c r="D6197" s="10" t="n">
        <v>44234</v>
      </c>
      <c r="E6197" s="9" t="s">
        <v>50</v>
      </c>
      <c r="F6197" s="9" t="s">
        <v>92</v>
      </c>
      <c r="G6197" s="9" t="s">
        <v>93</v>
      </c>
      <c r="H6197" s="11" t="s">
        <v>22</v>
      </c>
      <c r="I6197" s="12" t="n">
        <v>29</v>
      </c>
      <c r="J6197" s="13" t="n">
        <v>217</v>
      </c>
      <c r="K6197" s="14" t="n">
        <f aca="false">I6197*J6197</f>
        <v>6293</v>
      </c>
      <c r="L6197" s="14" t="n">
        <f aca="false">($L$2*M6197)/100</f>
        <v>444616.605</v>
      </c>
      <c r="M6197" s="15" t="n">
        <v>0.37</v>
      </c>
      <c r="N6197" s="9" t="s">
        <v>85</v>
      </c>
    </row>
    <row r="6198" customFormat="false" ht="14.25" hidden="false" customHeight="true" outlineLevel="0" collapsed="false">
      <c r="B6198" s="9" t="s">
        <v>16</v>
      </c>
      <c r="C6198" s="9" t="n">
        <v>1185732</v>
      </c>
      <c r="D6198" s="10" t="n">
        <v>44234</v>
      </c>
      <c r="E6198" s="9" t="s">
        <v>50</v>
      </c>
      <c r="F6198" s="9" t="s">
        <v>94</v>
      </c>
      <c r="G6198" s="9" t="s">
        <v>95</v>
      </c>
      <c r="H6198" s="11" t="s">
        <v>23</v>
      </c>
      <c r="I6198" s="12" t="n">
        <v>33</v>
      </c>
      <c r="J6198" s="13" t="n">
        <v>169</v>
      </c>
      <c r="K6198" s="14" t="n">
        <f aca="false">I6198*J6198</f>
        <v>5577</v>
      </c>
      <c r="L6198" s="14" t="n">
        <f aca="false">($L$2*M6198)/100</f>
        <v>540749.925</v>
      </c>
      <c r="M6198" s="15" t="n">
        <v>0.45</v>
      </c>
      <c r="N6198" s="9" t="s">
        <v>85</v>
      </c>
    </row>
    <row r="6199" customFormat="false" ht="14.25" hidden="false" customHeight="true" outlineLevel="0" collapsed="false">
      <c r="B6199" s="9" t="s">
        <v>16</v>
      </c>
      <c r="C6199" s="9" t="n">
        <v>1185732</v>
      </c>
      <c r="D6199" s="10" t="n">
        <v>44234</v>
      </c>
      <c r="E6199" s="9" t="s">
        <v>50</v>
      </c>
      <c r="F6199" s="9" t="s">
        <v>94</v>
      </c>
      <c r="G6199" s="9" t="s">
        <v>95</v>
      </c>
      <c r="H6199" s="11" t="s">
        <v>24</v>
      </c>
      <c r="I6199" s="12" t="n">
        <v>49</v>
      </c>
      <c r="J6199" s="13" t="n">
        <v>189</v>
      </c>
      <c r="K6199" s="14" t="n">
        <f aca="false">I6199*J6199</f>
        <v>9261</v>
      </c>
      <c r="L6199" s="14" t="n">
        <f aca="false">($L$2*M6199)/100</f>
        <v>564783.255</v>
      </c>
      <c r="M6199" s="15" t="n">
        <v>0.47</v>
      </c>
      <c r="N6199" s="9" t="s">
        <v>85</v>
      </c>
    </row>
    <row r="6200" customFormat="false" ht="14.25" hidden="false" customHeight="true" outlineLevel="0" collapsed="false">
      <c r="B6200" s="9" t="s">
        <v>16</v>
      </c>
      <c r="C6200" s="9" t="n">
        <v>1185732</v>
      </c>
      <c r="D6200" s="10" t="n">
        <v>44234</v>
      </c>
      <c r="E6200" s="9" t="s">
        <v>50</v>
      </c>
      <c r="F6200" s="9" t="s">
        <v>94</v>
      </c>
      <c r="G6200" s="9" t="s">
        <v>95</v>
      </c>
      <c r="H6200" s="11" t="s">
        <v>25</v>
      </c>
      <c r="I6200" s="12" t="n">
        <v>34</v>
      </c>
      <c r="J6200" s="13" t="n">
        <v>216</v>
      </c>
      <c r="K6200" s="14" t="n">
        <f aca="false">I6200*J6200</f>
        <v>7344</v>
      </c>
      <c r="L6200" s="14" t="n">
        <f aca="false">($L$2*M6200)/100</f>
        <v>781083.225</v>
      </c>
      <c r="M6200" s="15" t="n">
        <v>0.65</v>
      </c>
      <c r="N6200" s="9" t="s">
        <v>85</v>
      </c>
    </row>
    <row r="6201" customFormat="false" ht="14.25" hidden="false" customHeight="true" outlineLevel="0" collapsed="false">
      <c r="B6201" s="9" t="s">
        <v>16</v>
      </c>
      <c r="C6201" s="9" t="n">
        <v>1185732</v>
      </c>
      <c r="D6201" s="10" t="n">
        <v>44260</v>
      </c>
      <c r="E6201" s="9" t="s">
        <v>50</v>
      </c>
      <c r="F6201" s="9" t="s">
        <v>94</v>
      </c>
      <c r="G6201" s="9" t="s">
        <v>95</v>
      </c>
      <c r="H6201" s="11" t="s">
        <v>19</v>
      </c>
      <c r="I6201" s="12" t="n">
        <v>33</v>
      </c>
      <c r="J6201" s="13" t="n">
        <v>265</v>
      </c>
      <c r="K6201" s="14" t="n">
        <f aca="false">I6201*J6201</f>
        <v>8745</v>
      </c>
      <c r="L6201" s="14" t="n">
        <f aca="false">($L$2*M6201)/100</f>
        <v>696966.57</v>
      </c>
      <c r="M6201" s="15" t="n">
        <v>0.58</v>
      </c>
      <c r="N6201" s="9" t="s">
        <v>85</v>
      </c>
    </row>
    <row r="6202" customFormat="false" ht="14.25" hidden="false" customHeight="true" outlineLevel="0" collapsed="false">
      <c r="B6202" s="9" t="s">
        <v>16</v>
      </c>
      <c r="C6202" s="9" t="n">
        <v>1185732</v>
      </c>
      <c r="D6202" s="10" t="n">
        <v>44260</v>
      </c>
      <c r="E6202" s="9" t="s">
        <v>50</v>
      </c>
      <c r="F6202" s="9" t="s">
        <v>94</v>
      </c>
      <c r="G6202" s="9" t="s">
        <v>95</v>
      </c>
      <c r="H6202" s="11" t="s">
        <v>21</v>
      </c>
      <c r="I6202" s="12" t="n">
        <v>32</v>
      </c>
      <c r="J6202" s="13" t="n">
        <v>210</v>
      </c>
      <c r="K6202" s="14" t="n">
        <f aca="false">I6202*J6202</f>
        <v>6720</v>
      </c>
      <c r="L6202" s="14" t="n">
        <f aca="false">($L$2*M6202)/100</f>
        <v>588816.585</v>
      </c>
      <c r="M6202" s="15" t="n">
        <v>0.49</v>
      </c>
      <c r="N6202" s="9" t="s">
        <v>85</v>
      </c>
    </row>
    <row r="6203" customFormat="false" ht="14.25" hidden="false" customHeight="true" outlineLevel="0" collapsed="false">
      <c r="B6203" s="9" t="s">
        <v>16</v>
      </c>
      <c r="C6203" s="9" t="n">
        <v>1185732</v>
      </c>
      <c r="D6203" s="10" t="n">
        <v>44260</v>
      </c>
      <c r="E6203" s="9" t="s">
        <v>50</v>
      </c>
      <c r="F6203" s="9" t="s">
        <v>94</v>
      </c>
      <c r="G6203" s="9" t="s">
        <v>95</v>
      </c>
      <c r="H6203" s="11" t="s">
        <v>22</v>
      </c>
      <c r="I6203" s="12" t="n">
        <v>24</v>
      </c>
      <c r="J6203" s="13" t="n">
        <v>181</v>
      </c>
      <c r="K6203" s="14" t="n">
        <f aca="false">I6203*J6203</f>
        <v>4344</v>
      </c>
      <c r="L6203" s="14" t="n">
        <f aca="false">($L$2*M6203)/100</f>
        <v>456633.27</v>
      </c>
      <c r="M6203" s="15" t="n">
        <v>0.38</v>
      </c>
      <c r="N6203" s="9" t="s">
        <v>85</v>
      </c>
    </row>
    <row r="6204" customFormat="false" ht="14.25" hidden="false" customHeight="true" outlineLevel="0" collapsed="false">
      <c r="B6204" s="9" t="s">
        <v>16</v>
      </c>
      <c r="C6204" s="9" t="n">
        <v>1185732</v>
      </c>
      <c r="D6204" s="10" t="n">
        <v>44260</v>
      </c>
      <c r="E6204" s="9" t="s">
        <v>50</v>
      </c>
      <c r="F6204" s="9" t="s">
        <v>94</v>
      </c>
      <c r="G6204" s="9" t="s">
        <v>95</v>
      </c>
      <c r="H6204" s="11" t="s">
        <v>23</v>
      </c>
      <c r="I6204" s="12" t="n">
        <v>27</v>
      </c>
      <c r="J6204" s="13" t="n">
        <v>144</v>
      </c>
      <c r="K6204" s="14" t="n">
        <f aca="false">I6204*J6204</f>
        <v>3888</v>
      </c>
      <c r="L6204" s="14" t="n">
        <f aca="false">($L$2*M6204)/100</f>
        <v>504699.93</v>
      </c>
      <c r="M6204" s="15" t="n">
        <v>0.42</v>
      </c>
      <c r="N6204" s="9" t="s">
        <v>85</v>
      </c>
    </row>
    <row r="6205" customFormat="false" ht="14.25" hidden="false" customHeight="true" outlineLevel="0" collapsed="false">
      <c r="B6205" s="9" t="s">
        <v>16</v>
      </c>
      <c r="C6205" s="9" t="n">
        <v>1185732</v>
      </c>
      <c r="D6205" s="10" t="n">
        <v>44260</v>
      </c>
      <c r="E6205" s="9" t="s">
        <v>50</v>
      </c>
      <c r="F6205" s="9" t="s">
        <v>94</v>
      </c>
      <c r="G6205" s="9" t="s">
        <v>95</v>
      </c>
      <c r="H6205" s="11" t="s">
        <v>24</v>
      </c>
      <c r="I6205" s="12" t="n">
        <v>41</v>
      </c>
      <c r="J6205" s="13" t="n">
        <v>181</v>
      </c>
      <c r="K6205" s="14" t="n">
        <f aca="false">I6205*J6205</f>
        <v>7421</v>
      </c>
      <c r="L6205" s="14" t="n">
        <f aca="false">($L$2*M6205)/100</f>
        <v>576799.92</v>
      </c>
      <c r="M6205" s="15" t="n">
        <v>0.48</v>
      </c>
      <c r="N6205" s="9" t="s">
        <v>85</v>
      </c>
    </row>
    <row r="6206" customFormat="false" ht="14.25" hidden="false" customHeight="true" outlineLevel="0" collapsed="false">
      <c r="B6206" s="9" t="s">
        <v>16</v>
      </c>
      <c r="C6206" s="9" t="n">
        <v>1185732</v>
      </c>
      <c r="D6206" s="10" t="n">
        <v>44260</v>
      </c>
      <c r="E6206" s="9" t="s">
        <v>50</v>
      </c>
      <c r="F6206" s="9" t="s">
        <v>94</v>
      </c>
      <c r="G6206" s="9" t="s">
        <v>95</v>
      </c>
      <c r="H6206" s="11" t="s">
        <v>25</v>
      </c>
      <c r="I6206" s="12" t="n">
        <v>32</v>
      </c>
      <c r="J6206" s="13" t="n">
        <v>189</v>
      </c>
      <c r="K6206" s="14" t="n">
        <f aca="false">I6206*J6206</f>
        <v>6048</v>
      </c>
      <c r="L6206" s="14" t="n">
        <f aca="false">($L$2*M6206)/100</f>
        <v>757049.895</v>
      </c>
      <c r="M6206" s="15" t="n">
        <v>0.63</v>
      </c>
      <c r="N6206" s="9" t="s">
        <v>85</v>
      </c>
    </row>
    <row r="6207" customFormat="false" ht="14.25" hidden="false" customHeight="true" outlineLevel="0" collapsed="false">
      <c r="B6207" s="9" t="s">
        <v>16</v>
      </c>
      <c r="C6207" s="9" t="n">
        <v>1185732</v>
      </c>
      <c r="D6207" s="10" t="n">
        <v>44292</v>
      </c>
      <c r="E6207" s="9" t="s">
        <v>50</v>
      </c>
      <c r="F6207" s="9" t="s">
        <v>94</v>
      </c>
      <c r="G6207" s="9" t="s">
        <v>95</v>
      </c>
      <c r="H6207" s="11" t="s">
        <v>19</v>
      </c>
      <c r="I6207" s="12" t="n">
        <v>33</v>
      </c>
      <c r="J6207" s="13" t="n">
        <v>283</v>
      </c>
      <c r="K6207" s="14" t="n">
        <f aca="false">I6207*J6207</f>
        <v>9339</v>
      </c>
      <c r="L6207" s="14" t="n">
        <f aca="false">($L$2*M6207)/100</f>
        <v>684949.905</v>
      </c>
      <c r="M6207" s="15" t="n">
        <v>0.57</v>
      </c>
      <c r="N6207" s="9" t="s">
        <v>85</v>
      </c>
    </row>
    <row r="6208" customFormat="false" ht="14.25" hidden="false" customHeight="true" outlineLevel="0" collapsed="false">
      <c r="B6208" s="9" t="s">
        <v>16</v>
      </c>
      <c r="C6208" s="9" t="n">
        <v>1185732</v>
      </c>
      <c r="D6208" s="10" t="n">
        <v>44292</v>
      </c>
      <c r="E6208" s="9" t="s">
        <v>50</v>
      </c>
      <c r="F6208" s="9" t="s">
        <v>94</v>
      </c>
      <c r="G6208" s="9" t="s">
        <v>95</v>
      </c>
      <c r="H6208" s="11" t="s">
        <v>21</v>
      </c>
      <c r="I6208" s="12" t="n">
        <v>34</v>
      </c>
      <c r="J6208" s="13" t="n">
        <v>182</v>
      </c>
      <c r="K6208" s="14" t="n">
        <f aca="false">I6208*J6208</f>
        <v>6188</v>
      </c>
      <c r="L6208" s="14" t="n">
        <f aca="false">($L$2*M6208)/100</f>
        <v>552766.59</v>
      </c>
      <c r="M6208" s="15" t="n">
        <v>0.46</v>
      </c>
      <c r="N6208" s="9" t="s">
        <v>85</v>
      </c>
    </row>
    <row r="6209" customFormat="false" ht="14.25" hidden="false" customHeight="true" outlineLevel="0" collapsed="false">
      <c r="B6209" s="9" t="s">
        <v>16</v>
      </c>
      <c r="C6209" s="9" t="n">
        <v>1185732</v>
      </c>
      <c r="D6209" s="10" t="n">
        <v>44292</v>
      </c>
      <c r="E6209" s="9" t="s">
        <v>50</v>
      </c>
      <c r="F6209" s="9" t="s">
        <v>94</v>
      </c>
      <c r="G6209" s="9" t="s">
        <v>95</v>
      </c>
      <c r="H6209" s="11" t="s">
        <v>22</v>
      </c>
      <c r="I6209" s="12" t="n">
        <v>24</v>
      </c>
      <c r="J6209" s="13" t="n">
        <v>182</v>
      </c>
      <c r="K6209" s="14" t="n">
        <f aca="false">I6209*J6209</f>
        <v>4368</v>
      </c>
      <c r="L6209" s="14" t="n">
        <f aca="false">($L$2*M6209)/100</f>
        <v>456633.27</v>
      </c>
      <c r="M6209" s="15" t="n">
        <v>0.38</v>
      </c>
      <c r="N6209" s="9" t="s">
        <v>85</v>
      </c>
    </row>
    <row r="6210" customFormat="false" ht="14.25" hidden="false" customHeight="true" outlineLevel="0" collapsed="false">
      <c r="B6210" s="9" t="s">
        <v>16</v>
      </c>
      <c r="C6210" s="9" t="n">
        <v>1185732</v>
      </c>
      <c r="D6210" s="10" t="n">
        <v>44292</v>
      </c>
      <c r="E6210" s="9" t="s">
        <v>50</v>
      </c>
      <c r="F6210" s="9" t="s">
        <v>94</v>
      </c>
      <c r="G6210" s="9" t="s">
        <v>95</v>
      </c>
      <c r="H6210" s="11" t="s">
        <v>23</v>
      </c>
      <c r="I6210" s="12" t="n">
        <v>27</v>
      </c>
      <c r="J6210" s="13" t="n">
        <v>180</v>
      </c>
      <c r="K6210" s="14" t="n">
        <f aca="false">I6210*J6210</f>
        <v>4860</v>
      </c>
      <c r="L6210" s="14" t="n">
        <f aca="false">($L$2*M6210)/100</f>
        <v>516716.595</v>
      </c>
      <c r="M6210" s="15" t="n">
        <v>0.43</v>
      </c>
      <c r="N6210" s="9" t="s">
        <v>85</v>
      </c>
    </row>
    <row r="6211" customFormat="false" ht="14.25" hidden="false" customHeight="true" outlineLevel="0" collapsed="false">
      <c r="B6211" s="9" t="s">
        <v>16</v>
      </c>
      <c r="C6211" s="9" t="n">
        <v>1185732</v>
      </c>
      <c r="D6211" s="10" t="n">
        <v>44292</v>
      </c>
      <c r="E6211" s="9" t="s">
        <v>50</v>
      </c>
      <c r="F6211" s="9" t="s">
        <v>94</v>
      </c>
      <c r="G6211" s="9" t="s">
        <v>95</v>
      </c>
      <c r="H6211" s="11" t="s">
        <v>24</v>
      </c>
      <c r="I6211" s="12" t="n">
        <v>47</v>
      </c>
      <c r="J6211" s="13" t="n">
        <v>188</v>
      </c>
      <c r="K6211" s="14" t="n">
        <f aca="false">I6211*J6211</f>
        <v>8836</v>
      </c>
      <c r="L6211" s="14" t="n">
        <f aca="false">($L$2*M6211)/100</f>
        <v>600833.25</v>
      </c>
      <c r="M6211" s="15" t="n">
        <v>0.5</v>
      </c>
      <c r="N6211" s="9" t="s">
        <v>85</v>
      </c>
    </row>
    <row r="6212" customFormat="false" ht="14.25" hidden="false" customHeight="true" outlineLevel="0" collapsed="false">
      <c r="B6212" s="9" t="s">
        <v>16</v>
      </c>
      <c r="C6212" s="9" t="n">
        <v>1185732</v>
      </c>
      <c r="D6212" s="10" t="n">
        <v>44292</v>
      </c>
      <c r="E6212" s="9" t="s">
        <v>50</v>
      </c>
      <c r="F6212" s="9" t="s">
        <v>94</v>
      </c>
      <c r="G6212" s="9" t="s">
        <v>95</v>
      </c>
      <c r="H6212" s="11" t="s">
        <v>25</v>
      </c>
      <c r="I6212" s="12" t="n">
        <v>39</v>
      </c>
      <c r="J6212" s="13" t="n">
        <v>209</v>
      </c>
      <c r="K6212" s="14" t="n">
        <f aca="false">I6212*J6212</f>
        <v>8151</v>
      </c>
      <c r="L6212" s="14" t="n">
        <f aca="false">($L$2*M6212)/100</f>
        <v>757049.895</v>
      </c>
      <c r="M6212" s="15" t="n">
        <v>0.63</v>
      </c>
      <c r="N6212" s="9" t="s">
        <v>85</v>
      </c>
    </row>
    <row r="6213" customFormat="false" ht="14.25" hidden="false" customHeight="true" outlineLevel="0" collapsed="false">
      <c r="B6213" s="9" t="s">
        <v>16</v>
      </c>
      <c r="C6213" s="9" t="n">
        <v>1185732</v>
      </c>
      <c r="D6213" s="10" t="n">
        <v>44321</v>
      </c>
      <c r="E6213" s="9" t="s">
        <v>50</v>
      </c>
      <c r="F6213" s="9" t="s">
        <v>94</v>
      </c>
      <c r="G6213" s="9" t="s">
        <v>95</v>
      </c>
      <c r="H6213" s="11" t="s">
        <v>19</v>
      </c>
      <c r="I6213" s="12" t="n">
        <v>48</v>
      </c>
      <c r="J6213" s="13" t="n">
        <v>282</v>
      </c>
      <c r="K6213" s="14" t="n">
        <f aca="false">I6213*J6213</f>
        <v>13536</v>
      </c>
      <c r="L6213" s="14" t="n">
        <f aca="false">($L$2*M6213)/100</f>
        <v>660916.575</v>
      </c>
      <c r="M6213" s="15" t="n">
        <v>0.55</v>
      </c>
      <c r="N6213" s="9" t="s">
        <v>85</v>
      </c>
    </row>
    <row r="6214" customFormat="false" ht="14.25" hidden="false" customHeight="true" outlineLevel="0" collapsed="false">
      <c r="B6214" s="9" t="s">
        <v>16</v>
      </c>
      <c r="C6214" s="9" t="n">
        <v>1185732</v>
      </c>
      <c r="D6214" s="10" t="n">
        <v>44321</v>
      </c>
      <c r="E6214" s="9" t="s">
        <v>50</v>
      </c>
      <c r="F6214" s="9" t="s">
        <v>94</v>
      </c>
      <c r="G6214" s="9" t="s">
        <v>95</v>
      </c>
      <c r="H6214" s="11" t="s">
        <v>21</v>
      </c>
      <c r="I6214" s="12" t="n">
        <v>45</v>
      </c>
      <c r="J6214" s="13" t="n">
        <v>188</v>
      </c>
      <c r="K6214" s="14" t="n">
        <f aca="false">I6214*J6214</f>
        <v>8460</v>
      </c>
      <c r="L6214" s="14" t="n">
        <f aca="false">($L$2*M6214)/100</f>
        <v>540749.925</v>
      </c>
      <c r="M6214" s="15" t="n">
        <v>0.45</v>
      </c>
      <c r="N6214" s="9" t="s">
        <v>85</v>
      </c>
    </row>
    <row r="6215" customFormat="false" ht="14.25" hidden="false" customHeight="true" outlineLevel="0" collapsed="false">
      <c r="B6215" s="9" t="s">
        <v>16</v>
      </c>
      <c r="C6215" s="9" t="n">
        <v>1185732</v>
      </c>
      <c r="D6215" s="10" t="n">
        <v>44321</v>
      </c>
      <c r="E6215" s="9" t="s">
        <v>50</v>
      </c>
      <c r="F6215" s="9" t="s">
        <v>94</v>
      </c>
      <c r="G6215" s="9" t="s">
        <v>95</v>
      </c>
      <c r="H6215" s="11" t="s">
        <v>22</v>
      </c>
      <c r="I6215" s="12" t="n">
        <v>41</v>
      </c>
      <c r="J6215" s="13" t="n">
        <v>210</v>
      </c>
      <c r="K6215" s="14" t="n">
        <f aca="false">I6215*J6215</f>
        <v>8610</v>
      </c>
      <c r="L6215" s="14" t="n">
        <f aca="false">($L$2*M6215)/100</f>
        <v>444616.605</v>
      </c>
      <c r="M6215" s="15" t="n">
        <v>0.37</v>
      </c>
      <c r="N6215" s="9" t="s">
        <v>85</v>
      </c>
    </row>
    <row r="6216" customFormat="false" ht="14.25" hidden="false" customHeight="true" outlineLevel="0" collapsed="false">
      <c r="B6216" s="9" t="s">
        <v>16</v>
      </c>
      <c r="C6216" s="9" t="n">
        <v>1185732</v>
      </c>
      <c r="D6216" s="10" t="n">
        <v>44321</v>
      </c>
      <c r="E6216" s="9" t="s">
        <v>50</v>
      </c>
      <c r="F6216" s="9" t="s">
        <v>94</v>
      </c>
      <c r="G6216" s="9" t="s">
        <v>95</v>
      </c>
      <c r="H6216" s="11" t="s">
        <v>23</v>
      </c>
      <c r="I6216" s="12" t="n">
        <v>43</v>
      </c>
      <c r="J6216" s="13" t="n">
        <v>182</v>
      </c>
      <c r="K6216" s="14" t="n">
        <f aca="false">I6216*J6216</f>
        <v>7826</v>
      </c>
      <c r="L6216" s="14" t="n">
        <f aca="false">($L$2*M6216)/100</f>
        <v>504699.93</v>
      </c>
      <c r="M6216" s="15" t="n">
        <v>0.42</v>
      </c>
      <c r="N6216" s="9" t="s">
        <v>85</v>
      </c>
    </row>
    <row r="6217" customFormat="false" ht="14.25" hidden="false" customHeight="true" outlineLevel="0" collapsed="false">
      <c r="B6217" s="9" t="s">
        <v>16</v>
      </c>
      <c r="C6217" s="9" t="n">
        <v>1185732</v>
      </c>
      <c r="D6217" s="10" t="n">
        <v>44321</v>
      </c>
      <c r="E6217" s="9" t="s">
        <v>50</v>
      </c>
      <c r="F6217" s="9" t="s">
        <v>94</v>
      </c>
      <c r="G6217" s="9" t="s">
        <v>95</v>
      </c>
      <c r="H6217" s="11" t="s">
        <v>24</v>
      </c>
      <c r="I6217" s="12" t="n">
        <v>53</v>
      </c>
      <c r="J6217" s="13" t="n">
        <v>196</v>
      </c>
      <c r="K6217" s="14" t="n">
        <f aca="false">I6217*J6217</f>
        <v>10388</v>
      </c>
      <c r="L6217" s="14" t="n">
        <f aca="false">($L$2*M6217)/100</f>
        <v>600833.25</v>
      </c>
      <c r="M6217" s="15" t="n">
        <v>0.5</v>
      </c>
      <c r="N6217" s="9" t="s">
        <v>85</v>
      </c>
    </row>
    <row r="6218" customFormat="false" ht="14.25" hidden="false" customHeight="true" outlineLevel="0" collapsed="false">
      <c r="B6218" s="9" t="s">
        <v>16</v>
      </c>
      <c r="C6218" s="9" t="n">
        <v>1185732</v>
      </c>
      <c r="D6218" s="10" t="n">
        <v>44321</v>
      </c>
      <c r="E6218" s="9" t="s">
        <v>50</v>
      </c>
      <c r="F6218" s="9" t="s">
        <v>94</v>
      </c>
      <c r="G6218" s="9" t="s">
        <v>95</v>
      </c>
      <c r="H6218" s="11" t="s">
        <v>25</v>
      </c>
      <c r="I6218" s="12" t="n">
        <v>59</v>
      </c>
      <c r="J6218" s="13" t="n">
        <v>200</v>
      </c>
      <c r="K6218" s="14" t="n">
        <f aca="false">I6218*J6218</f>
        <v>11800</v>
      </c>
      <c r="L6218" s="14" t="n">
        <f aca="false">($L$2*M6218)/100</f>
        <v>720999.9</v>
      </c>
      <c r="M6218" s="15" t="n">
        <v>0.6</v>
      </c>
      <c r="N6218" s="9" t="s">
        <v>85</v>
      </c>
    </row>
    <row r="6219" customFormat="false" ht="14.25" hidden="false" customHeight="true" outlineLevel="0" collapsed="false">
      <c r="B6219" s="9" t="s">
        <v>16</v>
      </c>
      <c r="C6219" s="9" t="n">
        <v>1185732</v>
      </c>
      <c r="D6219" s="10" t="n">
        <v>44354</v>
      </c>
      <c r="E6219" s="9" t="s">
        <v>50</v>
      </c>
      <c r="F6219" s="9" t="s">
        <v>94</v>
      </c>
      <c r="G6219" s="9" t="s">
        <v>95</v>
      </c>
      <c r="H6219" s="11" t="s">
        <v>19</v>
      </c>
      <c r="I6219" s="12" t="n">
        <v>51</v>
      </c>
      <c r="J6219" s="13" t="n">
        <v>273</v>
      </c>
      <c r="K6219" s="14" t="n">
        <f aca="false">I6219*J6219</f>
        <v>13923</v>
      </c>
      <c r="L6219" s="14" t="n">
        <f aca="false">($L$2*M6219)/100</f>
        <v>672933.24</v>
      </c>
      <c r="M6219" s="15" t="n">
        <v>0.56</v>
      </c>
      <c r="N6219" s="9" t="s">
        <v>85</v>
      </c>
    </row>
    <row r="6220" customFormat="false" ht="14.25" hidden="false" customHeight="true" outlineLevel="0" collapsed="false">
      <c r="B6220" s="9" t="s">
        <v>16</v>
      </c>
      <c r="C6220" s="9" t="n">
        <v>1185732</v>
      </c>
      <c r="D6220" s="10" t="n">
        <v>44354</v>
      </c>
      <c r="E6220" s="9" t="s">
        <v>50</v>
      </c>
      <c r="F6220" s="9" t="s">
        <v>94</v>
      </c>
      <c r="G6220" s="9" t="s">
        <v>95</v>
      </c>
      <c r="H6220" s="11" t="s">
        <v>21</v>
      </c>
      <c r="I6220" s="12" t="n">
        <v>49</v>
      </c>
      <c r="J6220" s="13" t="n">
        <v>200</v>
      </c>
      <c r="K6220" s="14" t="n">
        <f aca="false">I6220*J6220</f>
        <v>9800</v>
      </c>
      <c r="L6220" s="14" t="n">
        <f aca="false">($L$2*M6220)/100</f>
        <v>540749.925</v>
      </c>
      <c r="M6220" s="15" t="n">
        <v>0.45</v>
      </c>
      <c r="N6220" s="9" t="s">
        <v>85</v>
      </c>
    </row>
    <row r="6221" customFormat="false" ht="14.25" hidden="false" customHeight="true" outlineLevel="0" collapsed="false">
      <c r="B6221" s="9" t="s">
        <v>16</v>
      </c>
      <c r="C6221" s="9" t="n">
        <v>1185732</v>
      </c>
      <c r="D6221" s="10" t="n">
        <v>44354</v>
      </c>
      <c r="E6221" s="9" t="s">
        <v>50</v>
      </c>
      <c r="F6221" s="9" t="s">
        <v>94</v>
      </c>
      <c r="G6221" s="9" t="s">
        <v>95</v>
      </c>
      <c r="H6221" s="11" t="s">
        <v>22</v>
      </c>
      <c r="I6221" s="12" t="n">
        <v>47</v>
      </c>
      <c r="J6221" s="13" t="n">
        <v>209</v>
      </c>
      <c r="K6221" s="14" t="n">
        <f aca="false">I6221*J6221</f>
        <v>9823</v>
      </c>
      <c r="L6221" s="14" t="n">
        <f aca="false">($L$2*M6221)/100</f>
        <v>432599.94</v>
      </c>
      <c r="M6221" s="15" t="n">
        <v>0.36</v>
      </c>
      <c r="N6221" s="9" t="s">
        <v>85</v>
      </c>
    </row>
    <row r="6222" customFormat="false" ht="14.25" hidden="false" customHeight="true" outlineLevel="0" collapsed="false">
      <c r="B6222" s="9" t="s">
        <v>16</v>
      </c>
      <c r="C6222" s="9" t="n">
        <v>1185732</v>
      </c>
      <c r="D6222" s="10" t="n">
        <v>44354</v>
      </c>
      <c r="E6222" s="9" t="s">
        <v>50</v>
      </c>
      <c r="F6222" s="9" t="s">
        <v>94</v>
      </c>
      <c r="G6222" s="9" t="s">
        <v>95</v>
      </c>
      <c r="H6222" s="11" t="s">
        <v>23</v>
      </c>
      <c r="I6222" s="12" t="n">
        <v>47</v>
      </c>
      <c r="J6222" s="13" t="n">
        <v>218</v>
      </c>
      <c r="K6222" s="14" t="n">
        <f aca="false">I6222*J6222</f>
        <v>10246</v>
      </c>
      <c r="L6222" s="14" t="n">
        <f aca="false">($L$2*M6222)/100</f>
        <v>540749.925</v>
      </c>
      <c r="M6222" s="15" t="n">
        <v>0.45</v>
      </c>
      <c r="N6222" s="9" t="s">
        <v>85</v>
      </c>
    </row>
    <row r="6223" customFormat="false" ht="14.25" hidden="false" customHeight="true" outlineLevel="0" collapsed="false">
      <c r="B6223" s="9" t="s">
        <v>16</v>
      </c>
      <c r="C6223" s="9" t="n">
        <v>1185732</v>
      </c>
      <c r="D6223" s="10" t="n">
        <v>44354</v>
      </c>
      <c r="E6223" s="9" t="s">
        <v>50</v>
      </c>
      <c r="F6223" s="9" t="s">
        <v>94</v>
      </c>
      <c r="G6223" s="9" t="s">
        <v>95</v>
      </c>
      <c r="H6223" s="11" t="s">
        <v>24</v>
      </c>
      <c r="I6223" s="12" t="n">
        <v>62</v>
      </c>
      <c r="J6223" s="13" t="n">
        <v>195</v>
      </c>
      <c r="K6223" s="14" t="n">
        <f aca="false">I6223*J6223</f>
        <v>12090</v>
      </c>
      <c r="L6223" s="14" t="n">
        <f aca="false">($L$2*M6223)/100</f>
        <v>540749.925</v>
      </c>
      <c r="M6223" s="15" t="n">
        <v>0.45</v>
      </c>
      <c r="N6223" s="9" t="s">
        <v>85</v>
      </c>
    </row>
    <row r="6224" customFormat="false" ht="14.25" hidden="false" customHeight="true" outlineLevel="0" collapsed="false">
      <c r="B6224" s="9" t="s">
        <v>16</v>
      </c>
      <c r="C6224" s="9" t="n">
        <v>1185732</v>
      </c>
      <c r="D6224" s="10" t="n">
        <v>44354</v>
      </c>
      <c r="E6224" s="9" t="s">
        <v>50</v>
      </c>
      <c r="F6224" s="9" t="s">
        <v>94</v>
      </c>
      <c r="G6224" s="9" t="s">
        <v>95</v>
      </c>
      <c r="H6224" s="11" t="s">
        <v>25</v>
      </c>
      <c r="I6224" s="12" t="n">
        <v>65</v>
      </c>
      <c r="J6224" s="13" t="n">
        <v>250</v>
      </c>
      <c r="K6224" s="14" t="n">
        <f aca="false">I6224*J6224</f>
        <v>16250</v>
      </c>
      <c r="L6224" s="14" t="n">
        <f aca="false">($L$2*M6224)/100</f>
        <v>769066.56</v>
      </c>
      <c r="M6224" s="15" t="n">
        <v>0.64</v>
      </c>
      <c r="N6224" s="9" t="s">
        <v>85</v>
      </c>
    </row>
    <row r="6225" customFormat="false" ht="14.25" hidden="false" customHeight="true" outlineLevel="0" collapsed="false">
      <c r="B6225" s="9" t="s">
        <v>16</v>
      </c>
      <c r="C6225" s="9" t="n">
        <v>1185732</v>
      </c>
      <c r="D6225" s="10" t="n">
        <v>44382</v>
      </c>
      <c r="E6225" s="9" t="s">
        <v>50</v>
      </c>
      <c r="F6225" s="9" t="s">
        <v>94</v>
      </c>
      <c r="G6225" s="9" t="s">
        <v>95</v>
      </c>
      <c r="H6225" s="11" t="s">
        <v>19</v>
      </c>
      <c r="I6225" s="12" t="n">
        <v>63</v>
      </c>
      <c r="J6225" s="13" t="n">
        <v>311</v>
      </c>
      <c r="K6225" s="14" t="n">
        <f aca="false">I6225*J6225</f>
        <v>19593</v>
      </c>
      <c r="L6225" s="14" t="n">
        <f aca="false">($L$2*M6225)/100</f>
        <v>708983.235</v>
      </c>
      <c r="M6225" s="15" t="n">
        <v>0.59</v>
      </c>
      <c r="N6225" s="9" t="s">
        <v>85</v>
      </c>
    </row>
    <row r="6226" customFormat="false" ht="14.25" hidden="false" customHeight="true" outlineLevel="0" collapsed="false">
      <c r="B6226" s="9" t="s">
        <v>16</v>
      </c>
      <c r="C6226" s="9" t="n">
        <v>1185732</v>
      </c>
      <c r="D6226" s="10" t="n">
        <v>44382</v>
      </c>
      <c r="E6226" s="9" t="s">
        <v>50</v>
      </c>
      <c r="F6226" s="9" t="s">
        <v>94</v>
      </c>
      <c r="G6226" s="9" t="s">
        <v>95</v>
      </c>
      <c r="H6226" s="11" t="s">
        <v>21</v>
      </c>
      <c r="I6226" s="12" t="n">
        <v>58</v>
      </c>
      <c r="J6226" s="13" t="n">
        <v>270</v>
      </c>
      <c r="K6226" s="14" t="n">
        <f aca="false">I6226*J6226</f>
        <v>15660</v>
      </c>
      <c r="L6226" s="14" t="n">
        <f aca="false">($L$2*M6226)/100</f>
        <v>588816.585</v>
      </c>
      <c r="M6226" s="15" t="n">
        <v>0.49</v>
      </c>
      <c r="N6226" s="9" t="s">
        <v>85</v>
      </c>
    </row>
    <row r="6227" customFormat="false" ht="14.25" hidden="false" customHeight="true" outlineLevel="0" collapsed="false">
      <c r="B6227" s="9" t="s">
        <v>16</v>
      </c>
      <c r="C6227" s="9" t="n">
        <v>1185732</v>
      </c>
      <c r="D6227" s="10" t="n">
        <v>44382</v>
      </c>
      <c r="E6227" s="9" t="s">
        <v>50</v>
      </c>
      <c r="F6227" s="9" t="s">
        <v>94</v>
      </c>
      <c r="G6227" s="9" t="s">
        <v>95</v>
      </c>
      <c r="H6227" s="11" t="s">
        <v>22</v>
      </c>
      <c r="I6227" s="12" t="n">
        <v>51</v>
      </c>
      <c r="J6227" s="13" t="n">
        <v>248</v>
      </c>
      <c r="K6227" s="14" t="n">
        <f aca="false">I6227*J6227</f>
        <v>12648</v>
      </c>
      <c r="L6227" s="14" t="n">
        <f aca="false">($L$2*M6227)/100</f>
        <v>432599.94</v>
      </c>
      <c r="M6227" s="15" t="n">
        <v>0.36</v>
      </c>
      <c r="N6227" s="9" t="s">
        <v>85</v>
      </c>
    </row>
    <row r="6228" customFormat="false" ht="14.25" hidden="false" customHeight="true" outlineLevel="0" collapsed="false">
      <c r="B6228" s="9" t="s">
        <v>16</v>
      </c>
      <c r="C6228" s="9" t="n">
        <v>1185732</v>
      </c>
      <c r="D6228" s="10" t="n">
        <v>44382</v>
      </c>
      <c r="E6228" s="9" t="s">
        <v>50</v>
      </c>
      <c r="F6228" s="9" t="s">
        <v>94</v>
      </c>
      <c r="G6228" s="9" t="s">
        <v>95</v>
      </c>
      <c r="H6228" s="11" t="s">
        <v>23</v>
      </c>
      <c r="I6228" s="12" t="n">
        <v>52</v>
      </c>
      <c r="J6228" s="13" t="n">
        <v>202</v>
      </c>
      <c r="K6228" s="14" t="n">
        <f aca="false">I6228*J6228</f>
        <v>10504</v>
      </c>
      <c r="L6228" s="14" t="n">
        <f aca="false">($L$2*M6228)/100</f>
        <v>504699.93</v>
      </c>
      <c r="M6228" s="15" t="n">
        <v>0.42</v>
      </c>
      <c r="N6228" s="9" t="s">
        <v>85</v>
      </c>
    </row>
    <row r="6229" customFormat="false" ht="14.25" hidden="false" customHeight="true" outlineLevel="0" collapsed="false">
      <c r="B6229" s="9" t="s">
        <v>16</v>
      </c>
      <c r="C6229" s="9" t="n">
        <v>1185732</v>
      </c>
      <c r="D6229" s="10" t="n">
        <v>44382</v>
      </c>
      <c r="E6229" s="9" t="s">
        <v>50</v>
      </c>
      <c r="F6229" s="9" t="s">
        <v>94</v>
      </c>
      <c r="G6229" s="9" t="s">
        <v>95</v>
      </c>
      <c r="H6229" s="11" t="s">
        <v>24</v>
      </c>
      <c r="I6229" s="12" t="n">
        <v>64</v>
      </c>
      <c r="J6229" s="13" t="n">
        <v>240</v>
      </c>
      <c r="K6229" s="14" t="n">
        <f aca="false">I6229*J6229</f>
        <v>15360</v>
      </c>
      <c r="L6229" s="14" t="n">
        <f aca="false">($L$2*M6229)/100</f>
        <v>540749.925</v>
      </c>
      <c r="M6229" s="15" t="n">
        <v>0.45</v>
      </c>
      <c r="N6229" s="9" t="s">
        <v>85</v>
      </c>
    </row>
    <row r="6230" customFormat="false" ht="14.25" hidden="false" customHeight="true" outlineLevel="0" collapsed="false">
      <c r="B6230" s="9" t="s">
        <v>16</v>
      </c>
      <c r="C6230" s="9" t="n">
        <v>1185732</v>
      </c>
      <c r="D6230" s="10" t="n">
        <v>44382</v>
      </c>
      <c r="E6230" s="9" t="s">
        <v>50</v>
      </c>
      <c r="F6230" s="9" t="s">
        <v>94</v>
      </c>
      <c r="G6230" s="9" t="s">
        <v>95</v>
      </c>
      <c r="H6230" s="11" t="s">
        <v>25</v>
      </c>
      <c r="I6230" s="12" t="n">
        <v>66</v>
      </c>
      <c r="J6230" s="13" t="n">
        <v>244</v>
      </c>
      <c r="K6230" s="14" t="n">
        <f aca="false">I6230*J6230</f>
        <v>16104</v>
      </c>
      <c r="L6230" s="14" t="n">
        <f aca="false">($L$2*M6230)/100</f>
        <v>781083.225</v>
      </c>
      <c r="M6230" s="15" t="n">
        <v>0.65</v>
      </c>
      <c r="N6230" s="9" t="s">
        <v>85</v>
      </c>
    </row>
    <row r="6231" customFormat="false" ht="14.25" hidden="false" customHeight="true" outlineLevel="0" collapsed="false">
      <c r="B6231" s="9" t="s">
        <v>16</v>
      </c>
      <c r="C6231" s="9" t="n">
        <v>1185732</v>
      </c>
      <c r="D6231" s="10" t="n">
        <v>44414</v>
      </c>
      <c r="E6231" s="9" t="s">
        <v>50</v>
      </c>
      <c r="F6231" s="9" t="s">
        <v>94</v>
      </c>
      <c r="G6231" s="9" t="s">
        <v>95</v>
      </c>
      <c r="H6231" s="11" t="s">
        <v>19</v>
      </c>
      <c r="I6231" s="12" t="n">
        <v>62</v>
      </c>
      <c r="J6231" s="13" t="n">
        <v>326</v>
      </c>
      <c r="K6231" s="14" t="n">
        <f aca="false">I6231*J6231</f>
        <v>20212</v>
      </c>
      <c r="L6231" s="14" t="n">
        <f aca="false">($L$2*M6231)/100</f>
        <v>684949.905</v>
      </c>
      <c r="M6231" s="15" t="n">
        <v>0.57</v>
      </c>
      <c r="N6231" s="9" t="s">
        <v>85</v>
      </c>
    </row>
    <row r="6232" customFormat="false" ht="14.25" hidden="false" customHeight="true" outlineLevel="0" collapsed="false">
      <c r="B6232" s="9" t="s">
        <v>16</v>
      </c>
      <c r="C6232" s="9" t="n">
        <v>1185732</v>
      </c>
      <c r="D6232" s="10" t="n">
        <v>44414</v>
      </c>
      <c r="E6232" s="9" t="s">
        <v>50</v>
      </c>
      <c r="F6232" s="9" t="s">
        <v>94</v>
      </c>
      <c r="G6232" s="9" t="s">
        <v>95</v>
      </c>
      <c r="H6232" s="11" t="s">
        <v>21</v>
      </c>
      <c r="I6232" s="12" t="n">
        <v>54</v>
      </c>
      <c r="J6232" s="13" t="n">
        <v>243</v>
      </c>
      <c r="K6232" s="14" t="n">
        <f aca="false">I6232*J6232</f>
        <v>13122</v>
      </c>
      <c r="L6232" s="14" t="n">
        <f aca="false">($L$2*M6232)/100</f>
        <v>588816.585</v>
      </c>
      <c r="M6232" s="15" t="n">
        <v>0.49</v>
      </c>
      <c r="N6232" s="9" t="s">
        <v>85</v>
      </c>
    </row>
    <row r="6233" customFormat="false" ht="14.25" hidden="false" customHeight="true" outlineLevel="0" collapsed="false">
      <c r="B6233" s="9" t="s">
        <v>16</v>
      </c>
      <c r="C6233" s="9" t="n">
        <v>1185732</v>
      </c>
      <c r="D6233" s="10" t="n">
        <v>44414</v>
      </c>
      <c r="E6233" s="9" t="s">
        <v>50</v>
      </c>
      <c r="F6233" s="9" t="s">
        <v>94</v>
      </c>
      <c r="G6233" s="9" t="s">
        <v>95</v>
      </c>
      <c r="H6233" s="11" t="s">
        <v>22</v>
      </c>
      <c r="I6233" s="12" t="n">
        <v>50</v>
      </c>
      <c r="J6233" s="13" t="n">
        <v>231</v>
      </c>
      <c r="K6233" s="14" t="n">
        <f aca="false">I6233*J6233</f>
        <v>11550</v>
      </c>
      <c r="L6233" s="14" t="n">
        <f aca="false">($L$2*M6233)/100</f>
        <v>480666.6</v>
      </c>
      <c r="M6233" s="15" t="n">
        <v>0.4</v>
      </c>
      <c r="N6233" s="9" t="s">
        <v>85</v>
      </c>
    </row>
    <row r="6234" customFormat="false" ht="14.25" hidden="false" customHeight="true" outlineLevel="0" collapsed="false">
      <c r="B6234" s="9" t="s">
        <v>16</v>
      </c>
      <c r="C6234" s="9" t="n">
        <v>1185732</v>
      </c>
      <c r="D6234" s="10" t="n">
        <v>44414</v>
      </c>
      <c r="E6234" s="9" t="s">
        <v>50</v>
      </c>
      <c r="F6234" s="9" t="s">
        <v>94</v>
      </c>
      <c r="G6234" s="9" t="s">
        <v>95</v>
      </c>
      <c r="H6234" s="11" t="s">
        <v>23</v>
      </c>
      <c r="I6234" s="12" t="n">
        <v>44</v>
      </c>
      <c r="J6234" s="13" t="n">
        <v>233</v>
      </c>
      <c r="K6234" s="14" t="n">
        <f aca="false">I6234*J6234</f>
        <v>10252</v>
      </c>
      <c r="L6234" s="14" t="n">
        <f aca="false">($L$2*M6234)/100</f>
        <v>492683.265</v>
      </c>
      <c r="M6234" s="15" t="n">
        <v>0.41</v>
      </c>
      <c r="N6234" s="9" t="s">
        <v>85</v>
      </c>
    </row>
    <row r="6235" customFormat="false" ht="14.25" hidden="false" customHeight="true" outlineLevel="0" collapsed="false">
      <c r="B6235" s="9" t="s">
        <v>16</v>
      </c>
      <c r="C6235" s="9" t="n">
        <v>1185732</v>
      </c>
      <c r="D6235" s="10" t="n">
        <v>44414</v>
      </c>
      <c r="E6235" s="9" t="s">
        <v>50</v>
      </c>
      <c r="F6235" s="9" t="s">
        <v>94</v>
      </c>
      <c r="G6235" s="9" t="s">
        <v>95</v>
      </c>
      <c r="H6235" s="11" t="s">
        <v>24</v>
      </c>
      <c r="I6235" s="12" t="n">
        <v>51</v>
      </c>
      <c r="J6235" s="13" t="n">
        <v>225</v>
      </c>
      <c r="K6235" s="14" t="n">
        <f aca="false">I6235*J6235</f>
        <v>11475</v>
      </c>
      <c r="L6235" s="14" t="n">
        <f aca="false">($L$2*M6235)/100</f>
        <v>552766.59</v>
      </c>
      <c r="M6235" s="15" t="n">
        <v>0.46</v>
      </c>
      <c r="N6235" s="9" t="s">
        <v>85</v>
      </c>
    </row>
    <row r="6236" customFormat="false" ht="14.25" hidden="false" customHeight="true" outlineLevel="0" collapsed="false">
      <c r="B6236" s="9" t="s">
        <v>16</v>
      </c>
      <c r="C6236" s="9" t="n">
        <v>1185732</v>
      </c>
      <c r="D6236" s="10" t="n">
        <v>44414</v>
      </c>
      <c r="E6236" s="9" t="s">
        <v>50</v>
      </c>
      <c r="F6236" s="9" t="s">
        <v>94</v>
      </c>
      <c r="G6236" s="9" t="s">
        <v>95</v>
      </c>
      <c r="H6236" s="11" t="s">
        <v>25</v>
      </c>
      <c r="I6236" s="12" t="n">
        <v>58</v>
      </c>
      <c r="J6236" s="13" t="n">
        <v>278</v>
      </c>
      <c r="K6236" s="14" t="n">
        <f aca="false">I6236*J6236</f>
        <v>16124</v>
      </c>
      <c r="L6236" s="14" t="n">
        <f aca="false">($L$2*M6236)/100</f>
        <v>733016.565</v>
      </c>
      <c r="M6236" s="15" t="n">
        <v>0.61</v>
      </c>
      <c r="N6236" s="9" t="s">
        <v>85</v>
      </c>
    </row>
    <row r="6237" customFormat="false" ht="14.25" hidden="false" customHeight="true" outlineLevel="0" collapsed="false">
      <c r="B6237" s="9" t="s">
        <v>16</v>
      </c>
      <c r="C6237" s="9" t="n">
        <v>1185732</v>
      </c>
      <c r="D6237" s="10" t="n">
        <v>44444</v>
      </c>
      <c r="E6237" s="9" t="s">
        <v>50</v>
      </c>
      <c r="F6237" s="9" t="s">
        <v>94</v>
      </c>
      <c r="G6237" s="9" t="s">
        <v>95</v>
      </c>
      <c r="H6237" s="11" t="s">
        <v>19</v>
      </c>
      <c r="I6237" s="12" t="n">
        <v>51</v>
      </c>
      <c r="J6237" s="13" t="n">
        <v>287</v>
      </c>
      <c r="K6237" s="14" t="n">
        <f aca="false">I6237*J6237</f>
        <v>14637</v>
      </c>
      <c r="L6237" s="14" t="n">
        <f aca="false">($L$2*M6237)/100</f>
        <v>696966.57</v>
      </c>
      <c r="M6237" s="15" t="n">
        <v>0.58</v>
      </c>
      <c r="N6237" s="9" t="s">
        <v>85</v>
      </c>
    </row>
    <row r="6238" customFormat="false" ht="14.25" hidden="false" customHeight="true" outlineLevel="0" collapsed="false">
      <c r="B6238" s="9" t="s">
        <v>16</v>
      </c>
      <c r="C6238" s="9" t="n">
        <v>1185732</v>
      </c>
      <c r="D6238" s="10" t="n">
        <v>44444</v>
      </c>
      <c r="E6238" s="9" t="s">
        <v>50</v>
      </c>
      <c r="F6238" s="9" t="s">
        <v>94</v>
      </c>
      <c r="G6238" s="9" t="s">
        <v>95</v>
      </c>
      <c r="H6238" s="11" t="s">
        <v>21</v>
      </c>
      <c r="I6238" s="12" t="n">
        <v>48</v>
      </c>
      <c r="J6238" s="13" t="n">
        <v>223</v>
      </c>
      <c r="K6238" s="14" t="n">
        <f aca="false">I6238*J6238</f>
        <v>10704</v>
      </c>
      <c r="L6238" s="14" t="n">
        <f aca="false">($L$2*M6238)/100</f>
        <v>576799.92</v>
      </c>
      <c r="M6238" s="15" t="n">
        <v>0.48</v>
      </c>
      <c r="N6238" s="9" t="s">
        <v>85</v>
      </c>
    </row>
    <row r="6239" customFormat="false" ht="14.25" hidden="false" customHeight="true" outlineLevel="0" collapsed="false">
      <c r="B6239" s="9" t="s">
        <v>16</v>
      </c>
      <c r="C6239" s="9" t="n">
        <v>1185732</v>
      </c>
      <c r="D6239" s="10" t="n">
        <v>44444</v>
      </c>
      <c r="E6239" s="9" t="s">
        <v>50</v>
      </c>
      <c r="F6239" s="9" t="s">
        <v>94</v>
      </c>
      <c r="G6239" s="9" t="s">
        <v>95</v>
      </c>
      <c r="H6239" s="11" t="s">
        <v>22</v>
      </c>
      <c r="I6239" s="12" t="n">
        <v>38</v>
      </c>
      <c r="J6239" s="13" t="n">
        <v>196</v>
      </c>
      <c r="K6239" s="14" t="n">
        <f aca="false">I6239*J6239</f>
        <v>7448</v>
      </c>
      <c r="L6239" s="14" t="n">
        <f aca="false">($L$2*M6239)/100</f>
        <v>468649.935</v>
      </c>
      <c r="M6239" s="15" t="n">
        <v>0.39</v>
      </c>
      <c r="N6239" s="9" t="s">
        <v>85</v>
      </c>
    </row>
    <row r="6240" customFormat="false" ht="14.25" hidden="false" customHeight="true" outlineLevel="0" collapsed="false">
      <c r="B6240" s="9" t="s">
        <v>16</v>
      </c>
      <c r="C6240" s="9" t="n">
        <v>1185732</v>
      </c>
      <c r="D6240" s="10" t="n">
        <v>44444</v>
      </c>
      <c r="E6240" s="9" t="s">
        <v>50</v>
      </c>
      <c r="F6240" s="9" t="s">
        <v>94</v>
      </c>
      <c r="G6240" s="9" t="s">
        <v>95</v>
      </c>
      <c r="H6240" s="11" t="s">
        <v>23</v>
      </c>
      <c r="I6240" s="12" t="n">
        <v>39</v>
      </c>
      <c r="J6240" s="13" t="n">
        <v>210</v>
      </c>
      <c r="K6240" s="14" t="n">
        <f aca="false">I6240*J6240</f>
        <v>8190</v>
      </c>
      <c r="L6240" s="14" t="n">
        <f aca="false">($L$2*M6240)/100</f>
        <v>480666.6</v>
      </c>
      <c r="M6240" s="15" t="n">
        <v>0.4</v>
      </c>
      <c r="N6240" s="9" t="s">
        <v>85</v>
      </c>
    </row>
    <row r="6241" customFormat="false" ht="14.25" hidden="false" customHeight="true" outlineLevel="0" collapsed="false">
      <c r="B6241" s="9" t="s">
        <v>16</v>
      </c>
      <c r="C6241" s="9" t="n">
        <v>1185732</v>
      </c>
      <c r="D6241" s="10" t="n">
        <v>44444</v>
      </c>
      <c r="E6241" s="9" t="s">
        <v>50</v>
      </c>
      <c r="F6241" s="9" t="s">
        <v>94</v>
      </c>
      <c r="G6241" s="9" t="s">
        <v>95</v>
      </c>
      <c r="H6241" s="11" t="s">
        <v>24</v>
      </c>
      <c r="I6241" s="12" t="n">
        <v>48</v>
      </c>
      <c r="J6241" s="13" t="n">
        <v>175</v>
      </c>
      <c r="K6241" s="14" t="n">
        <f aca="false">I6241*J6241</f>
        <v>8400</v>
      </c>
      <c r="L6241" s="14" t="n">
        <f aca="false">($L$2*M6241)/100</f>
        <v>552766.59</v>
      </c>
      <c r="M6241" s="15" t="n">
        <v>0.46</v>
      </c>
      <c r="N6241" s="9" t="s">
        <v>85</v>
      </c>
    </row>
    <row r="6242" customFormat="false" ht="14.25" hidden="false" customHeight="true" outlineLevel="0" collapsed="false">
      <c r="B6242" s="9" t="s">
        <v>16</v>
      </c>
      <c r="C6242" s="9" t="n">
        <v>1185732</v>
      </c>
      <c r="D6242" s="10" t="n">
        <v>44444</v>
      </c>
      <c r="E6242" s="9" t="s">
        <v>50</v>
      </c>
      <c r="F6242" s="9" t="s">
        <v>94</v>
      </c>
      <c r="G6242" s="9" t="s">
        <v>95</v>
      </c>
      <c r="H6242" s="11" t="s">
        <v>25</v>
      </c>
      <c r="I6242" s="12" t="n">
        <v>52</v>
      </c>
      <c r="J6242" s="13" t="n">
        <v>232</v>
      </c>
      <c r="K6242" s="14" t="n">
        <f aca="false">I6242*J6242</f>
        <v>12064</v>
      </c>
      <c r="L6242" s="14" t="n">
        <f aca="false">($L$2*M6242)/100</f>
        <v>720999.9</v>
      </c>
      <c r="M6242" s="15" t="n">
        <v>0.6</v>
      </c>
      <c r="N6242" s="9" t="s">
        <v>85</v>
      </c>
    </row>
    <row r="6243" customFormat="false" ht="14.25" hidden="false" customHeight="true" outlineLevel="0" collapsed="false">
      <c r="B6243" s="9" t="s">
        <v>16</v>
      </c>
      <c r="C6243" s="9" t="n">
        <v>1185732</v>
      </c>
      <c r="D6243" s="10" t="n">
        <v>44476</v>
      </c>
      <c r="E6243" s="9" t="s">
        <v>50</v>
      </c>
      <c r="F6243" s="9" t="s">
        <v>94</v>
      </c>
      <c r="G6243" s="9" t="s">
        <v>95</v>
      </c>
      <c r="H6243" s="11" t="s">
        <v>19</v>
      </c>
      <c r="I6243" s="12" t="n">
        <v>50</v>
      </c>
      <c r="J6243" s="13" t="n">
        <v>244</v>
      </c>
      <c r="K6243" s="14" t="n">
        <f aca="false">I6243*J6243</f>
        <v>12200</v>
      </c>
      <c r="L6243" s="14" t="n">
        <f aca="false">($L$2*M6243)/100</f>
        <v>720999.9</v>
      </c>
      <c r="M6243" s="15" t="n">
        <v>0.6</v>
      </c>
      <c r="N6243" s="9" t="s">
        <v>85</v>
      </c>
    </row>
    <row r="6244" customFormat="false" ht="14.25" hidden="false" customHeight="true" outlineLevel="0" collapsed="false">
      <c r="B6244" s="9" t="s">
        <v>16</v>
      </c>
      <c r="C6244" s="9" t="n">
        <v>1185732</v>
      </c>
      <c r="D6244" s="10" t="n">
        <v>44476</v>
      </c>
      <c r="E6244" s="9" t="s">
        <v>50</v>
      </c>
      <c r="F6244" s="9" t="s">
        <v>94</v>
      </c>
      <c r="G6244" s="9" t="s">
        <v>95</v>
      </c>
      <c r="H6244" s="11" t="s">
        <v>21</v>
      </c>
      <c r="I6244" s="12" t="n">
        <v>42</v>
      </c>
      <c r="J6244" s="13" t="n">
        <v>208</v>
      </c>
      <c r="K6244" s="14" t="n">
        <f aca="false">I6244*J6244</f>
        <v>8736</v>
      </c>
      <c r="L6244" s="14" t="n">
        <f aca="false">($L$2*M6244)/100</f>
        <v>600833.25</v>
      </c>
      <c r="M6244" s="15" t="n">
        <v>0.5</v>
      </c>
      <c r="N6244" s="9" t="s">
        <v>85</v>
      </c>
    </row>
    <row r="6245" customFormat="false" ht="14.25" hidden="false" customHeight="true" outlineLevel="0" collapsed="false">
      <c r="B6245" s="9" t="s">
        <v>16</v>
      </c>
      <c r="C6245" s="9" t="n">
        <v>1185732</v>
      </c>
      <c r="D6245" s="10" t="n">
        <v>44476</v>
      </c>
      <c r="E6245" s="9" t="s">
        <v>50</v>
      </c>
      <c r="F6245" s="9" t="s">
        <v>94</v>
      </c>
      <c r="G6245" s="9" t="s">
        <v>95</v>
      </c>
      <c r="H6245" s="11" t="s">
        <v>22</v>
      </c>
      <c r="I6245" s="12" t="n">
        <v>41</v>
      </c>
      <c r="J6245" s="13" t="n">
        <v>176</v>
      </c>
      <c r="K6245" s="14" t="n">
        <f aca="false">I6245*J6245</f>
        <v>7216</v>
      </c>
      <c r="L6245" s="14" t="n">
        <f aca="false">($L$2*M6245)/100</f>
        <v>468649.935</v>
      </c>
      <c r="M6245" s="15" t="n">
        <v>0.39</v>
      </c>
      <c r="N6245" s="9" t="s">
        <v>85</v>
      </c>
    </row>
    <row r="6246" customFormat="false" ht="14.25" hidden="false" customHeight="true" outlineLevel="0" collapsed="false">
      <c r="B6246" s="9" t="s">
        <v>16</v>
      </c>
      <c r="C6246" s="9" t="n">
        <v>1185732</v>
      </c>
      <c r="D6246" s="10" t="n">
        <v>44476</v>
      </c>
      <c r="E6246" s="9" t="s">
        <v>50</v>
      </c>
      <c r="F6246" s="9" t="s">
        <v>94</v>
      </c>
      <c r="G6246" s="9" t="s">
        <v>95</v>
      </c>
      <c r="H6246" s="11" t="s">
        <v>23</v>
      </c>
      <c r="I6246" s="12" t="n">
        <v>41</v>
      </c>
      <c r="J6246" s="13" t="n">
        <v>176</v>
      </c>
      <c r="K6246" s="14" t="n">
        <f aca="false">I6246*J6246</f>
        <v>7216</v>
      </c>
      <c r="L6246" s="14" t="n">
        <f aca="false">($L$2*M6246)/100</f>
        <v>480666.6</v>
      </c>
      <c r="M6246" s="15" t="n">
        <v>0.4</v>
      </c>
      <c r="N6246" s="9" t="s">
        <v>85</v>
      </c>
    </row>
    <row r="6247" customFormat="false" ht="14.25" hidden="false" customHeight="true" outlineLevel="0" collapsed="false">
      <c r="B6247" s="9" t="s">
        <v>16</v>
      </c>
      <c r="C6247" s="9" t="n">
        <v>1185732</v>
      </c>
      <c r="D6247" s="10" t="n">
        <v>44476</v>
      </c>
      <c r="E6247" s="9" t="s">
        <v>50</v>
      </c>
      <c r="F6247" s="9" t="s">
        <v>94</v>
      </c>
      <c r="G6247" s="9" t="s">
        <v>95</v>
      </c>
      <c r="H6247" s="11" t="s">
        <v>24</v>
      </c>
      <c r="I6247" s="12" t="n">
        <v>52</v>
      </c>
      <c r="J6247" s="13" t="n">
        <v>189</v>
      </c>
      <c r="K6247" s="14" t="n">
        <f aca="false">I6247*J6247</f>
        <v>9828</v>
      </c>
      <c r="L6247" s="14" t="n">
        <f aca="false">($L$2*M6247)/100</f>
        <v>576799.92</v>
      </c>
      <c r="M6247" s="15" t="n">
        <v>0.48</v>
      </c>
      <c r="N6247" s="9" t="s">
        <v>85</v>
      </c>
    </row>
    <row r="6248" customFormat="false" ht="14.25" hidden="false" customHeight="true" outlineLevel="0" collapsed="false">
      <c r="B6248" s="9" t="s">
        <v>16</v>
      </c>
      <c r="C6248" s="9" t="n">
        <v>1185732</v>
      </c>
      <c r="D6248" s="10" t="n">
        <v>44476</v>
      </c>
      <c r="E6248" s="9" t="s">
        <v>50</v>
      </c>
      <c r="F6248" s="9" t="s">
        <v>94</v>
      </c>
      <c r="G6248" s="9" t="s">
        <v>95</v>
      </c>
      <c r="H6248" s="11" t="s">
        <v>25</v>
      </c>
      <c r="I6248" s="12" t="n">
        <v>56</v>
      </c>
      <c r="J6248" s="13" t="n">
        <v>225</v>
      </c>
      <c r="K6248" s="14" t="n">
        <f aca="false">I6248*J6248</f>
        <v>12600</v>
      </c>
      <c r="L6248" s="14" t="n">
        <f aca="false">($L$2*M6248)/100</f>
        <v>781083.225</v>
      </c>
      <c r="M6248" s="15" t="n">
        <v>0.65</v>
      </c>
      <c r="N6248" s="9" t="s">
        <v>85</v>
      </c>
    </row>
    <row r="6249" customFormat="false" ht="14.25" hidden="false" customHeight="true" outlineLevel="0" collapsed="false">
      <c r="B6249" s="9" t="s">
        <v>16</v>
      </c>
      <c r="C6249" s="9" t="n">
        <v>1185732</v>
      </c>
      <c r="D6249" s="10" t="n">
        <v>44506</v>
      </c>
      <c r="E6249" s="9" t="s">
        <v>50</v>
      </c>
      <c r="F6249" s="9" t="s">
        <v>94</v>
      </c>
      <c r="G6249" s="9" t="s">
        <v>95</v>
      </c>
      <c r="H6249" s="11" t="s">
        <v>19</v>
      </c>
      <c r="I6249" s="12" t="n">
        <v>50</v>
      </c>
      <c r="J6249" s="13" t="n">
        <v>278</v>
      </c>
      <c r="K6249" s="14" t="n">
        <f aca="false">I6249*J6249</f>
        <v>13900</v>
      </c>
      <c r="L6249" s="14" t="n">
        <f aca="false">($L$2*M6249)/100</f>
        <v>684949.905</v>
      </c>
      <c r="M6249" s="15" t="n">
        <v>0.57</v>
      </c>
      <c r="N6249" s="9" t="s">
        <v>85</v>
      </c>
    </row>
    <row r="6250" customFormat="false" ht="14.25" hidden="false" customHeight="true" outlineLevel="0" collapsed="false">
      <c r="B6250" s="9" t="s">
        <v>16</v>
      </c>
      <c r="C6250" s="9" t="n">
        <v>1185732</v>
      </c>
      <c r="D6250" s="10" t="n">
        <v>44506</v>
      </c>
      <c r="E6250" s="9" t="s">
        <v>50</v>
      </c>
      <c r="F6250" s="9" t="s">
        <v>94</v>
      </c>
      <c r="G6250" s="9" t="s">
        <v>95</v>
      </c>
      <c r="H6250" s="11" t="s">
        <v>21</v>
      </c>
      <c r="I6250" s="12" t="n">
        <v>44</v>
      </c>
      <c r="J6250" s="13" t="n">
        <v>188</v>
      </c>
      <c r="K6250" s="14" t="n">
        <f aca="false">I6250*J6250</f>
        <v>8272</v>
      </c>
      <c r="L6250" s="14" t="n">
        <f aca="false">($L$2*M6250)/100</f>
        <v>540749.925</v>
      </c>
      <c r="M6250" s="15" t="n">
        <v>0.45</v>
      </c>
      <c r="N6250" s="9" t="s">
        <v>85</v>
      </c>
    </row>
    <row r="6251" customFormat="false" ht="14.25" hidden="false" customHeight="true" outlineLevel="0" collapsed="false">
      <c r="B6251" s="9" t="s">
        <v>16</v>
      </c>
      <c r="C6251" s="9" t="n">
        <v>1185732</v>
      </c>
      <c r="D6251" s="10" t="n">
        <v>44506</v>
      </c>
      <c r="E6251" s="9" t="s">
        <v>50</v>
      </c>
      <c r="F6251" s="9" t="s">
        <v>94</v>
      </c>
      <c r="G6251" s="9" t="s">
        <v>95</v>
      </c>
      <c r="H6251" s="11" t="s">
        <v>22</v>
      </c>
      <c r="I6251" s="12" t="n">
        <v>43</v>
      </c>
      <c r="J6251" s="13" t="n">
        <v>202</v>
      </c>
      <c r="K6251" s="14" t="n">
        <f aca="false">I6251*J6251</f>
        <v>8686</v>
      </c>
      <c r="L6251" s="14" t="n">
        <f aca="false">($L$2*M6251)/100</f>
        <v>420583.275</v>
      </c>
      <c r="M6251" s="15" t="n">
        <v>0.35</v>
      </c>
      <c r="N6251" s="9" t="s">
        <v>85</v>
      </c>
    </row>
    <row r="6252" customFormat="false" ht="14.25" hidden="false" customHeight="true" outlineLevel="0" collapsed="false">
      <c r="B6252" s="9" t="s">
        <v>16</v>
      </c>
      <c r="C6252" s="9" t="n">
        <v>1185732</v>
      </c>
      <c r="D6252" s="10" t="n">
        <v>44506</v>
      </c>
      <c r="E6252" s="9" t="s">
        <v>50</v>
      </c>
      <c r="F6252" s="9" t="s">
        <v>94</v>
      </c>
      <c r="G6252" s="9" t="s">
        <v>95</v>
      </c>
      <c r="H6252" s="11" t="s">
        <v>23</v>
      </c>
      <c r="I6252" s="12" t="n">
        <v>53</v>
      </c>
      <c r="J6252" s="13" t="n">
        <v>225</v>
      </c>
      <c r="K6252" s="14" t="n">
        <f aca="false">I6252*J6252</f>
        <v>11925</v>
      </c>
      <c r="L6252" s="14" t="n">
        <f aca="false">($L$2*M6252)/100</f>
        <v>504699.93</v>
      </c>
      <c r="M6252" s="15" t="n">
        <v>0.42</v>
      </c>
      <c r="N6252" s="9" t="s">
        <v>85</v>
      </c>
    </row>
    <row r="6253" customFormat="false" ht="14.25" hidden="false" customHeight="true" outlineLevel="0" collapsed="false">
      <c r="B6253" s="9" t="s">
        <v>16</v>
      </c>
      <c r="C6253" s="9" t="n">
        <v>1185732</v>
      </c>
      <c r="D6253" s="10" t="n">
        <v>44506</v>
      </c>
      <c r="E6253" s="9" t="s">
        <v>50</v>
      </c>
      <c r="F6253" s="9" t="s">
        <v>94</v>
      </c>
      <c r="G6253" s="9" t="s">
        <v>95</v>
      </c>
      <c r="H6253" s="11" t="s">
        <v>24</v>
      </c>
      <c r="I6253" s="12" t="n">
        <v>66</v>
      </c>
      <c r="J6253" s="13" t="n">
        <v>196</v>
      </c>
      <c r="K6253" s="14" t="n">
        <f aca="false">I6253*J6253</f>
        <v>12936</v>
      </c>
      <c r="L6253" s="14" t="n">
        <f aca="false">($L$2*M6253)/100</f>
        <v>564783.255</v>
      </c>
      <c r="M6253" s="15" t="n">
        <v>0.47</v>
      </c>
      <c r="N6253" s="9" t="s">
        <v>85</v>
      </c>
    </row>
    <row r="6254" customFormat="false" ht="14.25" hidden="false" customHeight="true" outlineLevel="0" collapsed="false">
      <c r="B6254" s="9" t="s">
        <v>16</v>
      </c>
      <c r="C6254" s="9" t="n">
        <v>1185732</v>
      </c>
      <c r="D6254" s="10" t="n">
        <v>44506</v>
      </c>
      <c r="E6254" s="9" t="s">
        <v>50</v>
      </c>
      <c r="F6254" s="9" t="s">
        <v>94</v>
      </c>
      <c r="G6254" s="9" t="s">
        <v>95</v>
      </c>
      <c r="H6254" s="11" t="s">
        <v>25</v>
      </c>
      <c r="I6254" s="12" t="n">
        <v>74</v>
      </c>
      <c r="J6254" s="13" t="n">
        <v>206</v>
      </c>
      <c r="K6254" s="14" t="n">
        <f aca="false">I6254*J6254</f>
        <v>15244</v>
      </c>
      <c r="L6254" s="14" t="n">
        <f aca="false">($L$2*M6254)/100</f>
        <v>757049.895</v>
      </c>
      <c r="M6254" s="15" t="n">
        <v>0.63</v>
      </c>
      <c r="N6254" s="9" t="s">
        <v>85</v>
      </c>
    </row>
    <row r="6255" customFormat="false" ht="14.25" hidden="false" customHeight="true" outlineLevel="0" collapsed="false">
      <c r="B6255" s="9" t="s">
        <v>16</v>
      </c>
      <c r="C6255" s="9" t="n">
        <v>1185732</v>
      </c>
      <c r="D6255" s="10" t="n">
        <v>44535</v>
      </c>
      <c r="E6255" s="9" t="s">
        <v>50</v>
      </c>
      <c r="F6255" s="9" t="s">
        <v>94</v>
      </c>
      <c r="G6255" s="9" t="s">
        <v>95</v>
      </c>
      <c r="H6255" s="11" t="s">
        <v>19</v>
      </c>
      <c r="I6255" s="12" t="n">
        <v>67</v>
      </c>
      <c r="J6255" s="13" t="n">
        <v>290</v>
      </c>
      <c r="K6255" s="14" t="n">
        <f aca="false">I6255*J6255</f>
        <v>19430</v>
      </c>
      <c r="L6255" s="14" t="n">
        <f aca="false">($L$2*M6255)/100</f>
        <v>720999.9</v>
      </c>
      <c r="M6255" s="15" t="n">
        <v>0.6</v>
      </c>
      <c r="N6255" s="9" t="s">
        <v>85</v>
      </c>
    </row>
    <row r="6256" customFormat="false" ht="14.25" hidden="false" customHeight="true" outlineLevel="0" collapsed="false">
      <c r="B6256" s="9" t="s">
        <v>16</v>
      </c>
      <c r="C6256" s="9" t="n">
        <v>1185732</v>
      </c>
      <c r="D6256" s="10" t="n">
        <v>44535</v>
      </c>
      <c r="E6256" s="9" t="s">
        <v>50</v>
      </c>
      <c r="F6256" s="9" t="s">
        <v>94</v>
      </c>
      <c r="G6256" s="9" t="s">
        <v>95</v>
      </c>
      <c r="H6256" s="11" t="s">
        <v>21</v>
      </c>
      <c r="I6256" s="12" t="n">
        <v>58</v>
      </c>
      <c r="J6256" s="13" t="n">
        <v>219</v>
      </c>
      <c r="K6256" s="14" t="n">
        <f aca="false">I6256*J6256</f>
        <v>12702</v>
      </c>
      <c r="L6256" s="14" t="n">
        <f aca="false">($L$2*M6256)/100</f>
        <v>540749.925</v>
      </c>
      <c r="M6256" s="15" t="n">
        <v>0.45</v>
      </c>
      <c r="N6256" s="9" t="s">
        <v>85</v>
      </c>
    </row>
    <row r="6257" customFormat="false" ht="14.25" hidden="false" customHeight="true" outlineLevel="0" collapsed="false">
      <c r="B6257" s="9" t="s">
        <v>28</v>
      </c>
      <c r="C6257" s="9" t="n">
        <v>1185732</v>
      </c>
      <c r="D6257" s="10" t="n">
        <v>44535</v>
      </c>
      <c r="E6257" s="9" t="s">
        <v>50</v>
      </c>
      <c r="F6257" s="9" t="s">
        <v>94</v>
      </c>
      <c r="G6257" s="9" t="s">
        <v>95</v>
      </c>
      <c r="H6257" s="11" t="s">
        <v>22</v>
      </c>
      <c r="I6257" s="12" t="n">
        <v>56</v>
      </c>
      <c r="J6257" s="13" t="n">
        <v>215</v>
      </c>
      <c r="K6257" s="14" t="n">
        <f aca="false">I6257*J6257</f>
        <v>12040</v>
      </c>
      <c r="L6257" s="14" t="n">
        <f aca="false">($L$2*M6257)/100</f>
        <v>420583.275</v>
      </c>
      <c r="M6257" s="15" t="n">
        <v>0.35</v>
      </c>
      <c r="N6257" s="9" t="s">
        <v>85</v>
      </c>
    </row>
    <row r="6258" customFormat="false" ht="14.25" hidden="false" customHeight="true" outlineLevel="0" collapsed="false">
      <c r="B6258" s="9" t="s">
        <v>28</v>
      </c>
      <c r="C6258" s="9" t="n">
        <v>1185732</v>
      </c>
      <c r="D6258" s="10" t="n">
        <v>44535</v>
      </c>
      <c r="E6258" s="9" t="s">
        <v>50</v>
      </c>
      <c r="F6258" s="9" t="s">
        <v>94</v>
      </c>
      <c r="G6258" s="9" t="s">
        <v>95</v>
      </c>
      <c r="H6258" s="11" t="s">
        <v>23</v>
      </c>
      <c r="I6258" s="12" t="n">
        <v>59</v>
      </c>
      <c r="J6258" s="13" t="n">
        <v>194</v>
      </c>
      <c r="K6258" s="14" t="n">
        <f aca="false">I6258*J6258</f>
        <v>11446</v>
      </c>
      <c r="L6258" s="14" t="n">
        <f aca="false">($L$2*M6258)/100</f>
        <v>540749.925</v>
      </c>
      <c r="M6258" s="15" t="n">
        <v>0.45</v>
      </c>
      <c r="N6258" s="9" t="s">
        <v>85</v>
      </c>
    </row>
    <row r="6259" customFormat="false" ht="14.25" hidden="false" customHeight="true" outlineLevel="0" collapsed="false">
      <c r="B6259" s="9" t="s">
        <v>28</v>
      </c>
      <c r="C6259" s="9" t="n">
        <v>1185732</v>
      </c>
      <c r="D6259" s="10" t="n">
        <v>44535</v>
      </c>
      <c r="E6259" s="9" t="s">
        <v>50</v>
      </c>
      <c r="F6259" s="9" t="s">
        <v>94</v>
      </c>
      <c r="G6259" s="9" t="s">
        <v>95</v>
      </c>
      <c r="H6259" s="11" t="s">
        <v>24</v>
      </c>
      <c r="I6259" s="12" t="n">
        <v>66</v>
      </c>
      <c r="J6259" s="13" t="n">
        <v>225</v>
      </c>
      <c r="K6259" s="14" t="n">
        <f aca="false">I6259*J6259</f>
        <v>14850</v>
      </c>
      <c r="L6259" s="14" t="n">
        <f aca="false">($L$2*M6259)/100</f>
        <v>540749.925</v>
      </c>
      <c r="M6259" s="15" t="n">
        <v>0.45</v>
      </c>
      <c r="N6259" s="9" t="s">
        <v>85</v>
      </c>
    </row>
    <row r="6260" customFormat="false" ht="14.25" hidden="false" customHeight="true" outlineLevel="0" collapsed="false">
      <c r="B6260" s="9" t="s">
        <v>28</v>
      </c>
      <c r="C6260" s="9" t="n">
        <v>1185732</v>
      </c>
      <c r="D6260" s="10" t="n">
        <v>44535</v>
      </c>
      <c r="E6260" s="9" t="s">
        <v>50</v>
      </c>
      <c r="F6260" s="9" t="s">
        <v>94</v>
      </c>
      <c r="G6260" s="9" t="s">
        <v>95</v>
      </c>
      <c r="H6260" s="11" t="s">
        <v>25</v>
      </c>
      <c r="I6260" s="12" t="n">
        <v>68</v>
      </c>
      <c r="J6260" s="13" t="n">
        <v>228</v>
      </c>
      <c r="K6260" s="14" t="n">
        <f aca="false">I6260*J6260</f>
        <v>15504</v>
      </c>
      <c r="L6260" s="14" t="n">
        <f aca="false">($L$2*M6260)/100</f>
        <v>720999.9</v>
      </c>
      <c r="M6260" s="15" t="n">
        <v>0.6</v>
      </c>
      <c r="N6260" s="9" t="s">
        <v>85</v>
      </c>
    </row>
    <row r="6261" customFormat="false" ht="14.25" hidden="false" customHeight="true" outlineLevel="0" collapsed="false">
      <c r="B6261" s="9" t="s">
        <v>28</v>
      </c>
      <c r="C6261" s="9" t="n">
        <v>1185732</v>
      </c>
      <c r="D6261" s="10" t="n">
        <v>44202</v>
      </c>
      <c r="E6261" s="9" t="s">
        <v>50</v>
      </c>
      <c r="F6261" s="9" t="s">
        <v>94</v>
      </c>
      <c r="G6261" s="9" t="s">
        <v>95</v>
      </c>
      <c r="H6261" s="11" t="s">
        <v>19</v>
      </c>
      <c r="I6261" s="12" t="n">
        <v>33</v>
      </c>
      <c r="J6261" s="13" t="n">
        <v>231</v>
      </c>
      <c r="K6261" s="14" t="n">
        <f aca="false">I6261*J6261</f>
        <v>7623</v>
      </c>
      <c r="L6261" s="14" t="n">
        <f aca="false">($L$2*M6261)/100</f>
        <v>600833.25</v>
      </c>
      <c r="M6261" s="15" t="n">
        <v>0.5</v>
      </c>
      <c r="N6261" s="9" t="s">
        <v>85</v>
      </c>
    </row>
    <row r="6262" customFormat="false" ht="14.25" hidden="false" customHeight="true" outlineLevel="0" collapsed="false">
      <c r="B6262" s="9" t="s">
        <v>28</v>
      </c>
      <c r="C6262" s="9" t="n">
        <v>1185732</v>
      </c>
      <c r="D6262" s="10" t="n">
        <v>44202</v>
      </c>
      <c r="E6262" s="9" t="s">
        <v>50</v>
      </c>
      <c r="F6262" s="9" t="s">
        <v>94</v>
      </c>
      <c r="G6262" s="9" t="s">
        <v>95</v>
      </c>
      <c r="H6262" s="11" t="s">
        <v>21</v>
      </c>
      <c r="I6262" s="12" t="n">
        <v>34</v>
      </c>
      <c r="J6262" s="13" t="n">
        <v>181</v>
      </c>
      <c r="K6262" s="14" t="n">
        <f aca="false">I6262*J6262</f>
        <v>6154</v>
      </c>
      <c r="L6262" s="14" t="n">
        <f aca="false">($L$2*M6262)/100</f>
        <v>600833.25</v>
      </c>
      <c r="M6262" s="15" t="n">
        <v>0.5</v>
      </c>
      <c r="N6262" s="9" t="s">
        <v>85</v>
      </c>
    </row>
    <row r="6263" customFormat="false" ht="14.25" hidden="false" customHeight="true" outlineLevel="0" collapsed="false">
      <c r="B6263" s="9" t="s">
        <v>28</v>
      </c>
      <c r="C6263" s="9" t="n">
        <v>1185732</v>
      </c>
      <c r="D6263" s="10" t="n">
        <v>44202</v>
      </c>
      <c r="E6263" s="9" t="s">
        <v>50</v>
      </c>
      <c r="F6263" s="9" t="s">
        <v>94</v>
      </c>
      <c r="G6263" s="9" t="s">
        <v>95</v>
      </c>
      <c r="H6263" s="11" t="s">
        <v>22</v>
      </c>
      <c r="I6263" s="12" t="n">
        <v>24</v>
      </c>
      <c r="J6263" s="13" t="n">
        <v>189</v>
      </c>
      <c r="K6263" s="14" t="n">
        <f aca="false">I6263*J6263</f>
        <v>4536</v>
      </c>
      <c r="L6263" s="14" t="n">
        <f aca="false">($L$2*M6263)/100</f>
        <v>648899.91</v>
      </c>
      <c r="M6263" s="15" t="n">
        <v>0.54</v>
      </c>
      <c r="N6263" s="9" t="s">
        <v>85</v>
      </c>
    </row>
    <row r="6264" customFormat="false" ht="14.25" hidden="false" customHeight="true" outlineLevel="0" collapsed="false">
      <c r="B6264" s="9" t="s">
        <v>28</v>
      </c>
      <c r="C6264" s="9" t="n">
        <v>1185732</v>
      </c>
      <c r="D6264" s="10" t="n">
        <v>44202</v>
      </c>
      <c r="E6264" s="9" t="s">
        <v>50</v>
      </c>
      <c r="F6264" s="9" t="s">
        <v>94</v>
      </c>
      <c r="G6264" s="9" t="s">
        <v>95</v>
      </c>
      <c r="H6264" s="11" t="s">
        <v>23</v>
      </c>
      <c r="I6264" s="12" t="n">
        <v>29</v>
      </c>
      <c r="J6264" s="13" t="n">
        <v>173</v>
      </c>
      <c r="K6264" s="14" t="n">
        <f aca="false">I6264*J6264</f>
        <v>5017</v>
      </c>
      <c r="L6264" s="14" t="n">
        <f aca="false">($L$2*M6264)/100</f>
        <v>660916.575</v>
      </c>
      <c r="M6264" s="15" t="n">
        <v>0.55</v>
      </c>
      <c r="N6264" s="9" t="s">
        <v>85</v>
      </c>
    </row>
    <row r="6265" customFormat="false" ht="14.25" hidden="false" customHeight="true" outlineLevel="0" collapsed="false">
      <c r="B6265" s="9" t="s">
        <v>28</v>
      </c>
      <c r="C6265" s="9" t="n">
        <v>1185732</v>
      </c>
      <c r="D6265" s="10" t="n">
        <v>44202</v>
      </c>
      <c r="E6265" s="9" t="s">
        <v>50</v>
      </c>
      <c r="F6265" s="9" t="s">
        <v>94</v>
      </c>
      <c r="G6265" s="9" t="s">
        <v>95</v>
      </c>
      <c r="H6265" s="11" t="s">
        <v>24</v>
      </c>
      <c r="I6265" s="12" t="n">
        <v>42</v>
      </c>
      <c r="J6265" s="13" t="n">
        <v>156</v>
      </c>
      <c r="K6265" s="14" t="n">
        <f aca="false">I6265*J6265</f>
        <v>6552</v>
      </c>
      <c r="L6265" s="14" t="n">
        <f aca="false">($L$2*M6265)/100</f>
        <v>552766.59</v>
      </c>
      <c r="M6265" s="15" t="n">
        <v>0.46</v>
      </c>
      <c r="N6265" s="9" t="s">
        <v>85</v>
      </c>
    </row>
    <row r="6266" customFormat="false" ht="14.25" hidden="false" customHeight="true" outlineLevel="0" collapsed="false">
      <c r="B6266" s="9" t="s">
        <v>28</v>
      </c>
      <c r="C6266" s="9" t="n">
        <v>1185732</v>
      </c>
      <c r="D6266" s="10" t="n">
        <v>44202</v>
      </c>
      <c r="E6266" s="9" t="s">
        <v>50</v>
      </c>
      <c r="F6266" s="9" t="s">
        <v>94</v>
      </c>
      <c r="G6266" s="9" t="s">
        <v>95</v>
      </c>
      <c r="H6266" s="11" t="s">
        <v>25</v>
      </c>
      <c r="I6266" s="12" t="n">
        <v>34</v>
      </c>
      <c r="J6266" s="13" t="n">
        <v>196</v>
      </c>
      <c r="K6266" s="14" t="n">
        <f aca="false">I6266*J6266</f>
        <v>6664</v>
      </c>
      <c r="L6266" s="14" t="n">
        <f aca="false">($L$2*M6266)/100</f>
        <v>769066.56</v>
      </c>
      <c r="M6266" s="15" t="n">
        <v>0.64</v>
      </c>
      <c r="N6266" s="9" t="s">
        <v>85</v>
      </c>
    </row>
    <row r="6267" customFormat="false" ht="14.25" hidden="false" customHeight="true" outlineLevel="0" collapsed="false">
      <c r="B6267" s="9" t="s">
        <v>28</v>
      </c>
      <c r="C6267" s="9" t="n">
        <v>1185732</v>
      </c>
      <c r="D6267" s="10" t="n">
        <v>44231</v>
      </c>
      <c r="E6267" s="9" t="s">
        <v>50</v>
      </c>
      <c r="F6267" s="9" t="s">
        <v>94</v>
      </c>
      <c r="G6267" s="9" t="s">
        <v>95</v>
      </c>
      <c r="H6267" s="11" t="s">
        <v>19</v>
      </c>
      <c r="I6267" s="12" t="n">
        <v>34</v>
      </c>
      <c r="J6267" s="13" t="n">
        <v>263</v>
      </c>
      <c r="K6267" s="14" t="n">
        <f aca="false">I6267*J6267</f>
        <v>8942</v>
      </c>
      <c r="L6267" s="14" t="n">
        <f aca="false">($L$2*M6267)/100</f>
        <v>600833.25</v>
      </c>
      <c r="M6267" s="15" t="n">
        <v>0.5</v>
      </c>
      <c r="N6267" s="9" t="s">
        <v>85</v>
      </c>
    </row>
    <row r="6268" customFormat="false" ht="14.25" hidden="false" customHeight="true" outlineLevel="0" collapsed="false">
      <c r="B6268" s="9" t="s">
        <v>28</v>
      </c>
      <c r="C6268" s="9" t="n">
        <v>1185732</v>
      </c>
      <c r="D6268" s="10" t="n">
        <v>44231</v>
      </c>
      <c r="E6268" s="9" t="s">
        <v>50</v>
      </c>
      <c r="F6268" s="9" t="s">
        <v>94</v>
      </c>
      <c r="G6268" s="9" t="s">
        <v>95</v>
      </c>
      <c r="H6268" s="11" t="s">
        <v>21</v>
      </c>
      <c r="I6268" s="12" t="n">
        <v>34</v>
      </c>
      <c r="J6268" s="13" t="n">
        <v>188</v>
      </c>
      <c r="K6268" s="14" t="n">
        <f aca="false">I6268*J6268</f>
        <v>6392</v>
      </c>
      <c r="L6268" s="14" t="n">
        <f aca="false">($L$2*M6268)/100</f>
        <v>576799.92</v>
      </c>
      <c r="M6268" s="15" t="n">
        <v>0.48</v>
      </c>
      <c r="N6268" s="9" t="s">
        <v>85</v>
      </c>
    </row>
    <row r="6269" customFormat="false" ht="14.25" hidden="false" customHeight="true" outlineLevel="0" collapsed="false">
      <c r="B6269" s="9" t="s">
        <v>28</v>
      </c>
      <c r="C6269" s="9" t="n">
        <v>1185732</v>
      </c>
      <c r="D6269" s="10" t="n">
        <v>44231</v>
      </c>
      <c r="E6269" s="9" t="s">
        <v>50</v>
      </c>
      <c r="F6269" s="9" t="s">
        <v>94</v>
      </c>
      <c r="G6269" s="9" t="s">
        <v>95</v>
      </c>
      <c r="H6269" s="11" t="s">
        <v>22</v>
      </c>
      <c r="I6269" s="12" t="n">
        <v>23</v>
      </c>
      <c r="J6269" s="13" t="n">
        <v>169</v>
      </c>
      <c r="K6269" s="14" t="n">
        <f aca="false">I6269*J6269</f>
        <v>3887</v>
      </c>
      <c r="L6269" s="14" t="n">
        <f aca="false">($L$2*M6269)/100</f>
        <v>660916.575</v>
      </c>
      <c r="M6269" s="15" t="n">
        <v>0.55</v>
      </c>
      <c r="N6269" s="9" t="s">
        <v>85</v>
      </c>
    </row>
    <row r="6270" customFormat="false" ht="14.25" hidden="false" customHeight="true" outlineLevel="0" collapsed="false">
      <c r="B6270" s="9" t="s">
        <v>28</v>
      </c>
      <c r="C6270" s="9" t="n">
        <v>1185732</v>
      </c>
      <c r="D6270" s="10" t="n">
        <v>44231</v>
      </c>
      <c r="E6270" s="9" t="s">
        <v>50</v>
      </c>
      <c r="F6270" s="9" t="s">
        <v>96</v>
      </c>
      <c r="G6270" s="9" t="s">
        <v>97</v>
      </c>
      <c r="H6270" s="11" t="s">
        <v>23</v>
      </c>
      <c r="I6270" s="12" t="n">
        <v>29</v>
      </c>
      <c r="J6270" s="13" t="n">
        <v>142</v>
      </c>
      <c r="K6270" s="14" t="n">
        <f aca="false">I6270*J6270</f>
        <v>4118</v>
      </c>
      <c r="L6270" s="14" t="n">
        <f aca="false">($L$2*M6270)/100</f>
        <v>600833.25</v>
      </c>
      <c r="M6270" s="15" t="n">
        <v>0.5</v>
      </c>
      <c r="N6270" s="9" t="s">
        <v>85</v>
      </c>
    </row>
    <row r="6271" customFormat="false" ht="14.25" hidden="false" customHeight="true" outlineLevel="0" collapsed="false">
      <c r="B6271" s="9" t="s">
        <v>28</v>
      </c>
      <c r="C6271" s="9" t="n">
        <v>1185732</v>
      </c>
      <c r="D6271" s="10" t="n">
        <v>44231</v>
      </c>
      <c r="E6271" s="9" t="s">
        <v>50</v>
      </c>
      <c r="F6271" s="9" t="s">
        <v>96</v>
      </c>
      <c r="G6271" s="9" t="s">
        <v>97</v>
      </c>
      <c r="H6271" s="11" t="s">
        <v>24</v>
      </c>
      <c r="I6271" s="12" t="n">
        <v>44</v>
      </c>
      <c r="J6271" s="13" t="n">
        <v>180</v>
      </c>
      <c r="K6271" s="14" t="n">
        <f aca="false">I6271*J6271</f>
        <v>7920</v>
      </c>
      <c r="L6271" s="14" t="n">
        <f aca="false">($L$2*M6271)/100</f>
        <v>600833.25</v>
      </c>
      <c r="M6271" s="15" t="n">
        <v>0.5</v>
      </c>
      <c r="N6271" s="9" t="s">
        <v>85</v>
      </c>
    </row>
    <row r="6272" customFormat="false" ht="14.25" hidden="false" customHeight="true" outlineLevel="0" collapsed="false">
      <c r="B6272" s="9" t="s">
        <v>28</v>
      </c>
      <c r="C6272" s="9" t="n">
        <v>1185732</v>
      </c>
      <c r="D6272" s="10" t="n">
        <v>44231</v>
      </c>
      <c r="E6272" s="9" t="s">
        <v>50</v>
      </c>
      <c r="F6272" s="9" t="s">
        <v>96</v>
      </c>
      <c r="G6272" s="9" t="s">
        <v>97</v>
      </c>
      <c r="H6272" s="11" t="s">
        <v>25</v>
      </c>
      <c r="I6272" s="12" t="n">
        <v>29</v>
      </c>
      <c r="J6272" s="13" t="n">
        <v>203</v>
      </c>
      <c r="K6272" s="14" t="n">
        <f aca="false">I6272*J6272</f>
        <v>5887</v>
      </c>
      <c r="L6272" s="14" t="n">
        <f aca="false">($L$2*M6272)/100</f>
        <v>720999.9</v>
      </c>
      <c r="M6272" s="15" t="n">
        <v>0.6</v>
      </c>
      <c r="N6272" s="9" t="s">
        <v>85</v>
      </c>
    </row>
    <row r="6273" customFormat="false" ht="14.25" hidden="false" customHeight="true" outlineLevel="0" collapsed="false">
      <c r="B6273" s="9" t="s">
        <v>28</v>
      </c>
      <c r="C6273" s="9" t="n">
        <v>1185732</v>
      </c>
      <c r="D6273" s="10" t="n">
        <v>44257</v>
      </c>
      <c r="E6273" s="9" t="s">
        <v>50</v>
      </c>
      <c r="F6273" s="9" t="s">
        <v>96</v>
      </c>
      <c r="G6273" s="9" t="s">
        <v>97</v>
      </c>
      <c r="H6273" s="11" t="s">
        <v>19</v>
      </c>
      <c r="I6273" s="12" t="n">
        <v>28</v>
      </c>
      <c r="J6273" s="13" t="n">
        <v>276</v>
      </c>
      <c r="K6273" s="14" t="n">
        <f aca="false">I6273*J6273</f>
        <v>7728</v>
      </c>
      <c r="L6273" s="14" t="n">
        <f aca="false">($L$2*M6273)/100</f>
        <v>648899.91</v>
      </c>
      <c r="M6273" s="15" t="n">
        <v>0.54</v>
      </c>
      <c r="N6273" s="9" t="s">
        <v>85</v>
      </c>
    </row>
    <row r="6274" customFormat="false" ht="14.25" hidden="false" customHeight="true" outlineLevel="0" collapsed="false">
      <c r="B6274" s="9" t="s">
        <v>28</v>
      </c>
      <c r="C6274" s="9" t="n">
        <v>1185732</v>
      </c>
      <c r="D6274" s="10" t="n">
        <v>44257</v>
      </c>
      <c r="E6274" s="9" t="s">
        <v>50</v>
      </c>
      <c r="F6274" s="9" t="s">
        <v>96</v>
      </c>
      <c r="G6274" s="9" t="s">
        <v>97</v>
      </c>
      <c r="H6274" s="11" t="s">
        <v>21</v>
      </c>
      <c r="I6274" s="12" t="n">
        <v>29</v>
      </c>
      <c r="J6274" s="13" t="n">
        <v>150</v>
      </c>
      <c r="K6274" s="14" t="n">
        <f aca="false">I6274*J6274</f>
        <v>4350</v>
      </c>
      <c r="L6274" s="14" t="n">
        <f aca="false">($L$2*M6274)/100</f>
        <v>540749.925</v>
      </c>
      <c r="M6274" s="15" t="n">
        <v>0.45</v>
      </c>
      <c r="N6274" s="9" t="s">
        <v>85</v>
      </c>
    </row>
    <row r="6275" customFormat="false" ht="14.25" hidden="false" customHeight="true" outlineLevel="0" collapsed="false">
      <c r="B6275" s="9" t="s">
        <v>28</v>
      </c>
      <c r="C6275" s="9" t="n">
        <v>1185732</v>
      </c>
      <c r="D6275" s="10" t="n">
        <v>44257</v>
      </c>
      <c r="E6275" s="9" t="s">
        <v>50</v>
      </c>
      <c r="F6275" s="9" t="s">
        <v>96</v>
      </c>
      <c r="G6275" s="9" t="s">
        <v>97</v>
      </c>
      <c r="H6275" s="11" t="s">
        <v>22</v>
      </c>
      <c r="I6275" s="12" t="n">
        <v>19</v>
      </c>
      <c r="J6275" s="13" t="n">
        <v>181</v>
      </c>
      <c r="K6275" s="14" t="n">
        <f aca="false">I6275*J6275</f>
        <v>3439</v>
      </c>
      <c r="L6275" s="14" t="n">
        <f aca="false">($L$2*M6275)/100</f>
        <v>624866.58</v>
      </c>
      <c r="M6275" s="15" t="n">
        <v>0.52</v>
      </c>
      <c r="N6275" s="9" t="s">
        <v>85</v>
      </c>
    </row>
    <row r="6276" customFormat="false" ht="14.25" hidden="false" customHeight="true" outlineLevel="0" collapsed="false">
      <c r="B6276" s="9" t="s">
        <v>28</v>
      </c>
      <c r="C6276" s="9" t="n">
        <v>1185732</v>
      </c>
      <c r="D6276" s="10" t="n">
        <v>44257</v>
      </c>
      <c r="E6276" s="9" t="s">
        <v>50</v>
      </c>
      <c r="F6276" s="9" t="s">
        <v>96</v>
      </c>
      <c r="G6276" s="9" t="s">
        <v>97</v>
      </c>
      <c r="H6276" s="11" t="s">
        <v>23</v>
      </c>
      <c r="I6276" s="12" t="n">
        <v>25</v>
      </c>
      <c r="J6276" s="13" t="n">
        <v>124</v>
      </c>
      <c r="K6276" s="14" t="n">
        <f aca="false">I6276*J6276</f>
        <v>3100</v>
      </c>
      <c r="L6276" s="14" t="n">
        <f aca="false">($L$2*M6276)/100</f>
        <v>648899.91</v>
      </c>
      <c r="M6276" s="15" t="n">
        <v>0.54</v>
      </c>
      <c r="N6276" s="9" t="s">
        <v>85</v>
      </c>
    </row>
    <row r="6277" customFormat="false" ht="14.25" hidden="false" customHeight="true" outlineLevel="0" collapsed="false">
      <c r="B6277" s="9" t="s">
        <v>28</v>
      </c>
      <c r="C6277" s="9" t="n">
        <v>1185732</v>
      </c>
      <c r="D6277" s="10" t="n">
        <v>44257</v>
      </c>
      <c r="E6277" s="9" t="s">
        <v>50</v>
      </c>
      <c r="F6277" s="9" t="s">
        <v>96</v>
      </c>
      <c r="G6277" s="9" t="s">
        <v>97</v>
      </c>
      <c r="H6277" s="11" t="s">
        <v>24</v>
      </c>
      <c r="I6277" s="12" t="n">
        <v>37</v>
      </c>
      <c r="J6277" s="13" t="n">
        <v>158</v>
      </c>
      <c r="K6277" s="14" t="n">
        <f aca="false">I6277*J6277</f>
        <v>5846</v>
      </c>
      <c r="L6277" s="14" t="n">
        <f aca="false">($L$2*M6277)/100</f>
        <v>540749.925</v>
      </c>
      <c r="M6277" s="15" t="n">
        <v>0.45</v>
      </c>
      <c r="N6277" s="9" t="s">
        <v>85</v>
      </c>
    </row>
    <row r="6278" customFormat="false" ht="14.25" hidden="false" customHeight="true" outlineLevel="0" collapsed="false">
      <c r="B6278" s="9" t="s">
        <v>28</v>
      </c>
      <c r="C6278" s="9" t="n">
        <v>1185732</v>
      </c>
      <c r="D6278" s="10" t="n">
        <v>44257</v>
      </c>
      <c r="E6278" s="9" t="s">
        <v>50</v>
      </c>
      <c r="F6278" s="9" t="s">
        <v>96</v>
      </c>
      <c r="G6278" s="9" t="s">
        <v>97</v>
      </c>
      <c r="H6278" s="11" t="s">
        <v>25</v>
      </c>
      <c r="I6278" s="12" t="n">
        <v>27</v>
      </c>
      <c r="J6278" s="13" t="n">
        <v>169</v>
      </c>
      <c r="K6278" s="14" t="n">
        <f aca="false">I6278*J6278</f>
        <v>4563</v>
      </c>
      <c r="L6278" s="14" t="n">
        <f aca="false">($L$2*M6278)/100</f>
        <v>745033.23</v>
      </c>
      <c r="M6278" s="15" t="n">
        <v>0.62</v>
      </c>
      <c r="N6278" s="9" t="s">
        <v>85</v>
      </c>
    </row>
    <row r="6279" customFormat="false" ht="14.25" hidden="false" customHeight="true" outlineLevel="0" collapsed="false">
      <c r="B6279" s="9" t="s">
        <v>28</v>
      </c>
      <c r="C6279" s="9" t="n">
        <v>1185732</v>
      </c>
      <c r="D6279" s="10" t="n">
        <v>44289</v>
      </c>
      <c r="E6279" s="9" t="s">
        <v>50</v>
      </c>
      <c r="F6279" s="9" t="s">
        <v>96</v>
      </c>
      <c r="G6279" s="9" t="s">
        <v>97</v>
      </c>
      <c r="H6279" s="11" t="s">
        <v>19</v>
      </c>
      <c r="I6279" s="12" t="n">
        <v>27</v>
      </c>
      <c r="J6279" s="13" t="n">
        <v>263</v>
      </c>
      <c r="K6279" s="14" t="n">
        <f aca="false">I6279*J6279</f>
        <v>7101</v>
      </c>
      <c r="L6279" s="14" t="n">
        <f aca="false">($L$2*M6279)/100</f>
        <v>648899.91</v>
      </c>
      <c r="M6279" s="15" t="n">
        <v>0.54</v>
      </c>
      <c r="N6279" s="9" t="s">
        <v>85</v>
      </c>
    </row>
    <row r="6280" customFormat="false" ht="14.25" hidden="false" customHeight="true" outlineLevel="0" collapsed="false">
      <c r="B6280" s="9" t="s">
        <v>28</v>
      </c>
      <c r="C6280" s="9" t="n">
        <v>1185732</v>
      </c>
      <c r="D6280" s="10" t="n">
        <v>44289</v>
      </c>
      <c r="E6280" s="9" t="s">
        <v>50</v>
      </c>
      <c r="F6280" s="9" t="s">
        <v>96</v>
      </c>
      <c r="G6280" s="9" t="s">
        <v>97</v>
      </c>
      <c r="H6280" s="11" t="s">
        <v>21</v>
      </c>
      <c r="I6280" s="12" t="n">
        <v>28</v>
      </c>
      <c r="J6280" s="13" t="n">
        <v>155</v>
      </c>
      <c r="K6280" s="14" t="n">
        <f aca="false">I6280*J6280</f>
        <v>4340</v>
      </c>
      <c r="L6280" s="14" t="n">
        <f aca="false">($L$2*M6280)/100</f>
        <v>564783.255</v>
      </c>
      <c r="M6280" s="15" t="n">
        <v>0.47</v>
      </c>
      <c r="N6280" s="9" t="s">
        <v>85</v>
      </c>
    </row>
    <row r="6281" customFormat="false" ht="14.25" hidden="false" customHeight="true" outlineLevel="0" collapsed="false">
      <c r="B6281" s="9" t="s">
        <v>28</v>
      </c>
      <c r="C6281" s="9" t="n">
        <v>1185732</v>
      </c>
      <c r="D6281" s="10" t="n">
        <v>44289</v>
      </c>
      <c r="E6281" s="9" t="s">
        <v>50</v>
      </c>
      <c r="F6281" s="9" t="s">
        <v>96</v>
      </c>
      <c r="G6281" s="9" t="s">
        <v>97</v>
      </c>
      <c r="H6281" s="11" t="s">
        <v>22</v>
      </c>
      <c r="I6281" s="12" t="n">
        <v>20</v>
      </c>
      <c r="J6281" s="13" t="n">
        <v>144</v>
      </c>
      <c r="K6281" s="14" t="n">
        <f aca="false">I6281*J6281</f>
        <v>2880</v>
      </c>
      <c r="L6281" s="14" t="n">
        <f aca="false">($L$2*M6281)/100</f>
        <v>660916.575</v>
      </c>
      <c r="M6281" s="15" t="n">
        <v>0.55</v>
      </c>
      <c r="N6281" s="9" t="s">
        <v>85</v>
      </c>
    </row>
    <row r="6282" customFormat="false" ht="14.25" hidden="false" customHeight="true" outlineLevel="0" collapsed="false">
      <c r="B6282" s="9" t="s">
        <v>28</v>
      </c>
      <c r="C6282" s="9" t="n">
        <v>1185732</v>
      </c>
      <c r="D6282" s="10" t="n">
        <v>44289</v>
      </c>
      <c r="E6282" s="9" t="s">
        <v>50</v>
      </c>
      <c r="F6282" s="9" t="s">
        <v>96</v>
      </c>
      <c r="G6282" s="9" t="s">
        <v>97</v>
      </c>
      <c r="H6282" s="11" t="s">
        <v>23</v>
      </c>
      <c r="I6282" s="12" t="n">
        <v>24</v>
      </c>
      <c r="J6282" s="13" t="n">
        <v>140</v>
      </c>
      <c r="K6282" s="14" t="n">
        <f aca="false">I6282*J6282</f>
        <v>3360</v>
      </c>
      <c r="L6282" s="14" t="n">
        <f aca="false">($L$2*M6282)/100</f>
        <v>648899.91</v>
      </c>
      <c r="M6282" s="15" t="n">
        <v>0.54</v>
      </c>
      <c r="N6282" s="9" t="s">
        <v>85</v>
      </c>
    </row>
    <row r="6283" customFormat="false" ht="14.25" hidden="false" customHeight="true" outlineLevel="0" collapsed="false">
      <c r="B6283" s="9" t="s">
        <v>28</v>
      </c>
      <c r="C6283" s="9" t="n">
        <v>1185732</v>
      </c>
      <c r="D6283" s="10" t="n">
        <v>44289</v>
      </c>
      <c r="E6283" s="9" t="s">
        <v>50</v>
      </c>
      <c r="F6283" s="9" t="s">
        <v>96</v>
      </c>
      <c r="G6283" s="9" t="s">
        <v>97</v>
      </c>
      <c r="H6283" s="11" t="s">
        <v>24</v>
      </c>
      <c r="I6283" s="12" t="n">
        <v>42</v>
      </c>
      <c r="J6283" s="13" t="n">
        <v>131</v>
      </c>
      <c r="K6283" s="14" t="n">
        <f aca="false">I6283*J6283</f>
        <v>5502</v>
      </c>
      <c r="L6283" s="14" t="n">
        <f aca="false">($L$2*M6283)/100</f>
        <v>600833.25</v>
      </c>
      <c r="M6283" s="15" t="n">
        <v>0.5</v>
      </c>
      <c r="N6283" s="9" t="s">
        <v>85</v>
      </c>
    </row>
    <row r="6284" customFormat="false" ht="14.25" hidden="false" customHeight="true" outlineLevel="0" collapsed="false">
      <c r="B6284" s="9" t="s">
        <v>28</v>
      </c>
      <c r="C6284" s="9" t="n">
        <v>1185732</v>
      </c>
      <c r="D6284" s="10" t="n">
        <v>44289</v>
      </c>
      <c r="E6284" s="9" t="s">
        <v>50</v>
      </c>
      <c r="F6284" s="9" t="s">
        <v>96</v>
      </c>
      <c r="G6284" s="9" t="s">
        <v>97</v>
      </c>
      <c r="H6284" s="11" t="s">
        <v>25</v>
      </c>
      <c r="I6284" s="12" t="n">
        <v>32</v>
      </c>
      <c r="J6284" s="13" t="n">
        <v>189</v>
      </c>
      <c r="K6284" s="14" t="n">
        <f aca="false">I6284*J6284</f>
        <v>6048</v>
      </c>
      <c r="L6284" s="14" t="n">
        <f aca="false">($L$2*M6284)/100</f>
        <v>733016.565</v>
      </c>
      <c r="M6284" s="15" t="n">
        <v>0.61</v>
      </c>
      <c r="N6284" s="9" t="s">
        <v>85</v>
      </c>
    </row>
    <row r="6285" customFormat="false" ht="14.25" hidden="false" customHeight="true" outlineLevel="0" collapsed="false">
      <c r="B6285" s="9" t="s">
        <v>28</v>
      </c>
      <c r="C6285" s="9" t="n">
        <v>1185732</v>
      </c>
      <c r="D6285" s="10" t="n">
        <v>44318</v>
      </c>
      <c r="E6285" s="9" t="s">
        <v>50</v>
      </c>
      <c r="F6285" s="9" t="s">
        <v>96</v>
      </c>
      <c r="G6285" s="9" t="s">
        <v>97</v>
      </c>
      <c r="H6285" s="11" t="s">
        <v>19</v>
      </c>
      <c r="I6285" s="12" t="n">
        <v>41</v>
      </c>
      <c r="J6285" s="13" t="n">
        <v>246</v>
      </c>
      <c r="K6285" s="14" t="n">
        <f aca="false">I6285*J6285</f>
        <v>10086</v>
      </c>
      <c r="L6285" s="14" t="n">
        <f aca="false">($L$2*M6285)/100</f>
        <v>660916.575</v>
      </c>
      <c r="M6285" s="15" t="n">
        <v>0.55</v>
      </c>
      <c r="N6285" s="9" t="s">
        <v>85</v>
      </c>
    </row>
    <row r="6286" customFormat="false" ht="14.25" hidden="false" customHeight="true" outlineLevel="0" collapsed="false">
      <c r="B6286" s="9" t="s">
        <v>28</v>
      </c>
      <c r="C6286" s="9" t="n">
        <v>1185732</v>
      </c>
      <c r="D6286" s="10" t="n">
        <v>44318</v>
      </c>
      <c r="E6286" s="9" t="s">
        <v>50</v>
      </c>
      <c r="F6286" s="9" t="s">
        <v>96</v>
      </c>
      <c r="G6286" s="9" t="s">
        <v>97</v>
      </c>
      <c r="H6286" s="11" t="s">
        <v>21</v>
      </c>
      <c r="I6286" s="12" t="n">
        <v>42</v>
      </c>
      <c r="J6286" s="13" t="n">
        <v>182</v>
      </c>
      <c r="K6286" s="14" t="n">
        <f aca="false">I6286*J6286</f>
        <v>7644</v>
      </c>
      <c r="L6286" s="14" t="n">
        <f aca="false">($L$2*M6286)/100</f>
        <v>552766.59</v>
      </c>
      <c r="M6286" s="15" t="n">
        <v>0.46</v>
      </c>
      <c r="N6286" s="9" t="s">
        <v>85</v>
      </c>
    </row>
    <row r="6287" customFormat="false" ht="14.25" hidden="false" customHeight="true" outlineLevel="0" collapsed="false">
      <c r="B6287" s="9" t="s">
        <v>28</v>
      </c>
      <c r="C6287" s="9" t="n">
        <v>1185732</v>
      </c>
      <c r="D6287" s="10" t="n">
        <v>44318</v>
      </c>
      <c r="E6287" s="9" t="s">
        <v>50</v>
      </c>
      <c r="F6287" s="9" t="s">
        <v>96</v>
      </c>
      <c r="G6287" s="9" t="s">
        <v>97</v>
      </c>
      <c r="H6287" s="11" t="s">
        <v>22</v>
      </c>
      <c r="I6287" s="12" t="n">
        <v>37</v>
      </c>
      <c r="J6287" s="13" t="n">
        <v>169</v>
      </c>
      <c r="K6287" s="14" t="n">
        <f aca="false">I6287*J6287</f>
        <v>6253</v>
      </c>
      <c r="L6287" s="14" t="n">
        <f aca="false">($L$2*M6287)/100</f>
        <v>636883.245</v>
      </c>
      <c r="M6287" s="15" t="n">
        <v>0.53</v>
      </c>
      <c r="N6287" s="9" t="s">
        <v>85</v>
      </c>
    </row>
    <row r="6288" customFormat="false" ht="14.25" hidden="false" customHeight="true" outlineLevel="0" collapsed="false">
      <c r="B6288" s="9" t="s">
        <v>28</v>
      </c>
      <c r="C6288" s="9" t="n">
        <v>1185732</v>
      </c>
      <c r="D6288" s="10" t="n">
        <v>44318</v>
      </c>
      <c r="E6288" s="9" t="s">
        <v>50</v>
      </c>
      <c r="F6288" s="9" t="s">
        <v>96</v>
      </c>
      <c r="G6288" s="9" t="s">
        <v>97</v>
      </c>
      <c r="H6288" s="11" t="s">
        <v>23</v>
      </c>
      <c r="I6288" s="12" t="n">
        <v>38</v>
      </c>
      <c r="J6288" s="13" t="n">
        <v>150</v>
      </c>
      <c r="K6288" s="14" t="n">
        <f aca="false">I6288*J6288</f>
        <v>5700</v>
      </c>
      <c r="L6288" s="14" t="n">
        <f aca="false">($L$2*M6288)/100</f>
        <v>648899.91</v>
      </c>
      <c r="M6288" s="15" t="n">
        <v>0.54</v>
      </c>
      <c r="N6288" s="9" t="s">
        <v>85</v>
      </c>
    </row>
    <row r="6289" customFormat="false" ht="14.25" hidden="false" customHeight="true" outlineLevel="0" collapsed="false">
      <c r="B6289" s="9" t="s">
        <v>28</v>
      </c>
      <c r="C6289" s="9" t="n">
        <v>1185732</v>
      </c>
      <c r="D6289" s="10" t="n">
        <v>44318</v>
      </c>
      <c r="E6289" s="9" t="s">
        <v>50</v>
      </c>
      <c r="F6289" s="9" t="s">
        <v>96</v>
      </c>
      <c r="G6289" s="9" t="s">
        <v>97</v>
      </c>
      <c r="H6289" s="11" t="s">
        <v>24</v>
      </c>
      <c r="I6289" s="12" t="n">
        <v>46</v>
      </c>
      <c r="J6289" s="13" t="n">
        <v>150</v>
      </c>
      <c r="K6289" s="14" t="n">
        <f aca="false">I6289*J6289</f>
        <v>6900</v>
      </c>
      <c r="L6289" s="14" t="n">
        <f aca="false">($L$2*M6289)/100</f>
        <v>588816.585</v>
      </c>
      <c r="M6289" s="15" t="n">
        <v>0.49</v>
      </c>
      <c r="N6289" s="9" t="s">
        <v>85</v>
      </c>
    </row>
    <row r="6290" customFormat="false" ht="14.25" hidden="false" customHeight="true" outlineLevel="0" collapsed="false">
      <c r="B6290" s="9" t="s">
        <v>28</v>
      </c>
      <c r="C6290" s="9" t="n">
        <v>1185732</v>
      </c>
      <c r="D6290" s="10" t="n">
        <v>44318</v>
      </c>
      <c r="E6290" s="9" t="s">
        <v>50</v>
      </c>
      <c r="F6290" s="9" t="s">
        <v>96</v>
      </c>
      <c r="G6290" s="9" t="s">
        <v>97</v>
      </c>
      <c r="H6290" s="11" t="s">
        <v>25</v>
      </c>
      <c r="I6290" s="12" t="n">
        <v>51</v>
      </c>
      <c r="J6290" s="13" t="n">
        <v>203</v>
      </c>
      <c r="K6290" s="14" t="n">
        <f aca="false">I6290*J6290</f>
        <v>10353</v>
      </c>
      <c r="L6290" s="14" t="n">
        <f aca="false">($L$2*M6290)/100</f>
        <v>745033.23</v>
      </c>
      <c r="M6290" s="15" t="n">
        <v>0.62</v>
      </c>
      <c r="N6290" s="9" t="s">
        <v>85</v>
      </c>
    </row>
    <row r="6291" customFormat="false" ht="14.25" hidden="false" customHeight="true" outlineLevel="0" collapsed="false">
      <c r="B6291" s="9" t="s">
        <v>28</v>
      </c>
      <c r="C6291" s="9" t="n">
        <v>1185732</v>
      </c>
      <c r="D6291" s="10" t="n">
        <v>44351</v>
      </c>
      <c r="E6291" s="9" t="s">
        <v>50</v>
      </c>
      <c r="F6291" s="9" t="s">
        <v>96</v>
      </c>
      <c r="G6291" s="9" t="s">
        <v>97</v>
      </c>
      <c r="H6291" s="11" t="s">
        <v>19</v>
      </c>
      <c r="I6291" s="12" t="n">
        <v>46</v>
      </c>
      <c r="J6291" s="13" t="n">
        <v>238</v>
      </c>
      <c r="K6291" s="14" t="n">
        <f aca="false">I6291*J6291</f>
        <v>10948</v>
      </c>
      <c r="L6291" s="14" t="n">
        <f aca="false">($L$2*M6291)/100</f>
        <v>660916.575</v>
      </c>
      <c r="M6291" s="15" t="n">
        <v>0.55</v>
      </c>
      <c r="N6291" s="9" t="s">
        <v>85</v>
      </c>
    </row>
    <row r="6292" customFormat="false" ht="14.25" hidden="false" customHeight="true" outlineLevel="0" collapsed="false">
      <c r="B6292" s="9" t="s">
        <v>28</v>
      </c>
      <c r="C6292" s="9" t="n">
        <v>1185732</v>
      </c>
      <c r="D6292" s="10" t="n">
        <v>44351</v>
      </c>
      <c r="E6292" s="9" t="s">
        <v>50</v>
      </c>
      <c r="F6292" s="9" t="s">
        <v>96</v>
      </c>
      <c r="G6292" s="9" t="s">
        <v>97</v>
      </c>
      <c r="H6292" s="11" t="s">
        <v>21</v>
      </c>
      <c r="I6292" s="12" t="n">
        <v>42</v>
      </c>
      <c r="J6292" s="13" t="n">
        <v>182</v>
      </c>
      <c r="K6292" s="14" t="n">
        <f aca="false">I6292*J6292</f>
        <v>7644</v>
      </c>
      <c r="L6292" s="14" t="n">
        <f aca="false">($L$2*M6292)/100</f>
        <v>564783.255</v>
      </c>
      <c r="M6292" s="15" t="n">
        <v>0.47</v>
      </c>
      <c r="N6292" s="9" t="s">
        <v>85</v>
      </c>
    </row>
    <row r="6293" customFormat="false" ht="14.25" hidden="false" customHeight="true" outlineLevel="0" collapsed="false">
      <c r="B6293" s="9" t="s">
        <v>28</v>
      </c>
      <c r="C6293" s="9" t="n">
        <v>1185732</v>
      </c>
      <c r="D6293" s="10" t="n">
        <v>44351</v>
      </c>
      <c r="E6293" s="9" t="s">
        <v>50</v>
      </c>
      <c r="F6293" s="9" t="s">
        <v>96</v>
      </c>
      <c r="G6293" s="9" t="s">
        <v>97</v>
      </c>
      <c r="H6293" s="11" t="s">
        <v>22</v>
      </c>
      <c r="I6293" s="12" t="n">
        <v>47</v>
      </c>
      <c r="J6293" s="13" t="n">
        <v>169</v>
      </c>
      <c r="K6293" s="14" t="n">
        <f aca="false">I6293*J6293</f>
        <v>7943</v>
      </c>
      <c r="L6293" s="14" t="n">
        <f aca="false">($L$2*M6293)/100</f>
        <v>648899.91</v>
      </c>
      <c r="M6293" s="15" t="n">
        <v>0.54</v>
      </c>
      <c r="N6293" s="9" t="s">
        <v>85</v>
      </c>
    </row>
    <row r="6294" customFormat="false" ht="14.25" hidden="false" customHeight="true" outlineLevel="0" collapsed="false">
      <c r="B6294" s="9" t="s">
        <v>28</v>
      </c>
      <c r="C6294" s="9" t="n">
        <v>1185732</v>
      </c>
      <c r="D6294" s="10" t="n">
        <v>44351</v>
      </c>
      <c r="E6294" s="9" t="s">
        <v>50</v>
      </c>
      <c r="F6294" s="9" t="s">
        <v>96</v>
      </c>
      <c r="G6294" s="9" t="s">
        <v>97</v>
      </c>
      <c r="H6294" s="11" t="s">
        <v>23</v>
      </c>
      <c r="I6294" s="12" t="n">
        <v>49</v>
      </c>
      <c r="J6294" s="13" t="n">
        <v>169</v>
      </c>
      <c r="K6294" s="14" t="n">
        <f aca="false">I6294*J6294</f>
        <v>8281</v>
      </c>
      <c r="L6294" s="14" t="n">
        <f aca="false">($L$2*M6294)/100</f>
        <v>612849.915</v>
      </c>
      <c r="M6294" s="15" t="n">
        <v>0.51</v>
      </c>
      <c r="N6294" s="9" t="s">
        <v>85</v>
      </c>
    </row>
    <row r="6295" customFormat="false" ht="14.25" hidden="false" customHeight="true" outlineLevel="0" collapsed="false">
      <c r="B6295" s="9" t="s">
        <v>28</v>
      </c>
      <c r="C6295" s="9" t="n">
        <v>1185732</v>
      </c>
      <c r="D6295" s="10" t="n">
        <v>44351</v>
      </c>
      <c r="E6295" s="9" t="s">
        <v>50</v>
      </c>
      <c r="F6295" s="9" t="s">
        <v>96</v>
      </c>
      <c r="G6295" s="9" t="s">
        <v>97</v>
      </c>
      <c r="H6295" s="11" t="s">
        <v>24</v>
      </c>
      <c r="I6295" s="12" t="n">
        <v>61</v>
      </c>
      <c r="J6295" s="13" t="n">
        <v>163</v>
      </c>
      <c r="K6295" s="14" t="n">
        <f aca="false">I6295*J6295</f>
        <v>9943</v>
      </c>
      <c r="L6295" s="14" t="n">
        <f aca="false">($L$2*M6295)/100</f>
        <v>588816.585</v>
      </c>
      <c r="M6295" s="15" t="n">
        <v>0.49</v>
      </c>
      <c r="N6295" s="9" t="s">
        <v>85</v>
      </c>
    </row>
    <row r="6296" customFormat="false" ht="14.25" hidden="false" customHeight="true" outlineLevel="0" collapsed="false">
      <c r="B6296" s="9" t="s">
        <v>28</v>
      </c>
      <c r="C6296" s="9" t="n">
        <v>1185732</v>
      </c>
      <c r="D6296" s="10" t="n">
        <v>44351</v>
      </c>
      <c r="E6296" s="9" t="s">
        <v>50</v>
      </c>
      <c r="F6296" s="9" t="s">
        <v>96</v>
      </c>
      <c r="G6296" s="9" t="s">
        <v>97</v>
      </c>
      <c r="H6296" s="11" t="s">
        <v>25</v>
      </c>
      <c r="I6296" s="12" t="n">
        <v>67</v>
      </c>
      <c r="J6296" s="13" t="n">
        <v>231</v>
      </c>
      <c r="K6296" s="14" t="n">
        <f aca="false">I6296*J6296</f>
        <v>15477</v>
      </c>
      <c r="L6296" s="14" t="n">
        <f aca="false">($L$2*M6296)/100</f>
        <v>720999.9</v>
      </c>
      <c r="M6296" s="15" t="n">
        <v>0.6</v>
      </c>
      <c r="N6296" s="9" t="s">
        <v>85</v>
      </c>
    </row>
    <row r="6297" customFormat="false" ht="14.25" hidden="false" customHeight="true" outlineLevel="0" collapsed="false">
      <c r="B6297" s="9" t="s">
        <v>28</v>
      </c>
      <c r="C6297" s="9" t="n">
        <v>1185732</v>
      </c>
      <c r="D6297" s="10" t="n">
        <v>44379</v>
      </c>
      <c r="E6297" s="9" t="s">
        <v>50</v>
      </c>
      <c r="F6297" s="9" t="s">
        <v>96</v>
      </c>
      <c r="G6297" s="9" t="s">
        <v>97</v>
      </c>
      <c r="H6297" s="11" t="s">
        <v>19</v>
      </c>
      <c r="I6297" s="12" t="n">
        <v>60</v>
      </c>
      <c r="J6297" s="13" t="n">
        <v>294</v>
      </c>
      <c r="K6297" s="14" t="n">
        <f aca="false">I6297*J6297</f>
        <v>17640</v>
      </c>
      <c r="L6297" s="14" t="n">
        <f aca="false">($L$2*M6297)/100</f>
        <v>600833.25</v>
      </c>
      <c r="M6297" s="15" t="n">
        <v>0.5</v>
      </c>
      <c r="N6297" s="9" t="s">
        <v>85</v>
      </c>
    </row>
    <row r="6298" customFormat="false" ht="14.25" hidden="false" customHeight="true" outlineLevel="0" collapsed="false">
      <c r="B6298" s="9" t="s">
        <v>28</v>
      </c>
      <c r="C6298" s="9" t="n">
        <v>1185732</v>
      </c>
      <c r="D6298" s="10" t="n">
        <v>44379</v>
      </c>
      <c r="E6298" s="9" t="s">
        <v>50</v>
      </c>
      <c r="F6298" s="9" t="s">
        <v>96</v>
      </c>
      <c r="G6298" s="9" t="s">
        <v>97</v>
      </c>
      <c r="H6298" s="11" t="s">
        <v>21</v>
      </c>
      <c r="I6298" s="12" t="n">
        <v>58</v>
      </c>
      <c r="J6298" s="13" t="n">
        <v>224</v>
      </c>
      <c r="K6298" s="14" t="n">
        <f aca="false">I6298*J6298</f>
        <v>12992</v>
      </c>
      <c r="L6298" s="14" t="n">
        <f aca="false">($L$2*M6298)/100</f>
        <v>600833.25</v>
      </c>
      <c r="M6298" s="15" t="n">
        <v>0.5</v>
      </c>
      <c r="N6298" s="9" t="s">
        <v>85</v>
      </c>
    </row>
    <row r="6299" customFormat="false" ht="14.25" hidden="false" customHeight="true" outlineLevel="0" collapsed="false">
      <c r="B6299" s="9" t="s">
        <v>28</v>
      </c>
      <c r="C6299" s="9" t="n">
        <v>1185732</v>
      </c>
      <c r="D6299" s="10" t="n">
        <v>44379</v>
      </c>
      <c r="E6299" s="9" t="s">
        <v>50</v>
      </c>
      <c r="F6299" s="9" t="s">
        <v>96</v>
      </c>
      <c r="G6299" s="9" t="s">
        <v>97</v>
      </c>
      <c r="H6299" s="11" t="s">
        <v>22</v>
      </c>
      <c r="I6299" s="12" t="n">
        <v>53</v>
      </c>
      <c r="J6299" s="13" t="n">
        <v>196</v>
      </c>
      <c r="K6299" s="14" t="n">
        <f aca="false">I6299*J6299</f>
        <v>10388</v>
      </c>
      <c r="L6299" s="14" t="n">
        <f aca="false">($L$2*M6299)/100</f>
        <v>660916.575</v>
      </c>
      <c r="M6299" s="15" t="n">
        <v>0.55</v>
      </c>
      <c r="N6299" s="9" t="s">
        <v>85</v>
      </c>
    </row>
    <row r="6300" customFormat="false" ht="14.25" hidden="false" customHeight="true" outlineLevel="0" collapsed="false">
      <c r="B6300" s="9" t="s">
        <v>28</v>
      </c>
      <c r="C6300" s="9" t="n">
        <v>1185732</v>
      </c>
      <c r="D6300" s="10" t="n">
        <v>44379</v>
      </c>
      <c r="E6300" s="9" t="s">
        <v>50</v>
      </c>
      <c r="F6300" s="9" t="s">
        <v>96</v>
      </c>
      <c r="G6300" s="9" t="s">
        <v>97</v>
      </c>
      <c r="H6300" s="11" t="s">
        <v>23</v>
      </c>
      <c r="I6300" s="12" t="n">
        <v>52</v>
      </c>
      <c r="J6300" s="13" t="n">
        <v>203</v>
      </c>
      <c r="K6300" s="14" t="n">
        <f aca="false">I6300*J6300</f>
        <v>10556</v>
      </c>
      <c r="L6300" s="14" t="n">
        <f aca="false">($L$2*M6300)/100</f>
        <v>612849.915</v>
      </c>
      <c r="M6300" s="15" t="n">
        <v>0.51</v>
      </c>
      <c r="N6300" s="9" t="s">
        <v>85</v>
      </c>
    </row>
    <row r="6301" customFormat="false" ht="14.25" hidden="false" customHeight="true" outlineLevel="0" collapsed="false">
      <c r="B6301" s="9" t="s">
        <v>28</v>
      </c>
      <c r="C6301" s="9" t="n">
        <v>1185732</v>
      </c>
      <c r="D6301" s="10" t="n">
        <v>44379</v>
      </c>
      <c r="E6301" s="9" t="s">
        <v>50</v>
      </c>
      <c r="F6301" s="9" t="s">
        <v>96</v>
      </c>
      <c r="G6301" s="9" t="s">
        <v>97</v>
      </c>
      <c r="H6301" s="11" t="s">
        <v>24</v>
      </c>
      <c r="I6301" s="12" t="n">
        <v>59</v>
      </c>
      <c r="J6301" s="13" t="n">
        <v>182</v>
      </c>
      <c r="K6301" s="14" t="n">
        <f aca="false">I6301*J6301</f>
        <v>10738</v>
      </c>
      <c r="L6301" s="14" t="n">
        <f aca="false">($L$2*M6301)/100</f>
        <v>588816.585</v>
      </c>
      <c r="M6301" s="15" t="n">
        <v>0.49</v>
      </c>
      <c r="N6301" s="9" t="s">
        <v>85</v>
      </c>
    </row>
    <row r="6302" customFormat="false" ht="14.25" hidden="false" customHeight="true" outlineLevel="0" collapsed="false">
      <c r="B6302" s="9" t="s">
        <v>28</v>
      </c>
      <c r="C6302" s="9" t="n">
        <v>1185732</v>
      </c>
      <c r="D6302" s="10" t="n">
        <v>44379</v>
      </c>
      <c r="E6302" s="9" t="s">
        <v>50</v>
      </c>
      <c r="F6302" s="9" t="s">
        <v>96</v>
      </c>
      <c r="G6302" s="9" t="s">
        <v>97</v>
      </c>
      <c r="H6302" s="11" t="s">
        <v>25</v>
      </c>
      <c r="I6302" s="12" t="n">
        <v>64</v>
      </c>
      <c r="J6302" s="13" t="n">
        <v>263</v>
      </c>
      <c r="K6302" s="14" t="n">
        <f aca="false">I6302*J6302</f>
        <v>16832</v>
      </c>
      <c r="L6302" s="14" t="n">
        <f aca="false">($L$2*M6302)/100</f>
        <v>757049.895</v>
      </c>
      <c r="M6302" s="15" t="n">
        <v>0.63</v>
      </c>
      <c r="N6302" s="9" t="s">
        <v>85</v>
      </c>
    </row>
    <row r="6303" customFormat="false" ht="14.25" hidden="false" customHeight="true" outlineLevel="0" collapsed="false">
      <c r="B6303" s="9" t="s">
        <v>28</v>
      </c>
      <c r="C6303" s="9" t="n">
        <v>1185732</v>
      </c>
      <c r="D6303" s="10" t="n">
        <v>44411</v>
      </c>
      <c r="E6303" s="9" t="s">
        <v>50</v>
      </c>
      <c r="F6303" s="9" t="s">
        <v>96</v>
      </c>
      <c r="G6303" s="9" t="s">
        <v>97</v>
      </c>
      <c r="H6303" s="11" t="s">
        <v>19</v>
      </c>
      <c r="I6303" s="12" t="n">
        <v>61</v>
      </c>
      <c r="J6303" s="13" t="n">
        <v>308</v>
      </c>
      <c r="K6303" s="14" t="n">
        <f aca="false">I6303*J6303</f>
        <v>18788</v>
      </c>
      <c r="L6303" s="14" t="n">
        <f aca="false">($L$2*M6303)/100</f>
        <v>636883.245</v>
      </c>
      <c r="M6303" s="15" t="n">
        <v>0.53</v>
      </c>
      <c r="N6303" s="9" t="s">
        <v>85</v>
      </c>
    </row>
    <row r="6304" customFormat="false" ht="14.25" hidden="false" customHeight="true" outlineLevel="0" collapsed="false">
      <c r="B6304" s="9" t="s">
        <v>28</v>
      </c>
      <c r="C6304" s="9" t="n">
        <v>1185732</v>
      </c>
      <c r="D6304" s="10" t="n">
        <v>44411</v>
      </c>
      <c r="E6304" s="9" t="s">
        <v>50</v>
      </c>
      <c r="F6304" s="9" t="s">
        <v>96</v>
      </c>
      <c r="G6304" s="9" t="s">
        <v>97</v>
      </c>
      <c r="H6304" s="11" t="s">
        <v>21</v>
      </c>
      <c r="I6304" s="12" t="n">
        <v>58</v>
      </c>
      <c r="J6304" s="13" t="n">
        <v>200</v>
      </c>
      <c r="K6304" s="14" t="n">
        <f aca="false">I6304*J6304</f>
        <v>11600</v>
      </c>
      <c r="L6304" s="14" t="n">
        <f aca="false">($L$2*M6304)/100</f>
        <v>540749.925</v>
      </c>
      <c r="M6304" s="15" t="n">
        <v>0.45</v>
      </c>
      <c r="N6304" s="9" t="s">
        <v>85</v>
      </c>
    </row>
    <row r="6305" customFormat="false" ht="14.25" hidden="false" customHeight="true" outlineLevel="0" collapsed="false">
      <c r="B6305" s="9" t="s">
        <v>28</v>
      </c>
      <c r="C6305" s="9" t="n">
        <v>1185732</v>
      </c>
      <c r="D6305" s="10" t="n">
        <v>44411</v>
      </c>
      <c r="E6305" s="9" t="s">
        <v>50</v>
      </c>
      <c r="F6305" s="9" t="s">
        <v>96</v>
      </c>
      <c r="G6305" s="9" t="s">
        <v>97</v>
      </c>
      <c r="H6305" s="11" t="s">
        <v>22</v>
      </c>
      <c r="I6305" s="12" t="n">
        <v>54</v>
      </c>
      <c r="J6305" s="13" t="n">
        <v>210</v>
      </c>
      <c r="K6305" s="14" t="n">
        <f aca="false">I6305*J6305</f>
        <v>11340</v>
      </c>
      <c r="L6305" s="14" t="n">
        <f aca="false">($L$2*M6305)/100</f>
        <v>636883.245</v>
      </c>
      <c r="M6305" s="15" t="n">
        <v>0.53</v>
      </c>
      <c r="N6305" s="9" t="s">
        <v>85</v>
      </c>
    </row>
    <row r="6306" customFormat="false" ht="14.25" hidden="false" customHeight="true" outlineLevel="0" collapsed="false">
      <c r="B6306" s="9" t="s">
        <v>28</v>
      </c>
      <c r="C6306" s="9" t="n">
        <v>1185732</v>
      </c>
      <c r="D6306" s="10" t="n">
        <v>44411</v>
      </c>
      <c r="E6306" s="9" t="s">
        <v>50</v>
      </c>
      <c r="F6306" s="9" t="s">
        <v>96</v>
      </c>
      <c r="G6306" s="9" t="s">
        <v>97</v>
      </c>
      <c r="H6306" s="11" t="s">
        <v>23</v>
      </c>
      <c r="I6306" s="12" t="n">
        <v>44</v>
      </c>
      <c r="J6306" s="13" t="n">
        <v>182</v>
      </c>
      <c r="K6306" s="14" t="n">
        <f aca="false">I6306*J6306</f>
        <v>8008</v>
      </c>
      <c r="L6306" s="14" t="n">
        <f aca="false">($L$2*M6306)/100</f>
        <v>636883.245</v>
      </c>
      <c r="M6306" s="15" t="n">
        <v>0.53</v>
      </c>
      <c r="N6306" s="9" t="s">
        <v>85</v>
      </c>
    </row>
    <row r="6307" customFormat="false" ht="14.25" hidden="false" customHeight="true" outlineLevel="0" collapsed="false">
      <c r="B6307" s="9" t="s">
        <v>28</v>
      </c>
      <c r="C6307" s="9" t="n">
        <v>1185732</v>
      </c>
      <c r="D6307" s="10" t="n">
        <v>44411</v>
      </c>
      <c r="E6307" s="9" t="s">
        <v>50</v>
      </c>
      <c r="F6307" s="9" t="s">
        <v>96</v>
      </c>
      <c r="G6307" s="9" t="s">
        <v>97</v>
      </c>
      <c r="H6307" s="11" t="s">
        <v>24</v>
      </c>
      <c r="I6307" s="12" t="n">
        <v>53</v>
      </c>
      <c r="J6307" s="13" t="n">
        <v>176</v>
      </c>
      <c r="K6307" s="14" t="n">
        <f aca="false">I6307*J6307</f>
        <v>9328</v>
      </c>
      <c r="L6307" s="14" t="n">
        <f aca="false">($L$2*M6307)/100</f>
        <v>576799.92</v>
      </c>
      <c r="M6307" s="15" t="n">
        <v>0.48</v>
      </c>
      <c r="N6307" s="9" t="s">
        <v>85</v>
      </c>
    </row>
    <row r="6308" customFormat="false" ht="14.25" hidden="false" customHeight="true" outlineLevel="0" collapsed="false">
      <c r="B6308" s="9" t="s">
        <v>28</v>
      </c>
      <c r="C6308" s="9" t="n">
        <v>1185732</v>
      </c>
      <c r="D6308" s="10" t="n">
        <v>44411</v>
      </c>
      <c r="E6308" s="9" t="s">
        <v>50</v>
      </c>
      <c r="F6308" s="9" t="s">
        <v>96</v>
      </c>
      <c r="G6308" s="9" t="s">
        <v>97</v>
      </c>
      <c r="H6308" s="11" t="s">
        <v>25</v>
      </c>
      <c r="I6308" s="12" t="n">
        <v>54</v>
      </c>
      <c r="J6308" s="13" t="n">
        <v>231</v>
      </c>
      <c r="K6308" s="14" t="n">
        <f aca="false">I6308*J6308</f>
        <v>12474</v>
      </c>
      <c r="L6308" s="14" t="n">
        <f aca="false">($L$2*M6308)/100</f>
        <v>769066.56</v>
      </c>
      <c r="M6308" s="15" t="n">
        <v>0.64</v>
      </c>
      <c r="N6308" s="9" t="s">
        <v>85</v>
      </c>
    </row>
    <row r="6309" customFormat="false" ht="14.25" hidden="false" customHeight="true" outlineLevel="0" collapsed="false">
      <c r="B6309" s="9" t="s">
        <v>28</v>
      </c>
      <c r="C6309" s="9" t="n">
        <v>1185732</v>
      </c>
      <c r="D6309" s="10" t="n">
        <v>44441</v>
      </c>
      <c r="E6309" s="9" t="s">
        <v>50</v>
      </c>
      <c r="F6309" s="9" t="s">
        <v>96</v>
      </c>
      <c r="G6309" s="9" t="s">
        <v>97</v>
      </c>
      <c r="H6309" s="11" t="s">
        <v>19</v>
      </c>
      <c r="I6309" s="12" t="n">
        <v>53</v>
      </c>
      <c r="J6309" s="13" t="n">
        <v>250</v>
      </c>
      <c r="K6309" s="14" t="n">
        <f aca="false">I6309*J6309</f>
        <v>13250</v>
      </c>
      <c r="L6309" s="14" t="n">
        <f aca="false">($L$2*M6309)/100</f>
        <v>624866.58</v>
      </c>
      <c r="M6309" s="15" t="n">
        <v>0.52</v>
      </c>
      <c r="N6309" s="9" t="s">
        <v>85</v>
      </c>
    </row>
    <row r="6310" customFormat="false" ht="14.25" hidden="false" customHeight="true" outlineLevel="0" collapsed="false">
      <c r="B6310" s="9" t="s">
        <v>28</v>
      </c>
      <c r="C6310" s="9" t="n">
        <v>1185732</v>
      </c>
      <c r="D6310" s="10" t="n">
        <v>44441</v>
      </c>
      <c r="E6310" s="9" t="s">
        <v>50</v>
      </c>
      <c r="F6310" s="9" t="s">
        <v>96</v>
      </c>
      <c r="G6310" s="9" t="s">
        <v>97</v>
      </c>
      <c r="H6310" s="11" t="s">
        <v>21</v>
      </c>
      <c r="I6310" s="12" t="n">
        <v>49</v>
      </c>
      <c r="J6310" s="13" t="n">
        <v>181</v>
      </c>
      <c r="K6310" s="14" t="n">
        <f aca="false">I6310*J6310</f>
        <v>8869</v>
      </c>
      <c r="L6310" s="14" t="n">
        <f aca="false">($L$2*M6310)/100</f>
        <v>600833.25</v>
      </c>
      <c r="M6310" s="15" t="n">
        <v>0.5</v>
      </c>
      <c r="N6310" s="9" t="s">
        <v>85</v>
      </c>
    </row>
    <row r="6311" customFormat="false" ht="14.25" hidden="false" customHeight="true" outlineLevel="0" collapsed="false">
      <c r="B6311" s="9" t="s">
        <v>28</v>
      </c>
      <c r="C6311" s="9" t="n">
        <v>1185732</v>
      </c>
      <c r="D6311" s="10" t="n">
        <v>44441</v>
      </c>
      <c r="E6311" s="9" t="s">
        <v>50</v>
      </c>
      <c r="F6311" s="9" t="s">
        <v>96</v>
      </c>
      <c r="G6311" s="9" t="s">
        <v>97</v>
      </c>
      <c r="H6311" s="11" t="s">
        <v>22</v>
      </c>
      <c r="I6311" s="12" t="n">
        <v>28</v>
      </c>
      <c r="J6311" s="13" t="n">
        <v>175</v>
      </c>
      <c r="K6311" s="14" t="n">
        <f aca="false">I6311*J6311</f>
        <v>4900</v>
      </c>
      <c r="L6311" s="14" t="n">
        <f aca="false">($L$2*M6311)/100</f>
        <v>612849.915</v>
      </c>
      <c r="M6311" s="15" t="n">
        <v>0.51</v>
      </c>
      <c r="N6311" s="9" t="s">
        <v>85</v>
      </c>
    </row>
    <row r="6312" customFormat="false" ht="14.25" hidden="false" customHeight="true" outlineLevel="0" collapsed="false">
      <c r="B6312" s="9" t="s">
        <v>28</v>
      </c>
      <c r="C6312" s="9" t="n">
        <v>1185732</v>
      </c>
      <c r="D6312" s="10" t="n">
        <v>44441</v>
      </c>
      <c r="E6312" s="9" t="s">
        <v>50</v>
      </c>
      <c r="F6312" s="9" t="s">
        <v>96</v>
      </c>
      <c r="G6312" s="9" t="s">
        <v>97</v>
      </c>
      <c r="H6312" s="11" t="s">
        <v>23</v>
      </c>
      <c r="I6312" s="12" t="n">
        <v>28</v>
      </c>
      <c r="J6312" s="13" t="n">
        <v>150</v>
      </c>
      <c r="K6312" s="14" t="n">
        <f aca="false">I6312*J6312</f>
        <v>4200</v>
      </c>
      <c r="L6312" s="14" t="n">
        <f aca="false">($L$2*M6312)/100</f>
        <v>600833.25</v>
      </c>
      <c r="M6312" s="15" t="n">
        <v>0.5</v>
      </c>
      <c r="N6312" s="9" t="s">
        <v>85</v>
      </c>
    </row>
    <row r="6313" customFormat="false" ht="14.25" hidden="false" customHeight="true" outlineLevel="0" collapsed="false">
      <c r="B6313" s="9" t="s">
        <v>28</v>
      </c>
      <c r="C6313" s="9" t="n">
        <v>1185732</v>
      </c>
      <c r="D6313" s="10" t="n">
        <v>44441</v>
      </c>
      <c r="E6313" s="9" t="s">
        <v>50</v>
      </c>
      <c r="F6313" s="9" t="s">
        <v>96</v>
      </c>
      <c r="G6313" s="9" t="s">
        <v>97</v>
      </c>
      <c r="H6313" s="11" t="s">
        <v>24</v>
      </c>
      <c r="I6313" s="12" t="n">
        <v>38</v>
      </c>
      <c r="J6313" s="13" t="n">
        <v>156</v>
      </c>
      <c r="K6313" s="14" t="n">
        <f aca="false">I6313*J6313</f>
        <v>5928</v>
      </c>
      <c r="L6313" s="14" t="n">
        <f aca="false">($L$2*M6313)/100</f>
        <v>552766.59</v>
      </c>
      <c r="M6313" s="15" t="n">
        <v>0.46</v>
      </c>
      <c r="N6313" s="9" t="s">
        <v>85</v>
      </c>
    </row>
    <row r="6314" customFormat="false" ht="14.25" hidden="false" customHeight="true" outlineLevel="0" collapsed="false">
      <c r="B6314" s="9" t="s">
        <v>28</v>
      </c>
      <c r="C6314" s="9" t="n">
        <v>1185732</v>
      </c>
      <c r="D6314" s="10" t="n">
        <v>44441</v>
      </c>
      <c r="E6314" s="9" t="s">
        <v>50</v>
      </c>
      <c r="F6314" s="9" t="s">
        <v>96</v>
      </c>
      <c r="G6314" s="9" t="s">
        <v>97</v>
      </c>
      <c r="H6314" s="11" t="s">
        <v>25</v>
      </c>
      <c r="I6314" s="12" t="n">
        <v>41</v>
      </c>
      <c r="J6314" s="13" t="n">
        <v>203</v>
      </c>
      <c r="K6314" s="14" t="n">
        <f aca="false">I6314*J6314</f>
        <v>8323</v>
      </c>
      <c r="L6314" s="14" t="n">
        <f aca="false">($L$2*M6314)/100</f>
        <v>733016.565</v>
      </c>
      <c r="M6314" s="15" t="n">
        <v>0.61</v>
      </c>
      <c r="N6314" s="9" t="s">
        <v>85</v>
      </c>
    </row>
    <row r="6315" customFormat="false" ht="14.25" hidden="false" customHeight="true" outlineLevel="0" collapsed="false">
      <c r="B6315" s="9" t="s">
        <v>28</v>
      </c>
      <c r="C6315" s="9" t="n">
        <v>1185732</v>
      </c>
      <c r="D6315" s="10" t="n">
        <v>44473</v>
      </c>
      <c r="E6315" s="9" t="s">
        <v>50</v>
      </c>
      <c r="F6315" s="9" t="s">
        <v>96</v>
      </c>
      <c r="G6315" s="9" t="s">
        <v>97</v>
      </c>
      <c r="H6315" s="11" t="s">
        <v>19</v>
      </c>
      <c r="I6315" s="12" t="n">
        <v>42</v>
      </c>
      <c r="J6315" s="13" t="n">
        <v>245</v>
      </c>
      <c r="K6315" s="14" t="n">
        <f aca="false">I6315*J6315</f>
        <v>10290</v>
      </c>
      <c r="L6315" s="14" t="n">
        <f aca="false">($L$2*M6315)/100</f>
        <v>648899.91</v>
      </c>
      <c r="M6315" s="15" t="n">
        <v>0.54</v>
      </c>
      <c r="N6315" s="9" t="s">
        <v>85</v>
      </c>
    </row>
    <row r="6316" customFormat="false" ht="14.25" hidden="false" customHeight="true" outlineLevel="0" collapsed="false">
      <c r="B6316" s="9" t="s">
        <v>28</v>
      </c>
      <c r="C6316" s="9" t="n">
        <v>1185732</v>
      </c>
      <c r="D6316" s="10" t="n">
        <v>44473</v>
      </c>
      <c r="E6316" s="9" t="s">
        <v>50</v>
      </c>
      <c r="F6316" s="9" t="s">
        <v>96</v>
      </c>
      <c r="G6316" s="9" t="s">
        <v>97</v>
      </c>
      <c r="H6316" s="11" t="s">
        <v>21</v>
      </c>
      <c r="I6316" s="12" t="n">
        <v>33</v>
      </c>
      <c r="J6316" s="13" t="n">
        <v>196</v>
      </c>
      <c r="K6316" s="14" t="n">
        <f aca="false">I6316*J6316</f>
        <v>6468</v>
      </c>
      <c r="L6316" s="14" t="n">
        <f aca="false">($L$2*M6316)/100</f>
        <v>552766.59</v>
      </c>
      <c r="M6316" s="15" t="n">
        <v>0.46</v>
      </c>
      <c r="N6316" s="9" t="s">
        <v>85</v>
      </c>
    </row>
    <row r="6317" customFormat="false" ht="14.25" hidden="false" customHeight="true" outlineLevel="0" collapsed="false">
      <c r="B6317" s="9" t="s">
        <v>28</v>
      </c>
      <c r="C6317" s="9" t="n">
        <v>1185732</v>
      </c>
      <c r="D6317" s="10" t="n">
        <v>44473</v>
      </c>
      <c r="E6317" s="9" t="s">
        <v>50</v>
      </c>
      <c r="F6317" s="9" t="s">
        <v>96</v>
      </c>
      <c r="G6317" s="9" t="s">
        <v>97</v>
      </c>
      <c r="H6317" s="11" t="s">
        <v>22</v>
      </c>
      <c r="I6317" s="12" t="n">
        <v>34</v>
      </c>
      <c r="J6317" s="13" t="n">
        <v>150</v>
      </c>
      <c r="K6317" s="14" t="n">
        <f aca="false">I6317*J6317</f>
        <v>5100</v>
      </c>
      <c r="L6317" s="14" t="n">
        <f aca="false">($L$2*M6317)/100</f>
        <v>612849.915</v>
      </c>
      <c r="M6317" s="15" t="n">
        <v>0.51</v>
      </c>
      <c r="N6317" s="9" t="s">
        <v>85</v>
      </c>
    </row>
    <row r="6318" customFormat="false" ht="14.25" hidden="false" customHeight="true" outlineLevel="0" collapsed="false">
      <c r="B6318" s="9" t="s">
        <v>28</v>
      </c>
      <c r="C6318" s="9" t="n">
        <v>1185732</v>
      </c>
      <c r="D6318" s="10" t="n">
        <v>44473</v>
      </c>
      <c r="E6318" s="9" t="s">
        <v>50</v>
      </c>
      <c r="F6318" s="9" t="s">
        <v>96</v>
      </c>
      <c r="G6318" s="9" t="s">
        <v>97</v>
      </c>
      <c r="H6318" s="11" t="s">
        <v>23</v>
      </c>
      <c r="I6318" s="12" t="n">
        <v>34</v>
      </c>
      <c r="J6318" s="13" t="n">
        <v>160</v>
      </c>
      <c r="K6318" s="14" t="n">
        <f aca="false">I6318*J6318</f>
        <v>5440</v>
      </c>
      <c r="L6318" s="14" t="n">
        <f aca="false">($L$2*M6318)/100</f>
        <v>648899.91</v>
      </c>
      <c r="M6318" s="15" t="n">
        <v>0.54</v>
      </c>
      <c r="N6318" s="9" t="s">
        <v>85</v>
      </c>
    </row>
    <row r="6319" customFormat="false" ht="14.25" hidden="false" customHeight="true" outlineLevel="0" collapsed="false">
      <c r="B6319" s="9" t="s">
        <v>28</v>
      </c>
      <c r="C6319" s="9" t="n">
        <v>1185732</v>
      </c>
      <c r="D6319" s="10" t="n">
        <v>44473</v>
      </c>
      <c r="E6319" s="9" t="s">
        <v>50</v>
      </c>
      <c r="F6319" s="9" t="s">
        <v>96</v>
      </c>
      <c r="G6319" s="9" t="s">
        <v>97</v>
      </c>
      <c r="H6319" s="11" t="s">
        <v>24</v>
      </c>
      <c r="I6319" s="12" t="n">
        <v>42</v>
      </c>
      <c r="J6319" s="13" t="n">
        <v>149</v>
      </c>
      <c r="K6319" s="14" t="n">
        <f aca="false">I6319*J6319</f>
        <v>6258</v>
      </c>
      <c r="L6319" s="14" t="n">
        <f aca="false">($L$2*M6319)/100</f>
        <v>564783.255</v>
      </c>
      <c r="M6319" s="15" t="n">
        <v>0.47</v>
      </c>
      <c r="N6319" s="9" t="s">
        <v>85</v>
      </c>
    </row>
    <row r="6320" customFormat="false" ht="14.25" hidden="false" customHeight="true" outlineLevel="0" collapsed="false">
      <c r="B6320" s="9" t="s">
        <v>28</v>
      </c>
      <c r="C6320" s="9" t="n">
        <v>1185732</v>
      </c>
      <c r="D6320" s="10" t="n">
        <v>44473</v>
      </c>
      <c r="E6320" s="9" t="s">
        <v>50</v>
      </c>
      <c r="F6320" s="9" t="s">
        <v>96</v>
      </c>
      <c r="G6320" s="9" t="s">
        <v>97</v>
      </c>
      <c r="H6320" s="11" t="s">
        <v>25</v>
      </c>
      <c r="I6320" s="12" t="n">
        <v>48</v>
      </c>
      <c r="J6320" s="13" t="n">
        <v>176</v>
      </c>
      <c r="K6320" s="14" t="n">
        <f aca="false">I6320*J6320</f>
        <v>8448</v>
      </c>
      <c r="L6320" s="14" t="n">
        <f aca="false">($L$2*M6320)/100</f>
        <v>757049.895</v>
      </c>
      <c r="M6320" s="15" t="n">
        <v>0.63</v>
      </c>
      <c r="N6320" s="9" t="s">
        <v>85</v>
      </c>
    </row>
    <row r="6321" customFormat="false" ht="14.25" hidden="false" customHeight="true" outlineLevel="0" collapsed="false">
      <c r="B6321" s="9" t="s">
        <v>28</v>
      </c>
      <c r="C6321" s="9" t="n">
        <v>1185732</v>
      </c>
      <c r="D6321" s="10" t="n">
        <v>44503</v>
      </c>
      <c r="E6321" s="9" t="s">
        <v>50</v>
      </c>
      <c r="F6321" s="9" t="s">
        <v>96</v>
      </c>
      <c r="G6321" s="9" t="s">
        <v>97</v>
      </c>
      <c r="H6321" s="11" t="s">
        <v>19</v>
      </c>
      <c r="I6321" s="12" t="n">
        <v>44</v>
      </c>
      <c r="J6321" s="13" t="n">
        <v>215</v>
      </c>
      <c r="K6321" s="14" t="n">
        <f aca="false">I6321*J6321</f>
        <v>9460</v>
      </c>
      <c r="L6321" s="14" t="n">
        <f aca="false">($L$2*M6321)/100</f>
        <v>660916.575</v>
      </c>
      <c r="M6321" s="15" t="n">
        <v>0.55</v>
      </c>
      <c r="N6321" s="9" t="s">
        <v>85</v>
      </c>
    </row>
    <row r="6322" customFormat="false" ht="14.25" hidden="false" customHeight="true" outlineLevel="0" collapsed="false">
      <c r="B6322" s="9" t="s">
        <v>28</v>
      </c>
      <c r="C6322" s="9" t="n">
        <v>1185732</v>
      </c>
      <c r="D6322" s="10" t="n">
        <v>44503</v>
      </c>
      <c r="E6322" s="9" t="s">
        <v>50</v>
      </c>
      <c r="F6322" s="9" t="s">
        <v>96</v>
      </c>
      <c r="G6322" s="9" t="s">
        <v>97</v>
      </c>
      <c r="H6322" s="11" t="s">
        <v>21</v>
      </c>
      <c r="I6322" s="12" t="n">
        <v>32</v>
      </c>
      <c r="J6322" s="13" t="n">
        <v>195</v>
      </c>
      <c r="K6322" s="14" t="n">
        <f aca="false">I6322*J6322</f>
        <v>6240</v>
      </c>
      <c r="L6322" s="14" t="n">
        <f aca="false">($L$2*M6322)/100</f>
        <v>564783.255</v>
      </c>
      <c r="M6322" s="15" t="n">
        <v>0.47</v>
      </c>
      <c r="N6322" s="9" t="s">
        <v>85</v>
      </c>
    </row>
    <row r="6323" customFormat="false" ht="14.25" hidden="false" customHeight="true" outlineLevel="0" collapsed="false">
      <c r="B6323" s="9" t="s">
        <v>28</v>
      </c>
      <c r="C6323" s="9" t="n">
        <v>1185732</v>
      </c>
      <c r="D6323" s="10" t="n">
        <v>44503</v>
      </c>
      <c r="E6323" s="9" t="s">
        <v>50</v>
      </c>
      <c r="F6323" s="9" t="s">
        <v>96</v>
      </c>
      <c r="G6323" s="9" t="s">
        <v>97</v>
      </c>
      <c r="H6323" s="11" t="s">
        <v>22</v>
      </c>
      <c r="I6323" s="12" t="n">
        <v>38</v>
      </c>
      <c r="J6323" s="13" t="n">
        <v>167</v>
      </c>
      <c r="K6323" s="14" t="n">
        <f aca="false">I6323*J6323</f>
        <v>6346</v>
      </c>
      <c r="L6323" s="14" t="n">
        <f aca="false">($L$2*M6323)/100</f>
        <v>648899.91</v>
      </c>
      <c r="M6323" s="15" t="n">
        <v>0.54</v>
      </c>
      <c r="N6323" s="9" t="s">
        <v>85</v>
      </c>
    </row>
    <row r="6324" customFormat="false" ht="14.25" hidden="false" customHeight="true" outlineLevel="0" collapsed="false">
      <c r="B6324" s="9" t="s">
        <v>28</v>
      </c>
      <c r="C6324" s="9" t="n">
        <v>1185732</v>
      </c>
      <c r="D6324" s="10" t="n">
        <v>44503</v>
      </c>
      <c r="E6324" s="9" t="s">
        <v>50</v>
      </c>
      <c r="F6324" s="9" t="s">
        <v>96</v>
      </c>
      <c r="G6324" s="9" t="s">
        <v>97</v>
      </c>
      <c r="H6324" s="11" t="s">
        <v>23</v>
      </c>
      <c r="I6324" s="12" t="n">
        <v>55</v>
      </c>
      <c r="J6324" s="13" t="n">
        <v>163</v>
      </c>
      <c r="K6324" s="14" t="n">
        <f aca="false">I6324*J6324</f>
        <v>8965</v>
      </c>
      <c r="L6324" s="14" t="n">
        <f aca="false">($L$2*M6324)/100</f>
        <v>612849.915</v>
      </c>
      <c r="M6324" s="15" t="n">
        <v>0.51</v>
      </c>
      <c r="N6324" s="9" t="s">
        <v>85</v>
      </c>
    </row>
    <row r="6325" customFormat="false" ht="14.25" hidden="false" customHeight="true" outlineLevel="0" collapsed="false">
      <c r="B6325" s="9" t="s">
        <v>28</v>
      </c>
      <c r="C6325" s="9" t="n">
        <v>1185732</v>
      </c>
      <c r="D6325" s="10" t="n">
        <v>44503</v>
      </c>
      <c r="E6325" s="9" t="s">
        <v>50</v>
      </c>
      <c r="F6325" s="9" t="s">
        <v>96</v>
      </c>
      <c r="G6325" s="9" t="s">
        <v>97</v>
      </c>
      <c r="H6325" s="11" t="s">
        <v>24</v>
      </c>
      <c r="I6325" s="12" t="n">
        <v>72</v>
      </c>
      <c r="J6325" s="13" t="n">
        <v>163</v>
      </c>
      <c r="K6325" s="14" t="n">
        <f aca="false">I6325*J6325</f>
        <v>11736</v>
      </c>
      <c r="L6325" s="14" t="n">
        <f aca="false">($L$2*M6325)/100</f>
        <v>588816.585</v>
      </c>
      <c r="M6325" s="15" t="n">
        <v>0.49</v>
      </c>
      <c r="N6325" s="9" t="s">
        <v>85</v>
      </c>
    </row>
    <row r="6326" customFormat="false" ht="14.25" hidden="false" customHeight="true" outlineLevel="0" collapsed="false">
      <c r="B6326" s="9" t="s">
        <v>28</v>
      </c>
      <c r="C6326" s="9" t="n">
        <v>1185732</v>
      </c>
      <c r="D6326" s="10" t="n">
        <v>44503</v>
      </c>
      <c r="E6326" s="9" t="s">
        <v>50</v>
      </c>
      <c r="F6326" s="9" t="s">
        <v>96</v>
      </c>
      <c r="G6326" s="9" t="s">
        <v>97</v>
      </c>
      <c r="H6326" s="11" t="s">
        <v>25</v>
      </c>
      <c r="I6326" s="12" t="n">
        <v>72</v>
      </c>
      <c r="J6326" s="13" t="n">
        <v>210</v>
      </c>
      <c r="K6326" s="14" t="n">
        <f aca="false">I6326*J6326</f>
        <v>15120</v>
      </c>
      <c r="L6326" s="14" t="n">
        <f aca="false">($L$2*M6326)/100</f>
        <v>769066.56</v>
      </c>
      <c r="M6326" s="15" t="n">
        <v>0.64</v>
      </c>
      <c r="N6326" s="9" t="s">
        <v>85</v>
      </c>
    </row>
    <row r="6327" customFormat="false" ht="14.25" hidden="false" customHeight="true" outlineLevel="0" collapsed="false">
      <c r="B6327" s="9" t="s">
        <v>28</v>
      </c>
      <c r="C6327" s="9" t="n">
        <v>1185732</v>
      </c>
      <c r="D6327" s="10" t="n">
        <v>44532</v>
      </c>
      <c r="E6327" s="9" t="s">
        <v>50</v>
      </c>
      <c r="F6327" s="9" t="s">
        <v>96</v>
      </c>
      <c r="G6327" s="9" t="s">
        <v>97</v>
      </c>
      <c r="H6327" s="11" t="s">
        <v>19</v>
      </c>
      <c r="I6327" s="12" t="n">
        <v>64</v>
      </c>
      <c r="J6327" s="13" t="n">
        <v>244</v>
      </c>
      <c r="K6327" s="14" t="n">
        <f aca="false">I6327*J6327</f>
        <v>15616</v>
      </c>
      <c r="L6327" s="14" t="n">
        <f aca="false">($L$2*M6327)/100</f>
        <v>612849.915</v>
      </c>
      <c r="M6327" s="15" t="n">
        <v>0.51</v>
      </c>
      <c r="N6327" s="9" t="s">
        <v>85</v>
      </c>
    </row>
    <row r="6328" customFormat="false" ht="14.25" hidden="false" customHeight="true" outlineLevel="0" collapsed="false">
      <c r="B6328" s="9" t="s">
        <v>28</v>
      </c>
      <c r="C6328" s="9" t="n">
        <v>1185732</v>
      </c>
      <c r="D6328" s="10" t="n">
        <v>44532</v>
      </c>
      <c r="E6328" s="9" t="s">
        <v>50</v>
      </c>
      <c r="F6328" s="9" t="s">
        <v>96</v>
      </c>
      <c r="G6328" s="9" t="s">
        <v>97</v>
      </c>
      <c r="H6328" s="11" t="s">
        <v>21</v>
      </c>
      <c r="I6328" s="12" t="n">
        <v>55</v>
      </c>
      <c r="J6328" s="13" t="n">
        <v>202</v>
      </c>
      <c r="K6328" s="14" t="n">
        <f aca="false">I6328*J6328</f>
        <v>11110</v>
      </c>
      <c r="L6328" s="14" t="n">
        <f aca="false">($L$2*M6328)/100</f>
        <v>540749.925</v>
      </c>
      <c r="M6328" s="15" t="n">
        <v>0.45</v>
      </c>
      <c r="N6328" s="9" t="s">
        <v>85</v>
      </c>
    </row>
    <row r="6329" customFormat="false" ht="14.25" hidden="false" customHeight="true" outlineLevel="0" collapsed="false">
      <c r="B6329" s="9" t="s">
        <v>63</v>
      </c>
      <c r="C6329" s="9" t="n">
        <v>1185732</v>
      </c>
      <c r="D6329" s="10" t="n">
        <v>44532</v>
      </c>
      <c r="E6329" s="9" t="s">
        <v>50</v>
      </c>
      <c r="F6329" s="9" t="s">
        <v>96</v>
      </c>
      <c r="G6329" s="9" t="s">
        <v>97</v>
      </c>
      <c r="H6329" s="11" t="s">
        <v>22</v>
      </c>
      <c r="I6329" s="12" t="n">
        <v>55</v>
      </c>
      <c r="J6329" s="13" t="n">
        <v>218</v>
      </c>
      <c r="K6329" s="14" t="n">
        <f aca="false">I6329*J6329</f>
        <v>11990</v>
      </c>
      <c r="L6329" s="14" t="n">
        <f aca="false">($L$2*M6329)/100</f>
        <v>612849.915</v>
      </c>
      <c r="M6329" s="15" t="n">
        <v>0.51</v>
      </c>
      <c r="N6329" s="9" t="s">
        <v>85</v>
      </c>
    </row>
    <row r="6330" customFormat="false" ht="14.25" hidden="false" customHeight="true" outlineLevel="0" collapsed="false">
      <c r="B6330" s="9" t="s">
        <v>63</v>
      </c>
      <c r="C6330" s="9" t="n">
        <v>1185732</v>
      </c>
      <c r="D6330" s="10" t="n">
        <v>44532</v>
      </c>
      <c r="E6330" s="9" t="s">
        <v>50</v>
      </c>
      <c r="F6330" s="9" t="s">
        <v>96</v>
      </c>
      <c r="G6330" s="9" t="s">
        <v>97</v>
      </c>
      <c r="H6330" s="11" t="s">
        <v>23</v>
      </c>
      <c r="I6330" s="12" t="n">
        <v>55</v>
      </c>
      <c r="J6330" s="13" t="n">
        <v>196</v>
      </c>
      <c r="K6330" s="14" t="n">
        <f aca="false">I6330*J6330</f>
        <v>10780</v>
      </c>
      <c r="L6330" s="14" t="n">
        <f aca="false">($L$2*M6330)/100</f>
        <v>648899.91</v>
      </c>
      <c r="M6330" s="15" t="n">
        <v>0.54</v>
      </c>
      <c r="N6330" s="9" t="s">
        <v>85</v>
      </c>
    </row>
    <row r="6331" customFormat="false" ht="14.25" hidden="false" customHeight="true" outlineLevel="0" collapsed="false">
      <c r="B6331" s="9" t="s">
        <v>63</v>
      </c>
      <c r="C6331" s="9" t="n">
        <v>1185732</v>
      </c>
      <c r="D6331" s="10" t="n">
        <v>44532</v>
      </c>
      <c r="E6331" s="9" t="s">
        <v>50</v>
      </c>
      <c r="F6331" s="9" t="s">
        <v>96</v>
      </c>
      <c r="G6331" s="9" t="s">
        <v>97</v>
      </c>
      <c r="H6331" s="11" t="s">
        <v>24</v>
      </c>
      <c r="I6331" s="12" t="n">
        <v>65</v>
      </c>
      <c r="J6331" s="13" t="n">
        <v>169</v>
      </c>
      <c r="K6331" s="14" t="n">
        <f aca="false">I6331*J6331</f>
        <v>10985</v>
      </c>
      <c r="L6331" s="14" t="n">
        <f aca="false">($L$2*M6331)/100</f>
        <v>588816.585</v>
      </c>
      <c r="M6331" s="15" t="n">
        <v>0.49</v>
      </c>
      <c r="N6331" s="9" t="s">
        <v>85</v>
      </c>
    </row>
    <row r="6332" customFormat="false" ht="14.25" hidden="false" customHeight="true" outlineLevel="0" collapsed="false">
      <c r="B6332" s="9" t="s">
        <v>63</v>
      </c>
      <c r="C6332" s="9" t="n">
        <v>1185732</v>
      </c>
      <c r="D6332" s="10" t="n">
        <v>44532</v>
      </c>
      <c r="E6332" s="9" t="s">
        <v>50</v>
      </c>
      <c r="F6332" s="9" t="s">
        <v>96</v>
      </c>
      <c r="G6332" s="9" t="s">
        <v>97</v>
      </c>
      <c r="H6332" s="11" t="s">
        <v>25</v>
      </c>
      <c r="I6332" s="12" t="n">
        <v>69</v>
      </c>
      <c r="J6332" s="13" t="n">
        <v>225</v>
      </c>
      <c r="K6332" s="14" t="n">
        <f aca="false">I6332*J6332</f>
        <v>15525</v>
      </c>
      <c r="L6332" s="14" t="n">
        <f aca="false">($L$2*M6332)/100</f>
        <v>781083.225</v>
      </c>
      <c r="M6332" s="15" t="n">
        <v>0.65</v>
      </c>
      <c r="N6332" s="9" t="s">
        <v>85</v>
      </c>
    </row>
    <row r="6333" customFormat="false" ht="14.25" hidden="false" customHeight="true" outlineLevel="0" collapsed="false">
      <c r="B6333" s="9" t="s">
        <v>63</v>
      </c>
      <c r="C6333" s="9" t="n">
        <v>1185732</v>
      </c>
      <c r="D6333" s="10" t="n">
        <v>44209</v>
      </c>
      <c r="E6333" s="9" t="s">
        <v>50</v>
      </c>
      <c r="F6333" s="9" t="s">
        <v>96</v>
      </c>
      <c r="G6333" s="9" t="s">
        <v>97</v>
      </c>
      <c r="H6333" s="11" t="s">
        <v>19</v>
      </c>
      <c r="I6333" s="12" t="n">
        <v>32</v>
      </c>
      <c r="J6333" s="13" t="n">
        <v>194</v>
      </c>
      <c r="K6333" s="14" t="n">
        <f aca="false">I6333*J6333</f>
        <v>6208</v>
      </c>
      <c r="L6333" s="14" t="n">
        <f aca="false">($L$2*M6333)/100</f>
        <v>624866.58</v>
      </c>
      <c r="M6333" s="15" t="n">
        <v>0.52</v>
      </c>
      <c r="N6333" s="9" t="s">
        <v>85</v>
      </c>
    </row>
    <row r="6334" customFormat="false" ht="14.25" hidden="false" customHeight="true" outlineLevel="0" collapsed="false">
      <c r="B6334" s="9" t="s">
        <v>63</v>
      </c>
      <c r="C6334" s="9" t="n">
        <v>1185732</v>
      </c>
      <c r="D6334" s="10" t="n">
        <v>44209</v>
      </c>
      <c r="E6334" s="9" t="s">
        <v>50</v>
      </c>
      <c r="F6334" s="9" t="s">
        <v>96</v>
      </c>
      <c r="G6334" s="9" t="s">
        <v>97</v>
      </c>
      <c r="H6334" s="11" t="s">
        <v>21</v>
      </c>
      <c r="I6334" s="12" t="n">
        <v>33</v>
      </c>
      <c r="J6334" s="13" t="n">
        <v>150</v>
      </c>
      <c r="K6334" s="14" t="n">
        <f aca="false">I6334*J6334</f>
        <v>4950</v>
      </c>
      <c r="L6334" s="14" t="n">
        <f aca="false">($L$2*M6334)/100</f>
        <v>600833.25</v>
      </c>
      <c r="M6334" s="15" t="n">
        <v>0.5</v>
      </c>
      <c r="N6334" s="9" t="s">
        <v>85</v>
      </c>
    </row>
    <row r="6335" customFormat="false" ht="14.25" hidden="false" customHeight="true" outlineLevel="0" collapsed="false">
      <c r="B6335" s="9" t="s">
        <v>63</v>
      </c>
      <c r="C6335" s="9" t="n">
        <v>1185732</v>
      </c>
      <c r="D6335" s="10" t="n">
        <v>44209</v>
      </c>
      <c r="E6335" s="9" t="s">
        <v>50</v>
      </c>
      <c r="F6335" s="9" t="s">
        <v>96</v>
      </c>
      <c r="G6335" s="9" t="s">
        <v>97</v>
      </c>
      <c r="H6335" s="11" t="s">
        <v>22</v>
      </c>
      <c r="I6335" s="12" t="n">
        <v>24</v>
      </c>
      <c r="J6335" s="13" t="n">
        <v>167</v>
      </c>
      <c r="K6335" s="14" t="n">
        <f aca="false">I6335*J6335</f>
        <v>4008</v>
      </c>
      <c r="L6335" s="14" t="n">
        <f aca="false">($L$2*M6335)/100</f>
        <v>648899.91</v>
      </c>
      <c r="M6335" s="15" t="n">
        <v>0.54</v>
      </c>
      <c r="N6335" s="9" t="s">
        <v>85</v>
      </c>
    </row>
    <row r="6336" customFormat="false" ht="14.25" hidden="false" customHeight="true" outlineLevel="0" collapsed="false">
      <c r="B6336" s="9" t="s">
        <v>63</v>
      </c>
      <c r="C6336" s="9" t="n">
        <v>1185732</v>
      </c>
      <c r="D6336" s="10" t="n">
        <v>44209</v>
      </c>
      <c r="E6336" s="9" t="s">
        <v>50</v>
      </c>
      <c r="F6336" s="9" t="s">
        <v>96</v>
      </c>
      <c r="G6336" s="9" t="s">
        <v>97</v>
      </c>
      <c r="H6336" s="11" t="s">
        <v>23</v>
      </c>
      <c r="I6336" s="12" t="n">
        <v>29</v>
      </c>
      <c r="J6336" s="13" t="n">
        <v>123</v>
      </c>
      <c r="K6336" s="14" t="n">
        <f aca="false">I6336*J6336</f>
        <v>3567</v>
      </c>
      <c r="L6336" s="14" t="n">
        <f aca="false">($L$2*M6336)/100</f>
        <v>624866.58</v>
      </c>
      <c r="M6336" s="15" t="n">
        <v>0.52</v>
      </c>
      <c r="N6336" s="9" t="s">
        <v>85</v>
      </c>
    </row>
    <row r="6337" customFormat="false" ht="14.25" hidden="false" customHeight="true" outlineLevel="0" collapsed="false">
      <c r="B6337" s="9" t="s">
        <v>63</v>
      </c>
      <c r="C6337" s="9" t="n">
        <v>1185732</v>
      </c>
      <c r="D6337" s="10" t="n">
        <v>44209</v>
      </c>
      <c r="E6337" s="9" t="s">
        <v>50</v>
      </c>
      <c r="F6337" s="9" t="s">
        <v>96</v>
      </c>
      <c r="G6337" s="9" t="s">
        <v>97</v>
      </c>
      <c r="H6337" s="11" t="s">
        <v>24</v>
      </c>
      <c r="I6337" s="12" t="n">
        <v>44</v>
      </c>
      <c r="J6337" s="13" t="n">
        <v>128</v>
      </c>
      <c r="K6337" s="14" t="n">
        <f aca="false">I6337*J6337</f>
        <v>5632</v>
      </c>
      <c r="L6337" s="14" t="n">
        <f aca="false">($L$2*M6337)/100</f>
        <v>600833.25</v>
      </c>
      <c r="M6337" s="15" t="n">
        <v>0.5</v>
      </c>
      <c r="N6337" s="9" t="s">
        <v>85</v>
      </c>
    </row>
    <row r="6338" customFormat="false" ht="14.25" hidden="false" customHeight="true" outlineLevel="0" collapsed="false">
      <c r="B6338" s="9" t="s">
        <v>63</v>
      </c>
      <c r="C6338" s="9" t="n">
        <v>1185732</v>
      </c>
      <c r="D6338" s="10" t="n">
        <v>44209</v>
      </c>
      <c r="E6338" s="9" t="s">
        <v>50</v>
      </c>
      <c r="F6338" s="9" t="s">
        <v>96</v>
      </c>
      <c r="G6338" s="9" t="s">
        <v>97</v>
      </c>
      <c r="H6338" s="11" t="s">
        <v>25</v>
      </c>
      <c r="I6338" s="12" t="n">
        <v>32</v>
      </c>
      <c r="J6338" s="13" t="n">
        <v>173</v>
      </c>
      <c r="K6338" s="14" t="n">
        <f aca="false">I6338*J6338</f>
        <v>5536</v>
      </c>
      <c r="L6338" s="14" t="n">
        <f aca="false">($L$2*M6338)/100</f>
        <v>781083.225</v>
      </c>
      <c r="M6338" s="15" t="n">
        <v>0.65</v>
      </c>
      <c r="N6338" s="9" t="s">
        <v>85</v>
      </c>
    </row>
    <row r="6339" customFormat="false" ht="14.25" hidden="false" customHeight="true" outlineLevel="0" collapsed="false">
      <c r="B6339" s="9" t="s">
        <v>63</v>
      </c>
      <c r="C6339" s="9" t="n">
        <v>1185732</v>
      </c>
      <c r="D6339" s="10" t="n">
        <v>44238</v>
      </c>
      <c r="E6339" s="9" t="s">
        <v>50</v>
      </c>
      <c r="F6339" s="9" t="s">
        <v>96</v>
      </c>
      <c r="G6339" s="9" t="s">
        <v>97</v>
      </c>
      <c r="H6339" s="11" t="s">
        <v>19</v>
      </c>
      <c r="I6339" s="12" t="n">
        <v>32</v>
      </c>
      <c r="J6339" s="13" t="n">
        <v>231</v>
      </c>
      <c r="K6339" s="14" t="n">
        <f aca="false">I6339*J6339</f>
        <v>7392</v>
      </c>
      <c r="L6339" s="14" t="n">
        <f aca="false">($L$2*M6339)/100</f>
        <v>600833.25</v>
      </c>
      <c r="M6339" s="15" t="n">
        <v>0.5</v>
      </c>
      <c r="N6339" s="9" t="s">
        <v>85</v>
      </c>
    </row>
    <row r="6340" customFormat="false" ht="14.25" hidden="false" customHeight="true" outlineLevel="0" collapsed="false">
      <c r="B6340" s="9" t="s">
        <v>63</v>
      </c>
      <c r="C6340" s="9" t="n">
        <v>1185732</v>
      </c>
      <c r="D6340" s="10" t="n">
        <v>44238</v>
      </c>
      <c r="E6340" s="9" t="s">
        <v>50</v>
      </c>
      <c r="F6340" s="9" t="s">
        <v>96</v>
      </c>
      <c r="G6340" s="9" t="s">
        <v>97</v>
      </c>
      <c r="H6340" s="11" t="s">
        <v>21</v>
      </c>
      <c r="I6340" s="12" t="n">
        <v>33</v>
      </c>
      <c r="J6340" s="13" t="n">
        <v>143</v>
      </c>
      <c r="K6340" s="14" t="n">
        <f aca="false">I6340*J6340</f>
        <v>4719</v>
      </c>
      <c r="L6340" s="14" t="n">
        <f aca="false">($L$2*M6340)/100</f>
        <v>600833.25</v>
      </c>
      <c r="M6340" s="15" t="n">
        <v>0.5</v>
      </c>
      <c r="N6340" s="9" t="s">
        <v>85</v>
      </c>
    </row>
    <row r="6341" customFormat="false" ht="14.25" hidden="false" customHeight="true" outlineLevel="0" collapsed="false">
      <c r="B6341" s="9" t="s">
        <v>63</v>
      </c>
      <c r="C6341" s="9" t="n">
        <v>1185732</v>
      </c>
      <c r="D6341" s="10" t="n">
        <v>44238</v>
      </c>
      <c r="E6341" s="9" t="s">
        <v>50</v>
      </c>
      <c r="F6341" s="9" t="s">
        <v>96</v>
      </c>
      <c r="G6341" s="9" t="s">
        <v>97</v>
      </c>
      <c r="H6341" s="11" t="s">
        <v>22</v>
      </c>
      <c r="I6341" s="12" t="n">
        <v>23</v>
      </c>
      <c r="J6341" s="13" t="n">
        <v>158</v>
      </c>
      <c r="K6341" s="14" t="n">
        <f aca="false">I6341*J6341</f>
        <v>3634</v>
      </c>
      <c r="L6341" s="14" t="n">
        <f aca="false">($L$2*M6341)/100</f>
        <v>600833.25</v>
      </c>
      <c r="M6341" s="15" t="n">
        <v>0.5</v>
      </c>
      <c r="N6341" s="9" t="s">
        <v>85</v>
      </c>
    </row>
    <row r="6342" customFormat="false" ht="14.25" hidden="false" customHeight="true" outlineLevel="0" collapsed="false">
      <c r="B6342" s="9" t="s">
        <v>63</v>
      </c>
      <c r="C6342" s="9" t="n">
        <v>1185732</v>
      </c>
      <c r="D6342" s="10" t="n">
        <v>44238</v>
      </c>
      <c r="E6342" s="9" t="s">
        <v>38</v>
      </c>
      <c r="F6342" s="9" t="s">
        <v>98</v>
      </c>
      <c r="G6342" s="9" t="s">
        <v>99</v>
      </c>
      <c r="H6342" s="11" t="s">
        <v>23</v>
      </c>
      <c r="I6342" s="12" t="n">
        <v>29</v>
      </c>
      <c r="J6342" s="13" t="n">
        <v>101</v>
      </c>
      <c r="K6342" s="14" t="n">
        <f aca="false">I6342*J6342</f>
        <v>2929</v>
      </c>
      <c r="L6342" s="14" t="n">
        <f aca="false">($L$2*M6342)/100</f>
        <v>600833.25</v>
      </c>
      <c r="M6342" s="15" t="n">
        <v>0.5</v>
      </c>
      <c r="N6342" s="9" t="s">
        <v>85</v>
      </c>
    </row>
    <row r="6343" customFormat="false" ht="14.25" hidden="false" customHeight="true" outlineLevel="0" collapsed="false">
      <c r="B6343" s="9" t="s">
        <v>63</v>
      </c>
      <c r="C6343" s="9" t="n">
        <v>1185732</v>
      </c>
      <c r="D6343" s="10" t="n">
        <v>44238</v>
      </c>
      <c r="E6343" s="9" t="s">
        <v>38</v>
      </c>
      <c r="F6343" s="9" t="s">
        <v>98</v>
      </c>
      <c r="G6343" s="9" t="s">
        <v>99</v>
      </c>
      <c r="H6343" s="11" t="s">
        <v>24</v>
      </c>
      <c r="I6343" s="12" t="n">
        <v>41</v>
      </c>
      <c r="J6343" s="13" t="n">
        <v>122</v>
      </c>
      <c r="K6343" s="14" t="n">
        <f aca="false">I6343*J6343</f>
        <v>5002</v>
      </c>
      <c r="L6343" s="14" t="n">
        <f aca="false">($L$2*M6343)/100</f>
        <v>552766.59</v>
      </c>
      <c r="M6343" s="15" t="n">
        <v>0.46</v>
      </c>
      <c r="N6343" s="9" t="s">
        <v>85</v>
      </c>
    </row>
    <row r="6344" customFormat="false" ht="14.25" hidden="false" customHeight="true" outlineLevel="0" collapsed="false">
      <c r="B6344" s="9" t="s">
        <v>63</v>
      </c>
      <c r="C6344" s="9" t="n">
        <v>1185732</v>
      </c>
      <c r="D6344" s="10" t="n">
        <v>44238</v>
      </c>
      <c r="E6344" s="9" t="s">
        <v>38</v>
      </c>
      <c r="F6344" s="9" t="s">
        <v>98</v>
      </c>
      <c r="G6344" s="9" t="s">
        <v>99</v>
      </c>
      <c r="H6344" s="11" t="s">
        <v>25</v>
      </c>
      <c r="I6344" s="12" t="n">
        <v>29</v>
      </c>
      <c r="J6344" s="13" t="n">
        <v>143</v>
      </c>
      <c r="K6344" s="14" t="n">
        <f aca="false">I6344*J6344</f>
        <v>4147</v>
      </c>
      <c r="L6344" s="14" t="n">
        <f aca="false">($L$2*M6344)/100</f>
        <v>733016.565</v>
      </c>
      <c r="M6344" s="15" t="n">
        <v>0.61</v>
      </c>
      <c r="N6344" s="9" t="s">
        <v>85</v>
      </c>
    </row>
    <row r="6345" customFormat="false" ht="14.25" hidden="false" customHeight="true" outlineLevel="0" collapsed="false">
      <c r="B6345" s="9" t="s">
        <v>63</v>
      </c>
      <c r="C6345" s="9" t="n">
        <v>1185732</v>
      </c>
      <c r="D6345" s="10" t="n">
        <v>44264</v>
      </c>
      <c r="E6345" s="9" t="s">
        <v>38</v>
      </c>
      <c r="F6345" s="9" t="s">
        <v>98</v>
      </c>
      <c r="G6345" s="9" t="s">
        <v>99</v>
      </c>
      <c r="H6345" s="11" t="s">
        <v>19</v>
      </c>
      <c r="I6345" s="12" t="n">
        <v>27</v>
      </c>
      <c r="J6345" s="13" t="n">
        <v>231</v>
      </c>
      <c r="K6345" s="14" t="n">
        <f aca="false">I6345*J6345</f>
        <v>6237</v>
      </c>
      <c r="L6345" s="14" t="n">
        <f aca="false">($L$2*M6345)/100</f>
        <v>624866.58</v>
      </c>
      <c r="M6345" s="15" t="n">
        <v>0.52</v>
      </c>
      <c r="N6345" s="9" t="s">
        <v>85</v>
      </c>
    </row>
    <row r="6346" customFormat="false" ht="14.25" hidden="false" customHeight="true" outlineLevel="0" collapsed="false">
      <c r="B6346" s="9" t="s">
        <v>63</v>
      </c>
      <c r="C6346" s="9" t="n">
        <v>1185732</v>
      </c>
      <c r="D6346" s="10" t="n">
        <v>44264</v>
      </c>
      <c r="E6346" s="9" t="s">
        <v>38</v>
      </c>
      <c r="F6346" s="9" t="s">
        <v>98</v>
      </c>
      <c r="G6346" s="9" t="s">
        <v>99</v>
      </c>
      <c r="H6346" s="11" t="s">
        <v>21</v>
      </c>
      <c r="I6346" s="12" t="n">
        <v>27</v>
      </c>
      <c r="J6346" s="13" t="n">
        <v>126</v>
      </c>
      <c r="K6346" s="14" t="n">
        <f aca="false">I6346*J6346</f>
        <v>3402</v>
      </c>
      <c r="L6346" s="14" t="n">
        <f aca="false">($L$2*M6346)/100</f>
        <v>540749.925</v>
      </c>
      <c r="M6346" s="15" t="n">
        <v>0.45</v>
      </c>
      <c r="N6346" s="9" t="s">
        <v>85</v>
      </c>
    </row>
    <row r="6347" customFormat="false" ht="14.25" hidden="false" customHeight="true" outlineLevel="0" collapsed="false">
      <c r="B6347" s="9" t="s">
        <v>63</v>
      </c>
      <c r="C6347" s="9" t="n">
        <v>1185732</v>
      </c>
      <c r="D6347" s="10" t="n">
        <v>44264</v>
      </c>
      <c r="E6347" s="9" t="s">
        <v>38</v>
      </c>
      <c r="F6347" s="9" t="s">
        <v>98</v>
      </c>
      <c r="G6347" s="9" t="s">
        <v>99</v>
      </c>
      <c r="H6347" s="11" t="s">
        <v>22</v>
      </c>
      <c r="I6347" s="12" t="n">
        <v>20</v>
      </c>
      <c r="J6347" s="13" t="n">
        <v>124</v>
      </c>
      <c r="K6347" s="14" t="n">
        <f aca="false">I6347*J6347</f>
        <v>2480</v>
      </c>
      <c r="L6347" s="14" t="n">
        <f aca="false">($L$2*M6347)/100</f>
        <v>636883.245</v>
      </c>
      <c r="M6347" s="15" t="n">
        <v>0.53</v>
      </c>
      <c r="N6347" s="9" t="s">
        <v>85</v>
      </c>
    </row>
    <row r="6348" customFormat="false" ht="14.25" hidden="false" customHeight="true" outlineLevel="0" collapsed="false">
      <c r="B6348" s="9" t="s">
        <v>63</v>
      </c>
      <c r="C6348" s="9" t="n">
        <v>1185732</v>
      </c>
      <c r="D6348" s="10" t="n">
        <v>44264</v>
      </c>
      <c r="E6348" s="9" t="s">
        <v>38</v>
      </c>
      <c r="F6348" s="9" t="s">
        <v>98</v>
      </c>
      <c r="G6348" s="9" t="s">
        <v>99</v>
      </c>
      <c r="H6348" s="11" t="s">
        <v>23</v>
      </c>
      <c r="I6348" s="12" t="n">
        <v>24</v>
      </c>
      <c r="J6348" s="13" t="n">
        <v>98</v>
      </c>
      <c r="K6348" s="14" t="n">
        <f aca="false">I6348*J6348</f>
        <v>2352</v>
      </c>
      <c r="L6348" s="14" t="n">
        <f aca="false">($L$2*M6348)/100</f>
        <v>624866.58</v>
      </c>
      <c r="M6348" s="15" t="n">
        <v>0.52</v>
      </c>
      <c r="N6348" s="9" t="s">
        <v>85</v>
      </c>
    </row>
    <row r="6349" customFormat="false" ht="14.25" hidden="false" customHeight="true" outlineLevel="0" collapsed="false">
      <c r="B6349" s="9" t="s">
        <v>63</v>
      </c>
      <c r="C6349" s="9" t="n">
        <v>1185732</v>
      </c>
      <c r="D6349" s="10" t="n">
        <v>44264</v>
      </c>
      <c r="E6349" s="9" t="s">
        <v>38</v>
      </c>
      <c r="F6349" s="9" t="s">
        <v>98</v>
      </c>
      <c r="G6349" s="9" t="s">
        <v>99</v>
      </c>
      <c r="H6349" s="11" t="s">
        <v>24</v>
      </c>
      <c r="I6349" s="12" t="n">
        <v>37</v>
      </c>
      <c r="J6349" s="13" t="n">
        <v>113</v>
      </c>
      <c r="K6349" s="14" t="n">
        <f aca="false">I6349*J6349</f>
        <v>4181</v>
      </c>
      <c r="L6349" s="14" t="n">
        <f aca="false">($L$2*M6349)/100</f>
        <v>588816.585</v>
      </c>
      <c r="M6349" s="15" t="n">
        <v>0.49</v>
      </c>
      <c r="N6349" s="9" t="s">
        <v>85</v>
      </c>
    </row>
    <row r="6350" customFormat="false" ht="14.25" hidden="false" customHeight="true" outlineLevel="0" collapsed="false">
      <c r="B6350" s="9" t="s">
        <v>63</v>
      </c>
      <c r="C6350" s="9" t="n">
        <v>1185732</v>
      </c>
      <c r="D6350" s="10" t="n">
        <v>44264</v>
      </c>
      <c r="E6350" s="9" t="s">
        <v>38</v>
      </c>
      <c r="F6350" s="9" t="s">
        <v>98</v>
      </c>
      <c r="G6350" s="9" t="s">
        <v>99</v>
      </c>
      <c r="H6350" s="11" t="s">
        <v>25</v>
      </c>
      <c r="I6350" s="12" t="n">
        <v>28</v>
      </c>
      <c r="J6350" s="13" t="n">
        <v>128</v>
      </c>
      <c r="K6350" s="14" t="n">
        <f aca="false">I6350*J6350</f>
        <v>3584</v>
      </c>
      <c r="L6350" s="14" t="n">
        <f aca="false">($L$2*M6350)/100</f>
        <v>733016.565</v>
      </c>
      <c r="M6350" s="15" t="n">
        <v>0.61</v>
      </c>
      <c r="N6350" s="9" t="s">
        <v>85</v>
      </c>
    </row>
    <row r="6351" customFormat="false" ht="14.25" hidden="false" customHeight="true" outlineLevel="0" collapsed="false">
      <c r="B6351" s="9" t="s">
        <v>63</v>
      </c>
      <c r="C6351" s="9" t="n">
        <v>1185732</v>
      </c>
      <c r="D6351" s="10" t="n">
        <v>44296</v>
      </c>
      <c r="E6351" s="9" t="s">
        <v>38</v>
      </c>
      <c r="F6351" s="9" t="s">
        <v>98</v>
      </c>
      <c r="G6351" s="9" t="s">
        <v>99</v>
      </c>
      <c r="H6351" s="11" t="s">
        <v>19</v>
      </c>
      <c r="I6351" s="12" t="n">
        <v>28</v>
      </c>
      <c r="J6351" s="13" t="n">
        <v>218</v>
      </c>
      <c r="K6351" s="14" t="n">
        <f aca="false">I6351*J6351</f>
        <v>6104</v>
      </c>
      <c r="L6351" s="14" t="n">
        <f aca="false">($L$2*M6351)/100</f>
        <v>660916.575</v>
      </c>
      <c r="M6351" s="15" t="n">
        <v>0.55</v>
      </c>
      <c r="N6351" s="9" t="s">
        <v>85</v>
      </c>
    </row>
    <row r="6352" customFormat="false" ht="14.25" hidden="false" customHeight="true" outlineLevel="0" collapsed="false">
      <c r="B6352" s="9" t="s">
        <v>63</v>
      </c>
      <c r="C6352" s="9" t="n">
        <v>1185732</v>
      </c>
      <c r="D6352" s="10" t="n">
        <v>44296</v>
      </c>
      <c r="E6352" s="9" t="s">
        <v>38</v>
      </c>
      <c r="F6352" s="9" t="s">
        <v>98</v>
      </c>
      <c r="G6352" s="9" t="s">
        <v>99</v>
      </c>
      <c r="H6352" s="11" t="s">
        <v>21</v>
      </c>
      <c r="I6352" s="12" t="n">
        <v>28</v>
      </c>
      <c r="J6352" s="13" t="n">
        <v>111</v>
      </c>
      <c r="K6352" s="14" t="n">
        <f aca="false">I6352*J6352</f>
        <v>3108</v>
      </c>
      <c r="L6352" s="14" t="n">
        <f aca="false">($L$2*M6352)/100</f>
        <v>588816.585</v>
      </c>
      <c r="M6352" s="15" t="n">
        <v>0.49</v>
      </c>
      <c r="N6352" s="9" t="s">
        <v>85</v>
      </c>
    </row>
    <row r="6353" customFormat="false" ht="14.25" hidden="false" customHeight="true" outlineLevel="0" collapsed="false">
      <c r="B6353" s="9" t="s">
        <v>63</v>
      </c>
      <c r="C6353" s="9" t="n">
        <v>1185732</v>
      </c>
      <c r="D6353" s="10" t="n">
        <v>44296</v>
      </c>
      <c r="E6353" s="9" t="s">
        <v>38</v>
      </c>
      <c r="F6353" s="9" t="s">
        <v>98</v>
      </c>
      <c r="G6353" s="9" t="s">
        <v>99</v>
      </c>
      <c r="H6353" s="11" t="s">
        <v>22</v>
      </c>
      <c r="I6353" s="12" t="n">
        <v>19</v>
      </c>
      <c r="J6353" s="13" t="n">
        <v>106</v>
      </c>
      <c r="K6353" s="14" t="n">
        <f aca="false">I6353*J6353</f>
        <v>2014</v>
      </c>
      <c r="L6353" s="14" t="n">
        <f aca="false">($L$2*M6353)/100</f>
        <v>636883.245</v>
      </c>
      <c r="M6353" s="15" t="n">
        <v>0.53</v>
      </c>
      <c r="N6353" s="9" t="s">
        <v>85</v>
      </c>
    </row>
    <row r="6354" customFormat="false" ht="14.25" hidden="false" customHeight="true" outlineLevel="0" collapsed="false">
      <c r="B6354" s="9" t="s">
        <v>63</v>
      </c>
      <c r="C6354" s="9" t="n">
        <v>1185732</v>
      </c>
      <c r="D6354" s="10" t="n">
        <v>44296</v>
      </c>
      <c r="E6354" s="9" t="s">
        <v>38</v>
      </c>
      <c r="F6354" s="9" t="s">
        <v>98</v>
      </c>
      <c r="G6354" s="9" t="s">
        <v>99</v>
      </c>
      <c r="H6354" s="11" t="s">
        <v>23</v>
      </c>
      <c r="I6354" s="12" t="n">
        <v>24</v>
      </c>
      <c r="J6354" s="13" t="n">
        <v>102</v>
      </c>
      <c r="K6354" s="14" t="n">
        <f aca="false">I6354*J6354</f>
        <v>2448</v>
      </c>
      <c r="L6354" s="14" t="n">
        <f aca="false">($L$2*M6354)/100</f>
        <v>600833.25</v>
      </c>
      <c r="M6354" s="15" t="n">
        <v>0.5</v>
      </c>
      <c r="N6354" s="9" t="s">
        <v>85</v>
      </c>
    </row>
    <row r="6355" customFormat="false" ht="14.25" hidden="false" customHeight="true" outlineLevel="0" collapsed="false">
      <c r="B6355" s="9" t="s">
        <v>63</v>
      </c>
      <c r="C6355" s="9" t="n">
        <v>1185732</v>
      </c>
      <c r="D6355" s="10" t="n">
        <v>44296</v>
      </c>
      <c r="E6355" s="9" t="s">
        <v>38</v>
      </c>
      <c r="F6355" s="9" t="s">
        <v>98</v>
      </c>
      <c r="G6355" s="9" t="s">
        <v>99</v>
      </c>
      <c r="H6355" s="11" t="s">
        <v>24</v>
      </c>
      <c r="I6355" s="12" t="n">
        <v>42</v>
      </c>
      <c r="J6355" s="13" t="n">
        <v>101</v>
      </c>
      <c r="K6355" s="14" t="n">
        <f aca="false">I6355*J6355</f>
        <v>4242</v>
      </c>
      <c r="L6355" s="14" t="n">
        <f aca="false">($L$2*M6355)/100</f>
        <v>564783.255</v>
      </c>
      <c r="M6355" s="15" t="n">
        <v>0.47</v>
      </c>
      <c r="N6355" s="9" t="s">
        <v>85</v>
      </c>
    </row>
    <row r="6356" customFormat="false" ht="14.25" hidden="false" customHeight="true" outlineLevel="0" collapsed="false">
      <c r="B6356" s="9" t="s">
        <v>63</v>
      </c>
      <c r="C6356" s="9" t="n">
        <v>1185732</v>
      </c>
      <c r="D6356" s="10" t="n">
        <v>44296</v>
      </c>
      <c r="E6356" s="9" t="s">
        <v>38</v>
      </c>
      <c r="F6356" s="9" t="s">
        <v>98</v>
      </c>
      <c r="G6356" s="9" t="s">
        <v>99</v>
      </c>
      <c r="H6356" s="11" t="s">
        <v>25</v>
      </c>
      <c r="I6356" s="12" t="n">
        <v>34</v>
      </c>
      <c r="J6356" s="13" t="n">
        <v>137</v>
      </c>
      <c r="K6356" s="14" t="n">
        <f aca="false">I6356*J6356</f>
        <v>4658</v>
      </c>
      <c r="L6356" s="14" t="n">
        <f aca="false">($L$2*M6356)/100</f>
        <v>781083.225</v>
      </c>
      <c r="M6356" s="15" t="n">
        <v>0.65</v>
      </c>
      <c r="N6356" s="9" t="s">
        <v>85</v>
      </c>
    </row>
    <row r="6357" customFormat="false" ht="14.25" hidden="false" customHeight="true" outlineLevel="0" collapsed="false">
      <c r="B6357" s="9" t="s">
        <v>63</v>
      </c>
      <c r="C6357" s="9" t="n">
        <v>1185732</v>
      </c>
      <c r="D6357" s="10" t="n">
        <v>44325</v>
      </c>
      <c r="E6357" s="9" t="s">
        <v>38</v>
      </c>
      <c r="F6357" s="9" t="s">
        <v>98</v>
      </c>
      <c r="G6357" s="9" t="s">
        <v>99</v>
      </c>
      <c r="H6357" s="11" t="s">
        <v>19</v>
      </c>
      <c r="I6357" s="12" t="n">
        <v>42</v>
      </c>
      <c r="J6357" s="13" t="n">
        <v>207</v>
      </c>
      <c r="K6357" s="14" t="n">
        <f aca="false">I6357*J6357</f>
        <v>8694</v>
      </c>
      <c r="L6357" s="14" t="n">
        <f aca="false">($L$2*M6357)/100</f>
        <v>600833.25</v>
      </c>
      <c r="M6357" s="15" t="n">
        <v>0.5</v>
      </c>
      <c r="N6357" s="9" t="s">
        <v>85</v>
      </c>
    </row>
    <row r="6358" customFormat="false" ht="14.25" hidden="false" customHeight="true" outlineLevel="0" collapsed="false">
      <c r="B6358" s="9" t="s">
        <v>63</v>
      </c>
      <c r="C6358" s="9" t="n">
        <v>1185732</v>
      </c>
      <c r="D6358" s="10" t="n">
        <v>44325</v>
      </c>
      <c r="E6358" s="9" t="s">
        <v>38</v>
      </c>
      <c r="F6358" s="9" t="s">
        <v>98</v>
      </c>
      <c r="G6358" s="9" t="s">
        <v>99</v>
      </c>
      <c r="H6358" s="11" t="s">
        <v>21</v>
      </c>
      <c r="I6358" s="12" t="n">
        <v>44</v>
      </c>
      <c r="J6358" s="13" t="n">
        <v>135</v>
      </c>
      <c r="K6358" s="14" t="n">
        <f aca="false">I6358*J6358</f>
        <v>5940</v>
      </c>
      <c r="L6358" s="14" t="n">
        <f aca="false">($L$2*M6358)/100</f>
        <v>588816.585</v>
      </c>
      <c r="M6358" s="15" t="n">
        <v>0.49</v>
      </c>
      <c r="N6358" s="9" t="s">
        <v>85</v>
      </c>
    </row>
    <row r="6359" customFormat="false" ht="14.25" hidden="false" customHeight="true" outlineLevel="0" collapsed="false">
      <c r="B6359" s="9" t="s">
        <v>63</v>
      </c>
      <c r="C6359" s="9" t="n">
        <v>1185732</v>
      </c>
      <c r="D6359" s="10" t="n">
        <v>44325</v>
      </c>
      <c r="E6359" s="9" t="s">
        <v>38</v>
      </c>
      <c r="F6359" s="9" t="s">
        <v>98</v>
      </c>
      <c r="G6359" s="9" t="s">
        <v>99</v>
      </c>
      <c r="H6359" s="11" t="s">
        <v>22</v>
      </c>
      <c r="I6359" s="12" t="n">
        <v>39</v>
      </c>
      <c r="J6359" s="13" t="n">
        <v>143</v>
      </c>
      <c r="K6359" s="14" t="n">
        <f aca="false">I6359*J6359</f>
        <v>5577</v>
      </c>
      <c r="L6359" s="14" t="n">
        <f aca="false">($L$2*M6359)/100</f>
        <v>612849.915</v>
      </c>
      <c r="M6359" s="15" t="n">
        <v>0.51</v>
      </c>
      <c r="N6359" s="9" t="s">
        <v>85</v>
      </c>
    </row>
    <row r="6360" customFormat="false" ht="14.25" hidden="false" customHeight="true" outlineLevel="0" collapsed="false">
      <c r="B6360" s="9" t="s">
        <v>63</v>
      </c>
      <c r="C6360" s="9" t="n">
        <v>1185732</v>
      </c>
      <c r="D6360" s="10" t="n">
        <v>44325</v>
      </c>
      <c r="E6360" s="9" t="s">
        <v>38</v>
      </c>
      <c r="F6360" s="9" t="s">
        <v>98</v>
      </c>
      <c r="G6360" s="9" t="s">
        <v>99</v>
      </c>
      <c r="H6360" s="11" t="s">
        <v>23</v>
      </c>
      <c r="I6360" s="12" t="n">
        <v>38</v>
      </c>
      <c r="J6360" s="13" t="n">
        <v>123</v>
      </c>
      <c r="K6360" s="14" t="n">
        <f aca="false">I6360*J6360</f>
        <v>4674</v>
      </c>
      <c r="L6360" s="14" t="n">
        <f aca="false">($L$2*M6360)/100</f>
        <v>660916.575</v>
      </c>
      <c r="M6360" s="15" t="n">
        <v>0.55</v>
      </c>
      <c r="N6360" s="9" t="s">
        <v>85</v>
      </c>
    </row>
    <row r="6361" customFormat="false" ht="14.25" hidden="false" customHeight="true" outlineLevel="0" collapsed="false">
      <c r="B6361" s="9" t="s">
        <v>63</v>
      </c>
      <c r="C6361" s="9" t="n">
        <v>1185732</v>
      </c>
      <c r="D6361" s="10" t="n">
        <v>44325</v>
      </c>
      <c r="E6361" s="9" t="s">
        <v>38</v>
      </c>
      <c r="F6361" s="9" t="s">
        <v>98</v>
      </c>
      <c r="G6361" s="9" t="s">
        <v>99</v>
      </c>
      <c r="H6361" s="11" t="s">
        <v>24</v>
      </c>
      <c r="I6361" s="12" t="n">
        <v>49</v>
      </c>
      <c r="J6361" s="13" t="n">
        <v>126</v>
      </c>
      <c r="K6361" s="14" t="n">
        <f aca="false">I6361*J6361</f>
        <v>6174</v>
      </c>
      <c r="L6361" s="14" t="n">
        <f aca="false">($L$2*M6361)/100</f>
        <v>552766.59</v>
      </c>
      <c r="M6361" s="15" t="n">
        <v>0.46</v>
      </c>
      <c r="N6361" s="9" t="s">
        <v>85</v>
      </c>
    </row>
    <row r="6362" customFormat="false" ht="14.25" hidden="false" customHeight="true" outlineLevel="0" collapsed="false">
      <c r="B6362" s="9" t="s">
        <v>63</v>
      </c>
      <c r="C6362" s="9" t="n">
        <v>1185732</v>
      </c>
      <c r="D6362" s="10" t="n">
        <v>44325</v>
      </c>
      <c r="E6362" s="9" t="s">
        <v>38</v>
      </c>
      <c r="F6362" s="9" t="s">
        <v>98</v>
      </c>
      <c r="G6362" s="9" t="s">
        <v>99</v>
      </c>
      <c r="H6362" s="11" t="s">
        <v>25</v>
      </c>
      <c r="I6362" s="12" t="n">
        <v>53</v>
      </c>
      <c r="J6362" s="13" t="n">
        <v>143</v>
      </c>
      <c r="K6362" s="14" t="n">
        <f aca="false">I6362*J6362</f>
        <v>7579</v>
      </c>
      <c r="L6362" s="14" t="n">
        <f aca="false">($L$2*M6362)/100</f>
        <v>769066.56</v>
      </c>
      <c r="M6362" s="15" t="n">
        <v>0.64</v>
      </c>
      <c r="N6362" s="9" t="s">
        <v>85</v>
      </c>
    </row>
    <row r="6363" customFormat="false" ht="14.25" hidden="false" customHeight="true" outlineLevel="0" collapsed="false">
      <c r="B6363" s="9" t="s">
        <v>63</v>
      </c>
      <c r="C6363" s="9" t="n">
        <v>1185732</v>
      </c>
      <c r="D6363" s="10" t="n">
        <v>44358</v>
      </c>
      <c r="E6363" s="9" t="s">
        <v>38</v>
      </c>
      <c r="F6363" s="9" t="s">
        <v>98</v>
      </c>
      <c r="G6363" s="9" t="s">
        <v>99</v>
      </c>
      <c r="H6363" s="11" t="s">
        <v>19</v>
      </c>
      <c r="I6363" s="12" t="n">
        <v>49</v>
      </c>
      <c r="J6363" s="13" t="n">
        <v>232</v>
      </c>
      <c r="K6363" s="14" t="n">
        <f aca="false">I6363*J6363</f>
        <v>11368</v>
      </c>
      <c r="L6363" s="14" t="n">
        <f aca="false">($L$2*M6363)/100</f>
        <v>636883.245</v>
      </c>
      <c r="M6363" s="15" t="n">
        <v>0.53</v>
      </c>
      <c r="N6363" s="9" t="s">
        <v>85</v>
      </c>
    </row>
    <row r="6364" customFormat="false" ht="14.25" hidden="false" customHeight="true" outlineLevel="0" collapsed="false">
      <c r="B6364" s="9" t="s">
        <v>63</v>
      </c>
      <c r="C6364" s="9" t="n">
        <v>1185732</v>
      </c>
      <c r="D6364" s="10" t="n">
        <v>44358</v>
      </c>
      <c r="E6364" s="9" t="s">
        <v>38</v>
      </c>
      <c r="F6364" s="9" t="s">
        <v>98</v>
      </c>
      <c r="G6364" s="9" t="s">
        <v>99</v>
      </c>
      <c r="H6364" s="11" t="s">
        <v>21</v>
      </c>
      <c r="I6364" s="12" t="n">
        <v>41</v>
      </c>
      <c r="J6364" s="13" t="n">
        <v>138</v>
      </c>
      <c r="K6364" s="14" t="n">
        <f aca="false">I6364*J6364</f>
        <v>5658</v>
      </c>
      <c r="L6364" s="14" t="n">
        <f aca="false">($L$2*M6364)/100</f>
        <v>552766.59</v>
      </c>
      <c r="M6364" s="15" t="n">
        <v>0.46</v>
      </c>
      <c r="N6364" s="9" t="s">
        <v>85</v>
      </c>
    </row>
    <row r="6365" customFormat="false" ht="14.25" hidden="false" customHeight="true" outlineLevel="0" collapsed="false">
      <c r="B6365" s="9" t="s">
        <v>63</v>
      </c>
      <c r="C6365" s="9" t="n">
        <v>1185732</v>
      </c>
      <c r="D6365" s="10" t="n">
        <v>44358</v>
      </c>
      <c r="E6365" s="9" t="s">
        <v>38</v>
      </c>
      <c r="F6365" s="9" t="s">
        <v>98</v>
      </c>
      <c r="G6365" s="9" t="s">
        <v>99</v>
      </c>
      <c r="H6365" s="11" t="s">
        <v>22</v>
      </c>
      <c r="I6365" s="12" t="n">
        <v>49</v>
      </c>
      <c r="J6365" s="13" t="n">
        <v>142</v>
      </c>
      <c r="K6365" s="14" t="n">
        <f aca="false">I6365*J6365</f>
        <v>6958</v>
      </c>
      <c r="L6365" s="14" t="n">
        <f aca="false">($L$2*M6365)/100</f>
        <v>648899.91</v>
      </c>
      <c r="M6365" s="15" t="n">
        <v>0.54</v>
      </c>
      <c r="N6365" s="9" t="s">
        <v>85</v>
      </c>
    </row>
    <row r="6366" customFormat="false" ht="14.25" hidden="false" customHeight="true" outlineLevel="0" collapsed="false">
      <c r="B6366" s="9" t="s">
        <v>63</v>
      </c>
      <c r="C6366" s="9" t="n">
        <v>1185732</v>
      </c>
      <c r="D6366" s="10" t="n">
        <v>44358</v>
      </c>
      <c r="E6366" s="9" t="s">
        <v>38</v>
      </c>
      <c r="F6366" s="9" t="s">
        <v>98</v>
      </c>
      <c r="G6366" s="9" t="s">
        <v>99</v>
      </c>
      <c r="H6366" s="11" t="s">
        <v>23</v>
      </c>
      <c r="I6366" s="12" t="n">
        <v>49</v>
      </c>
      <c r="J6366" s="13" t="n">
        <v>140</v>
      </c>
      <c r="K6366" s="14" t="n">
        <f aca="false">I6366*J6366</f>
        <v>6860</v>
      </c>
      <c r="L6366" s="14" t="n">
        <f aca="false">($L$2*M6366)/100</f>
        <v>612849.915</v>
      </c>
      <c r="M6366" s="15" t="n">
        <v>0.51</v>
      </c>
      <c r="N6366" s="9" t="s">
        <v>85</v>
      </c>
    </row>
    <row r="6367" customFormat="false" ht="14.25" hidden="false" customHeight="true" outlineLevel="0" collapsed="false">
      <c r="B6367" s="9" t="s">
        <v>63</v>
      </c>
      <c r="C6367" s="9" t="n">
        <v>1185732</v>
      </c>
      <c r="D6367" s="10" t="n">
        <v>44358</v>
      </c>
      <c r="E6367" s="9" t="s">
        <v>38</v>
      </c>
      <c r="F6367" s="9" t="s">
        <v>98</v>
      </c>
      <c r="G6367" s="9" t="s">
        <v>99</v>
      </c>
      <c r="H6367" s="11" t="s">
        <v>24</v>
      </c>
      <c r="I6367" s="12" t="n">
        <v>62</v>
      </c>
      <c r="J6367" s="13" t="n">
        <v>150</v>
      </c>
      <c r="K6367" s="14" t="n">
        <f aca="false">I6367*J6367</f>
        <v>9300</v>
      </c>
      <c r="L6367" s="14" t="n">
        <f aca="false">($L$2*M6367)/100</f>
        <v>564783.255</v>
      </c>
      <c r="M6367" s="15" t="n">
        <v>0.47</v>
      </c>
      <c r="N6367" s="9" t="s">
        <v>85</v>
      </c>
    </row>
    <row r="6368" customFormat="false" ht="14.25" hidden="false" customHeight="true" outlineLevel="0" collapsed="false">
      <c r="B6368" s="9" t="s">
        <v>63</v>
      </c>
      <c r="C6368" s="9" t="n">
        <v>1185732</v>
      </c>
      <c r="D6368" s="10" t="n">
        <v>44358</v>
      </c>
      <c r="E6368" s="9" t="s">
        <v>38</v>
      </c>
      <c r="F6368" s="9" t="s">
        <v>98</v>
      </c>
      <c r="G6368" s="9" t="s">
        <v>99</v>
      </c>
      <c r="H6368" s="11" t="s">
        <v>25</v>
      </c>
      <c r="I6368" s="12" t="n">
        <v>64</v>
      </c>
      <c r="J6368" s="13" t="n">
        <v>196</v>
      </c>
      <c r="K6368" s="14" t="n">
        <f aca="false">I6368*J6368</f>
        <v>12544</v>
      </c>
      <c r="L6368" s="14" t="n">
        <f aca="false">($L$2*M6368)/100</f>
        <v>745033.23</v>
      </c>
      <c r="M6368" s="15" t="n">
        <v>0.62</v>
      </c>
      <c r="N6368" s="9" t="s">
        <v>85</v>
      </c>
    </row>
    <row r="6369" customFormat="false" ht="14.25" hidden="false" customHeight="true" outlineLevel="0" collapsed="false">
      <c r="B6369" s="9" t="s">
        <v>63</v>
      </c>
      <c r="C6369" s="9" t="n">
        <v>1185732</v>
      </c>
      <c r="D6369" s="10" t="n">
        <v>44386</v>
      </c>
      <c r="E6369" s="9" t="s">
        <v>38</v>
      </c>
      <c r="F6369" s="9" t="s">
        <v>98</v>
      </c>
      <c r="G6369" s="9" t="s">
        <v>99</v>
      </c>
      <c r="H6369" s="11" t="s">
        <v>19</v>
      </c>
      <c r="I6369" s="12" t="n">
        <v>63</v>
      </c>
      <c r="J6369" s="13" t="n">
        <v>252</v>
      </c>
      <c r="K6369" s="14" t="n">
        <f aca="false">I6369*J6369</f>
        <v>15876</v>
      </c>
      <c r="L6369" s="14" t="n">
        <f aca="false">($L$2*M6369)/100</f>
        <v>624866.58</v>
      </c>
      <c r="M6369" s="15" t="n">
        <v>0.52</v>
      </c>
      <c r="N6369" s="9" t="s">
        <v>85</v>
      </c>
    </row>
    <row r="6370" customFormat="false" ht="14.25" hidden="false" customHeight="true" outlineLevel="0" collapsed="false">
      <c r="B6370" s="9" t="s">
        <v>63</v>
      </c>
      <c r="C6370" s="9" t="n">
        <v>1185732</v>
      </c>
      <c r="D6370" s="10" t="n">
        <v>44386</v>
      </c>
      <c r="E6370" s="9" t="s">
        <v>38</v>
      </c>
      <c r="F6370" s="9" t="s">
        <v>98</v>
      </c>
      <c r="G6370" s="9" t="s">
        <v>99</v>
      </c>
      <c r="H6370" s="11" t="s">
        <v>21</v>
      </c>
      <c r="I6370" s="12" t="n">
        <v>56</v>
      </c>
      <c r="J6370" s="13" t="n">
        <v>195</v>
      </c>
      <c r="K6370" s="14" t="n">
        <f aca="false">I6370*J6370</f>
        <v>10920</v>
      </c>
      <c r="L6370" s="14" t="n">
        <f aca="false">($L$2*M6370)/100</f>
        <v>564783.255</v>
      </c>
      <c r="M6370" s="15" t="n">
        <v>0.47</v>
      </c>
      <c r="N6370" s="9" t="s">
        <v>85</v>
      </c>
    </row>
    <row r="6371" customFormat="false" ht="14.25" hidden="false" customHeight="true" outlineLevel="0" collapsed="false">
      <c r="B6371" s="9" t="s">
        <v>63</v>
      </c>
      <c r="C6371" s="9" t="n">
        <v>1185732</v>
      </c>
      <c r="D6371" s="10" t="n">
        <v>44386</v>
      </c>
      <c r="E6371" s="9" t="s">
        <v>38</v>
      </c>
      <c r="F6371" s="9" t="s">
        <v>98</v>
      </c>
      <c r="G6371" s="9" t="s">
        <v>99</v>
      </c>
      <c r="H6371" s="11" t="s">
        <v>22</v>
      </c>
      <c r="I6371" s="12" t="n">
        <v>51</v>
      </c>
      <c r="J6371" s="13" t="n">
        <v>173</v>
      </c>
      <c r="K6371" s="14" t="n">
        <f aca="false">I6371*J6371</f>
        <v>8823</v>
      </c>
      <c r="L6371" s="14" t="n">
        <f aca="false">($L$2*M6371)/100</f>
        <v>612849.915</v>
      </c>
      <c r="M6371" s="15" t="n">
        <v>0.51</v>
      </c>
      <c r="N6371" s="9" t="s">
        <v>85</v>
      </c>
    </row>
    <row r="6372" customFormat="false" ht="14.25" hidden="false" customHeight="true" outlineLevel="0" collapsed="false">
      <c r="B6372" s="9" t="s">
        <v>63</v>
      </c>
      <c r="C6372" s="9" t="n">
        <v>1185732</v>
      </c>
      <c r="D6372" s="10" t="n">
        <v>44386</v>
      </c>
      <c r="E6372" s="9" t="s">
        <v>38</v>
      </c>
      <c r="F6372" s="9" t="s">
        <v>98</v>
      </c>
      <c r="G6372" s="9" t="s">
        <v>99</v>
      </c>
      <c r="H6372" s="11" t="s">
        <v>23</v>
      </c>
      <c r="I6372" s="12" t="n">
        <v>53</v>
      </c>
      <c r="J6372" s="13" t="n">
        <v>152</v>
      </c>
      <c r="K6372" s="14" t="n">
        <f aca="false">I6372*J6372</f>
        <v>8056</v>
      </c>
      <c r="L6372" s="14" t="n">
        <f aca="false">($L$2*M6372)/100</f>
        <v>648899.91</v>
      </c>
      <c r="M6372" s="15" t="n">
        <v>0.54</v>
      </c>
      <c r="N6372" s="9" t="s">
        <v>85</v>
      </c>
    </row>
    <row r="6373" customFormat="false" ht="14.25" hidden="false" customHeight="true" outlineLevel="0" collapsed="false">
      <c r="B6373" s="9" t="s">
        <v>63</v>
      </c>
      <c r="C6373" s="9" t="n">
        <v>1185732</v>
      </c>
      <c r="D6373" s="10" t="n">
        <v>44386</v>
      </c>
      <c r="E6373" s="9" t="s">
        <v>38</v>
      </c>
      <c r="F6373" s="9" t="s">
        <v>98</v>
      </c>
      <c r="G6373" s="9" t="s">
        <v>99</v>
      </c>
      <c r="H6373" s="11" t="s">
        <v>24</v>
      </c>
      <c r="I6373" s="12" t="n">
        <v>59</v>
      </c>
      <c r="J6373" s="13" t="n">
        <v>154</v>
      </c>
      <c r="K6373" s="14" t="n">
        <f aca="false">I6373*J6373</f>
        <v>9086</v>
      </c>
      <c r="L6373" s="14" t="n">
        <f aca="false">($L$2*M6373)/100</f>
        <v>552766.59</v>
      </c>
      <c r="M6373" s="15" t="n">
        <v>0.46</v>
      </c>
      <c r="N6373" s="9" t="s">
        <v>85</v>
      </c>
    </row>
    <row r="6374" customFormat="false" ht="14.25" hidden="false" customHeight="true" outlineLevel="0" collapsed="false">
      <c r="B6374" s="9" t="s">
        <v>63</v>
      </c>
      <c r="C6374" s="9" t="n">
        <v>1185732</v>
      </c>
      <c r="D6374" s="10" t="n">
        <v>44386</v>
      </c>
      <c r="E6374" s="9" t="s">
        <v>38</v>
      </c>
      <c r="F6374" s="9" t="s">
        <v>98</v>
      </c>
      <c r="G6374" s="9" t="s">
        <v>99</v>
      </c>
      <c r="H6374" s="11" t="s">
        <v>25</v>
      </c>
      <c r="I6374" s="12" t="n">
        <v>69</v>
      </c>
      <c r="J6374" s="13" t="n">
        <v>181</v>
      </c>
      <c r="K6374" s="14" t="n">
        <f aca="false">I6374*J6374</f>
        <v>12489</v>
      </c>
      <c r="L6374" s="14" t="n">
        <f aca="false">($L$2*M6374)/100</f>
        <v>757049.895</v>
      </c>
      <c r="M6374" s="15" t="n">
        <v>0.63</v>
      </c>
      <c r="N6374" s="9" t="s">
        <v>85</v>
      </c>
    </row>
    <row r="6375" customFormat="false" ht="14.25" hidden="false" customHeight="true" outlineLevel="0" collapsed="false">
      <c r="B6375" s="9" t="s">
        <v>63</v>
      </c>
      <c r="C6375" s="9" t="n">
        <v>1185732</v>
      </c>
      <c r="D6375" s="10" t="n">
        <v>44418</v>
      </c>
      <c r="E6375" s="9" t="s">
        <v>38</v>
      </c>
      <c r="F6375" s="9" t="s">
        <v>98</v>
      </c>
      <c r="G6375" s="9" t="s">
        <v>99</v>
      </c>
      <c r="H6375" s="11" t="s">
        <v>19</v>
      </c>
      <c r="I6375" s="12" t="n">
        <v>61</v>
      </c>
      <c r="J6375" s="13" t="n">
        <v>228</v>
      </c>
      <c r="K6375" s="14" t="n">
        <f aca="false">I6375*J6375</f>
        <v>13908</v>
      </c>
      <c r="L6375" s="14" t="n">
        <f aca="false">($L$2*M6375)/100</f>
        <v>600833.25</v>
      </c>
      <c r="M6375" s="15" t="n">
        <v>0.5</v>
      </c>
      <c r="N6375" s="9" t="s">
        <v>85</v>
      </c>
    </row>
    <row r="6376" customFormat="false" ht="14.25" hidden="false" customHeight="true" outlineLevel="0" collapsed="false">
      <c r="B6376" s="9" t="s">
        <v>63</v>
      </c>
      <c r="C6376" s="9" t="n">
        <v>1185732</v>
      </c>
      <c r="D6376" s="10" t="n">
        <v>44418</v>
      </c>
      <c r="E6376" s="9" t="s">
        <v>38</v>
      </c>
      <c r="F6376" s="9" t="s">
        <v>98</v>
      </c>
      <c r="G6376" s="9" t="s">
        <v>99</v>
      </c>
      <c r="H6376" s="11" t="s">
        <v>21</v>
      </c>
      <c r="I6376" s="12" t="n">
        <v>58</v>
      </c>
      <c r="J6376" s="13" t="n">
        <v>195</v>
      </c>
      <c r="K6376" s="14" t="n">
        <f aca="false">I6376*J6376</f>
        <v>11310</v>
      </c>
      <c r="L6376" s="14" t="n">
        <f aca="false">($L$2*M6376)/100</f>
        <v>552766.59</v>
      </c>
      <c r="M6376" s="15" t="n">
        <v>0.46</v>
      </c>
      <c r="N6376" s="9" t="s">
        <v>85</v>
      </c>
    </row>
    <row r="6377" customFormat="false" ht="14.25" hidden="false" customHeight="true" outlineLevel="0" collapsed="false">
      <c r="B6377" s="9" t="s">
        <v>63</v>
      </c>
      <c r="C6377" s="9" t="n">
        <v>1185732</v>
      </c>
      <c r="D6377" s="10" t="n">
        <v>44418</v>
      </c>
      <c r="E6377" s="9" t="s">
        <v>38</v>
      </c>
      <c r="F6377" s="9" t="s">
        <v>98</v>
      </c>
      <c r="G6377" s="9" t="s">
        <v>99</v>
      </c>
      <c r="H6377" s="11" t="s">
        <v>22</v>
      </c>
      <c r="I6377" s="12" t="n">
        <v>53</v>
      </c>
      <c r="J6377" s="13" t="n">
        <v>150</v>
      </c>
      <c r="K6377" s="14" t="n">
        <f aca="false">I6377*J6377</f>
        <v>7950</v>
      </c>
      <c r="L6377" s="14" t="n">
        <f aca="false">($L$2*M6377)/100</f>
        <v>612849.915</v>
      </c>
      <c r="M6377" s="15" t="n">
        <v>0.51</v>
      </c>
      <c r="N6377" s="9" t="s">
        <v>85</v>
      </c>
    </row>
    <row r="6378" customFormat="false" ht="14.25" hidden="false" customHeight="true" outlineLevel="0" collapsed="false">
      <c r="B6378" s="9" t="s">
        <v>63</v>
      </c>
      <c r="C6378" s="9" t="n">
        <v>1185732</v>
      </c>
      <c r="D6378" s="10" t="n">
        <v>44418</v>
      </c>
      <c r="E6378" s="9" t="s">
        <v>38</v>
      </c>
      <c r="F6378" s="9" t="s">
        <v>98</v>
      </c>
      <c r="G6378" s="9" t="s">
        <v>99</v>
      </c>
      <c r="H6378" s="11" t="s">
        <v>23</v>
      </c>
      <c r="I6378" s="12" t="n">
        <v>41</v>
      </c>
      <c r="J6378" s="13" t="n">
        <v>158</v>
      </c>
      <c r="K6378" s="14" t="n">
        <f aca="false">I6378*J6378</f>
        <v>6478</v>
      </c>
      <c r="L6378" s="14" t="n">
        <f aca="false">($L$2*M6378)/100</f>
        <v>612849.915</v>
      </c>
      <c r="M6378" s="15" t="n">
        <v>0.51</v>
      </c>
      <c r="N6378" s="9" t="s">
        <v>85</v>
      </c>
    </row>
    <row r="6379" customFormat="false" ht="14.25" hidden="false" customHeight="true" outlineLevel="0" collapsed="false">
      <c r="B6379" s="9" t="s">
        <v>63</v>
      </c>
      <c r="C6379" s="9" t="n">
        <v>1185732</v>
      </c>
      <c r="D6379" s="10" t="n">
        <v>44418</v>
      </c>
      <c r="E6379" s="9" t="s">
        <v>38</v>
      </c>
      <c r="F6379" s="9" t="s">
        <v>98</v>
      </c>
      <c r="G6379" s="9" t="s">
        <v>99</v>
      </c>
      <c r="H6379" s="11" t="s">
        <v>24</v>
      </c>
      <c r="I6379" s="12" t="n">
        <v>50</v>
      </c>
      <c r="J6379" s="13" t="n">
        <v>135</v>
      </c>
      <c r="K6379" s="14" t="n">
        <f aca="false">I6379*J6379</f>
        <v>6750</v>
      </c>
      <c r="L6379" s="14" t="n">
        <f aca="false">($L$2*M6379)/100</f>
        <v>588816.585</v>
      </c>
      <c r="M6379" s="15" t="n">
        <v>0.49</v>
      </c>
      <c r="N6379" s="9" t="s">
        <v>85</v>
      </c>
    </row>
    <row r="6380" customFormat="false" ht="14.25" hidden="false" customHeight="true" outlineLevel="0" collapsed="false">
      <c r="B6380" s="9" t="s">
        <v>63</v>
      </c>
      <c r="C6380" s="9" t="n">
        <v>1185732</v>
      </c>
      <c r="D6380" s="10" t="n">
        <v>44418</v>
      </c>
      <c r="E6380" s="9" t="s">
        <v>38</v>
      </c>
      <c r="F6380" s="9" t="s">
        <v>98</v>
      </c>
      <c r="G6380" s="9" t="s">
        <v>99</v>
      </c>
      <c r="H6380" s="11" t="s">
        <v>25</v>
      </c>
      <c r="I6380" s="12" t="n">
        <v>54</v>
      </c>
      <c r="J6380" s="13" t="n">
        <v>169</v>
      </c>
      <c r="K6380" s="14" t="n">
        <f aca="false">I6380*J6380</f>
        <v>9126</v>
      </c>
      <c r="L6380" s="14" t="n">
        <f aca="false">($L$2*M6380)/100</f>
        <v>733016.565</v>
      </c>
      <c r="M6380" s="15" t="n">
        <v>0.61</v>
      </c>
      <c r="N6380" s="9" t="s">
        <v>85</v>
      </c>
    </row>
    <row r="6381" customFormat="false" ht="14.25" hidden="false" customHeight="true" outlineLevel="0" collapsed="false">
      <c r="B6381" s="9" t="s">
        <v>63</v>
      </c>
      <c r="C6381" s="9" t="n">
        <v>1185732</v>
      </c>
      <c r="D6381" s="10" t="n">
        <v>44448</v>
      </c>
      <c r="E6381" s="9" t="s">
        <v>38</v>
      </c>
      <c r="F6381" s="9" t="s">
        <v>98</v>
      </c>
      <c r="G6381" s="9" t="s">
        <v>99</v>
      </c>
      <c r="H6381" s="11" t="s">
        <v>19</v>
      </c>
      <c r="I6381" s="12" t="n">
        <v>50</v>
      </c>
      <c r="J6381" s="13" t="n">
        <v>225</v>
      </c>
      <c r="K6381" s="14" t="n">
        <f aca="false">I6381*J6381</f>
        <v>11250</v>
      </c>
      <c r="L6381" s="14" t="n">
        <f aca="false">($L$2*M6381)/100</f>
        <v>648899.91</v>
      </c>
      <c r="M6381" s="15" t="n">
        <v>0.54</v>
      </c>
      <c r="N6381" s="9" t="s">
        <v>85</v>
      </c>
    </row>
    <row r="6382" customFormat="false" ht="14.25" hidden="false" customHeight="true" outlineLevel="0" collapsed="false">
      <c r="B6382" s="9" t="s">
        <v>63</v>
      </c>
      <c r="C6382" s="9" t="n">
        <v>1185732</v>
      </c>
      <c r="D6382" s="10" t="n">
        <v>44448</v>
      </c>
      <c r="E6382" s="9" t="s">
        <v>38</v>
      </c>
      <c r="F6382" s="9" t="s">
        <v>98</v>
      </c>
      <c r="G6382" s="9" t="s">
        <v>99</v>
      </c>
      <c r="H6382" s="11" t="s">
        <v>21</v>
      </c>
      <c r="I6382" s="12" t="n">
        <v>47</v>
      </c>
      <c r="J6382" s="13" t="n">
        <v>173</v>
      </c>
      <c r="K6382" s="14" t="n">
        <f aca="false">I6382*J6382</f>
        <v>8131</v>
      </c>
      <c r="L6382" s="14" t="n">
        <f aca="false">($L$2*M6382)/100</f>
        <v>564783.255</v>
      </c>
      <c r="M6382" s="15" t="n">
        <v>0.47</v>
      </c>
      <c r="N6382" s="9" t="s">
        <v>85</v>
      </c>
    </row>
    <row r="6383" customFormat="false" ht="14.25" hidden="false" customHeight="true" outlineLevel="0" collapsed="false">
      <c r="B6383" s="9" t="s">
        <v>63</v>
      </c>
      <c r="C6383" s="9" t="n">
        <v>1185732</v>
      </c>
      <c r="D6383" s="10" t="n">
        <v>44448</v>
      </c>
      <c r="E6383" s="9" t="s">
        <v>38</v>
      </c>
      <c r="F6383" s="9" t="s">
        <v>98</v>
      </c>
      <c r="G6383" s="9" t="s">
        <v>99</v>
      </c>
      <c r="H6383" s="11" t="s">
        <v>22</v>
      </c>
      <c r="I6383" s="12" t="n">
        <v>23</v>
      </c>
      <c r="J6383" s="13" t="n">
        <v>138</v>
      </c>
      <c r="K6383" s="14" t="n">
        <f aca="false">I6383*J6383</f>
        <v>3174</v>
      </c>
      <c r="L6383" s="14" t="n">
        <f aca="false">($L$2*M6383)/100</f>
        <v>660916.575</v>
      </c>
      <c r="M6383" s="15" t="n">
        <v>0.55</v>
      </c>
      <c r="N6383" s="9" t="s">
        <v>85</v>
      </c>
    </row>
    <row r="6384" customFormat="false" ht="14.25" hidden="false" customHeight="true" outlineLevel="0" collapsed="false">
      <c r="B6384" s="9" t="s">
        <v>63</v>
      </c>
      <c r="C6384" s="9" t="n">
        <v>1185732</v>
      </c>
      <c r="D6384" s="10" t="n">
        <v>44448</v>
      </c>
      <c r="E6384" s="9" t="s">
        <v>38</v>
      </c>
      <c r="F6384" s="9" t="s">
        <v>98</v>
      </c>
      <c r="G6384" s="9" t="s">
        <v>99</v>
      </c>
      <c r="H6384" s="11" t="s">
        <v>23</v>
      </c>
      <c r="I6384" s="12" t="n">
        <v>24</v>
      </c>
      <c r="J6384" s="13" t="n">
        <v>113</v>
      </c>
      <c r="K6384" s="14" t="n">
        <f aca="false">I6384*J6384</f>
        <v>2712</v>
      </c>
      <c r="L6384" s="14" t="n">
        <f aca="false">($L$2*M6384)/100</f>
        <v>612849.915</v>
      </c>
      <c r="M6384" s="15" t="n">
        <v>0.51</v>
      </c>
      <c r="N6384" s="9" t="s">
        <v>85</v>
      </c>
    </row>
    <row r="6385" customFormat="false" ht="14.25" hidden="false" customHeight="true" outlineLevel="0" collapsed="false">
      <c r="B6385" s="9" t="s">
        <v>63</v>
      </c>
      <c r="C6385" s="9" t="n">
        <v>1185732</v>
      </c>
      <c r="D6385" s="10" t="n">
        <v>44448</v>
      </c>
      <c r="E6385" s="9" t="s">
        <v>38</v>
      </c>
      <c r="F6385" s="9" t="s">
        <v>98</v>
      </c>
      <c r="G6385" s="9" t="s">
        <v>99</v>
      </c>
      <c r="H6385" s="11" t="s">
        <v>24</v>
      </c>
      <c r="I6385" s="12" t="n">
        <v>32</v>
      </c>
      <c r="J6385" s="13" t="n">
        <v>122</v>
      </c>
      <c r="K6385" s="14" t="n">
        <f aca="false">I6385*J6385</f>
        <v>3904</v>
      </c>
      <c r="L6385" s="14" t="n">
        <f aca="false">($L$2*M6385)/100</f>
        <v>576799.92</v>
      </c>
      <c r="M6385" s="15" t="n">
        <v>0.48</v>
      </c>
      <c r="N6385" s="9" t="s">
        <v>85</v>
      </c>
    </row>
    <row r="6386" customFormat="false" ht="14.25" hidden="false" customHeight="true" outlineLevel="0" collapsed="false">
      <c r="B6386" s="9" t="s">
        <v>63</v>
      </c>
      <c r="C6386" s="9" t="n">
        <v>1185732</v>
      </c>
      <c r="D6386" s="10" t="n">
        <v>44448</v>
      </c>
      <c r="E6386" s="9" t="s">
        <v>38</v>
      </c>
      <c r="F6386" s="9" t="s">
        <v>98</v>
      </c>
      <c r="G6386" s="9" t="s">
        <v>99</v>
      </c>
      <c r="H6386" s="11" t="s">
        <v>25</v>
      </c>
      <c r="I6386" s="12" t="n">
        <v>37</v>
      </c>
      <c r="J6386" s="13" t="n">
        <v>138</v>
      </c>
      <c r="K6386" s="14" t="n">
        <f aca="false">I6386*J6386</f>
        <v>5106</v>
      </c>
      <c r="L6386" s="14" t="n">
        <f aca="false">($L$2*M6386)/100</f>
        <v>745033.23</v>
      </c>
      <c r="M6386" s="15" t="n">
        <v>0.62</v>
      </c>
      <c r="N6386" s="9" t="s">
        <v>85</v>
      </c>
    </row>
    <row r="6387" customFormat="false" ht="14.25" hidden="false" customHeight="true" outlineLevel="0" collapsed="false">
      <c r="B6387" s="9" t="s">
        <v>63</v>
      </c>
      <c r="C6387" s="9" t="n">
        <v>1185732</v>
      </c>
      <c r="D6387" s="10" t="n">
        <v>44480</v>
      </c>
      <c r="E6387" s="9" t="s">
        <v>38</v>
      </c>
      <c r="F6387" s="9" t="s">
        <v>98</v>
      </c>
      <c r="G6387" s="9" t="s">
        <v>99</v>
      </c>
      <c r="H6387" s="11" t="s">
        <v>19</v>
      </c>
      <c r="I6387" s="12" t="n">
        <v>36</v>
      </c>
      <c r="J6387" s="13" t="n">
        <v>210</v>
      </c>
      <c r="K6387" s="14" t="n">
        <f aca="false">I6387*J6387</f>
        <v>7560</v>
      </c>
      <c r="L6387" s="14" t="n">
        <f aca="false">($L$2*M6387)/100</f>
        <v>624866.58</v>
      </c>
      <c r="M6387" s="15" t="n">
        <v>0.52</v>
      </c>
      <c r="N6387" s="9" t="s">
        <v>85</v>
      </c>
    </row>
    <row r="6388" customFormat="false" ht="14.25" hidden="false" customHeight="true" outlineLevel="0" collapsed="false">
      <c r="B6388" s="9" t="s">
        <v>63</v>
      </c>
      <c r="C6388" s="9" t="n">
        <v>1185732</v>
      </c>
      <c r="D6388" s="10" t="n">
        <v>44480</v>
      </c>
      <c r="E6388" s="9" t="s">
        <v>38</v>
      </c>
      <c r="F6388" s="9" t="s">
        <v>98</v>
      </c>
      <c r="G6388" s="9" t="s">
        <v>99</v>
      </c>
      <c r="H6388" s="11" t="s">
        <v>21</v>
      </c>
      <c r="I6388" s="12" t="n">
        <v>29</v>
      </c>
      <c r="J6388" s="13" t="n">
        <v>138</v>
      </c>
      <c r="K6388" s="14" t="n">
        <f aca="false">I6388*J6388</f>
        <v>4002</v>
      </c>
      <c r="L6388" s="14" t="n">
        <f aca="false">($L$2*M6388)/100</f>
        <v>564783.255</v>
      </c>
      <c r="M6388" s="15" t="n">
        <v>0.47</v>
      </c>
      <c r="N6388" s="9" t="s">
        <v>85</v>
      </c>
    </row>
    <row r="6389" customFormat="false" ht="14.25" hidden="false" customHeight="true" outlineLevel="0" collapsed="false">
      <c r="B6389" s="9" t="s">
        <v>63</v>
      </c>
      <c r="C6389" s="9" t="n">
        <v>1185732</v>
      </c>
      <c r="D6389" s="10" t="n">
        <v>44480</v>
      </c>
      <c r="E6389" s="9" t="s">
        <v>38</v>
      </c>
      <c r="F6389" s="9" t="s">
        <v>98</v>
      </c>
      <c r="G6389" s="9" t="s">
        <v>99</v>
      </c>
      <c r="H6389" s="11" t="s">
        <v>22</v>
      </c>
      <c r="I6389" s="12" t="n">
        <v>27</v>
      </c>
      <c r="J6389" s="13" t="n">
        <v>106</v>
      </c>
      <c r="K6389" s="14" t="n">
        <f aca="false">I6389*J6389</f>
        <v>2862</v>
      </c>
      <c r="L6389" s="14" t="n">
        <f aca="false">($L$2*M6389)/100</f>
        <v>636883.245</v>
      </c>
      <c r="M6389" s="15" t="n">
        <v>0.53</v>
      </c>
      <c r="N6389" s="9" t="s">
        <v>85</v>
      </c>
    </row>
    <row r="6390" customFormat="false" ht="14.25" hidden="false" customHeight="true" outlineLevel="0" collapsed="false">
      <c r="B6390" s="9" t="s">
        <v>63</v>
      </c>
      <c r="C6390" s="9" t="n">
        <v>1185732</v>
      </c>
      <c r="D6390" s="10" t="n">
        <v>44480</v>
      </c>
      <c r="E6390" s="9" t="s">
        <v>38</v>
      </c>
      <c r="F6390" s="9" t="s">
        <v>98</v>
      </c>
      <c r="G6390" s="9" t="s">
        <v>99</v>
      </c>
      <c r="H6390" s="11" t="s">
        <v>23</v>
      </c>
      <c r="I6390" s="12" t="n">
        <v>29</v>
      </c>
      <c r="J6390" s="13" t="n">
        <v>112</v>
      </c>
      <c r="K6390" s="14" t="n">
        <f aca="false">I6390*J6390</f>
        <v>3248</v>
      </c>
      <c r="L6390" s="14" t="n">
        <f aca="false">($L$2*M6390)/100</f>
        <v>612849.915</v>
      </c>
      <c r="M6390" s="15" t="n">
        <v>0.51</v>
      </c>
      <c r="N6390" s="9" t="s">
        <v>85</v>
      </c>
    </row>
    <row r="6391" customFormat="false" ht="14.25" hidden="false" customHeight="true" outlineLevel="0" collapsed="false">
      <c r="B6391" s="9" t="s">
        <v>63</v>
      </c>
      <c r="C6391" s="9" t="n">
        <v>1185732</v>
      </c>
      <c r="D6391" s="10" t="n">
        <v>44480</v>
      </c>
      <c r="E6391" s="9" t="s">
        <v>38</v>
      </c>
      <c r="F6391" s="9" t="s">
        <v>98</v>
      </c>
      <c r="G6391" s="9" t="s">
        <v>99</v>
      </c>
      <c r="H6391" s="11" t="s">
        <v>24</v>
      </c>
      <c r="I6391" s="12" t="n">
        <v>37</v>
      </c>
      <c r="J6391" s="13" t="n">
        <v>116</v>
      </c>
      <c r="K6391" s="14" t="n">
        <f aca="false">I6391*J6391</f>
        <v>4292</v>
      </c>
      <c r="L6391" s="14" t="n">
        <f aca="false">($L$2*M6391)/100</f>
        <v>552766.59</v>
      </c>
      <c r="M6391" s="15" t="n">
        <v>0.46</v>
      </c>
      <c r="N6391" s="9" t="s">
        <v>85</v>
      </c>
    </row>
    <row r="6392" customFormat="false" ht="14.25" hidden="false" customHeight="true" outlineLevel="0" collapsed="false">
      <c r="B6392" s="9" t="s">
        <v>63</v>
      </c>
      <c r="C6392" s="9" t="n">
        <v>1185732</v>
      </c>
      <c r="D6392" s="10" t="n">
        <v>44480</v>
      </c>
      <c r="E6392" s="9" t="s">
        <v>38</v>
      </c>
      <c r="F6392" s="9" t="s">
        <v>98</v>
      </c>
      <c r="G6392" s="9" t="s">
        <v>99</v>
      </c>
      <c r="H6392" s="11" t="s">
        <v>25</v>
      </c>
      <c r="I6392" s="12" t="n">
        <v>38</v>
      </c>
      <c r="J6392" s="13" t="n">
        <v>147</v>
      </c>
      <c r="K6392" s="14" t="n">
        <f aca="false">I6392*J6392</f>
        <v>5586</v>
      </c>
      <c r="L6392" s="14" t="n">
        <f aca="false">($L$2*M6392)/100</f>
        <v>757049.895</v>
      </c>
      <c r="M6392" s="15" t="n">
        <v>0.63</v>
      </c>
      <c r="N6392" s="9" t="s">
        <v>85</v>
      </c>
    </row>
    <row r="6393" customFormat="false" ht="14.25" hidden="false" customHeight="true" outlineLevel="0" collapsed="false">
      <c r="B6393" s="9" t="s">
        <v>63</v>
      </c>
      <c r="C6393" s="9" t="n">
        <v>1185732</v>
      </c>
      <c r="D6393" s="10" t="n">
        <v>44510</v>
      </c>
      <c r="E6393" s="9" t="s">
        <v>38</v>
      </c>
      <c r="F6393" s="9" t="s">
        <v>98</v>
      </c>
      <c r="G6393" s="9" t="s">
        <v>99</v>
      </c>
      <c r="H6393" s="11" t="s">
        <v>19</v>
      </c>
      <c r="I6393" s="12" t="n">
        <v>34</v>
      </c>
      <c r="J6393" s="13" t="n">
        <v>169</v>
      </c>
      <c r="K6393" s="14" t="n">
        <f aca="false">I6393*J6393</f>
        <v>5746</v>
      </c>
      <c r="L6393" s="14" t="n">
        <f aca="false">($L$2*M6393)/100</f>
        <v>624866.58</v>
      </c>
      <c r="M6393" s="15" t="n">
        <v>0.52</v>
      </c>
      <c r="N6393" s="9" t="s">
        <v>85</v>
      </c>
    </row>
    <row r="6394" customFormat="false" ht="14.25" hidden="false" customHeight="true" outlineLevel="0" collapsed="false">
      <c r="B6394" s="9" t="s">
        <v>63</v>
      </c>
      <c r="C6394" s="9" t="n">
        <v>1185732</v>
      </c>
      <c r="D6394" s="10" t="n">
        <v>44510</v>
      </c>
      <c r="E6394" s="9" t="s">
        <v>38</v>
      </c>
      <c r="F6394" s="9" t="s">
        <v>98</v>
      </c>
      <c r="G6394" s="9" t="s">
        <v>99</v>
      </c>
      <c r="H6394" s="11" t="s">
        <v>21</v>
      </c>
      <c r="I6394" s="12" t="n">
        <v>24</v>
      </c>
      <c r="J6394" s="13" t="n">
        <v>140</v>
      </c>
      <c r="K6394" s="14" t="n">
        <f aca="false">I6394*J6394</f>
        <v>3360</v>
      </c>
      <c r="L6394" s="14" t="n">
        <f aca="false">($L$2*M6394)/100</f>
        <v>540749.925</v>
      </c>
      <c r="M6394" s="15" t="n">
        <v>0.45</v>
      </c>
      <c r="N6394" s="9" t="s">
        <v>85</v>
      </c>
    </row>
    <row r="6395" customFormat="false" ht="14.25" hidden="false" customHeight="true" outlineLevel="0" collapsed="false">
      <c r="B6395" s="9" t="s">
        <v>63</v>
      </c>
      <c r="C6395" s="9" t="n">
        <v>1185732</v>
      </c>
      <c r="D6395" s="10" t="n">
        <v>44510</v>
      </c>
      <c r="E6395" s="9" t="s">
        <v>38</v>
      </c>
      <c r="F6395" s="9" t="s">
        <v>98</v>
      </c>
      <c r="G6395" s="9" t="s">
        <v>99</v>
      </c>
      <c r="H6395" s="11" t="s">
        <v>22</v>
      </c>
      <c r="I6395" s="12" t="n">
        <v>32</v>
      </c>
      <c r="J6395" s="13" t="n">
        <v>116</v>
      </c>
      <c r="K6395" s="14" t="n">
        <f aca="false">I6395*J6395</f>
        <v>3712</v>
      </c>
      <c r="L6395" s="14" t="n">
        <f aca="false">($L$2*M6395)/100</f>
        <v>600833.25</v>
      </c>
      <c r="M6395" s="15" t="n">
        <v>0.5</v>
      </c>
      <c r="N6395" s="9" t="s">
        <v>85</v>
      </c>
    </row>
    <row r="6396" customFormat="false" ht="14.25" hidden="false" customHeight="true" outlineLevel="0" collapsed="false">
      <c r="B6396" s="9" t="s">
        <v>63</v>
      </c>
      <c r="C6396" s="9" t="n">
        <v>1185732</v>
      </c>
      <c r="D6396" s="10" t="n">
        <v>44510</v>
      </c>
      <c r="E6396" s="9" t="s">
        <v>38</v>
      </c>
      <c r="F6396" s="9" t="s">
        <v>98</v>
      </c>
      <c r="G6396" s="9" t="s">
        <v>99</v>
      </c>
      <c r="H6396" s="11" t="s">
        <v>23</v>
      </c>
      <c r="I6396" s="12" t="n">
        <v>59</v>
      </c>
      <c r="J6396" s="13" t="n">
        <v>135</v>
      </c>
      <c r="K6396" s="14" t="n">
        <f aca="false">I6396*J6396</f>
        <v>7965</v>
      </c>
      <c r="L6396" s="14" t="n">
        <f aca="false">($L$2*M6396)/100</f>
        <v>600833.25</v>
      </c>
      <c r="M6396" s="15" t="n">
        <v>0.5</v>
      </c>
      <c r="N6396" s="9" t="s">
        <v>85</v>
      </c>
    </row>
    <row r="6397" customFormat="false" ht="14.25" hidden="false" customHeight="true" outlineLevel="0" collapsed="false">
      <c r="B6397" s="9" t="s">
        <v>63</v>
      </c>
      <c r="C6397" s="9" t="n">
        <v>1185732</v>
      </c>
      <c r="D6397" s="10" t="n">
        <v>44510</v>
      </c>
      <c r="E6397" s="9" t="s">
        <v>38</v>
      </c>
      <c r="F6397" s="9" t="s">
        <v>98</v>
      </c>
      <c r="G6397" s="9" t="s">
        <v>99</v>
      </c>
      <c r="H6397" s="11" t="s">
        <v>24</v>
      </c>
      <c r="I6397" s="12" t="n">
        <v>76</v>
      </c>
      <c r="J6397" s="13" t="n">
        <v>138</v>
      </c>
      <c r="K6397" s="14" t="n">
        <f aca="false">I6397*J6397</f>
        <v>10488</v>
      </c>
      <c r="L6397" s="14" t="n">
        <f aca="false">($L$2*M6397)/100</f>
        <v>588816.585</v>
      </c>
      <c r="M6397" s="15" t="n">
        <v>0.49</v>
      </c>
      <c r="N6397" s="9" t="s">
        <v>85</v>
      </c>
    </row>
    <row r="6398" customFormat="false" ht="14.25" hidden="false" customHeight="true" outlineLevel="0" collapsed="false">
      <c r="B6398" s="9" t="s">
        <v>63</v>
      </c>
      <c r="C6398" s="9" t="n">
        <v>1185732</v>
      </c>
      <c r="D6398" s="10" t="n">
        <v>44510</v>
      </c>
      <c r="E6398" s="9" t="s">
        <v>38</v>
      </c>
      <c r="F6398" s="9" t="s">
        <v>98</v>
      </c>
      <c r="G6398" s="9" t="s">
        <v>99</v>
      </c>
      <c r="H6398" s="11" t="s">
        <v>25</v>
      </c>
      <c r="I6398" s="12" t="n">
        <v>74</v>
      </c>
      <c r="J6398" s="13" t="n">
        <v>167</v>
      </c>
      <c r="K6398" s="14" t="n">
        <f aca="false">I6398*J6398</f>
        <v>12358</v>
      </c>
      <c r="L6398" s="14" t="n">
        <f aca="false">($L$2*M6398)/100</f>
        <v>769066.56</v>
      </c>
      <c r="M6398" s="15" t="n">
        <v>0.64</v>
      </c>
      <c r="N6398" s="9" t="s">
        <v>85</v>
      </c>
    </row>
    <row r="6399" customFormat="false" ht="14.25" hidden="false" customHeight="true" outlineLevel="0" collapsed="false">
      <c r="B6399" s="9" t="s">
        <v>63</v>
      </c>
      <c r="C6399" s="9" t="n">
        <v>1185732</v>
      </c>
      <c r="D6399" s="10" t="n">
        <v>44539</v>
      </c>
      <c r="E6399" s="9" t="s">
        <v>38</v>
      </c>
      <c r="F6399" s="9" t="s">
        <v>98</v>
      </c>
      <c r="G6399" s="9" t="s">
        <v>99</v>
      </c>
      <c r="H6399" s="11" t="s">
        <v>19</v>
      </c>
      <c r="I6399" s="12" t="n">
        <v>70</v>
      </c>
      <c r="J6399" s="13" t="n">
        <v>231</v>
      </c>
      <c r="K6399" s="14" t="n">
        <f aca="false">I6399*J6399</f>
        <v>16170</v>
      </c>
      <c r="L6399" s="14" t="n">
        <f aca="false">($L$2*M6399)/100</f>
        <v>600833.25</v>
      </c>
      <c r="M6399" s="15" t="n">
        <v>0.5</v>
      </c>
      <c r="N6399" s="9" t="s">
        <v>85</v>
      </c>
    </row>
    <row r="6400" customFormat="false" ht="14.25" hidden="false" customHeight="true" outlineLevel="0" collapsed="false">
      <c r="B6400" s="9" t="s">
        <v>63</v>
      </c>
      <c r="C6400" s="9" t="n">
        <v>1185732</v>
      </c>
      <c r="D6400" s="10" t="n">
        <v>44539</v>
      </c>
      <c r="E6400" s="9" t="s">
        <v>38</v>
      </c>
      <c r="F6400" s="9" t="s">
        <v>98</v>
      </c>
      <c r="G6400" s="9" t="s">
        <v>99</v>
      </c>
      <c r="H6400" s="11" t="s">
        <v>21</v>
      </c>
      <c r="I6400" s="12" t="n">
        <v>60</v>
      </c>
      <c r="J6400" s="13" t="n">
        <v>181</v>
      </c>
      <c r="K6400" s="14" t="n">
        <f aca="false">I6400*J6400</f>
        <v>10860</v>
      </c>
      <c r="L6400" s="14" t="n">
        <f aca="false">($L$2*M6400)/100</f>
        <v>564783.255</v>
      </c>
      <c r="M6400" s="15" t="n">
        <v>0.47</v>
      </c>
      <c r="N6400" s="9" t="s">
        <v>85</v>
      </c>
    </row>
    <row r="6401" customFormat="false" ht="14.25" hidden="false" customHeight="true" outlineLevel="0" collapsed="false">
      <c r="B6401" s="9" t="s">
        <v>32</v>
      </c>
      <c r="C6401" s="9" t="n">
        <v>1185732</v>
      </c>
      <c r="D6401" s="10" t="n">
        <v>44539</v>
      </c>
      <c r="E6401" s="9" t="s">
        <v>38</v>
      </c>
      <c r="F6401" s="9" t="s">
        <v>98</v>
      </c>
      <c r="G6401" s="9" t="s">
        <v>99</v>
      </c>
      <c r="H6401" s="11" t="s">
        <v>22</v>
      </c>
      <c r="I6401" s="12" t="n">
        <v>59</v>
      </c>
      <c r="J6401" s="13" t="n">
        <v>161</v>
      </c>
      <c r="K6401" s="14" t="n">
        <f aca="false">I6401*J6401</f>
        <v>9499</v>
      </c>
      <c r="L6401" s="14" t="n">
        <f aca="false">($L$2*M6401)/100</f>
        <v>624866.58</v>
      </c>
      <c r="M6401" s="15" t="n">
        <v>0.52</v>
      </c>
      <c r="N6401" s="9" t="s">
        <v>85</v>
      </c>
    </row>
    <row r="6402" customFormat="false" ht="14.25" hidden="false" customHeight="true" outlineLevel="0" collapsed="false">
      <c r="B6402" s="9" t="s">
        <v>32</v>
      </c>
      <c r="C6402" s="9" t="n">
        <v>1185732</v>
      </c>
      <c r="D6402" s="10" t="n">
        <v>44539</v>
      </c>
      <c r="E6402" s="9" t="s">
        <v>38</v>
      </c>
      <c r="F6402" s="9" t="s">
        <v>98</v>
      </c>
      <c r="G6402" s="9" t="s">
        <v>99</v>
      </c>
      <c r="H6402" s="11" t="s">
        <v>23</v>
      </c>
      <c r="I6402" s="12" t="n">
        <v>63</v>
      </c>
      <c r="J6402" s="13" t="n">
        <v>147</v>
      </c>
      <c r="K6402" s="14" t="n">
        <f aca="false">I6402*J6402</f>
        <v>9261</v>
      </c>
      <c r="L6402" s="14" t="n">
        <f aca="false">($L$2*M6402)/100</f>
        <v>600833.25</v>
      </c>
      <c r="M6402" s="15" t="n">
        <v>0.5</v>
      </c>
      <c r="N6402" s="9" t="s">
        <v>85</v>
      </c>
    </row>
    <row r="6403" customFormat="false" ht="14.25" hidden="false" customHeight="true" outlineLevel="0" collapsed="false">
      <c r="B6403" s="9" t="s">
        <v>32</v>
      </c>
      <c r="C6403" s="9" t="n">
        <v>1185732</v>
      </c>
      <c r="D6403" s="10" t="n">
        <v>44539</v>
      </c>
      <c r="E6403" s="9" t="s">
        <v>38</v>
      </c>
      <c r="F6403" s="9" t="s">
        <v>98</v>
      </c>
      <c r="G6403" s="9" t="s">
        <v>99</v>
      </c>
      <c r="H6403" s="11" t="s">
        <v>24</v>
      </c>
      <c r="I6403" s="12" t="n">
        <v>68</v>
      </c>
      <c r="J6403" s="13" t="n">
        <v>142</v>
      </c>
      <c r="K6403" s="14" t="n">
        <f aca="false">I6403*J6403</f>
        <v>9656</v>
      </c>
      <c r="L6403" s="14" t="n">
        <f aca="false">($L$2*M6403)/100</f>
        <v>588816.585</v>
      </c>
      <c r="M6403" s="15" t="n">
        <v>0.49</v>
      </c>
      <c r="N6403" s="9" t="s">
        <v>85</v>
      </c>
    </row>
    <row r="6404" customFormat="false" ht="14.25" hidden="false" customHeight="true" outlineLevel="0" collapsed="false">
      <c r="B6404" s="9" t="s">
        <v>32</v>
      </c>
      <c r="C6404" s="9" t="n">
        <v>1185732</v>
      </c>
      <c r="D6404" s="10" t="n">
        <v>44539</v>
      </c>
      <c r="E6404" s="9" t="s">
        <v>38</v>
      </c>
      <c r="F6404" s="9" t="s">
        <v>98</v>
      </c>
      <c r="G6404" s="9" t="s">
        <v>99</v>
      </c>
      <c r="H6404" s="11" t="s">
        <v>25</v>
      </c>
      <c r="I6404" s="12" t="n">
        <v>74</v>
      </c>
      <c r="J6404" s="13" t="n">
        <v>156</v>
      </c>
      <c r="K6404" s="14" t="n">
        <f aca="false">I6404*J6404</f>
        <v>11544</v>
      </c>
      <c r="L6404" s="14" t="n">
        <f aca="false">($L$2*M6404)/100</f>
        <v>720999.9</v>
      </c>
      <c r="M6404" s="15" t="n">
        <v>0.6</v>
      </c>
      <c r="N6404" s="9" t="s">
        <v>85</v>
      </c>
    </row>
    <row r="6405" customFormat="false" ht="14.25" hidden="false" customHeight="true" outlineLevel="0" collapsed="false">
      <c r="B6405" s="9" t="s">
        <v>63</v>
      </c>
      <c r="C6405" s="9" t="n">
        <v>1185732</v>
      </c>
      <c r="D6405" s="10" t="n">
        <v>44218</v>
      </c>
      <c r="E6405" s="9" t="s">
        <v>38</v>
      </c>
      <c r="F6405" s="9" t="s">
        <v>98</v>
      </c>
      <c r="G6405" s="9" t="s">
        <v>99</v>
      </c>
      <c r="H6405" s="11" t="s">
        <v>19</v>
      </c>
      <c r="I6405" s="12" t="n">
        <v>37</v>
      </c>
      <c r="J6405" s="13" t="n">
        <v>135</v>
      </c>
      <c r="K6405" s="14" t="n">
        <f aca="false">I6405*J6405</f>
        <v>4995</v>
      </c>
      <c r="L6405" s="14" t="n">
        <f aca="false">($L$2*M6405)/100</f>
        <v>648899.91</v>
      </c>
      <c r="M6405" s="15" t="n">
        <v>0.54</v>
      </c>
      <c r="N6405" s="9" t="s">
        <v>85</v>
      </c>
    </row>
    <row r="6406" customFormat="false" ht="14.25" hidden="false" customHeight="true" outlineLevel="0" collapsed="false">
      <c r="B6406" s="9" t="s">
        <v>63</v>
      </c>
      <c r="C6406" s="9" t="n">
        <v>1185732</v>
      </c>
      <c r="D6406" s="10" t="n">
        <v>44218</v>
      </c>
      <c r="E6406" s="9" t="s">
        <v>38</v>
      </c>
      <c r="F6406" s="9" t="s">
        <v>98</v>
      </c>
      <c r="G6406" s="9" t="s">
        <v>99</v>
      </c>
      <c r="H6406" s="11" t="s">
        <v>21</v>
      </c>
      <c r="I6406" s="12" t="n">
        <v>38</v>
      </c>
      <c r="J6406" s="13" t="n">
        <v>78</v>
      </c>
      <c r="K6406" s="14" t="n">
        <f aca="false">I6406*J6406</f>
        <v>2964</v>
      </c>
      <c r="L6406" s="14" t="n">
        <f aca="false">($L$2*M6406)/100</f>
        <v>564783.255</v>
      </c>
      <c r="M6406" s="15" t="n">
        <v>0.47</v>
      </c>
      <c r="N6406" s="9" t="s">
        <v>85</v>
      </c>
    </row>
    <row r="6407" customFormat="false" ht="14.25" hidden="false" customHeight="true" outlineLevel="0" collapsed="false">
      <c r="B6407" s="9" t="s">
        <v>63</v>
      </c>
      <c r="C6407" s="9" t="n">
        <v>1185732</v>
      </c>
      <c r="D6407" s="10" t="n">
        <v>44218</v>
      </c>
      <c r="E6407" s="9" t="s">
        <v>38</v>
      </c>
      <c r="F6407" s="9" t="s">
        <v>98</v>
      </c>
      <c r="G6407" s="9" t="s">
        <v>99</v>
      </c>
      <c r="H6407" s="11" t="s">
        <v>22</v>
      </c>
      <c r="I6407" s="12" t="n">
        <v>28</v>
      </c>
      <c r="J6407" s="13" t="n">
        <v>75</v>
      </c>
      <c r="K6407" s="14" t="n">
        <f aca="false">I6407*J6407</f>
        <v>2100</v>
      </c>
      <c r="L6407" s="14" t="n">
        <f aca="false">($L$2*M6407)/100</f>
        <v>624866.58</v>
      </c>
      <c r="M6407" s="15" t="n">
        <v>0.52</v>
      </c>
      <c r="N6407" s="9" t="s">
        <v>85</v>
      </c>
    </row>
    <row r="6408" customFormat="false" ht="14.25" hidden="false" customHeight="true" outlineLevel="0" collapsed="false">
      <c r="B6408" s="9" t="s">
        <v>63</v>
      </c>
      <c r="C6408" s="9" t="n">
        <v>1185732</v>
      </c>
      <c r="D6408" s="10" t="n">
        <v>44218</v>
      </c>
      <c r="E6408" s="9" t="s">
        <v>38</v>
      </c>
      <c r="F6408" s="9" t="s">
        <v>98</v>
      </c>
      <c r="G6408" s="9" t="s">
        <v>99</v>
      </c>
      <c r="H6408" s="11" t="s">
        <v>23</v>
      </c>
      <c r="I6408" s="12" t="n">
        <v>34</v>
      </c>
      <c r="J6408" s="13" t="n">
        <v>42</v>
      </c>
      <c r="K6408" s="14" t="n">
        <f aca="false">I6408*J6408</f>
        <v>1428</v>
      </c>
      <c r="L6408" s="14" t="n">
        <f aca="false">($L$2*M6408)/100</f>
        <v>600833.25</v>
      </c>
      <c r="M6408" s="15" t="n">
        <v>0.5</v>
      </c>
      <c r="N6408" s="9" t="s">
        <v>85</v>
      </c>
    </row>
    <row r="6409" customFormat="false" ht="14.25" hidden="false" customHeight="true" outlineLevel="0" collapsed="false">
      <c r="B6409" s="9" t="s">
        <v>63</v>
      </c>
      <c r="C6409" s="9" t="n">
        <v>1185732</v>
      </c>
      <c r="D6409" s="10" t="n">
        <v>44218</v>
      </c>
      <c r="E6409" s="9" t="s">
        <v>38</v>
      </c>
      <c r="F6409" s="9" t="s">
        <v>98</v>
      </c>
      <c r="G6409" s="9" t="s">
        <v>99</v>
      </c>
      <c r="H6409" s="11" t="s">
        <v>24</v>
      </c>
      <c r="I6409" s="12" t="n">
        <v>46</v>
      </c>
      <c r="J6409" s="13" t="n">
        <v>52</v>
      </c>
      <c r="K6409" s="14" t="n">
        <f aca="false">I6409*J6409</f>
        <v>2392</v>
      </c>
      <c r="L6409" s="14" t="n">
        <f aca="false">($L$2*M6409)/100</f>
        <v>564783.255</v>
      </c>
      <c r="M6409" s="15" t="n">
        <v>0.47</v>
      </c>
      <c r="N6409" s="9" t="s">
        <v>85</v>
      </c>
    </row>
    <row r="6410" customFormat="false" ht="14.25" hidden="false" customHeight="true" outlineLevel="0" collapsed="false">
      <c r="B6410" s="9" t="s">
        <v>63</v>
      </c>
      <c r="C6410" s="9" t="n">
        <v>1185732</v>
      </c>
      <c r="D6410" s="10" t="n">
        <v>44218</v>
      </c>
      <c r="E6410" s="9" t="s">
        <v>38</v>
      </c>
      <c r="F6410" s="9" t="s">
        <v>98</v>
      </c>
      <c r="G6410" s="9" t="s">
        <v>99</v>
      </c>
      <c r="H6410" s="11" t="s">
        <v>25</v>
      </c>
      <c r="I6410" s="12" t="n">
        <v>37</v>
      </c>
      <c r="J6410" s="13" t="n">
        <v>81</v>
      </c>
      <c r="K6410" s="14" t="n">
        <f aca="false">I6410*J6410</f>
        <v>2997</v>
      </c>
      <c r="L6410" s="14" t="n">
        <f aca="false">($L$2*M6410)/100</f>
        <v>648899.91</v>
      </c>
      <c r="M6410" s="15" t="n">
        <v>0.54</v>
      </c>
      <c r="N6410" s="9" t="s">
        <v>85</v>
      </c>
    </row>
    <row r="6411" customFormat="false" ht="14.25" hidden="false" customHeight="true" outlineLevel="0" collapsed="false">
      <c r="B6411" s="9" t="s">
        <v>63</v>
      </c>
      <c r="C6411" s="9" t="n">
        <v>1185732</v>
      </c>
      <c r="D6411" s="10" t="n">
        <v>44249</v>
      </c>
      <c r="E6411" s="9" t="s">
        <v>38</v>
      </c>
      <c r="F6411" s="9" t="s">
        <v>98</v>
      </c>
      <c r="G6411" s="9" t="s">
        <v>99</v>
      </c>
      <c r="H6411" s="11" t="s">
        <v>19</v>
      </c>
      <c r="I6411" s="12" t="n">
        <v>38</v>
      </c>
      <c r="J6411" s="13" t="n">
        <v>138</v>
      </c>
      <c r="K6411" s="14" t="n">
        <f aca="false">I6411*J6411</f>
        <v>5244</v>
      </c>
      <c r="L6411" s="14" t="n">
        <f aca="false">($L$2*M6411)/100</f>
        <v>636883.245</v>
      </c>
      <c r="M6411" s="15" t="n">
        <v>0.53</v>
      </c>
      <c r="N6411" s="9" t="s">
        <v>85</v>
      </c>
    </row>
    <row r="6412" customFormat="false" ht="14.25" hidden="false" customHeight="true" outlineLevel="0" collapsed="false">
      <c r="B6412" s="9" t="s">
        <v>63</v>
      </c>
      <c r="C6412" s="9" t="n">
        <v>1185732</v>
      </c>
      <c r="D6412" s="10" t="n">
        <v>44249</v>
      </c>
      <c r="E6412" s="9" t="s">
        <v>38</v>
      </c>
      <c r="F6412" s="9" t="s">
        <v>98</v>
      </c>
      <c r="G6412" s="9" t="s">
        <v>99</v>
      </c>
      <c r="H6412" s="11" t="s">
        <v>21</v>
      </c>
      <c r="I6412" s="12" t="n">
        <v>38</v>
      </c>
      <c r="J6412" s="13" t="n">
        <v>58</v>
      </c>
      <c r="K6412" s="14" t="n">
        <f aca="false">I6412*J6412</f>
        <v>2204</v>
      </c>
      <c r="L6412" s="14" t="n">
        <f aca="false">($L$2*M6412)/100</f>
        <v>552766.59</v>
      </c>
      <c r="M6412" s="15" t="n">
        <v>0.46</v>
      </c>
      <c r="N6412" s="9" t="s">
        <v>85</v>
      </c>
    </row>
    <row r="6413" customFormat="false" ht="14.25" hidden="false" customHeight="true" outlineLevel="0" collapsed="false">
      <c r="B6413" s="9" t="s">
        <v>63</v>
      </c>
      <c r="C6413" s="9" t="n">
        <v>1185732</v>
      </c>
      <c r="D6413" s="10" t="n">
        <v>44249</v>
      </c>
      <c r="E6413" s="9" t="s">
        <v>38</v>
      </c>
      <c r="F6413" s="9" t="s">
        <v>98</v>
      </c>
      <c r="G6413" s="9" t="s">
        <v>99</v>
      </c>
      <c r="H6413" s="11" t="s">
        <v>22</v>
      </c>
      <c r="I6413" s="12" t="n">
        <v>29</v>
      </c>
      <c r="J6413" s="13" t="n">
        <v>63</v>
      </c>
      <c r="K6413" s="14" t="n">
        <f aca="false">I6413*J6413</f>
        <v>1827</v>
      </c>
      <c r="L6413" s="14" t="n">
        <f aca="false">($L$2*M6413)/100</f>
        <v>636883.245</v>
      </c>
      <c r="M6413" s="15" t="n">
        <v>0.53</v>
      </c>
      <c r="N6413" s="9" t="s">
        <v>85</v>
      </c>
    </row>
    <row r="6414" customFormat="false" ht="14.25" hidden="false" customHeight="true" outlineLevel="0" collapsed="false">
      <c r="B6414" s="9" t="s">
        <v>63</v>
      </c>
      <c r="C6414" s="9" t="n">
        <v>1185732</v>
      </c>
      <c r="D6414" s="10" t="n">
        <v>44249</v>
      </c>
      <c r="E6414" s="9" t="s">
        <v>50</v>
      </c>
      <c r="F6414" s="9" t="s">
        <v>100</v>
      </c>
      <c r="G6414" s="9" t="s">
        <v>101</v>
      </c>
      <c r="H6414" s="11" t="s">
        <v>23</v>
      </c>
      <c r="I6414" s="12" t="n">
        <v>34</v>
      </c>
      <c r="J6414" s="13" t="n">
        <v>34</v>
      </c>
      <c r="K6414" s="14" t="n">
        <f aca="false">I6414*J6414</f>
        <v>1156</v>
      </c>
      <c r="L6414" s="14" t="n">
        <f aca="false">($L$2*M6414)/100</f>
        <v>648899.91</v>
      </c>
      <c r="M6414" s="15" t="n">
        <v>0.54</v>
      </c>
      <c r="N6414" s="9" t="s">
        <v>85</v>
      </c>
    </row>
    <row r="6415" customFormat="false" ht="14.25" hidden="false" customHeight="true" outlineLevel="0" collapsed="false">
      <c r="B6415" s="9" t="s">
        <v>63</v>
      </c>
      <c r="C6415" s="9" t="n">
        <v>1185732</v>
      </c>
      <c r="D6415" s="10" t="n">
        <v>44249</v>
      </c>
      <c r="E6415" s="9" t="s">
        <v>50</v>
      </c>
      <c r="F6415" s="9" t="s">
        <v>100</v>
      </c>
      <c r="G6415" s="9" t="s">
        <v>101</v>
      </c>
      <c r="H6415" s="11" t="s">
        <v>24</v>
      </c>
      <c r="I6415" s="12" t="n">
        <v>48</v>
      </c>
      <c r="J6415" s="13" t="n">
        <v>54</v>
      </c>
      <c r="K6415" s="14" t="n">
        <f aca="false">I6415*J6415</f>
        <v>2592</v>
      </c>
      <c r="L6415" s="14" t="n">
        <f aca="false">($L$2*M6415)/100</f>
        <v>564783.255</v>
      </c>
      <c r="M6415" s="15" t="n">
        <v>0.47</v>
      </c>
      <c r="N6415" s="9" t="s">
        <v>85</v>
      </c>
    </row>
    <row r="6416" customFormat="false" ht="14.25" hidden="false" customHeight="true" outlineLevel="0" collapsed="false">
      <c r="B6416" s="9" t="s">
        <v>63</v>
      </c>
      <c r="C6416" s="9" t="n">
        <v>1185732</v>
      </c>
      <c r="D6416" s="10" t="n">
        <v>44249</v>
      </c>
      <c r="E6416" s="9" t="s">
        <v>50</v>
      </c>
      <c r="F6416" s="9" t="s">
        <v>100</v>
      </c>
      <c r="G6416" s="9" t="s">
        <v>101</v>
      </c>
      <c r="H6416" s="11" t="s">
        <v>25</v>
      </c>
      <c r="I6416" s="12" t="n">
        <v>39</v>
      </c>
      <c r="J6416" s="13" t="n">
        <v>78</v>
      </c>
      <c r="K6416" s="14" t="n">
        <f aca="false">I6416*J6416</f>
        <v>3042</v>
      </c>
      <c r="L6416" s="14" t="n">
        <f aca="false">($L$2*M6416)/100</f>
        <v>612849.915</v>
      </c>
      <c r="M6416" s="15" t="n">
        <v>0.51</v>
      </c>
      <c r="N6416" s="9" t="s">
        <v>85</v>
      </c>
    </row>
    <row r="6417" customFormat="false" ht="14.25" hidden="false" customHeight="true" outlineLevel="0" collapsed="false">
      <c r="B6417" s="9" t="s">
        <v>63</v>
      </c>
      <c r="C6417" s="9" t="n">
        <v>1185732</v>
      </c>
      <c r="D6417" s="10" t="n">
        <v>44276</v>
      </c>
      <c r="E6417" s="9" t="s">
        <v>50</v>
      </c>
      <c r="F6417" s="9" t="s">
        <v>100</v>
      </c>
      <c r="G6417" s="9" t="s">
        <v>101</v>
      </c>
      <c r="H6417" s="11" t="s">
        <v>19</v>
      </c>
      <c r="I6417" s="12" t="n">
        <v>41</v>
      </c>
      <c r="J6417" s="13" t="n">
        <v>156</v>
      </c>
      <c r="K6417" s="14" t="n">
        <f aca="false">I6417*J6417</f>
        <v>6396</v>
      </c>
      <c r="L6417" s="14" t="n">
        <f aca="false">($L$2*M6417)/100</f>
        <v>612849.915</v>
      </c>
      <c r="M6417" s="15" t="n">
        <v>0.51</v>
      </c>
      <c r="N6417" s="9" t="s">
        <v>85</v>
      </c>
    </row>
    <row r="6418" customFormat="false" ht="14.25" hidden="false" customHeight="true" outlineLevel="0" collapsed="false">
      <c r="B6418" s="9" t="s">
        <v>63</v>
      </c>
      <c r="C6418" s="9" t="n">
        <v>1185732</v>
      </c>
      <c r="D6418" s="10" t="n">
        <v>44276</v>
      </c>
      <c r="E6418" s="9" t="s">
        <v>50</v>
      </c>
      <c r="F6418" s="9" t="s">
        <v>100</v>
      </c>
      <c r="G6418" s="9" t="s">
        <v>101</v>
      </c>
      <c r="H6418" s="11" t="s">
        <v>21</v>
      </c>
      <c r="I6418" s="12" t="n">
        <v>41</v>
      </c>
      <c r="J6418" s="13" t="n">
        <v>59</v>
      </c>
      <c r="K6418" s="14" t="n">
        <f aca="false">I6418*J6418</f>
        <v>2419</v>
      </c>
      <c r="L6418" s="14" t="n">
        <f aca="false">($L$2*M6418)/100</f>
        <v>588816.585</v>
      </c>
      <c r="M6418" s="15" t="n">
        <v>0.49</v>
      </c>
      <c r="N6418" s="9" t="s">
        <v>85</v>
      </c>
    </row>
    <row r="6419" customFormat="false" ht="14.25" hidden="false" customHeight="true" outlineLevel="0" collapsed="false">
      <c r="B6419" s="9" t="s">
        <v>63</v>
      </c>
      <c r="C6419" s="9" t="n">
        <v>1185732</v>
      </c>
      <c r="D6419" s="10" t="n">
        <v>44276</v>
      </c>
      <c r="E6419" s="9" t="s">
        <v>50</v>
      </c>
      <c r="F6419" s="9" t="s">
        <v>100</v>
      </c>
      <c r="G6419" s="9" t="s">
        <v>101</v>
      </c>
      <c r="H6419" s="11" t="s">
        <v>22</v>
      </c>
      <c r="I6419" s="12" t="n">
        <v>34</v>
      </c>
      <c r="J6419" s="13" t="n">
        <v>73</v>
      </c>
      <c r="K6419" s="14" t="n">
        <f aca="false">I6419*J6419</f>
        <v>2482</v>
      </c>
      <c r="L6419" s="14" t="n">
        <f aca="false">($L$2*M6419)/100</f>
        <v>600833.25</v>
      </c>
      <c r="M6419" s="15" t="n">
        <v>0.5</v>
      </c>
      <c r="N6419" s="9" t="s">
        <v>85</v>
      </c>
    </row>
    <row r="6420" customFormat="false" ht="14.25" hidden="false" customHeight="true" outlineLevel="0" collapsed="false">
      <c r="B6420" s="9" t="s">
        <v>63</v>
      </c>
      <c r="C6420" s="9" t="n">
        <v>1185732</v>
      </c>
      <c r="D6420" s="10" t="n">
        <v>44276</v>
      </c>
      <c r="E6420" s="9" t="s">
        <v>50</v>
      </c>
      <c r="F6420" s="9" t="s">
        <v>100</v>
      </c>
      <c r="G6420" s="9" t="s">
        <v>101</v>
      </c>
      <c r="H6420" s="11" t="s">
        <v>23</v>
      </c>
      <c r="I6420" s="12" t="n">
        <v>36</v>
      </c>
      <c r="J6420" s="13" t="n">
        <v>27</v>
      </c>
      <c r="K6420" s="14" t="n">
        <f aca="false">I6420*J6420</f>
        <v>972</v>
      </c>
      <c r="L6420" s="14" t="n">
        <f aca="false">($L$2*M6420)/100</f>
        <v>624866.58</v>
      </c>
      <c r="M6420" s="15" t="n">
        <v>0.52</v>
      </c>
      <c r="N6420" s="9" t="s">
        <v>85</v>
      </c>
    </row>
    <row r="6421" customFormat="false" ht="14.25" hidden="false" customHeight="true" outlineLevel="0" collapsed="false">
      <c r="B6421" s="9" t="s">
        <v>63</v>
      </c>
      <c r="C6421" s="9" t="n">
        <v>1185732</v>
      </c>
      <c r="D6421" s="10" t="n">
        <v>44276</v>
      </c>
      <c r="E6421" s="9" t="s">
        <v>50</v>
      </c>
      <c r="F6421" s="9" t="s">
        <v>100</v>
      </c>
      <c r="G6421" s="9" t="s">
        <v>101</v>
      </c>
      <c r="H6421" s="11" t="s">
        <v>24</v>
      </c>
      <c r="I6421" s="12" t="n">
        <v>52</v>
      </c>
      <c r="J6421" s="13" t="n">
        <v>44</v>
      </c>
      <c r="K6421" s="14" t="n">
        <f aca="false">I6421*J6421</f>
        <v>2288</v>
      </c>
      <c r="L6421" s="14" t="n">
        <f aca="false">($L$2*M6421)/100</f>
        <v>552766.59</v>
      </c>
      <c r="M6421" s="15" t="n">
        <v>0.46</v>
      </c>
      <c r="N6421" s="9" t="s">
        <v>85</v>
      </c>
    </row>
    <row r="6422" customFormat="false" ht="14.25" hidden="false" customHeight="true" outlineLevel="0" collapsed="false">
      <c r="B6422" s="9" t="s">
        <v>63</v>
      </c>
      <c r="C6422" s="9" t="n">
        <v>1185732</v>
      </c>
      <c r="D6422" s="10" t="n">
        <v>44276</v>
      </c>
      <c r="E6422" s="9" t="s">
        <v>50</v>
      </c>
      <c r="F6422" s="9" t="s">
        <v>100</v>
      </c>
      <c r="G6422" s="9" t="s">
        <v>101</v>
      </c>
      <c r="H6422" s="11" t="s">
        <v>25</v>
      </c>
      <c r="I6422" s="12" t="n">
        <v>42</v>
      </c>
      <c r="J6422" s="13" t="n">
        <v>65</v>
      </c>
      <c r="K6422" s="14" t="n">
        <f aca="false">I6422*J6422</f>
        <v>2730</v>
      </c>
      <c r="L6422" s="14" t="n">
        <f aca="false">($L$2*M6422)/100</f>
        <v>612849.915</v>
      </c>
      <c r="M6422" s="15" t="n">
        <v>0.51</v>
      </c>
      <c r="N6422" s="9" t="s">
        <v>85</v>
      </c>
    </row>
    <row r="6423" customFormat="false" ht="14.25" hidden="false" customHeight="true" outlineLevel="0" collapsed="false">
      <c r="B6423" s="9" t="s">
        <v>63</v>
      </c>
      <c r="C6423" s="9" t="n">
        <v>1185732</v>
      </c>
      <c r="D6423" s="10" t="n">
        <v>44308</v>
      </c>
      <c r="E6423" s="9" t="s">
        <v>50</v>
      </c>
      <c r="F6423" s="9" t="s">
        <v>100</v>
      </c>
      <c r="G6423" s="9" t="s">
        <v>101</v>
      </c>
      <c r="H6423" s="11" t="s">
        <v>19</v>
      </c>
      <c r="I6423" s="12" t="n">
        <v>41</v>
      </c>
      <c r="J6423" s="13" t="n">
        <v>119</v>
      </c>
      <c r="K6423" s="14" t="n">
        <f aca="false">I6423*J6423</f>
        <v>4879</v>
      </c>
      <c r="L6423" s="14" t="n">
        <f aca="false">($L$2*M6423)/100</f>
        <v>660916.575</v>
      </c>
      <c r="M6423" s="15" t="n">
        <v>0.55</v>
      </c>
      <c r="N6423" s="9" t="s">
        <v>85</v>
      </c>
    </row>
    <row r="6424" customFormat="false" ht="14.25" hidden="false" customHeight="true" outlineLevel="0" collapsed="false">
      <c r="B6424" s="9" t="s">
        <v>63</v>
      </c>
      <c r="C6424" s="9" t="n">
        <v>1185732</v>
      </c>
      <c r="D6424" s="10" t="n">
        <v>44308</v>
      </c>
      <c r="E6424" s="9" t="s">
        <v>50</v>
      </c>
      <c r="F6424" s="9" t="s">
        <v>100</v>
      </c>
      <c r="G6424" s="9" t="s">
        <v>101</v>
      </c>
      <c r="H6424" s="11" t="s">
        <v>21</v>
      </c>
      <c r="I6424" s="12" t="n">
        <v>41</v>
      </c>
      <c r="J6424" s="13" t="n">
        <v>49</v>
      </c>
      <c r="K6424" s="14" t="n">
        <f aca="false">I6424*J6424</f>
        <v>2009</v>
      </c>
      <c r="L6424" s="14" t="n">
        <f aca="false">($L$2*M6424)/100</f>
        <v>576799.92</v>
      </c>
      <c r="M6424" s="15" t="n">
        <v>0.48</v>
      </c>
      <c r="N6424" s="9" t="s">
        <v>85</v>
      </c>
    </row>
    <row r="6425" customFormat="false" ht="14.25" hidden="false" customHeight="true" outlineLevel="0" collapsed="false">
      <c r="B6425" s="9" t="s">
        <v>63</v>
      </c>
      <c r="C6425" s="9" t="n">
        <v>1185732</v>
      </c>
      <c r="D6425" s="10" t="n">
        <v>44308</v>
      </c>
      <c r="E6425" s="9" t="s">
        <v>50</v>
      </c>
      <c r="F6425" s="9" t="s">
        <v>100</v>
      </c>
      <c r="G6425" s="9" t="s">
        <v>101</v>
      </c>
      <c r="H6425" s="11" t="s">
        <v>22</v>
      </c>
      <c r="I6425" s="12" t="n">
        <v>38</v>
      </c>
      <c r="J6425" s="13" t="n">
        <v>49</v>
      </c>
      <c r="K6425" s="14" t="n">
        <f aca="false">I6425*J6425</f>
        <v>1862</v>
      </c>
      <c r="L6425" s="14" t="n">
        <f aca="false">($L$2*M6425)/100</f>
        <v>660916.575</v>
      </c>
      <c r="M6425" s="15" t="n">
        <v>0.55</v>
      </c>
      <c r="N6425" s="9" t="s">
        <v>85</v>
      </c>
    </row>
    <row r="6426" customFormat="false" ht="14.25" hidden="false" customHeight="true" outlineLevel="0" collapsed="false">
      <c r="B6426" s="9" t="s">
        <v>63</v>
      </c>
      <c r="C6426" s="9" t="n">
        <v>1185732</v>
      </c>
      <c r="D6426" s="10" t="n">
        <v>44308</v>
      </c>
      <c r="E6426" s="9" t="s">
        <v>50</v>
      </c>
      <c r="F6426" s="9" t="s">
        <v>100</v>
      </c>
      <c r="G6426" s="9" t="s">
        <v>101</v>
      </c>
      <c r="H6426" s="11" t="s">
        <v>23</v>
      </c>
      <c r="I6426" s="12" t="n">
        <v>42</v>
      </c>
      <c r="J6426" s="13" t="n">
        <v>29</v>
      </c>
      <c r="K6426" s="14" t="n">
        <f aca="false">I6426*J6426</f>
        <v>1218</v>
      </c>
      <c r="L6426" s="14" t="n">
        <f aca="false">($L$2*M6426)/100</f>
        <v>600833.25</v>
      </c>
      <c r="M6426" s="15" t="n">
        <v>0.5</v>
      </c>
      <c r="N6426" s="9" t="s">
        <v>85</v>
      </c>
    </row>
    <row r="6427" customFormat="false" ht="14.25" hidden="false" customHeight="true" outlineLevel="0" collapsed="false">
      <c r="B6427" s="9" t="s">
        <v>63</v>
      </c>
      <c r="C6427" s="9" t="n">
        <v>1185732</v>
      </c>
      <c r="D6427" s="10" t="n">
        <v>44308</v>
      </c>
      <c r="E6427" s="9" t="s">
        <v>50</v>
      </c>
      <c r="F6427" s="9" t="s">
        <v>100</v>
      </c>
      <c r="G6427" s="9" t="s">
        <v>101</v>
      </c>
      <c r="H6427" s="11" t="s">
        <v>24</v>
      </c>
      <c r="I6427" s="12" t="n">
        <v>47</v>
      </c>
      <c r="J6427" s="13" t="n">
        <v>35</v>
      </c>
      <c r="K6427" s="14" t="n">
        <f aca="false">I6427*J6427</f>
        <v>1645</v>
      </c>
      <c r="L6427" s="14" t="n">
        <f aca="false">($L$2*M6427)/100</f>
        <v>588816.585</v>
      </c>
      <c r="M6427" s="15" t="n">
        <v>0.49</v>
      </c>
      <c r="N6427" s="9" t="s">
        <v>85</v>
      </c>
    </row>
    <row r="6428" customFormat="false" ht="14.25" hidden="false" customHeight="true" outlineLevel="0" collapsed="false">
      <c r="B6428" s="9" t="s">
        <v>63</v>
      </c>
      <c r="C6428" s="9" t="n">
        <v>1185732</v>
      </c>
      <c r="D6428" s="10" t="n">
        <v>44308</v>
      </c>
      <c r="E6428" s="9" t="s">
        <v>50</v>
      </c>
      <c r="F6428" s="9" t="s">
        <v>100</v>
      </c>
      <c r="G6428" s="9" t="s">
        <v>101</v>
      </c>
      <c r="H6428" s="11" t="s">
        <v>25</v>
      </c>
      <c r="I6428" s="12" t="n">
        <v>36</v>
      </c>
      <c r="J6428" s="13" t="n">
        <v>75</v>
      </c>
      <c r="K6428" s="14" t="n">
        <f aca="false">I6428*J6428</f>
        <v>2700</v>
      </c>
      <c r="L6428" s="14" t="n">
        <f aca="false">($L$2*M6428)/100</f>
        <v>600833.25</v>
      </c>
      <c r="M6428" s="15" t="n">
        <v>0.5</v>
      </c>
      <c r="N6428" s="9" t="s">
        <v>85</v>
      </c>
    </row>
    <row r="6429" customFormat="false" ht="14.25" hidden="false" customHeight="true" outlineLevel="0" collapsed="false">
      <c r="B6429" s="9" t="s">
        <v>63</v>
      </c>
      <c r="C6429" s="9" t="n">
        <v>1185732</v>
      </c>
      <c r="D6429" s="10" t="n">
        <v>44339</v>
      </c>
      <c r="E6429" s="9" t="s">
        <v>50</v>
      </c>
      <c r="F6429" s="9" t="s">
        <v>100</v>
      </c>
      <c r="G6429" s="9" t="s">
        <v>101</v>
      </c>
      <c r="H6429" s="11" t="s">
        <v>19</v>
      </c>
      <c r="I6429" s="12" t="n">
        <v>49</v>
      </c>
      <c r="J6429" s="13" t="n">
        <v>156</v>
      </c>
      <c r="K6429" s="14" t="n">
        <f aca="false">I6429*J6429</f>
        <v>7644</v>
      </c>
      <c r="L6429" s="14" t="n">
        <f aca="false">($L$2*M6429)/100</f>
        <v>612849.915</v>
      </c>
      <c r="M6429" s="15" t="n">
        <v>0.51</v>
      </c>
      <c r="N6429" s="9" t="s">
        <v>85</v>
      </c>
    </row>
    <row r="6430" customFormat="false" ht="14.25" hidden="false" customHeight="true" outlineLevel="0" collapsed="false">
      <c r="B6430" s="9" t="s">
        <v>63</v>
      </c>
      <c r="C6430" s="9" t="n">
        <v>1185732</v>
      </c>
      <c r="D6430" s="10" t="n">
        <v>44339</v>
      </c>
      <c r="E6430" s="9" t="s">
        <v>50</v>
      </c>
      <c r="F6430" s="9" t="s">
        <v>100</v>
      </c>
      <c r="G6430" s="9" t="s">
        <v>101</v>
      </c>
      <c r="H6430" s="11" t="s">
        <v>21</v>
      </c>
      <c r="I6430" s="12" t="n">
        <v>42</v>
      </c>
      <c r="J6430" s="13" t="n">
        <v>68</v>
      </c>
      <c r="K6430" s="14" t="n">
        <f aca="false">I6430*J6430</f>
        <v>2856</v>
      </c>
      <c r="L6430" s="14" t="n">
        <f aca="false">($L$2*M6430)/100</f>
        <v>600833.25</v>
      </c>
      <c r="M6430" s="15" t="n">
        <v>0.5</v>
      </c>
      <c r="N6430" s="9" t="s">
        <v>85</v>
      </c>
    </row>
    <row r="6431" customFormat="false" ht="14.25" hidden="false" customHeight="true" outlineLevel="0" collapsed="false">
      <c r="B6431" s="9" t="s">
        <v>63</v>
      </c>
      <c r="C6431" s="9" t="n">
        <v>1185732</v>
      </c>
      <c r="D6431" s="10" t="n">
        <v>44339</v>
      </c>
      <c r="E6431" s="9" t="s">
        <v>50</v>
      </c>
      <c r="F6431" s="9" t="s">
        <v>100</v>
      </c>
      <c r="G6431" s="9" t="s">
        <v>101</v>
      </c>
      <c r="H6431" s="11" t="s">
        <v>22</v>
      </c>
      <c r="I6431" s="12" t="n">
        <v>38</v>
      </c>
      <c r="J6431" s="13" t="n">
        <v>58</v>
      </c>
      <c r="K6431" s="14" t="n">
        <f aca="false">I6431*J6431</f>
        <v>2204</v>
      </c>
      <c r="L6431" s="14" t="n">
        <f aca="false">($L$2*M6431)/100</f>
        <v>624866.58</v>
      </c>
      <c r="M6431" s="15" t="n">
        <v>0.52</v>
      </c>
      <c r="N6431" s="9" t="s">
        <v>85</v>
      </c>
    </row>
    <row r="6432" customFormat="false" ht="14.25" hidden="false" customHeight="true" outlineLevel="0" collapsed="false">
      <c r="B6432" s="9" t="s">
        <v>63</v>
      </c>
      <c r="C6432" s="9" t="n">
        <v>1185732</v>
      </c>
      <c r="D6432" s="10" t="n">
        <v>44339</v>
      </c>
      <c r="E6432" s="9" t="s">
        <v>50</v>
      </c>
      <c r="F6432" s="9" t="s">
        <v>100</v>
      </c>
      <c r="G6432" s="9" t="s">
        <v>101</v>
      </c>
      <c r="H6432" s="11" t="s">
        <v>23</v>
      </c>
      <c r="I6432" s="12" t="n">
        <v>38</v>
      </c>
      <c r="J6432" s="13" t="n">
        <v>38</v>
      </c>
      <c r="K6432" s="14" t="n">
        <f aca="false">I6432*J6432</f>
        <v>1444</v>
      </c>
      <c r="L6432" s="14" t="n">
        <f aca="false">($L$2*M6432)/100</f>
        <v>648899.91</v>
      </c>
      <c r="M6432" s="15" t="n">
        <v>0.54</v>
      </c>
      <c r="N6432" s="9" t="s">
        <v>85</v>
      </c>
    </row>
    <row r="6433" customFormat="false" ht="14.25" hidden="false" customHeight="true" outlineLevel="0" collapsed="false">
      <c r="B6433" s="9" t="s">
        <v>63</v>
      </c>
      <c r="C6433" s="9" t="n">
        <v>1185732</v>
      </c>
      <c r="D6433" s="10" t="n">
        <v>44339</v>
      </c>
      <c r="E6433" s="9" t="s">
        <v>50</v>
      </c>
      <c r="F6433" s="9" t="s">
        <v>100</v>
      </c>
      <c r="G6433" s="9" t="s">
        <v>101</v>
      </c>
      <c r="H6433" s="11" t="s">
        <v>24</v>
      </c>
      <c r="I6433" s="12" t="n">
        <v>46</v>
      </c>
      <c r="J6433" s="13" t="n">
        <v>42</v>
      </c>
      <c r="K6433" s="14" t="n">
        <f aca="false">I6433*J6433</f>
        <v>1932</v>
      </c>
      <c r="L6433" s="14" t="n">
        <f aca="false">($L$2*M6433)/100</f>
        <v>552766.59</v>
      </c>
      <c r="M6433" s="15" t="n">
        <v>0.46</v>
      </c>
      <c r="N6433" s="9" t="s">
        <v>85</v>
      </c>
    </row>
    <row r="6434" customFormat="false" ht="14.25" hidden="false" customHeight="true" outlineLevel="0" collapsed="false">
      <c r="B6434" s="9" t="s">
        <v>63</v>
      </c>
      <c r="C6434" s="9" t="n">
        <v>1185732</v>
      </c>
      <c r="D6434" s="10" t="n">
        <v>44339</v>
      </c>
      <c r="E6434" s="9" t="s">
        <v>50</v>
      </c>
      <c r="F6434" s="9" t="s">
        <v>100</v>
      </c>
      <c r="G6434" s="9" t="s">
        <v>101</v>
      </c>
      <c r="H6434" s="11" t="s">
        <v>25</v>
      </c>
      <c r="I6434" s="12" t="n">
        <v>51</v>
      </c>
      <c r="J6434" s="13" t="n">
        <v>83</v>
      </c>
      <c r="K6434" s="14" t="n">
        <f aca="false">I6434*J6434</f>
        <v>4233</v>
      </c>
      <c r="L6434" s="14" t="n">
        <f aca="false">($L$2*M6434)/100</f>
        <v>612849.915</v>
      </c>
      <c r="M6434" s="15" t="n">
        <v>0.51</v>
      </c>
      <c r="N6434" s="9" t="s">
        <v>85</v>
      </c>
    </row>
    <row r="6435" customFormat="false" ht="14.25" hidden="false" customHeight="true" outlineLevel="0" collapsed="false">
      <c r="B6435" s="9" t="s">
        <v>63</v>
      </c>
      <c r="C6435" s="9" t="n">
        <v>1185732</v>
      </c>
      <c r="D6435" s="10" t="n">
        <v>44369</v>
      </c>
      <c r="E6435" s="9" t="s">
        <v>50</v>
      </c>
      <c r="F6435" s="9" t="s">
        <v>100</v>
      </c>
      <c r="G6435" s="9" t="s">
        <v>101</v>
      </c>
      <c r="H6435" s="11" t="s">
        <v>19</v>
      </c>
      <c r="I6435" s="12" t="n">
        <v>36</v>
      </c>
      <c r="J6435" s="13" t="n">
        <v>142</v>
      </c>
      <c r="K6435" s="14" t="n">
        <f aca="false">I6435*J6435</f>
        <v>5112</v>
      </c>
      <c r="L6435" s="14" t="n">
        <f aca="false">($L$2*M6435)/100</f>
        <v>600833.25</v>
      </c>
      <c r="M6435" s="15" t="n">
        <v>0.5</v>
      </c>
      <c r="N6435" s="9" t="s">
        <v>85</v>
      </c>
    </row>
    <row r="6436" customFormat="false" ht="14.25" hidden="false" customHeight="true" outlineLevel="0" collapsed="false">
      <c r="B6436" s="9" t="s">
        <v>63</v>
      </c>
      <c r="C6436" s="9" t="n">
        <v>1185732</v>
      </c>
      <c r="D6436" s="10" t="n">
        <v>44369</v>
      </c>
      <c r="E6436" s="9" t="s">
        <v>50</v>
      </c>
      <c r="F6436" s="9" t="s">
        <v>100</v>
      </c>
      <c r="G6436" s="9" t="s">
        <v>101</v>
      </c>
      <c r="H6436" s="11" t="s">
        <v>21</v>
      </c>
      <c r="I6436" s="12" t="n">
        <v>33</v>
      </c>
      <c r="J6436" s="13" t="n">
        <v>77</v>
      </c>
      <c r="K6436" s="14" t="n">
        <f aca="false">I6436*J6436</f>
        <v>2541</v>
      </c>
      <c r="L6436" s="14" t="n">
        <f aca="false">($L$2*M6436)/100</f>
        <v>588816.585</v>
      </c>
      <c r="M6436" s="15" t="n">
        <v>0.49</v>
      </c>
      <c r="N6436" s="9" t="s">
        <v>85</v>
      </c>
    </row>
    <row r="6437" customFormat="false" ht="14.25" hidden="false" customHeight="true" outlineLevel="0" collapsed="false">
      <c r="B6437" s="9" t="s">
        <v>63</v>
      </c>
      <c r="C6437" s="9" t="n">
        <v>1185732</v>
      </c>
      <c r="D6437" s="10" t="n">
        <v>44369</v>
      </c>
      <c r="E6437" s="9" t="s">
        <v>50</v>
      </c>
      <c r="F6437" s="9" t="s">
        <v>100</v>
      </c>
      <c r="G6437" s="9" t="s">
        <v>101</v>
      </c>
      <c r="H6437" s="11" t="s">
        <v>22</v>
      </c>
      <c r="I6437" s="12" t="n">
        <v>28</v>
      </c>
      <c r="J6437" s="13" t="n">
        <v>56</v>
      </c>
      <c r="K6437" s="14" t="n">
        <f aca="false">I6437*J6437</f>
        <v>1568</v>
      </c>
      <c r="L6437" s="14" t="n">
        <f aca="false">($L$2*M6437)/100</f>
        <v>660916.575</v>
      </c>
      <c r="M6437" s="15" t="n">
        <v>0.55</v>
      </c>
      <c r="N6437" s="9" t="s">
        <v>85</v>
      </c>
    </row>
    <row r="6438" customFormat="false" ht="14.25" hidden="false" customHeight="true" outlineLevel="0" collapsed="false">
      <c r="B6438" s="9" t="s">
        <v>63</v>
      </c>
      <c r="C6438" s="9" t="n">
        <v>1185732</v>
      </c>
      <c r="D6438" s="10" t="n">
        <v>44369</v>
      </c>
      <c r="E6438" s="9" t="s">
        <v>50</v>
      </c>
      <c r="F6438" s="9" t="s">
        <v>100</v>
      </c>
      <c r="G6438" s="9" t="s">
        <v>101</v>
      </c>
      <c r="H6438" s="11" t="s">
        <v>23</v>
      </c>
      <c r="I6438" s="12" t="n">
        <v>29</v>
      </c>
      <c r="J6438" s="13" t="n">
        <v>52</v>
      </c>
      <c r="K6438" s="14" t="n">
        <f aca="false">I6438*J6438</f>
        <v>1508</v>
      </c>
      <c r="L6438" s="14" t="n">
        <f aca="false">($L$2*M6438)/100</f>
        <v>660916.575</v>
      </c>
      <c r="M6438" s="15" t="n">
        <v>0.55</v>
      </c>
      <c r="N6438" s="9" t="s">
        <v>85</v>
      </c>
    </row>
    <row r="6439" customFormat="false" ht="14.25" hidden="false" customHeight="true" outlineLevel="0" collapsed="false">
      <c r="B6439" s="9" t="s">
        <v>63</v>
      </c>
      <c r="C6439" s="9" t="n">
        <v>1185732</v>
      </c>
      <c r="D6439" s="10" t="n">
        <v>44369</v>
      </c>
      <c r="E6439" s="9" t="s">
        <v>50</v>
      </c>
      <c r="F6439" s="9" t="s">
        <v>100</v>
      </c>
      <c r="G6439" s="9" t="s">
        <v>101</v>
      </c>
      <c r="H6439" s="11" t="s">
        <v>24</v>
      </c>
      <c r="I6439" s="12" t="n">
        <v>49</v>
      </c>
      <c r="J6439" s="13" t="n">
        <v>54</v>
      </c>
      <c r="K6439" s="14" t="n">
        <f aca="false">I6439*J6439</f>
        <v>2646</v>
      </c>
      <c r="L6439" s="14" t="n">
        <f aca="false">($L$2*M6439)/100</f>
        <v>588816.585</v>
      </c>
      <c r="M6439" s="15" t="n">
        <v>0.49</v>
      </c>
      <c r="N6439" s="9" t="s">
        <v>85</v>
      </c>
    </row>
    <row r="6440" customFormat="false" ht="14.25" hidden="false" customHeight="true" outlineLevel="0" collapsed="false">
      <c r="B6440" s="9" t="s">
        <v>63</v>
      </c>
      <c r="C6440" s="9" t="n">
        <v>1185732</v>
      </c>
      <c r="D6440" s="10" t="n">
        <v>44369</v>
      </c>
      <c r="E6440" s="9" t="s">
        <v>50</v>
      </c>
      <c r="F6440" s="9" t="s">
        <v>100</v>
      </c>
      <c r="G6440" s="9" t="s">
        <v>101</v>
      </c>
      <c r="H6440" s="11" t="s">
        <v>25</v>
      </c>
      <c r="I6440" s="12" t="n">
        <v>52</v>
      </c>
      <c r="J6440" s="13" t="n">
        <v>101</v>
      </c>
      <c r="K6440" s="14" t="n">
        <f aca="false">I6440*J6440</f>
        <v>5252</v>
      </c>
      <c r="L6440" s="14" t="n">
        <f aca="false">($L$2*M6440)/100</f>
        <v>624866.58</v>
      </c>
      <c r="M6440" s="15" t="n">
        <v>0.52</v>
      </c>
      <c r="N6440" s="9" t="s">
        <v>85</v>
      </c>
    </row>
    <row r="6441" customFormat="false" ht="14.25" hidden="false" customHeight="true" outlineLevel="0" collapsed="false">
      <c r="B6441" s="9" t="s">
        <v>63</v>
      </c>
      <c r="C6441" s="9" t="n">
        <v>1185732</v>
      </c>
      <c r="D6441" s="10" t="n">
        <v>44398</v>
      </c>
      <c r="E6441" s="9" t="s">
        <v>50</v>
      </c>
      <c r="F6441" s="9" t="s">
        <v>100</v>
      </c>
      <c r="G6441" s="9" t="s">
        <v>101</v>
      </c>
      <c r="H6441" s="11" t="s">
        <v>19</v>
      </c>
      <c r="I6441" s="12" t="n">
        <v>47</v>
      </c>
      <c r="J6441" s="13" t="n">
        <v>168</v>
      </c>
      <c r="K6441" s="14" t="n">
        <f aca="false">I6441*J6441</f>
        <v>7896</v>
      </c>
      <c r="L6441" s="14" t="n">
        <f aca="false">($L$2*M6441)/100</f>
        <v>660916.575</v>
      </c>
      <c r="M6441" s="15" t="n">
        <v>0.55</v>
      </c>
      <c r="N6441" s="9" t="s">
        <v>85</v>
      </c>
    </row>
    <row r="6442" customFormat="false" ht="14.25" hidden="false" customHeight="true" outlineLevel="0" collapsed="false">
      <c r="B6442" s="9" t="s">
        <v>63</v>
      </c>
      <c r="C6442" s="9" t="n">
        <v>1185732</v>
      </c>
      <c r="D6442" s="10" t="n">
        <v>44398</v>
      </c>
      <c r="E6442" s="9" t="s">
        <v>50</v>
      </c>
      <c r="F6442" s="9" t="s">
        <v>100</v>
      </c>
      <c r="G6442" s="9" t="s">
        <v>101</v>
      </c>
      <c r="H6442" s="11" t="s">
        <v>21</v>
      </c>
      <c r="I6442" s="12" t="n">
        <v>44</v>
      </c>
      <c r="J6442" s="13" t="n">
        <v>95</v>
      </c>
      <c r="K6442" s="14" t="n">
        <f aca="false">I6442*J6442</f>
        <v>4180</v>
      </c>
      <c r="L6442" s="14" t="n">
        <f aca="false">($L$2*M6442)/100</f>
        <v>588816.585</v>
      </c>
      <c r="M6442" s="15" t="n">
        <v>0.49</v>
      </c>
      <c r="N6442" s="9" t="s">
        <v>85</v>
      </c>
    </row>
    <row r="6443" customFormat="false" ht="14.25" hidden="false" customHeight="true" outlineLevel="0" collapsed="false">
      <c r="B6443" s="9" t="s">
        <v>63</v>
      </c>
      <c r="C6443" s="9" t="n">
        <v>1185732</v>
      </c>
      <c r="D6443" s="10" t="n">
        <v>44398</v>
      </c>
      <c r="E6443" s="9" t="s">
        <v>50</v>
      </c>
      <c r="F6443" s="9" t="s">
        <v>100</v>
      </c>
      <c r="G6443" s="9" t="s">
        <v>101</v>
      </c>
      <c r="H6443" s="11" t="s">
        <v>22</v>
      </c>
      <c r="I6443" s="12" t="n">
        <v>38</v>
      </c>
      <c r="J6443" s="13" t="n">
        <v>69</v>
      </c>
      <c r="K6443" s="14" t="n">
        <f aca="false">I6443*J6443</f>
        <v>2622</v>
      </c>
      <c r="L6443" s="14" t="n">
        <f aca="false">($L$2*M6443)/100</f>
        <v>624866.58</v>
      </c>
      <c r="M6443" s="15" t="n">
        <v>0.52</v>
      </c>
      <c r="N6443" s="9" t="s">
        <v>85</v>
      </c>
    </row>
    <row r="6444" customFormat="false" ht="14.25" hidden="false" customHeight="true" outlineLevel="0" collapsed="false">
      <c r="B6444" s="9" t="s">
        <v>63</v>
      </c>
      <c r="C6444" s="9" t="n">
        <v>1185732</v>
      </c>
      <c r="D6444" s="10" t="n">
        <v>44398</v>
      </c>
      <c r="E6444" s="9" t="s">
        <v>50</v>
      </c>
      <c r="F6444" s="9" t="s">
        <v>100</v>
      </c>
      <c r="G6444" s="9" t="s">
        <v>101</v>
      </c>
      <c r="H6444" s="11" t="s">
        <v>23</v>
      </c>
      <c r="I6444" s="12" t="n">
        <v>37</v>
      </c>
      <c r="J6444" s="13" t="n">
        <v>63</v>
      </c>
      <c r="K6444" s="14" t="n">
        <f aca="false">I6444*J6444</f>
        <v>2331</v>
      </c>
      <c r="L6444" s="14" t="n">
        <f aca="false">($L$2*M6444)/100</f>
        <v>648899.91</v>
      </c>
      <c r="M6444" s="15" t="n">
        <v>0.54</v>
      </c>
      <c r="N6444" s="9" t="s">
        <v>85</v>
      </c>
    </row>
    <row r="6445" customFormat="false" ht="14.25" hidden="false" customHeight="true" outlineLevel="0" collapsed="false">
      <c r="B6445" s="9" t="s">
        <v>63</v>
      </c>
      <c r="C6445" s="9" t="n">
        <v>1185732</v>
      </c>
      <c r="D6445" s="10" t="n">
        <v>44398</v>
      </c>
      <c r="E6445" s="9" t="s">
        <v>50</v>
      </c>
      <c r="F6445" s="9" t="s">
        <v>100</v>
      </c>
      <c r="G6445" s="9" t="s">
        <v>101</v>
      </c>
      <c r="H6445" s="11" t="s">
        <v>24</v>
      </c>
      <c r="I6445" s="12" t="n">
        <v>46</v>
      </c>
      <c r="J6445" s="13" t="n">
        <v>75</v>
      </c>
      <c r="K6445" s="14" t="n">
        <f aca="false">I6445*J6445</f>
        <v>3450</v>
      </c>
      <c r="L6445" s="14" t="n">
        <f aca="false">($L$2*M6445)/100</f>
        <v>552766.59</v>
      </c>
      <c r="M6445" s="15" t="n">
        <v>0.46</v>
      </c>
      <c r="N6445" s="9" t="s">
        <v>85</v>
      </c>
    </row>
    <row r="6446" customFormat="false" ht="14.25" hidden="false" customHeight="true" outlineLevel="0" collapsed="false">
      <c r="B6446" s="9" t="s">
        <v>63</v>
      </c>
      <c r="C6446" s="9" t="n">
        <v>1185732</v>
      </c>
      <c r="D6446" s="10" t="n">
        <v>44398</v>
      </c>
      <c r="E6446" s="9" t="s">
        <v>50</v>
      </c>
      <c r="F6446" s="9" t="s">
        <v>100</v>
      </c>
      <c r="G6446" s="9" t="s">
        <v>101</v>
      </c>
      <c r="H6446" s="11" t="s">
        <v>25</v>
      </c>
      <c r="I6446" s="12" t="n">
        <v>50</v>
      </c>
      <c r="J6446" s="13" t="n">
        <v>115</v>
      </c>
      <c r="K6446" s="14" t="n">
        <f aca="false">I6446*J6446</f>
        <v>5750</v>
      </c>
      <c r="L6446" s="14" t="n">
        <f aca="false">($L$2*M6446)/100</f>
        <v>648899.91</v>
      </c>
      <c r="M6446" s="15" t="n">
        <v>0.54</v>
      </c>
      <c r="N6446" s="9" t="s">
        <v>85</v>
      </c>
    </row>
    <row r="6447" customFormat="false" ht="14.25" hidden="false" customHeight="true" outlineLevel="0" collapsed="false">
      <c r="B6447" s="9" t="s">
        <v>63</v>
      </c>
      <c r="C6447" s="9" t="n">
        <v>1185732</v>
      </c>
      <c r="D6447" s="10" t="n">
        <v>44430</v>
      </c>
      <c r="E6447" s="9" t="s">
        <v>50</v>
      </c>
      <c r="F6447" s="9" t="s">
        <v>100</v>
      </c>
      <c r="G6447" s="9" t="s">
        <v>101</v>
      </c>
      <c r="H6447" s="11" t="s">
        <v>19</v>
      </c>
      <c r="I6447" s="12" t="n">
        <v>46</v>
      </c>
      <c r="J6447" s="13" t="n">
        <v>167</v>
      </c>
      <c r="K6447" s="14" t="n">
        <f aca="false">I6447*J6447</f>
        <v>7682</v>
      </c>
      <c r="L6447" s="14" t="n">
        <f aca="false">($L$2*M6447)/100</f>
        <v>648899.91</v>
      </c>
      <c r="M6447" s="15" t="n">
        <v>0.54</v>
      </c>
      <c r="N6447" s="9" t="s">
        <v>85</v>
      </c>
    </row>
    <row r="6448" customFormat="false" ht="14.25" hidden="false" customHeight="true" outlineLevel="0" collapsed="false">
      <c r="B6448" s="9" t="s">
        <v>63</v>
      </c>
      <c r="C6448" s="9" t="n">
        <v>1185732</v>
      </c>
      <c r="D6448" s="10" t="n">
        <v>44430</v>
      </c>
      <c r="E6448" s="9" t="s">
        <v>50</v>
      </c>
      <c r="F6448" s="9" t="s">
        <v>100</v>
      </c>
      <c r="G6448" s="9" t="s">
        <v>101</v>
      </c>
      <c r="H6448" s="11" t="s">
        <v>21</v>
      </c>
      <c r="I6448" s="12" t="n">
        <v>41</v>
      </c>
      <c r="J6448" s="13" t="n">
        <v>91</v>
      </c>
      <c r="K6448" s="14" t="n">
        <f aca="false">I6448*J6448</f>
        <v>3731</v>
      </c>
      <c r="L6448" s="14" t="n">
        <f aca="false">($L$2*M6448)/100</f>
        <v>564783.255</v>
      </c>
      <c r="M6448" s="15" t="n">
        <v>0.47</v>
      </c>
      <c r="N6448" s="9" t="s">
        <v>85</v>
      </c>
    </row>
    <row r="6449" customFormat="false" ht="14.25" hidden="false" customHeight="true" outlineLevel="0" collapsed="false">
      <c r="B6449" s="9" t="s">
        <v>63</v>
      </c>
      <c r="C6449" s="9" t="n">
        <v>1185732</v>
      </c>
      <c r="D6449" s="10" t="n">
        <v>44430</v>
      </c>
      <c r="E6449" s="9" t="s">
        <v>50</v>
      </c>
      <c r="F6449" s="9" t="s">
        <v>100</v>
      </c>
      <c r="G6449" s="9" t="s">
        <v>101</v>
      </c>
      <c r="H6449" s="11" t="s">
        <v>22</v>
      </c>
      <c r="I6449" s="12" t="n">
        <v>36</v>
      </c>
      <c r="J6449" s="13" t="n">
        <v>80</v>
      </c>
      <c r="K6449" s="14" t="n">
        <f aca="false">I6449*J6449</f>
        <v>2880</v>
      </c>
      <c r="L6449" s="14" t="n">
        <f aca="false">($L$2*M6449)/100</f>
        <v>648899.91</v>
      </c>
      <c r="M6449" s="15" t="n">
        <v>0.54</v>
      </c>
      <c r="N6449" s="9" t="s">
        <v>85</v>
      </c>
    </row>
    <row r="6450" customFormat="false" ht="14.25" hidden="false" customHeight="true" outlineLevel="0" collapsed="false">
      <c r="B6450" s="9" t="s">
        <v>63</v>
      </c>
      <c r="C6450" s="9" t="n">
        <v>1185732</v>
      </c>
      <c r="D6450" s="10" t="n">
        <v>44430</v>
      </c>
      <c r="E6450" s="9" t="s">
        <v>50</v>
      </c>
      <c r="F6450" s="9" t="s">
        <v>100</v>
      </c>
      <c r="G6450" s="9" t="s">
        <v>101</v>
      </c>
      <c r="H6450" s="11" t="s">
        <v>23</v>
      </c>
      <c r="I6450" s="12" t="n">
        <v>38</v>
      </c>
      <c r="J6450" s="13" t="n">
        <v>75</v>
      </c>
      <c r="K6450" s="14" t="n">
        <f aca="false">I6450*J6450</f>
        <v>2850</v>
      </c>
      <c r="L6450" s="14" t="n">
        <f aca="false">($L$2*M6450)/100</f>
        <v>600833.25</v>
      </c>
      <c r="M6450" s="15" t="n">
        <v>0.5</v>
      </c>
      <c r="N6450" s="9" t="s">
        <v>85</v>
      </c>
    </row>
    <row r="6451" customFormat="false" ht="14.25" hidden="false" customHeight="true" outlineLevel="0" collapsed="false">
      <c r="B6451" s="9" t="s">
        <v>63</v>
      </c>
      <c r="C6451" s="9" t="n">
        <v>1185732</v>
      </c>
      <c r="D6451" s="10" t="n">
        <v>44430</v>
      </c>
      <c r="E6451" s="9" t="s">
        <v>50</v>
      </c>
      <c r="F6451" s="9" t="s">
        <v>100</v>
      </c>
      <c r="G6451" s="9" t="s">
        <v>101</v>
      </c>
      <c r="H6451" s="11" t="s">
        <v>24</v>
      </c>
      <c r="I6451" s="12" t="n">
        <v>49</v>
      </c>
      <c r="J6451" s="13" t="n">
        <v>65</v>
      </c>
      <c r="K6451" s="14" t="n">
        <f aca="false">I6451*J6451</f>
        <v>3185</v>
      </c>
      <c r="L6451" s="14" t="n">
        <f aca="false">($L$2*M6451)/100</f>
        <v>588816.585</v>
      </c>
      <c r="M6451" s="15" t="n">
        <v>0.49</v>
      </c>
      <c r="N6451" s="9" t="s">
        <v>85</v>
      </c>
    </row>
    <row r="6452" customFormat="false" ht="14.25" hidden="false" customHeight="true" outlineLevel="0" collapsed="false">
      <c r="B6452" s="9" t="s">
        <v>63</v>
      </c>
      <c r="C6452" s="9" t="n">
        <v>1185732</v>
      </c>
      <c r="D6452" s="10" t="n">
        <v>44430</v>
      </c>
      <c r="E6452" s="9" t="s">
        <v>50</v>
      </c>
      <c r="F6452" s="9" t="s">
        <v>100</v>
      </c>
      <c r="G6452" s="9" t="s">
        <v>101</v>
      </c>
      <c r="H6452" s="11" t="s">
        <v>25</v>
      </c>
      <c r="I6452" s="12" t="n">
        <v>51</v>
      </c>
      <c r="J6452" s="13" t="n">
        <v>120</v>
      </c>
      <c r="K6452" s="14" t="n">
        <f aca="false">I6452*J6452</f>
        <v>6120</v>
      </c>
      <c r="L6452" s="14" t="n">
        <f aca="false">($L$2*M6452)/100</f>
        <v>648899.91</v>
      </c>
      <c r="M6452" s="15" t="n">
        <v>0.54</v>
      </c>
      <c r="N6452" s="9" t="s">
        <v>85</v>
      </c>
    </row>
    <row r="6453" customFormat="false" ht="14.25" hidden="false" customHeight="true" outlineLevel="0" collapsed="false">
      <c r="B6453" s="9" t="s">
        <v>63</v>
      </c>
      <c r="C6453" s="9" t="n">
        <v>1185732</v>
      </c>
      <c r="D6453" s="10" t="n">
        <v>44462</v>
      </c>
      <c r="E6453" s="9" t="s">
        <v>50</v>
      </c>
      <c r="F6453" s="9" t="s">
        <v>100</v>
      </c>
      <c r="G6453" s="9" t="s">
        <v>101</v>
      </c>
      <c r="H6453" s="11" t="s">
        <v>19</v>
      </c>
      <c r="I6453" s="12" t="n">
        <v>48</v>
      </c>
      <c r="J6453" s="13" t="n">
        <v>137</v>
      </c>
      <c r="K6453" s="14" t="n">
        <f aca="false">I6453*J6453</f>
        <v>6576</v>
      </c>
      <c r="L6453" s="14" t="n">
        <f aca="false">($L$2*M6453)/100</f>
        <v>636883.245</v>
      </c>
      <c r="M6453" s="15" t="n">
        <v>0.53</v>
      </c>
      <c r="N6453" s="9" t="s">
        <v>85</v>
      </c>
    </row>
    <row r="6454" customFormat="false" ht="14.25" hidden="false" customHeight="true" outlineLevel="0" collapsed="false">
      <c r="B6454" s="9" t="s">
        <v>63</v>
      </c>
      <c r="C6454" s="9" t="n">
        <v>1185732</v>
      </c>
      <c r="D6454" s="10" t="n">
        <v>44462</v>
      </c>
      <c r="E6454" s="9" t="s">
        <v>50</v>
      </c>
      <c r="F6454" s="9" t="s">
        <v>100</v>
      </c>
      <c r="G6454" s="9" t="s">
        <v>101</v>
      </c>
      <c r="H6454" s="11" t="s">
        <v>21</v>
      </c>
      <c r="I6454" s="12" t="n">
        <v>44</v>
      </c>
      <c r="J6454" s="13" t="n">
        <v>94</v>
      </c>
      <c r="K6454" s="14" t="n">
        <f aca="false">I6454*J6454</f>
        <v>4136</v>
      </c>
      <c r="L6454" s="14" t="n">
        <f aca="false">($L$2*M6454)/100</f>
        <v>588816.585</v>
      </c>
      <c r="M6454" s="15" t="n">
        <v>0.49</v>
      </c>
      <c r="N6454" s="9" t="s">
        <v>85</v>
      </c>
    </row>
    <row r="6455" customFormat="false" ht="14.25" hidden="false" customHeight="true" outlineLevel="0" collapsed="false">
      <c r="B6455" s="9" t="s">
        <v>63</v>
      </c>
      <c r="C6455" s="9" t="n">
        <v>1185732</v>
      </c>
      <c r="D6455" s="10" t="n">
        <v>44462</v>
      </c>
      <c r="E6455" s="9" t="s">
        <v>50</v>
      </c>
      <c r="F6455" s="9" t="s">
        <v>100</v>
      </c>
      <c r="G6455" s="9" t="s">
        <v>101</v>
      </c>
      <c r="H6455" s="11" t="s">
        <v>22</v>
      </c>
      <c r="I6455" s="12" t="n">
        <v>33</v>
      </c>
      <c r="J6455" s="13" t="n">
        <v>65</v>
      </c>
      <c r="K6455" s="14" t="n">
        <f aca="false">I6455*J6455</f>
        <v>2145</v>
      </c>
      <c r="L6455" s="14" t="n">
        <f aca="false">($L$2*M6455)/100</f>
        <v>636883.245</v>
      </c>
      <c r="M6455" s="15" t="n">
        <v>0.53</v>
      </c>
      <c r="N6455" s="9" t="s">
        <v>85</v>
      </c>
    </row>
    <row r="6456" customFormat="false" ht="14.25" hidden="false" customHeight="true" outlineLevel="0" collapsed="false">
      <c r="B6456" s="9" t="s">
        <v>63</v>
      </c>
      <c r="C6456" s="9" t="n">
        <v>1185732</v>
      </c>
      <c r="D6456" s="10" t="n">
        <v>44462</v>
      </c>
      <c r="E6456" s="9" t="s">
        <v>50</v>
      </c>
      <c r="F6456" s="9" t="s">
        <v>100</v>
      </c>
      <c r="G6456" s="9" t="s">
        <v>101</v>
      </c>
      <c r="H6456" s="11" t="s">
        <v>23</v>
      </c>
      <c r="I6456" s="12" t="n">
        <v>32</v>
      </c>
      <c r="J6456" s="13" t="n">
        <v>54</v>
      </c>
      <c r="K6456" s="14" t="n">
        <f aca="false">I6456*J6456</f>
        <v>1728</v>
      </c>
      <c r="L6456" s="14" t="n">
        <f aca="false">($L$2*M6456)/100</f>
        <v>612849.915</v>
      </c>
      <c r="M6456" s="15" t="n">
        <v>0.51</v>
      </c>
      <c r="N6456" s="9" t="s">
        <v>85</v>
      </c>
    </row>
    <row r="6457" customFormat="false" ht="14.25" hidden="false" customHeight="true" outlineLevel="0" collapsed="false">
      <c r="B6457" s="9" t="s">
        <v>63</v>
      </c>
      <c r="C6457" s="9" t="n">
        <v>1185732</v>
      </c>
      <c r="D6457" s="10" t="n">
        <v>44462</v>
      </c>
      <c r="E6457" s="9" t="s">
        <v>50</v>
      </c>
      <c r="F6457" s="9" t="s">
        <v>100</v>
      </c>
      <c r="G6457" s="9" t="s">
        <v>101</v>
      </c>
      <c r="H6457" s="11" t="s">
        <v>24</v>
      </c>
      <c r="I6457" s="12" t="n">
        <v>43</v>
      </c>
      <c r="J6457" s="13" t="n">
        <v>58</v>
      </c>
      <c r="K6457" s="14" t="n">
        <f aca="false">I6457*J6457</f>
        <v>2494</v>
      </c>
      <c r="L6457" s="14" t="n">
        <f aca="false">($L$2*M6457)/100</f>
        <v>564783.255</v>
      </c>
      <c r="M6457" s="15" t="n">
        <v>0.47</v>
      </c>
      <c r="N6457" s="9" t="s">
        <v>85</v>
      </c>
    </row>
    <row r="6458" customFormat="false" ht="14.25" hidden="false" customHeight="true" outlineLevel="0" collapsed="false">
      <c r="B6458" s="9" t="s">
        <v>63</v>
      </c>
      <c r="C6458" s="9" t="n">
        <v>1185732</v>
      </c>
      <c r="D6458" s="10" t="n">
        <v>44462</v>
      </c>
      <c r="E6458" s="9" t="s">
        <v>50</v>
      </c>
      <c r="F6458" s="9" t="s">
        <v>100</v>
      </c>
      <c r="G6458" s="9" t="s">
        <v>101</v>
      </c>
      <c r="H6458" s="11" t="s">
        <v>25</v>
      </c>
      <c r="I6458" s="12" t="n">
        <v>49</v>
      </c>
      <c r="J6458" s="13" t="n">
        <v>74</v>
      </c>
      <c r="K6458" s="14" t="n">
        <f aca="false">I6458*J6458</f>
        <v>3626</v>
      </c>
      <c r="L6458" s="14" t="n">
        <f aca="false">($L$2*M6458)/100</f>
        <v>624866.58</v>
      </c>
      <c r="M6458" s="15" t="n">
        <v>0.52</v>
      </c>
      <c r="N6458" s="9" t="s">
        <v>85</v>
      </c>
    </row>
    <row r="6459" customFormat="false" ht="14.25" hidden="false" customHeight="true" outlineLevel="0" collapsed="false">
      <c r="B6459" s="9" t="s">
        <v>63</v>
      </c>
      <c r="C6459" s="9" t="n">
        <v>1185732</v>
      </c>
      <c r="D6459" s="10" t="n">
        <v>44491</v>
      </c>
      <c r="E6459" s="9" t="s">
        <v>50</v>
      </c>
      <c r="F6459" s="9" t="s">
        <v>100</v>
      </c>
      <c r="G6459" s="9" t="s">
        <v>101</v>
      </c>
      <c r="H6459" s="11" t="s">
        <v>19</v>
      </c>
      <c r="I6459" s="12" t="n">
        <v>53</v>
      </c>
      <c r="J6459" s="13" t="n">
        <v>126</v>
      </c>
      <c r="K6459" s="14" t="n">
        <f aca="false">I6459*J6459</f>
        <v>6678</v>
      </c>
      <c r="L6459" s="14" t="n">
        <f aca="false">($L$2*M6459)/100</f>
        <v>660916.575</v>
      </c>
      <c r="M6459" s="15" t="n">
        <v>0.55</v>
      </c>
      <c r="N6459" s="9" t="s">
        <v>85</v>
      </c>
    </row>
    <row r="6460" customFormat="false" ht="14.25" hidden="false" customHeight="true" outlineLevel="0" collapsed="false">
      <c r="B6460" s="9" t="s">
        <v>63</v>
      </c>
      <c r="C6460" s="9" t="n">
        <v>1185732</v>
      </c>
      <c r="D6460" s="10" t="n">
        <v>44491</v>
      </c>
      <c r="E6460" s="9" t="s">
        <v>50</v>
      </c>
      <c r="F6460" s="9" t="s">
        <v>100</v>
      </c>
      <c r="G6460" s="9" t="s">
        <v>101</v>
      </c>
      <c r="H6460" s="11" t="s">
        <v>21</v>
      </c>
      <c r="I6460" s="12" t="n">
        <v>41</v>
      </c>
      <c r="J6460" s="13" t="n">
        <v>83</v>
      </c>
      <c r="K6460" s="14" t="n">
        <f aca="false">I6460*J6460</f>
        <v>3403</v>
      </c>
      <c r="L6460" s="14" t="n">
        <f aca="false">($L$2*M6460)/100</f>
        <v>600833.25</v>
      </c>
      <c r="M6460" s="15" t="n">
        <v>0.5</v>
      </c>
      <c r="N6460" s="9" t="s">
        <v>85</v>
      </c>
    </row>
    <row r="6461" customFormat="false" ht="14.25" hidden="false" customHeight="true" outlineLevel="0" collapsed="false">
      <c r="B6461" s="9" t="s">
        <v>63</v>
      </c>
      <c r="C6461" s="9" t="n">
        <v>1185732</v>
      </c>
      <c r="D6461" s="10" t="n">
        <v>44491</v>
      </c>
      <c r="E6461" s="9" t="s">
        <v>50</v>
      </c>
      <c r="F6461" s="9" t="s">
        <v>100</v>
      </c>
      <c r="G6461" s="9" t="s">
        <v>101</v>
      </c>
      <c r="H6461" s="11" t="s">
        <v>22</v>
      </c>
      <c r="I6461" s="12" t="n">
        <v>43</v>
      </c>
      <c r="J6461" s="13" t="n">
        <v>47</v>
      </c>
      <c r="K6461" s="14" t="n">
        <f aca="false">I6461*J6461</f>
        <v>2021</v>
      </c>
      <c r="L6461" s="14" t="n">
        <f aca="false">($L$2*M6461)/100</f>
        <v>648899.91</v>
      </c>
      <c r="M6461" s="15" t="n">
        <v>0.54</v>
      </c>
      <c r="N6461" s="9" t="s">
        <v>85</v>
      </c>
    </row>
    <row r="6462" customFormat="false" ht="14.25" hidden="false" customHeight="true" outlineLevel="0" collapsed="false">
      <c r="B6462" s="9" t="s">
        <v>63</v>
      </c>
      <c r="C6462" s="9" t="n">
        <v>1185732</v>
      </c>
      <c r="D6462" s="10" t="n">
        <v>44491</v>
      </c>
      <c r="E6462" s="9" t="s">
        <v>50</v>
      </c>
      <c r="F6462" s="9" t="s">
        <v>100</v>
      </c>
      <c r="G6462" s="9" t="s">
        <v>101</v>
      </c>
      <c r="H6462" s="11" t="s">
        <v>23</v>
      </c>
      <c r="I6462" s="12" t="n">
        <v>41</v>
      </c>
      <c r="J6462" s="13" t="n">
        <v>42</v>
      </c>
      <c r="K6462" s="14" t="n">
        <f aca="false">I6462*J6462</f>
        <v>1722</v>
      </c>
      <c r="L6462" s="14" t="n">
        <f aca="false">($L$2*M6462)/100</f>
        <v>624866.58</v>
      </c>
      <c r="M6462" s="15" t="n">
        <v>0.52</v>
      </c>
      <c r="N6462" s="9" t="s">
        <v>85</v>
      </c>
    </row>
    <row r="6463" customFormat="false" ht="14.25" hidden="false" customHeight="true" outlineLevel="0" collapsed="false">
      <c r="B6463" s="9" t="s">
        <v>63</v>
      </c>
      <c r="C6463" s="9" t="n">
        <v>1185732</v>
      </c>
      <c r="D6463" s="10" t="n">
        <v>44491</v>
      </c>
      <c r="E6463" s="9" t="s">
        <v>50</v>
      </c>
      <c r="F6463" s="9" t="s">
        <v>100</v>
      </c>
      <c r="G6463" s="9" t="s">
        <v>101</v>
      </c>
      <c r="H6463" s="11" t="s">
        <v>24</v>
      </c>
      <c r="I6463" s="12" t="n">
        <v>53</v>
      </c>
      <c r="J6463" s="13" t="n">
        <v>41</v>
      </c>
      <c r="K6463" s="14" t="n">
        <f aca="false">I6463*J6463</f>
        <v>2173</v>
      </c>
      <c r="L6463" s="14" t="n">
        <f aca="false">($L$2*M6463)/100</f>
        <v>588816.585</v>
      </c>
      <c r="M6463" s="15" t="n">
        <v>0.49</v>
      </c>
      <c r="N6463" s="9" t="s">
        <v>85</v>
      </c>
    </row>
    <row r="6464" customFormat="false" ht="14.25" hidden="false" customHeight="true" outlineLevel="0" collapsed="false">
      <c r="B6464" s="9" t="s">
        <v>63</v>
      </c>
      <c r="C6464" s="9" t="n">
        <v>1185732</v>
      </c>
      <c r="D6464" s="10" t="n">
        <v>44491</v>
      </c>
      <c r="E6464" s="9" t="s">
        <v>50</v>
      </c>
      <c r="F6464" s="9" t="s">
        <v>100</v>
      </c>
      <c r="G6464" s="9" t="s">
        <v>101</v>
      </c>
      <c r="H6464" s="11" t="s">
        <v>25</v>
      </c>
      <c r="I6464" s="12" t="n">
        <v>53</v>
      </c>
      <c r="J6464" s="13" t="n">
        <v>83</v>
      </c>
      <c r="K6464" s="14" t="n">
        <f aca="false">I6464*J6464</f>
        <v>4399</v>
      </c>
      <c r="L6464" s="14" t="n">
        <f aca="false">($L$2*M6464)/100</f>
        <v>600833.25</v>
      </c>
      <c r="M6464" s="15" t="n">
        <v>0.5</v>
      </c>
      <c r="N6464" s="9" t="s">
        <v>85</v>
      </c>
    </row>
    <row r="6465" customFormat="false" ht="14.25" hidden="false" customHeight="true" outlineLevel="0" collapsed="false">
      <c r="B6465" s="9" t="s">
        <v>63</v>
      </c>
      <c r="C6465" s="9" t="n">
        <v>1185732</v>
      </c>
      <c r="D6465" s="10" t="n">
        <v>44522</v>
      </c>
      <c r="E6465" s="9" t="s">
        <v>50</v>
      </c>
      <c r="F6465" s="9" t="s">
        <v>100</v>
      </c>
      <c r="G6465" s="9" t="s">
        <v>101</v>
      </c>
      <c r="H6465" s="11" t="s">
        <v>19</v>
      </c>
      <c r="I6465" s="12" t="n">
        <v>48</v>
      </c>
      <c r="J6465" s="13" t="n">
        <v>123</v>
      </c>
      <c r="K6465" s="14" t="n">
        <f aca="false">I6465*J6465</f>
        <v>5904</v>
      </c>
      <c r="L6465" s="14" t="n">
        <f aca="false">($L$2*M6465)/100</f>
        <v>624866.58</v>
      </c>
      <c r="M6465" s="15" t="n">
        <v>0.52</v>
      </c>
      <c r="N6465" s="9" t="s">
        <v>85</v>
      </c>
    </row>
    <row r="6466" customFormat="false" ht="14.25" hidden="false" customHeight="true" outlineLevel="0" collapsed="false">
      <c r="B6466" s="9" t="s">
        <v>63</v>
      </c>
      <c r="C6466" s="9" t="n">
        <v>1185732</v>
      </c>
      <c r="D6466" s="10" t="n">
        <v>44522</v>
      </c>
      <c r="E6466" s="9" t="s">
        <v>50</v>
      </c>
      <c r="F6466" s="9" t="s">
        <v>100</v>
      </c>
      <c r="G6466" s="9" t="s">
        <v>101</v>
      </c>
      <c r="H6466" s="11" t="s">
        <v>21</v>
      </c>
      <c r="I6466" s="12" t="n">
        <v>39</v>
      </c>
      <c r="J6466" s="13" t="n">
        <v>72</v>
      </c>
      <c r="K6466" s="14" t="n">
        <f aca="false">I6466*J6466</f>
        <v>2808</v>
      </c>
      <c r="L6466" s="14" t="n">
        <f aca="false">($L$2*M6466)/100</f>
        <v>564783.255</v>
      </c>
      <c r="M6466" s="15" t="n">
        <v>0.47</v>
      </c>
      <c r="N6466" s="9" t="s">
        <v>85</v>
      </c>
    </row>
    <row r="6467" customFormat="false" ht="14.25" hidden="false" customHeight="true" outlineLevel="0" collapsed="false">
      <c r="B6467" s="9" t="s">
        <v>63</v>
      </c>
      <c r="C6467" s="9" t="n">
        <v>1185732</v>
      </c>
      <c r="D6467" s="10" t="n">
        <v>44522</v>
      </c>
      <c r="E6467" s="9" t="s">
        <v>50</v>
      </c>
      <c r="F6467" s="9" t="s">
        <v>100</v>
      </c>
      <c r="G6467" s="9" t="s">
        <v>101</v>
      </c>
      <c r="H6467" s="11" t="s">
        <v>22</v>
      </c>
      <c r="I6467" s="12" t="n">
        <v>41</v>
      </c>
      <c r="J6467" s="13" t="n">
        <v>57</v>
      </c>
      <c r="K6467" s="14" t="n">
        <f aca="false">I6467*J6467</f>
        <v>2337</v>
      </c>
      <c r="L6467" s="14" t="n">
        <f aca="false">($L$2*M6467)/100</f>
        <v>612849.915</v>
      </c>
      <c r="M6467" s="15" t="n">
        <v>0.51</v>
      </c>
      <c r="N6467" s="9" t="s">
        <v>85</v>
      </c>
    </row>
    <row r="6468" customFormat="false" ht="14.25" hidden="false" customHeight="true" outlineLevel="0" collapsed="false">
      <c r="B6468" s="9" t="s">
        <v>16</v>
      </c>
      <c r="C6468" s="9" t="n">
        <v>1185732</v>
      </c>
      <c r="D6468" s="10" t="n">
        <v>44522</v>
      </c>
      <c r="E6468" s="9" t="s">
        <v>50</v>
      </c>
      <c r="F6468" s="9" t="s">
        <v>100</v>
      </c>
      <c r="G6468" s="9" t="s">
        <v>101</v>
      </c>
      <c r="H6468" s="11" t="s">
        <v>23</v>
      </c>
      <c r="I6468" s="12" t="n">
        <v>52</v>
      </c>
      <c r="J6468" s="13" t="n">
        <v>52</v>
      </c>
      <c r="K6468" s="14" t="n">
        <f aca="false">I6468*J6468</f>
        <v>2704</v>
      </c>
      <c r="L6468" s="14" t="n">
        <f aca="false">($L$2*M6468)/100</f>
        <v>600833.25</v>
      </c>
      <c r="M6468" s="15" t="n">
        <v>0.5</v>
      </c>
      <c r="N6468" s="9" t="s">
        <v>85</v>
      </c>
    </row>
    <row r="6469" customFormat="false" ht="14.25" hidden="false" customHeight="true" outlineLevel="0" collapsed="false">
      <c r="B6469" s="9" t="s">
        <v>16</v>
      </c>
      <c r="C6469" s="9" t="n">
        <v>1185732</v>
      </c>
      <c r="D6469" s="10" t="n">
        <v>44522</v>
      </c>
      <c r="E6469" s="9" t="s">
        <v>50</v>
      </c>
      <c r="F6469" s="9" t="s">
        <v>100</v>
      </c>
      <c r="G6469" s="9" t="s">
        <v>101</v>
      </c>
      <c r="H6469" s="11" t="s">
        <v>24</v>
      </c>
      <c r="I6469" s="12" t="n">
        <v>59</v>
      </c>
      <c r="J6469" s="13" t="n">
        <v>53</v>
      </c>
      <c r="K6469" s="14" t="n">
        <f aca="false">I6469*J6469</f>
        <v>3127</v>
      </c>
      <c r="L6469" s="14" t="n">
        <f aca="false">($L$2*M6469)/100</f>
        <v>576799.92</v>
      </c>
      <c r="M6469" s="15" t="n">
        <v>0.48</v>
      </c>
      <c r="N6469" s="9" t="s">
        <v>85</v>
      </c>
    </row>
    <row r="6470" customFormat="false" ht="14.25" hidden="false" customHeight="true" outlineLevel="0" collapsed="false">
      <c r="B6470" s="9" t="s">
        <v>16</v>
      </c>
      <c r="C6470" s="9" t="n">
        <v>1185732</v>
      </c>
      <c r="D6470" s="10" t="n">
        <v>44522</v>
      </c>
      <c r="E6470" s="9" t="s">
        <v>50</v>
      </c>
      <c r="F6470" s="9" t="s">
        <v>100</v>
      </c>
      <c r="G6470" s="9" t="s">
        <v>101</v>
      </c>
      <c r="H6470" s="11" t="s">
        <v>25</v>
      </c>
      <c r="I6470" s="12" t="n">
        <v>66</v>
      </c>
      <c r="J6470" s="13" t="n">
        <v>80</v>
      </c>
      <c r="K6470" s="14" t="n">
        <f aca="false">I6470*J6470</f>
        <v>5280</v>
      </c>
      <c r="L6470" s="14" t="n">
        <f aca="false">($L$2*M6470)/100</f>
        <v>648899.91</v>
      </c>
      <c r="M6470" s="15" t="n">
        <v>0.54</v>
      </c>
      <c r="N6470" s="9" t="s">
        <v>85</v>
      </c>
    </row>
    <row r="6471" customFormat="false" ht="14.25" hidden="false" customHeight="true" outlineLevel="0" collapsed="false">
      <c r="B6471" s="9" t="s">
        <v>16</v>
      </c>
      <c r="C6471" s="9" t="n">
        <v>1185732</v>
      </c>
      <c r="D6471" s="10" t="n">
        <v>44551</v>
      </c>
      <c r="E6471" s="9" t="s">
        <v>50</v>
      </c>
      <c r="F6471" s="9" t="s">
        <v>100</v>
      </c>
      <c r="G6471" s="9" t="s">
        <v>101</v>
      </c>
      <c r="H6471" s="11" t="s">
        <v>19</v>
      </c>
      <c r="I6471" s="12" t="n">
        <v>59</v>
      </c>
      <c r="J6471" s="13" t="n">
        <v>158</v>
      </c>
      <c r="K6471" s="14" t="n">
        <f aca="false">I6471*J6471</f>
        <v>9322</v>
      </c>
      <c r="L6471" s="14" t="n">
        <f aca="false">($L$2*M6471)/100</f>
        <v>660916.575</v>
      </c>
      <c r="M6471" s="15" t="n">
        <v>0.55</v>
      </c>
      <c r="N6471" s="9" t="s">
        <v>85</v>
      </c>
    </row>
    <row r="6472" customFormat="false" ht="14.25" hidden="false" customHeight="true" outlineLevel="0" collapsed="false">
      <c r="B6472" s="9" t="s">
        <v>16</v>
      </c>
      <c r="C6472" s="9" t="n">
        <v>1185732</v>
      </c>
      <c r="D6472" s="10" t="n">
        <v>44551</v>
      </c>
      <c r="E6472" s="9" t="s">
        <v>50</v>
      </c>
      <c r="F6472" s="9" t="s">
        <v>100</v>
      </c>
      <c r="G6472" s="9" t="s">
        <v>101</v>
      </c>
      <c r="H6472" s="11" t="s">
        <v>21</v>
      </c>
      <c r="I6472" s="12" t="n">
        <v>52</v>
      </c>
      <c r="J6472" s="13" t="n">
        <v>98</v>
      </c>
      <c r="K6472" s="14" t="n">
        <f aca="false">I6472*J6472</f>
        <v>5096</v>
      </c>
      <c r="L6472" s="14" t="n">
        <f aca="false">($L$2*M6472)/100</f>
        <v>576799.92</v>
      </c>
      <c r="M6472" s="15" t="n">
        <v>0.48</v>
      </c>
      <c r="N6472" s="9" t="s">
        <v>85</v>
      </c>
    </row>
    <row r="6473" customFormat="false" ht="14.25" hidden="false" customHeight="true" outlineLevel="0" collapsed="false">
      <c r="B6473" s="9" t="s">
        <v>16</v>
      </c>
      <c r="C6473" s="9" t="n">
        <v>1185732</v>
      </c>
      <c r="D6473" s="10" t="n">
        <v>44551</v>
      </c>
      <c r="E6473" s="9" t="s">
        <v>50</v>
      </c>
      <c r="F6473" s="9" t="s">
        <v>100</v>
      </c>
      <c r="G6473" s="9" t="s">
        <v>101</v>
      </c>
      <c r="H6473" s="11" t="s">
        <v>22</v>
      </c>
      <c r="I6473" s="12" t="n">
        <v>51</v>
      </c>
      <c r="J6473" s="13" t="n">
        <v>74</v>
      </c>
      <c r="K6473" s="14" t="n">
        <f aca="false">I6473*J6473</f>
        <v>3774</v>
      </c>
      <c r="L6473" s="14" t="n">
        <f aca="false">($L$2*M6473)/100</f>
        <v>660916.575</v>
      </c>
      <c r="M6473" s="15" t="n">
        <v>0.55</v>
      </c>
      <c r="N6473" s="9" t="s">
        <v>85</v>
      </c>
    </row>
    <row r="6474" customFormat="false" ht="14.25" hidden="false" customHeight="true" outlineLevel="0" collapsed="false">
      <c r="B6474" s="9" t="s">
        <v>16</v>
      </c>
      <c r="C6474" s="9" t="n">
        <v>1185732</v>
      </c>
      <c r="D6474" s="10" t="n">
        <v>44551</v>
      </c>
      <c r="E6474" s="9" t="s">
        <v>50</v>
      </c>
      <c r="F6474" s="9" t="s">
        <v>100</v>
      </c>
      <c r="G6474" s="9" t="s">
        <v>101</v>
      </c>
      <c r="H6474" s="11" t="s">
        <v>23</v>
      </c>
      <c r="I6474" s="12" t="n">
        <v>49</v>
      </c>
      <c r="J6474" s="13" t="n">
        <v>68</v>
      </c>
      <c r="K6474" s="14" t="n">
        <f aca="false">I6474*J6474</f>
        <v>3332</v>
      </c>
      <c r="L6474" s="14" t="n">
        <f aca="false">($L$2*M6474)/100</f>
        <v>636883.245</v>
      </c>
      <c r="M6474" s="15" t="n">
        <v>0.53</v>
      </c>
      <c r="N6474" s="9" t="s">
        <v>85</v>
      </c>
    </row>
    <row r="6475" customFormat="false" ht="14.25" hidden="false" customHeight="true" outlineLevel="0" collapsed="false">
      <c r="B6475" s="9" t="s">
        <v>16</v>
      </c>
      <c r="C6475" s="9" t="n">
        <v>1185732</v>
      </c>
      <c r="D6475" s="10" t="n">
        <v>44551</v>
      </c>
      <c r="E6475" s="9" t="s">
        <v>50</v>
      </c>
      <c r="F6475" s="9" t="s">
        <v>100</v>
      </c>
      <c r="G6475" s="9" t="s">
        <v>101</v>
      </c>
      <c r="H6475" s="11" t="s">
        <v>24</v>
      </c>
      <c r="I6475" s="12" t="n">
        <v>54</v>
      </c>
      <c r="J6475" s="13" t="n">
        <v>68</v>
      </c>
      <c r="K6475" s="14" t="n">
        <f aca="false">I6475*J6475</f>
        <v>3672</v>
      </c>
      <c r="L6475" s="14" t="n">
        <f aca="false">($L$2*M6475)/100</f>
        <v>564783.255</v>
      </c>
      <c r="M6475" s="15" t="n">
        <v>0.47</v>
      </c>
      <c r="N6475" s="9" t="s">
        <v>85</v>
      </c>
    </row>
    <row r="6476" customFormat="false" ht="14.25" hidden="false" customHeight="true" outlineLevel="0" collapsed="false">
      <c r="B6476" s="9" t="s">
        <v>16</v>
      </c>
      <c r="C6476" s="9" t="n">
        <v>1185732</v>
      </c>
      <c r="D6476" s="10" t="n">
        <v>44551</v>
      </c>
      <c r="E6476" s="9" t="s">
        <v>50</v>
      </c>
      <c r="F6476" s="9" t="s">
        <v>100</v>
      </c>
      <c r="G6476" s="9" t="s">
        <v>101</v>
      </c>
      <c r="H6476" s="11" t="s">
        <v>25</v>
      </c>
      <c r="I6476" s="12" t="n">
        <v>64</v>
      </c>
      <c r="J6476" s="13" t="n">
        <v>98</v>
      </c>
      <c r="K6476" s="14" t="n">
        <f aca="false">I6476*J6476</f>
        <v>6272</v>
      </c>
      <c r="L6476" s="14" t="n">
        <f aca="false">($L$2*M6476)/100</f>
        <v>636883.245</v>
      </c>
      <c r="M6476" s="15" t="n">
        <v>0.53</v>
      </c>
      <c r="N6476" s="9" t="s">
        <v>85</v>
      </c>
    </row>
    <row r="6477" customFormat="false" ht="14.25" hidden="false" customHeight="true" outlineLevel="0" collapsed="false">
      <c r="B6477" s="9" t="s">
        <v>16</v>
      </c>
      <c r="C6477" s="9" t="n">
        <v>1185732</v>
      </c>
      <c r="D6477" s="10" t="n">
        <v>44216</v>
      </c>
      <c r="E6477" s="9" t="s">
        <v>50</v>
      </c>
      <c r="F6477" s="9" t="s">
        <v>100</v>
      </c>
      <c r="G6477" s="9" t="s">
        <v>101</v>
      </c>
      <c r="H6477" s="11" t="s">
        <v>19</v>
      </c>
      <c r="I6477" s="12" t="n">
        <v>29</v>
      </c>
      <c r="J6477" s="13" t="n">
        <v>189</v>
      </c>
      <c r="K6477" s="14" t="n">
        <f aca="false">I6477*J6477</f>
        <v>5481</v>
      </c>
      <c r="L6477" s="14" t="n">
        <f aca="false">($L$2*M6477)/100</f>
        <v>648899.91</v>
      </c>
      <c r="M6477" s="15" t="n">
        <v>0.54</v>
      </c>
      <c r="N6477" s="9" t="s">
        <v>85</v>
      </c>
    </row>
    <row r="6478" customFormat="false" ht="14.25" hidden="false" customHeight="true" outlineLevel="0" collapsed="false">
      <c r="B6478" s="9" t="s">
        <v>16</v>
      </c>
      <c r="C6478" s="9" t="n">
        <v>1185732</v>
      </c>
      <c r="D6478" s="10" t="n">
        <v>44216</v>
      </c>
      <c r="E6478" s="9" t="s">
        <v>50</v>
      </c>
      <c r="F6478" s="9" t="s">
        <v>100</v>
      </c>
      <c r="G6478" s="9" t="s">
        <v>101</v>
      </c>
      <c r="H6478" s="11" t="s">
        <v>21</v>
      </c>
      <c r="I6478" s="12" t="n">
        <v>29</v>
      </c>
      <c r="J6478" s="13" t="n">
        <v>142</v>
      </c>
      <c r="K6478" s="14" t="n">
        <f aca="false">I6478*J6478</f>
        <v>4118</v>
      </c>
      <c r="L6478" s="14" t="n">
        <f aca="false">($L$2*M6478)/100</f>
        <v>540749.925</v>
      </c>
      <c r="M6478" s="15" t="n">
        <v>0.45</v>
      </c>
      <c r="N6478" s="9" t="s">
        <v>85</v>
      </c>
    </row>
    <row r="6479" customFormat="false" ht="14.25" hidden="false" customHeight="true" outlineLevel="0" collapsed="false">
      <c r="B6479" s="9" t="s">
        <v>16</v>
      </c>
      <c r="C6479" s="9" t="n">
        <v>1185732</v>
      </c>
      <c r="D6479" s="10" t="n">
        <v>44216</v>
      </c>
      <c r="E6479" s="9" t="s">
        <v>50</v>
      </c>
      <c r="F6479" s="9" t="s">
        <v>100</v>
      </c>
      <c r="G6479" s="9" t="s">
        <v>101</v>
      </c>
      <c r="H6479" s="11" t="s">
        <v>22</v>
      </c>
      <c r="I6479" s="12" t="n">
        <v>18</v>
      </c>
      <c r="J6479" s="13" t="n">
        <v>158</v>
      </c>
      <c r="K6479" s="14" t="n">
        <f aca="false">I6479*J6479</f>
        <v>2844</v>
      </c>
      <c r="L6479" s="14" t="n">
        <f aca="false">($L$2*M6479)/100</f>
        <v>660916.575</v>
      </c>
      <c r="M6479" s="15" t="n">
        <v>0.55</v>
      </c>
      <c r="N6479" s="9" t="s">
        <v>85</v>
      </c>
    </row>
    <row r="6480" customFormat="false" ht="14.25" hidden="false" customHeight="true" outlineLevel="0" collapsed="false">
      <c r="B6480" s="9" t="s">
        <v>16</v>
      </c>
      <c r="C6480" s="9" t="n">
        <v>1185732</v>
      </c>
      <c r="D6480" s="10" t="n">
        <v>44216</v>
      </c>
      <c r="E6480" s="9" t="s">
        <v>50</v>
      </c>
      <c r="F6480" s="9" t="s">
        <v>100</v>
      </c>
      <c r="G6480" s="9" t="s">
        <v>101</v>
      </c>
      <c r="H6480" s="11" t="s">
        <v>23</v>
      </c>
      <c r="I6480" s="12" t="n">
        <v>23</v>
      </c>
      <c r="J6480" s="13" t="n">
        <v>101</v>
      </c>
      <c r="K6480" s="14" t="n">
        <f aca="false">I6480*J6480</f>
        <v>2323</v>
      </c>
      <c r="L6480" s="14" t="n">
        <f aca="false">($L$2*M6480)/100</f>
        <v>636883.245</v>
      </c>
      <c r="M6480" s="15" t="n">
        <v>0.53</v>
      </c>
      <c r="N6480" s="9" t="s">
        <v>85</v>
      </c>
    </row>
    <row r="6481" customFormat="false" ht="14.25" hidden="false" customHeight="true" outlineLevel="0" collapsed="false">
      <c r="B6481" s="9" t="s">
        <v>16</v>
      </c>
      <c r="C6481" s="9" t="n">
        <v>1185732</v>
      </c>
      <c r="D6481" s="10" t="n">
        <v>44216</v>
      </c>
      <c r="E6481" s="9" t="s">
        <v>50</v>
      </c>
      <c r="F6481" s="9" t="s">
        <v>100</v>
      </c>
      <c r="G6481" s="9" t="s">
        <v>101</v>
      </c>
      <c r="H6481" s="11" t="s">
        <v>24</v>
      </c>
      <c r="I6481" s="12" t="n">
        <v>38</v>
      </c>
      <c r="J6481" s="13" t="n">
        <v>115</v>
      </c>
      <c r="K6481" s="14" t="n">
        <f aca="false">I6481*J6481</f>
        <v>4370</v>
      </c>
      <c r="L6481" s="14" t="n">
        <f aca="false">($L$2*M6481)/100</f>
        <v>576799.92</v>
      </c>
      <c r="M6481" s="15" t="n">
        <v>0.48</v>
      </c>
      <c r="N6481" s="9" t="s">
        <v>85</v>
      </c>
    </row>
    <row r="6482" customFormat="false" ht="14.25" hidden="false" customHeight="true" outlineLevel="0" collapsed="false">
      <c r="B6482" s="9" t="s">
        <v>16</v>
      </c>
      <c r="C6482" s="9" t="n">
        <v>1185732</v>
      </c>
      <c r="D6482" s="10" t="n">
        <v>44216</v>
      </c>
      <c r="E6482" s="9" t="s">
        <v>50</v>
      </c>
      <c r="F6482" s="9" t="s">
        <v>100</v>
      </c>
      <c r="G6482" s="9" t="s">
        <v>101</v>
      </c>
      <c r="H6482" s="11" t="s">
        <v>25</v>
      </c>
      <c r="I6482" s="12" t="n">
        <v>29</v>
      </c>
      <c r="J6482" s="13" t="n">
        <v>158</v>
      </c>
      <c r="K6482" s="14" t="n">
        <f aca="false">I6482*J6482</f>
        <v>4582</v>
      </c>
      <c r="L6482" s="14" t="n">
        <f aca="false">($L$2*M6482)/100</f>
        <v>745033.23</v>
      </c>
      <c r="M6482" s="15" t="n">
        <v>0.62</v>
      </c>
      <c r="N6482" s="9" t="s">
        <v>85</v>
      </c>
    </row>
    <row r="6483" customFormat="false" ht="14.25" hidden="false" customHeight="true" outlineLevel="0" collapsed="false">
      <c r="B6483" s="9" t="s">
        <v>16</v>
      </c>
      <c r="C6483" s="9" t="n">
        <v>1185732</v>
      </c>
      <c r="D6483" s="10" t="n">
        <v>44245</v>
      </c>
      <c r="E6483" s="9" t="s">
        <v>50</v>
      </c>
      <c r="F6483" s="9" t="s">
        <v>100</v>
      </c>
      <c r="G6483" s="9" t="s">
        <v>101</v>
      </c>
      <c r="H6483" s="11" t="s">
        <v>19</v>
      </c>
      <c r="I6483" s="12" t="n">
        <v>28</v>
      </c>
      <c r="J6483" s="13" t="n">
        <v>225</v>
      </c>
      <c r="K6483" s="14" t="n">
        <f aca="false">I6483*J6483</f>
        <v>6300</v>
      </c>
      <c r="L6483" s="14" t="n">
        <f aca="false">($L$2*M6483)/100</f>
        <v>624866.58</v>
      </c>
      <c r="M6483" s="15" t="n">
        <v>0.52</v>
      </c>
      <c r="N6483" s="9" t="s">
        <v>85</v>
      </c>
    </row>
    <row r="6484" customFormat="false" ht="14.25" hidden="false" customHeight="true" outlineLevel="0" collapsed="false">
      <c r="B6484" s="9" t="s">
        <v>16</v>
      </c>
      <c r="C6484" s="9" t="n">
        <v>1185732</v>
      </c>
      <c r="D6484" s="10" t="n">
        <v>44245</v>
      </c>
      <c r="E6484" s="9" t="s">
        <v>50</v>
      </c>
      <c r="F6484" s="9" t="s">
        <v>100</v>
      </c>
      <c r="G6484" s="9" t="s">
        <v>101</v>
      </c>
      <c r="H6484" s="11" t="s">
        <v>21</v>
      </c>
      <c r="I6484" s="12" t="n">
        <v>27</v>
      </c>
      <c r="J6484" s="13" t="n">
        <v>106</v>
      </c>
      <c r="K6484" s="14" t="n">
        <f aca="false">I6484*J6484</f>
        <v>2862</v>
      </c>
      <c r="L6484" s="14" t="n">
        <f aca="false">($L$2*M6484)/100</f>
        <v>576799.92</v>
      </c>
      <c r="M6484" s="15" t="n">
        <v>0.48</v>
      </c>
      <c r="N6484" s="9" t="s">
        <v>85</v>
      </c>
    </row>
    <row r="6485" customFormat="false" ht="14.25" hidden="false" customHeight="true" outlineLevel="0" collapsed="false">
      <c r="B6485" s="9" t="s">
        <v>16</v>
      </c>
      <c r="C6485" s="9" t="n">
        <v>1185732</v>
      </c>
      <c r="D6485" s="10" t="n">
        <v>44245</v>
      </c>
      <c r="E6485" s="9" t="s">
        <v>50</v>
      </c>
      <c r="F6485" s="9" t="s">
        <v>100</v>
      </c>
      <c r="G6485" s="9" t="s">
        <v>101</v>
      </c>
      <c r="H6485" s="11" t="s">
        <v>22</v>
      </c>
      <c r="I6485" s="12" t="n">
        <v>18</v>
      </c>
      <c r="J6485" s="13" t="n">
        <v>124</v>
      </c>
      <c r="K6485" s="14" t="n">
        <f aca="false">I6485*J6485</f>
        <v>2232</v>
      </c>
      <c r="L6485" s="14" t="n">
        <f aca="false">($L$2*M6485)/100</f>
        <v>660916.575</v>
      </c>
      <c r="M6485" s="15" t="n">
        <v>0.55</v>
      </c>
      <c r="N6485" s="9" t="s">
        <v>85</v>
      </c>
    </row>
    <row r="6486" customFormat="false" ht="14.25" hidden="false" customHeight="true" outlineLevel="0" collapsed="false">
      <c r="B6486" s="9" t="s">
        <v>16</v>
      </c>
      <c r="C6486" s="9" t="n">
        <v>1185732</v>
      </c>
      <c r="D6486" s="10" t="n">
        <v>44245</v>
      </c>
      <c r="E6486" s="9" t="s">
        <v>29</v>
      </c>
      <c r="F6486" s="9" t="s">
        <v>102</v>
      </c>
      <c r="G6486" s="9" t="s">
        <v>103</v>
      </c>
      <c r="H6486" s="11" t="s">
        <v>23</v>
      </c>
      <c r="I6486" s="12" t="n">
        <v>25</v>
      </c>
      <c r="J6486" s="13" t="n">
        <v>91</v>
      </c>
      <c r="K6486" s="14" t="n">
        <f aca="false">I6486*J6486</f>
        <v>2275</v>
      </c>
      <c r="L6486" s="14" t="n">
        <f aca="false">($L$2*M6486)/100</f>
        <v>600833.25</v>
      </c>
      <c r="M6486" s="15" t="n">
        <v>0.5</v>
      </c>
      <c r="N6486" s="9" t="s">
        <v>85</v>
      </c>
    </row>
    <row r="6487" customFormat="false" ht="14.25" hidden="false" customHeight="true" outlineLevel="0" collapsed="false">
      <c r="B6487" s="9" t="s">
        <v>16</v>
      </c>
      <c r="C6487" s="9" t="n">
        <v>1185732</v>
      </c>
      <c r="D6487" s="10" t="n">
        <v>44245</v>
      </c>
      <c r="E6487" s="9" t="s">
        <v>29</v>
      </c>
      <c r="F6487" s="9" t="s">
        <v>102</v>
      </c>
      <c r="G6487" s="9" t="s">
        <v>103</v>
      </c>
      <c r="H6487" s="11" t="s">
        <v>24</v>
      </c>
      <c r="I6487" s="12" t="n">
        <v>39</v>
      </c>
      <c r="J6487" s="13" t="n">
        <v>108</v>
      </c>
      <c r="K6487" s="14" t="n">
        <f aca="false">I6487*J6487</f>
        <v>4212</v>
      </c>
      <c r="L6487" s="14" t="n">
        <f aca="false">($L$2*M6487)/100</f>
        <v>552766.59</v>
      </c>
      <c r="M6487" s="15" t="n">
        <v>0.46</v>
      </c>
      <c r="N6487" s="9" t="s">
        <v>85</v>
      </c>
    </row>
    <row r="6488" customFormat="false" ht="14.25" hidden="false" customHeight="true" outlineLevel="0" collapsed="false">
      <c r="B6488" s="9" t="s">
        <v>16</v>
      </c>
      <c r="C6488" s="9" t="n">
        <v>1185732</v>
      </c>
      <c r="D6488" s="10" t="n">
        <v>44245</v>
      </c>
      <c r="E6488" s="9" t="s">
        <v>29</v>
      </c>
      <c r="F6488" s="9" t="s">
        <v>102</v>
      </c>
      <c r="G6488" s="9" t="s">
        <v>103</v>
      </c>
      <c r="H6488" s="11" t="s">
        <v>25</v>
      </c>
      <c r="I6488" s="12" t="n">
        <v>24</v>
      </c>
      <c r="J6488" s="13" t="n">
        <v>125</v>
      </c>
      <c r="K6488" s="14" t="n">
        <f aca="false">I6488*J6488</f>
        <v>3000</v>
      </c>
      <c r="L6488" s="14" t="n">
        <f aca="false">($L$2*M6488)/100</f>
        <v>720999.9</v>
      </c>
      <c r="M6488" s="15" t="n">
        <v>0.6</v>
      </c>
      <c r="N6488" s="9" t="s">
        <v>85</v>
      </c>
    </row>
    <row r="6489" customFormat="false" ht="14.25" hidden="false" customHeight="true" outlineLevel="0" collapsed="false">
      <c r="B6489" s="9" t="s">
        <v>16</v>
      </c>
      <c r="C6489" s="9" t="n">
        <v>1185732</v>
      </c>
      <c r="D6489" s="10" t="n">
        <v>44271</v>
      </c>
      <c r="E6489" s="9" t="s">
        <v>29</v>
      </c>
      <c r="F6489" s="9" t="s">
        <v>102</v>
      </c>
      <c r="G6489" s="9" t="s">
        <v>103</v>
      </c>
      <c r="H6489" s="11" t="s">
        <v>19</v>
      </c>
      <c r="I6489" s="12" t="n">
        <v>23</v>
      </c>
      <c r="J6489" s="13" t="n">
        <v>187</v>
      </c>
      <c r="K6489" s="14" t="n">
        <f aca="false">I6489*J6489</f>
        <v>4301</v>
      </c>
      <c r="L6489" s="14" t="n">
        <f aca="false">($L$2*M6489)/100</f>
        <v>660916.575</v>
      </c>
      <c r="M6489" s="15" t="n">
        <v>0.55</v>
      </c>
      <c r="N6489" s="9" t="s">
        <v>85</v>
      </c>
    </row>
    <row r="6490" customFormat="false" ht="14.25" hidden="false" customHeight="true" outlineLevel="0" collapsed="false">
      <c r="B6490" s="9" t="s">
        <v>16</v>
      </c>
      <c r="C6490" s="9" t="n">
        <v>1185732</v>
      </c>
      <c r="D6490" s="10" t="n">
        <v>44271</v>
      </c>
      <c r="E6490" s="9" t="s">
        <v>29</v>
      </c>
      <c r="F6490" s="9" t="s">
        <v>102</v>
      </c>
      <c r="G6490" s="9" t="s">
        <v>103</v>
      </c>
      <c r="H6490" s="11" t="s">
        <v>21</v>
      </c>
      <c r="I6490" s="12" t="n">
        <v>24</v>
      </c>
      <c r="J6490" s="13" t="n">
        <v>100</v>
      </c>
      <c r="K6490" s="14" t="n">
        <f aca="false">I6490*J6490</f>
        <v>2400</v>
      </c>
      <c r="L6490" s="14" t="n">
        <f aca="false">($L$2*M6490)/100</f>
        <v>564783.255</v>
      </c>
      <c r="M6490" s="15" t="n">
        <v>0.47</v>
      </c>
      <c r="N6490" s="9" t="s">
        <v>85</v>
      </c>
    </row>
    <row r="6491" customFormat="false" ht="14.25" hidden="false" customHeight="true" outlineLevel="0" collapsed="false">
      <c r="B6491" s="9" t="s">
        <v>16</v>
      </c>
      <c r="C6491" s="9" t="n">
        <v>1185732</v>
      </c>
      <c r="D6491" s="10" t="n">
        <v>44271</v>
      </c>
      <c r="E6491" s="9" t="s">
        <v>29</v>
      </c>
      <c r="F6491" s="9" t="s">
        <v>102</v>
      </c>
      <c r="G6491" s="9" t="s">
        <v>103</v>
      </c>
      <c r="H6491" s="11" t="s">
        <v>22</v>
      </c>
      <c r="I6491" s="12" t="n">
        <v>14</v>
      </c>
      <c r="J6491" s="13" t="n">
        <v>128</v>
      </c>
      <c r="K6491" s="14" t="n">
        <f aca="false">I6491*J6491</f>
        <v>1792</v>
      </c>
      <c r="L6491" s="14" t="n">
        <f aca="false">($L$2*M6491)/100</f>
        <v>636883.245</v>
      </c>
      <c r="M6491" s="15" t="n">
        <v>0.53</v>
      </c>
      <c r="N6491" s="9" t="s">
        <v>85</v>
      </c>
    </row>
    <row r="6492" customFormat="false" ht="14.25" hidden="false" customHeight="true" outlineLevel="0" collapsed="false">
      <c r="B6492" s="9" t="s">
        <v>16</v>
      </c>
      <c r="C6492" s="9" t="n">
        <v>1185732</v>
      </c>
      <c r="D6492" s="10" t="n">
        <v>44271</v>
      </c>
      <c r="E6492" s="9" t="s">
        <v>29</v>
      </c>
      <c r="F6492" s="9" t="s">
        <v>102</v>
      </c>
      <c r="G6492" s="9" t="s">
        <v>103</v>
      </c>
      <c r="H6492" s="11" t="s">
        <v>23</v>
      </c>
      <c r="I6492" s="12" t="n">
        <v>19</v>
      </c>
      <c r="J6492" s="13" t="n">
        <v>80</v>
      </c>
      <c r="K6492" s="14" t="n">
        <f aca="false">I6492*J6492</f>
        <v>1520</v>
      </c>
      <c r="L6492" s="14" t="n">
        <f aca="false">($L$2*M6492)/100</f>
        <v>624866.58</v>
      </c>
      <c r="M6492" s="15" t="n">
        <v>0.52</v>
      </c>
      <c r="N6492" s="9" t="s">
        <v>85</v>
      </c>
    </row>
    <row r="6493" customFormat="false" ht="14.25" hidden="false" customHeight="true" outlineLevel="0" collapsed="false">
      <c r="B6493" s="9" t="s">
        <v>16</v>
      </c>
      <c r="C6493" s="9" t="n">
        <v>1185732</v>
      </c>
      <c r="D6493" s="10" t="n">
        <v>44271</v>
      </c>
      <c r="E6493" s="9" t="s">
        <v>29</v>
      </c>
      <c r="F6493" s="9" t="s">
        <v>102</v>
      </c>
      <c r="G6493" s="9" t="s">
        <v>103</v>
      </c>
      <c r="H6493" s="11" t="s">
        <v>24</v>
      </c>
      <c r="I6493" s="12" t="n">
        <v>32</v>
      </c>
      <c r="J6493" s="13" t="n">
        <v>81</v>
      </c>
      <c r="K6493" s="14" t="n">
        <f aca="false">I6493*J6493</f>
        <v>2592</v>
      </c>
      <c r="L6493" s="14" t="n">
        <f aca="false">($L$2*M6493)/100</f>
        <v>552766.59</v>
      </c>
      <c r="M6493" s="15" t="n">
        <v>0.46</v>
      </c>
      <c r="N6493" s="9" t="s">
        <v>85</v>
      </c>
    </row>
    <row r="6494" customFormat="false" ht="14.25" hidden="false" customHeight="true" outlineLevel="0" collapsed="false">
      <c r="B6494" s="9" t="s">
        <v>16</v>
      </c>
      <c r="C6494" s="9" t="n">
        <v>1185732</v>
      </c>
      <c r="D6494" s="10" t="n">
        <v>44271</v>
      </c>
      <c r="E6494" s="9" t="s">
        <v>29</v>
      </c>
      <c r="F6494" s="9" t="s">
        <v>102</v>
      </c>
      <c r="G6494" s="9" t="s">
        <v>103</v>
      </c>
      <c r="H6494" s="11" t="s">
        <v>25</v>
      </c>
      <c r="I6494" s="12" t="n">
        <v>24</v>
      </c>
      <c r="J6494" s="13" t="n">
        <v>123</v>
      </c>
      <c r="K6494" s="14" t="n">
        <f aca="false">I6494*J6494</f>
        <v>2952</v>
      </c>
      <c r="L6494" s="14" t="n">
        <f aca="false">($L$2*M6494)/100</f>
        <v>745033.23</v>
      </c>
      <c r="M6494" s="15" t="n">
        <v>0.62</v>
      </c>
      <c r="N6494" s="9" t="s">
        <v>85</v>
      </c>
    </row>
    <row r="6495" customFormat="false" ht="14.25" hidden="false" customHeight="true" outlineLevel="0" collapsed="false">
      <c r="B6495" s="9" t="s">
        <v>16</v>
      </c>
      <c r="C6495" s="9" t="n">
        <v>1185732</v>
      </c>
      <c r="D6495" s="10" t="n">
        <v>44303</v>
      </c>
      <c r="E6495" s="9" t="s">
        <v>29</v>
      </c>
      <c r="F6495" s="9" t="s">
        <v>102</v>
      </c>
      <c r="G6495" s="9" t="s">
        <v>103</v>
      </c>
      <c r="H6495" s="11" t="s">
        <v>19</v>
      </c>
      <c r="I6495" s="12" t="n">
        <v>23</v>
      </c>
      <c r="J6495" s="13" t="n">
        <v>169</v>
      </c>
      <c r="K6495" s="14" t="n">
        <f aca="false">I6495*J6495</f>
        <v>3887</v>
      </c>
      <c r="L6495" s="14" t="n">
        <f aca="false">($L$2*M6495)/100</f>
        <v>648899.91</v>
      </c>
      <c r="M6495" s="15" t="n">
        <v>0.54</v>
      </c>
      <c r="N6495" s="9" t="s">
        <v>85</v>
      </c>
    </row>
    <row r="6496" customFormat="false" ht="14.25" hidden="false" customHeight="true" outlineLevel="0" collapsed="false">
      <c r="B6496" s="9" t="s">
        <v>16</v>
      </c>
      <c r="C6496" s="9" t="n">
        <v>1185732</v>
      </c>
      <c r="D6496" s="10" t="n">
        <v>44303</v>
      </c>
      <c r="E6496" s="9" t="s">
        <v>29</v>
      </c>
      <c r="F6496" s="9" t="s">
        <v>102</v>
      </c>
      <c r="G6496" s="9" t="s">
        <v>103</v>
      </c>
      <c r="H6496" s="11" t="s">
        <v>21</v>
      </c>
      <c r="I6496" s="12" t="n">
        <v>23</v>
      </c>
      <c r="J6496" s="13" t="n">
        <v>109</v>
      </c>
      <c r="K6496" s="14" t="n">
        <f aca="false">I6496*J6496</f>
        <v>2507</v>
      </c>
      <c r="L6496" s="14" t="n">
        <f aca="false">($L$2*M6496)/100</f>
        <v>600833.25</v>
      </c>
      <c r="M6496" s="15" t="n">
        <v>0.5</v>
      </c>
      <c r="N6496" s="9" t="s">
        <v>85</v>
      </c>
    </row>
    <row r="6497" customFormat="false" ht="14.25" hidden="false" customHeight="true" outlineLevel="0" collapsed="false">
      <c r="B6497" s="9" t="s">
        <v>16</v>
      </c>
      <c r="C6497" s="9" t="n">
        <v>1185732</v>
      </c>
      <c r="D6497" s="10" t="n">
        <v>44303</v>
      </c>
      <c r="E6497" s="9" t="s">
        <v>29</v>
      </c>
      <c r="F6497" s="9" t="s">
        <v>102</v>
      </c>
      <c r="G6497" s="9" t="s">
        <v>103</v>
      </c>
      <c r="H6497" s="11" t="s">
        <v>22</v>
      </c>
      <c r="I6497" s="12" t="n">
        <v>14</v>
      </c>
      <c r="J6497" s="13" t="n">
        <v>101</v>
      </c>
      <c r="K6497" s="14" t="n">
        <f aca="false">I6497*J6497</f>
        <v>1414</v>
      </c>
      <c r="L6497" s="14" t="n">
        <f aca="false">($L$2*M6497)/100</f>
        <v>660916.575</v>
      </c>
      <c r="M6497" s="15" t="n">
        <v>0.55</v>
      </c>
      <c r="N6497" s="9" t="s">
        <v>85</v>
      </c>
    </row>
    <row r="6498" customFormat="false" ht="14.25" hidden="false" customHeight="true" outlineLevel="0" collapsed="false">
      <c r="B6498" s="9" t="s">
        <v>16</v>
      </c>
      <c r="C6498" s="9" t="n">
        <v>1185732</v>
      </c>
      <c r="D6498" s="10" t="n">
        <v>44303</v>
      </c>
      <c r="E6498" s="9" t="s">
        <v>29</v>
      </c>
      <c r="F6498" s="9" t="s">
        <v>102</v>
      </c>
      <c r="G6498" s="9" t="s">
        <v>103</v>
      </c>
      <c r="H6498" s="11" t="s">
        <v>23</v>
      </c>
      <c r="I6498" s="12" t="n">
        <v>19</v>
      </c>
      <c r="J6498" s="13" t="n">
        <v>75</v>
      </c>
      <c r="K6498" s="14" t="n">
        <f aca="false">I6498*J6498</f>
        <v>1425</v>
      </c>
      <c r="L6498" s="14" t="n">
        <f aca="false">($L$2*M6498)/100</f>
        <v>624866.58</v>
      </c>
      <c r="M6498" s="15" t="n">
        <v>0.52</v>
      </c>
      <c r="N6498" s="9" t="s">
        <v>85</v>
      </c>
    </row>
    <row r="6499" customFormat="false" ht="14.25" hidden="false" customHeight="true" outlineLevel="0" collapsed="false">
      <c r="B6499" s="9" t="s">
        <v>16</v>
      </c>
      <c r="C6499" s="9" t="n">
        <v>1185732</v>
      </c>
      <c r="D6499" s="10" t="n">
        <v>44303</v>
      </c>
      <c r="E6499" s="9" t="s">
        <v>29</v>
      </c>
      <c r="F6499" s="9" t="s">
        <v>102</v>
      </c>
      <c r="G6499" s="9" t="s">
        <v>103</v>
      </c>
      <c r="H6499" s="11" t="s">
        <v>24</v>
      </c>
      <c r="I6499" s="12" t="n">
        <v>38</v>
      </c>
      <c r="J6499" s="13" t="n">
        <v>81</v>
      </c>
      <c r="K6499" s="14" t="n">
        <f aca="false">I6499*J6499</f>
        <v>3078</v>
      </c>
      <c r="L6499" s="14" t="n">
        <f aca="false">($L$2*M6499)/100</f>
        <v>576799.92</v>
      </c>
      <c r="M6499" s="15" t="n">
        <v>0.48</v>
      </c>
      <c r="N6499" s="9" t="s">
        <v>85</v>
      </c>
    </row>
    <row r="6500" customFormat="false" ht="14.25" hidden="false" customHeight="true" outlineLevel="0" collapsed="false">
      <c r="B6500" s="9" t="s">
        <v>16</v>
      </c>
      <c r="C6500" s="9" t="n">
        <v>1185732</v>
      </c>
      <c r="D6500" s="10" t="n">
        <v>44303</v>
      </c>
      <c r="E6500" s="9" t="s">
        <v>29</v>
      </c>
      <c r="F6500" s="9" t="s">
        <v>102</v>
      </c>
      <c r="G6500" s="9" t="s">
        <v>103</v>
      </c>
      <c r="H6500" s="11" t="s">
        <v>25</v>
      </c>
      <c r="I6500" s="12" t="n">
        <v>28</v>
      </c>
      <c r="J6500" s="13" t="n">
        <v>124</v>
      </c>
      <c r="K6500" s="14" t="n">
        <f aca="false">I6500*J6500</f>
        <v>3472</v>
      </c>
      <c r="L6500" s="14" t="n">
        <f aca="false">($L$2*M6500)/100</f>
        <v>733016.565</v>
      </c>
      <c r="M6500" s="15" t="n">
        <v>0.61</v>
      </c>
      <c r="N6500" s="9" t="s">
        <v>85</v>
      </c>
    </row>
    <row r="6501" customFormat="false" ht="14.25" hidden="false" customHeight="true" outlineLevel="0" collapsed="false">
      <c r="B6501" s="9" t="s">
        <v>16</v>
      </c>
      <c r="C6501" s="9" t="n">
        <v>1185732</v>
      </c>
      <c r="D6501" s="10" t="n">
        <v>44332</v>
      </c>
      <c r="E6501" s="9" t="s">
        <v>29</v>
      </c>
      <c r="F6501" s="9" t="s">
        <v>102</v>
      </c>
      <c r="G6501" s="9" t="s">
        <v>103</v>
      </c>
      <c r="H6501" s="11" t="s">
        <v>19</v>
      </c>
      <c r="I6501" s="12" t="n">
        <v>39</v>
      </c>
      <c r="J6501" s="13" t="n">
        <v>194</v>
      </c>
      <c r="K6501" s="14" t="n">
        <f aca="false">I6501*J6501</f>
        <v>7566</v>
      </c>
      <c r="L6501" s="14" t="n">
        <f aca="false">($L$2*M6501)/100</f>
        <v>660916.575</v>
      </c>
      <c r="M6501" s="15" t="n">
        <v>0.55</v>
      </c>
      <c r="N6501" s="9" t="s">
        <v>85</v>
      </c>
    </row>
    <row r="6502" customFormat="false" ht="14.25" hidden="false" customHeight="true" outlineLevel="0" collapsed="false">
      <c r="B6502" s="9" t="s">
        <v>16</v>
      </c>
      <c r="C6502" s="9" t="n">
        <v>1185732</v>
      </c>
      <c r="D6502" s="10" t="n">
        <v>44332</v>
      </c>
      <c r="E6502" s="9" t="s">
        <v>29</v>
      </c>
      <c r="F6502" s="9" t="s">
        <v>102</v>
      </c>
      <c r="G6502" s="9" t="s">
        <v>103</v>
      </c>
      <c r="H6502" s="11" t="s">
        <v>21</v>
      </c>
      <c r="I6502" s="12" t="n">
        <v>37</v>
      </c>
      <c r="J6502" s="13" t="n">
        <v>131</v>
      </c>
      <c r="K6502" s="14" t="n">
        <f aca="false">I6502*J6502</f>
        <v>4847</v>
      </c>
      <c r="L6502" s="14" t="n">
        <f aca="false">($L$2*M6502)/100</f>
        <v>540749.925</v>
      </c>
      <c r="M6502" s="15" t="n">
        <v>0.45</v>
      </c>
      <c r="N6502" s="9" t="s">
        <v>85</v>
      </c>
    </row>
    <row r="6503" customFormat="false" ht="14.25" hidden="false" customHeight="true" outlineLevel="0" collapsed="false">
      <c r="B6503" s="9" t="s">
        <v>16</v>
      </c>
      <c r="C6503" s="9" t="n">
        <v>1185732</v>
      </c>
      <c r="D6503" s="10" t="n">
        <v>44332</v>
      </c>
      <c r="E6503" s="9" t="s">
        <v>29</v>
      </c>
      <c r="F6503" s="9" t="s">
        <v>102</v>
      </c>
      <c r="G6503" s="9" t="s">
        <v>103</v>
      </c>
      <c r="H6503" s="11" t="s">
        <v>22</v>
      </c>
      <c r="I6503" s="12" t="n">
        <v>33</v>
      </c>
      <c r="J6503" s="13" t="n">
        <v>119</v>
      </c>
      <c r="K6503" s="14" t="n">
        <f aca="false">I6503*J6503</f>
        <v>3927</v>
      </c>
      <c r="L6503" s="14" t="n">
        <f aca="false">($L$2*M6503)/100</f>
        <v>648899.91</v>
      </c>
      <c r="M6503" s="15" t="n">
        <v>0.54</v>
      </c>
      <c r="N6503" s="9" t="s">
        <v>85</v>
      </c>
    </row>
    <row r="6504" customFormat="false" ht="14.25" hidden="false" customHeight="true" outlineLevel="0" collapsed="false">
      <c r="B6504" s="9" t="s">
        <v>16</v>
      </c>
      <c r="C6504" s="9" t="n">
        <v>1185732</v>
      </c>
      <c r="D6504" s="10" t="n">
        <v>44332</v>
      </c>
      <c r="E6504" s="9" t="s">
        <v>29</v>
      </c>
      <c r="F6504" s="9" t="s">
        <v>102</v>
      </c>
      <c r="G6504" s="9" t="s">
        <v>103</v>
      </c>
      <c r="H6504" s="11" t="s">
        <v>23</v>
      </c>
      <c r="I6504" s="12" t="n">
        <v>33</v>
      </c>
      <c r="J6504" s="13" t="n">
        <v>101</v>
      </c>
      <c r="K6504" s="14" t="n">
        <f aca="false">I6504*J6504</f>
        <v>3333</v>
      </c>
      <c r="L6504" s="14" t="n">
        <f aca="false">($L$2*M6504)/100</f>
        <v>612849.915</v>
      </c>
      <c r="M6504" s="15" t="n">
        <v>0.51</v>
      </c>
      <c r="N6504" s="9" t="s">
        <v>85</v>
      </c>
    </row>
    <row r="6505" customFormat="false" ht="14.25" hidden="false" customHeight="true" outlineLevel="0" collapsed="false">
      <c r="B6505" s="9" t="s">
        <v>16</v>
      </c>
      <c r="C6505" s="9" t="n">
        <v>1185732</v>
      </c>
      <c r="D6505" s="10" t="n">
        <v>44332</v>
      </c>
      <c r="E6505" s="9" t="s">
        <v>29</v>
      </c>
      <c r="F6505" s="9" t="s">
        <v>102</v>
      </c>
      <c r="G6505" s="9" t="s">
        <v>103</v>
      </c>
      <c r="H6505" s="11" t="s">
        <v>24</v>
      </c>
      <c r="I6505" s="12" t="n">
        <v>41</v>
      </c>
      <c r="J6505" s="13" t="n">
        <v>116</v>
      </c>
      <c r="K6505" s="14" t="n">
        <f aca="false">I6505*J6505</f>
        <v>4756</v>
      </c>
      <c r="L6505" s="14" t="n">
        <f aca="false">($L$2*M6505)/100</f>
        <v>564783.255</v>
      </c>
      <c r="M6505" s="15" t="n">
        <v>0.47</v>
      </c>
      <c r="N6505" s="9" t="s">
        <v>85</v>
      </c>
    </row>
    <row r="6506" customFormat="false" ht="14.25" hidden="false" customHeight="true" outlineLevel="0" collapsed="false">
      <c r="B6506" s="9" t="s">
        <v>16</v>
      </c>
      <c r="C6506" s="9" t="n">
        <v>1185732</v>
      </c>
      <c r="D6506" s="10" t="n">
        <v>44332</v>
      </c>
      <c r="E6506" s="9" t="s">
        <v>29</v>
      </c>
      <c r="F6506" s="9" t="s">
        <v>102</v>
      </c>
      <c r="G6506" s="9" t="s">
        <v>103</v>
      </c>
      <c r="H6506" s="11" t="s">
        <v>25</v>
      </c>
      <c r="I6506" s="12" t="n">
        <v>47</v>
      </c>
      <c r="J6506" s="13" t="n">
        <v>140</v>
      </c>
      <c r="K6506" s="14" t="n">
        <f aca="false">I6506*J6506</f>
        <v>6580</v>
      </c>
      <c r="L6506" s="14" t="n">
        <f aca="false">($L$2*M6506)/100</f>
        <v>769066.56</v>
      </c>
      <c r="M6506" s="15" t="n">
        <v>0.64</v>
      </c>
      <c r="N6506" s="9" t="s">
        <v>85</v>
      </c>
    </row>
    <row r="6507" customFormat="false" ht="14.25" hidden="false" customHeight="true" outlineLevel="0" collapsed="false">
      <c r="B6507" s="9" t="s">
        <v>16</v>
      </c>
      <c r="C6507" s="9" t="n">
        <v>1185732</v>
      </c>
      <c r="D6507" s="10" t="n">
        <v>44365</v>
      </c>
      <c r="E6507" s="9" t="s">
        <v>29</v>
      </c>
      <c r="F6507" s="9" t="s">
        <v>102</v>
      </c>
      <c r="G6507" s="9" t="s">
        <v>103</v>
      </c>
      <c r="H6507" s="11" t="s">
        <v>19</v>
      </c>
      <c r="I6507" s="12" t="n">
        <v>44</v>
      </c>
      <c r="J6507" s="13" t="n">
        <v>210</v>
      </c>
      <c r="K6507" s="14" t="n">
        <f aca="false">I6507*J6507</f>
        <v>9240</v>
      </c>
      <c r="L6507" s="14" t="n">
        <f aca="false">($L$2*M6507)/100</f>
        <v>624866.58</v>
      </c>
      <c r="M6507" s="15" t="n">
        <v>0.52</v>
      </c>
      <c r="N6507" s="9" t="s">
        <v>85</v>
      </c>
    </row>
    <row r="6508" customFormat="false" ht="14.25" hidden="false" customHeight="true" outlineLevel="0" collapsed="false">
      <c r="B6508" s="9" t="s">
        <v>16</v>
      </c>
      <c r="C6508" s="9" t="n">
        <v>1185732</v>
      </c>
      <c r="D6508" s="10" t="n">
        <v>44365</v>
      </c>
      <c r="E6508" s="9" t="s">
        <v>29</v>
      </c>
      <c r="F6508" s="9" t="s">
        <v>102</v>
      </c>
      <c r="G6508" s="9" t="s">
        <v>103</v>
      </c>
      <c r="H6508" s="11" t="s">
        <v>21</v>
      </c>
      <c r="I6508" s="12" t="n">
        <v>37</v>
      </c>
      <c r="J6508" s="13" t="n">
        <v>125</v>
      </c>
      <c r="K6508" s="14" t="n">
        <f aca="false">I6508*J6508</f>
        <v>4625</v>
      </c>
      <c r="L6508" s="14" t="n">
        <f aca="false">($L$2*M6508)/100</f>
        <v>564783.255</v>
      </c>
      <c r="M6508" s="15" t="n">
        <v>0.47</v>
      </c>
      <c r="N6508" s="9" t="s">
        <v>85</v>
      </c>
    </row>
    <row r="6509" customFormat="false" ht="14.25" hidden="false" customHeight="true" outlineLevel="0" collapsed="false">
      <c r="B6509" s="9" t="s">
        <v>16</v>
      </c>
      <c r="C6509" s="9" t="n">
        <v>1185732</v>
      </c>
      <c r="D6509" s="10" t="n">
        <v>44365</v>
      </c>
      <c r="E6509" s="9" t="s">
        <v>29</v>
      </c>
      <c r="F6509" s="9" t="s">
        <v>102</v>
      </c>
      <c r="G6509" s="9" t="s">
        <v>103</v>
      </c>
      <c r="H6509" s="11" t="s">
        <v>22</v>
      </c>
      <c r="I6509" s="12" t="n">
        <v>41</v>
      </c>
      <c r="J6509" s="13" t="n">
        <v>143</v>
      </c>
      <c r="K6509" s="14" t="n">
        <f aca="false">I6509*J6509</f>
        <v>5863</v>
      </c>
      <c r="L6509" s="14" t="n">
        <f aca="false">($L$2*M6509)/100</f>
        <v>660916.575</v>
      </c>
      <c r="M6509" s="15" t="n">
        <v>0.55</v>
      </c>
      <c r="N6509" s="9" t="s">
        <v>85</v>
      </c>
    </row>
    <row r="6510" customFormat="false" ht="14.25" hidden="false" customHeight="true" outlineLevel="0" collapsed="false">
      <c r="B6510" s="9" t="s">
        <v>16</v>
      </c>
      <c r="C6510" s="9" t="n">
        <v>1185732</v>
      </c>
      <c r="D6510" s="10" t="n">
        <v>44365</v>
      </c>
      <c r="E6510" s="9" t="s">
        <v>29</v>
      </c>
      <c r="F6510" s="9" t="s">
        <v>102</v>
      </c>
      <c r="G6510" s="9" t="s">
        <v>103</v>
      </c>
      <c r="H6510" s="11" t="s">
        <v>23</v>
      </c>
      <c r="I6510" s="12" t="n">
        <v>43</v>
      </c>
      <c r="J6510" s="13" t="n">
        <v>117</v>
      </c>
      <c r="K6510" s="14" t="n">
        <f aca="false">I6510*J6510</f>
        <v>5031</v>
      </c>
      <c r="L6510" s="14" t="n">
        <f aca="false">($L$2*M6510)/100</f>
        <v>600833.25</v>
      </c>
      <c r="M6510" s="15" t="n">
        <v>0.5</v>
      </c>
      <c r="N6510" s="9" t="s">
        <v>85</v>
      </c>
    </row>
    <row r="6511" customFormat="false" ht="14.25" hidden="false" customHeight="true" outlineLevel="0" collapsed="false">
      <c r="B6511" s="9" t="s">
        <v>16</v>
      </c>
      <c r="C6511" s="9" t="n">
        <v>1185732</v>
      </c>
      <c r="D6511" s="10" t="n">
        <v>44365</v>
      </c>
      <c r="E6511" s="9" t="s">
        <v>29</v>
      </c>
      <c r="F6511" s="9" t="s">
        <v>102</v>
      </c>
      <c r="G6511" s="9" t="s">
        <v>103</v>
      </c>
      <c r="H6511" s="11" t="s">
        <v>24</v>
      </c>
      <c r="I6511" s="12" t="n">
        <v>57</v>
      </c>
      <c r="J6511" s="13" t="n">
        <v>135</v>
      </c>
      <c r="K6511" s="14" t="n">
        <f aca="false">I6511*J6511</f>
        <v>7695</v>
      </c>
      <c r="L6511" s="14" t="n">
        <f aca="false">($L$2*M6511)/100</f>
        <v>540749.925</v>
      </c>
      <c r="M6511" s="15" t="n">
        <v>0.45</v>
      </c>
      <c r="N6511" s="9" t="s">
        <v>85</v>
      </c>
    </row>
    <row r="6512" customFormat="false" ht="14.25" hidden="false" customHeight="true" outlineLevel="0" collapsed="false">
      <c r="B6512" s="9" t="s">
        <v>16</v>
      </c>
      <c r="C6512" s="9" t="n">
        <v>1185732</v>
      </c>
      <c r="D6512" s="10" t="n">
        <v>44365</v>
      </c>
      <c r="E6512" s="9" t="s">
        <v>29</v>
      </c>
      <c r="F6512" s="9" t="s">
        <v>102</v>
      </c>
      <c r="G6512" s="9" t="s">
        <v>103</v>
      </c>
      <c r="H6512" s="11" t="s">
        <v>25</v>
      </c>
      <c r="I6512" s="12" t="n">
        <v>60</v>
      </c>
      <c r="J6512" s="13" t="n">
        <v>188</v>
      </c>
      <c r="K6512" s="14" t="n">
        <f aca="false">I6512*J6512</f>
        <v>11280</v>
      </c>
      <c r="L6512" s="14" t="n">
        <f aca="false">($L$2*M6512)/100</f>
        <v>757049.895</v>
      </c>
      <c r="M6512" s="15" t="n">
        <v>0.63</v>
      </c>
      <c r="N6512" s="9" t="s">
        <v>85</v>
      </c>
    </row>
    <row r="6513" customFormat="false" ht="14.25" hidden="false" customHeight="true" outlineLevel="0" collapsed="false">
      <c r="B6513" s="9" t="s">
        <v>16</v>
      </c>
      <c r="C6513" s="9" t="n">
        <v>1185732</v>
      </c>
      <c r="D6513" s="10" t="n">
        <v>44393</v>
      </c>
      <c r="E6513" s="9" t="s">
        <v>29</v>
      </c>
      <c r="F6513" s="9" t="s">
        <v>102</v>
      </c>
      <c r="G6513" s="9" t="s">
        <v>103</v>
      </c>
      <c r="H6513" s="11" t="s">
        <v>19</v>
      </c>
      <c r="I6513" s="12" t="n">
        <v>58</v>
      </c>
      <c r="J6513" s="13" t="n">
        <v>221</v>
      </c>
      <c r="K6513" s="14" t="n">
        <f aca="false">I6513*J6513</f>
        <v>12818</v>
      </c>
      <c r="L6513" s="14" t="n">
        <f aca="false">($L$2*M6513)/100</f>
        <v>612849.915</v>
      </c>
      <c r="M6513" s="15" t="n">
        <v>0.51</v>
      </c>
      <c r="N6513" s="9" t="s">
        <v>85</v>
      </c>
    </row>
    <row r="6514" customFormat="false" ht="14.25" hidden="false" customHeight="true" outlineLevel="0" collapsed="false">
      <c r="B6514" s="9" t="s">
        <v>27</v>
      </c>
      <c r="C6514" s="9" t="n">
        <v>1185732</v>
      </c>
      <c r="D6514" s="10" t="n">
        <v>44393</v>
      </c>
      <c r="E6514" s="9" t="s">
        <v>29</v>
      </c>
      <c r="F6514" s="9" t="s">
        <v>102</v>
      </c>
      <c r="G6514" s="9" t="s">
        <v>103</v>
      </c>
      <c r="H6514" s="11" t="s">
        <v>21</v>
      </c>
      <c r="I6514" s="12" t="n">
        <v>53</v>
      </c>
      <c r="J6514" s="13" t="n">
        <v>156</v>
      </c>
      <c r="K6514" s="14" t="n">
        <f aca="false">I6514*J6514</f>
        <v>8268</v>
      </c>
      <c r="L6514" s="14" t="n">
        <f aca="false">($L$2*M6514)/100</f>
        <v>540749.925</v>
      </c>
      <c r="M6514" s="15" t="n">
        <v>0.45</v>
      </c>
      <c r="N6514" s="9" t="s">
        <v>85</v>
      </c>
    </row>
    <row r="6515" customFormat="false" ht="14.25" hidden="false" customHeight="true" outlineLevel="0" collapsed="false">
      <c r="B6515" s="9" t="s">
        <v>27</v>
      </c>
      <c r="C6515" s="9" t="n">
        <v>1185732</v>
      </c>
      <c r="D6515" s="10" t="n">
        <v>44393</v>
      </c>
      <c r="E6515" s="9" t="s">
        <v>29</v>
      </c>
      <c r="F6515" s="9" t="s">
        <v>102</v>
      </c>
      <c r="G6515" s="9" t="s">
        <v>103</v>
      </c>
      <c r="H6515" s="11" t="s">
        <v>22</v>
      </c>
      <c r="I6515" s="12" t="n">
        <v>48</v>
      </c>
      <c r="J6515" s="13" t="n">
        <v>142</v>
      </c>
      <c r="K6515" s="14" t="n">
        <f aca="false">I6515*J6515</f>
        <v>6816</v>
      </c>
      <c r="L6515" s="14" t="n">
        <f aca="false">($L$2*M6515)/100</f>
        <v>600833.25</v>
      </c>
      <c r="M6515" s="15" t="n">
        <v>0.5</v>
      </c>
      <c r="N6515" s="9" t="s">
        <v>85</v>
      </c>
    </row>
    <row r="6516" customFormat="false" ht="14.25" hidden="false" customHeight="true" outlineLevel="0" collapsed="false">
      <c r="B6516" s="9" t="s">
        <v>27</v>
      </c>
      <c r="C6516" s="9" t="n">
        <v>1185732</v>
      </c>
      <c r="D6516" s="10" t="n">
        <v>44393</v>
      </c>
      <c r="E6516" s="9" t="s">
        <v>29</v>
      </c>
      <c r="F6516" s="9" t="s">
        <v>102</v>
      </c>
      <c r="G6516" s="9" t="s">
        <v>103</v>
      </c>
      <c r="H6516" s="11" t="s">
        <v>23</v>
      </c>
      <c r="I6516" s="12" t="n">
        <v>48</v>
      </c>
      <c r="J6516" s="13" t="n">
        <v>124</v>
      </c>
      <c r="K6516" s="14" t="n">
        <f aca="false">I6516*J6516</f>
        <v>5952</v>
      </c>
      <c r="L6516" s="14" t="n">
        <f aca="false">($L$2*M6516)/100</f>
        <v>636883.245</v>
      </c>
      <c r="M6516" s="15" t="n">
        <v>0.53</v>
      </c>
      <c r="N6516" s="9" t="s">
        <v>85</v>
      </c>
    </row>
    <row r="6517" customFormat="false" ht="14.25" hidden="false" customHeight="true" outlineLevel="0" collapsed="false">
      <c r="B6517" s="9" t="s">
        <v>27</v>
      </c>
      <c r="C6517" s="9" t="n">
        <v>1185732</v>
      </c>
      <c r="D6517" s="10" t="n">
        <v>44393</v>
      </c>
      <c r="E6517" s="9" t="s">
        <v>29</v>
      </c>
      <c r="F6517" s="9" t="s">
        <v>102</v>
      </c>
      <c r="G6517" s="9" t="s">
        <v>103</v>
      </c>
      <c r="H6517" s="11" t="s">
        <v>24</v>
      </c>
      <c r="I6517" s="12" t="n">
        <v>59</v>
      </c>
      <c r="J6517" s="13" t="n">
        <v>150</v>
      </c>
      <c r="K6517" s="14" t="n">
        <f aca="false">I6517*J6517</f>
        <v>8850</v>
      </c>
      <c r="L6517" s="14" t="n">
        <f aca="false">($L$2*M6517)/100</f>
        <v>576799.92</v>
      </c>
      <c r="M6517" s="15" t="n">
        <v>0.48</v>
      </c>
      <c r="N6517" s="9" t="s">
        <v>85</v>
      </c>
    </row>
    <row r="6518" customFormat="false" ht="14.25" hidden="false" customHeight="true" outlineLevel="0" collapsed="false">
      <c r="B6518" s="9" t="s">
        <v>27</v>
      </c>
      <c r="C6518" s="9" t="n">
        <v>1185732</v>
      </c>
      <c r="D6518" s="10" t="n">
        <v>44393</v>
      </c>
      <c r="E6518" s="9" t="s">
        <v>29</v>
      </c>
      <c r="F6518" s="9" t="s">
        <v>102</v>
      </c>
      <c r="G6518" s="9" t="s">
        <v>103</v>
      </c>
      <c r="H6518" s="11" t="s">
        <v>25</v>
      </c>
      <c r="I6518" s="12" t="n">
        <v>61</v>
      </c>
      <c r="J6518" s="13" t="n">
        <v>176</v>
      </c>
      <c r="K6518" s="14" t="n">
        <f aca="false">I6518*J6518</f>
        <v>10736</v>
      </c>
      <c r="L6518" s="14" t="n">
        <f aca="false">($L$2*M6518)/100</f>
        <v>733016.565</v>
      </c>
      <c r="M6518" s="15" t="n">
        <v>0.61</v>
      </c>
      <c r="N6518" s="9" t="s">
        <v>85</v>
      </c>
    </row>
    <row r="6519" customFormat="false" ht="14.25" hidden="false" customHeight="true" outlineLevel="0" collapsed="false">
      <c r="B6519" s="9" t="s">
        <v>27</v>
      </c>
      <c r="C6519" s="9" t="n">
        <v>1185732</v>
      </c>
      <c r="D6519" s="10" t="n">
        <v>44425</v>
      </c>
      <c r="E6519" s="9" t="s">
        <v>29</v>
      </c>
      <c r="F6519" s="9" t="s">
        <v>102</v>
      </c>
      <c r="G6519" s="9" t="s">
        <v>103</v>
      </c>
      <c r="H6519" s="11" t="s">
        <v>19</v>
      </c>
      <c r="I6519" s="12" t="n">
        <v>56</v>
      </c>
      <c r="J6519" s="13" t="n">
        <v>215</v>
      </c>
      <c r="K6519" s="14" t="n">
        <f aca="false">I6519*J6519</f>
        <v>12040</v>
      </c>
      <c r="L6519" s="14" t="n">
        <f aca="false">($L$2*M6519)/100</f>
        <v>648899.91</v>
      </c>
      <c r="M6519" s="15" t="n">
        <v>0.54</v>
      </c>
      <c r="N6519" s="9" t="s">
        <v>85</v>
      </c>
    </row>
    <row r="6520" customFormat="false" ht="14.25" hidden="false" customHeight="true" outlineLevel="0" collapsed="false">
      <c r="B6520" s="9" t="s">
        <v>27</v>
      </c>
      <c r="C6520" s="9" t="n">
        <v>1185732</v>
      </c>
      <c r="D6520" s="10" t="n">
        <v>44425</v>
      </c>
      <c r="E6520" s="9" t="s">
        <v>29</v>
      </c>
      <c r="F6520" s="9" t="s">
        <v>102</v>
      </c>
      <c r="G6520" s="9" t="s">
        <v>103</v>
      </c>
      <c r="H6520" s="11" t="s">
        <v>21</v>
      </c>
      <c r="I6520" s="12" t="n">
        <v>50</v>
      </c>
      <c r="J6520" s="13" t="n">
        <v>168</v>
      </c>
      <c r="K6520" s="14" t="n">
        <f aca="false">I6520*J6520</f>
        <v>8400</v>
      </c>
      <c r="L6520" s="14" t="n">
        <f aca="false">($L$2*M6520)/100</f>
        <v>576799.92</v>
      </c>
      <c r="M6520" s="15" t="n">
        <v>0.48</v>
      </c>
      <c r="N6520" s="9" t="s">
        <v>85</v>
      </c>
    </row>
    <row r="6521" customFormat="false" ht="14.25" hidden="false" customHeight="true" outlineLevel="0" collapsed="false">
      <c r="B6521" s="9" t="s">
        <v>27</v>
      </c>
      <c r="C6521" s="9" t="n">
        <v>1185732</v>
      </c>
      <c r="D6521" s="10" t="n">
        <v>44425</v>
      </c>
      <c r="E6521" s="9" t="s">
        <v>29</v>
      </c>
      <c r="F6521" s="9" t="s">
        <v>102</v>
      </c>
      <c r="G6521" s="9" t="s">
        <v>103</v>
      </c>
      <c r="H6521" s="11" t="s">
        <v>22</v>
      </c>
      <c r="I6521" s="12" t="n">
        <v>48</v>
      </c>
      <c r="J6521" s="13" t="n">
        <v>147</v>
      </c>
      <c r="K6521" s="14" t="n">
        <f aca="false">I6521*J6521</f>
        <v>7056</v>
      </c>
      <c r="L6521" s="14" t="n">
        <f aca="false">($L$2*M6521)/100</f>
        <v>624866.58</v>
      </c>
      <c r="M6521" s="15" t="n">
        <v>0.52</v>
      </c>
      <c r="N6521" s="9" t="s">
        <v>85</v>
      </c>
    </row>
    <row r="6522" customFormat="false" ht="14.25" hidden="false" customHeight="true" outlineLevel="0" collapsed="false">
      <c r="B6522" s="9" t="s">
        <v>27</v>
      </c>
      <c r="C6522" s="9" t="n">
        <v>1185732</v>
      </c>
      <c r="D6522" s="10" t="n">
        <v>44425</v>
      </c>
      <c r="E6522" s="9" t="s">
        <v>29</v>
      </c>
      <c r="F6522" s="9" t="s">
        <v>102</v>
      </c>
      <c r="G6522" s="9" t="s">
        <v>103</v>
      </c>
      <c r="H6522" s="11" t="s">
        <v>23</v>
      </c>
      <c r="I6522" s="12" t="n">
        <v>39</v>
      </c>
      <c r="J6522" s="13" t="n">
        <v>128</v>
      </c>
      <c r="K6522" s="14" t="n">
        <f aca="false">I6522*J6522</f>
        <v>4992</v>
      </c>
      <c r="L6522" s="14" t="n">
        <f aca="false">($L$2*M6522)/100</f>
        <v>624866.58</v>
      </c>
      <c r="M6522" s="15" t="n">
        <v>0.52</v>
      </c>
      <c r="N6522" s="9" t="s">
        <v>85</v>
      </c>
    </row>
    <row r="6523" customFormat="false" ht="14.25" hidden="false" customHeight="true" outlineLevel="0" collapsed="false">
      <c r="B6523" s="9" t="s">
        <v>27</v>
      </c>
      <c r="C6523" s="9" t="n">
        <v>1185732</v>
      </c>
      <c r="D6523" s="10" t="n">
        <v>44425</v>
      </c>
      <c r="E6523" s="9" t="s">
        <v>29</v>
      </c>
      <c r="F6523" s="9" t="s">
        <v>102</v>
      </c>
      <c r="G6523" s="9" t="s">
        <v>103</v>
      </c>
      <c r="H6523" s="11" t="s">
        <v>24</v>
      </c>
      <c r="I6523" s="12" t="n">
        <v>46</v>
      </c>
      <c r="J6523" s="13" t="n">
        <v>122</v>
      </c>
      <c r="K6523" s="14" t="n">
        <f aca="false">I6523*J6523</f>
        <v>5612</v>
      </c>
      <c r="L6523" s="14" t="n">
        <f aca="false">($L$2*M6523)/100</f>
        <v>540749.925</v>
      </c>
      <c r="M6523" s="15" t="n">
        <v>0.45</v>
      </c>
      <c r="N6523" s="9" t="s">
        <v>85</v>
      </c>
    </row>
    <row r="6524" customFormat="false" ht="14.25" hidden="false" customHeight="true" outlineLevel="0" collapsed="false">
      <c r="B6524" s="9" t="s">
        <v>27</v>
      </c>
      <c r="C6524" s="9" t="n">
        <v>1185732</v>
      </c>
      <c r="D6524" s="10" t="n">
        <v>44425</v>
      </c>
      <c r="E6524" s="9" t="s">
        <v>29</v>
      </c>
      <c r="F6524" s="9" t="s">
        <v>102</v>
      </c>
      <c r="G6524" s="9" t="s">
        <v>103</v>
      </c>
      <c r="H6524" s="11" t="s">
        <v>25</v>
      </c>
      <c r="I6524" s="12" t="n">
        <v>53</v>
      </c>
      <c r="J6524" s="13" t="n">
        <v>169</v>
      </c>
      <c r="K6524" s="14" t="n">
        <f aca="false">I6524*J6524</f>
        <v>8957</v>
      </c>
      <c r="L6524" s="14" t="n">
        <f aca="false">($L$2*M6524)/100</f>
        <v>781083.225</v>
      </c>
      <c r="M6524" s="15" t="n">
        <v>0.65</v>
      </c>
      <c r="N6524" s="9" t="s">
        <v>85</v>
      </c>
    </row>
    <row r="6525" customFormat="false" ht="14.25" hidden="false" customHeight="true" outlineLevel="0" collapsed="false">
      <c r="B6525" s="9" t="s">
        <v>27</v>
      </c>
      <c r="C6525" s="9" t="n">
        <v>1185732</v>
      </c>
      <c r="D6525" s="10" t="n">
        <v>44455</v>
      </c>
      <c r="E6525" s="9" t="s">
        <v>29</v>
      </c>
      <c r="F6525" s="9" t="s">
        <v>102</v>
      </c>
      <c r="G6525" s="9" t="s">
        <v>103</v>
      </c>
      <c r="H6525" s="11" t="s">
        <v>19</v>
      </c>
      <c r="I6525" s="12" t="n">
        <v>47</v>
      </c>
      <c r="J6525" s="13" t="n">
        <v>203</v>
      </c>
      <c r="K6525" s="14" t="n">
        <f aca="false">I6525*J6525</f>
        <v>9541</v>
      </c>
      <c r="L6525" s="14" t="n">
        <f aca="false">($L$2*M6525)/100</f>
        <v>648899.91</v>
      </c>
      <c r="M6525" s="15" t="n">
        <v>0.54</v>
      </c>
      <c r="N6525" s="9" t="s">
        <v>85</v>
      </c>
    </row>
    <row r="6526" customFormat="false" ht="14.25" hidden="false" customHeight="true" outlineLevel="0" collapsed="false">
      <c r="B6526" s="9" t="s">
        <v>27</v>
      </c>
      <c r="C6526" s="9" t="n">
        <v>1185732</v>
      </c>
      <c r="D6526" s="10" t="n">
        <v>44455</v>
      </c>
      <c r="E6526" s="9" t="s">
        <v>29</v>
      </c>
      <c r="F6526" s="9" t="s">
        <v>102</v>
      </c>
      <c r="G6526" s="9" t="s">
        <v>103</v>
      </c>
      <c r="H6526" s="11" t="s">
        <v>21</v>
      </c>
      <c r="I6526" s="12" t="n">
        <v>42</v>
      </c>
      <c r="J6526" s="13" t="n">
        <v>147</v>
      </c>
      <c r="K6526" s="14" t="n">
        <f aca="false">I6526*J6526</f>
        <v>6174</v>
      </c>
      <c r="L6526" s="14" t="n">
        <f aca="false">($L$2*M6526)/100</f>
        <v>540749.925</v>
      </c>
      <c r="M6526" s="15" t="n">
        <v>0.45</v>
      </c>
      <c r="N6526" s="9" t="s">
        <v>85</v>
      </c>
    </row>
    <row r="6527" customFormat="false" ht="14.25" hidden="false" customHeight="true" outlineLevel="0" collapsed="false">
      <c r="B6527" s="9" t="s">
        <v>27</v>
      </c>
      <c r="C6527" s="9" t="n">
        <v>1185732</v>
      </c>
      <c r="D6527" s="10" t="n">
        <v>44455</v>
      </c>
      <c r="E6527" s="9" t="s">
        <v>29</v>
      </c>
      <c r="F6527" s="9" t="s">
        <v>102</v>
      </c>
      <c r="G6527" s="9" t="s">
        <v>103</v>
      </c>
      <c r="H6527" s="11" t="s">
        <v>22</v>
      </c>
      <c r="I6527" s="12" t="n">
        <v>19</v>
      </c>
      <c r="J6527" s="13" t="n">
        <v>123</v>
      </c>
      <c r="K6527" s="14" t="n">
        <f aca="false">I6527*J6527</f>
        <v>2337</v>
      </c>
      <c r="L6527" s="14" t="n">
        <f aca="false">($L$2*M6527)/100</f>
        <v>600833.25</v>
      </c>
      <c r="M6527" s="15" t="n">
        <v>0.5</v>
      </c>
      <c r="N6527" s="9" t="s">
        <v>85</v>
      </c>
    </row>
    <row r="6528" customFormat="false" ht="14.25" hidden="false" customHeight="true" outlineLevel="0" collapsed="false">
      <c r="B6528" s="9" t="s">
        <v>27</v>
      </c>
      <c r="C6528" s="9" t="n">
        <v>1185732</v>
      </c>
      <c r="D6528" s="10" t="n">
        <v>44455</v>
      </c>
      <c r="E6528" s="9" t="s">
        <v>29</v>
      </c>
      <c r="F6528" s="9" t="s">
        <v>102</v>
      </c>
      <c r="G6528" s="9" t="s">
        <v>103</v>
      </c>
      <c r="H6528" s="11" t="s">
        <v>23</v>
      </c>
      <c r="I6528" s="12" t="n">
        <v>19</v>
      </c>
      <c r="J6528" s="13" t="n">
        <v>100</v>
      </c>
      <c r="K6528" s="14" t="n">
        <f aca="false">I6528*J6528</f>
        <v>1900</v>
      </c>
      <c r="L6528" s="14" t="n">
        <f aca="false">($L$2*M6528)/100</f>
        <v>660916.575</v>
      </c>
      <c r="M6528" s="15" t="n">
        <v>0.55</v>
      </c>
      <c r="N6528" s="9" t="s">
        <v>85</v>
      </c>
    </row>
    <row r="6529" customFormat="false" ht="14.25" hidden="false" customHeight="true" outlineLevel="0" collapsed="false">
      <c r="B6529" s="9" t="s">
        <v>27</v>
      </c>
      <c r="C6529" s="9" t="n">
        <v>1185732</v>
      </c>
      <c r="D6529" s="10" t="n">
        <v>44455</v>
      </c>
      <c r="E6529" s="9" t="s">
        <v>29</v>
      </c>
      <c r="F6529" s="9" t="s">
        <v>102</v>
      </c>
      <c r="G6529" s="9" t="s">
        <v>103</v>
      </c>
      <c r="H6529" s="11" t="s">
        <v>24</v>
      </c>
      <c r="I6529" s="12" t="n">
        <v>29</v>
      </c>
      <c r="J6529" s="13" t="n">
        <v>108</v>
      </c>
      <c r="K6529" s="14" t="n">
        <f aca="false">I6529*J6529</f>
        <v>3132</v>
      </c>
      <c r="L6529" s="14" t="n">
        <f aca="false">($L$2*M6529)/100</f>
        <v>576799.92</v>
      </c>
      <c r="M6529" s="15" t="n">
        <v>0.48</v>
      </c>
      <c r="N6529" s="9" t="s">
        <v>85</v>
      </c>
    </row>
    <row r="6530" customFormat="false" ht="14.25" hidden="false" customHeight="true" outlineLevel="0" collapsed="false">
      <c r="B6530" s="9" t="s">
        <v>27</v>
      </c>
      <c r="C6530" s="9" t="n">
        <v>1185732</v>
      </c>
      <c r="D6530" s="10" t="n">
        <v>44455</v>
      </c>
      <c r="E6530" s="9" t="s">
        <v>29</v>
      </c>
      <c r="F6530" s="9" t="s">
        <v>102</v>
      </c>
      <c r="G6530" s="9" t="s">
        <v>103</v>
      </c>
      <c r="H6530" s="11" t="s">
        <v>25</v>
      </c>
      <c r="I6530" s="12" t="n">
        <v>32</v>
      </c>
      <c r="J6530" s="13" t="n">
        <v>130</v>
      </c>
      <c r="K6530" s="14" t="n">
        <f aca="false">I6530*J6530</f>
        <v>4160</v>
      </c>
      <c r="L6530" s="14" t="n">
        <f aca="false">($L$2*M6530)/100</f>
        <v>745033.23</v>
      </c>
      <c r="M6530" s="15" t="n">
        <v>0.62</v>
      </c>
      <c r="N6530" s="9" t="s">
        <v>85</v>
      </c>
    </row>
    <row r="6531" customFormat="false" ht="14.25" hidden="false" customHeight="true" outlineLevel="0" collapsed="false">
      <c r="B6531" s="9" t="s">
        <v>27</v>
      </c>
      <c r="C6531" s="9" t="n">
        <v>1185732</v>
      </c>
      <c r="D6531" s="10" t="n">
        <v>44487</v>
      </c>
      <c r="E6531" s="9" t="s">
        <v>29</v>
      </c>
      <c r="F6531" s="9" t="s">
        <v>102</v>
      </c>
      <c r="G6531" s="9" t="s">
        <v>103</v>
      </c>
      <c r="H6531" s="11" t="s">
        <v>19</v>
      </c>
      <c r="I6531" s="12" t="n">
        <v>32</v>
      </c>
      <c r="J6531" s="13" t="n">
        <v>176</v>
      </c>
      <c r="K6531" s="14" t="n">
        <f aca="false">I6531*J6531</f>
        <v>5632</v>
      </c>
      <c r="L6531" s="14" t="n">
        <f aca="false">($L$2*M6531)/100</f>
        <v>648899.91</v>
      </c>
      <c r="M6531" s="15" t="n">
        <v>0.54</v>
      </c>
      <c r="N6531" s="9" t="s">
        <v>85</v>
      </c>
    </row>
    <row r="6532" customFormat="false" ht="14.25" hidden="false" customHeight="true" outlineLevel="0" collapsed="false">
      <c r="B6532" s="9" t="s">
        <v>27</v>
      </c>
      <c r="C6532" s="9" t="n">
        <v>1185732</v>
      </c>
      <c r="D6532" s="10" t="n">
        <v>44487</v>
      </c>
      <c r="E6532" s="9" t="s">
        <v>29</v>
      </c>
      <c r="F6532" s="9" t="s">
        <v>102</v>
      </c>
      <c r="G6532" s="9" t="s">
        <v>103</v>
      </c>
      <c r="H6532" s="11" t="s">
        <v>21</v>
      </c>
      <c r="I6532" s="12" t="n">
        <v>25</v>
      </c>
      <c r="J6532" s="13" t="n">
        <v>145</v>
      </c>
      <c r="K6532" s="14" t="n">
        <f aca="false">I6532*J6532</f>
        <v>3625</v>
      </c>
      <c r="L6532" s="14" t="n">
        <f aca="false">($L$2*M6532)/100</f>
        <v>540749.925</v>
      </c>
      <c r="M6532" s="15" t="n">
        <v>0.45</v>
      </c>
      <c r="N6532" s="9" t="s">
        <v>85</v>
      </c>
    </row>
    <row r="6533" customFormat="false" ht="14.25" hidden="false" customHeight="true" outlineLevel="0" collapsed="false">
      <c r="B6533" s="9" t="s">
        <v>27</v>
      </c>
      <c r="C6533" s="9" t="n">
        <v>1185732</v>
      </c>
      <c r="D6533" s="10" t="n">
        <v>44487</v>
      </c>
      <c r="E6533" s="9" t="s">
        <v>29</v>
      </c>
      <c r="F6533" s="9" t="s">
        <v>102</v>
      </c>
      <c r="G6533" s="9" t="s">
        <v>103</v>
      </c>
      <c r="H6533" s="11" t="s">
        <v>22</v>
      </c>
      <c r="I6533" s="12" t="n">
        <v>24</v>
      </c>
      <c r="J6533" s="13" t="n">
        <v>98</v>
      </c>
      <c r="K6533" s="14" t="n">
        <f aca="false">I6533*J6533</f>
        <v>2352</v>
      </c>
      <c r="L6533" s="14" t="n">
        <f aca="false">($L$2*M6533)/100</f>
        <v>648899.91</v>
      </c>
      <c r="M6533" s="15" t="n">
        <v>0.54</v>
      </c>
      <c r="N6533" s="9" t="s">
        <v>85</v>
      </c>
    </row>
    <row r="6534" customFormat="false" ht="14.25" hidden="false" customHeight="true" outlineLevel="0" collapsed="false">
      <c r="B6534" s="9" t="s">
        <v>27</v>
      </c>
      <c r="C6534" s="9" t="n">
        <v>1185732</v>
      </c>
      <c r="D6534" s="10" t="n">
        <v>44487</v>
      </c>
      <c r="E6534" s="9" t="s">
        <v>29</v>
      </c>
      <c r="F6534" s="9" t="s">
        <v>102</v>
      </c>
      <c r="G6534" s="9" t="s">
        <v>103</v>
      </c>
      <c r="H6534" s="11" t="s">
        <v>23</v>
      </c>
      <c r="I6534" s="12" t="n">
        <v>23</v>
      </c>
      <c r="J6534" s="13" t="n">
        <v>105</v>
      </c>
      <c r="K6534" s="14" t="n">
        <f aca="false">I6534*J6534</f>
        <v>2415</v>
      </c>
      <c r="L6534" s="14" t="n">
        <f aca="false">($L$2*M6534)/100</f>
        <v>600833.25</v>
      </c>
      <c r="M6534" s="15" t="n">
        <v>0.5</v>
      </c>
      <c r="N6534" s="9" t="s">
        <v>85</v>
      </c>
    </row>
    <row r="6535" customFormat="false" ht="14.25" hidden="false" customHeight="true" outlineLevel="0" collapsed="false">
      <c r="B6535" s="9" t="s">
        <v>27</v>
      </c>
      <c r="C6535" s="9" t="n">
        <v>1185732</v>
      </c>
      <c r="D6535" s="10" t="n">
        <v>44487</v>
      </c>
      <c r="E6535" s="9" t="s">
        <v>29</v>
      </c>
      <c r="F6535" s="9" t="s">
        <v>102</v>
      </c>
      <c r="G6535" s="9" t="s">
        <v>103</v>
      </c>
      <c r="H6535" s="11" t="s">
        <v>24</v>
      </c>
      <c r="I6535" s="12" t="n">
        <v>32</v>
      </c>
      <c r="J6535" s="13" t="n">
        <v>98</v>
      </c>
      <c r="K6535" s="14" t="n">
        <f aca="false">I6535*J6535</f>
        <v>3136</v>
      </c>
      <c r="L6535" s="14" t="n">
        <f aca="false">($L$2*M6535)/100</f>
        <v>600833.25</v>
      </c>
      <c r="M6535" s="15" t="n">
        <v>0.5</v>
      </c>
      <c r="N6535" s="9" t="s">
        <v>85</v>
      </c>
    </row>
    <row r="6536" customFormat="false" ht="14.25" hidden="false" customHeight="true" outlineLevel="0" collapsed="false">
      <c r="B6536" s="9" t="s">
        <v>28</v>
      </c>
      <c r="C6536" s="9" t="n">
        <v>1185732</v>
      </c>
      <c r="D6536" s="10" t="n">
        <v>44487</v>
      </c>
      <c r="E6536" s="9" t="s">
        <v>29</v>
      </c>
      <c r="F6536" s="9" t="s">
        <v>102</v>
      </c>
      <c r="G6536" s="9" t="s">
        <v>103</v>
      </c>
      <c r="H6536" s="11" t="s">
        <v>25</v>
      </c>
      <c r="I6536" s="12" t="n">
        <v>33</v>
      </c>
      <c r="J6536" s="13" t="n">
        <v>124</v>
      </c>
      <c r="K6536" s="14" t="n">
        <f aca="false">I6536*J6536</f>
        <v>4092</v>
      </c>
      <c r="L6536" s="14" t="n">
        <f aca="false">($L$2*M6536)/100</f>
        <v>769066.56</v>
      </c>
      <c r="M6536" s="15" t="n">
        <v>0.64</v>
      </c>
      <c r="N6536" s="9" t="s">
        <v>85</v>
      </c>
    </row>
    <row r="6537" customFormat="false" ht="14.25" hidden="false" customHeight="true" outlineLevel="0" collapsed="false">
      <c r="B6537" s="9" t="s">
        <v>28</v>
      </c>
      <c r="C6537" s="9" t="n">
        <v>1185732</v>
      </c>
      <c r="D6537" s="10" t="n">
        <v>44517</v>
      </c>
      <c r="E6537" s="9" t="s">
        <v>29</v>
      </c>
      <c r="F6537" s="9" t="s">
        <v>102</v>
      </c>
      <c r="G6537" s="9" t="s">
        <v>103</v>
      </c>
      <c r="H6537" s="11" t="s">
        <v>19</v>
      </c>
      <c r="I6537" s="12" t="n">
        <v>28</v>
      </c>
      <c r="J6537" s="13" t="n">
        <v>163</v>
      </c>
      <c r="K6537" s="14" t="n">
        <f aca="false">I6537*J6537</f>
        <v>4564</v>
      </c>
      <c r="L6537" s="14" t="n">
        <f aca="false">($L$2*M6537)/100</f>
        <v>648899.91</v>
      </c>
      <c r="M6537" s="15" t="n">
        <v>0.54</v>
      </c>
      <c r="N6537" s="9" t="s">
        <v>85</v>
      </c>
    </row>
    <row r="6538" customFormat="false" ht="14.25" hidden="false" customHeight="true" outlineLevel="0" collapsed="false">
      <c r="B6538" s="9" t="s">
        <v>28</v>
      </c>
      <c r="C6538" s="9" t="n">
        <v>1185732</v>
      </c>
      <c r="D6538" s="10" t="n">
        <v>44517</v>
      </c>
      <c r="E6538" s="9" t="s">
        <v>29</v>
      </c>
      <c r="F6538" s="9" t="s">
        <v>102</v>
      </c>
      <c r="G6538" s="9" t="s">
        <v>103</v>
      </c>
      <c r="H6538" s="11" t="s">
        <v>21</v>
      </c>
      <c r="I6538" s="12" t="n">
        <v>18</v>
      </c>
      <c r="J6538" s="13" t="n">
        <v>117</v>
      </c>
      <c r="K6538" s="14" t="n">
        <f aca="false">I6538*J6538</f>
        <v>2106</v>
      </c>
      <c r="L6538" s="14" t="n">
        <f aca="false">($L$2*M6538)/100</f>
        <v>540749.925</v>
      </c>
      <c r="M6538" s="15" t="n">
        <v>0.45</v>
      </c>
      <c r="N6538" s="9" t="s">
        <v>85</v>
      </c>
    </row>
    <row r="6539" customFormat="false" ht="14.25" hidden="false" customHeight="true" outlineLevel="0" collapsed="false">
      <c r="B6539" s="9" t="s">
        <v>28</v>
      </c>
      <c r="C6539" s="9" t="n">
        <v>1185732</v>
      </c>
      <c r="D6539" s="10" t="n">
        <v>44517</v>
      </c>
      <c r="E6539" s="9" t="s">
        <v>29</v>
      </c>
      <c r="F6539" s="9" t="s">
        <v>102</v>
      </c>
      <c r="G6539" s="9" t="s">
        <v>103</v>
      </c>
      <c r="H6539" s="11" t="s">
        <v>22</v>
      </c>
      <c r="I6539" s="12" t="n">
        <v>28</v>
      </c>
      <c r="J6539" s="13" t="n">
        <v>111</v>
      </c>
      <c r="K6539" s="14" t="n">
        <f aca="false">I6539*J6539</f>
        <v>3108</v>
      </c>
      <c r="L6539" s="14" t="n">
        <f aca="false">($L$2*M6539)/100</f>
        <v>648899.91</v>
      </c>
      <c r="M6539" s="15" t="n">
        <v>0.54</v>
      </c>
      <c r="N6539" s="9" t="s">
        <v>85</v>
      </c>
    </row>
    <row r="6540" customFormat="false" ht="14.25" hidden="false" customHeight="true" outlineLevel="0" collapsed="false">
      <c r="B6540" s="9" t="s">
        <v>28</v>
      </c>
      <c r="C6540" s="9" t="n">
        <v>1185732</v>
      </c>
      <c r="D6540" s="10" t="n">
        <v>44517</v>
      </c>
      <c r="E6540" s="9" t="s">
        <v>29</v>
      </c>
      <c r="F6540" s="9" t="s">
        <v>102</v>
      </c>
      <c r="G6540" s="9" t="s">
        <v>103</v>
      </c>
      <c r="H6540" s="11" t="s">
        <v>23</v>
      </c>
      <c r="I6540" s="12" t="n">
        <v>54</v>
      </c>
      <c r="J6540" s="13" t="n">
        <v>117</v>
      </c>
      <c r="K6540" s="14" t="n">
        <f aca="false">I6540*J6540</f>
        <v>6318</v>
      </c>
      <c r="L6540" s="14" t="n">
        <f aca="false">($L$2*M6540)/100</f>
        <v>636883.245</v>
      </c>
      <c r="M6540" s="15" t="n">
        <v>0.53</v>
      </c>
      <c r="N6540" s="9" t="s">
        <v>85</v>
      </c>
    </row>
    <row r="6541" customFormat="false" ht="14.25" hidden="false" customHeight="true" outlineLevel="0" collapsed="false">
      <c r="B6541" s="9" t="s">
        <v>28</v>
      </c>
      <c r="C6541" s="9" t="n">
        <v>1185732</v>
      </c>
      <c r="D6541" s="10" t="n">
        <v>44517</v>
      </c>
      <c r="E6541" s="9" t="s">
        <v>29</v>
      </c>
      <c r="F6541" s="9" t="s">
        <v>102</v>
      </c>
      <c r="G6541" s="9" t="s">
        <v>103</v>
      </c>
      <c r="H6541" s="11" t="s">
        <v>24</v>
      </c>
      <c r="I6541" s="12" t="n">
        <v>71</v>
      </c>
      <c r="J6541" s="13" t="n">
        <v>123</v>
      </c>
      <c r="K6541" s="14" t="n">
        <f aca="false">I6541*J6541</f>
        <v>8733</v>
      </c>
      <c r="L6541" s="14" t="n">
        <f aca="false">($L$2*M6541)/100</f>
        <v>540749.925</v>
      </c>
      <c r="M6541" s="15" t="n">
        <v>0.45</v>
      </c>
      <c r="N6541" s="9" t="s">
        <v>85</v>
      </c>
    </row>
    <row r="6542" customFormat="false" ht="14.25" hidden="false" customHeight="true" outlineLevel="0" collapsed="false">
      <c r="B6542" s="9" t="s">
        <v>28</v>
      </c>
      <c r="C6542" s="9" t="n">
        <v>1185732</v>
      </c>
      <c r="D6542" s="10" t="n">
        <v>44517</v>
      </c>
      <c r="E6542" s="9" t="s">
        <v>29</v>
      </c>
      <c r="F6542" s="9" t="s">
        <v>102</v>
      </c>
      <c r="G6542" s="9" t="s">
        <v>103</v>
      </c>
      <c r="H6542" s="11" t="s">
        <v>25</v>
      </c>
      <c r="I6542" s="12" t="n">
        <v>68</v>
      </c>
      <c r="J6542" s="13" t="n">
        <v>158</v>
      </c>
      <c r="K6542" s="14" t="n">
        <f aca="false">I6542*J6542</f>
        <v>10744</v>
      </c>
      <c r="L6542" s="14" t="n">
        <f aca="false">($L$2*M6542)/100</f>
        <v>733016.565</v>
      </c>
      <c r="M6542" s="15" t="n">
        <v>0.61</v>
      </c>
      <c r="N6542" s="9" t="s">
        <v>85</v>
      </c>
    </row>
    <row r="6543" customFormat="false" ht="14.25" hidden="false" customHeight="true" outlineLevel="0" collapsed="false">
      <c r="B6543" s="9" t="s">
        <v>28</v>
      </c>
      <c r="C6543" s="9" t="n">
        <v>1185732</v>
      </c>
      <c r="D6543" s="10" t="n">
        <v>44546</v>
      </c>
      <c r="E6543" s="9" t="s">
        <v>29</v>
      </c>
      <c r="F6543" s="9" t="s">
        <v>102</v>
      </c>
      <c r="G6543" s="9" t="s">
        <v>103</v>
      </c>
      <c r="H6543" s="11" t="s">
        <v>19</v>
      </c>
      <c r="I6543" s="12" t="n">
        <v>68</v>
      </c>
      <c r="J6543" s="13" t="n">
        <v>194</v>
      </c>
      <c r="K6543" s="14" t="n">
        <f aca="false">I6543*J6543</f>
        <v>13192</v>
      </c>
      <c r="L6543" s="14" t="n">
        <f aca="false">($L$2*M6543)/100</f>
        <v>636883.245</v>
      </c>
      <c r="M6543" s="15" t="n">
        <v>0.53</v>
      </c>
      <c r="N6543" s="9" t="s">
        <v>85</v>
      </c>
    </row>
    <row r="6544" customFormat="false" ht="14.25" hidden="false" customHeight="true" outlineLevel="0" collapsed="false">
      <c r="B6544" s="9" t="s">
        <v>28</v>
      </c>
      <c r="C6544" s="9" t="n">
        <v>1185732</v>
      </c>
      <c r="D6544" s="10" t="n">
        <v>44546</v>
      </c>
      <c r="E6544" s="9" t="s">
        <v>29</v>
      </c>
      <c r="F6544" s="9" t="s">
        <v>102</v>
      </c>
      <c r="G6544" s="9" t="s">
        <v>103</v>
      </c>
      <c r="H6544" s="11" t="s">
        <v>21</v>
      </c>
      <c r="I6544" s="12" t="n">
        <v>58</v>
      </c>
      <c r="J6544" s="13" t="n">
        <v>155</v>
      </c>
      <c r="K6544" s="14" t="n">
        <f aca="false">I6544*J6544</f>
        <v>8990</v>
      </c>
      <c r="L6544" s="14" t="n">
        <f aca="false">($L$2*M6544)/100</f>
        <v>588816.585</v>
      </c>
      <c r="M6544" s="15" t="n">
        <v>0.49</v>
      </c>
      <c r="N6544" s="9" t="s">
        <v>85</v>
      </c>
    </row>
    <row r="6545" customFormat="false" ht="14.25" hidden="false" customHeight="true" outlineLevel="0" collapsed="false">
      <c r="B6545" s="9" t="s">
        <v>28</v>
      </c>
      <c r="C6545" s="9" t="n">
        <v>1185732</v>
      </c>
      <c r="D6545" s="10" t="n">
        <v>44546</v>
      </c>
      <c r="E6545" s="9" t="s">
        <v>29</v>
      </c>
      <c r="F6545" s="9" t="s">
        <v>102</v>
      </c>
      <c r="G6545" s="9" t="s">
        <v>103</v>
      </c>
      <c r="H6545" s="11" t="s">
        <v>22</v>
      </c>
      <c r="I6545" s="12" t="n">
        <v>59</v>
      </c>
      <c r="J6545" s="13" t="n">
        <v>137</v>
      </c>
      <c r="K6545" s="14" t="n">
        <f aca="false">I6545*J6545</f>
        <v>8083</v>
      </c>
      <c r="L6545" s="14" t="n">
        <f aca="false">($L$2*M6545)/100</f>
        <v>648899.91</v>
      </c>
      <c r="M6545" s="15" t="n">
        <v>0.54</v>
      </c>
      <c r="N6545" s="9" t="s">
        <v>85</v>
      </c>
    </row>
    <row r="6546" customFormat="false" ht="14.25" hidden="false" customHeight="true" outlineLevel="0" collapsed="false">
      <c r="B6546" s="9" t="s">
        <v>28</v>
      </c>
      <c r="C6546" s="9" t="n">
        <v>1185732</v>
      </c>
      <c r="D6546" s="10" t="n">
        <v>44546</v>
      </c>
      <c r="E6546" s="9" t="s">
        <v>29</v>
      </c>
      <c r="F6546" s="9" t="s">
        <v>102</v>
      </c>
      <c r="G6546" s="9" t="s">
        <v>103</v>
      </c>
      <c r="H6546" s="11" t="s">
        <v>23</v>
      </c>
      <c r="I6546" s="12" t="n">
        <v>56</v>
      </c>
      <c r="J6546" s="13" t="n">
        <v>133</v>
      </c>
      <c r="K6546" s="14" t="n">
        <f aca="false">I6546*J6546</f>
        <v>7448</v>
      </c>
      <c r="L6546" s="14" t="n">
        <f aca="false">($L$2*M6546)/100</f>
        <v>624866.58</v>
      </c>
      <c r="M6546" s="15" t="n">
        <v>0.52</v>
      </c>
      <c r="N6546" s="9" t="s">
        <v>85</v>
      </c>
    </row>
    <row r="6547" customFormat="false" ht="14.25" hidden="false" customHeight="true" outlineLevel="0" collapsed="false">
      <c r="B6547" s="9" t="s">
        <v>28</v>
      </c>
      <c r="C6547" s="9" t="n">
        <v>1185732</v>
      </c>
      <c r="D6547" s="10" t="n">
        <v>44546</v>
      </c>
      <c r="E6547" s="9" t="s">
        <v>29</v>
      </c>
      <c r="F6547" s="9" t="s">
        <v>102</v>
      </c>
      <c r="G6547" s="9" t="s">
        <v>103</v>
      </c>
      <c r="H6547" s="11" t="s">
        <v>24</v>
      </c>
      <c r="I6547" s="12" t="n">
        <v>65</v>
      </c>
      <c r="J6547" s="13" t="n">
        <v>124</v>
      </c>
      <c r="K6547" s="14" t="n">
        <f aca="false">I6547*J6547</f>
        <v>8060</v>
      </c>
      <c r="L6547" s="14" t="n">
        <f aca="false">($L$2*M6547)/100</f>
        <v>600833.25</v>
      </c>
      <c r="M6547" s="15" t="n">
        <v>0.5</v>
      </c>
      <c r="N6547" s="9" t="s">
        <v>85</v>
      </c>
    </row>
    <row r="6548" customFormat="false" ht="14.25" hidden="false" customHeight="true" outlineLevel="0" collapsed="false">
      <c r="B6548" s="9" t="s">
        <v>28</v>
      </c>
      <c r="C6548" s="9" t="n">
        <v>1185732</v>
      </c>
      <c r="D6548" s="10" t="n">
        <v>44546</v>
      </c>
      <c r="E6548" s="9" t="s">
        <v>29</v>
      </c>
      <c r="F6548" s="9" t="s">
        <v>102</v>
      </c>
      <c r="G6548" s="9" t="s">
        <v>103</v>
      </c>
      <c r="H6548" s="11" t="s">
        <v>25</v>
      </c>
      <c r="I6548" s="12" t="n">
        <v>71</v>
      </c>
      <c r="J6548" s="13" t="n">
        <v>144</v>
      </c>
      <c r="K6548" s="14" t="n">
        <f aca="false">I6548*J6548</f>
        <v>10224</v>
      </c>
      <c r="L6548" s="14" t="n">
        <f aca="false">($L$2*M6548)/100</f>
        <v>733016.565</v>
      </c>
      <c r="M6548" s="15" t="n">
        <v>0.61</v>
      </c>
      <c r="N6548" s="9" t="s">
        <v>85</v>
      </c>
    </row>
    <row r="6549" customFormat="false" ht="14.25" hidden="false" customHeight="true" outlineLevel="0" collapsed="false">
      <c r="B6549" s="9" t="s">
        <v>28</v>
      </c>
      <c r="C6549" s="9" t="n">
        <v>1197831</v>
      </c>
      <c r="D6549" s="10" t="n">
        <v>44219</v>
      </c>
      <c r="E6549" s="9" t="s">
        <v>29</v>
      </c>
      <c r="F6549" s="9" t="s">
        <v>102</v>
      </c>
      <c r="G6549" s="9" t="s">
        <v>103</v>
      </c>
      <c r="H6549" s="11" t="s">
        <v>19</v>
      </c>
      <c r="I6549" s="12" t="n">
        <v>24</v>
      </c>
      <c r="J6549" s="13" t="n">
        <v>176</v>
      </c>
      <c r="K6549" s="14" t="n">
        <f aca="false">I6549*J6549</f>
        <v>4224</v>
      </c>
      <c r="L6549" s="14" t="n">
        <f aca="false">($L$2*M6549)/100</f>
        <v>612849.915</v>
      </c>
      <c r="M6549" s="15" t="n">
        <v>0.51</v>
      </c>
      <c r="N6549" s="9" t="s">
        <v>85</v>
      </c>
    </row>
    <row r="6550" customFormat="false" ht="14.25" hidden="false" customHeight="true" outlineLevel="0" collapsed="false">
      <c r="B6550" s="9" t="s">
        <v>28</v>
      </c>
      <c r="C6550" s="9" t="n">
        <v>1197831</v>
      </c>
      <c r="D6550" s="10" t="n">
        <v>44219</v>
      </c>
      <c r="E6550" s="9" t="s">
        <v>29</v>
      </c>
      <c r="F6550" s="9" t="s">
        <v>102</v>
      </c>
      <c r="G6550" s="9" t="s">
        <v>103</v>
      </c>
      <c r="H6550" s="11" t="s">
        <v>21</v>
      </c>
      <c r="I6550" s="12" t="n">
        <v>25</v>
      </c>
      <c r="J6550" s="13" t="n">
        <v>131</v>
      </c>
      <c r="K6550" s="14" t="n">
        <f aca="false">I6550*J6550</f>
        <v>3275</v>
      </c>
      <c r="L6550" s="14" t="n">
        <f aca="false">($L$2*M6550)/100</f>
        <v>540749.925</v>
      </c>
      <c r="M6550" s="15" t="n">
        <v>0.45</v>
      </c>
      <c r="N6550" s="9" t="s">
        <v>85</v>
      </c>
    </row>
    <row r="6551" customFormat="false" ht="14.25" hidden="false" customHeight="true" outlineLevel="0" collapsed="false">
      <c r="B6551" s="9" t="s">
        <v>28</v>
      </c>
      <c r="C6551" s="9" t="n">
        <v>1197831</v>
      </c>
      <c r="D6551" s="10" t="n">
        <v>44219</v>
      </c>
      <c r="E6551" s="9" t="s">
        <v>29</v>
      </c>
      <c r="F6551" s="9" t="s">
        <v>102</v>
      </c>
      <c r="G6551" s="9" t="s">
        <v>103</v>
      </c>
      <c r="H6551" s="11" t="s">
        <v>22</v>
      </c>
      <c r="I6551" s="12" t="n">
        <v>14</v>
      </c>
      <c r="J6551" s="13" t="n">
        <v>117</v>
      </c>
      <c r="K6551" s="14" t="n">
        <f aca="false">I6551*J6551</f>
        <v>1638</v>
      </c>
      <c r="L6551" s="14" t="n">
        <f aca="false">($L$2*M6551)/100</f>
        <v>612849.915</v>
      </c>
      <c r="M6551" s="15" t="n">
        <v>0.51</v>
      </c>
      <c r="N6551" s="9" t="s">
        <v>85</v>
      </c>
    </row>
    <row r="6552" customFormat="false" ht="14.25" hidden="false" customHeight="true" outlineLevel="0" collapsed="false">
      <c r="B6552" s="9" t="s">
        <v>28</v>
      </c>
      <c r="C6552" s="9" t="n">
        <v>1197831</v>
      </c>
      <c r="D6552" s="10" t="n">
        <v>44219</v>
      </c>
      <c r="E6552" s="9" t="s">
        <v>29</v>
      </c>
      <c r="F6552" s="9" t="s">
        <v>102</v>
      </c>
      <c r="G6552" s="9" t="s">
        <v>103</v>
      </c>
      <c r="H6552" s="11" t="s">
        <v>23</v>
      </c>
      <c r="I6552" s="12" t="n">
        <v>19</v>
      </c>
      <c r="J6552" s="13" t="n">
        <v>78</v>
      </c>
      <c r="K6552" s="14" t="n">
        <f aca="false">I6552*J6552</f>
        <v>1482</v>
      </c>
      <c r="L6552" s="14" t="n">
        <f aca="false">($L$2*M6552)/100</f>
        <v>636883.245</v>
      </c>
      <c r="M6552" s="15" t="n">
        <v>0.53</v>
      </c>
      <c r="N6552" s="9" t="s">
        <v>85</v>
      </c>
    </row>
    <row r="6553" customFormat="false" ht="14.25" hidden="false" customHeight="true" outlineLevel="0" collapsed="false">
      <c r="B6553" s="9" t="s">
        <v>28</v>
      </c>
      <c r="C6553" s="9" t="n">
        <v>1197831</v>
      </c>
      <c r="D6553" s="10" t="n">
        <v>44219</v>
      </c>
      <c r="E6553" s="9" t="s">
        <v>29</v>
      </c>
      <c r="F6553" s="9" t="s">
        <v>102</v>
      </c>
      <c r="G6553" s="9" t="s">
        <v>103</v>
      </c>
      <c r="H6553" s="11" t="s">
        <v>24</v>
      </c>
      <c r="I6553" s="12" t="n">
        <v>34</v>
      </c>
      <c r="J6553" s="13" t="n">
        <v>95</v>
      </c>
      <c r="K6553" s="14" t="n">
        <f aca="false">I6553*J6553</f>
        <v>3230</v>
      </c>
      <c r="L6553" s="14" t="n">
        <f aca="false">($L$2*M6553)/100</f>
        <v>576799.92</v>
      </c>
      <c r="M6553" s="15" t="n">
        <v>0.48</v>
      </c>
      <c r="N6553" s="9" t="s">
        <v>85</v>
      </c>
    </row>
    <row r="6554" customFormat="false" ht="14.25" hidden="false" customHeight="true" outlineLevel="0" collapsed="false">
      <c r="B6554" s="9" t="s">
        <v>28</v>
      </c>
      <c r="C6554" s="9" t="n">
        <v>1197831</v>
      </c>
      <c r="D6554" s="10" t="n">
        <v>44219</v>
      </c>
      <c r="E6554" s="9" t="s">
        <v>29</v>
      </c>
      <c r="F6554" s="9" t="s">
        <v>102</v>
      </c>
      <c r="G6554" s="9" t="s">
        <v>103</v>
      </c>
      <c r="H6554" s="11" t="s">
        <v>25</v>
      </c>
      <c r="I6554" s="12" t="n">
        <v>23</v>
      </c>
      <c r="J6554" s="13" t="n">
        <v>122</v>
      </c>
      <c r="K6554" s="14" t="n">
        <f aca="false">I6554*J6554</f>
        <v>2806</v>
      </c>
      <c r="L6554" s="14" t="n">
        <f aca="false">($L$2*M6554)/100</f>
        <v>624866.58</v>
      </c>
      <c r="M6554" s="15" t="n">
        <v>0.52</v>
      </c>
      <c r="N6554" s="9" t="s">
        <v>85</v>
      </c>
    </row>
    <row r="6555" customFormat="false" ht="14.25" hidden="false" customHeight="true" outlineLevel="0" collapsed="false">
      <c r="B6555" s="9" t="s">
        <v>28</v>
      </c>
      <c r="C6555" s="9" t="n">
        <v>1197831</v>
      </c>
      <c r="D6555" s="10" t="n">
        <v>44248</v>
      </c>
      <c r="E6555" s="9" t="s">
        <v>29</v>
      </c>
      <c r="F6555" s="9" t="s">
        <v>102</v>
      </c>
      <c r="G6555" s="9" t="s">
        <v>103</v>
      </c>
      <c r="H6555" s="11" t="s">
        <v>19</v>
      </c>
      <c r="I6555" s="12" t="n">
        <v>24</v>
      </c>
      <c r="J6555" s="13" t="n">
        <v>189</v>
      </c>
      <c r="K6555" s="14" t="n">
        <f aca="false">I6555*J6555</f>
        <v>4536</v>
      </c>
      <c r="L6555" s="14" t="n">
        <f aca="false">($L$2*M6555)/100</f>
        <v>612849.915</v>
      </c>
      <c r="M6555" s="15" t="n">
        <v>0.51</v>
      </c>
      <c r="N6555" s="9" t="s">
        <v>85</v>
      </c>
    </row>
    <row r="6556" customFormat="false" ht="14.25" hidden="false" customHeight="true" outlineLevel="0" collapsed="false">
      <c r="B6556" s="9" t="s">
        <v>28</v>
      </c>
      <c r="C6556" s="9" t="n">
        <v>1197831</v>
      </c>
      <c r="D6556" s="10" t="n">
        <v>44248</v>
      </c>
      <c r="E6556" s="9" t="s">
        <v>29</v>
      </c>
      <c r="F6556" s="9" t="s">
        <v>102</v>
      </c>
      <c r="G6556" s="9" t="s">
        <v>103</v>
      </c>
      <c r="H6556" s="11" t="s">
        <v>21</v>
      </c>
      <c r="I6556" s="12" t="n">
        <v>24</v>
      </c>
      <c r="J6556" s="13" t="n">
        <v>105</v>
      </c>
      <c r="K6556" s="14" t="n">
        <f aca="false">I6556*J6556</f>
        <v>2520</v>
      </c>
      <c r="L6556" s="14" t="n">
        <f aca="false">($L$2*M6556)/100</f>
        <v>540749.925</v>
      </c>
      <c r="M6556" s="15" t="n">
        <v>0.45</v>
      </c>
      <c r="N6556" s="9" t="s">
        <v>85</v>
      </c>
    </row>
    <row r="6557" customFormat="false" ht="14.25" hidden="false" customHeight="true" outlineLevel="0" collapsed="false">
      <c r="B6557" s="9" t="s">
        <v>28</v>
      </c>
      <c r="C6557" s="9" t="n">
        <v>1197831</v>
      </c>
      <c r="D6557" s="10" t="n">
        <v>44248</v>
      </c>
      <c r="E6557" s="9" t="s">
        <v>29</v>
      </c>
      <c r="F6557" s="9" t="s">
        <v>102</v>
      </c>
      <c r="G6557" s="9" t="s">
        <v>103</v>
      </c>
      <c r="H6557" s="11" t="s">
        <v>22</v>
      </c>
      <c r="I6557" s="12" t="n">
        <v>14</v>
      </c>
      <c r="J6557" s="13" t="n">
        <v>120</v>
      </c>
      <c r="K6557" s="14" t="n">
        <f aca="false">I6557*J6557</f>
        <v>1680</v>
      </c>
      <c r="L6557" s="14" t="n">
        <f aca="false">($L$2*M6557)/100</f>
        <v>600833.25</v>
      </c>
      <c r="M6557" s="15" t="n">
        <v>0.5</v>
      </c>
      <c r="N6557" s="9" t="s">
        <v>85</v>
      </c>
    </row>
    <row r="6558" customFormat="false" ht="14.25" hidden="false" customHeight="true" outlineLevel="0" collapsed="false">
      <c r="B6558" s="9" t="s">
        <v>27</v>
      </c>
      <c r="C6558" s="9" t="n">
        <v>1197831</v>
      </c>
      <c r="D6558" s="10" t="n">
        <v>44248</v>
      </c>
      <c r="E6558" s="9" t="s">
        <v>29</v>
      </c>
      <c r="F6558" s="9" t="s">
        <v>104</v>
      </c>
      <c r="G6558" s="9" t="s">
        <v>105</v>
      </c>
      <c r="H6558" s="11" t="s">
        <v>23</v>
      </c>
      <c r="I6558" s="12" t="n">
        <v>18</v>
      </c>
      <c r="J6558" s="13" t="n">
        <v>70</v>
      </c>
      <c r="K6558" s="14" t="n">
        <f aca="false">I6558*J6558</f>
        <v>1260</v>
      </c>
      <c r="L6558" s="14" t="n">
        <f aca="false">($L$2*M6558)/100</f>
        <v>600833.25</v>
      </c>
      <c r="M6558" s="15" t="n">
        <v>0.5</v>
      </c>
      <c r="N6558" s="9" t="s">
        <v>85</v>
      </c>
    </row>
    <row r="6559" customFormat="false" ht="14.25" hidden="false" customHeight="true" outlineLevel="0" collapsed="false">
      <c r="B6559" s="9" t="s">
        <v>27</v>
      </c>
      <c r="C6559" s="9" t="n">
        <v>1197831</v>
      </c>
      <c r="D6559" s="10" t="n">
        <v>44248</v>
      </c>
      <c r="E6559" s="9" t="s">
        <v>29</v>
      </c>
      <c r="F6559" s="9" t="s">
        <v>104</v>
      </c>
      <c r="G6559" s="9" t="s">
        <v>105</v>
      </c>
      <c r="H6559" s="11" t="s">
        <v>24</v>
      </c>
      <c r="I6559" s="12" t="n">
        <v>34</v>
      </c>
      <c r="J6559" s="13" t="n">
        <v>98</v>
      </c>
      <c r="K6559" s="14" t="n">
        <f aca="false">I6559*J6559</f>
        <v>3332</v>
      </c>
      <c r="L6559" s="14" t="n">
        <f aca="false">($L$2*M6559)/100</f>
        <v>540749.925</v>
      </c>
      <c r="M6559" s="15" t="n">
        <v>0.45</v>
      </c>
      <c r="N6559" s="9" t="s">
        <v>85</v>
      </c>
    </row>
    <row r="6560" customFormat="false" ht="14.25" hidden="false" customHeight="true" outlineLevel="0" collapsed="false">
      <c r="B6560" s="9" t="s">
        <v>27</v>
      </c>
      <c r="C6560" s="9" t="n">
        <v>1197831</v>
      </c>
      <c r="D6560" s="10" t="n">
        <v>44248</v>
      </c>
      <c r="E6560" s="9" t="s">
        <v>29</v>
      </c>
      <c r="F6560" s="9" t="s">
        <v>104</v>
      </c>
      <c r="G6560" s="9" t="s">
        <v>105</v>
      </c>
      <c r="H6560" s="11" t="s">
        <v>25</v>
      </c>
      <c r="I6560" s="12" t="n">
        <v>19</v>
      </c>
      <c r="J6560" s="13" t="n">
        <v>115</v>
      </c>
      <c r="K6560" s="14" t="n">
        <f aca="false">I6560*J6560</f>
        <v>2185</v>
      </c>
      <c r="L6560" s="14" t="n">
        <f aca="false">($L$2*M6560)/100</f>
        <v>648899.91</v>
      </c>
      <c r="M6560" s="15" t="n">
        <v>0.54</v>
      </c>
      <c r="N6560" s="9" t="s">
        <v>85</v>
      </c>
    </row>
    <row r="6561" customFormat="false" ht="14.25" hidden="false" customHeight="true" outlineLevel="0" collapsed="false">
      <c r="B6561" s="9" t="s">
        <v>27</v>
      </c>
      <c r="C6561" s="9" t="n">
        <v>1197831</v>
      </c>
      <c r="D6561" s="10" t="n">
        <v>44274</v>
      </c>
      <c r="E6561" s="9" t="s">
        <v>29</v>
      </c>
      <c r="F6561" s="9" t="s">
        <v>104</v>
      </c>
      <c r="G6561" s="9" t="s">
        <v>105</v>
      </c>
      <c r="H6561" s="11" t="s">
        <v>19</v>
      </c>
      <c r="I6561" s="12" t="n">
        <v>18</v>
      </c>
      <c r="J6561" s="13" t="n">
        <v>181</v>
      </c>
      <c r="K6561" s="14" t="n">
        <f aca="false">I6561*J6561</f>
        <v>3258</v>
      </c>
      <c r="L6561" s="14" t="n">
        <f aca="false">($L$2*M6561)/100</f>
        <v>636883.245</v>
      </c>
      <c r="M6561" s="15" t="n">
        <v>0.53</v>
      </c>
      <c r="N6561" s="9" t="s">
        <v>85</v>
      </c>
    </row>
    <row r="6562" customFormat="false" ht="14.25" hidden="false" customHeight="true" outlineLevel="0" collapsed="false">
      <c r="B6562" s="9" t="s">
        <v>27</v>
      </c>
      <c r="C6562" s="9" t="n">
        <v>1197831</v>
      </c>
      <c r="D6562" s="10" t="n">
        <v>44274</v>
      </c>
      <c r="E6562" s="9" t="s">
        <v>29</v>
      </c>
      <c r="F6562" s="9" t="s">
        <v>104</v>
      </c>
      <c r="G6562" s="9" t="s">
        <v>105</v>
      </c>
      <c r="H6562" s="11" t="s">
        <v>21</v>
      </c>
      <c r="I6562" s="12" t="n">
        <v>20</v>
      </c>
      <c r="J6562" s="13" t="n">
        <v>98</v>
      </c>
      <c r="K6562" s="14" t="n">
        <f aca="false">I6562*J6562</f>
        <v>1960</v>
      </c>
      <c r="L6562" s="14" t="n">
        <f aca="false">($L$2*M6562)/100</f>
        <v>540749.925</v>
      </c>
      <c r="M6562" s="15" t="n">
        <v>0.45</v>
      </c>
      <c r="N6562" s="9" t="s">
        <v>85</v>
      </c>
    </row>
    <row r="6563" customFormat="false" ht="14.25" hidden="false" customHeight="true" outlineLevel="0" collapsed="false">
      <c r="B6563" s="9" t="s">
        <v>27</v>
      </c>
      <c r="C6563" s="9" t="n">
        <v>1197831</v>
      </c>
      <c r="D6563" s="10" t="n">
        <v>44274</v>
      </c>
      <c r="E6563" s="9" t="s">
        <v>29</v>
      </c>
      <c r="F6563" s="9" t="s">
        <v>104</v>
      </c>
      <c r="G6563" s="9" t="s">
        <v>105</v>
      </c>
      <c r="H6563" s="11" t="s">
        <v>22</v>
      </c>
      <c r="I6563" s="12" t="n">
        <v>10</v>
      </c>
      <c r="J6563" s="13" t="n">
        <v>88</v>
      </c>
      <c r="K6563" s="14" t="n">
        <f aca="false">I6563*J6563</f>
        <v>880</v>
      </c>
      <c r="L6563" s="14" t="n">
        <f aca="false">($L$2*M6563)/100</f>
        <v>648899.91</v>
      </c>
      <c r="M6563" s="15" t="n">
        <v>0.54</v>
      </c>
      <c r="N6563" s="9" t="s">
        <v>85</v>
      </c>
    </row>
    <row r="6564" customFormat="false" ht="14.25" hidden="false" customHeight="true" outlineLevel="0" collapsed="false">
      <c r="B6564" s="9" t="s">
        <v>27</v>
      </c>
      <c r="C6564" s="9" t="n">
        <v>1197831</v>
      </c>
      <c r="D6564" s="10" t="n">
        <v>44274</v>
      </c>
      <c r="E6564" s="9" t="s">
        <v>29</v>
      </c>
      <c r="F6564" s="9" t="s">
        <v>104</v>
      </c>
      <c r="G6564" s="9" t="s">
        <v>105</v>
      </c>
      <c r="H6564" s="11" t="s">
        <v>23</v>
      </c>
      <c r="I6564" s="12" t="n">
        <v>19</v>
      </c>
      <c r="J6564" s="13" t="n">
        <v>60</v>
      </c>
      <c r="K6564" s="14" t="n">
        <f aca="false">I6564*J6564</f>
        <v>1140</v>
      </c>
      <c r="L6564" s="14" t="n">
        <f aca="false">($L$2*M6564)/100</f>
        <v>624866.58</v>
      </c>
      <c r="M6564" s="15" t="n">
        <v>0.52</v>
      </c>
      <c r="N6564" s="9" t="s">
        <v>85</v>
      </c>
    </row>
    <row r="6565" customFormat="false" ht="14.25" hidden="false" customHeight="true" outlineLevel="0" collapsed="false">
      <c r="B6565" s="9" t="s">
        <v>27</v>
      </c>
      <c r="C6565" s="9" t="n">
        <v>1197831</v>
      </c>
      <c r="D6565" s="10" t="n">
        <v>44274</v>
      </c>
      <c r="E6565" s="9" t="s">
        <v>29</v>
      </c>
      <c r="F6565" s="9" t="s">
        <v>104</v>
      </c>
      <c r="G6565" s="9" t="s">
        <v>105</v>
      </c>
      <c r="H6565" s="11" t="s">
        <v>24</v>
      </c>
      <c r="I6565" s="12" t="n">
        <v>32</v>
      </c>
      <c r="J6565" s="13" t="n">
        <v>65</v>
      </c>
      <c r="K6565" s="14" t="n">
        <f aca="false">I6565*J6565</f>
        <v>2080</v>
      </c>
      <c r="L6565" s="14" t="n">
        <f aca="false">($L$2*M6565)/100</f>
        <v>552766.59</v>
      </c>
      <c r="M6565" s="15" t="n">
        <v>0.46</v>
      </c>
      <c r="N6565" s="9" t="s">
        <v>85</v>
      </c>
    </row>
    <row r="6566" customFormat="false" ht="14.25" hidden="false" customHeight="true" outlineLevel="0" collapsed="false">
      <c r="B6566" s="9" t="s">
        <v>27</v>
      </c>
      <c r="C6566" s="9" t="n">
        <v>1197831</v>
      </c>
      <c r="D6566" s="10" t="n">
        <v>44274</v>
      </c>
      <c r="E6566" s="9" t="s">
        <v>29</v>
      </c>
      <c r="F6566" s="9" t="s">
        <v>104</v>
      </c>
      <c r="G6566" s="9" t="s">
        <v>105</v>
      </c>
      <c r="H6566" s="11" t="s">
        <v>25</v>
      </c>
      <c r="I6566" s="12" t="n">
        <v>24</v>
      </c>
      <c r="J6566" s="13" t="n">
        <v>102</v>
      </c>
      <c r="K6566" s="14" t="n">
        <f aca="false">I6566*J6566</f>
        <v>2448</v>
      </c>
      <c r="L6566" s="14" t="n">
        <f aca="false">($L$2*M6566)/100</f>
        <v>612849.915</v>
      </c>
      <c r="M6566" s="15" t="n">
        <v>0.51</v>
      </c>
      <c r="N6566" s="9" t="s">
        <v>85</v>
      </c>
    </row>
    <row r="6567" customFormat="false" ht="14.25" hidden="false" customHeight="true" outlineLevel="0" collapsed="false">
      <c r="B6567" s="9" t="s">
        <v>27</v>
      </c>
      <c r="C6567" s="9" t="n">
        <v>1197831</v>
      </c>
      <c r="D6567" s="10" t="n">
        <v>44306</v>
      </c>
      <c r="E6567" s="9" t="s">
        <v>29</v>
      </c>
      <c r="F6567" s="9" t="s">
        <v>104</v>
      </c>
      <c r="G6567" s="9" t="s">
        <v>105</v>
      </c>
      <c r="H6567" s="11" t="s">
        <v>19</v>
      </c>
      <c r="I6567" s="12" t="n">
        <v>23</v>
      </c>
      <c r="J6567" s="13" t="n">
        <v>174</v>
      </c>
      <c r="K6567" s="14" t="n">
        <f aca="false">I6567*J6567</f>
        <v>4002</v>
      </c>
      <c r="L6567" s="14" t="n">
        <f aca="false">($L$2*M6567)/100</f>
        <v>648899.91</v>
      </c>
      <c r="M6567" s="15" t="n">
        <v>0.54</v>
      </c>
      <c r="N6567" s="9" t="s">
        <v>85</v>
      </c>
    </row>
    <row r="6568" customFormat="false" ht="14.25" hidden="false" customHeight="true" outlineLevel="0" collapsed="false">
      <c r="B6568" s="9" t="s">
        <v>27</v>
      </c>
      <c r="C6568" s="9" t="n">
        <v>1197831</v>
      </c>
      <c r="D6568" s="10" t="n">
        <v>44306</v>
      </c>
      <c r="E6568" s="9" t="s">
        <v>29</v>
      </c>
      <c r="F6568" s="9" t="s">
        <v>104</v>
      </c>
      <c r="G6568" s="9" t="s">
        <v>105</v>
      </c>
      <c r="H6568" s="11" t="s">
        <v>21</v>
      </c>
      <c r="I6568" s="12" t="n">
        <v>24</v>
      </c>
      <c r="J6568" s="13" t="n">
        <v>81</v>
      </c>
      <c r="K6568" s="14" t="n">
        <f aca="false">I6568*J6568</f>
        <v>1944</v>
      </c>
      <c r="L6568" s="14" t="n">
        <f aca="false">($L$2*M6568)/100</f>
        <v>588816.585</v>
      </c>
      <c r="M6568" s="15" t="n">
        <v>0.49</v>
      </c>
      <c r="N6568" s="9" t="s">
        <v>85</v>
      </c>
    </row>
    <row r="6569" customFormat="false" ht="14.25" hidden="false" customHeight="true" outlineLevel="0" collapsed="false">
      <c r="B6569" s="9" t="s">
        <v>27</v>
      </c>
      <c r="C6569" s="9" t="n">
        <v>1197831</v>
      </c>
      <c r="D6569" s="10" t="n">
        <v>44306</v>
      </c>
      <c r="E6569" s="9" t="s">
        <v>29</v>
      </c>
      <c r="F6569" s="9" t="s">
        <v>104</v>
      </c>
      <c r="G6569" s="9" t="s">
        <v>105</v>
      </c>
      <c r="H6569" s="11" t="s">
        <v>22</v>
      </c>
      <c r="I6569" s="12" t="n">
        <v>14</v>
      </c>
      <c r="J6569" s="13" t="n">
        <v>75</v>
      </c>
      <c r="K6569" s="14" t="n">
        <f aca="false">I6569*J6569</f>
        <v>1050</v>
      </c>
      <c r="L6569" s="14" t="n">
        <f aca="false">($L$2*M6569)/100</f>
        <v>624866.58</v>
      </c>
      <c r="M6569" s="15" t="n">
        <v>0.52</v>
      </c>
      <c r="N6569" s="9" t="s">
        <v>85</v>
      </c>
    </row>
    <row r="6570" customFormat="false" ht="14.25" hidden="false" customHeight="true" outlineLevel="0" collapsed="false">
      <c r="B6570" s="9" t="s">
        <v>27</v>
      </c>
      <c r="C6570" s="9" t="n">
        <v>1197831</v>
      </c>
      <c r="D6570" s="10" t="n">
        <v>44306</v>
      </c>
      <c r="E6570" s="9" t="s">
        <v>29</v>
      </c>
      <c r="F6570" s="9" t="s">
        <v>104</v>
      </c>
      <c r="G6570" s="9" t="s">
        <v>105</v>
      </c>
      <c r="H6570" s="11" t="s">
        <v>23</v>
      </c>
      <c r="I6570" s="12" t="n">
        <v>20</v>
      </c>
      <c r="J6570" s="13" t="n">
        <v>63</v>
      </c>
      <c r="K6570" s="14" t="n">
        <f aca="false">I6570*J6570</f>
        <v>1260</v>
      </c>
      <c r="L6570" s="14" t="n">
        <f aca="false">($L$2*M6570)/100</f>
        <v>636883.245</v>
      </c>
      <c r="M6570" s="15" t="n">
        <v>0.53</v>
      </c>
      <c r="N6570" s="9" t="s">
        <v>85</v>
      </c>
    </row>
    <row r="6571" customFormat="false" ht="14.25" hidden="false" customHeight="true" outlineLevel="0" collapsed="false">
      <c r="B6571" s="9" t="s">
        <v>27</v>
      </c>
      <c r="C6571" s="9" t="n">
        <v>1197831</v>
      </c>
      <c r="D6571" s="10" t="n">
        <v>44306</v>
      </c>
      <c r="E6571" s="9" t="s">
        <v>29</v>
      </c>
      <c r="F6571" s="9" t="s">
        <v>104</v>
      </c>
      <c r="G6571" s="9" t="s">
        <v>105</v>
      </c>
      <c r="H6571" s="11" t="s">
        <v>24</v>
      </c>
      <c r="I6571" s="12" t="n">
        <v>37</v>
      </c>
      <c r="J6571" s="13" t="n">
        <v>73</v>
      </c>
      <c r="K6571" s="14" t="n">
        <f aca="false">I6571*J6571</f>
        <v>2701</v>
      </c>
      <c r="L6571" s="14" t="n">
        <f aca="false">($L$2*M6571)/100</f>
        <v>576799.92</v>
      </c>
      <c r="M6571" s="15" t="n">
        <v>0.48</v>
      </c>
      <c r="N6571" s="9" t="s">
        <v>85</v>
      </c>
    </row>
    <row r="6572" customFormat="false" ht="14.25" hidden="false" customHeight="true" outlineLevel="0" collapsed="false">
      <c r="B6572" s="9" t="s">
        <v>27</v>
      </c>
      <c r="C6572" s="9" t="n">
        <v>1197831</v>
      </c>
      <c r="D6572" s="10" t="n">
        <v>44306</v>
      </c>
      <c r="E6572" s="9" t="s">
        <v>29</v>
      </c>
      <c r="F6572" s="9" t="s">
        <v>104</v>
      </c>
      <c r="G6572" s="9" t="s">
        <v>105</v>
      </c>
      <c r="H6572" s="11" t="s">
        <v>25</v>
      </c>
      <c r="I6572" s="12" t="n">
        <v>28</v>
      </c>
      <c r="J6572" s="13" t="n">
        <v>116</v>
      </c>
      <c r="K6572" s="14" t="n">
        <f aca="false">I6572*J6572</f>
        <v>3248</v>
      </c>
      <c r="L6572" s="14" t="n">
        <f aca="false">($L$2*M6572)/100</f>
        <v>612849.915</v>
      </c>
      <c r="M6572" s="15" t="n">
        <v>0.51</v>
      </c>
      <c r="N6572" s="9" t="s">
        <v>85</v>
      </c>
    </row>
    <row r="6573" customFormat="false" ht="14.25" hidden="false" customHeight="true" outlineLevel="0" collapsed="false">
      <c r="B6573" s="9" t="s">
        <v>27</v>
      </c>
      <c r="C6573" s="9" t="n">
        <v>1197831</v>
      </c>
      <c r="D6573" s="10" t="n">
        <v>44335</v>
      </c>
      <c r="E6573" s="9" t="s">
        <v>29</v>
      </c>
      <c r="F6573" s="9" t="s">
        <v>104</v>
      </c>
      <c r="G6573" s="9" t="s">
        <v>105</v>
      </c>
      <c r="H6573" s="11" t="s">
        <v>19</v>
      </c>
      <c r="I6573" s="12" t="n">
        <v>39</v>
      </c>
      <c r="J6573" s="13" t="n">
        <v>181</v>
      </c>
      <c r="K6573" s="14" t="n">
        <f aca="false">I6573*J6573</f>
        <v>7059</v>
      </c>
      <c r="L6573" s="14" t="n">
        <f aca="false">($L$2*M6573)/100</f>
        <v>648899.91</v>
      </c>
      <c r="M6573" s="15" t="n">
        <v>0.54</v>
      </c>
      <c r="N6573" s="9" t="s">
        <v>85</v>
      </c>
    </row>
    <row r="6574" customFormat="false" ht="14.25" hidden="false" customHeight="true" outlineLevel="0" collapsed="false">
      <c r="B6574" s="9" t="s">
        <v>27</v>
      </c>
      <c r="C6574" s="9" t="n">
        <v>1197831</v>
      </c>
      <c r="D6574" s="10" t="n">
        <v>44335</v>
      </c>
      <c r="E6574" s="9" t="s">
        <v>29</v>
      </c>
      <c r="F6574" s="9" t="s">
        <v>104</v>
      </c>
      <c r="G6574" s="9" t="s">
        <v>105</v>
      </c>
      <c r="H6574" s="11" t="s">
        <v>21</v>
      </c>
      <c r="I6574" s="12" t="n">
        <v>38</v>
      </c>
      <c r="J6574" s="13" t="n">
        <v>113</v>
      </c>
      <c r="K6574" s="14" t="n">
        <f aca="false">I6574*J6574</f>
        <v>4294</v>
      </c>
      <c r="L6574" s="14" t="n">
        <f aca="false">($L$2*M6574)/100</f>
        <v>600833.25</v>
      </c>
      <c r="M6574" s="15" t="n">
        <v>0.5</v>
      </c>
      <c r="N6574" s="9" t="s">
        <v>85</v>
      </c>
    </row>
    <row r="6575" customFormat="false" ht="14.25" hidden="false" customHeight="true" outlineLevel="0" collapsed="false">
      <c r="B6575" s="9" t="s">
        <v>27</v>
      </c>
      <c r="C6575" s="9" t="n">
        <v>1197831</v>
      </c>
      <c r="D6575" s="10" t="n">
        <v>44335</v>
      </c>
      <c r="E6575" s="9" t="s">
        <v>29</v>
      </c>
      <c r="F6575" s="9" t="s">
        <v>104</v>
      </c>
      <c r="G6575" s="9" t="s">
        <v>105</v>
      </c>
      <c r="H6575" s="11" t="s">
        <v>22</v>
      </c>
      <c r="I6575" s="12" t="n">
        <v>34</v>
      </c>
      <c r="J6575" s="13" t="n">
        <v>91</v>
      </c>
      <c r="K6575" s="14" t="n">
        <f aca="false">I6575*J6575</f>
        <v>3094</v>
      </c>
      <c r="L6575" s="14" t="n">
        <f aca="false">($L$2*M6575)/100</f>
        <v>660916.575</v>
      </c>
      <c r="M6575" s="15" t="n">
        <v>0.55</v>
      </c>
      <c r="N6575" s="9" t="s">
        <v>85</v>
      </c>
    </row>
    <row r="6576" customFormat="false" ht="14.25" hidden="false" customHeight="true" outlineLevel="0" collapsed="false">
      <c r="B6576" s="9" t="s">
        <v>27</v>
      </c>
      <c r="C6576" s="9" t="n">
        <v>1197831</v>
      </c>
      <c r="D6576" s="10" t="n">
        <v>44335</v>
      </c>
      <c r="E6576" s="9" t="s">
        <v>29</v>
      </c>
      <c r="F6576" s="9" t="s">
        <v>104</v>
      </c>
      <c r="G6576" s="9" t="s">
        <v>105</v>
      </c>
      <c r="H6576" s="11" t="s">
        <v>23</v>
      </c>
      <c r="I6576" s="12" t="n">
        <v>34</v>
      </c>
      <c r="J6576" s="13" t="n">
        <v>78</v>
      </c>
      <c r="K6576" s="14" t="n">
        <f aca="false">I6576*J6576</f>
        <v>2652</v>
      </c>
      <c r="L6576" s="14" t="n">
        <f aca="false">($L$2*M6576)/100</f>
        <v>636883.245</v>
      </c>
      <c r="M6576" s="15" t="n">
        <v>0.53</v>
      </c>
      <c r="N6576" s="9" t="s">
        <v>85</v>
      </c>
    </row>
    <row r="6577" customFormat="false" ht="14.25" hidden="false" customHeight="true" outlineLevel="0" collapsed="false">
      <c r="B6577" s="9" t="s">
        <v>27</v>
      </c>
      <c r="C6577" s="9" t="n">
        <v>1197831</v>
      </c>
      <c r="D6577" s="10" t="n">
        <v>44335</v>
      </c>
      <c r="E6577" s="9" t="s">
        <v>29</v>
      </c>
      <c r="F6577" s="9" t="s">
        <v>104</v>
      </c>
      <c r="G6577" s="9" t="s">
        <v>105</v>
      </c>
      <c r="H6577" s="11" t="s">
        <v>24</v>
      </c>
      <c r="I6577" s="12" t="n">
        <v>42</v>
      </c>
      <c r="J6577" s="13" t="n">
        <v>85</v>
      </c>
      <c r="K6577" s="14" t="n">
        <f aca="false">I6577*J6577</f>
        <v>3570</v>
      </c>
      <c r="L6577" s="14" t="n">
        <f aca="false">($L$2*M6577)/100</f>
        <v>564783.255</v>
      </c>
      <c r="M6577" s="15" t="n">
        <v>0.47</v>
      </c>
      <c r="N6577" s="9" t="s">
        <v>85</v>
      </c>
    </row>
    <row r="6578" customFormat="false" ht="14.25" hidden="false" customHeight="true" outlineLevel="0" collapsed="false">
      <c r="B6578" s="9" t="s">
        <v>27</v>
      </c>
      <c r="C6578" s="9" t="n">
        <v>1197831</v>
      </c>
      <c r="D6578" s="10" t="n">
        <v>44335</v>
      </c>
      <c r="E6578" s="9" t="s">
        <v>29</v>
      </c>
      <c r="F6578" s="9" t="s">
        <v>104</v>
      </c>
      <c r="G6578" s="9" t="s">
        <v>105</v>
      </c>
      <c r="H6578" s="11" t="s">
        <v>25</v>
      </c>
      <c r="I6578" s="12" t="n">
        <v>44</v>
      </c>
      <c r="J6578" s="13" t="n">
        <v>111</v>
      </c>
      <c r="K6578" s="14" t="n">
        <f aca="false">I6578*J6578</f>
        <v>4884</v>
      </c>
      <c r="L6578" s="14" t="n">
        <f aca="false">($L$2*M6578)/100</f>
        <v>660916.575</v>
      </c>
      <c r="M6578" s="15" t="n">
        <v>0.55</v>
      </c>
      <c r="N6578" s="9" t="s">
        <v>85</v>
      </c>
    </row>
    <row r="6579" customFormat="false" ht="14.25" hidden="false" customHeight="true" outlineLevel="0" collapsed="false">
      <c r="B6579" s="9" t="s">
        <v>27</v>
      </c>
      <c r="C6579" s="9" t="n">
        <v>1197831</v>
      </c>
      <c r="D6579" s="10" t="n">
        <v>44368</v>
      </c>
      <c r="E6579" s="9" t="s">
        <v>29</v>
      </c>
      <c r="F6579" s="9" t="s">
        <v>104</v>
      </c>
      <c r="G6579" s="9" t="s">
        <v>105</v>
      </c>
      <c r="H6579" s="11" t="s">
        <v>19</v>
      </c>
      <c r="I6579" s="12" t="n">
        <v>36</v>
      </c>
      <c r="J6579" s="13" t="n">
        <v>203</v>
      </c>
      <c r="K6579" s="14" t="n">
        <f aca="false">I6579*J6579</f>
        <v>7308</v>
      </c>
      <c r="L6579" s="14" t="n">
        <f aca="false">($L$2*M6579)/100</f>
        <v>600833.25</v>
      </c>
      <c r="M6579" s="15" t="n">
        <v>0.5</v>
      </c>
      <c r="N6579" s="9" t="s">
        <v>85</v>
      </c>
    </row>
    <row r="6580" customFormat="false" ht="14.25" hidden="false" customHeight="true" outlineLevel="0" collapsed="false">
      <c r="B6580" s="9" t="s">
        <v>27</v>
      </c>
      <c r="C6580" s="9" t="n">
        <v>1197831</v>
      </c>
      <c r="D6580" s="10" t="n">
        <v>44368</v>
      </c>
      <c r="E6580" s="9" t="s">
        <v>29</v>
      </c>
      <c r="F6580" s="9" t="s">
        <v>104</v>
      </c>
      <c r="G6580" s="9" t="s">
        <v>105</v>
      </c>
      <c r="H6580" s="11" t="s">
        <v>21</v>
      </c>
      <c r="I6580" s="12" t="n">
        <v>32</v>
      </c>
      <c r="J6580" s="13" t="n">
        <v>106</v>
      </c>
      <c r="K6580" s="14" t="n">
        <f aca="false">I6580*J6580</f>
        <v>3392</v>
      </c>
      <c r="L6580" s="14" t="n">
        <f aca="false">($L$2*M6580)/100</f>
        <v>588816.585</v>
      </c>
      <c r="M6580" s="15" t="n">
        <v>0.49</v>
      </c>
      <c r="N6580" s="9" t="s">
        <v>85</v>
      </c>
    </row>
    <row r="6581" customFormat="false" ht="14.25" hidden="false" customHeight="true" outlineLevel="0" collapsed="false">
      <c r="B6581" s="9" t="s">
        <v>27</v>
      </c>
      <c r="C6581" s="9" t="n">
        <v>1197831</v>
      </c>
      <c r="D6581" s="10" t="n">
        <v>44368</v>
      </c>
      <c r="E6581" s="9" t="s">
        <v>29</v>
      </c>
      <c r="F6581" s="9" t="s">
        <v>104</v>
      </c>
      <c r="G6581" s="9" t="s">
        <v>105</v>
      </c>
      <c r="H6581" s="11" t="s">
        <v>22</v>
      </c>
      <c r="I6581" s="12" t="n">
        <v>38</v>
      </c>
      <c r="J6581" s="13" t="n">
        <v>104</v>
      </c>
      <c r="K6581" s="14" t="n">
        <f aca="false">I6581*J6581</f>
        <v>3952</v>
      </c>
      <c r="L6581" s="14" t="n">
        <f aca="false">($L$2*M6581)/100</f>
        <v>648899.91</v>
      </c>
      <c r="M6581" s="15" t="n">
        <v>0.54</v>
      </c>
      <c r="N6581" s="9" t="s">
        <v>85</v>
      </c>
    </row>
    <row r="6582" customFormat="false" ht="14.25" hidden="false" customHeight="true" outlineLevel="0" collapsed="false">
      <c r="B6582" s="9" t="s">
        <v>27</v>
      </c>
      <c r="C6582" s="9" t="n">
        <v>1197831</v>
      </c>
      <c r="D6582" s="10" t="n">
        <v>44368</v>
      </c>
      <c r="E6582" s="9" t="s">
        <v>29</v>
      </c>
      <c r="F6582" s="9" t="s">
        <v>104</v>
      </c>
      <c r="G6582" s="9" t="s">
        <v>105</v>
      </c>
      <c r="H6582" s="11" t="s">
        <v>23</v>
      </c>
      <c r="I6582" s="12" t="n">
        <v>37</v>
      </c>
      <c r="J6582" s="13" t="n">
        <v>98</v>
      </c>
      <c r="K6582" s="14" t="n">
        <f aca="false">I6582*J6582</f>
        <v>3626</v>
      </c>
      <c r="L6582" s="14" t="n">
        <f aca="false">($L$2*M6582)/100</f>
        <v>624866.58</v>
      </c>
      <c r="M6582" s="15" t="n">
        <v>0.52</v>
      </c>
      <c r="N6582" s="9" t="s">
        <v>85</v>
      </c>
    </row>
    <row r="6583" customFormat="false" ht="14.25" hidden="false" customHeight="true" outlineLevel="0" collapsed="false">
      <c r="B6583" s="9" t="s">
        <v>27</v>
      </c>
      <c r="C6583" s="9" t="n">
        <v>1197831</v>
      </c>
      <c r="D6583" s="10" t="n">
        <v>44368</v>
      </c>
      <c r="E6583" s="9" t="s">
        <v>29</v>
      </c>
      <c r="F6583" s="9" t="s">
        <v>104</v>
      </c>
      <c r="G6583" s="9" t="s">
        <v>105</v>
      </c>
      <c r="H6583" s="11" t="s">
        <v>24</v>
      </c>
      <c r="I6583" s="12" t="n">
        <v>54</v>
      </c>
      <c r="J6583" s="13" t="n">
        <v>98</v>
      </c>
      <c r="K6583" s="14" t="n">
        <f aca="false">I6583*J6583</f>
        <v>5292</v>
      </c>
      <c r="L6583" s="14" t="n">
        <f aca="false">($L$2*M6583)/100</f>
        <v>576799.92</v>
      </c>
      <c r="M6583" s="15" t="n">
        <v>0.48</v>
      </c>
      <c r="N6583" s="9" t="s">
        <v>85</v>
      </c>
    </row>
    <row r="6584" customFormat="false" ht="14.25" hidden="false" customHeight="true" outlineLevel="0" collapsed="false">
      <c r="B6584" s="9" t="s">
        <v>27</v>
      </c>
      <c r="C6584" s="9" t="n">
        <v>1197831</v>
      </c>
      <c r="D6584" s="10" t="n">
        <v>44368</v>
      </c>
      <c r="E6584" s="9" t="s">
        <v>29</v>
      </c>
      <c r="F6584" s="9" t="s">
        <v>104</v>
      </c>
      <c r="G6584" s="9" t="s">
        <v>105</v>
      </c>
      <c r="H6584" s="11" t="s">
        <v>25</v>
      </c>
      <c r="I6584" s="12" t="n">
        <v>54</v>
      </c>
      <c r="J6584" s="13" t="n">
        <v>160</v>
      </c>
      <c r="K6584" s="14" t="n">
        <f aca="false">I6584*J6584</f>
        <v>8640</v>
      </c>
      <c r="L6584" s="14" t="n">
        <f aca="false">($L$2*M6584)/100</f>
        <v>648899.91</v>
      </c>
      <c r="M6584" s="15" t="n">
        <v>0.54</v>
      </c>
      <c r="N6584" s="9" t="s">
        <v>85</v>
      </c>
    </row>
    <row r="6585" customFormat="false" ht="14.25" hidden="false" customHeight="true" outlineLevel="0" collapsed="false">
      <c r="B6585" s="9" t="s">
        <v>27</v>
      </c>
      <c r="C6585" s="9" t="n">
        <v>1197831</v>
      </c>
      <c r="D6585" s="10" t="n">
        <v>44396</v>
      </c>
      <c r="E6585" s="9" t="s">
        <v>29</v>
      </c>
      <c r="F6585" s="9" t="s">
        <v>104</v>
      </c>
      <c r="G6585" s="9" t="s">
        <v>105</v>
      </c>
      <c r="H6585" s="11" t="s">
        <v>19</v>
      </c>
      <c r="I6585" s="12" t="n">
        <v>50</v>
      </c>
      <c r="J6585" s="13" t="n">
        <v>233</v>
      </c>
      <c r="K6585" s="14" t="n">
        <f aca="false">I6585*J6585</f>
        <v>11650</v>
      </c>
      <c r="L6585" s="14" t="n">
        <f aca="false">($L$2*M6585)/100</f>
        <v>600833.25</v>
      </c>
      <c r="M6585" s="15" t="n">
        <v>0.5</v>
      </c>
      <c r="N6585" s="9" t="s">
        <v>85</v>
      </c>
    </row>
    <row r="6586" customFormat="false" ht="14.25" hidden="false" customHeight="true" outlineLevel="0" collapsed="false">
      <c r="B6586" s="9" t="s">
        <v>27</v>
      </c>
      <c r="C6586" s="9" t="n">
        <v>1197831</v>
      </c>
      <c r="D6586" s="10" t="n">
        <v>44396</v>
      </c>
      <c r="E6586" s="9" t="s">
        <v>29</v>
      </c>
      <c r="F6586" s="9" t="s">
        <v>104</v>
      </c>
      <c r="G6586" s="9" t="s">
        <v>105</v>
      </c>
      <c r="H6586" s="11" t="s">
        <v>21</v>
      </c>
      <c r="I6586" s="12" t="n">
        <v>47</v>
      </c>
      <c r="J6586" s="13" t="n">
        <v>147</v>
      </c>
      <c r="K6586" s="14" t="n">
        <f aca="false">I6586*J6586</f>
        <v>6909</v>
      </c>
      <c r="L6586" s="14" t="n">
        <f aca="false">($L$2*M6586)/100</f>
        <v>540749.925</v>
      </c>
      <c r="M6586" s="15" t="n">
        <v>0.45</v>
      </c>
      <c r="N6586" s="9" t="s">
        <v>85</v>
      </c>
    </row>
    <row r="6587" customFormat="false" ht="14.25" hidden="false" customHeight="true" outlineLevel="0" collapsed="false">
      <c r="B6587" s="9" t="s">
        <v>27</v>
      </c>
      <c r="C6587" s="9" t="n">
        <v>1197831</v>
      </c>
      <c r="D6587" s="10" t="n">
        <v>44396</v>
      </c>
      <c r="E6587" s="9" t="s">
        <v>29</v>
      </c>
      <c r="F6587" s="9" t="s">
        <v>104</v>
      </c>
      <c r="G6587" s="9" t="s">
        <v>105</v>
      </c>
      <c r="H6587" s="11" t="s">
        <v>22</v>
      </c>
      <c r="I6587" s="12" t="n">
        <v>43</v>
      </c>
      <c r="J6587" s="13" t="n">
        <v>126</v>
      </c>
      <c r="K6587" s="14" t="n">
        <f aca="false">I6587*J6587</f>
        <v>5418</v>
      </c>
      <c r="L6587" s="14" t="n">
        <f aca="false">($L$2*M6587)/100</f>
        <v>612849.915</v>
      </c>
      <c r="M6587" s="15" t="n">
        <v>0.51</v>
      </c>
      <c r="N6587" s="9" t="s">
        <v>85</v>
      </c>
    </row>
    <row r="6588" customFormat="false" ht="14.25" hidden="false" customHeight="true" outlineLevel="0" collapsed="false">
      <c r="B6588" s="9" t="s">
        <v>27</v>
      </c>
      <c r="C6588" s="9" t="n">
        <v>1197831</v>
      </c>
      <c r="D6588" s="10" t="n">
        <v>44396</v>
      </c>
      <c r="E6588" s="9" t="s">
        <v>29</v>
      </c>
      <c r="F6588" s="9" t="s">
        <v>104</v>
      </c>
      <c r="G6588" s="9" t="s">
        <v>105</v>
      </c>
      <c r="H6588" s="11" t="s">
        <v>23</v>
      </c>
      <c r="I6588" s="12" t="n">
        <v>41</v>
      </c>
      <c r="J6588" s="13" t="n">
        <v>116</v>
      </c>
      <c r="K6588" s="14" t="n">
        <f aca="false">I6588*J6588</f>
        <v>4756</v>
      </c>
      <c r="L6588" s="14" t="n">
        <f aca="false">($L$2*M6588)/100</f>
        <v>648899.91</v>
      </c>
      <c r="M6588" s="15" t="n">
        <v>0.54</v>
      </c>
      <c r="N6588" s="9" t="s">
        <v>85</v>
      </c>
    </row>
    <row r="6589" customFormat="false" ht="14.25" hidden="false" customHeight="true" outlineLevel="0" collapsed="false">
      <c r="B6589" s="9" t="s">
        <v>27</v>
      </c>
      <c r="C6589" s="9" t="n">
        <v>1197831</v>
      </c>
      <c r="D6589" s="10" t="n">
        <v>44396</v>
      </c>
      <c r="E6589" s="9" t="s">
        <v>29</v>
      </c>
      <c r="F6589" s="9" t="s">
        <v>104</v>
      </c>
      <c r="G6589" s="9" t="s">
        <v>105</v>
      </c>
      <c r="H6589" s="11" t="s">
        <v>24</v>
      </c>
      <c r="I6589" s="12" t="n">
        <v>55</v>
      </c>
      <c r="J6589" s="13" t="n">
        <v>119</v>
      </c>
      <c r="K6589" s="14" t="n">
        <f aca="false">I6589*J6589</f>
        <v>6545</v>
      </c>
      <c r="L6589" s="14" t="n">
        <f aca="false">($L$2*M6589)/100</f>
        <v>588816.585</v>
      </c>
      <c r="M6589" s="15" t="n">
        <v>0.49</v>
      </c>
      <c r="N6589" s="9" t="s">
        <v>85</v>
      </c>
    </row>
    <row r="6590" customFormat="false" ht="14.25" hidden="false" customHeight="true" outlineLevel="0" collapsed="false">
      <c r="B6590" s="9" t="s">
        <v>27</v>
      </c>
      <c r="C6590" s="9" t="n">
        <v>1197831</v>
      </c>
      <c r="D6590" s="10" t="n">
        <v>44396</v>
      </c>
      <c r="E6590" s="9" t="s">
        <v>29</v>
      </c>
      <c r="F6590" s="9" t="s">
        <v>104</v>
      </c>
      <c r="G6590" s="9" t="s">
        <v>105</v>
      </c>
      <c r="H6590" s="11" t="s">
        <v>25</v>
      </c>
      <c r="I6590" s="12" t="n">
        <v>63</v>
      </c>
      <c r="J6590" s="13" t="n">
        <v>150</v>
      </c>
      <c r="K6590" s="14" t="n">
        <f aca="false">I6590*J6590</f>
        <v>9450</v>
      </c>
      <c r="L6590" s="14" t="n">
        <f aca="false">($L$2*M6590)/100</f>
        <v>648899.91</v>
      </c>
      <c r="M6590" s="15" t="n">
        <v>0.54</v>
      </c>
      <c r="N6590" s="9" t="s">
        <v>85</v>
      </c>
    </row>
    <row r="6591" customFormat="false" ht="14.25" hidden="false" customHeight="true" outlineLevel="0" collapsed="false">
      <c r="B6591" s="9" t="s">
        <v>27</v>
      </c>
      <c r="C6591" s="9" t="n">
        <v>1197831</v>
      </c>
      <c r="D6591" s="10" t="n">
        <v>44428</v>
      </c>
      <c r="E6591" s="9" t="s">
        <v>29</v>
      </c>
      <c r="F6591" s="9" t="s">
        <v>104</v>
      </c>
      <c r="G6591" s="9" t="s">
        <v>105</v>
      </c>
      <c r="H6591" s="11" t="s">
        <v>19</v>
      </c>
      <c r="I6591" s="12" t="n">
        <v>55</v>
      </c>
      <c r="J6591" s="13" t="n">
        <v>210</v>
      </c>
      <c r="K6591" s="14" t="n">
        <f aca="false">I6591*J6591</f>
        <v>11550</v>
      </c>
      <c r="L6591" s="14" t="n">
        <f aca="false">($L$2*M6591)/100</f>
        <v>648899.91</v>
      </c>
      <c r="M6591" s="15" t="n">
        <v>0.54</v>
      </c>
      <c r="N6591" s="9" t="s">
        <v>85</v>
      </c>
    </row>
    <row r="6592" customFormat="false" ht="14.25" hidden="false" customHeight="true" outlineLevel="0" collapsed="false">
      <c r="B6592" s="9" t="s">
        <v>27</v>
      </c>
      <c r="C6592" s="9" t="n">
        <v>1197831</v>
      </c>
      <c r="D6592" s="10" t="n">
        <v>44428</v>
      </c>
      <c r="E6592" s="9" t="s">
        <v>29</v>
      </c>
      <c r="F6592" s="9" t="s">
        <v>104</v>
      </c>
      <c r="G6592" s="9" t="s">
        <v>105</v>
      </c>
      <c r="H6592" s="11" t="s">
        <v>21</v>
      </c>
      <c r="I6592" s="12" t="n">
        <v>50</v>
      </c>
      <c r="J6592" s="13" t="n">
        <v>152</v>
      </c>
      <c r="K6592" s="14" t="n">
        <f aca="false">I6592*J6592</f>
        <v>7600</v>
      </c>
      <c r="L6592" s="14" t="n">
        <f aca="false">($L$2*M6592)/100</f>
        <v>576799.92</v>
      </c>
      <c r="M6592" s="15" t="n">
        <v>0.48</v>
      </c>
      <c r="N6592" s="9" t="s">
        <v>85</v>
      </c>
    </row>
    <row r="6593" customFormat="false" ht="14.25" hidden="false" customHeight="true" outlineLevel="0" collapsed="false">
      <c r="B6593" s="9" t="s">
        <v>27</v>
      </c>
      <c r="C6593" s="9" t="n">
        <v>1197831</v>
      </c>
      <c r="D6593" s="10" t="n">
        <v>44428</v>
      </c>
      <c r="E6593" s="9" t="s">
        <v>29</v>
      </c>
      <c r="F6593" s="9" t="s">
        <v>104</v>
      </c>
      <c r="G6593" s="9" t="s">
        <v>105</v>
      </c>
      <c r="H6593" s="11" t="s">
        <v>22</v>
      </c>
      <c r="I6593" s="12" t="n">
        <v>47</v>
      </c>
      <c r="J6593" s="13" t="n">
        <v>126</v>
      </c>
      <c r="K6593" s="14" t="n">
        <f aca="false">I6593*J6593</f>
        <v>5922</v>
      </c>
      <c r="L6593" s="14" t="n">
        <f aca="false">($L$2*M6593)/100</f>
        <v>624866.58</v>
      </c>
      <c r="M6593" s="15" t="n">
        <v>0.52</v>
      </c>
      <c r="N6593" s="9" t="s">
        <v>85</v>
      </c>
    </row>
    <row r="6594" customFormat="false" ht="14.25" hidden="false" customHeight="true" outlineLevel="0" collapsed="false">
      <c r="B6594" s="9" t="s">
        <v>27</v>
      </c>
      <c r="C6594" s="9" t="n">
        <v>1197831</v>
      </c>
      <c r="D6594" s="10" t="n">
        <v>44428</v>
      </c>
      <c r="E6594" s="9" t="s">
        <v>29</v>
      </c>
      <c r="F6594" s="9" t="s">
        <v>104</v>
      </c>
      <c r="G6594" s="9" t="s">
        <v>105</v>
      </c>
      <c r="H6594" s="11" t="s">
        <v>23</v>
      </c>
      <c r="I6594" s="12" t="n">
        <v>39</v>
      </c>
      <c r="J6594" s="13" t="n">
        <v>104</v>
      </c>
      <c r="K6594" s="14" t="n">
        <f aca="false">I6594*J6594</f>
        <v>4056</v>
      </c>
      <c r="L6594" s="14" t="n">
        <f aca="false">($L$2*M6594)/100</f>
        <v>600833.25</v>
      </c>
      <c r="M6594" s="15" t="n">
        <v>0.5</v>
      </c>
      <c r="N6594" s="9" t="s">
        <v>85</v>
      </c>
    </row>
    <row r="6595" customFormat="false" ht="14.25" hidden="false" customHeight="true" outlineLevel="0" collapsed="false">
      <c r="B6595" s="9" t="s">
        <v>27</v>
      </c>
      <c r="C6595" s="9" t="n">
        <v>1197831</v>
      </c>
      <c r="D6595" s="10" t="n">
        <v>44428</v>
      </c>
      <c r="E6595" s="9" t="s">
        <v>29</v>
      </c>
      <c r="F6595" s="9" t="s">
        <v>104</v>
      </c>
      <c r="G6595" s="9" t="s">
        <v>105</v>
      </c>
      <c r="H6595" s="11" t="s">
        <v>24</v>
      </c>
      <c r="I6595" s="12" t="n">
        <v>48</v>
      </c>
      <c r="J6595" s="13" t="n">
        <v>113</v>
      </c>
      <c r="K6595" s="14" t="n">
        <f aca="false">I6595*J6595</f>
        <v>5424</v>
      </c>
      <c r="L6595" s="14" t="n">
        <f aca="false">($L$2*M6595)/100</f>
        <v>588816.585</v>
      </c>
      <c r="M6595" s="15" t="n">
        <v>0.49</v>
      </c>
      <c r="N6595" s="9" t="s">
        <v>85</v>
      </c>
    </row>
    <row r="6596" customFormat="false" ht="14.25" hidden="false" customHeight="true" outlineLevel="0" collapsed="false">
      <c r="B6596" s="9" t="s">
        <v>27</v>
      </c>
      <c r="C6596" s="9" t="n">
        <v>1197831</v>
      </c>
      <c r="D6596" s="10" t="n">
        <v>44428</v>
      </c>
      <c r="E6596" s="9" t="s">
        <v>29</v>
      </c>
      <c r="F6596" s="9" t="s">
        <v>104</v>
      </c>
      <c r="G6596" s="9" t="s">
        <v>105</v>
      </c>
      <c r="H6596" s="11" t="s">
        <v>25</v>
      </c>
      <c r="I6596" s="12" t="n">
        <v>50</v>
      </c>
      <c r="J6596" s="13" t="n">
        <v>143</v>
      </c>
      <c r="K6596" s="14" t="n">
        <f aca="false">I6596*J6596</f>
        <v>7150</v>
      </c>
      <c r="L6596" s="14" t="n">
        <f aca="false">($L$2*M6596)/100</f>
        <v>624866.58</v>
      </c>
      <c r="M6596" s="15" t="n">
        <v>0.52</v>
      </c>
      <c r="N6596" s="9" t="s">
        <v>85</v>
      </c>
    </row>
    <row r="6597" customFormat="false" ht="14.25" hidden="false" customHeight="true" outlineLevel="0" collapsed="false">
      <c r="B6597" s="9" t="s">
        <v>27</v>
      </c>
      <c r="C6597" s="9" t="n">
        <v>1197831</v>
      </c>
      <c r="D6597" s="10" t="n">
        <v>44458</v>
      </c>
      <c r="E6597" s="9" t="s">
        <v>29</v>
      </c>
      <c r="F6597" s="9" t="s">
        <v>104</v>
      </c>
      <c r="G6597" s="9" t="s">
        <v>105</v>
      </c>
      <c r="H6597" s="11" t="s">
        <v>19</v>
      </c>
      <c r="I6597" s="12" t="n">
        <v>48</v>
      </c>
      <c r="J6597" s="13" t="n">
        <v>182</v>
      </c>
      <c r="K6597" s="14" t="n">
        <f aca="false">I6597*J6597</f>
        <v>8736</v>
      </c>
      <c r="L6597" s="14" t="n">
        <f aca="false">($L$2*M6597)/100</f>
        <v>624866.58</v>
      </c>
      <c r="M6597" s="15" t="n">
        <v>0.52</v>
      </c>
      <c r="N6597" s="9" t="s">
        <v>85</v>
      </c>
    </row>
    <row r="6598" customFormat="false" ht="14.25" hidden="false" customHeight="true" outlineLevel="0" collapsed="false">
      <c r="B6598" s="9" t="s">
        <v>27</v>
      </c>
      <c r="C6598" s="9" t="n">
        <v>1197831</v>
      </c>
      <c r="D6598" s="10" t="n">
        <v>44458</v>
      </c>
      <c r="E6598" s="9" t="s">
        <v>29</v>
      </c>
      <c r="F6598" s="9" t="s">
        <v>104</v>
      </c>
      <c r="G6598" s="9" t="s">
        <v>105</v>
      </c>
      <c r="H6598" s="11" t="s">
        <v>21</v>
      </c>
      <c r="I6598" s="12" t="n">
        <v>39</v>
      </c>
      <c r="J6598" s="13" t="n">
        <v>126</v>
      </c>
      <c r="K6598" s="14" t="n">
        <f aca="false">I6598*J6598</f>
        <v>4914</v>
      </c>
      <c r="L6598" s="14" t="n">
        <f aca="false">($L$2*M6598)/100</f>
        <v>576799.92</v>
      </c>
      <c r="M6598" s="15" t="n">
        <v>0.48</v>
      </c>
      <c r="N6598" s="9" t="s">
        <v>85</v>
      </c>
    </row>
    <row r="6599" customFormat="false" ht="14.25" hidden="false" customHeight="true" outlineLevel="0" collapsed="false">
      <c r="B6599" s="9" t="s">
        <v>27</v>
      </c>
      <c r="C6599" s="9" t="n">
        <v>1197831</v>
      </c>
      <c r="D6599" s="10" t="n">
        <v>44458</v>
      </c>
      <c r="E6599" s="9" t="s">
        <v>29</v>
      </c>
      <c r="F6599" s="9" t="s">
        <v>104</v>
      </c>
      <c r="G6599" s="9" t="s">
        <v>105</v>
      </c>
      <c r="H6599" s="11" t="s">
        <v>22</v>
      </c>
      <c r="I6599" s="12" t="n">
        <v>14</v>
      </c>
      <c r="J6599" s="13" t="n">
        <v>88</v>
      </c>
      <c r="K6599" s="14" t="n">
        <f aca="false">I6599*J6599</f>
        <v>1232</v>
      </c>
      <c r="L6599" s="14" t="n">
        <f aca="false">($L$2*M6599)/100</f>
        <v>624866.58</v>
      </c>
      <c r="M6599" s="15" t="n">
        <v>0.52</v>
      </c>
      <c r="N6599" s="9" t="s">
        <v>85</v>
      </c>
    </row>
    <row r="6600" customFormat="false" ht="14.25" hidden="false" customHeight="true" outlineLevel="0" collapsed="false">
      <c r="B6600" s="9" t="s">
        <v>27</v>
      </c>
      <c r="C6600" s="9" t="n">
        <v>1197831</v>
      </c>
      <c r="D6600" s="10" t="n">
        <v>44458</v>
      </c>
      <c r="E6600" s="9" t="s">
        <v>29</v>
      </c>
      <c r="F6600" s="9" t="s">
        <v>104</v>
      </c>
      <c r="G6600" s="9" t="s">
        <v>105</v>
      </c>
      <c r="H6600" s="11" t="s">
        <v>23</v>
      </c>
      <c r="I6600" s="12" t="n">
        <v>14</v>
      </c>
      <c r="J6600" s="13" t="n">
        <v>88</v>
      </c>
      <c r="K6600" s="14" t="n">
        <f aca="false">I6600*J6600</f>
        <v>1232</v>
      </c>
      <c r="L6600" s="14" t="n">
        <f aca="false">($L$2*M6600)/100</f>
        <v>624866.58</v>
      </c>
      <c r="M6600" s="15" t="n">
        <v>0.52</v>
      </c>
      <c r="N6600" s="9" t="s">
        <v>85</v>
      </c>
    </row>
    <row r="6601" customFormat="false" ht="14.25" hidden="false" customHeight="true" outlineLevel="0" collapsed="false">
      <c r="B6601" s="9" t="s">
        <v>27</v>
      </c>
      <c r="C6601" s="9" t="n">
        <v>1197831</v>
      </c>
      <c r="D6601" s="10" t="n">
        <v>44458</v>
      </c>
      <c r="E6601" s="9" t="s">
        <v>29</v>
      </c>
      <c r="F6601" s="9" t="s">
        <v>104</v>
      </c>
      <c r="G6601" s="9" t="s">
        <v>105</v>
      </c>
      <c r="H6601" s="11" t="s">
        <v>24</v>
      </c>
      <c r="I6601" s="12" t="n">
        <v>23</v>
      </c>
      <c r="J6601" s="13" t="n">
        <v>94</v>
      </c>
      <c r="K6601" s="14" t="n">
        <f aca="false">I6601*J6601</f>
        <v>2162</v>
      </c>
      <c r="L6601" s="14" t="n">
        <f aca="false">($L$2*M6601)/100</f>
        <v>600833.25</v>
      </c>
      <c r="M6601" s="15" t="n">
        <v>0.5</v>
      </c>
      <c r="N6601" s="9" t="s">
        <v>85</v>
      </c>
    </row>
    <row r="6602" customFormat="false" ht="14.25" hidden="false" customHeight="true" outlineLevel="0" collapsed="false">
      <c r="B6602" s="9" t="s">
        <v>27</v>
      </c>
      <c r="C6602" s="9" t="n">
        <v>1197831</v>
      </c>
      <c r="D6602" s="10" t="n">
        <v>44458</v>
      </c>
      <c r="E6602" s="9" t="s">
        <v>29</v>
      </c>
      <c r="F6602" s="9" t="s">
        <v>104</v>
      </c>
      <c r="G6602" s="9" t="s">
        <v>105</v>
      </c>
      <c r="H6602" s="11" t="s">
        <v>25</v>
      </c>
      <c r="I6602" s="12" t="n">
        <v>29</v>
      </c>
      <c r="J6602" s="13" t="n">
        <v>119</v>
      </c>
      <c r="K6602" s="14" t="n">
        <f aca="false">I6602*J6602</f>
        <v>3451</v>
      </c>
      <c r="L6602" s="14" t="n">
        <f aca="false">($L$2*M6602)/100</f>
        <v>648899.91</v>
      </c>
      <c r="M6602" s="15" t="n">
        <v>0.54</v>
      </c>
      <c r="N6602" s="9" t="s">
        <v>85</v>
      </c>
    </row>
    <row r="6603" customFormat="false" ht="14.25" hidden="false" customHeight="true" outlineLevel="0" collapsed="false">
      <c r="B6603" s="9" t="s">
        <v>27</v>
      </c>
      <c r="C6603" s="9" t="n">
        <v>1197831</v>
      </c>
      <c r="D6603" s="10" t="n">
        <v>44490</v>
      </c>
      <c r="E6603" s="9" t="s">
        <v>29</v>
      </c>
      <c r="F6603" s="9" t="s">
        <v>104</v>
      </c>
      <c r="G6603" s="9" t="s">
        <v>105</v>
      </c>
      <c r="H6603" s="11" t="s">
        <v>19</v>
      </c>
      <c r="I6603" s="12" t="n">
        <v>27</v>
      </c>
      <c r="J6603" s="13" t="n">
        <v>150</v>
      </c>
      <c r="K6603" s="14" t="n">
        <f aca="false">I6603*J6603</f>
        <v>4050</v>
      </c>
      <c r="L6603" s="14" t="n">
        <f aca="false">($L$2*M6603)/100</f>
        <v>600833.25</v>
      </c>
      <c r="M6603" s="15" t="n">
        <v>0.5</v>
      </c>
      <c r="N6603" s="9" t="s">
        <v>85</v>
      </c>
    </row>
    <row r="6604" customFormat="false" ht="14.25" hidden="false" customHeight="true" outlineLevel="0" collapsed="false">
      <c r="B6604" s="9" t="s">
        <v>27</v>
      </c>
      <c r="C6604" s="9" t="n">
        <v>1197831</v>
      </c>
      <c r="D6604" s="10" t="n">
        <v>44490</v>
      </c>
      <c r="E6604" s="9" t="s">
        <v>29</v>
      </c>
      <c r="F6604" s="9" t="s">
        <v>104</v>
      </c>
      <c r="G6604" s="9" t="s">
        <v>105</v>
      </c>
      <c r="H6604" s="11" t="s">
        <v>21</v>
      </c>
      <c r="I6604" s="12" t="n">
        <v>19</v>
      </c>
      <c r="J6604" s="13" t="n">
        <v>106</v>
      </c>
      <c r="K6604" s="14" t="n">
        <f aca="false">I6604*J6604</f>
        <v>2014</v>
      </c>
      <c r="L6604" s="14" t="n">
        <f aca="false">($L$2*M6604)/100</f>
        <v>540749.925</v>
      </c>
      <c r="M6604" s="15" t="n">
        <v>0.45</v>
      </c>
      <c r="N6604" s="9" t="s">
        <v>85</v>
      </c>
    </row>
    <row r="6605" customFormat="false" ht="14.25" hidden="false" customHeight="true" outlineLevel="0" collapsed="false">
      <c r="B6605" s="9" t="s">
        <v>27</v>
      </c>
      <c r="C6605" s="9" t="n">
        <v>1197831</v>
      </c>
      <c r="D6605" s="10" t="n">
        <v>44490</v>
      </c>
      <c r="E6605" s="9" t="s">
        <v>29</v>
      </c>
      <c r="F6605" s="9" t="s">
        <v>104</v>
      </c>
      <c r="G6605" s="9" t="s">
        <v>105</v>
      </c>
      <c r="H6605" s="11" t="s">
        <v>22</v>
      </c>
      <c r="I6605" s="12" t="n">
        <v>19</v>
      </c>
      <c r="J6605" s="13" t="n">
        <v>78</v>
      </c>
      <c r="K6605" s="14" t="n">
        <f aca="false">I6605*J6605</f>
        <v>1482</v>
      </c>
      <c r="L6605" s="14" t="n">
        <f aca="false">($L$2*M6605)/100</f>
        <v>600833.25</v>
      </c>
      <c r="M6605" s="15" t="n">
        <v>0.5</v>
      </c>
      <c r="N6605" s="9" t="s">
        <v>85</v>
      </c>
    </row>
    <row r="6606" customFormat="false" ht="14.25" hidden="false" customHeight="true" outlineLevel="0" collapsed="false">
      <c r="B6606" s="9" t="s">
        <v>27</v>
      </c>
      <c r="C6606" s="9" t="n">
        <v>1197831</v>
      </c>
      <c r="D6606" s="10" t="n">
        <v>44490</v>
      </c>
      <c r="E6606" s="9" t="s">
        <v>29</v>
      </c>
      <c r="F6606" s="9" t="s">
        <v>104</v>
      </c>
      <c r="G6606" s="9" t="s">
        <v>105</v>
      </c>
      <c r="H6606" s="11" t="s">
        <v>23</v>
      </c>
      <c r="I6606" s="12" t="n">
        <v>19</v>
      </c>
      <c r="J6606" s="13" t="n">
        <v>72</v>
      </c>
      <c r="K6606" s="14" t="n">
        <f aca="false">I6606*J6606</f>
        <v>1368</v>
      </c>
      <c r="L6606" s="14" t="n">
        <f aca="false">($L$2*M6606)/100</f>
        <v>636883.245</v>
      </c>
      <c r="M6606" s="15" t="n">
        <v>0.53</v>
      </c>
      <c r="N6606" s="9" t="s">
        <v>85</v>
      </c>
    </row>
    <row r="6607" customFormat="false" ht="14.25" hidden="false" customHeight="true" outlineLevel="0" collapsed="false">
      <c r="B6607" s="9" t="s">
        <v>27</v>
      </c>
      <c r="C6607" s="9" t="n">
        <v>1197831</v>
      </c>
      <c r="D6607" s="10" t="n">
        <v>44490</v>
      </c>
      <c r="E6607" s="9" t="s">
        <v>29</v>
      </c>
      <c r="F6607" s="9" t="s">
        <v>104</v>
      </c>
      <c r="G6607" s="9" t="s">
        <v>105</v>
      </c>
      <c r="H6607" s="11" t="s">
        <v>24</v>
      </c>
      <c r="I6607" s="12" t="n">
        <v>27</v>
      </c>
      <c r="J6607" s="13" t="n">
        <v>83</v>
      </c>
      <c r="K6607" s="14" t="n">
        <f aca="false">I6607*J6607</f>
        <v>2241</v>
      </c>
      <c r="L6607" s="14" t="n">
        <f aca="false">($L$2*M6607)/100</f>
        <v>564783.255</v>
      </c>
      <c r="M6607" s="15" t="n">
        <v>0.47</v>
      </c>
      <c r="N6607" s="9" t="s">
        <v>85</v>
      </c>
    </row>
    <row r="6608" customFormat="false" ht="14.25" hidden="false" customHeight="true" outlineLevel="0" collapsed="false">
      <c r="B6608" s="9" t="s">
        <v>32</v>
      </c>
      <c r="C6608" s="9" t="n">
        <v>1197831</v>
      </c>
      <c r="D6608" s="10" t="n">
        <v>44490</v>
      </c>
      <c r="E6608" s="9" t="s">
        <v>29</v>
      </c>
      <c r="F6608" s="9" t="s">
        <v>104</v>
      </c>
      <c r="G6608" s="9" t="s">
        <v>105</v>
      </c>
      <c r="H6608" s="11" t="s">
        <v>25</v>
      </c>
      <c r="I6608" s="12" t="n">
        <v>29</v>
      </c>
      <c r="J6608" s="13" t="n">
        <v>104</v>
      </c>
      <c r="K6608" s="14" t="n">
        <f aca="false">I6608*J6608</f>
        <v>3016</v>
      </c>
      <c r="L6608" s="14" t="n">
        <f aca="false">($L$2*M6608)/100</f>
        <v>636883.245</v>
      </c>
      <c r="M6608" s="15" t="n">
        <v>0.53</v>
      </c>
      <c r="N6608" s="9" t="s">
        <v>85</v>
      </c>
    </row>
    <row r="6609" customFormat="false" ht="14.25" hidden="false" customHeight="true" outlineLevel="0" collapsed="false">
      <c r="B6609" s="9" t="s">
        <v>32</v>
      </c>
      <c r="C6609" s="9" t="n">
        <v>1197831</v>
      </c>
      <c r="D6609" s="10" t="n">
        <v>44520</v>
      </c>
      <c r="E6609" s="9" t="s">
        <v>29</v>
      </c>
      <c r="F6609" s="9" t="s">
        <v>104</v>
      </c>
      <c r="G6609" s="9" t="s">
        <v>105</v>
      </c>
      <c r="H6609" s="11" t="s">
        <v>19</v>
      </c>
      <c r="I6609" s="12" t="n">
        <v>24</v>
      </c>
      <c r="J6609" s="13" t="n">
        <v>143</v>
      </c>
      <c r="K6609" s="14" t="n">
        <f aca="false">I6609*J6609</f>
        <v>3432</v>
      </c>
      <c r="L6609" s="14" t="n">
        <f aca="false">($L$2*M6609)/100</f>
        <v>600833.25</v>
      </c>
      <c r="M6609" s="15" t="n">
        <v>0.5</v>
      </c>
      <c r="N6609" s="9" t="s">
        <v>85</v>
      </c>
    </row>
    <row r="6610" customFormat="false" ht="14.25" hidden="false" customHeight="true" outlineLevel="0" collapsed="false">
      <c r="B6610" s="9" t="s">
        <v>32</v>
      </c>
      <c r="C6610" s="9" t="n">
        <v>1197831</v>
      </c>
      <c r="D6610" s="10" t="n">
        <v>44520</v>
      </c>
      <c r="E6610" s="9" t="s">
        <v>29</v>
      </c>
      <c r="F6610" s="9" t="s">
        <v>104</v>
      </c>
      <c r="G6610" s="9" t="s">
        <v>105</v>
      </c>
      <c r="H6610" s="11" t="s">
        <v>21</v>
      </c>
      <c r="I6610" s="12" t="n">
        <v>14</v>
      </c>
      <c r="J6610" s="13" t="n">
        <v>94</v>
      </c>
      <c r="K6610" s="14" t="n">
        <f aca="false">I6610*J6610</f>
        <v>1316</v>
      </c>
      <c r="L6610" s="14" t="n">
        <f aca="false">($L$2*M6610)/100</f>
        <v>600833.25</v>
      </c>
      <c r="M6610" s="15" t="n">
        <v>0.5</v>
      </c>
      <c r="N6610" s="9" t="s">
        <v>85</v>
      </c>
    </row>
    <row r="6611" customFormat="false" ht="14.25" hidden="false" customHeight="true" outlineLevel="0" collapsed="false">
      <c r="B6611" s="9" t="s">
        <v>32</v>
      </c>
      <c r="C6611" s="9" t="n">
        <v>1197831</v>
      </c>
      <c r="D6611" s="10" t="n">
        <v>44520</v>
      </c>
      <c r="E6611" s="9" t="s">
        <v>29</v>
      </c>
      <c r="F6611" s="9" t="s">
        <v>104</v>
      </c>
      <c r="G6611" s="9" t="s">
        <v>105</v>
      </c>
      <c r="H6611" s="11" t="s">
        <v>22</v>
      </c>
      <c r="I6611" s="12" t="n">
        <v>23</v>
      </c>
      <c r="J6611" s="13" t="n">
        <v>90</v>
      </c>
      <c r="K6611" s="14" t="n">
        <f aca="false">I6611*J6611</f>
        <v>2070</v>
      </c>
      <c r="L6611" s="14" t="n">
        <f aca="false">($L$2*M6611)/100</f>
        <v>612849.915</v>
      </c>
      <c r="M6611" s="15" t="n">
        <v>0.51</v>
      </c>
      <c r="N6611" s="9" t="s">
        <v>85</v>
      </c>
    </row>
    <row r="6612" customFormat="false" ht="14.25" hidden="false" customHeight="true" outlineLevel="0" collapsed="false">
      <c r="B6612" s="9" t="s">
        <v>32</v>
      </c>
      <c r="C6612" s="9" t="n">
        <v>1197831</v>
      </c>
      <c r="D6612" s="10" t="n">
        <v>44520</v>
      </c>
      <c r="E6612" s="9" t="s">
        <v>29</v>
      </c>
      <c r="F6612" s="9" t="s">
        <v>104</v>
      </c>
      <c r="G6612" s="9" t="s">
        <v>105</v>
      </c>
      <c r="H6612" s="11" t="s">
        <v>23</v>
      </c>
      <c r="I6612" s="12" t="n">
        <v>51</v>
      </c>
      <c r="J6612" s="13" t="n">
        <v>109</v>
      </c>
      <c r="K6612" s="14" t="n">
        <f aca="false">I6612*J6612</f>
        <v>5559</v>
      </c>
      <c r="L6612" s="14" t="n">
        <f aca="false">($L$2*M6612)/100</f>
        <v>600833.25</v>
      </c>
      <c r="M6612" s="15" t="n">
        <v>0.5</v>
      </c>
      <c r="N6612" s="9" t="s">
        <v>85</v>
      </c>
    </row>
    <row r="6613" customFormat="false" ht="14.25" hidden="false" customHeight="true" outlineLevel="0" collapsed="false">
      <c r="B6613" s="9" t="s">
        <v>32</v>
      </c>
      <c r="C6613" s="9" t="n">
        <v>1197831</v>
      </c>
      <c r="D6613" s="10" t="n">
        <v>44520</v>
      </c>
      <c r="E6613" s="9" t="s">
        <v>29</v>
      </c>
      <c r="F6613" s="9" t="s">
        <v>104</v>
      </c>
      <c r="G6613" s="9" t="s">
        <v>105</v>
      </c>
      <c r="H6613" s="11" t="s">
        <v>24</v>
      </c>
      <c r="I6613" s="12" t="n">
        <v>69</v>
      </c>
      <c r="J6613" s="13" t="n">
        <v>91</v>
      </c>
      <c r="K6613" s="14" t="n">
        <f aca="false">I6613*J6613</f>
        <v>6279</v>
      </c>
      <c r="L6613" s="14" t="n">
        <f aca="false">($L$2*M6613)/100</f>
        <v>564783.255</v>
      </c>
      <c r="M6613" s="15" t="n">
        <v>0.47</v>
      </c>
      <c r="N6613" s="9" t="s">
        <v>85</v>
      </c>
    </row>
    <row r="6614" customFormat="false" ht="14.25" hidden="false" customHeight="true" outlineLevel="0" collapsed="false">
      <c r="B6614" s="9" t="s">
        <v>32</v>
      </c>
      <c r="C6614" s="9" t="n">
        <v>1197831</v>
      </c>
      <c r="D6614" s="10" t="n">
        <v>44520</v>
      </c>
      <c r="E6614" s="9" t="s">
        <v>29</v>
      </c>
      <c r="F6614" s="9" t="s">
        <v>104</v>
      </c>
      <c r="G6614" s="9" t="s">
        <v>105</v>
      </c>
      <c r="H6614" s="11" t="s">
        <v>25</v>
      </c>
      <c r="I6614" s="12" t="n">
        <v>73</v>
      </c>
      <c r="J6614" s="13" t="n">
        <v>117</v>
      </c>
      <c r="K6614" s="14" t="n">
        <f aca="false">I6614*J6614</f>
        <v>8541</v>
      </c>
      <c r="L6614" s="14" t="n">
        <f aca="false">($L$2*M6614)/100</f>
        <v>636883.245</v>
      </c>
      <c r="M6614" s="15" t="n">
        <v>0.53</v>
      </c>
      <c r="N6614" s="9" t="s">
        <v>85</v>
      </c>
    </row>
    <row r="6615" customFormat="false" ht="14.25" hidden="false" customHeight="true" outlineLevel="0" collapsed="false">
      <c r="B6615" s="9" t="s">
        <v>32</v>
      </c>
      <c r="C6615" s="9" t="n">
        <v>1197831</v>
      </c>
      <c r="D6615" s="10" t="n">
        <v>44549</v>
      </c>
      <c r="E6615" s="9" t="s">
        <v>29</v>
      </c>
      <c r="F6615" s="9" t="s">
        <v>104</v>
      </c>
      <c r="G6615" s="9" t="s">
        <v>105</v>
      </c>
      <c r="H6615" s="11" t="s">
        <v>19</v>
      </c>
      <c r="I6615" s="12" t="n">
        <v>67</v>
      </c>
      <c r="J6615" s="13" t="n">
        <v>203</v>
      </c>
      <c r="K6615" s="14" t="n">
        <f aca="false">I6615*J6615</f>
        <v>13601</v>
      </c>
      <c r="L6615" s="14" t="n">
        <f aca="false">($L$2*M6615)/100</f>
        <v>660916.575</v>
      </c>
      <c r="M6615" s="15" t="n">
        <v>0.55</v>
      </c>
      <c r="N6615" s="9" t="s">
        <v>85</v>
      </c>
    </row>
    <row r="6616" customFormat="false" ht="14.25" hidden="false" customHeight="true" outlineLevel="0" collapsed="false">
      <c r="B6616" s="9" t="s">
        <v>32</v>
      </c>
      <c r="C6616" s="9" t="n">
        <v>1197831</v>
      </c>
      <c r="D6616" s="10" t="n">
        <v>44549</v>
      </c>
      <c r="E6616" s="9" t="s">
        <v>29</v>
      </c>
      <c r="F6616" s="9" t="s">
        <v>104</v>
      </c>
      <c r="G6616" s="9" t="s">
        <v>105</v>
      </c>
      <c r="H6616" s="11" t="s">
        <v>21</v>
      </c>
      <c r="I6616" s="12" t="n">
        <v>54</v>
      </c>
      <c r="J6616" s="13" t="n">
        <v>140</v>
      </c>
      <c r="K6616" s="14" t="n">
        <f aca="false">I6616*J6616</f>
        <v>7560</v>
      </c>
      <c r="L6616" s="14" t="n">
        <f aca="false">($L$2*M6616)/100</f>
        <v>564783.255</v>
      </c>
      <c r="M6616" s="15" t="n">
        <v>0.47</v>
      </c>
      <c r="N6616" s="9" t="s">
        <v>85</v>
      </c>
    </row>
    <row r="6617" customFormat="false" ht="14.25" hidden="false" customHeight="true" outlineLevel="0" collapsed="false">
      <c r="B6617" s="9" t="s">
        <v>32</v>
      </c>
      <c r="C6617" s="9" t="n">
        <v>1197831</v>
      </c>
      <c r="D6617" s="10" t="n">
        <v>44549</v>
      </c>
      <c r="E6617" s="9" t="s">
        <v>29</v>
      </c>
      <c r="F6617" s="9" t="s">
        <v>104</v>
      </c>
      <c r="G6617" s="9" t="s">
        <v>105</v>
      </c>
      <c r="H6617" s="11" t="s">
        <v>22</v>
      </c>
      <c r="I6617" s="12" t="n">
        <v>55</v>
      </c>
      <c r="J6617" s="13" t="n">
        <v>126</v>
      </c>
      <c r="K6617" s="14" t="n">
        <f aca="false">I6617*J6617</f>
        <v>6930</v>
      </c>
      <c r="L6617" s="14" t="n">
        <f aca="false">($L$2*M6617)/100</f>
        <v>648899.91</v>
      </c>
      <c r="M6617" s="15" t="n">
        <v>0.54</v>
      </c>
      <c r="N6617" s="9" t="s">
        <v>85</v>
      </c>
    </row>
    <row r="6618" customFormat="false" ht="14.25" hidden="false" customHeight="true" outlineLevel="0" collapsed="false">
      <c r="B6618" s="9" t="s">
        <v>32</v>
      </c>
      <c r="C6618" s="9" t="n">
        <v>1197831</v>
      </c>
      <c r="D6618" s="10" t="n">
        <v>44549</v>
      </c>
      <c r="E6618" s="9" t="s">
        <v>29</v>
      </c>
      <c r="F6618" s="9" t="s">
        <v>104</v>
      </c>
      <c r="G6618" s="9" t="s">
        <v>105</v>
      </c>
      <c r="H6618" s="11" t="s">
        <v>23</v>
      </c>
      <c r="I6618" s="12" t="n">
        <v>57</v>
      </c>
      <c r="J6618" s="13" t="n">
        <v>120</v>
      </c>
      <c r="K6618" s="14" t="n">
        <f aca="false">I6618*J6618</f>
        <v>6840</v>
      </c>
      <c r="L6618" s="14" t="n">
        <f aca="false">($L$2*M6618)/100</f>
        <v>612849.915</v>
      </c>
      <c r="M6618" s="15" t="n">
        <v>0.51</v>
      </c>
      <c r="N6618" s="9" t="s">
        <v>85</v>
      </c>
    </row>
    <row r="6619" customFormat="false" ht="14.25" hidden="false" customHeight="true" outlineLevel="0" collapsed="false">
      <c r="B6619" s="9" t="s">
        <v>32</v>
      </c>
      <c r="C6619" s="9" t="n">
        <v>1197831</v>
      </c>
      <c r="D6619" s="10" t="n">
        <v>44549</v>
      </c>
      <c r="E6619" s="9" t="s">
        <v>29</v>
      </c>
      <c r="F6619" s="9" t="s">
        <v>104</v>
      </c>
      <c r="G6619" s="9" t="s">
        <v>105</v>
      </c>
      <c r="H6619" s="11" t="s">
        <v>24</v>
      </c>
      <c r="I6619" s="12" t="n">
        <v>64</v>
      </c>
      <c r="J6619" s="13" t="n">
        <v>112</v>
      </c>
      <c r="K6619" s="14" t="n">
        <f aca="false">I6619*J6619</f>
        <v>7168</v>
      </c>
      <c r="L6619" s="14" t="n">
        <f aca="false">($L$2*M6619)/100</f>
        <v>588816.585</v>
      </c>
      <c r="M6619" s="15" t="n">
        <v>0.49</v>
      </c>
      <c r="N6619" s="9" t="s">
        <v>85</v>
      </c>
    </row>
    <row r="6620" customFormat="false" ht="14.25" hidden="false" customHeight="true" outlineLevel="0" collapsed="false">
      <c r="B6620" s="9" t="s">
        <v>32</v>
      </c>
      <c r="C6620" s="9" t="n">
        <v>1197831</v>
      </c>
      <c r="D6620" s="10" t="n">
        <v>44549</v>
      </c>
      <c r="E6620" s="9" t="s">
        <v>29</v>
      </c>
      <c r="F6620" s="9" t="s">
        <v>104</v>
      </c>
      <c r="G6620" s="9" t="s">
        <v>105</v>
      </c>
      <c r="H6620" s="11" t="s">
        <v>25</v>
      </c>
      <c r="I6620" s="12" t="n">
        <v>70</v>
      </c>
      <c r="J6620" s="13" t="n">
        <v>150</v>
      </c>
      <c r="K6620" s="14" t="n">
        <f aca="false">I6620*J6620</f>
        <v>10500</v>
      </c>
      <c r="L6620" s="14" t="n">
        <f aca="false">($L$2*M6620)/100</f>
        <v>612849.915</v>
      </c>
      <c r="M6620" s="15" t="n">
        <v>0.51</v>
      </c>
      <c r="N6620" s="9" t="s">
        <v>85</v>
      </c>
    </row>
    <row r="6621" customFormat="false" ht="14.25" hidden="false" customHeight="true" outlineLevel="0" collapsed="false">
      <c r="B6621" s="9" t="s">
        <v>32</v>
      </c>
      <c r="C6621" s="9" t="n">
        <v>1197831</v>
      </c>
      <c r="D6621" s="10" t="n">
        <v>44219</v>
      </c>
      <c r="E6621" s="9" t="s">
        <v>29</v>
      </c>
      <c r="F6621" s="9" t="s">
        <v>104</v>
      </c>
      <c r="G6621" s="9" t="s">
        <v>105</v>
      </c>
      <c r="H6621" s="11" t="s">
        <v>19</v>
      </c>
      <c r="I6621" s="12" t="n">
        <v>24</v>
      </c>
      <c r="J6621" s="13" t="n">
        <v>167</v>
      </c>
      <c r="K6621" s="14" t="n">
        <f aca="false">I6621*J6621</f>
        <v>4008</v>
      </c>
      <c r="L6621" s="14" t="n">
        <f aca="false">($L$2*M6621)/100</f>
        <v>636883.245</v>
      </c>
      <c r="M6621" s="15" t="n">
        <v>0.53</v>
      </c>
      <c r="N6621" s="9" t="s">
        <v>85</v>
      </c>
    </row>
    <row r="6622" customFormat="false" ht="14.25" hidden="false" customHeight="true" outlineLevel="0" collapsed="false">
      <c r="B6622" s="9" t="s">
        <v>32</v>
      </c>
      <c r="C6622" s="9" t="n">
        <v>1197831</v>
      </c>
      <c r="D6622" s="10" t="n">
        <v>44219</v>
      </c>
      <c r="E6622" s="9" t="s">
        <v>29</v>
      </c>
      <c r="F6622" s="9" t="s">
        <v>104</v>
      </c>
      <c r="G6622" s="9" t="s">
        <v>105</v>
      </c>
      <c r="H6622" s="11" t="s">
        <v>21</v>
      </c>
      <c r="I6622" s="12" t="n">
        <v>25</v>
      </c>
      <c r="J6622" s="13" t="n">
        <v>109</v>
      </c>
      <c r="K6622" s="14" t="n">
        <f aca="false">I6622*J6622</f>
        <v>2725</v>
      </c>
      <c r="L6622" s="14" t="n">
        <f aca="false">($L$2*M6622)/100</f>
        <v>540749.925</v>
      </c>
      <c r="M6622" s="15" t="n">
        <v>0.45</v>
      </c>
      <c r="N6622" s="9" t="s">
        <v>85</v>
      </c>
    </row>
    <row r="6623" customFormat="false" ht="14.25" hidden="false" customHeight="true" outlineLevel="0" collapsed="false">
      <c r="B6623" s="9" t="s">
        <v>32</v>
      </c>
      <c r="C6623" s="9" t="n">
        <v>1197831</v>
      </c>
      <c r="D6623" s="10" t="n">
        <v>44219</v>
      </c>
      <c r="E6623" s="9" t="s">
        <v>29</v>
      </c>
      <c r="F6623" s="9" t="s">
        <v>104</v>
      </c>
      <c r="G6623" s="9" t="s">
        <v>105</v>
      </c>
      <c r="H6623" s="11" t="s">
        <v>22</v>
      </c>
      <c r="I6623" s="12" t="n">
        <v>15</v>
      </c>
      <c r="J6623" s="13" t="n">
        <v>98</v>
      </c>
      <c r="K6623" s="14" t="n">
        <f aca="false">I6623*J6623</f>
        <v>1470</v>
      </c>
      <c r="L6623" s="14" t="n">
        <f aca="false">($L$2*M6623)/100</f>
        <v>660916.575</v>
      </c>
      <c r="M6623" s="15" t="n">
        <v>0.55</v>
      </c>
      <c r="N6623" s="9" t="s">
        <v>85</v>
      </c>
    </row>
    <row r="6624" customFormat="false" ht="14.25" hidden="false" customHeight="true" outlineLevel="0" collapsed="false">
      <c r="B6624" s="9" t="s">
        <v>32</v>
      </c>
      <c r="C6624" s="9" t="n">
        <v>1197831</v>
      </c>
      <c r="D6624" s="10" t="n">
        <v>44219</v>
      </c>
      <c r="E6624" s="9" t="s">
        <v>29</v>
      </c>
      <c r="F6624" s="9" t="s">
        <v>104</v>
      </c>
      <c r="G6624" s="9" t="s">
        <v>105</v>
      </c>
      <c r="H6624" s="11" t="s">
        <v>23</v>
      </c>
      <c r="I6624" s="12" t="n">
        <v>18</v>
      </c>
      <c r="J6624" s="13" t="n">
        <v>65</v>
      </c>
      <c r="K6624" s="14" t="n">
        <f aca="false">I6624*J6624</f>
        <v>1170</v>
      </c>
      <c r="L6624" s="14" t="n">
        <f aca="false">($L$2*M6624)/100</f>
        <v>660916.575</v>
      </c>
      <c r="M6624" s="15" t="n">
        <v>0.55</v>
      </c>
      <c r="N6624" s="9" t="s">
        <v>85</v>
      </c>
    </row>
    <row r="6625" customFormat="false" ht="14.25" hidden="false" customHeight="true" outlineLevel="0" collapsed="false">
      <c r="B6625" s="9" t="s">
        <v>32</v>
      </c>
      <c r="C6625" s="9" t="n">
        <v>1197831</v>
      </c>
      <c r="D6625" s="10" t="n">
        <v>44219</v>
      </c>
      <c r="E6625" s="9" t="s">
        <v>29</v>
      </c>
      <c r="F6625" s="9" t="s">
        <v>104</v>
      </c>
      <c r="G6625" s="9" t="s">
        <v>105</v>
      </c>
      <c r="H6625" s="11" t="s">
        <v>24</v>
      </c>
      <c r="I6625" s="12" t="n">
        <v>33</v>
      </c>
      <c r="J6625" s="13" t="n">
        <v>80</v>
      </c>
      <c r="K6625" s="14" t="n">
        <f aca="false">I6625*J6625</f>
        <v>2640</v>
      </c>
      <c r="L6625" s="14" t="n">
        <f aca="false">($L$2*M6625)/100</f>
        <v>600833.25</v>
      </c>
      <c r="M6625" s="15" t="n">
        <v>0.5</v>
      </c>
      <c r="N6625" s="9" t="s">
        <v>85</v>
      </c>
    </row>
    <row r="6626" customFormat="false" ht="14.25" hidden="false" customHeight="true" outlineLevel="0" collapsed="false">
      <c r="B6626" s="9" t="s">
        <v>32</v>
      </c>
      <c r="C6626" s="9" t="n">
        <v>1197831</v>
      </c>
      <c r="D6626" s="10" t="n">
        <v>44219</v>
      </c>
      <c r="E6626" s="9" t="s">
        <v>29</v>
      </c>
      <c r="F6626" s="9" t="s">
        <v>104</v>
      </c>
      <c r="G6626" s="9" t="s">
        <v>105</v>
      </c>
      <c r="H6626" s="11" t="s">
        <v>25</v>
      </c>
      <c r="I6626" s="12" t="n">
        <v>23</v>
      </c>
      <c r="J6626" s="13" t="n">
        <v>101</v>
      </c>
      <c r="K6626" s="14" t="n">
        <f aca="false">I6626*J6626</f>
        <v>2323</v>
      </c>
      <c r="L6626" s="14" t="n">
        <f aca="false">($L$2*M6626)/100</f>
        <v>624866.58</v>
      </c>
      <c r="M6626" s="15" t="n">
        <v>0.52</v>
      </c>
      <c r="N6626" s="9" t="s">
        <v>85</v>
      </c>
    </row>
    <row r="6627" customFormat="false" ht="14.25" hidden="false" customHeight="true" outlineLevel="0" collapsed="false">
      <c r="B6627" s="9" t="s">
        <v>32</v>
      </c>
      <c r="C6627" s="9" t="n">
        <v>1197831</v>
      </c>
      <c r="D6627" s="10" t="n">
        <v>44248</v>
      </c>
      <c r="E6627" s="9" t="s">
        <v>29</v>
      </c>
      <c r="F6627" s="9" t="s">
        <v>104</v>
      </c>
      <c r="G6627" s="9" t="s">
        <v>105</v>
      </c>
      <c r="H6627" s="11" t="s">
        <v>19</v>
      </c>
      <c r="I6627" s="12" t="n">
        <v>24</v>
      </c>
      <c r="J6627" s="13" t="n">
        <v>169</v>
      </c>
      <c r="K6627" s="14" t="n">
        <f aca="false">I6627*J6627</f>
        <v>4056</v>
      </c>
      <c r="L6627" s="14" t="n">
        <f aca="false">($L$2*M6627)/100</f>
        <v>624866.58</v>
      </c>
      <c r="M6627" s="15" t="n">
        <v>0.52</v>
      </c>
      <c r="N6627" s="9" t="s">
        <v>85</v>
      </c>
    </row>
    <row r="6628" customFormat="false" ht="14.25" hidden="false" customHeight="true" outlineLevel="0" collapsed="false">
      <c r="B6628" s="9" t="s">
        <v>32</v>
      </c>
      <c r="C6628" s="9" t="n">
        <v>1197831</v>
      </c>
      <c r="D6628" s="10" t="n">
        <v>44248</v>
      </c>
      <c r="E6628" s="9" t="s">
        <v>29</v>
      </c>
      <c r="F6628" s="9" t="s">
        <v>104</v>
      </c>
      <c r="G6628" s="9" t="s">
        <v>105</v>
      </c>
      <c r="H6628" s="11" t="s">
        <v>21</v>
      </c>
      <c r="I6628" s="12" t="n">
        <v>23</v>
      </c>
      <c r="J6628" s="13" t="n">
        <v>80</v>
      </c>
      <c r="K6628" s="14" t="n">
        <f aca="false">I6628*J6628</f>
        <v>1840</v>
      </c>
      <c r="L6628" s="14" t="n">
        <f aca="false">($L$2*M6628)/100</f>
        <v>552766.59</v>
      </c>
      <c r="M6628" s="15" t="n">
        <v>0.46</v>
      </c>
      <c r="N6628" s="9" t="s">
        <v>85</v>
      </c>
    </row>
    <row r="6629" customFormat="false" ht="14.25" hidden="false" customHeight="true" outlineLevel="0" collapsed="false">
      <c r="B6629" s="9" t="s">
        <v>32</v>
      </c>
      <c r="C6629" s="9" t="n">
        <v>1197831</v>
      </c>
      <c r="D6629" s="10" t="n">
        <v>44248</v>
      </c>
      <c r="E6629" s="9" t="s">
        <v>29</v>
      </c>
      <c r="F6629" s="9" t="s">
        <v>104</v>
      </c>
      <c r="G6629" s="9" t="s">
        <v>105</v>
      </c>
      <c r="H6629" s="11" t="s">
        <v>22</v>
      </c>
      <c r="I6629" s="12" t="n">
        <v>15</v>
      </c>
      <c r="J6629" s="13" t="n">
        <v>91</v>
      </c>
      <c r="K6629" s="14" t="n">
        <f aca="false">I6629*J6629</f>
        <v>1365</v>
      </c>
      <c r="L6629" s="14" t="n">
        <f aca="false">($L$2*M6629)/100</f>
        <v>600833.25</v>
      </c>
      <c r="M6629" s="15" t="n">
        <v>0.5</v>
      </c>
      <c r="N6629" s="9" t="s">
        <v>85</v>
      </c>
    </row>
    <row r="6630" customFormat="false" ht="14.25" hidden="false" customHeight="true" outlineLevel="0" collapsed="false">
      <c r="B6630" s="9" t="s">
        <v>32</v>
      </c>
      <c r="C6630" s="9" t="n">
        <v>1197831</v>
      </c>
      <c r="D6630" s="10" t="n">
        <v>44248</v>
      </c>
      <c r="E6630" s="9" t="s">
        <v>29</v>
      </c>
      <c r="F6630" s="9" t="s">
        <v>106</v>
      </c>
      <c r="G6630" s="9" t="s">
        <v>107</v>
      </c>
      <c r="H6630" s="11" t="s">
        <v>23</v>
      </c>
      <c r="I6630" s="12" t="n">
        <v>19</v>
      </c>
      <c r="J6630" s="13" t="n">
        <v>49</v>
      </c>
      <c r="K6630" s="14" t="n">
        <f aca="false">I6630*J6630</f>
        <v>931</v>
      </c>
      <c r="L6630" s="14" t="n">
        <f aca="false">($L$2*M6630)/100</f>
        <v>612849.915</v>
      </c>
      <c r="M6630" s="15" t="n">
        <v>0.51</v>
      </c>
      <c r="N6630" s="9" t="s">
        <v>85</v>
      </c>
    </row>
    <row r="6631" customFormat="false" ht="14.25" hidden="false" customHeight="true" outlineLevel="0" collapsed="false">
      <c r="B6631" s="9" t="s">
        <v>32</v>
      </c>
      <c r="C6631" s="9" t="n">
        <v>1197831</v>
      </c>
      <c r="D6631" s="10" t="n">
        <v>44248</v>
      </c>
      <c r="E6631" s="9" t="s">
        <v>29</v>
      </c>
      <c r="F6631" s="9" t="s">
        <v>106</v>
      </c>
      <c r="G6631" s="9" t="s">
        <v>107</v>
      </c>
      <c r="H6631" s="11" t="s">
        <v>24</v>
      </c>
      <c r="I6631" s="12" t="n">
        <v>34</v>
      </c>
      <c r="J6631" s="13" t="n">
        <v>75</v>
      </c>
      <c r="K6631" s="14" t="n">
        <f aca="false">I6631*J6631</f>
        <v>2550</v>
      </c>
      <c r="L6631" s="14" t="n">
        <f aca="false">($L$2*M6631)/100</f>
        <v>564783.255</v>
      </c>
      <c r="M6631" s="15" t="n">
        <v>0.47</v>
      </c>
      <c r="N6631" s="9" t="s">
        <v>85</v>
      </c>
    </row>
    <row r="6632" customFormat="false" ht="14.25" hidden="false" customHeight="true" outlineLevel="0" collapsed="false">
      <c r="B6632" s="9" t="s">
        <v>32</v>
      </c>
      <c r="C6632" s="9" t="n">
        <v>1197831</v>
      </c>
      <c r="D6632" s="10" t="n">
        <v>44248</v>
      </c>
      <c r="E6632" s="9" t="s">
        <v>29</v>
      </c>
      <c r="F6632" s="9" t="s">
        <v>106</v>
      </c>
      <c r="G6632" s="9" t="s">
        <v>107</v>
      </c>
      <c r="H6632" s="11" t="s">
        <v>25</v>
      </c>
      <c r="I6632" s="12" t="n">
        <v>18</v>
      </c>
      <c r="J6632" s="13" t="n">
        <v>98</v>
      </c>
      <c r="K6632" s="14" t="n">
        <f aca="false">I6632*J6632</f>
        <v>1764</v>
      </c>
      <c r="L6632" s="14" t="n">
        <f aca="false">($L$2*M6632)/100</f>
        <v>612849.915</v>
      </c>
      <c r="M6632" s="15" t="n">
        <v>0.51</v>
      </c>
      <c r="N6632" s="9" t="s">
        <v>85</v>
      </c>
    </row>
    <row r="6633" customFormat="false" ht="14.25" hidden="false" customHeight="true" outlineLevel="0" collapsed="false">
      <c r="B6633" s="9" t="s">
        <v>32</v>
      </c>
      <c r="C6633" s="9" t="n">
        <v>1197831</v>
      </c>
      <c r="D6633" s="10" t="n">
        <v>44274</v>
      </c>
      <c r="E6633" s="9" t="s">
        <v>29</v>
      </c>
      <c r="F6633" s="9" t="s">
        <v>106</v>
      </c>
      <c r="G6633" s="9" t="s">
        <v>107</v>
      </c>
      <c r="H6633" s="11" t="s">
        <v>19</v>
      </c>
      <c r="I6633" s="12" t="n">
        <v>19</v>
      </c>
      <c r="J6633" s="13" t="n">
        <v>154</v>
      </c>
      <c r="K6633" s="14" t="n">
        <f aca="false">I6633*J6633</f>
        <v>2926</v>
      </c>
      <c r="L6633" s="14" t="n">
        <f aca="false">($L$2*M6633)/100</f>
        <v>600833.25</v>
      </c>
      <c r="M6633" s="15" t="n">
        <v>0.5</v>
      </c>
      <c r="N6633" s="9" t="s">
        <v>85</v>
      </c>
    </row>
    <row r="6634" customFormat="false" ht="14.25" hidden="false" customHeight="true" outlineLevel="0" collapsed="false">
      <c r="B6634" s="9" t="s">
        <v>32</v>
      </c>
      <c r="C6634" s="9" t="n">
        <v>1197831</v>
      </c>
      <c r="D6634" s="10" t="n">
        <v>44274</v>
      </c>
      <c r="E6634" s="9" t="s">
        <v>29</v>
      </c>
      <c r="F6634" s="9" t="s">
        <v>106</v>
      </c>
      <c r="G6634" s="9" t="s">
        <v>107</v>
      </c>
      <c r="H6634" s="11" t="s">
        <v>21</v>
      </c>
      <c r="I6634" s="12" t="n">
        <v>19</v>
      </c>
      <c r="J6634" s="13" t="n">
        <v>73</v>
      </c>
      <c r="K6634" s="14" t="n">
        <f aca="false">I6634*J6634</f>
        <v>1387</v>
      </c>
      <c r="L6634" s="14" t="n">
        <f aca="false">($L$2*M6634)/100</f>
        <v>576799.92</v>
      </c>
      <c r="M6634" s="15" t="n">
        <v>0.48</v>
      </c>
      <c r="N6634" s="9" t="s">
        <v>85</v>
      </c>
    </row>
    <row r="6635" customFormat="false" ht="14.25" hidden="false" customHeight="true" outlineLevel="0" collapsed="false">
      <c r="B6635" s="9" t="s">
        <v>32</v>
      </c>
      <c r="C6635" s="9" t="n">
        <v>1197831</v>
      </c>
      <c r="D6635" s="10" t="n">
        <v>44274</v>
      </c>
      <c r="E6635" s="9" t="s">
        <v>29</v>
      </c>
      <c r="F6635" s="9" t="s">
        <v>106</v>
      </c>
      <c r="G6635" s="9" t="s">
        <v>107</v>
      </c>
      <c r="H6635" s="11" t="s">
        <v>22</v>
      </c>
      <c r="I6635" s="12" t="n">
        <v>9</v>
      </c>
      <c r="J6635" s="13" t="n">
        <v>80</v>
      </c>
      <c r="K6635" s="14" t="n">
        <f aca="false">I6635*J6635</f>
        <v>720</v>
      </c>
      <c r="L6635" s="14" t="n">
        <f aca="false">($L$2*M6635)/100</f>
        <v>600833.25</v>
      </c>
      <c r="M6635" s="15" t="n">
        <v>0.5</v>
      </c>
      <c r="N6635" s="9" t="s">
        <v>85</v>
      </c>
    </row>
    <row r="6636" customFormat="false" ht="14.25" hidden="false" customHeight="true" outlineLevel="0" collapsed="false">
      <c r="B6636" s="9" t="s">
        <v>32</v>
      </c>
      <c r="C6636" s="9" t="n">
        <v>1197831</v>
      </c>
      <c r="D6636" s="10" t="n">
        <v>44274</v>
      </c>
      <c r="E6636" s="9" t="s">
        <v>29</v>
      </c>
      <c r="F6636" s="9" t="s">
        <v>106</v>
      </c>
      <c r="G6636" s="9" t="s">
        <v>107</v>
      </c>
      <c r="H6636" s="11" t="s">
        <v>23</v>
      </c>
      <c r="I6636" s="12" t="n">
        <v>20</v>
      </c>
      <c r="J6636" s="13" t="n">
        <v>34</v>
      </c>
      <c r="K6636" s="14" t="n">
        <f aca="false">I6636*J6636</f>
        <v>680</v>
      </c>
      <c r="L6636" s="14" t="n">
        <f aca="false">($L$2*M6636)/100</f>
        <v>600833.25</v>
      </c>
      <c r="M6636" s="15" t="n">
        <v>0.5</v>
      </c>
      <c r="N6636" s="9" t="s">
        <v>85</v>
      </c>
    </row>
    <row r="6637" customFormat="false" ht="14.25" hidden="false" customHeight="true" outlineLevel="0" collapsed="false">
      <c r="B6637" s="9" t="s">
        <v>32</v>
      </c>
      <c r="C6637" s="9" t="n">
        <v>1197831</v>
      </c>
      <c r="D6637" s="10" t="n">
        <v>44274</v>
      </c>
      <c r="E6637" s="9" t="s">
        <v>29</v>
      </c>
      <c r="F6637" s="9" t="s">
        <v>106</v>
      </c>
      <c r="G6637" s="9" t="s">
        <v>107</v>
      </c>
      <c r="H6637" s="11" t="s">
        <v>24</v>
      </c>
      <c r="I6637" s="12" t="n">
        <v>34</v>
      </c>
      <c r="J6637" s="13" t="n">
        <v>49</v>
      </c>
      <c r="K6637" s="14" t="n">
        <f aca="false">I6637*J6637</f>
        <v>1666</v>
      </c>
      <c r="L6637" s="14" t="n">
        <f aca="false">($L$2*M6637)/100</f>
        <v>564783.255</v>
      </c>
      <c r="M6637" s="15" t="n">
        <v>0.47</v>
      </c>
      <c r="N6637" s="9" t="s">
        <v>85</v>
      </c>
    </row>
    <row r="6638" customFormat="false" ht="14.25" hidden="false" customHeight="true" outlineLevel="0" collapsed="false">
      <c r="B6638" s="9" t="s">
        <v>32</v>
      </c>
      <c r="C6638" s="9" t="n">
        <v>1197831</v>
      </c>
      <c r="D6638" s="10" t="n">
        <v>44274</v>
      </c>
      <c r="E6638" s="9" t="s">
        <v>29</v>
      </c>
      <c r="F6638" s="9" t="s">
        <v>106</v>
      </c>
      <c r="G6638" s="9" t="s">
        <v>107</v>
      </c>
      <c r="H6638" s="11" t="s">
        <v>25</v>
      </c>
      <c r="I6638" s="12" t="n">
        <v>23</v>
      </c>
      <c r="J6638" s="13" t="n">
        <v>69</v>
      </c>
      <c r="K6638" s="14" t="n">
        <f aca="false">I6638*J6638</f>
        <v>1587</v>
      </c>
      <c r="L6638" s="14" t="n">
        <f aca="false">($L$2*M6638)/100</f>
        <v>648899.91</v>
      </c>
      <c r="M6638" s="15" t="n">
        <v>0.54</v>
      </c>
      <c r="N6638" s="9" t="s">
        <v>85</v>
      </c>
    </row>
    <row r="6639" customFormat="false" ht="14.25" hidden="false" customHeight="true" outlineLevel="0" collapsed="false">
      <c r="B6639" s="9" t="s">
        <v>32</v>
      </c>
      <c r="C6639" s="9" t="n">
        <v>1197831</v>
      </c>
      <c r="D6639" s="10" t="n">
        <v>44306</v>
      </c>
      <c r="E6639" s="9" t="s">
        <v>29</v>
      </c>
      <c r="F6639" s="9" t="s">
        <v>106</v>
      </c>
      <c r="G6639" s="9" t="s">
        <v>107</v>
      </c>
      <c r="H6639" s="11" t="s">
        <v>19</v>
      </c>
      <c r="I6639" s="12" t="n">
        <v>24</v>
      </c>
      <c r="J6639" s="13" t="n">
        <v>152</v>
      </c>
      <c r="K6639" s="14" t="n">
        <f aca="false">I6639*J6639</f>
        <v>3648</v>
      </c>
      <c r="L6639" s="14" t="n">
        <f aca="false">($L$2*M6639)/100</f>
        <v>636883.245</v>
      </c>
      <c r="M6639" s="15" t="n">
        <v>0.53</v>
      </c>
      <c r="N6639" s="9" t="s">
        <v>85</v>
      </c>
    </row>
    <row r="6640" customFormat="false" ht="14.25" hidden="false" customHeight="true" outlineLevel="0" collapsed="false">
      <c r="B6640" s="9" t="s">
        <v>32</v>
      </c>
      <c r="C6640" s="9" t="n">
        <v>1197831</v>
      </c>
      <c r="D6640" s="10" t="n">
        <v>44306</v>
      </c>
      <c r="E6640" s="9" t="s">
        <v>29</v>
      </c>
      <c r="F6640" s="9" t="s">
        <v>106</v>
      </c>
      <c r="G6640" s="9" t="s">
        <v>107</v>
      </c>
      <c r="H6640" s="11" t="s">
        <v>21</v>
      </c>
      <c r="I6640" s="12" t="n">
        <v>23</v>
      </c>
      <c r="J6640" s="13" t="n">
        <v>65</v>
      </c>
      <c r="K6640" s="14" t="n">
        <f aca="false">I6640*J6640</f>
        <v>1495</v>
      </c>
      <c r="L6640" s="14" t="n">
        <f aca="false">($L$2*M6640)/100</f>
        <v>576799.92</v>
      </c>
      <c r="M6640" s="15" t="n">
        <v>0.48</v>
      </c>
      <c r="N6640" s="9" t="s">
        <v>85</v>
      </c>
    </row>
    <row r="6641" customFormat="false" ht="14.25" hidden="false" customHeight="true" outlineLevel="0" collapsed="false">
      <c r="B6641" s="9" t="s">
        <v>32</v>
      </c>
      <c r="C6641" s="9" t="n">
        <v>1197831</v>
      </c>
      <c r="D6641" s="10" t="n">
        <v>44306</v>
      </c>
      <c r="E6641" s="9" t="s">
        <v>29</v>
      </c>
      <c r="F6641" s="9" t="s">
        <v>106</v>
      </c>
      <c r="G6641" s="9" t="s">
        <v>107</v>
      </c>
      <c r="H6641" s="11" t="s">
        <v>22</v>
      </c>
      <c r="I6641" s="12" t="n">
        <v>14</v>
      </c>
      <c r="J6641" s="13" t="n">
        <v>68</v>
      </c>
      <c r="K6641" s="14" t="n">
        <f aca="false">I6641*J6641</f>
        <v>952</v>
      </c>
      <c r="L6641" s="14" t="n">
        <f aca="false">($L$2*M6641)/100</f>
        <v>636883.245</v>
      </c>
      <c r="M6641" s="15" t="n">
        <v>0.53</v>
      </c>
      <c r="N6641" s="9" t="s">
        <v>85</v>
      </c>
    </row>
    <row r="6642" customFormat="false" ht="14.25" hidden="false" customHeight="true" outlineLevel="0" collapsed="false">
      <c r="B6642" s="9" t="s">
        <v>32</v>
      </c>
      <c r="C6642" s="9" t="n">
        <v>1197831</v>
      </c>
      <c r="D6642" s="10" t="n">
        <v>44306</v>
      </c>
      <c r="E6642" s="9" t="s">
        <v>29</v>
      </c>
      <c r="F6642" s="9" t="s">
        <v>106</v>
      </c>
      <c r="G6642" s="9" t="s">
        <v>107</v>
      </c>
      <c r="H6642" s="11" t="s">
        <v>23</v>
      </c>
      <c r="I6642" s="12" t="n">
        <v>18</v>
      </c>
      <c r="J6642" s="13" t="n">
        <v>45</v>
      </c>
      <c r="K6642" s="14" t="n">
        <f aca="false">I6642*J6642</f>
        <v>810</v>
      </c>
      <c r="L6642" s="14" t="n">
        <f aca="false">($L$2*M6642)/100</f>
        <v>636883.245</v>
      </c>
      <c r="M6642" s="15" t="n">
        <v>0.53</v>
      </c>
      <c r="N6642" s="9" t="s">
        <v>85</v>
      </c>
    </row>
    <row r="6643" customFormat="false" ht="14.25" hidden="false" customHeight="true" outlineLevel="0" collapsed="false">
      <c r="B6643" s="9" t="s">
        <v>32</v>
      </c>
      <c r="C6643" s="9" t="n">
        <v>1197831</v>
      </c>
      <c r="D6643" s="10" t="n">
        <v>44306</v>
      </c>
      <c r="E6643" s="9" t="s">
        <v>29</v>
      </c>
      <c r="F6643" s="9" t="s">
        <v>106</v>
      </c>
      <c r="G6643" s="9" t="s">
        <v>107</v>
      </c>
      <c r="H6643" s="11" t="s">
        <v>24</v>
      </c>
      <c r="I6643" s="12" t="n">
        <v>38</v>
      </c>
      <c r="J6643" s="13" t="n">
        <v>53</v>
      </c>
      <c r="K6643" s="14" t="n">
        <f aca="false">I6643*J6643</f>
        <v>2014</v>
      </c>
      <c r="L6643" s="14" t="n">
        <f aca="false">($L$2*M6643)/100</f>
        <v>600833.25</v>
      </c>
      <c r="M6643" s="15" t="n">
        <v>0.5</v>
      </c>
      <c r="N6643" s="9" t="s">
        <v>85</v>
      </c>
    </row>
    <row r="6644" customFormat="false" ht="14.25" hidden="false" customHeight="true" outlineLevel="0" collapsed="false">
      <c r="B6644" s="9" t="s">
        <v>32</v>
      </c>
      <c r="C6644" s="9" t="n">
        <v>1197831</v>
      </c>
      <c r="D6644" s="10" t="n">
        <v>44306</v>
      </c>
      <c r="E6644" s="9" t="s">
        <v>29</v>
      </c>
      <c r="F6644" s="9" t="s">
        <v>106</v>
      </c>
      <c r="G6644" s="9" t="s">
        <v>107</v>
      </c>
      <c r="H6644" s="11" t="s">
        <v>25</v>
      </c>
      <c r="I6644" s="12" t="n">
        <v>28</v>
      </c>
      <c r="J6644" s="13" t="n">
        <v>94</v>
      </c>
      <c r="K6644" s="14" t="n">
        <f aca="false">I6644*J6644</f>
        <v>2632</v>
      </c>
      <c r="L6644" s="14" t="n">
        <f aca="false">($L$2*M6644)/100</f>
        <v>660916.575</v>
      </c>
      <c r="M6644" s="15" t="n">
        <v>0.55</v>
      </c>
      <c r="N6644" s="9" t="s">
        <v>85</v>
      </c>
    </row>
    <row r="6645" customFormat="false" ht="14.25" hidden="false" customHeight="true" outlineLevel="0" collapsed="false">
      <c r="B6645" s="9" t="s">
        <v>32</v>
      </c>
      <c r="C6645" s="9" t="n">
        <v>1197831</v>
      </c>
      <c r="D6645" s="10" t="n">
        <v>44335</v>
      </c>
      <c r="E6645" s="9" t="s">
        <v>29</v>
      </c>
      <c r="F6645" s="9" t="s">
        <v>106</v>
      </c>
      <c r="G6645" s="9" t="s">
        <v>107</v>
      </c>
      <c r="H6645" s="11" t="s">
        <v>19</v>
      </c>
      <c r="I6645" s="12" t="n">
        <v>36</v>
      </c>
      <c r="J6645" s="13" t="n">
        <v>167</v>
      </c>
      <c r="K6645" s="14" t="n">
        <f aca="false">I6645*J6645</f>
        <v>6012</v>
      </c>
      <c r="L6645" s="14" t="n">
        <f aca="false">($L$2*M6645)/100</f>
        <v>648899.91</v>
      </c>
      <c r="M6645" s="15" t="n">
        <v>0.54</v>
      </c>
      <c r="N6645" s="9" t="s">
        <v>85</v>
      </c>
    </row>
    <row r="6646" customFormat="false" ht="14.25" hidden="false" customHeight="true" outlineLevel="0" collapsed="false">
      <c r="B6646" s="9" t="s">
        <v>32</v>
      </c>
      <c r="C6646" s="9" t="n">
        <v>1197831</v>
      </c>
      <c r="D6646" s="10" t="n">
        <v>44335</v>
      </c>
      <c r="E6646" s="9" t="s">
        <v>29</v>
      </c>
      <c r="F6646" s="9" t="s">
        <v>106</v>
      </c>
      <c r="G6646" s="9" t="s">
        <v>107</v>
      </c>
      <c r="H6646" s="11" t="s">
        <v>21</v>
      </c>
      <c r="I6646" s="12" t="n">
        <v>39</v>
      </c>
      <c r="J6646" s="13" t="n">
        <v>87</v>
      </c>
      <c r="K6646" s="14" t="n">
        <f aca="false">I6646*J6646</f>
        <v>3393</v>
      </c>
      <c r="L6646" s="14" t="n">
        <f aca="false">($L$2*M6646)/100</f>
        <v>540749.925</v>
      </c>
      <c r="M6646" s="15" t="n">
        <v>0.45</v>
      </c>
      <c r="N6646" s="9" t="s">
        <v>85</v>
      </c>
    </row>
    <row r="6647" customFormat="false" ht="14.25" hidden="false" customHeight="true" outlineLevel="0" collapsed="false">
      <c r="B6647" s="9" t="s">
        <v>32</v>
      </c>
      <c r="C6647" s="9" t="n">
        <v>1197831</v>
      </c>
      <c r="D6647" s="10" t="n">
        <v>44335</v>
      </c>
      <c r="E6647" s="9" t="s">
        <v>29</v>
      </c>
      <c r="F6647" s="9" t="s">
        <v>106</v>
      </c>
      <c r="G6647" s="9" t="s">
        <v>107</v>
      </c>
      <c r="H6647" s="11" t="s">
        <v>22</v>
      </c>
      <c r="I6647" s="12" t="n">
        <v>34</v>
      </c>
      <c r="J6647" s="13" t="n">
        <v>72</v>
      </c>
      <c r="K6647" s="14" t="n">
        <f aca="false">I6647*J6647</f>
        <v>2448</v>
      </c>
      <c r="L6647" s="14" t="n">
        <f aca="false">($L$2*M6647)/100</f>
        <v>624866.58</v>
      </c>
      <c r="M6647" s="15" t="n">
        <v>0.52</v>
      </c>
      <c r="N6647" s="9" t="s">
        <v>85</v>
      </c>
    </row>
    <row r="6648" customFormat="false" ht="14.25" hidden="false" customHeight="true" outlineLevel="0" collapsed="false">
      <c r="B6648" s="9" t="s">
        <v>32</v>
      </c>
      <c r="C6648" s="9" t="n">
        <v>1197831</v>
      </c>
      <c r="D6648" s="10" t="n">
        <v>44335</v>
      </c>
      <c r="E6648" s="9" t="s">
        <v>29</v>
      </c>
      <c r="F6648" s="9" t="s">
        <v>106</v>
      </c>
      <c r="G6648" s="9" t="s">
        <v>107</v>
      </c>
      <c r="H6648" s="11" t="s">
        <v>23</v>
      </c>
      <c r="I6648" s="12" t="n">
        <v>34</v>
      </c>
      <c r="J6648" s="13" t="n">
        <v>59</v>
      </c>
      <c r="K6648" s="14" t="n">
        <f aca="false">I6648*J6648</f>
        <v>2006</v>
      </c>
      <c r="L6648" s="14" t="n">
        <f aca="false">($L$2*M6648)/100</f>
        <v>660916.575</v>
      </c>
      <c r="M6648" s="15" t="n">
        <v>0.55</v>
      </c>
      <c r="N6648" s="9" t="s">
        <v>85</v>
      </c>
    </row>
    <row r="6649" customFormat="false" ht="14.25" hidden="false" customHeight="true" outlineLevel="0" collapsed="false">
      <c r="B6649" s="9" t="s">
        <v>32</v>
      </c>
      <c r="C6649" s="9" t="n">
        <v>1197831</v>
      </c>
      <c r="D6649" s="10" t="n">
        <v>44335</v>
      </c>
      <c r="E6649" s="9" t="s">
        <v>29</v>
      </c>
      <c r="F6649" s="9" t="s">
        <v>106</v>
      </c>
      <c r="G6649" s="9" t="s">
        <v>107</v>
      </c>
      <c r="H6649" s="11" t="s">
        <v>24</v>
      </c>
      <c r="I6649" s="12" t="n">
        <v>43</v>
      </c>
      <c r="J6649" s="13" t="n">
        <v>75</v>
      </c>
      <c r="K6649" s="14" t="n">
        <f aca="false">I6649*J6649</f>
        <v>3225</v>
      </c>
      <c r="L6649" s="14" t="n">
        <f aca="false">($L$2*M6649)/100</f>
        <v>540749.925</v>
      </c>
      <c r="M6649" s="15" t="n">
        <v>0.45</v>
      </c>
      <c r="N6649" s="9" t="s">
        <v>85</v>
      </c>
    </row>
    <row r="6650" customFormat="false" ht="14.25" hidden="false" customHeight="true" outlineLevel="0" collapsed="false">
      <c r="B6650" s="9" t="s">
        <v>32</v>
      </c>
      <c r="C6650" s="9" t="n">
        <v>1197831</v>
      </c>
      <c r="D6650" s="10" t="n">
        <v>44335</v>
      </c>
      <c r="E6650" s="9" t="s">
        <v>29</v>
      </c>
      <c r="F6650" s="9" t="s">
        <v>106</v>
      </c>
      <c r="G6650" s="9" t="s">
        <v>107</v>
      </c>
      <c r="H6650" s="11" t="s">
        <v>25</v>
      </c>
      <c r="I6650" s="12" t="n">
        <v>42</v>
      </c>
      <c r="J6650" s="13" t="n">
        <v>98</v>
      </c>
      <c r="K6650" s="14" t="n">
        <f aca="false">I6650*J6650</f>
        <v>4116</v>
      </c>
      <c r="L6650" s="14" t="n">
        <f aca="false">($L$2*M6650)/100</f>
        <v>624866.58</v>
      </c>
      <c r="M6650" s="15" t="n">
        <v>0.52</v>
      </c>
      <c r="N6650" s="9" t="s">
        <v>85</v>
      </c>
    </row>
    <row r="6651" customFormat="false" ht="14.25" hidden="false" customHeight="true" outlineLevel="0" collapsed="false">
      <c r="B6651" s="9" t="s">
        <v>32</v>
      </c>
      <c r="C6651" s="9" t="n">
        <v>1197831</v>
      </c>
      <c r="D6651" s="10" t="n">
        <v>44368</v>
      </c>
      <c r="E6651" s="9" t="s">
        <v>29</v>
      </c>
      <c r="F6651" s="9" t="s">
        <v>106</v>
      </c>
      <c r="G6651" s="9" t="s">
        <v>107</v>
      </c>
      <c r="H6651" s="11" t="s">
        <v>19</v>
      </c>
      <c r="I6651" s="12" t="n">
        <v>38</v>
      </c>
      <c r="J6651" s="13" t="n">
        <v>156</v>
      </c>
      <c r="K6651" s="14" t="n">
        <f aca="false">I6651*J6651</f>
        <v>5928</v>
      </c>
      <c r="L6651" s="14" t="n">
        <f aca="false">($L$2*M6651)/100</f>
        <v>612849.915</v>
      </c>
      <c r="M6651" s="15" t="n">
        <v>0.51</v>
      </c>
      <c r="N6651" s="9" t="s">
        <v>85</v>
      </c>
    </row>
    <row r="6652" customFormat="false" ht="14.25" hidden="false" customHeight="true" outlineLevel="0" collapsed="false">
      <c r="B6652" s="9" t="s">
        <v>32</v>
      </c>
      <c r="C6652" s="9" t="n">
        <v>1197831</v>
      </c>
      <c r="D6652" s="10" t="n">
        <v>44368</v>
      </c>
      <c r="E6652" s="9" t="s">
        <v>29</v>
      </c>
      <c r="F6652" s="9" t="s">
        <v>106</v>
      </c>
      <c r="G6652" s="9" t="s">
        <v>107</v>
      </c>
      <c r="H6652" s="11" t="s">
        <v>21</v>
      </c>
      <c r="I6652" s="12" t="n">
        <v>33</v>
      </c>
      <c r="J6652" s="13" t="n">
        <v>88</v>
      </c>
      <c r="K6652" s="14" t="n">
        <f aca="false">I6652*J6652</f>
        <v>2904</v>
      </c>
      <c r="L6652" s="14" t="n">
        <f aca="false">($L$2*M6652)/100</f>
        <v>540749.925</v>
      </c>
      <c r="M6652" s="15" t="n">
        <v>0.45</v>
      </c>
      <c r="N6652" s="9" t="s">
        <v>85</v>
      </c>
    </row>
    <row r="6653" customFormat="false" ht="14.25" hidden="false" customHeight="true" outlineLevel="0" collapsed="false">
      <c r="B6653" s="9" t="s">
        <v>32</v>
      </c>
      <c r="C6653" s="9" t="n">
        <v>1197831</v>
      </c>
      <c r="D6653" s="10" t="n">
        <v>44368</v>
      </c>
      <c r="E6653" s="9" t="s">
        <v>29</v>
      </c>
      <c r="F6653" s="9" t="s">
        <v>106</v>
      </c>
      <c r="G6653" s="9" t="s">
        <v>107</v>
      </c>
      <c r="H6653" s="11" t="s">
        <v>22</v>
      </c>
      <c r="I6653" s="12" t="n">
        <v>36</v>
      </c>
      <c r="J6653" s="13" t="n">
        <v>88</v>
      </c>
      <c r="K6653" s="14" t="n">
        <f aca="false">I6653*J6653</f>
        <v>3168</v>
      </c>
      <c r="L6653" s="14" t="n">
        <f aca="false">($L$2*M6653)/100</f>
        <v>624866.58</v>
      </c>
      <c r="M6653" s="15" t="n">
        <v>0.52</v>
      </c>
      <c r="N6653" s="9" t="s">
        <v>85</v>
      </c>
    </row>
    <row r="6654" customFormat="false" ht="14.25" hidden="false" customHeight="true" outlineLevel="0" collapsed="false">
      <c r="B6654" s="9" t="s">
        <v>32</v>
      </c>
      <c r="C6654" s="9" t="n">
        <v>1197831</v>
      </c>
      <c r="D6654" s="10" t="n">
        <v>44368</v>
      </c>
      <c r="E6654" s="9" t="s">
        <v>29</v>
      </c>
      <c r="F6654" s="9" t="s">
        <v>106</v>
      </c>
      <c r="G6654" s="9" t="s">
        <v>107</v>
      </c>
      <c r="H6654" s="11" t="s">
        <v>23</v>
      </c>
      <c r="I6654" s="12" t="n">
        <v>38</v>
      </c>
      <c r="J6654" s="13" t="n">
        <v>87</v>
      </c>
      <c r="K6654" s="14" t="n">
        <f aca="false">I6654*J6654</f>
        <v>3306</v>
      </c>
      <c r="L6654" s="14" t="n">
        <f aca="false">($L$2*M6654)/100</f>
        <v>600833.25</v>
      </c>
      <c r="M6654" s="15" t="n">
        <v>0.5</v>
      </c>
      <c r="N6654" s="9" t="s">
        <v>85</v>
      </c>
    </row>
    <row r="6655" customFormat="false" ht="14.25" hidden="false" customHeight="true" outlineLevel="0" collapsed="false">
      <c r="B6655" s="9" t="s">
        <v>32</v>
      </c>
      <c r="C6655" s="9" t="n">
        <v>1197831</v>
      </c>
      <c r="D6655" s="10" t="n">
        <v>44368</v>
      </c>
      <c r="E6655" s="9" t="s">
        <v>29</v>
      </c>
      <c r="F6655" s="9" t="s">
        <v>106</v>
      </c>
      <c r="G6655" s="9" t="s">
        <v>107</v>
      </c>
      <c r="H6655" s="11" t="s">
        <v>24</v>
      </c>
      <c r="I6655" s="12" t="n">
        <v>51</v>
      </c>
      <c r="J6655" s="13" t="n">
        <v>87</v>
      </c>
      <c r="K6655" s="14" t="n">
        <f aca="false">I6655*J6655</f>
        <v>4437</v>
      </c>
      <c r="L6655" s="14" t="n">
        <f aca="false">($L$2*M6655)/100</f>
        <v>564783.255</v>
      </c>
      <c r="M6655" s="15" t="n">
        <v>0.47</v>
      </c>
      <c r="N6655" s="9" t="s">
        <v>85</v>
      </c>
    </row>
    <row r="6656" customFormat="false" ht="14.25" hidden="false" customHeight="true" outlineLevel="0" collapsed="false">
      <c r="B6656" s="9" t="s">
        <v>32</v>
      </c>
      <c r="C6656" s="9" t="n">
        <v>1197831</v>
      </c>
      <c r="D6656" s="10" t="n">
        <v>44368</v>
      </c>
      <c r="E6656" s="9" t="s">
        <v>29</v>
      </c>
      <c r="F6656" s="9" t="s">
        <v>106</v>
      </c>
      <c r="G6656" s="9" t="s">
        <v>107</v>
      </c>
      <c r="H6656" s="11" t="s">
        <v>25</v>
      </c>
      <c r="I6656" s="12" t="n">
        <v>55</v>
      </c>
      <c r="J6656" s="13" t="n">
        <v>124</v>
      </c>
      <c r="K6656" s="14" t="n">
        <f aca="false">I6656*J6656</f>
        <v>6820</v>
      </c>
      <c r="L6656" s="14" t="n">
        <f aca="false">($L$2*M6656)/100</f>
        <v>612849.915</v>
      </c>
      <c r="M6656" s="15" t="n">
        <v>0.51</v>
      </c>
      <c r="N6656" s="9" t="s">
        <v>85</v>
      </c>
    </row>
    <row r="6657" customFormat="false" ht="14.25" hidden="false" customHeight="true" outlineLevel="0" collapsed="false">
      <c r="B6657" s="9" t="s">
        <v>32</v>
      </c>
      <c r="C6657" s="9" t="n">
        <v>1197831</v>
      </c>
      <c r="D6657" s="10" t="n">
        <v>44396</v>
      </c>
      <c r="E6657" s="9" t="s">
        <v>29</v>
      </c>
      <c r="F6657" s="9" t="s">
        <v>106</v>
      </c>
      <c r="G6657" s="9" t="s">
        <v>107</v>
      </c>
      <c r="H6657" s="11" t="s">
        <v>19</v>
      </c>
      <c r="I6657" s="12" t="n">
        <v>50</v>
      </c>
      <c r="J6657" s="13" t="n">
        <v>182</v>
      </c>
      <c r="K6657" s="14" t="n">
        <f aca="false">I6657*J6657</f>
        <v>9100</v>
      </c>
      <c r="L6657" s="14" t="n">
        <f aca="false">($L$2*M6657)/100</f>
        <v>624866.58</v>
      </c>
      <c r="M6657" s="15" t="n">
        <v>0.52</v>
      </c>
      <c r="N6657" s="9" t="s">
        <v>85</v>
      </c>
    </row>
    <row r="6658" customFormat="false" ht="14.25" hidden="false" customHeight="true" outlineLevel="0" collapsed="false">
      <c r="B6658" s="9" t="s">
        <v>32</v>
      </c>
      <c r="C6658" s="9" t="n">
        <v>1197831</v>
      </c>
      <c r="D6658" s="10" t="n">
        <v>44396</v>
      </c>
      <c r="E6658" s="9" t="s">
        <v>29</v>
      </c>
      <c r="F6658" s="9" t="s">
        <v>106</v>
      </c>
      <c r="G6658" s="9" t="s">
        <v>107</v>
      </c>
      <c r="H6658" s="11" t="s">
        <v>21</v>
      </c>
      <c r="I6658" s="12" t="n">
        <v>45</v>
      </c>
      <c r="J6658" s="13" t="n">
        <v>117</v>
      </c>
      <c r="K6658" s="14" t="n">
        <f aca="false">I6658*J6658</f>
        <v>5265</v>
      </c>
      <c r="L6658" s="14" t="n">
        <f aca="false">($L$2*M6658)/100</f>
        <v>600833.25</v>
      </c>
      <c r="M6658" s="15" t="n">
        <v>0.5</v>
      </c>
      <c r="N6658" s="9" t="s">
        <v>85</v>
      </c>
    </row>
    <row r="6659" customFormat="false" ht="14.25" hidden="false" customHeight="true" outlineLevel="0" collapsed="false">
      <c r="B6659" s="9" t="s">
        <v>32</v>
      </c>
      <c r="C6659" s="9" t="n">
        <v>1197831</v>
      </c>
      <c r="D6659" s="10" t="n">
        <v>44396</v>
      </c>
      <c r="E6659" s="9" t="s">
        <v>29</v>
      </c>
      <c r="F6659" s="9" t="s">
        <v>106</v>
      </c>
      <c r="G6659" s="9" t="s">
        <v>107</v>
      </c>
      <c r="H6659" s="11" t="s">
        <v>22</v>
      </c>
      <c r="I6659" s="12" t="n">
        <v>44</v>
      </c>
      <c r="J6659" s="13" t="n">
        <v>94</v>
      </c>
      <c r="K6659" s="14" t="n">
        <f aca="false">I6659*J6659</f>
        <v>4136</v>
      </c>
      <c r="L6659" s="14" t="n">
        <f aca="false">($L$2*M6659)/100</f>
        <v>648899.91</v>
      </c>
      <c r="M6659" s="15" t="n">
        <v>0.54</v>
      </c>
      <c r="N6659" s="9" t="s">
        <v>85</v>
      </c>
    </row>
    <row r="6660" customFormat="false" ht="14.25" hidden="false" customHeight="true" outlineLevel="0" collapsed="false">
      <c r="B6660" s="9" t="s">
        <v>32</v>
      </c>
      <c r="C6660" s="9" t="n">
        <v>1197831</v>
      </c>
      <c r="D6660" s="10" t="n">
        <v>44396</v>
      </c>
      <c r="E6660" s="9" t="s">
        <v>29</v>
      </c>
      <c r="F6660" s="9" t="s">
        <v>106</v>
      </c>
      <c r="G6660" s="9" t="s">
        <v>107</v>
      </c>
      <c r="H6660" s="11" t="s">
        <v>23</v>
      </c>
      <c r="I6660" s="12" t="n">
        <v>41</v>
      </c>
      <c r="J6660" s="13" t="n">
        <v>85</v>
      </c>
      <c r="K6660" s="14" t="n">
        <f aca="false">I6660*J6660</f>
        <v>3485</v>
      </c>
      <c r="L6660" s="14" t="n">
        <f aca="false">($L$2*M6660)/100</f>
        <v>636883.245</v>
      </c>
      <c r="M6660" s="15" t="n">
        <v>0.53</v>
      </c>
      <c r="N6660" s="9" t="s">
        <v>85</v>
      </c>
    </row>
    <row r="6661" customFormat="false" ht="14.25" hidden="false" customHeight="true" outlineLevel="0" collapsed="false">
      <c r="B6661" s="9" t="s">
        <v>32</v>
      </c>
      <c r="C6661" s="9" t="n">
        <v>1197831</v>
      </c>
      <c r="D6661" s="10" t="n">
        <v>44396</v>
      </c>
      <c r="E6661" s="9" t="s">
        <v>29</v>
      </c>
      <c r="F6661" s="9" t="s">
        <v>106</v>
      </c>
      <c r="G6661" s="9" t="s">
        <v>107</v>
      </c>
      <c r="H6661" s="11" t="s">
        <v>24</v>
      </c>
      <c r="I6661" s="12" t="n">
        <v>59</v>
      </c>
      <c r="J6661" s="13" t="n">
        <v>98</v>
      </c>
      <c r="K6661" s="14" t="n">
        <f aca="false">I6661*J6661</f>
        <v>5782</v>
      </c>
      <c r="L6661" s="14" t="n">
        <f aca="false">($L$2*M6661)/100</f>
        <v>552766.59</v>
      </c>
      <c r="M6661" s="15" t="n">
        <v>0.46</v>
      </c>
      <c r="N6661" s="9" t="s">
        <v>85</v>
      </c>
    </row>
    <row r="6662" customFormat="false" ht="14.25" hidden="false" customHeight="true" outlineLevel="0" collapsed="false">
      <c r="B6662" s="9" t="s">
        <v>32</v>
      </c>
      <c r="C6662" s="9" t="n">
        <v>1197831</v>
      </c>
      <c r="D6662" s="10" t="n">
        <v>44396</v>
      </c>
      <c r="E6662" s="9" t="s">
        <v>29</v>
      </c>
      <c r="F6662" s="9" t="s">
        <v>106</v>
      </c>
      <c r="G6662" s="9" t="s">
        <v>107</v>
      </c>
      <c r="H6662" s="11" t="s">
        <v>25</v>
      </c>
      <c r="I6662" s="12" t="n">
        <v>61</v>
      </c>
      <c r="J6662" s="13" t="n">
        <v>142</v>
      </c>
      <c r="K6662" s="14" t="n">
        <f aca="false">I6662*J6662</f>
        <v>8662</v>
      </c>
      <c r="L6662" s="14" t="n">
        <f aca="false">($L$2*M6662)/100</f>
        <v>648899.91</v>
      </c>
      <c r="M6662" s="15" t="n">
        <v>0.54</v>
      </c>
      <c r="N6662" s="9" t="s">
        <v>85</v>
      </c>
    </row>
    <row r="6663" customFormat="false" ht="14.25" hidden="false" customHeight="true" outlineLevel="0" collapsed="false">
      <c r="B6663" s="9" t="s">
        <v>32</v>
      </c>
      <c r="C6663" s="9" t="n">
        <v>1197831</v>
      </c>
      <c r="D6663" s="10" t="n">
        <v>44428</v>
      </c>
      <c r="E6663" s="9" t="s">
        <v>29</v>
      </c>
      <c r="F6663" s="9" t="s">
        <v>106</v>
      </c>
      <c r="G6663" s="9" t="s">
        <v>107</v>
      </c>
      <c r="H6663" s="11" t="s">
        <v>19</v>
      </c>
      <c r="I6663" s="12" t="n">
        <v>56</v>
      </c>
      <c r="J6663" s="13" t="n">
        <v>189</v>
      </c>
      <c r="K6663" s="14" t="n">
        <f aca="false">I6663*J6663</f>
        <v>10584</v>
      </c>
      <c r="L6663" s="14" t="n">
        <f aca="false">($L$2*M6663)/100</f>
        <v>612849.915</v>
      </c>
      <c r="M6663" s="15" t="n">
        <v>0.51</v>
      </c>
      <c r="N6663" s="9" t="s">
        <v>85</v>
      </c>
    </row>
    <row r="6664" customFormat="false" ht="14.25" hidden="false" customHeight="true" outlineLevel="0" collapsed="false">
      <c r="B6664" s="9" t="s">
        <v>32</v>
      </c>
      <c r="C6664" s="9" t="n">
        <v>1197831</v>
      </c>
      <c r="D6664" s="10" t="n">
        <v>44428</v>
      </c>
      <c r="E6664" s="9" t="s">
        <v>29</v>
      </c>
      <c r="F6664" s="9" t="s">
        <v>106</v>
      </c>
      <c r="G6664" s="9" t="s">
        <v>107</v>
      </c>
      <c r="H6664" s="11" t="s">
        <v>21</v>
      </c>
      <c r="I6664" s="12" t="n">
        <v>51</v>
      </c>
      <c r="J6664" s="13" t="n">
        <v>113</v>
      </c>
      <c r="K6664" s="14" t="n">
        <f aca="false">I6664*J6664</f>
        <v>5763</v>
      </c>
      <c r="L6664" s="14" t="n">
        <f aca="false">($L$2*M6664)/100</f>
        <v>564783.255</v>
      </c>
      <c r="M6664" s="15" t="n">
        <v>0.47</v>
      </c>
      <c r="N6664" s="9" t="s">
        <v>85</v>
      </c>
    </row>
    <row r="6665" customFormat="false" ht="14.25" hidden="false" customHeight="true" outlineLevel="0" collapsed="false">
      <c r="B6665" s="9" t="s">
        <v>32</v>
      </c>
      <c r="C6665" s="9" t="n">
        <v>1197831</v>
      </c>
      <c r="D6665" s="10" t="n">
        <v>44428</v>
      </c>
      <c r="E6665" s="9" t="s">
        <v>29</v>
      </c>
      <c r="F6665" s="9" t="s">
        <v>106</v>
      </c>
      <c r="G6665" s="9" t="s">
        <v>107</v>
      </c>
      <c r="H6665" s="11" t="s">
        <v>22</v>
      </c>
      <c r="I6665" s="12" t="n">
        <v>47</v>
      </c>
      <c r="J6665" s="13" t="n">
        <v>113</v>
      </c>
      <c r="K6665" s="14" t="n">
        <f aca="false">I6665*J6665</f>
        <v>5311</v>
      </c>
      <c r="L6665" s="14" t="n">
        <f aca="false">($L$2*M6665)/100</f>
        <v>636883.245</v>
      </c>
      <c r="M6665" s="15" t="n">
        <v>0.53</v>
      </c>
      <c r="N6665" s="9" t="s">
        <v>85</v>
      </c>
    </row>
    <row r="6666" customFormat="false" ht="14.25" hidden="false" customHeight="true" outlineLevel="0" collapsed="false">
      <c r="B6666" s="9" t="s">
        <v>32</v>
      </c>
      <c r="C6666" s="9" t="n">
        <v>1197831</v>
      </c>
      <c r="D6666" s="10" t="n">
        <v>44428</v>
      </c>
      <c r="E6666" s="9" t="s">
        <v>29</v>
      </c>
      <c r="F6666" s="9" t="s">
        <v>106</v>
      </c>
      <c r="G6666" s="9" t="s">
        <v>107</v>
      </c>
      <c r="H6666" s="11" t="s">
        <v>23</v>
      </c>
      <c r="I6666" s="12" t="n">
        <v>37</v>
      </c>
      <c r="J6666" s="13" t="n">
        <v>88</v>
      </c>
      <c r="K6666" s="14" t="n">
        <f aca="false">I6666*J6666</f>
        <v>3256</v>
      </c>
      <c r="L6666" s="14" t="n">
        <f aca="false">($L$2*M6666)/100</f>
        <v>624866.58</v>
      </c>
      <c r="M6666" s="15" t="n">
        <v>0.52</v>
      </c>
      <c r="N6666" s="9" t="s">
        <v>85</v>
      </c>
    </row>
    <row r="6667" customFormat="false" ht="14.25" hidden="false" customHeight="true" outlineLevel="0" collapsed="false">
      <c r="B6667" s="9" t="s">
        <v>32</v>
      </c>
      <c r="C6667" s="9" t="n">
        <v>1197831</v>
      </c>
      <c r="D6667" s="10" t="n">
        <v>44428</v>
      </c>
      <c r="E6667" s="9" t="s">
        <v>29</v>
      </c>
      <c r="F6667" s="9" t="s">
        <v>106</v>
      </c>
      <c r="G6667" s="9" t="s">
        <v>107</v>
      </c>
      <c r="H6667" s="11" t="s">
        <v>24</v>
      </c>
      <c r="I6667" s="12" t="n">
        <v>47</v>
      </c>
      <c r="J6667" s="13" t="n">
        <v>81</v>
      </c>
      <c r="K6667" s="14" t="n">
        <f aca="false">I6667*J6667</f>
        <v>3807</v>
      </c>
      <c r="L6667" s="14" t="n">
        <f aca="false">($L$2*M6667)/100</f>
        <v>540749.925</v>
      </c>
      <c r="M6667" s="15" t="n">
        <v>0.45</v>
      </c>
      <c r="N6667" s="9" t="s">
        <v>85</v>
      </c>
    </row>
    <row r="6668" customFormat="false" ht="14.25" hidden="false" customHeight="true" outlineLevel="0" collapsed="false">
      <c r="B6668" s="9" t="s">
        <v>32</v>
      </c>
      <c r="C6668" s="9" t="n">
        <v>1197831</v>
      </c>
      <c r="D6668" s="10" t="n">
        <v>44428</v>
      </c>
      <c r="E6668" s="9" t="s">
        <v>29</v>
      </c>
      <c r="F6668" s="9" t="s">
        <v>106</v>
      </c>
      <c r="G6668" s="9" t="s">
        <v>107</v>
      </c>
      <c r="H6668" s="11" t="s">
        <v>25</v>
      </c>
      <c r="I6668" s="12" t="n">
        <v>50</v>
      </c>
      <c r="J6668" s="13" t="n">
        <v>124</v>
      </c>
      <c r="K6668" s="14" t="n">
        <f aca="false">I6668*J6668</f>
        <v>6200</v>
      </c>
      <c r="L6668" s="14" t="n">
        <f aca="false">($L$2*M6668)/100</f>
        <v>624866.58</v>
      </c>
      <c r="M6668" s="15" t="n">
        <v>0.52</v>
      </c>
      <c r="N6668" s="9" t="s">
        <v>85</v>
      </c>
    </row>
    <row r="6669" customFormat="false" ht="14.25" hidden="false" customHeight="true" outlineLevel="0" collapsed="false">
      <c r="B6669" s="9" t="s">
        <v>32</v>
      </c>
      <c r="C6669" s="9" t="n">
        <v>1197831</v>
      </c>
      <c r="D6669" s="10" t="n">
        <v>44458</v>
      </c>
      <c r="E6669" s="9" t="s">
        <v>29</v>
      </c>
      <c r="F6669" s="9" t="s">
        <v>106</v>
      </c>
      <c r="G6669" s="9" t="s">
        <v>107</v>
      </c>
      <c r="H6669" s="11" t="s">
        <v>19</v>
      </c>
      <c r="I6669" s="12" t="n">
        <v>49</v>
      </c>
      <c r="J6669" s="13" t="n">
        <v>150</v>
      </c>
      <c r="K6669" s="14" t="n">
        <f aca="false">I6669*J6669</f>
        <v>7350</v>
      </c>
      <c r="L6669" s="14" t="n">
        <f aca="false">($L$2*M6669)/100</f>
        <v>648899.91</v>
      </c>
      <c r="M6669" s="15" t="n">
        <v>0.54</v>
      </c>
      <c r="N6669" s="9" t="s">
        <v>85</v>
      </c>
    </row>
    <row r="6670" customFormat="false" ht="14.25" hidden="false" customHeight="true" outlineLevel="0" collapsed="false">
      <c r="B6670" s="9" t="s">
        <v>32</v>
      </c>
      <c r="C6670" s="9" t="n">
        <v>1197831</v>
      </c>
      <c r="D6670" s="10" t="n">
        <v>44458</v>
      </c>
      <c r="E6670" s="9" t="s">
        <v>29</v>
      </c>
      <c r="F6670" s="9" t="s">
        <v>106</v>
      </c>
      <c r="G6670" s="9" t="s">
        <v>107</v>
      </c>
      <c r="H6670" s="11" t="s">
        <v>21</v>
      </c>
      <c r="I6670" s="12" t="n">
        <v>38</v>
      </c>
      <c r="J6670" s="13" t="n">
        <v>98</v>
      </c>
      <c r="K6670" s="14" t="n">
        <f aca="false">I6670*J6670</f>
        <v>3724</v>
      </c>
      <c r="L6670" s="14" t="n">
        <f aca="false">($L$2*M6670)/100</f>
        <v>540749.925</v>
      </c>
      <c r="M6670" s="15" t="n">
        <v>0.45</v>
      </c>
      <c r="N6670" s="9" t="s">
        <v>85</v>
      </c>
    </row>
    <row r="6671" customFormat="false" ht="14.25" hidden="false" customHeight="true" outlineLevel="0" collapsed="false">
      <c r="B6671" s="9" t="s">
        <v>32</v>
      </c>
      <c r="C6671" s="9" t="n">
        <v>1197831</v>
      </c>
      <c r="D6671" s="10" t="n">
        <v>44458</v>
      </c>
      <c r="E6671" s="9" t="s">
        <v>29</v>
      </c>
      <c r="F6671" s="9" t="s">
        <v>106</v>
      </c>
      <c r="G6671" s="9" t="s">
        <v>107</v>
      </c>
      <c r="H6671" s="11" t="s">
        <v>22</v>
      </c>
      <c r="I6671" s="12" t="n">
        <v>14</v>
      </c>
      <c r="J6671" s="13" t="n">
        <v>69</v>
      </c>
      <c r="K6671" s="14" t="n">
        <f aca="false">I6671*J6671</f>
        <v>966</v>
      </c>
      <c r="L6671" s="14" t="n">
        <f aca="false">($L$2*M6671)/100</f>
        <v>612849.915</v>
      </c>
      <c r="M6671" s="15" t="n">
        <v>0.51</v>
      </c>
      <c r="N6671" s="9" t="s">
        <v>85</v>
      </c>
    </row>
    <row r="6672" customFormat="false" ht="14.25" hidden="false" customHeight="true" outlineLevel="0" collapsed="false">
      <c r="B6672" s="9" t="s">
        <v>32</v>
      </c>
      <c r="C6672" s="9" t="n">
        <v>1197831</v>
      </c>
      <c r="D6672" s="10" t="n">
        <v>44458</v>
      </c>
      <c r="E6672" s="9" t="s">
        <v>29</v>
      </c>
      <c r="F6672" s="9" t="s">
        <v>106</v>
      </c>
      <c r="G6672" s="9" t="s">
        <v>107</v>
      </c>
      <c r="H6672" s="11" t="s">
        <v>23</v>
      </c>
      <c r="I6672" s="12" t="n">
        <v>14</v>
      </c>
      <c r="J6672" s="13" t="n">
        <v>63</v>
      </c>
      <c r="K6672" s="14" t="n">
        <f aca="false">I6672*J6672</f>
        <v>882</v>
      </c>
      <c r="L6672" s="14" t="n">
        <f aca="false">($L$2*M6672)/100</f>
        <v>612849.915</v>
      </c>
      <c r="M6672" s="15" t="n">
        <v>0.51</v>
      </c>
      <c r="N6672" s="9" t="s">
        <v>85</v>
      </c>
    </row>
    <row r="6673" customFormat="false" ht="14.25" hidden="false" customHeight="true" outlineLevel="0" collapsed="false">
      <c r="B6673" s="9" t="s">
        <v>32</v>
      </c>
      <c r="C6673" s="9" t="n">
        <v>1197831</v>
      </c>
      <c r="D6673" s="10" t="n">
        <v>44458</v>
      </c>
      <c r="E6673" s="9" t="s">
        <v>29</v>
      </c>
      <c r="F6673" s="9" t="s">
        <v>106</v>
      </c>
      <c r="G6673" s="9" t="s">
        <v>107</v>
      </c>
      <c r="H6673" s="11" t="s">
        <v>24</v>
      </c>
      <c r="I6673" s="12" t="n">
        <v>23</v>
      </c>
      <c r="J6673" s="13" t="n">
        <v>68</v>
      </c>
      <c r="K6673" s="14" t="n">
        <f aca="false">I6673*J6673</f>
        <v>1564</v>
      </c>
      <c r="L6673" s="14" t="n">
        <f aca="false">($L$2*M6673)/100</f>
        <v>540749.925</v>
      </c>
      <c r="M6673" s="15" t="n">
        <v>0.45</v>
      </c>
      <c r="N6673" s="9" t="s">
        <v>85</v>
      </c>
    </row>
    <row r="6674" customFormat="false" ht="14.25" hidden="false" customHeight="true" outlineLevel="0" collapsed="false">
      <c r="B6674" s="9" t="s">
        <v>32</v>
      </c>
      <c r="C6674" s="9" t="n">
        <v>1197831</v>
      </c>
      <c r="D6674" s="10" t="n">
        <v>44458</v>
      </c>
      <c r="E6674" s="9" t="s">
        <v>29</v>
      </c>
      <c r="F6674" s="9" t="s">
        <v>106</v>
      </c>
      <c r="G6674" s="9" t="s">
        <v>107</v>
      </c>
      <c r="H6674" s="11" t="s">
        <v>25</v>
      </c>
      <c r="I6674" s="12" t="n">
        <v>28</v>
      </c>
      <c r="J6674" s="13" t="n">
        <v>91</v>
      </c>
      <c r="K6674" s="14" t="n">
        <f aca="false">I6674*J6674</f>
        <v>2548</v>
      </c>
      <c r="L6674" s="14" t="n">
        <f aca="false">($L$2*M6674)/100</f>
        <v>624866.58</v>
      </c>
      <c r="M6674" s="15" t="n">
        <v>0.52</v>
      </c>
      <c r="N6674" s="9" t="s">
        <v>85</v>
      </c>
    </row>
    <row r="6675" customFormat="false" ht="14.25" hidden="false" customHeight="true" outlineLevel="0" collapsed="false">
      <c r="B6675" s="9" t="s">
        <v>32</v>
      </c>
      <c r="C6675" s="9" t="n">
        <v>1197831</v>
      </c>
      <c r="D6675" s="10" t="n">
        <v>44490</v>
      </c>
      <c r="E6675" s="9" t="s">
        <v>29</v>
      </c>
      <c r="F6675" s="9" t="s">
        <v>106</v>
      </c>
      <c r="G6675" s="9" t="s">
        <v>107</v>
      </c>
      <c r="H6675" s="11" t="s">
        <v>19</v>
      </c>
      <c r="I6675" s="12" t="n">
        <v>29</v>
      </c>
      <c r="J6675" s="13" t="n">
        <v>137</v>
      </c>
      <c r="K6675" s="14" t="n">
        <f aca="false">I6675*J6675</f>
        <v>3973</v>
      </c>
      <c r="L6675" s="14" t="n">
        <f aca="false">($L$2*M6675)/100</f>
        <v>648899.91</v>
      </c>
      <c r="M6675" s="15" t="n">
        <v>0.54</v>
      </c>
      <c r="N6675" s="9" t="s">
        <v>85</v>
      </c>
    </row>
    <row r="6676" customFormat="false" ht="14.25" hidden="false" customHeight="true" outlineLevel="0" collapsed="false">
      <c r="B6676" s="9" t="s">
        <v>32</v>
      </c>
      <c r="C6676" s="9" t="n">
        <v>1197831</v>
      </c>
      <c r="D6676" s="10" t="n">
        <v>44490</v>
      </c>
      <c r="E6676" s="9" t="s">
        <v>29</v>
      </c>
      <c r="F6676" s="9" t="s">
        <v>106</v>
      </c>
      <c r="G6676" s="9" t="s">
        <v>107</v>
      </c>
      <c r="H6676" s="11" t="s">
        <v>21</v>
      </c>
      <c r="I6676" s="12" t="n">
        <v>19</v>
      </c>
      <c r="J6676" s="13" t="n">
        <v>88</v>
      </c>
      <c r="K6676" s="14" t="n">
        <f aca="false">I6676*J6676</f>
        <v>1672</v>
      </c>
      <c r="L6676" s="14" t="n">
        <f aca="false">($L$2*M6676)/100</f>
        <v>552766.59</v>
      </c>
      <c r="M6676" s="15" t="n">
        <v>0.46</v>
      </c>
      <c r="N6676" s="9" t="s">
        <v>85</v>
      </c>
    </row>
    <row r="6677" customFormat="false" ht="14.25" hidden="false" customHeight="true" outlineLevel="0" collapsed="false">
      <c r="B6677" s="9" t="s">
        <v>32</v>
      </c>
      <c r="C6677" s="9" t="n">
        <v>1197831</v>
      </c>
      <c r="D6677" s="10" t="n">
        <v>44490</v>
      </c>
      <c r="E6677" s="9" t="s">
        <v>29</v>
      </c>
      <c r="F6677" s="9" t="s">
        <v>106</v>
      </c>
      <c r="G6677" s="9" t="s">
        <v>107</v>
      </c>
      <c r="H6677" s="11" t="s">
        <v>22</v>
      </c>
      <c r="I6677" s="12" t="n">
        <v>20</v>
      </c>
      <c r="J6677" s="13" t="n">
        <v>56</v>
      </c>
      <c r="K6677" s="14" t="n">
        <f aca="false">I6677*J6677</f>
        <v>1120</v>
      </c>
      <c r="L6677" s="14" t="n">
        <f aca="false">($L$2*M6677)/100</f>
        <v>612849.915</v>
      </c>
      <c r="M6677" s="15" t="n">
        <v>0.51</v>
      </c>
      <c r="N6677" s="9" t="s">
        <v>85</v>
      </c>
    </row>
    <row r="6678" customFormat="false" ht="14.25" hidden="false" customHeight="true" outlineLevel="0" collapsed="false">
      <c r="B6678" s="9" t="s">
        <v>32</v>
      </c>
      <c r="C6678" s="9" t="n">
        <v>1197831</v>
      </c>
      <c r="D6678" s="10" t="n">
        <v>44490</v>
      </c>
      <c r="E6678" s="9" t="s">
        <v>29</v>
      </c>
      <c r="F6678" s="9" t="s">
        <v>106</v>
      </c>
      <c r="G6678" s="9" t="s">
        <v>107</v>
      </c>
      <c r="H6678" s="11" t="s">
        <v>23</v>
      </c>
      <c r="I6678" s="12" t="n">
        <v>18</v>
      </c>
      <c r="J6678" s="13" t="n">
        <v>52</v>
      </c>
      <c r="K6678" s="14" t="n">
        <f aca="false">I6678*J6678</f>
        <v>936</v>
      </c>
      <c r="L6678" s="14" t="n">
        <f aca="false">($L$2*M6678)/100</f>
        <v>624866.58</v>
      </c>
      <c r="M6678" s="15" t="n">
        <v>0.52</v>
      </c>
      <c r="N6678" s="9" t="s">
        <v>85</v>
      </c>
    </row>
    <row r="6679" customFormat="false" ht="14.25" hidden="false" customHeight="true" outlineLevel="0" collapsed="false">
      <c r="B6679" s="9" t="s">
        <v>32</v>
      </c>
      <c r="C6679" s="9" t="n">
        <v>1197831</v>
      </c>
      <c r="D6679" s="10" t="n">
        <v>44490</v>
      </c>
      <c r="E6679" s="9" t="s">
        <v>29</v>
      </c>
      <c r="F6679" s="9" t="s">
        <v>106</v>
      </c>
      <c r="G6679" s="9" t="s">
        <v>107</v>
      </c>
      <c r="H6679" s="11" t="s">
        <v>24</v>
      </c>
      <c r="I6679" s="12" t="n">
        <v>29</v>
      </c>
      <c r="J6679" s="13" t="n">
        <v>50</v>
      </c>
      <c r="K6679" s="14" t="n">
        <f aca="false">I6679*J6679</f>
        <v>1450</v>
      </c>
      <c r="L6679" s="14" t="n">
        <f aca="false">($L$2*M6679)/100</f>
        <v>576799.92</v>
      </c>
      <c r="M6679" s="15" t="n">
        <v>0.48</v>
      </c>
      <c r="N6679" s="9" t="s">
        <v>85</v>
      </c>
    </row>
    <row r="6680" customFormat="false" ht="14.25" hidden="false" customHeight="true" outlineLevel="0" collapsed="false">
      <c r="B6680" s="9" t="s">
        <v>36</v>
      </c>
      <c r="C6680" s="9" t="n">
        <v>1197831</v>
      </c>
      <c r="D6680" s="10" t="n">
        <v>44490</v>
      </c>
      <c r="E6680" s="9" t="s">
        <v>29</v>
      </c>
      <c r="F6680" s="9" t="s">
        <v>106</v>
      </c>
      <c r="G6680" s="9" t="s">
        <v>107</v>
      </c>
      <c r="H6680" s="11" t="s">
        <v>25</v>
      </c>
      <c r="I6680" s="12" t="n">
        <v>29</v>
      </c>
      <c r="J6680" s="13" t="n">
        <v>91</v>
      </c>
      <c r="K6680" s="14" t="n">
        <f aca="false">I6680*J6680</f>
        <v>2639</v>
      </c>
      <c r="L6680" s="14" t="n">
        <f aca="false">($L$2*M6680)/100</f>
        <v>660916.575</v>
      </c>
      <c r="M6680" s="15" t="n">
        <v>0.55</v>
      </c>
      <c r="N6680" s="9" t="s">
        <v>85</v>
      </c>
    </row>
    <row r="6681" customFormat="false" ht="14.25" hidden="false" customHeight="true" outlineLevel="0" collapsed="false">
      <c r="B6681" s="9" t="s">
        <v>36</v>
      </c>
      <c r="C6681" s="9" t="n">
        <v>1197831</v>
      </c>
      <c r="D6681" s="10" t="n">
        <v>44520</v>
      </c>
      <c r="E6681" s="9" t="s">
        <v>29</v>
      </c>
      <c r="F6681" s="9" t="s">
        <v>106</v>
      </c>
      <c r="G6681" s="9" t="s">
        <v>107</v>
      </c>
      <c r="H6681" s="11" t="s">
        <v>19</v>
      </c>
      <c r="I6681" s="12" t="n">
        <v>23</v>
      </c>
      <c r="J6681" s="13" t="n">
        <v>133</v>
      </c>
      <c r="K6681" s="14" t="n">
        <f aca="false">I6681*J6681</f>
        <v>3059</v>
      </c>
      <c r="L6681" s="14" t="n">
        <f aca="false">($L$2*M6681)/100</f>
        <v>648899.91</v>
      </c>
      <c r="M6681" s="15" t="n">
        <v>0.54</v>
      </c>
      <c r="N6681" s="9" t="s">
        <v>85</v>
      </c>
    </row>
    <row r="6682" customFormat="false" ht="14.25" hidden="false" customHeight="true" outlineLevel="0" collapsed="false">
      <c r="B6682" s="9" t="s">
        <v>36</v>
      </c>
      <c r="C6682" s="9" t="n">
        <v>1197831</v>
      </c>
      <c r="D6682" s="10" t="n">
        <v>44520</v>
      </c>
      <c r="E6682" s="9" t="s">
        <v>29</v>
      </c>
      <c r="F6682" s="9" t="s">
        <v>106</v>
      </c>
      <c r="G6682" s="9" t="s">
        <v>107</v>
      </c>
      <c r="H6682" s="11" t="s">
        <v>21</v>
      </c>
      <c r="I6682" s="12" t="n">
        <v>14</v>
      </c>
      <c r="J6682" s="13" t="n">
        <v>78</v>
      </c>
      <c r="K6682" s="14" t="n">
        <f aca="false">I6682*J6682</f>
        <v>1092</v>
      </c>
      <c r="L6682" s="14" t="n">
        <f aca="false">($L$2*M6682)/100</f>
        <v>564783.255</v>
      </c>
      <c r="M6682" s="15" t="n">
        <v>0.47</v>
      </c>
      <c r="N6682" s="9" t="s">
        <v>85</v>
      </c>
    </row>
    <row r="6683" customFormat="false" ht="14.25" hidden="false" customHeight="true" outlineLevel="0" collapsed="false">
      <c r="B6683" s="9" t="s">
        <v>36</v>
      </c>
      <c r="C6683" s="9" t="n">
        <v>1197831</v>
      </c>
      <c r="D6683" s="10" t="n">
        <v>44520</v>
      </c>
      <c r="E6683" s="9" t="s">
        <v>29</v>
      </c>
      <c r="F6683" s="9" t="s">
        <v>106</v>
      </c>
      <c r="G6683" s="9" t="s">
        <v>107</v>
      </c>
      <c r="H6683" s="11" t="s">
        <v>22</v>
      </c>
      <c r="I6683" s="12" t="n">
        <v>23</v>
      </c>
      <c r="J6683" s="13" t="n">
        <v>74</v>
      </c>
      <c r="K6683" s="14" t="n">
        <f aca="false">I6683*J6683</f>
        <v>1702</v>
      </c>
      <c r="L6683" s="14" t="n">
        <f aca="false">($L$2*M6683)/100</f>
        <v>648899.91</v>
      </c>
      <c r="M6683" s="15" t="n">
        <v>0.54</v>
      </c>
      <c r="N6683" s="9" t="s">
        <v>85</v>
      </c>
    </row>
    <row r="6684" customFormat="false" ht="14.25" hidden="false" customHeight="true" outlineLevel="0" collapsed="false">
      <c r="B6684" s="9" t="s">
        <v>36</v>
      </c>
      <c r="C6684" s="9" t="n">
        <v>1197831</v>
      </c>
      <c r="D6684" s="10" t="n">
        <v>44520</v>
      </c>
      <c r="E6684" s="9" t="s">
        <v>29</v>
      </c>
      <c r="F6684" s="9" t="s">
        <v>106</v>
      </c>
      <c r="G6684" s="9" t="s">
        <v>107</v>
      </c>
      <c r="H6684" s="11" t="s">
        <v>23</v>
      </c>
      <c r="I6684" s="12" t="n">
        <v>52</v>
      </c>
      <c r="J6684" s="13" t="n">
        <v>75</v>
      </c>
      <c r="K6684" s="14" t="n">
        <f aca="false">I6684*J6684</f>
        <v>3900</v>
      </c>
      <c r="L6684" s="14" t="n">
        <f aca="false">($L$2*M6684)/100</f>
        <v>636883.245</v>
      </c>
      <c r="M6684" s="15" t="n">
        <v>0.53</v>
      </c>
      <c r="N6684" s="9" t="s">
        <v>85</v>
      </c>
    </row>
    <row r="6685" customFormat="false" ht="14.25" hidden="false" customHeight="true" outlineLevel="0" collapsed="false">
      <c r="B6685" s="9" t="s">
        <v>36</v>
      </c>
      <c r="C6685" s="9" t="n">
        <v>1197831</v>
      </c>
      <c r="D6685" s="10" t="n">
        <v>44520</v>
      </c>
      <c r="E6685" s="9" t="s">
        <v>29</v>
      </c>
      <c r="F6685" s="9" t="s">
        <v>106</v>
      </c>
      <c r="G6685" s="9" t="s">
        <v>107</v>
      </c>
      <c r="H6685" s="11" t="s">
        <v>24</v>
      </c>
      <c r="I6685" s="12" t="n">
        <v>71</v>
      </c>
      <c r="J6685" s="13" t="n">
        <v>77</v>
      </c>
      <c r="K6685" s="14" t="n">
        <f aca="false">I6685*J6685</f>
        <v>5467</v>
      </c>
      <c r="L6685" s="14" t="n">
        <f aca="false">($L$2*M6685)/100</f>
        <v>588816.585</v>
      </c>
      <c r="M6685" s="15" t="n">
        <v>0.49</v>
      </c>
      <c r="N6685" s="9" t="s">
        <v>85</v>
      </c>
    </row>
    <row r="6686" customFormat="false" ht="14.25" hidden="false" customHeight="true" outlineLevel="0" collapsed="false">
      <c r="B6686" s="9" t="s">
        <v>36</v>
      </c>
      <c r="C6686" s="9" t="n">
        <v>1197831</v>
      </c>
      <c r="D6686" s="10" t="n">
        <v>44520</v>
      </c>
      <c r="E6686" s="9" t="s">
        <v>29</v>
      </c>
      <c r="F6686" s="9" t="s">
        <v>106</v>
      </c>
      <c r="G6686" s="9" t="s">
        <v>107</v>
      </c>
      <c r="H6686" s="11" t="s">
        <v>25</v>
      </c>
      <c r="I6686" s="12" t="n">
        <v>72</v>
      </c>
      <c r="J6686" s="13" t="n">
        <v>105</v>
      </c>
      <c r="K6686" s="14" t="n">
        <f aca="false">I6686*J6686</f>
        <v>7560</v>
      </c>
      <c r="L6686" s="14" t="n">
        <f aca="false">($L$2*M6686)/100</f>
        <v>600833.25</v>
      </c>
      <c r="M6686" s="15" t="n">
        <v>0.5</v>
      </c>
      <c r="N6686" s="9" t="s">
        <v>85</v>
      </c>
    </row>
    <row r="6687" customFormat="false" ht="14.25" hidden="false" customHeight="true" outlineLevel="0" collapsed="false">
      <c r="B6687" s="9" t="s">
        <v>36</v>
      </c>
      <c r="C6687" s="9" t="n">
        <v>1197831</v>
      </c>
      <c r="D6687" s="10" t="n">
        <v>44549</v>
      </c>
      <c r="E6687" s="9" t="s">
        <v>29</v>
      </c>
      <c r="F6687" s="9" t="s">
        <v>106</v>
      </c>
      <c r="G6687" s="9" t="s">
        <v>107</v>
      </c>
      <c r="H6687" s="11" t="s">
        <v>19</v>
      </c>
      <c r="I6687" s="12" t="n">
        <v>64</v>
      </c>
      <c r="J6687" s="13" t="n">
        <v>169</v>
      </c>
      <c r="K6687" s="14" t="n">
        <f aca="false">I6687*J6687</f>
        <v>10816</v>
      </c>
      <c r="L6687" s="14" t="n">
        <f aca="false">($L$2*M6687)/100</f>
        <v>660916.575</v>
      </c>
      <c r="M6687" s="15" t="n">
        <v>0.55</v>
      </c>
      <c r="N6687" s="9" t="s">
        <v>85</v>
      </c>
    </row>
    <row r="6688" customFormat="false" ht="14.25" hidden="false" customHeight="true" outlineLevel="0" collapsed="false">
      <c r="B6688" s="9" t="s">
        <v>36</v>
      </c>
      <c r="C6688" s="9" t="n">
        <v>1197831</v>
      </c>
      <c r="D6688" s="10" t="n">
        <v>44549</v>
      </c>
      <c r="E6688" s="9" t="s">
        <v>29</v>
      </c>
      <c r="F6688" s="9" t="s">
        <v>106</v>
      </c>
      <c r="G6688" s="9" t="s">
        <v>107</v>
      </c>
      <c r="H6688" s="11" t="s">
        <v>21</v>
      </c>
      <c r="I6688" s="12" t="n">
        <v>58</v>
      </c>
      <c r="J6688" s="13" t="n">
        <v>119</v>
      </c>
      <c r="K6688" s="14" t="n">
        <f aca="false">I6688*J6688</f>
        <v>6902</v>
      </c>
      <c r="L6688" s="14" t="n">
        <f aca="false">($L$2*M6688)/100</f>
        <v>540749.925</v>
      </c>
      <c r="M6688" s="15" t="n">
        <v>0.45</v>
      </c>
      <c r="N6688" s="9" t="s">
        <v>85</v>
      </c>
    </row>
    <row r="6689" customFormat="false" ht="14.25" hidden="false" customHeight="true" outlineLevel="0" collapsed="false">
      <c r="B6689" s="9" t="s">
        <v>36</v>
      </c>
      <c r="C6689" s="9" t="n">
        <v>1197831</v>
      </c>
      <c r="D6689" s="10" t="n">
        <v>44549</v>
      </c>
      <c r="E6689" s="9" t="s">
        <v>29</v>
      </c>
      <c r="F6689" s="9" t="s">
        <v>106</v>
      </c>
      <c r="G6689" s="9" t="s">
        <v>107</v>
      </c>
      <c r="H6689" s="11" t="s">
        <v>22</v>
      </c>
      <c r="I6689" s="12" t="n">
        <v>55</v>
      </c>
      <c r="J6689" s="13" t="n">
        <v>101</v>
      </c>
      <c r="K6689" s="14" t="n">
        <f aca="false">I6689*J6689</f>
        <v>5555</v>
      </c>
      <c r="L6689" s="14" t="n">
        <f aca="false">($L$2*M6689)/100</f>
        <v>600833.25</v>
      </c>
      <c r="M6689" s="15" t="n">
        <v>0.5</v>
      </c>
      <c r="N6689" s="9" t="s">
        <v>85</v>
      </c>
    </row>
    <row r="6690" customFormat="false" ht="14.25" hidden="false" customHeight="true" outlineLevel="0" collapsed="false">
      <c r="B6690" s="9" t="s">
        <v>36</v>
      </c>
      <c r="C6690" s="9" t="n">
        <v>1197831</v>
      </c>
      <c r="D6690" s="10" t="n">
        <v>44549</v>
      </c>
      <c r="E6690" s="9" t="s">
        <v>29</v>
      </c>
      <c r="F6690" s="9" t="s">
        <v>106</v>
      </c>
      <c r="G6690" s="9" t="s">
        <v>107</v>
      </c>
      <c r="H6690" s="11" t="s">
        <v>23</v>
      </c>
      <c r="I6690" s="12" t="n">
        <v>54</v>
      </c>
      <c r="J6690" s="13" t="n">
        <v>94</v>
      </c>
      <c r="K6690" s="14" t="n">
        <f aca="false">I6690*J6690</f>
        <v>5076</v>
      </c>
      <c r="L6690" s="14" t="n">
        <f aca="false">($L$2*M6690)/100</f>
        <v>636883.245</v>
      </c>
      <c r="M6690" s="15" t="n">
        <v>0.53</v>
      </c>
      <c r="N6690" s="9" t="s">
        <v>85</v>
      </c>
    </row>
    <row r="6691" customFormat="false" ht="14.25" hidden="false" customHeight="true" outlineLevel="0" collapsed="false">
      <c r="B6691" s="9" t="s">
        <v>36</v>
      </c>
      <c r="C6691" s="9" t="n">
        <v>1197831</v>
      </c>
      <c r="D6691" s="10" t="n">
        <v>44549</v>
      </c>
      <c r="E6691" s="9" t="s">
        <v>29</v>
      </c>
      <c r="F6691" s="9" t="s">
        <v>106</v>
      </c>
      <c r="G6691" s="9" t="s">
        <v>107</v>
      </c>
      <c r="H6691" s="11" t="s">
        <v>24</v>
      </c>
      <c r="I6691" s="12" t="n">
        <v>69</v>
      </c>
      <c r="J6691" s="13" t="n">
        <v>81</v>
      </c>
      <c r="K6691" s="14" t="n">
        <f aca="false">I6691*J6691</f>
        <v>5589</v>
      </c>
      <c r="L6691" s="14" t="n">
        <f aca="false">($L$2*M6691)/100</f>
        <v>576799.92</v>
      </c>
      <c r="M6691" s="15" t="n">
        <v>0.48</v>
      </c>
      <c r="N6691" s="9" t="s">
        <v>85</v>
      </c>
    </row>
    <row r="6692" customFormat="false" ht="14.25" hidden="false" customHeight="true" outlineLevel="0" collapsed="false">
      <c r="B6692" s="9" t="s">
        <v>36</v>
      </c>
      <c r="C6692" s="9" t="n">
        <v>1197831</v>
      </c>
      <c r="D6692" s="10" t="n">
        <v>44549</v>
      </c>
      <c r="E6692" s="9" t="s">
        <v>29</v>
      </c>
      <c r="F6692" s="9" t="s">
        <v>106</v>
      </c>
      <c r="G6692" s="9" t="s">
        <v>107</v>
      </c>
      <c r="H6692" s="11" t="s">
        <v>25</v>
      </c>
      <c r="I6692" s="12" t="n">
        <v>68</v>
      </c>
      <c r="J6692" s="13" t="n">
        <v>123</v>
      </c>
      <c r="K6692" s="14" t="n">
        <f aca="false">I6692*J6692</f>
        <v>8364</v>
      </c>
      <c r="L6692" s="14" t="n">
        <f aca="false">($L$2*M6692)/100</f>
        <v>600833.25</v>
      </c>
      <c r="M6692" s="15" t="n">
        <v>0.5</v>
      </c>
      <c r="N6692" s="9" t="s">
        <v>85</v>
      </c>
    </row>
    <row r="6693" customFormat="false" ht="14.25" hidden="false" customHeight="true" outlineLevel="0" collapsed="false">
      <c r="B6693" s="9" t="s">
        <v>36</v>
      </c>
      <c r="C6693" s="9" t="n">
        <v>1197831</v>
      </c>
      <c r="D6693" s="10" t="n">
        <v>44212</v>
      </c>
      <c r="E6693" s="9" t="s">
        <v>29</v>
      </c>
      <c r="F6693" s="9" t="s">
        <v>106</v>
      </c>
      <c r="G6693" s="9" t="s">
        <v>107</v>
      </c>
      <c r="H6693" s="11" t="s">
        <v>19</v>
      </c>
      <c r="I6693" s="12" t="n">
        <v>23</v>
      </c>
      <c r="J6693" s="13" t="n">
        <v>149</v>
      </c>
      <c r="K6693" s="14" t="n">
        <f aca="false">I6693*J6693</f>
        <v>3427</v>
      </c>
      <c r="L6693" s="14" t="n">
        <f aca="false">($L$2*M6693)/100</f>
        <v>588816.585</v>
      </c>
      <c r="M6693" s="15" t="n">
        <v>0.49</v>
      </c>
      <c r="N6693" s="9" t="s">
        <v>85</v>
      </c>
    </row>
    <row r="6694" customFormat="false" ht="14.25" hidden="false" customHeight="true" outlineLevel="0" collapsed="false">
      <c r="B6694" s="9" t="s">
        <v>36</v>
      </c>
      <c r="C6694" s="9" t="n">
        <v>1197831</v>
      </c>
      <c r="D6694" s="10" t="n">
        <v>44212</v>
      </c>
      <c r="E6694" s="9" t="s">
        <v>29</v>
      </c>
      <c r="F6694" s="9" t="s">
        <v>106</v>
      </c>
      <c r="G6694" s="9" t="s">
        <v>107</v>
      </c>
      <c r="H6694" s="11" t="s">
        <v>21</v>
      </c>
      <c r="I6694" s="12" t="n">
        <v>23</v>
      </c>
      <c r="J6694" s="13" t="n">
        <v>91</v>
      </c>
      <c r="K6694" s="14" t="n">
        <f aca="false">I6694*J6694</f>
        <v>2093</v>
      </c>
      <c r="L6694" s="14" t="n">
        <f aca="false">($L$2*M6694)/100</f>
        <v>588816.585</v>
      </c>
      <c r="M6694" s="15" t="n">
        <v>0.49</v>
      </c>
      <c r="N6694" s="9" t="s">
        <v>85</v>
      </c>
    </row>
    <row r="6695" customFormat="false" ht="14.25" hidden="false" customHeight="true" outlineLevel="0" collapsed="false">
      <c r="B6695" s="9" t="s">
        <v>36</v>
      </c>
      <c r="C6695" s="9" t="n">
        <v>1197831</v>
      </c>
      <c r="D6695" s="10" t="n">
        <v>44212</v>
      </c>
      <c r="E6695" s="9" t="s">
        <v>29</v>
      </c>
      <c r="F6695" s="9" t="s">
        <v>106</v>
      </c>
      <c r="G6695" s="9" t="s">
        <v>107</v>
      </c>
      <c r="H6695" s="11" t="s">
        <v>22</v>
      </c>
      <c r="I6695" s="12" t="n">
        <v>14</v>
      </c>
      <c r="J6695" s="13" t="n">
        <v>88</v>
      </c>
      <c r="K6695" s="14" t="n">
        <f aca="false">I6695*J6695</f>
        <v>1232</v>
      </c>
      <c r="L6695" s="14" t="n">
        <f aca="false">($L$2*M6695)/100</f>
        <v>576799.92</v>
      </c>
      <c r="M6695" s="15" t="n">
        <v>0.48</v>
      </c>
      <c r="N6695" s="9" t="s">
        <v>85</v>
      </c>
    </row>
    <row r="6696" customFormat="false" ht="14.25" hidden="false" customHeight="true" outlineLevel="0" collapsed="false">
      <c r="B6696" s="9" t="s">
        <v>36</v>
      </c>
      <c r="C6696" s="9" t="n">
        <v>1197831</v>
      </c>
      <c r="D6696" s="10" t="n">
        <v>44212</v>
      </c>
      <c r="E6696" s="9" t="s">
        <v>29</v>
      </c>
      <c r="F6696" s="9" t="s">
        <v>106</v>
      </c>
      <c r="G6696" s="9" t="s">
        <v>107</v>
      </c>
      <c r="H6696" s="11" t="s">
        <v>23</v>
      </c>
      <c r="I6696" s="12" t="n">
        <v>19</v>
      </c>
      <c r="J6696" s="13" t="n">
        <v>56</v>
      </c>
      <c r="K6696" s="14" t="n">
        <f aca="false">I6696*J6696</f>
        <v>1064</v>
      </c>
      <c r="L6696" s="14" t="n">
        <f aca="false">($L$2*M6696)/100</f>
        <v>588816.585</v>
      </c>
      <c r="M6696" s="15" t="n">
        <v>0.49</v>
      </c>
      <c r="N6696" s="9" t="s">
        <v>85</v>
      </c>
    </row>
    <row r="6697" customFormat="false" ht="14.25" hidden="false" customHeight="true" outlineLevel="0" collapsed="false">
      <c r="B6697" s="9" t="s">
        <v>36</v>
      </c>
      <c r="C6697" s="9" t="n">
        <v>1197831</v>
      </c>
      <c r="D6697" s="10" t="n">
        <v>44212</v>
      </c>
      <c r="E6697" s="9" t="s">
        <v>29</v>
      </c>
      <c r="F6697" s="9" t="s">
        <v>106</v>
      </c>
      <c r="G6697" s="9" t="s">
        <v>107</v>
      </c>
      <c r="H6697" s="11" t="s">
        <v>24</v>
      </c>
      <c r="I6697" s="12" t="n">
        <v>33</v>
      </c>
      <c r="J6697" s="13" t="n">
        <v>65</v>
      </c>
      <c r="K6697" s="14" t="n">
        <f aca="false">I6697*J6697</f>
        <v>2145</v>
      </c>
      <c r="L6697" s="14" t="n">
        <f aca="false">($L$2*M6697)/100</f>
        <v>576799.92</v>
      </c>
      <c r="M6697" s="15" t="n">
        <v>0.48</v>
      </c>
      <c r="N6697" s="9" t="s">
        <v>85</v>
      </c>
    </row>
    <row r="6698" customFormat="false" ht="14.25" hidden="false" customHeight="true" outlineLevel="0" collapsed="false">
      <c r="B6698" s="9" t="s">
        <v>36</v>
      </c>
      <c r="C6698" s="9" t="n">
        <v>1197831</v>
      </c>
      <c r="D6698" s="10" t="n">
        <v>44212</v>
      </c>
      <c r="E6698" s="9" t="s">
        <v>29</v>
      </c>
      <c r="F6698" s="9" t="s">
        <v>106</v>
      </c>
      <c r="G6698" s="9" t="s">
        <v>107</v>
      </c>
      <c r="H6698" s="11" t="s">
        <v>25</v>
      </c>
      <c r="I6698" s="12" t="n">
        <v>23</v>
      </c>
      <c r="J6698" s="13" t="n">
        <v>102</v>
      </c>
      <c r="K6698" s="14" t="n">
        <f aca="false">I6698*J6698</f>
        <v>2346</v>
      </c>
      <c r="L6698" s="14" t="n">
        <f aca="false">($L$2*M6698)/100</f>
        <v>600833.25</v>
      </c>
      <c r="M6698" s="15" t="n">
        <v>0.5</v>
      </c>
      <c r="N6698" s="9" t="s">
        <v>85</v>
      </c>
    </row>
    <row r="6699" customFormat="false" ht="14.25" hidden="false" customHeight="true" outlineLevel="0" collapsed="false">
      <c r="B6699" s="9" t="s">
        <v>36</v>
      </c>
      <c r="C6699" s="9" t="n">
        <v>1197831</v>
      </c>
      <c r="D6699" s="10" t="n">
        <v>44241</v>
      </c>
      <c r="E6699" s="9" t="s">
        <v>29</v>
      </c>
      <c r="F6699" s="9" t="s">
        <v>106</v>
      </c>
      <c r="G6699" s="9" t="s">
        <v>107</v>
      </c>
      <c r="H6699" s="11" t="s">
        <v>19</v>
      </c>
      <c r="I6699" s="12" t="n">
        <v>23</v>
      </c>
      <c r="J6699" s="13" t="n">
        <v>162</v>
      </c>
      <c r="K6699" s="14" t="n">
        <f aca="false">I6699*J6699</f>
        <v>3726</v>
      </c>
      <c r="L6699" s="14" t="n">
        <f aca="false">($L$2*M6699)/100</f>
        <v>564783.255</v>
      </c>
      <c r="M6699" s="15" t="n">
        <v>0.47</v>
      </c>
      <c r="N6699" s="9" t="s">
        <v>85</v>
      </c>
    </row>
    <row r="6700" customFormat="false" ht="14.25" hidden="false" customHeight="true" outlineLevel="0" collapsed="false">
      <c r="B6700" s="9" t="s">
        <v>36</v>
      </c>
      <c r="C6700" s="9" t="n">
        <v>1197831</v>
      </c>
      <c r="D6700" s="10" t="n">
        <v>44241</v>
      </c>
      <c r="E6700" s="9" t="s">
        <v>29</v>
      </c>
      <c r="F6700" s="9" t="s">
        <v>106</v>
      </c>
      <c r="G6700" s="9" t="s">
        <v>107</v>
      </c>
      <c r="H6700" s="11" t="s">
        <v>21</v>
      </c>
      <c r="I6700" s="12" t="n">
        <v>23</v>
      </c>
      <c r="J6700" s="13" t="n">
        <v>65</v>
      </c>
      <c r="K6700" s="14" t="n">
        <f aca="false">I6700*J6700</f>
        <v>1495</v>
      </c>
      <c r="L6700" s="14" t="n">
        <f aca="false">($L$2*M6700)/100</f>
        <v>600833.25</v>
      </c>
      <c r="M6700" s="15" t="n">
        <v>0.5</v>
      </c>
      <c r="N6700" s="9" t="s">
        <v>85</v>
      </c>
    </row>
    <row r="6701" customFormat="false" ht="14.25" hidden="false" customHeight="true" outlineLevel="0" collapsed="false">
      <c r="B6701" s="9" t="s">
        <v>36</v>
      </c>
      <c r="C6701" s="9" t="n">
        <v>1197831</v>
      </c>
      <c r="D6701" s="10" t="n">
        <v>44241</v>
      </c>
      <c r="E6701" s="9" t="s">
        <v>29</v>
      </c>
      <c r="F6701" s="9" t="s">
        <v>106</v>
      </c>
      <c r="G6701" s="9" t="s">
        <v>107</v>
      </c>
      <c r="H6701" s="11" t="s">
        <v>22</v>
      </c>
      <c r="I6701" s="12" t="n">
        <v>14</v>
      </c>
      <c r="J6701" s="13" t="n">
        <v>75</v>
      </c>
      <c r="K6701" s="14" t="n">
        <f aca="false">I6701*J6701</f>
        <v>1050</v>
      </c>
      <c r="L6701" s="14" t="n">
        <f aca="false">($L$2*M6701)/100</f>
        <v>588816.585</v>
      </c>
      <c r="M6701" s="15" t="n">
        <v>0.49</v>
      </c>
      <c r="N6701" s="9" t="s">
        <v>85</v>
      </c>
    </row>
    <row r="6702" customFormat="false" ht="14.25" hidden="false" customHeight="true" outlineLevel="0" collapsed="false">
      <c r="B6702" s="9" t="s">
        <v>36</v>
      </c>
      <c r="C6702" s="9" t="n">
        <v>1197831</v>
      </c>
      <c r="D6702" s="10" t="n">
        <v>44241</v>
      </c>
      <c r="E6702" s="9" t="s">
        <v>38</v>
      </c>
      <c r="F6702" s="9" t="s">
        <v>108</v>
      </c>
      <c r="G6702" s="9" t="s">
        <v>109</v>
      </c>
      <c r="H6702" s="11" t="s">
        <v>23</v>
      </c>
      <c r="I6702" s="12" t="n">
        <v>20</v>
      </c>
      <c r="J6702" s="13" t="n">
        <v>42</v>
      </c>
      <c r="K6702" s="14" t="n">
        <f aca="false">I6702*J6702</f>
        <v>840</v>
      </c>
      <c r="L6702" s="14" t="n">
        <f aca="false">($L$2*M6702)/100</f>
        <v>540749.925</v>
      </c>
      <c r="M6702" s="15" t="n">
        <v>0.45</v>
      </c>
      <c r="N6702" s="9" t="s">
        <v>85</v>
      </c>
    </row>
    <row r="6703" customFormat="false" ht="14.25" hidden="false" customHeight="true" outlineLevel="0" collapsed="false">
      <c r="B6703" s="9" t="s">
        <v>36</v>
      </c>
      <c r="C6703" s="9" t="n">
        <v>1197831</v>
      </c>
      <c r="D6703" s="10" t="n">
        <v>44241</v>
      </c>
      <c r="E6703" s="9" t="s">
        <v>38</v>
      </c>
      <c r="F6703" s="9" t="s">
        <v>108</v>
      </c>
      <c r="G6703" s="9" t="s">
        <v>109</v>
      </c>
      <c r="H6703" s="11" t="s">
        <v>24</v>
      </c>
      <c r="I6703" s="12" t="n">
        <v>32</v>
      </c>
      <c r="J6703" s="13" t="n">
        <v>68</v>
      </c>
      <c r="K6703" s="14" t="n">
        <f aca="false">I6703*J6703</f>
        <v>2176</v>
      </c>
      <c r="L6703" s="14" t="n">
        <f aca="false">($L$2*M6703)/100</f>
        <v>576799.92</v>
      </c>
      <c r="M6703" s="15" t="n">
        <v>0.48</v>
      </c>
      <c r="N6703" s="9" t="s">
        <v>85</v>
      </c>
    </row>
    <row r="6704" customFormat="false" ht="14.25" hidden="false" customHeight="true" outlineLevel="0" collapsed="false">
      <c r="B6704" s="9" t="s">
        <v>36</v>
      </c>
      <c r="C6704" s="9" t="n">
        <v>1197831</v>
      </c>
      <c r="D6704" s="10" t="n">
        <v>44241</v>
      </c>
      <c r="E6704" s="9" t="s">
        <v>38</v>
      </c>
      <c r="F6704" s="9" t="s">
        <v>108</v>
      </c>
      <c r="G6704" s="9" t="s">
        <v>109</v>
      </c>
      <c r="H6704" s="11" t="s">
        <v>25</v>
      </c>
      <c r="I6704" s="12" t="n">
        <v>18</v>
      </c>
      <c r="J6704" s="13" t="n">
        <v>98</v>
      </c>
      <c r="K6704" s="14" t="n">
        <f aca="false">I6704*J6704</f>
        <v>1764</v>
      </c>
      <c r="L6704" s="14" t="n">
        <f aca="false">($L$2*M6704)/100</f>
        <v>588816.585</v>
      </c>
      <c r="M6704" s="15" t="n">
        <v>0.49</v>
      </c>
      <c r="N6704" s="9" t="s">
        <v>85</v>
      </c>
    </row>
    <row r="6705" customFormat="false" ht="14.25" hidden="false" customHeight="true" outlineLevel="0" collapsed="false">
      <c r="B6705" s="9" t="s">
        <v>36</v>
      </c>
      <c r="C6705" s="9" t="n">
        <v>1197831</v>
      </c>
      <c r="D6705" s="10" t="n">
        <v>44267</v>
      </c>
      <c r="E6705" s="9" t="s">
        <v>38</v>
      </c>
      <c r="F6705" s="9" t="s">
        <v>108</v>
      </c>
      <c r="G6705" s="9" t="s">
        <v>109</v>
      </c>
      <c r="H6705" s="11" t="s">
        <v>19</v>
      </c>
      <c r="I6705" s="12" t="n">
        <v>20</v>
      </c>
      <c r="J6705" s="13" t="n">
        <v>153</v>
      </c>
      <c r="K6705" s="14" t="n">
        <f aca="false">I6705*J6705</f>
        <v>3060</v>
      </c>
      <c r="L6705" s="14" t="n">
        <f aca="false">($L$2*M6705)/100</f>
        <v>588816.585</v>
      </c>
      <c r="M6705" s="15" t="n">
        <v>0.49</v>
      </c>
      <c r="N6705" s="9" t="s">
        <v>85</v>
      </c>
    </row>
    <row r="6706" customFormat="false" ht="14.25" hidden="false" customHeight="true" outlineLevel="0" collapsed="false">
      <c r="B6706" s="9" t="s">
        <v>36</v>
      </c>
      <c r="C6706" s="9" t="n">
        <v>1197831</v>
      </c>
      <c r="D6706" s="10" t="n">
        <v>44267</v>
      </c>
      <c r="E6706" s="9" t="s">
        <v>38</v>
      </c>
      <c r="F6706" s="9" t="s">
        <v>108</v>
      </c>
      <c r="G6706" s="9" t="s">
        <v>109</v>
      </c>
      <c r="H6706" s="11" t="s">
        <v>21</v>
      </c>
      <c r="I6706" s="12" t="n">
        <v>19</v>
      </c>
      <c r="J6706" s="13" t="n">
        <v>59</v>
      </c>
      <c r="K6706" s="14" t="n">
        <f aca="false">I6706*J6706</f>
        <v>1121</v>
      </c>
      <c r="L6706" s="14" t="n">
        <f aca="false">($L$2*M6706)/100</f>
        <v>564783.255</v>
      </c>
      <c r="M6706" s="15" t="n">
        <v>0.47</v>
      </c>
      <c r="N6706" s="9" t="s">
        <v>85</v>
      </c>
    </row>
    <row r="6707" customFormat="false" ht="14.25" hidden="false" customHeight="true" outlineLevel="0" collapsed="false">
      <c r="B6707" s="9" t="s">
        <v>36</v>
      </c>
      <c r="C6707" s="9" t="n">
        <v>1197831</v>
      </c>
      <c r="D6707" s="10" t="n">
        <v>44267</v>
      </c>
      <c r="E6707" s="9" t="s">
        <v>38</v>
      </c>
      <c r="F6707" s="9" t="s">
        <v>108</v>
      </c>
      <c r="G6707" s="9" t="s">
        <v>109</v>
      </c>
      <c r="H6707" s="11" t="s">
        <v>22</v>
      </c>
      <c r="I6707" s="12" t="n">
        <v>9</v>
      </c>
      <c r="J6707" s="13" t="n">
        <v>75</v>
      </c>
      <c r="K6707" s="14" t="n">
        <f aca="false">I6707*J6707</f>
        <v>675</v>
      </c>
      <c r="L6707" s="14" t="n">
        <f aca="false">($L$2*M6707)/100</f>
        <v>552766.59</v>
      </c>
      <c r="M6707" s="15" t="n">
        <v>0.46</v>
      </c>
      <c r="N6707" s="9" t="s">
        <v>85</v>
      </c>
    </row>
    <row r="6708" customFormat="false" ht="14.25" hidden="false" customHeight="true" outlineLevel="0" collapsed="false">
      <c r="B6708" s="9" t="s">
        <v>36</v>
      </c>
      <c r="C6708" s="9" t="n">
        <v>1197831</v>
      </c>
      <c r="D6708" s="10" t="n">
        <v>44267</v>
      </c>
      <c r="E6708" s="9" t="s">
        <v>38</v>
      </c>
      <c r="F6708" s="9" t="s">
        <v>108</v>
      </c>
      <c r="G6708" s="9" t="s">
        <v>109</v>
      </c>
      <c r="H6708" s="11" t="s">
        <v>23</v>
      </c>
      <c r="I6708" s="12" t="n">
        <v>20</v>
      </c>
      <c r="J6708" s="13" t="n">
        <v>26</v>
      </c>
      <c r="K6708" s="14" t="n">
        <f aca="false">I6708*J6708</f>
        <v>520</v>
      </c>
      <c r="L6708" s="14" t="n">
        <f aca="false">($L$2*M6708)/100</f>
        <v>576799.92</v>
      </c>
      <c r="M6708" s="15" t="n">
        <v>0.48</v>
      </c>
      <c r="N6708" s="9" t="s">
        <v>85</v>
      </c>
    </row>
    <row r="6709" customFormat="false" ht="14.25" hidden="false" customHeight="true" outlineLevel="0" collapsed="false">
      <c r="B6709" s="9" t="s">
        <v>36</v>
      </c>
      <c r="C6709" s="9" t="n">
        <v>1197831</v>
      </c>
      <c r="D6709" s="10" t="n">
        <v>44267</v>
      </c>
      <c r="E6709" s="9" t="s">
        <v>38</v>
      </c>
      <c r="F6709" s="9" t="s">
        <v>108</v>
      </c>
      <c r="G6709" s="9" t="s">
        <v>109</v>
      </c>
      <c r="H6709" s="11" t="s">
        <v>24</v>
      </c>
      <c r="I6709" s="12" t="n">
        <v>32</v>
      </c>
      <c r="J6709" s="13" t="n">
        <v>41</v>
      </c>
      <c r="K6709" s="14" t="n">
        <f aca="false">I6709*J6709</f>
        <v>1312</v>
      </c>
      <c r="L6709" s="14" t="n">
        <f aca="false">($L$2*M6709)/100</f>
        <v>552766.59</v>
      </c>
      <c r="M6709" s="15" t="n">
        <v>0.46</v>
      </c>
      <c r="N6709" s="9" t="s">
        <v>85</v>
      </c>
    </row>
    <row r="6710" customFormat="false" ht="14.25" hidden="false" customHeight="true" outlineLevel="0" collapsed="false">
      <c r="B6710" s="9" t="s">
        <v>36</v>
      </c>
      <c r="C6710" s="9" t="n">
        <v>1197831</v>
      </c>
      <c r="D6710" s="10" t="n">
        <v>44267</v>
      </c>
      <c r="E6710" s="9" t="s">
        <v>38</v>
      </c>
      <c r="F6710" s="9" t="s">
        <v>108</v>
      </c>
      <c r="G6710" s="9" t="s">
        <v>109</v>
      </c>
      <c r="H6710" s="11" t="s">
        <v>25</v>
      </c>
      <c r="I6710" s="12" t="n">
        <v>23</v>
      </c>
      <c r="J6710" s="13" t="n">
        <v>65</v>
      </c>
      <c r="K6710" s="14" t="n">
        <f aca="false">I6710*J6710</f>
        <v>1495</v>
      </c>
      <c r="L6710" s="14" t="n">
        <f aca="false">($L$2*M6710)/100</f>
        <v>600833.25</v>
      </c>
      <c r="M6710" s="15" t="n">
        <v>0.5</v>
      </c>
      <c r="N6710" s="9" t="s">
        <v>85</v>
      </c>
    </row>
    <row r="6711" customFormat="false" ht="14.25" hidden="false" customHeight="true" outlineLevel="0" collapsed="false">
      <c r="B6711" s="9" t="s">
        <v>36</v>
      </c>
      <c r="C6711" s="9" t="n">
        <v>1197831</v>
      </c>
      <c r="D6711" s="10" t="n">
        <v>44299</v>
      </c>
      <c r="E6711" s="9" t="s">
        <v>38</v>
      </c>
      <c r="F6711" s="9" t="s">
        <v>108</v>
      </c>
      <c r="G6711" s="9" t="s">
        <v>109</v>
      </c>
      <c r="H6711" s="11" t="s">
        <v>19</v>
      </c>
      <c r="I6711" s="12" t="n">
        <v>24</v>
      </c>
      <c r="J6711" s="13" t="n">
        <v>150</v>
      </c>
      <c r="K6711" s="14" t="n">
        <f aca="false">I6711*J6711</f>
        <v>3600</v>
      </c>
      <c r="L6711" s="14" t="n">
        <f aca="false">($L$2*M6711)/100</f>
        <v>540749.925</v>
      </c>
      <c r="M6711" s="15" t="n">
        <v>0.45</v>
      </c>
      <c r="N6711" s="9" t="s">
        <v>85</v>
      </c>
    </row>
    <row r="6712" customFormat="false" ht="14.25" hidden="false" customHeight="true" outlineLevel="0" collapsed="false">
      <c r="B6712" s="9" t="s">
        <v>36</v>
      </c>
      <c r="C6712" s="9" t="n">
        <v>1197831</v>
      </c>
      <c r="D6712" s="10" t="n">
        <v>44299</v>
      </c>
      <c r="E6712" s="9" t="s">
        <v>38</v>
      </c>
      <c r="F6712" s="9" t="s">
        <v>108</v>
      </c>
      <c r="G6712" s="9" t="s">
        <v>109</v>
      </c>
      <c r="H6712" s="11" t="s">
        <v>21</v>
      </c>
      <c r="I6712" s="12" t="n">
        <v>25</v>
      </c>
      <c r="J6712" s="13" t="n">
        <v>58</v>
      </c>
      <c r="K6712" s="14" t="n">
        <f aca="false">I6712*J6712</f>
        <v>1450</v>
      </c>
      <c r="L6712" s="14" t="n">
        <f aca="false">($L$2*M6712)/100</f>
        <v>576799.92</v>
      </c>
      <c r="M6712" s="15" t="n">
        <v>0.48</v>
      </c>
      <c r="N6712" s="9" t="s">
        <v>85</v>
      </c>
    </row>
    <row r="6713" customFormat="false" ht="14.25" hidden="false" customHeight="true" outlineLevel="0" collapsed="false">
      <c r="B6713" s="9" t="s">
        <v>36</v>
      </c>
      <c r="C6713" s="9" t="n">
        <v>1197831</v>
      </c>
      <c r="D6713" s="10" t="n">
        <v>44299</v>
      </c>
      <c r="E6713" s="9" t="s">
        <v>38</v>
      </c>
      <c r="F6713" s="9" t="s">
        <v>108</v>
      </c>
      <c r="G6713" s="9" t="s">
        <v>109</v>
      </c>
      <c r="H6713" s="11" t="s">
        <v>22</v>
      </c>
      <c r="I6713" s="12" t="n">
        <v>14</v>
      </c>
      <c r="J6713" s="13" t="n">
        <v>60</v>
      </c>
      <c r="K6713" s="14" t="n">
        <f aca="false">I6713*J6713</f>
        <v>840</v>
      </c>
      <c r="L6713" s="14" t="n">
        <f aca="false">($L$2*M6713)/100</f>
        <v>600833.25</v>
      </c>
      <c r="M6713" s="15" t="n">
        <v>0.5</v>
      </c>
      <c r="N6713" s="9" t="s">
        <v>85</v>
      </c>
    </row>
    <row r="6714" customFormat="false" ht="14.25" hidden="false" customHeight="true" outlineLevel="0" collapsed="false">
      <c r="B6714" s="9" t="s">
        <v>36</v>
      </c>
      <c r="C6714" s="9" t="n">
        <v>1197831</v>
      </c>
      <c r="D6714" s="10" t="n">
        <v>44299</v>
      </c>
      <c r="E6714" s="9" t="s">
        <v>38</v>
      </c>
      <c r="F6714" s="9" t="s">
        <v>108</v>
      </c>
      <c r="G6714" s="9" t="s">
        <v>109</v>
      </c>
      <c r="H6714" s="11" t="s">
        <v>23</v>
      </c>
      <c r="I6714" s="12" t="n">
        <v>19</v>
      </c>
      <c r="J6714" s="13" t="n">
        <v>35</v>
      </c>
      <c r="K6714" s="14" t="n">
        <f aca="false">I6714*J6714</f>
        <v>665</v>
      </c>
      <c r="L6714" s="14" t="n">
        <f aca="false">($L$2*M6714)/100</f>
        <v>540749.925</v>
      </c>
      <c r="M6714" s="15" t="n">
        <v>0.45</v>
      </c>
      <c r="N6714" s="9" t="s">
        <v>85</v>
      </c>
    </row>
    <row r="6715" customFormat="false" ht="14.25" hidden="false" customHeight="true" outlineLevel="0" collapsed="false">
      <c r="B6715" s="9" t="s">
        <v>36</v>
      </c>
      <c r="C6715" s="9" t="n">
        <v>1197831</v>
      </c>
      <c r="D6715" s="10" t="n">
        <v>44299</v>
      </c>
      <c r="E6715" s="9" t="s">
        <v>38</v>
      </c>
      <c r="F6715" s="9" t="s">
        <v>108</v>
      </c>
      <c r="G6715" s="9" t="s">
        <v>109</v>
      </c>
      <c r="H6715" s="11" t="s">
        <v>24</v>
      </c>
      <c r="I6715" s="12" t="n">
        <v>39</v>
      </c>
      <c r="J6715" s="13" t="n">
        <v>38</v>
      </c>
      <c r="K6715" s="14" t="n">
        <f aca="false">I6715*J6715</f>
        <v>1482</v>
      </c>
      <c r="L6715" s="14" t="n">
        <f aca="false">($L$2*M6715)/100</f>
        <v>588816.585</v>
      </c>
      <c r="M6715" s="15" t="n">
        <v>0.49</v>
      </c>
      <c r="N6715" s="9" t="s">
        <v>85</v>
      </c>
    </row>
    <row r="6716" customFormat="false" ht="14.25" hidden="false" customHeight="true" outlineLevel="0" collapsed="false">
      <c r="B6716" s="9" t="s">
        <v>36</v>
      </c>
      <c r="C6716" s="9" t="n">
        <v>1197831</v>
      </c>
      <c r="D6716" s="10" t="n">
        <v>44299</v>
      </c>
      <c r="E6716" s="9" t="s">
        <v>38</v>
      </c>
      <c r="F6716" s="9" t="s">
        <v>108</v>
      </c>
      <c r="G6716" s="9" t="s">
        <v>109</v>
      </c>
      <c r="H6716" s="11" t="s">
        <v>25</v>
      </c>
      <c r="I6716" s="12" t="n">
        <v>29</v>
      </c>
      <c r="J6716" s="13" t="n">
        <v>81</v>
      </c>
      <c r="K6716" s="14" t="n">
        <f aca="false">I6716*J6716</f>
        <v>2349</v>
      </c>
      <c r="L6716" s="14" t="n">
        <f aca="false">($L$2*M6716)/100</f>
        <v>588816.585</v>
      </c>
      <c r="M6716" s="15" t="n">
        <v>0.49</v>
      </c>
      <c r="N6716" s="9" t="s">
        <v>85</v>
      </c>
    </row>
    <row r="6717" customFormat="false" ht="14.25" hidden="false" customHeight="true" outlineLevel="0" collapsed="false">
      <c r="B6717" s="9" t="s">
        <v>36</v>
      </c>
      <c r="C6717" s="9" t="n">
        <v>1197831</v>
      </c>
      <c r="D6717" s="10" t="n">
        <v>44328</v>
      </c>
      <c r="E6717" s="9" t="s">
        <v>38</v>
      </c>
      <c r="F6717" s="9" t="s">
        <v>108</v>
      </c>
      <c r="G6717" s="9" t="s">
        <v>109</v>
      </c>
      <c r="H6717" s="11" t="s">
        <v>19</v>
      </c>
      <c r="I6717" s="12" t="n">
        <v>36</v>
      </c>
      <c r="J6717" s="13" t="n">
        <v>143</v>
      </c>
      <c r="K6717" s="14" t="n">
        <f aca="false">I6717*J6717</f>
        <v>5148</v>
      </c>
      <c r="L6717" s="14" t="n">
        <f aca="false">($L$2*M6717)/100</f>
        <v>540749.925</v>
      </c>
      <c r="M6717" s="15" t="n">
        <v>0.45</v>
      </c>
      <c r="N6717" s="9" t="s">
        <v>85</v>
      </c>
    </row>
    <row r="6718" customFormat="false" ht="14.25" hidden="false" customHeight="true" outlineLevel="0" collapsed="false">
      <c r="B6718" s="9" t="s">
        <v>36</v>
      </c>
      <c r="C6718" s="9" t="n">
        <v>1197831</v>
      </c>
      <c r="D6718" s="10" t="n">
        <v>44328</v>
      </c>
      <c r="E6718" s="9" t="s">
        <v>38</v>
      </c>
      <c r="F6718" s="9" t="s">
        <v>108</v>
      </c>
      <c r="G6718" s="9" t="s">
        <v>109</v>
      </c>
      <c r="H6718" s="11" t="s">
        <v>21</v>
      </c>
      <c r="I6718" s="12" t="n">
        <v>39</v>
      </c>
      <c r="J6718" s="13" t="n">
        <v>77</v>
      </c>
      <c r="K6718" s="14" t="n">
        <f aca="false">I6718*J6718</f>
        <v>3003</v>
      </c>
      <c r="L6718" s="14" t="n">
        <f aca="false">($L$2*M6718)/100</f>
        <v>576799.92</v>
      </c>
      <c r="M6718" s="15" t="n">
        <v>0.48</v>
      </c>
      <c r="N6718" s="9" t="s">
        <v>85</v>
      </c>
    </row>
    <row r="6719" customFormat="false" ht="14.25" hidden="false" customHeight="true" outlineLevel="0" collapsed="false">
      <c r="B6719" s="9" t="s">
        <v>36</v>
      </c>
      <c r="C6719" s="9" t="n">
        <v>1197831</v>
      </c>
      <c r="D6719" s="10" t="n">
        <v>44328</v>
      </c>
      <c r="E6719" s="9" t="s">
        <v>38</v>
      </c>
      <c r="F6719" s="9" t="s">
        <v>108</v>
      </c>
      <c r="G6719" s="9" t="s">
        <v>109</v>
      </c>
      <c r="H6719" s="11" t="s">
        <v>22</v>
      </c>
      <c r="I6719" s="12" t="n">
        <v>32</v>
      </c>
      <c r="J6719" s="13" t="n">
        <v>65</v>
      </c>
      <c r="K6719" s="14" t="n">
        <f aca="false">I6719*J6719</f>
        <v>2080</v>
      </c>
      <c r="L6719" s="14" t="n">
        <f aca="false">($L$2*M6719)/100</f>
        <v>588816.585</v>
      </c>
      <c r="M6719" s="15" t="n">
        <v>0.49</v>
      </c>
      <c r="N6719" s="9" t="s">
        <v>85</v>
      </c>
    </row>
    <row r="6720" customFormat="false" ht="14.25" hidden="false" customHeight="true" outlineLevel="0" collapsed="false">
      <c r="B6720" s="9" t="s">
        <v>36</v>
      </c>
      <c r="C6720" s="9" t="n">
        <v>1197831</v>
      </c>
      <c r="D6720" s="10" t="n">
        <v>44328</v>
      </c>
      <c r="E6720" s="9" t="s">
        <v>38</v>
      </c>
      <c r="F6720" s="9" t="s">
        <v>108</v>
      </c>
      <c r="G6720" s="9" t="s">
        <v>109</v>
      </c>
      <c r="H6720" s="11" t="s">
        <v>23</v>
      </c>
      <c r="I6720" s="12" t="n">
        <v>32</v>
      </c>
      <c r="J6720" s="13" t="n">
        <v>58</v>
      </c>
      <c r="K6720" s="14" t="n">
        <f aca="false">I6720*J6720</f>
        <v>1856</v>
      </c>
      <c r="L6720" s="14" t="n">
        <f aca="false">($L$2*M6720)/100</f>
        <v>600833.25</v>
      </c>
      <c r="M6720" s="15" t="n">
        <v>0.5</v>
      </c>
      <c r="N6720" s="9" t="s">
        <v>85</v>
      </c>
    </row>
    <row r="6721" customFormat="false" ht="14.25" hidden="false" customHeight="true" outlineLevel="0" collapsed="false">
      <c r="B6721" s="9" t="s">
        <v>36</v>
      </c>
      <c r="C6721" s="9" t="n">
        <v>1197831</v>
      </c>
      <c r="D6721" s="10" t="n">
        <v>44328</v>
      </c>
      <c r="E6721" s="9" t="s">
        <v>38</v>
      </c>
      <c r="F6721" s="9" t="s">
        <v>108</v>
      </c>
      <c r="G6721" s="9" t="s">
        <v>109</v>
      </c>
      <c r="H6721" s="11" t="s">
        <v>24</v>
      </c>
      <c r="I6721" s="12" t="n">
        <v>43</v>
      </c>
      <c r="J6721" s="13" t="n">
        <v>56</v>
      </c>
      <c r="K6721" s="14" t="n">
        <f aca="false">I6721*J6721</f>
        <v>2408</v>
      </c>
      <c r="L6721" s="14" t="n">
        <f aca="false">($L$2*M6721)/100</f>
        <v>600833.25</v>
      </c>
      <c r="M6721" s="15" t="n">
        <v>0.5</v>
      </c>
      <c r="N6721" s="9" t="s">
        <v>85</v>
      </c>
    </row>
    <row r="6722" customFormat="false" ht="14.25" hidden="false" customHeight="true" outlineLevel="0" collapsed="false">
      <c r="B6722" s="9" t="s">
        <v>36</v>
      </c>
      <c r="C6722" s="9" t="n">
        <v>1197831</v>
      </c>
      <c r="D6722" s="10" t="n">
        <v>44328</v>
      </c>
      <c r="E6722" s="9" t="s">
        <v>38</v>
      </c>
      <c r="F6722" s="9" t="s">
        <v>108</v>
      </c>
      <c r="G6722" s="9" t="s">
        <v>109</v>
      </c>
      <c r="H6722" s="11" t="s">
        <v>25</v>
      </c>
      <c r="I6722" s="12" t="n">
        <v>42</v>
      </c>
      <c r="J6722" s="13" t="n">
        <v>94</v>
      </c>
      <c r="K6722" s="14" t="n">
        <f aca="false">I6722*J6722</f>
        <v>3948</v>
      </c>
      <c r="L6722" s="14" t="n">
        <f aca="false">($L$2*M6722)/100</f>
        <v>540749.925</v>
      </c>
      <c r="M6722" s="15" t="n">
        <v>0.45</v>
      </c>
      <c r="N6722" s="9" t="s">
        <v>85</v>
      </c>
    </row>
    <row r="6723" customFormat="false" ht="14.25" hidden="false" customHeight="true" outlineLevel="0" collapsed="false">
      <c r="B6723" s="9" t="s">
        <v>36</v>
      </c>
      <c r="C6723" s="9" t="n">
        <v>1197831</v>
      </c>
      <c r="D6723" s="10" t="n">
        <v>44361</v>
      </c>
      <c r="E6723" s="9" t="s">
        <v>38</v>
      </c>
      <c r="F6723" s="9" t="s">
        <v>108</v>
      </c>
      <c r="G6723" s="9" t="s">
        <v>109</v>
      </c>
      <c r="H6723" s="11" t="s">
        <v>19</v>
      </c>
      <c r="I6723" s="12" t="n">
        <v>37</v>
      </c>
      <c r="J6723" s="13" t="n">
        <v>144</v>
      </c>
      <c r="K6723" s="14" t="n">
        <f aca="false">I6723*J6723</f>
        <v>5328</v>
      </c>
      <c r="L6723" s="14" t="n">
        <f aca="false">($L$2*M6723)/100</f>
        <v>600833.25</v>
      </c>
      <c r="M6723" s="15" t="n">
        <v>0.5</v>
      </c>
      <c r="N6723" s="9" t="s">
        <v>85</v>
      </c>
    </row>
    <row r="6724" customFormat="false" ht="14.25" hidden="false" customHeight="true" outlineLevel="0" collapsed="false">
      <c r="B6724" s="9" t="s">
        <v>36</v>
      </c>
      <c r="C6724" s="9" t="n">
        <v>1197831</v>
      </c>
      <c r="D6724" s="10" t="n">
        <v>44361</v>
      </c>
      <c r="E6724" s="9" t="s">
        <v>38</v>
      </c>
      <c r="F6724" s="9" t="s">
        <v>108</v>
      </c>
      <c r="G6724" s="9" t="s">
        <v>109</v>
      </c>
      <c r="H6724" s="11" t="s">
        <v>21</v>
      </c>
      <c r="I6724" s="12" t="n">
        <v>32</v>
      </c>
      <c r="J6724" s="13" t="n">
        <v>94</v>
      </c>
      <c r="K6724" s="14" t="n">
        <f aca="false">I6724*J6724</f>
        <v>3008</v>
      </c>
      <c r="L6724" s="14" t="n">
        <f aca="false">($L$2*M6724)/100</f>
        <v>576799.92</v>
      </c>
      <c r="M6724" s="15" t="n">
        <v>0.48</v>
      </c>
      <c r="N6724" s="9" t="s">
        <v>85</v>
      </c>
    </row>
    <row r="6725" customFormat="false" ht="14.25" hidden="false" customHeight="true" outlineLevel="0" collapsed="false">
      <c r="B6725" s="9" t="s">
        <v>36</v>
      </c>
      <c r="C6725" s="9" t="n">
        <v>1197831</v>
      </c>
      <c r="D6725" s="10" t="n">
        <v>44361</v>
      </c>
      <c r="E6725" s="9" t="s">
        <v>38</v>
      </c>
      <c r="F6725" s="9" t="s">
        <v>108</v>
      </c>
      <c r="G6725" s="9" t="s">
        <v>109</v>
      </c>
      <c r="H6725" s="11" t="s">
        <v>22</v>
      </c>
      <c r="I6725" s="12" t="n">
        <v>37</v>
      </c>
      <c r="J6725" s="13" t="n">
        <v>81</v>
      </c>
      <c r="K6725" s="14" t="n">
        <f aca="false">I6725*J6725</f>
        <v>2997</v>
      </c>
      <c r="L6725" s="14" t="n">
        <f aca="false">($L$2*M6725)/100</f>
        <v>552766.59</v>
      </c>
      <c r="M6725" s="15" t="n">
        <v>0.46</v>
      </c>
      <c r="N6725" s="9" t="s">
        <v>85</v>
      </c>
    </row>
    <row r="6726" customFormat="false" ht="14.25" hidden="false" customHeight="true" outlineLevel="0" collapsed="false">
      <c r="B6726" s="9" t="s">
        <v>36</v>
      </c>
      <c r="C6726" s="9" t="n">
        <v>1197831</v>
      </c>
      <c r="D6726" s="10" t="n">
        <v>44361</v>
      </c>
      <c r="E6726" s="9" t="s">
        <v>38</v>
      </c>
      <c r="F6726" s="9" t="s">
        <v>108</v>
      </c>
      <c r="G6726" s="9" t="s">
        <v>109</v>
      </c>
      <c r="H6726" s="11" t="s">
        <v>23</v>
      </c>
      <c r="I6726" s="12" t="n">
        <v>38</v>
      </c>
      <c r="J6726" s="13" t="n">
        <v>80</v>
      </c>
      <c r="K6726" s="14" t="n">
        <f aca="false">I6726*J6726</f>
        <v>3040</v>
      </c>
      <c r="L6726" s="14" t="n">
        <f aca="false">($L$2*M6726)/100</f>
        <v>540749.925</v>
      </c>
      <c r="M6726" s="15" t="n">
        <v>0.45</v>
      </c>
      <c r="N6726" s="9" t="s">
        <v>85</v>
      </c>
    </row>
    <row r="6727" customFormat="false" ht="14.25" hidden="false" customHeight="true" outlineLevel="0" collapsed="false">
      <c r="B6727" s="9" t="s">
        <v>36</v>
      </c>
      <c r="C6727" s="9" t="n">
        <v>1197831</v>
      </c>
      <c r="D6727" s="10" t="n">
        <v>44361</v>
      </c>
      <c r="E6727" s="9" t="s">
        <v>38</v>
      </c>
      <c r="F6727" s="9" t="s">
        <v>108</v>
      </c>
      <c r="G6727" s="9" t="s">
        <v>109</v>
      </c>
      <c r="H6727" s="11" t="s">
        <v>24</v>
      </c>
      <c r="I6727" s="12" t="n">
        <v>54</v>
      </c>
      <c r="J6727" s="13" t="n">
        <v>83</v>
      </c>
      <c r="K6727" s="14" t="n">
        <f aca="false">I6727*J6727</f>
        <v>4482</v>
      </c>
      <c r="L6727" s="14" t="n">
        <f aca="false">($L$2*M6727)/100</f>
        <v>576799.92</v>
      </c>
      <c r="M6727" s="15" t="n">
        <v>0.48</v>
      </c>
      <c r="N6727" s="9" t="s">
        <v>85</v>
      </c>
    </row>
    <row r="6728" customFormat="false" ht="14.25" hidden="false" customHeight="true" outlineLevel="0" collapsed="false">
      <c r="B6728" s="9" t="s">
        <v>36</v>
      </c>
      <c r="C6728" s="9" t="n">
        <v>1197831</v>
      </c>
      <c r="D6728" s="10" t="n">
        <v>44361</v>
      </c>
      <c r="E6728" s="9" t="s">
        <v>38</v>
      </c>
      <c r="F6728" s="9" t="s">
        <v>108</v>
      </c>
      <c r="G6728" s="9" t="s">
        <v>109</v>
      </c>
      <c r="H6728" s="11" t="s">
        <v>25</v>
      </c>
      <c r="I6728" s="12" t="n">
        <v>58</v>
      </c>
      <c r="J6728" s="13" t="n">
        <v>117</v>
      </c>
      <c r="K6728" s="14" t="n">
        <f aca="false">I6728*J6728</f>
        <v>6786</v>
      </c>
      <c r="L6728" s="14" t="n">
        <f aca="false">($L$2*M6728)/100</f>
        <v>588816.585</v>
      </c>
      <c r="M6728" s="15" t="n">
        <v>0.49</v>
      </c>
      <c r="N6728" s="9" t="s">
        <v>85</v>
      </c>
    </row>
    <row r="6729" customFormat="false" ht="14.25" hidden="false" customHeight="true" outlineLevel="0" collapsed="false">
      <c r="B6729" s="9" t="s">
        <v>36</v>
      </c>
      <c r="C6729" s="9" t="n">
        <v>1197831</v>
      </c>
      <c r="D6729" s="10" t="n">
        <v>44389</v>
      </c>
      <c r="E6729" s="9" t="s">
        <v>38</v>
      </c>
      <c r="F6729" s="9" t="s">
        <v>108</v>
      </c>
      <c r="G6729" s="9" t="s">
        <v>109</v>
      </c>
      <c r="H6729" s="11" t="s">
        <v>19</v>
      </c>
      <c r="I6729" s="12" t="n">
        <v>51</v>
      </c>
      <c r="J6729" s="13" t="n">
        <v>182</v>
      </c>
      <c r="K6729" s="14" t="n">
        <f aca="false">I6729*J6729</f>
        <v>9282</v>
      </c>
      <c r="L6729" s="14" t="n">
        <f aca="false">($L$2*M6729)/100</f>
        <v>600833.25</v>
      </c>
      <c r="M6729" s="15" t="n">
        <v>0.5</v>
      </c>
      <c r="N6729" s="9" t="s">
        <v>85</v>
      </c>
    </row>
    <row r="6730" customFormat="false" ht="14.25" hidden="false" customHeight="true" outlineLevel="0" collapsed="false">
      <c r="B6730" s="9" t="s">
        <v>36</v>
      </c>
      <c r="C6730" s="9" t="n">
        <v>1197831</v>
      </c>
      <c r="D6730" s="10" t="n">
        <v>44389</v>
      </c>
      <c r="E6730" s="9" t="s">
        <v>38</v>
      </c>
      <c r="F6730" s="9" t="s">
        <v>108</v>
      </c>
      <c r="G6730" s="9" t="s">
        <v>109</v>
      </c>
      <c r="H6730" s="11" t="s">
        <v>21</v>
      </c>
      <c r="I6730" s="12" t="n">
        <v>49</v>
      </c>
      <c r="J6730" s="13" t="n">
        <v>119</v>
      </c>
      <c r="K6730" s="14" t="n">
        <f aca="false">I6730*J6730</f>
        <v>5831</v>
      </c>
      <c r="L6730" s="14" t="n">
        <f aca="false">($L$2*M6730)/100</f>
        <v>600833.25</v>
      </c>
      <c r="M6730" s="15" t="n">
        <v>0.5</v>
      </c>
      <c r="N6730" s="9" t="s">
        <v>85</v>
      </c>
    </row>
    <row r="6731" customFormat="false" ht="14.25" hidden="false" customHeight="true" outlineLevel="0" collapsed="false">
      <c r="B6731" s="9" t="s">
        <v>36</v>
      </c>
      <c r="C6731" s="9" t="n">
        <v>1197831</v>
      </c>
      <c r="D6731" s="10" t="n">
        <v>44389</v>
      </c>
      <c r="E6731" s="9" t="s">
        <v>38</v>
      </c>
      <c r="F6731" s="9" t="s">
        <v>108</v>
      </c>
      <c r="G6731" s="9" t="s">
        <v>109</v>
      </c>
      <c r="H6731" s="11" t="s">
        <v>22</v>
      </c>
      <c r="I6731" s="12" t="n">
        <v>42</v>
      </c>
      <c r="J6731" s="13" t="n">
        <v>102</v>
      </c>
      <c r="K6731" s="14" t="n">
        <f aca="false">I6731*J6731</f>
        <v>4284</v>
      </c>
      <c r="L6731" s="14" t="n">
        <f aca="false">($L$2*M6731)/100</f>
        <v>552766.59</v>
      </c>
      <c r="M6731" s="15" t="n">
        <v>0.46</v>
      </c>
      <c r="N6731" s="9" t="s">
        <v>85</v>
      </c>
    </row>
    <row r="6732" customFormat="false" ht="14.25" hidden="false" customHeight="true" outlineLevel="0" collapsed="false">
      <c r="B6732" s="9" t="s">
        <v>36</v>
      </c>
      <c r="C6732" s="9" t="n">
        <v>1197831</v>
      </c>
      <c r="D6732" s="10" t="n">
        <v>44389</v>
      </c>
      <c r="E6732" s="9" t="s">
        <v>38</v>
      </c>
      <c r="F6732" s="9" t="s">
        <v>108</v>
      </c>
      <c r="G6732" s="9" t="s">
        <v>109</v>
      </c>
      <c r="H6732" s="11" t="s">
        <v>23</v>
      </c>
      <c r="I6732" s="12" t="n">
        <v>43</v>
      </c>
      <c r="J6732" s="13" t="n">
        <v>75</v>
      </c>
      <c r="K6732" s="14" t="n">
        <f aca="false">I6732*J6732</f>
        <v>3225</v>
      </c>
      <c r="L6732" s="14" t="n">
        <f aca="false">($L$2*M6732)/100</f>
        <v>588816.585</v>
      </c>
      <c r="M6732" s="15" t="n">
        <v>0.49</v>
      </c>
      <c r="N6732" s="9" t="s">
        <v>85</v>
      </c>
    </row>
    <row r="6733" customFormat="false" ht="14.25" hidden="false" customHeight="true" outlineLevel="0" collapsed="false">
      <c r="B6733" s="9" t="s">
        <v>36</v>
      </c>
      <c r="C6733" s="9" t="n">
        <v>1197831</v>
      </c>
      <c r="D6733" s="10" t="n">
        <v>44389</v>
      </c>
      <c r="E6733" s="9" t="s">
        <v>38</v>
      </c>
      <c r="F6733" s="9" t="s">
        <v>108</v>
      </c>
      <c r="G6733" s="9" t="s">
        <v>109</v>
      </c>
      <c r="H6733" s="11" t="s">
        <v>24</v>
      </c>
      <c r="I6733" s="12" t="n">
        <v>56</v>
      </c>
      <c r="J6733" s="13" t="n">
        <v>91</v>
      </c>
      <c r="K6733" s="14" t="n">
        <f aca="false">I6733*J6733</f>
        <v>5096</v>
      </c>
      <c r="L6733" s="14" t="n">
        <f aca="false">($L$2*M6733)/100</f>
        <v>552766.59</v>
      </c>
      <c r="M6733" s="15" t="n">
        <v>0.46</v>
      </c>
      <c r="N6733" s="9" t="s">
        <v>85</v>
      </c>
    </row>
    <row r="6734" customFormat="false" ht="14.25" hidden="false" customHeight="true" outlineLevel="0" collapsed="false">
      <c r="B6734" s="9" t="s">
        <v>36</v>
      </c>
      <c r="C6734" s="9" t="n">
        <v>1197831</v>
      </c>
      <c r="D6734" s="10" t="n">
        <v>44389</v>
      </c>
      <c r="E6734" s="9" t="s">
        <v>38</v>
      </c>
      <c r="F6734" s="9" t="s">
        <v>108</v>
      </c>
      <c r="G6734" s="9" t="s">
        <v>109</v>
      </c>
      <c r="H6734" s="11" t="s">
        <v>25</v>
      </c>
      <c r="I6734" s="12" t="n">
        <v>60</v>
      </c>
      <c r="J6734" s="13" t="n">
        <v>140</v>
      </c>
      <c r="K6734" s="14" t="n">
        <f aca="false">I6734*J6734</f>
        <v>8400</v>
      </c>
      <c r="L6734" s="14" t="n">
        <f aca="false">($L$2*M6734)/100</f>
        <v>588816.585</v>
      </c>
      <c r="M6734" s="15" t="n">
        <v>0.49</v>
      </c>
      <c r="N6734" s="9" t="s">
        <v>85</v>
      </c>
    </row>
    <row r="6735" customFormat="false" ht="14.25" hidden="false" customHeight="true" outlineLevel="0" collapsed="false">
      <c r="B6735" s="9" t="s">
        <v>36</v>
      </c>
      <c r="C6735" s="9" t="n">
        <v>1197831</v>
      </c>
      <c r="D6735" s="10" t="n">
        <v>44421</v>
      </c>
      <c r="E6735" s="9" t="s">
        <v>38</v>
      </c>
      <c r="F6735" s="9" t="s">
        <v>108</v>
      </c>
      <c r="G6735" s="9" t="s">
        <v>109</v>
      </c>
      <c r="H6735" s="11" t="s">
        <v>19</v>
      </c>
      <c r="I6735" s="12" t="n">
        <v>56</v>
      </c>
      <c r="J6735" s="13" t="n">
        <v>189</v>
      </c>
      <c r="K6735" s="14" t="n">
        <f aca="false">I6735*J6735</f>
        <v>10584</v>
      </c>
      <c r="L6735" s="14" t="n">
        <f aca="false">($L$2*M6735)/100</f>
        <v>600833.25</v>
      </c>
      <c r="M6735" s="15" t="n">
        <v>0.5</v>
      </c>
      <c r="N6735" s="9" t="s">
        <v>85</v>
      </c>
    </row>
    <row r="6736" customFormat="false" ht="14.25" hidden="false" customHeight="true" outlineLevel="0" collapsed="false">
      <c r="B6736" s="9" t="s">
        <v>36</v>
      </c>
      <c r="C6736" s="9" t="n">
        <v>1197831</v>
      </c>
      <c r="D6736" s="10" t="n">
        <v>44421</v>
      </c>
      <c r="E6736" s="9" t="s">
        <v>38</v>
      </c>
      <c r="F6736" s="9" t="s">
        <v>108</v>
      </c>
      <c r="G6736" s="9" t="s">
        <v>109</v>
      </c>
      <c r="H6736" s="11" t="s">
        <v>21</v>
      </c>
      <c r="I6736" s="12" t="n">
        <v>51</v>
      </c>
      <c r="J6736" s="13" t="n">
        <v>111</v>
      </c>
      <c r="K6736" s="14" t="n">
        <f aca="false">I6736*J6736</f>
        <v>5661</v>
      </c>
      <c r="L6736" s="14" t="n">
        <f aca="false">($L$2*M6736)/100</f>
        <v>540749.925</v>
      </c>
      <c r="M6736" s="15" t="n">
        <v>0.45</v>
      </c>
      <c r="N6736" s="9" t="s">
        <v>85</v>
      </c>
    </row>
    <row r="6737" customFormat="false" ht="14.25" hidden="false" customHeight="true" outlineLevel="0" collapsed="false">
      <c r="B6737" s="9" t="s">
        <v>36</v>
      </c>
      <c r="C6737" s="9" t="n">
        <v>1197831</v>
      </c>
      <c r="D6737" s="10" t="n">
        <v>44421</v>
      </c>
      <c r="E6737" s="9" t="s">
        <v>38</v>
      </c>
      <c r="F6737" s="9" t="s">
        <v>108</v>
      </c>
      <c r="G6737" s="9" t="s">
        <v>109</v>
      </c>
      <c r="H6737" s="11" t="s">
        <v>22</v>
      </c>
      <c r="I6737" s="12" t="n">
        <v>47</v>
      </c>
      <c r="J6737" s="13" t="n">
        <v>102</v>
      </c>
      <c r="K6737" s="14" t="n">
        <f aca="false">I6737*J6737</f>
        <v>4794</v>
      </c>
      <c r="L6737" s="14" t="n">
        <f aca="false">($L$2*M6737)/100</f>
        <v>600833.25</v>
      </c>
      <c r="M6737" s="15" t="n">
        <v>0.5</v>
      </c>
      <c r="N6737" s="9" t="s">
        <v>85</v>
      </c>
    </row>
    <row r="6738" customFormat="false" ht="14.25" hidden="false" customHeight="true" outlineLevel="0" collapsed="false">
      <c r="B6738" s="9" t="s">
        <v>36</v>
      </c>
      <c r="C6738" s="9" t="n">
        <v>1197831</v>
      </c>
      <c r="D6738" s="10" t="n">
        <v>44421</v>
      </c>
      <c r="E6738" s="9" t="s">
        <v>38</v>
      </c>
      <c r="F6738" s="9" t="s">
        <v>108</v>
      </c>
      <c r="G6738" s="9" t="s">
        <v>109</v>
      </c>
      <c r="H6738" s="11" t="s">
        <v>23</v>
      </c>
      <c r="I6738" s="12" t="n">
        <v>37</v>
      </c>
      <c r="J6738" s="13" t="n">
        <v>90</v>
      </c>
      <c r="K6738" s="14" t="n">
        <f aca="false">I6738*J6738</f>
        <v>3330</v>
      </c>
      <c r="L6738" s="14" t="n">
        <f aca="false">($L$2*M6738)/100</f>
        <v>588816.585</v>
      </c>
      <c r="M6738" s="15" t="n">
        <v>0.49</v>
      </c>
      <c r="N6738" s="9" t="s">
        <v>85</v>
      </c>
    </row>
    <row r="6739" customFormat="false" ht="14.25" hidden="false" customHeight="true" outlineLevel="0" collapsed="false">
      <c r="B6739" s="9" t="s">
        <v>36</v>
      </c>
      <c r="C6739" s="9" t="n">
        <v>1197831</v>
      </c>
      <c r="D6739" s="10" t="n">
        <v>44421</v>
      </c>
      <c r="E6739" s="9" t="s">
        <v>38</v>
      </c>
      <c r="F6739" s="9" t="s">
        <v>108</v>
      </c>
      <c r="G6739" s="9" t="s">
        <v>109</v>
      </c>
      <c r="H6739" s="11" t="s">
        <v>24</v>
      </c>
      <c r="I6739" s="12" t="n">
        <v>47</v>
      </c>
      <c r="J6739" s="13" t="n">
        <v>69</v>
      </c>
      <c r="K6739" s="14" t="n">
        <f aca="false">I6739*J6739</f>
        <v>3243</v>
      </c>
      <c r="L6739" s="14" t="n">
        <f aca="false">($L$2*M6739)/100</f>
        <v>600833.25</v>
      </c>
      <c r="M6739" s="15" t="n">
        <v>0.5</v>
      </c>
      <c r="N6739" s="9" t="s">
        <v>85</v>
      </c>
    </row>
    <row r="6740" customFormat="false" ht="14.25" hidden="false" customHeight="true" outlineLevel="0" collapsed="false">
      <c r="B6740" s="9" t="s">
        <v>36</v>
      </c>
      <c r="C6740" s="9" t="n">
        <v>1197831</v>
      </c>
      <c r="D6740" s="10" t="n">
        <v>44421</v>
      </c>
      <c r="E6740" s="9" t="s">
        <v>38</v>
      </c>
      <c r="F6740" s="9" t="s">
        <v>108</v>
      </c>
      <c r="G6740" s="9" t="s">
        <v>109</v>
      </c>
      <c r="H6740" s="11" t="s">
        <v>25</v>
      </c>
      <c r="I6740" s="12" t="n">
        <v>52</v>
      </c>
      <c r="J6740" s="13" t="n">
        <v>113</v>
      </c>
      <c r="K6740" s="14" t="n">
        <f aca="false">I6740*J6740</f>
        <v>5876</v>
      </c>
      <c r="L6740" s="14" t="n">
        <f aca="false">($L$2*M6740)/100</f>
        <v>600833.25</v>
      </c>
      <c r="M6740" s="15" t="n">
        <v>0.5</v>
      </c>
      <c r="N6740" s="9" t="s">
        <v>85</v>
      </c>
    </row>
    <row r="6741" customFormat="false" ht="14.25" hidden="false" customHeight="true" outlineLevel="0" collapsed="false">
      <c r="B6741" s="9" t="s">
        <v>36</v>
      </c>
      <c r="C6741" s="9" t="n">
        <v>1197831</v>
      </c>
      <c r="D6741" s="10" t="n">
        <v>44451</v>
      </c>
      <c r="E6741" s="9" t="s">
        <v>38</v>
      </c>
      <c r="F6741" s="9" t="s">
        <v>108</v>
      </c>
      <c r="G6741" s="9" t="s">
        <v>109</v>
      </c>
      <c r="H6741" s="11" t="s">
        <v>19</v>
      </c>
      <c r="I6741" s="12" t="n">
        <v>47</v>
      </c>
      <c r="J6741" s="13" t="n">
        <v>165</v>
      </c>
      <c r="K6741" s="14" t="n">
        <f aca="false">I6741*J6741</f>
        <v>7755</v>
      </c>
      <c r="L6741" s="14" t="n">
        <f aca="false">($L$2*M6741)/100</f>
        <v>600833.25</v>
      </c>
      <c r="M6741" s="15" t="n">
        <v>0.5</v>
      </c>
      <c r="N6741" s="9" t="s">
        <v>85</v>
      </c>
    </row>
    <row r="6742" customFormat="false" ht="14.25" hidden="false" customHeight="true" outlineLevel="0" collapsed="false">
      <c r="B6742" s="9" t="s">
        <v>36</v>
      </c>
      <c r="C6742" s="9" t="n">
        <v>1197831</v>
      </c>
      <c r="D6742" s="10" t="n">
        <v>44451</v>
      </c>
      <c r="E6742" s="9" t="s">
        <v>38</v>
      </c>
      <c r="F6742" s="9" t="s">
        <v>108</v>
      </c>
      <c r="G6742" s="9" t="s">
        <v>109</v>
      </c>
      <c r="H6742" s="11" t="s">
        <v>21</v>
      </c>
      <c r="I6742" s="12" t="n">
        <v>38</v>
      </c>
      <c r="J6742" s="13" t="n">
        <v>91</v>
      </c>
      <c r="K6742" s="14" t="n">
        <f aca="false">I6742*J6742</f>
        <v>3458</v>
      </c>
      <c r="L6742" s="14" t="n">
        <f aca="false">($L$2*M6742)/100</f>
        <v>540749.925</v>
      </c>
      <c r="M6742" s="15" t="n">
        <v>0.45</v>
      </c>
      <c r="N6742" s="9" t="s">
        <v>85</v>
      </c>
    </row>
    <row r="6743" customFormat="false" ht="14.25" hidden="false" customHeight="true" outlineLevel="0" collapsed="false">
      <c r="B6743" s="9" t="s">
        <v>36</v>
      </c>
      <c r="C6743" s="9" t="n">
        <v>1197831</v>
      </c>
      <c r="D6743" s="10" t="n">
        <v>44451</v>
      </c>
      <c r="E6743" s="9" t="s">
        <v>38</v>
      </c>
      <c r="F6743" s="9" t="s">
        <v>108</v>
      </c>
      <c r="G6743" s="9" t="s">
        <v>109</v>
      </c>
      <c r="H6743" s="11" t="s">
        <v>22</v>
      </c>
      <c r="I6743" s="12" t="n">
        <v>15</v>
      </c>
      <c r="J6743" s="13" t="n">
        <v>75</v>
      </c>
      <c r="K6743" s="14" t="n">
        <f aca="false">I6743*J6743</f>
        <v>1125</v>
      </c>
      <c r="L6743" s="14" t="n">
        <f aca="false">($L$2*M6743)/100</f>
        <v>564783.255</v>
      </c>
      <c r="M6743" s="15" t="n">
        <v>0.47</v>
      </c>
      <c r="N6743" s="9" t="s">
        <v>85</v>
      </c>
    </row>
    <row r="6744" customFormat="false" ht="14.25" hidden="false" customHeight="true" outlineLevel="0" collapsed="false">
      <c r="B6744" s="9" t="s">
        <v>36</v>
      </c>
      <c r="C6744" s="9" t="n">
        <v>1197831</v>
      </c>
      <c r="D6744" s="10" t="n">
        <v>44451</v>
      </c>
      <c r="E6744" s="9" t="s">
        <v>38</v>
      </c>
      <c r="F6744" s="9" t="s">
        <v>108</v>
      </c>
      <c r="G6744" s="9" t="s">
        <v>109</v>
      </c>
      <c r="H6744" s="11" t="s">
        <v>23</v>
      </c>
      <c r="I6744" s="12" t="n">
        <v>14</v>
      </c>
      <c r="J6744" s="13" t="n">
        <v>65</v>
      </c>
      <c r="K6744" s="14" t="n">
        <f aca="false">I6744*J6744</f>
        <v>910</v>
      </c>
      <c r="L6744" s="14" t="n">
        <f aca="false">($L$2*M6744)/100</f>
        <v>564783.255</v>
      </c>
      <c r="M6744" s="15" t="n">
        <v>0.47</v>
      </c>
      <c r="N6744" s="9" t="s">
        <v>85</v>
      </c>
    </row>
    <row r="6745" customFormat="false" ht="14.25" hidden="false" customHeight="true" outlineLevel="0" collapsed="false">
      <c r="B6745" s="9" t="s">
        <v>36</v>
      </c>
      <c r="C6745" s="9" t="n">
        <v>1197831</v>
      </c>
      <c r="D6745" s="10" t="n">
        <v>44451</v>
      </c>
      <c r="E6745" s="9" t="s">
        <v>38</v>
      </c>
      <c r="F6745" s="9" t="s">
        <v>108</v>
      </c>
      <c r="G6745" s="9" t="s">
        <v>109</v>
      </c>
      <c r="H6745" s="11" t="s">
        <v>24</v>
      </c>
      <c r="I6745" s="12" t="n">
        <v>24</v>
      </c>
      <c r="J6745" s="13" t="n">
        <v>61</v>
      </c>
      <c r="K6745" s="14" t="n">
        <f aca="false">I6745*J6745</f>
        <v>1464</v>
      </c>
      <c r="L6745" s="14" t="n">
        <f aca="false">($L$2*M6745)/100</f>
        <v>588816.585</v>
      </c>
      <c r="M6745" s="15" t="n">
        <v>0.49</v>
      </c>
      <c r="N6745" s="9" t="s">
        <v>85</v>
      </c>
    </row>
    <row r="6746" customFormat="false" ht="14.25" hidden="false" customHeight="true" outlineLevel="0" collapsed="false">
      <c r="B6746" s="9" t="s">
        <v>36</v>
      </c>
      <c r="C6746" s="9" t="n">
        <v>1197831</v>
      </c>
      <c r="D6746" s="10" t="n">
        <v>44451</v>
      </c>
      <c r="E6746" s="9" t="s">
        <v>38</v>
      </c>
      <c r="F6746" s="9" t="s">
        <v>108</v>
      </c>
      <c r="G6746" s="9" t="s">
        <v>109</v>
      </c>
      <c r="H6746" s="11" t="s">
        <v>25</v>
      </c>
      <c r="I6746" s="12" t="n">
        <v>29</v>
      </c>
      <c r="J6746" s="13" t="n">
        <v>94</v>
      </c>
      <c r="K6746" s="14" t="n">
        <f aca="false">I6746*J6746</f>
        <v>2726</v>
      </c>
      <c r="L6746" s="14" t="n">
        <f aca="false">($L$2*M6746)/100</f>
        <v>588816.585</v>
      </c>
      <c r="M6746" s="15" t="n">
        <v>0.49</v>
      </c>
      <c r="N6746" s="9" t="s">
        <v>85</v>
      </c>
    </row>
    <row r="6747" customFormat="false" ht="14.25" hidden="false" customHeight="true" outlineLevel="0" collapsed="false">
      <c r="B6747" s="9" t="s">
        <v>36</v>
      </c>
      <c r="C6747" s="9" t="n">
        <v>1197831</v>
      </c>
      <c r="D6747" s="10" t="n">
        <v>44483</v>
      </c>
      <c r="E6747" s="9" t="s">
        <v>38</v>
      </c>
      <c r="F6747" s="9" t="s">
        <v>108</v>
      </c>
      <c r="G6747" s="9" t="s">
        <v>109</v>
      </c>
      <c r="H6747" s="11" t="s">
        <v>19</v>
      </c>
      <c r="I6747" s="12" t="n">
        <v>29</v>
      </c>
      <c r="J6747" s="13" t="n">
        <v>145</v>
      </c>
      <c r="K6747" s="14" t="n">
        <f aca="false">I6747*J6747</f>
        <v>4205</v>
      </c>
      <c r="L6747" s="14" t="n">
        <f aca="false">($L$2*M6747)/100</f>
        <v>552766.59</v>
      </c>
      <c r="M6747" s="15" t="n">
        <v>0.46</v>
      </c>
      <c r="N6747" s="9" t="s">
        <v>85</v>
      </c>
    </row>
    <row r="6748" customFormat="false" ht="14.25" hidden="false" customHeight="true" outlineLevel="0" collapsed="false">
      <c r="B6748" s="9" t="s">
        <v>36</v>
      </c>
      <c r="C6748" s="9" t="n">
        <v>1197831</v>
      </c>
      <c r="D6748" s="10" t="n">
        <v>44483</v>
      </c>
      <c r="E6748" s="9" t="s">
        <v>38</v>
      </c>
      <c r="F6748" s="9" t="s">
        <v>108</v>
      </c>
      <c r="G6748" s="9" t="s">
        <v>109</v>
      </c>
      <c r="H6748" s="11" t="s">
        <v>21</v>
      </c>
      <c r="I6748" s="12" t="n">
        <v>19</v>
      </c>
      <c r="J6748" s="13" t="n">
        <v>85</v>
      </c>
      <c r="K6748" s="14" t="n">
        <f aca="false">I6748*J6748</f>
        <v>1615</v>
      </c>
      <c r="L6748" s="14" t="n">
        <f aca="false">($L$2*M6748)/100</f>
        <v>552766.59</v>
      </c>
      <c r="M6748" s="15" t="n">
        <v>0.46</v>
      </c>
      <c r="N6748" s="9" t="s">
        <v>85</v>
      </c>
    </row>
    <row r="6749" customFormat="false" ht="14.25" hidden="false" customHeight="true" outlineLevel="0" collapsed="false">
      <c r="B6749" s="9" t="s">
        <v>36</v>
      </c>
      <c r="C6749" s="9" t="n">
        <v>1197831</v>
      </c>
      <c r="D6749" s="10" t="n">
        <v>44483</v>
      </c>
      <c r="E6749" s="9" t="s">
        <v>38</v>
      </c>
      <c r="F6749" s="9" t="s">
        <v>108</v>
      </c>
      <c r="G6749" s="9" t="s">
        <v>109</v>
      </c>
      <c r="H6749" s="11" t="s">
        <v>22</v>
      </c>
      <c r="I6749" s="12" t="n">
        <v>19</v>
      </c>
      <c r="J6749" s="13" t="n">
        <v>60</v>
      </c>
      <c r="K6749" s="14" t="n">
        <f aca="false">I6749*J6749</f>
        <v>1140</v>
      </c>
      <c r="L6749" s="14" t="n">
        <f aca="false">($L$2*M6749)/100</f>
        <v>564783.255</v>
      </c>
      <c r="M6749" s="15" t="n">
        <v>0.47</v>
      </c>
      <c r="N6749" s="9" t="s">
        <v>85</v>
      </c>
    </row>
    <row r="6750" customFormat="false" ht="14.25" hidden="false" customHeight="true" outlineLevel="0" collapsed="false">
      <c r="B6750" s="9" t="s">
        <v>36</v>
      </c>
      <c r="C6750" s="9" t="n">
        <v>1197831</v>
      </c>
      <c r="D6750" s="10" t="n">
        <v>44483</v>
      </c>
      <c r="E6750" s="9" t="s">
        <v>38</v>
      </c>
      <c r="F6750" s="9" t="s">
        <v>108</v>
      </c>
      <c r="G6750" s="9" t="s">
        <v>109</v>
      </c>
      <c r="H6750" s="11" t="s">
        <v>23</v>
      </c>
      <c r="I6750" s="12" t="n">
        <v>19</v>
      </c>
      <c r="J6750" s="13" t="n">
        <v>47</v>
      </c>
      <c r="K6750" s="14" t="n">
        <f aca="false">I6750*J6750</f>
        <v>893</v>
      </c>
      <c r="L6750" s="14" t="n">
        <f aca="false">($L$2*M6750)/100</f>
        <v>576799.92</v>
      </c>
      <c r="M6750" s="15" t="n">
        <v>0.48</v>
      </c>
      <c r="N6750" s="9" t="s">
        <v>85</v>
      </c>
    </row>
    <row r="6751" customFormat="false" ht="14.25" hidden="false" customHeight="true" outlineLevel="0" collapsed="false">
      <c r="B6751" s="9" t="s">
        <v>36</v>
      </c>
      <c r="C6751" s="9" t="n">
        <v>1197831</v>
      </c>
      <c r="D6751" s="10" t="n">
        <v>44483</v>
      </c>
      <c r="E6751" s="9" t="s">
        <v>38</v>
      </c>
      <c r="F6751" s="9" t="s">
        <v>108</v>
      </c>
      <c r="G6751" s="9" t="s">
        <v>109</v>
      </c>
      <c r="H6751" s="11" t="s">
        <v>24</v>
      </c>
      <c r="I6751" s="12" t="n">
        <v>29</v>
      </c>
      <c r="J6751" s="13" t="n">
        <v>46</v>
      </c>
      <c r="K6751" s="14" t="n">
        <f aca="false">I6751*J6751</f>
        <v>1334</v>
      </c>
      <c r="L6751" s="14" t="n">
        <f aca="false">($L$2*M6751)/100</f>
        <v>588816.585</v>
      </c>
      <c r="M6751" s="15" t="n">
        <v>0.49</v>
      </c>
      <c r="N6751" s="9" t="s">
        <v>85</v>
      </c>
    </row>
    <row r="6752" customFormat="false" ht="14.25" hidden="false" customHeight="true" outlineLevel="0" collapsed="false">
      <c r="B6752" s="9" t="s">
        <v>16</v>
      </c>
      <c r="C6752" s="9" t="n">
        <v>1197831</v>
      </c>
      <c r="D6752" s="10" t="n">
        <v>44483</v>
      </c>
      <c r="E6752" s="9" t="s">
        <v>38</v>
      </c>
      <c r="F6752" s="9" t="s">
        <v>108</v>
      </c>
      <c r="G6752" s="9" t="s">
        <v>109</v>
      </c>
      <c r="H6752" s="11" t="s">
        <v>25</v>
      </c>
      <c r="I6752" s="12" t="n">
        <v>28</v>
      </c>
      <c r="J6752" s="13" t="n">
        <v>90</v>
      </c>
      <c r="K6752" s="14" t="n">
        <f aca="false">I6752*J6752</f>
        <v>2520</v>
      </c>
      <c r="L6752" s="14" t="n">
        <f aca="false">($L$2*M6752)/100</f>
        <v>576799.92</v>
      </c>
      <c r="M6752" s="15" t="n">
        <v>0.48</v>
      </c>
      <c r="N6752" s="9" t="s">
        <v>85</v>
      </c>
    </row>
    <row r="6753" customFormat="false" ht="14.25" hidden="false" customHeight="true" outlineLevel="0" collapsed="false">
      <c r="B6753" s="9" t="s">
        <v>16</v>
      </c>
      <c r="C6753" s="9" t="n">
        <v>1197831</v>
      </c>
      <c r="D6753" s="10" t="n">
        <v>44513</v>
      </c>
      <c r="E6753" s="9" t="s">
        <v>38</v>
      </c>
      <c r="F6753" s="9" t="s">
        <v>108</v>
      </c>
      <c r="G6753" s="9" t="s">
        <v>109</v>
      </c>
      <c r="H6753" s="11" t="s">
        <v>19</v>
      </c>
      <c r="I6753" s="12" t="n">
        <v>23</v>
      </c>
      <c r="J6753" s="13" t="n">
        <v>122</v>
      </c>
      <c r="K6753" s="14" t="n">
        <f aca="false">I6753*J6753</f>
        <v>2806</v>
      </c>
      <c r="L6753" s="14" t="n">
        <f aca="false">($L$2*M6753)/100</f>
        <v>564783.255</v>
      </c>
      <c r="M6753" s="15" t="n">
        <v>0.47</v>
      </c>
      <c r="N6753" s="9" t="s">
        <v>85</v>
      </c>
    </row>
    <row r="6754" customFormat="false" ht="14.25" hidden="false" customHeight="true" outlineLevel="0" collapsed="false">
      <c r="B6754" s="9" t="s">
        <v>16</v>
      </c>
      <c r="C6754" s="9" t="n">
        <v>1197831</v>
      </c>
      <c r="D6754" s="10" t="n">
        <v>44513</v>
      </c>
      <c r="E6754" s="9" t="s">
        <v>38</v>
      </c>
      <c r="F6754" s="9" t="s">
        <v>108</v>
      </c>
      <c r="G6754" s="9" t="s">
        <v>109</v>
      </c>
      <c r="H6754" s="11" t="s">
        <v>21</v>
      </c>
      <c r="I6754" s="12" t="n">
        <v>14</v>
      </c>
      <c r="J6754" s="13" t="n">
        <v>72</v>
      </c>
      <c r="K6754" s="14" t="n">
        <f aca="false">I6754*J6754</f>
        <v>1008</v>
      </c>
      <c r="L6754" s="14" t="n">
        <f aca="false">($L$2*M6754)/100</f>
        <v>600833.25</v>
      </c>
      <c r="M6754" s="15" t="n">
        <v>0.5</v>
      </c>
      <c r="N6754" s="9" t="s">
        <v>85</v>
      </c>
    </row>
    <row r="6755" customFormat="false" ht="14.25" hidden="false" customHeight="true" outlineLevel="0" collapsed="false">
      <c r="B6755" s="9" t="s">
        <v>16</v>
      </c>
      <c r="C6755" s="9" t="n">
        <v>1197831</v>
      </c>
      <c r="D6755" s="10" t="n">
        <v>44513</v>
      </c>
      <c r="E6755" s="9" t="s">
        <v>38</v>
      </c>
      <c r="F6755" s="9" t="s">
        <v>108</v>
      </c>
      <c r="G6755" s="9" t="s">
        <v>109</v>
      </c>
      <c r="H6755" s="11" t="s">
        <v>22</v>
      </c>
      <c r="I6755" s="12" t="n">
        <v>23</v>
      </c>
      <c r="J6755" s="13" t="n">
        <v>55</v>
      </c>
      <c r="K6755" s="14" t="n">
        <f aca="false">I6755*J6755</f>
        <v>1265</v>
      </c>
      <c r="L6755" s="14" t="n">
        <f aca="false">($L$2*M6755)/100</f>
        <v>600833.25</v>
      </c>
      <c r="M6755" s="15" t="n">
        <v>0.5</v>
      </c>
      <c r="N6755" s="9" t="s">
        <v>85</v>
      </c>
    </row>
    <row r="6756" customFormat="false" ht="14.25" hidden="false" customHeight="true" outlineLevel="0" collapsed="false">
      <c r="B6756" s="9" t="s">
        <v>16</v>
      </c>
      <c r="C6756" s="9" t="n">
        <v>1197831</v>
      </c>
      <c r="D6756" s="10" t="n">
        <v>44513</v>
      </c>
      <c r="E6756" s="9" t="s">
        <v>38</v>
      </c>
      <c r="F6756" s="9" t="s">
        <v>108</v>
      </c>
      <c r="G6756" s="9" t="s">
        <v>109</v>
      </c>
      <c r="H6756" s="11" t="s">
        <v>23</v>
      </c>
      <c r="I6756" s="12" t="n">
        <v>54</v>
      </c>
      <c r="J6756" s="13" t="n">
        <v>83</v>
      </c>
      <c r="K6756" s="14" t="n">
        <f aca="false">I6756*J6756</f>
        <v>4482</v>
      </c>
      <c r="L6756" s="14" t="n">
        <f aca="false">($L$2*M6756)/100</f>
        <v>576799.92</v>
      </c>
      <c r="M6756" s="15" t="n">
        <v>0.48</v>
      </c>
      <c r="N6756" s="9" t="s">
        <v>85</v>
      </c>
    </row>
    <row r="6757" customFormat="false" ht="14.25" hidden="false" customHeight="true" outlineLevel="0" collapsed="false">
      <c r="B6757" s="9" t="s">
        <v>16</v>
      </c>
      <c r="C6757" s="9" t="n">
        <v>1197831</v>
      </c>
      <c r="D6757" s="10" t="n">
        <v>44513</v>
      </c>
      <c r="E6757" s="9" t="s">
        <v>38</v>
      </c>
      <c r="F6757" s="9" t="s">
        <v>108</v>
      </c>
      <c r="G6757" s="9" t="s">
        <v>109</v>
      </c>
      <c r="H6757" s="11" t="s">
        <v>24</v>
      </c>
      <c r="I6757" s="12" t="n">
        <v>68</v>
      </c>
      <c r="J6757" s="13" t="n">
        <v>70</v>
      </c>
      <c r="K6757" s="14" t="n">
        <f aca="false">I6757*J6757</f>
        <v>4760</v>
      </c>
      <c r="L6757" s="14" t="n">
        <f aca="false">($L$2*M6757)/100</f>
        <v>552766.59</v>
      </c>
      <c r="M6757" s="15" t="n">
        <v>0.46</v>
      </c>
      <c r="N6757" s="9" t="s">
        <v>85</v>
      </c>
    </row>
    <row r="6758" customFormat="false" ht="14.25" hidden="false" customHeight="true" outlineLevel="0" collapsed="false">
      <c r="B6758" s="9" t="s">
        <v>16</v>
      </c>
      <c r="C6758" s="9" t="n">
        <v>1197831</v>
      </c>
      <c r="D6758" s="10" t="n">
        <v>44513</v>
      </c>
      <c r="E6758" s="9" t="s">
        <v>38</v>
      </c>
      <c r="F6758" s="9" t="s">
        <v>108</v>
      </c>
      <c r="G6758" s="9" t="s">
        <v>109</v>
      </c>
      <c r="H6758" s="11" t="s">
        <v>25</v>
      </c>
      <c r="I6758" s="12" t="n">
        <v>73</v>
      </c>
      <c r="J6758" s="13" t="n">
        <v>88</v>
      </c>
      <c r="K6758" s="14" t="n">
        <f aca="false">I6758*J6758</f>
        <v>6424</v>
      </c>
      <c r="L6758" s="14" t="n">
        <f aca="false">($L$2*M6758)/100</f>
        <v>552766.59</v>
      </c>
      <c r="M6758" s="15" t="n">
        <v>0.46</v>
      </c>
      <c r="N6758" s="9" t="s">
        <v>85</v>
      </c>
    </row>
    <row r="6759" customFormat="false" ht="14.25" hidden="false" customHeight="true" outlineLevel="0" collapsed="false">
      <c r="B6759" s="9" t="s">
        <v>16</v>
      </c>
      <c r="C6759" s="9" t="n">
        <v>1197831</v>
      </c>
      <c r="D6759" s="10" t="n">
        <v>44542</v>
      </c>
      <c r="E6759" s="9" t="s">
        <v>38</v>
      </c>
      <c r="F6759" s="9" t="s">
        <v>108</v>
      </c>
      <c r="G6759" s="9" t="s">
        <v>109</v>
      </c>
      <c r="H6759" s="11" t="s">
        <v>19</v>
      </c>
      <c r="I6759" s="12" t="n">
        <v>66</v>
      </c>
      <c r="J6759" s="13" t="n">
        <v>150</v>
      </c>
      <c r="K6759" s="14" t="n">
        <f aca="false">I6759*J6759</f>
        <v>9900</v>
      </c>
      <c r="L6759" s="14" t="n">
        <f aca="false">($L$2*M6759)/100</f>
        <v>600833.25</v>
      </c>
      <c r="M6759" s="15" t="n">
        <v>0.5</v>
      </c>
      <c r="N6759" s="9" t="s">
        <v>85</v>
      </c>
    </row>
    <row r="6760" customFormat="false" ht="14.25" hidden="false" customHeight="true" outlineLevel="0" collapsed="false">
      <c r="B6760" s="9" t="s">
        <v>16</v>
      </c>
      <c r="C6760" s="9" t="n">
        <v>1197831</v>
      </c>
      <c r="D6760" s="10" t="n">
        <v>44542</v>
      </c>
      <c r="E6760" s="9" t="s">
        <v>38</v>
      </c>
      <c r="F6760" s="9" t="s">
        <v>108</v>
      </c>
      <c r="G6760" s="9" t="s">
        <v>109</v>
      </c>
      <c r="H6760" s="11" t="s">
        <v>21</v>
      </c>
      <c r="I6760" s="12" t="n">
        <v>59</v>
      </c>
      <c r="J6760" s="13" t="n">
        <v>120</v>
      </c>
      <c r="K6760" s="14" t="n">
        <f aca="false">I6760*J6760</f>
        <v>7080</v>
      </c>
      <c r="L6760" s="14" t="n">
        <f aca="false">($L$2*M6760)/100</f>
        <v>600833.25</v>
      </c>
      <c r="M6760" s="15" t="n">
        <v>0.5</v>
      </c>
      <c r="N6760" s="9" t="s">
        <v>85</v>
      </c>
    </row>
    <row r="6761" customFormat="false" ht="14.25" hidden="false" customHeight="true" outlineLevel="0" collapsed="false">
      <c r="B6761" s="9" t="s">
        <v>16</v>
      </c>
      <c r="C6761" s="9" t="n">
        <v>1197831</v>
      </c>
      <c r="D6761" s="10" t="n">
        <v>44542</v>
      </c>
      <c r="E6761" s="9" t="s">
        <v>38</v>
      </c>
      <c r="F6761" s="9" t="s">
        <v>108</v>
      </c>
      <c r="G6761" s="9" t="s">
        <v>109</v>
      </c>
      <c r="H6761" s="11" t="s">
        <v>22</v>
      </c>
      <c r="I6761" s="12" t="n">
        <v>58</v>
      </c>
      <c r="J6761" s="13" t="n">
        <v>95</v>
      </c>
      <c r="K6761" s="14" t="n">
        <f aca="false">I6761*J6761</f>
        <v>5510</v>
      </c>
      <c r="L6761" s="14" t="n">
        <f aca="false">($L$2*M6761)/100</f>
        <v>552766.59</v>
      </c>
      <c r="M6761" s="15" t="n">
        <v>0.46</v>
      </c>
      <c r="N6761" s="9" t="s">
        <v>85</v>
      </c>
    </row>
    <row r="6762" customFormat="false" ht="14.25" hidden="false" customHeight="true" outlineLevel="0" collapsed="false">
      <c r="B6762" s="9" t="s">
        <v>16</v>
      </c>
      <c r="C6762" s="9" t="n">
        <v>1197831</v>
      </c>
      <c r="D6762" s="10" t="n">
        <v>44542</v>
      </c>
      <c r="E6762" s="9" t="s">
        <v>38</v>
      </c>
      <c r="F6762" s="9" t="s">
        <v>108</v>
      </c>
      <c r="G6762" s="9" t="s">
        <v>109</v>
      </c>
      <c r="H6762" s="11" t="s">
        <v>23</v>
      </c>
      <c r="I6762" s="12" t="n">
        <v>59</v>
      </c>
      <c r="J6762" s="13" t="n">
        <v>90</v>
      </c>
      <c r="K6762" s="14" t="n">
        <f aca="false">I6762*J6762</f>
        <v>5310</v>
      </c>
      <c r="L6762" s="14" t="n">
        <f aca="false">($L$2*M6762)/100</f>
        <v>540749.925</v>
      </c>
      <c r="M6762" s="15" t="n">
        <v>0.45</v>
      </c>
      <c r="N6762" s="9" t="s">
        <v>85</v>
      </c>
    </row>
    <row r="6763" customFormat="false" ht="14.25" hidden="false" customHeight="true" outlineLevel="0" collapsed="false">
      <c r="B6763" s="9" t="s">
        <v>16</v>
      </c>
      <c r="C6763" s="9" t="n">
        <v>1197831</v>
      </c>
      <c r="D6763" s="10" t="n">
        <v>44542</v>
      </c>
      <c r="E6763" s="9" t="s">
        <v>38</v>
      </c>
      <c r="F6763" s="9" t="s">
        <v>108</v>
      </c>
      <c r="G6763" s="9" t="s">
        <v>109</v>
      </c>
      <c r="H6763" s="11" t="s">
        <v>24</v>
      </c>
      <c r="I6763" s="12" t="n">
        <v>64</v>
      </c>
      <c r="J6763" s="13" t="n">
        <v>81</v>
      </c>
      <c r="K6763" s="14" t="n">
        <f aca="false">I6763*J6763</f>
        <v>5184</v>
      </c>
      <c r="L6763" s="14" t="n">
        <f aca="false">($L$2*M6763)/100</f>
        <v>600833.25</v>
      </c>
      <c r="M6763" s="15" t="n">
        <v>0.5</v>
      </c>
      <c r="N6763" s="9" t="s">
        <v>85</v>
      </c>
    </row>
    <row r="6764" customFormat="false" ht="14.25" hidden="false" customHeight="true" outlineLevel="0" collapsed="false">
      <c r="B6764" s="9" t="s">
        <v>16</v>
      </c>
      <c r="C6764" s="9" t="n">
        <v>1197831</v>
      </c>
      <c r="D6764" s="10" t="n">
        <v>44542</v>
      </c>
      <c r="E6764" s="9" t="s">
        <v>38</v>
      </c>
      <c r="F6764" s="9" t="s">
        <v>108</v>
      </c>
      <c r="G6764" s="9" t="s">
        <v>109</v>
      </c>
      <c r="H6764" s="11" t="s">
        <v>25</v>
      </c>
      <c r="I6764" s="12" t="n">
        <v>68</v>
      </c>
      <c r="J6764" s="13" t="n">
        <v>112</v>
      </c>
      <c r="K6764" s="14" t="n">
        <f aca="false">I6764*J6764</f>
        <v>7616</v>
      </c>
      <c r="L6764" s="14" t="n">
        <f aca="false">($L$2*M6764)/100</f>
        <v>552766.59</v>
      </c>
      <c r="M6764" s="15" t="n">
        <v>0.46</v>
      </c>
      <c r="N6764" s="9" t="s">
        <v>85</v>
      </c>
    </row>
    <row r="6765" customFormat="false" ht="14.25" hidden="false" customHeight="true" outlineLevel="0" collapsed="false">
      <c r="B6765" s="9" t="s">
        <v>16</v>
      </c>
      <c r="C6765" s="9" t="n">
        <v>1185732</v>
      </c>
      <c r="D6765" s="10" t="n">
        <v>44208</v>
      </c>
      <c r="E6765" s="9" t="s">
        <v>38</v>
      </c>
      <c r="F6765" s="9" t="s">
        <v>108</v>
      </c>
      <c r="G6765" s="9" t="s">
        <v>109</v>
      </c>
      <c r="H6765" s="11" t="s">
        <v>19</v>
      </c>
      <c r="I6765" s="12" t="n">
        <v>38</v>
      </c>
      <c r="J6765" s="13" t="n">
        <v>138</v>
      </c>
      <c r="K6765" s="14" t="n">
        <f aca="false">I6765*J6765</f>
        <v>5244</v>
      </c>
      <c r="L6765" s="14" t="n">
        <f aca="false">($L$2*M6765)/100</f>
        <v>588816.585</v>
      </c>
      <c r="M6765" s="15" t="n">
        <v>0.49</v>
      </c>
      <c r="N6765" s="9" t="s">
        <v>85</v>
      </c>
    </row>
    <row r="6766" customFormat="false" ht="14.25" hidden="false" customHeight="true" outlineLevel="0" collapsed="false">
      <c r="B6766" s="9" t="s">
        <v>16</v>
      </c>
      <c r="C6766" s="9" t="n">
        <v>1185732</v>
      </c>
      <c r="D6766" s="10" t="n">
        <v>44208</v>
      </c>
      <c r="E6766" s="9" t="s">
        <v>38</v>
      </c>
      <c r="F6766" s="9" t="s">
        <v>108</v>
      </c>
      <c r="G6766" s="9" t="s">
        <v>109</v>
      </c>
      <c r="H6766" s="11" t="s">
        <v>21</v>
      </c>
      <c r="I6766" s="12" t="n">
        <v>37</v>
      </c>
      <c r="J6766" s="13" t="n">
        <v>80</v>
      </c>
      <c r="K6766" s="14" t="n">
        <f aca="false">I6766*J6766</f>
        <v>2960</v>
      </c>
      <c r="L6766" s="14" t="n">
        <f aca="false">($L$2*M6766)/100</f>
        <v>480666.6</v>
      </c>
      <c r="M6766" s="15" t="n">
        <v>0.4</v>
      </c>
      <c r="N6766" s="9" t="s">
        <v>85</v>
      </c>
    </row>
    <row r="6767" customFormat="false" ht="14.25" hidden="false" customHeight="true" outlineLevel="0" collapsed="false">
      <c r="B6767" s="9" t="s">
        <v>16</v>
      </c>
      <c r="C6767" s="9" t="n">
        <v>1185732</v>
      </c>
      <c r="D6767" s="10" t="n">
        <v>44208</v>
      </c>
      <c r="E6767" s="9" t="s">
        <v>38</v>
      </c>
      <c r="F6767" s="9" t="s">
        <v>108</v>
      </c>
      <c r="G6767" s="9" t="s">
        <v>109</v>
      </c>
      <c r="H6767" s="11" t="s">
        <v>22</v>
      </c>
      <c r="I6767" s="12" t="n">
        <v>27</v>
      </c>
      <c r="J6767" s="13" t="n">
        <v>83</v>
      </c>
      <c r="K6767" s="14" t="n">
        <f aca="false">I6767*J6767</f>
        <v>2241</v>
      </c>
      <c r="L6767" s="14" t="n">
        <f aca="false">($L$2*M6767)/100</f>
        <v>528733.26</v>
      </c>
      <c r="M6767" s="15" t="n">
        <v>0.44</v>
      </c>
      <c r="N6767" s="9" t="s">
        <v>85</v>
      </c>
    </row>
    <row r="6768" customFormat="false" ht="14.25" hidden="false" customHeight="true" outlineLevel="0" collapsed="false">
      <c r="B6768" s="9" t="s">
        <v>16</v>
      </c>
      <c r="C6768" s="9" t="n">
        <v>1185732</v>
      </c>
      <c r="D6768" s="10" t="n">
        <v>44208</v>
      </c>
      <c r="E6768" s="9" t="s">
        <v>38</v>
      </c>
      <c r="F6768" s="9" t="s">
        <v>108</v>
      </c>
      <c r="G6768" s="9" t="s">
        <v>109</v>
      </c>
      <c r="H6768" s="11" t="s">
        <v>23</v>
      </c>
      <c r="I6768" s="12" t="n">
        <v>34</v>
      </c>
      <c r="J6768" s="13" t="n">
        <v>36</v>
      </c>
      <c r="K6768" s="14" t="n">
        <f aca="false">I6768*J6768</f>
        <v>1224</v>
      </c>
      <c r="L6768" s="14" t="n">
        <f aca="false">($L$2*M6768)/100</f>
        <v>480666.6</v>
      </c>
      <c r="M6768" s="15" t="n">
        <v>0.4</v>
      </c>
      <c r="N6768" s="9" t="s">
        <v>85</v>
      </c>
    </row>
    <row r="6769" customFormat="false" ht="14.25" hidden="false" customHeight="true" outlineLevel="0" collapsed="false">
      <c r="B6769" s="9" t="s">
        <v>16</v>
      </c>
      <c r="C6769" s="9" t="n">
        <v>1185732</v>
      </c>
      <c r="D6769" s="10" t="n">
        <v>44208</v>
      </c>
      <c r="E6769" s="9" t="s">
        <v>38</v>
      </c>
      <c r="F6769" s="9" t="s">
        <v>108</v>
      </c>
      <c r="G6769" s="9" t="s">
        <v>109</v>
      </c>
      <c r="H6769" s="11" t="s">
        <v>24</v>
      </c>
      <c r="I6769" s="12" t="n">
        <v>48</v>
      </c>
      <c r="J6769" s="13" t="n">
        <v>44</v>
      </c>
      <c r="K6769" s="14" t="n">
        <f aca="false">I6769*J6769</f>
        <v>2112</v>
      </c>
      <c r="L6769" s="14" t="n">
        <f aca="false">($L$2*M6769)/100</f>
        <v>564783.255</v>
      </c>
      <c r="M6769" s="15" t="n">
        <v>0.47</v>
      </c>
      <c r="N6769" s="9" t="s">
        <v>85</v>
      </c>
    </row>
    <row r="6770" customFormat="false" ht="14.25" hidden="false" customHeight="true" outlineLevel="0" collapsed="false">
      <c r="B6770" s="9" t="s">
        <v>16</v>
      </c>
      <c r="C6770" s="9" t="n">
        <v>1185732</v>
      </c>
      <c r="D6770" s="10" t="n">
        <v>44208</v>
      </c>
      <c r="E6770" s="9" t="s">
        <v>38</v>
      </c>
      <c r="F6770" s="9" t="s">
        <v>108</v>
      </c>
      <c r="G6770" s="9" t="s">
        <v>109</v>
      </c>
      <c r="H6770" s="11" t="s">
        <v>25</v>
      </c>
      <c r="I6770" s="12" t="n">
        <v>37</v>
      </c>
      <c r="J6770" s="13" t="n">
        <v>72</v>
      </c>
      <c r="K6770" s="14" t="n">
        <f aca="false">I6770*J6770</f>
        <v>2664</v>
      </c>
      <c r="L6770" s="14" t="n">
        <f aca="false">($L$2*M6770)/100</f>
        <v>660916.575</v>
      </c>
      <c r="M6770" s="15" t="n">
        <v>0.55</v>
      </c>
      <c r="N6770" s="9" t="s">
        <v>85</v>
      </c>
    </row>
    <row r="6771" customFormat="false" ht="14.25" hidden="false" customHeight="true" outlineLevel="0" collapsed="false">
      <c r="B6771" s="9" t="s">
        <v>16</v>
      </c>
      <c r="C6771" s="9" t="n">
        <v>1185732</v>
      </c>
      <c r="D6771" s="10" t="n">
        <v>44239</v>
      </c>
      <c r="E6771" s="9" t="s">
        <v>38</v>
      </c>
      <c r="F6771" s="9" t="s">
        <v>108</v>
      </c>
      <c r="G6771" s="9" t="s">
        <v>109</v>
      </c>
      <c r="H6771" s="11" t="s">
        <v>19</v>
      </c>
      <c r="I6771" s="12" t="n">
        <v>37</v>
      </c>
      <c r="J6771" s="13" t="n">
        <v>158</v>
      </c>
      <c r="K6771" s="14" t="n">
        <f aca="false">I6771*J6771</f>
        <v>5846</v>
      </c>
      <c r="L6771" s="14" t="n">
        <f aca="false">($L$2*M6771)/100</f>
        <v>600833.25</v>
      </c>
      <c r="M6771" s="15" t="n">
        <v>0.5</v>
      </c>
      <c r="N6771" s="9" t="s">
        <v>85</v>
      </c>
    </row>
    <row r="6772" customFormat="false" ht="14.25" hidden="false" customHeight="true" outlineLevel="0" collapsed="false">
      <c r="B6772" s="9" t="s">
        <v>16</v>
      </c>
      <c r="C6772" s="9" t="n">
        <v>1185732</v>
      </c>
      <c r="D6772" s="10" t="n">
        <v>44239</v>
      </c>
      <c r="E6772" s="9" t="s">
        <v>38</v>
      </c>
      <c r="F6772" s="9" t="s">
        <v>108</v>
      </c>
      <c r="G6772" s="9" t="s">
        <v>109</v>
      </c>
      <c r="H6772" s="11" t="s">
        <v>21</v>
      </c>
      <c r="I6772" s="12" t="n">
        <v>39</v>
      </c>
      <c r="J6772" s="13" t="n">
        <v>47</v>
      </c>
      <c r="K6772" s="14" t="n">
        <f aca="false">I6772*J6772</f>
        <v>1833</v>
      </c>
      <c r="L6772" s="14" t="n">
        <f aca="false">($L$2*M6772)/100</f>
        <v>528733.26</v>
      </c>
      <c r="M6772" s="15" t="n">
        <v>0.44</v>
      </c>
      <c r="N6772" s="9" t="s">
        <v>85</v>
      </c>
    </row>
    <row r="6773" customFormat="false" ht="14.25" hidden="false" customHeight="true" outlineLevel="0" collapsed="false">
      <c r="B6773" s="9" t="s">
        <v>16</v>
      </c>
      <c r="C6773" s="9" t="n">
        <v>1185732</v>
      </c>
      <c r="D6773" s="10" t="n">
        <v>44239</v>
      </c>
      <c r="E6773" s="9" t="s">
        <v>38</v>
      </c>
      <c r="F6773" s="9" t="s">
        <v>108</v>
      </c>
      <c r="G6773" s="9" t="s">
        <v>109</v>
      </c>
      <c r="H6773" s="11" t="s">
        <v>22</v>
      </c>
      <c r="I6773" s="12" t="n">
        <v>29</v>
      </c>
      <c r="J6773" s="13" t="n">
        <v>59</v>
      </c>
      <c r="K6773" s="14" t="n">
        <f aca="false">I6773*J6773</f>
        <v>1711</v>
      </c>
      <c r="L6773" s="14" t="n">
        <f aca="false">($L$2*M6773)/100</f>
        <v>516716.595</v>
      </c>
      <c r="M6773" s="15" t="n">
        <v>0.43</v>
      </c>
      <c r="N6773" s="9" t="s">
        <v>85</v>
      </c>
    </row>
    <row r="6774" customFormat="false" ht="14.25" hidden="false" customHeight="true" outlineLevel="0" collapsed="false">
      <c r="B6774" s="9" t="s">
        <v>16</v>
      </c>
      <c r="C6774" s="9" t="n">
        <v>1185732</v>
      </c>
      <c r="D6774" s="10" t="n">
        <v>44239</v>
      </c>
      <c r="E6774" s="9" t="s">
        <v>38</v>
      </c>
      <c r="F6774" s="9" t="s">
        <v>110</v>
      </c>
      <c r="G6774" s="9" t="s">
        <v>111</v>
      </c>
      <c r="H6774" s="11" t="s">
        <v>23</v>
      </c>
      <c r="I6774" s="12" t="n">
        <v>33</v>
      </c>
      <c r="J6774" s="13" t="n">
        <v>25</v>
      </c>
      <c r="K6774" s="14" t="n">
        <f aca="false">I6774*J6774</f>
        <v>825</v>
      </c>
      <c r="L6774" s="14" t="n">
        <f aca="false">($L$2*M6774)/100</f>
        <v>528733.26</v>
      </c>
      <c r="M6774" s="15" t="n">
        <v>0.44</v>
      </c>
      <c r="N6774" s="9" t="s">
        <v>85</v>
      </c>
    </row>
    <row r="6775" customFormat="false" ht="14.25" hidden="false" customHeight="true" outlineLevel="0" collapsed="false">
      <c r="B6775" s="9" t="s">
        <v>16</v>
      </c>
      <c r="C6775" s="9" t="n">
        <v>1185732</v>
      </c>
      <c r="D6775" s="10" t="n">
        <v>44239</v>
      </c>
      <c r="E6775" s="9" t="s">
        <v>38</v>
      </c>
      <c r="F6775" s="9" t="s">
        <v>110</v>
      </c>
      <c r="G6775" s="9" t="s">
        <v>111</v>
      </c>
      <c r="H6775" s="11" t="s">
        <v>24</v>
      </c>
      <c r="I6775" s="12" t="n">
        <v>48</v>
      </c>
      <c r="J6775" s="13" t="n">
        <v>46</v>
      </c>
      <c r="K6775" s="14" t="n">
        <f aca="false">I6775*J6775</f>
        <v>2208</v>
      </c>
      <c r="L6775" s="14" t="n">
        <f aca="false">($L$2*M6775)/100</f>
        <v>540749.925</v>
      </c>
      <c r="M6775" s="15" t="n">
        <v>0.45</v>
      </c>
      <c r="N6775" s="9" t="s">
        <v>85</v>
      </c>
    </row>
    <row r="6776" customFormat="false" ht="14.25" hidden="false" customHeight="true" outlineLevel="0" collapsed="false">
      <c r="B6776" s="9" t="s">
        <v>16</v>
      </c>
      <c r="C6776" s="9" t="n">
        <v>1185732</v>
      </c>
      <c r="D6776" s="10" t="n">
        <v>44239</v>
      </c>
      <c r="E6776" s="9" t="s">
        <v>38</v>
      </c>
      <c r="F6776" s="9" t="s">
        <v>110</v>
      </c>
      <c r="G6776" s="9" t="s">
        <v>111</v>
      </c>
      <c r="H6776" s="11" t="s">
        <v>25</v>
      </c>
      <c r="I6776" s="12" t="n">
        <v>32</v>
      </c>
      <c r="J6776" s="13" t="n">
        <v>80</v>
      </c>
      <c r="K6776" s="14" t="n">
        <f aca="false">I6776*J6776</f>
        <v>2560</v>
      </c>
      <c r="L6776" s="14" t="n">
        <f aca="false">($L$2*M6776)/100</f>
        <v>660916.575</v>
      </c>
      <c r="M6776" s="15" t="n">
        <v>0.55</v>
      </c>
      <c r="N6776" s="9" t="s">
        <v>85</v>
      </c>
    </row>
    <row r="6777" customFormat="false" ht="14.25" hidden="false" customHeight="true" outlineLevel="0" collapsed="false">
      <c r="B6777" s="9" t="s">
        <v>16</v>
      </c>
      <c r="C6777" s="9" t="n">
        <v>1185732</v>
      </c>
      <c r="D6777" s="10" t="n">
        <v>44266</v>
      </c>
      <c r="E6777" s="9" t="s">
        <v>38</v>
      </c>
      <c r="F6777" s="9" t="s">
        <v>110</v>
      </c>
      <c r="G6777" s="9" t="s">
        <v>111</v>
      </c>
      <c r="H6777" s="11" t="s">
        <v>19</v>
      </c>
      <c r="I6777" s="12" t="n">
        <v>39</v>
      </c>
      <c r="J6777" s="13" t="n">
        <v>124</v>
      </c>
      <c r="K6777" s="14" t="n">
        <f aca="false">I6777*J6777</f>
        <v>4836</v>
      </c>
      <c r="L6777" s="14" t="n">
        <f aca="false">($L$2*M6777)/100</f>
        <v>588816.585</v>
      </c>
      <c r="M6777" s="15" t="n">
        <v>0.49</v>
      </c>
      <c r="N6777" s="9" t="s">
        <v>85</v>
      </c>
    </row>
    <row r="6778" customFormat="false" ht="14.25" hidden="false" customHeight="true" outlineLevel="0" collapsed="false">
      <c r="B6778" s="9" t="s">
        <v>16</v>
      </c>
      <c r="C6778" s="9" t="n">
        <v>1185732</v>
      </c>
      <c r="D6778" s="10" t="n">
        <v>44266</v>
      </c>
      <c r="E6778" s="9" t="s">
        <v>38</v>
      </c>
      <c r="F6778" s="9" t="s">
        <v>110</v>
      </c>
      <c r="G6778" s="9" t="s">
        <v>111</v>
      </c>
      <c r="H6778" s="11" t="s">
        <v>21</v>
      </c>
      <c r="I6778" s="12" t="n">
        <v>37</v>
      </c>
      <c r="J6778" s="13" t="n">
        <v>50</v>
      </c>
      <c r="K6778" s="14" t="n">
        <f aca="false">I6778*J6778</f>
        <v>1850</v>
      </c>
      <c r="L6778" s="14" t="n">
        <f aca="false">($L$2*M6778)/100</f>
        <v>504699.93</v>
      </c>
      <c r="M6778" s="15" t="n">
        <v>0.42</v>
      </c>
      <c r="N6778" s="9" t="s">
        <v>85</v>
      </c>
    </row>
    <row r="6779" customFormat="false" ht="14.25" hidden="false" customHeight="true" outlineLevel="0" collapsed="false">
      <c r="B6779" s="9" t="s">
        <v>16</v>
      </c>
      <c r="C6779" s="9" t="n">
        <v>1185732</v>
      </c>
      <c r="D6779" s="10" t="n">
        <v>44266</v>
      </c>
      <c r="E6779" s="9" t="s">
        <v>38</v>
      </c>
      <c r="F6779" s="9" t="s">
        <v>110</v>
      </c>
      <c r="G6779" s="9" t="s">
        <v>111</v>
      </c>
      <c r="H6779" s="11" t="s">
        <v>22</v>
      </c>
      <c r="I6779" s="12" t="n">
        <v>27</v>
      </c>
      <c r="J6779" s="13" t="n">
        <v>59</v>
      </c>
      <c r="K6779" s="14" t="n">
        <f aca="false">I6779*J6779</f>
        <v>1593</v>
      </c>
      <c r="L6779" s="14" t="n">
        <f aca="false">($L$2*M6779)/100</f>
        <v>504699.93</v>
      </c>
      <c r="M6779" s="15" t="n">
        <v>0.42</v>
      </c>
      <c r="N6779" s="9" t="s">
        <v>85</v>
      </c>
    </row>
    <row r="6780" customFormat="false" ht="14.25" hidden="false" customHeight="true" outlineLevel="0" collapsed="false">
      <c r="B6780" s="9" t="s">
        <v>16</v>
      </c>
      <c r="C6780" s="9" t="n">
        <v>1185732</v>
      </c>
      <c r="D6780" s="10" t="n">
        <v>44266</v>
      </c>
      <c r="E6780" s="9" t="s">
        <v>38</v>
      </c>
      <c r="F6780" s="9" t="s">
        <v>110</v>
      </c>
      <c r="G6780" s="9" t="s">
        <v>111</v>
      </c>
      <c r="H6780" s="11" t="s">
        <v>23</v>
      </c>
      <c r="I6780" s="12" t="n">
        <v>33</v>
      </c>
      <c r="J6780" s="13" t="n">
        <v>23</v>
      </c>
      <c r="K6780" s="14" t="n">
        <f aca="false">I6780*J6780</f>
        <v>759</v>
      </c>
      <c r="L6780" s="14" t="n">
        <f aca="false">($L$2*M6780)/100</f>
        <v>528733.26</v>
      </c>
      <c r="M6780" s="15" t="n">
        <v>0.44</v>
      </c>
      <c r="N6780" s="9" t="s">
        <v>85</v>
      </c>
    </row>
    <row r="6781" customFormat="false" ht="14.25" hidden="false" customHeight="true" outlineLevel="0" collapsed="false">
      <c r="B6781" s="9" t="s">
        <v>16</v>
      </c>
      <c r="C6781" s="9" t="n">
        <v>1185732</v>
      </c>
      <c r="D6781" s="10" t="n">
        <v>44266</v>
      </c>
      <c r="E6781" s="9" t="s">
        <v>38</v>
      </c>
      <c r="F6781" s="9" t="s">
        <v>110</v>
      </c>
      <c r="G6781" s="9" t="s">
        <v>111</v>
      </c>
      <c r="H6781" s="11" t="s">
        <v>24</v>
      </c>
      <c r="I6781" s="12" t="n">
        <v>47</v>
      </c>
      <c r="J6781" s="13" t="n">
        <v>31</v>
      </c>
      <c r="K6781" s="14" t="n">
        <f aca="false">I6781*J6781</f>
        <v>1457</v>
      </c>
      <c r="L6781" s="14" t="n">
        <f aca="false">($L$2*M6781)/100</f>
        <v>600833.25</v>
      </c>
      <c r="M6781" s="15" t="n">
        <v>0.5</v>
      </c>
      <c r="N6781" s="9" t="s">
        <v>85</v>
      </c>
    </row>
    <row r="6782" customFormat="false" ht="14.25" hidden="false" customHeight="true" outlineLevel="0" collapsed="false">
      <c r="B6782" s="9" t="s">
        <v>16</v>
      </c>
      <c r="C6782" s="9" t="n">
        <v>1185732</v>
      </c>
      <c r="D6782" s="10" t="n">
        <v>44266</v>
      </c>
      <c r="E6782" s="9" t="s">
        <v>38</v>
      </c>
      <c r="F6782" s="9" t="s">
        <v>110</v>
      </c>
      <c r="G6782" s="9" t="s">
        <v>111</v>
      </c>
      <c r="H6782" s="11" t="s">
        <v>25</v>
      </c>
      <c r="I6782" s="12" t="n">
        <v>37</v>
      </c>
      <c r="J6782" s="13" t="n">
        <v>59</v>
      </c>
      <c r="K6782" s="14" t="n">
        <f aca="false">I6782*J6782</f>
        <v>2183</v>
      </c>
      <c r="L6782" s="14" t="n">
        <f aca="false">($L$2*M6782)/100</f>
        <v>636883.245</v>
      </c>
      <c r="M6782" s="15" t="n">
        <v>0.53</v>
      </c>
      <c r="N6782" s="9" t="s">
        <v>85</v>
      </c>
    </row>
    <row r="6783" customFormat="false" ht="14.25" hidden="false" customHeight="true" outlineLevel="0" collapsed="false">
      <c r="B6783" s="9" t="s">
        <v>16</v>
      </c>
      <c r="C6783" s="9" t="n">
        <v>1185732</v>
      </c>
      <c r="D6783" s="10" t="n">
        <v>44298</v>
      </c>
      <c r="E6783" s="9" t="s">
        <v>38</v>
      </c>
      <c r="F6783" s="9" t="s">
        <v>110</v>
      </c>
      <c r="G6783" s="9" t="s">
        <v>111</v>
      </c>
      <c r="H6783" s="11" t="s">
        <v>19</v>
      </c>
      <c r="I6783" s="12" t="n">
        <v>38</v>
      </c>
      <c r="J6783" s="13" t="n">
        <v>113</v>
      </c>
      <c r="K6783" s="14" t="n">
        <f aca="false">I6783*J6783</f>
        <v>4294</v>
      </c>
      <c r="L6783" s="14" t="n">
        <f aca="false">($L$2*M6783)/100</f>
        <v>552766.59</v>
      </c>
      <c r="M6783" s="15" t="n">
        <v>0.46</v>
      </c>
      <c r="N6783" s="9" t="s">
        <v>85</v>
      </c>
    </row>
    <row r="6784" customFormat="false" ht="14.25" hidden="false" customHeight="true" outlineLevel="0" collapsed="false">
      <c r="B6784" s="9" t="s">
        <v>16</v>
      </c>
      <c r="C6784" s="9" t="n">
        <v>1185732</v>
      </c>
      <c r="D6784" s="10" t="n">
        <v>44298</v>
      </c>
      <c r="E6784" s="9" t="s">
        <v>38</v>
      </c>
      <c r="F6784" s="9" t="s">
        <v>110</v>
      </c>
      <c r="G6784" s="9" t="s">
        <v>111</v>
      </c>
      <c r="H6784" s="11" t="s">
        <v>21</v>
      </c>
      <c r="I6784" s="12" t="n">
        <v>39</v>
      </c>
      <c r="J6784" s="13" t="n">
        <v>42</v>
      </c>
      <c r="K6784" s="14" t="n">
        <f aca="false">I6784*J6784</f>
        <v>1638</v>
      </c>
      <c r="L6784" s="14" t="n">
        <f aca="false">($L$2*M6784)/100</f>
        <v>492683.265</v>
      </c>
      <c r="M6784" s="15" t="n">
        <v>0.41</v>
      </c>
      <c r="N6784" s="9" t="s">
        <v>85</v>
      </c>
    </row>
    <row r="6785" customFormat="false" ht="14.25" hidden="false" customHeight="true" outlineLevel="0" collapsed="false">
      <c r="B6785" s="9" t="s">
        <v>16</v>
      </c>
      <c r="C6785" s="9" t="n">
        <v>1185732</v>
      </c>
      <c r="D6785" s="10" t="n">
        <v>44298</v>
      </c>
      <c r="E6785" s="9" t="s">
        <v>38</v>
      </c>
      <c r="F6785" s="9" t="s">
        <v>110</v>
      </c>
      <c r="G6785" s="9" t="s">
        <v>111</v>
      </c>
      <c r="H6785" s="11" t="s">
        <v>22</v>
      </c>
      <c r="I6785" s="12" t="n">
        <v>29</v>
      </c>
      <c r="J6785" s="13" t="n">
        <v>45</v>
      </c>
      <c r="K6785" s="14" t="n">
        <f aca="false">I6785*J6785</f>
        <v>1305</v>
      </c>
      <c r="L6785" s="14" t="n">
        <f aca="false">($L$2*M6785)/100</f>
        <v>480666.6</v>
      </c>
      <c r="M6785" s="15" t="n">
        <v>0.4</v>
      </c>
      <c r="N6785" s="9" t="s">
        <v>85</v>
      </c>
    </row>
    <row r="6786" customFormat="false" ht="14.25" hidden="false" customHeight="true" outlineLevel="0" collapsed="false">
      <c r="B6786" s="9" t="s">
        <v>16</v>
      </c>
      <c r="C6786" s="9" t="n">
        <v>1185732</v>
      </c>
      <c r="D6786" s="10" t="n">
        <v>44298</v>
      </c>
      <c r="E6786" s="9" t="s">
        <v>38</v>
      </c>
      <c r="F6786" s="9" t="s">
        <v>110</v>
      </c>
      <c r="G6786" s="9" t="s">
        <v>111</v>
      </c>
      <c r="H6786" s="11" t="s">
        <v>23</v>
      </c>
      <c r="I6786" s="12" t="n">
        <v>34</v>
      </c>
      <c r="J6786" s="13" t="n">
        <v>20</v>
      </c>
      <c r="K6786" s="14" t="n">
        <f aca="false">I6786*J6786</f>
        <v>680</v>
      </c>
      <c r="L6786" s="14" t="n">
        <f aca="false">($L$2*M6786)/100</f>
        <v>516716.595</v>
      </c>
      <c r="M6786" s="15" t="n">
        <v>0.43</v>
      </c>
      <c r="N6786" s="9" t="s">
        <v>85</v>
      </c>
    </row>
    <row r="6787" customFormat="false" ht="14.25" hidden="false" customHeight="true" outlineLevel="0" collapsed="false">
      <c r="B6787" s="9" t="s">
        <v>16</v>
      </c>
      <c r="C6787" s="9" t="n">
        <v>1185732</v>
      </c>
      <c r="D6787" s="10" t="n">
        <v>44298</v>
      </c>
      <c r="E6787" s="9" t="s">
        <v>38</v>
      </c>
      <c r="F6787" s="9" t="s">
        <v>110</v>
      </c>
      <c r="G6787" s="9" t="s">
        <v>111</v>
      </c>
      <c r="H6787" s="11" t="s">
        <v>24</v>
      </c>
      <c r="I6787" s="12" t="n">
        <v>56</v>
      </c>
      <c r="J6787" s="13" t="n">
        <v>29</v>
      </c>
      <c r="K6787" s="14" t="n">
        <f aca="false">I6787*J6787</f>
        <v>1624</v>
      </c>
      <c r="L6787" s="14" t="n">
        <f aca="false">($L$2*M6787)/100</f>
        <v>552766.59</v>
      </c>
      <c r="M6787" s="15" t="n">
        <v>0.46</v>
      </c>
      <c r="N6787" s="9" t="s">
        <v>85</v>
      </c>
    </row>
    <row r="6788" customFormat="false" ht="14.25" hidden="false" customHeight="true" outlineLevel="0" collapsed="false">
      <c r="B6788" s="9" t="s">
        <v>16</v>
      </c>
      <c r="C6788" s="9" t="n">
        <v>1185732</v>
      </c>
      <c r="D6788" s="10" t="n">
        <v>44298</v>
      </c>
      <c r="E6788" s="9" t="s">
        <v>38</v>
      </c>
      <c r="F6788" s="9" t="s">
        <v>110</v>
      </c>
      <c r="G6788" s="9" t="s">
        <v>111</v>
      </c>
      <c r="H6788" s="11" t="s">
        <v>25</v>
      </c>
      <c r="I6788" s="12" t="n">
        <v>48</v>
      </c>
      <c r="J6788" s="13" t="n">
        <v>61</v>
      </c>
      <c r="K6788" s="14" t="n">
        <f aca="false">I6788*J6788</f>
        <v>2928</v>
      </c>
      <c r="L6788" s="14" t="n">
        <f aca="false">($L$2*M6788)/100</f>
        <v>636883.245</v>
      </c>
      <c r="M6788" s="15" t="n">
        <v>0.53</v>
      </c>
      <c r="N6788" s="9" t="s">
        <v>85</v>
      </c>
    </row>
    <row r="6789" customFormat="false" ht="14.25" hidden="false" customHeight="true" outlineLevel="0" collapsed="false">
      <c r="B6789" s="9" t="s">
        <v>16</v>
      </c>
      <c r="C6789" s="9" t="n">
        <v>1185732</v>
      </c>
      <c r="D6789" s="10" t="n">
        <v>44329</v>
      </c>
      <c r="E6789" s="9" t="s">
        <v>38</v>
      </c>
      <c r="F6789" s="9" t="s">
        <v>110</v>
      </c>
      <c r="G6789" s="9" t="s">
        <v>111</v>
      </c>
      <c r="H6789" s="11" t="s">
        <v>19</v>
      </c>
      <c r="I6789" s="12" t="n">
        <v>58</v>
      </c>
      <c r="J6789" s="13" t="n">
        <v>139</v>
      </c>
      <c r="K6789" s="14" t="n">
        <f aca="false">I6789*J6789</f>
        <v>8062</v>
      </c>
      <c r="L6789" s="14" t="n">
        <f aca="false">($L$2*M6789)/100</f>
        <v>564783.255</v>
      </c>
      <c r="M6789" s="15" t="n">
        <v>0.47</v>
      </c>
      <c r="N6789" s="9" t="s">
        <v>85</v>
      </c>
    </row>
    <row r="6790" customFormat="false" ht="14.25" hidden="false" customHeight="true" outlineLevel="0" collapsed="false">
      <c r="B6790" s="9" t="s">
        <v>16</v>
      </c>
      <c r="C6790" s="9" t="n">
        <v>1185732</v>
      </c>
      <c r="D6790" s="10" t="n">
        <v>44329</v>
      </c>
      <c r="E6790" s="9" t="s">
        <v>38</v>
      </c>
      <c r="F6790" s="9" t="s">
        <v>110</v>
      </c>
      <c r="G6790" s="9" t="s">
        <v>111</v>
      </c>
      <c r="H6790" s="11" t="s">
        <v>21</v>
      </c>
      <c r="I6790" s="12" t="n">
        <v>45</v>
      </c>
      <c r="J6790" s="13" t="n">
        <v>60</v>
      </c>
      <c r="K6790" s="14" t="n">
        <f aca="false">I6790*J6790</f>
        <v>2700</v>
      </c>
      <c r="L6790" s="14" t="n">
        <f aca="false">($L$2*M6790)/100</f>
        <v>540749.925</v>
      </c>
      <c r="M6790" s="15" t="n">
        <v>0.45</v>
      </c>
      <c r="N6790" s="9" t="s">
        <v>85</v>
      </c>
    </row>
    <row r="6791" customFormat="false" ht="14.25" hidden="false" customHeight="true" outlineLevel="0" collapsed="false">
      <c r="B6791" s="9" t="s">
        <v>16</v>
      </c>
      <c r="C6791" s="9" t="n">
        <v>1185732</v>
      </c>
      <c r="D6791" s="10" t="n">
        <v>44329</v>
      </c>
      <c r="E6791" s="9" t="s">
        <v>38</v>
      </c>
      <c r="F6791" s="9" t="s">
        <v>110</v>
      </c>
      <c r="G6791" s="9" t="s">
        <v>111</v>
      </c>
      <c r="H6791" s="11" t="s">
        <v>22</v>
      </c>
      <c r="I6791" s="12" t="n">
        <v>43</v>
      </c>
      <c r="J6791" s="13" t="n">
        <v>46</v>
      </c>
      <c r="K6791" s="14" t="n">
        <f aca="false">I6791*J6791</f>
        <v>1978</v>
      </c>
      <c r="L6791" s="14" t="n">
        <f aca="false">($L$2*M6791)/100</f>
        <v>504699.93</v>
      </c>
      <c r="M6791" s="15" t="n">
        <v>0.42</v>
      </c>
      <c r="N6791" s="9" t="s">
        <v>85</v>
      </c>
    </row>
    <row r="6792" customFormat="false" ht="14.25" hidden="false" customHeight="true" outlineLevel="0" collapsed="false">
      <c r="B6792" s="9" t="s">
        <v>16</v>
      </c>
      <c r="C6792" s="9" t="n">
        <v>1185732</v>
      </c>
      <c r="D6792" s="10" t="n">
        <v>44329</v>
      </c>
      <c r="E6792" s="9" t="s">
        <v>38</v>
      </c>
      <c r="F6792" s="9" t="s">
        <v>110</v>
      </c>
      <c r="G6792" s="9" t="s">
        <v>111</v>
      </c>
      <c r="H6792" s="11" t="s">
        <v>23</v>
      </c>
      <c r="I6792" s="12" t="n">
        <v>43</v>
      </c>
      <c r="J6792" s="13" t="n">
        <v>26</v>
      </c>
      <c r="K6792" s="14" t="n">
        <f aca="false">I6792*J6792</f>
        <v>1118</v>
      </c>
      <c r="L6792" s="14" t="n">
        <f aca="false">($L$2*M6792)/100</f>
        <v>540749.925</v>
      </c>
      <c r="M6792" s="15" t="n">
        <v>0.45</v>
      </c>
      <c r="N6792" s="9" t="s">
        <v>85</v>
      </c>
    </row>
    <row r="6793" customFormat="false" ht="14.25" hidden="false" customHeight="true" outlineLevel="0" collapsed="false">
      <c r="B6793" s="9" t="s">
        <v>16</v>
      </c>
      <c r="C6793" s="9" t="n">
        <v>1185732</v>
      </c>
      <c r="D6793" s="10" t="n">
        <v>44329</v>
      </c>
      <c r="E6793" s="9" t="s">
        <v>38</v>
      </c>
      <c r="F6793" s="9" t="s">
        <v>110</v>
      </c>
      <c r="G6793" s="9" t="s">
        <v>111</v>
      </c>
      <c r="H6793" s="11" t="s">
        <v>24</v>
      </c>
      <c r="I6793" s="12" t="n">
        <v>51</v>
      </c>
      <c r="J6793" s="13" t="n">
        <v>38</v>
      </c>
      <c r="K6793" s="14" t="n">
        <f aca="false">I6793*J6793</f>
        <v>1938</v>
      </c>
      <c r="L6793" s="14" t="n">
        <f aca="false">($L$2*M6793)/100</f>
        <v>600833.25</v>
      </c>
      <c r="M6793" s="15" t="n">
        <v>0.5</v>
      </c>
      <c r="N6793" s="9" t="s">
        <v>85</v>
      </c>
    </row>
    <row r="6794" customFormat="false" ht="14.25" hidden="false" customHeight="true" outlineLevel="0" collapsed="false">
      <c r="B6794" s="9" t="s">
        <v>16</v>
      </c>
      <c r="C6794" s="9" t="n">
        <v>1185732</v>
      </c>
      <c r="D6794" s="10" t="n">
        <v>44329</v>
      </c>
      <c r="E6794" s="9" t="s">
        <v>38</v>
      </c>
      <c r="F6794" s="9" t="s">
        <v>110</v>
      </c>
      <c r="G6794" s="9" t="s">
        <v>111</v>
      </c>
      <c r="H6794" s="11" t="s">
        <v>25</v>
      </c>
      <c r="I6794" s="12" t="n">
        <v>58</v>
      </c>
      <c r="J6794" s="13" t="n">
        <v>68</v>
      </c>
      <c r="K6794" s="14" t="n">
        <f aca="false">I6794*J6794</f>
        <v>3944</v>
      </c>
      <c r="L6794" s="14" t="n">
        <f aca="false">($L$2*M6794)/100</f>
        <v>612849.915</v>
      </c>
      <c r="M6794" s="15" t="n">
        <v>0.51</v>
      </c>
      <c r="N6794" s="9" t="s">
        <v>85</v>
      </c>
    </row>
    <row r="6795" customFormat="false" ht="14.25" hidden="false" customHeight="true" outlineLevel="0" collapsed="false">
      <c r="B6795" s="9" t="s">
        <v>16</v>
      </c>
      <c r="C6795" s="9" t="n">
        <v>1185732</v>
      </c>
      <c r="D6795" s="10" t="n">
        <v>44359</v>
      </c>
      <c r="E6795" s="9" t="s">
        <v>38</v>
      </c>
      <c r="F6795" s="9" t="s">
        <v>110</v>
      </c>
      <c r="G6795" s="9" t="s">
        <v>111</v>
      </c>
      <c r="H6795" s="11" t="s">
        <v>19</v>
      </c>
      <c r="I6795" s="12" t="n">
        <v>41</v>
      </c>
      <c r="J6795" s="13" t="n">
        <v>135</v>
      </c>
      <c r="K6795" s="14" t="n">
        <f aca="false">I6795*J6795</f>
        <v>5535</v>
      </c>
      <c r="L6795" s="14" t="n">
        <f aca="false">($L$2*M6795)/100</f>
        <v>552766.59</v>
      </c>
      <c r="M6795" s="15" t="n">
        <v>0.46</v>
      </c>
      <c r="N6795" s="9" t="s">
        <v>85</v>
      </c>
    </row>
    <row r="6796" customFormat="false" ht="14.25" hidden="false" customHeight="true" outlineLevel="0" collapsed="false">
      <c r="B6796" s="9" t="s">
        <v>16</v>
      </c>
      <c r="C6796" s="9" t="n">
        <v>1185732</v>
      </c>
      <c r="D6796" s="10" t="n">
        <v>44359</v>
      </c>
      <c r="E6796" s="9" t="s">
        <v>38</v>
      </c>
      <c r="F6796" s="9" t="s">
        <v>110</v>
      </c>
      <c r="G6796" s="9" t="s">
        <v>111</v>
      </c>
      <c r="H6796" s="11" t="s">
        <v>21</v>
      </c>
      <c r="I6796" s="12" t="n">
        <v>39</v>
      </c>
      <c r="J6796" s="13" t="n">
        <v>70</v>
      </c>
      <c r="K6796" s="14" t="n">
        <f aca="false">I6796*J6796</f>
        <v>2730</v>
      </c>
      <c r="L6796" s="14" t="n">
        <f aca="false">($L$2*M6796)/100</f>
        <v>480666.6</v>
      </c>
      <c r="M6796" s="15" t="n">
        <v>0.4</v>
      </c>
      <c r="N6796" s="9" t="s">
        <v>85</v>
      </c>
    </row>
    <row r="6797" customFormat="false" ht="14.25" hidden="false" customHeight="true" outlineLevel="0" collapsed="false">
      <c r="B6797" s="9" t="s">
        <v>16</v>
      </c>
      <c r="C6797" s="9" t="n">
        <v>1185732</v>
      </c>
      <c r="D6797" s="10" t="n">
        <v>44359</v>
      </c>
      <c r="E6797" s="9" t="s">
        <v>38</v>
      </c>
      <c r="F6797" s="9" t="s">
        <v>110</v>
      </c>
      <c r="G6797" s="9" t="s">
        <v>111</v>
      </c>
      <c r="H6797" s="11" t="s">
        <v>22</v>
      </c>
      <c r="I6797" s="12" t="n">
        <v>32</v>
      </c>
      <c r="J6797" s="13" t="n">
        <v>54</v>
      </c>
      <c r="K6797" s="14" t="n">
        <f aca="false">I6797*J6797</f>
        <v>1728</v>
      </c>
      <c r="L6797" s="14" t="n">
        <f aca="false">($L$2*M6797)/100</f>
        <v>516716.595</v>
      </c>
      <c r="M6797" s="15" t="n">
        <v>0.43</v>
      </c>
      <c r="N6797" s="9" t="s">
        <v>85</v>
      </c>
    </row>
    <row r="6798" customFormat="false" ht="14.25" hidden="false" customHeight="true" outlineLevel="0" collapsed="false">
      <c r="B6798" s="9" t="s">
        <v>16</v>
      </c>
      <c r="C6798" s="9" t="n">
        <v>1185732</v>
      </c>
      <c r="D6798" s="10" t="n">
        <v>44359</v>
      </c>
      <c r="E6798" s="9" t="s">
        <v>38</v>
      </c>
      <c r="F6798" s="9" t="s">
        <v>110</v>
      </c>
      <c r="G6798" s="9" t="s">
        <v>111</v>
      </c>
      <c r="H6798" s="11" t="s">
        <v>23</v>
      </c>
      <c r="I6798" s="12" t="n">
        <v>32</v>
      </c>
      <c r="J6798" s="13" t="n">
        <v>49</v>
      </c>
      <c r="K6798" s="14" t="n">
        <f aca="false">I6798*J6798</f>
        <v>1568</v>
      </c>
      <c r="L6798" s="14" t="n">
        <f aca="false">($L$2*M6798)/100</f>
        <v>540749.925</v>
      </c>
      <c r="M6798" s="15" t="n">
        <v>0.45</v>
      </c>
      <c r="N6798" s="9" t="s">
        <v>85</v>
      </c>
    </row>
    <row r="6799" customFormat="false" ht="14.25" hidden="false" customHeight="true" outlineLevel="0" collapsed="false">
      <c r="B6799" s="9" t="s">
        <v>16</v>
      </c>
      <c r="C6799" s="9" t="n">
        <v>1185732</v>
      </c>
      <c r="D6799" s="10" t="n">
        <v>44359</v>
      </c>
      <c r="E6799" s="9" t="s">
        <v>38</v>
      </c>
      <c r="F6799" s="9" t="s">
        <v>110</v>
      </c>
      <c r="G6799" s="9" t="s">
        <v>111</v>
      </c>
      <c r="H6799" s="11" t="s">
        <v>24</v>
      </c>
      <c r="I6799" s="12" t="n">
        <v>41</v>
      </c>
      <c r="J6799" s="13" t="n">
        <v>51</v>
      </c>
      <c r="K6799" s="14" t="n">
        <f aca="false">I6799*J6799</f>
        <v>2091</v>
      </c>
      <c r="L6799" s="14" t="n">
        <f aca="false">($L$2*M6799)/100</f>
        <v>540749.925</v>
      </c>
      <c r="M6799" s="15" t="n">
        <v>0.45</v>
      </c>
      <c r="N6799" s="9" t="s">
        <v>85</v>
      </c>
    </row>
    <row r="6800" customFormat="false" ht="14.25" hidden="false" customHeight="true" outlineLevel="0" collapsed="false">
      <c r="B6800" s="9" t="s">
        <v>16</v>
      </c>
      <c r="C6800" s="9" t="n">
        <v>1185732</v>
      </c>
      <c r="D6800" s="10" t="n">
        <v>44359</v>
      </c>
      <c r="E6800" s="9" t="s">
        <v>38</v>
      </c>
      <c r="F6800" s="9" t="s">
        <v>110</v>
      </c>
      <c r="G6800" s="9" t="s">
        <v>111</v>
      </c>
      <c r="H6800" s="11" t="s">
        <v>25</v>
      </c>
      <c r="I6800" s="12" t="n">
        <v>50</v>
      </c>
      <c r="J6800" s="13" t="n">
        <v>94</v>
      </c>
      <c r="K6800" s="14" t="n">
        <f aca="false">I6800*J6800</f>
        <v>4700</v>
      </c>
      <c r="L6800" s="14" t="n">
        <f aca="false">($L$2*M6800)/100</f>
        <v>636883.245</v>
      </c>
      <c r="M6800" s="15" t="n">
        <v>0.53</v>
      </c>
      <c r="N6800" s="9" t="s">
        <v>85</v>
      </c>
    </row>
    <row r="6801" customFormat="false" ht="14.25" hidden="false" customHeight="true" outlineLevel="0" collapsed="false">
      <c r="B6801" s="9" t="s">
        <v>16</v>
      </c>
      <c r="C6801" s="9" t="n">
        <v>1185732</v>
      </c>
      <c r="D6801" s="10" t="n">
        <v>44388</v>
      </c>
      <c r="E6801" s="9" t="s">
        <v>38</v>
      </c>
      <c r="F6801" s="9" t="s">
        <v>110</v>
      </c>
      <c r="G6801" s="9" t="s">
        <v>111</v>
      </c>
      <c r="H6801" s="11" t="s">
        <v>19</v>
      </c>
      <c r="I6801" s="12" t="n">
        <v>47</v>
      </c>
      <c r="J6801" s="13" t="n">
        <v>154</v>
      </c>
      <c r="K6801" s="14" t="n">
        <f aca="false">I6801*J6801</f>
        <v>7238</v>
      </c>
      <c r="L6801" s="14" t="n">
        <f aca="false">($L$2*M6801)/100</f>
        <v>552766.59</v>
      </c>
      <c r="M6801" s="15" t="n">
        <v>0.46</v>
      </c>
      <c r="N6801" s="9" t="s">
        <v>85</v>
      </c>
    </row>
    <row r="6802" customFormat="false" ht="14.25" hidden="false" customHeight="true" outlineLevel="0" collapsed="false">
      <c r="B6802" s="9" t="s">
        <v>16</v>
      </c>
      <c r="C6802" s="9" t="n">
        <v>1185732</v>
      </c>
      <c r="D6802" s="10" t="n">
        <v>44388</v>
      </c>
      <c r="E6802" s="9" t="s">
        <v>38</v>
      </c>
      <c r="F6802" s="9" t="s">
        <v>110</v>
      </c>
      <c r="G6802" s="9" t="s">
        <v>111</v>
      </c>
      <c r="H6802" s="11" t="s">
        <v>21</v>
      </c>
      <c r="I6802" s="12" t="n">
        <v>44</v>
      </c>
      <c r="J6802" s="13" t="n">
        <v>81</v>
      </c>
      <c r="K6802" s="14" t="n">
        <f aca="false">I6802*J6802</f>
        <v>3564</v>
      </c>
      <c r="L6802" s="14" t="n">
        <f aca="false">($L$2*M6802)/100</f>
        <v>540749.925</v>
      </c>
      <c r="M6802" s="15" t="n">
        <v>0.45</v>
      </c>
      <c r="N6802" s="9" t="s">
        <v>85</v>
      </c>
    </row>
    <row r="6803" customFormat="false" ht="14.25" hidden="false" customHeight="true" outlineLevel="0" collapsed="false">
      <c r="B6803" s="9" t="s">
        <v>16</v>
      </c>
      <c r="C6803" s="9" t="n">
        <v>1185732</v>
      </c>
      <c r="D6803" s="10" t="n">
        <v>44388</v>
      </c>
      <c r="E6803" s="9" t="s">
        <v>38</v>
      </c>
      <c r="F6803" s="9" t="s">
        <v>110</v>
      </c>
      <c r="G6803" s="9" t="s">
        <v>111</v>
      </c>
      <c r="H6803" s="11" t="s">
        <v>22</v>
      </c>
      <c r="I6803" s="12" t="n">
        <v>37</v>
      </c>
      <c r="J6803" s="13" t="n">
        <v>61</v>
      </c>
      <c r="K6803" s="14" t="n">
        <f aca="false">I6803*J6803</f>
        <v>2257</v>
      </c>
      <c r="L6803" s="14" t="n">
        <f aca="false">($L$2*M6803)/100</f>
        <v>504699.93</v>
      </c>
      <c r="M6803" s="15" t="n">
        <v>0.42</v>
      </c>
      <c r="N6803" s="9" t="s">
        <v>85</v>
      </c>
    </row>
    <row r="6804" customFormat="false" ht="14.25" hidden="false" customHeight="true" outlineLevel="0" collapsed="false">
      <c r="B6804" s="9" t="s">
        <v>16</v>
      </c>
      <c r="C6804" s="9" t="n">
        <v>1185732</v>
      </c>
      <c r="D6804" s="10" t="n">
        <v>44388</v>
      </c>
      <c r="E6804" s="9" t="s">
        <v>38</v>
      </c>
      <c r="F6804" s="9" t="s">
        <v>110</v>
      </c>
      <c r="G6804" s="9" t="s">
        <v>111</v>
      </c>
      <c r="H6804" s="11" t="s">
        <v>23</v>
      </c>
      <c r="I6804" s="12" t="n">
        <v>38</v>
      </c>
      <c r="J6804" s="13" t="n">
        <v>44</v>
      </c>
      <c r="K6804" s="14" t="n">
        <f aca="false">I6804*J6804</f>
        <v>1672</v>
      </c>
      <c r="L6804" s="14" t="n">
        <f aca="false">($L$2*M6804)/100</f>
        <v>516716.595</v>
      </c>
      <c r="M6804" s="15" t="n">
        <v>0.43</v>
      </c>
      <c r="N6804" s="9" t="s">
        <v>85</v>
      </c>
    </row>
    <row r="6805" customFormat="false" ht="14.25" hidden="false" customHeight="true" outlineLevel="0" collapsed="false">
      <c r="B6805" s="9" t="s">
        <v>16</v>
      </c>
      <c r="C6805" s="9" t="n">
        <v>1185732</v>
      </c>
      <c r="D6805" s="10" t="n">
        <v>44388</v>
      </c>
      <c r="E6805" s="9" t="s">
        <v>38</v>
      </c>
      <c r="F6805" s="9" t="s">
        <v>110</v>
      </c>
      <c r="G6805" s="9" t="s">
        <v>111</v>
      </c>
      <c r="H6805" s="11" t="s">
        <v>24</v>
      </c>
      <c r="I6805" s="12" t="n">
        <v>49</v>
      </c>
      <c r="J6805" s="13" t="n">
        <v>52</v>
      </c>
      <c r="K6805" s="14" t="n">
        <f aca="false">I6805*J6805</f>
        <v>2548</v>
      </c>
      <c r="L6805" s="14" t="n">
        <f aca="false">($L$2*M6805)/100</f>
        <v>552766.59</v>
      </c>
      <c r="M6805" s="15" t="n">
        <v>0.46</v>
      </c>
      <c r="N6805" s="9" t="s">
        <v>85</v>
      </c>
    </row>
    <row r="6806" customFormat="false" ht="14.25" hidden="false" customHeight="true" outlineLevel="0" collapsed="false">
      <c r="B6806" s="9" t="s">
        <v>16</v>
      </c>
      <c r="C6806" s="9" t="n">
        <v>1185732</v>
      </c>
      <c r="D6806" s="10" t="n">
        <v>44388</v>
      </c>
      <c r="E6806" s="9" t="s">
        <v>38</v>
      </c>
      <c r="F6806" s="9" t="s">
        <v>110</v>
      </c>
      <c r="G6806" s="9" t="s">
        <v>111</v>
      </c>
      <c r="H6806" s="11" t="s">
        <v>25</v>
      </c>
      <c r="I6806" s="12" t="n">
        <v>53</v>
      </c>
      <c r="J6806" s="13" t="n">
        <v>94</v>
      </c>
      <c r="K6806" s="14" t="n">
        <f aca="false">I6806*J6806</f>
        <v>4982</v>
      </c>
      <c r="L6806" s="14" t="n">
        <f aca="false">($L$2*M6806)/100</f>
        <v>636883.245</v>
      </c>
      <c r="M6806" s="15" t="n">
        <v>0.53</v>
      </c>
      <c r="N6806" s="9" t="s">
        <v>85</v>
      </c>
    </row>
    <row r="6807" customFormat="false" ht="14.25" hidden="false" customHeight="true" outlineLevel="0" collapsed="false">
      <c r="B6807" s="9" t="s">
        <v>16</v>
      </c>
      <c r="C6807" s="9" t="n">
        <v>1185732</v>
      </c>
      <c r="D6807" s="10" t="n">
        <v>44420</v>
      </c>
      <c r="E6807" s="9" t="s">
        <v>38</v>
      </c>
      <c r="F6807" s="9" t="s">
        <v>110</v>
      </c>
      <c r="G6807" s="9" t="s">
        <v>111</v>
      </c>
      <c r="H6807" s="11" t="s">
        <v>19</v>
      </c>
      <c r="I6807" s="12" t="n">
        <v>49</v>
      </c>
      <c r="J6807" s="13" t="n">
        <v>131</v>
      </c>
      <c r="K6807" s="14" t="n">
        <f aca="false">I6807*J6807</f>
        <v>6419</v>
      </c>
      <c r="L6807" s="14" t="n">
        <f aca="false">($L$2*M6807)/100</f>
        <v>576799.92</v>
      </c>
      <c r="M6807" s="15" t="n">
        <v>0.48</v>
      </c>
      <c r="N6807" s="9" t="s">
        <v>85</v>
      </c>
    </row>
    <row r="6808" customFormat="false" ht="14.25" hidden="false" customHeight="true" outlineLevel="0" collapsed="false">
      <c r="B6808" s="9" t="s">
        <v>16</v>
      </c>
      <c r="C6808" s="9" t="n">
        <v>1185732</v>
      </c>
      <c r="D6808" s="10" t="n">
        <v>44420</v>
      </c>
      <c r="E6808" s="9" t="s">
        <v>38</v>
      </c>
      <c r="F6808" s="9" t="s">
        <v>110</v>
      </c>
      <c r="G6808" s="9" t="s">
        <v>111</v>
      </c>
      <c r="H6808" s="11" t="s">
        <v>21</v>
      </c>
      <c r="I6808" s="12" t="n">
        <v>42</v>
      </c>
      <c r="J6808" s="13" t="n">
        <v>78</v>
      </c>
      <c r="K6808" s="14" t="n">
        <f aca="false">I6808*J6808</f>
        <v>3276</v>
      </c>
      <c r="L6808" s="14" t="n">
        <f aca="false">($L$2*M6808)/100</f>
        <v>540749.925</v>
      </c>
      <c r="M6808" s="15" t="n">
        <v>0.45</v>
      </c>
      <c r="N6808" s="9" t="s">
        <v>85</v>
      </c>
    </row>
    <row r="6809" customFormat="false" ht="14.25" hidden="false" customHeight="true" outlineLevel="0" collapsed="false">
      <c r="B6809" s="9" t="s">
        <v>16</v>
      </c>
      <c r="C6809" s="9" t="n">
        <v>1185732</v>
      </c>
      <c r="D6809" s="10" t="n">
        <v>44420</v>
      </c>
      <c r="E6809" s="9" t="s">
        <v>38</v>
      </c>
      <c r="F6809" s="9" t="s">
        <v>110</v>
      </c>
      <c r="G6809" s="9" t="s">
        <v>111</v>
      </c>
      <c r="H6809" s="11" t="s">
        <v>22</v>
      </c>
      <c r="I6809" s="12" t="n">
        <v>36</v>
      </c>
      <c r="J6809" s="13" t="n">
        <v>65</v>
      </c>
      <c r="K6809" s="14" t="n">
        <f aca="false">I6809*J6809</f>
        <v>2340</v>
      </c>
      <c r="L6809" s="14" t="n">
        <f aca="false">($L$2*M6809)/100</f>
        <v>480666.6</v>
      </c>
      <c r="M6809" s="15" t="n">
        <v>0.4</v>
      </c>
      <c r="N6809" s="9" t="s">
        <v>85</v>
      </c>
    </row>
    <row r="6810" customFormat="false" ht="14.25" hidden="false" customHeight="true" outlineLevel="0" collapsed="false">
      <c r="B6810" s="9" t="s">
        <v>16</v>
      </c>
      <c r="C6810" s="9" t="n">
        <v>1185732</v>
      </c>
      <c r="D6810" s="10" t="n">
        <v>44420</v>
      </c>
      <c r="E6810" s="9" t="s">
        <v>38</v>
      </c>
      <c r="F6810" s="9" t="s">
        <v>110</v>
      </c>
      <c r="G6810" s="9" t="s">
        <v>111</v>
      </c>
      <c r="H6810" s="11" t="s">
        <v>23</v>
      </c>
      <c r="I6810" s="12" t="n">
        <v>38</v>
      </c>
      <c r="J6810" s="13" t="n">
        <v>58</v>
      </c>
      <c r="K6810" s="14" t="n">
        <f aca="false">I6810*J6810</f>
        <v>2204</v>
      </c>
      <c r="L6810" s="14" t="n">
        <f aca="false">($L$2*M6810)/100</f>
        <v>516716.595</v>
      </c>
      <c r="M6810" s="15" t="n">
        <v>0.43</v>
      </c>
      <c r="N6810" s="9" t="s">
        <v>85</v>
      </c>
    </row>
    <row r="6811" customFormat="false" ht="14.25" hidden="false" customHeight="true" outlineLevel="0" collapsed="false">
      <c r="B6811" s="9" t="s">
        <v>16</v>
      </c>
      <c r="C6811" s="9" t="n">
        <v>1185732</v>
      </c>
      <c r="D6811" s="10" t="n">
        <v>44420</v>
      </c>
      <c r="E6811" s="9" t="s">
        <v>38</v>
      </c>
      <c r="F6811" s="9" t="s">
        <v>110</v>
      </c>
      <c r="G6811" s="9" t="s">
        <v>111</v>
      </c>
      <c r="H6811" s="11" t="s">
        <v>24</v>
      </c>
      <c r="I6811" s="12" t="n">
        <v>47</v>
      </c>
      <c r="J6811" s="13" t="n">
        <v>46</v>
      </c>
      <c r="K6811" s="14" t="n">
        <f aca="false">I6811*J6811</f>
        <v>2162</v>
      </c>
      <c r="L6811" s="14" t="n">
        <f aca="false">($L$2*M6811)/100</f>
        <v>552766.59</v>
      </c>
      <c r="M6811" s="15" t="n">
        <v>0.46</v>
      </c>
      <c r="N6811" s="9" t="s">
        <v>85</v>
      </c>
    </row>
    <row r="6812" customFormat="false" ht="14.25" hidden="false" customHeight="true" outlineLevel="0" collapsed="false">
      <c r="B6812" s="9" t="s">
        <v>16</v>
      </c>
      <c r="C6812" s="9" t="n">
        <v>1185732</v>
      </c>
      <c r="D6812" s="10" t="n">
        <v>44420</v>
      </c>
      <c r="E6812" s="9" t="s">
        <v>38</v>
      </c>
      <c r="F6812" s="9" t="s">
        <v>110</v>
      </c>
      <c r="G6812" s="9" t="s">
        <v>111</v>
      </c>
      <c r="H6812" s="11" t="s">
        <v>25</v>
      </c>
      <c r="I6812" s="12" t="n">
        <v>53</v>
      </c>
      <c r="J6812" s="13" t="n">
        <v>88</v>
      </c>
      <c r="K6812" s="14" t="n">
        <f aca="false">I6812*J6812</f>
        <v>4664</v>
      </c>
      <c r="L6812" s="14" t="n">
        <f aca="false">($L$2*M6812)/100</f>
        <v>600833.25</v>
      </c>
      <c r="M6812" s="15" t="n">
        <v>0.5</v>
      </c>
      <c r="N6812" s="9" t="s">
        <v>85</v>
      </c>
    </row>
    <row r="6813" customFormat="false" ht="14.25" hidden="false" customHeight="true" outlineLevel="0" collapsed="false">
      <c r="B6813" s="9" t="s">
        <v>16</v>
      </c>
      <c r="C6813" s="9" t="n">
        <v>1185732</v>
      </c>
      <c r="D6813" s="10" t="n">
        <v>44452</v>
      </c>
      <c r="E6813" s="9" t="s">
        <v>38</v>
      </c>
      <c r="F6813" s="9" t="s">
        <v>110</v>
      </c>
      <c r="G6813" s="9" t="s">
        <v>111</v>
      </c>
      <c r="H6813" s="11" t="s">
        <v>19</v>
      </c>
      <c r="I6813" s="12" t="n">
        <v>42</v>
      </c>
      <c r="J6813" s="13" t="n">
        <v>138</v>
      </c>
      <c r="K6813" s="14" t="n">
        <f aca="false">I6813*J6813</f>
        <v>5796</v>
      </c>
      <c r="L6813" s="14" t="n">
        <f aca="false">($L$2*M6813)/100</f>
        <v>540749.925</v>
      </c>
      <c r="M6813" s="15" t="n">
        <v>0.45</v>
      </c>
      <c r="N6813" s="9" t="s">
        <v>85</v>
      </c>
    </row>
    <row r="6814" customFormat="false" ht="14.25" hidden="false" customHeight="true" outlineLevel="0" collapsed="false">
      <c r="B6814" s="9" t="s">
        <v>16</v>
      </c>
      <c r="C6814" s="9" t="n">
        <v>1185732</v>
      </c>
      <c r="D6814" s="10" t="n">
        <v>44452</v>
      </c>
      <c r="E6814" s="9" t="s">
        <v>38</v>
      </c>
      <c r="F6814" s="9" t="s">
        <v>110</v>
      </c>
      <c r="G6814" s="9" t="s">
        <v>111</v>
      </c>
      <c r="H6814" s="11" t="s">
        <v>21</v>
      </c>
      <c r="I6814" s="12" t="n">
        <v>39</v>
      </c>
      <c r="J6814" s="13" t="n">
        <v>80</v>
      </c>
      <c r="K6814" s="14" t="n">
        <f aca="false">I6814*J6814</f>
        <v>3120</v>
      </c>
      <c r="L6814" s="14" t="n">
        <f aca="false">($L$2*M6814)/100</f>
        <v>480666.6</v>
      </c>
      <c r="M6814" s="15" t="n">
        <v>0.4</v>
      </c>
      <c r="N6814" s="9" t="s">
        <v>85</v>
      </c>
    </row>
    <row r="6815" customFormat="false" ht="14.25" hidden="false" customHeight="true" outlineLevel="0" collapsed="false">
      <c r="B6815" s="9" t="s">
        <v>16</v>
      </c>
      <c r="C6815" s="9" t="n">
        <v>1185732</v>
      </c>
      <c r="D6815" s="10" t="n">
        <v>44452</v>
      </c>
      <c r="E6815" s="9" t="s">
        <v>38</v>
      </c>
      <c r="F6815" s="9" t="s">
        <v>110</v>
      </c>
      <c r="G6815" s="9" t="s">
        <v>111</v>
      </c>
      <c r="H6815" s="11" t="s">
        <v>22</v>
      </c>
      <c r="I6815" s="12" t="n">
        <v>32</v>
      </c>
      <c r="J6815" s="13" t="n">
        <v>53</v>
      </c>
      <c r="K6815" s="14" t="n">
        <f aca="false">I6815*J6815</f>
        <v>1696</v>
      </c>
      <c r="L6815" s="14" t="n">
        <f aca="false">($L$2*M6815)/100</f>
        <v>480666.6</v>
      </c>
      <c r="M6815" s="15" t="n">
        <v>0.4</v>
      </c>
      <c r="N6815" s="9" t="s">
        <v>85</v>
      </c>
    </row>
    <row r="6816" customFormat="false" ht="14.25" hidden="false" customHeight="true" outlineLevel="0" collapsed="false">
      <c r="B6816" s="9" t="s">
        <v>16</v>
      </c>
      <c r="C6816" s="9" t="n">
        <v>1185732</v>
      </c>
      <c r="D6816" s="10" t="n">
        <v>44452</v>
      </c>
      <c r="E6816" s="9" t="s">
        <v>38</v>
      </c>
      <c r="F6816" s="9" t="s">
        <v>110</v>
      </c>
      <c r="G6816" s="9" t="s">
        <v>111</v>
      </c>
      <c r="H6816" s="11" t="s">
        <v>23</v>
      </c>
      <c r="I6816" s="12" t="n">
        <v>34</v>
      </c>
      <c r="J6816" s="13" t="n">
        <v>39</v>
      </c>
      <c r="K6816" s="14" t="n">
        <f aca="false">I6816*J6816</f>
        <v>1326</v>
      </c>
      <c r="L6816" s="14" t="n">
        <f aca="false">($L$2*M6816)/100</f>
        <v>480666.6</v>
      </c>
      <c r="M6816" s="15" t="n">
        <v>0.4</v>
      </c>
      <c r="N6816" s="9" t="s">
        <v>85</v>
      </c>
    </row>
    <row r="6817" customFormat="false" ht="14.25" hidden="false" customHeight="true" outlineLevel="0" collapsed="false">
      <c r="B6817" s="9" t="s">
        <v>16</v>
      </c>
      <c r="C6817" s="9" t="n">
        <v>1185732</v>
      </c>
      <c r="D6817" s="10" t="n">
        <v>44452</v>
      </c>
      <c r="E6817" s="9" t="s">
        <v>38</v>
      </c>
      <c r="F6817" s="9" t="s">
        <v>110</v>
      </c>
      <c r="G6817" s="9" t="s">
        <v>111</v>
      </c>
      <c r="H6817" s="11" t="s">
        <v>24</v>
      </c>
      <c r="I6817" s="12" t="n">
        <v>41</v>
      </c>
      <c r="J6817" s="13" t="n">
        <v>42</v>
      </c>
      <c r="K6817" s="14" t="n">
        <f aca="false">I6817*J6817</f>
        <v>1722</v>
      </c>
      <c r="L6817" s="14" t="n">
        <f aca="false">($L$2*M6817)/100</f>
        <v>600833.25</v>
      </c>
      <c r="M6817" s="15" t="n">
        <v>0.5</v>
      </c>
      <c r="N6817" s="9" t="s">
        <v>85</v>
      </c>
    </row>
    <row r="6818" customFormat="false" ht="14.25" hidden="false" customHeight="true" outlineLevel="0" collapsed="false">
      <c r="B6818" s="9" t="s">
        <v>16</v>
      </c>
      <c r="C6818" s="9" t="n">
        <v>1185732</v>
      </c>
      <c r="D6818" s="10" t="n">
        <v>44452</v>
      </c>
      <c r="E6818" s="9" t="s">
        <v>38</v>
      </c>
      <c r="F6818" s="9" t="s">
        <v>110</v>
      </c>
      <c r="G6818" s="9" t="s">
        <v>111</v>
      </c>
      <c r="H6818" s="11" t="s">
        <v>25</v>
      </c>
      <c r="I6818" s="12" t="n">
        <v>46</v>
      </c>
      <c r="J6818" s="13" t="n">
        <v>65</v>
      </c>
      <c r="K6818" s="14" t="n">
        <f aca="false">I6818*J6818</f>
        <v>2990</v>
      </c>
      <c r="L6818" s="14" t="n">
        <f aca="false">($L$2*M6818)/100</f>
        <v>600833.25</v>
      </c>
      <c r="M6818" s="15" t="n">
        <v>0.5</v>
      </c>
      <c r="N6818" s="9" t="s">
        <v>85</v>
      </c>
    </row>
    <row r="6819" customFormat="false" ht="14.25" hidden="false" customHeight="true" outlineLevel="0" collapsed="false">
      <c r="B6819" s="9" t="s">
        <v>16</v>
      </c>
      <c r="C6819" s="9" t="n">
        <v>1185732</v>
      </c>
      <c r="D6819" s="10" t="n">
        <v>44481</v>
      </c>
      <c r="E6819" s="9" t="s">
        <v>38</v>
      </c>
      <c r="F6819" s="9" t="s">
        <v>110</v>
      </c>
      <c r="G6819" s="9" t="s">
        <v>111</v>
      </c>
      <c r="H6819" s="11" t="s">
        <v>19</v>
      </c>
      <c r="I6819" s="12" t="n">
        <v>54</v>
      </c>
      <c r="J6819" s="13" t="n">
        <v>104</v>
      </c>
      <c r="K6819" s="14" t="n">
        <f aca="false">I6819*J6819</f>
        <v>5616</v>
      </c>
      <c r="L6819" s="14" t="n">
        <f aca="false">($L$2*M6819)/100</f>
        <v>552766.59</v>
      </c>
      <c r="M6819" s="15" t="n">
        <v>0.46</v>
      </c>
      <c r="N6819" s="9" t="s">
        <v>85</v>
      </c>
    </row>
    <row r="6820" customFormat="false" ht="14.25" hidden="false" customHeight="true" outlineLevel="0" collapsed="false">
      <c r="B6820" s="9" t="s">
        <v>16</v>
      </c>
      <c r="C6820" s="9" t="n">
        <v>1185732</v>
      </c>
      <c r="D6820" s="10" t="n">
        <v>44481</v>
      </c>
      <c r="E6820" s="9" t="s">
        <v>38</v>
      </c>
      <c r="F6820" s="9" t="s">
        <v>110</v>
      </c>
      <c r="G6820" s="9" t="s">
        <v>111</v>
      </c>
      <c r="H6820" s="11" t="s">
        <v>21</v>
      </c>
      <c r="I6820" s="12" t="n">
        <v>41</v>
      </c>
      <c r="J6820" s="13" t="n">
        <v>75</v>
      </c>
      <c r="K6820" s="14" t="n">
        <f aca="false">I6820*J6820</f>
        <v>3075</v>
      </c>
      <c r="L6820" s="14" t="n">
        <f aca="false">($L$2*M6820)/100</f>
        <v>504699.93</v>
      </c>
      <c r="M6820" s="15" t="n">
        <v>0.42</v>
      </c>
      <c r="N6820" s="9" t="s">
        <v>85</v>
      </c>
    </row>
    <row r="6821" customFormat="false" ht="14.25" hidden="false" customHeight="true" outlineLevel="0" collapsed="false">
      <c r="B6821" s="9" t="s">
        <v>16</v>
      </c>
      <c r="C6821" s="9" t="n">
        <v>1185732</v>
      </c>
      <c r="D6821" s="10" t="n">
        <v>44481</v>
      </c>
      <c r="E6821" s="9" t="s">
        <v>38</v>
      </c>
      <c r="F6821" s="9" t="s">
        <v>110</v>
      </c>
      <c r="G6821" s="9" t="s">
        <v>111</v>
      </c>
      <c r="H6821" s="11" t="s">
        <v>22</v>
      </c>
      <c r="I6821" s="12" t="n">
        <v>43</v>
      </c>
      <c r="J6821" s="13" t="n">
        <v>42</v>
      </c>
      <c r="K6821" s="14" t="n">
        <f aca="false">I6821*J6821</f>
        <v>1806</v>
      </c>
      <c r="L6821" s="14" t="n">
        <f aca="false">($L$2*M6821)/100</f>
        <v>480666.6</v>
      </c>
      <c r="M6821" s="15" t="n">
        <v>0.4</v>
      </c>
      <c r="N6821" s="9" t="s">
        <v>85</v>
      </c>
    </row>
    <row r="6822" customFormat="false" ht="14.25" hidden="false" customHeight="true" outlineLevel="0" collapsed="false">
      <c r="B6822" s="9" t="s">
        <v>16</v>
      </c>
      <c r="C6822" s="9" t="n">
        <v>1185732</v>
      </c>
      <c r="D6822" s="10" t="n">
        <v>44481</v>
      </c>
      <c r="E6822" s="9" t="s">
        <v>38</v>
      </c>
      <c r="F6822" s="9" t="s">
        <v>110</v>
      </c>
      <c r="G6822" s="9" t="s">
        <v>111</v>
      </c>
      <c r="H6822" s="11" t="s">
        <v>23</v>
      </c>
      <c r="I6822" s="12" t="n">
        <v>43</v>
      </c>
      <c r="J6822" s="13" t="n">
        <v>36</v>
      </c>
      <c r="K6822" s="14" t="n">
        <f aca="false">I6822*J6822</f>
        <v>1548</v>
      </c>
      <c r="L6822" s="14" t="n">
        <f aca="false">($L$2*M6822)/100</f>
        <v>540749.925</v>
      </c>
      <c r="M6822" s="15" t="n">
        <v>0.45</v>
      </c>
      <c r="N6822" s="9" t="s">
        <v>85</v>
      </c>
    </row>
    <row r="6823" customFormat="false" ht="14.25" hidden="false" customHeight="true" outlineLevel="0" collapsed="false">
      <c r="B6823" s="9" t="s">
        <v>16</v>
      </c>
      <c r="C6823" s="9" t="n">
        <v>1185732</v>
      </c>
      <c r="D6823" s="10" t="n">
        <v>44481</v>
      </c>
      <c r="E6823" s="9" t="s">
        <v>38</v>
      </c>
      <c r="F6823" s="9" t="s">
        <v>110</v>
      </c>
      <c r="G6823" s="9" t="s">
        <v>111</v>
      </c>
      <c r="H6823" s="11" t="s">
        <v>24</v>
      </c>
      <c r="I6823" s="12" t="n">
        <v>54</v>
      </c>
      <c r="J6823" s="13" t="n">
        <v>38</v>
      </c>
      <c r="K6823" s="14" t="n">
        <f aca="false">I6823*J6823</f>
        <v>2052</v>
      </c>
      <c r="L6823" s="14" t="n">
        <f aca="false">($L$2*M6823)/100</f>
        <v>564783.255</v>
      </c>
      <c r="M6823" s="15" t="n">
        <v>0.47</v>
      </c>
      <c r="N6823" s="9" t="s">
        <v>85</v>
      </c>
    </row>
    <row r="6824" customFormat="false" ht="14.25" hidden="false" customHeight="true" outlineLevel="0" collapsed="false">
      <c r="B6824" s="9" t="s">
        <v>28</v>
      </c>
      <c r="C6824" s="9" t="n">
        <v>1185732</v>
      </c>
      <c r="D6824" s="10" t="n">
        <v>44481</v>
      </c>
      <c r="E6824" s="9" t="s">
        <v>38</v>
      </c>
      <c r="F6824" s="9" t="s">
        <v>110</v>
      </c>
      <c r="G6824" s="9" t="s">
        <v>111</v>
      </c>
      <c r="H6824" s="11" t="s">
        <v>25</v>
      </c>
      <c r="I6824" s="12" t="n">
        <v>55</v>
      </c>
      <c r="J6824" s="13" t="n">
        <v>70</v>
      </c>
      <c r="K6824" s="14" t="n">
        <f aca="false">I6824*J6824</f>
        <v>3850</v>
      </c>
      <c r="L6824" s="14" t="n">
        <f aca="false">($L$2*M6824)/100</f>
        <v>660916.575</v>
      </c>
      <c r="M6824" s="15" t="n">
        <v>0.55</v>
      </c>
      <c r="N6824" s="9" t="s">
        <v>85</v>
      </c>
    </row>
    <row r="6825" customFormat="false" ht="14.25" hidden="false" customHeight="true" outlineLevel="0" collapsed="false">
      <c r="B6825" s="9" t="s">
        <v>28</v>
      </c>
      <c r="C6825" s="9" t="n">
        <v>1185732</v>
      </c>
      <c r="D6825" s="10" t="n">
        <v>44512</v>
      </c>
      <c r="E6825" s="9" t="s">
        <v>38</v>
      </c>
      <c r="F6825" s="9" t="s">
        <v>110</v>
      </c>
      <c r="G6825" s="9" t="s">
        <v>111</v>
      </c>
      <c r="H6825" s="11" t="s">
        <v>19</v>
      </c>
      <c r="I6825" s="12" t="n">
        <v>53</v>
      </c>
      <c r="J6825" s="13" t="n">
        <v>104</v>
      </c>
      <c r="K6825" s="14" t="n">
        <f aca="false">I6825*J6825</f>
        <v>5512</v>
      </c>
      <c r="L6825" s="14" t="n">
        <f aca="false">($L$2*M6825)/100</f>
        <v>588816.585</v>
      </c>
      <c r="M6825" s="15" t="n">
        <v>0.49</v>
      </c>
      <c r="N6825" s="9" t="s">
        <v>85</v>
      </c>
    </row>
    <row r="6826" customFormat="false" ht="14.25" hidden="false" customHeight="true" outlineLevel="0" collapsed="false">
      <c r="B6826" s="9" t="s">
        <v>28</v>
      </c>
      <c r="C6826" s="9" t="n">
        <v>1185732</v>
      </c>
      <c r="D6826" s="10" t="n">
        <v>44512</v>
      </c>
      <c r="E6826" s="9" t="s">
        <v>38</v>
      </c>
      <c r="F6826" s="9" t="s">
        <v>110</v>
      </c>
      <c r="G6826" s="9" t="s">
        <v>111</v>
      </c>
      <c r="H6826" s="11" t="s">
        <v>21</v>
      </c>
      <c r="I6826" s="12" t="n">
        <v>41</v>
      </c>
      <c r="J6826" s="13" t="n">
        <v>63</v>
      </c>
      <c r="K6826" s="14" t="n">
        <f aca="false">I6826*J6826</f>
        <v>2583</v>
      </c>
      <c r="L6826" s="14" t="n">
        <f aca="false">($L$2*M6826)/100</f>
        <v>492683.265</v>
      </c>
      <c r="M6826" s="15" t="n">
        <v>0.41</v>
      </c>
      <c r="N6826" s="9" t="s">
        <v>85</v>
      </c>
    </row>
    <row r="6827" customFormat="false" ht="14.25" hidden="false" customHeight="true" outlineLevel="0" collapsed="false">
      <c r="B6827" s="9" t="s">
        <v>28</v>
      </c>
      <c r="C6827" s="9" t="n">
        <v>1185732</v>
      </c>
      <c r="D6827" s="10" t="n">
        <v>44512</v>
      </c>
      <c r="E6827" s="9" t="s">
        <v>38</v>
      </c>
      <c r="F6827" s="9" t="s">
        <v>110</v>
      </c>
      <c r="G6827" s="9" t="s">
        <v>111</v>
      </c>
      <c r="H6827" s="11" t="s">
        <v>22</v>
      </c>
      <c r="I6827" s="12" t="n">
        <v>43</v>
      </c>
      <c r="J6827" s="13" t="n">
        <v>57</v>
      </c>
      <c r="K6827" s="14" t="n">
        <f aca="false">I6827*J6827</f>
        <v>2451</v>
      </c>
      <c r="L6827" s="14" t="n">
        <f aca="false">($L$2*M6827)/100</f>
        <v>528733.26</v>
      </c>
      <c r="M6827" s="15" t="n">
        <v>0.44</v>
      </c>
      <c r="N6827" s="9" t="s">
        <v>85</v>
      </c>
    </row>
    <row r="6828" customFormat="false" ht="14.25" hidden="false" customHeight="true" outlineLevel="0" collapsed="false">
      <c r="B6828" s="9" t="s">
        <v>28</v>
      </c>
      <c r="C6828" s="9" t="n">
        <v>1185732</v>
      </c>
      <c r="D6828" s="10" t="n">
        <v>44512</v>
      </c>
      <c r="E6828" s="9" t="s">
        <v>38</v>
      </c>
      <c r="F6828" s="9" t="s">
        <v>110</v>
      </c>
      <c r="G6828" s="9" t="s">
        <v>111</v>
      </c>
      <c r="H6828" s="11" t="s">
        <v>23</v>
      </c>
      <c r="I6828" s="12" t="n">
        <v>43</v>
      </c>
      <c r="J6828" s="13" t="n">
        <v>44</v>
      </c>
      <c r="K6828" s="14" t="n">
        <f aca="false">I6828*J6828</f>
        <v>1892</v>
      </c>
      <c r="L6828" s="14" t="n">
        <f aca="false">($L$2*M6828)/100</f>
        <v>528733.26</v>
      </c>
      <c r="M6828" s="15" t="n">
        <v>0.44</v>
      </c>
      <c r="N6828" s="9" t="s">
        <v>85</v>
      </c>
    </row>
    <row r="6829" customFormat="false" ht="14.25" hidden="false" customHeight="true" outlineLevel="0" collapsed="false">
      <c r="B6829" s="9" t="s">
        <v>28</v>
      </c>
      <c r="C6829" s="9" t="n">
        <v>1185732</v>
      </c>
      <c r="D6829" s="10" t="n">
        <v>44512</v>
      </c>
      <c r="E6829" s="9" t="s">
        <v>38</v>
      </c>
      <c r="F6829" s="9" t="s">
        <v>110</v>
      </c>
      <c r="G6829" s="9" t="s">
        <v>111</v>
      </c>
      <c r="H6829" s="11" t="s">
        <v>24</v>
      </c>
      <c r="I6829" s="12" t="n">
        <v>59</v>
      </c>
      <c r="J6829" s="13" t="n">
        <v>45</v>
      </c>
      <c r="K6829" s="14" t="n">
        <f aca="false">I6829*J6829</f>
        <v>2655</v>
      </c>
      <c r="L6829" s="14" t="n">
        <f aca="false">($L$2*M6829)/100</f>
        <v>552766.59</v>
      </c>
      <c r="M6829" s="15" t="n">
        <v>0.46</v>
      </c>
      <c r="N6829" s="9" t="s">
        <v>85</v>
      </c>
    </row>
    <row r="6830" customFormat="false" ht="14.25" hidden="false" customHeight="true" outlineLevel="0" collapsed="false">
      <c r="B6830" s="9" t="s">
        <v>28</v>
      </c>
      <c r="C6830" s="9" t="n">
        <v>1185732</v>
      </c>
      <c r="D6830" s="10" t="n">
        <v>44512</v>
      </c>
      <c r="E6830" s="9" t="s">
        <v>38</v>
      </c>
      <c r="F6830" s="9" t="s">
        <v>110</v>
      </c>
      <c r="G6830" s="9" t="s">
        <v>111</v>
      </c>
      <c r="H6830" s="11" t="s">
        <v>25</v>
      </c>
      <c r="I6830" s="12" t="n">
        <v>61</v>
      </c>
      <c r="J6830" s="13" t="n">
        <v>65</v>
      </c>
      <c r="K6830" s="14" t="n">
        <f aca="false">I6830*J6830</f>
        <v>3965</v>
      </c>
      <c r="L6830" s="14" t="n">
        <f aca="false">($L$2*M6830)/100</f>
        <v>600833.25</v>
      </c>
      <c r="M6830" s="15" t="n">
        <v>0.5</v>
      </c>
      <c r="N6830" s="9" t="s">
        <v>85</v>
      </c>
    </row>
    <row r="6831" customFormat="false" ht="14.25" hidden="false" customHeight="true" outlineLevel="0" collapsed="false">
      <c r="B6831" s="9" t="s">
        <v>28</v>
      </c>
      <c r="C6831" s="9" t="n">
        <v>1185732</v>
      </c>
      <c r="D6831" s="10" t="n">
        <v>44541</v>
      </c>
      <c r="E6831" s="9" t="s">
        <v>38</v>
      </c>
      <c r="F6831" s="9" t="s">
        <v>110</v>
      </c>
      <c r="G6831" s="9" t="s">
        <v>111</v>
      </c>
      <c r="H6831" s="11" t="s">
        <v>19</v>
      </c>
      <c r="I6831" s="12" t="n">
        <v>58</v>
      </c>
      <c r="J6831" s="13" t="n">
        <v>140</v>
      </c>
      <c r="K6831" s="14" t="n">
        <f aca="false">I6831*J6831</f>
        <v>8120</v>
      </c>
      <c r="L6831" s="14" t="n">
        <f aca="false">($L$2*M6831)/100</f>
        <v>552766.59</v>
      </c>
      <c r="M6831" s="15" t="n">
        <v>0.46</v>
      </c>
      <c r="N6831" s="9" t="s">
        <v>85</v>
      </c>
    </row>
    <row r="6832" customFormat="false" ht="14.25" hidden="false" customHeight="true" outlineLevel="0" collapsed="false">
      <c r="B6832" s="9" t="s">
        <v>28</v>
      </c>
      <c r="C6832" s="9" t="n">
        <v>1185732</v>
      </c>
      <c r="D6832" s="10" t="n">
        <v>44541</v>
      </c>
      <c r="E6832" s="9" t="s">
        <v>38</v>
      </c>
      <c r="F6832" s="9" t="s">
        <v>110</v>
      </c>
      <c r="G6832" s="9" t="s">
        <v>111</v>
      </c>
      <c r="H6832" s="11" t="s">
        <v>21</v>
      </c>
      <c r="I6832" s="12" t="n">
        <v>45</v>
      </c>
      <c r="J6832" s="13" t="n">
        <v>75</v>
      </c>
      <c r="K6832" s="14" t="n">
        <f aca="false">I6832*J6832</f>
        <v>3375</v>
      </c>
      <c r="L6832" s="14" t="n">
        <f aca="false">($L$2*M6832)/100</f>
        <v>516716.595</v>
      </c>
      <c r="M6832" s="15" t="n">
        <v>0.43</v>
      </c>
      <c r="N6832" s="9" t="s">
        <v>85</v>
      </c>
    </row>
    <row r="6833" customFormat="false" ht="14.25" hidden="false" customHeight="true" outlineLevel="0" collapsed="false">
      <c r="B6833" s="9" t="s">
        <v>28</v>
      </c>
      <c r="C6833" s="9" t="n">
        <v>1185732</v>
      </c>
      <c r="D6833" s="10" t="n">
        <v>44541</v>
      </c>
      <c r="E6833" s="9" t="s">
        <v>38</v>
      </c>
      <c r="F6833" s="9" t="s">
        <v>110</v>
      </c>
      <c r="G6833" s="9" t="s">
        <v>111</v>
      </c>
      <c r="H6833" s="11" t="s">
        <v>22</v>
      </c>
      <c r="I6833" s="12" t="n">
        <v>45</v>
      </c>
      <c r="J6833" s="13" t="n">
        <v>73</v>
      </c>
      <c r="K6833" s="14" t="n">
        <f aca="false">I6833*J6833</f>
        <v>3285</v>
      </c>
      <c r="L6833" s="14" t="n">
        <f aca="false">($L$2*M6833)/100</f>
        <v>504699.93</v>
      </c>
      <c r="M6833" s="15" t="n">
        <v>0.42</v>
      </c>
      <c r="N6833" s="9" t="s">
        <v>85</v>
      </c>
    </row>
    <row r="6834" customFormat="false" ht="14.25" hidden="false" customHeight="true" outlineLevel="0" collapsed="false">
      <c r="B6834" s="9" t="s">
        <v>28</v>
      </c>
      <c r="C6834" s="9" t="n">
        <v>1185732</v>
      </c>
      <c r="D6834" s="10" t="n">
        <v>44541</v>
      </c>
      <c r="E6834" s="9" t="s">
        <v>38</v>
      </c>
      <c r="F6834" s="9" t="s">
        <v>110</v>
      </c>
      <c r="G6834" s="9" t="s">
        <v>111</v>
      </c>
      <c r="H6834" s="11" t="s">
        <v>23</v>
      </c>
      <c r="I6834" s="12" t="n">
        <v>45</v>
      </c>
      <c r="J6834" s="13" t="n">
        <v>50</v>
      </c>
      <c r="K6834" s="14" t="n">
        <f aca="false">I6834*J6834</f>
        <v>2250</v>
      </c>
      <c r="L6834" s="14" t="n">
        <f aca="false">($L$2*M6834)/100</f>
        <v>540749.925</v>
      </c>
      <c r="M6834" s="15" t="n">
        <v>0.45</v>
      </c>
      <c r="N6834" s="9" t="s">
        <v>85</v>
      </c>
    </row>
    <row r="6835" customFormat="false" ht="14.25" hidden="false" customHeight="true" outlineLevel="0" collapsed="false">
      <c r="B6835" s="9" t="s">
        <v>28</v>
      </c>
      <c r="C6835" s="9" t="n">
        <v>1185732</v>
      </c>
      <c r="D6835" s="10" t="n">
        <v>44541</v>
      </c>
      <c r="E6835" s="9" t="s">
        <v>38</v>
      </c>
      <c r="F6835" s="9" t="s">
        <v>110</v>
      </c>
      <c r="G6835" s="9" t="s">
        <v>111</v>
      </c>
      <c r="H6835" s="11" t="s">
        <v>24</v>
      </c>
      <c r="I6835" s="12" t="n">
        <v>56</v>
      </c>
      <c r="J6835" s="13" t="n">
        <v>50</v>
      </c>
      <c r="K6835" s="14" t="n">
        <f aca="false">I6835*J6835</f>
        <v>2800</v>
      </c>
      <c r="L6835" s="14" t="n">
        <f aca="false">($L$2*M6835)/100</f>
        <v>540749.925</v>
      </c>
      <c r="M6835" s="15" t="n">
        <v>0.45</v>
      </c>
      <c r="N6835" s="9" t="s">
        <v>85</v>
      </c>
    </row>
    <row r="6836" customFormat="false" ht="14.25" hidden="false" customHeight="true" outlineLevel="0" collapsed="false">
      <c r="B6836" s="9" t="s">
        <v>28</v>
      </c>
      <c r="C6836" s="9" t="n">
        <v>1185732</v>
      </c>
      <c r="D6836" s="10" t="n">
        <v>44541</v>
      </c>
      <c r="E6836" s="9" t="s">
        <v>38</v>
      </c>
      <c r="F6836" s="9" t="s">
        <v>110</v>
      </c>
      <c r="G6836" s="9" t="s">
        <v>111</v>
      </c>
      <c r="H6836" s="11" t="s">
        <v>25</v>
      </c>
      <c r="I6836" s="12" t="n">
        <v>64</v>
      </c>
      <c r="J6836" s="13" t="n">
        <v>75</v>
      </c>
      <c r="K6836" s="14" t="n">
        <f aca="false">I6836*J6836</f>
        <v>4800</v>
      </c>
      <c r="L6836" s="14" t="n">
        <f aca="false">($L$2*M6836)/100</f>
        <v>624866.58</v>
      </c>
      <c r="M6836" s="15" t="n">
        <v>0.52</v>
      </c>
      <c r="N6836" s="9" t="s">
        <v>85</v>
      </c>
    </row>
    <row r="6837" customFormat="false" ht="14.25" hidden="false" customHeight="true" outlineLevel="0" collapsed="false">
      <c r="B6837" s="9" t="s">
        <v>28</v>
      </c>
      <c r="C6837" s="9" t="n">
        <v>1185732</v>
      </c>
      <c r="D6837" s="10" t="n">
        <v>44205</v>
      </c>
      <c r="E6837" s="9" t="s">
        <v>38</v>
      </c>
      <c r="F6837" s="9" t="s">
        <v>110</v>
      </c>
      <c r="G6837" s="9" t="s">
        <v>111</v>
      </c>
      <c r="H6837" s="11" t="s">
        <v>19</v>
      </c>
      <c r="I6837" s="12" t="n">
        <v>33</v>
      </c>
      <c r="J6837" s="13" t="n">
        <v>128</v>
      </c>
      <c r="K6837" s="14" t="n">
        <f aca="false">I6837*J6837</f>
        <v>4224</v>
      </c>
      <c r="L6837" s="14" t="n">
        <f aca="false">($L$2*M6837)/100</f>
        <v>540749.925</v>
      </c>
      <c r="M6837" s="15" t="n">
        <v>0.45</v>
      </c>
      <c r="N6837" s="9" t="s">
        <v>85</v>
      </c>
    </row>
    <row r="6838" customFormat="false" ht="14.25" hidden="false" customHeight="true" outlineLevel="0" collapsed="false">
      <c r="B6838" s="9" t="s">
        <v>28</v>
      </c>
      <c r="C6838" s="9" t="n">
        <v>1185732</v>
      </c>
      <c r="D6838" s="10" t="n">
        <v>44205</v>
      </c>
      <c r="E6838" s="9" t="s">
        <v>38</v>
      </c>
      <c r="F6838" s="9" t="s">
        <v>110</v>
      </c>
      <c r="G6838" s="9" t="s">
        <v>111</v>
      </c>
      <c r="H6838" s="11" t="s">
        <v>21</v>
      </c>
      <c r="I6838" s="12" t="n">
        <v>32</v>
      </c>
      <c r="J6838" s="13" t="n">
        <v>74</v>
      </c>
      <c r="K6838" s="14" t="n">
        <f aca="false">I6838*J6838</f>
        <v>2368</v>
      </c>
      <c r="L6838" s="14" t="n">
        <f aca="false">($L$2*M6838)/100</f>
        <v>528733.26</v>
      </c>
      <c r="M6838" s="15" t="n">
        <v>0.44</v>
      </c>
      <c r="N6838" s="9" t="s">
        <v>85</v>
      </c>
    </row>
    <row r="6839" customFormat="false" ht="14.25" hidden="false" customHeight="true" outlineLevel="0" collapsed="false">
      <c r="B6839" s="9" t="s">
        <v>28</v>
      </c>
      <c r="C6839" s="9" t="n">
        <v>1185732</v>
      </c>
      <c r="D6839" s="10" t="n">
        <v>44205</v>
      </c>
      <c r="E6839" s="9" t="s">
        <v>38</v>
      </c>
      <c r="F6839" s="9" t="s">
        <v>110</v>
      </c>
      <c r="G6839" s="9" t="s">
        <v>111</v>
      </c>
      <c r="H6839" s="11" t="s">
        <v>22</v>
      </c>
      <c r="I6839" s="12" t="n">
        <v>25</v>
      </c>
      <c r="J6839" s="13" t="n">
        <v>74</v>
      </c>
      <c r="K6839" s="14" t="n">
        <f aca="false">I6839*J6839</f>
        <v>1850</v>
      </c>
      <c r="L6839" s="14" t="n">
        <f aca="false">($L$2*M6839)/100</f>
        <v>480666.6</v>
      </c>
      <c r="M6839" s="15" t="n">
        <v>0.4</v>
      </c>
      <c r="N6839" s="9" t="s">
        <v>85</v>
      </c>
    </row>
    <row r="6840" customFormat="false" ht="14.25" hidden="false" customHeight="true" outlineLevel="0" collapsed="false">
      <c r="B6840" s="9" t="s">
        <v>28</v>
      </c>
      <c r="C6840" s="9" t="n">
        <v>1185732</v>
      </c>
      <c r="D6840" s="10" t="n">
        <v>44205</v>
      </c>
      <c r="E6840" s="9" t="s">
        <v>38</v>
      </c>
      <c r="F6840" s="9" t="s">
        <v>110</v>
      </c>
      <c r="G6840" s="9" t="s">
        <v>111</v>
      </c>
      <c r="H6840" s="11" t="s">
        <v>23</v>
      </c>
      <c r="I6840" s="12" t="n">
        <v>28</v>
      </c>
      <c r="J6840" s="13" t="n">
        <v>33</v>
      </c>
      <c r="K6840" s="14" t="n">
        <f aca="false">I6840*J6840</f>
        <v>924</v>
      </c>
      <c r="L6840" s="14" t="n">
        <f aca="false">($L$2*M6840)/100</f>
        <v>540749.925</v>
      </c>
      <c r="M6840" s="15" t="n">
        <v>0.45</v>
      </c>
      <c r="N6840" s="9" t="s">
        <v>85</v>
      </c>
    </row>
    <row r="6841" customFormat="false" ht="14.25" hidden="false" customHeight="true" outlineLevel="0" collapsed="false">
      <c r="B6841" s="9" t="s">
        <v>28</v>
      </c>
      <c r="C6841" s="9" t="n">
        <v>1185732</v>
      </c>
      <c r="D6841" s="10" t="n">
        <v>44205</v>
      </c>
      <c r="E6841" s="9" t="s">
        <v>38</v>
      </c>
      <c r="F6841" s="9" t="s">
        <v>110</v>
      </c>
      <c r="G6841" s="9" t="s">
        <v>111</v>
      </c>
      <c r="H6841" s="11" t="s">
        <v>24</v>
      </c>
      <c r="I6841" s="12" t="n">
        <v>43</v>
      </c>
      <c r="J6841" s="13" t="n">
        <v>49</v>
      </c>
      <c r="K6841" s="14" t="n">
        <f aca="false">I6841*J6841</f>
        <v>2107</v>
      </c>
      <c r="L6841" s="14" t="n">
        <f aca="false">($L$2*M6841)/100</f>
        <v>588816.585</v>
      </c>
      <c r="M6841" s="15" t="n">
        <v>0.49</v>
      </c>
      <c r="N6841" s="9" t="s">
        <v>85</v>
      </c>
    </row>
    <row r="6842" customFormat="false" ht="14.25" hidden="false" customHeight="true" outlineLevel="0" collapsed="false">
      <c r="B6842" s="9" t="s">
        <v>28</v>
      </c>
      <c r="C6842" s="9" t="n">
        <v>1185732</v>
      </c>
      <c r="D6842" s="10" t="n">
        <v>44205</v>
      </c>
      <c r="E6842" s="9" t="s">
        <v>38</v>
      </c>
      <c r="F6842" s="9" t="s">
        <v>110</v>
      </c>
      <c r="G6842" s="9" t="s">
        <v>111</v>
      </c>
      <c r="H6842" s="11" t="s">
        <v>25</v>
      </c>
      <c r="I6842" s="12" t="n">
        <v>33</v>
      </c>
      <c r="J6842" s="13" t="n">
        <v>72</v>
      </c>
      <c r="K6842" s="14" t="n">
        <f aca="false">I6842*J6842</f>
        <v>2376</v>
      </c>
      <c r="L6842" s="14" t="n">
        <f aca="false">($L$2*M6842)/100</f>
        <v>612849.915</v>
      </c>
      <c r="M6842" s="15" t="n">
        <v>0.51</v>
      </c>
      <c r="N6842" s="9" t="s">
        <v>85</v>
      </c>
    </row>
    <row r="6843" customFormat="false" ht="14.25" hidden="false" customHeight="true" outlineLevel="0" collapsed="false">
      <c r="B6843" s="9" t="s">
        <v>28</v>
      </c>
      <c r="C6843" s="9" t="n">
        <v>1185732</v>
      </c>
      <c r="D6843" s="10" t="n">
        <v>44236</v>
      </c>
      <c r="E6843" s="9" t="s">
        <v>38</v>
      </c>
      <c r="F6843" s="9" t="s">
        <v>110</v>
      </c>
      <c r="G6843" s="9" t="s">
        <v>111</v>
      </c>
      <c r="H6843" s="11" t="s">
        <v>19</v>
      </c>
      <c r="I6843" s="12" t="n">
        <v>34</v>
      </c>
      <c r="J6843" s="13" t="n">
        <v>152</v>
      </c>
      <c r="K6843" s="14" t="n">
        <f aca="false">I6843*J6843</f>
        <v>5168</v>
      </c>
      <c r="L6843" s="14" t="n">
        <f aca="false">($L$2*M6843)/100</f>
        <v>540749.925</v>
      </c>
      <c r="M6843" s="15" t="n">
        <v>0.45</v>
      </c>
      <c r="N6843" s="9" t="s">
        <v>85</v>
      </c>
    </row>
    <row r="6844" customFormat="false" ht="14.25" hidden="false" customHeight="true" outlineLevel="0" collapsed="false">
      <c r="B6844" s="9" t="s">
        <v>28</v>
      </c>
      <c r="C6844" s="9" t="n">
        <v>1185732</v>
      </c>
      <c r="D6844" s="10" t="n">
        <v>44236</v>
      </c>
      <c r="E6844" s="9" t="s">
        <v>38</v>
      </c>
      <c r="F6844" s="9" t="s">
        <v>110</v>
      </c>
      <c r="G6844" s="9" t="s">
        <v>111</v>
      </c>
      <c r="H6844" s="11" t="s">
        <v>21</v>
      </c>
      <c r="I6844" s="12" t="n">
        <v>34</v>
      </c>
      <c r="J6844" s="13" t="n">
        <v>51</v>
      </c>
      <c r="K6844" s="14" t="n">
        <f aca="false">I6844*J6844</f>
        <v>1734</v>
      </c>
      <c r="L6844" s="14" t="n">
        <f aca="false">($L$2*M6844)/100</f>
        <v>516716.595</v>
      </c>
      <c r="M6844" s="15" t="n">
        <v>0.43</v>
      </c>
      <c r="N6844" s="9" t="s">
        <v>85</v>
      </c>
    </row>
    <row r="6845" customFormat="false" ht="14.25" hidden="false" customHeight="true" outlineLevel="0" collapsed="false">
      <c r="B6845" s="9" t="s">
        <v>28</v>
      </c>
      <c r="C6845" s="9" t="n">
        <v>1185732</v>
      </c>
      <c r="D6845" s="10" t="n">
        <v>44236</v>
      </c>
      <c r="E6845" s="9" t="s">
        <v>38</v>
      </c>
      <c r="F6845" s="9" t="s">
        <v>110</v>
      </c>
      <c r="G6845" s="9" t="s">
        <v>111</v>
      </c>
      <c r="H6845" s="11" t="s">
        <v>22</v>
      </c>
      <c r="I6845" s="12" t="n">
        <v>24</v>
      </c>
      <c r="J6845" s="13" t="n">
        <v>68</v>
      </c>
      <c r="K6845" s="14" t="n">
        <f aca="false">I6845*J6845</f>
        <v>1632</v>
      </c>
      <c r="L6845" s="14" t="n">
        <f aca="false">($L$2*M6845)/100</f>
        <v>504699.93</v>
      </c>
      <c r="M6845" s="15" t="n">
        <v>0.42</v>
      </c>
      <c r="N6845" s="9" t="s">
        <v>85</v>
      </c>
    </row>
    <row r="6846" customFormat="false" ht="14.25" hidden="false" customHeight="true" outlineLevel="0" collapsed="false">
      <c r="B6846" s="9" t="s">
        <v>28</v>
      </c>
      <c r="C6846" s="9" t="n">
        <v>1185732</v>
      </c>
      <c r="D6846" s="10" t="n">
        <v>44236</v>
      </c>
      <c r="E6846" s="9" t="s">
        <v>38</v>
      </c>
      <c r="F6846" s="9" t="s">
        <v>112</v>
      </c>
      <c r="G6846" s="9" t="s">
        <v>113</v>
      </c>
      <c r="H6846" s="11" t="s">
        <v>23</v>
      </c>
      <c r="I6846" s="12" t="n">
        <v>29</v>
      </c>
      <c r="J6846" s="13" t="n">
        <v>30</v>
      </c>
      <c r="K6846" s="14" t="n">
        <f aca="false">I6846*J6846</f>
        <v>870</v>
      </c>
      <c r="L6846" s="14" t="n">
        <f aca="false">($L$2*M6846)/100</f>
        <v>540749.925</v>
      </c>
      <c r="M6846" s="15" t="n">
        <v>0.45</v>
      </c>
      <c r="N6846" s="9" t="s">
        <v>85</v>
      </c>
    </row>
    <row r="6847" customFormat="false" ht="14.25" hidden="false" customHeight="true" outlineLevel="0" collapsed="false">
      <c r="B6847" s="9" t="s">
        <v>28</v>
      </c>
      <c r="C6847" s="9" t="n">
        <v>1185732</v>
      </c>
      <c r="D6847" s="10" t="n">
        <v>44236</v>
      </c>
      <c r="E6847" s="9" t="s">
        <v>38</v>
      </c>
      <c r="F6847" s="9" t="s">
        <v>112</v>
      </c>
      <c r="G6847" s="9" t="s">
        <v>113</v>
      </c>
      <c r="H6847" s="11" t="s">
        <v>24</v>
      </c>
      <c r="I6847" s="12" t="n">
        <v>42</v>
      </c>
      <c r="J6847" s="13" t="n">
        <v>51</v>
      </c>
      <c r="K6847" s="14" t="n">
        <f aca="false">I6847*J6847</f>
        <v>2142</v>
      </c>
      <c r="L6847" s="14" t="n">
        <f aca="false">($L$2*M6847)/100</f>
        <v>588816.585</v>
      </c>
      <c r="M6847" s="15" t="n">
        <v>0.49</v>
      </c>
      <c r="N6847" s="9" t="s">
        <v>85</v>
      </c>
    </row>
    <row r="6848" customFormat="false" ht="14.25" hidden="false" customHeight="true" outlineLevel="0" collapsed="false">
      <c r="B6848" s="9" t="s">
        <v>28</v>
      </c>
      <c r="C6848" s="9" t="n">
        <v>1185732</v>
      </c>
      <c r="D6848" s="10" t="n">
        <v>44236</v>
      </c>
      <c r="E6848" s="9" t="s">
        <v>38</v>
      </c>
      <c r="F6848" s="9" t="s">
        <v>112</v>
      </c>
      <c r="G6848" s="9" t="s">
        <v>113</v>
      </c>
      <c r="H6848" s="11" t="s">
        <v>25</v>
      </c>
      <c r="I6848" s="12" t="n">
        <v>23</v>
      </c>
      <c r="J6848" s="13" t="n">
        <v>69</v>
      </c>
      <c r="K6848" s="14" t="n">
        <f aca="false">I6848*J6848</f>
        <v>1587</v>
      </c>
      <c r="L6848" s="14" t="n">
        <f aca="false">($L$2*M6848)/100</f>
        <v>612849.915</v>
      </c>
      <c r="M6848" s="15" t="n">
        <v>0.51</v>
      </c>
      <c r="N6848" s="9" t="s">
        <v>85</v>
      </c>
    </row>
    <row r="6849" customFormat="false" ht="14.25" hidden="false" customHeight="true" outlineLevel="0" collapsed="false">
      <c r="B6849" s="9" t="s">
        <v>28</v>
      </c>
      <c r="C6849" s="9" t="n">
        <v>1185732</v>
      </c>
      <c r="D6849" s="10" t="n">
        <v>44263</v>
      </c>
      <c r="E6849" s="9" t="s">
        <v>38</v>
      </c>
      <c r="F6849" s="9" t="s">
        <v>112</v>
      </c>
      <c r="G6849" s="9" t="s">
        <v>113</v>
      </c>
      <c r="H6849" s="11" t="s">
        <v>19</v>
      </c>
      <c r="I6849" s="12" t="n">
        <v>29</v>
      </c>
      <c r="J6849" s="13" t="n">
        <v>134</v>
      </c>
      <c r="K6849" s="14" t="n">
        <f aca="false">I6849*J6849</f>
        <v>3886</v>
      </c>
      <c r="L6849" s="14" t="n">
        <f aca="false">($L$2*M6849)/100</f>
        <v>564783.255</v>
      </c>
      <c r="M6849" s="15" t="n">
        <v>0.47</v>
      </c>
      <c r="N6849" s="9" t="s">
        <v>85</v>
      </c>
    </row>
    <row r="6850" customFormat="false" ht="14.25" hidden="false" customHeight="true" outlineLevel="0" collapsed="false">
      <c r="B6850" s="9" t="s">
        <v>28</v>
      </c>
      <c r="C6850" s="9" t="n">
        <v>1185732</v>
      </c>
      <c r="D6850" s="10" t="n">
        <v>44263</v>
      </c>
      <c r="E6850" s="9" t="s">
        <v>38</v>
      </c>
      <c r="F6850" s="9" t="s">
        <v>112</v>
      </c>
      <c r="G6850" s="9" t="s">
        <v>113</v>
      </c>
      <c r="H6850" s="11" t="s">
        <v>21</v>
      </c>
      <c r="I6850" s="12" t="n">
        <v>27</v>
      </c>
      <c r="J6850" s="13" t="n">
        <v>58</v>
      </c>
      <c r="K6850" s="14" t="n">
        <f aca="false">I6850*J6850</f>
        <v>1566</v>
      </c>
      <c r="L6850" s="14" t="n">
        <f aca="false">($L$2*M6850)/100</f>
        <v>504699.93</v>
      </c>
      <c r="M6850" s="15" t="n">
        <v>0.42</v>
      </c>
      <c r="N6850" s="9" t="s">
        <v>85</v>
      </c>
    </row>
    <row r="6851" customFormat="false" ht="14.25" hidden="false" customHeight="true" outlineLevel="0" collapsed="false">
      <c r="B6851" s="9" t="s">
        <v>28</v>
      </c>
      <c r="C6851" s="9" t="n">
        <v>1185732</v>
      </c>
      <c r="D6851" s="10" t="n">
        <v>44263</v>
      </c>
      <c r="E6851" s="9" t="s">
        <v>38</v>
      </c>
      <c r="F6851" s="9" t="s">
        <v>112</v>
      </c>
      <c r="G6851" s="9" t="s">
        <v>113</v>
      </c>
      <c r="H6851" s="11" t="s">
        <v>22</v>
      </c>
      <c r="I6851" s="12" t="n">
        <v>19</v>
      </c>
      <c r="J6851" s="13" t="n">
        <v>56</v>
      </c>
      <c r="K6851" s="14" t="n">
        <f aca="false">I6851*J6851</f>
        <v>1064</v>
      </c>
      <c r="L6851" s="14" t="n">
        <f aca="false">($L$2*M6851)/100</f>
        <v>504699.93</v>
      </c>
      <c r="M6851" s="15" t="n">
        <v>0.42</v>
      </c>
      <c r="N6851" s="9" t="s">
        <v>85</v>
      </c>
    </row>
    <row r="6852" customFormat="false" ht="14.25" hidden="false" customHeight="true" outlineLevel="0" collapsed="false">
      <c r="B6852" s="9" t="s">
        <v>28</v>
      </c>
      <c r="C6852" s="9" t="n">
        <v>1185732</v>
      </c>
      <c r="D6852" s="10" t="n">
        <v>44263</v>
      </c>
      <c r="E6852" s="9" t="s">
        <v>38</v>
      </c>
      <c r="F6852" s="9" t="s">
        <v>112</v>
      </c>
      <c r="G6852" s="9" t="s">
        <v>113</v>
      </c>
      <c r="H6852" s="11" t="s">
        <v>23</v>
      </c>
      <c r="I6852" s="12" t="n">
        <v>25</v>
      </c>
      <c r="J6852" s="13" t="n">
        <v>22</v>
      </c>
      <c r="K6852" s="14" t="n">
        <f aca="false">I6852*J6852</f>
        <v>550</v>
      </c>
      <c r="L6852" s="14" t="n">
        <f aca="false">($L$2*M6852)/100</f>
        <v>504699.93</v>
      </c>
      <c r="M6852" s="15" t="n">
        <v>0.42</v>
      </c>
      <c r="N6852" s="9" t="s">
        <v>85</v>
      </c>
    </row>
    <row r="6853" customFormat="false" ht="14.25" hidden="false" customHeight="true" outlineLevel="0" collapsed="false">
      <c r="B6853" s="9" t="s">
        <v>28</v>
      </c>
      <c r="C6853" s="9" t="n">
        <v>1185732</v>
      </c>
      <c r="D6853" s="10" t="n">
        <v>44263</v>
      </c>
      <c r="E6853" s="9" t="s">
        <v>38</v>
      </c>
      <c r="F6853" s="9" t="s">
        <v>112</v>
      </c>
      <c r="G6853" s="9" t="s">
        <v>113</v>
      </c>
      <c r="H6853" s="11" t="s">
        <v>24</v>
      </c>
      <c r="I6853" s="12" t="n">
        <v>36</v>
      </c>
      <c r="J6853" s="13" t="n">
        <v>36</v>
      </c>
      <c r="K6853" s="14" t="n">
        <f aca="false">I6853*J6853</f>
        <v>1296</v>
      </c>
      <c r="L6853" s="14" t="n">
        <f aca="false">($L$2*M6853)/100</f>
        <v>600833.25</v>
      </c>
      <c r="M6853" s="15" t="n">
        <v>0.5</v>
      </c>
      <c r="N6853" s="9" t="s">
        <v>85</v>
      </c>
    </row>
    <row r="6854" customFormat="false" ht="14.25" hidden="false" customHeight="true" outlineLevel="0" collapsed="false">
      <c r="B6854" s="9" t="s">
        <v>28</v>
      </c>
      <c r="C6854" s="9" t="n">
        <v>1185732</v>
      </c>
      <c r="D6854" s="10" t="n">
        <v>44263</v>
      </c>
      <c r="E6854" s="9" t="s">
        <v>38</v>
      </c>
      <c r="F6854" s="9" t="s">
        <v>112</v>
      </c>
      <c r="G6854" s="9" t="s">
        <v>113</v>
      </c>
      <c r="H6854" s="11" t="s">
        <v>25</v>
      </c>
      <c r="I6854" s="12" t="n">
        <v>28</v>
      </c>
      <c r="J6854" s="13" t="n">
        <v>63</v>
      </c>
      <c r="K6854" s="14" t="n">
        <f aca="false">I6854*J6854</f>
        <v>1764</v>
      </c>
      <c r="L6854" s="14" t="n">
        <f aca="false">($L$2*M6854)/100</f>
        <v>624866.58</v>
      </c>
      <c r="M6854" s="15" t="n">
        <v>0.52</v>
      </c>
      <c r="N6854" s="9" t="s">
        <v>85</v>
      </c>
    </row>
    <row r="6855" customFormat="false" ht="14.25" hidden="false" customHeight="true" outlineLevel="0" collapsed="false">
      <c r="B6855" s="9" t="s">
        <v>28</v>
      </c>
      <c r="C6855" s="9" t="n">
        <v>1185732</v>
      </c>
      <c r="D6855" s="10" t="n">
        <v>44295</v>
      </c>
      <c r="E6855" s="9" t="s">
        <v>38</v>
      </c>
      <c r="F6855" s="9" t="s">
        <v>112</v>
      </c>
      <c r="G6855" s="9" t="s">
        <v>113</v>
      </c>
      <c r="H6855" s="11" t="s">
        <v>19</v>
      </c>
      <c r="I6855" s="12" t="n">
        <v>28</v>
      </c>
      <c r="J6855" s="13" t="n">
        <v>113</v>
      </c>
      <c r="K6855" s="14" t="n">
        <f aca="false">I6855*J6855</f>
        <v>3164</v>
      </c>
      <c r="L6855" s="14" t="n">
        <f aca="false">($L$2*M6855)/100</f>
        <v>588816.585</v>
      </c>
      <c r="M6855" s="15" t="n">
        <v>0.49</v>
      </c>
      <c r="N6855" s="9" t="s">
        <v>85</v>
      </c>
    </row>
    <row r="6856" customFormat="false" ht="14.25" hidden="false" customHeight="true" outlineLevel="0" collapsed="false">
      <c r="B6856" s="9" t="s">
        <v>28</v>
      </c>
      <c r="C6856" s="9" t="n">
        <v>1185732</v>
      </c>
      <c r="D6856" s="10" t="n">
        <v>44295</v>
      </c>
      <c r="E6856" s="9" t="s">
        <v>38</v>
      </c>
      <c r="F6856" s="9" t="s">
        <v>112</v>
      </c>
      <c r="G6856" s="9" t="s">
        <v>113</v>
      </c>
      <c r="H6856" s="11" t="s">
        <v>21</v>
      </c>
      <c r="I6856" s="12" t="n">
        <v>28</v>
      </c>
      <c r="J6856" s="13" t="n">
        <v>44</v>
      </c>
      <c r="K6856" s="14" t="n">
        <f aca="false">I6856*J6856</f>
        <v>1232</v>
      </c>
      <c r="L6856" s="14" t="n">
        <f aca="false">($L$2*M6856)/100</f>
        <v>516716.595</v>
      </c>
      <c r="M6856" s="15" t="n">
        <v>0.43</v>
      </c>
      <c r="N6856" s="9" t="s">
        <v>85</v>
      </c>
    </row>
    <row r="6857" customFormat="false" ht="14.25" hidden="false" customHeight="true" outlineLevel="0" collapsed="false">
      <c r="B6857" s="9" t="s">
        <v>28</v>
      </c>
      <c r="C6857" s="9" t="n">
        <v>1185732</v>
      </c>
      <c r="D6857" s="10" t="n">
        <v>44295</v>
      </c>
      <c r="E6857" s="9" t="s">
        <v>38</v>
      </c>
      <c r="F6857" s="9" t="s">
        <v>112</v>
      </c>
      <c r="G6857" s="9" t="s">
        <v>113</v>
      </c>
      <c r="H6857" s="11" t="s">
        <v>22</v>
      </c>
      <c r="I6857" s="12" t="n">
        <v>19</v>
      </c>
      <c r="J6857" s="13" t="n">
        <v>41</v>
      </c>
      <c r="K6857" s="14" t="n">
        <f aca="false">I6857*J6857</f>
        <v>779</v>
      </c>
      <c r="L6857" s="14" t="n">
        <f aca="false">($L$2*M6857)/100</f>
        <v>504699.93</v>
      </c>
      <c r="M6857" s="15" t="n">
        <v>0.42</v>
      </c>
      <c r="N6857" s="9" t="s">
        <v>85</v>
      </c>
    </row>
    <row r="6858" customFormat="false" ht="14.25" hidden="false" customHeight="true" outlineLevel="0" collapsed="false">
      <c r="B6858" s="9" t="s">
        <v>28</v>
      </c>
      <c r="C6858" s="9" t="n">
        <v>1185732</v>
      </c>
      <c r="D6858" s="10" t="n">
        <v>44295</v>
      </c>
      <c r="E6858" s="9" t="s">
        <v>38</v>
      </c>
      <c r="F6858" s="9" t="s">
        <v>112</v>
      </c>
      <c r="G6858" s="9" t="s">
        <v>113</v>
      </c>
      <c r="H6858" s="11" t="s">
        <v>23</v>
      </c>
      <c r="I6858" s="12" t="n">
        <v>24</v>
      </c>
      <c r="J6858" s="13" t="n">
        <v>22</v>
      </c>
      <c r="K6858" s="14" t="n">
        <f aca="false">I6858*J6858</f>
        <v>528</v>
      </c>
      <c r="L6858" s="14" t="n">
        <f aca="false">($L$2*M6858)/100</f>
        <v>516716.595</v>
      </c>
      <c r="M6858" s="15" t="n">
        <v>0.43</v>
      </c>
      <c r="N6858" s="9" t="s">
        <v>85</v>
      </c>
    </row>
    <row r="6859" customFormat="false" ht="14.25" hidden="false" customHeight="true" outlineLevel="0" collapsed="false">
      <c r="B6859" s="9" t="s">
        <v>28</v>
      </c>
      <c r="C6859" s="9" t="n">
        <v>1185732</v>
      </c>
      <c r="D6859" s="10" t="n">
        <v>44295</v>
      </c>
      <c r="E6859" s="9" t="s">
        <v>38</v>
      </c>
      <c r="F6859" s="9" t="s">
        <v>112</v>
      </c>
      <c r="G6859" s="9" t="s">
        <v>113</v>
      </c>
      <c r="H6859" s="11" t="s">
        <v>24</v>
      </c>
      <c r="I6859" s="12" t="n">
        <v>58</v>
      </c>
      <c r="J6859" s="13" t="n">
        <v>30</v>
      </c>
      <c r="K6859" s="14" t="n">
        <f aca="false">I6859*J6859</f>
        <v>1740</v>
      </c>
      <c r="L6859" s="14" t="n">
        <f aca="false">($L$2*M6859)/100</f>
        <v>576799.92</v>
      </c>
      <c r="M6859" s="15" t="n">
        <v>0.48</v>
      </c>
      <c r="N6859" s="9" t="s">
        <v>85</v>
      </c>
    </row>
    <row r="6860" customFormat="false" ht="14.25" hidden="false" customHeight="true" outlineLevel="0" collapsed="false">
      <c r="B6860" s="9" t="s">
        <v>28</v>
      </c>
      <c r="C6860" s="9" t="n">
        <v>1185732</v>
      </c>
      <c r="D6860" s="10" t="n">
        <v>44295</v>
      </c>
      <c r="E6860" s="9" t="s">
        <v>38</v>
      </c>
      <c r="F6860" s="9" t="s">
        <v>112</v>
      </c>
      <c r="G6860" s="9" t="s">
        <v>113</v>
      </c>
      <c r="H6860" s="11" t="s">
        <v>25</v>
      </c>
      <c r="I6860" s="12" t="n">
        <v>49</v>
      </c>
      <c r="J6860" s="13" t="n">
        <v>68</v>
      </c>
      <c r="K6860" s="14" t="n">
        <f aca="false">I6860*J6860</f>
        <v>3332</v>
      </c>
      <c r="L6860" s="14" t="n">
        <f aca="false">($L$2*M6860)/100</f>
        <v>636883.245</v>
      </c>
      <c r="M6860" s="15" t="n">
        <v>0.53</v>
      </c>
      <c r="N6860" s="9" t="s">
        <v>85</v>
      </c>
    </row>
    <row r="6861" customFormat="false" ht="14.25" hidden="false" customHeight="true" outlineLevel="0" collapsed="false">
      <c r="B6861" s="9" t="s">
        <v>28</v>
      </c>
      <c r="C6861" s="9" t="n">
        <v>1185732</v>
      </c>
      <c r="D6861" s="10" t="n">
        <v>44326</v>
      </c>
      <c r="E6861" s="9" t="s">
        <v>38</v>
      </c>
      <c r="F6861" s="9" t="s">
        <v>112</v>
      </c>
      <c r="G6861" s="9" t="s">
        <v>113</v>
      </c>
      <c r="H6861" s="11" t="s">
        <v>19</v>
      </c>
      <c r="I6861" s="12" t="n">
        <v>55</v>
      </c>
      <c r="J6861" s="13" t="n">
        <v>129</v>
      </c>
      <c r="K6861" s="14" t="n">
        <f aca="false">I6861*J6861</f>
        <v>7095</v>
      </c>
      <c r="L6861" s="14" t="n">
        <f aca="false">($L$2*M6861)/100</f>
        <v>576799.92</v>
      </c>
      <c r="M6861" s="15" t="n">
        <v>0.48</v>
      </c>
      <c r="N6861" s="9" t="s">
        <v>85</v>
      </c>
    </row>
    <row r="6862" customFormat="false" ht="14.25" hidden="false" customHeight="true" outlineLevel="0" collapsed="false">
      <c r="B6862" s="9" t="s">
        <v>28</v>
      </c>
      <c r="C6862" s="9" t="n">
        <v>1185732</v>
      </c>
      <c r="D6862" s="10" t="n">
        <v>44326</v>
      </c>
      <c r="E6862" s="9" t="s">
        <v>38</v>
      </c>
      <c r="F6862" s="9" t="s">
        <v>112</v>
      </c>
      <c r="G6862" s="9" t="s">
        <v>113</v>
      </c>
      <c r="H6862" s="11" t="s">
        <v>21</v>
      </c>
      <c r="I6862" s="12" t="n">
        <v>41</v>
      </c>
      <c r="J6862" s="13" t="n">
        <v>54</v>
      </c>
      <c r="K6862" s="14" t="n">
        <f aca="false">I6862*J6862</f>
        <v>2214</v>
      </c>
      <c r="L6862" s="14" t="n">
        <f aca="false">($L$2*M6862)/100</f>
        <v>528733.26</v>
      </c>
      <c r="M6862" s="15" t="n">
        <v>0.44</v>
      </c>
      <c r="N6862" s="9" t="s">
        <v>85</v>
      </c>
    </row>
    <row r="6863" customFormat="false" ht="14.25" hidden="false" customHeight="true" outlineLevel="0" collapsed="false">
      <c r="B6863" s="9" t="s">
        <v>28</v>
      </c>
      <c r="C6863" s="9" t="n">
        <v>1185732</v>
      </c>
      <c r="D6863" s="10" t="n">
        <v>44326</v>
      </c>
      <c r="E6863" s="9" t="s">
        <v>38</v>
      </c>
      <c r="F6863" s="9" t="s">
        <v>112</v>
      </c>
      <c r="G6863" s="9" t="s">
        <v>113</v>
      </c>
      <c r="H6863" s="11" t="s">
        <v>22</v>
      </c>
      <c r="I6863" s="12" t="n">
        <v>37</v>
      </c>
      <c r="J6863" s="13" t="n">
        <v>51</v>
      </c>
      <c r="K6863" s="14" t="n">
        <f aca="false">I6863*J6863</f>
        <v>1887</v>
      </c>
      <c r="L6863" s="14" t="n">
        <f aca="false">($L$2*M6863)/100</f>
        <v>516716.595</v>
      </c>
      <c r="M6863" s="15" t="n">
        <v>0.43</v>
      </c>
      <c r="N6863" s="9" t="s">
        <v>85</v>
      </c>
    </row>
    <row r="6864" customFormat="false" ht="14.25" hidden="false" customHeight="true" outlineLevel="0" collapsed="false">
      <c r="B6864" s="9" t="s">
        <v>28</v>
      </c>
      <c r="C6864" s="9" t="n">
        <v>1185732</v>
      </c>
      <c r="D6864" s="10" t="n">
        <v>44326</v>
      </c>
      <c r="E6864" s="9" t="s">
        <v>38</v>
      </c>
      <c r="F6864" s="9" t="s">
        <v>112</v>
      </c>
      <c r="G6864" s="9" t="s">
        <v>113</v>
      </c>
      <c r="H6864" s="11" t="s">
        <v>23</v>
      </c>
      <c r="I6864" s="12" t="n">
        <v>36</v>
      </c>
      <c r="J6864" s="13" t="n">
        <v>26</v>
      </c>
      <c r="K6864" s="14" t="n">
        <f aca="false">I6864*J6864</f>
        <v>936</v>
      </c>
      <c r="L6864" s="14" t="n">
        <f aca="false">($L$2*M6864)/100</f>
        <v>528733.26</v>
      </c>
      <c r="M6864" s="15" t="n">
        <v>0.44</v>
      </c>
      <c r="N6864" s="9" t="s">
        <v>85</v>
      </c>
    </row>
    <row r="6865" customFormat="false" ht="14.25" hidden="false" customHeight="true" outlineLevel="0" collapsed="false">
      <c r="B6865" s="9" t="s">
        <v>28</v>
      </c>
      <c r="C6865" s="9" t="n">
        <v>1185732</v>
      </c>
      <c r="D6865" s="10" t="n">
        <v>44326</v>
      </c>
      <c r="E6865" s="9" t="s">
        <v>38</v>
      </c>
      <c r="F6865" s="9" t="s">
        <v>112</v>
      </c>
      <c r="G6865" s="9" t="s">
        <v>113</v>
      </c>
      <c r="H6865" s="11" t="s">
        <v>24</v>
      </c>
      <c r="I6865" s="12" t="n">
        <v>46</v>
      </c>
      <c r="J6865" s="13" t="n">
        <v>31</v>
      </c>
      <c r="K6865" s="14" t="n">
        <f aca="false">I6865*J6865</f>
        <v>1426</v>
      </c>
      <c r="L6865" s="14" t="n">
        <f aca="false">($L$2*M6865)/100</f>
        <v>576799.92</v>
      </c>
      <c r="M6865" s="15" t="n">
        <v>0.48</v>
      </c>
      <c r="N6865" s="9" t="s">
        <v>85</v>
      </c>
    </row>
    <row r="6866" customFormat="false" ht="14.25" hidden="false" customHeight="true" outlineLevel="0" collapsed="false">
      <c r="B6866" s="9" t="s">
        <v>28</v>
      </c>
      <c r="C6866" s="9" t="n">
        <v>1185732</v>
      </c>
      <c r="D6866" s="10" t="n">
        <v>44326</v>
      </c>
      <c r="E6866" s="9" t="s">
        <v>38</v>
      </c>
      <c r="F6866" s="9" t="s">
        <v>112</v>
      </c>
      <c r="G6866" s="9" t="s">
        <v>113</v>
      </c>
      <c r="H6866" s="11" t="s">
        <v>25</v>
      </c>
      <c r="I6866" s="12" t="n">
        <v>52</v>
      </c>
      <c r="J6866" s="13" t="n">
        <v>75</v>
      </c>
      <c r="K6866" s="14" t="n">
        <f aca="false">I6866*J6866</f>
        <v>3900</v>
      </c>
      <c r="L6866" s="14" t="n">
        <f aca="false">($L$2*M6866)/100</f>
        <v>612849.915</v>
      </c>
      <c r="M6866" s="15" t="n">
        <v>0.51</v>
      </c>
      <c r="N6866" s="9" t="s">
        <v>85</v>
      </c>
    </row>
    <row r="6867" customFormat="false" ht="14.25" hidden="false" customHeight="true" outlineLevel="0" collapsed="false">
      <c r="B6867" s="9" t="s">
        <v>28</v>
      </c>
      <c r="C6867" s="9" t="n">
        <v>1185732</v>
      </c>
      <c r="D6867" s="10" t="n">
        <v>44356</v>
      </c>
      <c r="E6867" s="9" t="s">
        <v>38</v>
      </c>
      <c r="F6867" s="9" t="s">
        <v>112</v>
      </c>
      <c r="G6867" s="9" t="s">
        <v>113</v>
      </c>
      <c r="H6867" s="11" t="s">
        <v>19</v>
      </c>
      <c r="I6867" s="12" t="n">
        <v>36</v>
      </c>
      <c r="J6867" s="13" t="n">
        <v>125</v>
      </c>
      <c r="K6867" s="14" t="n">
        <f aca="false">I6867*J6867</f>
        <v>4500</v>
      </c>
      <c r="L6867" s="14" t="n">
        <f aca="false">($L$2*M6867)/100</f>
        <v>540749.925</v>
      </c>
      <c r="M6867" s="15" t="n">
        <v>0.45</v>
      </c>
      <c r="N6867" s="9" t="s">
        <v>85</v>
      </c>
    </row>
    <row r="6868" customFormat="false" ht="14.25" hidden="false" customHeight="true" outlineLevel="0" collapsed="false">
      <c r="B6868" s="9" t="s">
        <v>28</v>
      </c>
      <c r="C6868" s="9" t="n">
        <v>1185732</v>
      </c>
      <c r="D6868" s="10" t="n">
        <v>44356</v>
      </c>
      <c r="E6868" s="9" t="s">
        <v>38</v>
      </c>
      <c r="F6868" s="9" t="s">
        <v>112</v>
      </c>
      <c r="G6868" s="9" t="s">
        <v>113</v>
      </c>
      <c r="H6868" s="11" t="s">
        <v>21</v>
      </c>
      <c r="I6868" s="12" t="n">
        <v>32</v>
      </c>
      <c r="J6868" s="13" t="n">
        <v>65</v>
      </c>
      <c r="K6868" s="14" t="n">
        <f aca="false">I6868*J6868</f>
        <v>2080</v>
      </c>
      <c r="L6868" s="14" t="n">
        <f aca="false">($L$2*M6868)/100</f>
        <v>516716.595</v>
      </c>
      <c r="M6868" s="15" t="n">
        <v>0.43</v>
      </c>
      <c r="N6868" s="9" t="s">
        <v>85</v>
      </c>
    </row>
    <row r="6869" customFormat="false" ht="14.25" hidden="false" customHeight="true" outlineLevel="0" collapsed="false">
      <c r="B6869" s="9" t="s">
        <v>28</v>
      </c>
      <c r="C6869" s="9" t="n">
        <v>1185732</v>
      </c>
      <c r="D6869" s="10" t="n">
        <v>44356</v>
      </c>
      <c r="E6869" s="9" t="s">
        <v>38</v>
      </c>
      <c r="F6869" s="9" t="s">
        <v>112</v>
      </c>
      <c r="G6869" s="9" t="s">
        <v>113</v>
      </c>
      <c r="H6869" s="11" t="s">
        <v>22</v>
      </c>
      <c r="I6869" s="12" t="n">
        <v>27</v>
      </c>
      <c r="J6869" s="13" t="n">
        <v>60</v>
      </c>
      <c r="K6869" s="14" t="n">
        <f aca="false">I6869*J6869</f>
        <v>1620</v>
      </c>
      <c r="L6869" s="14" t="n">
        <f aca="false">($L$2*M6869)/100</f>
        <v>480666.6</v>
      </c>
      <c r="M6869" s="15" t="n">
        <v>0.4</v>
      </c>
      <c r="N6869" s="9" t="s">
        <v>85</v>
      </c>
    </row>
    <row r="6870" customFormat="false" ht="14.25" hidden="false" customHeight="true" outlineLevel="0" collapsed="false">
      <c r="B6870" s="9" t="s">
        <v>28</v>
      </c>
      <c r="C6870" s="9" t="n">
        <v>1185732</v>
      </c>
      <c r="D6870" s="10" t="n">
        <v>44356</v>
      </c>
      <c r="E6870" s="9" t="s">
        <v>38</v>
      </c>
      <c r="F6870" s="9" t="s">
        <v>112</v>
      </c>
      <c r="G6870" s="9" t="s">
        <v>113</v>
      </c>
      <c r="H6870" s="11" t="s">
        <v>23</v>
      </c>
      <c r="I6870" s="12" t="n">
        <v>29</v>
      </c>
      <c r="J6870" s="13" t="n">
        <v>51</v>
      </c>
      <c r="K6870" s="14" t="n">
        <f aca="false">I6870*J6870</f>
        <v>1479</v>
      </c>
      <c r="L6870" s="14" t="n">
        <f aca="false">($L$2*M6870)/100</f>
        <v>504699.93</v>
      </c>
      <c r="M6870" s="15" t="n">
        <v>0.42</v>
      </c>
      <c r="N6870" s="9" t="s">
        <v>85</v>
      </c>
    </row>
    <row r="6871" customFormat="false" ht="14.25" hidden="false" customHeight="true" outlineLevel="0" collapsed="false">
      <c r="B6871" s="9" t="s">
        <v>28</v>
      </c>
      <c r="C6871" s="9" t="n">
        <v>1185732</v>
      </c>
      <c r="D6871" s="10" t="n">
        <v>44356</v>
      </c>
      <c r="E6871" s="9" t="s">
        <v>38</v>
      </c>
      <c r="F6871" s="9" t="s">
        <v>112</v>
      </c>
      <c r="G6871" s="9" t="s">
        <v>113</v>
      </c>
      <c r="H6871" s="11" t="s">
        <v>24</v>
      </c>
      <c r="I6871" s="12" t="n">
        <v>38</v>
      </c>
      <c r="J6871" s="13" t="n">
        <v>47</v>
      </c>
      <c r="K6871" s="14" t="n">
        <f aca="false">I6871*J6871</f>
        <v>1786</v>
      </c>
      <c r="L6871" s="14" t="n">
        <f aca="false">($L$2*M6871)/100</f>
        <v>552766.59</v>
      </c>
      <c r="M6871" s="15" t="n">
        <v>0.46</v>
      </c>
      <c r="N6871" s="9" t="s">
        <v>85</v>
      </c>
    </row>
    <row r="6872" customFormat="false" ht="14.25" hidden="false" customHeight="true" outlineLevel="0" collapsed="false">
      <c r="B6872" s="9" t="s">
        <v>28</v>
      </c>
      <c r="C6872" s="9" t="n">
        <v>1185732</v>
      </c>
      <c r="D6872" s="10" t="n">
        <v>44356</v>
      </c>
      <c r="E6872" s="9" t="s">
        <v>38</v>
      </c>
      <c r="F6872" s="9" t="s">
        <v>112</v>
      </c>
      <c r="G6872" s="9" t="s">
        <v>113</v>
      </c>
      <c r="H6872" s="11" t="s">
        <v>25</v>
      </c>
      <c r="I6872" s="12" t="n">
        <v>51</v>
      </c>
      <c r="J6872" s="13" t="n">
        <v>91</v>
      </c>
      <c r="K6872" s="14" t="n">
        <f aca="false">I6872*J6872</f>
        <v>4641</v>
      </c>
      <c r="L6872" s="14" t="n">
        <f aca="false">($L$2*M6872)/100</f>
        <v>648899.91</v>
      </c>
      <c r="M6872" s="15" t="n">
        <v>0.54</v>
      </c>
      <c r="N6872" s="9" t="s">
        <v>85</v>
      </c>
    </row>
    <row r="6873" customFormat="false" ht="14.25" hidden="false" customHeight="true" outlineLevel="0" collapsed="false">
      <c r="B6873" s="9" t="s">
        <v>28</v>
      </c>
      <c r="C6873" s="9" t="n">
        <v>1185732</v>
      </c>
      <c r="D6873" s="10" t="n">
        <v>44385</v>
      </c>
      <c r="E6873" s="9" t="s">
        <v>38</v>
      </c>
      <c r="F6873" s="9" t="s">
        <v>112</v>
      </c>
      <c r="G6873" s="9" t="s">
        <v>113</v>
      </c>
      <c r="H6873" s="11" t="s">
        <v>19</v>
      </c>
      <c r="I6873" s="12" t="n">
        <v>48</v>
      </c>
      <c r="J6873" s="13" t="n">
        <v>160</v>
      </c>
      <c r="K6873" s="14" t="n">
        <f aca="false">I6873*J6873</f>
        <v>7680</v>
      </c>
      <c r="L6873" s="14" t="n">
        <f aca="false">($L$2*M6873)/100</f>
        <v>588816.585</v>
      </c>
      <c r="M6873" s="15" t="n">
        <v>0.49</v>
      </c>
      <c r="N6873" s="9" t="s">
        <v>85</v>
      </c>
    </row>
    <row r="6874" customFormat="false" ht="14.25" hidden="false" customHeight="true" outlineLevel="0" collapsed="false">
      <c r="B6874" s="9" t="s">
        <v>28</v>
      </c>
      <c r="C6874" s="9" t="n">
        <v>1185732</v>
      </c>
      <c r="D6874" s="10" t="n">
        <v>44385</v>
      </c>
      <c r="E6874" s="9" t="s">
        <v>38</v>
      </c>
      <c r="F6874" s="9" t="s">
        <v>112</v>
      </c>
      <c r="G6874" s="9" t="s">
        <v>113</v>
      </c>
      <c r="H6874" s="11" t="s">
        <v>21</v>
      </c>
      <c r="I6874" s="12" t="n">
        <v>44</v>
      </c>
      <c r="J6874" s="13" t="n">
        <v>84</v>
      </c>
      <c r="K6874" s="14" t="n">
        <f aca="false">I6874*J6874</f>
        <v>3696</v>
      </c>
      <c r="L6874" s="14" t="n">
        <f aca="false">($L$2*M6874)/100</f>
        <v>516716.595</v>
      </c>
      <c r="M6874" s="15" t="n">
        <v>0.43</v>
      </c>
      <c r="N6874" s="9" t="s">
        <v>85</v>
      </c>
    </row>
    <row r="6875" customFormat="false" ht="14.25" hidden="false" customHeight="true" outlineLevel="0" collapsed="false">
      <c r="B6875" s="9" t="s">
        <v>28</v>
      </c>
      <c r="C6875" s="9" t="n">
        <v>1185732</v>
      </c>
      <c r="D6875" s="10" t="n">
        <v>44385</v>
      </c>
      <c r="E6875" s="9" t="s">
        <v>38</v>
      </c>
      <c r="F6875" s="9" t="s">
        <v>112</v>
      </c>
      <c r="G6875" s="9" t="s">
        <v>113</v>
      </c>
      <c r="H6875" s="11" t="s">
        <v>22</v>
      </c>
      <c r="I6875" s="12" t="n">
        <v>37</v>
      </c>
      <c r="J6875" s="13" t="n">
        <v>59</v>
      </c>
      <c r="K6875" s="14" t="n">
        <f aca="false">I6875*J6875</f>
        <v>2183</v>
      </c>
      <c r="L6875" s="14" t="n">
        <f aca="false">($L$2*M6875)/100</f>
        <v>480666.6</v>
      </c>
      <c r="M6875" s="15" t="n">
        <v>0.4</v>
      </c>
      <c r="N6875" s="9" t="s">
        <v>85</v>
      </c>
    </row>
    <row r="6876" customFormat="false" ht="14.25" hidden="false" customHeight="true" outlineLevel="0" collapsed="false">
      <c r="B6876" s="9" t="s">
        <v>28</v>
      </c>
      <c r="C6876" s="9" t="n">
        <v>1185732</v>
      </c>
      <c r="D6876" s="10" t="n">
        <v>44385</v>
      </c>
      <c r="E6876" s="9" t="s">
        <v>38</v>
      </c>
      <c r="F6876" s="9" t="s">
        <v>112</v>
      </c>
      <c r="G6876" s="9" t="s">
        <v>113</v>
      </c>
      <c r="H6876" s="11" t="s">
        <v>23</v>
      </c>
      <c r="I6876" s="12" t="n">
        <v>38</v>
      </c>
      <c r="J6876" s="13" t="n">
        <v>53</v>
      </c>
      <c r="K6876" s="14" t="n">
        <f aca="false">I6876*J6876</f>
        <v>2014</v>
      </c>
      <c r="L6876" s="14" t="n">
        <f aca="false">($L$2*M6876)/100</f>
        <v>516716.595</v>
      </c>
      <c r="M6876" s="15" t="n">
        <v>0.43</v>
      </c>
      <c r="N6876" s="9" t="s">
        <v>85</v>
      </c>
    </row>
    <row r="6877" customFormat="false" ht="14.25" hidden="false" customHeight="true" outlineLevel="0" collapsed="false">
      <c r="B6877" s="9" t="s">
        <v>28</v>
      </c>
      <c r="C6877" s="9" t="n">
        <v>1185732</v>
      </c>
      <c r="D6877" s="10" t="n">
        <v>44385</v>
      </c>
      <c r="E6877" s="9" t="s">
        <v>38</v>
      </c>
      <c r="F6877" s="9" t="s">
        <v>112</v>
      </c>
      <c r="G6877" s="9" t="s">
        <v>113</v>
      </c>
      <c r="H6877" s="11" t="s">
        <v>24</v>
      </c>
      <c r="I6877" s="12" t="n">
        <v>49</v>
      </c>
      <c r="J6877" s="13" t="n">
        <v>60</v>
      </c>
      <c r="K6877" s="14" t="n">
        <f aca="false">I6877*J6877</f>
        <v>2940</v>
      </c>
      <c r="L6877" s="14" t="n">
        <f aca="false">($L$2*M6877)/100</f>
        <v>552766.59</v>
      </c>
      <c r="M6877" s="15" t="n">
        <v>0.46</v>
      </c>
      <c r="N6877" s="9" t="s">
        <v>85</v>
      </c>
    </row>
    <row r="6878" customFormat="false" ht="14.25" hidden="false" customHeight="true" outlineLevel="0" collapsed="false">
      <c r="B6878" s="9" t="s">
        <v>28</v>
      </c>
      <c r="C6878" s="9" t="n">
        <v>1185732</v>
      </c>
      <c r="D6878" s="10" t="n">
        <v>44385</v>
      </c>
      <c r="E6878" s="9" t="s">
        <v>38</v>
      </c>
      <c r="F6878" s="9" t="s">
        <v>112</v>
      </c>
      <c r="G6878" s="9" t="s">
        <v>113</v>
      </c>
      <c r="H6878" s="11" t="s">
        <v>25</v>
      </c>
      <c r="I6878" s="12" t="n">
        <v>54</v>
      </c>
      <c r="J6878" s="13" t="n">
        <v>98</v>
      </c>
      <c r="K6878" s="14" t="n">
        <f aca="false">I6878*J6878</f>
        <v>5292</v>
      </c>
      <c r="L6878" s="14" t="n">
        <f aca="false">($L$2*M6878)/100</f>
        <v>648899.91</v>
      </c>
      <c r="M6878" s="15" t="n">
        <v>0.54</v>
      </c>
      <c r="N6878" s="9" t="s">
        <v>85</v>
      </c>
    </row>
    <row r="6879" customFormat="false" ht="14.25" hidden="false" customHeight="true" outlineLevel="0" collapsed="false">
      <c r="B6879" s="9" t="s">
        <v>28</v>
      </c>
      <c r="C6879" s="9" t="n">
        <v>1185732</v>
      </c>
      <c r="D6879" s="10" t="n">
        <v>44417</v>
      </c>
      <c r="E6879" s="9" t="s">
        <v>38</v>
      </c>
      <c r="F6879" s="9" t="s">
        <v>112</v>
      </c>
      <c r="G6879" s="9" t="s">
        <v>113</v>
      </c>
      <c r="H6879" s="11" t="s">
        <v>19</v>
      </c>
      <c r="I6879" s="12" t="n">
        <v>46</v>
      </c>
      <c r="J6879" s="13" t="n">
        <v>147</v>
      </c>
      <c r="K6879" s="14" t="n">
        <f aca="false">I6879*J6879</f>
        <v>6762</v>
      </c>
      <c r="L6879" s="14" t="n">
        <f aca="false">($L$2*M6879)/100</f>
        <v>588816.585</v>
      </c>
      <c r="M6879" s="15" t="n">
        <v>0.49</v>
      </c>
      <c r="N6879" s="9" t="s">
        <v>85</v>
      </c>
    </row>
    <row r="6880" customFormat="false" ht="14.25" hidden="false" customHeight="true" outlineLevel="0" collapsed="false">
      <c r="B6880" s="9" t="s">
        <v>28</v>
      </c>
      <c r="C6880" s="9" t="n">
        <v>1185732</v>
      </c>
      <c r="D6880" s="10" t="n">
        <v>44417</v>
      </c>
      <c r="E6880" s="9" t="s">
        <v>38</v>
      </c>
      <c r="F6880" s="9" t="s">
        <v>112</v>
      </c>
      <c r="G6880" s="9" t="s">
        <v>113</v>
      </c>
      <c r="H6880" s="11" t="s">
        <v>21</v>
      </c>
      <c r="I6880" s="12" t="n">
        <v>42</v>
      </c>
      <c r="J6880" s="13" t="n">
        <v>90</v>
      </c>
      <c r="K6880" s="14" t="n">
        <f aca="false">I6880*J6880</f>
        <v>3780</v>
      </c>
      <c r="L6880" s="14" t="n">
        <f aca="false">($L$2*M6880)/100</f>
        <v>480666.6</v>
      </c>
      <c r="M6880" s="15" t="n">
        <v>0.4</v>
      </c>
      <c r="N6880" s="9" t="s">
        <v>85</v>
      </c>
    </row>
    <row r="6881" customFormat="false" ht="14.25" hidden="false" customHeight="true" outlineLevel="0" collapsed="false">
      <c r="B6881" s="9" t="s">
        <v>28</v>
      </c>
      <c r="C6881" s="9" t="n">
        <v>1185732</v>
      </c>
      <c r="D6881" s="10" t="n">
        <v>44417</v>
      </c>
      <c r="E6881" s="9" t="s">
        <v>38</v>
      </c>
      <c r="F6881" s="9" t="s">
        <v>112</v>
      </c>
      <c r="G6881" s="9" t="s">
        <v>113</v>
      </c>
      <c r="H6881" s="11" t="s">
        <v>22</v>
      </c>
      <c r="I6881" s="12" t="n">
        <v>37</v>
      </c>
      <c r="J6881" s="13" t="n">
        <v>63</v>
      </c>
      <c r="K6881" s="14" t="n">
        <f aca="false">I6881*J6881</f>
        <v>2331</v>
      </c>
      <c r="L6881" s="14" t="n">
        <f aca="false">($L$2*M6881)/100</f>
        <v>492683.265</v>
      </c>
      <c r="M6881" s="15" t="n">
        <v>0.41</v>
      </c>
      <c r="N6881" s="9" t="s">
        <v>85</v>
      </c>
    </row>
    <row r="6882" customFormat="false" ht="14.25" hidden="false" customHeight="true" outlineLevel="0" collapsed="false">
      <c r="B6882" s="9" t="s">
        <v>28</v>
      </c>
      <c r="C6882" s="9" t="n">
        <v>1185732</v>
      </c>
      <c r="D6882" s="10" t="n">
        <v>44417</v>
      </c>
      <c r="E6882" s="9" t="s">
        <v>38</v>
      </c>
      <c r="F6882" s="9" t="s">
        <v>112</v>
      </c>
      <c r="G6882" s="9" t="s">
        <v>113</v>
      </c>
      <c r="H6882" s="11" t="s">
        <v>23</v>
      </c>
      <c r="I6882" s="12" t="n">
        <v>38</v>
      </c>
      <c r="J6882" s="13" t="n">
        <v>52</v>
      </c>
      <c r="K6882" s="14" t="n">
        <f aca="false">I6882*J6882</f>
        <v>1976</v>
      </c>
      <c r="L6882" s="14" t="n">
        <f aca="false">($L$2*M6882)/100</f>
        <v>492683.265</v>
      </c>
      <c r="M6882" s="15" t="n">
        <v>0.41</v>
      </c>
      <c r="N6882" s="9" t="s">
        <v>85</v>
      </c>
    </row>
    <row r="6883" customFormat="false" ht="14.25" hidden="false" customHeight="true" outlineLevel="0" collapsed="false">
      <c r="B6883" s="9" t="s">
        <v>28</v>
      </c>
      <c r="C6883" s="9" t="n">
        <v>1185732</v>
      </c>
      <c r="D6883" s="10" t="n">
        <v>44417</v>
      </c>
      <c r="E6883" s="9" t="s">
        <v>38</v>
      </c>
      <c r="F6883" s="9" t="s">
        <v>112</v>
      </c>
      <c r="G6883" s="9" t="s">
        <v>113</v>
      </c>
      <c r="H6883" s="11" t="s">
        <v>24</v>
      </c>
      <c r="I6883" s="12" t="n">
        <v>46</v>
      </c>
      <c r="J6883" s="13" t="n">
        <v>44</v>
      </c>
      <c r="K6883" s="14" t="n">
        <f aca="false">I6883*J6883</f>
        <v>2024</v>
      </c>
      <c r="L6883" s="14" t="n">
        <f aca="false">($L$2*M6883)/100</f>
        <v>552766.59</v>
      </c>
      <c r="M6883" s="15" t="n">
        <v>0.46</v>
      </c>
      <c r="N6883" s="9" t="s">
        <v>85</v>
      </c>
    </row>
    <row r="6884" customFormat="false" ht="14.25" hidden="false" customHeight="true" outlineLevel="0" collapsed="false">
      <c r="B6884" s="9" t="s">
        <v>28</v>
      </c>
      <c r="C6884" s="9" t="n">
        <v>1185732</v>
      </c>
      <c r="D6884" s="10" t="n">
        <v>44417</v>
      </c>
      <c r="E6884" s="9" t="s">
        <v>38</v>
      </c>
      <c r="F6884" s="9" t="s">
        <v>112</v>
      </c>
      <c r="G6884" s="9" t="s">
        <v>113</v>
      </c>
      <c r="H6884" s="11" t="s">
        <v>25</v>
      </c>
      <c r="I6884" s="12" t="n">
        <v>54</v>
      </c>
      <c r="J6884" s="13" t="n">
        <v>95</v>
      </c>
      <c r="K6884" s="14" t="n">
        <f aca="false">I6884*J6884</f>
        <v>5130</v>
      </c>
      <c r="L6884" s="14" t="n">
        <f aca="false">($L$2*M6884)/100</f>
        <v>636883.245</v>
      </c>
      <c r="M6884" s="15" t="n">
        <v>0.53</v>
      </c>
      <c r="N6884" s="9" t="s">
        <v>85</v>
      </c>
    </row>
    <row r="6885" customFormat="false" ht="14.25" hidden="false" customHeight="true" outlineLevel="0" collapsed="false">
      <c r="B6885" s="9" t="s">
        <v>28</v>
      </c>
      <c r="C6885" s="9" t="n">
        <v>1185732</v>
      </c>
      <c r="D6885" s="10" t="n">
        <v>44449</v>
      </c>
      <c r="E6885" s="9" t="s">
        <v>38</v>
      </c>
      <c r="F6885" s="9" t="s">
        <v>112</v>
      </c>
      <c r="G6885" s="9" t="s">
        <v>113</v>
      </c>
      <c r="H6885" s="11" t="s">
        <v>19</v>
      </c>
      <c r="I6885" s="12" t="n">
        <v>36</v>
      </c>
      <c r="J6885" s="13" t="n">
        <v>133</v>
      </c>
      <c r="K6885" s="14" t="n">
        <f aca="false">I6885*J6885</f>
        <v>4788</v>
      </c>
      <c r="L6885" s="14" t="n">
        <f aca="false">($L$2*M6885)/100</f>
        <v>600833.25</v>
      </c>
      <c r="M6885" s="15" t="n">
        <v>0.5</v>
      </c>
      <c r="N6885" s="9" t="s">
        <v>85</v>
      </c>
    </row>
    <row r="6886" customFormat="false" ht="14.25" hidden="false" customHeight="true" outlineLevel="0" collapsed="false">
      <c r="B6886" s="9" t="s">
        <v>28</v>
      </c>
      <c r="C6886" s="9" t="n">
        <v>1185732</v>
      </c>
      <c r="D6886" s="10" t="n">
        <v>44449</v>
      </c>
      <c r="E6886" s="9" t="s">
        <v>38</v>
      </c>
      <c r="F6886" s="9" t="s">
        <v>112</v>
      </c>
      <c r="G6886" s="9" t="s">
        <v>113</v>
      </c>
      <c r="H6886" s="11" t="s">
        <v>21</v>
      </c>
      <c r="I6886" s="12" t="n">
        <v>34</v>
      </c>
      <c r="J6886" s="13" t="n">
        <v>72</v>
      </c>
      <c r="K6886" s="14" t="n">
        <f aca="false">I6886*J6886</f>
        <v>2448</v>
      </c>
      <c r="L6886" s="14" t="n">
        <f aca="false">($L$2*M6886)/100</f>
        <v>516716.595</v>
      </c>
      <c r="M6886" s="15" t="n">
        <v>0.43</v>
      </c>
      <c r="N6886" s="9" t="s">
        <v>85</v>
      </c>
    </row>
    <row r="6887" customFormat="false" ht="14.25" hidden="false" customHeight="true" outlineLevel="0" collapsed="false">
      <c r="B6887" s="9" t="s">
        <v>28</v>
      </c>
      <c r="C6887" s="9" t="n">
        <v>1185732</v>
      </c>
      <c r="D6887" s="10" t="n">
        <v>44449</v>
      </c>
      <c r="E6887" s="9" t="s">
        <v>38</v>
      </c>
      <c r="F6887" s="9" t="s">
        <v>112</v>
      </c>
      <c r="G6887" s="9" t="s">
        <v>113</v>
      </c>
      <c r="H6887" s="11" t="s">
        <v>22</v>
      </c>
      <c r="I6887" s="12" t="n">
        <v>27</v>
      </c>
      <c r="J6887" s="13" t="n">
        <v>51</v>
      </c>
      <c r="K6887" s="14" t="n">
        <f aca="false">I6887*J6887</f>
        <v>1377</v>
      </c>
      <c r="L6887" s="14" t="n">
        <f aca="false">($L$2*M6887)/100</f>
        <v>528733.26</v>
      </c>
      <c r="M6887" s="15" t="n">
        <v>0.44</v>
      </c>
      <c r="N6887" s="9" t="s">
        <v>85</v>
      </c>
    </row>
    <row r="6888" customFormat="false" ht="14.25" hidden="false" customHeight="true" outlineLevel="0" collapsed="false">
      <c r="B6888" s="9" t="s">
        <v>28</v>
      </c>
      <c r="C6888" s="9" t="n">
        <v>1185732</v>
      </c>
      <c r="D6888" s="10" t="n">
        <v>44449</v>
      </c>
      <c r="E6888" s="9" t="s">
        <v>38</v>
      </c>
      <c r="F6888" s="9" t="s">
        <v>112</v>
      </c>
      <c r="G6888" s="9" t="s">
        <v>113</v>
      </c>
      <c r="H6888" s="11" t="s">
        <v>23</v>
      </c>
      <c r="I6888" s="12" t="n">
        <v>28</v>
      </c>
      <c r="J6888" s="13" t="n">
        <v>44</v>
      </c>
      <c r="K6888" s="14" t="n">
        <f aca="false">I6888*J6888</f>
        <v>1232</v>
      </c>
      <c r="L6888" s="14" t="n">
        <f aca="false">($L$2*M6888)/100</f>
        <v>492683.265</v>
      </c>
      <c r="M6888" s="15" t="n">
        <v>0.41</v>
      </c>
      <c r="N6888" s="9" t="s">
        <v>85</v>
      </c>
    </row>
    <row r="6889" customFormat="false" ht="14.25" hidden="false" customHeight="true" outlineLevel="0" collapsed="false">
      <c r="B6889" s="9" t="s">
        <v>28</v>
      </c>
      <c r="C6889" s="9" t="n">
        <v>1185732</v>
      </c>
      <c r="D6889" s="10" t="n">
        <v>44449</v>
      </c>
      <c r="E6889" s="9" t="s">
        <v>38</v>
      </c>
      <c r="F6889" s="9" t="s">
        <v>112</v>
      </c>
      <c r="G6889" s="9" t="s">
        <v>113</v>
      </c>
      <c r="H6889" s="11" t="s">
        <v>24</v>
      </c>
      <c r="I6889" s="12" t="n">
        <v>36</v>
      </c>
      <c r="J6889" s="13" t="n">
        <v>42</v>
      </c>
      <c r="K6889" s="14" t="n">
        <f aca="false">I6889*J6889</f>
        <v>1512</v>
      </c>
      <c r="L6889" s="14" t="n">
        <f aca="false">($L$2*M6889)/100</f>
        <v>588816.585</v>
      </c>
      <c r="M6889" s="15" t="n">
        <v>0.49</v>
      </c>
      <c r="N6889" s="9" t="s">
        <v>85</v>
      </c>
    </row>
    <row r="6890" customFormat="false" ht="14.25" hidden="false" customHeight="true" outlineLevel="0" collapsed="false">
      <c r="B6890" s="9" t="s">
        <v>28</v>
      </c>
      <c r="C6890" s="9" t="n">
        <v>1185732</v>
      </c>
      <c r="D6890" s="10" t="n">
        <v>44449</v>
      </c>
      <c r="E6890" s="9" t="s">
        <v>38</v>
      </c>
      <c r="F6890" s="9" t="s">
        <v>112</v>
      </c>
      <c r="G6890" s="9" t="s">
        <v>113</v>
      </c>
      <c r="H6890" s="11" t="s">
        <v>25</v>
      </c>
      <c r="I6890" s="12" t="n">
        <v>44</v>
      </c>
      <c r="J6890" s="13" t="n">
        <v>63</v>
      </c>
      <c r="K6890" s="14" t="n">
        <f aca="false">I6890*J6890</f>
        <v>2772</v>
      </c>
      <c r="L6890" s="14" t="n">
        <f aca="false">($L$2*M6890)/100</f>
        <v>660916.575</v>
      </c>
      <c r="M6890" s="15" t="n">
        <v>0.55</v>
      </c>
      <c r="N6890" s="9" t="s">
        <v>85</v>
      </c>
    </row>
    <row r="6891" customFormat="false" ht="14.25" hidden="false" customHeight="true" outlineLevel="0" collapsed="false">
      <c r="B6891" s="9" t="s">
        <v>28</v>
      </c>
      <c r="C6891" s="9" t="n">
        <v>1185732</v>
      </c>
      <c r="D6891" s="10" t="n">
        <v>44478</v>
      </c>
      <c r="E6891" s="9" t="s">
        <v>38</v>
      </c>
      <c r="F6891" s="9" t="s">
        <v>112</v>
      </c>
      <c r="G6891" s="9" t="s">
        <v>113</v>
      </c>
      <c r="H6891" s="11" t="s">
        <v>19</v>
      </c>
      <c r="I6891" s="12" t="n">
        <v>49</v>
      </c>
      <c r="J6891" s="13" t="n">
        <v>116</v>
      </c>
      <c r="K6891" s="14" t="n">
        <f aca="false">I6891*J6891</f>
        <v>5684</v>
      </c>
      <c r="L6891" s="14" t="n">
        <f aca="false">($L$2*M6891)/100</f>
        <v>564783.255</v>
      </c>
      <c r="M6891" s="15" t="n">
        <v>0.47</v>
      </c>
      <c r="N6891" s="9" t="s">
        <v>85</v>
      </c>
    </row>
    <row r="6892" customFormat="false" ht="14.25" hidden="false" customHeight="true" outlineLevel="0" collapsed="false">
      <c r="B6892" s="9" t="s">
        <v>28</v>
      </c>
      <c r="C6892" s="9" t="n">
        <v>1185732</v>
      </c>
      <c r="D6892" s="10" t="n">
        <v>44478</v>
      </c>
      <c r="E6892" s="9" t="s">
        <v>38</v>
      </c>
      <c r="F6892" s="9" t="s">
        <v>112</v>
      </c>
      <c r="G6892" s="9" t="s">
        <v>113</v>
      </c>
      <c r="H6892" s="11" t="s">
        <v>21</v>
      </c>
      <c r="I6892" s="12" t="n">
        <v>36</v>
      </c>
      <c r="J6892" s="13" t="n">
        <v>73</v>
      </c>
      <c r="K6892" s="14" t="n">
        <f aca="false">I6892*J6892</f>
        <v>2628</v>
      </c>
      <c r="L6892" s="14" t="n">
        <f aca="false">($L$2*M6892)/100</f>
        <v>492683.265</v>
      </c>
      <c r="M6892" s="15" t="n">
        <v>0.41</v>
      </c>
      <c r="N6892" s="9" t="s">
        <v>85</v>
      </c>
    </row>
    <row r="6893" customFormat="false" ht="14.25" hidden="false" customHeight="true" outlineLevel="0" collapsed="false">
      <c r="B6893" s="9" t="s">
        <v>28</v>
      </c>
      <c r="C6893" s="9" t="n">
        <v>1185732</v>
      </c>
      <c r="D6893" s="10" t="n">
        <v>44478</v>
      </c>
      <c r="E6893" s="9" t="s">
        <v>38</v>
      </c>
      <c r="F6893" s="9" t="s">
        <v>112</v>
      </c>
      <c r="G6893" s="9" t="s">
        <v>113</v>
      </c>
      <c r="H6893" s="11" t="s">
        <v>22</v>
      </c>
      <c r="I6893" s="12" t="n">
        <v>39</v>
      </c>
      <c r="J6893" s="13" t="n">
        <v>39</v>
      </c>
      <c r="K6893" s="14" t="n">
        <f aca="false">I6893*J6893</f>
        <v>1521</v>
      </c>
      <c r="L6893" s="14" t="n">
        <f aca="false">($L$2*M6893)/100</f>
        <v>528733.26</v>
      </c>
      <c r="M6893" s="15" t="n">
        <v>0.44</v>
      </c>
      <c r="N6893" s="9" t="s">
        <v>85</v>
      </c>
    </row>
    <row r="6894" customFormat="false" ht="14.25" hidden="false" customHeight="true" outlineLevel="0" collapsed="false">
      <c r="B6894" s="9" t="s">
        <v>28</v>
      </c>
      <c r="C6894" s="9" t="n">
        <v>1185732</v>
      </c>
      <c r="D6894" s="10" t="n">
        <v>44478</v>
      </c>
      <c r="E6894" s="9" t="s">
        <v>38</v>
      </c>
      <c r="F6894" s="9" t="s">
        <v>112</v>
      </c>
      <c r="G6894" s="9" t="s">
        <v>113</v>
      </c>
      <c r="H6894" s="11" t="s">
        <v>23</v>
      </c>
      <c r="I6894" s="12" t="n">
        <v>38</v>
      </c>
      <c r="J6894" s="13" t="n">
        <v>33</v>
      </c>
      <c r="K6894" s="14" t="n">
        <f aca="false">I6894*J6894</f>
        <v>1254</v>
      </c>
      <c r="L6894" s="14" t="n">
        <f aca="false">($L$2*M6894)/100</f>
        <v>480666.6</v>
      </c>
      <c r="M6894" s="15" t="n">
        <v>0.4</v>
      </c>
      <c r="N6894" s="9" t="s">
        <v>85</v>
      </c>
    </row>
    <row r="6895" customFormat="false" ht="14.25" hidden="false" customHeight="true" outlineLevel="0" collapsed="false">
      <c r="B6895" s="9" t="s">
        <v>28</v>
      </c>
      <c r="C6895" s="9" t="n">
        <v>1185732</v>
      </c>
      <c r="D6895" s="10" t="n">
        <v>44478</v>
      </c>
      <c r="E6895" s="9" t="s">
        <v>38</v>
      </c>
      <c r="F6895" s="9" t="s">
        <v>112</v>
      </c>
      <c r="G6895" s="9" t="s">
        <v>113</v>
      </c>
      <c r="H6895" s="11" t="s">
        <v>24</v>
      </c>
      <c r="I6895" s="12" t="n">
        <v>45</v>
      </c>
      <c r="J6895" s="13" t="n">
        <v>34</v>
      </c>
      <c r="K6895" s="14" t="n">
        <f aca="false">I6895*J6895</f>
        <v>1530</v>
      </c>
      <c r="L6895" s="14" t="n">
        <f aca="false">($L$2*M6895)/100</f>
        <v>564783.255</v>
      </c>
      <c r="M6895" s="15" t="n">
        <v>0.47</v>
      </c>
      <c r="N6895" s="9" t="s">
        <v>85</v>
      </c>
    </row>
    <row r="6896" customFormat="false" ht="14.25" hidden="false" customHeight="true" outlineLevel="0" collapsed="false">
      <c r="B6896" s="9" t="s">
        <v>16</v>
      </c>
      <c r="C6896" s="9" t="n">
        <v>1185732</v>
      </c>
      <c r="D6896" s="10" t="n">
        <v>44478</v>
      </c>
      <c r="E6896" s="9" t="s">
        <v>38</v>
      </c>
      <c r="F6896" s="9" t="s">
        <v>112</v>
      </c>
      <c r="G6896" s="9" t="s">
        <v>113</v>
      </c>
      <c r="H6896" s="11" t="s">
        <v>25</v>
      </c>
      <c r="I6896" s="12" t="n">
        <v>53</v>
      </c>
      <c r="J6896" s="13" t="n">
        <v>73</v>
      </c>
      <c r="K6896" s="14" t="n">
        <f aca="false">I6896*J6896</f>
        <v>3869</v>
      </c>
      <c r="L6896" s="14" t="n">
        <f aca="false">($L$2*M6896)/100</f>
        <v>636883.245</v>
      </c>
      <c r="M6896" s="15" t="n">
        <v>0.53</v>
      </c>
      <c r="N6896" s="9" t="s">
        <v>85</v>
      </c>
    </row>
    <row r="6897" customFormat="false" ht="14.25" hidden="false" customHeight="true" outlineLevel="0" collapsed="false">
      <c r="B6897" s="9" t="s">
        <v>16</v>
      </c>
      <c r="C6897" s="9" t="n">
        <v>1185732</v>
      </c>
      <c r="D6897" s="10" t="n">
        <v>44509</v>
      </c>
      <c r="E6897" s="9" t="s">
        <v>38</v>
      </c>
      <c r="F6897" s="9" t="s">
        <v>112</v>
      </c>
      <c r="G6897" s="9" t="s">
        <v>113</v>
      </c>
      <c r="H6897" s="11" t="s">
        <v>19</v>
      </c>
      <c r="I6897" s="12" t="n">
        <v>49</v>
      </c>
      <c r="J6897" s="13" t="n">
        <v>120</v>
      </c>
      <c r="K6897" s="14" t="n">
        <f aca="false">I6897*J6897</f>
        <v>5880</v>
      </c>
      <c r="L6897" s="14" t="n">
        <f aca="false">($L$2*M6897)/100</f>
        <v>600833.25</v>
      </c>
      <c r="M6897" s="15" t="n">
        <v>0.5</v>
      </c>
      <c r="N6897" s="9" t="s">
        <v>85</v>
      </c>
    </row>
    <row r="6898" customFormat="false" ht="14.25" hidden="false" customHeight="true" outlineLevel="0" collapsed="false">
      <c r="B6898" s="9" t="s">
        <v>16</v>
      </c>
      <c r="C6898" s="9" t="n">
        <v>1185732</v>
      </c>
      <c r="D6898" s="10" t="n">
        <v>44509</v>
      </c>
      <c r="E6898" s="9" t="s">
        <v>38</v>
      </c>
      <c r="F6898" s="9" t="s">
        <v>112</v>
      </c>
      <c r="G6898" s="9" t="s">
        <v>113</v>
      </c>
      <c r="H6898" s="11" t="s">
        <v>21</v>
      </c>
      <c r="I6898" s="12" t="n">
        <v>36</v>
      </c>
      <c r="J6898" s="13" t="n">
        <v>73</v>
      </c>
      <c r="K6898" s="14" t="n">
        <f aca="false">I6898*J6898</f>
        <v>2628</v>
      </c>
      <c r="L6898" s="14" t="n">
        <f aca="false">($L$2*M6898)/100</f>
        <v>540749.925</v>
      </c>
      <c r="M6898" s="15" t="n">
        <v>0.45</v>
      </c>
      <c r="N6898" s="9" t="s">
        <v>85</v>
      </c>
    </row>
    <row r="6899" customFormat="false" ht="14.25" hidden="false" customHeight="true" outlineLevel="0" collapsed="false">
      <c r="B6899" s="9" t="s">
        <v>16</v>
      </c>
      <c r="C6899" s="9" t="n">
        <v>1185732</v>
      </c>
      <c r="D6899" s="10" t="n">
        <v>44509</v>
      </c>
      <c r="E6899" s="9" t="s">
        <v>38</v>
      </c>
      <c r="F6899" s="9" t="s">
        <v>112</v>
      </c>
      <c r="G6899" s="9" t="s">
        <v>113</v>
      </c>
      <c r="H6899" s="11" t="s">
        <v>22</v>
      </c>
      <c r="I6899" s="12" t="n">
        <v>39</v>
      </c>
      <c r="J6899" s="13" t="n">
        <v>53</v>
      </c>
      <c r="K6899" s="14" t="n">
        <f aca="false">I6899*J6899</f>
        <v>2067</v>
      </c>
      <c r="L6899" s="14" t="n">
        <f aca="false">($L$2*M6899)/100</f>
        <v>528733.26</v>
      </c>
      <c r="M6899" s="15" t="n">
        <v>0.44</v>
      </c>
      <c r="N6899" s="9" t="s">
        <v>85</v>
      </c>
    </row>
    <row r="6900" customFormat="false" ht="14.25" hidden="false" customHeight="true" outlineLevel="0" collapsed="false">
      <c r="B6900" s="9" t="s">
        <v>16</v>
      </c>
      <c r="C6900" s="9" t="n">
        <v>1185732</v>
      </c>
      <c r="D6900" s="10" t="n">
        <v>44509</v>
      </c>
      <c r="E6900" s="9" t="s">
        <v>38</v>
      </c>
      <c r="F6900" s="9" t="s">
        <v>112</v>
      </c>
      <c r="G6900" s="9" t="s">
        <v>113</v>
      </c>
      <c r="H6900" s="11" t="s">
        <v>23</v>
      </c>
      <c r="I6900" s="12" t="n">
        <v>39</v>
      </c>
      <c r="J6900" s="13" t="n">
        <v>47</v>
      </c>
      <c r="K6900" s="14" t="n">
        <f aca="false">I6900*J6900</f>
        <v>1833</v>
      </c>
      <c r="L6900" s="14" t="n">
        <f aca="false">($L$2*M6900)/100</f>
        <v>516716.595</v>
      </c>
      <c r="M6900" s="15" t="n">
        <v>0.43</v>
      </c>
      <c r="N6900" s="9" t="s">
        <v>85</v>
      </c>
    </row>
    <row r="6901" customFormat="false" ht="14.25" hidden="false" customHeight="true" outlineLevel="0" collapsed="false">
      <c r="B6901" s="9" t="s">
        <v>16</v>
      </c>
      <c r="C6901" s="9" t="n">
        <v>1185732</v>
      </c>
      <c r="D6901" s="10" t="n">
        <v>44509</v>
      </c>
      <c r="E6901" s="9" t="s">
        <v>38</v>
      </c>
      <c r="F6901" s="9" t="s">
        <v>112</v>
      </c>
      <c r="G6901" s="9" t="s">
        <v>113</v>
      </c>
      <c r="H6901" s="11" t="s">
        <v>24</v>
      </c>
      <c r="I6901" s="12" t="n">
        <v>55</v>
      </c>
      <c r="J6901" s="13" t="n">
        <v>44</v>
      </c>
      <c r="K6901" s="14" t="n">
        <f aca="false">I6901*J6901</f>
        <v>2420</v>
      </c>
      <c r="L6901" s="14" t="n">
        <f aca="false">($L$2*M6901)/100</f>
        <v>540749.925</v>
      </c>
      <c r="M6901" s="15" t="n">
        <v>0.45</v>
      </c>
      <c r="N6901" s="9" t="s">
        <v>85</v>
      </c>
    </row>
    <row r="6902" customFormat="false" ht="14.25" hidden="false" customHeight="true" outlineLevel="0" collapsed="false">
      <c r="B6902" s="9" t="s">
        <v>16</v>
      </c>
      <c r="C6902" s="9" t="n">
        <v>1185732</v>
      </c>
      <c r="D6902" s="10" t="n">
        <v>44509</v>
      </c>
      <c r="E6902" s="9" t="s">
        <v>38</v>
      </c>
      <c r="F6902" s="9" t="s">
        <v>112</v>
      </c>
      <c r="G6902" s="9" t="s">
        <v>113</v>
      </c>
      <c r="H6902" s="11" t="s">
        <v>25</v>
      </c>
      <c r="I6902" s="12" t="n">
        <v>60</v>
      </c>
      <c r="J6902" s="13" t="n">
        <v>65</v>
      </c>
      <c r="K6902" s="14" t="n">
        <f aca="false">I6902*J6902</f>
        <v>3900</v>
      </c>
      <c r="L6902" s="14" t="n">
        <f aca="false">($L$2*M6902)/100</f>
        <v>612849.915</v>
      </c>
      <c r="M6902" s="15" t="n">
        <v>0.51</v>
      </c>
      <c r="N6902" s="9" t="s">
        <v>85</v>
      </c>
    </row>
    <row r="6903" customFormat="false" ht="14.25" hidden="false" customHeight="true" outlineLevel="0" collapsed="false">
      <c r="B6903" s="9" t="s">
        <v>16</v>
      </c>
      <c r="C6903" s="9" t="n">
        <v>1185732</v>
      </c>
      <c r="D6903" s="10" t="n">
        <v>44538</v>
      </c>
      <c r="E6903" s="9" t="s">
        <v>38</v>
      </c>
      <c r="F6903" s="9" t="s">
        <v>112</v>
      </c>
      <c r="G6903" s="9" t="s">
        <v>113</v>
      </c>
      <c r="H6903" s="11" t="s">
        <v>19</v>
      </c>
      <c r="I6903" s="12" t="n">
        <v>55</v>
      </c>
      <c r="J6903" s="13" t="n">
        <v>150</v>
      </c>
      <c r="K6903" s="14" t="n">
        <f aca="false">I6903*J6903</f>
        <v>8250</v>
      </c>
      <c r="L6903" s="14" t="n">
        <f aca="false">($L$2*M6903)/100</f>
        <v>552766.59</v>
      </c>
      <c r="M6903" s="15" t="n">
        <v>0.46</v>
      </c>
      <c r="N6903" s="9" t="s">
        <v>85</v>
      </c>
    </row>
    <row r="6904" customFormat="false" ht="14.25" hidden="false" customHeight="true" outlineLevel="0" collapsed="false">
      <c r="B6904" s="9" t="s">
        <v>16</v>
      </c>
      <c r="C6904" s="9" t="n">
        <v>1185732</v>
      </c>
      <c r="D6904" s="10" t="n">
        <v>44538</v>
      </c>
      <c r="E6904" s="9" t="s">
        <v>38</v>
      </c>
      <c r="F6904" s="9" t="s">
        <v>112</v>
      </c>
      <c r="G6904" s="9" t="s">
        <v>113</v>
      </c>
      <c r="H6904" s="11" t="s">
        <v>21</v>
      </c>
      <c r="I6904" s="12" t="n">
        <v>46</v>
      </c>
      <c r="J6904" s="13" t="n">
        <v>75</v>
      </c>
      <c r="K6904" s="14" t="n">
        <f aca="false">I6904*J6904</f>
        <v>3450</v>
      </c>
      <c r="L6904" s="14" t="n">
        <f aca="false">($L$2*M6904)/100</f>
        <v>540749.925</v>
      </c>
      <c r="M6904" s="15" t="n">
        <v>0.45</v>
      </c>
      <c r="N6904" s="9" t="s">
        <v>85</v>
      </c>
    </row>
    <row r="6905" customFormat="false" ht="14.25" hidden="false" customHeight="true" outlineLevel="0" collapsed="false">
      <c r="B6905" s="9" t="s">
        <v>16</v>
      </c>
      <c r="C6905" s="9" t="n">
        <v>1185732</v>
      </c>
      <c r="D6905" s="10" t="n">
        <v>44538</v>
      </c>
      <c r="E6905" s="9" t="s">
        <v>38</v>
      </c>
      <c r="F6905" s="9" t="s">
        <v>112</v>
      </c>
      <c r="G6905" s="9" t="s">
        <v>113</v>
      </c>
      <c r="H6905" s="11" t="s">
        <v>22</v>
      </c>
      <c r="I6905" s="12" t="n">
        <v>48</v>
      </c>
      <c r="J6905" s="13" t="n">
        <v>73</v>
      </c>
      <c r="K6905" s="14" t="n">
        <f aca="false">I6905*J6905</f>
        <v>3504</v>
      </c>
      <c r="L6905" s="14" t="n">
        <f aca="false">($L$2*M6905)/100</f>
        <v>540749.925</v>
      </c>
      <c r="M6905" s="15" t="n">
        <v>0.45</v>
      </c>
      <c r="N6905" s="9" t="s">
        <v>85</v>
      </c>
    </row>
    <row r="6906" customFormat="false" ht="14.25" hidden="false" customHeight="true" outlineLevel="0" collapsed="false">
      <c r="B6906" s="9" t="s">
        <v>16</v>
      </c>
      <c r="C6906" s="9" t="n">
        <v>1185732</v>
      </c>
      <c r="D6906" s="10" t="n">
        <v>44538</v>
      </c>
      <c r="E6906" s="9" t="s">
        <v>38</v>
      </c>
      <c r="F6906" s="9" t="s">
        <v>112</v>
      </c>
      <c r="G6906" s="9" t="s">
        <v>113</v>
      </c>
      <c r="H6906" s="11" t="s">
        <v>23</v>
      </c>
      <c r="I6906" s="12" t="n">
        <v>47</v>
      </c>
      <c r="J6906" s="13" t="n">
        <v>54</v>
      </c>
      <c r="K6906" s="14" t="n">
        <f aca="false">I6906*J6906</f>
        <v>2538</v>
      </c>
      <c r="L6906" s="14" t="n">
        <f aca="false">($L$2*M6906)/100</f>
        <v>492683.265</v>
      </c>
      <c r="M6906" s="15" t="n">
        <v>0.41</v>
      </c>
      <c r="N6906" s="9" t="s">
        <v>85</v>
      </c>
    </row>
    <row r="6907" customFormat="false" ht="14.25" hidden="false" customHeight="true" outlineLevel="0" collapsed="false">
      <c r="B6907" s="9" t="s">
        <v>16</v>
      </c>
      <c r="C6907" s="9" t="n">
        <v>1185732</v>
      </c>
      <c r="D6907" s="10" t="n">
        <v>44538</v>
      </c>
      <c r="E6907" s="9" t="s">
        <v>38</v>
      </c>
      <c r="F6907" s="9" t="s">
        <v>112</v>
      </c>
      <c r="G6907" s="9" t="s">
        <v>113</v>
      </c>
      <c r="H6907" s="11" t="s">
        <v>24</v>
      </c>
      <c r="I6907" s="12" t="n">
        <v>58</v>
      </c>
      <c r="J6907" s="13" t="n">
        <v>54</v>
      </c>
      <c r="K6907" s="14" t="n">
        <f aca="false">I6907*J6907</f>
        <v>3132</v>
      </c>
      <c r="L6907" s="14" t="n">
        <f aca="false">($L$2*M6907)/100</f>
        <v>540749.925</v>
      </c>
      <c r="M6907" s="15" t="n">
        <v>0.45</v>
      </c>
      <c r="N6907" s="9" t="s">
        <v>85</v>
      </c>
    </row>
    <row r="6908" customFormat="false" ht="14.25" hidden="false" customHeight="true" outlineLevel="0" collapsed="false">
      <c r="B6908" s="9" t="s">
        <v>16</v>
      </c>
      <c r="C6908" s="9" t="n">
        <v>1185732</v>
      </c>
      <c r="D6908" s="10" t="n">
        <v>44538</v>
      </c>
      <c r="E6908" s="9" t="s">
        <v>38</v>
      </c>
      <c r="F6908" s="9" t="s">
        <v>112</v>
      </c>
      <c r="G6908" s="9" t="s">
        <v>113</v>
      </c>
      <c r="H6908" s="11" t="s">
        <v>25</v>
      </c>
      <c r="I6908" s="12" t="n">
        <v>63</v>
      </c>
      <c r="J6908" s="13" t="n">
        <v>78</v>
      </c>
      <c r="K6908" s="14" t="n">
        <f aca="false">I6908*J6908</f>
        <v>4914</v>
      </c>
      <c r="L6908" s="14" t="n">
        <f aca="false">($L$2*M6908)/100</f>
        <v>636883.245</v>
      </c>
      <c r="M6908" s="15" t="n">
        <v>0.53</v>
      </c>
      <c r="N6908" s="9" t="s">
        <v>85</v>
      </c>
    </row>
    <row r="6909" customFormat="false" ht="14.25" hidden="false" customHeight="true" outlineLevel="0" collapsed="false">
      <c r="B6909" s="9" t="s">
        <v>16</v>
      </c>
      <c r="C6909" s="9" t="n">
        <v>1185732</v>
      </c>
      <c r="D6909" s="10" t="n">
        <v>44202</v>
      </c>
      <c r="E6909" s="9" t="s">
        <v>38</v>
      </c>
      <c r="F6909" s="9" t="s">
        <v>112</v>
      </c>
      <c r="G6909" s="9" t="s">
        <v>113</v>
      </c>
      <c r="H6909" s="11" t="s">
        <v>19</v>
      </c>
      <c r="I6909" s="12" t="n">
        <v>27</v>
      </c>
      <c r="J6909" s="13" t="n">
        <v>113</v>
      </c>
      <c r="K6909" s="14" t="n">
        <f aca="false">I6909*J6909</f>
        <v>3051</v>
      </c>
      <c r="L6909" s="14" t="n">
        <f aca="false">($L$2*M6909)/100</f>
        <v>540749.925</v>
      </c>
      <c r="M6909" s="15" t="n">
        <v>0.45</v>
      </c>
      <c r="N6909" s="9" t="s">
        <v>85</v>
      </c>
    </row>
    <row r="6910" customFormat="false" ht="14.25" hidden="false" customHeight="true" outlineLevel="0" collapsed="false">
      <c r="B6910" s="9" t="s">
        <v>16</v>
      </c>
      <c r="C6910" s="9" t="n">
        <v>1185732</v>
      </c>
      <c r="D6910" s="10" t="n">
        <v>44202</v>
      </c>
      <c r="E6910" s="9" t="s">
        <v>38</v>
      </c>
      <c r="F6910" s="9" t="s">
        <v>112</v>
      </c>
      <c r="G6910" s="9" t="s">
        <v>113</v>
      </c>
      <c r="H6910" s="11" t="s">
        <v>21</v>
      </c>
      <c r="I6910" s="12" t="n">
        <v>29</v>
      </c>
      <c r="J6910" s="13" t="n">
        <v>70</v>
      </c>
      <c r="K6910" s="14" t="n">
        <f aca="false">I6910*J6910</f>
        <v>2030</v>
      </c>
      <c r="L6910" s="14" t="n">
        <f aca="false">($L$2*M6910)/100</f>
        <v>552766.59</v>
      </c>
      <c r="M6910" s="15" t="n">
        <v>0.46</v>
      </c>
      <c r="N6910" s="9" t="s">
        <v>85</v>
      </c>
    </row>
    <row r="6911" customFormat="false" ht="14.25" hidden="false" customHeight="true" outlineLevel="0" collapsed="false">
      <c r="B6911" s="9" t="s">
        <v>16</v>
      </c>
      <c r="C6911" s="9" t="n">
        <v>1185732</v>
      </c>
      <c r="D6911" s="10" t="n">
        <v>44202</v>
      </c>
      <c r="E6911" s="9" t="s">
        <v>38</v>
      </c>
      <c r="F6911" s="9" t="s">
        <v>112</v>
      </c>
      <c r="G6911" s="9" t="s">
        <v>113</v>
      </c>
      <c r="H6911" s="11" t="s">
        <v>22</v>
      </c>
      <c r="I6911" s="12" t="n">
        <v>19</v>
      </c>
      <c r="J6911" s="13" t="n">
        <v>68</v>
      </c>
      <c r="K6911" s="14" t="n">
        <f aca="false">I6911*J6911</f>
        <v>1292</v>
      </c>
      <c r="L6911" s="14" t="n">
        <f aca="false">($L$2*M6911)/100</f>
        <v>540749.925</v>
      </c>
      <c r="M6911" s="15" t="n">
        <v>0.45</v>
      </c>
      <c r="N6911" s="9" t="s">
        <v>85</v>
      </c>
    </row>
    <row r="6912" customFormat="false" ht="14.25" hidden="false" customHeight="true" outlineLevel="0" collapsed="false">
      <c r="B6912" s="9" t="s">
        <v>16</v>
      </c>
      <c r="C6912" s="9" t="n">
        <v>1185732</v>
      </c>
      <c r="D6912" s="10" t="n">
        <v>44202</v>
      </c>
      <c r="E6912" s="9" t="s">
        <v>38</v>
      </c>
      <c r="F6912" s="9" t="s">
        <v>112</v>
      </c>
      <c r="G6912" s="9" t="s">
        <v>113</v>
      </c>
      <c r="H6912" s="11" t="s">
        <v>23</v>
      </c>
      <c r="I6912" s="12" t="n">
        <v>24</v>
      </c>
      <c r="J6912" s="13" t="n">
        <v>26</v>
      </c>
      <c r="K6912" s="14" t="n">
        <f aca="false">I6912*J6912</f>
        <v>624</v>
      </c>
      <c r="L6912" s="14" t="n">
        <f aca="false">($L$2*M6912)/100</f>
        <v>540749.925</v>
      </c>
      <c r="M6912" s="15" t="n">
        <v>0.45</v>
      </c>
      <c r="N6912" s="9" t="s">
        <v>85</v>
      </c>
    </row>
    <row r="6913" customFormat="false" ht="14.25" hidden="false" customHeight="true" outlineLevel="0" collapsed="false">
      <c r="B6913" s="9" t="s">
        <v>16</v>
      </c>
      <c r="C6913" s="9" t="n">
        <v>1185732</v>
      </c>
      <c r="D6913" s="10" t="n">
        <v>44202</v>
      </c>
      <c r="E6913" s="9" t="s">
        <v>38</v>
      </c>
      <c r="F6913" s="9" t="s">
        <v>112</v>
      </c>
      <c r="G6913" s="9" t="s">
        <v>113</v>
      </c>
      <c r="H6913" s="11" t="s">
        <v>24</v>
      </c>
      <c r="I6913" s="12" t="n">
        <v>38</v>
      </c>
      <c r="J6913" s="13" t="n">
        <v>42</v>
      </c>
      <c r="K6913" s="14" t="n">
        <f aca="false">I6913*J6913</f>
        <v>1596</v>
      </c>
      <c r="L6913" s="14" t="n">
        <f aca="false">($L$2*M6913)/100</f>
        <v>757049.895</v>
      </c>
      <c r="M6913" s="15" t="n">
        <v>0.63</v>
      </c>
      <c r="N6913" s="9" t="s">
        <v>85</v>
      </c>
    </row>
    <row r="6914" customFormat="false" ht="14.25" hidden="false" customHeight="true" outlineLevel="0" collapsed="false">
      <c r="B6914" s="9" t="s">
        <v>16</v>
      </c>
      <c r="C6914" s="9" t="n">
        <v>1185732</v>
      </c>
      <c r="D6914" s="10" t="n">
        <v>44202</v>
      </c>
      <c r="E6914" s="9" t="s">
        <v>38</v>
      </c>
      <c r="F6914" s="9" t="s">
        <v>112</v>
      </c>
      <c r="G6914" s="9" t="s">
        <v>113</v>
      </c>
      <c r="H6914" s="11" t="s">
        <v>25</v>
      </c>
      <c r="I6914" s="12" t="n">
        <v>28</v>
      </c>
      <c r="J6914" s="13" t="n">
        <v>75</v>
      </c>
      <c r="K6914" s="14" t="n">
        <f aca="false">I6914*J6914</f>
        <v>2100</v>
      </c>
      <c r="L6914" s="14" t="n">
        <f aca="false">($L$2*M6914)/100</f>
        <v>624866.58</v>
      </c>
      <c r="M6914" s="15" t="n">
        <v>0.52</v>
      </c>
      <c r="N6914" s="9" t="s">
        <v>85</v>
      </c>
    </row>
    <row r="6915" customFormat="false" ht="14.25" hidden="false" customHeight="true" outlineLevel="0" collapsed="false">
      <c r="B6915" s="9" t="s">
        <v>16</v>
      </c>
      <c r="C6915" s="9" t="n">
        <v>1185732</v>
      </c>
      <c r="D6915" s="10" t="n">
        <v>44233</v>
      </c>
      <c r="E6915" s="9" t="s">
        <v>38</v>
      </c>
      <c r="F6915" s="9" t="s">
        <v>112</v>
      </c>
      <c r="G6915" s="9" t="s">
        <v>113</v>
      </c>
      <c r="H6915" s="11" t="s">
        <v>19</v>
      </c>
      <c r="I6915" s="12" t="n">
        <v>28</v>
      </c>
      <c r="J6915" s="13" t="n">
        <v>145</v>
      </c>
      <c r="K6915" s="14" t="n">
        <f aca="false">I6915*J6915</f>
        <v>4060</v>
      </c>
      <c r="L6915" s="14" t="n">
        <f aca="false">($L$2*M6915)/100</f>
        <v>528733.26</v>
      </c>
      <c r="M6915" s="15" t="n">
        <v>0.44</v>
      </c>
      <c r="N6915" s="9" t="s">
        <v>85</v>
      </c>
    </row>
    <row r="6916" customFormat="false" ht="14.25" hidden="false" customHeight="true" outlineLevel="0" collapsed="false">
      <c r="B6916" s="9" t="s">
        <v>16</v>
      </c>
      <c r="C6916" s="9" t="n">
        <v>1185732</v>
      </c>
      <c r="D6916" s="10" t="n">
        <v>44233</v>
      </c>
      <c r="E6916" s="9" t="s">
        <v>38</v>
      </c>
      <c r="F6916" s="9" t="s">
        <v>112</v>
      </c>
      <c r="G6916" s="9" t="s">
        <v>113</v>
      </c>
      <c r="H6916" s="11" t="s">
        <v>21</v>
      </c>
      <c r="I6916" s="12" t="n">
        <v>28</v>
      </c>
      <c r="J6916" s="13" t="n">
        <v>45</v>
      </c>
      <c r="K6916" s="14" t="n">
        <f aca="false">I6916*J6916</f>
        <v>1260</v>
      </c>
      <c r="L6916" s="14" t="n">
        <f aca="false">($L$2*M6916)/100</f>
        <v>552766.59</v>
      </c>
      <c r="M6916" s="15" t="n">
        <v>0.46</v>
      </c>
      <c r="N6916" s="9" t="s">
        <v>85</v>
      </c>
    </row>
    <row r="6917" customFormat="false" ht="14.25" hidden="false" customHeight="true" outlineLevel="0" collapsed="false">
      <c r="B6917" s="9" t="s">
        <v>16</v>
      </c>
      <c r="C6917" s="9" t="n">
        <v>1185732</v>
      </c>
      <c r="D6917" s="10" t="n">
        <v>44233</v>
      </c>
      <c r="E6917" s="9" t="s">
        <v>38</v>
      </c>
      <c r="F6917" s="9" t="s">
        <v>112</v>
      </c>
      <c r="G6917" s="9" t="s">
        <v>113</v>
      </c>
      <c r="H6917" s="11" t="s">
        <v>22</v>
      </c>
      <c r="I6917" s="12" t="n">
        <v>19</v>
      </c>
      <c r="J6917" s="13" t="n">
        <v>56</v>
      </c>
      <c r="K6917" s="14" t="n">
        <f aca="false">I6917*J6917</f>
        <v>1064</v>
      </c>
      <c r="L6917" s="14" t="n">
        <f aca="false">($L$2*M6917)/100</f>
        <v>492683.265</v>
      </c>
      <c r="M6917" s="15" t="n">
        <v>0.41</v>
      </c>
      <c r="N6917" s="9" t="s">
        <v>85</v>
      </c>
    </row>
    <row r="6918" customFormat="false" ht="14.25" hidden="false" customHeight="true" outlineLevel="0" collapsed="false">
      <c r="B6918" s="9" t="s">
        <v>16</v>
      </c>
      <c r="C6918" s="9" t="n">
        <v>1185732</v>
      </c>
      <c r="D6918" s="10" t="n">
        <v>44233</v>
      </c>
      <c r="E6918" s="9" t="s">
        <v>38</v>
      </c>
      <c r="F6918" s="9" t="s">
        <v>114</v>
      </c>
      <c r="G6918" s="9" t="s">
        <v>115</v>
      </c>
      <c r="H6918" s="11" t="s">
        <v>23</v>
      </c>
      <c r="I6918" s="12" t="n">
        <v>25</v>
      </c>
      <c r="J6918" s="13" t="n">
        <v>23</v>
      </c>
      <c r="K6918" s="14" t="n">
        <f aca="false">I6918*J6918</f>
        <v>575</v>
      </c>
      <c r="L6918" s="14" t="n">
        <f aca="false">($L$2*M6918)/100</f>
        <v>528733.26</v>
      </c>
      <c r="M6918" s="15" t="n">
        <v>0.44</v>
      </c>
      <c r="N6918" s="9" t="s">
        <v>85</v>
      </c>
    </row>
    <row r="6919" customFormat="false" ht="14.25" hidden="false" customHeight="true" outlineLevel="0" collapsed="false">
      <c r="B6919" s="9" t="s">
        <v>16</v>
      </c>
      <c r="C6919" s="9" t="n">
        <v>1185732</v>
      </c>
      <c r="D6919" s="10" t="n">
        <v>44233</v>
      </c>
      <c r="E6919" s="9" t="s">
        <v>38</v>
      </c>
      <c r="F6919" s="9" t="s">
        <v>114</v>
      </c>
      <c r="G6919" s="9" t="s">
        <v>115</v>
      </c>
      <c r="H6919" s="11" t="s">
        <v>24</v>
      </c>
      <c r="I6919" s="12" t="n">
        <v>38</v>
      </c>
      <c r="J6919" s="13" t="n">
        <v>38</v>
      </c>
      <c r="K6919" s="14" t="n">
        <f aca="false">I6919*J6919</f>
        <v>1444</v>
      </c>
      <c r="L6919" s="14" t="n">
        <f aca="false">($L$2*M6919)/100</f>
        <v>781083.225</v>
      </c>
      <c r="M6919" s="15" t="n">
        <v>0.65</v>
      </c>
      <c r="N6919" s="9" t="s">
        <v>85</v>
      </c>
    </row>
    <row r="6920" customFormat="false" ht="14.25" hidden="false" customHeight="true" outlineLevel="0" collapsed="false">
      <c r="B6920" s="9" t="s">
        <v>16</v>
      </c>
      <c r="C6920" s="9" t="n">
        <v>1185732</v>
      </c>
      <c r="D6920" s="10" t="n">
        <v>44233</v>
      </c>
      <c r="E6920" s="9" t="s">
        <v>38</v>
      </c>
      <c r="F6920" s="9" t="s">
        <v>114</v>
      </c>
      <c r="G6920" s="9" t="s">
        <v>115</v>
      </c>
      <c r="H6920" s="11" t="s">
        <v>25</v>
      </c>
      <c r="I6920" s="12" t="n">
        <v>14</v>
      </c>
      <c r="J6920" s="13" t="n">
        <v>68</v>
      </c>
      <c r="K6920" s="14" t="n">
        <f aca="false">I6920*J6920</f>
        <v>952</v>
      </c>
      <c r="L6920" s="14" t="n">
        <f aca="false">($L$2*M6920)/100</f>
        <v>648899.91</v>
      </c>
      <c r="M6920" s="15" t="n">
        <v>0.54</v>
      </c>
      <c r="N6920" s="9" t="s">
        <v>85</v>
      </c>
    </row>
    <row r="6921" customFormat="false" ht="14.25" hidden="false" customHeight="true" outlineLevel="0" collapsed="false">
      <c r="B6921" s="9" t="s">
        <v>16</v>
      </c>
      <c r="C6921" s="9" t="n">
        <v>1185732</v>
      </c>
      <c r="D6921" s="10" t="n">
        <v>44260</v>
      </c>
      <c r="E6921" s="9" t="s">
        <v>38</v>
      </c>
      <c r="F6921" s="9" t="s">
        <v>114</v>
      </c>
      <c r="G6921" s="9" t="s">
        <v>115</v>
      </c>
      <c r="H6921" s="11" t="s">
        <v>19</v>
      </c>
      <c r="I6921" s="12" t="n">
        <v>19</v>
      </c>
      <c r="J6921" s="13" t="n">
        <v>136</v>
      </c>
      <c r="K6921" s="14" t="n">
        <f aca="false">I6921*J6921</f>
        <v>2584</v>
      </c>
      <c r="L6921" s="14" t="n">
        <f aca="false">($L$2*M6921)/100</f>
        <v>480666.6</v>
      </c>
      <c r="M6921" s="15" t="n">
        <v>0.4</v>
      </c>
      <c r="N6921" s="9" t="s">
        <v>85</v>
      </c>
    </row>
    <row r="6922" customFormat="false" ht="14.25" hidden="false" customHeight="true" outlineLevel="0" collapsed="false">
      <c r="B6922" s="9" t="s">
        <v>16</v>
      </c>
      <c r="C6922" s="9" t="n">
        <v>1185732</v>
      </c>
      <c r="D6922" s="10" t="n">
        <v>44260</v>
      </c>
      <c r="E6922" s="9" t="s">
        <v>38</v>
      </c>
      <c r="F6922" s="9" t="s">
        <v>114</v>
      </c>
      <c r="G6922" s="9" t="s">
        <v>115</v>
      </c>
      <c r="H6922" s="11" t="s">
        <v>21</v>
      </c>
      <c r="I6922" s="12" t="n">
        <v>19</v>
      </c>
      <c r="J6922" s="13" t="n">
        <v>47</v>
      </c>
      <c r="K6922" s="14" t="n">
        <f aca="false">I6922*J6922</f>
        <v>893</v>
      </c>
      <c r="L6922" s="14" t="n">
        <f aca="false">($L$2*M6922)/100</f>
        <v>540749.925</v>
      </c>
      <c r="M6922" s="15" t="n">
        <v>0.45</v>
      </c>
      <c r="N6922" s="9" t="s">
        <v>85</v>
      </c>
    </row>
    <row r="6923" customFormat="false" ht="14.25" hidden="false" customHeight="true" outlineLevel="0" collapsed="false">
      <c r="B6923" s="9" t="s">
        <v>16</v>
      </c>
      <c r="C6923" s="9" t="n">
        <v>1185732</v>
      </c>
      <c r="D6923" s="10" t="n">
        <v>44260</v>
      </c>
      <c r="E6923" s="9" t="s">
        <v>38</v>
      </c>
      <c r="F6923" s="9" t="s">
        <v>114</v>
      </c>
      <c r="G6923" s="9" t="s">
        <v>115</v>
      </c>
      <c r="H6923" s="11" t="s">
        <v>22</v>
      </c>
      <c r="I6923" s="12" t="n">
        <v>9</v>
      </c>
      <c r="J6923" s="13" t="n">
        <v>65</v>
      </c>
      <c r="K6923" s="14" t="n">
        <f aca="false">I6923*J6923</f>
        <v>585</v>
      </c>
      <c r="L6923" s="14" t="n">
        <f aca="false">($L$2*M6923)/100</f>
        <v>480666.6</v>
      </c>
      <c r="M6923" s="15" t="n">
        <v>0.4</v>
      </c>
      <c r="N6923" s="9" t="s">
        <v>85</v>
      </c>
    </row>
    <row r="6924" customFormat="false" ht="14.25" hidden="false" customHeight="true" outlineLevel="0" collapsed="false">
      <c r="B6924" s="9" t="s">
        <v>16</v>
      </c>
      <c r="C6924" s="9" t="n">
        <v>1185732</v>
      </c>
      <c r="D6924" s="10" t="n">
        <v>44260</v>
      </c>
      <c r="E6924" s="9" t="s">
        <v>38</v>
      </c>
      <c r="F6924" s="9" t="s">
        <v>114</v>
      </c>
      <c r="G6924" s="9" t="s">
        <v>115</v>
      </c>
      <c r="H6924" s="11" t="s">
        <v>23</v>
      </c>
      <c r="I6924" s="12" t="n">
        <v>14</v>
      </c>
      <c r="J6924" s="13" t="n">
        <v>28</v>
      </c>
      <c r="K6924" s="14" t="n">
        <f aca="false">I6924*J6924</f>
        <v>392</v>
      </c>
      <c r="L6924" s="14" t="n">
        <f aca="false">($L$2*M6924)/100</f>
        <v>504699.93</v>
      </c>
      <c r="M6924" s="15" t="n">
        <v>0.42</v>
      </c>
      <c r="N6924" s="9" t="s">
        <v>85</v>
      </c>
    </row>
    <row r="6925" customFormat="false" ht="14.25" hidden="false" customHeight="true" outlineLevel="0" collapsed="false">
      <c r="B6925" s="9" t="s">
        <v>16</v>
      </c>
      <c r="C6925" s="9" t="n">
        <v>1185732</v>
      </c>
      <c r="D6925" s="10" t="n">
        <v>44260</v>
      </c>
      <c r="E6925" s="9" t="s">
        <v>38</v>
      </c>
      <c r="F6925" s="9" t="s">
        <v>114</v>
      </c>
      <c r="G6925" s="9" t="s">
        <v>115</v>
      </c>
      <c r="H6925" s="11" t="s">
        <v>24</v>
      </c>
      <c r="I6925" s="12" t="n">
        <v>28</v>
      </c>
      <c r="J6925" s="13" t="n">
        <v>39</v>
      </c>
      <c r="K6925" s="14" t="n">
        <f aca="false">I6925*J6925</f>
        <v>1092</v>
      </c>
      <c r="L6925" s="14" t="n">
        <f aca="false">($L$2*M6925)/100</f>
        <v>769066.56</v>
      </c>
      <c r="M6925" s="15" t="n">
        <v>0.64</v>
      </c>
      <c r="N6925" s="9" t="s">
        <v>85</v>
      </c>
    </row>
    <row r="6926" customFormat="false" ht="14.25" hidden="false" customHeight="true" outlineLevel="0" collapsed="false">
      <c r="B6926" s="9" t="s">
        <v>16</v>
      </c>
      <c r="C6926" s="9" t="n">
        <v>1185732</v>
      </c>
      <c r="D6926" s="10" t="n">
        <v>44260</v>
      </c>
      <c r="E6926" s="9" t="s">
        <v>38</v>
      </c>
      <c r="F6926" s="9" t="s">
        <v>114</v>
      </c>
      <c r="G6926" s="9" t="s">
        <v>115</v>
      </c>
      <c r="H6926" s="11" t="s">
        <v>25</v>
      </c>
      <c r="I6926" s="12" t="n">
        <v>20</v>
      </c>
      <c r="J6926" s="13" t="n">
        <v>68</v>
      </c>
      <c r="K6926" s="14" t="n">
        <f aca="false">I6926*J6926</f>
        <v>1360</v>
      </c>
      <c r="L6926" s="14" t="n">
        <f aca="false">($L$2*M6926)/100</f>
        <v>636883.245</v>
      </c>
      <c r="M6926" s="15" t="n">
        <v>0.53</v>
      </c>
      <c r="N6926" s="9" t="s">
        <v>85</v>
      </c>
    </row>
    <row r="6927" customFormat="false" ht="14.25" hidden="false" customHeight="true" outlineLevel="0" collapsed="false">
      <c r="B6927" s="9" t="s">
        <v>16</v>
      </c>
      <c r="C6927" s="9" t="n">
        <v>1185732</v>
      </c>
      <c r="D6927" s="10" t="n">
        <v>44292</v>
      </c>
      <c r="E6927" s="9" t="s">
        <v>38</v>
      </c>
      <c r="F6927" s="9" t="s">
        <v>114</v>
      </c>
      <c r="G6927" s="9" t="s">
        <v>115</v>
      </c>
      <c r="H6927" s="11" t="s">
        <v>19</v>
      </c>
      <c r="I6927" s="12" t="n">
        <v>20</v>
      </c>
      <c r="J6927" s="13" t="n">
        <v>124</v>
      </c>
      <c r="K6927" s="14" t="n">
        <f aca="false">I6927*J6927</f>
        <v>2480</v>
      </c>
      <c r="L6927" s="14" t="n">
        <f aca="false">($L$2*M6927)/100</f>
        <v>540749.925</v>
      </c>
      <c r="M6927" s="15" t="n">
        <v>0.45</v>
      </c>
      <c r="N6927" s="9" t="s">
        <v>85</v>
      </c>
    </row>
    <row r="6928" customFormat="false" ht="14.25" hidden="false" customHeight="true" outlineLevel="0" collapsed="false">
      <c r="B6928" s="9" t="s">
        <v>16</v>
      </c>
      <c r="C6928" s="9" t="n">
        <v>1185732</v>
      </c>
      <c r="D6928" s="10" t="n">
        <v>44292</v>
      </c>
      <c r="E6928" s="9" t="s">
        <v>38</v>
      </c>
      <c r="F6928" s="9" t="s">
        <v>114</v>
      </c>
      <c r="G6928" s="9" t="s">
        <v>115</v>
      </c>
      <c r="H6928" s="11" t="s">
        <v>21</v>
      </c>
      <c r="I6928" s="12" t="n">
        <v>18</v>
      </c>
      <c r="J6928" s="13" t="n">
        <v>49</v>
      </c>
      <c r="K6928" s="14" t="n">
        <f aca="false">I6928*J6928</f>
        <v>882</v>
      </c>
      <c r="L6928" s="14" t="n">
        <f aca="false">($L$2*M6928)/100</f>
        <v>588816.585</v>
      </c>
      <c r="M6928" s="15" t="n">
        <v>0.49</v>
      </c>
      <c r="N6928" s="9" t="s">
        <v>85</v>
      </c>
    </row>
    <row r="6929" customFormat="false" ht="14.25" hidden="false" customHeight="true" outlineLevel="0" collapsed="false">
      <c r="B6929" s="9" t="s">
        <v>16</v>
      </c>
      <c r="C6929" s="9" t="n">
        <v>1185732</v>
      </c>
      <c r="D6929" s="10" t="n">
        <v>44292</v>
      </c>
      <c r="E6929" s="9" t="s">
        <v>38</v>
      </c>
      <c r="F6929" s="9" t="s">
        <v>114</v>
      </c>
      <c r="G6929" s="9" t="s">
        <v>115</v>
      </c>
      <c r="H6929" s="11" t="s">
        <v>22</v>
      </c>
      <c r="I6929" s="12" t="n">
        <v>10</v>
      </c>
      <c r="J6929" s="13" t="n">
        <v>53</v>
      </c>
      <c r="K6929" s="14" t="n">
        <f aca="false">I6929*J6929</f>
        <v>530</v>
      </c>
      <c r="L6929" s="14" t="n">
        <f aca="false">($L$2*M6929)/100</f>
        <v>528733.26</v>
      </c>
      <c r="M6929" s="15" t="n">
        <v>0.44</v>
      </c>
      <c r="N6929" s="9" t="s">
        <v>85</v>
      </c>
    </row>
    <row r="6930" customFormat="false" ht="14.25" hidden="false" customHeight="true" outlineLevel="0" collapsed="false">
      <c r="B6930" s="9" t="s">
        <v>16</v>
      </c>
      <c r="C6930" s="9" t="n">
        <v>1185732</v>
      </c>
      <c r="D6930" s="10" t="n">
        <v>44292</v>
      </c>
      <c r="E6930" s="9" t="s">
        <v>38</v>
      </c>
      <c r="F6930" s="9" t="s">
        <v>114</v>
      </c>
      <c r="G6930" s="9" t="s">
        <v>115</v>
      </c>
      <c r="H6930" s="11" t="s">
        <v>23</v>
      </c>
      <c r="I6930" s="12" t="n">
        <v>15</v>
      </c>
      <c r="J6930" s="13" t="n">
        <v>28</v>
      </c>
      <c r="K6930" s="14" t="n">
        <f aca="false">I6930*J6930</f>
        <v>420</v>
      </c>
      <c r="L6930" s="14" t="n">
        <f aca="false">($L$2*M6930)/100</f>
        <v>540749.925</v>
      </c>
      <c r="M6930" s="15" t="n">
        <v>0.45</v>
      </c>
      <c r="N6930" s="9" t="s">
        <v>85</v>
      </c>
    </row>
    <row r="6931" customFormat="false" ht="14.25" hidden="false" customHeight="true" outlineLevel="0" collapsed="false">
      <c r="B6931" s="9" t="s">
        <v>16</v>
      </c>
      <c r="C6931" s="9" t="n">
        <v>1185732</v>
      </c>
      <c r="D6931" s="10" t="n">
        <v>44292</v>
      </c>
      <c r="E6931" s="9" t="s">
        <v>38</v>
      </c>
      <c r="F6931" s="9" t="s">
        <v>114</v>
      </c>
      <c r="G6931" s="9" t="s">
        <v>115</v>
      </c>
      <c r="H6931" s="11" t="s">
        <v>24</v>
      </c>
      <c r="I6931" s="12" t="n">
        <v>55</v>
      </c>
      <c r="J6931" s="13" t="n">
        <v>34</v>
      </c>
      <c r="K6931" s="14" t="n">
        <f aca="false">I6931*J6931</f>
        <v>1870</v>
      </c>
      <c r="L6931" s="14" t="n">
        <f aca="false">($L$2*M6931)/100</f>
        <v>733016.565</v>
      </c>
      <c r="M6931" s="15" t="n">
        <v>0.61</v>
      </c>
      <c r="N6931" s="9" t="s">
        <v>85</v>
      </c>
    </row>
    <row r="6932" customFormat="false" ht="14.25" hidden="false" customHeight="true" outlineLevel="0" collapsed="false">
      <c r="B6932" s="9" t="s">
        <v>16</v>
      </c>
      <c r="C6932" s="9" t="n">
        <v>1185732</v>
      </c>
      <c r="D6932" s="10" t="n">
        <v>44292</v>
      </c>
      <c r="E6932" s="9" t="s">
        <v>38</v>
      </c>
      <c r="F6932" s="9" t="s">
        <v>114</v>
      </c>
      <c r="G6932" s="9" t="s">
        <v>115</v>
      </c>
      <c r="H6932" s="11" t="s">
        <v>25</v>
      </c>
      <c r="I6932" s="12" t="n">
        <v>46</v>
      </c>
      <c r="J6932" s="13" t="n">
        <v>63</v>
      </c>
      <c r="K6932" s="14" t="n">
        <f aca="false">I6932*J6932</f>
        <v>2898</v>
      </c>
      <c r="L6932" s="14" t="n">
        <f aca="false">($L$2*M6932)/100</f>
        <v>624866.58</v>
      </c>
      <c r="M6932" s="15" t="n">
        <v>0.52</v>
      </c>
      <c r="N6932" s="9" t="s">
        <v>85</v>
      </c>
    </row>
    <row r="6933" customFormat="false" ht="14.25" hidden="false" customHeight="true" outlineLevel="0" collapsed="false">
      <c r="B6933" s="9" t="s">
        <v>16</v>
      </c>
      <c r="C6933" s="9" t="n">
        <v>1185732</v>
      </c>
      <c r="D6933" s="10" t="n">
        <v>44323</v>
      </c>
      <c r="E6933" s="9" t="s">
        <v>38</v>
      </c>
      <c r="F6933" s="9" t="s">
        <v>114</v>
      </c>
      <c r="G6933" s="9" t="s">
        <v>115</v>
      </c>
      <c r="H6933" s="11" t="s">
        <v>19</v>
      </c>
      <c r="I6933" s="12" t="n">
        <v>57</v>
      </c>
      <c r="J6933" s="13" t="n">
        <v>146</v>
      </c>
      <c r="K6933" s="14" t="n">
        <f aca="false">I6933*J6933</f>
        <v>8322</v>
      </c>
      <c r="L6933" s="14" t="n">
        <f aca="false">($L$2*M6933)/100</f>
        <v>504699.93</v>
      </c>
      <c r="M6933" s="15" t="n">
        <v>0.42</v>
      </c>
      <c r="N6933" s="9" t="s">
        <v>85</v>
      </c>
    </row>
    <row r="6934" customFormat="false" ht="14.25" hidden="false" customHeight="true" outlineLevel="0" collapsed="false">
      <c r="B6934" s="9" t="s">
        <v>16</v>
      </c>
      <c r="C6934" s="9" t="n">
        <v>1185732</v>
      </c>
      <c r="D6934" s="10" t="n">
        <v>44323</v>
      </c>
      <c r="E6934" s="9" t="s">
        <v>38</v>
      </c>
      <c r="F6934" s="9" t="s">
        <v>114</v>
      </c>
      <c r="G6934" s="9" t="s">
        <v>115</v>
      </c>
      <c r="H6934" s="11" t="s">
        <v>21</v>
      </c>
      <c r="I6934" s="12" t="n">
        <v>37</v>
      </c>
      <c r="J6934" s="13" t="n">
        <v>63</v>
      </c>
      <c r="K6934" s="14" t="n">
        <f aca="false">I6934*J6934</f>
        <v>2331</v>
      </c>
      <c r="L6934" s="14" t="n">
        <f aca="false">($L$2*M6934)/100</f>
        <v>552766.59</v>
      </c>
      <c r="M6934" s="15" t="n">
        <v>0.46</v>
      </c>
      <c r="N6934" s="9" t="s">
        <v>85</v>
      </c>
    </row>
    <row r="6935" customFormat="false" ht="14.25" hidden="false" customHeight="true" outlineLevel="0" collapsed="false">
      <c r="B6935" s="9" t="s">
        <v>16</v>
      </c>
      <c r="C6935" s="9" t="n">
        <v>1185732</v>
      </c>
      <c r="D6935" s="10" t="n">
        <v>44323</v>
      </c>
      <c r="E6935" s="9" t="s">
        <v>38</v>
      </c>
      <c r="F6935" s="9" t="s">
        <v>114</v>
      </c>
      <c r="G6935" s="9" t="s">
        <v>115</v>
      </c>
      <c r="H6935" s="11" t="s">
        <v>22</v>
      </c>
      <c r="I6935" s="12" t="n">
        <v>33</v>
      </c>
      <c r="J6935" s="13" t="n">
        <v>54</v>
      </c>
      <c r="K6935" s="14" t="n">
        <f aca="false">I6935*J6935</f>
        <v>1782</v>
      </c>
      <c r="L6935" s="14" t="n">
        <f aca="false">($L$2*M6935)/100</f>
        <v>492683.265</v>
      </c>
      <c r="M6935" s="15" t="n">
        <v>0.41</v>
      </c>
      <c r="N6935" s="9" t="s">
        <v>85</v>
      </c>
    </row>
    <row r="6936" customFormat="false" ht="14.25" hidden="false" customHeight="true" outlineLevel="0" collapsed="false">
      <c r="B6936" s="9" t="s">
        <v>16</v>
      </c>
      <c r="C6936" s="9" t="n">
        <v>1185732</v>
      </c>
      <c r="D6936" s="10" t="n">
        <v>44323</v>
      </c>
      <c r="E6936" s="9" t="s">
        <v>38</v>
      </c>
      <c r="F6936" s="9" t="s">
        <v>114</v>
      </c>
      <c r="G6936" s="9" t="s">
        <v>115</v>
      </c>
      <c r="H6936" s="11" t="s">
        <v>23</v>
      </c>
      <c r="I6936" s="12" t="n">
        <v>33</v>
      </c>
      <c r="J6936" s="13" t="n">
        <v>34</v>
      </c>
      <c r="K6936" s="14" t="n">
        <f aca="false">I6936*J6936</f>
        <v>1122</v>
      </c>
      <c r="L6936" s="14" t="n">
        <f aca="false">($L$2*M6936)/100</f>
        <v>528733.26</v>
      </c>
      <c r="M6936" s="15" t="n">
        <v>0.44</v>
      </c>
      <c r="N6936" s="9" t="s">
        <v>85</v>
      </c>
    </row>
    <row r="6937" customFormat="false" ht="14.25" hidden="false" customHeight="true" outlineLevel="0" collapsed="false">
      <c r="B6937" s="9" t="s">
        <v>16</v>
      </c>
      <c r="C6937" s="9" t="n">
        <v>1185732</v>
      </c>
      <c r="D6937" s="10" t="n">
        <v>44323</v>
      </c>
      <c r="E6937" s="9" t="s">
        <v>38</v>
      </c>
      <c r="F6937" s="9" t="s">
        <v>114</v>
      </c>
      <c r="G6937" s="9" t="s">
        <v>115</v>
      </c>
      <c r="H6937" s="11" t="s">
        <v>24</v>
      </c>
      <c r="I6937" s="12" t="n">
        <v>43</v>
      </c>
      <c r="J6937" s="13" t="n">
        <v>42</v>
      </c>
      <c r="K6937" s="14" t="n">
        <f aca="false">I6937*J6937</f>
        <v>1806</v>
      </c>
      <c r="L6937" s="14" t="n">
        <f aca="false">($L$2*M6937)/100</f>
        <v>781083.225</v>
      </c>
      <c r="M6937" s="15" t="n">
        <v>0.65</v>
      </c>
      <c r="N6937" s="9" t="s">
        <v>85</v>
      </c>
    </row>
    <row r="6938" customFormat="false" ht="14.25" hidden="false" customHeight="true" outlineLevel="0" collapsed="false">
      <c r="B6938" s="9" t="s">
        <v>16</v>
      </c>
      <c r="C6938" s="9" t="n">
        <v>1185732</v>
      </c>
      <c r="D6938" s="10" t="n">
        <v>44323</v>
      </c>
      <c r="E6938" s="9" t="s">
        <v>38</v>
      </c>
      <c r="F6938" s="9" t="s">
        <v>114</v>
      </c>
      <c r="G6938" s="9" t="s">
        <v>115</v>
      </c>
      <c r="H6938" s="11" t="s">
        <v>25</v>
      </c>
      <c r="I6938" s="12" t="n">
        <v>46</v>
      </c>
      <c r="J6938" s="13" t="n">
        <v>69</v>
      </c>
      <c r="K6938" s="14" t="n">
        <f aca="false">I6938*J6938</f>
        <v>3174</v>
      </c>
      <c r="L6938" s="14" t="n">
        <f aca="false">($L$2*M6938)/100</f>
        <v>624866.58</v>
      </c>
      <c r="M6938" s="15" t="n">
        <v>0.52</v>
      </c>
      <c r="N6938" s="9" t="s">
        <v>85</v>
      </c>
    </row>
    <row r="6939" customFormat="false" ht="14.25" hidden="false" customHeight="true" outlineLevel="0" collapsed="false">
      <c r="B6939" s="9" t="s">
        <v>16</v>
      </c>
      <c r="C6939" s="9" t="n">
        <v>1185732</v>
      </c>
      <c r="D6939" s="10" t="n">
        <v>44353</v>
      </c>
      <c r="E6939" s="9" t="s">
        <v>38</v>
      </c>
      <c r="F6939" s="9" t="s">
        <v>114</v>
      </c>
      <c r="G6939" s="9" t="s">
        <v>115</v>
      </c>
      <c r="H6939" s="11" t="s">
        <v>19</v>
      </c>
      <c r="I6939" s="12" t="n">
        <v>32</v>
      </c>
      <c r="J6939" s="13" t="n">
        <v>137</v>
      </c>
      <c r="K6939" s="14" t="n">
        <f aca="false">I6939*J6939</f>
        <v>4384</v>
      </c>
      <c r="L6939" s="14" t="n">
        <f aca="false">($L$2*M6939)/100</f>
        <v>504699.93</v>
      </c>
      <c r="M6939" s="15" t="n">
        <v>0.42</v>
      </c>
      <c r="N6939" s="9" t="s">
        <v>85</v>
      </c>
    </row>
    <row r="6940" customFormat="false" ht="14.25" hidden="false" customHeight="true" outlineLevel="0" collapsed="false">
      <c r="B6940" s="9" t="s">
        <v>16</v>
      </c>
      <c r="C6940" s="9" t="n">
        <v>1185732</v>
      </c>
      <c r="D6940" s="10" t="n">
        <v>44353</v>
      </c>
      <c r="E6940" s="9" t="s">
        <v>38</v>
      </c>
      <c r="F6940" s="9" t="s">
        <v>114</v>
      </c>
      <c r="G6940" s="9" t="s">
        <v>115</v>
      </c>
      <c r="H6940" s="11" t="s">
        <v>21</v>
      </c>
      <c r="I6940" s="12" t="n">
        <v>28</v>
      </c>
      <c r="J6940" s="13" t="n">
        <v>77</v>
      </c>
      <c r="K6940" s="14" t="n">
        <f aca="false">I6940*J6940</f>
        <v>2156</v>
      </c>
      <c r="L6940" s="14" t="n">
        <f aca="false">($L$2*M6940)/100</f>
        <v>576799.92</v>
      </c>
      <c r="M6940" s="15" t="n">
        <v>0.48</v>
      </c>
      <c r="N6940" s="9" t="s">
        <v>85</v>
      </c>
    </row>
    <row r="6941" customFormat="false" ht="14.25" hidden="false" customHeight="true" outlineLevel="0" collapsed="false">
      <c r="B6941" s="9" t="s">
        <v>16</v>
      </c>
      <c r="C6941" s="9" t="n">
        <v>1185732</v>
      </c>
      <c r="D6941" s="10" t="n">
        <v>44353</v>
      </c>
      <c r="E6941" s="9" t="s">
        <v>38</v>
      </c>
      <c r="F6941" s="9" t="s">
        <v>114</v>
      </c>
      <c r="G6941" s="9" t="s">
        <v>115</v>
      </c>
      <c r="H6941" s="11" t="s">
        <v>22</v>
      </c>
      <c r="I6941" s="12" t="n">
        <v>23</v>
      </c>
      <c r="J6941" s="13" t="n">
        <v>50</v>
      </c>
      <c r="K6941" s="14" t="n">
        <f aca="false">I6941*J6941</f>
        <v>1150</v>
      </c>
      <c r="L6941" s="14" t="n">
        <f aca="false">($L$2*M6941)/100</f>
        <v>540749.925</v>
      </c>
      <c r="M6941" s="15" t="n">
        <v>0.45</v>
      </c>
      <c r="N6941" s="9" t="s">
        <v>85</v>
      </c>
    </row>
    <row r="6942" customFormat="false" ht="14.25" hidden="false" customHeight="true" outlineLevel="0" collapsed="false">
      <c r="B6942" s="9" t="s">
        <v>16</v>
      </c>
      <c r="C6942" s="9" t="n">
        <v>1185732</v>
      </c>
      <c r="D6942" s="10" t="n">
        <v>44353</v>
      </c>
      <c r="E6942" s="9" t="s">
        <v>38</v>
      </c>
      <c r="F6942" s="9" t="s">
        <v>114</v>
      </c>
      <c r="G6942" s="9" t="s">
        <v>115</v>
      </c>
      <c r="H6942" s="11" t="s">
        <v>23</v>
      </c>
      <c r="I6942" s="12" t="n">
        <v>24</v>
      </c>
      <c r="J6942" s="13" t="n">
        <v>44</v>
      </c>
      <c r="K6942" s="14" t="n">
        <f aca="false">I6942*J6942</f>
        <v>1056</v>
      </c>
      <c r="L6942" s="14" t="n">
        <f aca="false">($L$2*M6942)/100</f>
        <v>528733.26</v>
      </c>
      <c r="M6942" s="15" t="n">
        <v>0.44</v>
      </c>
      <c r="N6942" s="9" t="s">
        <v>85</v>
      </c>
    </row>
    <row r="6943" customFormat="false" ht="14.25" hidden="false" customHeight="true" outlineLevel="0" collapsed="false">
      <c r="B6943" s="9" t="s">
        <v>16</v>
      </c>
      <c r="C6943" s="9" t="n">
        <v>1185732</v>
      </c>
      <c r="D6943" s="10" t="n">
        <v>44353</v>
      </c>
      <c r="E6943" s="9" t="s">
        <v>38</v>
      </c>
      <c r="F6943" s="9" t="s">
        <v>114</v>
      </c>
      <c r="G6943" s="9" t="s">
        <v>115</v>
      </c>
      <c r="H6943" s="11" t="s">
        <v>24</v>
      </c>
      <c r="I6943" s="12" t="n">
        <v>34</v>
      </c>
      <c r="J6943" s="13" t="n">
        <v>44</v>
      </c>
      <c r="K6943" s="14" t="n">
        <f aca="false">I6943*J6943</f>
        <v>1496</v>
      </c>
      <c r="L6943" s="14" t="n">
        <f aca="false">($L$2*M6943)/100</f>
        <v>769066.56</v>
      </c>
      <c r="M6943" s="15" t="n">
        <v>0.64</v>
      </c>
      <c r="N6943" s="9" t="s">
        <v>85</v>
      </c>
    </row>
    <row r="6944" customFormat="false" ht="14.25" hidden="false" customHeight="true" outlineLevel="0" collapsed="false">
      <c r="B6944" s="9" t="s">
        <v>16</v>
      </c>
      <c r="C6944" s="9" t="n">
        <v>1185732</v>
      </c>
      <c r="D6944" s="10" t="n">
        <v>44353</v>
      </c>
      <c r="E6944" s="9" t="s">
        <v>38</v>
      </c>
      <c r="F6944" s="9" t="s">
        <v>114</v>
      </c>
      <c r="G6944" s="9" t="s">
        <v>115</v>
      </c>
      <c r="H6944" s="11" t="s">
        <v>25</v>
      </c>
      <c r="I6944" s="12" t="n">
        <v>51</v>
      </c>
      <c r="J6944" s="13" t="n">
        <v>85</v>
      </c>
      <c r="K6944" s="14" t="n">
        <f aca="false">I6944*J6944</f>
        <v>4335</v>
      </c>
      <c r="L6944" s="14" t="n">
        <f aca="false">($L$2*M6944)/100</f>
        <v>636883.245</v>
      </c>
      <c r="M6944" s="15" t="n">
        <v>0.53</v>
      </c>
      <c r="N6944" s="9" t="s">
        <v>85</v>
      </c>
    </row>
    <row r="6945" customFormat="false" ht="14.25" hidden="false" customHeight="true" outlineLevel="0" collapsed="false">
      <c r="B6945" s="9" t="s">
        <v>16</v>
      </c>
      <c r="C6945" s="9" t="n">
        <v>1185732</v>
      </c>
      <c r="D6945" s="10" t="n">
        <v>44382</v>
      </c>
      <c r="E6945" s="9" t="s">
        <v>38</v>
      </c>
      <c r="F6945" s="9" t="s">
        <v>114</v>
      </c>
      <c r="G6945" s="9" t="s">
        <v>115</v>
      </c>
      <c r="H6945" s="11" t="s">
        <v>19</v>
      </c>
      <c r="I6945" s="12" t="n">
        <v>49</v>
      </c>
      <c r="J6945" s="13" t="n">
        <v>138</v>
      </c>
      <c r="K6945" s="14" t="n">
        <f aca="false">I6945*J6945</f>
        <v>6762</v>
      </c>
      <c r="L6945" s="14" t="n">
        <f aca="false">($L$2*M6945)/100</f>
        <v>528733.26</v>
      </c>
      <c r="M6945" s="15" t="n">
        <v>0.44</v>
      </c>
      <c r="N6945" s="9" t="s">
        <v>85</v>
      </c>
    </row>
    <row r="6946" customFormat="false" ht="14.25" hidden="false" customHeight="true" outlineLevel="0" collapsed="false">
      <c r="B6946" s="9" t="s">
        <v>16</v>
      </c>
      <c r="C6946" s="9" t="n">
        <v>1185732</v>
      </c>
      <c r="D6946" s="10" t="n">
        <v>44382</v>
      </c>
      <c r="E6946" s="9" t="s">
        <v>38</v>
      </c>
      <c r="F6946" s="9" t="s">
        <v>114</v>
      </c>
      <c r="G6946" s="9" t="s">
        <v>115</v>
      </c>
      <c r="H6946" s="11" t="s">
        <v>21</v>
      </c>
      <c r="I6946" s="12" t="n">
        <v>44</v>
      </c>
      <c r="J6946" s="13" t="n">
        <v>87</v>
      </c>
      <c r="K6946" s="14" t="n">
        <f aca="false">I6946*J6946</f>
        <v>3828</v>
      </c>
      <c r="L6946" s="14" t="n">
        <f aca="false">($L$2*M6946)/100</f>
        <v>588816.585</v>
      </c>
      <c r="M6946" s="15" t="n">
        <v>0.49</v>
      </c>
      <c r="N6946" s="9" t="s">
        <v>85</v>
      </c>
    </row>
    <row r="6947" customFormat="false" ht="14.25" hidden="false" customHeight="true" outlineLevel="0" collapsed="false">
      <c r="B6947" s="9" t="s">
        <v>16</v>
      </c>
      <c r="C6947" s="9" t="n">
        <v>1185732</v>
      </c>
      <c r="D6947" s="10" t="n">
        <v>44382</v>
      </c>
      <c r="E6947" s="9" t="s">
        <v>38</v>
      </c>
      <c r="F6947" s="9" t="s">
        <v>114</v>
      </c>
      <c r="G6947" s="9" t="s">
        <v>115</v>
      </c>
      <c r="H6947" s="11" t="s">
        <v>22</v>
      </c>
      <c r="I6947" s="12" t="n">
        <v>36</v>
      </c>
      <c r="J6947" s="13" t="n">
        <v>68</v>
      </c>
      <c r="K6947" s="14" t="n">
        <f aca="false">I6947*J6947</f>
        <v>2448</v>
      </c>
      <c r="L6947" s="14" t="n">
        <f aca="false">($L$2*M6947)/100</f>
        <v>528733.26</v>
      </c>
      <c r="M6947" s="15" t="n">
        <v>0.44</v>
      </c>
      <c r="N6947" s="9" t="s">
        <v>85</v>
      </c>
    </row>
    <row r="6948" customFormat="false" ht="14.25" hidden="false" customHeight="true" outlineLevel="0" collapsed="false">
      <c r="B6948" s="9" t="s">
        <v>16</v>
      </c>
      <c r="C6948" s="9" t="n">
        <v>1185732</v>
      </c>
      <c r="D6948" s="10" t="n">
        <v>44382</v>
      </c>
      <c r="E6948" s="9" t="s">
        <v>38</v>
      </c>
      <c r="F6948" s="9" t="s">
        <v>114</v>
      </c>
      <c r="G6948" s="9" t="s">
        <v>115</v>
      </c>
      <c r="H6948" s="11" t="s">
        <v>23</v>
      </c>
      <c r="I6948" s="12" t="n">
        <v>37</v>
      </c>
      <c r="J6948" s="13" t="n">
        <v>47</v>
      </c>
      <c r="K6948" s="14" t="n">
        <f aca="false">I6948*J6948</f>
        <v>1739</v>
      </c>
      <c r="L6948" s="14" t="n">
        <f aca="false">($L$2*M6948)/100</f>
        <v>492683.265</v>
      </c>
      <c r="M6948" s="15" t="n">
        <v>0.41</v>
      </c>
      <c r="N6948" s="9" t="s">
        <v>85</v>
      </c>
    </row>
    <row r="6949" customFormat="false" ht="14.25" hidden="false" customHeight="true" outlineLevel="0" collapsed="false">
      <c r="B6949" s="9" t="s">
        <v>16</v>
      </c>
      <c r="C6949" s="9" t="n">
        <v>1185732</v>
      </c>
      <c r="D6949" s="10" t="n">
        <v>44382</v>
      </c>
      <c r="E6949" s="9" t="s">
        <v>38</v>
      </c>
      <c r="F6949" s="9" t="s">
        <v>114</v>
      </c>
      <c r="G6949" s="9" t="s">
        <v>115</v>
      </c>
      <c r="H6949" s="11" t="s">
        <v>24</v>
      </c>
      <c r="I6949" s="12" t="n">
        <v>46</v>
      </c>
      <c r="J6949" s="13" t="n">
        <v>60</v>
      </c>
      <c r="K6949" s="14" t="n">
        <f aca="false">I6949*J6949</f>
        <v>2760</v>
      </c>
      <c r="L6949" s="14" t="n">
        <f aca="false">($L$2*M6949)/100</f>
        <v>720999.9</v>
      </c>
      <c r="M6949" s="15" t="n">
        <v>0.6</v>
      </c>
      <c r="N6949" s="9" t="s">
        <v>85</v>
      </c>
    </row>
    <row r="6950" customFormat="false" ht="14.25" hidden="false" customHeight="true" outlineLevel="0" collapsed="false">
      <c r="B6950" s="9" t="s">
        <v>16</v>
      </c>
      <c r="C6950" s="9" t="n">
        <v>1185732</v>
      </c>
      <c r="D6950" s="10" t="n">
        <v>44382</v>
      </c>
      <c r="E6950" s="9" t="s">
        <v>38</v>
      </c>
      <c r="F6950" s="9" t="s">
        <v>114</v>
      </c>
      <c r="G6950" s="9" t="s">
        <v>115</v>
      </c>
      <c r="H6950" s="11" t="s">
        <v>25</v>
      </c>
      <c r="I6950" s="12" t="n">
        <v>51</v>
      </c>
      <c r="J6950" s="13" t="n">
        <v>94</v>
      </c>
      <c r="K6950" s="14" t="n">
        <f aca="false">I6950*J6950</f>
        <v>4794</v>
      </c>
      <c r="L6950" s="14" t="n">
        <f aca="false">($L$2*M6950)/100</f>
        <v>600833.25</v>
      </c>
      <c r="M6950" s="15" t="n">
        <v>0.5</v>
      </c>
      <c r="N6950" s="9" t="s">
        <v>85</v>
      </c>
    </row>
    <row r="6951" customFormat="false" ht="14.25" hidden="false" customHeight="true" outlineLevel="0" collapsed="false">
      <c r="B6951" s="9" t="s">
        <v>16</v>
      </c>
      <c r="C6951" s="9" t="n">
        <v>1185732</v>
      </c>
      <c r="D6951" s="10" t="n">
        <v>44414</v>
      </c>
      <c r="E6951" s="9" t="s">
        <v>38</v>
      </c>
      <c r="F6951" s="9" t="s">
        <v>114</v>
      </c>
      <c r="G6951" s="9" t="s">
        <v>115</v>
      </c>
      <c r="H6951" s="11" t="s">
        <v>19</v>
      </c>
      <c r="I6951" s="12" t="n">
        <v>49</v>
      </c>
      <c r="J6951" s="13" t="n">
        <v>131</v>
      </c>
      <c r="K6951" s="14" t="n">
        <f aca="false">I6951*J6951</f>
        <v>6419</v>
      </c>
      <c r="L6951" s="14" t="n">
        <f aca="false">($L$2*M6951)/100</f>
        <v>504699.93</v>
      </c>
      <c r="M6951" s="15" t="n">
        <v>0.42</v>
      </c>
      <c r="N6951" s="9" t="s">
        <v>85</v>
      </c>
    </row>
    <row r="6952" customFormat="false" ht="14.25" hidden="false" customHeight="true" outlineLevel="0" collapsed="false">
      <c r="B6952" s="9" t="s">
        <v>16</v>
      </c>
      <c r="C6952" s="9" t="n">
        <v>1185732</v>
      </c>
      <c r="D6952" s="10" t="n">
        <v>44414</v>
      </c>
      <c r="E6952" s="9" t="s">
        <v>38</v>
      </c>
      <c r="F6952" s="9" t="s">
        <v>114</v>
      </c>
      <c r="G6952" s="9" t="s">
        <v>115</v>
      </c>
      <c r="H6952" s="11" t="s">
        <v>21</v>
      </c>
      <c r="I6952" s="12" t="n">
        <v>42</v>
      </c>
      <c r="J6952" s="13" t="n">
        <v>78</v>
      </c>
      <c r="K6952" s="14" t="n">
        <f aca="false">I6952*J6952</f>
        <v>3276</v>
      </c>
      <c r="L6952" s="14" t="n">
        <f aca="false">($L$2*M6952)/100</f>
        <v>552766.59</v>
      </c>
      <c r="M6952" s="15" t="n">
        <v>0.46</v>
      </c>
      <c r="N6952" s="9" t="s">
        <v>85</v>
      </c>
    </row>
    <row r="6953" customFormat="false" ht="14.25" hidden="false" customHeight="true" outlineLevel="0" collapsed="false">
      <c r="B6953" s="9" t="s">
        <v>16</v>
      </c>
      <c r="C6953" s="9" t="n">
        <v>1185732</v>
      </c>
      <c r="D6953" s="10" t="n">
        <v>44414</v>
      </c>
      <c r="E6953" s="9" t="s">
        <v>38</v>
      </c>
      <c r="F6953" s="9" t="s">
        <v>114</v>
      </c>
      <c r="G6953" s="9" t="s">
        <v>115</v>
      </c>
      <c r="H6953" s="11" t="s">
        <v>22</v>
      </c>
      <c r="I6953" s="12" t="n">
        <v>39</v>
      </c>
      <c r="J6953" s="13" t="n">
        <v>61</v>
      </c>
      <c r="K6953" s="14" t="n">
        <f aca="false">I6953*J6953</f>
        <v>2379</v>
      </c>
      <c r="L6953" s="14" t="n">
        <f aca="false">($L$2*M6953)/100</f>
        <v>516716.595</v>
      </c>
      <c r="M6953" s="15" t="n">
        <v>0.43</v>
      </c>
      <c r="N6953" s="9" t="s">
        <v>85</v>
      </c>
    </row>
    <row r="6954" customFormat="false" ht="14.25" hidden="false" customHeight="true" outlineLevel="0" collapsed="false">
      <c r="B6954" s="9" t="s">
        <v>16</v>
      </c>
      <c r="C6954" s="9" t="n">
        <v>1185732</v>
      </c>
      <c r="D6954" s="10" t="n">
        <v>44414</v>
      </c>
      <c r="E6954" s="9" t="s">
        <v>38</v>
      </c>
      <c r="F6954" s="9" t="s">
        <v>114</v>
      </c>
      <c r="G6954" s="9" t="s">
        <v>115</v>
      </c>
      <c r="H6954" s="11" t="s">
        <v>23</v>
      </c>
      <c r="I6954" s="12" t="n">
        <v>37</v>
      </c>
      <c r="J6954" s="13" t="n">
        <v>54</v>
      </c>
      <c r="K6954" s="14" t="n">
        <f aca="false">I6954*J6954</f>
        <v>1998</v>
      </c>
      <c r="L6954" s="14" t="n">
        <f aca="false">($L$2*M6954)/100</f>
        <v>492683.265</v>
      </c>
      <c r="M6954" s="15" t="n">
        <v>0.41</v>
      </c>
      <c r="N6954" s="9" t="s">
        <v>85</v>
      </c>
    </row>
    <row r="6955" customFormat="false" ht="14.25" hidden="false" customHeight="true" outlineLevel="0" collapsed="false">
      <c r="B6955" s="9" t="s">
        <v>16</v>
      </c>
      <c r="C6955" s="9" t="n">
        <v>1185732</v>
      </c>
      <c r="D6955" s="10" t="n">
        <v>44414</v>
      </c>
      <c r="E6955" s="9" t="s">
        <v>38</v>
      </c>
      <c r="F6955" s="9" t="s">
        <v>114</v>
      </c>
      <c r="G6955" s="9" t="s">
        <v>115</v>
      </c>
      <c r="H6955" s="11" t="s">
        <v>24</v>
      </c>
      <c r="I6955" s="12" t="n">
        <v>48</v>
      </c>
      <c r="J6955" s="13" t="n">
        <v>51</v>
      </c>
      <c r="K6955" s="14" t="n">
        <f aca="false">I6955*J6955</f>
        <v>2448</v>
      </c>
      <c r="L6955" s="14" t="n">
        <f aca="false">($L$2*M6955)/100</f>
        <v>720999.9</v>
      </c>
      <c r="M6955" s="15" t="n">
        <v>0.6</v>
      </c>
      <c r="N6955" s="9" t="s">
        <v>85</v>
      </c>
    </row>
    <row r="6956" customFormat="false" ht="14.25" hidden="false" customHeight="true" outlineLevel="0" collapsed="false">
      <c r="B6956" s="9" t="s">
        <v>16</v>
      </c>
      <c r="C6956" s="9" t="n">
        <v>1185732</v>
      </c>
      <c r="D6956" s="10" t="n">
        <v>44414</v>
      </c>
      <c r="E6956" s="9" t="s">
        <v>38</v>
      </c>
      <c r="F6956" s="9" t="s">
        <v>114</v>
      </c>
      <c r="G6956" s="9" t="s">
        <v>115</v>
      </c>
      <c r="H6956" s="11" t="s">
        <v>25</v>
      </c>
      <c r="I6956" s="12" t="n">
        <v>53</v>
      </c>
      <c r="J6956" s="13" t="n">
        <v>98</v>
      </c>
      <c r="K6956" s="14" t="n">
        <f aca="false">I6956*J6956</f>
        <v>5194</v>
      </c>
      <c r="L6956" s="14" t="n">
        <f aca="false">($L$2*M6956)/100</f>
        <v>660916.575</v>
      </c>
      <c r="M6956" s="15" t="n">
        <v>0.55</v>
      </c>
      <c r="N6956" s="9" t="s">
        <v>85</v>
      </c>
    </row>
    <row r="6957" customFormat="false" ht="14.25" hidden="false" customHeight="true" outlineLevel="0" collapsed="false">
      <c r="B6957" s="9" t="s">
        <v>16</v>
      </c>
      <c r="C6957" s="9" t="n">
        <v>1185732</v>
      </c>
      <c r="D6957" s="10" t="n">
        <v>44446</v>
      </c>
      <c r="E6957" s="9" t="s">
        <v>38</v>
      </c>
      <c r="F6957" s="9" t="s">
        <v>114</v>
      </c>
      <c r="G6957" s="9" t="s">
        <v>115</v>
      </c>
      <c r="H6957" s="11" t="s">
        <v>19</v>
      </c>
      <c r="I6957" s="12" t="n">
        <v>34</v>
      </c>
      <c r="J6957" s="13" t="n">
        <v>133</v>
      </c>
      <c r="K6957" s="14" t="n">
        <f aca="false">I6957*J6957</f>
        <v>4522</v>
      </c>
      <c r="L6957" s="14" t="n">
        <f aca="false">($L$2*M6957)/100</f>
        <v>480666.6</v>
      </c>
      <c r="M6957" s="15" t="n">
        <v>0.4</v>
      </c>
      <c r="N6957" s="9" t="s">
        <v>85</v>
      </c>
    </row>
    <row r="6958" customFormat="false" ht="14.25" hidden="false" customHeight="true" outlineLevel="0" collapsed="false">
      <c r="B6958" s="9" t="s">
        <v>16</v>
      </c>
      <c r="C6958" s="9" t="n">
        <v>1185732</v>
      </c>
      <c r="D6958" s="10" t="n">
        <v>44446</v>
      </c>
      <c r="E6958" s="9" t="s">
        <v>38</v>
      </c>
      <c r="F6958" s="9" t="s">
        <v>114</v>
      </c>
      <c r="G6958" s="9" t="s">
        <v>115</v>
      </c>
      <c r="H6958" s="11" t="s">
        <v>21</v>
      </c>
      <c r="I6958" s="12" t="n">
        <v>27</v>
      </c>
      <c r="J6958" s="13" t="n">
        <v>77</v>
      </c>
      <c r="K6958" s="14" t="n">
        <f aca="false">I6958*J6958</f>
        <v>2079</v>
      </c>
      <c r="L6958" s="14" t="n">
        <f aca="false">($L$2*M6958)/100</f>
        <v>564783.255</v>
      </c>
      <c r="M6958" s="15" t="n">
        <v>0.47</v>
      </c>
      <c r="N6958" s="9" t="s">
        <v>85</v>
      </c>
    </row>
    <row r="6959" customFormat="false" ht="14.25" hidden="false" customHeight="true" outlineLevel="0" collapsed="false">
      <c r="B6959" s="9" t="s">
        <v>16</v>
      </c>
      <c r="C6959" s="9" t="n">
        <v>1185732</v>
      </c>
      <c r="D6959" s="10" t="n">
        <v>44446</v>
      </c>
      <c r="E6959" s="9" t="s">
        <v>38</v>
      </c>
      <c r="F6959" s="9" t="s">
        <v>114</v>
      </c>
      <c r="G6959" s="9" t="s">
        <v>115</v>
      </c>
      <c r="H6959" s="11" t="s">
        <v>22</v>
      </c>
      <c r="I6959" s="12" t="n">
        <v>24</v>
      </c>
      <c r="J6959" s="13" t="n">
        <v>49</v>
      </c>
      <c r="K6959" s="14" t="n">
        <f aca="false">I6959*J6959</f>
        <v>1176</v>
      </c>
      <c r="L6959" s="14" t="n">
        <f aca="false">($L$2*M6959)/100</f>
        <v>480666.6</v>
      </c>
      <c r="M6959" s="15" t="n">
        <v>0.4</v>
      </c>
      <c r="N6959" s="9" t="s">
        <v>85</v>
      </c>
    </row>
    <row r="6960" customFormat="false" ht="14.25" hidden="false" customHeight="true" outlineLevel="0" collapsed="false">
      <c r="B6960" s="9" t="s">
        <v>16</v>
      </c>
      <c r="C6960" s="9" t="n">
        <v>1185732</v>
      </c>
      <c r="D6960" s="10" t="n">
        <v>44446</v>
      </c>
      <c r="E6960" s="9" t="s">
        <v>38</v>
      </c>
      <c r="F6960" s="9" t="s">
        <v>114</v>
      </c>
      <c r="G6960" s="9" t="s">
        <v>115</v>
      </c>
      <c r="H6960" s="11" t="s">
        <v>23</v>
      </c>
      <c r="I6960" s="12" t="n">
        <v>23</v>
      </c>
      <c r="J6960" s="13" t="n">
        <v>38</v>
      </c>
      <c r="K6960" s="14" t="n">
        <f aca="false">I6960*J6960</f>
        <v>874</v>
      </c>
      <c r="L6960" s="14" t="n">
        <f aca="false">($L$2*M6960)/100</f>
        <v>540749.925</v>
      </c>
      <c r="M6960" s="15" t="n">
        <v>0.45</v>
      </c>
      <c r="N6960" s="9" t="s">
        <v>85</v>
      </c>
    </row>
    <row r="6961" customFormat="false" ht="14.25" hidden="false" customHeight="true" outlineLevel="0" collapsed="false">
      <c r="B6961" s="9" t="s">
        <v>16</v>
      </c>
      <c r="C6961" s="9" t="n">
        <v>1185732</v>
      </c>
      <c r="D6961" s="10" t="n">
        <v>44446</v>
      </c>
      <c r="E6961" s="9" t="s">
        <v>38</v>
      </c>
      <c r="F6961" s="9" t="s">
        <v>114</v>
      </c>
      <c r="G6961" s="9" t="s">
        <v>115</v>
      </c>
      <c r="H6961" s="11" t="s">
        <v>24</v>
      </c>
      <c r="I6961" s="12" t="n">
        <v>34</v>
      </c>
      <c r="J6961" s="13" t="n">
        <v>45</v>
      </c>
      <c r="K6961" s="14" t="n">
        <f aca="false">I6961*J6961</f>
        <v>1530</v>
      </c>
      <c r="L6961" s="14" t="n">
        <f aca="false">($L$2*M6961)/100</f>
        <v>733016.565</v>
      </c>
      <c r="M6961" s="15" t="n">
        <v>0.61</v>
      </c>
      <c r="N6961" s="9" t="s">
        <v>85</v>
      </c>
    </row>
    <row r="6962" customFormat="false" ht="14.25" hidden="false" customHeight="true" outlineLevel="0" collapsed="false">
      <c r="B6962" s="9" t="s">
        <v>16</v>
      </c>
      <c r="C6962" s="9" t="n">
        <v>1185732</v>
      </c>
      <c r="D6962" s="10" t="n">
        <v>44446</v>
      </c>
      <c r="E6962" s="9" t="s">
        <v>38</v>
      </c>
      <c r="F6962" s="9" t="s">
        <v>114</v>
      </c>
      <c r="G6962" s="9" t="s">
        <v>115</v>
      </c>
      <c r="H6962" s="11" t="s">
        <v>25</v>
      </c>
      <c r="I6962" s="12" t="n">
        <v>36</v>
      </c>
      <c r="J6962" s="13" t="n">
        <v>61</v>
      </c>
      <c r="K6962" s="14" t="n">
        <f aca="false">I6962*J6962</f>
        <v>2196</v>
      </c>
      <c r="L6962" s="14" t="n">
        <f aca="false">($L$2*M6962)/100</f>
        <v>600833.25</v>
      </c>
      <c r="M6962" s="15" t="n">
        <v>0.5</v>
      </c>
      <c r="N6962" s="9" t="s">
        <v>85</v>
      </c>
    </row>
    <row r="6963" customFormat="false" ht="14.25" hidden="false" customHeight="true" outlineLevel="0" collapsed="false">
      <c r="B6963" s="9" t="s">
        <v>16</v>
      </c>
      <c r="C6963" s="9" t="n">
        <v>1185732</v>
      </c>
      <c r="D6963" s="10" t="n">
        <v>44475</v>
      </c>
      <c r="E6963" s="9" t="s">
        <v>38</v>
      </c>
      <c r="F6963" s="9" t="s">
        <v>114</v>
      </c>
      <c r="G6963" s="9" t="s">
        <v>115</v>
      </c>
      <c r="H6963" s="11" t="s">
        <v>19</v>
      </c>
      <c r="I6963" s="12" t="n">
        <v>43</v>
      </c>
      <c r="J6963" s="13" t="n">
        <v>112</v>
      </c>
      <c r="K6963" s="14" t="n">
        <f aca="false">I6963*J6963</f>
        <v>4816</v>
      </c>
      <c r="L6963" s="14" t="n">
        <f aca="false">($L$2*M6963)/100</f>
        <v>492683.265</v>
      </c>
      <c r="M6963" s="15" t="n">
        <v>0.41</v>
      </c>
      <c r="N6963" s="9" t="s">
        <v>85</v>
      </c>
    </row>
    <row r="6964" customFormat="false" ht="14.25" hidden="false" customHeight="true" outlineLevel="0" collapsed="false">
      <c r="B6964" s="9" t="s">
        <v>16</v>
      </c>
      <c r="C6964" s="9" t="n">
        <v>1185732</v>
      </c>
      <c r="D6964" s="10" t="n">
        <v>44475</v>
      </c>
      <c r="E6964" s="9" t="s">
        <v>38</v>
      </c>
      <c r="F6964" s="9" t="s">
        <v>114</v>
      </c>
      <c r="G6964" s="9" t="s">
        <v>115</v>
      </c>
      <c r="H6964" s="11" t="s">
        <v>21</v>
      </c>
      <c r="I6964" s="12" t="n">
        <v>32</v>
      </c>
      <c r="J6964" s="13" t="n">
        <v>75</v>
      </c>
      <c r="K6964" s="14" t="n">
        <f aca="false">I6964*J6964</f>
        <v>2400</v>
      </c>
      <c r="L6964" s="14" t="n">
        <f aca="false">($L$2*M6964)/100</f>
        <v>552766.59</v>
      </c>
      <c r="M6964" s="15" t="n">
        <v>0.46</v>
      </c>
      <c r="N6964" s="9" t="s">
        <v>85</v>
      </c>
    </row>
    <row r="6965" customFormat="false" ht="14.25" hidden="false" customHeight="true" outlineLevel="0" collapsed="false">
      <c r="B6965" s="9" t="s">
        <v>16</v>
      </c>
      <c r="C6965" s="9" t="n">
        <v>1185732</v>
      </c>
      <c r="D6965" s="10" t="n">
        <v>44475</v>
      </c>
      <c r="E6965" s="9" t="s">
        <v>38</v>
      </c>
      <c r="F6965" s="9" t="s">
        <v>114</v>
      </c>
      <c r="G6965" s="9" t="s">
        <v>115</v>
      </c>
      <c r="H6965" s="11" t="s">
        <v>22</v>
      </c>
      <c r="I6965" s="12" t="n">
        <v>34</v>
      </c>
      <c r="J6965" s="13" t="n">
        <v>39</v>
      </c>
      <c r="K6965" s="14" t="n">
        <f aca="false">I6965*J6965</f>
        <v>1326</v>
      </c>
      <c r="L6965" s="14" t="n">
        <f aca="false">($L$2*M6965)/100</f>
        <v>492683.265</v>
      </c>
      <c r="M6965" s="15" t="n">
        <v>0.41</v>
      </c>
      <c r="N6965" s="9" t="s">
        <v>85</v>
      </c>
    </row>
    <row r="6966" customFormat="false" ht="14.25" hidden="false" customHeight="true" outlineLevel="0" collapsed="false">
      <c r="B6966" s="9" t="s">
        <v>16</v>
      </c>
      <c r="C6966" s="9" t="n">
        <v>1185732</v>
      </c>
      <c r="D6966" s="10" t="n">
        <v>44475</v>
      </c>
      <c r="E6966" s="9" t="s">
        <v>38</v>
      </c>
      <c r="F6966" s="9" t="s">
        <v>114</v>
      </c>
      <c r="G6966" s="9" t="s">
        <v>115</v>
      </c>
      <c r="H6966" s="11" t="s">
        <v>23</v>
      </c>
      <c r="I6966" s="12" t="n">
        <v>34</v>
      </c>
      <c r="J6966" s="13" t="n">
        <v>31</v>
      </c>
      <c r="K6966" s="14" t="n">
        <f aca="false">I6966*J6966</f>
        <v>1054</v>
      </c>
      <c r="L6966" s="14" t="n">
        <f aca="false">($L$2*M6966)/100</f>
        <v>504699.93</v>
      </c>
      <c r="M6966" s="15" t="n">
        <v>0.42</v>
      </c>
      <c r="N6966" s="9" t="s">
        <v>85</v>
      </c>
    </row>
    <row r="6967" customFormat="false" ht="14.25" hidden="false" customHeight="true" outlineLevel="0" collapsed="false">
      <c r="B6967" s="9" t="s">
        <v>16</v>
      </c>
      <c r="C6967" s="9" t="n">
        <v>1185732</v>
      </c>
      <c r="D6967" s="10" t="n">
        <v>44475</v>
      </c>
      <c r="E6967" s="9" t="s">
        <v>38</v>
      </c>
      <c r="F6967" s="9" t="s">
        <v>114</v>
      </c>
      <c r="G6967" s="9" t="s">
        <v>115</v>
      </c>
      <c r="H6967" s="11" t="s">
        <v>24</v>
      </c>
      <c r="I6967" s="12" t="n">
        <v>42</v>
      </c>
      <c r="J6967" s="13" t="n">
        <v>38</v>
      </c>
      <c r="K6967" s="14" t="n">
        <f aca="false">I6967*J6967</f>
        <v>1596</v>
      </c>
      <c r="L6967" s="14" t="n">
        <f aca="false">($L$2*M6967)/100</f>
        <v>769066.56</v>
      </c>
      <c r="M6967" s="15" t="n">
        <v>0.64</v>
      </c>
      <c r="N6967" s="9" t="s">
        <v>85</v>
      </c>
    </row>
    <row r="6968" customFormat="false" ht="14.25" hidden="false" customHeight="true" outlineLevel="0" collapsed="false">
      <c r="B6968" s="9" t="s">
        <v>32</v>
      </c>
      <c r="C6968" s="9" t="n">
        <v>1185732</v>
      </c>
      <c r="D6968" s="10" t="n">
        <v>44475</v>
      </c>
      <c r="E6968" s="9" t="s">
        <v>38</v>
      </c>
      <c r="F6968" s="9" t="s">
        <v>114</v>
      </c>
      <c r="G6968" s="9" t="s">
        <v>115</v>
      </c>
      <c r="H6968" s="11" t="s">
        <v>25</v>
      </c>
      <c r="I6968" s="12" t="n">
        <v>49</v>
      </c>
      <c r="J6968" s="13" t="n">
        <v>73</v>
      </c>
      <c r="K6968" s="14" t="n">
        <f aca="false">I6968*J6968</f>
        <v>3577</v>
      </c>
      <c r="L6968" s="14" t="n">
        <f aca="false">($L$2*M6968)/100</f>
        <v>636883.245</v>
      </c>
      <c r="M6968" s="15" t="n">
        <v>0.53</v>
      </c>
      <c r="N6968" s="9" t="s">
        <v>85</v>
      </c>
    </row>
    <row r="6969" customFormat="false" ht="14.25" hidden="false" customHeight="true" outlineLevel="0" collapsed="false">
      <c r="B6969" s="9" t="s">
        <v>32</v>
      </c>
      <c r="C6969" s="9" t="n">
        <v>1185732</v>
      </c>
      <c r="D6969" s="10" t="n">
        <v>44506</v>
      </c>
      <c r="E6969" s="9" t="s">
        <v>38</v>
      </c>
      <c r="F6969" s="9" t="s">
        <v>114</v>
      </c>
      <c r="G6969" s="9" t="s">
        <v>115</v>
      </c>
      <c r="H6969" s="11" t="s">
        <v>19</v>
      </c>
      <c r="I6969" s="12" t="n">
        <v>41</v>
      </c>
      <c r="J6969" s="13" t="n">
        <v>112</v>
      </c>
      <c r="K6969" s="14" t="n">
        <f aca="false">I6969*J6969</f>
        <v>4592</v>
      </c>
      <c r="L6969" s="14" t="n">
        <f aca="false">($L$2*M6969)/100</f>
        <v>528733.26</v>
      </c>
      <c r="M6969" s="15" t="n">
        <v>0.44</v>
      </c>
      <c r="N6969" s="9" t="s">
        <v>85</v>
      </c>
    </row>
    <row r="6970" customFormat="false" ht="14.25" hidden="false" customHeight="true" outlineLevel="0" collapsed="false">
      <c r="B6970" s="9" t="s">
        <v>32</v>
      </c>
      <c r="C6970" s="9" t="n">
        <v>1185732</v>
      </c>
      <c r="D6970" s="10" t="n">
        <v>44506</v>
      </c>
      <c r="E6970" s="9" t="s">
        <v>38</v>
      </c>
      <c r="F6970" s="9" t="s">
        <v>114</v>
      </c>
      <c r="G6970" s="9" t="s">
        <v>115</v>
      </c>
      <c r="H6970" s="11" t="s">
        <v>21</v>
      </c>
      <c r="I6970" s="12" t="n">
        <v>32</v>
      </c>
      <c r="J6970" s="13" t="n">
        <v>72</v>
      </c>
      <c r="K6970" s="14" t="n">
        <f aca="false">I6970*J6970</f>
        <v>2304</v>
      </c>
      <c r="L6970" s="14" t="n">
        <f aca="false">($L$2*M6970)/100</f>
        <v>588816.585</v>
      </c>
      <c r="M6970" s="15" t="n">
        <v>0.49</v>
      </c>
      <c r="N6970" s="9" t="s">
        <v>85</v>
      </c>
    </row>
    <row r="6971" customFormat="false" ht="14.25" hidden="false" customHeight="true" outlineLevel="0" collapsed="false">
      <c r="B6971" s="9" t="s">
        <v>32</v>
      </c>
      <c r="C6971" s="9" t="n">
        <v>1185732</v>
      </c>
      <c r="D6971" s="10" t="n">
        <v>44506</v>
      </c>
      <c r="E6971" s="9" t="s">
        <v>38</v>
      </c>
      <c r="F6971" s="9" t="s">
        <v>114</v>
      </c>
      <c r="G6971" s="9" t="s">
        <v>115</v>
      </c>
      <c r="H6971" s="11" t="s">
        <v>22</v>
      </c>
      <c r="I6971" s="12" t="n">
        <v>32</v>
      </c>
      <c r="J6971" s="13" t="n">
        <v>57</v>
      </c>
      <c r="K6971" s="14" t="n">
        <f aca="false">I6971*J6971</f>
        <v>1824</v>
      </c>
      <c r="L6971" s="14" t="n">
        <f aca="false">($L$2*M6971)/100</f>
        <v>528733.26</v>
      </c>
      <c r="M6971" s="15" t="n">
        <v>0.44</v>
      </c>
      <c r="N6971" s="9" t="s">
        <v>85</v>
      </c>
    </row>
    <row r="6972" customFormat="false" ht="14.25" hidden="false" customHeight="true" outlineLevel="0" collapsed="false">
      <c r="B6972" s="9" t="s">
        <v>32</v>
      </c>
      <c r="C6972" s="9" t="n">
        <v>1185732</v>
      </c>
      <c r="D6972" s="10" t="n">
        <v>44506</v>
      </c>
      <c r="E6972" s="9" t="s">
        <v>38</v>
      </c>
      <c r="F6972" s="9" t="s">
        <v>114</v>
      </c>
      <c r="G6972" s="9" t="s">
        <v>115</v>
      </c>
      <c r="H6972" s="11" t="s">
        <v>23</v>
      </c>
      <c r="I6972" s="12" t="n">
        <v>34</v>
      </c>
      <c r="J6972" s="13" t="n">
        <v>52</v>
      </c>
      <c r="K6972" s="14" t="n">
        <f aca="false">I6972*J6972</f>
        <v>1768</v>
      </c>
      <c r="L6972" s="14" t="n">
        <f aca="false">($L$2*M6972)/100</f>
        <v>492683.265</v>
      </c>
      <c r="M6972" s="15" t="n">
        <v>0.41</v>
      </c>
      <c r="N6972" s="9" t="s">
        <v>85</v>
      </c>
    </row>
    <row r="6973" customFormat="false" ht="14.25" hidden="false" customHeight="true" outlineLevel="0" collapsed="false">
      <c r="B6973" s="9" t="s">
        <v>32</v>
      </c>
      <c r="C6973" s="9" t="n">
        <v>1185732</v>
      </c>
      <c r="D6973" s="10" t="n">
        <v>44506</v>
      </c>
      <c r="E6973" s="9" t="s">
        <v>38</v>
      </c>
      <c r="F6973" s="9" t="s">
        <v>114</v>
      </c>
      <c r="G6973" s="9" t="s">
        <v>115</v>
      </c>
      <c r="H6973" s="11" t="s">
        <v>24</v>
      </c>
      <c r="I6973" s="12" t="n">
        <v>55</v>
      </c>
      <c r="J6973" s="13" t="n">
        <v>49</v>
      </c>
      <c r="K6973" s="14" t="n">
        <f aca="false">I6973*J6973</f>
        <v>2695</v>
      </c>
      <c r="L6973" s="14" t="n">
        <f aca="false">($L$2*M6973)/100</f>
        <v>720999.9</v>
      </c>
      <c r="M6973" s="15" t="n">
        <v>0.6</v>
      </c>
      <c r="N6973" s="9" t="s">
        <v>85</v>
      </c>
    </row>
    <row r="6974" customFormat="false" ht="14.25" hidden="false" customHeight="true" outlineLevel="0" collapsed="false">
      <c r="B6974" s="9" t="s">
        <v>32</v>
      </c>
      <c r="C6974" s="9" t="n">
        <v>1185732</v>
      </c>
      <c r="D6974" s="10" t="n">
        <v>44506</v>
      </c>
      <c r="E6974" s="9" t="s">
        <v>38</v>
      </c>
      <c r="F6974" s="9" t="s">
        <v>114</v>
      </c>
      <c r="G6974" s="9" t="s">
        <v>115</v>
      </c>
      <c r="H6974" s="11" t="s">
        <v>25</v>
      </c>
      <c r="I6974" s="12" t="n">
        <v>59</v>
      </c>
      <c r="J6974" s="13" t="n">
        <v>72</v>
      </c>
      <c r="K6974" s="14" t="n">
        <f aca="false">I6974*J6974</f>
        <v>4248</v>
      </c>
      <c r="L6974" s="14" t="n">
        <f aca="false">($L$2*M6974)/100</f>
        <v>624866.58</v>
      </c>
      <c r="M6974" s="15" t="n">
        <v>0.52</v>
      </c>
      <c r="N6974" s="9" t="s">
        <v>85</v>
      </c>
    </row>
    <row r="6975" customFormat="false" ht="14.25" hidden="false" customHeight="true" outlineLevel="0" collapsed="false">
      <c r="B6975" s="9" t="s">
        <v>32</v>
      </c>
      <c r="C6975" s="9" t="n">
        <v>1185732</v>
      </c>
      <c r="D6975" s="10" t="n">
        <v>44535</v>
      </c>
      <c r="E6975" s="9" t="s">
        <v>38</v>
      </c>
      <c r="F6975" s="9" t="s">
        <v>114</v>
      </c>
      <c r="G6975" s="9" t="s">
        <v>115</v>
      </c>
      <c r="H6975" s="11" t="s">
        <v>19</v>
      </c>
      <c r="I6975" s="12" t="n">
        <v>54</v>
      </c>
      <c r="J6975" s="13" t="n">
        <v>147</v>
      </c>
      <c r="K6975" s="14" t="n">
        <f aca="false">I6975*J6975</f>
        <v>7938</v>
      </c>
      <c r="L6975" s="14" t="n">
        <f aca="false">($L$2*M6975)/100</f>
        <v>504699.93</v>
      </c>
      <c r="M6975" s="15" t="n">
        <v>0.42</v>
      </c>
      <c r="N6975" s="9" t="s">
        <v>85</v>
      </c>
    </row>
    <row r="6976" customFormat="false" ht="14.25" hidden="false" customHeight="true" outlineLevel="0" collapsed="false">
      <c r="B6976" s="9" t="s">
        <v>32</v>
      </c>
      <c r="C6976" s="9" t="n">
        <v>1185732</v>
      </c>
      <c r="D6976" s="10" t="n">
        <v>44535</v>
      </c>
      <c r="E6976" s="9" t="s">
        <v>38</v>
      </c>
      <c r="F6976" s="9" t="s">
        <v>114</v>
      </c>
      <c r="G6976" s="9" t="s">
        <v>115</v>
      </c>
      <c r="H6976" s="11" t="s">
        <v>21</v>
      </c>
      <c r="I6976" s="12" t="n">
        <v>47</v>
      </c>
      <c r="J6976" s="13" t="n">
        <v>91</v>
      </c>
      <c r="K6976" s="14" t="n">
        <f aca="false">I6976*J6976</f>
        <v>4277</v>
      </c>
      <c r="L6976" s="14" t="n">
        <f aca="false">($L$2*M6976)/100</f>
        <v>564783.255</v>
      </c>
      <c r="M6976" s="15" t="n">
        <v>0.47</v>
      </c>
      <c r="N6976" s="9" t="s">
        <v>85</v>
      </c>
    </row>
    <row r="6977" customFormat="false" ht="14.25" hidden="false" customHeight="true" outlineLevel="0" collapsed="false">
      <c r="B6977" s="9" t="s">
        <v>32</v>
      </c>
      <c r="C6977" s="9" t="n">
        <v>1185732</v>
      </c>
      <c r="D6977" s="10" t="n">
        <v>44535</v>
      </c>
      <c r="E6977" s="9" t="s">
        <v>38</v>
      </c>
      <c r="F6977" s="9" t="s">
        <v>114</v>
      </c>
      <c r="G6977" s="9" t="s">
        <v>115</v>
      </c>
      <c r="H6977" s="11" t="s">
        <v>22</v>
      </c>
      <c r="I6977" s="12" t="n">
        <v>47</v>
      </c>
      <c r="J6977" s="13" t="n">
        <v>83</v>
      </c>
      <c r="K6977" s="14" t="n">
        <f aca="false">I6977*J6977</f>
        <v>3901</v>
      </c>
      <c r="L6977" s="14" t="n">
        <f aca="false">($L$2*M6977)/100</f>
        <v>504699.93</v>
      </c>
      <c r="M6977" s="15" t="n">
        <v>0.42</v>
      </c>
      <c r="N6977" s="9" t="s">
        <v>85</v>
      </c>
    </row>
    <row r="6978" customFormat="false" ht="14.25" hidden="false" customHeight="true" outlineLevel="0" collapsed="false">
      <c r="B6978" s="9" t="s">
        <v>32</v>
      </c>
      <c r="C6978" s="9" t="n">
        <v>1185732</v>
      </c>
      <c r="D6978" s="10" t="n">
        <v>44535</v>
      </c>
      <c r="E6978" s="9" t="s">
        <v>38</v>
      </c>
      <c r="F6978" s="9" t="s">
        <v>114</v>
      </c>
      <c r="G6978" s="9" t="s">
        <v>115</v>
      </c>
      <c r="H6978" s="11" t="s">
        <v>23</v>
      </c>
      <c r="I6978" s="12" t="n">
        <v>49</v>
      </c>
      <c r="J6978" s="13" t="n">
        <v>61</v>
      </c>
      <c r="K6978" s="14" t="n">
        <f aca="false">I6978*J6978</f>
        <v>2989</v>
      </c>
      <c r="L6978" s="14" t="n">
        <f aca="false">($L$2*M6978)/100</f>
        <v>516716.595</v>
      </c>
      <c r="M6978" s="15" t="n">
        <v>0.43</v>
      </c>
      <c r="N6978" s="9" t="s">
        <v>85</v>
      </c>
    </row>
    <row r="6979" customFormat="false" ht="14.25" hidden="false" customHeight="true" outlineLevel="0" collapsed="false">
      <c r="B6979" s="9" t="s">
        <v>32</v>
      </c>
      <c r="C6979" s="9" t="n">
        <v>1185732</v>
      </c>
      <c r="D6979" s="10" t="n">
        <v>44535</v>
      </c>
      <c r="E6979" s="9" t="s">
        <v>38</v>
      </c>
      <c r="F6979" s="9" t="s">
        <v>114</v>
      </c>
      <c r="G6979" s="9" t="s">
        <v>115</v>
      </c>
      <c r="H6979" s="11" t="s">
        <v>24</v>
      </c>
      <c r="I6979" s="12" t="n">
        <v>59</v>
      </c>
      <c r="J6979" s="13" t="n">
        <v>59</v>
      </c>
      <c r="K6979" s="14" t="n">
        <f aca="false">I6979*J6979</f>
        <v>3481</v>
      </c>
      <c r="L6979" s="14" t="n">
        <f aca="false">($L$2*M6979)/100</f>
        <v>733016.565</v>
      </c>
      <c r="M6979" s="15" t="n">
        <v>0.61</v>
      </c>
      <c r="N6979" s="9" t="s">
        <v>85</v>
      </c>
    </row>
    <row r="6980" customFormat="false" ht="14.25" hidden="false" customHeight="true" outlineLevel="0" collapsed="false">
      <c r="B6980" s="9" t="s">
        <v>32</v>
      </c>
      <c r="C6980" s="9" t="n">
        <v>1185732</v>
      </c>
      <c r="D6980" s="10" t="n">
        <v>44535</v>
      </c>
      <c r="E6980" s="9" t="s">
        <v>38</v>
      </c>
      <c r="F6980" s="9" t="s">
        <v>114</v>
      </c>
      <c r="G6980" s="9" t="s">
        <v>115</v>
      </c>
      <c r="H6980" s="11" t="s">
        <v>25</v>
      </c>
      <c r="I6980" s="12" t="n">
        <v>59</v>
      </c>
      <c r="J6980" s="13" t="n">
        <v>88</v>
      </c>
      <c r="K6980" s="14" t="n">
        <f aca="false">I6980*J6980</f>
        <v>5192</v>
      </c>
      <c r="L6980" s="14" t="n">
        <f aca="false">($L$2*M6980)/100</f>
        <v>660916.575</v>
      </c>
      <c r="M6980" s="15" t="n">
        <v>0.55</v>
      </c>
      <c r="N6980" s="9" t="s">
        <v>85</v>
      </c>
    </row>
    <row r="6981" customFormat="false" ht="14.25" hidden="false" customHeight="true" outlineLevel="0" collapsed="false">
      <c r="B6981" s="9" t="s">
        <v>32</v>
      </c>
      <c r="C6981" s="9" t="n">
        <v>1185732</v>
      </c>
      <c r="D6981" s="10" t="n">
        <v>44199</v>
      </c>
      <c r="E6981" s="9" t="s">
        <v>38</v>
      </c>
      <c r="F6981" s="9" t="s">
        <v>114</v>
      </c>
      <c r="G6981" s="9" t="s">
        <v>115</v>
      </c>
      <c r="H6981" s="11" t="s">
        <v>19</v>
      </c>
      <c r="I6981" s="12" t="n">
        <v>28</v>
      </c>
      <c r="J6981" s="13" t="n">
        <v>126</v>
      </c>
      <c r="K6981" s="14" t="n">
        <f aca="false">I6981*J6981</f>
        <v>3528</v>
      </c>
      <c r="L6981" s="14" t="n">
        <f aca="false">($L$2*M6981)/100</f>
        <v>540749.925</v>
      </c>
      <c r="M6981" s="15" t="n">
        <v>0.45</v>
      </c>
      <c r="N6981" s="9" t="s">
        <v>85</v>
      </c>
    </row>
    <row r="6982" customFormat="false" ht="14.25" hidden="false" customHeight="true" outlineLevel="0" collapsed="false">
      <c r="B6982" s="9" t="s">
        <v>32</v>
      </c>
      <c r="C6982" s="9" t="n">
        <v>1185732</v>
      </c>
      <c r="D6982" s="10" t="n">
        <v>44199</v>
      </c>
      <c r="E6982" s="9" t="s">
        <v>38</v>
      </c>
      <c r="F6982" s="9" t="s">
        <v>114</v>
      </c>
      <c r="G6982" s="9" t="s">
        <v>115</v>
      </c>
      <c r="H6982" s="11" t="s">
        <v>21</v>
      </c>
      <c r="I6982" s="12" t="n">
        <v>29</v>
      </c>
      <c r="J6982" s="13" t="n">
        <v>70</v>
      </c>
      <c r="K6982" s="14" t="n">
        <f aca="false">I6982*J6982</f>
        <v>2030</v>
      </c>
      <c r="L6982" s="14" t="n">
        <f aca="false">($L$2*M6982)/100</f>
        <v>552766.59</v>
      </c>
      <c r="M6982" s="15" t="n">
        <v>0.46</v>
      </c>
      <c r="N6982" s="9" t="s">
        <v>85</v>
      </c>
    </row>
    <row r="6983" customFormat="false" ht="14.25" hidden="false" customHeight="true" outlineLevel="0" collapsed="false">
      <c r="B6983" s="9" t="s">
        <v>32</v>
      </c>
      <c r="C6983" s="9" t="n">
        <v>1185732</v>
      </c>
      <c r="D6983" s="10" t="n">
        <v>44199</v>
      </c>
      <c r="E6983" s="9" t="s">
        <v>38</v>
      </c>
      <c r="F6983" s="9" t="s">
        <v>114</v>
      </c>
      <c r="G6983" s="9" t="s">
        <v>115</v>
      </c>
      <c r="H6983" s="11" t="s">
        <v>22</v>
      </c>
      <c r="I6983" s="12" t="n">
        <v>18</v>
      </c>
      <c r="J6983" s="13" t="n">
        <v>65</v>
      </c>
      <c r="K6983" s="14" t="n">
        <f aca="false">I6983*J6983</f>
        <v>1170</v>
      </c>
      <c r="L6983" s="14" t="n">
        <f aca="false">($L$2*M6983)/100</f>
        <v>492683.265</v>
      </c>
      <c r="M6983" s="15" t="n">
        <v>0.41</v>
      </c>
      <c r="N6983" s="9" t="s">
        <v>85</v>
      </c>
    </row>
    <row r="6984" customFormat="false" ht="14.25" hidden="false" customHeight="true" outlineLevel="0" collapsed="false">
      <c r="B6984" s="9" t="s">
        <v>32</v>
      </c>
      <c r="C6984" s="9" t="n">
        <v>1185732</v>
      </c>
      <c r="D6984" s="10" t="n">
        <v>44199</v>
      </c>
      <c r="E6984" s="9" t="s">
        <v>38</v>
      </c>
      <c r="F6984" s="9" t="s">
        <v>114</v>
      </c>
      <c r="G6984" s="9" t="s">
        <v>115</v>
      </c>
      <c r="H6984" s="11" t="s">
        <v>23</v>
      </c>
      <c r="I6984" s="12" t="n">
        <v>23</v>
      </c>
      <c r="J6984" s="13" t="n">
        <v>29</v>
      </c>
      <c r="K6984" s="14" t="n">
        <f aca="false">I6984*J6984</f>
        <v>667</v>
      </c>
      <c r="L6984" s="14" t="n">
        <f aca="false">($L$2*M6984)/100</f>
        <v>540749.925</v>
      </c>
      <c r="M6984" s="15" t="n">
        <v>0.45</v>
      </c>
      <c r="N6984" s="9" t="s">
        <v>85</v>
      </c>
    </row>
    <row r="6985" customFormat="false" ht="14.25" hidden="false" customHeight="true" outlineLevel="0" collapsed="false">
      <c r="B6985" s="9" t="s">
        <v>32</v>
      </c>
      <c r="C6985" s="9" t="n">
        <v>1185732</v>
      </c>
      <c r="D6985" s="10" t="n">
        <v>44199</v>
      </c>
      <c r="E6985" s="9" t="s">
        <v>38</v>
      </c>
      <c r="F6985" s="9" t="s">
        <v>114</v>
      </c>
      <c r="G6985" s="9" t="s">
        <v>115</v>
      </c>
      <c r="H6985" s="11" t="s">
        <v>24</v>
      </c>
      <c r="I6985" s="12" t="n">
        <v>38</v>
      </c>
      <c r="J6985" s="13" t="n">
        <v>45</v>
      </c>
      <c r="K6985" s="14" t="n">
        <f aca="false">I6985*J6985</f>
        <v>1710</v>
      </c>
      <c r="L6985" s="14" t="n">
        <f aca="false">($L$2*M6985)/100</f>
        <v>745033.23</v>
      </c>
      <c r="M6985" s="15" t="n">
        <v>0.62</v>
      </c>
      <c r="N6985" s="9" t="s">
        <v>85</v>
      </c>
    </row>
    <row r="6986" customFormat="false" ht="14.25" hidden="false" customHeight="true" outlineLevel="0" collapsed="false">
      <c r="B6986" s="9" t="s">
        <v>32</v>
      </c>
      <c r="C6986" s="9" t="n">
        <v>1185732</v>
      </c>
      <c r="D6986" s="10" t="n">
        <v>44199</v>
      </c>
      <c r="E6986" s="9" t="s">
        <v>38</v>
      </c>
      <c r="F6986" s="9" t="s">
        <v>114</v>
      </c>
      <c r="G6986" s="9" t="s">
        <v>115</v>
      </c>
      <c r="H6986" s="11" t="s">
        <v>25</v>
      </c>
      <c r="I6986" s="12" t="n">
        <v>28</v>
      </c>
      <c r="J6986" s="13" t="n">
        <v>73</v>
      </c>
      <c r="K6986" s="14" t="n">
        <f aca="false">I6986*J6986</f>
        <v>2044</v>
      </c>
      <c r="L6986" s="14" t="n">
        <f aca="false">($L$2*M6986)/100</f>
        <v>660916.575</v>
      </c>
      <c r="M6986" s="15" t="n">
        <v>0.55</v>
      </c>
      <c r="N6986" s="9" t="s">
        <v>85</v>
      </c>
    </row>
    <row r="6987" customFormat="false" ht="14.25" hidden="false" customHeight="true" outlineLevel="0" collapsed="false">
      <c r="B6987" s="9" t="s">
        <v>32</v>
      </c>
      <c r="C6987" s="9" t="n">
        <v>1185732</v>
      </c>
      <c r="D6987" s="10" t="n">
        <v>44230</v>
      </c>
      <c r="E6987" s="9" t="s">
        <v>38</v>
      </c>
      <c r="F6987" s="9" t="s">
        <v>114</v>
      </c>
      <c r="G6987" s="9" t="s">
        <v>115</v>
      </c>
      <c r="H6987" s="11" t="s">
        <v>19</v>
      </c>
      <c r="I6987" s="12" t="n">
        <v>29</v>
      </c>
      <c r="J6987" s="13" t="n">
        <v>140</v>
      </c>
      <c r="K6987" s="14" t="n">
        <f aca="false">I6987*J6987</f>
        <v>4060</v>
      </c>
      <c r="L6987" s="14" t="n">
        <f aca="false">($L$2*M6987)/100</f>
        <v>492683.265</v>
      </c>
      <c r="M6987" s="15" t="n">
        <v>0.41</v>
      </c>
      <c r="N6987" s="9" t="s">
        <v>85</v>
      </c>
    </row>
    <row r="6988" customFormat="false" ht="14.25" hidden="false" customHeight="true" outlineLevel="0" collapsed="false">
      <c r="B6988" s="9" t="s">
        <v>32</v>
      </c>
      <c r="C6988" s="9" t="n">
        <v>1185732</v>
      </c>
      <c r="D6988" s="10" t="n">
        <v>44230</v>
      </c>
      <c r="E6988" s="9" t="s">
        <v>38</v>
      </c>
      <c r="F6988" s="9" t="s">
        <v>114</v>
      </c>
      <c r="G6988" s="9" t="s">
        <v>115</v>
      </c>
      <c r="H6988" s="11" t="s">
        <v>21</v>
      </c>
      <c r="I6988" s="12" t="n">
        <v>29</v>
      </c>
      <c r="J6988" s="13" t="n">
        <v>39</v>
      </c>
      <c r="K6988" s="14" t="n">
        <f aca="false">I6988*J6988</f>
        <v>1131</v>
      </c>
      <c r="L6988" s="14" t="n">
        <f aca="false">($L$2*M6988)/100</f>
        <v>588816.585</v>
      </c>
      <c r="M6988" s="15" t="n">
        <v>0.49</v>
      </c>
      <c r="N6988" s="9" t="s">
        <v>85</v>
      </c>
    </row>
    <row r="6989" customFormat="false" ht="14.25" hidden="false" customHeight="true" outlineLevel="0" collapsed="false">
      <c r="B6989" s="9" t="s">
        <v>32</v>
      </c>
      <c r="C6989" s="9" t="n">
        <v>1185732</v>
      </c>
      <c r="D6989" s="10" t="n">
        <v>44230</v>
      </c>
      <c r="E6989" s="9" t="s">
        <v>38</v>
      </c>
      <c r="F6989" s="9" t="s">
        <v>114</v>
      </c>
      <c r="G6989" s="9" t="s">
        <v>115</v>
      </c>
      <c r="H6989" s="11" t="s">
        <v>22</v>
      </c>
      <c r="I6989" s="12" t="n">
        <v>20</v>
      </c>
      <c r="J6989" s="13" t="n">
        <v>60</v>
      </c>
      <c r="K6989" s="14" t="n">
        <f aca="false">I6989*J6989</f>
        <v>1200</v>
      </c>
      <c r="L6989" s="14" t="n">
        <f aca="false">($L$2*M6989)/100</f>
        <v>516716.595</v>
      </c>
      <c r="M6989" s="15" t="n">
        <v>0.43</v>
      </c>
      <c r="N6989" s="9" t="s">
        <v>85</v>
      </c>
    </row>
    <row r="6990" customFormat="false" ht="14.25" hidden="false" customHeight="true" outlineLevel="0" collapsed="false">
      <c r="B6990" s="9" t="s">
        <v>32</v>
      </c>
      <c r="C6990" s="9" t="n">
        <v>1185732</v>
      </c>
      <c r="D6990" s="10" t="n">
        <v>44230</v>
      </c>
      <c r="E6990" s="9" t="s">
        <v>38</v>
      </c>
      <c r="F6990" s="9" t="s">
        <v>116</v>
      </c>
      <c r="G6990" s="9" t="s">
        <v>117</v>
      </c>
      <c r="H6990" s="11" t="s">
        <v>23</v>
      </c>
      <c r="I6990" s="12" t="n">
        <v>23</v>
      </c>
      <c r="J6990" s="13" t="n">
        <v>20</v>
      </c>
      <c r="K6990" s="14" t="n">
        <f aca="false">I6990*J6990</f>
        <v>460</v>
      </c>
      <c r="L6990" s="14" t="n">
        <f aca="false">($L$2*M6990)/100</f>
        <v>516716.595</v>
      </c>
      <c r="M6990" s="15" t="n">
        <v>0.43</v>
      </c>
      <c r="N6990" s="9" t="s">
        <v>85</v>
      </c>
    </row>
    <row r="6991" customFormat="false" ht="14.25" hidden="false" customHeight="true" outlineLevel="0" collapsed="false">
      <c r="B6991" s="9" t="s">
        <v>32</v>
      </c>
      <c r="C6991" s="9" t="n">
        <v>1185732</v>
      </c>
      <c r="D6991" s="10" t="n">
        <v>44230</v>
      </c>
      <c r="E6991" s="9" t="s">
        <v>38</v>
      </c>
      <c r="F6991" s="9" t="s">
        <v>116</v>
      </c>
      <c r="G6991" s="9" t="s">
        <v>117</v>
      </c>
      <c r="H6991" s="11" t="s">
        <v>24</v>
      </c>
      <c r="I6991" s="12" t="n">
        <v>38</v>
      </c>
      <c r="J6991" s="13" t="n">
        <v>38</v>
      </c>
      <c r="K6991" s="14" t="n">
        <f aca="false">I6991*J6991</f>
        <v>1444</v>
      </c>
      <c r="L6991" s="14" t="n">
        <f aca="false">($L$2*M6991)/100</f>
        <v>733016.565</v>
      </c>
      <c r="M6991" s="15" t="n">
        <v>0.61</v>
      </c>
      <c r="N6991" s="9" t="s">
        <v>85</v>
      </c>
    </row>
    <row r="6992" customFormat="false" ht="14.25" hidden="false" customHeight="true" outlineLevel="0" collapsed="false">
      <c r="B6992" s="9" t="s">
        <v>32</v>
      </c>
      <c r="C6992" s="9" t="n">
        <v>1185732</v>
      </c>
      <c r="D6992" s="10" t="n">
        <v>44230</v>
      </c>
      <c r="E6992" s="9" t="s">
        <v>38</v>
      </c>
      <c r="F6992" s="9" t="s">
        <v>116</v>
      </c>
      <c r="G6992" s="9" t="s">
        <v>117</v>
      </c>
      <c r="H6992" s="11" t="s">
        <v>25</v>
      </c>
      <c r="I6992" s="12" t="n">
        <v>14</v>
      </c>
      <c r="J6992" s="13" t="n">
        <v>65</v>
      </c>
      <c r="K6992" s="14" t="n">
        <f aca="false">I6992*J6992</f>
        <v>910</v>
      </c>
      <c r="L6992" s="14" t="n">
        <f aca="false">($L$2*M6992)/100</f>
        <v>612849.915</v>
      </c>
      <c r="M6992" s="15" t="n">
        <v>0.51</v>
      </c>
      <c r="N6992" s="9" t="s">
        <v>85</v>
      </c>
    </row>
    <row r="6993" customFormat="false" ht="14.25" hidden="false" customHeight="true" outlineLevel="0" collapsed="false">
      <c r="B6993" s="9" t="s">
        <v>32</v>
      </c>
      <c r="C6993" s="9" t="n">
        <v>1185732</v>
      </c>
      <c r="D6993" s="10" t="n">
        <v>44257</v>
      </c>
      <c r="E6993" s="9" t="s">
        <v>38</v>
      </c>
      <c r="F6993" s="9" t="s">
        <v>116</v>
      </c>
      <c r="G6993" s="9" t="s">
        <v>117</v>
      </c>
      <c r="H6993" s="11" t="s">
        <v>19</v>
      </c>
      <c r="I6993" s="12" t="n">
        <v>19</v>
      </c>
      <c r="J6993" s="13" t="n">
        <v>141</v>
      </c>
      <c r="K6993" s="14" t="n">
        <f aca="false">I6993*J6993</f>
        <v>2679</v>
      </c>
      <c r="L6993" s="14" t="n">
        <f aca="false">($L$2*M6993)/100</f>
        <v>492683.265</v>
      </c>
      <c r="M6993" s="15" t="n">
        <v>0.41</v>
      </c>
      <c r="N6993" s="9" t="s">
        <v>85</v>
      </c>
    </row>
    <row r="6994" customFormat="false" ht="14.25" hidden="false" customHeight="true" outlineLevel="0" collapsed="false">
      <c r="B6994" s="9" t="s">
        <v>32</v>
      </c>
      <c r="C6994" s="9" t="n">
        <v>1185732</v>
      </c>
      <c r="D6994" s="10" t="n">
        <v>44257</v>
      </c>
      <c r="E6994" s="9" t="s">
        <v>38</v>
      </c>
      <c r="F6994" s="9" t="s">
        <v>116</v>
      </c>
      <c r="G6994" s="9" t="s">
        <v>117</v>
      </c>
      <c r="H6994" s="11" t="s">
        <v>21</v>
      </c>
      <c r="I6994" s="12" t="n">
        <v>19</v>
      </c>
      <c r="J6994" s="13" t="n">
        <v>44</v>
      </c>
      <c r="K6994" s="14" t="n">
        <f aca="false">I6994*J6994</f>
        <v>836</v>
      </c>
      <c r="L6994" s="14" t="n">
        <f aca="false">($L$2*M6994)/100</f>
        <v>600833.25</v>
      </c>
      <c r="M6994" s="15" t="n">
        <v>0.5</v>
      </c>
      <c r="N6994" s="9" t="s">
        <v>85</v>
      </c>
    </row>
    <row r="6995" customFormat="false" ht="14.25" hidden="false" customHeight="true" outlineLevel="0" collapsed="false">
      <c r="B6995" s="9" t="s">
        <v>32</v>
      </c>
      <c r="C6995" s="9" t="n">
        <v>1185732</v>
      </c>
      <c r="D6995" s="10" t="n">
        <v>44257</v>
      </c>
      <c r="E6995" s="9" t="s">
        <v>38</v>
      </c>
      <c r="F6995" s="9" t="s">
        <v>116</v>
      </c>
      <c r="G6995" s="9" t="s">
        <v>117</v>
      </c>
      <c r="H6995" s="11" t="s">
        <v>22</v>
      </c>
      <c r="I6995" s="12" t="n">
        <v>9</v>
      </c>
      <c r="J6995" s="13" t="n">
        <v>59</v>
      </c>
      <c r="K6995" s="14" t="n">
        <f aca="false">I6995*J6995</f>
        <v>531</v>
      </c>
      <c r="L6995" s="14" t="n">
        <f aca="false">($L$2*M6995)/100</f>
        <v>528733.26</v>
      </c>
      <c r="M6995" s="15" t="n">
        <v>0.44</v>
      </c>
      <c r="N6995" s="9" t="s">
        <v>85</v>
      </c>
    </row>
    <row r="6996" customFormat="false" ht="14.25" hidden="false" customHeight="true" outlineLevel="0" collapsed="false">
      <c r="B6996" s="9" t="s">
        <v>32</v>
      </c>
      <c r="C6996" s="9" t="n">
        <v>1185732</v>
      </c>
      <c r="D6996" s="10" t="n">
        <v>44257</v>
      </c>
      <c r="E6996" s="9" t="s">
        <v>38</v>
      </c>
      <c r="F6996" s="9" t="s">
        <v>116</v>
      </c>
      <c r="G6996" s="9" t="s">
        <v>117</v>
      </c>
      <c r="H6996" s="11" t="s">
        <v>23</v>
      </c>
      <c r="I6996" s="12" t="n">
        <v>14</v>
      </c>
      <c r="J6996" s="13" t="n">
        <v>20</v>
      </c>
      <c r="K6996" s="14" t="n">
        <f aca="false">I6996*J6996</f>
        <v>280</v>
      </c>
      <c r="L6996" s="14" t="n">
        <f aca="false">($L$2*M6996)/100</f>
        <v>492683.265</v>
      </c>
      <c r="M6996" s="15" t="n">
        <v>0.41</v>
      </c>
      <c r="N6996" s="9" t="s">
        <v>85</v>
      </c>
    </row>
    <row r="6997" customFormat="false" ht="14.25" hidden="false" customHeight="true" outlineLevel="0" collapsed="false">
      <c r="B6997" s="9" t="s">
        <v>32</v>
      </c>
      <c r="C6997" s="9" t="n">
        <v>1185732</v>
      </c>
      <c r="D6997" s="10" t="n">
        <v>44257</v>
      </c>
      <c r="E6997" s="9" t="s">
        <v>38</v>
      </c>
      <c r="F6997" s="9" t="s">
        <v>116</v>
      </c>
      <c r="G6997" s="9" t="s">
        <v>117</v>
      </c>
      <c r="H6997" s="11" t="s">
        <v>24</v>
      </c>
      <c r="I6997" s="12" t="n">
        <v>29</v>
      </c>
      <c r="J6997" s="13" t="n">
        <v>34</v>
      </c>
      <c r="K6997" s="14" t="n">
        <f aca="false">I6997*J6997</f>
        <v>986</v>
      </c>
      <c r="L6997" s="14" t="n">
        <f aca="false">($L$2*M6997)/100</f>
        <v>733016.565</v>
      </c>
      <c r="M6997" s="15" t="n">
        <v>0.61</v>
      </c>
      <c r="N6997" s="9" t="s">
        <v>85</v>
      </c>
    </row>
    <row r="6998" customFormat="false" ht="14.25" hidden="false" customHeight="true" outlineLevel="0" collapsed="false">
      <c r="B6998" s="9" t="s">
        <v>32</v>
      </c>
      <c r="C6998" s="9" t="n">
        <v>1185732</v>
      </c>
      <c r="D6998" s="10" t="n">
        <v>44257</v>
      </c>
      <c r="E6998" s="9" t="s">
        <v>38</v>
      </c>
      <c r="F6998" s="9" t="s">
        <v>116</v>
      </c>
      <c r="G6998" s="9" t="s">
        <v>117</v>
      </c>
      <c r="H6998" s="11" t="s">
        <v>25</v>
      </c>
      <c r="I6998" s="12" t="n">
        <v>18</v>
      </c>
      <c r="J6998" s="13" t="n">
        <v>63</v>
      </c>
      <c r="K6998" s="14" t="n">
        <f aca="false">I6998*J6998</f>
        <v>1134</v>
      </c>
      <c r="L6998" s="14" t="n">
        <f aca="false">($L$2*M6998)/100</f>
        <v>648899.91</v>
      </c>
      <c r="M6998" s="15" t="n">
        <v>0.54</v>
      </c>
      <c r="N6998" s="9" t="s">
        <v>85</v>
      </c>
    </row>
    <row r="6999" customFormat="false" ht="14.25" hidden="false" customHeight="true" outlineLevel="0" collapsed="false">
      <c r="B6999" s="9" t="s">
        <v>32</v>
      </c>
      <c r="C6999" s="9" t="n">
        <v>1185732</v>
      </c>
      <c r="D6999" s="10" t="n">
        <v>44289</v>
      </c>
      <c r="E6999" s="9" t="s">
        <v>38</v>
      </c>
      <c r="F6999" s="9" t="s">
        <v>116</v>
      </c>
      <c r="G6999" s="9" t="s">
        <v>117</v>
      </c>
      <c r="H6999" s="11" t="s">
        <v>19</v>
      </c>
      <c r="I6999" s="12" t="n">
        <v>18</v>
      </c>
      <c r="J6999" s="13" t="n">
        <v>122</v>
      </c>
      <c r="K6999" s="14" t="n">
        <f aca="false">I6999*J6999</f>
        <v>2196</v>
      </c>
      <c r="L6999" s="14" t="n">
        <f aca="false">($L$2*M6999)/100</f>
        <v>492683.265</v>
      </c>
      <c r="M6999" s="15" t="n">
        <v>0.41</v>
      </c>
      <c r="N6999" s="9" t="s">
        <v>85</v>
      </c>
    </row>
    <row r="7000" customFormat="false" ht="14.25" hidden="false" customHeight="true" outlineLevel="0" collapsed="false">
      <c r="B7000" s="9" t="s">
        <v>32</v>
      </c>
      <c r="C7000" s="9" t="n">
        <v>1185732</v>
      </c>
      <c r="D7000" s="10" t="n">
        <v>44289</v>
      </c>
      <c r="E7000" s="9" t="s">
        <v>38</v>
      </c>
      <c r="F7000" s="9" t="s">
        <v>116</v>
      </c>
      <c r="G7000" s="9" t="s">
        <v>117</v>
      </c>
      <c r="H7000" s="11" t="s">
        <v>21</v>
      </c>
      <c r="I7000" s="12" t="n">
        <v>20</v>
      </c>
      <c r="J7000" s="13" t="n">
        <v>39</v>
      </c>
      <c r="K7000" s="14" t="n">
        <f aca="false">I7000*J7000</f>
        <v>780</v>
      </c>
      <c r="L7000" s="14" t="n">
        <f aca="false">($L$2*M7000)/100</f>
        <v>552766.59</v>
      </c>
      <c r="M7000" s="15" t="n">
        <v>0.46</v>
      </c>
      <c r="N7000" s="9" t="s">
        <v>85</v>
      </c>
    </row>
    <row r="7001" customFormat="false" ht="14.25" hidden="false" customHeight="true" outlineLevel="0" collapsed="false">
      <c r="B7001" s="9" t="s">
        <v>32</v>
      </c>
      <c r="C7001" s="9" t="n">
        <v>1185732</v>
      </c>
      <c r="D7001" s="10" t="n">
        <v>44289</v>
      </c>
      <c r="E7001" s="9" t="s">
        <v>38</v>
      </c>
      <c r="F7001" s="9" t="s">
        <v>116</v>
      </c>
      <c r="G7001" s="9" t="s">
        <v>117</v>
      </c>
      <c r="H7001" s="11" t="s">
        <v>22</v>
      </c>
      <c r="I7001" s="12" t="n">
        <v>9</v>
      </c>
      <c r="J7001" s="13" t="n">
        <v>41</v>
      </c>
      <c r="K7001" s="14" t="n">
        <f aca="false">I7001*J7001</f>
        <v>369</v>
      </c>
      <c r="L7001" s="14" t="n">
        <f aca="false">($L$2*M7001)/100</f>
        <v>516716.595</v>
      </c>
      <c r="M7001" s="15" t="n">
        <v>0.43</v>
      </c>
      <c r="N7001" s="9" t="s">
        <v>85</v>
      </c>
    </row>
    <row r="7002" customFormat="false" ht="14.25" hidden="false" customHeight="true" outlineLevel="0" collapsed="false">
      <c r="B7002" s="9" t="s">
        <v>32</v>
      </c>
      <c r="C7002" s="9" t="n">
        <v>1185732</v>
      </c>
      <c r="D7002" s="10" t="n">
        <v>44289</v>
      </c>
      <c r="E7002" s="9" t="s">
        <v>38</v>
      </c>
      <c r="F7002" s="9" t="s">
        <v>116</v>
      </c>
      <c r="G7002" s="9" t="s">
        <v>117</v>
      </c>
      <c r="H7002" s="11" t="s">
        <v>23</v>
      </c>
      <c r="I7002" s="12" t="n">
        <v>15</v>
      </c>
      <c r="J7002" s="13" t="n">
        <v>22</v>
      </c>
      <c r="K7002" s="14" t="n">
        <f aca="false">I7002*J7002</f>
        <v>330</v>
      </c>
      <c r="L7002" s="14" t="n">
        <f aca="false">($L$2*M7002)/100</f>
        <v>492683.265</v>
      </c>
      <c r="M7002" s="15" t="n">
        <v>0.41</v>
      </c>
      <c r="N7002" s="9" t="s">
        <v>85</v>
      </c>
    </row>
    <row r="7003" customFormat="false" ht="14.25" hidden="false" customHeight="true" outlineLevel="0" collapsed="false">
      <c r="B7003" s="9" t="s">
        <v>32</v>
      </c>
      <c r="C7003" s="9" t="n">
        <v>1185732</v>
      </c>
      <c r="D7003" s="10" t="n">
        <v>44289</v>
      </c>
      <c r="E7003" s="9" t="s">
        <v>38</v>
      </c>
      <c r="F7003" s="9" t="s">
        <v>116</v>
      </c>
      <c r="G7003" s="9" t="s">
        <v>117</v>
      </c>
      <c r="H7003" s="11" t="s">
        <v>24</v>
      </c>
      <c r="I7003" s="12" t="n">
        <v>55</v>
      </c>
      <c r="J7003" s="13" t="n">
        <v>26</v>
      </c>
      <c r="K7003" s="14" t="n">
        <f aca="false">I7003*J7003</f>
        <v>1430</v>
      </c>
      <c r="L7003" s="14" t="n">
        <f aca="false">($L$2*M7003)/100</f>
        <v>745033.23</v>
      </c>
      <c r="M7003" s="15" t="n">
        <v>0.62</v>
      </c>
      <c r="N7003" s="9" t="s">
        <v>85</v>
      </c>
    </row>
    <row r="7004" customFormat="false" ht="14.25" hidden="false" customHeight="true" outlineLevel="0" collapsed="false">
      <c r="B7004" s="9" t="s">
        <v>32</v>
      </c>
      <c r="C7004" s="9" t="n">
        <v>1185732</v>
      </c>
      <c r="D7004" s="10" t="n">
        <v>44289</v>
      </c>
      <c r="E7004" s="9" t="s">
        <v>38</v>
      </c>
      <c r="F7004" s="9" t="s">
        <v>116</v>
      </c>
      <c r="G7004" s="9" t="s">
        <v>117</v>
      </c>
      <c r="H7004" s="11" t="s">
        <v>25</v>
      </c>
      <c r="I7004" s="12" t="n">
        <v>49</v>
      </c>
      <c r="J7004" s="13" t="n">
        <v>61</v>
      </c>
      <c r="K7004" s="14" t="n">
        <f aca="false">I7004*J7004</f>
        <v>2989</v>
      </c>
      <c r="L7004" s="14" t="n">
        <f aca="false">($L$2*M7004)/100</f>
        <v>660916.575</v>
      </c>
      <c r="M7004" s="15" t="n">
        <v>0.55</v>
      </c>
      <c r="N7004" s="9" t="s">
        <v>85</v>
      </c>
    </row>
    <row r="7005" customFormat="false" ht="14.25" hidden="false" customHeight="true" outlineLevel="0" collapsed="false">
      <c r="B7005" s="9" t="s">
        <v>32</v>
      </c>
      <c r="C7005" s="9" t="n">
        <v>1185732</v>
      </c>
      <c r="D7005" s="10" t="n">
        <v>44320</v>
      </c>
      <c r="E7005" s="9" t="s">
        <v>38</v>
      </c>
      <c r="F7005" s="9" t="s">
        <v>116</v>
      </c>
      <c r="G7005" s="9" t="s">
        <v>117</v>
      </c>
      <c r="H7005" s="11" t="s">
        <v>19</v>
      </c>
      <c r="I7005" s="12" t="n">
        <v>58</v>
      </c>
      <c r="J7005" s="13" t="n">
        <v>134</v>
      </c>
      <c r="K7005" s="14" t="n">
        <f aca="false">I7005*J7005</f>
        <v>7772</v>
      </c>
      <c r="L7005" s="14" t="n">
        <f aca="false">($L$2*M7005)/100</f>
        <v>492683.265</v>
      </c>
      <c r="M7005" s="15" t="n">
        <v>0.41</v>
      </c>
      <c r="N7005" s="9" t="s">
        <v>85</v>
      </c>
    </row>
    <row r="7006" customFormat="false" ht="14.25" hidden="false" customHeight="true" outlineLevel="0" collapsed="false">
      <c r="B7006" s="9" t="s">
        <v>32</v>
      </c>
      <c r="C7006" s="9" t="n">
        <v>1185732</v>
      </c>
      <c r="D7006" s="10" t="n">
        <v>44320</v>
      </c>
      <c r="E7006" s="9" t="s">
        <v>38</v>
      </c>
      <c r="F7006" s="9" t="s">
        <v>116</v>
      </c>
      <c r="G7006" s="9" t="s">
        <v>117</v>
      </c>
      <c r="H7006" s="11" t="s">
        <v>21</v>
      </c>
      <c r="I7006" s="12" t="n">
        <v>39</v>
      </c>
      <c r="J7006" s="13" t="n">
        <v>50</v>
      </c>
      <c r="K7006" s="14" t="n">
        <f aca="false">I7006*J7006</f>
        <v>1950</v>
      </c>
      <c r="L7006" s="14" t="n">
        <f aca="false">($L$2*M7006)/100</f>
        <v>588816.585</v>
      </c>
      <c r="M7006" s="15" t="n">
        <v>0.49</v>
      </c>
      <c r="N7006" s="9" t="s">
        <v>85</v>
      </c>
    </row>
    <row r="7007" customFormat="false" ht="14.25" hidden="false" customHeight="true" outlineLevel="0" collapsed="false">
      <c r="B7007" s="9" t="s">
        <v>32</v>
      </c>
      <c r="C7007" s="9" t="n">
        <v>1185732</v>
      </c>
      <c r="D7007" s="10" t="n">
        <v>44320</v>
      </c>
      <c r="E7007" s="9" t="s">
        <v>38</v>
      </c>
      <c r="F7007" s="9" t="s">
        <v>116</v>
      </c>
      <c r="G7007" s="9" t="s">
        <v>117</v>
      </c>
      <c r="H7007" s="11" t="s">
        <v>22</v>
      </c>
      <c r="I7007" s="12" t="n">
        <v>33</v>
      </c>
      <c r="J7007" s="13" t="n">
        <v>49</v>
      </c>
      <c r="K7007" s="14" t="n">
        <f aca="false">I7007*J7007</f>
        <v>1617</v>
      </c>
      <c r="L7007" s="14" t="n">
        <f aca="false">($L$2*M7007)/100</f>
        <v>540749.925</v>
      </c>
      <c r="M7007" s="15" t="n">
        <v>0.45</v>
      </c>
      <c r="N7007" s="9" t="s">
        <v>85</v>
      </c>
    </row>
    <row r="7008" customFormat="false" ht="14.25" hidden="false" customHeight="true" outlineLevel="0" collapsed="false">
      <c r="B7008" s="9" t="s">
        <v>32</v>
      </c>
      <c r="C7008" s="9" t="n">
        <v>1185732</v>
      </c>
      <c r="D7008" s="10" t="n">
        <v>44320</v>
      </c>
      <c r="E7008" s="9" t="s">
        <v>38</v>
      </c>
      <c r="F7008" s="9" t="s">
        <v>116</v>
      </c>
      <c r="G7008" s="9" t="s">
        <v>117</v>
      </c>
      <c r="H7008" s="11" t="s">
        <v>23</v>
      </c>
      <c r="I7008" s="12" t="n">
        <v>32</v>
      </c>
      <c r="J7008" s="13" t="n">
        <v>38</v>
      </c>
      <c r="K7008" s="14" t="n">
        <f aca="false">I7008*J7008</f>
        <v>1216</v>
      </c>
      <c r="L7008" s="14" t="n">
        <f aca="false">($L$2*M7008)/100</f>
        <v>528733.26</v>
      </c>
      <c r="M7008" s="15" t="n">
        <v>0.44</v>
      </c>
      <c r="N7008" s="9" t="s">
        <v>85</v>
      </c>
    </row>
    <row r="7009" customFormat="false" ht="14.25" hidden="false" customHeight="true" outlineLevel="0" collapsed="false">
      <c r="B7009" s="9" t="s">
        <v>32</v>
      </c>
      <c r="C7009" s="9" t="n">
        <v>1185732</v>
      </c>
      <c r="D7009" s="10" t="n">
        <v>44320</v>
      </c>
      <c r="E7009" s="9" t="s">
        <v>38</v>
      </c>
      <c r="F7009" s="9" t="s">
        <v>116</v>
      </c>
      <c r="G7009" s="9" t="s">
        <v>117</v>
      </c>
      <c r="H7009" s="11" t="s">
        <v>24</v>
      </c>
      <c r="I7009" s="12" t="n">
        <v>44</v>
      </c>
      <c r="J7009" s="13" t="n">
        <v>53</v>
      </c>
      <c r="K7009" s="14" t="n">
        <f aca="false">I7009*J7009</f>
        <v>2332</v>
      </c>
      <c r="L7009" s="14" t="n">
        <f aca="false">($L$2*M7009)/100</f>
        <v>733016.565</v>
      </c>
      <c r="M7009" s="15" t="n">
        <v>0.61</v>
      </c>
      <c r="N7009" s="9" t="s">
        <v>85</v>
      </c>
    </row>
    <row r="7010" customFormat="false" ht="14.25" hidden="false" customHeight="true" outlineLevel="0" collapsed="false">
      <c r="B7010" s="9" t="s">
        <v>32</v>
      </c>
      <c r="C7010" s="9" t="n">
        <v>1185732</v>
      </c>
      <c r="D7010" s="10" t="n">
        <v>44320</v>
      </c>
      <c r="E7010" s="9" t="s">
        <v>38</v>
      </c>
      <c r="F7010" s="9" t="s">
        <v>116</v>
      </c>
      <c r="G7010" s="9" t="s">
        <v>117</v>
      </c>
      <c r="H7010" s="11" t="s">
        <v>25</v>
      </c>
      <c r="I7010" s="12" t="n">
        <v>47</v>
      </c>
      <c r="J7010" s="13" t="n">
        <v>90</v>
      </c>
      <c r="K7010" s="14" t="n">
        <f aca="false">I7010*J7010</f>
        <v>4230</v>
      </c>
      <c r="L7010" s="14" t="n">
        <f aca="false">($L$2*M7010)/100</f>
        <v>612849.915</v>
      </c>
      <c r="M7010" s="15" t="n">
        <v>0.51</v>
      </c>
      <c r="N7010" s="9" t="s">
        <v>85</v>
      </c>
    </row>
    <row r="7011" customFormat="false" ht="14.25" hidden="false" customHeight="true" outlineLevel="0" collapsed="false">
      <c r="B7011" s="9" t="s">
        <v>32</v>
      </c>
      <c r="C7011" s="9" t="n">
        <v>1185732</v>
      </c>
      <c r="D7011" s="10" t="n">
        <v>44350</v>
      </c>
      <c r="E7011" s="9" t="s">
        <v>38</v>
      </c>
      <c r="F7011" s="9" t="s">
        <v>116</v>
      </c>
      <c r="G7011" s="9" t="s">
        <v>117</v>
      </c>
      <c r="H7011" s="11" t="s">
        <v>19</v>
      </c>
      <c r="I7011" s="12" t="n">
        <v>32</v>
      </c>
      <c r="J7011" s="13" t="n">
        <v>160</v>
      </c>
      <c r="K7011" s="14" t="n">
        <f aca="false">I7011*J7011</f>
        <v>5120</v>
      </c>
      <c r="L7011" s="14" t="n">
        <f aca="false">($L$2*M7011)/100</f>
        <v>528733.26</v>
      </c>
      <c r="M7011" s="15" t="n">
        <v>0.44</v>
      </c>
      <c r="N7011" s="9" t="s">
        <v>85</v>
      </c>
    </row>
    <row r="7012" customFormat="false" ht="14.25" hidden="false" customHeight="true" outlineLevel="0" collapsed="false">
      <c r="B7012" s="9" t="s">
        <v>32</v>
      </c>
      <c r="C7012" s="9" t="n">
        <v>1185732</v>
      </c>
      <c r="D7012" s="10" t="n">
        <v>44350</v>
      </c>
      <c r="E7012" s="9" t="s">
        <v>38</v>
      </c>
      <c r="F7012" s="9" t="s">
        <v>116</v>
      </c>
      <c r="G7012" s="9" t="s">
        <v>117</v>
      </c>
      <c r="H7012" s="11" t="s">
        <v>21</v>
      </c>
      <c r="I7012" s="12" t="n">
        <v>27</v>
      </c>
      <c r="J7012" s="13" t="n">
        <v>90</v>
      </c>
      <c r="K7012" s="14" t="n">
        <f aca="false">I7012*J7012</f>
        <v>2430</v>
      </c>
      <c r="L7012" s="14" t="n">
        <f aca="false">($L$2*M7012)/100</f>
        <v>588816.585</v>
      </c>
      <c r="M7012" s="15" t="n">
        <v>0.49</v>
      </c>
      <c r="N7012" s="9" t="s">
        <v>85</v>
      </c>
    </row>
    <row r="7013" customFormat="false" ht="14.25" hidden="false" customHeight="true" outlineLevel="0" collapsed="false">
      <c r="B7013" s="9" t="s">
        <v>32</v>
      </c>
      <c r="C7013" s="9" t="n">
        <v>1185732</v>
      </c>
      <c r="D7013" s="10" t="n">
        <v>44350</v>
      </c>
      <c r="E7013" s="9" t="s">
        <v>38</v>
      </c>
      <c r="F7013" s="9" t="s">
        <v>116</v>
      </c>
      <c r="G7013" s="9" t="s">
        <v>117</v>
      </c>
      <c r="H7013" s="11" t="s">
        <v>22</v>
      </c>
      <c r="I7013" s="12" t="n">
        <v>24</v>
      </c>
      <c r="J7013" s="13" t="n">
        <v>52</v>
      </c>
      <c r="K7013" s="14" t="n">
        <f aca="false">I7013*J7013</f>
        <v>1248</v>
      </c>
      <c r="L7013" s="14" t="n">
        <f aca="false">($L$2*M7013)/100</f>
        <v>528733.26</v>
      </c>
      <c r="M7013" s="15" t="n">
        <v>0.44</v>
      </c>
      <c r="N7013" s="9" t="s">
        <v>85</v>
      </c>
    </row>
    <row r="7014" customFormat="false" ht="14.25" hidden="false" customHeight="true" outlineLevel="0" collapsed="false">
      <c r="B7014" s="9" t="s">
        <v>32</v>
      </c>
      <c r="C7014" s="9" t="n">
        <v>1185732</v>
      </c>
      <c r="D7014" s="10" t="n">
        <v>44350</v>
      </c>
      <c r="E7014" s="9" t="s">
        <v>38</v>
      </c>
      <c r="F7014" s="9" t="s">
        <v>116</v>
      </c>
      <c r="G7014" s="9" t="s">
        <v>117</v>
      </c>
      <c r="H7014" s="11" t="s">
        <v>23</v>
      </c>
      <c r="I7014" s="12" t="n">
        <v>24</v>
      </c>
      <c r="J7014" s="13" t="n">
        <v>47</v>
      </c>
      <c r="K7014" s="14" t="n">
        <f aca="false">I7014*J7014</f>
        <v>1128</v>
      </c>
      <c r="L7014" s="14" t="n">
        <f aca="false">($L$2*M7014)/100</f>
        <v>492683.265</v>
      </c>
      <c r="M7014" s="15" t="n">
        <v>0.41</v>
      </c>
      <c r="N7014" s="9" t="s">
        <v>85</v>
      </c>
    </row>
    <row r="7015" customFormat="false" ht="14.25" hidden="false" customHeight="true" outlineLevel="0" collapsed="false">
      <c r="B7015" s="9" t="s">
        <v>32</v>
      </c>
      <c r="C7015" s="9" t="n">
        <v>1185732</v>
      </c>
      <c r="D7015" s="10" t="n">
        <v>44350</v>
      </c>
      <c r="E7015" s="9" t="s">
        <v>38</v>
      </c>
      <c r="F7015" s="9" t="s">
        <v>116</v>
      </c>
      <c r="G7015" s="9" t="s">
        <v>117</v>
      </c>
      <c r="H7015" s="11" t="s">
        <v>24</v>
      </c>
      <c r="I7015" s="12" t="n">
        <v>34</v>
      </c>
      <c r="J7015" s="13" t="n">
        <v>46</v>
      </c>
      <c r="K7015" s="14" t="n">
        <f aca="false">I7015*J7015</f>
        <v>1564</v>
      </c>
      <c r="L7015" s="14" t="n">
        <f aca="false">($L$2*M7015)/100</f>
        <v>720999.9</v>
      </c>
      <c r="M7015" s="15" t="n">
        <v>0.6</v>
      </c>
      <c r="N7015" s="9" t="s">
        <v>85</v>
      </c>
    </row>
    <row r="7016" customFormat="false" ht="14.25" hidden="false" customHeight="true" outlineLevel="0" collapsed="false">
      <c r="B7016" s="9" t="s">
        <v>32</v>
      </c>
      <c r="C7016" s="9" t="n">
        <v>1185732</v>
      </c>
      <c r="D7016" s="10" t="n">
        <v>44350</v>
      </c>
      <c r="E7016" s="9" t="s">
        <v>38</v>
      </c>
      <c r="F7016" s="9" t="s">
        <v>116</v>
      </c>
      <c r="G7016" s="9" t="s">
        <v>117</v>
      </c>
      <c r="H7016" s="11" t="s">
        <v>25</v>
      </c>
      <c r="I7016" s="12" t="n">
        <v>51</v>
      </c>
      <c r="J7016" s="13" t="n">
        <v>98</v>
      </c>
      <c r="K7016" s="14" t="n">
        <f aca="false">I7016*J7016</f>
        <v>4998</v>
      </c>
      <c r="L7016" s="14" t="n">
        <f aca="false">($L$2*M7016)/100</f>
        <v>660916.575</v>
      </c>
      <c r="M7016" s="15" t="n">
        <v>0.55</v>
      </c>
      <c r="N7016" s="9" t="s">
        <v>85</v>
      </c>
    </row>
    <row r="7017" customFormat="false" ht="14.25" hidden="false" customHeight="true" outlineLevel="0" collapsed="false">
      <c r="B7017" s="9" t="s">
        <v>32</v>
      </c>
      <c r="C7017" s="9" t="n">
        <v>1185732</v>
      </c>
      <c r="D7017" s="10" t="n">
        <v>44379</v>
      </c>
      <c r="E7017" s="9" t="s">
        <v>38</v>
      </c>
      <c r="F7017" s="9" t="s">
        <v>116</v>
      </c>
      <c r="G7017" s="9" t="s">
        <v>117</v>
      </c>
      <c r="H7017" s="11" t="s">
        <v>19</v>
      </c>
      <c r="I7017" s="12" t="n">
        <v>45</v>
      </c>
      <c r="J7017" s="13" t="n">
        <v>149</v>
      </c>
      <c r="K7017" s="14" t="n">
        <f aca="false">I7017*J7017</f>
        <v>6705</v>
      </c>
      <c r="L7017" s="14" t="n">
        <f aca="false">($L$2*M7017)/100</f>
        <v>504699.93</v>
      </c>
      <c r="M7017" s="15" t="n">
        <v>0.42</v>
      </c>
      <c r="N7017" s="9" t="s">
        <v>85</v>
      </c>
    </row>
    <row r="7018" customFormat="false" ht="14.25" hidden="false" customHeight="true" outlineLevel="0" collapsed="false">
      <c r="B7018" s="9" t="s">
        <v>32</v>
      </c>
      <c r="C7018" s="9" t="n">
        <v>1185732</v>
      </c>
      <c r="D7018" s="10" t="n">
        <v>44379</v>
      </c>
      <c r="E7018" s="9" t="s">
        <v>38</v>
      </c>
      <c r="F7018" s="9" t="s">
        <v>116</v>
      </c>
      <c r="G7018" s="9" t="s">
        <v>117</v>
      </c>
      <c r="H7018" s="11" t="s">
        <v>21</v>
      </c>
      <c r="I7018" s="12" t="n">
        <v>42</v>
      </c>
      <c r="J7018" s="13" t="n">
        <v>87</v>
      </c>
      <c r="K7018" s="14" t="n">
        <f aca="false">I7018*J7018</f>
        <v>3654</v>
      </c>
      <c r="L7018" s="14" t="n">
        <f aca="false">($L$2*M7018)/100</f>
        <v>588816.585</v>
      </c>
      <c r="M7018" s="15" t="n">
        <v>0.49</v>
      </c>
      <c r="N7018" s="9" t="s">
        <v>85</v>
      </c>
    </row>
    <row r="7019" customFormat="false" ht="14.25" hidden="false" customHeight="true" outlineLevel="0" collapsed="false">
      <c r="B7019" s="9" t="s">
        <v>32</v>
      </c>
      <c r="C7019" s="9" t="n">
        <v>1185732</v>
      </c>
      <c r="D7019" s="10" t="n">
        <v>44379</v>
      </c>
      <c r="E7019" s="9" t="s">
        <v>38</v>
      </c>
      <c r="F7019" s="9" t="s">
        <v>116</v>
      </c>
      <c r="G7019" s="9" t="s">
        <v>117</v>
      </c>
      <c r="H7019" s="11" t="s">
        <v>22</v>
      </c>
      <c r="I7019" s="12" t="n">
        <v>38</v>
      </c>
      <c r="J7019" s="13" t="n">
        <v>61</v>
      </c>
      <c r="K7019" s="14" t="n">
        <f aca="false">I7019*J7019</f>
        <v>2318</v>
      </c>
      <c r="L7019" s="14" t="n">
        <f aca="false">($L$2*M7019)/100</f>
        <v>516716.595</v>
      </c>
      <c r="M7019" s="15" t="n">
        <v>0.43</v>
      </c>
      <c r="N7019" s="9" t="s">
        <v>85</v>
      </c>
    </row>
    <row r="7020" customFormat="false" ht="14.25" hidden="false" customHeight="true" outlineLevel="0" collapsed="false">
      <c r="B7020" s="9" t="s">
        <v>32</v>
      </c>
      <c r="C7020" s="9" t="n">
        <v>1185732</v>
      </c>
      <c r="D7020" s="10" t="n">
        <v>44379</v>
      </c>
      <c r="E7020" s="9" t="s">
        <v>38</v>
      </c>
      <c r="F7020" s="9" t="s">
        <v>116</v>
      </c>
      <c r="G7020" s="9" t="s">
        <v>117</v>
      </c>
      <c r="H7020" s="11" t="s">
        <v>23</v>
      </c>
      <c r="I7020" s="12" t="n">
        <v>38</v>
      </c>
      <c r="J7020" s="13" t="n">
        <v>51</v>
      </c>
      <c r="K7020" s="14" t="n">
        <f aca="false">I7020*J7020</f>
        <v>1938</v>
      </c>
      <c r="L7020" s="14" t="n">
        <f aca="false">($L$2*M7020)/100</f>
        <v>504699.93</v>
      </c>
      <c r="M7020" s="15" t="n">
        <v>0.42</v>
      </c>
      <c r="N7020" s="9" t="s">
        <v>85</v>
      </c>
    </row>
    <row r="7021" customFormat="false" ht="14.25" hidden="false" customHeight="true" outlineLevel="0" collapsed="false">
      <c r="B7021" s="9" t="s">
        <v>32</v>
      </c>
      <c r="C7021" s="9" t="n">
        <v>1185732</v>
      </c>
      <c r="D7021" s="10" t="n">
        <v>44379</v>
      </c>
      <c r="E7021" s="9" t="s">
        <v>38</v>
      </c>
      <c r="F7021" s="9" t="s">
        <v>116</v>
      </c>
      <c r="G7021" s="9" t="s">
        <v>117</v>
      </c>
      <c r="H7021" s="11" t="s">
        <v>24</v>
      </c>
      <c r="I7021" s="12" t="n">
        <v>48</v>
      </c>
      <c r="J7021" s="13" t="n">
        <v>50</v>
      </c>
      <c r="K7021" s="14" t="n">
        <f aca="false">I7021*J7021</f>
        <v>2400</v>
      </c>
      <c r="L7021" s="14" t="n">
        <f aca="false">($L$2*M7021)/100</f>
        <v>745033.23</v>
      </c>
      <c r="M7021" s="15" t="n">
        <v>0.62</v>
      </c>
      <c r="N7021" s="9" t="s">
        <v>85</v>
      </c>
    </row>
    <row r="7022" customFormat="false" ht="14.25" hidden="false" customHeight="true" outlineLevel="0" collapsed="false">
      <c r="B7022" s="9" t="s">
        <v>32</v>
      </c>
      <c r="C7022" s="9" t="n">
        <v>1185732</v>
      </c>
      <c r="D7022" s="10" t="n">
        <v>44379</v>
      </c>
      <c r="E7022" s="9" t="s">
        <v>38</v>
      </c>
      <c r="F7022" s="9" t="s">
        <v>116</v>
      </c>
      <c r="G7022" s="9" t="s">
        <v>117</v>
      </c>
      <c r="H7022" s="11" t="s">
        <v>25</v>
      </c>
      <c r="I7022" s="12" t="n">
        <v>52</v>
      </c>
      <c r="J7022" s="13" t="n">
        <v>94</v>
      </c>
      <c r="K7022" s="14" t="n">
        <f aca="false">I7022*J7022</f>
        <v>4888</v>
      </c>
      <c r="L7022" s="14" t="n">
        <f aca="false">($L$2*M7022)/100</f>
        <v>648899.91</v>
      </c>
      <c r="M7022" s="15" t="n">
        <v>0.54</v>
      </c>
      <c r="N7022" s="9" t="s">
        <v>85</v>
      </c>
    </row>
    <row r="7023" customFormat="false" ht="14.25" hidden="false" customHeight="true" outlineLevel="0" collapsed="false">
      <c r="B7023" s="9" t="s">
        <v>32</v>
      </c>
      <c r="C7023" s="9" t="n">
        <v>1185732</v>
      </c>
      <c r="D7023" s="10" t="n">
        <v>44411</v>
      </c>
      <c r="E7023" s="9" t="s">
        <v>38</v>
      </c>
      <c r="F7023" s="9" t="s">
        <v>116</v>
      </c>
      <c r="G7023" s="9" t="s">
        <v>117</v>
      </c>
      <c r="H7023" s="11" t="s">
        <v>19</v>
      </c>
      <c r="I7023" s="12" t="n">
        <v>46</v>
      </c>
      <c r="J7023" s="13" t="n">
        <v>158</v>
      </c>
      <c r="K7023" s="14" t="n">
        <f aca="false">I7023*J7023</f>
        <v>7268</v>
      </c>
      <c r="L7023" s="14" t="n">
        <f aca="false">($L$2*M7023)/100</f>
        <v>504699.93</v>
      </c>
      <c r="M7023" s="15" t="n">
        <v>0.42</v>
      </c>
      <c r="N7023" s="9" t="s">
        <v>85</v>
      </c>
    </row>
    <row r="7024" customFormat="false" ht="14.25" hidden="false" customHeight="true" outlineLevel="0" collapsed="false">
      <c r="B7024" s="9" t="s">
        <v>32</v>
      </c>
      <c r="C7024" s="9" t="n">
        <v>1185732</v>
      </c>
      <c r="D7024" s="10" t="n">
        <v>44411</v>
      </c>
      <c r="E7024" s="9" t="s">
        <v>38</v>
      </c>
      <c r="F7024" s="9" t="s">
        <v>116</v>
      </c>
      <c r="G7024" s="9" t="s">
        <v>117</v>
      </c>
      <c r="H7024" s="11" t="s">
        <v>21</v>
      </c>
      <c r="I7024" s="12" t="n">
        <v>43</v>
      </c>
      <c r="J7024" s="13" t="n">
        <v>84</v>
      </c>
      <c r="K7024" s="14" t="n">
        <f aca="false">I7024*J7024</f>
        <v>3612</v>
      </c>
      <c r="L7024" s="14" t="n">
        <f aca="false">($L$2*M7024)/100</f>
        <v>564783.255</v>
      </c>
      <c r="M7024" s="15" t="n">
        <v>0.47</v>
      </c>
      <c r="N7024" s="9" t="s">
        <v>85</v>
      </c>
    </row>
    <row r="7025" customFormat="false" ht="14.25" hidden="false" customHeight="true" outlineLevel="0" collapsed="false">
      <c r="B7025" s="9" t="s">
        <v>32</v>
      </c>
      <c r="C7025" s="9" t="n">
        <v>1185732</v>
      </c>
      <c r="D7025" s="10" t="n">
        <v>44411</v>
      </c>
      <c r="E7025" s="9" t="s">
        <v>38</v>
      </c>
      <c r="F7025" s="9" t="s">
        <v>116</v>
      </c>
      <c r="G7025" s="9" t="s">
        <v>117</v>
      </c>
      <c r="H7025" s="11" t="s">
        <v>22</v>
      </c>
      <c r="I7025" s="12" t="n">
        <v>39</v>
      </c>
      <c r="J7025" s="13" t="n">
        <v>56</v>
      </c>
      <c r="K7025" s="14" t="n">
        <f aca="false">I7025*J7025</f>
        <v>2184</v>
      </c>
      <c r="L7025" s="14" t="n">
        <f aca="false">($L$2*M7025)/100</f>
        <v>480666.6</v>
      </c>
      <c r="M7025" s="15" t="n">
        <v>0.4</v>
      </c>
      <c r="N7025" s="9" t="s">
        <v>85</v>
      </c>
    </row>
    <row r="7026" customFormat="false" ht="14.25" hidden="false" customHeight="true" outlineLevel="0" collapsed="false">
      <c r="B7026" s="9" t="s">
        <v>32</v>
      </c>
      <c r="C7026" s="9" t="n">
        <v>1185732</v>
      </c>
      <c r="D7026" s="10" t="n">
        <v>44411</v>
      </c>
      <c r="E7026" s="9" t="s">
        <v>38</v>
      </c>
      <c r="F7026" s="9" t="s">
        <v>116</v>
      </c>
      <c r="G7026" s="9" t="s">
        <v>117</v>
      </c>
      <c r="H7026" s="11" t="s">
        <v>23</v>
      </c>
      <c r="I7026" s="12" t="n">
        <v>39</v>
      </c>
      <c r="J7026" s="13" t="n">
        <v>50</v>
      </c>
      <c r="K7026" s="14" t="n">
        <f aca="false">I7026*J7026</f>
        <v>1950</v>
      </c>
      <c r="L7026" s="14" t="n">
        <f aca="false">($L$2*M7026)/100</f>
        <v>540749.925</v>
      </c>
      <c r="M7026" s="15" t="n">
        <v>0.45</v>
      </c>
      <c r="N7026" s="9" t="s">
        <v>85</v>
      </c>
    </row>
    <row r="7027" customFormat="false" ht="14.25" hidden="false" customHeight="true" outlineLevel="0" collapsed="false">
      <c r="B7027" s="9" t="s">
        <v>32</v>
      </c>
      <c r="C7027" s="9" t="n">
        <v>1185732</v>
      </c>
      <c r="D7027" s="10" t="n">
        <v>44411</v>
      </c>
      <c r="E7027" s="9" t="s">
        <v>38</v>
      </c>
      <c r="F7027" s="9" t="s">
        <v>116</v>
      </c>
      <c r="G7027" s="9" t="s">
        <v>117</v>
      </c>
      <c r="H7027" s="11" t="s">
        <v>24</v>
      </c>
      <c r="I7027" s="12" t="n">
        <v>48</v>
      </c>
      <c r="J7027" s="13" t="n">
        <v>46</v>
      </c>
      <c r="K7027" s="14" t="n">
        <f aca="false">I7027*J7027</f>
        <v>2208</v>
      </c>
      <c r="L7027" s="14" t="n">
        <f aca="false">($L$2*M7027)/100</f>
        <v>781083.225</v>
      </c>
      <c r="M7027" s="15" t="n">
        <v>0.65</v>
      </c>
      <c r="N7027" s="9" t="s">
        <v>85</v>
      </c>
    </row>
    <row r="7028" customFormat="false" ht="14.25" hidden="false" customHeight="true" outlineLevel="0" collapsed="false">
      <c r="B7028" s="9" t="s">
        <v>32</v>
      </c>
      <c r="C7028" s="9" t="n">
        <v>1185732</v>
      </c>
      <c r="D7028" s="10" t="n">
        <v>44411</v>
      </c>
      <c r="E7028" s="9" t="s">
        <v>38</v>
      </c>
      <c r="F7028" s="9" t="s">
        <v>116</v>
      </c>
      <c r="G7028" s="9" t="s">
        <v>117</v>
      </c>
      <c r="H7028" s="11" t="s">
        <v>25</v>
      </c>
      <c r="I7028" s="12" t="n">
        <v>52</v>
      </c>
      <c r="J7028" s="13" t="n">
        <v>102</v>
      </c>
      <c r="K7028" s="14" t="n">
        <f aca="false">I7028*J7028</f>
        <v>5304</v>
      </c>
      <c r="L7028" s="14" t="n">
        <f aca="false">($L$2*M7028)/100</f>
        <v>612849.915</v>
      </c>
      <c r="M7028" s="15" t="n">
        <v>0.51</v>
      </c>
      <c r="N7028" s="9" t="s">
        <v>85</v>
      </c>
    </row>
    <row r="7029" customFormat="false" ht="14.25" hidden="false" customHeight="true" outlineLevel="0" collapsed="false">
      <c r="B7029" s="9" t="s">
        <v>32</v>
      </c>
      <c r="C7029" s="9" t="n">
        <v>1185732</v>
      </c>
      <c r="D7029" s="10" t="n">
        <v>44443</v>
      </c>
      <c r="E7029" s="9" t="s">
        <v>38</v>
      </c>
      <c r="F7029" s="9" t="s">
        <v>116</v>
      </c>
      <c r="G7029" s="9" t="s">
        <v>117</v>
      </c>
      <c r="H7029" s="11" t="s">
        <v>19</v>
      </c>
      <c r="I7029" s="12" t="n">
        <v>33</v>
      </c>
      <c r="J7029" s="13" t="n">
        <v>143</v>
      </c>
      <c r="K7029" s="14" t="n">
        <f aca="false">I7029*J7029</f>
        <v>4719</v>
      </c>
      <c r="L7029" s="14" t="n">
        <f aca="false">($L$2*M7029)/100</f>
        <v>492683.265</v>
      </c>
      <c r="M7029" s="15" t="n">
        <v>0.41</v>
      </c>
      <c r="N7029" s="9" t="s">
        <v>85</v>
      </c>
    </row>
    <row r="7030" customFormat="false" ht="14.25" hidden="false" customHeight="true" outlineLevel="0" collapsed="false">
      <c r="B7030" s="9" t="s">
        <v>32</v>
      </c>
      <c r="C7030" s="9" t="n">
        <v>1185732</v>
      </c>
      <c r="D7030" s="10" t="n">
        <v>44443</v>
      </c>
      <c r="E7030" s="9" t="s">
        <v>38</v>
      </c>
      <c r="F7030" s="9" t="s">
        <v>116</v>
      </c>
      <c r="G7030" s="9" t="s">
        <v>117</v>
      </c>
      <c r="H7030" s="11" t="s">
        <v>21</v>
      </c>
      <c r="I7030" s="12" t="n">
        <v>29</v>
      </c>
      <c r="J7030" s="13" t="n">
        <v>65</v>
      </c>
      <c r="K7030" s="14" t="n">
        <f aca="false">I7030*J7030</f>
        <v>1885</v>
      </c>
      <c r="L7030" s="14" t="n">
        <f aca="false">($L$2*M7030)/100</f>
        <v>540749.925</v>
      </c>
      <c r="M7030" s="15" t="n">
        <v>0.45</v>
      </c>
      <c r="N7030" s="9" t="s">
        <v>85</v>
      </c>
    </row>
    <row r="7031" customFormat="false" ht="14.25" hidden="false" customHeight="true" outlineLevel="0" collapsed="false">
      <c r="B7031" s="9" t="s">
        <v>32</v>
      </c>
      <c r="C7031" s="9" t="n">
        <v>1185732</v>
      </c>
      <c r="D7031" s="10" t="n">
        <v>44443</v>
      </c>
      <c r="E7031" s="9" t="s">
        <v>38</v>
      </c>
      <c r="F7031" s="9" t="s">
        <v>116</v>
      </c>
      <c r="G7031" s="9" t="s">
        <v>117</v>
      </c>
      <c r="H7031" s="11" t="s">
        <v>22</v>
      </c>
      <c r="I7031" s="12" t="n">
        <v>24</v>
      </c>
      <c r="J7031" s="13" t="n">
        <v>44</v>
      </c>
      <c r="K7031" s="14" t="n">
        <f aca="false">I7031*J7031</f>
        <v>1056</v>
      </c>
      <c r="L7031" s="14" t="n">
        <f aca="false">($L$2*M7031)/100</f>
        <v>540749.925</v>
      </c>
      <c r="M7031" s="15" t="n">
        <v>0.45</v>
      </c>
      <c r="N7031" s="9" t="s">
        <v>85</v>
      </c>
    </row>
    <row r="7032" customFormat="false" ht="14.25" hidden="false" customHeight="true" outlineLevel="0" collapsed="false">
      <c r="B7032" s="9" t="s">
        <v>32</v>
      </c>
      <c r="C7032" s="9" t="n">
        <v>1185732</v>
      </c>
      <c r="D7032" s="10" t="n">
        <v>44443</v>
      </c>
      <c r="E7032" s="9" t="s">
        <v>38</v>
      </c>
      <c r="F7032" s="9" t="s">
        <v>116</v>
      </c>
      <c r="G7032" s="9" t="s">
        <v>117</v>
      </c>
      <c r="H7032" s="11" t="s">
        <v>23</v>
      </c>
      <c r="I7032" s="12" t="n">
        <v>23</v>
      </c>
      <c r="J7032" s="13" t="n">
        <v>34</v>
      </c>
      <c r="K7032" s="14" t="n">
        <f aca="false">I7032*J7032</f>
        <v>782</v>
      </c>
      <c r="L7032" s="14" t="n">
        <f aca="false">($L$2*M7032)/100</f>
        <v>540749.925</v>
      </c>
      <c r="M7032" s="15" t="n">
        <v>0.45</v>
      </c>
      <c r="N7032" s="9" t="s">
        <v>85</v>
      </c>
    </row>
    <row r="7033" customFormat="false" ht="14.25" hidden="false" customHeight="true" outlineLevel="0" collapsed="false">
      <c r="B7033" s="9" t="s">
        <v>32</v>
      </c>
      <c r="C7033" s="9" t="n">
        <v>1185732</v>
      </c>
      <c r="D7033" s="10" t="n">
        <v>44443</v>
      </c>
      <c r="E7033" s="9" t="s">
        <v>38</v>
      </c>
      <c r="F7033" s="9" t="s">
        <v>116</v>
      </c>
      <c r="G7033" s="9" t="s">
        <v>117</v>
      </c>
      <c r="H7033" s="11" t="s">
        <v>24</v>
      </c>
      <c r="I7033" s="12" t="n">
        <v>33</v>
      </c>
      <c r="J7033" s="13" t="n">
        <v>33</v>
      </c>
      <c r="K7033" s="14" t="n">
        <f aca="false">I7033*J7033</f>
        <v>1089</v>
      </c>
      <c r="L7033" s="14" t="n">
        <f aca="false">($L$2*M7033)/100</f>
        <v>781083.225</v>
      </c>
      <c r="M7033" s="15" t="n">
        <v>0.65</v>
      </c>
      <c r="N7033" s="9" t="s">
        <v>85</v>
      </c>
    </row>
    <row r="7034" customFormat="false" ht="14.25" hidden="false" customHeight="true" outlineLevel="0" collapsed="false">
      <c r="B7034" s="9" t="s">
        <v>32</v>
      </c>
      <c r="C7034" s="9" t="n">
        <v>1185732</v>
      </c>
      <c r="D7034" s="10" t="n">
        <v>44443</v>
      </c>
      <c r="E7034" s="9" t="s">
        <v>38</v>
      </c>
      <c r="F7034" s="9" t="s">
        <v>116</v>
      </c>
      <c r="G7034" s="9" t="s">
        <v>117</v>
      </c>
      <c r="H7034" s="11" t="s">
        <v>25</v>
      </c>
      <c r="I7034" s="12" t="n">
        <v>38</v>
      </c>
      <c r="J7034" s="13" t="n">
        <v>52</v>
      </c>
      <c r="K7034" s="14" t="n">
        <f aca="false">I7034*J7034</f>
        <v>1976</v>
      </c>
      <c r="L7034" s="14" t="n">
        <f aca="false">($L$2*M7034)/100</f>
        <v>600833.25</v>
      </c>
      <c r="M7034" s="15" t="n">
        <v>0.5</v>
      </c>
      <c r="N7034" s="9" t="s">
        <v>85</v>
      </c>
    </row>
    <row r="7035" customFormat="false" ht="14.25" hidden="false" customHeight="true" outlineLevel="0" collapsed="false">
      <c r="B7035" s="9" t="s">
        <v>32</v>
      </c>
      <c r="C7035" s="9" t="n">
        <v>1185732</v>
      </c>
      <c r="D7035" s="10" t="n">
        <v>44472</v>
      </c>
      <c r="E7035" s="9" t="s">
        <v>38</v>
      </c>
      <c r="F7035" s="9" t="s">
        <v>116</v>
      </c>
      <c r="G7035" s="9" t="s">
        <v>117</v>
      </c>
      <c r="H7035" s="11" t="s">
        <v>19</v>
      </c>
      <c r="I7035" s="12" t="n">
        <v>43</v>
      </c>
      <c r="J7035" s="13" t="n">
        <v>113</v>
      </c>
      <c r="K7035" s="14" t="n">
        <f aca="false">I7035*J7035</f>
        <v>4859</v>
      </c>
      <c r="L7035" s="14" t="n">
        <f aca="false">($L$2*M7035)/100</f>
        <v>504699.93</v>
      </c>
      <c r="M7035" s="15" t="n">
        <v>0.42</v>
      </c>
      <c r="N7035" s="9" t="s">
        <v>85</v>
      </c>
    </row>
    <row r="7036" customFormat="false" ht="14.25" hidden="false" customHeight="true" outlineLevel="0" collapsed="false">
      <c r="B7036" s="9" t="s">
        <v>32</v>
      </c>
      <c r="C7036" s="9" t="n">
        <v>1185732</v>
      </c>
      <c r="D7036" s="10" t="n">
        <v>44472</v>
      </c>
      <c r="E7036" s="9" t="s">
        <v>38</v>
      </c>
      <c r="F7036" s="9" t="s">
        <v>116</v>
      </c>
      <c r="G7036" s="9" t="s">
        <v>117</v>
      </c>
      <c r="H7036" s="11" t="s">
        <v>21</v>
      </c>
      <c r="I7036" s="12" t="n">
        <v>33</v>
      </c>
      <c r="J7036" s="13" t="n">
        <v>68</v>
      </c>
      <c r="K7036" s="14" t="n">
        <f aca="false">I7036*J7036</f>
        <v>2244</v>
      </c>
      <c r="L7036" s="14" t="n">
        <f aca="false">($L$2*M7036)/100</f>
        <v>576799.92</v>
      </c>
      <c r="M7036" s="15" t="n">
        <v>0.48</v>
      </c>
      <c r="N7036" s="9" t="s">
        <v>85</v>
      </c>
    </row>
    <row r="7037" customFormat="false" ht="14.25" hidden="false" customHeight="true" outlineLevel="0" collapsed="false">
      <c r="B7037" s="9" t="s">
        <v>32</v>
      </c>
      <c r="C7037" s="9" t="n">
        <v>1185732</v>
      </c>
      <c r="D7037" s="10" t="n">
        <v>44472</v>
      </c>
      <c r="E7037" s="9" t="s">
        <v>38</v>
      </c>
      <c r="F7037" s="9" t="s">
        <v>116</v>
      </c>
      <c r="G7037" s="9" t="s">
        <v>117</v>
      </c>
      <c r="H7037" s="11" t="s">
        <v>22</v>
      </c>
      <c r="I7037" s="12" t="n">
        <v>34</v>
      </c>
      <c r="J7037" s="13" t="n">
        <v>33</v>
      </c>
      <c r="K7037" s="14" t="n">
        <f aca="false">I7037*J7037</f>
        <v>1122</v>
      </c>
      <c r="L7037" s="14" t="n">
        <f aca="false">($L$2*M7037)/100</f>
        <v>516716.595</v>
      </c>
      <c r="M7037" s="15" t="n">
        <v>0.43</v>
      </c>
      <c r="N7037" s="9" t="s">
        <v>85</v>
      </c>
    </row>
    <row r="7038" customFormat="false" ht="14.25" hidden="false" customHeight="true" outlineLevel="0" collapsed="false">
      <c r="B7038" s="9" t="s">
        <v>32</v>
      </c>
      <c r="C7038" s="9" t="n">
        <v>1185732</v>
      </c>
      <c r="D7038" s="10" t="n">
        <v>44472</v>
      </c>
      <c r="E7038" s="9" t="s">
        <v>38</v>
      </c>
      <c r="F7038" s="9" t="s">
        <v>116</v>
      </c>
      <c r="G7038" s="9" t="s">
        <v>117</v>
      </c>
      <c r="H7038" s="11" t="s">
        <v>23</v>
      </c>
      <c r="I7038" s="12" t="n">
        <v>32</v>
      </c>
      <c r="J7038" s="13" t="n">
        <v>33</v>
      </c>
      <c r="K7038" s="14" t="n">
        <f aca="false">I7038*J7038</f>
        <v>1056</v>
      </c>
      <c r="L7038" s="14" t="n">
        <f aca="false">($L$2*M7038)/100</f>
        <v>492683.265</v>
      </c>
      <c r="M7038" s="15" t="n">
        <v>0.41</v>
      </c>
      <c r="N7038" s="9" t="s">
        <v>85</v>
      </c>
    </row>
    <row r="7039" customFormat="false" ht="14.25" hidden="false" customHeight="true" outlineLevel="0" collapsed="false">
      <c r="B7039" s="9" t="s">
        <v>32</v>
      </c>
      <c r="C7039" s="9" t="n">
        <v>1185732</v>
      </c>
      <c r="D7039" s="10" t="n">
        <v>44472</v>
      </c>
      <c r="E7039" s="9" t="s">
        <v>38</v>
      </c>
      <c r="F7039" s="9" t="s">
        <v>116</v>
      </c>
      <c r="G7039" s="9" t="s">
        <v>117</v>
      </c>
      <c r="H7039" s="11" t="s">
        <v>24</v>
      </c>
      <c r="I7039" s="12" t="n">
        <v>44</v>
      </c>
      <c r="J7039" s="13" t="n">
        <v>33</v>
      </c>
      <c r="K7039" s="14" t="n">
        <f aca="false">I7039*J7039</f>
        <v>1452</v>
      </c>
      <c r="L7039" s="14" t="n">
        <f aca="false">($L$2*M7039)/100</f>
        <v>757049.895</v>
      </c>
      <c r="M7039" s="15" t="n">
        <v>0.63</v>
      </c>
      <c r="N7039" s="9" t="s">
        <v>85</v>
      </c>
    </row>
    <row r="7040" customFormat="false" ht="14.25" hidden="false" customHeight="true" outlineLevel="0" collapsed="false">
      <c r="B7040" s="9" t="s">
        <v>32</v>
      </c>
      <c r="C7040" s="9" t="n">
        <v>1185732</v>
      </c>
      <c r="D7040" s="10" t="n">
        <v>44472</v>
      </c>
      <c r="E7040" s="9" t="s">
        <v>38</v>
      </c>
      <c r="F7040" s="9" t="s">
        <v>116</v>
      </c>
      <c r="G7040" s="9" t="s">
        <v>117</v>
      </c>
      <c r="H7040" s="11" t="s">
        <v>25</v>
      </c>
      <c r="I7040" s="12" t="n">
        <v>46</v>
      </c>
      <c r="J7040" s="13" t="n">
        <v>65</v>
      </c>
      <c r="K7040" s="14" t="n">
        <f aca="false">I7040*J7040</f>
        <v>2990</v>
      </c>
      <c r="L7040" s="14" t="n">
        <f aca="false">($L$2*M7040)/100</f>
        <v>612849.915</v>
      </c>
      <c r="M7040" s="15" t="n">
        <v>0.51</v>
      </c>
      <c r="N7040" s="9" t="s">
        <v>85</v>
      </c>
    </row>
    <row r="7041" customFormat="false" ht="14.25" hidden="false" customHeight="true" outlineLevel="0" collapsed="false">
      <c r="B7041" s="9" t="s">
        <v>32</v>
      </c>
      <c r="C7041" s="9" t="n">
        <v>1185732</v>
      </c>
      <c r="D7041" s="10" t="n">
        <v>44503</v>
      </c>
      <c r="E7041" s="9" t="s">
        <v>38</v>
      </c>
      <c r="F7041" s="9" t="s">
        <v>116</v>
      </c>
      <c r="G7041" s="9" t="s">
        <v>117</v>
      </c>
      <c r="H7041" s="11" t="s">
        <v>19</v>
      </c>
      <c r="I7041" s="12" t="n">
        <v>41</v>
      </c>
      <c r="J7041" s="13" t="n">
        <v>104</v>
      </c>
      <c r="K7041" s="14" t="n">
        <f aca="false">I7041*J7041</f>
        <v>4264</v>
      </c>
      <c r="L7041" s="14" t="n">
        <f aca="false">($L$2*M7041)/100</f>
        <v>516716.595</v>
      </c>
      <c r="M7041" s="15" t="n">
        <v>0.43</v>
      </c>
      <c r="N7041" s="9" t="s">
        <v>85</v>
      </c>
    </row>
    <row r="7042" customFormat="false" ht="14.25" hidden="false" customHeight="true" outlineLevel="0" collapsed="false">
      <c r="B7042" s="9" t="s">
        <v>32</v>
      </c>
      <c r="C7042" s="9" t="n">
        <v>1185732</v>
      </c>
      <c r="D7042" s="10" t="n">
        <v>44503</v>
      </c>
      <c r="E7042" s="9" t="s">
        <v>38</v>
      </c>
      <c r="F7042" s="9" t="s">
        <v>116</v>
      </c>
      <c r="G7042" s="9" t="s">
        <v>117</v>
      </c>
      <c r="H7042" s="11" t="s">
        <v>21</v>
      </c>
      <c r="I7042" s="12" t="n">
        <v>32</v>
      </c>
      <c r="J7042" s="13" t="n">
        <v>78</v>
      </c>
      <c r="K7042" s="14" t="n">
        <f aca="false">I7042*J7042</f>
        <v>2496</v>
      </c>
      <c r="L7042" s="14" t="n">
        <f aca="false">($L$2*M7042)/100</f>
        <v>564783.255</v>
      </c>
      <c r="M7042" s="15" t="n">
        <v>0.47</v>
      </c>
      <c r="N7042" s="9" t="s">
        <v>85</v>
      </c>
    </row>
    <row r="7043" customFormat="false" ht="14.25" hidden="false" customHeight="true" outlineLevel="0" collapsed="false">
      <c r="B7043" s="9" t="s">
        <v>32</v>
      </c>
      <c r="C7043" s="9" t="n">
        <v>1185732</v>
      </c>
      <c r="D7043" s="10" t="n">
        <v>44503</v>
      </c>
      <c r="E7043" s="9" t="s">
        <v>38</v>
      </c>
      <c r="F7043" s="9" t="s">
        <v>116</v>
      </c>
      <c r="G7043" s="9" t="s">
        <v>117</v>
      </c>
      <c r="H7043" s="11" t="s">
        <v>22</v>
      </c>
      <c r="I7043" s="12" t="n">
        <v>33</v>
      </c>
      <c r="J7043" s="13" t="n">
        <v>69</v>
      </c>
      <c r="K7043" s="14" t="n">
        <f aca="false">I7043*J7043</f>
        <v>2277</v>
      </c>
      <c r="L7043" s="14" t="n">
        <f aca="false">($L$2*M7043)/100</f>
        <v>504699.93</v>
      </c>
      <c r="M7043" s="15" t="n">
        <v>0.42</v>
      </c>
      <c r="N7043" s="9" t="s">
        <v>85</v>
      </c>
    </row>
    <row r="7044" customFormat="false" ht="14.25" hidden="false" customHeight="true" outlineLevel="0" collapsed="false">
      <c r="B7044" s="9" t="s">
        <v>32</v>
      </c>
      <c r="C7044" s="9" t="n">
        <v>1185732</v>
      </c>
      <c r="D7044" s="10" t="n">
        <v>44503</v>
      </c>
      <c r="E7044" s="9" t="s">
        <v>38</v>
      </c>
      <c r="F7044" s="9" t="s">
        <v>116</v>
      </c>
      <c r="G7044" s="9" t="s">
        <v>117</v>
      </c>
      <c r="H7044" s="11" t="s">
        <v>23</v>
      </c>
      <c r="I7044" s="12" t="n">
        <v>33</v>
      </c>
      <c r="J7044" s="13" t="n">
        <v>65</v>
      </c>
      <c r="K7044" s="14" t="n">
        <f aca="false">I7044*J7044</f>
        <v>2145</v>
      </c>
      <c r="L7044" s="14" t="n">
        <f aca="false">($L$2*M7044)/100</f>
        <v>540749.925</v>
      </c>
      <c r="M7044" s="15" t="n">
        <v>0.45</v>
      </c>
      <c r="N7044" s="9" t="s">
        <v>85</v>
      </c>
    </row>
    <row r="7045" customFormat="false" ht="14.25" hidden="false" customHeight="true" outlineLevel="0" collapsed="false">
      <c r="B7045" s="9" t="s">
        <v>32</v>
      </c>
      <c r="C7045" s="9" t="n">
        <v>1185732</v>
      </c>
      <c r="D7045" s="10" t="n">
        <v>44503</v>
      </c>
      <c r="E7045" s="9" t="s">
        <v>38</v>
      </c>
      <c r="F7045" s="9" t="s">
        <v>116</v>
      </c>
      <c r="G7045" s="9" t="s">
        <v>117</v>
      </c>
      <c r="H7045" s="11" t="s">
        <v>24</v>
      </c>
      <c r="I7045" s="12" t="n">
        <v>58</v>
      </c>
      <c r="J7045" s="13" t="n">
        <v>56</v>
      </c>
      <c r="K7045" s="14" t="n">
        <f aca="false">I7045*J7045</f>
        <v>3248</v>
      </c>
      <c r="L7045" s="14" t="n">
        <f aca="false">($L$2*M7045)/100</f>
        <v>745033.23</v>
      </c>
      <c r="M7045" s="15" t="n">
        <v>0.62</v>
      </c>
      <c r="N7045" s="9" t="s">
        <v>85</v>
      </c>
    </row>
    <row r="7046" customFormat="false" ht="14.25" hidden="false" customHeight="true" outlineLevel="0" collapsed="false">
      <c r="B7046" s="9" t="s">
        <v>32</v>
      </c>
      <c r="C7046" s="9" t="n">
        <v>1185732</v>
      </c>
      <c r="D7046" s="10" t="n">
        <v>44503</v>
      </c>
      <c r="E7046" s="9" t="s">
        <v>38</v>
      </c>
      <c r="F7046" s="9" t="s">
        <v>116</v>
      </c>
      <c r="G7046" s="9" t="s">
        <v>117</v>
      </c>
      <c r="H7046" s="11" t="s">
        <v>25</v>
      </c>
      <c r="I7046" s="12" t="n">
        <v>61</v>
      </c>
      <c r="J7046" s="13" t="n">
        <v>75</v>
      </c>
      <c r="K7046" s="14" t="n">
        <f aca="false">I7046*J7046</f>
        <v>4575</v>
      </c>
      <c r="L7046" s="14" t="n">
        <f aca="false">($L$2*M7046)/100</f>
        <v>612849.915</v>
      </c>
      <c r="M7046" s="15" t="n">
        <v>0.51</v>
      </c>
      <c r="N7046" s="9" t="s">
        <v>85</v>
      </c>
    </row>
    <row r="7047" customFormat="false" ht="14.25" hidden="false" customHeight="true" outlineLevel="0" collapsed="false">
      <c r="B7047" s="9" t="s">
        <v>32</v>
      </c>
      <c r="C7047" s="9" t="n">
        <v>1185732</v>
      </c>
      <c r="D7047" s="10" t="n">
        <v>44532</v>
      </c>
      <c r="E7047" s="9" t="s">
        <v>38</v>
      </c>
      <c r="F7047" s="9" t="s">
        <v>116</v>
      </c>
      <c r="G7047" s="9" t="s">
        <v>117</v>
      </c>
      <c r="H7047" s="11" t="s">
        <v>19</v>
      </c>
      <c r="I7047" s="12" t="n">
        <v>58</v>
      </c>
      <c r="J7047" s="13" t="n">
        <v>138</v>
      </c>
      <c r="K7047" s="14" t="n">
        <f aca="false">I7047*J7047</f>
        <v>8004</v>
      </c>
      <c r="L7047" s="14" t="n">
        <f aca="false">($L$2*M7047)/100</f>
        <v>492683.265</v>
      </c>
      <c r="M7047" s="15" t="n">
        <v>0.41</v>
      </c>
      <c r="N7047" s="9" t="s">
        <v>85</v>
      </c>
    </row>
    <row r="7048" customFormat="false" ht="14.25" hidden="false" customHeight="true" outlineLevel="0" collapsed="false">
      <c r="B7048" s="9" t="s">
        <v>32</v>
      </c>
      <c r="C7048" s="9" t="n">
        <v>1185732</v>
      </c>
      <c r="D7048" s="10" t="n">
        <v>44532</v>
      </c>
      <c r="E7048" s="9" t="s">
        <v>38</v>
      </c>
      <c r="F7048" s="9" t="s">
        <v>116</v>
      </c>
      <c r="G7048" s="9" t="s">
        <v>117</v>
      </c>
      <c r="H7048" s="11" t="s">
        <v>21</v>
      </c>
      <c r="I7048" s="12" t="n">
        <v>49</v>
      </c>
      <c r="J7048" s="13" t="n">
        <v>102</v>
      </c>
      <c r="K7048" s="14" t="n">
        <f aca="false">I7048*J7048</f>
        <v>4998</v>
      </c>
      <c r="L7048" s="14" t="n">
        <f aca="false">($L$2*M7048)/100</f>
        <v>564783.255</v>
      </c>
      <c r="M7048" s="15" t="n">
        <v>0.47</v>
      </c>
      <c r="N7048" s="9" t="s">
        <v>85</v>
      </c>
    </row>
    <row r="7049" customFormat="false" ht="14.25" hidden="false" customHeight="true" outlineLevel="0" collapsed="false">
      <c r="B7049" s="9" t="s">
        <v>32</v>
      </c>
      <c r="C7049" s="9" t="n">
        <v>1185732</v>
      </c>
      <c r="D7049" s="10" t="n">
        <v>44532</v>
      </c>
      <c r="E7049" s="9" t="s">
        <v>38</v>
      </c>
      <c r="F7049" s="9" t="s">
        <v>116</v>
      </c>
      <c r="G7049" s="9" t="s">
        <v>117</v>
      </c>
      <c r="H7049" s="11" t="s">
        <v>22</v>
      </c>
      <c r="I7049" s="12" t="n">
        <v>45</v>
      </c>
      <c r="J7049" s="13" t="n">
        <v>87</v>
      </c>
      <c r="K7049" s="14" t="n">
        <f aca="false">I7049*J7049</f>
        <v>3915</v>
      </c>
      <c r="L7049" s="14" t="n">
        <f aca="false">($L$2*M7049)/100</f>
        <v>528733.26</v>
      </c>
      <c r="M7049" s="15" t="n">
        <v>0.44</v>
      </c>
      <c r="N7049" s="9" t="s">
        <v>85</v>
      </c>
    </row>
    <row r="7050" customFormat="false" ht="14.25" hidden="false" customHeight="true" outlineLevel="0" collapsed="false">
      <c r="B7050" s="9" t="s">
        <v>32</v>
      </c>
      <c r="C7050" s="9" t="n">
        <v>1185732</v>
      </c>
      <c r="D7050" s="10" t="n">
        <v>44532</v>
      </c>
      <c r="E7050" s="9" t="s">
        <v>38</v>
      </c>
      <c r="F7050" s="9" t="s">
        <v>116</v>
      </c>
      <c r="G7050" s="9" t="s">
        <v>117</v>
      </c>
      <c r="H7050" s="11" t="s">
        <v>23</v>
      </c>
      <c r="I7050" s="12" t="n">
        <v>48</v>
      </c>
      <c r="J7050" s="13" t="n">
        <v>73</v>
      </c>
      <c r="K7050" s="14" t="n">
        <f aca="false">I7050*J7050</f>
        <v>3504</v>
      </c>
      <c r="L7050" s="14" t="n">
        <f aca="false">($L$2*M7050)/100</f>
        <v>540749.925</v>
      </c>
      <c r="M7050" s="15" t="n">
        <v>0.45</v>
      </c>
      <c r="N7050" s="9" t="s">
        <v>85</v>
      </c>
    </row>
    <row r="7051" customFormat="false" ht="14.25" hidden="false" customHeight="true" outlineLevel="0" collapsed="false">
      <c r="B7051" s="9" t="s">
        <v>32</v>
      </c>
      <c r="C7051" s="9" t="n">
        <v>1185732</v>
      </c>
      <c r="D7051" s="10" t="n">
        <v>44532</v>
      </c>
      <c r="E7051" s="9" t="s">
        <v>38</v>
      </c>
      <c r="F7051" s="9" t="s">
        <v>116</v>
      </c>
      <c r="G7051" s="9" t="s">
        <v>117</v>
      </c>
      <c r="H7051" s="11" t="s">
        <v>24</v>
      </c>
      <c r="I7051" s="12" t="n">
        <v>57</v>
      </c>
      <c r="J7051" s="13" t="n">
        <v>73</v>
      </c>
      <c r="K7051" s="14" t="n">
        <f aca="false">I7051*J7051</f>
        <v>4161</v>
      </c>
      <c r="L7051" s="14" t="n">
        <f aca="false">($L$2*M7051)/100</f>
        <v>720999.9</v>
      </c>
      <c r="M7051" s="15" t="n">
        <v>0.6</v>
      </c>
      <c r="N7051" s="9" t="s">
        <v>85</v>
      </c>
    </row>
    <row r="7052" customFormat="false" ht="14.25" hidden="false" customHeight="true" outlineLevel="0" collapsed="false">
      <c r="B7052" s="9" t="s">
        <v>32</v>
      </c>
      <c r="C7052" s="9" t="n">
        <v>1185732</v>
      </c>
      <c r="D7052" s="10" t="n">
        <v>44532</v>
      </c>
      <c r="E7052" s="9" t="s">
        <v>38</v>
      </c>
      <c r="F7052" s="9" t="s">
        <v>116</v>
      </c>
      <c r="G7052" s="9" t="s">
        <v>117</v>
      </c>
      <c r="H7052" s="11" t="s">
        <v>25</v>
      </c>
      <c r="I7052" s="12" t="n">
        <v>59</v>
      </c>
      <c r="J7052" s="13" t="n">
        <v>88</v>
      </c>
      <c r="K7052" s="14" t="n">
        <f aca="false">I7052*J7052</f>
        <v>5192</v>
      </c>
      <c r="L7052" s="14" t="n">
        <f aca="false">($L$2*M7052)/100</f>
        <v>624866.58</v>
      </c>
      <c r="M7052" s="15" t="n">
        <v>0.52</v>
      </c>
      <c r="N7052" s="9" t="s">
        <v>85</v>
      </c>
    </row>
    <row r="7053" customFormat="false" ht="14.25" hidden="false" customHeight="true" outlineLevel="0" collapsed="false">
      <c r="B7053" s="9" t="s">
        <v>32</v>
      </c>
      <c r="C7053" s="9" t="n">
        <v>1185732</v>
      </c>
      <c r="D7053" s="10" t="n">
        <v>44206</v>
      </c>
      <c r="E7053" s="9" t="s">
        <v>38</v>
      </c>
      <c r="F7053" s="9" t="s">
        <v>116</v>
      </c>
      <c r="G7053" s="9" t="s">
        <v>117</v>
      </c>
      <c r="H7053" s="11" t="s">
        <v>19</v>
      </c>
      <c r="I7053" s="12" t="n">
        <v>32</v>
      </c>
      <c r="J7053" s="13" t="n">
        <v>140</v>
      </c>
      <c r="K7053" s="14" t="n">
        <f aca="false">I7053*J7053</f>
        <v>4480</v>
      </c>
      <c r="L7053" s="14" t="n">
        <f aca="false">($L$2*M7053)/100</f>
        <v>624866.58</v>
      </c>
      <c r="M7053" s="15" t="n">
        <v>0.52</v>
      </c>
      <c r="N7053" s="9" t="s">
        <v>85</v>
      </c>
    </row>
    <row r="7054" customFormat="false" ht="14.25" hidden="false" customHeight="true" outlineLevel="0" collapsed="false">
      <c r="B7054" s="9" t="s">
        <v>32</v>
      </c>
      <c r="C7054" s="9" t="n">
        <v>1185732</v>
      </c>
      <c r="D7054" s="10" t="n">
        <v>44206</v>
      </c>
      <c r="E7054" s="9" t="s">
        <v>38</v>
      </c>
      <c r="F7054" s="9" t="s">
        <v>116</v>
      </c>
      <c r="G7054" s="9" t="s">
        <v>117</v>
      </c>
      <c r="H7054" s="11" t="s">
        <v>21</v>
      </c>
      <c r="I7054" s="12" t="n">
        <v>32</v>
      </c>
      <c r="J7054" s="13" t="n">
        <v>78</v>
      </c>
      <c r="K7054" s="14" t="n">
        <f aca="false">I7054*J7054</f>
        <v>2496</v>
      </c>
      <c r="L7054" s="14" t="n">
        <f aca="false">($L$2*M7054)/100</f>
        <v>612849.915</v>
      </c>
      <c r="M7054" s="15" t="n">
        <v>0.51</v>
      </c>
      <c r="N7054" s="9" t="s">
        <v>85</v>
      </c>
    </row>
    <row r="7055" customFormat="false" ht="14.25" hidden="false" customHeight="true" outlineLevel="0" collapsed="false">
      <c r="B7055" s="9" t="s">
        <v>32</v>
      </c>
      <c r="C7055" s="9" t="n">
        <v>1185732</v>
      </c>
      <c r="D7055" s="10" t="n">
        <v>44206</v>
      </c>
      <c r="E7055" s="9" t="s">
        <v>38</v>
      </c>
      <c r="F7055" s="9" t="s">
        <v>116</v>
      </c>
      <c r="G7055" s="9" t="s">
        <v>117</v>
      </c>
      <c r="H7055" s="11" t="s">
        <v>22</v>
      </c>
      <c r="I7055" s="12" t="n">
        <v>24</v>
      </c>
      <c r="J7055" s="13" t="n">
        <v>87</v>
      </c>
      <c r="K7055" s="14" t="n">
        <f aca="false">I7055*J7055</f>
        <v>2088</v>
      </c>
      <c r="L7055" s="14" t="n">
        <f aca="false">($L$2*M7055)/100</f>
        <v>540749.925</v>
      </c>
      <c r="M7055" s="15" t="n">
        <v>0.45</v>
      </c>
      <c r="N7055" s="9" t="s">
        <v>85</v>
      </c>
    </row>
    <row r="7056" customFormat="false" ht="14.25" hidden="false" customHeight="true" outlineLevel="0" collapsed="false">
      <c r="B7056" s="9" t="s">
        <v>32</v>
      </c>
      <c r="C7056" s="9" t="n">
        <v>1185732</v>
      </c>
      <c r="D7056" s="10" t="n">
        <v>44206</v>
      </c>
      <c r="E7056" s="9" t="s">
        <v>38</v>
      </c>
      <c r="F7056" s="9" t="s">
        <v>116</v>
      </c>
      <c r="G7056" s="9" t="s">
        <v>117</v>
      </c>
      <c r="H7056" s="11" t="s">
        <v>23</v>
      </c>
      <c r="I7056" s="12" t="n">
        <v>28</v>
      </c>
      <c r="J7056" s="13" t="n">
        <v>44</v>
      </c>
      <c r="K7056" s="14" t="n">
        <f aca="false">I7056*J7056</f>
        <v>1232</v>
      </c>
      <c r="L7056" s="14" t="n">
        <f aca="false">($L$2*M7056)/100</f>
        <v>576799.92</v>
      </c>
      <c r="M7056" s="15" t="n">
        <v>0.48</v>
      </c>
      <c r="N7056" s="9" t="s">
        <v>85</v>
      </c>
    </row>
    <row r="7057" customFormat="false" ht="14.25" hidden="false" customHeight="true" outlineLevel="0" collapsed="false">
      <c r="B7057" s="9" t="s">
        <v>32</v>
      </c>
      <c r="C7057" s="9" t="n">
        <v>1185732</v>
      </c>
      <c r="D7057" s="10" t="n">
        <v>44206</v>
      </c>
      <c r="E7057" s="9" t="s">
        <v>38</v>
      </c>
      <c r="F7057" s="9" t="s">
        <v>116</v>
      </c>
      <c r="G7057" s="9" t="s">
        <v>117</v>
      </c>
      <c r="H7057" s="11" t="s">
        <v>24</v>
      </c>
      <c r="I7057" s="12" t="n">
        <v>41</v>
      </c>
      <c r="J7057" s="13" t="n">
        <v>58</v>
      </c>
      <c r="K7057" s="14" t="n">
        <f aca="false">I7057*J7057</f>
        <v>2378</v>
      </c>
      <c r="L7057" s="14" t="n">
        <f aca="false">($L$2*M7057)/100</f>
        <v>528733.26</v>
      </c>
      <c r="M7057" s="15" t="n">
        <v>0.44</v>
      </c>
      <c r="N7057" s="9" t="s">
        <v>85</v>
      </c>
    </row>
    <row r="7058" customFormat="false" ht="14.25" hidden="false" customHeight="true" outlineLevel="0" collapsed="false">
      <c r="B7058" s="9" t="s">
        <v>32</v>
      </c>
      <c r="C7058" s="9" t="n">
        <v>1185732</v>
      </c>
      <c r="D7058" s="10" t="n">
        <v>44206</v>
      </c>
      <c r="E7058" s="9" t="s">
        <v>38</v>
      </c>
      <c r="F7058" s="9" t="s">
        <v>116</v>
      </c>
      <c r="G7058" s="9" t="s">
        <v>117</v>
      </c>
      <c r="H7058" s="11" t="s">
        <v>25</v>
      </c>
      <c r="I7058" s="12" t="n">
        <v>32</v>
      </c>
      <c r="J7058" s="13" t="n">
        <v>84</v>
      </c>
      <c r="K7058" s="14" t="n">
        <f aca="false">I7058*J7058</f>
        <v>2688</v>
      </c>
      <c r="L7058" s="14" t="n">
        <f aca="false">($L$2*M7058)/100</f>
        <v>600833.25</v>
      </c>
      <c r="M7058" s="15" t="n">
        <v>0.5</v>
      </c>
      <c r="N7058" s="9" t="s">
        <v>85</v>
      </c>
    </row>
    <row r="7059" customFormat="false" ht="14.25" hidden="false" customHeight="true" outlineLevel="0" collapsed="false">
      <c r="B7059" s="9" t="s">
        <v>32</v>
      </c>
      <c r="C7059" s="9" t="n">
        <v>1185732</v>
      </c>
      <c r="D7059" s="10" t="n">
        <v>44237</v>
      </c>
      <c r="E7059" s="9" t="s">
        <v>38</v>
      </c>
      <c r="F7059" s="9" t="s">
        <v>116</v>
      </c>
      <c r="G7059" s="9" t="s">
        <v>117</v>
      </c>
      <c r="H7059" s="11" t="s">
        <v>19</v>
      </c>
      <c r="I7059" s="12" t="n">
        <v>34</v>
      </c>
      <c r="J7059" s="13" t="n">
        <v>160</v>
      </c>
      <c r="K7059" s="14" t="n">
        <f aca="false">I7059*J7059</f>
        <v>5440</v>
      </c>
      <c r="L7059" s="14" t="n">
        <f aca="false">($L$2*M7059)/100</f>
        <v>660916.575</v>
      </c>
      <c r="M7059" s="15" t="n">
        <v>0.55</v>
      </c>
      <c r="N7059" s="9" t="s">
        <v>85</v>
      </c>
    </row>
    <row r="7060" customFormat="false" ht="14.25" hidden="false" customHeight="true" outlineLevel="0" collapsed="false">
      <c r="B7060" s="9" t="s">
        <v>32</v>
      </c>
      <c r="C7060" s="9" t="n">
        <v>1185732</v>
      </c>
      <c r="D7060" s="10" t="n">
        <v>44237</v>
      </c>
      <c r="E7060" s="9" t="s">
        <v>38</v>
      </c>
      <c r="F7060" s="9" t="s">
        <v>116</v>
      </c>
      <c r="G7060" s="9" t="s">
        <v>117</v>
      </c>
      <c r="H7060" s="11" t="s">
        <v>21</v>
      </c>
      <c r="I7060" s="12" t="n">
        <v>34</v>
      </c>
      <c r="J7060" s="13" t="n">
        <v>52</v>
      </c>
      <c r="K7060" s="14" t="n">
        <f aca="false">I7060*J7060</f>
        <v>1768</v>
      </c>
      <c r="L7060" s="14" t="n">
        <f aca="false">($L$2*M7060)/100</f>
        <v>612849.915</v>
      </c>
      <c r="M7060" s="15" t="n">
        <v>0.51</v>
      </c>
      <c r="N7060" s="9" t="s">
        <v>85</v>
      </c>
    </row>
    <row r="7061" customFormat="false" ht="14.25" hidden="false" customHeight="true" outlineLevel="0" collapsed="false">
      <c r="B7061" s="9" t="s">
        <v>32</v>
      </c>
      <c r="C7061" s="9" t="n">
        <v>1185732</v>
      </c>
      <c r="D7061" s="10" t="n">
        <v>44237</v>
      </c>
      <c r="E7061" s="9" t="s">
        <v>38</v>
      </c>
      <c r="F7061" s="9" t="s">
        <v>116</v>
      </c>
      <c r="G7061" s="9" t="s">
        <v>117</v>
      </c>
      <c r="H7061" s="11" t="s">
        <v>22</v>
      </c>
      <c r="I7061" s="12" t="n">
        <v>24</v>
      </c>
      <c r="J7061" s="13" t="n">
        <v>73</v>
      </c>
      <c r="K7061" s="14" t="n">
        <f aca="false">I7061*J7061</f>
        <v>1752</v>
      </c>
      <c r="L7061" s="14" t="n">
        <f aca="false">($L$2*M7061)/100</f>
        <v>600833.25</v>
      </c>
      <c r="M7061" s="15" t="n">
        <v>0.5</v>
      </c>
      <c r="N7061" s="9" t="s">
        <v>85</v>
      </c>
    </row>
    <row r="7062" customFormat="false" ht="14.25" hidden="false" customHeight="true" outlineLevel="0" collapsed="false">
      <c r="B7062" s="9" t="s">
        <v>32</v>
      </c>
      <c r="C7062" s="9" t="n">
        <v>1185732</v>
      </c>
      <c r="D7062" s="10" t="n">
        <v>44237</v>
      </c>
      <c r="E7062" s="9" t="s">
        <v>38</v>
      </c>
      <c r="F7062" s="9" t="s">
        <v>118</v>
      </c>
      <c r="G7062" s="9" t="s">
        <v>119</v>
      </c>
      <c r="H7062" s="11" t="s">
        <v>23</v>
      </c>
      <c r="I7062" s="12" t="n">
        <v>29</v>
      </c>
      <c r="J7062" s="13" t="n">
        <v>36</v>
      </c>
      <c r="K7062" s="14" t="n">
        <f aca="false">I7062*J7062</f>
        <v>1044</v>
      </c>
      <c r="L7062" s="14" t="n">
        <f aca="false">($L$2*M7062)/100</f>
        <v>564783.255</v>
      </c>
      <c r="M7062" s="15" t="n">
        <v>0.47</v>
      </c>
      <c r="N7062" s="9" t="s">
        <v>85</v>
      </c>
    </row>
    <row r="7063" customFormat="false" ht="14.25" hidden="false" customHeight="true" outlineLevel="0" collapsed="false">
      <c r="B7063" s="9" t="s">
        <v>32</v>
      </c>
      <c r="C7063" s="9" t="n">
        <v>1185732</v>
      </c>
      <c r="D7063" s="10" t="n">
        <v>44237</v>
      </c>
      <c r="E7063" s="9" t="s">
        <v>38</v>
      </c>
      <c r="F7063" s="9" t="s">
        <v>118</v>
      </c>
      <c r="G7063" s="9" t="s">
        <v>119</v>
      </c>
      <c r="H7063" s="11" t="s">
        <v>24</v>
      </c>
      <c r="I7063" s="12" t="n">
        <v>41</v>
      </c>
      <c r="J7063" s="13" t="n">
        <v>58</v>
      </c>
      <c r="K7063" s="14" t="n">
        <f aca="false">I7063*J7063</f>
        <v>2378</v>
      </c>
      <c r="L7063" s="14" t="n">
        <f aca="false">($L$2*M7063)/100</f>
        <v>528733.26</v>
      </c>
      <c r="M7063" s="15" t="n">
        <v>0.44</v>
      </c>
      <c r="N7063" s="9" t="s">
        <v>85</v>
      </c>
    </row>
    <row r="7064" customFormat="false" ht="14.25" hidden="false" customHeight="true" outlineLevel="0" collapsed="false">
      <c r="B7064" s="9" t="s">
        <v>32</v>
      </c>
      <c r="C7064" s="9" t="n">
        <v>1185732</v>
      </c>
      <c r="D7064" s="10" t="n">
        <v>44237</v>
      </c>
      <c r="E7064" s="9" t="s">
        <v>38</v>
      </c>
      <c r="F7064" s="9" t="s">
        <v>118</v>
      </c>
      <c r="G7064" s="9" t="s">
        <v>119</v>
      </c>
      <c r="H7064" s="11" t="s">
        <v>25</v>
      </c>
      <c r="I7064" s="12" t="n">
        <v>19</v>
      </c>
      <c r="J7064" s="13" t="n">
        <v>75</v>
      </c>
      <c r="K7064" s="14" t="n">
        <f aca="false">I7064*J7064</f>
        <v>1425</v>
      </c>
      <c r="L7064" s="14" t="n">
        <f aca="false">($L$2*M7064)/100</f>
        <v>612849.915</v>
      </c>
      <c r="M7064" s="15" t="n">
        <v>0.51</v>
      </c>
      <c r="N7064" s="9" t="s">
        <v>85</v>
      </c>
    </row>
    <row r="7065" customFormat="false" ht="14.25" hidden="false" customHeight="true" outlineLevel="0" collapsed="false">
      <c r="B7065" s="9" t="s">
        <v>32</v>
      </c>
      <c r="C7065" s="9" t="n">
        <v>1185732</v>
      </c>
      <c r="D7065" s="10" t="n">
        <v>44264</v>
      </c>
      <c r="E7065" s="9" t="s">
        <v>38</v>
      </c>
      <c r="F7065" s="9" t="s">
        <v>118</v>
      </c>
      <c r="G7065" s="9" t="s">
        <v>119</v>
      </c>
      <c r="H7065" s="11" t="s">
        <v>19</v>
      </c>
      <c r="I7065" s="12" t="n">
        <v>23</v>
      </c>
      <c r="J7065" s="13" t="n">
        <v>151</v>
      </c>
      <c r="K7065" s="14" t="n">
        <f aca="false">I7065*J7065</f>
        <v>3473</v>
      </c>
      <c r="L7065" s="14" t="n">
        <f aca="false">($L$2*M7065)/100</f>
        <v>612849.915</v>
      </c>
      <c r="M7065" s="15" t="n">
        <v>0.51</v>
      </c>
      <c r="N7065" s="9" t="s">
        <v>85</v>
      </c>
    </row>
    <row r="7066" customFormat="false" ht="14.25" hidden="false" customHeight="true" outlineLevel="0" collapsed="false">
      <c r="B7066" s="9" t="s">
        <v>32</v>
      </c>
      <c r="C7066" s="9" t="n">
        <v>1185732</v>
      </c>
      <c r="D7066" s="10" t="n">
        <v>44264</v>
      </c>
      <c r="E7066" s="9" t="s">
        <v>38</v>
      </c>
      <c r="F7066" s="9" t="s">
        <v>118</v>
      </c>
      <c r="G7066" s="9" t="s">
        <v>119</v>
      </c>
      <c r="H7066" s="11" t="s">
        <v>21</v>
      </c>
      <c r="I7066" s="12" t="n">
        <v>23</v>
      </c>
      <c r="J7066" s="13" t="n">
        <v>61</v>
      </c>
      <c r="K7066" s="14" t="n">
        <f aca="false">I7066*J7066</f>
        <v>1403</v>
      </c>
      <c r="L7066" s="14" t="n">
        <f aca="false">($L$2*M7066)/100</f>
        <v>660916.575</v>
      </c>
      <c r="M7066" s="15" t="n">
        <v>0.55</v>
      </c>
      <c r="N7066" s="9" t="s">
        <v>85</v>
      </c>
    </row>
    <row r="7067" customFormat="false" ht="14.25" hidden="false" customHeight="true" outlineLevel="0" collapsed="false">
      <c r="B7067" s="9" t="s">
        <v>32</v>
      </c>
      <c r="C7067" s="9" t="n">
        <v>1185732</v>
      </c>
      <c r="D7067" s="10" t="n">
        <v>44264</v>
      </c>
      <c r="E7067" s="9" t="s">
        <v>38</v>
      </c>
      <c r="F7067" s="9" t="s">
        <v>118</v>
      </c>
      <c r="G7067" s="9" t="s">
        <v>119</v>
      </c>
      <c r="H7067" s="11" t="s">
        <v>22</v>
      </c>
      <c r="I7067" s="12" t="n">
        <v>14</v>
      </c>
      <c r="J7067" s="13" t="n">
        <v>72</v>
      </c>
      <c r="K7067" s="14" t="n">
        <f aca="false">I7067*J7067</f>
        <v>1008</v>
      </c>
      <c r="L7067" s="14" t="n">
        <f aca="false">($L$2*M7067)/100</f>
        <v>600833.25</v>
      </c>
      <c r="M7067" s="15" t="n">
        <v>0.5</v>
      </c>
      <c r="N7067" s="9" t="s">
        <v>85</v>
      </c>
    </row>
    <row r="7068" customFormat="false" ht="14.25" hidden="false" customHeight="true" outlineLevel="0" collapsed="false">
      <c r="B7068" s="9" t="s">
        <v>32</v>
      </c>
      <c r="C7068" s="9" t="n">
        <v>1185732</v>
      </c>
      <c r="D7068" s="10" t="n">
        <v>44264</v>
      </c>
      <c r="E7068" s="9" t="s">
        <v>38</v>
      </c>
      <c r="F7068" s="9" t="s">
        <v>118</v>
      </c>
      <c r="G7068" s="9" t="s">
        <v>119</v>
      </c>
      <c r="H7068" s="11" t="s">
        <v>23</v>
      </c>
      <c r="I7068" s="12" t="n">
        <v>19</v>
      </c>
      <c r="J7068" s="13" t="n">
        <v>31</v>
      </c>
      <c r="K7068" s="14" t="n">
        <f aca="false">I7068*J7068</f>
        <v>589</v>
      </c>
      <c r="L7068" s="14" t="n">
        <f aca="false">($L$2*M7068)/100</f>
        <v>540749.925</v>
      </c>
      <c r="M7068" s="15" t="n">
        <v>0.45</v>
      </c>
      <c r="N7068" s="9" t="s">
        <v>85</v>
      </c>
    </row>
    <row r="7069" customFormat="false" ht="14.25" hidden="false" customHeight="true" outlineLevel="0" collapsed="false">
      <c r="B7069" s="9" t="s">
        <v>32</v>
      </c>
      <c r="C7069" s="9" t="n">
        <v>1185732</v>
      </c>
      <c r="D7069" s="10" t="n">
        <v>44264</v>
      </c>
      <c r="E7069" s="9" t="s">
        <v>38</v>
      </c>
      <c r="F7069" s="9" t="s">
        <v>118</v>
      </c>
      <c r="G7069" s="9" t="s">
        <v>119</v>
      </c>
      <c r="H7069" s="11" t="s">
        <v>24</v>
      </c>
      <c r="I7069" s="12" t="n">
        <v>32</v>
      </c>
      <c r="J7069" s="13" t="n">
        <v>44</v>
      </c>
      <c r="K7069" s="14" t="n">
        <f aca="false">I7069*J7069</f>
        <v>1408</v>
      </c>
      <c r="L7069" s="14" t="n">
        <f aca="false">($L$2*M7069)/100</f>
        <v>516716.595</v>
      </c>
      <c r="M7069" s="15" t="n">
        <v>0.43</v>
      </c>
      <c r="N7069" s="9" t="s">
        <v>85</v>
      </c>
    </row>
    <row r="7070" customFormat="false" ht="14.25" hidden="false" customHeight="true" outlineLevel="0" collapsed="false">
      <c r="B7070" s="9" t="s">
        <v>32</v>
      </c>
      <c r="C7070" s="9" t="n">
        <v>1185732</v>
      </c>
      <c r="D7070" s="10" t="n">
        <v>44264</v>
      </c>
      <c r="E7070" s="9" t="s">
        <v>38</v>
      </c>
      <c r="F7070" s="9" t="s">
        <v>118</v>
      </c>
      <c r="G7070" s="9" t="s">
        <v>119</v>
      </c>
      <c r="H7070" s="11" t="s">
        <v>25</v>
      </c>
      <c r="I7070" s="12" t="n">
        <v>24</v>
      </c>
      <c r="J7070" s="13" t="n">
        <v>74</v>
      </c>
      <c r="K7070" s="14" t="n">
        <f aca="false">I7070*J7070</f>
        <v>1776</v>
      </c>
      <c r="L7070" s="14" t="n">
        <f aca="false">($L$2*M7070)/100</f>
        <v>624866.58</v>
      </c>
      <c r="M7070" s="15" t="n">
        <v>0.52</v>
      </c>
      <c r="N7070" s="9" t="s">
        <v>85</v>
      </c>
    </row>
    <row r="7071" customFormat="false" ht="14.25" hidden="false" customHeight="true" outlineLevel="0" collapsed="false">
      <c r="B7071" s="9" t="s">
        <v>32</v>
      </c>
      <c r="C7071" s="9" t="n">
        <v>1185732</v>
      </c>
      <c r="D7071" s="10" t="n">
        <v>44296</v>
      </c>
      <c r="E7071" s="9" t="s">
        <v>38</v>
      </c>
      <c r="F7071" s="9" t="s">
        <v>118</v>
      </c>
      <c r="G7071" s="9" t="s">
        <v>119</v>
      </c>
      <c r="H7071" s="11" t="s">
        <v>19</v>
      </c>
      <c r="I7071" s="12" t="n">
        <v>23</v>
      </c>
      <c r="J7071" s="13" t="n">
        <v>125</v>
      </c>
      <c r="K7071" s="14" t="n">
        <f aca="false">I7071*J7071</f>
        <v>2875</v>
      </c>
      <c r="L7071" s="14" t="n">
        <f aca="false">($L$2*M7071)/100</f>
        <v>660916.575</v>
      </c>
      <c r="M7071" s="15" t="n">
        <v>0.55</v>
      </c>
      <c r="N7071" s="9" t="s">
        <v>85</v>
      </c>
    </row>
    <row r="7072" customFormat="false" ht="14.25" hidden="false" customHeight="true" outlineLevel="0" collapsed="false">
      <c r="B7072" s="9" t="s">
        <v>32</v>
      </c>
      <c r="C7072" s="9" t="n">
        <v>1185732</v>
      </c>
      <c r="D7072" s="10" t="n">
        <v>44296</v>
      </c>
      <c r="E7072" s="9" t="s">
        <v>38</v>
      </c>
      <c r="F7072" s="9" t="s">
        <v>118</v>
      </c>
      <c r="G7072" s="9" t="s">
        <v>119</v>
      </c>
      <c r="H7072" s="11" t="s">
        <v>21</v>
      </c>
      <c r="I7072" s="12" t="n">
        <v>23</v>
      </c>
      <c r="J7072" s="13" t="n">
        <v>54</v>
      </c>
      <c r="K7072" s="14" t="n">
        <f aca="false">I7072*J7072</f>
        <v>1242</v>
      </c>
      <c r="L7072" s="14" t="n">
        <f aca="false">($L$2*M7072)/100</f>
        <v>624866.58</v>
      </c>
      <c r="M7072" s="15" t="n">
        <v>0.52</v>
      </c>
      <c r="N7072" s="9" t="s">
        <v>85</v>
      </c>
    </row>
    <row r="7073" customFormat="false" ht="14.25" hidden="false" customHeight="true" outlineLevel="0" collapsed="false">
      <c r="B7073" s="9" t="s">
        <v>32</v>
      </c>
      <c r="C7073" s="9" t="n">
        <v>1185732</v>
      </c>
      <c r="D7073" s="10" t="n">
        <v>44296</v>
      </c>
      <c r="E7073" s="9" t="s">
        <v>38</v>
      </c>
      <c r="F7073" s="9" t="s">
        <v>118</v>
      </c>
      <c r="G7073" s="9" t="s">
        <v>119</v>
      </c>
      <c r="H7073" s="11" t="s">
        <v>22</v>
      </c>
      <c r="I7073" s="12" t="n">
        <v>14</v>
      </c>
      <c r="J7073" s="13" t="n">
        <v>52</v>
      </c>
      <c r="K7073" s="14" t="n">
        <f aca="false">I7073*J7073</f>
        <v>728</v>
      </c>
      <c r="L7073" s="14" t="n">
        <f aca="false">($L$2*M7073)/100</f>
        <v>600833.25</v>
      </c>
      <c r="M7073" s="15" t="n">
        <v>0.5</v>
      </c>
      <c r="N7073" s="9" t="s">
        <v>85</v>
      </c>
    </row>
    <row r="7074" customFormat="false" ht="14.25" hidden="false" customHeight="true" outlineLevel="0" collapsed="false">
      <c r="B7074" s="9" t="s">
        <v>32</v>
      </c>
      <c r="C7074" s="9" t="n">
        <v>1185732</v>
      </c>
      <c r="D7074" s="10" t="n">
        <v>44296</v>
      </c>
      <c r="E7074" s="9" t="s">
        <v>38</v>
      </c>
      <c r="F7074" s="9" t="s">
        <v>118</v>
      </c>
      <c r="G7074" s="9" t="s">
        <v>119</v>
      </c>
      <c r="H7074" s="11" t="s">
        <v>23</v>
      </c>
      <c r="I7074" s="12" t="n">
        <v>19</v>
      </c>
      <c r="J7074" s="13" t="n">
        <v>36</v>
      </c>
      <c r="K7074" s="14" t="n">
        <f aca="false">I7074*J7074</f>
        <v>684</v>
      </c>
      <c r="L7074" s="14" t="n">
        <f aca="false">($L$2*M7074)/100</f>
        <v>576799.92</v>
      </c>
      <c r="M7074" s="15" t="n">
        <v>0.48</v>
      </c>
      <c r="N7074" s="9" t="s">
        <v>85</v>
      </c>
    </row>
    <row r="7075" customFormat="false" ht="14.25" hidden="false" customHeight="true" outlineLevel="0" collapsed="false">
      <c r="B7075" s="9" t="s">
        <v>32</v>
      </c>
      <c r="C7075" s="9" t="n">
        <v>1185732</v>
      </c>
      <c r="D7075" s="10" t="n">
        <v>44296</v>
      </c>
      <c r="E7075" s="9" t="s">
        <v>38</v>
      </c>
      <c r="F7075" s="9" t="s">
        <v>118</v>
      </c>
      <c r="G7075" s="9" t="s">
        <v>119</v>
      </c>
      <c r="H7075" s="11" t="s">
        <v>24</v>
      </c>
      <c r="I7075" s="12" t="n">
        <v>61</v>
      </c>
      <c r="J7075" s="13" t="n">
        <v>45</v>
      </c>
      <c r="K7075" s="14" t="n">
        <f aca="false">I7075*J7075</f>
        <v>2745</v>
      </c>
      <c r="L7075" s="14" t="n">
        <f aca="false">($L$2*M7075)/100</f>
        <v>528733.26</v>
      </c>
      <c r="M7075" s="15" t="n">
        <v>0.44</v>
      </c>
      <c r="N7075" s="9" t="s">
        <v>85</v>
      </c>
    </row>
    <row r="7076" customFormat="false" ht="14.25" hidden="false" customHeight="true" outlineLevel="0" collapsed="false">
      <c r="B7076" s="9" t="s">
        <v>32</v>
      </c>
      <c r="C7076" s="9" t="n">
        <v>1185732</v>
      </c>
      <c r="D7076" s="10" t="n">
        <v>44296</v>
      </c>
      <c r="E7076" s="9" t="s">
        <v>38</v>
      </c>
      <c r="F7076" s="9" t="s">
        <v>118</v>
      </c>
      <c r="G7076" s="9" t="s">
        <v>119</v>
      </c>
      <c r="H7076" s="11" t="s">
        <v>25</v>
      </c>
      <c r="I7076" s="12" t="n">
        <v>47</v>
      </c>
      <c r="J7076" s="13" t="n">
        <v>72</v>
      </c>
      <c r="K7076" s="14" t="n">
        <f aca="false">I7076*J7076</f>
        <v>3384</v>
      </c>
      <c r="L7076" s="14" t="n">
        <f aca="false">($L$2*M7076)/100</f>
        <v>660916.575</v>
      </c>
      <c r="M7076" s="15" t="n">
        <v>0.55</v>
      </c>
      <c r="N7076" s="9" t="s">
        <v>85</v>
      </c>
    </row>
    <row r="7077" customFormat="false" ht="14.25" hidden="false" customHeight="true" outlineLevel="0" collapsed="false">
      <c r="B7077" s="9" t="s">
        <v>32</v>
      </c>
      <c r="C7077" s="9" t="n">
        <v>1185732</v>
      </c>
      <c r="D7077" s="10" t="n">
        <v>44327</v>
      </c>
      <c r="E7077" s="9" t="s">
        <v>38</v>
      </c>
      <c r="F7077" s="9" t="s">
        <v>118</v>
      </c>
      <c r="G7077" s="9" t="s">
        <v>119</v>
      </c>
      <c r="H7077" s="11" t="s">
        <v>19</v>
      </c>
      <c r="I7077" s="12" t="n">
        <v>54</v>
      </c>
      <c r="J7077" s="13" t="n">
        <v>164</v>
      </c>
      <c r="K7077" s="14" t="n">
        <f aca="false">I7077*J7077</f>
        <v>8856</v>
      </c>
      <c r="L7077" s="14" t="n">
        <f aca="false">($L$2*M7077)/100</f>
        <v>600833.25</v>
      </c>
      <c r="M7077" s="15" t="n">
        <v>0.5</v>
      </c>
      <c r="N7077" s="9" t="s">
        <v>85</v>
      </c>
    </row>
    <row r="7078" customFormat="false" ht="14.25" hidden="false" customHeight="true" outlineLevel="0" collapsed="false">
      <c r="B7078" s="9" t="s">
        <v>32</v>
      </c>
      <c r="C7078" s="9" t="n">
        <v>1185732</v>
      </c>
      <c r="D7078" s="10" t="n">
        <v>44327</v>
      </c>
      <c r="E7078" s="9" t="s">
        <v>38</v>
      </c>
      <c r="F7078" s="9" t="s">
        <v>118</v>
      </c>
      <c r="G7078" s="9" t="s">
        <v>119</v>
      </c>
      <c r="H7078" s="11" t="s">
        <v>21</v>
      </c>
      <c r="I7078" s="12" t="n">
        <v>37</v>
      </c>
      <c r="J7078" s="13" t="n">
        <v>73</v>
      </c>
      <c r="K7078" s="14" t="n">
        <f aca="false">I7078*J7078</f>
        <v>2701</v>
      </c>
      <c r="L7078" s="14" t="n">
        <f aca="false">($L$2*M7078)/100</f>
        <v>660916.575</v>
      </c>
      <c r="M7078" s="15" t="n">
        <v>0.55</v>
      </c>
      <c r="N7078" s="9" t="s">
        <v>85</v>
      </c>
    </row>
    <row r="7079" customFormat="false" ht="14.25" hidden="false" customHeight="true" outlineLevel="0" collapsed="false">
      <c r="B7079" s="9" t="s">
        <v>32</v>
      </c>
      <c r="C7079" s="9" t="n">
        <v>1185732</v>
      </c>
      <c r="D7079" s="10" t="n">
        <v>44327</v>
      </c>
      <c r="E7079" s="9" t="s">
        <v>38</v>
      </c>
      <c r="F7079" s="9" t="s">
        <v>118</v>
      </c>
      <c r="G7079" s="9" t="s">
        <v>119</v>
      </c>
      <c r="H7079" s="11" t="s">
        <v>22</v>
      </c>
      <c r="I7079" s="12" t="n">
        <v>34</v>
      </c>
      <c r="J7079" s="13" t="n">
        <v>56</v>
      </c>
      <c r="K7079" s="14" t="n">
        <f aca="false">I7079*J7079</f>
        <v>1904</v>
      </c>
      <c r="L7079" s="14" t="n">
        <f aca="false">($L$2*M7079)/100</f>
        <v>564783.255</v>
      </c>
      <c r="M7079" s="15" t="n">
        <v>0.47</v>
      </c>
      <c r="N7079" s="9" t="s">
        <v>85</v>
      </c>
    </row>
    <row r="7080" customFormat="false" ht="14.25" hidden="false" customHeight="true" outlineLevel="0" collapsed="false">
      <c r="B7080" s="9" t="s">
        <v>32</v>
      </c>
      <c r="C7080" s="9" t="n">
        <v>1185732</v>
      </c>
      <c r="D7080" s="10" t="n">
        <v>44327</v>
      </c>
      <c r="E7080" s="9" t="s">
        <v>38</v>
      </c>
      <c r="F7080" s="9" t="s">
        <v>118</v>
      </c>
      <c r="G7080" s="9" t="s">
        <v>119</v>
      </c>
      <c r="H7080" s="11" t="s">
        <v>23</v>
      </c>
      <c r="I7080" s="12" t="n">
        <v>34</v>
      </c>
      <c r="J7080" s="13" t="n">
        <v>49</v>
      </c>
      <c r="K7080" s="14" t="n">
        <f aca="false">I7080*J7080</f>
        <v>1666</v>
      </c>
      <c r="L7080" s="14" t="n">
        <f aca="false">($L$2*M7080)/100</f>
        <v>588816.585</v>
      </c>
      <c r="M7080" s="15" t="n">
        <v>0.49</v>
      </c>
      <c r="N7080" s="9" t="s">
        <v>85</v>
      </c>
    </row>
    <row r="7081" customFormat="false" ht="14.25" hidden="false" customHeight="true" outlineLevel="0" collapsed="false">
      <c r="B7081" s="9" t="s">
        <v>32</v>
      </c>
      <c r="C7081" s="9" t="n">
        <v>1185732</v>
      </c>
      <c r="D7081" s="10" t="n">
        <v>44327</v>
      </c>
      <c r="E7081" s="9" t="s">
        <v>38</v>
      </c>
      <c r="F7081" s="9" t="s">
        <v>118</v>
      </c>
      <c r="G7081" s="9" t="s">
        <v>119</v>
      </c>
      <c r="H7081" s="11" t="s">
        <v>24</v>
      </c>
      <c r="I7081" s="12" t="n">
        <v>44</v>
      </c>
      <c r="J7081" s="13" t="n">
        <v>58</v>
      </c>
      <c r="K7081" s="14" t="n">
        <f aca="false">I7081*J7081</f>
        <v>2552</v>
      </c>
      <c r="L7081" s="14" t="n">
        <f aca="false">($L$2*M7081)/100</f>
        <v>540749.925</v>
      </c>
      <c r="M7081" s="15" t="n">
        <v>0.45</v>
      </c>
      <c r="N7081" s="9" t="s">
        <v>85</v>
      </c>
    </row>
    <row r="7082" customFormat="false" ht="14.25" hidden="false" customHeight="true" outlineLevel="0" collapsed="false">
      <c r="B7082" s="9" t="s">
        <v>32</v>
      </c>
      <c r="C7082" s="9" t="n">
        <v>1185732</v>
      </c>
      <c r="D7082" s="10" t="n">
        <v>44327</v>
      </c>
      <c r="E7082" s="9" t="s">
        <v>38</v>
      </c>
      <c r="F7082" s="9" t="s">
        <v>118</v>
      </c>
      <c r="G7082" s="9" t="s">
        <v>119</v>
      </c>
      <c r="H7082" s="11" t="s">
        <v>25</v>
      </c>
      <c r="I7082" s="12" t="n">
        <v>53</v>
      </c>
      <c r="J7082" s="13" t="n">
        <v>91</v>
      </c>
      <c r="K7082" s="14" t="n">
        <f aca="false">I7082*J7082</f>
        <v>4823</v>
      </c>
      <c r="L7082" s="14" t="n">
        <f aca="false">($L$2*M7082)/100</f>
        <v>624866.58</v>
      </c>
      <c r="M7082" s="15" t="n">
        <v>0.52</v>
      </c>
      <c r="N7082" s="9" t="s">
        <v>85</v>
      </c>
    </row>
    <row r="7083" customFormat="false" ht="14.25" hidden="false" customHeight="true" outlineLevel="0" collapsed="false">
      <c r="B7083" s="9" t="s">
        <v>32</v>
      </c>
      <c r="C7083" s="9" t="n">
        <v>1185732</v>
      </c>
      <c r="D7083" s="10" t="n">
        <v>44357</v>
      </c>
      <c r="E7083" s="9" t="s">
        <v>38</v>
      </c>
      <c r="F7083" s="9" t="s">
        <v>118</v>
      </c>
      <c r="G7083" s="9" t="s">
        <v>119</v>
      </c>
      <c r="H7083" s="11" t="s">
        <v>19</v>
      </c>
      <c r="I7083" s="12" t="n">
        <v>36</v>
      </c>
      <c r="J7083" s="13" t="n">
        <v>155</v>
      </c>
      <c r="K7083" s="14" t="n">
        <f aca="false">I7083*J7083</f>
        <v>5580</v>
      </c>
      <c r="L7083" s="14" t="n">
        <f aca="false">($L$2*M7083)/100</f>
        <v>660916.575</v>
      </c>
      <c r="M7083" s="15" t="n">
        <v>0.55</v>
      </c>
      <c r="N7083" s="9" t="s">
        <v>85</v>
      </c>
    </row>
    <row r="7084" customFormat="false" ht="14.25" hidden="false" customHeight="true" outlineLevel="0" collapsed="false">
      <c r="B7084" s="9" t="s">
        <v>32</v>
      </c>
      <c r="C7084" s="9" t="n">
        <v>1185732</v>
      </c>
      <c r="D7084" s="10" t="n">
        <v>44357</v>
      </c>
      <c r="E7084" s="9" t="s">
        <v>38</v>
      </c>
      <c r="F7084" s="9" t="s">
        <v>118</v>
      </c>
      <c r="G7084" s="9" t="s">
        <v>119</v>
      </c>
      <c r="H7084" s="11" t="s">
        <v>21</v>
      </c>
      <c r="I7084" s="12" t="n">
        <v>32</v>
      </c>
      <c r="J7084" s="13" t="n">
        <v>94</v>
      </c>
      <c r="K7084" s="14" t="n">
        <f aca="false">I7084*J7084</f>
        <v>3008</v>
      </c>
      <c r="L7084" s="14" t="n">
        <f aca="false">($L$2*M7084)/100</f>
        <v>636883.245</v>
      </c>
      <c r="M7084" s="15" t="n">
        <v>0.53</v>
      </c>
      <c r="N7084" s="9" t="s">
        <v>85</v>
      </c>
    </row>
    <row r="7085" customFormat="false" ht="14.25" hidden="false" customHeight="true" outlineLevel="0" collapsed="false">
      <c r="B7085" s="9" t="s">
        <v>32</v>
      </c>
      <c r="C7085" s="9" t="n">
        <v>1185732</v>
      </c>
      <c r="D7085" s="10" t="n">
        <v>44357</v>
      </c>
      <c r="E7085" s="9" t="s">
        <v>38</v>
      </c>
      <c r="F7085" s="9" t="s">
        <v>118</v>
      </c>
      <c r="G7085" s="9" t="s">
        <v>119</v>
      </c>
      <c r="H7085" s="11" t="s">
        <v>22</v>
      </c>
      <c r="I7085" s="12" t="n">
        <v>27</v>
      </c>
      <c r="J7085" s="13" t="n">
        <v>50</v>
      </c>
      <c r="K7085" s="14" t="n">
        <f aca="false">I7085*J7085</f>
        <v>1350</v>
      </c>
      <c r="L7085" s="14" t="n">
        <f aca="false">($L$2*M7085)/100</f>
        <v>540749.925</v>
      </c>
      <c r="M7085" s="15" t="n">
        <v>0.45</v>
      </c>
      <c r="N7085" s="9" t="s">
        <v>85</v>
      </c>
    </row>
    <row r="7086" customFormat="false" ht="14.25" hidden="false" customHeight="true" outlineLevel="0" collapsed="false">
      <c r="B7086" s="9" t="s">
        <v>32</v>
      </c>
      <c r="C7086" s="9" t="n">
        <v>1185732</v>
      </c>
      <c r="D7086" s="10" t="n">
        <v>44357</v>
      </c>
      <c r="E7086" s="9" t="s">
        <v>38</v>
      </c>
      <c r="F7086" s="9" t="s">
        <v>118</v>
      </c>
      <c r="G7086" s="9" t="s">
        <v>119</v>
      </c>
      <c r="H7086" s="11" t="s">
        <v>23</v>
      </c>
      <c r="I7086" s="12" t="n">
        <v>29</v>
      </c>
      <c r="J7086" s="13" t="n">
        <v>46</v>
      </c>
      <c r="K7086" s="14" t="n">
        <f aca="false">I7086*J7086</f>
        <v>1334</v>
      </c>
      <c r="L7086" s="14" t="n">
        <f aca="false">($L$2*M7086)/100</f>
        <v>564783.255</v>
      </c>
      <c r="M7086" s="15" t="n">
        <v>0.47</v>
      </c>
      <c r="N7086" s="9" t="s">
        <v>85</v>
      </c>
    </row>
    <row r="7087" customFormat="false" ht="14.25" hidden="false" customHeight="true" outlineLevel="0" collapsed="false">
      <c r="B7087" s="9" t="s">
        <v>32</v>
      </c>
      <c r="C7087" s="9" t="n">
        <v>1185732</v>
      </c>
      <c r="D7087" s="10" t="n">
        <v>44357</v>
      </c>
      <c r="E7087" s="9" t="s">
        <v>38</v>
      </c>
      <c r="F7087" s="9" t="s">
        <v>118</v>
      </c>
      <c r="G7087" s="9" t="s">
        <v>119</v>
      </c>
      <c r="H7087" s="11" t="s">
        <v>24</v>
      </c>
      <c r="I7087" s="12" t="n">
        <v>36</v>
      </c>
      <c r="J7087" s="13" t="n">
        <v>53</v>
      </c>
      <c r="K7087" s="14" t="n">
        <f aca="false">I7087*J7087</f>
        <v>1908</v>
      </c>
      <c r="L7087" s="14" t="n">
        <f aca="false">($L$2*M7087)/100</f>
        <v>540749.925</v>
      </c>
      <c r="M7087" s="15" t="n">
        <v>0.45</v>
      </c>
      <c r="N7087" s="9" t="s">
        <v>85</v>
      </c>
    </row>
    <row r="7088" customFormat="false" ht="14.25" hidden="false" customHeight="true" outlineLevel="0" collapsed="false">
      <c r="B7088" s="9" t="s">
        <v>32</v>
      </c>
      <c r="C7088" s="9" t="n">
        <v>1185732</v>
      </c>
      <c r="D7088" s="10" t="n">
        <v>44357</v>
      </c>
      <c r="E7088" s="9" t="s">
        <v>38</v>
      </c>
      <c r="F7088" s="9" t="s">
        <v>118</v>
      </c>
      <c r="G7088" s="9" t="s">
        <v>119</v>
      </c>
      <c r="H7088" s="11" t="s">
        <v>25</v>
      </c>
      <c r="I7088" s="12" t="n">
        <v>56</v>
      </c>
      <c r="J7088" s="13" t="n">
        <v>91</v>
      </c>
      <c r="K7088" s="14" t="n">
        <f aca="false">I7088*J7088</f>
        <v>5096</v>
      </c>
      <c r="L7088" s="14" t="n">
        <f aca="false">($L$2*M7088)/100</f>
        <v>612849.915</v>
      </c>
      <c r="M7088" s="15" t="n">
        <v>0.51</v>
      </c>
      <c r="N7088" s="9" t="s">
        <v>85</v>
      </c>
    </row>
    <row r="7089" customFormat="false" ht="14.25" hidden="false" customHeight="true" outlineLevel="0" collapsed="false">
      <c r="B7089" s="9" t="s">
        <v>32</v>
      </c>
      <c r="C7089" s="9" t="n">
        <v>1185732</v>
      </c>
      <c r="D7089" s="10" t="n">
        <v>44386</v>
      </c>
      <c r="E7089" s="9" t="s">
        <v>38</v>
      </c>
      <c r="F7089" s="9" t="s">
        <v>118</v>
      </c>
      <c r="G7089" s="9" t="s">
        <v>119</v>
      </c>
      <c r="H7089" s="11" t="s">
        <v>19</v>
      </c>
      <c r="I7089" s="12" t="n">
        <v>51</v>
      </c>
      <c r="J7089" s="13" t="n">
        <v>149</v>
      </c>
      <c r="K7089" s="14" t="n">
        <f aca="false">I7089*J7089</f>
        <v>7599</v>
      </c>
      <c r="L7089" s="14" t="n">
        <f aca="false">($L$2*M7089)/100</f>
        <v>636883.245</v>
      </c>
      <c r="M7089" s="15" t="n">
        <v>0.53</v>
      </c>
      <c r="N7089" s="9" t="s">
        <v>85</v>
      </c>
    </row>
    <row r="7090" customFormat="false" ht="14.25" hidden="false" customHeight="true" outlineLevel="0" collapsed="false">
      <c r="B7090" s="9" t="s">
        <v>32</v>
      </c>
      <c r="C7090" s="9" t="n">
        <v>1185732</v>
      </c>
      <c r="D7090" s="10" t="n">
        <v>44386</v>
      </c>
      <c r="E7090" s="9" t="s">
        <v>38</v>
      </c>
      <c r="F7090" s="9" t="s">
        <v>118</v>
      </c>
      <c r="G7090" s="9" t="s">
        <v>119</v>
      </c>
      <c r="H7090" s="11" t="s">
        <v>21</v>
      </c>
      <c r="I7090" s="12" t="n">
        <v>49</v>
      </c>
      <c r="J7090" s="13" t="n">
        <v>84</v>
      </c>
      <c r="K7090" s="14" t="n">
        <f aca="false">I7090*J7090</f>
        <v>4116</v>
      </c>
      <c r="L7090" s="14" t="n">
        <f aca="false">($L$2*M7090)/100</f>
        <v>600833.25</v>
      </c>
      <c r="M7090" s="15" t="n">
        <v>0.5</v>
      </c>
      <c r="N7090" s="9" t="s">
        <v>85</v>
      </c>
    </row>
    <row r="7091" customFormat="false" ht="14.25" hidden="false" customHeight="true" outlineLevel="0" collapsed="false">
      <c r="B7091" s="9" t="s">
        <v>32</v>
      </c>
      <c r="C7091" s="9" t="n">
        <v>1185732</v>
      </c>
      <c r="D7091" s="10" t="n">
        <v>44386</v>
      </c>
      <c r="E7091" s="9" t="s">
        <v>38</v>
      </c>
      <c r="F7091" s="9" t="s">
        <v>118</v>
      </c>
      <c r="G7091" s="9" t="s">
        <v>119</v>
      </c>
      <c r="H7091" s="11" t="s">
        <v>22</v>
      </c>
      <c r="I7091" s="12" t="n">
        <v>42</v>
      </c>
      <c r="J7091" s="13" t="n">
        <v>68</v>
      </c>
      <c r="K7091" s="14" t="n">
        <f aca="false">I7091*J7091</f>
        <v>2856</v>
      </c>
      <c r="L7091" s="14" t="n">
        <f aca="false">($L$2*M7091)/100</f>
        <v>540749.925</v>
      </c>
      <c r="M7091" s="15" t="n">
        <v>0.45</v>
      </c>
      <c r="N7091" s="9" t="s">
        <v>85</v>
      </c>
    </row>
    <row r="7092" customFormat="false" ht="14.25" hidden="false" customHeight="true" outlineLevel="0" collapsed="false">
      <c r="B7092" s="9" t="s">
        <v>32</v>
      </c>
      <c r="C7092" s="9" t="n">
        <v>1185732</v>
      </c>
      <c r="D7092" s="10" t="n">
        <v>44386</v>
      </c>
      <c r="E7092" s="9" t="s">
        <v>38</v>
      </c>
      <c r="F7092" s="9" t="s">
        <v>118</v>
      </c>
      <c r="G7092" s="9" t="s">
        <v>119</v>
      </c>
      <c r="H7092" s="11" t="s">
        <v>23</v>
      </c>
      <c r="I7092" s="12" t="n">
        <v>42</v>
      </c>
      <c r="J7092" s="13" t="n">
        <v>49</v>
      </c>
      <c r="K7092" s="14" t="n">
        <f aca="false">I7092*J7092</f>
        <v>2058</v>
      </c>
      <c r="L7092" s="14" t="n">
        <f aca="false">($L$2*M7092)/100</f>
        <v>564783.255</v>
      </c>
      <c r="M7092" s="15" t="n">
        <v>0.47</v>
      </c>
      <c r="N7092" s="9" t="s">
        <v>85</v>
      </c>
    </row>
    <row r="7093" customFormat="false" ht="14.25" hidden="false" customHeight="true" outlineLevel="0" collapsed="false">
      <c r="B7093" s="9" t="s">
        <v>32</v>
      </c>
      <c r="C7093" s="9" t="n">
        <v>1185732</v>
      </c>
      <c r="D7093" s="10" t="n">
        <v>44386</v>
      </c>
      <c r="E7093" s="9" t="s">
        <v>38</v>
      </c>
      <c r="F7093" s="9" t="s">
        <v>118</v>
      </c>
      <c r="G7093" s="9" t="s">
        <v>119</v>
      </c>
      <c r="H7093" s="11" t="s">
        <v>24</v>
      </c>
      <c r="I7093" s="12" t="n">
        <v>51</v>
      </c>
      <c r="J7093" s="13" t="n">
        <v>50</v>
      </c>
      <c r="K7093" s="14" t="n">
        <f aca="false">I7093*J7093</f>
        <v>2550</v>
      </c>
      <c r="L7093" s="14" t="n">
        <f aca="false">($L$2*M7093)/100</f>
        <v>504699.93</v>
      </c>
      <c r="M7093" s="15" t="n">
        <v>0.42</v>
      </c>
      <c r="N7093" s="9" t="s">
        <v>85</v>
      </c>
    </row>
    <row r="7094" customFormat="false" ht="14.25" hidden="false" customHeight="true" outlineLevel="0" collapsed="false">
      <c r="B7094" s="9" t="s">
        <v>32</v>
      </c>
      <c r="C7094" s="9" t="n">
        <v>1185732</v>
      </c>
      <c r="D7094" s="10" t="n">
        <v>44386</v>
      </c>
      <c r="E7094" s="9" t="s">
        <v>38</v>
      </c>
      <c r="F7094" s="9" t="s">
        <v>118</v>
      </c>
      <c r="G7094" s="9" t="s">
        <v>119</v>
      </c>
      <c r="H7094" s="11" t="s">
        <v>25</v>
      </c>
      <c r="I7094" s="12" t="n">
        <v>54</v>
      </c>
      <c r="J7094" s="13" t="n">
        <v>101</v>
      </c>
      <c r="K7094" s="14" t="n">
        <f aca="false">I7094*J7094</f>
        <v>5454</v>
      </c>
      <c r="L7094" s="14" t="n">
        <f aca="false">($L$2*M7094)/100</f>
        <v>612849.915</v>
      </c>
      <c r="M7094" s="15" t="n">
        <v>0.51</v>
      </c>
      <c r="N7094" s="9" t="s">
        <v>85</v>
      </c>
    </row>
    <row r="7095" customFormat="false" ht="14.25" hidden="false" customHeight="true" outlineLevel="0" collapsed="false">
      <c r="B7095" s="9" t="s">
        <v>32</v>
      </c>
      <c r="C7095" s="9" t="n">
        <v>1185732</v>
      </c>
      <c r="D7095" s="10" t="n">
        <v>44418</v>
      </c>
      <c r="E7095" s="9" t="s">
        <v>38</v>
      </c>
      <c r="F7095" s="9" t="s">
        <v>118</v>
      </c>
      <c r="G7095" s="9" t="s">
        <v>119</v>
      </c>
      <c r="H7095" s="11" t="s">
        <v>19</v>
      </c>
      <c r="I7095" s="12" t="n">
        <v>47</v>
      </c>
      <c r="J7095" s="13" t="n">
        <v>152</v>
      </c>
      <c r="K7095" s="14" t="n">
        <f aca="false">I7095*J7095</f>
        <v>7144</v>
      </c>
      <c r="L7095" s="14" t="n">
        <f aca="false">($L$2*M7095)/100</f>
        <v>660916.575</v>
      </c>
      <c r="M7095" s="15" t="n">
        <v>0.55</v>
      </c>
      <c r="N7095" s="9" t="s">
        <v>85</v>
      </c>
    </row>
    <row r="7096" customFormat="false" ht="14.25" hidden="false" customHeight="true" outlineLevel="0" collapsed="false">
      <c r="B7096" s="9" t="s">
        <v>32</v>
      </c>
      <c r="C7096" s="9" t="n">
        <v>1185732</v>
      </c>
      <c r="D7096" s="10" t="n">
        <v>44418</v>
      </c>
      <c r="E7096" s="9" t="s">
        <v>38</v>
      </c>
      <c r="F7096" s="9" t="s">
        <v>118</v>
      </c>
      <c r="G7096" s="9" t="s">
        <v>119</v>
      </c>
      <c r="H7096" s="11" t="s">
        <v>21</v>
      </c>
      <c r="I7096" s="12" t="n">
        <v>41</v>
      </c>
      <c r="J7096" s="13" t="n">
        <v>87</v>
      </c>
      <c r="K7096" s="14" t="n">
        <f aca="false">I7096*J7096</f>
        <v>3567</v>
      </c>
      <c r="L7096" s="14" t="n">
        <f aca="false">($L$2*M7096)/100</f>
        <v>648899.91</v>
      </c>
      <c r="M7096" s="15" t="n">
        <v>0.54</v>
      </c>
      <c r="N7096" s="9" t="s">
        <v>85</v>
      </c>
    </row>
    <row r="7097" customFormat="false" ht="14.25" hidden="false" customHeight="true" outlineLevel="0" collapsed="false">
      <c r="B7097" s="9" t="s">
        <v>32</v>
      </c>
      <c r="C7097" s="9" t="n">
        <v>1185732</v>
      </c>
      <c r="D7097" s="10" t="n">
        <v>44418</v>
      </c>
      <c r="E7097" s="9" t="s">
        <v>38</v>
      </c>
      <c r="F7097" s="9" t="s">
        <v>118</v>
      </c>
      <c r="G7097" s="9" t="s">
        <v>119</v>
      </c>
      <c r="H7097" s="11" t="s">
        <v>22</v>
      </c>
      <c r="I7097" s="12" t="n">
        <v>37</v>
      </c>
      <c r="J7097" s="13" t="n">
        <v>56</v>
      </c>
      <c r="K7097" s="14" t="n">
        <f aca="false">I7097*J7097</f>
        <v>2072</v>
      </c>
      <c r="L7097" s="14" t="n">
        <f aca="false">($L$2*M7097)/100</f>
        <v>564783.255</v>
      </c>
      <c r="M7097" s="15" t="n">
        <v>0.47</v>
      </c>
      <c r="N7097" s="9" t="s">
        <v>85</v>
      </c>
    </row>
    <row r="7098" customFormat="false" ht="14.25" hidden="false" customHeight="true" outlineLevel="0" collapsed="false">
      <c r="B7098" s="9" t="s">
        <v>32</v>
      </c>
      <c r="C7098" s="9" t="n">
        <v>1185732</v>
      </c>
      <c r="D7098" s="10" t="n">
        <v>44418</v>
      </c>
      <c r="E7098" s="9" t="s">
        <v>38</v>
      </c>
      <c r="F7098" s="9" t="s">
        <v>118</v>
      </c>
      <c r="G7098" s="9" t="s">
        <v>119</v>
      </c>
      <c r="H7098" s="11" t="s">
        <v>23</v>
      </c>
      <c r="I7098" s="12" t="n">
        <v>38</v>
      </c>
      <c r="J7098" s="13" t="n">
        <v>60</v>
      </c>
      <c r="K7098" s="14" t="n">
        <f aca="false">I7098*J7098</f>
        <v>2280</v>
      </c>
      <c r="L7098" s="14" t="n">
        <f aca="false">($L$2*M7098)/100</f>
        <v>564783.255</v>
      </c>
      <c r="M7098" s="15" t="n">
        <v>0.47</v>
      </c>
      <c r="N7098" s="9" t="s">
        <v>85</v>
      </c>
    </row>
    <row r="7099" customFormat="false" ht="14.25" hidden="false" customHeight="true" outlineLevel="0" collapsed="false">
      <c r="B7099" s="9" t="s">
        <v>32</v>
      </c>
      <c r="C7099" s="9" t="n">
        <v>1185732</v>
      </c>
      <c r="D7099" s="10" t="n">
        <v>44418</v>
      </c>
      <c r="E7099" s="9" t="s">
        <v>38</v>
      </c>
      <c r="F7099" s="9" t="s">
        <v>118</v>
      </c>
      <c r="G7099" s="9" t="s">
        <v>119</v>
      </c>
      <c r="H7099" s="11" t="s">
        <v>24</v>
      </c>
      <c r="I7099" s="12" t="n">
        <v>47</v>
      </c>
      <c r="J7099" s="13" t="n">
        <v>53</v>
      </c>
      <c r="K7099" s="14" t="n">
        <f aca="false">I7099*J7099</f>
        <v>2491</v>
      </c>
      <c r="L7099" s="14" t="n">
        <f aca="false">($L$2*M7099)/100</f>
        <v>540749.925</v>
      </c>
      <c r="M7099" s="15" t="n">
        <v>0.45</v>
      </c>
      <c r="N7099" s="9" t="s">
        <v>85</v>
      </c>
    </row>
    <row r="7100" customFormat="false" ht="14.25" hidden="false" customHeight="true" outlineLevel="0" collapsed="false">
      <c r="B7100" s="9" t="s">
        <v>32</v>
      </c>
      <c r="C7100" s="9" t="n">
        <v>1185732</v>
      </c>
      <c r="D7100" s="10" t="n">
        <v>44418</v>
      </c>
      <c r="E7100" s="9" t="s">
        <v>38</v>
      </c>
      <c r="F7100" s="9" t="s">
        <v>118</v>
      </c>
      <c r="G7100" s="9" t="s">
        <v>119</v>
      </c>
      <c r="H7100" s="11" t="s">
        <v>25</v>
      </c>
      <c r="I7100" s="12" t="n">
        <v>54</v>
      </c>
      <c r="J7100" s="13" t="n">
        <v>91</v>
      </c>
      <c r="K7100" s="14" t="n">
        <f aca="false">I7100*J7100</f>
        <v>4914</v>
      </c>
      <c r="L7100" s="14" t="n">
        <f aca="false">($L$2*M7100)/100</f>
        <v>636883.245</v>
      </c>
      <c r="M7100" s="15" t="n">
        <v>0.53</v>
      </c>
      <c r="N7100" s="9" t="s">
        <v>85</v>
      </c>
    </row>
    <row r="7101" customFormat="false" ht="14.25" hidden="false" customHeight="true" outlineLevel="0" collapsed="false">
      <c r="B7101" s="9" t="s">
        <v>32</v>
      </c>
      <c r="C7101" s="9" t="n">
        <v>1185732</v>
      </c>
      <c r="D7101" s="10" t="n">
        <v>44450</v>
      </c>
      <c r="E7101" s="9" t="s">
        <v>38</v>
      </c>
      <c r="F7101" s="9" t="s">
        <v>118</v>
      </c>
      <c r="G7101" s="9" t="s">
        <v>119</v>
      </c>
      <c r="H7101" s="11" t="s">
        <v>19</v>
      </c>
      <c r="I7101" s="12" t="n">
        <v>33</v>
      </c>
      <c r="J7101" s="13" t="n">
        <v>133</v>
      </c>
      <c r="K7101" s="14" t="n">
        <f aca="false">I7101*J7101</f>
        <v>4389</v>
      </c>
      <c r="L7101" s="14" t="n">
        <f aca="false">($L$2*M7101)/100</f>
        <v>648899.91</v>
      </c>
      <c r="M7101" s="15" t="n">
        <v>0.54</v>
      </c>
      <c r="N7101" s="9" t="s">
        <v>85</v>
      </c>
    </row>
    <row r="7102" customFormat="false" ht="14.25" hidden="false" customHeight="true" outlineLevel="0" collapsed="false">
      <c r="B7102" s="9" t="s">
        <v>32</v>
      </c>
      <c r="C7102" s="9" t="n">
        <v>1185732</v>
      </c>
      <c r="D7102" s="10" t="n">
        <v>44450</v>
      </c>
      <c r="E7102" s="9" t="s">
        <v>38</v>
      </c>
      <c r="F7102" s="9" t="s">
        <v>118</v>
      </c>
      <c r="G7102" s="9" t="s">
        <v>119</v>
      </c>
      <c r="H7102" s="11" t="s">
        <v>21</v>
      </c>
      <c r="I7102" s="12" t="n">
        <v>29</v>
      </c>
      <c r="J7102" s="13" t="n">
        <v>74</v>
      </c>
      <c r="K7102" s="14" t="n">
        <f aca="false">I7102*J7102</f>
        <v>2146</v>
      </c>
      <c r="L7102" s="14" t="n">
        <f aca="false">($L$2*M7102)/100</f>
        <v>600833.25</v>
      </c>
      <c r="M7102" s="15" t="n">
        <v>0.5</v>
      </c>
      <c r="N7102" s="9" t="s">
        <v>85</v>
      </c>
    </row>
    <row r="7103" customFormat="false" ht="14.25" hidden="false" customHeight="true" outlineLevel="0" collapsed="false">
      <c r="B7103" s="9" t="s">
        <v>32</v>
      </c>
      <c r="C7103" s="9" t="n">
        <v>1185732</v>
      </c>
      <c r="D7103" s="10" t="n">
        <v>44450</v>
      </c>
      <c r="E7103" s="9" t="s">
        <v>38</v>
      </c>
      <c r="F7103" s="9" t="s">
        <v>118</v>
      </c>
      <c r="G7103" s="9" t="s">
        <v>119</v>
      </c>
      <c r="H7103" s="11" t="s">
        <v>22</v>
      </c>
      <c r="I7103" s="12" t="n">
        <v>23</v>
      </c>
      <c r="J7103" s="13" t="n">
        <v>49</v>
      </c>
      <c r="K7103" s="14" t="n">
        <f aca="false">I7103*J7103</f>
        <v>1127</v>
      </c>
      <c r="L7103" s="14" t="n">
        <f aca="false">($L$2*M7103)/100</f>
        <v>564783.255</v>
      </c>
      <c r="M7103" s="15" t="n">
        <v>0.47</v>
      </c>
      <c r="N7103" s="9" t="s">
        <v>85</v>
      </c>
    </row>
    <row r="7104" customFormat="false" ht="14.25" hidden="false" customHeight="true" outlineLevel="0" collapsed="false">
      <c r="B7104" s="9" t="s">
        <v>32</v>
      </c>
      <c r="C7104" s="9" t="n">
        <v>1185732</v>
      </c>
      <c r="D7104" s="10" t="n">
        <v>44450</v>
      </c>
      <c r="E7104" s="9" t="s">
        <v>38</v>
      </c>
      <c r="F7104" s="9" t="s">
        <v>118</v>
      </c>
      <c r="G7104" s="9" t="s">
        <v>119</v>
      </c>
      <c r="H7104" s="11" t="s">
        <v>23</v>
      </c>
      <c r="I7104" s="12" t="n">
        <v>24</v>
      </c>
      <c r="J7104" s="13" t="n">
        <v>41</v>
      </c>
      <c r="K7104" s="14" t="n">
        <f aca="false">I7104*J7104</f>
        <v>984</v>
      </c>
      <c r="L7104" s="14" t="n">
        <f aca="false">($L$2*M7104)/100</f>
        <v>564783.255</v>
      </c>
      <c r="M7104" s="15" t="n">
        <v>0.47</v>
      </c>
      <c r="N7104" s="9" t="s">
        <v>85</v>
      </c>
    </row>
    <row r="7105" customFormat="false" ht="14.25" hidden="false" customHeight="true" outlineLevel="0" collapsed="false">
      <c r="B7105" s="9" t="s">
        <v>32</v>
      </c>
      <c r="C7105" s="9" t="n">
        <v>1185732</v>
      </c>
      <c r="D7105" s="10" t="n">
        <v>44450</v>
      </c>
      <c r="E7105" s="9" t="s">
        <v>38</v>
      </c>
      <c r="F7105" s="9" t="s">
        <v>118</v>
      </c>
      <c r="G7105" s="9" t="s">
        <v>119</v>
      </c>
      <c r="H7105" s="11" t="s">
        <v>24</v>
      </c>
      <c r="I7105" s="12" t="n">
        <v>33</v>
      </c>
      <c r="J7105" s="13" t="n">
        <v>42</v>
      </c>
      <c r="K7105" s="14" t="n">
        <f aca="false">I7105*J7105</f>
        <v>1386</v>
      </c>
      <c r="L7105" s="14" t="n">
        <f aca="false">($L$2*M7105)/100</f>
        <v>480666.6</v>
      </c>
      <c r="M7105" s="15" t="n">
        <v>0.4</v>
      </c>
      <c r="N7105" s="9" t="s">
        <v>85</v>
      </c>
    </row>
    <row r="7106" customFormat="false" ht="14.25" hidden="false" customHeight="true" outlineLevel="0" collapsed="false">
      <c r="B7106" s="9" t="s">
        <v>32</v>
      </c>
      <c r="C7106" s="9" t="n">
        <v>1185732</v>
      </c>
      <c r="D7106" s="10" t="n">
        <v>44450</v>
      </c>
      <c r="E7106" s="9" t="s">
        <v>38</v>
      </c>
      <c r="F7106" s="9" t="s">
        <v>118</v>
      </c>
      <c r="G7106" s="9" t="s">
        <v>119</v>
      </c>
      <c r="H7106" s="11" t="s">
        <v>25</v>
      </c>
      <c r="I7106" s="12" t="n">
        <v>36</v>
      </c>
      <c r="J7106" s="13" t="n">
        <v>68</v>
      </c>
      <c r="K7106" s="14" t="n">
        <f aca="false">I7106*J7106</f>
        <v>2448</v>
      </c>
      <c r="L7106" s="14" t="n">
        <f aca="false">($L$2*M7106)/100</f>
        <v>624866.58</v>
      </c>
      <c r="M7106" s="15" t="n">
        <v>0.52</v>
      </c>
      <c r="N7106" s="9" t="s">
        <v>85</v>
      </c>
    </row>
    <row r="7107" customFormat="false" ht="14.25" hidden="false" customHeight="true" outlineLevel="0" collapsed="false">
      <c r="B7107" s="9" t="s">
        <v>32</v>
      </c>
      <c r="C7107" s="9" t="n">
        <v>1185732</v>
      </c>
      <c r="D7107" s="10" t="n">
        <v>44479</v>
      </c>
      <c r="E7107" s="9" t="s">
        <v>38</v>
      </c>
      <c r="F7107" s="9" t="s">
        <v>118</v>
      </c>
      <c r="G7107" s="9" t="s">
        <v>119</v>
      </c>
      <c r="H7107" s="11" t="s">
        <v>19</v>
      </c>
      <c r="I7107" s="12" t="n">
        <v>41</v>
      </c>
      <c r="J7107" s="13" t="n">
        <v>116</v>
      </c>
      <c r="K7107" s="14" t="n">
        <f aca="false">I7107*J7107</f>
        <v>4756</v>
      </c>
      <c r="L7107" s="14" t="n">
        <f aca="false">($L$2*M7107)/100</f>
        <v>636883.245</v>
      </c>
      <c r="M7107" s="15" t="n">
        <v>0.53</v>
      </c>
      <c r="N7107" s="9" t="s">
        <v>85</v>
      </c>
    </row>
    <row r="7108" customFormat="false" ht="14.25" hidden="false" customHeight="true" outlineLevel="0" collapsed="false">
      <c r="B7108" s="9" t="s">
        <v>32</v>
      </c>
      <c r="C7108" s="9" t="n">
        <v>1185732</v>
      </c>
      <c r="D7108" s="10" t="n">
        <v>44479</v>
      </c>
      <c r="E7108" s="9" t="s">
        <v>38</v>
      </c>
      <c r="F7108" s="9" t="s">
        <v>118</v>
      </c>
      <c r="G7108" s="9" t="s">
        <v>119</v>
      </c>
      <c r="H7108" s="11" t="s">
        <v>21</v>
      </c>
      <c r="I7108" s="12" t="n">
        <v>32</v>
      </c>
      <c r="J7108" s="13" t="n">
        <v>65</v>
      </c>
      <c r="K7108" s="14" t="n">
        <f aca="false">I7108*J7108</f>
        <v>2080</v>
      </c>
      <c r="L7108" s="14" t="n">
        <f aca="false">($L$2*M7108)/100</f>
        <v>660916.575</v>
      </c>
      <c r="M7108" s="15" t="n">
        <v>0.55</v>
      </c>
      <c r="N7108" s="9" t="s">
        <v>85</v>
      </c>
    </row>
    <row r="7109" customFormat="false" ht="14.25" hidden="false" customHeight="true" outlineLevel="0" collapsed="false">
      <c r="B7109" s="9" t="s">
        <v>32</v>
      </c>
      <c r="C7109" s="9" t="n">
        <v>1185732</v>
      </c>
      <c r="D7109" s="10" t="n">
        <v>44479</v>
      </c>
      <c r="E7109" s="9" t="s">
        <v>38</v>
      </c>
      <c r="F7109" s="9" t="s">
        <v>118</v>
      </c>
      <c r="G7109" s="9" t="s">
        <v>119</v>
      </c>
      <c r="H7109" s="11" t="s">
        <v>22</v>
      </c>
      <c r="I7109" s="12" t="n">
        <v>32</v>
      </c>
      <c r="J7109" s="13" t="n">
        <v>38</v>
      </c>
      <c r="K7109" s="14" t="n">
        <f aca="false">I7109*J7109</f>
        <v>1216</v>
      </c>
      <c r="L7109" s="14" t="n">
        <f aca="false">($L$2*M7109)/100</f>
        <v>564783.255</v>
      </c>
      <c r="M7109" s="15" t="n">
        <v>0.47</v>
      </c>
      <c r="N7109" s="9" t="s">
        <v>85</v>
      </c>
    </row>
    <row r="7110" customFormat="false" ht="14.25" hidden="false" customHeight="true" outlineLevel="0" collapsed="false">
      <c r="B7110" s="9" t="s">
        <v>32</v>
      </c>
      <c r="C7110" s="9" t="n">
        <v>1185732</v>
      </c>
      <c r="D7110" s="10" t="n">
        <v>44479</v>
      </c>
      <c r="E7110" s="9" t="s">
        <v>38</v>
      </c>
      <c r="F7110" s="9" t="s">
        <v>118</v>
      </c>
      <c r="G7110" s="9" t="s">
        <v>119</v>
      </c>
      <c r="H7110" s="11" t="s">
        <v>23</v>
      </c>
      <c r="I7110" s="12" t="n">
        <v>33</v>
      </c>
      <c r="J7110" s="13" t="n">
        <v>44</v>
      </c>
      <c r="K7110" s="14" t="n">
        <f aca="false">I7110*J7110</f>
        <v>1452</v>
      </c>
      <c r="L7110" s="14" t="n">
        <f aca="false">($L$2*M7110)/100</f>
        <v>552766.59</v>
      </c>
      <c r="M7110" s="15" t="n">
        <v>0.46</v>
      </c>
      <c r="N7110" s="9" t="s">
        <v>85</v>
      </c>
    </row>
    <row r="7111" customFormat="false" ht="14.25" hidden="false" customHeight="true" outlineLevel="0" collapsed="false">
      <c r="B7111" s="9" t="s">
        <v>32</v>
      </c>
      <c r="C7111" s="9" t="n">
        <v>1185732</v>
      </c>
      <c r="D7111" s="10" t="n">
        <v>44479</v>
      </c>
      <c r="E7111" s="9" t="s">
        <v>38</v>
      </c>
      <c r="F7111" s="9" t="s">
        <v>118</v>
      </c>
      <c r="G7111" s="9" t="s">
        <v>119</v>
      </c>
      <c r="H7111" s="11" t="s">
        <v>24</v>
      </c>
      <c r="I7111" s="12" t="n">
        <v>41</v>
      </c>
      <c r="J7111" s="13" t="n">
        <v>38</v>
      </c>
      <c r="K7111" s="14" t="n">
        <f aca="false">I7111*J7111</f>
        <v>1558</v>
      </c>
      <c r="L7111" s="14" t="n">
        <f aca="false">($L$2*M7111)/100</f>
        <v>528733.26</v>
      </c>
      <c r="M7111" s="15" t="n">
        <v>0.44</v>
      </c>
      <c r="N7111" s="9" t="s">
        <v>85</v>
      </c>
    </row>
    <row r="7112" customFormat="false" ht="14.25" hidden="false" customHeight="true" outlineLevel="0" collapsed="false">
      <c r="B7112" s="9" t="s">
        <v>32</v>
      </c>
      <c r="C7112" s="9" t="n">
        <v>1185732</v>
      </c>
      <c r="D7112" s="10" t="n">
        <v>44479</v>
      </c>
      <c r="E7112" s="9" t="s">
        <v>38</v>
      </c>
      <c r="F7112" s="9" t="s">
        <v>118</v>
      </c>
      <c r="G7112" s="9" t="s">
        <v>119</v>
      </c>
      <c r="H7112" s="11" t="s">
        <v>25</v>
      </c>
      <c r="I7112" s="12" t="n">
        <v>48</v>
      </c>
      <c r="J7112" s="13" t="n">
        <v>83</v>
      </c>
      <c r="K7112" s="14" t="n">
        <f aca="false">I7112*J7112</f>
        <v>3984</v>
      </c>
      <c r="L7112" s="14" t="n">
        <f aca="false">($L$2*M7112)/100</f>
        <v>636883.245</v>
      </c>
      <c r="M7112" s="15" t="n">
        <v>0.53</v>
      </c>
      <c r="N7112" s="9" t="s">
        <v>85</v>
      </c>
    </row>
    <row r="7113" customFormat="false" ht="14.25" hidden="false" customHeight="true" outlineLevel="0" collapsed="false">
      <c r="B7113" s="9" t="s">
        <v>32</v>
      </c>
      <c r="C7113" s="9" t="n">
        <v>1185732</v>
      </c>
      <c r="D7113" s="10" t="n">
        <v>44510</v>
      </c>
      <c r="E7113" s="9" t="s">
        <v>38</v>
      </c>
      <c r="F7113" s="9" t="s">
        <v>118</v>
      </c>
      <c r="G7113" s="9" t="s">
        <v>119</v>
      </c>
      <c r="H7113" s="11" t="s">
        <v>19</v>
      </c>
      <c r="I7113" s="12" t="n">
        <v>41</v>
      </c>
      <c r="J7113" s="13" t="n">
        <v>123</v>
      </c>
      <c r="K7113" s="14" t="n">
        <f aca="false">I7113*J7113</f>
        <v>5043</v>
      </c>
      <c r="L7113" s="14" t="n">
        <f aca="false">($L$2*M7113)/100</f>
        <v>612849.915</v>
      </c>
      <c r="M7113" s="15" t="n">
        <v>0.51</v>
      </c>
      <c r="N7113" s="9" t="s">
        <v>85</v>
      </c>
    </row>
    <row r="7114" customFormat="false" ht="14.25" hidden="false" customHeight="true" outlineLevel="0" collapsed="false">
      <c r="B7114" s="9" t="s">
        <v>32</v>
      </c>
      <c r="C7114" s="9" t="n">
        <v>1185732</v>
      </c>
      <c r="D7114" s="10" t="n">
        <v>44510</v>
      </c>
      <c r="E7114" s="9" t="s">
        <v>38</v>
      </c>
      <c r="F7114" s="9" t="s">
        <v>118</v>
      </c>
      <c r="G7114" s="9" t="s">
        <v>119</v>
      </c>
      <c r="H7114" s="11" t="s">
        <v>21</v>
      </c>
      <c r="I7114" s="12" t="n">
        <v>33</v>
      </c>
      <c r="J7114" s="13" t="n">
        <v>98</v>
      </c>
      <c r="K7114" s="14" t="n">
        <f aca="false">I7114*J7114</f>
        <v>3234</v>
      </c>
      <c r="L7114" s="14" t="n">
        <f aca="false">($L$2*M7114)/100</f>
        <v>660916.575</v>
      </c>
      <c r="M7114" s="15" t="n">
        <v>0.55</v>
      </c>
      <c r="N7114" s="9" t="s">
        <v>85</v>
      </c>
    </row>
    <row r="7115" customFormat="false" ht="14.25" hidden="false" customHeight="true" outlineLevel="0" collapsed="false">
      <c r="B7115" s="9" t="s">
        <v>32</v>
      </c>
      <c r="C7115" s="9" t="n">
        <v>1185732</v>
      </c>
      <c r="D7115" s="10" t="n">
        <v>44510</v>
      </c>
      <c r="E7115" s="9" t="s">
        <v>38</v>
      </c>
      <c r="F7115" s="9" t="s">
        <v>118</v>
      </c>
      <c r="G7115" s="9" t="s">
        <v>119</v>
      </c>
      <c r="H7115" s="11" t="s">
        <v>22</v>
      </c>
      <c r="I7115" s="12" t="n">
        <v>32</v>
      </c>
      <c r="J7115" s="13" t="n">
        <v>81</v>
      </c>
      <c r="K7115" s="14" t="n">
        <f aca="false">I7115*J7115</f>
        <v>2592</v>
      </c>
      <c r="L7115" s="14" t="n">
        <f aca="false">($L$2*M7115)/100</f>
        <v>576799.92</v>
      </c>
      <c r="M7115" s="15" t="n">
        <v>0.48</v>
      </c>
      <c r="N7115" s="9" t="s">
        <v>85</v>
      </c>
    </row>
    <row r="7116" customFormat="false" ht="14.25" hidden="false" customHeight="true" outlineLevel="0" collapsed="false">
      <c r="B7116" s="9" t="s">
        <v>32</v>
      </c>
      <c r="C7116" s="9" t="n">
        <v>1185732</v>
      </c>
      <c r="D7116" s="10" t="n">
        <v>44510</v>
      </c>
      <c r="E7116" s="9" t="s">
        <v>38</v>
      </c>
      <c r="F7116" s="9" t="s">
        <v>118</v>
      </c>
      <c r="G7116" s="9" t="s">
        <v>119</v>
      </c>
      <c r="H7116" s="11" t="s">
        <v>23</v>
      </c>
      <c r="I7116" s="12" t="n">
        <v>34</v>
      </c>
      <c r="J7116" s="13" t="n">
        <v>83</v>
      </c>
      <c r="K7116" s="14" t="n">
        <f aca="false">I7116*J7116</f>
        <v>2822</v>
      </c>
      <c r="L7116" s="14" t="n">
        <f aca="false">($L$2*M7116)/100</f>
        <v>600833.25</v>
      </c>
      <c r="M7116" s="15" t="n">
        <v>0.5</v>
      </c>
      <c r="N7116" s="9" t="s">
        <v>85</v>
      </c>
    </row>
    <row r="7117" customFormat="false" ht="14.25" hidden="false" customHeight="true" outlineLevel="0" collapsed="false">
      <c r="B7117" s="9" t="s">
        <v>32</v>
      </c>
      <c r="C7117" s="9" t="n">
        <v>1185732</v>
      </c>
      <c r="D7117" s="10" t="n">
        <v>44510</v>
      </c>
      <c r="E7117" s="9" t="s">
        <v>38</v>
      </c>
      <c r="F7117" s="9" t="s">
        <v>118</v>
      </c>
      <c r="G7117" s="9" t="s">
        <v>119</v>
      </c>
      <c r="H7117" s="11" t="s">
        <v>24</v>
      </c>
      <c r="I7117" s="12" t="n">
        <v>55</v>
      </c>
      <c r="J7117" s="13" t="n">
        <v>75</v>
      </c>
      <c r="K7117" s="14" t="n">
        <f aca="false">I7117*J7117</f>
        <v>4125</v>
      </c>
      <c r="L7117" s="14" t="n">
        <f aca="false">($L$2*M7117)/100</f>
        <v>480666.6</v>
      </c>
      <c r="M7117" s="15" t="n">
        <v>0.4</v>
      </c>
      <c r="N7117" s="9" t="s">
        <v>85</v>
      </c>
    </row>
    <row r="7118" customFormat="false" ht="14.25" hidden="false" customHeight="true" outlineLevel="0" collapsed="false">
      <c r="B7118" s="9" t="s">
        <v>32</v>
      </c>
      <c r="C7118" s="9" t="n">
        <v>1185732</v>
      </c>
      <c r="D7118" s="10" t="n">
        <v>44510</v>
      </c>
      <c r="E7118" s="9" t="s">
        <v>38</v>
      </c>
      <c r="F7118" s="9" t="s">
        <v>118</v>
      </c>
      <c r="G7118" s="9" t="s">
        <v>119</v>
      </c>
      <c r="H7118" s="11" t="s">
        <v>25</v>
      </c>
      <c r="I7118" s="12" t="n">
        <v>61</v>
      </c>
      <c r="J7118" s="13" t="n">
        <v>91</v>
      </c>
      <c r="K7118" s="14" t="n">
        <f aca="false">I7118*J7118</f>
        <v>5551</v>
      </c>
      <c r="L7118" s="14" t="n">
        <f aca="false">($L$2*M7118)/100</f>
        <v>648899.91</v>
      </c>
      <c r="M7118" s="15" t="n">
        <v>0.54</v>
      </c>
      <c r="N7118" s="9" t="s">
        <v>85</v>
      </c>
    </row>
    <row r="7119" customFormat="false" ht="14.25" hidden="false" customHeight="true" outlineLevel="0" collapsed="false">
      <c r="B7119" s="9" t="s">
        <v>32</v>
      </c>
      <c r="C7119" s="9" t="n">
        <v>1185732</v>
      </c>
      <c r="D7119" s="10" t="n">
        <v>44539</v>
      </c>
      <c r="E7119" s="9" t="s">
        <v>38</v>
      </c>
      <c r="F7119" s="9" t="s">
        <v>118</v>
      </c>
      <c r="G7119" s="9" t="s">
        <v>119</v>
      </c>
      <c r="H7119" s="11" t="s">
        <v>19</v>
      </c>
      <c r="I7119" s="12" t="n">
        <v>58</v>
      </c>
      <c r="J7119" s="13" t="n">
        <v>150</v>
      </c>
      <c r="K7119" s="14" t="n">
        <f aca="false">I7119*J7119</f>
        <v>8700</v>
      </c>
      <c r="L7119" s="14" t="n">
        <f aca="false">($L$2*M7119)/100</f>
        <v>612849.915</v>
      </c>
      <c r="M7119" s="15" t="n">
        <v>0.51</v>
      </c>
      <c r="N7119" s="9" t="s">
        <v>85</v>
      </c>
    </row>
    <row r="7120" customFormat="false" ht="14.25" hidden="false" customHeight="true" outlineLevel="0" collapsed="false">
      <c r="B7120" s="9" t="s">
        <v>32</v>
      </c>
      <c r="C7120" s="9" t="n">
        <v>1185732</v>
      </c>
      <c r="D7120" s="10" t="n">
        <v>44539</v>
      </c>
      <c r="E7120" s="9" t="s">
        <v>38</v>
      </c>
      <c r="F7120" s="9" t="s">
        <v>118</v>
      </c>
      <c r="G7120" s="9" t="s">
        <v>119</v>
      </c>
      <c r="H7120" s="11" t="s">
        <v>21</v>
      </c>
      <c r="I7120" s="12" t="n">
        <v>49</v>
      </c>
      <c r="J7120" s="13" t="n">
        <v>108</v>
      </c>
      <c r="K7120" s="14" t="n">
        <f aca="false">I7120*J7120</f>
        <v>5292</v>
      </c>
      <c r="L7120" s="14" t="n">
        <f aca="false">($L$2*M7120)/100</f>
        <v>660916.575</v>
      </c>
      <c r="M7120" s="15" t="n">
        <v>0.55</v>
      </c>
      <c r="N7120" s="9" t="s">
        <v>85</v>
      </c>
    </row>
    <row r="7121" customFormat="false" ht="14.25" hidden="false" customHeight="true" outlineLevel="0" collapsed="false">
      <c r="B7121" s="9" t="s">
        <v>32</v>
      </c>
      <c r="C7121" s="9" t="n">
        <v>1185732</v>
      </c>
      <c r="D7121" s="10" t="n">
        <v>44539</v>
      </c>
      <c r="E7121" s="9" t="s">
        <v>38</v>
      </c>
      <c r="F7121" s="9" t="s">
        <v>118</v>
      </c>
      <c r="G7121" s="9" t="s">
        <v>119</v>
      </c>
      <c r="H7121" s="11" t="s">
        <v>22</v>
      </c>
      <c r="I7121" s="12" t="n">
        <v>49</v>
      </c>
      <c r="J7121" s="13" t="n">
        <v>105</v>
      </c>
      <c r="K7121" s="14" t="n">
        <f aca="false">I7121*J7121</f>
        <v>5145</v>
      </c>
      <c r="L7121" s="14" t="n">
        <f aca="false">($L$2*M7121)/100</f>
        <v>552766.59</v>
      </c>
      <c r="M7121" s="15" t="n">
        <v>0.46</v>
      </c>
      <c r="N7121" s="9" t="s">
        <v>85</v>
      </c>
    </row>
    <row r="7122" customFormat="false" ht="14.25" hidden="false" customHeight="true" outlineLevel="0" collapsed="false">
      <c r="B7122" s="9" t="s">
        <v>32</v>
      </c>
      <c r="C7122" s="9" t="n">
        <v>1185732</v>
      </c>
      <c r="D7122" s="10" t="n">
        <v>44539</v>
      </c>
      <c r="E7122" s="9" t="s">
        <v>38</v>
      </c>
      <c r="F7122" s="9" t="s">
        <v>118</v>
      </c>
      <c r="G7122" s="9" t="s">
        <v>119</v>
      </c>
      <c r="H7122" s="11" t="s">
        <v>23</v>
      </c>
      <c r="I7122" s="12" t="n">
        <v>45</v>
      </c>
      <c r="J7122" s="13" t="n">
        <v>87</v>
      </c>
      <c r="K7122" s="14" t="n">
        <f aca="false">I7122*J7122</f>
        <v>3915</v>
      </c>
      <c r="L7122" s="14" t="n">
        <f aca="false">($L$2*M7122)/100</f>
        <v>600833.25</v>
      </c>
      <c r="M7122" s="15" t="n">
        <v>0.5</v>
      </c>
      <c r="N7122" s="9" t="s">
        <v>85</v>
      </c>
    </row>
    <row r="7123" customFormat="false" ht="14.25" hidden="false" customHeight="true" outlineLevel="0" collapsed="false">
      <c r="B7123" s="9" t="s">
        <v>32</v>
      </c>
      <c r="C7123" s="9" t="n">
        <v>1185732</v>
      </c>
      <c r="D7123" s="10" t="n">
        <v>44539</v>
      </c>
      <c r="E7123" s="9" t="s">
        <v>38</v>
      </c>
      <c r="F7123" s="9" t="s">
        <v>118</v>
      </c>
      <c r="G7123" s="9" t="s">
        <v>119</v>
      </c>
      <c r="H7123" s="11" t="s">
        <v>24</v>
      </c>
      <c r="I7123" s="12" t="n">
        <v>54</v>
      </c>
      <c r="J7123" s="13" t="n">
        <v>84</v>
      </c>
      <c r="K7123" s="14" t="n">
        <f aca="false">I7123*J7123</f>
        <v>4536</v>
      </c>
      <c r="L7123" s="14" t="n">
        <f aca="false">($L$2*M7123)/100</f>
        <v>516716.595</v>
      </c>
      <c r="M7123" s="15" t="n">
        <v>0.43</v>
      </c>
      <c r="N7123" s="9" t="s">
        <v>85</v>
      </c>
    </row>
    <row r="7124" customFormat="false" ht="14.25" hidden="false" customHeight="true" outlineLevel="0" collapsed="false">
      <c r="B7124" s="9" t="s">
        <v>32</v>
      </c>
      <c r="C7124" s="9" t="n">
        <v>1185732</v>
      </c>
      <c r="D7124" s="10" t="n">
        <v>44539</v>
      </c>
      <c r="E7124" s="9" t="s">
        <v>38</v>
      </c>
      <c r="F7124" s="9" t="s">
        <v>118</v>
      </c>
      <c r="G7124" s="9" t="s">
        <v>119</v>
      </c>
      <c r="H7124" s="11" t="s">
        <v>25</v>
      </c>
      <c r="I7124" s="12" t="n">
        <v>62</v>
      </c>
      <c r="J7124" s="13" t="n">
        <v>120</v>
      </c>
      <c r="K7124" s="14" t="n">
        <f aca="false">I7124*J7124</f>
        <v>7440</v>
      </c>
      <c r="L7124" s="14" t="n">
        <f aca="false">($L$2*M7124)/100</f>
        <v>600833.25</v>
      </c>
      <c r="M7124" s="15" t="n">
        <v>0.5</v>
      </c>
      <c r="N7124" s="9" t="s">
        <v>85</v>
      </c>
    </row>
    <row r="7125" customFormat="false" ht="14.25" hidden="false" customHeight="true" outlineLevel="0" collapsed="false">
      <c r="B7125" s="9" t="s">
        <v>32</v>
      </c>
      <c r="C7125" s="9" t="n">
        <v>1185732</v>
      </c>
      <c r="D7125" s="10" t="n">
        <v>44213</v>
      </c>
      <c r="E7125" s="9" t="s">
        <v>38</v>
      </c>
      <c r="F7125" s="9" t="s">
        <v>118</v>
      </c>
      <c r="G7125" s="9" t="s">
        <v>119</v>
      </c>
      <c r="H7125" s="11" t="s">
        <v>19</v>
      </c>
      <c r="I7125" s="12" t="n">
        <v>32</v>
      </c>
      <c r="J7125" s="13" t="n">
        <v>125</v>
      </c>
      <c r="K7125" s="14" t="n">
        <f aca="false">I7125*J7125</f>
        <v>4000</v>
      </c>
      <c r="L7125" s="14" t="n">
        <f aca="false">($L$2*M7125)/100</f>
        <v>624866.58</v>
      </c>
      <c r="M7125" s="15" t="n">
        <v>0.52</v>
      </c>
      <c r="N7125" s="9" t="s">
        <v>85</v>
      </c>
    </row>
    <row r="7126" customFormat="false" ht="14.25" hidden="false" customHeight="true" outlineLevel="0" collapsed="false">
      <c r="B7126" s="9" t="s">
        <v>32</v>
      </c>
      <c r="C7126" s="9" t="n">
        <v>1185732</v>
      </c>
      <c r="D7126" s="10" t="n">
        <v>44213</v>
      </c>
      <c r="E7126" s="9" t="s">
        <v>38</v>
      </c>
      <c r="F7126" s="9" t="s">
        <v>118</v>
      </c>
      <c r="G7126" s="9" t="s">
        <v>119</v>
      </c>
      <c r="H7126" s="11" t="s">
        <v>21</v>
      </c>
      <c r="I7126" s="12" t="n">
        <v>32</v>
      </c>
      <c r="J7126" s="13" t="n">
        <v>75</v>
      </c>
      <c r="K7126" s="14" t="n">
        <f aca="false">I7126*J7126</f>
        <v>2400</v>
      </c>
      <c r="L7126" s="14" t="n">
        <f aca="false">($L$2*M7126)/100</f>
        <v>660916.575</v>
      </c>
      <c r="M7126" s="15" t="n">
        <v>0.55</v>
      </c>
      <c r="N7126" s="9" t="s">
        <v>85</v>
      </c>
    </row>
    <row r="7127" customFormat="false" ht="14.25" hidden="false" customHeight="true" outlineLevel="0" collapsed="false">
      <c r="B7127" s="9" t="s">
        <v>32</v>
      </c>
      <c r="C7127" s="9" t="n">
        <v>1185732</v>
      </c>
      <c r="D7127" s="10" t="n">
        <v>44213</v>
      </c>
      <c r="E7127" s="9" t="s">
        <v>38</v>
      </c>
      <c r="F7127" s="9" t="s">
        <v>118</v>
      </c>
      <c r="G7127" s="9" t="s">
        <v>119</v>
      </c>
      <c r="H7127" s="11" t="s">
        <v>22</v>
      </c>
      <c r="I7127" s="12" t="n">
        <v>25</v>
      </c>
      <c r="J7127" s="13" t="n">
        <v>87</v>
      </c>
      <c r="K7127" s="14" t="n">
        <f aca="false">I7127*J7127</f>
        <v>2175</v>
      </c>
      <c r="L7127" s="14" t="n">
        <f aca="false">($L$2*M7127)/100</f>
        <v>660916.575</v>
      </c>
      <c r="M7127" s="15" t="n">
        <v>0.55</v>
      </c>
      <c r="N7127" s="9" t="s">
        <v>85</v>
      </c>
    </row>
    <row r="7128" customFormat="false" ht="14.25" hidden="false" customHeight="true" outlineLevel="0" collapsed="false">
      <c r="B7128" s="9" t="s">
        <v>32</v>
      </c>
      <c r="C7128" s="9" t="n">
        <v>1185732</v>
      </c>
      <c r="D7128" s="10" t="n">
        <v>44213</v>
      </c>
      <c r="E7128" s="9" t="s">
        <v>38</v>
      </c>
      <c r="F7128" s="9" t="s">
        <v>118</v>
      </c>
      <c r="G7128" s="9" t="s">
        <v>119</v>
      </c>
      <c r="H7128" s="11" t="s">
        <v>23</v>
      </c>
      <c r="I7128" s="12" t="n">
        <v>29</v>
      </c>
      <c r="J7128" s="13" t="n">
        <v>45</v>
      </c>
      <c r="K7128" s="14" t="n">
        <f aca="false">I7128*J7128</f>
        <v>1305</v>
      </c>
      <c r="L7128" s="14" t="n">
        <f aca="false">($L$2*M7128)/100</f>
        <v>648899.91</v>
      </c>
      <c r="M7128" s="15" t="n">
        <v>0.54</v>
      </c>
      <c r="N7128" s="9" t="s">
        <v>85</v>
      </c>
    </row>
    <row r="7129" customFormat="false" ht="14.25" hidden="false" customHeight="true" outlineLevel="0" collapsed="false">
      <c r="B7129" s="9" t="s">
        <v>32</v>
      </c>
      <c r="C7129" s="9" t="n">
        <v>1185732</v>
      </c>
      <c r="D7129" s="10" t="n">
        <v>44213</v>
      </c>
      <c r="E7129" s="9" t="s">
        <v>38</v>
      </c>
      <c r="F7129" s="9" t="s">
        <v>118</v>
      </c>
      <c r="G7129" s="9" t="s">
        <v>119</v>
      </c>
      <c r="H7129" s="11" t="s">
        <v>24</v>
      </c>
      <c r="I7129" s="12" t="n">
        <v>41</v>
      </c>
      <c r="J7129" s="13" t="n">
        <v>54</v>
      </c>
      <c r="K7129" s="14" t="n">
        <f aca="false">I7129*J7129</f>
        <v>2214</v>
      </c>
      <c r="L7129" s="14" t="n">
        <f aca="false">($L$2*M7129)/100</f>
        <v>612849.915</v>
      </c>
      <c r="M7129" s="15" t="n">
        <v>0.51</v>
      </c>
      <c r="N7129" s="9" t="s">
        <v>85</v>
      </c>
    </row>
    <row r="7130" customFormat="false" ht="14.25" hidden="false" customHeight="true" outlineLevel="0" collapsed="false">
      <c r="B7130" s="9" t="s">
        <v>32</v>
      </c>
      <c r="C7130" s="9" t="n">
        <v>1185732</v>
      </c>
      <c r="D7130" s="10" t="n">
        <v>44213</v>
      </c>
      <c r="E7130" s="9" t="s">
        <v>38</v>
      </c>
      <c r="F7130" s="9" t="s">
        <v>118</v>
      </c>
      <c r="G7130" s="9" t="s">
        <v>119</v>
      </c>
      <c r="H7130" s="11" t="s">
        <v>25</v>
      </c>
      <c r="I7130" s="12" t="n">
        <v>34</v>
      </c>
      <c r="J7130" s="13" t="n">
        <v>75</v>
      </c>
      <c r="K7130" s="14" t="n">
        <f aca="false">I7130*J7130</f>
        <v>2550</v>
      </c>
      <c r="L7130" s="14" t="n">
        <f aca="false">($L$2*M7130)/100</f>
        <v>600833.25</v>
      </c>
      <c r="M7130" s="15" t="n">
        <v>0.5</v>
      </c>
      <c r="N7130" s="9" t="s">
        <v>85</v>
      </c>
    </row>
    <row r="7131" customFormat="false" ht="14.25" hidden="false" customHeight="true" outlineLevel="0" collapsed="false">
      <c r="B7131" s="9" t="s">
        <v>32</v>
      </c>
      <c r="C7131" s="9" t="n">
        <v>1185732</v>
      </c>
      <c r="D7131" s="10" t="n">
        <v>44244</v>
      </c>
      <c r="E7131" s="9" t="s">
        <v>38</v>
      </c>
      <c r="F7131" s="9" t="s">
        <v>118</v>
      </c>
      <c r="G7131" s="9" t="s">
        <v>119</v>
      </c>
      <c r="H7131" s="11" t="s">
        <v>19</v>
      </c>
      <c r="I7131" s="12" t="n">
        <v>33</v>
      </c>
      <c r="J7131" s="13" t="n">
        <v>149</v>
      </c>
      <c r="K7131" s="14" t="n">
        <f aca="false">I7131*J7131</f>
        <v>4917</v>
      </c>
      <c r="L7131" s="14" t="n">
        <f aca="false">($L$2*M7131)/100</f>
        <v>648899.91</v>
      </c>
      <c r="M7131" s="15" t="n">
        <v>0.54</v>
      </c>
      <c r="N7131" s="9" t="s">
        <v>85</v>
      </c>
    </row>
    <row r="7132" customFormat="false" ht="14.25" hidden="false" customHeight="true" outlineLevel="0" collapsed="false">
      <c r="B7132" s="9" t="s">
        <v>32</v>
      </c>
      <c r="C7132" s="9" t="n">
        <v>1185732</v>
      </c>
      <c r="D7132" s="10" t="n">
        <v>44244</v>
      </c>
      <c r="E7132" s="9" t="s">
        <v>38</v>
      </c>
      <c r="F7132" s="9" t="s">
        <v>118</v>
      </c>
      <c r="G7132" s="9" t="s">
        <v>119</v>
      </c>
      <c r="H7132" s="11" t="s">
        <v>21</v>
      </c>
      <c r="I7132" s="12" t="n">
        <v>38</v>
      </c>
      <c r="J7132" s="13" t="n">
        <v>50</v>
      </c>
      <c r="K7132" s="14" t="n">
        <f aca="false">I7132*J7132</f>
        <v>1900</v>
      </c>
      <c r="L7132" s="14" t="n">
        <f aca="false">($L$2*M7132)/100</f>
        <v>660916.575</v>
      </c>
      <c r="M7132" s="15" t="n">
        <v>0.55</v>
      </c>
      <c r="N7132" s="9" t="s">
        <v>85</v>
      </c>
    </row>
    <row r="7133" customFormat="false" ht="14.25" hidden="false" customHeight="true" outlineLevel="0" collapsed="false">
      <c r="B7133" s="9" t="s">
        <v>32</v>
      </c>
      <c r="C7133" s="9" t="n">
        <v>1185732</v>
      </c>
      <c r="D7133" s="10" t="n">
        <v>44244</v>
      </c>
      <c r="E7133" s="9" t="s">
        <v>38</v>
      </c>
      <c r="F7133" s="9" t="s">
        <v>118</v>
      </c>
      <c r="G7133" s="9" t="s">
        <v>119</v>
      </c>
      <c r="H7133" s="11" t="s">
        <v>22</v>
      </c>
      <c r="I7133" s="12" t="n">
        <v>27</v>
      </c>
      <c r="J7133" s="13" t="n">
        <v>75</v>
      </c>
      <c r="K7133" s="14" t="n">
        <f aca="false">I7133*J7133</f>
        <v>2025</v>
      </c>
      <c r="L7133" s="14" t="n">
        <f aca="false">($L$2*M7133)/100</f>
        <v>612849.915</v>
      </c>
      <c r="M7133" s="15" t="n">
        <v>0.51</v>
      </c>
      <c r="N7133" s="9" t="s">
        <v>85</v>
      </c>
    </row>
    <row r="7134" customFormat="false" ht="14.25" hidden="false" customHeight="true" outlineLevel="0" collapsed="false">
      <c r="B7134" s="9" t="s">
        <v>32</v>
      </c>
      <c r="C7134" s="9" t="n">
        <v>1185732</v>
      </c>
      <c r="D7134" s="10" t="n">
        <v>44244</v>
      </c>
      <c r="E7134" s="9" t="s">
        <v>17</v>
      </c>
      <c r="F7134" s="9" t="s">
        <v>120</v>
      </c>
      <c r="G7134" s="9" t="s">
        <v>95</v>
      </c>
      <c r="H7134" s="11" t="s">
        <v>23</v>
      </c>
      <c r="I7134" s="12" t="n">
        <v>34</v>
      </c>
      <c r="J7134" s="13" t="n">
        <v>49</v>
      </c>
      <c r="K7134" s="14" t="n">
        <f aca="false">I7134*J7134</f>
        <v>1666</v>
      </c>
      <c r="L7134" s="14" t="n">
        <f aca="false">($L$2*M7134)/100</f>
        <v>636883.245</v>
      </c>
      <c r="M7134" s="15" t="n">
        <v>0.53</v>
      </c>
      <c r="N7134" s="9" t="s">
        <v>85</v>
      </c>
    </row>
    <row r="7135" customFormat="false" ht="14.25" hidden="false" customHeight="true" outlineLevel="0" collapsed="false">
      <c r="B7135" s="9" t="s">
        <v>32</v>
      </c>
      <c r="C7135" s="9" t="n">
        <v>1185732</v>
      </c>
      <c r="D7135" s="10" t="n">
        <v>44244</v>
      </c>
      <c r="E7135" s="9" t="s">
        <v>17</v>
      </c>
      <c r="F7135" s="9" t="s">
        <v>120</v>
      </c>
      <c r="G7135" s="9" t="s">
        <v>95</v>
      </c>
      <c r="H7135" s="11" t="s">
        <v>24</v>
      </c>
      <c r="I7135" s="12" t="n">
        <v>48</v>
      </c>
      <c r="J7135" s="13" t="n">
        <v>65</v>
      </c>
      <c r="K7135" s="14" t="n">
        <f aca="false">I7135*J7135</f>
        <v>3120</v>
      </c>
      <c r="L7135" s="14" t="n">
        <f aca="false">($L$2*M7135)/100</f>
        <v>636883.245</v>
      </c>
      <c r="M7135" s="15" t="n">
        <v>0.53</v>
      </c>
      <c r="N7135" s="9" t="s">
        <v>85</v>
      </c>
    </row>
    <row r="7136" customFormat="false" ht="14.25" hidden="false" customHeight="true" outlineLevel="0" collapsed="false">
      <c r="B7136" s="9" t="s">
        <v>32</v>
      </c>
      <c r="C7136" s="9" t="n">
        <v>1185732</v>
      </c>
      <c r="D7136" s="10" t="n">
        <v>44244</v>
      </c>
      <c r="E7136" s="9" t="s">
        <v>17</v>
      </c>
      <c r="F7136" s="9" t="s">
        <v>120</v>
      </c>
      <c r="G7136" s="9" t="s">
        <v>95</v>
      </c>
      <c r="H7136" s="11" t="s">
        <v>25</v>
      </c>
      <c r="I7136" s="12" t="n">
        <v>24</v>
      </c>
      <c r="J7136" s="13" t="n">
        <v>105</v>
      </c>
      <c r="K7136" s="14" t="n">
        <f aca="false">I7136*J7136</f>
        <v>2520</v>
      </c>
      <c r="L7136" s="14" t="n">
        <f aca="false">($L$2*M7136)/100</f>
        <v>648899.91</v>
      </c>
      <c r="M7136" s="15" t="n">
        <v>0.54</v>
      </c>
      <c r="N7136" s="9" t="s">
        <v>85</v>
      </c>
    </row>
    <row r="7137" customFormat="false" ht="14.25" hidden="false" customHeight="true" outlineLevel="0" collapsed="false">
      <c r="B7137" s="9" t="s">
        <v>32</v>
      </c>
      <c r="C7137" s="9" t="n">
        <v>1185732</v>
      </c>
      <c r="D7137" s="10" t="n">
        <v>44271</v>
      </c>
      <c r="E7137" s="9" t="s">
        <v>17</v>
      </c>
      <c r="F7137" s="9" t="s">
        <v>120</v>
      </c>
      <c r="G7137" s="9" t="s">
        <v>95</v>
      </c>
      <c r="H7137" s="11" t="s">
        <v>19</v>
      </c>
      <c r="I7137" s="12" t="n">
        <v>28</v>
      </c>
      <c r="J7137" s="13" t="n">
        <v>165</v>
      </c>
      <c r="K7137" s="14" t="n">
        <f aca="false">I7137*J7137</f>
        <v>4620</v>
      </c>
      <c r="L7137" s="14" t="n">
        <f aca="false">($L$2*M7137)/100</f>
        <v>612849.915</v>
      </c>
      <c r="M7137" s="15" t="n">
        <v>0.51</v>
      </c>
      <c r="N7137" s="9" t="s">
        <v>85</v>
      </c>
    </row>
    <row r="7138" customFormat="false" ht="14.25" hidden="false" customHeight="true" outlineLevel="0" collapsed="false">
      <c r="B7138" s="9" t="s">
        <v>32</v>
      </c>
      <c r="C7138" s="9" t="n">
        <v>1185732</v>
      </c>
      <c r="D7138" s="10" t="n">
        <v>44271</v>
      </c>
      <c r="E7138" s="9" t="s">
        <v>17</v>
      </c>
      <c r="F7138" s="9" t="s">
        <v>120</v>
      </c>
      <c r="G7138" s="9" t="s">
        <v>95</v>
      </c>
      <c r="H7138" s="11" t="s">
        <v>21</v>
      </c>
      <c r="I7138" s="12" t="n">
        <v>27</v>
      </c>
      <c r="J7138" s="13" t="n">
        <v>69</v>
      </c>
      <c r="K7138" s="14" t="n">
        <f aca="false">I7138*J7138</f>
        <v>1863</v>
      </c>
      <c r="L7138" s="14" t="n">
        <f aca="false">($L$2*M7138)/100</f>
        <v>648899.91</v>
      </c>
      <c r="M7138" s="15" t="n">
        <v>0.54</v>
      </c>
      <c r="N7138" s="9" t="s">
        <v>85</v>
      </c>
    </row>
    <row r="7139" customFormat="false" ht="14.25" hidden="false" customHeight="true" outlineLevel="0" collapsed="false">
      <c r="B7139" s="9" t="s">
        <v>32</v>
      </c>
      <c r="C7139" s="9" t="n">
        <v>1185732</v>
      </c>
      <c r="D7139" s="10" t="n">
        <v>44271</v>
      </c>
      <c r="E7139" s="9" t="s">
        <v>17</v>
      </c>
      <c r="F7139" s="9" t="s">
        <v>120</v>
      </c>
      <c r="G7139" s="9" t="s">
        <v>95</v>
      </c>
      <c r="H7139" s="11" t="s">
        <v>22</v>
      </c>
      <c r="I7139" s="12" t="n">
        <v>19</v>
      </c>
      <c r="J7139" s="13" t="n">
        <v>91</v>
      </c>
      <c r="K7139" s="14" t="n">
        <f aca="false">I7139*J7139</f>
        <v>1729</v>
      </c>
      <c r="L7139" s="14" t="n">
        <f aca="false">($L$2*M7139)/100</f>
        <v>648899.91</v>
      </c>
      <c r="M7139" s="15" t="n">
        <v>0.54</v>
      </c>
      <c r="N7139" s="9" t="s">
        <v>85</v>
      </c>
    </row>
    <row r="7140" customFormat="false" ht="14.25" hidden="false" customHeight="true" outlineLevel="0" collapsed="false">
      <c r="B7140" s="9" t="s">
        <v>32</v>
      </c>
      <c r="C7140" s="9" t="n">
        <v>1185732</v>
      </c>
      <c r="D7140" s="10" t="n">
        <v>44271</v>
      </c>
      <c r="E7140" s="9" t="s">
        <v>17</v>
      </c>
      <c r="F7140" s="9" t="s">
        <v>120</v>
      </c>
      <c r="G7140" s="9" t="s">
        <v>95</v>
      </c>
      <c r="H7140" s="11" t="s">
        <v>23</v>
      </c>
      <c r="I7140" s="12" t="n">
        <v>23</v>
      </c>
      <c r="J7140" s="13" t="n">
        <v>49</v>
      </c>
      <c r="K7140" s="14" t="n">
        <f aca="false">I7140*J7140</f>
        <v>1127</v>
      </c>
      <c r="L7140" s="14" t="n">
        <f aca="false">($L$2*M7140)/100</f>
        <v>636883.245</v>
      </c>
      <c r="M7140" s="15" t="n">
        <v>0.53</v>
      </c>
      <c r="N7140" s="9" t="s">
        <v>85</v>
      </c>
    </row>
    <row r="7141" customFormat="false" ht="14.25" hidden="false" customHeight="true" outlineLevel="0" collapsed="false">
      <c r="B7141" s="9" t="s">
        <v>32</v>
      </c>
      <c r="C7141" s="9" t="n">
        <v>1185732</v>
      </c>
      <c r="D7141" s="10" t="n">
        <v>44271</v>
      </c>
      <c r="E7141" s="9" t="s">
        <v>17</v>
      </c>
      <c r="F7141" s="9" t="s">
        <v>120</v>
      </c>
      <c r="G7141" s="9" t="s">
        <v>95</v>
      </c>
      <c r="H7141" s="11" t="s">
        <v>24</v>
      </c>
      <c r="I7141" s="12" t="n">
        <v>37</v>
      </c>
      <c r="J7141" s="13" t="n">
        <v>59</v>
      </c>
      <c r="K7141" s="14" t="n">
        <f aca="false">I7141*J7141</f>
        <v>2183</v>
      </c>
      <c r="L7141" s="14" t="n">
        <f aca="false">($L$2*M7141)/100</f>
        <v>600833.25</v>
      </c>
      <c r="M7141" s="15" t="n">
        <v>0.5</v>
      </c>
      <c r="N7141" s="9" t="s">
        <v>85</v>
      </c>
    </row>
    <row r="7142" customFormat="false" ht="14.25" hidden="false" customHeight="true" outlineLevel="0" collapsed="false">
      <c r="B7142" s="9" t="s">
        <v>32</v>
      </c>
      <c r="C7142" s="9" t="n">
        <v>1185732</v>
      </c>
      <c r="D7142" s="10" t="n">
        <v>44271</v>
      </c>
      <c r="E7142" s="9" t="s">
        <v>17</v>
      </c>
      <c r="F7142" s="9" t="s">
        <v>120</v>
      </c>
      <c r="G7142" s="9" t="s">
        <v>95</v>
      </c>
      <c r="H7142" s="11" t="s">
        <v>25</v>
      </c>
      <c r="I7142" s="12" t="n">
        <v>29</v>
      </c>
      <c r="J7142" s="13" t="n">
        <v>81</v>
      </c>
      <c r="K7142" s="14" t="n">
        <f aca="false">I7142*J7142</f>
        <v>2349</v>
      </c>
      <c r="L7142" s="14" t="n">
        <f aca="false">($L$2*M7142)/100</f>
        <v>648899.91</v>
      </c>
      <c r="M7142" s="15" t="n">
        <v>0.54</v>
      </c>
      <c r="N7142" s="9" t="s">
        <v>85</v>
      </c>
    </row>
    <row r="7143" customFormat="false" ht="14.25" hidden="false" customHeight="true" outlineLevel="0" collapsed="false">
      <c r="B7143" s="9" t="s">
        <v>32</v>
      </c>
      <c r="C7143" s="9" t="n">
        <v>1185732</v>
      </c>
      <c r="D7143" s="10" t="n">
        <v>44303</v>
      </c>
      <c r="E7143" s="9" t="s">
        <v>17</v>
      </c>
      <c r="F7143" s="9" t="s">
        <v>120</v>
      </c>
      <c r="G7143" s="9" t="s">
        <v>95</v>
      </c>
      <c r="H7143" s="11" t="s">
        <v>19</v>
      </c>
      <c r="I7143" s="12" t="n">
        <v>27</v>
      </c>
      <c r="J7143" s="13" t="n">
        <v>143</v>
      </c>
      <c r="K7143" s="14" t="n">
        <f aca="false">I7143*J7143</f>
        <v>3861</v>
      </c>
      <c r="L7143" s="14" t="n">
        <f aca="false">($L$2*M7143)/100</f>
        <v>612849.915</v>
      </c>
      <c r="M7143" s="15" t="n">
        <v>0.51</v>
      </c>
      <c r="N7143" s="9" t="s">
        <v>85</v>
      </c>
    </row>
    <row r="7144" customFormat="false" ht="14.25" hidden="false" customHeight="true" outlineLevel="0" collapsed="false">
      <c r="B7144" s="9" t="s">
        <v>32</v>
      </c>
      <c r="C7144" s="9" t="n">
        <v>1185732</v>
      </c>
      <c r="D7144" s="10" t="n">
        <v>44303</v>
      </c>
      <c r="E7144" s="9" t="s">
        <v>17</v>
      </c>
      <c r="F7144" s="9" t="s">
        <v>120</v>
      </c>
      <c r="G7144" s="9" t="s">
        <v>95</v>
      </c>
      <c r="H7144" s="11" t="s">
        <v>21</v>
      </c>
      <c r="I7144" s="12" t="n">
        <v>28</v>
      </c>
      <c r="J7144" s="13" t="n">
        <v>75</v>
      </c>
      <c r="K7144" s="14" t="n">
        <f aca="false">I7144*J7144</f>
        <v>2100</v>
      </c>
      <c r="L7144" s="14" t="n">
        <f aca="false">($L$2*M7144)/100</f>
        <v>660916.575</v>
      </c>
      <c r="M7144" s="15" t="n">
        <v>0.55</v>
      </c>
      <c r="N7144" s="9" t="s">
        <v>85</v>
      </c>
    </row>
    <row r="7145" customFormat="false" ht="14.25" hidden="false" customHeight="true" outlineLevel="0" collapsed="false">
      <c r="B7145" s="9" t="s">
        <v>32</v>
      </c>
      <c r="C7145" s="9" t="n">
        <v>1185732</v>
      </c>
      <c r="D7145" s="10" t="n">
        <v>44303</v>
      </c>
      <c r="E7145" s="9" t="s">
        <v>17</v>
      </c>
      <c r="F7145" s="9" t="s">
        <v>120</v>
      </c>
      <c r="G7145" s="9" t="s">
        <v>95</v>
      </c>
      <c r="H7145" s="11" t="s">
        <v>22</v>
      </c>
      <c r="I7145" s="12" t="n">
        <v>19</v>
      </c>
      <c r="J7145" s="13" t="n">
        <v>68</v>
      </c>
      <c r="K7145" s="14" t="n">
        <f aca="false">I7145*J7145</f>
        <v>1292</v>
      </c>
      <c r="L7145" s="14" t="n">
        <f aca="false">($L$2*M7145)/100</f>
        <v>648899.91</v>
      </c>
      <c r="M7145" s="15" t="n">
        <v>0.54</v>
      </c>
      <c r="N7145" s="9" t="s">
        <v>85</v>
      </c>
    </row>
    <row r="7146" customFormat="false" ht="14.25" hidden="false" customHeight="true" outlineLevel="0" collapsed="false">
      <c r="B7146" s="9" t="s">
        <v>32</v>
      </c>
      <c r="C7146" s="9" t="n">
        <v>1185732</v>
      </c>
      <c r="D7146" s="10" t="n">
        <v>44303</v>
      </c>
      <c r="E7146" s="9" t="s">
        <v>17</v>
      </c>
      <c r="F7146" s="9" t="s">
        <v>120</v>
      </c>
      <c r="G7146" s="9" t="s">
        <v>95</v>
      </c>
      <c r="H7146" s="11" t="s">
        <v>23</v>
      </c>
      <c r="I7146" s="12" t="n">
        <v>25</v>
      </c>
      <c r="J7146" s="13" t="n">
        <v>47</v>
      </c>
      <c r="K7146" s="14" t="n">
        <f aca="false">I7146*J7146</f>
        <v>1175</v>
      </c>
      <c r="L7146" s="14" t="n">
        <f aca="false">($L$2*M7146)/100</f>
        <v>624866.58</v>
      </c>
      <c r="M7146" s="15" t="n">
        <v>0.52</v>
      </c>
      <c r="N7146" s="9" t="s">
        <v>85</v>
      </c>
    </row>
    <row r="7147" customFormat="false" ht="14.25" hidden="false" customHeight="true" outlineLevel="0" collapsed="false">
      <c r="B7147" s="9" t="s">
        <v>32</v>
      </c>
      <c r="C7147" s="9" t="n">
        <v>1185732</v>
      </c>
      <c r="D7147" s="10" t="n">
        <v>44303</v>
      </c>
      <c r="E7147" s="9" t="s">
        <v>17</v>
      </c>
      <c r="F7147" s="9" t="s">
        <v>120</v>
      </c>
      <c r="G7147" s="9" t="s">
        <v>95</v>
      </c>
      <c r="H7147" s="11" t="s">
        <v>24</v>
      </c>
      <c r="I7147" s="12" t="n">
        <v>60</v>
      </c>
      <c r="J7147" s="13" t="n">
        <v>56</v>
      </c>
      <c r="K7147" s="14" t="n">
        <f aca="false">I7147*J7147</f>
        <v>3360</v>
      </c>
      <c r="L7147" s="14" t="n">
        <f aca="false">($L$2*M7147)/100</f>
        <v>660916.575</v>
      </c>
      <c r="M7147" s="15" t="n">
        <v>0.55</v>
      </c>
      <c r="N7147" s="9" t="s">
        <v>85</v>
      </c>
    </row>
    <row r="7148" customFormat="false" ht="14.25" hidden="false" customHeight="true" outlineLevel="0" collapsed="false">
      <c r="B7148" s="9" t="s">
        <v>32</v>
      </c>
      <c r="C7148" s="9" t="n">
        <v>1185732</v>
      </c>
      <c r="D7148" s="10" t="n">
        <v>44303</v>
      </c>
      <c r="E7148" s="9" t="s">
        <v>17</v>
      </c>
      <c r="F7148" s="9" t="s">
        <v>120</v>
      </c>
      <c r="G7148" s="9" t="s">
        <v>95</v>
      </c>
      <c r="H7148" s="11" t="s">
        <v>25</v>
      </c>
      <c r="I7148" s="12" t="n">
        <v>47</v>
      </c>
      <c r="J7148" s="13" t="n">
        <v>94</v>
      </c>
      <c r="K7148" s="14" t="n">
        <f aca="false">I7148*J7148</f>
        <v>4418</v>
      </c>
      <c r="L7148" s="14" t="n">
        <f aca="false">($L$2*M7148)/100</f>
        <v>612849.915</v>
      </c>
      <c r="M7148" s="15" t="n">
        <v>0.51</v>
      </c>
      <c r="N7148" s="9" t="s">
        <v>85</v>
      </c>
    </row>
    <row r="7149" customFormat="false" ht="14.25" hidden="false" customHeight="true" outlineLevel="0" collapsed="false">
      <c r="B7149" s="9" t="s">
        <v>32</v>
      </c>
      <c r="C7149" s="9" t="n">
        <v>1185732</v>
      </c>
      <c r="D7149" s="10" t="n">
        <v>44334</v>
      </c>
      <c r="E7149" s="9" t="s">
        <v>17</v>
      </c>
      <c r="F7149" s="9" t="s">
        <v>120</v>
      </c>
      <c r="G7149" s="9" t="s">
        <v>95</v>
      </c>
      <c r="H7149" s="11" t="s">
        <v>19</v>
      </c>
      <c r="I7149" s="12" t="n">
        <v>58</v>
      </c>
      <c r="J7149" s="13" t="n">
        <v>179</v>
      </c>
      <c r="K7149" s="14" t="n">
        <f aca="false">I7149*J7149</f>
        <v>10382</v>
      </c>
      <c r="L7149" s="14" t="n">
        <f aca="false">($L$2*M7149)/100</f>
        <v>624866.58</v>
      </c>
      <c r="M7149" s="15" t="n">
        <v>0.52</v>
      </c>
      <c r="N7149" s="9" t="s">
        <v>85</v>
      </c>
    </row>
    <row r="7150" customFormat="false" ht="14.25" hidden="false" customHeight="true" outlineLevel="0" collapsed="false">
      <c r="B7150" s="9" t="s">
        <v>32</v>
      </c>
      <c r="C7150" s="9" t="n">
        <v>1185732</v>
      </c>
      <c r="D7150" s="10" t="n">
        <v>44334</v>
      </c>
      <c r="E7150" s="9" t="s">
        <v>17</v>
      </c>
      <c r="F7150" s="9" t="s">
        <v>120</v>
      </c>
      <c r="G7150" s="9" t="s">
        <v>95</v>
      </c>
      <c r="H7150" s="11" t="s">
        <v>21</v>
      </c>
      <c r="I7150" s="12" t="n">
        <v>37</v>
      </c>
      <c r="J7150" s="13" t="n">
        <v>87</v>
      </c>
      <c r="K7150" s="14" t="n">
        <f aca="false">I7150*J7150</f>
        <v>3219</v>
      </c>
      <c r="L7150" s="14" t="n">
        <f aca="false">($L$2*M7150)/100</f>
        <v>612849.915</v>
      </c>
      <c r="M7150" s="15" t="n">
        <v>0.51</v>
      </c>
      <c r="N7150" s="9" t="s">
        <v>85</v>
      </c>
    </row>
    <row r="7151" customFormat="false" ht="14.25" hidden="false" customHeight="true" outlineLevel="0" collapsed="false">
      <c r="B7151" s="9" t="s">
        <v>32</v>
      </c>
      <c r="C7151" s="9" t="n">
        <v>1185732</v>
      </c>
      <c r="D7151" s="10" t="n">
        <v>44334</v>
      </c>
      <c r="E7151" s="9" t="s">
        <v>17</v>
      </c>
      <c r="F7151" s="9" t="s">
        <v>120</v>
      </c>
      <c r="G7151" s="9" t="s">
        <v>95</v>
      </c>
      <c r="H7151" s="11" t="s">
        <v>22</v>
      </c>
      <c r="I7151" s="12" t="n">
        <v>32</v>
      </c>
      <c r="J7151" s="13" t="n">
        <v>77</v>
      </c>
      <c r="K7151" s="14" t="n">
        <f aca="false">I7151*J7151</f>
        <v>2464</v>
      </c>
      <c r="L7151" s="14" t="n">
        <f aca="false">($L$2*M7151)/100</f>
        <v>660916.575</v>
      </c>
      <c r="M7151" s="15" t="n">
        <v>0.55</v>
      </c>
      <c r="N7151" s="9" t="s">
        <v>85</v>
      </c>
    </row>
    <row r="7152" customFormat="false" ht="14.25" hidden="false" customHeight="true" outlineLevel="0" collapsed="false">
      <c r="B7152" s="9" t="s">
        <v>32</v>
      </c>
      <c r="C7152" s="9" t="n">
        <v>1185732</v>
      </c>
      <c r="D7152" s="10" t="n">
        <v>44334</v>
      </c>
      <c r="E7152" s="9" t="s">
        <v>17</v>
      </c>
      <c r="F7152" s="9" t="s">
        <v>120</v>
      </c>
      <c r="G7152" s="9" t="s">
        <v>95</v>
      </c>
      <c r="H7152" s="11" t="s">
        <v>23</v>
      </c>
      <c r="I7152" s="12" t="n">
        <v>33</v>
      </c>
      <c r="J7152" s="13" t="n">
        <v>50</v>
      </c>
      <c r="K7152" s="14" t="n">
        <f aca="false">I7152*J7152</f>
        <v>1650</v>
      </c>
      <c r="L7152" s="14" t="n">
        <f aca="false">($L$2*M7152)/100</f>
        <v>660916.575</v>
      </c>
      <c r="M7152" s="15" t="n">
        <v>0.55</v>
      </c>
      <c r="N7152" s="9" t="s">
        <v>85</v>
      </c>
    </row>
    <row r="7153" customFormat="false" ht="14.25" hidden="false" customHeight="true" outlineLevel="0" collapsed="false">
      <c r="B7153" s="9" t="s">
        <v>32</v>
      </c>
      <c r="C7153" s="9" t="n">
        <v>1185732</v>
      </c>
      <c r="D7153" s="10" t="n">
        <v>44334</v>
      </c>
      <c r="E7153" s="9" t="s">
        <v>17</v>
      </c>
      <c r="F7153" s="9" t="s">
        <v>120</v>
      </c>
      <c r="G7153" s="9" t="s">
        <v>95</v>
      </c>
      <c r="H7153" s="11" t="s">
        <v>24</v>
      </c>
      <c r="I7153" s="12" t="n">
        <v>42</v>
      </c>
      <c r="J7153" s="13" t="n">
        <v>68</v>
      </c>
      <c r="K7153" s="14" t="n">
        <f aca="false">I7153*J7153</f>
        <v>2856</v>
      </c>
      <c r="L7153" s="14" t="n">
        <f aca="false">($L$2*M7153)/100</f>
        <v>648899.91</v>
      </c>
      <c r="M7153" s="15" t="n">
        <v>0.54</v>
      </c>
      <c r="N7153" s="9" t="s">
        <v>85</v>
      </c>
    </row>
    <row r="7154" customFormat="false" ht="14.25" hidden="false" customHeight="true" outlineLevel="0" collapsed="false">
      <c r="B7154" s="9" t="s">
        <v>32</v>
      </c>
      <c r="C7154" s="9" t="n">
        <v>1185732</v>
      </c>
      <c r="D7154" s="10" t="n">
        <v>44334</v>
      </c>
      <c r="E7154" s="9" t="s">
        <v>17</v>
      </c>
      <c r="F7154" s="9" t="s">
        <v>120</v>
      </c>
      <c r="G7154" s="9" t="s">
        <v>95</v>
      </c>
      <c r="H7154" s="11" t="s">
        <v>25</v>
      </c>
      <c r="I7154" s="12" t="n">
        <v>52</v>
      </c>
      <c r="J7154" s="13" t="n">
        <v>95</v>
      </c>
      <c r="K7154" s="14" t="n">
        <f aca="false">I7154*J7154</f>
        <v>4940</v>
      </c>
      <c r="L7154" s="14" t="n">
        <f aca="false">($L$2*M7154)/100</f>
        <v>660916.575</v>
      </c>
      <c r="M7154" s="15" t="n">
        <v>0.55</v>
      </c>
      <c r="N7154" s="9" t="s">
        <v>85</v>
      </c>
    </row>
    <row r="7155" customFormat="false" ht="14.25" hidden="false" customHeight="true" outlineLevel="0" collapsed="false">
      <c r="B7155" s="9" t="s">
        <v>32</v>
      </c>
      <c r="C7155" s="9" t="n">
        <v>1185732</v>
      </c>
      <c r="D7155" s="10" t="n">
        <v>44364</v>
      </c>
      <c r="E7155" s="9" t="s">
        <v>17</v>
      </c>
      <c r="F7155" s="9" t="s">
        <v>120</v>
      </c>
      <c r="G7155" s="9" t="s">
        <v>95</v>
      </c>
      <c r="H7155" s="11" t="s">
        <v>19</v>
      </c>
      <c r="I7155" s="12" t="n">
        <v>43</v>
      </c>
      <c r="J7155" s="13" t="n">
        <v>150</v>
      </c>
      <c r="K7155" s="14" t="n">
        <f aca="false">I7155*J7155</f>
        <v>6450</v>
      </c>
      <c r="L7155" s="14" t="n">
        <f aca="false">($L$2*M7155)/100</f>
        <v>624866.58</v>
      </c>
      <c r="M7155" s="15" t="n">
        <v>0.52</v>
      </c>
      <c r="N7155" s="9" t="s">
        <v>85</v>
      </c>
    </row>
    <row r="7156" customFormat="false" ht="14.25" hidden="false" customHeight="true" outlineLevel="0" collapsed="false">
      <c r="B7156" s="9" t="s">
        <v>32</v>
      </c>
      <c r="C7156" s="9" t="n">
        <v>1185732</v>
      </c>
      <c r="D7156" s="10" t="n">
        <v>44364</v>
      </c>
      <c r="E7156" s="9" t="s">
        <v>17</v>
      </c>
      <c r="F7156" s="9" t="s">
        <v>120</v>
      </c>
      <c r="G7156" s="9" t="s">
        <v>95</v>
      </c>
      <c r="H7156" s="11" t="s">
        <v>21</v>
      </c>
      <c r="I7156" s="12" t="n">
        <v>37</v>
      </c>
      <c r="J7156" s="13" t="n">
        <v>119</v>
      </c>
      <c r="K7156" s="14" t="n">
        <f aca="false">I7156*J7156</f>
        <v>4403</v>
      </c>
      <c r="L7156" s="14" t="n">
        <f aca="false">($L$2*M7156)/100</f>
        <v>600833.25</v>
      </c>
      <c r="M7156" s="15" t="n">
        <v>0.5</v>
      </c>
      <c r="N7156" s="9" t="s">
        <v>85</v>
      </c>
    </row>
    <row r="7157" customFormat="false" ht="14.25" hidden="false" customHeight="true" outlineLevel="0" collapsed="false">
      <c r="B7157" s="9" t="s">
        <v>32</v>
      </c>
      <c r="C7157" s="9" t="n">
        <v>1185732</v>
      </c>
      <c r="D7157" s="10" t="n">
        <v>44364</v>
      </c>
      <c r="E7157" s="9" t="s">
        <v>17</v>
      </c>
      <c r="F7157" s="9" t="s">
        <v>120</v>
      </c>
      <c r="G7157" s="9" t="s">
        <v>95</v>
      </c>
      <c r="H7157" s="11" t="s">
        <v>22</v>
      </c>
      <c r="I7157" s="12" t="n">
        <v>33</v>
      </c>
      <c r="J7157" s="13" t="n">
        <v>81</v>
      </c>
      <c r="K7157" s="14" t="n">
        <f aca="false">I7157*J7157</f>
        <v>2673</v>
      </c>
      <c r="L7157" s="14" t="n">
        <f aca="false">($L$2*M7157)/100</f>
        <v>648899.91</v>
      </c>
      <c r="M7157" s="15" t="n">
        <v>0.54</v>
      </c>
      <c r="N7157" s="9" t="s">
        <v>85</v>
      </c>
    </row>
    <row r="7158" customFormat="false" ht="14.25" hidden="false" customHeight="true" outlineLevel="0" collapsed="false">
      <c r="B7158" s="9" t="s">
        <v>32</v>
      </c>
      <c r="C7158" s="9" t="n">
        <v>1185732</v>
      </c>
      <c r="D7158" s="10" t="n">
        <v>44364</v>
      </c>
      <c r="E7158" s="9" t="s">
        <v>17</v>
      </c>
      <c r="F7158" s="9" t="s">
        <v>120</v>
      </c>
      <c r="G7158" s="9" t="s">
        <v>95</v>
      </c>
      <c r="H7158" s="11" t="s">
        <v>23</v>
      </c>
      <c r="I7158" s="12" t="n">
        <v>33</v>
      </c>
      <c r="J7158" s="13" t="n">
        <v>69</v>
      </c>
      <c r="K7158" s="14" t="n">
        <f aca="false">I7158*J7158</f>
        <v>2277</v>
      </c>
      <c r="L7158" s="14" t="n">
        <f aca="false">($L$2*M7158)/100</f>
        <v>624866.58</v>
      </c>
      <c r="M7158" s="15" t="n">
        <v>0.52</v>
      </c>
      <c r="N7158" s="9" t="s">
        <v>85</v>
      </c>
    </row>
    <row r="7159" customFormat="false" ht="14.25" hidden="false" customHeight="true" outlineLevel="0" collapsed="false">
      <c r="B7159" s="9" t="s">
        <v>32</v>
      </c>
      <c r="C7159" s="9" t="n">
        <v>1185732</v>
      </c>
      <c r="D7159" s="10" t="n">
        <v>44364</v>
      </c>
      <c r="E7159" s="9" t="s">
        <v>17</v>
      </c>
      <c r="F7159" s="9" t="s">
        <v>120</v>
      </c>
      <c r="G7159" s="9" t="s">
        <v>95</v>
      </c>
      <c r="H7159" s="11" t="s">
        <v>24</v>
      </c>
      <c r="I7159" s="12" t="n">
        <v>41</v>
      </c>
      <c r="J7159" s="13" t="n">
        <v>74</v>
      </c>
      <c r="K7159" s="14" t="n">
        <f aca="false">I7159*J7159</f>
        <v>3034</v>
      </c>
      <c r="L7159" s="14" t="n">
        <f aca="false">($L$2*M7159)/100</f>
        <v>660916.575</v>
      </c>
      <c r="M7159" s="15" t="n">
        <v>0.55</v>
      </c>
      <c r="N7159" s="9" t="s">
        <v>85</v>
      </c>
    </row>
    <row r="7160" customFormat="false" ht="14.25" hidden="false" customHeight="true" outlineLevel="0" collapsed="false">
      <c r="B7160" s="9" t="s">
        <v>32</v>
      </c>
      <c r="C7160" s="9" t="n">
        <v>1185732</v>
      </c>
      <c r="D7160" s="10" t="n">
        <v>44364</v>
      </c>
      <c r="E7160" s="9" t="s">
        <v>17</v>
      </c>
      <c r="F7160" s="9" t="s">
        <v>120</v>
      </c>
      <c r="G7160" s="9" t="s">
        <v>95</v>
      </c>
      <c r="H7160" s="11" t="s">
        <v>25</v>
      </c>
      <c r="I7160" s="12" t="n">
        <v>59</v>
      </c>
      <c r="J7160" s="13" t="n">
        <v>115</v>
      </c>
      <c r="K7160" s="14" t="n">
        <f aca="false">I7160*J7160</f>
        <v>6785</v>
      </c>
      <c r="L7160" s="14" t="n">
        <f aca="false">($L$2*M7160)/100</f>
        <v>624866.58</v>
      </c>
      <c r="M7160" s="15" t="n">
        <v>0.52</v>
      </c>
      <c r="N7160" s="9" t="s">
        <v>85</v>
      </c>
    </row>
    <row r="7161" customFormat="false" ht="14.25" hidden="false" customHeight="true" outlineLevel="0" collapsed="false">
      <c r="B7161" s="9" t="s">
        <v>32</v>
      </c>
      <c r="C7161" s="9" t="n">
        <v>1185732</v>
      </c>
      <c r="D7161" s="10" t="n">
        <v>44393</v>
      </c>
      <c r="E7161" s="9" t="s">
        <v>17</v>
      </c>
      <c r="F7161" s="9" t="s">
        <v>120</v>
      </c>
      <c r="G7161" s="9" t="s">
        <v>95</v>
      </c>
      <c r="H7161" s="11" t="s">
        <v>19</v>
      </c>
      <c r="I7161" s="12" t="n">
        <v>55</v>
      </c>
      <c r="J7161" s="13" t="n">
        <v>182</v>
      </c>
      <c r="K7161" s="14" t="n">
        <f aca="false">I7161*J7161</f>
        <v>10010</v>
      </c>
      <c r="L7161" s="14" t="n">
        <f aca="false">($L$2*M7161)/100</f>
        <v>624866.58</v>
      </c>
      <c r="M7161" s="15" t="n">
        <v>0.52</v>
      </c>
      <c r="N7161" s="9" t="s">
        <v>85</v>
      </c>
    </row>
    <row r="7162" customFormat="false" ht="14.25" hidden="false" customHeight="true" outlineLevel="0" collapsed="false">
      <c r="B7162" s="9" t="s">
        <v>32</v>
      </c>
      <c r="C7162" s="9" t="n">
        <v>1185732</v>
      </c>
      <c r="D7162" s="10" t="n">
        <v>44393</v>
      </c>
      <c r="E7162" s="9" t="s">
        <v>17</v>
      </c>
      <c r="F7162" s="9" t="s">
        <v>120</v>
      </c>
      <c r="G7162" s="9" t="s">
        <v>95</v>
      </c>
      <c r="H7162" s="11" t="s">
        <v>21</v>
      </c>
      <c r="I7162" s="12" t="n">
        <v>50</v>
      </c>
      <c r="J7162" s="13" t="n">
        <v>116</v>
      </c>
      <c r="K7162" s="14" t="n">
        <f aca="false">I7162*J7162</f>
        <v>5800</v>
      </c>
      <c r="L7162" s="14" t="n">
        <f aca="false">($L$2*M7162)/100</f>
        <v>636883.245</v>
      </c>
      <c r="M7162" s="15" t="n">
        <v>0.53</v>
      </c>
      <c r="N7162" s="9" t="s">
        <v>85</v>
      </c>
    </row>
    <row r="7163" customFormat="false" ht="14.25" hidden="false" customHeight="true" outlineLevel="0" collapsed="false">
      <c r="B7163" s="9" t="s">
        <v>32</v>
      </c>
      <c r="C7163" s="9" t="n">
        <v>1185732</v>
      </c>
      <c r="D7163" s="10" t="n">
        <v>44393</v>
      </c>
      <c r="E7163" s="9" t="s">
        <v>17</v>
      </c>
      <c r="F7163" s="9" t="s">
        <v>120</v>
      </c>
      <c r="G7163" s="9" t="s">
        <v>95</v>
      </c>
      <c r="H7163" s="11" t="s">
        <v>22</v>
      </c>
      <c r="I7163" s="12" t="n">
        <v>49</v>
      </c>
      <c r="J7163" s="13" t="n">
        <v>98</v>
      </c>
      <c r="K7163" s="14" t="n">
        <f aca="false">I7163*J7163</f>
        <v>4802</v>
      </c>
      <c r="L7163" s="14" t="n">
        <f aca="false">($L$2*M7163)/100</f>
        <v>636883.245</v>
      </c>
      <c r="M7163" s="15" t="n">
        <v>0.53</v>
      </c>
      <c r="N7163" s="9" t="s">
        <v>85</v>
      </c>
    </row>
    <row r="7164" customFormat="false" ht="14.25" hidden="false" customHeight="true" outlineLevel="0" collapsed="false">
      <c r="B7164" s="9" t="s">
        <v>32</v>
      </c>
      <c r="C7164" s="9" t="n">
        <v>1185732</v>
      </c>
      <c r="D7164" s="10" t="n">
        <v>44393</v>
      </c>
      <c r="E7164" s="9" t="s">
        <v>17</v>
      </c>
      <c r="F7164" s="9" t="s">
        <v>120</v>
      </c>
      <c r="G7164" s="9" t="s">
        <v>95</v>
      </c>
      <c r="H7164" s="11" t="s">
        <v>23</v>
      </c>
      <c r="I7164" s="12" t="n">
        <v>48</v>
      </c>
      <c r="J7164" s="13" t="n">
        <v>77</v>
      </c>
      <c r="K7164" s="14" t="n">
        <f aca="false">I7164*J7164</f>
        <v>3696</v>
      </c>
      <c r="L7164" s="14" t="n">
        <f aca="false">($L$2*M7164)/100</f>
        <v>612849.915</v>
      </c>
      <c r="M7164" s="15" t="n">
        <v>0.51</v>
      </c>
      <c r="N7164" s="9" t="s">
        <v>85</v>
      </c>
    </row>
    <row r="7165" customFormat="false" ht="14.25" hidden="false" customHeight="true" outlineLevel="0" collapsed="false">
      <c r="B7165" s="9" t="s">
        <v>32</v>
      </c>
      <c r="C7165" s="9" t="n">
        <v>1185732</v>
      </c>
      <c r="D7165" s="10" t="n">
        <v>44393</v>
      </c>
      <c r="E7165" s="9" t="s">
        <v>17</v>
      </c>
      <c r="F7165" s="9" t="s">
        <v>120</v>
      </c>
      <c r="G7165" s="9" t="s">
        <v>95</v>
      </c>
      <c r="H7165" s="11" t="s">
        <v>24</v>
      </c>
      <c r="I7165" s="12" t="n">
        <v>54</v>
      </c>
      <c r="J7165" s="13" t="n">
        <v>87</v>
      </c>
      <c r="K7165" s="14" t="n">
        <f aca="false">I7165*J7165</f>
        <v>4698</v>
      </c>
      <c r="L7165" s="14" t="n">
        <f aca="false">($L$2*M7165)/100</f>
        <v>648899.91</v>
      </c>
      <c r="M7165" s="15" t="n">
        <v>0.54</v>
      </c>
      <c r="N7165" s="9" t="s">
        <v>85</v>
      </c>
    </row>
    <row r="7166" customFormat="false" ht="14.25" hidden="false" customHeight="true" outlineLevel="0" collapsed="false">
      <c r="B7166" s="9" t="s">
        <v>32</v>
      </c>
      <c r="C7166" s="9" t="n">
        <v>1185732</v>
      </c>
      <c r="D7166" s="10" t="n">
        <v>44393</v>
      </c>
      <c r="E7166" s="9" t="s">
        <v>17</v>
      </c>
      <c r="F7166" s="9" t="s">
        <v>120</v>
      </c>
      <c r="G7166" s="9" t="s">
        <v>95</v>
      </c>
      <c r="H7166" s="11" t="s">
        <v>25</v>
      </c>
      <c r="I7166" s="12" t="n">
        <v>63</v>
      </c>
      <c r="J7166" s="13" t="n">
        <v>133</v>
      </c>
      <c r="K7166" s="14" t="n">
        <f aca="false">I7166*J7166</f>
        <v>8379</v>
      </c>
      <c r="L7166" s="14" t="n">
        <f aca="false">($L$2*M7166)/100</f>
        <v>648899.91</v>
      </c>
      <c r="M7166" s="15" t="n">
        <v>0.54</v>
      </c>
      <c r="N7166" s="9" t="s">
        <v>85</v>
      </c>
    </row>
    <row r="7167" customFormat="false" ht="14.25" hidden="false" customHeight="true" outlineLevel="0" collapsed="false">
      <c r="B7167" s="9" t="s">
        <v>32</v>
      </c>
      <c r="C7167" s="9" t="n">
        <v>1185732</v>
      </c>
      <c r="D7167" s="10" t="n">
        <v>44425</v>
      </c>
      <c r="E7167" s="9" t="s">
        <v>17</v>
      </c>
      <c r="F7167" s="9" t="s">
        <v>120</v>
      </c>
      <c r="G7167" s="9" t="s">
        <v>95</v>
      </c>
      <c r="H7167" s="11" t="s">
        <v>19</v>
      </c>
      <c r="I7167" s="12" t="n">
        <v>46</v>
      </c>
      <c r="J7167" s="13" t="n">
        <v>131</v>
      </c>
      <c r="K7167" s="14" t="n">
        <f aca="false">I7167*J7167</f>
        <v>6026</v>
      </c>
      <c r="L7167" s="14" t="n">
        <f aca="false">($L$2*M7167)/100</f>
        <v>624866.58</v>
      </c>
      <c r="M7167" s="15" t="n">
        <v>0.52</v>
      </c>
      <c r="N7167" s="9" t="s">
        <v>85</v>
      </c>
    </row>
    <row r="7168" customFormat="false" ht="14.25" hidden="false" customHeight="true" outlineLevel="0" collapsed="false">
      <c r="B7168" s="9" t="s">
        <v>32</v>
      </c>
      <c r="C7168" s="9" t="n">
        <v>1185732</v>
      </c>
      <c r="D7168" s="10" t="n">
        <v>44425</v>
      </c>
      <c r="E7168" s="9" t="s">
        <v>17</v>
      </c>
      <c r="F7168" s="9" t="s">
        <v>120</v>
      </c>
      <c r="G7168" s="9" t="s">
        <v>95</v>
      </c>
      <c r="H7168" s="11" t="s">
        <v>21</v>
      </c>
      <c r="I7168" s="12" t="n">
        <v>42</v>
      </c>
      <c r="J7168" s="13" t="n">
        <v>90</v>
      </c>
      <c r="K7168" s="14" t="n">
        <f aca="false">I7168*J7168</f>
        <v>3780</v>
      </c>
      <c r="L7168" s="14" t="n">
        <f aca="false">($L$2*M7168)/100</f>
        <v>660916.575</v>
      </c>
      <c r="M7168" s="15" t="n">
        <v>0.55</v>
      </c>
      <c r="N7168" s="9" t="s">
        <v>85</v>
      </c>
    </row>
    <row r="7169" customFormat="false" ht="14.25" hidden="false" customHeight="true" outlineLevel="0" collapsed="false">
      <c r="B7169" s="9" t="s">
        <v>32</v>
      </c>
      <c r="C7169" s="9" t="n">
        <v>1185732</v>
      </c>
      <c r="D7169" s="10" t="n">
        <v>44425</v>
      </c>
      <c r="E7169" s="9" t="s">
        <v>17</v>
      </c>
      <c r="F7169" s="9" t="s">
        <v>120</v>
      </c>
      <c r="G7169" s="9" t="s">
        <v>95</v>
      </c>
      <c r="H7169" s="11" t="s">
        <v>22</v>
      </c>
      <c r="I7169" s="12" t="n">
        <v>38</v>
      </c>
      <c r="J7169" s="13" t="n">
        <v>87</v>
      </c>
      <c r="K7169" s="14" t="n">
        <f aca="false">I7169*J7169</f>
        <v>3306</v>
      </c>
      <c r="L7169" s="14" t="n">
        <f aca="false">($L$2*M7169)/100</f>
        <v>624866.58</v>
      </c>
      <c r="M7169" s="15" t="n">
        <v>0.52</v>
      </c>
      <c r="N7169" s="9" t="s">
        <v>85</v>
      </c>
    </row>
    <row r="7170" customFormat="false" ht="14.25" hidden="false" customHeight="true" outlineLevel="0" collapsed="false">
      <c r="B7170" s="9" t="s">
        <v>32</v>
      </c>
      <c r="C7170" s="9" t="n">
        <v>1185732</v>
      </c>
      <c r="D7170" s="10" t="n">
        <v>44425</v>
      </c>
      <c r="E7170" s="9" t="s">
        <v>17</v>
      </c>
      <c r="F7170" s="9" t="s">
        <v>120</v>
      </c>
      <c r="G7170" s="9" t="s">
        <v>95</v>
      </c>
      <c r="H7170" s="11" t="s">
        <v>23</v>
      </c>
      <c r="I7170" s="12" t="n">
        <v>36</v>
      </c>
      <c r="J7170" s="13" t="n">
        <v>72</v>
      </c>
      <c r="K7170" s="14" t="n">
        <f aca="false">I7170*J7170</f>
        <v>2592</v>
      </c>
      <c r="L7170" s="14" t="n">
        <f aca="false">($L$2*M7170)/100</f>
        <v>612849.915</v>
      </c>
      <c r="M7170" s="15" t="n">
        <v>0.51</v>
      </c>
      <c r="N7170" s="9" t="s">
        <v>85</v>
      </c>
    </row>
    <row r="7171" customFormat="false" ht="14.25" hidden="false" customHeight="true" outlineLevel="0" collapsed="false">
      <c r="B7171" s="9" t="s">
        <v>32</v>
      </c>
      <c r="C7171" s="9" t="n">
        <v>1185732</v>
      </c>
      <c r="D7171" s="10" t="n">
        <v>44425</v>
      </c>
      <c r="E7171" s="9" t="s">
        <v>17</v>
      </c>
      <c r="F7171" s="9" t="s">
        <v>120</v>
      </c>
      <c r="G7171" s="9" t="s">
        <v>95</v>
      </c>
      <c r="H7171" s="11" t="s">
        <v>24</v>
      </c>
      <c r="I7171" s="12" t="n">
        <v>49</v>
      </c>
      <c r="J7171" s="13" t="n">
        <v>68</v>
      </c>
      <c r="K7171" s="14" t="n">
        <f aca="false">I7171*J7171</f>
        <v>3332</v>
      </c>
      <c r="L7171" s="14" t="n">
        <f aca="false">($L$2*M7171)/100</f>
        <v>648899.91</v>
      </c>
      <c r="M7171" s="15" t="n">
        <v>0.54</v>
      </c>
      <c r="N7171" s="9" t="s">
        <v>85</v>
      </c>
    </row>
    <row r="7172" customFormat="false" ht="14.25" hidden="false" customHeight="true" outlineLevel="0" collapsed="false">
      <c r="B7172" s="9" t="s">
        <v>32</v>
      </c>
      <c r="C7172" s="9" t="n">
        <v>1185732</v>
      </c>
      <c r="D7172" s="10" t="n">
        <v>44425</v>
      </c>
      <c r="E7172" s="9" t="s">
        <v>17</v>
      </c>
      <c r="F7172" s="9" t="s">
        <v>120</v>
      </c>
      <c r="G7172" s="9" t="s">
        <v>95</v>
      </c>
      <c r="H7172" s="11" t="s">
        <v>25</v>
      </c>
      <c r="I7172" s="12" t="n">
        <v>54</v>
      </c>
      <c r="J7172" s="13" t="n">
        <v>115</v>
      </c>
      <c r="K7172" s="14" t="n">
        <f aca="false">I7172*J7172</f>
        <v>6210</v>
      </c>
      <c r="L7172" s="14" t="n">
        <f aca="false">($L$2*M7172)/100</f>
        <v>648899.91</v>
      </c>
      <c r="M7172" s="15" t="n">
        <v>0.54</v>
      </c>
      <c r="N7172" s="9" t="s">
        <v>85</v>
      </c>
    </row>
    <row r="7173" customFormat="false" ht="14.25" hidden="false" customHeight="true" outlineLevel="0" collapsed="false">
      <c r="B7173" s="9" t="s">
        <v>32</v>
      </c>
      <c r="C7173" s="9" t="n">
        <v>1185732</v>
      </c>
      <c r="D7173" s="10" t="n">
        <v>44457</v>
      </c>
      <c r="E7173" s="9" t="s">
        <v>17</v>
      </c>
      <c r="F7173" s="9" t="s">
        <v>120</v>
      </c>
      <c r="G7173" s="9" t="s">
        <v>95</v>
      </c>
      <c r="H7173" s="11" t="s">
        <v>19</v>
      </c>
      <c r="I7173" s="12" t="n">
        <v>34</v>
      </c>
      <c r="J7173" s="13" t="n">
        <v>154</v>
      </c>
      <c r="K7173" s="14" t="n">
        <f aca="false">I7173*J7173</f>
        <v>5236</v>
      </c>
      <c r="L7173" s="14" t="n">
        <f aca="false">($L$2*M7173)/100</f>
        <v>612849.915</v>
      </c>
      <c r="M7173" s="15" t="n">
        <v>0.51</v>
      </c>
      <c r="N7173" s="9" t="s">
        <v>85</v>
      </c>
    </row>
    <row r="7174" customFormat="false" ht="14.25" hidden="false" customHeight="true" outlineLevel="0" collapsed="false">
      <c r="B7174" s="9" t="s">
        <v>32</v>
      </c>
      <c r="C7174" s="9" t="n">
        <v>1185732</v>
      </c>
      <c r="D7174" s="10" t="n">
        <v>44457</v>
      </c>
      <c r="E7174" s="9" t="s">
        <v>17</v>
      </c>
      <c r="F7174" s="9" t="s">
        <v>120</v>
      </c>
      <c r="G7174" s="9" t="s">
        <v>95</v>
      </c>
      <c r="H7174" s="11" t="s">
        <v>21</v>
      </c>
      <c r="I7174" s="12" t="n">
        <v>29</v>
      </c>
      <c r="J7174" s="13" t="n">
        <v>91</v>
      </c>
      <c r="K7174" s="14" t="n">
        <f aca="false">I7174*J7174</f>
        <v>2639</v>
      </c>
      <c r="L7174" s="14" t="n">
        <f aca="false">($L$2*M7174)/100</f>
        <v>636883.245</v>
      </c>
      <c r="M7174" s="15" t="n">
        <v>0.53</v>
      </c>
      <c r="N7174" s="9" t="s">
        <v>85</v>
      </c>
    </row>
    <row r="7175" customFormat="false" ht="14.25" hidden="false" customHeight="true" outlineLevel="0" collapsed="false">
      <c r="B7175" s="9" t="s">
        <v>32</v>
      </c>
      <c r="C7175" s="9" t="n">
        <v>1185732</v>
      </c>
      <c r="D7175" s="10" t="n">
        <v>44457</v>
      </c>
      <c r="E7175" s="9" t="s">
        <v>17</v>
      </c>
      <c r="F7175" s="9" t="s">
        <v>120</v>
      </c>
      <c r="G7175" s="9" t="s">
        <v>95</v>
      </c>
      <c r="H7175" s="11" t="s">
        <v>22</v>
      </c>
      <c r="I7175" s="12" t="n">
        <v>24</v>
      </c>
      <c r="J7175" s="13" t="n">
        <v>68</v>
      </c>
      <c r="K7175" s="14" t="n">
        <f aca="false">I7175*J7175</f>
        <v>1632</v>
      </c>
      <c r="L7175" s="14" t="n">
        <f aca="false">($L$2*M7175)/100</f>
        <v>648899.91</v>
      </c>
      <c r="M7175" s="15" t="n">
        <v>0.54</v>
      </c>
      <c r="N7175" s="9" t="s">
        <v>85</v>
      </c>
    </row>
    <row r="7176" customFormat="false" ht="14.25" hidden="false" customHeight="true" outlineLevel="0" collapsed="false">
      <c r="B7176" s="9" t="s">
        <v>32</v>
      </c>
      <c r="C7176" s="9" t="n">
        <v>1185732</v>
      </c>
      <c r="D7176" s="10" t="n">
        <v>44457</v>
      </c>
      <c r="E7176" s="9" t="s">
        <v>17</v>
      </c>
      <c r="F7176" s="9" t="s">
        <v>120</v>
      </c>
      <c r="G7176" s="9" t="s">
        <v>95</v>
      </c>
      <c r="H7176" s="11" t="s">
        <v>23</v>
      </c>
      <c r="I7176" s="12" t="n">
        <v>23</v>
      </c>
      <c r="J7176" s="13" t="n">
        <v>59</v>
      </c>
      <c r="K7176" s="14" t="n">
        <f aca="false">I7176*J7176</f>
        <v>1357</v>
      </c>
      <c r="L7176" s="14" t="n">
        <f aca="false">($L$2*M7176)/100</f>
        <v>600833.25</v>
      </c>
      <c r="M7176" s="15" t="n">
        <v>0.5</v>
      </c>
      <c r="N7176" s="9" t="s">
        <v>85</v>
      </c>
    </row>
    <row r="7177" customFormat="false" ht="14.25" hidden="false" customHeight="true" outlineLevel="0" collapsed="false">
      <c r="B7177" s="9" t="s">
        <v>32</v>
      </c>
      <c r="C7177" s="9" t="n">
        <v>1185732</v>
      </c>
      <c r="D7177" s="10" t="n">
        <v>44457</v>
      </c>
      <c r="E7177" s="9" t="s">
        <v>17</v>
      </c>
      <c r="F7177" s="9" t="s">
        <v>120</v>
      </c>
      <c r="G7177" s="9" t="s">
        <v>95</v>
      </c>
      <c r="H7177" s="11" t="s">
        <v>24</v>
      </c>
      <c r="I7177" s="12" t="n">
        <v>32</v>
      </c>
      <c r="J7177" s="13" t="n">
        <v>61</v>
      </c>
      <c r="K7177" s="14" t="n">
        <f aca="false">I7177*J7177</f>
        <v>1952</v>
      </c>
      <c r="L7177" s="14" t="n">
        <f aca="false">($L$2*M7177)/100</f>
        <v>624866.58</v>
      </c>
      <c r="M7177" s="15" t="n">
        <v>0.52</v>
      </c>
      <c r="N7177" s="9" t="s">
        <v>85</v>
      </c>
    </row>
    <row r="7178" customFormat="false" ht="14.25" hidden="false" customHeight="true" outlineLevel="0" collapsed="false">
      <c r="B7178" s="9" t="s">
        <v>32</v>
      </c>
      <c r="C7178" s="9" t="n">
        <v>1185732</v>
      </c>
      <c r="D7178" s="10" t="n">
        <v>44457</v>
      </c>
      <c r="E7178" s="9" t="s">
        <v>17</v>
      </c>
      <c r="F7178" s="9" t="s">
        <v>120</v>
      </c>
      <c r="G7178" s="9" t="s">
        <v>95</v>
      </c>
      <c r="H7178" s="11" t="s">
        <v>25</v>
      </c>
      <c r="I7178" s="12" t="n">
        <v>36</v>
      </c>
      <c r="J7178" s="13" t="n">
        <v>75</v>
      </c>
      <c r="K7178" s="14" t="n">
        <f aca="false">I7178*J7178</f>
        <v>2700</v>
      </c>
      <c r="L7178" s="14" t="n">
        <f aca="false">($L$2*M7178)/100</f>
        <v>612849.915</v>
      </c>
      <c r="M7178" s="15" t="n">
        <v>0.51</v>
      </c>
      <c r="N7178" s="9" t="s">
        <v>85</v>
      </c>
    </row>
    <row r="7179" customFormat="false" ht="14.25" hidden="false" customHeight="true" outlineLevel="0" collapsed="false">
      <c r="B7179" s="9" t="s">
        <v>32</v>
      </c>
      <c r="C7179" s="9" t="n">
        <v>1185732</v>
      </c>
      <c r="D7179" s="10" t="n">
        <v>44486</v>
      </c>
      <c r="E7179" s="9" t="s">
        <v>17</v>
      </c>
      <c r="F7179" s="9" t="s">
        <v>120</v>
      </c>
      <c r="G7179" s="9" t="s">
        <v>95</v>
      </c>
      <c r="H7179" s="11" t="s">
        <v>19</v>
      </c>
      <c r="I7179" s="12" t="n">
        <v>41</v>
      </c>
      <c r="J7179" s="13" t="n">
        <v>115</v>
      </c>
      <c r="K7179" s="14" t="n">
        <f aca="false">I7179*J7179</f>
        <v>4715</v>
      </c>
      <c r="L7179" s="14" t="n">
        <f aca="false">($L$2*M7179)/100</f>
        <v>648899.91</v>
      </c>
      <c r="M7179" s="15" t="n">
        <v>0.54</v>
      </c>
      <c r="N7179" s="9" t="s">
        <v>85</v>
      </c>
    </row>
    <row r="7180" customFormat="false" ht="14.25" hidden="false" customHeight="true" outlineLevel="0" collapsed="false">
      <c r="B7180" s="9" t="s">
        <v>32</v>
      </c>
      <c r="C7180" s="9" t="n">
        <v>1185732</v>
      </c>
      <c r="D7180" s="10" t="n">
        <v>44486</v>
      </c>
      <c r="E7180" s="9" t="s">
        <v>17</v>
      </c>
      <c r="F7180" s="9" t="s">
        <v>120</v>
      </c>
      <c r="G7180" s="9" t="s">
        <v>95</v>
      </c>
      <c r="H7180" s="11" t="s">
        <v>21</v>
      </c>
      <c r="I7180" s="12" t="n">
        <v>32</v>
      </c>
      <c r="J7180" s="13" t="n">
        <v>80</v>
      </c>
      <c r="K7180" s="14" t="n">
        <f aca="false">I7180*J7180</f>
        <v>2560</v>
      </c>
      <c r="L7180" s="14" t="n">
        <f aca="false">($L$2*M7180)/100</f>
        <v>624866.58</v>
      </c>
      <c r="M7180" s="15" t="n">
        <v>0.52</v>
      </c>
      <c r="N7180" s="9" t="s">
        <v>85</v>
      </c>
    </row>
    <row r="7181" customFormat="false" ht="14.25" hidden="false" customHeight="true" outlineLevel="0" collapsed="false">
      <c r="B7181" s="9" t="s">
        <v>32</v>
      </c>
      <c r="C7181" s="9" t="n">
        <v>1185732</v>
      </c>
      <c r="D7181" s="10" t="n">
        <v>44486</v>
      </c>
      <c r="E7181" s="9" t="s">
        <v>17</v>
      </c>
      <c r="F7181" s="9" t="s">
        <v>120</v>
      </c>
      <c r="G7181" s="9" t="s">
        <v>95</v>
      </c>
      <c r="H7181" s="11" t="s">
        <v>22</v>
      </c>
      <c r="I7181" s="12" t="n">
        <v>33</v>
      </c>
      <c r="J7181" s="13" t="n">
        <v>44</v>
      </c>
      <c r="K7181" s="14" t="n">
        <f aca="false">I7181*J7181</f>
        <v>1452</v>
      </c>
      <c r="L7181" s="14" t="n">
        <f aca="false">($L$2*M7181)/100</f>
        <v>636883.245</v>
      </c>
      <c r="M7181" s="15" t="n">
        <v>0.53</v>
      </c>
      <c r="N7181" s="9" t="s">
        <v>85</v>
      </c>
    </row>
    <row r="7182" customFormat="false" ht="14.25" hidden="false" customHeight="true" outlineLevel="0" collapsed="false">
      <c r="B7182" s="9" t="s">
        <v>32</v>
      </c>
      <c r="C7182" s="9" t="n">
        <v>1185732</v>
      </c>
      <c r="D7182" s="10" t="n">
        <v>44486</v>
      </c>
      <c r="E7182" s="9" t="s">
        <v>17</v>
      </c>
      <c r="F7182" s="9" t="s">
        <v>120</v>
      </c>
      <c r="G7182" s="9" t="s">
        <v>95</v>
      </c>
      <c r="H7182" s="11" t="s">
        <v>23</v>
      </c>
      <c r="I7182" s="12" t="n">
        <v>32</v>
      </c>
      <c r="J7182" s="13" t="n">
        <v>47</v>
      </c>
      <c r="K7182" s="14" t="n">
        <f aca="false">I7182*J7182</f>
        <v>1504</v>
      </c>
      <c r="L7182" s="14" t="n">
        <f aca="false">($L$2*M7182)/100</f>
        <v>636883.245</v>
      </c>
      <c r="M7182" s="15" t="n">
        <v>0.53</v>
      </c>
      <c r="N7182" s="9" t="s">
        <v>85</v>
      </c>
    </row>
    <row r="7183" customFormat="false" ht="14.25" hidden="false" customHeight="true" outlineLevel="0" collapsed="false">
      <c r="B7183" s="9" t="s">
        <v>32</v>
      </c>
      <c r="C7183" s="9" t="n">
        <v>1185732</v>
      </c>
      <c r="D7183" s="10" t="n">
        <v>44486</v>
      </c>
      <c r="E7183" s="9" t="s">
        <v>17</v>
      </c>
      <c r="F7183" s="9" t="s">
        <v>120</v>
      </c>
      <c r="G7183" s="9" t="s">
        <v>95</v>
      </c>
      <c r="H7183" s="11" t="s">
        <v>24</v>
      </c>
      <c r="I7183" s="12" t="n">
        <v>41</v>
      </c>
      <c r="J7183" s="13" t="n">
        <v>53</v>
      </c>
      <c r="K7183" s="14" t="n">
        <f aca="false">I7183*J7183</f>
        <v>2173</v>
      </c>
      <c r="L7183" s="14" t="n">
        <f aca="false">($L$2*M7183)/100</f>
        <v>660916.575</v>
      </c>
      <c r="M7183" s="15" t="n">
        <v>0.55</v>
      </c>
      <c r="N7183" s="9" t="s">
        <v>85</v>
      </c>
    </row>
    <row r="7184" customFormat="false" ht="14.25" hidden="false" customHeight="true" outlineLevel="0" collapsed="false">
      <c r="B7184" s="9" t="s">
        <v>16</v>
      </c>
      <c r="C7184" s="9" t="n">
        <v>1185732</v>
      </c>
      <c r="D7184" s="10" t="n">
        <v>44486</v>
      </c>
      <c r="E7184" s="9" t="s">
        <v>17</v>
      </c>
      <c r="F7184" s="9" t="s">
        <v>120</v>
      </c>
      <c r="G7184" s="9" t="s">
        <v>95</v>
      </c>
      <c r="H7184" s="11" t="s">
        <v>25</v>
      </c>
      <c r="I7184" s="12" t="n">
        <v>47</v>
      </c>
      <c r="J7184" s="13" t="n">
        <v>84</v>
      </c>
      <c r="K7184" s="14" t="n">
        <f aca="false">I7184*J7184</f>
        <v>3948</v>
      </c>
      <c r="L7184" s="14" t="n">
        <f aca="false">($L$2*M7184)/100</f>
        <v>600833.25</v>
      </c>
      <c r="M7184" s="15" t="n">
        <v>0.5</v>
      </c>
      <c r="N7184" s="9" t="s">
        <v>85</v>
      </c>
    </row>
    <row r="7185" customFormat="false" ht="14.25" hidden="false" customHeight="true" outlineLevel="0" collapsed="false">
      <c r="B7185" s="9" t="s">
        <v>16</v>
      </c>
      <c r="C7185" s="9" t="n">
        <v>1185732</v>
      </c>
      <c r="D7185" s="10" t="n">
        <v>44517</v>
      </c>
      <c r="E7185" s="9" t="s">
        <v>17</v>
      </c>
      <c r="F7185" s="9" t="s">
        <v>120</v>
      </c>
      <c r="G7185" s="9" t="s">
        <v>95</v>
      </c>
      <c r="H7185" s="11" t="s">
        <v>19</v>
      </c>
      <c r="I7185" s="12" t="n">
        <v>44</v>
      </c>
      <c r="J7185" s="13" t="n">
        <v>117</v>
      </c>
      <c r="K7185" s="14" t="n">
        <f aca="false">I7185*J7185</f>
        <v>5148</v>
      </c>
      <c r="L7185" s="14" t="n">
        <f aca="false">($L$2*M7185)/100</f>
        <v>624866.58</v>
      </c>
      <c r="M7185" s="15" t="n">
        <v>0.52</v>
      </c>
      <c r="N7185" s="9" t="s">
        <v>85</v>
      </c>
    </row>
    <row r="7186" customFormat="false" ht="14.25" hidden="false" customHeight="true" outlineLevel="0" collapsed="false">
      <c r="B7186" s="9" t="s">
        <v>16</v>
      </c>
      <c r="C7186" s="9" t="n">
        <v>1185732</v>
      </c>
      <c r="D7186" s="10" t="n">
        <v>44517</v>
      </c>
      <c r="E7186" s="9" t="s">
        <v>17</v>
      </c>
      <c r="F7186" s="9" t="s">
        <v>120</v>
      </c>
      <c r="G7186" s="9" t="s">
        <v>95</v>
      </c>
      <c r="H7186" s="11" t="s">
        <v>21</v>
      </c>
      <c r="I7186" s="12" t="n">
        <v>33</v>
      </c>
      <c r="J7186" s="13" t="n">
        <v>95</v>
      </c>
      <c r="K7186" s="14" t="n">
        <f aca="false">I7186*J7186</f>
        <v>3135</v>
      </c>
      <c r="L7186" s="14" t="n">
        <f aca="false">($L$2*M7186)/100</f>
        <v>636883.245</v>
      </c>
      <c r="M7186" s="15" t="n">
        <v>0.53</v>
      </c>
      <c r="N7186" s="9" t="s">
        <v>85</v>
      </c>
    </row>
    <row r="7187" customFormat="false" ht="14.25" hidden="false" customHeight="true" outlineLevel="0" collapsed="false">
      <c r="B7187" s="9" t="s">
        <v>16</v>
      </c>
      <c r="C7187" s="9" t="n">
        <v>1185732</v>
      </c>
      <c r="D7187" s="10" t="n">
        <v>44517</v>
      </c>
      <c r="E7187" s="9" t="s">
        <v>17</v>
      </c>
      <c r="F7187" s="9" t="s">
        <v>120</v>
      </c>
      <c r="G7187" s="9" t="s">
        <v>95</v>
      </c>
      <c r="H7187" s="11" t="s">
        <v>22</v>
      </c>
      <c r="I7187" s="12" t="n">
        <v>32</v>
      </c>
      <c r="J7187" s="13" t="n">
        <v>77</v>
      </c>
      <c r="K7187" s="14" t="n">
        <f aca="false">I7187*J7187</f>
        <v>2464</v>
      </c>
      <c r="L7187" s="14" t="n">
        <f aca="false">($L$2*M7187)/100</f>
        <v>600833.25</v>
      </c>
      <c r="M7187" s="15" t="n">
        <v>0.5</v>
      </c>
      <c r="N7187" s="9" t="s">
        <v>85</v>
      </c>
    </row>
    <row r="7188" customFormat="false" ht="14.25" hidden="false" customHeight="true" outlineLevel="0" collapsed="false">
      <c r="B7188" s="9" t="s">
        <v>16</v>
      </c>
      <c r="C7188" s="9" t="n">
        <v>1185732</v>
      </c>
      <c r="D7188" s="10" t="n">
        <v>44517</v>
      </c>
      <c r="E7188" s="9" t="s">
        <v>17</v>
      </c>
      <c r="F7188" s="9" t="s">
        <v>120</v>
      </c>
      <c r="G7188" s="9" t="s">
        <v>95</v>
      </c>
      <c r="H7188" s="11" t="s">
        <v>23</v>
      </c>
      <c r="I7188" s="12" t="n">
        <v>38</v>
      </c>
      <c r="J7188" s="13" t="n">
        <v>91</v>
      </c>
      <c r="K7188" s="14" t="n">
        <f aca="false">I7188*J7188</f>
        <v>3458</v>
      </c>
      <c r="L7188" s="14" t="n">
        <f aca="false">($L$2*M7188)/100</f>
        <v>660916.575</v>
      </c>
      <c r="M7188" s="15" t="n">
        <v>0.55</v>
      </c>
      <c r="N7188" s="9" t="s">
        <v>85</v>
      </c>
    </row>
    <row r="7189" customFormat="false" ht="14.25" hidden="false" customHeight="true" outlineLevel="0" collapsed="false">
      <c r="B7189" s="9" t="s">
        <v>16</v>
      </c>
      <c r="C7189" s="9" t="n">
        <v>1185732</v>
      </c>
      <c r="D7189" s="10" t="n">
        <v>44517</v>
      </c>
      <c r="E7189" s="9" t="s">
        <v>17</v>
      </c>
      <c r="F7189" s="9" t="s">
        <v>120</v>
      </c>
      <c r="G7189" s="9" t="s">
        <v>95</v>
      </c>
      <c r="H7189" s="11" t="s">
        <v>24</v>
      </c>
      <c r="I7189" s="12" t="n">
        <v>62</v>
      </c>
      <c r="J7189" s="13" t="n">
        <v>78</v>
      </c>
      <c r="K7189" s="14" t="n">
        <f aca="false">I7189*J7189</f>
        <v>4836</v>
      </c>
      <c r="L7189" s="14" t="n">
        <f aca="false">($L$2*M7189)/100</f>
        <v>636883.245</v>
      </c>
      <c r="M7189" s="15" t="n">
        <v>0.53</v>
      </c>
      <c r="N7189" s="9" t="s">
        <v>85</v>
      </c>
    </row>
    <row r="7190" customFormat="false" ht="14.25" hidden="false" customHeight="true" outlineLevel="0" collapsed="false">
      <c r="B7190" s="9" t="s">
        <v>16</v>
      </c>
      <c r="C7190" s="9" t="n">
        <v>1185732</v>
      </c>
      <c r="D7190" s="10" t="n">
        <v>44517</v>
      </c>
      <c r="E7190" s="9" t="s">
        <v>17</v>
      </c>
      <c r="F7190" s="9" t="s">
        <v>120</v>
      </c>
      <c r="G7190" s="9" t="s">
        <v>95</v>
      </c>
      <c r="H7190" s="11" t="s">
        <v>25</v>
      </c>
      <c r="I7190" s="12" t="n">
        <v>64</v>
      </c>
      <c r="J7190" s="13" t="n">
        <v>100</v>
      </c>
      <c r="K7190" s="14" t="n">
        <f aca="false">I7190*J7190</f>
        <v>6400</v>
      </c>
      <c r="L7190" s="14" t="n">
        <f aca="false">($L$2*M7190)/100</f>
        <v>612849.915</v>
      </c>
      <c r="M7190" s="15" t="n">
        <v>0.51</v>
      </c>
      <c r="N7190" s="9" t="s">
        <v>85</v>
      </c>
    </row>
    <row r="7191" customFormat="false" ht="14.25" hidden="false" customHeight="true" outlineLevel="0" collapsed="false">
      <c r="B7191" s="9" t="s">
        <v>16</v>
      </c>
      <c r="C7191" s="9" t="n">
        <v>1185732</v>
      </c>
      <c r="D7191" s="10" t="n">
        <v>44546</v>
      </c>
      <c r="E7191" s="9" t="s">
        <v>17</v>
      </c>
      <c r="F7191" s="9" t="s">
        <v>120</v>
      </c>
      <c r="G7191" s="9" t="s">
        <v>95</v>
      </c>
      <c r="H7191" s="11" t="s">
        <v>19</v>
      </c>
      <c r="I7191" s="12" t="n">
        <v>60</v>
      </c>
      <c r="J7191" s="13" t="n">
        <v>176</v>
      </c>
      <c r="K7191" s="14" t="n">
        <f aca="false">I7191*J7191</f>
        <v>10560</v>
      </c>
      <c r="L7191" s="14" t="n">
        <f aca="false">($L$2*M7191)/100</f>
        <v>624866.58</v>
      </c>
      <c r="M7191" s="15" t="n">
        <v>0.52</v>
      </c>
      <c r="N7191" s="9" t="s">
        <v>85</v>
      </c>
    </row>
    <row r="7192" customFormat="false" ht="14.25" hidden="false" customHeight="true" outlineLevel="0" collapsed="false">
      <c r="B7192" s="9" t="s">
        <v>16</v>
      </c>
      <c r="C7192" s="9" t="n">
        <v>1185732</v>
      </c>
      <c r="D7192" s="10" t="n">
        <v>44546</v>
      </c>
      <c r="E7192" s="9" t="s">
        <v>17</v>
      </c>
      <c r="F7192" s="9" t="s">
        <v>120</v>
      </c>
      <c r="G7192" s="9" t="s">
        <v>95</v>
      </c>
      <c r="H7192" s="11" t="s">
        <v>21</v>
      </c>
      <c r="I7192" s="12" t="n">
        <v>52</v>
      </c>
      <c r="J7192" s="13" t="n">
        <v>135</v>
      </c>
      <c r="K7192" s="14" t="n">
        <f aca="false">I7192*J7192</f>
        <v>7020</v>
      </c>
      <c r="L7192" s="14" t="n">
        <f aca="false">($L$2*M7192)/100</f>
        <v>624866.58</v>
      </c>
      <c r="M7192" s="15" t="n">
        <v>0.52</v>
      </c>
      <c r="N7192" s="9" t="s">
        <v>85</v>
      </c>
    </row>
    <row r="7193" customFormat="false" ht="14.25" hidden="false" customHeight="true" outlineLevel="0" collapsed="false">
      <c r="B7193" s="9" t="s">
        <v>32</v>
      </c>
      <c r="C7193" s="9" t="n">
        <v>1185732</v>
      </c>
      <c r="D7193" s="10" t="n">
        <v>44546</v>
      </c>
      <c r="E7193" s="9" t="s">
        <v>17</v>
      </c>
      <c r="F7193" s="9" t="s">
        <v>120</v>
      </c>
      <c r="G7193" s="9" t="s">
        <v>95</v>
      </c>
      <c r="H7193" s="11" t="s">
        <v>22</v>
      </c>
      <c r="I7193" s="12" t="n">
        <v>50</v>
      </c>
      <c r="J7193" s="13" t="n">
        <v>112</v>
      </c>
      <c r="K7193" s="14" t="n">
        <f aca="false">I7193*J7193</f>
        <v>5600</v>
      </c>
      <c r="L7193" s="14" t="n">
        <f aca="false">($L$2*M7193)/100</f>
        <v>636883.245</v>
      </c>
      <c r="M7193" s="15" t="n">
        <v>0.53</v>
      </c>
      <c r="N7193" s="9" t="s">
        <v>85</v>
      </c>
    </row>
    <row r="7194" customFormat="false" ht="14.25" hidden="false" customHeight="true" outlineLevel="0" collapsed="false">
      <c r="B7194" s="9" t="s">
        <v>16</v>
      </c>
      <c r="C7194" s="9" t="n">
        <v>1185732</v>
      </c>
      <c r="D7194" s="10" t="n">
        <v>44546</v>
      </c>
      <c r="E7194" s="9" t="s">
        <v>17</v>
      </c>
      <c r="F7194" s="9" t="s">
        <v>120</v>
      </c>
      <c r="G7194" s="9" t="s">
        <v>95</v>
      </c>
      <c r="H7194" s="11" t="s">
        <v>23</v>
      </c>
      <c r="I7194" s="12" t="n">
        <v>53</v>
      </c>
      <c r="J7194" s="13" t="n">
        <v>102</v>
      </c>
      <c r="K7194" s="14" t="n">
        <f aca="false">I7194*J7194</f>
        <v>5406</v>
      </c>
      <c r="L7194" s="14" t="n">
        <f aca="false">($L$2*M7194)/100</f>
        <v>612849.915</v>
      </c>
      <c r="M7194" s="15" t="n">
        <v>0.51</v>
      </c>
      <c r="N7194" s="9" t="s">
        <v>85</v>
      </c>
    </row>
    <row r="7195" customFormat="false" ht="14.25" hidden="false" customHeight="true" outlineLevel="0" collapsed="false">
      <c r="B7195" s="9" t="s">
        <v>16</v>
      </c>
      <c r="C7195" s="9" t="n">
        <v>1185732</v>
      </c>
      <c r="D7195" s="10" t="n">
        <v>44546</v>
      </c>
      <c r="E7195" s="9" t="s">
        <v>17</v>
      </c>
      <c r="F7195" s="9" t="s">
        <v>120</v>
      </c>
      <c r="G7195" s="9" t="s">
        <v>95</v>
      </c>
      <c r="H7195" s="11" t="s">
        <v>24</v>
      </c>
      <c r="I7195" s="12" t="n">
        <v>61</v>
      </c>
      <c r="J7195" s="13" t="n">
        <v>95</v>
      </c>
      <c r="K7195" s="14" t="n">
        <f aca="false">I7195*J7195</f>
        <v>5795</v>
      </c>
      <c r="L7195" s="14" t="n">
        <f aca="false">($L$2*M7195)/100</f>
        <v>600833.25</v>
      </c>
      <c r="M7195" s="15" t="n">
        <v>0.5</v>
      </c>
      <c r="N7195" s="9" t="s">
        <v>85</v>
      </c>
    </row>
    <row r="7196" customFormat="false" ht="14.25" hidden="false" customHeight="true" outlineLevel="0" collapsed="false">
      <c r="B7196" s="9" t="s">
        <v>16</v>
      </c>
      <c r="C7196" s="9" t="n">
        <v>1185732</v>
      </c>
      <c r="D7196" s="10" t="n">
        <v>44546</v>
      </c>
      <c r="E7196" s="9" t="s">
        <v>17</v>
      </c>
      <c r="F7196" s="9" t="s">
        <v>120</v>
      </c>
      <c r="G7196" s="9" t="s">
        <v>95</v>
      </c>
      <c r="H7196" s="11" t="s">
        <v>25</v>
      </c>
      <c r="I7196" s="12" t="n">
        <v>68</v>
      </c>
      <c r="J7196" s="13" t="n">
        <v>122</v>
      </c>
      <c r="K7196" s="14" t="n">
        <f aca="false">I7196*J7196</f>
        <v>8296</v>
      </c>
      <c r="L7196" s="14" t="n">
        <f aca="false">($L$2*M7196)/100</f>
        <v>660916.575</v>
      </c>
      <c r="M7196" s="15" t="n">
        <v>0.55</v>
      </c>
      <c r="N7196" s="9" t="s">
        <v>85</v>
      </c>
    </row>
    <row r="7197" customFormat="false" ht="14.25" hidden="false" customHeight="true" outlineLevel="0" collapsed="false">
      <c r="B7197" s="9" t="s">
        <v>16</v>
      </c>
      <c r="C7197" s="9" t="n">
        <v>1185732</v>
      </c>
      <c r="D7197" s="10" t="n">
        <v>44220</v>
      </c>
      <c r="E7197" s="9" t="s">
        <v>17</v>
      </c>
      <c r="F7197" s="9" t="s">
        <v>120</v>
      </c>
      <c r="G7197" s="9" t="s">
        <v>95</v>
      </c>
      <c r="H7197" s="11" t="s">
        <v>19</v>
      </c>
      <c r="I7197" s="12" t="n">
        <v>33</v>
      </c>
      <c r="J7197" s="13" t="n">
        <v>106</v>
      </c>
      <c r="K7197" s="14" t="n">
        <f aca="false">I7197*J7197</f>
        <v>3498</v>
      </c>
      <c r="L7197" s="14" t="n">
        <f aca="false">($L$2*M7197)/100</f>
        <v>600833.25</v>
      </c>
      <c r="M7197" s="15" t="n">
        <v>0.5</v>
      </c>
      <c r="N7197" s="9" t="s">
        <v>85</v>
      </c>
    </row>
    <row r="7198" customFormat="false" ht="14.25" hidden="false" customHeight="true" outlineLevel="0" collapsed="false">
      <c r="B7198" s="9" t="s">
        <v>16</v>
      </c>
      <c r="C7198" s="9" t="n">
        <v>1185732</v>
      </c>
      <c r="D7198" s="10" t="n">
        <v>44220</v>
      </c>
      <c r="E7198" s="9" t="s">
        <v>17</v>
      </c>
      <c r="F7198" s="9" t="s">
        <v>120</v>
      </c>
      <c r="G7198" s="9" t="s">
        <v>95</v>
      </c>
      <c r="H7198" s="11" t="s">
        <v>21</v>
      </c>
      <c r="I7198" s="12" t="n">
        <v>34</v>
      </c>
      <c r="J7198" s="13" t="n">
        <v>68</v>
      </c>
      <c r="K7198" s="14" t="n">
        <f aca="false">I7198*J7198</f>
        <v>2312</v>
      </c>
      <c r="L7198" s="14" t="n">
        <f aca="false">($L$2*M7198)/100</f>
        <v>564783.255</v>
      </c>
      <c r="M7198" s="15" t="n">
        <v>0.47</v>
      </c>
      <c r="N7198" s="9" t="s">
        <v>85</v>
      </c>
    </row>
    <row r="7199" customFormat="false" ht="14.25" hidden="false" customHeight="true" outlineLevel="0" collapsed="false">
      <c r="B7199" s="9" t="s">
        <v>16</v>
      </c>
      <c r="C7199" s="9" t="n">
        <v>1185732</v>
      </c>
      <c r="D7199" s="10" t="n">
        <v>44220</v>
      </c>
      <c r="E7199" s="9" t="s">
        <v>17</v>
      </c>
      <c r="F7199" s="9" t="s">
        <v>120</v>
      </c>
      <c r="G7199" s="9" t="s">
        <v>95</v>
      </c>
      <c r="H7199" s="11" t="s">
        <v>22</v>
      </c>
      <c r="I7199" s="12" t="n">
        <v>24</v>
      </c>
      <c r="J7199" s="13" t="n">
        <v>63</v>
      </c>
      <c r="K7199" s="14" t="n">
        <f aca="false">I7199*J7199</f>
        <v>1512</v>
      </c>
      <c r="L7199" s="14" t="n">
        <f aca="false">($L$2*M7199)/100</f>
        <v>552766.59</v>
      </c>
      <c r="M7199" s="15" t="n">
        <v>0.46</v>
      </c>
      <c r="N7199" s="9" t="s">
        <v>85</v>
      </c>
    </row>
    <row r="7200" customFormat="false" ht="14.25" hidden="false" customHeight="true" outlineLevel="0" collapsed="false">
      <c r="B7200" s="9" t="s">
        <v>16</v>
      </c>
      <c r="C7200" s="9" t="n">
        <v>1185732</v>
      </c>
      <c r="D7200" s="10" t="n">
        <v>44220</v>
      </c>
      <c r="E7200" s="9" t="s">
        <v>17</v>
      </c>
      <c r="F7200" s="9" t="s">
        <v>120</v>
      </c>
      <c r="G7200" s="9" t="s">
        <v>95</v>
      </c>
      <c r="H7200" s="11" t="s">
        <v>23</v>
      </c>
      <c r="I7200" s="12" t="n">
        <v>28</v>
      </c>
      <c r="J7200" s="13" t="n">
        <v>20</v>
      </c>
      <c r="K7200" s="14" t="n">
        <f aca="false">I7200*J7200</f>
        <v>560</v>
      </c>
      <c r="L7200" s="14" t="n">
        <f aca="false">($L$2*M7200)/100</f>
        <v>600833.25</v>
      </c>
      <c r="M7200" s="15" t="n">
        <v>0.5</v>
      </c>
      <c r="N7200" s="9" t="s">
        <v>85</v>
      </c>
    </row>
    <row r="7201" customFormat="false" ht="14.25" hidden="false" customHeight="true" outlineLevel="0" collapsed="false">
      <c r="B7201" s="9" t="s">
        <v>16</v>
      </c>
      <c r="C7201" s="9" t="n">
        <v>1185732</v>
      </c>
      <c r="D7201" s="10" t="n">
        <v>44220</v>
      </c>
      <c r="E7201" s="9" t="s">
        <v>17</v>
      </c>
      <c r="F7201" s="9" t="s">
        <v>120</v>
      </c>
      <c r="G7201" s="9" t="s">
        <v>95</v>
      </c>
      <c r="H7201" s="11" t="s">
        <v>24</v>
      </c>
      <c r="I7201" s="12" t="n">
        <v>42</v>
      </c>
      <c r="J7201" s="13" t="n">
        <v>33</v>
      </c>
      <c r="K7201" s="14" t="n">
        <f aca="false">I7201*J7201</f>
        <v>1386</v>
      </c>
      <c r="L7201" s="14" t="n">
        <f aca="false">($L$2*M7201)/100</f>
        <v>516716.595</v>
      </c>
      <c r="M7201" s="15" t="n">
        <v>0.43</v>
      </c>
      <c r="N7201" s="9" t="s">
        <v>85</v>
      </c>
    </row>
    <row r="7202" customFormat="false" ht="14.25" hidden="false" customHeight="true" outlineLevel="0" collapsed="false">
      <c r="B7202" s="9" t="s">
        <v>16</v>
      </c>
      <c r="C7202" s="9" t="n">
        <v>1185732</v>
      </c>
      <c r="D7202" s="10" t="n">
        <v>44220</v>
      </c>
      <c r="E7202" s="9" t="s">
        <v>17</v>
      </c>
      <c r="F7202" s="9" t="s">
        <v>120</v>
      </c>
      <c r="G7202" s="9" t="s">
        <v>95</v>
      </c>
      <c r="H7202" s="11" t="s">
        <v>25</v>
      </c>
      <c r="I7202" s="12" t="n">
        <v>33</v>
      </c>
      <c r="J7202" s="13" t="n">
        <v>59</v>
      </c>
      <c r="K7202" s="14" t="n">
        <f aca="false">I7202*J7202</f>
        <v>1947</v>
      </c>
      <c r="L7202" s="14" t="n">
        <f aca="false">($L$2*M7202)/100</f>
        <v>480666.6</v>
      </c>
      <c r="M7202" s="15" t="n">
        <v>0.4</v>
      </c>
      <c r="N7202" s="9" t="s">
        <v>85</v>
      </c>
    </row>
    <row r="7203" customFormat="false" ht="14.25" hidden="false" customHeight="true" outlineLevel="0" collapsed="false">
      <c r="B7203" s="9" t="s">
        <v>16</v>
      </c>
      <c r="C7203" s="9" t="n">
        <v>1185732</v>
      </c>
      <c r="D7203" s="10" t="n">
        <v>44249</v>
      </c>
      <c r="E7203" s="9" t="s">
        <v>17</v>
      </c>
      <c r="F7203" s="9" t="s">
        <v>120</v>
      </c>
      <c r="G7203" s="9" t="s">
        <v>95</v>
      </c>
      <c r="H7203" s="11" t="s">
        <v>19</v>
      </c>
      <c r="I7203" s="12" t="n">
        <v>32</v>
      </c>
      <c r="J7203" s="13" t="n">
        <v>138</v>
      </c>
      <c r="K7203" s="14" t="n">
        <f aca="false">I7203*J7203</f>
        <v>4416</v>
      </c>
      <c r="L7203" s="14" t="n">
        <f aca="false">($L$2*M7203)/100</f>
        <v>636883.245</v>
      </c>
      <c r="M7203" s="15" t="n">
        <v>0.53</v>
      </c>
      <c r="N7203" s="9" t="s">
        <v>85</v>
      </c>
    </row>
    <row r="7204" customFormat="false" ht="14.25" hidden="false" customHeight="true" outlineLevel="0" collapsed="false">
      <c r="B7204" s="9" t="s">
        <v>32</v>
      </c>
      <c r="C7204" s="9" t="n">
        <v>1185732</v>
      </c>
      <c r="D7204" s="10" t="n">
        <v>44249</v>
      </c>
      <c r="E7204" s="9" t="s">
        <v>17</v>
      </c>
      <c r="F7204" s="9" t="s">
        <v>120</v>
      </c>
      <c r="G7204" s="9" t="s">
        <v>95</v>
      </c>
      <c r="H7204" s="11" t="s">
        <v>21</v>
      </c>
      <c r="I7204" s="12" t="n">
        <v>34</v>
      </c>
      <c r="J7204" s="13" t="n">
        <v>38</v>
      </c>
      <c r="K7204" s="14" t="n">
        <f aca="false">I7204*J7204</f>
        <v>1292</v>
      </c>
      <c r="L7204" s="14" t="n">
        <f aca="false">($L$2*M7204)/100</f>
        <v>552766.59</v>
      </c>
      <c r="M7204" s="15" t="n">
        <v>0.46</v>
      </c>
      <c r="N7204" s="9" t="s">
        <v>85</v>
      </c>
    </row>
    <row r="7205" customFormat="false" ht="14.25" hidden="false" customHeight="true" outlineLevel="0" collapsed="false">
      <c r="B7205" s="9" t="s">
        <v>32</v>
      </c>
      <c r="C7205" s="9" t="n">
        <v>1185732</v>
      </c>
      <c r="D7205" s="10" t="n">
        <v>44249</v>
      </c>
      <c r="E7205" s="9" t="s">
        <v>17</v>
      </c>
      <c r="F7205" s="9" t="s">
        <v>120</v>
      </c>
      <c r="G7205" s="9" t="s">
        <v>95</v>
      </c>
      <c r="H7205" s="11" t="s">
        <v>22</v>
      </c>
      <c r="I7205" s="12" t="n">
        <v>24</v>
      </c>
      <c r="J7205" s="13" t="n">
        <v>46</v>
      </c>
      <c r="K7205" s="14" t="n">
        <f aca="false">I7205*J7205</f>
        <v>1104</v>
      </c>
      <c r="L7205" s="14" t="n">
        <f aca="false">($L$2*M7205)/100</f>
        <v>564783.255</v>
      </c>
      <c r="M7205" s="15" t="n">
        <v>0.47</v>
      </c>
      <c r="N7205" s="9" t="s">
        <v>85</v>
      </c>
    </row>
    <row r="7206" customFormat="false" ht="14.25" hidden="false" customHeight="true" outlineLevel="0" collapsed="false">
      <c r="B7206" s="9" t="s">
        <v>32</v>
      </c>
      <c r="C7206" s="9" t="n">
        <v>1185732</v>
      </c>
      <c r="D7206" s="10" t="n">
        <v>44249</v>
      </c>
      <c r="E7206" s="9" t="s">
        <v>17</v>
      </c>
      <c r="F7206" s="9" t="s">
        <v>121</v>
      </c>
      <c r="G7206" s="9" t="s">
        <v>122</v>
      </c>
      <c r="H7206" s="11" t="s">
        <v>23</v>
      </c>
      <c r="I7206" s="12" t="n">
        <v>28</v>
      </c>
      <c r="J7206" s="13" t="n">
        <v>14</v>
      </c>
      <c r="K7206" s="14" t="n">
        <f aca="false">I7206*J7206</f>
        <v>392</v>
      </c>
      <c r="L7206" s="14" t="n">
        <f aca="false">($L$2*M7206)/100</f>
        <v>600833.25</v>
      </c>
      <c r="M7206" s="15" t="n">
        <v>0.5</v>
      </c>
      <c r="N7206" s="9" t="s">
        <v>85</v>
      </c>
    </row>
    <row r="7207" customFormat="false" ht="14.25" hidden="false" customHeight="true" outlineLevel="0" collapsed="false">
      <c r="B7207" s="9" t="s">
        <v>32</v>
      </c>
      <c r="C7207" s="9" t="n">
        <v>1185732</v>
      </c>
      <c r="D7207" s="10" t="n">
        <v>44249</v>
      </c>
      <c r="E7207" s="9" t="s">
        <v>17</v>
      </c>
      <c r="F7207" s="9" t="s">
        <v>121</v>
      </c>
      <c r="G7207" s="9" t="s">
        <v>122</v>
      </c>
      <c r="H7207" s="11" t="s">
        <v>24</v>
      </c>
      <c r="I7207" s="12" t="n">
        <v>41</v>
      </c>
      <c r="J7207" s="13" t="n">
        <v>31</v>
      </c>
      <c r="K7207" s="14" t="n">
        <f aca="false">I7207*J7207</f>
        <v>1271</v>
      </c>
      <c r="L7207" s="14" t="n">
        <f aca="false">($L$2*M7207)/100</f>
        <v>540749.925</v>
      </c>
      <c r="M7207" s="15" t="n">
        <v>0.45</v>
      </c>
      <c r="N7207" s="9" t="s">
        <v>85</v>
      </c>
    </row>
    <row r="7208" customFormat="false" ht="14.25" hidden="false" customHeight="true" outlineLevel="0" collapsed="false">
      <c r="B7208" s="9" t="s">
        <v>32</v>
      </c>
      <c r="C7208" s="9" t="n">
        <v>1185732</v>
      </c>
      <c r="D7208" s="10" t="n">
        <v>44249</v>
      </c>
      <c r="E7208" s="9" t="s">
        <v>17</v>
      </c>
      <c r="F7208" s="9" t="s">
        <v>121</v>
      </c>
      <c r="G7208" s="9" t="s">
        <v>122</v>
      </c>
      <c r="H7208" s="11" t="s">
        <v>25</v>
      </c>
      <c r="I7208" s="12" t="n">
        <v>34</v>
      </c>
      <c r="J7208" s="13" t="n">
        <v>63</v>
      </c>
      <c r="K7208" s="14" t="n">
        <f aca="false">I7208*J7208</f>
        <v>2142</v>
      </c>
      <c r="L7208" s="14" t="n">
        <f aca="false">($L$2*M7208)/100</f>
        <v>516716.595</v>
      </c>
      <c r="M7208" s="15" t="n">
        <v>0.43</v>
      </c>
      <c r="N7208" s="9" t="s">
        <v>85</v>
      </c>
    </row>
    <row r="7209" customFormat="false" ht="14.25" hidden="false" customHeight="true" outlineLevel="0" collapsed="false">
      <c r="B7209" s="9" t="s">
        <v>32</v>
      </c>
      <c r="C7209" s="9" t="n">
        <v>1185732</v>
      </c>
      <c r="D7209" s="10" t="n">
        <v>44275</v>
      </c>
      <c r="E7209" s="9" t="s">
        <v>17</v>
      </c>
      <c r="F7209" s="9" t="s">
        <v>121</v>
      </c>
      <c r="G7209" s="9" t="s">
        <v>122</v>
      </c>
      <c r="H7209" s="11" t="s">
        <v>19</v>
      </c>
      <c r="I7209" s="12" t="n">
        <v>32</v>
      </c>
      <c r="J7209" s="13" t="n">
        <v>125</v>
      </c>
      <c r="K7209" s="14" t="n">
        <f aca="false">I7209*J7209</f>
        <v>4000</v>
      </c>
      <c r="L7209" s="14" t="n">
        <f aca="false">($L$2*M7209)/100</f>
        <v>636883.245</v>
      </c>
      <c r="M7209" s="15" t="n">
        <v>0.53</v>
      </c>
      <c r="N7209" s="9" t="s">
        <v>85</v>
      </c>
    </row>
    <row r="7210" customFormat="false" ht="14.25" hidden="false" customHeight="true" outlineLevel="0" collapsed="false">
      <c r="B7210" s="9" t="s">
        <v>32</v>
      </c>
      <c r="C7210" s="9" t="n">
        <v>1185732</v>
      </c>
      <c r="D7210" s="10" t="n">
        <v>44275</v>
      </c>
      <c r="E7210" s="9" t="s">
        <v>17</v>
      </c>
      <c r="F7210" s="9" t="s">
        <v>121</v>
      </c>
      <c r="G7210" s="9" t="s">
        <v>122</v>
      </c>
      <c r="H7210" s="11" t="s">
        <v>21</v>
      </c>
      <c r="I7210" s="12" t="n">
        <v>34</v>
      </c>
      <c r="J7210" s="13" t="n">
        <v>39</v>
      </c>
      <c r="K7210" s="14" t="n">
        <f aca="false">I7210*J7210</f>
        <v>1326</v>
      </c>
      <c r="L7210" s="14" t="n">
        <f aca="false">($L$2*M7210)/100</f>
        <v>564783.255</v>
      </c>
      <c r="M7210" s="15" t="n">
        <v>0.47</v>
      </c>
      <c r="N7210" s="9" t="s">
        <v>85</v>
      </c>
    </row>
    <row r="7211" customFormat="false" ht="14.25" hidden="false" customHeight="true" outlineLevel="0" collapsed="false">
      <c r="B7211" s="9" t="s">
        <v>32</v>
      </c>
      <c r="C7211" s="9" t="n">
        <v>1185732</v>
      </c>
      <c r="D7211" s="10" t="n">
        <v>44275</v>
      </c>
      <c r="E7211" s="9" t="s">
        <v>17</v>
      </c>
      <c r="F7211" s="9" t="s">
        <v>121</v>
      </c>
      <c r="G7211" s="9" t="s">
        <v>122</v>
      </c>
      <c r="H7211" s="11" t="s">
        <v>22</v>
      </c>
      <c r="I7211" s="12" t="n">
        <v>24</v>
      </c>
      <c r="J7211" s="13" t="n">
        <v>53</v>
      </c>
      <c r="K7211" s="14" t="n">
        <f aca="false">I7211*J7211</f>
        <v>1272</v>
      </c>
      <c r="L7211" s="14" t="n">
        <f aca="false">($L$2*M7211)/100</f>
        <v>588816.585</v>
      </c>
      <c r="M7211" s="15" t="n">
        <v>0.49</v>
      </c>
      <c r="N7211" s="9" t="s">
        <v>85</v>
      </c>
    </row>
    <row r="7212" customFormat="false" ht="14.25" hidden="false" customHeight="true" outlineLevel="0" collapsed="false">
      <c r="B7212" s="9" t="s">
        <v>32</v>
      </c>
      <c r="C7212" s="9" t="n">
        <v>1185732</v>
      </c>
      <c r="D7212" s="10" t="n">
        <v>44275</v>
      </c>
      <c r="E7212" s="9" t="s">
        <v>17</v>
      </c>
      <c r="F7212" s="9" t="s">
        <v>121</v>
      </c>
      <c r="G7212" s="9" t="s">
        <v>122</v>
      </c>
      <c r="H7212" s="11" t="s">
        <v>23</v>
      </c>
      <c r="I7212" s="12" t="n">
        <v>29</v>
      </c>
      <c r="J7212" s="13" t="n">
        <v>7</v>
      </c>
      <c r="K7212" s="14" t="n">
        <f aca="false">I7212*J7212</f>
        <v>203</v>
      </c>
      <c r="L7212" s="14" t="n">
        <f aca="false">($L$2*M7212)/100</f>
        <v>552766.59</v>
      </c>
      <c r="M7212" s="15" t="n">
        <v>0.46</v>
      </c>
      <c r="N7212" s="9" t="s">
        <v>85</v>
      </c>
    </row>
    <row r="7213" customFormat="false" ht="14.25" hidden="false" customHeight="true" outlineLevel="0" collapsed="false">
      <c r="B7213" s="9" t="s">
        <v>32</v>
      </c>
      <c r="C7213" s="9" t="n">
        <v>1185732</v>
      </c>
      <c r="D7213" s="10" t="n">
        <v>44275</v>
      </c>
      <c r="E7213" s="9" t="s">
        <v>17</v>
      </c>
      <c r="F7213" s="9" t="s">
        <v>121</v>
      </c>
      <c r="G7213" s="9" t="s">
        <v>122</v>
      </c>
      <c r="H7213" s="11" t="s">
        <v>24</v>
      </c>
      <c r="I7213" s="12" t="n">
        <v>43</v>
      </c>
      <c r="J7213" s="13" t="n">
        <v>22</v>
      </c>
      <c r="K7213" s="14" t="n">
        <f aca="false">I7213*J7213</f>
        <v>946</v>
      </c>
      <c r="L7213" s="14" t="n">
        <f aca="false">($L$2*M7213)/100</f>
        <v>516716.595</v>
      </c>
      <c r="M7213" s="15" t="n">
        <v>0.43</v>
      </c>
      <c r="N7213" s="9" t="s">
        <v>85</v>
      </c>
    </row>
    <row r="7214" customFormat="false" ht="14.25" hidden="false" customHeight="true" outlineLevel="0" collapsed="false">
      <c r="B7214" s="9" t="s">
        <v>32</v>
      </c>
      <c r="C7214" s="9" t="n">
        <v>1185732</v>
      </c>
      <c r="D7214" s="10" t="n">
        <v>44275</v>
      </c>
      <c r="E7214" s="9" t="s">
        <v>17</v>
      </c>
      <c r="F7214" s="9" t="s">
        <v>121</v>
      </c>
      <c r="G7214" s="9" t="s">
        <v>122</v>
      </c>
      <c r="H7214" s="11" t="s">
        <v>25</v>
      </c>
      <c r="I7214" s="12" t="n">
        <v>33</v>
      </c>
      <c r="J7214" s="13" t="n">
        <v>49</v>
      </c>
      <c r="K7214" s="14" t="n">
        <f aca="false">I7214*J7214</f>
        <v>1617</v>
      </c>
      <c r="L7214" s="14" t="n">
        <f aca="false">($L$2*M7214)/100</f>
        <v>540749.925</v>
      </c>
      <c r="M7214" s="15" t="n">
        <v>0.45</v>
      </c>
      <c r="N7214" s="9" t="s">
        <v>85</v>
      </c>
    </row>
    <row r="7215" customFormat="false" ht="14.25" hidden="false" customHeight="true" outlineLevel="0" collapsed="false">
      <c r="B7215" s="9" t="s">
        <v>32</v>
      </c>
      <c r="C7215" s="9" t="n">
        <v>1185732</v>
      </c>
      <c r="D7215" s="10" t="n">
        <v>44307</v>
      </c>
      <c r="E7215" s="9" t="s">
        <v>17</v>
      </c>
      <c r="F7215" s="9" t="s">
        <v>121</v>
      </c>
      <c r="G7215" s="9" t="s">
        <v>122</v>
      </c>
      <c r="H7215" s="11" t="s">
        <v>19</v>
      </c>
      <c r="I7215" s="12" t="n">
        <v>33</v>
      </c>
      <c r="J7215" s="13" t="n">
        <v>128</v>
      </c>
      <c r="K7215" s="14" t="n">
        <f aca="false">I7215*J7215</f>
        <v>4224</v>
      </c>
      <c r="L7215" s="14" t="n">
        <f aca="false">($L$2*M7215)/100</f>
        <v>612849.915</v>
      </c>
      <c r="M7215" s="15" t="n">
        <v>0.51</v>
      </c>
      <c r="N7215" s="9" t="s">
        <v>85</v>
      </c>
    </row>
    <row r="7216" customFormat="false" ht="14.25" hidden="false" customHeight="true" outlineLevel="0" collapsed="false">
      <c r="B7216" s="9" t="s">
        <v>32</v>
      </c>
      <c r="C7216" s="9" t="n">
        <v>1185732</v>
      </c>
      <c r="D7216" s="10" t="n">
        <v>44307</v>
      </c>
      <c r="E7216" s="9" t="s">
        <v>17</v>
      </c>
      <c r="F7216" s="9" t="s">
        <v>121</v>
      </c>
      <c r="G7216" s="9" t="s">
        <v>122</v>
      </c>
      <c r="H7216" s="11" t="s">
        <v>21</v>
      </c>
      <c r="I7216" s="12" t="n">
        <v>32</v>
      </c>
      <c r="J7216" s="13" t="n">
        <v>31</v>
      </c>
      <c r="K7216" s="14" t="n">
        <f aca="false">I7216*J7216</f>
        <v>992</v>
      </c>
      <c r="L7216" s="14" t="n">
        <f aca="false">($L$2*M7216)/100</f>
        <v>564783.255</v>
      </c>
      <c r="M7216" s="15" t="n">
        <v>0.47</v>
      </c>
      <c r="N7216" s="9" t="s">
        <v>85</v>
      </c>
    </row>
    <row r="7217" customFormat="false" ht="14.25" hidden="false" customHeight="true" outlineLevel="0" collapsed="false">
      <c r="B7217" s="9" t="s">
        <v>32</v>
      </c>
      <c r="C7217" s="9" t="n">
        <v>1185732</v>
      </c>
      <c r="D7217" s="10" t="n">
        <v>44307</v>
      </c>
      <c r="E7217" s="9" t="s">
        <v>17</v>
      </c>
      <c r="F7217" s="9" t="s">
        <v>121</v>
      </c>
      <c r="G7217" s="9" t="s">
        <v>122</v>
      </c>
      <c r="H7217" s="11" t="s">
        <v>22</v>
      </c>
      <c r="I7217" s="12" t="n">
        <v>24</v>
      </c>
      <c r="J7217" s="13" t="n">
        <v>33</v>
      </c>
      <c r="K7217" s="14" t="n">
        <f aca="false">I7217*J7217</f>
        <v>792</v>
      </c>
      <c r="L7217" s="14" t="n">
        <f aca="false">($L$2*M7217)/100</f>
        <v>588816.585</v>
      </c>
      <c r="M7217" s="15" t="n">
        <v>0.49</v>
      </c>
      <c r="N7217" s="9" t="s">
        <v>85</v>
      </c>
    </row>
    <row r="7218" customFormat="false" ht="14.25" hidden="false" customHeight="true" outlineLevel="0" collapsed="false">
      <c r="B7218" s="9" t="s">
        <v>32</v>
      </c>
      <c r="C7218" s="9" t="n">
        <v>1185732</v>
      </c>
      <c r="D7218" s="10" t="n">
        <v>44307</v>
      </c>
      <c r="E7218" s="9" t="s">
        <v>17</v>
      </c>
      <c r="F7218" s="9" t="s">
        <v>121</v>
      </c>
      <c r="G7218" s="9" t="s">
        <v>122</v>
      </c>
      <c r="H7218" s="11" t="s">
        <v>23</v>
      </c>
      <c r="I7218" s="12" t="n">
        <v>27</v>
      </c>
      <c r="J7218" s="13" t="n">
        <v>13</v>
      </c>
      <c r="K7218" s="14" t="n">
        <f aca="false">I7218*J7218</f>
        <v>351</v>
      </c>
      <c r="L7218" s="14" t="n">
        <f aca="false">($L$2*M7218)/100</f>
        <v>564783.255</v>
      </c>
      <c r="M7218" s="15" t="n">
        <v>0.47</v>
      </c>
      <c r="N7218" s="9" t="s">
        <v>85</v>
      </c>
    </row>
    <row r="7219" customFormat="false" ht="14.25" hidden="false" customHeight="true" outlineLevel="0" collapsed="false">
      <c r="B7219" s="9" t="s">
        <v>32</v>
      </c>
      <c r="C7219" s="9" t="n">
        <v>1185732</v>
      </c>
      <c r="D7219" s="10" t="n">
        <v>44307</v>
      </c>
      <c r="E7219" s="9" t="s">
        <v>17</v>
      </c>
      <c r="F7219" s="9" t="s">
        <v>121</v>
      </c>
      <c r="G7219" s="9" t="s">
        <v>122</v>
      </c>
      <c r="H7219" s="11" t="s">
        <v>24</v>
      </c>
      <c r="I7219" s="12" t="n">
        <v>41</v>
      </c>
      <c r="J7219" s="13" t="n">
        <v>15</v>
      </c>
      <c r="K7219" s="14" t="n">
        <f aca="false">I7219*J7219</f>
        <v>615</v>
      </c>
      <c r="L7219" s="14" t="n">
        <f aca="false">($L$2*M7219)/100</f>
        <v>540749.925</v>
      </c>
      <c r="M7219" s="15" t="n">
        <v>0.45</v>
      </c>
      <c r="N7219" s="9" t="s">
        <v>85</v>
      </c>
    </row>
    <row r="7220" customFormat="false" ht="14.25" hidden="false" customHeight="true" outlineLevel="0" collapsed="false">
      <c r="B7220" s="9" t="s">
        <v>32</v>
      </c>
      <c r="C7220" s="9" t="n">
        <v>1185732</v>
      </c>
      <c r="D7220" s="10" t="n">
        <v>44307</v>
      </c>
      <c r="E7220" s="9" t="s">
        <v>17</v>
      </c>
      <c r="F7220" s="9" t="s">
        <v>121</v>
      </c>
      <c r="G7220" s="9" t="s">
        <v>122</v>
      </c>
      <c r="H7220" s="11" t="s">
        <v>25</v>
      </c>
      <c r="I7220" s="12" t="n">
        <v>32</v>
      </c>
      <c r="J7220" s="13" t="n">
        <v>52</v>
      </c>
      <c r="K7220" s="14" t="n">
        <f aca="false">I7220*J7220</f>
        <v>1664</v>
      </c>
      <c r="L7220" s="14" t="n">
        <f aca="false">($L$2*M7220)/100</f>
        <v>528733.26</v>
      </c>
      <c r="M7220" s="15" t="n">
        <v>0.44</v>
      </c>
      <c r="N7220" s="9" t="s">
        <v>85</v>
      </c>
    </row>
    <row r="7221" customFormat="false" ht="14.25" hidden="false" customHeight="true" outlineLevel="0" collapsed="false">
      <c r="B7221" s="9" t="s">
        <v>32</v>
      </c>
      <c r="C7221" s="9" t="n">
        <v>1185732</v>
      </c>
      <c r="D7221" s="10" t="n">
        <v>44336</v>
      </c>
      <c r="E7221" s="9" t="s">
        <v>17</v>
      </c>
      <c r="F7221" s="9" t="s">
        <v>121</v>
      </c>
      <c r="G7221" s="9" t="s">
        <v>122</v>
      </c>
      <c r="H7221" s="11" t="s">
        <v>19</v>
      </c>
      <c r="I7221" s="12" t="n">
        <v>49</v>
      </c>
      <c r="J7221" s="13" t="n">
        <v>118</v>
      </c>
      <c r="K7221" s="14" t="n">
        <f aca="false">I7221*J7221</f>
        <v>5782</v>
      </c>
      <c r="L7221" s="14" t="n">
        <f aca="false">($L$2*M7221)/100</f>
        <v>624866.58</v>
      </c>
      <c r="M7221" s="15" t="n">
        <v>0.52</v>
      </c>
      <c r="N7221" s="9" t="s">
        <v>85</v>
      </c>
    </row>
    <row r="7222" customFormat="false" ht="14.25" hidden="false" customHeight="true" outlineLevel="0" collapsed="false">
      <c r="B7222" s="9" t="s">
        <v>32</v>
      </c>
      <c r="C7222" s="9" t="n">
        <v>1185732</v>
      </c>
      <c r="D7222" s="10" t="n">
        <v>44336</v>
      </c>
      <c r="E7222" s="9" t="s">
        <v>17</v>
      </c>
      <c r="F7222" s="9" t="s">
        <v>121</v>
      </c>
      <c r="G7222" s="9" t="s">
        <v>122</v>
      </c>
      <c r="H7222" s="11" t="s">
        <v>21</v>
      </c>
      <c r="I7222" s="12" t="n">
        <v>42</v>
      </c>
      <c r="J7222" s="13" t="n">
        <v>47</v>
      </c>
      <c r="K7222" s="14" t="n">
        <f aca="false">I7222*J7222</f>
        <v>1974</v>
      </c>
      <c r="L7222" s="14" t="n">
        <f aca="false">($L$2*M7222)/100</f>
        <v>552766.59</v>
      </c>
      <c r="M7222" s="15" t="n">
        <v>0.46</v>
      </c>
      <c r="N7222" s="9" t="s">
        <v>85</v>
      </c>
    </row>
    <row r="7223" customFormat="false" ht="14.25" hidden="false" customHeight="true" outlineLevel="0" collapsed="false">
      <c r="B7223" s="9" t="s">
        <v>32</v>
      </c>
      <c r="C7223" s="9" t="n">
        <v>1185732</v>
      </c>
      <c r="D7223" s="10" t="n">
        <v>44336</v>
      </c>
      <c r="E7223" s="9" t="s">
        <v>17</v>
      </c>
      <c r="F7223" s="9" t="s">
        <v>121</v>
      </c>
      <c r="G7223" s="9" t="s">
        <v>122</v>
      </c>
      <c r="H7223" s="11" t="s">
        <v>22</v>
      </c>
      <c r="I7223" s="12" t="n">
        <v>36</v>
      </c>
      <c r="J7223" s="13" t="n">
        <v>38</v>
      </c>
      <c r="K7223" s="14" t="n">
        <f aca="false">I7223*J7223</f>
        <v>1368</v>
      </c>
      <c r="L7223" s="14" t="n">
        <f aca="false">($L$2*M7223)/100</f>
        <v>576799.92</v>
      </c>
      <c r="M7223" s="15" t="n">
        <v>0.48</v>
      </c>
      <c r="N7223" s="9" t="s">
        <v>85</v>
      </c>
    </row>
    <row r="7224" customFormat="false" ht="14.25" hidden="false" customHeight="true" outlineLevel="0" collapsed="false">
      <c r="B7224" s="9" t="s">
        <v>32</v>
      </c>
      <c r="C7224" s="9" t="n">
        <v>1185732</v>
      </c>
      <c r="D7224" s="10" t="n">
        <v>44336</v>
      </c>
      <c r="E7224" s="9" t="s">
        <v>17</v>
      </c>
      <c r="F7224" s="9" t="s">
        <v>121</v>
      </c>
      <c r="G7224" s="9" t="s">
        <v>122</v>
      </c>
      <c r="H7224" s="11" t="s">
        <v>23</v>
      </c>
      <c r="I7224" s="12" t="n">
        <v>37</v>
      </c>
      <c r="J7224" s="13" t="n">
        <v>30</v>
      </c>
      <c r="K7224" s="14" t="n">
        <f aca="false">I7224*J7224</f>
        <v>1110</v>
      </c>
      <c r="L7224" s="14" t="n">
        <f aca="false">($L$2*M7224)/100</f>
        <v>576799.92</v>
      </c>
      <c r="M7224" s="15" t="n">
        <v>0.48</v>
      </c>
      <c r="N7224" s="9" t="s">
        <v>85</v>
      </c>
    </row>
    <row r="7225" customFormat="false" ht="14.25" hidden="false" customHeight="true" outlineLevel="0" collapsed="false">
      <c r="B7225" s="9" t="s">
        <v>32</v>
      </c>
      <c r="C7225" s="9" t="n">
        <v>1185732</v>
      </c>
      <c r="D7225" s="10" t="n">
        <v>44336</v>
      </c>
      <c r="E7225" s="9" t="s">
        <v>17</v>
      </c>
      <c r="F7225" s="9" t="s">
        <v>121</v>
      </c>
      <c r="G7225" s="9" t="s">
        <v>122</v>
      </c>
      <c r="H7225" s="11" t="s">
        <v>24</v>
      </c>
      <c r="I7225" s="12" t="n">
        <v>49</v>
      </c>
      <c r="J7225" s="13" t="n">
        <v>36</v>
      </c>
      <c r="K7225" s="14" t="n">
        <f aca="false">I7225*J7225</f>
        <v>1764</v>
      </c>
      <c r="L7225" s="14" t="n">
        <f aca="false">($L$2*M7225)/100</f>
        <v>504699.93</v>
      </c>
      <c r="M7225" s="15" t="n">
        <v>0.42</v>
      </c>
      <c r="N7225" s="9" t="s">
        <v>85</v>
      </c>
    </row>
    <row r="7226" customFormat="false" ht="14.25" hidden="false" customHeight="true" outlineLevel="0" collapsed="false">
      <c r="B7226" s="9" t="s">
        <v>32</v>
      </c>
      <c r="C7226" s="9" t="n">
        <v>1185732</v>
      </c>
      <c r="D7226" s="10" t="n">
        <v>44336</v>
      </c>
      <c r="E7226" s="9" t="s">
        <v>17</v>
      </c>
      <c r="F7226" s="9" t="s">
        <v>121</v>
      </c>
      <c r="G7226" s="9" t="s">
        <v>122</v>
      </c>
      <c r="H7226" s="11" t="s">
        <v>25</v>
      </c>
      <c r="I7226" s="12" t="n">
        <v>52</v>
      </c>
      <c r="J7226" s="13" t="n">
        <v>63</v>
      </c>
      <c r="K7226" s="14" t="n">
        <f aca="false">I7226*J7226</f>
        <v>3276</v>
      </c>
      <c r="L7226" s="14" t="n">
        <f aca="false">($L$2*M7226)/100</f>
        <v>492683.265</v>
      </c>
      <c r="M7226" s="15" t="n">
        <v>0.41</v>
      </c>
      <c r="N7226" s="9" t="s">
        <v>85</v>
      </c>
    </row>
    <row r="7227" customFormat="false" ht="14.25" hidden="false" customHeight="true" outlineLevel="0" collapsed="false">
      <c r="B7227" s="9" t="s">
        <v>32</v>
      </c>
      <c r="C7227" s="9" t="n">
        <v>1185732</v>
      </c>
      <c r="D7227" s="10" t="n">
        <v>44369</v>
      </c>
      <c r="E7227" s="9" t="s">
        <v>17</v>
      </c>
      <c r="F7227" s="9" t="s">
        <v>121</v>
      </c>
      <c r="G7227" s="9" t="s">
        <v>122</v>
      </c>
      <c r="H7227" s="11" t="s">
        <v>19</v>
      </c>
      <c r="I7227" s="12" t="n">
        <v>47</v>
      </c>
      <c r="J7227" s="13" t="n">
        <v>125</v>
      </c>
      <c r="K7227" s="14" t="n">
        <f aca="false">I7227*J7227</f>
        <v>5875</v>
      </c>
      <c r="L7227" s="14" t="n">
        <f aca="false">($L$2*M7227)/100</f>
        <v>600833.25</v>
      </c>
      <c r="M7227" s="15" t="n">
        <v>0.5</v>
      </c>
      <c r="N7227" s="9" t="s">
        <v>85</v>
      </c>
    </row>
    <row r="7228" customFormat="false" ht="14.25" hidden="false" customHeight="true" outlineLevel="0" collapsed="false">
      <c r="B7228" s="9" t="s">
        <v>32</v>
      </c>
      <c r="C7228" s="9" t="n">
        <v>1185732</v>
      </c>
      <c r="D7228" s="10" t="n">
        <v>44369</v>
      </c>
      <c r="E7228" s="9" t="s">
        <v>17</v>
      </c>
      <c r="F7228" s="9" t="s">
        <v>121</v>
      </c>
      <c r="G7228" s="9" t="s">
        <v>122</v>
      </c>
      <c r="H7228" s="11" t="s">
        <v>21</v>
      </c>
      <c r="I7228" s="12" t="n">
        <v>41</v>
      </c>
      <c r="J7228" s="13" t="n">
        <v>75</v>
      </c>
      <c r="K7228" s="14" t="n">
        <f aca="false">I7228*J7228</f>
        <v>3075</v>
      </c>
      <c r="L7228" s="14" t="n">
        <f aca="false">($L$2*M7228)/100</f>
        <v>564783.255</v>
      </c>
      <c r="M7228" s="15" t="n">
        <v>0.47</v>
      </c>
      <c r="N7228" s="9" t="s">
        <v>85</v>
      </c>
    </row>
    <row r="7229" customFormat="false" ht="14.25" hidden="false" customHeight="true" outlineLevel="0" collapsed="false">
      <c r="B7229" s="9" t="s">
        <v>16</v>
      </c>
      <c r="C7229" s="9" t="n">
        <v>1185732</v>
      </c>
      <c r="D7229" s="10" t="n">
        <v>44369</v>
      </c>
      <c r="E7229" s="9" t="s">
        <v>17</v>
      </c>
      <c r="F7229" s="9" t="s">
        <v>121</v>
      </c>
      <c r="G7229" s="9" t="s">
        <v>122</v>
      </c>
      <c r="H7229" s="11" t="s">
        <v>22</v>
      </c>
      <c r="I7229" s="12" t="n">
        <v>37</v>
      </c>
      <c r="J7229" s="13" t="n">
        <v>47</v>
      </c>
      <c r="K7229" s="14" t="n">
        <f aca="false">I7229*J7229</f>
        <v>1739</v>
      </c>
      <c r="L7229" s="14" t="n">
        <f aca="false">($L$2*M7229)/100</f>
        <v>600833.25</v>
      </c>
      <c r="M7229" s="15" t="n">
        <v>0.5</v>
      </c>
      <c r="N7229" s="9" t="s">
        <v>85</v>
      </c>
    </row>
    <row r="7230" customFormat="false" ht="14.25" hidden="false" customHeight="true" outlineLevel="0" collapsed="false">
      <c r="B7230" s="9" t="s">
        <v>16</v>
      </c>
      <c r="C7230" s="9" t="n">
        <v>1185732</v>
      </c>
      <c r="D7230" s="10" t="n">
        <v>44369</v>
      </c>
      <c r="E7230" s="9" t="s">
        <v>17</v>
      </c>
      <c r="F7230" s="9" t="s">
        <v>121</v>
      </c>
      <c r="G7230" s="9" t="s">
        <v>122</v>
      </c>
      <c r="H7230" s="11" t="s">
        <v>23</v>
      </c>
      <c r="I7230" s="12" t="n">
        <v>37</v>
      </c>
      <c r="J7230" s="13" t="n">
        <v>44</v>
      </c>
      <c r="K7230" s="14" t="n">
        <f aca="false">I7230*J7230</f>
        <v>1628</v>
      </c>
      <c r="L7230" s="14" t="n">
        <f aca="false">($L$2*M7230)/100</f>
        <v>600833.25</v>
      </c>
      <c r="M7230" s="15" t="n">
        <v>0.5</v>
      </c>
      <c r="N7230" s="9" t="s">
        <v>85</v>
      </c>
    </row>
    <row r="7231" customFormat="false" ht="14.25" hidden="false" customHeight="true" outlineLevel="0" collapsed="false">
      <c r="B7231" s="9" t="s">
        <v>16</v>
      </c>
      <c r="C7231" s="9" t="n">
        <v>1185732</v>
      </c>
      <c r="D7231" s="10" t="n">
        <v>44369</v>
      </c>
      <c r="E7231" s="9" t="s">
        <v>17</v>
      </c>
      <c r="F7231" s="9" t="s">
        <v>121</v>
      </c>
      <c r="G7231" s="9" t="s">
        <v>122</v>
      </c>
      <c r="H7231" s="11" t="s">
        <v>24</v>
      </c>
      <c r="I7231" s="12" t="n">
        <v>49</v>
      </c>
      <c r="J7231" s="13" t="n">
        <v>42</v>
      </c>
      <c r="K7231" s="14" t="n">
        <f aca="false">I7231*J7231</f>
        <v>2058</v>
      </c>
      <c r="L7231" s="14" t="n">
        <f aca="false">($L$2*M7231)/100</f>
        <v>528733.26</v>
      </c>
      <c r="M7231" s="15" t="n">
        <v>0.44</v>
      </c>
      <c r="N7231" s="9" t="s">
        <v>85</v>
      </c>
    </row>
    <row r="7232" customFormat="false" ht="14.25" hidden="false" customHeight="true" outlineLevel="0" collapsed="false">
      <c r="B7232" s="9" t="s">
        <v>16</v>
      </c>
      <c r="C7232" s="9" t="n">
        <v>1185732</v>
      </c>
      <c r="D7232" s="10" t="n">
        <v>44369</v>
      </c>
      <c r="E7232" s="9" t="s">
        <v>17</v>
      </c>
      <c r="F7232" s="9" t="s">
        <v>121</v>
      </c>
      <c r="G7232" s="9" t="s">
        <v>122</v>
      </c>
      <c r="H7232" s="11" t="s">
        <v>25</v>
      </c>
      <c r="I7232" s="12" t="n">
        <v>53</v>
      </c>
      <c r="J7232" s="13" t="n">
        <v>84</v>
      </c>
      <c r="K7232" s="14" t="n">
        <f aca="false">I7232*J7232</f>
        <v>4452</v>
      </c>
      <c r="L7232" s="14" t="n">
        <f aca="false">($L$2*M7232)/100</f>
        <v>540749.925</v>
      </c>
      <c r="M7232" s="15" t="n">
        <v>0.45</v>
      </c>
      <c r="N7232" s="9" t="s">
        <v>85</v>
      </c>
    </row>
    <row r="7233" customFormat="false" ht="14.25" hidden="false" customHeight="true" outlineLevel="0" collapsed="false">
      <c r="B7233" s="9" t="s">
        <v>16</v>
      </c>
      <c r="C7233" s="9" t="n">
        <v>1185732</v>
      </c>
      <c r="D7233" s="10" t="n">
        <v>44397</v>
      </c>
      <c r="E7233" s="9" t="s">
        <v>17</v>
      </c>
      <c r="F7233" s="9" t="s">
        <v>121</v>
      </c>
      <c r="G7233" s="9" t="s">
        <v>122</v>
      </c>
      <c r="H7233" s="11" t="s">
        <v>19</v>
      </c>
      <c r="I7233" s="12" t="n">
        <v>49</v>
      </c>
      <c r="J7233" s="13" t="n">
        <v>131</v>
      </c>
      <c r="K7233" s="14" t="n">
        <f aca="false">I7233*J7233</f>
        <v>6419</v>
      </c>
      <c r="L7233" s="14" t="n">
        <f aca="false">($L$2*M7233)/100</f>
        <v>624866.58</v>
      </c>
      <c r="M7233" s="15" t="n">
        <v>0.52</v>
      </c>
      <c r="N7233" s="9" t="s">
        <v>85</v>
      </c>
    </row>
    <row r="7234" customFormat="false" ht="14.25" hidden="false" customHeight="true" outlineLevel="0" collapsed="false">
      <c r="B7234" s="9" t="s">
        <v>28</v>
      </c>
      <c r="C7234" s="9" t="n">
        <v>1185732</v>
      </c>
      <c r="D7234" s="10" t="n">
        <v>44397</v>
      </c>
      <c r="E7234" s="9" t="s">
        <v>17</v>
      </c>
      <c r="F7234" s="9" t="s">
        <v>121</v>
      </c>
      <c r="G7234" s="9" t="s">
        <v>122</v>
      </c>
      <c r="H7234" s="11" t="s">
        <v>21</v>
      </c>
      <c r="I7234" s="12" t="n">
        <v>42</v>
      </c>
      <c r="J7234" s="13" t="n">
        <v>72</v>
      </c>
      <c r="K7234" s="14" t="n">
        <f aca="false">I7234*J7234</f>
        <v>3024</v>
      </c>
      <c r="L7234" s="14" t="n">
        <f aca="false">($L$2*M7234)/100</f>
        <v>576799.92</v>
      </c>
      <c r="M7234" s="15" t="n">
        <v>0.48</v>
      </c>
      <c r="N7234" s="9" t="s">
        <v>85</v>
      </c>
    </row>
    <row r="7235" customFormat="false" ht="14.25" hidden="false" customHeight="true" outlineLevel="0" collapsed="false">
      <c r="B7235" s="9" t="s">
        <v>28</v>
      </c>
      <c r="C7235" s="9" t="n">
        <v>1185732</v>
      </c>
      <c r="D7235" s="10" t="n">
        <v>44397</v>
      </c>
      <c r="E7235" s="9" t="s">
        <v>17</v>
      </c>
      <c r="F7235" s="9" t="s">
        <v>121</v>
      </c>
      <c r="G7235" s="9" t="s">
        <v>122</v>
      </c>
      <c r="H7235" s="11" t="s">
        <v>22</v>
      </c>
      <c r="I7235" s="12" t="n">
        <v>37</v>
      </c>
      <c r="J7235" s="13" t="n">
        <v>60</v>
      </c>
      <c r="K7235" s="14" t="n">
        <f aca="false">I7235*J7235</f>
        <v>2220</v>
      </c>
      <c r="L7235" s="14" t="n">
        <f aca="false">($L$2*M7235)/100</f>
        <v>588816.585</v>
      </c>
      <c r="M7235" s="15" t="n">
        <v>0.49</v>
      </c>
      <c r="N7235" s="9" t="s">
        <v>85</v>
      </c>
    </row>
    <row r="7236" customFormat="false" ht="14.25" hidden="false" customHeight="true" outlineLevel="0" collapsed="false">
      <c r="B7236" s="9" t="s">
        <v>28</v>
      </c>
      <c r="C7236" s="9" t="n">
        <v>1185732</v>
      </c>
      <c r="D7236" s="10" t="n">
        <v>44397</v>
      </c>
      <c r="E7236" s="9" t="s">
        <v>17</v>
      </c>
      <c r="F7236" s="9" t="s">
        <v>121</v>
      </c>
      <c r="G7236" s="9" t="s">
        <v>122</v>
      </c>
      <c r="H7236" s="11" t="s">
        <v>23</v>
      </c>
      <c r="I7236" s="12" t="n">
        <v>36</v>
      </c>
      <c r="J7236" s="13" t="n">
        <v>45</v>
      </c>
      <c r="K7236" s="14" t="n">
        <f aca="false">I7236*J7236</f>
        <v>1620</v>
      </c>
      <c r="L7236" s="14" t="n">
        <f aca="false">($L$2*M7236)/100</f>
        <v>564783.255</v>
      </c>
      <c r="M7236" s="15" t="n">
        <v>0.47</v>
      </c>
      <c r="N7236" s="9" t="s">
        <v>85</v>
      </c>
    </row>
    <row r="7237" customFormat="false" ht="14.25" hidden="false" customHeight="true" outlineLevel="0" collapsed="false">
      <c r="B7237" s="9" t="s">
        <v>28</v>
      </c>
      <c r="C7237" s="9" t="n">
        <v>1185732</v>
      </c>
      <c r="D7237" s="10" t="n">
        <v>44397</v>
      </c>
      <c r="E7237" s="9" t="s">
        <v>17</v>
      </c>
      <c r="F7237" s="9" t="s">
        <v>121</v>
      </c>
      <c r="G7237" s="9" t="s">
        <v>122</v>
      </c>
      <c r="H7237" s="11" t="s">
        <v>24</v>
      </c>
      <c r="I7237" s="12" t="n">
        <v>46</v>
      </c>
      <c r="J7237" s="13" t="n">
        <v>51</v>
      </c>
      <c r="K7237" s="14" t="n">
        <f aca="false">I7237*J7237</f>
        <v>2346</v>
      </c>
      <c r="L7237" s="14" t="n">
        <f aca="false">($L$2*M7237)/100</f>
        <v>540749.925</v>
      </c>
      <c r="M7237" s="15" t="n">
        <v>0.45</v>
      </c>
      <c r="N7237" s="9" t="s">
        <v>85</v>
      </c>
    </row>
    <row r="7238" customFormat="false" ht="14.25" hidden="false" customHeight="true" outlineLevel="0" collapsed="false">
      <c r="B7238" s="9" t="s">
        <v>28</v>
      </c>
      <c r="C7238" s="9" t="n">
        <v>1185732</v>
      </c>
      <c r="D7238" s="10" t="n">
        <v>44397</v>
      </c>
      <c r="E7238" s="9" t="s">
        <v>17</v>
      </c>
      <c r="F7238" s="9" t="s">
        <v>121</v>
      </c>
      <c r="G7238" s="9" t="s">
        <v>122</v>
      </c>
      <c r="H7238" s="11" t="s">
        <v>25</v>
      </c>
      <c r="I7238" s="12" t="n">
        <v>54</v>
      </c>
      <c r="J7238" s="13" t="n">
        <v>102</v>
      </c>
      <c r="K7238" s="14" t="n">
        <f aca="false">I7238*J7238</f>
        <v>5508</v>
      </c>
      <c r="L7238" s="14" t="n">
        <f aca="false">($L$2*M7238)/100</f>
        <v>504699.93</v>
      </c>
      <c r="M7238" s="15" t="n">
        <v>0.42</v>
      </c>
      <c r="N7238" s="9" t="s">
        <v>85</v>
      </c>
    </row>
    <row r="7239" customFormat="false" ht="14.25" hidden="false" customHeight="true" outlineLevel="0" collapsed="false">
      <c r="B7239" s="9" t="s">
        <v>28</v>
      </c>
      <c r="C7239" s="9" t="n">
        <v>1185732</v>
      </c>
      <c r="D7239" s="10" t="n">
        <v>44429</v>
      </c>
      <c r="E7239" s="9" t="s">
        <v>17</v>
      </c>
      <c r="F7239" s="9" t="s">
        <v>121</v>
      </c>
      <c r="G7239" s="9" t="s">
        <v>122</v>
      </c>
      <c r="H7239" s="11" t="s">
        <v>19</v>
      </c>
      <c r="I7239" s="12" t="n">
        <v>48</v>
      </c>
      <c r="J7239" s="13" t="n">
        <v>135</v>
      </c>
      <c r="K7239" s="14" t="n">
        <f aca="false">I7239*J7239</f>
        <v>6480</v>
      </c>
      <c r="L7239" s="14" t="n">
        <f aca="false">($L$2*M7239)/100</f>
        <v>636883.245</v>
      </c>
      <c r="M7239" s="15" t="n">
        <v>0.53</v>
      </c>
      <c r="N7239" s="9" t="s">
        <v>85</v>
      </c>
    </row>
    <row r="7240" customFormat="false" ht="14.25" hidden="false" customHeight="true" outlineLevel="0" collapsed="false">
      <c r="B7240" s="9" t="s">
        <v>28</v>
      </c>
      <c r="C7240" s="9" t="n">
        <v>1185732</v>
      </c>
      <c r="D7240" s="10" t="n">
        <v>44429</v>
      </c>
      <c r="E7240" s="9" t="s">
        <v>17</v>
      </c>
      <c r="F7240" s="9" t="s">
        <v>121</v>
      </c>
      <c r="G7240" s="9" t="s">
        <v>122</v>
      </c>
      <c r="H7240" s="11" t="s">
        <v>21</v>
      </c>
      <c r="I7240" s="12" t="n">
        <v>41</v>
      </c>
      <c r="J7240" s="13" t="n">
        <v>83</v>
      </c>
      <c r="K7240" s="14" t="n">
        <f aca="false">I7240*J7240</f>
        <v>3403</v>
      </c>
      <c r="L7240" s="14" t="n">
        <f aca="false">($L$2*M7240)/100</f>
        <v>600833.25</v>
      </c>
      <c r="M7240" s="15" t="n">
        <v>0.5</v>
      </c>
      <c r="N7240" s="9" t="s">
        <v>85</v>
      </c>
    </row>
    <row r="7241" customFormat="false" ht="14.25" hidden="false" customHeight="true" outlineLevel="0" collapsed="false">
      <c r="B7241" s="9" t="s">
        <v>28</v>
      </c>
      <c r="C7241" s="9" t="n">
        <v>1185732</v>
      </c>
      <c r="D7241" s="10" t="n">
        <v>44429</v>
      </c>
      <c r="E7241" s="9" t="s">
        <v>17</v>
      </c>
      <c r="F7241" s="9" t="s">
        <v>121</v>
      </c>
      <c r="G7241" s="9" t="s">
        <v>122</v>
      </c>
      <c r="H7241" s="11" t="s">
        <v>22</v>
      </c>
      <c r="I7241" s="12" t="n">
        <v>39</v>
      </c>
      <c r="J7241" s="13" t="n">
        <v>60</v>
      </c>
      <c r="K7241" s="14" t="n">
        <f aca="false">I7241*J7241</f>
        <v>2340</v>
      </c>
      <c r="L7241" s="14" t="n">
        <f aca="false">($L$2*M7241)/100</f>
        <v>600833.25</v>
      </c>
      <c r="M7241" s="15" t="n">
        <v>0.5</v>
      </c>
      <c r="N7241" s="9" t="s">
        <v>85</v>
      </c>
    </row>
    <row r="7242" customFormat="false" ht="14.25" hidden="false" customHeight="true" outlineLevel="0" collapsed="false">
      <c r="B7242" s="9" t="s">
        <v>28</v>
      </c>
      <c r="C7242" s="9" t="n">
        <v>1185732</v>
      </c>
      <c r="D7242" s="10" t="n">
        <v>44429</v>
      </c>
      <c r="E7242" s="9" t="s">
        <v>17</v>
      </c>
      <c r="F7242" s="9" t="s">
        <v>121</v>
      </c>
      <c r="G7242" s="9" t="s">
        <v>122</v>
      </c>
      <c r="H7242" s="11" t="s">
        <v>23</v>
      </c>
      <c r="I7242" s="12" t="n">
        <v>37</v>
      </c>
      <c r="J7242" s="13" t="n">
        <v>44</v>
      </c>
      <c r="K7242" s="14" t="n">
        <f aca="false">I7242*J7242</f>
        <v>1628</v>
      </c>
      <c r="L7242" s="14" t="n">
        <f aca="false">($L$2*M7242)/100</f>
        <v>552766.59</v>
      </c>
      <c r="M7242" s="15" t="n">
        <v>0.46</v>
      </c>
      <c r="N7242" s="9" t="s">
        <v>85</v>
      </c>
    </row>
    <row r="7243" customFormat="false" ht="14.25" hidden="false" customHeight="true" outlineLevel="0" collapsed="false">
      <c r="B7243" s="9" t="s">
        <v>28</v>
      </c>
      <c r="C7243" s="9" t="n">
        <v>1185732</v>
      </c>
      <c r="D7243" s="10" t="n">
        <v>44429</v>
      </c>
      <c r="E7243" s="9" t="s">
        <v>17</v>
      </c>
      <c r="F7243" s="9" t="s">
        <v>121</v>
      </c>
      <c r="G7243" s="9" t="s">
        <v>122</v>
      </c>
      <c r="H7243" s="11" t="s">
        <v>24</v>
      </c>
      <c r="I7243" s="12" t="n">
        <v>47</v>
      </c>
      <c r="J7243" s="13" t="n">
        <v>38</v>
      </c>
      <c r="K7243" s="14" t="n">
        <f aca="false">I7243*J7243</f>
        <v>1786</v>
      </c>
      <c r="L7243" s="14" t="n">
        <f aca="false">($L$2*M7243)/100</f>
        <v>540749.925</v>
      </c>
      <c r="M7243" s="15" t="n">
        <v>0.45</v>
      </c>
      <c r="N7243" s="9" t="s">
        <v>85</v>
      </c>
    </row>
    <row r="7244" customFormat="false" ht="14.25" hidden="false" customHeight="true" outlineLevel="0" collapsed="false">
      <c r="B7244" s="9" t="s">
        <v>28</v>
      </c>
      <c r="C7244" s="9" t="n">
        <v>1185732</v>
      </c>
      <c r="D7244" s="10" t="n">
        <v>44429</v>
      </c>
      <c r="E7244" s="9" t="s">
        <v>17</v>
      </c>
      <c r="F7244" s="9" t="s">
        <v>121</v>
      </c>
      <c r="G7244" s="9" t="s">
        <v>122</v>
      </c>
      <c r="H7244" s="11" t="s">
        <v>25</v>
      </c>
      <c r="I7244" s="12" t="n">
        <v>53</v>
      </c>
      <c r="J7244" s="13" t="n">
        <v>81</v>
      </c>
      <c r="K7244" s="14" t="n">
        <f aca="false">I7244*J7244</f>
        <v>4293</v>
      </c>
      <c r="L7244" s="14" t="n">
        <f aca="false">($L$2*M7244)/100</f>
        <v>516716.595</v>
      </c>
      <c r="M7244" s="15" t="n">
        <v>0.43</v>
      </c>
      <c r="N7244" s="9" t="s">
        <v>85</v>
      </c>
    </row>
    <row r="7245" customFormat="false" ht="14.25" hidden="false" customHeight="true" outlineLevel="0" collapsed="false">
      <c r="B7245" s="9" t="s">
        <v>28</v>
      </c>
      <c r="C7245" s="9" t="n">
        <v>1185732</v>
      </c>
      <c r="D7245" s="10" t="n">
        <v>44459</v>
      </c>
      <c r="E7245" s="9" t="s">
        <v>17</v>
      </c>
      <c r="F7245" s="9" t="s">
        <v>121</v>
      </c>
      <c r="G7245" s="9" t="s">
        <v>122</v>
      </c>
      <c r="H7245" s="11" t="s">
        <v>19</v>
      </c>
      <c r="I7245" s="12" t="n">
        <v>49</v>
      </c>
      <c r="J7245" s="13" t="n">
        <v>128</v>
      </c>
      <c r="K7245" s="14" t="n">
        <f aca="false">I7245*J7245</f>
        <v>6272</v>
      </c>
      <c r="L7245" s="14" t="n">
        <f aca="false">($L$2*M7245)/100</f>
        <v>612849.915</v>
      </c>
      <c r="M7245" s="15" t="n">
        <v>0.51</v>
      </c>
      <c r="N7245" s="9" t="s">
        <v>85</v>
      </c>
    </row>
    <row r="7246" customFormat="false" ht="14.25" hidden="false" customHeight="true" outlineLevel="0" collapsed="false">
      <c r="B7246" s="9" t="s">
        <v>28</v>
      </c>
      <c r="C7246" s="9" t="n">
        <v>1185732</v>
      </c>
      <c r="D7246" s="10" t="n">
        <v>44459</v>
      </c>
      <c r="E7246" s="9" t="s">
        <v>17</v>
      </c>
      <c r="F7246" s="9" t="s">
        <v>121</v>
      </c>
      <c r="G7246" s="9" t="s">
        <v>122</v>
      </c>
      <c r="H7246" s="11" t="s">
        <v>21</v>
      </c>
      <c r="I7246" s="12" t="n">
        <v>44</v>
      </c>
      <c r="J7246" s="13" t="n">
        <v>63</v>
      </c>
      <c r="K7246" s="14" t="n">
        <f aca="false">I7246*J7246</f>
        <v>2772</v>
      </c>
      <c r="L7246" s="14" t="n">
        <f aca="false">($L$2*M7246)/100</f>
        <v>540749.925</v>
      </c>
      <c r="M7246" s="15" t="n">
        <v>0.45</v>
      </c>
      <c r="N7246" s="9" t="s">
        <v>85</v>
      </c>
    </row>
    <row r="7247" customFormat="false" ht="14.25" hidden="false" customHeight="true" outlineLevel="0" collapsed="false">
      <c r="B7247" s="9" t="s">
        <v>28</v>
      </c>
      <c r="C7247" s="9" t="n">
        <v>1185732</v>
      </c>
      <c r="D7247" s="10" t="n">
        <v>44459</v>
      </c>
      <c r="E7247" s="9" t="s">
        <v>17</v>
      </c>
      <c r="F7247" s="9" t="s">
        <v>121</v>
      </c>
      <c r="G7247" s="9" t="s">
        <v>122</v>
      </c>
      <c r="H7247" s="11" t="s">
        <v>22</v>
      </c>
      <c r="I7247" s="12" t="n">
        <v>38</v>
      </c>
      <c r="J7247" s="13" t="n">
        <v>36</v>
      </c>
      <c r="K7247" s="14" t="n">
        <f aca="false">I7247*J7247</f>
        <v>1368</v>
      </c>
      <c r="L7247" s="14" t="n">
        <f aca="false">($L$2*M7247)/100</f>
        <v>600833.25</v>
      </c>
      <c r="M7247" s="15" t="n">
        <v>0.5</v>
      </c>
      <c r="N7247" s="9" t="s">
        <v>85</v>
      </c>
    </row>
    <row r="7248" customFormat="false" ht="14.25" hidden="false" customHeight="true" outlineLevel="0" collapsed="false">
      <c r="B7248" s="9" t="s">
        <v>28</v>
      </c>
      <c r="C7248" s="9" t="n">
        <v>1185732</v>
      </c>
      <c r="D7248" s="10" t="n">
        <v>44459</v>
      </c>
      <c r="E7248" s="9" t="s">
        <v>17</v>
      </c>
      <c r="F7248" s="9" t="s">
        <v>121</v>
      </c>
      <c r="G7248" s="9" t="s">
        <v>122</v>
      </c>
      <c r="H7248" s="11" t="s">
        <v>23</v>
      </c>
      <c r="I7248" s="12" t="n">
        <v>36</v>
      </c>
      <c r="J7248" s="13" t="n">
        <v>25</v>
      </c>
      <c r="K7248" s="14" t="n">
        <f aca="false">I7248*J7248</f>
        <v>900</v>
      </c>
      <c r="L7248" s="14" t="n">
        <f aca="false">($L$2*M7248)/100</f>
        <v>540749.925</v>
      </c>
      <c r="M7248" s="15" t="n">
        <v>0.45</v>
      </c>
      <c r="N7248" s="9" t="s">
        <v>85</v>
      </c>
    </row>
    <row r="7249" customFormat="false" ht="14.25" hidden="false" customHeight="true" outlineLevel="0" collapsed="false">
      <c r="B7249" s="9" t="s">
        <v>28</v>
      </c>
      <c r="C7249" s="9" t="n">
        <v>1185732</v>
      </c>
      <c r="D7249" s="10" t="n">
        <v>44459</v>
      </c>
      <c r="E7249" s="9" t="s">
        <v>17</v>
      </c>
      <c r="F7249" s="9" t="s">
        <v>121</v>
      </c>
      <c r="G7249" s="9" t="s">
        <v>122</v>
      </c>
      <c r="H7249" s="11" t="s">
        <v>24</v>
      </c>
      <c r="I7249" s="12" t="n">
        <v>48</v>
      </c>
      <c r="J7249" s="13" t="n">
        <v>30</v>
      </c>
      <c r="K7249" s="14" t="n">
        <f aca="false">I7249*J7249</f>
        <v>1440</v>
      </c>
      <c r="L7249" s="14" t="n">
        <f aca="false">($L$2*M7249)/100</f>
        <v>516716.595</v>
      </c>
      <c r="M7249" s="15" t="n">
        <v>0.43</v>
      </c>
      <c r="N7249" s="9" t="s">
        <v>85</v>
      </c>
    </row>
    <row r="7250" customFormat="false" ht="14.25" hidden="false" customHeight="true" outlineLevel="0" collapsed="false">
      <c r="B7250" s="9" t="s">
        <v>28</v>
      </c>
      <c r="C7250" s="9" t="n">
        <v>1185732</v>
      </c>
      <c r="D7250" s="10" t="n">
        <v>44459</v>
      </c>
      <c r="E7250" s="9" t="s">
        <v>17</v>
      </c>
      <c r="F7250" s="9" t="s">
        <v>121</v>
      </c>
      <c r="G7250" s="9" t="s">
        <v>122</v>
      </c>
      <c r="H7250" s="11" t="s">
        <v>25</v>
      </c>
      <c r="I7250" s="12" t="n">
        <v>54</v>
      </c>
      <c r="J7250" s="13" t="n">
        <v>50</v>
      </c>
      <c r="K7250" s="14" t="n">
        <f aca="false">I7250*J7250</f>
        <v>2700</v>
      </c>
      <c r="L7250" s="14" t="n">
        <f aca="false">($L$2*M7250)/100</f>
        <v>480666.6</v>
      </c>
      <c r="M7250" s="15" t="n">
        <v>0.4</v>
      </c>
      <c r="N7250" s="9" t="s">
        <v>85</v>
      </c>
    </row>
    <row r="7251" customFormat="false" ht="14.25" hidden="false" customHeight="true" outlineLevel="0" collapsed="false">
      <c r="B7251" s="9" t="s">
        <v>28</v>
      </c>
      <c r="C7251" s="9" t="n">
        <v>1185732</v>
      </c>
      <c r="D7251" s="10" t="n">
        <v>44491</v>
      </c>
      <c r="E7251" s="9" t="s">
        <v>17</v>
      </c>
      <c r="F7251" s="9" t="s">
        <v>121</v>
      </c>
      <c r="G7251" s="9" t="s">
        <v>122</v>
      </c>
      <c r="H7251" s="11" t="s">
        <v>19</v>
      </c>
      <c r="I7251" s="12" t="n">
        <v>52</v>
      </c>
      <c r="J7251" s="13" t="n">
        <v>113</v>
      </c>
      <c r="K7251" s="14" t="n">
        <f aca="false">I7251*J7251</f>
        <v>5876</v>
      </c>
      <c r="L7251" s="14" t="n">
        <f aca="false">($L$2*M7251)/100</f>
        <v>648899.91</v>
      </c>
      <c r="M7251" s="15" t="n">
        <v>0.54</v>
      </c>
      <c r="N7251" s="9" t="s">
        <v>85</v>
      </c>
    </row>
    <row r="7252" customFormat="false" ht="14.25" hidden="false" customHeight="true" outlineLevel="0" collapsed="false">
      <c r="B7252" s="9" t="s">
        <v>28</v>
      </c>
      <c r="C7252" s="9" t="n">
        <v>1185732</v>
      </c>
      <c r="D7252" s="10" t="n">
        <v>44491</v>
      </c>
      <c r="E7252" s="9" t="s">
        <v>17</v>
      </c>
      <c r="F7252" s="9" t="s">
        <v>121</v>
      </c>
      <c r="G7252" s="9" t="s">
        <v>122</v>
      </c>
      <c r="H7252" s="11" t="s">
        <v>21</v>
      </c>
      <c r="I7252" s="12" t="n">
        <v>48</v>
      </c>
      <c r="J7252" s="13" t="n">
        <v>58</v>
      </c>
      <c r="K7252" s="14" t="n">
        <f aca="false">I7252*J7252</f>
        <v>2784</v>
      </c>
      <c r="L7252" s="14" t="n">
        <f aca="false">($L$2*M7252)/100</f>
        <v>552766.59</v>
      </c>
      <c r="M7252" s="15" t="n">
        <v>0.46</v>
      </c>
      <c r="N7252" s="9" t="s">
        <v>85</v>
      </c>
    </row>
    <row r="7253" customFormat="false" ht="14.25" hidden="false" customHeight="true" outlineLevel="0" collapsed="false">
      <c r="B7253" s="9" t="s">
        <v>28</v>
      </c>
      <c r="C7253" s="9" t="n">
        <v>1185732</v>
      </c>
      <c r="D7253" s="10" t="n">
        <v>44491</v>
      </c>
      <c r="E7253" s="9" t="s">
        <v>17</v>
      </c>
      <c r="F7253" s="9" t="s">
        <v>121</v>
      </c>
      <c r="G7253" s="9" t="s">
        <v>122</v>
      </c>
      <c r="H7253" s="11" t="s">
        <v>22</v>
      </c>
      <c r="I7253" s="12" t="n">
        <v>49</v>
      </c>
      <c r="J7253" s="13" t="n">
        <v>25</v>
      </c>
      <c r="K7253" s="14" t="n">
        <f aca="false">I7253*J7253</f>
        <v>1225</v>
      </c>
      <c r="L7253" s="14" t="n">
        <f aca="false">($L$2*M7253)/100</f>
        <v>552766.59</v>
      </c>
      <c r="M7253" s="15" t="n">
        <v>0.46</v>
      </c>
      <c r="N7253" s="9" t="s">
        <v>85</v>
      </c>
    </row>
    <row r="7254" customFormat="false" ht="14.25" hidden="false" customHeight="true" outlineLevel="0" collapsed="false">
      <c r="B7254" s="9" t="s">
        <v>16</v>
      </c>
      <c r="C7254" s="9" t="n">
        <v>1185732</v>
      </c>
      <c r="D7254" s="10" t="n">
        <v>44491</v>
      </c>
      <c r="E7254" s="9" t="s">
        <v>17</v>
      </c>
      <c r="F7254" s="9" t="s">
        <v>121</v>
      </c>
      <c r="G7254" s="9" t="s">
        <v>122</v>
      </c>
      <c r="H7254" s="11" t="s">
        <v>23</v>
      </c>
      <c r="I7254" s="12" t="n">
        <v>49</v>
      </c>
      <c r="J7254" s="13" t="n">
        <v>21</v>
      </c>
      <c r="K7254" s="14" t="n">
        <f aca="false">I7254*J7254</f>
        <v>1029</v>
      </c>
      <c r="L7254" s="14" t="n">
        <f aca="false">($L$2*M7254)/100</f>
        <v>600833.25</v>
      </c>
      <c r="M7254" s="15" t="n">
        <v>0.5</v>
      </c>
      <c r="N7254" s="9" t="s">
        <v>85</v>
      </c>
    </row>
    <row r="7255" customFormat="false" ht="14.25" hidden="false" customHeight="true" outlineLevel="0" collapsed="false">
      <c r="B7255" s="9" t="s">
        <v>16</v>
      </c>
      <c r="C7255" s="9" t="n">
        <v>1185732</v>
      </c>
      <c r="D7255" s="10" t="n">
        <v>44491</v>
      </c>
      <c r="E7255" s="9" t="s">
        <v>17</v>
      </c>
      <c r="F7255" s="9" t="s">
        <v>121</v>
      </c>
      <c r="G7255" s="9" t="s">
        <v>122</v>
      </c>
      <c r="H7255" s="11" t="s">
        <v>24</v>
      </c>
      <c r="I7255" s="12" t="n">
        <v>56</v>
      </c>
      <c r="J7255" s="13" t="n">
        <v>20</v>
      </c>
      <c r="K7255" s="14" t="n">
        <f aca="false">I7255*J7255</f>
        <v>1120</v>
      </c>
      <c r="L7255" s="14" t="n">
        <f aca="false">($L$2*M7255)/100</f>
        <v>480666.6</v>
      </c>
      <c r="M7255" s="15" t="n">
        <v>0.4</v>
      </c>
      <c r="N7255" s="9" t="s">
        <v>85</v>
      </c>
    </row>
    <row r="7256" customFormat="false" ht="14.25" hidden="false" customHeight="true" outlineLevel="0" collapsed="false">
      <c r="B7256" s="9" t="s">
        <v>16</v>
      </c>
      <c r="C7256" s="9" t="n">
        <v>1185732</v>
      </c>
      <c r="D7256" s="10" t="n">
        <v>44491</v>
      </c>
      <c r="E7256" s="9" t="s">
        <v>17</v>
      </c>
      <c r="F7256" s="9" t="s">
        <v>121</v>
      </c>
      <c r="G7256" s="9" t="s">
        <v>122</v>
      </c>
      <c r="H7256" s="11" t="s">
        <v>25</v>
      </c>
      <c r="I7256" s="12" t="n">
        <v>60</v>
      </c>
      <c r="J7256" s="13" t="n">
        <v>52</v>
      </c>
      <c r="K7256" s="14" t="n">
        <f aca="false">I7256*J7256</f>
        <v>3120</v>
      </c>
      <c r="L7256" s="14" t="n">
        <f aca="false">($L$2*M7256)/100</f>
        <v>480666.6</v>
      </c>
      <c r="M7256" s="15" t="n">
        <v>0.4</v>
      </c>
      <c r="N7256" s="9" t="s">
        <v>85</v>
      </c>
    </row>
    <row r="7257" customFormat="false" ht="14.25" hidden="false" customHeight="true" outlineLevel="0" collapsed="false">
      <c r="B7257" s="9" t="s">
        <v>16</v>
      </c>
      <c r="C7257" s="9" t="n">
        <v>1185732</v>
      </c>
      <c r="D7257" s="10" t="n">
        <v>44521</v>
      </c>
      <c r="E7257" s="9" t="s">
        <v>17</v>
      </c>
      <c r="F7257" s="9" t="s">
        <v>121</v>
      </c>
      <c r="G7257" s="9" t="s">
        <v>122</v>
      </c>
      <c r="H7257" s="11" t="s">
        <v>19</v>
      </c>
      <c r="I7257" s="12" t="n">
        <v>58</v>
      </c>
      <c r="J7257" s="13" t="n">
        <v>88</v>
      </c>
      <c r="K7257" s="14" t="n">
        <f aca="false">I7257*J7257</f>
        <v>5104</v>
      </c>
      <c r="L7257" s="14" t="n">
        <f aca="false">($L$2*M7257)/100</f>
        <v>660916.575</v>
      </c>
      <c r="M7257" s="15" t="n">
        <v>0.55</v>
      </c>
      <c r="N7257" s="9" t="s">
        <v>85</v>
      </c>
    </row>
    <row r="7258" customFormat="false" ht="14.25" hidden="false" customHeight="true" outlineLevel="0" collapsed="false">
      <c r="B7258" s="9" t="s">
        <v>16</v>
      </c>
      <c r="C7258" s="9" t="n">
        <v>1185732</v>
      </c>
      <c r="D7258" s="10" t="n">
        <v>44521</v>
      </c>
      <c r="E7258" s="9" t="s">
        <v>17</v>
      </c>
      <c r="F7258" s="9" t="s">
        <v>121</v>
      </c>
      <c r="G7258" s="9" t="s">
        <v>122</v>
      </c>
      <c r="H7258" s="11" t="s">
        <v>21</v>
      </c>
      <c r="I7258" s="12" t="n">
        <v>45</v>
      </c>
      <c r="J7258" s="13" t="n">
        <v>51</v>
      </c>
      <c r="K7258" s="14" t="n">
        <f aca="false">I7258*J7258</f>
        <v>2295</v>
      </c>
      <c r="L7258" s="14" t="n">
        <f aca="false">($L$2*M7258)/100</f>
        <v>564783.255</v>
      </c>
      <c r="M7258" s="15" t="n">
        <v>0.47</v>
      </c>
      <c r="N7258" s="9" t="s">
        <v>85</v>
      </c>
    </row>
    <row r="7259" customFormat="false" ht="14.25" hidden="false" customHeight="true" outlineLevel="0" collapsed="false">
      <c r="B7259" s="9" t="s">
        <v>16</v>
      </c>
      <c r="C7259" s="9" t="n">
        <v>1185732</v>
      </c>
      <c r="D7259" s="10" t="n">
        <v>44521</v>
      </c>
      <c r="E7259" s="9" t="s">
        <v>17</v>
      </c>
      <c r="F7259" s="9" t="s">
        <v>121</v>
      </c>
      <c r="G7259" s="9" t="s">
        <v>122</v>
      </c>
      <c r="H7259" s="11" t="s">
        <v>22</v>
      </c>
      <c r="I7259" s="12" t="n">
        <v>49</v>
      </c>
      <c r="J7259" s="13" t="n">
        <v>48</v>
      </c>
      <c r="K7259" s="14" t="n">
        <f aca="false">I7259*J7259</f>
        <v>2352</v>
      </c>
      <c r="L7259" s="14" t="n">
        <f aca="false">($L$2*M7259)/100</f>
        <v>600833.25</v>
      </c>
      <c r="M7259" s="15" t="n">
        <v>0.5</v>
      </c>
      <c r="N7259" s="9" t="s">
        <v>85</v>
      </c>
    </row>
    <row r="7260" customFormat="false" ht="14.25" hidden="false" customHeight="true" outlineLevel="0" collapsed="false">
      <c r="B7260" s="9" t="s">
        <v>16</v>
      </c>
      <c r="C7260" s="9" t="n">
        <v>1185732</v>
      </c>
      <c r="D7260" s="10" t="n">
        <v>44521</v>
      </c>
      <c r="E7260" s="9" t="s">
        <v>17</v>
      </c>
      <c r="F7260" s="9" t="s">
        <v>121</v>
      </c>
      <c r="G7260" s="9" t="s">
        <v>122</v>
      </c>
      <c r="H7260" s="11" t="s">
        <v>23</v>
      </c>
      <c r="I7260" s="12" t="n">
        <v>48</v>
      </c>
      <c r="J7260" s="13" t="n">
        <v>41</v>
      </c>
      <c r="K7260" s="14" t="n">
        <f aca="false">I7260*J7260</f>
        <v>1968</v>
      </c>
      <c r="L7260" s="14" t="n">
        <f aca="false">($L$2*M7260)/100</f>
        <v>552766.59</v>
      </c>
      <c r="M7260" s="15" t="n">
        <v>0.46</v>
      </c>
      <c r="N7260" s="9" t="s">
        <v>85</v>
      </c>
    </row>
    <row r="7261" customFormat="false" ht="14.25" hidden="false" customHeight="true" outlineLevel="0" collapsed="false">
      <c r="B7261" s="9" t="s">
        <v>16</v>
      </c>
      <c r="C7261" s="9" t="n">
        <v>1185732</v>
      </c>
      <c r="D7261" s="10" t="n">
        <v>44521</v>
      </c>
      <c r="E7261" s="9" t="s">
        <v>17</v>
      </c>
      <c r="F7261" s="9" t="s">
        <v>121</v>
      </c>
      <c r="G7261" s="9" t="s">
        <v>122</v>
      </c>
      <c r="H7261" s="11" t="s">
        <v>24</v>
      </c>
      <c r="I7261" s="12" t="n">
        <v>56</v>
      </c>
      <c r="J7261" s="13" t="n">
        <v>31</v>
      </c>
      <c r="K7261" s="14" t="n">
        <f aca="false">I7261*J7261</f>
        <v>1736</v>
      </c>
      <c r="L7261" s="14" t="n">
        <f aca="false">($L$2*M7261)/100</f>
        <v>528733.26</v>
      </c>
      <c r="M7261" s="15" t="n">
        <v>0.44</v>
      </c>
      <c r="N7261" s="9" t="s">
        <v>85</v>
      </c>
    </row>
    <row r="7262" customFormat="false" ht="14.25" hidden="false" customHeight="true" outlineLevel="0" collapsed="false">
      <c r="B7262" s="9" t="s">
        <v>16</v>
      </c>
      <c r="C7262" s="9" t="n">
        <v>1185732</v>
      </c>
      <c r="D7262" s="10" t="n">
        <v>44521</v>
      </c>
      <c r="E7262" s="9" t="s">
        <v>17</v>
      </c>
      <c r="F7262" s="9" t="s">
        <v>121</v>
      </c>
      <c r="G7262" s="9" t="s">
        <v>122</v>
      </c>
      <c r="H7262" s="11" t="s">
        <v>25</v>
      </c>
      <c r="I7262" s="12" t="n">
        <v>62</v>
      </c>
      <c r="J7262" s="13" t="n">
        <v>63</v>
      </c>
      <c r="K7262" s="14" t="n">
        <f aca="false">I7262*J7262</f>
        <v>3906</v>
      </c>
      <c r="L7262" s="14" t="n">
        <f aca="false">($L$2*M7262)/100</f>
        <v>516716.595</v>
      </c>
      <c r="M7262" s="15" t="n">
        <v>0.43</v>
      </c>
      <c r="N7262" s="9" t="s">
        <v>85</v>
      </c>
    </row>
    <row r="7263" customFormat="false" ht="14.25" hidden="false" customHeight="true" outlineLevel="0" collapsed="false">
      <c r="B7263" s="9" t="s">
        <v>16</v>
      </c>
      <c r="C7263" s="9" t="n">
        <v>1185732</v>
      </c>
      <c r="D7263" s="10" t="n">
        <v>44550</v>
      </c>
      <c r="E7263" s="9" t="s">
        <v>17</v>
      </c>
      <c r="F7263" s="9" t="s">
        <v>121</v>
      </c>
      <c r="G7263" s="9" t="s">
        <v>122</v>
      </c>
      <c r="H7263" s="11" t="s">
        <v>19</v>
      </c>
      <c r="I7263" s="12" t="n">
        <v>57</v>
      </c>
      <c r="J7263" s="13" t="n">
        <v>122</v>
      </c>
      <c r="K7263" s="14" t="n">
        <f aca="false">I7263*J7263</f>
        <v>6954</v>
      </c>
      <c r="L7263" s="14" t="n">
        <f aca="false">($L$2*M7263)/100</f>
        <v>600833.25</v>
      </c>
      <c r="M7263" s="15" t="n">
        <v>0.5</v>
      </c>
      <c r="N7263" s="9" t="s">
        <v>85</v>
      </c>
    </row>
    <row r="7264" customFormat="false" ht="14.25" hidden="false" customHeight="true" outlineLevel="0" collapsed="false">
      <c r="B7264" s="9" t="s">
        <v>16</v>
      </c>
      <c r="C7264" s="9" t="n">
        <v>1185732</v>
      </c>
      <c r="D7264" s="10" t="n">
        <v>44550</v>
      </c>
      <c r="E7264" s="9" t="s">
        <v>17</v>
      </c>
      <c r="F7264" s="9" t="s">
        <v>121</v>
      </c>
      <c r="G7264" s="9" t="s">
        <v>122</v>
      </c>
      <c r="H7264" s="11" t="s">
        <v>21</v>
      </c>
      <c r="I7264" s="12" t="n">
        <v>46</v>
      </c>
      <c r="J7264" s="13" t="n">
        <v>65</v>
      </c>
      <c r="K7264" s="14" t="n">
        <f aca="false">I7264*J7264</f>
        <v>2990</v>
      </c>
      <c r="L7264" s="14" t="n">
        <f aca="false">($L$2*M7264)/100</f>
        <v>600833.25</v>
      </c>
      <c r="M7264" s="15" t="n">
        <v>0.5</v>
      </c>
      <c r="N7264" s="9" t="s">
        <v>85</v>
      </c>
    </row>
    <row r="7265" customFormat="false" ht="14.25" hidden="false" customHeight="true" outlineLevel="0" collapsed="false">
      <c r="B7265" s="9" t="s">
        <v>16</v>
      </c>
      <c r="C7265" s="9" t="n">
        <v>1185732</v>
      </c>
      <c r="D7265" s="10" t="n">
        <v>44550</v>
      </c>
      <c r="E7265" s="9" t="s">
        <v>17</v>
      </c>
      <c r="F7265" s="9" t="s">
        <v>121</v>
      </c>
      <c r="G7265" s="9" t="s">
        <v>122</v>
      </c>
      <c r="H7265" s="11" t="s">
        <v>22</v>
      </c>
      <c r="I7265" s="12" t="n">
        <v>45</v>
      </c>
      <c r="J7265" s="13" t="n">
        <v>65</v>
      </c>
      <c r="K7265" s="14" t="n">
        <f aca="false">I7265*J7265</f>
        <v>2925</v>
      </c>
      <c r="L7265" s="14" t="n">
        <f aca="false">($L$2*M7265)/100</f>
        <v>564783.255</v>
      </c>
      <c r="M7265" s="15" t="n">
        <v>0.47</v>
      </c>
      <c r="N7265" s="9" t="s">
        <v>85</v>
      </c>
    </row>
    <row r="7266" customFormat="false" ht="14.25" hidden="false" customHeight="true" outlineLevel="0" collapsed="false">
      <c r="B7266" s="9" t="s">
        <v>16</v>
      </c>
      <c r="C7266" s="9" t="n">
        <v>1185732</v>
      </c>
      <c r="D7266" s="10" t="n">
        <v>44550</v>
      </c>
      <c r="E7266" s="9" t="s">
        <v>17</v>
      </c>
      <c r="F7266" s="9" t="s">
        <v>121</v>
      </c>
      <c r="G7266" s="9" t="s">
        <v>122</v>
      </c>
      <c r="H7266" s="11" t="s">
        <v>23</v>
      </c>
      <c r="I7266" s="12" t="n">
        <v>49</v>
      </c>
      <c r="J7266" s="13" t="n">
        <v>44</v>
      </c>
      <c r="K7266" s="14" t="n">
        <f aca="false">I7266*J7266</f>
        <v>2156</v>
      </c>
      <c r="L7266" s="14" t="n">
        <f aca="false">($L$2*M7266)/100</f>
        <v>564783.255</v>
      </c>
      <c r="M7266" s="15" t="n">
        <v>0.47</v>
      </c>
      <c r="N7266" s="9" t="s">
        <v>85</v>
      </c>
    </row>
    <row r="7267" customFormat="false" ht="14.25" hidden="false" customHeight="true" outlineLevel="0" collapsed="false">
      <c r="B7267" s="9" t="s">
        <v>16</v>
      </c>
      <c r="C7267" s="9" t="n">
        <v>1185732</v>
      </c>
      <c r="D7267" s="10" t="n">
        <v>44550</v>
      </c>
      <c r="E7267" s="9" t="s">
        <v>17</v>
      </c>
      <c r="F7267" s="9" t="s">
        <v>121</v>
      </c>
      <c r="G7267" s="9" t="s">
        <v>122</v>
      </c>
      <c r="H7267" s="11" t="s">
        <v>24</v>
      </c>
      <c r="I7267" s="12" t="n">
        <v>54</v>
      </c>
      <c r="J7267" s="13" t="n">
        <v>51</v>
      </c>
      <c r="K7267" s="14" t="n">
        <f aca="false">I7267*J7267</f>
        <v>2754</v>
      </c>
      <c r="L7267" s="14" t="n">
        <f aca="false">($L$2*M7267)/100</f>
        <v>492683.265</v>
      </c>
      <c r="M7267" s="15" t="n">
        <v>0.41</v>
      </c>
      <c r="N7267" s="9" t="s">
        <v>85</v>
      </c>
    </row>
    <row r="7268" customFormat="false" ht="14.25" hidden="false" customHeight="true" outlineLevel="0" collapsed="false">
      <c r="B7268" s="9" t="s">
        <v>16</v>
      </c>
      <c r="C7268" s="9" t="n">
        <v>1185732</v>
      </c>
      <c r="D7268" s="10" t="n">
        <v>44550</v>
      </c>
      <c r="E7268" s="9" t="s">
        <v>17</v>
      </c>
      <c r="F7268" s="9" t="s">
        <v>121</v>
      </c>
      <c r="G7268" s="9" t="s">
        <v>122</v>
      </c>
      <c r="H7268" s="11" t="s">
        <v>25</v>
      </c>
      <c r="I7268" s="12" t="n">
        <v>61</v>
      </c>
      <c r="J7268" s="13" t="n">
        <v>72</v>
      </c>
      <c r="K7268" s="14" t="n">
        <f aca="false">I7268*J7268</f>
        <v>4392</v>
      </c>
      <c r="L7268" s="14" t="n">
        <f aca="false">($L$2*M7268)/100</f>
        <v>504699.93</v>
      </c>
      <c r="M7268" s="15" t="n">
        <v>0.42</v>
      </c>
      <c r="N7268" s="9" t="s">
        <v>85</v>
      </c>
    </row>
    <row r="7269" customFormat="false" ht="14.25" hidden="false" customHeight="true" outlineLevel="0" collapsed="false">
      <c r="B7269" s="9" t="s">
        <v>16</v>
      </c>
      <c r="C7269" s="9" t="n">
        <v>1185732</v>
      </c>
      <c r="D7269" s="10" t="n">
        <v>44213</v>
      </c>
      <c r="E7269" s="9" t="s">
        <v>17</v>
      </c>
      <c r="F7269" s="9" t="s">
        <v>121</v>
      </c>
      <c r="G7269" s="9" t="s">
        <v>122</v>
      </c>
      <c r="H7269" s="11" t="s">
        <v>19</v>
      </c>
      <c r="I7269" s="12" t="n">
        <v>36</v>
      </c>
      <c r="J7269" s="13" t="n">
        <v>137</v>
      </c>
      <c r="K7269" s="14" t="n">
        <f aca="false">I7269*J7269</f>
        <v>4932</v>
      </c>
      <c r="L7269" s="14" t="n">
        <f aca="false">($L$2*M7269)/100</f>
        <v>540749.925</v>
      </c>
      <c r="M7269" s="15" t="n">
        <v>0.45</v>
      </c>
      <c r="N7269" s="9" t="s">
        <v>85</v>
      </c>
    </row>
    <row r="7270" customFormat="false" ht="14.25" hidden="false" customHeight="true" outlineLevel="0" collapsed="false">
      <c r="B7270" s="9" t="s">
        <v>16</v>
      </c>
      <c r="C7270" s="9" t="n">
        <v>1185732</v>
      </c>
      <c r="D7270" s="10" t="n">
        <v>44213</v>
      </c>
      <c r="E7270" s="9" t="s">
        <v>17</v>
      </c>
      <c r="F7270" s="9" t="s">
        <v>121</v>
      </c>
      <c r="G7270" s="9" t="s">
        <v>122</v>
      </c>
      <c r="H7270" s="11" t="s">
        <v>21</v>
      </c>
      <c r="I7270" s="12" t="n">
        <v>38</v>
      </c>
      <c r="J7270" s="13" t="n">
        <v>81</v>
      </c>
      <c r="K7270" s="14" t="n">
        <f aca="false">I7270*J7270</f>
        <v>3078</v>
      </c>
      <c r="L7270" s="14" t="n">
        <f aca="false">($L$2*M7270)/100</f>
        <v>600833.25</v>
      </c>
      <c r="M7270" s="15" t="n">
        <v>0.5</v>
      </c>
      <c r="N7270" s="9" t="s">
        <v>85</v>
      </c>
    </row>
    <row r="7271" customFormat="false" ht="14.25" hidden="false" customHeight="true" outlineLevel="0" collapsed="false">
      <c r="B7271" s="9" t="s">
        <v>16</v>
      </c>
      <c r="C7271" s="9" t="n">
        <v>1185732</v>
      </c>
      <c r="D7271" s="10" t="n">
        <v>44213</v>
      </c>
      <c r="E7271" s="9" t="s">
        <v>17</v>
      </c>
      <c r="F7271" s="9" t="s">
        <v>121</v>
      </c>
      <c r="G7271" s="9" t="s">
        <v>122</v>
      </c>
      <c r="H7271" s="11" t="s">
        <v>22</v>
      </c>
      <c r="I7271" s="12" t="n">
        <v>29</v>
      </c>
      <c r="J7271" s="13" t="n">
        <v>91</v>
      </c>
      <c r="K7271" s="14" t="n">
        <f aca="false">I7271*J7271</f>
        <v>2639</v>
      </c>
      <c r="L7271" s="14" t="n">
        <f aca="false">($L$2*M7271)/100</f>
        <v>636883.245</v>
      </c>
      <c r="M7271" s="15" t="n">
        <v>0.53</v>
      </c>
      <c r="N7271" s="9" t="s">
        <v>85</v>
      </c>
    </row>
    <row r="7272" customFormat="false" ht="14.25" hidden="false" customHeight="true" outlineLevel="0" collapsed="false">
      <c r="B7272" s="9" t="s">
        <v>16</v>
      </c>
      <c r="C7272" s="9" t="n">
        <v>1185732</v>
      </c>
      <c r="D7272" s="10" t="n">
        <v>44213</v>
      </c>
      <c r="E7272" s="9" t="s">
        <v>17</v>
      </c>
      <c r="F7272" s="9" t="s">
        <v>121</v>
      </c>
      <c r="G7272" s="9" t="s">
        <v>122</v>
      </c>
      <c r="H7272" s="11" t="s">
        <v>23</v>
      </c>
      <c r="I7272" s="12" t="n">
        <v>32</v>
      </c>
      <c r="J7272" s="13" t="n">
        <v>47</v>
      </c>
      <c r="K7272" s="14" t="n">
        <f aca="false">I7272*J7272</f>
        <v>1504</v>
      </c>
      <c r="L7272" s="14" t="n">
        <f aca="false">($L$2*M7272)/100</f>
        <v>660916.575</v>
      </c>
      <c r="M7272" s="15" t="n">
        <v>0.55</v>
      </c>
      <c r="N7272" s="9" t="s">
        <v>85</v>
      </c>
    </row>
    <row r="7273" customFormat="false" ht="14.25" hidden="false" customHeight="true" outlineLevel="0" collapsed="false">
      <c r="B7273" s="9" t="s">
        <v>16</v>
      </c>
      <c r="C7273" s="9" t="n">
        <v>1185732</v>
      </c>
      <c r="D7273" s="10" t="n">
        <v>44213</v>
      </c>
      <c r="E7273" s="9" t="s">
        <v>17</v>
      </c>
      <c r="F7273" s="9" t="s">
        <v>121</v>
      </c>
      <c r="G7273" s="9" t="s">
        <v>122</v>
      </c>
      <c r="H7273" s="11" t="s">
        <v>24</v>
      </c>
      <c r="I7273" s="12" t="n">
        <v>49</v>
      </c>
      <c r="J7273" s="13" t="n">
        <v>59</v>
      </c>
      <c r="K7273" s="14" t="n">
        <f aca="false">I7273*J7273</f>
        <v>2891</v>
      </c>
      <c r="L7273" s="14" t="n">
        <f aca="false">($L$2*M7273)/100</f>
        <v>504699.93</v>
      </c>
      <c r="M7273" s="15" t="n">
        <v>0.42</v>
      </c>
      <c r="N7273" s="9" t="s">
        <v>85</v>
      </c>
    </row>
    <row r="7274" customFormat="false" ht="14.25" hidden="false" customHeight="true" outlineLevel="0" collapsed="false">
      <c r="B7274" s="9" t="s">
        <v>16</v>
      </c>
      <c r="C7274" s="9" t="n">
        <v>1185732</v>
      </c>
      <c r="D7274" s="10" t="n">
        <v>44213</v>
      </c>
      <c r="E7274" s="9" t="s">
        <v>17</v>
      </c>
      <c r="F7274" s="9" t="s">
        <v>121</v>
      </c>
      <c r="G7274" s="9" t="s">
        <v>122</v>
      </c>
      <c r="H7274" s="11" t="s">
        <v>25</v>
      </c>
      <c r="I7274" s="12" t="n">
        <v>36</v>
      </c>
      <c r="J7274" s="13" t="n">
        <v>81</v>
      </c>
      <c r="K7274" s="14" t="n">
        <f aca="false">I7274*J7274</f>
        <v>2916</v>
      </c>
      <c r="L7274" s="14" t="n">
        <f aca="false">($L$2*M7274)/100</f>
        <v>612849.915</v>
      </c>
      <c r="M7274" s="15" t="n">
        <v>0.51</v>
      </c>
      <c r="N7274" s="9" t="s">
        <v>85</v>
      </c>
    </row>
    <row r="7275" customFormat="false" ht="14.25" hidden="false" customHeight="true" outlineLevel="0" collapsed="false">
      <c r="B7275" s="9" t="s">
        <v>16</v>
      </c>
      <c r="C7275" s="9" t="n">
        <v>1185732</v>
      </c>
      <c r="D7275" s="10" t="n">
        <v>44242</v>
      </c>
      <c r="E7275" s="9" t="s">
        <v>17</v>
      </c>
      <c r="F7275" s="9" t="s">
        <v>121</v>
      </c>
      <c r="G7275" s="9" t="s">
        <v>122</v>
      </c>
      <c r="H7275" s="11" t="s">
        <v>19</v>
      </c>
      <c r="I7275" s="12" t="n">
        <v>39</v>
      </c>
      <c r="J7275" s="13" t="n">
        <v>144</v>
      </c>
      <c r="K7275" s="14" t="n">
        <f aca="false">I7275*J7275</f>
        <v>5616</v>
      </c>
      <c r="L7275" s="14" t="n">
        <f aca="false">($L$2*M7275)/100</f>
        <v>600833.25</v>
      </c>
      <c r="M7275" s="15" t="n">
        <v>0.5</v>
      </c>
      <c r="N7275" s="9" t="s">
        <v>85</v>
      </c>
    </row>
    <row r="7276" customFormat="false" ht="14.25" hidden="false" customHeight="true" outlineLevel="0" collapsed="false">
      <c r="B7276" s="9" t="s">
        <v>16</v>
      </c>
      <c r="C7276" s="9" t="n">
        <v>1185732</v>
      </c>
      <c r="D7276" s="10" t="n">
        <v>44242</v>
      </c>
      <c r="E7276" s="9" t="s">
        <v>17</v>
      </c>
      <c r="F7276" s="9" t="s">
        <v>121</v>
      </c>
      <c r="G7276" s="9" t="s">
        <v>122</v>
      </c>
      <c r="H7276" s="11" t="s">
        <v>21</v>
      </c>
      <c r="I7276" s="12" t="n">
        <v>37</v>
      </c>
      <c r="J7276" s="13" t="n">
        <v>61</v>
      </c>
      <c r="K7276" s="14" t="n">
        <f aca="false">I7276*J7276</f>
        <v>2257</v>
      </c>
      <c r="L7276" s="14" t="n">
        <f aca="false">($L$2*M7276)/100</f>
        <v>552766.59</v>
      </c>
      <c r="M7276" s="15" t="n">
        <v>0.46</v>
      </c>
      <c r="N7276" s="9" t="s">
        <v>85</v>
      </c>
    </row>
    <row r="7277" customFormat="false" ht="14.25" hidden="false" customHeight="true" outlineLevel="0" collapsed="false">
      <c r="B7277" s="9" t="s">
        <v>16</v>
      </c>
      <c r="C7277" s="9" t="n">
        <v>1185732</v>
      </c>
      <c r="D7277" s="10" t="n">
        <v>44242</v>
      </c>
      <c r="E7277" s="9" t="s">
        <v>17</v>
      </c>
      <c r="F7277" s="9" t="s">
        <v>121</v>
      </c>
      <c r="G7277" s="9" t="s">
        <v>122</v>
      </c>
      <c r="H7277" s="11" t="s">
        <v>22</v>
      </c>
      <c r="I7277" s="12" t="n">
        <v>27</v>
      </c>
      <c r="J7277" s="13" t="n">
        <v>69</v>
      </c>
      <c r="K7277" s="14" t="n">
        <f aca="false">I7277*J7277</f>
        <v>1863</v>
      </c>
      <c r="L7277" s="14" t="n">
        <f aca="false">($L$2*M7277)/100</f>
        <v>612849.915</v>
      </c>
      <c r="M7277" s="15" t="n">
        <v>0.51</v>
      </c>
      <c r="N7277" s="9" t="s">
        <v>85</v>
      </c>
    </row>
    <row r="7278" customFormat="false" ht="14.25" hidden="false" customHeight="true" outlineLevel="0" collapsed="false">
      <c r="B7278" s="9" t="s">
        <v>16</v>
      </c>
      <c r="C7278" s="9" t="n">
        <v>1185732</v>
      </c>
      <c r="D7278" s="10" t="n">
        <v>44242</v>
      </c>
      <c r="E7278" s="9" t="s">
        <v>17</v>
      </c>
      <c r="F7278" s="9" t="s">
        <v>123</v>
      </c>
      <c r="G7278" s="9" t="s">
        <v>124</v>
      </c>
      <c r="H7278" s="11" t="s">
        <v>23</v>
      </c>
      <c r="I7278" s="12" t="n">
        <v>33</v>
      </c>
      <c r="J7278" s="13" t="n">
        <v>45</v>
      </c>
      <c r="K7278" s="14" t="n">
        <f aca="false">I7278*J7278</f>
        <v>1485</v>
      </c>
      <c r="L7278" s="14" t="n">
        <f aca="false">($L$2*M7278)/100</f>
        <v>660916.575</v>
      </c>
      <c r="M7278" s="15" t="n">
        <v>0.55</v>
      </c>
      <c r="N7278" s="9" t="s">
        <v>85</v>
      </c>
    </row>
    <row r="7279" customFormat="false" ht="14.25" hidden="false" customHeight="true" outlineLevel="0" collapsed="false">
      <c r="B7279" s="9" t="s">
        <v>16</v>
      </c>
      <c r="C7279" s="9" t="n">
        <v>1185732</v>
      </c>
      <c r="D7279" s="10" t="n">
        <v>44242</v>
      </c>
      <c r="E7279" s="9" t="s">
        <v>17</v>
      </c>
      <c r="F7279" s="9" t="s">
        <v>123</v>
      </c>
      <c r="G7279" s="9" t="s">
        <v>124</v>
      </c>
      <c r="H7279" s="11" t="s">
        <v>24</v>
      </c>
      <c r="I7279" s="12" t="n">
        <v>45</v>
      </c>
      <c r="J7279" s="13" t="n">
        <v>65</v>
      </c>
      <c r="K7279" s="14" t="n">
        <f aca="false">I7279*J7279</f>
        <v>2925</v>
      </c>
      <c r="L7279" s="14" t="n">
        <f aca="false">($L$2*M7279)/100</f>
        <v>492683.265</v>
      </c>
      <c r="M7279" s="15" t="n">
        <v>0.41</v>
      </c>
      <c r="N7279" s="9" t="s">
        <v>85</v>
      </c>
    </row>
    <row r="7280" customFormat="false" ht="14.25" hidden="false" customHeight="true" outlineLevel="0" collapsed="false">
      <c r="B7280" s="9" t="s">
        <v>16</v>
      </c>
      <c r="C7280" s="9" t="n">
        <v>1185732</v>
      </c>
      <c r="D7280" s="10" t="n">
        <v>44242</v>
      </c>
      <c r="E7280" s="9" t="s">
        <v>17</v>
      </c>
      <c r="F7280" s="9" t="s">
        <v>123</v>
      </c>
      <c r="G7280" s="9" t="s">
        <v>124</v>
      </c>
      <c r="H7280" s="11" t="s">
        <v>25</v>
      </c>
      <c r="I7280" s="12" t="n">
        <v>39</v>
      </c>
      <c r="J7280" s="13" t="n">
        <v>98</v>
      </c>
      <c r="K7280" s="14" t="n">
        <f aca="false">I7280*J7280</f>
        <v>3822</v>
      </c>
      <c r="L7280" s="14" t="n">
        <f aca="false">($L$2*M7280)/100</f>
        <v>636883.245</v>
      </c>
      <c r="M7280" s="15" t="n">
        <v>0.53</v>
      </c>
      <c r="N7280" s="9" t="s">
        <v>85</v>
      </c>
    </row>
    <row r="7281" customFormat="false" ht="14.25" hidden="false" customHeight="true" outlineLevel="0" collapsed="false">
      <c r="B7281" s="9" t="s">
        <v>16</v>
      </c>
      <c r="C7281" s="9" t="n">
        <v>1185732</v>
      </c>
      <c r="D7281" s="10" t="n">
        <v>44268</v>
      </c>
      <c r="E7281" s="9" t="s">
        <v>17</v>
      </c>
      <c r="F7281" s="9" t="s">
        <v>123</v>
      </c>
      <c r="G7281" s="9" t="s">
        <v>124</v>
      </c>
      <c r="H7281" s="11" t="s">
        <v>19</v>
      </c>
      <c r="I7281" s="12" t="n">
        <v>36</v>
      </c>
      <c r="J7281" s="13" t="n">
        <v>158</v>
      </c>
      <c r="K7281" s="14" t="n">
        <f aca="false">I7281*J7281</f>
        <v>5688</v>
      </c>
      <c r="L7281" s="14" t="n">
        <f aca="false">($L$2*M7281)/100</f>
        <v>552766.59</v>
      </c>
      <c r="M7281" s="15" t="n">
        <v>0.46</v>
      </c>
      <c r="N7281" s="9" t="s">
        <v>85</v>
      </c>
    </row>
    <row r="7282" customFormat="false" ht="14.25" hidden="false" customHeight="true" outlineLevel="0" collapsed="false">
      <c r="B7282" s="9" t="s">
        <v>16</v>
      </c>
      <c r="C7282" s="9" t="n">
        <v>1185732</v>
      </c>
      <c r="D7282" s="10" t="n">
        <v>44268</v>
      </c>
      <c r="E7282" s="9" t="s">
        <v>17</v>
      </c>
      <c r="F7282" s="9" t="s">
        <v>123</v>
      </c>
      <c r="G7282" s="9" t="s">
        <v>124</v>
      </c>
      <c r="H7282" s="11" t="s">
        <v>21</v>
      </c>
      <c r="I7282" s="12" t="n">
        <v>39</v>
      </c>
      <c r="J7282" s="13" t="n">
        <v>68</v>
      </c>
      <c r="K7282" s="14" t="n">
        <f aca="false">I7282*J7282</f>
        <v>2652</v>
      </c>
      <c r="L7282" s="14" t="n">
        <f aca="false">($L$2*M7282)/100</f>
        <v>540749.925</v>
      </c>
      <c r="M7282" s="15" t="n">
        <v>0.45</v>
      </c>
      <c r="N7282" s="9" t="s">
        <v>85</v>
      </c>
    </row>
    <row r="7283" customFormat="false" ht="14.25" hidden="false" customHeight="true" outlineLevel="0" collapsed="false">
      <c r="B7283" s="9" t="s">
        <v>16</v>
      </c>
      <c r="C7283" s="9" t="n">
        <v>1185732</v>
      </c>
      <c r="D7283" s="10" t="n">
        <v>44268</v>
      </c>
      <c r="E7283" s="9" t="s">
        <v>17</v>
      </c>
      <c r="F7283" s="9" t="s">
        <v>123</v>
      </c>
      <c r="G7283" s="9" t="s">
        <v>124</v>
      </c>
      <c r="H7283" s="11" t="s">
        <v>22</v>
      </c>
      <c r="I7283" s="12" t="n">
        <v>29</v>
      </c>
      <c r="J7283" s="13" t="n">
        <v>69</v>
      </c>
      <c r="K7283" s="14" t="n">
        <f aca="false">I7283*J7283</f>
        <v>2001</v>
      </c>
      <c r="L7283" s="14" t="n">
        <f aca="false">($L$2*M7283)/100</f>
        <v>648899.91</v>
      </c>
      <c r="M7283" s="15" t="n">
        <v>0.54</v>
      </c>
      <c r="N7283" s="9" t="s">
        <v>85</v>
      </c>
    </row>
    <row r="7284" customFormat="false" ht="14.25" hidden="false" customHeight="true" outlineLevel="0" collapsed="false">
      <c r="B7284" s="9" t="s">
        <v>16</v>
      </c>
      <c r="C7284" s="9" t="n">
        <v>1185732</v>
      </c>
      <c r="D7284" s="10" t="n">
        <v>44268</v>
      </c>
      <c r="E7284" s="9" t="s">
        <v>17</v>
      </c>
      <c r="F7284" s="9" t="s">
        <v>123</v>
      </c>
      <c r="G7284" s="9" t="s">
        <v>124</v>
      </c>
      <c r="H7284" s="11" t="s">
        <v>23</v>
      </c>
      <c r="I7284" s="12" t="n">
        <v>32</v>
      </c>
      <c r="J7284" s="13" t="n">
        <v>31</v>
      </c>
      <c r="K7284" s="14" t="n">
        <f aca="false">I7284*J7284</f>
        <v>992</v>
      </c>
      <c r="L7284" s="14" t="n">
        <f aca="false">($L$2*M7284)/100</f>
        <v>636883.245</v>
      </c>
      <c r="M7284" s="15" t="n">
        <v>0.53</v>
      </c>
      <c r="N7284" s="9" t="s">
        <v>85</v>
      </c>
    </row>
    <row r="7285" customFormat="false" ht="14.25" hidden="false" customHeight="true" outlineLevel="0" collapsed="false">
      <c r="B7285" s="9" t="s">
        <v>16</v>
      </c>
      <c r="C7285" s="9" t="n">
        <v>1185732</v>
      </c>
      <c r="D7285" s="10" t="n">
        <v>44268</v>
      </c>
      <c r="E7285" s="9" t="s">
        <v>17</v>
      </c>
      <c r="F7285" s="9" t="s">
        <v>123</v>
      </c>
      <c r="G7285" s="9" t="s">
        <v>124</v>
      </c>
      <c r="H7285" s="11" t="s">
        <v>24</v>
      </c>
      <c r="I7285" s="12" t="n">
        <v>46</v>
      </c>
      <c r="J7285" s="13" t="n">
        <v>49</v>
      </c>
      <c r="K7285" s="14" t="n">
        <f aca="false">I7285*J7285</f>
        <v>2254</v>
      </c>
      <c r="L7285" s="14" t="n">
        <f aca="false">($L$2*M7285)/100</f>
        <v>492683.265</v>
      </c>
      <c r="M7285" s="15" t="n">
        <v>0.41</v>
      </c>
      <c r="N7285" s="9" t="s">
        <v>85</v>
      </c>
    </row>
    <row r="7286" customFormat="false" ht="14.25" hidden="false" customHeight="true" outlineLevel="0" collapsed="false">
      <c r="B7286" s="9" t="s">
        <v>16</v>
      </c>
      <c r="C7286" s="9" t="n">
        <v>1185732</v>
      </c>
      <c r="D7286" s="10" t="n">
        <v>44268</v>
      </c>
      <c r="E7286" s="9" t="s">
        <v>17</v>
      </c>
      <c r="F7286" s="9" t="s">
        <v>123</v>
      </c>
      <c r="G7286" s="9" t="s">
        <v>124</v>
      </c>
      <c r="H7286" s="11" t="s">
        <v>25</v>
      </c>
      <c r="I7286" s="12" t="n">
        <v>39</v>
      </c>
      <c r="J7286" s="13" t="n">
        <v>72</v>
      </c>
      <c r="K7286" s="14" t="n">
        <f aca="false">I7286*J7286</f>
        <v>2808</v>
      </c>
      <c r="L7286" s="14" t="n">
        <f aca="false">($L$2*M7286)/100</f>
        <v>600833.25</v>
      </c>
      <c r="M7286" s="15" t="n">
        <v>0.5</v>
      </c>
      <c r="N7286" s="9" t="s">
        <v>85</v>
      </c>
    </row>
    <row r="7287" customFormat="false" ht="14.25" hidden="false" customHeight="true" outlineLevel="0" collapsed="false">
      <c r="B7287" s="9" t="s">
        <v>16</v>
      </c>
      <c r="C7287" s="9" t="n">
        <v>1185732</v>
      </c>
      <c r="D7287" s="10" t="n">
        <v>44300</v>
      </c>
      <c r="E7287" s="9" t="s">
        <v>17</v>
      </c>
      <c r="F7287" s="9" t="s">
        <v>123</v>
      </c>
      <c r="G7287" s="9" t="s">
        <v>124</v>
      </c>
      <c r="H7287" s="11" t="s">
        <v>19</v>
      </c>
      <c r="I7287" s="12" t="n">
        <v>36</v>
      </c>
      <c r="J7287" s="13" t="n">
        <v>131</v>
      </c>
      <c r="K7287" s="14" t="n">
        <f aca="false">I7287*J7287</f>
        <v>4716</v>
      </c>
      <c r="L7287" s="14" t="n">
        <f aca="false">($L$2*M7287)/100</f>
        <v>600833.25</v>
      </c>
      <c r="M7287" s="15" t="n">
        <v>0.5</v>
      </c>
      <c r="N7287" s="9" t="s">
        <v>85</v>
      </c>
    </row>
    <row r="7288" customFormat="false" ht="14.25" hidden="false" customHeight="true" outlineLevel="0" collapsed="false">
      <c r="B7288" s="9" t="s">
        <v>16</v>
      </c>
      <c r="C7288" s="9" t="n">
        <v>1185732</v>
      </c>
      <c r="D7288" s="10" t="n">
        <v>44300</v>
      </c>
      <c r="E7288" s="9" t="s">
        <v>17</v>
      </c>
      <c r="F7288" s="9" t="s">
        <v>123</v>
      </c>
      <c r="G7288" s="9" t="s">
        <v>124</v>
      </c>
      <c r="H7288" s="11" t="s">
        <v>21</v>
      </c>
      <c r="I7288" s="12" t="n">
        <v>38</v>
      </c>
      <c r="J7288" s="13" t="n">
        <v>61</v>
      </c>
      <c r="K7288" s="14" t="n">
        <f aca="false">I7288*J7288</f>
        <v>2318</v>
      </c>
      <c r="L7288" s="14" t="n">
        <f aca="false">($L$2*M7288)/100</f>
        <v>564783.255</v>
      </c>
      <c r="M7288" s="15" t="n">
        <v>0.47</v>
      </c>
      <c r="N7288" s="9" t="s">
        <v>85</v>
      </c>
    </row>
    <row r="7289" customFormat="false" ht="14.25" hidden="false" customHeight="true" outlineLevel="0" collapsed="false">
      <c r="B7289" s="9" t="s">
        <v>16</v>
      </c>
      <c r="C7289" s="9" t="n">
        <v>1185732</v>
      </c>
      <c r="D7289" s="10" t="n">
        <v>44300</v>
      </c>
      <c r="E7289" s="9" t="s">
        <v>17</v>
      </c>
      <c r="F7289" s="9" t="s">
        <v>123</v>
      </c>
      <c r="G7289" s="9" t="s">
        <v>124</v>
      </c>
      <c r="H7289" s="11" t="s">
        <v>22</v>
      </c>
      <c r="I7289" s="12" t="n">
        <v>27</v>
      </c>
      <c r="J7289" s="13" t="n">
        <v>59</v>
      </c>
      <c r="K7289" s="14" t="n">
        <f aca="false">I7289*J7289</f>
        <v>1593</v>
      </c>
      <c r="L7289" s="14" t="n">
        <f aca="false">($L$2*M7289)/100</f>
        <v>660916.575</v>
      </c>
      <c r="M7289" s="15" t="n">
        <v>0.55</v>
      </c>
      <c r="N7289" s="9" t="s">
        <v>85</v>
      </c>
    </row>
    <row r="7290" customFormat="false" ht="14.25" hidden="false" customHeight="true" outlineLevel="0" collapsed="false">
      <c r="B7290" s="9" t="s">
        <v>16</v>
      </c>
      <c r="C7290" s="9" t="n">
        <v>1185732</v>
      </c>
      <c r="D7290" s="10" t="n">
        <v>44300</v>
      </c>
      <c r="E7290" s="9" t="s">
        <v>17</v>
      </c>
      <c r="F7290" s="9" t="s">
        <v>123</v>
      </c>
      <c r="G7290" s="9" t="s">
        <v>124</v>
      </c>
      <c r="H7290" s="11" t="s">
        <v>23</v>
      </c>
      <c r="I7290" s="12" t="n">
        <v>32</v>
      </c>
      <c r="J7290" s="13" t="n">
        <v>44</v>
      </c>
      <c r="K7290" s="14" t="n">
        <f aca="false">I7290*J7290</f>
        <v>1408</v>
      </c>
      <c r="L7290" s="14" t="n">
        <f aca="false">($L$2*M7290)/100</f>
        <v>612849.915</v>
      </c>
      <c r="M7290" s="15" t="n">
        <v>0.51</v>
      </c>
      <c r="N7290" s="9" t="s">
        <v>85</v>
      </c>
    </row>
    <row r="7291" customFormat="false" ht="14.25" hidden="false" customHeight="true" outlineLevel="0" collapsed="false">
      <c r="B7291" s="9" t="s">
        <v>16</v>
      </c>
      <c r="C7291" s="9" t="n">
        <v>1185732</v>
      </c>
      <c r="D7291" s="10" t="n">
        <v>44300</v>
      </c>
      <c r="E7291" s="9" t="s">
        <v>17</v>
      </c>
      <c r="F7291" s="9" t="s">
        <v>123</v>
      </c>
      <c r="G7291" s="9" t="s">
        <v>124</v>
      </c>
      <c r="H7291" s="11" t="s">
        <v>24</v>
      </c>
      <c r="I7291" s="12" t="n">
        <v>47</v>
      </c>
      <c r="J7291" s="13" t="n">
        <v>45</v>
      </c>
      <c r="K7291" s="14" t="n">
        <f aca="false">I7291*J7291</f>
        <v>2115</v>
      </c>
      <c r="L7291" s="14" t="n">
        <f aca="false">($L$2*M7291)/100</f>
        <v>540749.925</v>
      </c>
      <c r="M7291" s="15" t="n">
        <v>0.45</v>
      </c>
      <c r="N7291" s="9" t="s">
        <v>85</v>
      </c>
    </row>
    <row r="7292" customFormat="false" ht="14.25" hidden="false" customHeight="true" outlineLevel="0" collapsed="false">
      <c r="B7292" s="9" t="s">
        <v>16</v>
      </c>
      <c r="C7292" s="9" t="n">
        <v>1185732</v>
      </c>
      <c r="D7292" s="10" t="n">
        <v>44300</v>
      </c>
      <c r="E7292" s="9" t="s">
        <v>17</v>
      </c>
      <c r="F7292" s="9" t="s">
        <v>123</v>
      </c>
      <c r="G7292" s="9" t="s">
        <v>124</v>
      </c>
      <c r="H7292" s="11" t="s">
        <v>25</v>
      </c>
      <c r="I7292" s="12" t="n">
        <v>38</v>
      </c>
      <c r="J7292" s="13" t="n">
        <v>78</v>
      </c>
      <c r="K7292" s="14" t="n">
        <f aca="false">I7292*J7292</f>
        <v>2964</v>
      </c>
      <c r="L7292" s="14" t="n">
        <f aca="false">($L$2*M7292)/100</f>
        <v>648899.91</v>
      </c>
      <c r="M7292" s="15" t="n">
        <v>0.54</v>
      </c>
      <c r="N7292" s="9" t="s">
        <v>85</v>
      </c>
    </row>
    <row r="7293" customFormat="false" ht="14.25" hidden="false" customHeight="true" outlineLevel="0" collapsed="false">
      <c r="B7293" s="9" t="s">
        <v>16</v>
      </c>
      <c r="C7293" s="9" t="n">
        <v>1185732</v>
      </c>
      <c r="D7293" s="10" t="n">
        <v>44329</v>
      </c>
      <c r="E7293" s="9" t="s">
        <v>17</v>
      </c>
      <c r="F7293" s="9" t="s">
        <v>123</v>
      </c>
      <c r="G7293" s="9" t="s">
        <v>124</v>
      </c>
      <c r="H7293" s="11" t="s">
        <v>19</v>
      </c>
      <c r="I7293" s="12" t="n">
        <v>51</v>
      </c>
      <c r="J7293" s="13" t="n">
        <v>160</v>
      </c>
      <c r="K7293" s="14" t="n">
        <f aca="false">I7293*J7293</f>
        <v>8160</v>
      </c>
      <c r="L7293" s="14" t="n">
        <f aca="false">($L$2*M7293)/100</f>
        <v>576799.92</v>
      </c>
      <c r="M7293" s="15" t="n">
        <v>0.48</v>
      </c>
      <c r="N7293" s="9" t="s">
        <v>85</v>
      </c>
    </row>
    <row r="7294" customFormat="false" ht="14.25" hidden="false" customHeight="true" outlineLevel="0" collapsed="false">
      <c r="B7294" s="9" t="s">
        <v>16</v>
      </c>
      <c r="C7294" s="9" t="n">
        <v>1185732</v>
      </c>
      <c r="D7294" s="10" t="n">
        <v>44329</v>
      </c>
      <c r="E7294" s="9" t="s">
        <v>17</v>
      </c>
      <c r="F7294" s="9" t="s">
        <v>123</v>
      </c>
      <c r="G7294" s="9" t="s">
        <v>124</v>
      </c>
      <c r="H7294" s="11" t="s">
        <v>21</v>
      </c>
      <c r="I7294" s="12" t="n">
        <v>47</v>
      </c>
      <c r="J7294" s="13" t="n">
        <v>69</v>
      </c>
      <c r="K7294" s="14" t="n">
        <f aca="false">I7294*J7294</f>
        <v>3243</v>
      </c>
      <c r="L7294" s="14" t="n">
        <f aca="false">($L$2*M7294)/100</f>
        <v>540749.925</v>
      </c>
      <c r="M7294" s="15" t="n">
        <v>0.45</v>
      </c>
      <c r="N7294" s="9" t="s">
        <v>85</v>
      </c>
    </row>
    <row r="7295" customFormat="false" ht="14.25" hidden="false" customHeight="true" outlineLevel="0" collapsed="false">
      <c r="B7295" s="9" t="s">
        <v>16</v>
      </c>
      <c r="C7295" s="9" t="n">
        <v>1185732</v>
      </c>
      <c r="D7295" s="10" t="n">
        <v>44329</v>
      </c>
      <c r="E7295" s="9" t="s">
        <v>17</v>
      </c>
      <c r="F7295" s="9" t="s">
        <v>123</v>
      </c>
      <c r="G7295" s="9" t="s">
        <v>124</v>
      </c>
      <c r="H7295" s="11" t="s">
        <v>22</v>
      </c>
      <c r="I7295" s="12" t="n">
        <v>41</v>
      </c>
      <c r="J7295" s="13" t="n">
        <v>81</v>
      </c>
      <c r="K7295" s="14" t="n">
        <f aca="false">I7295*J7295</f>
        <v>3321</v>
      </c>
      <c r="L7295" s="14" t="n">
        <f aca="false">($L$2*M7295)/100</f>
        <v>624866.58</v>
      </c>
      <c r="M7295" s="15" t="n">
        <v>0.52</v>
      </c>
      <c r="N7295" s="9" t="s">
        <v>85</v>
      </c>
    </row>
    <row r="7296" customFormat="false" ht="14.25" hidden="false" customHeight="true" outlineLevel="0" collapsed="false">
      <c r="B7296" s="9" t="s">
        <v>16</v>
      </c>
      <c r="C7296" s="9" t="n">
        <v>1185732</v>
      </c>
      <c r="D7296" s="10" t="n">
        <v>44329</v>
      </c>
      <c r="E7296" s="9" t="s">
        <v>17</v>
      </c>
      <c r="F7296" s="9" t="s">
        <v>123</v>
      </c>
      <c r="G7296" s="9" t="s">
        <v>124</v>
      </c>
      <c r="H7296" s="11" t="s">
        <v>23</v>
      </c>
      <c r="I7296" s="12" t="n">
        <v>41</v>
      </c>
      <c r="J7296" s="13" t="n">
        <v>65</v>
      </c>
      <c r="K7296" s="14" t="n">
        <f aca="false">I7296*J7296</f>
        <v>2665</v>
      </c>
      <c r="L7296" s="14" t="n">
        <f aca="false">($L$2*M7296)/100</f>
        <v>624866.58</v>
      </c>
      <c r="M7296" s="15" t="n">
        <v>0.52</v>
      </c>
      <c r="N7296" s="9" t="s">
        <v>85</v>
      </c>
    </row>
    <row r="7297" customFormat="false" ht="14.25" hidden="false" customHeight="true" outlineLevel="0" collapsed="false">
      <c r="B7297" s="9" t="s">
        <v>16</v>
      </c>
      <c r="C7297" s="9" t="n">
        <v>1185732</v>
      </c>
      <c r="D7297" s="10" t="n">
        <v>44329</v>
      </c>
      <c r="E7297" s="9" t="s">
        <v>17</v>
      </c>
      <c r="F7297" s="9" t="s">
        <v>123</v>
      </c>
      <c r="G7297" s="9" t="s">
        <v>124</v>
      </c>
      <c r="H7297" s="11" t="s">
        <v>24</v>
      </c>
      <c r="I7297" s="12" t="n">
        <v>50</v>
      </c>
      <c r="J7297" s="13" t="n">
        <v>74</v>
      </c>
      <c r="K7297" s="14" t="n">
        <f aca="false">I7297*J7297</f>
        <v>3700</v>
      </c>
      <c r="L7297" s="14" t="n">
        <f aca="false">($L$2*M7297)/100</f>
        <v>504699.93</v>
      </c>
      <c r="M7297" s="15" t="n">
        <v>0.42</v>
      </c>
      <c r="N7297" s="9" t="s">
        <v>85</v>
      </c>
    </row>
    <row r="7298" customFormat="false" ht="14.25" hidden="false" customHeight="true" outlineLevel="0" collapsed="false">
      <c r="B7298" s="9" t="s">
        <v>16</v>
      </c>
      <c r="C7298" s="9" t="n">
        <v>1185732</v>
      </c>
      <c r="D7298" s="10" t="n">
        <v>44329</v>
      </c>
      <c r="E7298" s="9" t="s">
        <v>17</v>
      </c>
      <c r="F7298" s="9" t="s">
        <v>123</v>
      </c>
      <c r="G7298" s="9" t="s">
        <v>124</v>
      </c>
      <c r="H7298" s="11" t="s">
        <v>25</v>
      </c>
      <c r="I7298" s="12" t="n">
        <v>54</v>
      </c>
      <c r="J7298" s="13" t="n">
        <v>104</v>
      </c>
      <c r="K7298" s="14" t="n">
        <f aca="false">I7298*J7298</f>
        <v>5616</v>
      </c>
      <c r="L7298" s="14" t="n">
        <f aca="false">($L$2*M7298)/100</f>
        <v>660916.575</v>
      </c>
      <c r="M7298" s="15" t="n">
        <v>0.55</v>
      </c>
      <c r="N7298" s="9" t="s">
        <v>85</v>
      </c>
    </row>
    <row r="7299" customFormat="false" ht="14.25" hidden="false" customHeight="true" outlineLevel="0" collapsed="false">
      <c r="B7299" s="9" t="s">
        <v>16</v>
      </c>
      <c r="C7299" s="9" t="n">
        <v>1185732</v>
      </c>
      <c r="D7299" s="10" t="n">
        <v>44362</v>
      </c>
      <c r="E7299" s="9" t="s">
        <v>17</v>
      </c>
      <c r="F7299" s="9" t="s">
        <v>123</v>
      </c>
      <c r="G7299" s="9" t="s">
        <v>124</v>
      </c>
      <c r="H7299" s="11" t="s">
        <v>19</v>
      </c>
      <c r="I7299" s="12" t="n">
        <v>51</v>
      </c>
      <c r="J7299" s="13" t="n">
        <v>189</v>
      </c>
      <c r="K7299" s="14" t="n">
        <f aca="false">I7299*J7299</f>
        <v>9639</v>
      </c>
      <c r="L7299" s="14" t="n">
        <f aca="false">($L$2*M7299)/100</f>
        <v>552766.59</v>
      </c>
      <c r="M7299" s="15" t="n">
        <v>0.46</v>
      </c>
      <c r="N7299" s="9" t="s">
        <v>85</v>
      </c>
    </row>
    <row r="7300" customFormat="false" ht="14.25" hidden="false" customHeight="true" outlineLevel="0" collapsed="false">
      <c r="B7300" s="9" t="s">
        <v>16</v>
      </c>
      <c r="C7300" s="9" t="n">
        <v>1185732</v>
      </c>
      <c r="D7300" s="10" t="n">
        <v>44362</v>
      </c>
      <c r="E7300" s="9" t="s">
        <v>17</v>
      </c>
      <c r="F7300" s="9" t="s">
        <v>123</v>
      </c>
      <c r="G7300" s="9" t="s">
        <v>124</v>
      </c>
      <c r="H7300" s="11" t="s">
        <v>21</v>
      </c>
      <c r="I7300" s="12" t="n">
        <v>48</v>
      </c>
      <c r="J7300" s="13" t="n">
        <v>120</v>
      </c>
      <c r="K7300" s="14" t="n">
        <f aca="false">I7300*J7300</f>
        <v>5760</v>
      </c>
      <c r="L7300" s="14" t="n">
        <f aca="false">($L$2*M7300)/100</f>
        <v>540749.925</v>
      </c>
      <c r="M7300" s="15" t="n">
        <v>0.45</v>
      </c>
      <c r="N7300" s="9" t="s">
        <v>85</v>
      </c>
    </row>
    <row r="7301" customFormat="false" ht="14.25" hidden="false" customHeight="true" outlineLevel="0" collapsed="false">
      <c r="B7301" s="9" t="s">
        <v>16</v>
      </c>
      <c r="C7301" s="9" t="n">
        <v>1185732</v>
      </c>
      <c r="D7301" s="10" t="n">
        <v>44362</v>
      </c>
      <c r="E7301" s="9" t="s">
        <v>17</v>
      </c>
      <c r="F7301" s="9" t="s">
        <v>123</v>
      </c>
      <c r="G7301" s="9" t="s">
        <v>124</v>
      </c>
      <c r="H7301" s="11" t="s">
        <v>22</v>
      </c>
      <c r="I7301" s="12" t="n">
        <v>43</v>
      </c>
      <c r="J7301" s="13" t="n">
        <v>85</v>
      </c>
      <c r="K7301" s="14" t="n">
        <f aca="false">I7301*J7301</f>
        <v>3655</v>
      </c>
      <c r="L7301" s="14" t="n">
        <f aca="false">($L$2*M7301)/100</f>
        <v>636883.245</v>
      </c>
      <c r="M7301" s="15" t="n">
        <v>0.53</v>
      </c>
      <c r="N7301" s="9" t="s">
        <v>85</v>
      </c>
    </row>
    <row r="7302" customFormat="false" ht="14.25" hidden="false" customHeight="true" outlineLevel="0" collapsed="false">
      <c r="B7302" s="9" t="s">
        <v>16</v>
      </c>
      <c r="C7302" s="9" t="n">
        <v>1185732</v>
      </c>
      <c r="D7302" s="10" t="n">
        <v>44362</v>
      </c>
      <c r="E7302" s="9" t="s">
        <v>17</v>
      </c>
      <c r="F7302" s="9" t="s">
        <v>123</v>
      </c>
      <c r="G7302" s="9" t="s">
        <v>124</v>
      </c>
      <c r="H7302" s="11" t="s">
        <v>23</v>
      </c>
      <c r="I7302" s="12" t="n">
        <v>41</v>
      </c>
      <c r="J7302" s="13" t="n">
        <v>75</v>
      </c>
      <c r="K7302" s="14" t="n">
        <f aca="false">I7302*J7302</f>
        <v>3075</v>
      </c>
      <c r="L7302" s="14" t="n">
        <f aca="false">($L$2*M7302)/100</f>
        <v>660916.575</v>
      </c>
      <c r="M7302" s="15" t="n">
        <v>0.55</v>
      </c>
      <c r="N7302" s="9" t="s">
        <v>85</v>
      </c>
    </row>
    <row r="7303" customFormat="false" ht="14.25" hidden="false" customHeight="true" outlineLevel="0" collapsed="false">
      <c r="B7303" s="9" t="s">
        <v>16</v>
      </c>
      <c r="C7303" s="9" t="n">
        <v>1185732</v>
      </c>
      <c r="D7303" s="10" t="n">
        <v>44362</v>
      </c>
      <c r="E7303" s="9" t="s">
        <v>17</v>
      </c>
      <c r="F7303" s="9" t="s">
        <v>123</v>
      </c>
      <c r="G7303" s="9" t="s">
        <v>124</v>
      </c>
      <c r="H7303" s="11" t="s">
        <v>24</v>
      </c>
      <c r="I7303" s="12" t="n">
        <v>50</v>
      </c>
      <c r="J7303" s="13" t="n">
        <v>75</v>
      </c>
      <c r="K7303" s="14" t="n">
        <f aca="false">I7303*J7303</f>
        <v>3750</v>
      </c>
      <c r="L7303" s="14" t="n">
        <f aca="false">($L$2*M7303)/100</f>
        <v>480666.6</v>
      </c>
      <c r="M7303" s="15" t="n">
        <v>0.4</v>
      </c>
      <c r="N7303" s="9" t="s">
        <v>85</v>
      </c>
    </row>
    <row r="7304" customFormat="false" ht="14.25" hidden="false" customHeight="true" outlineLevel="0" collapsed="false">
      <c r="B7304" s="9" t="s">
        <v>16</v>
      </c>
      <c r="C7304" s="9" t="n">
        <v>1185732</v>
      </c>
      <c r="D7304" s="10" t="n">
        <v>44362</v>
      </c>
      <c r="E7304" s="9" t="s">
        <v>17</v>
      </c>
      <c r="F7304" s="9" t="s">
        <v>123</v>
      </c>
      <c r="G7304" s="9" t="s">
        <v>124</v>
      </c>
      <c r="H7304" s="11" t="s">
        <v>25</v>
      </c>
      <c r="I7304" s="12" t="n">
        <v>56</v>
      </c>
      <c r="J7304" s="13" t="n">
        <v>135</v>
      </c>
      <c r="K7304" s="14" t="n">
        <f aca="false">I7304*J7304</f>
        <v>7560</v>
      </c>
      <c r="L7304" s="14" t="n">
        <f aca="false">($L$2*M7304)/100</f>
        <v>636883.245</v>
      </c>
      <c r="M7304" s="15" t="n">
        <v>0.53</v>
      </c>
      <c r="N7304" s="9" t="s">
        <v>85</v>
      </c>
    </row>
    <row r="7305" customFormat="false" ht="14.25" hidden="false" customHeight="true" outlineLevel="0" collapsed="false">
      <c r="B7305" s="9" t="s">
        <v>16</v>
      </c>
      <c r="C7305" s="9" t="n">
        <v>1185732</v>
      </c>
      <c r="D7305" s="10" t="n">
        <v>44390</v>
      </c>
      <c r="E7305" s="9" t="s">
        <v>17</v>
      </c>
      <c r="F7305" s="9" t="s">
        <v>123</v>
      </c>
      <c r="G7305" s="9" t="s">
        <v>124</v>
      </c>
      <c r="H7305" s="11" t="s">
        <v>19</v>
      </c>
      <c r="I7305" s="12" t="n">
        <v>53</v>
      </c>
      <c r="J7305" s="13" t="n">
        <v>182</v>
      </c>
      <c r="K7305" s="14" t="n">
        <f aca="false">I7305*J7305</f>
        <v>9646</v>
      </c>
      <c r="L7305" s="14" t="n">
        <f aca="false">($L$2*M7305)/100</f>
        <v>600833.25</v>
      </c>
      <c r="M7305" s="15" t="n">
        <v>0.5</v>
      </c>
      <c r="N7305" s="9" t="s">
        <v>85</v>
      </c>
    </row>
    <row r="7306" customFormat="false" ht="14.25" hidden="false" customHeight="true" outlineLevel="0" collapsed="false">
      <c r="B7306" s="9" t="s">
        <v>16</v>
      </c>
      <c r="C7306" s="9" t="n">
        <v>1185732</v>
      </c>
      <c r="D7306" s="10" t="n">
        <v>44390</v>
      </c>
      <c r="E7306" s="9" t="s">
        <v>17</v>
      </c>
      <c r="F7306" s="9" t="s">
        <v>123</v>
      </c>
      <c r="G7306" s="9" t="s">
        <v>124</v>
      </c>
      <c r="H7306" s="11" t="s">
        <v>21</v>
      </c>
      <c r="I7306" s="12" t="n">
        <v>47</v>
      </c>
      <c r="J7306" s="13" t="n">
        <v>119</v>
      </c>
      <c r="K7306" s="14" t="n">
        <f aca="false">I7306*J7306</f>
        <v>5593</v>
      </c>
      <c r="L7306" s="14" t="n">
        <f aca="false">($L$2*M7306)/100</f>
        <v>540749.925</v>
      </c>
      <c r="M7306" s="15" t="n">
        <v>0.45</v>
      </c>
      <c r="N7306" s="9" t="s">
        <v>85</v>
      </c>
    </row>
    <row r="7307" customFormat="false" ht="14.25" hidden="false" customHeight="true" outlineLevel="0" collapsed="false">
      <c r="B7307" s="9" t="s">
        <v>16</v>
      </c>
      <c r="C7307" s="9" t="n">
        <v>1185732</v>
      </c>
      <c r="D7307" s="10" t="n">
        <v>44390</v>
      </c>
      <c r="E7307" s="9" t="s">
        <v>17</v>
      </c>
      <c r="F7307" s="9" t="s">
        <v>123</v>
      </c>
      <c r="G7307" s="9" t="s">
        <v>124</v>
      </c>
      <c r="H7307" s="11" t="s">
        <v>22</v>
      </c>
      <c r="I7307" s="12" t="n">
        <v>41</v>
      </c>
      <c r="J7307" s="13" t="n">
        <v>102</v>
      </c>
      <c r="K7307" s="14" t="n">
        <f aca="false">I7307*J7307</f>
        <v>4182</v>
      </c>
      <c r="L7307" s="14" t="n">
        <f aca="false">($L$2*M7307)/100</f>
        <v>648899.91</v>
      </c>
      <c r="M7307" s="15" t="n">
        <v>0.54</v>
      </c>
      <c r="N7307" s="9" t="s">
        <v>85</v>
      </c>
    </row>
    <row r="7308" customFormat="false" ht="14.25" hidden="false" customHeight="true" outlineLevel="0" collapsed="false">
      <c r="B7308" s="9" t="s">
        <v>16</v>
      </c>
      <c r="C7308" s="9" t="n">
        <v>1185732</v>
      </c>
      <c r="D7308" s="10" t="n">
        <v>44390</v>
      </c>
      <c r="E7308" s="9" t="s">
        <v>17</v>
      </c>
      <c r="F7308" s="9" t="s">
        <v>123</v>
      </c>
      <c r="G7308" s="9" t="s">
        <v>124</v>
      </c>
      <c r="H7308" s="11" t="s">
        <v>23</v>
      </c>
      <c r="I7308" s="12" t="n">
        <v>43</v>
      </c>
      <c r="J7308" s="13" t="n">
        <v>90</v>
      </c>
      <c r="K7308" s="14" t="n">
        <f aca="false">I7308*J7308</f>
        <v>3870</v>
      </c>
      <c r="L7308" s="14" t="n">
        <f aca="false">($L$2*M7308)/100</f>
        <v>636883.245</v>
      </c>
      <c r="M7308" s="15" t="n">
        <v>0.53</v>
      </c>
      <c r="N7308" s="9" t="s">
        <v>85</v>
      </c>
    </row>
    <row r="7309" customFormat="false" ht="14.25" hidden="false" customHeight="true" outlineLevel="0" collapsed="false">
      <c r="B7309" s="9" t="s">
        <v>16</v>
      </c>
      <c r="C7309" s="9" t="n">
        <v>1185732</v>
      </c>
      <c r="D7309" s="10" t="n">
        <v>44390</v>
      </c>
      <c r="E7309" s="9" t="s">
        <v>17</v>
      </c>
      <c r="F7309" s="9" t="s">
        <v>123</v>
      </c>
      <c r="G7309" s="9" t="s">
        <v>124</v>
      </c>
      <c r="H7309" s="11" t="s">
        <v>24</v>
      </c>
      <c r="I7309" s="12" t="n">
        <v>51</v>
      </c>
      <c r="J7309" s="13" t="n">
        <v>94</v>
      </c>
      <c r="K7309" s="14" t="n">
        <f aca="false">I7309*J7309</f>
        <v>4794</v>
      </c>
      <c r="L7309" s="14" t="n">
        <f aca="false">($L$2*M7309)/100</f>
        <v>492683.265</v>
      </c>
      <c r="M7309" s="15" t="n">
        <v>0.41</v>
      </c>
      <c r="N7309" s="9" t="s">
        <v>85</v>
      </c>
    </row>
    <row r="7310" customFormat="false" ht="14.25" hidden="false" customHeight="true" outlineLevel="0" collapsed="false">
      <c r="B7310" s="9" t="s">
        <v>16</v>
      </c>
      <c r="C7310" s="9" t="n">
        <v>1185732</v>
      </c>
      <c r="D7310" s="10" t="n">
        <v>44390</v>
      </c>
      <c r="E7310" s="9" t="s">
        <v>17</v>
      </c>
      <c r="F7310" s="9" t="s">
        <v>123</v>
      </c>
      <c r="G7310" s="9" t="s">
        <v>124</v>
      </c>
      <c r="H7310" s="11" t="s">
        <v>25</v>
      </c>
      <c r="I7310" s="12" t="n">
        <v>55</v>
      </c>
      <c r="J7310" s="13" t="n">
        <v>145</v>
      </c>
      <c r="K7310" s="14" t="n">
        <f aca="false">I7310*J7310</f>
        <v>7975</v>
      </c>
      <c r="L7310" s="14" t="n">
        <f aca="false">($L$2*M7310)/100</f>
        <v>600833.25</v>
      </c>
      <c r="M7310" s="15" t="n">
        <v>0.5</v>
      </c>
      <c r="N7310" s="9" t="s">
        <v>85</v>
      </c>
    </row>
    <row r="7311" customFormat="false" ht="14.25" hidden="false" customHeight="true" outlineLevel="0" collapsed="false">
      <c r="B7311" s="9" t="s">
        <v>16</v>
      </c>
      <c r="C7311" s="9" t="n">
        <v>1185732</v>
      </c>
      <c r="D7311" s="10" t="n">
        <v>44422</v>
      </c>
      <c r="E7311" s="9" t="s">
        <v>17</v>
      </c>
      <c r="F7311" s="9" t="s">
        <v>123</v>
      </c>
      <c r="G7311" s="9" t="s">
        <v>124</v>
      </c>
      <c r="H7311" s="11" t="s">
        <v>19</v>
      </c>
      <c r="I7311" s="12" t="n">
        <v>50</v>
      </c>
      <c r="J7311" s="13" t="n">
        <v>163</v>
      </c>
      <c r="K7311" s="14" t="n">
        <f aca="false">I7311*J7311</f>
        <v>8150</v>
      </c>
      <c r="L7311" s="14" t="n">
        <f aca="false">($L$2*M7311)/100</f>
        <v>588816.585</v>
      </c>
      <c r="M7311" s="15" t="n">
        <v>0.49</v>
      </c>
      <c r="N7311" s="9" t="s">
        <v>85</v>
      </c>
    </row>
    <row r="7312" customFormat="false" ht="14.25" hidden="false" customHeight="true" outlineLevel="0" collapsed="false">
      <c r="B7312" s="9" t="s">
        <v>16</v>
      </c>
      <c r="C7312" s="9" t="n">
        <v>1185732</v>
      </c>
      <c r="D7312" s="10" t="n">
        <v>44422</v>
      </c>
      <c r="E7312" s="9" t="s">
        <v>17</v>
      </c>
      <c r="F7312" s="9" t="s">
        <v>123</v>
      </c>
      <c r="G7312" s="9" t="s">
        <v>124</v>
      </c>
      <c r="H7312" s="11" t="s">
        <v>21</v>
      </c>
      <c r="I7312" s="12" t="n">
        <v>47</v>
      </c>
      <c r="J7312" s="13" t="n">
        <v>128</v>
      </c>
      <c r="K7312" s="14" t="n">
        <f aca="false">I7312*J7312</f>
        <v>6016</v>
      </c>
      <c r="L7312" s="14" t="n">
        <f aca="false">($L$2*M7312)/100</f>
        <v>552766.59</v>
      </c>
      <c r="M7312" s="15" t="n">
        <v>0.46</v>
      </c>
      <c r="N7312" s="9" t="s">
        <v>85</v>
      </c>
    </row>
    <row r="7313" customFormat="false" ht="14.25" hidden="false" customHeight="true" outlineLevel="0" collapsed="false">
      <c r="B7313" s="9" t="s">
        <v>16</v>
      </c>
      <c r="C7313" s="9" t="n">
        <v>1185732</v>
      </c>
      <c r="D7313" s="10" t="n">
        <v>44422</v>
      </c>
      <c r="E7313" s="9" t="s">
        <v>17</v>
      </c>
      <c r="F7313" s="9" t="s">
        <v>123</v>
      </c>
      <c r="G7313" s="9" t="s">
        <v>124</v>
      </c>
      <c r="H7313" s="11" t="s">
        <v>22</v>
      </c>
      <c r="I7313" s="12" t="n">
        <v>42</v>
      </c>
      <c r="J7313" s="13" t="n">
        <v>105</v>
      </c>
      <c r="K7313" s="14" t="n">
        <f aca="false">I7313*J7313</f>
        <v>4410</v>
      </c>
      <c r="L7313" s="14" t="n">
        <f aca="false">($L$2*M7313)/100</f>
        <v>600833.25</v>
      </c>
      <c r="M7313" s="15" t="n">
        <v>0.5</v>
      </c>
      <c r="N7313" s="9" t="s">
        <v>85</v>
      </c>
    </row>
    <row r="7314" customFormat="false" ht="14.25" hidden="false" customHeight="true" outlineLevel="0" collapsed="false">
      <c r="B7314" s="9" t="s">
        <v>16</v>
      </c>
      <c r="C7314" s="9" t="n">
        <v>1185732</v>
      </c>
      <c r="D7314" s="10" t="n">
        <v>44422</v>
      </c>
      <c r="E7314" s="9" t="s">
        <v>17</v>
      </c>
      <c r="F7314" s="9" t="s">
        <v>123</v>
      </c>
      <c r="G7314" s="9" t="s">
        <v>124</v>
      </c>
      <c r="H7314" s="11" t="s">
        <v>23</v>
      </c>
      <c r="I7314" s="12" t="n">
        <v>41</v>
      </c>
      <c r="J7314" s="13" t="n">
        <v>63</v>
      </c>
      <c r="K7314" s="14" t="n">
        <f aca="false">I7314*J7314</f>
        <v>2583</v>
      </c>
      <c r="L7314" s="14" t="n">
        <f aca="false">($L$2*M7314)/100</f>
        <v>600833.25</v>
      </c>
      <c r="M7314" s="15" t="n">
        <v>0.5</v>
      </c>
      <c r="N7314" s="9" t="s">
        <v>85</v>
      </c>
    </row>
    <row r="7315" customFormat="false" ht="14.25" hidden="false" customHeight="true" outlineLevel="0" collapsed="false">
      <c r="B7315" s="9" t="s">
        <v>16</v>
      </c>
      <c r="C7315" s="9" t="n">
        <v>1185732</v>
      </c>
      <c r="D7315" s="10" t="n">
        <v>44422</v>
      </c>
      <c r="E7315" s="9" t="s">
        <v>17</v>
      </c>
      <c r="F7315" s="9" t="s">
        <v>123</v>
      </c>
      <c r="G7315" s="9" t="s">
        <v>124</v>
      </c>
      <c r="H7315" s="11" t="s">
        <v>24</v>
      </c>
      <c r="I7315" s="12" t="n">
        <v>50</v>
      </c>
      <c r="J7315" s="13" t="n">
        <v>63</v>
      </c>
      <c r="K7315" s="14" t="n">
        <f aca="false">I7315*J7315</f>
        <v>3150</v>
      </c>
      <c r="L7315" s="14" t="n">
        <f aca="false">($L$2*M7315)/100</f>
        <v>540749.925</v>
      </c>
      <c r="M7315" s="15" t="n">
        <v>0.45</v>
      </c>
      <c r="N7315" s="9" t="s">
        <v>85</v>
      </c>
    </row>
    <row r="7316" customFormat="false" ht="14.25" hidden="false" customHeight="true" outlineLevel="0" collapsed="false">
      <c r="B7316" s="9" t="s">
        <v>16</v>
      </c>
      <c r="C7316" s="9" t="n">
        <v>1185732</v>
      </c>
      <c r="D7316" s="10" t="n">
        <v>44422</v>
      </c>
      <c r="E7316" s="9" t="s">
        <v>17</v>
      </c>
      <c r="F7316" s="9" t="s">
        <v>123</v>
      </c>
      <c r="G7316" s="9" t="s">
        <v>124</v>
      </c>
      <c r="H7316" s="11" t="s">
        <v>25</v>
      </c>
      <c r="I7316" s="12" t="n">
        <v>59</v>
      </c>
      <c r="J7316" s="13" t="n">
        <v>120</v>
      </c>
      <c r="K7316" s="14" t="n">
        <f aca="false">I7316*J7316</f>
        <v>7080</v>
      </c>
      <c r="L7316" s="14" t="n">
        <f aca="false">($L$2*M7316)/100</f>
        <v>624866.58</v>
      </c>
      <c r="M7316" s="15" t="n">
        <v>0.52</v>
      </c>
      <c r="N7316" s="9" t="s">
        <v>85</v>
      </c>
    </row>
    <row r="7317" customFormat="false" ht="14.25" hidden="false" customHeight="true" outlineLevel="0" collapsed="false">
      <c r="B7317" s="9" t="s">
        <v>16</v>
      </c>
      <c r="C7317" s="9" t="n">
        <v>1185732</v>
      </c>
      <c r="D7317" s="10" t="n">
        <v>44452</v>
      </c>
      <c r="E7317" s="9" t="s">
        <v>17</v>
      </c>
      <c r="F7317" s="9" t="s">
        <v>123</v>
      </c>
      <c r="G7317" s="9" t="s">
        <v>124</v>
      </c>
      <c r="H7317" s="11" t="s">
        <v>19</v>
      </c>
      <c r="I7317" s="12" t="n">
        <v>50</v>
      </c>
      <c r="J7317" s="13" t="n">
        <v>142</v>
      </c>
      <c r="K7317" s="14" t="n">
        <f aca="false">I7317*J7317</f>
        <v>7100</v>
      </c>
      <c r="L7317" s="14" t="n">
        <f aca="false">($L$2*M7317)/100</f>
        <v>588816.585</v>
      </c>
      <c r="M7317" s="15" t="n">
        <v>0.49</v>
      </c>
      <c r="N7317" s="9" t="s">
        <v>85</v>
      </c>
    </row>
    <row r="7318" customFormat="false" ht="14.25" hidden="false" customHeight="true" outlineLevel="0" collapsed="false">
      <c r="B7318" s="9" t="s">
        <v>16</v>
      </c>
      <c r="C7318" s="9" t="n">
        <v>1185732</v>
      </c>
      <c r="D7318" s="10" t="n">
        <v>44452</v>
      </c>
      <c r="E7318" s="9" t="s">
        <v>17</v>
      </c>
      <c r="F7318" s="9" t="s">
        <v>123</v>
      </c>
      <c r="G7318" s="9" t="s">
        <v>124</v>
      </c>
      <c r="H7318" s="11" t="s">
        <v>21</v>
      </c>
      <c r="I7318" s="12" t="n">
        <v>47</v>
      </c>
      <c r="J7318" s="13" t="n">
        <v>85</v>
      </c>
      <c r="K7318" s="14" t="n">
        <f aca="false">I7318*J7318</f>
        <v>3995</v>
      </c>
      <c r="L7318" s="14" t="n">
        <f aca="false">($L$2*M7318)/100</f>
        <v>540749.925</v>
      </c>
      <c r="M7318" s="15" t="n">
        <v>0.45</v>
      </c>
      <c r="N7318" s="9" t="s">
        <v>85</v>
      </c>
    </row>
    <row r="7319" customFormat="false" ht="14.25" hidden="false" customHeight="true" outlineLevel="0" collapsed="false">
      <c r="B7319" s="9" t="s">
        <v>16</v>
      </c>
      <c r="C7319" s="9" t="n">
        <v>1185732</v>
      </c>
      <c r="D7319" s="10" t="n">
        <v>44452</v>
      </c>
      <c r="E7319" s="9" t="s">
        <v>17</v>
      </c>
      <c r="F7319" s="9" t="s">
        <v>123</v>
      </c>
      <c r="G7319" s="9" t="s">
        <v>124</v>
      </c>
      <c r="H7319" s="11" t="s">
        <v>22</v>
      </c>
      <c r="I7319" s="12" t="n">
        <v>43</v>
      </c>
      <c r="J7319" s="13" t="n">
        <v>61</v>
      </c>
      <c r="K7319" s="14" t="n">
        <f aca="false">I7319*J7319</f>
        <v>2623</v>
      </c>
      <c r="L7319" s="14" t="n">
        <f aca="false">($L$2*M7319)/100</f>
        <v>612849.915</v>
      </c>
      <c r="M7319" s="15" t="n">
        <v>0.51</v>
      </c>
      <c r="N7319" s="9" t="s">
        <v>85</v>
      </c>
    </row>
    <row r="7320" customFormat="false" ht="14.25" hidden="false" customHeight="true" outlineLevel="0" collapsed="false">
      <c r="B7320" s="9" t="s">
        <v>16</v>
      </c>
      <c r="C7320" s="9" t="n">
        <v>1185732</v>
      </c>
      <c r="D7320" s="10" t="n">
        <v>44452</v>
      </c>
      <c r="E7320" s="9" t="s">
        <v>17</v>
      </c>
      <c r="F7320" s="9" t="s">
        <v>123</v>
      </c>
      <c r="G7320" s="9" t="s">
        <v>124</v>
      </c>
      <c r="H7320" s="11" t="s">
        <v>23</v>
      </c>
      <c r="I7320" s="12" t="n">
        <v>41</v>
      </c>
      <c r="J7320" s="13" t="n">
        <v>60</v>
      </c>
      <c r="K7320" s="14" t="n">
        <f aca="false">I7320*J7320</f>
        <v>2460</v>
      </c>
      <c r="L7320" s="14" t="n">
        <f aca="false">($L$2*M7320)/100</f>
        <v>612849.915</v>
      </c>
      <c r="M7320" s="15" t="n">
        <v>0.51</v>
      </c>
      <c r="N7320" s="9" t="s">
        <v>85</v>
      </c>
    </row>
    <row r="7321" customFormat="false" ht="14.25" hidden="false" customHeight="true" outlineLevel="0" collapsed="false">
      <c r="B7321" s="9" t="s">
        <v>16</v>
      </c>
      <c r="C7321" s="9" t="n">
        <v>1185732</v>
      </c>
      <c r="D7321" s="10" t="n">
        <v>44452</v>
      </c>
      <c r="E7321" s="9" t="s">
        <v>17</v>
      </c>
      <c r="F7321" s="9" t="s">
        <v>123</v>
      </c>
      <c r="G7321" s="9" t="s">
        <v>124</v>
      </c>
      <c r="H7321" s="11" t="s">
        <v>24</v>
      </c>
      <c r="I7321" s="12" t="n">
        <v>50</v>
      </c>
      <c r="J7321" s="13" t="n">
        <v>60</v>
      </c>
      <c r="K7321" s="14" t="n">
        <f aca="false">I7321*J7321</f>
        <v>3000</v>
      </c>
      <c r="L7321" s="14" t="n">
        <f aca="false">($L$2*M7321)/100</f>
        <v>528733.26</v>
      </c>
      <c r="M7321" s="15" t="n">
        <v>0.44</v>
      </c>
      <c r="N7321" s="9" t="s">
        <v>85</v>
      </c>
    </row>
    <row r="7322" customFormat="false" ht="14.25" hidden="false" customHeight="true" outlineLevel="0" collapsed="false">
      <c r="B7322" s="9" t="s">
        <v>16</v>
      </c>
      <c r="C7322" s="9" t="n">
        <v>1185732</v>
      </c>
      <c r="D7322" s="10" t="n">
        <v>44452</v>
      </c>
      <c r="E7322" s="9" t="s">
        <v>17</v>
      </c>
      <c r="F7322" s="9" t="s">
        <v>123</v>
      </c>
      <c r="G7322" s="9" t="s">
        <v>124</v>
      </c>
      <c r="H7322" s="11" t="s">
        <v>25</v>
      </c>
      <c r="I7322" s="12" t="n">
        <v>58</v>
      </c>
      <c r="J7322" s="13" t="n">
        <v>84</v>
      </c>
      <c r="K7322" s="14" t="n">
        <f aca="false">I7322*J7322</f>
        <v>4872</v>
      </c>
      <c r="L7322" s="14" t="n">
        <f aca="false">($L$2*M7322)/100</f>
        <v>648899.91</v>
      </c>
      <c r="M7322" s="15" t="n">
        <v>0.54</v>
      </c>
      <c r="N7322" s="9" t="s">
        <v>85</v>
      </c>
    </row>
    <row r="7323" customFormat="false" ht="14.25" hidden="false" customHeight="true" outlineLevel="0" collapsed="false">
      <c r="B7323" s="9" t="s">
        <v>16</v>
      </c>
      <c r="C7323" s="9" t="n">
        <v>1185732</v>
      </c>
      <c r="D7323" s="10" t="n">
        <v>44484</v>
      </c>
      <c r="E7323" s="9" t="s">
        <v>17</v>
      </c>
      <c r="F7323" s="9" t="s">
        <v>123</v>
      </c>
      <c r="G7323" s="9" t="s">
        <v>124</v>
      </c>
      <c r="H7323" s="11" t="s">
        <v>19</v>
      </c>
      <c r="I7323" s="12" t="n">
        <v>56</v>
      </c>
      <c r="J7323" s="13" t="n">
        <v>128</v>
      </c>
      <c r="K7323" s="14" t="n">
        <f aca="false">I7323*J7323</f>
        <v>7168</v>
      </c>
      <c r="L7323" s="14" t="n">
        <f aca="false">($L$2*M7323)/100</f>
        <v>540749.925</v>
      </c>
      <c r="M7323" s="15" t="n">
        <v>0.45</v>
      </c>
      <c r="N7323" s="9" t="s">
        <v>85</v>
      </c>
    </row>
    <row r="7324" customFormat="false" ht="14.25" hidden="false" customHeight="true" outlineLevel="0" collapsed="false">
      <c r="B7324" s="9" t="s">
        <v>16</v>
      </c>
      <c r="C7324" s="9" t="n">
        <v>1185732</v>
      </c>
      <c r="D7324" s="10" t="n">
        <v>44484</v>
      </c>
      <c r="E7324" s="9" t="s">
        <v>17</v>
      </c>
      <c r="F7324" s="9" t="s">
        <v>123</v>
      </c>
      <c r="G7324" s="9" t="s">
        <v>124</v>
      </c>
      <c r="H7324" s="11" t="s">
        <v>21</v>
      </c>
      <c r="I7324" s="12" t="n">
        <v>51</v>
      </c>
      <c r="J7324" s="13" t="n">
        <v>90</v>
      </c>
      <c r="K7324" s="14" t="n">
        <f aca="false">I7324*J7324</f>
        <v>4590</v>
      </c>
      <c r="L7324" s="14" t="n">
        <f aca="false">($L$2*M7324)/100</f>
        <v>552766.59</v>
      </c>
      <c r="M7324" s="15" t="n">
        <v>0.46</v>
      </c>
      <c r="N7324" s="9" t="s">
        <v>85</v>
      </c>
    </row>
    <row r="7325" customFormat="false" ht="14.25" hidden="false" customHeight="true" outlineLevel="0" collapsed="false">
      <c r="B7325" s="9" t="s">
        <v>16</v>
      </c>
      <c r="C7325" s="9" t="n">
        <v>1185732</v>
      </c>
      <c r="D7325" s="10" t="n">
        <v>44484</v>
      </c>
      <c r="E7325" s="9" t="s">
        <v>17</v>
      </c>
      <c r="F7325" s="9" t="s">
        <v>123</v>
      </c>
      <c r="G7325" s="9" t="s">
        <v>124</v>
      </c>
      <c r="H7325" s="11" t="s">
        <v>22</v>
      </c>
      <c r="I7325" s="12" t="n">
        <v>50</v>
      </c>
      <c r="J7325" s="13" t="n">
        <v>52</v>
      </c>
      <c r="K7325" s="14" t="n">
        <f aca="false">I7325*J7325</f>
        <v>2600</v>
      </c>
      <c r="L7325" s="14" t="n">
        <f aca="false">($L$2*M7325)/100</f>
        <v>660916.575</v>
      </c>
      <c r="M7325" s="15" t="n">
        <v>0.55</v>
      </c>
      <c r="N7325" s="9" t="s">
        <v>85</v>
      </c>
    </row>
    <row r="7326" customFormat="false" ht="14.25" hidden="false" customHeight="true" outlineLevel="0" collapsed="false">
      <c r="B7326" s="9" t="s">
        <v>16</v>
      </c>
      <c r="C7326" s="9" t="n">
        <v>1185732</v>
      </c>
      <c r="D7326" s="10" t="n">
        <v>44484</v>
      </c>
      <c r="E7326" s="9" t="s">
        <v>17</v>
      </c>
      <c r="F7326" s="9" t="s">
        <v>123</v>
      </c>
      <c r="G7326" s="9" t="s">
        <v>124</v>
      </c>
      <c r="H7326" s="11" t="s">
        <v>23</v>
      </c>
      <c r="I7326" s="12" t="n">
        <v>52</v>
      </c>
      <c r="J7326" s="13" t="n">
        <v>44</v>
      </c>
      <c r="K7326" s="14" t="n">
        <f aca="false">I7326*J7326</f>
        <v>2288</v>
      </c>
      <c r="L7326" s="14" t="n">
        <f aca="false">($L$2*M7326)/100</f>
        <v>600833.25</v>
      </c>
      <c r="M7326" s="15" t="n">
        <v>0.5</v>
      </c>
      <c r="N7326" s="9" t="s">
        <v>85</v>
      </c>
    </row>
    <row r="7327" customFormat="false" ht="14.25" hidden="false" customHeight="true" outlineLevel="0" collapsed="false">
      <c r="B7327" s="9" t="s">
        <v>16</v>
      </c>
      <c r="C7327" s="9" t="n">
        <v>1185732</v>
      </c>
      <c r="D7327" s="10" t="n">
        <v>44484</v>
      </c>
      <c r="E7327" s="9" t="s">
        <v>17</v>
      </c>
      <c r="F7327" s="9" t="s">
        <v>123</v>
      </c>
      <c r="G7327" s="9" t="s">
        <v>124</v>
      </c>
      <c r="H7327" s="11" t="s">
        <v>24</v>
      </c>
      <c r="I7327" s="12" t="n">
        <v>62</v>
      </c>
      <c r="J7327" s="13" t="n">
        <v>49</v>
      </c>
      <c r="K7327" s="14" t="n">
        <f aca="false">I7327*J7327</f>
        <v>3038</v>
      </c>
      <c r="L7327" s="14" t="n">
        <f aca="false">($L$2*M7327)/100</f>
        <v>480666.6</v>
      </c>
      <c r="M7327" s="15" t="n">
        <v>0.4</v>
      </c>
      <c r="N7327" s="9" t="s">
        <v>85</v>
      </c>
    </row>
    <row r="7328" customFormat="false" ht="14.25" hidden="false" customHeight="true" outlineLevel="0" collapsed="false">
      <c r="B7328" s="9" t="s">
        <v>36</v>
      </c>
      <c r="C7328" s="9" t="n">
        <v>1185732</v>
      </c>
      <c r="D7328" s="10" t="n">
        <v>44484</v>
      </c>
      <c r="E7328" s="9" t="s">
        <v>17</v>
      </c>
      <c r="F7328" s="9" t="s">
        <v>123</v>
      </c>
      <c r="G7328" s="9" t="s">
        <v>124</v>
      </c>
      <c r="H7328" s="11" t="s">
        <v>25</v>
      </c>
      <c r="I7328" s="12" t="n">
        <v>63</v>
      </c>
      <c r="J7328" s="13" t="n">
        <v>78</v>
      </c>
      <c r="K7328" s="14" t="n">
        <f aca="false">I7328*J7328</f>
        <v>4914</v>
      </c>
      <c r="L7328" s="14" t="n">
        <f aca="false">($L$2*M7328)/100</f>
        <v>660916.575</v>
      </c>
      <c r="M7328" s="15" t="n">
        <v>0.55</v>
      </c>
      <c r="N7328" s="9" t="s">
        <v>85</v>
      </c>
    </row>
    <row r="7329" customFormat="false" ht="14.25" hidden="false" customHeight="true" outlineLevel="0" collapsed="false">
      <c r="B7329" s="9" t="s">
        <v>36</v>
      </c>
      <c r="C7329" s="9" t="n">
        <v>1185732</v>
      </c>
      <c r="D7329" s="10" t="n">
        <v>44514</v>
      </c>
      <c r="E7329" s="9" t="s">
        <v>17</v>
      </c>
      <c r="F7329" s="9" t="s">
        <v>123</v>
      </c>
      <c r="G7329" s="9" t="s">
        <v>124</v>
      </c>
      <c r="H7329" s="11" t="s">
        <v>19</v>
      </c>
      <c r="I7329" s="12" t="n">
        <v>60</v>
      </c>
      <c r="J7329" s="13" t="n">
        <v>135</v>
      </c>
      <c r="K7329" s="14" t="n">
        <f aca="false">I7329*J7329</f>
        <v>8100</v>
      </c>
      <c r="L7329" s="14" t="n">
        <f aca="false">($L$2*M7329)/100</f>
        <v>564783.255</v>
      </c>
      <c r="M7329" s="15" t="n">
        <v>0.47</v>
      </c>
      <c r="N7329" s="9" t="s">
        <v>85</v>
      </c>
    </row>
    <row r="7330" customFormat="false" ht="14.25" hidden="false" customHeight="true" outlineLevel="0" collapsed="false">
      <c r="B7330" s="9" t="s">
        <v>36</v>
      </c>
      <c r="C7330" s="9" t="n">
        <v>1185732</v>
      </c>
      <c r="D7330" s="10" t="n">
        <v>44514</v>
      </c>
      <c r="E7330" s="9" t="s">
        <v>17</v>
      </c>
      <c r="F7330" s="9" t="s">
        <v>123</v>
      </c>
      <c r="G7330" s="9" t="s">
        <v>124</v>
      </c>
      <c r="H7330" s="11" t="s">
        <v>21</v>
      </c>
      <c r="I7330" s="12" t="n">
        <v>53</v>
      </c>
      <c r="J7330" s="13" t="n">
        <v>85</v>
      </c>
      <c r="K7330" s="14" t="n">
        <f aca="false">I7330*J7330</f>
        <v>4505</v>
      </c>
      <c r="L7330" s="14" t="n">
        <f aca="false">($L$2*M7330)/100</f>
        <v>552766.59</v>
      </c>
      <c r="M7330" s="15" t="n">
        <v>0.46</v>
      </c>
      <c r="N7330" s="9" t="s">
        <v>85</v>
      </c>
    </row>
    <row r="7331" customFormat="false" ht="14.25" hidden="false" customHeight="true" outlineLevel="0" collapsed="false">
      <c r="B7331" s="9" t="s">
        <v>36</v>
      </c>
      <c r="C7331" s="9" t="n">
        <v>1185732</v>
      </c>
      <c r="D7331" s="10" t="n">
        <v>44514</v>
      </c>
      <c r="E7331" s="9" t="s">
        <v>17</v>
      </c>
      <c r="F7331" s="9" t="s">
        <v>123</v>
      </c>
      <c r="G7331" s="9" t="s">
        <v>124</v>
      </c>
      <c r="H7331" s="11" t="s">
        <v>22</v>
      </c>
      <c r="I7331" s="12" t="n">
        <v>52</v>
      </c>
      <c r="J7331" s="13" t="n">
        <v>86</v>
      </c>
      <c r="K7331" s="14" t="n">
        <f aca="false">I7331*J7331</f>
        <v>4472</v>
      </c>
      <c r="L7331" s="14" t="n">
        <f aca="false">($L$2*M7331)/100</f>
        <v>612849.915</v>
      </c>
      <c r="M7331" s="15" t="n">
        <v>0.51</v>
      </c>
      <c r="N7331" s="9" t="s">
        <v>85</v>
      </c>
    </row>
    <row r="7332" customFormat="false" ht="14.25" hidden="false" customHeight="true" outlineLevel="0" collapsed="false">
      <c r="B7332" s="9" t="s">
        <v>36</v>
      </c>
      <c r="C7332" s="9" t="n">
        <v>1185732</v>
      </c>
      <c r="D7332" s="10" t="n">
        <v>44514</v>
      </c>
      <c r="E7332" s="9" t="s">
        <v>17</v>
      </c>
      <c r="F7332" s="9" t="s">
        <v>123</v>
      </c>
      <c r="G7332" s="9" t="s">
        <v>124</v>
      </c>
      <c r="H7332" s="11" t="s">
        <v>23</v>
      </c>
      <c r="I7332" s="12" t="n">
        <v>51</v>
      </c>
      <c r="J7332" s="13" t="n">
        <v>84</v>
      </c>
      <c r="K7332" s="14" t="n">
        <f aca="false">I7332*J7332</f>
        <v>4284</v>
      </c>
      <c r="L7332" s="14" t="n">
        <f aca="false">($L$2*M7332)/100</f>
        <v>636883.245</v>
      </c>
      <c r="M7332" s="15" t="n">
        <v>0.53</v>
      </c>
      <c r="N7332" s="9" t="s">
        <v>85</v>
      </c>
    </row>
    <row r="7333" customFormat="false" ht="14.25" hidden="false" customHeight="true" outlineLevel="0" collapsed="false">
      <c r="B7333" s="9" t="s">
        <v>36</v>
      </c>
      <c r="C7333" s="9" t="n">
        <v>1185732</v>
      </c>
      <c r="D7333" s="10" t="n">
        <v>44514</v>
      </c>
      <c r="E7333" s="9" t="s">
        <v>17</v>
      </c>
      <c r="F7333" s="9" t="s">
        <v>123</v>
      </c>
      <c r="G7333" s="9" t="s">
        <v>124</v>
      </c>
      <c r="H7333" s="11" t="s">
        <v>24</v>
      </c>
      <c r="I7333" s="12" t="n">
        <v>60</v>
      </c>
      <c r="J7333" s="13" t="n">
        <v>72</v>
      </c>
      <c r="K7333" s="14" t="n">
        <f aca="false">I7333*J7333</f>
        <v>4320</v>
      </c>
      <c r="L7333" s="14" t="n">
        <f aca="false">($L$2*M7333)/100</f>
        <v>480666.6</v>
      </c>
      <c r="M7333" s="15" t="n">
        <v>0.4</v>
      </c>
      <c r="N7333" s="9" t="s">
        <v>85</v>
      </c>
    </row>
    <row r="7334" customFormat="false" ht="14.25" hidden="false" customHeight="true" outlineLevel="0" collapsed="false">
      <c r="B7334" s="9" t="s">
        <v>36</v>
      </c>
      <c r="C7334" s="9" t="n">
        <v>1185732</v>
      </c>
      <c r="D7334" s="10" t="n">
        <v>44514</v>
      </c>
      <c r="E7334" s="9" t="s">
        <v>17</v>
      </c>
      <c r="F7334" s="9" t="s">
        <v>123</v>
      </c>
      <c r="G7334" s="9" t="s">
        <v>124</v>
      </c>
      <c r="H7334" s="11" t="s">
        <v>25</v>
      </c>
      <c r="I7334" s="12" t="n">
        <v>64</v>
      </c>
      <c r="J7334" s="13" t="n">
        <v>98</v>
      </c>
      <c r="K7334" s="14" t="n">
        <f aca="false">I7334*J7334</f>
        <v>6272</v>
      </c>
      <c r="L7334" s="14" t="n">
        <f aca="false">($L$2*M7334)/100</f>
        <v>660916.575</v>
      </c>
      <c r="M7334" s="15" t="n">
        <v>0.55</v>
      </c>
      <c r="N7334" s="9" t="s">
        <v>85</v>
      </c>
    </row>
    <row r="7335" customFormat="false" ht="14.25" hidden="false" customHeight="true" outlineLevel="0" collapsed="false">
      <c r="B7335" s="9" t="s">
        <v>36</v>
      </c>
      <c r="C7335" s="9" t="n">
        <v>1185732</v>
      </c>
      <c r="D7335" s="10" t="n">
        <v>44543</v>
      </c>
      <c r="E7335" s="9" t="s">
        <v>17</v>
      </c>
      <c r="F7335" s="9" t="s">
        <v>123</v>
      </c>
      <c r="G7335" s="9" t="s">
        <v>124</v>
      </c>
      <c r="H7335" s="11" t="s">
        <v>19</v>
      </c>
      <c r="I7335" s="12" t="n">
        <v>62</v>
      </c>
      <c r="J7335" s="13" t="n">
        <v>168</v>
      </c>
      <c r="K7335" s="14" t="n">
        <f aca="false">I7335*J7335</f>
        <v>10416</v>
      </c>
      <c r="L7335" s="14" t="n">
        <f aca="false">($L$2*M7335)/100</f>
        <v>564783.255</v>
      </c>
      <c r="M7335" s="15" t="n">
        <v>0.47</v>
      </c>
      <c r="N7335" s="9" t="s">
        <v>85</v>
      </c>
    </row>
    <row r="7336" customFormat="false" ht="14.25" hidden="false" customHeight="true" outlineLevel="0" collapsed="false">
      <c r="B7336" s="9" t="s">
        <v>36</v>
      </c>
      <c r="C7336" s="9" t="n">
        <v>1185732</v>
      </c>
      <c r="D7336" s="10" t="n">
        <v>44543</v>
      </c>
      <c r="E7336" s="9" t="s">
        <v>17</v>
      </c>
      <c r="F7336" s="9" t="s">
        <v>123</v>
      </c>
      <c r="G7336" s="9" t="s">
        <v>124</v>
      </c>
      <c r="H7336" s="11" t="s">
        <v>21</v>
      </c>
      <c r="I7336" s="12" t="n">
        <v>50</v>
      </c>
      <c r="J7336" s="13" t="n">
        <v>100</v>
      </c>
      <c r="K7336" s="14" t="n">
        <f aca="false">I7336*J7336</f>
        <v>5000</v>
      </c>
      <c r="L7336" s="14" t="n">
        <f aca="false">($L$2*M7336)/100</f>
        <v>576799.92</v>
      </c>
      <c r="M7336" s="15" t="n">
        <v>0.48</v>
      </c>
      <c r="N7336" s="9" t="s">
        <v>85</v>
      </c>
    </row>
    <row r="7337" customFormat="false" ht="14.25" hidden="false" customHeight="true" outlineLevel="0" collapsed="false">
      <c r="B7337" s="9" t="s">
        <v>36</v>
      </c>
      <c r="C7337" s="9" t="n">
        <v>1185732</v>
      </c>
      <c r="D7337" s="10" t="n">
        <v>44543</v>
      </c>
      <c r="E7337" s="9" t="s">
        <v>17</v>
      </c>
      <c r="F7337" s="9" t="s">
        <v>123</v>
      </c>
      <c r="G7337" s="9" t="s">
        <v>124</v>
      </c>
      <c r="H7337" s="11" t="s">
        <v>22</v>
      </c>
      <c r="I7337" s="12" t="n">
        <v>50</v>
      </c>
      <c r="J7337" s="13" t="n">
        <v>109</v>
      </c>
      <c r="K7337" s="14" t="n">
        <f aca="false">I7337*J7337</f>
        <v>5450</v>
      </c>
      <c r="L7337" s="14" t="n">
        <f aca="false">($L$2*M7337)/100</f>
        <v>648899.91</v>
      </c>
      <c r="M7337" s="15" t="n">
        <v>0.54</v>
      </c>
      <c r="N7337" s="9" t="s">
        <v>85</v>
      </c>
    </row>
    <row r="7338" customFormat="false" ht="14.25" hidden="false" customHeight="true" outlineLevel="0" collapsed="false">
      <c r="B7338" s="9" t="s">
        <v>36</v>
      </c>
      <c r="C7338" s="9" t="n">
        <v>1185732</v>
      </c>
      <c r="D7338" s="10" t="n">
        <v>44543</v>
      </c>
      <c r="E7338" s="9" t="s">
        <v>17</v>
      </c>
      <c r="F7338" s="9" t="s">
        <v>123</v>
      </c>
      <c r="G7338" s="9" t="s">
        <v>124</v>
      </c>
      <c r="H7338" s="11" t="s">
        <v>23</v>
      </c>
      <c r="I7338" s="12" t="n">
        <v>53</v>
      </c>
      <c r="J7338" s="13" t="n">
        <v>98</v>
      </c>
      <c r="K7338" s="14" t="n">
        <f aca="false">I7338*J7338</f>
        <v>5194</v>
      </c>
      <c r="L7338" s="14" t="n">
        <f aca="false">($L$2*M7338)/100</f>
        <v>648899.91</v>
      </c>
      <c r="M7338" s="15" t="n">
        <v>0.54</v>
      </c>
      <c r="N7338" s="9" t="s">
        <v>85</v>
      </c>
    </row>
    <row r="7339" customFormat="false" ht="14.25" hidden="false" customHeight="true" outlineLevel="0" collapsed="false">
      <c r="B7339" s="9" t="s">
        <v>36</v>
      </c>
      <c r="C7339" s="9" t="n">
        <v>1185732</v>
      </c>
      <c r="D7339" s="10" t="n">
        <v>44543</v>
      </c>
      <c r="E7339" s="9" t="s">
        <v>17</v>
      </c>
      <c r="F7339" s="9" t="s">
        <v>123</v>
      </c>
      <c r="G7339" s="9" t="s">
        <v>124</v>
      </c>
      <c r="H7339" s="11" t="s">
        <v>24</v>
      </c>
      <c r="I7339" s="12" t="n">
        <v>61</v>
      </c>
      <c r="J7339" s="13" t="n">
        <v>91</v>
      </c>
      <c r="K7339" s="14" t="n">
        <f aca="false">I7339*J7339</f>
        <v>5551</v>
      </c>
      <c r="L7339" s="14" t="n">
        <f aca="false">($L$2*M7339)/100</f>
        <v>480666.6</v>
      </c>
      <c r="M7339" s="15" t="n">
        <v>0.4</v>
      </c>
      <c r="N7339" s="9" t="s">
        <v>85</v>
      </c>
    </row>
    <row r="7340" customFormat="false" ht="14.25" hidden="false" customHeight="true" outlineLevel="0" collapsed="false">
      <c r="B7340" s="9" t="s">
        <v>36</v>
      </c>
      <c r="C7340" s="9" t="n">
        <v>1185732</v>
      </c>
      <c r="D7340" s="10" t="n">
        <v>44543</v>
      </c>
      <c r="E7340" s="9" t="s">
        <v>17</v>
      </c>
      <c r="F7340" s="9" t="s">
        <v>123</v>
      </c>
      <c r="G7340" s="9" t="s">
        <v>124</v>
      </c>
      <c r="H7340" s="11" t="s">
        <v>25</v>
      </c>
      <c r="I7340" s="12" t="n">
        <v>65</v>
      </c>
      <c r="J7340" s="13" t="n">
        <v>123</v>
      </c>
      <c r="K7340" s="14" t="n">
        <f aca="false">I7340*J7340</f>
        <v>7995</v>
      </c>
      <c r="L7340" s="14" t="n">
        <f aca="false">($L$2*M7340)/100</f>
        <v>600833.25</v>
      </c>
      <c r="M7340" s="15" t="n">
        <v>0.5</v>
      </c>
      <c r="N7340" s="9" t="s">
        <v>85</v>
      </c>
    </row>
    <row r="7341" customFormat="false" ht="14.25" hidden="false" customHeight="true" outlineLevel="0" collapsed="false">
      <c r="B7341" s="9" t="s">
        <v>36</v>
      </c>
      <c r="C7341" s="9" t="n">
        <v>1185732</v>
      </c>
      <c r="D7341" s="10" t="n">
        <v>44206</v>
      </c>
      <c r="E7341" s="9" t="s">
        <v>17</v>
      </c>
      <c r="F7341" s="9" t="s">
        <v>123</v>
      </c>
      <c r="G7341" s="9" t="s">
        <v>124</v>
      </c>
      <c r="H7341" s="11" t="s">
        <v>19</v>
      </c>
      <c r="I7341" s="12" t="n">
        <v>32</v>
      </c>
      <c r="J7341" s="13" t="n">
        <v>138</v>
      </c>
      <c r="K7341" s="14" t="n">
        <f aca="false">I7341*J7341</f>
        <v>4416</v>
      </c>
      <c r="L7341" s="14" t="n">
        <f aca="false">($L$2*M7341)/100</f>
        <v>600833.25</v>
      </c>
      <c r="M7341" s="15" t="n">
        <v>0.5</v>
      </c>
      <c r="N7341" s="9" t="s">
        <v>85</v>
      </c>
    </row>
    <row r="7342" customFormat="false" ht="14.25" hidden="false" customHeight="true" outlineLevel="0" collapsed="false">
      <c r="B7342" s="9" t="s">
        <v>36</v>
      </c>
      <c r="C7342" s="9" t="n">
        <v>1185732</v>
      </c>
      <c r="D7342" s="10" t="n">
        <v>44206</v>
      </c>
      <c r="E7342" s="9" t="s">
        <v>17</v>
      </c>
      <c r="F7342" s="9" t="s">
        <v>123</v>
      </c>
      <c r="G7342" s="9" t="s">
        <v>124</v>
      </c>
      <c r="H7342" s="11" t="s">
        <v>21</v>
      </c>
      <c r="I7342" s="12" t="n">
        <v>33</v>
      </c>
      <c r="J7342" s="13" t="n">
        <v>77</v>
      </c>
      <c r="K7342" s="14" t="n">
        <f aca="false">I7342*J7342</f>
        <v>2541</v>
      </c>
      <c r="L7342" s="14" t="n">
        <f aca="false">($L$2*M7342)/100</f>
        <v>564783.255</v>
      </c>
      <c r="M7342" s="15" t="n">
        <v>0.47</v>
      </c>
      <c r="N7342" s="9" t="s">
        <v>85</v>
      </c>
    </row>
    <row r="7343" customFormat="false" ht="14.25" hidden="false" customHeight="true" outlineLevel="0" collapsed="false">
      <c r="B7343" s="9" t="s">
        <v>36</v>
      </c>
      <c r="C7343" s="9" t="n">
        <v>1185732</v>
      </c>
      <c r="D7343" s="10" t="n">
        <v>44206</v>
      </c>
      <c r="E7343" s="9" t="s">
        <v>17</v>
      </c>
      <c r="F7343" s="9" t="s">
        <v>123</v>
      </c>
      <c r="G7343" s="9" t="s">
        <v>124</v>
      </c>
      <c r="H7343" s="11" t="s">
        <v>22</v>
      </c>
      <c r="I7343" s="12" t="n">
        <v>24</v>
      </c>
      <c r="J7343" s="13" t="n">
        <v>72</v>
      </c>
      <c r="K7343" s="14" t="n">
        <f aca="false">I7343*J7343</f>
        <v>1728</v>
      </c>
      <c r="L7343" s="14" t="n">
        <f aca="false">($L$2*M7343)/100</f>
        <v>612849.915</v>
      </c>
      <c r="M7343" s="15" t="n">
        <v>0.51</v>
      </c>
      <c r="N7343" s="9" t="s">
        <v>85</v>
      </c>
    </row>
    <row r="7344" customFormat="false" ht="14.25" hidden="false" customHeight="true" outlineLevel="0" collapsed="false">
      <c r="B7344" s="9" t="s">
        <v>36</v>
      </c>
      <c r="C7344" s="9" t="n">
        <v>1185732</v>
      </c>
      <c r="D7344" s="10" t="n">
        <v>44206</v>
      </c>
      <c r="E7344" s="9" t="s">
        <v>17</v>
      </c>
      <c r="F7344" s="9" t="s">
        <v>123</v>
      </c>
      <c r="G7344" s="9" t="s">
        <v>124</v>
      </c>
      <c r="H7344" s="11" t="s">
        <v>23</v>
      </c>
      <c r="I7344" s="12" t="n">
        <v>27</v>
      </c>
      <c r="J7344" s="13" t="n">
        <v>38</v>
      </c>
      <c r="K7344" s="14" t="n">
        <f aca="false">I7344*J7344</f>
        <v>1026</v>
      </c>
      <c r="L7344" s="14" t="n">
        <f aca="false">($L$2*M7344)/100</f>
        <v>600833.25</v>
      </c>
      <c r="M7344" s="15" t="n">
        <v>0.5</v>
      </c>
      <c r="N7344" s="9" t="s">
        <v>85</v>
      </c>
    </row>
    <row r="7345" customFormat="false" ht="14.25" hidden="false" customHeight="true" outlineLevel="0" collapsed="false">
      <c r="B7345" s="9" t="s">
        <v>36</v>
      </c>
      <c r="C7345" s="9" t="n">
        <v>1185732</v>
      </c>
      <c r="D7345" s="10" t="n">
        <v>44206</v>
      </c>
      <c r="E7345" s="9" t="s">
        <v>17</v>
      </c>
      <c r="F7345" s="9" t="s">
        <v>123</v>
      </c>
      <c r="G7345" s="9" t="s">
        <v>124</v>
      </c>
      <c r="H7345" s="11" t="s">
        <v>24</v>
      </c>
      <c r="I7345" s="12" t="n">
        <v>41</v>
      </c>
      <c r="J7345" s="13" t="n">
        <v>47</v>
      </c>
      <c r="K7345" s="14" t="n">
        <f aca="false">I7345*J7345</f>
        <v>1927</v>
      </c>
      <c r="L7345" s="14" t="n">
        <f aca="false">($L$2*M7345)/100</f>
        <v>480666.6</v>
      </c>
      <c r="M7345" s="15" t="n">
        <v>0.4</v>
      </c>
      <c r="N7345" s="9" t="s">
        <v>85</v>
      </c>
    </row>
    <row r="7346" customFormat="false" ht="14.25" hidden="false" customHeight="true" outlineLevel="0" collapsed="false">
      <c r="B7346" s="9" t="s">
        <v>36</v>
      </c>
      <c r="C7346" s="9" t="n">
        <v>1185732</v>
      </c>
      <c r="D7346" s="10" t="n">
        <v>44206</v>
      </c>
      <c r="E7346" s="9" t="s">
        <v>17</v>
      </c>
      <c r="F7346" s="9" t="s">
        <v>123</v>
      </c>
      <c r="G7346" s="9" t="s">
        <v>124</v>
      </c>
      <c r="H7346" s="11" t="s">
        <v>25</v>
      </c>
      <c r="I7346" s="12" t="n">
        <v>33</v>
      </c>
      <c r="J7346" s="13" t="n">
        <v>69</v>
      </c>
      <c r="K7346" s="14" t="n">
        <f aca="false">I7346*J7346</f>
        <v>2277</v>
      </c>
      <c r="L7346" s="14" t="n">
        <f aca="false">($L$2*M7346)/100</f>
        <v>660916.575</v>
      </c>
      <c r="M7346" s="15" t="n">
        <v>0.55</v>
      </c>
      <c r="N7346" s="9" t="s">
        <v>85</v>
      </c>
    </row>
    <row r="7347" customFormat="false" ht="14.25" hidden="false" customHeight="true" outlineLevel="0" collapsed="false">
      <c r="B7347" s="9" t="s">
        <v>36</v>
      </c>
      <c r="C7347" s="9" t="n">
        <v>1185732</v>
      </c>
      <c r="D7347" s="10" t="n">
        <v>44235</v>
      </c>
      <c r="E7347" s="9" t="s">
        <v>17</v>
      </c>
      <c r="F7347" s="9" t="s">
        <v>123</v>
      </c>
      <c r="G7347" s="9" t="s">
        <v>124</v>
      </c>
      <c r="H7347" s="11" t="s">
        <v>19</v>
      </c>
      <c r="I7347" s="12" t="n">
        <v>34</v>
      </c>
      <c r="J7347" s="13" t="n">
        <v>147</v>
      </c>
      <c r="K7347" s="14" t="n">
        <f aca="false">I7347*J7347</f>
        <v>4998</v>
      </c>
      <c r="L7347" s="14" t="n">
        <f aca="false">($L$2*M7347)/100</f>
        <v>576799.92</v>
      </c>
      <c r="M7347" s="15" t="n">
        <v>0.48</v>
      </c>
      <c r="N7347" s="9" t="s">
        <v>85</v>
      </c>
    </row>
    <row r="7348" customFormat="false" ht="14.25" hidden="false" customHeight="true" outlineLevel="0" collapsed="false">
      <c r="B7348" s="9" t="s">
        <v>36</v>
      </c>
      <c r="C7348" s="9" t="n">
        <v>1185732</v>
      </c>
      <c r="D7348" s="10" t="n">
        <v>44235</v>
      </c>
      <c r="E7348" s="9" t="s">
        <v>17</v>
      </c>
      <c r="F7348" s="9" t="s">
        <v>123</v>
      </c>
      <c r="G7348" s="9" t="s">
        <v>124</v>
      </c>
      <c r="H7348" s="11" t="s">
        <v>21</v>
      </c>
      <c r="I7348" s="12" t="n">
        <v>32</v>
      </c>
      <c r="J7348" s="13" t="n">
        <v>53</v>
      </c>
      <c r="K7348" s="14" t="n">
        <f aca="false">I7348*J7348</f>
        <v>1696</v>
      </c>
      <c r="L7348" s="14" t="n">
        <f aca="false">($L$2*M7348)/100</f>
        <v>600833.25</v>
      </c>
      <c r="M7348" s="15" t="n">
        <v>0.5</v>
      </c>
      <c r="N7348" s="9" t="s">
        <v>85</v>
      </c>
    </row>
    <row r="7349" customFormat="false" ht="14.25" hidden="false" customHeight="true" outlineLevel="0" collapsed="false">
      <c r="B7349" s="9" t="s">
        <v>36</v>
      </c>
      <c r="C7349" s="9" t="n">
        <v>1185732</v>
      </c>
      <c r="D7349" s="10" t="n">
        <v>44235</v>
      </c>
      <c r="E7349" s="9" t="s">
        <v>17</v>
      </c>
      <c r="F7349" s="9" t="s">
        <v>123</v>
      </c>
      <c r="G7349" s="9" t="s">
        <v>124</v>
      </c>
      <c r="H7349" s="11" t="s">
        <v>22</v>
      </c>
      <c r="I7349" s="12" t="n">
        <v>24</v>
      </c>
      <c r="J7349" s="13" t="n">
        <v>63</v>
      </c>
      <c r="K7349" s="14" t="n">
        <f aca="false">I7349*J7349</f>
        <v>1512</v>
      </c>
      <c r="L7349" s="14" t="n">
        <f aca="false">($L$2*M7349)/100</f>
        <v>612849.915</v>
      </c>
      <c r="M7349" s="15" t="n">
        <v>0.51</v>
      </c>
      <c r="N7349" s="9" t="s">
        <v>85</v>
      </c>
    </row>
    <row r="7350" customFormat="false" ht="14.25" hidden="false" customHeight="true" outlineLevel="0" collapsed="false">
      <c r="B7350" s="9" t="s">
        <v>36</v>
      </c>
      <c r="C7350" s="9" t="n">
        <v>1185732</v>
      </c>
      <c r="D7350" s="10" t="n">
        <v>44235</v>
      </c>
      <c r="E7350" s="9" t="s">
        <v>17</v>
      </c>
      <c r="F7350" s="9" t="s">
        <v>125</v>
      </c>
      <c r="G7350" s="9" t="s">
        <v>126</v>
      </c>
      <c r="H7350" s="11" t="s">
        <v>23</v>
      </c>
      <c r="I7350" s="12" t="n">
        <v>29</v>
      </c>
      <c r="J7350" s="13" t="n">
        <v>30</v>
      </c>
      <c r="K7350" s="14" t="n">
        <f aca="false">I7350*J7350</f>
        <v>870</v>
      </c>
      <c r="L7350" s="14" t="n">
        <f aca="false">($L$2*M7350)/100</f>
        <v>636883.245</v>
      </c>
      <c r="M7350" s="15" t="n">
        <v>0.53</v>
      </c>
      <c r="N7350" s="9" t="s">
        <v>85</v>
      </c>
    </row>
    <row r="7351" customFormat="false" ht="14.25" hidden="false" customHeight="true" outlineLevel="0" collapsed="false">
      <c r="B7351" s="9" t="s">
        <v>36</v>
      </c>
      <c r="C7351" s="9" t="n">
        <v>1185732</v>
      </c>
      <c r="D7351" s="10" t="n">
        <v>44235</v>
      </c>
      <c r="E7351" s="9" t="s">
        <v>17</v>
      </c>
      <c r="F7351" s="9" t="s">
        <v>125</v>
      </c>
      <c r="G7351" s="9" t="s">
        <v>126</v>
      </c>
      <c r="H7351" s="11" t="s">
        <v>24</v>
      </c>
      <c r="I7351" s="12" t="n">
        <v>41</v>
      </c>
      <c r="J7351" s="13" t="n">
        <v>47</v>
      </c>
      <c r="K7351" s="14" t="n">
        <f aca="false">I7351*J7351</f>
        <v>1927</v>
      </c>
      <c r="L7351" s="14" t="n">
        <f aca="false">($L$2*M7351)/100</f>
        <v>480666.6</v>
      </c>
      <c r="M7351" s="15" t="n">
        <v>0.4</v>
      </c>
      <c r="N7351" s="9" t="s">
        <v>85</v>
      </c>
    </row>
    <row r="7352" customFormat="false" ht="14.25" hidden="false" customHeight="true" outlineLevel="0" collapsed="false">
      <c r="B7352" s="9" t="s">
        <v>36</v>
      </c>
      <c r="C7352" s="9" t="n">
        <v>1185732</v>
      </c>
      <c r="D7352" s="10" t="n">
        <v>44235</v>
      </c>
      <c r="E7352" s="9" t="s">
        <v>17</v>
      </c>
      <c r="F7352" s="9" t="s">
        <v>125</v>
      </c>
      <c r="G7352" s="9" t="s">
        <v>126</v>
      </c>
      <c r="H7352" s="11" t="s">
        <v>25</v>
      </c>
      <c r="I7352" s="12" t="n">
        <v>32</v>
      </c>
      <c r="J7352" s="13" t="n">
        <v>74</v>
      </c>
      <c r="K7352" s="14" t="n">
        <f aca="false">I7352*J7352</f>
        <v>2368</v>
      </c>
      <c r="L7352" s="14" t="n">
        <f aca="false">($L$2*M7352)/100</f>
        <v>636883.245</v>
      </c>
      <c r="M7352" s="15" t="n">
        <v>0.53</v>
      </c>
      <c r="N7352" s="9" t="s">
        <v>85</v>
      </c>
    </row>
    <row r="7353" customFormat="false" ht="14.25" hidden="false" customHeight="true" outlineLevel="0" collapsed="false">
      <c r="B7353" s="9" t="s">
        <v>36</v>
      </c>
      <c r="C7353" s="9" t="n">
        <v>1185732</v>
      </c>
      <c r="D7353" s="10" t="n">
        <v>44261</v>
      </c>
      <c r="E7353" s="9" t="s">
        <v>17</v>
      </c>
      <c r="F7353" s="9" t="s">
        <v>125</v>
      </c>
      <c r="G7353" s="9" t="s">
        <v>126</v>
      </c>
      <c r="H7353" s="11" t="s">
        <v>19</v>
      </c>
      <c r="I7353" s="12" t="n">
        <v>32</v>
      </c>
      <c r="J7353" s="13" t="n">
        <v>144</v>
      </c>
      <c r="K7353" s="14" t="n">
        <f aca="false">I7353*J7353</f>
        <v>4608</v>
      </c>
      <c r="L7353" s="14" t="n">
        <f aca="false">($L$2*M7353)/100</f>
        <v>552766.59</v>
      </c>
      <c r="M7353" s="15" t="n">
        <v>0.46</v>
      </c>
      <c r="N7353" s="9" t="s">
        <v>85</v>
      </c>
    </row>
    <row r="7354" customFormat="false" ht="14.25" hidden="false" customHeight="true" outlineLevel="0" collapsed="false">
      <c r="B7354" s="9" t="s">
        <v>36</v>
      </c>
      <c r="C7354" s="9" t="n">
        <v>1185732</v>
      </c>
      <c r="D7354" s="10" t="n">
        <v>44261</v>
      </c>
      <c r="E7354" s="9" t="s">
        <v>17</v>
      </c>
      <c r="F7354" s="9" t="s">
        <v>125</v>
      </c>
      <c r="G7354" s="9" t="s">
        <v>126</v>
      </c>
      <c r="H7354" s="11" t="s">
        <v>21</v>
      </c>
      <c r="I7354" s="12" t="n">
        <v>32</v>
      </c>
      <c r="J7354" s="13" t="n">
        <v>58</v>
      </c>
      <c r="K7354" s="14" t="n">
        <f aca="false">I7354*J7354</f>
        <v>1856</v>
      </c>
      <c r="L7354" s="14" t="n">
        <f aca="false">($L$2*M7354)/100</f>
        <v>588816.585</v>
      </c>
      <c r="M7354" s="15" t="n">
        <v>0.49</v>
      </c>
      <c r="N7354" s="9" t="s">
        <v>85</v>
      </c>
    </row>
    <row r="7355" customFormat="false" ht="14.25" hidden="false" customHeight="true" outlineLevel="0" collapsed="false">
      <c r="B7355" s="9" t="s">
        <v>36</v>
      </c>
      <c r="C7355" s="9" t="n">
        <v>1185732</v>
      </c>
      <c r="D7355" s="10" t="n">
        <v>44261</v>
      </c>
      <c r="E7355" s="9" t="s">
        <v>17</v>
      </c>
      <c r="F7355" s="9" t="s">
        <v>125</v>
      </c>
      <c r="G7355" s="9" t="s">
        <v>126</v>
      </c>
      <c r="H7355" s="11" t="s">
        <v>22</v>
      </c>
      <c r="I7355" s="12" t="n">
        <v>24</v>
      </c>
      <c r="J7355" s="13" t="n">
        <v>59</v>
      </c>
      <c r="K7355" s="14" t="n">
        <f aca="false">I7355*J7355</f>
        <v>1416</v>
      </c>
      <c r="L7355" s="14" t="n">
        <f aca="false">($L$2*M7355)/100</f>
        <v>636883.245</v>
      </c>
      <c r="M7355" s="15" t="n">
        <v>0.53</v>
      </c>
      <c r="N7355" s="9" t="s">
        <v>85</v>
      </c>
    </row>
    <row r="7356" customFormat="false" ht="14.25" hidden="false" customHeight="true" outlineLevel="0" collapsed="false">
      <c r="B7356" s="9" t="s">
        <v>36</v>
      </c>
      <c r="C7356" s="9" t="n">
        <v>1185732</v>
      </c>
      <c r="D7356" s="10" t="n">
        <v>44261</v>
      </c>
      <c r="E7356" s="9" t="s">
        <v>17</v>
      </c>
      <c r="F7356" s="9" t="s">
        <v>125</v>
      </c>
      <c r="G7356" s="9" t="s">
        <v>126</v>
      </c>
      <c r="H7356" s="11" t="s">
        <v>23</v>
      </c>
      <c r="I7356" s="12" t="n">
        <v>27</v>
      </c>
      <c r="J7356" s="13" t="n">
        <v>22</v>
      </c>
      <c r="K7356" s="14" t="n">
        <f aca="false">I7356*J7356</f>
        <v>594</v>
      </c>
      <c r="L7356" s="14" t="n">
        <f aca="false">($L$2*M7356)/100</f>
        <v>624866.58</v>
      </c>
      <c r="M7356" s="15" t="n">
        <v>0.52</v>
      </c>
      <c r="N7356" s="9" t="s">
        <v>85</v>
      </c>
    </row>
    <row r="7357" customFormat="false" ht="14.25" hidden="false" customHeight="true" outlineLevel="0" collapsed="false">
      <c r="B7357" s="9" t="s">
        <v>36</v>
      </c>
      <c r="C7357" s="9" t="n">
        <v>1185732</v>
      </c>
      <c r="D7357" s="10" t="n">
        <v>44261</v>
      </c>
      <c r="E7357" s="9" t="s">
        <v>17</v>
      </c>
      <c r="F7357" s="9" t="s">
        <v>125</v>
      </c>
      <c r="G7357" s="9" t="s">
        <v>126</v>
      </c>
      <c r="H7357" s="11" t="s">
        <v>24</v>
      </c>
      <c r="I7357" s="12" t="n">
        <v>43</v>
      </c>
      <c r="J7357" s="13" t="n">
        <v>34</v>
      </c>
      <c r="K7357" s="14" t="n">
        <f aca="false">I7357*J7357</f>
        <v>1462</v>
      </c>
      <c r="L7357" s="14" t="n">
        <f aca="false">($L$2*M7357)/100</f>
        <v>540749.925</v>
      </c>
      <c r="M7357" s="15" t="n">
        <v>0.45</v>
      </c>
      <c r="N7357" s="9" t="s">
        <v>85</v>
      </c>
    </row>
    <row r="7358" customFormat="false" ht="14.25" hidden="false" customHeight="true" outlineLevel="0" collapsed="false">
      <c r="B7358" s="9" t="s">
        <v>36</v>
      </c>
      <c r="C7358" s="9" t="n">
        <v>1185732</v>
      </c>
      <c r="D7358" s="10" t="n">
        <v>44261</v>
      </c>
      <c r="E7358" s="9" t="s">
        <v>17</v>
      </c>
      <c r="F7358" s="9" t="s">
        <v>125</v>
      </c>
      <c r="G7358" s="9" t="s">
        <v>126</v>
      </c>
      <c r="H7358" s="11" t="s">
        <v>25</v>
      </c>
      <c r="I7358" s="12" t="n">
        <v>32</v>
      </c>
      <c r="J7358" s="13" t="n">
        <v>61</v>
      </c>
      <c r="K7358" s="14" t="n">
        <f aca="false">I7358*J7358</f>
        <v>1952</v>
      </c>
      <c r="L7358" s="14" t="n">
        <f aca="false">($L$2*M7358)/100</f>
        <v>600833.25</v>
      </c>
      <c r="M7358" s="15" t="n">
        <v>0.5</v>
      </c>
      <c r="N7358" s="9" t="s">
        <v>85</v>
      </c>
    </row>
    <row r="7359" customFormat="false" ht="14.25" hidden="false" customHeight="true" outlineLevel="0" collapsed="false">
      <c r="B7359" s="9" t="s">
        <v>36</v>
      </c>
      <c r="C7359" s="9" t="n">
        <v>1185732</v>
      </c>
      <c r="D7359" s="10" t="n">
        <v>44293</v>
      </c>
      <c r="E7359" s="9" t="s">
        <v>17</v>
      </c>
      <c r="F7359" s="9" t="s">
        <v>125</v>
      </c>
      <c r="G7359" s="9" t="s">
        <v>126</v>
      </c>
      <c r="H7359" s="11" t="s">
        <v>19</v>
      </c>
      <c r="I7359" s="12" t="n">
        <v>34</v>
      </c>
      <c r="J7359" s="13" t="n">
        <v>133</v>
      </c>
      <c r="K7359" s="14" t="n">
        <f aca="false">I7359*J7359</f>
        <v>4522</v>
      </c>
      <c r="L7359" s="14" t="n">
        <f aca="false">($L$2*M7359)/100</f>
        <v>600833.25</v>
      </c>
      <c r="M7359" s="15" t="n">
        <v>0.5</v>
      </c>
      <c r="N7359" s="9" t="s">
        <v>85</v>
      </c>
    </row>
    <row r="7360" customFormat="false" ht="14.25" hidden="false" customHeight="true" outlineLevel="0" collapsed="false">
      <c r="B7360" s="9" t="s">
        <v>36</v>
      </c>
      <c r="C7360" s="9" t="n">
        <v>1185732</v>
      </c>
      <c r="D7360" s="10" t="n">
        <v>44293</v>
      </c>
      <c r="E7360" s="9" t="s">
        <v>17</v>
      </c>
      <c r="F7360" s="9" t="s">
        <v>125</v>
      </c>
      <c r="G7360" s="9" t="s">
        <v>126</v>
      </c>
      <c r="H7360" s="11" t="s">
        <v>21</v>
      </c>
      <c r="I7360" s="12" t="n">
        <v>33</v>
      </c>
      <c r="J7360" s="13" t="n">
        <v>51</v>
      </c>
      <c r="K7360" s="14" t="n">
        <f aca="false">I7360*J7360</f>
        <v>1683</v>
      </c>
      <c r="L7360" s="14" t="n">
        <f aca="false">($L$2*M7360)/100</f>
        <v>552766.59</v>
      </c>
      <c r="M7360" s="15" t="n">
        <v>0.46</v>
      </c>
      <c r="N7360" s="9" t="s">
        <v>85</v>
      </c>
    </row>
    <row r="7361" customFormat="false" ht="14.25" hidden="false" customHeight="true" outlineLevel="0" collapsed="false">
      <c r="B7361" s="9" t="s">
        <v>36</v>
      </c>
      <c r="C7361" s="9" t="n">
        <v>1185732</v>
      </c>
      <c r="D7361" s="10" t="n">
        <v>44293</v>
      </c>
      <c r="E7361" s="9" t="s">
        <v>17</v>
      </c>
      <c r="F7361" s="9" t="s">
        <v>125</v>
      </c>
      <c r="G7361" s="9" t="s">
        <v>126</v>
      </c>
      <c r="H7361" s="11" t="s">
        <v>22</v>
      </c>
      <c r="I7361" s="12" t="n">
        <v>24</v>
      </c>
      <c r="J7361" s="13" t="n">
        <v>51</v>
      </c>
      <c r="K7361" s="14" t="n">
        <f aca="false">I7361*J7361</f>
        <v>1224</v>
      </c>
      <c r="L7361" s="14" t="n">
        <f aca="false">($L$2*M7361)/100</f>
        <v>600833.25</v>
      </c>
      <c r="M7361" s="15" t="n">
        <v>0.5</v>
      </c>
      <c r="N7361" s="9" t="s">
        <v>85</v>
      </c>
    </row>
    <row r="7362" customFormat="false" ht="14.25" hidden="false" customHeight="true" outlineLevel="0" collapsed="false">
      <c r="B7362" s="9" t="s">
        <v>36</v>
      </c>
      <c r="C7362" s="9" t="n">
        <v>1185732</v>
      </c>
      <c r="D7362" s="10" t="n">
        <v>44293</v>
      </c>
      <c r="E7362" s="9" t="s">
        <v>17</v>
      </c>
      <c r="F7362" s="9" t="s">
        <v>125</v>
      </c>
      <c r="G7362" s="9" t="s">
        <v>126</v>
      </c>
      <c r="H7362" s="11" t="s">
        <v>23</v>
      </c>
      <c r="I7362" s="12" t="n">
        <v>27</v>
      </c>
      <c r="J7362" s="13" t="n">
        <v>27</v>
      </c>
      <c r="K7362" s="14" t="n">
        <f aca="false">I7362*J7362</f>
        <v>729</v>
      </c>
      <c r="L7362" s="14" t="n">
        <f aca="false">($L$2*M7362)/100</f>
        <v>612849.915</v>
      </c>
      <c r="M7362" s="15" t="n">
        <v>0.51</v>
      </c>
      <c r="N7362" s="9" t="s">
        <v>85</v>
      </c>
    </row>
    <row r="7363" customFormat="false" ht="14.25" hidden="false" customHeight="true" outlineLevel="0" collapsed="false">
      <c r="B7363" s="9" t="s">
        <v>36</v>
      </c>
      <c r="C7363" s="9" t="n">
        <v>1185732</v>
      </c>
      <c r="D7363" s="10" t="n">
        <v>44293</v>
      </c>
      <c r="E7363" s="9" t="s">
        <v>17</v>
      </c>
      <c r="F7363" s="9" t="s">
        <v>125</v>
      </c>
      <c r="G7363" s="9" t="s">
        <v>126</v>
      </c>
      <c r="H7363" s="11" t="s">
        <v>24</v>
      </c>
      <c r="I7363" s="12" t="n">
        <v>44</v>
      </c>
      <c r="J7363" s="13" t="n">
        <v>27</v>
      </c>
      <c r="K7363" s="14" t="n">
        <f aca="false">I7363*J7363</f>
        <v>1188</v>
      </c>
      <c r="L7363" s="14" t="n">
        <f aca="false">($L$2*M7363)/100</f>
        <v>528733.26</v>
      </c>
      <c r="M7363" s="15" t="n">
        <v>0.44</v>
      </c>
      <c r="N7363" s="9" t="s">
        <v>85</v>
      </c>
    </row>
    <row r="7364" customFormat="false" ht="14.25" hidden="false" customHeight="true" outlineLevel="0" collapsed="false">
      <c r="B7364" s="9" t="s">
        <v>36</v>
      </c>
      <c r="C7364" s="9" t="n">
        <v>1185732</v>
      </c>
      <c r="D7364" s="10" t="n">
        <v>44293</v>
      </c>
      <c r="E7364" s="9" t="s">
        <v>17</v>
      </c>
      <c r="F7364" s="9" t="s">
        <v>125</v>
      </c>
      <c r="G7364" s="9" t="s">
        <v>126</v>
      </c>
      <c r="H7364" s="11" t="s">
        <v>25</v>
      </c>
      <c r="I7364" s="12" t="n">
        <v>33</v>
      </c>
      <c r="J7364" s="13" t="n">
        <v>68</v>
      </c>
      <c r="K7364" s="14" t="n">
        <f aca="false">I7364*J7364</f>
        <v>2244</v>
      </c>
      <c r="L7364" s="14" t="n">
        <f aca="false">($L$2*M7364)/100</f>
        <v>648899.91</v>
      </c>
      <c r="M7364" s="15" t="n">
        <v>0.54</v>
      </c>
      <c r="N7364" s="9" t="s">
        <v>85</v>
      </c>
    </row>
    <row r="7365" customFormat="false" ht="14.25" hidden="false" customHeight="true" outlineLevel="0" collapsed="false">
      <c r="B7365" s="9" t="s">
        <v>36</v>
      </c>
      <c r="C7365" s="9" t="n">
        <v>1185732</v>
      </c>
      <c r="D7365" s="10" t="n">
        <v>44322</v>
      </c>
      <c r="E7365" s="9" t="s">
        <v>17</v>
      </c>
      <c r="F7365" s="9" t="s">
        <v>125</v>
      </c>
      <c r="G7365" s="9" t="s">
        <v>126</v>
      </c>
      <c r="H7365" s="11" t="s">
        <v>19</v>
      </c>
      <c r="I7365" s="12" t="n">
        <v>48</v>
      </c>
      <c r="J7365" s="13" t="n">
        <v>130</v>
      </c>
      <c r="K7365" s="14" t="n">
        <f aca="false">I7365*J7365</f>
        <v>6240</v>
      </c>
      <c r="L7365" s="14" t="n">
        <f aca="false">($L$2*M7365)/100</f>
        <v>564783.255</v>
      </c>
      <c r="M7365" s="15" t="n">
        <v>0.47</v>
      </c>
      <c r="N7365" s="9" t="s">
        <v>85</v>
      </c>
    </row>
    <row r="7366" customFormat="false" ht="14.25" hidden="false" customHeight="true" outlineLevel="0" collapsed="false">
      <c r="B7366" s="9" t="s">
        <v>36</v>
      </c>
      <c r="C7366" s="9" t="n">
        <v>1185732</v>
      </c>
      <c r="D7366" s="10" t="n">
        <v>44322</v>
      </c>
      <c r="E7366" s="9" t="s">
        <v>17</v>
      </c>
      <c r="F7366" s="9" t="s">
        <v>125</v>
      </c>
      <c r="G7366" s="9" t="s">
        <v>126</v>
      </c>
      <c r="H7366" s="11" t="s">
        <v>21</v>
      </c>
      <c r="I7366" s="12" t="n">
        <v>41</v>
      </c>
      <c r="J7366" s="13" t="n">
        <v>68</v>
      </c>
      <c r="K7366" s="14" t="n">
        <f aca="false">I7366*J7366</f>
        <v>2788</v>
      </c>
      <c r="L7366" s="14" t="n">
        <f aca="false">($L$2*M7366)/100</f>
        <v>600833.25</v>
      </c>
      <c r="M7366" s="15" t="n">
        <v>0.5</v>
      </c>
      <c r="N7366" s="9" t="s">
        <v>85</v>
      </c>
    </row>
    <row r="7367" customFormat="false" ht="14.25" hidden="false" customHeight="true" outlineLevel="0" collapsed="false">
      <c r="B7367" s="9" t="s">
        <v>36</v>
      </c>
      <c r="C7367" s="9" t="n">
        <v>1185732</v>
      </c>
      <c r="D7367" s="10" t="n">
        <v>44322</v>
      </c>
      <c r="E7367" s="9" t="s">
        <v>17</v>
      </c>
      <c r="F7367" s="9" t="s">
        <v>125</v>
      </c>
      <c r="G7367" s="9" t="s">
        <v>126</v>
      </c>
      <c r="H7367" s="11" t="s">
        <v>22</v>
      </c>
      <c r="I7367" s="12" t="n">
        <v>38</v>
      </c>
      <c r="J7367" s="13" t="n">
        <v>75</v>
      </c>
      <c r="K7367" s="14" t="n">
        <f aca="false">I7367*J7367</f>
        <v>2850</v>
      </c>
      <c r="L7367" s="14" t="n">
        <f aca="false">($L$2*M7367)/100</f>
        <v>600833.25</v>
      </c>
      <c r="M7367" s="15" t="n">
        <v>0.5</v>
      </c>
      <c r="N7367" s="9" t="s">
        <v>85</v>
      </c>
    </row>
    <row r="7368" customFormat="false" ht="14.25" hidden="false" customHeight="true" outlineLevel="0" collapsed="false">
      <c r="B7368" s="9" t="s">
        <v>36</v>
      </c>
      <c r="C7368" s="9" t="n">
        <v>1185732</v>
      </c>
      <c r="D7368" s="10" t="n">
        <v>44322</v>
      </c>
      <c r="E7368" s="9" t="s">
        <v>17</v>
      </c>
      <c r="F7368" s="9" t="s">
        <v>125</v>
      </c>
      <c r="G7368" s="9" t="s">
        <v>126</v>
      </c>
      <c r="H7368" s="11" t="s">
        <v>23</v>
      </c>
      <c r="I7368" s="12" t="n">
        <v>38</v>
      </c>
      <c r="J7368" s="13" t="n">
        <v>56</v>
      </c>
      <c r="K7368" s="14" t="n">
        <f aca="false">I7368*J7368</f>
        <v>2128</v>
      </c>
      <c r="L7368" s="14" t="n">
        <f aca="false">($L$2*M7368)/100</f>
        <v>600833.25</v>
      </c>
      <c r="M7368" s="15" t="n">
        <v>0.5</v>
      </c>
      <c r="N7368" s="9" t="s">
        <v>85</v>
      </c>
    </row>
    <row r="7369" customFormat="false" ht="14.25" hidden="false" customHeight="true" outlineLevel="0" collapsed="false">
      <c r="B7369" s="9" t="s">
        <v>36</v>
      </c>
      <c r="C7369" s="9" t="n">
        <v>1185732</v>
      </c>
      <c r="D7369" s="10" t="n">
        <v>44322</v>
      </c>
      <c r="E7369" s="9" t="s">
        <v>17</v>
      </c>
      <c r="F7369" s="9" t="s">
        <v>125</v>
      </c>
      <c r="G7369" s="9" t="s">
        <v>126</v>
      </c>
      <c r="H7369" s="11" t="s">
        <v>24</v>
      </c>
      <c r="I7369" s="12" t="n">
        <v>47</v>
      </c>
      <c r="J7369" s="13" t="n">
        <v>68</v>
      </c>
      <c r="K7369" s="14" t="n">
        <f aca="false">I7369*J7369</f>
        <v>3196</v>
      </c>
      <c r="L7369" s="14" t="n">
        <f aca="false">($L$2*M7369)/100</f>
        <v>492683.265</v>
      </c>
      <c r="M7369" s="15" t="n">
        <v>0.41</v>
      </c>
      <c r="N7369" s="9" t="s">
        <v>85</v>
      </c>
    </row>
    <row r="7370" customFormat="false" ht="14.25" hidden="false" customHeight="true" outlineLevel="0" collapsed="false">
      <c r="B7370" s="9" t="s">
        <v>36</v>
      </c>
      <c r="C7370" s="9" t="n">
        <v>1185732</v>
      </c>
      <c r="D7370" s="10" t="n">
        <v>44322</v>
      </c>
      <c r="E7370" s="9" t="s">
        <v>17</v>
      </c>
      <c r="F7370" s="9" t="s">
        <v>125</v>
      </c>
      <c r="G7370" s="9" t="s">
        <v>126</v>
      </c>
      <c r="H7370" s="11" t="s">
        <v>25</v>
      </c>
      <c r="I7370" s="12" t="n">
        <v>51</v>
      </c>
      <c r="J7370" s="13" t="n">
        <v>102</v>
      </c>
      <c r="K7370" s="14" t="n">
        <f aca="false">I7370*J7370</f>
        <v>5202</v>
      </c>
      <c r="L7370" s="14" t="n">
        <f aca="false">($L$2*M7370)/100</f>
        <v>624866.58</v>
      </c>
      <c r="M7370" s="15" t="n">
        <v>0.52</v>
      </c>
      <c r="N7370" s="9" t="s">
        <v>85</v>
      </c>
    </row>
    <row r="7371" customFormat="false" ht="14.25" hidden="false" customHeight="true" outlineLevel="0" collapsed="false">
      <c r="B7371" s="9" t="s">
        <v>36</v>
      </c>
      <c r="C7371" s="9" t="n">
        <v>1185732</v>
      </c>
      <c r="D7371" s="10" t="n">
        <v>44355</v>
      </c>
      <c r="E7371" s="9" t="s">
        <v>17</v>
      </c>
      <c r="F7371" s="9" t="s">
        <v>125</v>
      </c>
      <c r="G7371" s="9" t="s">
        <v>126</v>
      </c>
      <c r="H7371" s="11" t="s">
        <v>19</v>
      </c>
      <c r="I7371" s="12" t="n">
        <v>45</v>
      </c>
      <c r="J7371" s="13" t="n">
        <v>156</v>
      </c>
      <c r="K7371" s="14" t="n">
        <f aca="false">I7371*J7371</f>
        <v>7020</v>
      </c>
      <c r="L7371" s="14" t="n">
        <f aca="false">($L$2*M7371)/100</f>
        <v>552766.59</v>
      </c>
      <c r="M7371" s="15" t="n">
        <v>0.46</v>
      </c>
      <c r="N7371" s="9" t="s">
        <v>85</v>
      </c>
    </row>
    <row r="7372" customFormat="false" ht="14.25" hidden="false" customHeight="true" outlineLevel="0" collapsed="false">
      <c r="B7372" s="9" t="s">
        <v>36</v>
      </c>
      <c r="C7372" s="9" t="n">
        <v>1185732</v>
      </c>
      <c r="D7372" s="10" t="n">
        <v>44355</v>
      </c>
      <c r="E7372" s="9" t="s">
        <v>17</v>
      </c>
      <c r="F7372" s="9" t="s">
        <v>125</v>
      </c>
      <c r="G7372" s="9" t="s">
        <v>126</v>
      </c>
      <c r="H7372" s="11" t="s">
        <v>21</v>
      </c>
      <c r="I7372" s="12" t="n">
        <v>44</v>
      </c>
      <c r="J7372" s="13" t="n">
        <v>105</v>
      </c>
      <c r="K7372" s="14" t="n">
        <f aca="false">I7372*J7372</f>
        <v>4620</v>
      </c>
      <c r="L7372" s="14" t="n">
        <f aca="false">($L$2*M7372)/100</f>
        <v>552766.59</v>
      </c>
      <c r="M7372" s="15" t="n">
        <v>0.46</v>
      </c>
      <c r="N7372" s="9" t="s">
        <v>85</v>
      </c>
    </row>
    <row r="7373" customFormat="false" ht="14.25" hidden="false" customHeight="true" outlineLevel="0" collapsed="false">
      <c r="B7373" s="9" t="s">
        <v>36</v>
      </c>
      <c r="C7373" s="9" t="n">
        <v>1185732</v>
      </c>
      <c r="D7373" s="10" t="n">
        <v>44355</v>
      </c>
      <c r="E7373" s="9" t="s">
        <v>17</v>
      </c>
      <c r="F7373" s="9" t="s">
        <v>125</v>
      </c>
      <c r="G7373" s="9" t="s">
        <v>126</v>
      </c>
      <c r="H7373" s="11" t="s">
        <v>22</v>
      </c>
      <c r="I7373" s="12" t="n">
        <v>38</v>
      </c>
      <c r="J7373" s="13" t="n">
        <v>69</v>
      </c>
      <c r="K7373" s="14" t="n">
        <f aca="false">I7373*J7373</f>
        <v>2622</v>
      </c>
      <c r="L7373" s="14" t="n">
        <f aca="false">($L$2*M7373)/100</f>
        <v>636883.245</v>
      </c>
      <c r="M7373" s="15" t="n">
        <v>0.53</v>
      </c>
      <c r="N7373" s="9" t="s">
        <v>85</v>
      </c>
    </row>
    <row r="7374" customFormat="false" ht="14.25" hidden="false" customHeight="true" outlineLevel="0" collapsed="false">
      <c r="B7374" s="9" t="s">
        <v>36</v>
      </c>
      <c r="C7374" s="9" t="n">
        <v>1185732</v>
      </c>
      <c r="D7374" s="10" t="n">
        <v>44355</v>
      </c>
      <c r="E7374" s="9" t="s">
        <v>17</v>
      </c>
      <c r="F7374" s="9" t="s">
        <v>125</v>
      </c>
      <c r="G7374" s="9" t="s">
        <v>126</v>
      </c>
      <c r="H7374" s="11" t="s">
        <v>23</v>
      </c>
      <c r="I7374" s="12" t="n">
        <v>39</v>
      </c>
      <c r="J7374" s="13" t="n">
        <v>65</v>
      </c>
      <c r="K7374" s="14" t="n">
        <f aca="false">I7374*J7374</f>
        <v>2535</v>
      </c>
      <c r="L7374" s="14" t="n">
        <f aca="false">($L$2*M7374)/100</f>
        <v>648899.91</v>
      </c>
      <c r="M7374" s="15" t="n">
        <v>0.54</v>
      </c>
      <c r="N7374" s="9" t="s">
        <v>85</v>
      </c>
    </row>
    <row r="7375" customFormat="false" ht="14.25" hidden="false" customHeight="true" outlineLevel="0" collapsed="false">
      <c r="B7375" s="9" t="s">
        <v>36</v>
      </c>
      <c r="C7375" s="9" t="n">
        <v>1185732</v>
      </c>
      <c r="D7375" s="10" t="n">
        <v>44355</v>
      </c>
      <c r="E7375" s="9" t="s">
        <v>17</v>
      </c>
      <c r="F7375" s="9" t="s">
        <v>125</v>
      </c>
      <c r="G7375" s="9" t="s">
        <v>126</v>
      </c>
      <c r="H7375" s="11" t="s">
        <v>24</v>
      </c>
      <c r="I7375" s="12" t="n">
        <v>46</v>
      </c>
      <c r="J7375" s="13" t="n">
        <v>65</v>
      </c>
      <c r="K7375" s="14" t="n">
        <f aca="false">I7375*J7375</f>
        <v>2990</v>
      </c>
      <c r="L7375" s="14" t="n">
        <f aca="false">($L$2*M7375)/100</f>
        <v>540749.925</v>
      </c>
      <c r="M7375" s="15" t="n">
        <v>0.45</v>
      </c>
      <c r="N7375" s="9" t="s">
        <v>85</v>
      </c>
    </row>
    <row r="7376" customFormat="false" ht="14.25" hidden="false" customHeight="true" outlineLevel="0" collapsed="false">
      <c r="B7376" s="9" t="s">
        <v>36</v>
      </c>
      <c r="C7376" s="9" t="n">
        <v>1185732</v>
      </c>
      <c r="D7376" s="10" t="n">
        <v>44355</v>
      </c>
      <c r="E7376" s="9" t="s">
        <v>17</v>
      </c>
      <c r="F7376" s="9" t="s">
        <v>125</v>
      </c>
      <c r="G7376" s="9" t="s">
        <v>126</v>
      </c>
      <c r="H7376" s="11" t="s">
        <v>25</v>
      </c>
      <c r="I7376" s="12" t="n">
        <v>50</v>
      </c>
      <c r="J7376" s="13" t="n">
        <v>120</v>
      </c>
      <c r="K7376" s="14" t="n">
        <f aca="false">I7376*J7376</f>
        <v>6000</v>
      </c>
      <c r="L7376" s="14" t="n">
        <f aca="false">($L$2*M7376)/100</f>
        <v>600833.25</v>
      </c>
      <c r="M7376" s="15" t="n">
        <v>0.5</v>
      </c>
      <c r="N7376" s="9" t="s">
        <v>85</v>
      </c>
    </row>
    <row r="7377" customFormat="false" ht="14.25" hidden="false" customHeight="true" outlineLevel="0" collapsed="false">
      <c r="B7377" s="9" t="s">
        <v>36</v>
      </c>
      <c r="C7377" s="9" t="n">
        <v>1185732</v>
      </c>
      <c r="D7377" s="10" t="n">
        <v>44383</v>
      </c>
      <c r="E7377" s="9" t="s">
        <v>17</v>
      </c>
      <c r="F7377" s="9" t="s">
        <v>125</v>
      </c>
      <c r="G7377" s="9" t="s">
        <v>126</v>
      </c>
      <c r="H7377" s="11" t="s">
        <v>19</v>
      </c>
      <c r="I7377" s="12" t="n">
        <v>47</v>
      </c>
      <c r="J7377" s="13" t="n">
        <v>188</v>
      </c>
      <c r="K7377" s="14" t="n">
        <f aca="false">I7377*J7377</f>
        <v>8836</v>
      </c>
      <c r="L7377" s="14" t="n">
        <f aca="false">($L$2*M7377)/100</f>
        <v>564783.255</v>
      </c>
      <c r="M7377" s="15" t="n">
        <v>0.47</v>
      </c>
      <c r="N7377" s="9" t="s">
        <v>85</v>
      </c>
    </row>
    <row r="7378" customFormat="false" ht="14.25" hidden="false" customHeight="true" outlineLevel="0" collapsed="false">
      <c r="B7378" s="9" t="s">
        <v>36</v>
      </c>
      <c r="C7378" s="9" t="n">
        <v>1185732</v>
      </c>
      <c r="D7378" s="10" t="n">
        <v>44383</v>
      </c>
      <c r="E7378" s="9" t="s">
        <v>17</v>
      </c>
      <c r="F7378" s="9" t="s">
        <v>125</v>
      </c>
      <c r="G7378" s="9" t="s">
        <v>126</v>
      </c>
      <c r="H7378" s="11" t="s">
        <v>21</v>
      </c>
      <c r="I7378" s="12" t="n">
        <v>42</v>
      </c>
      <c r="J7378" s="13" t="n">
        <v>98</v>
      </c>
      <c r="K7378" s="14" t="n">
        <f aca="false">I7378*J7378</f>
        <v>4116</v>
      </c>
      <c r="L7378" s="14" t="n">
        <f aca="false">($L$2*M7378)/100</f>
        <v>600833.25</v>
      </c>
      <c r="M7378" s="15" t="n">
        <v>0.5</v>
      </c>
      <c r="N7378" s="9" t="s">
        <v>85</v>
      </c>
    </row>
    <row r="7379" customFormat="false" ht="14.25" hidden="false" customHeight="true" outlineLevel="0" collapsed="false">
      <c r="B7379" s="9" t="s">
        <v>36</v>
      </c>
      <c r="C7379" s="9" t="n">
        <v>1185732</v>
      </c>
      <c r="D7379" s="10" t="n">
        <v>44383</v>
      </c>
      <c r="E7379" s="9" t="s">
        <v>17</v>
      </c>
      <c r="F7379" s="9" t="s">
        <v>125</v>
      </c>
      <c r="G7379" s="9" t="s">
        <v>126</v>
      </c>
      <c r="H7379" s="11" t="s">
        <v>22</v>
      </c>
      <c r="I7379" s="12" t="n">
        <v>37</v>
      </c>
      <c r="J7379" s="13" t="n">
        <v>81</v>
      </c>
      <c r="K7379" s="14" t="n">
        <f aca="false">I7379*J7379</f>
        <v>2997</v>
      </c>
      <c r="L7379" s="14" t="n">
        <f aca="false">($L$2*M7379)/100</f>
        <v>624866.58</v>
      </c>
      <c r="M7379" s="15" t="n">
        <v>0.52</v>
      </c>
      <c r="N7379" s="9" t="s">
        <v>85</v>
      </c>
    </row>
    <row r="7380" customFormat="false" ht="14.25" hidden="false" customHeight="true" outlineLevel="0" collapsed="false">
      <c r="B7380" s="9" t="s">
        <v>36</v>
      </c>
      <c r="C7380" s="9" t="n">
        <v>1185732</v>
      </c>
      <c r="D7380" s="10" t="n">
        <v>44383</v>
      </c>
      <c r="E7380" s="9" t="s">
        <v>17</v>
      </c>
      <c r="F7380" s="9" t="s">
        <v>125</v>
      </c>
      <c r="G7380" s="9" t="s">
        <v>126</v>
      </c>
      <c r="H7380" s="11" t="s">
        <v>23</v>
      </c>
      <c r="I7380" s="12" t="n">
        <v>36</v>
      </c>
      <c r="J7380" s="13" t="n">
        <v>63</v>
      </c>
      <c r="K7380" s="14" t="n">
        <f aca="false">I7380*J7380</f>
        <v>2268</v>
      </c>
      <c r="L7380" s="14" t="n">
        <f aca="false">($L$2*M7380)/100</f>
        <v>648899.91</v>
      </c>
      <c r="M7380" s="15" t="n">
        <v>0.54</v>
      </c>
      <c r="N7380" s="9" t="s">
        <v>85</v>
      </c>
    </row>
    <row r="7381" customFormat="false" ht="14.25" hidden="false" customHeight="true" outlineLevel="0" collapsed="false">
      <c r="B7381" s="9" t="s">
        <v>36</v>
      </c>
      <c r="C7381" s="9" t="n">
        <v>1185732</v>
      </c>
      <c r="D7381" s="10" t="n">
        <v>44383</v>
      </c>
      <c r="E7381" s="9" t="s">
        <v>17</v>
      </c>
      <c r="F7381" s="9" t="s">
        <v>125</v>
      </c>
      <c r="G7381" s="9" t="s">
        <v>126</v>
      </c>
      <c r="H7381" s="11" t="s">
        <v>24</v>
      </c>
      <c r="I7381" s="12" t="n">
        <v>48</v>
      </c>
      <c r="J7381" s="13" t="n">
        <v>74</v>
      </c>
      <c r="K7381" s="14" t="n">
        <f aca="false">I7381*J7381</f>
        <v>3552</v>
      </c>
      <c r="L7381" s="14" t="n">
        <f aca="false">($L$2*M7381)/100</f>
        <v>516716.595</v>
      </c>
      <c r="M7381" s="15" t="n">
        <v>0.43</v>
      </c>
      <c r="N7381" s="9" t="s">
        <v>85</v>
      </c>
    </row>
    <row r="7382" customFormat="false" ht="14.25" hidden="false" customHeight="true" outlineLevel="0" collapsed="false">
      <c r="B7382" s="9" t="s">
        <v>36</v>
      </c>
      <c r="C7382" s="9" t="n">
        <v>1185732</v>
      </c>
      <c r="D7382" s="10" t="n">
        <v>44383</v>
      </c>
      <c r="E7382" s="9" t="s">
        <v>17</v>
      </c>
      <c r="F7382" s="9" t="s">
        <v>125</v>
      </c>
      <c r="G7382" s="9" t="s">
        <v>126</v>
      </c>
      <c r="H7382" s="11" t="s">
        <v>25</v>
      </c>
      <c r="I7382" s="12" t="n">
        <v>54</v>
      </c>
      <c r="J7382" s="13" t="n">
        <v>131</v>
      </c>
      <c r="K7382" s="14" t="n">
        <f aca="false">I7382*J7382</f>
        <v>7074</v>
      </c>
      <c r="L7382" s="14" t="n">
        <f aca="false">($L$2*M7382)/100</f>
        <v>636883.245</v>
      </c>
      <c r="M7382" s="15" t="n">
        <v>0.53</v>
      </c>
      <c r="N7382" s="9" t="s">
        <v>85</v>
      </c>
    </row>
    <row r="7383" customFormat="false" ht="14.25" hidden="false" customHeight="true" outlineLevel="0" collapsed="false">
      <c r="B7383" s="9" t="s">
        <v>36</v>
      </c>
      <c r="C7383" s="9" t="n">
        <v>1185732</v>
      </c>
      <c r="D7383" s="10" t="n">
        <v>44415</v>
      </c>
      <c r="E7383" s="9" t="s">
        <v>17</v>
      </c>
      <c r="F7383" s="9" t="s">
        <v>125</v>
      </c>
      <c r="G7383" s="9" t="s">
        <v>126</v>
      </c>
      <c r="H7383" s="11" t="s">
        <v>19</v>
      </c>
      <c r="I7383" s="12" t="n">
        <v>47</v>
      </c>
      <c r="J7383" s="13" t="n">
        <v>180</v>
      </c>
      <c r="K7383" s="14" t="n">
        <f aca="false">I7383*J7383</f>
        <v>8460</v>
      </c>
      <c r="L7383" s="14" t="n">
        <f aca="false">($L$2*M7383)/100</f>
        <v>576799.92</v>
      </c>
      <c r="M7383" s="15" t="n">
        <v>0.48</v>
      </c>
      <c r="N7383" s="9" t="s">
        <v>85</v>
      </c>
    </row>
    <row r="7384" customFormat="false" ht="14.25" hidden="false" customHeight="true" outlineLevel="0" collapsed="false">
      <c r="B7384" s="9" t="s">
        <v>36</v>
      </c>
      <c r="C7384" s="9" t="n">
        <v>1185732</v>
      </c>
      <c r="D7384" s="10" t="n">
        <v>44415</v>
      </c>
      <c r="E7384" s="9" t="s">
        <v>17</v>
      </c>
      <c r="F7384" s="9" t="s">
        <v>125</v>
      </c>
      <c r="G7384" s="9" t="s">
        <v>126</v>
      </c>
      <c r="H7384" s="11" t="s">
        <v>21</v>
      </c>
      <c r="I7384" s="12" t="n">
        <v>42</v>
      </c>
      <c r="J7384" s="13" t="n">
        <v>101</v>
      </c>
      <c r="K7384" s="14" t="n">
        <f aca="false">I7384*J7384</f>
        <v>4242</v>
      </c>
      <c r="L7384" s="14" t="n">
        <f aca="false">($L$2*M7384)/100</f>
        <v>564783.255</v>
      </c>
      <c r="M7384" s="15" t="n">
        <v>0.47</v>
      </c>
      <c r="N7384" s="9" t="s">
        <v>85</v>
      </c>
    </row>
    <row r="7385" customFormat="false" ht="14.25" hidden="false" customHeight="true" outlineLevel="0" collapsed="false">
      <c r="B7385" s="9" t="s">
        <v>36</v>
      </c>
      <c r="C7385" s="9" t="n">
        <v>1185732</v>
      </c>
      <c r="D7385" s="10" t="n">
        <v>44415</v>
      </c>
      <c r="E7385" s="9" t="s">
        <v>17</v>
      </c>
      <c r="F7385" s="9" t="s">
        <v>125</v>
      </c>
      <c r="G7385" s="9" t="s">
        <v>126</v>
      </c>
      <c r="H7385" s="11" t="s">
        <v>22</v>
      </c>
      <c r="I7385" s="12" t="n">
        <v>37</v>
      </c>
      <c r="J7385" s="13" t="n">
        <v>75</v>
      </c>
      <c r="K7385" s="14" t="n">
        <f aca="false">I7385*J7385</f>
        <v>2775</v>
      </c>
      <c r="L7385" s="14" t="n">
        <f aca="false">($L$2*M7385)/100</f>
        <v>648899.91</v>
      </c>
      <c r="M7385" s="15" t="n">
        <v>0.54</v>
      </c>
      <c r="N7385" s="9" t="s">
        <v>85</v>
      </c>
    </row>
    <row r="7386" customFormat="false" ht="14.25" hidden="false" customHeight="true" outlineLevel="0" collapsed="false">
      <c r="B7386" s="9" t="s">
        <v>36</v>
      </c>
      <c r="C7386" s="9" t="n">
        <v>1185732</v>
      </c>
      <c r="D7386" s="10" t="n">
        <v>44415</v>
      </c>
      <c r="E7386" s="9" t="s">
        <v>17</v>
      </c>
      <c r="F7386" s="9" t="s">
        <v>125</v>
      </c>
      <c r="G7386" s="9" t="s">
        <v>126</v>
      </c>
      <c r="H7386" s="11" t="s">
        <v>23</v>
      </c>
      <c r="I7386" s="12" t="n">
        <v>36</v>
      </c>
      <c r="J7386" s="13" t="n">
        <v>52</v>
      </c>
      <c r="K7386" s="14" t="n">
        <f aca="false">I7386*J7386</f>
        <v>1872</v>
      </c>
      <c r="L7386" s="14" t="n">
        <f aca="false">($L$2*M7386)/100</f>
        <v>612849.915</v>
      </c>
      <c r="M7386" s="15" t="n">
        <v>0.51</v>
      </c>
      <c r="N7386" s="9" t="s">
        <v>85</v>
      </c>
    </row>
    <row r="7387" customFormat="false" ht="14.25" hidden="false" customHeight="true" outlineLevel="0" collapsed="false">
      <c r="B7387" s="9" t="s">
        <v>36</v>
      </c>
      <c r="C7387" s="9" t="n">
        <v>1185732</v>
      </c>
      <c r="D7387" s="10" t="n">
        <v>44415</v>
      </c>
      <c r="E7387" s="9" t="s">
        <v>17</v>
      </c>
      <c r="F7387" s="9" t="s">
        <v>125</v>
      </c>
      <c r="G7387" s="9" t="s">
        <v>126</v>
      </c>
      <c r="H7387" s="11" t="s">
        <v>24</v>
      </c>
      <c r="I7387" s="12" t="n">
        <v>46</v>
      </c>
      <c r="J7387" s="13" t="n">
        <v>46</v>
      </c>
      <c r="K7387" s="14" t="n">
        <f aca="false">I7387*J7387</f>
        <v>2116</v>
      </c>
      <c r="L7387" s="14" t="n">
        <f aca="false">($L$2*M7387)/100</f>
        <v>516716.595</v>
      </c>
      <c r="M7387" s="15" t="n">
        <v>0.43</v>
      </c>
      <c r="N7387" s="9" t="s">
        <v>85</v>
      </c>
    </row>
    <row r="7388" customFormat="false" ht="14.25" hidden="false" customHeight="true" outlineLevel="0" collapsed="false">
      <c r="B7388" s="9" t="s">
        <v>36</v>
      </c>
      <c r="C7388" s="9" t="n">
        <v>1185732</v>
      </c>
      <c r="D7388" s="10" t="n">
        <v>44415</v>
      </c>
      <c r="E7388" s="9" t="s">
        <v>17</v>
      </c>
      <c r="F7388" s="9" t="s">
        <v>125</v>
      </c>
      <c r="G7388" s="9" t="s">
        <v>126</v>
      </c>
      <c r="H7388" s="11" t="s">
        <v>25</v>
      </c>
      <c r="I7388" s="12" t="n">
        <v>52</v>
      </c>
      <c r="J7388" s="13" t="n">
        <v>105</v>
      </c>
      <c r="K7388" s="14" t="n">
        <f aca="false">I7388*J7388</f>
        <v>5460</v>
      </c>
      <c r="L7388" s="14" t="n">
        <f aca="false">($L$2*M7388)/100</f>
        <v>636883.245</v>
      </c>
      <c r="M7388" s="15" t="n">
        <v>0.53</v>
      </c>
      <c r="N7388" s="9" t="s">
        <v>85</v>
      </c>
    </row>
    <row r="7389" customFormat="false" ht="14.25" hidden="false" customHeight="true" outlineLevel="0" collapsed="false">
      <c r="B7389" s="9" t="s">
        <v>36</v>
      </c>
      <c r="C7389" s="9" t="n">
        <v>1185732</v>
      </c>
      <c r="D7389" s="10" t="n">
        <v>44445</v>
      </c>
      <c r="E7389" s="9" t="s">
        <v>17</v>
      </c>
      <c r="F7389" s="9" t="s">
        <v>125</v>
      </c>
      <c r="G7389" s="9" t="s">
        <v>126</v>
      </c>
      <c r="H7389" s="11" t="s">
        <v>19</v>
      </c>
      <c r="I7389" s="12" t="n">
        <v>46</v>
      </c>
      <c r="J7389" s="13" t="n">
        <v>124</v>
      </c>
      <c r="K7389" s="14" t="n">
        <f aca="false">I7389*J7389</f>
        <v>5704</v>
      </c>
      <c r="L7389" s="14" t="n">
        <f aca="false">($L$2*M7389)/100</f>
        <v>588816.585</v>
      </c>
      <c r="M7389" s="15" t="n">
        <v>0.49</v>
      </c>
      <c r="N7389" s="9" t="s">
        <v>85</v>
      </c>
    </row>
    <row r="7390" customFormat="false" ht="14.25" hidden="false" customHeight="true" outlineLevel="0" collapsed="false">
      <c r="B7390" s="9" t="s">
        <v>36</v>
      </c>
      <c r="C7390" s="9" t="n">
        <v>1185732</v>
      </c>
      <c r="D7390" s="10" t="n">
        <v>44445</v>
      </c>
      <c r="E7390" s="9" t="s">
        <v>17</v>
      </c>
      <c r="F7390" s="9" t="s">
        <v>125</v>
      </c>
      <c r="G7390" s="9" t="s">
        <v>126</v>
      </c>
      <c r="H7390" s="11" t="s">
        <v>21</v>
      </c>
      <c r="I7390" s="12" t="n">
        <v>41</v>
      </c>
      <c r="J7390" s="13" t="n">
        <v>72</v>
      </c>
      <c r="K7390" s="14" t="n">
        <f aca="false">I7390*J7390</f>
        <v>2952</v>
      </c>
      <c r="L7390" s="14" t="n">
        <f aca="false">($L$2*M7390)/100</f>
        <v>600833.25</v>
      </c>
      <c r="M7390" s="15" t="n">
        <v>0.5</v>
      </c>
      <c r="N7390" s="9" t="s">
        <v>85</v>
      </c>
    </row>
    <row r="7391" customFormat="false" ht="14.25" hidden="false" customHeight="true" outlineLevel="0" collapsed="false">
      <c r="B7391" s="9" t="s">
        <v>36</v>
      </c>
      <c r="C7391" s="9" t="n">
        <v>1185732</v>
      </c>
      <c r="D7391" s="10" t="n">
        <v>44445</v>
      </c>
      <c r="E7391" s="9" t="s">
        <v>17</v>
      </c>
      <c r="F7391" s="9" t="s">
        <v>125</v>
      </c>
      <c r="G7391" s="9" t="s">
        <v>126</v>
      </c>
      <c r="H7391" s="11" t="s">
        <v>22</v>
      </c>
      <c r="I7391" s="12" t="n">
        <v>39</v>
      </c>
      <c r="J7391" s="13" t="n">
        <v>51</v>
      </c>
      <c r="K7391" s="14" t="n">
        <f aca="false">I7391*J7391</f>
        <v>1989</v>
      </c>
      <c r="L7391" s="14" t="n">
        <f aca="false">($L$2*M7391)/100</f>
        <v>636883.245</v>
      </c>
      <c r="M7391" s="15" t="n">
        <v>0.53</v>
      </c>
      <c r="N7391" s="9" t="s">
        <v>85</v>
      </c>
    </row>
    <row r="7392" customFormat="false" ht="14.25" hidden="false" customHeight="true" outlineLevel="0" collapsed="false">
      <c r="B7392" s="9" t="s">
        <v>36</v>
      </c>
      <c r="C7392" s="9" t="n">
        <v>1185732</v>
      </c>
      <c r="D7392" s="10" t="n">
        <v>44445</v>
      </c>
      <c r="E7392" s="9" t="s">
        <v>17</v>
      </c>
      <c r="F7392" s="9" t="s">
        <v>125</v>
      </c>
      <c r="G7392" s="9" t="s">
        <v>126</v>
      </c>
      <c r="H7392" s="11" t="s">
        <v>23</v>
      </c>
      <c r="I7392" s="12" t="n">
        <v>37</v>
      </c>
      <c r="J7392" s="13" t="n">
        <v>38</v>
      </c>
      <c r="K7392" s="14" t="n">
        <f aca="false">I7392*J7392</f>
        <v>1406</v>
      </c>
      <c r="L7392" s="14" t="n">
        <f aca="false">($L$2*M7392)/100</f>
        <v>636883.245</v>
      </c>
      <c r="M7392" s="15" t="n">
        <v>0.53</v>
      </c>
      <c r="N7392" s="9" t="s">
        <v>85</v>
      </c>
    </row>
    <row r="7393" customFormat="false" ht="14.25" hidden="false" customHeight="true" outlineLevel="0" collapsed="false">
      <c r="B7393" s="9" t="s">
        <v>36</v>
      </c>
      <c r="C7393" s="9" t="n">
        <v>1185732</v>
      </c>
      <c r="D7393" s="10" t="n">
        <v>44445</v>
      </c>
      <c r="E7393" s="9" t="s">
        <v>17</v>
      </c>
      <c r="F7393" s="9" t="s">
        <v>125</v>
      </c>
      <c r="G7393" s="9" t="s">
        <v>126</v>
      </c>
      <c r="H7393" s="11" t="s">
        <v>24</v>
      </c>
      <c r="I7393" s="12" t="n">
        <v>47</v>
      </c>
      <c r="J7393" s="13" t="n">
        <v>41</v>
      </c>
      <c r="K7393" s="14" t="n">
        <f aca="false">I7393*J7393</f>
        <v>1927</v>
      </c>
      <c r="L7393" s="14" t="n">
        <f aca="false">($L$2*M7393)/100</f>
        <v>492683.265</v>
      </c>
      <c r="M7393" s="15" t="n">
        <v>0.41</v>
      </c>
      <c r="N7393" s="9" t="s">
        <v>85</v>
      </c>
    </row>
    <row r="7394" customFormat="false" ht="14.25" hidden="false" customHeight="true" outlineLevel="0" collapsed="false">
      <c r="B7394" s="9" t="s">
        <v>36</v>
      </c>
      <c r="C7394" s="9" t="n">
        <v>1185732</v>
      </c>
      <c r="D7394" s="10" t="n">
        <v>44445</v>
      </c>
      <c r="E7394" s="9" t="s">
        <v>17</v>
      </c>
      <c r="F7394" s="9" t="s">
        <v>125</v>
      </c>
      <c r="G7394" s="9" t="s">
        <v>126</v>
      </c>
      <c r="H7394" s="11" t="s">
        <v>25</v>
      </c>
      <c r="I7394" s="12" t="n">
        <v>50</v>
      </c>
      <c r="J7394" s="13" t="n">
        <v>73</v>
      </c>
      <c r="K7394" s="14" t="n">
        <f aca="false">I7394*J7394</f>
        <v>3650</v>
      </c>
      <c r="L7394" s="14" t="n">
        <f aca="false">($L$2*M7394)/100</f>
        <v>636883.245</v>
      </c>
      <c r="M7394" s="15" t="n">
        <v>0.53</v>
      </c>
      <c r="N7394" s="9" t="s">
        <v>85</v>
      </c>
    </row>
    <row r="7395" customFormat="false" ht="14.25" hidden="false" customHeight="true" outlineLevel="0" collapsed="false">
      <c r="B7395" s="9" t="s">
        <v>36</v>
      </c>
      <c r="C7395" s="9" t="n">
        <v>1185732</v>
      </c>
      <c r="D7395" s="10" t="n">
        <v>44477</v>
      </c>
      <c r="E7395" s="9" t="s">
        <v>17</v>
      </c>
      <c r="F7395" s="9" t="s">
        <v>125</v>
      </c>
      <c r="G7395" s="9" t="s">
        <v>126</v>
      </c>
      <c r="H7395" s="11" t="s">
        <v>19</v>
      </c>
      <c r="I7395" s="12" t="n">
        <v>53</v>
      </c>
      <c r="J7395" s="13" t="n">
        <v>119</v>
      </c>
      <c r="K7395" s="14" t="n">
        <f aca="false">I7395*J7395</f>
        <v>6307</v>
      </c>
      <c r="L7395" s="14" t="n">
        <f aca="false">($L$2*M7395)/100</f>
        <v>552766.59</v>
      </c>
      <c r="M7395" s="15" t="n">
        <v>0.46</v>
      </c>
      <c r="N7395" s="9" t="s">
        <v>85</v>
      </c>
    </row>
    <row r="7396" customFormat="false" ht="14.25" hidden="false" customHeight="true" outlineLevel="0" collapsed="false">
      <c r="B7396" s="9" t="s">
        <v>36</v>
      </c>
      <c r="C7396" s="9" t="n">
        <v>1185732</v>
      </c>
      <c r="D7396" s="10" t="n">
        <v>44477</v>
      </c>
      <c r="E7396" s="9" t="s">
        <v>17</v>
      </c>
      <c r="F7396" s="9" t="s">
        <v>125</v>
      </c>
      <c r="G7396" s="9" t="s">
        <v>126</v>
      </c>
      <c r="H7396" s="11" t="s">
        <v>21</v>
      </c>
      <c r="I7396" s="12" t="n">
        <v>48</v>
      </c>
      <c r="J7396" s="13" t="n">
        <v>63</v>
      </c>
      <c r="K7396" s="14" t="n">
        <f aca="false">I7396*J7396</f>
        <v>3024</v>
      </c>
      <c r="L7396" s="14" t="n">
        <f aca="false">($L$2*M7396)/100</f>
        <v>600833.25</v>
      </c>
      <c r="M7396" s="15" t="n">
        <v>0.5</v>
      </c>
      <c r="N7396" s="9" t="s">
        <v>85</v>
      </c>
    </row>
    <row r="7397" customFormat="false" ht="14.25" hidden="false" customHeight="true" outlineLevel="0" collapsed="false">
      <c r="B7397" s="9" t="s">
        <v>36</v>
      </c>
      <c r="C7397" s="9" t="n">
        <v>1185732</v>
      </c>
      <c r="D7397" s="10" t="n">
        <v>44477</v>
      </c>
      <c r="E7397" s="9" t="s">
        <v>17</v>
      </c>
      <c r="F7397" s="9" t="s">
        <v>125</v>
      </c>
      <c r="G7397" s="9" t="s">
        <v>126</v>
      </c>
      <c r="H7397" s="11" t="s">
        <v>22</v>
      </c>
      <c r="I7397" s="12" t="n">
        <v>46</v>
      </c>
      <c r="J7397" s="13" t="n">
        <v>42</v>
      </c>
      <c r="K7397" s="14" t="n">
        <f aca="false">I7397*J7397</f>
        <v>1932</v>
      </c>
      <c r="L7397" s="14" t="n">
        <f aca="false">($L$2*M7397)/100</f>
        <v>600833.25</v>
      </c>
      <c r="M7397" s="15" t="n">
        <v>0.5</v>
      </c>
      <c r="N7397" s="9" t="s">
        <v>85</v>
      </c>
    </row>
    <row r="7398" customFormat="false" ht="14.25" hidden="false" customHeight="true" outlineLevel="0" collapsed="false">
      <c r="B7398" s="9" t="s">
        <v>36</v>
      </c>
      <c r="C7398" s="9" t="n">
        <v>1185732</v>
      </c>
      <c r="D7398" s="10" t="n">
        <v>44477</v>
      </c>
      <c r="E7398" s="9" t="s">
        <v>17</v>
      </c>
      <c r="F7398" s="9" t="s">
        <v>125</v>
      </c>
      <c r="G7398" s="9" t="s">
        <v>126</v>
      </c>
      <c r="H7398" s="11" t="s">
        <v>23</v>
      </c>
      <c r="I7398" s="12" t="n">
        <v>48</v>
      </c>
      <c r="J7398" s="13" t="n">
        <v>31</v>
      </c>
      <c r="K7398" s="14" t="n">
        <f aca="false">I7398*J7398</f>
        <v>1488</v>
      </c>
      <c r="L7398" s="14" t="n">
        <f aca="false">($L$2*M7398)/100</f>
        <v>624866.58</v>
      </c>
      <c r="M7398" s="15" t="n">
        <v>0.52</v>
      </c>
      <c r="N7398" s="9" t="s">
        <v>85</v>
      </c>
    </row>
    <row r="7399" customFormat="false" ht="14.25" hidden="false" customHeight="true" outlineLevel="0" collapsed="false">
      <c r="B7399" s="9" t="s">
        <v>36</v>
      </c>
      <c r="C7399" s="9" t="n">
        <v>1185732</v>
      </c>
      <c r="D7399" s="10" t="n">
        <v>44477</v>
      </c>
      <c r="E7399" s="9" t="s">
        <v>17</v>
      </c>
      <c r="F7399" s="9" t="s">
        <v>125</v>
      </c>
      <c r="G7399" s="9" t="s">
        <v>126</v>
      </c>
      <c r="H7399" s="11" t="s">
        <v>24</v>
      </c>
      <c r="I7399" s="12" t="n">
        <v>58</v>
      </c>
      <c r="J7399" s="13" t="n">
        <v>38</v>
      </c>
      <c r="K7399" s="14" t="n">
        <f aca="false">I7399*J7399</f>
        <v>2204</v>
      </c>
      <c r="L7399" s="14" t="n">
        <f aca="false">($L$2*M7399)/100</f>
        <v>492683.265</v>
      </c>
      <c r="M7399" s="15" t="n">
        <v>0.41</v>
      </c>
      <c r="N7399" s="9" t="s">
        <v>85</v>
      </c>
    </row>
    <row r="7400" customFormat="false" ht="14.25" hidden="false" customHeight="true" outlineLevel="0" collapsed="false">
      <c r="B7400" s="9" t="s">
        <v>28</v>
      </c>
      <c r="C7400" s="9" t="n">
        <v>1185732</v>
      </c>
      <c r="D7400" s="10" t="n">
        <v>44477</v>
      </c>
      <c r="E7400" s="9" t="s">
        <v>17</v>
      </c>
      <c r="F7400" s="9" t="s">
        <v>125</v>
      </c>
      <c r="G7400" s="9" t="s">
        <v>126</v>
      </c>
      <c r="H7400" s="11" t="s">
        <v>25</v>
      </c>
      <c r="I7400" s="12" t="n">
        <v>62</v>
      </c>
      <c r="J7400" s="13" t="n">
        <v>68</v>
      </c>
      <c r="K7400" s="14" t="n">
        <f aca="false">I7400*J7400</f>
        <v>4216</v>
      </c>
      <c r="L7400" s="14" t="n">
        <f aca="false">($L$2*M7400)/100</f>
        <v>636883.245</v>
      </c>
      <c r="M7400" s="15" t="n">
        <v>0.53</v>
      </c>
      <c r="N7400" s="9" t="s">
        <v>85</v>
      </c>
    </row>
    <row r="7401" customFormat="false" ht="14.25" hidden="false" customHeight="true" outlineLevel="0" collapsed="false">
      <c r="B7401" s="9" t="s">
        <v>28</v>
      </c>
      <c r="C7401" s="9" t="n">
        <v>1185732</v>
      </c>
      <c r="D7401" s="10" t="n">
        <v>44507</v>
      </c>
      <c r="E7401" s="9" t="s">
        <v>17</v>
      </c>
      <c r="F7401" s="9" t="s">
        <v>125</v>
      </c>
      <c r="G7401" s="9" t="s">
        <v>126</v>
      </c>
      <c r="H7401" s="11" t="s">
        <v>19</v>
      </c>
      <c r="I7401" s="12" t="n">
        <v>59</v>
      </c>
      <c r="J7401" s="13" t="n">
        <v>108</v>
      </c>
      <c r="K7401" s="14" t="n">
        <f aca="false">I7401*J7401</f>
        <v>6372</v>
      </c>
      <c r="L7401" s="14" t="n">
        <f aca="false">($L$2*M7401)/100</f>
        <v>576799.92</v>
      </c>
      <c r="M7401" s="15" t="n">
        <v>0.48</v>
      </c>
      <c r="N7401" s="9" t="s">
        <v>85</v>
      </c>
    </row>
    <row r="7402" customFormat="false" ht="14.25" hidden="false" customHeight="true" outlineLevel="0" collapsed="false">
      <c r="B7402" s="9" t="s">
        <v>28</v>
      </c>
      <c r="C7402" s="9" t="n">
        <v>1185732</v>
      </c>
      <c r="D7402" s="10" t="n">
        <v>44507</v>
      </c>
      <c r="E7402" s="9" t="s">
        <v>17</v>
      </c>
      <c r="F7402" s="9" t="s">
        <v>125</v>
      </c>
      <c r="G7402" s="9" t="s">
        <v>126</v>
      </c>
      <c r="H7402" s="11" t="s">
        <v>21</v>
      </c>
      <c r="I7402" s="12" t="n">
        <v>46</v>
      </c>
      <c r="J7402" s="13" t="n">
        <v>80</v>
      </c>
      <c r="K7402" s="14" t="n">
        <f aca="false">I7402*J7402</f>
        <v>3680</v>
      </c>
      <c r="L7402" s="14" t="n">
        <f aca="false">($L$2*M7402)/100</f>
        <v>588816.585</v>
      </c>
      <c r="M7402" s="15" t="n">
        <v>0.49</v>
      </c>
      <c r="N7402" s="9" t="s">
        <v>85</v>
      </c>
    </row>
    <row r="7403" customFormat="false" ht="14.25" hidden="false" customHeight="true" outlineLevel="0" collapsed="false">
      <c r="B7403" s="9" t="s">
        <v>28</v>
      </c>
      <c r="C7403" s="9" t="n">
        <v>1185732</v>
      </c>
      <c r="D7403" s="10" t="n">
        <v>44507</v>
      </c>
      <c r="E7403" s="9" t="s">
        <v>17</v>
      </c>
      <c r="F7403" s="9" t="s">
        <v>125</v>
      </c>
      <c r="G7403" s="9" t="s">
        <v>126</v>
      </c>
      <c r="H7403" s="11" t="s">
        <v>22</v>
      </c>
      <c r="I7403" s="12" t="n">
        <v>48</v>
      </c>
      <c r="J7403" s="13" t="n">
        <v>68</v>
      </c>
      <c r="K7403" s="14" t="n">
        <f aca="false">I7403*J7403</f>
        <v>3264</v>
      </c>
      <c r="L7403" s="14" t="n">
        <f aca="false">($L$2*M7403)/100</f>
        <v>612849.915</v>
      </c>
      <c r="M7403" s="15" t="n">
        <v>0.51</v>
      </c>
      <c r="N7403" s="9" t="s">
        <v>85</v>
      </c>
    </row>
    <row r="7404" customFormat="false" ht="14.25" hidden="false" customHeight="true" outlineLevel="0" collapsed="false">
      <c r="B7404" s="9" t="s">
        <v>28</v>
      </c>
      <c r="C7404" s="9" t="n">
        <v>1185732</v>
      </c>
      <c r="D7404" s="10" t="n">
        <v>44507</v>
      </c>
      <c r="E7404" s="9" t="s">
        <v>17</v>
      </c>
      <c r="F7404" s="9" t="s">
        <v>125</v>
      </c>
      <c r="G7404" s="9" t="s">
        <v>126</v>
      </c>
      <c r="H7404" s="11" t="s">
        <v>23</v>
      </c>
      <c r="I7404" s="12" t="n">
        <v>49</v>
      </c>
      <c r="J7404" s="13" t="n">
        <v>65</v>
      </c>
      <c r="K7404" s="14" t="n">
        <f aca="false">I7404*J7404</f>
        <v>3185</v>
      </c>
      <c r="L7404" s="14" t="n">
        <f aca="false">($L$2*M7404)/100</f>
        <v>660916.575</v>
      </c>
      <c r="M7404" s="15" t="n">
        <v>0.55</v>
      </c>
      <c r="N7404" s="9" t="s">
        <v>85</v>
      </c>
    </row>
    <row r="7405" customFormat="false" ht="14.25" hidden="false" customHeight="true" outlineLevel="0" collapsed="false">
      <c r="B7405" s="9" t="s">
        <v>28</v>
      </c>
      <c r="C7405" s="9" t="n">
        <v>1185732</v>
      </c>
      <c r="D7405" s="10" t="n">
        <v>44507</v>
      </c>
      <c r="E7405" s="9" t="s">
        <v>17</v>
      </c>
      <c r="F7405" s="9" t="s">
        <v>125</v>
      </c>
      <c r="G7405" s="9" t="s">
        <v>126</v>
      </c>
      <c r="H7405" s="11" t="s">
        <v>24</v>
      </c>
      <c r="I7405" s="12" t="n">
        <v>55</v>
      </c>
      <c r="J7405" s="13" t="n">
        <v>59</v>
      </c>
      <c r="K7405" s="14" t="n">
        <f aca="false">I7405*J7405</f>
        <v>3245</v>
      </c>
      <c r="L7405" s="14" t="n">
        <f aca="false">($L$2*M7405)/100</f>
        <v>528733.26</v>
      </c>
      <c r="M7405" s="15" t="n">
        <v>0.44</v>
      </c>
      <c r="N7405" s="9" t="s">
        <v>85</v>
      </c>
    </row>
    <row r="7406" customFormat="false" ht="14.25" hidden="false" customHeight="true" outlineLevel="0" collapsed="false">
      <c r="B7406" s="9" t="s">
        <v>28</v>
      </c>
      <c r="C7406" s="9" t="n">
        <v>1185732</v>
      </c>
      <c r="D7406" s="10" t="n">
        <v>44507</v>
      </c>
      <c r="E7406" s="9" t="s">
        <v>17</v>
      </c>
      <c r="F7406" s="9" t="s">
        <v>125</v>
      </c>
      <c r="G7406" s="9" t="s">
        <v>126</v>
      </c>
      <c r="H7406" s="11" t="s">
        <v>25</v>
      </c>
      <c r="I7406" s="12" t="n">
        <v>59</v>
      </c>
      <c r="J7406" s="13" t="n">
        <v>91</v>
      </c>
      <c r="K7406" s="14" t="n">
        <f aca="false">I7406*J7406</f>
        <v>5369</v>
      </c>
      <c r="L7406" s="14" t="n">
        <f aca="false">($L$2*M7406)/100</f>
        <v>636883.245</v>
      </c>
      <c r="M7406" s="15" t="n">
        <v>0.53</v>
      </c>
      <c r="N7406" s="9" t="s">
        <v>85</v>
      </c>
    </row>
    <row r="7407" customFormat="false" ht="14.25" hidden="false" customHeight="true" outlineLevel="0" collapsed="false">
      <c r="B7407" s="9" t="s">
        <v>28</v>
      </c>
      <c r="C7407" s="9" t="n">
        <v>1185732</v>
      </c>
      <c r="D7407" s="10" t="n">
        <v>44536</v>
      </c>
      <c r="E7407" s="9" t="s">
        <v>17</v>
      </c>
      <c r="F7407" s="9" t="s">
        <v>125</v>
      </c>
      <c r="G7407" s="9" t="s">
        <v>126</v>
      </c>
      <c r="H7407" s="11" t="s">
        <v>19</v>
      </c>
      <c r="I7407" s="12" t="n">
        <v>55</v>
      </c>
      <c r="J7407" s="13" t="n">
        <v>149</v>
      </c>
      <c r="K7407" s="14" t="n">
        <f aca="false">I7407*J7407</f>
        <v>8195</v>
      </c>
      <c r="L7407" s="14" t="n">
        <f aca="false">($L$2*M7407)/100</f>
        <v>576799.92</v>
      </c>
      <c r="M7407" s="15" t="n">
        <v>0.48</v>
      </c>
      <c r="N7407" s="9" t="s">
        <v>85</v>
      </c>
    </row>
    <row r="7408" customFormat="false" ht="14.25" hidden="false" customHeight="true" outlineLevel="0" collapsed="false">
      <c r="B7408" s="9" t="s">
        <v>28</v>
      </c>
      <c r="C7408" s="9" t="n">
        <v>1185732</v>
      </c>
      <c r="D7408" s="10" t="n">
        <v>44536</v>
      </c>
      <c r="E7408" s="9" t="s">
        <v>17</v>
      </c>
      <c r="F7408" s="9" t="s">
        <v>125</v>
      </c>
      <c r="G7408" s="9" t="s">
        <v>126</v>
      </c>
      <c r="H7408" s="11" t="s">
        <v>21</v>
      </c>
      <c r="I7408" s="12" t="n">
        <v>49</v>
      </c>
      <c r="J7408" s="13" t="n">
        <v>105</v>
      </c>
      <c r="K7408" s="14" t="n">
        <f aca="false">I7408*J7408</f>
        <v>5145</v>
      </c>
      <c r="L7408" s="14" t="n">
        <f aca="false">($L$2*M7408)/100</f>
        <v>576799.92</v>
      </c>
      <c r="M7408" s="15" t="n">
        <v>0.48</v>
      </c>
      <c r="N7408" s="9" t="s">
        <v>85</v>
      </c>
    </row>
    <row r="7409" customFormat="false" ht="14.25" hidden="false" customHeight="true" outlineLevel="0" collapsed="false">
      <c r="B7409" s="9" t="s">
        <v>28</v>
      </c>
      <c r="C7409" s="9" t="n">
        <v>1185732</v>
      </c>
      <c r="D7409" s="10" t="n">
        <v>44536</v>
      </c>
      <c r="E7409" s="9" t="s">
        <v>17</v>
      </c>
      <c r="F7409" s="9" t="s">
        <v>125</v>
      </c>
      <c r="G7409" s="9" t="s">
        <v>126</v>
      </c>
      <c r="H7409" s="11" t="s">
        <v>22</v>
      </c>
      <c r="I7409" s="12" t="n">
        <v>49</v>
      </c>
      <c r="J7409" s="13" t="n">
        <v>91</v>
      </c>
      <c r="K7409" s="14" t="n">
        <f aca="false">I7409*J7409</f>
        <v>4459</v>
      </c>
      <c r="L7409" s="14" t="n">
        <f aca="false">($L$2*M7409)/100</f>
        <v>600833.25</v>
      </c>
      <c r="M7409" s="15" t="n">
        <v>0.5</v>
      </c>
      <c r="N7409" s="9" t="s">
        <v>85</v>
      </c>
    </row>
    <row r="7410" customFormat="false" ht="14.25" hidden="false" customHeight="true" outlineLevel="0" collapsed="false">
      <c r="B7410" s="9" t="s">
        <v>28</v>
      </c>
      <c r="C7410" s="9" t="n">
        <v>1185732</v>
      </c>
      <c r="D7410" s="10" t="n">
        <v>44536</v>
      </c>
      <c r="E7410" s="9" t="s">
        <v>17</v>
      </c>
      <c r="F7410" s="9" t="s">
        <v>125</v>
      </c>
      <c r="G7410" s="9" t="s">
        <v>126</v>
      </c>
      <c r="H7410" s="11" t="s">
        <v>23</v>
      </c>
      <c r="I7410" s="12" t="n">
        <v>47</v>
      </c>
      <c r="J7410" s="13" t="n">
        <v>83</v>
      </c>
      <c r="K7410" s="14" t="n">
        <f aca="false">I7410*J7410</f>
        <v>3901</v>
      </c>
      <c r="L7410" s="14" t="n">
        <f aca="false">($L$2*M7410)/100</f>
        <v>612849.915</v>
      </c>
      <c r="M7410" s="15" t="n">
        <v>0.51</v>
      </c>
      <c r="N7410" s="9" t="s">
        <v>85</v>
      </c>
    </row>
    <row r="7411" customFormat="false" ht="14.25" hidden="false" customHeight="true" outlineLevel="0" collapsed="false">
      <c r="B7411" s="9" t="s">
        <v>28</v>
      </c>
      <c r="C7411" s="9" t="n">
        <v>1185732</v>
      </c>
      <c r="D7411" s="10" t="n">
        <v>44536</v>
      </c>
      <c r="E7411" s="9" t="s">
        <v>17</v>
      </c>
      <c r="F7411" s="9" t="s">
        <v>125</v>
      </c>
      <c r="G7411" s="9" t="s">
        <v>126</v>
      </c>
      <c r="H7411" s="11" t="s">
        <v>24</v>
      </c>
      <c r="I7411" s="12" t="n">
        <v>55</v>
      </c>
      <c r="J7411" s="13" t="n">
        <v>83</v>
      </c>
      <c r="K7411" s="14" t="n">
        <f aca="false">I7411*J7411</f>
        <v>4565</v>
      </c>
      <c r="L7411" s="14" t="n">
        <f aca="false">($L$2*M7411)/100</f>
        <v>540749.925</v>
      </c>
      <c r="M7411" s="15" t="n">
        <v>0.45</v>
      </c>
      <c r="N7411" s="9" t="s">
        <v>85</v>
      </c>
    </row>
    <row r="7412" customFormat="false" ht="14.25" hidden="false" customHeight="true" outlineLevel="0" collapsed="false">
      <c r="B7412" s="9" t="s">
        <v>28</v>
      </c>
      <c r="C7412" s="9" t="n">
        <v>1185732</v>
      </c>
      <c r="D7412" s="10" t="n">
        <v>44536</v>
      </c>
      <c r="E7412" s="9" t="s">
        <v>17</v>
      </c>
      <c r="F7412" s="9" t="s">
        <v>125</v>
      </c>
      <c r="G7412" s="9" t="s">
        <v>126</v>
      </c>
      <c r="H7412" s="11" t="s">
        <v>25</v>
      </c>
      <c r="I7412" s="12" t="n">
        <v>59</v>
      </c>
      <c r="J7412" s="13" t="n">
        <v>101</v>
      </c>
      <c r="K7412" s="14" t="n">
        <f aca="false">I7412*J7412</f>
        <v>5959</v>
      </c>
      <c r="L7412" s="14" t="n">
        <f aca="false">($L$2*M7412)/100</f>
        <v>648899.91</v>
      </c>
      <c r="M7412" s="15" t="n">
        <v>0.54</v>
      </c>
      <c r="N7412" s="9" t="s">
        <v>85</v>
      </c>
    </row>
    <row r="7413" customFormat="false" ht="14.25" hidden="false" customHeight="true" outlineLevel="0" collapsed="false">
      <c r="B7413" s="9" t="s">
        <v>28</v>
      </c>
      <c r="C7413" s="9" t="n">
        <v>1185732</v>
      </c>
      <c r="D7413" s="10" t="n">
        <v>44203</v>
      </c>
      <c r="E7413" s="9" t="s">
        <v>17</v>
      </c>
      <c r="F7413" s="9" t="s">
        <v>125</v>
      </c>
      <c r="G7413" s="9" t="s">
        <v>126</v>
      </c>
      <c r="H7413" s="11" t="s">
        <v>19</v>
      </c>
      <c r="I7413" s="12" t="n">
        <v>38</v>
      </c>
      <c r="J7413" s="13" t="n">
        <v>125</v>
      </c>
      <c r="K7413" s="14" t="n">
        <f aca="false">I7413*J7413</f>
        <v>4750</v>
      </c>
      <c r="L7413" s="14" t="n">
        <f aca="false">($L$2*M7413)/100</f>
        <v>612849.915</v>
      </c>
      <c r="M7413" s="15" t="n">
        <v>0.51</v>
      </c>
      <c r="N7413" s="9" t="s">
        <v>85</v>
      </c>
    </row>
    <row r="7414" customFormat="false" ht="14.25" hidden="false" customHeight="true" outlineLevel="0" collapsed="false">
      <c r="B7414" s="9" t="s">
        <v>28</v>
      </c>
      <c r="C7414" s="9" t="n">
        <v>1185732</v>
      </c>
      <c r="D7414" s="10" t="n">
        <v>44203</v>
      </c>
      <c r="E7414" s="9" t="s">
        <v>17</v>
      </c>
      <c r="F7414" s="9" t="s">
        <v>125</v>
      </c>
      <c r="G7414" s="9" t="s">
        <v>126</v>
      </c>
      <c r="H7414" s="11" t="s">
        <v>21</v>
      </c>
      <c r="I7414" s="12" t="n">
        <v>37</v>
      </c>
      <c r="J7414" s="13" t="n">
        <v>87</v>
      </c>
      <c r="K7414" s="14" t="n">
        <f aca="false">I7414*J7414</f>
        <v>3219</v>
      </c>
      <c r="L7414" s="14" t="n">
        <f aca="false">($L$2*M7414)/100</f>
        <v>624866.58</v>
      </c>
      <c r="M7414" s="15" t="n">
        <v>0.52</v>
      </c>
      <c r="N7414" s="9" t="s">
        <v>85</v>
      </c>
    </row>
    <row r="7415" customFormat="false" ht="14.25" hidden="false" customHeight="true" outlineLevel="0" collapsed="false">
      <c r="B7415" s="9" t="s">
        <v>28</v>
      </c>
      <c r="C7415" s="9" t="n">
        <v>1185732</v>
      </c>
      <c r="D7415" s="10" t="n">
        <v>44203</v>
      </c>
      <c r="E7415" s="9" t="s">
        <v>17</v>
      </c>
      <c r="F7415" s="9" t="s">
        <v>125</v>
      </c>
      <c r="G7415" s="9" t="s">
        <v>126</v>
      </c>
      <c r="H7415" s="11" t="s">
        <v>22</v>
      </c>
      <c r="I7415" s="12" t="n">
        <v>28</v>
      </c>
      <c r="J7415" s="13" t="n">
        <v>90</v>
      </c>
      <c r="K7415" s="14" t="n">
        <f aca="false">I7415*J7415</f>
        <v>2520</v>
      </c>
      <c r="L7415" s="14" t="n">
        <f aca="false">($L$2*M7415)/100</f>
        <v>480666.6</v>
      </c>
      <c r="M7415" s="15" t="n">
        <v>0.4</v>
      </c>
      <c r="N7415" s="9" t="s">
        <v>85</v>
      </c>
    </row>
    <row r="7416" customFormat="false" ht="14.25" hidden="false" customHeight="true" outlineLevel="0" collapsed="false">
      <c r="B7416" s="9" t="s">
        <v>28</v>
      </c>
      <c r="C7416" s="9" t="n">
        <v>1185732</v>
      </c>
      <c r="D7416" s="10" t="n">
        <v>44203</v>
      </c>
      <c r="E7416" s="9" t="s">
        <v>17</v>
      </c>
      <c r="F7416" s="9" t="s">
        <v>125</v>
      </c>
      <c r="G7416" s="9" t="s">
        <v>126</v>
      </c>
      <c r="H7416" s="11" t="s">
        <v>23</v>
      </c>
      <c r="I7416" s="12" t="n">
        <v>33</v>
      </c>
      <c r="J7416" s="13" t="n">
        <v>42</v>
      </c>
      <c r="K7416" s="14" t="n">
        <f aca="false">I7416*J7416</f>
        <v>1386</v>
      </c>
      <c r="L7416" s="14" t="n">
        <f aca="false">($L$2*M7416)/100</f>
        <v>528733.26</v>
      </c>
      <c r="M7416" s="15" t="n">
        <v>0.44</v>
      </c>
      <c r="N7416" s="9" t="s">
        <v>85</v>
      </c>
    </row>
    <row r="7417" customFormat="false" ht="14.25" hidden="false" customHeight="true" outlineLevel="0" collapsed="false">
      <c r="B7417" s="9" t="s">
        <v>28</v>
      </c>
      <c r="C7417" s="9" t="n">
        <v>1185732</v>
      </c>
      <c r="D7417" s="10" t="n">
        <v>44203</v>
      </c>
      <c r="E7417" s="9" t="s">
        <v>17</v>
      </c>
      <c r="F7417" s="9" t="s">
        <v>125</v>
      </c>
      <c r="G7417" s="9" t="s">
        <v>126</v>
      </c>
      <c r="H7417" s="11" t="s">
        <v>24</v>
      </c>
      <c r="I7417" s="12" t="n">
        <v>49</v>
      </c>
      <c r="J7417" s="13" t="n">
        <v>60</v>
      </c>
      <c r="K7417" s="14" t="n">
        <f aca="false">I7417*J7417</f>
        <v>2940</v>
      </c>
      <c r="L7417" s="14" t="n">
        <f aca="false">($L$2*M7417)/100</f>
        <v>492683.265</v>
      </c>
      <c r="M7417" s="15" t="n">
        <v>0.41</v>
      </c>
      <c r="N7417" s="9" t="s">
        <v>85</v>
      </c>
    </row>
    <row r="7418" customFormat="false" ht="14.25" hidden="false" customHeight="true" outlineLevel="0" collapsed="false">
      <c r="B7418" s="9" t="s">
        <v>28</v>
      </c>
      <c r="C7418" s="9" t="n">
        <v>1185732</v>
      </c>
      <c r="D7418" s="10" t="n">
        <v>44203</v>
      </c>
      <c r="E7418" s="9" t="s">
        <v>17</v>
      </c>
      <c r="F7418" s="9" t="s">
        <v>125</v>
      </c>
      <c r="G7418" s="9" t="s">
        <v>126</v>
      </c>
      <c r="H7418" s="11" t="s">
        <v>25</v>
      </c>
      <c r="I7418" s="12" t="n">
        <v>37</v>
      </c>
      <c r="J7418" s="13" t="n">
        <v>81</v>
      </c>
      <c r="K7418" s="14" t="n">
        <f aca="false">I7418*J7418</f>
        <v>2997</v>
      </c>
      <c r="L7418" s="14" t="n">
        <f aca="false">($L$2*M7418)/100</f>
        <v>600833.25</v>
      </c>
      <c r="M7418" s="15" t="n">
        <v>0.5</v>
      </c>
      <c r="N7418" s="9" t="s">
        <v>85</v>
      </c>
    </row>
    <row r="7419" customFormat="false" ht="14.25" hidden="false" customHeight="true" outlineLevel="0" collapsed="false">
      <c r="B7419" s="9" t="s">
        <v>28</v>
      </c>
      <c r="C7419" s="9" t="n">
        <v>1185732</v>
      </c>
      <c r="D7419" s="10" t="n">
        <v>44232</v>
      </c>
      <c r="E7419" s="9" t="s">
        <v>17</v>
      </c>
      <c r="F7419" s="9" t="s">
        <v>125</v>
      </c>
      <c r="G7419" s="9" t="s">
        <v>126</v>
      </c>
      <c r="H7419" s="11" t="s">
        <v>19</v>
      </c>
      <c r="I7419" s="12" t="n">
        <v>39</v>
      </c>
      <c r="J7419" s="13" t="n">
        <v>149</v>
      </c>
      <c r="K7419" s="14" t="n">
        <f aca="false">I7419*J7419</f>
        <v>5811</v>
      </c>
      <c r="L7419" s="14" t="n">
        <f aca="false">($L$2*M7419)/100</f>
        <v>600833.25</v>
      </c>
      <c r="M7419" s="15" t="n">
        <v>0.5</v>
      </c>
      <c r="N7419" s="9" t="s">
        <v>85</v>
      </c>
    </row>
    <row r="7420" customFormat="false" ht="14.25" hidden="false" customHeight="true" outlineLevel="0" collapsed="false">
      <c r="B7420" s="9" t="s">
        <v>28</v>
      </c>
      <c r="C7420" s="9" t="n">
        <v>1185732</v>
      </c>
      <c r="D7420" s="10" t="n">
        <v>44232</v>
      </c>
      <c r="E7420" s="9" t="s">
        <v>17</v>
      </c>
      <c r="F7420" s="9" t="s">
        <v>125</v>
      </c>
      <c r="G7420" s="9" t="s">
        <v>126</v>
      </c>
      <c r="H7420" s="11" t="s">
        <v>21</v>
      </c>
      <c r="I7420" s="12" t="n">
        <v>37</v>
      </c>
      <c r="J7420" s="13" t="n">
        <v>54</v>
      </c>
      <c r="K7420" s="14" t="n">
        <f aca="false">I7420*J7420</f>
        <v>1998</v>
      </c>
      <c r="L7420" s="14" t="n">
        <f aca="false">($L$2*M7420)/100</f>
        <v>600833.25</v>
      </c>
      <c r="M7420" s="15" t="n">
        <v>0.5</v>
      </c>
      <c r="N7420" s="9" t="s">
        <v>85</v>
      </c>
    </row>
    <row r="7421" customFormat="false" ht="14.25" hidden="false" customHeight="true" outlineLevel="0" collapsed="false">
      <c r="B7421" s="9" t="s">
        <v>28</v>
      </c>
      <c r="C7421" s="9" t="n">
        <v>1185732</v>
      </c>
      <c r="D7421" s="10" t="n">
        <v>44232</v>
      </c>
      <c r="E7421" s="9" t="s">
        <v>17</v>
      </c>
      <c r="F7421" s="9" t="s">
        <v>125</v>
      </c>
      <c r="G7421" s="9" t="s">
        <v>126</v>
      </c>
      <c r="H7421" s="11" t="s">
        <v>22</v>
      </c>
      <c r="I7421" s="12" t="n">
        <v>29</v>
      </c>
      <c r="J7421" s="13" t="n">
        <v>65</v>
      </c>
      <c r="K7421" s="14" t="n">
        <f aca="false">I7421*J7421</f>
        <v>1885</v>
      </c>
      <c r="L7421" s="14" t="n">
        <f aca="false">($L$2*M7421)/100</f>
        <v>540749.925</v>
      </c>
      <c r="M7421" s="15" t="n">
        <v>0.45</v>
      </c>
      <c r="N7421" s="9" t="s">
        <v>85</v>
      </c>
    </row>
    <row r="7422" customFormat="false" ht="14.25" hidden="false" customHeight="true" outlineLevel="0" collapsed="false">
      <c r="B7422" s="9" t="s">
        <v>28</v>
      </c>
      <c r="C7422" s="9" t="n">
        <v>1185732</v>
      </c>
      <c r="D7422" s="10" t="n">
        <v>44232</v>
      </c>
      <c r="E7422" s="9" t="s">
        <v>17</v>
      </c>
      <c r="F7422" s="9" t="s">
        <v>127</v>
      </c>
      <c r="G7422" s="9" t="s">
        <v>128</v>
      </c>
      <c r="H7422" s="11" t="s">
        <v>23</v>
      </c>
      <c r="I7422" s="12" t="n">
        <v>32</v>
      </c>
      <c r="J7422" s="13" t="n">
        <v>34</v>
      </c>
      <c r="K7422" s="14" t="n">
        <f aca="false">I7422*J7422</f>
        <v>1088</v>
      </c>
      <c r="L7422" s="14" t="n">
        <f aca="false">($L$2*M7422)/100</f>
        <v>528733.26</v>
      </c>
      <c r="M7422" s="15" t="n">
        <v>0.44</v>
      </c>
      <c r="N7422" s="9" t="s">
        <v>85</v>
      </c>
    </row>
    <row r="7423" customFormat="false" ht="14.25" hidden="false" customHeight="true" outlineLevel="0" collapsed="false">
      <c r="B7423" s="9" t="s">
        <v>28</v>
      </c>
      <c r="C7423" s="9" t="n">
        <v>1185732</v>
      </c>
      <c r="D7423" s="10" t="n">
        <v>44232</v>
      </c>
      <c r="E7423" s="9" t="s">
        <v>17</v>
      </c>
      <c r="F7423" s="9" t="s">
        <v>127</v>
      </c>
      <c r="G7423" s="9" t="s">
        <v>128</v>
      </c>
      <c r="H7423" s="11" t="s">
        <v>24</v>
      </c>
      <c r="I7423" s="12" t="n">
        <v>49</v>
      </c>
      <c r="J7423" s="13" t="n">
        <v>60</v>
      </c>
      <c r="K7423" s="14" t="n">
        <f aca="false">I7423*J7423</f>
        <v>2940</v>
      </c>
      <c r="L7423" s="14" t="n">
        <f aca="false">($L$2*M7423)/100</f>
        <v>528733.26</v>
      </c>
      <c r="M7423" s="15" t="n">
        <v>0.44</v>
      </c>
      <c r="N7423" s="9" t="s">
        <v>85</v>
      </c>
    </row>
    <row r="7424" customFormat="false" ht="14.25" hidden="false" customHeight="true" outlineLevel="0" collapsed="false">
      <c r="B7424" s="9" t="s">
        <v>28</v>
      </c>
      <c r="C7424" s="9" t="n">
        <v>1185732</v>
      </c>
      <c r="D7424" s="10" t="n">
        <v>44232</v>
      </c>
      <c r="E7424" s="9" t="s">
        <v>17</v>
      </c>
      <c r="F7424" s="9" t="s">
        <v>127</v>
      </c>
      <c r="G7424" s="9" t="s">
        <v>128</v>
      </c>
      <c r="H7424" s="11" t="s">
        <v>25</v>
      </c>
      <c r="I7424" s="12" t="n">
        <v>39</v>
      </c>
      <c r="J7424" s="13" t="n">
        <v>84</v>
      </c>
      <c r="K7424" s="14" t="n">
        <f aca="false">I7424*J7424</f>
        <v>3276</v>
      </c>
      <c r="L7424" s="14" t="n">
        <f aca="false">($L$2*M7424)/100</f>
        <v>540749.925</v>
      </c>
      <c r="M7424" s="15" t="n">
        <v>0.45</v>
      </c>
      <c r="N7424" s="9" t="s">
        <v>85</v>
      </c>
    </row>
    <row r="7425" customFormat="false" ht="14.25" hidden="false" customHeight="true" outlineLevel="0" collapsed="false">
      <c r="B7425" s="9" t="s">
        <v>28</v>
      </c>
      <c r="C7425" s="9" t="n">
        <v>1185732</v>
      </c>
      <c r="D7425" s="10" t="n">
        <v>44258</v>
      </c>
      <c r="E7425" s="9" t="s">
        <v>17</v>
      </c>
      <c r="F7425" s="9" t="s">
        <v>127</v>
      </c>
      <c r="G7425" s="9" t="s">
        <v>128</v>
      </c>
      <c r="H7425" s="11" t="s">
        <v>19</v>
      </c>
      <c r="I7425" s="12" t="n">
        <v>39</v>
      </c>
      <c r="J7425" s="13" t="n">
        <v>130</v>
      </c>
      <c r="K7425" s="14" t="n">
        <f aca="false">I7425*J7425</f>
        <v>5070</v>
      </c>
      <c r="L7425" s="14" t="n">
        <f aca="false">($L$2*M7425)/100</f>
        <v>600833.25</v>
      </c>
      <c r="M7425" s="15" t="n">
        <v>0.5</v>
      </c>
      <c r="N7425" s="9" t="s">
        <v>85</v>
      </c>
    </row>
    <row r="7426" customFormat="false" ht="14.25" hidden="false" customHeight="true" outlineLevel="0" collapsed="false">
      <c r="B7426" s="9" t="s">
        <v>28</v>
      </c>
      <c r="C7426" s="9" t="n">
        <v>1185732</v>
      </c>
      <c r="D7426" s="10" t="n">
        <v>44258</v>
      </c>
      <c r="E7426" s="9" t="s">
        <v>17</v>
      </c>
      <c r="F7426" s="9" t="s">
        <v>127</v>
      </c>
      <c r="G7426" s="9" t="s">
        <v>128</v>
      </c>
      <c r="H7426" s="11" t="s">
        <v>21</v>
      </c>
      <c r="I7426" s="12" t="n">
        <v>38</v>
      </c>
      <c r="J7426" s="13" t="n">
        <v>56</v>
      </c>
      <c r="K7426" s="14" t="n">
        <f aca="false">I7426*J7426</f>
        <v>2128</v>
      </c>
      <c r="L7426" s="14" t="n">
        <f aca="false">($L$2*M7426)/100</f>
        <v>648899.91</v>
      </c>
      <c r="M7426" s="15" t="n">
        <v>0.54</v>
      </c>
      <c r="N7426" s="9" t="s">
        <v>85</v>
      </c>
    </row>
    <row r="7427" customFormat="false" ht="14.25" hidden="false" customHeight="true" outlineLevel="0" collapsed="false">
      <c r="B7427" s="9" t="s">
        <v>28</v>
      </c>
      <c r="C7427" s="9" t="n">
        <v>1185732</v>
      </c>
      <c r="D7427" s="10" t="n">
        <v>44258</v>
      </c>
      <c r="E7427" s="9" t="s">
        <v>17</v>
      </c>
      <c r="F7427" s="9" t="s">
        <v>127</v>
      </c>
      <c r="G7427" s="9" t="s">
        <v>128</v>
      </c>
      <c r="H7427" s="11" t="s">
        <v>22</v>
      </c>
      <c r="I7427" s="12" t="n">
        <v>29</v>
      </c>
      <c r="J7427" s="13" t="n">
        <v>68</v>
      </c>
      <c r="K7427" s="14" t="n">
        <f aca="false">I7427*J7427</f>
        <v>1972</v>
      </c>
      <c r="L7427" s="14" t="n">
        <f aca="false">($L$2*M7427)/100</f>
        <v>540749.925</v>
      </c>
      <c r="M7427" s="15" t="n">
        <v>0.45</v>
      </c>
      <c r="N7427" s="9" t="s">
        <v>85</v>
      </c>
    </row>
    <row r="7428" customFormat="false" ht="14.25" hidden="false" customHeight="true" outlineLevel="0" collapsed="false">
      <c r="B7428" s="9" t="s">
        <v>28</v>
      </c>
      <c r="C7428" s="9" t="n">
        <v>1185732</v>
      </c>
      <c r="D7428" s="10" t="n">
        <v>44258</v>
      </c>
      <c r="E7428" s="9" t="s">
        <v>17</v>
      </c>
      <c r="F7428" s="9" t="s">
        <v>127</v>
      </c>
      <c r="G7428" s="9" t="s">
        <v>128</v>
      </c>
      <c r="H7428" s="11" t="s">
        <v>23</v>
      </c>
      <c r="I7428" s="12" t="n">
        <v>32</v>
      </c>
      <c r="J7428" s="13" t="n">
        <v>30</v>
      </c>
      <c r="K7428" s="14" t="n">
        <f aca="false">I7428*J7428</f>
        <v>960</v>
      </c>
      <c r="L7428" s="14" t="n">
        <f aca="false">($L$2*M7428)/100</f>
        <v>504699.93</v>
      </c>
      <c r="M7428" s="15" t="n">
        <v>0.42</v>
      </c>
      <c r="N7428" s="9" t="s">
        <v>85</v>
      </c>
    </row>
    <row r="7429" customFormat="false" ht="14.25" hidden="false" customHeight="true" outlineLevel="0" collapsed="false">
      <c r="B7429" s="9" t="s">
        <v>28</v>
      </c>
      <c r="C7429" s="9" t="n">
        <v>1185732</v>
      </c>
      <c r="D7429" s="10" t="n">
        <v>44258</v>
      </c>
      <c r="E7429" s="9" t="s">
        <v>17</v>
      </c>
      <c r="F7429" s="9" t="s">
        <v>127</v>
      </c>
      <c r="G7429" s="9" t="s">
        <v>128</v>
      </c>
      <c r="H7429" s="11" t="s">
        <v>24</v>
      </c>
      <c r="I7429" s="12" t="n">
        <v>48</v>
      </c>
      <c r="J7429" s="13" t="n">
        <v>39</v>
      </c>
      <c r="K7429" s="14" t="n">
        <f aca="false">I7429*J7429</f>
        <v>1872</v>
      </c>
      <c r="L7429" s="14" t="n">
        <f aca="false">($L$2*M7429)/100</f>
        <v>480666.6</v>
      </c>
      <c r="M7429" s="15" t="n">
        <v>0.4</v>
      </c>
      <c r="N7429" s="9" t="s">
        <v>85</v>
      </c>
    </row>
    <row r="7430" customFormat="false" ht="14.25" hidden="false" customHeight="true" outlineLevel="0" collapsed="false">
      <c r="B7430" s="9" t="s">
        <v>28</v>
      </c>
      <c r="C7430" s="9" t="n">
        <v>1185732</v>
      </c>
      <c r="D7430" s="10" t="n">
        <v>44258</v>
      </c>
      <c r="E7430" s="9" t="s">
        <v>17</v>
      </c>
      <c r="F7430" s="9" t="s">
        <v>127</v>
      </c>
      <c r="G7430" s="9" t="s">
        <v>128</v>
      </c>
      <c r="H7430" s="11" t="s">
        <v>25</v>
      </c>
      <c r="I7430" s="12" t="n">
        <v>38</v>
      </c>
      <c r="J7430" s="13" t="n">
        <v>73</v>
      </c>
      <c r="K7430" s="14" t="n">
        <f aca="false">I7430*J7430</f>
        <v>2774</v>
      </c>
      <c r="L7430" s="14" t="n">
        <f aca="false">($L$2*M7430)/100</f>
        <v>588816.585</v>
      </c>
      <c r="M7430" s="15" t="n">
        <v>0.49</v>
      </c>
      <c r="N7430" s="9" t="s">
        <v>85</v>
      </c>
    </row>
    <row r="7431" customFormat="false" ht="14.25" hidden="false" customHeight="true" outlineLevel="0" collapsed="false">
      <c r="B7431" s="9" t="s">
        <v>28</v>
      </c>
      <c r="C7431" s="9" t="n">
        <v>1185732</v>
      </c>
      <c r="D7431" s="10" t="n">
        <v>44290</v>
      </c>
      <c r="E7431" s="9" t="s">
        <v>17</v>
      </c>
      <c r="F7431" s="9" t="s">
        <v>127</v>
      </c>
      <c r="G7431" s="9" t="s">
        <v>128</v>
      </c>
      <c r="H7431" s="11" t="s">
        <v>19</v>
      </c>
      <c r="I7431" s="12" t="n">
        <v>36</v>
      </c>
      <c r="J7431" s="13" t="n">
        <v>150</v>
      </c>
      <c r="K7431" s="14" t="n">
        <f aca="false">I7431*J7431</f>
        <v>5400</v>
      </c>
      <c r="L7431" s="14" t="n">
        <f aca="false">($L$2*M7431)/100</f>
        <v>600833.25</v>
      </c>
      <c r="M7431" s="15" t="n">
        <v>0.5</v>
      </c>
      <c r="N7431" s="9" t="s">
        <v>85</v>
      </c>
    </row>
    <row r="7432" customFormat="false" ht="14.25" hidden="false" customHeight="true" outlineLevel="0" collapsed="false">
      <c r="B7432" s="9" t="s">
        <v>28</v>
      </c>
      <c r="C7432" s="9" t="n">
        <v>1185732</v>
      </c>
      <c r="D7432" s="10" t="n">
        <v>44290</v>
      </c>
      <c r="E7432" s="9" t="s">
        <v>17</v>
      </c>
      <c r="F7432" s="9" t="s">
        <v>127</v>
      </c>
      <c r="G7432" s="9" t="s">
        <v>128</v>
      </c>
      <c r="H7432" s="11" t="s">
        <v>21</v>
      </c>
      <c r="I7432" s="12" t="n">
        <v>38</v>
      </c>
      <c r="J7432" s="13" t="n">
        <v>58</v>
      </c>
      <c r="K7432" s="14" t="n">
        <f aca="false">I7432*J7432</f>
        <v>2204</v>
      </c>
      <c r="L7432" s="14" t="n">
        <f aca="false">($L$2*M7432)/100</f>
        <v>660916.575</v>
      </c>
      <c r="M7432" s="15" t="n">
        <v>0.55</v>
      </c>
      <c r="N7432" s="9" t="s">
        <v>85</v>
      </c>
    </row>
    <row r="7433" customFormat="false" ht="14.25" hidden="false" customHeight="true" outlineLevel="0" collapsed="false">
      <c r="B7433" s="9" t="s">
        <v>28</v>
      </c>
      <c r="C7433" s="9" t="n">
        <v>1185732</v>
      </c>
      <c r="D7433" s="10" t="n">
        <v>44290</v>
      </c>
      <c r="E7433" s="9" t="s">
        <v>17</v>
      </c>
      <c r="F7433" s="9" t="s">
        <v>127</v>
      </c>
      <c r="G7433" s="9" t="s">
        <v>128</v>
      </c>
      <c r="H7433" s="11" t="s">
        <v>22</v>
      </c>
      <c r="I7433" s="12" t="n">
        <v>29</v>
      </c>
      <c r="J7433" s="13" t="n">
        <v>56</v>
      </c>
      <c r="K7433" s="14" t="n">
        <f aca="false">I7433*J7433</f>
        <v>1624</v>
      </c>
      <c r="L7433" s="14" t="n">
        <f aca="false">($L$2*M7433)/100</f>
        <v>516716.595</v>
      </c>
      <c r="M7433" s="15" t="n">
        <v>0.43</v>
      </c>
      <c r="N7433" s="9" t="s">
        <v>85</v>
      </c>
    </row>
    <row r="7434" customFormat="false" ht="14.25" hidden="false" customHeight="true" outlineLevel="0" collapsed="false">
      <c r="B7434" s="9" t="s">
        <v>28</v>
      </c>
      <c r="C7434" s="9" t="n">
        <v>1185732</v>
      </c>
      <c r="D7434" s="10" t="n">
        <v>44290</v>
      </c>
      <c r="E7434" s="9" t="s">
        <v>17</v>
      </c>
      <c r="F7434" s="9" t="s">
        <v>127</v>
      </c>
      <c r="G7434" s="9" t="s">
        <v>128</v>
      </c>
      <c r="H7434" s="11" t="s">
        <v>23</v>
      </c>
      <c r="I7434" s="12" t="n">
        <v>32</v>
      </c>
      <c r="J7434" s="13" t="n">
        <v>38</v>
      </c>
      <c r="K7434" s="14" t="n">
        <f aca="false">I7434*J7434</f>
        <v>1216</v>
      </c>
      <c r="L7434" s="14" t="n">
        <f aca="false">($L$2*M7434)/100</f>
        <v>540749.925</v>
      </c>
      <c r="M7434" s="15" t="n">
        <v>0.45</v>
      </c>
      <c r="N7434" s="9" t="s">
        <v>85</v>
      </c>
    </row>
    <row r="7435" customFormat="false" ht="14.25" hidden="false" customHeight="true" outlineLevel="0" collapsed="false">
      <c r="B7435" s="9" t="s">
        <v>28</v>
      </c>
      <c r="C7435" s="9" t="n">
        <v>1185732</v>
      </c>
      <c r="D7435" s="10" t="n">
        <v>44290</v>
      </c>
      <c r="E7435" s="9" t="s">
        <v>17</v>
      </c>
      <c r="F7435" s="9" t="s">
        <v>127</v>
      </c>
      <c r="G7435" s="9" t="s">
        <v>128</v>
      </c>
      <c r="H7435" s="11" t="s">
        <v>24</v>
      </c>
      <c r="I7435" s="12" t="n">
        <v>46</v>
      </c>
      <c r="J7435" s="13" t="n">
        <v>35</v>
      </c>
      <c r="K7435" s="14" t="n">
        <f aca="false">I7435*J7435</f>
        <v>1610</v>
      </c>
      <c r="L7435" s="14" t="n">
        <f aca="false">($L$2*M7435)/100</f>
        <v>540749.925</v>
      </c>
      <c r="M7435" s="15" t="n">
        <v>0.45</v>
      </c>
      <c r="N7435" s="9" t="s">
        <v>85</v>
      </c>
    </row>
    <row r="7436" customFormat="false" ht="14.25" hidden="false" customHeight="true" outlineLevel="0" collapsed="false">
      <c r="B7436" s="9" t="s">
        <v>28</v>
      </c>
      <c r="C7436" s="9" t="n">
        <v>1185732</v>
      </c>
      <c r="D7436" s="10" t="n">
        <v>44290</v>
      </c>
      <c r="E7436" s="9" t="s">
        <v>17</v>
      </c>
      <c r="F7436" s="9" t="s">
        <v>127</v>
      </c>
      <c r="G7436" s="9" t="s">
        <v>128</v>
      </c>
      <c r="H7436" s="11" t="s">
        <v>25</v>
      </c>
      <c r="I7436" s="12" t="n">
        <v>36</v>
      </c>
      <c r="J7436" s="13" t="n">
        <v>69</v>
      </c>
      <c r="K7436" s="14" t="n">
        <f aca="false">I7436*J7436</f>
        <v>2484</v>
      </c>
      <c r="L7436" s="14" t="n">
        <f aca="false">($L$2*M7436)/100</f>
        <v>600833.25</v>
      </c>
      <c r="M7436" s="15" t="n">
        <v>0.5</v>
      </c>
      <c r="N7436" s="9" t="s">
        <v>85</v>
      </c>
    </row>
    <row r="7437" customFormat="false" ht="14.25" hidden="false" customHeight="true" outlineLevel="0" collapsed="false">
      <c r="B7437" s="9" t="s">
        <v>28</v>
      </c>
      <c r="C7437" s="9" t="n">
        <v>1185732</v>
      </c>
      <c r="D7437" s="10" t="n">
        <v>44319</v>
      </c>
      <c r="E7437" s="9" t="s">
        <v>17</v>
      </c>
      <c r="F7437" s="9" t="s">
        <v>127</v>
      </c>
      <c r="G7437" s="9" t="s">
        <v>128</v>
      </c>
      <c r="H7437" s="11" t="s">
        <v>19</v>
      </c>
      <c r="I7437" s="12" t="n">
        <v>54</v>
      </c>
      <c r="J7437" s="13" t="n">
        <v>142</v>
      </c>
      <c r="K7437" s="14" t="n">
        <f aca="false">I7437*J7437</f>
        <v>7668</v>
      </c>
      <c r="L7437" s="14" t="n">
        <f aca="false">($L$2*M7437)/100</f>
        <v>612849.915</v>
      </c>
      <c r="M7437" s="15" t="n">
        <v>0.51</v>
      </c>
      <c r="N7437" s="9" t="s">
        <v>85</v>
      </c>
    </row>
    <row r="7438" customFormat="false" ht="14.25" hidden="false" customHeight="true" outlineLevel="0" collapsed="false">
      <c r="B7438" s="9" t="s">
        <v>28</v>
      </c>
      <c r="C7438" s="9" t="n">
        <v>1185732</v>
      </c>
      <c r="D7438" s="10" t="n">
        <v>44319</v>
      </c>
      <c r="E7438" s="9" t="s">
        <v>17</v>
      </c>
      <c r="F7438" s="9" t="s">
        <v>127</v>
      </c>
      <c r="G7438" s="9" t="s">
        <v>128</v>
      </c>
      <c r="H7438" s="11" t="s">
        <v>21</v>
      </c>
      <c r="I7438" s="12" t="n">
        <v>48</v>
      </c>
      <c r="J7438" s="13" t="n">
        <v>73</v>
      </c>
      <c r="K7438" s="14" t="n">
        <f aca="false">I7438*J7438</f>
        <v>3504</v>
      </c>
      <c r="L7438" s="14" t="n">
        <f aca="false">($L$2*M7438)/100</f>
        <v>636883.245</v>
      </c>
      <c r="M7438" s="15" t="n">
        <v>0.53</v>
      </c>
      <c r="N7438" s="9" t="s">
        <v>85</v>
      </c>
    </row>
    <row r="7439" customFormat="false" ht="14.25" hidden="false" customHeight="true" outlineLevel="0" collapsed="false">
      <c r="B7439" s="9" t="s">
        <v>28</v>
      </c>
      <c r="C7439" s="9" t="n">
        <v>1185732</v>
      </c>
      <c r="D7439" s="10" t="n">
        <v>44319</v>
      </c>
      <c r="E7439" s="9" t="s">
        <v>17</v>
      </c>
      <c r="F7439" s="9" t="s">
        <v>127</v>
      </c>
      <c r="G7439" s="9" t="s">
        <v>128</v>
      </c>
      <c r="H7439" s="11" t="s">
        <v>22</v>
      </c>
      <c r="I7439" s="12" t="n">
        <v>43</v>
      </c>
      <c r="J7439" s="13" t="n">
        <v>74</v>
      </c>
      <c r="K7439" s="14" t="n">
        <f aca="false">I7439*J7439</f>
        <v>3182</v>
      </c>
      <c r="L7439" s="14" t="n">
        <f aca="false">($L$2*M7439)/100</f>
        <v>480666.6</v>
      </c>
      <c r="M7439" s="15" t="n">
        <v>0.4</v>
      </c>
      <c r="N7439" s="9" t="s">
        <v>85</v>
      </c>
    </row>
    <row r="7440" customFormat="false" ht="14.25" hidden="false" customHeight="true" outlineLevel="0" collapsed="false">
      <c r="B7440" s="9" t="s">
        <v>28</v>
      </c>
      <c r="C7440" s="9" t="n">
        <v>1185732</v>
      </c>
      <c r="D7440" s="10" t="n">
        <v>44319</v>
      </c>
      <c r="E7440" s="9" t="s">
        <v>17</v>
      </c>
      <c r="F7440" s="9" t="s">
        <v>127</v>
      </c>
      <c r="G7440" s="9" t="s">
        <v>128</v>
      </c>
      <c r="H7440" s="11" t="s">
        <v>23</v>
      </c>
      <c r="I7440" s="12" t="n">
        <v>44</v>
      </c>
      <c r="J7440" s="13" t="n">
        <v>63</v>
      </c>
      <c r="K7440" s="14" t="n">
        <f aca="false">I7440*J7440</f>
        <v>2772</v>
      </c>
      <c r="L7440" s="14" t="n">
        <f aca="false">($L$2*M7440)/100</f>
        <v>492683.265</v>
      </c>
      <c r="M7440" s="15" t="n">
        <v>0.41</v>
      </c>
      <c r="N7440" s="9" t="s">
        <v>85</v>
      </c>
    </row>
    <row r="7441" customFormat="false" ht="14.25" hidden="false" customHeight="true" outlineLevel="0" collapsed="false">
      <c r="B7441" s="9" t="s">
        <v>28</v>
      </c>
      <c r="C7441" s="9" t="n">
        <v>1185732</v>
      </c>
      <c r="D7441" s="10" t="n">
        <v>44319</v>
      </c>
      <c r="E7441" s="9" t="s">
        <v>17</v>
      </c>
      <c r="F7441" s="9" t="s">
        <v>127</v>
      </c>
      <c r="G7441" s="9" t="s">
        <v>128</v>
      </c>
      <c r="H7441" s="11" t="s">
        <v>24</v>
      </c>
      <c r="I7441" s="12" t="n">
        <v>50</v>
      </c>
      <c r="J7441" s="13" t="n">
        <v>70</v>
      </c>
      <c r="K7441" s="14" t="n">
        <f aca="false">I7441*J7441</f>
        <v>3500</v>
      </c>
      <c r="L7441" s="14" t="n">
        <f aca="false">($L$2*M7441)/100</f>
        <v>528733.26</v>
      </c>
      <c r="M7441" s="15" t="n">
        <v>0.44</v>
      </c>
      <c r="N7441" s="9" t="s">
        <v>85</v>
      </c>
    </row>
    <row r="7442" customFormat="false" ht="14.25" hidden="false" customHeight="true" outlineLevel="0" collapsed="false">
      <c r="B7442" s="9" t="s">
        <v>28</v>
      </c>
      <c r="C7442" s="9" t="n">
        <v>1185732</v>
      </c>
      <c r="D7442" s="10" t="n">
        <v>44319</v>
      </c>
      <c r="E7442" s="9" t="s">
        <v>17</v>
      </c>
      <c r="F7442" s="9" t="s">
        <v>127</v>
      </c>
      <c r="G7442" s="9" t="s">
        <v>128</v>
      </c>
      <c r="H7442" s="11" t="s">
        <v>25</v>
      </c>
      <c r="I7442" s="12" t="n">
        <v>55</v>
      </c>
      <c r="J7442" s="13" t="n">
        <v>113</v>
      </c>
      <c r="K7442" s="14" t="n">
        <f aca="false">I7442*J7442</f>
        <v>6215</v>
      </c>
      <c r="L7442" s="14" t="n">
        <f aca="false">($L$2*M7442)/100</f>
        <v>588816.585</v>
      </c>
      <c r="M7442" s="15" t="n">
        <v>0.49</v>
      </c>
      <c r="N7442" s="9" t="s">
        <v>85</v>
      </c>
    </row>
    <row r="7443" customFormat="false" ht="14.25" hidden="false" customHeight="true" outlineLevel="0" collapsed="false">
      <c r="B7443" s="9" t="s">
        <v>28</v>
      </c>
      <c r="C7443" s="9" t="n">
        <v>1185732</v>
      </c>
      <c r="D7443" s="10" t="n">
        <v>44352</v>
      </c>
      <c r="E7443" s="9" t="s">
        <v>17</v>
      </c>
      <c r="F7443" s="9" t="s">
        <v>127</v>
      </c>
      <c r="G7443" s="9" t="s">
        <v>128</v>
      </c>
      <c r="H7443" s="11" t="s">
        <v>19</v>
      </c>
      <c r="I7443" s="12" t="n">
        <v>50</v>
      </c>
      <c r="J7443" s="13" t="n">
        <v>175</v>
      </c>
      <c r="K7443" s="14" t="n">
        <f aca="false">I7443*J7443</f>
        <v>8750</v>
      </c>
      <c r="L7443" s="14" t="n">
        <f aca="false">($L$2*M7443)/100</f>
        <v>660916.575</v>
      </c>
      <c r="M7443" s="15" t="n">
        <v>0.55</v>
      </c>
      <c r="N7443" s="9" t="s">
        <v>85</v>
      </c>
    </row>
    <row r="7444" customFormat="false" ht="14.25" hidden="false" customHeight="true" outlineLevel="0" collapsed="false">
      <c r="B7444" s="9" t="s">
        <v>28</v>
      </c>
      <c r="C7444" s="9" t="n">
        <v>1185732</v>
      </c>
      <c r="D7444" s="10" t="n">
        <v>44352</v>
      </c>
      <c r="E7444" s="9" t="s">
        <v>17</v>
      </c>
      <c r="F7444" s="9" t="s">
        <v>127</v>
      </c>
      <c r="G7444" s="9" t="s">
        <v>128</v>
      </c>
      <c r="H7444" s="11" t="s">
        <v>21</v>
      </c>
      <c r="I7444" s="12" t="n">
        <v>48</v>
      </c>
      <c r="J7444" s="13" t="n">
        <v>94</v>
      </c>
      <c r="K7444" s="14" t="n">
        <f aca="false">I7444*J7444</f>
        <v>4512</v>
      </c>
      <c r="L7444" s="14" t="n">
        <f aca="false">($L$2*M7444)/100</f>
        <v>600833.25</v>
      </c>
      <c r="M7444" s="15" t="n">
        <v>0.5</v>
      </c>
      <c r="N7444" s="9" t="s">
        <v>85</v>
      </c>
    </row>
    <row r="7445" customFormat="false" ht="14.25" hidden="false" customHeight="true" outlineLevel="0" collapsed="false">
      <c r="B7445" s="9" t="s">
        <v>28</v>
      </c>
      <c r="C7445" s="9" t="n">
        <v>1185732</v>
      </c>
      <c r="D7445" s="10" t="n">
        <v>44352</v>
      </c>
      <c r="E7445" s="9" t="s">
        <v>17</v>
      </c>
      <c r="F7445" s="9" t="s">
        <v>127</v>
      </c>
      <c r="G7445" s="9" t="s">
        <v>128</v>
      </c>
      <c r="H7445" s="11" t="s">
        <v>22</v>
      </c>
      <c r="I7445" s="12" t="n">
        <v>42</v>
      </c>
      <c r="J7445" s="13" t="n">
        <v>87</v>
      </c>
      <c r="K7445" s="14" t="n">
        <f aca="false">I7445*J7445</f>
        <v>3654</v>
      </c>
      <c r="L7445" s="14" t="n">
        <f aca="false">($L$2*M7445)/100</f>
        <v>540749.925</v>
      </c>
      <c r="M7445" s="15" t="n">
        <v>0.45</v>
      </c>
      <c r="N7445" s="9" t="s">
        <v>85</v>
      </c>
    </row>
    <row r="7446" customFormat="false" ht="14.25" hidden="false" customHeight="true" outlineLevel="0" collapsed="false">
      <c r="B7446" s="9" t="s">
        <v>28</v>
      </c>
      <c r="C7446" s="9" t="n">
        <v>1185732</v>
      </c>
      <c r="D7446" s="10" t="n">
        <v>44352</v>
      </c>
      <c r="E7446" s="9" t="s">
        <v>17</v>
      </c>
      <c r="F7446" s="9" t="s">
        <v>127</v>
      </c>
      <c r="G7446" s="9" t="s">
        <v>128</v>
      </c>
      <c r="H7446" s="11" t="s">
        <v>23</v>
      </c>
      <c r="I7446" s="12" t="n">
        <v>42</v>
      </c>
      <c r="J7446" s="13" t="n">
        <v>80</v>
      </c>
      <c r="K7446" s="14" t="n">
        <f aca="false">I7446*J7446</f>
        <v>3360</v>
      </c>
      <c r="L7446" s="14" t="n">
        <f aca="false">($L$2*M7446)/100</f>
        <v>504699.93</v>
      </c>
      <c r="M7446" s="15" t="n">
        <v>0.42</v>
      </c>
      <c r="N7446" s="9" t="s">
        <v>85</v>
      </c>
    </row>
    <row r="7447" customFormat="false" ht="14.25" hidden="false" customHeight="true" outlineLevel="0" collapsed="false">
      <c r="B7447" s="9" t="s">
        <v>28</v>
      </c>
      <c r="C7447" s="9" t="n">
        <v>1185732</v>
      </c>
      <c r="D7447" s="10" t="n">
        <v>44352</v>
      </c>
      <c r="E7447" s="9" t="s">
        <v>17</v>
      </c>
      <c r="F7447" s="9" t="s">
        <v>127</v>
      </c>
      <c r="G7447" s="9" t="s">
        <v>128</v>
      </c>
      <c r="H7447" s="11" t="s">
        <v>24</v>
      </c>
      <c r="I7447" s="12" t="n">
        <v>53</v>
      </c>
      <c r="J7447" s="13" t="n">
        <v>74</v>
      </c>
      <c r="K7447" s="14" t="n">
        <f aca="false">I7447*J7447</f>
        <v>3922</v>
      </c>
      <c r="L7447" s="14" t="n">
        <f aca="false">($L$2*M7447)/100</f>
        <v>528733.26</v>
      </c>
      <c r="M7447" s="15" t="n">
        <v>0.44</v>
      </c>
      <c r="N7447" s="9" t="s">
        <v>85</v>
      </c>
    </row>
    <row r="7448" customFormat="false" ht="14.25" hidden="false" customHeight="true" outlineLevel="0" collapsed="false">
      <c r="B7448" s="9" t="s">
        <v>28</v>
      </c>
      <c r="C7448" s="9" t="n">
        <v>1185732</v>
      </c>
      <c r="D7448" s="10" t="n">
        <v>44352</v>
      </c>
      <c r="E7448" s="9" t="s">
        <v>17</v>
      </c>
      <c r="F7448" s="9" t="s">
        <v>127</v>
      </c>
      <c r="G7448" s="9" t="s">
        <v>128</v>
      </c>
      <c r="H7448" s="11" t="s">
        <v>25</v>
      </c>
      <c r="I7448" s="12" t="n">
        <v>56</v>
      </c>
      <c r="J7448" s="13" t="n">
        <v>123</v>
      </c>
      <c r="K7448" s="14" t="n">
        <f aca="false">I7448*J7448</f>
        <v>6888</v>
      </c>
      <c r="L7448" s="14" t="n">
        <f aca="false">($L$2*M7448)/100</f>
        <v>588816.585</v>
      </c>
      <c r="M7448" s="15" t="n">
        <v>0.49</v>
      </c>
      <c r="N7448" s="9" t="s">
        <v>85</v>
      </c>
    </row>
    <row r="7449" customFormat="false" ht="14.25" hidden="false" customHeight="true" outlineLevel="0" collapsed="false">
      <c r="B7449" s="9" t="s">
        <v>28</v>
      </c>
      <c r="C7449" s="9" t="n">
        <v>1185732</v>
      </c>
      <c r="D7449" s="10" t="n">
        <v>44380</v>
      </c>
      <c r="E7449" s="9" t="s">
        <v>17</v>
      </c>
      <c r="F7449" s="9" t="s">
        <v>127</v>
      </c>
      <c r="G7449" s="9" t="s">
        <v>128</v>
      </c>
      <c r="H7449" s="11" t="s">
        <v>19</v>
      </c>
      <c r="I7449" s="12" t="n">
        <v>54</v>
      </c>
      <c r="J7449" s="13" t="n">
        <v>189</v>
      </c>
      <c r="K7449" s="14" t="n">
        <f aca="false">I7449*J7449</f>
        <v>10206</v>
      </c>
      <c r="L7449" s="14" t="n">
        <f aca="false">($L$2*M7449)/100</f>
        <v>648899.91</v>
      </c>
      <c r="M7449" s="15" t="n">
        <v>0.54</v>
      </c>
      <c r="N7449" s="9" t="s">
        <v>85</v>
      </c>
    </row>
    <row r="7450" customFormat="false" ht="14.25" hidden="false" customHeight="true" outlineLevel="0" collapsed="false">
      <c r="B7450" s="9" t="s">
        <v>28</v>
      </c>
      <c r="C7450" s="9" t="n">
        <v>1185732</v>
      </c>
      <c r="D7450" s="10" t="n">
        <v>44380</v>
      </c>
      <c r="E7450" s="9" t="s">
        <v>17</v>
      </c>
      <c r="F7450" s="9" t="s">
        <v>127</v>
      </c>
      <c r="G7450" s="9" t="s">
        <v>128</v>
      </c>
      <c r="H7450" s="11" t="s">
        <v>21</v>
      </c>
      <c r="I7450" s="12" t="n">
        <v>48</v>
      </c>
      <c r="J7450" s="13" t="n">
        <v>112</v>
      </c>
      <c r="K7450" s="14" t="n">
        <f aca="false">I7450*J7450</f>
        <v>5376</v>
      </c>
      <c r="L7450" s="14" t="n">
        <f aca="false">($L$2*M7450)/100</f>
        <v>636883.245</v>
      </c>
      <c r="M7450" s="15" t="n">
        <v>0.53</v>
      </c>
      <c r="N7450" s="9" t="s">
        <v>85</v>
      </c>
    </row>
    <row r="7451" customFormat="false" ht="14.25" hidden="false" customHeight="true" outlineLevel="0" collapsed="false">
      <c r="B7451" s="9" t="s">
        <v>28</v>
      </c>
      <c r="C7451" s="9" t="n">
        <v>1185732</v>
      </c>
      <c r="D7451" s="10" t="n">
        <v>44380</v>
      </c>
      <c r="E7451" s="9" t="s">
        <v>17</v>
      </c>
      <c r="F7451" s="9" t="s">
        <v>127</v>
      </c>
      <c r="G7451" s="9" t="s">
        <v>128</v>
      </c>
      <c r="H7451" s="11" t="s">
        <v>22</v>
      </c>
      <c r="I7451" s="12" t="n">
        <v>44</v>
      </c>
      <c r="J7451" s="13" t="n">
        <v>81</v>
      </c>
      <c r="K7451" s="14" t="n">
        <f aca="false">I7451*J7451</f>
        <v>3564</v>
      </c>
      <c r="L7451" s="14" t="n">
        <f aca="false">($L$2*M7451)/100</f>
        <v>528733.26</v>
      </c>
      <c r="M7451" s="15" t="n">
        <v>0.44</v>
      </c>
      <c r="N7451" s="9" t="s">
        <v>85</v>
      </c>
    </row>
    <row r="7452" customFormat="false" ht="14.25" hidden="false" customHeight="true" outlineLevel="0" collapsed="false">
      <c r="B7452" s="9" t="s">
        <v>28</v>
      </c>
      <c r="C7452" s="9" t="n">
        <v>1185732</v>
      </c>
      <c r="D7452" s="10" t="n">
        <v>44380</v>
      </c>
      <c r="E7452" s="9" t="s">
        <v>17</v>
      </c>
      <c r="F7452" s="9" t="s">
        <v>127</v>
      </c>
      <c r="G7452" s="9" t="s">
        <v>128</v>
      </c>
      <c r="H7452" s="11" t="s">
        <v>23</v>
      </c>
      <c r="I7452" s="12" t="n">
        <v>42</v>
      </c>
      <c r="J7452" s="13" t="n">
        <v>80</v>
      </c>
      <c r="K7452" s="14" t="n">
        <f aca="false">I7452*J7452</f>
        <v>3360</v>
      </c>
      <c r="L7452" s="14" t="n">
        <f aca="false">($L$2*M7452)/100</f>
        <v>528733.26</v>
      </c>
      <c r="M7452" s="15" t="n">
        <v>0.44</v>
      </c>
      <c r="N7452" s="9" t="s">
        <v>85</v>
      </c>
    </row>
    <row r="7453" customFormat="false" ht="14.25" hidden="false" customHeight="true" outlineLevel="0" collapsed="false">
      <c r="B7453" s="9" t="s">
        <v>28</v>
      </c>
      <c r="C7453" s="9" t="n">
        <v>1185732</v>
      </c>
      <c r="D7453" s="10" t="n">
        <v>44380</v>
      </c>
      <c r="E7453" s="9" t="s">
        <v>17</v>
      </c>
      <c r="F7453" s="9" t="s">
        <v>127</v>
      </c>
      <c r="G7453" s="9" t="s">
        <v>128</v>
      </c>
      <c r="H7453" s="11" t="s">
        <v>24</v>
      </c>
      <c r="I7453" s="12" t="n">
        <v>53</v>
      </c>
      <c r="J7453" s="13" t="n">
        <v>81</v>
      </c>
      <c r="K7453" s="14" t="n">
        <f aca="false">I7453*J7453</f>
        <v>4293</v>
      </c>
      <c r="L7453" s="14" t="n">
        <f aca="false">($L$2*M7453)/100</f>
        <v>528733.26</v>
      </c>
      <c r="M7453" s="15" t="n">
        <v>0.44</v>
      </c>
      <c r="N7453" s="9" t="s">
        <v>85</v>
      </c>
    </row>
    <row r="7454" customFormat="false" ht="14.25" hidden="false" customHeight="true" outlineLevel="0" collapsed="false">
      <c r="B7454" s="9" t="s">
        <v>28</v>
      </c>
      <c r="C7454" s="9" t="n">
        <v>1185732</v>
      </c>
      <c r="D7454" s="10" t="n">
        <v>44380</v>
      </c>
      <c r="E7454" s="9" t="s">
        <v>17</v>
      </c>
      <c r="F7454" s="9" t="s">
        <v>127</v>
      </c>
      <c r="G7454" s="9" t="s">
        <v>128</v>
      </c>
      <c r="H7454" s="11" t="s">
        <v>25</v>
      </c>
      <c r="I7454" s="12" t="n">
        <v>56</v>
      </c>
      <c r="J7454" s="13" t="n">
        <v>143</v>
      </c>
      <c r="K7454" s="14" t="n">
        <f aca="false">I7454*J7454</f>
        <v>8008</v>
      </c>
      <c r="L7454" s="14" t="n">
        <f aca="false">($L$2*M7454)/100</f>
        <v>576799.92</v>
      </c>
      <c r="M7454" s="15" t="n">
        <v>0.48</v>
      </c>
      <c r="N7454" s="9" t="s">
        <v>85</v>
      </c>
    </row>
    <row r="7455" customFormat="false" ht="14.25" hidden="false" customHeight="true" outlineLevel="0" collapsed="false">
      <c r="B7455" s="9" t="s">
        <v>28</v>
      </c>
      <c r="C7455" s="9" t="n">
        <v>1185732</v>
      </c>
      <c r="D7455" s="10" t="n">
        <v>44412</v>
      </c>
      <c r="E7455" s="9" t="s">
        <v>17</v>
      </c>
      <c r="F7455" s="9" t="s">
        <v>127</v>
      </c>
      <c r="G7455" s="9" t="s">
        <v>128</v>
      </c>
      <c r="H7455" s="11" t="s">
        <v>19</v>
      </c>
      <c r="I7455" s="12" t="n">
        <v>51</v>
      </c>
      <c r="J7455" s="13" t="n">
        <v>163</v>
      </c>
      <c r="K7455" s="14" t="n">
        <f aca="false">I7455*J7455</f>
        <v>8313</v>
      </c>
      <c r="L7455" s="14" t="n">
        <f aca="false">($L$2*M7455)/100</f>
        <v>660916.575</v>
      </c>
      <c r="M7455" s="15" t="n">
        <v>0.55</v>
      </c>
      <c r="N7455" s="9" t="s">
        <v>85</v>
      </c>
    </row>
    <row r="7456" customFormat="false" ht="14.25" hidden="false" customHeight="true" outlineLevel="0" collapsed="false">
      <c r="B7456" s="9" t="s">
        <v>28</v>
      </c>
      <c r="C7456" s="9" t="n">
        <v>1185732</v>
      </c>
      <c r="D7456" s="10" t="n">
        <v>44412</v>
      </c>
      <c r="E7456" s="9" t="s">
        <v>17</v>
      </c>
      <c r="F7456" s="9" t="s">
        <v>127</v>
      </c>
      <c r="G7456" s="9" t="s">
        <v>128</v>
      </c>
      <c r="H7456" s="11" t="s">
        <v>21</v>
      </c>
      <c r="I7456" s="12" t="n">
        <v>48</v>
      </c>
      <c r="J7456" s="13" t="n">
        <v>108</v>
      </c>
      <c r="K7456" s="14" t="n">
        <f aca="false">I7456*J7456</f>
        <v>5184</v>
      </c>
      <c r="L7456" s="14" t="n">
        <f aca="false">($L$2*M7456)/100</f>
        <v>660916.575</v>
      </c>
      <c r="M7456" s="15" t="n">
        <v>0.55</v>
      </c>
      <c r="N7456" s="9" t="s">
        <v>85</v>
      </c>
    </row>
    <row r="7457" customFormat="false" ht="14.25" hidden="false" customHeight="true" outlineLevel="0" collapsed="false">
      <c r="B7457" s="9" t="s">
        <v>28</v>
      </c>
      <c r="C7457" s="9" t="n">
        <v>1185732</v>
      </c>
      <c r="D7457" s="10" t="n">
        <v>44412</v>
      </c>
      <c r="E7457" s="9" t="s">
        <v>17</v>
      </c>
      <c r="F7457" s="9" t="s">
        <v>127</v>
      </c>
      <c r="G7457" s="9" t="s">
        <v>128</v>
      </c>
      <c r="H7457" s="11" t="s">
        <v>22</v>
      </c>
      <c r="I7457" s="12" t="n">
        <v>41</v>
      </c>
      <c r="J7457" s="13" t="n">
        <v>85</v>
      </c>
      <c r="K7457" s="14" t="n">
        <f aca="false">I7457*J7457</f>
        <v>3485</v>
      </c>
      <c r="L7457" s="14" t="n">
        <f aca="false">($L$2*M7457)/100</f>
        <v>504699.93</v>
      </c>
      <c r="M7457" s="15" t="n">
        <v>0.42</v>
      </c>
      <c r="N7457" s="9" t="s">
        <v>85</v>
      </c>
    </row>
    <row r="7458" customFormat="false" ht="14.25" hidden="false" customHeight="true" outlineLevel="0" collapsed="false">
      <c r="B7458" s="9" t="s">
        <v>28</v>
      </c>
      <c r="C7458" s="9" t="n">
        <v>1185732</v>
      </c>
      <c r="D7458" s="10" t="n">
        <v>44412</v>
      </c>
      <c r="E7458" s="9" t="s">
        <v>17</v>
      </c>
      <c r="F7458" s="9" t="s">
        <v>127</v>
      </c>
      <c r="G7458" s="9" t="s">
        <v>128</v>
      </c>
      <c r="H7458" s="11" t="s">
        <v>23</v>
      </c>
      <c r="I7458" s="12" t="n">
        <v>41</v>
      </c>
      <c r="J7458" s="13" t="n">
        <v>68</v>
      </c>
      <c r="K7458" s="14" t="n">
        <f aca="false">I7458*J7458</f>
        <v>2788</v>
      </c>
      <c r="L7458" s="14" t="n">
        <f aca="false">($L$2*M7458)/100</f>
        <v>492683.265</v>
      </c>
      <c r="M7458" s="15" t="n">
        <v>0.41</v>
      </c>
      <c r="N7458" s="9" t="s">
        <v>85</v>
      </c>
    </row>
    <row r="7459" customFormat="false" ht="14.25" hidden="false" customHeight="true" outlineLevel="0" collapsed="false">
      <c r="B7459" s="9" t="s">
        <v>28</v>
      </c>
      <c r="C7459" s="9" t="n">
        <v>1185732</v>
      </c>
      <c r="D7459" s="10" t="n">
        <v>44412</v>
      </c>
      <c r="E7459" s="9" t="s">
        <v>17</v>
      </c>
      <c r="F7459" s="9" t="s">
        <v>127</v>
      </c>
      <c r="G7459" s="9" t="s">
        <v>128</v>
      </c>
      <c r="H7459" s="11" t="s">
        <v>24</v>
      </c>
      <c r="I7459" s="12" t="n">
        <v>51</v>
      </c>
      <c r="J7459" s="13" t="n">
        <v>52</v>
      </c>
      <c r="K7459" s="14" t="n">
        <f aca="false">I7459*J7459</f>
        <v>2652</v>
      </c>
      <c r="L7459" s="14" t="n">
        <f aca="false">($L$2*M7459)/100</f>
        <v>528733.26</v>
      </c>
      <c r="M7459" s="15" t="n">
        <v>0.44</v>
      </c>
      <c r="N7459" s="9" t="s">
        <v>85</v>
      </c>
    </row>
    <row r="7460" customFormat="false" ht="14.25" hidden="false" customHeight="true" outlineLevel="0" collapsed="false">
      <c r="B7460" s="9" t="s">
        <v>28</v>
      </c>
      <c r="C7460" s="9" t="n">
        <v>1185732</v>
      </c>
      <c r="D7460" s="10" t="n">
        <v>44412</v>
      </c>
      <c r="E7460" s="9" t="s">
        <v>17</v>
      </c>
      <c r="F7460" s="9" t="s">
        <v>127</v>
      </c>
      <c r="G7460" s="9" t="s">
        <v>128</v>
      </c>
      <c r="H7460" s="11" t="s">
        <v>25</v>
      </c>
      <c r="I7460" s="12" t="n">
        <v>55</v>
      </c>
      <c r="J7460" s="13" t="n">
        <v>105</v>
      </c>
      <c r="K7460" s="14" t="n">
        <f aca="false">I7460*J7460</f>
        <v>5775</v>
      </c>
      <c r="L7460" s="14" t="n">
        <f aca="false">($L$2*M7460)/100</f>
        <v>600833.25</v>
      </c>
      <c r="M7460" s="15" t="n">
        <v>0.5</v>
      </c>
      <c r="N7460" s="9" t="s">
        <v>85</v>
      </c>
    </row>
    <row r="7461" customFormat="false" ht="14.25" hidden="false" customHeight="true" outlineLevel="0" collapsed="false">
      <c r="B7461" s="9" t="s">
        <v>28</v>
      </c>
      <c r="C7461" s="9" t="n">
        <v>1185732</v>
      </c>
      <c r="D7461" s="10" t="n">
        <v>44442</v>
      </c>
      <c r="E7461" s="9" t="s">
        <v>17</v>
      </c>
      <c r="F7461" s="9" t="s">
        <v>127</v>
      </c>
      <c r="G7461" s="9" t="s">
        <v>128</v>
      </c>
      <c r="H7461" s="11" t="s">
        <v>19</v>
      </c>
      <c r="I7461" s="12" t="n">
        <v>52</v>
      </c>
      <c r="J7461" s="13" t="n">
        <v>125</v>
      </c>
      <c r="K7461" s="14" t="n">
        <f aca="false">I7461*J7461</f>
        <v>6500</v>
      </c>
      <c r="L7461" s="14" t="n">
        <f aca="false">($L$2*M7461)/100</f>
        <v>648899.91</v>
      </c>
      <c r="M7461" s="15" t="n">
        <v>0.54</v>
      </c>
      <c r="N7461" s="9" t="s">
        <v>85</v>
      </c>
    </row>
    <row r="7462" customFormat="false" ht="14.25" hidden="false" customHeight="true" outlineLevel="0" collapsed="false">
      <c r="B7462" s="9" t="s">
        <v>28</v>
      </c>
      <c r="C7462" s="9" t="n">
        <v>1185732</v>
      </c>
      <c r="D7462" s="10" t="n">
        <v>44442</v>
      </c>
      <c r="E7462" s="9" t="s">
        <v>17</v>
      </c>
      <c r="F7462" s="9" t="s">
        <v>127</v>
      </c>
      <c r="G7462" s="9" t="s">
        <v>128</v>
      </c>
      <c r="H7462" s="11" t="s">
        <v>21</v>
      </c>
      <c r="I7462" s="12" t="n">
        <v>47</v>
      </c>
      <c r="J7462" s="13" t="n">
        <v>75</v>
      </c>
      <c r="K7462" s="14" t="n">
        <f aca="false">I7462*J7462</f>
        <v>3525</v>
      </c>
      <c r="L7462" s="14" t="n">
        <f aca="false">($L$2*M7462)/100</f>
        <v>624866.58</v>
      </c>
      <c r="M7462" s="15" t="n">
        <v>0.52</v>
      </c>
      <c r="N7462" s="9" t="s">
        <v>85</v>
      </c>
    </row>
    <row r="7463" customFormat="false" ht="14.25" hidden="false" customHeight="true" outlineLevel="0" collapsed="false">
      <c r="B7463" s="9" t="s">
        <v>28</v>
      </c>
      <c r="C7463" s="9" t="n">
        <v>1185732</v>
      </c>
      <c r="D7463" s="10" t="n">
        <v>44442</v>
      </c>
      <c r="E7463" s="9" t="s">
        <v>17</v>
      </c>
      <c r="F7463" s="9" t="s">
        <v>127</v>
      </c>
      <c r="G7463" s="9" t="s">
        <v>128</v>
      </c>
      <c r="H7463" s="11" t="s">
        <v>22</v>
      </c>
      <c r="I7463" s="12" t="n">
        <v>41</v>
      </c>
      <c r="J7463" s="13" t="n">
        <v>60</v>
      </c>
      <c r="K7463" s="14" t="n">
        <f aca="false">I7463*J7463</f>
        <v>2460</v>
      </c>
      <c r="L7463" s="14" t="n">
        <f aca="false">($L$2*M7463)/100</f>
        <v>528733.26</v>
      </c>
      <c r="M7463" s="15" t="n">
        <v>0.44</v>
      </c>
      <c r="N7463" s="9" t="s">
        <v>85</v>
      </c>
    </row>
    <row r="7464" customFormat="false" ht="14.25" hidden="false" customHeight="true" outlineLevel="0" collapsed="false">
      <c r="B7464" s="9" t="s">
        <v>28</v>
      </c>
      <c r="C7464" s="9" t="n">
        <v>1185732</v>
      </c>
      <c r="D7464" s="10" t="n">
        <v>44442</v>
      </c>
      <c r="E7464" s="9" t="s">
        <v>17</v>
      </c>
      <c r="F7464" s="9" t="s">
        <v>127</v>
      </c>
      <c r="G7464" s="9" t="s">
        <v>128</v>
      </c>
      <c r="H7464" s="11" t="s">
        <v>23</v>
      </c>
      <c r="I7464" s="12" t="n">
        <v>41</v>
      </c>
      <c r="J7464" s="13" t="n">
        <v>46</v>
      </c>
      <c r="K7464" s="14" t="n">
        <f aca="false">I7464*J7464</f>
        <v>1886</v>
      </c>
      <c r="L7464" s="14" t="n">
        <f aca="false">($L$2*M7464)/100</f>
        <v>540749.925</v>
      </c>
      <c r="M7464" s="15" t="n">
        <v>0.45</v>
      </c>
      <c r="N7464" s="9" t="s">
        <v>85</v>
      </c>
    </row>
    <row r="7465" customFormat="false" ht="14.25" hidden="false" customHeight="true" outlineLevel="0" collapsed="false">
      <c r="B7465" s="9" t="s">
        <v>28</v>
      </c>
      <c r="C7465" s="9" t="n">
        <v>1185732</v>
      </c>
      <c r="D7465" s="10" t="n">
        <v>44442</v>
      </c>
      <c r="E7465" s="9" t="s">
        <v>17</v>
      </c>
      <c r="F7465" s="9" t="s">
        <v>127</v>
      </c>
      <c r="G7465" s="9" t="s">
        <v>128</v>
      </c>
      <c r="H7465" s="11" t="s">
        <v>24</v>
      </c>
      <c r="I7465" s="12" t="n">
        <v>50</v>
      </c>
      <c r="J7465" s="13" t="n">
        <v>51</v>
      </c>
      <c r="K7465" s="14" t="n">
        <f aca="false">I7465*J7465</f>
        <v>2550</v>
      </c>
      <c r="L7465" s="14" t="n">
        <f aca="false">($L$2*M7465)/100</f>
        <v>504699.93</v>
      </c>
      <c r="M7465" s="15" t="n">
        <v>0.42</v>
      </c>
      <c r="N7465" s="9" t="s">
        <v>85</v>
      </c>
    </row>
    <row r="7466" customFormat="false" ht="14.25" hidden="false" customHeight="true" outlineLevel="0" collapsed="false">
      <c r="B7466" s="9" t="s">
        <v>28</v>
      </c>
      <c r="C7466" s="9" t="n">
        <v>1185732</v>
      </c>
      <c r="D7466" s="10" t="n">
        <v>44442</v>
      </c>
      <c r="E7466" s="9" t="s">
        <v>17</v>
      </c>
      <c r="F7466" s="9" t="s">
        <v>127</v>
      </c>
      <c r="G7466" s="9" t="s">
        <v>128</v>
      </c>
      <c r="H7466" s="11" t="s">
        <v>25</v>
      </c>
      <c r="I7466" s="12" t="n">
        <v>54</v>
      </c>
      <c r="J7466" s="13" t="n">
        <v>83</v>
      </c>
      <c r="K7466" s="14" t="n">
        <f aca="false">I7466*J7466</f>
        <v>4482</v>
      </c>
      <c r="L7466" s="14" t="n">
        <f aca="false">($L$2*M7466)/100</f>
        <v>588816.585</v>
      </c>
      <c r="M7466" s="15" t="n">
        <v>0.49</v>
      </c>
      <c r="N7466" s="9" t="s">
        <v>85</v>
      </c>
    </row>
    <row r="7467" customFormat="false" ht="14.25" hidden="false" customHeight="true" outlineLevel="0" collapsed="false">
      <c r="B7467" s="9" t="s">
        <v>28</v>
      </c>
      <c r="C7467" s="9" t="n">
        <v>1185732</v>
      </c>
      <c r="D7467" s="10" t="n">
        <v>44474</v>
      </c>
      <c r="E7467" s="9" t="s">
        <v>17</v>
      </c>
      <c r="F7467" s="9" t="s">
        <v>127</v>
      </c>
      <c r="G7467" s="9" t="s">
        <v>128</v>
      </c>
      <c r="H7467" s="11" t="s">
        <v>19</v>
      </c>
      <c r="I7467" s="12" t="n">
        <v>59</v>
      </c>
      <c r="J7467" s="13" t="n">
        <v>113</v>
      </c>
      <c r="K7467" s="14" t="n">
        <f aca="false">I7467*J7467</f>
        <v>6667</v>
      </c>
      <c r="L7467" s="14" t="n">
        <f aca="false">($L$2*M7467)/100</f>
        <v>660916.575</v>
      </c>
      <c r="M7467" s="15" t="n">
        <v>0.55</v>
      </c>
      <c r="N7467" s="9" t="s">
        <v>85</v>
      </c>
    </row>
    <row r="7468" customFormat="false" ht="14.25" hidden="false" customHeight="true" outlineLevel="0" collapsed="false">
      <c r="B7468" s="9" t="s">
        <v>28</v>
      </c>
      <c r="C7468" s="9" t="n">
        <v>1185732</v>
      </c>
      <c r="D7468" s="10" t="n">
        <v>44474</v>
      </c>
      <c r="E7468" s="9" t="s">
        <v>17</v>
      </c>
      <c r="F7468" s="9" t="s">
        <v>127</v>
      </c>
      <c r="G7468" s="9" t="s">
        <v>128</v>
      </c>
      <c r="H7468" s="11" t="s">
        <v>21</v>
      </c>
      <c r="I7468" s="12" t="n">
        <v>52</v>
      </c>
      <c r="J7468" s="13" t="n">
        <v>72</v>
      </c>
      <c r="K7468" s="14" t="n">
        <f aca="false">I7468*J7468</f>
        <v>3744</v>
      </c>
      <c r="L7468" s="14" t="n">
        <f aca="false">($L$2*M7468)/100</f>
        <v>600833.25</v>
      </c>
      <c r="M7468" s="15" t="n">
        <v>0.5</v>
      </c>
      <c r="N7468" s="9" t="s">
        <v>85</v>
      </c>
    </row>
    <row r="7469" customFormat="false" ht="14.25" hidden="false" customHeight="true" outlineLevel="0" collapsed="false">
      <c r="B7469" s="9" t="s">
        <v>28</v>
      </c>
      <c r="C7469" s="9" t="n">
        <v>1185732</v>
      </c>
      <c r="D7469" s="10" t="n">
        <v>44474</v>
      </c>
      <c r="E7469" s="9" t="s">
        <v>17</v>
      </c>
      <c r="F7469" s="9" t="s">
        <v>127</v>
      </c>
      <c r="G7469" s="9" t="s">
        <v>128</v>
      </c>
      <c r="H7469" s="11" t="s">
        <v>22</v>
      </c>
      <c r="I7469" s="12" t="n">
        <v>53</v>
      </c>
      <c r="J7469" s="13" t="n">
        <v>49</v>
      </c>
      <c r="K7469" s="14" t="n">
        <f aca="false">I7469*J7469</f>
        <v>2597</v>
      </c>
      <c r="L7469" s="14" t="n">
        <f aca="false">($L$2*M7469)/100</f>
        <v>516716.595</v>
      </c>
      <c r="M7469" s="15" t="n">
        <v>0.43</v>
      </c>
      <c r="N7469" s="9" t="s">
        <v>85</v>
      </c>
    </row>
    <row r="7470" customFormat="false" ht="14.25" hidden="false" customHeight="true" outlineLevel="0" collapsed="false">
      <c r="B7470" s="9" t="s">
        <v>28</v>
      </c>
      <c r="C7470" s="9" t="n">
        <v>1185732</v>
      </c>
      <c r="D7470" s="10" t="n">
        <v>44474</v>
      </c>
      <c r="E7470" s="9" t="s">
        <v>17</v>
      </c>
      <c r="F7470" s="9" t="s">
        <v>127</v>
      </c>
      <c r="G7470" s="9" t="s">
        <v>128</v>
      </c>
      <c r="H7470" s="11" t="s">
        <v>23</v>
      </c>
      <c r="I7470" s="12" t="n">
        <v>50</v>
      </c>
      <c r="J7470" s="13" t="n">
        <v>38</v>
      </c>
      <c r="K7470" s="14" t="n">
        <f aca="false">I7470*J7470</f>
        <v>1900</v>
      </c>
      <c r="L7470" s="14" t="n">
        <f aca="false">($L$2*M7470)/100</f>
        <v>480666.6</v>
      </c>
      <c r="M7470" s="15" t="n">
        <v>0.4</v>
      </c>
      <c r="N7470" s="9" t="s">
        <v>85</v>
      </c>
    </row>
    <row r="7471" customFormat="false" ht="14.25" hidden="false" customHeight="true" outlineLevel="0" collapsed="false">
      <c r="B7471" s="9" t="s">
        <v>28</v>
      </c>
      <c r="C7471" s="9" t="n">
        <v>1185732</v>
      </c>
      <c r="D7471" s="10" t="n">
        <v>44474</v>
      </c>
      <c r="E7471" s="9" t="s">
        <v>17</v>
      </c>
      <c r="F7471" s="9" t="s">
        <v>127</v>
      </c>
      <c r="G7471" s="9" t="s">
        <v>128</v>
      </c>
      <c r="H7471" s="11" t="s">
        <v>24</v>
      </c>
      <c r="I7471" s="12" t="n">
        <v>64</v>
      </c>
      <c r="J7471" s="13" t="n">
        <v>42</v>
      </c>
      <c r="K7471" s="14" t="n">
        <f aca="false">I7471*J7471</f>
        <v>2688</v>
      </c>
      <c r="L7471" s="14" t="n">
        <f aca="false">($L$2*M7471)/100</f>
        <v>504699.93</v>
      </c>
      <c r="M7471" s="15" t="n">
        <v>0.42</v>
      </c>
      <c r="N7471" s="9" t="s">
        <v>85</v>
      </c>
    </row>
    <row r="7472" customFormat="false" ht="14.25" hidden="false" customHeight="true" outlineLevel="0" collapsed="false">
      <c r="B7472" s="9" t="s">
        <v>16</v>
      </c>
      <c r="C7472" s="9" t="n">
        <v>1185732</v>
      </c>
      <c r="D7472" s="10" t="n">
        <v>44474</v>
      </c>
      <c r="E7472" s="9" t="s">
        <v>17</v>
      </c>
      <c r="F7472" s="9" t="s">
        <v>127</v>
      </c>
      <c r="G7472" s="9" t="s">
        <v>128</v>
      </c>
      <c r="H7472" s="11" t="s">
        <v>25</v>
      </c>
      <c r="I7472" s="12" t="n">
        <v>63</v>
      </c>
      <c r="J7472" s="13" t="n">
        <v>74</v>
      </c>
      <c r="K7472" s="14" t="n">
        <f aca="false">I7472*J7472</f>
        <v>4662</v>
      </c>
      <c r="L7472" s="14" t="n">
        <f aca="false">($L$2*M7472)/100</f>
        <v>600833.25</v>
      </c>
      <c r="M7472" s="15" t="n">
        <v>0.5</v>
      </c>
      <c r="N7472" s="9" t="s">
        <v>85</v>
      </c>
    </row>
    <row r="7473" customFormat="false" ht="14.25" hidden="false" customHeight="true" outlineLevel="0" collapsed="false">
      <c r="B7473" s="9" t="s">
        <v>16</v>
      </c>
      <c r="C7473" s="9" t="n">
        <v>1185732</v>
      </c>
      <c r="D7473" s="10" t="n">
        <v>44504</v>
      </c>
      <c r="E7473" s="9" t="s">
        <v>17</v>
      </c>
      <c r="F7473" s="9" t="s">
        <v>127</v>
      </c>
      <c r="G7473" s="9" t="s">
        <v>128</v>
      </c>
      <c r="H7473" s="11" t="s">
        <v>19</v>
      </c>
      <c r="I7473" s="12" t="n">
        <v>60</v>
      </c>
      <c r="J7473" s="13" t="n">
        <v>111</v>
      </c>
      <c r="K7473" s="14" t="n">
        <f aca="false">I7473*J7473</f>
        <v>6660</v>
      </c>
      <c r="L7473" s="14" t="n">
        <f aca="false">($L$2*M7473)/100</f>
        <v>600833.25</v>
      </c>
      <c r="M7473" s="15" t="n">
        <v>0.5</v>
      </c>
      <c r="N7473" s="9" t="s">
        <v>85</v>
      </c>
    </row>
    <row r="7474" customFormat="false" ht="14.25" hidden="false" customHeight="true" outlineLevel="0" collapsed="false">
      <c r="B7474" s="9" t="s">
        <v>16</v>
      </c>
      <c r="C7474" s="9" t="n">
        <v>1185732</v>
      </c>
      <c r="D7474" s="10" t="n">
        <v>44504</v>
      </c>
      <c r="E7474" s="9" t="s">
        <v>17</v>
      </c>
      <c r="F7474" s="9" t="s">
        <v>127</v>
      </c>
      <c r="G7474" s="9" t="s">
        <v>128</v>
      </c>
      <c r="H7474" s="11" t="s">
        <v>21</v>
      </c>
      <c r="I7474" s="12" t="n">
        <v>51</v>
      </c>
      <c r="J7474" s="13" t="n">
        <v>84</v>
      </c>
      <c r="K7474" s="14" t="n">
        <f aca="false">I7474*J7474</f>
        <v>4284</v>
      </c>
      <c r="L7474" s="14" t="n">
        <f aca="false">($L$2*M7474)/100</f>
        <v>624866.58</v>
      </c>
      <c r="M7474" s="15" t="n">
        <v>0.52</v>
      </c>
      <c r="N7474" s="9" t="s">
        <v>85</v>
      </c>
    </row>
    <row r="7475" customFormat="false" ht="14.25" hidden="false" customHeight="true" outlineLevel="0" collapsed="false">
      <c r="B7475" s="9" t="s">
        <v>16</v>
      </c>
      <c r="C7475" s="9" t="n">
        <v>1185732</v>
      </c>
      <c r="D7475" s="10" t="n">
        <v>44504</v>
      </c>
      <c r="E7475" s="9" t="s">
        <v>17</v>
      </c>
      <c r="F7475" s="9" t="s">
        <v>127</v>
      </c>
      <c r="G7475" s="9" t="s">
        <v>128</v>
      </c>
      <c r="H7475" s="11" t="s">
        <v>22</v>
      </c>
      <c r="I7475" s="12" t="n">
        <v>51</v>
      </c>
      <c r="J7475" s="13" t="n">
        <v>80</v>
      </c>
      <c r="K7475" s="14" t="n">
        <f aca="false">I7475*J7475</f>
        <v>4080</v>
      </c>
      <c r="L7475" s="14" t="n">
        <f aca="false">($L$2*M7475)/100</f>
        <v>540749.925</v>
      </c>
      <c r="M7475" s="15" t="n">
        <v>0.45</v>
      </c>
      <c r="N7475" s="9" t="s">
        <v>85</v>
      </c>
    </row>
    <row r="7476" customFormat="false" ht="14.25" hidden="false" customHeight="true" outlineLevel="0" collapsed="false">
      <c r="B7476" s="9" t="s">
        <v>16</v>
      </c>
      <c r="C7476" s="9" t="n">
        <v>1185732</v>
      </c>
      <c r="D7476" s="10" t="n">
        <v>44504</v>
      </c>
      <c r="E7476" s="9" t="s">
        <v>17</v>
      </c>
      <c r="F7476" s="9" t="s">
        <v>127</v>
      </c>
      <c r="G7476" s="9" t="s">
        <v>128</v>
      </c>
      <c r="H7476" s="11" t="s">
        <v>23</v>
      </c>
      <c r="I7476" s="12" t="n">
        <v>50</v>
      </c>
      <c r="J7476" s="13" t="n">
        <v>80</v>
      </c>
      <c r="K7476" s="14" t="n">
        <f aca="false">I7476*J7476</f>
        <v>4000</v>
      </c>
      <c r="L7476" s="14" t="n">
        <f aca="false">($L$2*M7476)/100</f>
        <v>504699.93</v>
      </c>
      <c r="M7476" s="15" t="n">
        <v>0.42</v>
      </c>
      <c r="N7476" s="9" t="s">
        <v>85</v>
      </c>
    </row>
    <row r="7477" customFormat="false" ht="14.25" hidden="false" customHeight="true" outlineLevel="0" collapsed="false">
      <c r="B7477" s="9" t="s">
        <v>16</v>
      </c>
      <c r="C7477" s="9" t="n">
        <v>1185732</v>
      </c>
      <c r="D7477" s="10" t="n">
        <v>44504</v>
      </c>
      <c r="E7477" s="9" t="s">
        <v>17</v>
      </c>
      <c r="F7477" s="9" t="s">
        <v>127</v>
      </c>
      <c r="G7477" s="9" t="s">
        <v>128</v>
      </c>
      <c r="H7477" s="11" t="s">
        <v>24</v>
      </c>
      <c r="I7477" s="12" t="n">
        <v>60</v>
      </c>
      <c r="J7477" s="13" t="n">
        <v>68</v>
      </c>
      <c r="K7477" s="14" t="n">
        <f aca="false">I7477*J7477</f>
        <v>4080</v>
      </c>
      <c r="L7477" s="14" t="n">
        <f aca="false">($L$2*M7477)/100</f>
        <v>528733.26</v>
      </c>
      <c r="M7477" s="15" t="n">
        <v>0.44</v>
      </c>
      <c r="N7477" s="9" t="s">
        <v>85</v>
      </c>
    </row>
    <row r="7478" customFormat="false" ht="14.25" hidden="false" customHeight="true" outlineLevel="0" collapsed="false">
      <c r="B7478" s="9" t="s">
        <v>16</v>
      </c>
      <c r="C7478" s="9" t="n">
        <v>1185732</v>
      </c>
      <c r="D7478" s="10" t="n">
        <v>44504</v>
      </c>
      <c r="E7478" s="9" t="s">
        <v>17</v>
      </c>
      <c r="F7478" s="9" t="s">
        <v>127</v>
      </c>
      <c r="G7478" s="9" t="s">
        <v>128</v>
      </c>
      <c r="H7478" s="11" t="s">
        <v>25</v>
      </c>
      <c r="I7478" s="12" t="n">
        <v>67</v>
      </c>
      <c r="J7478" s="13" t="n">
        <v>95</v>
      </c>
      <c r="K7478" s="14" t="n">
        <f aca="false">I7478*J7478</f>
        <v>6365</v>
      </c>
      <c r="L7478" s="14" t="n">
        <f aca="false">($L$2*M7478)/100</f>
        <v>564783.255</v>
      </c>
      <c r="M7478" s="15" t="n">
        <v>0.47</v>
      </c>
      <c r="N7478" s="9" t="s">
        <v>85</v>
      </c>
    </row>
    <row r="7479" customFormat="false" ht="14.25" hidden="false" customHeight="true" outlineLevel="0" collapsed="false">
      <c r="B7479" s="9" t="s">
        <v>16</v>
      </c>
      <c r="C7479" s="9" t="n">
        <v>1185732</v>
      </c>
      <c r="D7479" s="10" t="n">
        <v>44533</v>
      </c>
      <c r="E7479" s="9" t="s">
        <v>17</v>
      </c>
      <c r="F7479" s="9" t="s">
        <v>127</v>
      </c>
      <c r="G7479" s="9" t="s">
        <v>128</v>
      </c>
      <c r="H7479" s="11" t="s">
        <v>19</v>
      </c>
      <c r="I7479" s="12" t="n">
        <v>59</v>
      </c>
      <c r="J7479" s="13" t="n">
        <v>150</v>
      </c>
      <c r="K7479" s="14" t="n">
        <f aca="false">I7479*J7479</f>
        <v>8850</v>
      </c>
      <c r="L7479" s="14" t="n">
        <f aca="false">($L$2*M7479)/100</f>
        <v>612849.915</v>
      </c>
      <c r="M7479" s="15" t="n">
        <v>0.51</v>
      </c>
      <c r="N7479" s="9" t="s">
        <v>85</v>
      </c>
    </row>
    <row r="7480" customFormat="false" ht="14.25" hidden="false" customHeight="true" outlineLevel="0" collapsed="false">
      <c r="B7480" s="9" t="s">
        <v>16</v>
      </c>
      <c r="C7480" s="9" t="n">
        <v>1185732</v>
      </c>
      <c r="D7480" s="10" t="n">
        <v>44533</v>
      </c>
      <c r="E7480" s="9" t="s">
        <v>17</v>
      </c>
      <c r="F7480" s="9" t="s">
        <v>127</v>
      </c>
      <c r="G7480" s="9" t="s">
        <v>128</v>
      </c>
      <c r="H7480" s="11" t="s">
        <v>21</v>
      </c>
      <c r="I7480" s="12" t="n">
        <v>51</v>
      </c>
      <c r="J7480" s="13" t="n">
        <v>101</v>
      </c>
      <c r="K7480" s="14" t="n">
        <f aca="false">I7480*J7480</f>
        <v>5151</v>
      </c>
      <c r="L7480" s="14" t="n">
        <f aca="false">($L$2*M7480)/100</f>
        <v>612849.915</v>
      </c>
      <c r="M7480" s="15" t="n">
        <v>0.51</v>
      </c>
      <c r="N7480" s="9" t="s">
        <v>85</v>
      </c>
    </row>
    <row r="7481" customFormat="false" ht="14.25" hidden="false" customHeight="true" outlineLevel="0" collapsed="false">
      <c r="B7481" s="9" t="s">
        <v>16</v>
      </c>
      <c r="C7481" s="9" t="n">
        <v>1185732</v>
      </c>
      <c r="D7481" s="10" t="n">
        <v>44533</v>
      </c>
      <c r="E7481" s="9" t="s">
        <v>17</v>
      </c>
      <c r="F7481" s="9" t="s">
        <v>127</v>
      </c>
      <c r="G7481" s="9" t="s">
        <v>128</v>
      </c>
      <c r="H7481" s="11" t="s">
        <v>22</v>
      </c>
      <c r="I7481" s="12" t="n">
        <v>50</v>
      </c>
      <c r="J7481" s="13" t="n">
        <v>88</v>
      </c>
      <c r="K7481" s="14" t="n">
        <f aca="false">I7481*J7481</f>
        <v>4400</v>
      </c>
      <c r="L7481" s="14" t="n">
        <f aca="false">($L$2*M7481)/100</f>
        <v>540749.925</v>
      </c>
      <c r="M7481" s="15" t="n">
        <v>0.45</v>
      </c>
      <c r="N7481" s="9" t="s">
        <v>85</v>
      </c>
    </row>
    <row r="7482" customFormat="false" ht="14.25" hidden="false" customHeight="true" outlineLevel="0" collapsed="false">
      <c r="B7482" s="9" t="s">
        <v>16</v>
      </c>
      <c r="C7482" s="9" t="n">
        <v>1185732</v>
      </c>
      <c r="D7482" s="10" t="n">
        <v>44533</v>
      </c>
      <c r="E7482" s="9" t="s">
        <v>17</v>
      </c>
      <c r="F7482" s="9" t="s">
        <v>127</v>
      </c>
      <c r="G7482" s="9" t="s">
        <v>128</v>
      </c>
      <c r="H7482" s="11" t="s">
        <v>23</v>
      </c>
      <c r="I7482" s="12" t="n">
        <v>53</v>
      </c>
      <c r="J7482" s="13" t="n">
        <v>87</v>
      </c>
      <c r="K7482" s="14" t="n">
        <f aca="false">I7482*J7482</f>
        <v>4611</v>
      </c>
      <c r="L7482" s="14" t="n">
        <f aca="false">($L$2*M7482)/100</f>
        <v>504699.93</v>
      </c>
      <c r="M7482" s="15" t="n">
        <v>0.42</v>
      </c>
      <c r="N7482" s="9" t="s">
        <v>85</v>
      </c>
    </row>
    <row r="7483" customFormat="false" ht="14.25" hidden="false" customHeight="true" outlineLevel="0" collapsed="false">
      <c r="B7483" s="9" t="s">
        <v>16</v>
      </c>
      <c r="C7483" s="9" t="n">
        <v>1185732</v>
      </c>
      <c r="D7483" s="10" t="n">
        <v>44533</v>
      </c>
      <c r="E7483" s="9" t="s">
        <v>17</v>
      </c>
      <c r="F7483" s="9" t="s">
        <v>127</v>
      </c>
      <c r="G7483" s="9" t="s">
        <v>128</v>
      </c>
      <c r="H7483" s="11" t="s">
        <v>24</v>
      </c>
      <c r="I7483" s="12" t="n">
        <v>60</v>
      </c>
      <c r="J7483" s="13" t="n">
        <v>78</v>
      </c>
      <c r="K7483" s="14" t="n">
        <f aca="false">I7483*J7483</f>
        <v>4680</v>
      </c>
      <c r="L7483" s="14" t="n">
        <f aca="false">($L$2*M7483)/100</f>
        <v>540749.925</v>
      </c>
      <c r="M7483" s="15" t="n">
        <v>0.45</v>
      </c>
      <c r="N7483" s="9" t="s">
        <v>85</v>
      </c>
    </row>
    <row r="7484" customFormat="false" ht="14.25" hidden="false" customHeight="true" outlineLevel="0" collapsed="false">
      <c r="B7484" s="9" t="s">
        <v>16</v>
      </c>
      <c r="C7484" s="9" t="n">
        <v>1185732</v>
      </c>
      <c r="D7484" s="10" t="n">
        <v>44533</v>
      </c>
      <c r="E7484" s="9" t="s">
        <v>17</v>
      </c>
      <c r="F7484" s="9" t="s">
        <v>127</v>
      </c>
      <c r="G7484" s="9" t="s">
        <v>128</v>
      </c>
      <c r="H7484" s="11" t="s">
        <v>25</v>
      </c>
      <c r="I7484" s="12" t="n">
        <v>67</v>
      </c>
      <c r="J7484" s="13" t="n">
        <v>112</v>
      </c>
      <c r="K7484" s="14" t="n">
        <f aca="false">I7484*J7484</f>
        <v>7504</v>
      </c>
      <c r="L7484" s="14" t="n">
        <f aca="false">($L$2*M7484)/100</f>
        <v>552766.59</v>
      </c>
      <c r="M7484" s="15" t="n">
        <v>0.46</v>
      </c>
      <c r="N7484" s="9" t="s">
        <v>85</v>
      </c>
    </row>
    <row r="7485" customFormat="false" ht="14.25" hidden="false" customHeight="true" outlineLevel="0" collapsed="false">
      <c r="B7485" s="9" t="s">
        <v>16</v>
      </c>
      <c r="C7485" s="9" t="n">
        <v>1185732</v>
      </c>
      <c r="D7485" s="10" t="n">
        <v>44206</v>
      </c>
      <c r="E7485" s="9" t="s">
        <v>17</v>
      </c>
      <c r="F7485" s="9" t="s">
        <v>127</v>
      </c>
      <c r="G7485" s="9" t="s">
        <v>128</v>
      </c>
      <c r="H7485" s="11" t="s">
        <v>19</v>
      </c>
      <c r="I7485" s="12" t="n">
        <v>34</v>
      </c>
      <c r="J7485" s="13" t="n">
        <v>115</v>
      </c>
      <c r="K7485" s="14" t="n">
        <f aca="false">I7485*J7485</f>
        <v>3910</v>
      </c>
      <c r="L7485" s="14" t="n">
        <f aca="false">($L$2*M7485)/100</f>
        <v>552766.59</v>
      </c>
      <c r="M7485" s="15" t="n">
        <v>0.46</v>
      </c>
      <c r="N7485" s="9" t="s">
        <v>85</v>
      </c>
    </row>
    <row r="7486" customFormat="false" ht="14.25" hidden="false" customHeight="true" outlineLevel="0" collapsed="false">
      <c r="B7486" s="9" t="s">
        <v>16</v>
      </c>
      <c r="C7486" s="9" t="n">
        <v>1185732</v>
      </c>
      <c r="D7486" s="10" t="n">
        <v>44206</v>
      </c>
      <c r="E7486" s="9" t="s">
        <v>17</v>
      </c>
      <c r="F7486" s="9" t="s">
        <v>127</v>
      </c>
      <c r="G7486" s="9" t="s">
        <v>128</v>
      </c>
      <c r="H7486" s="11" t="s">
        <v>21</v>
      </c>
      <c r="I7486" s="12" t="n">
        <v>34</v>
      </c>
      <c r="J7486" s="13" t="n">
        <v>63</v>
      </c>
      <c r="K7486" s="14" t="n">
        <f aca="false">I7486*J7486</f>
        <v>2142</v>
      </c>
      <c r="L7486" s="14" t="n">
        <f aca="false">($L$2*M7486)/100</f>
        <v>540749.925</v>
      </c>
      <c r="M7486" s="15" t="n">
        <v>0.45</v>
      </c>
      <c r="N7486" s="9" t="s">
        <v>85</v>
      </c>
    </row>
    <row r="7487" customFormat="false" ht="14.25" hidden="false" customHeight="true" outlineLevel="0" collapsed="false">
      <c r="B7487" s="9" t="s">
        <v>16</v>
      </c>
      <c r="C7487" s="9" t="n">
        <v>1185732</v>
      </c>
      <c r="D7487" s="10" t="n">
        <v>44206</v>
      </c>
      <c r="E7487" s="9" t="s">
        <v>17</v>
      </c>
      <c r="F7487" s="9" t="s">
        <v>127</v>
      </c>
      <c r="G7487" s="9" t="s">
        <v>128</v>
      </c>
      <c r="H7487" s="11" t="s">
        <v>22</v>
      </c>
      <c r="I7487" s="12" t="n">
        <v>24</v>
      </c>
      <c r="J7487" s="13" t="n">
        <v>63</v>
      </c>
      <c r="K7487" s="14" t="n">
        <f aca="false">I7487*J7487</f>
        <v>1512</v>
      </c>
      <c r="L7487" s="14" t="n">
        <f aca="false">($L$2*M7487)/100</f>
        <v>660916.575</v>
      </c>
      <c r="M7487" s="15" t="n">
        <v>0.55</v>
      </c>
      <c r="N7487" s="9" t="s">
        <v>85</v>
      </c>
    </row>
    <row r="7488" customFormat="false" ht="14.25" hidden="false" customHeight="true" outlineLevel="0" collapsed="false">
      <c r="B7488" s="9" t="s">
        <v>16</v>
      </c>
      <c r="C7488" s="9" t="n">
        <v>1185732</v>
      </c>
      <c r="D7488" s="10" t="n">
        <v>44206</v>
      </c>
      <c r="E7488" s="9" t="s">
        <v>17</v>
      </c>
      <c r="F7488" s="9" t="s">
        <v>127</v>
      </c>
      <c r="G7488" s="9" t="s">
        <v>128</v>
      </c>
      <c r="H7488" s="11" t="s">
        <v>23</v>
      </c>
      <c r="I7488" s="12" t="n">
        <v>29</v>
      </c>
      <c r="J7488" s="13" t="n">
        <v>20</v>
      </c>
      <c r="K7488" s="14" t="n">
        <f aca="false">I7488*J7488</f>
        <v>580</v>
      </c>
      <c r="L7488" s="14" t="n">
        <f aca="false">($L$2*M7488)/100</f>
        <v>636883.245</v>
      </c>
      <c r="M7488" s="15" t="n">
        <v>0.53</v>
      </c>
      <c r="N7488" s="9" t="s">
        <v>85</v>
      </c>
    </row>
    <row r="7489" customFormat="false" ht="14.25" hidden="false" customHeight="true" outlineLevel="0" collapsed="false">
      <c r="B7489" s="9" t="s">
        <v>16</v>
      </c>
      <c r="C7489" s="9" t="n">
        <v>1185732</v>
      </c>
      <c r="D7489" s="10" t="n">
        <v>44206</v>
      </c>
      <c r="E7489" s="9" t="s">
        <v>17</v>
      </c>
      <c r="F7489" s="9" t="s">
        <v>127</v>
      </c>
      <c r="G7489" s="9" t="s">
        <v>128</v>
      </c>
      <c r="H7489" s="11" t="s">
        <v>24</v>
      </c>
      <c r="I7489" s="12" t="n">
        <v>44</v>
      </c>
      <c r="J7489" s="13" t="n">
        <v>33</v>
      </c>
      <c r="K7489" s="14" t="n">
        <f aca="false">I7489*J7489</f>
        <v>1452</v>
      </c>
      <c r="L7489" s="14" t="n">
        <f aca="false">($L$2*M7489)/100</f>
        <v>480666.6</v>
      </c>
      <c r="M7489" s="15" t="n">
        <v>0.4</v>
      </c>
      <c r="N7489" s="9" t="s">
        <v>85</v>
      </c>
    </row>
    <row r="7490" customFormat="false" ht="14.25" hidden="false" customHeight="true" outlineLevel="0" collapsed="false">
      <c r="B7490" s="9" t="s">
        <v>16</v>
      </c>
      <c r="C7490" s="9" t="n">
        <v>1185732</v>
      </c>
      <c r="D7490" s="10" t="n">
        <v>44206</v>
      </c>
      <c r="E7490" s="9" t="s">
        <v>17</v>
      </c>
      <c r="F7490" s="9" t="s">
        <v>127</v>
      </c>
      <c r="G7490" s="9" t="s">
        <v>128</v>
      </c>
      <c r="H7490" s="11" t="s">
        <v>25</v>
      </c>
      <c r="I7490" s="12" t="n">
        <v>33</v>
      </c>
      <c r="J7490" s="13" t="n">
        <v>63</v>
      </c>
      <c r="K7490" s="14" t="n">
        <f aca="false">I7490*J7490</f>
        <v>2079</v>
      </c>
      <c r="L7490" s="14" t="n">
        <f aca="false">($L$2*M7490)/100</f>
        <v>648899.91</v>
      </c>
      <c r="M7490" s="15" t="n">
        <v>0.54</v>
      </c>
      <c r="N7490" s="9" t="s">
        <v>85</v>
      </c>
    </row>
    <row r="7491" customFormat="false" ht="14.25" hidden="false" customHeight="true" outlineLevel="0" collapsed="false">
      <c r="B7491" s="9" t="s">
        <v>16</v>
      </c>
      <c r="C7491" s="9" t="n">
        <v>1185732</v>
      </c>
      <c r="D7491" s="10" t="n">
        <v>44235</v>
      </c>
      <c r="E7491" s="9" t="s">
        <v>17</v>
      </c>
      <c r="F7491" s="9" t="s">
        <v>127</v>
      </c>
      <c r="G7491" s="9" t="s">
        <v>128</v>
      </c>
      <c r="H7491" s="11" t="s">
        <v>19</v>
      </c>
      <c r="I7491" s="12" t="n">
        <v>34</v>
      </c>
      <c r="J7491" s="13" t="n">
        <v>119</v>
      </c>
      <c r="K7491" s="14" t="n">
        <f aca="false">I7491*J7491</f>
        <v>4046</v>
      </c>
      <c r="L7491" s="14" t="n">
        <f aca="false">($L$2*M7491)/100</f>
        <v>588816.585</v>
      </c>
      <c r="M7491" s="15" t="n">
        <v>0.49</v>
      </c>
      <c r="N7491" s="9" t="s">
        <v>85</v>
      </c>
    </row>
    <row r="7492" customFormat="false" ht="14.25" hidden="false" customHeight="true" outlineLevel="0" collapsed="false">
      <c r="B7492" s="9" t="s">
        <v>16</v>
      </c>
      <c r="C7492" s="9" t="n">
        <v>1185732</v>
      </c>
      <c r="D7492" s="10" t="n">
        <v>44235</v>
      </c>
      <c r="E7492" s="9" t="s">
        <v>17</v>
      </c>
      <c r="F7492" s="9" t="s">
        <v>127</v>
      </c>
      <c r="G7492" s="9" t="s">
        <v>128</v>
      </c>
      <c r="H7492" s="11" t="s">
        <v>21</v>
      </c>
      <c r="I7492" s="12" t="n">
        <v>34</v>
      </c>
      <c r="J7492" s="13" t="n">
        <v>36</v>
      </c>
      <c r="K7492" s="14" t="n">
        <f aca="false">I7492*J7492</f>
        <v>1224</v>
      </c>
      <c r="L7492" s="14" t="n">
        <f aca="false">($L$2*M7492)/100</f>
        <v>564783.255</v>
      </c>
      <c r="M7492" s="15" t="n">
        <v>0.47</v>
      </c>
      <c r="N7492" s="9" t="s">
        <v>85</v>
      </c>
    </row>
    <row r="7493" customFormat="false" ht="14.25" hidden="false" customHeight="true" outlineLevel="0" collapsed="false">
      <c r="B7493" s="9" t="s">
        <v>16</v>
      </c>
      <c r="C7493" s="9" t="n">
        <v>1185732</v>
      </c>
      <c r="D7493" s="10" t="n">
        <v>44235</v>
      </c>
      <c r="E7493" s="9" t="s">
        <v>17</v>
      </c>
      <c r="F7493" s="9" t="s">
        <v>127</v>
      </c>
      <c r="G7493" s="9" t="s">
        <v>128</v>
      </c>
      <c r="H7493" s="11" t="s">
        <v>22</v>
      </c>
      <c r="I7493" s="12" t="n">
        <v>24</v>
      </c>
      <c r="J7493" s="13" t="n">
        <v>49</v>
      </c>
      <c r="K7493" s="14" t="n">
        <f aca="false">I7493*J7493</f>
        <v>1176</v>
      </c>
      <c r="L7493" s="14" t="n">
        <f aca="false">($L$2*M7493)/100</f>
        <v>600833.25</v>
      </c>
      <c r="M7493" s="15" t="n">
        <v>0.5</v>
      </c>
      <c r="N7493" s="9" t="s">
        <v>85</v>
      </c>
    </row>
    <row r="7494" customFormat="false" ht="14.25" hidden="false" customHeight="true" outlineLevel="0" collapsed="false">
      <c r="B7494" s="9" t="s">
        <v>16</v>
      </c>
      <c r="C7494" s="9" t="n">
        <v>1185732</v>
      </c>
      <c r="D7494" s="10" t="n">
        <v>44235</v>
      </c>
      <c r="E7494" s="9" t="s">
        <v>17</v>
      </c>
      <c r="F7494" s="9" t="s">
        <v>129</v>
      </c>
      <c r="G7494" s="9" t="s">
        <v>130</v>
      </c>
      <c r="H7494" s="11" t="s">
        <v>23</v>
      </c>
      <c r="I7494" s="12" t="n">
        <v>29</v>
      </c>
      <c r="J7494" s="13" t="n">
        <v>13</v>
      </c>
      <c r="K7494" s="14" t="n">
        <f aca="false">I7494*J7494</f>
        <v>377</v>
      </c>
      <c r="L7494" s="14" t="n">
        <f aca="false">($L$2*M7494)/100</f>
        <v>648899.91</v>
      </c>
      <c r="M7494" s="15" t="n">
        <v>0.54</v>
      </c>
      <c r="N7494" s="9" t="s">
        <v>85</v>
      </c>
    </row>
    <row r="7495" customFormat="false" ht="14.25" hidden="false" customHeight="true" outlineLevel="0" collapsed="false">
      <c r="B7495" s="9" t="s">
        <v>16</v>
      </c>
      <c r="C7495" s="9" t="n">
        <v>1185732</v>
      </c>
      <c r="D7495" s="10" t="n">
        <v>44235</v>
      </c>
      <c r="E7495" s="9" t="s">
        <v>17</v>
      </c>
      <c r="F7495" s="9" t="s">
        <v>129</v>
      </c>
      <c r="G7495" s="9" t="s">
        <v>130</v>
      </c>
      <c r="H7495" s="11" t="s">
        <v>24</v>
      </c>
      <c r="I7495" s="12" t="n">
        <v>41</v>
      </c>
      <c r="J7495" s="13" t="n">
        <v>35</v>
      </c>
      <c r="K7495" s="14" t="n">
        <f aca="false">I7495*J7495</f>
        <v>1435</v>
      </c>
      <c r="L7495" s="14" t="n">
        <f aca="false">($L$2*M7495)/100</f>
        <v>492683.265</v>
      </c>
      <c r="M7495" s="15" t="n">
        <v>0.41</v>
      </c>
      <c r="N7495" s="9" t="s">
        <v>85</v>
      </c>
    </row>
    <row r="7496" customFormat="false" ht="14.25" hidden="false" customHeight="true" outlineLevel="0" collapsed="false">
      <c r="B7496" s="9" t="s">
        <v>16</v>
      </c>
      <c r="C7496" s="9" t="n">
        <v>1185732</v>
      </c>
      <c r="D7496" s="10" t="n">
        <v>44235</v>
      </c>
      <c r="E7496" s="9" t="s">
        <v>17</v>
      </c>
      <c r="F7496" s="9" t="s">
        <v>129</v>
      </c>
      <c r="G7496" s="9" t="s">
        <v>130</v>
      </c>
      <c r="H7496" s="11" t="s">
        <v>25</v>
      </c>
      <c r="I7496" s="12" t="n">
        <v>33</v>
      </c>
      <c r="J7496" s="13" t="n">
        <v>65</v>
      </c>
      <c r="K7496" s="14" t="n">
        <f aca="false">I7496*J7496</f>
        <v>2145</v>
      </c>
      <c r="L7496" s="14" t="n">
        <f aca="false">($L$2*M7496)/100</f>
        <v>636883.245</v>
      </c>
      <c r="M7496" s="15" t="n">
        <v>0.53</v>
      </c>
      <c r="N7496" s="9" t="s">
        <v>85</v>
      </c>
    </row>
    <row r="7497" customFormat="false" ht="14.25" hidden="false" customHeight="true" outlineLevel="0" collapsed="false">
      <c r="B7497" s="9" t="s">
        <v>16</v>
      </c>
      <c r="C7497" s="9" t="n">
        <v>1185732</v>
      </c>
      <c r="D7497" s="10" t="n">
        <v>44261</v>
      </c>
      <c r="E7497" s="9" t="s">
        <v>17</v>
      </c>
      <c r="F7497" s="9" t="s">
        <v>129</v>
      </c>
      <c r="G7497" s="9" t="s">
        <v>130</v>
      </c>
      <c r="H7497" s="11" t="s">
        <v>19</v>
      </c>
      <c r="I7497" s="12" t="n">
        <v>34</v>
      </c>
      <c r="J7497" s="13" t="n">
        <v>111</v>
      </c>
      <c r="K7497" s="14" t="n">
        <f aca="false">I7497*J7497</f>
        <v>3774</v>
      </c>
      <c r="L7497" s="14" t="n">
        <f aca="false">($L$2*M7497)/100</f>
        <v>600833.25</v>
      </c>
      <c r="M7497" s="15" t="n">
        <v>0.5</v>
      </c>
      <c r="N7497" s="9" t="s">
        <v>85</v>
      </c>
    </row>
    <row r="7498" customFormat="false" ht="14.25" hidden="false" customHeight="true" outlineLevel="0" collapsed="false">
      <c r="B7498" s="9" t="s">
        <v>16</v>
      </c>
      <c r="C7498" s="9" t="n">
        <v>1185732</v>
      </c>
      <c r="D7498" s="10" t="n">
        <v>44261</v>
      </c>
      <c r="E7498" s="9" t="s">
        <v>17</v>
      </c>
      <c r="F7498" s="9" t="s">
        <v>129</v>
      </c>
      <c r="G7498" s="9" t="s">
        <v>130</v>
      </c>
      <c r="H7498" s="11" t="s">
        <v>21</v>
      </c>
      <c r="I7498" s="12" t="n">
        <v>34</v>
      </c>
      <c r="J7498" s="13" t="n">
        <v>44</v>
      </c>
      <c r="K7498" s="14" t="n">
        <f aca="false">I7498*J7498</f>
        <v>1496</v>
      </c>
      <c r="L7498" s="14" t="n">
        <f aca="false">($L$2*M7498)/100</f>
        <v>540749.925</v>
      </c>
      <c r="M7498" s="15" t="n">
        <v>0.45</v>
      </c>
      <c r="N7498" s="9" t="s">
        <v>85</v>
      </c>
    </row>
    <row r="7499" customFormat="false" ht="14.25" hidden="false" customHeight="true" outlineLevel="0" collapsed="false">
      <c r="B7499" s="9" t="s">
        <v>16</v>
      </c>
      <c r="C7499" s="9" t="n">
        <v>1185732</v>
      </c>
      <c r="D7499" s="10" t="n">
        <v>44261</v>
      </c>
      <c r="E7499" s="9" t="s">
        <v>17</v>
      </c>
      <c r="F7499" s="9" t="s">
        <v>129</v>
      </c>
      <c r="G7499" s="9" t="s">
        <v>130</v>
      </c>
      <c r="H7499" s="11" t="s">
        <v>22</v>
      </c>
      <c r="I7499" s="12" t="n">
        <v>23</v>
      </c>
      <c r="J7499" s="13" t="n">
        <v>51</v>
      </c>
      <c r="K7499" s="14" t="n">
        <f aca="false">I7499*J7499</f>
        <v>1173</v>
      </c>
      <c r="L7499" s="14" t="n">
        <f aca="false">($L$2*M7499)/100</f>
        <v>624866.58</v>
      </c>
      <c r="M7499" s="15" t="n">
        <v>0.52</v>
      </c>
      <c r="N7499" s="9" t="s">
        <v>85</v>
      </c>
    </row>
    <row r="7500" customFormat="false" ht="14.25" hidden="false" customHeight="true" outlineLevel="0" collapsed="false">
      <c r="B7500" s="9" t="s">
        <v>16</v>
      </c>
      <c r="C7500" s="9" t="n">
        <v>1185732</v>
      </c>
      <c r="D7500" s="10" t="n">
        <v>44261</v>
      </c>
      <c r="E7500" s="9" t="s">
        <v>17</v>
      </c>
      <c r="F7500" s="9" t="s">
        <v>129</v>
      </c>
      <c r="G7500" s="9" t="s">
        <v>130</v>
      </c>
      <c r="H7500" s="11" t="s">
        <v>23</v>
      </c>
      <c r="I7500" s="12" t="n">
        <v>29</v>
      </c>
      <c r="J7500" s="13" t="n">
        <v>8</v>
      </c>
      <c r="K7500" s="14" t="n">
        <f aca="false">I7500*J7500</f>
        <v>232</v>
      </c>
      <c r="L7500" s="14" t="n">
        <f aca="false">($L$2*M7500)/100</f>
        <v>600833.25</v>
      </c>
      <c r="M7500" s="15" t="n">
        <v>0.5</v>
      </c>
      <c r="N7500" s="9" t="s">
        <v>85</v>
      </c>
    </row>
    <row r="7501" customFormat="false" ht="14.25" hidden="false" customHeight="true" outlineLevel="0" collapsed="false">
      <c r="B7501" s="9" t="s">
        <v>16</v>
      </c>
      <c r="C7501" s="9" t="n">
        <v>1185732</v>
      </c>
      <c r="D7501" s="10" t="n">
        <v>44261</v>
      </c>
      <c r="E7501" s="9" t="s">
        <v>17</v>
      </c>
      <c r="F7501" s="9" t="s">
        <v>129</v>
      </c>
      <c r="G7501" s="9" t="s">
        <v>130</v>
      </c>
      <c r="H7501" s="11" t="s">
        <v>24</v>
      </c>
      <c r="I7501" s="12" t="n">
        <v>44</v>
      </c>
      <c r="J7501" s="13" t="n">
        <v>20</v>
      </c>
      <c r="K7501" s="14" t="n">
        <f aca="false">I7501*J7501</f>
        <v>880</v>
      </c>
      <c r="L7501" s="14" t="n">
        <f aca="false">($L$2*M7501)/100</f>
        <v>540749.925</v>
      </c>
      <c r="M7501" s="15" t="n">
        <v>0.45</v>
      </c>
      <c r="N7501" s="9" t="s">
        <v>85</v>
      </c>
    </row>
    <row r="7502" customFormat="false" ht="14.25" hidden="false" customHeight="true" outlineLevel="0" collapsed="false">
      <c r="B7502" s="9" t="s">
        <v>16</v>
      </c>
      <c r="C7502" s="9" t="n">
        <v>1185732</v>
      </c>
      <c r="D7502" s="10" t="n">
        <v>44261</v>
      </c>
      <c r="E7502" s="9" t="s">
        <v>17</v>
      </c>
      <c r="F7502" s="9" t="s">
        <v>129</v>
      </c>
      <c r="G7502" s="9" t="s">
        <v>130</v>
      </c>
      <c r="H7502" s="11" t="s">
        <v>25</v>
      </c>
      <c r="I7502" s="12" t="n">
        <v>32</v>
      </c>
      <c r="J7502" s="13" t="n">
        <v>51</v>
      </c>
      <c r="K7502" s="14" t="n">
        <f aca="false">I7502*J7502</f>
        <v>1632</v>
      </c>
      <c r="L7502" s="14" t="n">
        <f aca="false">($L$2*M7502)/100</f>
        <v>648899.91</v>
      </c>
      <c r="M7502" s="15" t="n">
        <v>0.54</v>
      </c>
      <c r="N7502" s="9" t="s">
        <v>85</v>
      </c>
    </row>
    <row r="7503" customFormat="false" ht="14.25" hidden="false" customHeight="true" outlineLevel="0" collapsed="false">
      <c r="B7503" s="9" t="s">
        <v>16</v>
      </c>
      <c r="C7503" s="9" t="n">
        <v>1185732</v>
      </c>
      <c r="D7503" s="10" t="n">
        <v>44293</v>
      </c>
      <c r="E7503" s="9" t="s">
        <v>17</v>
      </c>
      <c r="F7503" s="9" t="s">
        <v>129</v>
      </c>
      <c r="G7503" s="9" t="s">
        <v>130</v>
      </c>
      <c r="H7503" s="11" t="s">
        <v>19</v>
      </c>
      <c r="I7503" s="12" t="n">
        <v>32</v>
      </c>
      <c r="J7503" s="13" t="n">
        <v>111</v>
      </c>
      <c r="K7503" s="14" t="n">
        <f aca="false">I7503*J7503</f>
        <v>3552</v>
      </c>
      <c r="L7503" s="14" t="n">
        <f aca="false">($L$2*M7503)/100</f>
        <v>588816.585</v>
      </c>
      <c r="M7503" s="15" t="n">
        <v>0.49</v>
      </c>
      <c r="N7503" s="9" t="s">
        <v>85</v>
      </c>
    </row>
    <row r="7504" customFormat="false" ht="14.25" hidden="false" customHeight="true" outlineLevel="0" collapsed="false">
      <c r="B7504" s="9" t="s">
        <v>16</v>
      </c>
      <c r="C7504" s="9" t="n">
        <v>1185732</v>
      </c>
      <c r="D7504" s="10" t="n">
        <v>44293</v>
      </c>
      <c r="E7504" s="9" t="s">
        <v>17</v>
      </c>
      <c r="F7504" s="9" t="s">
        <v>129</v>
      </c>
      <c r="G7504" s="9" t="s">
        <v>130</v>
      </c>
      <c r="H7504" s="11" t="s">
        <v>21</v>
      </c>
      <c r="I7504" s="12" t="n">
        <v>32</v>
      </c>
      <c r="J7504" s="13" t="n">
        <v>33</v>
      </c>
      <c r="K7504" s="14" t="n">
        <f aca="false">I7504*J7504</f>
        <v>1056</v>
      </c>
      <c r="L7504" s="14" t="n">
        <f aca="false">($L$2*M7504)/100</f>
        <v>600833.25</v>
      </c>
      <c r="M7504" s="15" t="n">
        <v>0.5</v>
      </c>
      <c r="N7504" s="9" t="s">
        <v>85</v>
      </c>
    </row>
    <row r="7505" customFormat="false" ht="14.25" hidden="false" customHeight="true" outlineLevel="0" collapsed="false">
      <c r="B7505" s="9" t="s">
        <v>16</v>
      </c>
      <c r="C7505" s="9" t="n">
        <v>1185732</v>
      </c>
      <c r="D7505" s="10" t="n">
        <v>44293</v>
      </c>
      <c r="E7505" s="9" t="s">
        <v>17</v>
      </c>
      <c r="F7505" s="9" t="s">
        <v>129</v>
      </c>
      <c r="G7505" s="9" t="s">
        <v>130</v>
      </c>
      <c r="H7505" s="11" t="s">
        <v>22</v>
      </c>
      <c r="I7505" s="12" t="n">
        <v>24</v>
      </c>
      <c r="J7505" s="13" t="n">
        <v>36</v>
      </c>
      <c r="K7505" s="14" t="n">
        <f aca="false">I7505*J7505</f>
        <v>864</v>
      </c>
      <c r="L7505" s="14" t="n">
        <f aca="false">($L$2*M7505)/100</f>
        <v>624866.58</v>
      </c>
      <c r="M7505" s="15" t="n">
        <v>0.52</v>
      </c>
      <c r="N7505" s="9" t="s">
        <v>85</v>
      </c>
    </row>
    <row r="7506" customFormat="false" ht="14.25" hidden="false" customHeight="true" outlineLevel="0" collapsed="false">
      <c r="B7506" s="9" t="s">
        <v>16</v>
      </c>
      <c r="C7506" s="9" t="n">
        <v>1185732</v>
      </c>
      <c r="D7506" s="10" t="n">
        <v>44293</v>
      </c>
      <c r="E7506" s="9" t="s">
        <v>17</v>
      </c>
      <c r="F7506" s="9" t="s">
        <v>129</v>
      </c>
      <c r="G7506" s="9" t="s">
        <v>130</v>
      </c>
      <c r="H7506" s="11" t="s">
        <v>23</v>
      </c>
      <c r="I7506" s="12" t="n">
        <v>29</v>
      </c>
      <c r="J7506" s="13" t="n">
        <v>13</v>
      </c>
      <c r="K7506" s="14" t="n">
        <f aca="false">I7506*J7506</f>
        <v>377</v>
      </c>
      <c r="L7506" s="14" t="n">
        <f aca="false">($L$2*M7506)/100</f>
        <v>636883.245</v>
      </c>
      <c r="M7506" s="15" t="n">
        <v>0.53</v>
      </c>
      <c r="N7506" s="9" t="s">
        <v>85</v>
      </c>
    </row>
    <row r="7507" customFormat="false" ht="14.25" hidden="false" customHeight="true" outlineLevel="0" collapsed="false">
      <c r="B7507" s="9" t="s">
        <v>16</v>
      </c>
      <c r="C7507" s="9" t="n">
        <v>1185732</v>
      </c>
      <c r="D7507" s="10" t="n">
        <v>44293</v>
      </c>
      <c r="E7507" s="9" t="s">
        <v>17</v>
      </c>
      <c r="F7507" s="9" t="s">
        <v>129</v>
      </c>
      <c r="G7507" s="9" t="s">
        <v>130</v>
      </c>
      <c r="H7507" s="11" t="s">
        <v>24</v>
      </c>
      <c r="I7507" s="12" t="n">
        <v>44</v>
      </c>
      <c r="J7507" s="13" t="n">
        <v>15</v>
      </c>
      <c r="K7507" s="14" t="n">
        <f aca="false">I7507*J7507</f>
        <v>660</v>
      </c>
      <c r="L7507" s="14" t="n">
        <f aca="false">($L$2*M7507)/100</f>
        <v>480666.6</v>
      </c>
      <c r="M7507" s="15" t="n">
        <v>0.4</v>
      </c>
      <c r="N7507" s="9" t="s">
        <v>85</v>
      </c>
    </row>
    <row r="7508" customFormat="false" ht="14.25" hidden="false" customHeight="true" outlineLevel="0" collapsed="false">
      <c r="B7508" s="9" t="s">
        <v>16</v>
      </c>
      <c r="C7508" s="9" t="n">
        <v>1185732</v>
      </c>
      <c r="D7508" s="10" t="n">
        <v>44293</v>
      </c>
      <c r="E7508" s="9" t="s">
        <v>17</v>
      </c>
      <c r="F7508" s="9" t="s">
        <v>129</v>
      </c>
      <c r="G7508" s="9" t="s">
        <v>130</v>
      </c>
      <c r="H7508" s="11" t="s">
        <v>25</v>
      </c>
      <c r="I7508" s="12" t="n">
        <v>33</v>
      </c>
      <c r="J7508" s="13" t="n">
        <v>50</v>
      </c>
      <c r="K7508" s="14" t="n">
        <f aca="false">I7508*J7508</f>
        <v>1650</v>
      </c>
      <c r="L7508" s="14" t="n">
        <f aca="false">($L$2*M7508)/100</f>
        <v>624866.58</v>
      </c>
      <c r="M7508" s="15" t="n">
        <v>0.52</v>
      </c>
      <c r="N7508" s="9" t="s">
        <v>85</v>
      </c>
    </row>
    <row r="7509" customFormat="false" ht="14.25" hidden="false" customHeight="true" outlineLevel="0" collapsed="false">
      <c r="B7509" s="9" t="s">
        <v>16</v>
      </c>
      <c r="C7509" s="9" t="n">
        <v>1185732</v>
      </c>
      <c r="D7509" s="10" t="n">
        <v>44322</v>
      </c>
      <c r="E7509" s="9" t="s">
        <v>17</v>
      </c>
      <c r="F7509" s="9" t="s">
        <v>129</v>
      </c>
      <c r="G7509" s="9" t="s">
        <v>130</v>
      </c>
      <c r="H7509" s="11" t="s">
        <v>19</v>
      </c>
      <c r="I7509" s="12" t="n">
        <v>49</v>
      </c>
      <c r="J7509" s="13" t="n">
        <v>122</v>
      </c>
      <c r="K7509" s="14" t="n">
        <f aca="false">I7509*J7509</f>
        <v>5978</v>
      </c>
      <c r="L7509" s="14" t="n">
        <f aca="false">($L$2*M7509)/100</f>
        <v>600833.25</v>
      </c>
      <c r="M7509" s="15" t="n">
        <v>0.5</v>
      </c>
      <c r="N7509" s="9" t="s">
        <v>85</v>
      </c>
    </row>
    <row r="7510" customFormat="false" ht="14.25" hidden="false" customHeight="true" outlineLevel="0" collapsed="false">
      <c r="B7510" s="9" t="s">
        <v>16</v>
      </c>
      <c r="C7510" s="9" t="n">
        <v>1185732</v>
      </c>
      <c r="D7510" s="10" t="n">
        <v>44322</v>
      </c>
      <c r="E7510" s="9" t="s">
        <v>17</v>
      </c>
      <c r="F7510" s="9" t="s">
        <v>129</v>
      </c>
      <c r="G7510" s="9" t="s">
        <v>130</v>
      </c>
      <c r="H7510" s="11" t="s">
        <v>21</v>
      </c>
      <c r="I7510" s="12" t="n">
        <v>43</v>
      </c>
      <c r="J7510" s="13" t="n">
        <v>49</v>
      </c>
      <c r="K7510" s="14" t="n">
        <f aca="false">I7510*J7510</f>
        <v>2107</v>
      </c>
      <c r="L7510" s="14" t="n">
        <f aca="false">($L$2*M7510)/100</f>
        <v>540749.925</v>
      </c>
      <c r="M7510" s="15" t="n">
        <v>0.45</v>
      </c>
      <c r="N7510" s="9" t="s">
        <v>85</v>
      </c>
    </row>
    <row r="7511" customFormat="false" ht="14.25" hidden="false" customHeight="true" outlineLevel="0" collapsed="false">
      <c r="B7511" s="9" t="s">
        <v>16</v>
      </c>
      <c r="C7511" s="9" t="n">
        <v>1185732</v>
      </c>
      <c r="D7511" s="10" t="n">
        <v>44322</v>
      </c>
      <c r="E7511" s="9" t="s">
        <v>17</v>
      </c>
      <c r="F7511" s="9" t="s">
        <v>129</v>
      </c>
      <c r="G7511" s="9" t="s">
        <v>130</v>
      </c>
      <c r="H7511" s="11" t="s">
        <v>22</v>
      </c>
      <c r="I7511" s="12" t="n">
        <v>39</v>
      </c>
      <c r="J7511" s="13" t="n">
        <v>60</v>
      </c>
      <c r="K7511" s="14" t="n">
        <f aca="false">I7511*J7511</f>
        <v>2340</v>
      </c>
      <c r="L7511" s="14" t="n">
        <f aca="false">($L$2*M7511)/100</f>
        <v>648899.91</v>
      </c>
      <c r="M7511" s="15" t="n">
        <v>0.54</v>
      </c>
      <c r="N7511" s="9" t="s">
        <v>85</v>
      </c>
    </row>
    <row r="7512" customFormat="false" ht="14.25" hidden="false" customHeight="true" outlineLevel="0" collapsed="false">
      <c r="B7512" s="9" t="s">
        <v>16</v>
      </c>
      <c r="C7512" s="9" t="n">
        <v>1185732</v>
      </c>
      <c r="D7512" s="10" t="n">
        <v>44322</v>
      </c>
      <c r="E7512" s="9" t="s">
        <v>17</v>
      </c>
      <c r="F7512" s="9" t="s">
        <v>129</v>
      </c>
      <c r="G7512" s="9" t="s">
        <v>130</v>
      </c>
      <c r="H7512" s="11" t="s">
        <v>23</v>
      </c>
      <c r="I7512" s="12" t="n">
        <v>39</v>
      </c>
      <c r="J7512" s="13" t="n">
        <v>44</v>
      </c>
      <c r="K7512" s="14" t="n">
        <f aca="false">I7512*J7512</f>
        <v>1716</v>
      </c>
      <c r="L7512" s="14" t="n">
        <f aca="false">($L$2*M7512)/100</f>
        <v>624866.58</v>
      </c>
      <c r="M7512" s="15" t="n">
        <v>0.52</v>
      </c>
      <c r="N7512" s="9" t="s">
        <v>85</v>
      </c>
    </row>
    <row r="7513" customFormat="false" ht="14.25" hidden="false" customHeight="true" outlineLevel="0" collapsed="false">
      <c r="B7513" s="9" t="s">
        <v>16</v>
      </c>
      <c r="C7513" s="9" t="n">
        <v>1185732</v>
      </c>
      <c r="D7513" s="10" t="n">
        <v>44322</v>
      </c>
      <c r="E7513" s="9" t="s">
        <v>17</v>
      </c>
      <c r="F7513" s="9" t="s">
        <v>129</v>
      </c>
      <c r="G7513" s="9" t="s">
        <v>130</v>
      </c>
      <c r="H7513" s="11" t="s">
        <v>24</v>
      </c>
      <c r="I7513" s="12" t="n">
        <v>49</v>
      </c>
      <c r="J7513" s="13" t="n">
        <v>46</v>
      </c>
      <c r="K7513" s="14" t="n">
        <f aca="false">I7513*J7513</f>
        <v>2254</v>
      </c>
      <c r="L7513" s="14" t="n">
        <f aca="false">($L$2*M7513)/100</f>
        <v>480666.6</v>
      </c>
      <c r="M7513" s="15" t="n">
        <v>0.4</v>
      </c>
      <c r="N7513" s="9" t="s">
        <v>85</v>
      </c>
    </row>
    <row r="7514" customFormat="false" ht="14.25" hidden="false" customHeight="true" outlineLevel="0" collapsed="false">
      <c r="B7514" s="9" t="s">
        <v>16</v>
      </c>
      <c r="C7514" s="9" t="n">
        <v>1185732</v>
      </c>
      <c r="D7514" s="10" t="n">
        <v>44322</v>
      </c>
      <c r="E7514" s="9" t="s">
        <v>17</v>
      </c>
      <c r="F7514" s="9" t="s">
        <v>129</v>
      </c>
      <c r="G7514" s="9" t="s">
        <v>130</v>
      </c>
      <c r="H7514" s="11" t="s">
        <v>25</v>
      </c>
      <c r="I7514" s="12" t="n">
        <v>52</v>
      </c>
      <c r="J7514" s="13" t="n">
        <v>81</v>
      </c>
      <c r="K7514" s="14" t="n">
        <f aca="false">I7514*J7514</f>
        <v>4212</v>
      </c>
      <c r="L7514" s="14" t="n">
        <f aca="false">($L$2*M7514)/100</f>
        <v>636883.245</v>
      </c>
      <c r="M7514" s="15" t="n">
        <v>0.53</v>
      </c>
      <c r="N7514" s="9" t="s">
        <v>85</v>
      </c>
    </row>
    <row r="7515" customFormat="false" ht="14.25" hidden="false" customHeight="true" outlineLevel="0" collapsed="false">
      <c r="B7515" s="9" t="s">
        <v>16</v>
      </c>
      <c r="C7515" s="9" t="n">
        <v>1185732</v>
      </c>
      <c r="D7515" s="10" t="n">
        <v>44355</v>
      </c>
      <c r="E7515" s="9" t="s">
        <v>17</v>
      </c>
      <c r="F7515" s="9" t="s">
        <v>129</v>
      </c>
      <c r="G7515" s="9" t="s">
        <v>130</v>
      </c>
      <c r="H7515" s="11" t="s">
        <v>19</v>
      </c>
      <c r="I7515" s="12" t="n">
        <v>47</v>
      </c>
      <c r="J7515" s="13" t="n">
        <v>138</v>
      </c>
      <c r="K7515" s="14" t="n">
        <f aca="false">I7515*J7515</f>
        <v>6486</v>
      </c>
      <c r="L7515" s="14" t="n">
        <f aca="false">($L$2*M7515)/100</f>
        <v>540749.925</v>
      </c>
      <c r="M7515" s="15" t="n">
        <v>0.45</v>
      </c>
      <c r="N7515" s="9" t="s">
        <v>85</v>
      </c>
    </row>
    <row r="7516" customFormat="false" ht="14.25" hidden="false" customHeight="true" outlineLevel="0" collapsed="false">
      <c r="B7516" s="9" t="s">
        <v>16</v>
      </c>
      <c r="C7516" s="9" t="n">
        <v>1185732</v>
      </c>
      <c r="D7516" s="10" t="n">
        <v>44355</v>
      </c>
      <c r="E7516" s="9" t="s">
        <v>17</v>
      </c>
      <c r="F7516" s="9" t="s">
        <v>129</v>
      </c>
      <c r="G7516" s="9" t="s">
        <v>130</v>
      </c>
      <c r="H7516" s="11" t="s">
        <v>21</v>
      </c>
      <c r="I7516" s="12" t="n">
        <v>41</v>
      </c>
      <c r="J7516" s="13" t="n">
        <v>90</v>
      </c>
      <c r="K7516" s="14" t="n">
        <f aca="false">I7516*J7516</f>
        <v>3690</v>
      </c>
      <c r="L7516" s="14" t="n">
        <f aca="false">($L$2*M7516)/100</f>
        <v>588816.585</v>
      </c>
      <c r="M7516" s="15" t="n">
        <v>0.49</v>
      </c>
      <c r="N7516" s="9" t="s">
        <v>85</v>
      </c>
    </row>
    <row r="7517" customFormat="false" ht="14.25" hidden="false" customHeight="true" outlineLevel="0" collapsed="false">
      <c r="B7517" s="9" t="s">
        <v>16</v>
      </c>
      <c r="C7517" s="9" t="n">
        <v>1185732</v>
      </c>
      <c r="D7517" s="10" t="n">
        <v>44355</v>
      </c>
      <c r="E7517" s="9" t="s">
        <v>17</v>
      </c>
      <c r="F7517" s="9" t="s">
        <v>129</v>
      </c>
      <c r="G7517" s="9" t="s">
        <v>130</v>
      </c>
      <c r="H7517" s="11" t="s">
        <v>22</v>
      </c>
      <c r="I7517" s="12" t="n">
        <v>39</v>
      </c>
      <c r="J7517" s="13" t="n">
        <v>65</v>
      </c>
      <c r="K7517" s="14" t="n">
        <f aca="false">I7517*J7517</f>
        <v>2535</v>
      </c>
      <c r="L7517" s="14" t="n">
        <f aca="false">($L$2*M7517)/100</f>
        <v>660916.575</v>
      </c>
      <c r="M7517" s="15" t="n">
        <v>0.55</v>
      </c>
      <c r="N7517" s="9" t="s">
        <v>85</v>
      </c>
    </row>
    <row r="7518" customFormat="false" ht="14.25" hidden="false" customHeight="true" outlineLevel="0" collapsed="false">
      <c r="B7518" s="9" t="s">
        <v>16</v>
      </c>
      <c r="C7518" s="9" t="n">
        <v>1185732</v>
      </c>
      <c r="D7518" s="10" t="n">
        <v>44355</v>
      </c>
      <c r="E7518" s="9" t="s">
        <v>17</v>
      </c>
      <c r="F7518" s="9" t="s">
        <v>129</v>
      </c>
      <c r="G7518" s="9" t="s">
        <v>130</v>
      </c>
      <c r="H7518" s="11" t="s">
        <v>23</v>
      </c>
      <c r="I7518" s="12" t="n">
        <v>39</v>
      </c>
      <c r="J7518" s="13" t="n">
        <v>60</v>
      </c>
      <c r="K7518" s="14" t="n">
        <f aca="false">I7518*J7518</f>
        <v>2340</v>
      </c>
      <c r="L7518" s="14" t="n">
        <f aca="false">($L$2*M7518)/100</f>
        <v>648899.91</v>
      </c>
      <c r="M7518" s="15" t="n">
        <v>0.54</v>
      </c>
      <c r="N7518" s="9" t="s">
        <v>85</v>
      </c>
    </row>
    <row r="7519" customFormat="false" ht="14.25" hidden="false" customHeight="true" outlineLevel="0" collapsed="false">
      <c r="B7519" s="9" t="s">
        <v>16</v>
      </c>
      <c r="C7519" s="9" t="n">
        <v>1185732</v>
      </c>
      <c r="D7519" s="10" t="n">
        <v>44355</v>
      </c>
      <c r="E7519" s="9" t="s">
        <v>17</v>
      </c>
      <c r="F7519" s="9" t="s">
        <v>129</v>
      </c>
      <c r="G7519" s="9" t="s">
        <v>130</v>
      </c>
      <c r="H7519" s="11" t="s">
        <v>24</v>
      </c>
      <c r="I7519" s="12" t="n">
        <v>48</v>
      </c>
      <c r="J7519" s="13" t="n">
        <v>58</v>
      </c>
      <c r="K7519" s="14" t="n">
        <f aca="false">I7519*J7519</f>
        <v>2784</v>
      </c>
      <c r="L7519" s="14" t="n">
        <f aca="false">($L$2*M7519)/100</f>
        <v>492683.265</v>
      </c>
      <c r="M7519" s="15" t="n">
        <v>0.41</v>
      </c>
      <c r="N7519" s="9" t="s">
        <v>85</v>
      </c>
    </row>
    <row r="7520" customFormat="false" ht="14.25" hidden="false" customHeight="true" outlineLevel="0" collapsed="false">
      <c r="B7520" s="9" t="s">
        <v>16</v>
      </c>
      <c r="C7520" s="9" t="n">
        <v>1185732</v>
      </c>
      <c r="D7520" s="10" t="n">
        <v>44355</v>
      </c>
      <c r="E7520" s="9" t="s">
        <v>17</v>
      </c>
      <c r="F7520" s="9" t="s">
        <v>129</v>
      </c>
      <c r="G7520" s="9" t="s">
        <v>130</v>
      </c>
      <c r="H7520" s="11" t="s">
        <v>25</v>
      </c>
      <c r="I7520" s="12" t="n">
        <v>51</v>
      </c>
      <c r="J7520" s="13" t="n">
        <v>88</v>
      </c>
      <c r="K7520" s="14" t="n">
        <f aca="false">I7520*J7520</f>
        <v>4488</v>
      </c>
      <c r="L7520" s="14" t="n">
        <f aca="false">($L$2*M7520)/100</f>
        <v>612849.915</v>
      </c>
      <c r="M7520" s="15" t="n">
        <v>0.51</v>
      </c>
      <c r="N7520" s="9" t="s">
        <v>85</v>
      </c>
    </row>
    <row r="7521" customFormat="false" ht="14.25" hidden="false" customHeight="true" outlineLevel="0" collapsed="false">
      <c r="B7521" s="9" t="s">
        <v>16</v>
      </c>
      <c r="C7521" s="9" t="n">
        <v>1185732</v>
      </c>
      <c r="D7521" s="10" t="n">
        <v>44383</v>
      </c>
      <c r="E7521" s="9" t="s">
        <v>17</v>
      </c>
      <c r="F7521" s="9" t="s">
        <v>129</v>
      </c>
      <c r="G7521" s="9" t="s">
        <v>130</v>
      </c>
      <c r="H7521" s="11" t="s">
        <v>19</v>
      </c>
      <c r="I7521" s="12" t="n">
        <v>46</v>
      </c>
      <c r="J7521" s="13" t="n">
        <v>167</v>
      </c>
      <c r="K7521" s="14" t="n">
        <f aca="false">I7521*J7521</f>
        <v>7682</v>
      </c>
      <c r="L7521" s="14" t="n">
        <f aca="false">($L$2*M7521)/100</f>
        <v>540749.925</v>
      </c>
      <c r="M7521" s="15" t="n">
        <v>0.45</v>
      </c>
      <c r="N7521" s="9" t="s">
        <v>85</v>
      </c>
    </row>
    <row r="7522" customFormat="false" ht="14.25" hidden="false" customHeight="true" outlineLevel="0" collapsed="false">
      <c r="B7522" s="9" t="s">
        <v>16</v>
      </c>
      <c r="C7522" s="9" t="n">
        <v>1185732</v>
      </c>
      <c r="D7522" s="10" t="n">
        <v>44383</v>
      </c>
      <c r="E7522" s="9" t="s">
        <v>17</v>
      </c>
      <c r="F7522" s="9" t="s">
        <v>129</v>
      </c>
      <c r="G7522" s="9" t="s">
        <v>130</v>
      </c>
      <c r="H7522" s="11" t="s">
        <v>21</v>
      </c>
      <c r="I7522" s="12" t="n">
        <v>41</v>
      </c>
      <c r="J7522" s="13" t="n">
        <v>81</v>
      </c>
      <c r="K7522" s="14" t="n">
        <f aca="false">I7522*J7522</f>
        <v>3321</v>
      </c>
      <c r="L7522" s="14" t="n">
        <f aca="false">($L$2*M7522)/100</f>
        <v>600833.25</v>
      </c>
      <c r="M7522" s="15" t="n">
        <v>0.5</v>
      </c>
      <c r="N7522" s="9" t="s">
        <v>85</v>
      </c>
    </row>
    <row r="7523" customFormat="false" ht="14.25" hidden="false" customHeight="true" outlineLevel="0" collapsed="false">
      <c r="B7523" s="9" t="s">
        <v>16</v>
      </c>
      <c r="C7523" s="9" t="n">
        <v>1185732</v>
      </c>
      <c r="D7523" s="10" t="n">
        <v>44383</v>
      </c>
      <c r="E7523" s="9" t="s">
        <v>17</v>
      </c>
      <c r="F7523" s="9" t="s">
        <v>129</v>
      </c>
      <c r="G7523" s="9" t="s">
        <v>130</v>
      </c>
      <c r="H7523" s="11" t="s">
        <v>22</v>
      </c>
      <c r="I7523" s="12" t="n">
        <v>37</v>
      </c>
      <c r="J7523" s="13" t="n">
        <v>65</v>
      </c>
      <c r="K7523" s="14" t="n">
        <f aca="false">I7523*J7523</f>
        <v>2405</v>
      </c>
      <c r="L7523" s="14" t="n">
        <f aca="false">($L$2*M7523)/100</f>
        <v>624866.58</v>
      </c>
      <c r="M7523" s="15" t="n">
        <v>0.52</v>
      </c>
      <c r="N7523" s="9" t="s">
        <v>85</v>
      </c>
    </row>
    <row r="7524" customFormat="false" ht="14.25" hidden="false" customHeight="true" outlineLevel="0" collapsed="false">
      <c r="B7524" s="9" t="s">
        <v>16</v>
      </c>
      <c r="C7524" s="9" t="n">
        <v>1185732</v>
      </c>
      <c r="D7524" s="10" t="n">
        <v>44383</v>
      </c>
      <c r="E7524" s="9" t="s">
        <v>17</v>
      </c>
      <c r="F7524" s="9" t="s">
        <v>129</v>
      </c>
      <c r="G7524" s="9" t="s">
        <v>130</v>
      </c>
      <c r="H7524" s="11" t="s">
        <v>23</v>
      </c>
      <c r="I7524" s="12" t="n">
        <v>37</v>
      </c>
      <c r="J7524" s="13" t="n">
        <v>58</v>
      </c>
      <c r="K7524" s="14" t="n">
        <f aca="false">I7524*J7524</f>
        <v>2146</v>
      </c>
      <c r="L7524" s="14" t="n">
        <f aca="false">($L$2*M7524)/100</f>
        <v>624866.58</v>
      </c>
      <c r="M7524" s="15" t="n">
        <v>0.52</v>
      </c>
      <c r="N7524" s="9" t="s">
        <v>85</v>
      </c>
    </row>
    <row r="7525" customFormat="false" ht="14.25" hidden="false" customHeight="true" outlineLevel="0" collapsed="false">
      <c r="B7525" s="9" t="s">
        <v>16</v>
      </c>
      <c r="C7525" s="9" t="n">
        <v>1185732</v>
      </c>
      <c r="D7525" s="10" t="n">
        <v>44383</v>
      </c>
      <c r="E7525" s="9" t="s">
        <v>17</v>
      </c>
      <c r="F7525" s="9" t="s">
        <v>129</v>
      </c>
      <c r="G7525" s="9" t="s">
        <v>130</v>
      </c>
      <c r="H7525" s="11" t="s">
        <v>24</v>
      </c>
      <c r="I7525" s="12" t="n">
        <v>47</v>
      </c>
      <c r="J7525" s="13" t="n">
        <v>63</v>
      </c>
      <c r="K7525" s="14" t="n">
        <f aca="false">I7525*J7525</f>
        <v>2961</v>
      </c>
      <c r="L7525" s="14" t="n">
        <f aca="false">($L$2*M7525)/100</f>
        <v>480666.6</v>
      </c>
      <c r="M7525" s="15" t="n">
        <v>0.4</v>
      </c>
      <c r="N7525" s="9" t="s">
        <v>85</v>
      </c>
    </row>
    <row r="7526" customFormat="false" ht="14.25" hidden="false" customHeight="true" outlineLevel="0" collapsed="false">
      <c r="B7526" s="9" t="s">
        <v>16</v>
      </c>
      <c r="C7526" s="9" t="n">
        <v>1185732</v>
      </c>
      <c r="D7526" s="10" t="n">
        <v>44383</v>
      </c>
      <c r="E7526" s="9" t="s">
        <v>17</v>
      </c>
      <c r="F7526" s="9" t="s">
        <v>129</v>
      </c>
      <c r="G7526" s="9" t="s">
        <v>130</v>
      </c>
      <c r="H7526" s="11" t="s">
        <v>25</v>
      </c>
      <c r="I7526" s="12" t="n">
        <v>50</v>
      </c>
      <c r="J7526" s="13" t="n">
        <v>116</v>
      </c>
      <c r="K7526" s="14" t="n">
        <f aca="false">I7526*J7526</f>
        <v>5800</v>
      </c>
      <c r="L7526" s="14" t="n">
        <f aca="false">($L$2*M7526)/100</f>
        <v>600833.25</v>
      </c>
      <c r="M7526" s="15" t="n">
        <v>0.5</v>
      </c>
      <c r="N7526" s="9" t="s">
        <v>85</v>
      </c>
    </row>
    <row r="7527" customFormat="false" ht="14.25" hidden="false" customHeight="true" outlineLevel="0" collapsed="false">
      <c r="B7527" s="9" t="s">
        <v>16</v>
      </c>
      <c r="C7527" s="9" t="n">
        <v>1185732</v>
      </c>
      <c r="D7527" s="10" t="n">
        <v>44415</v>
      </c>
      <c r="E7527" s="9" t="s">
        <v>17</v>
      </c>
      <c r="F7527" s="9" t="s">
        <v>129</v>
      </c>
      <c r="G7527" s="9" t="s">
        <v>130</v>
      </c>
      <c r="H7527" s="11" t="s">
        <v>19</v>
      </c>
      <c r="I7527" s="12" t="n">
        <v>46</v>
      </c>
      <c r="J7527" s="13" t="n">
        <v>143</v>
      </c>
      <c r="K7527" s="14" t="n">
        <f aca="false">I7527*J7527</f>
        <v>6578</v>
      </c>
      <c r="L7527" s="14" t="n">
        <f aca="false">($L$2*M7527)/100</f>
        <v>576799.92</v>
      </c>
      <c r="M7527" s="15" t="n">
        <v>0.48</v>
      </c>
      <c r="N7527" s="9" t="s">
        <v>85</v>
      </c>
    </row>
    <row r="7528" customFormat="false" ht="14.25" hidden="false" customHeight="true" outlineLevel="0" collapsed="false">
      <c r="B7528" s="9" t="s">
        <v>16</v>
      </c>
      <c r="C7528" s="9" t="n">
        <v>1185732</v>
      </c>
      <c r="D7528" s="10" t="n">
        <v>44415</v>
      </c>
      <c r="E7528" s="9" t="s">
        <v>17</v>
      </c>
      <c r="F7528" s="9" t="s">
        <v>129</v>
      </c>
      <c r="G7528" s="9" t="s">
        <v>130</v>
      </c>
      <c r="H7528" s="11" t="s">
        <v>21</v>
      </c>
      <c r="I7528" s="12" t="n">
        <v>42</v>
      </c>
      <c r="J7528" s="13" t="n">
        <v>91</v>
      </c>
      <c r="K7528" s="14" t="n">
        <f aca="false">I7528*J7528</f>
        <v>3822</v>
      </c>
      <c r="L7528" s="14" t="n">
        <f aca="false">($L$2*M7528)/100</f>
        <v>564783.255</v>
      </c>
      <c r="M7528" s="15" t="n">
        <v>0.47</v>
      </c>
      <c r="N7528" s="9" t="s">
        <v>85</v>
      </c>
    </row>
    <row r="7529" customFormat="false" ht="14.25" hidden="false" customHeight="true" outlineLevel="0" collapsed="false">
      <c r="B7529" s="9" t="s">
        <v>16</v>
      </c>
      <c r="C7529" s="9" t="n">
        <v>1185732</v>
      </c>
      <c r="D7529" s="10" t="n">
        <v>44415</v>
      </c>
      <c r="E7529" s="9" t="s">
        <v>17</v>
      </c>
      <c r="F7529" s="9" t="s">
        <v>129</v>
      </c>
      <c r="G7529" s="9" t="s">
        <v>130</v>
      </c>
      <c r="H7529" s="11" t="s">
        <v>22</v>
      </c>
      <c r="I7529" s="12" t="n">
        <v>38</v>
      </c>
      <c r="J7529" s="13" t="n">
        <v>75</v>
      </c>
      <c r="K7529" s="14" t="n">
        <f aca="false">I7529*J7529</f>
        <v>2850</v>
      </c>
      <c r="L7529" s="14" t="n">
        <f aca="false">($L$2*M7529)/100</f>
        <v>660916.575</v>
      </c>
      <c r="M7529" s="15" t="n">
        <v>0.55</v>
      </c>
      <c r="N7529" s="9" t="s">
        <v>85</v>
      </c>
    </row>
    <row r="7530" customFormat="false" ht="14.25" hidden="false" customHeight="true" outlineLevel="0" collapsed="false">
      <c r="B7530" s="9" t="s">
        <v>16</v>
      </c>
      <c r="C7530" s="9" t="n">
        <v>1185732</v>
      </c>
      <c r="D7530" s="10" t="n">
        <v>44415</v>
      </c>
      <c r="E7530" s="9" t="s">
        <v>17</v>
      </c>
      <c r="F7530" s="9" t="s">
        <v>129</v>
      </c>
      <c r="G7530" s="9" t="s">
        <v>130</v>
      </c>
      <c r="H7530" s="11" t="s">
        <v>23</v>
      </c>
      <c r="I7530" s="12" t="n">
        <v>37</v>
      </c>
      <c r="J7530" s="13" t="n">
        <v>39</v>
      </c>
      <c r="K7530" s="14" t="n">
        <f aca="false">I7530*J7530</f>
        <v>1443</v>
      </c>
      <c r="L7530" s="14" t="n">
        <f aca="false">($L$2*M7530)/100</f>
        <v>636883.245</v>
      </c>
      <c r="M7530" s="15" t="n">
        <v>0.53</v>
      </c>
      <c r="N7530" s="9" t="s">
        <v>85</v>
      </c>
    </row>
    <row r="7531" customFormat="false" ht="14.25" hidden="false" customHeight="true" outlineLevel="0" collapsed="false">
      <c r="B7531" s="9" t="s">
        <v>16</v>
      </c>
      <c r="C7531" s="9" t="n">
        <v>1185732</v>
      </c>
      <c r="D7531" s="10" t="n">
        <v>44415</v>
      </c>
      <c r="E7531" s="9" t="s">
        <v>17</v>
      </c>
      <c r="F7531" s="9" t="s">
        <v>129</v>
      </c>
      <c r="G7531" s="9" t="s">
        <v>130</v>
      </c>
      <c r="H7531" s="11" t="s">
        <v>24</v>
      </c>
      <c r="I7531" s="12" t="n">
        <v>45</v>
      </c>
      <c r="J7531" s="13" t="n">
        <v>31</v>
      </c>
      <c r="K7531" s="14" t="n">
        <f aca="false">I7531*J7531</f>
        <v>1395</v>
      </c>
      <c r="L7531" s="14" t="n">
        <f aca="false">($L$2*M7531)/100</f>
        <v>480666.6</v>
      </c>
      <c r="M7531" s="15" t="n">
        <v>0.4</v>
      </c>
      <c r="N7531" s="9" t="s">
        <v>85</v>
      </c>
    </row>
    <row r="7532" customFormat="false" ht="14.25" hidden="false" customHeight="true" outlineLevel="0" collapsed="false">
      <c r="B7532" s="9" t="s">
        <v>16</v>
      </c>
      <c r="C7532" s="9" t="n">
        <v>1185732</v>
      </c>
      <c r="D7532" s="10" t="n">
        <v>44415</v>
      </c>
      <c r="E7532" s="9" t="s">
        <v>17</v>
      </c>
      <c r="F7532" s="9" t="s">
        <v>129</v>
      </c>
      <c r="G7532" s="9" t="s">
        <v>130</v>
      </c>
      <c r="H7532" s="11" t="s">
        <v>25</v>
      </c>
      <c r="I7532" s="12" t="n">
        <v>52</v>
      </c>
      <c r="J7532" s="13" t="n">
        <v>87</v>
      </c>
      <c r="K7532" s="14" t="n">
        <f aca="false">I7532*J7532</f>
        <v>4524</v>
      </c>
      <c r="L7532" s="14" t="n">
        <f aca="false">($L$2*M7532)/100</f>
        <v>648899.91</v>
      </c>
      <c r="M7532" s="15" t="n">
        <v>0.54</v>
      </c>
      <c r="N7532" s="9" t="s">
        <v>85</v>
      </c>
    </row>
    <row r="7533" customFormat="false" ht="14.25" hidden="false" customHeight="true" outlineLevel="0" collapsed="false">
      <c r="B7533" s="9" t="s">
        <v>16</v>
      </c>
      <c r="C7533" s="9" t="n">
        <v>1185732</v>
      </c>
      <c r="D7533" s="10" t="n">
        <v>44445</v>
      </c>
      <c r="E7533" s="9" t="s">
        <v>17</v>
      </c>
      <c r="F7533" s="9" t="s">
        <v>129</v>
      </c>
      <c r="G7533" s="9" t="s">
        <v>130</v>
      </c>
      <c r="H7533" s="11" t="s">
        <v>19</v>
      </c>
      <c r="I7533" s="12" t="n">
        <v>45</v>
      </c>
      <c r="J7533" s="13" t="n">
        <v>111</v>
      </c>
      <c r="K7533" s="14" t="n">
        <f aca="false">I7533*J7533</f>
        <v>4995</v>
      </c>
      <c r="L7533" s="14" t="n">
        <f aca="false">($L$2*M7533)/100</f>
        <v>540749.925</v>
      </c>
      <c r="M7533" s="15" t="n">
        <v>0.45</v>
      </c>
      <c r="N7533" s="9" t="s">
        <v>85</v>
      </c>
    </row>
    <row r="7534" customFormat="false" ht="14.25" hidden="false" customHeight="true" outlineLevel="0" collapsed="false">
      <c r="B7534" s="9" t="s">
        <v>16</v>
      </c>
      <c r="C7534" s="9" t="n">
        <v>1185732</v>
      </c>
      <c r="D7534" s="10" t="n">
        <v>44445</v>
      </c>
      <c r="E7534" s="9" t="s">
        <v>17</v>
      </c>
      <c r="F7534" s="9" t="s">
        <v>129</v>
      </c>
      <c r="G7534" s="9" t="s">
        <v>130</v>
      </c>
      <c r="H7534" s="11" t="s">
        <v>21</v>
      </c>
      <c r="I7534" s="12" t="n">
        <v>43</v>
      </c>
      <c r="J7534" s="13" t="n">
        <v>56</v>
      </c>
      <c r="K7534" s="14" t="n">
        <f aca="false">I7534*J7534</f>
        <v>2408</v>
      </c>
      <c r="L7534" s="14" t="n">
        <f aca="false">($L$2*M7534)/100</f>
        <v>576799.92</v>
      </c>
      <c r="M7534" s="15" t="n">
        <v>0.48</v>
      </c>
      <c r="N7534" s="9" t="s">
        <v>85</v>
      </c>
    </row>
    <row r="7535" customFormat="false" ht="14.25" hidden="false" customHeight="true" outlineLevel="0" collapsed="false">
      <c r="B7535" s="9" t="s">
        <v>16</v>
      </c>
      <c r="C7535" s="9" t="n">
        <v>1185732</v>
      </c>
      <c r="D7535" s="10" t="n">
        <v>44445</v>
      </c>
      <c r="E7535" s="9" t="s">
        <v>17</v>
      </c>
      <c r="F7535" s="9" t="s">
        <v>129</v>
      </c>
      <c r="G7535" s="9" t="s">
        <v>130</v>
      </c>
      <c r="H7535" s="11" t="s">
        <v>22</v>
      </c>
      <c r="I7535" s="12" t="n">
        <v>36</v>
      </c>
      <c r="J7535" s="13" t="n">
        <v>38</v>
      </c>
      <c r="K7535" s="14" t="n">
        <f aca="false">I7535*J7535</f>
        <v>1368</v>
      </c>
      <c r="L7535" s="14" t="n">
        <f aca="false">($L$2*M7535)/100</f>
        <v>612849.915</v>
      </c>
      <c r="M7535" s="15" t="n">
        <v>0.51</v>
      </c>
      <c r="N7535" s="9" t="s">
        <v>85</v>
      </c>
    </row>
    <row r="7536" customFormat="false" ht="14.25" hidden="false" customHeight="true" outlineLevel="0" collapsed="false">
      <c r="B7536" s="9" t="s">
        <v>16</v>
      </c>
      <c r="C7536" s="9" t="n">
        <v>1185732</v>
      </c>
      <c r="D7536" s="10" t="n">
        <v>44445</v>
      </c>
      <c r="E7536" s="9" t="s">
        <v>17</v>
      </c>
      <c r="F7536" s="9" t="s">
        <v>129</v>
      </c>
      <c r="G7536" s="9" t="s">
        <v>130</v>
      </c>
      <c r="H7536" s="11" t="s">
        <v>23</v>
      </c>
      <c r="I7536" s="12" t="n">
        <v>39</v>
      </c>
      <c r="J7536" s="13" t="n">
        <v>27</v>
      </c>
      <c r="K7536" s="14" t="n">
        <f aca="false">I7536*J7536</f>
        <v>1053</v>
      </c>
      <c r="L7536" s="14" t="n">
        <f aca="false">($L$2*M7536)/100</f>
        <v>648899.91</v>
      </c>
      <c r="M7536" s="15" t="n">
        <v>0.54</v>
      </c>
      <c r="N7536" s="9" t="s">
        <v>85</v>
      </c>
    </row>
    <row r="7537" customFormat="false" ht="14.25" hidden="false" customHeight="true" outlineLevel="0" collapsed="false">
      <c r="B7537" s="9" t="s">
        <v>16</v>
      </c>
      <c r="C7537" s="9" t="n">
        <v>1185732</v>
      </c>
      <c r="D7537" s="10" t="n">
        <v>44445</v>
      </c>
      <c r="E7537" s="9" t="s">
        <v>17</v>
      </c>
      <c r="F7537" s="9" t="s">
        <v>129</v>
      </c>
      <c r="G7537" s="9" t="s">
        <v>130</v>
      </c>
      <c r="H7537" s="11" t="s">
        <v>24</v>
      </c>
      <c r="I7537" s="12" t="n">
        <v>47</v>
      </c>
      <c r="J7537" s="13" t="n">
        <v>27</v>
      </c>
      <c r="K7537" s="14" t="n">
        <f aca="false">I7537*J7537</f>
        <v>1269</v>
      </c>
      <c r="L7537" s="14" t="n">
        <f aca="false">($L$2*M7537)/100</f>
        <v>492683.265</v>
      </c>
      <c r="M7537" s="15" t="n">
        <v>0.41</v>
      </c>
      <c r="N7537" s="9" t="s">
        <v>85</v>
      </c>
    </row>
    <row r="7538" customFormat="false" ht="14.25" hidden="false" customHeight="true" outlineLevel="0" collapsed="false">
      <c r="B7538" s="9" t="s">
        <v>16</v>
      </c>
      <c r="C7538" s="9" t="n">
        <v>1185732</v>
      </c>
      <c r="D7538" s="10" t="n">
        <v>44445</v>
      </c>
      <c r="E7538" s="9" t="s">
        <v>17</v>
      </c>
      <c r="F7538" s="9" t="s">
        <v>129</v>
      </c>
      <c r="G7538" s="9" t="s">
        <v>130</v>
      </c>
      <c r="H7538" s="11" t="s">
        <v>25</v>
      </c>
      <c r="I7538" s="12" t="n">
        <v>52</v>
      </c>
      <c r="J7538" s="13" t="n">
        <v>58</v>
      </c>
      <c r="K7538" s="14" t="n">
        <f aca="false">I7538*J7538</f>
        <v>3016</v>
      </c>
      <c r="L7538" s="14" t="n">
        <f aca="false">($L$2*M7538)/100</f>
        <v>612849.915</v>
      </c>
      <c r="M7538" s="15" t="n">
        <v>0.51</v>
      </c>
      <c r="N7538" s="9" t="s">
        <v>85</v>
      </c>
    </row>
    <row r="7539" customFormat="false" ht="14.25" hidden="false" customHeight="true" outlineLevel="0" collapsed="false">
      <c r="B7539" s="9" t="s">
        <v>16</v>
      </c>
      <c r="C7539" s="9" t="n">
        <v>1185732</v>
      </c>
      <c r="D7539" s="10" t="n">
        <v>44477</v>
      </c>
      <c r="E7539" s="9" t="s">
        <v>17</v>
      </c>
      <c r="F7539" s="9" t="s">
        <v>129</v>
      </c>
      <c r="G7539" s="9" t="s">
        <v>130</v>
      </c>
      <c r="H7539" s="11" t="s">
        <v>19</v>
      </c>
      <c r="I7539" s="12" t="n">
        <v>53</v>
      </c>
      <c r="J7539" s="13" t="n">
        <v>94</v>
      </c>
      <c r="K7539" s="14" t="n">
        <f aca="false">I7539*J7539</f>
        <v>4982</v>
      </c>
      <c r="L7539" s="14" t="n">
        <f aca="false">($L$2*M7539)/100</f>
        <v>600833.25</v>
      </c>
      <c r="M7539" s="15" t="n">
        <v>0.5</v>
      </c>
      <c r="N7539" s="9" t="s">
        <v>85</v>
      </c>
    </row>
    <row r="7540" customFormat="false" ht="14.25" hidden="false" customHeight="true" outlineLevel="0" collapsed="false">
      <c r="B7540" s="9" t="s">
        <v>16</v>
      </c>
      <c r="C7540" s="9" t="n">
        <v>1185732</v>
      </c>
      <c r="D7540" s="10" t="n">
        <v>44477</v>
      </c>
      <c r="E7540" s="9" t="s">
        <v>17</v>
      </c>
      <c r="F7540" s="9" t="s">
        <v>129</v>
      </c>
      <c r="G7540" s="9" t="s">
        <v>130</v>
      </c>
      <c r="H7540" s="11" t="s">
        <v>21</v>
      </c>
      <c r="I7540" s="12" t="n">
        <v>46</v>
      </c>
      <c r="J7540" s="13" t="n">
        <v>56</v>
      </c>
      <c r="K7540" s="14" t="n">
        <f aca="false">I7540*J7540</f>
        <v>2576</v>
      </c>
      <c r="L7540" s="14" t="n">
        <f aca="false">($L$2*M7540)/100</f>
        <v>588816.585</v>
      </c>
      <c r="M7540" s="15" t="n">
        <v>0.49</v>
      </c>
      <c r="N7540" s="9" t="s">
        <v>85</v>
      </c>
    </row>
    <row r="7541" customFormat="false" ht="14.25" hidden="false" customHeight="true" outlineLevel="0" collapsed="false">
      <c r="B7541" s="9" t="s">
        <v>16</v>
      </c>
      <c r="C7541" s="9" t="n">
        <v>1185732</v>
      </c>
      <c r="D7541" s="10" t="n">
        <v>44477</v>
      </c>
      <c r="E7541" s="9" t="s">
        <v>17</v>
      </c>
      <c r="F7541" s="9" t="s">
        <v>129</v>
      </c>
      <c r="G7541" s="9" t="s">
        <v>130</v>
      </c>
      <c r="H7541" s="11" t="s">
        <v>22</v>
      </c>
      <c r="I7541" s="12" t="n">
        <v>45</v>
      </c>
      <c r="J7541" s="13" t="n">
        <v>29</v>
      </c>
      <c r="K7541" s="14" t="n">
        <f aca="false">I7541*J7541</f>
        <v>1305</v>
      </c>
      <c r="L7541" s="14" t="n">
        <f aca="false">($L$2*M7541)/100</f>
        <v>624866.58</v>
      </c>
      <c r="M7541" s="15" t="n">
        <v>0.52</v>
      </c>
      <c r="N7541" s="9" t="s">
        <v>85</v>
      </c>
    </row>
    <row r="7542" customFormat="false" ht="14.25" hidden="false" customHeight="true" outlineLevel="0" collapsed="false">
      <c r="B7542" s="9" t="s">
        <v>16</v>
      </c>
      <c r="C7542" s="9" t="n">
        <v>1185732</v>
      </c>
      <c r="D7542" s="10" t="n">
        <v>44477</v>
      </c>
      <c r="E7542" s="9" t="s">
        <v>17</v>
      </c>
      <c r="F7542" s="9" t="s">
        <v>129</v>
      </c>
      <c r="G7542" s="9" t="s">
        <v>130</v>
      </c>
      <c r="H7542" s="11" t="s">
        <v>23</v>
      </c>
      <c r="I7542" s="12" t="n">
        <v>47</v>
      </c>
      <c r="J7542" s="13" t="n">
        <v>23</v>
      </c>
      <c r="K7542" s="14" t="n">
        <f aca="false">I7542*J7542</f>
        <v>1081</v>
      </c>
      <c r="L7542" s="14" t="n">
        <f aca="false">($L$2*M7542)/100</f>
        <v>600833.25</v>
      </c>
      <c r="M7542" s="15" t="n">
        <v>0.5</v>
      </c>
      <c r="N7542" s="9" t="s">
        <v>85</v>
      </c>
    </row>
    <row r="7543" customFormat="false" ht="14.25" hidden="false" customHeight="true" outlineLevel="0" collapsed="false">
      <c r="B7543" s="9" t="s">
        <v>16</v>
      </c>
      <c r="C7543" s="9" t="n">
        <v>1185732</v>
      </c>
      <c r="D7543" s="10" t="n">
        <v>44477</v>
      </c>
      <c r="E7543" s="9" t="s">
        <v>17</v>
      </c>
      <c r="F7543" s="9" t="s">
        <v>129</v>
      </c>
      <c r="G7543" s="9" t="s">
        <v>130</v>
      </c>
      <c r="H7543" s="11" t="s">
        <v>24</v>
      </c>
      <c r="I7543" s="12" t="n">
        <v>55</v>
      </c>
      <c r="J7543" s="13" t="n">
        <v>19</v>
      </c>
      <c r="K7543" s="14" t="n">
        <f aca="false">I7543*J7543</f>
        <v>1045</v>
      </c>
      <c r="L7543" s="14" t="n">
        <f aca="false">($L$2*M7543)/100</f>
        <v>480666.6</v>
      </c>
      <c r="M7543" s="15" t="n">
        <v>0.4</v>
      </c>
      <c r="N7543" s="9" t="s">
        <v>85</v>
      </c>
    </row>
    <row r="7544" customFormat="false" ht="14.25" hidden="false" customHeight="true" outlineLevel="0" collapsed="false">
      <c r="B7544" s="9" t="s">
        <v>28</v>
      </c>
      <c r="C7544" s="9" t="n">
        <v>1185732</v>
      </c>
      <c r="D7544" s="10" t="n">
        <v>44477</v>
      </c>
      <c r="E7544" s="9" t="s">
        <v>17</v>
      </c>
      <c r="F7544" s="9" t="s">
        <v>129</v>
      </c>
      <c r="G7544" s="9" t="s">
        <v>130</v>
      </c>
      <c r="H7544" s="11" t="s">
        <v>25</v>
      </c>
      <c r="I7544" s="12" t="n">
        <v>64</v>
      </c>
      <c r="J7544" s="13" t="n">
        <v>58</v>
      </c>
      <c r="K7544" s="14" t="n">
        <f aca="false">I7544*J7544</f>
        <v>3712</v>
      </c>
      <c r="L7544" s="14" t="n">
        <f aca="false">($L$2*M7544)/100</f>
        <v>612849.915</v>
      </c>
      <c r="M7544" s="15" t="n">
        <v>0.51</v>
      </c>
      <c r="N7544" s="9" t="s">
        <v>85</v>
      </c>
    </row>
    <row r="7545" customFormat="false" ht="14.25" hidden="false" customHeight="true" outlineLevel="0" collapsed="false">
      <c r="B7545" s="9" t="s">
        <v>28</v>
      </c>
      <c r="C7545" s="9" t="n">
        <v>1185732</v>
      </c>
      <c r="D7545" s="10" t="n">
        <v>44507</v>
      </c>
      <c r="E7545" s="9" t="s">
        <v>17</v>
      </c>
      <c r="F7545" s="9" t="s">
        <v>129</v>
      </c>
      <c r="G7545" s="9" t="s">
        <v>130</v>
      </c>
      <c r="H7545" s="11" t="s">
        <v>19</v>
      </c>
      <c r="I7545" s="12" t="n">
        <v>55</v>
      </c>
      <c r="J7545" s="13" t="n">
        <v>95</v>
      </c>
      <c r="K7545" s="14" t="n">
        <f aca="false">I7545*J7545</f>
        <v>5225</v>
      </c>
      <c r="L7545" s="14" t="n">
        <f aca="false">($L$2*M7545)/100</f>
        <v>588816.585</v>
      </c>
      <c r="M7545" s="15" t="n">
        <v>0.49</v>
      </c>
      <c r="N7545" s="9" t="s">
        <v>85</v>
      </c>
    </row>
    <row r="7546" customFormat="false" ht="14.25" hidden="false" customHeight="true" outlineLevel="0" collapsed="false">
      <c r="B7546" s="9" t="s">
        <v>28</v>
      </c>
      <c r="C7546" s="9" t="n">
        <v>1185732</v>
      </c>
      <c r="D7546" s="10" t="n">
        <v>44507</v>
      </c>
      <c r="E7546" s="9" t="s">
        <v>17</v>
      </c>
      <c r="F7546" s="9" t="s">
        <v>129</v>
      </c>
      <c r="G7546" s="9" t="s">
        <v>130</v>
      </c>
      <c r="H7546" s="11" t="s">
        <v>21</v>
      </c>
      <c r="I7546" s="12" t="n">
        <v>46</v>
      </c>
      <c r="J7546" s="13" t="n">
        <v>63</v>
      </c>
      <c r="K7546" s="14" t="n">
        <f aca="false">I7546*J7546</f>
        <v>2898</v>
      </c>
      <c r="L7546" s="14" t="n">
        <f aca="false">($L$2*M7546)/100</f>
        <v>540749.925</v>
      </c>
      <c r="M7546" s="15" t="n">
        <v>0.45</v>
      </c>
      <c r="N7546" s="9" t="s">
        <v>85</v>
      </c>
    </row>
    <row r="7547" customFormat="false" ht="14.25" hidden="false" customHeight="true" outlineLevel="0" collapsed="false">
      <c r="B7547" s="9" t="s">
        <v>28</v>
      </c>
      <c r="C7547" s="9" t="n">
        <v>1185732</v>
      </c>
      <c r="D7547" s="10" t="n">
        <v>44507</v>
      </c>
      <c r="E7547" s="9" t="s">
        <v>17</v>
      </c>
      <c r="F7547" s="9" t="s">
        <v>129</v>
      </c>
      <c r="G7547" s="9" t="s">
        <v>130</v>
      </c>
      <c r="H7547" s="11" t="s">
        <v>22</v>
      </c>
      <c r="I7547" s="12" t="n">
        <v>48</v>
      </c>
      <c r="J7547" s="13" t="n">
        <v>64</v>
      </c>
      <c r="K7547" s="14" t="n">
        <f aca="false">I7547*J7547</f>
        <v>3072</v>
      </c>
      <c r="L7547" s="14" t="n">
        <f aca="false">($L$2*M7547)/100</f>
        <v>648899.91</v>
      </c>
      <c r="M7547" s="15" t="n">
        <v>0.54</v>
      </c>
      <c r="N7547" s="9" t="s">
        <v>85</v>
      </c>
    </row>
    <row r="7548" customFormat="false" ht="14.25" hidden="false" customHeight="true" outlineLevel="0" collapsed="false">
      <c r="B7548" s="9" t="s">
        <v>28</v>
      </c>
      <c r="C7548" s="9" t="n">
        <v>1185732</v>
      </c>
      <c r="D7548" s="10" t="n">
        <v>44507</v>
      </c>
      <c r="E7548" s="9" t="s">
        <v>17</v>
      </c>
      <c r="F7548" s="9" t="s">
        <v>129</v>
      </c>
      <c r="G7548" s="9" t="s">
        <v>130</v>
      </c>
      <c r="H7548" s="11" t="s">
        <v>23</v>
      </c>
      <c r="I7548" s="12" t="n">
        <v>48</v>
      </c>
      <c r="J7548" s="13" t="n">
        <v>58</v>
      </c>
      <c r="K7548" s="14" t="n">
        <f aca="false">I7548*J7548</f>
        <v>2784</v>
      </c>
      <c r="L7548" s="14" t="n">
        <f aca="false">($L$2*M7548)/100</f>
        <v>660916.575</v>
      </c>
      <c r="M7548" s="15" t="n">
        <v>0.55</v>
      </c>
      <c r="N7548" s="9" t="s">
        <v>85</v>
      </c>
    </row>
    <row r="7549" customFormat="false" ht="14.25" hidden="false" customHeight="true" outlineLevel="0" collapsed="false">
      <c r="B7549" s="9" t="s">
        <v>28</v>
      </c>
      <c r="C7549" s="9" t="n">
        <v>1185732</v>
      </c>
      <c r="D7549" s="10" t="n">
        <v>44507</v>
      </c>
      <c r="E7549" s="9" t="s">
        <v>17</v>
      </c>
      <c r="F7549" s="9" t="s">
        <v>129</v>
      </c>
      <c r="G7549" s="9" t="s">
        <v>130</v>
      </c>
      <c r="H7549" s="11" t="s">
        <v>24</v>
      </c>
      <c r="I7549" s="12" t="n">
        <v>58</v>
      </c>
      <c r="J7549" s="13" t="n">
        <v>44</v>
      </c>
      <c r="K7549" s="14" t="n">
        <f aca="false">I7549*J7549</f>
        <v>2552</v>
      </c>
      <c r="L7549" s="14" t="n">
        <f aca="false">($L$2*M7549)/100</f>
        <v>528733.26</v>
      </c>
      <c r="M7549" s="15" t="n">
        <v>0.44</v>
      </c>
      <c r="N7549" s="9" t="s">
        <v>85</v>
      </c>
    </row>
    <row r="7550" customFormat="false" ht="14.25" hidden="false" customHeight="true" outlineLevel="0" collapsed="false">
      <c r="B7550" s="9" t="s">
        <v>28</v>
      </c>
      <c r="C7550" s="9" t="n">
        <v>1185732</v>
      </c>
      <c r="D7550" s="10" t="n">
        <v>44507</v>
      </c>
      <c r="E7550" s="9" t="s">
        <v>17</v>
      </c>
      <c r="F7550" s="9" t="s">
        <v>129</v>
      </c>
      <c r="G7550" s="9" t="s">
        <v>130</v>
      </c>
      <c r="H7550" s="11" t="s">
        <v>25</v>
      </c>
      <c r="I7550" s="12" t="n">
        <v>60</v>
      </c>
      <c r="J7550" s="13" t="n">
        <v>77</v>
      </c>
      <c r="K7550" s="14" t="n">
        <f aca="false">I7550*J7550</f>
        <v>4620</v>
      </c>
      <c r="L7550" s="14" t="n">
        <f aca="false">($L$2*M7550)/100</f>
        <v>624866.58</v>
      </c>
      <c r="M7550" s="15" t="n">
        <v>0.52</v>
      </c>
      <c r="N7550" s="9" t="s">
        <v>85</v>
      </c>
    </row>
    <row r="7551" customFormat="false" ht="14.25" hidden="false" customHeight="true" outlineLevel="0" collapsed="false">
      <c r="B7551" s="9" t="s">
        <v>28</v>
      </c>
      <c r="C7551" s="9" t="n">
        <v>1185732</v>
      </c>
      <c r="D7551" s="10" t="n">
        <v>44536</v>
      </c>
      <c r="E7551" s="9" t="s">
        <v>17</v>
      </c>
      <c r="F7551" s="9" t="s">
        <v>129</v>
      </c>
      <c r="G7551" s="9" t="s">
        <v>130</v>
      </c>
      <c r="H7551" s="11" t="s">
        <v>19</v>
      </c>
      <c r="I7551" s="12" t="n">
        <v>54</v>
      </c>
      <c r="J7551" s="13" t="n">
        <v>135</v>
      </c>
      <c r="K7551" s="14" t="n">
        <f aca="false">I7551*J7551</f>
        <v>7290</v>
      </c>
      <c r="L7551" s="14" t="n">
        <f aca="false">($L$2*M7551)/100</f>
        <v>600833.25</v>
      </c>
      <c r="M7551" s="15" t="n">
        <v>0.5</v>
      </c>
      <c r="N7551" s="9" t="s">
        <v>85</v>
      </c>
    </row>
    <row r="7552" customFormat="false" ht="14.25" hidden="false" customHeight="true" outlineLevel="0" collapsed="false">
      <c r="B7552" s="9" t="s">
        <v>28</v>
      </c>
      <c r="C7552" s="9" t="n">
        <v>1185732</v>
      </c>
      <c r="D7552" s="10" t="n">
        <v>44536</v>
      </c>
      <c r="E7552" s="9" t="s">
        <v>17</v>
      </c>
      <c r="F7552" s="9" t="s">
        <v>129</v>
      </c>
      <c r="G7552" s="9" t="s">
        <v>130</v>
      </c>
      <c r="H7552" s="11" t="s">
        <v>21</v>
      </c>
      <c r="I7552" s="12" t="n">
        <v>45</v>
      </c>
      <c r="J7552" s="13" t="n">
        <v>78</v>
      </c>
      <c r="K7552" s="14" t="n">
        <f aca="false">I7552*J7552</f>
        <v>3510</v>
      </c>
      <c r="L7552" s="14" t="n">
        <f aca="false">($L$2*M7552)/100</f>
        <v>576799.92</v>
      </c>
      <c r="M7552" s="15" t="n">
        <v>0.48</v>
      </c>
      <c r="N7552" s="9" t="s">
        <v>85</v>
      </c>
    </row>
    <row r="7553" customFormat="false" ht="14.25" hidden="false" customHeight="true" outlineLevel="0" collapsed="false">
      <c r="B7553" s="9" t="s">
        <v>28</v>
      </c>
      <c r="C7553" s="9" t="n">
        <v>1185732</v>
      </c>
      <c r="D7553" s="10" t="n">
        <v>44536</v>
      </c>
      <c r="E7553" s="9" t="s">
        <v>17</v>
      </c>
      <c r="F7553" s="9" t="s">
        <v>129</v>
      </c>
      <c r="G7553" s="9" t="s">
        <v>130</v>
      </c>
      <c r="H7553" s="11" t="s">
        <v>22</v>
      </c>
      <c r="I7553" s="12" t="n">
        <v>47</v>
      </c>
      <c r="J7553" s="13" t="n">
        <v>74</v>
      </c>
      <c r="K7553" s="14" t="n">
        <f aca="false">I7553*J7553</f>
        <v>3478</v>
      </c>
      <c r="L7553" s="14" t="n">
        <f aca="false">($L$2*M7553)/100</f>
        <v>612849.915</v>
      </c>
      <c r="M7553" s="15" t="n">
        <v>0.51</v>
      </c>
      <c r="N7553" s="9" t="s">
        <v>85</v>
      </c>
    </row>
    <row r="7554" customFormat="false" ht="14.25" hidden="false" customHeight="true" outlineLevel="0" collapsed="false">
      <c r="B7554" s="9" t="s">
        <v>28</v>
      </c>
      <c r="C7554" s="9" t="n">
        <v>1185732</v>
      </c>
      <c r="D7554" s="10" t="n">
        <v>44536</v>
      </c>
      <c r="E7554" s="9" t="s">
        <v>17</v>
      </c>
      <c r="F7554" s="9" t="s">
        <v>129</v>
      </c>
      <c r="G7554" s="9" t="s">
        <v>130</v>
      </c>
      <c r="H7554" s="11" t="s">
        <v>23</v>
      </c>
      <c r="I7554" s="12" t="n">
        <v>48</v>
      </c>
      <c r="J7554" s="13" t="n">
        <v>65</v>
      </c>
      <c r="K7554" s="14" t="n">
        <f aca="false">I7554*J7554</f>
        <v>3120</v>
      </c>
      <c r="L7554" s="14" t="n">
        <f aca="false">($L$2*M7554)/100</f>
        <v>600833.25</v>
      </c>
      <c r="M7554" s="15" t="n">
        <v>0.5</v>
      </c>
      <c r="N7554" s="9" t="s">
        <v>85</v>
      </c>
    </row>
    <row r="7555" customFormat="false" ht="14.25" hidden="false" customHeight="true" outlineLevel="0" collapsed="false">
      <c r="B7555" s="9" t="s">
        <v>28</v>
      </c>
      <c r="C7555" s="9" t="n">
        <v>1185732</v>
      </c>
      <c r="D7555" s="10" t="n">
        <v>44536</v>
      </c>
      <c r="E7555" s="9" t="s">
        <v>17</v>
      </c>
      <c r="F7555" s="9" t="s">
        <v>129</v>
      </c>
      <c r="G7555" s="9" t="s">
        <v>130</v>
      </c>
      <c r="H7555" s="11" t="s">
        <v>24</v>
      </c>
      <c r="I7555" s="12" t="n">
        <v>56</v>
      </c>
      <c r="J7555" s="13" t="n">
        <v>68</v>
      </c>
      <c r="K7555" s="14" t="n">
        <f aca="false">I7555*J7555</f>
        <v>3808</v>
      </c>
      <c r="L7555" s="14" t="n">
        <f aca="false">($L$2*M7555)/100</f>
        <v>516716.595</v>
      </c>
      <c r="M7555" s="15" t="n">
        <v>0.43</v>
      </c>
      <c r="N7555" s="9" t="s">
        <v>85</v>
      </c>
    </row>
    <row r="7556" customFormat="false" ht="14.25" hidden="false" customHeight="true" outlineLevel="0" collapsed="false">
      <c r="B7556" s="9" t="s">
        <v>28</v>
      </c>
      <c r="C7556" s="9" t="n">
        <v>1185732</v>
      </c>
      <c r="D7556" s="10" t="n">
        <v>44536</v>
      </c>
      <c r="E7556" s="9" t="s">
        <v>17</v>
      </c>
      <c r="F7556" s="9" t="s">
        <v>129</v>
      </c>
      <c r="G7556" s="9" t="s">
        <v>130</v>
      </c>
      <c r="H7556" s="11" t="s">
        <v>25</v>
      </c>
      <c r="I7556" s="12" t="n">
        <v>60</v>
      </c>
      <c r="J7556" s="13" t="n">
        <v>85</v>
      </c>
      <c r="K7556" s="14" t="n">
        <f aca="false">I7556*J7556</f>
        <v>5100</v>
      </c>
      <c r="L7556" s="14" t="n">
        <f aca="false">($L$2*M7556)/100</f>
        <v>660916.575</v>
      </c>
      <c r="M7556" s="15" t="n">
        <v>0.55</v>
      </c>
      <c r="N7556" s="9" t="s">
        <v>85</v>
      </c>
    </row>
    <row r="7557" customFormat="false" ht="14.25" hidden="false" customHeight="true" outlineLevel="0" collapsed="false">
      <c r="B7557" s="9" t="s">
        <v>28</v>
      </c>
      <c r="C7557" s="9" t="n">
        <v>1185732</v>
      </c>
      <c r="D7557" s="10" t="n">
        <v>44213</v>
      </c>
      <c r="E7557" s="9" t="s">
        <v>17</v>
      </c>
      <c r="F7557" s="9" t="s">
        <v>129</v>
      </c>
      <c r="G7557" s="9" t="s">
        <v>130</v>
      </c>
      <c r="H7557" s="11" t="s">
        <v>19</v>
      </c>
      <c r="I7557" s="12" t="n">
        <v>38</v>
      </c>
      <c r="J7557" s="13" t="n">
        <v>126</v>
      </c>
      <c r="K7557" s="14" t="n">
        <f aca="false">I7557*J7557</f>
        <v>4788</v>
      </c>
      <c r="L7557" s="14" t="n">
        <f aca="false">($L$2*M7557)/100</f>
        <v>516716.595</v>
      </c>
      <c r="M7557" s="15" t="n">
        <v>0.43</v>
      </c>
      <c r="N7557" s="9" t="s">
        <v>85</v>
      </c>
    </row>
    <row r="7558" customFormat="false" ht="14.25" hidden="false" customHeight="true" outlineLevel="0" collapsed="false">
      <c r="B7558" s="9" t="s">
        <v>28</v>
      </c>
      <c r="C7558" s="9" t="n">
        <v>1185732</v>
      </c>
      <c r="D7558" s="10" t="n">
        <v>44213</v>
      </c>
      <c r="E7558" s="9" t="s">
        <v>17</v>
      </c>
      <c r="F7558" s="9" t="s">
        <v>129</v>
      </c>
      <c r="G7558" s="9" t="s">
        <v>130</v>
      </c>
      <c r="H7558" s="11" t="s">
        <v>21</v>
      </c>
      <c r="I7558" s="12" t="n">
        <v>38</v>
      </c>
      <c r="J7558" s="13" t="n">
        <v>68</v>
      </c>
      <c r="K7558" s="14" t="n">
        <f aca="false">I7558*J7558</f>
        <v>2584</v>
      </c>
      <c r="L7558" s="14" t="n">
        <f aca="false">($L$2*M7558)/100</f>
        <v>528733.26</v>
      </c>
      <c r="M7558" s="15" t="n">
        <v>0.44</v>
      </c>
      <c r="N7558" s="9" t="s">
        <v>85</v>
      </c>
    </row>
    <row r="7559" customFormat="false" ht="14.25" hidden="false" customHeight="true" outlineLevel="0" collapsed="false">
      <c r="B7559" s="9" t="s">
        <v>28</v>
      </c>
      <c r="C7559" s="9" t="n">
        <v>1185732</v>
      </c>
      <c r="D7559" s="10" t="n">
        <v>44213</v>
      </c>
      <c r="E7559" s="9" t="s">
        <v>17</v>
      </c>
      <c r="F7559" s="9" t="s">
        <v>129</v>
      </c>
      <c r="G7559" s="9" t="s">
        <v>130</v>
      </c>
      <c r="H7559" s="11" t="s">
        <v>22</v>
      </c>
      <c r="I7559" s="12" t="n">
        <v>27</v>
      </c>
      <c r="J7559" s="13" t="n">
        <v>73</v>
      </c>
      <c r="K7559" s="14" t="n">
        <f aca="false">I7559*J7559</f>
        <v>1971</v>
      </c>
      <c r="L7559" s="14" t="n">
        <f aca="false">($L$2*M7559)/100</f>
        <v>432599.94</v>
      </c>
      <c r="M7559" s="15" t="n">
        <v>0.36</v>
      </c>
      <c r="N7559" s="9" t="s">
        <v>85</v>
      </c>
    </row>
    <row r="7560" customFormat="false" ht="14.25" hidden="false" customHeight="true" outlineLevel="0" collapsed="false">
      <c r="B7560" s="9" t="s">
        <v>28</v>
      </c>
      <c r="C7560" s="9" t="n">
        <v>1185732</v>
      </c>
      <c r="D7560" s="10" t="n">
        <v>44213</v>
      </c>
      <c r="E7560" s="9" t="s">
        <v>17</v>
      </c>
      <c r="F7560" s="9" t="s">
        <v>129</v>
      </c>
      <c r="G7560" s="9" t="s">
        <v>130</v>
      </c>
      <c r="H7560" s="11" t="s">
        <v>23</v>
      </c>
      <c r="I7560" s="12" t="n">
        <v>34</v>
      </c>
      <c r="J7560" s="13" t="n">
        <v>26</v>
      </c>
      <c r="K7560" s="14" t="n">
        <f aca="false">I7560*J7560</f>
        <v>884</v>
      </c>
      <c r="L7560" s="14" t="n">
        <f aca="false">($L$2*M7560)/100</f>
        <v>456633.27</v>
      </c>
      <c r="M7560" s="15" t="n">
        <v>0.38</v>
      </c>
      <c r="N7560" s="9" t="s">
        <v>85</v>
      </c>
    </row>
    <row r="7561" customFormat="false" ht="14.25" hidden="false" customHeight="true" outlineLevel="0" collapsed="false">
      <c r="B7561" s="9" t="s">
        <v>28</v>
      </c>
      <c r="C7561" s="9" t="n">
        <v>1185732</v>
      </c>
      <c r="D7561" s="10" t="n">
        <v>44213</v>
      </c>
      <c r="E7561" s="9" t="s">
        <v>17</v>
      </c>
      <c r="F7561" s="9" t="s">
        <v>129</v>
      </c>
      <c r="G7561" s="9" t="s">
        <v>130</v>
      </c>
      <c r="H7561" s="11" t="s">
        <v>24</v>
      </c>
      <c r="I7561" s="12" t="n">
        <v>48</v>
      </c>
      <c r="J7561" s="13" t="n">
        <v>41</v>
      </c>
      <c r="K7561" s="14" t="n">
        <f aca="false">I7561*J7561</f>
        <v>1968</v>
      </c>
      <c r="L7561" s="14" t="n">
        <f aca="false">($L$2*M7561)/100</f>
        <v>468649.935</v>
      </c>
      <c r="M7561" s="15" t="n">
        <v>0.39</v>
      </c>
      <c r="N7561" s="9" t="s">
        <v>85</v>
      </c>
    </row>
    <row r="7562" customFormat="false" ht="14.25" hidden="false" customHeight="true" outlineLevel="0" collapsed="false">
      <c r="B7562" s="9" t="s">
        <v>28</v>
      </c>
      <c r="C7562" s="9" t="n">
        <v>1185732</v>
      </c>
      <c r="D7562" s="10" t="n">
        <v>44213</v>
      </c>
      <c r="E7562" s="9" t="s">
        <v>17</v>
      </c>
      <c r="F7562" s="9" t="s">
        <v>129</v>
      </c>
      <c r="G7562" s="9" t="s">
        <v>130</v>
      </c>
      <c r="H7562" s="11" t="s">
        <v>25</v>
      </c>
      <c r="I7562" s="12" t="n">
        <v>38</v>
      </c>
      <c r="J7562" s="13" t="n">
        <v>70</v>
      </c>
      <c r="K7562" s="14" t="n">
        <f aca="false">I7562*J7562</f>
        <v>2660</v>
      </c>
      <c r="L7562" s="14" t="n">
        <f aca="false">($L$2*M7562)/100</f>
        <v>492683.265</v>
      </c>
      <c r="M7562" s="15" t="n">
        <v>0.41</v>
      </c>
      <c r="N7562" s="9" t="s">
        <v>85</v>
      </c>
    </row>
    <row r="7563" customFormat="false" ht="14.25" hidden="false" customHeight="true" outlineLevel="0" collapsed="false">
      <c r="B7563" s="9" t="s">
        <v>28</v>
      </c>
      <c r="C7563" s="9" t="n">
        <v>1185732</v>
      </c>
      <c r="D7563" s="10" t="n">
        <v>44242</v>
      </c>
      <c r="E7563" s="9" t="s">
        <v>17</v>
      </c>
      <c r="F7563" s="9" t="s">
        <v>129</v>
      </c>
      <c r="G7563" s="9" t="s">
        <v>130</v>
      </c>
      <c r="H7563" s="11" t="s">
        <v>19</v>
      </c>
      <c r="I7563" s="12" t="n">
        <v>36</v>
      </c>
      <c r="J7563" s="13" t="n">
        <v>140</v>
      </c>
      <c r="K7563" s="14" t="n">
        <f aca="false">I7563*J7563</f>
        <v>5040</v>
      </c>
      <c r="L7563" s="14" t="n">
        <f aca="false">($L$2*M7563)/100</f>
        <v>492683.265</v>
      </c>
      <c r="M7563" s="15" t="n">
        <v>0.41</v>
      </c>
      <c r="N7563" s="9" t="s">
        <v>85</v>
      </c>
    </row>
    <row r="7564" customFormat="false" ht="14.25" hidden="false" customHeight="true" outlineLevel="0" collapsed="false">
      <c r="B7564" s="9" t="s">
        <v>28</v>
      </c>
      <c r="C7564" s="9" t="n">
        <v>1185732</v>
      </c>
      <c r="D7564" s="10" t="n">
        <v>44242</v>
      </c>
      <c r="E7564" s="9" t="s">
        <v>17</v>
      </c>
      <c r="F7564" s="9" t="s">
        <v>129</v>
      </c>
      <c r="G7564" s="9" t="s">
        <v>130</v>
      </c>
      <c r="H7564" s="11" t="s">
        <v>21</v>
      </c>
      <c r="I7564" s="12" t="n">
        <v>38</v>
      </c>
      <c r="J7564" s="13" t="n">
        <v>41</v>
      </c>
      <c r="K7564" s="14" t="n">
        <f aca="false">I7564*J7564</f>
        <v>1558</v>
      </c>
      <c r="L7564" s="14" t="n">
        <f aca="false">($L$2*M7564)/100</f>
        <v>504699.93</v>
      </c>
      <c r="M7564" s="15" t="n">
        <v>0.42</v>
      </c>
      <c r="N7564" s="9" t="s">
        <v>85</v>
      </c>
    </row>
    <row r="7565" customFormat="false" ht="14.25" hidden="false" customHeight="true" outlineLevel="0" collapsed="false">
      <c r="B7565" s="9" t="s">
        <v>28</v>
      </c>
      <c r="C7565" s="9" t="n">
        <v>1185732</v>
      </c>
      <c r="D7565" s="10" t="n">
        <v>44242</v>
      </c>
      <c r="E7565" s="9" t="s">
        <v>17</v>
      </c>
      <c r="F7565" s="9" t="s">
        <v>129</v>
      </c>
      <c r="G7565" s="9" t="s">
        <v>130</v>
      </c>
      <c r="H7565" s="11" t="s">
        <v>22</v>
      </c>
      <c r="I7565" s="12" t="n">
        <v>29</v>
      </c>
      <c r="J7565" s="13" t="n">
        <v>60</v>
      </c>
      <c r="K7565" s="14" t="n">
        <f aca="false">I7565*J7565</f>
        <v>1740</v>
      </c>
      <c r="L7565" s="14" t="n">
        <f aca="false">($L$2*M7565)/100</f>
        <v>456633.27</v>
      </c>
      <c r="M7565" s="15" t="n">
        <v>0.38</v>
      </c>
      <c r="N7565" s="9" t="s">
        <v>85</v>
      </c>
    </row>
    <row r="7566" customFormat="false" ht="14.25" hidden="false" customHeight="true" outlineLevel="0" collapsed="false">
      <c r="B7566" s="9" t="s">
        <v>28</v>
      </c>
      <c r="C7566" s="9" t="n">
        <v>1185732</v>
      </c>
      <c r="D7566" s="10" t="n">
        <v>44242</v>
      </c>
      <c r="E7566" s="9" t="s">
        <v>17</v>
      </c>
      <c r="F7566" s="9" t="s">
        <v>131</v>
      </c>
      <c r="G7566" s="9" t="s">
        <v>132</v>
      </c>
      <c r="H7566" s="11" t="s">
        <v>23</v>
      </c>
      <c r="I7566" s="12" t="n">
        <v>32</v>
      </c>
      <c r="J7566" s="13" t="n">
        <v>68</v>
      </c>
      <c r="K7566" s="14" t="n">
        <f aca="false">I7566*J7566</f>
        <v>2176</v>
      </c>
      <c r="L7566" s="14" t="n">
        <f aca="false">($L$2*M7566)/100</f>
        <v>456633.27</v>
      </c>
      <c r="M7566" s="15" t="n">
        <v>0.38</v>
      </c>
      <c r="N7566" s="9" t="s">
        <v>85</v>
      </c>
    </row>
    <row r="7567" customFormat="false" ht="14.25" hidden="false" customHeight="true" outlineLevel="0" collapsed="false">
      <c r="B7567" s="9" t="s">
        <v>28</v>
      </c>
      <c r="C7567" s="9" t="n">
        <v>1185732</v>
      </c>
      <c r="D7567" s="10" t="n">
        <v>44242</v>
      </c>
      <c r="E7567" s="9" t="s">
        <v>17</v>
      </c>
      <c r="F7567" s="9" t="s">
        <v>131</v>
      </c>
      <c r="G7567" s="9" t="s">
        <v>132</v>
      </c>
      <c r="H7567" s="11" t="s">
        <v>24</v>
      </c>
      <c r="I7567" s="12" t="n">
        <v>48</v>
      </c>
      <c r="J7567" s="13" t="n">
        <v>41</v>
      </c>
      <c r="K7567" s="14" t="n">
        <f aca="false">I7567*J7567</f>
        <v>1968</v>
      </c>
      <c r="L7567" s="14" t="n">
        <f aca="false">($L$2*M7567)/100</f>
        <v>456633.27</v>
      </c>
      <c r="M7567" s="15" t="n">
        <v>0.38</v>
      </c>
      <c r="N7567" s="9" t="s">
        <v>85</v>
      </c>
    </row>
    <row r="7568" customFormat="false" ht="14.25" hidden="false" customHeight="true" outlineLevel="0" collapsed="false">
      <c r="B7568" s="9" t="s">
        <v>28</v>
      </c>
      <c r="C7568" s="9" t="n">
        <v>1185732</v>
      </c>
      <c r="D7568" s="10" t="n">
        <v>44242</v>
      </c>
      <c r="E7568" s="9" t="s">
        <v>17</v>
      </c>
      <c r="F7568" s="9" t="s">
        <v>131</v>
      </c>
      <c r="G7568" s="9" t="s">
        <v>132</v>
      </c>
      <c r="H7568" s="11" t="s">
        <v>25</v>
      </c>
      <c r="I7568" s="12" t="n">
        <v>38</v>
      </c>
      <c r="J7568" s="13" t="n">
        <v>75</v>
      </c>
      <c r="K7568" s="14" t="n">
        <f aca="false">I7568*J7568</f>
        <v>2850</v>
      </c>
      <c r="L7568" s="14" t="n">
        <f aca="false">($L$2*M7568)/100</f>
        <v>528733.26</v>
      </c>
      <c r="M7568" s="15" t="n">
        <v>0.44</v>
      </c>
      <c r="N7568" s="9" t="s">
        <v>85</v>
      </c>
    </row>
    <row r="7569" customFormat="false" ht="14.25" hidden="false" customHeight="true" outlineLevel="0" collapsed="false">
      <c r="B7569" s="9" t="s">
        <v>28</v>
      </c>
      <c r="C7569" s="9" t="n">
        <v>1185732</v>
      </c>
      <c r="D7569" s="10" t="n">
        <v>44268</v>
      </c>
      <c r="E7569" s="9" t="s">
        <v>17</v>
      </c>
      <c r="F7569" s="9" t="s">
        <v>131</v>
      </c>
      <c r="G7569" s="9" t="s">
        <v>132</v>
      </c>
      <c r="H7569" s="11" t="s">
        <v>19</v>
      </c>
      <c r="I7569" s="12" t="n">
        <v>38</v>
      </c>
      <c r="J7569" s="13" t="n">
        <v>127</v>
      </c>
      <c r="K7569" s="14" t="n">
        <f aca="false">I7569*J7569</f>
        <v>4826</v>
      </c>
      <c r="L7569" s="14" t="n">
        <f aca="false">($L$2*M7569)/100</f>
        <v>528733.26</v>
      </c>
      <c r="M7569" s="15" t="n">
        <v>0.44</v>
      </c>
      <c r="N7569" s="9" t="s">
        <v>85</v>
      </c>
    </row>
    <row r="7570" customFormat="false" ht="14.25" hidden="false" customHeight="true" outlineLevel="0" collapsed="false">
      <c r="B7570" s="9" t="s">
        <v>28</v>
      </c>
      <c r="C7570" s="9" t="n">
        <v>1185732</v>
      </c>
      <c r="D7570" s="10" t="n">
        <v>44268</v>
      </c>
      <c r="E7570" s="9" t="s">
        <v>17</v>
      </c>
      <c r="F7570" s="9" t="s">
        <v>131</v>
      </c>
      <c r="G7570" s="9" t="s">
        <v>132</v>
      </c>
      <c r="H7570" s="11" t="s">
        <v>21</v>
      </c>
      <c r="I7570" s="12" t="n">
        <v>38</v>
      </c>
      <c r="J7570" s="13" t="n">
        <v>47</v>
      </c>
      <c r="K7570" s="14" t="n">
        <f aca="false">I7570*J7570</f>
        <v>1786</v>
      </c>
      <c r="L7570" s="14" t="n">
        <f aca="false">($L$2*M7570)/100</f>
        <v>540749.925</v>
      </c>
      <c r="M7570" s="15" t="n">
        <v>0.45</v>
      </c>
      <c r="N7570" s="9" t="s">
        <v>85</v>
      </c>
    </row>
    <row r="7571" customFormat="false" ht="14.25" hidden="false" customHeight="true" outlineLevel="0" collapsed="false">
      <c r="B7571" s="9" t="s">
        <v>28</v>
      </c>
      <c r="C7571" s="9" t="n">
        <v>1185732</v>
      </c>
      <c r="D7571" s="10" t="n">
        <v>44268</v>
      </c>
      <c r="E7571" s="9" t="s">
        <v>17</v>
      </c>
      <c r="F7571" s="9" t="s">
        <v>131</v>
      </c>
      <c r="G7571" s="9" t="s">
        <v>132</v>
      </c>
      <c r="H7571" s="11" t="s">
        <v>22</v>
      </c>
      <c r="I7571" s="12" t="n">
        <v>28</v>
      </c>
      <c r="J7571" s="13" t="n">
        <v>50</v>
      </c>
      <c r="K7571" s="14" t="n">
        <f aca="false">I7571*J7571</f>
        <v>1400</v>
      </c>
      <c r="L7571" s="14" t="n">
        <f aca="false">($L$2*M7571)/100</f>
        <v>468649.935</v>
      </c>
      <c r="M7571" s="15" t="n">
        <v>0.39</v>
      </c>
      <c r="N7571" s="9" t="s">
        <v>85</v>
      </c>
    </row>
    <row r="7572" customFormat="false" ht="14.25" hidden="false" customHeight="true" outlineLevel="0" collapsed="false">
      <c r="B7572" s="9" t="s">
        <v>28</v>
      </c>
      <c r="C7572" s="9" t="n">
        <v>1185732</v>
      </c>
      <c r="D7572" s="10" t="n">
        <v>44268</v>
      </c>
      <c r="E7572" s="9" t="s">
        <v>17</v>
      </c>
      <c r="F7572" s="9" t="s">
        <v>131</v>
      </c>
      <c r="G7572" s="9" t="s">
        <v>132</v>
      </c>
      <c r="H7572" s="11" t="s">
        <v>23</v>
      </c>
      <c r="I7572" s="12" t="n">
        <v>34</v>
      </c>
      <c r="J7572" s="13" t="n">
        <v>87</v>
      </c>
      <c r="K7572" s="14" t="n">
        <f aca="false">I7572*J7572</f>
        <v>2958</v>
      </c>
      <c r="L7572" s="14" t="n">
        <f aca="false">($L$2*M7572)/100</f>
        <v>432599.94</v>
      </c>
      <c r="M7572" s="15" t="n">
        <v>0.36</v>
      </c>
      <c r="N7572" s="9" t="s">
        <v>85</v>
      </c>
    </row>
    <row r="7573" customFormat="false" ht="14.25" hidden="false" customHeight="true" outlineLevel="0" collapsed="false">
      <c r="B7573" s="9" t="s">
        <v>28</v>
      </c>
      <c r="C7573" s="9" t="n">
        <v>1185732</v>
      </c>
      <c r="D7573" s="10" t="n">
        <v>44268</v>
      </c>
      <c r="E7573" s="9" t="s">
        <v>17</v>
      </c>
      <c r="F7573" s="9" t="s">
        <v>131</v>
      </c>
      <c r="G7573" s="9" t="s">
        <v>132</v>
      </c>
      <c r="H7573" s="11" t="s">
        <v>24</v>
      </c>
      <c r="I7573" s="12" t="n">
        <v>46</v>
      </c>
      <c r="J7573" s="13" t="n">
        <v>29</v>
      </c>
      <c r="K7573" s="14" t="n">
        <f aca="false">I7573*J7573</f>
        <v>1334</v>
      </c>
      <c r="L7573" s="14" t="n">
        <f aca="false">($L$2*M7573)/100</f>
        <v>468649.935</v>
      </c>
      <c r="M7573" s="15" t="n">
        <v>0.39</v>
      </c>
      <c r="N7573" s="9" t="s">
        <v>85</v>
      </c>
    </row>
    <row r="7574" customFormat="false" ht="14.25" hidden="false" customHeight="true" outlineLevel="0" collapsed="false">
      <c r="B7574" s="9" t="s">
        <v>28</v>
      </c>
      <c r="C7574" s="9" t="n">
        <v>1185732</v>
      </c>
      <c r="D7574" s="10" t="n">
        <v>44268</v>
      </c>
      <c r="E7574" s="9" t="s">
        <v>17</v>
      </c>
      <c r="F7574" s="9" t="s">
        <v>131</v>
      </c>
      <c r="G7574" s="9" t="s">
        <v>132</v>
      </c>
      <c r="H7574" s="11" t="s">
        <v>25</v>
      </c>
      <c r="I7574" s="12" t="n">
        <v>39</v>
      </c>
      <c r="J7574" s="13" t="n">
        <v>54</v>
      </c>
      <c r="K7574" s="14" t="n">
        <f aca="false">I7574*J7574</f>
        <v>2106</v>
      </c>
      <c r="L7574" s="14" t="n">
        <f aca="false">($L$2*M7574)/100</f>
        <v>492683.265</v>
      </c>
      <c r="M7574" s="15" t="n">
        <v>0.41</v>
      </c>
      <c r="N7574" s="9" t="s">
        <v>85</v>
      </c>
    </row>
    <row r="7575" customFormat="false" ht="14.25" hidden="false" customHeight="true" outlineLevel="0" collapsed="false">
      <c r="B7575" s="9" t="s">
        <v>28</v>
      </c>
      <c r="C7575" s="9" t="n">
        <v>1185732</v>
      </c>
      <c r="D7575" s="10" t="n">
        <v>44300</v>
      </c>
      <c r="E7575" s="9" t="s">
        <v>17</v>
      </c>
      <c r="F7575" s="9" t="s">
        <v>131</v>
      </c>
      <c r="G7575" s="9" t="s">
        <v>132</v>
      </c>
      <c r="H7575" s="11" t="s">
        <v>19</v>
      </c>
      <c r="I7575" s="12" t="n">
        <v>38</v>
      </c>
      <c r="J7575" s="13" t="n">
        <v>117</v>
      </c>
      <c r="K7575" s="14" t="n">
        <f aca="false">I7575*J7575</f>
        <v>4446</v>
      </c>
      <c r="L7575" s="14" t="n">
        <f aca="false">($L$2*M7575)/100</f>
        <v>540749.925</v>
      </c>
      <c r="M7575" s="15" t="n">
        <v>0.45</v>
      </c>
      <c r="N7575" s="9" t="s">
        <v>85</v>
      </c>
    </row>
    <row r="7576" customFormat="false" ht="14.25" hidden="false" customHeight="true" outlineLevel="0" collapsed="false">
      <c r="B7576" s="9" t="s">
        <v>28</v>
      </c>
      <c r="C7576" s="9" t="n">
        <v>1185732</v>
      </c>
      <c r="D7576" s="10" t="n">
        <v>44300</v>
      </c>
      <c r="E7576" s="9" t="s">
        <v>17</v>
      </c>
      <c r="F7576" s="9" t="s">
        <v>131</v>
      </c>
      <c r="G7576" s="9" t="s">
        <v>132</v>
      </c>
      <c r="H7576" s="11" t="s">
        <v>21</v>
      </c>
      <c r="I7576" s="12" t="n">
        <v>37</v>
      </c>
      <c r="J7576" s="13" t="n">
        <v>45</v>
      </c>
      <c r="K7576" s="14" t="n">
        <f aca="false">I7576*J7576</f>
        <v>1665</v>
      </c>
      <c r="L7576" s="14" t="n">
        <f aca="false">($L$2*M7576)/100</f>
        <v>528733.26</v>
      </c>
      <c r="M7576" s="15" t="n">
        <v>0.44</v>
      </c>
      <c r="N7576" s="9" t="s">
        <v>85</v>
      </c>
    </row>
    <row r="7577" customFormat="false" ht="14.25" hidden="false" customHeight="true" outlineLevel="0" collapsed="false">
      <c r="B7577" s="9" t="s">
        <v>28</v>
      </c>
      <c r="C7577" s="9" t="n">
        <v>1185732</v>
      </c>
      <c r="D7577" s="10" t="n">
        <v>44300</v>
      </c>
      <c r="E7577" s="9" t="s">
        <v>17</v>
      </c>
      <c r="F7577" s="9" t="s">
        <v>131</v>
      </c>
      <c r="G7577" s="9" t="s">
        <v>132</v>
      </c>
      <c r="H7577" s="11" t="s">
        <v>22</v>
      </c>
      <c r="I7577" s="12" t="n">
        <v>29</v>
      </c>
      <c r="J7577" s="13" t="n">
        <v>41</v>
      </c>
      <c r="K7577" s="14" t="n">
        <f aca="false">I7577*J7577</f>
        <v>1189</v>
      </c>
      <c r="L7577" s="14" t="n">
        <f aca="false">($L$2*M7577)/100</f>
        <v>420583.275</v>
      </c>
      <c r="M7577" s="15" t="n">
        <v>0.35</v>
      </c>
      <c r="N7577" s="9" t="s">
        <v>85</v>
      </c>
    </row>
    <row r="7578" customFormat="false" ht="14.25" hidden="false" customHeight="true" outlineLevel="0" collapsed="false">
      <c r="B7578" s="9" t="s">
        <v>28</v>
      </c>
      <c r="C7578" s="9" t="n">
        <v>1185732</v>
      </c>
      <c r="D7578" s="10" t="n">
        <v>44300</v>
      </c>
      <c r="E7578" s="9" t="s">
        <v>17</v>
      </c>
      <c r="F7578" s="9" t="s">
        <v>131</v>
      </c>
      <c r="G7578" s="9" t="s">
        <v>132</v>
      </c>
      <c r="H7578" s="11" t="s">
        <v>23</v>
      </c>
      <c r="I7578" s="12" t="n">
        <v>32</v>
      </c>
      <c r="J7578" s="13" t="n">
        <v>35</v>
      </c>
      <c r="K7578" s="14" t="n">
        <f aca="false">I7578*J7578</f>
        <v>1120</v>
      </c>
      <c r="L7578" s="14" t="n">
        <f aca="false">($L$2*M7578)/100</f>
        <v>468649.935</v>
      </c>
      <c r="M7578" s="15" t="n">
        <v>0.39</v>
      </c>
      <c r="N7578" s="9" t="s">
        <v>85</v>
      </c>
    </row>
    <row r="7579" customFormat="false" ht="14.25" hidden="false" customHeight="true" outlineLevel="0" collapsed="false">
      <c r="B7579" s="9" t="s">
        <v>28</v>
      </c>
      <c r="C7579" s="9" t="n">
        <v>1185732</v>
      </c>
      <c r="D7579" s="10" t="n">
        <v>44300</v>
      </c>
      <c r="E7579" s="9" t="s">
        <v>17</v>
      </c>
      <c r="F7579" s="9" t="s">
        <v>131</v>
      </c>
      <c r="G7579" s="9" t="s">
        <v>132</v>
      </c>
      <c r="H7579" s="11" t="s">
        <v>24</v>
      </c>
      <c r="I7579" s="12" t="n">
        <v>49</v>
      </c>
      <c r="J7579" s="13" t="n">
        <v>33</v>
      </c>
      <c r="K7579" s="14" t="n">
        <f aca="false">I7579*J7579</f>
        <v>1617</v>
      </c>
      <c r="L7579" s="14" t="n">
        <f aca="false">($L$2*M7579)/100</f>
        <v>456633.27</v>
      </c>
      <c r="M7579" s="15" t="n">
        <v>0.38</v>
      </c>
      <c r="N7579" s="9" t="s">
        <v>85</v>
      </c>
    </row>
    <row r="7580" customFormat="false" ht="14.25" hidden="false" customHeight="true" outlineLevel="0" collapsed="false">
      <c r="B7580" s="9" t="s">
        <v>28</v>
      </c>
      <c r="C7580" s="9" t="n">
        <v>1185732</v>
      </c>
      <c r="D7580" s="10" t="n">
        <v>44300</v>
      </c>
      <c r="E7580" s="9" t="s">
        <v>17</v>
      </c>
      <c r="F7580" s="9" t="s">
        <v>131</v>
      </c>
      <c r="G7580" s="9" t="s">
        <v>132</v>
      </c>
      <c r="H7580" s="11" t="s">
        <v>25</v>
      </c>
      <c r="I7580" s="12" t="n">
        <v>39</v>
      </c>
      <c r="J7580" s="13" t="n">
        <v>83</v>
      </c>
      <c r="K7580" s="14" t="n">
        <f aca="false">I7580*J7580</f>
        <v>3237</v>
      </c>
      <c r="L7580" s="14" t="n">
        <f aca="false">($L$2*M7580)/100</f>
        <v>528733.26</v>
      </c>
      <c r="M7580" s="15" t="n">
        <v>0.44</v>
      </c>
      <c r="N7580" s="9" t="s">
        <v>85</v>
      </c>
    </row>
    <row r="7581" customFormat="false" ht="14.25" hidden="false" customHeight="true" outlineLevel="0" collapsed="false">
      <c r="B7581" s="9" t="s">
        <v>28</v>
      </c>
      <c r="C7581" s="9" t="n">
        <v>1185732</v>
      </c>
      <c r="D7581" s="10" t="n">
        <v>44329</v>
      </c>
      <c r="E7581" s="9" t="s">
        <v>17</v>
      </c>
      <c r="F7581" s="9" t="s">
        <v>131</v>
      </c>
      <c r="G7581" s="9" t="s">
        <v>132</v>
      </c>
      <c r="H7581" s="11" t="s">
        <v>19</v>
      </c>
      <c r="I7581" s="12" t="n">
        <v>53</v>
      </c>
      <c r="J7581" s="13" t="n">
        <v>129</v>
      </c>
      <c r="K7581" s="14" t="n">
        <f aca="false">I7581*J7581</f>
        <v>6837</v>
      </c>
      <c r="L7581" s="14" t="n">
        <f aca="false">($L$2*M7581)/100</f>
        <v>516716.595</v>
      </c>
      <c r="M7581" s="15" t="n">
        <v>0.43</v>
      </c>
      <c r="N7581" s="9" t="s">
        <v>85</v>
      </c>
    </row>
    <row r="7582" customFormat="false" ht="14.25" hidden="false" customHeight="true" outlineLevel="0" collapsed="false">
      <c r="B7582" s="9" t="s">
        <v>28</v>
      </c>
      <c r="C7582" s="9" t="n">
        <v>1185732</v>
      </c>
      <c r="D7582" s="10" t="n">
        <v>44329</v>
      </c>
      <c r="E7582" s="9" t="s">
        <v>17</v>
      </c>
      <c r="F7582" s="9" t="s">
        <v>131</v>
      </c>
      <c r="G7582" s="9" t="s">
        <v>132</v>
      </c>
      <c r="H7582" s="11" t="s">
        <v>21</v>
      </c>
      <c r="I7582" s="12" t="n">
        <v>47</v>
      </c>
      <c r="J7582" s="13" t="n">
        <v>54</v>
      </c>
      <c r="K7582" s="14" t="n">
        <f aca="false">I7582*J7582</f>
        <v>2538</v>
      </c>
      <c r="L7582" s="14" t="n">
        <f aca="false">($L$2*M7582)/100</f>
        <v>516716.595</v>
      </c>
      <c r="M7582" s="15" t="n">
        <v>0.43</v>
      </c>
      <c r="N7582" s="9" t="s">
        <v>85</v>
      </c>
    </row>
    <row r="7583" customFormat="false" ht="14.25" hidden="false" customHeight="true" outlineLevel="0" collapsed="false">
      <c r="B7583" s="9" t="s">
        <v>28</v>
      </c>
      <c r="C7583" s="9" t="n">
        <v>1185732</v>
      </c>
      <c r="D7583" s="10" t="n">
        <v>44329</v>
      </c>
      <c r="E7583" s="9" t="s">
        <v>17</v>
      </c>
      <c r="F7583" s="9" t="s">
        <v>131</v>
      </c>
      <c r="G7583" s="9" t="s">
        <v>132</v>
      </c>
      <c r="H7583" s="11" t="s">
        <v>22</v>
      </c>
      <c r="I7583" s="12" t="n">
        <v>41</v>
      </c>
      <c r="J7583" s="13" t="n">
        <v>56</v>
      </c>
      <c r="K7583" s="14" t="n">
        <f aca="false">I7583*J7583</f>
        <v>2296</v>
      </c>
      <c r="L7583" s="14" t="n">
        <f aca="false">($L$2*M7583)/100</f>
        <v>480666.6</v>
      </c>
      <c r="M7583" s="15" t="n">
        <v>0.4</v>
      </c>
      <c r="N7583" s="9" t="s">
        <v>85</v>
      </c>
    </row>
    <row r="7584" customFormat="false" ht="14.25" hidden="false" customHeight="true" outlineLevel="0" collapsed="false">
      <c r="B7584" s="9" t="s">
        <v>28</v>
      </c>
      <c r="C7584" s="9" t="n">
        <v>1185732</v>
      </c>
      <c r="D7584" s="10" t="n">
        <v>44329</v>
      </c>
      <c r="E7584" s="9" t="s">
        <v>17</v>
      </c>
      <c r="F7584" s="9" t="s">
        <v>131</v>
      </c>
      <c r="G7584" s="9" t="s">
        <v>132</v>
      </c>
      <c r="H7584" s="11" t="s">
        <v>23</v>
      </c>
      <c r="I7584" s="12" t="n">
        <v>44</v>
      </c>
      <c r="J7584" s="13" t="n">
        <v>47</v>
      </c>
      <c r="K7584" s="14" t="n">
        <f aca="false">I7584*J7584</f>
        <v>2068</v>
      </c>
      <c r="L7584" s="14" t="n">
        <f aca="false">($L$2*M7584)/100</f>
        <v>468649.935</v>
      </c>
      <c r="M7584" s="15" t="n">
        <v>0.39</v>
      </c>
      <c r="N7584" s="9" t="s">
        <v>85</v>
      </c>
    </row>
    <row r="7585" customFormat="false" ht="14.25" hidden="false" customHeight="true" outlineLevel="0" collapsed="false">
      <c r="B7585" s="9" t="s">
        <v>28</v>
      </c>
      <c r="C7585" s="9" t="n">
        <v>1185732</v>
      </c>
      <c r="D7585" s="10" t="n">
        <v>44329</v>
      </c>
      <c r="E7585" s="9" t="s">
        <v>17</v>
      </c>
      <c r="F7585" s="9" t="s">
        <v>131</v>
      </c>
      <c r="G7585" s="9" t="s">
        <v>132</v>
      </c>
      <c r="H7585" s="11" t="s">
        <v>24</v>
      </c>
      <c r="I7585" s="12" t="n">
        <v>50</v>
      </c>
      <c r="J7585" s="13" t="n">
        <v>54</v>
      </c>
      <c r="K7585" s="14" t="n">
        <f aca="false">I7585*J7585</f>
        <v>2700</v>
      </c>
      <c r="L7585" s="14" t="n">
        <f aca="false">($L$2*M7585)/100</f>
        <v>456633.27</v>
      </c>
      <c r="M7585" s="15" t="n">
        <v>0.38</v>
      </c>
      <c r="N7585" s="9" t="s">
        <v>85</v>
      </c>
    </row>
    <row r="7586" customFormat="false" ht="14.25" hidden="false" customHeight="true" outlineLevel="0" collapsed="false">
      <c r="B7586" s="9" t="s">
        <v>28</v>
      </c>
      <c r="C7586" s="9" t="n">
        <v>1185732</v>
      </c>
      <c r="D7586" s="10" t="n">
        <v>44329</v>
      </c>
      <c r="E7586" s="9" t="s">
        <v>17</v>
      </c>
      <c r="F7586" s="9" t="s">
        <v>131</v>
      </c>
      <c r="G7586" s="9" t="s">
        <v>132</v>
      </c>
      <c r="H7586" s="11" t="s">
        <v>25</v>
      </c>
      <c r="I7586" s="12" t="n">
        <v>55</v>
      </c>
      <c r="J7586" s="13" t="n">
        <v>88</v>
      </c>
      <c r="K7586" s="14" t="n">
        <f aca="false">I7586*J7586</f>
        <v>4840</v>
      </c>
      <c r="L7586" s="14" t="n">
        <f aca="false">($L$2*M7586)/100</f>
        <v>492683.265</v>
      </c>
      <c r="M7586" s="15" t="n">
        <v>0.41</v>
      </c>
      <c r="N7586" s="9" t="s">
        <v>85</v>
      </c>
    </row>
    <row r="7587" customFormat="false" ht="14.25" hidden="false" customHeight="true" outlineLevel="0" collapsed="false">
      <c r="B7587" s="9" t="s">
        <v>28</v>
      </c>
      <c r="C7587" s="9" t="n">
        <v>1185732</v>
      </c>
      <c r="D7587" s="10" t="n">
        <v>44362</v>
      </c>
      <c r="E7587" s="9" t="s">
        <v>17</v>
      </c>
      <c r="F7587" s="9" t="s">
        <v>131</v>
      </c>
      <c r="G7587" s="9" t="s">
        <v>132</v>
      </c>
      <c r="H7587" s="11" t="s">
        <v>19</v>
      </c>
      <c r="I7587" s="12" t="n">
        <v>51</v>
      </c>
      <c r="J7587" s="13" t="n">
        <v>155</v>
      </c>
      <c r="K7587" s="14" t="n">
        <f aca="false">I7587*J7587</f>
        <v>7905</v>
      </c>
      <c r="L7587" s="14" t="n">
        <f aca="false">($L$2*M7587)/100</f>
        <v>504699.93</v>
      </c>
      <c r="M7587" s="15" t="n">
        <v>0.42</v>
      </c>
      <c r="N7587" s="9" t="s">
        <v>85</v>
      </c>
    </row>
    <row r="7588" customFormat="false" ht="14.25" hidden="false" customHeight="true" outlineLevel="0" collapsed="false">
      <c r="B7588" s="9" t="s">
        <v>28</v>
      </c>
      <c r="C7588" s="9" t="n">
        <v>1185732</v>
      </c>
      <c r="D7588" s="10" t="n">
        <v>44362</v>
      </c>
      <c r="E7588" s="9" t="s">
        <v>17</v>
      </c>
      <c r="F7588" s="9" t="s">
        <v>131</v>
      </c>
      <c r="G7588" s="9" t="s">
        <v>132</v>
      </c>
      <c r="H7588" s="11" t="s">
        <v>21</v>
      </c>
      <c r="I7588" s="12" t="n">
        <v>47</v>
      </c>
      <c r="J7588" s="13" t="n">
        <v>94</v>
      </c>
      <c r="K7588" s="14" t="n">
        <f aca="false">I7588*J7588</f>
        <v>4418</v>
      </c>
      <c r="L7588" s="14" t="n">
        <f aca="false">($L$2*M7588)/100</f>
        <v>504699.93</v>
      </c>
      <c r="M7588" s="15" t="n">
        <v>0.42</v>
      </c>
      <c r="N7588" s="9" t="s">
        <v>85</v>
      </c>
    </row>
    <row r="7589" customFormat="false" ht="14.25" hidden="false" customHeight="true" outlineLevel="0" collapsed="false">
      <c r="B7589" s="9" t="s">
        <v>28</v>
      </c>
      <c r="C7589" s="9" t="n">
        <v>1185732</v>
      </c>
      <c r="D7589" s="10" t="n">
        <v>44362</v>
      </c>
      <c r="E7589" s="9" t="s">
        <v>17</v>
      </c>
      <c r="F7589" s="9" t="s">
        <v>131</v>
      </c>
      <c r="G7589" s="9" t="s">
        <v>132</v>
      </c>
      <c r="H7589" s="11" t="s">
        <v>22</v>
      </c>
      <c r="I7589" s="12" t="n">
        <v>42</v>
      </c>
      <c r="J7589" s="13" t="n">
        <v>68</v>
      </c>
      <c r="K7589" s="14" t="n">
        <f aca="false">I7589*J7589</f>
        <v>2856</v>
      </c>
      <c r="L7589" s="14" t="n">
        <f aca="false">($L$2*M7589)/100</f>
        <v>432599.94</v>
      </c>
      <c r="M7589" s="15" t="n">
        <v>0.36</v>
      </c>
      <c r="N7589" s="9" t="s">
        <v>85</v>
      </c>
    </row>
    <row r="7590" customFormat="false" ht="14.25" hidden="false" customHeight="true" outlineLevel="0" collapsed="false">
      <c r="B7590" s="9" t="s">
        <v>28</v>
      </c>
      <c r="C7590" s="9" t="n">
        <v>1185732</v>
      </c>
      <c r="D7590" s="10" t="n">
        <v>44362</v>
      </c>
      <c r="E7590" s="9" t="s">
        <v>17</v>
      </c>
      <c r="F7590" s="9" t="s">
        <v>131</v>
      </c>
      <c r="G7590" s="9" t="s">
        <v>132</v>
      </c>
      <c r="H7590" s="11" t="s">
        <v>23</v>
      </c>
      <c r="I7590" s="12" t="n">
        <v>41</v>
      </c>
      <c r="J7590" s="13" t="n">
        <v>65</v>
      </c>
      <c r="K7590" s="14" t="n">
        <f aca="false">I7590*J7590</f>
        <v>2665</v>
      </c>
      <c r="L7590" s="14" t="n">
        <f aca="false">($L$2*M7590)/100</f>
        <v>420583.275</v>
      </c>
      <c r="M7590" s="15" t="n">
        <v>0.35</v>
      </c>
      <c r="N7590" s="9" t="s">
        <v>85</v>
      </c>
    </row>
    <row r="7591" customFormat="false" ht="14.25" hidden="false" customHeight="true" outlineLevel="0" collapsed="false">
      <c r="B7591" s="9" t="s">
        <v>28</v>
      </c>
      <c r="C7591" s="9" t="n">
        <v>1185732</v>
      </c>
      <c r="D7591" s="10" t="n">
        <v>44362</v>
      </c>
      <c r="E7591" s="9" t="s">
        <v>17</v>
      </c>
      <c r="F7591" s="9" t="s">
        <v>131</v>
      </c>
      <c r="G7591" s="9" t="s">
        <v>132</v>
      </c>
      <c r="H7591" s="11" t="s">
        <v>24</v>
      </c>
      <c r="I7591" s="12" t="n">
        <v>51</v>
      </c>
      <c r="J7591" s="13" t="n">
        <v>59</v>
      </c>
      <c r="K7591" s="14" t="n">
        <f aca="false">I7591*J7591</f>
        <v>3009</v>
      </c>
      <c r="L7591" s="14" t="n">
        <f aca="false">($L$2*M7591)/100</f>
        <v>456633.27</v>
      </c>
      <c r="M7591" s="15" t="n">
        <v>0.38</v>
      </c>
      <c r="N7591" s="9" t="s">
        <v>85</v>
      </c>
    </row>
    <row r="7592" customFormat="false" ht="14.25" hidden="false" customHeight="true" outlineLevel="0" collapsed="false">
      <c r="B7592" s="9" t="s">
        <v>28</v>
      </c>
      <c r="C7592" s="9" t="n">
        <v>1185732</v>
      </c>
      <c r="D7592" s="10" t="n">
        <v>44362</v>
      </c>
      <c r="E7592" s="9" t="s">
        <v>17</v>
      </c>
      <c r="F7592" s="9" t="s">
        <v>131</v>
      </c>
      <c r="G7592" s="9" t="s">
        <v>132</v>
      </c>
      <c r="H7592" s="11" t="s">
        <v>25</v>
      </c>
      <c r="I7592" s="12" t="n">
        <v>54</v>
      </c>
      <c r="J7592" s="13" t="n">
        <v>101</v>
      </c>
      <c r="K7592" s="14" t="n">
        <f aca="false">I7592*J7592</f>
        <v>5454</v>
      </c>
      <c r="L7592" s="14" t="n">
        <f aca="false">($L$2*M7592)/100</f>
        <v>480666.6</v>
      </c>
      <c r="M7592" s="15" t="n">
        <v>0.4</v>
      </c>
      <c r="N7592" s="9" t="s">
        <v>85</v>
      </c>
    </row>
    <row r="7593" customFormat="false" ht="14.25" hidden="false" customHeight="true" outlineLevel="0" collapsed="false">
      <c r="B7593" s="9" t="s">
        <v>28</v>
      </c>
      <c r="C7593" s="9" t="n">
        <v>1185732</v>
      </c>
      <c r="D7593" s="10" t="n">
        <v>44390</v>
      </c>
      <c r="E7593" s="9" t="s">
        <v>17</v>
      </c>
      <c r="F7593" s="9" t="s">
        <v>131</v>
      </c>
      <c r="G7593" s="9" t="s">
        <v>132</v>
      </c>
      <c r="H7593" s="11" t="s">
        <v>19</v>
      </c>
      <c r="I7593" s="12" t="n">
        <v>52</v>
      </c>
      <c r="J7593" s="13" t="n">
        <v>150</v>
      </c>
      <c r="K7593" s="14" t="n">
        <f aca="false">I7593*J7593</f>
        <v>7800</v>
      </c>
      <c r="L7593" s="14" t="n">
        <f aca="false">($L$2*M7593)/100</f>
        <v>504699.93</v>
      </c>
      <c r="M7593" s="15" t="n">
        <v>0.42</v>
      </c>
      <c r="N7593" s="9" t="s">
        <v>85</v>
      </c>
    </row>
    <row r="7594" customFormat="false" ht="14.25" hidden="false" customHeight="true" outlineLevel="0" collapsed="false">
      <c r="B7594" s="9" t="s">
        <v>28</v>
      </c>
      <c r="C7594" s="9" t="n">
        <v>1185732</v>
      </c>
      <c r="D7594" s="10" t="n">
        <v>44390</v>
      </c>
      <c r="E7594" s="9" t="s">
        <v>17</v>
      </c>
      <c r="F7594" s="9" t="s">
        <v>131</v>
      </c>
      <c r="G7594" s="9" t="s">
        <v>132</v>
      </c>
      <c r="H7594" s="11" t="s">
        <v>21</v>
      </c>
      <c r="I7594" s="12" t="n">
        <v>49</v>
      </c>
      <c r="J7594" s="13" t="n">
        <v>105</v>
      </c>
      <c r="K7594" s="14" t="n">
        <f aca="false">I7594*J7594</f>
        <v>5145</v>
      </c>
      <c r="L7594" s="14" t="n">
        <f aca="false">($L$2*M7594)/100</f>
        <v>516716.595</v>
      </c>
      <c r="M7594" s="15" t="n">
        <v>0.43</v>
      </c>
      <c r="N7594" s="9" t="s">
        <v>85</v>
      </c>
    </row>
    <row r="7595" customFormat="false" ht="14.25" hidden="false" customHeight="true" outlineLevel="0" collapsed="false">
      <c r="B7595" s="9" t="s">
        <v>28</v>
      </c>
      <c r="C7595" s="9" t="n">
        <v>1185732</v>
      </c>
      <c r="D7595" s="10" t="n">
        <v>44390</v>
      </c>
      <c r="E7595" s="9" t="s">
        <v>17</v>
      </c>
      <c r="F7595" s="9" t="s">
        <v>131</v>
      </c>
      <c r="G7595" s="9" t="s">
        <v>132</v>
      </c>
      <c r="H7595" s="11" t="s">
        <v>22</v>
      </c>
      <c r="I7595" s="12" t="n">
        <v>41</v>
      </c>
      <c r="J7595" s="13" t="n">
        <v>77</v>
      </c>
      <c r="K7595" s="14" t="n">
        <f aca="false">I7595*J7595</f>
        <v>3157</v>
      </c>
      <c r="L7595" s="14" t="n">
        <f aca="false">($L$2*M7595)/100</f>
        <v>444616.605</v>
      </c>
      <c r="M7595" s="15" t="n">
        <v>0.37</v>
      </c>
      <c r="N7595" s="9" t="s">
        <v>85</v>
      </c>
    </row>
    <row r="7596" customFormat="false" ht="14.25" hidden="false" customHeight="true" outlineLevel="0" collapsed="false">
      <c r="B7596" s="9" t="s">
        <v>28</v>
      </c>
      <c r="C7596" s="9" t="n">
        <v>1185732</v>
      </c>
      <c r="D7596" s="10" t="n">
        <v>44390</v>
      </c>
      <c r="E7596" s="9" t="s">
        <v>17</v>
      </c>
      <c r="F7596" s="9" t="s">
        <v>131</v>
      </c>
      <c r="G7596" s="9" t="s">
        <v>132</v>
      </c>
      <c r="H7596" s="11" t="s">
        <v>23</v>
      </c>
      <c r="I7596" s="12" t="n">
        <v>44</v>
      </c>
      <c r="J7596" s="13" t="n">
        <v>56</v>
      </c>
      <c r="K7596" s="14" t="n">
        <f aca="false">I7596*J7596</f>
        <v>2464</v>
      </c>
      <c r="L7596" s="14" t="n">
        <f aca="false">($L$2*M7596)/100</f>
        <v>432599.94</v>
      </c>
      <c r="M7596" s="15" t="n">
        <v>0.36</v>
      </c>
      <c r="N7596" s="9" t="s">
        <v>85</v>
      </c>
    </row>
    <row r="7597" customFormat="false" ht="14.25" hidden="false" customHeight="true" outlineLevel="0" collapsed="false">
      <c r="B7597" s="9" t="s">
        <v>28</v>
      </c>
      <c r="C7597" s="9" t="n">
        <v>1185732</v>
      </c>
      <c r="D7597" s="10" t="n">
        <v>44390</v>
      </c>
      <c r="E7597" s="9" t="s">
        <v>17</v>
      </c>
      <c r="F7597" s="9" t="s">
        <v>131</v>
      </c>
      <c r="G7597" s="9" t="s">
        <v>132</v>
      </c>
      <c r="H7597" s="11" t="s">
        <v>24</v>
      </c>
      <c r="I7597" s="12" t="n">
        <v>53</v>
      </c>
      <c r="J7597" s="13" t="n">
        <v>68</v>
      </c>
      <c r="K7597" s="14" t="n">
        <f aca="false">I7597*J7597</f>
        <v>3604</v>
      </c>
      <c r="L7597" s="14" t="n">
        <f aca="false">($L$2*M7597)/100</f>
        <v>468649.935</v>
      </c>
      <c r="M7597" s="15" t="n">
        <v>0.39</v>
      </c>
      <c r="N7597" s="9" t="s">
        <v>85</v>
      </c>
    </row>
    <row r="7598" customFormat="false" ht="14.25" hidden="false" customHeight="true" outlineLevel="0" collapsed="false">
      <c r="B7598" s="9" t="s">
        <v>28</v>
      </c>
      <c r="C7598" s="9" t="n">
        <v>1185732</v>
      </c>
      <c r="D7598" s="10" t="n">
        <v>44390</v>
      </c>
      <c r="E7598" s="9" t="s">
        <v>17</v>
      </c>
      <c r="F7598" s="9" t="s">
        <v>131</v>
      </c>
      <c r="G7598" s="9" t="s">
        <v>132</v>
      </c>
      <c r="H7598" s="11" t="s">
        <v>25</v>
      </c>
      <c r="I7598" s="12" t="n">
        <v>55</v>
      </c>
      <c r="J7598" s="13" t="n">
        <v>128</v>
      </c>
      <c r="K7598" s="14" t="n">
        <f aca="false">I7598*J7598</f>
        <v>7040</v>
      </c>
      <c r="L7598" s="14" t="n">
        <f aca="false">($L$2*M7598)/100</f>
        <v>504699.93</v>
      </c>
      <c r="M7598" s="15" t="n">
        <v>0.42</v>
      </c>
      <c r="N7598" s="9" t="s">
        <v>85</v>
      </c>
    </row>
    <row r="7599" customFormat="false" ht="14.25" hidden="false" customHeight="true" outlineLevel="0" collapsed="false">
      <c r="B7599" s="9" t="s">
        <v>28</v>
      </c>
      <c r="C7599" s="9" t="n">
        <v>1185732</v>
      </c>
      <c r="D7599" s="10" t="n">
        <v>44422</v>
      </c>
      <c r="E7599" s="9" t="s">
        <v>17</v>
      </c>
      <c r="F7599" s="9" t="s">
        <v>131</v>
      </c>
      <c r="G7599" s="9" t="s">
        <v>132</v>
      </c>
      <c r="H7599" s="11" t="s">
        <v>19</v>
      </c>
      <c r="I7599" s="12" t="n">
        <v>50</v>
      </c>
      <c r="J7599" s="13" t="n">
        <v>161</v>
      </c>
      <c r="K7599" s="14" t="n">
        <f aca="false">I7599*J7599</f>
        <v>8050</v>
      </c>
      <c r="L7599" s="14" t="n">
        <f aca="false">($L$2*M7599)/100</f>
        <v>528733.26</v>
      </c>
      <c r="M7599" s="15" t="n">
        <v>0.44</v>
      </c>
      <c r="N7599" s="9" t="s">
        <v>85</v>
      </c>
    </row>
    <row r="7600" customFormat="false" ht="14.25" hidden="false" customHeight="true" outlineLevel="0" collapsed="false">
      <c r="B7600" s="9" t="s">
        <v>28</v>
      </c>
      <c r="C7600" s="9" t="n">
        <v>1185732</v>
      </c>
      <c r="D7600" s="10" t="n">
        <v>44422</v>
      </c>
      <c r="E7600" s="9" t="s">
        <v>17</v>
      </c>
      <c r="F7600" s="9" t="s">
        <v>131</v>
      </c>
      <c r="G7600" s="9" t="s">
        <v>132</v>
      </c>
      <c r="H7600" s="11" t="s">
        <v>21</v>
      </c>
      <c r="I7600" s="12" t="n">
        <v>47</v>
      </c>
      <c r="J7600" s="13" t="n">
        <v>88</v>
      </c>
      <c r="K7600" s="14" t="n">
        <f aca="false">I7600*J7600</f>
        <v>4136</v>
      </c>
      <c r="L7600" s="14" t="n">
        <f aca="false">($L$2*M7600)/100</f>
        <v>492683.265</v>
      </c>
      <c r="M7600" s="15" t="n">
        <v>0.41</v>
      </c>
      <c r="N7600" s="9" t="s">
        <v>85</v>
      </c>
    </row>
    <row r="7601" customFormat="false" ht="14.25" hidden="false" customHeight="true" outlineLevel="0" collapsed="false">
      <c r="B7601" s="9" t="s">
        <v>28</v>
      </c>
      <c r="C7601" s="9" t="n">
        <v>1185732</v>
      </c>
      <c r="D7601" s="10" t="n">
        <v>44422</v>
      </c>
      <c r="E7601" s="9" t="s">
        <v>17</v>
      </c>
      <c r="F7601" s="9" t="s">
        <v>131</v>
      </c>
      <c r="G7601" s="9" t="s">
        <v>132</v>
      </c>
      <c r="H7601" s="11" t="s">
        <v>22</v>
      </c>
      <c r="I7601" s="12" t="n">
        <v>42</v>
      </c>
      <c r="J7601" s="13" t="n">
        <v>69</v>
      </c>
      <c r="K7601" s="14" t="n">
        <f aca="false">I7601*J7601</f>
        <v>2898</v>
      </c>
      <c r="L7601" s="14" t="n">
        <f aca="false">($L$2*M7601)/100</f>
        <v>420583.275</v>
      </c>
      <c r="M7601" s="15" t="n">
        <v>0.35</v>
      </c>
      <c r="N7601" s="9" t="s">
        <v>85</v>
      </c>
    </row>
    <row r="7602" customFormat="false" ht="14.25" hidden="false" customHeight="true" outlineLevel="0" collapsed="false">
      <c r="B7602" s="9" t="s">
        <v>28</v>
      </c>
      <c r="C7602" s="9" t="n">
        <v>1185732</v>
      </c>
      <c r="D7602" s="10" t="n">
        <v>44422</v>
      </c>
      <c r="E7602" s="9" t="s">
        <v>17</v>
      </c>
      <c r="F7602" s="9" t="s">
        <v>131</v>
      </c>
      <c r="G7602" s="9" t="s">
        <v>132</v>
      </c>
      <c r="H7602" s="11" t="s">
        <v>23</v>
      </c>
      <c r="I7602" s="12" t="n">
        <v>42</v>
      </c>
      <c r="J7602" s="13" t="n">
        <v>51</v>
      </c>
      <c r="K7602" s="14" t="n">
        <f aca="false">I7602*J7602</f>
        <v>2142</v>
      </c>
      <c r="L7602" s="14" t="n">
        <f aca="false">($L$2*M7602)/100</f>
        <v>432599.94</v>
      </c>
      <c r="M7602" s="15" t="n">
        <v>0.36</v>
      </c>
      <c r="N7602" s="9" t="s">
        <v>85</v>
      </c>
    </row>
    <row r="7603" customFormat="false" ht="14.25" hidden="false" customHeight="true" outlineLevel="0" collapsed="false">
      <c r="B7603" s="9" t="s">
        <v>28</v>
      </c>
      <c r="C7603" s="9" t="n">
        <v>1185732</v>
      </c>
      <c r="D7603" s="10" t="n">
        <v>44422</v>
      </c>
      <c r="E7603" s="9" t="s">
        <v>17</v>
      </c>
      <c r="F7603" s="9" t="s">
        <v>131</v>
      </c>
      <c r="G7603" s="9" t="s">
        <v>132</v>
      </c>
      <c r="H7603" s="11" t="s">
        <v>24</v>
      </c>
      <c r="I7603" s="12" t="n">
        <v>50</v>
      </c>
      <c r="J7603" s="13" t="n">
        <v>44</v>
      </c>
      <c r="K7603" s="14" t="n">
        <f aca="false">I7603*J7603</f>
        <v>2200</v>
      </c>
      <c r="L7603" s="14" t="n">
        <f aca="false">($L$2*M7603)/100</f>
        <v>444616.605</v>
      </c>
      <c r="M7603" s="15" t="n">
        <v>0.37</v>
      </c>
      <c r="N7603" s="9" t="s">
        <v>85</v>
      </c>
    </row>
    <row r="7604" customFormat="false" ht="14.25" hidden="false" customHeight="true" outlineLevel="0" collapsed="false">
      <c r="B7604" s="9" t="s">
        <v>28</v>
      </c>
      <c r="C7604" s="9" t="n">
        <v>1185732</v>
      </c>
      <c r="D7604" s="10" t="n">
        <v>44422</v>
      </c>
      <c r="E7604" s="9" t="s">
        <v>17</v>
      </c>
      <c r="F7604" s="9" t="s">
        <v>131</v>
      </c>
      <c r="G7604" s="9" t="s">
        <v>132</v>
      </c>
      <c r="H7604" s="11" t="s">
        <v>25</v>
      </c>
      <c r="I7604" s="12" t="n">
        <v>58</v>
      </c>
      <c r="J7604" s="13" t="n">
        <v>91</v>
      </c>
      <c r="K7604" s="14" t="n">
        <f aca="false">I7604*J7604</f>
        <v>5278</v>
      </c>
      <c r="L7604" s="14" t="n">
        <f aca="false">($L$2*M7604)/100</f>
        <v>540749.925</v>
      </c>
      <c r="M7604" s="15" t="n">
        <v>0.45</v>
      </c>
      <c r="N7604" s="9" t="s">
        <v>85</v>
      </c>
    </row>
    <row r="7605" customFormat="false" ht="14.25" hidden="false" customHeight="true" outlineLevel="0" collapsed="false">
      <c r="B7605" s="9" t="s">
        <v>28</v>
      </c>
      <c r="C7605" s="9" t="n">
        <v>1185732</v>
      </c>
      <c r="D7605" s="10" t="n">
        <v>44452</v>
      </c>
      <c r="E7605" s="9" t="s">
        <v>17</v>
      </c>
      <c r="F7605" s="9" t="s">
        <v>131</v>
      </c>
      <c r="G7605" s="9" t="s">
        <v>132</v>
      </c>
      <c r="H7605" s="11" t="s">
        <v>19</v>
      </c>
      <c r="I7605" s="12" t="n">
        <v>53</v>
      </c>
      <c r="J7605" s="13" t="n">
        <v>135</v>
      </c>
      <c r="K7605" s="14" t="n">
        <f aca="false">I7605*J7605</f>
        <v>7155</v>
      </c>
      <c r="L7605" s="14" t="n">
        <f aca="false">($L$2*M7605)/100</f>
        <v>504699.93</v>
      </c>
      <c r="M7605" s="15" t="n">
        <v>0.42</v>
      </c>
      <c r="N7605" s="9" t="s">
        <v>85</v>
      </c>
    </row>
    <row r="7606" customFormat="false" ht="14.25" hidden="false" customHeight="true" outlineLevel="0" collapsed="false">
      <c r="B7606" s="9" t="s">
        <v>28</v>
      </c>
      <c r="C7606" s="9" t="n">
        <v>1185732</v>
      </c>
      <c r="D7606" s="10" t="n">
        <v>44452</v>
      </c>
      <c r="E7606" s="9" t="s">
        <v>17</v>
      </c>
      <c r="F7606" s="9" t="s">
        <v>131</v>
      </c>
      <c r="G7606" s="9" t="s">
        <v>132</v>
      </c>
      <c r="H7606" s="11" t="s">
        <v>21</v>
      </c>
      <c r="I7606" s="12" t="n">
        <v>49</v>
      </c>
      <c r="J7606" s="13" t="n">
        <v>63</v>
      </c>
      <c r="K7606" s="14" t="n">
        <f aca="false">I7606*J7606</f>
        <v>3087</v>
      </c>
      <c r="L7606" s="14" t="n">
        <f aca="false">($L$2*M7606)/100</f>
        <v>480666.6</v>
      </c>
      <c r="M7606" s="15" t="n">
        <v>0.4</v>
      </c>
      <c r="N7606" s="9" t="s">
        <v>85</v>
      </c>
    </row>
    <row r="7607" customFormat="false" ht="14.25" hidden="false" customHeight="true" outlineLevel="0" collapsed="false">
      <c r="B7607" s="9" t="s">
        <v>28</v>
      </c>
      <c r="C7607" s="9" t="n">
        <v>1185732</v>
      </c>
      <c r="D7607" s="10" t="n">
        <v>44452</v>
      </c>
      <c r="E7607" s="9" t="s">
        <v>17</v>
      </c>
      <c r="F7607" s="9" t="s">
        <v>131</v>
      </c>
      <c r="G7607" s="9" t="s">
        <v>132</v>
      </c>
      <c r="H7607" s="11" t="s">
        <v>22</v>
      </c>
      <c r="I7607" s="12" t="n">
        <v>41</v>
      </c>
      <c r="J7607" s="13" t="n">
        <v>39</v>
      </c>
      <c r="K7607" s="14" t="n">
        <f aca="false">I7607*J7607</f>
        <v>1599</v>
      </c>
      <c r="L7607" s="14" t="n">
        <f aca="false">($L$2*M7607)/100</f>
        <v>444616.605</v>
      </c>
      <c r="M7607" s="15" t="n">
        <v>0.37</v>
      </c>
      <c r="N7607" s="9" t="s">
        <v>85</v>
      </c>
    </row>
    <row r="7608" customFormat="false" ht="14.25" hidden="false" customHeight="true" outlineLevel="0" collapsed="false">
      <c r="B7608" s="9" t="s">
        <v>28</v>
      </c>
      <c r="C7608" s="9" t="n">
        <v>1185732</v>
      </c>
      <c r="D7608" s="10" t="n">
        <v>44452</v>
      </c>
      <c r="E7608" s="9" t="s">
        <v>17</v>
      </c>
      <c r="F7608" s="9" t="s">
        <v>131</v>
      </c>
      <c r="G7608" s="9" t="s">
        <v>132</v>
      </c>
      <c r="H7608" s="11" t="s">
        <v>23</v>
      </c>
      <c r="I7608" s="12" t="n">
        <v>42</v>
      </c>
      <c r="J7608" s="13" t="n">
        <v>36</v>
      </c>
      <c r="K7608" s="14" t="n">
        <f aca="false">I7608*J7608</f>
        <v>1512</v>
      </c>
      <c r="L7608" s="14" t="n">
        <f aca="false">($L$2*M7608)/100</f>
        <v>480666.6</v>
      </c>
      <c r="M7608" s="15" t="n">
        <v>0.4</v>
      </c>
      <c r="N7608" s="9" t="s">
        <v>85</v>
      </c>
    </row>
    <row r="7609" customFormat="false" ht="14.25" hidden="false" customHeight="true" outlineLevel="0" collapsed="false">
      <c r="B7609" s="9" t="s">
        <v>28</v>
      </c>
      <c r="C7609" s="9" t="n">
        <v>1185732</v>
      </c>
      <c r="D7609" s="10" t="n">
        <v>44452</v>
      </c>
      <c r="E7609" s="9" t="s">
        <v>17</v>
      </c>
      <c r="F7609" s="9" t="s">
        <v>131</v>
      </c>
      <c r="G7609" s="9" t="s">
        <v>132</v>
      </c>
      <c r="H7609" s="11" t="s">
        <v>24</v>
      </c>
      <c r="I7609" s="12" t="n">
        <v>52</v>
      </c>
      <c r="J7609" s="13" t="n">
        <v>34</v>
      </c>
      <c r="K7609" s="14" t="n">
        <f aca="false">I7609*J7609</f>
        <v>1768</v>
      </c>
      <c r="L7609" s="14" t="n">
        <f aca="false">($L$2*M7609)/100</f>
        <v>432599.94</v>
      </c>
      <c r="M7609" s="15" t="n">
        <v>0.36</v>
      </c>
      <c r="N7609" s="9" t="s">
        <v>85</v>
      </c>
    </row>
    <row r="7610" customFormat="false" ht="14.25" hidden="false" customHeight="true" outlineLevel="0" collapsed="false">
      <c r="B7610" s="9" t="s">
        <v>28</v>
      </c>
      <c r="C7610" s="9" t="n">
        <v>1185732</v>
      </c>
      <c r="D7610" s="10" t="n">
        <v>44452</v>
      </c>
      <c r="E7610" s="9" t="s">
        <v>17</v>
      </c>
      <c r="F7610" s="9" t="s">
        <v>131</v>
      </c>
      <c r="G7610" s="9" t="s">
        <v>132</v>
      </c>
      <c r="H7610" s="11" t="s">
        <v>25</v>
      </c>
      <c r="I7610" s="12" t="n">
        <v>57</v>
      </c>
      <c r="J7610" s="13" t="n">
        <v>63</v>
      </c>
      <c r="K7610" s="14" t="n">
        <f aca="false">I7610*J7610</f>
        <v>3591</v>
      </c>
      <c r="L7610" s="14" t="n">
        <f aca="false">($L$2*M7610)/100</f>
        <v>540749.925</v>
      </c>
      <c r="M7610" s="15" t="n">
        <v>0.45</v>
      </c>
      <c r="N7610" s="9" t="s">
        <v>85</v>
      </c>
    </row>
    <row r="7611" customFormat="false" ht="14.25" hidden="false" customHeight="true" outlineLevel="0" collapsed="false">
      <c r="B7611" s="9" t="s">
        <v>28</v>
      </c>
      <c r="C7611" s="9" t="n">
        <v>1185732</v>
      </c>
      <c r="D7611" s="10" t="n">
        <v>44484</v>
      </c>
      <c r="E7611" s="9" t="s">
        <v>17</v>
      </c>
      <c r="F7611" s="9" t="s">
        <v>131</v>
      </c>
      <c r="G7611" s="9" t="s">
        <v>132</v>
      </c>
      <c r="H7611" s="11" t="s">
        <v>19</v>
      </c>
      <c r="I7611" s="12" t="n">
        <v>57</v>
      </c>
      <c r="J7611" s="13" t="n">
        <v>120</v>
      </c>
      <c r="K7611" s="14" t="n">
        <f aca="false">I7611*J7611</f>
        <v>6840</v>
      </c>
      <c r="L7611" s="14" t="n">
        <f aca="false">($L$2*M7611)/100</f>
        <v>540749.925</v>
      </c>
      <c r="M7611" s="15" t="n">
        <v>0.45</v>
      </c>
      <c r="N7611" s="9" t="s">
        <v>85</v>
      </c>
    </row>
    <row r="7612" customFormat="false" ht="14.25" hidden="false" customHeight="true" outlineLevel="0" collapsed="false">
      <c r="B7612" s="9" t="s">
        <v>28</v>
      </c>
      <c r="C7612" s="9" t="n">
        <v>1185732</v>
      </c>
      <c r="D7612" s="10" t="n">
        <v>44484</v>
      </c>
      <c r="E7612" s="9" t="s">
        <v>17</v>
      </c>
      <c r="F7612" s="9" t="s">
        <v>131</v>
      </c>
      <c r="G7612" s="9" t="s">
        <v>132</v>
      </c>
      <c r="H7612" s="11" t="s">
        <v>21</v>
      </c>
      <c r="I7612" s="12" t="n">
        <v>53</v>
      </c>
      <c r="J7612" s="13" t="n">
        <v>56</v>
      </c>
      <c r="K7612" s="14" t="n">
        <f aca="false">I7612*J7612</f>
        <v>2968</v>
      </c>
      <c r="L7612" s="14" t="n">
        <f aca="false">($L$2*M7612)/100</f>
        <v>540749.925</v>
      </c>
      <c r="M7612" s="15" t="n">
        <v>0.45</v>
      </c>
      <c r="N7612" s="9" t="s">
        <v>85</v>
      </c>
    </row>
    <row r="7613" customFormat="false" ht="14.25" hidden="false" customHeight="true" outlineLevel="0" collapsed="false">
      <c r="B7613" s="9" t="s">
        <v>28</v>
      </c>
      <c r="C7613" s="9" t="n">
        <v>1185732</v>
      </c>
      <c r="D7613" s="10" t="n">
        <v>44484</v>
      </c>
      <c r="E7613" s="9" t="s">
        <v>17</v>
      </c>
      <c r="F7613" s="9" t="s">
        <v>131</v>
      </c>
      <c r="G7613" s="9" t="s">
        <v>132</v>
      </c>
      <c r="H7613" s="11" t="s">
        <v>22</v>
      </c>
      <c r="I7613" s="12" t="n">
        <v>53</v>
      </c>
      <c r="J7613" s="13" t="n">
        <v>34</v>
      </c>
      <c r="K7613" s="14" t="n">
        <f aca="false">I7613*J7613</f>
        <v>1802</v>
      </c>
      <c r="L7613" s="14" t="n">
        <f aca="false">($L$2*M7613)/100</f>
        <v>420583.275</v>
      </c>
      <c r="M7613" s="15" t="n">
        <v>0.35</v>
      </c>
      <c r="N7613" s="9" t="s">
        <v>85</v>
      </c>
    </row>
    <row r="7614" customFormat="false" ht="14.25" hidden="false" customHeight="true" outlineLevel="0" collapsed="false">
      <c r="B7614" s="9" t="s">
        <v>28</v>
      </c>
      <c r="C7614" s="9" t="n">
        <v>1185732</v>
      </c>
      <c r="D7614" s="10" t="n">
        <v>44484</v>
      </c>
      <c r="E7614" s="9" t="s">
        <v>17</v>
      </c>
      <c r="F7614" s="9" t="s">
        <v>131</v>
      </c>
      <c r="G7614" s="9" t="s">
        <v>132</v>
      </c>
      <c r="H7614" s="11" t="s">
        <v>23</v>
      </c>
      <c r="I7614" s="12" t="n">
        <v>54</v>
      </c>
      <c r="J7614" s="13" t="n">
        <v>27</v>
      </c>
      <c r="K7614" s="14" t="n">
        <f aca="false">I7614*J7614</f>
        <v>1458</v>
      </c>
      <c r="L7614" s="14" t="n">
        <f aca="false">($L$2*M7614)/100</f>
        <v>456633.27</v>
      </c>
      <c r="M7614" s="15" t="n">
        <v>0.38</v>
      </c>
      <c r="N7614" s="9" t="s">
        <v>85</v>
      </c>
    </row>
    <row r="7615" customFormat="false" ht="14.25" hidden="false" customHeight="true" outlineLevel="0" collapsed="false">
      <c r="B7615" s="9" t="s">
        <v>28</v>
      </c>
      <c r="C7615" s="9" t="n">
        <v>1185732</v>
      </c>
      <c r="D7615" s="10" t="n">
        <v>44484</v>
      </c>
      <c r="E7615" s="9" t="s">
        <v>17</v>
      </c>
      <c r="F7615" s="9" t="s">
        <v>131</v>
      </c>
      <c r="G7615" s="9" t="s">
        <v>132</v>
      </c>
      <c r="H7615" s="11" t="s">
        <v>24</v>
      </c>
      <c r="I7615" s="12" t="n">
        <v>62</v>
      </c>
      <c r="J7615" s="13" t="n">
        <v>27</v>
      </c>
      <c r="K7615" s="14" t="n">
        <f aca="false">I7615*J7615</f>
        <v>1674</v>
      </c>
      <c r="L7615" s="14" t="n">
        <f aca="false">($L$2*M7615)/100</f>
        <v>420583.275</v>
      </c>
      <c r="M7615" s="15" t="n">
        <v>0.35</v>
      </c>
      <c r="N7615" s="9" t="s">
        <v>85</v>
      </c>
    </row>
    <row r="7616" customFormat="false" ht="14.25" hidden="false" customHeight="true" outlineLevel="0" collapsed="false">
      <c r="B7616" s="9" t="s">
        <v>63</v>
      </c>
      <c r="C7616" s="9" t="n">
        <v>1185732</v>
      </c>
      <c r="D7616" s="10" t="n">
        <v>44484</v>
      </c>
      <c r="E7616" s="9" t="s">
        <v>17</v>
      </c>
      <c r="F7616" s="9" t="s">
        <v>131</v>
      </c>
      <c r="G7616" s="9" t="s">
        <v>132</v>
      </c>
      <c r="H7616" s="11" t="s">
        <v>25</v>
      </c>
      <c r="I7616" s="12" t="n">
        <v>66</v>
      </c>
      <c r="J7616" s="13" t="n">
        <v>65</v>
      </c>
      <c r="K7616" s="14" t="n">
        <f aca="false">I7616*J7616</f>
        <v>4290</v>
      </c>
      <c r="L7616" s="14" t="n">
        <f aca="false">($L$2*M7616)/100</f>
        <v>528733.26</v>
      </c>
      <c r="M7616" s="15" t="n">
        <v>0.44</v>
      </c>
      <c r="N7616" s="9" t="s">
        <v>85</v>
      </c>
    </row>
    <row r="7617" customFormat="false" ht="14.25" hidden="false" customHeight="true" outlineLevel="0" collapsed="false">
      <c r="B7617" s="9" t="s">
        <v>63</v>
      </c>
      <c r="C7617" s="9" t="n">
        <v>1185732</v>
      </c>
      <c r="D7617" s="10" t="n">
        <v>44514</v>
      </c>
      <c r="E7617" s="9" t="s">
        <v>17</v>
      </c>
      <c r="F7617" s="9" t="s">
        <v>131</v>
      </c>
      <c r="G7617" s="9" t="s">
        <v>132</v>
      </c>
      <c r="H7617" s="11" t="s">
        <v>19</v>
      </c>
      <c r="I7617" s="12" t="n">
        <v>62</v>
      </c>
      <c r="J7617" s="13" t="n">
        <v>113</v>
      </c>
      <c r="K7617" s="14" t="n">
        <f aca="false">I7617*J7617</f>
        <v>7006</v>
      </c>
      <c r="L7617" s="14" t="n">
        <f aca="false">($L$2*M7617)/100</f>
        <v>516716.595</v>
      </c>
      <c r="M7617" s="15" t="n">
        <v>0.43</v>
      </c>
      <c r="N7617" s="9" t="s">
        <v>85</v>
      </c>
    </row>
    <row r="7618" customFormat="false" ht="14.25" hidden="false" customHeight="true" outlineLevel="0" collapsed="false">
      <c r="B7618" s="9" t="s">
        <v>63</v>
      </c>
      <c r="C7618" s="9" t="n">
        <v>1185732</v>
      </c>
      <c r="D7618" s="10" t="n">
        <v>44514</v>
      </c>
      <c r="E7618" s="9" t="s">
        <v>17</v>
      </c>
      <c r="F7618" s="9" t="s">
        <v>131</v>
      </c>
      <c r="G7618" s="9" t="s">
        <v>132</v>
      </c>
      <c r="H7618" s="11" t="s">
        <v>21</v>
      </c>
      <c r="I7618" s="12" t="n">
        <v>52</v>
      </c>
      <c r="J7618" s="13" t="n">
        <v>90</v>
      </c>
      <c r="K7618" s="14" t="n">
        <f aca="false">I7618*J7618</f>
        <v>4680</v>
      </c>
      <c r="L7618" s="14" t="n">
        <f aca="false">($L$2*M7618)/100</f>
        <v>528733.26</v>
      </c>
      <c r="M7618" s="15" t="n">
        <v>0.44</v>
      </c>
      <c r="N7618" s="9" t="s">
        <v>85</v>
      </c>
    </row>
    <row r="7619" customFormat="false" ht="14.25" hidden="false" customHeight="true" outlineLevel="0" collapsed="false">
      <c r="B7619" s="9" t="s">
        <v>63</v>
      </c>
      <c r="C7619" s="9" t="n">
        <v>1185732</v>
      </c>
      <c r="D7619" s="10" t="n">
        <v>44514</v>
      </c>
      <c r="E7619" s="9" t="s">
        <v>17</v>
      </c>
      <c r="F7619" s="9" t="s">
        <v>131</v>
      </c>
      <c r="G7619" s="9" t="s">
        <v>132</v>
      </c>
      <c r="H7619" s="11" t="s">
        <v>22</v>
      </c>
      <c r="I7619" s="12" t="n">
        <v>50</v>
      </c>
      <c r="J7619" s="13" t="n">
        <v>83</v>
      </c>
      <c r="K7619" s="14" t="n">
        <f aca="false">I7619*J7619</f>
        <v>4150</v>
      </c>
      <c r="L7619" s="14" t="n">
        <f aca="false">($L$2*M7619)/100</f>
        <v>432599.94</v>
      </c>
      <c r="M7619" s="15" t="n">
        <v>0.36</v>
      </c>
      <c r="N7619" s="9" t="s">
        <v>85</v>
      </c>
    </row>
    <row r="7620" customFormat="false" ht="14.25" hidden="false" customHeight="true" outlineLevel="0" collapsed="false">
      <c r="B7620" s="9" t="s">
        <v>63</v>
      </c>
      <c r="C7620" s="9" t="n">
        <v>1185732</v>
      </c>
      <c r="D7620" s="10" t="n">
        <v>44514</v>
      </c>
      <c r="E7620" s="9" t="s">
        <v>17</v>
      </c>
      <c r="F7620" s="9" t="s">
        <v>131</v>
      </c>
      <c r="G7620" s="9" t="s">
        <v>132</v>
      </c>
      <c r="H7620" s="11" t="s">
        <v>23</v>
      </c>
      <c r="I7620" s="12" t="n">
        <v>51</v>
      </c>
      <c r="J7620" s="13" t="n">
        <v>80</v>
      </c>
      <c r="K7620" s="14" t="n">
        <f aca="false">I7620*J7620</f>
        <v>4080</v>
      </c>
      <c r="L7620" s="14" t="n">
        <f aca="false">($L$2*M7620)/100</f>
        <v>468649.935</v>
      </c>
      <c r="M7620" s="15" t="n">
        <v>0.39</v>
      </c>
      <c r="N7620" s="9" t="s">
        <v>85</v>
      </c>
    </row>
    <row r="7621" customFormat="false" ht="14.25" hidden="false" customHeight="true" outlineLevel="0" collapsed="false">
      <c r="B7621" s="9" t="s">
        <v>63</v>
      </c>
      <c r="C7621" s="9" t="n">
        <v>1185732</v>
      </c>
      <c r="D7621" s="10" t="n">
        <v>44514</v>
      </c>
      <c r="E7621" s="9" t="s">
        <v>17</v>
      </c>
      <c r="F7621" s="9" t="s">
        <v>131</v>
      </c>
      <c r="G7621" s="9" t="s">
        <v>132</v>
      </c>
      <c r="H7621" s="11" t="s">
        <v>24</v>
      </c>
      <c r="I7621" s="12" t="n">
        <v>63</v>
      </c>
      <c r="J7621" s="13" t="n">
        <v>70</v>
      </c>
      <c r="K7621" s="14" t="n">
        <f aca="false">I7621*J7621</f>
        <v>4410</v>
      </c>
      <c r="L7621" s="14" t="n">
        <f aca="false">($L$2*M7621)/100</f>
        <v>456633.27</v>
      </c>
      <c r="M7621" s="15" t="n">
        <v>0.38</v>
      </c>
      <c r="N7621" s="9" t="s">
        <v>85</v>
      </c>
    </row>
    <row r="7622" customFormat="false" ht="14.25" hidden="false" customHeight="true" outlineLevel="0" collapsed="false">
      <c r="B7622" s="9" t="s">
        <v>63</v>
      </c>
      <c r="C7622" s="9" t="n">
        <v>1185732</v>
      </c>
      <c r="D7622" s="10" t="n">
        <v>44514</v>
      </c>
      <c r="E7622" s="9" t="s">
        <v>17</v>
      </c>
      <c r="F7622" s="9" t="s">
        <v>131</v>
      </c>
      <c r="G7622" s="9" t="s">
        <v>132</v>
      </c>
      <c r="H7622" s="11" t="s">
        <v>25</v>
      </c>
      <c r="I7622" s="12" t="n">
        <v>64</v>
      </c>
      <c r="J7622" s="13" t="n">
        <v>98</v>
      </c>
      <c r="K7622" s="14" t="n">
        <f aca="false">I7622*J7622</f>
        <v>6272</v>
      </c>
      <c r="L7622" s="14" t="n">
        <f aca="false">($L$2*M7622)/100</f>
        <v>540749.925</v>
      </c>
      <c r="M7622" s="15" t="n">
        <v>0.45</v>
      </c>
      <c r="N7622" s="9" t="s">
        <v>85</v>
      </c>
    </row>
    <row r="7623" customFormat="false" ht="14.25" hidden="false" customHeight="true" outlineLevel="0" collapsed="false">
      <c r="B7623" s="9" t="s">
        <v>63</v>
      </c>
      <c r="C7623" s="9" t="n">
        <v>1185732</v>
      </c>
      <c r="D7623" s="10" t="n">
        <v>44543</v>
      </c>
      <c r="E7623" s="9" t="s">
        <v>17</v>
      </c>
      <c r="F7623" s="9" t="s">
        <v>131</v>
      </c>
      <c r="G7623" s="9" t="s">
        <v>132</v>
      </c>
      <c r="H7623" s="11" t="s">
        <v>19</v>
      </c>
      <c r="I7623" s="12" t="n">
        <v>64</v>
      </c>
      <c r="J7623" s="13" t="n">
        <v>150</v>
      </c>
      <c r="K7623" s="14" t="n">
        <f aca="false">I7623*J7623</f>
        <v>9600</v>
      </c>
      <c r="L7623" s="14" t="n">
        <f aca="false">($L$2*M7623)/100</f>
        <v>492683.265</v>
      </c>
      <c r="M7623" s="15" t="n">
        <v>0.41</v>
      </c>
      <c r="N7623" s="9" t="s">
        <v>85</v>
      </c>
    </row>
    <row r="7624" customFormat="false" ht="14.25" hidden="false" customHeight="true" outlineLevel="0" collapsed="false">
      <c r="B7624" s="9" t="s">
        <v>63</v>
      </c>
      <c r="C7624" s="9" t="n">
        <v>1185732</v>
      </c>
      <c r="D7624" s="10" t="n">
        <v>44543</v>
      </c>
      <c r="E7624" s="9" t="s">
        <v>17</v>
      </c>
      <c r="F7624" s="9" t="s">
        <v>131</v>
      </c>
      <c r="G7624" s="9" t="s">
        <v>132</v>
      </c>
      <c r="H7624" s="11" t="s">
        <v>21</v>
      </c>
      <c r="I7624" s="12" t="n">
        <v>53</v>
      </c>
      <c r="J7624" s="13" t="n">
        <v>105</v>
      </c>
      <c r="K7624" s="14" t="n">
        <f aca="false">I7624*J7624</f>
        <v>5565</v>
      </c>
      <c r="L7624" s="14" t="n">
        <f aca="false">($L$2*M7624)/100</f>
        <v>480666.6</v>
      </c>
      <c r="M7624" s="15" t="n">
        <v>0.4</v>
      </c>
      <c r="N7624" s="9" t="s">
        <v>85</v>
      </c>
    </row>
    <row r="7625" customFormat="false" ht="14.25" hidden="false" customHeight="true" outlineLevel="0" collapsed="false">
      <c r="B7625" s="9" t="s">
        <v>63</v>
      </c>
      <c r="C7625" s="9" t="n">
        <v>1185732</v>
      </c>
      <c r="D7625" s="10" t="n">
        <v>44543</v>
      </c>
      <c r="E7625" s="9" t="s">
        <v>17</v>
      </c>
      <c r="F7625" s="9" t="s">
        <v>131</v>
      </c>
      <c r="G7625" s="9" t="s">
        <v>132</v>
      </c>
      <c r="H7625" s="11" t="s">
        <v>22</v>
      </c>
      <c r="I7625" s="12" t="n">
        <v>51</v>
      </c>
      <c r="J7625" s="13" t="n">
        <v>98</v>
      </c>
      <c r="K7625" s="14" t="n">
        <f aca="false">I7625*J7625</f>
        <v>4998</v>
      </c>
      <c r="L7625" s="14" t="n">
        <f aca="false">($L$2*M7625)/100</f>
        <v>468649.935</v>
      </c>
      <c r="M7625" s="15" t="n">
        <v>0.39</v>
      </c>
      <c r="N7625" s="9" t="s">
        <v>85</v>
      </c>
    </row>
    <row r="7626" customFormat="false" ht="14.25" hidden="false" customHeight="true" outlineLevel="0" collapsed="false">
      <c r="B7626" s="9" t="s">
        <v>63</v>
      </c>
      <c r="C7626" s="9" t="n">
        <v>1185732</v>
      </c>
      <c r="D7626" s="10" t="n">
        <v>44543</v>
      </c>
      <c r="E7626" s="9" t="s">
        <v>17</v>
      </c>
      <c r="F7626" s="9" t="s">
        <v>131</v>
      </c>
      <c r="G7626" s="9" t="s">
        <v>132</v>
      </c>
      <c r="H7626" s="11" t="s">
        <v>23</v>
      </c>
      <c r="I7626" s="12" t="n">
        <v>52</v>
      </c>
      <c r="J7626" s="13" t="n">
        <v>75</v>
      </c>
      <c r="K7626" s="14" t="n">
        <f aca="false">I7626*J7626</f>
        <v>3900</v>
      </c>
      <c r="L7626" s="14" t="n">
        <f aca="false">($L$2*M7626)/100</f>
        <v>456633.27</v>
      </c>
      <c r="M7626" s="15" t="n">
        <v>0.38</v>
      </c>
      <c r="N7626" s="9" t="s">
        <v>85</v>
      </c>
    </row>
    <row r="7627" customFormat="false" ht="14.25" hidden="false" customHeight="true" outlineLevel="0" collapsed="false">
      <c r="B7627" s="9" t="s">
        <v>63</v>
      </c>
      <c r="C7627" s="9" t="n">
        <v>1185732</v>
      </c>
      <c r="D7627" s="10" t="n">
        <v>44543</v>
      </c>
      <c r="E7627" s="9" t="s">
        <v>17</v>
      </c>
      <c r="F7627" s="9" t="s">
        <v>131</v>
      </c>
      <c r="G7627" s="9" t="s">
        <v>132</v>
      </c>
      <c r="H7627" s="11" t="s">
        <v>24</v>
      </c>
      <c r="I7627" s="12" t="n">
        <v>62</v>
      </c>
      <c r="J7627" s="13" t="n">
        <v>84</v>
      </c>
      <c r="K7627" s="14" t="n">
        <f aca="false">I7627*J7627</f>
        <v>5208</v>
      </c>
      <c r="L7627" s="14" t="n">
        <f aca="false">($L$2*M7627)/100</f>
        <v>468649.935</v>
      </c>
      <c r="M7627" s="15" t="n">
        <v>0.39</v>
      </c>
      <c r="N7627" s="9" t="s">
        <v>85</v>
      </c>
    </row>
    <row r="7628" customFormat="false" ht="14.25" hidden="false" customHeight="true" outlineLevel="0" collapsed="false">
      <c r="B7628" s="9" t="s">
        <v>63</v>
      </c>
      <c r="C7628" s="9" t="n">
        <v>1185732</v>
      </c>
      <c r="D7628" s="10" t="n">
        <v>44543</v>
      </c>
      <c r="E7628" s="9" t="s">
        <v>17</v>
      </c>
      <c r="F7628" s="9" t="s">
        <v>131</v>
      </c>
      <c r="G7628" s="9" t="s">
        <v>132</v>
      </c>
      <c r="H7628" s="11" t="s">
        <v>25</v>
      </c>
      <c r="I7628" s="12" t="n">
        <v>65</v>
      </c>
      <c r="J7628" s="13" t="n">
        <v>112</v>
      </c>
      <c r="K7628" s="14" t="n">
        <f aca="false">I7628*J7628</f>
        <v>7280</v>
      </c>
      <c r="L7628" s="14" t="n">
        <f aca="false">($L$2*M7628)/100</f>
        <v>528733.26</v>
      </c>
      <c r="M7628" s="15" t="n">
        <v>0.44</v>
      </c>
      <c r="N7628" s="9" t="s">
        <v>85</v>
      </c>
    </row>
    <row r="7629" customFormat="false" ht="14.25" hidden="false" customHeight="true" outlineLevel="0" collapsed="false">
      <c r="B7629" s="9" t="s">
        <v>63</v>
      </c>
      <c r="C7629" s="9" t="n">
        <v>1185732</v>
      </c>
      <c r="D7629" s="10" t="n">
        <v>44210</v>
      </c>
      <c r="E7629" s="9" t="s">
        <v>17</v>
      </c>
      <c r="F7629" s="9" t="s">
        <v>131</v>
      </c>
      <c r="G7629" s="9" t="s">
        <v>132</v>
      </c>
      <c r="H7629" s="11" t="s">
        <v>19</v>
      </c>
      <c r="I7629" s="12" t="n">
        <v>44</v>
      </c>
      <c r="J7629" s="13" t="n">
        <v>152</v>
      </c>
      <c r="K7629" s="14" t="n">
        <f aca="false">I7629*J7629</f>
        <v>6688</v>
      </c>
      <c r="L7629" s="14" t="n">
        <f aca="false">($L$2*M7629)/100</f>
        <v>660916.575</v>
      </c>
      <c r="M7629" s="15" t="n">
        <v>0.55</v>
      </c>
      <c r="N7629" s="9" t="s">
        <v>85</v>
      </c>
    </row>
    <row r="7630" customFormat="false" ht="14.25" hidden="false" customHeight="true" outlineLevel="0" collapsed="false">
      <c r="B7630" s="9" t="s">
        <v>63</v>
      </c>
      <c r="C7630" s="9" t="n">
        <v>1185732</v>
      </c>
      <c r="D7630" s="10" t="n">
        <v>44210</v>
      </c>
      <c r="E7630" s="9" t="s">
        <v>17</v>
      </c>
      <c r="F7630" s="9" t="s">
        <v>131</v>
      </c>
      <c r="G7630" s="9" t="s">
        <v>132</v>
      </c>
      <c r="H7630" s="11" t="s">
        <v>21</v>
      </c>
      <c r="I7630" s="12" t="n">
        <v>42</v>
      </c>
      <c r="J7630" s="13" t="n">
        <v>94</v>
      </c>
      <c r="K7630" s="14" t="n">
        <f aca="false">I7630*J7630</f>
        <v>3948</v>
      </c>
      <c r="L7630" s="14" t="n">
        <f aca="false">($L$2*M7630)/100</f>
        <v>720999.9</v>
      </c>
      <c r="M7630" s="15" t="n">
        <v>0.6</v>
      </c>
      <c r="N7630" s="9" t="s">
        <v>85</v>
      </c>
    </row>
    <row r="7631" customFormat="false" ht="14.25" hidden="false" customHeight="true" outlineLevel="0" collapsed="false">
      <c r="B7631" s="9" t="s">
        <v>63</v>
      </c>
      <c r="C7631" s="9" t="n">
        <v>1185732</v>
      </c>
      <c r="D7631" s="10" t="n">
        <v>44210</v>
      </c>
      <c r="E7631" s="9" t="s">
        <v>17</v>
      </c>
      <c r="F7631" s="9" t="s">
        <v>131</v>
      </c>
      <c r="G7631" s="9" t="s">
        <v>132</v>
      </c>
      <c r="H7631" s="11" t="s">
        <v>22</v>
      </c>
      <c r="I7631" s="12" t="n">
        <v>32</v>
      </c>
      <c r="J7631" s="13" t="n">
        <v>91</v>
      </c>
      <c r="K7631" s="14" t="n">
        <f aca="false">I7631*J7631</f>
        <v>2912</v>
      </c>
      <c r="L7631" s="14" t="n">
        <f aca="false">($L$2*M7631)/100</f>
        <v>540749.925</v>
      </c>
      <c r="M7631" s="15" t="n">
        <v>0.45</v>
      </c>
      <c r="N7631" s="9" t="s">
        <v>85</v>
      </c>
    </row>
    <row r="7632" customFormat="false" ht="14.25" hidden="false" customHeight="true" outlineLevel="0" collapsed="false">
      <c r="B7632" s="9" t="s">
        <v>63</v>
      </c>
      <c r="C7632" s="9" t="n">
        <v>1185732</v>
      </c>
      <c r="D7632" s="10" t="n">
        <v>44210</v>
      </c>
      <c r="E7632" s="9" t="s">
        <v>17</v>
      </c>
      <c r="F7632" s="9" t="s">
        <v>131</v>
      </c>
      <c r="G7632" s="9" t="s">
        <v>132</v>
      </c>
      <c r="H7632" s="11" t="s">
        <v>23</v>
      </c>
      <c r="I7632" s="12" t="n">
        <v>39</v>
      </c>
      <c r="J7632" s="13" t="n">
        <v>44</v>
      </c>
      <c r="K7632" s="14" t="n">
        <f aca="false">I7632*J7632</f>
        <v>1716</v>
      </c>
      <c r="L7632" s="14" t="n">
        <f aca="false">($L$2*M7632)/100</f>
        <v>588816.585</v>
      </c>
      <c r="M7632" s="15" t="n">
        <v>0.49</v>
      </c>
      <c r="N7632" s="9" t="s">
        <v>85</v>
      </c>
    </row>
    <row r="7633" customFormat="false" ht="14.25" hidden="false" customHeight="true" outlineLevel="0" collapsed="false">
      <c r="B7633" s="9" t="s">
        <v>63</v>
      </c>
      <c r="C7633" s="9" t="n">
        <v>1185732</v>
      </c>
      <c r="D7633" s="10" t="n">
        <v>44210</v>
      </c>
      <c r="E7633" s="9" t="s">
        <v>17</v>
      </c>
      <c r="F7633" s="9" t="s">
        <v>131</v>
      </c>
      <c r="G7633" s="9" t="s">
        <v>132</v>
      </c>
      <c r="H7633" s="11" t="s">
        <v>24</v>
      </c>
      <c r="I7633" s="12" t="n">
        <v>52</v>
      </c>
      <c r="J7633" s="13" t="n">
        <v>68</v>
      </c>
      <c r="K7633" s="14" t="n">
        <f aca="false">I7633*J7633</f>
        <v>3536</v>
      </c>
      <c r="L7633" s="14" t="n">
        <f aca="false">($L$2*M7633)/100</f>
        <v>564783.255</v>
      </c>
      <c r="M7633" s="15" t="n">
        <v>0.47</v>
      </c>
      <c r="N7633" s="9" t="s">
        <v>85</v>
      </c>
    </row>
    <row r="7634" customFormat="false" ht="14.25" hidden="false" customHeight="true" outlineLevel="0" collapsed="false">
      <c r="B7634" s="9" t="s">
        <v>63</v>
      </c>
      <c r="C7634" s="9" t="n">
        <v>1185732</v>
      </c>
      <c r="D7634" s="10" t="n">
        <v>44210</v>
      </c>
      <c r="E7634" s="9" t="s">
        <v>17</v>
      </c>
      <c r="F7634" s="9" t="s">
        <v>131</v>
      </c>
      <c r="G7634" s="9" t="s">
        <v>132</v>
      </c>
      <c r="H7634" s="11" t="s">
        <v>25</v>
      </c>
      <c r="I7634" s="12" t="n">
        <v>44</v>
      </c>
      <c r="J7634" s="13" t="n">
        <v>98</v>
      </c>
      <c r="K7634" s="14" t="n">
        <f aca="false">I7634*J7634</f>
        <v>4312</v>
      </c>
      <c r="L7634" s="14" t="n">
        <f aca="false">($L$2*M7634)/100</f>
        <v>612849.915</v>
      </c>
      <c r="M7634" s="15" t="n">
        <v>0.51</v>
      </c>
      <c r="N7634" s="9" t="s">
        <v>85</v>
      </c>
    </row>
    <row r="7635" customFormat="false" ht="14.25" hidden="false" customHeight="true" outlineLevel="0" collapsed="false">
      <c r="B7635" s="9" t="s">
        <v>63</v>
      </c>
      <c r="C7635" s="9" t="n">
        <v>1185732</v>
      </c>
      <c r="D7635" s="10" t="n">
        <v>44239</v>
      </c>
      <c r="E7635" s="9" t="s">
        <v>17</v>
      </c>
      <c r="F7635" s="9" t="s">
        <v>131</v>
      </c>
      <c r="G7635" s="9" t="s">
        <v>132</v>
      </c>
      <c r="H7635" s="11" t="s">
        <v>19</v>
      </c>
      <c r="I7635" s="12" t="n">
        <v>41</v>
      </c>
      <c r="J7635" s="13" t="n">
        <v>167</v>
      </c>
      <c r="K7635" s="14" t="n">
        <f aca="false">I7635*J7635</f>
        <v>6847</v>
      </c>
      <c r="L7635" s="14" t="n">
        <f aca="false">($L$2*M7635)/100</f>
        <v>672933.24</v>
      </c>
      <c r="M7635" s="15" t="n">
        <v>0.56</v>
      </c>
      <c r="N7635" s="9" t="s">
        <v>85</v>
      </c>
    </row>
    <row r="7636" customFormat="false" ht="14.25" hidden="false" customHeight="true" outlineLevel="0" collapsed="false">
      <c r="B7636" s="9" t="s">
        <v>63</v>
      </c>
      <c r="C7636" s="9" t="n">
        <v>1185732</v>
      </c>
      <c r="D7636" s="10" t="n">
        <v>44239</v>
      </c>
      <c r="E7636" s="9" t="s">
        <v>17</v>
      </c>
      <c r="F7636" s="9" t="s">
        <v>131</v>
      </c>
      <c r="G7636" s="9" t="s">
        <v>132</v>
      </c>
      <c r="H7636" s="11" t="s">
        <v>21</v>
      </c>
      <c r="I7636" s="12" t="n">
        <v>44</v>
      </c>
      <c r="J7636" s="13" t="n">
        <v>61</v>
      </c>
      <c r="K7636" s="14" t="n">
        <f aca="false">I7636*J7636</f>
        <v>2684</v>
      </c>
      <c r="L7636" s="14" t="n">
        <f aca="false">($L$2*M7636)/100</f>
        <v>720999.9</v>
      </c>
      <c r="M7636" s="15" t="n">
        <v>0.6</v>
      </c>
      <c r="N7636" s="9" t="s">
        <v>85</v>
      </c>
    </row>
    <row r="7637" customFormat="false" ht="14.25" hidden="false" customHeight="true" outlineLevel="0" collapsed="false">
      <c r="B7637" s="9" t="s">
        <v>63</v>
      </c>
      <c r="C7637" s="9" t="n">
        <v>1185732</v>
      </c>
      <c r="D7637" s="10" t="n">
        <v>44239</v>
      </c>
      <c r="E7637" s="9" t="s">
        <v>17</v>
      </c>
      <c r="F7637" s="9" t="s">
        <v>131</v>
      </c>
      <c r="G7637" s="9" t="s">
        <v>132</v>
      </c>
      <c r="H7637" s="11" t="s">
        <v>22</v>
      </c>
      <c r="I7637" s="12" t="n">
        <v>33</v>
      </c>
      <c r="J7637" s="13" t="n">
        <v>74</v>
      </c>
      <c r="K7637" s="14" t="n">
        <f aca="false">I7637*J7637</f>
        <v>2442</v>
      </c>
      <c r="L7637" s="14" t="n">
        <f aca="false">($L$2*M7637)/100</f>
        <v>600833.25</v>
      </c>
      <c r="M7637" s="15" t="n">
        <v>0.5</v>
      </c>
      <c r="N7637" s="9" t="s">
        <v>85</v>
      </c>
    </row>
    <row r="7638" customFormat="false" ht="14.25" hidden="false" customHeight="true" outlineLevel="0" collapsed="false">
      <c r="B7638" s="9" t="s">
        <v>63</v>
      </c>
      <c r="C7638" s="9" t="n">
        <v>1185732</v>
      </c>
      <c r="D7638" s="10" t="n">
        <v>44239</v>
      </c>
      <c r="E7638" s="9" t="s">
        <v>17</v>
      </c>
      <c r="F7638" s="9" t="s">
        <v>133</v>
      </c>
      <c r="G7638" s="9" t="s">
        <v>134</v>
      </c>
      <c r="H7638" s="11" t="s">
        <v>23</v>
      </c>
      <c r="I7638" s="12" t="n">
        <v>36</v>
      </c>
      <c r="J7638" s="13" t="n">
        <v>45</v>
      </c>
      <c r="K7638" s="14" t="n">
        <f aca="false">I7638*J7638</f>
        <v>1620</v>
      </c>
      <c r="L7638" s="14" t="n">
        <f aca="false">($L$2*M7638)/100</f>
        <v>552766.59</v>
      </c>
      <c r="M7638" s="15" t="n">
        <v>0.46</v>
      </c>
      <c r="N7638" s="9" t="s">
        <v>85</v>
      </c>
    </row>
    <row r="7639" customFormat="false" ht="14.25" hidden="false" customHeight="true" outlineLevel="0" collapsed="false">
      <c r="B7639" s="9" t="s">
        <v>63</v>
      </c>
      <c r="C7639" s="9" t="n">
        <v>1185732</v>
      </c>
      <c r="D7639" s="10" t="n">
        <v>44239</v>
      </c>
      <c r="E7639" s="9" t="s">
        <v>17</v>
      </c>
      <c r="F7639" s="9" t="s">
        <v>133</v>
      </c>
      <c r="G7639" s="9" t="s">
        <v>134</v>
      </c>
      <c r="H7639" s="11" t="s">
        <v>24</v>
      </c>
      <c r="I7639" s="12" t="n">
        <v>54</v>
      </c>
      <c r="J7639" s="13" t="n">
        <v>63</v>
      </c>
      <c r="K7639" s="14" t="n">
        <f aca="false">I7639*J7639</f>
        <v>3402</v>
      </c>
      <c r="L7639" s="14" t="n">
        <f aca="false">($L$2*M7639)/100</f>
        <v>600833.25</v>
      </c>
      <c r="M7639" s="15" t="n">
        <v>0.5</v>
      </c>
      <c r="N7639" s="9" t="s">
        <v>85</v>
      </c>
    </row>
    <row r="7640" customFormat="false" ht="14.25" hidden="false" customHeight="true" outlineLevel="0" collapsed="false">
      <c r="B7640" s="9" t="s">
        <v>63</v>
      </c>
      <c r="C7640" s="9" t="n">
        <v>1185732</v>
      </c>
      <c r="D7640" s="10" t="n">
        <v>44239</v>
      </c>
      <c r="E7640" s="9" t="s">
        <v>17</v>
      </c>
      <c r="F7640" s="9" t="s">
        <v>133</v>
      </c>
      <c r="G7640" s="9" t="s">
        <v>134</v>
      </c>
      <c r="H7640" s="11" t="s">
        <v>25</v>
      </c>
      <c r="I7640" s="12" t="n">
        <v>43</v>
      </c>
      <c r="J7640" s="13" t="n">
        <v>85</v>
      </c>
      <c r="K7640" s="14" t="n">
        <f aca="false">I7640*J7640</f>
        <v>3655</v>
      </c>
      <c r="L7640" s="14" t="n">
        <f aca="false">($L$2*M7640)/100</f>
        <v>648899.91</v>
      </c>
      <c r="M7640" s="15" t="n">
        <v>0.54</v>
      </c>
      <c r="N7640" s="9" t="s">
        <v>85</v>
      </c>
    </row>
    <row r="7641" customFormat="false" ht="14.25" hidden="false" customHeight="true" outlineLevel="0" collapsed="false">
      <c r="B7641" s="9" t="s">
        <v>63</v>
      </c>
      <c r="C7641" s="9" t="n">
        <v>1185732</v>
      </c>
      <c r="D7641" s="10" t="n">
        <v>44265</v>
      </c>
      <c r="E7641" s="9" t="s">
        <v>17</v>
      </c>
      <c r="F7641" s="9" t="s">
        <v>133</v>
      </c>
      <c r="G7641" s="9" t="s">
        <v>134</v>
      </c>
      <c r="H7641" s="11" t="s">
        <v>19</v>
      </c>
      <c r="I7641" s="12" t="n">
        <v>44</v>
      </c>
      <c r="J7641" s="13" t="n">
        <v>142</v>
      </c>
      <c r="K7641" s="14" t="n">
        <f aca="false">I7641*J7641</f>
        <v>6248</v>
      </c>
      <c r="L7641" s="14" t="n">
        <f aca="false">($L$2*M7641)/100</f>
        <v>720999.9</v>
      </c>
      <c r="M7641" s="15" t="n">
        <v>0.6</v>
      </c>
      <c r="N7641" s="9" t="s">
        <v>85</v>
      </c>
    </row>
    <row r="7642" customFormat="false" ht="14.25" hidden="false" customHeight="true" outlineLevel="0" collapsed="false">
      <c r="B7642" s="9" t="s">
        <v>63</v>
      </c>
      <c r="C7642" s="9" t="n">
        <v>1185732</v>
      </c>
      <c r="D7642" s="10" t="n">
        <v>44265</v>
      </c>
      <c r="E7642" s="9" t="s">
        <v>17</v>
      </c>
      <c r="F7642" s="9" t="s">
        <v>133</v>
      </c>
      <c r="G7642" s="9" t="s">
        <v>134</v>
      </c>
      <c r="H7642" s="11" t="s">
        <v>21</v>
      </c>
      <c r="I7642" s="12" t="n">
        <v>42</v>
      </c>
      <c r="J7642" s="13" t="n">
        <v>70</v>
      </c>
      <c r="K7642" s="14" t="n">
        <f aca="false">I7642*J7642</f>
        <v>2940</v>
      </c>
      <c r="L7642" s="14" t="n">
        <f aca="false">($L$2*M7642)/100</f>
        <v>684949.905</v>
      </c>
      <c r="M7642" s="15" t="n">
        <v>0.57</v>
      </c>
      <c r="N7642" s="9" t="s">
        <v>85</v>
      </c>
    </row>
    <row r="7643" customFormat="false" ht="14.25" hidden="false" customHeight="true" outlineLevel="0" collapsed="false">
      <c r="B7643" s="9" t="s">
        <v>63</v>
      </c>
      <c r="C7643" s="9" t="n">
        <v>1185732</v>
      </c>
      <c r="D7643" s="10" t="n">
        <v>44265</v>
      </c>
      <c r="E7643" s="9" t="s">
        <v>17</v>
      </c>
      <c r="F7643" s="9" t="s">
        <v>133</v>
      </c>
      <c r="G7643" s="9" t="s">
        <v>134</v>
      </c>
      <c r="H7643" s="11" t="s">
        <v>22</v>
      </c>
      <c r="I7643" s="12" t="n">
        <v>34</v>
      </c>
      <c r="J7643" s="13" t="n">
        <v>77</v>
      </c>
      <c r="K7643" s="14" t="n">
        <f aca="false">I7643*J7643</f>
        <v>2618</v>
      </c>
      <c r="L7643" s="14" t="n">
        <f aca="false">($L$2*M7643)/100</f>
        <v>588816.585</v>
      </c>
      <c r="M7643" s="15" t="n">
        <v>0.49</v>
      </c>
      <c r="N7643" s="9" t="s">
        <v>85</v>
      </c>
    </row>
    <row r="7644" customFormat="false" ht="14.25" hidden="false" customHeight="true" outlineLevel="0" collapsed="false">
      <c r="B7644" s="9" t="s">
        <v>63</v>
      </c>
      <c r="C7644" s="9" t="n">
        <v>1185732</v>
      </c>
      <c r="D7644" s="10" t="n">
        <v>44265</v>
      </c>
      <c r="E7644" s="9" t="s">
        <v>17</v>
      </c>
      <c r="F7644" s="9" t="s">
        <v>133</v>
      </c>
      <c r="G7644" s="9" t="s">
        <v>134</v>
      </c>
      <c r="H7644" s="11" t="s">
        <v>23</v>
      </c>
      <c r="I7644" s="12" t="n">
        <v>36</v>
      </c>
      <c r="J7644" s="13" t="n">
        <v>38</v>
      </c>
      <c r="K7644" s="14" t="n">
        <f aca="false">I7644*J7644</f>
        <v>1368</v>
      </c>
      <c r="L7644" s="14" t="n">
        <f aca="false">($L$2*M7644)/100</f>
        <v>588816.585</v>
      </c>
      <c r="M7644" s="15" t="n">
        <v>0.49</v>
      </c>
      <c r="N7644" s="9" t="s">
        <v>85</v>
      </c>
    </row>
    <row r="7645" customFormat="false" ht="14.25" hidden="false" customHeight="true" outlineLevel="0" collapsed="false">
      <c r="B7645" s="9" t="s">
        <v>63</v>
      </c>
      <c r="C7645" s="9" t="n">
        <v>1185732</v>
      </c>
      <c r="D7645" s="10" t="n">
        <v>44265</v>
      </c>
      <c r="E7645" s="9" t="s">
        <v>17</v>
      </c>
      <c r="F7645" s="9" t="s">
        <v>133</v>
      </c>
      <c r="G7645" s="9" t="s">
        <v>134</v>
      </c>
      <c r="H7645" s="11" t="s">
        <v>24</v>
      </c>
      <c r="I7645" s="12" t="n">
        <v>51</v>
      </c>
      <c r="J7645" s="13" t="n">
        <v>47</v>
      </c>
      <c r="K7645" s="14" t="n">
        <f aca="false">I7645*J7645</f>
        <v>2397</v>
      </c>
      <c r="L7645" s="14" t="n">
        <f aca="false">($L$2*M7645)/100</f>
        <v>588816.585</v>
      </c>
      <c r="M7645" s="15" t="n">
        <v>0.49</v>
      </c>
      <c r="N7645" s="9" t="s">
        <v>85</v>
      </c>
    </row>
    <row r="7646" customFormat="false" ht="14.25" hidden="false" customHeight="true" outlineLevel="0" collapsed="false">
      <c r="B7646" s="9" t="s">
        <v>63</v>
      </c>
      <c r="C7646" s="9" t="n">
        <v>1185732</v>
      </c>
      <c r="D7646" s="10" t="n">
        <v>44265</v>
      </c>
      <c r="E7646" s="9" t="s">
        <v>17</v>
      </c>
      <c r="F7646" s="9" t="s">
        <v>133</v>
      </c>
      <c r="G7646" s="9" t="s">
        <v>134</v>
      </c>
      <c r="H7646" s="11" t="s">
        <v>25</v>
      </c>
      <c r="I7646" s="12" t="n">
        <v>41</v>
      </c>
      <c r="J7646" s="13" t="n">
        <v>80</v>
      </c>
      <c r="K7646" s="14" t="n">
        <f aca="false">I7646*J7646</f>
        <v>3280</v>
      </c>
      <c r="L7646" s="14" t="n">
        <f aca="false">($L$2*M7646)/100</f>
        <v>660916.575</v>
      </c>
      <c r="M7646" s="15" t="n">
        <v>0.55</v>
      </c>
      <c r="N7646" s="9" t="s">
        <v>85</v>
      </c>
    </row>
    <row r="7647" customFormat="false" ht="14.25" hidden="false" customHeight="true" outlineLevel="0" collapsed="false">
      <c r="B7647" s="9" t="s">
        <v>63</v>
      </c>
      <c r="C7647" s="9" t="n">
        <v>1185732</v>
      </c>
      <c r="D7647" s="10" t="n">
        <v>44297</v>
      </c>
      <c r="E7647" s="9" t="s">
        <v>17</v>
      </c>
      <c r="F7647" s="9" t="s">
        <v>133</v>
      </c>
      <c r="G7647" s="9" t="s">
        <v>134</v>
      </c>
      <c r="H7647" s="11" t="s">
        <v>19</v>
      </c>
      <c r="I7647" s="12" t="n">
        <v>41</v>
      </c>
      <c r="J7647" s="13" t="n">
        <v>137</v>
      </c>
      <c r="K7647" s="14" t="n">
        <f aca="false">I7647*J7647</f>
        <v>5617</v>
      </c>
      <c r="L7647" s="14" t="n">
        <f aca="false">($L$2*M7647)/100</f>
        <v>672933.24</v>
      </c>
      <c r="M7647" s="15" t="n">
        <v>0.56</v>
      </c>
      <c r="N7647" s="9" t="s">
        <v>85</v>
      </c>
    </row>
    <row r="7648" customFormat="false" ht="14.25" hidden="false" customHeight="true" outlineLevel="0" collapsed="false">
      <c r="B7648" s="9" t="s">
        <v>63</v>
      </c>
      <c r="C7648" s="9" t="n">
        <v>1185732</v>
      </c>
      <c r="D7648" s="10" t="n">
        <v>44297</v>
      </c>
      <c r="E7648" s="9" t="s">
        <v>17</v>
      </c>
      <c r="F7648" s="9" t="s">
        <v>133</v>
      </c>
      <c r="G7648" s="9" t="s">
        <v>134</v>
      </c>
      <c r="H7648" s="11" t="s">
        <v>21</v>
      </c>
      <c r="I7648" s="12" t="n">
        <v>43</v>
      </c>
      <c r="J7648" s="13" t="n">
        <v>56</v>
      </c>
      <c r="K7648" s="14" t="n">
        <f aca="false">I7648*J7648</f>
        <v>2408</v>
      </c>
      <c r="L7648" s="14" t="n">
        <f aca="false">($L$2*M7648)/100</f>
        <v>696966.57</v>
      </c>
      <c r="M7648" s="15" t="n">
        <v>0.58</v>
      </c>
      <c r="N7648" s="9" t="s">
        <v>85</v>
      </c>
    </row>
    <row r="7649" customFormat="false" ht="14.25" hidden="false" customHeight="true" outlineLevel="0" collapsed="false">
      <c r="B7649" s="9" t="s">
        <v>63</v>
      </c>
      <c r="C7649" s="9" t="n">
        <v>1185732</v>
      </c>
      <c r="D7649" s="10" t="n">
        <v>44297</v>
      </c>
      <c r="E7649" s="9" t="s">
        <v>17</v>
      </c>
      <c r="F7649" s="9" t="s">
        <v>133</v>
      </c>
      <c r="G7649" s="9" t="s">
        <v>134</v>
      </c>
      <c r="H7649" s="11" t="s">
        <v>22</v>
      </c>
      <c r="I7649" s="12" t="n">
        <v>32</v>
      </c>
      <c r="J7649" s="13" t="n">
        <v>65</v>
      </c>
      <c r="K7649" s="14" t="n">
        <f aca="false">I7649*J7649</f>
        <v>2080</v>
      </c>
      <c r="L7649" s="14" t="n">
        <f aca="false">($L$2*M7649)/100</f>
        <v>600833.25</v>
      </c>
      <c r="M7649" s="15" t="n">
        <v>0.5</v>
      </c>
      <c r="N7649" s="9" t="s">
        <v>85</v>
      </c>
    </row>
    <row r="7650" customFormat="false" ht="14.25" hidden="false" customHeight="true" outlineLevel="0" collapsed="false">
      <c r="B7650" s="9" t="s">
        <v>63</v>
      </c>
      <c r="C7650" s="9" t="n">
        <v>1185732</v>
      </c>
      <c r="D7650" s="10" t="n">
        <v>44297</v>
      </c>
      <c r="E7650" s="9" t="s">
        <v>17</v>
      </c>
      <c r="F7650" s="9" t="s">
        <v>133</v>
      </c>
      <c r="G7650" s="9" t="s">
        <v>134</v>
      </c>
      <c r="H7650" s="11" t="s">
        <v>23</v>
      </c>
      <c r="I7650" s="12" t="n">
        <v>36</v>
      </c>
      <c r="J7650" s="13" t="n">
        <v>44</v>
      </c>
      <c r="K7650" s="14" t="n">
        <f aca="false">I7650*J7650</f>
        <v>1584</v>
      </c>
      <c r="L7650" s="14" t="n">
        <f aca="false">($L$2*M7650)/100</f>
        <v>600833.25</v>
      </c>
      <c r="M7650" s="15" t="n">
        <v>0.5</v>
      </c>
      <c r="N7650" s="9" t="s">
        <v>85</v>
      </c>
    </row>
    <row r="7651" customFormat="false" ht="14.25" hidden="false" customHeight="true" outlineLevel="0" collapsed="false">
      <c r="B7651" s="9" t="s">
        <v>63</v>
      </c>
      <c r="C7651" s="9" t="n">
        <v>1185732</v>
      </c>
      <c r="D7651" s="10" t="n">
        <v>44297</v>
      </c>
      <c r="E7651" s="9" t="s">
        <v>17</v>
      </c>
      <c r="F7651" s="9" t="s">
        <v>133</v>
      </c>
      <c r="G7651" s="9" t="s">
        <v>134</v>
      </c>
      <c r="H7651" s="11" t="s">
        <v>24</v>
      </c>
      <c r="I7651" s="12" t="n">
        <v>51</v>
      </c>
      <c r="J7651" s="13" t="n">
        <v>38</v>
      </c>
      <c r="K7651" s="14" t="n">
        <f aca="false">I7651*J7651</f>
        <v>1938</v>
      </c>
      <c r="L7651" s="14" t="n">
        <f aca="false">($L$2*M7651)/100</f>
        <v>552766.59</v>
      </c>
      <c r="M7651" s="15" t="n">
        <v>0.46</v>
      </c>
      <c r="N7651" s="9" t="s">
        <v>85</v>
      </c>
    </row>
    <row r="7652" customFormat="false" ht="14.25" hidden="false" customHeight="true" outlineLevel="0" collapsed="false">
      <c r="B7652" s="9" t="s">
        <v>63</v>
      </c>
      <c r="C7652" s="9" t="n">
        <v>1185732</v>
      </c>
      <c r="D7652" s="10" t="n">
        <v>44297</v>
      </c>
      <c r="E7652" s="9" t="s">
        <v>17</v>
      </c>
      <c r="F7652" s="9" t="s">
        <v>133</v>
      </c>
      <c r="G7652" s="9" t="s">
        <v>134</v>
      </c>
      <c r="H7652" s="11" t="s">
        <v>25</v>
      </c>
      <c r="I7652" s="12" t="n">
        <v>44</v>
      </c>
      <c r="J7652" s="13" t="n">
        <v>90</v>
      </c>
      <c r="K7652" s="14" t="n">
        <f aca="false">I7652*J7652</f>
        <v>3960</v>
      </c>
      <c r="L7652" s="14" t="n">
        <f aca="false">($L$2*M7652)/100</f>
        <v>612849.915</v>
      </c>
      <c r="M7652" s="15" t="n">
        <v>0.51</v>
      </c>
      <c r="N7652" s="9" t="s">
        <v>85</v>
      </c>
    </row>
    <row r="7653" customFormat="false" ht="14.25" hidden="false" customHeight="true" outlineLevel="0" collapsed="false">
      <c r="B7653" s="9" t="s">
        <v>63</v>
      </c>
      <c r="C7653" s="9" t="n">
        <v>1185732</v>
      </c>
      <c r="D7653" s="10" t="n">
        <v>44326</v>
      </c>
      <c r="E7653" s="9" t="s">
        <v>17</v>
      </c>
      <c r="F7653" s="9" t="s">
        <v>133</v>
      </c>
      <c r="G7653" s="9" t="s">
        <v>134</v>
      </c>
      <c r="H7653" s="11" t="s">
        <v>19</v>
      </c>
      <c r="I7653" s="12" t="n">
        <v>55</v>
      </c>
      <c r="J7653" s="13" t="n">
        <v>154</v>
      </c>
      <c r="K7653" s="14" t="n">
        <f aca="false">I7653*J7653</f>
        <v>8470</v>
      </c>
      <c r="L7653" s="14" t="n">
        <f aca="false">($L$2*M7653)/100</f>
        <v>684949.905</v>
      </c>
      <c r="M7653" s="15" t="n">
        <v>0.57</v>
      </c>
      <c r="N7653" s="9" t="s">
        <v>85</v>
      </c>
    </row>
    <row r="7654" customFormat="false" ht="14.25" hidden="false" customHeight="true" outlineLevel="0" collapsed="false">
      <c r="B7654" s="9" t="s">
        <v>63</v>
      </c>
      <c r="C7654" s="9" t="n">
        <v>1185732</v>
      </c>
      <c r="D7654" s="10" t="n">
        <v>44326</v>
      </c>
      <c r="E7654" s="9" t="s">
        <v>17</v>
      </c>
      <c r="F7654" s="9" t="s">
        <v>133</v>
      </c>
      <c r="G7654" s="9" t="s">
        <v>134</v>
      </c>
      <c r="H7654" s="11" t="s">
        <v>21</v>
      </c>
      <c r="I7654" s="12" t="n">
        <v>54</v>
      </c>
      <c r="J7654" s="13" t="n">
        <v>80</v>
      </c>
      <c r="K7654" s="14" t="n">
        <f aca="false">I7654*J7654</f>
        <v>4320</v>
      </c>
      <c r="L7654" s="14" t="n">
        <f aca="false">($L$2*M7654)/100</f>
        <v>672933.24</v>
      </c>
      <c r="M7654" s="15" t="n">
        <v>0.56</v>
      </c>
      <c r="N7654" s="9" t="s">
        <v>85</v>
      </c>
    </row>
    <row r="7655" customFormat="false" ht="14.25" hidden="false" customHeight="true" outlineLevel="0" collapsed="false">
      <c r="B7655" s="9" t="s">
        <v>63</v>
      </c>
      <c r="C7655" s="9" t="n">
        <v>1185732</v>
      </c>
      <c r="D7655" s="10" t="n">
        <v>44326</v>
      </c>
      <c r="E7655" s="9" t="s">
        <v>17</v>
      </c>
      <c r="F7655" s="9" t="s">
        <v>133</v>
      </c>
      <c r="G7655" s="9" t="s">
        <v>134</v>
      </c>
      <c r="H7655" s="11" t="s">
        <v>22</v>
      </c>
      <c r="I7655" s="12" t="n">
        <v>49</v>
      </c>
      <c r="J7655" s="13" t="n">
        <v>75</v>
      </c>
      <c r="K7655" s="14" t="n">
        <f aca="false">I7655*J7655</f>
        <v>3675</v>
      </c>
      <c r="L7655" s="14" t="n">
        <f aca="false">($L$2*M7655)/100</f>
        <v>552766.59</v>
      </c>
      <c r="M7655" s="15" t="n">
        <v>0.46</v>
      </c>
      <c r="N7655" s="9" t="s">
        <v>85</v>
      </c>
    </row>
    <row r="7656" customFormat="false" ht="14.25" hidden="false" customHeight="true" outlineLevel="0" collapsed="false">
      <c r="B7656" s="9" t="s">
        <v>63</v>
      </c>
      <c r="C7656" s="9" t="n">
        <v>1185732</v>
      </c>
      <c r="D7656" s="10" t="n">
        <v>44326</v>
      </c>
      <c r="E7656" s="9" t="s">
        <v>17</v>
      </c>
      <c r="F7656" s="9" t="s">
        <v>133</v>
      </c>
      <c r="G7656" s="9" t="s">
        <v>134</v>
      </c>
      <c r="H7656" s="11" t="s">
        <v>23</v>
      </c>
      <c r="I7656" s="12" t="n">
        <v>46</v>
      </c>
      <c r="J7656" s="13" t="n">
        <v>65</v>
      </c>
      <c r="K7656" s="14" t="n">
        <f aca="false">I7656*J7656</f>
        <v>2990</v>
      </c>
      <c r="L7656" s="14" t="n">
        <f aca="false">($L$2*M7656)/100</f>
        <v>564783.255</v>
      </c>
      <c r="M7656" s="15" t="n">
        <v>0.47</v>
      </c>
      <c r="N7656" s="9" t="s">
        <v>85</v>
      </c>
    </row>
    <row r="7657" customFormat="false" ht="14.25" hidden="false" customHeight="true" outlineLevel="0" collapsed="false">
      <c r="B7657" s="9" t="s">
        <v>63</v>
      </c>
      <c r="C7657" s="9" t="n">
        <v>1185732</v>
      </c>
      <c r="D7657" s="10" t="n">
        <v>44326</v>
      </c>
      <c r="E7657" s="9" t="s">
        <v>17</v>
      </c>
      <c r="F7657" s="9" t="s">
        <v>133</v>
      </c>
      <c r="G7657" s="9" t="s">
        <v>134</v>
      </c>
      <c r="H7657" s="11" t="s">
        <v>24</v>
      </c>
      <c r="I7657" s="12" t="n">
        <v>55</v>
      </c>
      <c r="J7657" s="13" t="n">
        <v>72</v>
      </c>
      <c r="K7657" s="14" t="n">
        <f aca="false">I7657*J7657</f>
        <v>3960</v>
      </c>
      <c r="L7657" s="14" t="n">
        <f aca="false">($L$2*M7657)/100</f>
        <v>564783.255</v>
      </c>
      <c r="M7657" s="15" t="n">
        <v>0.47</v>
      </c>
      <c r="N7657" s="9" t="s">
        <v>85</v>
      </c>
    </row>
    <row r="7658" customFormat="false" ht="14.25" hidden="false" customHeight="true" outlineLevel="0" collapsed="false">
      <c r="B7658" s="9" t="s">
        <v>63</v>
      </c>
      <c r="C7658" s="9" t="n">
        <v>1185732</v>
      </c>
      <c r="D7658" s="10" t="n">
        <v>44326</v>
      </c>
      <c r="E7658" s="9" t="s">
        <v>17</v>
      </c>
      <c r="F7658" s="9" t="s">
        <v>133</v>
      </c>
      <c r="G7658" s="9" t="s">
        <v>134</v>
      </c>
      <c r="H7658" s="11" t="s">
        <v>25</v>
      </c>
      <c r="I7658" s="12" t="n">
        <v>60</v>
      </c>
      <c r="J7658" s="13" t="n">
        <v>120</v>
      </c>
      <c r="K7658" s="14" t="n">
        <f aca="false">I7658*J7658</f>
        <v>7200</v>
      </c>
      <c r="L7658" s="14" t="n">
        <f aca="false">($L$2*M7658)/100</f>
        <v>624866.58</v>
      </c>
      <c r="M7658" s="15" t="n">
        <v>0.52</v>
      </c>
      <c r="N7658" s="9" t="s">
        <v>85</v>
      </c>
    </row>
    <row r="7659" customFormat="false" ht="14.25" hidden="false" customHeight="true" outlineLevel="0" collapsed="false">
      <c r="B7659" s="9" t="s">
        <v>63</v>
      </c>
      <c r="C7659" s="9" t="n">
        <v>1185732</v>
      </c>
      <c r="D7659" s="10" t="n">
        <v>44359</v>
      </c>
      <c r="E7659" s="9" t="s">
        <v>17</v>
      </c>
      <c r="F7659" s="9" t="s">
        <v>133</v>
      </c>
      <c r="G7659" s="9" t="s">
        <v>134</v>
      </c>
      <c r="H7659" s="11" t="s">
        <v>19</v>
      </c>
      <c r="I7659" s="12" t="n">
        <v>58</v>
      </c>
      <c r="J7659" s="13" t="n">
        <v>163</v>
      </c>
      <c r="K7659" s="14" t="n">
        <f aca="false">I7659*J7659</f>
        <v>9454</v>
      </c>
      <c r="L7659" s="14" t="n">
        <f aca="false">($L$2*M7659)/100</f>
        <v>696966.57</v>
      </c>
      <c r="M7659" s="15" t="n">
        <v>0.58</v>
      </c>
      <c r="N7659" s="9" t="s">
        <v>85</v>
      </c>
    </row>
    <row r="7660" customFormat="false" ht="14.25" hidden="false" customHeight="true" outlineLevel="0" collapsed="false">
      <c r="B7660" s="9" t="s">
        <v>63</v>
      </c>
      <c r="C7660" s="9" t="n">
        <v>1185732</v>
      </c>
      <c r="D7660" s="10" t="n">
        <v>44359</v>
      </c>
      <c r="E7660" s="9" t="s">
        <v>17</v>
      </c>
      <c r="F7660" s="9" t="s">
        <v>133</v>
      </c>
      <c r="G7660" s="9" t="s">
        <v>134</v>
      </c>
      <c r="H7660" s="11" t="s">
        <v>21</v>
      </c>
      <c r="I7660" s="12" t="n">
        <v>53</v>
      </c>
      <c r="J7660" s="13" t="n">
        <v>116</v>
      </c>
      <c r="K7660" s="14" t="n">
        <f aca="false">I7660*J7660</f>
        <v>6148</v>
      </c>
      <c r="L7660" s="14" t="n">
        <f aca="false">($L$2*M7660)/100</f>
        <v>708983.235</v>
      </c>
      <c r="M7660" s="15" t="n">
        <v>0.59</v>
      </c>
      <c r="N7660" s="9" t="s">
        <v>85</v>
      </c>
    </row>
    <row r="7661" customFormat="false" ht="14.25" hidden="false" customHeight="true" outlineLevel="0" collapsed="false">
      <c r="B7661" s="9" t="s">
        <v>63</v>
      </c>
      <c r="C7661" s="9" t="n">
        <v>1185732</v>
      </c>
      <c r="D7661" s="10" t="n">
        <v>44359</v>
      </c>
      <c r="E7661" s="9" t="s">
        <v>17</v>
      </c>
      <c r="F7661" s="9" t="s">
        <v>133</v>
      </c>
      <c r="G7661" s="9" t="s">
        <v>134</v>
      </c>
      <c r="H7661" s="11" t="s">
        <v>22</v>
      </c>
      <c r="I7661" s="12" t="n">
        <v>45</v>
      </c>
      <c r="J7661" s="13" t="n">
        <v>81</v>
      </c>
      <c r="K7661" s="14" t="n">
        <f aca="false">I7661*J7661</f>
        <v>3645</v>
      </c>
      <c r="L7661" s="14" t="n">
        <f aca="false">($L$2*M7661)/100</f>
        <v>564783.255</v>
      </c>
      <c r="M7661" s="15" t="n">
        <v>0.47</v>
      </c>
      <c r="N7661" s="9" t="s">
        <v>85</v>
      </c>
    </row>
    <row r="7662" customFormat="false" ht="14.25" hidden="false" customHeight="true" outlineLevel="0" collapsed="false">
      <c r="B7662" s="9" t="s">
        <v>63</v>
      </c>
      <c r="C7662" s="9" t="n">
        <v>1185732</v>
      </c>
      <c r="D7662" s="10" t="n">
        <v>44359</v>
      </c>
      <c r="E7662" s="9" t="s">
        <v>17</v>
      </c>
      <c r="F7662" s="9" t="s">
        <v>133</v>
      </c>
      <c r="G7662" s="9" t="s">
        <v>134</v>
      </c>
      <c r="H7662" s="11" t="s">
        <v>23</v>
      </c>
      <c r="I7662" s="12" t="n">
        <v>47</v>
      </c>
      <c r="J7662" s="13" t="n">
        <v>90</v>
      </c>
      <c r="K7662" s="14" t="n">
        <f aca="false">I7662*J7662</f>
        <v>4230</v>
      </c>
      <c r="L7662" s="14" t="n">
        <f aca="false">($L$2*M7662)/100</f>
        <v>540749.925</v>
      </c>
      <c r="M7662" s="15" t="n">
        <v>0.45</v>
      </c>
      <c r="N7662" s="9" t="s">
        <v>85</v>
      </c>
    </row>
    <row r="7663" customFormat="false" ht="14.25" hidden="false" customHeight="true" outlineLevel="0" collapsed="false">
      <c r="B7663" s="9" t="s">
        <v>63</v>
      </c>
      <c r="C7663" s="9" t="n">
        <v>1185732</v>
      </c>
      <c r="D7663" s="10" t="n">
        <v>44359</v>
      </c>
      <c r="E7663" s="9" t="s">
        <v>17</v>
      </c>
      <c r="F7663" s="9" t="s">
        <v>133</v>
      </c>
      <c r="G7663" s="9" t="s">
        <v>134</v>
      </c>
      <c r="H7663" s="11" t="s">
        <v>24</v>
      </c>
      <c r="I7663" s="12" t="n">
        <v>58</v>
      </c>
      <c r="J7663" s="13" t="n">
        <v>81</v>
      </c>
      <c r="K7663" s="14" t="n">
        <f aca="false">I7663*J7663</f>
        <v>4698</v>
      </c>
      <c r="L7663" s="14" t="n">
        <f aca="false">($L$2*M7663)/100</f>
        <v>600833.25</v>
      </c>
      <c r="M7663" s="15" t="n">
        <v>0.5</v>
      </c>
      <c r="N7663" s="9" t="s">
        <v>85</v>
      </c>
    </row>
    <row r="7664" customFormat="false" ht="14.25" hidden="false" customHeight="true" outlineLevel="0" collapsed="false">
      <c r="B7664" s="9" t="s">
        <v>63</v>
      </c>
      <c r="C7664" s="9" t="n">
        <v>1185732</v>
      </c>
      <c r="D7664" s="10" t="n">
        <v>44359</v>
      </c>
      <c r="E7664" s="9" t="s">
        <v>17</v>
      </c>
      <c r="F7664" s="9" t="s">
        <v>133</v>
      </c>
      <c r="G7664" s="9" t="s">
        <v>134</v>
      </c>
      <c r="H7664" s="11" t="s">
        <v>25</v>
      </c>
      <c r="I7664" s="12" t="n">
        <v>62</v>
      </c>
      <c r="J7664" s="13" t="n">
        <v>117</v>
      </c>
      <c r="K7664" s="14" t="n">
        <f aca="false">I7664*J7664</f>
        <v>7254</v>
      </c>
      <c r="L7664" s="14" t="n">
        <f aca="false">($L$2*M7664)/100</f>
        <v>624866.58</v>
      </c>
      <c r="M7664" s="15" t="n">
        <v>0.52</v>
      </c>
      <c r="N7664" s="9" t="s">
        <v>85</v>
      </c>
    </row>
    <row r="7665" customFormat="false" ht="14.25" hidden="false" customHeight="true" outlineLevel="0" collapsed="false">
      <c r="B7665" s="9" t="s">
        <v>63</v>
      </c>
      <c r="C7665" s="9" t="n">
        <v>1185732</v>
      </c>
      <c r="D7665" s="10" t="n">
        <v>44387</v>
      </c>
      <c r="E7665" s="9" t="s">
        <v>17</v>
      </c>
      <c r="F7665" s="9" t="s">
        <v>133</v>
      </c>
      <c r="G7665" s="9" t="s">
        <v>134</v>
      </c>
      <c r="H7665" s="11" t="s">
        <v>19</v>
      </c>
      <c r="I7665" s="12" t="n">
        <v>54</v>
      </c>
      <c r="J7665" s="13" t="n">
        <v>182</v>
      </c>
      <c r="K7665" s="14" t="n">
        <f aca="false">I7665*J7665</f>
        <v>9828</v>
      </c>
      <c r="L7665" s="14" t="n">
        <f aca="false">($L$2*M7665)/100</f>
        <v>684949.905</v>
      </c>
      <c r="M7665" s="15" t="n">
        <v>0.57</v>
      </c>
      <c r="N7665" s="9" t="s">
        <v>85</v>
      </c>
    </row>
    <row r="7666" customFormat="false" ht="14.25" hidden="false" customHeight="true" outlineLevel="0" collapsed="false">
      <c r="B7666" s="9" t="s">
        <v>63</v>
      </c>
      <c r="C7666" s="9" t="n">
        <v>1185732</v>
      </c>
      <c r="D7666" s="10" t="n">
        <v>44387</v>
      </c>
      <c r="E7666" s="9" t="s">
        <v>17</v>
      </c>
      <c r="F7666" s="9" t="s">
        <v>133</v>
      </c>
      <c r="G7666" s="9" t="s">
        <v>134</v>
      </c>
      <c r="H7666" s="11" t="s">
        <v>21</v>
      </c>
      <c r="I7666" s="12" t="n">
        <v>51</v>
      </c>
      <c r="J7666" s="13" t="n">
        <v>115</v>
      </c>
      <c r="K7666" s="14" t="n">
        <f aca="false">I7666*J7666</f>
        <v>5865</v>
      </c>
      <c r="L7666" s="14" t="n">
        <f aca="false">($L$2*M7666)/100</f>
        <v>672933.24</v>
      </c>
      <c r="M7666" s="15" t="n">
        <v>0.56</v>
      </c>
      <c r="N7666" s="9" t="s">
        <v>85</v>
      </c>
    </row>
    <row r="7667" customFormat="false" ht="14.25" hidden="false" customHeight="true" outlineLevel="0" collapsed="false">
      <c r="B7667" s="9" t="s">
        <v>63</v>
      </c>
      <c r="C7667" s="9" t="n">
        <v>1185732</v>
      </c>
      <c r="D7667" s="10" t="n">
        <v>44387</v>
      </c>
      <c r="E7667" s="9" t="s">
        <v>17</v>
      </c>
      <c r="F7667" s="9" t="s">
        <v>133</v>
      </c>
      <c r="G7667" s="9" t="s">
        <v>134</v>
      </c>
      <c r="H7667" s="11" t="s">
        <v>22</v>
      </c>
      <c r="I7667" s="12" t="n">
        <v>46</v>
      </c>
      <c r="J7667" s="13" t="n">
        <v>98</v>
      </c>
      <c r="K7667" s="14" t="n">
        <f aca="false">I7667*J7667</f>
        <v>4508</v>
      </c>
      <c r="L7667" s="14" t="n">
        <f aca="false">($L$2*M7667)/100</f>
        <v>576799.92</v>
      </c>
      <c r="M7667" s="15" t="n">
        <v>0.48</v>
      </c>
      <c r="N7667" s="9" t="s">
        <v>85</v>
      </c>
    </row>
    <row r="7668" customFormat="false" ht="14.25" hidden="false" customHeight="true" outlineLevel="0" collapsed="false">
      <c r="B7668" s="9" t="s">
        <v>63</v>
      </c>
      <c r="C7668" s="9" t="n">
        <v>1185732</v>
      </c>
      <c r="D7668" s="10" t="n">
        <v>44387</v>
      </c>
      <c r="E7668" s="9" t="s">
        <v>17</v>
      </c>
      <c r="F7668" s="9" t="s">
        <v>133</v>
      </c>
      <c r="G7668" s="9" t="s">
        <v>134</v>
      </c>
      <c r="H7668" s="11" t="s">
        <v>23</v>
      </c>
      <c r="I7668" s="12" t="n">
        <v>46</v>
      </c>
      <c r="J7668" s="13" t="n">
        <v>90</v>
      </c>
      <c r="K7668" s="14" t="n">
        <f aca="false">I7668*J7668</f>
        <v>4140</v>
      </c>
      <c r="L7668" s="14" t="n">
        <f aca="false">($L$2*M7668)/100</f>
        <v>588816.585</v>
      </c>
      <c r="M7668" s="15" t="n">
        <v>0.49</v>
      </c>
      <c r="N7668" s="9" t="s">
        <v>85</v>
      </c>
    </row>
    <row r="7669" customFormat="false" ht="14.25" hidden="false" customHeight="true" outlineLevel="0" collapsed="false">
      <c r="B7669" s="9" t="s">
        <v>63</v>
      </c>
      <c r="C7669" s="9" t="n">
        <v>1185732</v>
      </c>
      <c r="D7669" s="10" t="n">
        <v>44387</v>
      </c>
      <c r="E7669" s="9" t="s">
        <v>17</v>
      </c>
      <c r="F7669" s="9" t="s">
        <v>133</v>
      </c>
      <c r="G7669" s="9" t="s">
        <v>134</v>
      </c>
      <c r="H7669" s="11" t="s">
        <v>24</v>
      </c>
      <c r="I7669" s="12" t="n">
        <v>54</v>
      </c>
      <c r="J7669" s="13" t="n">
        <v>94</v>
      </c>
      <c r="K7669" s="14" t="n">
        <f aca="false">I7669*J7669</f>
        <v>5076</v>
      </c>
      <c r="L7669" s="14" t="n">
        <f aca="false">($L$2*M7669)/100</f>
        <v>564783.255</v>
      </c>
      <c r="M7669" s="15" t="n">
        <v>0.47</v>
      </c>
      <c r="N7669" s="9" t="s">
        <v>85</v>
      </c>
    </row>
    <row r="7670" customFormat="false" ht="14.25" hidden="false" customHeight="true" outlineLevel="0" collapsed="false">
      <c r="B7670" s="9" t="s">
        <v>63</v>
      </c>
      <c r="C7670" s="9" t="n">
        <v>1185732</v>
      </c>
      <c r="D7670" s="10" t="n">
        <v>44387</v>
      </c>
      <c r="E7670" s="9" t="s">
        <v>17</v>
      </c>
      <c r="F7670" s="9" t="s">
        <v>133</v>
      </c>
      <c r="G7670" s="9" t="s">
        <v>134</v>
      </c>
      <c r="H7670" s="11" t="s">
        <v>25</v>
      </c>
      <c r="I7670" s="12" t="n">
        <v>61</v>
      </c>
      <c r="J7670" s="13" t="n">
        <v>125</v>
      </c>
      <c r="K7670" s="14" t="n">
        <f aca="false">I7670*J7670</f>
        <v>7625</v>
      </c>
      <c r="L7670" s="14" t="n">
        <f aca="false">($L$2*M7670)/100</f>
        <v>624866.58</v>
      </c>
      <c r="M7670" s="15" t="n">
        <v>0.52</v>
      </c>
      <c r="N7670" s="9" t="s">
        <v>85</v>
      </c>
    </row>
    <row r="7671" customFormat="false" ht="14.25" hidden="false" customHeight="true" outlineLevel="0" collapsed="false">
      <c r="B7671" s="9" t="s">
        <v>63</v>
      </c>
      <c r="C7671" s="9" t="n">
        <v>1185732</v>
      </c>
      <c r="D7671" s="10" t="n">
        <v>44419</v>
      </c>
      <c r="E7671" s="9" t="s">
        <v>17</v>
      </c>
      <c r="F7671" s="9" t="s">
        <v>133</v>
      </c>
      <c r="G7671" s="9" t="s">
        <v>134</v>
      </c>
      <c r="H7671" s="11" t="s">
        <v>19</v>
      </c>
      <c r="I7671" s="12" t="n">
        <v>58</v>
      </c>
      <c r="J7671" s="13" t="n">
        <v>176</v>
      </c>
      <c r="K7671" s="14" t="n">
        <f aca="false">I7671*J7671</f>
        <v>10208</v>
      </c>
      <c r="L7671" s="14" t="n">
        <f aca="false">($L$2*M7671)/100</f>
        <v>720999.9</v>
      </c>
      <c r="M7671" s="15" t="n">
        <v>0.6</v>
      </c>
      <c r="N7671" s="9" t="s">
        <v>85</v>
      </c>
    </row>
    <row r="7672" customFormat="false" ht="14.25" hidden="false" customHeight="true" outlineLevel="0" collapsed="false">
      <c r="B7672" s="9" t="s">
        <v>63</v>
      </c>
      <c r="C7672" s="9" t="n">
        <v>1185732</v>
      </c>
      <c r="D7672" s="10" t="n">
        <v>44419</v>
      </c>
      <c r="E7672" s="9" t="s">
        <v>17</v>
      </c>
      <c r="F7672" s="9" t="s">
        <v>133</v>
      </c>
      <c r="G7672" s="9" t="s">
        <v>134</v>
      </c>
      <c r="H7672" s="11" t="s">
        <v>21</v>
      </c>
      <c r="I7672" s="12" t="n">
        <v>53</v>
      </c>
      <c r="J7672" s="13" t="n">
        <v>106</v>
      </c>
      <c r="K7672" s="14" t="n">
        <f aca="false">I7672*J7672</f>
        <v>5618</v>
      </c>
      <c r="L7672" s="14" t="n">
        <f aca="false">($L$2*M7672)/100</f>
        <v>708983.235</v>
      </c>
      <c r="M7672" s="15" t="n">
        <v>0.59</v>
      </c>
      <c r="N7672" s="9" t="s">
        <v>85</v>
      </c>
    </row>
    <row r="7673" customFormat="false" ht="14.25" hidden="false" customHeight="true" outlineLevel="0" collapsed="false">
      <c r="B7673" s="9" t="s">
        <v>63</v>
      </c>
      <c r="C7673" s="9" t="n">
        <v>1185732</v>
      </c>
      <c r="D7673" s="10" t="n">
        <v>44419</v>
      </c>
      <c r="E7673" s="9" t="s">
        <v>17</v>
      </c>
      <c r="F7673" s="9" t="s">
        <v>133</v>
      </c>
      <c r="G7673" s="9" t="s">
        <v>134</v>
      </c>
      <c r="H7673" s="11" t="s">
        <v>22</v>
      </c>
      <c r="I7673" s="12" t="n">
        <v>48</v>
      </c>
      <c r="J7673" s="13" t="n">
        <v>105</v>
      </c>
      <c r="K7673" s="14" t="n">
        <f aca="false">I7673*J7673</f>
        <v>5040</v>
      </c>
      <c r="L7673" s="14" t="n">
        <f aca="false">($L$2*M7673)/100</f>
        <v>552766.59</v>
      </c>
      <c r="M7673" s="15" t="n">
        <v>0.46</v>
      </c>
      <c r="N7673" s="9" t="s">
        <v>85</v>
      </c>
    </row>
    <row r="7674" customFormat="false" ht="14.25" hidden="false" customHeight="true" outlineLevel="0" collapsed="false">
      <c r="B7674" s="9" t="s">
        <v>63</v>
      </c>
      <c r="C7674" s="9" t="n">
        <v>1185732</v>
      </c>
      <c r="D7674" s="10" t="n">
        <v>44419</v>
      </c>
      <c r="E7674" s="9" t="s">
        <v>17</v>
      </c>
      <c r="F7674" s="9" t="s">
        <v>133</v>
      </c>
      <c r="G7674" s="9" t="s">
        <v>134</v>
      </c>
      <c r="H7674" s="11" t="s">
        <v>23</v>
      </c>
      <c r="I7674" s="12" t="n">
        <v>49</v>
      </c>
      <c r="J7674" s="13" t="n">
        <v>68</v>
      </c>
      <c r="K7674" s="14" t="n">
        <f aca="false">I7674*J7674</f>
        <v>3332</v>
      </c>
      <c r="L7674" s="14" t="n">
        <f aca="false">($L$2*M7674)/100</f>
        <v>564783.255</v>
      </c>
      <c r="M7674" s="15" t="n">
        <v>0.47</v>
      </c>
      <c r="N7674" s="9" t="s">
        <v>85</v>
      </c>
    </row>
    <row r="7675" customFormat="false" ht="14.25" hidden="false" customHeight="true" outlineLevel="0" collapsed="false">
      <c r="B7675" s="9" t="s">
        <v>63</v>
      </c>
      <c r="C7675" s="9" t="n">
        <v>1185732</v>
      </c>
      <c r="D7675" s="10" t="n">
        <v>44419</v>
      </c>
      <c r="E7675" s="9" t="s">
        <v>17</v>
      </c>
      <c r="F7675" s="9" t="s">
        <v>133</v>
      </c>
      <c r="G7675" s="9" t="s">
        <v>134</v>
      </c>
      <c r="H7675" s="11" t="s">
        <v>24</v>
      </c>
      <c r="I7675" s="12" t="n">
        <v>57</v>
      </c>
      <c r="J7675" s="13" t="n">
        <v>65</v>
      </c>
      <c r="K7675" s="14" t="n">
        <f aca="false">I7675*J7675</f>
        <v>3705</v>
      </c>
      <c r="L7675" s="14" t="n">
        <f aca="false">($L$2*M7675)/100</f>
        <v>588816.585</v>
      </c>
      <c r="M7675" s="15" t="n">
        <v>0.49</v>
      </c>
      <c r="N7675" s="9" t="s">
        <v>85</v>
      </c>
    </row>
    <row r="7676" customFormat="false" ht="14.25" hidden="false" customHeight="true" outlineLevel="0" collapsed="false">
      <c r="B7676" s="9" t="s">
        <v>63</v>
      </c>
      <c r="C7676" s="9" t="n">
        <v>1185732</v>
      </c>
      <c r="D7676" s="10" t="n">
        <v>44419</v>
      </c>
      <c r="E7676" s="9" t="s">
        <v>17</v>
      </c>
      <c r="F7676" s="9" t="s">
        <v>133</v>
      </c>
      <c r="G7676" s="9" t="s">
        <v>134</v>
      </c>
      <c r="H7676" s="11" t="s">
        <v>25</v>
      </c>
      <c r="I7676" s="12" t="n">
        <v>61</v>
      </c>
      <c r="J7676" s="13" t="n">
        <v>104</v>
      </c>
      <c r="K7676" s="14" t="n">
        <f aca="false">I7676*J7676</f>
        <v>6344</v>
      </c>
      <c r="L7676" s="14" t="n">
        <f aca="false">($L$2*M7676)/100</f>
        <v>612849.915</v>
      </c>
      <c r="M7676" s="15" t="n">
        <v>0.51</v>
      </c>
      <c r="N7676" s="9" t="s">
        <v>85</v>
      </c>
    </row>
    <row r="7677" customFormat="false" ht="14.25" hidden="false" customHeight="true" outlineLevel="0" collapsed="false">
      <c r="B7677" s="9" t="s">
        <v>63</v>
      </c>
      <c r="C7677" s="9" t="n">
        <v>1185732</v>
      </c>
      <c r="D7677" s="10" t="n">
        <v>44449</v>
      </c>
      <c r="E7677" s="9" t="s">
        <v>17</v>
      </c>
      <c r="F7677" s="9" t="s">
        <v>133</v>
      </c>
      <c r="G7677" s="9" t="s">
        <v>134</v>
      </c>
      <c r="H7677" s="11" t="s">
        <v>19</v>
      </c>
      <c r="I7677" s="12" t="n">
        <v>56</v>
      </c>
      <c r="J7677" s="13" t="n">
        <v>137</v>
      </c>
      <c r="K7677" s="14" t="n">
        <f aca="false">I7677*J7677</f>
        <v>7672</v>
      </c>
      <c r="L7677" s="14" t="n">
        <f aca="false">($L$2*M7677)/100</f>
        <v>684949.905</v>
      </c>
      <c r="M7677" s="15" t="n">
        <v>0.57</v>
      </c>
      <c r="N7677" s="9" t="s">
        <v>85</v>
      </c>
    </row>
    <row r="7678" customFormat="false" ht="14.25" hidden="false" customHeight="true" outlineLevel="0" collapsed="false">
      <c r="B7678" s="9" t="s">
        <v>63</v>
      </c>
      <c r="C7678" s="9" t="n">
        <v>1185732</v>
      </c>
      <c r="D7678" s="10" t="n">
        <v>44449</v>
      </c>
      <c r="E7678" s="9" t="s">
        <v>17</v>
      </c>
      <c r="F7678" s="9" t="s">
        <v>133</v>
      </c>
      <c r="G7678" s="9" t="s">
        <v>134</v>
      </c>
      <c r="H7678" s="11" t="s">
        <v>21</v>
      </c>
      <c r="I7678" s="12" t="n">
        <v>50</v>
      </c>
      <c r="J7678" s="13" t="n">
        <v>85</v>
      </c>
      <c r="K7678" s="14" t="n">
        <f aca="false">I7678*J7678</f>
        <v>4250</v>
      </c>
      <c r="L7678" s="14" t="n">
        <f aca="false">($L$2*M7678)/100</f>
        <v>720999.9</v>
      </c>
      <c r="M7678" s="15" t="n">
        <v>0.6</v>
      </c>
      <c r="N7678" s="9" t="s">
        <v>85</v>
      </c>
    </row>
    <row r="7679" customFormat="false" ht="14.25" hidden="false" customHeight="true" outlineLevel="0" collapsed="false">
      <c r="B7679" s="9" t="s">
        <v>63</v>
      </c>
      <c r="C7679" s="9" t="n">
        <v>1185732</v>
      </c>
      <c r="D7679" s="10" t="n">
        <v>44449</v>
      </c>
      <c r="E7679" s="9" t="s">
        <v>17</v>
      </c>
      <c r="F7679" s="9" t="s">
        <v>133</v>
      </c>
      <c r="G7679" s="9" t="s">
        <v>134</v>
      </c>
      <c r="H7679" s="11" t="s">
        <v>22</v>
      </c>
      <c r="I7679" s="12" t="n">
        <v>46</v>
      </c>
      <c r="J7679" s="13" t="n">
        <v>56</v>
      </c>
      <c r="K7679" s="14" t="n">
        <f aca="false">I7679*J7679</f>
        <v>2576</v>
      </c>
      <c r="L7679" s="14" t="n">
        <f aca="false">($L$2*M7679)/100</f>
        <v>600833.25</v>
      </c>
      <c r="M7679" s="15" t="n">
        <v>0.5</v>
      </c>
      <c r="N7679" s="9" t="s">
        <v>85</v>
      </c>
    </row>
    <row r="7680" customFormat="false" ht="14.25" hidden="false" customHeight="true" outlineLevel="0" collapsed="false">
      <c r="B7680" s="9" t="s">
        <v>63</v>
      </c>
      <c r="C7680" s="9" t="n">
        <v>1185732</v>
      </c>
      <c r="D7680" s="10" t="n">
        <v>44449</v>
      </c>
      <c r="E7680" s="9" t="s">
        <v>17</v>
      </c>
      <c r="F7680" s="9" t="s">
        <v>133</v>
      </c>
      <c r="G7680" s="9" t="s">
        <v>134</v>
      </c>
      <c r="H7680" s="11" t="s">
        <v>23</v>
      </c>
      <c r="I7680" s="12" t="n">
        <v>45</v>
      </c>
      <c r="J7680" s="13" t="n">
        <v>52</v>
      </c>
      <c r="K7680" s="14" t="n">
        <f aca="false">I7680*J7680</f>
        <v>2340</v>
      </c>
      <c r="L7680" s="14" t="n">
        <f aca="false">($L$2*M7680)/100</f>
        <v>588816.585</v>
      </c>
      <c r="M7680" s="15" t="n">
        <v>0.49</v>
      </c>
      <c r="N7680" s="9" t="s">
        <v>85</v>
      </c>
    </row>
    <row r="7681" customFormat="false" ht="14.25" hidden="false" customHeight="true" outlineLevel="0" collapsed="false">
      <c r="B7681" s="9" t="s">
        <v>63</v>
      </c>
      <c r="C7681" s="9" t="n">
        <v>1185732</v>
      </c>
      <c r="D7681" s="10" t="n">
        <v>44449</v>
      </c>
      <c r="E7681" s="9" t="s">
        <v>17</v>
      </c>
      <c r="F7681" s="9" t="s">
        <v>133</v>
      </c>
      <c r="G7681" s="9" t="s">
        <v>134</v>
      </c>
      <c r="H7681" s="11" t="s">
        <v>24</v>
      </c>
      <c r="I7681" s="12" t="n">
        <v>58</v>
      </c>
      <c r="J7681" s="13" t="n">
        <v>50</v>
      </c>
      <c r="K7681" s="14" t="n">
        <f aca="false">I7681*J7681</f>
        <v>2900</v>
      </c>
      <c r="L7681" s="14" t="n">
        <f aca="false">($L$2*M7681)/100</f>
        <v>564783.255</v>
      </c>
      <c r="M7681" s="15" t="n">
        <v>0.47</v>
      </c>
      <c r="N7681" s="9" t="s">
        <v>85</v>
      </c>
    </row>
    <row r="7682" customFormat="false" ht="14.25" hidden="false" customHeight="true" outlineLevel="0" collapsed="false">
      <c r="B7682" s="9" t="s">
        <v>63</v>
      </c>
      <c r="C7682" s="9" t="n">
        <v>1185732</v>
      </c>
      <c r="D7682" s="10" t="n">
        <v>44449</v>
      </c>
      <c r="E7682" s="9" t="s">
        <v>17</v>
      </c>
      <c r="F7682" s="9" t="s">
        <v>133</v>
      </c>
      <c r="G7682" s="9" t="s">
        <v>134</v>
      </c>
      <c r="H7682" s="11" t="s">
        <v>25</v>
      </c>
      <c r="I7682" s="12" t="n">
        <v>59</v>
      </c>
      <c r="J7682" s="13" t="n">
        <v>78</v>
      </c>
      <c r="K7682" s="14" t="n">
        <f aca="false">I7682*J7682</f>
        <v>4602</v>
      </c>
      <c r="L7682" s="14" t="n">
        <f aca="false">($L$2*M7682)/100</f>
        <v>660916.575</v>
      </c>
      <c r="M7682" s="15" t="n">
        <v>0.55</v>
      </c>
      <c r="N7682" s="9" t="s">
        <v>85</v>
      </c>
    </row>
    <row r="7683" customFormat="false" ht="14.25" hidden="false" customHeight="true" outlineLevel="0" collapsed="false">
      <c r="B7683" s="9" t="s">
        <v>63</v>
      </c>
      <c r="C7683" s="9" t="n">
        <v>1185732</v>
      </c>
      <c r="D7683" s="10" t="n">
        <v>44481</v>
      </c>
      <c r="E7683" s="9" t="s">
        <v>17</v>
      </c>
      <c r="F7683" s="9" t="s">
        <v>133</v>
      </c>
      <c r="G7683" s="9" t="s">
        <v>134</v>
      </c>
      <c r="H7683" s="11" t="s">
        <v>19</v>
      </c>
      <c r="I7683" s="12" t="n">
        <v>62</v>
      </c>
      <c r="J7683" s="13" t="n">
        <v>133</v>
      </c>
      <c r="K7683" s="14" t="n">
        <f aca="false">I7683*J7683</f>
        <v>8246</v>
      </c>
      <c r="L7683" s="14" t="n">
        <f aca="false">($L$2*M7683)/100</f>
        <v>720999.9</v>
      </c>
      <c r="M7683" s="15" t="n">
        <v>0.6</v>
      </c>
      <c r="N7683" s="9" t="s">
        <v>85</v>
      </c>
    </row>
    <row r="7684" customFormat="false" ht="14.25" hidden="false" customHeight="true" outlineLevel="0" collapsed="false">
      <c r="B7684" s="9" t="s">
        <v>63</v>
      </c>
      <c r="C7684" s="9" t="n">
        <v>1185732</v>
      </c>
      <c r="D7684" s="10" t="n">
        <v>44481</v>
      </c>
      <c r="E7684" s="9" t="s">
        <v>17</v>
      </c>
      <c r="F7684" s="9" t="s">
        <v>133</v>
      </c>
      <c r="G7684" s="9" t="s">
        <v>134</v>
      </c>
      <c r="H7684" s="11" t="s">
        <v>21</v>
      </c>
      <c r="I7684" s="12" t="n">
        <v>54</v>
      </c>
      <c r="J7684" s="13" t="n">
        <v>75</v>
      </c>
      <c r="K7684" s="14" t="n">
        <f aca="false">I7684*J7684</f>
        <v>4050</v>
      </c>
      <c r="L7684" s="14" t="n">
        <f aca="false">($L$2*M7684)/100</f>
        <v>708983.235</v>
      </c>
      <c r="M7684" s="15" t="n">
        <v>0.59</v>
      </c>
      <c r="N7684" s="9" t="s">
        <v>85</v>
      </c>
    </row>
    <row r="7685" customFormat="false" ht="14.25" hidden="false" customHeight="true" outlineLevel="0" collapsed="false">
      <c r="B7685" s="9" t="s">
        <v>63</v>
      </c>
      <c r="C7685" s="9" t="n">
        <v>1185732</v>
      </c>
      <c r="D7685" s="10" t="n">
        <v>44481</v>
      </c>
      <c r="E7685" s="9" t="s">
        <v>17</v>
      </c>
      <c r="F7685" s="9" t="s">
        <v>133</v>
      </c>
      <c r="G7685" s="9" t="s">
        <v>134</v>
      </c>
      <c r="H7685" s="11" t="s">
        <v>22</v>
      </c>
      <c r="I7685" s="12" t="n">
        <v>59</v>
      </c>
      <c r="J7685" s="13" t="n">
        <v>54</v>
      </c>
      <c r="K7685" s="14" t="n">
        <f aca="false">I7685*J7685</f>
        <v>3186</v>
      </c>
      <c r="L7685" s="14" t="n">
        <f aca="false">($L$2*M7685)/100</f>
        <v>600833.25</v>
      </c>
      <c r="M7685" s="15" t="n">
        <v>0.5</v>
      </c>
      <c r="N7685" s="9" t="s">
        <v>85</v>
      </c>
    </row>
    <row r="7686" customFormat="false" ht="14.25" hidden="false" customHeight="true" outlineLevel="0" collapsed="false">
      <c r="B7686" s="9" t="s">
        <v>63</v>
      </c>
      <c r="C7686" s="9" t="n">
        <v>1185732</v>
      </c>
      <c r="D7686" s="10" t="n">
        <v>44481</v>
      </c>
      <c r="E7686" s="9" t="s">
        <v>17</v>
      </c>
      <c r="F7686" s="9" t="s">
        <v>133</v>
      </c>
      <c r="G7686" s="9" t="s">
        <v>134</v>
      </c>
      <c r="H7686" s="11" t="s">
        <v>23</v>
      </c>
      <c r="I7686" s="12" t="n">
        <v>55</v>
      </c>
      <c r="J7686" s="13" t="n">
        <v>46</v>
      </c>
      <c r="K7686" s="14" t="n">
        <f aca="false">I7686*J7686</f>
        <v>2530</v>
      </c>
      <c r="L7686" s="14" t="n">
        <f aca="false">($L$2*M7686)/100</f>
        <v>576799.92</v>
      </c>
      <c r="M7686" s="15" t="n">
        <v>0.48</v>
      </c>
      <c r="N7686" s="9" t="s">
        <v>85</v>
      </c>
    </row>
    <row r="7687" customFormat="false" ht="14.25" hidden="false" customHeight="true" outlineLevel="0" collapsed="false">
      <c r="B7687" s="9" t="s">
        <v>63</v>
      </c>
      <c r="C7687" s="9" t="n">
        <v>1185732</v>
      </c>
      <c r="D7687" s="10" t="n">
        <v>44481</v>
      </c>
      <c r="E7687" s="9" t="s">
        <v>17</v>
      </c>
      <c r="F7687" s="9" t="s">
        <v>133</v>
      </c>
      <c r="G7687" s="9" t="s">
        <v>134</v>
      </c>
      <c r="H7687" s="11" t="s">
        <v>24</v>
      </c>
      <c r="I7687" s="12" t="n">
        <v>66</v>
      </c>
      <c r="J7687" s="13" t="n">
        <v>51</v>
      </c>
      <c r="K7687" s="14" t="n">
        <f aca="false">I7687*J7687</f>
        <v>3366</v>
      </c>
      <c r="L7687" s="14" t="n">
        <f aca="false">($L$2*M7687)/100</f>
        <v>576799.92</v>
      </c>
      <c r="M7687" s="15" t="n">
        <v>0.48</v>
      </c>
      <c r="N7687" s="9" t="s">
        <v>85</v>
      </c>
    </row>
    <row r="7688" customFormat="false" ht="14.25" hidden="false" customHeight="true" outlineLevel="0" collapsed="false">
      <c r="B7688" s="9" t="s">
        <v>32</v>
      </c>
      <c r="C7688" s="9" t="n">
        <v>1185732</v>
      </c>
      <c r="D7688" s="10" t="n">
        <v>44481</v>
      </c>
      <c r="E7688" s="9" t="s">
        <v>17</v>
      </c>
      <c r="F7688" s="9" t="s">
        <v>133</v>
      </c>
      <c r="G7688" s="9" t="s">
        <v>134</v>
      </c>
      <c r="H7688" s="11" t="s">
        <v>25</v>
      </c>
      <c r="I7688" s="12" t="n">
        <v>71</v>
      </c>
      <c r="J7688" s="13" t="n">
        <v>81</v>
      </c>
      <c r="K7688" s="14" t="n">
        <f aca="false">I7688*J7688</f>
        <v>5751</v>
      </c>
      <c r="L7688" s="14" t="n">
        <f aca="false">($L$2*M7688)/100</f>
        <v>636883.245</v>
      </c>
      <c r="M7688" s="15" t="n">
        <v>0.53</v>
      </c>
      <c r="N7688" s="9" t="s">
        <v>85</v>
      </c>
    </row>
    <row r="7689" customFormat="false" ht="14.25" hidden="false" customHeight="true" outlineLevel="0" collapsed="false">
      <c r="B7689" s="9" t="s">
        <v>32</v>
      </c>
      <c r="C7689" s="9" t="n">
        <v>1185732</v>
      </c>
      <c r="D7689" s="10" t="n">
        <v>44511</v>
      </c>
      <c r="E7689" s="9" t="s">
        <v>17</v>
      </c>
      <c r="F7689" s="9" t="s">
        <v>133</v>
      </c>
      <c r="G7689" s="9" t="s">
        <v>134</v>
      </c>
      <c r="H7689" s="11" t="s">
        <v>19</v>
      </c>
      <c r="I7689" s="12" t="n">
        <v>64</v>
      </c>
      <c r="J7689" s="13" t="n">
        <v>126</v>
      </c>
      <c r="K7689" s="14" t="n">
        <f aca="false">I7689*J7689</f>
        <v>8064</v>
      </c>
      <c r="L7689" s="14" t="n">
        <f aca="false">($L$2*M7689)/100</f>
        <v>720999.9</v>
      </c>
      <c r="M7689" s="15" t="n">
        <v>0.6</v>
      </c>
      <c r="N7689" s="9" t="s">
        <v>85</v>
      </c>
    </row>
    <row r="7690" customFormat="false" ht="14.25" hidden="false" customHeight="true" outlineLevel="0" collapsed="false">
      <c r="B7690" s="9" t="s">
        <v>32</v>
      </c>
      <c r="C7690" s="9" t="n">
        <v>1185732</v>
      </c>
      <c r="D7690" s="10" t="n">
        <v>44511</v>
      </c>
      <c r="E7690" s="9" t="s">
        <v>17</v>
      </c>
      <c r="F7690" s="9" t="s">
        <v>133</v>
      </c>
      <c r="G7690" s="9" t="s">
        <v>134</v>
      </c>
      <c r="H7690" s="11" t="s">
        <v>21</v>
      </c>
      <c r="I7690" s="12" t="n">
        <v>55</v>
      </c>
      <c r="J7690" s="13" t="n">
        <v>81</v>
      </c>
      <c r="K7690" s="14" t="n">
        <f aca="false">I7690*J7690</f>
        <v>4455</v>
      </c>
      <c r="L7690" s="14" t="n">
        <f aca="false">($L$2*M7690)/100</f>
        <v>696966.57</v>
      </c>
      <c r="M7690" s="15" t="n">
        <v>0.58</v>
      </c>
      <c r="N7690" s="9" t="s">
        <v>85</v>
      </c>
    </row>
    <row r="7691" customFormat="false" ht="14.25" hidden="false" customHeight="true" outlineLevel="0" collapsed="false">
      <c r="B7691" s="9" t="s">
        <v>32</v>
      </c>
      <c r="C7691" s="9" t="n">
        <v>1185732</v>
      </c>
      <c r="D7691" s="10" t="n">
        <v>44511</v>
      </c>
      <c r="E7691" s="9" t="s">
        <v>17</v>
      </c>
      <c r="F7691" s="9" t="s">
        <v>133</v>
      </c>
      <c r="G7691" s="9" t="s">
        <v>134</v>
      </c>
      <c r="H7691" s="11" t="s">
        <v>22</v>
      </c>
      <c r="I7691" s="12" t="n">
        <v>57</v>
      </c>
      <c r="J7691" s="13" t="n">
        <v>96</v>
      </c>
      <c r="K7691" s="14" t="n">
        <f aca="false">I7691*J7691</f>
        <v>5472</v>
      </c>
      <c r="L7691" s="14" t="n">
        <f aca="false">($L$2*M7691)/100</f>
        <v>576799.92</v>
      </c>
      <c r="M7691" s="15" t="n">
        <v>0.48</v>
      </c>
      <c r="N7691" s="9" t="s">
        <v>85</v>
      </c>
    </row>
    <row r="7692" customFormat="false" ht="14.25" hidden="false" customHeight="true" outlineLevel="0" collapsed="false">
      <c r="B7692" s="9" t="s">
        <v>63</v>
      </c>
      <c r="C7692" s="9" t="n">
        <v>1185732</v>
      </c>
      <c r="D7692" s="10" t="n">
        <v>44511</v>
      </c>
      <c r="E7692" s="9" t="s">
        <v>17</v>
      </c>
      <c r="F7692" s="9" t="s">
        <v>133</v>
      </c>
      <c r="G7692" s="9" t="s">
        <v>134</v>
      </c>
      <c r="H7692" s="11" t="s">
        <v>23</v>
      </c>
      <c r="I7692" s="12" t="n">
        <v>55</v>
      </c>
      <c r="J7692" s="13" t="n">
        <v>75</v>
      </c>
      <c r="K7692" s="14" t="n">
        <f aca="false">I7692*J7692</f>
        <v>4125</v>
      </c>
      <c r="L7692" s="14" t="n">
        <f aca="false">($L$2*M7692)/100</f>
        <v>600833.25</v>
      </c>
      <c r="M7692" s="15" t="n">
        <v>0.5</v>
      </c>
      <c r="N7692" s="9" t="s">
        <v>85</v>
      </c>
    </row>
    <row r="7693" customFormat="false" ht="14.25" hidden="false" customHeight="true" outlineLevel="0" collapsed="false">
      <c r="B7693" s="9" t="s">
        <v>63</v>
      </c>
      <c r="C7693" s="9" t="n">
        <v>1185732</v>
      </c>
      <c r="D7693" s="10" t="n">
        <v>44511</v>
      </c>
      <c r="E7693" s="9" t="s">
        <v>17</v>
      </c>
      <c r="F7693" s="9" t="s">
        <v>133</v>
      </c>
      <c r="G7693" s="9" t="s">
        <v>134</v>
      </c>
      <c r="H7693" s="11" t="s">
        <v>24</v>
      </c>
      <c r="I7693" s="12" t="n">
        <v>67</v>
      </c>
      <c r="J7693" s="13" t="n">
        <v>80</v>
      </c>
      <c r="K7693" s="14" t="n">
        <f aca="false">I7693*J7693</f>
        <v>5360</v>
      </c>
      <c r="L7693" s="14" t="n">
        <f aca="false">($L$2*M7693)/100</f>
        <v>600833.25</v>
      </c>
      <c r="M7693" s="15" t="n">
        <v>0.5</v>
      </c>
      <c r="N7693" s="9" t="s">
        <v>85</v>
      </c>
    </row>
    <row r="7694" customFormat="false" ht="14.25" hidden="false" customHeight="true" outlineLevel="0" collapsed="false">
      <c r="B7694" s="9" t="s">
        <v>63</v>
      </c>
      <c r="C7694" s="9" t="n">
        <v>1185732</v>
      </c>
      <c r="D7694" s="10" t="n">
        <v>44511</v>
      </c>
      <c r="E7694" s="9" t="s">
        <v>17</v>
      </c>
      <c r="F7694" s="9" t="s">
        <v>133</v>
      </c>
      <c r="G7694" s="9" t="s">
        <v>134</v>
      </c>
      <c r="H7694" s="11" t="s">
        <v>25</v>
      </c>
      <c r="I7694" s="12" t="n">
        <v>70</v>
      </c>
      <c r="J7694" s="13" t="n">
        <v>94</v>
      </c>
      <c r="K7694" s="14" t="n">
        <f aca="false">I7694*J7694</f>
        <v>6580</v>
      </c>
      <c r="L7694" s="14" t="n">
        <f aca="false">($L$2*M7694)/100</f>
        <v>636883.245</v>
      </c>
      <c r="M7694" s="15" t="n">
        <v>0.53</v>
      </c>
      <c r="N7694" s="9" t="s">
        <v>85</v>
      </c>
    </row>
    <row r="7695" customFormat="false" ht="14.25" hidden="false" customHeight="true" outlineLevel="0" collapsed="false">
      <c r="B7695" s="9" t="s">
        <v>63</v>
      </c>
      <c r="C7695" s="9" t="n">
        <v>1185732</v>
      </c>
      <c r="D7695" s="10" t="n">
        <v>44540</v>
      </c>
      <c r="E7695" s="9" t="s">
        <v>17</v>
      </c>
      <c r="F7695" s="9" t="s">
        <v>133</v>
      </c>
      <c r="G7695" s="9" t="s">
        <v>134</v>
      </c>
      <c r="H7695" s="11" t="s">
        <v>19</v>
      </c>
      <c r="I7695" s="12" t="n">
        <v>64</v>
      </c>
      <c r="J7695" s="13" t="n">
        <v>168</v>
      </c>
      <c r="K7695" s="14" t="n">
        <f aca="false">I7695*J7695</f>
        <v>10752</v>
      </c>
      <c r="L7695" s="14" t="n">
        <f aca="false">($L$2*M7695)/100</f>
        <v>720999.9</v>
      </c>
      <c r="M7695" s="15" t="n">
        <v>0.6</v>
      </c>
      <c r="N7695" s="9" t="s">
        <v>85</v>
      </c>
    </row>
    <row r="7696" customFormat="false" ht="14.25" hidden="false" customHeight="true" outlineLevel="0" collapsed="false">
      <c r="B7696" s="9" t="s">
        <v>63</v>
      </c>
      <c r="C7696" s="9" t="n">
        <v>1185732</v>
      </c>
      <c r="D7696" s="10" t="n">
        <v>44540</v>
      </c>
      <c r="E7696" s="9" t="s">
        <v>17</v>
      </c>
      <c r="F7696" s="9" t="s">
        <v>133</v>
      </c>
      <c r="G7696" s="9" t="s">
        <v>134</v>
      </c>
      <c r="H7696" s="11" t="s">
        <v>21</v>
      </c>
      <c r="I7696" s="12" t="n">
        <v>55</v>
      </c>
      <c r="J7696" s="13" t="n">
        <v>100</v>
      </c>
      <c r="K7696" s="14" t="n">
        <f aca="false">I7696*J7696</f>
        <v>5500</v>
      </c>
      <c r="L7696" s="14" t="n">
        <f aca="false">($L$2*M7696)/100</f>
        <v>660916.575</v>
      </c>
      <c r="M7696" s="15" t="n">
        <v>0.55</v>
      </c>
      <c r="N7696" s="9" t="s">
        <v>85</v>
      </c>
    </row>
    <row r="7697" customFormat="false" ht="14.25" hidden="false" customHeight="true" outlineLevel="0" collapsed="false">
      <c r="B7697" s="9" t="s">
        <v>63</v>
      </c>
      <c r="C7697" s="9" t="n">
        <v>1185732</v>
      </c>
      <c r="D7697" s="10" t="n">
        <v>44540</v>
      </c>
      <c r="E7697" s="9" t="s">
        <v>17</v>
      </c>
      <c r="F7697" s="9" t="s">
        <v>133</v>
      </c>
      <c r="G7697" s="9" t="s">
        <v>134</v>
      </c>
      <c r="H7697" s="11" t="s">
        <v>22</v>
      </c>
      <c r="I7697" s="12" t="n">
        <v>55</v>
      </c>
      <c r="J7697" s="13" t="n">
        <v>113</v>
      </c>
      <c r="K7697" s="14" t="n">
        <f aca="false">I7697*J7697</f>
        <v>6215</v>
      </c>
      <c r="L7697" s="14" t="n">
        <f aca="false">($L$2*M7697)/100</f>
        <v>564783.255</v>
      </c>
      <c r="M7697" s="15" t="n">
        <v>0.47</v>
      </c>
      <c r="N7697" s="9" t="s">
        <v>85</v>
      </c>
    </row>
    <row r="7698" customFormat="false" ht="14.25" hidden="false" customHeight="true" outlineLevel="0" collapsed="false">
      <c r="B7698" s="9" t="s">
        <v>63</v>
      </c>
      <c r="C7698" s="9" t="n">
        <v>1185732</v>
      </c>
      <c r="D7698" s="10" t="n">
        <v>44540</v>
      </c>
      <c r="E7698" s="9" t="s">
        <v>17</v>
      </c>
      <c r="F7698" s="9" t="s">
        <v>133</v>
      </c>
      <c r="G7698" s="9" t="s">
        <v>134</v>
      </c>
      <c r="H7698" s="11" t="s">
        <v>23</v>
      </c>
      <c r="I7698" s="12" t="n">
        <v>56</v>
      </c>
      <c r="J7698" s="13" t="n">
        <v>81</v>
      </c>
      <c r="K7698" s="14" t="n">
        <f aca="false">I7698*J7698</f>
        <v>4536</v>
      </c>
      <c r="L7698" s="14" t="n">
        <f aca="false">($L$2*M7698)/100</f>
        <v>540749.925</v>
      </c>
      <c r="M7698" s="15" t="n">
        <v>0.45</v>
      </c>
      <c r="N7698" s="9" t="s">
        <v>85</v>
      </c>
    </row>
    <row r="7699" customFormat="false" ht="14.25" hidden="false" customHeight="true" outlineLevel="0" collapsed="false">
      <c r="B7699" s="9" t="s">
        <v>63</v>
      </c>
      <c r="C7699" s="9" t="n">
        <v>1185732</v>
      </c>
      <c r="D7699" s="10" t="n">
        <v>44540</v>
      </c>
      <c r="E7699" s="9" t="s">
        <v>17</v>
      </c>
      <c r="F7699" s="9" t="s">
        <v>133</v>
      </c>
      <c r="G7699" s="9" t="s">
        <v>134</v>
      </c>
      <c r="H7699" s="11" t="s">
        <v>24</v>
      </c>
      <c r="I7699" s="12" t="n">
        <v>67</v>
      </c>
      <c r="J7699" s="13" t="n">
        <v>81</v>
      </c>
      <c r="K7699" s="14" t="n">
        <f aca="false">I7699*J7699</f>
        <v>5427</v>
      </c>
      <c r="L7699" s="14" t="n">
        <f aca="false">($L$2*M7699)/100</f>
        <v>576799.92</v>
      </c>
      <c r="M7699" s="15" t="n">
        <v>0.48</v>
      </c>
      <c r="N7699" s="9" t="s">
        <v>85</v>
      </c>
    </row>
    <row r="7700" customFormat="false" ht="14.25" hidden="false" customHeight="true" outlineLevel="0" collapsed="false">
      <c r="B7700" s="9" t="s">
        <v>63</v>
      </c>
      <c r="C7700" s="9" t="n">
        <v>1185732</v>
      </c>
      <c r="D7700" s="10" t="n">
        <v>44540</v>
      </c>
      <c r="E7700" s="9" t="s">
        <v>17</v>
      </c>
      <c r="F7700" s="9" t="s">
        <v>133</v>
      </c>
      <c r="G7700" s="9" t="s">
        <v>134</v>
      </c>
      <c r="H7700" s="11" t="s">
        <v>25</v>
      </c>
      <c r="I7700" s="12" t="n">
        <v>68</v>
      </c>
      <c r="J7700" s="13" t="n">
        <v>106</v>
      </c>
      <c r="K7700" s="14" t="n">
        <f aca="false">I7700*J7700</f>
        <v>7208</v>
      </c>
      <c r="L7700" s="14" t="n">
        <f aca="false">($L$2*M7700)/100</f>
        <v>624866.58</v>
      </c>
      <c r="M7700" s="15" t="n">
        <v>0.52</v>
      </c>
      <c r="N7700" s="9" t="s">
        <v>85</v>
      </c>
    </row>
    <row r="7701" customFormat="false" ht="14.25" hidden="false" customHeight="true" outlineLevel="0" collapsed="false">
      <c r="B7701" s="9" t="s">
        <v>63</v>
      </c>
      <c r="C7701" s="9" t="n">
        <v>1185732</v>
      </c>
      <c r="D7701" s="10" t="n">
        <v>44217</v>
      </c>
      <c r="E7701" s="9" t="s">
        <v>17</v>
      </c>
      <c r="F7701" s="9" t="s">
        <v>133</v>
      </c>
      <c r="G7701" s="9" t="s">
        <v>134</v>
      </c>
      <c r="H7701" s="11" t="s">
        <v>19</v>
      </c>
      <c r="I7701" s="12" t="n">
        <v>49</v>
      </c>
      <c r="J7701" s="13" t="n">
        <v>131</v>
      </c>
      <c r="K7701" s="14" t="n">
        <f aca="false">I7701*J7701</f>
        <v>6419</v>
      </c>
      <c r="L7701" s="14" t="n">
        <f aca="false">($L$2*M7701)/100</f>
        <v>660916.575</v>
      </c>
      <c r="M7701" s="15" t="n">
        <v>0.55</v>
      </c>
      <c r="N7701" s="9" t="s">
        <v>85</v>
      </c>
    </row>
    <row r="7702" customFormat="false" ht="14.25" hidden="false" customHeight="true" outlineLevel="0" collapsed="false">
      <c r="B7702" s="9" t="s">
        <v>63</v>
      </c>
      <c r="C7702" s="9" t="n">
        <v>1185732</v>
      </c>
      <c r="D7702" s="10" t="n">
        <v>44217</v>
      </c>
      <c r="E7702" s="9" t="s">
        <v>17</v>
      </c>
      <c r="F7702" s="9" t="s">
        <v>133</v>
      </c>
      <c r="G7702" s="9" t="s">
        <v>134</v>
      </c>
      <c r="H7702" s="11" t="s">
        <v>21</v>
      </c>
      <c r="I7702" s="12" t="n">
        <v>45</v>
      </c>
      <c r="J7702" s="13" t="n">
        <v>91</v>
      </c>
      <c r="K7702" s="14" t="n">
        <f aca="false">I7702*J7702</f>
        <v>4095</v>
      </c>
      <c r="L7702" s="14" t="n">
        <f aca="false">($L$2*M7702)/100</f>
        <v>636883.245</v>
      </c>
      <c r="M7702" s="15" t="n">
        <v>0.53</v>
      </c>
      <c r="N7702" s="9" t="s">
        <v>85</v>
      </c>
    </row>
    <row r="7703" customFormat="false" ht="14.25" hidden="false" customHeight="true" outlineLevel="0" collapsed="false">
      <c r="B7703" s="9" t="s">
        <v>63</v>
      </c>
      <c r="C7703" s="9" t="n">
        <v>1185732</v>
      </c>
      <c r="D7703" s="10" t="n">
        <v>44217</v>
      </c>
      <c r="E7703" s="9" t="s">
        <v>17</v>
      </c>
      <c r="F7703" s="9" t="s">
        <v>133</v>
      </c>
      <c r="G7703" s="9" t="s">
        <v>134</v>
      </c>
      <c r="H7703" s="11" t="s">
        <v>22</v>
      </c>
      <c r="I7703" s="12" t="n">
        <v>38</v>
      </c>
      <c r="J7703" s="13" t="n">
        <v>81</v>
      </c>
      <c r="K7703" s="14" t="n">
        <f aca="false">I7703*J7703</f>
        <v>3078</v>
      </c>
      <c r="L7703" s="14" t="n">
        <f aca="false">($L$2*M7703)/100</f>
        <v>540749.925</v>
      </c>
      <c r="M7703" s="15" t="n">
        <v>0.45</v>
      </c>
      <c r="N7703" s="9" t="s">
        <v>85</v>
      </c>
    </row>
    <row r="7704" customFormat="false" ht="14.25" hidden="false" customHeight="true" outlineLevel="0" collapsed="false">
      <c r="B7704" s="9" t="s">
        <v>63</v>
      </c>
      <c r="C7704" s="9" t="n">
        <v>1185732</v>
      </c>
      <c r="D7704" s="10" t="n">
        <v>44217</v>
      </c>
      <c r="E7704" s="9" t="s">
        <v>17</v>
      </c>
      <c r="F7704" s="9" t="s">
        <v>133</v>
      </c>
      <c r="G7704" s="9" t="s">
        <v>134</v>
      </c>
      <c r="H7704" s="11" t="s">
        <v>23</v>
      </c>
      <c r="I7704" s="12" t="n">
        <v>43</v>
      </c>
      <c r="J7704" s="13" t="n">
        <v>46</v>
      </c>
      <c r="K7704" s="14" t="n">
        <f aca="false">I7704*J7704</f>
        <v>1978</v>
      </c>
      <c r="L7704" s="14" t="n">
        <f aca="false">($L$2*M7704)/100</f>
        <v>480666.6</v>
      </c>
      <c r="M7704" s="15" t="n">
        <v>0.4</v>
      </c>
      <c r="N7704" s="9" t="s">
        <v>85</v>
      </c>
    </row>
    <row r="7705" customFormat="false" ht="14.25" hidden="false" customHeight="true" outlineLevel="0" collapsed="false">
      <c r="B7705" s="9" t="s">
        <v>63</v>
      </c>
      <c r="C7705" s="9" t="n">
        <v>1185732</v>
      </c>
      <c r="D7705" s="10" t="n">
        <v>44217</v>
      </c>
      <c r="E7705" s="9" t="s">
        <v>17</v>
      </c>
      <c r="F7705" s="9" t="s">
        <v>133</v>
      </c>
      <c r="G7705" s="9" t="s">
        <v>134</v>
      </c>
      <c r="H7705" s="11" t="s">
        <v>24</v>
      </c>
      <c r="I7705" s="12" t="n">
        <v>59</v>
      </c>
      <c r="J7705" s="13" t="n">
        <v>56</v>
      </c>
      <c r="K7705" s="14" t="n">
        <f aca="false">I7705*J7705</f>
        <v>3304</v>
      </c>
      <c r="L7705" s="14" t="n">
        <f aca="false">($L$2*M7705)/100</f>
        <v>528733.26</v>
      </c>
      <c r="M7705" s="15" t="n">
        <v>0.44</v>
      </c>
      <c r="N7705" s="9" t="s">
        <v>85</v>
      </c>
    </row>
    <row r="7706" customFormat="false" ht="14.25" hidden="false" customHeight="true" outlineLevel="0" collapsed="false">
      <c r="B7706" s="9" t="s">
        <v>63</v>
      </c>
      <c r="C7706" s="9" t="n">
        <v>1185732</v>
      </c>
      <c r="D7706" s="10" t="n">
        <v>44217</v>
      </c>
      <c r="E7706" s="9" t="s">
        <v>17</v>
      </c>
      <c r="F7706" s="9" t="s">
        <v>133</v>
      </c>
      <c r="G7706" s="9" t="s">
        <v>134</v>
      </c>
      <c r="H7706" s="11" t="s">
        <v>25</v>
      </c>
      <c r="I7706" s="12" t="n">
        <v>49</v>
      </c>
      <c r="J7706" s="13" t="n">
        <v>88</v>
      </c>
      <c r="K7706" s="14" t="n">
        <f aca="false">I7706*J7706</f>
        <v>4312</v>
      </c>
      <c r="L7706" s="14" t="n">
        <f aca="false">($L$2*M7706)/100</f>
        <v>540749.925</v>
      </c>
      <c r="M7706" s="15" t="n">
        <v>0.45</v>
      </c>
      <c r="N7706" s="9" t="s">
        <v>85</v>
      </c>
    </row>
    <row r="7707" customFormat="false" ht="14.25" hidden="false" customHeight="true" outlineLevel="0" collapsed="false">
      <c r="B7707" s="9" t="s">
        <v>63</v>
      </c>
      <c r="C7707" s="9" t="n">
        <v>1185732</v>
      </c>
      <c r="D7707" s="10" t="n">
        <v>44246</v>
      </c>
      <c r="E7707" s="9" t="s">
        <v>17</v>
      </c>
      <c r="F7707" s="9" t="s">
        <v>133</v>
      </c>
      <c r="G7707" s="9" t="s">
        <v>134</v>
      </c>
      <c r="H7707" s="11" t="s">
        <v>19</v>
      </c>
      <c r="I7707" s="12" t="n">
        <v>49</v>
      </c>
      <c r="J7707" s="13" t="n">
        <v>180</v>
      </c>
      <c r="K7707" s="14" t="n">
        <f aca="false">I7707*J7707</f>
        <v>8820</v>
      </c>
      <c r="L7707" s="14" t="n">
        <f aca="false">($L$2*M7707)/100</f>
        <v>636883.245</v>
      </c>
      <c r="M7707" s="15" t="n">
        <v>0.53</v>
      </c>
      <c r="N7707" s="9" t="s">
        <v>85</v>
      </c>
    </row>
    <row r="7708" customFormat="false" ht="14.25" hidden="false" customHeight="true" outlineLevel="0" collapsed="false">
      <c r="B7708" s="9" t="s">
        <v>63</v>
      </c>
      <c r="C7708" s="9" t="n">
        <v>1185732</v>
      </c>
      <c r="D7708" s="10" t="n">
        <v>44246</v>
      </c>
      <c r="E7708" s="9" t="s">
        <v>17</v>
      </c>
      <c r="F7708" s="9" t="s">
        <v>133</v>
      </c>
      <c r="G7708" s="9" t="s">
        <v>134</v>
      </c>
      <c r="H7708" s="11" t="s">
        <v>21</v>
      </c>
      <c r="I7708" s="12" t="n">
        <v>45</v>
      </c>
      <c r="J7708" s="13" t="n">
        <v>75</v>
      </c>
      <c r="K7708" s="14" t="n">
        <f aca="false">I7708*J7708</f>
        <v>3375</v>
      </c>
      <c r="L7708" s="14" t="n">
        <f aca="false">($L$2*M7708)/100</f>
        <v>612849.915</v>
      </c>
      <c r="M7708" s="15" t="n">
        <v>0.51</v>
      </c>
      <c r="N7708" s="9" t="s">
        <v>85</v>
      </c>
    </row>
    <row r="7709" customFormat="false" ht="14.25" hidden="false" customHeight="true" outlineLevel="0" collapsed="false">
      <c r="B7709" s="9" t="s">
        <v>63</v>
      </c>
      <c r="C7709" s="9" t="n">
        <v>1185732</v>
      </c>
      <c r="D7709" s="10" t="n">
        <v>44246</v>
      </c>
      <c r="E7709" s="9" t="s">
        <v>17</v>
      </c>
      <c r="F7709" s="9" t="s">
        <v>133</v>
      </c>
      <c r="G7709" s="9" t="s">
        <v>134</v>
      </c>
      <c r="H7709" s="11" t="s">
        <v>22</v>
      </c>
      <c r="I7709" s="12" t="n">
        <v>39</v>
      </c>
      <c r="J7709" s="13" t="n">
        <v>90</v>
      </c>
      <c r="K7709" s="14" t="n">
        <f aca="false">I7709*J7709</f>
        <v>3510</v>
      </c>
      <c r="L7709" s="14" t="n">
        <f aca="false">($L$2*M7709)/100</f>
        <v>528733.26</v>
      </c>
      <c r="M7709" s="15" t="n">
        <v>0.44</v>
      </c>
      <c r="N7709" s="9" t="s">
        <v>85</v>
      </c>
    </row>
    <row r="7710" customFormat="false" ht="14.25" hidden="false" customHeight="true" outlineLevel="0" collapsed="false">
      <c r="B7710" s="9" t="s">
        <v>63</v>
      </c>
      <c r="C7710" s="9" t="n">
        <v>1185732</v>
      </c>
      <c r="D7710" s="10" t="n">
        <v>44246</v>
      </c>
      <c r="E7710" s="9" t="s">
        <v>17</v>
      </c>
      <c r="F7710" s="9" t="s">
        <v>135</v>
      </c>
      <c r="G7710" s="9" t="s">
        <v>136</v>
      </c>
      <c r="H7710" s="11" t="s">
        <v>23</v>
      </c>
      <c r="I7710" s="12" t="n">
        <v>42</v>
      </c>
      <c r="J7710" s="13" t="n">
        <v>58</v>
      </c>
      <c r="K7710" s="14" t="n">
        <f aca="false">I7710*J7710</f>
        <v>2436</v>
      </c>
      <c r="L7710" s="14" t="n">
        <f aca="false">($L$2*M7710)/100</f>
        <v>516716.595</v>
      </c>
      <c r="M7710" s="15" t="n">
        <v>0.43</v>
      </c>
      <c r="N7710" s="9" t="s">
        <v>85</v>
      </c>
    </row>
    <row r="7711" customFormat="false" ht="14.25" hidden="false" customHeight="true" outlineLevel="0" collapsed="false">
      <c r="B7711" s="9" t="s">
        <v>63</v>
      </c>
      <c r="C7711" s="9" t="n">
        <v>1185732</v>
      </c>
      <c r="D7711" s="10" t="n">
        <v>44246</v>
      </c>
      <c r="E7711" s="9" t="s">
        <v>17</v>
      </c>
      <c r="F7711" s="9" t="s">
        <v>135</v>
      </c>
      <c r="G7711" s="9" t="s">
        <v>136</v>
      </c>
      <c r="H7711" s="11" t="s">
        <v>24</v>
      </c>
      <c r="I7711" s="12" t="n">
        <v>56</v>
      </c>
      <c r="J7711" s="13" t="n">
        <v>83</v>
      </c>
      <c r="K7711" s="14" t="n">
        <f aca="false">I7711*J7711</f>
        <v>4648</v>
      </c>
      <c r="L7711" s="14" t="n">
        <f aca="false">($L$2*M7711)/100</f>
        <v>516716.595</v>
      </c>
      <c r="M7711" s="15" t="n">
        <v>0.43</v>
      </c>
      <c r="N7711" s="9" t="s">
        <v>85</v>
      </c>
    </row>
    <row r="7712" customFormat="false" ht="14.25" hidden="false" customHeight="true" outlineLevel="0" collapsed="false">
      <c r="B7712" s="9" t="s">
        <v>63</v>
      </c>
      <c r="C7712" s="9" t="n">
        <v>1185732</v>
      </c>
      <c r="D7712" s="10" t="n">
        <v>44246</v>
      </c>
      <c r="E7712" s="9" t="s">
        <v>17</v>
      </c>
      <c r="F7712" s="9" t="s">
        <v>135</v>
      </c>
      <c r="G7712" s="9" t="s">
        <v>136</v>
      </c>
      <c r="H7712" s="11" t="s">
        <v>25</v>
      </c>
      <c r="I7712" s="12" t="n">
        <v>46</v>
      </c>
      <c r="J7712" s="13" t="n">
        <v>98</v>
      </c>
      <c r="K7712" s="14" t="n">
        <f aca="false">I7712*J7712</f>
        <v>4508</v>
      </c>
      <c r="L7712" s="14" t="n">
        <f aca="false">($L$2*M7712)/100</f>
        <v>576799.92</v>
      </c>
      <c r="M7712" s="15" t="n">
        <v>0.48</v>
      </c>
      <c r="N7712" s="9" t="s">
        <v>85</v>
      </c>
    </row>
    <row r="7713" customFormat="false" ht="14.25" hidden="false" customHeight="true" outlineLevel="0" collapsed="false">
      <c r="B7713" s="9" t="s">
        <v>63</v>
      </c>
      <c r="C7713" s="9" t="n">
        <v>1185732</v>
      </c>
      <c r="D7713" s="10" t="n">
        <v>44272</v>
      </c>
      <c r="E7713" s="9" t="s">
        <v>17</v>
      </c>
      <c r="F7713" s="9" t="s">
        <v>135</v>
      </c>
      <c r="G7713" s="9" t="s">
        <v>136</v>
      </c>
      <c r="H7713" s="11" t="s">
        <v>19</v>
      </c>
      <c r="I7713" s="12" t="n">
        <v>49</v>
      </c>
      <c r="J7713" s="13" t="n">
        <v>165</v>
      </c>
      <c r="K7713" s="14" t="n">
        <f aca="false">I7713*J7713</f>
        <v>8085</v>
      </c>
      <c r="L7713" s="14" t="n">
        <f aca="false">($L$2*M7713)/100</f>
        <v>600833.25</v>
      </c>
      <c r="M7713" s="15" t="n">
        <v>0.5</v>
      </c>
      <c r="N7713" s="9" t="s">
        <v>85</v>
      </c>
    </row>
    <row r="7714" customFormat="false" ht="14.25" hidden="false" customHeight="true" outlineLevel="0" collapsed="false">
      <c r="B7714" s="9" t="s">
        <v>63</v>
      </c>
      <c r="C7714" s="9" t="n">
        <v>1185732</v>
      </c>
      <c r="D7714" s="10" t="n">
        <v>44272</v>
      </c>
      <c r="E7714" s="9" t="s">
        <v>17</v>
      </c>
      <c r="F7714" s="9" t="s">
        <v>135</v>
      </c>
      <c r="G7714" s="9" t="s">
        <v>136</v>
      </c>
      <c r="H7714" s="11" t="s">
        <v>21</v>
      </c>
      <c r="I7714" s="12" t="n">
        <v>49</v>
      </c>
      <c r="J7714" s="13" t="n">
        <v>69</v>
      </c>
      <c r="K7714" s="14" t="n">
        <f aca="false">I7714*J7714</f>
        <v>3381</v>
      </c>
      <c r="L7714" s="14" t="n">
        <f aca="false">($L$2*M7714)/100</f>
        <v>612849.915</v>
      </c>
      <c r="M7714" s="15" t="n">
        <v>0.51</v>
      </c>
      <c r="N7714" s="9" t="s">
        <v>85</v>
      </c>
    </row>
    <row r="7715" customFormat="false" ht="14.25" hidden="false" customHeight="true" outlineLevel="0" collapsed="false">
      <c r="B7715" s="9" t="s">
        <v>63</v>
      </c>
      <c r="C7715" s="9" t="n">
        <v>1185732</v>
      </c>
      <c r="D7715" s="10" t="n">
        <v>44272</v>
      </c>
      <c r="E7715" s="9" t="s">
        <v>17</v>
      </c>
      <c r="F7715" s="9" t="s">
        <v>135</v>
      </c>
      <c r="G7715" s="9" t="s">
        <v>136</v>
      </c>
      <c r="H7715" s="11" t="s">
        <v>22</v>
      </c>
      <c r="I7715" s="12" t="n">
        <v>38</v>
      </c>
      <c r="J7715" s="13" t="n">
        <v>75</v>
      </c>
      <c r="K7715" s="14" t="n">
        <f aca="false">I7715*J7715</f>
        <v>2850</v>
      </c>
      <c r="L7715" s="14" t="n">
        <f aca="false">($L$2*M7715)/100</f>
        <v>492683.265</v>
      </c>
      <c r="M7715" s="15" t="n">
        <v>0.41</v>
      </c>
      <c r="N7715" s="9" t="s">
        <v>85</v>
      </c>
    </row>
    <row r="7716" customFormat="false" ht="14.25" hidden="false" customHeight="true" outlineLevel="0" collapsed="false">
      <c r="B7716" s="9" t="s">
        <v>63</v>
      </c>
      <c r="C7716" s="9" t="n">
        <v>1185732</v>
      </c>
      <c r="D7716" s="10" t="n">
        <v>44272</v>
      </c>
      <c r="E7716" s="9" t="s">
        <v>17</v>
      </c>
      <c r="F7716" s="9" t="s">
        <v>135</v>
      </c>
      <c r="G7716" s="9" t="s">
        <v>136</v>
      </c>
      <c r="H7716" s="11" t="s">
        <v>23</v>
      </c>
      <c r="I7716" s="12" t="n">
        <v>44</v>
      </c>
      <c r="J7716" s="13" t="n">
        <v>38</v>
      </c>
      <c r="K7716" s="14" t="n">
        <f aca="false">I7716*J7716</f>
        <v>1672</v>
      </c>
      <c r="L7716" s="14" t="n">
        <f aca="false">($L$2*M7716)/100</f>
        <v>504699.93</v>
      </c>
      <c r="M7716" s="15" t="n">
        <v>0.42</v>
      </c>
      <c r="N7716" s="9" t="s">
        <v>85</v>
      </c>
    </row>
    <row r="7717" customFormat="false" ht="14.25" hidden="false" customHeight="true" outlineLevel="0" collapsed="false">
      <c r="B7717" s="9" t="s">
        <v>63</v>
      </c>
      <c r="C7717" s="9" t="n">
        <v>1185732</v>
      </c>
      <c r="D7717" s="10" t="n">
        <v>44272</v>
      </c>
      <c r="E7717" s="9" t="s">
        <v>17</v>
      </c>
      <c r="F7717" s="9" t="s">
        <v>135</v>
      </c>
      <c r="G7717" s="9" t="s">
        <v>136</v>
      </c>
      <c r="H7717" s="11" t="s">
        <v>24</v>
      </c>
      <c r="I7717" s="12" t="n">
        <v>58</v>
      </c>
      <c r="J7717" s="13" t="n">
        <v>60</v>
      </c>
      <c r="K7717" s="14" t="n">
        <f aca="false">I7717*J7717</f>
        <v>3480</v>
      </c>
      <c r="L7717" s="14" t="n">
        <f aca="false">($L$2*M7717)/100</f>
        <v>540749.925</v>
      </c>
      <c r="M7717" s="15" t="n">
        <v>0.45</v>
      </c>
      <c r="N7717" s="9" t="s">
        <v>85</v>
      </c>
    </row>
    <row r="7718" customFormat="false" ht="14.25" hidden="false" customHeight="true" outlineLevel="0" collapsed="false">
      <c r="B7718" s="9" t="s">
        <v>63</v>
      </c>
      <c r="C7718" s="9" t="n">
        <v>1185732</v>
      </c>
      <c r="D7718" s="10" t="n">
        <v>44272</v>
      </c>
      <c r="E7718" s="9" t="s">
        <v>17</v>
      </c>
      <c r="F7718" s="9" t="s">
        <v>135</v>
      </c>
      <c r="G7718" s="9" t="s">
        <v>136</v>
      </c>
      <c r="H7718" s="11" t="s">
        <v>25</v>
      </c>
      <c r="I7718" s="12" t="n">
        <v>45</v>
      </c>
      <c r="J7718" s="13" t="n">
        <v>75</v>
      </c>
      <c r="K7718" s="14" t="n">
        <f aca="false">I7718*J7718</f>
        <v>3375</v>
      </c>
      <c r="L7718" s="14" t="n">
        <f aca="false">($L$2*M7718)/100</f>
        <v>564783.255</v>
      </c>
      <c r="M7718" s="15" t="n">
        <v>0.47</v>
      </c>
      <c r="N7718" s="9" t="s">
        <v>85</v>
      </c>
    </row>
    <row r="7719" customFormat="false" ht="14.25" hidden="false" customHeight="true" outlineLevel="0" collapsed="false">
      <c r="B7719" s="9" t="s">
        <v>63</v>
      </c>
      <c r="C7719" s="9" t="n">
        <v>1185732</v>
      </c>
      <c r="D7719" s="10" t="n">
        <v>44304</v>
      </c>
      <c r="E7719" s="9" t="s">
        <v>17</v>
      </c>
      <c r="F7719" s="9" t="s">
        <v>135</v>
      </c>
      <c r="G7719" s="9" t="s">
        <v>136</v>
      </c>
      <c r="H7719" s="11" t="s">
        <v>19</v>
      </c>
      <c r="I7719" s="12" t="n">
        <v>48</v>
      </c>
      <c r="J7719" s="13" t="n">
        <v>154</v>
      </c>
      <c r="K7719" s="14" t="n">
        <f aca="false">I7719*J7719</f>
        <v>7392</v>
      </c>
      <c r="L7719" s="14" t="n">
        <f aca="false">($L$2*M7719)/100</f>
        <v>636883.245</v>
      </c>
      <c r="M7719" s="15" t="n">
        <v>0.53</v>
      </c>
      <c r="N7719" s="9" t="s">
        <v>85</v>
      </c>
    </row>
    <row r="7720" customFormat="false" ht="14.25" hidden="false" customHeight="true" outlineLevel="0" collapsed="false">
      <c r="B7720" s="9" t="s">
        <v>63</v>
      </c>
      <c r="C7720" s="9" t="n">
        <v>1185732</v>
      </c>
      <c r="D7720" s="10" t="n">
        <v>44304</v>
      </c>
      <c r="E7720" s="9" t="s">
        <v>17</v>
      </c>
      <c r="F7720" s="9" t="s">
        <v>135</v>
      </c>
      <c r="G7720" s="9" t="s">
        <v>136</v>
      </c>
      <c r="H7720" s="11" t="s">
        <v>21</v>
      </c>
      <c r="I7720" s="12" t="n">
        <v>49</v>
      </c>
      <c r="J7720" s="13" t="n">
        <v>68</v>
      </c>
      <c r="K7720" s="14" t="n">
        <f aca="false">I7720*J7720</f>
        <v>3332</v>
      </c>
      <c r="L7720" s="14" t="n">
        <f aca="false">($L$2*M7720)/100</f>
        <v>660916.575</v>
      </c>
      <c r="M7720" s="15" t="n">
        <v>0.55</v>
      </c>
      <c r="N7720" s="9" t="s">
        <v>85</v>
      </c>
    </row>
    <row r="7721" customFormat="false" ht="14.25" hidden="false" customHeight="true" outlineLevel="0" collapsed="false">
      <c r="B7721" s="9" t="s">
        <v>63</v>
      </c>
      <c r="C7721" s="9" t="n">
        <v>1185732</v>
      </c>
      <c r="D7721" s="10" t="n">
        <v>44304</v>
      </c>
      <c r="E7721" s="9" t="s">
        <v>17</v>
      </c>
      <c r="F7721" s="9" t="s">
        <v>135</v>
      </c>
      <c r="G7721" s="9" t="s">
        <v>136</v>
      </c>
      <c r="H7721" s="11" t="s">
        <v>22</v>
      </c>
      <c r="I7721" s="12" t="n">
        <v>38</v>
      </c>
      <c r="J7721" s="13" t="n">
        <v>73</v>
      </c>
      <c r="K7721" s="14" t="n">
        <f aca="false">I7721*J7721</f>
        <v>2774</v>
      </c>
      <c r="L7721" s="14" t="n">
        <f aca="false">($L$2*M7721)/100</f>
        <v>528733.26</v>
      </c>
      <c r="M7721" s="15" t="n">
        <v>0.44</v>
      </c>
      <c r="N7721" s="9" t="s">
        <v>85</v>
      </c>
    </row>
    <row r="7722" customFormat="false" ht="14.25" hidden="false" customHeight="true" outlineLevel="0" collapsed="false">
      <c r="B7722" s="9" t="s">
        <v>63</v>
      </c>
      <c r="C7722" s="9" t="n">
        <v>1185732</v>
      </c>
      <c r="D7722" s="10" t="n">
        <v>44304</v>
      </c>
      <c r="E7722" s="9" t="s">
        <v>17</v>
      </c>
      <c r="F7722" s="9" t="s">
        <v>135</v>
      </c>
      <c r="G7722" s="9" t="s">
        <v>136</v>
      </c>
      <c r="H7722" s="11" t="s">
        <v>23</v>
      </c>
      <c r="I7722" s="12" t="n">
        <v>44</v>
      </c>
      <c r="J7722" s="13" t="n">
        <v>49</v>
      </c>
      <c r="K7722" s="14" t="n">
        <f aca="false">I7722*J7722</f>
        <v>2156</v>
      </c>
      <c r="L7722" s="14" t="n">
        <f aca="false">($L$2*M7722)/100</f>
        <v>492683.265</v>
      </c>
      <c r="M7722" s="15" t="n">
        <v>0.41</v>
      </c>
      <c r="N7722" s="9" t="s">
        <v>85</v>
      </c>
    </row>
    <row r="7723" customFormat="false" ht="14.25" hidden="false" customHeight="true" outlineLevel="0" collapsed="false">
      <c r="B7723" s="9" t="s">
        <v>63</v>
      </c>
      <c r="C7723" s="9" t="n">
        <v>1185732</v>
      </c>
      <c r="D7723" s="10" t="n">
        <v>44304</v>
      </c>
      <c r="E7723" s="9" t="s">
        <v>17</v>
      </c>
      <c r="F7723" s="9" t="s">
        <v>135</v>
      </c>
      <c r="G7723" s="9" t="s">
        <v>136</v>
      </c>
      <c r="H7723" s="11" t="s">
        <v>24</v>
      </c>
      <c r="I7723" s="12" t="n">
        <v>57</v>
      </c>
      <c r="J7723" s="13" t="n">
        <v>53</v>
      </c>
      <c r="K7723" s="14" t="n">
        <f aca="false">I7723*J7723</f>
        <v>3021</v>
      </c>
      <c r="L7723" s="14" t="n">
        <f aca="false">($L$2*M7723)/100</f>
        <v>540749.925</v>
      </c>
      <c r="M7723" s="15" t="n">
        <v>0.45</v>
      </c>
      <c r="N7723" s="9" t="s">
        <v>85</v>
      </c>
    </row>
    <row r="7724" customFormat="false" ht="14.25" hidden="false" customHeight="true" outlineLevel="0" collapsed="false">
      <c r="B7724" s="9" t="s">
        <v>63</v>
      </c>
      <c r="C7724" s="9" t="n">
        <v>1185732</v>
      </c>
      <c r="D7724" s="10" t="n">
        <v>44304</v>
      </c>
      <c r="E7724" s="9" t="s">
        <v>17</v>
      </c>
      <c r="F7724" s="9" t="s">
        <v>135</v>
      </c>
      <c r="G7724" s="9" t="s">
        <v>136</v>
      </c>
      <c r="H7724" s="11" t="s">
        <v>25</v>
      </c>
      <c r="I7724" s="12" t="n">
        <v>46</v>
      </c>
      <c r="J7724" s="13" t="n">
        <v>98</v>
      </c>
      <c r="K7724" s="14" t="n">
        <f aca="false">I7724*J7724</f>
        <v>4508</v>
      </c>
      <c r="L7724" s="14" t="n">
        <f aca="false">($L$2*M7724)/100</f>
        <v>552766.59</v>
      </c>
      <c r="M7724" s="15" t="n">
        <v>0.46</v>
      </c>
      <c r="N7724" s="9" t="s">
        <v>85</v>
      </c>
    </row>
    <row r="7725" customFormat="false" ht="14.25" hidden="false" customHeight="true" outlineLevel="0" collapsed="false">
      <c r="B7725" s="9" t="s">
        <v>63</v>
      </c>
      <c r="C7725" s="9" t="n">
        <v>1185732</v>
      </c>
      <c r="D7725" s="10" t="n">
        <v>44333</v>
      </c>
      <c r="E7725" s="9" t="s">
        <v>17</v>
      </c>
      <c r="F7725" s="9" t="s">
        <v>135</v>
      </c>
      <c r="G7725" s="9" t="s">
        <v>136</v>
      </c>
      <c r="H7725" s="11" t="s">
        <v>19</v>
      </c>
      <c r="I7725" s="12" t="n">
        <v>64</v>
      </c>
      <c r="J7725" s="13" t="n">
        <v>173</v>
      </c>
      <c r="K7725" s="14" t="n">
        <f aca="false">I7725*J7725</f>
        <v>11072</v>
      </c>
      <c r="L7725" s="14" t="n">
        <f aca="false">($L$2*M7725)/100</f>
        <v>636883.245</v>
      </c>
      <c r="M7725" s="15" t="n">
        <v>0.53</v>
      </c>
      <c r="N7725" s="9" t="s">
        <v>85</v>
      </c>
    </row>
    <row r="7726" customFormat="false" ht="14.25" hidden="false" customHeight="true" outlineLevel="0" collapsed="false">
      <c r="B7726" s="9" t="s">
        <v>63</v>
      </c>
      <c r="C7726" s="9" t="n">
        <v>1185732</v>
      </c>
      <c r="D7726" s="10" t="n">
        <v>44333</v>
      </c>
      <c r="E7726" s="9" t="s">
        <v>17</v>
      </c>
      <c r="F7726" s="9" t="s">
        <v>135</v>
      </c>
      <c r="G7726" s="9" t="s">
        <v>136</v>
      </c>
      <c r="H7726" s="11" t="s">
        <v>21</v>
      </c>
      <c r="I7726" s="12" t="n">
        <v>54</v>
      </c>
      <c r="J7726" s="13" t="n">
        <v>87</v>
      </c>
      <c r="K7726" s="14" t="n">
        <f aca="false">I7726*J7726</f>
        <v>4698</v>
      </c>
      <c r="L7726" s="14" t="n">
        <f aca="false">($L$2*M7726)/100</f>
        <v>648899.91</v>
      </c>
      <c r="M7726" s="15" t="n">
        <v>0.54</v>
      </c>
      <c r="N7726" s="9" t="s">
        <v>85</v>
      </c>
    </row>
    <row r="7727" customFormat="false" ht="14.25" hidden="false" customHeight="true" outlineLevel="0" collapsed="false">
      <c r="B7727" s="9" t="s">
        <v>63</v>
      </c>
      <c r="C7727" s="9" t="n">
        <v>1185732</v>
      </c>
      <c r="D7727" s="10" t="n">
        <v>44333</v>
      </c>
      <c r="E7727" s="9" t="s">
        <v>17</v>
      </c>
      <c r="F7727" s="9" t="s">
        <v>135</v>
      </c>
      <c r="G7727" s="9" t="s">
        <v>136</v>
      </c>
      <c r="H7727" s="11" t="s">
        <v>22</v>
      </c>
      <c r="I7727" s="12" t="n">
        <v>51</v>
      </c>
      <c r="J7727" s="13" t="n">
        <v>98</v>
      </c>
      <c r="K7727" s="14" t="n">
        <f aca="false">I7727*J7727</f>
        <v>4998</v>
      </c>
      <c r="L7727" s="14" t="n">
        <f aca="false">($L$2*M7727)/100</f>
        <v>504699.93</v>
      </c>
      <c r="M7727" s="15" t="n">
        <v>0.42</v>
      </c>
      <c r="N7727" s="9" t="s">
        <v>85</v>
      </c>
    </row>
    <row r="7728" customFormat="false" ht="14.25" hidden="false" customHeight="true" outlineLevel="0" collapsed="false">
      <c r="B7728" s="9" t="s">
        <v>63</v>
      </c>
      <c r="C7728" s="9" t="n">
        <v>1185732</v>
      </c>
      <c r="D7728" s="10" t="n">
        <v>44333</v>
      </c>
      <c r="E7728" s="9" t="s">
        <v>17</v>
      </c>
      <c r="F7728" s="9" t="s">
        <v>135</v>
      </c>
      <c r="G7728" s="9" t="s">
        <v>136</v>
      </c>
      <c r="H7728" s="11" t="s">
        <v>23</v>
      </c>
      <c r="I7728" s="12" t="n">
        <v>52</v>
      </c>
      <c r="J7728" s="13" t="n">
        <v>80</v>
      </c>
      <c r="K7728" s="14" t="n">
        <f aca="false">I7728*J7728</f>
        <v>4160</v>
      </c>
      <c r="L7728" s="14" t="n">
        <f aca="false">($L$2*M7728)/100</f>
        <v>480666.6</v>
      </c>
      <c r="M7728" s="15" t="n">
        <v>0.4</v>
      </c>
      <c r="N7728" s="9" t="s">
        <v>85</v>
      </c>
    </row>
    <row r="7729" customFormat="false" ht="14.25" hidden="false" customHeight="true" outlineLevel="0" collapsed="false">
      <c r="B7729" s="9" t="s">
        <v>63</v>
      </c>
      <c r="C7729" s="9" t="n">
        <v>1185732</v>
      </c>
      <c r="D7729" s="10" t="n">
        <v>44333</v>
      </c>
      <c r="E7729" s="9" t="s">
        <v>17</v>
      </c>
      <c r="F7729" s="9" t="s">
        <v>135</v>
      </c>
      <c r="G7729" s="9" t="s">
        <v>136</v>
      </c>
      <c r="H7729" s="11" t="s">
        <v>24</v>
      </c>
      <c r="I7729" s="12" t="n">
        <v>63</v>
      </c>
      <c r="J7729" s="13" t="n">
        <v>78</v>
      </c>
      <c r="K7729" s="14" t="n">
        <f aca="false">I7729*J7729</f>
        <v>4914</v>
      </c>
      <c r="L7729" s="14" t="n">
        <f aca="false">($L$2*M7729)/100</f>
        <v>540749.925</v>
      </c>
      <c r="M7729" s="15" t="n">
        <v>0.45</v>
      </c>
      <c r="N7729" s="9" t="s">
        <v>85</v>
      </c>
    </row>
    <row r="7730" customFormat="false" ht="14.25" hidden="false" customHeight="true" outlineLevel="0" collapsed="false">
      <c r="B7730" s="9" t="s">
        <v>63</v>
      </c>
      <c r="C7730" s="9" t="n">
        <v>1185732</v>
      </c>
      <c r="D7730" s="10" t="n">
        <v>44333</v>
      </c>
      <c r="E7730" s="9" t="s">
        <v>17</v>
      </c>
      <c r="F7730" s="9" t="s">
        <v>135</v>
      </c>
      <c r="G7730" s="9" t="s">
        <v>136</v>
      </c>
      <c r="H7730" s="11" t="s">
        <v>25</v>
      </c>
      <c r="I7730" s="12" t="n">
        <v>65</v>
      </c>
      <c r="J7730" s="13" t="n">
        <v>115</v>
      </c>
      <c r="K7730" s="14" t="n">
        <f aca="false">I7730*J7730</f>
        <v>7475</v>
      </c>
      <c r="L7730" s="14" t="n">
        <f aca="false">($L$2*M7730)/100</f>
        <v>552766.59</v>
      </c>
      <c r="M7730" s="15" t="n">
        <v>0.46</v>
      </c>
      <c r="N7730" s="9" t="s">
        <v>85</v>
      </c>
    </row>
    <row r="7731" customFormat="false" ht="14.25" hidden="false" customHeight="true" outlineLevel="0" collapsed="false">
      <c r="B7731" s="9" t="s">
        <v>63</v>
      </c>
      <c r="C7731" s="9" t="n">
        <v>1185732</v>
      </c>
      <c r="D7731" s="10" t="n">
        <v>44366</v>
      </c>
      <c r="E7731" s="9" t="s">
        <v>17</v>
      </c>
      <c r="F7731" s="9" t="s">
        <v>135</v>
      </c>
      <c r="G7731" s="9" t="s">
        <v>136</v>
      </c>
      <c r="H7731" s="11" t="s">
        <v>19</v>
      </c>
      <c r="I7731" s="12" t="n">
        <v>59</v>
      </c>
      <c r="J7731" s="13" t="n">
        <v>169</v>
      </c>
      <c r="K7731" s="14" t="n">
        <f aca="false">I7731*J7731</f>
        <v>9971</v>
      </c>
      <c r="L7731" s="14" t="n">
        <f aca="false">($L$2*M7731)/100</f>
        <v>636883.245</v>
      </c>
      <c r="M7731" s="15" t="n">
        <v>0.53</v>
      </c>
      <c r="N7731" s="9" t="s">
        <v>85</v>
      </c>
    </row>
    <row r="7732" customFormat="false" ht="14.25" hidden="false" customHeight="true" outlineLevel="0" collapsed="false">
      <c r="B7732" s="9" t="s">
        <v>63</v>
      </c>
      <c r="C7732" s="9" t="n">
        <v>1185732</v>
      </c>
      <c r="D7732" s="10" t="n">
        <v>44366</v>
      </c>
      <c r="E7732" s="9" t="s">
        <v>17</v>
      </c>
      <c r="F7732" s="9" t="s">
        <v>135</v>
      </c>
      <c r="G7732" s="9" t="s">
        <v>136</v>
      </c>
      <c r="H7732" s="11" t="s">
        <v>21</v>
      </c>
      <c r="I7732" s="12" t="n">
        <v>56</v>
      </c>
      <c r="J7732" s="13" t="n">
        <v>123</v>
      </c>
      <c r="K7732" s="14" t="n">
        <f aca="false">I7732*J7732</f>
        <v>6888</v>
      </c>
      <c r="L7732" s="14" t="n">
        <f aca="false">($L$2*M7732)/100</f>
        <v>612849.915</v>
      </c>
      <c r="M7732" s="15" t="n">
        <v>0.51</v>
      </c>
      <c r="N7732" s="9" t="s">
        <v>85</v>
      </c>
    </row>
    <row r="7733" customFormat="false" ht="14.25" hidden="false" customHeight="true" outlineLevel="0" collapsed="false">
      <c r="B7733" s="9" t="s">
        <v>63</v>
      </c>
      <c r="C7733" s="9" t="n">
        <v>1185732</v>
      </c>
      <c r="D7733" s="10" t="n">
        <v>44366</v>
      </c>
      <c r="E7733" s="9" t="s">
        <v>17</v>
      </c>
      <c r="F7733" s="9" t="s">
        <v>135</v>
      </c>
      <c r="G7733" s="9" t="s">
        <v>136</v>
      </c>
      <c r="H7733" s="11" t="s">
        <v>22</v>
      </c>
      <c r="I7733" s="12" t="n">
        <v>53</v>
      </c>
      <c r="J7733" s="13" t="n">
        <v>88</v>
      </c>
      <c r="K7733" s="14" t="n">
        <f aca="false">I7733*J7733</f>
        <v>4664</v>
      </c>
      <c r="L7733" s="14" t="n">
        <f aca="false">($L$2*M7733)/100</f>
        <v>528733.26</v>
      </c>
      <c r="M7733" s="15" t="n">
        <v>0.44</v>
      </c>
      <c r="N7733" s="9" t="s">
        <v>85</v>
      </c>
    </row>
    <row r="7734" customFormat="false" ht="14.25" hidden="false" customHeight="true" outlineLevel="0" collapsed="false">
      <c r="B7734" s="9" t="s">
        <v>63</v>
      </c>
      <c r="C7734" s="9" t="n">
        <v>1185732</v>
      </c>
      <c r="D7734" s="10" t="n">
        <v>44366</v>
      </c>
      <c r="E7734" s="9" t="s">
        <v>17</v>
      </c>
      <c r="F7734" s="9" t="s">
        <v>135</v>
      </c>
      <c r="G7734" s="9" t="s">
        <v>136</v>
      </c>
      <c r="H7734" s="11" t="s">
        <v>23</v>
      </c>
      <c r="I7734" s="12" t="n">
        <v>52</v>
      </c>
      <c r="J7734" s="13" t="n">
        <v>91</v>
      </c>
      <c r="K7734" s="14" t="n">
        <f aca="false">I7734*J7734</f>
        <v>4732</v>
      </c>
      <c r="L7734" s="14" t="n">
        <f aca="false">($L$2*M7734)/100</f>
        <v>504699.93</v>
      </c>
      <c r="M7734" s="15" t="n">
        <v>0.42</v>
      </c>
      <c r="N7734" s="9" t="s">
        <v>85</v>
      </c>
    </row>
    <row r="7735" customFormat="false" ht="14.25" hidden="false" customHeight="true" outlineLevel="0" collapsed="false">
      <c r="B7735" s="9" t="s">
        <v>63</v>
      </c>
      <c r="C7735" s="9" t="n">
        <v>1185732</v>
      </c>
      <c r="D7735" s="10" t="n">
        <v>44366</v>
      </c>
      <c r="E7735" s="9" t="s">
        <v>17</v>
      </c>
      <c r="F7735" s="9" t="s">
        <v>135</v>
      </c>
      <c r="G7735" s="9" t="s">
        <v>136</v>
      </c>
      <c r="H7735" s="11" t="s">
        <v>24</v>
      </c>
      <c r="I7735" s="12" t="n">
        <v>60</v>
      </c>
      <c r="J7735" s="13" t="n">
        <v>94</v>
      </c>
      <c r="K7735" s="14" t="n">
        <f aca="false">I7735*J7735</f>
        <v>5640</v>
      </c>
      <c r="L7735" s="14" t="n">
        <f aca="false">($L$2*M7735)/100</f>
        <v>516716.595</v>
      </c>
      <c r="M7735" s="15" t="n">
        <v>0.43</v>
      </c>
      <c r="N7735" s="9" t="s">
        <v>85</v>
      </c>
    </row>
    <row r="7736" customFormat="false" ht="14.25" hidden="false" customHeight="true" outlineLevel="0" collapsed="false">
      <c r="B7736" s="9" t="s">
        <v>63</v>
      </c>
      <c r="C7736" s="9" t="n">
        <v>1185732</v>
      </c>
      <c r="D7736" s="10" t="n">
        <v>44366</v>
      </c>
      <c r="E7736" s="9" t="s">
        <v>17</v>
      </c>
      <c r="F7736" s="9" t="s">
        <v>135</v>
      </c>
      <c r="G7736" s="9" t="s">
        <v>136</v>
      </c>
      <c r="H7736" s="11" t="s">
        <v>25</v>
      </c>
      <c r="I7736" s="12" t="n">
        <v>66</v>
      </c>
      <c r="J7736" s="13" t="n">
        <v>138</v>
      </c>
      <c r="K7736" s="14" t="n">
        <f aca="false">I7736*J7736</f>
        <v>9108</v>
      </c>
      <c r="L7736" s="14" t="n">
        <f aca="false">($L$2*M7736)/100</f>
        <v>564783.255</v>
      </c>
      <c r="M7736" s="15" t="n">
        <v>0.47</v>
      </c>
      <c r="N7736" s="9" t="s">
        <v>85</v>
      </c>
    </row>
    <row r="7737" customFormat="false" ht="14.25" hidden="false" customHeight="true" outlineLevel="0" collapsed="false">
      <c r="B7737" s="9" t="s">
        <v>63</v>
      </c>
      <c r="C7737" s="9" t="n">
        <v>1185732</v>
      </c>
      <c r="D7737" s="10" t="n">
        <v>44394</v>
      </c>
      <c r="E7737" s="9" t="s">
        <v>17</v>
      </c>
      <c r="F7737" s="9" t="s">
        <v>135</v>
      </c>
      <c r="G7737" s="9" t="s">
        <v>136</v>
      </c>
      <c r="H7737" s="11" t="s">
        <v>19</v>
      </c>
      <c r="I7737" s="12" t="n">
        <v>64</v>
      </c>
      <c r="J7737" s="13" t="n">
        <v>196</v>
      </c>
      <c r="K7737" s="14" t="n">
        <f aca="false">I7737*J7737</f>
        <v>12544</v>
      </c>
      <c r="L7737" s="14" t="n">
        <f aca="false">($L$2*M7737)/100</f>
        <v>636883.245</v>
      </c>
      <c r="M7737" s="15" t="n">
        <v>0.53</v>
      </c>
      <c r="N7737" s="9" t="s">
        <v>85</v>
      </c>
    </row>
    <row r="7738" customFormat="false" ht="14.25" hidden="false" customHeight="true" outlineLevel="0" collapsed="false">
      <c r="B7738" s="9" t="s">
        <v>63</v>
      </c>
      <c r="C7738" s="9" t="n">
        <v>1185732</v>
      </c>
      <c r="D7738" s="10" t="n">
        <v>44394</v>
      </c>
      <c r="E7738" s="9" t="s">
        <v>17</v>
      </c>
      <c r="F7738" s="9" t="s">
        <v>135</v>
      </c>
      <c r="G7738" s="9" t="s">
        <v>136</v>
      </c>
      <c r="H7738" s="11" t="s">
        <v>21</v>
      </c>
      <c r="I7738" s="12" t="n">
        <v>55</v>
      </c>
      <c r="J7738" s="13" t="n">
        <v>131</v>
      </c>
      <c r="K7738" s="14" t="n">
        <f aca="false">I7738*J7738</f>
        <v>7205</v>
      </c>
      <c r="L7738" s="14" t="n">
        <f aca="false">($L$2*M7738)/100</f>
        <v>600833.25</v>
      </c>
      <c r="M7738" s="15" t="n">
        <v>0.5</v>
      </c>
      <c r="N7738" s="9" t="s">
        <v>85</v>
      </c>
    </row>
    <row r="7739" customFormat="false" ht="14.25" hidden="false" customHeight="true" outlineLevel="0" collapsed="false">
      <c r="B7739" s="9" t="s">
        <v>63</v>
      </c>
      <c r="C7739" s="9" t="n">
        <v>1185732</v>
      </c>
      <c r="D7739" s="10" t="n">
        <v>44394</v>
      </c>
      <c r="E7739" s="9" t="s">
        <v>17</v>
      </c>
      <c r="F7739" s="9" t="s">
        <v>135</v>
      </c>
      <c r="G7739" s="9" t="s">
        <v>136</v>
      </c>
      <c r="H7739" s="11" t="s">
        <v>22</v>
      </c>
      <c r="I7739" s="12" t="n">
        <v>54</v>
      </c>
      <c r="J7739" s="13" t="n">
        <v>109</v>
      </c>
      <c r="K7739" s="14" t="n">
        <f aca="false">I7739*J7739</f>
        <v>5886</v>
      </c>
      <c r="L7739" s="14" t="n">
        <f aca="false">($L$2*M7739)/100</f>
        <v>492683.265</v>
      </c>
      <c r="M7739" s="15" t="n">
        <v>0.41</v>
      </c>
      <c r="N7739" s="9" t="s">
        <v>85</v>
      </c>
    </row>
    <row r="7740" customFormat="false" ht="14.25" hidden="false" customHeight="true" outlineLevel="0" collapsed="false">
      <c r="B7740" s="9" t="s">
        <v>63</v>
      </c>
      <c r="C7740" s="9" t="n">
        <v>1185732</v>
      </c>
      <c r="D7740" s="10" t="n">
        <v>44394</v>
      </c>
      <c r="E7740" s="9" t="s">
        <v>17</v>
      </c>
      <c r="F7740" s="9" t="s">
        <v>135</v>
      </c>
      <c r="G7740" s="9" t="s">
        <v>136</v>
      </c>
      <c r="H7740" s="11" t="s">
        <v>23</v>
      </c>
      <c r="I7740" s="12" t="n">
        <v>53</v>
      </c>
      <c r="J7740" s="13" t="n">
        <v>85</v>
      </c>
      <c r="K7740" s="14" t="n">
        <f aca="false">I7740*J7740</f>
        <v>4505</v>
      </c>
      <c r="L7740" s="14" t="n">
        <f aca="false">($L$2*M7740)/100</f>
        <v>528733.26</v>
      </c>
      <c r="M7740" s="15" t="n">
        <v>0.44</v>
      </c>
      <c r="N7740" s="9" t="s">
        <v>85</v>
      </c>
    </row>
    <row r="7741" customFormat="false" ht="14.25" hidden="false" customHeight="true" outlineLevel="0" collapsed="false">
      <c r="B7741" s="9" t="s">
        <v>63</v>
      </c>
      <c r="C7741" s="9" t="n">
        <v>1185732</v>
      </c>
      <c r="D7741" s="10" t="n">
        <v>44394</v>
      </c>
      <c r="E7741" s="9" t="s">
        <v>17</v>
      </c>
      <c r="F7741" s="9" t="s">
        <v>135</v>
      </c>
      <c r="G7741" s="9" t="s">
        <v>136</v>
      </c>
      <c r="H7741" s="11" t="s">
        <v>24</v>
      </c>
      <c r="I7741" s="12" t="n">
        <v>60</v>
      </c>
      <c r="J7741" s="13" t="n">
        <v>102</v>
      </c>
      <c r="K7741" s="14" t="n">
        <f aca="false">I7741*J7741</f>
        <v>6120</v>
      </c>
      <c r="L7741" s="14" t="n">
        <f aca="false">($L$2*M7741)/100</f>
        <v>492683.265</v>
      </c>
      <c r="M7741" s="15" t="n">
        <v>0.41</v>
      </c>
      <c r="N7741" s="9" t="s">
        <v>85</v>
      </c>
    </row>
    <row r="7742" customFormat="false" ht="14.25" hidden="false" customHeight="true" outlineLevel="0" collapsed="false">
      <c r="B7742" s="9" t="s">
        <v>63</v>
      </c>
      <c r="C7742" s="9" t="n">
        <v>1185732</v>
      </c>
      <c r="D7742" s="10" t="n">
        <v>44394</v>
      </c>
      <c r="E7742" s="9" t="s">
        <v>17</v>
      </c>
      <c r="F7742" s="9" t="s">
        <v>135</v>
      </c>
      <c r="G7742" s="9" t="s">
        <v>136</v>
      </c>
      <c r="H7742" s="11" t="s">
        <v>25</v>
      </c>
      <c r="I7742" s="12" t="n">
        <v>64</v>
      </c>
      <c r="J7742" s="13" t="n">
        <v>137</v>
      </c>
      <c r="K7742" s="14" t="n">
        <f aca="false">I7742*J7742</f>
        <v>8768</v>
      </c>
      <c r="L7742" s="14" t="n">
        <f aca="false">($L$2*M7742)/100</f>
        <v>588816.585</v>
      </c>
      <c r="M7742" s="15" t="n">
        <v>0.49</v>
      </c>
      <c r="N7742" s="9" t="s">
        <v>85</v>
      </c>
    </row>
    <row r="7743" customFormat="false" ht="14.25" hidden="false" customHeight="true" outlineLevel="0" collapsed="false">
      <c r="B7743" s="9" t="s">
        <v>63</v>
      </c>
      <c r="C7743" s="9" t="n">
        <v>1185732</v>
      </c>
      <c r="D7743" s="10" t="n">
        <v>44426</v>
      </c>
      <c r="E7743" s="9" t="s">
        <v>17</v>
      </c>
      <c r="F7743" s="9" t="s">
        <v>135</v>
      </c>
      <c r="G7743" s="9" t="s">
        <v>136</v>
      </c>
      <c r="H7743" s="11" t="s">
        <v>19</v>
      </c>
      <c r="I7743" s="12" t="n">
        <v>60</v>
      </c>
      <c r="J7743" s="13" t="n">
        <v>196</v>
      </c>
      <c r="K7743" s="14" t="n">
        <f aca="false">I7743*J7743</f>
        <v>11760</v>
      </c>
      <c r="L7743" s="14" t="n">
        <f aca="false">($L$2*M7743)/100</f>
        <v>612849.915</v>
      </c>
      <c r="M7743" s="15" t="n">
        <v>0.51</v>
      </c>
      <c r="N7743" s="9" t="s">
        <v>85</v>
      </c>
    </row>
    <row r="7744" customFormat="false" ht="14.25" hidden="false" customHeight="true" outlineLevel="0" collapsed="false">
      <c r="B7744" s="9" t="s">
        <v>63</v>
      </c>
      <c r="C7744" s="9" t="n">
        <v>1185732</v>
      </c>
      <c r="D7744" s="10" t="n">
        <v>44426</v>
      </c>
      <c r="E7744" s="9" t="s">
        <v>17</v>
      </c>
      <c r="F7744" s="9" t="s">
        <v>135</v>
      </c>
      <c r="G7744" s="9" t="s">
        <v>136</v>
      </c>
      <c r="H7744" s="11" t="s">
        <v>21</v>
      </c>
      <c r="I7744" s="12" t="n">
        <v>58</v>
      </c>
      <c r="J7744" s="13" t="n">
        <v>135</v>
      </c>
      <c r="K7744" s="14" t="n">
        <f aca="false">I7744*J7744</f>
        <v>7830</v>
      </c>
      <c r="L7744" s="14" t="n">
        <f aca="false">($L$2*M7744)/100</f>
        <v>648899.91</v>
      </c>
      <c r="M7744" s="15" t="n">
        <v>0.54</v>
      </c>
      <c r="N7744" s="9" t="s">
        <v>85</v>
      </c>
    </row>
    <row r="7745" customFormat="false" ht="14.25" hidden="false" customHeight="true" outlineLevel="0" collapsed="false">
      <c r="B7745" s="9" t="s">
        <v>63</v>
      </c>
      <c r="C7745" s="9" t="n">
        <v>1185732</v>
      </c>
      <c r="D7745" s="10" t="n">
        <v>44426</v>
      </c>
      <c r="E7745" s="9" t="s">
        <v>17</v>
      </c>
      <c r="F7745" s="9" t="s">
        <v>135</v>
      </c>
      <c r="G7745" s="9" t="s">
        <v>136</v>
      </c>
      <c r="H7745" s="11" t="s">
        <v>22</v>
      </c>
      <c r="I7745" s="12" t="n">
        <v>52</v>
      </c>
      <c r="J7745" s="13" t="n">
        <v>105</v>
      </c>
      <c r="K7745" s="14" t="n">
        <f aca="false">I7745*J7745</f>
        <v>5460</v>
      </c>
      <c r="L7745" s="14" t="n">
        <f aca="false">($L$2*M7745)/100</f>
        <v>540749.925</v>
      </c>
      <c r="M7745" s="15" t="n">
        <v>0.45</v>
      </c>
      <c r="N7745" s="9" t="s">
        <v>85</v>
      </c>
    </row>
    <row r="7746" customFormat="false" ht="14.25" hidden="false" customHeight="true" outlineLevel="0" collapsed="false">
      <c r="B7746" s="9" t="s">
        <v>63</v>
      </c>
      <c r="C7746" s="9" t="n">
        <v>1185732</v>
      </c>
      <c r="D7746" s="10" t="n">
        <v>44426</v>
      </c>
      <c r="E7746" s="9" t="s">
        <v>17</v>
      </c>
      <c r="F7746" s="9" t="s">
        <v>135</v>
      </c>
      <c r="G7746" s="9" t="s">
        <v>136</v>
      </c>
      <c r="H7746" s="11" t="s">
        <v>23</v>
      </c>
      <c r="I7746" s="12" t="n">
        <v>51</v>
      </c>
      <c r="J7746" s="13" t="n">
        <v>72</v>
      </c>
      <c r="K7746" s="14" t="n">
        <f aca="false">I7746*J7746</f>
        <v>3672</v>
      </c>
      <c r="L7746" s="14" t="n">
        <f aca="false">($L$2*M7746)/100</f>
        <v>504699.93</v>
      </c>
      <c r="M7746" s="15" t="n">
        <v>0.42</v>
      </c>
      <c r="N7746" s="9" t="s">
        <v>85</v>
      </c>
    </row>
    <row r="7747" customFormat="false" ht="14.25" hidden="false" customHeight="true" outlineLevel="0" collapsed="false">
      <c r="B7747" s="9" t="s">
        <v>63</v>
      </c>
      <c r="C7747" s="9" t="n">
        <v>1185732</v>
      </c>
      <c r="D7747" s="10" t="n">
        <v>44426</v>
      </c>
      <c r="E7747" s="9" t="s">
        <v>17</v>
      </c>
      <c r="F7747" s="9" t="s">
        <v>135</v>
      </c>
      <c r="G7747" s="9" t="s">
        <v>136</v>
      </c>
      <c r="H7747" s="11" t="s">
        <v>24</v>
      </c>
      <c r="I7747" s="12" t="n">
        <v>59</v>
      </c>
      <c r="J7747" s="13" t="n">
        <v>73</v>
      </c>
      <c r="K7747" s="14" t="n">
        <f aca="false">I7747*J7747</f>
        <v>4307</v>
      </c>
      <c r="L7747" s="14" t="n">
        <f aca="false">($L$2*M7747)/100</f>
        <v>540749.925</v>
      </c>
      <c r="M7747" s="15" t="n">
        <v>0.45</v>
      </c>
      <c r="N7747" s="9" t="s">
        <v>85</v>
      </c>
    </row>
    <row r="7748" customFormat="false" ht="14.25" hidden="false" customHeight="true" outlineLevel="0" collapsed="false">
      <c r="B7748" s="9" t="s">
        <v>63</v>
      </c>
      <c r="C7748" s="9" t="n">
        <v>1185732</v>
      </c>
      <c r="D7748" s="10" t="n">
        <v>44426</v>
      </c>
      <c r="E7748" s="9" t="s">
        <v>17</v>
      </c>
      <c r="F7748" s="9" t="s">
        <v>135</v>
      </c>
      <c r="G7748" s="9" t="s">
        <v>136</v>
      </c>
      <c r="H7748" s="11" t="s">
        <v>25</v>
      </c>
      <c r="I7748" s="12" t="n">
        <v>64</v>
      </c>
      <c r="J7748" s="13" t="n">
        <v>106</v>
      </c>
      <c r="K7748" s="14" t="n">
        <f aca="false">I7748*J7748</f>
        <v>6784</v>
      </c>
      <c r="L7748" s="14" t="n">
        <f aca="false">($L$2*M7748)/100</f>
        <v>564783.255</v>
      </c>
      <c r="M7748" s="15" t="n">
        <v>0.47</v>
      </c>
      <c r="N7748" s="9" t="s">
        <v>85</v>
      </c>
    </row>
    <row r="7749" customFormat="false" ht="14.25" hidden="false" customHeight="true" outlineLevel="0" collapsed="false">
      <c r="B7749" s="9" t="s">
        <v>63</v>
      </c>
      <c r="C7749" s="9" t="n">
        <v>1185732</v>
      </c>
      <c r="D7749" s="10" t="n">
        <v>44456</v>
      </c>
      <c r="E7749" s="9" t="s">
        <v>17</v>
      </c>
      <c r="F7749" s="9" t="s">
        <v>135</v>
      </c>
      <c r="G7749" s="9" t="s">
        <v>136</v>
      </c>
      <c r="H7749" s="11" t="s">
        <v>19</v>
      </c>
      <c r="I7749" s="12" t="n">
        <v>59</v>
      </c>
      <c r="J7749" s="13" t="n">
        <v>154</v>
      </c>
      <c r="K7749" s="14" t="n">
        <f aca="false">I7749*J7749</f>
        <v>9086</v>
      </c>
      <c r="L7749" s="14" t="n">
        <f aca="false">($L$2*M7749)/100</f>
        <v>624866.58</v>
      </c>
      <c r="M7749" s="15" t="n">
        <v>0.52</v>
      </c>
      <c r="N7749" s="9" t="s">
        <v>85</v>
      </c>
    </row>
    <row r="7750" customFormat="false" ht="14.25" hidden="false" customHeight="true" outlineLevel="0" collapsed="false">
      <c r="B7750" s="9" t="s">
        <v>63</v>
      </c>
      <c r="C7750" s="9" t="n">
        <v>1185732</v>
      </c>
      <c r="D7750" s="10" t="n">
        <v>44456</v>
      </c>
      <c r="E7750" s="9" t="s">
        <v>17</v>
      </c>
      <c r="F7750" s="9" t="s">
        <v>135</v>
      </c>
      <c r="G7750" s="9" t="s">
        <v>136</v>
      </c>
      <c r="H7750" s="11" t="s">
        <v>21</v>
      </c>
      <c r="I7750" s="12" t="n">
        <v>54</v>
      </c>
      <c r="J7750" s="13" t="n">
        <v>95</v>
      </c>
      <c r="K7750" s="14" t="n">
        <f aca="false">I7750*J7750</f>
        <v>5130</v>
      </c>
      <c r="L7750" s="14" t="n">
        <f aca="false">($L$2*M7750)/100</f>
        <v>624866.58</v>
      </c>
      <c r="M7750" s="15" t="n">
        <v>0.52</v>
      </c>
      <c r="N7750" s="9" t="s">
        <v>85</v>
      </c>
    </row>
    <row r="7751" customFormat="false" ht="14.25" hidden="false" customHeight="true" outlineLevel="0" collapsed="false">
      <c r="B7751" s="9" t="s">
        <v>63</v>
      </c>
      <c r="C7751" s="9" t="n">
        <v>1185732</v>
      </c>
      <c r="D7751" s="10" t="n">
        <v>44456</v>
      </c>
      <c r="E7751" s="9" t="s">
        <v>17</v>
      </c>
      <c r="F7751" s="9" t="s">
        <v>135</v>
      </c>
      <c r="G7751" s="9" t="s">
        <v>136</v>
      </c>
      <c r="H7751" s="11" t="s">
        <v>22</v>
      </c>
      <c r="I7751" s="12" t="n">
        <v>52</v>
      </c>
      <c r="J7751" s="13" t="n">
        <v>75</v>
      </c>
      <c r="K7751" s="14" t="n">
        <f aca="false">I7751*J7751</f>
        <v>3900</v>
      </c>
      <c r="L7751" s="14" t="n">
        <f aca="false">($L$2*M7751)/100</f>
        <v>516716.595</v>
      </c>
      <c r="M7751" s="15" t="n">
        <v>0.43</v>
      </c>
      <c r="N7751" s="9" t="s">
        <v>85</v>
      </c>
    </row>
    <row r="7752" customFormat="false" ht="14.25" hidden="false" customHeight="true" outlineLevel="0" collapsed="false">
      <c r="B7752" s="9" t="s">
        <v>63</v>
      </c>
      <c r="C7752" s="9" t="n">
        <v>1185732</v>
      </c>
      <c r="D7752" s="10" t="n">
        <v>44456</v>
      </c>
      <c r="E7752" s="9" t="s">
        <v>17</v>
      </c>
      <c r="F7752" s="9" t="s">
        <v>135</v>
      </c>
      <c r="G7752" s="9" t="s">
        <v>136</v>
      </c>
      <c r="H7752" s="11" t="s">
        <v>23</v>
      </c>
      <c r="I7752" s="12" t="n">
        <v>53</v>
      </c>
      <c r="J7752" s="13" t="n">
        <v>56</v>
      </c>
      <c r="K7752" s="14" t="n">
        <f aca="false">I7752*J7752</f>
        <v>2968</v>
      </c>
      <c r="L7752" s="14" t="n">
        <f aca="false">($L$2*M7752)/100</f>
        <v>504699.93</v>
      </c>
      <c r="M7752" s="15" t="n">
        <v>0.42</v>
      </c>
      <c r="N7752" s="9" t="s">
        <v>85</v>
      </c>
    </row>
    <row r="7753" customFormat="false" ht="14.25" hidden="false" customHeight="true" outlineLevel="0" collapsed="false">
      <c r="B7753" s="9" t="s">
        <v>63</v>
      </c>
      <c r="C7753" s="9" t="n">
        <v>1185732</v>
      </c>
      <c r="D7753" s="10" t="n">
        <v>44456</v>
      </c>
      <c r="E7753" s="9" t="s">
        <v>17</v>
      </c>
      <c r="F7753" s="9" t="s">
        <v>135</v>
      </c>
      <c r="G7753" s="9" t="s">
        <v>136</v>
      </c>
      <c r="H7753" s="11" t="s">
        <v>24</v>
      </c>
      <c r="I7753" s="12" t="n">
        <v>64</v>
      </c>
      <c r="J7753" s="13" t="n">
        <v>63</v>
      </c>
      <c r="K7753" s="14" t="n">
        <f aca="false">I7753*J7753</f>
        <v>4032</v>
      </c>
      <c r="L7753" s="14" t="n">
        <f aca="false">($L$2*M7753)/100</f>
        <v>516716.595</v>
      </c>
      <c r="M7753" s="15" t="n">
        <v>0.43</v>
      </c>
      <c r="N7753" s="9" t="s">
        <v>85</v>
      </c>
    </row>
    <row r="7754" customFormat="false" ht="14.25" hidden="false" customHeight="true" outlineLevel="0" collapsed="false">
      <c r="B7754" s="9" t="s">
        <v>63</v>
      </c>
      <c r="C7754" s="9" t="n">
        <v>1185732</v>
      </c>
      <c r="D7754" s="10" t="n">
        <v>44456</v>
      </c>
      <c r="E7754" s="9" t="s">
        <v>17</v>
      </c>
      <c r="F7754" s="9" t="s">
        <v>135</v>
      </c>
      <c r="G7754" s="9" t="s">
        <v>136</v>
      </c>
      <c r="H7754" s="11" t="s">
        <v>25</v>
      </c>
      <c r="I7754" s="12" t="n">
        <v>68</v>
      </c>
      <c r="J7754" s="13" t="n">
        <v>98</v>
      </c>
      <c r="K7754" s="14" t="n">
        <f aca="false">I7754*J7754</f>
        <v>6664</v>
      </c>
      <c r="L7754" s="14" t="n">
        <f aca="false">($L$2*M7754)/100</f>
        <v>552766.59</v>
      </c>
      <c r="M7754" s="15" t="n">
        <v>0.46</v>
      </c>
      <c r="N7754" s="9" t="s">
        <v>85</v>
      </c>
    </row>
    <row r="7755" customFormat="false" ht="14.25" hidden="false" customHeight="true" outlineLevel="0" collapsed="false">
      <c r="B7755" s="9" t="s">
        <v>16</v>
      </c>
      <c r="C7755" s="9" t="n">
        <v>1185732</v>
      </c>
      <c r="D7755" s="10" t="n">
        <v>44488</v>
      </c>
      <c r="E7755" s="9" t="s">
        <v>17</v>
      </c>
      <c r="F7755" s="9" t="s">
        <v>135</v>
      </c>
      <c r="G7755" s="9" t="s">
        <v>136</v>
      </c>
      <c r="H7755" s="11" t="s">
        <v>19</v>
      </c>
      <c r="I7755" s="12" t="n">
        <v>64</v>
      </c>
      <c r="J7755" s="13" t="n">
        <v>119</v>
      </c>
      <c r="K7755" s="14" t="n">
        <f aca="false">I7755*J7755</f>
        <v>7616</v>
      </c>
      <c r="L7755" s="14" t="n">
        <f aca="false">($L$2*M7755)/100</f>
        <v>636883.245</v>
      </c>
      <c r="M7755" s="15" t="n">
        <v>0.53</v>
      </c>
      <c r="N7755" s="9" t="s">
        <v>85</v>
      </c>
    </row>
    <row r="7756" customFormat="false" ht="14.25" hidden="false" customHeight="true" outlineLevel="0" collapsed="false">
      <c r="B7756" s="9" t="s">
        <v>16</v>
      </c>
      <c r="C7756" s="9" t="n">
        <v>1185732</v>
      </c>
      <c r="D7756" s="10" t="n">
        <v>44488</v>
      </c>
      <c r="E7756" s="9" t="s">
        <v>17</v>
      </c>
      <c r="F7756" s="9" t="s">
        <v>135</v>
      </c>
      <c r="G7756" s="9" t="s">
        <v>136</v>
      </c>
      <c r="H7756" s="11" t="s">
        <v>21</v>
      </c>
      <c r="I7756" s="12" t="n">
        <v>62</v>
      </c>
      <c r="J7756" s="13" t="n">
        <v>84</v>
      </c>
      <c r="K7756" s="14" t="n">
        <f aca="false">I7756*J7756</f>
        <v>5208</v>
      </c>
      <c r="L7756" s="14" t="n">
        <f aca="false">($L$2*M7756)/100</f>
        <v>636883.245</v>
      </c>
      <c r="M7756" s="15" t="n">
        <v>0.53</v>
      </c>
      <c r="N7756" s="9" t="s">
        <v>85</v>
      </c>
    </row>
    <row r="7757" customFormat="false" ht="14.25" hidden="false" customHeight="true" outlineLevel="0" collapsed="false">
      <c r="B7757" s="9" t="s">
        <v>16</v>
      </c>
      <c r="C7757" s="9" t="n">
        <v>1185732</v>
      </c>
      <c r="D7757" s="10" t="n">
        <v>44488</v>
      </c>
      <c r="E7757" s="9" t="s">
        <v>17</v>
      </c>
      <c r="F7757" s="9" t="s">
        <v>135</v>
      </c>
      <c r="G7757" s="9" t="s">
        <v>136</v>
      </c>
      <c r="H7757" s="11" t="s">
        <v>22</v>
      </c>
      <c r="I7757" s="12" t="n">
        <v>59</v>
      </c>
      <c r="J7757" s="13" t="n">
        <v>54</v>
      </c>
      <c r="K7757" s="14" t="n">
        <f aca="false">I7757*J7757</f>
        <v>3186</v>
      </c>
      <c r="L7757" s="14" t="n">
        <f aca="false">($L$2*M7757)/100</f>
        <v>528733.26</v>
      </c>
      <c r="M7757" s="15" t="n">
        <v>0.44</v>
      </c>
      <c r="N7757" s="9" t="s">
        <v>85</v>
      </c>
    </row>
    <row r="7758" customFormat="false" ht="14.25" hidden="false" customHeight="true" outlineLevel="0" collapsed="false">
      <c r="B7758" s="9" t="s">
        <v>16</v>
      </c>
      <c r="C7758" s="9" t="n">
        <v>1185732</v>
      </c>
      <c r="D7758" s="10" t="n">
        <v>44488</v>
      </c>
      <c r="E7758" s="9" t="s">
        <v>17</v>
      </c>
      <c r="F7758" s="9" t="s">
        <v>135</v>
      </c>
      <c r="G7758" s="9" t="s">
        <v>136</v>
      </c>
      <c r="H7758" s="11" t="s">
        <v>23</v>
      </c>
      <c r="I7758" s="12" t="n">
        <v>62</v>
      </c>
      <c r="J7758" s="13" t="n">
        <v>47</v>
      </c>
      <c r="K7758" s="14" t="n">
        <f aca="false">I7758*J7758</f>
        <v>2914</v>
      </c>
      <c r="L7758" s="14" t="n">
        <f aca="false">($L$2*M7758)/100</f>
        <v>516716.595</v>
      </c>
      <c r="M7758" s="15" t="n">
        <v>0.43</v>
      </c>
      <c r="N7758" s="9" t="s">
        <v>85</v>
      </c>
    </row>
    <row r="7759" customFormat="false" ht="14.25" hidden="false" customHeight="true" outlineLevel="0" collapsed="false">
      <c r="B7759" s="9" t="s">
        <v>16</v>
      </c>
      <c r="C7759" s="9" t="n">
        <v>1185732</v>
      </c>
      <c r="D7759" s="10" t="n">
        <v>44488</v>
      </c>
      <c r="E7759" s="9" t="s">
        <v>17</v>
      </c>
      <c r="F7759" s="9" t="s">
        <v>135</v>
      </c>
      <c r="G7759" s="9" t="s">
        <v>136</v>
      </c>
      <c r="H7759" s="11" t="s">
        <v>24</v>
      </c>
      <c r="I7759" s="12" t="n">
        <v>71</v>
      </c>
      <c r="J7759" s="13" t="n">
        <v>46</v>
      </c>
      <c r="K7759" s="14" t="n">
        <f aca="false">I7759*J7759</f>
        <v>3266</v>
      </c>
      <c r="L7759" s="14" t="n">
        <f aca="false">($L$2*M7759)/100</f>
        <v>516716.595</v>
      </c>
      <c r="M7759" s="15" t="n">
        <v>0.43</v>
      </c>
      <c r="N7759" s="9" t="s">
        <v>85</v>
      </c>
    </row>
    <row r="7760" customFormat="false" ht="14.25" hidden="false" customHeight="true" outlineLevel="0" collapsed="false">
      <c r="B7760" s="9" t="s">
        <v>16</v>
      </c>
      <c r="C7760" s="9" t="n">
        <v>1185732</v>
      </c>
      <c r="D7760" s="10" t="n">
        <v>44488</v>
      </c>
      <c r="E7760" s="9" t="s">
        <v>17</v>
      </c>
      <c r="F7760" s="9" t="s">
        <v>135</v>
      </c>
      <c r="G7760" s="9" t="s">
        <v>136</v>
      </c>
      <c r="H7760" s="11" t="s">
        <v>25</v>
      </c>
      <c r="I7760" s="12" t="n">
        <v>72</v>
      </c>
      <c r="J7760" s="13" t="n">
        <v>81</v>
      </c>
      <c r="K7760" s="14" t="n">
        <f aca="false">I7760*J7760</f>
        <v>5832</v>
      </c>
      <c r="L7760" s="14" t="n">
        <f aca="false">($L$2*M7760)/100</f>
        <v>576799.92</v>
      </c>
      <c r="M7760" s="15" t="n">
        <v>0.48</v>
      </c>
      <c r="N7760" s="9" t="s">
        <v>85</v>
      </c>
    </row>
    <row r="7761" customFormat="false" ht="14.25" hidden="false" customHeight="true" outlineLevel="0" collapsed="false">
      <c r="B7761" s="9" t="s">
        <v>16</v>
      </c>
      <c r="C7761" s="9" t="n">
        <v>1185732</v>
      </c>
      <c r="D7761" s="10" t="n">
        <v>44518</v>
      </c>
      <c r="E7761" s="9" t="s">
        <v>17</v>
      </c>
      <c r="F7761" s="9" t="s">
        <v>135</v>
      </c>
      <c r="G7761" s="9" t="s">
        <v>136</v>
      </c>
      <c r="H7761" s="11" t="s">
        <v>19</v>
      </c>
      <c r="I7761" s="12" t="n">
        <v>68</v>
      </c>
      <c r="J7761" s="13" t="n">
        <v>117</v>
      </c>
      <c r="K7761" s="14" t="n">
        <f aca="false">I7761*J7761</f>
        <v>7956</v>
      </c>
      <c r="L7761" s="14" t="n">
        <f aca="false">($L$2*M7761)/100</f>
        <v>636883.245</v>
      </c>
      <c r="M7761" s="15" t="n">
        <v>0.53</v>
      </c>
      <c r="N7761" s="9" t="s">
        <v>85</v>
      </c>
    </row>
    <row r="7762" customFormat="false" ht="14.25" hidden="false" customHeight="true" outlineLevel="0" collapsed="false">
      <c r="B7762" s="9" t="s">
        <v>16</v>
      </c>
      <c r="C7762" s="9" t="n">
        <v>1185732</v>
      </c>
      <c r="D7762" s="10" t="n">
        <v>44518</v>
      </c>
      <c r="E7762" s="9" t="s">
        <v>17</v>
      </c>
      <c r="F7762" s="9" t="s">
        <v>135</v>
      </c>
      <c r="G7762" s="9" t="s">
        <v>136</v>
      </c>
      <c r="H7762" s="11" t="s">
        <v>21</v>
      </c>
      <c r="I7762" s="12" t="n">
        <v>62</v>
      </c>
      <c r="J7762" s="13" t="n">
        <v>98</v>
      </c>
      <c r="K7762" s="14" t="n">
        <f aca="false">I7762*J7762</f>
        <v>6076</v>
      </c>
      <c r="L7762" s="14" t="n">
        <f aca="false">($L$2*M7762)/100</f>
        <v>624866.58</v>
      </c>
      <c r="M7762" s="15" t="n">
        <v>0.52</v>
      </c>
      <c r="N7762" s="9" t="s">
        <v>85</v>
      </c>
    </row>
    <row r="7763" customFormat="false" ht="14.25" hidden="false" customHeight="true" outlineLevel="0" collapsed="false">
      <c r="B7763" s="9" t="s">
        <v>16</v>
      </c>
      <c r="C7763" s="9" t="n">
        <v>1185732</v>
      </c>
      <c r="D7763" s="10" t="n">
        <v>44518</v>
      </c>
      <c r="E7763" s="9" t="s">
        <v>17</v>
      </c>
      <c r="F7763" s="9" t="s">
        <v>135</v>
      </c>
      <c r="G7763" s="9" t="s">
        <v>136</v>
      </c>
      <c r="H7763" s="11" t="s">
        <v>22</v>
      </c>
      <c r="I7763" s="12" t="n">
        <v>63</v>
      </c>
      <c r="J7763" s="13" t="n">
        <v>104</v>
      </c>
      <c r="K7763" s="14" t="n">
        <f aca="false">I7763*J7763</f>
        <v>6552</v>
      </c>
      <c r="L7763" s="14" t="n">
        <f aca="false">($L$2*M7763)/100</f>
        <v>540749.925</v>
      </c>
      <c r="M7763" s="15" t="n">
        <v>0.45</v>
      </c>
      <c r="N7763" s="9" t="s">
        <v>85</v>
      </c>
    </row>
    <row r="7764" customFormat="false" ht="14.25" hidden="false" customHeight="true" outlineLevel="0" collapsed="false">
      <c r="B7764" s="9" t="s">
        <v>16</v>
      </c>
      <c r="C7764" s="9" t="n">
        <v>1185732</v>
      </c>
      <c r="D7764" s="10" t="n">
        <v>44518</v>
      </c>
      <c r="E7764" s="9" t="s">
        <v>17</v>
      </c>
      <c r="F7764" s="9" t="s">
        <v>135</v>
      </c>
      <c r="G7764" s="9" t="s">
        <v>136</v>
      </c>
      <c r="H7764" s="11" t="s">
        <v>23</v>
      </c>
      <c r="I7764" s="12" t="n">
        <v>64</v>
      </c>
      <c r="J7764" s="13" t="n">
        <v>85</v>
      </c>
      <c r="K7764" s="14" t="n">
        <f aca="false">I7764*J7764</f>
        <v>5440</v>
      </c>
      <c r="L7764" s="14" t="n">
        <f aca="false">($L$2*M7764)/100</f>
        <v>480666.6</v>
      </c>
      <c r="M7764" s="15" t="n">
        <v>0.4</v>
      </c>
      <c r="N7764" s="9" t="s">
        <v>85</v>
      </c>
    </row>
    <row r="7765" customFormat="false" ht="14.25" hidden="false" customHeight="true" outlineLevel="0" collapsed="false">
      <c r="B7765" s="9" t="s">
        <v>16</v>
      </c>
      <c r="C7765" s="9" t="n">
        <v>1185732</v>
      </c>
      <c r="D7765" s="10" t="n">
        <v>44518</v>
      </c>
      <c r="E7765" s="9" t="s">
        <v>17</v>
      </c>
      <c r="F7765" s="9" t="s">
        <v>135</v>
      </c>
      <c r="G7765" s="9" t="s">
        <v>136</v>
      </c>
      <c r="H7765" s="11" t="s">
        <v>24</v>
      </c>
      <c r="I7765" s="12" t="n">
        <v>71</v>
      </c>
      <c r="J7765" s="13" t="n">
        <v>81</v>
      </c>
      <c r="K7765" s="14" t="n">
        <f aca="false">I7765*J7765</f>
        <v>5751</v>
      </c>
      <c r="L7765" s="14" t="n">
        <f aca="false">($L$2*M7765)/100</f>
        <v>504699.93</v>
      </c>
      <c r="M7765" s="15" t="n">
        <v>0.42</v>
      </c>
      <c r="N7765" s="9" t="s">
        <v>85</v>
      </c>
    </row>
    <row r="7766" customFormat="false" ht="14.25" hidden="false" customHeight="true" outlineLevel="0" collapsed="false">
      <c r="B7766" s="9" t="s">
        <v>16</v>
      </c>
      <c r="C7766" s="9" t="n">
        <v>1185732</v>
      </c>
      <c r="D7766" s="10" t="n">
        <v>44518</v>
      </c>
      <c r="E7766" s="9" t="s">
        <v>17</v>
      </c>
      <c r="F7766" s="9" t="s">
        <v>135</v>
      </c>
      <c r="G7766" s="9" t="s">
        <v>136</v>
      </c>
      <c r="H7766" s="11" t="s">
        <v>25</v>
      </c>
      <c r="I7766" s="12" t="n">
        <v>78</v>
      </c>
      <c r="J7766" s="13" t="n">
        <v>116</v>
      </c>
      <c r="K7766" s="14" t="n">
        <f aca="false">I7766*J7766</f>
        <v>9048</v>
      </c>
      <c r="L7766" s="14" t="n">
        <f aca="false">($L$2*M7766)/100</f>
        <v>564783.255</v>
      </c>
      <c r="M7766" s="15" t="n">
        <v>0.47</v>
      </c>
      <c r="N7766" s="9" t="s">
        <v>85</v>
      </c>
    </row>
    <row r="7767" customFormat="false" ht="14.25" hidden="false" customHeight="true" outlineLevel="0" collapsed="false">
      <c r="B7767" s="9" t="s">
        <v>16</v>
      </c>
      <c r="C7767" s="9" t="n">
        <v>1185732</v>
      </c>
      <c r="D7767" s="10" t="n">
        <v>44547</v>
      </c>
      <c r="E7767" s="9" t="s">
        <v>17</v>
      </c>
      <c r="F7767" s="9" t="s">
        <v>135</v>
      </c>
      <c r="G7767" s="9" t="s">
        <v>136</v>
      </c>
      <c r="H7767" s="11" t="s">
        <v>19</v>
      </c>
      <c r="I7767" s="12" t="n">
        <v>71</v>
      </c>
      <c r="J7767" s="13" t="n">
        <v>169</v>
      </c>
      <c r="K7767" s="14" t="n">
        <f aca="false">I7767*J7767</f>
        <v>11999</v>
      </c>
      <c r="L7767" s="14" t="n">
        <f aca="false">($L$2*M7767)/100</f>
        <v>660916.575</v>
      </c>
      <c r="M7767" s="15" t="n">
        <v>0.55</v>
      </c>
      <c r="N7767" s="9" t="s">
        <v>85</v>
      </c>
    </row>
    <row r="7768" customFormat="false" ht="14.25" hidden="false" customHeight="true" outlineLevel="0" collapsed="false">
      <c r="B7768" s="9" t="s">
        <v>16</v>
      </c>
      <c r="C7768" s="9" t="n">
        <v>1185732</v>
      </c>
      <c r="D7768" s="10" t="n">
        <v>44547</v>
      </c>
      <c r="E7768" s="9" t="s">
        <v>17</v>
      </c>
      <c r="F7768" s="9" t="s">
        <v>135</v>
      </c>
      <c r="G7768" s="9" t="s">
        <v>136</v>
      </c>
      <c r="H7768" s="11" t="s">
        <v>21</v>
      </c>
      <c r="I7768" s="12" t="n">
        <v>59</v>
      </c>
      <c r="J7768" s="13" t="n">
        <v>115</v>
      </c>
      <c r="K7768" s="14" t="n">
        <f aca="false">I7768*J7768</f>
        <v>6785</v>
      </c>
      <c r="L7768" s="14" t="n">
        <f aca="false">($L$2*M7768)/100</f>
        <v>660916.575</v>
      </c>
      <c r="M7768" s="15" t="n">
        <v>0.55</v>
      </c>
      <c r="N7768" s="9" t="s">
        <v>85</v>
      </c>
    </row>
    <row r="7769" customFormat="false" ht="14.25" hidden="false" customHeight="true" outlineLevel="0" collapsed="false">
      <c r="B7769" s="9" t="s">
        <v>16</v>
      </c>
      <c r="C7769" s="9" t="n">
        <v>1185732</v>
      </c>
      <c r="D7769" s="10" t="n">
        <v>44547</v>
      </c>
      <c r="E7769" s="9" t="s">
        <v>17</v>
      </c>
      <c r="F7769" s="9" t="s">
        <v>135</v>
      </c>
      <c r="G7769" s="9" t="s">
        <v>136</v>
      </c>
      <c r="H7769" s="11" t="s">
        <v>22</v>
      </c>
      <c r="I7769" s="12" t="n">
        <v>62</v>
      </c>
      <c r="J7769" s="13" t="n">
        <v>108</v>
      </c>
      <c r="K7769" s="14" t="n">
        <f aca="false">I7769*J7769</f>
        <v>6696</v>
      </c>
      <c r="L7769" s="14" t="n">
        <f aca="false">($L$2*M7769)/100</f>
        <v>504699.93</v>
      </c>
      <c r="M7769" s="15" t="n">
        <v>0.42</v>
      </c>
      <c r="N7769" s="9" t="s">
        <v>85</v>
      </c>
    </row>
    <row r="7770" customFormat="false" ht="14.25" hidden="false" customHeight="true" outlineLevel="0" collapsed="false">
      <c r="B7770" s="9" t="s">
        <v>16</v>
      </c>
      <c r="C7770" s="9" t="n">
        <v>1185732</v>
      </c>
      <c r="D7770" s="10" t="n">
        <v>44547</v>
      </c>
      <c r="E7770" s="9" t="s">
        <v>17</v>
      </c>
      <c r="F7770" s="9" t="s">
        <v>135</v>
      </c>
      <c r="G7770" s="9" t="s">
        <v>136</v>
      </c>
      <c r="H7770" s="11" t="s">
        <v>23</v>
      </c>
      <c r="I7770" s="12" t="n">
        <v>62</v>
      </c>
      <c r="J7770" s="13" t="n">
        <v>88</v>
      </c>
      <c r="K7770" s="14" t="n">
        <f aca="false">I7770*J7770</f>
        <v>5456</v>
      </c>
      <c r="L7770" s="14" t="n">
        <f aca="false">($L$2*M7770)/100</f>
        <v>528733.26</v>
      </c>
      <c r="M7770" s="15" t="n">
        <v>0.44</v>
      </c>
      <c r="N7770" s="9" t="s">
        <v>85</v>
      </c>
    </row>
    <row r="7771" customFormat="false" ht="14.25" hidden="false" customHeight="true" outlineLevel="0" collapsed="false">
      <c r="B7771" s="9" t="s">
        <v>16</v>
      </c>
      <c r="C7771" s="9" t="n">
        <v>1185732</v>
      </c>
      <c r="D7771" s="10" t="n">
        <v>44547</v>
      </c>
      <c r="E7771" s="9" t="s">
        <v>17</v>
      </c>
      <c r="F7771" s="9" t="s">
        <v>135</v>
      </c>
      <c r="G7771" s="9" t="s">
        <v>136</v>
      </c>
      <c r="H7771" s="11" t="s">
        <v>24</v>
      </c>
      <c r="I7771" s="12" t="n">
        <v>74</v>
      </c>
      <c r="J7771" s="13" t="n">
        <v>105</v>
      </c>
      <c r="K7771" s="14" t="n">
        <f aca="false">I7771*J7771</f>
        <v>7770</v>
      </c>
      <c r="L7771" s="14" t="n">
        <f aca="false">($L$2*M7771)/100</f>
        <v>516716.595</v>
      </c>
      <c r="M7771" s="15" t="n">
        <v>0.43</v>
      </c>
      <c r="N7771" s="9" t="s">
        <v>85</v>
      </c>
    </row>
    <row r="7772" customFormat="false" ht="14.25" hidden="false" customHeight="true" outlineLevel="0" collapsed="false">
      <c r="B7772" s="9" t="s">
        <v>16</v>
      </c>
      <c r="C7772" s="9" t="n">
        <v>1185732</v>
      </c>
      <c r="D7772" s="10" t="n">
        <v>44547</v>
      </c>
      <c r="E7772" s="9" t="s">
        <v>17</v>
      </c>
      <c r="F7772" s="9" t="s">
        <v>135</v>
      </c>
      <c r="G7772" s="9" t="s">
        <v>136</v>
      </c>
      <c r="H7772" s="11" t="s">
        <v>25</v>
      </c>
      <c r="I7772" s="12" t="n">
        <v>74</v>
      </c>
      <c r="J7772" s="13" t="n">
        <v>117</v>
      </c>
      <c r="K7772" s="14" t="n">
        <f aca="false">I7772*J7772</f>
        <v>8658</v>
      </c>
      <c r="L7772" s="14" t="n">
        <f aca="false">($L$2*M7772)/100</f>
        <v>588816.585</v>
      </c>
      <c r="M7772" s="15" t="n">
        <v>0.49</v>
      </c>
      <c r="N7772" s="9" t="s">
        <v>85</v>
      </c>
    </row>
    <row r="7773" customFormat="false" ht="14.25" hidden="false" customHeight="true" outlineLevel="0" collapsed="false">
      <c r="B7773" s="9" t="s">
        <v>16</v>
      </c>
      <c r="C7773" s="9" t="n">
        <v>1185732</v>
      </c>
      <c r="D7773" s="10" t="n">
        <v>44220</v>
      </c>
      <c r="E7773" s="9" t="s">
        <v>17</v>
      </c>
      <c r="F7773" s="9" t="s">
        <v>135</v>
      </c>
      <c r="G7773" s="9" t="s">
        <v>136</v>
      </c>
      <c r="H7773" s="11" t="s">
        <v>19</v>
      </c>
      <c r="I7773" s="12" t="n">
        <v>52</v>
      </c>
      <c r="J7773" s="13" t="n">
        <v>145</v>
      </c>
      <c r="K7773" s="14" t="n">
        <f aca="false">I7773*J7773</f>
        <v>7540</v>
      </c>
      <c r="L7773" s="14" t="n">
        <f aca="false">($L$2*M7773)/100</f>
        <v>552766.59</v>
      </c>
      <c r="M7773" s="15" t="n">
        <v>0.46</v>
      </c>
      <c r="N7773" s="9" t="s">
        <v>85</v>
      </c>
    </row>
    <row r="7774" customFormat="false" ht="14.25" hidden="false" customHeight="true" outlineLevel="0" collapsed="false">
      <c r="B7774" s="9" t="s">
        <v>16</v>
      </c>
      <c r="C7774" s="9" t="n">
        <v>1185732</v>
      </c>
      <c r="D7774" s="10" t="n">
        <v>44220</v>
      </c>
      <c r="E7774" s="9" t="s">
        <v>17</v>
      </c>
      <c r="F7774" s="9" t="s">
        <v>135</v>
      </c>
      <c r="G7774" s="9" t="s">
        <v>136</v>
      </c>
      <c r="H7774" s="11" t="s">
        <v>21</v>
      </c>
      <c r="I7774" s="12" t="n">
        <v>50</v>
      </c>
      <c r="J7774" s="13" t="n">
        <v>84</v>
      </c>
      <c r="K7774" s="14" t="n">
        <f aca="false">I7774*J7774</f>
        <v>4200</v>
      </c>
      <c r="L7774" s="14" t="n">
        <f aca="false">($L$2*M7774)/100</f>
        <v>564783.255</v>
      </c>
      <c r="M7774" s="15" t="n">
        <v>0.47</v>
      </c>
      <c r="N7774" s="9" t="s">
        <v>85</v>
      </c>
    </row>
    <row r="7775" customFormat="false" ht="14.25" hidden="false" customHeight="true" outlineLevel="0" collapsed="false">
      <c r="B7775" s="9" t="s">
        <v>16</v>
      </c>
      <c r="C7775" s="9" t="n">
        <v>1185732</v>
      </c>
      <c r="D7775" s="10" t="n">
        <v>44220</v>
      </c>
      <c r="E7775" s="9" t="s">
        <v>17</v>
      </c>
      <c r="F7775" s="9" t="s">
        <v>135</v>
      </c>
      <c r="G7775" s="9" t="s">
        <v>136</v>
      </c>
      <c r="H7775" s="11" t="s">
        <v>22</v>
      </c>
      <c r="I7775" s="12" t="n">
        <v>44</v>
      </c>
      <c r="J7775" s="13" t="n">
        <v>90</v>
      </c>
      <c r="K7775" s="14" t="n">
        <f aca="false">I7775*J7775</f>
        <v>3960</v>
      </c>
      <c r="L7775" s="14" t="n">
        <f aca="false">($L$2*M7775)/100</f>
        <v>420583.275</v>
      </c>
      <c r="M7775" s="15" t="n">
        <v>0.35</v>
      </c>
      <c r="N7775" s="9" t="s">
        <v>85</v>
      </c>
    </row>
    <row r="7776" customFormat="false" ht="14.25" hidden="false" customHeight="true" outlineLevel="0" collapsed="false">
      <c r="B7776" s="9" t="s">
        <v>16</v>
      </c>
      <c r="C7776" s="9" t="n">
        <v>1185732</v>
      </c>
      <c r="D7776" s="10" t="n">
        <v>44220</v>
      </c>
      <c r="E7776" s="9" t="s">
        <v>17</v>
      </c>
      <c r="F7776" s="9" t="s">
        <v>135</v>
      </c>
      <c r="G7776" s="9" t="s">
        <v>136</v>
      </c>
      <c r="H7776" s="11" t="s">
        <v>23</v>
      </c>
      <c r="I7776" s="12" t="n">
        <v>49</v>
      </c>
      <c r="J7776" s="13" t="n">
        <v>39</v>
      </c>
      <c r="K7776" s="14" t="n">
        <f aca="false">I7776*J7776</f>
        <v>1911</v>
      </c>
      <c r="L7776" s="14" t="n">
        <f aca="false">($L$2*M7776)/100</f>
        <v>444616.605</v>
      </c>
      <c r="M7776" s="15" t="n">
        <v>0.37</v>
      </c>
      <c r="N7776" s="9" t="s">
        <v>85</v>
      </c>
    </row>
    <row r="7777" customFormat="false" ht="14.25" hidden="false" customHeight="true" outlineLevel="0" collapsed="false">
      <c r="B7777" s="9" t="s">
        <v>16</v>
      </c>
      <c r="C7777" s="9" t="n">
        <v>1185732</v>
      </c>
      <c r="D7777" s="10" t="n">
        <v>44220</v>
      </c>
      <c r="E7777" s="9" t="s">
        <v>17</v>
      </c>
      <c r="F7777" s="9" t="s">
        <v>135</v>
      </c>
      <c r="G7777" s="9" t="s">
        <v>136</v>
      </c>
      <c r="H7777" s="11" t="s">
        <v>24</v>
      </c>
      <c r="I7777" s="12" t="n">
        <v>60</v>
      </c>
      <c r="J7777" s="13" t="n">
        <v>54</v>
      </c>
      <c r="K7777" s="14" t="n">
        <f aca="false">I7777*J7777</f>
        <v>3240</v>
      </c>
      <c r="L7777" s="14" t="n">
        <f aca="false">($L$2*M7777)/100</f>
        <v>444616.605</v>
      </c>
      <c r="M7777" s="15" t="n">
        <v>0.37</v>
      </c>
      <c r="N7777" s="9" t="s">
        <v>85</v>
      </c>
    </row>
    <row r="7778" customFormat="false" ht="14.25" hidden="false" customHeight="true" outlineLevel="0" collapsed="false">
      <c r="B7778" s="9" t="s">
        <v>16</v>
      </c>
      <c r="C7778" s="9" t="n">
        <v>1185732</v>
      </c>
      <c r="D7778" s="10" t="n">
        <v>44220</v>
      </c>
      <c r="E7778" s="9" t="s">
        <v>17</v>
      </c>
      <c r="F7778" s="9" t="s">
        <v>135</v>
      </c>
      <c r="G7778" s="9" t="s">
        <v>136</v>
      </c>
      <c r="H7778" s="11" t="s">
        <v>25</v>
      </c>
      <c r="I7778" s="12" t="n">
        <v>54</v>
      </c>
      <c r="J7778" s="13" t="n">
        <v>78</v>
      </c>
      <c r="K7778" s="14" t="n">
        <f aca="false">I7778*J7778</f>
        <v>4212</v>
      </c>
      <c r="L7778" s="14" t="n">
        <f aca="false">($L$2*M7778)/100</f>
        <v>540749.925</v>
      </c>
      <c r="M7778" s="15" t="n">
        <v>0.45</v>
      </c>
      <c r="N7778" s="9" t="s">
        <v>85</v>
      </c>
    </row>
    <row r="7779" customFormat="false" ht="14.25" hidden="false" customHeight="true" outlineLevel="0" collapsed="false">
      <c r="B7779" s="9" t="s">
        <v>16</v>
      </c>
      <c r="C7779" s="9" t="n">
        <v>1185732</v>
      </c>
      <c r="D7779" s="10" t="n">
        <v>44249</v>
      </c>
      <c r="E7779" s="9" t="s">
        <v>17</v>
      </c>
      <c r="F7779" s="9" t="s">
        <v>135</v>
      </c>
      <c r="G7779" s="9" t="s">
        <v>136</v>
      </c>
      <c r="H7779" s="11" t="s">
        <v>19</v>
      </c>
      <c r="I7779" s="12" t="n">
        <v>52</v>
      </c>
      <c r="J7779" s="13" t="n">
        <v>173</v>
      </c>
      <c r="K7779" s="14" t="n">
        <f aca="false">I7779*J7779</f>
        <v>8996</v>
      </c>
      <c r="L7779" s="14" t="n">
        <f aca="false">($L$2*M7779)/100</f>
        <v>540749.925</v>
      </c>
      <c r="M7779" s="15" t="n">
        <v>0.45</v>
      </c>
      <c r="N7779" s="9" t="s">
        <v>85</v>
      </c>
    </row>
    <row r="7780" customFormat="false" ht="14.25" hidden="false" customHeight="true" outlineLevel="0" collapsed="false">
      <c r="B7780" s="9" t="s">
        <v>16</v>
      </c>
      <c r="C7780" s="9" t="n">
        <v>1185732</v>
      </c>
      <c r="D7780" s="10" t="n">
        <v>44249</v>
      </c>
      <c r="E7780" s="9" t="s">
        <v>17</v>
      </c>
      <c r="F7780" s="9" t="s">
        <v>135</v>
      </c>
      <c r="G7780" s="9" t="s">
        <v>136</v>
      </c>
      <c r="H7780" s="11" t="s">
        <v>21</v>
      </c>
      <c r="I7780" s="12" t="n">
        <v>53</v>
      </c>
      <c r="J7780" s="13" t="n">
        <v>59</v>
      </c>
      <c r="K7780" s="14" t="n">
        <f aca="false">I7780*J7780</f>
        <v>3127</v>
      </c>
      <c r="L7780" s="14" t="n">
        <f aca="false">($L$2*M7780)/100</f>
        <v>552766.59</v>
      </c>
      <c r="M7780" s="15" t="n">
        <v>0.46</v>
      </c>
      <c r="N7780" s="9" t="s">
        <v>85</v>
      </c>
    </row>
    <row r="7781" customFormat="false" ht="14.25" hidden="false" customHeight="true" outlineLevel="0" collapsed="false">
      <c r="B7781" s="9" t="s">
        <v>16</v>
      </c>
      <c r="C7781" s="9" t="n">
        <v>1185732</v>
      </c>
      <c r="D7781" s="10" t="n">
        <v>44249</v>
      </c>
      <c r="E7781" s="9" t="s">
        <v>17</v>
      </c>
      <c r="F7781" s="9" t="s">
        <v>135</v>
      </c>
      <c r="G7781" s="9" t="s">
        <v>136</v>
      </c>
      <c r="H7781" s="11" t="s">
        <v>22</v>
      </c>
      <c r="I7781" s="12" t="n">
        <v>43</v>
      </c>
      <c r="J7781" s="13" t="n">
        <v>83</v>
      </c>
      <c r="K7781" s="14" t="n">
        <f aca="false">I7781*J7781</f>
        <v>3569</v>
      </c>
      <c r="L7781" s="14" t="n">
        <f aca="false">($L$2*M7781)/100</f>
        <v>480666.6</v>
      </c>
      <c r="M7781" s="15" t="n">
        <v>0.4</v>
      </c>
      <c r="N7781" s="9" t="s">
        <v>85</v>
      </c>
    </row>
    <row r="7782" customFormat="false" ht="14.25" hidden="false" customHeight="true" outlineLevel="0" collapsed="false">
      <c r="B7782" s="9" t="s">
        <v>16</v>
      </c>
      <c r="C7782" s="9" t="n">
        <v>1185732</v>
      </c>
      <c r="D7782" s="10" t="n">
        <v>43831</v>
      </c>
      <c r="E7782" s="9" t="s">
        <v>17</v>
      </c>
      <c r="F7782" s="9" t="s">
        <v>18</v>
      </c>
      <c r="G7782" s="9" t="s">
        <v>18</v>
      </c>
      <c r="H7782" s="11" t="s">
        <v>19</v>
      </c>
      <c r="I7782" s="12" t="n">
        <v>34</v>
      </c>
      <c r="J7782" s="13" t="n">
        <v>384</v>
      </c>
      <c r="K7782" s="14" t="n">
        <f aca="false">I7782*J7782</f>
        <v>13056</v>
      </c>
      <c r="L7782" s="14" t="n">
        <f aca="false">($L$2*M7782)/100</f>
        <v>624866.58</v>
      </c>
      <c r="M7782" s="15" t="n">
        <v>0.52</v>
      </c>
      <c r="N7782" s="9" t="s">
        <v>26</v>
      </c>
    </row>
    <row r="7783" customFormat="false" ht="14.25" hidden="false" customHeight="true" outlineLevel="0" collapsed="false">
      <c r="B7783" s="9" t="s">
        <v>16</v>
      </c>
      <c r="C7783" s="9" t="n">
        <v>1185732</v>
      </c>
      <c r="D7783" s="10" t="n">
        <v>43832</v>
      </c>
      <c r="E7783" s="9" t="s">
        <v>17</v>
      </c>
      <c r="F7783" s="9" t="s">
        <v>18</v>
      </c>
      <c r="G7783" s="9" t="s">
        <v>18</v>
      </c>
      <c r="H7783" s="11" t="s">
        <v>21</v>
      </c>
      <c r="I7783" s="12" t="n">
        <v>36</v>
      </c>
      <c r="J7783" s="13" t="n">
        <v>320</v>
      </c>
      <c r="K7783" s="14" t="n">
        <f aca="false">I7783*J7783</f>
        <v>11520</v>
      </c>
      <c r="L7783" s="14" t="n">
        <f aca="false">($L$2*M7783)/100</f>
        <v>420583.275</v>
      </c>
      <c r="M7783" s="15" t="n">
        <v>0.35</v>
      </c>
      <c r="N7783" s="9" t="s">
        <v>26</v>
      </c>
    </row>
    <row r="7784" customFormat="false" ht="14.25" hidden="false" customHeight="true" outlineLevel="0" collapsed="false">
      <c r="B7784" s="9" t="s">
        <v>16</v>
      </c>
      <c r="C7784" s="9" t="n">
        <v>1185732</v>
      </c>
      <c r="D7784" s="10" t="n">
        <v>43833</v>
      </c>
      <c r="E7784" s="9" t="s">
        <v>17</v>
      </c>
      <c r="F7784" s="9" t="s">
        <v>18</v>
      </c>
      <c r="G7784" s="9" t="s">
        <v>18</v>
      </c>
      <c r="H7784" s="11" t="s">
        <v>22</v>
      </c>
      <c r="I7784" s="12" t="n">
        <v>32</v>
      </c>
      <c r="J7784" s="13" t="n">
        <v>350</v>
      </c>
      <c r="K7784" s="14" t="n">
        <f aca="false">I7784*J7784</f>
        <v>11200</v>
      </c>
      <c r="L7784" s="14" t="n">
        <f aca="false">($L$2*M7784)/100</f>
        <v>444616.605</v>
      </c>
      <c r="M7784" s="15" t="n">
        <v>0.37</v>
      </c>
      <c r="N7784" s="9" t="s">
        <v>26</v>
      </c>
    </row>
    <row r="7785" customFormat="false" ht="14.25" hidden="false" customHeight="true" outlineLevel="0" collapsed="false">
      <c r="B7785" s="9" t="s">
        <v>16</v>
      </c>
      <c r="C7785" s="9" t="n">
        <v>1185732</v>
      </c>
      <c r="D7785" s="10" t="n">
        <v>43834</v>
      </c>
      <c r="E7785" s="9" t="s">
        <v>17</v>
      </c>
      <c r="F7785" s="9" t="s">
        <v>18</v>
      </c>
      <c r="G7785" s="9" t="s">
        <v>18</v>
      </c>
      <c r="H7785" s="11" t="s">
        <v>23</v>
      </c>
      <c r="I7785" s="12" t="n">
        <v>36</v>
      </c>
      <c r="J7785" s="13" t="n">
        <v>281</v>
      </c>
      <c r="K7785" s="14" t="n">
        <f aca="false">I7785*J7785</f>
        <v>10116</v>
      </c>
      <c r="L7785" s="14" t="n">
        <f aca="false">($L$2*M7785)/100</f>
        <v>444616.605</v>
      </c>
      <c r="M7785" s="15" t="n">
        <v>0.37</v>
      </c>
      <c r="N7785" s="9" t="s">
        <v>26</v>
      </c>
    </row>
    <row r="7786" customFormat="false" ht="14.25" hidden="false" customHeight="true" outlineLevel="0" collapsed="false">
      <c r="B7786" s="9" t="s">
        <v>16</v>
      </c>
      <c r="C7786" s="9" t="n">
        <v>1185732</v>
      </c>
      <c r="D7786" s="10" t="n">
        <v>43835</v>
      </c>
      <c r="E7786" s="9" t="s">
        <v>17</v>
      </c>
      <c r="F7786" s="9" t="s">
        <v>18</v>
      </c>
      <c r="G7786" s="9" t="s">
        <v>18</v>
      </c>
      <c r="H7786" s="11" t="s">
        <v>24</v>
      </c>
      <c r="I7786" s="12" t="n">
        <v>43</v>
      </c>
      <c r="J7786" s="13" t="n">
        <v>306</v>
      </c>
      <c r="K7786" s="14" t="n">
        <f aca="false">I7786*J7786</f>
        <v>13158</v>
      </c>
      <c r="L7786" s="14" t="n">
        <f aca="false">($L$2*M7786)/100</f>
        <v>444616.605</v>
      </c>
      <c r="M7786" s="15" t="n">
        <v>0.37</v>
      </c>
      <c r="N7786" s="9" t="s">
        <v>26</v>
      </c>
    </row>
    <row r="7787" customFormat="false" ht="14.25" hidden="false" customHeight="true" outlineLevel="0" collapsed="false">
      <c r="B7787" s="9" t="s">
        <v>16</v>
      </c>
      <c r="C7787" s="9" t="n">
        <v>1185732</v>
      </c>
      <c r="D7787" s="10" t="n">
        <v>43836</v>
      </c>
      <c r="E7787" s="9" t="s">
        <v>17</v>
      </c>
      <c r="F7787" s="9" t="s">
        <v>18</v>
      </c>
      <c r="G7787" s="9" t="s">
        <v>18</v>
      </c>
      <c r="H7787" s="11" t="s">
        <v>25</v>
      </c>
      <c r="I7787" s="12" t="n">
        <v>38</v>
      </c>
      <c r="J7787" s="13" t="n">
        <v>330</v>
      </c>
      <c r="K7787" s="14" t="n">
        <f aca="false">I7787*J7787</f>
        <v>12540</v>
      </c>
      <c r="L7787" s="14" t="n">
        <f aca="false">($L$2*M7787)/100</f>
        <v>384533.28</v>
      </c>
      <c r="M7787" s="15" t="n">
        <v>0.32</v>
      </c>
      <c r="N7787" s="9" t="s">
        <v>26</v>
      </c>
    </row>
    <row r="7788" customFormat="false" ht="14.25" hidden="false" customHeight="true" outlineLevel="0" collapsed="false">
      <c r="B7788" s="9" t="s">
        <v>16</v>
      </c>
      <c r="C7788" s="9" t="n">
        <v>1185732</v>
      </c>
      <c r="D7788" s="10" t="n">
        <v>43837</v>
      </c>
      <c r="E7788" s="9" t="s">
        <v>17</v>
      </c>
      <c r="F7788" s="9" t="s">
        <v>18</v>
      </c>
      <c r="G7788" s="9" t="s">
        <v>18</v>
      </c>
      <c r="H7788" s="11" t="s">
        <v>19</v>
      </c>
      <c r="I7788" s="12" t="n">
        <v>33</v>
      </c>
      <c r="J7788" s="13" t="n">
        <v>388</v>
      </c>
      <c r="K7788" s="14" t="n">
        <f aca="false">I7788*J7788</f>
        <v>12804</v>
      </c>
      <c r="L7788" s="14" t="n">
        <f aca="false">($L$2*M7788)/100</f>
        <v>624866.58</v>
      </c>
      <c r="M7788" s="15" t="n">
        <v>0.52</v>
      </c>
      <c r="N7788" s="9" t="s">
        <v>26</v>
      </c>
    </row>
    <row r="7789" customFormat="false" ht="14.25" hidden="false" customHeight="true" outlineLevel="0" collapsed="false">
      <c r="B7789" s="9" t="s">
        <v>16</v>
      </c>
      <c r="C7789" s="9" t="n">
        <v>1185732</v>
      </c>
      <c r="D7789" s="10" t="n">
        <v>43838</v>
      </c>
      <c r="E7789" s="9" t="s">
        <v>17</v>
      </c>
      <c r="F7789" s="9" t="s">
        <v>18</v>
      </c>
      <c r="G7789" s="9" t="s">
        <v>18</v>
      </c>
      <c r="H7789" s="11" t="s">
        <v>21</v>
      </c>
      <c r="I7789" s="12" t="n">
        <v>39</v>
      </c>
      <c r="J7789" s="13" t="n">
        <v>315</v>
      </c>
      <c r="K7789" s="14" t="n">
        <f aca="false">I7789*J7789</f>
        <v>12285</v>
      </c>
      <c r="L7789" s="14" t="n">
        <f aca="false">($L$2*M7789)/100</f>
        <v>396549.945</v>
      </c>
      <c r="M7789" s="15" t="n">
        <v>0.33</v>
      </c>
      <c r="N7789" s="9" t="s">
        <v>26</v>
      </c>
    </row>
    <row r="7790" customFormat="false" ht="14.25" hidden="false" customHeight="true" outlineLevel="0" collapsed="false">
      <c r="B7790" s="9" t="s">
        <v>16</v>
      </c>
      <c r="C7790" s="9" t="n">
        <v>1185732</v>
      </c>
      <c r="D7790" s="10" t="n">
        <v>43851</v>
      </c>
      <c r="E7790" s="9" t="s">
        <v>17</v>
      </c>
      <c r="F7790" s="9" t="s">
        <v>18</v>
      </c>
      <c r="G7790" s="9" t="s">
        <v>18</v>
      </c>
      <c r="H7790" s="11" t="s">
        <v>22</v>
      </c>
      <c r="I7790" s="12" t="n">
        <v>32</v>
      </c>
      <c r="J7790" s="13" t="n">
        <v>323</v>
      </c>
      <c r="K7790" s="14" t="n">
        <f aca="false">I7790*J7790</f>
        <v>10336</v>
      </c>
      <c r="L7790" s="14" t="n">
        <f aca="false">($L$2*M7790)/100</f>
        <v>456633.27</v>
      </c>
      <c r="M7790" s="15" t="n">
        <v>0.38</v>
      </c>
      <c r="N7790" s="9" t="s">
        <v>26</v>
      </c>
    </row>
    <row r="7791" customFormat="false" ht="14.25" hidden="false" customHeight="true" outlineLevel="0" collapsed="false">
      <c r="B7791" s="9" t="s">
        <v>16</v>
      </c>
      <c r="C7791" s="9" t="n">
        <v>1185732</v>
      </c>
      <c r="D7791" s="10" t="n">
        <v>43852</v>
      </c>
      <c r="E7791" s="9" t="s">
        <v>17</v>
      </c>
      <c r="F7791" s="9" t="s">
        <v>18</v>
      </c>
      <c r="G7791" s="9" t="s">
        <v>18</v>
      </c>
      <c r="H7791" s="11" t="s">
        <v>23</v>
      </c>
      <c r="I7791" s="12" t="n">
        <v>32</v>
      </c>
      <c r="J7791" s="13" t="n">
        <v>248</v>
      </c>
      <c r="K7791" s="14" t="n">
        <f aca="false">I7791*J7791</f>
        <v>7936</v>
      </c>
      <c r="L7791" s="14" t="n">
        <f aca="false">($L$2*M7791)/100</f>
        <v>456633.27</v>
      </c>
      <c r="M7791" s="15" t="n">
        <v>0.38</v>
      </c>
      <c r="N7791" s="9" t="s">
        <v>26</v>
      </c>
    </row>
    <row r="7792" customFormat="false" ht="14.25" hidden="false" customHeight="true" outlineLevel="0" collapsed="false">
      <c r="B7792" s="9" t="s">
        <v>16</v>
      </c>
      <c r="C7792" s="9" t="n">
        <v>1185732</v>
      </c>
      <c r="D7792" s="10" t="n">
        <v>43853</v>
      </c>
      <c r="E7792" s="9" t="s">
        <v>17</v>
      </c>
      <c r="F7792" s="9" t="s">
        <v>18</v>
      </c>
      <c r="G7792" s="9" t="s">
        <v>18</v>
      </c>
      <c r="H7792" s="11" t="s">
        <v>24</v>
      </c>
      <c r="I7792" s="12" t="n">
        <v>43</v>
      </c>
      <c r="J7792" s="13" t="n">
        <v>306</v>
      </c>
      <c r="K7792" s="14" t="n">
        <f aca="false">I7792*J7792</f>
        <v>13158</v>
      </c>
      <c r="L7792" s="14" t="n">
        <f aca="false">($L$2*M7792)/100</f>
        <v>420583.275</v>
      </c>
      <c r="M7792" s="15" t="n">
        <v>0.35</v>
      </c>
      <c r="N7792" s="9" t="s">
        <v>26</v>
      </c>
    </row>
    <row r="7793" customFormat="false" ht="14.25" hidden="false" customHeight="true" outlineLevel="0" collapsed="false">
      <c r="B7793" s="9" t="s">
        <v>16</v>
      </c>
      <c r="C7793" s="9" t="n">
        <v>1185732</v>
      </c>
      <c r="D7793" s="10" t="n">
        <v>43854</v>
      </c>
      <c r="E7793" s="9" t="s">
        <v>17</v>
      </c>
      <c r="F7793" s="9" t="s">
        <v>18</v>
      </c>
      <c r="G7793" s="9" t="s">
        <v>18</v>
      </c>
      <c r="H7793" s="11" t="s">
        <v>25</v>
      </c>
      <c r="I7793" s="12" t="n">
        <v>36</v>
      </c>
      <c r="J7793" s="13" t="n">
        <v>350</v>
      </c>
      <c r="K7793" s="14" t="n">
        <f aca="false">I7793*J7793</f>
        <v>12600</v>
      </c>
      <c r="L7793" s="14" t="n">
        <f aca="false">($L$2*M7793)/100</f>
        <v>348483.285</v>
      </c>
      <c r="M7793" s="15" t="n">
        <v>0.29</v>
      </c>
      <c r="N7793" s="9" t="s">
        <v>26</v>
      </c>
    </row>
    <row r="7794" customFormat="false" ht="14.25" hidden="false" customHeight="true" outlineLevel="0" collapsed="false">
      <c r="B7794" s="9" t="s">
        <v>16</v>
      </c>
      <c r="C7794" s="9" t="n">
        <v>1185732</v>
      </c>
      <c r="D7794" s="10" t="n">
        <v>43855</v>
      </c>
      <c r="E7794" s="9" t="s">
        <v>17</v>
      </c>
      <c r="F7794" s="9" t="s">
        <v>18</v>
      </c>
      <c r="G7794" s="9" t="s">
        <v>18</v>
      </c>
      <c r="H7794" s="11" t="s">
        <v>19</v>
      </c>
      <c r="I7794" s="12" t="n">
        <v>40</v>
      </c>
      <c r="J7794" s="13" t="n">
        <v>390</v>
      </c>
      <c r="K7794" s="14" t="n">
        <f aca="false">I7794*J7794</f>
        <v>15600</v>
      </c>
      <c r="L7794" s="14" t="n">
        <f aca="false">($L$2*M7794)/100</f>
        <v>624866.58</v>
      </c>
      <c r="M7794" s="15" t="n">
        <v>0.52</v>
      </c>
      <c r="N7794" s="9" t="s">
        <v>26</v>
      </c>
    </row>
    <row r="7795" customFormat="false" ht="14.25" hidden="false" customHeight="true" outlineLevel="0" collapsed="false">
      <c r="B7795" s="9" t="s">
        <v>16</v>
      </c>
      <c r="C7795" s="9" t="n">
        <v>1185732</v>
      </c>
      <c r="D7795" s="10" t="n">
        <v>43856</v>
      </c>
      <c r="E7795" s="9" t="s">
        <v>17</v>
      </c>
      <c r="F7795" s="9" t="s">
        <v>18</v>
      </c>
      <c r="G7795" s="9" t="s">
        <v>18</v>
      </c>
      <c r="H7795" s="11" t="s">
        <v>21</v>
      </c>
      <c r="I7795" s="12" t="n">
        <v>35</v>
      </c>
      <c r="J7795" s="13" t="n">
        <v>315</v>
      </c>
      <c r="K7795" s="14" t="n">
        <f aca="false">I7795*J7795</f>
        <v>11025</v>
      </c>
      <c r="L7795" s="14" t="n">
        <f aca="false">($L$2*M7795)/100</f>
        <v>432599.94</v>
      </c>
      <c r="M7795" s="15" t="n">
        <v>0.36</v>
      </c>
      <c r="N7795" s="9" t="s">
        <v>26</v>
      </c>
    </row>
    <row r="7796" customFormat="false" ht="14.25" hidden="false" customHeight="true" outlineLevel="0" collapsed="false">
      <c r="B7796" s="9" t="s">
        <v>16</v>
      </c>
      <c r="C7796" s="9" t="n">
        <v>1185732</v>
      </c>
      <c r="D7796" s="10" t="n">
        <v>43857</v>
      </c>
      <c r="E7796" s="9" t="s">
        <v>17</v>
      </c>
      <c r="F7796" s="9" t="s">
        <v>18</v>
      </c>
      <c r="G7796" s="9" t="s">
        <v>18</v>
      </c>
      <c r="H7796" s="11" t="s">
        <v>22</v>
      </c>
      <c r="I7796" s="12" t="n">
        <v>27</v>
      </c>
      <c r="J7796" s="13" t="n">
        <v>314</v>
      </c>
      <c r="K7796" s="14" t="n">
        <f aca="false">I7796*J7796</f>
        <v>8478</v>
      </c>
      <c r="L7796" s="14" t="n">
        <f aca="false">($L$2*M7796)/100</f>
        <v>492683.265</v>
      </c>
      <c r="M7796" s="15" t="n">
        <v>0.41</v>
      </c>
      <c r="N7796" s="9" t="s">
        <v>26</v>
      </c>
    </row>
    <row r="7797" customFormat="false" ht="14.25" hidden="false" customHeight="true" outlineLevel="0" collapsed="false">
      <c r="B7797" s="9" t="s">
        <v>16</v>
      </c>
      <c r="C7797" s="9" t="n">
        <v>1185732</v>
      </c>
      <c r="D7797" s="10" t="n">
        <v>43858</v>
      </c>
      <c r="E7797" s="9" t="s">
        <v>17</v>
      </c>
      <c r="F7797" s="9" t="s">
        <v>18</v>
      </c>
      <c r="G7797" s="9" t="s">
        <v>18</v>
      </c>
      <c r="H7797" s="11" t="s">
        <v>23</v>
      </c>
      <c r="I7797" s="12" t="n">
        <v>31</v>
      </c>
      <c r="J7797" s="13" t="n">
        <v>240</v>
      </c>
      <c r="K7797" s="14" t="n">
        <f aca="false">I7797*J7797</f>
        <v>7440</v>
      </c>
      <c r="L7797" s="14" t="n">
        <f aca="false">($L$2*M7797)/100</f>
        <v>480666.6</v>
      </c>
      <c r="M7797" s="15" t="n">
        <v>0.4</v>
      </c>
      <c r="N7797" s="9" t="s">
        <v>26</v>
      </c>
    </row>
    <row r="7798" customFormat="false" ht="14.25" hidden="false" customHeight="true" outlineLevel="0" collapsed="false">
      <c r="B7798" s="9" t="s">
        <v>16</v>
      </c>
      <c r="C7798" s="9" t="n">
        <v>1185732</v>
      </c>
      <c r="D7798" s="10" t="n">
        <v>43859</v>
      </c>
      <c r="E7798" s="9" t="s">
        <v>17</v>
      </c>
      <c r="F7798" s="9" t="s">
        <v>18</v>
      </c>
      <c r="G7798" s="9" t="s">
        <v>18</v>
      </c>
      <c r="H7798" s="11" t="s">
        <v>24</v>
      </c>
      <c r="I7798" s="12" t="n">
        <v>43</v>
      </c>
      <c r="J7798" s="13" t="n">
        <v>289</v>
      </c>
      <c r="K7798" s="14" t="n">
        <f aca="false">I7798*J7798</f>
        <v>12427</v>
      </c>
      <c r="L7798" s="14" t="n">
        <f aca="false">($L$2*M7798)/100</f>
        <v>384533.28</v>
      </c>
      <c r="M7798" s="15" t="n">
        <v>0.32</v>
      </c>
      <c r="N7798" s="9" t="s">
        <v>26</v>
      </c>
    </row>
    <row r="7799" customFormat="false" ht="14.25" hidden="false" customHeight="true" outlineLevel="0" collapsed="false">
      <c r="B7799" s="9" t="s">
        <v>16</v>
      </c>
      <c r="C7799" s="9" t="n">
        <v>1185732</v>
      </c>
      <c r="D7799" s="10" t="n">
        <v>43860</v>
      </c>
      <c r="E7799" s="9" t="s">
        <v>17</v>
      </c>
      <c r="F7799" s="9" t="s">
        <v>18</v>
      </c>
      <c r="G7799" s="9" t="s">
        <v>18</v>
      </c>
      <c r="H7799" s="11" t="s">
        <v>25</v>
      </c>
      <c r="I7799" s="12" t="n">
        <v>36</v>
      </c>
      <c r="J7799" s="13" t="n">
        <v>323</v>
      </c>
      <c r="K7799" s="14" t="n">
        <f aca="false">I7799*J7799</f>
        <v>11628</v>
      </c>
      <c r="L7799" s="14" t="n">
        <f aca="false">($L$2*M7799)/100</f>
        <v>324449.955</v>
      </c>
      <c r="M7799" s="15" t="n">
        <v>0.27</v>
      </c>
      <c r="N7799" s="9" t="s">
        <v>26</v>
      </c>
    </row>
    <row r="7800" customFormat="false" ht="14.25" hidden="false" customHeight="true" outlineLevel="0" collapsed="false">
      <c r="B7800" s="9" t="s">
        <v>16</v>
      </c>
      <c r="C7800" s="9" t="n">
        <v>1185732</v>
      </c>
      <c r="D7800" s="10" t="n">
        <v>43861</v>
      </c>
      <c r="E7800" s="9" t="s">
        <v>17</v>
      </c>
      <c r="F7800" s="9" t="s">
        <v>18</v>
      </c>
      <c r="G7800" s="9" t="s">
        <v>18</v>
      </c>
      <c r="H7800" s="11" t="s">
        <v>19</v>
      </c>
      <c r="I7800" s="12" t="n">
        <v>33</v>
      </c>
      <c r="J7800" s="13" t="n">
        <v>372</v>
      </c>
      <c r="K7800" s="14" t="n">
        <f aca="false">I7800*J7800</f>
        <v>12276</v>
      </c>
      <c r="L7800" s="14" t="n">
        <f aca="false">($L$2*M7800)/100</f>
        <v>648899.91</v>
      </c>
      <c r="M7800" s="15" t="n">
        <v>0.54</v>
      </c>
      <c r="N7800" s="9" t="s">
        <v>26</v>
      </c>
    </row>
    <row r="7801" customFormat="false" ht="14.25" hidden="false" customHeight="true" outlineLevel="0" collapsed="false">
      <c r="B7801" s="9" t="s">
        <v>16</v>
      </c>
      <c r="C7801" s="9" t="n">
        <v>1185732</v>
      </c>
      <c r="D7801" s="10" t="n">
        <v>43862</v>
      </c>
      <c r="E7801" s="9" t="s">
        <v>17</v>
      </c>
      <c r="F7801" s="9" t="s">
        <v>18</v>
      </c>
      <c r="G7801" s="9" t="s">
        <v>18</v>
      </c>
      <c r="H7801" s="11" t="s">
        <v>21</v>
      </c>
      <c r="I7801" s="12" t="n">
        <v>35</v>
      </c>
      <c r="J7801" s="13" t="n">
        <v>315</v>
      </c>
      <c r="K7801" s="14" t="n">
        <f aca="false">I7801*J7801</f>
        <v>11025</v>
      </c>
      <c r="L7801" s="14" t="n">
        <f aca="false">($L$2*M7801)/100</f>
        <v>396549.945</v>
      </c>
      <c r="M7801" s="15" t="n">
        <v>0.33</v>
      </c>
      <c r="N7801" s="9" t="s">
        <v>26</v>
      </c>
    </row>
    <row r="7802" customFormat="false" ht="14.25" hidden="false" customHeight="true" outlineLevel="0" collapsed="false">
      <c r="B7802" s="9" t="s">
        <v>16</v>
      </c>
      <c r="C7802" s="9" t="n">
        <v>1185732</v>
      </c>
      <c r="D7802" s="10" t="n">
        <v>43863</v>
      </c>
      <c r="E7802" s="9" t="s">
        <v>17</v>
      </c>
      <c r="F7802" s="9" t="s">
        <v>18</v>
      </c>
      <c r="G7802" s="9" t="s">
        <v>18</v>
      </c>
      <c r="H7802" s="11" t="s">
        <v>22</v>
      </c>
      <c r="I7802" s="12" t="n">
        <v>28</v>
      </c>
      <c r="J7802" s="13" t="n">
        <v>315</v>
      </c>
      <c r="K7802" s="14" t="n">
        <f aca="false">I7802*J7802</f>
        <v>8820</v>
      </c>
      <c r="L7802" s="14" t="n">
        <f aca="false">($L$2*M7802)/100</f>
        <v>456633.27</v>
      </c>
      <c r="M7802" s="15" t="n">
        <v>0.38</v>
      </c>
      <c r="N7802" s="9" t="s">
        <v>26</v>
      </c>
    </row>
    <row r="7803" customFormat="false" ht="14.25" hidden="false" customHeight="true" outlineLevel="0" collapsed="false">
      <c r="B7803" s="9" t="s">
        <v>16</v>
      </c>
      <c r="C7803" s="9" t="n">
        <v>1185732</v>
      </c>
      <c r="D7803" s="10" t="n">
        <v>43864</v>
      </c>
      <c r="E7803" s="9" t="s">
        <v>17</v>
      </c>
      <c r="F7803" s="9" t="s">
        <v>18</v>
      </c>
      <c r="G7803" s="9" t="s">
        <v>18</v>
      </c>
      <c r="H7803" s="11" t="s">
        <v>23</v>
      </c>
      <c r="I7803" s="12" t="n">
        <v>31</v>
      </c>
      <c r="J7803" s="13" t="n">
        <v>289</v>
      </c>
      <c r="K7803" s="14" t="n">
        <f aca="false">I7803*J7803</f>
        <v>8959</v>
      </c>
      <c r="L7803" s="14" t="n">
        <f aca="false">($L$2*M7803)/100</f>
        <v>444616.605</v>
      </c>
      <c r="M7803" s="15" t="n">
        <v>0.37</v>
      </c>
      <c r="N7803" s="9" t="s">
        <v>26</v>
      </c>
    </row>
    <row r="7804" customFormat="false" ht="14.25" hidden="false" customHeight="true" outlineLevel="0" collapsed="false">
      <c r="B7804" s="9" t="s">
        <v>16</v>
      </c>
      <c r="C7804" s="9" t="n">
        <v>1185732</v>
      </c>
      <c r="D7804" s="10" t="n">
        <v>43865</v>
      </c>
      <c r="E7804" s="9" t="s">
        <v>17</v>
      </c>
      <c r="F7804" s="9" t="s">
        <v>18</v>
      </c>
      <c r="G7804" s="9" t="s">
        <v>18</v>
      </c>
      <c r="H7804" s="11" t="s">
        <v>24</v>
      </c>
      <c r="I7804" s="12" t="n">
        <v>44</v>
      </c>
      <c r="J7804" s="13" t="n">
        <v>281</v>
      </c>
      <c r="K7804" s="14" t="n">
        <f aca="false">I7804*J7804</f>
        <v>12364</v>
      </c>
      <c r="L7804" s="14" t="n">
        <f aca="false">($L$2*M7804)/100</f>
        <v>432599.94</v>
      </c>
      <c r="M7804" s="15" t="n">
        <v>0.36</v>
      </c>
      <c r="N7804" s="9" t="s">
        <v>26</v>
      </c>
    </row>
    <row r="7805" customFormat="false" ht="14.25" hidden="false" customHeight="true" outlineLevel="0" collapsed="false">
      <c r="B7805" s="9" t="s">
        <v>16</v>
      </c>
      <c r="C7805" s="9" t="n">
        <v>1185732</v>
      </c>
      <c r="D7805" s="10" t="n">
        <v>43866</v>
      </c>
      <c r="E7805" s="9" t="s">
        <v>17</v>
      </c>
      <c r="F7805" s="9" t="s">
        <v>18</v>
      </c>
      <c r="G7805" s="9" t="s">
        <v>18</v>
      </c>
      <c r="H7805" s="11" t="s">
        <v>25</v>
      </c>
      <c r="I7805" s="12" t="n">
        <v>39</v>
      </c>
      <c r="J7805" s="13" t="n">
        <v>333</v>
      </c>
      <c r="K7805" s="14" t="n">
        <f aca="false">I7805*J7805</f>
        <v>12987</v>
      </c>
      <c r="L7805" s="14" t="n">
        <f aca="false">($L$2*M7805)/100</f>
        <v>324449.955</v>
      </c>
      <c r="M7805" s="15" t="n">
        <v>0.27</v>
      </c>
      <c r="N7805" s="9" t="s">
        <v>26</v>
      </c>
    </row>
    <row r="7806" customFormat="false" ht="14.25" hidden="false" customHeight="true" outlineLevel="0" collapsed="false">
      <c r="B7806" s="9" t="s">
        <v>16</v>
      </c>
      <c r="C7806" s="9" t="n">
        <v>1185732</v>
      </c>
      <c r="D7806" s="10" t="n">
        <v>43867</v>
      </c>
      <c r="E7806" s="9" t="s">
        <v>17</v>
      </c>
      <c r="F7806" s="9" t="s">
        <v>18</v>
      </c>
      <c r="G7806" s="9" t="s">
        <v>18</v>
      </c>
      <c r="H7806" s="11" t="s">
        <v>19</v>
      </c>
      <c r="I7806" s="12" t="n">
        <v>44</v>
      </c>
      <c r="J7806" s="13" t="n">
        <v>366</v>
      </c>
      <c r="K7806" s="14" t="n">
        <f aca="false">I7806*J7806</f>
        <v>16104</v>
      </c>
      <c r="L7806" s="14" t="n">
        <f aca="false">($L$2*M7806)/100</f>
        <v>624866.58</v>
      </c>
      <c r="M7806" s="15" t="n">
        <v>0.52</v>
      </c>
      <c r="N7806" s="9" t="s">
        <v>26</v>
      </c>
    </row>
    <row r="7807" customFormat="false" ht="14.25" hidden="false" customHeight="true" outlineLevel="0" collapsed="false">
      <c r="B7807" s="9" t="s">
        <v>16</v>
      </c>
      <c r="C7807" s="9" t="n">
        <v>1185732</v>
      </c>
      <c r="D7807" s="10" t="n">
        <v>43868</v>
      </c>
      <c r="E7807" s="9" t="s">
        <v>17</v>
      </c>
      <c r="F7807" s="9" t="s">
        <v>18</v>
      </c>
      <c r="G7807" s="9" t="s">
        <v>18</v>
      </c>
      <c r="H7807" s="11" t="s">
        <v>21</v>
      </c>
      <c r="I7807" s="12" t="n">
        <v>37</v>
      </c>
      <c r="J7807" s="13" t="n">
        <v>296</v>
      </c>
      <c r="K7807" s="14" t="n">
        <f aca="false">I7807*J7807</f>
        <v>10952</v>
      </c>
      <c r="L7807" s="14" t="n">
        <f aca="false">($L$2*M7807)/100</f>
        <v>420583.275</v>
      </c>
      <c r="M7807" s="15" t="n">
        <v>0.35</v>
      </c>
      <c r="N7807" s="9" t="s">
        <v>26</v>
      </c>
    </row>
    <row r="7808" customFormat="false" ht="14.25" hidden="false" customHeight="true" outlineLevel="0" collapsed="false">
      <c r="B7808" s="9" t="s">
        <v>16</v>
      </c>
      <c r="C7808" s="9" t="n">
        <v>1185732</v>
      </c>
      <c r="D7808" s="10" t="n">
        <v>43869</v>
      </c>
      <c r="E7808" s="9" t="s">
        <v>17</v>
      </c>
      <c r="F7808" s="9" t="s">
        <v>18</v>
      </c>
      <c r="G7808" s="9" t="s">
        <v>18</v>
      </c>
      <c r="H7808" s="11" t="s">
        <v>22</v>
      </c>
      <c r="I7808" s="12" t="n">
        <v>36</v>
      </c>
      <c r="J7808" s="13" t="n">
        <v>288</v>
      </c>
      <c r="K7808" s="14" t="n">
        <f aca="false">I7808*J7808</f>
        <v>10368</v>
      </c>
      <c r="L7808" s="14" t="n">
        <f aca="false">($L$2*M7808)/100</f>
        <v>504699.93</v>
      </c>
      <c r="M7808" s="15" t="n">
        <v>0.42</v>
      </c>
      <c r="N7808" s="9" t="s">
        <v>26</v>
      </c>
    </row>
    <row r="7809" customFormat="false" ht="14.25" hidden="false" customHeight="true" outlineLevel="0" collapsed="false">
      <c r="B7809" s="9" t="s">
        <v>16</v>
      </c>
      <c r="C7809" s="9" t="n">
        <v>1185732</v>
      </c>
      <c r="D7809" s="10" t="n">
        <v>43870</v>
      </c>
      <c r="E7809" s="9" t="s">
        <v>17</v>
      </c>
      <c r="F7809" s="9" t="s">
        <v>18</v>
      </c>
      <c r="G7809" s="9" t="s">
        <v>18</v>
      </c>
      <c r="H7809" s="11" t="s">
        <v>23</v>
      </c>
      <c r="I7809" s="12" t="n">
        <v>33</v>
      </c>
      <c r="J7809" s="13" t="n">
        <v>289</v>
      </c>
      <c r="K7809" s="14" t="n">
        <f aca="false">I7809*J7809</f>
        <v>9537</v>
      </c>
      <c r="L7809" s="14" t="n">
        <f aca="false">($L$2*M7809)/100</f>
        <v>480666.6</v>
      </c>
      <c r="M7809" s="15" t="n">
        <v>0.4</v>
      </c>
      <c r="N7809" s="9" t="s">
        <v>26</v>
      </c>
    </row>
    <row r="7810" customFormat="false" ht="14.25" hidden="false" customHeight="true" outlineLevel="0" collapsed="false">
      <c r="B7810" s="9" t="s">
        <v>16</v>
      </c>
      <c r="C7810" s="9" t="n">
        <v>1185732</v>
      </c>
      <c r="D7810" s="10" t="n">
        <v>43871</v>
      </c>
      <c r="E7810" s="9" t="s">
        <v>17</v>
      </c>
      <c r="F7810" s="9" t="s">
        <v>18</v>
      </c>
      <c r="G7810" s="9" t="s">
        <v>18</v>
      </c>
      <c r="H7810" s="11" t="s">
        <v>24</v>
      </c>
      <c r="I7810" s="12" t="n">
        <v>47</v>
      </c>
      <c r="J7810" s="13" t="n">
        <v>280</v>
      </c>
      <c r="K7810" s="14" t="n">
        <f aca="false">I7810*J7810</f>
        <v>13160</v>
      </c>
      <c r="L7810" s="14" t="n">
        <f aca="false">($L$2*M7810)/100</f>
        <v>420583.275</v>
      </c>
      <c r="M7810" s="15" t="n">
        <v>0.35</v>
      </c>
      <c r="N7810" s="9" t="s">
        <v>26</v>
      </c>
    </row>
    <row r="7811" customFormat="false" ht="14.25" hidden="false" customHeight="true" outlineLevel="0" collapsed="false">
      <c r="B7811" s="9" t="s">
        <v>16</v>
      </c>
      <c r="C7811" s="9" t="n">
        <v>1185732</v>
      </c>
      <c r="D7811" s="10" t="n">
        <v>43893</v>
      </c>
      <c r="E7811" s="9" t="s">
        <v>17</v>
      </c>
      <c r="F7811" s="9" t="s">
        <v>18</v>
      </c>
      <c r="G7811" s="9" t="s">
        <v>18</v>
      </c>
      <c r="H7811" s="11" t="s">
        <v>25</v>
      </c>
      <c r="I7811" s="12" t="n">
        <v>44</v>
      </c>
      <c r="J7811" s="13" t="n">
        <v>320</v>
      </c>
      <c r="K7811" s="14" t="n">
        <f aca="false">I7811*J7811</f>
        <v>14080</v>
      </c>
      <c r="L7811" s="14" t="n">
        <f aca="false">($L$2*M7811)/100</f>
        <v>348483.285</v>
      </c>
      <c r="M7811" s="15" t="n">
        <v>0.29</v>
      </c>
      <c r="N7811" s="9" t="s">
        <v>26</v>
      </c>
    </row>
    <row r="7812" customFormat="false" ht="14.25" hidden="false" customHeight="true" outlineLevel="0" collapsed="false">
      <c r="B7812" s="9" t="s">
        <v>16</v>
      </c>
      <c r="C7812" s="9" t="n">
        <v>1185732</v>
      </c>
      <c r="D7812" s="10" t="n">
        <v>43894</v>
      </c>
      <c r="E7812" s="9" t="s">
        <v>17</v>
      </c>
      <c r="F7812" s="9" t="s">
        <v>18</v>
      </c>
      <c r="G7812" s="9" t="s">
        <v>18</v>
      </c>
      <c r="H7812" s="11" t="s">
        <v>19</v>
      </c>
      <c r="I7812" s="12" t="n">
        <v>47</v>
      </c>
      <c r="J7812" s="13" t="n">
        <v>400</v>
      </c>
      <c r="K7812" s="14" t="n">
        <f aca="false">I7812*J7812</f>
        <v>18800</v>
      </c>
      <c r="L7812" s="14" t="n">
        <f aca="false">($L$2*M7812)/100</f>
        <v>624866.58</v>
      </c>
      <c r="M7812" s="15" t="n">
        <v>0.52</v>
      </c>
      <c r="N7812" s="9" t="s">
        <v>26</v>
      </c>
    </row>
    <row r="7813" customFormat="false" ht="14.25" hidden="false" customHeight="true" outlineLevel="0" collapsed="false">
      <c r="B7813" s="9" t="s">
        <v>16</v>
      </c>
      <c r="C7813" s="9" t="n">
        <v>1185732</v>
      </c>
      <c r="D7813" s="10" t="n">
        <v>43895</v>
      </c>
      <c r="E7813" s="9" t="s">
        <v>17</v>
      </c>
      <c r="F7813" s="9" t="s">
        <v>18</v>
      </c>
      <c r="G7813" s="9" t="s">
        <v>18</v>
      </c>
      <c r="H7813" s="11" t="s">
        <v>21</v>
      </c>
      <c r="I7813" s="12" t="n">
        <v>41</v>
      </c>
      <c r="J7813" s="13" t="n">
        <v>340</v>
      </c>
      <c r="K7813" s="14" t="n">
        <f aca="false">I7813*J7813</f>
        <v>13940</v>
      </c>
      <c r="L7813" s="14" t="n">
        <f aca="false">($L$2*M7813)/100</f>
        <v>408566.61</v>
      </c>
      <c r="M7813" s="15" t="n">
        <v>0.34</v>
      </c>
      <c r="N7813" s="9" t="s">
        <v>26</v>
      </c>
    </row>
    <row r="7814" customFormat="false" ht="14.25" hidden="false" customHeight="true" outlineLevel="0" collapsed="false">
      <c r="B7814" s="9" t="s">
        <v>16</v>
      </c>
      <c r="C7814" s="9" t="n">
        <v>1185732</v>
      </c>
      <c r="D7814" s="10" t="n">
        <v>43896</v>
      </c>
      <c r="E7814" s="9" t="s">
        <v>17</v>
      </c>
      <c r="F7814" s="9" t="s">
        <v>18</v>
      </c>
      <c r="G7814" s="9" t="s">
        <v>18</v>
      </c>
      <c r="H7814" s="11" t="s">
        <v>22</v>
      </c>
      <c r="I7814" s="12" t="n">
        <v>37</v>
      </c>
      <c r="J7814" s="13" t="n">
        <v>296</v>
      </c>
      <c r="K7814" s="14" t="n">
        <f aca="false">I7814*J7814</f>
        <v>10952</v>
      </c>
      <c r="L7814" s="14" t="n">
        <f aca="false">($L$2*M7814)/100</f>
        <v>492683.265</v>
      </c>
      <c r="M7814" s="15" t="n">
        <v>0.41</v>
      </c>
      <c r="N7814" s="9" t="s">
        <v>26</v>
      </c>
    </row>
    <row r="7815" customFormat="false" ht="14.25" hidden="false" customHeight="true" outlineLevel="0" collapsed="false">
      <c r="B7815" s="9" t="s">
        <v>16</v>
      </c>
      <c r="C7815" s="9" t="n">
        <v>1185732</v>
      </c>
      <c r="D7815" s="10" t="n">
        <v>43897</v>
      </c>
      <c r="E7815" s="9" t="s">
        <v>17</v>
      </c>
      <c r="F7815" s="9" t="s">
        <v>18</v>
      </c>
      <c r="G7815" s="9" t="s">
        <v>18</v>
      </c>
      <c r="H7815" s="11" t="s">
        <v>23</v>
      </c>
      <c r="I7815" s="12" t="n">
        <v>38</v>
      </c>
      <c r="J7815" s="13" t="n">
        <v>297</v>
      </c>
      <c r="K7815" s="14" t="n">
        <f aca="false">I7815*J7815</f>
        <v>11286</v>
      </c>
      <c r="L7815" s="14" t="n">
        <f aca="false">($L$2*M7815)/100</f>
        <v>456633.27</v>
      </c>
      <c r="M7815" s="15" t="n">
        <v>0.38</v>
      </c>
      <c r="N7815" s="9" t="s">
        <v>26</v>
      </c>
    </row>
    <row r="7816" customFormat="false" ht="14.25" hidden="false" customHeight="true" outlineLevel="0" collapsed="false">
      <c r="B7816" s="9" t="s">
        <v>16</v>
      </c>
      <c r="C7816" s="9" t="n">
        <v>1185732</v>
      </c>
      <c r="D7816" s="10" t="n">
        <v>43898</v>
      </c>
      <c r="E7816" s="9" t="s">
        <v>17</v>
      </c>
      <c r="F7816" s="9" t="s">
        <v>18</v>
      </c>
      <c r="G7816" s="9" t="s">
        <v>18</v>
      </c>
      <c r="H7816" s="11" t="s">
        <v>24</v>
      </c>
      <c r="I7816" s="12" t="n">
        <v>45</v>
      </c>
      <c r="J7816" s="13" t="n">
        <v>288</v>
      </c>
      <c r="K7816" s="14" t="n">
        <f aca="false">I7816*J7816</f>
        <v>12960</v>
      </c>
      <c r="L7816" s="14" t="n">
        <f aca="false">($L$2*M7816)/100</f>
        <v>408566.61</v>
      </c>
      <c r="M7816" s="15" t="n">
        <v>0.34</v>
      </c>
      <c r="N7816" s="9" t="s">
        <v>26</v>
      </c>
    </row>
    <row r="7817" customFormat="false" ht="14.25" hidden="false" customHeight="true" outlineLevel="0" collapsed="false">
      <c r="B7817" s="9" t="s">
        <v>16</v>
      </c>
      <c r="C7817" s="9" t="n">
        <v>1185732</v>
      </c>
      <c r="D7817" s="10" t="n">
        <v>43899</v>
      </c>
      <c r="E7817" s="9" t="s">
        <v>17</v>
      </c>
      <c r="F7817" s="9" t="s">
        <v>18</v>
      </c>
      <c r="G7817" s="9" t="s">
        <v>18</v>
      </c>
      <c r="H7817" s="11" t="s">
        <v>25</v>
      </c>
      <c r="I7817" s="12" t="n">
        <v>46</v>
      </c>
      <c r="J7817" s="13" t="n">
        <v>347</v>
      </c>
      <c r="K7817" s="14" t="n">
        <f aca="false">I7817*J7817</f>
        <v>15962</v>
      </c>
      <c r="L7817" s="14" t="n">
        <f aca="false">($L$2*M7817)/100</f>
        <v>384533.28</v>
      </c>
      <c r="M7817" s="15" t="n">
        <v>0.32</v>
      </c>
      <c r="N7817" s="9" t="s">
        <v>26</v>
      </c>
    </row>
    <row r="7818" customFormat="false" ht="14.25" hidden="false" customHeight="true" outlineLevel="0" collapsed="false">
      <c r="B7818" s="9" t="s">
        <v>16</v>
      </c>
      <c r="C7818" s="9" t="n">
        <v>1185732</v>
      </c>
      <c r="D7818" s="10" t="n">
        <v>43900</v>
      </c>
      <c r="E7818" s="9" t="s">
        <v>17</v>
      </c>
      <c r="F7818" s="9" t="s">
        <v>18</v>
      </c>
      <c r="G7818" s="9" t="s">
        <v>18</v>
      </c>
      <c r="H7818" s="11" t="s">
        <v>19</v>
      </c>
      <c r="I7818" s="12" t="n">
        <v>44</v>
      </c>
      <c r="J7818" s="13" t="n">
        <v>434</v>
      </c>
      <c r="K7818" s="14" t="n">
        <f aca="false">I7818*J7818</f>
        <v>19096</v>
      </c>
      <c r="L7818" s="14" t="n">
        <f aca="false">($L$2*M7818)/100</f>
        <v>624866.58</v>
      </c>
      <c r="M7818" s="15" t="n">
        <v>0.52</v>
      </c>
      <c r="N7818" s="9" t="s">
        <v>26</v>
      </c>
    </row>
    <row r="7819" customFormat="false" ht="14.25" hidden="false" customHeight="true" outlineLevel="0" collapsed="false">
      <c r="B7819" s="9" t="s">
        <v>16</v>
      </c>
      <c r="C7819" s="9" t="n">
        <v>1185732</v>
      </c>
      <c r="D7819" s="10" t="n">
        <v>43901</v>
      </c>
      <c r="E7819" s="9" t="s">
        <v>17</v>
      </c>
      <c r="F7819" s="9" t="s">
        <v>18</v>
      </c>
      <c r="G7819" s="9" t="s">
        <v>18</v>
      </c>
      <c r="H7819" s="11" t="s">
        <v>21</v>
      </c>
      <c r="I7819" s="12" t="n">
        <v>41</v>
      </c>
      <c r="J7819" s="13" t="n">
        <v>318</v>
      </c>
      <c r="K7819" s="14" t="n">
        <f aca="false">I7819*J7819</f>
        <v>13038</v>
      </c>
      <c r="L7819" s="14" t="n">
        <f aca="false">($L$2*M7819)/100</f>
        <v>444616.605</v>
      </c>
      <c r="M7819" s="15" t="n">
        <v>0.37</v>
      </c>
      <c r="N7819" s="9" t="s">
        <v>26</v>
      </c>
    </row>
    <row r="7820" customFormat="false" ht="14.25" hidden="false" customHeight="true" outlineLevel="0" collapsed="false">
      <c r="B7820" s="9" t="s">
        <v>16</v>
      </c>
      <c r="C7820" s="9" t="n">
        <v>1185732</v>
      </c>
      <c r="D7820" s="10" t="n">
        <v>43902</v>
      </c>
      <c r="E7820" s="9" t="s">
        <v>17</v>
      </c>
      <c r="F7820" s="9" t="s">
        <v>18</v>
      </c>
      <c r="G7820" s="9" t="s">
        <v>18</v>
      </c>
      <c r="H7820" s="11" t="s">
        <v>22</v>
      </c>
      <c r="I7820" s="12" t="n">
        <v>35</v>
      </c>
      <c r="J7820" s="13" t="n">
        <v>295</v>
      </c>
      <c r="K7820" s="14" t="n">
        <f aca="false">I7820*J7820</f>
        <v>10325</v>
      </c>
      <c r="L7820" s="14" t="n">
        <f aca="false">($L$2*M7820)/100</f>
        <v>504699.93</v>
      </c>
      <c r="M7820" s="15" t="n">
        <v>0.42</v>
      </c>
      <c r="N7820" s="9" t="s">
        <v>26</v>
      </c>
    </row>
    <row r="7821" customFormat="false" ht="14.25" hidden="false" customHeight="true" outlineLevel="0" collapsed="false">
      <c r="B7821" s="9" t="s">
        <v>16</v>
      </c>
      <c r="C7821" s="9" t="n">
        <v>1185732</v>
      </c>
      <c r="D7821" s="10" t="n">
        <v>43903</v>
      </c>
      <c r="E7821" s="9" t="s">
        <v>17</v>
      </c>
      <c r="F7821" s="9" t="s">
        <v>18</v>
      </c>
      <c r="G7821" s="9" t="s">
        <v>18</v>
      </c>
      <c r="H7821" s="11" t="s">
        <v>23</v>
      </c>
      <c r="I7821" s="12" t="n">
        <v>35</v>
      </c>
      <c r="J7821" s="13" t="n">
        <v>270</v>
      </c>
      <c r="K7821" s="14" t="n">
        <f aca="false">I7821*J7821</f>
        <v>9450</v>
      </c>
      <c r="L7821" s="14" t="n">
        <f aca="false">($L$2*M7821)/100</f>
        <v>444616.605</v>
      </c>
      <c r="M7821" s="15" t="n">
        <v>0.37</v>
      </c>
      <c r="N7821" s="9" t="s">
        <v>26</v>
      </c>
    </row>
    <row r="7822" customFormat="false" ht="14.25" hidden="false" customHeight="true" outlineLevel="0" collapsed="false">
      <c r="B7822" s="9" t="s">
        <v>16</v>
      </c>
      <c r="C7822" s="9" t="n">
        <v>1185732</v>
      </c>
      <c r="D7822" s="10" t="n">
        <v>43904</v>
      </c>
      <c r="E7822" s="9" t="s">
        <v>17</v>
      </c>
      <c r="F7822" s="9" t="s">
        <v>18</v>
      </c>
      <c r="G7822" s="9" t="s">
        <v>18</v>
      </c>
      <c r="H7822" s="11" t="s">
        <v>24</v>
      </c>
      <c r="I7822" s="12" t="n">
        <v>46</v>
      </c>
      <c r="J7822" s="13" t="n">
        <v>278</v>
      </c>
      <c r="K7822" s="14" t="n">
        <f aca="false">I7822*J7822</f>
        <v>12788</v>
      </c>
      <c r="L7822" s="14" t="n">
        <f aca="false">($L$2*M7822)/100</f>
        <v>408566.61</v>
      </c>
      <c r="M7822" s="15" t="n">
        <v>0.34</v>
      </c>
      <c r="N7822" s="9" t="s">
        <v>26</v>
      </c>
    </row>
    <row r="7823" customFormat="false" ht="14.25" hidden="false" customHeight="true" outlineLevel="0" collapsed="false">
      <c r="B7823" s="9" t="s">
        <v>16</v>
      </c>
      <c r="C7823" s="9" t="n">
        <v>1185732</v>
      </c>
      <c r="D7823" s="10" t="n">
        <v>43905</v>
      </c>
      <c r="E7823" s="9" t="s">
        <v>17</v>
      </c>
      <c r="F7823" s="9" t="s">
        <v>18</v>
      </c>
      <c r="G7823" s="9" t="s">
        <v>18</v>
      </c>
      <c r="H7823" s="11" t="s">
        <v>25</v>
      </c>
      <c r="I7823" s="12" t="n">
        <v>47</v>
      </c>
      <c r="J7823" s="13" t="n">
        <v>352</v>
      </c>
      <c r="K7823" s="14" t="n">
        <f aca="false">I7823*J7823</f>
        <v>16544</v>
      </c>
      <c r="L7823" s="14" t="n">
        <f aca="false">($L$2*M7823)/100</f>
        <v>324449.955</v>
      </c>
      <c r="M7823" s="15" t="n">
        <v>0.27</v>
      </c>
      <c r="N7823" s="9" t="s">
        <v>26</v>
      </c>
    </row>
    <row r="7824" customFormat="false" ht="14.25" hidden="false" customHeight="true" outlineLevel="0" collapsed="false">
      <c r="B7824" s="9" t="s">
        <v>16</v>
      </c>
      <c r="C7824" s="9" t="n">
        <v>1185732</v>
      </c>
      <c r="D7824" s="10" t="n">
        <v>43906</v>
      </c>
      <c r="E7824" s="9" t="s">
        <v>17</v>
      </c>
      <c r="F7824" s="9" t="s">
        <v>18</v>
      </c>
      <c r="G7824" s="9" t="s">
        <v>18</v>
      </c>
      <c r="H7824" s="11" t="s">
        <v>19</v>
      </c>
      <c r="I7824" s="12" t="n">
        <v>41</v>
      </c>
      <c r="J7824" s="13" t="n">
        <v>375</v>
      </c>
      <c r="K7824" s="14" t="n">
        <f aca="false">I7824*J7824</f>
        <v>15375</v>
      </c>
      <c r="L7824" s="14" t="n">
        <f aca="false">($L$2*M7824)/100</f>
        <v>624866.58</v>
      </c>
      <c r="M7824" s="15" t="n">
        <v>0.52</v>
      </c>
      <c r="N7824" s="9" t="s">
        <v>26</v>
      </c>
    </row>
    <row r="7825" customFormat="false" ht="14.25" hidden="false" customHeight="true" outlineLevel="0" collapsed="false">
      <c r="B7825" s="9" t="s">
        <v>16</v>
      </c>
      <c r="C7825" s="9" t="n">
        <v>1185732</v>
      </c>
      <c r="D7825" s="10" t="n">
        <v>43907</v>
      </c>
      <c r="E7825" s="9" t="s">
        <v>17</v>
      </c>
      <c r="F7825" s="9" t="s">
        <v>18</v>
      </c>
      <c r="G7825" s="9" t="s">
        <v>18</v>
      </c>
      <c r="H7825" s="11" t="s">
        <v>21</v>
      </c>
      <c r="I7825" s="12" t="n">
        <v>37</v>
      </c>
      <c r="J7825" s="13" t="n">
        <v>359</v>
      </c>
      <c r="K7825" s="14" t="n">
        <f aca="false">I7825*J7825</f>
        <v>13283</v>
      </c>
      <c r="L7825" s="14" t="n">
        <f aca="false">($L$2*M7825)/100</f>
        <v>408566.61</v>
      </c>
      <c r="M7825" s="15" t="n">
        <v>0.34</v>
      </c>
      <c r="N7825" s="9" t="s">
        <v>26</v>
      </c>
    </row>
    <row r="7826" customFormat="false" ht="14.25" hidden="false" customHeight="true" outlineLevel="0" collapsed="false">
      <c r="B7826" s="9" t="s">
        <v>16</v>
      </c>
      <c r="C7826" s="9" t="n">
        <v>1185732</v>
      </c>
      <c r="D7826" s="10" t="n">
        <v>43908</v>
      </c>
      <c r="E7826" s="9" t="s">
        <v>17</v>
      </c>
      <c r="F7826" s="9" t="s">
        <v>18</v>
      </c>
      <c r="G7826" s="9" t="s">
        <v>18</v>
      </c>
      <c r="H7826" s="11" t="s">
        <v>22</v>
      </c>
      <c r="I7826" s="12" t="n">
        <v>37</v>
      </c>
      <c r="J7826" s="13" t="n">
        <v>314</v>
      </c>
      <c r="K7826" s="14" t="n">
        <f aca="false">I7826*J7826</f>
        <v>11618</v>
      </c>
      <c r="L7826" s="14" t="n">
        <f aca="false">($L$2*M7826)/100</f>
        <v>444616.605</v>
      </c>
      <c r="M7826" s="15" t="n">
        <v>0.37</v>
      </c>
      <c r="N7826" s="9" t="s">
        <v>26</v>
      </c>
    </row>
    <row r="7827" customFormat="false" ht="14.25" hidden="false" customHeight="true" outlineLevel="0" collapsed="false">
      <c r="B7827" s="9" t="s">
        <v>16</v>
      </c>
      <c r="C7827" s="9" t="n">
        <v>1185732</v>
      </c>
      <c r="D7827" s="10" t="n">
        <v>43921</v>
      </c>
      <c r="E7827" s="9" t="s">
        <v>17</v>
      </c>
      <c r="F7827" s="9" t="s">
        <v>18</v>
      </c>
      <c r="G7827" s="9" t="s">
        <v>18</v>
      </c>
      <c r="H7827" s="11" t="s">
        <v>23</v>
      </c>
      <c r="I7827" s="12" t="n">
        <v>40</v>
      </c>
      <c r="J7827" s="13" t="n">
        <v>324</v>
      </c>
      <c r="K7827" s="14" t="n">
        <f aca="false">I7827*J7827</f>
        <v>12960</v>
      </c>
      <c r="L7827" s="14" t="n">
        <f aca="false">($L$2*M7827)/100</f>
        <v>480666.6</v>
      </c>
      <c r="M7827" s="15" t="n">
        <v>0.4</v>
      </c>
      <c r="N7827" s="9" t="s">
        <v>26</v>
      </c>
    </row>
    <row r="7828" customFormat="false" ht="14.25" hidden="false" customHeight="true" outlineLevel="0" collapsed="false">
      <c r="B7828" s="9" t="s">
        <v>27</v>
      </c>
      <c r="C7828" s="9" t="n">
        <v>1185732</v>
      </c>
      <c r="D7828" s="10" t="n">
        <v>43938</v>
      </c>
      <c r="E7828" s="9" t="s">
        <v>17</v>
      </c>
      <c r="F7828" s="9" t="s">
        <v>18</v>
      </c>
      <c r="G7828" s="9" t="s">
        <v>18</v>
      </c>
      <c r="H7828" s="11" t="s">
        <v>24</v>
      </c>
      <c r="I7828" s="12" t="n">
        <v>43</v>
      </c>
      <c r="J7828" s="13" t="n">
        <v>279</v>
      </c>
      <c r="K7828" s="14" t="n">
        <f aca="false">I7828*J7828</f>
        <v>11997</v>
      </c>
      <c r="L7828" s="14" t="n">
        <f aca="false">($L$2*M7828)/100</f>
        <v>396549.945</v>
      </c>
      <c r="M7828" s="15" t="n">
        <v>0.33</v>
      </c>
      <c r="N7828" s="9" t="s">
        <v>26</v>
      </c>
    </row>
    <row r="7829" customFormat="false" ht="14.25" hidden="false" customHeight="true" outlineLevel="0" collapsed="false">
      <c r="B7829" s="9" t="s">
        <v>27</v>
      </c>
      <c r="C7829" s="9" t="n">
        <v>1185732</v>
      </c>
      <c r="D7829" s="10" t="n">
        <v>43939</v>
      </c>
      <c r="E7829" s="9" t="s">
        <v>17</v>
      </c>
      <c r="F7829" s="9" t="s">
        <v>18</v>
      </c>
      <c r="G7829" s="9" t="s">
        <v>18</v>
      </c>
      <c r="H7829" s="11" t="s">
        <v>25</v>
      </c>
      <c r="I7829" s="12" t="n">
        <v>48</v>
      </c>
      <c r="J7829" s="13" t="n">
        <v>355</v>
      </c>
      <c r="K7829" s="14" t="n">
        <f aca="false">I7829*J7829</f>
        <v>17040</v>
      </c>
      <c r="L7829" s="14" t="n">
        <f aca="false">($L$2*M7829)/100</f>
        <v>360499.95</v>
      </c>
      <c r="M7829" s="15" t="n">
        <v>0.3</v>
      </c>
      <c r="N7829" s="9" t="s">
        <v>26</v>
      </c>
    </row>
    <row r="7830" customFormat="false" ht="14.25" hidden="false" customHeight="true" outlineLevel="0" collapsed="false">
      <c r="B7830" s="9" t="s">
        <v>27</v>
      </c>
      <c r="C7830" s="9" t="n">
        <v>1185732</v>
      </c>
      <c r="D7830" s="10" t="n">
        <v>43940</v>
      </c>
      <c r="E7830" s="9" t="s">
        <v>17</v>
      </c>
      <c r="F7830" s="9" t="s">
        <v>18</v>
      </c>
      <c r="G7830" s="9" t="s">
        <v>18</v>
      </c>
      <c r="H7830" s="11" t="s">
        <v>19</v>
      </c>
      <c r="I7830" s="12" t="n">
        <v>39</v>
      </c>
      <c r="J7830" s="13" t="n">
        <v>408</v>
      </c>
      <c r="K7830" s="14" t="n">
        <f aca="false">I7830*J7830</f>
        <v>15912</v>
      </c>
      <c r="L7830" s="14" t="n">
        <f aca="false">($L$2*M7830)/100</f>
        <v>660916.575</v>
      </c>
      <c r="M7830" s="15" t="n">
        <v>0.55</v>
      </c>
      <c r="N7830" s="9" t="s">
        <v>26</v>
      </c>
    </row>
    <row r="7831" customFormat="false" ht="14.25" hidden="false" customHeight="true" outlineLevel="0" collapsed="false">
      <c r="B7831" s="9" t="s">
        <v>27</v>
      </c>
      <c r="C7831" s="9" t="n">
        <v>1185732</v>
      </c>
      <c r="D7831" s="10" t="n">
        <v>43941</v>
      </c>
      <c r="E7831" s="9" t="s">
        <v>17</v>
      </c>
      <c r="F7831" s="9" t="s">
        <v>18</v>
      </c>
      <c r="G7831" s="9" t="s">
        <v>18</v>
      </c>
      <c r="H7831" s="11" t="s">
        <v>21</v>
      </c>
      <c r="I7831" s="12" t="n">
        <v>43</v>
      </c>
      <c r="J7831" s="13" t="n">
        <v>350</v>
      </c>
      <c r="K7831" s="14" t="n">
        <f aca="false">I7831*J7831</f>
        <v>15050</v>
      </c>
      <c r="L7831" s="14" t="n">
        <f aca="false">($L$2*M7831)/100</f>
        <v>396549.945</v>
      </c>
      <c r="M7831" s="15" t="n">
        <v>0.33</v>
      </c>
      <c r="N7831" s="9" t="s">
        <v>26</v>
      </c>
    </row>
    <row r="7832" customFormat="false" ht="14.25" hidden="false" customHeight="true" outlineLevel="0" collapsed="false">
      <c r="B7832" s="9" t="s">
        <v>27</v>
      </c>
      <c r="C7832" s="9" t="n">
        <v>1185732</v>
      </c>
      <c r="D7832" s="10" t="n">
        <v>43942</v>
      </c>
      <c r="E7832" s="9" t="s">
        <v>17</v>
      </c>
      <c r="F7832" s="9" t="s">
        <v>18</v>
      </c>
      <c r="G7832" s="9" t="s">
        <v>18</v>
      </c>
      <c r="H7832" s="11" t="s">
        <v>22</v>
      </c>
      <c r="I7832" s="12" t="n">
        <v>36</v>
      </c>
      <c r="J7832" s="13" t="n">
        <v>315</v>
      </c>
      <c r="K7832" s="14" t="n">
        <f aca="false">I7832*J7832</f>
        <v>11340</v>
      </c>
      <c r="L7832" s="14" t="n">
        <f aca="false">($L$2*M7832)/100</f>
        <v>468649.935</v>
      </c>
      <c r="M7832" s="15" t="n">
        <v>0.39</v>
      </c>
      <c r="N7832" s="9" t="s">
        <v>26</v>
      </c>
    </row>
    <row r="7833" customFormat="false" ht="14.25" hidden="false" customHeight="true" outlineLevel="0" collapsed="false">
      <c r="B7833" s="9" t="s">
        <v>27</v>
      </c>
      <c r="C7833" s="9" t="n">
        <v>1185732</v>
      </c>
      <c r="D7833" s="10" t="n">
        <v>43943</v>
      </c>
      <c r="E7833" s="9" t="s">
        <v>17</v>
      </c>
      <c r="F7833" s="9" t="s">
        <v>18</v>
      </c>
      <c r="G7833" s="9" t="s">
        <v>18</v>
      </c>
      <c r="H7833" s="11" t="s">
        <v>23</v>
      </c>
      <c r="I7833" s="12" t="n">
        <v>34</v>
      </c>
      <c r="J7833" s="13" t="n">
        <v>306</v>
      </c>
      <c r="K7833" s="14" t="n">
        <f aca="false">I7833*J7833</f>
        <v>10404</v>
      </c>
      <c r="L7833" s="14" t="n">
        <f aca="false">($L$2*M7833)/100</f>
        <v>468649.935</v>
      </c>
      <c r="M7833" s="15" t="n">
        <v>0.39</v>
      </c>
      <c r="N7833" s="9" t="s">
        <v>26</v>
      </c>
    </row>
    <row r="7834" customFormat="false" ht="14.25" hidden="false" customHeight="true" outlineLevel="0" collapsed="false">
      <c r="B7834" s="9" t="s">
        <v>27</v>
      </c>
      <c r="C7834" s="9" t="n">
        <v>1185732</v>
      </c>
      <c r="D7834" s="10" t="n">
        <v>43944</v>
      </c>
      <c r="E7834" s="9" t="s">
        <v>17</v>
      </c>
      <c r="F7834" s="9" t="s">
        <v>18</v>
      </c>
      <c r="G7834" s="9" t="s">
        <v>18</v>
      </c>
      <c r="H7834" s="11" t="s">
        <v>24</v>
      </c>
      <c r="I7834" s="12" t="n">
        <v>44</v>
      </c>
      <c r="J7834" s="13" t="n">
        <v>315</v>
      </c>
      <c r="K7834" s="14" t="n">
        <f aca="false">I7834*J7834</f>
        <v>13860</v>
      </c>
      <c r="L7834" s="14" t="n">
        <f aca="false">($L$2*M7834)/100</f>
        <v>444616.605</v>
      </c>
      <c r="M7834" s="15" t="n">
        <v>0.37</v>
      </c>
      <c r="N7834" s="9" t="s">
        <v>26</v>
      </c>
    </row>
    <row r="7835" customFormat="false" ht="14.25" hidden="false" customHeight="true" outlineLevel="0" collapsed="false">
      <c r="B7835" s="9" t="s">
        <v>27</v>
      </c>
      <c r="C7835" s="9" t="n">
        <v>1185732</v>
      </c>
      <c r="D7835" s="10" t="n">
        <v>43945</v>
      </c>
      <c r="E7835" s="9" t="s">
        <v>17</v>
      </c>
      <c r="F7835" s="9" t="s">
        <v>18</v>
      </c>
      <c r="G7835" s="9" t="s">
        <v>18</v>
      </c>
      <c r="H7835" s="11" t="s">
        <v>25</v>
      </c>
      <c r="I7835" s="12" t="n">
        <v>45</v>
      </c>
      <c r="J7835" s="13" t="n">
        <v>350</v>
      </c>
      <c r="K7835" s="14" t="n">
        <f aca="false">I7835*J7835</f>
        <v>15750</v>
      </c>
      <c r="L7835" s="14" t="n">
        <f aca="false">($L$2*M7835)/100</f>
        <v>360499.95</v>
      </c>
      <c r="M7835" s="15" t="n">
        <v>0.3</v>
      </c>
      <c r="N7835" s="9" t="s">
        <v>26</v>
      </c>
    </row>
    <row r="7836" customFormat="false" ht="14.25" hidden="false" customHeight="true" outlineLevel="0" collapsed="false">
      <c r="B7836" s="9" t="s">
        <v>27</v>
      </c>
      <c r="C7836" s="9" t="n">
        <v>1185732</v>
      </c>
      <c r="D7836" s="10" t="n">
        <v>43946</v>
      </c>
      <c r="E7836" s="9" t="s">
        <v>17</v>
      </c>
      <c r="F7836" s="9" t="s">
        <v>18</v>
      </c>
      <c r="G7836" s="9" t="s">
        <v>18</v>
      </c>
      <c r="H7836" s="11" t="s">
        <v>24</v>
      </c>
      <c r="I7836" s="12" t="n">
        <v>51</v>
      </c>
      <c r="J7836" s="13" t="n">
        <v>289</v>
      </c>
      <c r="K7836" s="14" t="n">
        <f aca="false">I7836*J7836</f>
        <v>14739</v>
      </c>
      <c r="L7836" s="14" t="n">
        <f aca="false">($L$2*M7836)/100</f>
        <v>384533.28</v>
      </c>
      <c r="M7836" s="15" t="n">
        <v>0.32</v>
      </c>
      <c r="N7836" s="9" t="s">
        <v>26</v>
      </c>
    </row>
    <row r="7837" customFormat="false" ht="14.25" hidden="false" customHeight="true" outlineLevel="0" collapsed="false">
      <c r="B7837" s="9" t="s">
        <v>27</v>
      </c>
      <c r="C7837" s="9" t="n">
        <v>1185732</v>
      </c>
      <c r="D7837" s="10" t="n">
        <v>43947</v>
      </c>
      <c r="E7837" s="9" t="s">
        <v>17</v>
      </c>
      <c r="F7837" s="9" t="s">
        <v>18</v>
      </c>
      <c r="G7837" s="9" t="s">
        <v>18</v>
      </c>
      <c r="H7837" s="11" t="s">
        <v>25</v>
      </c>
      <c r="I7837" s="12" t="n">
        <v>50</v>
      </c>
      <c r="J7837" s="13" t="n">
        <v>330</v>
      </c>
      <c r="K7837" s="14" t="n">
        <f aca="false">I7837*J7837</f>
        <v>16500</v>
      </c>
      <c r="L7837" s="14" t="n">
        <f aca="false">($L$2*M7837)/100</f>
        <v>336466.62</v>
      </c>
      <c r="M7837" s="15" t="n">
        <v>0.28</v>
      </c>
      <c r="N7837" s="9" t="s">
        <v>26</v>
      </c>
    </row>
    <row r="7838" customFormat="false" ht="14.25" hidden="false" customHeight="true" outlineLevel="0" collapsed="false">
      <c r="B7838" s="9" t="s">
        <v>27</v>
      </c>
      <c r="C7838" s="9" t="n">
        <v>1185732</v>
      </c>
      <c r="D7838" s="10" t="n">
        <v>43948</v>
      </c>
      <c r="E7838" s="9" t="s">
        <v>17</v>
      </c>
      <c r="F7838" s="9" t="s">
        <v>18</v>
      </c>
      <c r="G7838" s="9" t="s">
        <v>18</v>
      </c>
      <c r="H7838" s="11" t="s">
        <v>19</v>
      </c>
      <c r="I7838" s="12" t="n">
        <v>46</v>
      </c>
      <c r="J7838" s="13" t="n">
        <v>403</v>
      </c>
      <c r="K7838" s="14" t="n">
        <f aca="false">I7838*J7838</f>
        <v>18538</v>
      </c>
      <c r="L7838" s="14" t="n">
        <f aca="false">($L$2*M7838)/100</f>
        <v>672933.24</v>
      </c>
      <c r="M7838" s="15" t="n">
        <v>0.56</v>
      </c>
      <c r="N7838" s="9" t="s">
        <v>26</v>
      </c>
    </row>
    <row r="7839" customFormat="false" ht="14.25" hidden="false" customHeight="true" outlineLevel="0" collapsed="false">
      <c r="B7839" s="9" t="s">
        <v>27</v>
      </c>
      <c r="C7839" s="9" t="n">
        <v>1185732</v>
      </c>
      <c r="D7839" s="10" t="n">
        <v>43949</v>
      </c>
      <c r="E7839" s="9" t="s">
        <v>17</v>
      </c>
      <c r="F7839" s="9" t="s">
        <v>18</v>
      </c>
      <c r="G7839" s="9" t="s">
        <v>18</v>
      </c>
      <c r="H7839" s="11" t="s">
        <v>21</v>
      </c>
      <c r="I7839" s="12" t="n">
        <v>40</v>
      </c>
      <c r="J7839" s="13" t="n">
        <v>312</v>
      </c>
      <c r="K7839" s="14" t="n">
        <f aca="false">I7839*J7839</f>
        <v>12480</v>
      </c>
      <c r="L7839" s="14" t="n">
        <f aca="false">($L$2*M7839)/100</f>
        <v>432599.94</v>
      </c>
      <c r="M7839" s="15" t="n">
        <v>0.36</v>
      </c>
      <c r="N7839" s="9" t="s">
        <v>26</v>
      </c>
    </row>
    <row r="7840" customFormat="false" ht="14.25" hidden="false" customHeight="true" outlineLevel="0" collapsed="false">
      <c r="B7840" s="9" t="s">
        <v>27</v>
      </c>
      <c r="C7840" s="9" t="n">
        <v>1185732</v>
      </c>
      <c r="D7840" s="10" t="n">
        <v>43950</v>
      </c>
      <c r="E7840" s="9" t="s">
        <v>17</v>
      </c>
      <c r="F7840" s="9" t="s">
        <v>18</v>
      </c>
      <c r="G7840" s="9" t="s">
        <v>18</v>
      </c>
      <c r="H7840" s="11" t="s">
        <v>22</v>
      </c>
      <c r="I7840" s="12" t="n">
        <v>43</v>
      </c>
      <c r="J7840" s="13" t="n">
        <v>294</v>
      </c>
      <c r="K7840" s="14" t="n">
        <f aca="false">I7840*J7840</f>
        <v>12642</v>
      </c>
      <c r="L7840" s="14" t="n">
        <f aca="false">($L$2*M7840)/100</f>
        <v>504699.93</v>
      </c>
      <c r="M7840" s="15" t="n">
        <v>0.42</v>
      </c>
      <c r="N7840" s="9" t="s">
        <v>26</v>
      </c>
    </row>
    <row r="7841" customFormat="false" ht="14.25" hidden="false" customHeight="true" outlineLevel="0" collapsed="false">
      <c r="B7841" s="9" t="s">
        <v>27</v>
      </c>
      <c r="C7841" s="9" t="n">
        <v>1185732</v>
      </c>
      <c r="D7841" s="10" t="n">
        <v>43951</v>
      </c>
      <c r="E7841" s="9" t="s">
        <v>17</v>
      </c>
      <c r="F7841" s="9" t="s">
        <v>18</v>
      </c>
      <c r="G7841" s="9" t="s">
        <v>18</v>
      </c>
      <c r="H7841" s="11" t="s">
        <v>23</v>
      </c>
      <c r="I7841" s="12" t="n">
        <v>41</v>
      </c>
      <c r="J7841" s="13" t="n">
        <v>270</v>
      </c>
      <c r="K7841" s="14" t="n">
        <f aca="false">I7841*J7841</f>
        <v>11070</v>
      </c>
      <c r="L7841" s="14" t="n">
        <f aca="false">($L$2*M7841)/100</f>
        <v>444616.605</v>
      </c>
      <c r="M7841" s="15" t="n">
        <v>0.37</v>
      </c>
      <c r="N7841" s="9" t="s">
        <v>26</v>
      </c>
    </row>
    <row r="7842" customFormat="false" ht="14.25" hidden="false" customHeight="true" outlineLevel="0" collapsed="false">
      <c r="B7842" s="9" t="s">
        <v>27</v>
      </c>
      <c r="C7842" s="9" t="n">
        <v>1185732</v>
      </c>
      <c r="D7842" s="10" t="n">
        <v>43952</v>
      </c>
      <c r="E7842" s="9" t="s">
        <v>17</v>
      </c>
      <c r="F7842" s="9" t="s">
        <v>18</v>
      </c>
      <c r="G7842" s="9" t="s">
        <v>18</v>
      </c>
      <c r="H7842" s="11" t="s">
        <v>24</v>
      </c>
      <c r="I7842" s="12" t="n">
        <v>47</v>
      </c>
      <c r="J7842" s="13" t="n">
        <v>280</v>
      </c>
      <c r="K7842" s="14" t="n">
        <f aca="false">I7842*J7842</f>
        <v>13160</v>
      </c>
      <c r="L7842" s="14" t="n">
        <f aca="false">($L$2*M7842)/100</f>
        <v>432599.94</v>
      </c>
      <c r="M7842" s="15" t="n">
        <v>0.36</v>
      </c>
      <c r="N7842" s="9" t="s">
        <v>26</v>
      </c>
    </row>
    <row r="7843" customFormat="false" ht="14.25" hidden="false" customHeight="true" outlineLevel="0" collapsed="false">
      <c r="B7843" s="9" t="s">
        <v>27</v>
      </c>
      <c r="C7843" s="9" t="n">
        <v>1185732</v>
      </c>
      <c r="D7843" s="10" t="n">
        <v>43953</v>
      </c>
      <c r="E7843" s="9" t="s">
        <v>17</v>
      </c>
      <c r="F7843" s="9" t="s">
        <v>18</v>
      </c>
      <c r="G7843" s="9" t="s">
        <v>18</v>
      </c>
      <c r="H7843" s="11" t="s">
        <v>25</v>
      </c>
      <c r="I7843" s="12" t="n">
        <v>53</v>
      </c>
      <c r="J7843" s="13" t="n">
        <v>322</v>
      </c>
      <c r="K7843" s="14" t="n">
        <f aca="false">I7843*J7843</f>
        <v>17066</v>
      </c>
      <c r="L7843" s="14" t="n">
        <f aca="false">($L$2*M7843)/100</f>
        <v>336466.62</v>
      </c>
      <c r="M7843" s="15" t="n">
        <v>0.28</v>
      </c>
      <c r="N7843" s="9" t="s">
        <v>26</v>
      </c>
    </row>
    <row r="7844" customFormat="false" ht="14.25" hidden="false" customHeight="true" outlineLevel="0" collapsed="false">
      <c r="B7844" s="9" t="s">
        <v>27</v>
      </c>
      <c r="C7844" s="9" t="n">
        <v>1185732</v>
      </c>
      <c r="D7844" s="10" t="n">
        <v>43954</v>
      </c>
      <c r="E7844" s="9" t="s">
        <v>17</v>
      </c>
      <c r="F7844" s="9" t="s">
        <v>18</v>
      </c>
      <c r="G7844" s="9" t="s">
        <v>18</v>
      </c>
      <c r="H7844" s="11" t="s">
        <v>19</v>
      </c>
      <c r="I7844" s="12" t="n">
        <v>48</v>
      </c>
      <c r="J7844" s="13" t="n">
        <v>420</v>
      </c>
      <c r="K7844" s="14" t="n">
        <f aca="false">I7844*J7844</f>
        <v>20160</v>
      </c>
      <c r="L7844" s="14" t="n">
        <f aca="false">($L$2*M7844)/100</f>
        <v>672933.24</v>
      </c>
      <c r="M7844" s="15" t="n">
        <v>0.56</v>
      </c>
      <c r="N7844" s="9" t="s">
        <v>26</v>
      </c>
    </row>
    <row r="7845" customFormat="false" ht="14.25" hidden="false" customHeight="true" outlineLevel="0" collapsed="false">
      <c r="B7845" s="9" t="s">
        <v>27</v>
      </c>
      <c r="C7845" s="9" t="n">
        <v>1185732</v>
      </c>
      <c r="D7845" s="10" t="n">
        <v>43955</v>
      </c>
      <c r="E7845" s="9" t="s">
        <v>17</v>
      </c>
      <c r="F7845" s="9" t="s">
        <v>18</v>
      </c>
      <c r="G7845" s="9" t="s">
        <v>18</v>
      </c>
      <c r="H7845" s="11" t="s">
        <v>21</v>
      </c>
      <c r="I7845" s="12" t="n">
        <v>43</v>
      </c>
      <c r="J7845" s="13" t="n">
        <v>310</v>
      </c>
      <c r="K7845" s="14" t="n">
        <f aca="false">I7845*J7845</f>
        <v>13330</v>
      </c>
      <c r="L7845" s="14" t="n">
        <f aca="false">($L$2*M7845)/100</f>
        <v>420583.275</v>
      </c>
      <c r="M7845" s="15" t="n">
        <v>0.35</v>
      </c>
      <c r="N7845" s="9" t="s">
        <v>26</v>
      </c>
    </row>
    <row r="7846" customFormat="false" ht="14.25" hidden="false" customHeight="true" outlineLevel="0" collapsed="false">
      <c r="B7846" s="9" t="s">
        <v>27</v>
      </c>
      <c r="C7846" s="9" t="n">
        <v>1185732</v>
      </c>
      <c r="D7846" s="10" t="n">
        <v>43956</v>
      </c>
      <c r="E7846" s="9" t="s">
        <v>17</v>
      </c>
      <c r="F7846" s="9" t="s">
        <v>18</v>
      </c>
      <c r="G7846" s="9" t="s">
        <v>18</v>
      </c>
      <c r="H7846" s="11" t="s">
        <v>22</v>
      </c>
      <c r="I7846" s="12" t="n">
        <v>42</v>
      </c>
      <c r="J7846" s="13" t="n">
        <v>333</v>
      </c>
      <c r="K7846" s="14" t="n">
        <f aca="false">I7846*J7846</f>
        <v>13986</v>
      </c>
      <c r="L7846" s="14" t="n">
        <f aca="false">($L$2*M7846)/100</f>
        <v>480666.6</v>
      </c>
      <c r="M7846" s="15" t="n">
        <v>0.4</v>
      </c>
      <c r="N7846" s="9" t="s">
        <v>26</v>
      </c>
    </row>
    <row r="7847" customFormat="false" ht="14.25" hidden="false" customHeight="true" outlineLevel="0" collapsed="false">
      <c r="B7847" s="9" t="s">
        <v>27</v>
      </c>
      <c r="C7847" s="9" t="n">
        <v>1185732</v>
      </c>
      <c r="D7847" s="10" t="n">
        <v>43957</v>
      </c>
      <c r="E7847" s="9" t="s">
        <v>17</v>
      </c>
      <c r="F7847" s="9" t="s">
        <v>18</v>
      </c>
      <c r="G7847" s="9" t="s">
        <v>18</v>
      </c>
      <c r="H7847" s="11" t="s">
        <v>23</v>
      </c>
      <c r="I7847" s="12" t="n">
        <v>41</v>
      </c>
      <c r="J7847" s="13" t="n">
        <v>306</v>
      </c>
      <c r="K7847" s="14" t="n">
        <f aca="false">I7847*J7847</f>
        <v>12546</v>
      </c>
      <c r="L7847" s="14" t="n">
        <f aca="false">($L$2*M7847)/100</f>
        <v>480666.6</v>
      </c>
      <c r="M7847" s="15" t="n">
        <v>0.4</v>
      </c>
      <c r="N7847" s="9" t="s">
        <v>26</v>
      </c>
    </row>
    <row r="7848" customFormat="false" ht="14.25" hidden="false" customHeight="true" outlineLevel="0" collapsed="false">
      <c r="B7848" s="9" t="s">
        <v>27</v>
      </c>
      <c r="C7848" s="9" t="n">
        <v>1185732</v>
      </c>
      <c r="D7848" s="10" t="n">
        <v>43958</v>
      </c>
      <c r="E7848" s="9" t="s">
        <v>17</v>
      </c>
      <c r="F7848" s="9" t="s">
        <v>18</v>
      </c>
      <c r="G7848" s="9" t="s">
        <v>18</v>
      </c>
      <c r="H7848" s="11" t="s">
        <v>24</v>
      </c>
      <c r="I7848" s="12" t="n">
        <v>48</v>
      </c>
      <c r="J7848" s="13" t="n">
        <v>279</v>
      </c>
      <c r="K7848" s="14" t="n">
        <f aca="false">I7848*J7848</f>
        <v>13392</v>
      </c>
      <c r="L7848" s="14" t="n">
        <f aca="false">($L$2*M7848)/100</f>
        <v>444616.605</v>
      </c>
      <c r="M7848" s="15" t="n">
        <v>0.37</v>
      </c>
      <c r="N7848" s="9" t="s">
        <v>26</v>
      </c>
    </row>
    <row r="7849" customFormat="false" ht="14.25" hidden="false" customHeight="true" outlineLevel="0" collapsed="false">
      <c r="B7849" s="9" t="s">
        <v>27</v>
      </c>
      <c r="C7849" s="9" t="n">
        <v>1185732</v>
      </c>
      <c r="D7849" s="10" t="n">
        <v>44030</v>
      </c>
      <c r="E7849" s="9" t="s">
        <v>17</v>
      </c>
      <c r="F7849" s="9" t="s">
        <v>18</v>
      </c>
      <c r="G7849" s="9" t="s">
        <v>18</v>
      </c>
      <c r="H7849" s="11" t="s">
        <v>25</v>
      </c>
      <c r="I7849" s="12" t="n">
        <v>48</v>
      </c>
      <c r="J7849" s="13" t="n">
        <v>340</v>
      </c>
      <c r="K7849" s="14" t="n">
        <f aca="false">I7849*J7849</f>
        <v>16320</v>
      </c>
      <c r="L7849" s="14" t="n">
        <f aca="false">($L$2*M7849)/100</f>
        <v>360499.95</v>
      </c>
      <c r="M7849" s="15" t="n">
        <v>0.3</v>
      </c>
      <c r="N7849" s="9" t="s">
        <v>26</v>
      </c>
    </row>
    <row r="7850" customFormat="false" ht="14.25" hidden="false" customHeight="true" outlineLevel="0" collapsed="false">
      <c r="B7850" s="9" t="s">
        <v>28</v>
      </c>
      <c r="C7850" s="9" t="n">
        <v>1197831</v>
      </c>
      <c r="D7850" s="10" t="n">
        <v>44031</v>
      </c>
      <c r="E7850" s="9" t="s">
        <v>17</v>
      </c>
      <c r="F7850" s="9" t="s">
        <v>18</v>
      </c>
      <c r="G7850" s="9" t="s">
        <v>18</v>
      </c>
      <c r="H7850" s="11" t="s">
        <v>19</v>
      </c>
      <c r="I7850" s="12" t="n">
        <v>20</v>
      </c>
      <c r="J7850" s="13" t="n">
        <v>270</v>
      </c>
      <c r="K7850" s="14" t="n">
        <f aca="false">I7850*J7850</f>
        <v>5400</v>
      </c>
      <c r="L7850" s="14" t="n">
        <f aca="false">($L$2*M7850)/100</f>
        <v>468649.935</v>
      </c>
      <c r="M7850" s="15" t="n">
        <v>0.39</v>
      </c>
      <c r="N7850" s="9" t="s">
        <v>26</v>
      </c>
    </row>
    <row r="7851" customFormat="false" ht="14.25" hidden="false" customHeight="true" outlineLevel="0" collapsed="false">
      <c r="B7851" s="9" t="s">
        <v>28</v>
      </c>
      <c r="C7851" s="9" t="n">
        <v>1197831</v>
      </c>
      <c r="D7851" s="10" t="n">
        <v>44032</v>
      </c>
      <c r="E7851" s="9" t="s">
        <v>17</v>
      </c>
      <c r="F7851" s="9" t="s">
        <v>18</v>
      </c>
      <c r="G7851" s="9" t="s">
        <v>18</v>
      </c>
      <c r="H7851" s="11" t="s">
        <v>21</v>
      </c>
      <c r="I7851" s="12" t="n">
        <v>26</v>
      </c>
      <c r="J7851" s="13" t="n">
        <v>270</v>
      </c>
      <c r="K7851" s="14" t="n">
        <f aca="false">I7851*J7851</f>
        <v>7020</v>
      </c>
      <c r="L7851" s="14" t="n">
        <f aca="false">($L$2*M7851)/100</f>
        <v>444616.605</v>
      </c>
      <c r="M7851" s="15" t="n">
        <v>0.37</v>
      </c>
      <c r="N7851" s="9" t="s">
        <v>26</v>
      </c>
    </row>
    <row r="7852" customFormat="false" ht="14.25" hidden="false" customHeight="true" outlineLevel="0" collapsed="false">
      <c r="B7852" s="9" t="s">
        <v>28</v>
      </c>
      <c r="C7852" s="9" t="n">
        <v>1197831</v>
      </c>
      <c r="D7852" s="10" t="n">
        <v>44033</v>
      </c>
      <c r="E7852" s="9" t="s">
        <v>17</v>
      </c>
      <c r="F7852" s="9" t="s">
        <v>18</v>
      </c>
      <c r="G7852" s="9" t="s">
        <v>18</v>
      </c>
      <c r="H7852" s="11" t="s">
        <v>22</v>
      </c>
      <c r="I7852" s="12" t="n">
        <v>27</v>
      </c>
      <c r="J7852" s="13" t="n">
        <v>238</v>
      </c>
      <c r="K7852" s="14" t="n">
        <f aca="false">I7852*J7852</f>
        <v>6426</v>
      </c>
      <c r="L7852" s="14" t="n">
        <f aca="false">($L$2*M7852)/100</f>
        <v>468649.935</v>
      </c>
      <c r="M7852" s="15" t="n">
        <v>0.39</v>
      </c>
      <c r="N7852" s="9" t="s">
        <v>26</v>
      </c>
    </row>
    <row r="7853" customFormat="false" ht="14.25" hidden="false" customHeight="true" outlineLevel="0" collapsed="false">
      <c r="B7853" s="9" t="s">
        <v>28</v>
      </c>
      <c r="C7853" s="9" t="n">
        <v>1197831</v>
      </c>
      <c r="D7853" s="10" t="n">
        <v>44034</v>
      </c>
      <c r="E7853" s="9" t="s">
        <v>17</v>
      </c>
      <c r="F7853" s="9" t="s">
        <v>18</v>
      </c>
      <c r="G7853" s="9" t="s">
        <v>18</v>
      </c>
      <c r="H7853" s="11" t="s">
        <v>23</v>
      </c>
      <c r="I7853" s="12" t="n">
        <v>27</v>
      </c>
      <c r="J7853" s="13" t="n">
        <v>210</v>
      </c>
      <c r="K7853" s="14" t="n">
        <f aca="false">I7853*J7853</f>
        <v>5670</v>
      </c>
      <c r="L7853" s="14" t="n">
        <f aca="false">($L$2*M7853)/100</f>
        <v>624866.58</v>
      </c>
      <c r="M7853" s="15" t="n">
        <v>0.52</v>
      </c>
      <c r="N7853" s="9" t="s">
        <v>26</v>
      </c>
    </row>
    <row r="7854" customFormat="false" ht="14.25" hidden="false" customHeight="true" outlineLevel="0" collapsed="false">
      <c r="B7854" s="9" t="s">
        <v>28</v>
      </c>
      <c r="C7854" s="9" t="n">
        <v>1197831</v>
      </c>
      <c r="D7854" s="10" t="n">
        <v>44035</v>
      </c>
      <c r="E7854" s="9" t="s">
        <v>29</v>
      </c>
      <c r="F7854" s="9" t="s">
        <v>30</v>
      </c>
      <c r="G7854" s="9" t="s">
        <v>31</v>
      </c>
      <c r="H7854" s="11" t="s">
        <v>24</v>
      </c>
      <c r="I7854" s="12" t="n">
        <v>26</v>
      </c>
      <c r="J7854" s="13" t="n">
        <v>176</v>
      </c>
      <c r="K7854" s="14" t="n">
        <f aca="false">I7854*J7854</f>
        <v>4576</v>
      </c>
      <c r="L7854" s="14" t="n">
        <f aca="false">($L$2*M7854)/100</f>
        <v>408566.61</v>
      </c>
      <c r="M7854" s="15" t="n">
        <v>0.34</v>
      </c>
      <c r="N7854" s="9" t="s">
        <v>26</v>
      </c>
    </row>
    <row r="7855" customFormat="false" ht="14.25" hidden="false" customHeight="true" outlineLevel="0" collapsed="false">
      <c r="B7855" s="9" t="s">
        <v>28</v>
      </c>
      <c r="C7855" s="9" t="n">
        <v>1197831</v>
      </c>
      <c r="D7855" s="10" t="n">
        <v>44036</v>
      </c>
      <c r="E7855" s="9" t="s">
        <v>29</v>
      </c>
      <c r="F7855" s="9" t="s">
        <v>30</v>
      </c>
      <c r="G7855" s="9" t="s">
        <v>31</v>
      </c>
      <c r="H7855" s="11" t="s">
        <v>25</v>
      </c>
      <c r="I7855" s="12" t="n">
        <v>25</v>
      </c>
      <c r="J7855" s="13" t="n">
        <v>224</v>
      </c>
      <c r="K7855" s="14" t="n">
        <f aca="false">I7855*J7855</f>
        <v>5600</v>
      </c>
      <c r="L7855" s="14" t="n">
        <f aca="false">($L$2*M7855)/100</f>
        <v>672933.24</v>
      </c>
      <c r="M7855" s="15" t="n">
        <v>0.56</v>
      </c>
      <c r="N7855" s="9" t="s">
        <v>26</v>
      </c>
    </row>
    <row r="7856" customFormat="false" ht="14.25" hidden="false" customHeight="true" outlineLevel="0" collapsed="false">
      <c r="B7856" s="9" t="s">
        <v>28</v>
      </c>
      <c r="C7856" s="9" t="n">
        <v>1197831</v>
      </c>
      <c r="D7856" s="10" t="n">
        <v>44037</v>
      </c>
      <c r="E7856" s="9" t="s">
        <v>29</v>
      </c>
      <c r="F7856" s="9" t="s">
        <v>30</v>
      </c>
      <c r="G7856" s="9" t="s">
        <v>31</v>
      </c>
      <c r="H7856" s="11" t="s">
        <v>19</v>
      </c>
      <c r="I7856" s="12" t="n">
        <v>20</v>
      </c>
      <c r="J7856" s="13" t="n">
        <v>255</v>
      </c>
      <c r="K7856" s="14" t="n">
        <f aca="false">I7856*J7856</f>
        <v>5100</v>
      </c>
      <c r="L7856" s="14" t="n">
        <f aca="false">($L$2*M7856)/100</f>
        <v>492683.265</v>
      </c>
      <c r="M7856" s="15" t="n">
        <v>0.41</v>
      </c>
      <c r="N7856" s="9" t="s">
        <v>26</v>
      </c>
    </row>
    <row r="7857" customFormat="false" ht="14.25" hidden="false" customHeight="true" outlineLevel="0" collapsed="false">
      <c r="B7857" s="9" t="s">
        <v>28</v>
      </c>
      <c r="C7857" s="9" t="n">
        <v>1197831</v>
      </c>
      <c r="D7857" s="10" t="n">
        <v>44038</v>
      </c>
      <c r="E7857" s="9" t="s">
        <v>29</v>
      </c>
      <c r="F7857" s="9" t="s">
        <v>30</v>
      </c>
      <c r="G7857" s="9" t="s">
        <v>31</v>
      </c>
      <c r="H7857" s="11" t="s">
        <v>21</v>
      </c>
      <c r="I7857" s="12" t="n">
        <v>23</v>
      </c>
      <c r="J7857" s="13" t="n">
        <v>289</v>
      </c>
      <c r="K7857" s="14" t="n">
        <f aca="false">I7857*J7857</f>
        <v>6647</v>
      </c>
      <c r="L7857" s="14" t="n">
        <f aca="false">($L$2*M7857)/100</f>
        <v>504699.93</v>
      </c>
      <c r="M7857" s="15" t="n">
        <v>0.42</v>
      </c>
      <c r="N7857" s="9" t="s">
        <v>26</v>
      </c>
    </row>
    <row r="7858" customFormat="false" ht="14.25" hidden="false" customHeight="true" outlineLevel="0" collapsed="false">
      <c r="B7858" s="9" t="s">
        <v>28</v>
      </c>
      <c r="C7858" s="9" t="n">
        <v>1197831</v>
      </c>
      <c r="D7858" s="10" t="n">
        <v>44039</v>
      </c>
      <c r="E7858" s="9" t="s">
        <v>29</v>
      </c>
      <c r="F7858" s="9" t="s">
        <v>30</v>
      </c>
      <c r="G7858" s="9" t="s">
        <v>31</v>
      </c>
      <c r="H7858" s="11" t="s">
        <v>22</v>
      </c>
      <c r="I7858" s="12" t="n">
        <v>27</v>
      </c>
      <c r="J7858" s="13" t="n">
        <v>236</v>
      </c>
      <c r="K7858" s="14" t="n">
        <f aca="false">I7858*J7858</f>
        <v>6372</v>
      </c>
      <c r="L7858" s="14" t="n">
        <f aca="false">($L$2*M7858)/100</f>
        <v>492683.265</v>
      </c>
      <c r="M7858" s="15" t="n">
        <v>0.41</v>
      </c>
      <c r="N7858" s="9" t="s">
        <v>26</v>
      </c>
    </row>
    <row r="7859" customFormat="false" ht="14.25" hidden="false" customHeight="true" outlineLevel="0" collapsed="false">
      <c r="B7859" s="9" t="s">
        <v>28</v>
      </c>
      <c r="C7859" s="9" t="n">
        <v>1197831</v>
      </c>
      <c r="D7859" s="10" t="n">
        <v>44040</v>
      </c>
      <c r="E7859" s="9" t="s">
        <v>29</v>
      </c>
      <c r="F7859" s="9" t="s">
        <v>30</v>
      </c>
      <c r="G7859" s="9" t="s">
        <v>31</v>
      </c>
      <c r="H7859" s="11" t="s">
        <v>23</v>
      </c>
      <c r="I7859" s="12" t="n">
        <v>26</v>
      </c>
      <c r="J7859" s="13" t="n">
        <v>213</v>
      </c>
      <c r="K7859" s="14" t="n">
        <f aca="false">I7859*J7859</f>
        <v>5538</v>
      </c>
      <c r="L7859" s="14" t="n">
        <f aca="false">($L$2*M7859)/100</f>
        <v>600833.25</v>
      </c>
      <c r="M7859" s="15" t="n">
        <v>0.5</v>
      </c>
      <c r="N7859" s="9" t="s">
        <v>26</v>
      </c>
    </row>
    <row r="7860" customFormat="false" ht="14.25" hidden="false" customHeight="true" outlineLevel="0" collapsed="false">
      <c r="B7860" s="9" t="s">
        <v>28</v>
      </c>
      <c r="C7860" s="9" t="n">
        <v>1197831</v>
      </c>
      <c r="D7860" s="10" t="n">
        <v>44041</v>
      </c>
      <c r="E7860" s="9" t="s">
        <v>29</v>
      </c>
      <c r="F7860" s="9" t="s">
        <v>30</v>
      </c>
      <c r="G7860" s="9" t="s">
        <v>31</v>
      </c>
      <c r="H7860" s="11" t="s">
        <v>24</v>
      </c>
      <c r="I7860" s="12" t="n">
        <v>28</v>
      </c>
      <c r="J7860" s="13" t="n">
        <v>160</v>
      </c>
      <c r="K7860" s="14" t="n">
        <f aca="false">I7860*J7860</f>
        <v>4480</v>
      </c>
      <c r="L7860" s="14" t="n">
        <f aca="false">($L$2*M7860)/100</f>
        <v>396549.945</v>
      </c>
      <c r="M7860" s="15" t="n">
        <v>0.33</v>
      </c>
      <c r="N7860" s="9" t="s">
        <v>26</v>
      </c>
    </row>
    <row r="7861" customFormat="false" ht="14.25" hidden="false" customHeight="true" outlineLevel="0" collapsed="false">
      <c r="B7861" s="9" t="s">
        <v>28</v>
      </c>
      <c r="C7861" s="9" t="n">
        <v>1197831</v>
      </c>
      <c r="D7861" s="10" t="n">
        <v>44042</v>
      </c>
      <c r="E7861" s="9" t="s">
        <v>29</v>
      </c>
      <c r="F7861" s="9" t="s">
        <v>30</v>
      </c>
      <c r="G7861" s="9" t="s">
        <v>31</v>
      </c>
      <c r="H7861" s="11" t="s">
        <v>25</v>
      </c>
      <c r="I7861" s="12" t="n">
        <v>26</v>
      </c>
      <c r="J7861" s="13" t="n">
        <v>231</v>
      </c>
      <c r="K7861" s="14" t="n">
        <f aca="false">I7861*J7861</f>
        <v>6006</v>
      </c>
      <c r="L7861" s="14" t="n">
        <f aca="false">($L$2*M7861)/100</f>
        <v>660916.575</v>
      </c>
      <c r="M7861" s="15" t="n">
        <v>0.55</v>
      </c>
      <c r="N7861" s="9" t="s">
        <v>26</v>
      </c>
    </row>
    <row r="7862" customFormat="false" ht="14.25" hidden="false" customHeight="true" outlineLevel="0" collapsed="false">
      <c r="B7862" s="9" t="s">
        <v>28</v>
      </c>
      <c r="C7862" s="9" t="n">
        <v>1197831</v>
      </c>
      <c r="D7862" s="10" t="n">
        <v>44043</v>
      </c>
      <c r="E7862" s="9" t="s">
        <v>29</v>
      </c>
      <c r="F7862" s="9" t="s">
        <v>30</v>
      </c>
      <c r="G7862" s="9" t="s">
        <v>31</v>
      </c>
      <c r="H7862" s="11" t="s">
        <v>19</v>
      </c>
      <c r="I7862" s="12" t="n">
        <v>20</v>
      </c>
      <c r="J7862" s="13" t="n">
        <v>306</v>
      </c>
      <c r="K7862" s="14" t="n">
        <f aca="false">I7862*J7862</f>
        <v>6120</v>
      </c>
      <c r="L7862" s="14" t="n">
        <f aca="false">($L$2*M7862)/100</f>
        <v>504699.93</v>
      </c>
      <c r="M7862" s="15" t="n">
        <v>0.42</v>
      </c>
      <c r="N7862" s="9" t="s">
        <v>26</v>
      </c>
    </row>
    <row r="7863" customFormat="false" ht="14.25" hidden="false" customHeight="true" outlineLevel="0" collapsed="false">
      <c r="B7863" s="9" t="s">
        <v>28</v>
      </c>
      <c r="C7863" s="9" t="n">
        <v>1197831</v>
      </c>
      <c r="D7863" s="10" t="n">
        <v>44044</v>
      </c>
      <c r="E7863" s="9" t="s">
        <v>29</v>
      </c>
      <c r="F7863" s="9" t="s">
        <v>30</v>
      </c>
      <c r="G7863" s="9" t="s">
        <v>31</v>
      </c>
      <c r="H7863" s="11" t="s">
        <v>21</v>
      </c>
      <c r="I7863" s="12" t="n">
        <v>30</v>
      </c>
      <c r="J7863" s="13" t="n">
        <v>263</v>
      </c>
      <c r="K7863" s="14" t="n">
        <f aca="false">I7863*J7863</f>
        <v>7890</v>
      </c>
      <c r="L7863" s="14" t="n">
        <f aca="false">($L$2*M7863)/100</f>
        <v>468649.935</v>
      </c>
      <c r="M7863" s="15" t="n">
        <v>0.39</v>
      </c>
      <c r="N7863" s="9" t="s">
        <v>26</v>
      </c>
    </row>
    <row r="7864" customFormat="false" ht="14.25" hidden="false" customHeight="true" outlineLevel="0" collapsed="false">
      <c r="B7864" s="9" t="s">
        <v>28</v>
      </c>
      <c r="C7864" s="9" t="n">
        <v>1197831</v>
      </c>
      <c r="D7864" s="10" t="n">
        <v>44045</v>
      </c>
      <c r="E7864" s="9" t="s">
        <v>29</v>
      </c>
      <c r="F7864" s="9" t="s">
        <v>30</v>
      </c>
      <c r="G7864" s="9" t="s">
        <v>31</v>
      </c>
      <c r="H7864" s="11" t="s">
        <v>22</v>
      </c>
      <c r="I7864" s="12" t="n">
        <v>23</v>
      </c>
      <c r="J7864" s="13" t="n">
        <v>224</v>
      </c>
      <c r="K7864" s="14" t="n">
        <f aca="false">I7864*J7864</f>
        <v>5152</v>
      </c>
      <c r="L7864" s="14" t="n">
        <f aca="false">($L$2*M7864)/100</f>
        <v>504699.93</v>
      </c>
      <c r="M7864" s="15" t="n">
        <v>0.42</v>
      </c>
      <c r="N7864" s="9" t="s">
        <v>26</v>
      </c>
    </row>
    <row r="7865" customFormat="false" ht="14.25" hidden="false" customHeight="true" outlineLevel="0" collapsed="false">
      <c r="B7865" s="9" t="s">
        <v>28</v>
      </c>
      <c r="C7865" s="9" t="n">
        <v>1197831</v>
      </c>
      <c r="D7865" s="10" t="n">
        <v>44046</v>
      </c>
      <c r="E7865" s="9" t="s">
        <v>29</v>
      </c>
      <c r="F7865" s="9" t="s">
        <v>30</v>
      </c>
      <c r="G7865" s="9" t="s">
        <v>31</v>
      </c>
      <c r="H7865" s="11" t="s">
        <v>23</v>
      </c>
      <c r="I7865" s="12" t="n">
        <v>30</v>
      </c>
      <c r="J7865" s="13" t="n">
        <v>204</v>
      </c>
      <c r="K7865" s="14" t="n">
        <f aca="false">I7865*J7865</f>
        <v>6120</v>
      </c>
      <c r="L7865" s="14" t="n">
        <f aca="false">($L$2*M7865)/100</f>
        <v>576799.92</v>
      </c>
      <c r="M7865" s="15" t="n">
        <v>0.48</v>
      </c>
      <c r="N7865" s="9" t="s">
        <v>26</v>
      </c>
    </row>
    <row r="7866" customFormat="false" ht="14.25" hidden="false" customHeight="true" outlineLevel="0" collapsed="false">
      <c r="B7866" s="9" t="s">
        <v>28</v>
      </c>
      <c r="C7866" s="9" t="n">
        <v>1197831</v>
      </c>
      <c r="D7866" s="10" t="n">
        <v>44047</v>
      </c>
      <c r="E7866" s="9" t="s">
        <v>29</v>
      </c>
      <c r="F7866" s="9" t="s">
        <v>30</v>
      </c>
      <c r="G7866" s="9" t="s">
        <v>31</v>
      </c>
      <c r="H7866" s="11" t="s">
        <v>24</v>
      </c>
      <c r="I7866" s="12" t="n">
        <v>35</v>
      </c>
      <c r="J7866" s="13" t="n">
        <v>155</v>
      </c>
      <c r="K7866" s="14" t="n">
        <f aca="false">I7866*J7866</f>
        <v>5425</v>
      </c>
      <c r="L7866" s="14" t="n">
        <f aca="false">($L$2*M7866)/100</f>
        <v>384533.28</v>
      </c>
      <c r="M7866" s="15" t="n">
        <v>0.32</v>
      </c>
      <c r="N7866" s="9" t="s">
        <v>26</v>
      </c>
    </row>
    <row r="7867" customFormat="false" ht="14.25" hidden="false" customHeight="true" outlineLevel="0" collapsed="false">
      <c r="B7867" s="9" t="s">
        <v>28</v>
      </c>
      <c r="C7867" s="9" t="n">
        <v>1197831</v>
      </c>
      <c r="D7867" s="10" t="n">
        <v>44048</v>
      </c>
      <c r="E7867" s="9" t="s">
        <v>29</v>
      </c>
      <c r="F7867" s="9" t="s">
        <v>30</v>
      </c>
      <c r="G7867" s="9" t="s">
        <v>31</v>
      </c>
      <c r="H7867" s="11" t="s">
        <v>25</v>
      </c>
      <c r="I7867" s="12" t="n">
        <v>29</v>
      </c>
      <c r="J7867" s="13" t="n">
        <v>228</v>
      </c>
      <c r="K7867" s="14" t="n">
        <f aca="false">I7867*J7867</f>
        <v>6612</v>
      </c>
      <c r="L7867" s="14" t="n">
        <f aca="false">($L$2*M7867)/100</f>
        <v>660916.575</v>
      </c>
      <c r="M7867" s="15" t="n">
        <v>0.55</v>
      </c>
      <c r="N7867" s="9" t="s">
        <v>26</v>
      </c>
    </row>
    <row r="7868" customFormat="false" ht="14.25" hidden="false" customHeight="true" outlineLevel="0" collapsed="false">
      <c r="B7868" s="9" t="s">
        <v>28</v>
      </c>
      <c r="C7868" s="9" t="n">
        <v>1197831</v>
      </c>
      <c r="D7868" s="10" t="n">
        <v>44049</v>
      </c>
      <c r="E7868" s="9" t="s">
        <v>29</v>
      </c>
      <c r="F7868" s="9" t="s">
        <v>30</v>
      </c>
      <c r="G7868" s="9" t="s">
        <v>31</v>
      </c>
      <c r="H7868" s="11" t="s">
        <v>19</v>
      </c>
      <c r="I7868" s="12" t="n">
        <v>23</v>
      </c>
      <c r="J7868" s="13" t="n">
        <v>306</v>
      </c>
      <c r="K7868" s="14" t="n">
        <f aca="false">I7868*J7868</f>
        <v>7038</v>
      </c>
      <c r="L7868" s="14" t="n">
        <f aca="false">($L$2*M7868)/100</f>
        <v>444616.605</v>
      </c>
      <c r="M7868" s="15" t="n">
        <v>0.37</v>
      </c>
      <c r="N7868" s="9" t="s">
        <v>26</v>
      </c>
    </row>
    <row r="7869" customFormat="false" ht="14.25" hidden="false" customHeight="true" outlineLevel="0" collapsed="false">
      <c r="B7869" s="9" t="s">
        <v>28</v>
      </c>
      <c r="C7869" s="9" t="n">
        <v>1197831</v>
      </c>
      <c r="D7869" s="10" t="n">
        <v>44050</v>
      </c>
      <c r="E7869" s="9" t="s">
        <v>29</v>
      </c>
      <c r="F7869" s="9" t="s">
        <v>30</v>
      </c>
      <c r="G7869" s="9" t="s">
        <v>31</v>
      </c>
      <c r="H7869" s="11" t="s">
        <v>21</v>
      </c>
      <c r="I7869" s="12" t="n">
        <v>29</v>
      </c>
      <c r="J7869" s="13" t="n">
        <v>306</v>
      </c>
      <c r="K7869" s="14" t="n">
        <f aca="false">I7869*J7869</f>
        <v>8874</v>
      </c>
      <c r="L7869" s="14" t="n">
        <f aca="false">($L$2*M7869)/100</f>
        <v>492683.265</v>
      </c>
      <c r="M7869" s="15" t="n">
        <v>0.41</v>
      </c>
      <c r="N7869" s="9" t="s">
        <v>26</v>
      </c>
    </row>
    <row r="7870" customFormat="false" ht="14.25" hidden="false" customHeight="true" outlineLevel="0" collapsed="false">
      <c r="B7870" s="9" t="s">
        <v>28</v>
      </c>
      <c r="C7870" s="9" t="n">
        <v>1197831</v>
      </c>
      <c r="D7870" s="10" t="n">
        <v>44051</v>
      </c>
      <c r="E7870" s="9" t="s">
        <v>29</v>
      </c>
      <c r="F7870" s="9" t="s">
        <v>30</v>
      </c>
      <c r="G7870" s="9" t="s">
        <v>31</v>
      </c>
      <c r="H7870" s="11" t="s">
        <v>22</v>
      </c>
      <c r="I7870" s="12" t="n">
        <v>24</v>
      </c>
      <c r="J7870" s="13" t="n">
        <v>232</v>
      </c>
      <c r="K7870" s="14" t="n">
        <f aca="false">I7870*J7870</f>
        <v>5568</v>
      </c>
      <c r="L7870" s="14" t="n">
        <f aca="false">($L$2*M7870)/100</f>
        <v>444616.605</v>
      </c>
      <c r="M7870" s="15" t="n">
        <v>0.37</v>
      </c>
      <c r="N7870" s="9" t="s">
        <v>26</v>
      </c>
    </row>
    <row r="7871" customFormat="false" ht="14.25" hidden="false" customHeight="true" outlineLevel="0" collapsed="false">
      <c r="B7871" s="9" t="s">
        <v>28</v>
      </c>
      <c r="C7871" s="9" t="n">
        <v>1197831</v>
      </c>
      <c r="D7871" s="10" t="n">
        <v>44052</v>
      </c>
      <c r="E7871" s="9" t="s">
        <v>29</v>
      </c>
      <c r="F7871" s="9" t="s">
        <v>30</v>
      </c>
      <c r="G7871" s="9" t="s">
        <v>31</v>
      </c>
      <c r="H7871" s="11" t="s">
        <v>23</v>
      </c>
      <c r="I7871" s="12" t="n">
        <v>28</v>
      </c>
      <c r="J7871" s="13" t="n">
        <v>213</v>
      </c>
      <c r="K7871" s="14" t="n">
        <f aca="false">I7871*J7871</f>
        <v>5964</v>
      </c>
      <c r="L7871" s="14" t="n">
        <f aca="false">($L$2*M7871)/100</f>
        <v>576799.92</v>
      </c>
      <c r="M7871" s="15" t="n">
        <v>0.48</v>
      </c>
      <c r="N7871" s="9" t="s">
        <v>26</v>
      </c>
    </row>
    <row r="7872" customFormat="false" ht="14.25" hidden="false" customHeight="true" outlineLevel="0" collapsed="false">
      <c r="B7872" s="9" t="s">
        <v>27</v>
      </c>
      <c r="C7872" s="9" t="n">
        <v>1197831</v>
      </c>
      <c r="D7872" s="10" t="n">
        <v>44053</v>
      </c>
      <c r="E7872" s="9" t="s">
        <v>29</v>
      </c>
      <c r="F7872" s="9" t="s">
        <v>30</v>
      </c>
      <c r="G7872" s="9" t="s">
        <v>31</v>
      </c>
      <c r="H7872" s="11" t="s">
        <v>24</v>
      </c>
      <c r="I7872" s="12" t="n">
        <v>34</v>
      </c>
      <c r="J7872" s="13" t="n">
        <v>179</v>
      </c>
      <c r="K7872" s="14" t="n">
        <f aca="false">I7872*J7872</f>
        <v>6086</v>
      </c>
      <c r="L7872" s="14" t="n">
        <f aca="false">($L$2*M7872)/100</f>
        <v>408566.61</v>
      </c>
      <c r="M7872" s="15" t="n">
        <v>0.34</v>
      </c>
      <c r="N7872" s="9" t="s">
        <v>26</v>
      </c>
    </row>
    <row r="7873" customFormat="false" ht="14.25" hidden="false" customHeight="true" outlineLevel="0" collapsed="false">
      <c r="B7873" s="9" t="s">
        <v>27</v>
      </c>
      <c r="C7873" s="9" t="n">
        <v>1197831</v>
      </c>
      <c r="D7873" s="10" t="n">
        <v>44054</v>
      </c>
      <c r="E7873" s="9" t="s">
        <v>29</v>
      </c>
      <c r="F7873" s="9" t="s">
        <v>30</v>
      </c>
      <c r="G7873" s="9" t="s">
        <v>31</v>
      </c>
      <c r="H7873" s="11" t="s">
        <v>25</v>
      </c>
      <c r="I7873" s="12" t="n">
        <v>27</v>
      </c>
      <c r="J7873" s="13" t="n">
        <v>272</v>
      </c>
      <c r="K7873" s="14" t="n">
        <f aca="false">I7873*J7873</f>
        <v>7344</v>
      </c>
      <c r="L7873" s="14" t="n">
        <f aca="false">($L$2*M7873)/100</f>
        <v>660916.575</v>
      </c>
      <c r="M7873" s="15" t="n">
        <v>0.55</v>
      </c>
      <c r="N7873" s="9" t="s">
        <v>26</v>
      </c>
    </row>
    <row r="7874" customFormat="false" ht="14.25" hidden="false" customHeight="true" outlineLevel="0" collapsed="false">
      <c r="B7874" s="9" t="s">
        <v>27</v>
      </c>
      <c r="C7874" s="9" t="n">
        <v>1197831</v>
      </c>
      <c r="D7874" s="10" t="n">
        <v>44055</v>
      </c>
      <c r="E7874" s="9" t="s">
        <v>29</v>
      </c>
      <c r="F7874" s="9" t="s">
        <v>30</v>
      </c>
      <c r="G7874" s="9" t="s">
        <v>31</v>
      </c>
      <c r="H7874" s="11" t="s">
        <v>19</v>
      </c>
      <c r="I7874" s="12" t="n">
        <v>24</v>
      </c>
      <c r="J7874" s="13" t="n">
        <v>315</v>
      </c>
      <c r="K7874" s="14" t="n">
        <f aca="false">I7874*J7874</f>
        <v>7560</v>
      </c>
      <c r="L7874" s="14" t="n">
        <f aca="false">($L$2*M7874)/100</f>
        <v>468649.935</v>
      </c>
      <c r="M7874" s="15" t="n">
        <v>0.39</v>
      </c>
      <c r="N7874" s="9" t="s">
        <v>26</v>
      </c>
    </row>
    <row r="7875" customFormat="false" ht="14.25" hidden="false" customHeight="true" outlineLevel="0" collapsed="false">
      <c r="B7875" s="9" t="s">
        <v>27</v>
      </c>
      <c r="C7875" s="9" t="n">
        <v>1197831</v>
      </c>
      <c r="D7875" s="10" t="n">
        <v>44056</v>
      </c>
      <c r="E7875" s="9" t="s">
        <v>29</v>
      </c>
      <c r="F7875" s="9" t="s">
        <v>30</v>
      </c>
      <c r="G7875" s="9" t="s">
        <v>31</v>
      </c>
      <c r="H7875" s="11" t="s">
        <v>21</v>
      </c>
      <c r="I7875" s="12" t="n">
        <v>30</v>
      </c>
      <c r="J7875" s="13" t="n">
        <v>287</v>
      </c>
      <c r="K7875" s="14" t="n">
        <f aca="false">I7875*J7875</f>
        <v>8610</v>
      </c>
      <c r="L7875" s="14" t="n">
        <f aca="false">($L$2*M7875)/100</f>
        <v>504699.93</v>
      </c>
      <c r="M7875" s="15" t="n">
        <v>0.42</v>
      </c>
      <c r="N7875" s="9" t="s">
        <v>26</v>
      </c>
    </row>
    <row r="7876" customFormat="false" ht="14.25" hidden="false" customHeight="true" outlineLevel="0" collapsed="false">
      <c r="B7876" s="9" t="s">
        <v>27</v>
      </c>
      <c r="C7876" s="9" t="n">
        <v>1197831</v>
      </c>
      <c r="D7876" s="10" t="n">
        <v>44057</v>
      </c>
      <c r="E7876" s="9" t="s">
        <v>29</v>
      </c>
      <c r="F7876" s="9" t="s">
        <v>30</v>
      </c>
      <c r="G7876" s="9" t="s">
        <v>31</v>
      </c>
      <c r="H7876" s="11" t="s">
        <v>22</v>
      </c>
      <c r="I7876" s="12" t="n">
        <v>23</v>
      </c>
      <c r="J7876" s="13" t="n">
        <v>240</v>
      </c>
      <c r="K7876" s="14" t="n">
        <f aca="false">I7876*J7876</f>
        <v>5520</v>
      </c>
      <c r="L7876" s="14" t="n">
        <f aca="false">($L$2*M7876)/100</f>
        <v>444616.605</v>
      </c>
      <c r="M7876" s="15" t="n">
        <v>0.37</v>
      </c>
      <c r="N7876" s="9" t="s">
        <v>26</v>
      </c>
    </row>
    <row r="7877" customFormat="false" ht="14.25" hidden="false" customHeight="true" outlineLevel="0" collapsed="false">
      <c r="B7877" s="9" t="s">
        <v>27</v>
      </c>
      <c r="C7877" s="9" t="n">
        <v>1197831</v>
      </c>
      <c r="D7877" s="10" t="n">
        <v>44058</v>
      </c>
      <c r="E7877" s="9" t="s">
        <v>29</v>
      </c>
      <c r="F7877" s="9" t="s">
        <v>30</v>
      </c>
      <c r="G7877" s="9" t="s">
        <v>31</v>
      </c>
      <c r="H7877" s="11" t="s">
        <v>23</v>
      </c>
      <c r="I7877" s="12" t="n">
        <v>31</v>
      </c>
      <c r="J7877" s="13" t="n">
        <v>245</v>
      </c>
      <c r="K7877" s="14" t="n">
        <f aca="false">I7877*J7877</f>
        <v>7595</v>
      </c>
      <c r="L7877" s="14" t="n">
        <f aca="false">($L$2*M7877)/100</f>
        <v>612849.915</v>
      </c>
      <c r="M7877" s="15" t="n">
        <v>0.51</v>
      </c>
      <c r="N7877" s="9" t="s">
        <v>26</v>
      </c>
    </row>
    <row r="7878" customFormat="false" ht="14.25" hidden="false" customHeight="true" outlineLevel="0" collapsed="false">
      <c r="B7878" s="9" t="s">
        <v>27</v>
      </c>
      <c r="C7878" s="9" t="n">
        <v>1197831</v>
      </c>
      <c r="D7878" s="10" t="n">
        <v>44059</v>
      </c>
      <c r="E7878" s="9" t="s">
        <v>29</v>
      </c>
      <c r="F7878" s="9" t="s">
        <v>30</v>
      </c>
      <c r="G7878" s="9" t="s">
        <v>31</v>
      </c>
      <c r="H7878" s="11" t="s">
        <v>24</v>
      </c>
      <c r="I7878" s="12" t="n">
        <v>35</v>
      </c>
      <c r="J7878" s="13" t="n">
        <v>180</v>
      </c>
      <c r="K7878" s="14" t="n">
        <f aca="false">I7878*J7878</f>
        <v>6300</v>
      </c>
      <c r="L7878" s="14" t="n">
        <f aca="false">($L$2*M7878)/100</f>
        <v>420583.275</v>
      </c>
      <c r="M7878" s="15" t="n">
        <v>0.35</v>
      </c>
      <c r="N7878" s="9" t="s">
        <v>26</v>
      </c>
    </row>
    <row r="7879" customFormat="false" ht="14.25" hidden="false" customHeight="true" outlineLevel="0" collapsed="false">
      <c r="B7879" s="9" t="s">
        <v>27</v>
      </c>
      <c r="C7879" s="9" t="n">
        <v>1197831</v>
      </c>
      <c r="D7879" s="10" t="n">
        <v>44060</v>
      </c>
      <c r="E7879" s="9" t="s">
        <v>29</v>
      </c>
      <c r="F7879" s="9" t="s">
        <v>30</v>
      </c>
      <c r="G7879" s="9" t="s">
        <v>31</v>
      </c>
      <c r="H7879" s="11" t="s">
        <v>25</v>
      </c>
      <c r="I7879" s="12" t="n">
        <v>32</v>
      </c>
      <c r="J7879" s="13" t="n">
        <v>295</v>
      </c>
      <c r="K7879" s="14" t="n">
        <f aca="false">I7879*J7879</f>
        <v>9440</v>
      </c>
      <c r="L7879" s="14" t="n">
        <f aca="false">($L$2*M7879)/100</f>
        <v>684949.905</v>
      </c>
      <c r="M7879" s="15" t="n">
        <v>0.57</v>
      </c>
      <c r="N7879" s="9" t="s">
        <v>26</v>
      </c>
    </row>
    <row r="7880" customFormat="false" ht="14.25" hidden="false" customHeight="true" outlineLevel="0" collapsed="false">
      <c r="B7880" s="9" t="s">
        <v>27</v>
      </c>
      <c r="C7880" s="9" t="n">
        <v>1197831</v>
      </c>
      <c r="D7880" s="10" t="n">
        <v>44061</v>
      </c>
      <c r="E7880" s="9" t="s">
        <v>29</v>
      </c>
      <c r="F7880" s="9" t="s">
        <v>30</v>
      </c>
      <c r="G7880" s="9" t="s">
        <v>31</v>
      </c>
      <c r="H7880" s="11" t="s">
        <v>19</v>
      </c>
      <c r="I7880" s="12" t="n">
        <v>28</v>
      </c>
      <c r="J7880" s="13" t="n">
        <v>295</v>
      </c>
      <c r="K7880" s="14" t="n">
        <f aca="false">I7880*J7880</f>
        <v>8260</v>
      </c>
      <c r="L7880" s="14" t="n">
        <f aca="false">($L$2*M7880)/100</f>
        <v>492683.265</v>
      </c>
      <c r="M7880" s="15" t="n">
        <v>0.41</v>
      </c>
      <c r="N7880" s="9" t="s">
        <v>26</v>
      </c>
    </row>
    <row r="7881" customFormat="false" ht="14.25" hidden="false" customHeight="true" outlineLevel="0" collapsed="false">
      <c r="B7881" s="9" t="s">
        <v>27</v>
      </c>
      <c r="C7881" s="9" t="n">
        <v>1197831</v>
      </c>
      <c r="D7881" s="10" t="n">
        <v>44062</v>
      </c>
      <c r="E7881" s="9" t="s">
        <v>29</v>
      </c>
      <c r="F7881" s="9" t="s">
        <v>30</v>
      </c>
      <c r="G7881" s="9" t="s">
        <v>31</v>
      </c>
      <c r="H7881" s="11" t="s">
        <v>21</v>
      </c>
      <c r="I7881" s="12" t="n">
        <v>33</v>
      </c>
      <c r="J7881" s="13" t="n">
        <v>323</v>
      </c>
      <c r="K7881" s="14" t="n">
        <f aca="false">I7881*J7881</f>
        <v>10659</v>
      </c>
      <c r="L7881" s="14" t="n">
        <f aca="false">($L$2*M7881)/100</f>
        <v>504699.93</v>
      </c>
      <c r="M7881" s="15" t="n">
        <v>0.42</v>
      </c>
      <c r="N7881" s="9" t="s">
        <v>26</v>
      </c>
    </row>
    <row r="7882" customFormat="false" ht="14.25" hidden="false" customHeight="true" outlineLevel="0" collapsed="false">
      <c r="B7882" s="9" t="s">
        <v>27</v>
      </c>
      <c r="C7882" s="9" t="n">
        <v>1197831</v>
      </c>
      <c r="D7882" s="10" t="n">
        <v>44063</v>
      </c>
      <c r="E7882" s="9" t="s">
        <v>29</v>
      </c>
      <c r="F7882" s="9" t="s">
        <v>30</v>
      </c>
      <c r="G7882" s="9" t="s">
        <v>31</v>
      </c>
      <c r="H7882" s="11" t="s">
        <v>22</v>
      </c>
      <c r="I7882" s="12" t="n">
        <v>27</v>
      </c>
      <c r="J7882" s="13" t="n">
        <v>264</v>
      </c>
      <c r="K7882" s="14" t="n">
        <f aca="false">I7882*J7882</f>
        <v>7128</v>
      </c>
      <c r="L7882" s="14" t="n">
        <f aca="false">($L$2*M7882)/100</f>
        <v>480666.6</v>
      </c>
      <c r="M7882" s="15" t="n">
        <v>0.4</v>
      </c>
      <c r="N7882" s="9" t="s">
        <v>26</v>
      </c>
    </row>
    <row r="7883" customFormat="false" ht="14.25" hidden="false" customHeight="true" outlineLevel="0" collapsed="false">
      <c r="B7883" s="9" t="s">
        <v>27</v>
      </c>
      <c r="C7883" s="9" t="n">
        <v>1197831</v>
      </c>
      <c r="D7883" s="10" t="n">
        <v>44064</v>
      </c>
      <c r="E7883" s="9" t="s">
        <v>29</v>
      </c>
      <c r="F7883" s="9" t="s">
        <v>30</v>
      </c>
      <c r="G7883" s="9" t="s">
        <v>31</v>
      </c>
      <c r="H7883" s="11" t="s">
        <v>23</v>
      </c>
      <c r="I7883" s="12" t="n">
        <v>26</v>
      </c>
      <c r="J7883" s="13" t="n">
        <v>263</v>
      </c>
      <c r="K7883" s="14" t="n">
        <f aca="false">I7883*J7883</f>
        <v>6838</v>
      </c>
      <c r="L7883" s="14" t="n">
        <f aca="false">($L$2*M7883)/100</f>
        <v>576799.92</v>
      </c>
      <c r="M7883" s="15" t="n">
        <v>0.48</v>
      </c>
      <c r="N7883" s="9" t="s">
        <v>26</v>
      </c>
    </row>
    <row r="7884" customFormat="false" ht="14.25" hidden="false" customHeight="true" outlineLevel="0" collapsed="false">
      <c r="B7884" s="9" t="s">
        <v>27</v>
      </c>
      <c r="C7884" s="9" t="n">
        <v>1197831</v>
      </c>
      <c r="D7884" s="10" t="n">
        <v>44065</v>
      </c>
      <c r="E7884" s="9" t="s">
        <v>29</v>
      </c>
      <c r="F7884" s="9" t="s">
        <v>30</v>
      </c>
      <c r="G7884" s="9" t="s">
        <v>31</v>
      </c>
      <c r="H7884" s="11" t="s">
        <v>24</v>
      </c>
      <c r="I7884" s="12" t="n">
        <v>29</v>
      </c>
      <c r="J7884" s="13" t="n">
        <v>221</v>
      </c>
      <c r="K7884" s="14" t="n">
        <f aca="false">I7884*J7884</f>
        <v>6409</v>
      </c>
      <c r="L7884" s="14" t="n">
        <f aca="false">($L$2*M7884)/100</f>
        <v>384533.28</v>
      </c>
      <c r="M7884" s="15" t="n">
        <v>0.32</v>
      </c>
      <c r="N7884" s="9" t="s">
        <v>26</v>
      </c>
    </row>
    <row r="7885" customFormat="false" ht="14.25" hidden="false" customHeight="true" outlineLevel="0" collapsed="false">
      <c r="B7885" s="9" t="s">
        <v>27</v>
      </c>
      <c r="C7885" s="9" t="n">
        <v>1197831</v>
      </c>
      <c r="D7885" s="10" t="n">
        <v>44066</v>
      </c>
      <c r="E7885" s="9" t="s">
        <v>29</v>
      </c>
      <c r="F7885" s="9" t="s">
        <v>30</v>
      </c>
      <c r="G7885" s="9" t="s">
        <v>31</v>
      </c>
      <c r="H7885" s="11" t="s">
        <v>25</v>
      </c>
      <c r="I7885" s="12" t="n">
        <v>38</v>
      </c>
      <c r="J7885" s="13" t="n">
        <v>350</v>
      </c>
      <c r="K7885" s="14" t="n">
        <f aca="false">I7885*J7885</f>
        <v>13300</v>
      </c>
      <c r="L7885" s="14" t="n">
        <f aca="false">($L$2*M7885)/100</f>
        <v>684949.905</v>
      </c>
      <c r="M7885" s="15" t="n">
        <v>0.57</v>
      </c>
      <c r="N7885" s="9" t="s">
        <v>26</v>
      </c>
    </row>
    <row r="7886" customFormat="false" ht="14.25" hidden="false" customHeight="true" outlineLevel="0" collapsed="false">
      <c r="B7886" s="9" t="s">
        <v>27</v>
      </c>
      <c r="C7886" s="9" t="n">
        <v>1197831</v>
      </c>
      <c r="D7886" s="10" t="n">
        <v>44067</v>
      </c>
      <c r="E7886" s="9" t="s">
        <v>29</v>
      </c>
      <c r="F7886" s="9" t="s">
        <v>30</v>
      </c>
      <c r="G7886" s="9" t="s">
        <v>31</v>
      </c>
      <c r="H7886" s="11" t="s">
        <v>19</v>
      </c>
      <c r="I7886" s="12" t="n">
        <v>29</v>
      </c>
      <c r="J7886" s="13" t="n">
        <v>295</v>
      </c>
      <c r="K7886" s="14" t="n">
        <f aca="false">I7886*J7886</f>
        <v>8555</v>
      </c>
      <c r="L7886" s="14" t="n">
        <f aca="false">($L$2*M7886)/100</f>
        <v>480666.6</v>
      </c>
      <c r="M7886" s="15" t="n">
        <v>0.4</v>
      </c>
      <c r="N7886" s="9" t="s">
        <v>26</v>
      </c>
    </row>
    <row r="7887" customFormat="false" ht="14.25" hidden="false" customHeight="true" outlineLevel="0" collapsed="false">
      <c r="B7887" s="9" t="s">
        <v>27</v>
      </c>
      <c r="C7887" s="9" t="n">
        <v>1197831</v>
      </c>
      <c r="D7887" s="10" t="n">
        <v>44068</v>
      </c>
      <c r="E7887" s="9" t="s">
        <v>29</v>
      </c>
      <c r="F7887" s="9" t="s">
        <v>30</v>
      </c>
      <c r="G7887" s="9" t="s">
        <v>31</v>
      </c>
      <c r="H7887" s="11" t="s">
        <v>21</v>
      </c>
      <c r="I7887" s="12" t="n">
        <v>32</v>
      </c>
      <c r="J7887" s="13" t="n">
        <v>285</v>
      </c>
      <c r="K7887" s="14" t="n">
        <f aca="false">I7887*J7887</f>
        <v>9120</v>
      </c>
      <c r="L7887" s="14" t="n">
        <f aca="false">($L$2*M7887)/100</f>
        <v>504699.93</v>
      </c>
      <c r="M7887" s="15" t="n">
        <v>0.42</v>
      </c>
      <c r="N7887" s="9" t="s">
        <v>26</v>
      </c>
    </row>
    <row r="7888" customFormat="false" ht="14.25" hidden="false" customHeight="true" outlineLevel="0" collapsed="false">
      <c r="B7888" s="9" t="s">
        <v>27</v>
      </c>
      <c r="C7888" s="9" t="n">
        <v>1197831</v>
      </c>
      <c r="D7888" s="10" t="n">
        <v>44069</v>
      </c>
      <c r="E7888" s="9" t="s">
        <v>29</v>
      </c>
      <c r="F7888" s="9" t="s">
        <v>30</v>
      </c>
      <c r="G7888" s="9" t="s">
        <v>31</v>
      </c>
      <c r="H7888" s="11" t="s">
        <v>22</v>
      </c>
      <c r="I7888" s="12" t="n">
        <v>29</v>
      </c>
      <c r="J7888" s="13" t="n">
        <v>374</v>
      </c>
      <c r="K7888" s="14" t="n">
        <f aca="false">I7888*J7888</f>
        <v>10846</v>
      </c>
      <c r="L7888" s="14" t="n">
        <f aca="false">($L$2*M7888)/100</f>
        <v>492683.265</v>
      </c>
      <c r="M7888" s="15" t="n">
        <v>0.41</v>
      </c>
      <c r="N7888" s="9" t="s">
        <v>26</v>
      </c>
    </row>
    <row r="7889" customFormat="false" ht="14.25" hidden="false" customHeight="true" outlineLevel="0" collapsed="false">
      <c r="B7889" s="9" t="s">
        <v>27</v>
      </c>
      <c r="C7889" s="9" t="n">
        <v>1197831</v>
      </c>
      <c r="D7889" s="10" t="n">
        <v>44070</v>
      </c>
      <c r="E7889" s="9" t="s">
        <v>29</v>
      </c>
      <c r="F7889" s="9" t="s">
        <v>30</v>
      </c>
      <c r="G7889" s="9" t="s">
        <v>31</v>
      </c>
      <c r="H7889" s="11" t="s">
        <v>23</v>
      </c>
      <c r="I7889" s="12" t="n">
        <v>28</v>
      </c>
      <c r="J7889" s="13" t="n">
        <v>224</v>
      </c>
      <c r="K7889" s="14" t="n">
        <f aca="false">I7889*J7889</f>
        <v>6272</v>
      </c>
      <c r="L7889" s="14" t="n">
        <f aca="false">($L$2*M7889)/100</f>
        <v>624866.58</v>
      </c>
      <c r="M7889" s="15" t="n">
        <v>0.52</v>
      </c>
      <c r="N7889" s="9" t="s">
        <v>26</v>
      </c>
    </row>
    <row r="7890" customFormat="false" ht="14.25" hidden="false" customHeight="true" outlineLevel="0" collapsed="false">
      <c r="B7890" s="9" t="s">
        <v>27</v>
      </c>
      <c r="C7890" s="9" t="n">
        <v>1197831</v>
      </c>
      <c r="D7890" s="10" t="n">
        <v>44071</v>
      </c>
      <c r="E7890" s="9" t="s">
        <v>29</v>
      </c>
      <c r="F7890" s="9" t="s">
        <v>30</v>
      </c>
      <c r="G7890" s="9" t="s">
        <v>31</v>
      </c>
      <c r="H7890" s="11" t="s">
        <v>24</v>
      </c>
      <c r="I7890" s="12" t="n">
        <v>33</v>
      </c>
      <c r="J7890" s="13" t="n">
        <v>217</v>
      </c>
      <c r="K7890" s="14" t="n">
        <f aca="false">I7890*J7890</f>
        <v>7161</v>
      </c>
      <c r="L7890" s="14" t="n">
        <f aca="false">($L$2*M7890)/100</f>
        <v>432599.94</v>
      </c>
      <c r="M7890" s="15" t="n">
        <v>0.36</v>
      </c>
      <c r="N7890" s="9" t="s">
        <v>26</v>
      </c>
    </row>
    <row r="7891" customFormat="false" ht="14.25" hidden="false" customHeight="true" outlineLevel="0" collapsed="false">
      <c r="B7891" s="9" t="s">
        <v>27</v>
      </c>
      <c r="C7891" s="9" t="n">
        <v>1197831</v>
      </c>
      <c r="D7891" s="10" t="n">
        <v>44072</v>
      </c>
      <c r="E7891" s="9" t="s">
        <v>29</v>
      </c>
      <c r="F7891" s="9" t="s">
        <v>30</v>
      </c>
      <c r="G7891" s="9" t="s">
        <v>31</v>
      </c>
      <c r="H7891" s="11" t="s">
        <v>25</v>
      </c>
      <c r="I7891" s="12" t="n">
        <v>36</v>
      </c>
      <c r="J7891" s="13" t="n">
        <v>302</v>
      </c>
      <c r="K7891" s="14" t="n">
        <f aca="false">I7891*J7891</f>
        <v>10872</v>
      </c>
      <c r="L7891" s="14" t="n">
        <f aca="false">($L$2*M7891)/100</f>
        <v>624866.58</v>
      </c>
      <c r="M7891" s="15" t="n">
        <v>0.52</v>
      </c>
      <c r="N7891" s="9" t="s">
        <v>26</v>
      </c>
    </row>
    <row r="7892" customFormat="false" ht="14.25" hidden="false" customHeight="true" outlineLevel="0" collapsed="false">
      <c r="B7892" s="9" t="s">
        <v>27</v>
      </c>
      <c r="C7892" s="9" t="n">
        <v>1197831</v>
      </c>
      <c r="D7892" s="10" t="n">
        <v>44073</v>
      </c>
      <c r="E7892" s="9" t="s">
        <v>29</v>
      </c>
      <c r="F7892" s="9" t="s">
        <v>30</v>
      </c>
      <c r="G7892" s="9" t="s">
        <v>31</v>
      </c>
      <c r="H7892" s="11" t="s">
        <v>19</v>
      </c>
      <c r="I7892" s="12" t="n">
        <v>27</v>
      </c>
      <c r="J7892" s="13" t="n">
        <v>305</v>
      </c>
      <c r="K7892" s="14" t="n">
        <f aca="false">I7892*J7892</f>
        <v>8235</v>
      </c>
      <c r="L7892" s="14" t="n">
        <f aca="false">($L$2*M7892)/100</f>
        <v>444616.605</v>
      </c>
      <c r="M7892" s="15" t="n">
        <v>0.37</v>
      </c>
      <c r="N7892" s="9" t="s">
        <v>26</v>
      </c>
    </row>
    <row r="7893" customFormat="false" ht="14.25" hidden="false" customHeight="true" outlineLevel="0" collapsed="false">
      <c r="B7893" s="9" t="s">
        <v>27</v>
      </c>
      <c r="C7893" s="9" t="n">
        <v>1197831</v>
      </c>
      <c r="D7893" s="10" t="n">
        <v>44074</v>
      </c>
      <c r="E7893" s="9" t="s">
        <v>29</v>
      </c>
      <c r="F7893" s="9" t="s">
        <v>30</v>
      </c>
      <c r="G7893" s="9" t="s">
        <v>31</v>
      </c>
      <c r="H7893" s="11" t="s">
        <v>21</v>
      </c>
      <c r="I7893" s="12" t="n">
        <v>33</v>
      </c>
      <c r="J7893" s="13" t="n">
        <v>305</v>
      </c>
      <c r="K7893" s="14" t="n">
        <f aca="false">I7893*J7893</f>
        <v>10065</v>
      </c>
      <c r="L7893" s="14" t="n">
        <f aca="false">($L$2*M7893)/100</f>
        <v>456633.27</v>
      </c>
      <c r="M7893" s="15" t="n">
        <v>0.38</v>
      </c>
      <c r="N7893" s="9" t="s">
        <v>26</v>
      </c>
    </row>
    <row r="7894" customFormat="false" ht="14.25" hidden="false" customHeight="true" outlineLevel="0" collapsed="false">
      <c r="B7894" s="9" t="s">
        <v>27</v>
      </c>
      <c r="C7894" s="9" t="n">
        <v>1197831</v>
      </c>
      <c r="D7894" s="10" t="n">
        <v>44075</v>
      </c>
      <c r="E7894" s="9" t="s">
        <v>29</v>
      </c>
      <c r="F7894" s="9" t="s">
        <v>30</v>
      </c>
      <c r="G7894" s="9" t="s">
        <v>31</v>
      </c>
      <c r="H7894" s="11" t="s">
        <v>22</v>
      </c>
      <c r="I7894" s="12" t="n">
        <v>29</v>
      </c>
      <c r="J7894" s="13" t="n">
        <v>374</v>
      </c>
      <c r="K7894" s="14" t="n">
        <f aca="false">I7894*J7894</f>
        <v>10846</v>
      </c>
      <c r="L7894" s="14" t="n">
        <f aca="false">($L$2*M7894)/100</f>
        <v>492683.265</v>
      </c>
      <c r="M7894" s="15" t="n">
        <v>0.41</v>
      </c>
      <c r="N7894" s="9" t="s">
        <v>26</v>
      </c>
    </row>
    <row r="7895" customFormat="false" ht="14.25" hidden="false" customHeight="true" outlineLevel="0" collapsed="false">
      <c r="B7895" s="9" t="s">
        <v>27</v>
      </c>
      <c r="C7895" s="9" t="n">
        <v>1197831</v>
      </c>
      <c r="D7895" s="10" t="n">
        <v>44076</v>
      </c>
      <c r="E7895" s="9" t="s">
        <v>29</v>
      </c>
      <c r="F7895" s="9" t="s">
        <v>30</v>
      </c>
      <c r="G7895" s="9" t="s">
        <v>31</v>
      </c>
      <c r="H7895" s="11" t="s">
        <v>23</v>
      </c>
      <c r="I7895" s="12" t="n">
        <v>30</v>
      </c>
      <c r="J7895" s="13" t="n">
        <v>215</v>
      </c>
      <c r="K7895" s="14" t="n">
        <f aca="false">I7895*J7895</f>
        <v>6450</v>
      </c>
      <c r="L7895" s="14" t="n">
        <f aca="false">($L$2*M7895)/100</f>
        <v>576799.92</v>
      </c>
      <c r="M7895" s="15" t="n">
        <v>0.48</v>
      </c>
      <c r="N7895" s="9" t="s">
        <v>26</v>
      </c>
    </row>
    <row r="7896" customFormat="false" ht="14.25" hidden="false" customHeight="true" outlineLevel="0" collapsed="false">
      <c r="B7896" s="9" t="s">
        <v>27</v>
      </c>
      <c r="C7896" s="9" t="n">
        <v>1197831</v>
      </c>
      <c r="D7896" s="10" t="n">
        <v>44077</v>
      </c>
      <c r="E7896" s="9" t="s">
        <v>29</v>
      </c>
      <c r="F7896" s="9" t="s">
        <v>30</v>
      </c>
      <c r="G7896" s="9" t="s">
        <v>31</v>
      </c>
      <c r="H7896" s="11" t="s">
        <v>24</v>
      </c>
      <c r="I7896" s="12" t="n">
        <v>35</v>
      </c>
      <c r="J7896" s="13" t="n">
        <v>228</v>
      </c>
      <c r="K7896" s="14" t="n">
        <f aca="false">I7896*J7896</f>
        <v>7980</v>
      </c>
      <c r="L7896" s="14" t="n">
        <f aca="false">($L$2*M7896)/100</f>
        <v>408566.61</v>
      </c>
      <c r="M7896" s="15" t="n">
        <v>0.34</v>
      </c>
      <c r="N7896" s="9" t="s">
        <v>26</v>
      </c>
    </row>
    <row r="7897" customFormat="false" ht="14.25" hidden="false" customHeight="true" outlineLevel="0" collapsed="false">
      <c r="B7897" s="9" t="s">
        <v>27</v>
      </c>
      <c r="C7897" s="9" t="n">
        <v>1197831</v>
      </c>
      <c r="D7897" s="10" t="n">
        <v>44078</v>
      </c>
      <c r="E7897" s="9" t="s">
        <v>29</v>
      </c>
      <c r="F7897" s="9" t="s">
        <v>30</v>
      </c>
      <c r="G7897" s="9" t="s">
        <v>31</v>
      </c>
      <c r="H7897" s="11" t="s">
        <v>25</v>
      </c>
      <c r="I7897" s="12" t="n">
        <v>39</v>
      </c>
      <c r="J7897" s="13" t="n">
        <v>270</v>
      </c>
      <c r="K7897" s="14" t="n">
        <f aca="false">I7897*J7897</f>
        <v>10530</v>
      </c>
      <c r="L7897" s="14" t="n">
        <f aca="false">($L$2*M7897)/100</f>
        <v>648899.91</v>
      </c>
      <c r="M7897" s="15" t="n">
        <v>0.54</v>
      </c>
      <c r="N7897" s="9" t="s">
        <v>26</v>
      </c>
    </row>
    <row r="7898" customFormat="false" ht="14.25" hidden="false" customHeight="true" outlineLevel="0" collapsed="false">
      <c r="B7898" s="9" t="s">
        <v>27</v>
      </c>
      <c r="C7898" s="9" t="n">
        <v>1197831</v>
      </c>
      <c r="D7898" s="10" t="n">
        <v>44079</v>
      </c>
      <c r="E7898" s="9" t="s">
        <v>29</v>
      </c>
      <c r="F7898" s="9" t="s">
        <v>30</v>
      </c>
      <c r="G7898" s="9" t="s">
        <v>31</v>
      </c>
      <c r="H7898" s="11" t="s">
        <v>19</v>
      </c>
      <c r="I7898" s="12" t="n">
        <v>33</v>
      </c>
      <c r="J7898" s="13" t="n">
        <v>264</v>
      </c>
      <c r="K7898" s="14" t="n">
        <f aca="false">I7898*J7898</f>
        <v>8712</v>
      </c>
      <c r="L7898" s="14" t="n">
        <f aca="false">($L$2*M7898)/100</f>
        <v>504699.93</v>
      </c>
      <c r="M7898" s="15" t="n">
        <v>0.42</v>
      </c>
      <c r="N7898" s="9" t="s">
        <v>26</v>
      </c>
    </row>
    <row r="7899" customFormat="false" ht="14.25" hidden="false" customHeight="true" outlineLevel="0" collapsed="false">
      <c r="B7899" s="9" t="s">
        <v>27</v>
      </c>
      <c r="C7899" s="9" t="n">
        <v>1197831</v>
      </c>
      <c r="D7899" s="10" t="n">
        <v>44080</v>
      </c>
      <c r="E7899" s="9" t="s">
        <v>29</v>
      </c>
      <c r="F7899" s="9" t="s">
        <v>30</v>
      </c>
      <c r="G7899" s="9" t="s">
        <v>31</v>
      </c>
      <c r="H7899" s="11" t="s">
        <v>21</v>
      </c>
      <c r="I7899" s="12" t="n">
        <v>32</v>
      </c>
      <c r="J7899" s="13" t="n">
        <v>255</v>
      </c>
      <c r="K7899" s="14" t="n">
        <f aca="false">I7899*J7899</f>
        <v>8160</v>
      </c>
      <c r="L7899" s="14" t="n">
        <f aca="false">($L$2*M7899)/100</f>
        <v>444616.605</v>
      </c>
      <c r="M7899" s="15" t="n">
        <v>0.37</v>
      </c>
      <c r="N7899" s="9" t="s">
        <v>26</v>
      </c>
    </row>
    <row r="7900" customFormat="false" ht="14.25" hidden="false" customHeight="true" outlineLevel="0" collapsed="false">
      <c r="B7900" s="9" t="s">
        <v>27</v>
      </c>
      <c r="C7900" s="9" t="n">
        <v>1197831</v>
      </c>
      <c r="D7900" s="10" t="n">
        <v>44081</v>
      </c>
      <c r="E7900" s="9" t="s">
        <v>29</v>
      </c>
      <c r="F7900" s="9" t="s">
        <v>30</v>
      </c>
      <c r="G7900" s="9" t="s">
        <v>31</v>
      </c>
      <c r="H7900" s="11" t="s">
        <v>22</v>
      </c>
      <c r="I7900" s="12" t="n">
        <v>36</v>
      </c>
      <c r="J7900" s="13" t="n">
        <v>315</v>
      </c>
      <c r="K7900" s="14" t="n">
        <f aca="false">I7900*J7900</f>
        <v>11340</v>
      </c>
      <c r="L7900" s="14" t="n">
        <f aca="false">($L$2*M7900)/100</f>
        <v>456633.27</v>
      </c>
      <c r="M7900" s="15" t="n">
        <v>0.38</v>
      </c>
      <c r="N7900" s="9" t="s">
        <v>26</v>
      </c>
    </row>
    <row r="7901" customFormat="false" ht="14.25" hidden="false" customHeight="true" outlineLevel="0" collapsed="false">
      <c r="B7901" s="9" t="s">
        <v>27</v>
      </c>
      <c r="C7901" s="9" t="n">
        <v>1197831</v>
      </c>
      <c r="D7901" s="10" t="n">
        <v>44082</v>
      </c>
      <c r="E7901" s="9" t="s">
        <v>29</v>
      </c>
      <c r="F7901" s="9" t="s">
        <v>30</v>
      </c>
      <c r="G7901" s="9" t="s">
        <v>31</v>
      </c>
      <c r="H7901" s="11" t="s">
        <v>23</v>
      </c>
      <c r="I7901" s="12" t="n">
        <v>37</v>
      </c>
      <c r="J7901" s="13" t="n">
        <v>200</v>
      </c>
      <c r="K7901" s="14" t="n">
        <f aca="false">I7901*J7901</f>
        <v>7400</v>
      </c>
      <c r="L7901" s="14" t="n">
        <f aca="false">($L$2*M7901)/100</f>
        <v>600833.25</v>
      </c>
      <c r="M7901" s="15" t="n">
        <v>0.5</v>
      </c>
      <c r="N7901" s="9" t="s">
        <v>26</v>
      </c>
    </row>
    <row r="7902" customFormat="false" ht="14.25" hidden="false" customHeight="true" outlineLevel="0" collapsed="false">
      <c r="B7902" s="9" t="s">
        <v>27</v>
      </c>
      <c r="C7902" s="9" t="n">
        <v>1197831</v>
      </c>
      <c r="D7902" s="10" t="n">
        <v>44083</v>
      </c>
      <c r="E7902" s="9" t="s">
        <v>29</v>
      </c>
      <c r="F7902" s="9" t="s">
        <v>30</v>
      </c>
      <c r="G7902" s="9" t="s">
        <v>31</v>
      </c>
      <c r="H7902" s="11" t="s">
        <v>24</v>
      </c>
      <c r="I7902" s="12" t="n">
        <v>36</v>
      </c>
      <c r="J7902" s="13" t="n">
        <v>206</v>
      </c>
      <c r="K7902" s="14" t="n">
        <f aca="false">I7902*J7902</f>
        <v>7416</v>
      </c>
      <c r="L7902" s="14" t="n">
        <f aca="false">($L$2*M7902)/100</f>
        <v>432599.94</v>
      </c>
      <c r="M7902" s="15" t="n">
        <v>0.36</v>
      </c>
      <c r="N7902" s="9" t="s">
        <v>26</v>
      </c>
    </row>
    <row r="7903" customFormat="false" ht="14.25" hidden="false" customHeight="true" outlineLevel="0" collapsed="false">
      <c r="B7903" s="9" t="s">
        <v>27</v>
      </c>
      <c r="C7903" s="9" t="n">
        <v>1197831</v>
      </c>
      <c r="D7903" s="10" t="n">
        <v>44084</v>
      </c>
      <c r="E7903" s="9" t="s">
        <v>29</v>
      </c>
      <c r="F7903" s="9" t="s">
        <v>30</v>
      </c>
      <c r="G7903" s="9" t="s">
        <v>31</v>
      </c>
      <c r="H7903" s="11" t="s">
        <v>25</v>
      </c>
      <c r="I7903" s="12" t="n">
        <v>42</v>
      </c>
      <c r="J7903" s="13" t="n">
        <v>298</v>
      </c>
      <c r="K7903" s="14" t="n">
        <f aca="false">I7903*J7903</f>
        <v>12516</v>
      </c>
      <c r="L7903" s="14" t="n">
        <f aca="false">($L$2*M7903)/100</f>
        <v>684949.905</v>
      </c>
      <c r="M7903" s="15" t="n">
        <v>0.57</v>
      </c>
      <c r="N7903" s="9" t="s">
        <v>26</v>
      </c>
    </row>
    <row r="7904" customFormat="false" ht="14.25" hidden="false" customHeight="true" outlineLevel="0" collapsed="false">
      <c r="B7904" s="9" t="s">
        <v>27</v>
      </c>
      <c r="C7904" s="9" t="n">
        <v>1197831</v>
      </c>
      <c r="D7904" s="10" t="n">
        <v>44085</v>
      </c>
      <c r="E7904" s="9" t="s">
        <v>29</v>
      </c>
      <c r="F7904" s="9" t="s">
        <v>30</v>
      </c>
      <c r="G7904" s="9" t="s">
        <v>31</v>
      </c>
      <c r="H7904" s="11" t="s">
        <v>19</v>
      </c>
      <c r="I7904" s="12" t="n">
        <v>31</v>
      </c>
      <c r="J7904" s="13" t="n">
        <v>272</v>
      </c>
      <c r="K7904" s="14" t="n">
        <f aca="false">I7904*J7904</f>
        <v>8432</v>
      </c>
      <c r="L7904" s="14" t="n">
        <f aca="false">($L$2*M7904)/100</f>
        <v>468649.935</v>
      </c>
      <c r="M7904" s="15" t="n">
        <v>0.39</v>
      </c>
      <c r="N7904" s="9" t="s">
        <v>26</v>
      </c>
    </row>
    <row r="7905" customFormat="false" ht="14.25" hidden="false" customHeight="true" outlineLevel="0" collapsed="false">
      <c r="B7905" s="9" t="s">
        <v>27</v>
      </c>
      <c r="C7905" s="9" t="n">
        <v>1197831</v>
      </c>
      <c r="D7905" s="10" t="n">
        <v>44086</v>
      </c>
      <c r="E7905" s="9" t="s">
        <v>29</v>
      </c>
      <c r="F7905" s="9" t="s">
        <v>30</v>
      </c>
      <c r="G7905" s="9" t="s">
        <v>31</v>
      </c>
      <c r="H7905" s="11" t="s">
        <v>21</v>
      </c>
      <c r="I7905" s="12" t="n">
        <v>29</v>
      </c>
      <c r="J7905" s="13" t="n">
        <v>248</v>
      </c>
      <c r="K7905" s="14" t="n">
        <f aca="false">I7905*J7905</f>
        <v>7192</v>
      </c>
      <c r="L7905" s="14" t="n">
        <f aca="false">($L$2*M7905)/100</f>
        <v>468649.935</v>
      </c>
      <c r="M7905" s="15" t="n">
        <v>0.39</v>
      </c>
      <c r="N7905" s="9" t="s">
        <v>26</v>
      </c>
    </row>
    <row r="7906" customFormat="false" ht="14.25" hidden="false" customHeight="true" outlineLevel="0" collapsed="false">
      <c r="B7906" s="9" t="s">
        <v>27</v>
      </c>
      <c r="C7906" s="9" t="n">
        <v>1197831</v>
      </c>
      <c r="D7906" s="10" t="n">
        <v>44087</v>
      </c>
      <c r="E7906" s="9" t="s">
        <v>29</v>
      </c>
      <c r="F7906" s="9" t="s">
        <v>30</v>
      </c>
      <c r="G7906" s="9" t="s">
        <v>31</v>
      </c>
      <c r="H7906" s="11" t="s">
        <v>22</v>
      </c>
      <c r="I7906" s="12" t="n">
        <v>39</v>
      </c>
      <c r="J7906" s="13" t="n">
        <v>255</v>
      </c>
      <c r="K7906" s="14" t="n">
        <f aca="false">I7906*J7906</f>
        <v>9945</v>
      </c>
      <c r="L7906" s="14" t="n">
        <f aca="false">($L$2*M7906)/100</f>
        <v>444616.605</v>
      </c>
      <c r="M7906" s="15" t="n">
        <v>0.37</v>
      </c>
      <c r="N7906" s="9" t="s">
        <v>26</v>
      </c>
    </row>
    <row r="7907" customFormat="false" ht="14.25" hidden="false" customHeight="true" outlineLevel="0" collapsed="false">
      <c r="B7907" s="9" t="s">
        <v>27</v>
      </c>
      <c r="C7907" s="9" t="n">
        <v>1197831</v>
      </c>
      <c r="D7907" s="10" t="n">
        <v>44088</v>
      </c>
      <c r="E7907" s="9" t="s">
        <v>29</v>
      </c>
      <c r="F7907" s="9" t="s">
        <v>30</v>
      </c>
      <c r="G7907" s="9" t="s">
        <v>31</v>
      </c>
      <c r="H7907" s="11" t="s">
        <v>23</v>
      </c>
      <c r="I7907" s="12" t="n">
        <v>36</v>
      </c>
      <c r="J7907" s="13" t="n">
        <v>204</v>
      </c>
      <c r="K7907" s="14" t="n">
        <f aca="false">I7907*J7907</f>
        <v>7344</v>
      </c>
      <c r="L7907" s="14" t="n">
        <f aca="false">($L$2*M7907)/100</f>
        <v>564783.255</v>
      </c>
      <c r="M7907" s="15" t="n">
        <v>0.47</v>
      </c>
      <c r="N7907" s="9" t="s">
        <v>26</v>
      </c>
    </row>
    <row r="7908" customFormat="false" ht="14.25" hidden="false" customHeight="true" outlineLevel="0" collapsed="false">
      <c r="B7908" s="9" t="s">
        <v>27</v>
      </c>
      <c r="C7908" s="9" t="n">
        <v>1197831</v>
      </c>
      <c r="D7908" s="10" t="n">
        <v>44089</v>
      </c>
      <c r="E7908" s="9" t="s">
        <v>29</v>
      </c>
      <c r="F7908" s="9" t="s">
        <v>30</v>
      </c>
      <c r="G7908" s="9" t="s">
        <v>31</v>
      </c>
      <c r="H7908" s="11" t="s">
        <v>24</v>
      </c>
      <c r="I7908" s="12" t="n">
        <v>35</v>
      </c>
      <c r="J7908" s="13" t="n">
        <v>184</v>
      </c>
      <c r="K7908" s="14" t="n">
        <f aca="false">I7908*J7908</f>
        <v>6440</v>
      </c>
      <c r="L7908" s="14" t="n">
        <f aca="false">($L$2*M7908)/100</f>
        <v>444616.605</v>
      </c>
      <c r="M7908" s="15" t="n">
        <v>0.37</v>
      </c>
      <c r="N7908" s="9" t="s">
        <v>26</v>
      </c>
    </row>
    <row r="7909" customFormat="false" ht="14.25" hidden="false" customHeight="true" outlineLevel="0" collapsed="false">
      <c r="B7909" s="9" t="s">
        <v>27</v>
      </c>
      <c r="C7909" s="9" t="n">
        <v>1197831</v>
      </c>
      <c r="D7909" s="10" t="n">
        <v>44090</v>
      </c>
      <c r="E7909" s="9" t="s">
        <v>29</v>
      </c>
      <c r="F7909" s="9" t="s">
        <v>30</v>
      </c>
      <c r="G7909" s="9" t="s">
        <v>31</v>
      </c>
      <c r="H7909" s="11" t="s">
        <v>25</v>
      </c>
      <c r="I7909" s="12" t="n">
        <v>43</v>
      </c>
      <c r="J7909" s="13" t="n">
        <v>233</v>
      </c>
      <c r="K7909" s="14" t="n">
        <f aca="false">I7909*J7909</f>
        <v>10019</v>
      </c>
      <c r="L7909" s="14" t="n">
        <f aca="false">($L$2*M7909)/100</f>
        <v>648899.91</v>
      </c>
      <c r="M7909" s="15" t="n">
        <v>0.54</v>
      </c>
      <c r="N7909" s="9" t="s">
        <v>26</v>
      </c>
    </row>
    <row r="7910" customFormat="false" ht="14.25" hidden="false" customHeight="true" outlineLevel="0" collapsed="false">
      <c r="B7910" s="9" t="s">
        <v>27</v>
      </c>
      <c r="C7910" s="9" t="n">
        <v>1197831</v>
      </c>
      <c r="D7910" s="10" t="n">
        <v>44124</v>
      </c>
      <c r="E7910" s="9" t="s">
        <v>29</v>
      </c>
      <c r="F7910" s="9" t="s">
        <v>30</v>
      </c>
      <c r="G7910" s="9" t="s">
        <v>31</v>
      </c>
      <c r="H7910" s="11" t="s">
        <v>19</v>
      </c>
      <c r="I7910" s="12" t="n">
        <v>34</v>
      </c>
      <c r="J7910" s="13" t="n">
        <v>270</v>
      </c>
      <c r="K7910" s="14" t="n">
        <f aca="false">I7910*J7910</f>
        <v>9180</v>
      </c>
      <c r="L7910" s="14" t="n">
        <f aca="false">($L$2*M7910)/100</f>
        <v>456633.27</v>
      </c>
      <c r="M7910" s="15" t="n">
        <v>0.38</v>
      </c>
      <c r="N7910" s="9" t="s">
        <v>26</v>
      </c>
    </row>
    <row r="7911" customFormat="false" ht="14.25" hidden="false" customHeight="true" outlineLevel="0" collapsed="false">
      <c r="B7911" s="9" t="s">
        <v>27</v>
      </c>
      <c r="C7911" s="9" t="n">
        <v>1197831</v>
      </c>
      <c r="D7911" s="10" t="n">
        <v>44125</v>
      </c>
      <c r="E7911" s="9" t="s">
        <v>29</v>
      </c>
      <c r="F7911" s="9" t="s">
        <v>30</v>
      </c>
      <c r="G7911" s="9" t="s">
        <v>31</v>
      </c>
      <c r="H7911" s="11" t="s">
        <v>21</v>
      </c>
      <c r="I7911" s="12" t="n">
        <v>31</v>
      </c>
      <c r="J7911" s="13" t="n">
        <v>306</v>
      </c>
      <c r="K7911" s="14" t="n">
        <f aca="false">I7911*J7911</f>
        <v>9486</v>
      </c>
      <c r="L7911" s="14" t="n">
        <f aca="false">($L$2*M7911)/100</f>
        <v>480666.6</v>
      </c>
      <c r="M7911" s="15" t="n">
        <v>0.4</v>
      </c>
      <c r="N7911" s="9" t="s">
        <v>26</v>
      </c>
    </row>
    <row r="7912" customFormat="false" ht="14.25" hidden="false" customHeight="true" outlineLevel="0" collapsed="false">
      <c r="B7912" s="9" t="s">
        <v>27</v>
      </c>
      <c r="C7912" s="9" t="n">
        <v>1197831</v>
      </c>
      <c r="D7912" s="10" t="n">
        <v>44126</v>
      </c>
      <c r="E7912" s="9" t="s">
        <v>29</v>
      </c>
      <c r="F7912" s="9" t="s">
        <v>30</v>
      </c>
      <c r="G7912" s="9" t="s">
        <v>31</v>
      </c>
      <c r="H7912" s="11" t="s">
        <v>22</v>
      </c>
      <c r="I7912" s="12" t="n">
        <v>34</v>
      </c>
      <c r="J7912" s="13" t="n">
        <v>281</v>
      </c>
      <c r="K7912" s="14" t="n">
        <f aca="false">I7912*J7912</f>
        <v>9554</v>
      </c>
      <c r="L7912" s="14" t="n">
        <f aca="false">($L$2*M7912)/100</f>
        <v>468649.935</v>
      </c>
      <c r="M7912" s="15" t="n">
        <v>0.39</v>
      </c>
      <c r="N7912" s="9" t="s">
        <v>26</v>
      </c>
    </row>
    <row r="7913" customFormat="false" ht="14.25" hidden="false" customHeight="true" outlineLevel="0" collapsed="false">
      <c r="B7913" s="9" t="s">
        <v>27</v>
      </c>
      <c r="C7913" s="9" t="n">
        <v>1197831</v>
      </c>
      <c r="D7913" s="10" t="n">
        <v>44127</v>
      </c>
      <c r="E7913" s="9" t="s">
        <v>29</v>
      </c>
      <c r="F7913" s="9" t="s">
        <v>30</v>
      </c>
      <c r="G7913" s="9" t="s">
        <v>31</v>
      </c>
      <c r="H7913" s="11" t="s">
        <v>23</v>
      </c>
      <c r="I7913" s="12" t="n">
        <v>36</v>
      </c>
      <c r="J7913" s="13" t="n">
        <v>230</v>
      </c>
      <c r="K7913" s="14" t="n">
        <f aca="false">I7913*J7913</f>
        <v>8280</v>
      </c>
      <c r="L7913" s="14" t="n">
        <f aca="false">($L$2*M7913)/100</f>
        <v>600833.25</v>
      </c>
      <c r="M7913" s="15" t="n">
        <v>0.5</v>
      </c>
      <c r="N7913" s="9" t="s">
        <v>26</v>
      </c>
    </row>
    <row r="7914" customFormat="false" ht="14.25" hidden="false" customHeight="true" outlineLevel="0" collapsed="false">
      <c r="B7914" s="9" t="s">
        <v>27</v>
      </c>
      <c r="C7914" s="9" t="n">
        <v>1197831</v>
      </c>
      <c r="D7914" s="10" t="n">
        <v>44128</v>
      </c>
      <c r="E7914" s="9" t="s">
        <v>29</v>
      </c>
      <c r="F7914" s="9" t="s">
        <v>30</v>
      </c>
      <c r="G7914" s="9" t="s">
        <v>31</v>
      </c>
      <c r="H7914" s="11" t="s">
        <v>24</v>
      </c>
      <c r="I7914" s="12" t="n">
        <v>30</v>
      </c>
      <c r="J7914" s="13" t="n">
        <v>195</v>
      </c>
      <c r="K7914" s="14" t="n">
        <f aca="false">I7914*J7914</f>
        <v>5850</v>
      </c>
      <c r="L7914" s="14" t="n">
        <f aca="false">($L$2*M7914)/100</f>
        <v>384533.28</v>
      </c>
      <c r="M7914" s="15" t="n">
        <v>0.32</v>
      </c>
      <c r="N7914" s="9" t="s">
        <v>26</v>
      </c>
    </row>
    <row r="7915" customFormat="false" ht="14.25" hidden="false" customHeight="true" outlineLevel="0" collapsed="false">
      <c r="B7915" s="9" t="s">
        <v>27</v>
      </c>
      <c r="C7915" s="9" t="n">
        <v>1197831</v>
      </c>
      <c r="D7915" s="10" t="n">
        <v>44129</v>
      </c>
      <c r="E7915" s="9" t="s">
        <v>29</v>
      </c>
      <c r="F7915" s="9" t="s">
        <v>30</v>
      </c>
      <c r="G7915" s="9" t="s">
        <v>31</v>
      </c>
      <c r="H7915" s="11" t="s">
        <v>25</v>
      </c>
      <c r="I7915" s="12" t="n">
        <v>44</v>
      </c>
      <c r="J7915" s="13" t="n">
        <v>289</v>
      </c>
      <c r="K7915" s="14" t="n">
        <f aca="false">I7915*J7915</f>
        <v>12716</v>
      </c>
      <c r="L7915" s="14" t="n">
        <f aca="false">($L$2*M7915)/100</f>
        <v>684949.905</v>
      </c>
      <c r="M7915" s="15" t="n">
        <v>0.57</v>
      </c>
      <c r="N7915" s="9" t="s">
        <v>26</v>
      </c>
    </row>
    <row r="7916" customFormat="false" ht="14.25" hidden="false" customHeight="true" outlineLevel="0" collapsed="false">
      <c r="B7916" s="9" t="s">
        <v>27</v>
      </c>
      <c r="C7916" s="9" t="n">
        <v>1197831</v>
      </c>
      <c r="D7916" s="10" t="n">
        <v>44130</v>
      </c>
      <c r="E7916" s="9" t="s">
        <v>29</v>
      </c>
      <c r="F7916" s="9" t="s">
        <v>30</v>
      </c>
      <c r="G7916" s="9" t="s">
        <v>31</v>
      </c>
      <c r="H7916" s="11" t="s">
        <v>19</v>
      </c>
      <c r="I7916" s="12" t="n">
        <v>32</v>
      </c>
      <c r="J7916" s="13" t="n">
        <v>333</v>
      </c>
      <c r="K7916" s="14" t="n">
        <f aca="false">I7916*J7916</f>
        <v>10656</v>
      </c>
      <c r="L7916" s="14" t="n">
        <f aca="false">($L$2*M7916)/100</f>
        <v>480666.6</v>
      </c>
      <c r="M7916" s="15" t="n">
        <v>0.4</v>
      </c>
      <c r="N7916" s="9" t="s">
        <v>26</v>
      </c>
    </row>
    <row r="7917" customFormat="false" ht="14.25" hidden="false" customHeight="true" outlineLevel="0" collapsed="false">
      <c r="B7917" s="9" t="s">
        <v>27</v>
      </c>
      <c r="C7917" s="9" t="n">
        <v>1197831</v>
      </c>
      <c r="D7917" s="10" t="n">
        <v>44131</v>
      </c>
      <c r="E7917" s="9" t="s">
        <v>29</v>
      </c>
      <c r="F7917" s="9" t="s">
        <v>30</v>
      </c>
      <c r="G7917" s="9" t="s">
        <v>31</v>
      </c>
      <c r="H7917" s="11" t="s">
        <v>21</v>
      </c>
      <c r="I7917" s="12" t="n">
        <v>34</v>
      </c>
      <c r="J7917" s="13" t="n">
        <v>333</v>
      </c>
      <c r="K7917" s="14" t="n">
        <f aca="false">I7917*J7917</f>
        <v>11322</v>
      </c>
      <c r="L7917" s="14" t="n">
        <f aca="false">($L$2*M7917)/100</f>
        <v>504699.93</v>
      </c>
      <c r="M7917" s="15" t="n">
        <v>0.42</v>
      </c>
      <c r="N7917" s="9" t="s">
        <v>26</v>
      </c>
    </row>
    <row r="7918" customFormat="false" ht="14.25" hidden="false" customHeight="true" outlineLevel="0" collapsed="false">
      <c r="B7918" s="9" t="s">
        <v>27</v>
      </c>
      <c r="C7918" s="9" t="n">
        <v>1197831</v>
      </c>
      <c r="D7918" s="10" t="n">
        <v>44132</v>
      </c>
      <c r="E7918" s="9" t="s">
        <v>29</v>
      </c>
      <c r="F7918" s="9" t="s">
        <v>30</v>
      </c>
      <c r="G7918" s="9" t="s">
        <v>31</v>
      </c>
      <c r="H7918" s="11" t="s">
        <v>22</v>
      </c>
      <c r="I7918" s="12" t="n">
        <v>38</v>
      </c>
      <c r="J7918" s="13" t="n">
        <v>298</v>
      </c>
      <c r="K7918" s="14" t="n">
        <f aca="false">I7918*J7918</f>
        <v>11324</v>
      </c>
      <c r="L7918" s="14" t="n">
        <f aca="false">($L$2*M7918)/100</f>
        <v>456633.27</v>
      </c>
      <c r="M7918" s="15" t="n">
        <v>0.38</v>
      </c>
      <c r="N7918" s="9" t="s">
        <v>26</v>
      </c>
    </row>
    <row r="7919" customFormat="false" ht="14.25" hidden="false" customHeight="true" outlineLevel="0" collapsed="false">
      <c r="B7919" s="9" t="s">
        <v>27</v>
      </c>
      <c r="C7919" s="9" t="n">
        <v>1197831</v>
      </c>
      <c r="D7919" s="10" t="n">
        <v>44133</v>
      </c>
      <c r="E7919" s="9" t="s">
        <v>29</v>
      </c>
      <c r="F7919" s="9" t="s">
        <v>30</v>
      </c>
      <c r="G7919" s="9" t="s">
        <v>31</v>
      </c>
      <c r="H7919" s="11" t="s">
        <v>23</v>
      </c>
      <c r="I7919" s="12" t="n">
        <v>36</v>
      </c>
      <c r="J7919" s="13" t="n">
        <v>210</v>
      </c>
      <c r="K7919" s="14" t="n">
        <f aca="false">I7919*J7919</f>
        <v>7560</v>
      </c>
      <c r="L7919" s="14" t="n">
        <f aca="false">($L$2*M7919)/100</f>
        <v>624866.58</v>
      </c>
      <c r="M7919" s="15" t="n">
        <v>0.52</v>
      </c>
      <c r="N7919" s="9" t="s">
        <v>26</v>
      </c>
    </row>
    <row r="7920" customFormat="false" ht="14.25" hidden="false" customHeight="true" outlineLevel="0" collapsed="false">
      <c r="B7920" s="9" t="s">
        <v>27</v>
      </c>
      <c r="C7920" s="9" t="n">
        <v>1197831</v>
      </c>
      <c r="D7920" s="10" t="n">
        <v>44134</v>
      </c>
      <c r="E7920" s="9" t="s">
        <v>29</v>
      </c>
      <c r="F7920" s="9" t="s">
        <v>30</v>
      </c>
      <c r="G7920" s="9" t="s">
        <v>31</v>
      </c>
      <c r="H7920" s="11" t="s">
        <v>24</v>
      </c>
      <c r="I7920" s="12" t="n">
        <v>30</v>
      </c>
      <c r="J7920" s="13" t="n">
        <v>208</v>
      </c>
      <c r="K7920" s="14" t="n">
        <f aca="false">I7920*J7920</f>
        <v>6240</v>
      </c>
      <c r="L7920" s="14" t="n">
        <f aca="false">($L$2*M7920)/100</f>
        <v>432599.94</v>
      </c>
      <c r="M7920" s="15" t="n">
        <v>0.36</v>
      </c>
      <c r="N7920" s="9" t="s">
        <v>26</v>
      </c>
    </row>
    <row r="7921" customFormat="false" ht="14.25" hidden="false" customHeight="true" outlineLevel="0" collapsed="false">
      <c r="B7921" s="9" t="s">
        <v>27</v>
      </c>
      <c r="C7921" s="9" t="n">
        <v>1197831</v>
      </c>
      <c r="D7921" s="10" t="n">
        <v>44135</v>
      </c>
      <c r="E7921" s="9" t="s">
        <v>29</v>
      </c>
      <c r="F7921" s="9" t="s">
        <v>30</v>
      </c>
      <c r="G7921" s="9" t="s">
        <v>31</v>
      </c>
      <c r="H7921" s="11" t="s">
        <v>25</v>
      </c>
      <c r="I7921" s="12" t="n">
        <v>41</v>
      </c>
      <c r="J7921" s="13" t="n">
        <v>306</v>
      </c>
      <c r="K7921" s="14" t="n">
        <f aca="false">I7921*J7921</f>
        <v>12546</v>
      </c>
      <c r="L7921" s="14" t="n">
        <f aca="false">($L$2*M7921)/100</f>
        <v>660916.575</v>
      </c>
      <c r="M7921" s="15" t="n">
        <v>0.55</v>
      </c>
      <c r="N7921" s="9" t="s">
        <v>26</v>
      </c>
    </row>
    <row r="7922" customFormat="false" ht="14.25" hidden="false" customHeight="true" outlineLevel="0" collapsed="false">
      <c r="B7922" s="9" t="s">
        <v>32</v>
      </c>
      <c r="C7922" s="9" t="n">
        <v>1128299</v>
      </c>
      <c r="D7922" s="10" t="n">
        <v>44136</v>
      </c>
      <c r="E7922" s="9" t="s">
        <v>29</v>
      </c>
      <c r="F7922" s="9" t="s">
        <v>30</v>
      </c>
      <c r="G7922" s="9" t="s">
        <v>31</v>
      </c>
      <c r="H7922" s="11" t="s">
        <v>19</v>
      </c>
      <c r="I7922" s="12" t="n">
        <v>30</v>
      </c>
      <c r="J7922" s="13" t="n">
        <v>264</v>
      </c>
      <c r="K7922" s="14" t="n">
        <f aca="false">I7922*J7922</f>
        <v>7920</v>
      </c>
      <c r="L7922" s="14" t="n">
        <f aca="false">($L$2*M7922)/100</f>
        <v>468649.935</v>
      </c>
      <c r="M7922" s="15" t="n">
        <v>0.39</v>
      </c>
      <c r="N7922" s="9" t="s">
        <v>26</v>
      </c>
    </row>
    <row r="7923" customFormat="false" ht="14.25" hidden="false" customHeight="true" outlineLevel="0" collapsed="false">
      <c r="B7923" s="9" t="s">
        <v>32</v>
      </c>
      <c r="C7923" s="9" t="n">
        <v>1128299</v>
      </c>
      <c r="D7923" s="10" t="n">
        <v>44137</v>
      </c>
      <c r="E7923" s="9" t="s">
        <v>29</v>
      </c>
      <c r="F7923" s="9" t="s">
        <v>30</v>
      </c>
      <c r="G7923" s="9" t="s">
        <v>31</v>
      </c>
      <c r="H7923" s="11" t="s">
        <v>21</v>
      </c>
      <c r="I7923" s="12" t="n">
        <v>33</v>
      </c>
      <c r="J7923" s="13" t="n">
        <v>248</v>
      </c>
      <c r="K7923" s="14" t="n">
        <f aca="false">I7923*J7923</f>
        <v>8184</v>
      </c>
      <c r="L7923" s="14" t="n">
        <f aca="false">($L$2*M7923)/100</f>
        <v>276383.295</v>
      </c>
      <c r="M7923" s="15" t="n">
        <v>0.23</v>
      </c>
      <c r="N7923" s="9" t="s">
        <v>26</v>
      </c>
    </row>
    <row r="7924" customFormat="false" ht="14.25" hidden="false" customHeight="true" outlineLevel="0" collapsed="false">
      <c r="B7924" s="9" t="s">
        <v>32</v>
      </c>
      <c r="C7924" s="9" t="n">
        <v>1128299</v>
      </c>
      <c r="D7924" s="10" t="n">
        <v>44138</v>
      </c>
      <c r="E7924" s="9" t="s">
        <v>29</v>
      </c>
      <c r="F7924" s="9" t="s">
        <v>30</v>
      </c>
      <c r="G7924" s="9" t="s">
        <v>31</v>
      </c>
      <c r="H7924" s="11" t="s">
        <v>22</v>
      </c>
      <c r="I7924" s="12" t="n">
        <v>33</v>
      </c>
      <c r="J7924" s="13" t="n">
        <v>271</v>
      </c>
      <c r="K7924" s="14" t="n">
        <f aca="false">I7924*J7924</f>
        <v>8943</v>
      </c>
      <c r="L7924" s="14" t="n">
        <f aca="false">($L$2*M7924)/100</f>
        <v>504699.93</v>
      </c>
      <c r="M7924" s="15" t="n">
        <v>0.42</v>
      </c>
      <c r="N7924" s="9" t="s">
        <v>26</v>
      </c>
    </row>
    <row r="7925" customFormat="false" ht="14.25" hidden="false" customHeight="true" outlineLevel="0" collapsed="false">
      <c r="B7925" s="9" t="s">
        <v>32</v>
      </c>
      <c r="C7925" s="9" t="n">
        <v>1128299</v>
      </c>
      <c r="D7925" s="10" t="n">
        <v>44139</v>
      </c>
      <c r="E7925" s="9" t="s">
        <v>29</v>
      </c>
      <c r="F7925" s="9" t="s">
        <v>30</v>
      </c>
      <c r="G7925" s="9" t="s">
        <v>31</v>
      </c>
      <c r="H7925" s="11" t="s">
        <v>23</v>
      </c>
      <c r="I7925" s="12" t="n">
        <v>35</v>
      </c>
      <c r="J7925" s="13" t="n">
        <v>219</v>
      </c>
      <c r="K7925" s="14" t="n">
        <f aca="false">I7925*J7925</f>
        <v>7665</v>
      </c>
      <c r="L7925" s="14" t="n">
        <f aca="false">($L$2*M7925)/100</f>
        <v>432599.94</v>
      </c>
      <c r="M7925" s="15" t="n">
        <v>0.36</v>
      </c>
      <c r="N7925" s="9" t="s">
        <v>26</v>
      </c>
    </row>
    <row r="7926" customFormat="false" ht="14.25" hidden="false" customHeight="true" outlineLevel="0" collapsed="false">
      <c r="B7926" s="9" t="s">
        <v>32</v>
      </c>
      <c r="C7926" s="9" t="n">
        <v>1128299</v>
      </c>
      <c r="D7926" s="10" t="n">
        <v>44140</v>
      </c>
      <c r="E7926" s="9" t="s">
        <v>33</v>
      </c>
      <c r="F7926" s="9" t="s">
        <v>34</v>
      </c>
      <c r="G7926" s="9" t="s">
        <v>35</v>
      </c>
      <c r="H7926" s="11" t="s">
        <v>24</v>
      </c>
      <c r="I7926" s="12" t="n">
        <v>38</v>
      </c>
      <c r="J7926" s="13" t="n">
        <v>173</v>
      </c>
      <c r="K7926" s="14" t="n">
        <f aca="false">I7926*J7926</f>
        <v>6574</v>
      </c>
      <c r="L7926" s="14" t="n">
        <f aca="false">($L$2*M7926)/100</f>
        <v>648899.91</v>
      </c>
      <c r="M7926" s="15" t="n">
        <v>0.54</v>
      </c>
      <c r="N7926" s="9" t="s">
        <v>26</v>
      </c>
    </row>
    <row r="7927" customFormat="false" ht="14.25" hidden="false" customHeight="true" outlineLevel="0" collapsed="false">
      <c r="B7927" s="9" t="s">
        <v>32</v>
      </c>
      <c r="C7927" s="9" t="n">
        <v>1128299</v>
      </c>
      <c r="D7927" s="10" t="n">
        <v>44141</v>
      </c>
      <c r="E7927" s="9" t="s">
        <v>33</v>
      </c>
      <c r="F7927" s="9" t="s">
        <v>34</v>
      </c>
      <c r="G7927" s="9" t="s">
        <v>35</v>
      </c>
      <c r="H7927" s="11" t="s">
        <v>25</v>
      </c>
      <c r="I7927" s="12" t="n">
        <v>36</v>
      </c>
      <c r="J7927" s="13" t="n">
        <v>233</v>
      </c>
      <c r="K7927" s="14" t="n">
        <f aca="false">I7927*J7927</f>
        <v>8388</v>
      </c>
      <c r="L7927" s="14" t="n">
        <f aca="false">($L$2*M7927)/100</f>
        <v>252349.965</v>
      </c>
      <c r="M7927" s="15" t="n">
        <v>0.21</v>
      </c>
      <c r="N7927" s="9" t="s">
        <v>26</v>
      </c>
    </row>
    <row r="7928" customFormat="false" ht="14.25" hidden="false" customHeight="true" outlineLevel="0" collapsed="false">
      <c r="B7928" s="9" t="s">
        <v>32</v>
      </c>
      <c r="C7928" s="9" t="n">
        <v>1128299</v>
      </c>
      <c r="D7928" s="10" t="n">
        <v>44142</v>
      </c>
      <c r="E7928" s="9" t="s">
        <v>33</v>
      </c>
      <c r="F7928" s="9" t="s">
        <v>34</v>
      </c>
      <c r="G7928" s="9" t="s">
        <v>35</v>
      </c>
      <c r="H7928" s="11" t="s">
        <v>19</v>
      </c>
      <c r="I7928" s="12" t="n">
        <v>28</v>
      </c>
      <c r="J7928" s="13" t="n">
        <v>289</v>
      </c>
      <c r="K7928" s="14" t="n">
        <f aca="false">I7928*J7928</f>
        <v>8092</v>
      </c>
      <c r="L7928" s="14" t="n">
        <f aca="false">($L$2*M7928)/100</f>
        <v>504699.93</v>
      </c>
      <c r="M7928" s="15" t="n">
        <v>0.42</v>
      </c>
      <c r="N7928" s="9" t="s">
        <v>26</v>
      </c>
    </row>
    <row r="7929" customFormat="false" ht="14.25" hidden="false" customHeight="true" outlineLevel="0" collapsed="false">
      <c r="B7929" s="9" t="s">
        <v>32</v>
      </c>
      <c r="C7929" s="9" t="n">
        <v>1128299</v>
      </c>
      <c r="D7929" s="10" t="n">
        <v>44143</v>
      </c>
      <c r="E7929" s="9" t="s">
        <v>33</v>
      </c>
      <c r="F7929" s="9" t="s">
        <v>34</v>
      </c>
      <c r="G7929" s="9" t="s">
        <v>35</v>
      </c>
      <c r="H7929" s="11" t="s">
        <v>21</v>
      </c>
      <c r="I7929" s="12" t="n">
        <v>36</v>
      </c>
      <c r="J7929" s="13" t="n">
        <v>239</v>
      </c>
      <c r="K7929" s="14" t="n">
        <f aca="false">I7929*J7929</f>
        <v>8604</v>
      </c>
      <c r="L7929" s="14" t="n">
        <f aca="false">($L$2*M7929)/100</f>
        <v>300416.625</v>
      </c>
      <c r="M7929" s="15" t="n">
        <v>0.25</v>
      </c>
      <c r="N7929" s="9" t="s">
        <v>26</v>
      </c>
    </row>
    <row r="7930" customFormat="false" ht="14.25" hidden="false" customHeight="true" outlineLevel="0" collapsed="false">
      <c r="B7930" s="9" t="s">
        <v>32</v>
      </c>
      <c r="C7930" s="9" t="n">
        <v>1128299</v>
      </c>
      <c r="D7930" s="10" t="n">
        <v>44144</v>
      </c>
      <c r="E7930" s="9" t="s">
        <v>33</v>
      </c>
      <c r="F7930" s="9" t="s">
        <v>34</v>
      </c>
      <c r="G7930" s="9" t="s">
        <v>35</v>
      </c>
      <c r="H7930" s="11" t="s">
        <v>22</v>
      </c>
      <c r="I7930" s="12" t="n">
        <v>40</v>
      </c>
      <c r="J7930" s="13" t="n">
        <v>247</v>
      </c>
      <c r="K7930" s="14" t="n">
        <f aca="false">I7930*J7930</f>
        <v>9880</v>
      </c>
      <c r="L7930" s="14" t="n">
        <f aca="false">($L$2*M7930)/100</f>
        <v>492683.265</v>
      </c>
      <c r="M7930" s="15" t="n">
        <v>0.41</v>
      </c>
      <c r="N7930" s="9" t="s">
        <v>26</v>
      </c>
    </row>
    <row r="7931" customFormat="false" ht="14.25" hidden="false" customHeight="true" outlineLevel="0" collapsed="false">
      <c r="B7931" s="9" t="s">
        <v>32</v>
      </c>
      <c r="C7931" s="9" t="n">
        <v>1128299</v>
      </c>
      <c r="D7931" s="10" t="n">
        <v>44145</v>
      </c>
      <c r="E7931" s="9" t="s">
        <v>33</v>
      </c>
      <c r="F7931" s="9" t="s">
        <v>34</v>
      </c>
      <c r="G7931" s="9" t="s">
        <v>35</v>
      </c>
      <c r="H7931" s="11" t="s">
        <v>23</v>
      </c>
      <c r="I7931" s="12" t="n">
        <v>39</v>
      </c>
      <c r="J7931" s="13" t="n">
        <v>190</v>
      </c>
      <c r="K7931" s="14" t="n">
        <f aca="false">I7931*J7931</f>
        <v>7410</v>
      </c>
      <c r="L7931" s="14" t="n">
        <f aca="false">($L$2*M7931)/100</f>
        <v>408566.61</v>
      </c>
      <c r="M7931" s="15" t="n">
        <v>0.34</v>
      </c>
      <c r="N7931" s="9" t="s">
        <v>26</v>
      </c>
    </row>
    <row r="7932" customFormat="false" ht="14.25" hidden="false" customHeight="true" outlineLevel="0" collapsed="false">
      <c r="B7932" s="9" t="s">
        <v>32</v>
      </c>
      <c r="C7932" s="9" t="n">
        <v>1128299</v>
      </c>
      <c r="D7932" s="10" t="n">
        <v>44146</v>
      </c>
      <c r="E7932" s="9" t="s">
        <v>33</v>
      </c>
      <c r="F7932" s="9" t="s">
        <v>34</v>
      </c>
      <c r="G7932" s="9" t="s">
        <v>35</v>
      </c>
      <c r="H7932" s="11" t="s">
        <v>24</v>
      </c>
      <c r="I7932" s="12" t="n">
        <v>42</v>
      </c>
      <c r="J7932" s="13" t="n">
        <v>165</v>
      </c>
      <c r="K7932" s="14" t="n">
        <f aca="false">I7932*J7932</f>
        <v>6930</v>
      </c>
      <c r="L7932" s="14" t="n">
        <f aca="false">($L$2*M7932)/100</f>
        <v>684949.905</v>
      </c>
      <c r="M7932" s="15" t="n">
        <v>0.57</v>
      </c>
      <c r="N7932" s="9" t="s">
        <v>26</v>
      </c>
    </row>
    <row r="7933" customFormat="false" ht="14.25" hidden="false" customHeight="true" outlineLevel="0" collapsed="false">
      <c r="B7933" s="9" t="s">
        <v>32</v>
      </c>
      <c r="C7933" s="9" t="n">
        <v>1128299</v>
      </c>
      <c r="D7933" s="10" t="n">
        <v>44147</v>
      </c>
      <c r="E7933" s="9" t="s">
        <v>33</v>
      </c>
      <c r="F7933" s="9" t="s">
        <v>34</v>
      </c>
      <c r="G7933" s="9" t="s">
        <v>35</v>
      </c>
      <c r="H7933" s="11" t="s">
        <v>25</v>
      </c>
      <c r="I7933" s="12" t="n">
        <v>33</v>
      </c>
      <c r="J7933" s="13" t="n">
        <v>210</v>
      </c>
      <c r="K7933" s="14" t="n">
        <f aca="false">I7933*J7933</f>
        <v>6930</v>
      </c>
      <c r="L7933" s="14" t="n">
        <f aca="false">($L$2*M7933)/100</f>
        <v>264366.63</v>
      </c>
      <c r="M7933" s="15" t="n">
        <v>0.22</v>
      </c>
      <c r="N7933" s="9" t="s">
        <v>26</v>
      </c>
    </row>
    <row r="7934" customFormat="false" ht="14.25" hidden="false" customHeight="true" outlineLevel="0" collapsed="false">
      <c r="B7934" s="9" t="s">
        <v>32</v>
      </c>
      <c r="C7934" s="9" t="n">
        <v>1128299</v>
      </c>
      <c r="D7934" s="10" t="n">
        <v>44148</v>
      </c>
      <c r="E7934" s="9" t="s">
        <v>33</v>
      </c>
      <c r="F7934" s="9" t="s">
        <v>34</v>
      </c>
      <c r="G7934" s="9" t="s">
        <v>35</v>
      </c>
      <c r="H7934" s="11" t="s">
        <v>19</v>
      </c>
      <c r="I7934" s="12" t="n">
        <v>36</v>
      </c>
      <c r="J7934" s="13" t="n">
        <v>272</v>
      </c>
      <c r="K7934" s="14" t="n">
        <f aca="false">I7934*J7934</f>
        <v>9792</v>
      </c>
      <c r="L7934" s="14" t="n">
        <f aca="false">($L$2*M7934)/100</f>
        <v>468649.935</v>
      </c>
      <c r="M7934" s="15" t="n">
        <v>0.39</v>
      </c>
      <c r="N7934" s="9" t="s">
        <v>26</v>
      </c>
    </row>
    <row r="7935" customFormat="false" ht="14.25" hidden="false" customHeight="true" outlineLevel="0" collapsed="false">
      <c r="B7935" s="9" t="s">
        <v>32</v>
      </c>
      <c r="C7935" s="9" t="n">
        <v>1128299</v>
      </c>
      <c r="D7935" s="10" t="n">
        <v>44149</v>
      </c>
      <c r="E7935" s="9" t="s">
        <v>33</v>
      </c>
      <c r="F7935" s="9" t="s">
        <v>34</v>
      </c>
      <c r="G7935" s="9" t="s">
        <v>35</v>
      </c>
      <c r="H7935" s="11" t="s">
        <v>21</v>
      </c>
      <c r="I7935" s="12" t="n">
        <v>39</v>
      </c>
      <c r="J7935" s="13" t="n">
        <v>231</v>
      </c>
      <c r="K7935" s="14" t="n">
        <f aca="false">I7935*J7935</f>
        <v>9009</v>
      </c>
      <c r="L7935" s="14" t="n">
        <f aca="false">($L$2*M7935)/100</f>
        <v>276383.295</v>
      </c>
      <c r="M7935" s="15" t="n">
        <v>0.23</v>
      </c>
      <c r="N7935" s="9" t="s">
        <v>26</v>
      </c>
    </row>
    <row r="7936" customFormat="false" ht="14.25" hidden="false" customHeight="true" outlineLevel="0" collapsed="false">
      <c r="B7936" s="9" t="s">
        <v>32</v>
      </c>
      <c r="C7936" s="9" t="n">
        <v>1128299</v>
      </c>
      <c r="D7936" s="10" t="n">
        <v>44150</v>
      </c>
      <c r="E7936" s="9" t="s">
        <v>33</v>
      </c>
      <c r="F7936" s="9" t="s">
        <v>34</v>
      </c>
      <c r="G7936" s="9" t="s">
        <v>35</v>
      </c>
      <c r="H7936" s="11" t="s">
        <v>22</v>
      </c>
      <c r="I7936" s="12" t="n">
        <v>47</v>
      </c>
      <c r="J7936" s="13" t="n">
        <v>210</v>
      </c>
      <c r="K7936" s="14" t="n">
        <f aca="false">I7936*J7936</f>
        <v>9870</v>
      </c>
      <c r="L7936" s="14" t="n">
        <f aca="false">($L$2*M7936)/100</f>
        <v>504699.93</v>
      </c>
      <c r="M7936" s="15" t="n">
        <v>0.42</v>
      </c>
      <c r="N7936" s="9" t="s">
        <v>26</v>
      </c>
    </row>
    <row r="7937" customFormat="false" ht="14.25" hidden="false" customHeight="true" outlineLevel="0" collapsed="false">
      <c r="B7937" s="9" t="s">
        <v>32</v>
      </c>
      <c r="C7937" s="9" t="n">
        <v>1128299</v>
      </c>
      <c r="D7937" s="10" t="n">
        <v>44187</v>
      </c>
      <c r="E7937" s="9" t="s">
        <v>33</v>
      </c>
      <c r="F7937" s="9" t="s">
        <v>34</v>
      </c>
      <c r="G7937" s="9" t="s">
        <v>35</v>
      </c>
      <c r="H7937" s="11" t="s">
        <v>23</v>
      </c>
      <c r="I7937" s="12" t="n">
        <v>48</v>
      </c>
      <c r="J7937" s="13" t="n">
        <v>204</v>
      </c>
      <c r="K7937" s="14" t="n">
        <f aca="false">I7937*J7937</f>
        <v>9792</v>
      </c>
      <c r="L7937" s="14" t="n">
        <f aca="false">($L$2*M7937)/100</f>
        <v>384533.28</v>
      </c>
      <c r="M7937" s="15" t="n">
        <v>0.32</v>
      </c>
      <c r="N7937" s="9" t="s">
        <v>26</v>
      </c>
    </row>
    <row r="7938" customFormat="false" ht="14.25" hidden="false" customHeight="true" outlineLevel="0" collapsed="false">
      <c r="B7938" s="9" t="s">
        <v>32</v>
      </c>
      <c r="C7938" s="9" t="n">
        <v>1128299</v>
      </c>
      <c r="D7938" s="10" t="n">
        <v>44188</v>
      </c>
      <c r="E7938" s="9" t="s">
        <v>33</v>
      </c>
      <c r="F7938" s="9" t="s">
        <v>34</v>
      </c>
      <c r="G7938" s="9" t="s">
        <v>35</v>
      </c>
      <c r="H7938" s="11" t="s">
        <v>24</v>
      </c>
      <c r="I7938" s="12" t="n">
        <v>51</v>
      </c>
      <c r="J7938" s="13" t="n">
        <v>170</v>
      </c>
      <c r="K7938" s="14" t="n">
        <f aca="false">I7938*J7938</f>
        <v>8670</v>
      </c>
      <c r="L7938" s="14" t="n">
        <f aca="false">($L$2*M7938)/100</f>
        <v>648899.91</v>
      </c>
      <c r="M7938" s="15" t="n">
        <v>0.54</v>
      </c>
      <c r="N7938" s="9" t="s">
        <v>26</v>
      </c>
    </row>
    <row r="7939" customFormat="false" ht="14.25" hidden="false" customHeight="true" outlineLevel="0" collapsed="false">
      <c r="B7939" s="9" t="s">
        <v>32</v>
      </c>
      <c r="C7939" s="9" t="n">
        <v>1128299</v>
      </c>
      <c r="D7939" s="10" t="n">
        <v>44189</v>
      </c>
      <c r="E7939" s="9" t="s">
        <v>33</v>
      </c>
      <c r="F7939" s="9" t="s">
        <v>34</v>
      </c>
      <c r="G7939" s="9" t="s">
        <v>35</v>
      </c>
      <c r="H7939" s="11" t="s">
        <v>25</v>
      </c>
      <c r="I7939" s="12" t="n">
        <v>41</v>
      </c>
      <c r="J7939" s="13" t="n">
        <v>245</v>
      </c>
      <c r="K7939" s="14" t="n">
        <f aca="false">I7939*J7939</f>
        <v>10045</v>
      </c>
      <c r="L7939" s="14" t="n">
        <f aca="false">($L$2*M7939)/100</f>
        <v>240333.3</v>
      </c>
      <c r="M7939" s="15" t="n">
        <v>0.2</v>
      </c>
      <c r="N7939" s="9" t="s">
        <v>26</v>
      </c>
    </row>
    <row r="7940" customFormat="false" ht="14.25" hidden="false" customHeight="true" outlineLevel="0" collapsed="false">
      <c r="B7940" s="9" t="s">
        <v>32</v>
      </c>
      <c r="C7940" s="9" t="n">
        <v>1128299</v>
      </c>
      <c r="D7940" s="10" t="n">
        <v>44190</v>
      </c>
      <c r="E7940" s="9" t="s">
        <v>33</v>
      </c>
      <c r="F7940" s="9" t="s">
        <v>34</v>
      </c>
      <c r="G7940" s="9" t="s">
        <v>35</v>
      </c>
      <c r="H7940" s="11" t="s">
        <v>19</v>
      </c>
      <c r="I7940" s="12" t="n">
        <v>40</v>
      </c>
      <c r="J7940" s="13" t="n">
        <v>271</v>
      </c>
      <c r="K7940" s="14" t="n">
        <f aca="false">I7940*J7940</f>
        <v>10840</v>
      </c>
      <c r="L7940" s="14" t="n">
        <f aca="false">($L$2*M7940)/100</f>
        <v>456633.27</v>
      </c>
      <c r="M7940" s="15" t="n">
        <v>0.38</v>
      </c>
      <c r="N7940" s="9" t="s">
        <v>26</v>
      </c>
    </row>
    <row r="7941" customFormat="false" ht="14.25" hidden="false" customHeight="true" outlineLevel="0" collapsed="false">
      <c r="B7941" s="9" t="s">
        <v>32</v>
      </c>
      <c r="C7941" s="9" t="n">
        <v>1128299</v>
      </c>
      <c r="D7941" s="10" t="n">
        <v>44191</v>
      </c>
      <c r="E7941" s="9" t="s">
        <v>33</v>
      </c>
      <c r="F7941" s="9" t="s">
        <v>34</v>
      </c>
      <c r="G7941" s="9" t="s">
        <v>35</v>
      </c>
      <c r="H7941" s="11" t="s">
        <v>21</v>
      </c>
      <c r="I7941" s="12" t="n">
        <v>51</v>
      </c>
      <c r="J7941" s="13" t="n">
        <v>216</v>
      </c>
      <c r="K7941" s="14" t="n">
        <f aca="false">I7941*J7941</f>
        <v>11016</v>
      </c>
      <c r="L7941" s="14" t="n">
        <f aca="false">($L$2*M7941)/100</f>
        <v>300416.625</v>
      </c>
      <c r="M7941" s="15" t="n">
        <v>0.25</v>
      </c>
      <c r="N7941" s="9" t="s">
        <v>26</v>
      </c>
    </row>
    <row r="7942" customFormat="false" ht="14.25" hidden="false" customHeight="true" outlineLevel="0" collapsed="false">
      <c r="B7942" s="9" t="s">
        <v>32</v>
      </c>
      <c r="C7942" s="9" t="n">
        <v>1128299</v>
      </c>
      <c r="D7942" s="10" t="n">
        <v>44192</v>
      </c>
      <c r="E7942" s="9" t="s">
        <v>33</v>
      </c>
      <c r="F7942" s="9" t="s">
        <v>34</v>
      </c>
      <c r="G7942" s="9" t="s">
        <v>35</v>
      </c>
      <c r="H7942" s="11" t="s">
        <v>22</v>
      </c>
      <c r="I7942" s="12" t="n">
        <v>46</v>
      </c>
      <c r="J7942" s="13" t="n">
        <v>254</v>
      </c>
      <c r="K7942" s="14" t="n">
        <f aca="false">I7942*J7942</f>
        <v>11684</v>
      </c>
      <c r="L7942" s="14" t="n">
        <f aca="false">($L$2*M7942)/100</f>
        <v>468649.935</v>
      </c>
      <c r="M7942" s="15" t="n">
        <v>0.39</v>
      </c>
      <c r="N7942" s="9" t="s">
        <v>26</v>
      </c>
    </row>
    <row r="7943" customFormat="false" ht="14.25" hidden="false" customHeight="true" outlineLevel="0" collapsed="false">
      <c r="B7943" s="9" t="s">
        <v>32</v>
      </c>
      <c r="C7943" s="9" t="n">
        <v>1128299</v>
      </c>
      <c r="D7943" s="10" t="n">
        <v>44193</v>
      </c>
      <c r="E7943" s="9" t="s">
        <v>33</v>
      </c>
      <c r="F7943" s="9" t="s">
        <v>34</v>
      </c>
      <c r="G7943" s="9" t="s">
        <v>35</v>
      </c>
      <c r="H7943" s="11" t="s">
        <v>23</v>
      </c>
      <c r="I7943" s="12" t="n">
        <v>48</v>
      </c>
      <c r="J7943" s="13" t="n">
        <v>188</v>
      </c>
      <c r="K7943" s="14" t="n">
        <f aca="false">I7943*J7943</f>
        <v>9024</v>
      </c>
      <c r="L7943" s="14" t="n">
        <f aca="false">($L$2*M7943)/100</f>
        <v>408566.61</v>
      </c>
      <c r="M7943" s="15" t="n">
        <v>0.34</v>
      </c>
      <c r="N7943" s="9" t="s">
        <v>26</v>
      </c>
    </row>
    <row r="7944" customFormat="false" ht="14.25" hidden="false" customHeight="true" outlineLevel="0" collapsed="false">
      <c r="B7944" s="9" t="s">
        <v>32</v>
      </c>
      <c r="C7944" s="9" t="n">
        <v>1128299</v>
      </c>
      <c r="D7944" s="10" t="n">
        <v>44194</v>
      </c>
      <c r="E7944" s="9" t="s">
        <v>33</v>
      </c>
      <c r="F7944" s="9" t="s">
        <v>34</v>
      </c>
      <c r="G7944" s="9" t="s">
        <v>35</v>
      </c>
      <c r="H7944" s="11" t="s">
        <v>24</v>
      </c>
      <c r="I7944" s="12" t="n">
        <v>47</v>
      </c>
      <c r="J7944" s="13" t="n">
        <v>158</v>
      </c>
      <c r="K7944" s="14" t="n">
        <f aca="false">I7944*J7944</f>
        <v>7426</v>
      </c>
      <c r="L7944" s="14" t="n">
        <f aca="false">($L$2*M7944)/100</f>
        <v>672933.24</v>
      </c>
      <c r="M7944" s="15" t="n">
        <v>0.56</v>
      </c>
      <c r="N7944" s="9" t="s">
        <v>26</v>
      </c>
    </row>
    <row r="7945" customFormat="false" ht="14.25" hidden="false" customHeight="true" outlineLevel="0" collapsed="false">
      <c r="B7945" s="9" t="s">
        <v>32</v>
      </c>
      <c r="C7945" s="9" t="n">
        <v>1128299</v>
      </c>
      <c r="D7945" s="10" t="n">
        <v>44195</v>
      </c>
      <c r="E7945" s="9" t="s">
        <v>33</v>
      </c>
      <c r="F7945" s="9" t="s">
        <v>34</v>
      </c>
      <c r="G7945" s="9" t="s">
        <v>35</v>
      </c>
      <c r="H7945" s="11" t="s">
        <v>25</v>
      </c>
      <c r="I7945" s="12" t="n">
        <v>62</v>
      </c>
      <c r="J7945" s="13" t="n">
        <v>245</v>
      </c>
      <c r="K7945" s="14" t="n">
        <f aca="false">I7945*J7945</f>
        <v>15190</v>
      </c>
      <c r="L7945" s="14" t="n">
        <f aca="false">($L$2*M7945)/100</f>
        <v>228316.635</v>
      </c>
      <c r="M7945" s="15" t="n">
        <v>0.19</v>
      </c>
      <c r="N7945" s="9" t="s">
        <v>26</v>
      </c>
    </row>
    <row r="7946" customFormat="false" ht="14.25" hidden="false" customHeight="true" outlineLevel="0" collapsed="false">
      <c r="B7946" s="9" t="s">
        <v>32</v>
      </c>
      <c r="C7946" s="9" t="n">
        <v>1128299</v>
      </c>
      <c r="D7946" s="10" t="n">
        <v>44196</v>
      </c>
      <c r="E7946" s="9" t="s">
        <v>33</v>
      </c>
      <c r="F7946" s="9" t="s">
        <v>34</v>
      </c>
      <c r="G7946" s="9" t="s">
        <v>35</v>
      </c>
      <c r="H7946" s="11" t="s">
        <v>19</v>
      </c>
      <c r="I7946" s="12" t="n">
        <v>44</v>
      </c>
      <c r="J7946" s="13" t="n">
        <v>270</v>
      </c>
      <c r="K7946" s="14" t="n">
        <f aca="false">I7946*J7946</f>
        <v>11880</v>
      </c>
      <c r="L7946" s="14" t="n">
        <f aca="false">($L$2*M7946)/100</f>
        <v>528733.26</v>
      </c>
      <c r="M7946" s="15" t="n">
        <v>0.44</v>
      </c>
      <c r="N7946" s="9" t="s">
        <v>26</v>
      </c>
    </row>
    <row r="7947" customFormat="false" ht="14.25" hidden="false" customHeight="true" outlineLevel="0" collapsed="false">
      <c r="B7947" s="9" t="s">
        <v>32</v>
      </c>
      <c r="C7947" s="9" t="n">
        <v>1128299</v>
      </c>
      <c r="D7947" s="10" t="n">
        <v>44197</v>
      </c>
      <c r="E7947" s="9" t="s">
        <v>33</v>
      </c>
      <c r="F7947" s="9" t="s">
        <v>34</v>
      </c>
      <c r="G7947" s="9" t="s">
        <v>35</v>
      </c>
      <c r="H7947" s="11" t="s">
        <v>21</v>
      </c>
      <c r="I7947" s="12" t="n">
        <v>51</v>
      </c>
      <c r="J7947" s="13" t="n">
        <v>233</v>
      </c>
      <c r="K7947" s="14" t="n">
        <f aca="false">I7947*J7947</f>
        <v>11883</v>
      </c>
      <c r="L7947" s="14" t="n">
        <f aca="false">($L$2*M7947)/100</f>
        <v>324449.955</v>
      </c>
      <c r="M7947" s="15" t="n">
        <v>0.27</v>
      </c>
      <c r="N7947" s="9" t="s">
        <v>26</v>
      </c>
    </row>
    <row r="7948" customFormat="false" ht="14.25" hidden="false" customHeight="true" outlineLevel="0" collapsed="false">
      <c r="B7948" s="9" t="s">
        <v>32</v>
      </c>
      <c r="C7948" s="9" t="n">
        <v>1128299</v>
      </c>
      <c r="D7948" s="10" t="n">
        <v>44198</v>
      </c>
      <c r="E7948" s="9" t="s">
        <v>33</v>
      </c>
      <c r="F7948" s="9" t="s">
        <v>34</v>
      </c>
      <c r="G7948" s="9" t="s">
        <v>35</v>
      </c>
      <c r="H7948" s="11" t="s">
        <v>22</v>
      </c>
      <c r="I7948" s="12" t="n">
        <v>46</v>
      </c>
      <c r="J7948" s="13" t="n">
        <v>225</v>
      </c>
      <c r="K7948" s="14" t="n">
        <f aca="false">I7948*J7948</f>
        <v>10350</v>
      </c>
      <c r="L7948" s="14" t="n">
        <f aca="false">($L$2*M7948)/100</f>
        <v>528733.26</v>
      </c>
      <c r="M7948" s="15" t="n">
        <v>0.44</v>
      </c>
      <c r="N7948" s="9" t="s">
        <v>26</v>
      </c>
    </row>
    <row r="7949" customFormat="false" ht="14.25" hidden="false" customHeight="true" outlineLevel="0" collapsed="false">
      <c r="B7949" s="9" t="s">
        <v>32</v>
      </c>
      <c r="C7949" s="9" t="n">
        <v>1128299</v>
      </c>
      <c r="D7949" s="10" t="n">
        <v>44199</v>
      </c>
      <c r="E7949" s="9" t="s">
        <v>33</v>
      </c>
      <c r="F7949" s="9" t="s">
        <v>34</v>
      </c>
      <c r="G7949" s="9" t="s">
        <v>35</v>
      </c>
      <c r="H7949" s="11" t="s">
        <v>23</v>
      </c>
      <c r="I7949" s="12" t="n">
        <v>42</v>
      </c>
      <c r="J7949" s="13" t="n">
        <v>228</v>
      </c>
      <c r="K7949" s="14" t="n">
        <f aca="false">I7949*J7949</f>
        <v>9576</v>
      </c>
      <c r="L7949" s="14" t="n">
        <f aca="false">($L$2*M7949)/100</f>
        <v>504699.93</v>
      </c>
      <c r="M7949" s="15" t="n">
        <v>0.42</v>
      </c>
      <c r="N7949" s="9" t="s">
        <v>26</v>
      </c>
    </row>
    <row r="7950" customFormat="false" ht="14.25" hidden="false" customHeight="true" outlineLevel="0" collapsed="false">
      <c r="B7950" s="9" t="s">
        <v>32</v>
      </c>
      <c r="C7950" s="9" t="n">
        <v>1128299</v>
      </c>
      <c r="D7950" s="10" t="n">
        <v>44200</v>
      </c>
      <c r="E7950" s="9" t="s">
        <v>33</v>
      </c>
      <c r="F7950" s="9" t="s">
        <v>34</v>
      </c>
      <c r="G7950" s="9" t="s">
        <v>35</v>
      </c>
      <c r="H7950" s="11" t="s">
        <v>24</v>
      </c>
      <c r="I7950" s="12" t="n">
        <v>49</v>
      </c>
      <c r="J7950" s="13" t="n">
        <v>182</v>
      </c>
      <c r="K7950" s="14" t="n">
        <f aca="false">I7950*J7950</f>
        <v>8918</v>
      </c>
      <c r="L7950" s="14" t="n">
        <f aca="false">($L$2*M7950)/100</f>
        <v>684949.905</v>
      </c>
      <c r="M7950" s="15" t="n">
        <v>0.57</v>
      </c>
      <c r="N7950" s="9" t="s">
        <v>26</v>
      </c>
    </row>
    <row r="7951" customFormat="false" ht="14.25" hidden="false" customHeight="true" outlineLevel="0" collapsed="false">
      <c r="B7951" s="9" t="s">
        <v>32</v>
      </c>
      <c r="C7951" s="9" t="n">
        <v>1128299</v>
      </c>
      <c r="D7951" s="10" t="n">
        <v>44201</v>
      </c>
      <c r="E7951" s="9" t="s">
        <v>33</v>
      </c>
      <c r="F7951" s="9" t="s">
        <v>34</v>
      </c>
      <c r="G7951" s="9" t="s">
        <v>35</v>
      </c>
      <c r="H7951" s="11" t="s">
        <v>25</v>
      </c>
      <c r="I7951" s="12" t="n">
        <v>58</v>
      </c>
      <c r="J7951" s="13" t="n">
        <v>225</v>
      </c>
      <c r="K7951" s="14" t="n">
        <f aca="false">I7951*J7951</f>
        <v>13050</v>
      </c>
      <c r="L7951" s="14" t="n">
        <f aca="false">($L$2*M7951)/100</f>
        <v>276383.295</v>
      </c>
      <c r="M7951" s="15" t="n">
        <v>0.23</v>
      </c>
      <c r="N7951" s="9" t="s">
        <v>26</v>
      </c>
    </row>
    <row r="7952" customFormat="false" ht="14.25" hidden="false" customHeight="true" outlineLevel="0" collapsed="false">
      <c r="B7952" s="9" t="s">
        <v>32</v>
      </c>
      <c r="C7952" s="9" t="n">
        <v>1128299</v>
      </c>
      <c r="D7952" s="10" t="n">
        <v>44202</v>
      </c>
      <c r="E7952" s="9" t="s">
        <v>33</v>
      </c>
      <c r="F7952" s="9" t="s">
        <v>34</v>
      </c>
      <c r="G7952" s="9" t="s">
        <v>35</v>
      </c>
      <c r="H7952" s="11" t="s">
        <v>19</v>
      </c>
      <c r="I7952" s="12" t="n">
        <v>41</v>
      </c>
      <c r="J7952" s="13" t="n">
        <v>341</v>
      </c>
      <c r="K7952" s="14" t="n">
        <f aca="false">I7952*J7952</f>
        <v>13981</v>
      </c>
      <c r="L7952" s="14" t="n">
        <f aca="false">($L$2*M7952)/100</f>
        <v>516716.595</v>
      </c>
      <c r="M7952" s="15" t="n">
        <v>0.43</v>
      </c>
      <c r="N7952" s="9" t="s">
        <v>26</v>
      </c>
    </row>
    <row r="7953" customFormat="false" ht="14.25" hidden="false" customHeight="true" outlineLevel="0" collapsed="false">
      <c r="B7953" s="9" t="s">
        <v>32</v>
      </c>
      <c r="C7953" s="9" t="n">
        <v>1128299</v>
      </c>
      <c r="D7953" s="10" t="n">
        <v>44203</v>
      </c>
      <c r="E7953" s="9" t="s">
        <v>33</v>
      </c>
      <c r="F7953" s="9" t="s">
        <v>34</v>
      </c>
      <c r="G7953" s="9" t="s">
        <v>35</v>
      </c>
      <c r="H7953" s="11" t="s">
        <v>21</v>
      </c>
      <c r="I7953" s="12" t="n">
        <v>50</v>
      </c>
      <c r="J7953" s="13" t="n">
        <v>256</v>
      </c>
      <c r="K7953" s="14" t="n">
        <f aca="false">I7953*J7953</f>
        <v>12800</v>
      </c>
      <c r="L7953" s="14" t="n">
        <f aca="false">($L$2*M7953)/100</f>
        <v>360499.95</v>
      </c>
      <c r="M7953" s="15" t="n">
        <v>0.3</v>
      </c>
      <c r="N7953" s="9" t="s">
        <v>26</v>
      </c>
    </row>
    <row r="7954" customFormat="false" ht="14.25" hidden="false" customHeight="true" outlineLevel="0" collapsed="false">
      <c r="B7954" s="9" t="s">
        <v>32</v>
      </c>
      <c r="C7954" s="9" t="n">
        <v>1128299</v>
      </c>
      <c r="D7954" s="10" t="n">
        <v>44204</v>
      </c>
      <c r="E7954" s="9" t="s">
        <v>33</v>
      </c>
      <c r="F7954" s="9" t="s">
        <v>34</v>
      </c>
      <c r="G7954" s="9" t="s">
        <v>35</v>
      </c>
      <c r="H7954" s="11" t="s">
        <v>22</v>
      </c>
      <c r="I7954" s="12" t="n">
        <v>42</v>
      </c>
      <c r="J7954" s="13" t="n">
        <v>281</v>
      </c>
      <c r="K7954" s="14" t="n">
        <f aca="false">I7954*J7954</f>
        <v>11802</v>
      </c>
      <c r="L7954" s="14" t="n">
        <f aca="false">($L$2*M7954)/100</f>
        <v>540749.925</v>
      </c>
      <c r="M7954" s="15" t="n">
        <v>0.45</v>
      </c>
      <c r="N7954" s="9" t="s">
        <v>26</v>
      </c>
    </row>
    <row r="7955" customFormat="false" ht="14.25" hidden="false" customHeight="true" outlineLevel="0" collapsed="false">
      <c r="B7955" s="9" t="s">
        <v>32</v>
      </c>
      <c r="C7955" s="9" t="n">
        <v>1128299</v>
      </c>
      <c r="D7955" s="10" t="n">
        <v>44205</v>
      </c>
      <c r="E7955" s="9" t="s">
        <v>33</v>
      </c>
      <c r="F7955" s="9" t="s">
        <v>34</v>
      </c>
      <c r="G7955" s="9" t="s">
        <v>35</v>
      </c>
      <c r="H7955" s="11" t="s">
        <v>23</v>
      </c>
      <c r="I7955" s="12" t="n">
        <v>41</v>
      </c>
      <c r="J7955" s="13" t="n">
        <v>224</v>
      </c>
      <c r="K7955" s="14" t="n">
        <f aca="false">I7955*J7955</f>
        <v>9184</v>
      </c>
      <c r="L7955" s="14" t="n">
        <f aca="false">($L$2*M7955)/100</f>
        <v>492683.265</v>
      </c>
      <c r="M7955" s="15" t="n">
        <v>0.41</v>
      </c>
      <c r="N7955" s="9" t="s">
        <v>26</v>
      </c>
    </row>
    <row r="7956" customFormat="false" ht="14.25" hidden="false" customHeight="true" outlineLevel="0" collapsed="false">
      <c r="B7956" s="9" t="s">
        <v>32</v>
      </c>
      <c r="C7956" s="9" t="n">
        <v>1128299</v>
      </c>
      <c r="D7956" s="10" t="n">
        <v>44206</v>
      </c>
      <c r="E7956" s="9" t="s">
        <v>33</v>
      </c>
      <c r="F7956" s="9" t="s">
        <v>34</v>
      </c>
      <c r="G7956" s="9" t="s">
        <v>35</v>
      </c>
      <c r="H7956" s="11" t="s">
        <v>24</v>
      </c>
      <c r="I7956" s="12" t="n">
        <v>44</v>
      </c>
      <c r="J7956" s="13" t="n">
        <v>196</v>
      </c>
      <c r="K7956" s="14" t="n">
        <f aca="false">I7956*J7956</f>
        <v>8624</v>
      </c>
      <c r="L7956" s="14" t="n">
        <f aca="false">($L$2*M7956)/100</f>
        <v>733016.565</v>
      </c>
      <c r="M7956" s="15" t="n">
        <v>0.61</v>
      </c>
      <c r="N7956" s="9" t="s">
        <v>26</v>
      </c>
    </row>
    <row r="7957" customFormat="false" ht="14.25" hidden="false" customHeight="true" outlineLevel="0" collapsed="false">
      <c r="B7957" s="9" t="s">
        <v>32</v>
      </c>
      <c r="C7957" s="9" t="n">
        <v>1128299</v>
      </c>
      <c r="D7957" s="10" t="n">
        <v>44207</v>
      </c>
      <c r="E7957" s="9" t="s">
        <v>33</v>
      </c>
      <c r="F7957" s="9" t="s">
        <v>34</v>
      </c>
      <c r="G7957" s="9" t="s">
        <v>35</v>
      </c>
      <c r="H7957" s="11" t="s">
        <v>25</v>
      </c>
      <c r="I7957" s="12" t="n">
        <v>60</v>
      </c>
      <c r="J7957" s="13" t="n">
        <v>306</v>
      </c>
      <c r="K7957" s="14" t="n">
        <f aca="false">I7957*J7957</f>
        <v>18360</v>
      </c>
      <c r="L7957" s="14" t="n">
        <f aca="false">($L$2*M7957)/100</f>
        <v>312433.29</v>
      </c>
      <c r="M7957" s="15" t="n">
        <v>0.26</v>
      </c>
      <c r="N7957" s="9" t="s">
        <v>26</v>
      </c>
    </row>
    <row r="7958" customFormat="false" ht="14.25" hidden="false" customHeight="true" outlineLevel="0" collapsed="false">
      <c r="B7958" s="9" t="s">
        <v>32</v>
      </c>
      <c r="C7958" s="9" t="n">
        <v>1128299</v>
      </c>
      <c r="D7958" s="10" t="n">
        <v>44208</v>
      </c>
      <c r="E7958" s="9" t="s">
        <v>33</v>
      </c>
      <c r="F7958" s="9" t="s">
        <v>34</v>
      </c>
      <c r="G7958" s="9" t="s">
        <v>35</v>
      </c>
      <c r="H7958" s="11" t="s">
        <v>19</v>
      </c>
      <c r="I7958" s="12" t="n">
        <v>41</v>
      </c>
      <c r="J7958" s="13" t="n">
        <v>338</v>
      </c>
      <c r="K7958" s="14" t="n">
        <f aca="false">I7958*J7958</f>
        <v>13858</v>
      </c>
      <c r="L7958" s="14" t="n">
        <f aca="false">($L$2*M7958)/100</f>
        <v>456633.27</v>
      </c>
      <c r="M7958" s="15" t="n">
        <v>0.38</v>
      </c>
      <c r="N7958" s="9" t="s">
        <v>26</v>
      </c>
    </row>
    <row r="7959" customFormat="false" ht="14.25" hidden="false" customHeight="true" outlineLevel="0" collapsed="false">
      <c r="B7959" s="9" t="s">
        <v>32</v>
      </c>
      <c r="C7959" s="9" t="n">
        <v>1128299</v>
      </c>
      <c r="D7959" s="10" t="n">
        <v>44209</v>
      </c>
      <c r="E7959" s="9" t="s">
        <v>33</v>
      </c>
      <c r="F7959" s="9" t="s">
        <v>34</v>
      </c>
      <c r="G7959" s="9" t="s">
        <v>35</v>
      </c>
      <c r="H7959" s="11" t="s">
        <v>21</v>
      </c>
      <c r="I7959" s="12" t="n">
        <v>49</v>
      </c>
      <c r="J7959" s="13" t="n">
        <v>263</v>
      </c>
      <c r="K7959" s="14" t="n">
        <f aca="false">I7959*J7959</f>
        <v>12887</v>
      </c>
      <c r="L7959" s="14" t="n">
        <f aca="false">($L$2*M7959)/100</f>
        <v>288399.96</v>
      </c>
      <c r="M7959" s="15" t="n">
        <v>0.24</v>
      </c>
      <c r="N7959" s="9" t="s">
        <v>26</v>
      </c>
    </row>
    <row r="7960" customFormat="false" ht="14.25" hidden="false" customHeight="true" outlineLevel="0" collapsed="false">
      <c r="B7960" s="9" t="s">
        <v>32</v>
      </c>
      <c r="C7960" s="9" t="n">
        <v>1128299</v>
      </c>
      <c r="D7960" s="10" t="n">
        <v>44210</v>
      </c>
      <c r="E7960" s="9" t="s">
        <v>33</v>
      </c>
      <c r="F7960" s="9" t="s">
        <v>34</v>
      </c>
      <c r="G7960" s="9" t="s">
        <v>35</v>
      </c>
      <c r="H7960" s="11" t="s">
        <v>22</v>
      </c>
      <c r="I7960" s="12" t="n">
        <v>46</v>
      </c>
      <c r="J7960" s="13" t="n">
        <v>264</v>
      </c>
      <c r="K7960" s="14" t="n">
        <f aca="false">I7960*J7960</f>
        <v>12144</v>
      </c>
      <c r="L7960" s="14" t="n">
        <f aca="false">($L$2*M7960)/100</f>
        <v>480666.6</v>
      </c>
      <c r="M7960" s="15" t="n">
        <v>0.4</v>
      </c>
      <c r="N7960" s="9" t="s">
        <v>26</v>
      </c>
    </row>
    <row r="7961" customFormat="false" ht="14.25" hidden="false" customHeight="true" outlineLevel="0" collapsed="false">
      <c r="B7961" s="9" t="s">
        <v>32</v>
      </c>
      <c r="C7961" s="9" t="n">
        <v>1128299</v>
      </c>
      <c r="D7961" s="10" t="n">
        <v>44211</v>
      </c>
      <c r="E7961" s="9" t="s">
        <v>33</v>
      </c>
      <c r="F7961" s="9" t="s">
        <v>34</v>
      </c>
      <c r="G7961" s="9" t="s">
        <v>35</v>
      </c>
      <c r="H7961" s="11" t="s">
        <v>23</v>
      </c>
      <c r="I7961" s="12" t="n">
        <v>46</v>
      </c>
      <c r="J7961" s="13" t="n">
        <v>247</v>
      </c>
      <c r="K7961" s="14" t="n">
        <f aca="false">I7961*J7961</f>
        <v>11362</v>
      </c>
      <c r="L7961" s="14" t="n">
        <f aca="false">($L$2*M7961)/100</f>
        <v>432599.94</v>
      </c>
      <c r="M7961" s="15" t="n">
        <v>0.36</v>
      </c>
      <c r="N7961" s="9" t="s">
        <v>26</v>
      </c>
    </row>
    <row r="7962" customFormat="false" ht="14.25" hidden="false" customHeight="true" outlineLevel="0" collapsed="false">
      <c r="B7962" s="9" t="s">
        <v>32</v>
      </c>
      <c r="C7962" s="9" t="n">
        <v>1128299</v>
      </c>
      <c r="D7962" s="10" t="n">
        <v>44212</v>
      </c>
      <c r="E7962" s="9" t="s">
        <v>33</v>
      </c>
      <c r="F7962" s="9" t="s">
        <v>34</v>
      </c>
      <c r="G7962" s="9" t="s">
        <v>35</v>
      </c>
      <c r="H7962" s="11" t="s">
        <v>24</v>
      </c>
      <c r="I7962" s="12" t="n">
        <v>44</v>
      </c>
      <c r="J7962" s="13" t="n">
        <v>240</v>
      </c>
      <c r="K7962" s="14" t="n">
        <f aca="false">I7962*J7962</f>
        <v>10560</v>
      </c>
      <c r="L7962" s="14" t="n">
        <f aca="false">($L$2*M7962)/100</f>
        <v>672933.24</v>
      </c>
      <c r="M7962" s="15" t="n">
        <v>0.56</v>
      </c>
      <c r="N7962" s="9" t="s">
        <v>26</v>
      </c>
    </row>
    <row r="7963" customFormat="false" ht="14.25" hidden="false" customHeight="true" outlineLevel="0" collapsed="false">
      <c r="B7963" s="9" t="s">
        <v>32</v>
      </c>
      <c r="C7963" s="9" t="n">
        <v>1128299</v>
      </c>
      <c r="D7963" s="10" t="n">
        <v>44213</v>
      </c>
      <c r="E7963" s="9" t="s">
        <v>33</v>
      </c>
      <c r="F7963" s="9" t="s">
        <v>34</v>
      </c>
      <c r="G7963" s="9" t="s">
        <v>35</v>
      </c>
      <c r="H7963" s="11" t="s">
        <v>25</v>
      </c>
      <c r="I7963" s="12" t="n">
        <v>56</v>
      </c>
      <c r="J7963" s="13" t="n">
        <v>264</v>
      </c>
      <c r="K7963" s="14" t="n">
        <f aca="false">I7963*J7963</f>
        <v>14784</v>
      </c>
      <c r="L7963" s="14" t="n">
        <f aca="false">($L$2*M7963)/100</f>
        <v>228316.635</v>
      </c>
      <c r="M7963" s="15" t="n">
        <v>0.19</v>
      </c>
      <c r="N7963" s="9" t="s">
        <v>26</v>
      </c>
    </row>
    <row r="7964" customFormat="false" ht="14.25" hidden="false" customHeight="true" outlineLevel="0" collapsed="false">
      <c r="B7964" s="9" t="s">
        <v>32</v>
      </c>
      <c r="C7964" s="9" t="n">
        <v>1128299</v>
      </c>
      <c r="D7964" s="10" t="n">
        <v>44214</v>
      </c>
      <c r="E7964" s="9" t="s">
        <v>33</v>
      </c>
      <c r="F7964" s="9" t="s">
        <v>34</v>
      </c>
      <c r="G7964" s="9" t="s">
        <v>35</v>
      </c>
      <c r="H7964" s="11" t="s">
        <v>19</v>
      </c>
      <c r="I7964" s="12" t="n">
        <v>45</v>
      </c>
      <c r="J7964" s="13" t="n">
        <v>302</v>
      </c>
      <c r="K7964" s="14" t="n">
        <f aca="false">I7964*J7964</f>
        <v>13590</v>
      </c>
      <c r="L7964" s="14" t="n">
        <f aca="false">($L$2*M7964)/100</f>
        <v>480666.6</v>
      </c>
      <c r="M7964" s="15" t="n">
        <v>0.4</v>
      </c>
      <c r="N7964" s="9" t="s">
        <v>26</v>
      </c>
    </row>
    <row r="7965" customFormat="false" ht="14.25" hidden="false" customHeight="true" outlineLevel="0" collapsed="false">
      <c r="B7965" s="9" t="s">
        <v>32</v>
      </c>
      <c r="C7965" s="9" t="n">
        <v>1128299</v>
      </c>
      <c r="D7965" s="10" t="n">
        <v>44215</v>
      </c>
      <c r="E7965" s="9" t="s">
        <v>33</v>
      </c>
      <c r="F7965" s="9" t="s">
        <v>34</v>
      </c>
      <c r="G7965" s="9" t="s">
        <v>35</v>
      </c>
      <c r="H7965" s="11" t="s">
        <v>21</v>
      </c>
      <c r="I7965" s="12" t="n">
        <v>47</v>
      </c>
      <c r="J7965" s="13" t="n">
        <v>278</v>
      </c>
      <c r="K7965" s="14" t="n">
        <f aca="false">I7965*J7965</f>
        <v>13066</v>
      </c>
      <c r="L7965" s="14" t="n">
        <f aca="false">($L$2*M7965)/100</f>
        <v>264366.63</v>
      </c>
      <c r="M7965" s="15" t="n">
        <v>0.22</v>
      </c>
      <c r="N7965" s="9" t="s">
        <v>26</v>
      </c>
    </row>
    <row r="7966" customFormat="false" ht="14.25" hidden="false" customHeight="true" outlineLevel="0" collapsed="false">
      <c r="B7966" s="9" t="s">
        <v>32</v>
      </c>
      <c r="C7966" s="9" t="n">
        <v>1128299</v>
      </c>
      <c r="D7966" s="10" t="n">
        <v>44216</v>
      </c>
      <c r="E7966" s="9" t="s">
        <v>33</v>
      </c>
      <c r="F7966" s="9" t="s">
        <v>34</v>
      </c>
      <c r="G7966" s="9" t="s">
        <v>35</v>
      </c>
      <c r="H7966" s="11" t="s">
        <v>22</v>
      </c>
      <c r="I7966" s="12" t="n">
        <v>51</v>
      </c>
      <c r="J7966" s="13" t="n">
        <v>248</v>
      </c>
      <c r="K7966" s="14" t="n">
        <f aca="false">I7966*J7966</f>
        <v>12648</v>
      </c>
      <c r="L7966" s="14" t="n">
        <f aca="false">($L$2*M7966)/100</f>
        <v>468649.935</v>
      </c>
      <c r="M7966" s="15" t="n">
        <v>0.39</v>
      </c>
      <c r="N7966" s="9" t="s">
        <v>26</v>
      </c>
    </row>
    <row r="7967" customFormat="false" ht="14.25" hidden="false" customHeight="true" outlineLevel="0" collapsed="false">
      <c r="B7967" s="9" t="s">
        <v>32</v>
      </c>
      <c r="C7967" s="9" t="n">
        <v>1128299</v>
      </c>
      <c r="D7967" s="10" t="n">
        <v>44217</v>
      </c>
      <c r="E7967" s="9" t="s">
        <v>33</v>
      </c>
      <c r="F7967" s="9" t="s">
        <v>34</v>
      </c>
      <c r="G7967" s="9" t="s">
        <v>35</v>
      </c>
      <c r="H7967" s="11" t="s">
        <v>23</v>
      </c>
      <c r="I7967" s="12" t="n">
        <v>52</v>
      </c>
      <c r="J7967" s="13" t="n">
        <v>255</v>
      </c>
      <c r="K7967" s="14" t="n">
        <f aca="false">I7967*J7967</f>
        <v>13260</v>
      </c>
      <c r="L7967" s="14" t="n">
        <f aca="false">($L$2*M7967)/100</f>
        <v>408566.61</v>
      </c>
      <c r="M7967" s="15" t="n">
        <v>0.34</v>
      </c>
      <c r="N7967" s="9" t="s">
        <v>26</v>
      </c>
    </row>
    <row r="7968" customFormat="false" ht="14.25" hidden="false" customHeight="true" outlineLevel="0" collapsed="false">
      <c r="B7968" s="9" t="s">
        <v>32</v>
      </c>
      <c r="C7968" s="9" t="n">
        <v>1128299</v>
      </c>
      <c r="D7968" s="10" t="n">
        <v>44218</v>
      </c>
      <c r="E7968" s="9" t="s">
        <v>33</v>
      </c>
      <c r="F7968" s="9" t="s">
        <v>34</v>
      </c>
      <c r="G7968" s="9" t="s">
        <v>35</v>
      </c>
      <c r="H7968" s="11" t="s">
        <v>24</v>
      </c>
      <c r="I7968" s="12" t="n">
        <v>59</v>
      </c>
      <c r="J7968" s="13" t="n">
        <v>263</v>
      </c>
      <c r="K7968" s="14" t="n">
        <f aca="false">I7968*J7968</f>
        <v>15517</v>
      </c>
      <c r="L7968" s="14" t="n">
        <f aca="false">($L$2*M7968)/100</f>
        <v>684949.905</v>
      </c>
      <c r="M7968" s="15" t="n">
        <v>0.57</v>
      </c>
      <c r="N7968" s="9" t="s">
        <v>26</v>
      </c>
    </row>
    <row r="7969" customFormat="false" ht="14.25" hidden="false" customHeight="true" outlineLevel="0" collapsed="false">
      <c r="B7969" s="9" t="s">
        <v>32</v>
      </c>
      <c r="C7969" s="9" t="n">
        <v>1128299</v>
      </c>
      <c r="D7969" s="10" t="n">
        <v>44219</v>
      </c>
      <c r="E7969" s="9" t="s">
        <v>33</v>
      </c>
      <c r="F7969" s="9" t="s">
        <v>34</v>
      </c>
      <c r="G7969" s="9" t="s">
        <v>35</v>
      </c>
      <c r="H7969" s="11" t="s">
        <v>25</v>
      </c>
      <c r="I7969" s="12" t="n">
        <v>60</v>
      </c>
      <c r="J7969" s="13" t="n">
        <v>254</v>
      </c>
      <c r="K7969" s="14" t="n">
        <f aca="false">I7969*J7969</f>
        <v>15240</v>
      </c>
      <c r="L7969" s="14" t="n">
        <f aca="false">($L$2*M7969)/100</f>
        <v>264366.63</v>
      </c>
      <c r="M7969" s="15" t="n">
        <v>0.22</v>
      </c>
      <c r="N7969" s="9" t="s">
        <v>26</v>
      </c>
    </row>
    <row r="7970" customFormat="false" ht="14.25" hidden="false" customHeight="true" outlineLevel="0" collapsed="false">
      <c r="B7970" s="9" t="s">
        <v>32</v>
      </c>
      <c r="C7970" s="9" t="n">
        <v>1128299</v>
      </c>
      <c r="D7970" s="10" t="n">
        <v>44220</v>
      </c>
      <c r="E7970" s="9" t="s">
        <v>33</v>
      </c>
      <c r="F7970" s="9" t="s">
        <v>34</v>
      </c>
      <c r="G7970" s="9" t="s">
        <v>35</v>
      </c>
      <c r="H7970" s="11" t="s">
        <v>19</v>
      </c>
      <c r="I7970" s="12" t="n">
        <v>40</v>
      </c>
      <c r="J7970" s="13" t="n">
        <v>287</v>
      </c>
      <c r="K7970" s="14" t="n">
        <f aca="false">I7970*J7970</f>
        <v>11480</v>
      </c>
      <c r="L7970" s="14" t="n">
        <f aca="false">($L$2*M7970)/100</f>
        <v>420583.275</v>
      </c>
      <c r="M7970" s="15" t="n">
        <v>0.35</v>
      </c>
      <c r="N7970" s="9" t="s">
        <v>26</v>
      </c>
    </row>
    <row r="7971" customFormat="false" ht="14.25" hidden="false" customHeight="true" outlineLevel="0" collapsed="false">
      <c r="B7971" s="9" t="s">
        <v>32</v>
      </c>
      <c r="C7971" s="9" t="n">
        <v>1128299</v>
      </c>
      <c r="D7971" s="10" t="n">
        <v>44221</v>
      </c>
      <c r="E7971" s="9" t="s">
        <v>33</v>
      </c>
      <c r="F7971" s="9" t="s">
        <v>34</v>
      </c>
      <c r="G7971" s="9" t="s">
        <v>35</v>
      </c>
      <c r="H7971" s="11" t="s">
        <v>21</v>
      </c>
      <c r="I7971" s="12" t="n">
        <v>42</v>
      </c>
      <c r="J7971" s="13" t="n">
        <v>287</v>
      </c>
      <c r="K7971" s="14" t="n">
        <f aca="false">I7971*J7971</f>
        <v>12054</v>
      </c>
      <c r="L7971" s="14" t="n">
        <f aca="false">($L$2*M7971)/100</f>
        <v>204283.305</v>
      </c>
      <c r="M7971" s="15" t="n">
        <v>0.17</v>
      </c>
      <c r="N7971" s="9" t="s">
        <v>26</v>
      </c>
    </row>
    <row r="7972" customFormat="false" ht="14.25" hidden="false" customHeight="true" outlineLevel="0" collapsed="false">
      <c r="B7972" s="9" t="s">
        <v>32</v>
      </c>
      <c r="C7972" s="9" t="n">
        <v>1128299</v>
      </c>
      <c r="D7972" s="10" t="n">
        <v>44222</v>
      </c>
      <c r="E7972" s="9" t="s">
        <v>33</v>
      </c>
      <c r="F7972" s="9" t="s">
        <v>34</v>
      </c>
      <c r="G7972" s="9" t="s">
        <v>35</v>
      </c>
      <c r="H7972" s="11" t="s">
        <v>22</v>
      </c>
      <c r="I7972" s="12" t="n">
        <v>39</v>
      </c>
      <c r="J7972" s="13" t="n">
        <v>248</v>
      </c>
      <c r="K7972" s="14" t="n">
        <f aca="false">I7972*J7972</f>
        <v>9672</v>
      </c>
      <c r="L7972" s="14" t="n">
        <f aca="false">($L$2*M7972)/100</f>
        <v>408566.61</v>
      </c>
      <c r="M7972" s="15" t="n">
        <v>0.34</v>
      </c>
      <c r="N7972" s="9" t="s">
        <v>26</v>
      </c>
    </row>
    <row r="7973" customFormat="false" ht="14.25" hidden="false" customHeight="true" outlineLevel="0" collapsed="false">
      <c r="B7973" s="9" t="s">
        <v>32</v>
      </c>
      <c r="C7973" s="9" t="n">
        <v>1128299</v>
      </c>
      <c r="D7973" s="10" t="n">
        <v>44223</v>
      </c>
      <c r="E7973" s="9" t="s">
        <v>33</v>
      </c>
      <c r="F7973" s="9" t="s">
        <v>34</v>
      </c>
      <c r="G7973" s="9" t="s">
        <v>35</v>
      </c>
      <c r="H7973" s="11" t="s">
        <v>23</v>
      </c>
      <c r="I7973" s="12" t="n">
        <v>39</v>
      </c>
      <c r="J7973" s="13" t="n">
        <v>247</v>
      </c>
      <c r="K7973" s="14" t="n">
        <f aca="false">I7973*J7973</f>
        <v>9633</v>
      </c>
      <c r="L7973" s="14" t="n">
        <f aca="false">($L$2*M7973)/100</f>
        <v>324449.955</v>
      </c>
      <c r="M7973" s="15" t="n">
        <v>0.27</v>
      </c>
      <c r="N7973" s="9" t="s">
        <v>26</v>
      </c>
    </row>
    <row r="7974" customFormat="false" ht="14.25" hidden="false" customHeight="true" outlineLevel="0" collapsed="false">
      <c r="B7974" s="9" t="s">
        <v>32</v>
      </c>
      <c r="C7974" s="9" t="n">
        <v>1128299</v>
      </c>
      <c r="D7974" s="10" t="n">
        <v>44224</v>
      </c>
      <c r="E7974" s="9" t="s">
        <v>33</v>
      </c>
      <c r="F7974" s="9" t="s">
        <v>34</v>
      </c>
      <c r="G7974" s="9" t="s">
        <v>35</v>
      </c>
      <c r="H7974" s="11" t="s">
        <v>24</v>
      </c>
      <c r="I7974" s="12" t="n">
        <v>43</v>
      </c>
      <c r="J7974" s="13" t="n">
        <v>225</v>
      </c>
      <c r="K7974" s="14" t="n">
        <f aca="false">I7974*J7974</f>
        <v>9675</v>
      </c>
      <c r="L7974" s="14" t="n">
        <f aca="false">($L$2*M7974)/100</f>
        <v>576799.92</v>
      </c>
      <c r="M7974" s="15" t="n">
        <v>0.48</v>
      </c>
      <c r="N7974" s="9" t="s">
        <v>26</v>
      </c>
    </row>
    <row r="7975" customFormat="false" ht="14.25" hidden="false" customHeight="true" outlineLevel="0" collapsed="false">
      <c r="B7975" s="9" t="s">
        <v>32</v>
      </c>
      <c r="C7975" s="9" t="n">
        <v>1128299</v>
      </c>
      <c r="D7975" s="10" t="n">
        <v>44225</v>
      </c>
      <c r="E7975" s="9" t="s">
        <v>33</v>
      </c>
      <c r="F7975" s="9" t="s">
        <v>34</v>
      </c>
      <c r="G7975" s="9" t="s">
        <v>35</v>
      </c>
      <c r="H7975" s="11" t="s">
        <v>25</v>
      </c>
      <c r="I7975" s="12" t="n">
        <v>51</v>
      </c>
      <c r="J7975" s="13" t="n">
        <v>264</v>
      </c>
      <c r="K7975" s="14" t="n">
        <f aca="false">I7975*J7975</f>
        <v>13464</v>
      </c>
      <c r="L7975" s="14" t="n">
        <f aca="false">($L$2*M7975)/100</f>
        <v>180249.975</v>
      </c>
      <c r="M7975" s="15" t="n">
        <v>0.15</v>
      </c>
      <c r="N7975" s="9" t="s">
        <v>26</v>
      </c>
    </row>
    <row r="7976" customFormat="false" ht="14.25" hidden="false" customHeight="true" outlineLevel="0" collapsed="false">
      <c r="B7976" s="9" t="s">
        <v>32</v>
      </c>
      <c r="C7976" s="9" t="n">
        <v>1128299</v>
      </c>
      <c r="D7976" s="10" t="n">
        <v>44226</v>
      </c>
      <c r="E7976" s="9" t="s">
        <v>33</v>
      </c>
      <c r="F7976" s="9" t="s">
        <v>34</v>
      </c>
      <c r="G7976" s="9" t="s">
        <v>35</v>
      </c>
      <c r="H7976" s="11" t="s">
        <v>19</v>
      </c>
      <c r="I7976" s="12" t="n">
        <v>36</v>
      </c>
      <c r="J7976" s="13" t="n">
        <v>289</v>
      </c>
      <c r="K7976" s="14" t="n">
        <f aca="false">I7976*J7976</f>
        <v>10404</v>
      </c>
      <c r="L7976" s="14" t="n">
        <f aca="false">($L$2*M7976)/100</f>
        <v>396549.945</v>
      </c>
      <c r="M7976" s="15" t="n">
        <v>0.33</v>
      </c>
      <c r="N7976" s="9" t="s">
        <v>26</v>
      </c>
    </row>
    <row r="7977" customFormat="false" ht="14.25" hidden="false" customHeight="true" outlineLevel="0" collapsed="false">
      <c r="B7977" s="9" t="s">
        <v>32</v>
      </c>
      <c r="C7977" s="9" t="n">
        <v>1128299</v>
      </c>
      <c r="D7977" s="10" t="n">
        <v>44227</v>
      </c>
      <c r="E7977" s="9" t="s">
        <v>33</v>
      </c>
      <c r="F7977" s="9" t="s">
        <v>34</v>
      </c>
      <c r="G7977" s="9" t="s">
        <v>35</v>
      </c>
      <c r="H7977" s="11" t="s">
        <v>21</v>
      </c>
      <c r="I7977" s="12" t="n">
        <v>39</v>
      </c>
      <c r="J7977" s="13" t="n">
        <v>280</v>
      </c>
      <c r="K7977" s="14" t="n">
        <f aca="false">I7977*J7977</f>
        <v>10920</v>
      </c>
      <c r="L7977" s="14" t="n">
        <f aca="false">($L$2*M7977)/100</f>
        <v>216299.97</v>
      </c>
      <c r="M7977" s="15" t="n">
        <v>0.18</v>
      </c>
      <c r="N7977" s="9" t="s">
        <v>26</v>
      </c>
    </row>
    <row r="7978" customFormat="false" ht="14.25" hidden="false" customHeight="true" outlineLevel="0" collapsed="false">
      <c r="B7978" s="9" t="s">
        <v>32</v>
      </c>
      <c r="C7978" s="9" t="n">
        <v>1128299</v>
      </c>
      <c r="D7978" s="10" t="n">
        <v>44228</v>
      </c>
      <c r="E7978" s="9" t="s">
        <v>33</v>
      </c>
      <c r="F7978" s="9" t="s">
        <v>34</v>
      </c>
      <c r="G7978" s="9" t="s">
        <v>35</v>
      </c>
      <c r="H7978" s="11" t="s">
        <v>22</v>
      </c>
      <c r="I7978" s="12" t="n">
        <v>42</v>
      </c>
      <c r="J7978" s="13" t="n">
        <v>210</v>
      </c>
      <c r="K7978" s="14" t="n">
        <f aca="false">I7978*J7978</f>
        <v>8820</v>
      </c>
      <c r="L7978" s="14" t="n">
        <f aca="false">($L$2*M7978)/100</f>
        <v>396549.945</v>
      </c>
      <c r="M7978" s="15" t="n">
        <v>0.33</v>
      </c>
      <c r="N7978" s="9" t="s">
        <v>26</v>
      </c>
    </row>
    <row r="7979" customFormat="false" ht="14.25" hidden="false" customHeight="true" outlineLevel="0" collapsed="false">
      <c r="B7979" s="9" t="s">
        <v>32</v>
      </c>
      <c r="C7979" s="9" t="n">
        <v>1128299</v>
      </c>
      <c r="D7979" s="10" t="n">
        <v>44229</v>
      </c>
      <c r="E7979" s="9" t="s">
        <v>33</v>
      </c>
      <c r="F7979" s="9" t="s">
        <v>34</v>
      </c>
      <c r="G7979" s="9" t="s">
        <v>35</v>
      </c>
      <c r="H7979" s="11" t="s">
        <v>23</v>
      </c>
      <c r="I7979" s="12" t="n">
        <v>42</v>
      </c>
      <c r="J7979" s="13" t="n">
        <v>223</v>
      </c>
      <c r="K7979" s="14" t="n">
        <f aca="false">I7979*J7979</f>
        <v>9366</v>
      </c>
      <c r="L7979" s="14" t="n">
        <f aca="false">($L$2*M7979)/100</f>
        <v>372516.615</v>
      </c>
      <c r="M7979" s="15" t="n">
        <v>0.31</v>
      </c>
      <c r="N7979" s="9" t="s">
        <v>26</v>
      </c>
    </row>
    <row r="7980" customFormat="false" ht="14.25" hidden="false" customHeight="true" outlineLevel="0" collapsed="false">
      <c r="B7980" s="9" t="s">
        <v>32</v>
      </c>
      <c r="C7980" s="9" t="n">
        <v>1128299</v>
      </c>
      <c r="D7980" s="10" t="n">
        <v>44230</v>
      </c>
      <c r="E7980" s="9" t="s">
        <v>33</v>
      </c>
      <c r="F7980" s="9" t="s">
        <v>34</v>
      </c>
      <c r="G7980" s="9" t="s">
        <v>35</v>
      </c>
      <c r="H7980" s="11" t="s">
        <v>24</v>
      </c>
      <c r="I7980" s="12" t="n">
        <v>50</v>
      </c>
      <c r="J7980" s="13" t="n">
        <v>221</v>
      </c>
      <c r="K7980" s="14" t="n">
        <f aca="false">I7980*J7980</f>
        <v>11050</v>
      </c>
      <c r="L7980" s="14" t="n">
        <f aca="false">($L$2*M7980)/100</f>
        <v>564783.255</v>
      </c>
      <c r="M7980" s="15" t="n">
        <v>0.47</v>
      </c>
      <c r="N7980" s="9" t="s">
        <v>26</v>
      </c>
    </row>
    <row r="7981" customFormat="false" ht="14.25" hidden="false" customHeight="true" outlineLevel="0" collapsed="false">
      <c r="B7981" s="9" t="s">
        <v>32</v>
      </c>
      <c r="C7981" s="9" t="n">
        <v>1128299</v>
      </c>
      <c r="D7981" s="10" t="n">
        <v>44231</v>
      </c>
      <c r="E7981" s="9" t="s">
        <v>33</v>
      </c>
      <c r="F7981" s="9" t="s">
        <v>34</v>
      </c>
      <c r="G7981" s="9" t="s">
        <v>35</v>
      </c>
      <c r="H7981" s="11" t="s">
        <v>25</v>
      </c>
      <c r="I7981" s="12" t="n">
        <v>46</v>
      </c>
      <c r="J7981" s="13" t="n">
        <v>224</v>
      </c>
      <c r="K7981" s="14" t="n">
        <f aca="false">I7981*J7981</f>
        <v>10304</v>
      </c>
      <c r="L7981" s="14" t="n">
        <f aca="false">($L$2*M7981)/100</f>
        <v>144199.98</v>
      </c>
      <c r="M7981" s="15" t="n">
        <v>0.12</v>
      </c>
      <c r="N7981" s="9" t="s">
        <v>26</v>
      </c>
    </row>
    <row r="7982" customFormat="false" ht="14.25" hidden="false" customHeight="true" outlineLevel="0" collapsed="false">
      <c r="B7982" s="9" t="s">
        <v>32</v>
      </c>
      <c r="C7982" s="9" t="n">
        <v>1128299</v>
      </c>
      <c r="D7982" s="10" t="n">
        <v>44232</v>
      </c>
      <c r="E7982" s="9" t="s">
        <v>33</v>
      </c>
      <c r="F7982" s="9" t="s">
        <v>34</v>
      </c>
      <c r="G7982" s="9" t="s">
        <v>35</v>
      </c>
      <c r="H7982" s="11" t="s">
        <v>19</v>
      </c>
      <c r="I7982" s="12" t="n">
        <v>39</v>
      </c>
      <c r="J7982" s="13" t="n">
        <v>263</v>
      </c>
      <c r="K7982" s="14" t="n">
        <f aca="false">I7982*J7982</f>
        <v>10257</v>
      </c>
      <c r="L7982" s="14" t="n">
        <f aca="false">($L$2*M7982)/100</f>
        <v>420583.275</v>
      </c>
      <c r="M7982" s="15" t="n">
        <v>0.35</v>
      </c>
      <c r="N7982" s="9" t="s">
        <v>26</v>
      </c>
    </row>
    <row r="7983" customFormat="false" ht="14.25" hidden="false" customHeight="true" outlineLevel="0" collapsed="false">
      <c r="B7983" s="9" t="s">
        <v>32</v>
      </c>
      <c r="C7983" s="9" t="n">
        <v>1128299</v>
      </c>
      <c r="D7983" s="10" t="n">
        <v>44233</v>
      </c>
      <c r="E7983" s="9" t="s">
        <v>33</v>
      </c>
      <c r="F7983" s="9" t="s">
        <v>34</v>
      </c>
      <c r="G7983" s="9" t="s">
        <v>35</v>
      </c>
      <c r="H7983" s="11" t="s">
        <v>21</v>
      </c>
      <c r="I7983" s="12" t="n">
        <v>46</v>
      </c>
      <c r="J7983" s="13" t="n">
        <v>306</v>
      </c>
      <c r="K7983" s="14" t="n">
        <f aca="false">I7983*J7983</f>
        <v>14076</v>
      </c>
      <c r="L7983" s="14" t="n">
        <f aca="false">($L$2*M7983)/100</f>
        <v>240333.3</v>
      </c>
      <c r="M7983" s="15" t="n">
        <v>0.2</v>
      </c>
      <c r="N7983" s="9" t="s">
        <v>26</v>
      </c>
    </row>
    <row r="7984" customFormat="false" ht="14.25" hidden="false" customHeight="true" outlineLevel="0" collapsed="false">
      <c r="B7984" s="9" t="s">
        <v>32</v>
      </c>
      <c r="C7984" s="9" t="n">
        <v>1128299</v>
      </c>
      <c r="D7984" s="10" t="n">
        <v>44234</v>
      </c>
      <c r="E7984" s="9" t="s">
        <v>33</v>
      </c>
      <c r="F7984" s="9" t="s">
        <v>34</v>
      </c>
      <c r="G7984" s="9" t="s">
        <v>35</v>
      </c>
      <c r="H7984" s="11" t="s">
        <v>22</v>
      </c>
      <c r="I7984" s="12" t="n">
        <v>40</v>
      </c>
      <c r="J7984" s="13" t="n">
        <v>247</v>
      </c>
      <c r="K7984" s="14" t="n">
        <f aca="false">I7984*J7984</f>
        <v>9880</v>
      </c>
      <c r="L7984" s="14" t="n">
        <f aca="false">($L$2*M7984)/100</f>
        <v>408566.61</v>
      </c>
      <c r="M7984" s="15" t="n">
        <v>0.34</v>
      </c>
      <c r="N7984" s="9" t="s">
        <v>26</v>
      </c>
    </row>
    <row r="7985" customFormat="false" ht="14.25" hidden="false" customHeight="true" outlineLevel="0" collapsed="false">
      <c r="B7985" s="9" t="s">
        <v>32</v>
      </c>
      <c r="C7985" s="9" t="n">
        <v>1128299</v>
      </c>
      <c r="D7985" s="10" t="n">
        <v>44235</v>
      </c>
      <c r="E7985" s="9" t="s">
        <v>33</v>
      </c>
      <c r="F7985" s="9" t="s">
        <v>34</v>
      </c>
      <c r="G7985" s="9" t="s">
        <v>35</v>
      </c>
      <c r="H7985" s="11" t="s">
        <v>23</v>
      </c>
      <c r="I7985" s="12" t="n">
        <v>37</v>
      </c>
      <c r="J7985" s="13" t="n">
        <v>210</v>
      </c>
      <c r="K7985" s="14" t="n">
        <f aca="false">I7985*J7985</f>
        <v>7770</v>
      </c>
      <c r="L7985" s="14" t="n">
        <f aca="false">($L$2*M7985)/100</f>
        <v>348483.285</v>
      </c>
      <c r="M7985" s="15" t="n">
        <v>0.29</v>
      </c>
      <c r="N7985" s="9" t="s">
        <v>26</v>
      </c>
    </row>
    <row r="7986" customFormat="false" ht="14.25" hidden="false" customHeight="true" outlineLevel="0" collapsed="false">
      <c r="B7986" s="9" t="s">
        <v>32</v>
      </c>
      <c r="C7986" s="9" t="n">
        <v>1128299</v>
      </c>
      <c r="D7986" s="10" t="n">
        <v>44236</v>
      </c>
      <c r="E7986" s="9" t="s">
        <v>33</v>
      </c>
      <c r="F7986" s="9" t="s">
        <v>34</v>
      </c>
      <c r="G7986" s="9" t="s">
        <v>35</v>
      </c>
      <c r="H7986" s="11" t="s">
        <v>24</v>
      </c>
      <c r="I7986" s="12" t="n">
        <v>51</v>
      </c>
      <c r="J7986" s="13" t="n">
        <v>228</v>
      </c>
      <c r="K7986" s="14" t="n">
        <f aca="false">I7986*J7986</f>
        <v>11628</v>
      </c>
      <c r="L7986" s="14" t="n">
        <f aca="false">($L$2*M7986)/100</f>
        <v>564783.255</v>
      </c>
      <c r="M7986" s="15" t="n">
        <v>0.47</v>
      </c>
      <c r="N7986" s="9" t="s">
        <v>26</v>
      </c>
    </row>
    <row r="7987" customFormat="false" ht="14.25" hidden="false" customHeight="true" outlineLevel="0" collapsed="false">
      <c r="B7987" s="9" t="s">
        <v>32</v>
      </c>
      <c r="C7987" s="9" t="n">
        <v>1128299</v>
      </c>
      <c r="D7987" s="10" t="n">
        <v>44237</v>
      </c>
      <c r="E7987" s="9" t="s">
        <v>33</v>
      </c>
      <c r="F7987" s="9" t="s">
        <v>34</v>
      </c>
      <c r="G7987" s="9" t="s">
        <v>35</v>
      </c>
      <c r="H7987" s="11" t="s">
        <v>25</v>
      </c>
      <c r="I7987" s="12" t="n">
        <v>56</v>
      </c>
      <c r="J7987" s="13" t="n">
        <v>256</v>
      </c>
      <c r="K7987" s="14" t="n">
        <f aca="false">I7987*J7987</f>
        <v>14336</v>
      </c>
      <c r="L7987" s="14" t="n">
        <f aca="false">($L$2*M7987)/100</f>
        <v>180249.975</v>
      </c>
      <c r="M7987" s="15" t="n">
        <v>0.15</v>
      </c>
      <c r="N7987" s="9" t="s">
        <v>26</v>
      </c>
    </row>
    <row r="7988" customFormat="false" ht="14.25" hidden="false" customHeight="true" outlineLevel="0" collapsed="false">
      <c r="B7988" s="9" t="s">
        <v>32</v>
      </c>
      <c r="C7988" s="9" t="n">
        <v>1128299</v>
      </c>
      <c r="D7988" s="10" t="n">
        <v>44238</v>
      </c>
      <c r="E7988" s="9" t="s">
        <v>33</v>
      </c>
      <c r="F7988" s="9" t="s">
        <v>34</v>
      </c>
      <c r="G7988" s="9" t="s">
        <v>35</v>
      </c>
      <c r="H7988" s="11" t="s">
        <v>19</v>
      </c>
      <c r="I7988" s="12" t="n">
        <v>40</v>
      </c>
      <c r="J7988" s="13" t="n">
        <v>322</v>
      </c>
      <c r="K7988" s="14" t="n">
        <f aca="false">I7988*J7988</f>
        <v>12880</v>
      </c>
      <c r="L7988" s="14" t="n">
        <f aca="false">($L$2*M7988)/100</f>
        <v>396549.945</v>
      </c>
      <c r="M7988" s="15" t="n">
        <v>0.33</v>
      </c>
      <c r="N7988" s="9" t="s">
        <v>26</v>
      </c>
    </row>
    <row r="7989" customFormat="false" ht="14.25" hidden="false" customHeight="true" outlineLevel="0" collapsed="false">
      <c r="B7989" s="9" t="s">
        <v>32</v>
      </c>
      <c r="C7989" s="9" t="n">
        <v>1128299</v>
      </c>
      <c r="D7989" s="10" t="n">
        <v>44239</v>
      </c>
      <c r="E7989" s="9" t="s">
        <v>33</v>
      </c>
      <c r="F7989" s="9" t="s">
        <v>34</v>
      </c>
      <c r="G7989" s="9" t="s">
        <v>35</v>
      </c>
      <c r="H7989" s="11" t="s">
        <v>21</v>
      </c>
      <c r="I7989" s="12" t="n">
        <v>46</v>
      </c>
      <c r="J7989" s="13" t="n">
        <v>332</v>
      </c>
      <c r="K7989" s="14" t="n">
        <f aca="false">I7989*J7989</f>
        <v>15272</v>
      </c>
      <c r="L7989" s="14" t="n">
        <f aca="false">($L$2*M7989)/100</f>
        <v>252349.965</v>
      </c>
      <c r="M7989" s="15" t="n">
        <v>0.21</v>
      </c>
      <c r="N7989" s="9" t="s">
        <v>26</v>
      </c>
    </row>
    <row r="7990" customFormat="false" ht="14.25" hidden="false" customHeight="true" outlineLevel="0" collapsed="false">
      <c r="B7990" s="9" t="s">
        <v>32</v>
      </c>
      <c r="C7990" s="9" t="n">
        <v>1128299</v>
      </c>
      <c r="D7990" s="10" t="n">
        <v>44240</v>
      </c>
      <c r="E7990" s="9" t="s">
        <v>33</v>
      </c>
      <c r="F7990" s="9" t="s">
        <v>34</v>
      </c>
      <c r="G7990" s="9" t="s">
        <v>35</v>
      </c>
      <c r="H7990" s="11" t="s">
        <v>22</v>
      </c>
      <c r="I7990" s="12" t="n">
        <v>44</v>
      </c>
      <c r="J7990" s="13" t="n">
        <v>256</v>
      </c>
      <c r="K7990" s="14" t="n">
        <f aca="false">I7990*J7990</f>
        <v>11264</v>
      </c>
      <c r="L7990" s="14" t="n">
        <f aca="false">($L$2*M7990)/100</f>
        <v>396549.945</v>
      </c>
      <c r="M7990" s="15" t="n">
        <v>0.33</v>
      </c>
      <c r="N7990" s="9" t="s">
        <v>26</v>
      </c>
    </row>
    <row r="7991" customFormat="false" ht="14.25" hidden="false" customHeight="true" outlineLevel="0" collapsed="false">
      <c r="B7991" s="9" t="s">
        <v>32</v>
      </c>
      <c r="C7991" s="9" t="n">
        <v>1128299</v>
      </c>
      <c r="D7991" s="10" t="n">
        <v>44241</v>
      </c>
      <c r="E7991" s="9" t="s">
        <v>33</v>
      </c>
      <c r="F7991" s="9" t="s">
        <v>34</v>
      </c>
      <c r="G7991" s="9" t="s">
        <v>35</v>
      </c>
      <c r="H7991" s="11" t="s">
        <v>23</v>
      </c>
      <c r="I7991" s="12" t="n">
        <v>40</v>
      </c>
      <c r="J7991" s="13" t="n">
        <v>271</v>
      </c>
      <c r="K7991" s="14" t="n">
        <f aca="false">I7991*J7991</f>
        <v>10840</v>
      </c>
      <c r="L7991" s="14" t="n">
        <f aca="false">($L$2*M7991)/100</f>
        <v>360499.95</v>
      </c>
      <c r="M7991" s="15" t="n">
        <v>0.3</v>
      </c>
      <c r="N7991" s="9" t="s">
        <v>26</v>
      </c>
    </row>
    <row r="7992" customFormat="false" ht="14.25" hidden="false" customHeight="true" outlineLevel="0" collapsed="false">
      <c r="B7992" s="9" t="s">
        <v>32</v>
      </c>
      <c r="C7992" s="9" t="n">
        <v>1128299</v>
      </c>
      <c r="D7992" s="10" t="n">
        <v>44242</v>
      </c>
      <c r="E7992" s="9" t="s">
        <v>33</v>
      </c>
      <c r="F7992" s="9" t="s">
        <v>34</v>
      </c>
      <c r="G7992" s="9" t="s">
        <v>35</v>
      </c>
      <c r="H7992" s="11" t="s">
        <v>24</v>
      </c>
      <c r="I7992" s="12" t="n">
        <v>43</v>
      </c>
      <c r="J7992" s="13" t="n">
        <v>245</v>
      </c>
      <c r="K7992" s="14" t="n">
        <f aca="false">I7992*J7992</f>
        <v>10535</v>
      </c>
      <c r="L7992" s="14" t="n">
        <f aca="false">($L$2*M7992)/100</f>
        <v>624866.58</v>
      </c>
      <c r="M7992" s="15" t="n">
        <v>0.52</v>
      </c>
      <c r="N7992" s="9" t="s">
        <v>26</v>
      </c>
    </row>
    <row r="7993" customFormat="false" ht="14.25" hidden="false" customHeight="true" outlineLevel="0" collapsed="false">
      <c r="B7993" s="9" t="s">
        <v>32</v>
      </c>
      <c r="C7993" s="9" t="n">
        <v>1128299</v>
      </c>
      <c r="D7993" s="10" t="n">
        <v>44243</v>
      </c>
      <c r="E7993" s="9" t="s">
        <v>33</v>
      </c>
      <c r="F7993" s="9" t="s">
        <v>34</v>
      </c>
      <c r="G7993" s="9" t="s">
        <v>35</v>
      </c>
      <c r="H7993" s="11" t="s">
        <v>25</v>
      </c>
      <c r="I7993" s="12" t="n">
        <v>50</v>
      </c>
      <c r="J7993" s="13" t="n">
        <v>256</v>
      </c>
      <c r="K7993" s="14" t="n">
        <f aca="false">I7993*J7993</f>
        <v>12800</v>
      </c>
      <c r="L7993" s="14" t="n">
        <f aca="false">($L$2*M7993)/100</f>
        <v>204283.305</v>
      </c>
      <c r="M7993" s="15" t="n">
        <v>0.17</v>
      </c>
      <c r="N7993" s="9" t="s">
        <v>26</v>
      </c>
    </row>
    <row r="7994" customFormat="false" ht="14.25" hidden="false" customHeight="true" outlineLevel="0" collapsed="false">
      <c r="B7994" s="9" t="s">
        <v>36</v>
      </c>
      <c r="C7994" s="9" t="n">
        <v>1189833</v>
      </c>
      <c r="D7994" s="10" t="n">
        <v>44244</v>
      </c>
      <c r="E7994" s="9" t="s">
        <v>33</v>
      </c>
      <c r="F7994" s="9" t="s">
        <v>34</v>
      </c>
      <c r="G7994" s="9" t="s">
        <v>35</v>
      </c>
      <c r="H7994" s="11" t="s">
        <v>19</v>
      </c>
      <c r="I7994" s="12" t="n">
        <v>26</v>
      </c>
      <c r="J7994" s="13" t="n">
        <v>224</v>
      </c>
      <c r="K7994" s="14" t="n">
        <f aca="false">I7994*J7994</f>
        <v>5824</v>
      </c>
      <c r="L7994" s="14" t="n">
        <f aca="false">($L$2*M7994)/100</f>
        <v>516716.595</v>
      </c>
      <c r="M7994" s="15" t="n">
        <v>0.43</v>
      </c>
      <c r="N7994" s="9" t="s">
        <v>26</v>
      </c>
    </row>
    <row r="7995" customFormat="false" ht="14.25" hidden="false" customHeight="true" outlineLevel="0" collapsed="false">
      <c r="B7995" s="9" t="s">
        <v>36</v>
      </c>
      <c r="C7995" s="9" t="n">
        <v>1189833</v>
      </c>
      <c r="D7995" s="10" t="n">
        <v>44245</v>
      </c>
      <c r="E7995" s="9" t="s">
        <v>33</v>
      </c>
      <c r="F7995" s="9" t="s">
        <v>34</v>
      </c>
      <c r="G7995" s="9" t="s">
        <v>35</v>
      </c>
      <c r="H7995" s="11" t="s">
        <v>21</v>
      </c>
      <c r="I7995" s="12" t="n">
        <v>35</v>
      </c>
      <c r="J7995" s="13" t="n">
        <v>224</v>
      </c>
      <c r="K7995" s="14" t="n">
        <f aca="false">I7995*J7995</f>
        <v>7840</v>
      </c>
      <c r="L7995" s="14" t="n">
        <f aca="false">($L$2*M7995)/100</f>
        <v>360499.95</v>
      </c>
      <c r="M7995" s="15" t="n">
        <v>0.3</v>
      </c>
      <c r="N7995" s="9" t="s">
        <v>26</v>
      </c>
    </row>
    <row r="7996" customFormat="false" ht="14.25" hidden="false" customHeight="true" outlineLevel="0" collapsed="false">
      <c r="B7996" s="9" t="s">
        <v>36</v>
      </c>
      <c r="C7996" s="9" t="n">
        <v>1189833</v>
      </c>
      <c r="D7996" s="10" t="n">
        <v>44264</v>
      </c>
      <c r="E7996" s="9" t="s">
        <v>33</v>
      </c>
      <c r="F7996" s="9" t="s">
        <v>34</v>
      </c>
      <c r="G7996" s="9" t="s">
        <v>35</v>
      </c>
      <c r="H7996" s="11" t="s">
        <v>22</v>
      </c>
      <c r="I7996" s="12" t="n">
        <v>36</v>
      </c>
      <c r="J7996" s="13" t="n">
        <v>217</v>
      </c>
      <c r="K7996" s="14" t="n">
        <f aca="false">I7996*J7996</f>
        <v>7812</v>
      </c>
      <c r="L7996" s="14" t="n">
        <f aca="false">($L$2*M7996)/100</f>
        <v>504699.93</v>
      </c>
      <c r="M7996" s="15" t="n">
        <v>0.42</v>
      </c>
      <c r="N7996" s="9" t="s">
        <v>26</v>
      </c>
    </row>
    <row r="7997" customFormat="false" ht="14.25" hidden="false" customHeight="true" outlineLevel="0" collapsed="false">
      <c r="B7997" s="9" t="s">
        <v>36</v>
      </c>
      <c r="C7997" s="9" t="n">
        <v>1189833</v>
      </c>
      <c r="D7997" s="10" t="n">
        <v>44265</v>
      </c>
      <c r="E7997" s="9" t="s">
        <v>33</v>
      </c>
      <c r="F7997" s="9" t="s">
        <v>34</v>
      </c>
      <c r="G7997" s="9" t="s">
        <v>35</v>
      </c>
      <c r="H7997" s="11" t="s">
        <v>23</v>
      </c>
      <c r="I7997" s="12" t="n">
        <v>33</v>
      </c>
      <c r="J7997" s="13" t="n">
        <v>182</v>
      </c>
      <c r="K7997" s="14" t="n">
        <f aca="false">I7997*J7997</f>
        <v>6006</v>
      </c>
      <c r="L7997" s="14" t="n">
        <f aca="false">($L$2*M7997)/100</f>
        <v>456633.27</v>
      </c>
      <c r="M7997" s="15" t="n">
        <v>0.38</v>
      </c>
      <c r="N7997" s="9" t="s">
        <v>26</v>
      </c>
    </row>
    <row r="7998" customFormat="false" ht="14.25" hidden="false" customHeight="true" outlineLevel="0" collapsed="false">
      <c r="B7998" s="9" t="s">
        <v>36</v>
      </c>
      <c r="C7998" s="9" t="n">
        <v>1189833</v>
      </c>
      <c r="D7998" s="10" t="n">
        <v>44266</v>
      </c>
      <c r="E7998" s="9" t="s">
        <v>33</v>
      </c>
      <c r="F7998" s="9" t="s">
        <v>34</v>
      </c>
      <c r="G7998" s="9" t="s">
        <v>37</v>
      </c>
      <c r="H7998" s="11" t="s">
        <v>24</v>
      </c>
      <c r="I7998" s="12" t="n">
        <v>36</v>
      </c>
      <c r="J7998" s="13" t="n">
        <v>155</v>
      </c>
      <c r="K7998" s="14" t="n">
        <f aca="false">I7998*J7998</f>
        <v>5580</v>
      </c>
      <c r="L7998" s="14" t="n">
        <f aca="false">($L$2*M7998)/100</f>
        <v>708983.235</v>
      </c>
      <c r="M7998" s="15" t="n">
        <v>0.59</v>
      </c>
      <c r="N7998" s="9" t="s">
        <v>26</v>
      </c>
    </row>
    <row r="7999" customFormat="false" ht="14.25" hidden="false" customHeight="true" outlineLevel="0" collapsed="false">
      <c r="B7999" s="9" t="s">
        <v>36</v>
      </c>
      <c r="C7999" s="9" t="n">
        <v>1189833</v>
      </c>
      <c r="D7999" s="10" t="n">
        <v>44267</v>
      </c>
      <c r="E7999" s="9" t="s">
        <v>33</v>
      </c>
      <c r="F7999" s="9" t="s">
        <v>34</v>
      </c>
      <c r="G7999" s="9" t="s">
        <v>37</v>
      </c>
      <c r="H7999" s="11" t="s">
        <v>25</v>
      </c>
      <c r="I7999" s="12" t="n">
        <v>29</v>
      </c>
      <c r="J7999" s="13" t="n">
        <v>210</v>
      </c>
      <c r="K7999" s="14" t="n">
        <f aca="false">I7999*J7999</f>
        <v>6090</v>
      </c>
      <c r="L7999" s="14" t="n">
        <f aca="false">($L$2*M7999)/100</f>
        <v>276383.295</v>
      </c>
      <c r="M7999" s="15" t="n">
        <v>0.23</v>
      </c>
      <c r="N7999" s="9" t="s">
        <v>26</v>
      </c>
    </row>
    <row r="8000" customFormat="false" ht="14.25" hidden="false" customHeight="true" outlineLevel="0" collapsed="false">
      <c r="B8000" s="9" t="s">
        <v>36</v>
      </c>
      <c r="C8000" s="9" t="n">
        <v>1189833</v>
      </c>
      <c r="D8000" s="10" t="n">
        <v>44268</v>
      </c>
      <c r="E8000" s="9" t="s">
        <v>33</v>
      </c>
      <c r="F8000" s="9" t="s">
        <v>34</v>
      </c>
      <c r="G8000" s="9" t="s">
        <v>37</v>
      </c>
      <c r="H8000" s="11" t="s">
        <v>19</v>
      </c>
      <c r="I8000" s="12" t="n">
        <v>28</v>
      </c>
      <c r="J8000" s="13" t="n">
        <v>240</v>
      </c>
      <c r="K8000" s="14" t="n">
        <f aca="false">I8000*J8000</f>
        <v>6720</v>
      </c>
      <c r="L8000" s="14" t="n">
        <f aca="false">($L$2*M8000)/100</f>
        <v>552766.59</v>
      </c>
      <c r="M8000" s="15" t="n">
        <v>0.46</v>
      </c>
      <c r="N8000" s="9" t="s">
        <v>26</v>
      </c>
    </row>
    <row r="8001" customFormat="false" ht="14.25" hidden="false" customHeight="true" outlineLevel="0" collapsed="false">
      <c r="B8001" s="9" t="s">
        <v>36</v>
      </c>
      <c r="C8001" s="9" t="n">
        <v>1189833</v>
      </c>
      <c r="D8001" s="10" t="n">
        <v>44269</v>
      </c>
      <c r="E8001" s="9" t="s">
        <v>33</v>
      </c>
      <c r="F8001" s="9" t="s">
        <v>34</v>
      </c>
      <c r="G8001" s="9" t="s">
        <v>37</v>
      </c>
      <c r="H8001" s="11" t="s">
        <v>21</v>
      </c>
      <c r="I8001" s="12" t="n">
        <v>30</v>
      </c>
      <c r="J8001" s="13" t="n">
        <v>215</v>
      </c>
      <c r="K8001" s="14" t="n">
        <f aca="false">I8001*J8001</f>
        <v>6450</v>
      </c>
      <c r="L8001" s="14" t="n">
        <f aca="false">($L$2*M8001)/100</f>
        <v>372516.615</v>
      </c>
      <c r="M8001" s="15" t="n">
        <v>0.31</v>
      </c>
      <c r="N8001" s="9" t="s">
        <v>26</v>
      </c>
    </row>
    <row r="8002" customFormat="false" ht="14.25" hidden="false" customHeight="true" outlineLevel="0" collapsed="false">
      <c r="B8002" s="9" t="s">
        <v>36</v>
      </c>
      <c r="C8002" s="9" t="n">
        <v>1189833</v>
      </c>
      <c r="D8002" s="10" t="n">
        <v>44270</v>
      </c>
      <c r="E8002" s="9" t="s">
        <v>33</v>
      </c>
      <c r="F8002" s="9" t="s">
        <v>34</v>
      </c>
      <c r="G8002" s="9" t="s">
        <v>37</v>
      </c>
      <c r="H8002" s="11" t="s">
        <v>22</v>
      </c>
      <c r="I8002" s="12" t="n">
        <v>33</v>
      </c>
      <c r="J8002" s="13" t="n">
        <v>223</v>
      </c>
      <c r="K8002" s="14" t="n">
        <f aca="false">I8002*J8002</f>
        <v>7359</v>
      </c>
      <c r="L8002" s="14" t="n">
        <f aca="false">($L$2*M8002)/100</f>
        <v>504699.93</v>
      </c>
      <c r="M8002" s="15" t="n">
        <v>0.42</v>
      </c>
      <c r="N8002" s="9" t="s">
        <v>26</v>
      </c>
    </row>
    <row r="8003" customFormat="false" ht="14.25" hidden="false" customHeight="true" outlineLevel="0" collapsed="false">
      <c r="B8003" s="9" t="s">
        <v>36</v>
      </c>
      <c r="C8003" s="9" t="n">
        <v>1189833</v>
      </c>
      <c r="D8003" s="10" t="n">
        <v>44271</v>
      </c>
      <c r="E8003" s="9" t="s">
        <v>33</v>
      </c>
      <c r="F8003" s="9" t="s">
        <v>34</v>
      </c>
      <c r="G8003" s="9" t="s">
        <v>37</v>
      </c>
      <c r="H8003" s="11" t="s">
        <v>23</v>
      </c>
      <c r="I8003" s="12" t="n">
        <v>34</v>
      </c>
      <c r="J8003" s="13" t="n">
        <v>179</v>
      </c>
      <c r="K8003" s="14" t="n">
        <f aca="false">I8003*J8003</f>
        <v>6086</v>
      </c>
      <c r="L8003" s="14" t="n">
        <f aca="false">($L$2*M8003)/100</f>
        <v>492683.265</v>
      </c>
      <c r="M8003" s="15" t="n">
        <v>0.41</v>
      </c>
      <c r="N8003" s="9" t="s">
        <v>26</v>
      </c>
    </row>
    <row r="8004" customFormat="false" ht="14.25" hidden="false" customHeight="true" outlineLevel="0" collapsed="false">
      <c r="B8004" s="9" t="s">
        <v>36</v>
      </c>
      <c r="C8004" s="9" t="n">
        <v>1189833</v>
      </c>
      <c r="D8004" s="10" t="n">
        <v>44272</v>
      </c>
      <c r="E8004" s="9" t="s">
        <v>33</v>
      </c>
      <c r="F8004" s="9" t="s">
        <v>34</v>
      </c>
      <c r="G8004" s="9" t="s">
        <v>37</v>
      </c>
      <c r="H8004" s="11" t="s">
        <v>24</v>
      </c>
      <c r="I8004" s="12" t="n">
        <v>40</v>
      </c>
      <c r="J8004" s="13" t="n">
        <v>140</v>
      </c>
      <c r="K8004" s="14" t="n">
        <f aca="false">I8004*J8004</f>
        <v>5600</v>
      </c>
      <c r="L8004" s="14" t="n">
        <f aca="false">($L$2*M8004)/100</f>
        <v>684949.905</v>
      </c>
      <c r="M8004" s="15" t="n">
        <v>0.57</v>
      </c>
      <c r="N8004" s="9" t="s">
        <v>26</v>
      </c>
    </row>
    <row r="8005" customFormat="false" ht="14.25" hidden="false" customHeight="true" outlineLevel="0" collapsed="false">
      <c r="B8005" s="9" t="s">
        <v>36</v>
      </c>
      <c r="C8005" s="9" t="n">
        <v>1189833</v>
      </c>
      <c r="D8005" s="10" t="n">
        <v>44273</v>
      </c>
      <c r="E8005" s="9" t="s">
        <v>33</v>
      </c>
      <c r="F8005" s="9" t="s">
        <v>34</v>
      </c>
      <c r="G8005" s="9" t="s">
        <v>37</v>
      </c>
      <c r="H8005" s="11" t="s">
        <v>25</v>
      </c>
      <c r="I8005" s="12" t="n">
        <v>32</v>
      </c>
      <c r="J8005" s="13" t="n">
        <v>208</v>
      </c>
      <c r="K8005" s="14" t="n">
        <f aca="false">I8005*J8005</f>
        <v>6656</v>
      </c>
      <c r="L8005" s="14" t="n">
        <f aca="false">($L$2*M8005)/100</f>
        <v>312433.29</v>
      </c>
      <c r="M8005" s="15" t="n">
        <v>0.26</v>
      </c>
      <c r="N8005" s="9" t="s">
        <v>26</v>
      </c>
    </row>
    <row r="8006" customFormat="false" ht="14.25" hidden="false" customHeight="true" outlineLevel="0" collapsed="false">
      <c r="B8006" s="9" t="s">
        <v>36</v>
      </c>
      <c r="C8006" s="9" t="n">
        <v>1189833</v>
      </c>
      <c r="D8006" s="10" t="n">
        <v>44274</v>
      </c>
      <c r="E8006" s="9" t="s">
        <v>33</v>
      </c>
      <c r="F8006" s="9" t="s">
        <v>34</v>
      </c>
      <c r="G8006" s="9" t="s">
        <v>37</v>
      </c>
      <c r="H8006" s="11" t="s">
        <v>19</v>
      </c>
      <c r="I8006" s="12" t="n">
        <v>24</v>
      </c>
      <c r="J8006" s="13" t="n">
        <v>264</v>
      </c>
      <c r="K8006" s="14" t="n">
        <f aca="false">I8006*J8006</f>
        <v>6336</v>
      </c>
      <c r="L8006" s="14" t="n">
        <f aca="false">($L$2*M8006)/100</f>
        <v>528733.26</v>
      </c>
      <c r="M8006" s="15" t="n">
        <v>0.44</v>
      </c>
      <c r="N8006" s="9" t="s">
        <v>26</v>
      </c>
    </row>
    <row r="8007" customFormat="false" ht="14.25" hidden="false" customHeight="true" outlineLevel="0" collapsed="false">
      <c r="B8007" s="9" t="s">
        <v>36</v>
      </c>
      <c r="C8007" s="9" t="n">
        <v>1189833</v>
      </c>
      <c r="D8007" s="10" t="n">
        <v>44275</v>
      </c>
      <c r="E8007" s="9" t="s">
        <v>33</v>
      </c>
      <c r="F8007" s="9" t="s">
        <v>34</v>
      </c>
      <c r="G8007" s="9" t="s">
        <v>37</v>
      </c>
      <c r="H8007" s="11" t="s">
        <v>21</v>
      </c>
      <c r="I8007" s="12" t="n">
        <v>36</v>
      </c>
      <c r="J8007" s="13" t="n">
        <v>228</v>
      </c>
      <c r="K8007" s="14" t="n">
        <f aca="false">I8007*J8007</f>
        <v>8208</v>
      </c>
      <c r="L8007" s="14" t="n">
        <f aca="false">($L$2*M8007)/100</f>
        <v>336466.62</v>
      </c>
      <c r="M8007" s="15" t="n">
        <v>0.28</v>
      </c>
      <c r="N8007" s="9" t="s">
        <v>26</v>
      </c>
    </row>
    <row r="8008" customFormat="false" ht="14.25" hidden="false" customHeight="true" outlineLevel="0" collapsed="false">
      <c r="B8008" s="9" t="s">
        <v>36</v>
      </c>
      <c r="C8008" s="9" t="n">
        <v>1189833</v>
      </c>
      <c r="D8008" s="10" t="n">
        <v>44276</v>
      </c>
      <c r="E8008" s="9" t="s">
        <v>33</v>
      </c>
      <c r="F8008" s="9" t="s">
        <v>34</v>
      </c>
      <c r="G8008" s="9" t="s">
        <v>37</v>
      </c>
      <c r="H8008" s="11" t="s">
        <v>22</v>
      </c>
      <c r="I8008" s="12" t="n">
        <v>33</v>
      </c>
      <c r="J8008" s="13" t="n">
        <v>221</v>
      </c>
      <c r="K8008" s="14" t="n">
        <f aca="false">I8008*J8008</f>
        <v>7293</v>
      </c>
      <c r="L8008" s="14" t="n">
        <f aca="false">($L$2*M8008)/100</f>
        <v>552766.59</v>
      </c>
      <c r="M8008" s="15" t="n">
        <v>0.46</v>
      </c>
      <c r="N8008" s="9" t="s">
        <v>26</v>
      </c>
    </row>
    <row r="8009" customFormat="false" ht="14.25" hidden="false" customHeight="true" outlineLevel="0" collapsed="false">
      <c r="B8009" s="9" t="s">
        <v>36</v>
      </c>
      <c r="C8009" s="9" t="n">
        <v>1189833</v>
      </c>
      <c r="D8009" s="10" t="n">
        <v>44277</v>
      </c>
      <c r="E8009" s="9" t="s">
        <v>33</v>
      </c>
      <c r="F8009" s="9" t="s">
        <v>34</v>
      </c>
      <c r="G8009" s="9" t="s">
        <v>37</v>
      </c>
      <c r="H8009" s="11" t="s">
        <v>23</v>
      </c>
      <c r="I8009" s="12" t="n">
        <v>36</v>
      </c>
      <c r="J8009" s="13" t="n">
        <v>176</v>
      </c>
      <c r="K8009" s="14" t="n">
        <f aca="false">I8009*J8009</f>
        <v>6336</v>
      </c>
      <c r="L8009" s="14" t="n">
        <f aca="false">($L$2*M8009)/100</f>
        <v>468649.935</v>
      </c>
      <c r="M8009" s="15" t="n">
        <v>0.39</v>
      </c>
      <c r="N8009" s="9" t="s">
        <v>26</v>
      </c>
    </row>
    <row r="8010" customFormat="false" ht="14.25" hidden="false" customHeight="true" outlineLevel="0" collapsed="false">
      <c r="B8010" s="9" t="s">
        <v>36</v>
      </c>
      <c r="C8010" s="9" t="n">
        <v>1189833</v>
      </c>
      <c r="D8010" s="10" t="n">
        <v>44278</v>
      </c>
      <c r="E8010" s="9" t="s">
        <v>33</v>
      </c>
      <c r="F8010" s="9" t="s">
        <v>34</v>
      </c>
      <c r="G8010" s="9" t="s">
        <v>37</v>
      </c>
      <c r="H8010" s="11" t="s">
        <v>24</v>
      </c>
      <c r="I8010" s="12" t="n">
        <v>36</v>
      </c>
      <c r="J8010" s="13" t="n">
        <v>128</v>
      </c>
      <c r="K8010" s="14" t="n">
        <f aca="false">I8010*J8010</f>
        <v>4608</v>
      </c>
      <c r="L8010" s="14" t="n">
        <f aca="false">($L$2*M8010)/100</f>
        <v>708983.235</v>
      </c>
      <c r="M8010" s="15" t="n">
        <v>0.59</v>
      </c>
      <c r="N8010" s="9" t="s">
        <v>26</v>
      </c>
    </row>
    <row r="8011" customFormat="false" ht="14.25" hidden="false" customHeight="true" outlineLevel="0" collapsed="false">
      <c r="B8011" s="9" t="s">
        <v>36</v>
      </c>
      <c r="C8011" s="9" t="n">
        <v>1189833</v>
      </c>
      <c r="D8011" s="10" t="n">
        <v>44292</v>
      </c>
      <c r="E8011" s="9" t="s">
        <v>33</v>
      </c>
      <c r="F8011" s="9" t="s">
        <v>34</v>
      </c>
      <c r="G8011" s="9" t="s">
        <v>37</v>
      </c>
      <c r="H8011" s="11" t="s">
        <v>25</v>
      </c>
      <c r="I8011" s="12" t="n">
        <v>33</v>
      </c>
      <c r="J8011" s="13" t="n">
        <v>194</v>
      </c>
      <c r="K8011" s="14" t="n">
        <f aca="false">I8011*J8011</f>
        <v>6402</v>
      </c>
      <c r="L8011" s="14" t="n">
        <f aca="false">($L$2*M8011)/100</f>
        <v>276383.295</v>
      </c>
      <c r="M8011" s="15" t="n">
        <v>0.23</v>
      </c>
      <c r="N8011" s="9" t="s">
        <v>26</v>
      </c>
    </row>
    <row r="8012" customFormat="false" ht="14.25" hidden="false" customHeight="true" outlineLevel="0" collapsed="false">
      <c r="B8012" s="9" t="s">
        <v>36</v>
      </c>
      <c r="C8012" s="9" t="n">
        <v>1189833</v>
      </c>
      <c r="D8012" s="10" t="n">
        <v>44293</v>
      </c>
      <c r="E8012" s="9" t="s">
        <v>33</v>
      </c>
      <c r="F8012" s="9" t="s">
        <v>34</v>
      </c>
      <c r="G8012" s="9" t="s">
        <v>37</v>
      </c>
      <c r="H8012" s="11" t="s">
        <v>19</v>
      </c>
      <c r="I8012" s="12" t="n">
        <v>31</v>
      </c>
      <c r="J8012" s="13" t="n">
        <v>248</v>
      </c>
      <c r="K8012" s="14" t="n">
        <f aca="false">I8012*J8012</f>
        <v>7688</v>
      </c>
      <c r="L8012" s="14" t="n">
        <f aca="false">($L$2*M8012)/100</f>
        <v>552766.59</v>
      </c>
      <c r="M8012" s="15" t="n">
        <v>0.46</v>
      </c>
      <c r="N8012" s="9" t="s">
        <v>26</v>
      </c>
    </row>
    <row r="8013" customFormat="false" ht="14.25" hidden="false" customHeight="true" outlineLevel="0" collapsed="false">
      <c r="B8013" s="9" t="s">
        <v>36</v>
      </c>
      <c r="C8013" s="9" t="n">
        <v>1189833</v>
      </c>
      <c r="D8013" s="10" t="n">
        <v>44294</v>
      </c>
      <c r="E8013" s="9" t="s">
        <v>33</v>
      </c>
      <c r="F8013" s="9" t="s">
        <v>34</v>
      </c>
      <c r="G8013" s="9" t="s">
        <v>37</v>
      </c>
      <c r="H8013" s="11" t="s">
        <v>21</v>
      </c>
      <c r="I8013" s="12" t="n">
        <v>34</v>
      </c>
      <c r="J8013" s="13" t="n">
        <v>210</v>
      </c>
      <c r="K8013" s="14" t="n">
        <f aca="false">I8013*J8013</f>
        <v>7140</v>
      </c>
      <c r="L8013" s="14" t="n">
        <f aca="false">($L$2*M8013)/100</f>
        <v>348483.285</v>
      </c>
      <c r="M8013" s="15" t="n">
        <v>0.29</v>
      </c>
      <c r="N8013" s="9" t="s">
        <v>26</v>
      </c>
    </row>
    <row r="8014" customFormat="false" ht="14.25" hidden="false" customHeight="true" outlineLevel="0" collapsed="false">
      <c r="B8014" s="9" t="s">
        <v>36</v>
      </c>
      <c r="C8014" s="9" t="n">
        <v>1189833</v>
      </c>
      <c r="D8014" s="10" t="n">
        <v>44295</v>
      </c>
      <c r="E8014" s="9" t="s">
        <v>33</v>
      </c>
      <c r="F8014" s="9" t="s">
        <v>34</v>
      </c>
      <c r="G8014" s="9" t="s">
        <v>37</v>
      </c>
      <c r="H8014" s="11" t="s">
        <v>22</v>
      </c>
      <c r="I8014" s="12" t="n">
        <v>38</v>
      </c>
      <c r="J8014" s="13" t="n">
        <v>206</v>
      </c>
      <c r="K8014" s="14" t="n">
        <f aca="false">I8014*J8014</f>
        <v>7828</v>
      </c>
      <c r="L8014" s="14" t="n">
        <f aca="false">($L$2*M8014)/100</f>
        <v>564783.255</v>
      </c>
      <c r="M8014" s="15" t="n">
        <v>0.47</v>
      </c>
      <c r="N8014" s="9" t="s">
        <v>26</v>
      </c>
    </row>
    <row r="8015" customFormat="false" ht="14.25" hidden="false" customHeight="true" outlineLevel="0" collapsed="false">
      <c r="B8015" s="9" t="s">
        <v>36</v>
      </c>
      <c r="C8015" s="9" t="n">
        <v>1189833</v>
      </c>
      <c r="D8015" s="10" t="n">
        <v>44296</v>
      </c>
      <c r="E8015" s="9" t="s">
        <v>33</v>
      </c>
      <c r="F8015" s="9" t="s">
        <v>34</v>
      </c>
      <c r="G8015" s="9" t="s">
        <v>37</v>
      </c>
      <c r="H8015" s="11" t="s">
        <v>23</v>
      </c>
      <c r="I8015" s="12" t="n">
        <v>31</v>
      </c>
      <c r="J8015" s="13" t="n">
        <v>173</v>
      </c>
      <c r="K8015" s="14" t="n">
        <f aca="false">I8015*J8015</f>
        <v>5363</v>
      </c>
      <c r="L8015" s="14" t="n">
        <f aca="false">($L$2*M8015)/100</f>
        <v>456633.27</v>
      </c>
      <c r="M8015" s="15" t="n">
        <v>0.38</v>
      </c>
      <c r="N8015" s="9" t="s">
        <v>26</v>
      </c>
    </row>
    <row r="8016" customFormat="false" ht="14.25" hidden="false" customHeight="true" outlineLevel="0" collapsed="false">
      <c r="B8016" s="9" t="s">
        <v>36</v>
      </c>
      <c r="C8016" s="9" t="n">
        <v>1189833</v>
      </c>
      <c r="D8016" s="10" t="n">
        <v>44297</v>
      </c>
      <c r="E8016" s="9" t="s">
        <v>33</v>
      </c>
      <c r="F8016" s="9" t="s">
        <v>34</v>
      </c>
      <c r="G8016" s="9" t="s">
        <v>37</v>
      </c>
      <c r="H8016" s="11" t="s">
        <v>24</v>
      </c>
      <c r="I8016" s="12" t="n">
        <v>38</v>
      </c>
      <c r="J8016" s="13" t="n">
        <v>149</v>
      </c>
      <c r="K8016" s="14" t="n">
        <f aca="false">I8016*J8016</f>
        <v>5662</v>
      </c>
      <c r="L8016" s="14" t="n">
        <f aca="false">($L$2*M8016)/100</f>
        <v>733016.565</v>
      </c>
      <c r="M8016" s="15" t="n">
        <v>0.61</v>
      </c>
      <c r="N8016" s="9" t="s">
        <v>26</v>
      </c>
    </row>
    <row r="8017" customFormat="false" ht="14.25" hidden="false" customHeight="true" outlineLevel="0" collapsed="false">
      <c r="B8017" s="9" t="s">
        <v>36</v>
      </c>
      <c r="C8017" s="9" t="n">
        <v>1189833</v>
      </c>
      <c r="D8017" s="10" t="n">
        <v>44298</v>
      </c>
      <c r="E8017" s="9" t="s">
        <v>33</v>
      </c>
      <c r="F8017" s="9" t="s">
        <v>34</v>
      </c>
      <c r="G8017" s="9" t="s">
        <v>37</v>
      </c>
      <c r="H8017" s="11" t="s">
        <v>25</v>
      </c>
      <c r="I8017" s="12" t="n">
        <v>49</v>
      </c>
      <c r="J8017" s="13" t="n">
        <v>198</v>
      </c>
      <c r="K8017" s="14" t="n">
        <f aca="false">I8017*J8017</f>
        <v>9702</v>
      </c>
      <c r="L8017" s="14" t="n">
        <f aca="false">($L$2*M8017)/100</f>
        <v>324449.955</v>
      </c>
      <c r="M8017" s="15" t="n">
        <v>0.27</v>
      </c>
      <c r="N8017" s="9" t="s">
        <v>26</v>
      </c>
    </row>
    <row r="8018" customFormat="false" ht="14.25" hidden="false" customHeight="true" outlineLevel="0" collapsed="false">
      <c r="B8018" s="9" t="s">
        <v>36</v>
      </c>
      <c r="C8018" s="9" t="n">
        <v>1189833</v>
      </c>
      <c r="D8018" s="10" t="n">
        <v>44299</v>
      </c>
      <c r="E8018" s="9" t="s">
        <v>33</v>
      </c>
      <c r="F8018" s="9" t="s">
        <v>34</v>
      </c>
      <c r="G8018" s="9" t="s">
        <v>37</v>
      </c>
      <c r="H8018" s="11" t="s">
        <v>19</v>
      </c>
      <c r="I8018" s="12" t="n">
        <v>32</v>
      </c>
      <c r="J8018" s="13" t="n">
        <v>240</v>
      </c>
      <c r="K8018" s="14" t="n">
        <f aca="false">I8018*J8018</f>
        <v>7680</v>
      </c>
      <c r="L8018" s="14" t="n">
        <f aca="false">($L$2*M8018)/100</f>
        <v>564783.255</v>
      </c>
      <c r="M8018" s="15" t="n">
        <v>0.47</v>
      </c>
      <c r="N8018" s="9" t="s">
        <v>26</v>
      </c>
    </row>
    <row r="8019" customFormat="false" ht="14.25" hidden="false" customHeight="true" outlineLevel="0" collapsed="false">
      <c r="B8019" s="9" t="s">
        <v>36</v>
      </c>
      <c r="C8019" s="9" t="n">
        <v>1189833</v>
      </c>
      <c r="D8019" s="10" t="n">
        <v>44300</v>
      </c>
      <c r="E8019" s="9" t="s">
        <v>33</v>
      </c>
      <c r="F8019" s="9" t="s">
        <v>34</v>
      </c>
      <c r="G8019" s="9" t="s">
        <v>37</v>
      </c>
      <c r="H8019" s="11" t="s">
        <v>21</v>
      </c>
      <c r="I8019" s="12" t="n">
        <v>34</v>
      </c>
      <c r="J8019" s="13" t="n">
        <v>221</v>
      </c>
      <c r="K8019" s="14" t="n">
        <f aca="false">I8019*J8019</f>
        <v>7514</v>
      </c>
      <c r="L8019" s="14" t="n">
        <f aca="false">($L$2*M8019)/100</f>
        <v>360499.95</v>
      </c>
      <c r="M8019" s="15" t="n">
        <v>0.3</v>
      </c>
      <c r="N8019" s="9" t="s">
        <v>26</v>
      </c>
    </row>
    <row r="8020" customFormat="false" ht="14.25" hidden="false" customHeight="true" outlineLevel="0" collapsed="false">
      <c r="B8020" s="9" t="s">
        <v>36</v>
      </c>
      <c r="C8020" s="9" t="n">
        <v>1189833</v>
      </c>
      <c r="D8020" s="10" t="n">
        <v>44301</v>
      </c>
      <c r="E8020" s="9" t="s">
        <v>33</v>
      </c>
      <c r="F8020" s="9" t="s">
        <v>34</v>
      </c>
      <c r="G8020" s="9" t="s">
        <v>37</v>
      </c>
      <c r="H8020" s="11" t="s">
        <v>22</v>
      </c>
      <c r="I8020" s="12" t="n">
        <v>36</v>
      </c>
      <c r="J8020" s="13" t="n">
        <v>215</v>
      </c>
      <c r="K8020" s="14" t="n">
        <f aca="false">I8020*J8020</f>
        <v>7740</v>
      </c>
      <c r="L8020" s="14" t="n">
        <f aca="false">($L$2*M8020)/100</f>
        <v>540749.925</v>
      </c>
      <c r="M8020" s="15" t="n">
        <v>0.45</v>
      </c>
      <c r="N8020" s="9" t="s">
        <v>26</v>
      </c>
    </row>
    <row r="8021" customFormat="false" ht="14.25" hidden="false" customHeight="true" outlineLevel="0" collapsed="false">
      <c r="B8021" s="9" t="s">
        <v>36</v>
      </c>
      <c r="C8021" s="9" t="n">
        <v>1189833</v>
      </c>
      <c r="D8021" s="10" t="n">
        <v>44302</v>
      </c>
      <c r="E8021" s="9" t="s">
        <v>33</v>
      </c>
      <c r="F8021" s="9" t="s">
        <v>34</v>
      </c>
      <c r="G8021" s="9" t="s">
        <v>37</v>
      </c>
      <c r="H8021" s="11" t="s">
        <v>23</v>
      </c>
      <c r="I8021" s="12" t="n">
        <v>33</v>
      </c>
      <c r="J8021" s="13" t="n">
        <v>193</v>
      </c>
      <c r="K8021" s="14" t="n">
        <f aca="false">I8021*J8021</f>
        <v>6369</v>
      </c>
      <c r="L8021" s="14" t="n">
        <f aca="false">($L$2*M8021)/100</f>
        <v>456633.27</v>
      </c>
      <c r="M8021" s="15" t="n">
        <v>0.38</v>
      </c>
      <c r="N8021" s="9" t="s">
        <v>26</v>
      </c>
    </row>
    <row r="8022" customFormat="false" ht="14.25" hidden="false" customHeight="true" outlineLevel="0" collapsed="false">
      <c r="B8022" s="9" t="s">
        <v>36</v>
      </c>
      <c r="C8022" s="9" t="n">
        <v>1189833</v>
      </c>
      <c r="D8022" s="10" t="n">
        <v>44303</v>
      </c>
      <c r="E8022" s="9" t="s">
        <v>33</v>
      </c>
      <c r="F8022" s="9" t="s">
        <v>34</v>
      </c>
      <c r="G8022" s="9" t="s">
        <v>37</v>
      </c>
      <c r="H8022" s="11" t="s">
        <v>24</v>
      </c>
      <c r="I8022" s="12" t="n">
        <v>38</v>
      </c>
      <c r="J8022" s="13" t="n">
        <v>140</v>
      </c>
      <c r="K8022" s="14" t="n">
        <f aca="false">I8022*J8022</f>
        <v>5320</v>
      </c>
      <c r="L8022" s="14" t="n">
        <f aca="false">($L$2*M8022)/100</f>
        <v>708983.235</v>
      </c>
      <c r="M8022" s="15" t="n">
        <v>0.59</v>
      </c>
      <c r="N8022" s="9" t="s">
        <v>26</v>
      </c>
    </row>
    <row r="8023" customFormat="false" ht="14.25" hidden="false" customHeight="true" outlineLevel="0" collapsed="false">
      <c r="B8023" s="9" t="s">
        <v>36</v>
      </c>
      <c r="C8023" s="9" t="n">
        <v>1189833</v>
      </c>
      <c r="D8023" s="10" t="n">
        <v>44304</v>
      </c>
      <c r="E8023" s="9" t="s">
        <v>33</v>
      </c>
      <c r="F8023" s="9" t="s">
        <v>34</v>
      </c>
      <c r="G8023" s="9" t="s">
        <v>37</v>
      </c>
      <c r="H8023" s="11" t="s">
        <v>25</v>
      </c>
      <c r="I8023" s="12" t="n">
        <v>43</v>
      </c>
      <c r="J8023" s="13" t="n">
        <v>206</v>
      </c>
      <c r="K8023" s="14" t="n">
        <f aca="false">I8023*J8023</f>
        <v>8858</v>
      </c>
      <c r="L8023" s="14" t="n">
        <f aca="false">($L$2*M8023)/100</f>
        <v>264366.63</v>
      </c>
      <c r="M8023" s="15" t="n">
        <v>0.22</v>
      </c>
      <c r="N8023" s="9" t="s">
        <v>26</v>
      </c>
    </row>
    <row r="8024" customFormat="false" ht="14.25" hidden="false" customHeight="true" outlineLevel="0" collapsed="false">
      <c r="B8024" s="9" t="s">
        <v>36</v>
      </c>
      <c r="C8024" s="9" t="n">
        <v>1189833</v>
      </c>
      <c r="D8024" s="10" t="n">
        <v>44305</v>
      </c>
      <c r="E8024" s="9" t="s">
        <v>33</v>
      </c>
      <c r="F8024" s="9" t="s">
        <v>34</v>
      </c>
      <c r="G8024" s="9" t="s">
        <v>37</v>
      </c>
      <c r="H8024" s="11" t="s">
        <v>19</v>
      </c>
      <c r="I8024" s="12" t="n">
        <v>36</v>
      </c>
      <c r="J8024" s="13" t="n">
        <v>297</v>
      </c>
      <c r="K8024" s="14" t="n">
        <f aca="false">I8024*J8024</f>
        <v>10692</v>
      </c>
      <c r="L8024" s="14" t="n">
        <f aca="false">($L$2*M8024)/100</f>
        <v>528733.26</v>
      </c>
      <c r="M8024" s="15" t="n">
        <v>0.44</v>
      </c>
      <c r="N8024" s="9" t="s">
        <v>26</v>
      </c>
    </row>
    <row r="8025" customFormat="false" ht="14.25" hidden="false" customHeight="true" outlineLevel="0" collapsed="false">
      <c r="B8025" s="9" t="s">
        <v>36</v>
      </c>
      <c r="C8025" s="9" t="n">
        <v>1189833</v>
      </c>
      <c r="D8025" s="10" t="n">
        <v>44306</v>
      </c>
      <c r="E8025" s="9" t="s">
        <v>33</v>
      </c>
      <c r="F8025" s="9" t="s">
        <v>34</v>
      </c>
      <c r="G8025" s="9" t="s">
        <v>37</v>
      </c>
      <c r="H8025" s="11" t="s">
        <v>21</v>
      </c>
      <c r="I8025" s="12" t="n">
        <v>35</v>
      </c>
      <c r="J8025" s="13" t="n">
        <v>225</v>
      </c>
      <c r="K8025" s="14" t="n">
        <f aca="false">I8025*J8025</f>
        <v>7875</v>
      </c>
      <c r="L8025" s="14" t="n">
        <f aca="false">($L$2*M8025)/100</f>
        <v>360499.95</v>
      </c>
      <c r="M8025" s="15" t="n">
        <v>0.3</v>
      </c>
      <c r="N8025" s="9" t="s">
        <v>26</v>
      </c>
    </row>
    <row r="8026" customFormat="false" ht="14.25" hidden="false" customHeight="true" outlineLevel="0" collapsed="false">
      <c r="B8026" s="9" t="s">
        <v>36</v>
      </c>
      <c r="C8026" s="9" t="n">
        <v>1189833</v>
      </c>
      <c r="D8026" s="10" t="n">
        <v>44307</v>
      </c>
      <c r="E8026" s="9" t="s">
        <v>33</v>
      </c>
      <c r="F8026" s="9" t="s">
        <v>34</v>
      </c>
      <c r="G8026" s="9" t="s">
        <v>37</v>
      </c>
      <c r="H8026" s="11" t="s">
        <v>22</v>
      </c>
      <c r="I8026" s="12" t="n">
        <v>35</v>
      </c>
      <c r="J8026" s="13" t="n">
        <v>233</v>
      </c>
      <c r="K8026" s="14" t="n">
        <f aca="false">I8026*J8026</f>
        <v>8155</v>
      </c>
      <c r="L8026" s="14" t="n">
        <f aca="false">($L$2*M8026)/100</f>
        <v>504699.93</v>
      </c>
      <c r="M8026" s="15" t="n">
        <v>0.42</v>
      </c>
      <c r="N8026" s="9" t="s">
        <v>26</v>
      </c>
    </row>
    <row r="8027" customFormat="false" ht="14.25" hidden="false" customHeight="true" outlineLevel="0" collapsed="false">
      <c r="B8027" s="9" t="s">
        <v>36</v>
      </c>
      <c r="C8027" s="9" t="n">
        <v>1189833</v>
      </c>
      <c r="D8027" s="10" t="n">
        <v>44308</v>
      </c>
      <c r="E8027" s="9" t="s">
        <v>33</v>
      </c>
      <c r="F8027" s="9" t="s">
        <v>34</v>
      </c>
      <c r="G8027" s="9" t="s">
        <v>37</v>
      </c>
      <c r="H8027" s="11" t="s">
        <v>23</v>
      </c>
      <c r="I8027" s="12" t="n">
        <v>32</v>
      </c>
      <c r="J8027" s="13" t="n">
        <v>194</v>
      </c>
      <c r="K8027" s="14" t="n">
        <f aca="false">I8027*J8027</f>
        <v>6208</v>
      </c>
      <c r="L8027" s="14" t="n">
        <f aca="false">($L$2*M8027)/100</f>
        <v>444616.605</v>
      </c>
      <c r="M8027" s="15" t="n">
        <v>0.37</v>
      </c>
      <c r="N8027" s="9" t="s">
        <v>26</v>
      </c>
    </row>
    <row r="8028" customFormat="false" ht="14.25" hidden="false" customHeight="true" outlineLevel="0" collapsed="false">
      <c r="B8028" s="9" t="s">
        <v>36</v>
      </c>
      <c r="C8028" s="9" t="n">
        <v>1189833</v>
      </c>
      <c r="D8028" s="10" t="n">
        <v>44309</v>
      </c>
      <c r="E8028" s="9" t="s">
        <v>33</v>
      </c>
      <c r="F8028" s="9" t="s">
        <v>34</v>
      </c>
      <c r="G8028" s="9" t="s">
        <v>37</v>
      </c>
      <c r="H8028" s="11" t="s">
        <v>24</v>
      </c>
      <c r="I8028" s="12" t="n">
        <v>39</v>
      </c>
      <c r="J8028" s="13" t="n">
        <v>165</v>
      </c>
      <c r="K8028" s="14" t="n">
        <f aca="false">I8028*J8028</f>
        <v>6435</v>
      </c>
      <c r="L8028" s="14" t="n">
        <f aca="false">($L$2*M8028)/100</f>
        <v>720999.9</v>
      </c>
      <c r="M8028" s="15" t="n">
        <v>0.6</v>
      </c>
      <c r="N8028" s="9" t="s">
        <v>26</v>
      </c>
    </row>
    <row r="8029" customFormat="false" ht="14.25" hidden="false" customHeight="true" outlineLevel="0" collapsed="false">
      <c r="B8029" s="9" t="s">
        <v>36</v>
      </c>
      <c r="C8029" s="9" t="n">
        <v>1189833</v>
      </c>
      <c r="D8029" s="10" t="n">
        <v>44310</v>
      </c>
      <c r="E8029" s="9" t="s">
        <v>33</v>
      </c>
      <c r="F8029" s="9" t="s">
        <v>34</v>
      </c>
      <c r="G8029" s="9" t="s">
        <v>37</v>
      </c>
      <c r="H8029" s="11" t="s">
        <v>25</v>
      </c>
      <c r="I8029" s="12" t="n">
        <v>48</v>
      </c>
      <c r="J8029" s="13" t="n">
        <v>264</v>
      </c>
      <c r="K8029" s="14" t="n">
        <f aca="false">I8029*J8029</f>
        <v>12672</v>
      </c>
      <c r="L8029" s="14" t="n">
        <f aca="false">($L$2*M8029)/100</f>
        <v>264366.63</v>
      </c>
      <c r="M8029" s="15" t="n">
        <v>0.22</v>
      </c>
      <c r="N8029" s="9" t="s">
        <v>26</v>
      </c>
    </row>
    <row r="8030" customFormat="false" ht="14.25" hidden="false" customHeight="true" outlineLevel="0" collapsed="false">
      <c r="B8030" s="9" t="s">
        <v>36</v>
      </c>
      <c r="C8030" s="9" t="n">
        <v>1189833</v>
      </c>
      <c r="D8030" s="10" t="n">
        <v>44311</v>
      </c>
      <c r="E8030" s="9" t="s">
        <v>33</v>
      </c>
      <c r="F8030" s="9" t="s">
        <v>34</v>
      </c>
      <c r="G8030" s="9" t="s">
        <v>37</v>
      </c>
      <c r="H8030" s="11" t="s">
        <v>19</v>
      </c>
      <c r="I8030" s="12" t="n">
        <v>30</v>
      </c>
      <c r="J8030" s="13" t="n">
        <v>285</v>
      </c>
      <c r="K8030" s="14" t="n">
        <f aca="false">I8030*J8030</f>
        <v>8550</v>
      </c>
      <c r="L8030" s="14" t="n">
        <f aca="false">($L$2*M8030)/100</f>
        <v>564783.255</v>
      </c>
      <c r="M8030" s="15" t="n">
        <v>0.47</v>
      </c>
      <c r="N8030" s="9" t="s">
        <v>26</v>
      </c>
    </row>
    <row r="8031" customFormat="false" ht="14.25" hidden="false" customHeight="true" outlineLevel="0" collapsed="false">
      <c r="B8031" s="9" t="s">
        <v>36</v>
      </c>
      <c r="C8031" s="9" t="n">
        <v>1189833</v>
      </c>
      <c r="D8031" s="10" t="n">
        <v>44312</v>
      </c>
      <c r="E8031" s="9" t="s">
        <v>33</v>
      </c>
      <c r="F8031" s="9" t="s">
        <v>34</v>
      </c>
      <c r="G8031" s="9" t="s">
        <v>37</v>
      </c>
      <c r="H8031" s="11" t="s">
        <v>21</v>
      </c>
      <c r="I8031" s="12" t="n">
        <v>37</v>
      </c>
      <c r="J8031" s="13" t="n">
        <v>272</v>
      </c>
      <c r="K8031" s="14" t="n">
        <f aca="false">I8031*J8031</f>
        <v>10064</v>
      </c>
      <c r="L8031" s="14" t="n">
        <f aca="false">($L$2*M8031)/100</f>
        <v>348483.285</v>
      </c>
      <c r="M8031" s="15" t="n">
        <v>0.29</v>
      </c>
      <c r="N8031" s="9" t="s">
        <v>26</v>
      </c>
    </row>
    <row r="8032" customFormat="false" ht="14.25" hidden="false" customHeight="true" outlineLevel="0" collapsed="false">
      <c r="B8032" s="9" t="s">
        <v>36</v>
      </c>
      <c r="C8032" s="9" t="n">
        <v>1189833</v>
      </c>
      <c r="D8032" s="10" t="n">
        <v>44313</v>
      </c>
      <c r="E8032" s="9" t="s">
        <v>33</v>
      </c>
      <c r="F8032" s="9" t="s">
        <v>34</v>
      </c>
      <c r="G8032" s="9" t="s">
        <v>37</v>
      </c>
      <c r="H8032" s="11" t="s">
        <v>22</v>
      </c>
      <c r="I8032" s="12" t="n">
        <v>33</v>
      </c>
      <c r="J8032" s="13" t="n">
        <v>240</v>
      </c>
      <c r="K8032" s="14" t="n">
        <f aca="false">I8032*J8032</f>
        <v>7920</v>
      </c>
      <c r="L8032" s="14" t="n">
        <f aca="false">($L$2*M8032)/100</f>
        <v>552766.59</v>
      </c>
      <c r="M8032" s="15" t="n">
        <v>0.46</v>
      </c>
      <c r="N8032" s="9" t="s">
        <v>26</v>
      </c>
    </row>
    <row r="8033" customFormat="false" ht="14.25" hidden="false" customHeight="true" outlineLevel="0" collapsed="false">
      <c r="B8033" s="9" t="s">
        <v>36</v>
      </c>
      <c r="C8033" s="9" t="n">
        <v>1189833</v>
      </c>
      <c r="D8033" s="10" t="n">
        <v>44314</v>
      </c>
      <c r="E8033" s="9" t="s">
        <v>33</v>
      </c>
      <c r="F8033" s="9" t="s">
        <v>34</v>
      </c>
      <c r="G8033" s="9" t="s">
        <v>37</v>
      </c>
      <c r="H8033" s="11" t="s">
        <v>23</v>
      </c>
      <c r="I8033" s="12" t="n">
        <v>29</v>
      </c>
      <c r="J8033" s="13" t="n">
        <v>228</v>
      </c>
      <c r="K8033" s="14" t="n">
        <f aca="false">I8033*J8033</f>
        <v>6612</v>
      </c>
      <c r="L8033" s="14" t="n">
        <f aca="false">($L$2*M8033)/100</f>
        <v>480666.6</v>
      </c>
      <c r="M8033" s="15" t="n">
        <v>0.4</v>
      </c>
      <c r="N8033" s="9" t="s">
        <v>26</v>
      </c>
    </row>
    <row r="8034" customFormat="false" ht="14.25" hidden="false" customHeight="true" outlineLevel="0" collapsed="false">
      <c r="B8034" s="9" t="s">
        <v>36</v>
      </c>
      <c r="C8034" s="9" t="n">
        <v>1189833</v>
      </c>
      <c r="D8034" s="10" t="n">
        <v>44315</v>
      </c>
      <c r="E8034" s="9" t="s">
        <v>33</v>
      </c>
      <c r="F8034" s="9" t="s">
        <v>34</v>
      </c>
      <c r="G8034" s="9" t="s">
        <v>37</v>
      </c>
      <c r="H8034" s="11" t="s">
        <v>24</v>
      </c>
      <c r="I8034" s="12" t="n">
        <v>38</v>
      </c>
      <c r="J8034" s="13" t="n">
        <v>224</v>
      </c>
      <c r="K8034" s="14" t="n">
        <f aca="false">I8034*J8034</f>
        <v>8512</v>
      </c>
      <c r="L8034" s="14" t="n">
        <f aca="false">($L$2*M8034)/100</f>
        <v>720999.9</v>
      </c>
      <c r="M8034" s="15" t="n">
        <v>0.6</v>
      </c>
      <c r="N8034" s="9" t="s">
        <v>26</v>
      </c>
    </row>
    <row r="8035" customFormat="false" ht="14.25" hidden="false" customHeight="true" outlineLevel="0" collapsed="false">
      <c r="B8035" s="9" t="s">
        <v>36</v>
      </c>
      <c r="C8035" s="9" t="n">
        <v>1189833</v>
      </c>
      <c r="D8035" s="10" t="n">
        <v>44316</v>
      </c>
      <c r="E8035" s="9" t="s">
        <v>33</v>
      </c>
      <c r="F8035" s="9" t="s">
        <v>34</v>
      </c>
      <c r="G8035" s="9" t="s">
        <v>37</v>
      </c>
      <c r="H8035" s="11" t="s">
        <v>25</v>
      </c>
      <c r="I8035" s="12" t="n">
        <v>51</v>
      </c>
      <c r="J8035" s="13" t="n">
        <v>224</v>
      </c>
      <c r="K8035" s="14" t="n">
        <f aca="false">I8035*J8035</f>
        <v>11424</v>
      </c>
      <c r="L8035" s="14" t="n">
        <f aca="false">($L$2*M8035)/100</f>
        <v>276383.295</v>
      </c>
      <c r="M8035" s="15" t="n">
        <v>0.23</v>
      </c>
      <c r="N8035" s="9" t="s">
        <v>26</v>
      </c>
    </row>
    <row r="8036" customFormat="false" ht="14.25" hidden="false" customHeight="true" outlineLevel="0" collapsed="false">
      <c r="B8036" s="9" t="s">
        <v>36</v>
      </c>
      <c r="C8036" s="9" t="n">
        <v>1189833</v>
      </c>
      <c r="D8036" s="10" t="n">
        <v>44317</v>
      </c>
      <c r="E8036" s="9" t="s">
        <v>33</v>
      </c>
      <c r="F8036" s="9" t="s">
        <v>34</v>
      </c>
      <c r="G8036" s="9" t="s">
        <v>37</v>
      </c>
      <c r="H8036" s="11" t="s">
        <v>19</v>
      </c>
      <c r="I8036" s="12" t="n">
        <v>36</v>
      </c>
      <c r="J8036" s="13" t="n">
        <v>306</v>
      </c>
      <c r="K8036" s="14" t="n">
        <f aca="false">I8036*J8036</f>
        <v>11016</v>
      </c>
      <c r="L8036" s="14" t="n">
        <f aca="false">($L$2*M8036)/100</f>
        <v>540749.925</v>
      </c>
      <c r="M8036" s="15" t="n">
        <v>0.45</v>
      </c>
      <c r="N8036" s="9" t="s">
        <v>26</v>
      </c>
    </row>
    <row r="8037" customFormat="false" ht="14.25" hidden="false" customHeight="true" outlineLevel="0" collapsed="false">
      <c r="B8037" s="9" t="s">
        <v>36</v>
      </c>
      <c r="C8037" s="9" t="n">
        <v>1189833</v>
      </c>
      <c r="D8037" s="10" t="n">
        <v>44318</v>
      </c>
      <c r="E8037" s="9" t="s">
        <v>33</v>
      </c>
      <c r="F8037" s="9" t="s">
        <v>34</v>
      </c>
      <c r="G8037" s="9" t="s">
        <v>37</v>
      </c>
      <c r="H8037" s="11" t="s">
        <v>21</v>
      </c>
      <c r="I8037" s="12" t="n">
        <v>41</v>
      </c>
      <c r="J8037" s="13" t="n">
        <v>264</v>
      </c>
      <c r="K8037" s="14" t="n">
        <f aca="false">I8037*J8037</f>
        <v>10824</v>
      </c>
      <c r="L8037" s="14" t="n">
        <f aca="false">($L$2*M8037)/100</f>
        <v>372516.615</v>
      </c>
      <c r="M8037" s="15" t="n">
        <v>0.31</v>
      </c>
      <c r="N8037" s="9" t="s">
        <v>26</v>
      </c>
    </row>
    <row r="8038" customFormat="false" ht="14.25" hidden="false" customHeight="true" outlineLevel="0" collapsed="false">
      <c r="B8038" s="9" t="s">
        <v>36</v>
      </c>
      <c r="C8038" s="9" t="n">
        <v>1189833</v>
      </c>
      <c r="D8038" s="10" t="n">
        <v>44319</v>
      </c>
      <c r="E8038" s="9" t="s">
        <v>33</v>
      </c>
      <c r="F8038" s="9" t="s">
        <v>34</v>
      </c>
      <c r="G8038" s="9" t="s">
        <v>37</v>
      </c>
      <c r="H8038" s="11" t="s">
        <v>22</v>
      </c>
      <c r="I8038" s="12" t="n">
        <v>34</v>
      </c>
      <c r="J8038" s="13" t="n">
        <v>232</v>
      </c>
      <c r="K8038" s="14" t="n">
        <f aca="false">I8038*J8038</f>
        <v>7888</v>
      </c>
      <c r="L8038" s="14" t="n">
        <f aca="false">($L$2*M8038)/100</f>
        <v>528733.26</v>
      </c>
      <c r="M8038" s="15" t="n">
        <v>0.44</v>
      </c>
      <c r="N8038" s="9" t="s">
        <v>26</v>
      </c>
    </row>
    <row r="8039" customFormat="false" ht="14.25" hidden="false" customHeight="true" outlineLevel="0" collapsed="false">
      <c r="B8039" s="9" t="s">
        <v>36</v>
      </c>
      <c r="C8039" s="9" t="n">
        <v>1189833</v>
      </c>
      <c r="D8039" s="10" t="n">
        <v>44320</v>
      </c>
      <c r="E8039" s="9" t="s">
        <v>33</v>
      </c>
      <c r="F8039" s="9" t="s">
        <v>34</v>
      </c>
      <c r="G8039" s="9" t="s">
        <v>37</v>
      </c>
      <c r="H8039" s="11" t="s">
        <v>23</v>
      </c>
      <c r="I8039" s="12" t="n">
        <v>36</v>
      </c>
      <c r="J8039" s="13" t="n">
        <v>223</v>
      </c>
      <c r="K8039" s="14" t="n">
        <f aca="false">I8039*J8039</f>
        <v>8028</v>
      </c>
      <c r="L8039" s="14" t="n">
        <f aca="false">($L$2*M8039)/100</f>
        <v>456633.27</v>
      </c>
      <c r="M8039" s="15" t="n">
        <v>0.38</v>
      </c>
      <c r="N8039" s="9" t="s">
        <v>26</v>
      </c>
    </row>
    <row r="8040" customFormat="false" ht="14.25" hidden="false" customHeight="true" outlineLevel="0" collapsed="false">
      <c r="B8040" s="9" t="s">
        <v>36</v>
      </c>
      <c r="C8040" s="9" t="n">
        <v>1189833</v>
      </c>
      <c r="D8040" s="10" t="n">
        <v>44321</v>
      </c>
      <c r="E8040" s="9" t="s">
        <v>33</v>
      </c>
      <c r="F8040" s="9" t="s">
        <v>34</v>
      </c>
      <c r="G8040" s="9" t="s">
        <v>37</v>
      </c>
      <c r="H8040" s="11" t="s">
        <v>24</v>
      </c>
      <c r="I8040" s="12" t="n">
        <v>43</v>
      </c>
      <c r="J8040" s="13" t="n">
        <v>230</v>
      </c>
      <c r="K8040" s="14" t="n">
        <f aca="false">I8040*J8040</f>
        <v>9890</v>
      </c>
      <c r="L8040" s="14" t="n">
        <f aca="false">($L$2*M8040)/100</f>
        <v>745033.23</v>
      </c>
      <c r="M8040" s="15" t="n">
        <v>0.62</v>
      </c>
      <c r="N8040" s="9" t="s">
        <v>26</v>
      </c>
    </row>
    <row r="8041" customFormat="false" ht="14.25" hidden="false" customHeight="true" outlineLevel="0" collapsed="false">
      <c r="B8041" s="9" t="s">
        <v>36</v>
      </c>
      <c r="C8041" s="9" t="n">
        <v>1189833</v>
      </c>
      <c r="D8041" s="10" t="n">
        <v>44322</v>
      </c>
      <c r="E8041" s="9" t="s">
        <v>33</v>
      </c>
      <c r="F8041" s="9" t="s">
        <v>34</v>
      </c>
      <c r="G8041" s="9" t="s">
        <v>37</v>
      </c>
      <c r="H8041" s="11" t="s">
        <v>25</v>
      </c>
      <c r="I8041" s="12" t="n">
        <v>46</v>
      </c>
      <c r="J8041" s="13" t="n">
        <v>208</v>
      </c>
      <c r="K8041" s="14" t="n">
        <f aca="false">I8041*J8041</f>
        <v>9568</v>
      </c>
      <c r="L8041" s="14" t="n">
        <f aca="false">($L$2*M8041)/100</f>
        <v>276383.295</v>
      </c>
      <c r="M8041" s="15" t="n">
        <v>0.23</v>
      </c>
      <c r="N8041" s="9" t="s">
        <v>26</v>
      </c>
    </row>
    <row r="8042" customFormat="false" ht="14.25" hidden="false" customHeight="true" outlineLevel="0" collapsed="false">
      <c r="B8042" s="9" t="s">
        <v>36</v>
      </c>
      <c r="C8042" s="9" t="n">
        <v>1189833</v>
      </c>
      <c r="D8042" s="10" t="n">
        <v>44323</v>
      </c>
      <c r="E8042" s="9" t="s">
        <v>33</v>
      </c>
      <c r="F8042" s="9" t="s">
        <v>34</v>
      </c>
      <c r="G8042" s="9" t="s">
        <v>37</v>
      </c>
      <c r="H8042" s="11" t="s">
        <v>19</v>
      </c>
      <c r="I8042" s="12" t="n">
        <v>38</v>
      </c>
      <c r="J8042" s="13" t="n">
        <v>289</v>
      </c>
      <c r="K8042" s="14" t="n">
        <f aca="false">I8042*J8042</f>
        <v>10982</v>
      </c>
      <c r="L8042" s="14" t="n">
        <f aca="false">($L$2*M8042)/100</f>
        <v>552766.59</v>
      </c>
      <c r="M8042" s="15" t="n">
        <v>0.46</v>
      </c>
      <c r="N8042" s="9" t="s">
        <v>26</v>
      </c>
    </row>
    <row r="8043" customFormat="false" ht="14.25" hidden="false" customHeight="true" outlineLevel="0" collapsed="false">
      <c r="B8043" s="9" t="s">
        <v>36</v>
      </c>
      <c r="C8043" s="9" t="n">
        <v>1189833</v>
      </c>
      <c r="D8043" s="10" t="n">
        <v>44324</v>
      </c>
      <c r="E8043" s="9" t="s">
        <v>33</v>
      </c>
      <c r="F8043" s="9" t="s">
        <v>34</v>
      </c>
      <c r="G8043" s="9" t="s">
        <v>37</v>
      </c>
      <c r="H8043" s="11" t="s">
        <v>21</v>
      </c>
      <c r="I8043" s="12" t="n">
        <v>39</v>
      </c>
      <c r="J8043" s="13" t="n">
        <v>264</v>
      </c>
      <c r="K8043" s="14" t="n">
        <f aca="false">I8043*J8043</f>
        <v>10296</v>
      </c>
      <c r="L8043" s="14" t="n">
        <f aca="false">($L$2*M8043)/100</f>
        <v>324449.955</v>
      </c>
      <c r="M8043" s="15" t="n">
        <v>0.27</v>
      </c>
      <c r="N8043" s="9" t="s">
        <v>26</v>
      </c>
    </row>
    <row r="8044" customFormat="false" ht="14.25" hidden="false" customHeight="true" outlineLevel="0" collapsed="false">
      <c r="B8044" s="9" t="s">
        <v>36</v>
      </c>
      <c r="C8044" s="9" t="n">
        <v>1189833</v>
      </c>
      <c r="D8044" s="10" t="n">
        <v>44325</v>
      </c>
      <c r="E8044" s="9" t="s">
        <v>33</v>
      </c>
      <c r="F8044" s="9" t="s">
        <v>34</v>
      </c>
      <c r="G8044" s="9" t="s">
        <v>37</v>
      </c>
      <c r="H8044" s="11" t="s">
        <v>22</v>
      </c>
      <c r="I8044" s="12" t="n">
        <v>38</v>
      </c>
      <c r="J8044" s="13" t="n">
        <v>210</v>
      </c>
      <c r="K8044" s="14" t="n">
        <f aca="false">I8044*J8044</f>
        <v>7980</v>
      </c>
      <c r="L8044" s="14" t="n">
        <f aca="false">($L$2*M8044)/100</f>
        <v>540749.925</v>
      </c>
      <c r="M8044" s="15" t="n">
        <v>0.45</v>
      </c>
      <c r="N8044" s="9" t="s">
        <v>26</v>
      </c>
    </row>
    <row r="8045" customFormat="false" ht="14.25" hidden="false" customHeight="true" outlineLevel="0" collapsed="false">
      <c r="B8045" s="9" t="s">
        <v>36</v>
      </c>
      <c r="C8045" s="9" t="n">
        <v>1189833</v>
      </c>
      <c r="D8045" s="10" t="n">
        <v>44326</v>
      </c>
      <c r="E8045" s="9" t="s">
        <v>33</v>
      </c>
      <c r="F8045" s="9" t="s">
        <v>34</v>
      </c>
      <c r="G8045" s="9" t="s">
        <v>37</v>
      </c>
      <c r="H8045" s="11" t="s">
        <v>23</v>
      </c>
      <c r="I8045" s="12" t="n">
        <v>39</v>
      </c>
      <c r="J8045" s="13" t="n">
        <v>195</v>
      </c>
      <c r="K8045" s="14" t="n">
        <f aca="false">I8045*J8045</f>
        <v>7605</v>
      </c>
      <c r="L8045" s="14" t="n">
        <f aca="false">($L$2*M8045)/100</f>
        <v>480666.6</v>
      </c>
      <c r="M8045" s="15" t="n">
        <v>0.4</v>
      </c>
      <c r="N8045" s="9" t="s">
        <v>26</v>
      </c>
    </row>
    <row r="8046" customFormat="false" ht="14.25" hidden="false" customHeight="true" outlineLevel="0" collapsed="false">
      <c r="B8046" s="9" t="s">
        <v>36</v>
      </c>
      <c r="C8046" s="9" t="n">
        <v>1189833</v>
      </c>
      <c r="D8046" s="10" t="n">
        <v>44327</v>
      </c>
      <c r="E8046" s="9" t="s">
        <v>33</v>
      </c>
      <c r="F8046" s="9" t="s">
        <v>34</v>
      </c>
      <c r="G8046" s="9" t="s">
        <v>37</v>
      </c>
      <c r="H8046" s="11" t="s">
        <v>24</v>
      </c>
      <c r="I8046" s="12" t="n">
        <v>44</v>
      </c>
      <c r="J8046" s="13" t="n">
        <v>195</v>
      </c>
      <c r="K8046" s="14" t="n">
        <f aca="false">I8046*J8046</f>
        <v>8580</v>
      </c>
      <c r="L8046" s="14" t="n">
        <f aca="false">($L$2*M8046)/100</f>
        <v>745033.23</v>
      </c>
      <c r="M8046" s="15" t="n">
        <v>0.62</v>
      </c>
      <c r="N8046" s="9" t="s">
        <v>26</v>
      </c>
    </row>
    <row r="8047" customFormat="false" ht="14.25" hidden="false" customHeight="true" outlineLevel="0" collapsed="false">
      <c r="B8047" s="9" t="s">
        <v>36</v>
      </c>
      <c r="C8047" s="9" t="n">
        <v>1189833</v>
      </c>
      <c r="D8047" s="10" t="n">
        <v>44328</v>
      </c>
      <c r="E8047" s="9" t="s">
        <v>33</v>
      </c>
      <c r="F8047" s="9" t="s">
        <v>34</v>
      </c>
      <c r="G8047" s="9" t="s">
        <v>37</v>
      </c>
      <c r="H8047" s="11" t="s">
        <v>25</v>
      </c>
      <c r="I8047" s="12" t="n">
        <v>49</v>
      </c>
      <c r="J8047" s="13" t="n">
        <v>210</v>
      </c>
      <c r="K8047" s="14" t="n">
        <f aca="false">I8047*J8047</f>
        <v>10290</v>
      </c>
      <c r="L8047" s="14" t="n">
        <f aca="false">($L$2*M8047)/100</f>
        <v>264366.63</v>
      </c>
      <c r="M8047" s="15" t="n">
        <v>0.22</v>
      </c>
      <c r="N8047" s="9" t="s">
        <v>26</v>
      </c>
    </row>
    <row r="8048" customFormat="false" ht="14.25" hidden="false" customHeight="true" outlineLevel="0" collapsed="false">
      <c r="B8048" s="9" t="s">
        <v>36</v>
      </c>
      <c r="C8048" s="9" t="n">
        <v>1189833</v>
      </c>
      <c r="D8048" s="10" t="n">
        <v>44329</v>
      </c>
      <c r="E8048" s="9" t="s">
        <v>33</v>
      </c>
      <c r="F8048" s="9" t="s">
        <v>34</v>
      </c>
      <c r="G8048" s="9" t="s">
        <v>37</v>
      </c>
      <c r="H8048" s="11" t="s">
        <v>19</v>
      </c>
      <c r="I8048" s="12" t="n">
        <v>36</v>
      </c>
      <c r="J8048" s="13" t="n">
        <v>256</v>
      </c>
      <c r="K8048" s="14" t="n">
        <f aca="false">I8048*J8048</f>
        <v>9216</v>
      </c>
      <c r="L8048" s="14" t="n">
        <f aca="false">($L$2*M8048)/100</f>
        <v>564783.255</v>
      </c>
      <c r="M8048" s="15" t="n">
        <v>0.47</v>
      </c>
      <c r="N8048" s="9" t="s">
        <v>26</v>
      </c>
    </row>
    <row r="8049" customFormat="false" ht="14.25" hidden="false" customHeight="true" outlineLevel="0" collapsed="false">
      <c r="B8049" s="9" t="s">
        <v>36</v>
      </c>
      <c r="C8049" s="9" t="n">
        <v>1189833</v>
      </c>
      <c r="D8049" s="10" t="n">
        <v>44330</v>
      </c>
      <c r="E8049" s="9" t="s">
        <v>33</v>
      </c>
      <c r="F8049" s="9" t="s">
        <v>34</v>
      </c>
      <c r="G8049" s="9" t="s">
        <v>37</v>
      </c>
      <c r="H8049" s="11" t="s">
        <v>21</v>
      </c>
      <c r="I8049" s="12" t="n">
        <v>43</v>
      </c>
      <c r="J8049" s="13" t="n">
        <v>264</v>
      </c>
      <c r="K8049" s="14" t="n">
        <f aca="false">I8049*J8049</f>
        <v>11352</v>
      </c>
      <c r="L8049" s="14" t="n">
        <f aca="false">($L$2*M8049)/100</f>
        <v>360499.95</v>
      </c>
      <c r="M8049" s="15" t="n">
        <v>0.3</v>
      </c>
      <c r="N8049" s="9" t="s">
        <v>26</v>
      </c>
    </row>
    <row r="8050" customFormat="false" ht="14.25" hidden="false" customHeight="true" outlineLevel="0" collapsed="false">
      <c r="B8050" s="9" t="s">
        <v>36</v>
      </c>
      <c r="C8050" s="9" t="n">
        <v>1189833</v>
      </c>
      <c r="D8050" s="10" t="n">
        <v>44331</v>
      </c>
      <c r="E8050" s="9" t="s">
        <v>33</v>
      </c>
      <c r="F8050" s="9" t="s">
        <v>34</v>
      </c>
      <c r="G8050" s="9" t="s">
        <v>37</v>
      </c>
      <c r="H8050" s="11" t="s">
        <v>22</v>
      </c>
      <c r="I8050" s="12" t="n">
        <v>33</v>
      </c>
      <c r="J8050" s="13" t="n">
        <v>208</v>
      </c>
      <c r="K8050" s="14" t="n">
        <f aca="false">I8050*J8050</f>
        <v>6864</v>
      </c>
      <c r="L8050" s="14" t="n">
        <f aca="false">($L$2*M8050)/100</f>
        <v>504699.93</v>
      </c>
      <c r="M8050" s="15" t="n">
        <v>0.42</v>
      </c>
      <c r="N8050" s="9" t="s">
        <v>26</v>
      </c>
    </row>
    <row r="8051" customFormat="false" ht="14.25" hidden="false" customHeight="true" outlineLevel="0" collapsed="false">
      <c r="B8051" s="9" t="s">
        <v>36</v>
      </c>
      <c r="C8051" s="9" t="n">
        <v>1189833</v>
      </c>
      <c r="D8051" s="10" t="n">
        <v>44332</v>
      </c>
      <c r="E8051" s="9" t="s">
        <v>33</v>
      </c>
      <c r="F8051" s="9" t="s">
        <v>34</v>
      </c>
      <c r="G8051" s="9" t="s">
        <v>37</v>
      </c>
      <c r="H8051" s="11" t="s">
        <v>23</v>
      </c>
      <c r="I8051" s="12" t="n">
        <v>33</v>
      </c>
      <c r="J8051" s="13" t="n">
        <v>213</v>
      </c>
      <c r="K8051" s="14" t="n">
        <f aca="false">I8051*J8051</f>
        <v>7029</v>
      </c>
      <c r="L8051" s="14" t="n">
        <f aca="false">($L$2*M8051)/100</f>
        <v>504699.93</v>
      </c>
      <c r="M8051" s="15" t="n">
        <v>0.42</v>
      </c>
      <c r="N8051" s="9" t="s">
        <v>26</v>
      </c>
    </row>
    <row r="8052" customFormat="false" ht="14.25" hidden="false" customHeight="true" outlineLevel="0" collapsed="false">
      <c r="B8052" s="9" t="s">
        <v>36</v>
      </c>
      <c r="C8052" s="9" t="n">
        <v>1189833</v>
      </c>
      <c r="D8052" s="10" t="n">
        <v>44333</v>
      </c>
      <c r="E8052" s="9" t="s">
        <v>33</v>
      </c>
      <c r="F8052" s="9" t="s">
        <v>34</v>
      </c>
      <c r="G8052" s="9" t="s">
        <v>37</v>
      </c>
      <c r="H8052" s="11" t="s">
        <v>24</v>
      </c>
      <c r="I8052" s="12" t="n">
        <v>46</v>
      </c>
      <c r="J8052" s="13" t="n">
        <v>210</v>
      </c>
      <c r="K8052" s="14" t="n">
        <f aca="false">I8052*J8052</f>
        <v>9660</v>
      </c>
      <c r="L8052" s="14" t="n">
        <f aca="false">($L$2*M8052)/100</f>
        <v>745033.23</v>
      </c>
      <c r="M8052" s="15" t="n">
        <v>0.62</v>
      </c>
      <c r="N8052" s="9" t="s">
        <v>26</v>
      </c>
    </row>
    <row r="8053" customFormat="false" ht="14.25" hidden="false" customHeight="true" outlineLevel="0" collapsed="false">
      <c r="B8053" s="9" t="s">
        <v>36</v>
      </c>
      <c r="C8053" s="9" t="n">
        <v>1189833</v>
      </c>
      <c r="D8053" s="10" t="n">
        <v>44334</v>
      </c>
      <c r="E8053" s="9" t="s">
        <v>33</v>
      </c>
      <c r="F8053" s="9" t="s">
        <v>34</v>
      </c>
      <c r="G8053" s="9" t="s">
        <v>37</v>
      </c>
      <c r="H8053" s="11" t="s">
        <v>25</v>
      </c>
      <c r="I8053" s="12" t="n">
        <v>46</v>
      </c>
      <c r="J8053" s="13" t="n">
        <v>208</v>
      </c>
      <c r="K8053" s="14" t="n">
        <f aca="false">I8053*J8053</f>
        <v>9568</v>
      </c>
      <c r="L8053" s="14" t="n">
        <f aca="false">($L$2*M8053)/100</f>
        <v>288399.96</v>
      </c>
      <c r="M8053" s="15" t="n">
        <v>0.24</v>
      </c>
      <c r="N8053" s="9" t="s">
        <v>26</v>
      </c>
    </row>
    <row r="8054" customFormat="false" ht="14.25" hidden="false" customHeight="true" outlineLevel="0" collapsed="false">
      <c r="B8054" s="9" t="s">
        <v>36</v>
      </c>
      <c r="C8054" s="9" t="n">
        <v>1189833</v>
      </c>
      <c r="D8054" s="10" t="n">
        <v>44335</v>
      </c>
      <c r="E8054" s="9" t="s">
        <v>33</v>
      </c>
      <c r="F8054" s="9" t="s">
        <v>34</v>
      </c>
      <c r="G8054" s="9" t="s">
        <v>37</v>
      </c>
      <c r="H8054" s="11" t="s">
        <v>19</v>
      </c>
      <c r="I8054" s="12" t="n">
        <v>40</v>
      </c>
      <c r="J8054" s="13" t="n">
        <v>272</v>
      </c>
      <c r="K8054" s="14" t="n">
        <f aca="false">I8054*J8054</f>
        <v>10880</v>
      </c>
      <c r="L8054" s="14" t="n">
        <f aca="false">($L$2*M8054)/100</f>
        <v>552766.59</v>
      </c>
      <c r="M8054" s="15" t="n">
        <v>0.46</v>
      </c>
      <c r="N8054" s="9" t="s">
        <v>26</v>
      </c>
    </row>
    <row r="8055" customFormat="false" ht="14.25" hidden="false" customHeight="true" outlineLevel="0" collapsed="false">
      <c r="B8055" s="9" t="s">
        <v>36</v>
      </c>
      <c r="C8055" s="9" t="n">
        <v>1189833</v>
      </c>
      <c r="D8055" s="10" t="n">
        <v>44336</v>
      </c>
      <c r="E8055" s="9" t="s">
        <v>33</v>
      </c>
      <c r="F8055" s="9" t="s">
        <v>34</v>
      </c>
      <c r="G8055" s="9" t="s">
        <v>37</v>
      </c>
      <c r="H8055" s="11" t="s">
        <v>21</v>
      </c>
      <c r="I8055" s="12" t="n">
        <v>42</v>
      </c>
      <c r="J8055" s="13" t="n">
        <v>264</v>
      </c>
      <c r="K8055" s="14" t="n">
        <f aca="false">I8055*J8055</f>
        <v>11088</v>
      </c>
      <c r="L8055" s="14" t="n">
        <f aca="false">($L$2*M8055)/100</f>
        <v>360499.95</v>
      </c>
      <c r="M8055" s="15" t="n">
        <v>0.3</v>
      </c>
      <c r="N8055" s="9" t="s">
        <v>26</v>
      </c>
    </row>
    <row r="8056" customFormat="false" ht="14.25" hidden="false" customHeight="true" outlineLevel="0" collapsed="false">
      <c r="B8056" s="9" t="s">
        <v>36</v>
      </c>
      <c r="C8056" s="9" t="n">
        <v>1189833</v>
      </c>
      <c r="D8056" s="10" t="n">
        <v>44337</v>
      </c>
      <c r="E8056" s="9" t="s">
        <v>33</v>
      </c>
      <c r="F8056" s="9" t="s">
        <v>34</v>
      </c>
      <c r="G8056" s="9" t="s">
        <v>37</v>
      </c>
      <c r="H8056" s="11" t="s">
        <v>22</v>
      </c>
      <c r="I8056" s="12" t="n">
        <v>35</v>
      </c>
      <c r="J8056" s="13" t="n">
        <v>223</v>
      </c>
      <c r="K8056" s="14" t="n">
        <f aca="false">I8056*J8056</f>
        <v>7805</v>
      </c>
      <c r="L8056" s="14" t="n">
        <f aca="false">($L$2*M8056)/100</f>
        <v>552766.59</v>
      </c>
      <c r="M8056" s="15" t="n">
        <v>0.46</v>
      </c>
      <c r="N8056" s="9" t="s">
        <v>26</v>
      </c>
    </row>
    <row r="8057" customFormat="false" ht="14.25" hidden="false" customHeight="true" outlineLevel="0" collapsed="false">
      <c r="B8057" s="9" t="s">
        <v>36</v>
      </c>
      <c r="C8057" s="9" t="n">
        <v>1189833</v>
      </c>
      <c r="D8057" s="10" t="n">
        <v>44338</v>
      </c>
      <c r="E8057" s="9" t="s">
        <v>33</v>
      </c>
      <c r="F8057" s="9" t="s">
        <v>34</v>
      </c>
      <c r="G8057" s="9" t="s">
        <v>37</v>
      </c>
      <c r="H8057" s="11" t="s">
        <v>23</v>
      </c>
      <c r="I8057" s="12" t="n">
        <v>33</v>
      </c>
      <c r="J8057" s="13" t="n">
        <v>221</v>
      </c>
      <c r="K8057" s="14" t="n">
        <f aca="false">I8057*J8057</f>
        <v>7293</v>
      </c>
      <c r="L8057" s="14" t="n">
        <f aca="false">($L$2*M8057)/100</f>
        <v>504699.93</v>
      </c>
      <c r="M8057" s="15" t="n">
        <v>0.42</v>
      </c>
      <c r="N8057" s="9" t="s">
        <v>26</v>
      </c>
    </row>
    <row r="8058" customFormat="false" ht="14.25" hidden="false" customHeight="true" outlineLevel="0" collapsed="false">
      <c r="B8058" s="9" t="s">
        <v>36</v>
      </c>
      <c r="C8058" s="9" t="n">
        <v>1189833</v>
      </c>
      <c r="D8058" s="10" t="n">
        <v>44339</v>
      </c>
      <c r="E8058" s="9" t="s">
        <v>33</v>
      </c>
      <c r="F8058" s="9" t="s">
        <v>34</v>
      </c>
      <c r="G8058" s="9" t="s">
        <v>37</v>
      </c>
      <c r="H8058" s="11" t="s">
        <v>24</v>
      </c>
      <c r="I8058" s="12" t="n">
        <v>46</v>
      </c>
      <c r="J8058" s="13" t="n">
        <v>204</v>
      </c>
      <c r="K8058" s="14" t="n">
        <f aca="false">I8058*J8058</f>
        <v>9384</v>
      </c>
      <c r="L8058" s="14" t="n">
        <f aca="false">($L$2*M8058)/100</f>
        <v>684949.905</v>
      </c>
      <c r="M8058" s="15" t="n">
        <v>0.57</v>
      </c>
      <c r="N8058" s="9" t="s">
        <v>26</v>
      </c>
    </row>
    <row r="8059" customFormat="false" ht="14.25" hidden="false" customHeight="true" outlineLevel="0" collapsed="false">
      <c r="B8059" s="9" t="s">
        <v>36</v>
      </c>
      <c r="C8059" s="9" t="n">
        <v>1189833</v>
      </c>
      <c r="D8059" s="10" t="n">
        <v>44340</v>
      </c>
      <c r="E8059" s="9" t="s">
        <v>33</v>
      </c>
      <c r="F8059" s="9" t="s">
        <v>34</v>
      </c>
      <c r="G8059" s="9" t="s">
        <v>37</v>
      </c>
      <c r="H8059" s="11" t="s">
        <v>25</v>
      </c>
      <c r="I8059" s="12" t="n">
        <v>49</v>
      </c>
      <c r="J8059" s="13" t="n">
        <v>238</v>
      </c>
      <c r="K8059" s="14" t="n">
        <f aca="false">I8059*J8059</f>
        <v>11662</v>
      </c>
      <c r="L8059" s="14" t="n">
        <f aca="false">($L$2*M8059)/100</f>
        <v>288399.96</v>
      </c>
      <c r="M8059" s="15" t="n">
        <v>0.24</v>
      </c>
      <c r="N8059" s="9" t="s">
        <v>26</v>
      </c>
    </row>
    <row r="8060" customFormat="false" ht="14.25" hidden="false" customHeight="true" outlineLevel="0" collapsed="false">
      <c r="B8060" s="9" t="s">
        <v>36</v>
      </c>
      <c r="C8060" s="9" t="n">
        <v>1189833</v>
      </c>
      <c r="D8060" s="10" t="n">
        <v>44341</v>
      </c>
      <c r="E8060" s="9" t="s">
        <v>33</v>
      </c>
      <c r="F8060" s="9" t="s">
        <v>34</v>
      </c>
      <c r="G8060" s="9" t="s">
        <v>37</v>
      </c>
      <c r="H8060" s="11" t="s">
        <v>19</v>
      </c>
      <c r="I8060" s="12" t="n">
        <v>39</v>
      </c>
      <c r="J8060" s="13" t="n">
        <v>315</v>
      </c>
      <c r="K8060" s="14" t="n">
        <f aca="false">I8060*J8060</f>
        <v>12285</v>
      </c>
      <c r="L8060" s="14" t="n">
        <f aca="false">($L$2*M8060)/100</f>
        <v>552766.59</v>
      </c>
      <c r="M8060" s="15" t="n">
        <v>0.46</v>
      </c>
      <c r="N8060" s="9" t="s">
        <v>26</v>
      </c>
    </row>
    <row r="8061" customFormat="false" ht="14.25" hidden="false" customHeight="true" outlineLevel="0" collapsed="false">
      <c r="B8061" s="9" t="s">
        <v>36</v>
      </c>
      <c r="C8061" s="9" t="n">
        <v>1189833</v>
      </c>
      <c r="D8061" s="10" t="n">
        <v>44342</v>
      </c>
      <c r="E8061" s="9" t="s">
        <v>33</v>
      </c>
      <c r="F8061" s="9" t="s">
        <v>34</v>
      </c>
      <c r="G8061" s="9" t="s">
        <v>37</v>
      </c>
      <c r="H8061" s="11" t="s">
        <v>21</v>
      </c>
      <c r="I8061" s="12" t="n">
        <v>42</v>
      </c>
      <c r="J8061" s="13" t="n">
        <v>288</v>
      </c>
      <c r="K8061" s="14" t="n">
        <f aca="false">I8061*J8061</f>
        <v>12096</v>
      </c>
      <c r="L8061" s="14" t="n">
        <f aca="false">($L$2*M8061)/100</f>
        <v>336466.62</v>
      </c>
      <c r="M8061" s="15" t="n">
        <v>0.28</v>
      </c>
      <c r="N8061" s="9" t="s">
        <v>26</v>
      </c>
    </row>
    <row r="8062" customFormat="false" ht="14.25" hidden="false" customHeight="true" outlineLevel="0" collapsed="false">
      <c r="B8062" s="9" t="s">
        <v>36</v>
      </c>
      <c r="C8062" s="9" t="n">
        <v>1189833</v>
      </c>
      <c r="D8062" s="10" t="n">
        <v>44343</v>
      </c>
      <c r="E8062" s="9" t="s">
        <v>33</v>
      </c>
      <c r="F8062" s="9" t="s">
        <v>34</v>
      </c>
      <c r="G8062" s="9" t="s">
        <v>37</v>
      </c>
      <c r="H8062" s="11" t="s">
        <v>22</v>
      </c>
      <c r="I8062" s="12" t="n">
        <v>39</v>
      </c>
      <c r="J8062" s="13" t="n">
        <v>231</v>
      </c>
      <c r="K8062" s="14" t="n">
        <f aca="false">I8062*J8062</f>
        <v>9009</v>
      </c>
      <c r="L8062" s="14" t="n">
        <f aca="false">($L$2*M8062)/100</f>
        <v>552766.59</v>
      </c>
      <c r="M8062" s="15" t="n">
        <v>0.46</v>
      </c>
      <c r="N8062" s="9" t="s">
        <v>26</v>
      </c>
    </row>
    <row r="8063" customFormat="false" ht="14.25" hidden="false" customHeight="true" outlineLevel="0" collapsed="false">
      <c r="B8063" s="9" t="s">
        <v>36</v>
      </c>
      <c r="C8063" s="9" t="n">
        <v>1189833</v>
      </c>
      <c r="D8063" s="10" t="n">
        <v>44344</v>
      </c>
      <c r="E8063" s="9" t="s">
        <v>33</v>
      </c>
      <c r="F8063" s="9" t="s">
        <v>34</v>
      </c>
      <c r="G8063" s="9" t="s">
        <v>37</v>
      </c>
      <c r="H8063" s="11" t="s">
        <v>23</v>
      </c>
      <c r="I8063" s="12" t="n">
        <v>35</v>
      </c>
      <c r="J8063" s="13" t="n">
        <v>224</v>
      </c>
      <c r="K8063" s="14" t="n">
        <f aca="false">I8063*J8063</f>
        <v>7840</v>
      </c>
      <c r="L8063" s="14" t="n">
        <f aca="false">($L$2*M8063)/100</f>
        <v>480666.6</v>
      </c>
      <c r="M8063" s="15" t="n">
        <v>0.4</v>
      </c>
      <c r="N8063" s="9" t="s">
        <v>26</v>
      </c>
    </row>
    <row r="8064" customFormat="false" ht="14.25" hidden="false" customHeight="true" outlineLevel="0" collapsed="false">
      <c r="B8064" s="9" t="s">
        <v>36</v>
      </c>
      <c r="C8064" s="9" t="n">
        <v>1189833</v>
      </c>
      <c r="D8064" s="10" t="n">
        <v>44345</v>
      </c>
      <c r="E8064" s="9" t="s">
        <v>33</v>
      </c>
      <c r="F8064" s="9" t="s">
        <v>34</v>
      </c>
      <c r="G8064" s="9" t="s">
        <v>37</v>
      </c>
      <c r="H8064" s="11" t="s">
        <v>24</v>
      </c>
      <c r="I8064" s="12" t="n">
        <v>43</v>
      </c>
      <c r="J8064" s="13" t="n">
        <v>219</v>
      </c>
      <c r="K8064" s="14" t="n">
        <f aca="false">I8064*J8064</f>
        <v>9417</v>
      </c>
      <c r="L8064" s="14" t="n">
        <f aca="false">($L$2*M8064)/100</f>
        <v>745033.23</v>
      </c>
      <c r="M8064" s="15" t="n">
        <v>0.62</v>
      </c>
      <c r="N8064" s="9" t="s">
        <v>26</v>
      </c>
    </row>
    <row r="8065" customFormat="false" ht="14.25" hidden="false" customHeight="true" outlineLevel="0" collapsed="false">
      <c r="B8065" s="9" t="s">
        <v>36</v>
      </c>
      <c r="C8065" s="9" t="n">
        <v>1189833</v>
      </c>
      <c r="D8065" s="10" t="n">
        <v>44346</v>
      </c>
      <c r="E8065" s="9" t="s">
        <v>33</v>
      </c>
      <c r="F8065" s="9" t="s">
        <v>34</v>
      </c>
      <c r="G8065" s="9" t="s">
        <v>37</v>
      </c>
      <c r="H8065" s="11" t="s">
        <v>25</v>
      </c>
      <c r="I8065" s="12" t="n">
        <v>44</v>
      </c>
      <c r="J8065" s="13" t="n">
        <v>232</v>
      </c>
      <c r="K8065" s="14" t="n">
        <f aca="false">I8065*J8065</f>
        <v>10208</v>
      </c>
      <c r="L8065" s="14" t="n">
        <f aca="false">($L$2*M8065)/100</f>
        <v>300416.625</v>
      </c>
      <c r="M8065" s="15" t="n">
        <v>0.25</v>
      </c>
      <c r="N8065" s="9" t="s">
        <v>26</v>
      </c>
    </row>
    <row r="8066" customFormat="false" ht="14.25" hidden="false" customHeight="true" outlineLevel="0" collapsed="false">
      <c r="B8066" s="9" t="s">
        <v>16</v>
      </c>
      <c r="C8066" s="9" t="n">
        <v>1185732</v>
      </c>
      <c r="D8066" s="10" t="n">
        <v>44347</v>
      </c>
      <c r="E8066" s="9" t="s">
        <v>33</v>
      </c>
      <c r="F8066" s="9" t="s">
        <v>34</v>
      </c>
      <c r="G8066" s="9" t="s">
        <v>37</v>
      </c>
      <c r="H8066" s="11" t="s">
        <v>19</v>
      </c>
      <c r="I8066" s="12" t="n">
        <v>36</v>
      </c>
      <c r="J8066" s="13" t="n">
        <v>147</v>
      </c>
      <c r="K8066" s="14" t="n">
        <f aca="false">I8066*J8066</f>
        <v>5292</v>
      </c>
      <c r="L8066" s="14" t="n">
        <f aca="false">($L$2*M8066)/100</f>
        <v>540749.925</v>
      </c>
      <c r="M8066" s="15" t="n">
        <v>0.45</v>
      </c>
      <c r="N8066" s="9" t="s">
        <v>26</v>
      </c>
    </row>
    <row r="8067" customFormat="false" ht="14.25" hidden="false" customHeight="true" outlineLevel="0" collapsed="false">
      <c r="B8067" s="9" t="s">
        <v>16</v>
      </c>
      <c r="C8067" s="9" t="n">
        <v>1185732</v>
      </c>
      <c r="D8067" s="10" t="n">
        <v>44348</v>
      </c>
      <c r="E8067" s="9" t="s">
        <v>33</v>
      </c>
      <c r="F8067" s="9" t="s">
        <v>34</v>
      </c>
      <c r="G8067" s="9" t="s">
        <v>37</v>
      </c>
      <c r="H8067" s="11" t="s">
        <v>21</v>
      </c>
      <c r="I8067" s="12" t="n">
        <v>31</v>
      </c>
      <c r="J8067" s="13" t="n">
        <v>91</v>
      </c>
      <c r="K8067" s="14" t="n">
        <f aca="false">I8067*J8067</f>
        <v>2821</v>
      </c>
      <c r="L8067" s="14" t="n">
        <f aca="false">($L$2*M8067)/100</f>
        <v>492683.265</v>
      </c>
      <c r="M8067" s="15" t="n">
        <v>0.41</v>
      </c>
      <c r="N8067" s="9" t="s">
        <v>26</v>
      </c>
    </row>
    <row r="8068" customFormat="false" ht="14.25" hidden="false" customHeight="true" outlineLevel="0" collapsed="false">
      <c r="B8068" s="9" t="s">
        <v>16</v>
      </c>
      <c r="C8068" s="9" t="n">
        <v>1185732</v>
      </c>
      <c r="D8068" s="10" t="n">
        <v>44349</v>
      </c>
      <c r="E8068" s="9" t="s">
        <v>33</v>
      </c>
      <c r="F8068" s="9" t="s">
        <v>34</v>
      </c>
      <c r="G8068" s="9" t="s">
        <v>37</v>
      </c>
      <c r="H8068" s="11" t="s">
        <v>22</v>
      </c>
      <c r="I8068" s="12" t="n">
        <v>24</v>
      </c>
      <c r="J8068" s="13" t="n">
        <v>94</v>
      </c>
      <c r="K8068" s="14" t="n">
        <f aca="false">I8068*J8068</f>
        <v>2256</v>
      </c>
      <c r="L8068" s="14" t="n">
        <f aca="false">($L$2*M8068)/100</f>
        <v>468649.935</v>
      </c>
      <c r="M8068" s="15" t="n">
        <v>0.39</v>
      </c>
      <c r="N8068" s="9" t="s">
        <v>26</v>
      </c>
    </row>
    <row r="8069" customFormat="false" ht="14.25" hidden="false" customHeight="true" outlineLevel="0" collapsed="false">
      <c r="B8069" s="9" t="s">
        <v>16</v>
      </c>
      <c r="C8069" s="9" t="n">
        <v>1185732</v>
      </c>
      <c r="D8069" s="10" t="n">
        <v>44350</v>
      </c>
      <c r="E8069" s="9" t="s">
        <v>33</v>
      </c>
      <c r="F8069" s="9" t="s">
        <v>34</v>
      </c>
      <c r="G8069" s="9" t="s">
        <v>37</v>
      </c>
      <c r="H8069" s="11" t="s">
        <v>23</v>
      </c>
      <c r="I8069" s="12" t="n">
        <v>27</v>
      </c>
      <c r="J8069" s="13" t="n">
        <v>41</v>
      </c>
      <c r="K8069" s="14" t="n">
        <f aca="false">I8069*J8069</f>
        <v>1107</v>
      </c>
      <c r="L8069" s="14" t="n">
        <f aca="false">($L$2*M8069)/100</f>
        <v>552766.59</v>
      </c>
      <c r="M8069" s="15" t="n">
        <v>0.46</v>
      </c>
      <c r="N8069" s="9" t="s">
        <v>26</v>
      </c>
    </row>
    <row r="8070" customFormat="false" ht="14.25" hidden="false" customHeight="true" outlineLevel="0" collapsed="false">
      <c r="B8070" s="9" t="s">
        <v>28</v>
      </c>
      <c r="C8070" s="9" t="n">
        <v>1197831</v>
      </c>
      <c r="D8070" s="10" t="n">
        <v>44423</v>
      </c>
      <c r="E8070" s="9" t="s">
        <v>29</v>
      </c>
      <c r="F8070" s="9" t="s">
        <v>30</v>
      </c>
      <c r="G8070" s="9" t="s">
        <v>41</v>
      </c>
      <c r="H8070" s="11" t="s">
        <v>24</v>
      </c>
      <c r="I8070" s="12" t="n">
        <v>26</v>
      </c>
      <c r="J8070" s="13" t="n">
        <v>113</v>
      </c>
      <c r="K8070" s="14" t="n">
        <f aca="false">I8070*J8070</f>
        <v>2938</v>
      </c>
      <c r="L8070" s="14" t="n">
        <f aca="false">($L$2*M8070)/100</f>
        <v>324449.955</v>
      </c>
      <c r="M8070" s="15" t="n">
        <v>0.27</v>
      </c>
      <c r="N8070" s="9" t="s">
        <v>26</v>
      </c>
    </row>
    <row r="8071" customFormat="false" ht="14.25" hidden="false" customHeight="true" outlineLevel="0" collapsed="false">
      <c r="B8071" s="9" t="s">
        <v>28</v>
      </c>
      <c r="C8071" s="9" t="n">
        <v>1197831</v>
      </c>
      <c r="D8071" s="10" t="n">
        <v>44424</v>
      </c>
      <c r="E8071" s="9" t="s">
        <v>29</v>
      </c>
      <c r="F8071" s="9" t="s">
        <v>30</v>
      </c>
      <c r="G8071" s="9" t="s">
        <v>41</v>
      </c>
      <c r="H8071" s="11" t="s">
        <v>25</v>
      </c>
      <c r="I8071" s="12" t="n">
        <v>24</v>
      </c>
      <c r="J8071" s="13" t="n">
        <v>163</v>
      </c>
      <c r="K8071" s="14" t="n">
        <f aca="false">I8071*J8071</f>
        <v>3912</v>
      </c>
      <c r="L8071" s="14" t="n">
        <f aca="false">($L$2*M8071)/100</f>
        <v>576799.92</v>
      </c>
      <c r="M8071" s="15" t="n">
        <v>0.48</v>
      </c>
      <c r="N8071" s="9" t="s">
        <v>26</v>
      </c>
    </row>
    <row r="8072" customFormat="false" ht="14.25" hidden="false" customHeight="true" outlineLevel="0" collapsed="false">
      <c r="B8072" s="9" t="s">
        <v>28</v>
      </c>
      <c r="C8072" s="9" t="n">
        <v>1197831</v>
      </c>
      <c r="D8072" s="10" t="n">
        <v>44425</v>
      </c>
      <c r="E8072" s="9" t="s">
        <v>29</v>
      </c>
      <c r="F8072" s="9" t="s">
        <v>30</v>
      </c>
      <c r="G8072" s="9" t="s">
        <v>41</v>
      </c>
      <c r="H8072" s="11" t="s">
        <v>19</v>
      </c>
      <c r="I8072" s="12" t="n">
        <v>19</v>
      </c>
      <c r="J8072" s="13" t="n">
        <v>230</v>
      </c>
      <c r="K8072" s="14" t="n">
        <f aca="false">I8072*J8072</f>
        <v>4370</v>
      </c>
      <c r="L8072" s="14" t="n">
        <f aca="false">($L$2*M8072)/100</f>
        <v>384533.28</v>
      </c>
      <c r="M8072" s="15" t="n">
        <v>0.32</v>
      </c>
      <c r="N8072" s="9" t="s">
        <v>26</v>
      </c>
    </row>
    <row r="8073" customFormat="false" ht="14.25" hidden="false" customHeight="true" outlineLevel="0" collapsed="false">
      <c r="B8073" s="9" t="s">
        <v>28</v>
      </c>
      <c r="C8073" s="9" t="n">
        <v>1197831</v>
      </c>
      <c r="D8073" s="10" t="n">
        <v>44426</v>
      </c>
      <c r="E8073" s="9" t="s">
        <v>29</v>
      </c>
      <c r="F8073" s="9" t="s">
        <v>30</v>
      </c>
      <c r="G8073" s="9" t="s">
        <v>41</v>
      </c>
      <c r="H8073" s="11" t="s">
        <v>21</v>
      </c>
      <c r="I8073" s="12" t="n">
        <v>23</v>
      </c>
      <c r="J8073" s="13" t="n">
        <v>215</v>
      </c>
      <c r="K8073" s="14" t="n">
        <f aca="false">I8073*J8073</f>
        <v>4945</v>
      </c>
      <c r="L8073" s="14" t="n">
        <f aca="false">($L$2*M8073)/100</f>
        <v>432599.94</v>
      </c>
      <c r="M8073" s="15" t="n">
        <v>0.36</v>
      </c>
      <c r="N8073" s="9" t="s">
        <v>26</v>
      </c>
    </row>
    <row r="8074" customFormat="false" ht="14.25" hidden="false" customHeight="true" outlineLevel="0" collapsed="false">
      <c r="B8074" s="9" t="s">
        <v>28</v>
      </c>
      <c r="C8074" s="9" t="n">
        <v>1197831</v>
      </c>
      <c r="D8074" s="10" t="n">
        <v>44427</v>
      </c>
      <c r="E8074" s="9" t="s">
        <v>29</v>
      </c>
      <c r="F8074" s="9" t="s">
        <v>30</v>
      </c>
      <c r="G8074" s="9" t="s">
        <v>41</v>
      </c>
      <c r="H8074" s="11" t="s">
        <v>22</v>
      </c>
      <c r="I8074" s="12" t="n">
        <v>27</v>
      </c>
      <c r="J8074" s="13" t="n">
        <v>143</v>
      </c>
      <c r="K8074" s="14" t="n">
        <f aca="false">I8074*J8074</f>
        <v>3861</v>
      </c>
      <c r="L8074" s="14" t="n">
        <f aca="false">($L$2*M8074)/100</f>
        <v>420583.275</v>
      </c>
      <c r="M8074" s="15" t="n">
        <v>0.35</v>
      </c>
      <c r="N8074" s="9" t="s">
        <v>26</v>
      </c>
    </row>
    <row r="8075" customFormat="false" ht="14.25" hidden="false" customHeight="true" outlineLevel="0" collapsed="false">
      <c r="B8075" s="9" t="s">
        <v>28</v>
      </c>
      <c r="C8075" s="9" t="n">
        <v>1197831</v>
      </c>
      <c r="D8075" s="10" t="n">
        <v>44428</v>
      </c>
      <c r="E8075" s="9" t="s">
        <v>29</v>
      </c>
      <c r="F8075" s="9" t="s">
        <v>30</v>
      </c>
      <c r="G8075" s="9" t="s">
        <v>41</v>
      </c>
      <c r="H8075" s="11" t="s">
        <v>23</v>
      </c>
      <c r="I8075" s="12" t="n">
        <v>28</v>
      </c>
      <c r="J8075" s="13" t="n">
        <v>136</v>
      </c>
      <c r="K8075" s="14" t="n">
        <f aca="false">I8075*J8075</f>
        <v>3808</v>
      </c>
      <c r="L8075" s="14" t="n">
        <f aca="false">($L$2*M8075)/100</f>
        <v>540749.925</v>
      </c>
      <c r="M8075" s="15" t="n">
        <v>0.45</v>
      </c>
      <c r="N8075" s="9" t="s">
        <v>26</v>
      </c>
    </row>
    <row r="8076" customFormat="false" ht="14.25" hidden="false" customHeight="true" outlineLevel="0" collapsed="false">
      <c r="B8076" s="9" t="s">
        <v>28</v>
      </c>
      <c r="C8076" s="9" t="n">
        <v>1197831</v>
      </c>
      <c r="D8076" s="10" t="n">
        <v>44429</v>
      </c>
      <c r="E8076" s="9" t="s">
        <v>29</v>
      </c>
      <c r="F8076" s="9" t="s">
        <v>30</v>
      </c>
      <c r="G8076" s="9" t="s">
        <v>41</v>
      </c>
      <c r="H8076" s="11" t="s">
        <v>24</v>
      </c>
      <c r="I8076" s="12" t="n">
        <v>26</v>
      </c>
      <c r="J8076" s="13" t="n">
        <v>93</v>
      </c>
      <c r="K8076" s="14" t="n">
        <f aca="false">I8076*J8076</f>
        <v>2418</v>
      </c>
      <c r="L8076" s="14" t="n">
        <f aca="false">($L$2*M8076)/100</f>
        <v>384533.28</v>
      </c>
      <c r="M8076" s="15" t="n">
        <v>0.32</v>
      </c>
      <c r="N8076" s="9" t="s">
        <v>26</v>
      </c>
    </row>
    <row r="8077" customFormat="false" ht="14.25" hidden="false" customHeight="true" outlineLevel="0" collapsed="false">
      <c r="B8077" s="9" t="s">
        <v>28</v>
      </c>
      <c r="C8077" s="9" t="n">
        <v>1197831</v>
      </c>
      <c r="D8077" s="10" t="n">
        <v>44430</v>
      </c>
      <c r="E8077" s="9" t="s">
        <v>29</v>
      </c>
      <c r="F8077" s="9" t="s">
        <v>30</v>
      </c>
      <c r="G8077" s="9" t="s">
        <v>41</v>
      </c>
      <c r="H8077" s="11" t="s">
        <v>25</v>
      </c>
      <c r="I8077" s="12" t="n">
        <v>26</v>
      </c>
      <c r="J8077" s="13" t="n">
        <v>155</v>
      </c>
      <c r="K8077" s="14" t="n">
        <f aca="false">I8077*J8077</f>
        <v>4030</v>
      </c>
      <c r="L8077" s="14" t="n">
        <f aca="false">($L$2*M8077)/100</f>
        <v>612849.915</v>
      </c>
      <c r="M8077" s="15" t="n">
        <v>0.51</v>
      </c>
      <c r="N8077" s="9" t="s">
        <v>26</v>
      </c>
    </row>
    <row r="8078" customFormat="false" ht="14.25" hidden="false" customHeight="true" outlineLevel="0" collapsed="false">
      <c r="B8078" s="9" t="s">
        <v>28</v>
      </c>
      <c r="C8078" s="9" t="n">
        <v>1197831</v>
      </c>
      <c r="D8078" s="10" t="n">
        <v>44431</v>
      </c>
      <c r="E8078" s="9" t="s">
        <v>29</v>
      </c>
      <c r="F8078" s="9" t="s">
        <v>30</v>
      </c>
      <c r="G8078" s="9" t="s">
        <v>41</v>
      </c>
      <c r="H8078" s="11" t="s">
        <v>19</v>
      </c>
      <c r="I8078" s="12" t="n">
        <v>21</v>
      </c>
      <c r="J8078" s="13" t="n">
        <v>203</v>
      </c>
      <c r="K8078" s="14" t="n">
        <f aca="false">I8078*J8078</f>
        <v>4263</v>
      </c>
      <c r="L8078" s="14" t="n">
        <f aca="false">($L$2*M8078)/100</f>
        <v>468649.935</v>
      </c>
      <c r="M8078" s="15" t="n">
        <v>0.39</v>
      </c>
      <c r="N8078" s="9" t="s">
        <v>26</v>
      </c>
    </row>
    <row r="8079" customFormat="false" ht="14.25" hidden="false" customHeight="true" outlineLevel="0" collapsed="false">
      <c r="B8079" s="9" t="s">
        <v>28</v>
      </c>
      <c r="C8079" s="9" t="n">
        <v>1197831</v>
      </c>
      <c r="D8079" s="10" t="n">
        <v>44432</v>
      </c>
      <c r="E8079" s="9" t="s">
        <v>29</v>
      </c>
      <c r="F8079" s="9" t="s">
        <v>30</v>
      </c>
      <c r="G8079" s="9" t="s">
        <v>41</v>
      </c>
      <c r="H8079" s="11" t="s">
        <v>21</v>
      </c>
      <c r="I8079" s="12" t="n">
        <v>31</v>
      </c>
      <c r="J8079" s="13" t="n">
        <v>236</v>
      </c>
      <c r="K8079" s="14" t="n">
        <f aca="false">I8079*J8079</f>
        <v>7316</v>
      </c>
      <c r="L8079" s="14" t="n">
        <f aca="false">($L$2*M8079)/100</f>
        <v>480666.6</v>
      </c>
      <c r="M8079" s="15" t="n">
        <v>0.4</v>
      </c>
      <c r="N8079" s="9" t="s">
        <v>26</v>
      </c>
    </row>
    <row r="8080" customFormat="false" ht="14.25" hidden="false" customHeight="true" outlineLevel="0" collapsed="false">
      <c r="B8080" s="9" t="s">
        <v>28</v>
      </c>
      <c r="C8080" s="9" t="n">
        <v>1197831</v>
      </c>
      <c r="D8080" s="10" t="n">
        <v>44433</v>
      </c>
      <c r="E8080" s="9" t="s">
        <v>29</v>
      </c>
      <c r="F8080" s="9" t="s">
        <v>30</v>
      </c>
      <c r="G8080" s="9" t="s">
        <v>41</v>
      </c>
      <c r="H8080" s="11" t="s">
        <v>22</v>
      </c>
      <c r="I8080" s="12" t="n">
        <v>20</v>
      </c>
      <c r="J8080" s="13" t="n">
        <v>155</v>
      </c>
      <c r="K8080" s="14" t="n">
        <f aca="false">I8080*J8080</f>
        <v>3100</v>
      </c>
      <c r="L8080" s="14" t="n">
        <f aca="false">($L$2*M8080)/100</f>
        <v>456633.27</v>
      </c>
      <c r="M8080" s="15" t="n">
        <v>0.38</v>
      </c>
      <c r="N8080" s="9" t="s">
        <v>26</v>
      </c>
    </row>
    <row r="8081" customFormat="false" ht="14.25" hidden="false" customHeight="true" outlineLevel="0" collapsed="false">
      <c r="B8081" s="9" t="s">
        <v>28</v>
      </c>
      <c r="C8081" s="9" t="n">
        <v>1197831</v>
      </c>
      <c r="D8081" s="10" t="n">
        <v>44434</v>
      </c>
      <c r="E8081" s="9" t="s">
        <v>29</v>
      </c>
      <c r="F8081" s="9" t="s">
        <v>30</v>
      </c>
      <c r="G8081" s="9" t="s">
        <v>41</v>
      </c>
      <c r="H8081" s="11" t="s">
        <v>23</v>
      </c>
      <c r="I8081" s="12" t="n">
        <v>26</v>
      </c>
      <c r="J8081" s="13" t="n">
        <v>140</v>
      </c>
      <c r="K8081" s="14" t="n">
        <f aca="false">I8081*J8081</f>
        <v>3640</v>
      </c>
      <c r="L8081" s="14" t="n">
        <f aca="false">($L$2*M8081)/100</f>
        <v>564783.255</v>
      </c>
      <c r="M8081" s="15" t="n">
        <v>0.47</v>
      </c>
      <c r="N8081" s="9" t="s">
        <v>26</v>
      </c>
    </row>
    <row r="8082" customFormat="false" ht="14.25" hidden="false" customHeight="true" outlineLevel="0" collapsed="false">
      <c r="B8082" s="9" t="s">
        <v>28</v>
      </c>
      <c r="C8082" s="9" t="n">
        <v>1197831</v>
      </c>
      <c r="D8082" s="10" t="n">
        <v>44435</v>
      </c>
      <c r="E8082" s="9" t="s">
        <v>29</v>
      </c>
      <c r="F8082" s="9" t="s">
        <v>30</v>
      </c>
      <c r="G8082" s="9" t="s">
        <v>41</v>
      </c>
      <c r="H8082" s="11" t="s">
        <v>24</v>
      </c>
      <c r="I8082" s="12" t="n">
        <v>29</v>
      </c>
      <c r="J8082" s="13" t="n">
        <v>96</v>
      </c>
      <c r="K8082" s="14" t="n">
        <f aca="false">I8082*J8082</f>
        <v>2784</v>
      </c>
      <c r="L8082" s="14" t="n">
        <f aca="false">($L$2*M8082)/100</f>
        <v>444616.605</v>
      </c>
      <c r="M8082" s="15" t="n">
        <v>0.37</v>
      </c>
      <c r="N8082" s="9" t="s">
        <v>26</v>
      </c>
    </row>
    <row r="8083" customFormat="false" ht="14.25" hidden="false" customHeight="true" outlineLevel="0" collapsed="false">
      <c r="B8083" s="9" t="s">
        <v>28</v>
      </c>
      <c r="C8083" s="9" t="n">
        <v>1197831</v>
      </c>
      <c r="D8083" s="10" t="n">
        <v>44436</v>
      </c>
      <c r="E8083" s="9" t="s">
        <v>29</v>
      </c>
      <c r="F8083" s="9" t="s">
        <v>30</v>
      </c>
      <c r="G8083" s="9" t="s">
        <v>41</v>
      </c>
      <c r="H8083" s="11" t="s">
        <v>25</v>
      </c>
      <c r="I8083" s="12" t="n">
        <v>27</v>
      </c>
      <c r="J8083" s="13" t="n">
        <v>153</v>
      </c>
      <c r="K8083" s="14" t="n">
        <f aca="false">I8083*J8083</f>
        <v>4131</v>
      </c>
      <c r="L8083" s="14" t="n">
        <f aca="false">($L$2*M8083)/100</f>
        <v>648899.91</v>
      </c>
      <c r="M8083" s="15" t="n">
        <v>0.54</v>
      </c>
      <c r="N8083" s="9" t="s">
        <v>26</v>
      </c>
    </row>
    <row r="8084" customFormat="false" ht="14.25" hidden="false" customHeight="true" outlineLevel="0" collapsed="false">
      <c r="B8084" s="9" t="s">
        <v>28</v>
      </c>
      <c r="C8084" s="9" t="n">
        <v>1197831</v>
      </c>
      <c r="D8084" s="10" t="n">
        <v>44437</v>
      </c>
      <c r="E8084" s="9" t="s">
        <v>29</v>
      </c>
      <c r="F8084" s="9" t="s">
        <v>30</v>
      </c>
      <c r="G8084" s="9" t="s">
        <v>41</v>
      </c>
      <c r="H8084" s="11" t="s">
        <v>19</v>
      </c>
      <c r="I8084" s="12" t="n">
        <v>13</v>
      </c>
      <c r="J8084" s="13" t="n">
        <v>231</v>
      </c>
      <c r="K8084" s="14" t="n">
        <f aca="false">I8084*J8084</f>
        <v>3003</v>
      </c>
      <c r="L8084" s="14" t="n">
        <f aca="false">($L$2*M8084)/100</f>
        <v>480666.6</v>
      </c>
      <c r="M8084" s="15" t="n">
        <v>0.4</v>
      </c>
      <c r="N8084" s="9" t="s">
        <v>26</v>
      </c>
    </row>
    <row r="8085" customFormat="false" ht="14.25" hidden="false" customHeight="true" outlineLevel="0" collapsed="false">
      <c r="B8085" s="9" t="s">
        <v>28</v>
      </c>
      <c r="C8085" s="9" t="n">
        <v>1197831</v>
      </c>
      <c r="D8085" s="10" t="n">
        <v>44438</v>
      </c>
      <c r="E8085" s="9" t="s">
        <v>29</v>
      </c>
      <c r="F8085" s="9" t="s">
        <v>30</v>
      </c>
      <c r="G8085" s="9" t="s">
        <v>41</v>
      </c>
      <c r="H8085" s="11" t="s">
        <v>21</v>
      </c>
      <c r="I8085" s="12" t="n">
        <v>21</v>
      </c>
      <c r="J8085" s="13" t="n">
        <v>210</v>
      </c>
      <c r="K8085" s="14" t="n">
        <f aca="false">I8085*J8085</f>
        <v>4410</v>
      </c>
      <c r="L8085" s="14" t="n">
        <f aca="false">($L$2*M8085)/100</f>
        <v>480666.6</v>
      </c>
      <c r="M8085" s="15" t="n">
        <v>0.4</v>
      </c>
      <c r="N8085" s="9" t="s">
        <v>26</v>
      </c>
    </row>
    <row r="8086" customFormat="false" ht="14.25" hidden="false" customHeight="true" outlineLevel="0" collapsed="false">
      <c r="B8086" s="9" t="s">
        <v>28</v>
      </c>
      <c r="C8086" s="9" t="n">
        <v>1197831</v>
      </c>
      <c r="D8086" s="10" t="n">
        <v>44439</v>
      </c>
      <c r="E8086" s="9" t="s">
        <v>29</v>
      </c>
      <c r="F8086" s="9" t="s">
        <v>30</v>
      </c>
      <c r="G8086" s="9" t="s">
        <v>41</v>
      </c>
      <c r="H8086" s="11" t="s">
        <v>22</v>
      </c>
      <c r="I8086" s="12" t="n">
        <v>20</v>
      </c>
      <c r="J8086" s="13" t="n">
        <v>179</v>
      </c>
      <c r="K8086" s="14" t="n">
        <f aca="false">I8086*J8086</f>
        <v>3580</v>
      </c>
      <c r="L8086" s="14" t="n">
        <f aca="false">($L$2*M8086)/100</f>
        <v>468649.935</v>
      </c>
      <c r="M8086" s="15" t="n">
        <v>0.39</v>
      </c>
      <c r="N8086" s="9" t="s">
        <v>26</v>
      </c>
    </row>
    <row r="8087" customFormat="false" ht="14.25" hidden="false" customHeight="true" outlineLevel="0" collapsed="false">
      <c r="B8087" s="9" t="s">
        <v>28</v>
      </c>
      <c r="C8087" s="9" t="n">
        <v>1197831</v>
      </c>
      <c r="D8087" s="10" t="n">
        <v>44440</v>
      </c>
      <c r="E8087" s="9" t="s">
        <v>29</v>
      </c>
      <c r="F8087" s="9" t="s">
        <v>30</v>
      </c>
      <c r="G8087" s="9" t="s">
        <v>41</v>
      </c>
      <c r="H8087" s="11" t="s">
        <v>23</v>
      </c>
      <c r="I8087" s="12" t="n">
        <v>20</v>
      </c>
      <c r="J8087" s="13" t="n">
        <v>149</v>
      </c>
      <c r="K8087" s="14" t="n">
        <f aca="false">I8087*J8087</f>
        <v>2980</v>
      </c>
      <c r="L8087" s="14" t="n">
        <f aca="false">($L$2*M8087)/100</f>
        <v>588816.585</v>
      </c>
      <c r="M8087" s="15" t="n">
        <v>0.49</v>
      </c>
      <c r="N8087" s="9" t="s">
        <v>26</v>
      </c>
    </row>
    <row r="8088" customFormat="false" ht="14.25" hidden="false" customHeight="true" outlineLevel="0" collapsed="false">
      <c r="B8088" s="9" t="s">
        <v>28</v>
      </c>
      <c r="C8088" s="9" t="n">
        <v>1197831</v>
      </c>
      <c r="D8088" s="10" t="n">
        <v>44441</v>
      </c>
      <c r="E8088" s="9" t="s">
        <v>29</v>
      </c>
      <c r="F8088" s="9" t="s">
        <v>30</v>
      </c>
      <c r="G8088" s="9" t="s">
        <v>41</v>
      </c>
      <c r="H8088" s="11" t="s">
        <v>24</v>
      </c>
      <c r="I8088" s="12" t="n">
        <v>26</v>
      </c>
      <c r="J8088" s="13" t="n">
        <v>107</v>
      </c>
      <c r="K8088" s="14" t="n">
        <f aca="false">I8088*J8088</f>
        <v>2782</v>
      </c>
      <c r="L8088" s="14" t="n">
        <f aca="false">($L$2*M8088)/100</f>
        <v>432599.94</v>
      </c>
      <c r="M8088" s="15" t="n">
        <v>0.36</v>
      </c>
      <c r="N8088" s="9" t="s">
        <v>26</v>
      </c>
    </row>
    <row r="8089" customFormat="false" ht="14.25" hidden="false" customHeight="true" outlineLevel="0" collapsed="false">
      <c r="B8089" s="9" t="s">
        <v>28</v>
      </c>
      <c r="C8089" s="9" t="n">
        <v>1197831</v>
      </c>
      <c r="D8089" s="10" t="n">
        <v>44442</v>
      </c>
      <c r="E8089" s="9" t="s">
        <v>29</v>
      </c>
      <c r="F8089" s="9" t="s">
        <v>30</v>
      </c>
      <c r="G8089" s="9" t="s">
        <v>41</v>
      </c>
      <c r="H8089" s="11" t="s">
        <v>25</v>
      </c>
      <c r="I8089" s="12" t="n">
        <v>22</v>
      </c>
      <c r="J8089" s="13" t="n">
        <v>210</v>
      </c>
      <c r="K8089" s="14" t="n">
        <f aca="false">I8089*J8089</f>
        <v>4620</v>
      </c>
      <c r="L8089" s="14" t="n">
        <f aca="false">($L$2*M8089)/100</f>
        <v>684949.905</v>
      </c>
      <c r="M8089" s="15" t="n">
        <v>0.57</v>
      </c>
      <c r="N8089" s="9" t="s">
        <v>26</v>
      </c>
    </row>
    <row r="8090" customFormat="false" ht="14.25" hidden="false" customHeight="true" outlineLevel="0" collapsed="false">
      <c r="B8090" s="9" t="s">
        <v>28</v>
      </c>
      <c r="C8090" s="9" t="n">
        <v>1197831</v>
      </c>
      <c r="D8090" s="10" t="n">
        <v>44443</v>
      </c>
      <c r="E8090" s="9" t="s">
        <v>29</v>
      </c>
      <c r="F8090" s="9" t="s">
        <v>30</v>
      </c>
      <c r="G8090" s="9" t="s">
        <v>41</v>
      </c>
      <c r="H8090" s="11" t="s">
        <v>19</v>
      </c>
      <c r="I8090" s="12" t="n">
        <v>13</v>
      </c>
      <c r="J8090" s="13" t="n">
        <v>233</v>
      </c>
      <c r="K8090" s="14" t="n">
        <f aca="false">I8090*J8090</f>
        <v>3029</v>
      </c>
      <c r="L8090" s="14" t="n">
        <f aca="false">($L$2*M8090)/100</f>
        <v>456633.27</v>
      </c>
      <c r="M8090" s="15" t="n">
        <v>0.38</v>
      </c>
      <c r="N8090" s="9" t="s">
        <v>26</v>
      </c>
    </row>
    <row r="8091" customFormat="false" ht="14.25" hidden="false" customHeight="true" outlineLevel="0" collapsed="false">
      <c r="B8091" s="9" t="s">
        <v>28</v>
      </c>
      <c r="C8091" s="9" t="n">
        <v>1197831</v>
      </c>
      <c r="D8091" s="10" t="n">
        <v>44444</v>
      </c>
      <c r="E8091" s="9" t="s">
        <v>29</v>
      </c>
      <c r="F8091" s="9" t="s">
        <v>30</v>
      </c>
      <c r="G8091" s="9" t="s">
        <v>41</v>
      </c>
      <c r="H8091" s="11" t="s">
        <v>21</v>
      </c>
      <c r="I8091" s="12" t="n">
        <v>22</v>
      </c>
      <c r="J8091" s="13" t="n">
        <v>248</v>
      </c>
      <c r="K8091" s="14" t="n">
        <f aca="false">I8091*J8091</f>
        <v>5456</v>
      </c>
      <c r="L8091" s="14" t="n">
        <f aca="false">($L$2*M8091)/100</f>
        <v>504699.93</v>
      </c>
      <c r="M8091" s="15" t="n">
        <v>0.42</v>
      </c>
      <c r="N8091" s="9" t="s">
        <v>26</v>
      </c>
    </row>
    <row r="8092" customFormat="false" ht="14.25" hidden="false" customHeight="true" outlineLevel="0" collapsed="false">
      <c r="B8092" s="9" t="s">
        <v>28</v>
      </c>
      <c r="C8092" s="9" t="n">
        <v>1197831</v>
      </c>
      <c r="D8092" s="10" t="n">
        <v>44445</v>
      </c>
      <c r="E8092" s="9" t="s">
        <v>29</v>
      </c>
      <c r="F8092" s="9" t="s">
        <v>30</v>
      </c>
      <c r="G8092" s="9" t="s">
        <v>41</v>
      </c>
      <c r="H8092" s="11" t="s">
        <v>22</v>
      </c>
      <c r="I8092" s="12" t="n">
        <v>19</v>
      </c>
      <c r="J8092" s="13" t="n">
        <v>200</v>
      </c>
      <c r="K8092" s="14" t="n">
        <f aca="false">I8092*J8092</f>
        <v>3800</v>
      </c>
      <c r="L8092" s="14" t="n">
        <f aca="false">($L$2*M8092)/100</f>
        <v>480666.6</v>
      </c>
      <c r="M8092" s="15" t="n">
        <v>0.4</v>
      </c>
      <c r="N8092" s="9" t="s">
        <v>26</v>
      </c>
    </row>
    <row r="8093" customFormat="false" ht="14.25" hidden="false" customHeight="true" outlineLevel="0" collapsed="false">
      <c r="B8093" s="9" t="s">
        <v>28</v>
      </c>
      <c r="C8093" s="9" t="n">
        <v>1197831</v>
      </c>
      <c r="D8093" s="10" t="n">
        <v>44446</v>
      </c>
      <c r="E8093" s="9" t="s">
        <v>29</v>
      </c>
      <c r="F8093" s="9" t="s">
        <v>30</v>
      </c>
      <c r="G8093" s="9" t="s">
        <v>41</v>
      </c>
      <c r="H8093" s="11" t="s">
        <v>23</v>
      </c>
      <c r="I8093" s="12" t="n">
        <v>27</v>
      </c>
      <c r="J8093" s="13" t="n">
        <v>182</v>
      </c>
      <c r="K8093" s="14" t="n">
        <f aca="false">I8093*J8093</f>
        <v>4914</v>
      </c>
      <c r="L8093" s="14" t="n">
        <f aca="false">($L$2*M8093)/100</f>
        <v>588816.585</v>
      </c>
      <c r="M8093" s="15" t="n">
        <v>0.49</v>
      </c>
      <c r="N8093" s="9" t="s">
        <v>26</v>
      </c>
    </row>
    <row r="8094" customFormat="false" ht="14.25" hidden="false" customHeight="true" outlineLevel="0" collapsed="false">
      <c r="B8094" s="9" t="s">
        <v>28</v>
      </c>
      <c r="C8094" s="9" t="n">
        <v>1197831</v>
      </c>
      <c r="D8094" s="10" t="n">
        <v>44447</v>
      </c>
      <c r="E8094" s="9" t="s">
        <v>29</v>
      </c>
      <c r="F8094" s="9" t="s">
        <v>30</v>
      </c>
      <c r="G8094" s="9" t="s">
        <v>41</v>
      </c>
      <c r="H8094" s="11" t="s">
        <v>24</v>
      </c>
      <c r="I8094" s="12" t="n">
        <v>38</v>
      </c>
      <c r="J8094" s="13" t="n">
        <v>153</v>
      </c>
      <c r="K8094" s="14" t="n">
        <f aca="false">I8094*J8094</f>
        <v>5814</v>
      </c>
      <c r="L8094" s="14" t="n">
        <f aca="false">($L$2*M8094)/100</f>
        <v>432599.94</v>
      </c>
      <c r="M8094" s="15" t="n">
        <v>0.36</v>
      </c>
      <c r="N8094" s="9" t="s">
        <v>26</v>
      </c>
    </row>
    <row r="8095" customFormat="false" ht="14.25" hidden="false" customHeight="true" outlineLevel="0" collapsed="false">
      <c r="B8095" s="9" t="s">
        <v>28</v>
      </c>
      <c r="C8095" s="9" t="n">
        <v>1197831</v>
      </c>
      <c r="D8095" s="10" t="n">
        <v>44448</v>
      </c>
      <c r="E8095" s="9" t="s">
        <v>29</v>
      </c>
      <c r="F8095" s="9" t="s">
        <v>30</v>
      </c>
      <c r="G8095" s="9" t="s">
        <v>41</v>
      </c>
      <c r="H8095" s="11" t="s">
        <v>25</v>
      </c>
      <c r="I8095" s="12" t="n">
        <v>34</v>
      </c>
      <c r="J8095" s="13" t="n">
        <v>264</v>
      </c>
      <c r="K8095" s="14" t="n">
        <f aca="false">I8095*J8095</f>
        <v>8976</v>
      </c>
      <c r="L8095" s="14" t="n">
        <f aca="false">($L$2*M8095)/100</f>
        <v>624866.58</v>
      </c>
      <c r="M8095" s="15" t="n">
        <v>0.52</v>
      </c>
      <c r="N8095" s="9" t="s">
        <v>26</v>
      </c>
    </row>
    <row r="8096" customFormat="false" ht="14.25" hidden="false" customHeight="true" outlineLevel="0" collapsed="false">
      <c r="B8096" s="9" t="s">
        <v>28</v>
      </c>
      <c r="C8096" s="9" t="n">
        <v>1197831</v>
      </c>
      <c r="D8096" s="10" t="n">
        <v>44449</v>
      </c>
      <c r="E8096" s="9" t="s">
        <v>29</v>
      </c>
      <c r="F8096" s="9" t="s">
        <v>30</v>
      </c>
      <c r="G8096" s="9" t="s">
        <v>41</v>
      </c>
      <c r="H8096" s="11" t="s">
        <v>19</v>
      </c>
      <c r="I8096" s="12" t="n">
        <v>30</v>
      </c>
      <c r="J8096" s="13" t="n">
        <v>256</v>
      </c>
      <c r="K8096" s="14" t="n">
        <f aca="false">I8096*J8096</f>
        <v>7680</v>
      </c>
      <c r="L8096" s="14" t="n">
        <f aca="false">($L$2*M8096)/100</f>
        <v>444616.605</v>
      </c>
      <c r="M8096" s="15" t="n">
        <v>0.37</v>
      </c>
      <c r="N8096" s="9" t="s">
        <v>26</v>
      </c>
    </row>
    <row r="8097" customFormat="false" ht="14.25" hidden="false" customHeight="true" outlineLevel="0" collapsed="false">
      <c r="B8097" s="9" t="s">
        <v>28</v>
      </c>
      <c r="C8097" s="9" t="n">
        <v>1197831</v>
      </c>
      <c r="D8097" s="10" t="n">
        <v>44450</v>
      </c>
      <c r="E8097" s="9" t="s">
        <v>29</v>
      </c>
      <c r="F8097" s="9" t="s">
        <v>30</v>
      </c>
      <c r="G8097" s="9" t="s">
        <v>41</v>
      </c>
      <c r="H8097" s="11" t="s">
        <v>21</v>
      </c>
      <c r="I8097" s="12" t="n">
        <v>40</v>
      </c>
      <c r="J8097" s="13" t="n">
        <v>280</v>
      </c>
      <c r="K8097" s="14" t="n">
        <f aca="false">I8097*J8097</f>
        <v>11200</v>
      </c>
      <c r="L8097" s="14" t="n">
        <f aca="false">($L$2*M8097)/100</f>
        <v>492683.265</v>
      </c>
      <c r="M8097" s="15" t="n">
        <v>0.41</v>
      </c>
      <c r="N8097" s="9" t="s">
        <v>26</v>
      </c>
    </row>
    <row r="8098" customFormat="false" ht="14.25" hidden="false" customHeight="true" outlineLevel="0" collapsed="false">
      <c r="B8098" s="9" t="s">
        <v>28</v>
      </c>
      <c r="C8098" s="9" t="n">
        <v>1197831</v>
      </c>
      <c r="D8098" s="10" t="n">
        <v>44451</v>
      </c>
      <c r="E8098" s="9" t="s">
        <v>29</v>
      </c>
      <c r="F8098" s="9" t="s">
        <v>30</v>
      </c>
      <c r="G8098" s="9" t="s">
        <v>41</v>
      </c>
      <c r="H8098" s="11" t="s">
        <v>22</v>
      </c>
      <c r="I8098" s="12" t="n">
        <v>30</v>
      </c>
      <c r="J8098" s="13" t="n">
        <v>215</v>
      </c>
      <c r="K8098" s="14" t="n">
        <f aca="false">I8098*J8098</f>
        <v>6450</v>
      </c>
      <c r="L8098" s="14" t="n">
        <f aca="false">($L$2*M8098)/100</f>
        <v>468649.935</v>
      </c>
      <c r="M8098" s="15" t="n">
        <v>0.39</v>
      </c>
      <c r="N8098" s="9" t="s">
        <v>26</v>
      </c>
    </row>
    <row r="8099" customFormat="false" ht="14.25" hidden="false" customHeight="true" outlineLevel="0" collapsed="false">
      <c r="B8099" s="9" t="s">
        <v>28</v>
      </c>
      <c r="C8099" s="9" t="n">
        <v>1197831</v>
      </c>
      <c r="D8099" s="10" t="n">
        <v>44452</v>
      </c>
      <c r="E8099" s="9" t="s">
        <v>29</v>
      </c>
      <c r="F8099" s="9" t="s">
        <v>30</v>
      </c>
      <c r="G8099" s="9" t="s">
        <v>41</v>
      </c>
      <c r="H8099" s="11" t="s">
        <v>23</v>
      </c>
      <c r="I8099" s="12" t="n">
        <v>29</v>
      </c>
      <c r="J8099" s="13" t="n">
        <v>192</v>
      </c>
      <c r="K8099" s="14" t="n">
        <f aca="false">I8099*J8099</f>
        <v>5568</v>
      </c>
      <c r="L8099" s="14" t="n">
        <f aca="false">($L$2*M8099)/100</f>
        <v>588816.585</v>
      </c>
      <c r="M8099" s="15" t="n">
        <v>0.49</v>
      </c>
      <c r="N8099" s="9" t="s">
        <v>26</v>
      </c>
    </row>
    <row r="8100" customFormat="false" ht="14.25" hidden="false" customHeight="true" outlineLevel="0" collapsed="false">
      <c r="B8100" s="9" t="s">
        <v>28</v>
      </c>
      <c r="C8100" s="9" t="n">
        <v>1197831</v>
      </c>
      <c r="D8100" s="10" t="n">
        <v>44453</v>
      </c>
      <c r="E8100" s="9" t="s">
        <v>29</v>
      </c>
      <c r="F8100" s="9" t="s">
        <v>30</v>
      </c>
      <c r="G8100" s="9" t="s">
        <v>41</v>
      </c>
      <c r="H8100" s="11" t="s">
        <v>24</v>
      </c>
      <c r="I8100" s="12" t="n">
        <v>40</v>
      </c>
      <c r="J8100" s="13" t="n">
        <v>150</v>
      </c>
      <c r="K8100" s="14" t="n">
        <f aca="false">I8100*J8100</f>
        <v>6000</v>
      </c>
      <c r="L8100" s="14" t="n">
        <f aca="false">($L$2*M8100)/100</f>
        <v>444616.605</v>
      </c>
      <c r="M8100" s="15" t="n">
        <v>0.37</v>
      </c>
      <c r="N8100" s="9" t="s">
        <v>26</v>
      </c>
    </row>
    <row r="8101" customFormat="false" ht="14.25" hidden="false" customHeight="true" outlineLevel="0" collapsed="false">
      <c r="B8101" s="9" t="s">
        <v>28</v>
      </c>
      <c r="C8101" s="9" t="n">
        <v>1197831</v>
      </c>
      <c r="D8101" s="10" t="n">
        <v>44454</v>
      </c>
      <c r="E8101" s="9" t="s">
        <v>29</v>
      </c>
      <c r="F8101" s="9" t="s">
        <v>30</v>
      </c>
      <c r="G8101" s="9" t="s">
        <v>41</v>
      </c>
      <c r="H8101" s="11" t="s">
        <v>25</v>
      </c>
      <c r="I8101" s="12" t="n">
        <v>42</v>
      </c>
      <c r="J8101" s="13" t="n">
        <v>280</v>
      </c>
      <c r="K8101" s="14" t="n">
        <f aca="false">I8101*J8101</f>
        <v>11760</v>
      </c>
      <c r="L8101" s="14" t="n">
        <f aca="false">($L$2*M8101)/100</f>
        <v>660916.575</v>
      </c>
      <c r="M8101" s="15" t="n">
        <v>0.55</v>
      </c>
      <c r="N8101" s="9" t="s">
        <v>26</v>
      </c>
    </row>
    <row r="8102" customFormat="false" ht="14.25" hidden="false" customHeight="true" outlineLevel="0" collapsed="false">
      <c r="B8102" s="9" t="s">
        <v>28</v>
      </c>
      <c r="C8102" s="9" t="n">
        <v>1197831</v>
      </c>
      <c r="D8102" s="10" t="n">
        <v>44455</v>
      </c>
      <c r="E8102" s="9" t="s">
        <v>29</v>
      </c>
      <c r="F8102" s="9" t="s">
        <v>30</v>
      </c>
      <c r="G8102" s="9" t="s">
        <v>41</v>
      </c>
      <c r="H8102" s="11" t="s">
        <v>19</v>
      </c>
      <c r="I8102" s="12" t="n">
        <v>34</v>
      </c>
      <c r="J8102" s="13" t="n">
        <v>256</v>
      </c>
      <c r="K8102" s="14" t="n">
        <f aca="false">I8102*J8102</f>
        <v>8704</v>
      </c>
      <c r="L8102" s="14" t="n">
        <f aca="false">($L$2*M8102)/100</f>
        <v>504699.93</v>
      </c>
      <c r="M8102" s="15" t="n">
        <v>0.42</v>
      </c>
      <c r="N8102" s="9" t="s">
        <v>26</v>
      </c>
    </row>
    <row r="8103" customFormat="false" ht="14.25" hidden="false" customHeight="true" outlineLevel="0" collapsed="false">
      <c r="B8103" s="9" t="s">
        <v>28</v>
      </c>
      <c r="C8103" s="9" t="n">
        <v>1197831</v>
      </c>
      <c r="D8103" s="10" t="n">
        <v>44456</v>
      </c>
      <c r="E8103" s="9" t="s">
        <v>29</v>
      </c>
      <c r="F8103" s="9" t="s">
        <v>30</v>
      </c>
      <c r="G8103" s="9" t="s">
        <v>41</v>
      </c>
      <c r="H8103" s="11" t="s">
        <v>21</v>
      </c>
      <c r="I8103" s="12" t="n">
        <v>34</v>
      </c>
      <c r="J8103" s="13" t="n">
        <v>264</v>
      </c>
      <c r="K8103" s="14" t="n">
        <f aca="false">I8103*J8103</f>
        <v>8976</v>
      </c>
      <c r="L8103" s="14" t="n">
        <f aca="false">($L$2*M8103)/100</f>
        <v>504699.93</v>
      </c>
      <c r="M8103" s="15" t="n">
        <v>0.42</v>
      </c>
      <c r="N8103" s="9" t="s">
        <v>26</v>
      </c>
    </row>
    <row r="8104" customFormat="false" ht="14.25" hidden="false" customHeight="true" outlineLevel="0" collapsed="false">
      <c r="B8104" s="9" t="s">
        <v>28</v>
      </c>
      <c r="C8104" s="9" t="n">
        <v>1197831</v>
      </c>
      <c r="D8104" s="10" t="n">
        <v>44457</v>
      </c>
      <c r="E8104" s="9" t="s">
        <v>29</v>
      </c>
      <c r="F8104" s="9" t="s">
        <v>30</v>
      </c>
      <c r="G8104" s="9" t="s">
        <v>41</v>
      </c>
      <c r="H8104" s="11" t="s">
        <v>22</v>
      </c>
      <c r="I8104" s="12" t="n">
        <v>33</v>
      </c>
      <c r="J8104" s="13" t="n">
        <v>322</v>
      </c>
      <c r="K8104" s="14" t="n">
        <f aca="false">I8104*J8104</f>
        <v>10626</v>
      </c>
      <c r="L8104" s="14" t="n">
        <f aca="false">($L$2*M8104)/100</f>
        <v>504699.93</v>
      </c>
      <c r="M8104" s="15" t="n">
        <v>0.42</v>
      </c>
      <c r="N8104" s="9" t="s">
        <v>26</v>
      </c>
    </row>
    <row r="8105" customFormat="false" ht="14.25" hidden="false" customHeight="true" outlineLevel="0" collapsed="false">
      <c r="B8105" s="9" t="s">
        <v>28</v>
      </c>
      <c r="C8105" s="9" t="n">
        <v>1197831</v>
      </c>
      <c r="D8105" s="10" t="n">
        <v>44458</v>
      </c>
      <c r="E8105" s="9" t="s">
        <v>29</v>
      </c>
      <c r="F8105" s="9" t="s">
        <v>30</v>
      </c>
      <c r="G8105" s="9" t="s">
        <v>41</v>
      </c>
      <c r="H8105" s="11" t="s">
        <v>23</v>
      </c>
      <c r="I8105" s="12" t="n">
        <v>32</v>
      </c>
      <c r="J8105" s="13" t="n">
        <v>201</v>
      </c>
      <c r="K8105" s="14" t="n">
        <f aca="false">I8105*J8105</f>
        <v>6432</v>
      </c>
      <c r="L8105" s="14" t="n">
        <f aca="false">($L$2*M8105)/100</f>
        <v>660916.575</v>
      </c>
      <c r="M8105" s="15" t="n">
        <v>0.55</v>
      </c>
      <c r="N8105" s="9" t="s">
        <v>26</v>
      </c>
    </row>
    <row r="8106" customFormat="false" ht="14.25" hidden="false" customHeight="true" outlineLevel="0" collapsed="false">
      <c r="B8106" s="9" t="s">
        <v>28</v>
      </c>
      <c r="C8106" s="9" t="n">
        <v>1197831</v>
      </c>
      <c r="D8106" s="10" t="n">
        <v>44459</v>
      </c>
      <c r="E8106" s="9" t="s">
        <v>29</v>
      </c>
      <c r="F8106" s="9" t="s">
        <v>30</v>
      </c>
      <c r="G8106" s="9" t="s">
        <v>41</v>
      </c>
      <c r="H8106" s="11" t="s">
        <v>24</v>
      </c>
      <c r="I8106" s="12" t="n">
        <v>39</v>
      </c>
      <c r="J8106" s="13" t="n">
        <v>184</v>
      </c>
      <c r="K8106" s="14" t="n">
        <f aca="false">I8106*J8106</f>
        <v>7176</v>
      </c>
      <c r="L8106" s="14" t="n">
        <f aca="false">($L$2*M8106)/100</f>
        <v>456633.27</v>
      </c>
      <c r="M8106" s="15" t="n">
        <v>0.38</v>
      </c>
      <c r="N8106" s="9" t="s">
        <v>26</v>
      </c>
    </row>
    <row r="8107" customFormat="false" ht="14.25" hidden="false" customHeight="true" outlineLevel="0" collapsed="false">
      <c r="B8107" s="9" t="s">
        <v>28</v>
      </c>
      <c r="C8107" s="9" t="n">
        <v>1197831</v>
      </c>
      <c r="D8107" s="10" t="n">
        <v>44460</v>
      </c>
      <c r="E8107" s="9" t="s">
        <v>29</v>
      </c>
      <c r="F8107" s="9" t="s">
        <v>30</v>
      </c>
      <c r="G8107" s="9" t="s">
        <v>41</v>
      </c>
      <c r="H8107" s="11" t="s">
        <v>25</v>
      </c>
      <c r="I8107" s="12" t="n">
        <v>47</v>
      </c>
      <c r="J8107" s="13" t="n">
        <v>272</v>
      </c>
      <c r="K8107" s="14" t="n">
        <f aca="false">I8107*J8107</f>
        <v>12784</v>
      </c>
      <c r="L8107" s="14" t="n">
        <f aca="false">($L$2*M8107)/100</f>
        <v>684949.905</v>
      </c>
      <c r="M8107" s="15" t="n">
        <v>0.57</v>
      </c>
      <c r="N8107" s="9" t="s">
        <v>26</v>
      </c>
    </row>
    <row r="8108" customFormat="false" ht="14.25" hidden="false" customHeight="true" outlineLevel="0" collapsed="false">
      <c r="B8108" s="9" t="s">
        <v>28</v>
      </c>
      <c r="C8108" s="9" t="n">
        <v>1197831</v>
      </c>
      <c r="D8108" s="10" t="n">
        <v>44461</v>
      </c>
      <c r="E8108" s="9" t="s">
        <v>29</v>
      </c>
      <c r="F8108" s="9" t="s">
        <v>30</v>
      </c>
      <c r="G8108" s="9" t="s">
        <v>41</v>
      </c>
      <c r="H8108" s="11" t="s">
        <v>19</v>
      </c>
      <c r="I8108" s="12" t="n">
        <v>34</v>
      </c>
      <c r="J8108" s="13" t="n">
        <v>248</v>
      </c>
      <c r="K8108" s="14" t="n">
        <f aca="false">I8108*J8108</f>
        <v>8432</v>
      </c>
      <c r="L8108" s="14" t="n">
        <f aca="false">($L$2*M8108)/100</f>
        <v>516716.595</v>
      </c>
      <c r="M8108" s="15" t="n">
        <v>0.43</v>
      </c>
      <c r="N8108" s="9" t="s">
        <v>26</v>
      </c>
    </row>
    <row r="8109" customFormat="false" ht="14.25" hidden="false" customHeight="true" outlineLevel="0" collapsed="false">
      <c r="B8109" s="9" t="s">
        <v>28</v>
      </c>
      <c r="C8109" s="9" t="n">
        <v>1197831</v>
      </c>
      <c r="D8109" s="10" t="n">
        <v>44462</v>
      </c>
      <c r="E8109" s="9" t="s">
        <v>29</v>
      </c>
      <c r="F8109" s="9" t="s">
        <v>30</v>
      </c>
      <c r="G8109" s="9" t="s">
        <v>41</v>
      </c>
      <c r="H8109" s="11" t="s">
        <v>21</v>
      </c>
      <c r="I8109" s="12" t="n">
        <v>43</v>
      </c>
      <c r="J8109" s="13" t="n">
        <v>256</v>
      </c>
      <c r="K8109" s="14" t="n">
        <f aca="false">I8109*J8109</f>
        <v>11008</v>
      </c>
      <c r="L8109" s="14" t="n">
        <f aca="false">($L$2*M8109)/100</f>
        <v>552766.59</v>
      </c>
      <c r="M8109" s="15" t="n">
        <v>0.46</v>
      </c>
      <c r="N8109" s="9" t="s">
        <v>26</v>
      </c>
    </row>
    <row r="8110" customFormat="false" ht="14.25" hidden="false" customHeight="true" outlineLevel="0" collapsed="false">
      <c r="B8110" s="9" t="s">
        <v>28</v>
      </c>
      <c r="C8110" s="9" t="n">
        <v>1197831</v>
      </c>
      <c r="D8110" s="10" t="n">
        <v>44463</v>
      </c>
      <c r="E8110" s="9" t="s">
        <v>29</v>
      </c>
      <c r="F8110" s="9" t="s">
        <v>30</v>
      </c>
      <c r="G8110" s="9" t="s">
        <v>41</v>
      </c>
      <c r="H8110" s="11" t="s">
        <v>22</v>
      </c>
      <c r="I8110" s="12" t="n">
        <v>35</v>
      </c>
      <c r="J8110" s="13" t="n">
        <v>332</v>
      </c>
      <c r="K8110" s="14" t="n">
        <f aca="false">I8110*J8110</f>
        <v>11620</v>
      </c>
      <c r="L8110" s="14" t="n">
        <f aca="false">($L$2*M8110)/100</f>
        <v>564783.255</v>
      </c>
      <c r="M8110" s="15" t="n">
        <v>0.47</v>
      </c>
      <c r="N8110" s="9" t="s">
        <v>26</v>
      </c>
    </row>
    <row r="8111" customFormat="false" ht="14.25" hidden="false" customHeight="true" outlineLevel="0" collapsed="false">
      <c r="B8111" s="9" t="s">
        <v>28</v>
      </c>
      <c r="C8111" s="9" t="n">
        <v>1197831</v>
      </c>
      <c r="D8111" s="10" t="n">
        <v>44464</v>
      </c>
      <c r="E8111" s="9" t="s">
        <v>29</v>
      </c>
      <c r="F8111" s="9" t="s">
        <v>30</v>
      </c>
      <c r="G8111" s="9" t="s">
        <v>41</v>
      </c>
      <c r="H8111" s="11" t="s">
        <v>23</v>
      </c>
      <c r="I8111" s="12" t="n">
        <v>38</v>
      </c>
      <c r="J8111" s="13" t="n">
        <v>158</v>
      </c>
      <c r="K8111" s="14" t="n">
        <f aca="false">I8111*J8111</f>
        <v>6004</v>
      </c>
      <c r="L8111" s="14" t="n">
        <f aca="false">($L$2*M8111)/100</f>
        <v>648899.91</v>
      </c>
      <c r="M8111" s="15" t="n">
        <v>0.54</v>
      </c>
      <c r="N8111" s="9" t="s">
        <v>26</v>
      </c>
    </row>
    <row r="8112" customFormat="false" ht="14.25" hidden="false" customHeight="true" outlineLevel="0" collapsed="false">
      <c r="B8112" s="9" t="s">
        <v>28</v>
      </c>
      <c r="C8112" s="9" t="n">
        <v>1197831</v>
      </c>
      <c r="D8112" s="10" t="n">
        <v>44465</v>
      </c>
      <c r="E8112" s="9" t="s">
        <v>29</v>
      </c>
      <c r="F8112" s="9" t="s">
        <v>30</v>
      </c>
      <c r="G8112" s="9" t="s">
        <v>41</v>
      </c>
      <c r="H8112" s="11" t="s">
        <v>24</v>
      </c>
      <c r="I8112" s="12" t="n">
        <v>43</v>
      </c>
      <c r="J8112" s="13" t="n">
        <v>158</v>
      </c>
      <c r="K8112" s="14" t="n">
        <f aca="false">I8112*J8112</f>
        <v>6794</v>
      </c>
      <c r="L8112" s="14" t="n">
        <f aca="false">($L$2*M8112)/100</f>
        <v>492683.265</v>
      </c>
      <c r="M8112" s="15" t="n">
        <v>0.41</v>
      </c>
      <c r="N8112" s="9" t="s">
        <v>26</v>
      </c>
    </row>
    <row r="8113" customFormat="false" ht="14.25" hidden="false" customHeight="true" outlineLevel="0" collapsed="false">
      <c r="B8113" s="9" t="s">
        <v>28</v>
      </c>
      <c r="C8113" s="9" t="n">
        <v>1197831</v>
      </c>
      <c r="D8113" s="10" t="n">
        <v>44466</v>
      </c>
      <c r="E8113" s="9" t="s">
        <v>29</v>
      </c>
      <c r="F8113" s="9" t="s">
        <v>30</v>
      </c>
      <c r="G8113" s="9" t="s">
        <v>41</v>
      </c>
      <c r="H8113" s="11" t="s">
        <v>25</v>
      </c>
      <c r="I8113" s="12" t="n">
        <v>43</v>
      </c>
      <c r="J8113" s="13" t="n">
        <v>240</v>
      </c>
      <c r="K8113" s="14" t="n">
        <f aca="false">I8113*J8113</f>
        <v>10320</v>
      </c>
      <c r="L8113" s="14" t="n">
        <f aca="false">($L$2*M8113)/100</f>
        <v>720999.9</v>
      </c>
      <c r="M8113" s="15" t="n">
        <v>0.6</v>
      </c>
      <c r="N8113" s="9" t="s">
        <v>26</v>
      </c>
    </row>
    <row r="8114" customFormat="false" ht="14.25" hidden="false" customHeight="true" outlineLevel="0" collapsed="false">
      <c r="B8114" s="9" t="s">
        <v>28</v>
      </c>
      <c r="C8114" s="9" t="n">
        <v>1197831</v>
      </c>
      <c r="D8114" s="10" t="n">
        <v>44467</v>
      </c>
      <c r="E8114" s="9" t="s">
        <v>29</v>
      </c>
      <c r="F8114" s="9" t="s">
        <v>30</v>
      </c>
      <c r="G8114" s="9" t="s">
        <v>41</v>
      </c>
      <c r="H8114" s="11" t="s">
        <v>19</v>
      </c>
      <c r="I8114" s="12" t="n">
        <v>38</v>
      </c>
      <c r="J8114" s="13" t="n">
        <v>232</v>
      </c>
      <c r="K8114" s="14" t="n">
        <f aca="false">I8114*J8114</f>
        <v>8816</v>
      </c>
      <c r="L8114" s="14" t="n">
        <f aca="false">($L$2*M8114)/100</f>
        <v>552766.59</v>
      </c>
      <c r="M8114" s="15" t="n">
        <v>0.46</v>
      </c>
      <c r="N8114" s="9" t="s">
        <v>26</v>
      </c>
    </row>
    <row r="8115" customFormat="false" ht="14.25" hidden="false" customHeight="true" outlineLevel="0" collapsed="false">
      <c r="B8115" s="9" t="s">
        <v>28</v>
      </c>
      <c r="C8115" s="9" t="n">
        <v>1197831</v>
      </c>
      <c r="D8115" s="10" t="n">
        <v>44468</v>
      </c>
      <c r="E8115" s="9" t="s">
        <v>29</v>
      </c>
      <c r="F8115" s="9" t="s">
        <v>30</v>
      </c>
      <c r="G8115" s="9" t="s">
        <v>41</v>
      </c>
      <c r="H8115" s="11" t="s">
        <v>21</v>
      </c>
      <c r="I8115" s="12" t="n">
        <v>38</v>
      </c>
      <c r="J8115" s="13" t="n">
        <v>203</v>
      </c>
      <c r="K8115" s="14" t="n">
        <f aca="false">I8115*J8115</f>
        <v>7714</v>
      </c>
      <c r="L8115" s="14" t="n">
        <f aca="false">($L$2*M8115)/100</f>
        <v>564783.255</v>
      </c>
      <c r="M8115" s="15" t="n">
        <v>0.47</v>
      </c>
      <c r="N8115" s="9" t="s">
        <v>26</v>
      </c>
    </row>
    <row r="8116" customFormat="false" ht="14.25" hidden="false" customHeight="true" outlineLevel="0" collapsed="false">
      <c r="B8116" s="9" t="s">
        <v>28</v>
      </c>
      <c r="C8116" s="9" t="n">
        <v>1197831</v>
      </c>
      <c r="D8116" s="10" t="n">
        <v>44469</v>
      </c>
      <c r="E8116" s="9" t="s">
        <v>29</v>
      </c>
      <c r="F8116" s="9" t="s">
        <v>30</v>
      </c>
      <c r="G8116" s="9" t="s">
        <v>41</v>
      </c>
      <c r="H8116" s="11" t="s">
        <v>22</v>
      </c>
      <c r="I8116" s="12" t="n">
        <v>47</v>
      </c>
      <c r="J8116" s="13" t="n">
        <v>254</v>
      </c>
      <c r="K8116" s="14" t="n">
        <f aca="false">I8116*J8116</f>
        <v>11938</v>
      </c>
      <c r="L8116" s="14" t="n">
        <f aca="false">($L$2*M8116)/100</f>
        <v>540749.925</v>
      </c>
      <c r="M8116" s="15" t="n">
        <v>0.45</v>
      </c>
      <c r="N8116" s="9" t="s">
        <v>26</v>
      </c>
    </row>
    <row r="8117" customFormat="false" ht="14.25" hidden="false" customHeight="true" outlineLevel="0" collapsed="false">
      <c r="B8117" s="9" t="s">
        <v>28</v>
      </c>
      <c r="C8117" s="9" t="n">
        <v>1197831</v>
      </c>
      <c r="D8117" s="10" t="n">
        <v>44470</v>
      </c>
      <c r="E8117" s="9" t="s">
        <v>29</v>
      </c>
      <c r="F8117" s="9" t="s">
        <v>30</v>
      </c>
      <c r="G8117" s="9" t="s">
        <v>41</v>
      </c>
      <c r="H8117" s="11" t="s">
        <v>23</v>
      </c>
      <c r="I8117" s="12" t="n">
        <v>41</v>
      </c>
      <c r="J8117" s="13" t="n">
        <v>135</v>
      </c>
      <c r="K8117" s="14" t="n">
        <f aca="false">I8117*J8117</f>
        <v>5535</v>
      </c>
      <c r="L8117" s="14" t="n">
        <f aca="false">($L$2*M8117)/100</f>
        <v>660916.575</v>
      </c>
      <c r="M8117" s="15" t="n">
        <v>0.55</v>
      </c>
      <c r="N8117" s="9" t="s">
        <v>26</v>
      </c>
    </row>
    <row r="8118" customFormat="false" ht="14.25" hidden="false" customHeight="true" outlineLevel="0" collapsed="false">
      <c r="B8118" s="9" t="s">
        <v>28</v>
      </c>
      <c r="C8118" s="9" t="n">
        <v>1197831</v>
      </c>
      <c r="D8118" s="10" t="n">
        <v>44471</v>
      </c>
      <c r="E8118" s="9" t="s">
        <v>29</v>
      </c>
      <c r="F8118" s="9" t="s">
        <v>30</v>
      </c>
      <c r="G8118" s="9" t="s">
        <v>41</v>
      </c>
      <c r="H8118" s="11" t="s">
        <v>24</v>
      </c>
      <c r="I8118" s="12" t="n">
        <v>37</v>
      </c>
      <c r="J8118" s="13" t="n">
        <v>149</v>
      </c>
      <c r="K8118" s="14" t="n">
        <f aca="false">I8118*J8118</f>
        <v>5513</v>
      </c>
      <c r="L8118" s="14" t="n">
        <f aca="false">($L$2*M8118)/100</f>
        <v>480666.6</v>
      </c>
      <c r="M8118" s="15" t="n">
        <v>0.4</v>
      </c>
      <c r="N8118" s="9" t="s">
        <v>26</v>
      </c>
    </row>
    <row r="8119" customFormat="false" ht="14.25" hidden="false" customHeight="true" outlineLevel="0" collapsed="false">
      <c r="B8119" s="9" t="s">
        <v>28</v>
      </c>
      <c r="C8119" s="9" t="n">
        <v>1197831</v>
      </c>
      <c r="D8119" s="10" t="n">
        <v>44472</v>
      </c>
      <c r="E8119" s="9" t="s">
        <v>29</v>
      </c>
      <c r="F8119" s="9" t="s">
        <v>30</v>
      </c>
      <c r="G8119" s="9" t="s">
        <v>41</v>
      </c>
      <c r="H8119" s="11" t="s">
        <v>25</v>
      </c>
      <c r="I8119" s="12" t="n">
        <v>33</v>
      </c>
      <c r="J8119" s="13" t="n">
        <v>236</v>
      </c>
      <c r="K8119" s="14" t="n">
        <f aca="false">I8119*J8119</f>
        <v>7788</v>
      </c>
      <c r="L8119" s="14" t="n">
        <f aca="false">($L$2*M8119)/100</f>
        <v>708983.235</v>
      </c>
      <c r="M8119" s="15" t="n">
        <v>0.59</v>
      </c>
      <c r="N8119" s="9" t="s">
        <v>26</v>
      </c>
    </row>
    <row r="8120" customFormat="false" ht="14.25" hidden="false" customHeight="true" outlineLevel="0" collapsed="false">
      <c r="B8120" s="9" t="s">
        <v>28</v>
      </c>
      <c r="C8120" s="9" t="n">
        <v>1197831</v>
      </c>
      <c r="D8120" s="10" t="n">
        <v>44473</v>
      </c>
      <c r="E8120" s="9" t="s">
        <v>29</v>
      </c>
      <c r="F8120" s="9" t="s">
        <v>30</v>
      </c>
      <c r="G8120" s="9" t="s">
        <v>41</v>
      </c>
      <c r="H8120" s="11" t="s">
        <v>19</v>
      </c>
      <c r="I8120" s="12" t="n">
        <v>30</v>
      </c>
      <c r="J8120" s="13" t="n">
        <v>213</v>
      </c>
      <c r="K8120" s="14" t="n">
        <f aca="false">I8120*J8120</f>
        <v>6390</v>
      </c>
      <c r="L8120" s="14" t="n">
        <f aca="false">($L$2*M8120)/100</f>
        <v>528733.26</v>
      </c>
      <c r="M8120" s="15" t="n">
        <v>0.44</v>
      </c>
      <c r="N8120" s="9" t="s">
        <v>26</v>
      </c>
    </row>
    <row r="8121" customFormat="false" ht="14.25" hidden="false" customHeight="true" outlineLevel="0" collapsed="false">
      <c r="B8121" s="9" t="s">
        <v>28</v>
      </c>
      <c r="C8121" s="9" t="n">
        <v>1197831</v>
      </c>
      <c r="D8121" s="10" t="n">
        <v>44474</v>
      </c>
      <c r="E8121" s="9" t="s">
        <v>29</v>
      </c>
      <c r="F8121" s="9" t="s">
        <v>30</v>
      </c>
      <c r="G8121" s="9" t="s">
        <v>41</v>
      </c>
      <c r="H8121" s="11" t="s">
        <v>21</v>
      </c>
      <c r="I8121" s="12" t="n">
        <v>29</v>
      </c>
      <c r="J8121" s="13" t="n">
        <v>219</v>
      </c>
      <c r="K8121" s="14" t="n">
        <f aca="false">I8121*J8121</f>
        <v>6351</v>
      </c>
      <c r="L8121" s="14" t="n">
        <f aca="false">($L$2*M8121)/100</f>
        <v>564783.255</v>
      </c>
      <c r="M8121" s="15" t="n">
        <v>0.47</v>
      </c>
      <c r="N8121" s="9" t="s">
        <v>26</v>
      </c>
    </row>
    <row r="8122" customFormat="false" ht="14.25" hidden="false" customHeight="true" outlineLevel="0" collapsed="false">
      <c r="B8122" s="9" t="s">
        <v>28</v>
      </c>
      <c r="C8122" s="9" t="n">
        <v>1197831</v>
      </c>
      <c r="D8122" s="10" t="n">
        <v>44475</v>
      </c>
      <c r="E8122" s="9" t="s">
        <v>29</v>
      </c>
      <c r="F8122" s="9" t="s">
        <v>30</v>
      </c>
      <c r="G8122" s="9" t="s">
        <v>41</v>
      </c>
      <c r="H8122" s="11" t="s">
        <v>22</v>
      </c>
      <c r="I8122" s="12" t="n">
        <v>32</v>
      </c>
      <c r="J8122" s="13" t="n">
        <v>190</v>
      </c>
      <c r="K8122" s="14" t="n">
        <f aca="false">I8122*J8122</f>
        <v>6080</v>
      </c>
      <c r="L8122" s="14" t="n">
        <f aca="false">($L$2*M8122)/100</f>
        <v>528733.26</v>
      </c>
      <c r="M8122" s="15" t="n">
        <v>0.44</v>
      </c>
      <c r="N8122" s="9" t="s">
        <v>26</v>
      </c>
    </row>
    <row r="8123" customFormat="false" ht="14.25" hidden="false" customHeight="true" outlineLevel="0" collapsed="false">
      <c r="B8123" s="9" t="s">
        <v>28</v>
      </c>
      <c r="C8123" s="9" t="n">
        <v>1197831</v>
      </c>
      <c r="D8123" s="10" t="n">
        <v>44476</v>
      </c>
      <c r="E8123" s="9" t="s">
        <v>29</v>
      </c>
      <c r="F8123" s="9" t="s">
        <v>30</v>
      </c>
      <c r="G8123" s="9" t="s">
        <v>41</v>
      </c>
      <c r="H8123" s="11" t="s">
        <v>23</v>
      </c>
      <c r="I8123" s="12" t="n">
        <v>30</v>
      </c>
      <c r="J8123" s="13" t="n">
        <v>145</v>
      </c>
      <c r="K8123" s="14" t="n">
        <f aca="false">I8123*J8123</f>
        <v>4350</v>
      </c>
      <c r="L8123" s="14" t="n">
        <f aca="false">($L$2*M8123)/100</f>
        <v>648899.91</v>
      </c>
      <c r="M8123" s="15" t="n">
        <v>0.54</v>
      </c>
      <c r="N8123" s="9" t="s">
        <v>26</v>
      </c>
    </row>
    <row r="8124" customFormat="false" ht="14.25" hidden="false" customHeight="true" outlineLevel="0" collapsed="false">
      <c r="B8124" s="9" t="s">
        <v>28</v>
      </c>
      <c r="C8124" s="9" t="n">
        <v>1197831</v>
      </c>
      <c r="D8124" s="10" t="n">
        <v>44477</v>
      </c>
      <c r="E8124" s="9" t="s">
        <v>29</v>
      </c>
      <c r="F8124" s="9" t="s">
        <v>30</v>
      </c>
      <c r="G8124" s="9" t="s">
        <v>41</v>
      </c>
      <c r="H8124" s="11" t="s">
        <v>24</v>
      </c>
      <c r="I8124" s="12" t="n">
        <v>30</v>
      </c>
      <c r="J8124" s="13" t="n">
        <v>128</v>
      </c>
      <c r="K8124" s="14" t="n">
        <f aca="false">I8124*J8124</f>
        <v>3840</v>
      </c>
      <c r="L8124" s="14" t="n">
        <f aca="false">($L$2*M8124)/100</f>
        <v>480666.6</v>
      </c>
      <c r="M8124" s="15" t="n">
        <v>0.4</v>
      </c>
      <c r="N8124" s="9" t="s">
        <v>26</v>
      </c>
    </row>
    <row r="8125" customFormat="false" ht="14.25" hidden="false" customHeight="true" outlineLevel="0" collapsed="false">
      <c r="B8125" s="9" t="s">
        <v>28</v>
      </c>
      <c r="C8125" s="9" t="n">
        <v>1197831</v>
      </c>
      <c r="D8125" s="10" t="n">
        <v>44478</v>
      </c>
      <c r="E8125" s="9" t="s">
        <v>29</v>
      </c>
      <c r="F8125" s="9" t="s">
        <v>30</v>
      </c>
      <c r="G8125" s="9" t="s">
        <v>41</v>
      </c>
      <c r="H8125" s="11" t="s">
        <v>25</v>
      </c>
      <c r="I8125" s="12" t="n">
        <v>39</v>
      </c>
      <c r="J8125" s="13" t="n">
        <v>190</v>
      </c>
      <c r="K8125" s="14" t="n">
        <f aca="false">I8125*J8125</f>
        <v>7410</v>
      </c>
      <c r="L8125" s="14" t="n">
        <f aca="false">($L$2*M8125)/100</f>
        <v>696966.57</v>
      </c>
      <c r="M8125" s="15" t="n">
        <v>0.58</v>
      </c>
      <c r="N8125" s="9" t="s">
        <v>26</v>
      </c>
    </row>
    <row r="8126" customFormat="false" ht="14.25" hidden="false" customHeight="true" outlineLevel="0" collapsed="false">
      <c r="B8126" s="9" t="s">
        <v>28</v>
      </c>
      <c r="C8126" s="9" t="n">
        <v>1197831</v>
      </c>
      <c r="D8126" s="10" t="n">
        <v>44479</v>
      </c>
      <c r="E8126" s="9" t="s">
        <v>29</v>
      </c>
      <c r="F8126" s="9" t="s">
        <v>30</v>
      </c>
      <c r="G8126" s="9" t="s">
        <v>41</v>
      </c>
      <c r="H8126" s="11" t="s">
        <v>19</v>
      </c>
      <c r="I8126" s="12" t="n">
        <v>31</v>
      </c>
      <c r="J8126" s="13" t="n">
        <v>225</v>
      </c>
      <c r="K8126" s="14" t="n">
        <f aca="false">I8126*J8126</f>
        <v>6975</v>
      </c>
      <c r="L8126" s="14" t="n">
        <f aca="false">($L$2*M8126)/100</f>
        <v>516716.595</v>
      </c>
      <c r="M8126" s="15" t="n">
        <v>0.43</v>
      </c>
      <c r="N8126" s="9" t="s">
        <v>26</v>
      </c>
    </row>
    <row r="8127" customFormat="false" ht="14.25" hidden="false" customHeight="true" outlineLevel="0" collapsed="false">
      <c r="B8127" s="9" t="s">
        <v>28</v>
      </c>
      <c r="C8127" s="9" t="n">
        <v>1197831</v>
      </c>
      <c r="D8127" s="10" t="n">
        <v>44480</v>
      </c>
      <c r="E8127" s="9" t="s">
        <v>29</v>
      </c>
      <c r="F8127" s="9" t="s">
        <v>30</v>
      </c>
      <c r="G8127" s="9" t="s">
        <v>41</v>
      </c>
      <c r="H8127" s="11" t="s">
        <v>21</v>
      </c>
      <c r="I8127" s="12" t="n">
        <v>27</v>
      </c>
      <c r="J8127" s="13" t="n">
        <v>218</v>
      </c>
      <c r="K8127" s="14" t="n">
        <f aca="false">I8127*J8127</f>
        <v>5886</v>
      </c>
      <c r="L8127" s="14" t="n">
        <f aca="false">($L$2*M8127)/100</f>
        <v>540749.925</v>
      </c>
      <c r="M8127" s="15" t="n">
        <v>0.45</v>
      </c>
      <c r="N8127" s="9" t="s">
        <v>26</v>
      </c>
    </row>
    <row r="8128" customFormat="false" ht="14.25" hidden="false" customHeight="true" outlineLevel="0" collapsed="false">
      <c r="B8128" s="9" t="s">
        <v>28</v>
      </c>
      <c r="C8128" s="9" t="n">
        <v>1197831</v>
      </c>
      <c r="D8128" s="10" t="n">
        <v>44481</v>
      </c>
      <c r="E8128" s="9" t="s">
        <v>29</v>
      </c>
      <c r="F8128" s="9" t="s">
        <v>30</v>
      </c>
      <c r="G8128" s="9" t="s">
        <v>41</v>
      </c>
      <c r="H8128" s="11" t="s">
        <v>22</v>
      </c>
      <c r="I8128" s="12" t="n">
        <v>51</v>
      </c>
      <c r="J8128" s="13" t="n">
        <v>228</v>
      </c>
      <c r="K8128" s="14" t="n">
        <f aca="false">I8128*J8128</f>
        <v>11628</v>
      </c>
      <c r="L8128" s="14" t="n">
        <f aca="false">($L$2*M8128)/100</f>
        <v>528733.26</v>
      </c>
      <c r="M8128" s="15" t="n">
        <v>0.44</v>
      </c>
      <c r="N8128" s="9" t="s">
        <v>26</v>
      </c>
    </row>
    <row r="8129" customFormat="false" ht="14.25" hidden="false" customHeight="true" outlineLevel="0" collapsed="false">
      <c r="B8129" s="9" t="s">
        <v>28</v>
      </c>
      <c r="C8129" s="9" t="n">
        <v>1197831</v>
      </c>
      <c r="D8129" s="10" t="n">
        <v>44482</v>
      </c>
      <c r="E8129" s="9" t="s">
        <v>29</v>
      </c>
      <c r="F8129" s="9" t="s">
        <v>30</v>
      </c>
      <c r="G8129" s="9" t="s">
        <v>41</v>
      </c>
      <c r="H8129" s="11" t="s">
        <v>23</v>
      </c>
      <c r="I8129" s="12" t="n">
        <v>50</v>
      </c>
      <c r="J8129" s="13" t="n">
        <v>160</v>
      </c>
      <c r="K8129" s="14" t="n">
        <f aca="false">I8129*J8129</f>
        <v>8000</v>
      </c>
      <c r="L8129" s="14" t="n">
        <f aca="false">($L$2*M8129)/100</f>
        <v>624866.58</v>
      </c>
      <c r="M8129" s="15" t="n">
        <v>0.52</v>
      </c>
      <c r="N8129" s="9" t="s">
        <v>26</v>
      </c>
    </row>
    <row r="8130" customFormat="false" ht="14.25" hidden="false" customHeight="true" outlineLevel="0" collapsed="false">
      <c r="B8130" s="9" t="s">
        <v>28</v>
      </c>
      <c r="C8130" s="9" t="n">
        <v>1197831</v>
      </c>
      <c r="D8130" s="10" t="n">
        <v>44483</v>
      </c>
      <c r="E8130" s="9" t="s">
        <v>29</v>
      </c>
      <c r="F8130" s="9" t="s">
        <v>30</v>
      </c>
      <c r="G8130" s="9" t="s">
        <v>41</v>
      </c>
      <c r="H8130" s="11" t="s">
        <v>24</v>
      </c>
      <c r="I8130" s="12" t="n">
        <v>46</v>
      </c>
      <c r="J8130" s="13" t="n">
        <v>162</v>
      </c>
      <c r="K8130" s="14" t="n">
        <f aca="false">I8130*J8130</f>
        <v>7452</v>
      </c>
      <c r="L8130" s="14" t="n">
        <f aca="false">($L$2*M8130)/100</f>
        <v>468649.935</v>
      </c>
      <c r="M8130" s="15" t="n">
        <v>0.39</v>
      </c>
      <c r="N8130" s="9" t="s">
        <v>26</v>
      </c>
    </row>
    <row r="8131" customFormat="false" ht="14.25" hidden="false" customHeight="true" outlineLevel="0" collapsed="false">
      <c r="B8131" s="9" t="s">
        <v>28</v>
      </c>
      <c r="C8131" s="9" t="n">
        <v>1197831</v>
      </c>
      <c r="D8131" s="10" t="n">
        <v>44484</v>
      </c>
      <c r="E8131" s="9" t="s">
        <v>29</v>
      </c>
      <c r="F8131" s="9" t="s">
        <v>30</v>
      </c>
      <c r="G8131" s="9" t="s">
        <v>41</v>
      </c>
      <c r="H8131" s="11" t="s">
        <v>25</v>
      </c>
      <c r="I8131" s="12" t="n">
        <v>51</v>
      </c>
      <c r="J8131" s="13" t="n">
        <v>236</v>
      </c>
      <c r="K8131" s="14" t="n">
        <f aca="false">I8131*J8131</f>
        <v>12036</v>
      </c>
      <c r="L8131" s="14" t="n">
        <f aca="false">($L$2*M8131)/100</f>
        <v>733016.565</v>
      </c>
      <c r="M8131" s="15" t="n">
        <v>0.61</v>
      </c>
      <c r="N8131" s="9" t="s">
        <v>26</v>
      </c>
    </row>
    <row r="8132" customFormat="false" ht="14.25" hidden="false" customHeight="true" outlineLevel="0" collapsed="false">
      <c r="B8132" s="9" t="s">
        <v>28</v>
      </c>
      <c r="C8132" s="9" t="n">
        <v>1197831</v>
      </c>
      <c r="D8132" s="10" t="n">
        <v>44485</v>
      </c>
      <c r="E8132" s="9" t="s">
        <v>29</v>
      </c>
      <c r="F8132" s="9" t="s">
        <v>30</v>
      </c>
      <c r="G8132" s="9" t="s">
        <v>41</v>
      </c>
      <c r="H8132" s="11" t="s">
        <v>19</v>
      </c>
      <c r="I8132" s="12" t="n">
        <v>46</v>
      </c>
      <c r="J8132" s="13" t="n">
        <v>281</v>
      </c>
      <c r="K8132" s="14" t="n">
        <f aca="false">I8132*J8132</f>
        <v>12926</v>
      </c>
      <c r="L8132" s="14" t="n">
        <f aca="false">($L$2*M8132)/100</f>
        <v>564783.255</v>
      </c>
      <c r="M8132" s="15" t="n">
        <v>0.47</v>
      </c>
      <c r="N8132" s="9" t="s">
        <v>26</v>
      </c>
    </row>
    <row r="8133" customFormat="false" ht="14.25" hidden="false" customHeight="true" outlineLevel="0" collapsed="false">
      <c r="B8133" s="9" t="s">
        <v>28</v>
      </c>
      <c r="C8133" s="9" t="n">
        <v>1197831</v>
      </c>
      <c r="D8133" s="10" t="n">
        <v>44486</v>
      </c>
      <c r="E8133" s="9" t="s">
        <v>29</v>
      </c>
      <c r="F8133" s="9" t="s">
        <v>30</v>
      </c>
      <c r="G8133" s="9" t="s">
        <v>41</v>
      </c>
      <c r="H8133" s="11" t="s">
        <v>21</v>
      </c>
      <c r="I8133" s="12" t="n">
        <v>39</v>
      </c>
      <c r="J8133" s="13" t="n">
        <v>248</v>
      </c>
      <c r="K8133" s="14" t="n">
        <f aca="false">I8133*J8133</f>
        <v>9672</v>
      </c>
      <c r="L8133" s="14" t="n">
        <f aca="false">($L$2*M8133)/100</f>
        <v>504699.93</v>
      </c>
      <c r="M8133" s="15" t="n">
        <v>0.42</v>
      </c>
      <c r="N8133" s="9" t="s">
        <v>26</v>
      </c>
    </row>
    <row r="8134" customFormat="false" ht="14.25" hidden="false" customHeight="true" outlineLevel="0" collapsed="false">
      <c r="B8134" s="9" t="s">
        <v>28</v>
      </c>
      <c r="C8134" s="9" t="n">
        <v>1197831</v>
      </c>
      <c r="D8134" s="10" t="n">
        <v>44487</v>
      </c>
      <c r="E8134" s="9" t="s">
        <v>29</v>
      </c>
      <c r="F8134" s="9" t="s">
        <v>30</v>
      </c>
      <c r="G8134" s="9" t="s">
        <v>41</v>
      </c>
      <c r="H8134" s="11" t="s">
        <v>22</v>
      </c>
      <c r="I8134" s="12" t="n">
        <v>46</v>
      </c>
      <c r="J8134" s="13" t="n">
        <v>239</v>
      </c>
      <c r="K8134" s="14" t="n">
        <f aca="false">I8134*J8134</f>
        <v>10994</v>
      </c>
      <c r="L8134" s="14" t="n">
        <f aca="false">($L$2*M8134)/100</f>
        <v>528733.26</v>
      </c>
      <c r="M8134" s="15" t="n">
        <v>0.44</v>
      </c>
      <c r="N8134" s="9" t="s">
        <v>26</v>
      </c>
    </row>
    <row r="8135" customFormat="false" ht="14.25" hidden="false" customHeight="true" outlineLevel="0" collapsed="false">
      <c r="B8135" s="9" t="s">
        <v>28</v>
      </c>
      <c r="C8135" s="9" t="n">
        <v>1197831</v>
      </c>
      <c r="D8135" s="10" t="n">
        <v>44488</v>
      </c>
      <c r="E8135" s="9" t="s">
        <v>29</v>
      </c>
      <c r="F8135" s="9" t="s">
        <v>30</v>
      </c>
      <c r="G8135" s="9" t="s">
        <v>41</v>
      </c>
      <c r="H8135" s="11" t="s">
        <v>23</v>
      </c>
      <c r="I8135" s="12" t="n">
        <v>44</v>
      </c>
      <c r="J8135" s="13" t="n">
        <v>190</v>
      </c>
      <c r="K8135" s="14" t="n">
        <f aca="false">I8135*J8135</f>
        <v>8360</v>
      </c>
      <c r="L8135" s="14" t="n">
        <f aca="false">($L$2*M8135)/100</f>
        <v>672933.24</v>
      </c>
      <c r="M8135" s="15" t="n">
        <v>0.56</v>
      </c>
      <c r="N8135" s="9" t="s">
        <v>26</v>
      </c>
    </row>
    <row r="8136" customFormat="false" ht="14.25" hidden="false" customHeight="true" outlineLevel="0" collapsed="false">
      <c r="B8136" s="9" t="s">
        <v>28</v>
      </c>
      <c r="C8136" s="9" t="n">
        <v>1197831</v>
      </c>
      <c r="D8136" s="10" t="n">
        <v>44489</v>
      </c>
      <c r="E8136" s="9" t="s">
        <v>29</v>
      </c>
      <c r="F8136" s="9" t="s">
        <v>30</v>
      </c>
      <c r="G8136" s="9" t="s">
        <v>41</v>
      </c>
      <c r="H8136" s="11" t="s">
        <v>24</v>
      </c>
      <c r="I8136" s="12" t="n">
        <v>47</v>
      </c>
      <c r="J8136" s="13" t="n">
        <v>168</v>
      </c>
      <c r="K8136" s="14" t="n">
        <f aca="false">I8136*J8136</f>
        <v>7896</v>
      </c>
      <c r="L8136" s="14" t="n">
        <f aca="false">($L$2*M8136)/100</f>
        <v>444616.605</v>
      </c>
      <c r="M8136" s="15" t="n">
        <v>0.37</v>
      </c>
      <c r="N8136" s="9" t="s">
        <v>26</v>
      </c>
    </row>
    <row r="8137" customFormat="false" ht="14.25" hidden="false" customHeight="true" outlineLevel="0" collapsed="false">
      <c r="B8137" s="9" t="s">
        <v>28</v>
      </c>
      <c r="C8137" s="9" t="n">
        <v>1197831</v>
      </c>
      <c r="D8137" s="10" t="n">
        <v>44490</v>
      </c>
      <c r="E8137" s="9" t="s">
        <v>29</v>
      </c>
      <c r="F8137" s="9" t="s">
        <v>30</v>
      </c>
      <c r="G8137" s="9" t="s">
        <v>41</v>
      </c>
      <c r="H8137" s="11" t="s">
        <v>25</v>
      </c>
      <c r="I8137" s="12" t="n">
        <v>54</v>
      </c>
      <c r="J8137" s="13" t="n">
        <v>256</v>
      </c>
      <c r="K8137" s="14" t="n">
        <f aca="false">I8137*J8137</f>
        <v>13824</v>
      </c>
      <c r="L8137" s="14" t="n">
        <f aca="false">($L$2*M8137)/100</f>
        <v>720999.9</v>
      </c>
      <c r="M8137" s="15" t="n">
        <v>0.6</v>
      </c>
      <c r="N8137" s="9" t="s">
        <v>26</v>
      </c>
    </row>
    <row r="8138" customFormat="false" ht="14.25" hidden="false" customHeight="true" outlineLevel="0" collapsed="false">
      <c r="B8138" s="9" t="s">
        <v>16</v>
      </c>
      <c r="C8138" s="9" t="n">
        <v>1185732</v>
      </c>
      <c r="D8138" s="10" t="n">
        <v>44491</v>
      </c>
      <c r="E8138" s="9" t="s">
        <v>29</v>
      </c>
      <c r="F8138" s="9" t="s">
        <v>30</v>
      </c>
      <c r="G8138" s="9" t="s">
        <v>41</v>
      </c>
      <c r="H8138" s="11" t="s">
        <v>19</v>
      </c>
      <c r="I8138" s="12" t="n">
        <v>34</v>
      </c>
      <c r="J8138" s="13" t="n">
        <v>128</v>
      </c>
      <c r="K8138" s="14" t="n">
        <f aca="false">I8138*J8138</f>
        <v>4352</v>
      </c>
      <c r="L8138" s="14" t="n">
        <f aca="false">($L$2*M8138)/100</f>
        <v>745033.23</v>
      </c>
      <c r="M8138" s="15" t="n">
        <v>0.62</v>
      </c>
      <c r="N8138" s="9" t="s">
        <v>26</v>
      </c>
    </row>
    <row r="8139" customFormat="false" ht="14.25" hidden="false" customHeight="true" outlineLevel="0" collapsed="false">
      <c r="B8139" s="9" t="s">
        <v>16</v>
      </c>
      <c r="C8139" s="9" t="n">
        <v>1185732</v>
      </c>
      <c r="D8139" s="10" t="n">
        <v>44492</v>
      </c>
      <c r="E8139" s="9" t="s">
        <v>29</v>
      </c>
      <c r="F8139" s="9" t="s">
        <v>30</v>
      </c>
      <c r="G8139" s="9" t="s">
        <v>41</v>
      </c>
      <c r="H8139" s="11" t="s">
        <v>21</v>
      </c>
      <c r="I8139" s="12" t="n">
        <v>34</v>
      </c>
      <c r="J8139" s="13" t="n">
        <v>68</v>
      </c>
      <c r="K8139" s="14" t="n">
        <f aca="false">I8139*J8139</f>
        <v>2312</v>
      </c>
      <c r="L8139" s="14" t="n">
        <f aca="false">($L$2*M8139)/100</f>
        <v>468649.935</v>
      </c>
      <c r="M8139" s="15" t="n">
        <v>0.39</v>
      </c>
      <c r="N8139" s="9" t="s">
        <v>26</v>
      </c>
    </row>
    <row r="8140" customFormat="false" ht="14.25" hidden="false" customHeight="true" outlineLevel="0" collapsed="false">
      <c r="B8140" s="9" t="s">
        <v>16</v>
      </c>
      <c r="C8140" s="9" t="n">
        <v>1185732</v>
      </c>
      <c r="D8140" s="10" t="n">
        <v>44493</v>
      </c>
      <c r="E8140" s="9" t="s">
        <v>29</v>
      </c>
      <c r="F8140" s="9" t="s">
        <v>30</v>
      </c>
      <c r="G8140" s="9" t="s">
        <v>41</v>
      </c>
      <c r="H8140" s="11" t="s">
        <v>22</v>
      </c>
      <c r="I8140" s="12" t="n">
        <v>28</v>
      </c>
      <c r="J8140" s="13" t="n">
        <v>72</v>
      </c>
      <c r="K8140" s="14" t="n">
        <f aca="false">I8140*J8140</f>
        <v>2016</v>
      </c>
      <c r="L8140" s="14" t="n">
        <f aca="false">($L$2*M8140)/100</f>
        <v>504699.93</v>
      </c>
      <c r="M8140" s="15" t="n">
        <v>0.42</v>
      </c>
      <c r="N8140" s="9" t="s">
        <v>26</v>
      </c>
    </row>
    <row r="8141" customFormat="false" ht="14.25" hidden="false" customHeight="true" outlineLevel="0" collapsed="false">
      <c r="B8141" s="9" t="s">
        <v>16</v>
      </c>
      <c r="C8141" s="9" t="n">
        <v>1185732</v>
      </c>
      <c r="D8141" s="10" t="n">
        <v>44494</v>
      </c>
      <c r="E8141" s="9" t="s">
        <v>29</v>
      </c>
      <c r="F8141" s="9" t="s">
        <v>30</v>
      </c>
      <c r="G8141" s="9" t="s">
        <v>41</v>
      </c>
      <c r="H8141" s="11" t="s">
        <v>23</v>
      </c>
      <c r="I8141" s="12" t="n">
        <v>28</v>
      </c>
      <c r="J8141" s="13" t="n">
        <v>23</v>
      </c>
      <c r="K8141" s="14" t="n">
        <f aca="false">I8141*J8141</f>
        <v>644</v>
      </c>
      <c r="L8141" s="14" t="n">
        <f aca="false">($L$2*M8141)/100</f>
        <v>516716.595</v>
      </c>
      <c r="M8141" s="15" t="n">
        <v>0.43</v>
      </c>
      <c r="N8141" s="9" t="s">
        <v>26</v>
      </c>
    </row>
    <row r="8142" customFormat="false" ht="14.25" hidden="false" customHeight="true" outlineLevel="0" collapsed="false">
      <c r="B8142" s="9" t="s">
        <v>16</v>
      </c>
      <c r="C8142" s="9" t="n">
        <v>1185732</v>
      </c>
      <c r="D8142" s="10" t="n">
        <v>44495</v>
      </c>
      <c r="E8142" s="9" t="s">
        <v>17</v>
      </c>
      <c r="F8142" s="9" t="s">
        <v>42</v>
      </c>
      <c r="G8142" s="9" t="s">
        <v>43</v>
      </c>
      <c r="H8142" s="11" t="s">
        <v>24</v>
      </c>
      <c r="I8142" s="12" t="n">
        <v>42</v>
      </c>
      <c r="J8142" s="13" t="n">
        <v>41</v>
      </c>
      <c r="K8142" s="14" t="n">
        <f aca="false">I8142*J8142</f>
        <v>1722</v>
      </c>
      <c r="L8142" s="14" t="n">
        <f aca="false">($L$2*M8142)/100</f>
        <v>492683.265</v>
      </c>
      <c r="M8142" s="15" t="n">
        <v>0.41</v>
      </c>
      <c r="N8142" s="9" t="s">
        <v>26</v>
      </c>
    </row>
    <row r="8143" customFormat="false" ht="14.25" hidden="false" customHeight="true" outlineLevel="0" collapsed="false">
      <c r="B8143" s="9" t="s">
        <v>16</v>
      </c>
      <c r="C8143" s="9" t="n">
        <v>1185732</v>
      </c>
      <c r="D8143" s="10" t="n">
        <v>44496</v>
      </c>
      <c r="E8143" s="9" t="s">
        <v>17</v>
      </c>
      <c r="F8143" s="9" t="s">
        <v>42</v>
      </c>
      <c r="G8143" s="9" t="s">
        <v>43</v>
      </c>
      <c r="H8143" s="11" t="s">
        <v>25</v>
      </c>
      <c r="I8143" s="12" t="n">
        <v>32</v>
      </c>
      <c r="J8143" s="13" t="n">
        <v>70</v>
      </c>
      <c r="K8143" s="14" t="n">
        <f aca="false">I8143*J8143</f>
        <v>2240</v>
      </c>
      <c r="L8143" s="14" t="n">
        <f aca="false">($L$2*M8143)/100</f>
        <v>408566.61</v>
      </c>
      <c r="M8143" s="15" t="n">
        <v>0.34</v>
      </c>
      <c r="N8143" s="9" t="s">
        <v>26</v>
      </c>
    </row>
    <row r="8144" customFormat="false" ht="14.25" hidden="false" customHeight="true" outlineLevel="0" collapsed="false">
      <c r="B8144" s="9" t="s">
        <v>16</v>
      </c>
      <c r="C8144" s="9" t="n">
        <v>1185732</v>
      </c>
      <c r="D8144" s="10" t="n">
        <v>44497</v>
      </c>
      <c r="E8144" s="9" t="s">
        <v>17</v>
      </c>
      <c r="F8144" s="9" t="s">
        <v>42</v>
      </c>
      <c r="G8144" s="9" t="s">
        <v>43</v>
      </c>
      <c r="H8144" s="11" t="s">
        <v>19</v>
      </c>
      <c r="I8144" s="12" t="n">
        <v>32</v>
      </c>
      <c r="J8144" s="13" t="n">
        <v>166</v>
      </c>
      <c r="K8144" s="14" t="n">
        <f aca="false">I8144*J8144</f>
        <v>5312</v>
      </c>
      <c r="L8144" s="14" t="n">
        <f aca="false">($L$2*M8144)/100</f>
        <v>720999.9</v>
      </c>
      <c r="M8144" s="15" t="n">
        <v>0.6</v>
      </c>
      <c r="N8144" s="9" t="s">
        <v>26</v>
      </c>
    </row>
    <row r="8145" customFormat="false" ht="14.25" hidden="false" customHeight="true" outlineLevel="0" collapsed="false">
      <c r="B8145" s="9" t="s">
        <v>16</v>
      </c>
      <c r="C8145" s="9" t="n">
        <v>1185732</v>
      </c>
      <c r="D8145" s="10" t="n">
        <v>44498</v>
      </c>
      <c r="E8145" s="9" t="s">
        <v>17</v>
      </c>
      <c r="F8145" s="9" t="s">
        <v>42</v>
      </c>
      <c r="G8145" s="9" t="s">
        <v>43</v>
      </c>
      <c r="H8145" s="11" t="s">
        <v>21</v>
      </c>
      <c r="I8145" s="12" t="n">
        <v>32</v>
      </c>
      <c r="J8145" s="13" t="n">
        <v>44</v>
      </c>
      <c r="K8145" s="14" t="n">
        <f aca="false">I8145*J8145</f>
        <v>1408</v>
      </c>
      <c r="L8145" s="14" t="n">
        <f aca="false">($L$2*M8145)/100</f>
        <v>480666.6</v>
      </c>
      <c r="M8145" s="15" t="n">
        <v>0.4</v>
      </c>
      <c r="N8145" s="9" t="s">
        <v>26</v>
      </c>
    </row>
    <row r="8146" customFormat="false" ht="14.25" hidden="false" customHeight="true" outlineLevel="0" collapsed="false">
      <c r="B8146" s="9" t="s">
        <v>16</v>
      </c>
      <c r="C8146" s="9" t="n">
        <v>1185732</v>
      </c>
      <c r="D8146" s="10" t="n">
        <v>44499</v>
      </c>
      <c r="E8146" s="9" t="s">
        <v>17</v>
      </c>
      <c r="F8146" s="9" t="s">
        <v>42</v>
      </c>
      <c r="G8146" s="9" t="s">
        <v>43</v>
      </c>
      <c r="H8146" s="11" t="s">
        <v>22</v>
      </c>
      <c r="I8146" s="12" t="n">
        <v>25</v>
      </c>
      <c r="J8146" s="13" t="n">
        <v>54</v>
      </c>
      <c r="K8146" s="14" t="n">
        <f aca="false">I8146*J8146</f>
        <v>1350</v>
      </c>
      <c r="L8146" s="14" t="n">
        <f aca="false">($L$2*M8146)/100</f>
        <v>540749.925</v>
      </c>
      <c r="M8146" s="15" t="n">
        <v>0.45</v>
      </c>
      <c r="N8146" s="9" t="s">
        <v>26</v>
      </c>
    </row>
    <row r="8147" customFormat="false" ht="14.25" hidden="false" customHeight="true" outlineLevel="0" collapsed="false">
      <c r="B8147" s="9" t="s">
        <v>16</v>
      </c>
      <c r="C8147" s="9" t="n">
        <v>1185732</v>
      </c>
      <c r="D8147" s="10" t="n">
        <v>44500</v>
      </c>
      <c r="E8147" s="9" t="s">
        <v>17</v>
      </c>
      <c r="F8147" s="9" t="s">
        <v>42</v>
      </c>
      <c r="G8147" s="9" t="s">
        <v>43</v>
      </c>
      <c r="H8147" s="11" t="s">
        <v>23</v>
      </c>
      <c r="I8147" s="12" t="n">
        <v>28</v>
      </c>
      <c r="J8147" s="13" t="n">
        <v>17</v>
      </c>
      <c r="K8147" s="14" t="n">
        <f aca="false">I8147*J8147</f>
        <v>476</v>
      </c>
      <c r="L8147" s="14" t="n">
        <f aca="false">($L$2*M8147)/100</f>
        <v>504699.93</v>
      </c>
      <c r="M8147" s="15" t="n">
        <v>0.42</v>
      </c>
      <c r="N8147" s="9" t="s">
        <v>26</v>
      </c>
    </row>
    <row r="8148" customFormat="false" ht="14.25" hidden="false" customHeight="true" outlineLevel="0" collapsed="false">
      <c r="B8148" s="9" t="s">
        <v>16</v>
      </c>
      <c r="C8148" s="9" t="n">
        <v>1185732</v>
      </c>
      <c r="D8148" s="10" t="n">
        <v>44501</v>
      </c>
      <c r="E8148" s="9" t="s">
        <v>17</v>
      </c>
      <c r="F8148" s="9" t="s">
        <v>42</v>
      </c>
      <c r="G8148" s="9" t="s">
        <v>43</v>
      </c>
      <c r="H8148" s="11" t="s">
        <v>24</v>
      </c>
      <c r="I8148" s="12" t="n">
        <v>39</v>
      </c>
      <c r="J8148" s="13" t="n">
        <v>40</v>
      </c>
      <c r="K8148" s="14" t="n">
        <f aca="false">I8148*J8148</f>
        <v>1560</v>
      </c>
      <c r="L8148" s="14" t="n">
        <f aca="false">($L$2*M8148)/100</f>
        <v>444616.605</v>
      </c>
      <c r="M8148" s="15" t="n">
        <v>0.37</v>
      </c>
      <c r="N8148" s="9" t="s">
        <v>26</v>
      </c>
    </row>
    <row r="8149" customFormat="false" ht="14.25" hidden="false" customHeight="true" outlineLevel="0" collapsed="false">
      <c r="B8149" s="9" t="s">
        <v>16</v>
      </c>
      <c r="C8149" s="9" t="n">
        <v>1185732</v>
      </c>
      <c r="D8149" s="10" t="n">
        <v>44502</v>
      </c>
      <c r="E8149" s="9" t="s">
        <v>17</v>
      </c>
      <c r="F8149" s="9" t="s">
        <v>42</v>
      </c>
      <c r="G8149" s="9" t="s">
        <v>43</v>
      </c>
      <c r="H8149" s="11" t="s">
        <v>25</v>
      </c>
      <c r="I8149" s="12" t="n">
        <v>30</v>
      </c>
      <c r="J8149" s="13" t="n">
        <v>74</v>
      </c>
      <c r="K8149" s="14" t="n">
        <f aca="false">I8149*J8149</f>
        <v>2220</v>
      </c>
      <c r="L8149" s="14" t="n">
        <f aca="false">($L$2*M8149)/100</f>
        <v>420583.275</v>
      </c>
      <c r="M8149" s="15" t="n">
        <v>0.35</v>
      </c>
      <c r="N8149" s="9" t="s">
        <v>26</v>
      </c>
    </row>
    <row r="8150" customFormat="false" ht="14.25" hidden="false" customHeight="true" outlineLevel="0" collapsed="false">
      <c r="B8150" s="9" t="s">
        <v>16</v>
      </c>
      <c r="C8150" s="9" t="n">
        <v>1185732</v>
      </c>
      <c r="D8150" s="10" t="n">
        <v>44503</v>
      </c>
      <c r="E8150" s="9" t="s">
        <v>17</v>
      </c>
      <c r="F8150" s="9" t="s">
        <v>42</v>
      </c>
      <c r="G8150" s="9" t="s">
        <v>43</v>
      </c>
      <c r="H8150" s="11" t="s">
        <v>19</v>
      </c>
      <c r="I8150" s="12" t="n">
        <v>39</v>
      </c>
      <c r="J8150" s="13" t="n">
        <v>156</v>
      </c>
      <c r="K8150" s="14" t="n">
        <f aca="false">I8150*J8150</f>
        <v>6084</v>
      </c>
      <c r="L8150" s="14" t="n">
        <f aca="false">($L$2*M8150)/100</f>
        <v>696966.57</v>
      </c>
      <c r="M8150" s="15" t="n">
        <v>0.58</v>
      </c>
      <c r="N8150" s="9" t="s">
        <v>26</v>
      </c>
    </row>
    <row r="8151" customFormat="false" ht="14.25" hidden="false" customHeight="true" outlineLevel="0" collapsed="false">
      <c r="B8151" s="9" t="s">
        <v>16</v>
      </c>
      <c r="C8151" s="9" t="n">
        <v>1185732</v>
      </c>
      <c r="D8151" s="10" t="n">
        <v>44504</v>
      </c>
      <c r="E8151" s="9" t="s">
        <v>17</v>
      </c>
      <c r="F8151" s="9" t="s">
        <v>42</v>
      </c>
      <c r="G8151" s="9" t="s">
        <v>43</v>
      </c>
      <c r="H8151" s="11" t="s">
        <v>21</v>
      </c>
      <c r="I8151" s="12" t="n">
        <v>33</v>
      </c>
      <c r="J8151" s="13" t="n">
        <v>53</v>
      </c>
      <c r="K8151" s="14" t="n">
        <f aca="false">I8151*J8151</f>
        <v>1749</v>
      </c>
      <c r="L8151" s="14" t="n">
        <f aca="false">($L$2*M8151)/100</f>
        <v>444616.605</v>
      </c>
      <c r="M8151" s="15" t="n">
        <v>0.37</v>
      </c>
      <c r="N8151" s="9" t="s">
        <v>26</v>
      </c>
    </row>
    <row r="8152" customFormat="false" ht="14.25" hidden="false" customHeight="true" outlineLevel="0" collapsed="false">
      <c r="B8152" s="9" t="s">
        <v>16</v>
      </c>
      <c r="C8152" s="9" t="n">
        <v>1185732</v>
      </c>
      <c r="D8152" s="10" t="n">
        <v>44505</v>
      </c>
      <c r="E8152" s="9" t="s">
        <v>17</v>
      </c>
      <c r="F8152" s="9" t="s">
        <v>42</v>
      </c>
      <c r="G8152" s="9" t="s">
        <v>43</v>
      </c>
      <c r="H8152" s="11" t="s">
        <v>22</v>
      </c>
      <c r="I8152" s="12" t="n">
        <v>29</v>
      </c>
      <c r="J8152" s="13" t="n">
        <v>58</v>
      </c>
      <c r="K8152" s="14" t="n">
        <f aca="false">I8152*J8152</f>
        <v>1682</v>
      </c>
      <c r="L8152" s="14" t="n">
        <f aca="false">($L$2*M8152)/100</f>
        <v>540749.925</v>
      </c>
      <c r="M8152" s="15" t="n">
        <v>0.45</v>
      </c>
      <c r="N8152" s="9" t="s">
        <v>26</v>
      </c>
    </row>
    <row r="8153" customFormat="false" ht="14.25" hidden="false" customHeight="true" outlineLevel="0" collapsed="false">
      <c r="B8153" s="9" t="s">
        <v>16</v>
      </c>
      <c r="C8153" s="9" t="n">
        <v>1185732</v>
      </c>
      <c r="D8153" s="10" t="n">
        <v>44506</v>
      </c>
      <c r="E8153" s="9" t="s">
        <v>17</v>
      </c>
      <c r="F8153" s="9" t="s">
        <v>42</v>
      </c>
      <c r="G8153" s="9" t="s">
        <v>43</v>
      </c>
      <c r="H8153" s="11" t="s">
        <v>23</v>
      </c>
      <c r="I8153" s="12" t="n">
        <v>32</v>
      </c>
      <c r="J8153" s="13" t="n">
        <v>8</v>
      </c>
      <c r="K8153" s="14" t="n">
        <f aca="false">I8153*J8153</f>
        <v>256</v>
      </c>
      <c r="L8153" s="14" t="n">
        <f aca="false">($L$2*M8153)/100</f>
        <v>528733.26</v>
      </c>
      <c r="M8153" s="15" t="n">
        <v>0.44</v>
      </c>
      <c r="N8153" s="9" t="s">
        <v>26</v>
      </c>
    </row>
    <row r="8154" customFormat="false" ht="14.25" hidden="false" customHeight="true" outlineLevel="0" collapsed="false">
      <c r="B8154" s="9" t="s">
        <v>16</v>
      </c>
      <c r="C8154" s="9" t="n">
        <v>1185732</v>
      </c>
      <c r="D8154" s="10" t="n">
        <v>44507</v>
      </c>
      <c r="E8154" s="9" t="s">
        <v>17</v>
      </c>
      <c r="F8154" s="9" t="s">
        <v>42</v>
      </c>
      <c r="G8154" s="9" t="s">
        <v>43</v>
      </c>
      <c r="H8154" s="11" t="s">
        <v>24</v>
      </c>
      <c r="I8154" s="12" t="n">
        <v>41</v>
      </c>
      <c r="J8154" s="13" t="n">
        <v>24</v>
      </c>
      <c r="K8154" s="14" t="n">
        <f aca="false">I8154*J8154</f>
        <v>984</v>
      </c>
      <c r="L8154" s="14" t="n">
        <f aca="false">($L$2*M8154)/100</f>
        <v>408566.61</v>
      </c>
      <c r="M8154" s="15" t="n">
        <v>0.34</v>
      </c>
      <c r="N8154" s="9" t="s">
        <v>26</v>
      </c>
    </row>
    <row r="8155" customFormat="false" ht="14.25" hidden="false" customHeight="true" outlineLevel="0" collapsed="false">
      <c r="B8155" s="9" t="s">
        <v>16</v>
      </c>
      <c r="C8155" s="9" t="n">
        <v>1185732</v>
      </c>
      <c r="D8155" s="10" t="n">
        <v>44508</v>
      </c>
      <c r="E8155" s="9" t="s">
        <v>17</v>
      </c>
      <c r="F8155" s="9" t="s">
        <v>42</v>
      </c>
      <c r="G8155" s="9" t="s">
        <v>43</v>
      </c>
      <c r="H8155" s="11" t="s">
        <v>25</v>
      </c>
      <c r="I8155" s="12" t="n">
        <v>38</v>
      </c>
      <c r="J8155" s="13" t="n">
        <v>61</v>
      </c>
      <c r="K8155" s="14" t="n">
        <f aca="false">I8155*J8155</f>
        <v>2318</v>
      </c>
      <c r="L8155" s="14" t="n">
        <f aca="false">($L$2*M8155)/100</f>
        <v>372516.615</v>
      </c>
      <c r="M8155" s="15" t="n">
        <v>0.31</v>
      </c>
      <c r="N8155" s="9" t="s">
        <v>26</v>
      </c>
    </row>
    <row r="8156" customFormat="false" ht="14.25" hidden="false" customHeight="true" outlineLevel="0" collapsed="false">
      <c r="B8156" s="9" t="s">
        <v>16</v>
      </c>
      <c r="C8156" s="9" t="n">
        <v>1185732</v>
      </c>
      <c r="D8156" s="10" t="n">
        <v>44509</v>
      </c>
      <c r="E8156" s="9" t="s">
        <v>17</v>
      </c>
      <c r="F8156" s="9" t="s">
        <v>42</v>
      </c>
      <c r="G8156" s="9" t="s">
        <v>43</v>
      </c>
      <c r="H8156" s="11" t="s">
        <v>19</v>
      </c>
      <c r="I8156" s="12" t="n">
        <v>35</v>
      </c>
      <c r="J8156" s="13" t="n">
        <v>140</v>
      </c>
      <c r="K8156" s="14" t="n">
        <f aca="false">I8156*J8156</f>
        <v>4900</v>
      </c>
      <c r="L8156" s="14" t="n">
        <f aca="false">($L$2*M8156)/100</f>
        <v>684949.905</v>
      </c>
      <c r="M8156" s="15" t="n">
        <v>0.57</v>
      </c>
      <c r="N8156" s="9" t="s">
        <v>26</v>
      </c>
    </row>
    <row r="8157" customFormat="false" ht="14.25" hidden="false" customHeight="true" outlineLevel="0" collapsed="false">
      <c r="B8157" s="9" t="s">
        <v>16</v>
      </c>
      <c r="C8157" s="9" t="n">
        <v>1185732</v>
      </c>
      <c r="D8157" s="10" t="n">
        <v>44510</v>
      </c>
      <c r="E8157" s="9" t="s">
        <v>17</v>
      </c>
      <c r="F8157" s="9" t="s">
        <v>42</v>
      </c>
      <c r="G8157" s="9" t="s">
        <v>43</v>
      </c>
      <c r="H8157" s="11" t="s">
        <v>21</v>
      </c>
      <c r="I8157" s="12" t="n">
        <v>37</v>
      </c>
      <c r="J8157" s="13" t="n">
        <v>51</v>
      </c>
      <c r="K8157" s="14" t="n">
        <f aca="false">I8157*J8157</f>
        <v>1887</v>
      </c>
      <c r="L8157" s="14" t="n">
        <f aca="false">($L$2*M8157)/100</f>
        <v>384533.28</v>
      </c>
      <c r="M8157" s="15" t="n">
        <v>0.32</v>
      </c>
      <c r="N8157" s="9" t="s">
        <v>26</v>
      </c>
    </row>
    <row r="8158" customFormat="false" ht="14.25" hidden="false" customHeight="true" outlineLevel="0" collapsed="false">
      <c r="B8158" s="9" t="s">
        <v>16</v>
      </c>
      <c r="C8158" s="9" t="n">
        <v>1185732</v>
      </c>
      <c r="D8158" s="10" t="n">
        <v>44511</v>
      </c>
      <c r="E8158" s="9" t="s">
        <v>17</v>
      </c>
      <c r="F8158" s="9" t="s">
        <v>42</v>
      </c>
      <c r="G8158" s="9" t="s">
        <v>43</v>
      </c>
      <c r="H8158" s="11" t="s">
        <v>22</v>
      </c>
      <c r="I8158" s="12" t="n">
        <v>27</v>
      </c>
      <c r="J8158" s="13" t="n">
        <v>51</v>
      </c>
      <c r="K8158" s="14" t="n">
        <f aca="false">I8158*J8158</f>
        <v>1377</v>
      </c>
      <c r="L8158" s="14" t="n">
        <f aca="false">($L$2*M8158)/100</f>
        <v>504699.93</v>
      </c>
      <c r="M8158" s="15" t="n">
        <v>0.42</v>
      </c>
      <c r="N8158" s="9" t="s">
        <v>26</v>
      </c>
    </row>
    <row r="8159" customFormat="false" ht="14.25" hidden="false" customHeight="true" outlineLevel="0" collapsed="false">
      <c r="B8159" s="9" t="s">
        <v>16</v>
      </c>
      <c r="C8159" s="9" t="n">
        <v>1185732</v>
      </c>
      <c r="D8159" s="10" t="n">
        <v>44512</v>
      </c>
      <c r="E8159" s="9" t="s">
        <v>17</v>
      </c>
      <c r="F8159" s="9" t="s">
        <v>42</v>
      </c>
      <c r="G8159" s="9" t="s">
        <v>43</v>
      </c>
      <c r="H8159" s="11" t="s">
        <v>23</v>
      </c>
      <c r="I8159" s="12" t="n">
        <v>36</v>
      </c>
      <c r="J8159" s="13" t="n">
        <v>24</v>
      </c>
      <c r="K8159" s="14" t="n">
        <f aca="false">I8159*J8159</f>
        <v>864</v>
      </c>
      <c r="L8159" s="14" t="n">
        <f aca="false">($L$2*M8159)/100</f>
        <v>456633.27</v>
      </c>
      <c r="M8159" s="15" t="n">
        <v>0.38</v>
      </c>
      <c r="N8159" s="9" t="s">
        <v>26</v>
      </c>
    </row>
    <row r="8160" customFormat="false" ht="14.25" hidden="false" customHeight="true" outlineLevel="0" collapsed="false">
      <c r="B8160" s="9" t="s">
        <v>16</v>
      </c>
      <c r="C8160" s="9" t="n">
        <v>1185732</v>
      </c>
      <c r="D8160" s="10" t="n">
        <v>44513</v>
      </c>
      <c r="E8160" s="9" t="s">
        <v>17</v>
      </c>
      <c r="F8160" s="9" t="s">
        <v>42</v>
      </c>
      <c r="G8160" s="9" t="s">
        <v>43</v>
      </c>
      <c r="H8160" s="11" t="s">
        <v>24</v>
      </c>
      <c r="I8160" s="12" t="n">
        <v>45</v>
      </c>
      <c r="J8160" s="13" t="n">
        <v>26</v>
      </c>
      <c r="K8160" s="14" t="n">
        <f aca="false">I8160*J8160</f>
        <v>1170</v>
      </c>
      <c r="L8160" s="14" t="n">
        <f aca="false">($L$2*M8160)/100</f>
        <v>444616.605</v>
      </c>
      <c r="M8160" s="15" t="n">
        <v>0.37</v>
      </c>
      <c r="N8160" s="9" t="s">
        <v>26</v>
      </c>
    </row>
    <row r="8161" customFormat="false" ht="14.25" hidden="false" customHeight="true" outlineLevel="0" collapsed="false">
      <c r="B8161" s="9" t="s">
        <v>16</v>
      </c>
      <c r="C8161" s="9" t="n">
        <v>1185732</v>
      </c>
      <c r="D8161" s="10" t="n">
        <v>44514</v>
      </c>
      <c r="E8161" s="9" t="s">
        <v>17</v>
      </c>
      <c r="F8161" s="9" t="s">
        <v>42</v>
      </c>
      <c r="G8161" s="9" t="s">
        <v>43</v>
      </c>
      <c r="H8161" s="11" t="s">
        <v>25</v>
      </c>
      <c r="I8161" s="12" t="n">
        <v>39</v>
      </c>
      <c r="J8161" s="13" t="n">
        <v>64</v>
      </c>
      <c r="K8161" s="14" t="n">
        <f aca="false">I8161*J8161</f>
        <v>2496</v>
      </c>
      <c r="L8161" s="14" t="n">
        <f aca="false">($L$2*M8161)/100</f>
        <v>324449.955</v>
      </c>
      <c r="M8161" s="15" t="n">
        <v>0.27</v>
      </c>
      <c r="N8161" s="9" t="s">
        <v>26</v>
      </c>
    </row>
    <row r="8162" customFormat="false" ht="14.25" hidden="false" customHeight="true" outlineLevel="0" collapsed="false">
      <c r="B8162" s="9" t="s">
        <v>16</v>
      </c>
      <c r="C8162" s="9" t="n">
        <v>1185732</v>
      </c>
      <c r="D8162" s="10" t="n">
        <v>44515</v>
      </c>
      <c r="E8162" s="9" t="s">
        <v>17</v>
      </c>
      <c r="F8162" s="9" t="s">
        <v>42</v>
      </c>
      <c r="G8162" s="9" t="s">
        <v>43</v>
      </c>
      <c r="H8162" s="11" t="s">
        <v>19</v>
      </c>
      <c r="I8162" s="12" t="n">
        <v>44</v>
      </c>
      <c r="J8162" s="13" t="n">
        <v>150</v>
      </c>
      <c r="K8162" s="14" t="n">
        <f aca="false">I8162*J8162</f>
        <v>6600</v>
      </c>
      <c r="L8162" s="14" t="n">
        <f aca="false">($L$2*M8162)/100</f>
        <v>624866.58</v>
      </c>
      <c r="M8162" s="15" t="n">
        <v>0.52</v>
      </c>
      <c r="N8162" s="9" t="s">
        <v>26</v>
      </c>
    </row>
    <row r="8163" customFormat="false" ht="14.25" hidden="false" customHeight="true" outlineLevel="0" collapsed="false">
      <c r="B8163" s="9" t="s">
        <v>16</v>
      </c>
      <c r="C8163" s="9" t="n">
        <v>1185732</v>
      </c>
      <c r="D8163" s="10" t="n">
        <v>44516</v>
      </c>
      <c r="E8163" s="9" t="s">
        <v>17</v>
      </c>
      <c r="F8163" s="9" t="s">
        <v>42</v>
      </c>
      <c r="G8163" s="9" t="s">
        <v>43</v>
      </c>
      <c r="H8163" s="11" t="s">
        <v>21</v>
      </c>
      <c r="I8163" s="12" t="n">
        <v>40</v>
      </c>
      <c r="J8163" s="13" t="n">
        <v>54</v>
      </c>
      <c r="K8163" s="14" t="n">
        <f aca="false">I8163*J8163</f>
        <v>2160</v>
      </c>
      <c r="L8163" s="14" t="n">
        <f aca="false">($L$2*M8163)/100</f>
        <v>396549.945</v>
      </c>
      <c r="M8163" s="15" t="n">
        <v>0.33</v>
      </c>
      <c r="N8163" s="9" t="s">
        <v>26</v>
      </c>
    </row>
    <row r="8164" customFormat="false" ht="14.25" hidden="false" customHeight="true" outlineLevel="0" collapsed="false">
      <c r="B8164" s="9" t="s">
        <v>16</v>
      </c>
      <c r="C8164" s="9" t="n">
        <v>1185732</v>
      </c>
      <c r="D8164" s="10" t="n">
        <v>44517</v>
      </c>
      <c r="E8164" s="9" t="s">
        <v>17</v>
      </c>
      <c r="F8164" s="9" t="s">
        <v>42</v>
      </c>
      <c r="G8164" s="9" t="s">
        <v>43</v>
      </c>
      <c r="H8164" s="11" t="s">
        <v>22</v>
      </c>
      <c r="I8164" s="12" t="n">
        <v>38</v>
      </c>
      <c r="J8164" s="13" t="n">
        <v>53</v>
      </c>
      <c r="K8164" s="14" t="n">
        <f aca="false">I8164*J8164</f>
        <v>2014</v>
      </c>
      <c r="L8164" s="14" t="n">
        <f aca="false">($L$2*M8164)/100</f>
        <v>444616.605</v>
      </c>
      <c r="M8164" s="15" t="n">
        <v>0.37</v>
      </c>
      <c r="N8164" s="9" t="s">
        <v>26</v>
      </c>
    </row>
    <row r="8165" customFormat="false" ht="14.25" hidden="false" customHeight="true" outlineLevel="0" collapsed="false">
      <c r="B8165" s="9" t="s">
        <v>16</v>
      </c>
      <c r="C8165" s="9" t="n">
        <v>1185732</v>
      </c>
      <c r="D8165" s="10" t="n">
        <v>44518</v>
      </c>
      <c r="E8165" s="9" t="s">
        <v>17</v>
      </c>
      <c r="F8165" s="9" t="s">
        <v>42</v>
      </c>
      <c r="G8165" s="9" t="s">
        <v>43</v>
      </c>
      <c r="H8165" s="11" t="s">
        <v>23</v>
      </c>
      <c r="I8165" s="12" t="n">
        <v>42</v>
      </c>
      <c r="J8165" s="13" t="n">
        <v>34</v>
      </c>
      <c r="K8165" s="14" t="n">
        <f aca="false">I8165*J8165</f>
        <v>1428</v>
      </c>
      <c r="L8165" s="14" t="n">
        <f aca="false">($L$2*M8165)/100</f>
        <v>480666.6</v>
      </c>
      <c r="M8165" s="15" t="n">
        <v>0.4</v>
      </c>
      <c r="N8165" s="9" t="s">
        <v>26</v>
      </c>
    </row>
    <row r="8166" customFormat="false" ht="14.25" hidden="false" customHeight="true" outlineLevel="0" collapsed="false">
      <c r="B8166" s="9" t="s">
        <v>16</v>
      </c>
      <c r="C8166" s="9" t="n">
        <v>1185732</v>
      </c>
      <c r="D8166" s="10" t="n">
        <v>44519</v>
      </c>
      <c r="E8166" s="9" t="s">
        <v>17</v>
      </c>
      <c r="F8166" s="9" t="s">
        <v>42</v>
      </c>
      <c r="G8166" s="9" t="s">
        <v>43</v>
      </c>
      <c r="H8166" s="11" t="s">
        <v>24</v>
      </c>
      <c r="I8166" s="12" t="n">
        <v>51</v>
      </c>
      <c r="J8166" s="13" t="n">
        <v>39</v>
      </c>
      <c r="K8166" s="14" t="n">
        <f aca="false">I8166*J8166</f>
        <v>1989</v>
      </c>
      <c r="L8166" s="14" t="n">
        <f aca="false">($L$2*M8166)/100</f>
        <v>444616.605</v>
      </c>
      <c r="M8166" s="15" t="n">
        <v>0.37</v>
      </c>
      <c r="N8166" s="9" t="s">
        <v>26</v>
      </c>
    </row>
    <row r="8167" customFormat="false" ht="14.25" hidden="false" customHeight="true" outlineLevel="0" collapsed="false">
      <c r="B8167" s="9" t="s">
        <v>16</v>
      </c>
      <c r="C8167" s="9" t="n">
        <v>1185732</v>
      </c>
      <c r="D8167" s="10" t="n">
        <v>44520</v>
      </c>
      <c r="E8167" s="9" t="s">
        <v>17</v>
      </c>
      <c r="F8167" s="9" t="s">
        <v>42</v>
      </c>
      <c r="G8167" s="9" t="s">
        <v>43</v>
      </c>
      <c r="H8167" s="11" t="s">
        <v>25</v>
      </c>
      <c r="I8167" s="12" t="n">
        <v>51</v>
      </c>
      <c r="J8167" s="13" t="n">
        <v>78</v>
      </c>
      <c r="K8167" s="14" t="n">
        <f aca="false">I8167*J8167</f>
        <v>3978</v>
      </c>
      <c r="L8167" s="14" t="n">
        <f aca="false">($L$2*M8167)/100</f>
        <v>444616.605</v>
      </c>
      <c r="M8167" s="15" t="n">
        <v>0.37</v>
      </c>
      <c r="N8167" s="9" t="s">
        <v>26</v>
      </c>
    </row>
    <row r="8168" customFormat="false" ht="14.25" hidden="false" customHeight="true" outlineLevel="0" collapsed="false">
      <c r="B8168" s="9" t="s">
        <v>16</v>
      </c>
      <c r="C8168" s="9" t="n">
        <v>1185732</v>
      </c>
      <c r="D8168" s="10" t="n">
        <v>44521</v>
      </c>
      <c r="E8168" s="9" t="s">
        <v>17</v>
      </c>
      <c r="F8168" s="9" t="s">
        <v>42</v>
      </c>
      <c r="G8168" s="9" t="s">
        <v>43</v>
      </c>
      <c r="H8168" s="11" t="s">
        <v>19</v>
      </c>
      <c r="I8168" s="12" t="n">
        <v>49</v>
      </c>
      <c r="J8168" s="13" t="n">
        <v>170</v>
      </c>
      <c r="K8168" s="14" t="n">
        <f aca="false">I8168*J8168</f>
        <v>8330</v>
      </c>
      <c r="L8168" s="14" t="n">
        <f aca="false">($L$2*M8168)/100</f>
        <v>684949.905</v>
      </c>
      <c r="M8168" s="15" t="n">
        <v>0.57</v>
      </c>
      <c r="N8168" s="9" t="s">
        <v>26</v>
      </c>
    </row>
    <row r="8169" customFormat="false" ht="14.25" hidden="false" customHeight="true" outlineLevel="0" collapsed="false">
      <c r="B8169" s="9" t="s">
        <v>16</v>
      </c>
      <c r="C8169" s="9" t="n">
        <v>1185732</v>
      </c>
      <c r="D8169" s="10" t="n">
        <v>44522</v>
      </c>
      <c r="E8169" s="9" t="s">
        <v>17</v>
      </c>
      <c r="F8169" s="9" t="s">
        <v>42</v>
      </c>
      <c r="G8169" s="9" t="s">
        <v>43</v>
      </c>
      <c r="H8169" s="11" t="s">
        <v>21</v>
      </c>
      <c r="I8169" s="12" t="n">
        <v>41</v>
      </c>
      <c r="J8169" s="13" t="n">
        <v>85</v>
      </c>
      <c r="K8169" s="14" t="n">
        <f aca="false">I8169*J8169</f>
        <v>3485</v>
      </c>
      <c r="L8169" s="14" t="n">
        <f aca="false">($L$2*M8169)/100</f>
        <v>468649.935</v>
      </c>
      <c r="M8169" s="15" t="n">
        <v>0.39</v>
      </c>
      <c r="N8169" s="9" t="s">
        <v>26</v>
      </c>
    </row>
    <row r="8170" customFormat="false" ht="14.25" hidden="false" customHeight="true" outlineLevel="0" collapsed="false">
      <c r="B8170" s="9" t="s">
        <v>16</v>
      </c>
      <c r="C8170" s="9" t="n">
        <v>1185732</v>
      </c>
      <c r="D8170" s="10" t="n">
        <v>44523</v>
      </c>
      <c r="E8170" s="9" t="s">
        <v>17</v>
      </c>
      <c r="F8170" s="9" t="s">
        <v>42</v>
      </c>
      <c r="G8170" s="9" t="s">
        <v>43</v>
      </c>
      <c r="H8170" s="11" t="s">
        <v>22</v>
      </c>
      <c r="I8170" s="12" t="n">
        <v>42</v>
      </c>
      <c r="J8170" s="13" t="n">
        <v>54</v>
      </c>
      <c r="K8170" s="14" t="n">
        <f aca="false">I8170*J8170</f>
        <v>2268</v>
      </c>
      <c r="L8170" s="14" t="n">
        <f aca="false">($L$2*M8170)/100</f>
        <v>516716.595</v>
      </c>
      <c r="M8170" s="15" t="n">
        <v>0.43</v>
      </c>
      <c r="N8170" s="9" t="s">
        <v>26</v>
      </c>
    </row>
    <row r="8171" customFormat="false" ht="14.25" hidden="false" customHeight="true" outlineLevel="0" collapsed="false">
      <c r="B8171" s="9" t="s">
        <v>16</v>
      </c>
      <c r="C8171" s="9" t="n">
        <v>1185732</v>
      </c>
      <c r="D8171" s="10" t="n">
        <v>44524</v>
      </c>
      <c r="E8171" s="9" t="s">
        <v>17</v>
      </c>
      <c r="F8171" s="9" t="s">
        <v>42</v>
      </c>
      <c r="G8171" s="9" t="s">
        <v>43</v>
      </c>
      <c r="H8171" s="11" t="s">
        <v>23</v>
      </c>
      <c r="I8171" s="12" t="n">
        <v>43</v>
      </c>
      <c r="J8171" s="13" t="n">
        <v>53</v>
      </c>
      <c r="K8171" s="14" t="n">
        <f aca="false">I8171*J8171</f>
        <v>2279</v>
      </c>
      <c r="L8171" s="14" t="n">
        <f aca="false">($L$2*M8171)/100</f>
        <v>564783.255</v>
      </c>
      <c r="M8171" s="15" t="n">
        <v>0.47</v>
      </c>
      <c r="N8171" s="9" t="s">
        <v>26</v>
      </c>
    </row>
    <row r="8172" customFormat="false" ht="14.25" hidden="false" customHeight="true" outlineLevel="0" collapsed="false">
      <c r="B8172" s="9" t="s">
        <v>16</v>
      </c>
      <c r="C8172" s="9" t="n">
        <v>1185732</v>
      </c>
      <c r="D8172" s="10" t="n">
        <v>44525</v>
      </c>
      <c r="E8172" s="9" t="s">
        <v>17</v>
      </c>
      <c r="F8172" s="9" t="s">
        <v>42</v>
      </c>
      <c r="G8172" s="9" t="s">
        <v>43</v>
      </c>
      <c r="H8172" s="11" t="s">
        <v>24</v>
      </c>
      <c r="I8172" s="12" t="n">
        <v>43</v>
      </c>
      <c r="J8172" s="13" t="n">
        <v>48</v>
      </c>
      <c r="K8172" s="14" t="n">
        <f aca="false">I8172*J8172</f>
        <v>2064</v>
      </c>
      <c r="L8172" s="14" t="n">
        <f aca="false">($L$2*M8172)/100</f>
        <v>504699.93</v>
      </c>
      <c r="M8172" s="15" t="n">
        <v>0.42</v>
      </c>
      <c r="N8172" s="9" t="s">
        <v>26</v>
      </c>
    </row>
    <row r="8173" customFormat="false" ht="14.25" hidden="false" customHeight="true" outlineLevel="0" collapsed="false">
      <c r="B8173" s="9" t="s">
        <v>16</v>
      </c>
      <c r="C8173" s="9" t="n">
        <v>1185732</v>
      </c>
      <c r="D8173" s="10" t="n">
        <v>44526</v>
      </c>
      <c r="E8173" s="9" t="s">
        <v>17</v>
      </c>
      <c r="F8173" s="9" t="s">
        <v>42</v>
      </c>
      <c r="G8173" s="9" t="s">
        <v>43</v>
      </c>
      <c r="H8173" s="11" t="s">
        <v>25</v>
      </c>
      <c r="I8173" s="12" t="n">
        <v>52</v>
      </c>
      <c r="J8173" s="13" t="n">
        <v>105</v>
      </c>
      <c r="K8173" s="14" t="n">
        <f aca="false">I8173*J8173</f>
        <v>5460</v>
      </c>
      <c r="L8173" s="14" t="n">
        <f aca="false">($L$2*M8173)/100</f>
        <v>420583.275</v>
      </c>
      <c r="M8173" s="15" t="n">
        <v>0.35</v>
      </c>
      <c r="N8173" s="9" t="s">
        <v>26</v>
      </c>
    </row>
    <row r="8174" customFormat="false" ht="14.25" hidden="false" customHeight="true" outlineLevel="0" collapsed="false">
      <c r="B8174" s="9" t="s">
        <v>16</v>
      </c>
      <c r="C8174" s="9" t="n">
        <v>1185732</v>
      </c>
      <c r="D8174" s="10" t="n">
        <v>44527</v>
      </c>
      <c r="E8174" s="9" t="s">
        <v>17</v>
      </c>
      <c r="F8174" s="9" t="s">
        <v>42</v>
      </c>
      <c r="G8174" s="9" t="s">
        <v>43</v>
      </c>
      <c r="H8174" s="11" t="s">
        <v>19</v>
      </c>
      <c r="I8174" s="12" t="n">
        <v>49</v>
      </c>
      <c r="J8174" s="13" t="n">
        <v>175</v>
      </c>
      <c r="K8174" s="14" t="n">
        <f aca="false">I8174*J8174</f>
        <v>8575</v>
      </c>
      <c r="L8174" s="14" t="n">
        <f aca="false">($L$2*M8174)/100</f>
        <v>684949.905</v>
      </c>
      <c r="M8174" s="15" t="n">
        <v>0.57</v>
      </c>
      <c r="N8174" s="9" t="s">
        <v>26</v>
      </c>
    </row>
    <row r="8175" customFormat="false" ht="14.25" hidden="false" customHeight="true" outlineLevel="0" collapsed="false">
      <c r="B8175" s="9" t="s">
        <v>16</v>
      </c>
      <c r="C8175" s="9" t="n">
        <v>1185732</v>
      </c>
      <c r="D8175" s="10" t="n">
        <v>44528</v>
      </c>
      <c r="E8175" s="9" t="s">
        <v>17</v>
      </c>
      <c r="F8175" s="9" t="s">
        <v>42</v>
      </c>
      <c r="G8175" s="9" t="s">
        <v>43</v>
      </c>
      <c r="H8175" s="11" t="s">
        <v>21</v>
      </c>
      <c r="I8175" s="12" t="n">
        <v>45</v>
      </c>
      <c r="J8175" s="13" t="n">
        <v>99</v>
      </c>
      <c r="K8175" s="14" t="n">
        <f aca="false">I8175*J8175</f>
        <v>4455</v>
      </c>
      <c r="L8175" s="14" t="n">
        <f aca="false">($L$2*M8175)/100</f>
        <v>468649.935</v>
      </c>
      <c r="M8175" s="15" t="n">
        <v>0.39</v>
      </c>
      <c r="N8175" s="9" t="s">
        <v>26</v>
      </c>
    </row>
    <row r="8176" customFormat="false" ht="14.25" hidden="false" customHeight="true" outlineLevel="0" collapsed="false">
      <c r="B8176" s="9" t="s">
        <v>16</v>
      </c>
      <c r="C8176" s="9" t="n">
        <v>1185732</v>
      </c>
      <c r="D8176" s="10" t="n">
        <v>44529</v>
      </c>
      <c r="E8176" s="9" t="s">
        <v>17</v>
      </c>
      <c r="F8176" s="9" t="s">
        <v>42</v>
      </c>
      <c r="G8176" s="9" t="s">
        <v>43</v>
      </c>
      <c r="H8176" s="11" t="s">
        <v>22</v>
      </c>
      <c r="I8176" s="12" t="n">
        <v>43</v>
      </c>
      <c r="J8176" s="13" t="n">
        <v>72</v>
      </c>
      <c r="K8176" s="14" t="n">
        <f aca="false">I8176*J8176</f>
        <v>3096</v>
      </c>
      <c r="L8176" s="14" t="n">
        <f aca="false">($L$2*M8176)/100</f>
        <v>516716.595</v>
      </c>
      <c r="M8176" s="15" t="n">
        <v>0.43</v>
      </c>
      <c r="N8176" s="9" t="s">
        <v>26</v>
      </c>
    </row>
    <row r="8177" customFormat="false" ht="14.25" hidden="false" customHeight="true" outlineLevel="0" collapsed="false">
      <c r="B8177" s="9" t="s">
        <v>16</v>
      </c>
      <c r="C8177" s="9" t="n">
        <v>1185732</v>
      </c>
      <c r="D8177" s="10" t="n">
        <v>44530</v>
      </c>
      <c r="E8177" s="9" t="s">
        <v>17</v>
      </c>
      <c r="F8177" s="9" t="s">
        <v>42</v>
      </c>
      <c r="G8177" s="9" t="s">
        <v>43</v>
      </c>
      <c r="H8177" s="11" t="s">
        <v>23</v>
      </c>
      <c r="I8177" s="12" t="n">
        <v>39</v>
      </c>
      <c r="J8177" s="13" t="n">
        <v>56</v>
      </c>
      <c r="K8177" s="14" t="n">
        <f aca="false">I8177*J8177</f>
        <v>2184</v>
      </c>
      <c r="L8177" s="14" t="n">
        <f aca="false">($L$2*M8177)/100</f>
        <v>564783.255</v>
      </c>
      <c r="M8177" s="15" t="n">
        <v>0.47</v>
      </c>
      <c r="N8177" s="9" t="s">
        <v>26</v>
      </c>
    </row>
    <row r="8178" customFormat="false" ht="14.25" hidden="false" customHeight="true" outlineLevel="0" collapsed="false">
      <c r="B8178" s="9" t="s">
        <v>16</v>
      </c>
      <c r="C8178" s="9" t="n">
        <v>1185732</v>
      </c>
      <c r="D8178" s="10" t="n">
        <v>44531</v>
      </c>
      <c r="E8178" s="9" t="s">
        <v>17</v>
      </c>
      <c r="F8178" s="9" t="s">
        <v>42</v>
      </c>
      <c r="G8178" s="9" t="s">
        <v>43</v>
      </c>
      <c r="H8178" s="11" t="s">
        <v>24</v>
      </c>
      <c r="I8178" s="12" t="n">
        <v>50</v>
      </c>
      <c r="J8178" s="13" t="n">
        <v>64</v>
      </c>
      <c r="K8178" s="14" t="n">
        <f aca="false">I8178*J8178</f>
        <v>3200</v>
      </c>
      <c r="L8178" s="14" t="n">
        <f aca="false">($L$2*M8178)/100</f>
        <v>480666.6</v>
      </c>
      <c r="M8178" s="15" t="n">
        <v>0.4</v>
      </c>
      <c r="N8178" s="9" t="s">
        <v>26</v>
      </c>
    </row>
    <row r="8179" customFormat="false" ht="14.25" hidden="false" customHeight="true" outlineLevel="0" collapsed="false">
      <c r="B8179" s="9" t="s">
        <v>16</v>
      </c>
      <c r="C8179" s="9" t="n">
        <v>1185732</v>
      </c>
      <c r="D8179" s="10" t="n">
        <v>44532</v>
      </c>
      <c r="E8179" s="9" t="s">
        <v>17</v>
      </c>
      <c r="F8179" s="9" t="s">
        <v>42</v>
      </c>
      <c r="G8179" s="9" t="s">
        <v>43</v>
      </c>
      <c r="H8179" s="11" t="s">
        <v>25</v>
      </c>
      <c r="I8179" s="12" t="n">
        <v>50</v>
      </c>
      <c r="J8179" s="13" t="n">
        <v>116</v>
      </c>
      <c r="K8179" s="14" t="n">
        <f aca="false">I8179*J8179</f>
        <v>5800</v>
      </c>
      <c r="L8179" s="14" t="n">
        <f aca="false">($L$2*M8179)/100</f>
        <v>432599.94</v>
      </c>
      <c r="M8179" s="15" t="n">
        <v>0.36</v>
      </c>
      <c r="N8179" s="9" t="s">
        <v>26</v>
      </c>
    </row>
    <row r="8180" customFormat="false" ht="14.25" hidden="false" customHeight="true" outlineLevel="0" collapsed="false">
      <c r="B8180" s="9" t="s">
        <v>16</v>
      </c>
      <c r="C8180" s="9" t="n">
        <v>1185732</v>
      </c>
      <c r="D8180" s="10" t="n">
        <v>44533</v>
      </c>
      <c r="E8180" s="9" t="s">
        <v>17</v>
      </c>
      <c r="F8180" s="9" t="s">
        <v>42</v>
      </c>
      <c r="G8180" s="9" t="s">
        <v>43</v>
      </c>
      <c r="H8180" s="11" t="s">
        <v>19</v>
      </c>
      <c r="I8180" s="12" t="n">
        <v>51</v>
      </c>
      <c r="J8180" s="13" t="n">
        <v>179</v>
      </c>
      <c r="K8180" s="14" t="n">
        <f aca="false">I8180*J8180</f>
        <v>9129</v>
      </c>
      <c r="L8180" s="14" t="n">
        <f aca="false">($L$2*M8180)/100</f>
        <v>696966.57</v>
      </c>
      <c r="M8180" s="15" t="n">
        <v>0.58</v>
      </c>
      <c r="N8180" s="9" t="s">
        <v>26</v>
      </c>
    </row>
    <row r="8181" customFormat="false" ht="14.25" hidden="false" customHeight="true" outlineLevel="0" collapsed="false">
      <c r="B8181" s="9" t="s">
        <v>16</v>
      </c>
      <c r="C8181" s="9" t="n">
        <v>1185732</v>
      </c>
      <c r="D8181" s="10" t="n">
        <v>44534</v>
      </c>
      <c r="E8181" s="9" t="s">
        <v>17</v>
      </c>
      <c r="F8181" s="9" t="s">
        <v>42</v>
      </c>
      <c r="G8181" s="9" t="s">
        <v>43</v>
      </c>
      <c r="H8181" s="11" t="s">
        <v>21</v>
      </c>
      <c r="I8181" s="12" t="n">
        <v>44</v>
      </c>
      <c r="J8181" s="13" t="n">
        <v>102</v>
      </c>
      <c r="K8181" s="14" t="n">
        <f aca="false">I8181*J8181</f>
        <v>4488</v>
      </c>
      <c r="L8181" s="14" t="n">
        <f aca="false">($L$2*M8181)/100</f>
        <v>504699.93</v>
      </c>
      <c r="M8181" s="15" t="n">
        <v>0.42</v>
      </c>
      <c r="N8181" s="9" t="s">
        <v>26</v>
      </c>
    </row>
    <row r="8182" customFormat="false" ht="14.25" hidden="false" customHeight="true" outlineLevel="0" collapsed="false">
      <c r="B8182" s="9" t="s">
        <v>16</v>
      </c>
      <c r="C8182" s="9" t="n">
        <v>1185732</v>
      </c>
      <c r="D8182" s="10" t="n">
        <v>44535</v>
      </c>
      <c r="E8182" s="9" t="s">
        <v>17</v>
      </c>
      <c r="F8182" s="9" t="s">
        <v>42</v>
      </c>
      <c r="G8182" s="9" t="s">
        <v>43</v>
      </c>
      <c r="H8182" s="11" t="s">
        <v>22</v>
      </c>
      <c r="I8182" s="12" t="n">
        <v>38</v>
      </c>
      <c r="J8182" s="13" t="n">
        <v>79</v>
      </c>
      <c r="K8182" s="14" t="n">
        <f aca="false">I8182*J8182</f>
        <v>3002</v>
      </c>
      <c r="L8182" s="14" t="n">
        <f aca="false">($L$2*M8182)/100</f>
        <v>564783.255</v>
      </c>
      <c r="M8182" s="15" t="n">
        <v>0.47</v>
      </c>
      <c r="N8182" s="9" t="s">
        <v>26</v>
      </c>
    </row>
    <row r="8183" customFormat="false" ht="14.25" hidden="false" customHeight="true" outlineLevel="0" collapsed="false">
      <c r="B8183" s="9" t="s">
        <v>16</v>
      </c>
      <c r="C8183" s="9" t="n">
        <v>1185732</v>
      </c>
      <c r="D8183" s="10" t="n">
        <v>44536</v>
      </c>
      <c r="E8183" s="9" t="s">
        <v>17</v>
      </c>
      <c r="F8183" s="9" t="s">
        <v>42</v>
      </c>
      <c r="G8183" s="9" t="s">
        <v>43</v>
      </c>
      <c r="H8183" s="11" t="s">
        <v>23</v>
      </c>
      <c r="I8183" s="12" t="n">
        <v>43</v>
      </c>
      <c r="J8183" s="13" t="n">
        <v>62</v>
      </c>
      <c r="K8183" s="14" t="n">
        <f aca="false">I8183*J8183</f>
        <v>2666</v>
      </c>
      <c r="L8183" s="14" t="n">
        <f aca="false">($L$2*M8183)/100</f>
        <v>552766.59</v>
      </c>
      <c r="M8183" s="15" t="n">
        <v>0.46</v>
      </c>
      <c r="N8183" s="9" t="s">
        <v>26</v>
      </c>
    </row>
    <row r="8184" customFormat="false" ht="14.25" hidden="false" customHeight="true" outlineLevel="0" collapsed="false">
      <c r="B8184" s="9" t="s">
        <v>16</v>
      </c>
      <c r="C8184" s="9" t="n">
        <v>1185732</v>
      </c>
      <c r="D8184" s="10" t="n">
        <v>44537</v>
      </c>
      <c r="E8184" s="9" t="s">
        <v>17</v>
      </c>
      <c r="F8184" s="9" t="s">
        <v>42</v>
      </c>
      <c r="G8184" s="9" t="s">
        <v>43</v>
      </c>
      <c r="H8184" s="11" t="s">
        <v>24</v>
      </c>
      <c r="I8184" s="12" t="n">
        <v>46</v>
      </c>
      <c r="J8184" s="13" t="n">
        <v>54</v>
      </c>
      <c r="K8184" s="14" t="n">
        <f aca="false">I8184*J8184</f>
        <v>2484</v>
      </c>
      <c r="L8184" s="14" t="n">
        <f aca="false">($L$2*M8184)/100</f>
        <v>468649.935</v>
      </c>
      <c r="M8184" s="15" t="n">
        <v>0.39</v>
      </c>
      <c r="N8184" s="9" t="s">
        <v>26</v>
      </c>
    </row>
    <row r="8185" customFormat="false" ht="14.25" hidden="false" customHeight="true" outlineLevel="0" collapsed="false">
      <c r="B8185" s="9" t="s">
        <v>16</v>
      </c>
      <c r="C8185" s="9" t="n">
        <v>1185732</v>
      </c>
      <c r="D8185" s="10" t="n">
        <v>44538</v>
      </c>
      <c r="E8185" s="9" t="s">
        <v>17</v>
      </c>
      <c r="F8185" s="9" t="s">
        <v>42</v>
      </c>
      <c r="G8185" s="9" t="s">
        <v>43</v>
      </c>
      <c r="H8185" s="11" t="s">
        <v>25</v>
      </c>
      <c r="I8185" s="12" t="n">
        <v>49</v>
      </c>
      <c r="J8185" s="13" t="n">
        <v>123</v>
      </c>
      <c r="K8185" s="14" t="n">
        <f aca="false">I8185*J8185</f>
        <v>6027</v>
      </c>
      <c r="L8185" s="14" t="n">
        <f aca="false">($L$2*M8185)/100</f>
        <v>432599.94</v>
      </c>
      <c r="M8185" s="15" t="n">
        <v>0.36</v>
      </c>
      <c r="N8185" s="9" t="s">
        <v>26</v>
      </c>
    </row>
    <row r="8186" customFormat="false" ht="14.25" hidden="false" customHeight="true" outlineLevel="0" collapsed="false">
      <c r="B8186" s="9" t="s">
        <v>16</v>
      </c>
      <c r="C8186" s="9" t="n">
        <v>1185732</v>
      </c>
      <c r="D8186" s="10" t="n">
        <v>44539</v>
      </c>
      <c r="E8186" s="9" t="s">
        <v>17</v>
      </c>
      <c r="F8186" s="9" t="s">
        <v>42</v>
      </c>
      <c r="G8186" s="9" t="s">
        <v>43</v>
      </c>
      <c r="H8186" s="11" t="s">
        <v>19</v>
      </c>
      <c r="I8186" s="12" t="n">
        <v>46</v>
      </c>
      <c r="J8186" s="13" t="n">
        <v>162</v>
      </c>
      <c r="K8186" s="14" t="n">
        <f aca="false">I8186*J8186</f>
        <v>7452</v>
      </c>
      <c r="L8186" s="14" t="n">
        <f aca="false">($L$2*M8186)/100</f>
        <v>624866.58</v>
      </c>
      <c r="M8186" s="15" t="n">
        <v>0.52</v>
      </c>
      <c r="N8186" s="9" t="s">
        <v>26</v>
      </c>
    </row>
    <row r="8187" customFormat="false" ht="14.25" hidden="false" customHeight="true" outlineLevel="0" collapsed="false">
      <c r="B8187" s="9" t="s">
        <v>16</v>
      </c>
      <c r="C8187" s="9" t="n">
        <v>1185732</v>
      </c>
      <c r="D8187" s="10" t="n">
        <v>44540</v>
      </c>
      <c r="E8187" s="9" t="s">
        <v>17</v>
      </c>
      <c r="F8187" s="9" t="s">
        <v>42</v>
      </c>
      <c r="G8187" s="9" t="s">
        <v>43</v>
      </c>
      <c r="H8187" s="11" t="s">
        <v>21</v>
      </c>
      <c r="I8187" s="12" t="n">
        <v>40</v>
      </c>
      <c r="J8187" s="13" t="n">
        <v>91</v>
      </c>
      <c r="K8187" s="14" t="n">
        <f aca="false">I8187*J8187</f>
        <v>3640</v>
      </c>
      <c r="L8187" s="14" t="n">
        <f aca="false">($L$2*M8187)/100</f>
        <v>408566.61</v>
      </c>
      <c r="M8187" s="15" t="n">
        <v>0.34</v>
      </c>
      <c r="N8187" s="9" t="s">
        <v>26</v>
      </c>
    </row>
    <row r="8188" customFormat="false" ht="14.25" hidden="false" customHeight="true" outlineLevel="0" collapsed="false">
      <c r="B8188" s="9" t="s">
        <v>16</v>
      </c>
      <c r="C8188" s="9" t="n">
        <v>1185732</v>
      </c>
      <c r="D8188" s="10" t="n">
        <v>44541</v>
      </c>
      <c r="E8188" s="9" t="s">
        <v>17</v>
      </c>
      <c r="F8188" s="9" t="s">
        <v>42</v>
      </c>
      <c r="G8188" s="9" t="s">
        <v>43</v>
      </c>
      <c r="H8188" s="11" t="s">
        <v>22</v>
      </c>
      <c r="I8188" s="12" t="n">
        <v>32</v>
      </c>
      <c r="J8188" s="13" t="n">
        <v>60</v>
      </c>
      <c r="K8188" s="14" t="n">
        <f aca="false">I8188*J8188</f>
        <v>1920</v>
      </c>
      <c r="L8188" s="14" t="n">
        <f aca="false">($L$2*M8188)/100</f>
        <v>480666.6</v>
      </c>
      <c r="M8188" s="15" t="n">
        <v>0.4</v>
      </c>
      <c r="N8188" s="9" t="s">
        <v>26</v>
      </c>
    </row>
    <row r="8189" customFormat="false" ht="14.25" hidden="false" customHeight="true" outlineLevel="0" collapsed="false">
      <c r="B8189" s="9" t="s">
        <v>16</v>
      </c>
      <c r="C8189" s="9" t="n">
        <v>1185732</v>
      </c>
      <c r="D8189" s="10" t="n">
        <v>44542</v>
      </c>
      <c r="E8189" s="9" t="s">
        <v>17</v>
      </c>
      <c r="F8189" s="9" t="s">
        <v>42</v>
      </c>
      <c r="G8189" s="9" t="s">
        <v>43</v>
      </c>
      <c r="H8189" s="11" t="s">
        <v>23</v>
      </c>
      <c r="I8189" s="12" t="n">
        <v>32</v>
      </c>
      <c r="J8189" s="13" t="n">
        <v>53</v>
      </c>
      <c r="K8189" s="14" t="n">
        <f aca="false">I8189*J8189</f>
        <v>1696</v>
      </c>
      <c r="L8189" s="14" t="n">
        <f aca="false">($L$2*M8189)/100</f>
        <v>492683.265</v>
      </c>
      <c r="M8189" s="15" t="n">
        <v>0.41</v>
      </c>
      <c r="N8189" s="9" t="s">
        <v>26</v>
      </c>
    </row>
    <row r="8190" customFormat="false" ht="14.25" hidden="false" customHeight="true" outlineLevel="0" collapsed="false">
      <c r="B8190" s="9" t="s">
        <v>16</v>
      </c>
      <c r="C8190" s="9" t="n">
        <v>1185732</v>
      </c>
      <c r="D8190" s="10" t="n">
        <v>44543</v>
      </c>
      <c r="E8190" s="9" t="s">
        <v>17</v>
      </c>
      <c r="F8190" s="9" t="s">
        <v>42</v>
      </c>
      <c r="G8190" s="9" t="s">
        <v>43</v>
      </c>
      <c r="H8190" s="11" t="s">
        <v>24</v>
      </c>
      <c r="I8190" s="12" t="n">
        <v>36</v>
      </c>
      <c r="J8190" s="13" t="n">
        <v>41</v>
      </c>
      <c r="K8190" s="14" t="n">
        <f aca="false">I8190*J8190</f>
        <v>1476</v>
      </c>
      <c r="L8190" s="14" t="n">
        <f aca="false">($L$2*M8190)/100</f>
        <v>408566.61</v>
      </c>
      <c r="M8190" s="15" t="n">
        <v>0.34</v>
      </c>
      <c r="N8190" s="9" t="s">
        <v>26</v>
      </c>
    </row>
    <row r="8191" customFormat="false" ht="14.25" hidden="false" customHeight="true" outlineLevel="0" collapsed="false">
      <c r="B8191" s="9" t="s">
        <v>16</v>
      </c>
      <c r="C8191" s="9" t="n">
        <v>1185732</v>
      </c>
      <c r="D8191" s="10" t="n">
        <v>44544</v>
      </c>
      <c r="E8191" s="9" t="s">
        <v>17</v>
      </c>
      <c r="F8191" s="9" t="s">
        <v>42</v>
      </c>
      <c r="G8191" s="9" t="s">
        <v>43</v>
      </c>
      <c r="H8191" s="11" t="s">
        <v>25</v>
      </c>
      <c r="I8191" s="12" t="n">
        <v>48</v>
      </c>
      <c r="J8191" s="13" t="n">
        <v>79</v>
      </c>
      <c r="K8191" s="14" t="n">
        <f aca="false">I8191*J8191</f>
        <v>3792</v>
      </c>
      <c r="L8191" s="14" t="n">
        <f aca="false">($L$2*M8191)/100</f>
        <v>372516.615</v>
      </c>
      <c r="M8191" s="15" t="n">
        <v>0.31</v>
      </c>
      <c r="N8191" s="9" t="s">
        <v>26</v>
      </c>
    </row>
    <row r="8192" customFormat="false" ht="14.25" hidden="false" customHeight="true" outlineLevel="0" collapsed="false">
      <c r="B8192" s="9" t="s">
        <v>16</v>
      </c>
      <c r="C8192" s="9" t="n">
        <v>1185732</v>
      </c>
      <c r="D8192" s="10" t="n">
        <v>44545</v>
      </c>
      <c r="E8192" s="9" t="s">
        <v>17</v>
      </c>
      <c r="F8192" s="9" t="s">
        <v>42</v>
      </c>
      <c r="G8192" s="9" t="s">
        <v>43</v>
      </c>
      <c r="H8192" s="11" t="s">
        <v>19</v>
      </c>
      <c r="I8192" s="12" t="n">
        <v>47</v>
      </c>
      <c r="J8192" s="13" t="n">
        <v>124</v>
      </c>
      <c r="K8192" s="14" t="n">
        <f aca="false">I8192*J8192</f>
        <v>5828</v>
      </c>
      <c r="L8192" s="14" t="n">
        <f aca="false">($L$2*M8192)/100</f>
        <v>636883.245</v>
      </c>
      <c r="M8192" s="15" t="n">
        <v>0.53</v>
      </c>
      <c r="N8192" s="9" t="s">
        <v>26</v>
      </c>
    </row>
    <row r="8193" customFormat="false" ht="14.25" hidden="false" customHeight="true" outlineLevel="0" collapsed="false">
      <c r="B8193" s="9" t="s">
        <v>16</v>
      </c>
      <c r="C8193" s="9" t="n">
        <v>1185732</v>
      </c>
      <c r="D8193" s="10" t="n">
        <v>44546</v>
      </c>
      <c r="E8193" s="9" t="s">
        <v>17</v>
      </c>
      <c r="F8193" s="9" t="s">
        <v>42</v>
      </c>
      <c r="G8193" s="9" t="s">
        <v>43</v>
      </c>
      <c r="H8193" s="11" t="s">
        <v>21</v>
      </c>
      <c r="I8193" s="12" t="n">
        <v>35</v>
      </c>
      <c r="J8193" s="13" t="n">
        <v>68</v>
      </c>
      <c r="K8193" s="14" t="n">
        <f aca="false">I8193*J8193</f>
        <v>2380</v>
      </c>
      <c r="L8193" s="14" t="n">
        <f aca="false">($L$2*M8193)/100</f>
        <v>384533.28</v>
      </c>
      <c r="M8193" s="15" t="n">
        <v>0.32</v>
      </c>
      <c r="N8193" s="9" t="s">
        <v>26</v>
      </c>
    </row>
    <row r="8194" customFormat="false" ht="14.25" hidden="false" customHeight="true" outlineLevel="0" collapsed="false">
      <c r="B8194" s="9" t="s">
        <v>16</v>
      </c>
      <c r="C8194" s="9" t="n">
        <v>1185732</v>
      </c>
      <c r="D8194" s="10" t="n">
        <v>44547</v>
      </c>
      <c r="E8194" s="9" t="s">
        <v>17</v>
      </c>
      <c r="F8194" s="9" t="s">
        <v>42</v>
      </c>
      <c r="G8194" s="9" t="s">
        <v>43</v>
      </c>
      <c r="H8194" s="11" t="s">
        <v>22</v>
      </c>
      <c r="I8194" s="12" t="n">
        <v>38</v>
      </c>
      <c r="J8194" s="13" t="n">
        <v>38</v>
      </c>
      <c r="K8194" s="14" t="n">
        <f aca="false">I8194*J8194</f>
        <v>1444</v>
      </c>
      <c r="L8194" s="14" t="n">
        <f aca="false">($L$2*M8194)/100</f>
        <v>456633.27</v>
      </c>
      <c r="M8194" s="15" t="n">
        <v>0.38</v>
      </c>
      <c r="N8194" s="9" t="s">
        <v>26</v>
      </c>
    </row>
    <row r="8195" customFormat="false" ht="14.25" hidden="false" customHeight="true" outlineLevel="0" collapsed="false">
      <c r="B8195" s="9" t="s">
        <v>16</v>
      </c>
      <c r="C8195" s="9" t="n">
        <v>1185732</v>
      </c>
      <c r="D8195" s="10" t="n">
        <v>44548</v>
      </c>
      <c r="E8195" s="9" t="s">
        <v>17</v>
      </c>
      <c r="F8195" s="9" t="s">
        <v>42</v>
      </c>
      <c r="G8195" s="9" t="s">
        <v>43</v>
      </c>
      <c r="H8195" s="11" t="s">
        <v>23</v>
      </c>
      <c r="I8195" s="12" t="n">
        <v>40</v>
      </c>
      <c r="J8195" s="13" t="n">
        <v>34</v>
      </c>
      <c r="K8195" s="14" t="n">
        <f aca="false">I8195*J8195</f>
        <v>1360</v>
      </c>
      <c r="L8195" s="14" t="n">
        <f aca="false">($L$2*M8195)/100</f>
        <v>456633.27</v>
      </c>
      <c r="M8195" s="15" t="n">
        <v>0.38</v>
      </c>
      <c r="N8195" s="9" t="s">
        <v>26</v>
      </c>
    </row>
    <row r="8196" customFormat="false" ht="14.25" hidden="false" customHeight="true" outlineLevel="0" collapsed="false">
      <c r="B8196" s="9" t="s">
        <v>16</v>
      </c>
      <c r="C8196" s="9" t="n">
        <v>1185732</v>
      </c>
      <c r="D8196" s="10" t="n">
        <v>44549</v>
      </c>
      <c r="E8196" s="9" t="s">
        <v>17</v>
      </c>
      <c r="F8196" s="9" t="s">
        <v>42</v>
      </c>
      <c r="G8196" s="9" t="s">
        <v>43</v>
      </c>
      <c r="H8196" s="11" t="s">
        <v>24</v>
      </c>
      <c r="I8196" s="12" t="n">
        <v>43</v>
      </c>
      <c r="J8196" s="13" t="n">
        <v>30</v>
      </c>
      <c r="K8196" s="14" t="n">
        <f aca="false">I8196*J8196</f>
        <v>1290</v>
      </c>
      <c r="L8196" s="14" t="n">
        <f aca="false">($L$2*M8196)/100</f>
        <v>396549.945</v>
      </c>
      <c r="M8196" s="15" t="n">
        <v>0.33</v>
      </c>
      <c r="N8196" s="9" t="s">
        <v>26</v>
      </c>
    </row>
    <row r="8197" customFormat="false" ht="14.25" hidden="false" customHeight="true" outlineLevel="0" collapsed="false">
      <c r="B8197" s="9" t="s">
        <v>16</v>
      </c>
      <c r="C8197" s="9" t="n">
        <v>1185732</v>
      </c>
      <c r="D8197" s="10" t="n">
        <v>44550</v>
      </c>
      <c r="E8197" s="9" t="s">
        <v>17</v>
      </c>
      <c r="F8197" s="9" t="s">
        <v>42</v>
      </c>
      <c r="G8197" s="9" t="s">
        <v>43</v>
      </c>
      <c r="H8197" s="11" t="s">
        <v>25</v>
      </c>
      <c r="I8197" s="12" t="n">
        <v>42</v>
      </c>
      <c r="J8197" s="13" t="n">
        <v>74</v>
      </c>
      <c r="K8197" s="14" t="n">
        <f aca="false">I8197*J8197</f>
        <v>3108</v>
      </c>
      <c r="L8197" s="14" t="n">
        <f aca="false">($L$2*M8197)/100</f>
        <v>384533.28</v>
      </c>
      <c r="M8197" s="15" t="n">
        <v>0.32</v>
      </c>
      <c r="N8197" s="9" t="s">
        <v>26</v>
      </c>
    </row>
    <row r="8198" customFormat="false" ht="14.25" hidden="false" customHeight="true" outlineLevel="0" collapsed="false">
      <c r="B8198" s="9" t="s">
        <v>16</v>
      </c>
      <c r="C8198" s="9" t="n">
        <v>1185732</v>
      </c>
      <c r="D8198" s="10" t="n">
        <v>44551</v>
      </c>
      <c r="E8198" s="9" t="s">
        <v>17</v>
      </c>
      <c r="F8198" s="9" t="s">
        <v>42</v>
      </c>
      <c r="G8198" s="9" t="s">
        <v>43</v>
      </c>
      <c r="H8198" s="11" t="s">
        <v>19</v>
      </c>
      <c r="I8198" s="12" t="n">
        <v>48</v>
      </c>
      <c r="J8198" s="13" t="n">
        <v>124</v>
      </c>
      <c r="K8198" s="14" t="n">
        <f aca="false">I8198*J8198</f>
        <v>5952</v>
      </c>
      <c r="L8198" s="14" t="n">
        <f aca="false">($L$2*M8198)/100</f>
        <v>720999.9</v>
      </c>
      <c r="M8198" s="15" t="n">
        <v>0.6</v>
      </c>
      <c r="N8198" s="9" t="s">
        <v>26</v>
      </c>
    </row>
    <row r="8199" customFormat="false" ht="14.25" hidden="false" customHeight="true" outlineLevel="0" collapsed="false">
      <c r="B8199" s="9" t="s">
        <v>16</v>
      </c>
      <c r="C8199" s="9" t="n">
        <v>1185732</v>
      </c>
      <c r="D8199" s="10" t="n">
        <v>44552</v>
      </c>
      <c r="E8199" s="9" t="s">
        <v>17</v>
      </c>
      <c r="F8199" s="9" t="s">
        <v>42</v>
      </c>
      <c r="G8199" s="9" t="s">
        <v>43</v>
      </c>
      <c r="H8199" s="11" t="s">
        <v>21</v>
      </c>
      <c r="I8199" s="12" t="n">
        <v>43</v>
      </c>
      <c r="J8199" s="13" t="n">
        <v>68</v>
      </c>
      <c r="K8199" s="14" t="n">
        <f aca="false">I8199*J8199</f>
        <v>2924</v>
      </c>
      <c r="L8199" s="14" t="n">
        <f aca="false">($L$2*M8199)/100</f>
        <v>504699.93</v>
      </c>
      <c r="M8199" s="15" t="n">
        <v>0.42</v>
      </c>
      <c r="N8199" s="9" t="s">
        <v>26</v>
      </c>
    </row>
    <row r="8200" customFormat="false" ht="14.25" hidden="false" customHeight="true" outlineLevel="0" collapsed="false">
      <c r="B8200" s="9" t="s">
        <v>16</v>
      </c>
      <c r="C8200" s="9" t="n">
        <v>1185732</v>
      </c>
      <c r="D8200" s="10" t="n">
        <v>44553</v>
      </c>
      <c r="E8200" s="9" t="s">
        <v>17</v>
      </c>
      <c r="F8200" s="9" t="s">
        <v>42</v>
      </c>
      <c r="G8200" s="9" t="s">
        <v>43</v>
      </c>
      <c r="H8200" s="11" t="s">
        <v>22</v>
      </c>
      <c r="I8200" s="12" t="n">
        <v>47</v>
      </c>
      <c r="J8200" s="13" t="n">
        <v>66</v>
      </c>
      <c r="K8200" s="14" t="n">
        <f aca="false">I8200*J8200</f>
        <v>3102</v>
      </c>
      <c r="L8200" s="14" t="n">
        <f aca="false">($L$2*M8200)/100</f>
        <v>528733.26</v>
      </c>
      <c r="M8200" s="15" t="n">
        <v>0.44</v>
      </c>
      <c r="N8200" s="9" t="s">
        <v>26</v>
      </c>
    </row>
    <row r="8201" customFormat="false" ht="14.25" hidden="false" customHeight="true" outlineLevel="0" collapsed="false">
      <c r="B8201" s="9" t="s">
        <v>16</v>
      </c>
      <c r="C8201" s="9" t="n">
        <v>1185732</v>
      </c>
      <c r="D8201" s="10" t="n">
        <v>44554</v>
      </c>
      <c r="E8201" s="9" t="s">
        <v>17</v>
      </c>
      <c r="F8201" s="9" t="s">
        <v>42</v>
      </c>
      <c r="G8201" s="9" t="s">
        <v>43</v>
      </c>
      <c r="H8201" s="11" t="s">
        <v>23</v>
      </c>
      <c r="I8201" s="12" t="n">
        <v>43</v>
      </c>
      <c r="J8201" s="13" t="n">
        <v>60</v>
      </c>
      <c r="K8201" s="14" t="n">
        <f aca="false">I8201*J8201</f>
        <v>2580</v>
      </c>
      <c r="L8201" s="14" t="n">
        <f aca="false">($L$2*M8201)/100</f>
        <v>552766.59</v>
      </c>
      <c r="M8201" s="15" t="n">
        <v>0.46</v>
      </c>
      <c r="N8201" s="9" t="s">
        <v>26</v>
      </c>
    </row>
    <row r="8202" customFormat="false" ht="14.25" hidden="false" customHeight="true" outlineLevel="0" collapsed="false">
      <c r="B8202" s="9" t="s">
        <v>16</v>
      </c>
      <c r="C8202" s="9" t="n">
        <v>1185732</v>
      </c>
      <c r="D8202" s="10" t="n">
        <v>44555</v>
      </c>
      <c r="E8202" s="9" t="s">
        <v>17</v>
      </c>
      <c r="F8202" s="9" t="s">
        <v>42</v>
      </c>
      <c r="G8202" s="9" t="s">
        <v>43</v>
      </c>
      <c r="H8202" s="11" t="s">
        <v>24</v>
      </c>
      <c r="I8202" s="12" t="n">
        <v>51</v>
      </c>
      <c r="J8202" s="13" t="n">
        <v>48</v>
      </c>
      <c r="K8202" s="14" t="n">
        <f aca="false">I8202*J8202</f>
        <v>2448</v>
      </c>
      <c r="L8202" s="14" t="n">
        <f aca="false">($L$2*M8202)/100</f>
        <v>468649.935</v>
      </c>
      <c r="M8202" s="15" t="n">
        <v>0.39</v>
      </c>
      <c r="N8202" s="9" t="s">
        <v>26</v>
      </c>
    </row>
    <row r="8203" customFormat="false" ht="14.25" hidden="false" customHeight="true" outlineLevel="0" collapsed="false">
      <c r="B8203" s="9" t="s">
        <v>16</v>
      </c>
      <c r="C8203" s="9" t="n">
        <v>1185732</v>
      </c>
      <c r="D8203" s="10" t="n">
        <v>44556</v>
      </c>
      <c r="E8203" s="9" t="s">
        <v>17</v>
      </c>
      <c r="F8203" s="9" t="s">
        <v>42</v>
      </c>
      <c r="G8203" s="9" t="s">
        <v>43</v>
      </c>
      <c r="H8203" s="11" t="s">
        <v>25</v>
      </c>
      <c r="I8203" s="12" t="n">
        <v>53</v>
      </c>
      <c r="J8203" s="13" t="n">
        <v>75</v>
      </c>
      <c r="K8203" s="14" t="n">
        <f aca="false">I8203*J8203</f>
        <v>3975</v>
      </c>
      <c r="L8203" s="14" t="n">
        <f aca="false">($L$2*M8203)/100</f>
        <v>432599.94</v>
      </c>
      <c r="M8203" s="15" t="n">
        <v>0.36</v>
      </c>
      <c r="N8203" s="9" t="s">
        <v>26</v>
      </c>
    </row>
    <row r="8204" customFormat="false" ht="14.25" hidden="false" customHeight="true" outlineLevel="0" collapsed="false">
      <c r="B8204" s="9" t="s">
        <v>16</v>
      </c>
      <c r="C8204" s="9" t="n">
        <v>1185732</v>
      </c>
      <c r="D8204" s="10" t="n">
        <v>44557</v>
      </c>
      <c r="E8204" s="9" t="s">
        <v>17</v>
      </c>
      <c r="F8204" s="9" t="s">
        <v>42</v>
      </c>
      <c r="G8204" s="9" t="s">
        <v>43</v>
      </c>
      <c r="H8204" s="11" t="s">
        <v>19</v>
      </c>
      <c r="I8204" s="12" t="n">
        <v>53</v>
      </c>
      <c r="J8204" s="13" t="n">
        <v>143</v>
      </c>
      <c r="K8204" s="14" t="n">
        <f aca="false">I8204*J8204</f>
        <v>7579</v>
      </c>
      <c r="L8204" s="14" t="n">
        <f aca="false">($L$2*M8204)/100</f>
        <v>733016.565</v>
      </c>
      <c r="M8204" s="15" t="n">
        <v>0.61</v>
      </c>
      <c r="N8204" s="9" t="s">
        <v>26</v>
      </c>
    </row>
    <row r="8205" customFormat="false" ht="14.25" hidden="false" customHeight="true" outlineLevel="0" collapsed="false">
      <c r="B8205" s="9" t="s">
        <v>16</v>
      </c>
      <c r="C8205" s="9" t="n">
        <v>1185732</v>
      </c>
      <c r="D8205" s="10" t="n">
        <v>44558</v>
      </c>
      <c r="E8205" s="9" t="s">
        <v>17</v>
      </c>
      <c r="F8205" s="9" t="s">
        <v>42</v>
      </c>
      <c r="G8205" s="9" t="s">
        <v>43</v>
      </c>
      <c r="H8205" s="11" t="s">
        <v>21</v>
      </c>
      <c r="I8205" s="12" t="n">
        <v>47</v>
      </c>
      <c r="J8205" s="13" t="n">
        <v>85</v>
      </c>
      <c r="K8205" s="14" t="n">
        <f aca="false">I8205*J8205</f>
        <v>3995</v>
      </c>
      <c r="L8205" s="14" t="n">
        <f aca="false">($L$2*M8205)/100</f>
        <v>492683.265</v>
      </c>
      <c r="M8205" s="15" t="n">
        <v>0.41</v>
      </c>
      <c r="N8205" s="9" t="s">
        <v>26</v>
      </c>
    </row>
    <row r="8206" customFormat="false" ht="14.25" hidden="false" customHeight="true" outlineLevel="0" collapsed="false">
      <c r="B8206" s="9" t="s">
        <v>16</v>
      </c>
      <c r="C8206" s="9" t="n">
        <v>1185732</v>
      </c>
      <c r="D8206" s="10" t="n">
        <v>44559</v>
      </c>
      <c r="E8206" s="9" t="s">
        <v>17</v>
      </c>
      <c r="F8206" s="9" t="s">
        <v>42</v>
      </c>
      <c r="G8206" s="9" t="s">
        <v>43</v>
      </c>
      <c r="H8206" s="11" t="s">
        <v>22</v>
      </c>
      <c r="I8206" s="12" t="n">
        <v>44</v>
      </c>
      <c r="J8206" s="13" t="n">
        <v>79</v>
      </c>
      <c r="K8206" s="14" t="n">
        <f aca="false">I8206*J8206</f>
        <v>3476</v>
      </c>
      <c r="L8206" s="14" t="n">
        <f aca="false">($L$2*M8206)/100</f>
        <v>528733.26</v>
      </c>
      <c r="M8206" s="15" t="n">
        <v>0.44</v>
      </c>
      <c r="N8206" s="9" t="s">
        <v>26</v>
      </c>
    </row>
    <row r="8207" customFormat="false" ht="14.25" hidden="false" customHeight="true" outlineLevel="0" collapsed="false">
      <c r="B8207" s="9" t="s">
        <v>16</v>
      </c>
      <c r="C8207" s="9" t="n">
        <v>1185732</v>
      </c>
      <c r="D8207" s="10" t="n">
        <v>44560</v>
      </c>
      <c r="E8207" s="9" t="s">
        <v>17</v>
      </c>
      <c r="F8207" s="9" t="s">
        <v>42</v>
      </c>
      <c r="G8207" s="9" t="s">
        <v>43</v>
      </c>
      <c r="H8207" s="11" t="s">
        <v>23</v>
      </c>
      <c r="I8207" s="12" t="n">
        <v>40</v>
      </c>
      <c r="J8207" s="13" t="n">
        <v>53</v>
      </c>
      <c r="K8207" s="14" t="n">
        <f aca="false">I8207*J8207</f>
        <v>2120</v>
      </c>
      <c r="L8207" s="14" t="n">
        <f aca="false">($L$2*M8207)/100</f>
        <v>540749.925</v>
      </c>
      <c r="M8207" s="15" t="n">
        <v>0.45</v>
      </c>
      <c r="N8207" s="9" t="s">
        <v>26</v>
      </c>
    </row>
    <row r="8208" customFormat="false" ht="14.25" hidden="false" customHeight="true" outlineLevel="0" collapsed="false">
      <c r="B8208" s="9" t="s">
        <v>16</v>
      </c>
      <c r="C8208" s="9" t="n">
        <v>1185732</v>
      </c>
      <c r="D8208" s="10" t="n">
        <v>44561</v>
      </c>
      <c r="E8208" s="9" t="s">
        <v>17</v>
      </c>
      <c r="F8208" s="9" t="s">
        <v>42</v>
      </c>
      <c r="G8208" s="9" t="s">
        <v>43</v>
      </c>
      <c r="H8208" s="11" t="s">
        <v>24</v>
      </c>
      <c r="I8208" s="12" t="n">
        <v>46</v>
      </c>
      <c r="J8208" s="13" t="n">
        <v>56</v>
      </c>
      <c r="K8208" s="14" t="n">
        <f aca="false">I8208*J8208</f>
        <v>2576</v>
      </c>
      <c r="L8208" s="14" t="n">
        <f aca="false">($L$2*M8208)/100</f>
        <v>468649.935</v>
      </c>
      <c r="M8208" s="15" t="n">
        <v>0.39</v>
      </c>
      <c r="N8208" s="9" t="s">
        <v>26</v>
      </c>
    </row>
    <row r="8209" customFormat="false" ht="14.25" hidden="false" customHeight="true" outlineLevel="0" collapsed="false">
      <c r="B8209" s="9" t="s">
        <v>16</v>
      </c>
      <c r="C8209" s="9" t="n">
        <v>1185732</v>
      </c>
      <c r="D8209" s="10" t="n">
        <v>43831</v>
      </c>
      <c r="E8209" s="9" t="s">
        <v>17</v>
      </c>
      <c r="F8209" s="9" t="s">
        <v>42</v>
      </c>
      <c r="G8209" s="9" t="s">
        <v>43</v>
      </c>
      <c r="H8209" s="11" t="s">
        <v>25</v>
      </c>
      <c r="I8209" s="12" t="n">
        <v>53</v>
      </c>
      <c r="J8209" s="13" t="n">
        <v>83</v>
      </c>
      <c r="K8209" s="14" t="n">
        <f aca="false">I8209*J8209</f>
        <v>4399</v>
      </c>
      <c r="L8209" s="14" t="n">
        <f aca="false">($L$2*M8209)/100</f>
        <v>384533.28</v>
      </c>
      <c r="M8209" s="15" t="n">
        <v>0.32</v>
      </c>
      <c r="N8209" s="9" t="s">
        <v>26</v>
      </c>
    </row>
    <row r="8210" customFormat="false" ht="14.25" hidden="false" customHeight="true" outlineLevel="0" collapsed="false">
      <c r="B8210" s="9" t="s">
        <v>32</v>
      </c>
      <c r="C8210" s="9" t="n">
        <v>1128299</v>
      </c>
      <c r="D8210" s="10" t="n">
        <v>43832</v>
      </c>
      <c r="E8210" s="9" t="s">
        <v>17</v>
      </c>
      <c r="F8210" s="9" t="s">
        <v>42</v>
      </c>
      <c r="G8210" s="9" t="s">
        <v>43</v>
      </c>
      <c r="H8210" s="11" t="s">
        <v>19</v>
      </c>
      <c r="I8210" s="12" t="n">
        <v>27</v>
      </c>
      <c r="J8210" s="13" t="n">
        <v>158</v>
      </c>
      <c r="K8210" s="14" t="n">
        <f aca="false">I8210*J8210</f>
        <v>4266</v>
      </c>
      <c r="L8210" s="14" t="n">
        <f aca="false">($L$2*M8210)/100</f>
        <v>504699.93</v>
      </c>
      <c r="M8210" s="15" t="n">
        <v>0.42</v>
      </c>
      <c r="N8210" s="9" t="s">
        <v>26</v>
      </c>
    </row>
    <row r="8211" customFormat="false" ht="14.25" hidden="false" customHeight="true" outlineLevel="0" collapsed="false">
      <c r="B8211" s="9" t="s">
        <v>32</v>
      </c>
      <c r="C8211" s="9" t="n">
        <v>1128299</v>
      </c>
      <c r="D8211" s="10" t="n">
        <v>43833</v>
      </c>
      <c r="E8211" s="9" t="s">
        <v>17</v>
      </c>
      <c r="F8211" s="9" t="s">
        <v>42</v>
      </c>
      <c r="G8211" s="9" t="s">
        <v>43</v>
      </c>
      <c r="H8211" s="11" t="s">
        <v>21</v>
      </c>
      <c r="I8211" s="12" t="n">
        <v>35</v>
      </c>
      <c r="J8211" s="13" t="n">
        <v>135</v>
      </c>
      <c r="K8211" s="14" t="n">
        <f aca="false">I8211*J8211</f>
        <v>4725</v>
      </c>
      <c r="L8211" s="14" t="n">
        <f aca="false">($L$2*M8211)/100</f>
        <v>372516.615</v>
      </c>
      <c r="M8211" s="15" t="n">
        <v>0.31</v>
      </c>
      <c r="N8211" s="9" t="s">
        <v>26</v>
      </c>
    </row>
    <row r="8212" customFormat="false" ht="14.25" hidden="false" customHeight="true" outlineLevel="0" collapsed="false">
      <c r="B8212" s="9" t="s">
        <v>32</v>
      </c>
      <c r="C8212" s="9" t="n">
        <v>1128299</v>
      </c>
      <c r="D8212" s="10" t="n">
        <v>43834</v>
      </c>
      <c r="E8212" s="9" t="s">
        <v>17</v>
      </c>
      <c r="F8212" s="9" t="s">
        <v>42</v>
      </c>
      <c r="G8212" s="9" t="s">
        <v>43</v>
      </c>
      <c r="H8212" s="11" t="s">
        <v>22</v>
      </c>
      <c r="I8212" s="12" t="n">
        <v>36</v>
      </c>
      <c r="J8212" s="13" t="n">
        <v>140</v>
      </c>
      <c r="K8212" s="14" t="n">
        <f aca="false">I8212*J8212</f>
        <v>5040</v>
      </c>
      <c r="L8212" s="14" t="n">
        <f aca="false">($L$2*M8212)/100</f>
        <v>564783.255</v>
      </c>
      <c r="M8212" s="15" t="n">
        <v>0.47</v>
      </c>
      <c r="N8212" s="9" t="s">
        <v>26</v>
      </c>
    </row>
    <row r="8213" customFormat="false" ht="14.25" hidden="false" customHeight="true" outlineLevel="0" collapsed="false">
      <c r="B8213" s="9" t="s">
        <v>32</v>
      </c>
      <c r="C8213" s="9" t="n">
        <v>1128299</v>
      </c>
      <c r="D8213" s="10" t="n">
        <v>43835</v>
      </c>
      <c r="E8213" s="9" t="s">
        <v>17</v>
      </c>
      <c r="F8213" s="9" t="s">
        <v>42</v>
      </c>
      <c r="G8213" s="9" t="s">
        <v>43</v>
      </c>
      <c r="H8213" s="11" t="s">
        <v>23</v>
      </c>
      <c r="I8213" s="12" t="n">
        <v>34</v>
      </c>
      <c r="J8213" s="13" t="n">
        <v>90</v>
      </c>
      <c r="K8213" s="14" t="n">
        <f aca="false">I8213*J8213</f>
        <v>3060</v>
      </c>
      <c r="L8213" s="14" t="n">
        <f aca="false">($L$2*M8213)/100</f>
        <v>492683.265</v>
      </c>
      <c r="M8213" s="15" t="n">
        <v>0.41</v>
      </c>
      <c r="N8213" s="9" t="s">
        <v>26</v>
      </c>
    </row>
    <row r="8214" customFormat="false" ht="14.25" hidden="false" customHeight="true" outlineLevel="0" collapsed="false">
      <c r="B8214" s="9" t="s">
        <v>32</v>
      </c>
      <c r="C8214" s="9" t="n">
        <v>1128299</v>
      </c>
      <c r="D8214" s="10" t="n">
        <v>43836</v>
      </c>
      <c r="E8214" s="9" t="s">
        <v>33</v>
      </c>
      <c r="F8214" s="9" t="s">
        <v>44</v>
      </c>
      <c r="G8214" s="9" t="s">
        <v>45</v>
      </c>
      <c r="H8214" s="11" t="s">
        <v>24</v>
      </c>
      <c r="I8214" s="12" t="n">
        <v>37</v>
      </c>
      <c r="J8214" s="13" t="n">
        <v>80</v>
      </c>
      <c r="K8214" s="14" t="n">
        <f aca="false">I8214*J8214</f>
        <v>2960</v>
      </c>
      <c r="L8214" s="14" t="n">
        <f aca="false">($L$2*M8214)/100</f>
        <v>684949.905</v>
      </c>
      <c r="M8214" s="15" t="n">
        <v>0.57</v>
      </c>
      <c r="N8214" s="9" t="s">
        <v>26</v>
      </c>
    </row>
    <row r="8215" customFormat="false" ht="14.25" hidden="false" customHeight="true" outlineLevel="0" collapsed="false">
      <c r="B8215" s="9" t="s">
        <v>32</v>
      </c>
      <c r="C8215" s="9" t="n">
        <v>1128299</v>
      </c>
      <c r="D8215" s="10" t="n">
        <v>43837</v>
      </c>
      <c r="E8215" s="9" t="s">
        <v>33</v>
      </c>
      <c r="F8215" s="9" t="s">
        <v>44</v>
      </c>
      <c r="G8215" s="9" t="s">
        <v>45</v>
      </c>
      <c r="H8215" s="11" t="s">
        <v>25</v>
      </c>
      <c r="I8215" s="12" t="n">
        <v>36</v>
      </c>
      <c r="J8215" s="13" t="n">
        <v>166</v>
      </c>
      <c r="K8215" s="14" t="n">
        <f aca="false">I8215*J8215</f>
        <v>5976</v>
      </c>
      <c r="L8215" s="14" t="n">
        <f aca="false">($L$2*M8215)/100</f>
        <v>288399.96</v>
      </c>
      <c r="M8215" s="15" t="n">
        <v>0.24</v>
      </c>
      <c r="N8215" s="9" t="s">
        <v>26</v>
      </c>
    </row>
    <row r="8216" customFormat="false" ht="14.25" hidden="false" customHeight="true" outlineLevel="0" collapsed="false">
      <c r="B8216" s="9" t="s">
        <v>32</v>
      </c>
      <c r="C8216" s="9" t="n">
        <v>1128299</v>
      </c>
      <c r="D8216" s="10" t="n">
        <v>43838</v>
      </c>
      <c r="E8216" s="9" t="s">
        <v>33</v>
      </c>
      <c r="F8216" s="9" t="s">
        <v>44</v>
      </c>
      <c r="G8216" s="9" t="s">
        <v>45</v>
      </c>
      <c r="H8216" s="11" t="s">
        <v>19</v>
      </c>
      <c r="I8216" s="12" t="n">
        <v>27</v>
      </c>
      <c r="J8216" s="13" t="n">
        <v>173</v>
      </c>
      <c r="K8216" s="14" t="n">
        <f aca="false">I8216*J8216</f>
        <v>4671</v>
      </c>
      <c r="L8216" s="14" t="n">
        <f aca="false">($L$2*M8216)/100</f>
        <v>516716.595</v>
      </c>
      <c r="M8216" s="15" t="n">
        <v>0.43</v>
      </c>
      <c r="N8216" s="9" t="s">
        <v>26</v>
      </c>
    </row>
    <row r="8217" customFormat="false" ht="14.25" hidden="false" customHeight="true" outlineLevel="0" collapsed="false">
      <c r="B8217" s="9" t="s">
        <v>32</v>
      </c>
      <c r="C8217" s="9" t="n">
        <v>1128299</v>
      </c>
      <c r="D8217" s="10" t="n">
        <v>43839</v>
      </c>
      <c r="E8217" s="9" t="s">
        <v>33</v>
      </c>
      <c r="F8217" s="9" t="s">
        <v>44</v>
      </c>
      <c r="G8217" s="9" t="s">
        <v>45</v>
      </c>
      <c r="H8217" s="11" t="s">
        <v>21</v>
      </c>
      <c r="I8217" s="12" t="n">
        <v>35</v>
      </c>
      <c r="J8217" s="13" t="n">
        <v>145</v>
      </c>
      <c r="K8217" s="14" t="n">
        <f aca="false">I8217*J8217</f>
        <v>5075</v>
      </c>
      <c r="L8217" s="14" t="n">
        <f aca="false">($L$2*M8217)/100</f>
        <v>372516.615</v>
      </c>
      <c r="M8217" s="15" t="n">
        <v>0.31</v>
      </c>
      <c r="N8217" s="9" t="s">
        <v>26</v>
      </c>
    </row>
    <row r="8218" customFormat="false" ht="14.25" hidden="false" customHeight="true" outlineLevel="0" collapsed="false">
      <c r="B8218" s="9" t="s">
        <v>32</v>
      </c>
      <c r="C8218" s="9" t="n">
        <v>1128299</v>
      </c>
      <c r="D8218" s="10" t="n">
        <v>43840</v>
      </c>
      <c r="E8218" s="9" t="s">
        <v>33</v>
      </c>
      <c r="F8218" s="9" t="s">
        <v>44</v>
      </c>
      <c r="G8218" s="9" t="s">
        <v>45</v>
      </c>
      <c r="H8218" s="11" t="s">
        <v>22</v>
      </c>
      <c r="I8218" s="12" t="n">
        <v>31</v>
      </c>
      <c r="J8218" s="13" t="n">
        <v>140</v>
      </c>
      <c r="K8218" s="14" t="n">
        <f aca="false">I8218*J8218</f>
        <v>4340</v>
      </c>
      <c r="L8218" s="14" t="n">
        <f aca="false">($L$2*M8218)/100</f>
        <v>516716.595</v>
      </c>
      <c r="M8218" s="15" t="n">
        <v>0.43</v>
      </c>
      <c r="N8218" s="9" t="s">
        <v>26</v>
      </c>
    </row>
    <row r="8219" customFormat="false" ht="14.25" hidden="false" customHeight="true" outlineLevel="0" collapsed="false">
      <c r="B8219" s="9" t="s">
        <v>32</v>
      </c>
      <c r="C8219" s="9" t="n">
        <v>1128299</v>
      </c>
      <c r="D8219" s="10" t="n">
        <v>43841</v>
      </c>
      <c r="E8219" s="9" t="s">
        <v>33</v>
      </c>
      <c r="F8219" s="9" t="s">
        <v>44</v>
      </c>
      <c r="G8219" s="9" t="s">
        <v>45</v>
      </c>
      <c r="H8219" s="11" t="s">
        <v>23</v>
      </c>
      <c r="I8219" s="12" t="n">
        <v>30</v>
      </c>
      <c r="J8219" s="13" t="n">
        <v>85</v>
      </c>
      <c r="K8219" s="14" t="n">
        <f aca="false">I8219*J8219</f>
        <v>2550</v>
      </c>
      <c r="L8219" s="14" t="n">
        <f aca="false">($L$2*M8219)/100</f>
        <v>492683.265</v>
      </c>
      <c r="M8219" s="15" t="n">
        <v>0.41</v>
      </c>
      <c r="N8219" s="9" t="s">
        <v>26</v>
      </c>
    </row>
    <row r="8220" customFormat="false" ht="14.25" hidden="false" customHeight="true" outlineLevel="0" collapsed="false">
      <c r="B8220" s="9" t="s">
        <v>32</v>
      </c>
      <c r="C8220" s="9" t="n">
        <v>1128299</v>
      </c>
      <c r="D8220" s="10" t="n">
        <v>43842</v>
      </c>
      <c r="E8220" s="9" t="s">
        <v>33</v>
      </c>
      <c r="F8220" s="9" t="s">
        <v>44</v>
      </c>
      <c r="G8220" s="9" t="s">
        <v>45</v>
      </c>
      <c r="H8220" s="11" t="s">
        <v>24</v>
      </c>
      <c r="I8220" s="12" t="n">
        <v>37</v>
      </c>
      <c r="J8220" s="13" t="n">
        <v>70</v>
      </c>
      <c r="K8220" s="14" t="n">
        <f aca="false">I8220*J8220</f>
        <v>2590</v>
      </c>
      <c r="L8220" s="14" t="n">
        <f aca="false">($L$2*M8220)/100</f>
        <v>733016.565</v>
      </c>
      <c r="M8220" s="15" t="n">
        <v>0.61</v>
      </c>
      <c r="N8220" s="9" t="s">
        <v>26</v>
      </c>
    </row>
    <row r="8221" customFormat="false" ht="14.25" hidden="false" customHeight="true" outlineLevel="0" collapsed="false">
      <c r="B8221" s="9" t="s">
        <v>32</v>
      </c>
      <c r="C8221" s="9" t="n">
        <v>1128299</v>
      </c>
      <c r="D8221" s="10" t="n">
        <v>43843</v>
      </c>
      <c r="E8221" s="9" t="s">
        <v>33</v>
      </c>
      <c r="F8221" s="9" t="s">
        <v>44</v>
      </c>
      <c r="G8221" s="9" t="s">
        <v>45</v>
      </c>
      <c r="H8221" s="11" t="s">
        <v>25</v>
      </c>
      <c r="I8221" s="12" t="n">
        <v>31</v>
      </c>
      <c r="J8221" s="13" t="n">
        <v>140</v>
      </c>
      <c r="K8221" s="14" t="n">
        <f aca="false">I8221*J8221</f>
        <v>4340</v>
      </c>
      <c r="L8221" s="14" t="n">
        <f aca="false">($L$2*M8221)/100</f>
        <v>276383.295</v>
      </c>
      <c r="M8221" s="15" t="n">
        <v>0.23</v>
      </c>
      <c r="N8221" s="9" t="s">
        <v>26</v>
      </c>
    </row>
    <row r="8222" customFormat="false" ht="14.25" hidden="false" customHeight="true" outlineLevel="0" collapsed="false">
      <c r="B8222" s="9" t="s">
        <v>32</v>
      </c>
      <c r="C8222" s="9" t="n">
        <v>1128299</v>
      </c>
      <c r="D8222" s="10" t="n">
        <v>43844</v>
      </c>
      <c r="E8222" s="9" t="s">
        <v>33</v>
      </c>
      <c r="F8222" s="9" t="s">
        <v>44</v>
      </c>
      <c r="G8222" s="9" t="s">
        <v>45</v>
      </c>
      <c r="H8222" s="11" t="s">
        <v>19</v>
      </c>
      <c r="I8222" s="12" t="n">
        <v>31</v>
      </c>
      <c r="J8222" s="13" t="n">
        <v>182</v>
      </c>
      <c r="K8222" s="14" t="n">
        <f aca="false">I8222*J8222</f>
        <v>5642</v>
      </c>
      <c r="L8222" s="14" t="n">
        <f aca="false">($L$2*M8222)/100</f>
        <v>540749.925</v>
      </c>
      <c r="M8222" s="15" t="n">
        <v>0.45</v>
      </c>
      <c r="N8222" s="9" t="s">
        <v>26</v>
      </c>
    </row>
    <row r="8223" customFormat="false" ht="14.25" hidden="false" customHeight="true" outlineLevel="0" collapsed="false">
      <c r="B8223" s="9" t="s">
        <v>32</v>
      </c>
      <c r="C8223" s="9" t="n">
        <v>1128299</v>
      </c>
      <c r="D8223" s="10" t="n">
        <v>43845</v>
      </c>
      <c r="E8223" s="9" t="s">
        <v>33</v>
      </c>
      <c r="F8223" s="9" t="s">
        <v>44</v>
      </c>
      <c r="G8223" s="9" t="s">
        <v>45</v>
      </c>
      <c r="H8223" s="11" t="s">
        <v>21</v>
      </c>
      <c r="I8223" s="12" t="n">
        <v>42</v>
      </c>
      <c r="J8223" s="13" t="n">
        <v>124</v>
      </c>
      <c r="K8223" s="14" t="n">
        <f aca="false">I8223*J8223</f>
        <v>5208</v>
      </c>
      <c r="L8223" s="14" t="n">
        <f aca="false">($L$2*M8223)/100</f>
        <v>384533.28</v>
      </c>
      <c r="M8223" s="15" t="n">
        <v>0.32</v>
      </c>
      <c r="N8223" s="9" t="s">
        <v>26</v>
      </c>
    </row>
    <row r="8224" customFormat="false" ht="14.25" hidden="false" customHeight="true" outlineLevel="0" collapsed="false">
      <c r="B8224" s="9" t="s">
        <v>32</v>
      </c>
      <c r="C8224" s="9" t="n">
        <v>1128299</v>
      </c>
      <c r="D8224" s="10" t="n">
        <v>43846</v>
      </c>
      <c r="E8224" s="9" t="s">
        <v>33</v>
      </c>
      <c r="F8224" s="9" t="s">
        <v>44</v>
      </c>
      <c r="G8224" s="9" t="s">
        <v>45</v>
      </c>
      <c r="H8224" s="11" t="s">
        <v>22</v>
      </c>
      <c r="I8224" s="12" t="n">
        <v>43</v>
      </c>
      <c r="J8224" s="13" t="n">
        <v>128</v>
      </c>
      <c r="K8224" s="14" t="n">
        <f aca="false">I8224*J8224</f>
        <v>5504</v>
      </c>
      <c r="L8224" s="14" t="n">
        <f aca="false">($L$2*M8224)/100</f>
        <v>564783.255</v>
      </c>
      <c r="M8224" s="15" t="n">
        <v>0.47</v>
      </c>
      <c r="N8224" s="9" t="s">
        <v>26</v>
      </c>
    </row>
    <row r="8225" customFormat="false" ht="14.25" hidden="false" customHeight="true" outlineLevel="0" collapsed="false">
      <c r="B8225" s="9" t="s">
        <v>32</v>
      </c>
      <c r="C8225" s="9" t="n">
        <v>1128299</v>
      </c>
      <c r="D8225" s="10" t="n">
        <v>43847</v>
      </c>
      <c r="E8225" s="9" t="s">
        <v>33</v>
      </c>
      <c r="F8225" s="9" t="s">
        <v>44</v>
      </c>
      <c r="G8225" s="9" t="s">
        <v>45</v>
      </c>
      <c r="H8225" s="11" t="s">
        <v>23</v>
      </c>
      <c r="I8225" s="12" t="n">
        <v>41</v>
      </c>
      <c r="J8225" s="13" t="n">
        <v>93</v>
      </c>
      <c r="K8225" s="14" t="n">
        <f aca="false">I8225*J8225</f>
        <v>3813</v>
      </c>
      <c r="L8225" s="14" t="n">
        <f aca="false">($L$2*M8225)/100</f>
        <v>492683.265</v>
      </c>
      <c r="M8225" s="15" t="n">
        <v>0.41</v>
      </c>
      <c r="N8225" s="9" t="s">
        <v>26</v>
      </c>
    </row>
    <row r="8226" customFormat="false" ht="14.25" hidden="false" customHeight="true" outlineLevel="0" collapsed="false">
      <c r="B8226" s="9" t="s">
        <v>32</v>
      </c>
      <c r="C8226" s="9" t="n">
        <v>1128299</v>
      </c>
      <c r="D8226" s="10" t="n">
        <v>43848</v>
      </c>
      <c r="E8226" s="9" t="s">
        <v>33</v>
      </c>
      <c r="F8226" s="9" t="s">
        <v>44</v>
      </c>
      <c r="G8226" s="9" t="s">
        <v>45</v>
      </c>
      <c r="H8226" s="11" t="s">
        <v>24</v>
      </c>
      <c r="I8226" s="12" t="n">
        <v>44</v>
      </c>
      <c r="J8226" s="13" t="n">
        <v>60</v>
      </c>
      <c r="K8226" s="14" t="n">
        <f aca="false">I8226*J8226</f>
        <v>2640</v>
      </c>
      <c r="L8226" s="14" t="n">
        <f aca="false">($L$2*M8226)/100</f>
        <v>745033.23</v>
      </c>
      <c r="M8226" s="15" t="n">
        <v>0.62</v>
      </c>
      <c r="N8226" s="9" t="s">
        <v>26</v>
      </c>
    </row>
    <row r="8227" customFormat="false" ht="14.25" hidden="false" customHeight="true" outlineLevel="0" collapsed="false">
      <c r="B8227" s="9" t="s">
        <v>32</v>
      </c>
      <c r="C8227" s="9" t="n">
        <v>1128299</v>
      </c>
      <c r="D8227" s="10" t="n">
        <v>43849</v>
      </c>
      <c r="E8227" s="9" t="s">
        <v>33</v>
      </c>
      <c r="F8227" s="9" t="s">
        <v>44</v>
      </c>
      <c r="G8227" s="9" t="s">
        <v>45</v>
      </c>
      <c r="H8227" s="11" t="s">
        <v>25</v>
      </c>
      <c r="I8227" s="12" t="n">
        <v>39</v>
      </c>
      <c r="J8227" s="13" t="n">
        <v>124</v>
      </c>
      <c r="K8227" s="14" t="n">
        <f aca="false">I8227*J8227</f>
        <v>4836</v>
      </c>
      <c r="L8227" s="14" t="n">
        <f aca="false">($L$2*M8227)/100</f>
        <v>312433.29</v>
      </c>
      <c r="M8227" s="15" t="n">
        <v>0.26</v>
      </c>
      <c r="N8227" s="9" t="s">
        <v>26</v>
      </c>
    </row>
    <row r="8228" customFormat="false" ht="14.25" hidden="false" customHeight="true" outlineLevel="0" collapsed="false">
      <c r="B8228" s="9" t="s">
        <v>32</v>
      </c>
      <c r="C8228" s="9" t="n">
        <v>1128299</v>
      </c>
      <c r="D8228" s="10" t="n">
        <v>43850</v>
      </c>
      <c r="E8228" s="9" t="s">
        <v>33</v>
      </c>
      <c r="F8228" s="9" t="s">
        <v>44</v>
      </c>
      <c r="G8228" s="9" t="s">
        <v>45</v>
      </c>
      <c r="H8228" s="11" t="s">
        <v>19</v>
      </c>
      <c r="I8228" s="12" t="n">
        <v>41</v>
      </c>
      <c r="J8228" s="13" t="n">
        <v>171</v>
      </c>
      <c r="K8228" s="14" t="n">
        <f aca="false">I8228*J8228</f>
        <v>7011</v>
      </c>
      <c r="L8228" s="14" t="n">
        <f aca="false">($L$2*M8228)/100</f>
        <v>504699.93</v>
      </c>
      <c r="M8228" s="15" t="n">
        <v>0.42</v>
      </c>
      <c r="N8228" s="9" t="s">
        <v>26</v>
      </c>
    </row>
    <row r="8229" customFormat="false" ht="14.25" hidden="false" customHeight="true" outlineLevel="0" collapsed="false">
      <c r="B8229" s="9" t="s">
        <v>32</v>
      </c>
      <c r="C8229" s="9" t="n">
        <v>1128299</v>
      </c>
      <c r="D8229" s="10" t="n">
        <v>43851</v>
      </c>
      <c r="E8229" s="9" t="s">
        <v>33</v>
      </c>
      <c r="F8229" s="9" t="s">
        <v>44</v>
      </c>
      <c r="G8229" s="9" t="s">
        <v>45</v>
      </c>
      <c r="H8229" s="11" t="s">
        <v>21</v>
      </c>
      <c r="I8229" s="12" t="n">
        <v>46</v>
      </c>
      <c r="J8229" s="13" t="n">
        <v>116</v>
      </c>
      <c r="K8229" s="14" t="n">
        <f aca="false">I8229*J8229</f>
        <v>5336</v>
      </c>
      <c r="L8229" s="14" t="n">
        <f aca="false">($L$2*M8229)/100</f>
        <v>348483.285</v>
      </c>
      <c r="M8229" s="15" t="n">
        <v>0.29</v>
      </c>
      <c r="N8229" s="9" t="s">
        <v>26</v>
      </c>
    </row>
    <row r="8230" customFormat="false" ht="14.25" hidden="false" customHeight="true" outlineLevel="0" collapsed="false">
      <c r="B8230" s="9" t="s">
        <v>32</v>
      </c>
      <c r="C8230" s="9" t="n">
        <v>1128299</v>
      </c>
      <c r="D8230" s="10" t="n">
        <v>43852</v>
      </c>
      <c r="E8230" s="9" t="s">
        <v>33</v>
      </c>
      <c r="F8230" s="9" t="s">
        <v>44</v>
      </c>
      <c r="G8230" s="9" t="s">
        <v>45</v>
      </c>
      <c r="H8230" s="11" t="s">
        <v>22</v>
      </c>
      <c r="I8230" s="12" t="n">
        <v>47</v>
      </c>
      <c r="J8230" s="13" t="n">
        <v>120</v>
      </c>
      <c r="K8230" s="14" t="n">
        <f aca="false">I8230*J8230</f>
        <v>5640</v>
      </c>
      <c r="L8230" s="14" t="n">
        <f aca="false">($L$2*M8230)/100</f>
        <v>540749.925</v>
      </c>
      <c r="M8230" s="15" t="n">
        <v>0.45</v>
      </c>
      <c r="N8230" s="9" t="s">
        <v>26</v>
      </c>
    </row>
    <row r="8231" customFormat="false" ht="14.25" hidden="false" customHeight="true" outlineLevel="0" collapsed="false">
      <c r="B8231" s="9" t="s">
        <v>32</v>
      </c>
      <c r="C8231" s="9" t="n">
        <v>1128299</v>
      </c>
      <c r="D8231" s="10" t="n">
        <v>43853</v>
      </c>
      <c r="E8231" s="9" t="s">
        <v>33</v>
      </c>
      <c r="F8231" s="9" t="s">
        <v>44</v>
      </c>
      <c r="G8231" s="9" t="s">
        <v>45</v>
      </c>
      <c r="H8231" s="11" t="s">
        <v>23</v>
      </c>
      <c r="I8231" s="12" t="n">
        <v>40</v>
      </c>
      <c r="J8231" s="13" t="n">
        <v>90</v>
      </c>
      <c r="K8231" s="14" t="n">
        <f aca="false">I8231*J8231</f>
        <v>3600</v>
      </c>
      <c r="L8231" s="14" t="n">
        <f aca="false">($L$2*M8231)/100</f>
        <v>492683.265</v>
      </c>
      <c r="M8231" s="15" t="n">
        <v>0.41</v>
      </c>
      <c r="N8231" s="9" t="s">
        <v>26</v>
      </c>
    </row>
    <row r="8232" customFormat="false" ht="14.25" hidden="false" customHeight="true" outlineLevel="0" collapsed="false">
      <c r="B8232" s="9" t="s">
        <v>32</v>
      </c>
      <c r="C8232" s="9" t="n">
        <v>1128299</v>
      </c>
      <c r="D8232" s="10" t="n">
        <v>43854</v>
      </c>
      <c r="E8232" s="9" t="s">
        <v>33</v>
      </c>
      <c r="F8232" s="9" t="s">
        <v>44</v>
      </c>
      <c r="G8232" s="9" t="s">
        <v>45</v>
      </c>
      <c r="H8232" s="11" t="s">
        <v>24</v>
      </c>
      <c r="I8232" s="12" t="n">
        <v>47</v>
      </c>
      <c r="J8232" s="13" t="n">
        <v>62</v>
      </c>
      <c r="K8232" s="14" t="n">
        <f aca="false">I8232*J8232</f>
        <v>2914</v>
      </c>
      <c r="L8232" s="14" t="n">
        <f aca="false">($L$2*M8232)/100</f>
        <v>733016.565</v>
      </c>
      <c r="M8232" s="15" t="n">
        <v>0.61</v>
      </c>
      <c r="N8232" s="9" t="s">
        <v>26</v>
      </c>
    </row>
    <row r="8233" customFormat="false" ht="14.25" hidden="false" customHeight="true" outlineLevel="0" collapsed="false">
      <c r="B8233" s="9" t="s">
        <v>32</v>
      </c>
      <c r="C8233" s="9" t="n">
        <v>1128299</v>
      </c>
      <c r="D8233" s="10" t="n">
        <v>43855</v>
      </c>
      <c r="E8233" s="9" t="s">
        <v>33</v>
      </c>
      <c r="F8233" s="9" t="s">
        <v>44</v>
      </c>
      <c r="G8233" s="9" t="s">
        <v>45</v>
      </c>
      <c r="H8233" s="11" t="s">
        <v>25</v>
      </c>
      <c r="I8233" s="12" t="n">
        <v>54</v>
      </c>
      <c r="J8233" s="13" t="n">
        <v>123</v>
      </c>
      <c r="K8233" s="14" t="n">
        <f aca="false">I8233*J8233</f>
        <v>6642</v>
      </c>
      <c r="L8233" s="14" t="n">
        <f aca="false">($L$2*M8233)/100</f>
        <v>324449.955</v>
      </c>
      <c r="M8233" s="15" t="n">
        <v>0.27</v>
      </c>
      <c r="N8233" s="9" t="s">
        <v>26</v>
      </c>
    </row>
    <row r="8234" customFormat="false" ht="14.25" hidden="false" customHeight="true" outlineLevel="0" collapsed="false">
      <c r="B8234" s="9" t="s">
        <v>32</v>
      </c>
      <c r="C8234" s="9" t="n">
        <v>1128299</v>
      </c>
      <c r="D8234" s="10" t="n">
        <v>43856</v>
      </c>
      <c r="E8234" s="9" t="s">
        <v>33</v>
      </c>
      <c r="F8234" s="9" t="s">
        <v>44</v>
      </c>
      <c r="G8234" s="9" t="s">
        <v>45</v>
      </c>
      <c r="H8234" s="11" t="s">
        <v>19</v>
      </c>
      <c r="I8234" s="12" t="n">
        <v>43</v>
      </c>
      <c r="J8234" s="13" t="n">
        <v>171</v>
      </c>
      <c r="K8234" s="14" t="n">
        <f aca="false">I8234*J8234</f>
        <v>7353</v>
      </c>
      <c r="L8234" s="14" t="n">
        <f aca="false">($L$2*M8234)/100</f>
        <v>576799.92</v>
      </c>
      <c r="M8234" s="15" t="n">
        <v>0.48</v>
      </c>
      <c r="N8234" s="9" t="s">
        <v>26</v>
      </c>
    </row>
    <row r="8235" customFormat="false" ht="14.25" hidden="false" customHeight="true" outlineLevel="0" collapsed="false">
      <c r="B8235" s="9" t="s">
        <v>32</v>
      </c>
      <c r="C8235" s="9" t="n">
        <v>1128299</v>
      </c>
      <c r="D8235" s="10" t="n">
        <v>43857</v>
      </c>
      <c r="E8235" s="9" t="s">
        <v>33</v>
      </c>
      <c r="F8235" s="9" t="s">
        <v>44</v>
      </c>
      <c r="G8235" s="9" t="s">
        <v>45</v>
      </c>
      <c r="H8235" s="11" t="s">
        <v>21</v>
      </c>
      <c r="I8235" s="12" t="n">
        <v>43</v>
      </c>
      <c r="J8235" s="13" t="n">
        <v>120</v>
      </c>
      <c r="K8235" s="14" t="n">
        <f aca="false">I8235*J8235</f>
        <v>5160</v>
      </c>
      <c r="L8235" s="14" t="n">
        <f aca="false">($L$2*M8235)/100</f>
        <v>420583.275</v>
      </c>
      <c r="M8235" s="15" t="n">
        <v>0.35</v>
      </c>
      <c r="N8235" s="9" t="s">
        <v>26</v>
      </c>
    </row>
    <row r="8236" customFormat="false" ht="14.25" hidden="false" customHeight="true" outlineLevel="0" collapsed="false">
      <c r="B8236" s="9" t="s">
        <v>32</v>
      </c>
      <c r="C8236" s="9" t="n">
        <v>1128299</v>
      </c>
      <c r="D8236" s="10" t="n">
        <v>43858</v>
      </c>
      <c r="E8236" s="9" t="s">
        <v>33</v>
      </c>
      <c r="F8236" s="9" t="s">
        <v>44</v>
      </c>
      <c r="G8236" s="9" t="s">
        <v>45</v>
      </c>
      <c r="H8236" s="11" t="s">
        <v>22</v>
      </c>
      <c r="I8236" s="12" t="n">
        <v>49</v>
      </c>
      <c r="J8236" s="13" t="n">
        <v>132</v>
      </c>
      <c r="K8236" s="14" t="n">
        <f aca="false">I8236*J8236</f>
        <v>6468</v>
      </c>
      <c r="L8236" s="14" t="n">
        <f aca="false">($L$2*M8236)/100</f>
        <v>564783.255</v>
      </c>
      <c r="M8236" s="15" t="n">
        <v>0.47</v>
      </c>
      <c r="N8236" s="9" t="s">
        <v>26</v>
      </c>
    </row>
    <row r="8237" customFormat="false" ht="14.25" hidden="false" customHeight="true" outlineLevel="0" collapsed="false">
      <c r="B8237" s="9" t="s">
        <v>32</v>
      </c>
      <c r="C8237" s="9" t="n">
        <v>1128299</v>
      </c>
      <c r="D8237" s="10" t="n">
        <v>43859</v>
      </c>
      <c r="E8237" s="9" t="s">
        <v>33</v>
      </c>
      <c r="F8237" s="9" t="s">
        <v>44</v>
      </c>
      <c r="G8237" s="9" t="s">
        <v>45</v>
      </c>
      <c r="H8237" s="11" t="s">
        <v>23</v>
      </c>
      <c r="I8237" s="12" t="n">
        <v>47</v>
      </c>
      <c r="J8237" s="13" t="n">
        <v>105</v>
      </c>
      <c r="K8237" s="14" t="n">
        <f aca="false">I8237*J8237</f>
        <v>4935</v>
      </c>
      <c r="L8237" s="14" t="n">
        <f aca="false">($L$2*M8237)/100</f>
        <v>552766.59</v>
      </c>
      <c r="M8237" s="15" t="n">
        <v>0.46</v>
      </c>
      <c r="N8237" s="9" t="s">
        <v>26</v>
      </c>
    </row>
    <row r="8238" customFormat="false" ht="14.25" hidden="false" customHeight="true" outlineLevel="0" collapsed="false">
      <c r="B8238" s="9" t="s">
        <v>32</v>
      </c>
      <c r="C8238" s="9" t="n">
        <v>1128299</v>
      </c>
      <c r="D8238" s="10" t="n">
        <v>43860</v>
      </c>
      <c r="E8238" s="9" t="s">
        <v>33</v>
      </c>
      <c r="F8238" s="9" t="s">
        <v>44</v>
      </c>
      <c r="G8238" s="9" t="s">
        <v>45</v>
      </c>
      <c r="H8238" s="11" t="s">
        <v>24</v>
      </c>
      <c r="I8238" s="12" t="n">
        <v>43</v>
      </c>
      <c r="J8238" s="13" t="n">
        <v>66</v>
      </c>
      <c r="K8238" s="14" t="n">
        <f aca="false">I8238*J8238</f>
        <v>2838</v>
      </c>
      <c r="L8238" s="14" t="n">
        <f aca="false">($L$2*M8238)/100</f>
        <v>793099.89</v>
      </c>
      <c r="M8238" s="15" t="n">
        <v>0.66</v>
      </c>
      <c r="N8238" s="9" t="s">
        <v>26</v>
      </c>
    </row>
    <row r="8239" customFormat="false" ht="14.25" hidden="false" customHeight="true" outlineLevel="0" collapsed="false">
      <c r="B8239" s="9" t="s">
        <v>32</v>
      </c>
      <c r="C8239" s="9" t="n">
        <v>1128299</v>
      </c>
      <c r="D8239" s="10" t="n">
        <v>43861</v>
      </c>
      <c r="E8239" s="9" t="s">
        <v>33</v>
      </c>
      <c r="F8239" s="9" t="s">
        <v>44</v>
      </c>
      <c r="G8239" s="9" t="s">
        <v>45</v>
      </c>
      <c r="H8239" s="11" t="s">
        <v>25</v>
      </c>
      <c r="I8239" s="12" t="n">
        <v>54</v>
      </c>
      <c r="J8239" s="13" t="n">
        <v>140</v>
      </c>
      <c r="K8239" s="14" t="n">
        <f aca="false">I8239*J8239</f>
        <v>7560</v>
      </c>
      <c r="L8239" s="14" t="n">
        <f aca="false">($L$2*M8239)/100</f>
        <v>384533.28</v>
      </c>
      <c r="M8239" s="15" t="n">
        <v>0.32</v>
      </c>
      <c r="N8239" s="9" t="s">
        <v>26</v>
      </c>
    </row>
    <row r="8240" customFormat="false" ht="14.25" hidden="false" customHeight="true" outlineLevel="0" collapsed="false">
      <c r="B8240" s="9" t="s">
        <v>32</v>
      </c>
      <c r="C8240" s="9" t="n">
        <v>1128299</v>
      </c>
      <c r="D8240" s="10" t="n">
        <v>43862</v>
      </c>
      <c r="E8240" s="9" t="s">
        <v>33</v>
      </c>
      <c r="F8240" s="9" t="s">
        <v>44</v>
      </c>
      <c r="G8240" s="9" t="s">
        <v>45</v>
      </c>
      <c r="H8240" s="11" t="s">
        <v>19</v>
      </c>
      <c r="I8240" s="12" t="n">
        <v>47</v>
      </c>
      <c r="J8240" s="13" t="n">
        <v>245</v>
      </c>
      <c r="K8240" s="14" t="n">
        <f aca="false">I8240*J8240</f>
        <v>11515</v>
      </c>
      <c r="L8240" s="14" t="n">
        <f aca="false">($L$2*M8240)/100</f>
        <v>600833.25</v>
      </c>
      <c r="M8240" s="15" t="n">
        <v>0.5</v>
      </c>
      <c r="N8240" s="9" t="s">
        <v>26</v>
      </c>
    </row>
    <row r="8241" customFormat="false" ht="14.25" hidden="false" customHeight="true" outlineLevel="0" collapsed="false">
      <c r="B8241" s="9" t="s">
        <v>32</v>
      </c>
      <c r="C8241" s="9" t="n">
        <v>1128299</v>
      </c>
      <c r="D8241" s="10" t="n">
        <v>43863</v>
      </c>
      <c r="E8241" s="9" t="s">
        <v>33</v>
      </c>
      <c r="F8241" s="9" t="s">
        <v>44</v>
      </c>
      <c r="G8241" s="9" t="s">
        <v>45</v>
      </c>
      <c r="H8241" s="11" t="s">
        <v>21</v>
      </c>
      <c r="I8241" s="12" t="n">
        <v>51</v>
      </c>
      <c r="J8241" s="13" t="n">
        <v>182</v>
      </c>
      <c r="K8241" s="14" t="n">
        <f aca="false">I8241*J8241</f>
        <v>9282</v>
      </c>
      <c r="L8241" s="14" t="n">
        <f aca="false">($L$2*M8241)/100</f>
        <v>432599.94</v>
      </c>
      <c r="M8241" s="15" t="n">
        <v>0.36</v>
      </c>
      <c r="N8241" s="9" t="s">
        <v>26</v>
      </c>
    </row>
    <row r="8242" customFormat="false" ht="14.25" hidden="false" customHeight="true" outlineLevel="0" collapsed="false">
      <c r="B8242" s="9" t="s">
        <v>32</v>
      </c>
      <c r="C8242" s="9" t="n">
        <v>1128299</v>
      </c>
      <c r="D8242" s="10" t="n">
        <v>43864</v>
      </c>
      <c r="E8242" s="9" t="s">
        <v>33</v>
      </c>
      <c r="F8242" s="9" t="s">
        <v>44</v>
      </c>
      <c r="G8242" s="9" t="s">
        <v>45</v>
      </c>
      <c r="H8242" s="11" t="s">
        <v>22</v>
      </c>
      <c r="I8242" s="12" t="n">
        <v>46</v>
      </c>
      <c r="J8242" s="13" t="n">
        <v>176</v>
      </c>
      <c r="K8242" s="14" t="n">
        <f aca="false">I8242*J8242</f>
        <v>8096</v>
      </c>
      <c r="L8242" s="14" t="n">
        <f aca="false">($L$2*M8242)/100</f>
        <v>576799.92</v>
      </c>
      <c r="M8242" s="15" t="n">
        <v>0.48</v>
      </c>
      <c r="N8242" s="9" t="s">
        <v>26</v>
      </c>
    </row>
    <row r="8243" customFormat="false" ht="14.25" hidden="false" customHeight="true" outlineLevel="0" collapsed="false">
      <c r="B8243" s="9" t="s">
        <v>32</v>
      </c>
      <c r="C8243" s="9" t="n">
        <v>1128299</v>
      </c>
      <c r="D8243" s="10" t="n">
        <v>43865</v>
      </c>
      <c r="E8243" s="9" t="s">
        <v>33</v>
      </c>
      <c r="F8243" s="9" t="s">
        <v>44</v>
      </c>
      <c r="G8243" s="9" t="s">
        <v>45</v>
      </c>
      <c r="H8243" s="11" t="s">
        <v>23</v>
      </c>
      <c r="I8243" s="12" t="n">
        <v>47</v>
      </c>
      <c r="J8243" s="13" t="n">
        <v>145</v>
      </c>
      <c r="K8243" s="14" t="n">
        <f aca="false">I8243*J8243</f>
        <v>6815</v>
      </c>
      <c r="L8243" s="14" t="n">
        <f aca="false">($L$2*M8243)/100</f>
        <v>540749.925</v>
      </c>
      <c r="M8243" s="15" t="n">
        <v>0.45</v>
      </c>
      <c r="N8243" s="9" t="s">
        <v>26</v>
      </c>
    </row>
    <row r="8244" customFormat="false" ht="14.25" hidden="false" customHeight="true" outlineLevel="0" collapsed="false">
      <c r="B8244" s="9" t="s">
        <v>32</v>
      </c>
      <c r="C8244" s="9" t="n">
        <v>1128299</v>
      </c>
      <c r="D8244" s="10" t="n">
        <v>43866</v>
      </c>
      <c r="E8244" s="9" t="s">
        <v>33</v>
      </c>
      <c r="F8244" s="9" t="s">
        <v>44</v>
      </c>
      <c r="G8244" s="9" t="s">
        <v>45</v>
      </c>
      <c r="H8244" s="11" t="s">
        <v>24</v>
      </c>
      <c r="I8244" s="12" t="n">
        <v>47</v>
      </c>
      <c r="J8244" s="13" t="n">
        <v>105</v>
      </c>
      <c r="K8244" s="14" t="n">
        <f aca="false">I8244*J8244</f>
        <v>4935</v>
      </c>
      <c r="L8244" s="14" t="n">
        <f aca="false">($L$2*M8244)/100</f>
        <v>781083.225</v>
      </c>
      <c r="M8244" s="15" t="n">
        <v>0.65</v>
      </c>
      <c r="N8244" s="9" t="s">
        <v>26</v>
      </c>
    </row>
    <row r="8245" customFormat="false" ht="14.25" hidden="false" customHeight="true" outlineLevel="0" collapsed="false">
      <c r="B8245" s="9" t="s">
        <v>32</v>
      </c>
      <c r="C8245" s="9" t="n">
        <v>1128299</v>
      </c>
      <c r="D8245" s="10" t="n">
        <v>43867</v>
      </c>
      <c r="E8245" s="9" t="s">
        <v>33</v>
      </c>
      <c r="F8245" s="9" t="s">
        <v>44</v>
      </c>
      <c r="G8245" s="9" t="s">
        <v>45</v>
      </c>
      <c r="H8245" s="11" t="s">
        <v>25</v>
      </c>
      <c r="I8245" s="12" t="n">
        <v>57</v>
      </c>
      <c r="J8245" s="13" t="n">
        <v>192</v>
      </c>
      <c r="K8245" s="14" t="n">
        <f aca="false">I8245*J8245</f>
        <v>10944</v>
      </c>
      <c r="L8245" s="14" t="n">
        <f aca="false">($L$2*M8245)/100</f>
        <v>336466.62</v>
      </c>
      <c r="M8245" s="15" t="n">
        <v>0.28</v>
      </c>
      <c r="N8245" s="9" t="s">
        <v>26</v>
      </c>
    </row>
    <row r="8246" customFormat="false" ht="14.25" hidden="false" customHeight="true" outlineLevel="0" collapsed="false">
      <c r="B8246" s="9" t="s">
        <v>32</v>
      </c>
      <c r="C8246" s="9" t="n">
        <v>1128299</v>
      </c>
      <c r="D8246" s="10" t="n">
        <v>43868</v>
      </c>
      <c r="E8246" s="9" t="s">
        <v>33</v>
      </c>
      <c r="F8246" s="9" t="s">
        <v>44</v>
      </c>
      <c r="G8246" s="9" t="s">
        <v>45</v>
      </c>
      <c r="H8246" s="11" t="s">
        <v>19</v>
      </c>
      <c r="I8246" s="12" t="n">
        <v>48</v>
      </c>
      <c r="J8246" s="13" t="n">
        <v>233</v>
      </c>
      <c r="K8246" s="14" t="n">
        <f aca="false">I8246*J8246</f>
        <v>11184</v>
      </c>
      <c r="L8246" s="14" t="n">
        <f aca="false">($L$2*M8246)/100</f>
        <v>528733.26</v>
      </c>
      <c r="M8246" s="15" t="n">
        <v>0.44</v>
      </c>
      <c r="N8246" s="9" t="s">
        <v>26</v>
      </c>
    </row>
    <row r="8247" customFormat="false" ht="14.25" hidden="false" customHeight="true" outlineLevel="0" collapsed="false">
      <c r="B8247" s="9" t="s">
        <v>32</v>
      </c>
      <c r="C8247" s="9" t="n">
        <v>1128299</v>
      </c>
      <c r="D8247" s="10" t="n">
        <v>43869</v>
      </c>
      <c r="E8247" s="9" t="s">
        <v>33</v>
      </c>
      <c r="F8247" s="9" t="s">
        <v>44</v>
      </c>
      <c r="G8247" s="9" t="s">
        <v>45</v>
      </c>
      <c r="H8247" s="11" t="s">
        <v>21</v>
      </c>
      <c r="I8247" s="12" t="n">
        <v>46</v>
      </c>
      <c r="J8247" s="13" t="n">
        <v>204</v>
      </c>
      <c r="K8247" s="14" t="n">
        <f aca="false">I8247*J8247</f>
        <v>9384</v>
      </c>
      <c r="L8247" s="14" t="n">
        <f aca="false">($L$2*M8247)/100</f>
        <v>324449.955</v>
      </c>
      <c r="M8247" s="15" t="n">
        <v>0.27</v>
      </c>
      <c r="N8247" s="9" t="s">
        <v>26</v>
      </c>
    </row>
    <row r="8248" customFormat="false" ht="14.25" hidden="false" customHeight="true" outlineLevel="0" collapsed="false">
      <c r="B8248" s="9" t="s">
        <v>32</v>
      </c>
      <c r="C8248" s="9" t="n">
        <v>1128299</v>
      </c>
      <c r="D8248" s="10" t="n">
        <v>43870</v>
      </c>
      <c r="E8248" s="9" t="s">
        <v>33</v>
      </c>
      <c r="F8248" s="9" t="s">
        <v>44</v>
      </c>
      <c r="G8248" s="9" t="s">
        <v>45</v>
      </c>
      <c r="H8248" s="11" t="s">
        <v>22</v>
      </c>
      <c r="I8248" s="12" t="n">
        <v>47</v>
      </c>
      <c r="J8248" s="13" t="n">
        <v>171</v>
      </c>
      <c r="K8248" s="14" t="n">
        <f aca="false">I8248*J8248</f>
        <v>8037</v>
      </c>
      <c r="L8248" s="14" t="n">
        <f aca="false">($L$2*M8248)/100</f>
        <v>540749.925</v>
      </c>
      <c r="M8248" s="15" t="n">
        <v>0.45</v>
      </c>
      <c r="N8248" s="9" t="s">
        <v>26</v>
      </c>
    </row>
    <row r="8249" customFormat="false" ht="14.25" hidden="false" customHeight="true" outlineLevel="0" collapsed="false">
      <c r="B8249" s="9" t="s">
        <v>32</v>
      </c>
      <c r="C8249" s="9" t="n">
        <v>1128299</v>
      </c>
      <c r="D8249" s="10" t="n">
        <v>43871</v>
      </c>
      <c r="E8249" s="9" t="s">
        <v>33</v>
      </c>
      <c r="F8249" s="9" t="s">
        <v>44</v>
      </c>
      <c r="G8249" s="9" t="s">
        <v>45</v>
      </c>
      <c r="H8249" s="11" t="s">
        <v>23</v>
      </c>
      <c r="I8249" s="12" t="n">
        <v>46</v>
      </c>
      <c r="J8249" s="13" t="n">
        <v>140</v>
      </c>
      <c r="K8249" s="14" t="n">
        <f aca="false">I8249*J8249</f>
        <v>6440</v>
      </c>
      <c r="L8249" s="14" t="n">
        <f aca="false">($L$2*M8249)/100</f>
        <v>504699.93</v>
      </c>
      <c r="M8249" s="15" t="n">
        <v>0.42</v>
      </c>
      <c r="N8249" s="9" t="s">
        <v>26</v>
      </c>
    </row>
    <row r="8250" customFormat="false" ht="14.25" hidden="false" customHeight="true" outlineLevel="0" collapsed="false">
      <c r="B8250" s="9" t="s">
        <v>32</v>
      </c>
      <c r="C8250" s="9" t="n">
        <v>1128299</v>
      </c>
      <c r="D8250" s="10" t="n">
        <v>43872</v>
      </c>
      <c r="E8250" s="9" t="s">
        <v>33</v>
      </c>
      <c r="F8250" s="9" t="s">
        <v>44</v>
      </c>
      <c r="G8250" s="9" t="s">
        <v>45</v>
      </c>
      <c r="H8250" s="11" t="s">
        <v>24</v>
      </c>
      <c r="I8250" s="12" t="n">
        <v>47</v>
      </c>
      <c r="J8250" s="13" t="n">
        <v>150</v>
      </c>
      <c r="K8250" s="14" t="n">
        <f aca="false">I8250*J8250</f>
        <v>7050</v>
      </c>
      <c r="L8250" s="14" t="n">
        <f aca="false">($L$2*M8250)/100</f>
        <v>708983.235</v>
      </c>
      <c r="M8250" s="15" t="n">
        <v>0.59</v>
      </c>
      <c r="N8250" s="9" t="s">
        <v>26</v>
      </c>
    </row>
    <row r="8251" customFormat="false" ht="14.25" hidden="false" customHeight="true" outlineLevel="0" collapsed="false">
      <c r="B8251" s="9" t="s">
        <v>32</v>
      </c>
      <c r="C8251" s="9" t="n">
        <v>1128299</v>
      </c>
      <c r="D8251" s="10" t="n">
        <v>43873</v>
      </c>
      <c r="E8251" s="9" t="s">
        <v>33</v>
      </c>
      <c r="F8251" s="9" t="s">
        <v>44</v>
      </c>
      <c r="G8251" s="9" t="s">
        <v>45</v>
      </c>
      <c r="H8251" s="11" t="s">
        <v>25</v>
      </c>
      <c r="I8251" s="12" t="n">
        <v>61</v>
      </c>
      <c r="J8251" s="13" t="n">
        <v>170</v>
      </c>
      <c r="K8251" s="14" t="n">
        <f aca="false">I8251*J8251</f>
        <v>10370</v>
      </c>
      <c r="L8251" s="14" t="n">
        <f aca="false">($L$2*M8251)/100</f>
        <v>324449.955</v>
      </c>
      <c r="M8251" s="15" t="n">
        <v>0.27</v>
      </c>
      <c r="N8251" s="9" t="s">
        <v>26</v>
      </c>
    </row>
    <row r="8252" customFormat="false" ht="14.25" hidden="false" customHeight="true" outlineLevel="0" collapsed="false">
      <c r="B8252" s="9" t="s">
        <v>32</v>
      </c>
      <c r="C8252" s="9" t="n">
        <v>1128299</v>
      </c>
      <c r="D8252" s="10" t="n">
        <v>43874</v>
      </c>
      <c r="E8252" s="9" t="s">
        <v>33</v>
      </c>
      <c r="F8252" s="9" t="s">
        <v>44</v>
      </c>
      <c r="G8252" s="9" t="s">
        <v>45</v>
      </c>
      <c r="H8252" s="11" t="s">
        <v>19</v>
      </c>
      <c r="I8252" s="12" t="n">
        <v>44</v>
      </c>
      <c r="J8252" s="13" t="n">
        <v>238</v>
      </c>
      <c r="K8252" s="14" t="n">
        <f aca="false">I8252*J8252</f>
        <v>10472</v>
      </c>
      <c r="L8252" s="14" t="n">
        <f aca="false">($L$2*M8252)/100</f>
        <v>552766.59</v>
      </c>
      <c r="M8252" s="15" t="n">
        <v>0.46</v>
      </c>
      <c r="N8252" s="9" t="s">
        <v>26</v>
      </c>
    </row>
    <row r="8253" customFormat="false" ht="14.25" hidden="false" customHeight="true" outlineLevel="0" collapsed="false">
      <c r="B8253" s="9" t="s">
        <v>32</v>
      </c>
      <c r="C8253" s="9" t="n">
        <v>1128299</v>
      </c>
      <c r="D8253" s="10" t="n">
        <v>43875</v>
      </c>
      <c r="E8253" s="9" t="s">
        <v>33</v>
      </c>
      <c r="F8253" s="9" t="s">
        <v>44</v>
      </c>
      <c r="G8253" s="9" t="s">
        <v>45</v>
      </c>
      <c r="H8253" s="11" t="s">
        <v>21</v>
      </c>
      <c r="I8253" s="12" t="n">
        <v>56</v>
      </c>
      <c r="J8253" s="13" t="n">
        <v>208</v>
      </c>
      <c r="K8253" s="14" t="n">
        <f aca="false">I8253*J8253</f>
        <v>11648</v>
      </c>
      <c r="L8253" s="14" t="n">
        <f aca="false">($L$2*M8253)/100</f>
        <v>348483.285</v>
      </c>
      <c r="M8253" s="15" t="n">
        <v>0.29</v>
      </c>
      <c r="N8253" s="9" t="s">
        <v>26</v>
      </c>
    </row>
    <row r="8254" customFormat="false" ht="14.25" hidden="false" customHeight="true" outlineLevel="0" collapsed="false">
      <c r="B8254" s="9" t="s">
        <v>32</v>
      </c>
      <c r="C8254" s="9" t="n">
        <v>1128299</v>
      </c>
      <c r="D8254" s="10" t="n">
        <v>43876</v>
      </c>
      <c r="E8254" s="9" t="s">
        <v>33</v>
      </c>
      <c r="F8254" s="9" t="s">
        <v>44</v>
      </c>
      <c r="G8254" s="9" t="s">
        <v>45</v>
      </c>
      <c r="H8254" s="11" t="s">
        <v>22</v>
      </c>
      <c r="I8254" s="12" t="n">
        <v>44</v>
      </c>
      <c r="J8254" s="13" t="n">
        <v>179</v>
      </c>
      <c r="K8254" s="14" t="n">
        <f aca="false">I8254*J8254</f>
        <v>7876</v>
      </c>
      <c r="L8254" s="14" t="n">
        <f aca="false">($L$2*M8254)/100</f>
        <v>504699.93</v>
      </c>
      <c r="M8254" s="15" t="n">
        <v>0.42</v>
      </c>
      <c r="N8254" s="9" t="s">
        <v>26</v>
      </c>
    </row>
    <row r="8255" customFormat="false" ht="14.25" hidden="false" customHeight="true" outlineLevel="0" collapsed="false">
      <c r="B8255" s="9" t="s">
        <v>32</v>
      </c>
      <c r="C8255" s="9" t="n">
        <v>1128299</v>
      </c>
      <c r="D8255" s="10" t="n">
        <v>43877</v>
      </c>
      <c r="E8255" s="9" t="s">
        <v>33</v>
      </c>
      <c r="F8255" s="9" t="s">
        <v>44</v>
      </c>
      <c r="G8255" s="9" t="s">
        <v>45</v>
      </c>
      <c r="H8255" s="11" t="s">
        <v>23</v>
      </c>
      <c r="I8255" s="12" t="n">
        <v>42</v>
      </c>
      <c r="J8255" s="13" t="n">
        <v>152</v>
      </c>
      <c r="K8255" s="14" t="n">
        <f aca="false">I8255*J8255</f>
        <v>6384</v>
      </c>
      <c r="L8255" s="14" t="n">
        <f aca="false">($L$2*M8255)/100</f>
        <v>504699.93</v>
      </c>
      <c r="M8255" s="15" t="n">
        <v>0.42</v>
      </c>
      <c r="N8255" s="9" t="s">
        <v>26</v>
      </c>
    </row>
    <row r="8256" customFormat="false" ht="14.25" hidden="false" customHeight="true" outlineLevel="0" collapsed="false">
      <c r="B8256" s="9" t="s">
        <v>32</v>
      </c>
      <c r="C8256" s="9" t="n">
        <v>1128299</v>
      </c>
      <c r="D8256" s="10" t="n">
        <v>43878</v>
      </c>
      <c r="E8256" s="9" t="s">
        <v>33</v>
      </c>
      <c r="F8256" s="9" t="s">
        <v>44</v>
      </c>
      <c r="G8256" s="9" t="s">
        <v>45</v>
      </c>
      <c r="H8256" s="11" t="s">
        <v>24</v>
      </c>
      <c r="I8256" s="12" t="n">
        <v>50</v>
      </c>
      <c r="J8256" s="13" t="n">
        <v>152</v>
      </c>
      <c r="K8256" s="14" t="n">
        <f aca="false">I8256*J8256</f>
        <v>7600</v>
      </c>
      <c r="L8256" s="14" t="n">
        <f aca="false">($L$2*M8256)/100</f>
        <v>708983.235</v>
      </c>
      <c r="M8256" s="15" t="n">
        <v>0.59</v>
      </c>
      <c r="N8256" s="9" t="s">
        <v>26</v>
      </c>
    </row>
    <row r="8257" customFormat="false" ht="14.25" hidden="false" customHeight="true" outlineLevel="0" collapsed="false">
      <c r="B8257" s="9" t="s">
        <v>32</v>
      </c>
      <c r="C8257" s="9" t="n">
        <v>1128299</v>
      </c>
      <c r="D8257" s="10" t="n">
        <v>43879</v>
      </c>
      <c r="E8257" s="9" t="s">
        <v>33</v>
      </c>
      <c r="F8257" s="9" t="s">
        <v>44</v>
      </c>
      <c r="G8257" s="9" t="s">
        <v>45</v>
      </c>
      <c r="H8257" s="11" t="s">
        <v>25</v>
      </c>
      <c r="I8257" s="12" t="n">
        <v>55</v>
      </c>
      <c r="J8257" s="13" t="n">
        <v>128</v>
      </c>
      <c r="K8257" s="14" t="n">
        <f aca="false">I8257*J8257</f>
        <v>7040</v>
      </c>
      <c r="L8257" s="14" t="n">
        <f aca="false">($L$2*M8257)/100</f>
        <v>312433.29</v>
      </c>
      <c r="M8257" s="15" t="n">
        <v>0.26</v>
      </c>
      <c r="N8257" s="9" t="s">
        <v>26</v>
      </c>
    </row>
    <row r="8258" customFormat="false" ht="14.25" hidden="false" customHeight="true" outlineLevel="0" collapsed="false">
      <c r="B8258" s="9" t="s">
        <v>32</v>
      </c>
      <c r="C8258" s="9" t="n">
        <v>1128299</v>
      </c>
      <c r="D8258" s="10" t="n">
        <v>43880</v>
      </c>
      <c r="E8258" s="9" t="s">
        <v>33</v>
      </c>
      <c r="F8258" s="9" t="s">
        <v>44</v>
      </c>
      <c r="G8258" s="9" t="s">
        <v>45</v>
      </c>
      <c r="H8258" s="11" t="s">
        <v>19</v>
      </c>
      <c r="I8258" s="12" t="n">
        <v>41</v>
      </c>
      <c r="J8258" s="13" t="n">
        <v>186</v>
      </c>
      <c r="K8258" s="14" t="n">
        <f aca="false">I8258*J8258</f>
        <v>7626</v>
      </c>
      <c r="L8258" s="14" t="n">
        <f aca="false">($L$2*M8258)/100</f>
        <v>456633.27</v>
      </c>
      <c r="M8258" s="15" t="n">
        <v>0.38</v>
      </c>
      <c r="N8258" s="9" t="s">
        <v>26</v>
      </c>
    </row>
    <row r="8259" customFormat="false" ht="14.25" hidden="false" customHeight="true" outlineLevel="0" collapsed="false">
      <c r="B8259" s="9" t="s">
        <v>32</v>
      </c>
      <c r="C8259" s="9" t="n">
        <v>1128299</v>
      </c>
      <c r="D8259" s="10" t="n">
        <v>43881</v>
      </c>
      <c r="E8259" s="9" t="s">
        <v>33</v>
      </c>
      <c r="F8259" s="9" t="s">
        <v>44</v>
      </c>
      <c r="G8259" s="9" t="s">
        <v>45</v>
      </c>
      <c r="H8259" s="11" t="s">
        <v>21</v>
      </c>
      <c r="I8259" s="12" t="n">
        <v>51</v>
      </c>
      <c r="J8259" s="13" t="n">
        <v>180</v>
      </c>
      <c r="K8259" s="14" t="n">
        <f aca="false">I8259*J8259</f>
        <v>9180</v>
      </c>
      <c r="L8259" s="14" t="n">
        <f aca="false">($L$2*M8259)/100</f>
        <v>324449.955</v>
      </c>
      <c r="M8259" s="15" t="n">
        <v>0.27</v>
      </c>
      <c r="N8259" s="9" t="s">
        <v>26</v>
      </c>
    </row>
    <row r="8260" customFormat="false" ht="14.25" hidden="false" customHeight="true" outlineLevel="0" collapsed="false">
      <c r="B8260" s="9" t="s">
        <v>32</v>
      </c>
      <c r="C8260" s="9" t="n">
        <v>1128299</v>
      </c>
      <c r="D8260" s="10" t="n">
        <v>43882</v>
      </c>
      <c r="E8260" s="9" t="s">
        <v>33</v>
      </c>
      <c r="F8260" s="9" t="s">
        <v>44</v>
      </c>
      <c r="G8260" s="9" t="s">
        <v>45</v>
      </c>
      <c r="H8260" s="11" t="s">
        <v>22</v>
      </c>
      <c r="I8260" s="12" t="n">
        <v>46</v>
      </c>
      <c r="J8260" s="13" t="n">
        <v>144</v>
      </c>
      <c r="K8260" s="14" t="n">
        <f aca="false">I8260*J8260</f>
        <v>6624</v>
      </c>
      <c r="L8260" s="14" t="n">
        <f aca="false">($L$2*M8260)/100</f>
        <v>492683.265</v>
      </c>
      <c r="M8260" s="15" t="n">
        <v>0.41</v>
      </c>
      <c r="N8260" s="9" t="s">
        <v>26</v>
      </c>
    </row>
    <row r="8261" customFormat="false" ht="14.25" hidden="false" customHeight="true" outlineLevel="0" collapsed="false">
      <c r="B8261" s="9" t="s">
        <v>32</v>
      </c>
      <c r="C8261" s="9" t="n">
        <v>1128299</v>
      </c>
      <c r="D8261" s="10" t="n">
        <v>43883</v>
      </c>
      <c r="E8261" s="9" t="s">
        <v>33</v>
      </c>
      <c r="F8261" s="9" t="s">
        <v>44</v>
      </c>
      <c r="G8261" s="9" t="s">
        <v>45</v>
      </c>
      <c r="H8261" s="11" t="s">
        <v>23</v>
      </c>
      <c r="I8261" s="12" t="n">
        <v>43</v>
      </c>
      <c r="J8261" s="13" t="n">
        <v>124</v>
      </c>
      <c r="K8261" s="14" t="n">
        <f aca="false">I8261*J8261</f>
        <v>5332</v>
      </c>
      <c r="L8261" s="14" t="n">
        <f aca="false">($L$2*M8261)/100</f>
        <v>420583.275</v>
      </c>
      <c r="M8261" s="15" t="n">
        <v>0.35</v>
      </c>
      <c r="N8261" s="9" t="s">
        <v>26</v>
      </c>
    </row>
    <row r="8262" customFormat="false" ht="14.25" hidden="false" customHeight="true" outlineLevel="0" collapsed="false">
      <c r="B8262" s="9" t="s">
        <v>32</v>
      </c>
      <c r="C8262" s="9" t="n">
        <v>1128299</v>
      </c>
      <c r="D8262" s="10" t="n">
        <v>43884</v>
      </c>
      <c r="E8262" s="9" t="s">
        <v>33</v>
      </c>
      <c r="F8262" s="9" t="s">
        <v>44</v>
      </c>
      <c r="G8262" s="9" t="s">
        <v>45</v>
      </c>
      <c r="H8262" s="11" t="s">
        <v>24</v>
      </c>
      <c r="I8262" s="12" t="n">
        <v>53</v>
      </c>
      <c r="J8262" s="13" t="n">
        <v>128</v>
      </c>
      <c r="K8262" s="14" t="n">
        <f aca="false">I8262*J8262</f>
        <v>6784</v>
      </c>
      <c r="L8262" s="14" t="n">
        <f aca="false">($L$2*M8262)/100</f>
        <v>636883.245</v>
      </c>
      <c r="M8262" s="15" t="n">
        <v>0.53</v>
      </c>
      <c r="N8262" s="9" t="s">
        <v>26</v>
      </c>
    </row>
    <row r="8263" customFormat="false" ht="14.25" hidden="false" customHeight="true" outlineLevel="0" collapsed="false">
      <c r="B8263" s="9" t="s">
        <v>32</v>
      </c>
      <c r="C8263" s="9" t="n">
        <v>1128299</v>
      </c>
      <c r="D8263" s="10" t="n">
        <v>43885</v>
      </c>
      <c r="E8263" s="9" t="s">
        <v>33</v>
      </c>
      <c r="F8263" s="9" t="s">
        <v>44</v>
      </c>
      <c r="G8263" s="9" t="s">
        <v>45</v>
      </c>
      <c r="H8263" s="11" t="s">
        <v>25</v>
      </c>
      <c r="I8263" s="12" t="n">
        <v>54</v>
      </c>
      <c r="J8263" s="13" t="n">
        <v>140</v>
      </c>
      <c r="K8263" s="14" t="n">
        <f aca="false">I8263*J8263</f>
        <v>7560</v>
      </c>
      <c r="L8263" s="14" t="n">
        <f aca="false">($L$2*M8263)/100</f>
        <v>252349.965</v>
      </c>
      <c r="M8263" s="15" t="n">
        <v>0.21</v>
      </c>
      <c r="N8263" s="9" t="s">
        <v>26</v>
      </c>
    </row>
    <row r="8264" customFormat="false" ht="14.25" hidden="false" customHeight="true" outlineLevel="0" collapsed="false">
      <c r="B8264" s="9" t="s">
        <v>32</v>
      </c>
      <c r="C8264" s="9" t="n">
        <v>1128299</v>
      </c>
      <c r="D8264" s="10" t="n">
        <v>43886</v>
      </c>
      <c r="E8264" s="9" t="s">
        <v>33</v>
      </c>
      <c r="F8264" s="9" t="s">
        <v>44</v>
      </c>
      <c r="G8264" s="9" t="s">
        <v>45</v>
      </c>
      <c r="H8264" s="11" t="s">
        <v>19</v>
      </c>
      <c r="I8264" s="12" t="n">
        <v>47</v>
      </c>
      <c r="J8264" s="13" t="n">
        <v>171</v>
      </c>
      <c r="K8264" s="14" t="n">
        <f aca="false">I8264*J8264</f>
        <v>8037</v>
      </c>
      <c r="L8264" s="14" t="n">
        <f aca="false">($L$2*M8264)/100</f>
        <v>480666.6</v>
      </c>
      <c r="M8264" s="15" t="n">
        <v>0.4</v>
      </c>
      <c r="N8264" s="9" t="s">
        <v>26</v>
      </c>
    </row>
    <row r="8265" customFormat="false" ht="14.25" hidden="false" customHeight="true" outlineLevel="0" collapsed="false">
      <c r="B8265" s="9" t="s">
        <v>32</v>
      </c>
      <c r="C8265" s="9" t="n">
        <v>1128299</v>
      </c>
      <c r="D8265" s="10" t="n">
        <v>43887</v>
      </c>
      <c r="E8265" s="9" t="s">
        <v>33</v>
      </c>
      <c r="F8265" s="9" t="s">
        <v>44</v>
      </c>
      <c r="G8265" s="9" t="s">
        <v>45</v>
      </c>
      <c r="H8265" s="11" t="s">
        <v>21</v>
      </c>
      <c r="I8265" s="12" t="n">
        <v>50</v>
      </c>
      <c r="J8265" s="13" t="n">
        <v>193</v>
      </c>
      <c r="K8265" s="14" t="n">
        <f aca="false">I8265*J8265</f>
        <v>9650</v>
      </c>
      <c r="L8265" s="14" t="n">
        <f aca="false">($L$2*M8265)/100</f>
        <v>300416.625</v>
      </c>
      <c r="M8265" s="15" t="n">
        <v>0.25</v>
      </c>
      <c r="N8265" s="9" t="s">
        <v>26</v>
      </c>
    </row>
    <row r="8266" customFormat="false" ht="14.25" hidden="false" customHeight="true" outlineLevel="0" collapsed="false">
      <c r="B8266" s="9" t="s">
        <v>32</v>
      </c>
      <c r="C8266" s="9" t="n">
        <v>1128299</v>
      </c>
      <c r="D8266" s="10" t="n">
        <v>43888</v>
      </c>
      <c r="E8266" s="9" t="s">
        <v>33</v>
      </c>
      <c r="F8266" s="9" t="s">
        <v>44</v>
      </c>
      <c r="G8266" s="9" t="s">
        <v>45</v>
      </c>
      <c r="H8266" s="11" t="s">
        <v>22</v>
      </c>
      <c r="I8266" s="12" t="n">
        <v>47</v>
      </c>
      <c r="J8266" s="13" t="n">
        <v>113</v>
      </c>
      <c r="K8266" s="14" t="n">
        <f aca="false">I8266*J8266</f>
        <v>5311</v>
      </c>
      <c r="L8266" s="14" t="n">
        <f aca="false">($L$2*M8266)/100</f>
        <v>504699.93</v>
      </c>
      <c r="M8266" s="15" t="n">
        <v>0.42</v>
      </c>
      <c r="N8266" s="9" t="s">
        <v>26</v>
      </c>
    </row>
    <row r="8267" customFormat="false" ht="14.25" hidden="false" customHeight="true" outlineLevel="0" collapsed="false">
      <c r="B8267" s="9" t="s">
        <v>32</v>
      </c>
      <c r="C8267" s="9" t="n">
        <v>1128299</v>
      </c>
      <c r="D8267" s="10" t="n">
        <v>43889</v>
      </c>
      <c r="E8267" s="9" t="s">
        <v>33</v>
      </c>
      <c r="F8267" s="9" t="s">
        <v>44</v>
      </c>
      <c r="G8267" s="9" t="s">
        <v>45</v>
      </c>
      <c r="H8267" s="11" t="s">
        <v>23</v>
      </c>
      <c r="I8267" s="12" t="n">
        <v>43</v>
      </c>
      <c r="J8267" s="13" t="n">
        <v>119</v>
      </c>
      <c r="K8267" s="14" t="n">
        <f aca="false">I8267*J8267</f>
        <v>5117</v>
      </c>
      <c r="L8267" s="14" t="n">
        <f aca="false">($L$2*M8267)/100</f>
        <v>396549.945</v>
      </c>
      <c r="M8267" s="15" t="n">
        <v>0.33</v>
      </c>
      <c r="N8267" s="9" t="s">
        <v>26</v>
      </c>
    </row>
    <row r="8268" customFormat="false" ht="14.25" hidden="false" customHeight="true" outlineLevel="0" collapsed="false">
      <c r="B8268" s="9" t="s">
        <v>32</v>
      </c>
      <c r="C8268" s="9" t="n">
        <v>1128299</v>
      </c>
      <c r="D8268" s="10" t="n">
        <v>43891</v>
      </c>
      <c r="E8268" s="9" t="s">
        <v>33</v>
      </c>
      <c r="F8268" s="9" t="s">
        <v>44</v>
      </c>
      <c r="G8268" s="9" t="s">
        <v>45</v>
      </c>
      <c r="H8268" s="11" t="s">
        <v>24</v>
      </c>
      <c r="I8268" s="12" t="n">
        <v>48</v>
      </c>
      <c r="J8268" s="13" t="n">
        <v>107</v>
      </c>
      <c r="K8268" s="14" t="n">
        <f aca="false">I8268*J8268</f>
        <v>5136</v>
      </c>
      <c r="L8268" s="14" t="n">
        <f aca="false">($L$2*M8268)/100</f>
        <v>648899.91</v>
      </c>
      <c r="M8268" s="15" t="n">
        <v>0.54</v>
      </c>
      <c r="N8268" s="9" t="s">
        <v>26</v>
      </c>
    </row>
    <row r="8269" customFormat="false" ht="14.25" hidden="false" customHeight="true" outlineLevel="0" collapsed="false">
      <c r="B8269" s="9" t="s">
        <v>32</v>
      </c>
      <c r="C8269" s="9" t="n">
        <v>1128299</v>
      </c>
      <c r="D8269" s="10" t="n">
        <v>43892</v>
      </c>
      <c r="E8269" s="9" t="s">
        <v>33</v>
      </c>
      <c r="F8269" s="9" t="s">
        <v>44</v>
      </c>
      <c r="G8269" s="9" t="s">
        <v>45</v>
      </c>
      <c r="H8269" s="11" t="s">
        <v>25</v>
      </c>
      <c r="I8269" s="12" t="n">
        <v>53</v>
      </c>
      <c r="J8269" s="13" t="n">
        <v>120</v>
      </c>
      <c r="K8269" s="14" t="n">
        <f aca="false">I8269*J8269</f>
        <v>6360</v>
      </c>
      <c r="L8269" s="14" t="n">
        <f aca="false">($L$2*M8269)/100</f>
        <v>264366.63</v>
      </c>
      <c r="M8269" s="15" t="n">
        <v>0.22</v>
      </c>
      <c r="N8269" s="9" t="s">
        <v>26</v>
      </c>
    </row>
    <row r="8270" customFormat="false" ht="14.25" hidden="false" customHeight="true" outlineLevel="0" collapsed="false">
      <c r="B8270" s="9" t="s">
        <v>32</v>
      </c>
      <c r="C8270" s="9" t="n">
        <v>1128299</v>
      </c>
      <c r="D8270" s="10" t="n">
        <v>43893</v>
      </c>
      <c r="E8270" s="9" t="s">
        <v>33</v>
      </c>
      <c r="F8270" s="9" t="s">
        <v>44</v>
      </c>
      <c r="G8270" s="9" t="s">
        <v>45</v>
      </c>
      <c r="H8270" s="11" t="s">
        <v>19</v>
      </c>
      <c r="I8270" s="12" t="n">
        <v>47</v>
      </c>
      <c r="J8270" s="13" t="n">
        <v>196</v>
      </c>
      <c r="K8270" s="14" t="n">
        <f aca="false">I8270*J8270</f>
        <v>9212</v>
      </c>
      <c r="L8270" s="14" t="n">
        <f aca="false">($L$2*M8270)/100</f>
        <v>504699.93</v>
      </c>
      <c r="M8270" s="15" t="n">
        <v>0.42</v>
      </c>
      <c r="N8270" s="9" t="s">
        <v>26</v>
      </c>
    </row>
    <row r="8271" customFormat="false" ht="14.25" hidden="false" customHeight="true" outlineLevel="0" collapsed="false">
      <c r="B8271" s="9" t="s">
        <v>32</v>
      </c>
      <c r="C8271" s="9" t="n">
        <v>1128299</v>
      </c>
      <c r="D8271" s="10" t="n">
        <v>43894</v>
      </c>
      <c r="E8271" s="9" t="s">
        <v>33</v>
      </c>
      <c r="F8271" s="9" t="s">
        <v>44</v>
      </c>
      <c r="G8271" s="9" t="s">
        <v>45</v>
      </c>
      <c r="H8271" s="11" t="s">
        <v>21</v>
      </c>
      <c r="I8271" s="12" t="n">
        <v>52</v>
      </c>
      <c r="J8271" s="13" t="n">
        <v>201</v>
      </c>
      <c r="K8271" s="14" t="n">
        <f aca="false">I8271*J8271</f>
        <v>10452</v>
      </c>
      <c r="L8271" s="14" t="n">
        <f aca="false">($L$2*M8271)/100</f>
        <v>300416.625</v>
      </c>
      <c r="M8271" s="15" t="n">
        <v>0.25</v>
      </c>
      <c r="N8271" s="9" t="s">
        <v>26</v>
      </c>
    </row>
    <row r="8272" customFormat="false" ht="14.25" hidden="false" customHeight="true" outlineLevel="0" collapsed="false">
      <c r="B8272" s="9" t="s">
        <v>32</v>
      </c>
      <c r="C8272" s="9" t="n">
        <v>1128299</v>
      </c>
      <c r="D8272" s="10" t="n">
        <v>43895</v>
      </c>
      <c r="E8272" s="9" t="s">
        <v>33</v>
      </c>
      <c r="F8272" s="9" t="s">
        <v>44</v>
      </c>
      <c r="G8272" s="9" t="s">
        <v>45</v>
      </c>
      <c r="H8272" s="11" t="s">
        <v>22</v>
      </c>
      <c r="I8272" s="12" t="n">
        <v>44</v>
      </c>
      <c r="J8272" s="13" t="n">
        <v>140</v>
      </c>
      <c r="K8272" s="14" t="n">
        <f aca="false">I8272*J8272</f>
        <v>6160</v>
      </c>
      <c r="L8272" s="14" t="n">
        <f aca="false">($L$2*M8272)/100</f>
        <v>504699.93</v>
      </c>
      <c r="M8272" s="15" t="n">
        <v>0.42</v>
      </c>
      <c r="N8272" s="9" t="s">
        <v>26</v>
      </c>
    </row>
    <row r="8273" customFormat="false" ht="14.25" hidden="false" customHeight="true" outlineLevel="0" collapsed="false">
      <c r="B8273" s="9" t="s">
        <v>32</v>
      </c>
      <c r="C8273" s="9" t="n">
        <v>1128299</v>
      </c>
      <c r="D8273" s="10" t="n">
        <v>43896</v>
      </c>
      <c r="E8273" s="9" t="s">
        <v>33</v>
      </c>
      <c r="F8273" s="9" t="s">
        <v>44</v>
      </c>
      <c r="G8273" s="9" t="s">
        <v>45</v>
      </c>
      <c r="H8273" s="11" t="s">
        <v>23</v>
      </c>
      <c r="I8273" s="12" t="n">
        <v>43</v>
      </c>
      <c r="J8273" s="13" t="n">
        <v>132</v>
      </c>
      <c r="K8273" s="14" t="n">
        <f aca="false">I8273*J8273</f>
        <v>5676</v>
      </c>
      <c r="L8273" s="14" t="n">
        <f aca="false">($L$2*M8273)/100</f>
        <v>420583.275</v>
      </c>
      <c r="M8273" s="15" t="n">
        <v>0.35</v>
      </c>
      <c r="N8273" s="9" t="s">
        <v>26</v>
      </c>
    </row>
    <row r="8274" customFormat="false" ht="14.25" hidden="false" customHeight="true" outlineLevel="0" collapsed="false">
      <c r="B8274" s="9" t="s">
        <v>32</v>
      </c>
      <c r="C8274" s="9" t="n">
        <v>1128299</v>
      </c>
      <c r="D8274" s="10" t="n">
        <v>43897</v>
      </c>
      <c r="E8274" s="9" t="s">
        <v>33</v>
      </c>
      <c r="F8274" s="9" t="s">
        <v>44</v>
      </c>
      <c r="G8274" s="9" t="s">
        <v>45</v>
      </c>
      <c r="H8274" s="11" t="s">
        <v>24</v>
      </c>
      <c r="I8274" s="12" t="n">
        <v>46</v>
      </c>
      <c r="J8274" s="13" t="n">
        <v>119</v>
      </c>
      <c r="K8274" s="14" t="n">
        <f aca="false">I8274*J8274</f>
        <v>5474</v>
      </c>
      <c r="L8274" s="14" t="n">
        <f aca="false">($L$2*M8274)/100</f>
        <v>648899.91</v>
      </c>
      <c r="M8274" s="15" t="n">
        <v>0.54</v>
      </c>
      <c r="N8274" s="9" t="s">
        <v>26</v>
      </c>
    </row>
    <row r="8275" customFormat="false" ht="14.25" hidden="false" customHeight="true" outlineLevel="0" collapsed="false">
      <c r="B8275" s="9" t="s">
        <v>32</v>
      </c>
      <c r="C8275" s="9" t="n">
        <v>1128299</v>
      </c>
      <c r="D8275" s="10" t="n">
        <v>43898</v>
      </c>
      <c r="E8275" s="9" t="s">
        <v>33</v>
      </c>
      <c r="F8275" s="9" t="s">
        <v>44</v>
      </c>
      <c r="G8275" s="9" t="s">
        <v>45</v>
      </c>
      <c r="H8275" s="11" t="s">
        <v>25</v>
      </c>
      <c r="I8275" s="12" t="n">
        <v>51</v>
      </c>
      <c r="J8275" s="13" t="n">
        <v>162</v>
      </c>
      <c r="K8275" s="14" t="n">
        <f aca="false">I8275*J8275</f>
        <v>8262</v>
      </c>
      <c r="L8275" s="14" t="n">
        <f aca="false">($L$2*M8275)/100</f>
        <v>252349.965</v>
      </c>
      <c r="M8275" s="15" t="n">
        <v>0.21</v>
      </c>
      <c r="N8275" s="9" t="s">
        <v>26</v>
      </c>
    </row>
    <row r="8276" customFormat="false" ht="14.25" hidden="false" customHeight="true" outlineLevel="0" collapsed="false">
      <c r="B8276" s="9" t="s">
        <v>32</v>
      </c>
      <c r="C8276" s="9" t="n">
        <v>1128299</v>
      </c>
      <c r="D8276" s="10" t="n">
        <v>43899</v>
      </c>
      <c r="E8276" s="9" t="s">
        <v>33</v>
      </c>
      <c r="F8276" s="9" t="s">
        <v>44</v>
      </c>
      <c r="G8276" s="9" t="s">
        <v>45</v>
      </c>
      <c r="H8276" s="11" t="s">
        <v>19</v>
      </c>
      <c r="I8276" s="12" t="n">
        <v>47</v>
      </c>
      <c r="J8276" s="13" t="n">
        <v>216</v>
      </c>
      <c r="K8276" s="14" t="n">
        <f aca="false">I8276*J8276</f>
        <v>10152</v>
      </c>
      <c r="L8276" s="14" t="n">
        <f aca="false">($L$2*M8276)/100</f>
        <v>444616.605</v>
      </c>
      <c r="M8276" s="15" t="n">
        <v>0.37</v>
      </c>
      <c r="N8276" s="9" t="s">
        <v>26</v>
      </c>
    </row>
    <row r="8277" customFormat="false" ht="14.25" hidden="false" customHeight="true" outlineLevel="0" collapsed="false">
      <c r="B8277" s="9" t="s">
        <v>32</v>
      </c>
      <c r="C8277" s="9" t="n">
        <v>1128299</v>
      </c>
      <c r="D8277" s="10" t="n">
        <v>43900</v>
      </c>
      <c r="E8277" s="9" t="s">
        <v>33</v>
      </c>
      <c r="F8277" s="9" t="s">
        <v>44</v>
      </c>
      <c r="G8277" s="9" t="s">
        <v>45</v>
      </c>
      <c r="H8277" s="11" t="s">
        <v>21</v>
      </c>
      <c r="I8277" s="12" t="n">
        <v>50</v>
      </c>
      <c r="J8277" s="13" t="n">
        <v>209</v>
      </c>
      <c r="K8277" s="14" t="n">
        <f aca="false">I8277*J8277</f>
        <v>10450</v>
      </c>
      <c r="L8277" s="14" t="n">
        <f aca="false">($L$2*M8277)/100</f>
        <v>300416.625</v>
      </c>
      <c r="M8277" s="15" t="n">
        <v>0.25</v>
      </c>
      <c r="N8277" s="9" t="s">
        <v>26</v>
      </c>
    </row>
    <row r="8278" customFormat="false" ht="14.25" hidden="false" customHeight="true" outlineLevel="0" collapsed="false">
      <c r="B8278" s="9" t="s">
        <v>32</v>
      </c>
      <c r="C8278" s="9" t="n">
        <v>1128299</v>
      </c>
      <c r="D8278" s="10" t="n">
        <v>43901</v>
      </c>
      <c r="E8278" s="9" t="s">
        <v>33</v>
      </c>
      <c r="F8278" s="9" t="s">
        <v>44</v>
      </c>
      <c r="G8278" s="9" t="s">
        <v>45</v>
      </c>
      <c r="H8278" s="11" t="s">
        <v>22</v>
      </c>
      <c r="I8278" s="12" t="n">
        <v>47</v>
      </c>
      <c r="J8278" s="13" t="n">
        <v>166</v>
      </c>
      <c r="K8278" s="14" t="n">
        <f aca="false">I8278*J8278</f>
        <v>7802</v>
      </c>
      <c r="L8278" s="14" t="n">
        <f aca="false">($L$2*M8278)/100</f>
        <v>504699.93</v>
      </c>
      <c r="M8278" s="15" t="n">
        <v>0.42</v>
      </c>
      <c r="N8278" s="9" t="s">
        <v>26</v>
      </c>
    </row>
    <row r="8279" customFormat="false" ht="14.25" hidden="false" customHeight="true" outlineLevel="0" collapsed="false">
      <c r="B8279" s="9" t="s">
        <v>32</v>
      </c>
      <c r="C8279" s="9" t="n">
        <v>1128299</v>
      </c>
      <c r="D8279" s="10" t="n">
        <v>43902</v>
      </c>
      <c r="E8279" s="9" t="s">
        <v>33</v>
      </c>
      <c r="F8279" s="9" t="s">
        <v>44</v>
      </c>
      <c r="G8279" s="9" t="s">
        <v>45</v>
      </c>
      <c r="H8279" s="11" t="s">
        <v>23</v>
      </c>
      <c r="I8279" s="12" t="n">
        <v>40</v>
      </c>
      <c r="J8279" s="13" t="n">
        <v>166</v>
      </c>
      <c r="K8279" s="14" t="n">
        <f aca="false">I8279*J8279</f>
        <v>6640</v>
      </c>
      <c r="L8279" s="14" t="n">
        <f aca="false">($L$2*M8279)/100</f>
        <v>432599.94</v>
      </c>
      <c r="M8279" s="15" t="n">
        <v>0.36</v>
      </c>
      <c r="N8279" s="9" t="s">
        <v>26</v>
      </c>
    </row>
    <row r="8280" customFormat="false" ht="14.25" hidden="false" customHeight="true" outlineLevel="0" collapsed="false">
      <c r="B8280" s="9" t="s">
        <v>32</v>
      </c>
      <c r="C8280" s="9" t="n">
        <v>1128299</v>
      </c>
      <c r="D8280" s="10" t="n">
        <v>43903</v>
      </c>
      <c r="E8280" s="9" t="s">
        <v>33</v>
      </c>
      <c r="F8280" s="9" t="s">
        <v>44</v>
      </c>
      <c r="G8280" s="9" t="s">
        <v>45</v>
      </c>
      <c r="H8280" s="11" t="s">
        <v>24</v>
      </c>
      <c r="I8280" s="12" t="n">
        <v>49</v>
      </c>
      <c r="J8280" s="13" t="n">
        <v>136</v>
      </c>
      <c r="K8280" s="14" t="n">
        <f aca="false">I8280*J8280</f>
        <v>6664</v>
      </c>
      <c r="L8280" s="14" t="n">
        <f aca="false">($L$2*M8280)/100</f>
        <v>648899.91</v>
      </c>
      <c r="M8280" s="15" t="n">
        <v>0.54</v>
      </c>
      <c r="N8280" s="9" t="s">
        <v>26</v>
      </c>
    </row>
    <row r="8281" customFormat="false" ht="14.25" hidden="false" customHeight="true" outlineLevel="0" collapsed="false">
      <c r="B8281" s="9" t="s">
        <v>32</v>
      </c>
      <c r="C8281" s="9" t="n">
        <v>1128299</v>
      </c>
      <c r="D8281" s="10" t="n">
        <v>43904</v>
      </c>
      <c r="E8281" s="9" t="s">
        <v>33</v>
      </c>
      <c r="F8281" s="9" t="s">
        <v>44</v>
      </c>
      <c r="G8281" s="9" t="s">
        <v>45</v>
      </c>
      <c r="H8281" s="11" t="s">
        <v>25</v>
      </c>
      <c r="I8281" s="12" t="n">
        <v>56</v>
      </c>
      <c r="J8281" s="13" t="n">
        <v>170</v>
      </c>
      <c r="K8281" s="14" t="n">
        <f aca="false">I8281*J8281</f>
        <v>9520</v>
      </c>
      <c r="L8281" s="14" t="n">
        <f aca="false">($L$2*M8281)/100</f>
        <v>216299.97</v>
      </c>
      <c r="M8281" s="15" t="n">
        <v>0.18</v>
      </c>
      <c r="N8281" s="9" t="s">
        <v>26</v>
      </c>
    </row>
    <row r="8282" customFormat="false" ht="14.25" hidden="false" customHeight="true" outlineLevel="0" collapsed="false">
      <c r="B8282" s="9" t="s">
        <v>32</v>
      </c>
      <c r="C8282" s="9" t="n">
        <v>1128299</v>
      </c>
      <c r="D8282" s="10" t="n">
        <v>43905</v>
      </c>
      <c r="E8282" s="9" t="s">
        <v>33</v>
      </c>
      <c r="F8282" s="9" t="s">
        <v>44</v>
      </c>
      <c r="G8282" s="9" t="s">
        <v>45</v>
      </c>
      <c r="H8282" s="11" t="s">
        <v>19</v>
      </c>
      <c r="I8282" s="12" t="n">
        <v>20</v>
      </c>
      <c r="J8282" s="13" t="n">
        <v>149</v>
      </c>
      <c r="K8282" s="14" t="n">
        <f aca="false">I8282*J8282</f>
        <v>2980</v>
      </c>
      <c r="L8282" s="14" t="n">
        <f aca="false">($L$2*M8282)/100</f>
        <v>480666.6</v>
      </c>
      <c r="M8282" s="15" t="n">
        <v>0.4</v>
      </c>
      <c r="N8282" s="9" t="s">
        <v>26</v>
      </c>
    </row>
    <row r="8283" customFormat="false" ht="14.25" hidden="false" customHeight="true" outlineLevel="0" collapsed="false">
      <c r="B8283" s="9" t="s">
        <v>32</v>
      </c>
      <c r="C8283" s="9" t="n">
        <v>1128299</v>
      </c>
      <c r="D8283" s="10" t="n">
        <v>43906</v>
      </c>
      <c r="E8283" s="9" t="s">
        <v>33</v>
      </c>
      <c r="F8283" s="9" t="s">
        <v>44</v>
      </c>
      <c r="G8283" s="9" t="s">
        <v>45</v>
      </c>
      <c r="H8283" s="11" t="s">
        <v>21</v>
      </c>
      <c r="I8283" s="12" t="n">
        <v>31</v>
      </c>
      <c r="J8283" s="13" t="n">
        <v>145</v>
      </c>
      <c r="K8283" s="14" t="n">
        <f aca="false">I8283*J8283</f>
        <v>4495</v>
      </c>
      <c r="L8283" s="14" t="n">
        <f aca="false">($L$2*M8283)/100</f>
        <v>300416.625</v>
      </c>
      <c r="M8283" s="15" t="n">
        <v>0.25</v>
      </c>
      <c r="N8283" s="9" t="s">
        <v>26</v>
      </c>
    </row>
    <row r="8284" customFormat="false" ht="14.25" hidden="false" customHeight="true" outlineLevel="0" collapsed="false">
      <c r="B8284" s="9" t="s">
        <v>32</v>
      </c>
      <c r="C8284" s="9" t="n">
        <v>1128299</v>
      </c>
      <c r="D8284" s="10" t="n">
        <v>43907</v>
      </c>
      <c r="E8284" s="9" t="s">
        <v>33</v>
      </c>
      <c r="F8284" s="9" t="s">
        <v>44</v>
      </c>
      <c r="G8284" s="9" t="s">
        <v>45</v>
      </c>
      <c r="H8284" s="11" t="s">
        <v>22</v>
      </c>
      <c r="I8284" s="12" t="n">
        <v>26</v>
      </c>
      <c r="J8284" s="13" t="n">
        <v>128</v>
      </c>
      <c r="K8284" s="14" t="n">
        <f aca="false">I8284*J8284</f>
        <v>3328</v>
      </c>
      <c r="L8284" s="14" t="n">
        <f aca="false">($L$2*M8284)/100</f>
        <v>504699.93</v>
      </c>
      <c r="M8284" s="15" t="n">
        <v>0.42</v>
      </c>
      <c r="N8284" s="9" t="s">
        <v>26</v>
      </c>
    </row>
    <row r="8285" customFormat="false" ht="14.25" hidden="false" customHeight="true" outlineLevel="0" collapsed="false">
      <c r="B8285" s="9" t="s">
        <v>32</v>
      </c>
      <c r="C8285" s="9" t="n">
        <v>1128299</v>
      </c>
      <c r="D8285" s="10" t="n">
        <v>43908</v>
      </c>
      <c r="E8285" s="9" t="s">
        <v>33</v>
      </c>
      <c r="F8285" s="9" t="s">
        <v>44</v>
      </c>
      <c r="G8285" s="9" t="s">
        <v>45</v>
      </c>
      <c r="H8285" s="11" t="s">
        <v>23</v>
      </c>
      <c r="I8285" s="12" t="n">
        <v>26</v>
      </c>
      <c r="J8285" s="13" t="n">
        <v>96</v>
      </c>
      <c r="K8285" s="14" t="n">
        <f aca="false">I8285*J8285</f>
        <v>2496</v>
      </c>
      <c r="L8285" s="14" t="n">
        <f aca="false">($L$2*M8285)/100</f>
        <v>408566.61</v>
      </c>
      <c r="M8285" s="15" t="n">
        <v>0.34</v>
      </c>
      <c r="N8285" s="9" t="s">
        <v>26</v>
      </c>
    </row>
    <row r="8286" customFormat="false" ht="14.25" hidden="false" customHeight="true" outlineLevel="0" collapsed="false">
      <c r="B8286" s="9" t="s">
        <v>28</v>
      </c>
      <c r="C8286" s="9" t="n">
        <v>1197831</v>
      </c>
      <c r="D8286" s="10" t="n">
        <v>44269</v>
      </c>
      <c r="E8286" s="9" t="s">
        <v>29</v>
      </c>
      <c r="F8286" s="9" t="s">
        <v>57</v>
      </c>
      <c r="G8286" s="9" t="s">
        <v>58</v>
      </c>
      <c r="H8286" s="11" t="s">
        <v>24</v>
      </c>
      <c r="I8286" s="12" t="n">
        <v>30</v>
      </c>
      <c r="J8286" s="13" t="n">
        <v>123</v>
      </c>
      <c r="K8286" s="14" t="n">
        <f aca="false">I8286*J8286</f>
        <v>3690</v>
      </c>
      <c r="L8286" s="14" t="n">
        <f aca="false">($L$2*M8286)/100</f>
        <v>408566.61</v>
      </c>
      <c r="M8286" s="15" t="n">
        <v>0.34</v>
      </c>
      <c r="N8286" s="9" t="s">
        <v>26</v>
      </c>
    </row>
    <row r="8287" customFormat="false" ht="14.25" hidden="false" customHeight="true" outlineLevel="0" collapsed="false">
      <c r="B8287" s="9" t="s">
        <v>28</v>
      </c>
      <c r="C8287" s="9" t="n">
        <v>1197831</v>
      </c>
      <c r="D8287" s="10" t="n">
        <v>44270</v>
      </c>
      <c r="E8287" s="9" t="s">
        <v>29</v>
      </c>
      <c r="F8287" s="9" t="s">
        <v>57</v>
      </c>
      <c r="G8287" s="9" t="s">
        <v>58</v>
      </c>
      <c r="H8287" s="11" t="s">
        <v>25</v>
      </c>
      <c r="I8287" s="12" t="n">
        <v>24</v>
      </c>
      <c r="J8287" s="13" t="n">
        <v>170</v>
      </c>
      <c r="K8287" s="14" t="n">
        <f aca="false">I8287*J8287</f>
        <v>4080</v>
      </c>
      <c r="L8287" s="14" t="n">
        <f aca="false">($L$2*M8287)/100</f>
        <v>636883.245</v>
      </c>
      <c r="M8287" s="15" t="n">
        <v>0.53</v>
      </c>
      <c r="N8287" s="9" t="s">
        <v>26</v>
      </c>
    </row>
    <row r="8288" customFormat="false" ht="14.25" hidden="false" customHeight="true" outlineLevel="0" collapsed="false">
      <c r="B8288" s="9" t="s">
        <v>28</v>
      </c>
      <c r="C8288" s="9" t="n">
        <v>1197831</v>
      </c>
      <c r="D8288" s="10" t="n">
        <v>44271</v>
      </c>
      <c r="E8288" s="9" t="s">
        <v>29</v>
      </c>
      <c r="F8288" s="9" t="s">
        <v>57</v>
      </c>
      <c r="G8288" s="9" t="s">
        <v>58</v>
      </c>
      <c r="H8288" s="11" t="s">
        <v>19</v>
      </c>
      <c r="I8288" s="12" t="n">
        <v>18</v>
      </c>
      <c r="J8288" s="13" t="n">
        <v>202</v>
      </c>
      <c r="K8288" s="14" t="n">
        <f aca="false">I8288*J8288</f>
        <v>3636</v>
      </c>
      <c r="L8288" s="14" t="n">
        <f aca="false">($L$2*M8288)/100</f>
        <v>444616.605</v>
      </c>
      <c r="M8288" s="15" t="n">
        <v>0.37</v>
      </c>
      <c r="N8288" s="9" t="s">
        <v>26</v>
      </c>
    </row>
    <row r="8289" customFormat="false" ht="14.25" hidden="false" customHeight="true" outlineLevel="0" collapsed="false">
      <c r="B8289" s="9" t="s">
        <v>28</v>
      </c>
      <c r="C8289" s="9" t="n">
        <v>1197831</v>
      </c>
      <c r="D8289" s="10" t="n">
        <v>44272</v>
      </c>
      <c r="E8289" s="9" t="s">
        <v>29</v>
      </c>
      <c r="F8289" s="9" t="s">
        <v>57</v>
      </c>
      <c r="G8289" s="9" t="s">
        <v>58</v>
      </c>
      <c r="H8289" s="11" t="s">
        <v>21</v>
      </c>
      <c r="I8289" s="12" t="n">
        <v>23</v>
      </c>
      <c r="J8289" s="13" t="n">
        <v>219</v>
      </c>
      <c r="K8289" s="14" t="n">
        <f aca="false">I8289*J8289</f>
        <v>5037</v>
      </c>
      <c r="L8289" s="14" t="n">
        <f aca="false">($L$2*M8289)/100</f>
        <v>468649.935</v>
      </c>
      <c r="M8289" s="15" t="n">
        <v>0.39</v>
      </c>
      <c r="N8289" s="9" t="s">
        <v>26</v>
      </c>
    </row>
    <row r="8290" customFormat="false" ht="14.25" hidden="false" customHeight="true" outlineLevel="0" collapsed="false">
      <c r="B8290" s="9" t="s">
        <v>28</v>
      </c>
      <c r="C8290" s="9" t="n">
        <v>1197831</v>
      </c>
      <c r="D8290" s="10" t="n">
        <v>44273</v>
      </c>
      <c r="E8290" s="9" t="s">
        <v>29</v>
      </c>
      <c r="F8290" s="9" t="s">
        <v>57</v>
      </c>
      <c r="G8290" s="9" t="s">
        <v>58</v>
      </c>
      <c r="H8290" s="11" t="s">
        <v>22</v>
      </c>
      <c r="I8290" s="12" t="n">
        <v>23</v>
      </c>
      <c r="J8290" s="13" t="n">
        <v>140</v>
      </c>
      <c r="K8290" s="14" t="n">
        <f aca="false">I8290*J8290</f>
        <v>3220</v>
      </c>
      <c r="L8290" s="14" t="n">
        <f aca="false">($L$2*M8290)/100</f>
        <v>468649.935</v>
      </c>
      <c r="M8290" s="15" t="n">
        <v>0.39</v>
      </c>
      <c r="N8290" s="9" t="s">
        <v>26</v>
      </c>
    </row>
    <row r="8291" customFormat="false" ht="14.25" hidden="false" customHeight="true" outlineLevel="0" collapsed="false">
      <c r="B8291" s="9" t="s">
        <v>28</v>
      </c>
      <c r="C8291" s="9" t="n">
        <v>1197831</v>
      </c>
      <c r="D8291" s="10" t="n">
        <v>44274</v>
      </c>
      <c r="E8291" s="9" t="s">
        <v>29</v>
      </c>
      <c r="F8291" s="9" t="s">
        <v>57</v>
      </c>
      <c r="G8291" s="9" t="s">
        <v>58</v>
      </c>
      <c r="H8291" s="11" t="s">
        <v>23</v>
      </c>
      <c r="I8291" s="12" t="n">
        <v>28</v>
      </c>
      <c r="J8291" s="13" t="n">
        <v>128</v>
      </c>
      <c r="K8291" s="14" t="n">
        <f aca="false">I8291*J8291</f>
        <v>3584</v>
      </c>
      <c r="L8291" s="14" t="n">
        <f aca="false">($L$2*M8291)/100</f>
        <v>588816.585</v>
      </c>
      <c r="M8291" s="15" t="n">
        <v>0.49</v>
      </c>
      <c r="N8291" s="9" t="s">
        <v>26</v>
      </c>
    </row>
    <row r="8292" customFormat="false" ht="14.25" hidden="false" customHeight="true" outlineLevel="0" collapsed="false">
      <c r="B8292" s="9" t="s">
        <v>28</v>
      </c>
      <c r="C8292" s="9" t="n">
        <v>1197831</v>
      </c>
      <c r="D8292" s="10" t="n">
        <v>44275</v>
      </c>
      <c r="E8292" s="9" t="s">
        <v>29</v>
      </c>
      <c r="F8292" s="9" t="s">
        <v>57</v>
      </c>
      <c r="G8292" s="9" t="s">
        <v>58</v>
      </c>
      <c r="H8292" s="11" t="s">
        <v>24</v>
      </c>
      <c r="I8292" s="12" t="n">
        <v>29</v>
      </c>
      <c r="J8292" s="13" t="n">
        <v>94</v>
      </c>
      <c r="K8292" s="14" t="n">
        <f aca="false">I8292*J8292</f>
        <v>2726</v>
      </c>
      <c r="L8292" s="14" t="n">
        <f aca="false">($L$2*M8292)/100</f>
        <v>384533.28</v>
      </c>
      <c r="M8292" s="15" t="n">
        <v>0.32</v>
      </c>
      <c r="N8292" s="9" t="s">
        <v>26</v>
      </c>
    </row>
    <row r="8293" customFormat="false" ht="14.25" hidden="false" customHeight="true" outlineLevel="0" collapsed="false">
      <c r="B8293" s="9" t="s">
        <v>28</v>
      </c>
      <c r="C8293" s="9" t="n">
        <v>1197831</v>
      </c>
      <c r="D8293" s="10" t="n">
        <v>44276</v>
      </c>
      <c r="E8293" s="9" t="s">
        <v>29</v>
      </c>
      <c r="F8293" s="9" t="s">
        <v>57</v>
      </c>
      <c r="G8293" s="9" t="s">
        <v>58</v>
      </c>
      <c r="H8293" s="11" t="s">
        <v>25</v>
      </c>
      <c r="I8293" s="12" t="n">
        <v>28</v>
      </c>
      <c r="J8293" s="13" t="n">
        <v>143</v>
      </c>
      <c r="K8293" s="14" t="n">
        <f aca="false">I8293*J8293</f>
        <v>4004</v>
      </c>
      <c r="L8293" s="14" t="n">
        <f aca="false">($L$2*M8293)/100</f>
        <v>672933.24</v>
      </c>
      <c r="M8293" s="15" t="n">
        <v>0.56</v>
      </c>
      <c r="N8293" s="9" t="s">
        <v>26</v>
      </c>
    </row>
    <row r="8294" customFormat="false" ht="14.25" hidden="false" customHeight="true" outlineLevel="0" collapsed="false">
      <c r="B8294" s="9" t="s">
        <v>28</v>
      </c>
      <c r="C8294" s="9" t="n">
        <v>1197831</v>
      </c>
      <c r="D8294" s="10" t="n">
        <v>44277</v>
      </c>
      <c r="E8294" s="9" t="s">
        <v>29</v>
      </c>
      <c r="F8294" s="9" t="s">
        <v>57</v>
      </c>
      <c r="G8294" s="9" t="s">
        <v>58</v>
      </c>
      <c r="H8294" s="11" t="s">
        <v>19</v>
      </c>
      <c r="I8294" s="12" t="n">
        <v>20</v>
      </c>
      <c r="J8294" s="13" t="n">
        <v>221</v>
      </c>
      <c r="K8294" s="14" t="n">
        <f aca="false">I8294*J8294</f>
        <v>4420</v>
      </c>
      <c r="L8294" s="14" t="n">
        <f aca="false">($L$2*M8294)/100</f>
        <v>516716.595</v>
      </c>
      <c r="M8294" s="15" t="n">
        <v>0.43</v>
      </c>
      <c r="N8294" s="9" t="s">
        <v>26</v>
      </c>
    </row>
    <row r="8295" customFormat="false" ht="14.25" hidden="false" customHeight="true" outlineLevel="0" collapsed="false">
      <c r="B8295" s="9" t="s">
        <v>28</v>
      </c>
      <c r="C8295" s="9" t="n">
        <v>1197831</v>
      </c>
      <c r="D8295" s="10" t="n">
        <v>44278</v>
      </c>
      <c r="E8295" s="9" t="s">
        <v>29</v>
      </c>
      <c r="F8295" s="9" t="s">
        <v>57</v>
      </c>
      <c r="G8295" s="9" t="s">
        <v>58</v>
      </c>
      <c r="H8295" s="11" t="s">
        <v>21</v>
      </c>
      <c r="I8295" s="12" t="n">
        <v>31</v>
      </c>
      <c r="J8295" s="13" t="n">
        <v>195</v>
      </c>
      <c r="K8295" s="14" t="n">
        <f aca="false">I8295*J8295</f>
        <v>6045</v>
      </c>
      <c r="L8295" s="14" t="n">
        <f aca="false">($L$2*M8295)/100</f>
        <v>564783.255</v>
      </c>
      <c r="M8295" s="15" t="n">
        <v>0.47</v>
      </c>
      <c r="N8295" s="9" t="s">
        <v>26</v>
      </c>
    </row>
    <row r="8296" customFormat="false" ht="14.25" hidden="false" customHeight="true" outlineLevel="0" collapsed="false">
      <c r="B8296" s="9" t="s">
        <v>28</v>
      </c>
      <c r="C8296" s="9" t="n">
        <v>1197831</v>
      </c>
      <c r="D8296" s="10" t="n">
        <v>44279</v>
      </c>
      <c r="E8296" s="9" t="s">
        <v>29</v>
      </c>
      <c r="F8296" s="9" t="s">
        <v>57</v>
      </c>
      <c r="G8296" s="9" t="s">
        <v>58</v>
      </c>
      <c r="H8296" s="11" t="s">
        <v>22</v>
      </c>
      <c r="I8296" s="12" t="n">
        <v>22</v>
      </c>
      <c r="J8296" s="13" t="n">
        <v>166</v>
      </c>
      <c r="K8296" s="14" t="n">
        <f aca="false">I8296*J8296</f>
        <v>3652</v>
      </c>
      <c r="L8296" s="14" t="n">
        <f aca="false">($L$2*M8296)/100</f>
        <v>516716.595</v>
      </c>
      <c r="M8296" s="15" t="n">
        <v>0.43</v>
      </c>
      <c r="N8296" s="9" t="s">
        <v>26</v>
      </c>
    </row>
    <row r="8297" customFormat="false" ht="14.25" hidden="false" customHeight="true" outlineLevel="0" collapsed="false">
      <c r="B8297" s="9" t="s">
        <v>28</v>
      </c>
      <c r="C8297" s="9" t="n">
        <v>1197831</v>
      </c>
      <c r="D8297" s="10" t="n">
        <v>44280</v>
      </c>
      <c r="E8297" s="9" t="s">
        <v>29</v>
      </c>
      <c r="F8297" s="9" t="s">
        <v>57</v>
      </c>
      <c r="G8297" s="9" t="s">
        <v>58</v>
      </c>
      <c r="H8297" s="11" t="s">
        <v>23</v>
      </c>
      <c r="I8297" s="12" t="n">
        <v>25</v>
      </c>
      <c r="J8297" s="13" t="n">
        <v>124</v>
      </c>
      <c r="K8297" s="14" t="n">
        <f aca="false">I8297*J8297</f>
        <v>3100</v>
      </c>
      <c r="L8297" s="14" t="n">
        <f aca="false">($L$2*M8297)/100</f>
        <v>672933.24</v>
      </c>
      <c r="M8297" s="15" t="n">
        <v>0.56</v>
      </c>
      <c r="N8297" s="9" t="s">
        <v>26</v>
      </c>
    </row>
    <row r="8298" customFormat="false" ht="14.25" hidden="false" customHeight="true" outlineLevel="0" collapsed="false">
      <c r="B8298" s="9" t="s">
        <v>28</v>
      </c>
      <c r="C8298" s="9" t="n">
        <v>1197831</v>
      </c>
      <c r="D8298" s="10" t="n">
        <v>44281</v>
      </c>
      <c r="E8298" s="9" t="s">
        <v>29</v>
      </c>
      <c r="F8298" s="9" t="s">
        <v>57</v>
      </c>
      <c r="G8298" s="9" t="s">
        <v>58</v>
      </c>
      <c r="H8298" s="11" t="s">
        <v>24</v>
      </c>
      <c r="I8298" s="12" t="n">
        <v>27</v>
      </c>
      <c r="J8298" s="13" t="n">
        <v>88</v>
      </c>
      <c r="K8298" s="14" t="n">
        <f aca="false">I8298*J8298</f>
        <v>2376</v>
      </c>
      <c r="L8298" s="14" t="n">
        <f aca="false">($L$2*M8298)/100</f>
        <v>492683.265</v>
      </c>
      <c r="M8298" s="15" t="n">
        <v>0.41</v>
      </c>
      <c r="N8298" s="9" t="s">
        <v>26</v>
      </c>
    </row>
    <row r="8299" customFormat="false" ht="14.25" hidden="false" customHeight="true" outlineLevel="0" collapsed="false">
      <c r="B8299" s="9" t="s">
        <v>28</v>
      </c>
      <c r="C8299" s="9" t="n">
        <v>1197831</v>
      </c>
      <c r="D8299" s="10" t="n">
        <v>44282</v>
      </c>
      <c r="E8299" s="9" t="s">
        <v>29</v>
      </c>
      <c r="F8299" s="9" t="s">
        <v>57</v>
      </c>
      <c r="G8299" s="9" t="s">
        <v>58</v>
      </c>
      <c r="H8299" s="11" t="s">
        <v>25</v>
      </c>
      <c r="I8299" s="12" t="n">
        <v>25</v>
      </c>
      <c r="J8299" s="13" t="n">
        <v>145</v>
      </c>
      <c r="K8299" s="14" t="n">
        <f aca="false">I8299*J8299</f>
        <v>3625</v>
      </c>
      <c r="L8299" s="14" t="n">
        <f aca="false">($L$2*M8299)/100</f>
        <v>733016.565</v>
      </c>
      <c r="M8299" s="15" t="n">
        <v>0.61</v>
      </c>
      <c r="N8299" s="9" t="s">
        <v>26</v>
      </c>
    </row>
    <row r="8300" customFormat="false" ht="14.25" hidden="false" customHeight="true" outlineLevel="0" collapsed="false">
      <c r="B8300" s="9" t="s">
        <v>28</v>
      </c>
      <c r="C8300" s="9" t="n">
        <v>1197831</v>
      </c>
      <c r="D8300" s="10" t="n">
        <v>44283</v>
      </c>
      <c r="E8300" s="9" t="s">
        <v>29</v>
      </c>
      <c r="F8300" s="9" t="s">
        <v>57</v>
      </c>
      <c r="G8300" s="9" t="s">
        <v>58</v>
      </c>
      <c r="H8300" s="11" t="s">
        <v>19</v>
      </c>
      <c r="I8300" s="12" t="n">
        <v>13</v>
      </c>
      <c r="J8300" s="13" t="n">
        <v>203</v>
      </c>
      <c r="K8300" s="14" t="n">
        <f aca="false">I8300*J8300</f>
        <v>2639</v>
      </c>
      <c r="L8300" s="14" t="n">
        <f aca="false">($L$2*M8300)/100</f>
        <v>540749.925</v>
      </c>
      <c r="M8300" s="15" t="n">
        <v>0.45</v>
      </c>
      <c r="N8300" s="9" t="s">
        <v>26</v>
      </c>
    </row>
    <row r="8301" customFormat="false" ht="14.25" hidden="false" customHeight="true" outlineLevel="0" collapsed="false">
      <c r="B8301" s="9" t="s">
        <v>28</v>
      </c>
      <c r="C8301" s="9" t="n">
        <v>1197831</v>
      </c>
      <c r="D8301" s="10" t="n">
        <v>44284</v>
      </c>
      <c r="E8301" s="9" t="s">
        <v>29</v>
      </c>
      <c r="F8301" s="9" t="s">
        <v>57</v>
      </c>
      <c r="G8301" s="9" t="s">
        <v>58</v>
      </c>
      <c r="H8301" s="11" t="s">
        <v>21</v>
      </c>
      <c r="I8301" s="12" t="n">
        <v>17</v>
      </c>
      <c r="J8301" s="13" t="n">
        <v>203</v>
      </c>
      <c r="K8301" s="14" t="n">
        <f aca="false">I8301*J8301</f>
        <v>3451</v>
      </c>
      <c r="L8301" s="14" t="n">
        <f aca="false">($L$2*M8301)/100</f>
        <v>504699.93</v>
      </c>
      <c r="M8301" s="15" t="n">
        <v>0.42</v>
      </c>
      <c r="N8301" s="9" t="s">
        <v>26</v>
      </c>
    </row>
    <row r="8302" customFormat="false" ht="14.25" hidden="false" customHeight="true" outlineLevel="0" collapsed="false">
      <c r="B8302" s="9" t="s">
        <v>28</v>
      </c>
      <c r="C8302" s="9" t="n">
        <v>1197831</v>
      </c>
      <c r="D8302" s="10" t="n">
        <v>44285</v>
      </c>
      <c r="E8302" s="9" t="s">
        <v>29</v>
      </c>
      <c r="F8302" s="9" t="s">
        <v>57</v>
      </c>
      <c r="G8302" s="9" t="s">
        <v>58</v>
      </c>
      <c r="H8302" s="11" t="s">
        <v>22</v>
      </c>
      <c r="I8302" s="12" t="n">
        <v>15</v>
      </c>
      <c r="J8302" s="13" t="n">
        <v>170</v>
      </c>
      <c r="K8302" s="14" t="n">
        <f aca="false">I8302*J8302</f>
        <v>2550</v>
      </c>
      <c r="L8302" s="14" t="n">
        <f aca="false">($L$2*M8302)/100</f>
        <v>528733.26</v>
      </c>
      <c r="M8302" s="15" t="n">
        <v>0.44</v>
      </c>
      <c r="N8302" s="9" t="s">
        <v>26</v>
      </c>
    </row>
    <row r="8303" customFormat="false" ht="14.25" hidden="false" customHeight="true" outlineLevel="0" collapsed="false">
      <c r="B8303" s="9" t="s">
        <v>28</v>
      </c>
      <c r="C8303" s="9" t="n">
        <v>1197831</v>
      </c>
      <c r="D8303" s="10" t="n">
        <v>44286</v>
      </c>
      <c r="E8303" s="9" t="s">
        <v>29</v>
      </c>
      <c r="F8303" s="9" t="s">
        <v>57</v>
      </c>
      <c r="G8303" s="9" t="s">
        <v>58</v>
      </c>
      <c r="H8303" s="11" t="s">
        <v>23</v>
      </c>
      <c r="I8303" s="12" t="n">
        <v>20</v>
      </c>
      <c r="J8303" s="13" t="n">
        <v>128</v>
      </c>
      <c r="K8303" s="14" t="n">
        <f aca="false">I8303*J8303</f>
        <v>2560</v>
      </c>
      <c r="L8303" s="14" t="n">
        <f aca="false">($L$2*M8303)/100</f>
        <v>672933.24</v>
      </c>
      <c r="M8303" s="15" t="n">
        <v>0.56</v>
      </c>
      <c r="N8303" s="9" t="s">
        <v>26</v>
      </c>
    </row>
    <row r="8304" customFormat="false" ht="14.25" hidden="false" customHeight="true" outlineLevel="0" collapsed="false">
      <c r="B8304" s="9" t="s">
        <v>28</v>
      </c>
      <c r="C8304" s="9" t="n">
        <v>1197831</v>
      </c>
      <c r="D8304" s="10" t="n">
        <v>44287</v>
      </c>
      <c r="E8304" s="9" t="s">
        <v>29</v>
      </c>
      <c r="F8304" s="9" t="s">
        <v>57</v>
      </c>
      <c r="G8304" s="9" t="s">
        <v>58</v>
      </c>
      <c r="H8304" s="11" t="s">
        <v>24</v>
      </c>
      <c r="I8304" s="12" t="n">
        <v>20</v>
      </c>
      <c r="J8304" s="13" t="n">
        <v>105</v>
      </c>
      <c r="K8304" s="14" t="n">
        <f aca="false">I8304*J8304</f>
        <v>2100</v>
      </c>
      <c r="L8304" s="14" t="n">
        <f aca="false">($L$2*M8304)/100</f>
        <v>456633.27</v>
      </c>
      <c r="M8304" s="15" t="n">
        <v>0.38</v>
      </c>
      <c r="N8304" s="9" t="s">
        <v>26</v>
      </c>
    </row>
    <row r="8305" customFormat="false" ht="14.25" hidden="false" customHeight="true" outlineLevel="0" collapsed="false">
      <c r="B8305" s="9" t="s">
        <v>28</v>
      </c>
      <c r="C8305" s="9" t="n">
        <v>1197831</v>
      </c>
      <c r="D8305" s="10" t="n">
        <v>44288</v>
      </c>
      <c r="E8305" s="9" t="s">
        <v>29</v>
      </c>
      <c r="F8305" s="9" t="s">
        <v>57</v>
      </c>
      <c r="G8305" s="9" t="s">
        <v>58</v>
      </c>
      <c r="H8305" s="11" t="s">
        <v>25</v>
      </c>
      <c r="I8305" s="12" t="n">
        <v>18</v>
      </c>
      <c r="J8305" s="13" t="n">
        <v>196</v>
      </c>
      <c r="K8305" s="14" t="n">
        <f aca="false">I8305*J8305</f>
        <v>3528</v>
      </c>
      <c r="L8305" s="14" t="n">
        <f aca="false">($L$2*M8305)/100</f>
        <v>733016.565</v>
      </c>
      <c r="M8305" s="15" t="n">
        <v>0.61</v>
      </c>
      <c r="N8305" s="9" t="s">
        <v>26</v>
      </c>
    </row>
    <row r="8306" customFormat="false" ht="14.25" hidden="false" customHeight="true" outlineLevel="0" collapsed="false">
      <c r="B8306" s="9" t="s">
        <v>28</v>
      </c>
      <c r="C8306" s="9" t="n">
        <v>1197831</v>
      </c>
      <c r="D8306" s="10" t="n">
        <v>44289</v>
      </c>
      <c r="E8306" s="9" t="s">
        <v>29</v>
      </c>
      <c r="F8306" s="9" t="s">
        <v>57</v>
      </c>
      <c r="G8306" s="9" t="s">
        <v>58</v>
      </c>
      <c r="H8306" s="11" t="s">
        <v>19</v>
      </c>
      <c r="I8306" s="12" t="n">
        <v>12</v>
      </c>
      <c r="J8306" s="13" t="n">
        <v>247</v>
      </c>
      <c r="K8306" s="14" t="n">
        <f aca="false">I8306*J8306</f>
        <v>2964</v>
      </c>
      <c r="L8306" s="14" t="n">
        <f aca="false">($L$2*M8306)/100</f>
        <v>540749.925</v>
      </c>
      <c r="M8306" s="15" t="n">
        <v>0.45</v>
      </c>
      <c r="N8306" s="9" t="s">
        <v>26</v>
      </c>
    </row>
    <row r="8307" customFormat="false" ht="14.25" hidden="false" customHeight="true" outlineLevel="0" collapsed="false">
      <c r="B8307" s="9" t="s">
        <v>28</v>
      </c>
      <c r="C8307" s="9" t="n">
        <v>1197831</v>
      </c>
      <c r="D8307" s="10" t="n">
        <v>44290</v>
      </c>
      <c r="E8307" s="9" t="s">
        <v>29</v>
      </c>
      <c r="F8307" s="9" t="s">
        <v>57</v>
      </c>
      <c r="G8307" s="9" t="s">
        <v>58</v>
      </c>
      <c r="H8307" s="11" t="s">
        <v>21</v>
      </c>
      <c r="I8307" s="12" t="n">
        <v>20</v>
      </c>
      <c r="J8307" s="13" t="n">
        <v>240</v>
      </c>
      <c r="K8307" s="14" t="n">
        <f aca="false">I8307*J8307</f>
        <v>4800</v>
      </c>
      <c r="L8307" s="14" t="n">
        <f aca="false">($L$2*M8307)/100</f>
        <v>528733.26</v>
      </c>
      <c r="M8307" s="15" t="n">
        <v>0.44</v>
      </c>
      <c r="N8307" s="9" t="s">
        <v>26</v>
      </c>
    </row>
    <row r="8308" customFormat="false" ht="14.25" hidden="false" customHeight="true" outlineLevel="0" collapsed="false">
      <c r="B8308" s="9" t="s">
        <v>28</v>
      </c>
      <c r="C8308" s="9" t="n">
        <v>1197831</v>
      </c>
      <c r="D8308" s="10" t="n">
        <v>44291</v>
      </c>
      <c r="E8308" s="9" t="s">
        <v>29</v>
      </c>
      <c r="F8308" s="9" t="s">
        <v>57</v>
      </c>
      <c r="G8308" s="9" t="s">
        <v>58</v>
      </c>
      <c r="H8308" s="11" t="s">
        <v>22</v>
      </c>
      <c r="I8308" s="12" t="n">
        <v>14</v>
      </c>
      <c r="J8308" s="13" t="n">
        <v>204</v>
      </c>
      <c r="K8308" s="14" t="n">
        <f aca="false">I8308*J8308</f>
        <v>2856</v>
      </c>
      <c r="L8308" s="14" t="n">
        <f aca="false">($L$2*M8308)/100</f>
        <v>552766.59</v>
      </c>
      <c r="M8308" s="15" t="n">
        <v>0.46</v>
      </c>
      <c r="N8308" s="9" t="s">
        <v>26</v>
      </c>
    </row>
    <row r="8309" customFormat="false" ht="14.25" hidden="false" customHeight="true" outlineLevel="0" collapsed="false">
      <c r="B8309" s="9" t="s">
        <v>28</v>
      </c>
      <c r="C8309" s="9" t="n">
        <v>1197831</v>
      </c>
      <c r="D8309" s="10" t="n">
        <v>44292</v>
      </c>
      <c r="E8309" s="9" t="s">
        <v>29</v>
      </c>
      <c r="F8309" s="9" t="s">
        <v>57</v>
      </c>
      <c r="G8309" s="9" t="s">
        <v>58</v>
      </c>
      <c r="H8309" s="11" t="s">
        <v>23</v>
      </c>
      <c r="I8309" s="12" t="n">
        <v>20</v>
      </c>
      <c r="J8309" s="13" t="n">
        <v>179</v>
      </c>
      <c r="K8309" s="14" t="n">
        <f aca="false">I8309*J8309</f>
        <v>3580</v>
      </c>
      <c r="L8309" s="14" t="n">
        <f aca="false">($L$2*M8309)/100</f>
        <v>648899.91</v>
      </c>
      <c r="M8309" s="15" t="n">
        <v>0.54</v>
      </c>
      <c r="N8309" s="9" t="s">
        <v>26</v>
      </c>
    </row>
    <row r="8310" customFormat="false" ht="14.25" hidden="false" customHeight="true" outlineLevel="0" collapsed="false">
      <c r="B8310" s="9" t="s">
        <v>28</v>
      </c>
      <c r="C8310" s="9" t="n">
        <v>1197831</v>
      </c>
      <c r="D8310" s="10" t="n">
        <v>44293</v>
      </c>
      <c r="E8310" s="9" t="s">
        <v>29</v>
      </c>
      <c r="F8310" s="9" t="s">
        <v>57</v>
      </c>
      <c r="G8310" s="9" t="s">
        <v>58</v>
      </c>
      <c r="H8310" s="11" t="s">
        <v>24</v>
      </c>
      <c r="I8310" s="12" t="n">
        <v>33</v>
      </c>
      <c r="J8310" s="13" t="n">
        <v>132</v>
      </c>
      <c r="K8310" s="14" t="n">
        <f aca="false">I8310*J8310</f>
        <v>4356</v>
      </c>
      <c r="L8310" s="14" t="n">
        <f aca="false">($L$2*M8310)/100</f>
        <v>492683.265</v>
      </c>
      <c r="M8310" s="15" t="n">
        <v>0.41</v>
      </c>
      <c r="N8310" s="9" t="s">
        <v>26</v>
      </c>
    </row>
    <row r="8311" customFormat="false" ht="14.25" hidden="false" customHeight="true" outlineLevel="0" collapsed="false">
      <c r="B8311" s="9" t="s">
        <v>28</v>
      </c>
      <c r="C8311" s="9" t="n">
        <v>1197831</v>
      </c>
      <c r="D8311" s="10" t="n">
        <v>44294</v>
      </c>
      <c r="E8311" s="9" t="s">
        <v>29</v>
      </c>
      <c r="F8311" s="9" t="s">
        <v>57</v>
      </c>
      <c r="G8311" s="9" t="s">
        <v>58</v>
      </c>
      <c r="H8311" s="11" t="s">
        <v>25</v>
      </c>
      <c r="I8311" s="12" t="n">
        <v>31</v>
      </c>
      <c r="J8311" s="13" t="n">
        <v>271</v>
      </c>
      <c r="K8311" s="14" t="n">
        <f aca="false">I8311*J8311</f>
        <v>8401</v>
      </c>
      <c r="L8311" s="14" t="n">
        <f aca="false">($L$2*M8311)/100</f>
        <v>708983.235</v>
      </c>
      <c r="M8311" s="15" t="n">
        <v>0.59</v>
      </c>
      <c r="N8311" s="9" t="s">
        <v>26</v>
      </c>
    </row>
    <row r="8312" customFormat="false" ht="14.25" hidden="false" customHeight="true" outlineLevel="0" collapsed="false">
      <c r="B8312" s="9" t="s">
        <v>28</v>
      </c>
      <c r="C8312" s="9" t="n">
        <v>1197831</v>
      </c>
      <c r="D8312" s="10" t="n">
        <v>44295</v>
      </c>
      <c r="E8312" s="9" t="s">
        <v>29</v>
      </c>
      <c r="F8312" s="9" t="s">
        <v>57</v>
      </c>
      <c r="G8312" s="9" t="s">
        <v>58</v>
      </c>
      <c r="H8312" s="11" t="s">
        <v>19</v>
      </c>
      <c r="I8312" s="12" t="n">
        <v>28</v>
      </c>
      <c r="J8312" s="13" t="n">
        <v>256</v>
      </c>
      <c r="K8312" s="14" t="n">
        <f aca="false">I8312*J8312</f>
        <v>7168</v>
      </c>
      <c r="L8312" s="14" t="n">
        <f aca="false">($L$2*M8312)/100</f>
        <v>564783.255</v>
      </c>
      <c r="M8312" s="15" t="n">
        <v>0.47</v>
      </c>
      <c r="N8312" s="9" t="s">
        <v>26</v>
      </c>
    </row>
    <row r="8313" customFormat="false" ht="14.25" hidden="false" customHeight="true" outlineLevel="0" collapsed="false">
      <c r="B8313" s="9" t="s">
        <v>28</v>
      </c>
      <c r="C8313" s="9" t="n">
        <v>1197831</v>
      </c>
      <c r="D8313" s="10" t="n">
        <v>44296</v>
      </c>
      <c r="E8313" s="9" t="s">
        <v>29</v>
      </c>
      <c r="F8313" s="9" t="s">
        <v>57</v>
      </c>
      <c r="G8313" s="9" t="s">
        <v>58</v>
      </c>
      <c r="H8313" s="11" t="s">
        <v>21</v>
      </c>
      <c r="I8313" s="12" t="n">
        <v>32</v>
      </c>
      <c r="J8313" s="13" t="n">
        <v>240</v>
      </c>
      <c r="K8313" s="14" t="n">
        <f aca="false">I8313*J8313</f>
        <v>7680</v>
      </c>
      <c r="L8313" s="14" t="n">
        <f aca="false">($L$2*M8313)/100</f>
        <v>564783.255</v>
      </c>
      <c r="M8313" s="15" t="n">
        <v>0.47</v>
      </c>
      <c r="N8313" s="9" t="s">
        <v>26</v>
      </c>
    </row>
    <row r="8314" customFormat="false" ht="14.25" hidden="false" customHeight="true" outlineLevel="0" collapsed="false">
      <c r="B8314" s="9" t="s">
        <v>28</v>
      </c>
      <c r="C8314" s="9" t="n">
        <v>1197831</v>
      </c>
      <c r="D8314" s="10" t="n">
        <v>44297</v>
      </c>
      <c r="E8314" s="9" t="s">
        <v>29</v>
      </c>
      <c r="F8314" s="9" t="s">
        <v>57</v>
      </c>
      <c r="G8314" s="9" t="s">
        <v>58</v>
      </c>
      <c r="H8314" s="11" t="s">
        <v>22</v>
      </c>
      <c r="I8314" s="12" t="n">
        <v>26</v>
      </c>
      <c r="J8314" s="13" t="n">
        <v>202</v>
      </c>
      <c r="K8314" s="14" t="n">
        <f aca="false">I8314*J8314</f>
        <v>5252</v>
      </c>
      <c r="L8314" s="14" t="n">
        <f aca="false">($L$2*M8314)/100</f>
        <v>528733.26</v>
      </c>
      <c r="M8314" s="15" t="n">
        <v>0.44</v>
      </c>
      <c r="N8314" s="9" t="s">
        <v>26</v>
      </c>
    </row>
    <row r="8315" customFormat="false" ht="14.25" hidden="false" customHeight="true" outlineLevel="0" collapsed="false">
      <c r="B8315" s="9" t="s">
        <v>28</v>
      </c>
      <c r="C8315" s="9" t="n">
        <v>1197831</v>
      </c>
      <c r="D8315" s="10" t="n">
        <v>44298</v>
      </c>
      <c r="E8315" s="9" t="s">
        <v>29</v>
      </c>
      <c r="F8315" s="9" t="s">
        <v>57</v>
      </c>
      <c r="G8315" s="9" t="s">
        <v>58</v>
      </c>
      <c r="H8315" s="11" t="s">
        <v>23</v>
      </c>
      <c r="I8315" s="12" t="n">
        <v>29</v>
      </c>
      <c r="J8315" s="13" t="n">
        <v>198</v>
      </c>
      <c r="K8315" s="14" t="n">
        <f aca="false">I8315*J8315</f>
        <v>5742</v>
      </c>
      <c r="L8315" s="14" t="n">
        <f aca="false">($L$2*M8315)/100</f>
        <v>672933.24</v>
      </c>
      <c r="M8315" s="15" t="n">
        <v>0.56</v>
      </c>
      <c r="N8315" s="9" t="s">
        <v>26</v>
      </c>
    </row>
    <row r="8316" customFormat="false" ht="14.25" hidden="false" customHeight="true" outlineLevel="0" collapsed="false">
      <c r="B8316" s="9" t="s">
        <v>28</v>
      </c>
      <c r="C8316" s="9" t="n">
        <v>1197831</v>
      </c>
      <c r="D8316" s="10" t="n">
        <v>44299</v>
      </c>
      <c r="E8316" s="9" t="s">
        <v>29</v>
      </c>
      <c r="F8316" s="9" t="s">
        <v>57</v>
      </c>
      <c r="G8316" s="9" t="s">
        <v>58</v>
      </c>
      <c r="H8316" s="11" t="s">
        <v>24</v>
      </c>
      <c r="I8316" s="12" t="n">
        <v>30</v>
      </c>
      <c r="J8316" s="13" t="n">
        <v>150</v>
      </c>
      <c r="K8316" s="14" t="n">
        <f aca="false">I8316*J8316</f>
        <v>4500</v>
      </c>
      <c r="L8316" s="14" t="n">
        <f aca="false">($L$2*M8316)/100</f>
        <v>468649.935</v>
      </c>
      <c r="M8316" s="15" t="n">
        <v>0.39</v>
      </c>
      <c r="N8316" s="9" t="s">
        <v>26</v>
      </c>
    </row>
    <row r="8317" customFormat="false" ht="14.25" hidden="false" customHeight="true" outlineLevel="0" collapsed="false">
      <c r="B8317" s="9" t="s">
        <v>28</v>
      </c>
      <c r="C8317" s="9" t="n">
        <v>1197831</v>
      </c>
      <c r="D8317" s="10" t="n">
        <v>44300</v>
      </c>
      <c r="E8317" s="9" t="s">
        <v>29</v>
      </c>
      <c r="F8317" s="9" t="s">
        <v>57</v>
      </c>
      <c r="G8317" s="9" t="s">
        <v>58</v>
      </c>
      <c r="H8317" s="11" t="s">
        <v>25</v>
      </c>
      <c r="I8317" s="12" t="n">
        <v>37</v>
      </c>
      <c r="J8317" s="13" t="n">
        <v>306</v>
      </c>
      <c r="K8317" s="14" t="n">
        <f aca="false">I8317*J8317</f>
        <v>11322</v>
      </c>
      <c r="L8317" s="14" t="n">
        <f aca="false">($L$2*M8317)/100</f>
        <v>708983.235</v>
      </c>
      <c r="M8317" s="15" t="n">
        <v>0.59</v>
      </c>
      <c r="N8317" s="9" t="s">
        <v>26</v>
      </c>
    </row>
    <row r="8318" customFormat="false" ht="14.25" hidden="false" customHeight="true" outlineLevel="0" collapsed="false">
      <c r="B8318" s="9" t="s">
        <v>28</v>
      </c>
      <c r="C8318" s="9" t="n">
        <v>1197831</v>
      </c>
      <c r="D8318" s="10" t="n">
        <v>44301</v>
      </c>
      <c r="E8318" s="9" t="s">
        <v>29</v>
      </c>
      <c r="F8318" s="9" t="s">
        <v>57</v>
      </c>
      <c r="G8318" s="9" t="s">
        <v>58</v>
      </c>
      <c r="H8318" s="11" t="s">
        <v>19</v>
      </c>
      <c r="I8318" s="12" t="n">
        <v>29</v>
      </c>
      <c r="J8318" s="13" t="n">
        <v>272</v>
      </c>
      <c r="K8318" s="14" t="n">
        <f aca="false">I8318*J8318</f>
        <v>7888</v>
      </c>
      <c r="L8318" s="14" t="n">
        <f aca="false">($L$2*M8318)/100</f>
        <v>600833.25</v>
      </c>
      <c r="M8318" s="15" t="n">
        <v>0.5</v>
      </c>
      <c r="N8318" s="9" t="s">
        <v>26</v>
      </c>
    </row>
    <row r="8319" customFormat="false" ht="14.25" hidden="false" customHeight="true" outlineLevel="0" collapsed="false">
      <c r="B8319" s="9" t="s">
        <v>28</v>
      </c>
      <c r="C8319" s="9" t="n">
        <v>1197831</v>
      </c>
      <c r="D8319" s="10" t="n">
        <v>44302</v>
      </c>
      <c r="E8319" s="9" t="s">
        <v>29</v>
      </c>
      <c r="F8319" s="9" t="s">
        <v>57</v>
      </c>
      <c r="G8319" s="9" t="s">
        <v>58</v>
      </c>
      <c r="H8319" s="11" t="s">
        <v>21</v>
      </c>
      <c r="I8319" s="12" t="n">
        <v>30</v>
      </c>
      <c r="J8319" s="13" t="n">
        <v>264</v>
      </c>
      <c r="K8319" s="14" t="n">
        <f aca="false">I8319*J8319</f>
        <v>7920</v>
      </c>
      <c r="L8319" s="14" t="n">
        <f aca="false">($L$2*M8319)/100</f>
        <v>600833.25</v>
      </c>
      <c r="M8319" s="15" t="n">
        <v>0.5</v>
      </c>
      <c r="N8319" s="9" t="s">
        <v>26</v>
      </c>
    </row>
    <row r="8320" customFormat="false" ht="14.25" hidden="false" customHeight="true" outlineLevel="0" collapsed="false">
      <c r="B8320" s="9" t="s">
        <v>28</v>
      </c>
      <c r="C8320" s="9" t="n">
        <v>1197831</v>
      </c>
      <c r="D8320" s="10" t="n">
        <v>44303</v>
      </c>
      <c r="E8320" s="9" t="s">
        <v>29</v>
      </c>
      <c r="F8320" s="9" t="s">
        <v>57</v>
      </c>
      <c r="G8320" s="9" t="s">
        <v>58</v>
      </c>
      <c r="H8320" s="11" t="s">
        <v>22</v>
      </c>
      <c r="I8320" s="12" t="n">
        <v>30</v>
      </c>
      <c r="J8320" s="13" t="n">
        <v>322</v>
      </c>
      <c r="K8320" s="14" t="n">
        <f aca="false">I8320*J8320</f>
        <v>9660</v>
      </c>
      <c r="L8320" s="14" t="n">
        <f aca="false">($L$2*M8320)/100</f>
        <v>600833.25</v>
      </c>
      <c r="M8320" s="15" t="n">
        <v>0.5</v>
      </c>
      <c r="N8320" s="9" t="s">
        <v>26</v>
      </c>
    </row>
    <row r="8321" customFormat="false" ht="14.25" hidden="false" customHeight="true" outlineLevel="0" collapsed="false">
      <c r="B8321" s="9" t="s">
        <v>28</v>
      </c>
      <c r="C8321" s="9" t="n">
        <v>1197831</v>
      </c>
      <c r="D8321" s="10" t="n">
        <v>44304</v>
      </c>
      <c r="E8321" s="9" t="s">
        <v>29</v>
      </c>
      <c r="F8321" s="9" t="s">
        <v>57</v>
      </c>
      <c r="G8321" s="9" t="s">
        <v>58</v>
      </c>
      <c r="H8321" s="11" t="s">
        <v>23</v>
      </c>
      <c r="I8321" s="12" t="n">
        <v>32</v>
      </c>
      <c r="J8321" s="13" t="n">
        <v>196</v>
      </c>
      <c r="K8321" s="14" t="n">
        <f aca="false">I8321*J8321</f>
        <v>6272</v>
      </c>
      <c r="L8321" s="14" t="n">
        <f aca="false">($L$2*M8321)/100</f>
        <v>733016.565</v>
      </c>
      <c r="M8321" s="15" t="n">
        <v>0.61</v>
      </c>
      <c r="N8321" s="9" t="s">
        <v>26</v>
      </c>
    </row>
    <row r="8322" customFormat="false" ht="14.25" hidden="false" customHeight="true" outlineLevel="0" collapsed="false">
      <c r="B8322" s="9" t="s">
        <v>28</v>
      </c>
      <c r="C8322" s="9" t="n">
        <v>1197831</v>
      </c>
      <c r="D8322" s="10" t="n">
        <v>44305</v>
      </c>
      <c r="E8322" s="9" t="s">
        <v>29</v>
      </c>
      <c r="F8322" s="9" t="s">
        <v>57</v>
      </c>
      <c r="G8322" s="9" t="s">
        <v>58</v>
      </c>
      <c r="H8322" s="11" t="s">
        <v>24</v>
      </c>
      <c r="I8322" s="12" t="n">
        <v>33</v>
      </c>
      <c r="J8322" s="13" t="n">
        <v>182</v>
      </c>
      <c r="K8322" s="14" t="n">
        <f aca="false">I8322*J8322</f>
        <v>6006</v>
      </c>
      <c r="L8322" s="14" t="n">
        <f aca="false">($L$2*M8322)/100</f>
        <v>540749.925</v>
      </c>
      <c r="M8322" s="15" t="n">
        <v>0.45</v>
      </c>
      <c r="N8322" s="9" t="s">
        <v>26</v>
      </c>
    </row>
    <row r="8323" customFormat="false" ht="14.25" hidden="false" customHeight="true" outlineLevel="0" collapsed="false">
      <c r="B8323" s="9" t="s">
        <v>28</v>
      </c>
      <c r="C8323" s="9" t="n">
        <v>1197831</v>
      </c>
      <c r="D8323" s="10" t="n">
        <v>44306</v>
      </c>
      <c r="E8323" s="9" t="s">
        <v>29</v>
      </c>
      <c r="F8323" s="9" t="s">
        <v>57</v>
      </c>
      <c r="G8323" s="9" t="s">
        <v>58</v>
      </c>
      <c r="H8323" s="11" t="s">
        <v>25</v>
      </c>
      <c r="I8323" s="12" t="n">
        <v>38</v>
      </c>
      <c r="J8323" s="13" t="n">
        <v>272</v>
      </c>
      <c r="K8323" s="14" t="n">
        <f aca="false">I8323*J8323</f>
        <v>10336</v>
      </c>
      <c r="L8323" s="14" t="n">
        <f aca="false">($L$2*M8323)/100</f>
        <v>745033.23</v>
      </c>
      <c r="M8323" s="15" t="n">
        <v>0.62</v>
      </c>
      <c r="N8323" s="9" t="s">
        <v>26</v>
      </c>
    </row>
    <row r="8324" customFormat="false" ht="14.25" hidden="false" customHeight="true" outlineLevel="0" collapsed="false">
      <c r="B8324" s="9" t="s">
        <v>28</v>
      </c>
      <c r="C8324" s="9" t="n">
        <v>1197831</v>
      </c>
      <c r="D8324" s="10" t="n">
        <v>44307</v>
      </c>
      <c r="E8324" s="9" t="s">
        <v>29</v>
      </c>
      <c r="F8324" s="9" t="s">
        <v>57</v>
      </c>
      <c r="G8324" s="9" t="s">
        <v>58</v>
      </c>
      <c r="H8324" s="11" t="s">
        <v>19</v>
      </c>
      <c r="I8324" s="12" t="n">
        <v>29</v>
      </c>
      <c r="J8324" s="13" t="n">
        <v>233</v>
      </c>
      <c r="K8324" s="14" t="n">
        <f aca="false">I8324*J8324</f>
        <v>6757</v>
      </c>
      <c r="L8324" s="14" t="n">
        <f aca="false">($L$2*M8324)/100</f>
        <v>612849.915</v>
      </c>
      <c r="M8324" s="15" t="n">
        <v>0.51</v>
      </c>
      <c r="N8324" s="9" t="s">
        <v>26</v>
      </c>
    </row>
    <row r="8325" customFormat="false" ht="14.25" hidden="false" customHeight="true" outlineLevel="0" collapsed="false">
      <c r="B8325" s="9" t="s">
        <v>28</v>
      </c>
      <c r="C8325" s="9" t="n">
        <v>1197831</v>
      </c>
      <c r="D8325" s="10" t="n">
        <v>44308</v>
      </c>
      <c r="E8325" s="9" t="s">
        <v>29</v>
      </c>
      <c r="F8325" s="9" t="s">
        <v>57</v>
      </c>
      <c r="G8325" s="9" t="s">
        <v>58</v>
      </c>
      <c r="H8325" s="11" t="s">
        <v>21</v>
      </c>
      <c r="I8325" s="12" t="n">
        <v>44</v>
      </c>
      <c r="J8325" s="13" t="n">
        <v>271</v>
      </c>
      <c r="K8325" s="14" t="n">
        <f aca="false">I8325*J8325</f>
        <v>11924</v>
      </c>
      <c r="L8325" s="14" t="n">
        <f aca="false">($L$2*M8325)/100</f>
        <v>612849.915</v>
      </c>
      <c r="M8325" s="15" t="n">
        <v>0.51</v>
      </c>
      <c r="N8325" s="9" t="s">
        <v>26</v>
      </c>
    </row>
    <row r="8326" customFormat="false" ht="14.25" hidden="false" customHeight="true" outlineLevel="0" collapsed="false">
      <c r="B8326" s="9" t="s">
        <v>28</v>
      </c>
      <c r="C8326" s="9" t="n">
        <v>1197831</v>
      </c>
      <c r="D8326" s="10" t="n">
        <v>44309</v>
      </c>
      <c r="E8326" s="9" t="s">
        <v>29</v>
      </c>
      <c r="F8326" s="9" t="s">
        <v>57</v>
      </c>
      <c r="G8326" s="9" t="s">
        <v>58</v>
      </c>
      <c r="H8326" s="11" t="s">
        <v>22</v>
      </c>
      <c r="I8326" s="12" t="n">
        <v>39</v>
      </c>
      <c r="J8326" s="13" t="n">
        <v>314</v>
      </c>
      <c r="K8326" s="14" t="n">
        <f aca="false">I8326*J8326</f>
        <v>12246</v>
      </c>
      <c r="L8326" s="14" t="n">
        <f aca="false">($L$2*M8326)/100</f>
        <v>564783.255</v>
      </c>
      <c r="M8326" s="15" t="n">
        <v>0.47</v>
      </c>
      <c r="N8326" s="9" t="s">
        <v>26</v>
      </c>
    </row>
    <row r="8327" customFormat="false" ht="14.25" hidden="false" customHeight="true" outlineLevel="0" collapsed="false">
      <c r="B8327" s="9" t="s">
        <v>28</v>
      </c>
      <c r="C8327" s="9" t="n">
        <v>1197831</v>
      </c>
      <c r="D8327" s="10" t="n">
        <v>44310</v>
      </c>
      <c r="E8327" s="9" t="s">
        <v>29</v>
      </c>
      <c r="F8327" s="9" t="s">
        <v>57</v>
      </c>
      <c r="G8327" s="9" t="s">
        <v>58</v>
      </c>
      <c r="H8327" s="11" t="s">
        <v>23</v>
      </c>
      <c r="I8327" s="12" t="n">
        <v>32</v>
      </c>
      <c r="J8327" s="13" t="n">
        <v>162</v>
      </c>
      <c r="K8327" s="14" t="n">
        <f aca="false">I8327*J8327</f>
        <v>5184</v>
      </c>
      <c r="L8327" s="14" t="n">
        <f aca="false">($L$2*M8327)/100</f>
        <v>708983.235</v>
      </c>
      <c r="M8327" s="15" t="n">
        <v>0.59</v>
      </c>
      <c r="N8327" s="9" t="s">
        <v>26</v>
      </c>
    </row>
    <row r="8328" customFormat="false" ht="14.25" hidden="false" customHeight="true" outlineLevel="0" collapsed="false">
      <c r="B8328" s="9" t="s">
        <v>28</v>
      </c>
      <c r="C8328" s="9" t="n">
        <v>1197831</v>
      </c>
      <c r="D8328" s="10" t="n">
        <v>44311</v>
      </c>
      <c r="E8328" s="9" t="s">
        <v>29</v>
      </c>
      <c r="F8328" s="9" t="s">
        <v>57</v>
      </c>
      <c r="G8328" s="9" t="s">
        <v>58</v>
      </c>
      <c r="H8328" s="11" t="s">
        <v>24</v>
      </c>
      <c r="I8328" s="12" t="n">
        <v>35</v>
      </c>
      <c r="J8328" s="13" t="n">
        <v>143</v>
      </c>
      <c r="K8328" s="14" t="n">
        <f aca="false">I8328*J8328</f>
        <v>5005</v>
      </c>
      <c r="L8328" s="14" t="n">
        <f aca="false">($L$2*M8328)/100</f>
        <v>540749.925</v>
      </c>
      <c r="M8328" s="15" t="n">
        <v>0.45</v>
      </c>
      <c r="N8328" s="9" t="s">
        <v>26</v>
      </c>
    </row>
    <row r="8329" customFormat="false" ht="14.25" hidden="false" customHeight="true" outlineLevel="0" collapsed="false">
      <c r="B8329" s="9" t="s">
        <v>28</v>
      </c>
      <c r="C8329" s="9" t="n">
        <v>1197831</v>
      </c>
      <c r="D8329" s="10" t="n">
        <v>44312</v>
      </c>
      <c r="E8329" s="9" t="s">
        <v>29</v>
      </c>
      <c r="F8329" s="9" t="s">
        <v>57</v>
      </c>
      <c r="G8329" s="9" t="s">
        <v>58</v>
      </c>
      <c r="H8329" s="11" t="s">
        <v>25</v>
      </c>
      <c r="I8329" s="12" t="n">
        <v>40</v>
      </c>
      <c r="J8329" s="13" t="n">
        <v>232</v>
      </c>
      <c r="K8329" s="14" t="n">
        <f aca="false">I8329*J8329</f>
        <v>9280</v>
      </c>
      <c r="L8329" s="14" t="n">
        <f aca="false">($L$2*M8329)/100</f>
        <v>805116.555</v>
      </c>
      <c r="M8329" s="15" t="n">
        <v>0.67</v>
      </c>
      <c r="N8329" s="9" t="s">
        <v>26</v>
      </c>
    </row>
    <row r="8330" customFormat="false" ht="14.25" hidden="false" customHeight="true" outlineLevel="0" collapsed="false">
      <c r="B8330" s="9" t="s">
        <v>28</v>
      </c>
      <c r="C8330" s="9" t="n">
        <v>1197831</v>
      </c>
      <c r="D8330" s="10" t="n">
        <v>44313</v>
      </c>
      <c r="E8330" s="9" t="s">
        <v>29</v>
      </c>
      <c r="F8330" s="9" t="s">
        <v>57</v>
      </c>
      <c r="G8330" s="9" t="s">
        <v>58</v>
      </c>
      <c r="H8330" s="11" t="s">
        <v>19</v>
      </c>
      <c r="I8330" s="12" t="n">
        <v>40</v>
      </c>
      <c r="J8330" s="13" t="n">
        <v>209</v>
      </c>
      <c r="K8330" s="14" t="n">
        <f aca="false">I8330*J8330</f>
        <v>8360</v>
      </c>
      <c r="L8330" s="14" t="n">
        <f aca="false">($L$2*M8330)/100</f>
        <v>600833.25</v>
      </c>
      <c r="M8330" s="15" t="n">
        <v>0.5</v>
      </c>
      <c r="N8330" s="9" t="s">
        <v>26</v>
      </c>
    </row>
    <row r="8331" customFormat="false" ht="14.25" hidden="false" customHeight="true" outlineLevel="0" collapsed="false">
      <c r="B8331" s="9" t="s">
        <v>28</v>
      </c>
      <c r="C8331" s="9" t="n">
        <v>1197831</v>
      </c>
      <c r="D8331" s="10" t="n">
        <v>44314</v>
      </c>
      <c r="E8331" s="9" t="s">
        <v>29</v>
      </c>
      <c r="F8331" s="9" t="s">
        <v>57</v>
      </c>
      <c r="G8331" s="9" t="s">
        <v>58</v>
      </c>
      <c r="H8331" s="11" t="s">
        <v>21</v>
      </c>
      <c r="I8331" s="12" t="n">
        <v>33</v>
      </c>
      <c r="J8331" s="13" t="n">
        <v>213</v>
      </c>
      <c r="K8331" s="14" t="n">
        <f aca="false">I8331*J8331</f>
        <v>7029</v>
      </c>
      <c r="L8331" s="14" t="n">
        <f aca="false">($L$2*M8331)/100</f>
        <v>564783.255</v>
      </c>
      <c r="M8331" s="15" t="n">
        <v>0.47</v>
      </c>
      <c r="N8331" s="9" t="s">
        <v>26</v>
      </c>
    </row>
    <row r="8332" customFormat="false" ht="14.25" hidden="false" customHeight="true" outlineLevel="0" collapsed="false">
      <c r="B8332" s="9" t="s">
        <v>28</v>
      </c>
      <c r="C8332" s="9" t="n">
        <v>1197831</v>
      </c>
      <c r="D8332" s="10" t="n">
        <v>44315</v>
      </c>
      <c r="E8332" s="9" t="s">
        <v>29</v>
      </c>
      <c r="F8332" s="9" t="s">
        <v>57</v>
      </c>
      <c r="G8332" s="9" t="s">
        <v>58</v>
      </c>
      <c r="H8332" s="11" t="s">
        <v>22</v>
      </c>
      <c r="I8332" s="12" t="n">
        <v>40</v>
      </c>
      <c r="J8332" s="13" t="n">
        <v>203</v>
      </c>
      <c r="K8332" s="14" t="n">
        <f aca="false">I8332*J8332</f>
        <v>8120</v>
      </c>
      <c r="L8332" s="14" t="n">
        <f aca="false">($L$2*M8332)/100</f>
        <v>612849.915</v>
      </c>
      <c r="M8332" s="15" t="n">
        <v>0.51</v>
      </c>
      <c r="N8332" s="9" t="s">
        <v>26</v>
      </c>
    </row>
    <row r="8333" customFormat="false" ht="14.25" hidden="false" customHeight="true" outlineLevel="0" collapsed="false">
      <c r="B8333" s="9" t="s">
        <v>28</v>
      </c>
      <c r="C8333" s="9" t="n">
        <v>1197831</v>
      </c>
      <c r="D8333" s="10" t="n">
        <v>44316</v>
      </c>
      <c r="E8333" s="9" t="s">
        <v>29</v>
      </c>
      <c r="F8333" s="9" t="s">
        <v>57</v>
      </c>
      <c r="G8333" s="9" t="s">
        <v>58</v>
      </c>
      <c r="H8333" s="11" t="s">
        <v>23</v>
      </c>
      <c r="I8333" s="12" t="n">
        <v>40</v>
      </c>
      <c r="J8333" s="13" t="n">
        <v>136</v>
      </c>
      <c r="K8333" s="14" t="n">
        <f aca="false">I8333*J8333</f>
        <v>5440</v>
      </c>
      <c r="L8333" s="14" t="n">
        <f aca="false">($L$2*M8333)/100</f>
        <v>684949.905</v>
      </c>
      <c r="M8333" s="15" t="n">
        <v>0.57</v>
      </c>
      <c r="N8333" s="9" t="s">
        <v>26</v>
      </c>
    </row>
    <row r="8334" customFormat="false" ht="14.25" hidden="false" customHeight="true" outlineLevel="0" collapsed="false">
      <c r="B8334" s="9" t="s">
        <v>28</v>
      </c>
      <c r="C8334" s="9" t="n">
        <v>1197831</v>
      </c>
      <c r="D8334" s="10" t="n">
        <v>44317</v>
      </c>
      <c r="E8334" s="9" t="s">
        <v>29</v>
      </c>
      <c r="F8334" s="9" t="s">
        <v>57</v>
      </c>
      <c r="G8334" s="9" t="s">
        <v>58</v>
      </c>
      <c r="H8334" s="11" t="s">
        <v>24</v>
      </c>
      <c r="I8334" s="12" t="n">
        <v>39</v>
      </c>
      <c r="J8334" s="13" t="n">
        <v>120</v>
      </c>
      <c r="K8334" s="14" t="n">
        <f aca="false">I8334*J8334</f>
        <v>4680</v>
      </c>
      <c r="L8334" s="14" t="n">
        <f aca="false">($L$2*M8334)/100</f>
        <v>516716.595</v>
      </c>
      <c r="M8334" s="15" t="n">
        <v>0.43</v>
      </c>
      <c r="N8334" s="9" t="s">
        <v>26</v>
      </c>
    </row>
    <row r="8335" customFormat="false" ht="14.25" hidden="false" customHeight="true" outlineLevel="0" collapsed="false">
      <c r="B8335" s="9" t="s">
        <v>28</v>
      </c>
      <c r="C8335" s="9" t="n">
        <v>1197831</v>
      </c>
      <c r="D8335" s="10" t="n">
        <v>44318</v>
      </c>
      <c r="E8335" s="9" t="s">
        <v>29</v>
      </c>
      <c r="F8335" s="9" t="s">
        <v>57</v>
      </c>
      <c r="G8335" s="9" t="s">
        <v>58</v>
      </c>
      <c r="H8335" s="11" t="s">
        <v>25</v>
      </c>
      <c r="I8335" s="12" t="n">
        <v>30</v>
      </c>
      <c r="J8335" s="13" t="n">
        <v>219</v>
      </c>
      <c r="K8335" s="14" t="n">
        <f aca="false">I8335*J8335</f>
        <v>6570</v>
      </c>
      <c r="L8335" s="14" t="n">
        <f aca="false">($L$2*M8335)/100</f>
        <v>745033.23</v>
      </c>
      <c r="M8335" s="15" t="n">
        <v>0.62</v>
      </c>
      <c r="N8335" s="9" t="s">
        <v>26</v>
      </c>
    </row>
    <row r="8336" customFormat="false" ht="14.25" hidden="false" customHeight="true" outlineLevel="0" collapsed="false">
      <c r="B8336" s="9" t="s">
        <v>28</v>
      </c>
      <c r="C8336" s="9" t="n">
        <v>1197831</v>
      </c>
      <c r="D8336" s="10" t="n">
        <v>44319</v>
      </c>
      <c r="E8336" s="9" t="s">
        <v>29</v>
      </c>
      <c r="F8336" s="9" t="s">
        <v>57</v>
      </c>
      <c r="G8336" s="9" t="s">
        <v>58</v>
      </c>
      <c r="H8336" s="11" t="s">
        <v>19</v>
      </c>
      <c r="I8336" s="12" t="n">
        <v>28</v>
      </c>
      <c r="J8336" s="13" t="n">
        <v>201</v>
      </c>
      <c r="K8336" s="14" t="n">
        <f aca="false">I8336*J8336</f>
        <v>5628</v>
      </c>
      <c r="L8336" s="14" t="n">
        <f aca="false">($L$2*M8336)/100</f>
        <v>624866.58</v>
      </c>
      <c r="M8336" s="15" t="n">
        <v>0.52</v>
      </c>
      <c r="N8336" s="9" t="s">
        <v>26</v>
      </c>
    </row>
    <row r="8337" customFormat="false" ht="14.25" hidden="false" customHeight="true" outlineLevel="0" collapsed="false">
      <c r="B8337" s="9" t="s">
        <v>28</v>
      </c>
      <c r="C8337" s="9" t="n">
        <v>1197831</v>
      </c>
      <c r="D8337" s="10" t="n">
        <v>44320</v>
      </c>
      <c r="E8337" s="9" t="s">
        <v>29</v>
      </c>
      <c r="F8337" s="9" t="s">
        <v>57</v>
      </c>
      <c r="G8337" s="9" t="s">
        <v>58</v>
      </c>
      <c r="H8337" s="11" t="s">
        <v>21</v>
      </c>
      <c r="I8337" s="12" t="n">
        <v>25</v>
      </c>
      <c r="J8337" s="13" t="n">
        <v>178</v>
      </c>
      <c r="K8337" s="14" t="n">
        <f aca="false">I8337*J8337</f>
        <v>4450</v>
      </c>
      <c r="L8337" s="14" t="n">
        <f aca="false">($L$2*M8337)/100</f>
        <v>576799.92</v>
      </c>
      <c r="M8337" s="15" t="n">
        <v>0.48</v>
      </c>
      <c r="N8337" s="9" t="s">
        <v>26</v>
      </c>
    </row>
    <row r="8338" customFormat="false" ht="14.25" hidden="false" customHeight="true" outlineLevel="0" collapsed="false">
      <c r="B8338" s="9" t="s">
        <v>28</v>
      </c>
      <c r="C8338" s="9" t="n">
        <v>1197831</v>
      </c>
      <c r="D8338" s="10" t="n">
        <v>44321</v>
      </c>
      <c r="E8338" s="9" t="s">
        <v>29</v>
      </c>
      <c r="F8338" s="9" t="s">
        <v>57</v>
      </c>
      <c r="G8338" s="9" t="s">
        <v>58</v>
      </c>
      <c r="H8338" s="11" t="s">
        <v>22</v>
      </c>
      <c r="I8338" s="12" t="n">
        <v>27</v>
      </c>
      <c r="J8338" s="13" t="n">
        <v>163</v>
      </c>
      <c r="K8338" s="14" t="n">
        <f aca="false">I8338*J8338</f>
        <v>4401</v>
      </c>
      <c r="L8338" s="14" t="n">
        <f aca="false">($L$2*M8338)/100</f>
        <v>576799.92</v>
      </c>
      <c r="M8338" s="15" t="n">
        <v>0.48</v>
      </c>
      <c r="N8338" s="9" t="s">
        <v>26</v>
      </c>
    </row>
    <row r="8339" customFormat="false" ht="14.25" hidden="false" customHeight="true" outlineLevel="0" collapsed="false">
      <c r="B8339" s="9" t="s">
        <v>28</v>
      </c>
      <c r="C8339" s="9" t="n">
        <v>1197831</v>
      </c>
      <c r="D8339" s="10" t="n">
        <v>44322</v>
      </c>
      <c r="E8339" s="9" t="s">
        <v>29</v>
      </c>
      <c r="F8339" s="9" t="s">
        <v>57</v>
      </c>
      <c r="G8339" s="9" t="s">
        <v>58</v>
      </c>
      <c r="H8339" s="11" t="s">
        <v>23</v>
      </c>
      <c r="I8339" s="12" t="n">
        <v>30</v>
      </c>
      <c r="J8339" s="13" t="n">
        <v>131</v>
      </c>
      <c r="K8339" s="14" t="n">
        <f aca="false">I8339*J8339</f>
        <v>3930</v>
      </c>
      <c r="L8339" s="14" t="n">
        <f aca="false">($L$2*M8339)/100</f>
        <v>720999.9</v>
      </c>
      <c r="M8339" s="15" t="n">
        <v>0.6</v>
      </c>
      <c r="N8339" s="9" t="s">
        <v>26</v>
      </c>
    </row>
    <row r="8340" customFormat="false" ht="14.25" hidden="false" customHeight="true" outlineLevel="0" collapsed="false">
      <c r="B8340" s="9" t="s">
        <v>28</v>
      </c>
      <c r="C8340" s="9" t="n">
        <v>1197831</v>
      </c>
      <c r="D8340" s="10" t="n">
        <v>44323</v>
      </c>
      <c r="E8340" s="9" t="s">
        <v>29</v>
      </c>
      <c r="F8340" s="9" t="s">
        <v>57</v>
      </c>
      <c r="G8340" s="9" t="s">
        <v>58</v>
      </c>
      <c r="H8340" s="11" t="s">
        <v>24</v>
      </c>
      <c r="I8340" s="12" t="n">
        <v>28</v>
      </c>
      <c r="J8340" s="13" t="n">
        <v>109</v>
      </c>
      <c r="K8340" s="14" t="n">
        <f aca="false">I8340*J8340</f>
        <v>3052</v>
      </c>
      <c r="L8340" s="14" t="n">
        <f aca="false">($L$2*M8340)/100</f>
        <v>528733.26</v>
      </c>
      <c r="M8340" s="15" t="n">
        <v>0.44</v>
      </c>
      <c r="N8340" s="9" t="s">
        <v>26</v>
      </c>
    </row>
    <row r="8341" customFormat="false" ht="14.25" hidden="false" customHeight="true" outlineLevel="0" collapsed="false">
      <c r="B8341" s="9" t="s">
        <v>28</v>
      </c>
      <c r="C8341" s="9" t="n">
        <v>1197831</v>
      </c>
      <c r="D8341" s="10" t="n">
        <v>44324</v>
      </c>
      <c r="E8341" s="9" t="s">
        <v>29</v>
      </c>
      <c r="F8341" s="9" t="s">
        <v>57</v>
      </c>
      <c r="G8341" s="9" t="s">
        <v>58</v>
      </c>
      <c r="H8341" s="11" t="s">
        <v>25</v>
      </c>
      <c r="I8341" s="12" t="n">
        <v>29</v>
      </c>
      <c r="J8341" s="13" t="n">
        <v>179</v>
      </c>
      <c r="K8341" s="14" t="n">
        <f aca="false">I8341*J8341</f>
        <v>5191</v>
      </c>
      <c r="L8341" s="14" t="n">
        <f aca="false">($L$2*M8341)/100</f>
        <v>805116.555</v>
      </c>
      <c r="M8341" s="15" t="n">
        <v>0.67</v>
      </c>
      <c r="N8341" s="9" t="s">
        <v>26</v>
      </c>
    </row>
    <row r="8342" customFormat="false" ht="14.25" hidden="false" customHeight="true" outlineLevel="0" collapsed="false">
      <c r="B8342" s="9" t="s">
        <v>28</v>
      </c>
      <c r="C8342" s="9" t="n">
        <v>1197831</v>
      </c>
      <c r="D8342" s="10" t="n">
        <v>44325</v>
      </c>
      <c r="E8342" s="9" t="s">
        <v>29</v>
      </c>
      <c r="F8342" s="9" t="s">
        <v>57</v>
      </c>
      <c r="G8342" s="9" t="s">
        <v>58</v>
      </c>
      <c r="H8342" s="11" t="s">
        <v>19</v>
      </c>
      <c r="I8342" s="12" t="n">
        <v>24</v>
      </c>
      <c r="J8342" s="13" t="n">
        <v>203</v>
      </c>
      <c r="K8342" s="14" t="n">
        <f aca="false">I8342*J8342</f>
        <v>4872</v>
      </c>
      <c r="L8342" s="14" t="n">
        <f aca="false">($L$2*M8342)/100</f>
        <v>576799.92</v>
      </c>
      <c r="M8342" s="15" t="n">
        <v>0.48</v>
      </c>
      <c r="N8342" s="9" t="s">
        <v>26</v>
      </c>
    </row>
    <row r="8343" customFormat="false" ht="14.25" hidden="false" customHeight="true" outlineLevel="0" collapsed="false">
      <c r="B8343" s="9" t="s">
        <v>28</v>
      </c>
      <c r="C8343" s="9" t="n">
        <v>1197831</v>
      </c>
      <c r="D8343" s="10" t="n">
        <v>44326</v>
      </c>
      <c r="E8343" s="9" t="s">
        <v>29</v>
      </c>
      <c r="F8343" s="9" t="s">
        <v>57</v>
      </c>
      <c r="G8343" s="9" t="s">
        <v>58</v>
      </c>
      <c r="H8343" s="11" t="s">
        <v>21</v>
      </c>
      <c r="I8343" s="12" t="n">
        <v>21</v>
      </c>
      <c r="J8343" s="13" t="n">
        <v>223</v>
      </c>
      <c r="K8343" s="14" t="n">
        <f aca="false">I8343*J8343</f>
        <v>4683</v>
      </c>
      <c r="L8343" s="14" t="n">
        <f aca="false">($L$2*M8343)/100</f>
        <v>588816.585</v>
      </c>
      <c r="M8343" s="15" t="n">
        <v>0.49</v>
      </c>
      <c r="N8343" s="9" t="s">
        <v>26</v>
      </c>
    </row>
    <row r="8344" customFormat="false" ht="14.25" hidden="false" customHeight="true" outlineLevel="0" collapsed="false">
      <c r="B8344" s="9" t="s">
        <v>28</v>
      </c>
      <c r="C8344" s="9" t="n">
        <v>1197831</v>
      </c>
      <c r="D8344" s="10" t="n">
        <v>44327</v>
      </c>
      <c r="E8344" s="9" t="s">
        <v>29</v>
      </c>
      <c r="F8344" s="9" t="s">
        <v>57</v>
      </c>
      <c r="G8344" s="9" t="s">
        <v>58</v>
      </c>
      <c r="H8344" s="11" t="s">
        <v>22</v>
      </c>
      <c r="I8344" s="12" t="n">
        <v>37</v>
      </c>
      <c r="J8344" s="13" t="n">
        <v>204</v>
      </c>
      <c r="K8344" s="14" t="n">
        <f aca="false">I8344*J8344</f>
        <v>7548</v>
      </c>
      <c r="L8344" s="14" t="n">
        <f aca="false">($L$2*M8344)/100</f>
        <v>564783.255</v>
      </c>
      <c r="M8344" s="15" t="n">
        <v>0.47</v>
      </c>
      <c r="N8344" s="9" t="s">
        <v>26</v>
      </c>
    </row>
    <row r="8345" customFormat="false" ht="14.25" hidden="false" customHeight="true" outlineLevel="0" collapsed="false">
      <c r="B8345" s="9" t="s">
        <v>28</v>
      </c>
      <c r="C8345" s="9" t="n">
        <v>1197831</v>
      </c>
      <c r="D8345" s="10" t="n">
        <v>44328</v>
      </c>
      <c r="E8345" s="9" t="s">
        <v>29</v>
      </c>
      <c r="F8345" s="9" t="s">
        <v>57</v>
      </c>
      <c r="G8345" s="9" t="s">
        <v>58</v>
      </c>
      <c r="H8345" s="11" t="s">
        <v>23</v>
      </c>
      <c r="I8345" s="12" t="n">
        <v>38</v>
      </c>
      <c r="J8345" s="13" t="n">
        <v>157</v>
      </c>
      <c r="K8345" s="14" t="n">
        <f aca="false">I8345*J8345</f>
        <v>5966</v>
      </c>
      <c r="L8345" s="14" t="n">
        <f aca="false">($L$2*M8345)/100</f>
        <v>745033.23</v>
      </c>
      <c r="M8345" s="15" t="n">
        <v>0.62</v>
      </c>
      <c r="N8345" s="9" t="s">
        <v>26</v>
      </c>
    </row>
    <row r="8346" customFormat="false" ht="14.25" hidden="false" customHeight="true" outlineLevel="0" collapsed="false">
      <c r="B8346" s="9" t="s">
        <v>28</v>
      </c>
      <c r="C8346" s="9" t="n">
        <v>1197831</v>
      </c>
      <c r="D8346" s="10" t="n">
        <v>44329</v>
      </c>
      <c r="E8346" s="9" t="s">
        <v>29</v>
      </c>
      <c r="F8346" s="9" t="s">
        <v>57</v>
      </c>
      <c r="G8346" s="9" t="s">
        <v>58</v>
      </c>
      <c r="H8346" s="11" t="s">
        <v>24</v>
      </c>
      <c r="I8346" s="12" t="n">
        <v>43</v>
      </c>
      <c r="J8346" s="13" t="n">
        <v>140</v>
      </c>
      <c r="K8346" s="14" t="n">
        <f aca="false">I8346*J8346</f>
        <v>6020</v>
      </c>
      <c r="L8346" s="14" t="n">
        <f aca="false">($L$2*M8346)/100</f>
        <v>552766.59</v>
      </c>
      <c r="M8346" s="15" t="n">
        <v>0.46</v>
      </c>
      <c r="N8346" s="9" t="s">
        <v>26</v>
      </c>
    </row>
    <row r="8347" customFormat="false" ht="14.25" hidden="false" customHeight="true" outlineLevel="0" collapsed="false">
      <c r="B8347" s="9" t="s">
        <v>28</v>
      </c>
      <c r="C8347" s="9" t="n">
        <v>1197831</v>
      </c>
      <c r="D8347" s="10" t="n">
        <v>44330</v>
      </c>
      <c r="E8347" s="9" t="s">
        <v>29</v>
      </c>
      <c r="F8347" s="9" t="s">
        <v>57</v>
      </c>
      <c r="G8347" s="9" t="s">
        <v>58</v>
      </c>
      <c r="H8347" s="11" t="s">
        <v>25</v>
      </c>
      <c r="I8347" s="12" t="n">
        <v>43</v>
      </c>
      <c r="J8347" s="13" t="n">
        <v>202</v>
      </c>
      <c r="K8347" s="14" t="n">
        <f aca="false">I8347*J8347</f>
        <v>8686</v>
      </c>
      <c r="L8347" s="14" t="n">
        <f aca="false">($L$2*M8347)/100</f>
        <v>793099.89</v>
      </c>
      <c r="M8347" s="15" t="n">
        <v>0.66</v>
      </c>
      <c r="N8347" s="9" t="s">
        <v>26</v>
      </c>
    </row>
    <row r="8348" customFormat="false" ht="14.25" hidden="false" customHeight="true" outlineLevel="0" collapsed="false">
      <c r="B8348" s="9" t="s">
        <v>28</v>
      </c>
      <c r="C8348" s="9" t="n">
        <v>1197831</v>
      </c>
      <c r="D8348" s="10" t="n">
        <v>44331</v>
      </c>
      <c r="E8348" s="9" t="s">
        <v>29</v>
      </c>
      <c r="F8348" s="9" t="s">
        <v>57</v>
      </c>
      <c r="G8348" s="9" t="s">
        <v>58</v>
      </c>
      <c r="H8348" s="11" t="s">
        <v>19</v>
      </c>
      <c r="I8348" s="12" t="n">
        <v>39</v>
      </c>
      <c r="J8348" s="13" t="n">
        <v>248</v>
      </c>
      <c r="K8348" s="14" t="n">
        <f aca="false">I8348*J8348</f>
        <v>9672</v>
      </c>
      <c r="L8348" s="14" t="n">
        <f aca="false">($L$2*M8348)/100</f>
        <v>576799.92</v>
      </c>
      <c r="M8348" s="15" t="n">
        <v>0.48</v>
      </c>
      <c r="N8348" s="9" t="s">
        <v>26</v>
      </c>
    </row>
    <row r="8349" customFormat="false" ht="14.25" hidden="false" customHeight="true" outlineLevel="0" collapsed="false">
      <c r="B8349" s="9" t="s">
        <v>28</v>
      </c>
      <c r="C8349" s="9" t="n">
        <v>1197831</v>
      </c>
      <c r="D8349" s="10" t="n">
        <v>44332</v>
      </c>
      <c r="E8349" s="9" t="s">
        <v>29</v>
      </c>
      <c r="F8349" s="9" t="s">
        <v>57</v>
      </c>
      <c r="G8349" s="9" t="s">
        <v>58</v>
      </c>
      <c r="H8349" s="11" t="s">
        <v>21</v>
      </c>
      <c r="I8349" s="12" t="n">
        <v>37</v>
      </c>
      <c r="J8349" s="13" t="n">
        <v>264</v>
      </c>
      <c r="K8349" s="14" t="n">
        <f aca="false">I8349*J8349</f>
        <v>9768</v>
      </c>
      <c r="L8349" s="14" t="n">
        <f aca="false">($L$2*M8349)/100</f>
        <v>588816.585</v>
      </c>
      <c r="M8349" s="15" t="n">
        <v>0.49</v>
      </c>
      <c r="N8349" s="9" t="s">
        <v>26</v>
      </c>
    </row>
    <row r="8350" customFormat="false" ht="14.25" hidden="false" customHeight="true" outlineLevel="0" collapsed="false">
      <c r="B8350" s="9" t="s">
        <v>28</v>
      </c>
      <c r="C8350" s="9" t="n">
        <v>1197831</v>
      </c>
      <c r="D8350" s="10" t="n">
        <v>44333</v>
      </c>
      <c r="E8350" s="9" t="s">
        <v>29</v>
      </c>
      <c r="F8350" s="9" t="s">
        <v>57</v>
      </c>
      <c r="G8350" s="9" t="s">
        <v>58</v>
      </c>
      <c r="H8350" s="11" t="s">
        <v>22</v>
      </c>
      <c r="I8350" s="12" t="n">
        <v>44</v>
      </c>
      <c r="J8350" s="13" t="n">
        <v>210</v>
      </c>
      <c r="K8350" s="14" t="n">
        <f aca="false">I8350*J8350</f>
        <v>9240</v>
      </c>
      <c r="L8350" s="14" t="n">
        <f aca="false">($L$2*M8350)/100</f>
        <v>612849.915</v>
      </c>
      <c r="M8350" s="15" t="n">
        <v>0.51</v>
      </c>
      <c r="N8350" s="9" t="s">
        <v>26</v>
      </c>
    </row>
    <row r="8351" customFormat="false" ht="14.25" hidden="false" customHeight="true" outlineLevel="0" collapsed="false">
      <c r="B8351" s="9" t="s">
        <v>28</v>
      </c>
      <c r="C8351" s="9" t="n">
        <v>1197831</v>
      </c>
      <c r="D8351" s="10" t="n">
        <v>44334</v>
      </c>
      <c r="E8351" s="9" t="s">
        <v>29</v>
      </c>
      <c r="F8351" s="9" t="s">
        <v>57</v>
      </c>
      <c r="G8351" s="9" t="s">
        <v>58</v>
      </c>
      <c r="H8351" s="11" t="s">
        <v>23</v>
      </c>
      <c r="I8351" s="12" t="n">
        <v>44</v>
      </c>
      <c r="J8351" s="13" t="n">
        <v>176</v>
      </c>
      <c r="K8351" s="14" t="n">
        <f aca="false">I8351*J8351</f>
        <v>7744</v>
      </c>
      <c r="L8351" s="14" t="n">
        <f aca="false">($L$2*M8351)/100</f>
        <v>720999.9</v>
      </c>
      <c r="M8351" s="15" t="n">
        <v>0.6</v>
      </c>
      <c r="N8351" s="9" t="s">
        <v>26</v>
      </c>
    </row>
    <row r="8352" customFormat="false" ht="14.25" hidden="false" customHeight="true" outlineLevel="0" collapsed="false">
      <c r="B8352" s="9" t="s">
        <v>28</v>
      </c>
      <c r="C8352" s="9" t="n">
        <v>1197831</v>
      </c>
      <c r="D8352" s="10" t="n">
        <v>44335</v>
      </c>
      <c r="E8352" s="9" t="s">
        <v>29</v>
      </c>
      <c r="F8352" s="9" t="s">
        <v>57</v>
      </c>
      <c r="G8352" s="9" t="s">
        <v>58</v>
      </c>
      <c r="H8352" s="11" t="s">
        <v>24</v>
      </c>
      <c r="I8352" s="12" t="n">
        <v>38</v>
      </c>
      <c r="J8352" s="13" t="n">
        <v>160</v>
      </c>
      <c r="K8352" s="14" t="n">
        <f aca="false">I8352*J8352</f>
        <v>6080</v>
      </c>
      <c r="L8352" s="14" t="n">
        <f aca="false">($L$2*M8352)/100</f>
        <v>564783.255</v>
      </c>
      <c r="M8352" s="15" t="n">
        <v>0.47</v>
      </c>
      <c r="N8352" s="9" t="s">
        <v>26</v>
      </c>
    </row>
    <row r="8353" customFormat="false" ht="14.25" hidden="false" customHeight="true" outlineLevel="0" collapsed="false">
      <c r="B8353" s="9" t="s">
        <v>28</v>
      </c>
      <c r="C8353" s="9" t="n">
        <v>1197831</v>
      </c>
      <c r="D8353" s="10" t="n">
        <v>44336</v>
      </c>
      <c r="E8353" s="9" t="s">
        <v>29</v>
      </c>
      <c r="F8353" s="9" t="s">
        <v>57</v>
      </c>
      <c r="G8353" s="9" t="s">
        <v>58</v>
      </c>
      <c r="H8353" s="11" t="s">
        <v>25</v>
      </c>
      <c r="I8353" s="12" t="n">
        <v>49</v>
      </c>
      <c r="J8353" s="13" t="n">
        <v>225</v>
      </c>
      <c r="K8353" s="14" t="n">
        <f aca="false">I8353*J8353</f>
        <v>11025</v>
      </c>
      <c r="L8353" s="14" t="n">
        <f aca="false">($L$2*M8353)/100</f>
        <v>757049.895</v>
      </c>
      <c r="M8353" s="15" t="n">
        <v>0.63</v>
      </c>
      <c r="N8353" s="9" t="s">
        <v>26</v>
      </c>
    </row>
    <row r="8354" customFormat="false" ht="14.25" hidden="false" customHeight="true" outlineLevel="0" collapsed="false">
      <c r="B8354" s="9" t="s">
        <v>16</v>
      </c>
      <c r="C8354" s="9" t="n">
        <v>1185732</v>
      </c>
      <c r="D8354" s="10" t="n">
        <v>44337</v>
      </c>
      <c r="E8354" s="9" t="s">
        <v>29</v>
      </c>
      <c r="F8354" s="9" t="s">
        <v>57</v>
      </c>
      <c r="G8354" s="9" t="s">
        <v>58</v>
      </c>
      <c r="H8354" s="11" t="s">
        <v>19</v>
      </c>
      <c r="I8354" s="12" t="n">
        <v>27</v>
      </c>
      <c r="J8354" s="13" t="n">
        <v>140</v>
      </c>
      <c r="K8354" s="14" t="n">
        <f aca="false">I8354*J8354</f>
        <v>3780</v>
      </c>
      <c r="L8354" s="14" t="n">
        <f aca="false">($L$2*M8354)/100</f>
        <v>528733.26</v>
      </c>
      <c r="M8354" s="15" t="n">
        <v>0.44</v>
      </c>
      <c r="N8354" s="9" t="s">
        <v>26</v>
      </c>
    </row>
    <row r="8355" customFormat="false" ht="14.25" hidden="false" customHeight="true" outlineLevel="0" collapsed="false">
      <c r="B8355" s="9" t="s">
        <v>16</v>
      </c>
      <c r="C8355" s="9" t="n">
        <v>1185732</v>
      </c>
      <c r="D8355" s="10" t="n">
        <v>44338</v>
      </c>
      <c r="E8355" s="9" t="s">
        <v>29</v>
      </c>
      <c r="F8355" s="9" t="s">
        <v>57</v>
      </c>
      <c r="G8355" s="9" t="s">
        <v>58</v>
      </c>
      <c r="H8355" s="11" t="s">
        <v>21</v>
      </c>
      <c r="I8355" s="12" t="n">
        <v>23</v>
      </c>
      <c r="J8355" s="13" t="n">
        <v>70</v>
      </c>
      <c r="K8355" s="14" t="n">
        <f aca="false">I8355*J8355</f>
        <v>1610</v>
      </c>
      <c r="L8355" s="14" t="n">
        <f aca="false">($L$2*M8355)/100</f>
        <v>492683.265</v>
      </c>
      <c r="M8355" s="15" t="n">
        <v>0.41</v>
      </c>
      <c r="N8355" s="9" t="s">
        <v>26</v>
      </c>
    </row>
    <row r="8356" customFormat="false" ht="14.25" hidden="false" customHeight="true" outlineLevel="0" collapsed="false">
      <c r="B8356" s="9" t="s">
        <v>16</v>
      </c>
      <c r="C8356" s="9" t="n">
        <v>1185732</v>
      </c>
      <c r="D8356" s="10" t="n">
        <v>44339</v>
      </c>
      <c r="E8356" s="9" t="s">
        <v>29</v>
      </c>
      <c r="F8356" s="9" t="s">
        <v>57</v>
      </c>
      <c r="G8356" s="9" t="s">
        <v>58</v>
      </c>
      <c r="H8356" s="11" t="s">
        <v>22</v>
      </c>
      <c r="I8356" s="12" t="n">
        <v>19</v>
      </c>
      <c r="J8356" s="13" t="n">
        <v>74</v>
      </c>
      <c r="K8356" s="14" t="n">
        <f aca="false">I8356*J8356</f>
        <v>1406</v>
      </c>
      <c r="L8356" s="14" t="n">
        <f aca="false">($L$2*M8356)/100</f>
        <v>468649.935</v>
      </c>
      <c r="M8356" s="15" t="n">
        <v>0.39</v>
      </c>
      <c r="N8356" s="9" t="s">
        <v>26</v>
      </c>
    </row>
    <row r="8357" customFormat="false" ht="14.25" hidden="false" customHeight="true" outlineLevel="0" collapsed="false">
      <c r="B8357" s="9" t="s">
        <v>16</v>
      </c>
      <c r="C8357" s="9" t="n">
        <v>1185732</v>
      </c>
      <c r="D8357" s="10" t="n">
        <v>44340</v>
      </c>
      <c r="E8357" s="9" t="s">
        <v>29</v>
      </c>
      <c r="F8357" s="9" t="s">
        <v>57</v>
      </c>
      <c r="G8357" s="9" t="s">
        <v>58</v>
      </c>
      <c r="H8357" s="11" t="s">
        <v>23</v>
      </c>
      <c r="I8357" s="12" t="n">
        <v>22</v>
      </c>
      <c r="J8357" s="13" t="n">
        <v>23</v>
      </c>
      <c r="K8357" s="14" t="n">
        <f aca="false">I8357*J8357</f>
        <v>506</v>
      </c>
      <c r="L8357" s="14" t="n">
        <f aca="false">($L$2*M8357)/100</f>
        <v>516716.595</v>
      </c>
      <c r="M8357" s="15" t="n">
        <v>0.43</v>
      </c>
      <c r="N8357" s="9" t="s">
        <v>26</v>
      </c>
    </row>
    <row r="8358" customFormat="false" ht="14.25" hidden="false" customHeight="true" outlineLevel="0" collapsed="false">
      <c r="B8358" s="9" t="s">
        <v>28</v>
      </c>
      <c r="C8358" s="9" t="n">
        <v>1197831</v>
      </c>
      <c r="D8358" s="10" t="n">
        <v>44413</v>
      </c>
      <c r="E8358" s="9" t="s">
        <v>29</v>
      </c>
      <c r="F8358" s="9" t="s">
        <v>61</v>
      </c>
      <c r="G8358" s="9" t="s">
        <v>62</v>
      </c>
      <c r="H8358" s="11" t="s">
        <v>24</v>
      </c>
      <c r="I8358" s="12" t="n">
        <v>31</v>
      </c>
      <c r="J8358" s="13" t="n">
        <v>114</v>
      </c>
      <c r="K8358" s="14" t="n">
        <f aca="false">I8358*J8358</f>
        <v>3534</v>
      </c>
      <c r="L8358" s="14" t="n">
        <f aca="false">($L$2*M8358)/100</f>
        <v>492683.265</v>
      </c>
      <c r="M8358" s="15" t="n">
        <v>0.41</v>
      </c>
      <c r="N8358" s="9" t="s">
        <v>26</v>
      </c>
    </row>
    <row r="8359" customFormat="false" ht="14.25" hidden="false" customHeight="true" outlineLevel="0" collapsed="false">
      <c r="B8359" s="9" t="s">
        <v>28</v>
      </c>
      <c r="C8359" s="9" t="n">
        <v>1197831</v>
      </c>
      <c r="D8359" s="10" t="n">
        <v>44414</v>
      </c>
      <c r="E8359" s="9" t="s">
        <v>29</v>
      </c>
      <c r="F8359" s="9" t="s">
        <v>61</v>
      </c>
      <c r="G8359" s="9" t="s">
        <v>62</v>
      </c>
      <c r="H8359" s="11" t="s">
        <v>25</v>
      </c>
      <c r="I8359" s="12" t="n">
        <v>24</v>
      </c>
      <c r="J8359" s="13" t="n">
        <v>152</v>
      </c>
      <c r="K8359" s="14" t="n">
        <f aca="false">I8359*J8359</f>
        <v>3648</v>
      </c>
      <c r="L8359" s="14" t="n">
        <f aca="false">($L$2*M8359)/100</f>
        <v>708983.235</v>
      </c>
      <c r="M8359" s="15" t="n">
        <v>0.59</v>
      </c>
      <c r="N8359" s="9" t="s">
        <v>26</v>
      </c>
    </row>
    <row r="8360" customFormat="false" ht="14.25" hidden="false" customHeight="true" outlineLevel="0" collapsed="false">
      <c r="B8360" s="9" t="s">
        <v>28</v>
      </c>
      <c r="C8360" s="9" t="n">
        <v>1197831</v>
      </c>
      <c r="D8360" s="10" t="n">
        <v>44415</v>
      </c>
      <c r="E8360" s="9" t="s">
        <v>29</v>
      </c>
      <c r="F8360" s="9" t="s">
        <v>61</v>
      </c>
      <c r="G8360" s="9" t="s">
        <v>62</v>
      </c>
      <c r="H8360" s="11" t="s">
        <v>19</v>
      </c>
      <c r="I8360" s="12" t="n">
        <v>16</v>
      </c>
      <c r="J8360" s="13" t="n">
        <v>206</v>
      </c>
      <c r="K8360" s="14" t="n">
        <f aca="false">I8360*J8360</f>
        <v>3296</v>
      </c>
      <c r="L8360" s="14" t="n">
        <f aca="false">($L$2*M8360)/100</f>
        <v>564783.255</v>
      </c>
      <c r="M8360" s="15" t="n">
        <v>0.47</v>
      </c>
      <c r="N8360" s="9" t="s">
        <v>26</v>
      </c>
    </row>
    <row r="8361" customFormat="false" ht="14.25" hidden="false" customHeight="true" outlineLevel="0" collapsed="false">
      <c r="B8361" s="9" t="s">
        <v>28</v>
      </c>
      <c r="C8361" s="9" t="n">
        <v>1197831</v>
      </c>
      <c r="D8361" s="10" t="n">
        <v>44416</v>
      </c>
      <c r="E8361" s="9" t="s">
        <v>29</v>
      </c>
      <c r="F8361" s="9" t="s">
        <v>61</v>
      </c>
      <c r="G8361" s="9" t="s">
        <v>62</v>
      </c>
      <c r="H8361" s="11" t="s">
        <v>21</v>
      </c>
      <c r="I8361" s="12" t="n">
        <v>26</v>
      </c>
      <c r="J8361" s="13" t="n">
        <v>192</v>
      </c>
      <c r="K8361" s="14" t="n">
        <f aca="false">I8361*J8361</f>
        <v>4992</v>
      </c>
      <c r="L8361" s="14" t="n">
        <f aca="false">($L$2*M8361)/100</f>
        <v>504699.93</v>
      </c>
      <c r="M8361" s="15" t="n">
        <v>0.42</v>
      </c>
      <c r="N8361" s="9" t="s">
        <v>26</v>
      </c>
    </row>
    <row r="8362" customFormat="false" ht="14.25" hidden="false" customHeight="true" outlineLevel="0" collapsed="false">
      <c r="B8362" s="9" t="s">
        <v>28</v>
      </c>
      <c r="C8362" s="9" t="n">
        <v>1197831</v>
      </c>
      <c r="D8362" s="10" t="n">
        <v>44417</v>
      </c>
      <c r="E8362" s="9" t="s">
        <v>29</v>
      </c>
      <c r="F8362" s="9" t="s">
        <v>61</v>
      </c>
      <c r="G8362" s="9" t="s">
        <v>62</v>
      </c>
      <c r="H8362" s="11" t="s">
        <v>22</v>
      </c>
      <c r="I8362" s="12" t="n">
        <v>26</v>
      </c>
      <c r="J8362" s="13" t="n">
        <v>136</v>
      </c>
      <c r="K8362" s="14" t="n">
        <f aca="false">I8362*J8362</f>
        <v>3536</v>
      </c>
      <c r="L8362" s="14" t="n">
        <f aca="false">($L$2*M8362)/100</f>
        <v>528733.26</v>
      </c>
      <c r="M8362" s="15" t="n">
        <v>0.44</v>
      </c>
      <c r="N8362" s="9" t="s">
        <v>26</v>
      </c>
    </row>
    <row r="8363" customFormat="false" ht="14.25" hidden="false" customHeight="true" outlineLevel="0" collapsed="false">
      <c r="B8363" s="9" t="s">
        <v>28</v>
      </c>
      <c r="C8363" s="9" t="n">
        <v>1197831</v>
      </c>
      <c r="D8363" s="10" t="n">
        <v>44418</v>
      </c>
      <c r="E8363" s="9" t="s">
        <v>29</v>
      </c>
      <c r="F8363" s="9" t="s">
        <v>61</v>
      </c>
      <c r="G8363" s="9" t="s">
        <v>62</v>
      </c>
      <c r="H8363" s="11" t="s">
        <v>23</v>
      </c>
      <c r="I8363" s="12" t="n">
        <v>24</v>
      </c>
      <c r="J8363" s="13" t="n">
        <v>113</v>
      </c>
      <c r="K8363" s="14" t="n">
        <f aca="false">I8363*J8363</f>
        <v>2712</v>
      </c>
      <c r="L8363" s="14" t="n">
        <f aca="false">($L$2*M8363)/100</f>
        <v>648899.91</v>
      </c>
      <c r="M8363" s="15" t="n">
        <v>0.54</v>
      </c>
      <c r="N8363" s="9" t="s">
        <v>26</v>
      </c>
    </row>
    <row r="8364" customFormat="false" ht="14.25" hidden="false" customHeight="true" outlineLevel="0" collapsed="false">
      <c r="B8364" s="9" t="s">
        <v>28</v>
      </c>
      <c r="C8364" s="9" t="n">
        <v>1197831</v>
      </c>
      <c r="D8364" s="10" t="n">
        <v>44419</v>
      </c>
      <c r="E8364" s="9" t="s">
        <v>29</v>
      </c>
      <c r="F8364" s="9" t="s">
        <v>61</v>
      </c>
      <c r="G8364" s="9" t="s">
        <v>62</v>
      </c>
      <c r="H8364" s="11" t="s">
        <v>24</v>
      </c>
      <c r="I8364" s="12" t="n">
        <v>29</v>
      </c>
      <c r="J8364" s="13" t="n">
        <v>85</v>
      </c>
      <c r="K8364" s="14" t="n">
        <f aca="false">I8364*J8364</f>
        <v>2465</v>
      </c>
      <c r="L8364" s="14" t="n">
        <f aca="false">($L$2*M8364)/100</f>
        <v>468649.935</v>
      </c>
      <c r="M8364" s="15" t="n">
        <v>0.39</v>
      </c>
      <c r="N8364" s="9" t="s">
        <v>26</v>
      </c>
    </row>
    <row r="8365" customFormat="false" ht="14.25" hidden="false" customHeight="true" outlineLevel="0" collapsed="false">
      <c r="B8365" s="9" t="s">
        <v>28</v>
      </c>
      <c r="C8365" s="9" t="n">
        <v>1197831</v>
      </c>
      <c r="D8365" s="10" t="n">
        <v>44420</v>
      </c>
      <c r="E8365" s="9" t="s">
        <v>29</v>
      </c>
      <c r="F8365" s="9" t="s">
        <v>61</v>
      </c>
      <c r="G8365" s="9" t="s">
        <v>62</v>
      </c>
      <c r="H8365" s="11" t="s">
        <v>25</v>
      </c>
      <c r="I8365" s="12" t="n">
        <v>27</v>
      </c>
      <c r="J8365" s="13" t="n">
        <v>144</v>
      </c>
      <c r="K8365" s="14" t="n">
        <f aca="false">I8365*J8365</f>
        <v>3888</v>
      </c>
      <c r="L8365" s="14" t="n">
        <f aca="false">($L$2*M8365)/100</f>
        <v>684949.905</v>
      </c>
      <c r="M8365" s="15" t="n">
        <v>0.57</v>
      </c>
      <c r="N8365" s="9" t="s">
        <v>26</v>
      </c>
    </row>
    <row r="8366" customFormat="false" ht="14.25" hidden="false" customHeight="true" outlineLevel="0" collapsed="false">
      <c r="B8366" s="9" t="s">
        <v>28</v>
      </c>
      <c r="C8366" s="9" t="n">
        <v>1197831</v>
      </c>
      <c r="D8366" s="10" t="n">
        <v>44421</v>
      </c>
      <c r="E8366" s="9" t="s">
        <v>29</v>
      </c>
      <c r="F8366" s="9" t="s">
        <v>61</v>
      </c>
      <c r="G8366" s="9" t="s">
        <v>62</v>
      </c>
      <c r="H8366" s="11" t="s">
        <v>19</v>
      </c>
      <c r="I8366" s="12" t="n">
        <v>23</v>
      </c>
      <c r="J8366" s="13" t="n">
        <v>194</v>
      </c>
      <c r="K8366" s="14" t="n">
        <f aca="false">I8366*J8366</f>
        <v>4462</v>
      </c>
      <c r="L8366" s="14" t="n">
        <f aca="false">($L$2*M8366)/100</f>
        <v>588816.585</v>
      </c>
      <c r="M8366" s="15" t="n">
        <v>0.49</v>
      </c>
      <c r="N8366" s="9" t="s">
        <v>26</v>
      </c>
    </row>
    <row r="8367" customFormat="false" ht="14.25" hidden="false" customHeight="true" outlineLevel="0" collapsed="false">
      <c r="B8367" s="9" t="s">
        <v>28</v>
      </c>
      <c r="C8367" s="9" t="n">
        <v>1197831</v>
      </c>
      <c r="D8367" s="10" t="n">
        <v>44422</v>
      </c>
      <c r="E8367" s="9" t="s">
        <v>29</v>
      </c>
      <c r="F8367" s="9" t="s">
        <v>61</v>
      </c>
      <c r="G8367" s="9" t="s">
        <v>62</v>
      </c>
      <c r="H8367" s="11" t="s">
        <v>21</v>
      </c>
      <c r="I8367" s="12" t="n">
        <v>32</v>
      </c>
      <c r="J8367" s="13" t="n">
        <v>194</v>
      </c>
      <c r="K8367" s="14" t="n">
        <f aca="false">I8367*J8367</f>
        <v>6208</v>
      </c>
      <c r="L8367" s="14" t="n">
        <f aca="false">($L$2*M8367)/100</f>
        <v>564783.255</v>
      </c>
      <c r="M8367" s="15" t="n">
        <v>0.47</v>
      </c>
      <c r="N8367" s="9" t="s">
        <v>26</v>
      </c>
    </row>
    <row r="8368" customFormat="false" ht="14.25" hidden="false" customHeight="true" outlineLevel="0" collapsed="false">
      <c r="B8368" s="9" t="s">
        <v>28</v>
      </c>
      <c r="C8368" s="9" t="n">
        <v>1197831</v>
      </c>
      <c r="D8368" s="10" t="n">
        <v>44423</v>
      </c>
      <c r="E8368" s="9" t="s">
        <v>29</v>
      </c>
      <c r="F8368" s="9" t="s">
        <v>61</v>
      </c>
      <c r="G8368" s="9" t="s">
        <v>62</v>
      </c>
      <c r="H8368" s="11" t="s">
        <v>22</v>
      </c>
      <c r="I8368" s="12" t="n">
        <v>20</v>
      </c>
      <c r="J8368" s="13" t="n">
        <v>144</v>
      </c>
      <c r="K8368" s="14" t="n">
        <f aca="false">I8368*J8368</f>
        <v>2880</v>
      </c>
      <c r="L8368" s="14" t="n">
        <f aca="false">($L$2*M8368)/100</f>
        <v>612849.915</v>
      </c>
      <c r="M8368" s="15" t="n">
        <v>0.51</v>
      </c>
      <c r="N8368" s="9" t="s">
        <v>26</v>
      </c>
    </row>
    <row r="8369" customFormat="false" ht="14.25" hidden="false" customHeight="true" outlineLevel="0" collapsed="false">
      <c r="B8369" s="9" t="s">
        <v>28</v>
      </c>
      <c r="C8369" s="9" t="n">
        <v>1197831</v>
      </c>
      <c r="D8369" s="10" t="n">
        <v>44424</v>
      </c>
      <c r="E8369" s="9" t="s">
        <v>29</v>
      </c>
      <c r="F8369" s="9" t="s">
        <v>61</v>
      </c>
      <c r="G8369" s="9" t="s">
        <v>62</v>
      </c>
      <c r="H8369" s="11" t="s">
        <v>23</v>
      </c>
      <c r="I8369" s="12" t="n">
        <v>23</v>
      </c>
      <c r="J8369" s="13" t="n">
        <v>116</v>
      </c>
      <c r="K8369" s="14" t="n">
        <f aca="false">I8369*J8369</f>
        <v>2668</v>
      </c>
      <c r="L8369" s="14" t="n">
        <f aca="false">($L$2*M8369)/100</f>
        <v>733016.565</v>
      </c>
      <c r="M8369" s="15" t="n">
        <v>0.61</v>
      </c>
      <c r="N8369" s="9" t="s">
        <v>26</v>
      </c>
    </row>
    <row r="8370" customFormat="false" ht="14.25" hidden="false" customHeight="true" outlineLevel="0" collapsed="false">
      <c r="B8370" s="9" t="s">
        <v>28</v>
      </c>
      <c r="C8370" s="9" t="n">
        <v>1197831</v>
      </c>
      <c r="D8370" s="10" t="n">
        <v>44425</v>
      </c>
      <c r="E8370" s="9" t="s">
        <v>29</v>
      </c>
      <c r="F8370" s="9" t="s">
        <v>61</v>
      </c>
      <c r="G8370" s="9" t="s">
        <v>62</v>
      </c>
      <c r="H8370" s="11" t="s">
        <v>24</v>
      </c>
      <c r="I8370" s="12" t="n">
        <v>28</v>
      </c>
      <c r="J8370" s="13" t="n">
        <v>88</v>
      </c>
      <c r="K8370" s="14" t="n">
        <f aca="false">I8370*J8370</f>
        <v>2464</v>
      </c>
      <c r="L8370" s="14" t="n">
        <f aca="false">($L$2*M8370)/100</f>
        <v>552766.59</v>
      </c>
      <c r="M8370" s="15" t="n">
        <v>0.46</v>
      </c>
      <c r="N8370" s="9" t="s">
        <v>26</v>
      </c>
    </row>
    <row r="8371" customFormat="false" ht="14.25" hidden="false" customHeight="true" outlineLevel="0" collapsed="false">
      <c r="B8371" s="9" t="s">
        <v>28</v>
      </c>
      <c r="C8371" s="9" t="n">
        <v>1197831</v>
      </c>
      <c r="D8371" s="10" t="n">
        <v>44426</v>
      </c>
      <c r="E8371" s="9" t="s">
        <v>29</v>
      </c>
      <c r="F8371" s="9" t="s">
        <v>61</v>
      </c>
      <c r="G8371" s="9" t="s">
        <v>62</v>
      </c>
      <c r="H8371" s="11" t="s">
        <v>25</v>
      </c>
      <c r="I8371" s="12" t="n">
        <v>26</v>
      </c>
      <c r="J8371" s="13" t="n">
        <v>120</v>
      </c>
      <c r="K8371" s="14" t="n">
        <f aca="false">I8371*J8371</f>
        <v>3120</v>
      </c>
      <c r="L8371" s="14" t="n">
        <f aca="false">($L$2*M8371)/100</f>
        <v>793099.89</v>
      </c>
      <c r="M8371" s="15" t="n">
        <v>0.66</v>
      </c>
      <c r="N8371" s="9" t="s">
        <v>26</v>
      </c>
    </row>
    <row r="8372" customFormat="false" ht="14.25" hidden="false" customHeight="true" outlineLevel="0" collapsed="false">
      <c r="B8372" s="9" t="s">
        <v>28</v>
      </c>
      <c r="C8372" s="9" t="n">
        <v>1197831</v>
      </c>
      <c r="D8372" s="10" t="n">
        <v>44427</v>
      </c>
      <c r="E8372" s="9" t="s">
        <v>29</v>
      </c>
      <c r="F8372" s="9" t="s">
        <v>61</v>
      </c>
      <c r="G8372" s="9" t="s">
        <v>62</v>
      </c>
      <c r="H8372" s="11" t="s">
        <v>19</v>
      </c>
      <c r="I8372" s="12" t="n">
        <v>15</v>
      </c>
      <c r="J8372" s="13" t="n">
        <v>215</v>
      </c>
      <c r="K8372" s="14" t="n">
        <f aca="false">I8372*J8372</f>
        <v>3225</v>
      </c>
      <c r="L8372" s="14" t="n">
        <f aca="false">($L$2*M8372)/100</f>
        <v>624866.58</v>
      </c>
      <c r="M8372" s="15" t="n">
        <v>0.52</v>
      </c>
      <c r="N8372" s="9" t="s">
        <v>26</v>
      </c>
    </row>
    <row r="8373" customFormat="false" ht="14.25" hidden="false" customHeight="true" outlineLevel="0" collapsed="false">
      <c r="B8373" s="9" t="s">
        <v>28</v>
      </c>
      <c r="C8373" s="9" t="n">
        <v>1197831</v>
      </c>
      <c r="D8373" s="10" t="n">
        <v>44428</v>
      </c>
      <c r="E8373" s="9" t="s">
        <v>29</v>
      </c>
      <c r="F8373" s="9" t="s">
        <v>61</v>
      </c>
      <c r="G8373" s="9" t="s">
        <v>62</v>
      </c>
      <c r="H8373" s="11" t="s">
        <v>21</v>
      </c>
      <c r="I8373" s="12" t="n">
        <v>16</v>
      </c>
      <c r="J8373" s="13" t="n">
        <v>202</v>
      </c>
      <c r="K8373" s="14" t="n">
        <f aca="false">I8373*J8373</f>
        <v>3232</v>
      </c>
      <c r="L8373" s="14" t="n">
        <f aca="false">($L$2*M8373)/100</f>
        <v>564783.255</v>
      </c>
      <c r="M8373" s="15" t="n">
        <v>0.47</v>
      </c>
      <c r="N8373" s="9" t="s">
        <v>26</v>
      </c>
    </row>
    <row r="8374" customFormat="false" ht="14.25" hidden="false" customHeight="true" outlineLevel="0" collapsed="false">
      <c r="B8374" s="9" t="s">
        <v>28</v>
      </c>
      <c r="C8374" s="9" t="n">
        <v>1197831</v>
      </c>
      <c r="D8374" s="10" t="n">
        <v>44429</v>
      </c>
      <c r="E8374" s="9" t="s">
        <v>29</v>
      </c>
      <c r="F8374" s="9" t="s">
        <v>61</v>
      </c>
      <c r="G8374" s="9" t="s">
        <v>62</v>
      </c>
      <c r="H8374" s="11" t="s">
        <v>22</v>
      </c>
      <c r="I8374" s="12" t="n">
        <v>11</v>
      </c>
      <c r="J8374" s="13" t="n">
        <v>152</v>
      </c>
      <c r="K8374" s="14" t="n">
        <f aca="false">I8374*J8374</f>
        <v>1672</v>
      </c>
      <c r="L8374" s="14" t="n">
        <f aca="false">($L$2*M8374)/100</f>
        <v>564783.255</v>
      </c>
      <c r="M8374" s="15" t="n">
        <v>0.47</v>
      </c>
      <c r="N8374" s="9" t="s">
        <v>26</v>
      </c>
    </row>
    <row r="8375" customFormat="false" ht="14.25" hidden="false" customHeight="true" outlineLevel="0" collapsed="false">
      <c r="B8375" s="9" t="s">
        <v>28</v>
      </c>
      <c r="C8375" s="9" t="n">
        <v>1197831</v>
      </c>
      <c r="D8375" s="10" t="n">
        <v>44430</v>
      </c>
      <c r="E8375" s="9" t="s">
        <v>29</v>
      </c>
      <c r="F8375" s="9" t="s">
        <v>61</v>
      </c>
      <c r="G8375" s="9" t="s">
        <v>62</v>
      </c>
      <c r="H8375" s="11" t="s">
        <v>23</v>
      </c>
      <c r="I8375" s="12" t="n">
        <v>15</v>
      </c>
      <c r="J8375" s="13" t="n">
        <v>116</v>
      </c>
      <c r="K8375" s="14" t="n">
        <f aca="false">I8375*J8375</f>
        <v>1740</v>
      </c>
      <c r="L8375" s="14" t="n">
        <f aca="false">($L$2*M8375)/100</f>
        <v>720999.9</v>
      </c>
      <c r="M8375" s="15" t="n">
        <v>0.6</v>
      </c>
      <c r="N8375" s="9" t="s">
        <v>26</v>
      </c>
    </row>
    <row r="8376" customFormat="false" ht="14.25" hidden="false" customHeight="true" outlineLevel="0" collapsed="false">
      <c r="B8376" s="9" t="s">
        <v>28</v>
      </c>
      <c r="C8376" s="9" t="n">
        <v>1197831</v>
      </c>
      <c r="D8376" s="10" t="n">
        <v>44431</v>
      </c>
      <c r="E8376" s="9" t="s">
        <v>29</v>
      </c>
      <c r="F8376" s="9" t="s">
        <v>61</v>
      </c>
      <c r="G8376" s="9" t="s">
        <v>62</v>
      </c>
      <c r="H8376" s="11" t="s">
        <v>24</v>
      </c>
      <c r="I8376" s="12" t="n">
        <v>19</v>
      </c>
      <c r="J8376" s="13" t="n">
        <v>88</v>
      </c>
      <c r="K8376" s="14" t="n">
        <f aca="false">I8376*J8376</f>
        <v>1672</v>
      </c>
      <c r="L8376" s="14" t="n">
        <f aca="false">($L$2*M8376)/100</f>
        <v>504699.93</v>
      </c>
      <c r="M8376" s="15" t="n">
        <v>0.42</v>
      </c>
      <c r="N8376" s="9" t="s">
        <v>26</v>
      </c>
    </row>
    <row r="8377" customFormat="false" ht="14.25" hidden="false" customHeight="true" outlineLevel="0" collapsed="false">
      <c r="B8377" s="9" t="s">
        <v>28</v>
      </c>
      <c r="C8377" s="9" t="n">
        <v>1197831</v>
      </c>
      <c r="D8377" s="10" t="n">
        <v>44432</v>
      </c>
      <c r="E8377" s="9" t="s">
        <v>29</v>
      </c>
      <c r="F8377" s="9" t="s">
        <v>61</v>
      </c>
      <c r="G8377" s="9" t="s">
        <v>62</v>
      </c>
      <c r="H8377" s="11" t="s">
        <v>25</v>
      </c>
      <c r="I8377" s="12" t="n">
        <v>14</v>
      </c>
      <c r="J8377" s="13" t="n">
        <v>165</v>
      </c>
      <c r="K8377" s="14" t="n">
        <f aca="false">I8377*J8377</f>
        <v>2310</v>
      </c>
      <c r="L8377" s="14" t="n">
        <f aca="false">($L$2*M8377)/100</f>
        <v>805116.555</v>
      </c>
      <c r="M8377" s="15" t="n">
        <v>0.67</v>
      </c>
      <c r="N8377" s="9" t="s">
        <v>26</v>
      </c>
    </row>
    <row r="8378" customFormat="false" ht="14.25" hidden="false" customHeight="true" outlineLevel="0" collapsed="false">
      <c r="B8378" s="9" t="s">
        <v>28</v>
      </c>
      <c r="C8378" s="9" t="n">
        <v>1197831</v>
      </c>
      <c r="D8378" s="10" t="n">
        <v>44433</v>
      </c>
      <c r="E8378" s="9" t="s">
        <v>29</v>
      </c>
      <c r="F8378" s="9" t="s">
        <v>61</v>
      </c>
      <c r="G8378" s="9" t="s">
        <v>62</v>
      </c>
      <c r="H8378" s="11" t="s">
        <v>19</v>
      </c>
      <c r="I8378" s="12" t="n">
        <v>7</v>
      </c>
      <c r="J8378" s="13" t="n">
        <v>224</v>
      </c>
      <c r="K8378" s="14" t="n">
        <f aca="false">I8378*J8378</f>
        <v>1568</v>
      </c>
      <c r="L8378" s="14" t="n">
        <f aca="false">($L$2*M8378)/100</f>
        <v>564783.255</v>
      </c>
      <c r="M8378" s="15" t="n">
        <v>0.47</v>
      </c>
      <c r="N8378" s="9" t="s">
        <v>26</v>
      </c>
    </row>
    <row r="8379" customFormat="false" ht="14.25" hidden="false" customHeight="true" outlineLevel="0" collapsed="false">
      <c r="B8379" s="9" t="s">
        <v>28</v>
      </c>
      <c r="C8379" s="9" t="n">
        <v>1197831</v>
      </c>
      <c r="D8379" s="10" t="n">
        <v>44434</v>
      </c>
      <c r="E8379" s="9" t="s">
        <v>29</v>
      </c>
      <c r="F8379" s="9" t="s">
        <v>61</v>
      </c>
      <c r="G8379" s="9" t="s">
        <v>62</v>
      </c>
      <c r="H8379" s="11" t="s">
        <v>21</v>
      </c>
      <c r="I8379" s="12" t="n">
        <v>16</v>
      </c>
      <c r="J8379" s="13" t="n">
        <v>218</v>
      </c>
      <c r="K8379" s="14" t="n">
        <f aca="false">I8379*J8379</f>
        <v>3488</v>
      </c>
      <c r="L8379" s="14" t="n">
        <f aca="false">($L$2*M8379)/100</f>
        <v>588816.585</v>
      </c>
      <c r="M8379" s="15" t="n">
        <v>0.49</v>
      </c>
      <c r="N8379" s="9" t="s">
        <v>26</v>
      </c>
    </row>
    <row r="8380" customFormat="false" ht="14.25" hidden="false" customHeight="true" outlineLevel="0" collapsed="false">
      <c r="B8380" s="9" t="s">
        <v>28</v>
      </c>
      <c r="C8380" s="9" t="n">
        <v>1197831</v>
      </c>
      <c r="D8380" s="10" t="n">
        <v>44435</v>
      </c>
      <c r="E8380" s="9" t="s">
        <v>29</v>
      </c>
      <c r="F8380" s="9" t="s">
        <v>61</v>
      </c>
      <c r="G8380" s="9" t="s">
        <v>62</v>
      </c>
      <c r="H8380" s="11" t="s">
        <v>22</v>
      </c>
      <c r="I8380" s="12" t="n">
        <v>11</v>
      </c>
      <c r="J8380" s="13" t="n">
        <v>190</v>
      </c>
      <c r="K8380" s="14" t="n">
        <f aca="false">I8380*J8380</f>
        <v>2090</v>
      </c>
      <c r="L8380" s="14" t="n">
        <f aca="false">($L$2*M8380)/100</f>
        <v>624866.58</v>
      </c>
      <c r="M8380" s="15" t="n">
        <v>0.52</v>
      </c>
      <c r="N8380" s="9" t="s">
        <v>26</v>
      </c>
    </row>
    <row r="8381" customFormat="false" ht="14.25" hidden="false" customHeight="true" outlineLevel="0" collapsed="false">
      <c r="B8381" s="9" t="s">
        <v>28</v>
      </c>
      <c r="C8381" s="9" t="n">
        <v>1197831</v>
      </c>
      <c r="D8381" s="10" t="n">
        <v>44436</v>
      </c>
      <c r="E8381" s="9" t="s">
        <v>29</v>
      </c>
      <c r="F8381" s="9" t="s">
        <v>61</v>
      </c>
      <c r="G8381" s="9" t="s">
        <v>62</v>
      </c>
      <c r="H8381" s="11" t="s">
        <v>23</v>
      </c>
      <c r="I8381" s="12" t="n">
        <v>26</v>
      </c>
      <c r="J8381" s="13" t="n">
        <v>165</v>
      </c>
      <c r="K8381" s="14" t="n">
        <f aca="false">I8381*J8381</f>
        <v>4290</v>
      </c>
      <c r="L8381" s="14" t="n">
        <f aca="false">($L$2*M8381)/100</f>
        <v>733016.565</v>
      </c>
      <c r="M8381" s="15" t="n">
        <v>0.61</v>
      </c>
      <c r="N8381" s="9" t="s">
        <v>26</v>
      </c>
    </row>
    <row r="8382" customFormat="false" ht="14.25" hidden="false" customHeight="true" outlineLevel="0" collapsed="false">
      <c r="B8382" s="9" t="s">
        <v>28</v>
      </c>
      <c r="C8382" s="9" t="n">
        <v>1197831</v>
      </c>
      <c r="D8382" s="10" t="n">
        <v>44437</v>
      </c>
      <c r="E8382" s="9" t="s">
        <v>29</v>
      </c>
      <c r="F8382" s="9" t="s">
        <v>61</v>
      </c>
      <c r="G8382" s="9" t="s">
        <v>62</v>
      </c>
      <c r="H8382" s="11" t="s">
        <v>24</v>
      </c>
      <c r="I8382" s="12" t="n">
        <v>39</v>
      </c>
      <c r="J8382" s="13" t="n">
        <v>132</v>
      </c>
      <c r="K8382" s="14" t="n">
        <f aca="false">I8382*J8382</f>
        <v>5148</v>
      </c>
      <c r="L8382" s="14" t="n">
        <f aca="false">($L$2*M8382)/100</f>
        <v>504699.93</v>
      </c>
      <c r="M8382" s="15" t="n">
        <v>0.42</v>
      </c>
      <c r="N8382" s="9" t="s">
        <v>26</v>
      </c>
    </row>
    <row r="8383" customFormat="false" ht="14.25" hidden="false" customHeight="true" outlineLevel="0" collapsed="false">
      <c r="B8383" s="9" t="s">
        <v>28</v>
      </c>
      <c r="C8383" s="9" t="n">
        <v>1197831</v>
      </c>
      <c r="D8383" s="10" t="n">
        <v>44438</v>
      </c>
      <c r="E8383" s="9" t="s">
        <v>29</v>
      </c>
      <c r="F8383" s="9" t="s">
        <v>61</v>
      </c>
      <c r="G8383" s="9" t="s">
        <v>62</v>
      </c>
      <c r="H8383" s="11" t="s">
        <v>25</v>
      </c>
      <c r="I8383" s="12" t="n">
        <v>36</v>
      </c>
      <c r="J8383" s="13" t="n">
        <v>263</v>
      </c>
      <c r="K8383" s="14" t="n">
        <f aca="false">I8383*J8383</f>
        <v>9468</v>
      </c>
      <c r="L8383" s="14" t="n">
        <f aca="false">($L$2*M8383)/100</f>
        <v>793099.89</v>
      </c>
      <c r="M8383" s="15" t="n">
        <v>0.66</v>
      </c>
      <c r="N8383" s="9" t="s">
        <v>26</v>
      </c>
    </row>
    <row r="8384" customFormat="false" ht="14.25" hidden="false" customHeight="true" outlineLevel="0" collapsed="false">
      <c r="B8384" s="9" t="s">
        <v>28</v>
      </c>
      <c r="C8384" s="9" t="n">
        <v>1197831</v>
      </c>
      <c r="D8384" s="10" t="n">
        <v>44439</v>
      </c>
      <c r="E8384" s="9" t="s">
        <v>29</v>
      </c>
      <c r="F8384" s="9" t="s">
        <v>61</v>
      </c>
      <c r="G8384" s="9" t="s">
        <v>62</v>
      </c>
      <c r="H8384" s="11" t="s">
        <v>19</v>
      </c>
      <c r="I8384" s="12" t="n">
        <v>30</v>
      </c>
      <c r="J8384" s="13" t="n">
        <v>225</v>
      </c>
      <c r="K8384" s="14" t="n">
        <f aca="false">I8384*J8384</f>
        <v>6750</v>
      </c>
      <c r="L8384" s="14" t="n">
        <f aca="false">($L$2*M8384)/100</f>
        <v>576799.92</v>
      </c>
      <c r="M8384" s="15" t="n">
        <v>0.48</v>
      </c>
      <c r="N8384" s="9" t="s">
        <v>26</v>
      </c>
    </row>
    <row r="8385" customFormat="false" ht="14.25" hidden="false" customHeight="true" outlineLevel="0" collapsed="false">
      <c r="B8385" s="9" t="s">
        <v>28</v>
      </c>
      <c r="C8385" s="9" t="n">
        <v>1197831</v>
      </c>
      <c r="D8385" s="10" t="n">
        <v>44440</v>
      </c>
      <c r="E8385" s="9" t="s">
        <v>29</v>
      </c>
      <c r="F8385" s="9" t="s">
        <v>61</v>
      </c>
      <c r="G8385" s="9" t="s">
        <v>62</v>
      </c>
      <c r="H8385" s="11" t="s">
        <v>21</v>
      </c>
      <c r="I8385" s="12" t="n">
        <v>35</v>
      </c>
      <c r="J8385" s="13" t="n">
        <v>233</v>
      </c>
      <c r="K8385" s="14" t="n">
        <f aca="false">I8385*J8385</f>
        <v>8155</v>
      </c>
      <c r="L8385" s="14" t="n">
        <f aca="false">($L$2*M8385)/100</f>
        <v>564783.255</v>
      </c>
      <c r="M8385" s="15" t="n">
        <v>0.47</v>
      </c>
      <c r="N8385" s="9" t="s">
        <v>26</v>
      </c>
    </row>
    <row r="8386" customFormat="false" ht="14.25" hidden="false" customHeight="true" outlineLevel="0" collapsed="false">
      <c r="B8386" s="9" t="s">
        <v>28</v>
      </c>
      <c r="C8386" s="9" t="n">
        <v>1197831</v>
      </c>
      <c r="D8386" s="10" t="n">
        <v>44441</v>
      </c>
      <c r="E8386" s="9" t="s">
        <v>29</v>
      </c>
      <c r="F8386" s="9" t="s">
        <v>61</v>
      </c>
      <c r="G8386" s="9" t="s">
        <v>62</v>
      </c>
      <c r="H8386" s="11" t="s">
        <v>22</v>
      </c>
      <c r="I8386" s="12" t="n">
        <v>35</v>
      </c>
      <c r="J8386" s="13" t="n">
        <v>228</v>
      </c>
      <c r="K8386" s="14" t="n">
        <f aca="false">I8386*J8386</f>
        <v>7980</v>
      </c>
      <c r="L8386" s="14" t="n">
        <f aca="false">($L$2*M8386)/100</f>
        <v>612849.915</v>
      </c>
      <c r="M8386" s="15" t="n">
        <v>0.51</v>
      </c>
      <c r="N8386" s="9" t="s">
        <v>26</v>
      </c>
    </row>
    <row r="8387" customFormat="false" ht="14.25" hidden="false" customHeight="true" outlineLevel="0" collapsed="false">
      <c r="B8387" s="9" t="s">
        <v>28</v>
      </c>
      <c r="C8387" s="9" t="n">
        <v>1197831</v>
      </c>
      <c r="D8387" s="10" t="n">
        <v>44442</v>
      </c>
      <c r="E8387" s="9" t="s">
        <v>29</v>
      </c>
      <c r="F8387" s="9" t="s">
        <v>61</v>
      </c>
      <c r="G8387" s="9" t="s">
        <v>62</v>
      </c>
      <c r="H8387" s="11" t="s">
        <v>23</v>
      </c>
      <c r="I8387" s="12" t="n">
        <v>31</v>
      </c>
      <c r="J8387" s="13" t="n">
        <v>210</v>
      </c>
      <c r="K8387" s="14" t="n">
        <f aca="false">I8387*J8387</f>
        <v>6510</v>
      </c>
      <c r="L8387" s="14" t="n">
        <f aca="false">($L$2*M8387)/100</f>
        <v>720999.9</v>
      </c>
      <c r="M8387" s="15" t="n">
        <v>0.6</v>
      </c>
      <c r="N8387" s="9" t="s">
        <v>26</v>
      </c>
    </row>
    <row r="8388" customFormat="false" ht="14.25" hidden="false" customHeight="true" outlineLevel="0" collapsed="false">
      <c r="B8388" s="9" t="s">
        <v>28</v>
      </c>
      <c r="C8388" s="9" t="n">
        <v>1197831</v>
      </c>
      <c r="D8388" s="10" t="n">
        <v>44443</v>
      </c>
      <c r="E8388" s="9" t="s">
        <v>29</v>
      </c>
      <c r="F8388" s="9" t="s">
        <v>61</v>
      </c>
      <c r="G8388" s="9" t="s">
        <v>62</v>
      </c>
      <c r="H8388" s="11" t="s">
        <v>24</v>
      </c>
      <c r="I8388" s="12" t="n">
        <v>38</v>
      </c>
      <c r="J8388" s="13" t="n">
        <v>165</v>
      </c>
      <c r="K8388" s="14" t="n">
        <f aca="false">I8388*J8388</f>
        <v>6270</v>
      </c>
      <c r="L8388" s="14" t="n">
        <f aca="false">($L$2*M8388)/100</f>
        <v>564783.255</v>
      </c>
      <c r="M8388" s="15" t="n">
        <v>0.47</v>
      </c>
      <c r="N8388" s="9" t="s">
        <v>26</v>
      </c>
    </row>
    <row r="8389" customFormat="false" ht="14.25" hidden="false" customHeight="true" outlineLevel="0" collapsed="false">
      <c r="B8389" s="9" t="s">
        <v>28</v>
      </c>
      <c r="C8389" s="9" t="n">
        <v>1197831</v>
      </c>
      <c r="D8389" s="10" t="n">
        <v>44444</v>
      </c>
      <c r="E8389" s="9" t="s">
        <v>29</v>
      </c>
      <c r="F8389" s="9" t="s">
        <v>61</v>
      </c>
      <c r="G8389" s="9" t="s">
        <v>62</v>
      </c>
      <c r="H8389" s="11" t="s">
        <v>25</v>
      </c>
      <c r="I8389" s="12" t="n">
        <v>36</v>
      </c>
      <c r="J8389" s="13" t="n">
        <v>280</v>
      </c>
      <c r="K8389" s="14" t="n">
        <f aca="false">I8389*J8389</f>
        <v>10080</v>
      </c>
      <c r="L8389" s="14" t="n">
        <f aca="false">($L$2*M8389)/100</f>
        <v>769066.56</v>
      </c>
      <c r="M8389" s="15" t="n">
        <v>0.64</v>
      </c>
      <c r="N8389" s="9" t="s">
        <v>26</v>
      </c>
    </row>
    <row r="8390" customFormat="false" ht="14.25" hidden="false" customHeight="true" outlineLevel="0" collapsed="false">
      <c r="B8390" s="9" t="s">
        <v>28</v>
      </c>
      <c r="C8390" s="9" t="n">
        <v>1197831</v>
      </c>
      <c r="D8390" s="10" t="n">
        <v>44445</v>
      </c>
      <c r="E8390" s="9" t="s">
        <v>29</v>
      </c>
      <c r="F8390" s="9" t="s">
        <v>61</v>
      </c>
      <c r="G8390" s="9" t="s">
        <v>62</v>
      </c>
      <c r="H8390" s="11" t="s">
        <v>19</v>
      </c>
      <c r="I8390" s="12" t="n">
        <v>31</v>
      </c>
      <c r="J8390" s="13" t="n">
        <v>256</v>
      </c>
      <c r="K8390" s="14" t="n">
        <f aca="false">I8390*J8390</f>
        <v>7936</v>
      </c>
      <c r="L8390" s="14" t="n">
        <f aca="false">($L$2*M8390)/100</f>
        <v>636883.245</v>
      </c>
      <c r="M8390" s="15" t="n">
        <v>0.53</v>
      </c>
      <c r="N8390" s="9" t="s">
        <v>26</v>
      </c>
    </row>
    <row r="8391" customFormat="false" ht="14.25" hidden="false" customHeight="true" outlineLevel="0" collapsed="false">
      <c r="B8391" s="9" t="s">
        <v>28</v>
      </c>
      <c r="C8391" s="9" t="n">
        <v>1197831</v>
      </c>
      <c r="D8391" s="10" t="n">
        <v>44446</v>
      </c>
      <c r="E8391" s="9" t="s">
        <v>29</v>
      </c>
      <c r="F8391" s="9" t="s">
        <v>61</v>
      </c>
      <c r="G8391" s="9" t="s">
        <v>62</v>
      </c>
      <c r="H8391" s="11" t="s">
        <v>21</v>
      </c>
      <c r="I8391" s="12" t="n">
        <v>37</v>
      </c>
      <c r="J8391" s="13" t="n">
        <v>264</v>
      </c>
      <c r="K8391" s="14" t="n">
        <f aca="false">I8391*J8391</f>
        <v>9768</v>
      </c>
      <c r="L8391" s="14" t="n">
        <f aca="false">($L$2*M8391)/100</f>
        <v>660916.575</v>
      </c>
      <c r="M8391" s="15" t="n">
        <v>0.55</v>
      </c>
      <c r="N8391" s="9" t="s">
        <v>26</v>
      </c>
    </row>
    <row r="8392" customFormat="false" ht="14.25" hidden="false" customHeight="true" outlineLevel="0" collapsed="false">
      <c r="B8392" s="9" t="s">
        <v>28</v>
      </c>
      <c r="C8392" s="9" t="n">
        <v>1197831</v>
      </c>
      <c r="D8392" s="10" t="n">
        <v>44447</v>
      </c>
      <c r="E8392" s="9" t="s">
        <v>29</v>
      </c>
      <c r="F8392" s="9" t="s">
        <v>61</v>
      </c>
      <c r="G8392" s="9" t="s">
        <v>62</v>
      </c>
      <c r="H8392" s="11" t="s">
        <v>22</v>
      </c>
      <c r="I8392" s="12" t="n">
        <v>31</v>
      </c>
      <c r="J8392" s="13" t="n">
        <v>322</v>
      </c>
      <c r="K8392" s="14" t="n">
        <f aca="false">I8392*J8392</f>
        <v>9982</v>
      </c>
      <c r="L8392" s="14" t="n">
        <f aca="false">($L$2*M8392)/100</f>
        <v>672933.24</v>
      </c>
      <c r="M8392" s="15" t="n">
        <v>0.56</v>
      </c>
      <c r="N8392" s="9" t="s">
        <v>26</v>
      </c>
    </row>
    <row r="8393" customFormat="false" ht="14.25" hidden="false" customHeight="true" outlineLevel="0" collapsed="false">
      <c r="B8393" s="9" t="s">
        <v>28</v>
      </c>
      <c r="C8393" s="9" t="n">
        <v>1197831</v>
      </c>
      <c r="D8393" s="10" t="n">
        <v>44448</v>
      </c>
      <c r="E8393" s="9" t="s">
        <v>29</v>
      </c>
      <c r="F8393" s="9" t="s">
        <v>61</v>
      </c>
      <c r="G8393" s="9" t="s">
        <v>62</v>
      </c>
      <c r="H8393" s="11" t="s">
        <v>23</v>
      </c>
      <c r="I8393" s="12" t="n">
        <v>36</v>
      </c>
      <c r="J8393" s="13" t="n">
        <v>196</v>
      </c>
      <c r="K8393" s="14" t="n">
        <f aca="false">I8393*J8393</f>
        <v>7056</v>
      </c>
      <c r="L8393" s="14" t="n">
        <f aca="false">($L$2*M8393)/100</f>
        <v>805116.555</v>
      </c>
      <c r="M8393" s="15" t="n">
        <v>0.67</v>
      </c>
      <c r="N8393" s="9" t="s">
        <v>26</v>
      </c>
    </row>
    <row r="8394" customFormat="false" ht="14.25" hidden="false" customHeight="true" outlineLevel="0" collapsed="false">
      <c r="B8394" s="9" t="s">
        <v>28</v>
      </c>
      <c r="C8394" s="9" t="n">
        <v>1197831</v>
      </c>
      <c r="D8394" s="10" t="n">
        <v>44449</v>
      </c>
      <c r="E8394" s="9" t="s">
        <v>29</v>
      </c>
      <c r="F8394" s="9" t="s">
        <v>61</v>
      </c>
      <c r="G8394" s="9" t="s">
        <v>62</v>
      </c>
      <c r="H8394" s="11" t="s">
        <v>24</v>
      </c>
      <c r="I8394" s="12" t="n">
        <v>35</v>
      </c>
      <c r="J8394" s="13" t="n">
        <v>179</v>
      </c>
      <c r="K8394" s="14" t="n">
        <f aca="false">I8394*J8394</f>
        <v>6265</v>
      </c>
      <c r="L8394" s="14" t="n">
        <f aca="false">($L$2*M8394)/100</f>
        <v>624866.58</v>
      </c>
      <c r="M8394" s="15" t="n">
        <v>0.52</v>
      </c>
      <c r="N8394" s="9" t="s">
        <v>26</v>
      </c>
    </row>
    <row r="8395" customFormat="false" ht="14.25" hidden="false" customHeight="true" outlineLevel="0" collapsed="false">
      <c r="B8395" s="9" t="s">
        <v>28</v>
      </c>
      <c r="C8395" s="9" t="n">
        <v>1197831</v>
      </c>
      <c r="D8395" s="10" t="n">
        <v>44450</v>
      </c>
      <c r="E8395" s="9" t="s">
        <v>29</v>
      </c>
      <c r="F8395" s="9" t="s">
        <v>61</v>
      </c>
      <c r="G8395" s="9" t="s">
        <v>62</v>
      </c>
      <c r="H8395" s="11" t="s">
        <v>25</v>
      </c>
      <c r="I8395" s="12" t="n">
        <v>47</v>
      </c>
      <c r="J8395" s="13" t="n">
        <v>280</v>
      </c>
      <c r="K8395" s="14" t="n">
        <f aca="false">I8395*J8395</f>
        <v>13160</v>
      </c>
      <c r="L8395" s="14" t="n">
        <f aca="false">($L$2*M8395)/100</f>
        <v>841166.55</v>
      </c>
      <c r="M8395" s="15" t="n">
        <v>0.7</v>
      </c>
      <c r="N8395" s="9" t="s">
        <v>26</v>
      </c>
    </row>
    <row r="8396" customFormat="false" ht="14.25" hidden="false" customHeight="true" outlineLevel="0" collapsed="false">
      <c r="B8396" s="9" t="s">
        <v>28</v>
      </c>
      <c r="C8396" s="9" t="n">
        <v>1197831</v>
      </c>
      <c r="D8396" s="10" t="n">
        <v>44451</v>
      </c>
      <c r="E8396" s="9" t="s">
        <v>29</v>
      </c>
      <c r="F8396" s="9" t="s">
        <v>61</v>
      </c>
      <c r="G8396" s="9" t="s">
        <v>62</v>
      </c>
      <c r="H8396" s="11" t="s">
        <v>19</v>
      </c>
      <c r="I8396" s="12" t="n">
        <v>27</v>
      </c>
      <c r="J8396" s="13" t="n">
        <v>233</v>
      </c>
      <c r="K8396" s="14" t="n">
        <f aca="false">I8396*J8396</f>
        <v>6291</v>
      </c>
      <c r="L8396" s="14" t="n">
        <f aca="false">($L$2*M8396)/100</f>
        <v>660916.575</v>
      </c>
      <c r="M8396" s="15" t="n">
        <v>0.55</v>
      </c>
      <c r="N8396" s="9" t="s">
        <v>26</v>
      </c>
    </row>
    <row r="8397" customFormat="false" ht="14.25" hidden="false" customHeight="true" outlineLevel="0" collapsed="false">
      <c r="B8397" s="9" t="s">
        <v>28</v>
      </c>
      <c r="C8397" s="9" t="n">
        <v>1197831</v>
      </c>
      <c r="D8397" s="10" t="n">
        <v>44452</v>
      </c>
      <c r="E8397" s="9" t="s">
        <v>29</v>
      </c>
      <c r="F8397" s="9" t="s">
        <v>61</v>
      </c>
      <c r="G8397" s="9" t="s">
        <v>62</v>
      </c>
      <c r="H8397" s="11" t="s">
        <v>21</v>
      </c>
      <c r="I8397" s="12" t="n">
        <v>39</v>
      </c>
      <c r="J8397" s="13" t="n">
        <v>233</v>
      </c>
      <c r="K8397" s="14" t="n">
        <f aca="false">I8397*J8397</f>
        <v>9087</v>
      </c>
      <c r="L8397" s="14" t="n">
        <f aca="false">($L$2*M8397)/100</f>
        <v>648899.91</v>
      </c>
      <c r="M8397" s="15" t="n">
        <v>0.54</v>
      </c>
      <c r="N8397" s="9" t="s">
        <v>26</v>
      </c>
    </row>
    <row r="8398" customFormat="false" ht="14.25" hidden="false" customHeight="true" outlineLevel="0" collapsed="false">
      <c r="B8398" s="9" t="s">
        <v>28</v>
      </c>
      <c r="C8398" s="9" t="n">
        <v>1197831</v>
      </c>
      <c r="D8398" s="10" t="n">
        <v>44453</v>
      </c>
      <c r="E8398" s="9" t="s">
        <v>29</v>
      </c>
      <c r="F8398" s="9" t="s">
        <v>61</v>
      </c>
      <c r="G8398" s="9" t="s">
        <v>62</v>
      </c>
      <c r="H8398" s="11" t="s">
        <v>22</v>
      </c>
      <c r="I8398" s="12" t="n">
        <v>36</v>
      </c>
      <c r="J8398" s="13" t="n">
        <v>278</v>
      </c>
      <c r="K8398" s="14" t="n">
        <f aca="false">I8398*J8398</f>
        <v>10008</v>
      </c>
      <c r="L8398" s="14" t="n">
        <f aca="false">($L$2*M8398)/100</f>
        <v>636883.245</v>
      </c>
      <c r="M8398" s="15" t="n">
        <v>0.53</v>
      </c>
      <c r="N8398" s="9" t="s">
        <v>26</v>
      </c>
    </row>
    <row r="8399" customFormat="false" ht="14.25" hidden="false" customHeight="true" outlineLevel="0" collapsed="false">
      <c r="B8399" s="9" t="s">
        <v>28</v>
      </c>
      <c r="C8399" s="9" t="n">
        <v>1197831</v>
      </c>
      <c r="D8399" s="10" t="n">
        <v>44454</v>
      </c>
      <c r="E8399" s="9" t="s">
        <v>29</v>
      </c>
      <c r="F8399" s="9" t="s">
        <v>61</v>
      </c>
      <c r="G8399" s="9" t="s">
        <v>62</v>
      </c>
      <c r="H8399" s="11" t="s">
        <v>23</v>
      </c>
      <c r="I8399" s="12" t="n">
        <v>37</v>
      </c>
      <c r="J8399" s="13" t="n">
        <v>140</v>
      </c>
      <c r="K8399" s="14" t="n">
        <f aca="false">I8399*J8399</f>
        <v>5180</v>
      </c>
      <c r="L8399" s="14" t="n">
        <f aca="false">($L$2*M8399)/100</f>
        <v>769066.56</v>
      </c>
      <c r="M8399" s="15" t="n">
        <v>0.64</v>
      </c>
      <c r="N8399" s="9" t="s">
        <v>26</v>
      </c>
    </row>
    <row r="8400" customFormat="false" ht="14.25" hidden="false" customHeight="true" outlineLevel="0" collapsed="false">
      <c r="B8400" s="9" t="s">
        <v>28</v>
      </c>
      <c r="C8400" s="9" t="n">
        <v>1197831</v>
      </c>
      <c r="D8400" s="10" t="n">
        <v>44455</v>
      </c>
      <c r="E8400" s="9" t="s">
        <v>29</v>
      </c>
      <c r="F8400" s="9" t="s">
        <v>61</v>
      </c>
      <c r="G8400" s="9" t="s">
        <v>62</v>
      </c>
      <c r="H8400" s="11" t="s">
        <v>24</v>
      </c>
      <c r="I8400" s="12" t="n">
        <v>42</v>
      </c>
      <c r="J8400" s="13" t="n">
        <v>140</v>
      </c>
      <c r="K8400" s="14" t="n">
        <f aca="false">I8400*J8400</f>
        <v>5880</v>
      </c>
      <c r="L8400" s="14" t="n">
        <f aca="false">($L$2*M8400)/100</f>
        <v>600833.25</v>
      </c>
      <c r="M8400" s="15" t="n">
        <v>0.5</v>
      </c>
      <c r="N8400" s="9" t="s">
        <v>26</v>
      </c>
    </row>
    <row r="8401" customFormat="false" ht="14.25" hidden="false" customHeight="true" outlineLevel="0" collapsed="false">
      <c r="B8401" s="9" t="s">
        <v>28</v>
      </c>
      <c r="C8401" s="9" t="n">
        <v>1197831</v>
      </c>
      <c r="D8401" s="10" t="n">
        <v>44456</v>
      </c>
      <c r="E8401" s="9" t="s">
        <v>29</v>
      </c>
      <c r="F8401" s="9" t="s">
        <v>61</v>
      </c>
      <c r="G8401" s="9" t="s">
        <v>62</v>
      </c>
      <c r="H8401" s="11" t="s">
        <v>25</v>
      </c>
      <c r="I8401" s="12" t="n">
        <v>39</v>
      </c>
      <c r="J8401" s="13" t="n">
        <v>203</v>
      </c>
      <c r="K8401" s="14" t="n">
        <f aca="false">I8401*J8401</f>
        <v>7917</v>
      </c>
      <c r="L8401" s="14" t="n">
        <f aca="false">($L$2*M8401)/100</f>
        <v>853183.215</v>
      </c>
      <c r="M8401" s="15" t="n">
        <v>0.71</v>
      </c>
      <c r="N8401" s="9" t="s">
        <v>26</v>
      </c>
    </row>
    <row r="8402" customFormat="false" ht="14.25" hidden="false" customHeight="true" outlineLevel="0" collapsed="false">
      <c r="B8402" s="9" t="s">
        <v>28</v>
      </c>
      <c r="C8402" s="9" t="n">
        <v>1197831</v>
      </c>
      <c r="D8402" s="10" t="n">
        <v>44457</v>
      </c>
      <c r="E8402" s="9" t="s">
        <v>29</v>
      </c>
      <c r="F8402" s="9" t="s">
        <v>61</v>
      </c>
      <c r="G8402" s="9" t="s">
        <v>62</v>
      </c>
      <c r="H8402" s="11" t="s">
        <v>19</v>
      </c>
      <c r="I8402" s="12" t="n">
        <v>38</v>
      </c>
      <c r="J8402" s="13" t="n">
        <v>206</v>
      </c>
      <c r="K8402" s="14" t="n">
        <f aca="false">I8402*J8402</f>
        <v>7828</v>
      </c>
      <c r="L8402" s="14" t="n">
        <f aca="false">($L$2*M8402)/100</f>
        <v>660916.575</v>
      </c>
      <c r="M8402" s="15" t="n">
        <v>0.55</v>
      </c>
      <c r="N8402" s="9" t="s">
        <v>26</v>
      </c>
    </row>
    <row r="8403" customFormat="false" ht="14.25" hidden="false" customHeight="true" outlineLevel="0" collapsed="false">
      <c r="B8403" s="9" t="s">
        <v>28</v>
      </c>
      <c r="C8403" s="9" t="n">
        <v>1197831</v>
      </c>
      <c r="D8403" s="10" t="n">
        <v>44458</v>
      </c>
      <c r="E8403" s="9" t="s">
        <v>29</v>
      </c>
      <c r="F8403" s="9" t="s">
        <v>61</v>
      </c>
      <c r="G8403" s="9" t="s">
        <v>62</v>
      </c>
      <c r="H8403" s="11" t="s">
        <v>21</v>
      </c>
      <c r="I8403" s="12" t="n">
        <v>36</v>
      </c>
      <c r="J8403" s="13" t="n">
        <v>173</v>
      </c>
      <c r="K8403" s="14" t="n">
        <f aca="false">I8403*J8403</f>
        <v>6228</v>
      </c>
      <c r="L8403" s="14" t="n">
        <f aca="false">($L$2*M8403)/100</f>
        <v>660916.575</v>
      </c>
      <c r="M8403" s="15" t="n">
        <v>0.55</v>
      </c>
      <c r="N8403" s="9" t="s">
        <v>26</v>
      </c>
    </row>
    <row r="8404" customFormat="false" ht="14.25" hidden="false" customHeight="true" outlineLevel="0" collapsed="false">
      <c r="B8404" s="9" t="s">
        <v>28</v>
      </c>
      <c r="C8404" s="9" t="n">
        <v>1197831</v>
      </c>
      <c r="D8404" s="10" t="n">
        <v>44459</v>
      </c>
      <c r="E8404" s="9" t="s">
        <v>29</v>
      </c>
      <c r="F8404" s="9" t="s">
        <v>61</v>
      </c>
      <c r="G8404" s="9" t="s">
        <v>62</v>
      </c>
      <c r="H8404" s="11" t="s">
        <v>22</v>
      </c>
      <c r="I8404" s="12" t="n">
        <v>47</v>
      </c>
      <c r="J8404" s="13" t="n">
        <v>213</v>
      </c>
      <c r="K8404" s="14" t="n">
        <f aca="false">I8404*J8404</f>
        <v>10011</v>
      </c>
      <c r="L8404" s="14" t="n">
        <f aca="false">($L$2*M8404)/100</f>
        <v>672933.24</v>
      </c>
      <c r="M8404" s="15" t="n">
        <v>0.56</v>
      </c>
      <c r="N8404" s="9" t="s">
        <v>26</v>
      </c>
    </row>
    <row r="8405" customFormat="false" ht="14.25" hidden="false" customHeight="true" outlineLevel="0" collapsed="false">
      <c r="B8405" s="9" t="s">
        <v>28</v>
      </c>
      <c r="C8405" s="9" t="n">
        <v>1197831</v>
      </c>
      <c r="D8405" s="10" t="n">
        <v>44460</v>
      </c>
      <c r="E8405" s="9" t="s">
        <v>29</v>
      </c>
      <c r="F8405" s="9" t="s">
        <v>61</v>
      </c>
      <c r="G8405" s="9" t="s">
        <v>62</v>
      </c>
      <c r="H8405" s="11" t="s">
        <v>23</v>
      </c>
      <c r="I8405" s="12" t="n">
        <v>44</v>
      </c>
      <c r="J8405" s="13" t="n">
        <v>105</v>
      </c>
      <c r="K8405" s="14" t="n">
        <f aca="false">I8405*J8405</f>
        <v>4620</v>
      </c>
      <c r="L8405" s="14" t="n">
        <f aca="false">($L$2*M8405)/100</f>
        <v>793099.89</v>
      </c>
      <c r="M8405" s="15" t="n">
        <v>0.66</v>
      </c>
      <c r="N8405" s="9" t="s">
        <v>26</v>
      </c>
    </row>
    <row r="8406" customFormat="false" ht="14.25" hidden="false" customHeight="true" outlineLevel="0" collapsed="false">
      <c r="B8406" s="9" t="s">
        <v>28</v>
      </c>
      <c r="C8406" s="9" t="n">
        <v>1197831</v>
      </c>
      <c r="D8406" s="10" t="n">
        <v>44461</v>
      </c>
      <c r="E8406" s="9" t="s">
        <v>29</v>
      </c>
      <c r="F8406" s="9" t="s">
        <v>61</v>
      </c>
      <c r="G8406" s="9" t="s">
        <v>62</v>
      </c>
      <c r="H8406" s="11" t="s">
        <v>24</v>
      </c>
      <c r="I8406" s="12" t="n">
        <v>35</v>
      </c>
      <c r="J8406" s="13" t="n">
        <v>116</v>
      </c>
      <c r="K8406" s="14" t="n">
        <f aca="false">I8406*J8406</f>
        <v>4060</v>
      </c>
      <c r="L8406" s="14" t="n">
        <f aca="false">($L$2*M8406)/100</f>
        <v>576799.92</v>
      </c>
      <c r="M8406" s="15" t="n">
        <v>0.48</v>
      </c>
      <c r="N8406" s="9" t="s">
        <v>26</v>
      </c>
    </row>
    <row r="8407" customFormat="false" ht="14.25" hidden="false" customHeight="true" outlineLevel="0" collapsed="false">
      <c r="B8407" s="9" t="s">
        <v>28</v>
      </c>
      <c r="C8407" s="9" t="n">
        <v>1197831</v>
      </c>
      <c r="D8407" s="10" t="n">
        <v>44462</v>
      </c>
      <c r="E8407" s="9" t="s">
        <v>29</v>
      </c>
      <c r="F8407" s="9" t="s">
        <v>61</v>
      </c>
      <c r="G8407" s="9" t="s">
        <v>62</v>
      </c>
      <c r="H8407" s="11" t="s">
        <v>25</v>
      </c>
      <c r="I8407" s="12" t="n">
        <v>26</v>
      </c>
      <c r="J8407" s="13" t="n">
        <v>190</v>
      </c>
      <c r="K8407" s="14" t="n">
        <f aca="false">I8407*J8407</f>
        <v>4940</v>
      </c>
      <c r="L8407" s="14" t="n">
        <f aca="false">($L$2*M8407)/100</f>
        <v>865199.88</v>
      </c>
      <c r="M8407" s="15" t="n">
        <v>0.72</v>
      </c>
      <c r="N8407" s="9" t="s">
        <v>26</v>
      </c>
    </row>
    <row r="8408" customFormat="false" ht="14.25" hidden="false" customHeight="true" outlineLevel="0" collapsed="false">
      <c r="B8408" s="9" t="s">
        <v>28</v>
      </c>
      <c r="C8408" s="9" t="n">
        <v>1197831</v>
      </c>
      <c r="D8408" s="10" t="n">
        <v>44463</v>
      </c>
      <c r="E8408" s="9" t="s">
        <v>29</v>
      </c>
      <c r="F8408" s="9" t="s">
        <v>61</v>
      </c>
      <c r="G8408" s="9" t="s">
        <v>62</v>
      </c>
      <c r="H8408" s="11" t="s">
        <v>19</v>
      </c>
      <c r="I8408" s="12" t="n">
        <v>20</v>
      </c>
      <c r="J8408" s="13" t="n">
        <v>184</v>
      </c>
      <c r="K8408" s="14" t="n">
        <f aca="false">I8408*J8408</f>
        <v>3680</v>
      </c>
      <c r="L8408" s="14" t="n">
        <f aca="false">($L$2*M8408)/100</f>
        <v>624866.58</v>
      </c>
      <c r="M8408" s="15" t="n">
        <v>0.52</v>
      </c>
      <c r="N8408" s="9" t="s">
        <v>26</v>
      </c>
    </row>
    <row r="8409" customFormat="false" ht="14.25" hidden="false" customHeight="true" outlineLevel="0" collapsed="false">
      <c r="B8409" s="9" t="s">
        <v>28</v>
      </c>
      <c r="C8409" s="9" t="n">
        <v>1197831</v>
      </c>
      <c r="D8409" s="10" t="n">
        <v>44464</v>
      </c>
      <c r="E8409" s="9" t="s">
        <v>29</v>
      </c>
      <c r="F8409" s="9" t="s">
        <v>61</v>
      </c>
      <c r="G8409" s="9" t="s">
        <v>62</v>
      </c>
      <c r="H8409" s="11" t="s">
        <v>21</v>
      </c>
      <c r="I8409" s="12" t="n">
        <v>23</v>
      </c>
      <c r="J8409" s="13" t="n">
        <v>173</v>
      </c>
      <c r="K8409" s="14" t="n">
        <f aca="false">I8409*J8409</f>
        <v>3979</v>
      </c>
      <c r="L8409" s="14" t="n">
        <f aca="false">($L$2*M8409)/100</f>
        <v>660916.575</v>
      </c>
      <c r="M8409" s="15" t="n">
        <v>0.55</v>
      </c>
      <c r="N8409" s="9" t="s">
        <v>26</v>
      </c>
    </row>
    <row r="8410" customFormat="false" ht="14.25" hidden="false" customHeight="true" outlineLevel="0" collapsed="false">
      <c r="B8410" s="9" t="s">
        <v>28</v>
      </c>
      <c r="C8410" s="9" t="n">
        <v>1197831</v>
      </c>
      <c r="D8410" s="10" t="n">
        <v>44465</v>
      </c>
      <c r="E8410" s="9" t="s">
        <v>29</v>
      </c>
      <c r="F8410" s="9" t="s">
        <v>61</v>
      </c>
      <c r="G8410" s="9" t="s">
        <v>62</v>
      </c>
      <c r="H8410" s="11" t="s">
        <v>22</v>
      </c>
      <c r="I8410" s="12" t="n">
        <v>24</v>
      </c>
      <c r="J8410" s="13" t="n">
        <v>166</v>
      </c>
      <c r="K8410" s="14" t="n">
        <f aca="false">I8410*J8410</f>
        <v>3984</v>
      </c>
      <c r="L8410" s="14" t="n">
        <f aca="false">($L$2*M8410)/100</f>
        <v>648899.91</v>
      </c>
      <c r="M8410" s="15" t="n">
        <v>0.54</v>
      </c>
      <c r="N8410" s="9" t="s">
        <v>26</v>
      </c>
    </row>
    <row r="8411" customFormat="false" ht="14.25" hidden="false" customHeight="true" outlineLevel="0" collapsed="false">
      <c r="B8411" s="9" t="s">
        <v>28</v>
      </c>
      <c r="C8411" s="9" t="n">
        <v>1197831</v>
      </c>
      <c r="D8411" s="10" t="n">
        <v>44466</v>
      </c>
      <c r="E8411" s="9" t="s">
        <v>29</v>
      </c>
      <c r="F8411" s="9" t="s">
        <v>61</v>
      </c>
      <c r="G8411" s="9" t="s">
        <v>62</v>
      </c>
      <c r="H8411" s="11" t="s">
        <v>23</v>
      </c>
      <c r="I8411" s="12" t="n">
        <v>26</v>
      </c>
      <c r="J8411" s="13" t="n">
        <v>98</v>
      </c>
      <c r="K8411" s="14" t="n">
        <f aca="false">I8411*J8411</f>
        <v>2548</v>
      </c>
      <c r="L8411" s="14" t="n">
        <f aca="false">($L$2*M8411)/100</f>
        <v>805116.555</v>
      </c>
      <c r="M8411" s="15" t="n">
        <v>0.67</v>
      </c>
      <c r="N8411" s="9" t="s">
        <v>26</v>
      </c>
    </row>
    <row r="8412" customFormat="false" ht="14.25" hidden="false" customHeight="true" outlineLevel="0" collapsed="false">
      <c r="B8412" s="9" t="s">
        <v>28</v>
      </c>
      <c r="C8412" s="9" t="n">
        <v>1197831</v>
      </c>
      <c r="D8412" s="10" t="n">
        <v>44467</v>
      </c>
      <c r="E8412" s="9" t="s">
        <v>29</v>
      </c>
      <c r="F8412" s="9" t="s">
        <v>61</v>
      </c>
      <c r="G8412" s="9" t="s">
        <v>62</v>
      </c>
      <c r="H8412" s="11" t="s">
        <v>24</v>
      </c>
      <c r="I8412" s="12" t="n">
        <v>22</v>
      </c>
      <c r="J8412" s="13" t="n">
        <v>105</v>
      </c>
      <c r="K8412" s="14" t="n">
        <f aca="false">I8412*J8412</f>
        <v>2310</v>
      </c>
      <c r="L8412" s="14" t="n">
        <f aca="false">($L$2*M8412)/100</f>
        <v>588816.585</v>
      </c>
      <c r="M8412" s="15" t="n">
        <v>0.49</v>
      </c>
      <c r="N8412" s="9" t="s">
        <v>26</v>
      </c>
    </row>
    <row r="8413" customFormat="false" ht="14.25" hidden="false" customHeight="true" outlineLevel="0" collapsed="false">
      <c r="B8413" s="9" t="s">
        <v>28</v>
      </c>
      <c r="C8413" s="9" t="n">
        <v>1197831</v>
      </c>
      <c r="D8413" s="10" t="n">
        <v>44468</v>
      </c>
      <c r="E8413" s="9" t="s">
        <v>29</v>
      </c>
      <c r="F8413" s="9" t="s">
        <v>61</v>
      </c>
      <c r="G8413" s="9" t="s">
        <v>62</v>
      </c>
      <c r="H8413" s="11" t="s">
        <v>25</v>
      </c>
      <c r="I8413" s="12" t="n">
        <v>26</v>
      </c>
      <c r="J8413" s="13" t="n">
        <v>147</v>
      </c>
      <c r="K8413" s="14" t="n">
        <f aca="false">I8413*J8413</f>
        <v>3822</v>
      </c>
      <c r="L8413" s="14" t="n">
        <f aca="false">($L$2*M8413)/100</f>
        <v>865199.88</v>
      </c>
      <c r="M8413" s="15" t="n">
        <v>0.72</v>
      </c>
      <c r="N8413" s="9" t="s">
        <v>26</v>
      </c>
    </row>
    <row r="8414" customFormat="false" ht="14.25" hidden="false" customHeight="true" outlineLevel="0" collapsed="false">
      <c r="B8414" s="9" t="s">
        <v>28</v>
      </c>
      <c r="C8414" s="9" t="n">
        <v>1197831</v>
      </c>
      <c r="D8414" s="10" t="n">
        <v>44469</v>
      </c>
      <c r="E8414" s="9" t="s">
        <v>29</v>
      </c>
      <c r="F8414" s="9" t="s">
        <v>61</v>
      </c>
      <c r="G8414" s="9" t="s">
        <v>62</v>
      </c>
      <c r="H8414" s="11" t="s">
        <v>19</v>
      </c>
      <c r="I8414" s="12" t="n">
        <v>14</v>
      </c>
      <c r="J8414" s="13" t="n">
        <v>188</v>
      </c>
      <c r="K8414" s="14" t="n">
        <f aca="false">I8414*J8414</f>
        <v>2632</v>
      </c>
      <c r="L8414" s="14" t="n">
        <f aca="false">($L$2*M8414)/100</f>
        <v>684949.905</v>
      </c>
      <c r="M8414" s="15" t="n">
        <v>0.57</v>
      </c>
      <c r="N8414" s="9" t="s">
        <v>26</v>
      </c>
    </row>
    <row r="8415" customFormat="false" ht="14.25" hidden="false" customHeight="true" outlineLevel="0" collapsed="false">
      <c r="B8415" s="9" t="s">
        <v>28</v>
      </c>
      <c r="C8415" s="9" t="n">
        <v>1197831</v>
      </c>
      <c r="D8415" s="10" t="n">
        <v>44470</v>
      </c>
      <c r="E8415" s="9" t="s">
        <v>29</v>
      </c>
      <c r="F8415" s="9" t="s">
        <v>61</v>
      </c>
      <c r="G8415" s="9" t="s">
        <v>62</v>
      </c>
      <c r="H8415" s="11" t="s">
        <v>21</v>
      </c>
      <c r="I8415" s="12" t="n">
        <v>14</v>
      </c>
      <c r="J8415" s="13" t="n">
        <v>200</v>
      </c>
      <c r="K8415" s="14" t="n">
        <f aca="false">I8415*J8415</f>
        <v>2800</v>
      </c>
      <c r="L8415" s="14" t="n">
        <f aca="false">($L$2*M8415)/100</f>
        <v>624866.58</v>
      </c>
      <c r="M8415" s="15" t="n">
        <v>0.52</v>
      </c>
      <c r="N8415" s="9" t="s">
        <v>26</v>
      </c>
    </row>
    <row r="8416" customFormat="false" ht="14.25" hidden="false" customHeight="true" outlineLevel="0" collapsed="false">
      <c r="B8416" s="9" t="s">
        <v>28</v>
      </c>
      <c r="C8416" s="9" t="n">
        <v>1197831</v>
      </c>
      <c r="D8416" s="10" t="n">
        <v>44471</v>
      </c>
      <c r="E8416" s="9" t="s">
        <v>29</v>
      </c>
      <c r="F8416" s="9" t="s">
        <v>61</v>
      </c>
      <c r="G8416" s="9" t="s">
        <v>62</v>
      </c>
      <c r="H8416" s="11" t="s">
        <v>22</v>
      </c>
      <c r="I8416" s="12" t="n">
        <v>33</v>
      </c>
      <c r="J8416" s="13" t="n">
        <v>196</v>
      </c>
      <c r="K8416" s="14" t="n">
        <f aca="false">I8416*J8416</f>
        <v>6468</v>
      </c>
      <c r="L8416" s="14" t="n">
        <f aca="false">($L$2*M8416)/100</f>
        <v>660916.575</v>
      </c>
      <c r="M8416" s="15" t="n">
        <v>0.55</v>
      </c>
      <c r="N8416" s="9" t="s">
        <v>26</v>
      </c>
    </row>
    <row r="8417" customFormat="false" ht="14.25" hidden="false" customHeight="true" outlineLevel="0" collapsed="false">
      <c r="B8417" s="9" t="s">
        <v>28</v>
      </c>
      <c r="C8417" s="9" t="n">
        <v>1197831</v>
      </c>
      <c r="D8417" s="10" t="n">
        <v>44472</v>
      </c>
      <c r="E8417" s="9" t="s">
        <v>29</v>
      </c>
      <c r="F8417" s="9" t="s">
        <v>61</v>
      </c>
      <c r="G8417" s="9" t="s">
        <v>62</v>
      </c>
      <c r="H8417" s="11" t="s">
        <v>23</v>
      </c>
      <c r="I8417" s="12" t="n">
        <v>36</v>
      </c>
      <c r="J8417" s="13" t="n">
        <v>135</v>
      </c>
      <c r="K8417" s="14" t="n">
        <f aca="false">I8417*J8417</f>
        <v>4860</v>
      </c>
      <c r="L8417" s="14" t="n">
        <f aca="false">($L$2*M8417)/100</f>
        <v>805116.555</v>
      </c>
      <c r="M8417" s="15" t="n">
        <v>0.67</v>
      </c>
      <c r="N8417" s="9" t="s">
        <v>26</v>
      </c>
    </row>
    <row r="8418" customFormat="false" ht="14.25" hidden="false" customHeight="true" outlineLevel="0" collapsed="false">
      <c r="B8418" s="9" t="s">
        <v>28</v>
      </c>
      <c r="C8418" s="9" t="n">
        <v>1197831</v>
      </c>
      <c r="D8418" s="10" t="n">
        <v>44473</v>
      </c>
      <c r="E8418" s="9" t="s">
        <v>29</v>
      </c>
      <c r="F8418" s="9" t="s">
        <v>61</v>
      </c>
      <c r="G8418" s="9" t="s">
        <v>62</v>
      </c>
      <c r="H8418" s="11" t="s">
        <v>24</v>
      </c>
      <c r="I8418" s="12" t="n">
        <v>37</v>
      </c>
      <c r="J8418" s="13" t="n">
        <v>149</v>
      </c>
      <c r="K8418" s="14" t="n">
        <f aca="false">I8418*J8418</f>
        <v>5513</v>
      </c>
      <c r="L8418" s="14" t="n">
        <f aca="false">($L$2*M8418)/100</f>
        <v>576799.92</v>
      </c>
      <c r="M8418" s="15" t="n">
        <v>0.48</v>
      </c>
      <c r="N8418" s="9" t="s">
        <v>26</v>
      </c>
    </row>
    <row r="8419" customFormat="false" ht="14.25" hidden="false" customHeight="true" outlineLevel="0" collapsed="false">
      <c r="B8419" s="9" t="s">
        <v>28</v>
      </c>
      <c r="C8419" s="9" t="n">
        <v>1197831</v>
      </c>
      <c r="D8419" s="10" t="n">
        <v>44474</v>
      </c>
      <c r="E8419" s="9" t="s">
        <v>29</v>
      </c>
      <c r="F8419" s="9" t="s">
        <v>61</v>
      </c>
      <c r="G8419" s="9" t="s">
        <v>62</v>
      </c>
      <c r="H8419" s="11" t="s">
        <v>25</v>
      </c>
      <c r="I8419" s="12" t="n">
        <v>45</v>
      </c>
      <c r="J8419" s="13" t="n">
        <v>188</v>
      </c>
      <c r="K8419" s="14" t="n">
        <f aca="false">I8419*J8419</f>
        <v>8460</v>
      </c>
      <c r="L8419" s="14" t="n">
        <f aca="false">($L$2*M8419)/100</f>
        <v>829149.885</v>
      </c>
      <c r="M8419" s="15" t="n">
        <v>0.69</v>
      </c>
      <c r="N8419" s="9" t="s">
        <v>26</v>
      </c>
    </row>
    <row r="8420" customFormat="false" ht="14.25" hidden="false" customHeight="true" outlineLevel="0" collapsed="false">
      <c r="B8420" s="9" t="s">
        <v>28</v>
      </c>
      <c r="C8420" s="9" t="n">
        <v>1197831</v>
      </c>
      <c r="D8420" s="10" t="n">
        <v>44475</v>
      </c>
      <c r="E8420" s="9" t="s">
        <v>29</v>
      </c>
      <c r="F8420" s="9" t="s">
        <v>61</v>
      </c>
      <c r="G8420" s="9" t="s">
        <v>62</v>
      </c>
      <c r="H8420" s="11" t="s">
        <v>19</v>
      </c>
      <c r="I8420" s="12" t="n">
        <v>46</v>
      </c>
      <c r="J8420" s="13" t="n">
        <v>240</v>
      </c>
      <c r="K8420" s="14" t="n">
        <f aca="false">I8420*J8420</f>
        <v>11040</v>
      </c>
      <c r="L8420" s="14" t="n">
        <f aca="false">($L$2*M8420)/100</f>
        <v>672933.24</v>
      </c>
      <c r="M8420" s="15" t="n">
        <v>0.56</v>
      </c>
      <c r="N8420" s="9" t="s">
        <v>26</v>
      </c>
    </row>
    <row r="8421" customFormat="false" ht="14.25" hidden="false" customHeight="true" outlineLevel="0" collapsed="false">
      <c r="B8421" s="9" t="s">
        <v>28</v>
      </c>
      <c r="C8421" s="9" t="n">
        <v>1197831</v>
      </c>
      <c r="D8421" s="10" t="n">
        <v>44476</v>
      </c>
      <c r="E8421" s="9" t="s">
        <v>29</v>
      </c>
      <c r="F8421" s="9" t="s">
        <v>61</v>
      </c>
      <c r="G8421" s="9" t="s">
        <v>62</v>
      </c>
      <c r="H8421" s="11" t="s">
        <v>21</v>
      </c>
      <c r="I8421" s="12" t="n">
        <v>40</v>
      </c>
      <c r="J8421" s="13" t="n">
        <v>248</v>
      </c>
      <c r="K8421" s="14" t="n">
        <f aca="false">I8421*J8421</f>
        <v>9920</v>
      </c>
      <c r="L8421" s="14" t="n">
        <f aca="false">($L$2*M8421)/100</f>
        <v>636883.245</v>
      </c>
      <c r="M8421" s="15" t="n">
        <v>0.53</v>
      </c>
      <c r="N8421" s="9" t="s">
        <v>26</v>
      </c>
    </row>
    <row r="8422" customFormat="false" ht="14.25" hidden="false" customHeight="true" outlineLevel="0" collapsed="false">
      <c r="B8422" s="9" t="s">
        <v>28</v>
      </c>
      <c r="C8422" s="9" t="n">
        <v>1197831</v>
      </c>
      <c r="D8422" s="10" t="n">
        <v>44477</v>
      </c>
      <c r="E8422" s="9" t="s">
        <v>29</v>
      </c>
      <c r="F8422" s="9" t="s">
        <v>61</v>
      </c>
      <c r="G8422" s="9" t="s">
        <v>62</v>
      </c>
      <c r="H8422" s="11" t="s">
        <v>22</v>
      </c>
      <c r="I8422" s="12" t="n">
        <v>47</v>
      </c>
      <c r="J8422" s="13" t="n">
        <v>217</v>
      </c>
      <c r="K8422" s="14" t="n">
        <f aca="false">I8422*J8422</f>
        <v>10199</v>
      </c>
      <c r="L8422" s="14" t="n">
        <f aca="false">($L$2*M8422)/100</f>
        <v>648899.91</v>
      </c>
      <c r="M8422" s="15" t="n">
        <v>0.54</v>
      </c>
      <c r="N8422" s="9" t="s">
        <v>26</v>
      </c>
    </row>
    <row r="8423" customFormat="false" ht="14.25" hidden="false" customHeight="true" outlineLevel="0" collapsed="false">
      <c r="B8423" s="9" t="s">
        <v>28</v>
      </c>
      <c r="C8423" s="9" t="n">
        <v>1197831</v>
      </c>
      <c r="D8423" s="10" t="n">
        <v>44478</v>
      </c>
      <c r="E8423" s="9" t="s">
        <v>29</v>
      </c>
      <c r="F8423" s="9" t="s">
        <v>61</v>
      </c>
      <c r="G8423" s="9" t="s">
        <v>62</v>
      </c>
      <c r="H8423" s="11" t="s">
        <v>23</v>
      </c>
      <c r="I8423" s="12" t="n">
        <v>52</v>
      </c>
      <c r="J8423" s="13" t="n">
        <v>193</v>
      </c>
      <c r="K8423" s="14" t="n">
        <f aca="false">I8423*J8423</f>
        <v>10036</v>
      </c>
      <c r="L8423" s="14" t="n">
        <f aca="false">($L$2*M8423)/100</f>
        <v>757049.895</v>
      </c>
      <c r="M8423" s="15" t="n">
        <v>0.63</v>
      </c>
      <c r="N8423" s="9" t="s">
        <v>26</v>
      </c>
    </row>
    <row r="8424" customFormat="false" ht="14.25" hidden="false" customHeight="true" outlineLevel="0" collapsed="false">
      <c r="B8424" s="9" t="s">
        <v>28</v>
      </c>
      <c r="C8424" s="9" t="n">
        <v>1197831</v>
      </c>
      <c r="D8424" s="10" t="n">
        <v>44479</v>
      </c>
      <c r="E8424" s="9" t="s">
        <v>29</v>
      </c>
      <c r="F8424" s="9" t="s">
        <v>61</v>
      </c>
      <c r="G8424" s="9" t="s">
        <v>62</v>
      </c>
      <c r="H8424" s="11" t="s">
        <v>24</v>
      </c>
      <c r="I8424" s="12" t="n">
        <v>40</v>
      </c>
      <c r="J8424" s="13" t="n">
        <v>155</v>
      </c>
      <c r="K8424" s="14" t="n">
        <f aca="false">I8424*J8424</f>
        <v>6200</v>
      </c>
      <c r="L8424" s="14" t="n">
        <f aca="false">($L$2*M8424)/100</f>
        <v>564783.255</v>
      </c>
      <c r="M8424" s="15" t="n">
        <v>0.47</v>
      </c>
      <c r="N8424" s="9" t="s">
        <v>26</v>
      </c>
    </row>
    <row r="8425" customFormat="false" ht="14.25" hidden="false" customHeight="true" outlineLevel="0" collapsed="false">
      <c r="B8425" s="9" t="s">
        <v>28</v>
      </c>
      <c r="C8425" s="9" t="n">
        <v>1197831</v>
      </c>
      <c r="D8425" s="10" t="n">
        <v>44480</v>
      </c>
      <c r="E8425" s="9" t="s">
        <v>29</v>
      </c>
      <c r="F8425" s="9" t="s">
        <v>61</v>
      </c>
      <c r="G8425" s="9" t="s">
        <v>62</v>
      </c>
      <c r="H8425" s="11" t="s">
        <v>25</v>
      </c>
      <c r="I8425" s="12" t="n">
        <v>56</v>
      </c>
      <c r="J8425" s="13" t="n">
        <v>225</v>
      </c>
      <c r="K8425" s="14" t="n">
        <f aca="false">I8425*J8425</f>
        <v>12600</v>
      </c>
      <c r="L8425" s="14" t="n">
        <f aca="false">($L$2*M8425)/100</f>
        <v>865199.88</v>
      </c>
      <c r="M8425" s="15" t="n">
        <v>0.72</v>
      </c>
      <c r="N8425" s="9" t="s">
        <v>26</v>
      </c>
    </row>
    <row r="8426" customFormat="false" ht="14.25" hidden="false" customHeight="true" outlineLevel="0" collapsed="false">
      <c r="B8426" s="9" t="s">
        <v>63</v>
      </c>
      <c r="C8426" s="9" t="n">
        <v>1185732</v>
      </c>
      <c r="D8426" s="10" t="n">
        <v>44481</v>
      </c>
      <c r="E8426" s="9" t="s">
        <v>29</v>
      </c>
      <c r="F8426" s="9" t="s">
        <v>61</v>
      </c>
      <c r="G8426" s="9" t="s">
        <v>62</v>
      </c>
      <c r="H8426" s="11" t="s">
        <v>19</v>
      </c>
      <c r="I8426" s="12" t="n">
        <v>27</v>
      </c>
      <c r="J8426" s="13" t="n">
        <v>140</v>
      </c>
      <c r="K8426" s="14" t="n">
        <f aca="false">I8426*J8426</f>
        <v>3780</v>
      </c>
      <c r="L8426" s="14" t="n">
        <f aca="false">($L$2*M8426)/100</f>
        <v>468649.935</v>
      </c>
      <c r="M8426" s="15" t="n">
        <v>0.39</v>
      </c>
      <c r="N8426" s="9" t="s">
        <v>26</v>
      </c>
    </row>
    <row r="8427" customFormat="false" ht="14.25" hidden="false" customHeight="true" outlineLevel="0" collapsed="false">
      <c r="B8427" s="9" t="s">
        <v>63</v>
      </c>
      <c r="C8427" s="9" t="n">
        <v>1185732</v>
      </c>
      <c r="D8427" s="10" t="n">
        <v>44482</v>
      </c>
      <c r="E8427" s="9" t="s">
        <v>29</v>
      </c>
      <c r="F8427" s="9" t="s">
        <v>61</v>
      </c>
      <c r="G8427" s="9" t="s">
        <v>62</v>
      </c>
      <c r="H8427" s="11" t="s">
        <v>21</v>
      </c>
      <c r="I8427" s="12" t="n">
        <v>30</v>
      </c>
      <c r="J8427" s="13" t="n">
        <v>88</v>
      </c>
      <c r="K8427" s="14" t="n">
        <f aca="false">I8427*J8427</f>
        <v>2640</v>
      </c>
      <c r="L8427" s="14" t="n">
        <f aca="false">($L$2*M8427)/100</f>
        <v>492683.265</v>
      </c>
      <c r="M8427" s="15" t="n">
        <v>0.41</v>
      </c>
      <c r="N8427" s="9" t="s">
        <v>26</v>
      </c>
    </row>
    <row r="8428" customFormat="false" ht="14.25" hidden="false" customHeight="true" outlineLevel="0" collapsed="false">
      <c r="B8428" s="9" t="s">
        <v>63</v>
      </c>
      <c r="C8428" s="9" t="n">
        <v>1185732</v>
      </c>
      <c r="D8428" s="10" t="n">
        <v>44483</v>
      </c>
      <c r="E8428" s="9" t="s">
        <v>29</v>
      </c>
      <c r="F8428" s="9" t="s">
        <v>61</v>
      </c>
      <c r="G8428" s="9" t="s">
        <v>62</v>
      </c>
      <c r="H8428" s="11" t="s">
        <v>22</v>
      </c>
      <c r="I8428" s="12" t="n">
        <v>23</v>
      </c>
      <c r="J8428" s="13" t="n">
        <v>83</v>
      </c>
      <c r="K8428" s="14" t="n">
        <f aca="false">I8428*J8428</f>
        <v>1909</v>
      </c>
      <c r="L8428" s="14" t="n">
        <f aca="false">($L$2*M8428)/100</f>
        <v>504699.93</v>
      </c>
      <c r="M8428" s="15" t="n">
        <v>0.42</v>
      </c>
      <c r="N8428" s="9" t="s">
        <v>26</v>
      </c>
    </row>
    <row r="8429" customFormat="false" ht="14.25" hidden="false" customHeight="true" outlineLevel="0" collapsed="false">
      <c r="B8429" s="9" t="s">
        <v>63</v>
      </c>
      <c r="C8429" s="9" t="n">
        <v>1185732</v>
      </c>
      <c r="D8429" s="10" t="n">
        <v>44484</v>
      </c>
      <c r="E8429" s="9" t="s">
        <v>29</v>
      </c>
      <c r="F8429" s="9" t="s">
        <v>61</v>
      </c>
      <c r="G8429" s="9" t="s">
        <v>62</v>
      </c>
      <c r="H8429" s="11" t="s">
        <v>23</v>
      </c>
      <c r="I8429" s="12" t="n">
        <v>25</v>
      </c>
      <c r="J8429" s="13" t="n">
        <v>30</v>
      </c>
      <c r="K8429" s="14" t="n">
        <f aca="false">I8429*J8429</f>
        <v>750</v>
      </c>
      <c r="L8429" s="14" t="n">
        <f aca="false">($L$2*M8429)/100</f>
        <v>396549.945</v>
      </c>
      <c r="M8429" s="15" t="n">
        <v>0.33</v>
      </c>
      <c r="N8429" s="9" t="s">
        <v>26</v>
      </c>
    </row>
    <row r="8430" customFormat="false" ht="14.25" hidden="false" customHeight="true" outlineLevel="0" collapsed="false">
      <c r="B8430" s="9" t="s">
        <v>28</v>
      </c>
      <c r="C8430" s="9" t="n">
        <v>1128299</v>
      </c>
      <c r="D8430" s="10" t="n">
        <v>44244</v>
      </c>
      <c r="E8430" s="9" t="s">
        <v>50</v>
      </c>
      <c r="F8430" s="9" t="s">
        <v>51</v>
      </c>
      <c r="G8430" s="9" t="s">
        <v>70</v>
      </c>
      <c r="H8430" s="11" t="s">
        <v>23</v>
      </c>
      <c r="I8430" s="12" t="n">
        <v>36</v>
      </c>
      <c r="J8430" s="13" t="n">
        <v>94</v>
      </c>
      <c r="K8430" s="14" t="n">
        <f aca="false">I8430*J8430</f>
        <v>3384</v>
      </c>
      <c r="L8430" s="14" t="n">
        <f aca="false">($L$2*M8430)/100</f>
        <v>444616.605</v>
      </c>
      <c r="M8430" s="15" t="n">
        <v>0.37</v>
      </c>
      <c r="N8430" s="9" t="s">
        <v>26</v>
      </c>
    </row>
    <row r="8431" customFormat="false" ht="14.25" hidden="false" customHeight="true" outlineLevel="0" collapsed="false">
      <c r="B8431" s="9" t="s">
        <v>28</v>
      </c>
      <c r="C8431" s="9" t="n">
        <v>1128299</v>
      </c>
      <c r="D8431" s="10" t="n">
        <v>44244</v>
      </c>
      <c r="E8431" s="9" t="s">
        <v>50</v>
      </c>
      <c r="F8431" s="9" t="s">
        <v>51</v>
      </c>
      <c r="G8431" s="9" t="s">
        <v>70</v>
      </c>
      <c r="H8431" s="11" t="s">
        <v>24</v>
      </c>
      <c r="I8431" s="12" t="n">
        <v>44</v>
      </c>
      <c r="J8431" s="13" t="n">
        <v>62</v>
      </c>
      <c r="K8431" s="14" t="n">
        <f aca="false">I8431*J8431</f>
        <v>2728</v>
      </c>
      <c r="L8431" s="14" t="n">
        <f aca="false">($L$2*M8431)/100</f>
        <v>288399.96</v>
      </c>
      <c r="M8431" s="15" t="n">
        <v>0.24</v>
      </c>
      <c r="N8431" s="9" t="s">
        <v>26</v>
      </c>
    </row>
    <row r="8432" customFormat="false" ht="14.25" hidden="false" customHeight="true" outlineLevel="0" collapsed="false">
      <c r="B8432" s="9" t="s">
        <v>28</v>
      </c>
      <c r="C8432" s="9" t="n">
        <v>1128299</v>
      </c>
      <c r="D8432" s="10" t="n">
        <v>44244</v>
      </c>
      <c r="E8432" s="9" t="s">
        <v>50</v>
      </c>
      <c r="F8432" s="9" t="s">
        <v>51</v>
      </c>
      <c r="G8432" s="9" t="s">
        <v>70</v>
      </c>
      <c r="H8432" s="11" t="s">
        <v>25</v>
      </c>
      <c r="I8432" s="12" t="n">
        <v>33</v>
      </c>
      <c r="J8432" s="13" t="n">
        <v>124</v>
      </c>
      <c r="K8432" s="14" t="n">
        <f aca="false">I8432*J8432</f>
        <v>4092</v>
      </c>
      <c r="L8432" s="14" t="n">
        <f aca="false">($L$2*M8432)/100</f>
        <v>612849.915</v>
      </c>
      <c r="M8432" s="15" t="n">
        <v>0.51</v>
      </c>
      <c r="N8432" s="9" t="s">
        <v>26</v>
      </c>
    </row>
    <row r="8433" customFormat="false" ht="14.25" hidden="false" customHeight="true" outlineLevel="0" collapsed="false">
      <c r="B8433" s="9" t="s">
        <v>28</v>
      </c>
      <c r="C8433" s="9" t="n">
        <v>1128299</v>
      </c>
      <c r="D8433" s="10" t="n">
        <v>44271</v>
      </c>
      <c r="E8433" s="9" t="s">
        <v>50</v>
      </c>
      <c r="F8433" s="9" t="s">
        <v>51</v>
      </c>
      <c r="G8433" s="9" t="s">
        <v>70</v>
      </c>
      <c r="H8433" s="11" t="s">
        <v>19</v>
      </c>
      <c r="I8433" s="12" t="n">
        <v>35</v>
      </c>
      <c r="J8433" s="13" t="n">
        <v>171</v>
      </c>
      <c r="K8433" s="14" t="n">
        <f aca="false">I8433*J8433</f>
        <v>5985</v>
      </c>
      <c r="L8433" s="14" t="n">
        <f aca="false">($L$2*M8433)/100</f>
        <v>408566.61</v>
      </c>
      <c r="M8433" s="15" t="n">
        <v>0.34</v>
      </c>
      <c r="N8433" s="9" t="s">
        <v>26</v>
      </c>
    </row>
    <row r="8434" customFormat="false" ht="14.25" hidden="false" customHeight="true" outlineLevel="0" collapsed="false">
      <c r="B8434" s="9" t="s">
        <v>28</v>
      </c>
      <c r="C8434" s="9" t="n">
        <v>1128299</v>
      </c>
      <c r="D8434" s="10" t="n">
        <v>44271</v>
      </c>
      <c r="E8434" s="9" t="s">
        <v>50</v>
      </c>
      <c r="F8434" s="9" t="s">
        <v>51</v>
      </c>
      <c r="G8434" s="9" t="s">
        <v>70</v>
      </c>
      <c r="H8434" s="11" t="s">
        <v>21</v>
      </c>
      <c r="I8434" s="12" t="n">
        <v>44</v>
      </c>
      <c r="J8434" s="13" t="n">
        <v>124</v>
      </c>
      <c r="K8434" s="14" t="n">
        <f aca="false">I8434*J8434</f>
        <v>5456</v>
      </c>
      <c r="L8434" s="14" t="n">
        <f aca="false">($L$2*M8434)/100</f>
        <v>372516.615</v>
      </c>
      <c r="M8434" s="15" t="n">
        <v>0.31</v>
      </c>
      <c r="N8434" s="9" t="s">
        <v>26</v>
      </c>
    </row>
    <row r="8435" customFormat="false" ht="14.25" hidden="false" customHeight="true" outlineLevel="0" collapsed="false">
      <c r="B8435" s="9" t="s">
        <v>28</v>
      </c>
      <c r="C8435" s="9" t="n">
        <v>1128299</v>
      </c>
      <c r="D8435" s="10" t="n">
        <v>44271</v>
      </c>
      <c r="E8435" s="9" t="s">
        <v>50</v>
      </c>
      <c r="F8435" s="9" t="s">
        <v>51</v>
      </c>
      <c r="G8435" s="9" t="s">
        <v>70</v>
      </c>
      <c r="H8435" s="11" t="s">
        <v>22</v>
      </c>
      <c r="I8435" s="12" t="n">
        <v>47</v>
      </c>
      <c r="J8435" s="13" t="n">
        <v>149</v>
      </c>
      <c r="K8435" s="14" t="n">
        <f aca="false">I8435*J8435</f>
        <v>7003</v>
      </c>
      <c r="L8435" s="14" t="n">
        <f aca="false">($L$2*M8435)/100</f>
        <v>384533.28</v>
      </c>
      <c r="M8435" s="15" t="n">
        <v>0.32</v>
      </c>
      <c r="N8435" s="9" t="s">
        <v>26</v>
      </c>
    </row>
    <row r="8436" customFormat="false" ht="14.25" hidden="false" customHeight="true" outlineLevel="0" collapsed="false">
      <c r="B8436" s="9" t="s">
        <v>28</v>
      </c>
      <c r="C8436" s="9" t="n">
        <v>1128299</v>
      </c>
      <c r="D8436" s="10" t="n">
        <v>44271</v>
      </c>
      <c r="E8436" s="9" t="s">
        <v>50</v>
      </c>
      <c r="F8436" s="9" t="s">
        <v>51</v>
      </c>
      <c r="G8436" s="9" t="s">
        <v>70</v>
      </c>
      <c r="H8436" s="11" t="s">
        <v>23</v>
      </c>
      <c r="I8436" s="12" t="n">
        <v>42</v>
      </c>
      <c r="J8436" s="13" t="n">
        <v>114</v>
      </c>
      <c r="K8436" s="14" t="n">
        <f aca="false">I8436*J8436</f>
        <v>4788</v>
      </c>
      <c r="L8436" s="14" t="n">
        <f aca="false">($L$2*M8436)/100</f>
        <v>420583.275</v>
      </c>
      <c r="M8436" s="15" t="n">
        <v>0.35</v>
      </c>
      <c r="N8436" s="9" t="s">
        <v>26</v>
      </c>
    </row>
    <row r="8437" customFormat="false" ht="14.25" hidden="false" customHeight="true" outlineLevel="0" collapsed="false">
      <c r="B8437" s="9" t="s">
        <v>28</v>
      </c>
      <c r="C8437" s="9" t="n">
        <v>1128299</v>
      </c>
      <c r="D8437" s="10" t="n">
        <v>44271</v>
      </c>
      <c r="E8437" s="9" t="s">
        <v>50</v>
      </c>
      <c r="F8437" s="9" t="s">
        <v>51</v>
      </c>
      <c r="G8437" s="9" t="s">
        <v>70</v>
      </c>
      <c r="H8437" s="11" t="s">
        <v>24</v>
      </c>
      <c r="I8437" s="12" t="n">
        <v>44</v>
      </c>
      <c r="J8437" s="13" t="n">
        <v>60</v>
      </c>
      <c r="K8437" s="14" t="n">
        <f aca="false">I8437*J8437</f>
        <v>2640</v>
      </c>
      <c r="L8437" s="14" t="n">
        <f aca="false">($L$2*M8437)/100</f>
        <v>312433.29</v>
      </c>
      <c r="M8437" s="15" t="n">
        <v>0.26</v>
      </c>
      <c r="N8437" s="9" t="s">
        <v>26</v>
      </c>
    </row>
    <row r="8438" customFormat="false" ht="14.25" hidden="false" customHeight="true" outlineLevel="0" collapsed="false">
      <c r="B8438" s="9" t="s">
        <v>28</v>
      </c>
      <c r="C8438" s="9" t="n">
        <v>1128299</v>
      </c>
      <c r="D8438" s="10" t="n">
        <v>44271</v>
      </c>
      <c r="E8438" s="9" t="s">
        <v>50</v>
      </c>
      <c r="F8438" s="9" t="s">
        <v>51</v>
      </c>
      <c r="G8438" s="9" t="s">
        <v>70</v>
      </c>
      <c r="H8438" s="11" t="s">
        <v>25</v>
      </c>
      <c r="I8438" s="12" t="n">
        <v>48</v>
      </c>
      <c r="J8438" s="13" t="n">
        <v>131</v>
      </c>
      <c r="K8438" s="14" t="n">
        <f aca="false">I8438*J8438</f>
        <v>6288</v>
      </c>
      <c r="L8438" s="14" t="n">
        <f aca="false">($L$2*M8438)/100</f>
        <v>564783.255</v>
      </c>
      <c r="M8438" s="15" t="n">
        <v>0.47</v>
      </c>
      <c r="N8438" s="9" t="s">
        <v>26</v>
      </c>
    </row>
    <row r="8439" customFormat="false" ht="14.25" hidden="false" customHeight="true" outlineLevel="0" collapsed="false">
      <c r="B8439" s="9" t="s">
        <v>27</v>
      </c>
      <c r="C8439" s="9" t="n">
        <v>1128299</v>
      </c>
      <c r="D8439" s="10" t="n">
        <v>44303</v>
      </c>
      <c r="E8439" s="9" t="s">
        <v>50</v>
      </c>
      <c r="F8439" s="9" t="s">
        <v>51</v>
      </c>
      <c r="G8439" s="9" t="s">
        <v>70</v>
      </c>
      <c r="H8439" s="11" t="s">
        <v>19</v>
      </c>
      <c r="I8439" s="12" t="n">
        <v>47</v>
      </c>
      <c r="J8439" s="13" t="n">
        <v>171</v>
      </c>
      <c r="K8439" s="14" t="n">
        <f aca="false">I8439*J8439</f>
        <v>8037</v>
      </c>
      <c r="L8439" s="14" t="n">
        <f aca="false">($L$2*M8439)/100</f>
        <v>432599.94</v>
      </c>
      <c r="M8439" s="15" t="n">
        <v>0.36</v>
      </c>
      <c r="N8439" s="9" t="s">
        <v>26</v>
      </c>
    </row>
    <row r="8440" customFormat="false" ht="14.25" hidden="false" customHeight="true" outlineLevel="0" collapsed="false">
      <c r="B8440" s="9" t="s">
        <v>27</v>
      </c>
      <c r="C8440" s="9" t="n">
        <v>1128299</v>
      </c>
      <c r="D8440" s="10" t="n">
        <v>44303</v>
      </c>
      <c r="E8440" s="9" t="s">
        <v>50</v>
      </c>
      <c r="F8440" s="9" t="s">
        <v>51</v>
      </c>
      <c r="G8440" s="9" t="s">
        <v>70</v>
      </c>
      <c r="H8440" s="11" t="s">
        <v>21</v>
      </c>
      <c r="I8440" s="12" t="n">
        <v>51</v>
      </c>
      <c r="J8440" s="13" t="n">
        <v>105</v>
      </c>
      <c r="K8440" s="14" t="n">
        <f aca="false">I8440*J8440</f>
        <v>5355</v>
      </c>
      <c r="L8440" s="14" t="n">
        <f aca="false">($L$2*M8440)/100</f>
        <v>324449.955</v>
      </c>
      <c r="M8440" s="15" t="n">
        <v>0.27</v>
      </c>
      <c r="N8440" s="9" t="s">
        <v>26</v>
      </c>
    </row>
    <row r="8441" customFormat="false" ht="14.25" hidden="false" customHeight="true" outlineLevel="0" collapsed="false">
      <c r="B8441" s="9" t="s">
        <v>27</v>
      </c>
      <c r="C8441" s="9" t="n">
        <v>1128299</v>
      </c>
      <c r="D8441" s="10" t="n">
        <v>44303</v>
      </c>
      <c r="E8441" s="9" t="s">
        <v>50</v>
      </c>
      <c r="F8441" s="9" t="s">
        <v>51</v>
      </c>
      <c r="G8441" s="9" t="s">
        <v>70</v>
      </c>
      <c r="H8441" s="11" t="s">
        <v>22</v>
      </c>
      <c r="I8441" s="12" t="n">
        <v>49</v>
      </c>
      <c r="J8441" s="13" t="n">
        <v>132</v>
      </c>
      <c r="K8441" s="14" t="n">
        <f aca="false">I8441*J8441</f>
        <v>6468</v>
      </c>
      <c r="L8441" s="14" t="n">
        <f aca="false">($L$2*M8441)/100</f>
        <v>408566.61</v>
      </c>
      <c r="M8441" s="15" t="n">
        <v>0.34</v>
      </c>
      <c r="N8441" s="9" t="s">
        <v>26</v>
      </c>
    </row>
    <row r="8442" customFormat="false" ht="14.25" hidden="false" customHeight="true" outlineLevel="0" collapsed="false">
      <c r="B8442" s="9" t="s">
        <v>27</v>
      </c>
      <c r="C8442" s="9" t="n">
        <v>1128299</v>
      </c>
      <c r="D8442" s="10" t="n">
        <v>44303</v>
      </c>
      <c r="E8442" s="9" t="s">
        <v>50</v>
      </c>
      <c r="F8442" s="9" t="s">
        <v>51</v>
      </c>
      <c r="G8442" s="9" t="s">
        <v>70</v>
      </c>
      <c r="H8442" s="11" t="s">
        <v>23</v>
      </c>
      <c r="I8442" s="12" t="n">
        <v>41</v>
      </c>
      <c r="J8442" s="13" t="n">
        <v>90</v>
      </c>
      <c r="K8442" s="14" t="n">
        <f aca="false">I8442*J8442</f>
        <v>3690</v>
      </c>
      <c r="L8442" s="14" t="n">
        <f aca="false">($L$2*M8442)/100</f>
        <v>420583.275</v>
      </c>
      <c r="M8442" s="15" t="n">
        <v>0.35</v>
      </c>
      <c r="N8442" s="9" t="s">
        <v>26</v>
      </c>
    </row>
    <row r="8443" customFormat="false" ht="14.25" hidden="false" customHeight="true" outlineLevel="0" collapsed="false">
      <c r="B8443" s="9" t="s">
        <v>27</v>
      </c>
      <c r="C8443" s="9" t="n">
        <v>1128299</v>
      </c>
      <c r="D8443" s="10" t="n">
        <v>44303</v>
      </c>
      <c r="E8443" s="9" t="s">
        <v>50</v>
      </c>
      <c r="F8443" s="9" t="s">
        <v>51</v>
      </c>
      <c r="G8443" s="9" t="s">
        <v>70</v>
      </c>
      <c r="H8443" s="11" t="s">
        <v>24</v>
      </c>
      <c r="I8443" s="12" t="n">
        <v>47</v>
      </c>
      <c r="J8443" s="13" t="n">
        <v>60</v>
      </c>
      <c r="K8443" s="14" t="n">
        <f aca="false">I8443*J8443</f>
        <v>2820</v>
      </c>
      <c r="L8443" s="14" t="n">
        <f aca="false">($L$2*M8443)/100</f>
        <v>264366.63</v>
      </c>
      <c r="M8443" s="15" t="n">
        <v>0.22</v>
      </c>
      <c r="N8443" s="9" t="s">
        <v>26</v>
      </c>
    </row>
    <row r="8444" customFormat="false" ht="14.25" hidden="false" customHeight="true" outlineLevel="0" collapsed="false">
      <c r="B8444" s="9" t="s">
        <v>27</v>
      </c>
      <c r="C8444" s="9" t="n">
        <v>1128299</v>
      </c>
      <c r="D8444" s="10" t="n">
        <v>44303</v>
      </c>
      <c r="E8444" s="9" t="s">
        <v>50</v>
      </c>
      <c r="F8444" s="9" t="s">
        <v>51</v>
      </c>
      <c r="G8444" s="9" t="s">
        <v>70</v>
      </c>
      <c r="H8444" s="11" t="s">
        <v>25</v>
      </c>
      <c r="I8444" s="12" t="n">
        <v>57</v>
      </c>
      <c r="J8444" s="13" t="n">
        <v>113</v>
      </c>
      <c r="K8444" s="14" t="n">
        <f aca="false">I8444*J8444</f>
        <v>6441</v>
      </c>
      <c r="L8444" s="14" t="n">
        <f aca="false">($L$2*M8444)/100</f>
        <v>600833.25</v>
      </c>
      <c r="M8444" s="15" t="n">
        <v>0.5</v>
      </c>
      <c r="N8444" s="9" t="s">
        <v>26</v>
      </c>
    </row>
    <row r="8445" customFormat="false" ht="14.25" hidden="false" customHeight="true" outlineLevel="0" collapsed="false">
      <c r="B8445" s="9" t="s">
        <v>27</v>
      </c>
      <c r="C8445" s="9" t="n">
        <v>1128299</v>
      </c>
      <c r="D8445" s="10" t="n">
        <v>44334</v>
      </c>
      <c r="E8445" s="9" t="s">
        <v>50</v>
      </c>
      <c r="F8445" s="9" t="s">
        <v>51</v>
      </c>
      <c r="G8445" s="9" t="s">
        <v>70</v>
      </c>
      <c r="H8445" s="11" t="s">
        <v>19</v>
      </c>
      <c r="I8445" s="12" t="n">
        <v>44</v>
      </c>
      <c r="J8445" s="13" t="n">
        <v>201</v>
      </c>
      <c r="K8445" s="14" t="n">
        <f aca="false">I8445*J8445</f>
        <v>8844</v>
      </c>
      <c r="L8445" s="14" t="n">
        <f aca="false">($L$2*M8445)/100</f>
        <v>396549.945</v>
      </c>
      <c r="M8445" s="15" t="n">
        <v>0.33</v>
      </c>
      <c r="N8445" s="9" t="s">
        <v>26</v>
      </c>
    </row>
    <row r="8446" customFormat="false" ht="14.25" hidden="false" customHeight="true" outlineLevel="0" collapsed="false">
      <c r="B8446" s="9" t="s">
        <v>27</v>
      </c>
      <c r="C8446" s="9" t="n">
        <v>1128299</v>
      </c>
      <c r="D8446" s="10" t="n">
        <v>44334</v>
      </c>
      <c r="E8446" s="9" t="s">
        <v>50</v>
      </c>
      <c r="F8446" s="9" t="s">
        <v>51</v>
      </c>
      <c r="G8446" s="9" t="s">
        <v>70</v>
      </c>
      <c r="H8446" s="11" t="s">
        <v>21</v>
      </c>
      <c r="I8446" s="12" t="n">
        <v>46</v>
      </c>
      <c r="J8446" s="13" t="n">
        <v>132</v>
      </c>
      <c r="K8446" s="14" t="n">
        <f aca="false">I8446*J8446</f>
        <v>6072</v>
      </c>
      <c r="L8446" s="14" t="n">
        <f aca="false">($L$2*M8446)/100</f>
        <v>336466.62</v>
      </c>
      <c r="M8446" s="15" t="n">
        <v>0.28</v>
      </c>
      <c r="N8446" s="9" t="s">
        <v>26</v>
      </c>
    </row>
    <row r="8447" customFormat="false" ht="14.25" hidden="false" customHeight="true" outlineLevel="0" collapsed="false">
      <c r="B8447" s="9" t="s">
        <v>27</v>
      </c>
      <c r="C8447" s="9" t="n">
        <v>1128299</v>
      </c>
      <c r="D8447" s="10" t="n">
        <v>44334</v>
      </c>
      <c r="E8447" s="9" t="s">
        <v>50</v>
      </c>
      <c r="F8447" s="9" t="s">
        <v>51</v>
      </c>
      <c r="G8447" s="9" t="s">
        <v>70</v>
      </c>
      <c r="H8447" s="11" t="s">
        <v>22</v>
      </c>
      <c r="I8447" s="12" t="n">
        <v>46</v>
      </c>
      <c r="J8447" s="13" t="n">
        <v>132</v>
      </c>
      <c r="K8447" s="14" t="n">
        <f aca="false">I8447*J8447</f>
        <v>6072</v>
      </c>
      <c r="L8447" s="14" t="n">
        <f aca="false">($L$2*M8447)/100</f>
        <v>432599.94</v>
      </c>
      <c r="M8447" s="15" t="n">
        <v>0.36</v>
      </c>
      <c r="N8447" s="9" t="s">
        <v>26</v>
      </c>
    </row>
    <row r="8448" customFormat="false" ht="14.25" hidden="false" customHeight="true" outlineLevel="0" collapsed="false">
      <c r="B8448" s="9" t="s">
        <v>27</v>
      </c>
      <c r="C8448" s="9" t="n">
        <v>1128299</v>
      </c>
      <c r="D8448" s="10" t="n">
        <v>44334</v>
      </c>
      <c r="E8448" s="9" t="s">
        <v>50</v>
      </c>
      <c r="F8448" s="9" t="s">
        <v>51</v>
      </c>
      <c r="G8448" s="9" t="s">
        <v>70</v>
      </c>
      <c r="H8448" s="11" t="s">
        <v>23</v>
      </c>
      <c r="I8448" s="12" t="n">
        <v>39</v>
      </c>
      <c r="J8448" s="13" t="n">
        <v>107</v>
      </c>
      <c r="K8448" s="14" t="n">
        <f aca="false">I8448*J8448</f>
        <v>4173</v>
      </c>
      <c r="L8448" s="14" t="n">
        <f aca="false">($L$2*M8448)/100</f>
        <v>408566.61</v>
      </c>
      <c r="M8448" s="15" t="n">
        <v>0.34</v>
      </c>
      <c r="N8448" s="9" t="s">
        <v>26</v>
      </c>
    </row>
    <row r="8449" customFormat="false" ht="14.25" hidden="false" customHeight="true" outlineLevel="0" collapsed="false">
      <c r="B8449" s="9" t="s">
        <v>27</v>
      </c>
      <c r="C8449" s="9" t="n">
        <v>1128299</v>
      </c>
      <c r="D8449" s="10" t="n">
        <v>44334</v>
      </c>
      <c r="E8449" s="9" t="s">
        <v>50</v>
      </c>
      <c r="F8449" s="9" t="s">
        <v>51</v>
      </c>
      <c r="G8449" s="9" t="s">
        <v>70</v>
      </c>
      <c r="H8449" s="11" t="s">
        <v>24</v>
      </c>
      <c r="I8449" s="12" t="n">
        <v>42</v>
      </c>
      <c r="J8449" s="13" t="n">
        <v>68</v>
      </c>
      <c r="K8449" s="14" t="n">
        <f aca="false">I8449*J8449</f>
        <v>2856</v>
      </c>
      <c r="L8449" s="14" t="n">
        <f aca="false">($L$2*M8449)/100</f>
        <v>300416.625</v>
      </c>
      <c r="M8449" s="15" t="n">
        <v>0.25</v>
      </c>
      <c r="N8449" s="9" t="s">
        <v>26</v>
      </c>
    </row>
    <row r="8450" customFormat="false" ht="14.25" hidden="false" customHeight="true" outlineLevel="0" collapsed="false">
      <c r="B8450" s="9" t="s">
        <v>27</v>
      </c>
      <c r="C8450" s="9" t="n">
        <v>1128299</v>
      </c>
      <c r="D8450" s="10" t="n">
        <v>44334</v>
      </c>
      <c r="E8450" s="9" t="s">
        <v>50</v>
      </c>
      <c r="F8450" s="9" t="s">
        <v>51</v>
      </c>
      <c r="G8450" s="9" t="s">
        <v>70</v>
      </c>
      <c r="H8450" s="11" t="s">
        <v>25</v>
      </c>
      <c r="I8450" s="12" t="n">
        <v>48</v>
      </c>
      <c r="J8450" s="13" t="n">
        <v>173</v>
      </c>
      <c r="K8450" s="14" t="n">
        <f aca="false">I8450*J8450</f>
        <v>8304</v>
      </c>
      <c r="L8450" s="14" t="n">
        <f aca="false">($L$2*M8450)/100</f>
        <v>564783.255</v>
      </c>
      <c r="M8450" s="15" t="n">
        <v>0.47</v>
      </c>
      <c r="N8450" s="9" t="s">
        <v>26</v>
      </c>
    </row>
    <row r="8451" customFormat="false" ht="14.25" hidden="false" customHeight="true" outlineLevel="0" collapsed="false">
      <c r="B8451" s="9" t="s">
        <v>27</v>
      </c>
      <c r="C8451" s="9" t="n">
        <v>1128299</v>
      </c>
      <c r="D8451" s="10" t="n">
        <v>44364</v>
      </c>
      <c r="E8451" s="9" t="s">
        <v>50</v>
      </c>
      <c r="F8451" s="9" t="s">
        <v>51</v>
      </c>
      <c r="G8451" s="9" t="s">
        <v>70</v>
      </c>
      <c r="H8451" s="11" t="s">
        <v>19</v>
      </c>
      <c r="I8451" s="12" t="n">
        <v>50</v>
      </c>
      <c r="J8451" s="13" t="n">
        <v>272</v>
      </c>
      <c r="K8451" s="14" t="n">
        <f aca="false">I8451*J8451</f>
        <v>13600</v>
      </c>
      <c r="L8451" s="14" t="n">
        <f aca="false">($L$2*M8451)/100</f>
        <v>384533.28</v>
      </c>
      <c r="M8451" s="15" t="n">
        <v>0.32</v>
      </c>
      <c r="N8451" s="9" t="s">
        <v>26</v>
      </c>
    </row>
    <row r="8452" customFormat="false" ht="14.25" hidden="false" customHeight="true" outlineLevel="0" collapsed="false">
      <c r="B8452" s="9" t="s">
        <v>27</v>
      </c>
      <c r="C8452" s="9" t="n">
        <v>1128299</v>
      </c>
      <c r="D8452" s="10" t="n">
        <v>44364</v>
      </c>
      <c r="E8452" s="9" t="s">
        <v>50</v>
      </c>
      <c r="F8452" s="9" t="s">
        <v>51</v>
      </c>
      <c r="G8452" s="9" t="s">
        <v>70</v>
      </c>
      <c r="H8452" s="11" t="s">
        <v>21</v>
      </c>
      <c r="I8452" s="12" t="n">
        <v>53</v>
      </c>
      <c r="J8452" s="13" t="n">
        <v>224</v>
      </c>
      <c r="K8452" s="14" t="n">
        <f aca="false">I8452*J8452</f>
        <v>11872</v>
      </c>
      <c r="L8452" s="14" t="n">
        <f aca="false">($L$2*M8452)/100</f>
        <v>348483.285</v>
      </c>
      <c r="M8452" s="15" t="n">
        <v>0.29</v>
      </c>
      <c r="N8452" s="9" t="s">
        <v>26</v>
      </c>
    </row>
    <row r="8453" customFormat="false" ht="14.25" hidden="false" customHeight="true" outlineLevel="0" collapsed="false">
      <c r="B8453" s="9" t="s">
        <v>27</v>
      </c>
      <c r="C8453" s="9" t="n">
        <v>1128299</v>
      </c>
      <c r="D8453" s="10" t="n">
        <v>44364</v>
      </c>
      <c r="E8453" s="9" t="s">
        <v>50</v>
      </c>
      <c r="F8453" s="9" t="s">
        <v>51</v>
      </c>
      <c r="G8453" s="9" t="s">
        <v>70</v>
      </c>
      <c r="H8453" s="11" t="s">
        <v>22</v>
      </c>
      <c r="I8453" s="12" t="n">
        <v>60</v>
      </c>
      <c r="J8453" s="13" t="n">
        <v>238</v>
      </c>
      <c r="K8453" s="14" t="n">
        <f aca="false">I8453*J8453</f>
        <v>14280</v>
      </c>
      <c r="L8453" s="14" t="n">
        <f aca="false">($L$2*M8453)/100</f>
        <v>396549.945</v>
      </c>
      <c r="M8453" s="15" t="n">
        <v>0.33</v>
      </c>
      <c r="N8453" s="9" t="s">
        <v>26</v>
      </c>
    </row>
    <row r="8454" customFormat="false" ht="14.25" hidden="false" customHeight="true" outlineLevel="0" collapsed="false">
      <c r="B8454" s="9" t="s">
        <v>27</v>
      </c>
      <c r="C8454" s="9" t="n">
        <v>1128299</v>
      </c>
      <c r="D8454" s="10" t="n">
        <v>44364</v>
      </c>
      <c r="E8454" s="9" t="s">
        <v>50</v>
      </c>
      <c r="F8454" s="9" t="s">
        <v>51</v>
      </c>
      <c r="G8454" s="9" t="s">
        <v>70</v>
      </c>
      <c r="H8454" s="11" t="s">
        <v>23</v>
      </c>
      <c r="I8454" s="12" t="n">
        <v>66</v>
      </c>
      <c r="J8454" s="13" t="n">
        <v>196</v>
      </c>
      <c r="K8454" s="14" t="n">
        <f aca="false">I8454*J8454</f>
        <v>12936</v>
      </c>
      <c r="L8454" s="14" t="n">
        <f aca="false">($L$2*M8454)/100</f>
        <v>444616.605</v>
      </c>
      <c r="M8454" s="15" t="n">
        <v>0.37</v>
      </c>
      <c r="N8454" s="9" t="s">
        <v>26</v>
      </c>
    </row>
    <row r="8455" customFormat="false" ht="14.25" hidden="false" customHeight="true" outlineLevel="0" collapsed="false">
      <c r="B8455" s="9" t="s">
        <v>27</v>
      </c>
      <c r="C8455" s="9" t="n">
        <v>1128299</v>
      </c>
      <c r="D8455" s="10" t="n">
        <v>44364</v>
      </c>
      <c r="E8455" s="9" t="s">
        <v>50</v>
      </c>
      <c r="F8455" s="9" t="s">
        <v>51</v>
      </c>
      <c r="G8455" s="9" t="s">
        <v>70</v>
      </c>
      <c r="H8455" s="11" t="s">
        <v>24</v>
      </c>
      <c r="I8455" s="12" t="n">
        <v>71</v>
      </c>
      <c r="J8455" s="13" t="n">
        <v>153</v>
      </c>
      <c r="K8455" s="14" t="n">
        <f aca="false">I8455*J8455</f>
        <v>10863</v>
      </c>
      <c r="L8455" s="14" t="n">
        <f aca="false">($L$2*M8455)/100</f>
        <v>264366.63</v>
      </c>
      <c r="M8455" s="15" t="n">
        <v>0.22</v>
      </c>
      <c r="N8455" s="9" t="s">
        <v>26</v>
      </c>
    </row>
    <row r="8456" customFormat="false" ht="14.25" hidden="false" customHeight="true" outlineLevel="0" collapsed="false">
      <c r="B8456" s="9" t="s">
        <v>27</v>
      </c>
      <c r="C8456" s="9" t="n">
        <v>1128299</v>
      </c>
      <c r="D8456" s="10" t="n">
        <v>44364</v>
      </c>
      <c r="E8456" s="9" t="s">
        <v>50</v>
      </c>
      <c r="F8456" s="9" t="s">
        <v>51</v>
      </c>
      <c r="G8456" s="9" t="s">
        <v>70</v>
      </c>
      <c r="H8456" s="11" t="s">
        <v>25</v>
      </c>
      <c r="I8456" s="12" t="n">
        <v>74</v>
      </c>
      <c r="J8456" s="13" t="n">
        <v>248</v>
      </c>
      <c r="K8456" s="14" t="n">
        <f aca="false">I8456*J8456</f>
        <v>18352</v>
      </c>
      <c r="L8456" s="14" t="n">
        <f aca="false">($L$2*M8456)/100</f>
        <v>564783.255</v>
      </c>
      <c r="M8456" s="15" t="n">
        <v>0.47</v>
      </c>
      <c r="N8456" s="9" t="s">
        <v>26</v>
      </c>
    </row>
    <row r="8457" customFormat="false" ht="14.25" hidden="false" customHeight="true" outlineLevel="0" collapsed="false">
      <c r="B8457" s="9" t="s">
        <v>27</v>
      </c>
      <c r="C8457" s="9" t="n">
        <v>1128299</v>
      </c>
      <c r="D8457" s="10" t="n">
        <v>44393</v>
      </c>
      <c r="E8457" s="9" t="s">
        <v>50</v>
      </c>
      <c r="F8457" s="9" t="s">
        <v>51</v>
      </c>
      <c r="G8457" s="9" t="s">
        <v>70</v>
      </c>
      <c r="H8457" s="11" t="s">
        <v>19</v>
      </c>
      <c r="I8457" s="12" t="n">
        <v>68</v>
      </c>
      <c r="J8457" s="13" t="n">
        <v>297</v>
      </c>
      <c r="K8457" s="14" t="n">
        <f aca="false">I8457*J8457</f>
        <v>20196</v>
      </c>
      <c r="L8457" s="14" t="n">
        <f aca="false">($L$2*M8457)/100</f>
        <v>444616.605</v>
      </c>
      <c r="M8457" s="15" t="n">
        <v>0.37</v>
      </c>
      <c r="N8457" s="9" t="s">
        <v>26</v>
      </c>
    </row>
    <row r="8458" customFormat="false" ht="14.25" hidden="false" customHeight="true" outlineLevel="0" collapsed="false">
      <c r="B8458" s="9" t="s">
        <v>27</v>
      </c>
      <c r="C8458" s="9" t="n">
        <v>1128299</v>
      </c>
      <c r="D8458" s="10" t="n">
        <v>44393</v>
      </c>
      <c r="E8458" s="9" t="s">
        <v>50</v>
      </c>
      <c r="F8458" s="9" t="s">
        <v>51</v>
      </c>
      <c r="G8458" s="9" t="s">
        <v>70</v>
      </c>
      <c r="H8458" s="11" t="s">
        <v>21</v>
      </c>
      <c r="I8458" s="12" t="n">
        <v>74</v>
      </c>
      <c r="J8458" s="13" t="n">
        <v>263</v>
      </c>
      <c r="K8458" s="14" t="n">
        <f aca="false">I8458*J8458</f>
        <v>19462</v>
      </c>
      <c r="L8458" s="14" t="n">
        <f aca="false">($L$2*M8458)/100</f>
        <v>336466.62</v>
      </c>
      <c r="M8458" s="15" t="n">
        <v>0.28</v>
      </c>
      <c r="N8458" s="9" t="s">
        <v>26</v>
      </c>
    </row>
    <row r="8459" customFormat="false" ht="14.25" hidden="false" customHeight="true" outlineLevel="0" collapsed="false">
      <c r="B8459" s="9" t="s">
        <v>27</v>
      </c>
      <c r="C8459" s="9" t="n">
        <v>1128299</v>
      </c>
      <c r="D8459" s="10" t="n">
        <v>44393</v>
      </c>
      <c r="E8459" s="9" t="s">
        <v>50</v>
      </c>
      <c r="F8459" s="9" t="s">
        <v>51</v>
      </c>
      <c r="G8459" s="9" t="s">
        <v>70</v>
      </c>
      <c r="H8459" s="11" t="s">
        <v>22</v>
      </c>
      <c r="I8459" s="12" t="n">
        <v>72</v>
      </c>
      <c r="J8459" s="13" t="n">
        <v>238</v>
      </c>
      <c r="K8459" s="14" t="n">
        <f aca="false">I8459*J8459</f>
        <v>17136</v>
      </c>
      <c r="L8459" s="14" t="n">
        <f aca="false">($L$2*M8459)/100</f>
        <v>408566.61</v>
      </c>
      <c r="M8459" s="15" t="n">
        <v>0.34</v>
      </c>
      <c r="N8459" s="9" t="s">
        <v>26</v>
      </c>
    </row>
    <row r="8460" customFormat="false" ht="14.25" hidden="false" customHeight="true" outlineLevel="0" collapsed="false">
      <c r="B8460" s="9" t="s">
        <v>27</v>
      </c>
      <c r="C8460" s="9" t="n">
        <v>1128299</v>
      </c>
      <c r="D8460" s="10" t="n">
        <v>44393</v>
      </c>
      <c r="E8460" s="9" t="s">
        <v>50</v>
      </c>
      <c r="F8460" s="9" t="s">
        <v>51</v>
      </c>
      <c r="G8460" s="9" t="s">
        <v>70</v>
      </c>
      <c r="H8460" s="11" t="s">
        <v>23</v>
      </c>
      <c r="I8460" s="12" t="n">
        <v>59</v>
      </c>
      <c r="J8460" s="13" t="n">
        <v>186</v>
      </c>
      <c r="K8460" s="14" t="n">
        <f aca="false">I8460*J8460</f>
        <v>10974</v>
      </c>
      <c r="L8460" s="14" t="n">
        <f aca="false">($L$2*M8460)/100</f>
        <v>396549.945</v>
      </c>
      <c r="M8460" s="15" t="n">
        <v>0.33</v>
      </c>
      <c r="N8460" s="9" t="s">
        <v>26</v>
      </c>
    </row>
    <row r="8461" customFormat="false" ht="14.25" hidden="false" customHeight="true" outlineLevel="0" collapsed="false">
      <c r="B8461" s="9" t="s">
        <v>27</v>
      </c>
      <c r="C8461" s="9" t="n">
        <v>1128299</v>
      </c>
      <c r="D8461" s="10" t="n">
        <v>44393</v>
      </c>
      <c r="E8461" s="9" t="s">
        <v>50</v>
      </c>
      <c r="F8461" s="9" t="s">
        <v>51</v>
      </c>
      <c r="G8461" s="9" t="s">
        <v>70</v>
      </c>
      <c r="H8461" s="11" t="s">
        <v>24</v>
      </c>
      <c r="I8461" s="12" t="n">
        <v>68</v>
      </c>
      <c r="J8461" s="13" t="n">
        <v>208</v>
      </c>
      <c r="K8461" s="14" t="n">
        <f aca="false">I8461*J8461</f>
        <v>14144</v>
      </c>
      <c r="L8461" s="14" t="n">
        <f aca="false">($L$2*M8461)/100</f>
        <v>264366.63</v>
      </c>
      <c r="M8461" s="15" t="n">
        <v>0.22</v>
      </c>
      <c r="N8461" s="9" t="s">
        <v>26</v>
      </c>
    </row>
    <row r="8462" customFormat="false" ht="14.25" hidden="false" customHeight="true" outlineLevel="0" collapsed="false">
      <c r="B8462" s="9" t="s">
        <v>27</v>
      </c>
      <c r="C8462" s="9" t="n">
        <v>1128299</v>
      </c>
      <c r="D8462" s="10" t="n">
        <v>44393</v>
      </c>
      <c r="E8462" s="9" t="s">
        <v>50</v>
      </c>
      <c r="F8462" s="9" t="s">
        <v>51</v>
      </c>
      <c r="G8462" s="9" t="s">
        <v>70</v>
      </c>
      <c r="H8462" s="11" t="s">
        <v>25</v>
      </c>
      <c r="I8462" s="12" t="n">
        <v>75</v>
      </c>
      <c r="J8462" s="13" t="n">
        <v>195</v>
      </c>
      <c r="K8462" s="14" t="n">
        <f aca="false">I8462*J8462</f>
        <v>14625</v>
      </c>
      <c r="L8462" s="14" t="n">
        <f aca="false">($L$2*M8462)/100</f>
        <v>564783.255</v>
      </c>
      <c r="M8462" s="15" t="n">
        <v>0.47</v>
      </c>
      <c r="N8462" s="9" t="s">
        <v>26</v>
      </c>
    </row>
    <row r="8463" customFormat="false" ht="14.25" hidden="false" customHeight="true" outlineLevel="0" collapsed="false">
      <c r="B8463" s="9" t="s">
        <v>27</v>
      </c>
      <c r="C8463" s="9" t="n">
        <v>1128299</v>
      </c>
      <c r="D8463" s="10" t="n">
        <v>44425</v>
      </c>
      <c r="E8463" s="9" t="s">
        <v>50</v>
      </c>
      <c r="F8463" s="9" t="s">
        <v>51</v>
      </c>
      <c r="G8463" s="9" t="s">
        <v>70</v>
      </c>
      <c r="H8463" s="11" t="s">
        <v>19</v>
      </c>
      <c r="I8463" s="12" t="n">
        <v>68</v>
      </c>
      <c r="J8463" s="13" t="n">
        <v>255</v>
      </c>
      <c r="K8463" s="14" t="n">
        <f aca="false">I8463*J8463</f>
        <v>17340</v>
      </c>
      <c r="L8463" s="14" t="n">
        <f aca="false">($L$2*M8463)/100</f>
        <v>432599.94</v>
      </c>
      <c r="M8463" s="15" t="n">
        <v>0.36</v>
      </c>
      <c r="N8463" s="9" t="s">
        <v>26</v>
      </c>
    </row>
    <row r="8464" customFormat="false" ht="14.25" hidden="false" customHeight="true" outlineLevel="0" collapsed="false">
      <c r="B8464" s="9" t="s">
        <v>27</v>
      </c>
      <c r="C8464" s="9" t="n">
        <v>1128299</v>
      </c>
      <c r="D8464" s="10" t="n">
        <v>44425</v>
      </c>
      <c r="E8464" s="9" t="s">
        <v>50</v>
      </c>
      <c r="F8464" s="9" t="s">
        <v>51</v>
      </c>
      <c r="G8464" s="9" t="s">
        <v>70</v>
      </c>
      <c r="H8464" s="11" t="s">
        <v>21</v>
      </c>
      <c r="I8464" s="12" t="n">
        <v>60</v>
      </c>
      <c r="J8464" s="13" t="n">
        <v>272</v>
      </c>
      <c r="K8464" s="14" t="n">
        <f aca="false">I8464*J8464</f>
        <v>16320</v>
      </c>
      <c r="L8464" s="14" t="n">
        <f aca="false">($L$2*M8464)/100</f>
        <v>324449.955</v>
      </c>
      <c r="M8464" s="15" t="n">
        <v>0.27</v>
      </c>
      <c r="N8464" s="9" t="s">
        <v>26</v>
      </c>
    </row>
    <row r="8465" customFormat="false" ht="14.25" hidden="false" customHeight="true" outlineLevel="0" collapsed="false">
      <c r="B8465" s="9" t="s">
        <v>27</v>
      </c>
      <c r="C8465" s="9" t="n">
        <v>1128299</v>
      </c>
      <c r="D8465" s="10" t="n">
        <v>44425</v>
      </c>
      <c r="E8465" s="9" t="s">
        <v>50</v>
      </c>
      <c r="F8465" s="9" t="s">
        <v>51</v>
      </c>
      <c r="G8465" s="9" t="s">
        <v>70</v>
      </c>
      <c r="H8465" s="11" t="s">
        <v>22</v>
      </c>
      <c r="I8465" s="12" t="n">
        <v>62</v>
      </c>
      <c r="J8465" s="13" t="n">
        <v>231</v>
      </c>
      <c r="K8465" s="14" t="n">
        <f aca="false">I8465*J8465</f>
        <v>14322</v>
      </c>
      <c r="L8465" s="14" t="n">
        <f aca="false">($L$2*M8465)/100</f>
        <v>396549.945</v>
      </c>
      <c r="M8465" s="15" t="n">
        <v>0.33</v>
      </c>
      <c r="N8465" s="9" t="s">
        <v>26</v>
      </c>
    </row>
    <row r="8466" customFormat="false" ht="14.25" hidden="false" customHeight="true" outlineLevel="0" collapsed="false">
      <c r="B8466" s="9" t="s">
        <v>27</v>
      </c>
      <c r="C8466" s="9" t="n">
        <v>1128299</v>
      </c>
      <c r="D8466" s="10" t="n">
        <v>44425</v>
      </c>
      <c r="E8466" s="9" t="s">
        <v>50</v>
      </c>
      <c r="F8466" s="9" t="s">
        <v>51</v>
      </c>
      <c r="G8466" s="9" t="s">
        <v>70</v>
      </c>
      <c r="H8466" s="11" t="s">
        <v>23</v>
      </c>
      <c r="I8466" s="12" t="n">
        <v>64</v>
      </c>
      <c r="J8466" s="13" t="n">
        <v>147</v>
      </c>
      <c r="K8466" s="14" t="n">
        <f aca="false">I8466*J8466</f>
        <v>9408</v>
      </c>
      <c r="L8466" s="14" t="n">
        <f aca="false">($L$2*M8466)/100</f>
        <v>396549.945</v>
      </c>
      <c r="M8466" s="15" t="n">
        <v>0.33</v>
      </c>
      <c r="N8466" s="9" t="s">
        <v>26</v>
      </c>
    </row>
    <row r="8467" customFormat="false" ht="14.25" hidden="false" customHeight="true" outlineLevel="0" collapsed="false">
      <c r="B8467" s="9" t="s">
        <v>27</v>
      </c>
      <c r="C8467" s="9" t="n">
        <v>1128299</v>
      </c>
      <c r="D8467" s="10" t="n">
        <v>44425</v>
      </c>
      <c r="E8467" s="9" t="s">
        <v>50</v>
      </c>
      <c r="F8467" s="9" t="s">
        <v>51</v>
      </c>
      <c r="G8467" s="9" t="s">
        <v>70</v>
      </c>
      <c r="H8467" s="11" t="s">
        <v>24</v>
      </c>
      <c r="I8467" s="12" t="n">
        <v>63</v>
      </c>
      <c r="J8467" s="13" t="n">
        <v>166</v>
      </c>
      <c r="K8467" s="14" t="n">
        <f aca="false">I8467*J8467</f>
        <v>10458</v>
      </c>
      <c r="L8467" s="14" t="n">
        <f aca="false">($L$2*M8467)/100</f>
        <v>288399.96</v>
      </c>
      <c r="M8467" s="15" t="n">
        <v>0.24</v>
      </c>
      <c r="N8467" s="9" t="s">
        <v>26</v>
      </c>
    </row>
    <row r="8468" customFormat="false" ht="14.25" hidden="false" customHeight="true" outlineLevel="0" collapsed="false">
      <c r="B8468" s="9" t="s">
        <v>27</v>
      </c>
      <c r="C8468" s="9" t="n">
        <v>1128299</v>
      </c>
      <c r="D8468" s="10" t="n">
        <v>44425</v>
      </c>
      <c r="E8468" s="9" t="s">
        <v>50</v>
      </c>
      <c r="F8468" s="9" t="s">
        <v>51</v>
      </c>
      <c r="G8468" s="9" t="s">
        <v>70</v>
      </c>
      <c r="H8468" s="11" t="s">
        <v>25</v>
      </c>
      <c r="I8468" s="12" t="n">
        <v>60</v>
      </c>
      <c r="J8468" s="13" t="n">
        <v>96</v>
      </c>
      <c r="K8468" s="14" t="n">
        <f aca="false">I8468*J8468</f>
        <v>5760</v>
      </c>
      <c r="L8468" s="14" t="n">
        <f aca="false">($L$2*M8468)/100</f>
        <v>588816.585</v>
      </c>
      <c r="M8468" s="15" t="n">
        <v>0.49</v>
      </c>
      <c r="N8468" s="9" t="s">
        <v>26</v>
      </c>
    </row>
    <row r="8469" customFormat="false" ht="14.25" hidden="false" customHeight="true" outlineLevel="0" collapsed="false">
      <c r="B8469" s="9" t="s">
        <v>27</v>
      </c>
      <c r="C8469" s="9" t="n">
        <v>1128299</v>
      </c>
      <c r="D8469" s="10" t="n">
        <v>44457</v>
      </c>
      <c r="E8469" s="9" t="s">
        <v>50</v>
      </c>
      <c r="F8469" s="9" t="s">
        <v>51</v>
      </c>
      <c r="G8469" s="9" t="s">
        <v>70</v>
      </c>
      <c r="H8469" s="11" t="s">
        <v>19</v>
      </c>
      <c r="I8469" s="12" t="n">
        <v>44</v>
      </c>
      <c r="J8469" s="13" t="n">
        <v>155</v>
      </c>
      <c r="K8469" s="14" t="n">
        <f aca="false">I8469*J8469</f>
        <v>6820</v>
      </c>
      <c r="L8469" s="14" t="n">
        <f aca="false">($L$2*M8469)/100</f>
        <v>444616.605</v>
      </c>
      <c r="M8469" s="15" t="n">
        <v>0.37</v>
      </c>
      <c r="N8469" s="9" t="s">
        <v>26</v>
      </c>
    </row>
    <row r="8470" customFormat="false" ht="14.25" hidden="false" customHeight="true" outlineLevel="0" collapsed="false">
      <c r="B8470" s="9" t="s">
        <v>27</v>
      </c>
      <c r="C8470" s="9" t="n">
        <v>1128299</v>
      </c>
      <c r="D8470" s="10" t="n">
        <v>44457</v>
      </c>
      <c r="E8470" s="9" t="s">
        <v>50</v>
      </c>
      <c r="F8470" s="9" t="s">
        <v>51</v>
      </c>
      <c r="G8470" s="9" t="s">
        <v>70</v>
      </c>
      <c r="H8470" s="11" t="s">
        <v>21</v>
      </c>
      <c r="I8470" s="12" t="n">
        <v>45</v>
      </c>
      <c r="J8470" s="13" t="n">
        <v>150</v>
      </c>
      <c r="K8470" s="14" t="n">
        <f aca="false">I8470*J8470</f>
        <v>6750</v>
      </c>
      <c r="L8470" s="14" t="n">
        <f aca="false">($L$2*M8470)/100</f>
        <v>372516.615</v>
      </c>
      <c r="M8470" s="15" t="n">
        <v>0.31</v>
      </c>
      <c r="N8470" s="9" t="s">
        <v>26</v>
      </c>
    </row>
    <row r="8471" customFormat="false" ht="14.25" hidden="false" customHeight="true" outlineLevel="0" collapsed="false">
      <c r="B8471" s="9" t="s">
        <v>27</v>
      </c>
      <c r="C8471" s="9" t="n">
        <v>1128299</v>
      </c>
      <c r="D8471" s="10" t="n">
        <v>44457</v>
      </c>
      <c r="E8471" s="9" t="s">
        <v>50</v>
      </c>
      <c r="F8471" s="9" t="s">
        <v>51</v>
      </c>
      <c r="G8471" s="9" t="s">
        <v>70</v>
      </c>
      <c r="H8471" s="11" t="s">
        <v>22</v>
      </c>
      <c r="I8471" s="12" t="n">
        <v>39</v>
      </c>
      <c r="J8471" s="13" t="n">
        <v>96</v>
      </c>
      <c r="K8471" s="14" t="n">
        <f aca="false">I8471*J8471</f>
        <v>3744</v>
      </c>
      <c r="L8471" s="14" t="n">
        <f aca="false">($L$2*M8471)/100</f>
        <v>396549.945</v>
      </c>
      <c r="M8471" s="15" t="n">
        <v>0.33</v>
      </c>
      <c r="N8471" s="9" t="s">
        <v>26</v>
      </c>
    </row>
    <row r="8472" customFormat="false" ht="14.25" hidden="false" customHeight="true" outlineLevel="0" collapsed="false">
      <c r="B8472" s="9" t="s">
        <v>27</v>
      </c>
      <c r="C8472" s="9" t="n">
        <v>1128299</v>
      </c>
      <c r="D8472" s="10" t="n">
        <v>44457</v>
      </c>
      <c r="E8472" s="9" t="s">
        <v>50</v>
      </c>
      <c r="F8472" s="9" t="s">
        <v>51</v>
      </c>
      <c r="G8472" s="9" t="s">
        <v>70</v>
      </c>
      <c r="H8472" s="11" t="s">
        <v>23</v>
      </c>
      <c r="I8472" s="12" t="n">
        <v>44</v>
      </c>
      <c r="J8472" s="13" t="n">
        <v>78</v>
      </c>
      <c r="K8472" s="14" t="n">
        <f aca="false">I8472*J8472</f>
        <v>3432</v>
      </c>
      <c r="L8472" s="14" t="n">
        <f aca="false">($L$2*M8472)/100</f>
        <v>444616.605</v>
      </c>
      <c r="M8472" s="15" t="n">
        <v>0.37</v>
      </c>
      <c r="N8472" s="9" t="s">
        <v>26</v>
      </c>
    </row>
    <row r="8473" customFormat="false" ht="14.25" hidden="false" customHeight="true" outlineLevel="0" collapsed="false">
      <c r="B8473" s="9" t="s">
        <v>27</v>
      </c>
      <c r="C8473" s="9" t="n">
        <v>1128299</v>
      </c>
      <c r="D8473" s="10" t="n">
        <v>44457</v>
      </c>
      <c r="E8473" s="9" t="s">
        <v>50</v>
      </c>
      <c r="F8473" s="9" t="s">
        <v>51</v>
      </c>
      <c r="G8473" s="9" t="s">
        <v>70</v>
      </c>
      <c r="H8473" s="11" t="s">
        <v>24</v>
      </c>
      <c r="I8473" s="12" t="n">
        <v>54</v>
      </c>
      <c r="J8473" s="13" t="n">
        <v>94</v>
      </c>
      <c r="K8473" s="14" t="n">
        <f aca="false">I8473*J8473</f>
        <v>5076</v>
      </c>
      <c r="L8473" s="14" t="n">
        <f aca="false">($L$2*M8473)/100</f>
        <v>276383.295</v>
      </c>
      <c r="M8473" s="15" t="n">
        <v>0.23</v>
      </c>
      <c r="N8473" s="9" t="s">
        <v>26</v>
      </c>
    </row>
    <row r="8474" customFormat="false" ht="14.25" hidden="false" customHeight="true" outlineLevel="0" collapsed="false">
      <c r="B8474" s="9" t="s">
        <v>27</v>
      </c>
      <c r="C8474" s="9" t="n">
        <v>1128299</v>
      </c>
      <c r="D8474" s="10" t="n">
        <v>44457</v>
      </c>
      <c r="E8474" s="9" t="s">
        <v>50</v>
      </c>
      <c r="F8474" s="9" t="s">
        <v>51</v>
      </c>
      <c r="G8474" s="9" t="s">
        <v>70</v>
      </c>
      <c r="H8474" s="11" t="s">
        <v>25</v>
      </c>
      <c r="I8474" s="12" t="n">
        <v>42</v>
      </c>
      <c r="J8474" s="13" t="n">
        <v>99</v>
      </c>
      <c r="K8474" s="14" t="n">
        <f aca="false">I8474*J8474</f>
        <v>4158</v>
      </c>
      <c r="L8474" s="14" t="n">
        <f aca="false">($L$2*M8474)/100</f>
        <v>588816.585</v>
      </c>
      <c r="M8474" s="15" t="n">
        <v>0.49</v>
      </c>
      <c r="N8474" s="9" t="s">
        <v>26</v>
      </c>
    </row>
    <row r="8475" customFormat="false" ht="14.25" hidden="false" customHeight="true" outlineLevel="0" collapsed="false">
      <c r="B8475" s="9" t="s">
        <v>27</v>
      </c>
      <c r="C8475" s="9" t="n">
        <v>1128299</v>
      </c>
      <c r="D8475" s="10" t="n">
        <v>44486</v>
      </c>
      <c r="E8475" s="9" t="s">
        <v>50</v>
      </c>
      <c r="F8475" s="9" t="s">
        <v>51</v>
      </c>
      <c r="G8475" s="9" t="s">
        <v>70</v>
      </c>
      <c r="H8475" s="11" t="s">
        <v>19</v>
      </c>
      <c r="I8475" s="12" t="n">
        <v>39</v>
      </c>
      <c r="J8475" s="13" t="n">
        <v>140</v>
      </c>
      <c r="K8475" s="14" t="n">
        <f aca="false">I8475*J8475</f>
        <v>5460</v>
      </c>
      <c r="L8475" s="14" t="n">
        <f aca="false">($L$2*M8475)/100</f>
        <v>444616.605</v>
      </c>
      <c r="M8475" s="15" t="n">
        <v>0.37</v>
      </c>
      <c r="N8475" s="9" t="s">
        <v>26</v>
      </c>
    </row>
    <row r="8476" customFormat="false" ht="14.25" hidden="false" customHeight="true" outlineLevel="0" collapsed="false">
      <c r="B8476" s="9" t="s">
        <v>27</v>
      </c>
      <c r="C8476" s="9" t="n">
        <v>1128299</v>
      </c>
      <c r="D8476" s="10" t="n">
        <v>44486</v>
      </c>
      <c r="E8476" s="9" t="s">
        <v>50</v>
      </c>
      <c r="F8476" s="9" t="s">
        <v>51</v>
      </c>
      <c r="G8476" s="9" t="s">
        <v>70</v>
      </c>
      <c r="H8476" s="11" t="s">
        <v>21</v>
      </c>
      <c r="I8476" s="12" t="n">
        <v>43</v>
      </c>
      <c r="J8476" s="13" t="n">
        <v>190</v>
      </c>
      <c r="K8476" s="14" t="n">
        <f aca="false">I8476*J8476</f>
        <v>8170</v>
      </c>
      <c r="L8476" s="14" t="n">
        <f aca="false">($L$2*M8476)/100</f>
        <v>348483.285</v>
      </c>
      <c r="M8476" s="15" t="n">
        <v>0.29</v>
      </c>
      <c r="N8476" s="9" t="s">
        <v>26</v>
      </c>
    </row>
    <row r="8477" customFormat="false" ht="14.25" hidden="false" customHeight="true" outlineLevel="0" collapsed="false">
      <c r="B8477" s="9" t="s">
        <v>27</v>
      </c>
      <c r="C8477" s="9" t="n">
        <v>1128299</v>
      </c>
      <c r="D8477" s="10" t="n">
        <v>44486</v>
      </c>
      <c r="E8477" s="9" t="s">
        <v>50</v>
      </c>
      <c r="F8477" s="9" t="s">
        <v>51</v>
      </c>
      <c r="G8477" s="9" t="s">
        <v>70</v>
      </c>
      <c r="H8477" s="11" t="s">
        <v>22</v>
      </c>
      <c r="I8477" s="12" t="n">
        <v>43</v>
      </c>
      <c r="J8477" s="13" t="n">
        <v>128</v>
      </c>
      <c r="K8477" s="14" t="n">
        <f aca="false">I8477*J8477</f>
        <v>5504</v>
      </c>
      <c r="L8477" s="14" t="n">
        <f aca="false">($L$2*M8477)/100</f>
        <v>408566.61</v>
      </c>
      <c r="M8477" s="15" t="n">
        <v>0.34</v>
      </c>
      <c r="N8477" s="9" t="s">
        <v>26</v>
      </c>
    </row>
    <row r="8478" customFormat="false" ht="14.25" hidden="false" customHeight="true" outlineLevel="0" collapsed="false">
      <c r="B8478" s="9" t="s">
        <v>27</v>
      </c>
      <c r="C8478" s="9" t="n">
        <v>1128299</v>
      </c>
      <c r="D8478" s="10" t="n">
        <v>44486</v>
      </c>
      <c r="E8478" s="9" t="s">
        <v>50</v>
      </c>
      <c r="F8478" s="9" t="s">
        <v>51</v>
      </c>
      <c r="G8478" s="9" t="s">
        <v>70</v>
      </c>
      <c r="H8478" s="11" t="s">
        <v>23</v>
      </c>
      <c r="I8478" s="12" t="n">
        <v>40</v>
      </c>
      <c r="J8478" s="13" t="n">
        <v>120</v>
      </c>
      <c r="K8478" s="14" t="n">
        <f aca="false">I8478*J8478</f>
        <v>4800</v>
      </c>
      <c r="L8478" s="14" t="n">
        <f aca="false">($L$2*M8478)/100</f>
        <v>420583.275</v>
      </c>
      <c r="M8478" s="15" t="n">
        <v>0.35</v>
      </c>
      <c r="N8478" s="9" t="s">
        <v>26</v>
      </c>
    </row>
    <row r="8479" customFormat="false" ht="14.25" hidden="false" customHeight="true" outlineLevel="0" collapsed="false">
      <c r="B8479" s="9" t="s">
        <v>27</v>
      </c>
      <c r="C8479" s="9" t="n">
        <v>1128299</v>
      </c>
      <c r="D8479" s="10" t="n">
        <v>44486</v>
      </c>
      <c r="E8479" s="9" t="s">
        <v>50</v>
      </c>
      <c r="F8479" s="9" t="s">
        <v>51</v>
      </c>
      <c r="G8479" s="9" t="s">
        <v>70</v>
      </c>
      <c r="H8479" s="11" t="s">
        <v>24</v>
      </c>
      <c r="I8479" s="12" t="n">
        <v>47</v>
      </c>
      <c r="J8479" s="13" t="n">
        <v>116</v>
      </c>
      <c r="K8479" s="14" t="n">
        <f aca="false">I8479*J8479</f>
        <v>5452</v>
      </c>
      <c r="L8479" s="14" t="n">
        <f aca="false">($L$2*M8479)/100</f>
        <v>264366.63</v>
      </c>
      <c r="M8479" s="15" t="n">
        <v>0.22</v>
      </c>
      <c r="N8479" s="9" t="s">
        <v>26</v>
      </c>
    </row>
    <row r="8480" customFormat="false" ht="14.25" hidden="false" customHeight="true" outlineLevel="0" collapsed="false">
      <c r="B8480" s="9" t="s">
        <v>27</v>
      </c>
      <c r="C8480" s="9" t="n">
        <v>1128299</v>
      </c>
      <c r="D8480" s="10" t="n">
        <v>44486</v>
      </c>
      <c r="E8480" s="9" t="s">
        <v>50</v>
      </c>
      <c r="F8480" s="9" t="s">
        <v>51</v>
      </c>
      <c r="G8480" s="9" t="s">
        <v>70</v>
      </c>
      <c r="H8480" s="11" t="s">
        <v>25</v>
      </c>
      <c r="I8480" s="12" t="n">
        <v>53</v>
      </c>
      <c r="J8480" s="13" t="n">
        <v>140</v>
      </c>
      <c r="K8480" s="14" t="n">
        <f aca="false">I8480*J8480</f>
        <v>7420</v>
      </c>
      <c r="L8480" s="14" t="n">
        <f aca="false">($L$2*M8480)/100</f>
        <v>624866.58</v>
      </c>
      <c r="M8480" s="15" t="n">
        <v>0.52</v>
      </c>
      <c r="N8480" s="9" t="s">
        <v>26</v>
      </c>
    </row>
    <row r="8481" customFormat="false" ht="14.25" hidden="false" customHeight="true" outlineLevel="0" collapsed="false">
      <c r="B8481" s="9" t="s">
        <v>27</v>
      </c>
      <c r="C8481" s="9" t="n">
        <v>1128299</v>
      </c>
      <c r="D8481" s="10" t="n">
        <v>44517</v>
      </c>
      <c r="E8481" s="9" t="s">
        <v>50</v>
      </c>
      <c r="F8481" s="9" t="s">
        <v>51</v>
      </c>
      <c r="G8481" s="9" t="s">
        <v>70</v>
      </c>
      <c r="H8481" s="11" t="s">
        <v>19</v>
      </c>
      <c r="I8481" s="12" t="n">
        <v>41</v>
      </c>
      <c r="J8481" s="13" t="n">
        <v>188</v>
      </c>
      <c r="K8481" s="14" t="n">
        <f aca="false">I8481*J8481</f>
        <v>7708</v>
      </c>
      <c r="L8481" s="14" t="n">
        <f aca="false">($L$2*M8481)/100</f>
        <v>408566.61</v>
      </c>
      <c r="M8481" s="15" t="n">
        <v>0.34</v>
      </c>
      <c r="N8481" s="9" t="s">
        <v>26</v>
      </c>
    </row>
    <row r="8482" customFormat="false" ht="14.25" hidden="false" customHeight="true" outlineLevel="0" collapsed="false">
      <c r="B8482" s="9" t="s">
        <v>27</v>
      </c>
      <c r="C8482" s="9" t="n">
        <v>1128299</v>
      </c>
      <c r="D8482" s="10" t="n">
        <v>44517</v>
      </c>
      <c r="E8482" s="9" t="s">
        <v>50</v>
      </c>
      <c r="F8482" s="9" t="s">
        <v>51</v>
      </c>
      <c r="G8482" s="9" t="s">
        <v>70</v>
      </c>
      <c r="H8482" s="11" t="s">
        <v>21</v>
      </c>
      <c r="I8482" s="12" t="n">
        <v>46</v>
      </c>
      <c r="J8482" s="13" t="n">
        <v>231</v>
      </c>
      <c r="K8482" s="14" t="n">
        <f aca="false">I8482*J8482</f>
        <v>10626</v>
      </c>
      <c r="L8482" s="14" t="n">
        <f aca="false">($L$2*M8482)/100</f>
        <v>384533.28</v>
      </c>
      <c r="M8482" s="15" t="n">
        <v>0.32</v>
      </c>
      <c r="N8482" s="9" t="s">
        <v>26</v>
      </c>
    </row>
    <row r="8483" customFormat="false" ht="14.25" hidden="false" customHeight="true" outlineLevel="0" collapsed="false">
      <c r="B8483" s="9" t="s">
        <v>27</v>
      </c>
      <c r="C8483" s="9" t="n">
        <v>1128299</v>
      </c>
      <c r="D8483" s="10" t="n">
        <v>44517</v>
      </c>
      <c r="E8483" s="9" t="s">
        <v>50</v>
      </c>
      <c r="F8483" s="9" t="s">
        <v>51</v>
      </c>
      <c r="G8483" s="9" t="s">
        <v>70</v>
      </c>
      <c r="H8483" s="11" t="s">
        <v>22</v>
      </c>
      <c r="I8483" s="12" t="n">
        <v>44</v>
      </c>
      <c r="J8483" s="13" t="n">
        <v>173</v>
      </c>
      <c r="K8483" s="14" t="n">
        <f aca="false">I8483*J8483</f>
        <v>7612</v>
      </c>
      <c r="L8483" s="14" t="n">
        <f aca="false">($L$2*M8483)/100</f>
        <v>444616.605</v>
      </c>
      <c r="M8483" s="15" t="n">
        <v>0.37</v>
      </c>
      <c r="N8483" s="9" t="s">
        <v>26</v>
      </c>
    </row>
    <row r="8484" customFormat="false" ht="14.25" hidden="false" customHeight="true" outlineLevel="0" collapsed="false">
      <c r="B8484" s="9" t="s">
        <v>27</v>
      </c>
      <c r="C8484" s="9" t="n">
        <v>1128299</v>
      </c>
      <c r="D8484" s="10" t="n">
        <v>44517</v>
      </c>
      <c r="E8484" s="9" t="s">
        <v>50</v>
      </c>
      <c r="F8484" s="9" t="s">
        <v>51</v>
      </c>
      <c r="G8484" s="9" t="s">
        <v>70</v>
      </c>
      <c r="H8484" s="11" t="s">
        <v>23</v>
      </c>
      <c r="I8484" s="12" t="n">
        <v>47</v>
      </c>
      <c r="J8484" s="13" t="n">
        <v>170</v>
      </c>
      <c r="K8484" s="14" t="n">
        <f aca="false">I8484*J8484</f>
        <v>7990</v>
      </c>
      <c r="L8484" s="14" t="n">
        <f aca="false">($L$2*M8484)/100</f>
        <v>408566.61</v>
      </c>
      <c r="M8484" s="15" t="n">
        <v>0.34</v>
      </c>
      <c r="N8484" s="9" t="s">
        <v>26</v>
      </c>
    </row>
    <row r="8485" customFormat="false" ht="14.25" hidden="false" customHeight="true" outlineLevel="0" collapsed="false">
      <c r="B8485" s="9" t="s">
        <v>27</v>
      </c>
      <c r="C8485" s="9" t="n">
        <v>1128299</v>
      </c>
      <c r="D8485" s="10" t="n">
        <v>44517</v>
      </c>
      <c r="E8485" s="9" t="s">
        <v>50</v>
      </c>
      <c r="F8485" s="9" t="s">
        <v>51</v>
      </c>
      <c r="G8485" s="9" t="s">
        <v>70</v>
      </c>
      <c r="H8485" s="11" t="s">
        <v>24</v>
      </c>
      <c r="I8485" s="12" t="n">
        <v>58</v>
      </c>
      <c r="J8485" s="13" t="n">
        <v>147</v>
      </c>
      <c r="K8485" s="14" t="n">
        <f aca="false">I8485*J8485</f>
        <v>8526</v>
      </c>
      <c r="L8485" s="14" t="n">
        <f aca="false">($L$2*M8485)/100</f>
        <v>324449.955</v>
      </c>
      <c r="M8485" s="15" t="n">
        <v>0.27</v>
      </c>
      <c r="N8485" s="9" t="s">
        <v>26</v>
      </c>
    </row>
    <row r="8486" customFormat="false" ht="14.25" hidden="false" customHeight="true" outlineLevel="0" collapsed="false">
      <c r="B8486" s="9" t="s">
        <v>27</v>
      </c>
      <c r="C8486" s="9" t="n">
        <v>1128299</v>
      </c>
      <c r="D8486" s="10" t="n">
        <v>44517</v>
      </c>
      <c r="E8486" s="9" t="s">
        <v>50</v>
      </c>
      <c r="F8486" s="9" t="s">
        <v>51</v>
      </c>
      <c r="G8486" s="9" t="s">
        <v>70</v>
      </c>
      <c r="H8486" s="11" t="s">
        <v>25</v>
      </c>
      <c r="I8486" s="12" t="n">
        <v>66</v>
      </c>
      <c r="J8486" s="13" t="n">
        <v>198</v>
      </c>
      <c r="K8486" s="14" t="n">
        <f aca="false">I8486*J8486</f>
        <v>13068</v>
      </c>
      <c r="L8486" s="14" t="n">
        <f aca="false">($L$2*M8486)/100</f>
        <v>600833.25</v>
      </c>
      <c r="M8486" s="15" t="n">
        <v>0.5</v>
      </c>
      <c r="N8486" s="9" t="s">
        <v>26</v>
      </c>
    </row>
    <row r="8487" customFormat="false" ht="14.25" hidden="false" customHeight="true" outlineLevel="0" collapsed="false">
      <c r="B8487" s="9" t="s">
        <v>27</v>
      </c>
      <c r="C8487" s="9" t="n">
        <v>1128299</v>
      </c>
      <c r="D8487" s="10" t="n">
        <v>44546</v>
      </c>
      <c r="E8487" s="9" t="s">
        <v>50</v>
      </c>
      <c r="F8487" s="9" t="s">
        <v>51</v>
      </c>
      <c r="G8487" s="9" t="s">
        <v>70</v>
      </c>
      <c r="H8487" s="11" t="s">
        <v>19</v>
      </c>
      <c r="I8487" s="12" t="n">
        <v>58</v>
      </c>
      <c r="J8487" s="13" t="n">
        <v>280</v>
      </c>
      <c r="K8487" s="14" t="n">
        <f aca="false">I8487*J8487</f>
        <v>16240</v>
      </c>
      <c r="L8487" s="14" t="n">
        <f aca="false">($L$2*M8487)/100</f>
        <v>432599.94</v>
      </c>
      <c r="M8487" s="15" t="n">
        <v>0.36</v>
      </c>
      <c r="N8487" s="9" t="s">
        <v>26</v>
      </c>
    </row>
    <row r="8488" customFormat="false" ht="14.25" hidden="false" customHeight="true" outlineLevel="0" collapsed="false">
      <c r="B8488" s="9" t="s">
        <v>27</v>
      </c>
      <c r="C8488" s="9" t="n">
        <v>1128299</v>
      </c>
      <c r="D8488" s="10" t="n">
        <v>44546</v>
      </c>
      <c r="E8488" s="9" t="s">
        <v>50</v>
      </c>
      <c r="F8488" s="9" t="s">
        <v>51</v>
      </c>
      <c r="G8488" s="9" t="s">
        <v>70</v>
      </c>
      <c r="H8488" s="11" t="s">
        <v>21</v>
      </c>
      <c r="I8488" s="12" t="n">
        <v>55</v>
      </c>
      <c r="J8488" s="13" t="n">
        <v>256</v>
      </c>
      <c r="K8488" s="14" t="n">
        <f aca="false">I8488*J8488</f>
        <v>14080</v>
      </c>
      <c r="L8488" s="14" t="n">
        <f aca="false">($L$2*M8488)/100</f>
        <v>372516.615</v>
      </c>
      <c r="M8488" s="15" t="n">
        <v>0.31</v>
      </c>
      <c r="N8488" s="9" t="s">
        <v>26</v>
      </c>
    </row>
    <row r="8489" customFormat="false" ht="14.25" hidden="false" customHeight="true" outlineLevel="0" collapsed="false">
      <c r="B8489" s="9" t="s">
        <v>32</v>
      </c>
      <c r="C8489" s="9" t="n">
        <v>1128299</v>
      </c>
      <c r="D8489" s="10" t="n">
        <v>44546</v>
      </c>
      <c r="E8489" s="9" t="s">
        <v>50</v>
      </c>
      <c r="F8489" s="9" t="s">
        <v>51</v>
      </c>
      <c r="G8489" s="9" t="s">
        <v>70</v>
      </c>
      <c r="H8489" s="11" t="s">
        <v>22</v>
      </c>
      <c r="I8489" s="12" t="n">
        <v>64</v>
      </c>
      <c r="J8489" s="13" t="n">
        <v>204</v>
      </c>
      <c r="K8489" s="14" t="n">
        <f aca="false">I8489*J8489</f>
        <v>13056</v>
      </c>
      <c r="L8489" s="14" t="n">
        <f aca="false">($L$2*M8489)/100</f>
        <v>396549.945</v>
      </c>
      <c r="M8489" s="15" t="n">
        <v>0.33</v>
      </c>
      <c r="N8489" s="9" t="s">
        <v>26</v>
      </c>
    </row>
    <row r="8490" customFormat="false" ht="14.25" hidden="false" customHeight="true" outlineLevel="0" collapsed="false">
      <c r="B8490" s="9" t="s">
        <v>32</v>
      </c>
      <c r="C8490" s="9" t="n">
        <v>1128299</v>
      </c>
      <c r="D8490" s="10" t="n">
        <v>44546</v>
      </c>
      <c r="E8490" s="9" t="s">
        <v>50</v>
      </c>
      <c r="F8490" s="9" t="s">
        <v>51</v>
      </c>
      <c r="G8490" s="9" t="s">
        <v>70</v>
      </c>
      <c r="H8490" s="11" t="s">
        <v>23</v>
      </c>
      <c r="I8490" s="12" t="n">
        <v>58</v>
      </c>
      <c r="J8490" s="13" t="n">
        <v>204</v>
      </c>
      <c r="K8490" s="14" t="n">
        <f aca="false">I8490*J8490</f>
        <v>11832</v>
      </c>
      <c r="L8490" s="14" t="n">
        <f aca="false">($L$2*M8490)/100</f>
        <v>408566.61</v>
      </c>
      <c r="M8490" s="15" t="n">
        <v>0.34</v>
      </c>
      <c r="N8490" s="9" t="s">
        <v>26</v>
      </c>
    </row>
    <row r="8491" customFormat="false" ht="14.25" hidden="false" customHeight="true" outlineLevel="0" collapsed="false">
      <c r="B8491" s="9" t="s">
        <v>32</v>
      </c>
      <c r="C8491" s="9" t="n">
        <v>1128299</v>
      </c>
      <c r="D8491" s="10" t="n">
        <v>44546</v>
      </c>
      <c r="E8491" s="9" t="s">
        <v>50</v>
      </c>
      <c r="F8491" s="9" t="s">
        <v>51</v>
      </c>
      <c r="G8491" s="9" t="s">
        <v>70</v>
      </c>
      <c r="H8491" s="11" t="s">
        <v>24</v>
      </c>
      <c r="I8491" s="12" t="n">
        <v>64</v>
      </c>
      <c r="J8491" s="13" t="n">
        <v>179</v>
      </c>
      <c r="K8491" s="14" t="n">
        <f aca="false">I8491*J8491</f>
        <v>11456</v>
      </c>
      <c r="L8491" s="14" t="n">
        <f aca="false">($L$2*M8491)/100</f>
        <v>312433.29</v>
      </c>
      <c r="M8491" s="15" t="n">
        <v>0.26</v>
      </c>
      <c r="N8491" s="9" t="s">
        <v>26</v>
      </c>
    </row>
    <row r="8492" customFormat="false" ht="14.25" hidden="false" customHeight="true" outlineLevel="0" collapsed="false">
      <c r="B8492" s="9" t="s">
        <v>32</v>
      </c>
      <c r="C8492" s="9" t="n">
        <v>1128299</v>
      </c>
      <c r="D8492" s="10" t="n">
        <v>44546</v>
      </c>
      <c r="E8492" s="9" t="s">
        <v>50</v>
      </c>
      <c r="F8492" s="9" t="s">
        <v>51</v>
      </c>
      <c r="G8492" s="9" t="s">
        <v>70</v>
      </c>
      <c r="H8492" s="11" t="s">
        <v>25</v>
      </c>
      <c r="I8492" s="12" t="n">
        <v>64</v>
      </c>
      <c r="J8492" s="13" t="n">
        <v>200</v>
      </c>
      <c r="K8492" s="14" t="n">
        <f aca="false">I8492*J8492</f>
        <v>12800</v>
      </c>
      <c r="L8492" s="14" t="n">
        <f aca="false">($L$2*M8492)/100</f>
        <v>576799.92</v>
      </c>
      <c r="M8492" s="15" t="n">
        <v>0.48</v>
      </c>
      <c r="N8492" s="9" t="s">
        <v>26</v>
      </c>
    </row>
    <row r="8493" customFormat="false" ht="14.25" hidden="false" customHeight="true" outlineLevel="0" collapsed="false">
      <c r="B8493" s="9" t="s">
        <v>32</v>
      </c>
      <c r="C8493" s="9" t="n">
        <v>1185732</v>
      </c>
      <c r="D8493" s="10" t="n">
        <v>44208</v>
      </c>
      <c r="E8493" s="9" t="s">
        <v>50</v>
      </c>
      <c r="F8493" s="9" t="s">
        <v>51</v>
      </c>
      <c r="G8493" s="9" t="s">
        <v>70</v>
      </c>
      <c r="H8493" s="11" t="s">
        <v>19</v>
      </c>
      <c r="I8493" s="12" t="n">
        <v>30</v>
      </c>
      <c r="J8493" s="13" t="n">
        <v>272</v>
      </c>
      <c r="K8493" s="14" t="n">
        <f aca="false">I8493*J8493</f>
        <v>8160</v>
      </c>
      <c r="L8493" s="14" t="n">
        <f aca="false">($L$2*M8493)/100</f>
        <v>612849.915</v>
      </c>
      <c r="M8493" s="15" t="n">
        <v>0.51</v>
      </c>
      <c r="N8493" s="9" t="s">
        <v>26</v>
      </c>
    </row>
    <row r="8494" customFormat="false" ht="14.25" hidden="false" customHeight="true" outlineLevel="0" collapsed="false">
      <c r="B8494" s="9" t="s">
        <v>32</v>
      </c>
      <c r="C8494" s="9" t="n">
        <v>1185732</v>
      </c>
      <c r="D8494" s="10" t="n">
        <v>44208</v>
      </c>
      <c r="E8494" s="9" t="s">
        <v>50</v>
      </c>
      <c r="F8494" s="9" t="s">
        <v>51</v>
      </c>
      <c r="G8494" s="9" t="s">
        <v>70</v>
      </c>
      <c r="H8494" s="11" t="s">
        <v>21</v>
      </c>
      <c r="I8494" s="12" t="n">
        <v>36</v>
      </c>
      <c r="J8494" s="13" t="n">
        <v>221</v>
      </c>
      <c r="K8494" s="14" t="n">
        <f aca="false">I8494*J8494</f>
        <v>7956</v>
      </c>
      <c r="L8494" s="14" t="n">
        <f aca="false">($L$2*M8494)/100</f>
        <v>480666.6</v>
      </c>
      <c r="M8494" s="15" t="n">
        <v>0.4</v>
      </c>
      <c r="N8494" s="9" t="s">
        <v>26</v>
      </c>
    </row>
    <row r="8495" customFormat="false" ht="14.25" hidden="false" customHeight="true" outlineLevel="0" collapsed="false">
      <c r="B8495" s="9" t="s">
        <v>32</v>
      </c>
      <c r="C8495" s="9" t="n">
        <v>1185732</v>
      </c>
      <c r="D8495" s="10" t="n">
        <v>44208</v>
      </c>
      <c r="E8495" s="9" t="s">
        <v>50</v>
      </c>
      <c r="F8495" s="9" t="s">
        <v>51</v>
      </c>
      <c r="G8495" s="9" t="s">
        <v>70</v>
      </c>
      <c r="H8495" s="11" t="s">
        <v>22</v>
      </c>
      <c r="I8495" s="12" t="n">
        <v>26</v>
      </c>
      <c r="J8495" s="13" t="n">
        <v>202</v>
      </c>
      <c r="K8495" s="14" t="n">
        <f aca="false">I8495*J8495</f>
        <v>5252</v>
      </c>
      <c r="L8495" s="14" t="n">
        <f aca="false">($L$2*M8495)/100</f>
        <v>348483.285</v>
      </c>
      <c r="M8495" s="15" t="n">
        <v>0.29</v>
      </c>
      <c r="N8495" s="9" t="s">
        <v>26</v>
      </c>
    </row>
    <row r="8496" customFormat="false" ht="14.25" hidden="false" customHeight="true" outlineLevel="0" collapsed="false">
      <c r="B8496" s="9" t="s">
        <v>32</v>
      </c>
      <c r="C8496" s="9" t="n">
        <v>1185732</v>
      </c>
      <c r="D8496" s="10" t="n">
        <v>44208</v>
      </c>
      <c r="E8496" s="9" t="s">
        <v>50</v>
      </c>
      <c r="F8496" s="9" t="s">
        <v>51</v>
      </c>
      <c r="G8496" s="9" t="s">
        <v>70</v>
      </c>
      <c r="H8496" s="11" t="s">
        <v>23</v>
      </c>
      <c r="I8496" s="12" t="n">
        <v>30</v>
      </c>
      <c r="J8496" s="13" t="n">
        <v>170</v>
      </c>
      <c r="K8496" s="14" t="n">
        <f aca="false">I8496*J8496</f>
        <v>5100</v>
      </c>
      <c r="L8496" s="14" t="n">
        <f aca="false">($L$2*M8496)/100</f>
        <v>444616.605</v>
      </c>
      <c r="M8496" s="15" t="n">
        <v>0.37</v>
      </c>
      <c r="N8496" s="9" t="s">
        <v>26</v>
      </c>
    </row>
    <row r="8497" customFormat="false" ht="14.25" hidden="false" customHeight="true" outlineLevel="0" collapsed="false">
      <c r="B8497" s="9" t="s">
        <v>32</v>
      </c>
      <c r="C8497" s="9" t="n">
        <v>1185732</v>
      </c>
      <c r="D8497" s="10" t="n">
        <v>44208</v>
      </c>
      <c r="E8497" s="9" t="s">
        <v>50</v>
      </c>
      <c r="F8497" s="9" t="s">
        <v>51</v>
      </c>
      <c r="G8497" s="9" t="s">
        <v>70</v>
      </c>
      <c r="H8497" s="11" t="s">
        <v>24</v>
      </c>
      <c r="I8497" s="12" t="n">
        <v>36</v>
      </c>
      <c r="J8497" s="13" t="n">
        <v>193</v>
      </c>
      <c r="K8497" s="14" t="n">
        <f aca="false">I8497*J8497</f>
        <v>6948</v>
      </c>
      <c r="L8497" s="14" t="n">
        <f aca="false">($L$2*M8497)/100</f>
        <v>492683.265</v>
      </c>
      <c r="M8497" s="15" t="n">
        <v>0.41</v>
      </c>
      <c r="N8497" s="9" t="s">
        <v>26</v>
      </c>
    </row>
    <row r="8498" customFormat="false" ht="14.25" hidden="false" customHeight="true" outlineLevel="0" collapsed="false">
      <c r="B8498" s="9" t="s">
        <v>32</v>
      </c>
      <c r="C8498" s="9" t="n">
        <v>1185732</v>
      </c>
      <c r="D8498" s="10" t="n">
        <v>44208</v>
      </c>
      <c r="E8498" s="9" t="s">
        <v>50</v>
      </c>
      <c r="F8498" s="9" t="s">
        <v>51</v>
      </c>
      <c r="G8498" s="9" t="s">
        <v>70</v>
      </c>
      <c r="H8498" s="11" t="s">
        <v>25</v>
      </c>
      <c r="I8498" s="12" t="n">
        <v>35</v>
      </c>
      <c r="J8498" s="13" t="n">
        <v>221</v>
      </c>
      <c r="K8498" s="14" t="n">
        <f aca="false">I8498*J8498</f>
        <v>7735</v>
      </c>
      <c r="L8498" s="14" t="n">
        <f aca="false">($L$2*M8498)/100</f>
        <v>660916.575</v>
      </c>
      <c r="M8498" s="15" t="n">
        <v>0.55</v>
      </c>
      <c r="N8498" s="9" t="s">
        <v>26</v>
      </c>
    </row>
    <row r="8499" customFormat="false" ht="14.25" hidden="false" customHeight="true" outlineLevel="0" collapsed="false">
      <c r="B8499" s="9" t="s">
        <v>32</v>
      </c>
      <c r="C8499" s="9" t="n">
        <v>1185732</v>
      </c>
      <c r="D8499" s="10" t="n">
        <v>44237</v>
      </c>
      <c r="E8499" s="9" t="s">
        <v>50</v>
      </c>
      <c r="F8499" s="9" t="s">
        <v>51</v>
      </c>
      <c r="G8499" s="9" t="s">
        <v>70</v>
      </c>
      <c r="H8499" s="11" t="s">
        <v>19</v>
      </c>
      <c r="I8499" s="12" t="n">
        <v>36</v>
      </c>
      <c r="J8499" s="13" t="n">
        <v>288</v>
      </c>
      <c r="K8499" s="14" t="n">
        <f aca="false">I8499*J8499</f>
        <v>10368</v>
      </c>
      <c r="L8499" s="14" t="n">
        <f aca="false">($L$2*M8499)/100</f>
        <v>564783.255</v>
      </c>
      <c r="M8499" s="15" t="n">
        <v>0.47</v>
      </c>
      <c r="N8499" s="9" t="s">
        <v>26</v>
      </c>
    </row>
    <row r="8500" customFormat="false" ht="14.25" hidden="false" customHeight="true" outlineLevel="0" collapsed="false">
      <c r="B8500" s="9" t="s">
        <v>32</v>
      </c>
      <c r="C8500" s="9" t="n">
        <v>1185732</v>
      </c>
      <c r="D8500" s="10" t="n">
        <v>44237</v>
      </c>
      <c r="E8500" s="9" t="s">
        <v>50</v>
      </c>
      <c r="F8500" s="9" t="s">
        <v>51</v>
      </c>
      <c r="G8500" s="9" t="s">
        <v>70</v>
      </c>
      <c r="H8500" s="11" t="s">
        <v>21</v>
      </c>
      <c r="I8500" s="12" t="n">
        <v>31</v>
      </c>
      <c r="J8500" s="13" t="n">
        <v>165</v>
      </c>
      <c r="K8500" s="14" t="n">
        <f aca="false">I8500*J8500</f>
        <v>5115</v>
      </c>
      <c r="L8500" s="14" t="n">
        <f aca="false">($L$2*M8500)/100</f>
        <v>492683.265</v>
      </c>
      <c r="M8500" s="15" t="n">
        <v>0.41</v>
      </c>
      <c r="N8500" s="9" t="s">
        <v>26</v>
      </c>
    </row>
    <row r="8501" customFormat="false" ht="14.25" hidden="false" customHeight="true" outlineLevel="0" collapsed="false">
      <c r="B8501" s="9" t="s">
        <v>32</v>
      </c>
      <c r="C8501" s="9" t="n">
        <v>1185732</v>
      </c>
      <c r="D8501" s="10" t="n">
        <v>44237</v>
      </c>
      <c r="E8501" s="9" t="s">
        <v>50</v>
      </c>
      <c r="F8501" s="9" t="s">
        <v>51</v>
      </c>
      <c r="G8501" s="9" t="s">
        <v>70</v>
      </c>
      <c r="H8501" s="11" t="s">
        <v>22</v>
      </c>
      <c r="I8501" s="12" t="n">
        <v>23</v>
      </c>
      <c r="J8501" s="13" t="n">
        <v>204</v>
      </c>
      <c r="K8501" s="14" t="n">
        <f aca="false">I8501*J8501</f>
        <v>4692</v>
      </c>
      <c r="L8501" s="14" t="n">
        <f aca="false">($L$2*M8501)/100</f>
        <v>384533.28</v>
      </c>
      <c r="M8501" s="15" t="n">
        <v>0.32</v>
      </c>
      <c r="N8501" s="9" t="s">
        <v>26</v>
      </c>
    </row>
    <row r="8502" customFormat="false" ht="14.25" hidden="false" customHeight="true" outlineLevel="0" collapsed="false">
      <c r="B8502" s="9" t="s">
        <v>16</v>
      </c>
      <c r="C8502" s="9" t="n">
        <v>1128299</v>
      </c>
      <c r="D8502" s="10" t="n">
        <v>44251</v>
      </c>
      <c r="E8502" s="9" t="s">
        <v>50</v>
      </c>
      <c r="F8502" s="9" t="s">
        <v>74</v>
      </c>
      <c r="G8502" s="9" t="s">
        <v>75</v>
      </c>
      <c r="H8502" s="11" t="s">
        <v>23</v>
      </c>
      <c r="I8502" s="12" t="n">
        <v>28</v>
      </c>
      <c r="J8502" s="13" t="n">
        <v>64</v>
      </c>
      <c r="K8502" s="14" t="n">
        <f aca="false">I8502*J8502</f>
        <v>1792</v>
      </c>
      <c r="L8502" s="14" t="n">
        <f aca="false">($L$2*M8502)/100</f>
        <v>492683.265</v>
      </c>
      <c r="M8502" s="15" t="n">
        <v>0.41</v>
      </c>
      <c r="N8502" s="9" t="s">
        <v>26</v>
      </c>
    </row>
    <row r="8503" customFormat="false" ht="14.25" hidden="false" customHeight="true" outlineLevel="0" collapsed="false">
      <c r="B8503" s="9" t="s">
        <v>16</v>
      </c>
      <c r="C8503" s="9" t="n">
        <v>1128299</v>
      </c>
      <c r="D8503" s="10" t="n">
        <v>44251</v>
      </c>
      <c r="E8503" s="9" t="s">
        <v>50</v>
      </c>
      <c r="F8503" s="9" t="s">
        <v>74</v>
      </c>
      <c r="G8503" s="9" t="s">
        <v>75</v>
      </c>
      <c r="H8503" s="11" t="s">
        <v>24</v>
      </c>
      <c r="I8503" s="12" t="n">
        <v>29</v>
      </c>
      <c r="J8503" s="13" t="n">
        <v>39</v>
      </c>
      <c r="K8503" s="14" t="n">
        <f aca="false">I8503*J8503</f>
        <v>1131</v>
      </c>
      <c r="L8503" s="14" t="n">
        <f aca="false">($L$2*M8503)/100</f>
        <v>540749.925</v>
      </c>
      <c r="M8503" s="15" t="n">
        <v>0.45</v>
      </c>
      <c r="N8503" s="9" t="s">
        <v>26</v>
      </c>
    </row>
    <row r="8504" customFormat="false" ht="14.25" hidden="false" customHeight="true" outlineLevel="0" collapsed="false">
      <c r="B8504" s="9" t="s">
        <v>16</v>
      </c>
      <c r="C8504" s="9" t="n">
        <v>1128299</v>
      </c>
      <c r="D8504" s="10" t="n">
        <v>44251</v>
      </c>
      <c r="E8504" s="9" t="s">
        <v>50</v>
      </c>
      <c r="F8504" s="9" t="s">
        <v>74</v>
      </c>
      <c r="G8504" s="9" t="s">
        <v>75</v>
      </c>
      <c r="H8504" s="11" t="s">
        <v>25</v>
      </c>
      <c r="I8504" s="12" t="n">
        <v>30</v>
      </c>
      <c r="J8504" s="13" t="n">
        <v>107</v>
      </c>
      <c r="K8504" s="14" t="n">
        <f aca="false">I8504*J8504</f>
        <v>3210</v>
      </c>
      <c r="L8504" s="14" t="n">
        <f aca="false">($L$2*M8504)/100</f>
        <v>432599.94</v>
      </c>
      <c r="M8504" s="15" t="n">
        <v>0.36</v>
      </c>
      <c r="N8504" s="9" t="s">
        <v>26</v>
      </c>
    </row>
    <row r="8505" customFormat="false" ht="14.25" hidden="false" customHeight="true" outlineLevel="0" collapsed="false">
      <c r="B8505" s="9" t="s">
        <v>16</v>
      </c>
      <c r="C8505" s="9" t="n">
        <v>1128299</v>
      </c>
      <c r="D8505" s="10" t="n">
        <v>44278</v>
      </c>
      <c r="E8505" s="9" t="s">
        <v>50</v>
      </c>
      <c r="F8505" s="9" t="s">
        <v>74</v>
      </c>
      <c r="G8505" s="9" t="s">
        <v>75</v>
      </c>
      <c r="H8505" s="11" t="s">
        <v>19</v>
      </c>
      <c r="I8505" s="12" t="n">
        <v>30</v>
      </c>
      <c r="J8505" s="13" t="n">
        <v>162</v>
      </c>
      <c r="K8505" s="14" t="n">
        <f aca="false">I8505*J8505</f>
        <v>4860</v>
      </c>
      <c r="L8505" s="14" t="n">
        <f aca="false">($L$2*M8505)/100</f>
        <v>456633.27</v>
      </c>
      <c r="M8505" s="15" t="n">
        <v>0.38</v>
      </c>
      <c r="N8505" s="9" t="s">
        <v>26</v>
      </c>
    </row>
    <row r="8506" customFormat="false" ht="14.25" hidden="false" customHeight="true" outlineLevel="0" collapsed="false">
      <c r="B8506" s="9" t="s">
        <v>16</v>
      </c>
      <c r="C8506" s="9" t="n">
        <v>1128299</v>
      </c>
      <c r="D8506" s="10" t="n">
        <v>44278</v>
      </c>
      <c r="E8506" s="9" t="s">
        <v>50</v>
      </c>
      <c r="F8506" s="9" t="s">
        <v>74</v>
      </c>
      <c r="G8506" s="9" t="s">
        <v>75</v>
      </c>
      <c r="H8506" s="11" t="s">
        <v>21</v>
      </c>
      <c r="I8506" s="12" t="n">
        <v>35</v>
      </c>
      <c r="J8506" s="13" t="n">
        <v>98</v>
      </c>
      <c r="K8506" s="14" t="n">
        <f aca="false">I8506*J8506</f>
        <v>3430</v>
      </c>
      <c r="L8506" s="14" t="n">
        <f aca="false">($L$2*M8506)/100</f>
        <v>492683.265</v>
      </c>
      <c r="M8506" s="15" t="n">
        <v>0.41</v>
      </c>
      <c r="N8506" s="9" t="s">
        <v>26</v>
      </c>
    </row>
    <row r="8507" customFormat="false" ht="14.25" hidden="false" customHeight="true" outlineLevel="0" collapsed="false">
      <c r="B8507" s="9" t="s">
        <v>16</v>
      </c>
      <c r="C8507" s="9" t="n">
        <v>1128299</v>
      </c>
      <c r="D8507" s="10" t="n">
        <v>44278</v>
      </c>
      <c r="E8507" s="9" t="s">
        <v>50</v>
      </c>
      <c r="F8507" s="9" t="s">
        <v>74</v>
      </c>
      <c r="G8507" s="9" t="s">
        <v>75</v>
      </c>
      <c r="H8507" s="11" t="s">
        <v>22</v>
      </c>
      <c r="I8507" s="12" t="n">
        <v>43</v>
      </c>
      <c r="J8507" s="13" t="n">
        <v>112</v>
      </c>
      <c r="K8507" s="14" t="n">
        <f aca="false">I8507*J8507</f>
        <v>4816</v>
      </c>
      <c r="L8507" s="14" t="n">
        <f aca="false">($L$2*M8507)/100</f>
        <v>492683.265</v>
      </c>
      <c r="M8507" s="15" t="n">
        <v>0.41</v>
      </c>
      <c r="N8507" s="9" t="s">
        <v>26</v>
      </c>
    </row>
    <row r="8508" customFormat="false" ht="14.25" hidden="false" customHeight="true" outlineLevel="0" collapsed="false">
      <c r="B8508" s="9" t="s">
        <v>16</v>
      </c>
      <c r="C8508" s="9" t="n">
        <v>1128299</v>
      </c>
      <c r="D8508" s="10" t="n">
        <v>44278</v>
      </c>
      <c r="E8508" s="9" t="s">
        <v>50</v>
      </c>
      <c r="F8508" s="9" t="s">
        <v>74</v>
      </c>
      <c r="G8508" s="9" t="s">
        <v>75</v>
      </c>
      <c r="H8508" s="11" t="s">
        <v>23</v>
      </c>
      <c r="I8508" s="12" t="n">
        <v>38</v>
      </c>
      <c r="J8508" s="13" t="n">
        <v>78</v>
      </c>
      <c r="K8508" s="14" t="n">
        <f aca="false">I8508*J8508</f>
        <v>2964</v>
      </c>
      <c r="L8508" s="14" t="n">
        <f aca="false">($L$2*M8508)/100</f>
        <v>468649.935</v>
      </c>
      <c r="M8508" s="15" t="n">
        <v>0.39</v>
      </c>
      <c r="N8508" s="9" t="s">
        <v>26</v>
      </c>
    </row>
    <row r="8509" customFormat="false" ht="14.25" hidden="false" customHeight="true" outlineLevel="0" collapsed="false">
      <c r="B8509" s="9" t="s">
        <v>16</v>
      </c>
      <c r="C8509" s="9" t="n">
        <v>1128299</v>
      </c>
      <c r="D8509" s="10" t="n">
        <v>44278</v>
      </c>
      <c r="E8509" s="9" t="s">
        <v>50</v>
      </c>
      <c r="F8509" s="9" t="s">
        <v>74</v>
      </c>
      <c r="G8509" s="9" t="s">
        <v>75</v>
      </c>
      <c r="H8509" s="11" t="s">
        <v>24</v>
      </c>
      <c r="I8509" s="12" t="n">
        <v>43</v>
      </c>
      <c r="J8509" s="13" t="n">
        <v>33</v>
      </c>
      <c r="K8509" s="14" t="n">
        <f aca="false">I8509*J8509</f>
        <v>1419</v>
      </c>
      <c r="L8509" s="14" t="n">
        <f aca="false">($L$2*M8509)/100</f>
        <v>504699.93</v>
      </c>
      <c r="M8509" s="15" t="n">
        <v>0.42</v>
      </c>
      <c r="N8509" s="9" t="s">
        <v>26</v>
      </c>
    </row>
    <row r="8510" customFormat="false" ht="14.25" hidden="false" customHeight="true" outlineLevel="0" collapsed="false">
      <c r="B8510" s="9" t="s">
        <v>16</v>
      </c>
      <c r="C8510" s="9" t="n">
        <v>1128299</v>
      </c>
      <c r="D8510" s="10" t="n">
        <v>44278</v>
      </c>
      <c r="E8510" s="9" t="s">
        <v>50</v>
      </c>
      <c r="F8510" s="9" t="s">
        <v>74</v>
      </c>
      <c r="G8510" s="9" t="s">
        <v>75</v>
      </c>
      <c r="H8510" s="11" t="s">
        <v>25</v>
      </c>
      <c r="I8510" s="12" t="n">
        <v>35</v>
      </c>
      <c r="J8510" s="13" t="n">
        <v>102</v>
      </c>
      <c r="K8510" s="14" t="n">
        <f aca="false">I8510*J8510</f>
        <v>3570</v>
      </c>
      <c r="L8510" s="14" t="n">
        <f aca="false">($L$2*M8510)/100</f>
        <v>432599.94</v>
      </c>
      <c r="M8510" s="15" t="n">
        <v>0.36</v>
      </c>
      <c r="N8510" s="9" t="s">
        <v>26</v>
      </c>
    </row>
    <row r="8511" customFormat="false" ht="14.25" hidden="false" customHeight="true" outlineLevel="0" collapsed="false">
      <c r="B8511" s="9" t="s">
        <v>16</v>
      </c>
      <c r="C8511" s="9" t="n">
        <v>1128299</v>
      </c>
      <c r="D8511" s="10" t="n">
        <v>44310</v>
      </c>
      <c r="E8511" s="9" t="s">
        <v>50</v>
      </c>
      <c r="F8511" s="9" t="s">
        <v>74</v>
      </c>
      <c r="G8511" s="9" t="s">
        <v>75</v>
      </c>
      <c r="H8511" s="11" t="s">
        <v>19</v>
      </c>
      <c r="I8511" s="12" t="n">
        <v>38</v>
      </c>
      <c r="J8511" s="13" t="n">
        <v>147</v>
      </c>
      <c r="K8511" s="14" t="n">
        <f aca="false">I8511*J8511</f>
        <v>5586</v>
      </c>
      <c r="L8511" s="14" t="n">
        <f aca="false">($L$2*M8511)/100</f>
        <v>444616.605</v>
      </c>
      <c r="M8511" s="15" t="n">
        <v>0.37</v>
      </c>
      <c r="N8511" s="9" t="s">
        <v>26</v>
      </c>
    </row>
    <row r="8512" customFormat="false" ht="14.25" hidden="false" customHeight="true" outlineLevel="0" collapsed="false">
      <c r="B8512" s="9" t="s">
        <v>16</v>
      </c>
      <c r="C8512" s="9" t="n">
        <v>1128299</v>
      </c>
      <c r="D8512" s="10" t="n">
        <v>44310</v>
      </c>
      <c r="E8512" s="9" t="s">
        <v>50</v>
      </c>
      <c r="F8512" s="9" t="s">
        <v>74</v>
      </c>
      <c r="G8512" s="9" t="s">
        <v>75</v>
      </c>
      <c r="H8512" s="11" t="s">
        <v>21</v>
      </c>
      <c r="I8512" s="12" t="n">
        <v>44</v>
      </c>
      <c r="J8512" s="13" t="n">
        <v>85</v>
      </c>
      <c r="K8512" s="14" t="n">
        <f aca="false">I8512*J8512</f>
        <v>3740</v>
      </c>
      <c r="L8512" s="14" t="n">
        <f aca="false">($L$2*M8512)/100</f>
        <v>492683.265</v>
      </c>
      <c r="M8512" s="15" t="n">
        <v>0.41</v>
      </c>
      <c r="N8512" s="9" t="s">
        <v>26</v>
      </c>
    </row>
    <row r="8513" customFormat="false" ht="14.25" hidden="false" customHeight="true" outlineLevel="0" collapsed="false">
      <c r="B8513" s="9" t="s">
        <v>16</v>
      </c>
      <c r="C8513" s="9" t="n">
        <v>1128299</v>
      </c>
      <c r="D8513" s="10" t="n">
        <v>44310</v>
      </c>
      <c r="E8513" s="9" t="s">
        <v>50</v>
      </c>
      <c r="F8513" s="9" t="s">
        <v>74</v>
      </c>
      <c r="G8513" s="9" t="s">
        <v>75</v>
      </c>
      <c r="H8513" s="11" t="s">
        <v>22</v>
      </c>
      <c r="I8513" s="12" t="n">
        <v>41</v>
      </c>
      <c r="J8513" s="13" t="n">
        <v>114</v>
      </c>
      <c r="K8513" s="14" t="n">
        <f aca="false">I8513*J8513</f>
        <v>4674</v>
      </c>
      <c r="L8513" s="14" t="n">
        <f aca="false">($L$2*M8513)/100</f>
        <v>444616.605</v>
      </c>
      <c r="M8513" s="15" t="n">
        <v>0.37</v>
      </c>
      <c r="N8513" s="9" t="s">
        <v>26</v>
      </c>
    </row>
    <row r="8514" customFormat="false" ht="14.25" hidden="false" customHeight="true" outlineLevel="0" collapsed="false">
      <c r="B8514" s="9" t="s">
        <v>16</v>
      </c>
      <c r="C8514" s="9" t="n">
        <v>1128299</v>
      </c>
      <c r="D8514" s="10" t="n">
        <v>44310</v>
      </c>
      <c r="E8514" s="9" t="s">
        <v>50</v>
      </c>
      <c r="F8514" s="9" t="s">
        <v>74</v>
      </c>
      <c r="G8514" s="9" t="s">
        <v>75</v>
      </c>
      <c r="H8514" s="11" t="s">
        <v>23</v>
      </c>
      <c r="I8514" s="12" t="n">
        <v>32</v>
      </c>
      <c r="J8514" s="13" t="n">
        <v>68</v>
      </c>
      <c r="K8514" s="14" t="n">
        <f aca="false">I8514*J8514</f>
        <v>2176</v>
      </c>
      <c r="L8514" s="14" t="n">
        <f aca="false">($L$2*M8514)/100</f>
        <v>504699.93</v>
      </c>
      <c r="M8514" s="15" t="n">
        <v>0.42</v>
      </c>
      <c r="N8514" s="9" t="s">
        <v>26</v>
      </c>
    </row>
    <row r="8515" customFormat="false" ht="14.25" hidden="false" customHeight="true" outlineLevel="0" collapsed="false">
      <c r="B8515" s="9" t="s">
        <v>16</v>
      </c>
      <c r="C8515" s="9" t="n">
        <v>1128299</v>
      </c>
      <c r="D8515" s="10" t="n">
        <v>44310</v>
      </c>
      <c r="E8515" s="9" t="s">
        <v>50</v>
      </c>
      <c r="F8515" s="9" t="s">
        <v>74</v>
      </c>
      <c r="G8515" s="9" t="s">
        <v>75</v>
      </c>
      <c r="H8515" s="11" t="s">
        <v>24</v>
      </c>
      <c r="I8515" s="12" t="n">
        <v>40</v>
      </c>
      <c r="J8515" s="13" t="n">
        <v>40</v>
      </c>
      <c r="K8515" s="14" t="n">
        <f aca="false">I8515*J8515</f>
        <v>1600</v>
      </c>
      <c r="L8515" s="14" t="n">
        <f aca="false">($L$2*M8515)/100</f>
        <v>504699.93</v>
      </c>
      <c r="M8515" s="15" t="n">
        <v>0.42</v>
      </c>
      <c r="N8515" s="9" t="s">
        <v>26</v>
      </c>
    </row>
    <row r="8516" customFormat="false" ht="14.25" hidden="false" customHeight="true" outlineLevel="0" collapsed="false">
      <c r="B8516" s="9" t="s">
        <v>16</v>
      </c>
      <c r="C8516" s="9" t="n">
        <v>1128299</v>
      </c>
      <c r="D8516" s="10" t="n">
        <v>44310</v>
      </c>
      <c r="E8516" s="9" t="s">
        <v>50</v>
      </c>
      <c r="F8516" s="9" t="s">
        <v>74</v>
      </c>
      <c r="G8516" s="9" t="s">
        <v>75</v>
      </c>
      <c r="H8516" s="11" t="s">
        <v>25</v>
      </c>
      <c r="I8516" s="12" t="n">
        <v>47</v>
      </c>
      <c r="J8516" s="13" t="n">
        <v>90</v>
      </c>
      <c r="K8516" s="14" t="n">
        <f aca="false">I8516*J8516</f>
        <v>4230</v>
      </c>
      <c r="L8516" s="14" t="n">
        <f aca="false">($L$2*M8516)/100</f>
        <v>432599.94</v>
      </c>
      <c r="M8516" s="15" t="n">
        <v>0.36</v>
      </c>
      <c r="N8516" s="9" t="s">
        <v>26</v>
      </c>
    </row>
    <row r="8517" customFormat="false" ht="14.25" hidden="false" customHeight="true" outlineLevel="0" collapsed="false">
      <c r="B8517" s="9" t="s">
        <v>16</v>
      </c>
      <c r="C8517" s="9" t="n">
        <v>1128299</v>
      </c>
      <c r="D8517" s="10" t="n">
        <v>44341</v>
      </c>
      <c r="E8517" s="9" t="s">
        <v>50</v>
      </c>
      <c r="F8517" s="9" t="s">
        <v>74</v>
      </c>
      <c r="G8517" s="9" t="s">
        <v>75</v>
      </c>
      <c r="H8517" s="11" t="s">
        <v>19</v>
      </c>
      <c r="I8517" s="12" t="n">
        <v>39</v>
      </c>
      <c r="J8517" s="13" t="n">
        <v>175</v>
      </c>
      <c r="K8517" s="14" t="n">
        <f aca="false">I8517*J8517</f>
        <v>6825</v>
      </c>
      <c r="L8517" s="14" t="n">
        <f aca="false">($L$2*M8517)/100</f>
        <v>480666.6</v>
      </c>
      <c r="M8517" s="15" t="n">
        <v>0.4</v>
      </c>
      <c r="N8517" s="9" t="s">
        <v>26</v>
      </c>
    </row>
    <row r="8518" customFormat="false" ht="14.25" hidden="false" customHeight="true" outlineLevel="0" collapsed="false">
      <c r="B8518" s="9" t="s">
        <v>16</v>
      </c>
      <c r="C8518" s="9" t="n">
        <v>1128299</v>
      </c>
      <c r="D8518" s="10" t="n">
        <v>44341</v>
      </c>
      <c r="E8518" s="9" t="s">
        <v>50</v>
      </c>
      <c r="F8518" s="9" t="s">
        <v>74</v>
      </c>
      <c r="G8518" s="9" t="s">
        <v>75</v>
      </c>
      <c r="H8518" s="11" t="s">
        <v>21</v>
      </c>
      <c r="I8518" s="12" t="n">
        <v>40</v>
      </c>
      <c r="J8518" s="13" t="n">
        <v>105</v>
      </c>
      <c r="K8518" s="14" t="n">
        <f aca="false">I8518*J8518</f>
        <v>4200</v>
      </c>
      <c r="L8518" s="14" t="n">
        <f aca="false">($L$2*M8518)/100</f>
        <v>492683.265</v>
      </c>
      <c r="M8518" s="15" t="n">
        <v>0.41</v>
      </c>
      <c r="N8518" s="9" t="s">
        <v>26</v>
      </c>
    </row>
    <row r="8519" customFormat="false" ht="14.25" hidden="false" customHeight="true" outlineLevel="0" collapsed="false">
      <c r="B8519" s="9" t="s">
        <v>16</v>
      </c>
      <c r="C8519" s="9" t="n">
        <v>1128299</v>
      </c>
      <c r="D8519" s="10" t="n">
        <v>44341</v>
      </c>
      <c r="E8519" s="9" t="s">
        <v>50</v>
      </c>
      <c r="F8519" s="9" t="s">
        <v>74</v>
      </c>
      <c r="G8519" s="9" t="s">
        <v>75</v>
      </c>
      <c r="H8519" s="11" t="s">
        <v>22</v>
      </c>
      <c r="I8519" s="12" t="n">
        <v>37</v>
      </c>
      <c r="J8519" s="13" t="n">
        <v>109</v>
      </c>
      <c r="K8519" s="14" t="n">
        <f aca="false">I8519*J8519</f>
        <v>4033</v>
      </c>
      <c r="L8519" s="14" t="n">
        <f aca="false">($L$2*M8519)/100</f>
        <v>444616.605</v>
      </c>
      <c r="M8519" s="15" t="n">
        <v>0.37</v>
      </c>
      <c r="N8519" s="9" t="s">
        <v>26</v>
      </c>
    </row>
    <row r="8520" customFormat="false" ht="14.25" hidden="false" customHeight="true" outlineLevel="0" collapsed="false">
      <c r="B8520" s="9" t="s">
        <v>16</v>
      </c>
      <c r="C8520" s="9" t="n">
        <v>1128299</v>
      </c>
      <c r="D8520" s="10" t="n">
        <v>44341</v>
      </c>
      <c r="E8520" s="9" t="s">
        <v>50</v>
      </c>
      <c r="F8520" s="9" t="s">
        <v>74</v>
      </c>
      <c r="G8520" s="9" t="s">
        <v>75</v>
      </c>
      <c r="H8520" s="11" t="s">
        <v>23</v>
      </c>
      <c r="I8520" s="12" t="n">
        <v>33</v>
      </c>
      <c r="J8520" s="13" t="n">
        <v>85</v>
      </c>
      <c r="K8520" s="14" t="n">
        <f aca="false">I8520*J8520</f>
        <v>2805</v>
      </c>
      <c r="L8520" s="14" t="n">
        <f aca="false">($L$2*M8520)/100</f>
        <v>456633.27</v>
      </c>
      <c r="M8520" s="15" t="n">
        <v>0.38</v>
      </c>
      <c r="N8520" s="9" t="s">
        <v>26</v>
      </c>
    </row>
    <row r="8521" customFormat="false" ht="14.25" hidden="false" customHeight="true" outlineLevel="0" collapsed="false">
      <c r="B8521" s="9" t="s">
        <v>16</v>
      </c>
      <c r="C8521" s="9" t="n">
        <v>1128299</v>
      </c>
      <c r="D8521" s="10" t="n">
        <v>44341</v>
      </c>
      <c r="E8521" s="9" t="s">
        <v>50</v>
      </c>
      <c r="F8521" s="9" t="s">
        <v>74</v>
      </c>
      <c r="G8521" s="9" t="s">
        <v>75</v>
      </c>
      <c r="H8521" s="11" t="s">
        <v>24</v>
      </c>
      <c r="I8521" s="12" t="n">
        <v>34</v>
      </c>
      <c r="J8521" s="13" t="n">
        <v>54</v>
      </c>
      <c r="K8521" s="14" t="n">
        <f aca="false">I8521*J8521</f>
        <v>1836</v>
      </c>
      <c r="L8521" s="14" t="n">
        <f aca="false">($L$2*M8521)/100</f>
        <v>516716.595</v>
      </c>
      <c r="M8521" s="15" t="n">
        <v>0.43</v>
      </c>
      <c r="N8521" s="9" t="s">
        <v>26</v>
      </c>
    </row>
    <row r="8522" customFormat="false" ht="14.25" hidden="false" customHeight="true" outlineLevel="0" collapsed="false">
      <c r="B8522" s="9" t="s">
        <v>16</v>
      </c>
      <c r="C8522" s="9" t="n">
        <v>1128299</v>
      </c>
      <c r="D8522" s="10" t="n">
        <v>44341</v>
      </c>
      <c r="E8522" s="9" t="s">
        <v>50</v>
      </c>
      <c r="F8522" s="9" t="s">
        <v>74</v>
      </c>
      <c r="G8522" s="9" t="s">
        <v>75</v>
      </c>
      <c r="H8522" s="11" t="s">
        <v>25</v>
      </c>
      <c r="I8522" s="12" t="n">
        <v>44</v>
      </c>
      <c r="J8522" s="13" t="n">
        <v>168</v>
      </c>
      <c r="K8522" s="14" t="n">
        <f aca="false">I8522*J8522</f>
        <v>7392</v>
      </c>
      <c r="L8522" s="14" t="n">
        <f aca="false">($L$2*M8522)/100</f>
        <v>420583.275</v>
      </c>
      <c r="M8522" s="15" t="n">
        <v>0.35</v>
      </c>
      <c r="N8522" s="9" t="s">
        <v>26</v>
      </c>
    </row>
    <row r="8523" customFormat="false" ht="14.25" hidden="false" customHeight="true" outlineLevel="0" collapsed="false">
      <c r="B8523" s="9" t="s">
        <v>16</v>
      </c>
      <c r="C8523" s="9" t="n">
        <v>1128299</v>
      </c>
      <c r="D8523" s="10" t="n">
        <v>44371</v>
      </c>
      <c r="E8523" s="9" t="s">
        <v>50</v>
      </c>
      <c r="F8523" s="9" t="s">
        <v>74</v>
      </c>
      <c r="G8523" s="9" t="s">
        <v>75</v>
      </c>
      <c r="H8523" s="11" t="s">
        <v>19</v>
      </c>
      <c r="I8523" s="12" t="n">
        <v>37</v>
      </c>
      <c r="J8523" s="13" t="n">
        <v>233</v>
      </c>
      <c r="K8523" s="14" t="n">
        <f aca="false">I8523*J8523</f>
        <v>8621</v>
      </c>
      <c r="L8523" s="14" t="n">
        <f aca="false">($L$2*M8523)/100</f>
        <v>444616.605</v>
      </c>
      <c r="M8523" s="15" t="n">
        <v>0.37</v>
      </c>
      <c r="N8523" s="9" t="s">
        <v>26</v>
      </c>
    </row>
    <row r="8524" customFormat="false" ht="14.25" hidden="false" customHeight="true" outlineLevel="0" collapsed="false">
      <c r="B8524" s="9" t="s">
        <v>16</v>
      </c>
      <c r="C8524" s="9" t="n">
        <v>1128299</v>
      </c>
      <c r="D8524" s="10" t="n">
        <v>44371</v>
      </c>
      <c r="E8524" s="9" t="s">
        <v>50</v>
      </c>
      <c r="F8524" s="9" t="s">
        <v>74</v>
      </c>
      <c r="G8524" s="9" t="s">
        <v>75</v>
      </c>
      <c r="H8524" s="11" t="s">
        <v>21</v>
      </c>
      <c r="I8524" s="12" t="n">
        <v>45</v>
      </c>
      <c r="J8524" s="13" t="n">
        <v>221</v>
      </c>
      <c r="K8524" s="14" t="n">
        <f aca="false">I8524*J8524</f>
        <v>9945</v>
      </c>
      <c r="L8524" s="14" t="n">
        <f aca="false">($L$2*M8524)/100</f>
        <v>492683.265</v>
      </c>
      <c r="M8524" s="15" t="n">
        <v>0.41</v>
      </c>
      <c r="N8524" s="9" t="s">
        <v>26</v>
      </c>
    </row>
    <row r="8525" customFormat="false" ht="14.25" hidden="false" customHeight="true" outlineLevel="0" collapsed="false">
      <c r="B8525" s="9" t="s">
        <v>16</v>
      </c>
      <c r="C8525" s="9" t="n">
        <v>1128299</v>
      </c>
      <c r="D8525" s="10" t="n">
        <v>44371</v>
      </c>
      <c r="E8525" s="9" t="s">
        <v>50</v>
      </c>
      <c r="F8525" s="9" t="s">
        <v>74</v>
      </c>
      <c r="G8525" s="9" t="s">
        <v>75</v>
      </c>
      <c r="H8525" s="11" t="s">
        <v>22</v>
      </c>
      <c r="I8525" s="12" t="n">
        <v>58</v>
      </c>
      <c r="J8525" s="13" t="n">
        <v>208</v>
      </c>
      <c r="K8525" s="14" t="n">
        <f aca="false">I8525*J8525</f>
        <v>12064</v>
      </c>
      <c r="L8525" s="14" t="n">
        <f aca="false">($L$2*M8525)/100</f>
        <v>444616.605</v>
      </c>
      <c r="M8525" s="15" t="n">
        <v>0.37</v>
      </c>
      <c r="N8525" s="9" t="s">
        <v>26</v>
      </c>
    </row>
    <row r="8526" customFormat="false" ht="14.25" hidden="false" customHeight="true" outlineLevel="0" collapsed="false">
      <c r="B8526" s="9" t="s">
        <v>16</v>
      </c>
      <c r="C8526" s="9" t="n">
        <v>1128299</v>
      </c>
      <c r="D8526" s="10" t="n">
        <v>44371</v>
      </c>
      <c r="E8526" s="9" t="s">
        <v>50</v>
      </c>
      <c r="F8526" s="9" t="s">
        <v>74</v>
      </c>
      <c r="G8526" s="9" t="s">
        <v>75</v>
      </c>
      <c r="H8526" s="11" t="s">
        <v>23</v>
      </c>
      <c r="I8526" s="12" t="n">
        <v>61</v>
      </c>
      <c r="J8526" s="13" t="n">
        <v>184</v>
      </c>
      <c r="K8526" s="14" t="n">
        <f aca="false">I8526*J8526</f>
        <v>11224</v>
      </c>
      <c r="L8526" s="14" t="n">
        <f aca="false">($L$2*M8526)/100</f>
        <v>492683.265</v>
      </c>
      <c r="M8526" s="15" t="n">
        <v>0.41</v>
      </c>
      <c r="N8526" s="9" t="s">
        <v>26</v>
      </c>
    </row>
    <row r="8527" customFormat="false" ht="14.25" hidden="false" customHeight="true" outlineLevel="0" collapsed="false">
      <c r="B8527" s="9" t="s">
        <v>16</v>
      </c>
      <c r="C8527" s="9" t="n">
        <v>1128299</v>
      </c>
      <c r="D8527" s="10" t="n">
        <v>44371</v>
      </c>
      <c r="E8527" s="9" t="s">
        <v>50</v>
      </c>
      <c r="F8527" s="9" t="s">
        <v>74</v>
      </c>
      <c r="G8527" s="9" t="s">
        <v>75</v>
      </c>
      <c r="H8527" s="11" t="s">
        <v>24</v>
      </c>
      <c r="I8527" s="12" t="n">
        <v>68</v>
      </c>
      <c r="J8527" s="13" t="n">
        <v>128</v>
      </c>
      <c r="K8527" s="14" t="n">
        <f aca="false">I8527*J8527</f>
        <v>8704</v>
      </c>
      <c r="L8527" s="14" t="n">
        <f aca="false">($L$2*M8527)/100</f>
        <v>552766.59</v>
      </c>
      <c r="M8527" s="15" t="n">
        <v>0.46</v>
      </c>
      <c r="N8527" s="9" t="s">
        <v>26</v>
      </c>
    </row>
    <row r="8528" customFormat="false" ht="14.25" hidden="false" customHeight="true" outlineLevel="0" collapsed="false">
      <c r="B8528" s="9" t="s">
        <v>16</v>
      </c>
      <c r="C8528" s="9" t="n">
        <v>1128299</v>
      </c>
      <c r="D8528" s="10" t="n">
        <v>44371</v>
      </c>
      <c r="E8528" s="9" t="s">
        <v>50</v>
      </c>
      <c r="F8528" s="9" t="s">
        <v>74</v>
      </c>
      <c r="G8528" s="9" t="s">
        <v>75</v>
      </c>
      <c r="H8528" s="11" t="s">
        <v>25</v>
      </c>
      <c r="I8528" s="12" t="n">
        <v>82</v>
      </c>
      <c r="J8528" s="13" t="n">
        <v>231</v>
      </c>
      <c r="K8528" s="14" t="n">
        <f aca="false">I8528*J8528</f>
        <v>18942</v>
      </c>
      <c r="L8528" s="14" t="n">
        <f aca="false">($L$2*M8528)/100</f>
        <v>444616.605</v>
      </c>
      <c r="M8528" s="15" t="n">
        <v>0.37</v>
      </c>
      <c r="N8528" s="9" t="s">
        <v>26</v>
      </c>
    </row>
    <row r="8529" customFormat="false" ht="14.25" hidden="false" customHeight="true" outlineLevel="0" collapsed="false">
      <c r="B8529" s="9" t="s">
        <v>16</v>
      </c>
      <c r="C8529" s="9" t="n">
        <v>1128299</v>
      </c>
      <c r="D8529" s="10" t="n">
        <v>44400</v>
      </c>
      <c r="E8529" s="9" t="s">
        <v>50</v>
      </c>
      <c r="F8529" s="9" t="s">
        <v>74</v>
      </c>
      <c r="G8529" s="9" t="s">
        <v>75</v>
      </c>
      <c r="H8529" s="11" t="s">
        <v>19</v>
      </c>
      <c r="I8529" s="12" t="n">
        <v>60</v>
      </c>
      <c r="J8529" s="13" t="n">
        <v>272</v>
      </c>
      <c r="K8529" s="14" t="n">
        <f aca="false">I8529*J8529</f>
        <v>16320</v>
      </c>
      <c r="L8529" s="14" t="n">
        <f aca="false">($L$2*M8529)/100</f>
        <v>444616.605</v>
      </c>
      <c r="M8529" s="15" t="n">
        <v>0.37</v>
      </c>
      <c r="N8529" s="9" t="s">
        <v>26</v>
      </c>
    </row>
    <row r="8530" customFormat="false" ht="14.25" hidden="false" customHeight="true" outlineLevel="0" collapsed="false">
      <c r="B8530" s="9" t="s">
        <v>16</v>
      </c>
      <c r="C8530" s="9" t="n">
        <v>1128299</v>
      </c>
      <c r="D8530" s="10" t="n">
        <v>44400</v>
      </c>
      <c r="E8530" s="9" t="s">
        <v>50</v>
      </c>
      <c r="F8530" s="9" t="s">
        <v>74</v>
      </c>
      <c r="G8530" s="9" t="s">
        <v>75</v>
      </c>
      <c r="H8530" s="11" t="s">
        <v>21</v>
      </c>
      <c r="I8530" s="12" t="n">
        <v>60</v>
      </c>
      <c r="J8530" s="13" t="n">
        <v>224</v>
      </c>
      <c r="K8530" s="14" t="n">
        <f aca="false">I8530*J8530</f>
        <v>13440</v>
      </c>
      <c r="L8530" s="14" t="n">
        <f aca="false">($L$2*M8530)/100</f>
        <v>456633.27</v>
      </c>
      <c r="M8530" s="15" t="n">
        <v>0.38</v>
      </c>
      <c r="N8530" s="9" t="s">
        <v>26</v>
      </c>
    </row>
    <row r="8531" customFormat="false" ht="14.25" hidden="false" customHeight="true" outlineLevel="0" collapsed="false">
      <c r="B8531" s="9" t="s">
        <v>16</v>
      </c>
      <c r="C8531" s="9" t="n">
        <v>1128299</v>
      </c>
      <c r="D8531" s="10" t="n">
        <v>44400</v>
      </c>
      <c r="E8531" s="9" t="s">
        <v>50</v>
      </c>
      <c r="F8531" s="9" t="s">
        <v>74</v>
      </c>
      <c r="G8531" s="9" t="s">
        <v>75</v>
      </c>
      <c r="H8531" s="11" t="s">
        <v>22</v>
      </c>
      <c r="I8531" s="12" t="n">
        <v>62</v>
      </c>
      <c r="J8531" s="13" t="n">
        <v>208</v>
      </c>
      <c r="K8531" s="14" t="n">
        <f aca="false">I8531*J8531</f>
        <v>12896</v>
      </c>
      <c r="L8531" s="14" t="n">
        <f aca="false">($L$2*M8531)/100</f>
        <v>456633.27</v>
      </c>
      <c r="M8531" s="15" t="n">
        <v>0.38</v>
      </c>
      <c r="N8531" s="9" t="s">
        <v>26</v>
      </c>
    </row>
    <row r="8532" customFormat="false" ht="14.25" hidden="false" customHeight="true" outlineLevel="0" collapsed="false">
      <c r="B8532" s="9" t="s">
        <v>16</v>
      </c>
      <c r="C8532" s="9" t="n">
        <v>1128299</v>
      </c>
      <c r="D8532" s="10" t="n">
        <v>44400</v>
      </c>
      <c r="E8532" s="9" t="s">
        <v>50</v>
      </c>
      <c r="F8532" s="9" t="s">
        <v>74</v>
      </c>
      <c r="G8532" s="9" t="s">
        <v>75</v>
      </c>
      <c r="H8532" s="11" t="s">
        <v>23</v>
      </c>
      <c r="I8532" s="12" t="n">
        <v>65</v>
      </c>
      <c r="J8532" s="13" t="n">
        <v>187</v>
      </c>
      <c r="K8532" s="14" t="n">
        <f aca="false">I8532*J8532</f>
        <v>12155</v>
      </c>
      <c r="L8532" s="14" t="n">
        <f aca="false">($L$2*M8532)/100</f>
        <v>504699.93</v>
      </c>
      <c r="M8532" s="15" t="n">
        <v>0.42</v>
      </c>
      <c r="N8532" s="9" t="s">
        <v>26</v>
      </c>
    </row>
    <row r="8533" customFormat="false" ht="14.25" hidden="false" customHeight="true" outlineLevel="0" collapsed="false">
      <c r="B8533" s="9" t="s">
        <v>16</v>
      </c>
      <c r="C8533" s="9" t="n">
        <v>1128299</v>
      </c>
      <c r="D8533" s="10" t="n">
        <v>44400</v>
      </c>
      <c r="E8533" s="9" t="s">
        <v>50</v>
      </c>
      <c r="F8533" s="9" t="s">
        <v>74</v>
      </c>
      <c r="G8533" s="9" t="s">
        <v>75</v>
      </c>
      <c r="H8533" s="11" t="s">
        <v>24</v>
      </c>
      <c r="I8533" s="12" t="n">
        <v>72</v>
      </c>
      <c r="J8533" s="13" t="n">
        <v>210</v>
      </c>
      <c r="K8533" s="14" t="n">
        <f aca="false">I8533*J8533</f>
        <v>15120</v>
      </c>
      <c r="L8533" s="14" t="n">
        <f aca="false">($L$2*M8533)/100</f>
        <v>516716.595</v>
      </c>
      <c r="M8533" s="15" t="n">
        <v>0.43</v>
      </c>
      <c r="N8533" s="9" t="s">
        <v>26</v>
      </c>
    </row>
    <row r="8534" customFormat="false" ht="14.25" hidden="false" customHeight="true" outlineLevel="0" collapsed="false">
      <c r="B8534" s="9" t="s">
        <v>16</v>
      </c>
      <c r="C8534" s="9" t="n">
        <v>1128299</v>
      </c>
      <c r="D8534" s="10" t="n">
        <v>44400</v>
      </c>
      <c r="E8534" s="9" t="s">
        <v>50</v>
      </c>
      <c r="F8534" s="9" t="s">
        <v>74</v>
      </c>
      <c r="G8534" s="9" t="s">
        <v>75</v>
      </c>
      <c r="H8534" s="11" t="s">
        <v>25</v>
      </c>
      <c r="I8534" s="12" t="n">
        <v>82</v>
      </c>
      <c r="J8534" s="13" t="n">
        <v>186</v>
      </c>
      <c r="K8534" s="14" t="n">
        <f aca="false">I8534*J8534</f>
        <v>15252</v>
      </c>
      <c r="L8534" s="14" t="n">
        <f aca="false">($L$2*M8534)/100</f>
        <v>396549.945</v>
      </c>
      <c r="M8534" s="15" t="n">
        <v>0.33</v>
      </c>
      <c r="N8534" s="9" t="s">
        <v>26</v>
      </c>
    </row>
    <row r="8535" customFormat="false" ht="14.25" hidden="false" customHeight="true" outlineLevel="0" collapsed="false">
      <c r="B8535" s="9" t="s">
        <v>16</v>
      </c>
      <c r="C8535" s="9" t="n">
        <v>1128299</v>
      </c>
      <c r="D8535" s="10" t="n">
        <v>44432</v>
      </c>
      <c r="E8535" s="9" t="s">
        <v>50</v>
      </c>
      <c r="F8535" s="9" t="s">
        <v>74</v>
      </c>
      <c r="G8535" s="9" t="s">
        <v>75</v>
      </c>
      <c r="H8535" s="11" t="s">
        <v>19</v>
      </c>
      <c r="I8535" s="12" t="n">
        <v>67</v>
      </c>
      <c r="J8535" s="13" t="n">
        <v>272</v>
      </c>
      <c r="K8535" s="14" t="n">
        <f aca="false">I8535*J8535</f>
        <v>18224</v>
      </c>
      <c r="L8535" s="14" t="n">
        <f aca="false">($L$2*M8535)/100</f>
        <v>480666.6</v>
      </c>
      <c r="M8535" s="15" t="n">
        <v>0.4</v>
      </c>
      <c r="N8535" s="9" t="s">
        <v>26</v>
      </c>
    </row>
    <row r="8536" customFormat="false" ht="14.25" hidden="false" customHeight="true" outlineLevel="0" collapsed="false">
      <c r="B8536" s="9" t="s">
        <v>16</v>
      </c>
      <c r="C8536" s="9" t="n">
        <v>1128299</v>
      </c>
      <c r="D8536" s="10" t="n">
        <v>44432</v>
      </c>
      <c r="E8536" s="9" t="s">
        <v>50</v>
      </c>
      <c r="F8536" s="9" t="s">
        <v>74</v>
      </c>
      <c r="G8536" s="9" t="s">
        <v>75</v>
      </c>
      <c r="H8536" s="11" t="s">
        <v>21</v>
      </c>
      <c r="I8536" s="12" t="n">
        <v>53</v>
      </c>
      <c r="J8536" s="13" t="n">
        <v>240</v>
      </c>
      <c r="K8536" s="14" t="n">
        <f aca="false">I8536*J8536</f>
        <v>12720</v>
      </c>
      <c r="L8536" s="14" t="n">
        <f aca="false">($L$2*M8536)/100</f>
        <v>504699.93</v>
      </c>
      <c r="M8536" s="15" t="n">
        <v>0.42</v>
      </c>
      <c r="N8536" s="9" t="s">
        <v>26</v>
      </c>
    </row>
    <row r="8537" customFormat="false" ht="14.25" hidden="false" customHeight="true" outlineLevel="0" collapsed="false">
      <c r="B8537" s="9" t="s">
        <v>16</v>
      </c>
      <c r="C8537" s="9" t="n">
        <v>1128299</v>
      </c>
      <c r="D8537" s="10" t="n">
        <v>44432</v>
      </c>
      <c r="E8537" s="9" t="s">
        <v>50</v>
      </c>
      <c r="F8537" s="9" t="s">
        <v>74</v>
      </c>
      <c r="G8537" s="9" t="s">
        <v>75</v>
      </c>
      <c r="H8537" s="11" t="s">
        <v>22</v>
      </c>
      <c r="I8537" s="12" t="n">
        <v>53</v>
      </c>
      <c r="J8537" s="13" t="n">
        <v>215</v>
      </c>
      <c r="K8537" s="14" t="n">
        <f aca="false">I8537*J8537</f>
        <v>11395</v>
      </c>
      <c r="L8537" s="14" t="n">
        <f aca="false">($L$2*M8537)/100</f>
        <v>444616.605</v>
      </c>
      <c r="M8537" s="15" t="n">
        <v>0.37</v>
      </c>
      <c r="N8537" s="9" t="s">
        <v>26</v>
      </c>
    </row>
    <row r="8538" customFormat="false" ht="14.25" hidden="false" customHeight="true" outlineLevel="0" collapsed="false">
      <c r="B8538" s="9" t="s">
        <v>16</v>
      </c>
      <c r="C8538" s="9" t="n">
        <v>1128299</v>
      </c>
      <c r="D8538" s="10" t="n">
        <v>44432</v>
      </c>
      <c r="E8538" s="9" t="s">
        <v>50</v>
      </c>
      <c r="F8538" s="9" t="s">
        <v>74</v>
      </c>
      <c r="G8538" s="9" t="s">
        <v>75</v>
      </c>
      <c r="H8538" s="11" t="s">
        <v>23</v>
      </c>
      <c r="I8538" s="12" t="n">
        <v>52</v>
      </c>
      <c r="J8538" s="13" t="n">
        <v>136</v>
      </c>
      <c r="K8538" s="14" t="n">
        <f aca="false">I8538*J8538</f>
        <v>7072</v>
      </c>
      <c r="L8538" s="14" t="n">
        <f aca="false">($L$2*M8538)/100</f>
        <v>468649.935</v>
      </c>
      <c r="M8538" s="15" t="n">
        <v>0.39</v>
      </c>
      <c r="N8538" s="9" t="s">
        <v>26</v>
      </c>
    </row>
    <row r="8539" customFormat="false" ht="14.25" hidden="false" customHeight="true" outlineLevel="0" collapsed="false">
      <c r="B8539" s="9" t="s">
        <v>16</v>
      </c>
      <c r="C8539" s="9" t="n">
        <v>1128299</v>
      </c>
      <c r="D8539" s="10" t="n">
        <v>44432</v>
      </c>
      <c r="E8539" s="9" t="s">
        <v>50</v>
      </c>
      <c r="F8539" s="9" t="s">
        <v>74</v>
      </c>
      <c r="G8539" s="9" t="s">
        <v>75</v>
      </c>
      <c r="H8539" s="11" t="s">
        <v>24</v>
      </c>
      <c r="I8539" s="12" t="n">
        <v>51</v>
      </c>
      <c r="J8539" s="13" t="n">
        <v>132</v>
      </c>
      <c r="K8539" s="14" t="n">
        <f aca="false">I8539*J8539</f>
        <v>6732</v>
      </c>
      <c r="L8539" s="14" t="n">
        <f aca="false">($L$2*M8539)/100</f>
        <v>540749.925</v>
      </c>
      <c r="M8539" s="15" t="n">
        <v>0.45</v>
      </c>
      <c r="N8539" s="9" t="s">
        <v>26</v>
      </c>
    </row>
    <row r="8540" customFormat="false" ht="14.25" hidden="false" customHeight="true" outlineLevel="0" collapsed="false">
      <c r="B8540" s="9" t="s">
        <v>16</v>
      </c>
      <c r="C8540" s="9" t="n">
        <v>1128299</v>
      </c>
      <c r="D8540" s="10" t="n">
        <v>44432</v>
      </c>
      <c r="E8540" s="9" t="s">
        <v>50</v>
      </c>
      <c r="F8540" s="9" t="s">
        <v>74</v>
      </c>
      <c r="G8540" s="9" t="s">
        <v>75</v>
      </c>
      <c r="H8540" s="11" t="s">
        <v>25</v>
      </c>
      <c r="I8540" s="12" t="n">
        <v>55</v>
      </c>
      <c r="J8540" s="13" t="n">
        <v>80</v>
      </c>
      <c r="K8540" s="14" t="n">
        <f aca="false">I8540*J8540</f>
        <v>4400</v>
      </c>
      <c r="L8540" s="14" t="n">
        <f aca="false">($L$2*M8540)/100</f>
        <v>408566.61</v>
      </c>
      <c r="M8540" s="15" t="n">
        <v>0.34</v>
      </c>
      <c r="N8540" s="9" t="s">
        <v>26</v>
      </c>
    </row>
    <row r="8541" customFormat="false" ht="14.25" hidden="false" customHeight="true" outlineLevel="0" collapsed="false">
      <c r="B8541" s="9" t="s">
        <v>16</v>
      </c>
      <c r="C8541" s="9" t="n">
        <v>1128299</v>
      </c>
      <c r="D8541" s="10" t="n">
        <v>44464</v>
      </c>
      <c r="E8541" s="9" t="s">
        <v>50</v>
      </c>
      <c r="F8541" s="9" t="s">
        <v>74</v>
      </c>
      <c r="G8541" s="9" t="s">
        <v>75</v>
      </c>
      <c r="H8541" s="11" t="s">
        <v>19</v>
      </c>
      <c r="I8541" s="12" t="n">
        <v>35</v>
      </c>
      <c r="J8541" s="13" t="n">
        <v>149</v>
      </c>
      <c r="K8541" s="14" t="n">
        <f aca="false">I8541*J8541</f>
        <v>5215</v>
      </c>
      <c r="L8541" s="14" t="n">
        <f aca="false">($L$2*M8541)/100</f>
        <v>504699.93</v>
      </c>
      <c r="M8541" s="15" t="n">
        <v>0.42</v>
      </c>
      <c r="N8541" s="9" t="s">
        <v>26</v>
      </c>
    </row>
    <row r="8542" customFormat="false" ht="14.25" hidden="false" customHeight="true" outlineLevel="0" collapsed="false">
      <c r="B8542" s="9" t="s">
        <v>16</v>
      </c>
      <c r="C8542" s="9" t="n">
        <v>1128299</v>
      </c>
      <c r="D8542" s="10" t="n">
        <v>44464</v>
      </c>
      <c r="E8542" s="9" t="s">
        <v>50</v>
      </c>
      <c r="F8542" s="9" t="s">
        <v>74</v>
      </c>
      <c r="G8542" s="9" t="s">
        <v>75</v>
      </c>
      <c r="H8542" s="11" t="s">
        <v>21</v>
      </c>
      <c r="I8542" s="12" t="n">
        <v>43</v>
      </c>
      <c r="J8542" s="13" t="n">
        <v>153</v>
      </c>
      <c r="K8542" s="14" t="n">
        <f aca="false">I8542*J8542</f>
        <v>6579</v>
      </c>
      <c r="L8542" s="14" t="n">
        <f aca="false">($L$2*M8542)/100</f>
        <v>468649.935</v>
      </c>
      <c r="M8542" s="15" t="n">
        <v>0.39</v>
      </c>
      <c r="N8542" s="9" t="s">
        <v>26</v>
      </c>
    </row>
    <row r="8543" customFormat="false" ht="14.25" hidden="false" customHeight="true" outlineLevel="0" collapsed="false">
      <c r="B8543" s="9" t="s">
        <v>16</v>
      </c>
      <c r="C8543" s="9" t="n">
        <v>1128299</v>
      </c>
      <c r="D8543" s="10" t="n">
        <v>44464</v>
      </c>
      <c r="E8543" s="9" t="s">
        <v>50</v>
      </c>
      <c r="F8543" s="9" t="s">
        <v>74</v>
      </c>
      <c r="G8543" s="9" t="s">
        <v>75</v>
      </c>
      <c r="H8543" s="11" t="s">
        <v>22</v>
      </c>
      <c r="I8543" s="12" t="n">
        <v>34</v>
      </c>
      <c r="J8543" s="13" t="n">
        <v>78</v>
      </c>
      <c r="K8543" s="14" t="n">
        <f aca="false">I8543*J8543</f>
        <v>2652</v>
      </c>
      <c r="L8543" s="14" t="n">
        <f aca="false">($L$2*M8543)/100</f>
        <v>480666.6</v>
      </c>
      <c r="M8543" s="15" t="n">
        <v>0.4</v>
      </c>
      <c r="N8543" s="9" t="s">
        <v>26</v>
      </c>
    </row>
    <row r="8544" customFormat="false" ht="14.25" hidden="false" customHeight="true" outlineLevel="0" collapsed="false">
      <c r="B8544" s="9" t="s">
        <v>16</v>
      </c>
      <c r="C8544" s="9" t="n">
        <v>1128299</v>
      </c>
      <c r="D8544" s="10" t="n">
        <v>44464</v>
      </c>
      <c r="E8544" s="9" t="s">
        <v>50</v>
      </c>
      <c r="F8544" s="9" t="s">
        <v>74</v>
      </c>
      <c r="G8544" s="9" t="s">
        <v>75</v>
      </c>
      <c r="H8544" s="11" t="s">
        <v>23</v>
      </c>
      <c r="I8544" s="12" t="n">
        <v>37</v>
      </c>
      <c r="J8544" s="13" t="n">
        <v>70</v>
      </c>
      <c r="K8544" s="14" t="n">
        <f aca="false">I8544*J8544</f>
        <v>2590</v>
      </c>
      <c r="L8544" s="14" t="n">
        <f aca="false">($L$2*M8544)/100</f>
        <v>480666.6</v>
      </c>
      <c r="M8544" s="15" t="n">
        <v>0.4</v>
      </c>
      <c r="N8544" s="9" t="s">
        <v>26</v>
      </c>
    </row>
    <row r="8545" customFormat="false" ht="14.25" hidden="false" customHeight="true" outlineLevel="0" collapsed="false">
      <c r="B8545" s="9" t="s">
        <v>16</v>
      </c>
      <c r="C8545" s="9" t="n">
        <v>1128299</v>
      </c>
      <c r="D8545" s="10" t="n">
        <v>44464</v>
      </c>
      <c r="E8545" s="9" t="s">
        <v>50</v>
      </c>
      <c r="F8545" s="9" t="s">
        <v>74</v>
      </c>
      <c r="G8545" s="9" t="s">
        <v>75</v>
      </c>
      <c r="H8545" s="11" t="s">
        <v>24</v>
      </c>
      <c r="I8545" s="12" t="n">
        <v>39</v>
      </c>
      <c r="J8545" s="13" t="n">
        <v>74</v>
      </c>
      <c r="K8545" s="14" t="n">
        <f aca="false">I8545*J8545</f>
        <v>2886</v>
      </c>
      <c r="L8545" s="14" t="n">
        <f aca="false">($L$2*M8545)/100</f>
        <v>564783.255</v>
      </c>
      <c r="M8545" s="15" t="n">
        <v>0.47</v>
      </c>
      <c r="N8545" s="9" t="s">
        <v>26</v>
      </c>
    </row>
    <row r="8546" customFormat="false" ht="14.25" hidden="false" customHeight="true" outlineLevel="0" collapsed="false">
      <c r="B8546" s="9" t="s">
        <v>16</v>
      </c>
      <c r="C8546" s="9" t="n">
        <v>1128299</v>
      </c>
      <c r="D8546" s="10" t="n">
        <v>44464</v>
      </c>
      <c r="E8546" s="9" t="s">
        <v>50</v>
      </c>
      <c r="F8546" s="9" t="s">
        <v>74</v>
      </c>
      <c r="G8546" s="9" t="s">
        <v>75</v>
      </c>
      <c r="H8546" s="11" t="s">
        <v>25</v>
      </c>
      <c r="I8546" s="12" t="n">
        <v>33</v>
      </c>
      <c r="J8546" s="13" t="n">
        <v>83</v>
      </c>
      <c r="K8546" s="14" t="n">
        <f aca="false">I8546*J8546</f>
        <v>2739</v>
      </c>
      <c r="L8546" s="14" t="n">
        <f aca="false">($L$2*M8546)/100</f>
        <v>432599.94</v>
      </c>
      <c r="M8546" s="15" t="n">
        <v>0.36</v>
      </c>
      <c r="N8546" s="9" t="s">
        <v>26</v>
      </c>
    </row>
    <row r="8547" customFormat="false" ht="14.25" hidden="false" customHeight="true" outlineLevel="0" collapsed="false">
      <c r="B8547" s="9" t="s">
        <v>16</v>
      </c>
      <c r="C8547" s="9" t="n">
        <v>1128299</v>
      </c>
      <c r="D8547" s="10" t="n">
        <v>44493</v>
      </c>
      <c r="E8547" s="9" t="s">
        <v>50</v>
      </c>
      <c r="F8547" s="9" t="s">
        <v>74</v>
      </c>
      <c r="G8547" s="9" t="s">
        <v>75</v>
      </c>
      <c r="H8547" s="11" t="s">
        <v>19</v>
      </c>
      <c r="I8547" s="12" t="n">
        <v>28</v>
      </c>
      <c r="J8547" s="13" t="n">
        <v>119</v>
      </c>
      <c r="K8547" s="14" t="n">
        <f aca="false">I8547*J8547</f>
        <v>3332</v>
      </c>
      <c r="L8547" s="14" t="n">
        <f aca="false">($L$2*M8547)/100</f>
        <v>480666.6</v>
      </c>
      <c r="M8547" s="15" t="n">
        <v>0.4</v>
      </c>
      <c r="N8547" s="9" t="s">
        <v>26</v>
      </c>
    </row>
    <row r="8548" customFormat="false" ht="14.25" hidden="false" customHeight="true" outlineLevel="0" collapsed="false">
      <c r="B8548" s="9" t="s">
        <v>16</v>
      </c>
      <c r="C8548" s="9" t="n">
        <v>1128299</v>
      </c>
      <c r="D8548" s="10" t="n">
        <v>44493</v>
      </c>
      <c r="E8548" s="9" t="s">
        <v>50</v>
      </c>
      <c r="F8548" s="9" t="s">
        <v>74</v>
      </c>
      <c r="G8548" s="9" t="s">
        <v>75</v>
      </c>
      <c r="H8548" s="11" t="s">
        <v>21</v>
      </c>
      <c r="I8548" s="12" t="n">
        <v>39</v>
      </c>
      <c r="J8548" s="13" t="n">
        <v>173</v>
      </c>
      <c r="K8548" s="14" t="n">
        <f aca="false">I8548*J8548</f>
        <v>6747</v>
      </c>
      <c r="L8548" s="14" t="n">
        <f aca="false">($L$2*M8548)/100</f>
        <v>456633.27</v>
      </c>
      <c r="M8548" s="15" t="n">
        <v>0.38</v>
      </c>
      <c r="N8548" s="9" t="s">
        <v>26</v>
      </c>
    </row>
    <row r="8549" customFormat="false" ht="14.25" hidden="false" customHeight="true" outlineLevel="0" collapsed="false">
      <c r="B8549" s="9" t="s">
        <v>16</v>
      </c>
      <c r="C8549" s="9" t="n">
        <v>1128299</v>
      </c>
      <c r="D8549" s="10" t="n">
        <v>44493</v>
      </c>
      <c r="E8549" s="9" t="s">
        <v>50</v>
      </c>
      <c r="F8549" s="9" t="s">
        <v>74</v>
      </c>
      <c r="G8549" s="9" t="s">
        <v>75</v>
      </c>
      <c r="H8549" s="11" t="s">
        <v>22</v>
      </c>
      <c r="I8549" s="12" t="n">
        <v>39</v>
      </c>
      <c r="J8549" s="13" t="n">
        <v>119</v>
      </c>
      <c r="K8549" s="14" t="n">
        <f aca="false">I8549*J8549</f>
        <v>4641</v>
      </c>
      <c r="L8549" s="14" t="n">
        <f aca="false">($L$2*M8549)/100</f>
        <v>504699.93</v>
      </c>
      <c r="M8549" s="15" t="n">
        <v>0.42</v>
      </c>
      <c r="N8549" s="9" t="s">
        <v>26</v>
      </c>
    </row>
    <row r="8550" customFormat="false" ht="14.25" hidden="false" customHeight="true" outlineLevel="0" collapsed="false">
      <c r="B8550" s="9" t="s">
        <v>16</v>
      </c>
      <c r="C8550" s="9" t="n">
        <v>1128299</v>
      </c>
      <c r="D8550" s="10" t="n">
        <v>44493</v>
      </c>
      <c r="E8550" s="9" t="s">
        <v>50</v>
      </c>
      <c r="F8550" s="9" t="s">
        <v>74</v>
      </c>
      <c r="G8550" s="9" t="s">
        <v>75</v>
      </c>
      <c r="H8550" s="11" t="s">
        <v>23</v>
      </c>
      <c r="I8550" s="12" t="n">
        <v>31</v>
      </c>
      <c r="J8550" s="13" t="n">
        <v>101</v>
      </c>
      <c r="K8550" s="14" t="n">
        <f aca="false">I8550*J8550</f>
        <v>3131</v>
      </c>
      <c r="L8550" s="14" t="n">
        <f aca="false">($L$2*M8550)/100</f>
        <v>444616.605</v>
      </c>
      <c r="M8550" s="15" t="n">
        <v>0.37</v>
      </c>
      <c r="N8550" s="9" t="s">
        <v>26</v>
      </c>
    </row>
    <row r="8551" customFormat="false" ht="14.25" hidden="false" customHeight="true" outlineLevel="0" collapsed="false">
      <c r="B8551" s="9" t="s">
        <v>16</v>
      </c>
      <c r="C8551" s="9" t="n">
        <v>1128299</v>
      </c>
      <c r="D8551" s="10" t="n">
        <v>44493</v>
      </c>
      <c r="E8551" s="9" t="s">
        <v>50</v>
      </c>
      <c r="F8551" s="9" t="s">
        <v>74</v>
      </c>
      <c r="G8551" s="9" t="s">
        <v>75</v>
      </c>
      <c r="H8551" s="11" t="s">
        <v>24</v>
      </c>
      <c r="I8551" s="12" t="n">
        <v>42</v>
      </c>
      <c r="J8551" s="13" t="n">
        <v>105</v>
      </c>
      <c r="K8551" s="14" t="n">
        <f aca="false">I8551*J8551</f>
        <v>4410</v>
      </c>
      <c r="L8551" s="14" t="n">
        <f aca="false">($L$2*M8551)/100</f>
        <v>564783.255</v>
      </c>
      <c r="M8551" s="15" t="n">
        <v>0.47</v>
      </c>
      <c r="N8551" s="9" t="s">
        <v>26</v>
      </c>
    </row>
    <row r="8552" customFormat="false" ht="14.25" hidden="false" customHeight="true" outlineLevel="0" collapsed="false">
      <c r="B8552" s="9" t="s">
        <v>16</v>
      </c>
      <c r="C8552" s="9" t="n">
        <v>1128299</v>
      </c>
      <c r="D8552" s="10" t="n">
        <v>44493</v>
      </c>
      <c r="E8552" s="9" t="s">
        <v>50</v>
      </c>
      <c r="F8552" s="9" t="s">
        <v>74</v>
      </c>
      <c r="G8552" s="9" t="s">
        <v>75</v>
      </c>
      <c r="H8552" s="11" t="s">
        <v>25</v>
      </c>
      <c r="I8552" s="12" t="n">
        <v>40</v>
      </c>
      <c r="J8552" s="13" t="n">
        <v>109</v>
      </c>
      <c r="K8552" s="14" t="n">
        <f aca="false">I8552*J8552</f>
        <v>4360</v>
      </c>
      <c r="L8552" s="14" t="n">
        <f aca="false">($L$2*M8552)/100</f>
        <v>384533.28</v>
      </c>
      <c r="M8552" s="15" t="n">
        <v>0.32</v>
      </c>
      <c r="N8552" s="9" t="s">
        <v>26</v>
      </c>
    </row>
    <row r="8553" customFormat="false" ht="14.25" hidden="false" customHeight="true" outlineLevel="0" collapsed="false">
      <c r="B8553" s="9" t="s">
        <v>16</v>
      </c>
      <c r="C8553" s="9" t="n">
        <v>1128299</v>
      </c>
      <c r="D8553" s="10" t="n">
        <v>44524</v>
      </c>
      <c r="E8553" s="9" t="s">
        <v>50</v>
      </c>
      <c r="F8553" s="9" t="s">
        <v>74</v>
      </c>
      <c r="G8553" s="9" t="s">
        <v>75</v>
      </c>
      <c r="H8553" s="11" t="s">
        <v>19</v>
      </c>
      <c r="I8553" s="12" t="n">
        <v>34</v>
      </c>
      <c r="J8553" s="13" t="n">
        <v>173</v>
      </c>
      <c r="K8553" s="14" t="n">
        <f aca="false">I8553*J8553</f>
        <v>5882</v>
      </c>
      <c r="L8553" s="14" t="n">
        <f aca="false">($L$2*M8553)/100</f>
        <v>504699.93</v>
      </c>
      <c r="M8553" s="15" t="n">
        <v>0.42</v>
      </c>
      <c r="N8553" s="9" t="s">
        <v>26</v>
      </c>
    </row>
    <row r="8554" customFormat="false" ht="14.25" hidden="false" customHeight="true" outlineLevel="0" collapsed="false">
      <c r="B8554" s="9" t="s">
        <v>16</v>
      </c>
      <c r="C8554" s="9" t="n">
        <v>1128299</v>
      </c>
      <c r="D8554" s="10" t="n">
        <v>44524</v>
      </c>
      <c r="E8554" s="9" t="s">
        <v>50</v>
      </c>
      <c r="F8554" s="9" t="s">
        <v>74</v>
      </c>
      <c r="G8554" s="9" t="s">
        <v>75</v>
      </c>
      <c r="H8554" s="11" t="s">
        <v>21</v>
      </c>
      <c r="I8554" s="12" t="n">
        <v>34</v>
      </c>
      <c r="J8554" s="13" t="n">
        <v>221</v>
      </c>
      <c r="K8554" s="14" t="n">
        <f aca="false">I8554*J8554</f>
        <v>7514</v>
      </c>
      <c r="L8554" s="14" t="n">
        <f aca="false">($L$2*M8554)/100</f>
        <v>444616.605</v>
      </c>
      <c r="M8554" s="15" t="n">
        <v>0.37</v>
      </c>
      <c r="N8554" s="9" t="s">
        <v>26</v>
      </c>
    </row>
    <row r="8555" customFormat="false" ht="14.25" hidden="false" customHeight="true" outlineLevel="0" collapsed="false">
      <c r="B8555" s="9" t="s">
        <v>16</v>
      </c>
      <c r="C8555" s="9" t="n">
        <v>1128299</v>
      </c>
      <c r="D8555" s="10" t="n">
        <v>44524</v>
      </c>
      <c r="E8555" s="9" t="s">
        <v>50</v>
      </c>
      <c r="F8555" s="9" t="s">
        <v>74</v>
      </c>
      <c r="G8555" s="9" t="s">
        <v>75</v>
      </c>
      <c r="H8555" s="11" t="s">
        <v>22</v>
      </c>
      <c r="I8555" s="12" t="n">
        <v>33</v>
      </c>
      <c r="J8555" s="13" t="n">
        <v>143</v>
      </c>
      <c r="K8555" s="14" t="n">
        <f aca="false">I8555*J8555</f>
        <v>4719</v>
      </c>
      <c r="L8555" s="14" t="n">
        <f aca="false">($L$2*M8555)/100</f>
        <v>468649.935</v>
      </c>
      <c r="M8555" s="15" t="n">
        <v>0.39</v>
      </c>
      <c r="N8555" s="9" t="s">
        <v>26</v>
      </c>
    </row>
    <row r="8556" customFormat="false" ht="14.25" hidden="false" customHeight="true" outlineLevel="0" collapsed="false">
      <c r="B8556" s="9" t="s">
        <v>16</v>
      </c>
      <c r="C8556" s="9" t="n">
        <v>1128299</v>
      </c>
      <c r="D8556" s="10" t="n">
        <v>44524</v>
      </c>
      <c r="E8556" s="9" t="s">
        <v>50</v>
      </c>
      <c r="F8556" s="9" t="s">
        <v>74</v>
      </c>
      <c r="G8556" s="9" t="s">
        <v>75</v>
      </c>
      <c r="H8556" s="11" t="s">
        <v>23</v>
      </c>
      <c r="I8556" s="12" t="n">
        <v>36</v>
      </c>
      <c r="J8556" s="13" t="n">
        <v>144</v>
      </c>
      <c r="K8556" s="14" t="n">
        <f aca="false">I8556*J8556</f>
        <v>5184</v>
      </c>
      <c r="L8556" s="14" t="n">
        <f aca="false">($L$2*M8556)/100</f>
        <v>468649.935</v>
      </c>
      <c r="M8556" s="15" t="n">
        <v>0.39</v>
      </c>
      <c r="N8556" s="9" t="s">
        <v>26</v>
      </c>
    </row>
    <row r="8557" customFormat="false" ht="14.25" hidden="false" customHeight="true" outlineLevel="0" collapsed="false">
      <c r="B8557" s="9" t="s">
        <v>16</v>
      </c>
      <c r="C8557" s="9" t="n">
        <v>1128299</v>
      </c>
      <c r="D8557" s="10" t="n">
        <v>44524</v>
      </c>
      <c r="E8557" s="9" t="s">
        <v>50</v>
      </c>
      <c r="F8557" s="9" t="s">
        <v>74</v>
      </c>
      <c r="G8557" s="9" t="s">
        <v>75</v>
      </c>
      <c r="H8557" s="11" t="s">
        <v>24</v>
      </c>
      <c r="I8557" s="12" t="n">
        <v>56</v>
      </c>
      <c r="J8557" s="13" t="n">
        <v>136</v>
      </c>
      <c r="K8557" s="14" t="n">
        <f aca="false">I8557*J8557</f>
        <v>7616</v>
      </c>
      <c r="L8557" s="14" t="n">
        <f aca="false">($L$2*M8557)/100</f>
        <v>528733.26</v>
      </c>
      <c r="M8557" s="15" t="n">
        <v>0.44</v>
      </c>
      <c r="N8557" s="9" t="s">
        <v>26</v>
      </c>
    </row>
    <row r="8558" customFormat="false" ht="14.25" hidden="false" customHeight="true" outlineLevel="0" collapsed="false">
      <c r="B8558" s="9" t="s">
        <v>16</v>
      </c>
      <c r="C8558" s="9" t="n">
        <v>1128299</v>
      </c>
      <c r="D8558" s="10" t="n">
        <v>44524</v>
      </c>
      <c r="E8558" s="9" t="s">
        <v>50</v>
      </c>
      <c r="F8558" s="9" t="s">
        <v>74</v>
      </c>
      <c r="G8558" s="9" t="s">
        <v>75</v>
      </c>
      <c r="H8558" s="11" t="s">
        <v>25</v>
      </c>
      <c r="I8558" s="12" t="n">
        <v>60</v>
      </c>
      <c r="J8558" s="13" t="n">
        <v>176</v>
      </c>
      <c r="K8558" s="14" t="n">
        <f aca="false">I8558*J8558</f>
        <v>10560</v>
      </c>
      <c r="L8558" s="14" t="n">
        <f aca="false">($L$2*M8558)/100</f>
        <v>396549.945</v>
      </c>
      <c r="M8558" s="15" t="n">
        <v>0.33</v>
      </c>
      <c r="N8558" s="9" t="s">
        <v>26</v>
      </c>
    </row>
    <row r="8559" customFormat="false" ht="14.25" hidden="false" customHeight="true" outlineLevel="0" collapsed="false">
      <c r="B8559" s="9" t="s">
        <v>16</v>
      </c>
      <c r="C8559" s="9" t="n">
        <v>1128299</v>
      </c>
      <c r="D8559" s="10" t="n">
        <v>44553</v>
      </c>
      <c r="E8559" s="9" t="s">
        <v>50</v>
      </c>
      <c r="F8559" s="9" t="s">
        <v>74</v>
      </c>
      <c r="G8559" s="9" t="s">
        <v>75</v>
      </c>
      <c r="H8559" s="11" t="s">
        <v>19</v>
      </c>
      <c r="I8559" s="12" t="n">
        <v>49</v>
      </c>
      <c r="J8559" s="13" t="n">
        <v>248</v>
      </c>
      <c r="K8559" s="14" t="n">
        <f aca="false">I8559*J8559</f>
        <v>12152</v>
      </c>
      <c r="L8559" s="14" t="n">
        <f aca="false">($L$2*M8559)/100</f>
        <v>480666.6</v>
      </c>
      <c r="M8559" s="15" t="n">
        <v>0.4</v>
      </c>
      <c r="N8559" s="9" t="s">
        <v>26</v>
      </c>
    </row>
    <row r="8560" customFormat="false" ht="14.25" hidden="false" customHeight="true" outlineLevel="0" collapsed="false">
      <c r="B8560" s="9" t="s">
        <v>16</v>
      </c>
      <c r="C8560" s="9" t="n">
        <v>1128299</v>
      </c>
      <c r="D8560" s="10" t="n">
        <v>44553</v>
      </c>
      <c r="E8560" s="9" t="s">
        <v>50</v>
      </c>
      <c r="F8560" s="9" t="s">
        <v>74</v>
      </c>
      <c r="G8560" s="9" t="s">
        <v>75</v>
      </c>
      <c r="H8560" s="11" t="s">
        <v>21</v>
      </c>
      <c r="I8560" s="12" t="n">
        <v>54</v>
      </c>
      <c r="J8560" s="13" t="n">
        <v>225</v>
      </c>
      <c r="K8560" s="14" t="n">
        <f aca="false">I8560*J8560</f>
        <v>12150</v>
      </c>
      <c r="L8560" s="14" t="n">
        <f aca="false">($L$2*M8560)/100</f>
        <v>492683.265</v>
      </c>
      <c r="M8560" s="15" t="n">
        <v>0.41</v>
      </c>
      <c r="N8560" s="9" t="s">
        <v>26</v>
      </c>
    </row>
    <row r="8561" customFormat="false" ht="14.25" hidden="false" customHeight="true" outlineLevel="0" collapsed="false">
      <c r="B8561" s="9" t="s">
        <v>28</v>
      </c>
      <c r="C8561" s="9" t="n">
        <v>1128299</v>
      </c>
      <c r="D8561" s="10" t="n">
        <v>44553</v>
      </c>
      <c r="E8561" s="9" t="s">
        <v>50</v>
      </c>
      <c r="F8561" s="9" t="s">
        <v>74</v>
      </c>
      <c r="G8561" s="9" t="s">
        <v>75</v>
      </c>
      <c r="H8561" s="11" t="s">
        <v>22</v>
      </c>
      <c r="I8561" s="12" t="n">
        <v>53</v>
      </c>
      <c r="J8561" s="13" t="n">
        <v>165</v>
      </c>
      <c r="K8561" s="14" t="n">
        <f aca="false">I8561*J8561</f>
        <v>8745</v>
      </c>
      <c r="L8561" s="14" t="n">
        <f aca="false">($L$2*M8561)/100</f>
        <v>480666.6</v>
      </c>
      <c r="M8561" s="15" t="n">
        <v>0.4</v>
      </c>
      <c r="N8561" s="9" t="s">
        <v>26</v>
      </c>
    </row>
    <row r="8562" customFormat="false" ht="14.25" hidden="false" customHeight="true" outlineLevel="0" collapsed="false">
      <c r="B8562" s="9" t="s">
        <v>28</v>
      </c>
      <c r="C8562" s="9" t="n">
        <v>1128299</v>
      </c>
      <c r="D8562" s="10" t="n">
        <v>44553</v>
      </c>
      <c r="E8562" s="9" t="s">
        <v>50</v>
      </c>
      <c r="F8562" s="9" t="s">
        <v>74</v>
      </c>
      <c r="G8562" s="9" t="s">
        <v>75</v>
      </c>
      <c r="H8562" s="11" t="s">
        <v>23</v>
      </c>
      <c r="I8562" s="12" t="n">
        <v>51</v>
      </c>
      <c r="J8562" s="13" t="n">
        <v>176</v>
      </c>
      <c r="K8562" s="14" t="n">
        <f aca="false">I8562*J8562</f>
        <v>8976</v>
      </c>
      <c r="L8562" s="14" t="n">
        <f aca="false">($L$2*M8562)/100</f>
        <v>468649.935</v>
      </c>
      <c r="M8562" s="15" t="n">
        <v>0.39</v>
      </c>
      <c r="N8562" s="9" t="s">
        <v>26</v>
      </c>
    </row>
    <row r="8563" customFormat="false" ht="14.25" hidden="false" customHeight="true" outlineLevel="0" collapsed="false">
      <c r="B8563" s="9" t="s">
        <v>28</v>
      </c>
      <c r="C8563" s="9" t="n">
        <v>1128299</v>
      </c>
      <c r="D8563" s="10" t="n">
        <v>44553</v>
      </c>
      <c r="E8563" s="9" t="s">
        <v>50</v>
      </c>
      <c r="F8563" s="9" t="s">
        <v>74</v>
      </c>
      <c r="G8563" s="9" t="s">
        <v>75</v>
      </c>
      <c r="H8563" s="11" t="s">
        <v>24</v>
      </c>
      <c r="I8563" s="12" t="n">
        <v>59</v>
      </c>
      <c r="J8563" s="13" t="n">
        <v>157</v>
      </c>
      <c r="K8563" s="14" t="n">
        <f aca="false">I8563*J8563</f>
        <v>9263</v>
      </c>
      <c r="L8563" s="14" t="n">
        <f aca="false">($L$2*M8563)/100</f>
        <v>504699.93</v>
      </c>
      <c r="M8563" s="15" t="n">
        <v>0.42</v>
      </c>
      <c r="N8563" s="9" t="s">
        <v>26</v>
      </c>
    </row>
    <row r="8564" customFormat="false" ht="14.25" hidden="false" customHeight="true" outlineLevel="0" collapsed="false">
      <c r="B8564" s="9" t="s">
        <v>28</v>
      </c>
      <c r="C8564" s="9" t="n">
        <v>1128299</v>
      </c>
      <c r="D8564" s="10" t="n">
        <v>44553</v>
      </c>
      <c r="E8564" s="9" t="s">
        <v>50</v>
      </c>
      <c r="F8564" s="9" t="s">
        <v>74</v>
      </c>
      <c r="G8564" s="9" t="s">
        <v>75</v>
      </c>
      <c r="H8564" s="11" t="s">
        <v>25</v>
      </c>
      <c r="I8564" s="12" t="n">
        <v>65</v>
      </c>
      <c r="J8564" s="13" t="n">
        <v>190</v>
      </c>
      <c r="K8564" s="14" t="n">
        <f aca="false">I8564*J8564</f>
        <v>12350</v>
      </c>
      <c r="L8564" s="14" t="n">
        <f aca="false">($L$2*M8564)/100</f>
        <v>420583.275</v>
      </c>
      <c r="M8564" s="15" t="n">
        <v>0.35</v>
      </c>
      <c r="N8564" s="9" t="s">
        <v>26</v>
      </c>
    </row>
    <row r="8565" customFormat="false" ht="14.25" hidden="false" customHeight="true" outlineLevel="0" collapsed="false">
      <c r="B8565" s="9" t="s">
        <v>28</v>
      </c>
      <c r="C8565" s="9" t="n">
        <v>1185732</v>
      </c>
      <c r="D8565" s="10" t="n">
        <v>44215</v>
      </c>
      <c r="E8565" s="9" t="s">
        <v>50</v>
      </c>
      <c r="F8565" s="9" t="s">
        <v>74</v>
      </c>
      <c r="G8565" s="9" t="s">
        <v>75</v>
      </c>
      <c r="H8565" s="11" t="s">
        <v>19</v>
      </c>
      <c r="I8565" s="12" t="n">
        <v>23</v>
      </c>
      <c r="J8565" s="13" t="n">
        <v>233</v>
      </c>
      <c r="K8565" s="14" t="n">
        <f aca="false">I8565*J8565</f>
        <v>5359</v>
      </c>
      <c r="L8565" s="14" t="n">
        <f aca="false">($L$2*M8565)/100</f>
        <v>624866.58</v>
      </c>
      <c r="M8565" s="15" t="n">
        <v>0.52</v>
      </c>
      <c r="N8565" s="9" t="s">
        <v>26</v>
      </c>
    </row>
    <row r="8566" customFormat="false" ht="14.25" hidden="false" customHeight="true" outlineLevel="0" collapsed="false">
      <c r="B8566" s="9" t="s">
        <v>28</v>
      </c>
      <c r="C8566" s="9" t="n">
        <v>1185732</v>
      </c>
      <c r="D8566" s="10" t="n">
        <v>44215</v>
      </c>
      <c r="E8566" s="9" t="s">
        <v>50</v>
      </c>
      <c r="F8566" s="9" t="s">
        <v>74</v>
      </c>
      <c r="G8566" s="9" t="s">
        <v>75</v>
      </c>
      <c r="H8566" s="11" t="s">
        <v>21</v>
      </c>
      <c r="I8566" s="12" t="n">
        <v>28</v>
      </c>
      <c r="J8566" s="13" t="n">
        <v>187</v>
      </c>
      <c r="K8566" s="14" t="n">
        <f aca="false">I8566*J8566</f>
        <v>5236</v>
      </c>
      <c r="L8566" s="14" t="n">
        <f aca="false">($L$2*M8566)/100</f>
        <v>564783.255</v>
      </c>
      <c r="M8566" s="15" t="n">
        <v>0.47</v>
      </c>
      <c r="N8566" s="9" t="s">
        <v>26</v>
      </c>
    </row>
    <row r="8567" customFormat="false" ht="14.25" hidden="false" customHeight="true" outlineLevel="0" collapsed="false">
      <c r="B8567" s="9" t="s">
        <v>28</v>
      </c>
      <c r="C8567" s="9" t="n">
        <v>1185732</v>
      </c>
      <c r="D8567" s="10" t="n">
        <v>44215</v>
      </c>
      <c r="E8567" s="9" t="s">
        <v>50</v>
      </c>
      <c r="F8567" s="9" t="s">
        <v>74</v>
      </c>
      <c r="G8567" s="9" t="s">
        <v>75</v>
      </c>
      <c r="H8567" s="11" t="s">
        <v>22</v>
      </c>
      <c r="I8567" s="12" t="n">
        <v>18</v>
      </c>
      <c r="J8567" s="13" t="n">
        <v>176</v>
      </c>
      <c r="K8567" s="14" t="n">
        <f aca="false">I8567*J8567</f>
        <v>3168</v>
      </c>
      <c r="L8567" s="14" t="n">
        <f aca="false">($L$2*M8567)/100</f>
        <v>384533.28</v>
      </c>
      <c r="M8567" s="15" t="n">
        <v>0.32</v>
      </c>
      <c r="N8567" s="9" t="s">
        <v>26</v>
      </c>
    </row>
    <row r="8568" customFormat="false" ht="14.25" hidden="false" customHeight="true" outlineLevel="0" collapsed="false">
      <c r="B8568" s="9" t="s">
        <v>28</v>
      </c>
      <c r="C8568" s="9" t="n">
        <v>1185732</v>
      </c>
      <c r="D8568" s="10" t="n">
        <v>44215</v>
      </c>
      <c r="E8568" s="9" t="s">
        <v>50</v>
      </c>
      <c r="F8568" s="9" t="s">
        <v>74</v>
      </c>
      <c r="G8568" s="9" t="s">
        <v>75</v>
      </c>
      <c r="H8568" s="11" t="s">
        <v>23</v>
      </c>
      <c r="I8568" s="12" t="n">
        <v>21</v>
      </c>
      <c r="J8568" s="13" t="n">
        <v>136</v>
      </c>
      <c r="K8568" s="14" t="n">
        <f aca="false">I8568*J8568</f>
        <v>2856</v>
      </c>
      <c r="L8568" s="14" t="n">
        <f aca="false">($L$2*M8568)/100</f>
        <v>504699.93</v>
      </c>
      <c r="M8568" s="15" t="n">
        <v>0.42</v>
      </c>
      <c r="N8568" s="9" t="s">
        <v>26</v>
      </c>
    </row>
    <row r="8569" customFormat="false" ht="14.25" hidden="false" customHeight="true" outlineLevel="0" collapsed="false">
      <c r="B8569" s="9" t="s">
        <v>28</v>
      </c>
      <c r="C8569" s="9" t="n">
        <v>1185732</v>
      </c>
      <c r="D8569" s="10" t="n">
        <v>44215</v>
      </c>
      <c r="E8569" s="9" t="s">
        <v>50</v>
      </c>
      <c r="F8569" s="9" t="s">
        <v>74</v>
      </c>
      <c r="G8569" s="9" t="s">
        <v>75</v>
      </c>
      <c r="H8569" s="11" t="s">
        <v>24</v>
      </c>
      <c r="I8569" s="12" t="n">
        <v>30</v>
      </c>
      <c r="J8569" s="13" t="n">
        <v>140</v>
      </c>
      <c r="K8569" s="14" t="n">
        <f aca="false">I8569*J8569</f>
        <v>4200</v>
      </c>
      <c r="L8569" s="14" t="n">
        <f aca="false">($L$2*M8569)/100</f>
        <v>540749.925</v>
      </c>
      <c r="M8569" s="15" t="n">
        <v>0.45</v>
      </c>
      <c r="N8569" s="9" t="s">
        <v>26</v>
      </c>
    </row>
    <row r="8570" customFormat="false" ht="14.25" hidden="false" customHeight="true" outlineLevel="0" collapsed="false">
      <c r="B8570" s="9" t="s">
        <v>28</v>
      </c>
      <c r="C8570" s="9" t="n">
        <v>1185732</v>
      </c>
      <c r="D8570" s="10" t="n">
        <v>44215</v>
      </c>
      <c r="E8570" s="9" t="s">
        <v>50</v>
      </c>
      <c r="F8570" s="9" t="s">
        <v>74</v>
      </c>
      <c r="G8570" s="9" t="s">
        <v>75</v>
      </c>
      <c r="H8570" s="11" t="s">
        <v>25</v>
      </c>
      <c r="I8570" s="12" t="n">
        <v>25</v>
      </c>
      <c r="J8570" s="13" t="n">
        <v>193</v>
      </c>
      <c r="K8570" s="14" t="n">
        <f aca="false">I8570*J8570</f>
        <v>4825</v>
      </c>
      <c r="L8570" s="14" t="n">
        <f aca="false">($L$2*M8570)/100</f>
        <v>696966.57</v>
      </c>
      <c r="M8570" s="15" t="n">
        <v>0.58</v>
      </c>
      <c r="N8570" s="9" t="s">
        <v>26</v>
      </c>
    </row>
    <row r="8571" customFormat="false" ht="14.25" hidden="false" customHeight="true" outlineLevel="0" collapsed="false">
      <c r="B8571" s="9" t="s">
        <v>28</v>
      </c>
      <c r="C8571" s="9" t="n">
        <v>1185732</v>
      </c>
      <c r="D8571" s="10" t="n">
        <v>44244</v>
      </c>
      <c r="E8571" s="9" t="s">
        <v>50</v>
      </c>
      <c r="F8571" s="9" t="s">
        <v>74</v>
      </c>
      <c r="G8571" s="9" t="s">
        <v>75</v>
      </c>
      <c r="H8571" s="11" t="s">
        <v>19</v>
      </c>
      <c r="I8571" s="12" t="n">
        <v>26</v>
      </c>
      <c r="J8571" s="13" t="n">
        <v>256</v>
      </c>
      <c r="K8571" s="14" t="n">
        <f aca="false">I8571*J8571</f>
        <v>6656</v>
      </c>
      <c r="L8571" s="14" t="n">
        <f aca="false">($L$2*M8571)/100</f>
        <v>660916.575</v>
      </c>
      <c r="M8571" s="15" t="n">
        <v>0.55</v>
      </c>
      <c r="N8571" s="9" t="s">
        <v>26</v>
      </c>
    </row>
    <row r="8572" customFormat="false" ht="14.25" hidden="false" customHeight="true" outlineLevel="0" collapsed="false">
      <c r="B8572" s="9" t="s">
        <v>28</v>
      </c>
      <c r="C8572" s="9" t="n">
        <v>1185732</v>
      </c>
      <c r="D8572" s="10" t="n">
        <v>44244</v>
      </c>
      <c r="E8572" s="9" t="s">
        <v>50</v>
      </c>
      <c r="F8572" s="9" t="s">
        <v>74</v>
      </c>
      <c r="G8572" s="9" t="s">
        <v>75</v>
      </c>
      <c r="H8572" s="11" t="s">
        <v>21</v>
      </c>
      <c r="I8572" s="12" t="n">
        <v>27</v>
      </c>
      <c r="J8572" s="13" t="n">
        <v>153</v>
      </c>
      <c r="K8572" s="14" t="n">
        <f aca="false">I8572*J8572</f>
        <v>4131</v>
      </c>
      <c r="L8572" s="14" t="n">
        <f aca="false">($L$2*M8572)/100</f>
        <v>540749.925</v>
      </c>
      <c r="M8572" s="15" t="n">
        <v>0.45</v>
      </c>
      <c r="N8572" s="9" t="s">
        <v>26</v>
      </c>
    </row>
    <row r="8573" customFormat="false" ht="14.25" hidden="false" customHeight="true" outlineLevel="0" collapsed="false">
      <c r="B8573" s="9" t="s">
        <v>28</v>
      </c>
      <c r="C8573" s="9" t="n">
        <v>1185732</v>
      </c>
      <c r="D8573" s="10" t="n">
        <v>44244</v>
      </c>
      <c r="E8573" s="9" t="s">
        <v>50</v>
      </c>
      <c r="F8573" s="9" t="s">
        <v>74</v>
      </c>
      <c r="G8573" s="9" t="s">
        <v>75</v>
      </c>
      <c r="H8573" s="11" t="s">
        <v>22</v>
      </c>
      <c r="I8573" s="12" t="n">
        <v>17</v>
      </c>
      <c r="J8573" s="13" t="n">
        <v>170</v>
      </c>
      <c r="K8573" s="14" t="n">
        <f aca="false">I8573*J8573</f>
        <v>2890</v>
      </c>
      <c r="L8573" s="14" t="n">
        <f aca="false">($L$2*M8573)/100</f>
        <v>432599.94</v>
      </c>
      <c r="M8573" s="15" t="n">
        <v>0.36</v>
      </c>
      <c r="N8573" s="9" t="s">
        <v>26</v>
      </c>
    </row>
    <row r="8574" customFormat="false" ht="14.25" hidden="false" customHeight="true" outlineLevel="0" collapsed="false">
      <c r="B8574" s="9" t="s">
        <v>32</v>
      </c>
      <c r="C8574" s="9" t="n">
        <v>1185732</v>
      </c>
      <c r="D8574" s="10" t="n">
        <v>44238</v>
      </c>
      <c r="E8574" s="9" t="s">
        <v>33</v>
      </c>
      <c r="F8574" s="9" t="s">
        <v>80</v>
      </c>
      <c r="G8574" s="9" t="s">
        <v>81</v>
      </c>
      <c r="H8574" s="11" t="s">
        <v>23</v>
      </c>
      <c r="I8574" s="12" t="n">
        <v>16</v>
      </c>
      <c r="J8574" s="13" t="n">
        <v>93</v>
      </c>
      <c r="K8574" s="14" t="n">
        <f aca="false">I8574*J8574</f>
        <v>1488</v>
      </c>
      <c r="L8574" s="14" t="n">
        <f aca="false">($L$2*M8574)/100</f>
        <v>504699.93</v>
      </c>
      <c r="M8574" s="15" t="n">
        <v>0.42</v>
      </c>
      <c r="N8574" s="9" t="s">
        <v>26</v>
      </c>
    </row>
    <row r="8575" customFormat="false" ht="14.25" hidden="false" customHeight="true" outlineLevel="0" collapsed="false">
      <c r="B8575" s="9" t="s">
        <v>32</v>
      </c>
      <c r="C8575" s="9" t="n">
        <v>1185732</v>
      </c>
      <c r="D8575" s="10" t="n">
        <v>44238</v>
      </c>
      <c r="E8575" s="9" t="s">
        <v>33</v>
      </c>
      <c r="F8575" s="9" t="s">
        <v>80</v>
      </c>
      <c r="G8575" s="9" t="s">
        <v>81</v>
      </c>
      <c r="H8575" s="11" t="s">
        <v>24</v>
      </c>
      <c r="I8575" s="12" t="n">
        <v>28</v>
      </c>
      <c r="J8575" s="13" t="n">
        <v>120</v>
      </c>
      <c r="K8575" s="14" t="n">
        <f aca="false">I8575*J8575</f>
        <v>3360</v>
      </c>
      <c r="L8575" s="14" t="n">
        <f aca="false">($L$2*M8575)/100</f>
        <v>504699.93</v>
      </c>
      <c r="M8575" s="15" t="n">
        <v>0.42</v>
      </c>
      <c r="N8575" s="9" t="s">
        <v>26</v>
      </c>
    </row>
    <row r="8576" customFormat="false" ht="14.25" hidden="false" customHeight="true" outlineLevel="0" collapsed="false">
      <c r="B8576" s="9" t="s">
        <v>32</v>
      </c>
      <c r="C8576" s="9" t="n">
        <v>1185732</v>
      </c>
      <c r="D8576" s="10" t="n">
        <v>44238</v>
      </c>
      <c r="E8576" s="9" t="s">
        <v>33</v>
      </c>
      <c r="F8576" s="9" t="s">
        <v>80</v>
      </c>
      <c r="G8576" s="9" t="s">
        <v>81</v>
      </c>
      <c r="H8576" s="11" t="s">
        <v>25</v>
      </c>
      <c r="I8576" s="12" t="n">
        <v>18</v>
      </c>
      <c r="J8576" s="13" t="n">
        <v>149</v>
      </c>
      <c r="K8576" s="14" t="n">
        <f aca="false">I8576*J8576</f>
        <v>2682</v>
      </c>
      <c r="L8576" s="14" t="n">
        <f aca="false">($L$2*M8576)/100</f>
        <v>660916.575</v>
      </c>
      <c r="M8576" s="15" t="n">
        <v>0.55</v>
      </c>
      <c r="N8576" s="9" t="s">
        <v>26</v>
      </c>
    </row>
    <row r="8577" customFormat="false" ht="14.25" hidden="false" customHeight="true" outlineLevel="0" collapsed="false">
      <c r="B8577" s="9" t="s">
        <v>32</v>
      </c>
      <c r="C8577" s="9" t="n">
        <v>1185732</v>
      </c>
      <c r="D8577" s="10" t="n">
        <v>44265</v>
      </c>
      <c r="E8577" s="9" t="s">
        <v>33</v>
      </c>
      <c r="F8577" s="9" t="s">
        <v>80</v>
      </c>
      <c r="G8577" s="9" t="s">
        <v>81</v>
      </c>
      <c r="H8577" s="11" t="s">
        <v>19</v>
      </c>
      <c r="I8577" s="12" t="n">
        <v>20</v>
      </c>
      <c r="J8577" s="13" t="n">
        <v>228</v>
      </c>
      <c r="K8577" s="14" t="n">
        <f aca="false">I8577*J8577</f>
        <v>4560</v>
      </c>
      <c r="L8577" s="14" t="n">
        <f aca="false">($L$2*M8577)/100</f>
        <v>516716.595</v>
      </c>
      <c r="M8577" s="15" t="n">
        <v>0.43</v>
      </c>
      <c r="N8577" s="9" t="s">
        <v>26</v>
      </c>
    </row>
    <row r="8578" customFormat="false" ht="14.25" hidden="false" customHeight="true" outlineLevel="0" collapsed="false">
      <c r="B8578" s="9" t="s">
        <v>32</v>
      </c>
      <c r="C8578" s="9" t="n">
        <v>1185732</v>
      </c>
      <c r="D8578" s="10" t="n">
        <v>44265</v>
      </c>
      <c r="E8578" s="9" t="s">
        <v>33</v>
      </c>
      <c r="F8578" s="9" t="s">
        <v>80</v>
      </c>
      <c r="G8578" s="9" t="s">
        <v>81</v>
      </c>
      <c r="H8578" s="11" t="s">
        <v>21</v>
      </c>
      <c r="I8578" s="12" t="n">
        <v>22</v>
      </c>
      <c r="J8578" s="13" t="n">
        <v>105</v>
      </c>
      <c r="K8578" s="14" t="n">
        <f aca="false">I8578*J8578</f>
        <v>2310</v>
      </c>
      <c r="L8578" s="14" t="n">
        <f aca="false">($L$2*M8578)/100</f>
        <v>480666.6</v>
      </c>
      <c r="M8578" s="15" t="n">
        <v>0.4</v>
      </c>
      <c r="N8578" s="9" t="s">
        <v>26</v>
      </c>
    </row>
    <row r="8579" customFormat="false" ht="14.25" hidden="false" customHeight="true" outlineLevel="0" collapsed="false">
      <c r="B8579" s="9" t="s">
        <v>32</v>
      </c>
      <c r="C8579" s="9" t="n">
        <v>1185732</v>
      </c>
      <c r="D8579" s="10" t="n">
        <v>44265</v>
      </c>
      <c r="E8579" s="9" t="s">
        <v>33</v>
      </c>
      <c r="F8579" s="9" t="s">
        <v>80</v>
      </c>
      <c r="G8579" s="9" t="s">
        <v>81</v>
      </c>
      <c r="H8579" s="11" t="s">
        <v>22</v>
      </c>
      <c r="I8579" s="12" t="n">
        <v>16</v>
      </c>
      <c r="J8579" s="13" t="n">
        <v>140</v>
      </c>
      <c r="K8579" s="14" t="n">
        <f aca="false">I8579*J8579</f>
        <v>2240</v>
      </c>
      <c r="L8579" s="14" t="n">
        <f aca="false">($L$2*M8579)/100</f>
        <v>468649.935</v>
      </c>
      <c r="M8579" s="15" t="n">
        <v>0.39</v>
      </c>
      <c r="N8579" s="9" t="s">
        <v>26</v>
      </c>
    </row>
    <row r="8580" customFormat="false" ht="14.25" hidden="false" customHeight="true" outlineLevel="0" collapsed="false">
      <c r="B8580" s="9" t="s">
        <v>32</v>
      </c>
      <c r="C8580" s="9" t="n">
        <v>1185732</v>
      </c>
      <c r="D8580" s="10" t="n">
        <v>44265</v>
      </c>
      <c r="E8580" s="9" t="s">
        <v>33</v>
      </c>
      <c r="F8580" s="9" t="s">
        <v>80</v>
      </c>
      <c r="G8580" s="9" t="s">
        <v>81</v>
      </c>
      <c r="H8580" s="11" t="s">
        <v>23</v>
      </c>
      <c r="I8580" s="12" t="n">
        <v>20</v>
      </c>
      <c r="J8580" s="13" t="n">
        <v>75</v>
      </c>
      <c r="K8580" s="14" t="n">
        <f aca="false">I8580*J8580</f>
        <v>1500</v>
      </c>
      <c r="L8580" s="14" t="n">
        <f aca="false">($L$2*M8580)/100</f>
        <v>504699.93</v>
      </c>
      <c r="M8580" s="15" t="n">
        <v>0.42</v>
      </c>
      <c r="N8580" s="9" t="s">
        <v>26</v>
      </c>
    </row>
    <row r="8581" customFormat="false" ht="14.25" hidden="false" customHeight="true" outlineLevel="0" collapsed="false">
      <c r="B8581" s="9" t="s">
        <v>32</v>
      </c>
      <c r="C8581" s="9" t="n">
        <v>1185732</v>
      </c>
      <c r="D8581" s="10" t="n">
        <v>44265</v>
      </c>
      <c r="E8581" s="9" t="s">
        <v>33</v>
      </c>
      <c r="F8581" s="9" t="s">
        <v>80</v>
      </c>
      <c r="G8581" s="9" t="s">
        <v>81</v>
      </c>
      <c r="H8581" s="11" t="s">
        <v>24</v>
      </c>
      <c r="I8581" s="12" t="n">
        <v>28</v>
      </c>
      <c r="J8581" s="13" t="n">
        <v>90</v>
      </c>
      <c r="K8581" s="14" t="n">
        <f aca="false">I8581*J8581</f>
        <v>2520</v>
      </c>
      <c r="L8581" s="14" t="n">
        <f aca="false">($L$2*M8581)/100</f>
        <v>480666.6</v>
      </c>
      <c r="M8581" s="15" t="n">
        <v>0.4</v>
      </c>
      <c r="N8581" s="9" t="s">
        <v>26</v>
      </c>
    </row>
    <row r="8582" customFormat="false" ht="14.25" hidden="false" customHeight="true" outlineLevel="0" collapsed="false">
      <c r="B8582" s="9" t="s">
        <v>32</v>
      </c>
      <c r="C8582" s="9" t="n">
        <v>1185732</v>
      </c>
      <c r="D8582" s="10" t="n">
        <v>44265</v>
      </c>
      <c r="E8582" s="9" t="s">
        <v>33</v>
      </c>
      <c r="F8582" s="9" t="s">
        <v>80</v>
      </c>
      <c r="G8582" s="9" t="s">
        <v>81</v>
      </c>
      <c r="H8582" s="11" t="s">
        <v>25</v>
      </c>
      <c r="I8582" s="12" t="n">
        <v>21</v>
      </c>
      <c r="J8582" s="13" t="n">
        <v>140</v>
      </c>
      <c r="K8582" s="14" t="n">
        <f aca="false">I8582*J8582</f>
        <v>2940</v>
      </c>
      <c r="L8582" s="14" t="n">
        <f aca="false">($L$2*M8582)/100</f>
        <v>684949.905</v>
      </c>
      <c r="M8582" s="15" t="n">
        <v>0.57</v>
      </c>
      <c r="N8582" s="9" t="s">
        <v>26</v>
      </c>
    </row>
    <row r="8583" customFormat="false" ht="14.25" hidden="false" customHeight="true" outlineLevel="0" collapsed="false">
      <c r="B8583" s="9" t="s">
        <v>32</v>
      </c>
      <c r="C8583" s="9" t="n">
        <v>1185732</v>
      </c>
      <c r="D8583" s="10" t="n">
        <v>44297</v>
      </c>
      <c r="E8583" s="9" t="s">
        <v>33</v>
      </c>
      <c r="F8583" s="9" t="s">
        <v>80</v>
      </c>
      <c r="G8583" s="9" t="s">
        <v>81</v>
      </c>
      <c r="H8583" s="11" t="s">
        <v>19</v>
      </c>
      <c r="I8583" s="12" t="n">
        <v>20</v>
      </c>
      <c r="J8583" s="13" t="n">
        <v>194</v>
      </c>
      <c r="K8583" s="14" t="n">
        <f aca="false">I8583*J8583</f>
        <v>3880</v>
      </c>
      <c r="L8583" s="14" t="n">
        <f aca="false">($L$2*M8583)/100</f>
        <v>552766.59</v>
      </c>
      <c r="M8583" s="15" t="n">
        <v>0.46</v>
      </c>
      <c r="N8583" s="9" t="s">
        <v>26</v>
      </c>
    </row>
    <row r="8584" customFormat="false" ht="14.25" hidden="false" customHeight="true" outlineLevel="0" collapsed="false">
      <c r="B8584" s="9" t="s">
        <v>32</v>
      </c>
      <c r="C8584" s="9" t="n">
        <v>1185732</v>
      </c>
      <c r="D8584" s="10" t="n">
        <v>44297</v>
      </c>
      <c r="E8584" s="9" t="s">
        <v>33</v>
      </c>
      <c r="F8584" s="9" t="s">
        <v>80</v>
      </c>
      <c r="G8584" s="9" t="s">
        <v>81</v>
      </c>
      <c r="H8584" s="11" t="s">
        <v>21</v>
      </c>
      <c r="I8584" s="12" t="n">
        <v>20</v>
      </c>
      <c r="J8584" s="13" t="n">
        <v>111</v>
      </c>
      <c r="K8584" s="14" t="n">
        <f aca="false">I8584*J8584</f>
        <v>2220</v>
      </c>
      <c r="L8584" s="14" t="n">
        <f aca="false">($L$2*M8584)/100</f>
        <v>444616.605</v>
      </c>
      <c r="M8584" s="15" t="n">
        <v>0.37</v>
      </c>
      <c r="N8584" s="9" t="s">
        <v>26</v>
      </c>
    </row>
    <row r="8585" customFormat="false" ht="14.25" hidden="false" customHeight="true" outlineLevel="0" collapsed="false">
      <c r="B8585" s="9" t="s">
        <v>32</v>
      </c>
      <c r="C8585" s="9" t="n">
        <v>1185732</v>
      </c>
      <c r="D8585" s="10" t="n">
        <v>44297</v>
      </c>
      <c r="E8585" s="9" t="s">
        <v>33</v>
      </c>
      <c r="F8585" s="9" t="s">
        <v>80</v>
      </c>
      <c r="G8585" s="9" t="s">
        <v>81</v>
      </c>
      <c r="H8585" s="11" t="s">
        <v>22</v>
      </c>
      <c r="I8585" s="12" t="n">
        <v>10</v>
      </c>
      <c r="J8585" s="13" t="n">
        <v>107</v>
      </c>
      <c r="K8585" s="14" t="n">
        <f aca="false">I8585*J8585</f>
        <v>1070</v>
      </c>
      <c r="L8585" s="14" t="n">
        <f aca="false">($L$2*M8585)/100</f>
        <v>492683.265</v>
      </c>
      <c r="M8585" s="15" t="n">
        <v>0.41</v>
      </c>
      <c r="N8585" s="9" t="s">
        <v>26</v>
      </c>
    </row>
    <row r="8586" customFormat="false" ht="14.25" hidden="false" customHeight="true" outlineLevel="0" collapsed="false">
      <c r="B8586" s="9" t="s">
        <v>32</v>
      </c>
      <c r="C8586" s="9" t="n">
        <v>1185732</v>
      </c>
      <c r="D8586" s="10" t="n">
        <v>44297</v>
      </c>
      <c r="E8586" s="9" t="s">
        <v>33</v>
      </c>
      <c r="F8586" s="9" t="s">
        <v>80</v>
      </c>
      <c r="G8586" s="9" t="s">
        <v>81</v>
      </c>
      <c r="H8586" s="11" t="s">
        <v>23</v>
      </c>
      <c r="I8586" s="12" t="n">
        <v>14</v>
      </c>
      <c r="J8586" s="13" t="n">
        <v>75</v>
      </c>
      <c r="K8586" s="14" t="n">
        <f aca="false">I8586*J8586</f>
        <v>1050</v>
      </c>
      <c r="L8586" s="14" t="n">
        <f aca="false">($L$2*M8586)/100</f>
        <v>540749.925</v>
      </c>
      <c r="M8586" s="15" t="n">
        <v>0.45</v>
      </c>
      <c r="N8586" s="9" t="s">
        <v>26</v>
      </c>
    </row>
    <row r="8587" customFormat="false" ht="14.25" hidden="false" customHeight="true" outlineLevel="0" collapsed="false">
      <c r="B8587" s="9" t="s">
        <v>32</v>
      </c>
      <c r="C8587" s="9" t="n">
        <v>1185732</v>
      </c>
      <c r="D8587" s="10" t="n">
        <v>44297</v>
      </c>
      <c r="E8587" s="9" t="s">
        <v>33</v>
      </c>
      <c r="F8587" s="9" t="s">
        <v>80</v>
      </c>
      <c r="G8587" s="9" t="s">
        <v>81</v>
      </c>
      <c r="H8587" s="11" t="s">
        <v>24</v>
      </c>
      <c r="I8587" s="12" t="n">
        <v>24</v>
      </c>
      <c r="J8587" s="13" t="n">
        <v>88</v>
      </c>
      <c r="K8587" s="14" t="n">
        <f aca="false">I8587*J8587</f>
        <v>2112</v>
      </c>
      <c r="L8587" s="14" t="n">
        <f aca="false">($L$2*M8587)/100</f>
        <v>468649.935</v>
      </c>
      <c r="M8587" s="15" t="n">
        <v>0.39</v>
      </c>
      <c r="N8587" s="9" t="s">
        <v>26</v>
      </c>
    </row>
    <row r="8588" customFormat="false" ht="14.25" hidden="false" customHeight="true" outlineLevel="0" collapsed="false">
      <c r="B8588" s="9" t="s">
        <v>32</v>
      </c>
      <c r="C8588" s="9" t="n">
        <v>1185732</v>
      </c>
      <c r="D8588" s="10" t="n">
        <v>44297</v>
      </c>
      <c r="E8588" s="9" t="s">
        <v>33</v>
      </c>
      <c r="F8588" s="9" t="s">
        <v>80</v>
      </c>
      <c r="G8588" s="9" t="s">
        <v>81</v>
      </c>
      <c r="H8588" s="11" t="s">
        <v>25</v>
      </c>
      <c r="I8588" s="12" t="n">
        <v>20</v>
      </c>
      <c r="J8588" s="13" t="n">
        <v>136</v>
      </c>
      <c r="K8588" s="14" t="n">
        <f aca="false">I8588*J8588</f>
        <v>2720</v>
      </c>
      <c r="L8588" s="14" t="n">
        <f aca="false">($L$2*M8588)/100</f>
        <v>624866.58</v>
      </c>
      <c r="M8588" s="15" t="n">
        <v>0.52</v>
      </c>
      <c r="N8588" s="9" t="s">
        <v>26</v>
      </c>
    </row>
    <row r="8589" customFormat="false" ht="14.25" hidden="false" customHeight="true" outlineLevel="0" collapsed="false">
      <c r="B8589" s="9" t="s">
        <v>32</v>
      </c>
      <c r="C8589" s="9" t="n">
        <v>1185732</v>
      </c>
      <c r="D8589" s="10" t="n">
        <v>44328</v>
      </c>
      <c r="E8589" s="9" t="s">
        <v>33</v>
      </c>
      <c r="F8589" s="9" t="s">
        <v>80</v>
      </c>
      <c r="G8589" s="9" t="s">
        <v>81</v>
      </c>
      <c r="H8589" s="11" t="s">
        <v>19</v>
      </c>
      <c r="I8589" s="12" t="n">
        <v>27</v>
      </c>
      <c r="J8589" s="13" t="n">
        <v>228</v>
      </c>
      <c r="K8589" s="14" t="n">
        <f aca="false">I8589*J8589</f>
        <v>6156</v>
      </c>
      <c r="L8589" s="14" t="n">
        <f aca="false">($L$2*M8589)/100</f>
        <v>516716.595</v>
      </c>
      <c r="M8589" s="15" t="n">
        <v>0.43</v>
      </c>
      <c r="N8589" s="9" t="s">
        <v>26</v>
      </c>
    </row>
    <row r="8590" customFormat="false" ht="14.25" hidden="false" customHeight="true" outlineLevel="0" collapsed="false">
      <c r="B8590" s="9" t="s">
        <v>32</v>
      </c>
      <c r="C8590" s="9" t="n">
        <v>1185732</v>
      </c>
      <c r="D8590" s="10" t="n">
        <v>44328</v>
      </c>
      <c r="E8590" s="9" t="s">
        <v>33</v>
      </c>
      <c r="F8590" s="9" t="s">
        <v>80</v>
      </c>
      <c r="G8590" s="9" t="s">
        <v>81</v>
      </c>
      <c r="H8590" s="11" t="s">
        <v>21</v>
      </c>
      <c r="I8590" s="12" t="n">
        <v>22</v>
      </c>
      <c r="J8590" s="13" t="n">
        <v>128</v>
      </c>
      <c r="K8590" s="14" t="n">
        <f aca="false">I8590*J8590</f>
        <v>2816</v>
      </c>
      <c r="L8590" s="14" t="n">
        <f aca="false">($L$2*M8590)/100</f>
        <v>504699.93</v>
      </c>
      <c r="M8590" s="15" t="n">
        <v>0.42</v>
      </c>
      <c r="N8590" s="9" t="s">
        <v>26</v>
      </c>
    </row>
    <row r="8591" customFormat="false" ht="14.25" hidden="false" customHeight="true" outlineLevel="0" collapsed="false">
      <c r="B8591" s="9" t="s">
        <v>32</v>
      </c>
      <c r="C8591" s="9" t="n">
        <v>1185732</v>
      </c>
      <c r="D8591" s="10" t="n">
        <v>44328</v>
      </c>
      <c r="E8591" s="9" t="s">
        <v>33</v>
      </c>
      <c r="F8591" s="9" t="s">
        <v>80</v>
      </c>
      <c r="G8591" s="9" t="s">
        <v>81</v>
      </c>
      <c r="H8591" s="11" t="s">
        <v>22</v>
      </c>
      <c r="I8591" s="12" t="n">
        <v>19</v>
      </c>
      <c r="J8591" s="13" t="n">
        <v>109</v>
      </c>
      <c r="K8591" s="14" t="n">
        <f aca="false">I8591*J8591</f>
        <v>2071</v>
      </c>
      <c r="L8591" s="14" t="n">
        <f aca="false">($L$2*M8591)/100</f>
        <v>456633.27</v>
      </c>
      <c r="M8591" s="15" t="n">
        <v>0.38</v>
      </c>
      <c r="N8591" s="9" t="s">
        <v>26</v>
      </c>
    </row>
    <row r="8592" customFormat="false" ht="14.25" hidden="false" customHeight="true" outlineLevel="0" collapsed="false">
      <c r="B8592" s="9" t="s">
        <v>32</v>
      </c>
      <c r="C8592" s="9" t="n">
        <v>1185732</v>
      </c>
      <c r="D8592" s="10" t="n">
        <v>44328</v>
      </c>
      <c r="E8592" s="9" t="s">
        <v>33</v>
      </c>
      <c r="F8592" s="9" t="s">
        <v>80</v>
      </c>
      <c r="G8592" s="9" t="s">
        <v>81</v>
      </c>
      <c r="H8592" s="11" t="s">
        <v>23</v>
      </c>
      <c r="I8592" s="12" t="n">
        <v>19</v>
      </c>
      <c r="J8592" s="13" t="n">
        <v>94</v>
      </c>
      <c r="K8592" s="14" t="n">
        <f aca="false">I8592*J8592</f>
        <v>1786</v>
      </c>
      <c r="L8592" s="14" t="n">
        <f aca="false">($L$2*M8592)/100</f>
        <v>516716.595</v>
      </c>
      <c r="M8592" s="15" t="n">
        <v>0.43</v>
      </c>
      <c r="N8592" s="9" t="s">
        <v>26</v>
      </c>
    </row>
    <row r="8593" customFormat="false" ht="14.25" hidden="false" customHeight="true" outlineLevel="0" collapsed="false">
      <c r="B8593" s="9" t="s">
        <v>32</v>
      </c>
      <c r="C8593" s="9" t="n">
        <v>1185732</v>
      </c>
      <c r="D8593" s="10" t="n">
        <v>44328</v>
      </c>
      <c r="E8593" s="9" t="s">
        <v>33</v>
      </c>
      <c r="F8593" s="9" t="s">
        <v>80</v>
      </c>
      <c r="G8593" s="9" t="s">
        <v>81</v>
      </c>
      <c r="H8593" s="11" t="s">
        <v>24</v>
      </c>
      <c r="I8593" s="12" t="n">
        <v>29</v>
      </c>
      <c r="J8593" s="13" t="n">
        <v>90</v>
      </c>
      <c r="K8593" s="14" t="n">
        <f aca="false">I8593*J8593</f>
        <v>2610</v>
      </c>
      <c r="L8593" s="14" t="n">
        <f aca="false">($L$2*M8593)/100</f>
        <v>504699.93</v>
      </c>
      <c r="M8593" s="15" t="n">
        <v>0.42</v>
      </c>
      <c r="N8593" s="9" t="s">
        <v>26</v>
      </c>
    </row>
    <row r="8594" customFormat="false" ht="14.25" hidden="false" customHeight="true" outlineLevel="0" collapsed="false">
      <c r="B8594" s="9" t="s">
        <v>32</v>
      </c>
      <c r="C8594" s="9" t="n">
        <v>1185732</v>
      </c>
      <c r="D8594" s="10" t="n">
        <v>44328</v>
      </c>
      <c r="E8594" s="9" t="s">
        <v>33</v>
      </c>
      <c r="F8594" s="9" t="s">
        <v>80</v>
      </c>
      <c r="G8594" s="9" t="s">
        <v>81</v>
      </c>
      <c r="H8594" s="11" t="s">
        <v>25</v>
      </c>
      <c r="I8594" s="12" t="n">
        <v>32</v>
      </c>
      <c r="J8594" s="13" t="n">
        <v>128</v>
      </c>
      <c r="K8594" s="14" t="n">
        <f aca="false">I8594*J8594</f>
        <v>4096</v>
      </c>
      <c r="L8594" s="14" t="n">
        <f aca="false">($L$2*M8594)/100</f>
        <v>684949.905</v>
      </c>
      <c r="M8594" s="15" t="n">
        <v>0.57</v>
      </c>
      <c r="N8594" s="9" t="s">
        <v>26</v>
      </c>
    </row>
    <row r="8595" customFormat="false" ht="14.25" hidden="false" customHeight="true" outlineLevel="0" collapsed="false">
      <c r="B8595" s="9" t="s">
        <v>32</v>
      </c>
      <c r="C8595" s="9" t="n">
        <v>1185732</v>
      </c>
      <c r="D8595" s="10" t="n">
        <v>44358</v>
      </c>
      <c r="E8595" s="9" t="s">
        <v>33</v>
      </c>
      <c r="F8595" s="9" t="s">
        <v>80</v>
      </c>
      <c r="G8595" s="9" t="s">
        <v>81</v>
      </c>
      <c r="H8595" s="11" t="s">
        <v>19</v>
      </c>
      <c r="I8595" s="12" t="n">
        <v>21</v>
      </c>
      <c r="J8595" s="13" t="n">
        <v>208</v>
      </c>
      <c r="K8595" s="14" t="n">
        <f aca="false">I8595*J8595</f>
        <v>4368</v>
      </c>
      <c r="L8595" s="14" t="n">
        <f aca="false">($L$2*M8595)/100</f>
        <v>516716.595</v>
      </c>
      <c r="M8595" s="15" t="n">
        <v>0.43</v>
      </c>
      <c r="N8595" s="9" t="s">
        <v>26</v>
      </c>
    </row>
    <row r="8596" customFormat="false" ht="14.25" hidden="false" customHeight="true" outlineLevel="0" collapsed="false">
      <c r="B8596" s="9" t="s">
        <v>32</v>
      </c>
      <c r="C8596" s="9" t="n">
        <v>1185732</v>
      </c>
      <c r="D8596" s="10" t="n">
        <v>44358</v>
      </c>
      <c r="E8596" s="9" t="s">
        <v>33</v>
      </c>
      <c r="F8596" s="9" t="s">
        <v>80</v>
      </c>
      <c r="G8596" s="9" t="s">
        <v>81</v>
      </c>
      <c r="H8596" s="11" t="s">
        <v>21</v>
      </c>
      <c r="I8596" s="12" t="n">
        <v>18</v>
      </c>
      <c r="J8596" s="13" t="n">
        <v>132</v>
      </c>
      <c r="K8596" s="14" t="n">
        <f aca="false">I8596*J8596</f>
        <v>2376</v>
      </c>
      <c r="L8596" s="14" t="n">
        <f aca="false">($L$2*M8596)/100</f>
        <v>480666.6</v>
      </c>
      <c r="M8596" s="15" t="n">
        <v>0.4</v>
      </c>
      <c r="N8596" s="9" t="s">
        <v>26</v>
      </c>
    </row>
    <row r="8597" customFormat="false" ht="14.25" hidden="false" customHeight="true" outlineLevel="0" collapsed="false">
      <c r="B8597" s="9" t="s">
        <v>32</v>
      </c>
      <c r="C8597" s="9" t="n">
        <v>1185732</v>
      </c>
      <c r="D8597" s="10" t="n">
        <v>44358</v>
      </c>
      <c r="E8597" s="9" t="s">
        <v>33</v>
      </c>
      <c r="F8597" s="9" t="s">
        <v>80</v>
      </c>
      <c r="G8597" s="9" t="s">
        <v>81</v>
      </c>
      <c r="H8597" s="11" t="s">
        <v>22</v>
      </c>
      <c r="I8597" s="12" t="n">
        <v>13</v>
      </c>
      <c r="J8597" s="13" t="n">
        <v>128</v>
      </c>
      <c r="K8597" s="14" t="n">
        <f aca="false">I8597*J8597</f>
        <v>1664</v>
      </c>
      <c r="L8597" s="14" t="n">
        <f aca="false">($L$2*M8597)/100</f>
        <v>444616.605</v>
      </c>
      <c r="M8597" s="15" t="n">
        <v>0.37</v>
      </c>
      <c r="N8597" s="9" t="s">
        <v>26</v>
      </c>
    </row>
    <row r="8598" customFormat="false" ht="14.25" hidden="false" customHeight="true" outlineLevel="0" collapsed="false">
      <c r="B8598" s="9" t="s">
        <v>32</v>
      </c>
      <c r="C8598" s="9" t="n">
        <v>1185732</v>
      </c>
      <c r="D8598" s="10" t="n">
        <v>44358</v>
      </c>
      <c r="E8598" s="9" t="s">
        <v>33</v>
      </c>
      <c r="F8598" s="9" t="s">
        <v>80</v>
      </c>
      <c r="G8598" s="9" t="s">
        <v>81</v>
      </c>
      <c r="H8598" s="11" t="s">
        <v>23</v>
      </c>
      <c r="I8598" s="12" t="n">
        <v>13</v>
      </c>
      <c r="J8598" s="13" t="n">
        <v>132</v>
      </c>
      <c r="K8598" s="14" t="n">
        <f aca="false">I8598*J8598</f>
        <v>1716</v>
      </c>
      <c r="L8598" s="14" t="n">
        <f aca="false">($L$2*M8598)/100</f>
        <v>516716.595</v>
      </c>
      <c r="M8598" s="15" t="n">
        <v>0.43</v>
      </c>
      <c r="N8598" s="9" t="s">
        <v>26</v>
      </c>
    </row>
    <row r="8599" customFormat="false" ht="14.25" hidden="false" customHeight="true" outlineLevel="0" collapsed="false">
      <c r="B8599" s="9" t="s">
        <v>32</v>
      </c>
      <c r="C8599" s="9" t="n">
        <v>1185732</v>
      </c>
      <c r="D8599" s="10" t="n">
        <v>44358</v>
      </c>
      <c r="E8599" s="9" t="s">
        <v>33</v>
      </c>
      <c r="F8599" s="9" t="s">
        <v>80</v>
      </c>
      <c r="G8599" s="9" t="s">
        <v>81</v>
      </c>
      <c r="H8599" s="11" t="s">
        <v>24</v>
      </c>
      <c r="I8599" s="12" t="n">
        <v>24</v>
      </c>
      <c r="J8599" s="13" t="n">
        <v>132</v>
      </c>
      <c r="K8599" s="14" t="n">
        <f aca="false">I8599*J8599</f>
        <v>3168</v>
      </c>
      <c r="L8599" s="14" t="n">
        <f aca="false">($L$2*M8599)/100</f>
        <v>444616.605</v>
      </c>
      <c r="M8599" s="15" t="n">
        <v>0.37</v>
      </c>
      <c r="N8599" s="9" t="s">
        <v>26</v>
      </c>
    </row>
    <row r="8600" customFormat="false" ht="14.25" hidden="false" customHeight="true" outlineLevel="0" collapsed="false">
      <c r="B8600" s="9" t="s">
        <v>32</v>
      </c>
      <c r="C8600" s="9" t="n">
        <v>1185732</v>
      </c>
      <c r="D8600" s="10" t="n">
        <v>44358</v>
      </c>
      <c r="E8600" s="9" t="s">
        <v>33</v>
      </c>
      <c r="F8600" s="9" t="s">
        <v>80</v>
      </c>
      <c r="G8600" s="9" t="s">
        <v>81</v>
      </c>
      <c r="H8600" s="11" t="s">
        <v>25</v>
      </c>
      <c r="I8600" s="12" t="n">
        <v>32</v>
      </c>
      <c r="J8600" s="13" t="n">
        <v>190</v>
      </c>
      <c r="K8600" s="14" t="n">
        <f aca="false">I8600*J8600</f>
        <v>6080</v>
      </c>
      <c r="L8600" s="14" t="n">
        <f aca="false">($L$2*M8600)/100</f>
        <v>648899.91</v>
      </c>
      <c r="M8600" s="15" t="n">
        <v>0.54</v>
      </c>
      <c r="N8600" s="9" t="s">
        <v>26</v>
      </c>
    </row>
    <row r="8601" customFormat="false" ht="14.25" hidden="false" customHeight="true" outlineLevel="0" collapsed="false">
      <c r="B8601" s="9" t="s">
        <v>32</v>
      </c>
      <c r="C8601" s="9" t="n">
        <v>1185732</v>
      </c>
      <c r="D8601" s="10" t="n">
        <v>44387</v>
      </c>
      <c r="E8601" s="9" t="s">
        <v>33</v>
      </c>
      <c r="F8601" s="9" t="s">
        <v>80</v>
      </c>
      <c r="G8601" s="9" t="s">
        <v>81</v>
      </c>
      <c r="H8601" s="11" t="s">
        <v>19</v>
      </c>
      <c r="I8601" s="12" t="n">
        <v>28</v>
      </c>
      <c r="J8601" s="13" t="n">
        <v>248</v>
      </c>
      <c r="K8601" s="14" t="n">
        <f aca="false">I8601*J8601</f>
        <v>6944</v>
      </c>
      <c r="L8601" s="14" t="n">
        <f aca="false">($L$2*M8601)/100</f>
        <v>516716.595</v>
      </c>
      <c r="M8601" s="15" t="n">
        <v>0.43</v>
      </c>
      <c r="N8601" s="9" t="s">
        <v>26</v>
      </c>
    </row>
    <row r="8602" customFormat="false" ht="14.25" hidden="false" customHeight="true" outlineLevel="0" collapsed="false">
      <c r="B8602" s="9" t="s">
        <v>32</v>
      </c>
      <c r="C8602" s="9" t="n">
        <v>1185732</v>
      </c>
      <c r="D8602" s="10" t="n">
        <v>44387</v>
      </c>
      <c r="E8602" s="9" t="s">
        <v>33</v>
      </c>
      <c r="F8602" s="9" t="s">
        <v>80</v>
      </c>
      <c r="G8602" s="9" t="s">
        <v>81</v>
      </c>
      <c r="H8602" s="11" t="s">
        <v>21</v>
      </c>
      <c r="I8602" s="12" t="n">
        <v>20</v>
      </c>
      <c r="J8602" s="13" t="n">
        <v>182</v>
      </c>
      <c r="K8602" s="14" t="n">
        <f aca="false">I8602*J8602</f>
        <v>3640</v>
      </c>
      <c r="L8602" s="14" t="n">
        <f aca="false">($L$2*M8602)/100</f>
        <v>468649.935</v>
      </c>
      <c r="M8602" s="15" t="n">
        <v>0.39</v>
      </c>
      <c r="N8602" s="9" t="s">
        <v>26</v>
      </c>
    </row>
    <row r="8603" customFormat="false" ht="14.25" hidden="false" customHeight="true" outlineLevel="0" collapsed="false">
      <c r="B8603" s="9" t="s">
        <v>32</v>
      </c>
      <c r="C8603" s="9" t="n">
        <v>1185732</v>
      </c>
      <c r="D8603" s="10" t="n">
        <v>44387</v>
      </c>
      <c r="E8603" s="9" t="s">
        <v>33</v>
      </c>
      <c r="F8603" s="9" t="s">
        <v>80</v>
      </c>
      <c r="G8603" s="9" t="s">
        <v>81</v>
      </c>
      <c r="H8603" s="11" t="s">
        <v>22</v>
      </c>
      <c r="I8603" s="12" t="n">
        <v>19</v>
      </c>
      <c r="J8603" s="13" t="n">
        <v>157</v>
      </c>
      <c r="K8603" s="14" t="n">
        <f aca="false">I8603*J8603</f>
        <v>2983</v>
      </c>
      <c r="L8603" s="14" t="n">
        <f aca="false">($L$2*M8603)/100</f>
        <v>468649.935</v>
      </c>
      <c r="M8603" s="15" t="n">
        <v>0.39</v>
      </c>
      <c r="N8603" s="9" t="s">
        <v>26</v>
      </c>
    </row>
    <row r="8604" customFormat="false" ht="14.25" hidden="false" customHeight="true" outlineLevel="0" collapsed="false">
      <c r="B8604" s="9" t="s">
        <v>32</v>
      </c>
      <c r="C8604" s="9" t="n">
        <v>1185732</v>
      </c>
      <c r="D8604" s="10" t="n">
        <v>44387</v>
      </c>
      <c r="E8604" s="9" t="s">
        <v>33</v>
      </c>
      <c r="F8604" s="9" t="s">
        <v>80</v>
      </c>
      <c r="G8604" s="9" t="s">
        <v>81</v>
      </c>
      <c r="H8604" s="11" t="s">
        <v>23</v>
      </c>
      <c r="I8604" s="12" t="n">
        <v>16</v>
      </c>
      <c r="J8604" s="13" t="n">
        <v>128</v>
      </c>
      <c r="K8604" s="14" t="n">
        <f aca="false">I8604*J8604</f>
        <v>2048</v>
      </c>
      <c r="L8604" s="14" t="n">
        <f aca="false">($L$2*M8604)/100</f>
        <v>564783.255</v>
      </c>
      <c r="M8604" s="15" t="n">
        <v>0.47</v>
      </c>
      <c r="N8604" s="9" t="s">
        <v>26</v>
      </c>
    </row>
    <row r="8605" customFormat="false" ht="14.25" hidden="false" customHeight="true" outlineLevel="0" collapsed="false">
      <c r="B8605" s="9" t="s">
        <v>32</v>
      </c>
      <c r="C8605" s="9" t="n">
        <v>1185732</v>
      </c>
      <c r="D8605" s="10" t="n">
        <v>44387</v>
      </c>
      <c r="E8605" s="9" t="s">
        <v>33</v>
      </c>
      <c r="F8605" s="9" t="s">
        <v>80</v>
      </c>
      <c r="G8605" s="9" t="s">
        <v>81</v>
      </c>
      <c r="H8605" s="11" t="s">
        <v>24</v>
      </c>
      <c r="I8605" s="12" t="n">
        <v>28</v>
      </c>
      <c r="J8605" s="13" t="n">
        <v>140</v>
      </c>
      <c r="K8605" s="14" t="n">
        <f aca="false">I8605*J8605</f>
        <v>3920</v>
      </c>
      <c r="L8605" s="14" t="n">
        <f aca="false">($L$2*M8605)/100</f>
        <v>456633.27</v>
      </c>
      <c r="M8605" s="15" t="n">
        <v>0.38</v>
      </c>
      <c r="N8605" s="9" t="s">
        <v>26</v>
      </c>
    </row>
    <row r="8606" customFormat="false" ht="14.25" hidden="false" customHeight="true" outlineLevel="0" collapsed="false">
      <c r="B8606" s="9" t="s">
        <v>32</v>
      </c>
      <c r="C8606" s="9" t="n">
        <v>1185732</v>
      </c>
      <c r="D8606" s="10" t="n">
        <v>44387</v>
      </c>
      <c r="E8606" s="9" t="s">
        <v>33</v>
      </c>
      <c r="F8606" s="9" t="s">
        <v>80</v>
      </c>
      <c r="G8606" s="9" t="s">
        <v>81</v>
      </c>
      <c r="H8606" s="11" t="s">
        <v>25</v>
      </c>
      <c r="I8606" s="12" t="n">
        <v>32</v>
      </c>
      <c r="J8606" s="13" t="n">
        <v>204</v>
      </c>
      <c r="K8606" s="14" t="n">
        <f aca="false">I8606*J8606</f>
        <v>6528</v>
      </c>
      <c r="L8606" s="14" t="n">
        <f aca="false">($L$2*M8606)/100</f>
        <v>660916.575</v>
      </c>
      <c r="M8606" s="15" t="n">
        <v>0.55</v>
      </c>
      <c r="N8606" s="9" t="s">
        <v>26</v>
      </c>
    </row>
    <row r="8607" customFormat="false" ht="14.25" hidden="false" customHeight="true" outlineLevel="0" collapsed="false">
      <c r="B8607" s="9" t="s">
        <v>32</v>
      </c>
      <c r="C8607" s="9" t="n">
        <v>1185732</v>
      </c>
      <c r="D8607" s="10" t="n">
        <v>44419</v>
      </c>
      <c r="E8607" s="9" t="s">
        <v>33</v>
      </c>
      <c r="F8607" s="9" t="s">
        <v>80</v>
      </c>
      <c r="G8607" s="9" t="s">
        <v>81</v>
      </c>
      <c r="H8607" s="11" t="s">
        <v>19</v>
      </c>
      <c r="I8607" s="12" t="n">
        <v>27</v>
      </c>
      <c r="J8607" s="13" t="n">
        <v>248</v>
      </c>
      <c r="K8607" s="14" t="n">
        <f aca="false">I8607*J8607</f>
        <v>6696</v>
      </c>
      <c r="L8607" s="14" t="n">
        <f aca="false">($L$2*M8607)/100</f>
        <v>564783.255</v>
      </c>
      <c r="M8607" s="15" t="n">
        <v>0.47</v>
      </c>
      <c r="N8607" s="9" t="s">
        <v>26</v>
      </c>
    </row>
    <row r="8608" customFormat="false" ht="14.25" hidden="false" customHeight="true" outlineLevel="0" collapsed="false">
      <c r="B8608" s="9" t="s">
        <v>32</v>
      </c>
      <c r="C8608" s="9" t="n">
        <v>1185732</v>
      </c>
      <c r="D8608" s="10" t="n">
        <v>44419</v>
      </c>
      <c r="E8608" s="9" t="s">
        <v>33</v>
      </c>
      <c r="F8608" s="9" t="s">
        <v>80</v>
      </c>
      <c r="G8608" s="9" t="s">
        <v>81</v>
      </c>
      <c r="H8608" s="11" t="s">
        <v>21</v>
      </c>
      <c r="I8608" s="12" t="n">
        <v>28</v>
      </c>
      <c r="J8608" s="13" t="n">
        <v>179</v>
      </c>
      <c r="K8608" s="14" t="n">
        <f aca="false">I8608*J8608</f>
        <v>5012</v>
      </c>
      <c r="L8608" s="14" t="n">
        <f aca="false">($L$2*M8608)/100</f>
        <v>504699.93</v>
      </c>
      <c r="M8608" s="15" t="n">
        <v>0.42</v>
      </c>
      <c r="N8608" s="9" t="s">
        <v>26</v>
      </c>
    </row>
    <row r="8609" customFormat="false" ht="14.25" hidden="false" customHeight="true" outlineLevel="0" collapsed="false">
      <c r="B8609" s="9" t="s">
        <v>32</v>
      </c>
      <c r="C8609" s="9" t="n">
        <v>1185732</v>
      </c>
      <c r="D8609" s="10" t="n">
        <v>44419</v>
      </c>
      <c r="E8609" s="9" t="s">
        <v>33</v>
      </c>
      <c r="F8609" s="9" t="s">
        <v>80</v>
      </c>
      <c r="G8609" s="9" t="s">
        <v>81</v>
      </c>
      <c r="H8609" s="11" t="s">
        <v>22</v>
      </c>
      <c r="I8609" s="12" t="n">
        <v>23</v>
      </c>
      <c r="J8609" s="13" t="n">
        <v>158</v>
      </c>
      <c r="K8609" s="14" t="n">
        <f aca="false">I8609*J8609</f>
        <v>3634</v>
      </c>
      <c r="L8609" s="14" t="n">
        <f aca="false">($L$2*M8609)/100</f>
        <v>492683.265</v>
      </c>
      <c r="M8609" s="15" t="n">
        <v>0.41</v>
      </c>
      <c r="N8609" s="9" t="s">
        <v>26</v>
      </c>
    </row>
    <row r="8610" customFormat="false" ht="14.25" hidden="false" customHeight="true" outlineLevel="0" collapsed="false">
      <c r="B8610" s="9" t="s">
        <v>32</v>
      </c>
      <c r="C8610" s="9" t="n">
        <v>1185732</v>
      </c>
      <c r="D8610" s="10" t="n">
        <v>44419</v>
      </c>
      <c r="E8610" s="9" t="s">
        <v>33</v>
      </c>
      <c r="F8610" s="9" t="s">
        <v>80</v>
      </c>
      <c r="G8610" s="9" t="s">
        <v>81</v>
      </c>
      <c r="H8610" s="11" t="s">
        <v>23</v>
      </c>
      <c r="I8610" s="12" t="n">
        <v>14</v>
      </c>
      <c r="J8610" s="13" t="n">
        <v>124</v>
      </c>
      <c r="K8610" s="14" t="n">
        <f aca="false">I8610*J8610</f>
        <v>1736</v>
      </c>
      <c r="L8610" s="14" t="n">
        <f aca="false">($L$2*M8610)/100</f>
        <v>564783.255</v>
      </c>
      <c r="M8610" s="15" t="n">
        <v>0.47</v>
      </c>
      <c r="N8610" s="9" t="s">
        <v>26</v>
      </c>
    </row>
    <row r="8611" customFormat="false" ht="14.25" hidden="false" customHeight="true" outlineLevel="0" collapsed="false">
      <c r="B8611" s="9" t="s">
        <v>32</v>
      </c>
      <c r="C8611" s="9" t="n">
        <v>1185732</v>
      </c>
      <c r="D8611" s="10" t="n">
        <v>44419</v>
      </c>
      <c r="E8611" s="9" t="s">
        <v>33</v>
      </c>
      <c r="F8611" s="9" t="s">
        <v>80</v>
      </c>
      <c r="G8611" s="9" t="s">
        <v>81</v>
      </c>
      <c r="H8611" s="11" t="s">
        <v>24</v>
      </c>
      <c r="I8611" s="12" t="n">
        <v>23</v>
      </c>
      <c r="J8611" s="13" t="n">
        <v>109</v>
      </c>
      <c r="K8611" s="14" t="n">
        <f aca="false">I8611*J8611</f>
        <v>2507</v>
      </c>
      <c r="L8611" s="14" t="n">
        <f aca="false">($L$2*M8611)/100</f>
        <v>468649.935</v>
      </c>
      <c r="M8611" s="15" t="n">
        <v>0.39</v>
      </c>
      <c r="N8611" s="9" t="s">
        <v>26</v>
      </c>
    </row>
    <row r="8612" customFormat="false" ht="14.25" hidden="false" customHeight="true" outlineLevel="0" collapsed="false">
      <c r="B8612" s="9" t="s">
        <v>32</v>
      </c>
      <c r="C8612" s="9" t="n">
        <v>1185732</v>
      </c>
      <c r="D8612" s="10" t="n">
        <v>44419</v>
      </c>
      <c r="E8612" s="9" t="s">
        <v>33</v>
      </c>
      <c r="F8612" s="9" t="s">
        <v>80</v>
      </c>
      <c r="G8612" s="9" t="s">
        <v>81</v>
      </c>
      <c r="H8612" s="11" t="s">
        <v>25</v>
      </c>
      <c r="I8612" s="12" t="n">
        <v>27</v>
      </c>
      <c r="J8612" s="13" t="n">
        <v>184</v>
      </c>
      <c r="K8612" s="14" t="n">
        <f aca="false">I8612*J8612</f>
        <v>4968</v>
      </c>
      <c r="L8612" s="14" t="n">
        <f aca="false">($L$2*M8612)/100</f>
        <v>684949.905</v>
      </c>
      <c r="M8612" s="15" t="n">
        <v>0.57</v>
      </c>
      <c r="N8612" s="9" t="s">
        <v>26</v>
      </c>
    </row>
    <row r="8613" customFormat="false" ht="14.25" hidden="false" customHeight="true" outlineLevel="0" collapsed="false">
      <c r="B8613" s="9" t="s">
        <v>32</v>
      </c>
      <c r="C8613" s="9" t="n">
        <v>1185732</v>
      </c>
      <c r="D8613" s="10" t="n">
        <v>44451</v>
      </c>
      <c r="E8613" s="9" t="s">
        <v>33</v>
      </c>
      <c r="F8613" s="9" t="s">
        <v>80</v>
      </c>
      <c r="G8613" s="9" t="s">
        <v>81</v>
      </c>
      <c r="H8613" s="11" t="s">
        <v>19</v>
      </c>
      <c r="I8613" s="12" t="n">
        <v>23</v>
      </c>
      <c r="J8613" s="13" t="n">
        <v>228</v>
      </c>
      <c r="K8613" s="14" t="n">
        <f aca="false">I8613*J8613</f>
        <v>5244</v>
      </c>
      <c r="L8613" s="14" t="n">
        <f aca="false">($L$2*M8613)/100</f>
        <v>540749.925</v>
      </c>
      <c r="M8613" s="15" t="n">
        <v>0.45</v>
      </c>
      <c r="N8613" s="9" t="s">
        <v>26</v>
      </c>
    </row>
    <row r="8614" customFormat="false" ht="14.25" hidden="false" customHeight="true" outlineLevel="0" collapsed="false">
      <c r="B8614" s="9" t="s">
        <v>32</v>
      </c>
      <c r="C8614" s="9" t="n">
        <v>1185732</v>
      </c>
      <c r="D8614" s="10" t="n">
        <v>44451</v>
      </c>
      <c r="E8614" s="9" t="s">
        <v>33</v>
      </c>
      <c r="F8614" s="9" t="s">
        <v>80</v>
      </c>
      <c r="G8614" s="9" t="s">
        <v>81</v>
      </c>
      <c r="H8614" s="11" t="s">
        <v>21</v>
      </c>
      <c r="I8614" s="12" t="n">
        <v>19</v>
      </c>
      <c r="J8614" s="13" t="n">
        <v>158</v>
      </c>
      <c r="K8614" s="14" t="n">
        <f aca="false">I8614*J8614</f>
        <v>3002</v>
      </c>
      <c r="L8614" s="14" t="n">
        <f aca="false">($L$2*M8614)/100</f>
        <v>456633.27</v>
      </c>
      <c r="M8614" s="15" t="n">
        <v>0.38</v>
      </c>
      <c r="N8614" s="9" t="s">
        <v>26</v>
      </c>
    </row>
    <row r="8615" customFormat="false" ht="14.25" hidden="false" customHeight="true" outlineLevel="0" collapsed="false">
      <c r="B8615" s="9" t="s">
        <v>32</v>
      </c>
      <c r="C8615" s="9" t="n">
        <v>1185732</v>
      </c>
      <c r="D8615" s="10" t="n">
        <v>44451</v>
      </c>
      <c r="E8615" s="9" t="s">
        <v>33</v>
      </c>
      <c r="F8615" s="9" t="s">
        <v>80</v>
      </c>
      <c r="G8615" s="9" t="s">
        <v>81</v>
      </c>
      <c r="H8615" s="11" t="s">
        <v>22</v>
      </c>
      <c r="I8615" s="12" t="n">
        <v>7</v>
      </c>
      <c r="J8615" s="13" t="n">
        <v>105</v>
      </c>
      <c r="K8615" s="14" t="n">
        <f aca="false">I8615*J8615</f>
        <v>735</v>
      </c>
      <c r="L8615" s="14" t="n">
        <f aca="false">($L$2*M8615)/100</f>
        <v>504699.93</v>
      </c>
      <c r="M8615" s="15" t="n">
        <v>0.42</v>
      </c>
      <c r="N8615" s="9" t="s">
        <v>26</v>
      </c>
    </row>
    <row r="8616" customFormat="false" ht="14.25" hidden="false" customHeight="true" outlineLevel="0" collapsed="false">
      <c r="B8616" s="9" t="s">
        <v>32</v>
      </c>
      <c r="C8616" s="9" t="n">
        <v>1185732</v>
      </c>
      <c r="D8616" s="10" t="n">
        <v>44451</v>
      </c>
      <c r="E8616" s="9" t="s">
        <v>33</v>
      </c>
      <c r="F8616" s="9" t="s">
        <v>80</v>
      </c>
      <c r="G8616" s="9" t="s">
        <v>81</v>
      </c>
      <c r="H8616" s="11" t="s">
        <v>23</v>
      </c>
      <c r="I8616" s="12" t="n">
        <v>7</v>
      </c>
      <c r="J8616" s="13" t="n">
        <v>111</v>
      </c>
      <c r="K8616" s="14" t="n">
        <f aca="false">I8616*J8616</f>
        <v>777</v>
      </c>
      <c r="L8616" s="14" t="n">
        <f aca="false">($L$2*M8616)/100</f>
        <v>552766.59</v>
      </c>
      <c r="M8616" s="15" t="n">
        <v>0.46</v>
      </c>
      <c r="N8616" s="9" t="s">
        <v>26</v>
      </c>
    </row>
    <row r="8617" customFormat="false" ht="14.25" hidden="false" customHeight="true" outlineLevel="0" collapsed="false">
      <c r="B8617" s="9" t="s">
        <v>32</v>
      </c>
      <c r="C8617" s="9" t="n">
        <v>1185732</v>
      </c>
      <c r="D8617" s="10" t="n">
        <v>44451</v>
      </c>
      <c r="E8617" s="9" t="s">
        <v>33</v>
      </c>
      <c r="F8617" s="9" t="s">
        <v>80</v>
      </c>
      <c r="G8617" s="9" t="s">
        <v>81</v>
      </c>
      <c r="H8617" s="11" t="s">
        <v>24</v>
      </c>
      <c r="I8617" s="12" t="n">
        <v>16</v>
      </c>
      <c r="J8617" s="13" t="n">
        <v>114</v>
      </c>
      <c r="K8617" s="14" t="n">
        <f aca="false">I8617*J8617</f>
        <v>1824</v>
      </c>
      <c r="L8617" s="14" t="n">
        <f aca="false">($L$2*M8617)/100</f>
        <v>492683.265</v>
      </c>
      <c r="M8617" s="15" t="n">
        <v>0.41</v>
      </c>
      <c r="N8617" s="9" t="s">
        <v>26</v>
      </c>
    </row>
    <row r="8618" customFormat="false" ht="14.25" hidden="false" customHeight="true" outlineLevel="0" collapsed="false">
      <c r="B8618" s="9" t="s">
        <v>32</v>
      </c>
      <c r="C8618" s="9" t="n">
        <v>1185732</v>
      </c>
      <c r="D8618" s="10" t="n">
        <v>44451</v>
      </c>
      <c r="E8618" s="9" t="s">
        <v>33</v>
      </c>
      <c r="F8618" s="9" t="s">
        <v>80</v>
      </c>
      <c r="G8618" s="9" t="s">
        <v>81</v>
      </c>
      <c r="H8618" s="11" t="s">
        <v>25</v>
      </c>
      <c r="I8618" s="12" t="n">
        <v>18</v>
      </c>
      <c r="J8618" s="13" t="n">
        <v>132</v>
      </c>
      <c r="K8618" s="14" t="n">
        <f aca="false">I8618*J8618</f>
        <v>2376</v>
      </c>
      <c r="L8618" s="14" t="n">
        <f aca="false">($L$2*M8618)/100</f>
        <v>684949.905</v>
      </c>
      <c r="M8618" s="15" t="n">
        <v>0.57</v>
      </c>
      <c r="N8618" s="9" t="s">
        <v>26</v>
      </c>
    </row>
    <row r="8619" customFormat="false" ht="14.25" hidden="false" customHeight="true" outlineLevel="0" collapsed="false">
      <c r="B8619" s="9" t="s">
        <v>32</v>
      </c>
      <c r="C8619" s="9" t="n">
        <v>1185732</v>
      </c>
      <c r="D8619" s="10" t="n">
        <v>44480</v>
      </c>
      <c r="E8619" s="9" t="s">
        <v>33</v>
      </c>
      <c r="F8619" s="9" t="s">
        <v>80</v>
      </c>
      <c r="G8619" s="9" t="s">
        <v>81</v>
      </c>
      <c r="H8619" s="11" t="s">
        <v>19</v>
      </c>
      <c r="I8619" s="12" t="n">
        <v>24</v>
      </c>
      <c r="J8619" s="13" t="n">
        <v>201</v>
      </c>
      <c r="K8619" s="14" t="n">
        <f aca="false">I8619*J8619</f>
        <v>4824</v>
      </c>
      <c r="L8619" s="14" t="n">
        <f aca="false">($L$2*M8619)/100</f>
        <v>564783.255</v>
      </c>
      <c r="M8619" s="15" t="n">
        <v>0.47</v>
      </c>
      <c r="N8619" s="9" t="s">
        <v>26</v>
      </c>
    </row>
    <row r="8620" customFormat="false" ht="14.25" hidden="false" customHeight="true" outlineLevel="0" collapsed="false">
      <c r="B8620" s="9" t="s">
        <v>32</v>
      </c>
      <c r="C8620" s="9" t="n">
        <v>1185732</v>
      </c>
      <c r="D8620" s="10" t="n">
        <v>44480</v>
      </c>
      <c r="E8620" s="9" t="s">
        <v>33</v>
      </c>
      <c r="F8620" s="9" t="s">
        <v>80</v>
      </c>
      <c r="G8620" s="9" t="s">
        <v>81</v>
      </c>
      <c r="H8620" s="11" t="s">
        <v>21</v>
      </c>
      <c r="I8620" s="12" t="n">
        <v>14</v>
      </c>
      <c r="J8620" s="13" t="n">
        <v>132</v>
      </c>
      <c r="K8620" s="14" t="n">
        <f aca="false">I8620*J8620</f>
        <v>1848</v>
      </c>
      <c r="L8620" s="14" t="n">
        <f aca="false">($L$2*M8620)/100</f>
        <v>480666.6</v>
      </c>
      <c r="M8620" s="15" t="n">
        <v>0.4</v>
      </c>
      <c r="N8620" s="9" t="s">
        <v>26</v>
      </c>
    </row>
    <row r="8621" customFormat="false" ht="14.25" hidden="false" customHeight="true" outlineLevel="0" collapsed="false">
      <c r="B8621" s="9" t="s">
        <v>32</v>
      </c>
      <c r="C8621" s="9" t="n">
        <v>1185732</v>
      </c>
      <c r="D8621" s="10" t="n">
        <v>44480</v>
      </c>
      <c r="E8621" s="9" t="s">
        <v>33</v>
      </c>
      <c r="F8621" s="9" t="s">
        <v>80</v>
      </c>
      <c r="G8621" s="9" t="s">
        <v>81</v>
      </c>
      <c r="H8621" s="11" t="s">
        <v>22</v>
      </c>
      <c r="I8621" s="12" t="n">
        <v>13</v>
      </c>
      <c r="J8621" s="13" t="n">
        <v>90</v>
      </c>
      <c r="K8621" s="14" t="n">
        <f aca="false">I8621*J8621</f>
        <v>1170</v>
      </c>
      <c r="L8621" s="14" t="n">
        <f aca="false">($L$2*M8621)/100</f>
        <v>492683.265</v>
      </c>
      <c r="M8621" s="15" t="n">
        <v>0.41</v>
      </c>
      <c r="N8621" s="9" t="s">
        <v>26</v>
      </c>
    </row>
    <row r="8622" customFormat="false" ht="14.25" hidden="false" customHeight="true" outlineLevel="0" collapsed="false">
      <c r="B8622" s="9" t="s">
        <v>32</v>
      </c>
      <c r="C8622" s="9" t="n">
        <v>1185732</v>
      </c>
      <c r="D8622" s="10" t="n">
        <v>44480</v>
      </c>
      <c r="E8622" s="9" t="s">
        <v>33</v>
      </c>
      <c r="F8622" s="9" t="s">
        <v>80</v>
      </c>
      <c r="G8622" s="9" t="s">
        <v>81</v>
      </c>
      <c r="H8622" s="11" t="s">
        <v>23</v>
      </c>
      <c r="I8622" s="12" t="n">
        <v>13</v>
      </c>
      <c r="J8622" s="13" t="n">
        <v>94</v>
      </c>
      <c r="K8622" s="14" t="n">
        <f aca="false">I8622*J8622</f>
        <v>1222</v>
      </c>
      <c r="L8622" s="14" t="n">
        <f aca="false">($L$2*M8622)/100</f>
        <v>552766.59</v>
      </c>
      <c r="M8622" s="15" t="n">
        <v>0.46</v>
      </c>
      <c r="N8622" s="9" t="s">
        <v>26</v>
      </c>
    </row>
    <row r="8623" customFormat="false" ht="14.25" hidden="false" customHeight="true" outlineLevel="0" collapsed="false">
      <c r="B8623" s="9" t="s">
        <v>32</v>
      </c>
      <c r="C8623" s="9" t="n">
        <v>1185732</v>
      </c>
      <c r="D8623" s="10" t="n">
        <v>44480</v>
      </c>
      <c r="E8623" s="9" t="s">
        <v>33</v>
      </c>
      <c r="F8623" s="9" t="s">
        <v>80</v>
      </c>
      <c r="G8623" s="9" t="s">
        <v>81</v>
      </c>
      <c r="H8623" s="11" t="s">
        <v>24</v>
      </c>
      <c r="I8623" s="12" t="n">
        <v>20</v>
      </c>
      <c r="J8623" s="13" t="n">
        <v>85</v>
      </c>
      <c r="K8623" s="14" t="n">
        <f aca="false">I8623*J8623</f>
        <v>1700</v>
      </c>
      <c r="L8623" s="14" t="n">
        <f aca="false">($L$2*M8623)/100</f>
        <v>468649.935</v>
      </c>
      <c r="M8623" s="15" t="n">
        <v>0.39</v>
      </c>
      <c r="N8623" s="9" t="s">
        <v>26</v>
      </c>
    </row>
    <row r="8624" customFormat="false" ht="14.25" hidden="false" customHeight="true" outlineLevel="0" collapsed="false">
      <c r="B8624" s="9" t="s">
        <v>32</v>
      </c>
      <c r="C8624" s="9" t="n">
        <v>1185732</v>
      </c>
      <c r="D8624" s="10" t="n">
        <v>44480</v>
      </c>
      <c r="E8624" s="9" t="s">
        <v>33</v>
      </c>
      <c r="F8624" s="9" t="s">
        <v>80</v>
      </c>
      <c r="G8624" s="9" t="s">
        <v>81</v>
      </c>
      <c r="H8624" s="11" t="s">
        <v>25</v>
      </c>
      <c r="I8624" s="12" t="n">
        <v>25</v>
      </c>
      <c r="J8624" s="13" t="n">
        <v>140</v>
      </c>
      <c r="K8624" s="14" t="n">
        <f aca="false">I8624*J8624</f>
        <v>3500</v>
      </c>
      <c r="L8624" s="14" t="n">
        <f aca="false">($L$2*M8624)/100</f>
        <v>648899.91</v>
      </c>
      <c r="M8624" s="15" t="n">
        <v>0.54</v>
      </c>
      <c r="N8624" s="9" t="s">
        <v>26</v>
      </c>
    </row>
    <row r="8625" customFormat="false" ht="14.25" hidden="false" customHeight="true" outlineLevel="0" collapsed="false">
      <c r="B8625" s="9" t="s">
        <v>32</v>
      </c>
      <c r="C8625" s="9" t="n">
        <v>1185732</v>
      </c>
      <c r="D8625" s="10" t="n">
        <v>44511</v>
      </c>
      <c r="E8625" s="9" t="s">
        <v>33</v>
      </c>
      <c r="F8625" s="9" t="s">
        <v>80</v>
      </c>
      <c r="G8625" s="9" t="s">
        <v>81</v>
      </c>
      <c r="H8625" s="11" t="s">
        <v>19</v>
      </c>
      <c r="I8625" s="12" t="n">
        <v>22</v>
      </c>
      <c r="J8625" s="13" t="n">
        <v>165</v>
      </c>
      <c r="K8625" s="14" t="n">
        <f aca="false">I8625*J8625</f>
        <v>3630</v>
      </c>
      <c r="L8625" s="14" t="n">
        <f aca="false">($L$2*M8625)/100</f>
        <v>516716.595</v>
      </c>
      <c r="M8625" s="15" t="n">
        <v>0.43</v>
      </c>
      <c r="N8625" s="9" t="s">
        <v>26</v>
      </c>
    </row>
    <row r="8626" customFormat="false" ht="14.25" hidden="false" customHeight="true" outlineLevel="0" collapsed="false">
      <c r="B8626" s="9" t="s">
        <v>32</v>
      </c>
      <c r="C8626" s="9" t="n">
        <v>1185732</v>
      </c>
      <c r="D8626" s="10" t="n">
        <v>44511</v>
      </c>
      <c r="E8626" s="9" t="s">
        <v>33</v>
      </c>
      <c r="F8626" s="9" t="s">
        <v>80</v>
      </c>
      <c r="G8626" s="9" t="s">
        <v>81</v>
      </c>
      <c r="H8626" s="11" t="s">
        <v>21</v>
      </c>
      <c r="I8626" s="12" t="n">
        <v>14</v>
      </c>
      <c r="J8626" s="13" t="n">
        <v>136</v>
      </c>
      <c r="K8626" s="14" t="n">
        <f aca="false">I8626*J8626</f>
        <v>1904</v>
      </c>
      <c r="L8626" s="14" t="n">
        <f aca="false">($L$2*M8626)/100</f>
        <v>468649.935</v>
      </c>
      <c r="M8626" s="15" t="n">
        <v>0.39</v>
      </c>
      <c r="N8626" s="9" t="s">
        <v>26</v>
      </c>
    </row>
    <row r="8627" customFormat="false" ht="14.25" hidden="false" customHeight="true" outlineLevel="0" collapsed="false">
      <c r="B8627" s="9" t="s">
        <v>32</v>
      </c>
      <c r="C8627" s="9" t="n">
        <v>1185732</v>
      </c>
      <c r="D8627" s="10" t="n">
        <v>44511</v>
      </c>
      <c r="E8627" s="9" t="s">
        <v>33</v>
      </c>
      <c r="F8627" s="9" t="s">
        <v>80</v>
      </c>
      <c r="G8627" s="9" t="s">
        <v>81</v>
      </c>
      <c r="H8627" s="11" t="s">
        <v>22</v>
      </c>
      <c r="I8627" s="12" t="n">
        <v>14</v>
      </c>
      <c r="J8627" s="13" t="n">
        <v>107</v>
      </c>
      <c r="K8627" s="14" t="n">
        <f aca="false">I8627*J8627</f>
        <v>1498</v>
      </c>
      <c r="L8627" s="14" t="n">
        <f aca="false">($L$2*M8627)/100</f>
        <v>504699.93</v>
      </c>
      <c r="M8627" s="15" t="n">
        <v>0.42</v>
      </c>
      <c r="N8627" s="9" t="s">
        <v>26</v>
      </c>
    </row>
    <row r="8628" customFormat="false" ht="14.25" hidden="false" customHeight="true" outlineLevel="0" collapsed="false">
      <c r="B8628" s="9" t="s">
        <v>32</v>
      </c>
      <c r="C8628" s="9" t="n">
        <v>1185732</v>
      </c>
      <c r="D8628" s="10" t="n">
        <v>44511</v>
      </c>
      <c r="E8628" s="9" t="s">
        <v>33</v>
      </c>
      <c r="F8628" s="9" t="s">
        <v>80</v>
      </c>
      <c r="G8628" s="9" t="s">
        <v>81</v>
      </c>
      <c r="H8628" s="11" t="s">
        <v>23</v>
      </c>
      <c r="I8628" s="12" t="n">
        <v>15</v>
      </c>
      <c r="J8628" s="13" t="n">
        <v>124</v>
      </c>
      <c r="K8628" s="14" t="n">
        <f aca="false">I8628*J8628</f>
        <v>1860</v>
      </c>
      <c r="L8628" s="14" t="n">
        <f aca="false">($L$2*M8628)/100</f>
        <v>504699.93</v>
      </c>
      <c r="M8628" s="15" t="n">
        <v>0.42</v>
      </c>
      <c r="N8628" s="9" t="s">
        <v>26</v>
      </c>
    </row>
    <row r="8629" customFormat="false" ht="14.25" hidden="false" customHeight="true" outlineLevel="0" collapsed="false">
      <c r="B8629" s="9" t="s">
        <v>32</v>
      </c>
      <c r="C8629" s="9" t="n">
        <v>1185732</v>
      </c>
      <c r="D8629" s="10" t="n">
        <v>44511</v>
      </c>
      <c r="E8629" s="9" t="s">
        <v>33</v>
      </c>
      <c r="F8629" s="9" t="s">
        <v>80</v>
      </c>
      <c r="G8629" s="9" t="s">
        <v>81</v>
      </c>
      <c r="H8629" s="11" t="s">
        <v>24</v>
      </c>
      <c r="I8629" s="12" t="n">
        <v>28</v>
      </c>
      <c r="J8629" s="13" t="n">
        <v>123</v>
      </c>
      <c r="K8629" s="14" t="n">
        <f aca="false">I8629*J8629</f>
        <v>3444</v>
      </c>
      <c r="L8629" s="14" t="n">
        <f aca="false">($L$2*M8629)/100</f>
        <v>456633.27</v>
      </c>
      <c r="M8629" s="15" t="n">
        <v>0.38</v>
      </c>
      <c r="N8629" s="9" t="s">
        <v>26</v>
      </c>
    </row>
    <row r="8630" customFormat="false" ht="14.25" hidden="false" customHeight="true" outlineLevel="0" collapsed="false">
      <c r="B8630" s="9" t="s">
        <v>32</v>
      </c>
      <c r="C8630" s="9" t="n">
        <v>1185732</v>
      </c>
      <c r="D8630" s="10" t="n">
        <v>44511</v>
      </c>
      <c r="E8630" s="9" t="s">
        <v>33</v>
      </c>
      <c r="F8630" s="9" t="s">
        <v>80</v>
      </c>
      <c r="G8630" s="9" t="s">
        <v>81</v>
      </c>
      <c r="H8630" s="11" t="s">
        <v>25</v>
      </c>
      <c r="I8630" s="12" t="n">
        <v>35</v>
      </c>
      <c r="J8630" s="13" t="n">
        <v>158</v>
      </c>
      <c r="K8630" s="14" t="n">
        <f aca="false">I8630*J8630</f>
        <v>5530</v>
      </c>
      <c r="L8630" s="14" t="n">
        <f aca="false">($L$2*M8630)/100</f>
        <v>660916.575</v>
      </c>
      <c r="M8630" s="15" t="n">
        <v>0.55</v>
      </c>
      <c r="N8630" s="9" t="s">
        <v>26</v>
      </c>
    </row>
    <row r="8631" customFormat="false" ht="14.25" hidden="false" customHeight="true" outlineLevel="0" collapsed="false">
      <c r="B8631" s="9" t="s">
        <v>32</v>
      </c>
      <c r="C8631" s="9" t="n">
        <v>1185732</v>
      </c>
      <c r="D8631" s="10" t="n">
        <v>44540</v>
      </c>
      <c r="E8631" s="9" t="s">
        <v>33</v>
      </c>
      <c r="F8631" s="9" t="s">
        <v>80</v>
      </c>
      <c r="G8631" s="9" t="s">
        <v>81</v>
      </c>
      <c r="H8631" s="11" t="s">
        <v>19</v>
      </c>
      <c r="I8631" s="12" t="n">
        <v>29</v>
      </c>
      <c r="J8631" s="13" t="n">
        <v>231</v>
      </c>
      <c r="K8631" s="14" t="n">
        <f aca="false">I8631*J8631</f>
        <v>6699</v>
      </c>
      <c r="L8631" s="14" t="n">
        <f aca="false">($L$2*M8631)/100</f>
        <v>552766.59</v>
      </c>
      <c r="M8631" s="15" t="n">
        <v>0.46</v>
      </c>
      <c r="N8631" s="9" t="s">
        <v>26</v>
      </c>
    </row>
    <row r="8632" customFormat="false" ht="14.25" hidden="false" customHeight="true" outlineLevel="0" collapsed="false">
      <c r="B8632" s="9" t="s">
        <v>32</v>
      </c>
      <c r="C8632" s="9" t="n">
        <v>1185732</v>
      </c>
      <c r="D8632" s="10" t="n">
        <v>44540</v>
      </c>
      <c r="E8632" s="9" t="s">
        <v>33</v>
      </c>
      <c r="F8632" s="9" t="s">
        <v>80</v>
      </c>
      <c r="G8632" s="9" t="s">
        <v>81</v>
      </c>
      <c r="H8632" s="11" t="s">
        <v>21</v>
      </c>
      <c r="I8632" s="12" t="n">
        <v>22</v>
      </c>
      <c r="J8632" s="13" t="n">
        <v>170</v>
      </c>
      <c r="K8632" s="14" t="n">
        <f aca="false">I8632*J8632</f>
        <v>3740</v>
      </c>
      <c r="L8632" s="14" t="n">
        <f aca="false">($L$2*M8632)/100</f>
        <v>504699.93</v>
      </c>
      <c r="M8632" s="15" t="n">
        <v>0.42</v>
      </c>
      <c r="N8632" s="9" t="s">
        <v>26</v>
      </c>
    </row>
    <row r="8633" customFormat="false" ht="14.25" hidden="false" customHeight="true" outlineLevel="0" collapsed="false">
      <c r="B8633" s="9" t="s">
        <v>32</v>
      </c>
      <c r="C8633" s="9" t="n">
        <v>1185732</v>
      </c>
      <c r="D8633" s="10" t="n">
        <v>44540</v>
      </c>
      <c r="E8633" s="9" t="s">
        <v>33</v>
      </c>
      <c r="F8633" s="9" t="s">
        <v>80</v>
      </c>
      <c r="G8633" s="9" t="s">
        <v>81</v>
      </c>
      <c r="H8633" s="11" t="s">
        <v>22</v>
      </c>
      <c r="I8633" s="12" t="n">
        <v>20</v>
      </c>
      <c r="J8633" s="13" t="n">
        <v>153</v>
      </c>
      <c r="K8633" s="14" t="n">
        <f aca="false">I8633*J8633</f>
        <v>3060</v>
      </c>
      <c r="L8633" s="14" t="n">
        <f aca="false">($L$2*M8633)/100</f>
        <v>444616.605</v>
      </c>
      <c r="M8633" s="15" t="n">
        <v>0.37</v>
      </c>
      <c r="N8633" s="9" t="s">
        <v>26</v>
      </c>
    </row>
    <row r="8634" customFormat="false" ht="14.25" hidden="false" customHeight="true" outlineLevel="0" collapsed="false">
      <c r="B8634" s="9" t="s">
        <v>32</v>
      </c>
      <c r="C8634" s="9" t="n">
        <v>1185732</v>
      </c>
      <c r="D8634" s="10" t="n">
        <v>44540</v>
      </c>
      <c r="E8634" s="9" t="s">
        <v>33</v>
      </c>
      <c r="F8634" s="9" t="s">
        <v>80</v>
      </c>
      <c r="G8634" s="9" t="s">
        <v>81</v>
      </c>
      <c r="H8634" s="11" t="s">
        <v>23</v>
      </c>
      <c r="I8634" s="12" t="n">
        <v>22</v>
      </c>
      <c r="J8634" s="13" t="n">
        <v>136</v>
      </c>
      <c r="K8634" s="14" t="n">
        <f aca="false">I8634*J8634</f>
        <v>2992</v>
      </c>
      <c r="L8634" s="14" t="n">
        <f aca="false">($L$2*M8634)/100</f>
        <v>504699.93</v>
      </c>
      <c r="M8634" s="15" t="n">
        <v>0.42</v>
      </c>
      <c r="N8634" s="9" t="s">
        <v>26</v>
      </c>
    </row>
    <row r="8635" customFormat="false" ht="14.25" hidden="false" customHeight="true" outlineLevel="0" collapsed="false">
      <c r="B8635" s="9" t="s">
        <v>32</v>
      </c>
      <c r="C8635" s="9" t="n">
        <v>1185732</v>
      </c>
      <c r="D8635" s="10" t="n">
        <v>44540</v>
      </c>
      <c r="E8635" s="9" t="s">
        <v>33</v>
      </c>
      <c r="F8635" s="9" t="s">
        <v>80</v>
      </c>
      <c r="G8635" s="9" t="s">
        <v>81</v>
      </c>
      <c r="H8635" s="11" t="s">
        <v>24</v>
      </c>
      <c r="I8635" s="12" t="n">
        <v>27</v>
      </c>
      <c r="J8635" s="13" t="n">
        <v>124</v>
      </c>
      <c r="K8635" s="14" t="n">
        <f aca="false">I8635*J8635</f>
        <v>3348</v>
      </c>
      <c r="L8635" s="14" t="n">
        <f aca="false">($L$2*M8635)/100</f>
        <v>492683.265</v>
      </c>
      <c r="M8635" s="15" t="n">
        <v>0.41</v>
      </c>
      <c r="N8635" s="9" t="s">
        <v>26</v>
      </c>
    </row>
    <row r="8636" customFormat="false" ht="14.25" hidden="false" customHeight="true" outlineLevel="0" collapsed="false">
      <c r="B8636" s="9" t="s">
        <v>32</v>
      </c>
      <c r="C8636" s="9" t="n">
        <v>1185732</v>
      </c>
      <c r="D8636" s="10" t="n">
        <v>44540</v>
      </c>
      <c r="E8636" s="9" t="s">
        <v>33</v>
      </c>
      <c r="F8636" s="9" t="s">
        <v>80</v>
      </c>
      <c r="G8636" s="9" t="s">
        <v>81</v>
      </c>
      <c r="H8636" s="11" t="s">
        <v>25</v>
      </c>
      <c r="I8636" s="12" t="n">
        <v>29</v>
      </c>
      <c r="J8636" s="13" t="n">
        <v>170</v>
      </c>
      <c r="K8636" s="14" t="n">
        <f aca="false">I8636*J8636</f>
        <v>4930</v>
      </c>
      <c r="L8636" s="14" t="n">
        <f aca="false">($L$2*M8636)/100</f>
        <v>624866.58</v>
      </c>
      <c r="M8636" s="15" t="n">
        <v>0.52</v>
      </c>
      <c r="N8636" s="9" t="s">
        <v>26</v>
      </c>
    </row>
    <row r="8637" customFormat="false" ht="14.25" hidden="false" customHeight="true" outlineLevel="0" collapsed="false">
      <c r="B8637" s="9" t="s">
        <v>32</v>
      </c>
      <c r="C8637" s="9" t="n">
        <v>1128299</v>
      </c>
      <c r="D8637" s="10" t="n">
        <v>44220</v>
      </c>
      <c r="E8637" s="9" t="s">
        <v>33</v>
      </c>
      <c r="F8637" s="9" t="s">
        <v>80</v>
      </c>
      <c r="G8637" s="9" t="s">
        <v>81</v>
      </c>
      <c r="H8637" s="11" t="s">
        <v>19</v>
      </c>
      <c r="I8637" s="12" t="n">
        <v>24</v>
      </c>
      <c r="J8637" s="13" t="n">
        <v>109</v>
      </c>
      <c r="K8637" s="14" t="n">
        <f aca="false">I8637*J8637</f>
        <v>2616</v>
      </c>
      <c r="L8637" s="14" t="n">
        <f aca="false">($L$2*M8637)/100</f>
        <v>444616.605</v>
      </c>
      <c r="M8637" s="15" t="n">
        <v>0.37</v>
      </c>
      <c r="N8637" s="9" t="s">
        <v>26</v>
      </c>
    </row>
    <row r="8638" customFormat="false" ht="14.25" hidden="false" customHeight="true" outlineLevel="0" collapsed="false">
      <c r="B8638" s="9" t="s">
        <v>32</v>
      </c>
      <c r="C8638" s="9" t="n">
        <v>1128299</v>
      </c>
      <c r="D8638" s="10" t="n">
        <v>44220</v>
      </c>
      <c r="E8638" s="9" t="s">
        <v>33</v>
      </c>
      <c r="F8638" s="9" t="s">
        <v>80</v>
      </c>
      <c r="G8638" s="9" t="s">
        <v>81</v>
      </c>
      <c r="H8638" s="11" t="s">
        <v>21</v>
      </c>
      <c r="I8638" s="12" t="n">
        <v>29</v>
      </c>
      <c r="J8638" s="13" t="n">
        <v>123</v>
      </c>
      <c r="K8638" s="14" t="n">
        <f aca="false">I8638*J8638</f>
        <v>3567</v>
      </c>
      <c r="L8638" s="14" t="n">
        <f aca="false">($L$2*M8638)/100</f>
        <v>480666.6</v>
      </c>
      <c r="M8638" s="15" t="n">
        <v>0.4</v>
      </c>
      <c r="N8638" s="9" t="s">
        <v>26</v>
      </c>
    </row>
    <row r="8639" customFormat="false" ht="14.25" hidden="false" customHeight="true" outlineLevel="0" collapsed="false">
      <c r="B8639" s="9" t="s">
        <v>32</v>
      </c>
      <c r="C8639" s="9" t="n">
        <v>1128299</v>
      </c>
      <c r="D8639" s="10" t="n">
        <v>44220</v>
      </c>
      <c r="E8639" s="9" t="s">
        <v>33</v>
      </c>
      <c r="F8639" s="9" t="s">
        <v>80</v>
      </c>
      <c r="G8639" s="9" t="s">
        <v>81</v>
      </c>
      <c r="H8639" s="11" t="s">
        <v>22</v>
      </c>
      <c r="I8639" s="12" t="n">
        <v>31</v>
      </c>
      <c r="J8639" s="13" t="n">
        <v>105</v>
      </c>
      <c r="K8639" s="14" t="n">
        <f aca="false">I8639*J8639</f>
        <v>3255</v>
      </c>
      <c r="L8639" s="14" t="n">
        <f aca="false">($L$2*M8639)/100</f>
        <v>468649.935</v>
      </c>
      <c r="M8639" s="15" t="n">
        <v>0.39</v>
      </c>
      <c r="N8639" s="9" t="s">
        <v>26</v>
      </c>
    </row>
    <row r="8640" customFormat="false" ht="14.25" hidden="false" customHeight="true" outlineLevel="0" collapsed="false">
      <c r="B8640" s="9" t="s">
        <v>32</v>
      </c>
      <c r="C8640" s="9" t="n">
        <v>1128299</v>
      </c>
      <c r="D8640" s="10" t="n">
        <v>44220</v>
      </c>
      <c r="E8640" s="9" t="s">
        <v>33</v>
      </c>
      <c r="F8640" s="9" t="s">
        <v>80</v>
      </c>
      <c r="G8640" s="9" t="s">
        <v>81</v>
      </c>
      <c r="H8640" s="11" t="s">
        <v>23</v>
      </c>
      <c r="I8640" s="12" t="n">
        <v>30</v>
      </c>
      <c r="J8640" s="13" t="n">
        <v>68</v>
      </c>
      <c r="K8640" s="14" t="n">
        <f aca="false">I8640*J8640</f>
        <v>2040</v>
      </c>
      <c r="L8640" s="14" t="n">
        <f aca="false">($L$2*M8640)/100</f>
        <v>456633.27</v>
      </c>
      <c r="M8640" s="15" t="n">
        <v>0.38</v>
      </c>
      <c r="N8640" s="9" t="s">
        <v>26</v>
      </c>
    </row>
    <row r="8641" customFormat="false" ht="14.25" hidden="false" customHeight="true" outlineLevel="0" collapsed="false">
      <c r="B8641" s="9" t="s">
        <v>32</v>
      </c>
      <c r="C8641" s="9" t="n">
        <v>1128299</v>
      </c>
      <c r="D8641" s="10" t="n">
        <v>44220</v>
      </c>
      <c r="E8641" s="9" t="s">
        <v>33</v>
      </c>
      <c r="F8641" s="9" t="s">
        <v>80</v>
      </c>
      <c r="G8641" s="9" t="s">
        <v>81</v>
      </c>
      <c r="H8641" s="11" t="s">
        <v>24</v>
      </c>
      <c r="I8641" s="12" t="n">
        <v>35</v>
      </c>
      <c r="J8641" s="13" t="n">
        <v>53</v>
      </c>
      <c r="K8641" s="14" t="n">
        <f aca="false">I8641*J8641</f>
        <v>1855</v>
      </c>
      <c r="L8641" s="14" t="n">
        <f aca="false">($L$2*M8641)/100</f>
        <v>552766.59</v>
      </c>
      <c r="M8641" s="15" t="n">
        <v>0.46</v>
      </c>
      <c r="N8641" s="9" t="s">
        <v>26</v>
      </c>
    </row>
    <row r="8642" customFormat="false" ht="14.25" hidden="false" customHeight="true" outlineLevel="0" collapsed="false">
      <c r="B8642" s="9" t="s">
        <v>32</v>
      </c>
      <c r="C8642" s="9" t="n">
        <v>1128299</v>
      </c>
      <c r="D8642" s="10" t="n">
        <v>44220</v>
      </c>
      <c r="E8642" s="9" t="s">
        <v>33</v>
      </c>
      <c r="F8642" s="9" t="s">
        <v>80</v>
      </c>
      <c r="G8642" s="9" t="s">
        <v>81</v>
      </c>
      <c r="H8642" s="11" t="s">
        <v>25</v>
      </c>
      <c r="I8642" s="12" t="n">
        <v>28</v>
      </c>
      <c r="J8642" s="13" t="n">
        <v>132</v>
      </c>
      <c r="K8642" s="14" t="n">
        <f aca="false">I8642*J8642</f>
        <v>3696</v>
      </c>
      <c r="L8642" s="14" t="n">
        <f aca="false">($L$2*M8642)/100</f>
        <v>408566.61</v>
      </c>
      <c r="M8642" s="15" t="n">
        <v>0.34</v>
      </c>
      <c r="N8642" s="9" t="s">
        <v>26</v>
      </c>
    </row>
    <row r="8643" customFormat="false" ht="14.25" hidden="false" customHeight="true" outlineLevel="0" collapsed="false">
      <c r="B8643" s="9" t="s">
        <v>32</v>
      </c>
      <c r="C8643" s="9" t="n">
        <v>1128299</v>
      </c>
      <c r="D8643" s="10" t="n">
        <v>44251</v>
      </c>
      <c r="E8643" s="9" t="s">
        <v>33</v>
      </c>
      <c r="F8643" s="9" t="s">
        <v>80</v>
      </c>
      <c r="G8643" s="9" t="s">
        <v>81</v>
      </c>
      <c r="H8643" s="11" t="s">
        <v>19</v>
      </c>
      <c r="I8643" s="12" t="n">
        <v>22</v>
      </c>
      <c r="J8643" s="13" t="n">
        <v>153</v>
      </c>
      <c r="K8643" s="14" t="n">
        <f aca="false">I8643*J8643</f>
        <v>3366</v>
      </c>
      <c r="L8643" s="14" t="n">
        <f aca="false">($L$2*M8643)/100</f>
        <v>492683.265</v>
      </c>
      <c r="M8643" s="15" t="n">
        <v>0.41</v>
      </c>
      <c r="N8643" s="9" t="s">
        <v>26</v>
      </c>
    </row>
    <row r="8644" customFormat="false" ht="14.25" hidden="false" customHeight="true" outlineLevel="0" collapsed="false">
      <c r="B8644" s="9" t="s">
        <v>32</v>
      </c>
      <c r="C8644" s="9" t="n">
        <v>1128299</v>
      </c>
      <c r="D8644" s="10" t="n">
        <v>44251</v>
      </c>
      <c r="E8644" s="9" t="s">
        <v>33</v>
      </c>
      <c r="F8644" s="9" t="s">
        <v>80</v>
      </c>
      <c r="G8644" s="9" t="s">
        <v>81</v>
      </c>
      <c r="H8644" s="11" t="s">
        <v>21</v>
      </c>
      <c r="I8644" s="12" t="n">
        <v>29</v>
      </c>
      <c r="J8644" s="13" t="n">
        <v>123</v>
      </c>
      <c r="K8644" s="14" t="n">
        <f aca="false">I8644*J8644</f>
        <v>3567</v>
      </c>
      <c r="L8644" s="14" t="n">
        <f aca="false">($L$2*M8644)/100</f>
        <v>504699.93</v>
      </c>
      <c r="M8644" s="15" t="n">
        <v>0.42</v>
      </c>
      <c r="N8644" s="9" t="s">
        <v>26</v>
      </c>
    </row>
    <row r="8645" customFormat="false" ht="14.25" hidden="false" customHeight="true" outlineLevel="0" collapsed="false">
      <c r="B8645" s="9" t="s">
        <v>32</v>
      </c>
      <c r="C8645" s="9" t="n">
        <v>1128299</v>
      </c>
      <c r="D8645" s="10" t="n">
        <v>44251</v>
      </c>
      <c r="E8645" s="9" t="s">
        <v>33</v>
      </c>
      <c r="F8645" s="9" t="s">
        <v>80</v>
      </c>
      <c r="G8645" s="9" t="s">
        <v>81</v>
      </c>
      <c r="H8645" s="11" t="s">
        <v>22</v>
      </c>
      <c r="I8645" s="12" t="n">
        <v>28</v>
      </c>
      <c r="J8645" s="13" t="n">
        <v>123</v>
      </c>
      <c r="K8645" s="14" t="n">
        <f aca="false">I8645*J8645</f>
        <v>3444</v>
      </c>
      <c r="L8645" s="14" t="n">
        <f aca="false">($L$2*M8645)/100</f>
        <v>444616.605</v>
      </c>
      <c r="M8645" s="15" t="n">
        <v>0.37</v>
      </c>
      <c r="N8645" s="9" t="s">
        <v>26</v>
      </c>
    </row>
    <row r="8646" customFormat="false" ht="14.25" hidden="false" customHeight="true" outlineLevel="0" collapsed="false">
      <c r="B8646" s="9" t="s">
        <v>32</v>
      </c>
      <c r="C8646" s="9" t="n">
        <v>1128299</v>
      </c>
      <c r="D8646" s="10" t="n">
        <v>44251</v>
      </c>
      <c r="E8646" s="9" t="s">
        <v>33</v>
      </c>
      <c r="F8646" s="9" t="s">
        <v>82</v>
      </c>
      <c r="G8646" s="9" t="s">
        <v>65</v>
      </c>
      <c r="H8646" s="11" t="s">
        <v>23</v>
      </c>
      <c r="I8646" s="12" t="n">
        <v>29</v>
      </c>
      <c r="J8646" s="13" t="n">
        <v>64</v>
      </c>
      <c r="K8646" s="14" t="n">
        <f aca="false">I8646*J8646</f>
        <v>1856</v>
      </c>
      <c r="L8646" s="14" t="n">
        <f aca="false">($L$2*M8646)/100</f>
        <v>492683.265</v>
      </c>
      <c r="M8646" s="15" t="n">
        <v>0.41</v>
      </c>
      <c r="N8646" s="9" t="s">
        <v>26</v>
      </c>
    </row>
    <row r="8647" customFormat="false" ht="14.25" hidden="false" customHeight="true" outlineLevel="0" collapsed="false">
      <c r="B8647" s="9" t="s">
        <v>32</v>
      </c>
      <c r="C8647" s="9" t="n">
        <v>1128299</v>
      </c>
      <c r="D8647" s="10" t="n">
        <v>44251</v>
      </c>
      <c r="E8647" s="9" t="s">
        <v>33</v>
      </c>
      <c r="F8647" s="9" t="s">
        <v>82</v>
      </c>
      <c r="G8647" s="9" t="s">
        <v>65</v>
      </c>
      <c r="H8647" s="11" t="s">
        <v>24</v>
      </c>
      <c r="I8647" s="12" t="n">
        <v>32</v>
      </c>
      <c r="J8647" s="13" t="n">
        <v>43</v>
      </c>
      <c r="K8647" s="14" t="n">
        <f aca="false">I8647*J8647</f>
        <v>1376</v>
      </c>
      <c r="L8647" s="14" t="n">
        <f aca="false">($L$2*M8647)/100</f>
        <v>528733.26</v>
      </c>
      <c r="M8647" s="15" t="n">
        <v>0.44</v>
      </c>
      <c r="N8647" s="9" t="s">
        <v>26</v>
      </c>
    </row>
    <row r="8648" customFormat="false" ht="14.25" hidden="false" customHeight="true" outlineLevel="0" collapsed="false">
      <c r="B8648" s="9" t="s">
        <v>32</v>
      </c>
      <c r="C8648" s="9" t="n">
        <v>1128299</v>
      </c>
      <c r="D8648" s="10" t="n">
        <v>44251</v>
      </c>
      <c r="E8648" s="9" t="s">
        <v>33</v>
      </c>
      <c r="F8648" s="9" t="s">
        <v>82</v>
      </c>
      <c r="G8648" s="9" t="s">
        <v>65</v>
      </c>
      <c r="H8648" s="11" t="s">
        <v>25</v>
      </c>
      <c r="I8648" s="12" t="n">
        <v>28</v>
      </c>
      <c r="J8648" s="13" t="n">
        <v>98</v>
      </c>
      <c r="K8648" s="14" t="n">
        <f aca="false">I8648*J8648</f>
        <v>2744</v>
      </c>
      <c r="L8648" s="14" t="n">
        <f aca="false">($L$2*M8648)/100</f>
        <v>420583.275</v>
      </c>
      <c r="M8648" s="15" t="n">
        <v>0.35</v>
      </c>
      <c r="N8648" s="9" t="s">
        <v>26</v>
      </c>
    </row>
    <row r="8649" customFormat="false" ht="14.25" hidden="false" customHeight="true" outlineLevel="0" collapsed="false">
      <c r="B8649" s="9" t="s">
        <v>32</v>
      </c>
      <c r="C8649" s="9" t="n">
        <v>1128299</v>
      </c>
      <c r="D8649" s="10" t="n">
        <v>44278</v>
      </c>
      <c r="E8649" s="9" t="s">
        <v>33</v>
      </c>
      <c r="F8649" s="9" t="s">
        <v>82</v>
      </c>
      <c r="G8649" s="9" t="s">
        <v>65</v>
      </c>
      <c r="H8649" s="11" t="s">
        <v>19</v>
      </c>
      <c r="I8649" s="12" t="n">
        <v>28</v>
      </c>
      <c r="J8649" s="13" t="n">
        <v>143</v>
      </c>
      <c r="K8649" s="14" t="n">
        <f aca="false">I8649*J8649</f>
        <v>4004</v>
      </c>
      <c r="L8649" s="14" t="n">
        <f aca="false">($L$2*M8649)/100</f>
        <v>480666.6</v>
      </c>
      <c r="M8649" s="15" t="n">
        <v>0.4</v>
      </c>
      <c r="N8649" s="9" t="s">
        <v>26</v>
      </c>
    </row>
    <row r="8650" customFormat="false" ht="14.25" hidden="false" customHeight="true" outlineLevel="0" collapsed="false">
      <c r="B8650" s="9" t="s">
        <v>32</v>
      </c>
      <c r="C8650" s="9" t="n">
        <v>1128299</v>
      </c>
      <c r="D8650" s="10" t="n">
        <v>44278</v>
      </c>
      <c r="E8650" s="9" t="s">
        <v>33</v>
      </c>
      <c r="F8650" s="9" t="s">
        <v>82</v>
      </c>
      <c r="G8650" s="9" t="s">
        <v>65</v>
      </c>
      <c r="H8650" s="11" t="s">
        <v>21</v>
      </c>
      <c r="I8650" s="12" t="n">
        <v>40</v>
      </c>
      <c r="J8650" s="13" t="n">
        <v>98</v>
      </c>
      <c r="K8650" s="14" t="n">
        <f aca="false">I8650*J8650</f>
        <v>3920</v>
      </c>
      <c r="L8650" s="14" t="n">
        <f aca="false">($L$2*M8650)/100</f>
        <v>492683.265</v>
      </c>
      <c r="M8650" s="15" t="n">
        <v>0.41</v>
      </c>
      <c r="N8650" s="9" t="s">
        <v>26</v>
      </c>
    </row>
    <row r="8651" customFormat="false" ht="14.25" hidden="false" customHeight="true" outlineLevel="0" collapsed="false">
      <c r="B8651" s="9" t="s">
        <v>32</v>
      </c>
      <c r="C8651" s="9" t="n">
        <v>1128299</v>
      </c>
      <c r="D8651" s="10" t="n">
        <v>44278</v>
      </c>
      <c r="E8651" s="9" t="s">
        <v>33</v>
      </c>
      <c r="F8651" s="9" t="s">
        <v>82</v>
      </c>
      <c r="G8651" s="9" t="s">
        <v>65</v>
      </c>
      <c r="H8651" s="11" t="s">
        <v>22</v>
      </c>
      <c r="I8651" s="12" t="n">
        <v>41</v>
      </c>
      <c r="J8651" s="13" t="n">
        <v>112</v>
      </c>
      <c r="K8651" s="14" t="n">
        <f aca="false">I8651*J8651</f>
        <v>4592</v>
      </c>
      <c r="L8651" s="14" t="n">
        <f aca="false">($L$2*M8651)/100</f>
        <v>456633.27</v>
      </c>
      <c r="M8651" s="15" t="n">
        <v>0.38</v>
      </c>
      <c r="N8651" s="9" t="s">
        <v>26</v>
      </c>
    </row>
    <row r="8652" customFormat="false" ht="14.25" hidden="false" customHeight="true" outlineLevel="0" collapsed="false">
      <c r="B8652" s="9" t="s">
        <v>32</v>
      </c>
      <c r="C8652" s="9" t="n">
        <v>1128299</v>
      </c>
      <c r="D8652" s="10" t="n">
        <v>44278</v>
      </c>
      <c r="E8652" s="9" t="s">
        <v>33</v>
      </c>
      <c r="F8652" s="9" t="s">
        <v>82</v>
      </c>
      <c r="G8652" s="9" t="s">
        <v>65</v>
      </c>
      <c r="H8652" s="11" t="s">
        <v>23</v>
      </c>
      <c r="I8652" s="12" t="n">
        <v>39</v>
      </c>
      <c r="J8652" s="13" t="n">
        <v>75</v>
      </c>
      <c r="K8652" s="14" t="n">
        <f aca="false">I8652*J8652</f>
        <v>2925</v>
      </c>
      <c r="L8652" s="14" t="n">
        <f aca="false">($L$2*M8652)/100</f>
        <v>444616.605</v>
      </c>
      <c r="M8652" s="15" t="n">
        <v>0.37</v>
      </c>
      <c r="N8652" s="9" t="s">
        <v>26</v>
      </c>
    </row>
    <row r="8653" customFormat="false" ht="14.25" hidden="false" customHeight="true" outlineLevel="0" collapsed="false">
      <c r="B8653" s="9" t="s">
        <v>32</v>
      </c>
      <c r="C8653" s="9" t="n">
        <v>1128299</v>
      </c>
      <c r="D8653" s="10" t="n">
        <v>44278</v>
      </c>
      <c r="E8653" s="9" t="s">
        <v>33</v>
      </c>
      <c r="F8653" s="9" t="s">
        <v>82</v>
      </c>
      <c r="G8653" s="9" t="s">
        <v>65</v>
      </c>
      <c r="H8653" s="11" t="s">
        <v>24</v>
      </c>
      <c r="I8653" s="12" t="n">
        <v>43</v>
      </c>
      <c r="J8653" s="13" t="n">
        <v>30</v>
      </c>
      <c r="K8653" s="14" t="n">
        <f aca="false">I8653*J8653</f>
        <v>1290</v>
      </c>
      <c r="L8653" s="14" t="n">
        <f aca="false">($L$2*M8653)/100</f>
        <v>528733.26</v>
      </c>
      <c r="M8653" s="15" t="n">
        <v>0.44</v>
      </c>
      <c r="N8653" s="9" t="s">
        <v>26</v>
      </c>
    </row>
    <row r="8654" customFormat="false" ht="14.25" hidden="false" customHeight="true" outlineLevel="0" collapsed="false">
      <c r="B8654" s="9" t="s">
        <v>32</v>
      </c>
      <c r="C8654" s="9" t="n">
        <v>1128299</v>
      </c>
      <c r="D8654" s="10" t="n">
        <v>44278</v>
      </c>
      <c r="E8654" s="9" t="s">
        <v>33</v>
      </c>
      <c r="F8654" s="9" t="s">
        <v>82</v>
      </c>
      <c r="G8654" s="9" t="s">
        <v>65</v>
      </c>
      <c r="H8654" s="11" t="s">
        <v>25</v>
      </c>
      <c r="I8654" s="12" t="n">
        <v>40</v>
      </c>
      <c r="J8654" s="13" t="n">
        <v>90</v>
      </c>
      <c r="K8654" s="14" t="n">
        <f aca="false">I8654*J8654</f>
        <v>3600</v>
      </c>
      <c r="L8654" s="14" t="n">
        <f aca="false">($L$2*M8654)/100</f>
        <v>420583.275</v>
      </c>
      <c r="M8654" s="15" t="n">
        <v>0.35</v>
      </c>
      <c r="N8654" s="9" t="s">
        <v>26</v>
      </c>
    </row>
    <row r="8655" customFormat="false" ht="14.25" hidden="false" customHeight="true" outlineLevel="0" collapsed="false">
      <c r="B8655" s="9" t="s">
        <v>32</v>
      </c>
      <c r="C8655" s="9" t="n">
        <v>1128299</v>
      </c>
      <c r="D8655" s="10" t="n">
        <v>44310</v>
      </c>
      <c r="E8655" s="9" t="s">
        <v>33</v>
      </c>
      <c r="F8655" s="9" t="s">
        <v>82</v>
      </c>
      <c r="G8655" s="9" t="s">
        <v>65</v>
      </c>
      <c r="H8655" s="11" t="s">
        <v>19</v>
      </c>
      <c r="I8655" s="12" t="n">
        <v>44</v>
      </c>
      <c r="J8655" s="13" t="n">
        <v>166</v>
      </c>
      <c r="K8655" s="14" t="n">
        <f aca="false">I8655*J8655</f>
        <v>7304</v>
      </c>
      <c r="L8655" s="14" t="n">
        <f aca="false">($L$2*M8655)/100</f>
        <v>468649.935</v>
      </c>
      <c r="M8655" s="15" t="n">
        <v>0.39</v>
      </c>
      <c r="N8655" s="9" t="s">
        <v>26</v>
      </c>
    </row>
    <row r="8656" customFormat="false" ht="14.25" hidden="false" customHeight="true" outlineLevel="0" collapsed="false">
      <c r="B8656" s="9" t="s">
        <v>32</v>
      </c>
      <c r="C8656" s="9" t="n">
        <v>1128299</v>
      </c>
      <c r="D8656" s="10" t="n">
        <v>44310</v>
      </c>
      <c r="E8656" s="9" t="s">
        <v>33</v>
      </c>
      <c r="F8656" s="9" t="s">
        <v>82</v>
      </c>
      <c r="G8656" s="9" t="s">
        <v>65</v>
      </c>
      <c r="H8656" s="11" t="s">
        <v>21</v>
      </c>
      <c r="I8656" s="12" t="n">
        <v>39</v>
      </c>
      <c r="J8656" s="13" t="n">
        <v>88</v>
      </c>
      <c r="K8656" s="14" t="n">
        <f aca="false">I8656*J8656</f>
        <v>3432</v>
      </c>
      <c r="L8656" s="14" t="n">
        <f aca="false">($L$2*M8656)/100</f>
        <v>492683.265</v>
      </c>
      <c r="M8656" s="15" t="n">
        <v>0.41</v>
      </c>
      <c r="N8656" s="9" t="s">
        <v>26</v>
      </c>
    </row>
    <row r="8657" customFormat="false" ht="14.25" hidden="false" customHeight="true" outlineLevel="0" collapsed="false">
      <c r="B8657" s="9" t="s">
        <v>32</v>
      </c>
      <c r="C8657" s="9" t="n">
        <v>1128299</v>
      </c>
      <c r="D8657" s="10" t="n">
        <v>44310</v>
      </c>
      <c r="E8657" s="9" t="s">
        <v>33</v>
      </c>
      <c r="F8657" s="9" t="s">
        <v>82</v>
      </c>
      <c r="G8657" s="9" t="s">
        <v>65</v>
      </c>
      <c r="H8657" s="11" t="s">
        <v>22</v>
      </c>
      <c r="I8657" s="12" t="n">
        <v>47</v>
      </c>
      <c r="J8657" s="13" t="n">
        <v>114</v>
      </c>
      <c r="K8657" s="14" t="n">
        <f aca="false">I8657*J8657</f>
        <v>5358</v>
      </c>
      <c r="L8657" s="14" t="n">
        <f aca="false">($L$2*M8657)/100</f>
        <v>492683.265</v>
      </c>
      <c r="M8657" s="15" t="n">
        <v>0.41</v>
      </c>
      <c r="N8657" s="9" t="s">
        <v>26</v>
      </c>
    </row>
    <row r="8658" customFormat="false" ht="14.25" hidden="false" customHeight="true" outlineLevel="0" collapsed="false">
      <c r="B8658" s="9" t="s">
        <v>32</v>
      </c>
      <c r="C8658" s="9" t="n">
        <v>1128299</v>
      </c>
      <c r="D8658" s="10" t="n">
        <v>44310</v>
      </c>
      <c r="E8658" s="9" t="s">
        <v>33</v>
      </c>
      <c r="F8658" s="9" t="s">
        <v>82</v>
      </c>
      <c r="G8658" s="9" t="s">
        <v>65</v>
      </c>
      <c r="H8658" s="11" t="s">
        <v>23</v>
      </c>
      <c r="I8658" s="12" t="n">
        <v>34</v>
      </c>
      <c r="J8658" s="13" t="n">
        <v>70</v>
      </c>
      <c r="K8658" s="14" t="n">
        <f aca="false">I8658*J8658</f>
        <v>2380</v>
      </c>
      <c r="L8658" s="14" t="n">
        <f aca="false">($L$2*M8658)/100</f>
        <v>444616.605</v>
      </c>
      <c r="M8658" s="15" t="n">
        <v>0.37</v>
      </c>
      <c r="N8658" s="9" t="s">
        <v>26</v>
      </c>
    </row>
    <row r="8659" customFormat="false" ht="14.25" hidden="false" customHeight="true" outlineLevel="0" collapsed="false">
      <c r="B8659" s="9" t="s">
        <v>32</v>
      </c>
      <c r="C8659" s="9" t="n">
        <v>1128299</v>
      </c>
      <c r="D8659" s="10" t="n">
        <v>44310</v>
      </c>
      <c r="E8659" s="9" t="s">
        <v>33</v>
      </c>
      <c r="F8659" s="9" t="s">
        <v>82</v>
      </c>
      <c r="G8659" s="9" t="s">
        <v>65</v>
      </c>
      <c r="H8659" s="11" t="s">
        <v>24</v>
      </c>
      <c r="I8659" s="12" t="n">
        <v>36</v>
      </c>
      <c r="J8659" s="13" t="n">
        <v>39</v>
      </c>
      <c r="K8659" s="14" t="n">
        <f aca="false">I8659*J8659</f>
        <v>1404</v>
      </c>
      <c r="L8659" s="14" t="n">
        <f aca="false">($L$2*M8659)/100</f>
        <v>504699.93</v>
      </c>
      <c r="M8659" s="15" t="n">
        <v>0.42</v>
      </c>
      <c r="N8659" s="9" t="s">
        <v>26</v>
      </c>
    </row>
    <row r="8660" customFormat="false" ht="14.25" hidden="false" customHeight="true" outlineLevel="0" collapsed="false">
      <c r="B8660" s="9" t="s">
        <v>32</v>
      </c>
      <c r="C8660" s="9" t="n">
        <v>1128299</v>
      </c>
      <c r="D8660" s="10" t="n">
        <v>44310</v>
      </c>
      <c r="E8660" s="9" t="s">
        <v>33</v>
      </c>
      <c r="F8660" s="9" t="s">
        <v>82</v>
      </c>
      <c r="G8660" s="9" t="s">
        <v>65</v>
      </c>
      <c r="H8660" s="11" t="s">
        <v>25</v>
      </c>
      <c r="I8660" s="12" t="n">
        <v>49</v>
      </c>
      <c r="J8660" s="13" t="n">
        <v>90</v>
      </c>
      <c r="K8660" s="14" t="n">
        <f aca="false">I8660*J8660</f>
        <v>4410</v>
      </c>
      <c r="L8660" s="14" t="n">
        <f aca="false">($L$2*M8660)/100</f>
        <v>408566.61</v>
      </c>
      <c r="M8660" s="15" t="n">
        <v>0.34</v>
      </c>
      <c r="N8660" s="9" t="s">
        <v>26</v>
      </c>
    </row>
    <row r="8661" customFormat="false" ht="14.25" hidden="false" customHeight="true" outlineLevel="0" collapsed="false">
      <c r="B8661" s="9" t="s">
        <v>32</v>
      </c>
      <c r="C8661" s="9" t="n">
        <v>1128299</v>
      </c>
      <c r="D8661" s="10" t="n">
        <v>44341</v>
      </c>
      <c r="E8661" s="9" t="s">
        <v>33</v>
      </c>
      <c r="F8661" s="9" t="s">
        <v>82</v>
      </c>
      <c r="G8661" s="9" t="s">
        <v>65</v>
      </c>
      <c r="H8661" s="11" t="s">
        <v>19</v>
      </c>
      <c r="I8661" s="12" t="n">
        <v>39</v>
      </c>
      <c r="J8661" s="13" t="n">
        <v>155</v>
      </c>
      <c r="K8661" s="14" t="n">
        <f aca="false">I8661*J8661</f>
        <v>6045</v>
      </c>
      <c r="L8661" s="14" t="n">
        <f aca="false">($L$2*M8661)/100</f>
        <v>504699.93</v>
      </c>
      <c r="M8661" s="15" t="n">
        <v>0.42</v>
      </c>
      <c r="N8661" s="9" t="s">
        <v>26</v>
      </c>
    </row>
    <row r="8662" customFormat="false" ht="14.25" hidden="false" customHeight="true" outlineLevel="0" collapsed="false">
      <c r="B8662" s="9" t="s">
        <v>32</v>
      </c>
      <c r="C8662" s="9" t="n">
        <v>1128299</v>
      </c>
      <c r="D8662" s="10" t="n">
        <v>44341</v>
      </c>
      <c r="E8662" s="9" t="s">
        <v>33</v>
      </c>
      <c r="F8662" s="9" t="s">
        <v>82</v>
      </c>
      <c r="G8662" s="9" t="s">
        <v>65</v>
      </c>
      <c r="H8662" s="11" t="s">
        <v>21</v>
      </c>
      <c r="I8662" s="12" t="n">
        <v>36</v>
      </c>
      <c r="J8662" s="13" t="n">
        <v>109</v>
      </c>
      <c r="K8662" s="14" t="n">
        <f aca="false">I8662*J8662</f>
        <v>3924</v>
      </c>
      <c r="L8662" s="14" t="n">
        <f aca="false">($L$2*M8662)/100</f>
        <v>480666.6</v>
      </c>
      <c r="M8662" s="15" t="n">
        <v>0.4</v>
      </c>
      <c r="N8662" s="9" t="s">
        <v>26</v>
      </c>
    </row>
    <row r="8663" customFormat="false" ht="14.25" hidden="false" customHeight="true" outlineLevel="0" collapsed="false">
      <c r="B8663" s="9" t="s">
        <v>32</v>
      </c>
      <c r="C8663" s="9" t="n">
        <v>1128299</v>
      </c>
      <c r="D8663" s="10" t="n">
        <v>44341</v>
      </c>
      <c r="E8663" s="9" t="s">
        <v>33</v>
      </c>
      <c r="F8663" s="9" t="s">
        <v>82</v>
      </c>
      <c r="G8663" s="9" t="s">
        <v>65</v>
      </c>
      <c r="H8663" s="11" t="s">
        <v>22</v>
      </c>
      <c r="I8663" s="12" t="n">
        <v>39</v>
      </c>
      <c r="J8663" s="13" t="n">
        <v>119</v>
      </c>
      <c r="K8663" s="14" t="n">
        <f aca="false">I8663*J8663</f>
        <v>4641</v>
      </c>
      <c r="L8663" s="14" t="n">
        <f aca="false">($L$2*M8663)/100</f>
        <v>468649.935</v>
      </c>
      <c r="M8663" s="15" t="n">
        <v>0.39</v>
      </c>
      <c r="N8663" s="9" t="s">
        <v>26</v>
      </c>
    </row>
    <row r="8664" customFormat="false" ht="14.25" hidden="false" customHeight="true" outlineLevel="0" collapsed="false">
      <c r="B8664" s="9" t="s">
        <v>32</v>
      </c>
      <c r="C8664" s="9" t="n">
        <v>1128299</v>
      </c>
      <c r="D8664" s="10" t="n">
        <v>44341</v>
      </c>
      <c r="E8664" s="9" t="s">
        <v>33</v>
      </c>
      <c r="F8664" s="9" t="s">
        <v>82</v>
      </c>
      <c r="G8664" s="9" t="s">
        <v>65</v>
      </c>
      <c r="H8664" s="11" t="s">
        <v>23</v>
      </c>
      <c r="I8664" s="12" t="n">
        <v>33</v>
      </c>
      <c r="J8664" s="13" t="n">
        <v>94</v>
      </c>
      <c r="K8664" s="14" t="n">
        <f aca="false">I8664*J8664</f>
        <v>3102</v>
      </c>
      <c r="L8664" s="14" t="n">
        <f aca="false">($L$2*M8664)/100</f>
        <v>468649.935</v>
      </c>
      <c r="M8664" s="15" t="n">
        <v>0.39</v>
      </c>
      <c r="N8664" s="9" t="s">
        <v>26</v>
      </c>
    </row>
    <row r="8665" customFormat="false" ht="14.25" hidden="false" customHeight="true" outlineLevel="0" collapsed="false">
      <c r="B8665" s="9" t="s">
        <v>32</v>
      </c>
      <c r="C8665" s="9" t="n">
        <v>1128299</v>
      </c>
      <c r="D8665" s="10" t="n">
        <v>44341</v>
      </c>
      <c r="E8665" s="9" t="s">
        <v>33</v>
      </c>
      <c r="F8665" s="9" t="s">
        <v>82</v>
      </c>
      <c r="G8665" s="9" t="s">
        <v>65</v>
      </c>
      <c r="H8665" s="11" t="s">
        <v>24</v>
      </c>
      <c r="I8665" s="12" t="n">
        <v>33</v>
      </c>
      <c r="J8665" s="13" t="n">
        <v>58</v>
      </c>
      <c r="K8665" s="14" t="n">
        <f aca="false">I8665*J8665</f>
        <v>1914</v>
      </c>
      <c r="L8665" s="14" t="n">
        <f aca="false">($L$2*M8665)/100</f>
        <v>528733.26</v>
      </c>
      <c r="M8665" s="15" t="n">
        <v>0.44</v>
      </c>
      <c r="N8665" s="9" t="s">
        <v>26</v>
      </c>
    </row>
    <row r="8666" customFormat="false" ht="14.25" hidden="false" customHeight="true" outlineLevel="0" collapsed="false">
      <c r="B8666" s="9" t="s">
        <v>32</v>
      </c>
      <c r="C8666" s="9" t="n">
        <v>1128299</v>
      </c>
      <c r="D8666" s="10" t="n">
        <v>44341</v>
      </c>
      <c r="E8666" s="9" t="s">
        <v>33</v>
      </c>
      <c r="F8666" s="9" t="s">
        <v>82</v>
      </c>
      <c r="G8666" s="9" t="s">
        <v>65</v>
      </c>
      <c r="H8666" s="11" t="s">
        <v>25</v>
      </c>
      <c r="I8666" s="12" t="n">
        <v>46</v>
      </c>
      <c r="J8666" s="13" t="n">
        <v>173</v>
      </c>
      <c r="K8666" s="14" t="n">
        <f aca="false">I8666*J8666</f>
        <v>7958</v>
      </c>
      <c r="L8666" s="14" t="n">
        <f aca="false">($L$2*M8666)/100</f>
        <v>432599.94</v>
      </c>
      <c r="M8666" s="15" t="n">
        <v>0.36</v>
      </c>
      <c r="N8666" s="9" t="s">
        <v>26</v>
      </c>
    </row>
    <row r="8667" customFormat="false" ht="14.25" hidden="false" customHeight="true" outlineLevel="0" collapsed="false">
      <c r="B8667" s="9" t="s">
        <v>32</v>
      </c>
      <c r="C8667" s="9" t="n">
        <v>1128299</v>
      </c>
      <c r="D8667" s="10" t="n">
        <v>44371</v>
      </c>
      <c r="E8667" s="9" t="s">
        <v>33</v>
      </c>
      <c r="F8667" s="9" t="s">
        <v>82</v>
      </c>
      <c r="G8667" s="9" t="s">
        <v>65</v>
      </c>
      <c r="H8667" s="11" t="s">
        <v>19</v>
      </c>
      <c r="I8667" s="12" t="n">
        <v>43</v>
      </c>
      <c r="J8667" s="13" t="n">
        <v>240</v>
      </c>
      <c r="K8667" s="14" t="n">
        <f aca="false">I8667*J8667</f>
        <v>10320</v>
      </c>
      <c r="L8667" s="14" t="n">
        <f aca="false">($L$2*M8667)/100</f>
        <v>456633.27</v>
      </c>
      <c r="M8667" s="15" t="n">
        <v>0.38</v>
      </c>
      <c r="N8667" s="9" t="s">
        <v>26</v>
      </c>
    </row>
    <row r="8668" customFormat="false" ht="14.25" hidden="false" customHeight="true" outlineLevel="0" collapsed="false">
      <c r="B8668" s="9" t="s">
        <v>32</v>
      </c>
      <c r="C8668" s="9" t="n">
        <v>1128299</v>
      </c>
      <c r="D8668" s="10" t="n">
        <v>44371</v>
      </c>
      <c r="E8668" s="9" t="s">
        <v>33</v>
      </c>
      <c r="F8668" s="9" t="s">
        <v>82</v>
      </c>
      <c r="G8668" s="9" t="s">
        <v>65</v>
      </c>
      <c r="H8668" s="11" t="s">
        <v>21</v>
      </c>
      <c r="I8668" s="12" t="n">
        <v>47</v>
      </c>
      <c r="J8668" s="13" t="n">
        <v>202</v>
      </c>
      <c r="K8668" s="14" t="n">
        <f aca="false">I8668*J8668</f>
        <v>9494</v>
      </c>
      <c r="L8668" s="14" t="n">
        <f aca="false">($L$2*M8668)/100</f>
        <v>492683.265</v>
      </c>
      <c r="M8668" s="15" t="n">
        <v>0.41</v>
      </c>
      <c r="N8668" s="9" t="s">
        <v>26</v>
      </c>
    </row>
    <row r="8669" customFormat="false" ht="14.25" hidden="false" customHeight="true" outlineLevel="0" collapsed="false">
      <c r="B8669" s="9" t="s">
        <v>32</v>
      </c>
      <c r="C8669" s="9" t="n">
        <v>1128299</v>
      </c>
      <c r="D8669" s="10" t="n">
        <v>44371</v>
      </c>
      <c r="E8669" s="9" t="s">
        <v>33</v>
      </c>
      <c r="F8669" s="9" t="s">
        <v>82</v>
      </c>
      <c r="G8669" s="9" t="s">
        <v>65</v>
      </c>
      <c r="H8669" s="11" t="s">
        <v>22</v>
      </c>
      <c r="I8669" s="12" t="n">
        <v>53</v>
      </c>
      <c r="J8669" s="13" t="n">
        <v>208</v>
      </c>
      <c r="K8669" s="14" t="n">
        <f aca="false">I8669*J8669</f>
        <v>11024</v>
      </c>
      <c r="L8669" s="14" t="n">
        <f aca="false">($L$2*M8669)/100</f>
        <v>468649.935</v>
      </c>
      <c r="M8669" s="15" t="n">
        <v>0.39</v>
      </c>
      <c r="N8669" s="9" t="s">
        <v>26</v>
      </c>
    </row>
    <row r="8670" customFormat="false" ht="14.25" hidden="false" customHeight="true" outlineLevel="0" collapsed="false">
      <c r="B8670" s="9" t="s">
        <v>32</v>
      </c>
      <c r="C8670" s="9" t="n">
        <v>1128299</v>
      </c>
      <c r="D8670" s="10" t="n">
        <v>44371</v>
      </c>
      <c r="E8670" s="9" t="s">
        <v>33</v>
      </c>
      <c r="F8670" s="9" t="s">
        <v>82</v>
      </c>
      <c r="G8670" s="9" t="s">
        <v>65</v>
      </c>
      <c r="H8670" s="11" t="s">
        <v>23</v>
      </c>
      <c r="I8670" s="12" t="n">
        <v>62</v>
      </c>
      <c r="J8670" s="13" t="n">
        <v>179</v>
      </c>
      <c r="K8670" s="14" t="n">
        <f aca="false">I8670*J8670</f>
        <v>11098</v>
      </c>
      <c r="L8670" s="14" t="n">
        <f aca="false">($L$2*M8670)/100</f>
        <v>492683.265</v>
      </c>
      <c r="M8670" s="15" t="n">
        <v>0.41</v>
      </c>
      <c r="N8670" s="9" t="s">
        <v>26</v>
      </c>
    </row>
    <row r="8671" customFormat="false" ht="14.25" hidden="false" customHeight="true" outlineLevel="0" collapsed="false">
      <c r="B8671" s="9" t="s">
        <v>32</v>
      </c>
      <c r="C8671" s="9" t="n">
        <v>1128299</v>
      </c>
      <c r="D8671" s="10" t="n">
        <v>44371</v>
      </c>
      <c r="E8671" s="9" t="s">
        <v>33</v>
      </c>
      <c r="F8671" s="9" t="s">
        <v>82</v>
      </c>
      <c r="G8671" s="9" t="s">
        <v>65</v>
      </c>
      <c r="H8671" s="11" t="s">
        <v>24</v>
      </c>
      <c r="I8671" s="12" t="n">
        <v>67</v>
      </c>
      <c r="J8671" s="13" t="n">
        <v>140</v>
      </c>
      <c r="K8671" s="14" t="n">
        <f aca="false">I8671*J8671</f>
        <v>9380</v>
      </c>
      <c r="L8671" s="14" t="n">
        <f aca="false">($L$2*M8671)/100</f>
        <v>552766.59</v>
      </c>
      <c r="M8671" s="15" t="n">
        <v>0.46</v>
      </c>
      <c r="N8671" s="9" t="s">
        <v>26</v>
      </c>
    </row>
    <row r="8672" customFormat="false" ht="14.25" hidden="false" customHeight="true" outlineLevel="0" collapsed="false">
      <c r="B8672" s="9" t="s">
        <v>32</v>
      </c>
      <c r="C8672" s="9" t="n">
        <v>1128299</v>
      </c>
      <c r="D8672" s="10" t="n">
        <v>44371</v>
      </c>
      <c r="E8672" s="9" t="s">
        <v>33</v>
      </c>
      <c r="F8672" s="9" t="s">
        <v>82</v>
      </c>
      <c r="G8672" s="9" t="s">
        <v>65</v>
      </c>
      <c r="H8672" s="11" t="s">
        <v>25</v>
      </c>
      <c r="I8672" s="12" t="n">
        <v>74</v>
      </c>
      <c r="J8672" s="13" t="n">
        <v>231</v>
      </c>
      <c r="K8672" s="14" t="n">
        <f aca="false">I8672*J8672</f>
        <v>17094</v>
      </c>
      <c r="L8672" s="14" t="n">
        <f aca="false">($L$2*M8672)/100</f>
        <v>396549.945</v>
      </c>
      <c r="M8672" s="15" t="n">
        <v>0.33</v>
      </c>
      <c r="N8672" s="9" t="s">
        <v>26</v>
      </c>
    </row>
    <row r="8673" customFormat="false" ht="14.25" hidden="false" customHeight="true" outlineLevel="0" collapsed="false">
      <c r="B8673" s="9" t="s">
        <v>32</v>
      </c>
      <c r="C8673" s="9" t="n">
        <v>1128299</v>
      </c>
      <c r="D8673" s="10" t="n">
        <v>44400</v>
      </c>
      <c r="E8673" s="9" t="s">
        <v>33</v>
      </c>
      <c r="F8673" s="9" t="s">
        <v>82</v>
      </c>
      <c r="G8673" s="9" t="s">
        <v>65</v>
      </c>
      <c r="H8673" s="11" t="s">
        <v>19</v>
      </c>
      <c r="I8673" s="12" t="n">
        <v>60</v>
      </c>
      <c r="J8673" s="13" t="n">
        <v>298</v>
      </c>
      <c r="K8673" s="14" t="n">
        <f aca="false">I8673*J8673</f>
        <v>17880</v>
      </c>
      <c r="L8673" s="14" t="n">
        <f aca="false">($L$2*M8673)/100</f>
        <v>504699.93</v>
      </c>
      <c r="M8673" s="15" t="n">
        <v>0.42</v>
      </c>
      <c r="N8673" s="9" t="s">
        <v>26</v>
      </c>
    </row>
    <row r="8674" customFormat="false" ht="14.25" hidden="false" customHeight="true" outlineLevel="0" collapsed="false">
      <c r="B8674" s="9" t="s">
        <v>32</v>
      </c>
      <c r="C8674" s="9" t="n">
        <v>1128299</v>
      </c>
      <c r="D8674" s="10" t="n">
        <v>44400</v>
      </c>
      <c r="E8674" s="9" t="s">
        <v>33</v>
      </c>
      <c r="F8674" s="9" t="s">
        <v>82</v>
      </c>
      <c r="G8674" s="9" t="s">
        <v>65</v>
      </c>
      <c r="H8674" s="11" t="s">
        <v>21</v>
      </c>
      <c r="I8674" s="12" t="n">
        <v>66</v>
      </c>
      <c r="J8674" s="13" t="n">
        <v>217</v>
      </c>
      <c r="K8674" s="14" t="n">
        <f aca="false">I8674*J8674</f>
        <v>14322</v>
      </c>
      <c r="L8674" s="14" t="n">
        <f aca="false">($L$2*M8674)/100</f>
        <v>492683.265</v>
      </c>
      <c r="M8674" s="15" t="n">
        <v>0.41</v>
      </c>
      <c r="N8674" s="9" t="s">
        <v>26</v>
      </c>
    </row>
    <row r="8675" customFormat="false" ht="14.25" hidden="false" customHeight="true" outlineLevel="0" collapsed="false">
      <c r="B8675" s="9" t="s">
        <v>32</v>
      </c>
      <c r="C8675" s="9" t="n">
        <v>1128299</v>
      </c>
      <c r="D8675" s="10" t="n">
        <v>44400</v>
      </c>
      <c r="E8675" s="9" t="s">
        <v>33</v>
      </c>
      <c r="F8675" s="9" t="s">
        <v>82</v>
      </c>
      <c r="G8675" s="9" t="s">
        <v>65</v>
      </c>
      <c r="H8675" s="11" t="s">
        <v>22</v>
      </c>
      <c r="I8675" s="12" t="n">
        <v>66</v>
      </c>
      <c r="J8675" s="13" t="n">
        <v>221</v>
      </c>
      <c r="K8675" s="14" t="n">
        <f aca="false">I8675*J8675</f>
        <v>14586</v>
      </c>
      <c r="L8675" s="14" t="n">
        <f aca="false">($L$2*M8675)/100</f>
        <v>504699.93</v>
      </c>
      <c r="M8675" s="15" t="n">
        <v>0.42</v>
      </c>
      <c r="N8675" s="9" t="s">
        <v>26</v>
      </c>
    </row>
    <row r="8676" customFormat="false" ht="14.25" hidden="false" customHeight="true" outlineLevel="0" collapsed="false">
      <c r="B8676" s="9" t="s">
        <v>32</v>
      </c>
      <c r="C8676" s="9" t="n">
        <v>1128299</v>
      </c>
      <c r="D8676" s="10" t="n">
        <v>44400</v>
      </c>
      <c r="E8676" s="9" t="s">
        <v>33</v>
      </c>
      <c r="F8676" s="9" t="s">
        <v>82</v>
      </c>
      <c r="G8676" s="9" t="s">
        <v>65</v>
      </c>
      <c r="H8676" s="11" t="s">
        <v>23</v>
      </c>
      <c r="I8676" s="12" t="n">
        <v>61</v>
      </c>
      <c r="J8676" s="13" t="n">
        <v>171</v>
      </c>
      <c r="K8676" s="14" t="n">
        <f aca="false">I8676*J8676</f>
        <v>10431</v>
      </c>
      <c r="L8676" s="14" t="n">
        <f aca="false">($L$2*M8676)/100</f>
        <v>492683.265</v>
      </c>
      <c r="M8676" s="15" t="n">
        <v>0.41</v>
      </c>
      <c r="N8676" s="9" t="s">
        <v>26</v>
      </c>
    </row>
    <row r="8677" customFormat="false" ht="14.25" hidden="false" customHeight="true" outlineLevel="0" collapsed="false">
      <c r="B8677" s="9" t="s">
        <v>32</v>
      </c>
      <c r="C8677" s="9" t="n">
        <v>1128299</v>
      </c>
      <c r="D8677" s="10" t="n">
        <v>44400</v>
      </c>
      <c r="E8677" s="9" t="s">
        <v>33</v>
      </c>
      <c r="F8677" s="9" t="s">
        <v>82</v>
      </c>
      <c r="G8677" s="9" t="s">
        <v>65</v>
      </c>
      <c r="H8677" s="11" t="s">
        <v>24</v>
      </c>
      <c r="I8677" s="12" t="n">
        <v>68</v>
      </c>
      <c r="J8677" s="13" t="n">
        <v>198</v>
      </c>
      <c r="K8677" s="14" t="n">
        <f aca="false">I8677*J8677</f>
        <v>13464</v>
      </c>
      <c r="L8677" s="14" t="n">
        <f aca="false">($L$2*M8677)/100</f>
        <v>552766.59</v>
      </c>
      <c r="M8677" s="15" t="n">
        <v>0.46</v>
      </c>
      <c r="N8677" s="9" t="s">
        <v>26</v>
      </c>
    </row>
    <row r="8678" customFormat="false" ht="14.25" hidden="false" customHeight="true" outlineLevel="0" collapsed="false">
      <c r="B8678" s="9" t="s">
        <v>32</v>
      </c>
      <c r="C8678" s="9" t="n">
        <v>1128299</v>
      </c>
      <c r="D8678" s="10" t="n">
        <v>44400</v>
      </c>
      <c r="E8678" s="9" t="s">
        <v>33</v>
      </c>
      <c r="F8678" s="9" t="s">
        <v>82</v>
      </c>
      <c r="G8678" s="9" t="s">
        <v>65</v>
      </c>
      <c r="H8678" s="11" t="s">
        <v>25</v>
      </c>
      <c r="I8678" s="12" t="n">
        <v>78</v>
      </c>
      <c r="J8678" s="13" t="n">
        <v>204</v>
      </c>
      <c r="K8678" s="14" t="n">
        <f aca="false">I8678*J8678</f>
        <v>15912</v>
      </c>
      <c r="L8678" s="14" t="n">
        <f aca="false">($L$2*M8678)/100</f>
        <v>420583.275</v>
      </c>
      <c r="M8678" s="15" t="n">
        <v>0.35</v>
      </c>
      <c r="N8678" s="9" t="s">
        <v>26</v>
      </c>
    </row>
    <row r="8679" customFormat="false" ht="14.25" hidden="false" customHeight="true" outlineLevel="0" collapsed="false">
      <c r="B8679" s="9" t="s">
        <v>32</v>
      </c>
      <c r="C8679" s="9" t="n">
        <v>1128299</v>
      </c>
      <c r="D8679" s="10" t="n">
        <v>44432</v>
      </c>
      <c r="E8679" s="9" t="s">
        <v>33</v>
      </c>
      <c r="F8679" s="9" t="s">
        <v>82</v>
      </c>
      <c r="G8679" s="9" t="s">
        <v>65</v>
      </c>
      <c r="H8679" s="11" t="s">
        <v>19</v>
      </c>
      <c r="I8679" s="12" t="n">
        <v>69</v>
      </c>
      <c r="J8679" s="13" t="n">
        <v>256</v>
      </c>
      <c r="K8679" s="14" t="n">
        <f aca="false">I8679*J8679</f>
        <v>17664</v>
      </c>
      <c r="L8679" s="14" t="n">
        <f aca="false">($L$2*M8679)/100</f>
        <v>444616.605</v>
      </c>
      <c r="M8679" s="15" t="n">
        <v>0.37</v>
      </c>
      <c r="N8679" s="9" t="s">
        <v>26</v>
      </c>
    </row>
    <row r="8680" customFormat="false" ht="14.25" hidden="false" customHeight="true" outlineLevel="0" collapsed="false">
      <c r="B8680" s="9" t="s">
        <v>32</v>
      </c>
      <c r="C8680" s="9" t="n">
        <v>1128299</v>
      </c>
      <c r="D8680" s="10" t="n">
        <v>44432</v>
      </c>
      <c r="E8680" s="9" t="s">
        <v>33</v>
      </c>
      <c r="F8680" s="9" t="s">
        <v>82</v>
      </c>
      <c r="G8680" s="9" t="s">
        <v>65</v>
      </c>
      <c r="H8680" s="11" t="s">
        <v>21</v>
      </c>
      <c r="I8680" s="12" t="n">
        <v>62</v>
      </c>
      <c r="J8680" s="13" t="n">
        <v>256</v>
      </c>
      <c r="K8680" s="14" t="n">
        <f aca="false">I8680*J8680</f>
        <v>15872</v>
      </c>
      <c r="L8680" s="14" t="n">
        <f aca="false">($L$2*M8680)/100</f>
        <v>504699.93</v>
      </c>
      <c r="M8680" s="15" t="n">
        <v>0.42</v>
      </c>
      <c r="N8680" s="9" t="s">
        <v>26</v>
      </c>
    </row>
    <row r="8681" customFormat="false" ht="14.25" hidden="false" customHeight="true" outlineLevel="0" collapsed="false">
      <c r="B8681" s="9" t="s">
        <v>32</v>
      </c>
      <c r="C8681" s="9" t="n">
        <v>1128299</v>
      </c>
      <c r="D8681" s="10" t="n">
        <v>44432</v>
      </c>
      <c r="E8681" s="9" t="s">
        <v>33</v>
      </c>
      <c r="F8681" s="9" t="s">
        <v>82</v>
      </c>
      <c r="G8681" s="9" t="s">
        <v>65</v>
      </c>
      <c r="H8681" s="11" t="s">
        <v>22</v>
      </c>
      <c r="I8681" s="12" t="n">
        <v>50</v>
      </c>
      <c r="J8681" s="13" t="n">
        <v>215</v>
      </c>
      <c r="K8681" s="14" t="n">
        <f aca="false">I8681*J8681</f>
        <v>10750</v>
      </c>
      <c r="L8681" s="14" t="n">
        <f aca="false">($L$2*M8681)/100</f>
        <v>480666.6</v>
      </c>
      <c r="M8681" s="15" t="n">
        <v>0.4</v>
      </c>
      <c r="N8681" s="9" t="s">
        <v>26</v>
      </c>
    </row>
    <row r="8682" customFormat="false" ht="14.25" hidden="false" customHeight="true" outlineLevel="0" collapsed="false">
      <c r="B8682" s="9" t="s">
        <v>32</v>
      </c>
      <c r="C8682" s="9" t="n">
        <v>1128299</v>
      </c>
      <c r="D8682" s="10" t="n">
        <v>44432</v>
      </c>
      <c r="E8682" s="9" t="s">
        <v>33</v>
      </c>
      <c r="F8682" s="9" t="s">
        <v>82</v>
      </c>
      <c r="G8682" s="9" t="s">
        <v>65</v>
      </c>
      <c r="H8682" s="11" t="s">
        <v>23</v>
      </c>
      <c r="I8682" s="12" t="n">
        <v>50</v>
      </c>
      <c r="J8682" s="13" t="n">
        <v>128</v>
      </c>
      <c r="K8682" s="14" t="n">
        <f aca="false">I8682*J8682</f>
        <v>6400</v>
      </c>
      <c r="L8682" s="14" t="n">
        <f aca="false">($L$2*M8682)/100</f>
        <v>456633.27</v>
      </c>
      <c r="M8682" s="15" t="n">
        <v>0.38</v>
      </c>
      <c r="N8682" s="9" t="s">
        <v>26</v>
      </c>
    </row>
    <row r="8683" customFormat="false" ht="14.25" hidden="false" customHeight="true" outlineLevel="0" collapsed="false">
      <c r="B8683" s="9" t="s">
        <v>32</v>
      </c>
      <c r="C8683" s="9" t="n">
        <v>1128299</v>
      </c>
      <c r="D8683" s="10" t="n">
        <v>44432</v>
      </c>
      <c r="E8683" s="9" t="s">
        <v>33</v>
      </c>
      <c r="F8683" s="9" t="s">
        <v>82</v>
      </c>
      <c r="G8683" s="9" t="s">
        <v>65</v>
      </c>
      <c r="H8683" s="11" t="s">
        <v>24</v>
      </c>
      <c r="I8683" s="12" t="n">
        <v>53</v>
      </c>
      <c r="J8683" s="13" t="n">
        <v>136</v>
      </c>
      <c r="K8683" s="14" t="n">
        <f aca="false">I8683*J8683</f>
        <v>7208</v>
      </c>
      <c r="L8683" s="14" t="n">
        <f aca="false">($L$2*M8683)/100</f>
        <v>504699.93</v>
      </c>
      <c r="M8683" s="15" t="n">
        <v>0.42</v>
      </c>
      <c r="N8683" s="9" t="s">
        <v>26</v>
      </c>
    </row>
    <row r="8684" customFormat="false" ht="14.25" hidden="false" customHeight="true" outlineLevel="0" collapsed="false">
      <c r="B8684" s="9" t="s">
        <v>32</v>
      </c>
      <c r="C8684" s="9" t="n">
        <v>1128299</v>
      </c>
      <c r="D8684" s="10" t="n">
        <v>44432</v>
      </c>
      <c r="E8684" s="9" t="s">
        <v>33</v>
      </c>
      <c r="F8684" s="9" t="s">
        <v>82</v>
      </c>
      <c r="G8684" s="9" t="s">
        <v>65</v>
      </c>
      <c r="H8684" s="11" t="s">
        <v>25</v>
      </c>
      <c r="I8684" s="12" t="n">
        <v>53</v>
      </c>
      <c r="J8684" s="13" t="n">
        <v>88</v>
      </c>
      <c r="K8684" s="14" t="n">
        <f aca="false">I8684*J8684</f>
        <v>4664</v>
      </c>
      <c r="L8684" s="14" t="n">
        <f aca="false">($L$2*M8684)/100</f>
        <v>444616.605</v>
      </c>
      <c r="M8684" s="15" t="n">
        <v>0.37</v>
      </c>
      <c r="N8684" s="9" t="s">
        <v>26</v>
      </c>
    </row>
    <row r="8685" customFormat="false" ht="14.25" hidden="false" customHeight="true" outlineLevel="0" collapsed="false">
      <c r="B8685" s="9" t="s">
        <v>32</v>
      </c>
      <c r="C8685" s="9" t="n">
        <v>1128299</v>
      </c>
      <c r="D8685" s="10" t="n">
        <v>44464</v>
      </c>
      <c r="E8685" s="9" t="s">
        <v>33</v>
      </c>
      <c r="F8685" s="9" t="s">
        <v>82</v>
      </c>
      <c r="G8685" s="9" t="s">
        <v>65</v>
      </c>
      <c r="H8685" s="11" t="s">
        <v>19</v>
      </c>
      <c r="I8685" s="12" t="n">
        <v>34</v>
      </c>
      <c r="J8685" s="13" t="n">
        <v>149</v>
      </c>
      <c r="K8685" s="14" t="n">
        <f aca="false">I8685*J8685</f>
        <v>5066</v>
      </c>
      <c r="L8685" s="14" t="n">
        <f aca="false">($L$2*M8685)/100</f>
        <v>444616.605</v>
      </c>
      <c r="M8685" s="15" t="n">
        <v>0.37</v>
      </c>
      <c r="N8685" s="9" t="s">
        <v>26</v>
      </c>
    </row>
    <row r="8686" customFormat="false" ht="14.25" hidden="false" customHeight="true" outlineLevel="0" collapsed="false">
      <c r="B8686" s="9" t="s">
        <v>32</v>
      </c>
      <c r="C8686" s="9" t="n">
        <v>1128299</v>
      </c>
      <c r="D8686" s="10" t="n">
        <v>44464</v>
      </c>
      <c r="E8686" s="9" t="s">
        <v>33</v>
      </c>
      <c r="F8686" s="9" t="s">
        <v>82</v>
      </c>
      <c r="G8686" s="9" t="s">
        <v>65</v>
      </c>
      <c r="H8686" s="11" t="s">
        <v>21</v>
      </c>
      <c r="I8686" s="12" t="n">
        <v>43</v>
      </c>
      <c r="J8686" s="13" t="n">
        <v>158</v>
      </c>
      <c r="K8686" s="14" t="n">
        <f aca="false">I8686*J8686</f>
        <v>6794</v>
      </c>
      <c r="L8686" s="14" t="n">
        <f aca="false">($L$2*M8686)/100</f>
        <v>456633.27</v>
      </c>
      <c r="M8686" s="15" t="n">
        <v>0.38</v>
      </c>
      <c r="N8686" s="9" t="s">
        <v>26</v>
      </c>
    </row>
    <row r="8687" customFormat="false" ht="14.25" hidden="false" customHeight="true" outlineLevel="0" collapsed="false">
      <c r="B8687" s="9" t="s">
        <v>32</v>
      </c>
      <c r="C8687" s="9" t="n">
        <v>1128299</v>
      </c>
      <c r="D8687" s="10" t="n">
        <v>44464</v>
      </c>
      <c r="E8687" s="9" t="s">
        <v>33</v>
      </c>
      <c r="F8687" s="9" t="s">
        <v>82</v>
      </c>
      <c r="G8687" s="9" t="s">
        <v>65</v>
      </c>
      <c r="H8687" s="11" t="s">
        <v>22</v>
      </c>
      <c r="I8687" s="12" t="n">
        <v>39</v>
      </c>
      <c r="J8687" s="13" t="n">
        <v>83</v>
      </c>
      <c r="K8687" s="14" t="n">
        <f aca="false">I8687*J8687</f>
        <v>3237</v>
      </c>
      <c r="L8687" s="14" t="n">
        <f aca="false">($L$2*M8687)/100</f>
        <v>504699.93</v>
      </c>
      <c r="M8687" s="15" t="n">
        <v>0.42</v>
      </c>
      <c r="N8687" s="9" t="s">
        <v>26</v>
      </c>
    </row>
    <row r="8688" customFormat="false" ht="14.25" hidden="false" customHeight="true" outlineLevel="0" collapsed="false">
      <c r="B8688" s="9" t="s">
        <v>32</v>
      </c>
      <c r="C8688" s="9" t="n">
        <v>1128299</v>
      </c>
      <c r="D8688" s="10" t="n">
        <v>44464</v>
      </c>
      <c r="E8688" s="9" t="s">
        <v>33</v>
      </c>
      <c r="F8688" s="9" t="s">
        <v>82</v>
      </c>
      <c r="G8688" s="9" t="s">
        <v>65</v>
      </c>
      <c r="H8688" s="11" t="s">
        <v>23</v>
      </c>
      <c r="I8688" s="12" t="n">
        <v>38</v>
      </c>
      <c r="J8688" s="13" t="n">
        <v>62</v>
      </c>
      <c r="K8688" s="14" t="n">
        <f aca="false">I8688*J8688</f>
        <v>2356</v>
      </c>
      <c r="L8688" s="14" t="n">
        <f aca="false">($L$2*M8688)/100</f>
        <v>504699.93</v>
      </c>
      <c r="M8688" s="15" t="n">
        <v>0.42</v>
      </c>
      <c r="N8688" s="9" t="s">
        <v>26</v>
      </c>
    </row>
    <row r="8689" customFormat="false" ht="14.25" hidden="false" customHeight="true" outlineLevel="0" collapsed="false">
      <c r="B8689" s="9" t="s">
        <v>32</v>
      </c>
      <c r="C8689" s="9" t="n">
        <v>1128299</v>
      </c>
      <c r="D8689" s="10" t="n">
        <v>44464</v>
      </c>
      <c r="E8689" s="9" t="s">
        <v>33</v>
      </c>
      <c r="F8689" s="9" t="s">
        <v>82</v>
      </c>
      <c r="G8689" s="9" t="s">
        <v>65</v>
      </c>
      <c r="H8689" s="11" t="s">
        <v>24</v>
      </c>
      <c r="I8689" s="12" t="n">
        <v>48</v>
      </c>
      <c r="J8689" s="13" t="n">
        <v>77</v>
      </c>
      <c r="K8689" s="14" t="n">
        <f aca="false">I8689*J8689</f>
        <v>3696</v>
      </c>
      <c r="L8689" s="14" t="n">
        <f aca="false">($L$2*M8689)/100</f>
        <v>504699.93</v>
      </c>
      <c r="M8689" s="15" t="n">
        <v>0.42</v>
      </c>
      <c r="N8689" s="9" t="s">
        <v>26</v>
      </c>
    </row>
    <row r="8690" customFormat="false" ht="14.25" hidden="false" customHeight="true" outlineLevel="0" collapsed="false">
      <c r="B8690" s="9" t="s">
        <v>32</v>
      </c>
      <c r="C8690" s="9" t="n">
        <v>1128299</v>
      </c>
      <c r="D8690" s="10" t="n">
        <v>44464</v>
      </c>
      <c r="E8690" s="9" t="s">
        <v>33</v>
      </c>
      <c r="F8690" s="9" t="s">
        <v>82</v>
      </c>
      <c r="G8690" s="9" t="s">
        <v>65</v>
      </c>
      <c r="H8690" s="11" t="s">
        <v>25</v>
      </c>
      <c r="I8690" s="12" t="n">
        <v>36</v>
      </c>
      <c r="J8690" s="13" t="n">
        <v>85</v>
      </c>
      <c r="K8690" s="14" t="n">
        <f aca="false">I8690*J8690</f>
        <v>3060</v>
      </c>
      <c r="L8690" s="14" t="n">
        <f aca="false">($L$2*M8690)/100</f>
        <v>384533.28</v>
      </c>
      <c r="M8690" s="15" t="n">
        <v>0.32</v>
      </c>
      <c r="N8690" s="9" t="s">
        <v>26</v>
      </c>
    </row>
    <row r="8691" customFormat="false" ht="14.25" hidden="false" customHeight="true" outlineLevel="0" collapsed="false">
      <c r="B8691" s="9" t="s">
        <v>32</v>
      </c>
      <c r="C8691" s="9" t="n">
        <v>1128299</v>
      </c>
      <c r="D8691" s="10" t="n">
        <v>44493</v>
      </c>
      <c r="E8691" s="9" t="s">
        <v>33</v>
      </c>
      <c r="F8691" s="9" t="s">
        <v>82</v>
      </c>
      <c r="G8691" s="9" t="s">
        <v>65</v>
      </c>
      <c r="H8691" s="11" t="s">
        <v>19</v>
      </c>
      <c r="I8691" s="12" t="n">
        <v>29</v>
      </c>
      <c r="J8691" s="13" t="n">
        <v>119</v>
      </c>
      <c r="K8691" s="14" t="n">
        <f aca="false">I8691*J8691</f>
        <v>3451</v>
      </c>
      <c r="L8691" s="14" t="n">
        <f aca="false">($L$2*M8691)/100</f>
        <v>468649.935</v>
      </c>
      <c r="M8691" s="15" t="n">
        <v>0.39</v>
      </c>
      <c r="N8691" s="9" t="s">
        <v>26</v>
      </c>
    </row>
    <row r="8692" customFormat="false" ht="14.25" hidden="false" customHeight="true" outlineLevel="0" collapsed="false">
      <c r="B8692" s="9" t="s">
        <v>32</v>
      </c>
      <c r="C8692" s="9" t="n">
        <v>1128299</v>
      </c>
      <c r="D8692" s="10" t="n">
        <v>44493</v>
      </c>
      <c r="E8692" s="9" t="s">
        <v>33</v>
      </c>
      <c r="F8692" s="9" t="s">
        <v>82</v>
      </c>
      <c r="G8692" s="9" t="s">
        <v>65</v>
      </c>
      <c r="H8692" s="11" t="s">
        <v>21</v>
      </c>
      <c r="I8692" s="12" t="n">
        <v>37</v>
      </c>
      <c r="J8692" s="13" t="n">
        <v>179</v>
      </c>
      <c r="K8692" s="14" t="n">
        <f aca="false">I8692*J8692</f>
        <v>6623</v>
      </c>
      <c r="L8692" s="14" t="n">
        <f aca="false">($L$2*M8692)/100</f>
        <v>456633.27</v>
      </c>
      <c r="M8692" s="15" t="n">
        <v>0.38</v>
      </c>
      <c r="N8692" s="9" t="s">
        <v>26</v>
      </c>
    </row>
    <row r="8693" customFormat="false" ht="14.25" hidden="false" customHeight="true" outlineLevel="0" collapsed="false">
      <c r="B8693" s="9" t="s">
        <v>32</v>
      </c>
      <c r="C8693" s="9" t="n">
        <v>1128299</v>
      </c>
      <c r="D8693" s="10" t="n">
        <v>44493</v>
      </c>
      <c r="E8693" s="9" t="s">
        <v>33</v>
      </c>
      <c r="F8693" s="9" t="s">
        <v>82</v>
      </c>
      <c r="G8693" s="9" t="s">
        <v>65</v>
      </c>
      <c r="H8693" s="11" t="s">
        <v>22</v>
      </c>
      <c r="I8693" s="12" t="n">
        <v>37</v>
      </c>
      <c r="J8693" s="13" t="n">
        <v>109</v>
      </c>
      <c r="K8693" s="14" t="n">
        <f aca="false">I8693*J8693</f>
        <v>4033</v>
      </c>
      <c r="L8693" s="14" t="n">
        <f aca="false">($L$2*M8693)/100</f>
        <v>444616.605</v>
      </c>
      <c r="M8693" s="15" t="n">
        <v>0.37</v>
      </c>
      <c r="N8693" s="9" t="s">
        <v>26</v>
      </c>
    </row>
    <row r="8694" customFormat="false" ht="14.25" hidden="false" customHeight="true" outlineLevel="0" collapsed="false">
      <c r="B8694" s="9" t="s">
        <v>32</v>
      </c>
      <c r="C8694" s="9" t="n">
        <v>1128299</v>
      </c>
      <c r="D8694" s="10" t="n">
        <v>44493</v>
      </c>
      <c r="E8694" s="9" t="s">
        <v>33</v>
      </c>
      <c r="F8694" s="9" t="s">
        <v>82</v>
      </c>
      <c r="G8694" s="9" t="s">
        <v>65</v>
      </c>
      <c r="H8694" s="11" t="s">
        <v>23</v>
      </c>
      <c r="I8694" s="12" t="n">
        <v>34</v>
      </c>
      <c r="J8694" s="13" t="n">
        <v>114</v>
      </c>
      <c r="K8694" s="14" t="n">
        <f aca="false">I8694*J8694</f>
        <v>3876</v>
      </c>
      <c r="L8694" s="14" t="n">
        <f aca="false">($L$2*M8694)/100</f>
        <v>468649.935</v>
      </c>
      <c r="M8694" s="15" t="n">
        <v>0.39</v>
      </c>
      <c r="N8694" s="9" t="s">
        <v>26</v>
      </c>
    </row>
    <row r="8695" customFormat="false" ht="14.25" hidden="false" customHeight="true" outlineLevel="0" collapsed="false">
      <c r="B8695" s="9" t="s">
        <v>32</v>
      </c>
      <c r="C8695" s="9" t="n">
        <v>1128299</v>
      </c>
      <c r="D8695" s="10" t="n">
        <v>44493</v>
      </c>
      <c r="E8695" s="9" t="s">
        <v>33</v>
      </c>
      <c r="F8695" s="9" t="s">
        <v>82</v>
      </c>
      <c r="G8695" s="9" t="s">
        <v>65</v>
      </c>
      <c r="H8695" s="11" t="s">
        <v>24</v>
      </c>
      <c r="I8695" s="12" t="n">
        <v>40</v>
      </c>
      <c r="J8695" s="13" t="n">
        <v>93</v>
      </c>
      <c r="K8695" s="14" t="n">
        <f aca="false">I8695*J8695</f>
        <v>3720</v>
      </c>
      <c r="L8695" s="14" t="n">
        <f aca="false">($L$2*M8695)/100</f>
        <v>540749.925</v>
      </c>
      <c r="M8695" s="15" t="n">
        <v>0.45</v>
      </c>
      <c r="N8695" s="9" t="s">
        <v>26</v>
      </c>
    </row>
    <row r="8696" customFormat="false" ht="14.25" hidden="false" customHeight="true" outlineLevel="0" collapsed="false">
      <c r="B8696" s="9" t="s">
        <v>32</v>
      </c>
      <c r="C8696" s="9" t="n">
        <v>1128299</v>
      </c>
      <c r="D8696" s="10" t="n">
        <v>44493</v>
      </c>
      <c r="E8696" s="9" t="s">
        <v>33</v>
      </c>
      <c r="F8696" s="9" t="s">
        <v>82</v>
      </c>
      <c r="G8696" s="9" t="s">
        <v>65</v>
      </c>
      <c r="H8696" s="11" t="s">
        <v>25</v>
      </c>
      <c r="I8696" s="12" t="n">
        <v>41</v>
      </c>
      <c r="J8696" s="13" t="n">
        <v>123</v>
      </c>
      <c r="K8696" s="14" t="n">
        <f aca="false">I8696*J8696</f>
        <v>5043</v>
      </c>
      <c r="L8696" s="14" t="n">
        <f aca="false">($L$2*M8696)/100</f>
        <v>444616.605</v>
      </c>
      <c r="M8696" s="15" t="n">
        <v>0.37</v>
      </c>
      <c r="N8696" s="9" t="s">
        <v>26</v>
      </c>
    </row>
    <row r="8697" customFormat="false" ht="14.25" hidden="false" customHeight="true" outlineLevel="0" collapsed="false">
      <c r="B8697" s="9" t="s">
        <v>32</v>
      </c>
      <c r="C8697" s="9" t="n">
        <v>1128299</v>
      </c>
      <c r="D8697" s="10" t="n">
        <v>44524</v>
      </c>
      <c r="E8697" s="9" t="s">
        <v>33</v>
      </c>
      <c r="F8697" s="9" t="s">
        <v>82</v>
      </c>
      <c r="G8697" s="9" t="s">
        <v>65</v>
      </c>
      <c r="H8697" s="11" t="s">
        <v>19</v>
      </c>
      <c r="I8697" s="12" t="n">
        <v>34</v>
      </c>
      <c r="J8697" s="13" t="n">
        <v>190</v>
      </c>
      <c r="K8697" s="14" t="n">
        <f aca="false">I8697*J8697</f>
        <v>6460</v>
      </c>
      <c r="L8697" s="14" t="n">
        <f aca="false">($L$2*M8697)/100</f>
        <v>444616.605</v>
      </c>
      <c r="M8697" s="15" t="n">
        <v>0.37</v>
      </c>
      <c r="N8697" s="9" t="s">
        <v>26</v>
      </c>
    </row>
    <row r="8698" customFormat="false" ht="14.25" hidden="false" customHeight="true" outlineLevel="0" collapsed="false">
      <c r="B8698" s="9" t="s">
        <v>32</v>
      </c>
      <c r="C8698" s="9" t="n">
        <v>1128299</v>
      </c>
      <c r="D8698" s="10" t="n">
        <v>44524</v>
      </c>
      <c r="E8698" s="9" t="s">
        <v>33</v>
      </c>
      <c r="F8698" s="9" t="s">
        <v>82</v>
      </c>
      <c r="G8698" s="9" t="s">
        <v>65</v>
      </c>
      <c r="H8698" s="11" t="s">
        <v>21</v>
      </c>
      <c r="I8698" s="12" t="n">
        <v>37</v>
      </c>
      <c r="J8698" s="13" t="n">
        <v>202</v>
      </c>
      <c r="K8698" s="14" t="n">
        <f aca="false">I8698*J8698</f>
        <v>7474</v>
      </c>
      <c r="L8698" s="14" t="n">
        <f aca="false">($L$2*M8698)/100</f>
        <v>468649.935</v>
      </c>
      <c r="M8698" s="15" t="n">
        <v>0.39</v>
      </c>
      <c r="N8698" s="9" t="s">
        <v>26</v>
      </c>
    </row>
    <row r="8699" customFormat="false" ht="14.25" hidden="false" customHeight="true" outlineLevel="0" collapsed="false">
      <c r="B8699" s="9" t="s">
        <v>32</v>
      </c>
      <c r="C8699" s="9" t="n">
        <v>1128299</v>
      </c>
      <c r="D8699" s="10" t="n">
        <v>44524</v>
      </c>
      <c r="E8699" s="9" t="s">
        <v>33</v>
      </c>
      <c r="F8699" s="9" t="s">
        <v>82</v>
      </c>
      <c r="G8699" s="9" t="s">
        <v>65</v>
      </c>
      <c r="H8699" s="11" t="s">
        <v>22</v>
      </c>
      <c r="I8699" s="12" t="n">
        <v>32</v>
      </c>
      <c r="J8699" s="13" t="n">
        <v>152</v>
      </c>
      <c r="K8699" s="14" t="n">
        <f aca="false">I8699*J8699</f>
        <v>4864</v>
      </c>
      <c r="L8699" s="14" t="n">
        <f aca="false">($L$2*M8699)/100</f>
        <v>504699.93</v>
      </c>
      <c r="M8699" s="15" t="n">
        <v>0.42</v>
      </c>
      <c r="N8699" s="9" t="s">
        <v>26</v>
      </c>
    </row>
    <row r="8700" customFormat="false" ht="14.25" hidden="false" customHeight="true" outlineLevel="0" collapsed="false">
      <c r="B8700" s="9" t="s">
        <v>32</v>
      </c>
      <c r="C8700" s="9" t="n">
        <v>1128299</v>
      </c>
      <c r="D8700" s="10" t="n">
        <v>44524</v>
      </c>
      <c r="E8700" s="9" t="s">
        <v>33</v>
      </c>
      <c r="F8700" s="9" t="s">
        <v>82</v>
      </c>
      <c r="G8700" s="9" t="s">
        <v>65</v>
      </c>
      <c r="H8700" s="11" t="s">
        <v>23</v>
      </c>
      <c r="I8700" s="12" t="n">
        <v>39</v>
      </c>
      <c r="J8700" s="13" t="n">
        <v>149</v>
      </c>
      <c r="K8700" s="14" t="n">
        <f aca="false">I8700*J8700</f>
        <v>5811</v>
      </c>
      <c r="L8700" s="14" t="n">
        <f aca="false">($L$2*M8700)/100</f>
        <v>492683.265</v>
      </c>
      <c r="M8700" s="15" t="n">
        <v>0.41</v>
      </c>
      <c r="N8700" s="9" t="s">
        <v>26</v>
      </c>
    </row>
    <row r="8701" customFormat="false" ht="14.25" hidden="false" customHeight="true" outlineLevel="0" collapsed="false">
      <c r="B8701" s="9" t="s">
        <v>32</v>
      </c>
      <c r="C8701" s="9" t="n">
        <v>1128299</v>
      </c>
      <c r="D8701" s="10" t="n">
        <v>44524</v>
      </c>
      <c r="E8701" s="9" t="s">
        <v>33</v>
      </c>
      <c r="F8701" s="9" t="s">
        <v>82</v>
      </c>
      <c r="G8701" s="9" t="s">
        <v>65</v>
      </c>
      <c r="H8701" s="11" t="s">
        <v>24</v>
      </c>
      <c r="I8701" s="12" t="n">
        <v>50</v>
      </c>
      <c r="J8701" s="13" t="n">
        <v>145</v>
      </c>
      <c r="K8701" s="14" t="n">
        <f aca="false">I8701*J8701</f>
        <v>7250</v>
      </c>
      <c r="L8701" s="14" t="n">
        <f aca="false">($L$2*M8701)/100</f>
        <v>552766.59</v>
      </c>
      <c r="M8701" s="15" t="n">
        <v>0.46</v>
      </c>
      <c r="N8701" s="9" t="s">
        <v>26</v>
      </c>
    </row>
    <row r="8702" customFormat="false" ht="14.25" hidden="false" customHeight="true" outlineLevel="0" collapsed="false">
      <c r="B8702" s="9" t="s">
        <v>32</v>
      </c>
      <c r="C8702" s="9" t="n">
        <v>1128299</v>
      </c>
      <c r="D8702" s="10" t="n">
        <v>44524</v>
      </c>
      <c r="E8702" s="9" t="s">
        <v>33</v>
      </c>
      <c r="F8702" s="9" t="s">
        <v>82</v>
      </c>
      <c r="G8702" s="9" t="s">
        <v>65</v>
      </c>
      <c r="H8702" s="11" t="s">
        <v>25</v>
      </c>
      <c r="I8702" s="12" t="n">
        <v>53</v>
      </c>
      <c r="J8702" s="13" t="n">
        <v>165</v>
      </c>
      <c r="K8702" s="14" t="n">
        <f aca="false">I8702*J8702</f>
        <v>8745</v>
      </c>
      <c r="L8702" s="14" t="n">
        <f aca="false">($L$2*M8702)/100</f>
        <v>444616.605</v>
      </c>
      <c r="M8702" s="15" t="n">
        <v>0.37</v>
      </c>
      <c r="N8702" s="9" t="s">
        <v>26</v>
      </c>
    </row>
    <row r="8703" customFormat="false" ht="14.25" hidden="false" customHeight="true" outlineLevel="0" collapsed="false">
      <c r="B8703" s="9" t="s">
        <v>32</v>
      </c>
      <c r="C8703" s="9" t="n">
        <v>1128299</v>
      </c>
      <c r="D8703" s="10" t="n">
        <v>44553</v>
      </c>
      <c r="E8703" s="9" t="s">
        <v>33</v>
      </c>
      <c r="F8703" s="9" t="s">
        <v>82</v>
      </c>
      <c r="G8703" s="9" t="s">
        <v>65</v>
      </c>
      <c r="H8703" s="11" t="s">
        <v>19</v>
      </c>
      <c r="I8703" s="12" t="n">
        <v>51</v>
      </c>
      <c r="J8703" s="13" t="n">
        <v>225</v>
      </c>
      <c r="K8703" s="14" t="n">
        <f aca="false">I8703*J8703</f>
        <v>11475</v>
      </c>
      <c r="L8703" s="14" t="n">
        <f aca="false">($L$2*M8703)/100</f>
        <v>504699.93</v>
      </c>
      <c r="M8703" s="15" t="n">
        <v>0.42</v>
      </c>
      <c r="N8703" s="9" t="s">
        <v>26</v>
      </c>
    </row>
    <row r="8704" customFormat="false" ht="14.25" hidden="false" customHeight="true" outlineLevel="0" collapsed="false">
      <c r="B8704" s="9" t="s">
        <v>32</v>
      </c>
      <c r="C8704" s="9" t="n">
        <v>1128299</v>
      </c>
      <c r="D8704" s="10" t="n">
        <v>44553</v>
      </c>
      <c r="E8704" s="9" t="s">
        <v>33</v>
      </c>
      <c r="F8704" s="9" t="s">
        <v>82</v>
      </c>
      <c r="G8704" s="9" t="s">
        <v>65</v>
      </c>
      <c r="H8704" s="11" t="s">
        <v>21</v>
      </c>
      <c r="I8704" s="12" t="n">
        <v>56</v>
      </c>
      <c r="J8704" s="13" t="n">
        <v>233</v>
      </c>
      <c r="K8704" s="14" t="n">
        <f aca="false">I8704*J8704</f>
        <v>13048</v>
      </c>
      <c r="L8704" s="14" t="n">
        <f aca="false">($L$2*M8704)/100</f>
        <v>480666.6</v>
      </c>
      <c r="M8704" s="15" t="n">
        <v>0.4</v>
      </c>
      <c r="N8704" s="9" t="s">
        <v>26</v>
      </c>
    </row>
    <row r="8705" customFormat="false" ht="14.25" hidden="false" customHeight="true" outlineLevel="0" collapsed="false">
      <c r="B8705" s="9" t="s">
        <v>32</v>
      </c>
      <c r="C8705" s="9" t="n">
        <v>1128299</v>
      </c>
      <c r="D8705" s="10" t="n">
        <v>44553</v>
      </c>
      <c r="E8705" s="9" t="s">
        <v>33</v>
      </c>
      <c r="F8705" s="9" t="s">
        <v>82</v>
      </c>
      <c r="G8705" s="9" t="s">
        <v>65</v>
      </c>
      <c r="H8705" s="11" t="s">
        <v>22</v>
      </c>
      <c r="I8705" s="12" t="n">
        <v>48</v>
      </c>
      <c r="J8705" s="13" t="n">
        <v>193</v>
      </c>
      <c r="K8705" s="14" t="n">
        <f aca="false">I8705*J8705</f>
        <v>9264</v>
      </c>
      <c r="L8705" s="14" t="n">
        <f aca="false">($L$2*M8705)/100</f>
        <v>492683.265</v>
      </c>
      <c r="M8705" s="15" t="n">
        <v>0.41</v>
      </c>
      <c r="N8705" s="9" t="s">
        <v>26</v>
      </c>
    </row>
    <row r="8706" customFormat="false" ht="14.25" hidden="false" customHeight="true" outlineLevel="0" collapsed="false">
      <c r="B8706" s="9" t="s">
        <v>32</v>
      </c>
      <c r="C8706" s="9" t="n">
        <v>1128299</v>
      </c>
      <c r="D8706" s="10" t="n">
        <v>44553</v>
      </c>
      <c r="E8706" s="9" t="s">
        <v>33</v>
      </c>
      <c r="F8706" s="9" t="s">
        <v>82</v>
      </c>
      <c r="G8706" s="9" t="s">
        <v>65</v>
      </c>
      <c r="H8706" s="11" t="s">
        <v>23</v>
      </c>
      <c r="I8706" s="12" t="n">
        <v>53</v>
      </c>
      <c r="J8706" s="13" t="n">
        <v>165</v>
      </c>
      <c r="K8706" s="14" t="n">
        <f aca="false">I8706*J8706</f>
        <v>8745</v>
      </c>
      <c r="L8706" s="14" t="n">
        <f aca="false">($L$2*M8706)/100</f>
        <v>468649.935</v>
      </c>
      <c r="M8706" s="15" t="n">
        <v>0.39</v>
      </c>
      <c r="N8706" s="9" t="s">
        <v>26</v>
      </c>
    </row>
    <row r="8707" customFormat="false" ht="14.25" hidden="false" customHeight="true" outlineLevel="0" collapsed="false">
      <c r="B8707" s="9" t="s">
        <v>32</v>
      </c>
      <c r="C8707" s="9" t="n">
        <v>1128299</v>
      </c>
      <c r="D8707" s="10" t="n">
        <v>44553</v>
      </c>
      <c r="E8707" s="9" t="s">
        <v>33</v>
      </c>
      <c r="F8707" s="9" t="s">
        <v>82</v>
      </c>
      <c r="G8707" s="9" t="s">
        <v>65</v>
      </c>
      <c r="H8707" s="11" t="s">
        <v>24</v>
      </c>
      <c r="I8707" s="12" t="n">
        <v>54</v>
      </c>
      <c r="J8707" s="13" t="n">
        <v>157</v>
      </c>
      <c r="K8707" s="14" t="n">
        <f aca="false">I8707*J8707</f>
        <v>8478</v>
      </c>
      <c r="L8707" s="14" t="n">
        <f aca="false">($L$2*M8707)/100</f>
        <v>564783.255</v>
      </c>
      <c r="M8707" s="15" t="n">
        <v>0.47</v>
      </c>
      <c r="N8707" s="9" t="s">
        <v>26</v>
      </c>
    </row>
    <row r="8708" customFormat="false" ht="14.25" hidden="false" customHeight="true" outlineLevel="0" collapsed="false">
      <c r="B8708" s="9" t="s">
        <v>32</v>
      </c>
      <c r="C8708" s="9" t="n">
        <v>1128299</v>
      </c>
      <c r="D8708" s="10" t="n">
        <v>44553</v>
      </c>
      <c r="E8708" s="9" t="s">
        <v>33</v>
      </c>
      <c r="F8708" s="9" t="s">
        <v>82</v>
      </c>
      <c r="G8708" s="9" t="s">
        <v>65</v>
      </c>
      <c r="H8708" s="11" t="s">
        <v>25</v>
      </c>
      <c r="I8708" s="12" t="n">
        <v>55</v>
      </c>
      <c r="J8708" s="13" t="n">
        <v>201</v>
      </c>
      <c r="K8708" s="14" t="n">
        <f aca="false">I8708*J8708</f>
        <v>11055</v>
      </c>
      <c r="L8708" s="14" t="n">
        <f aca="false">($L$2*M8708)/100</f>
        <v>408566.61</v>
      </c>
      <c r="M8708" s="15" t="n">
        <v>0.34</v>
      </c>
      <c r="N8708" s="9" t="s">
        <v>26</v>
      </c>
    </row>
    <row r="8709" customFormat="false" ht="14.25" hidden="false" customHeight="true" outlineLevel="0" collapsed="false">
      <c r="B8709" s="9" t="s">
        <v>32</v>
      </c>
      <c r="C8709" s="9" t="n">
        <v>1128299</v>
      </c>
      <c r="D8709" s="10" t="n">
        <v>44213</v>
      </c>
      <c r="E8709" s="9" t="s">
        <v>33</v>
      </c>
      <c r="F8709" s="9" t="s">
        <v>82</v>
      </c>
      <c r="G8709" s="9" t="s">
        <v>65</v>
      </c>
      <c r="H8709" s="11" t="s">
        <v>19</v>
      </c>
      <c r="I8709" s="12" t="n">
        <v>28</v>
      </c>
      <c r="J8709" s="13" t="n">
        <v>120</v>
      </c>
      <c r="K8709" s="14" t="n">
        <f aca="false">I8709*J8709</f>
        <v>3360</v>
      </c>
      <c r="L8709" s="14" t="n">
        <f aca="false">($L$2*M8709)/100</f>
        <v>504699.93</v>
      </c>
      <c r="M8709" s="15" t="n">
        <v>0.42</v>
      </c>
      <c r="N8709" s="9" t="s">
        <v>26</v>
      </c>
    </row>
    <row r="8710" customFormat="false" ht="14.25" hidden="false" customHeight="true" outlineLevel="0" collapsed="false">
      <c r="B8710" s="9" t="s">
        <v>32</v>
      </c>
      <c r="C8710" s="9" t="n">
        <v>1128299</v>
      </c>
      <c r="D8710" s="10" t="n">
        <v>44213</v>
      </c>
      <c r="E8710" s="9" t="s">
        <v>33</v>
      </c>
      <c r="F8710" s="9" t="s">
        <v>82</v>
      </c>
      <c r="G8710" s="9" t="s">
        <v>65</v>
      </c>
      <c r="H8710" s="11" t="s">
        <v>21</v>
      </c>
      <c r="I8710" s="12" t="n">
        <v>31</v>
      </c>
      <c r="J8710" s="13" t="n">
        <v>124</v>
      </c>
      <c r="K8710" s="14" t="n">
        <f aca="false">I8710*J8710</f>
        <v>3844</v>
      </c>
      <c r="L8710" s="14" t="n">
        <f aca="false">($L$2*M8710)/100</f>
        <v>528733.26</v>
      </c>
      <c r="M8710" s="15" t="n">
        <v>0.44</v>
      </c>
      <c r="N8710" s="9" t="s">
        <v>26</v>
      </c>
    </row>
    <row r="8711" customFormat="false" ht="14.25" hidden="false" customHeight="true" outlineLevel="0" collapsed="false">
      <c r="B8711" s="9" t="s">
        <v>32</v>
      </c>
      <c r="C8711" s="9" t="n">
        <v>1128299</v>
      </c>
      <c r="D8711" s="10" t="n">
        <v>44213</v>
      </c>
      <c r="E8711" s="9" t="s">
        <v>33</v>
      </c>
      <c r="F8711" s="9" t="s">
        <v>82</v>
      </c>
      <c r="G8711" s="9" t="s">
        <v>65</v>
      </c>
      <c r="H8711" s="11" t="s">
        <v>22</v>
      </c>
      <c r="I8711" s="12" t="n">
        <v>33</v>
      </c>
      <c r="J8711" s="13" t="n">
        <v>128</v>
      </c>
      <c r="K8711" s="14" t="n">
        <f aca="false">I8711*J8711</f>
        <v>4224</v>
      </c>
      <c r="L8711" s="14" t="n">
        <f aca="false">($L$2*M8711)/100</f>
        <v>516716.595</v>
      </c>
      <c r="M8711" s="15" t="n">
        <v>0.43</v>
      </c>
      <c r="N8711" s="9" t="s">
        <v>26</v>
      </c>
    </row>
    <row r="8712" customFormat="false" ht="14.25" hidden="false" customHeight="true" outlineLevel="0" collapsed="false">
      <c r="B8712" s="9" t="s">
        <v>32</v>
      </c>
      <c r="C8712" s="9" t="n">
        <v>1128299</v>
      </c>
      <c r="D8712" s="10" t="n">
        <v>44213</v>
      </c>
      <c r="E8712" s="9" t="s">
        <v>33</v>
      </c>
      <c r="F8712" s="9" t="s">
        <v>82</v>
      </c>
      <c r="G8712" s="9" t="s">
        <v>65</v>
      </c>
      <c r="H8712" s="11" t="s">
        <v>23</v>
      </c>
      <c r="I8712" s="12" t="n">
        <v>34</v>
      </c>
      <c r="J8712" s="13" t="n">
        <v>78</v>
      </c>
      <c r="K8712" s="14" t="n">
        <f aca="false">I8712*J8712</f>
        <v>2652</v>
      </c>
      <c r="L8712" s="14" t="n">
        <f aca="false">($L$2*M8712)/100</f>
        <v>552766.59</v>
      </c>
      <c r="M8712" s="15" t="n">
        <v>0.46</v>
      </c>
      <c r="N8712" s="9" t="s">
        <v>26</v>
      </c>
    </row>
    <row r="8713" customFormat="false" ht="14.25" hidden="false" customHeight="true" outlineLevel="0" collapsed="false">
      <c r="B8713" s="9" t="s">
        <v>32</v>
      </c>
      <c r="C8713" s="9" t="n">
        <v>1128299</v>
      </c>
      <c r="D8713" s="10" t="n">
        <v>44213</v>
      </c>
      <c r="E8713" s="9" t="s">
        <v>33</v>
      </c>
      <c r="F8713" s="9" t="s">
        <v>82</v>
      </c>
      <c r="G8713" s="9" t="s">
        <v>65</v>
      </c>
      <c r="H8713" s="11" t="s">
        <v>24</v>
      </c>
      <c r="I8713" s="12" t="n">
        <v>33</v>
      </c>
      <c r="J8713" s="13" t="n">
        <v>68</v>
      </c>
      <c r="K8713" s="14" t="n">
        <f aca="false">I8713*J8713</f>
        <v>2244</v>
      </c>
      <c r="L8713" s="14" t="n">
        <f aca="false">($L$2*M8713)/100</f>
        <v>612849.915</v>
      </c>
      <c r="M8713" s="15" t="n">
        <v>0.51</v>
      </c>
      <c r="N8713" s="9" t="s">
        <v>26</v>
      </c>
    </row>
    <row r="8714" customFormat="false" ht="14.25" hidden="false" customHeight="true" outlineLevel="0" collapsed="false">
      <c r="B8714" s="9" t="s">
        <v>32</v>
      </c>
      <c r="C8714" s="9" t="n">
        <v>1128299</v>
      </c>
      <c r="D8714" s="10" t="n">
        <v>44213</v>
      </c>
      <c r="E8714" s="9" t="s">
        <v>33</v>
      </c>
      <c r="F8714" s="9" t="s">
        <v>82</v>
      </c>
      <c r="G8714" s="9" t="s">
        <v>65</v>
      </c>
      <c r="H8714" s="11" t="s">
        <v>25</v>
      </c>
      <c r="I8714" s="12" t="n">
        <v>34</v>
      </c>
      <c r="J8714" s="13" t="n">
        <v>140</v>
      </c>
      <c r="K8714" s="14" t="n">
        <f aca="false">I8714*J8714</f>
        <v>4760</v>
      </c>
      <c r="L8714" s="14" t="n">
        <f aca="false">($L$2*M8714)/100</f>
        <v>480666.6</v>
      </c>
      <c r="M8714" s="15" t="n">
        <v>0.4</v>
      </c>
      <c r="N8714" s="9" t="s">
        <v>26</v>
      </c>
    </row>
    <row r="8715" customFormat="false" ht="14.25" hidden="false" customHeight="true" outlineLevel="0" collapsed="false">
      <c r="B8715" s="9" t="s">
        <v>32</v>
      </c>
      <c r="C8715" s="9" t="n">
        <v>1128299</v>
      </c>
      <c r="D8715" s="10" t="n">
        <v>44244</v>
      </c>
      <c r="E8715" s="9" t="s">
        <v>33</v>
      </c>
      <c r="F8715" s="9" t="s">
        <v>82</v>
      </c>
      <c r="G8715" s="9" t="s">
        <v>65</v>
      </c>
      <c r="H8715" s="11" t="s">
        <v>19</v>
      </c>
      <c r="I8715" s="12" t="n">
        <v>24</v>
      </c>
      <c r="J8715" s="13" t="n">
        <v>175</v>
      </c>
      <c r="K8715" s="14" t="n">
        <f aca="false">I8715*J8715</f>
        <v>4200</v>
      </c>
      <c r="L8715" s="14" t="n">
        <f aca="false">($L$2*M8715)/100</f>
        <v>540749.925</v>
      </c>
      <c r="M8715" s="15" t="n">
        <v>0.45</v>
      </c>
      <c r="N8715" s="9" t="s">
        <v>26</v>
      </c>
    </row>
    <row r="8716" customFormat="false" ht="14.25" hidden="false" customHeight="true" outlineLevel="0" collapsed="false">
      <c r="B8716" s="9" t="s">
        <v>32</v>
      </c>
      <c r="C8716" s="9" t="n">
        <v>1128299</v>
      </c>
      <c r="D8716" s="10" t="n">
        <v>44244</v>
      </c>
      <c r="E8716" s="9" t="s">
        <v>33</v>
      </c>
      <c r="F8716" s="9" t="s">
        <v>82</v>
      </c>
      <c r="G8716" s="9" t="s">
        <v>65</v>
      </c>
      <c r="H8716" s="11" t="s">
        <v>21</v>
      </c>
      <c r="I8716" s="12" t="n">
        <v>31</v>
      </c>
      <c r="J8716" s="13" t="n">
        <v>124</v>
      </c>
      <c r="K8716" s="14" t="n">
        <f aca="false">I8716*J8716</f>
        <v>3844</v>
      </c>
      <c r="L8716" s="14" t="n">
        <f aca="false">($L$2*M8716)/100</f>
        <v>516716.595</v>
      </c>
      <c r="M8716" s="15" t="n">
        <v>0.43</v>
      </c>
      <c r="N8716" s="9" t="s">
        <v>26</v>
      </c>
    </row>
    <row r="8717" customFormat="false" ht="14.25" hidden="false" customHeight="true" outlineLevel="0" collapsed="false">
      <c r="B8717" s="9" t="s">
        <v>32</v>
      </c>
      <c r="C8717" s="9" t="n">
        <v>1128299</v>
      </c>
      <c r="D8717" s="10" t="n">
        <v>44244</v>
      </c>
      <c r="E8717" s="9" t="s">
        <v>33</v>
      </c>
      <c r="F8717" s="9" t="s">
        <v>82</v>
      </c>
      <c r="G8717" s="9" t="s">
        <v>65</v>
      </c>
      <c r="H8717" s="11" t="s">
        <v>22</v>
      </c>
      <c r="I8717" s="12" t="n">
        <v>34</v>
      </c>
      <c r="J8717" s="13" t="n">
        <v>132</v>
      </c>
      <c r="K8717" s="14" t="n">
        <f aca="false">I8717*J8717</f>
        <v>4488</v>
      </c>
      <c r="L8717" s="14" t="n">
        <f aca="false">($L$2*M8717)/100</f>
        <v>516716.595</v>
      </c>
      <c r="M8717" s="15" t="n">
        <v>0.43</v>
      </c>
      <c r="N8717" s="9" t="s">
        <v>26</v>
      </c>
    </row>
    <row r="8718" customFormat="false" ht="14.25" hidden="false" customHeight="true" outlineLevel="0" collapsed="false">
      <c r="B8718" s="9" t="s">
        <v>32</v>
      </c>
      <c r="C8718" s="9" t="n">
        <v>1128299</v>
      </c>
      <c r="D8718" s="10" t="n">
        <v>44244</v>
      </c>
      <c r="E8718" s="9" t="s">
        <v>29</v>
      </c>
      <c r="F8718" s="9" t="s">
        <v>83</v>
      </c>
      <c r="G8718" s="9" t="s">
        <v>84</v>
      </c>
      <c r="H8718" s="11" t="s">
        <v>23</v>
      </c>
      <c r="I8718" s="12" t="n">
        <v>33</v>
      </c>
      <c r="J8718" s="13" t="n">
        <v>75</v>
      </c>
      <c r="K8718" s="14" t="n">
        <f aca="false">I8718*J8718</f>
        <v>2475</v>
      </c>
      <c r="L8718" s="14" t="n">
        <f aca="false">($L$2*M8718)/100</f>
        <v>564783.255</v>
      </c>
      <c r="M8718" s="15" t="n">
        <v>0.47</v>
      </c>
      <c r="N8718" s="9" t="s">
        <v>26</v>
      </c>
    </row>
    <row r="8719" customFormat="false" ht="14.25" hidden="false" customHeight="true" outlineLevel="0" collapsed="false">
      <c r="B8719" s="9" t="s">
        <v>32</v>
      </c>
      <c r="C8719" s="9" t="n">
        <v>1128299</v>
      </c>
      <c r="D8719" s="10" t="n">
        <v>44244</v>
      </c>
      <c r="E8719" s="9" t="s">
        <v>29</v>
      </c>
      <c r="F8719" s="9" t="s">
        <v>83</v>
      </c>
      <c r="G8719" s="9" t="s">
        <v>84</v>
      </c>
      <c r="H8719" s="11" t="s">
        <v>24</v>
      </c>
      <c r="I8719" s="12" t="n">
        <v>33</v>
      </c>
      <c r="J8719" s="13" t="n">
        <v>53</v>
      </c>
      <c r="K8719" s="14" t="n">
        <f aca="false">I8719*J8719</f>
        <v>1749</v>
      </c>
      <c r="L8719" s="14" t="n">
        <f aca="false">($L$2*M8719)/100</f>
        <v>564783.255</v>
      </c>
      <c r="M8719" s="15" t="n">
        <v>0.47</v>
      </c>
      <c r="N8719" s="9" t="s">
        <v>26</v>
      </c>
    </row>
    <row r="8720" customFormat="false" ht="14.25" hidden="false" customHeight="true" outlineLevel="0" collapsed="false">
      <c r="B8720" s="9" t="s">
        <v>32</v>
      </c>
      <c r="C8720" s="9" t="n">
        <v>1128299</v>
      </c>
      <c r="D8720" s="10" t="n">
        <v>44244</v>
      </c>
      <c r="E8720" s="9" t="s">
        <v>29</v>
      </c>
      <c r="F8720" s="9" t="s">
        <v>83</v>
      </c>
      <c r="G8720" s="9" t="s">
        <v>84</v>
      </c>
      <c r="H8720" s="11" t="s">
        <v>25</v>
      </c>
      <c r="I8720" s="12" t="n">
        <v>32</v>
      </c>
      <c r="J8720" s="13" t="n">
        <v>131</v>
      </c>
      <c r="K8720" s="14" t="n">
        <f aca="false">I8720*J8720</f>
        <v>4192</v>
      </c>
      <c r="L8720" s="14" t="n">
        <f aca="false">($L$2*M8720)/100</f>
        <v>444616.605</v>
      </c>
      <c r="M8720" s="15" t="n">
        <v>0.37</v>
      </c>
      <c r="N8720" s="9" t="s">
        <v>26</v>
      </c>
    </row>
    <row r="8721" customFormat="false" ht="14.25" hidden="false" customHeight="true" outlineLevel="0" collapsed="false">
      <c r="B8721" s="9" t="s">
        <v>32</v>
      </c>
      <c r="C8721" s="9" t="n">
        <v>1128299</v>
      </c>
      <c r="D8721" s="10" t="n">
        <v>44271</v>
      </c>
      <c r="E8721" s="9" t="s">
        <v>29</v>
      </c>
      <c r="F8721" s="9" t="s">
        <v>83</v>
      </c>
      <c r="G8721" s="9" t="s">
        <v>84</v>
      </c>
      <c r="H8721" s="11" t="s">
        <v>19</v>
      </c>
      <c r="I8721" s="12" t="n">
        <v>29</v>
      </c>
      <c r="J8721" s="13" t="n">
        <v>179</v>
      </c>
      <c r="K8721" s="14" t="n">
        <f aca="false">I8721*J8721</f>
        <v>5191</v>
      </c>
      <c r="L8721" s="14" t="n">
        <f aca="false">($L$2*M8721)/100</f>
        <v>552766.59</v>
      </c>
      <c r="M8721" s="15" t="n">
        <v>0.46</v>
      </c>
      <c r="N8721" s="9" t="s">
        <v>26</v>
      </c>
    </row>
    <row r="8722" customFormat="false" ht="14.25" hidden="false" customHeight="true" outlineLevel="0" collapsed="false">
      <c r="B8722" s="9" t="s">
        <v>32</v>
      </c>
      <c r="C8722" s="9" t="n">
        <v>1128299</v>
      </c>
      <c r="D8722" s="10" t="n">
        <v>44271</v>
      </c>
      <c r="E8722" s="9" t="s">
        <v>29</v>
      </c>
      <c r="F8722" s="9" t="s">
        <v>83</v>
      </c>
      <c r="G8722" s="9" t="s">
        <v>84</v>
      </c>
      <c r="H8722" s="11" t="s">
        <v>21</v>
      </c>
      <c r="I8722" s="12" t="n">
        <v>38</v>
      </c>
      <c r="J8722" s="13" t="n">
        <v>120</v>
      </c>
      <c r="K8722" s="14" t="n">
        <f aca="false">I8722*J8722</f>
        <v>4560</v>
      </c>
      <c r="L8722" s="14" t="n">
        <f aca="false">($L$2*M8722)/100</f>
        <v>528733.26</v>
      </c>
      <c r="M8722" s="15" t="n">
        <v>0.44</v>
      </c>
      <c r="N8722" s="9" t="s">
        <v>26</v>
      </c>
    </row>
    <row r="8723" customFormat="false" ht="14.25" hidden="false" customHeight="true" outlineLevel="0" collapsed="false">
      <c r="B8723" s="9" t="s">
        <v>32</v>
      </c>
      <c r="C8723" s="9" t="n">
        <v>1128299</v>
      </c>
      <c r="D8723" s="10" t="n">
        <v>44271</v>
      </c>
      <c r="E8723" s="9" t="s">
        <v>29</v>
      </c>
      <c r="F8723" s="9" t="s">
        <v>83</v>
      </c>
      <c r="G8723" s="9" t="s">
        <v>84</v>
      </c>
      <c r="H8723" s="11" t="s">
        <v>22</v>
      </c>
      <c r="I8723" s="12" t="n">
        <v>39</v>
      </c>
      <c r="J8723" s="13" t="n">
        <v>120</v>
      </c>
      <c r="K8723" s="14" t="n">
        <f aca="false">I8723*J8723</f>
        <v>4680</v>
      </c>
      <c r="L8723" s="14" t="n">
        <f aca="false">($L$2*M8723)/100</f>
        <v>540749.925</v>
      </c>
      <c r="M8723" s="15" t="n">
        <v>0.45</v>
      </c>
      <c r="N8723" s="9" t="s">
        <v>26</v>
      </c>
    </row>
    <row r="8724" customFormat="false" ht="14.25" hidden="false" customHeight="true" outlineLevel="0" collapsed="false">
      <c r="B8724" s="9" t="s">
        <v>32</v>
      </c>
      <c r="C8724" s="9" t="n">
        <v>1128299</v>
      </c>
      <c r="D8724" s="10" t="n">
        <v>44271</v>
      </c>
      <c r="E8724" s="9" t="s">
        <v>29</v>
      </c>
      <c r="F8724" s="9" t="s">
        <v>83</v>
      </c>
      <c r="G8724" s="9" t="s">
        <v>84</v>
      </c>
      <c r="H8724" s="11" t="s">
        <v>23</v>
      </c>
      <c r="I8724" s="12" t="n">
        <v>43</v>
      </c>
      <c r="J8724" s="13" t="n">
        <v>96</v>
      </c>
      <c r="K8724" s="14" t="n">
        <f aca="false">I8724*J8724</f>
        <v>4128</v>
      </c>
      <c r="L8724" s="14" t="n">
        <f aca="false">($L$2*M8724)/100</f>
        <v>516716.595</v>
      </c>
      <c r="M8724" s="15" t="n">
        <v>0.43</v>
      </c>
      <c r="N8724" s="9" t="s">
        <v>26</v>
      </c>
    </row>
    <row r="8725" customFormat="false" ht="14.25" hidden="false" customHeight="true" outlineLevel="0" collapsed="false">
      <c r="B8725" s="9" t="s">
        <v>32</v>
      </c>
      <c r="C8725" s="9" t="n">
        <v>1128299</v>
      </c>
      <c r="D8725" s="10" t="n">
        <v>44271</v>
      </c>
      <c r="E8725" s="9" t="s">
        <v>29</v>
      </c>
      <c r="F8725" s="9" t="s">
        <v>83</v>
      </c>
      <c r="G8725" s="9" t="s">
        <v>84</v>
      </c>
      <c r="H8725" s="11" t="s">
        <v>24</v>
      </c>
      <c r="I8725" s="12" t="n">
        <v>40</v>
      </c>
      <c r="J8725" s="13" t="n">
        <v>50</v>
      </c>
      <c r="K8725" s="14" t="n">
        <f aca="false">I8725*J8725</f>
        <v>2000</v>
      </c>
      <c r="L8725" s="14" t="n">
        <f aca="false">($L$2*M8725)/100</f>
        <v>612849.915</v>
      </c>
      <c r="M8725" s="15" t="n">
        <v>0.51</v>
      </c>
      <c r="N8725" s="9" t="s">
        <v>26</v>
      </c>
    </row>
    <row r="8726" customFormat="false" ht="14.25" hidden="false" customHeight="true" outlineLevel="0" collapsed="false">
      <c r="B8726" s="9" t="s">
        <v>32</v>
      </c>
      <c r="C8726" s="9" t="n">
        <v>1128299</v>
      </c>
      <c r="D8726" s="10" t="n">
        <v>44271</v>
      </c>
      <c r="E8726" s="9" t="s">
        <v>29</v>
      </c>
      <c r="F8726" s="9" t="s">
        <v>83</v>
      </c>
      <c r="G8726" s="9" t="s">
        <v>84</v>
      </c>
      <c r="H8726" s="11" t="s">
        <v>25</v>
      </c>
      <c r="I8726" s="12" t="n">
        <v>29</v>
      </c>
      <c r="J8726" s="13" t="n">
        <v>109</v>
      </c>
      <c r="K8726" s="14" t="n">
        <f aca="false">I8726*J8726</f>
        <v>3161</v>
      </c>
      <c r="L8726" s="14" t="n">
        <f aca="false">($L$2*M8726)/100</f>
        <v>444616.605</v>
      </c>
      <c r="M8726" s="15" t="n">
        <v>0.37</v>
      </c>
      <c r="N8726" s="9" t="s">
        <v>26</v>
      </c>
    </row>
    <row r="8727" customFormat="false" ht="14.25" hidden="false" customHeight="true" outlineLevel="0" collapsed="false">
      <c r="B8727" s="9" t="s">
        <v>32</v>
      </c>
      <c r="C8727" s="9" t="n">
        <v>1128299</v>
      </c>
      <c r="D8727" s="10" t="n">
        <v>44303</v>
      </c>
      <c r="E8727" s="9" t="s">
        <v>29</v>
      </c>
      <c r="F8727" s="9" t="s">
        <v>83</v>
      </c>
      <c r="G8727" s="9" t="s">
        <v>84</v>
      </c>
      <c r="H8727" s="11" t="s">
        <v>19</v>
      </c>
      <c r="I8727" s="12" t="n">
        <v>38</v>
      </c>
      <c r="J8727" s="13" t="n">
        <v>168</v>
      </c>
      <c r="K8727" s="14" t="n">
        <f aca="false">I8727*J8727</f>
        <v>6384</v>
      </c>
      <c r="L8727" s="14" t="n">
        <f aca="false">($L$2*M8727)/100</f>
        <v>564783.255</v>
      </c>
      <c r="M8727" s="15" t="n">
        <v>0.47</v>
      </c>
      <c r="N8727" s="9" t="s">
        <v>26</v>
      </c>
    </row>
    <row r="8728" customFormat="false" ht="14.25" hidden="false" customHeight="true" outlineLevel="0" collapsed="false">
      <c r="B8728" s="9" t="s">
        <v>32</v>
      </c>
      <c r="C8728" s="9" t="n">
        <v>1128299</v>
      </c>
      <c r="D8728" s="10" t="n">
        <v>44303</v>
      </c>
      <c r="E8728" s="9" t="s">
        <v>29</v>
      </c>
      <c r="F8728" s="9" t="s">
        <v>83</v>
      </c>
      <c r="G8728" s="9" t="s">
        <v>84</v>
      </c>
      <c r="H8728" s="11" t="s">
        <v>21</v>
      </c>
      <c r="I8728" s="12" t="n">
        <v>36</v>
      </c>
      <c r="J8728" s="13" t="n">
        <v>107</v>
      </c>
      <c r="K8728" s="14" t="n">
        <f aca="false">I8728*J8728</f>
        <v>3852</v>
      </c>
      <c r="L8728" s="14" t="n">
        <f aca="false">($L$2*M8728)/100</f>
        <v>552766.59</v>
      </c>
      <c r="M8728" s="15" t="n">
        <v>0.46</v>
      </c>
      <c r="N8728" s="9" t="s">
        <v>26</v>
      </c>
    </row>
    <row r="8729" customFormat="false" ht="14.25" hidden="false" customHeight="true" outlineLevel="0" collapsed="false">
      <c r="B8729" s="9" t="s">
        <v>32</v>
      </c>
      <c r="C8729" s="9" t="n">
        <v>1128299</v>
      </c>
      <c r="D8729" s="10" t="n">
        <v>44303</v>
      </c>
      <c r="E8729" s="9" t="s">
        <v>29</v>
      </c>
      <c r="F8729" s="9" t="s">
        <v>83</v>
      </c>
      <c r="G8729" s="9" t="s">
        <v>84</v>
      </c>
      <c r="H8729" s="11" t="s">
        <v>22</v>
      </c>
      <c r="I8729" s="12" t="n">
        <v>40</v>
      </c>
      <c r="J8729" s="13" t="n">
        <v>120</v>
      </c>
      <c r="K8729" s="14" t="n">
        <f aca="false">I8729*J8729</f>
        <v>4800</v>
      </c>
      <c r="L8729" s="14" t="n">
        <f aca="false">($L$2*M8729)/100</f>
        <v>504699.93</v>
      </c>
      <c r="M8729" s="15" t="n">
        <v>0.42</v>
      </c>
      <c r="N8729" s="9" t="s">
        <v>26</v>
      </c>
    </row>
    <row r="8730" customFormat="false" ht="14.25" hidden="false" customHeight="true" outlineLevel="0" collapsed="false">
      <c r="B8730" s="9" t="s">
        <v>32</v>
      </c>
      <c r="C8730" s="9" t="n">
        <v>1128299</v>
      </c>
      <c r="D8730" s="10" t="n">
        <v>44303</v>
      </c>
      <c r="E8730" s="9" t="s">
        <v>29</v>
      </c>
      <c r="F8730" s="9" t="s">
        <v>83</v>
      </c>
      <c r="G8730" s="9" t="s">
        <v>84</v>
      </c>
      <c r="H8730" s="11" t="s">
        <v>23</v>
      </c>
      <c r="I8730" s="12" t="n">
        <v>27</v>
      </c>
      <c r="J8730" s="13" t="n">
        <v>91</v>
      </c>
      <c r="K8730" s="14" t="n">
        <f aca="false">I8730*J8730</f>
        <v>2457</v>
      </c>
      <c r="L8730" s="14" t="n">
        <f aca="false">($L$2*M8730)/100</f>
        <v>540749.925</v>
      </c>
      <c r="M8730" s="15" t="n">
        <v>0.45</v>
      </c>
      <c r="N8730" s="9" t="s">
        <v>26</v>
      </c>
    </row>
    <row r="8731" customFormat="false" ht="14.25" hidden="false" customHeight="true" outlineLevel="0" collapsed="false">
      <c r="B8731" s="9" t="s">
        <v>32</v>
      </c>
      <c r="C8731" s="9" t="n">
        <v>1128299</v>
      </c>
      <c r="D8731" s="10" t="n">
        <v>44303</v>
      </c>
      <c r="E8731" s="9" t="s">
        <v>29</v>
      </c>
      <c r="F8731" s="9" t="s">
        <v>83</v>
      </c>
      <c r="G8731" s="9" t="s">
        <v>84</v>
      </c>
      <c r="H8731" s="11" t="s">
        <v>24</v>
      </c>
      <c r="I8731" s="12" t="n">
        <v>34</v>
      </c>
      <c r="J8731" s="13" t="n">
        <v>56</v>
      </c>
      <c r="K8731" s="14" t="n">
        <f aca="false">I8731*J8731</f>
        <v>1904</v>
      </c>
      <c r="L8731" s="14" t="n">
        <f aca="false">($L$2*M8731)/100</f>
        <v>612849.915</v>
      </c>
      <c r="M8731" s="15" t="n">
        <v>0.51</v>
      </c>
      <c r="N8731" s="9" t="s">
        <v>26</v>
      </c>
    </row>
    <row r="8732" customFormat="false" ht="14.25" hidden="false" customHeight="true" outlineLevel="0" collapsed="false">
      <c r="B8732" s="9" t="s">
        <v>32</v>
      </c>
      <c r="C8732" s="9" t="n">
        <v>1128299</v>
      </c>
      <c r="D8732" s="10" t="n">
        <v>44303</v>
      </c>
      <c r="E8732" s="9" t="s">
        <v>29</v>
      </c>
      <c r="F8732" s="9" t="s">
        <v>83</v>
      </c>
      <c r="G8732" s="9" t="s">
        <v>84</v>
      </c>
      <c r="H8732" s="11" t="s">
        <v>25</v>
      </c>
      <c r="I8732" s="12" t="n">
        <v>39</v>
      </c>
      <c r="J8732" s="13" t="n">
        <v>123</v>
      </c>
      <c r="K8732" s="14" t="n">
        <f aca="false">I8732*J8732</f>
        <v>4797</v>
      </c>
      <c r="L8732" s="14" t="n">
        <f aca="false">($L$2*M8732)/100</f>
        <v>444616.605</v>
      </c>
      <c r="M8732" s="15" t="n">
        <v>0.37</v>
      </c>
      <c r="N8732" s="9" t="s">
        <v>26</v>
      </c>
    </row>
    <row r="8733" customFormat="false" ht="14.25" hidden="false" customHeight="true" outlineLevel="0" collapsed="false">
      <c r="B8733" s="9" t="s">
        <v>32</v>
      </c>
      <c r="C8733" s="9" t="n">
        <v>1128299</v>
      </c>
      <c r="D8733" s="10" t="n">
        <v>44334</v>
      </c>
      <c r="E8733" s="9" t="s">
        <v>29</v>
      </c>
      <c r="F8733" s="9" t="s">
        <v>83</v>
      </c>
      <c r="G8733" s="9" t="s">
        <v>84</v>
      </c>
      <c r="H8733" s="11" t="s">
        <v>19</v>
      </c>
      <c r="I8733" s="12" t="n">
        <v>32</v>
      </c>
      <c r="J8733" s="13" t="n">
        <v>176</v>
      </c>
      <c r="K8733" s="14" t="n">
        <f aca="false">I8733*J8733</f>
        <v>5632</v>
      </c>
      <c r="L8733" s="14" t="n">
        <f aca="false">($L$2*M8733)/100</f>
        <v>516716.595</v>
      </c>
      <c r="M8733" s="15" t="n">
        <v>0.43</v>
      </c>
      <c r="N8733" s="9" t="s">
        <v>26</v>
      </c>
    </row>
    <row r="8734" customFormat="false" ht="14.25" hidden="false" customHeight="true" outlineLevel="0" collapsed="false">
      <c r="B8734" s="9" t="s">
        <v>32</v>
      </c>
      <c r="C8734" s="9" t="n">
        <v>1128299</v>
      </c>
      <c r="D8734" s="10" t="n">
        <v>44334</v>
      </c>
      <c r="E8734" s="9" t="s">
        <v>29</v>
      </c>
      <c r="F8734" s="9" t="s">
        <v>83</v>
      </c>
      <c r="G8734" s="9" t="s">
        <v>84</v>
      </c>
      <c r="H8734" s="11" t="s">
        <v>21</v>
      </c>
      <c r="I8734" s="12" t="n">
        <v>40</v>
      </c>
      <c r="J8734" s="13" t="n">
        <v>128</v>
      </c>
      <c r="K8734" s="14" t="n">
        <f aca="false">I8734*J8734</f>
        <v>5120</v>
      </c>
      <c r="L8734" s="14" t="n">
        <f aca="false">($L$2*M8734)/100</f>
        <v>528733.26</v>
      </c>
      <c r="M8734" s="15" t="n">
        <v>0.44</v>
      </c>
      <c r="N8734" s="9" t="s">
        <v>26</v>
      </c>
    </row>
    <row r="8735" customFormat="false" ht="14.25" hidden="false" customHeight="true" outlineLevel="0" collapsed="false">
      <c r="B8735" s="9" t="s">
        <v>32</v>
      </c>
      <c r="C8735" s="9" t="n">
        <v>1128299</v>
      </c>
      <c r="D8735" s="10" t="n">
        <v>44334</v>
      </c>
      <c r="E8735" s="9" t="s">
        <v>29</v>
      </c>
      <c r="F8735" s="9" t="s">
        <v>83</v>
      </c>
      <c r="G8735" s="9" t="s">
        <v>84</v>
      </c>
      <c r="H8735" s="11" t="s">
        <v>22</v>
      </c>
      <c r="I8735" s="12" t="n">
        <v>37</v>
      </c>
      <c r="J8735" s="13" t="n">
        <v>136</v>
      </c>
      <c r="K8735" s="14" t="n">
        <f aca="false">I8735*J8735</f>
        <v>5032</v>
      </c>
      <c r="L8735" s="14" t="n">
        <f aca="false">($L$2*M8735)/100</f>
        <v>504699.93</v>
      </c>
      <c r="M8735" s="15" t="n">
        <v>0.42</v>
      </c>
      <c r="N8735" s="9" t="s">
        <v>26</v>
      </c>
    </row>
    <row r="8736" customFormat="false" ht="14.25" hidden="false" customHeight="true" outlineLevel="0" collapsed="false">
      <c r="B8736" s="9" t="s">
        <v>32</v>
      </c>
      <c r="C8736" s="9" t="n">
        <v>1128299</v>
      </c>
      <c r="D8736" s="10" t="n">
        <v>44334</v>
      </c>
      <c r="E8736" s="9" t="s">
        <v>29</v>
      </c>
      <c r="F8736" s="9" t="s">
        <v>83</v>
      </c>
      <c r="G8736" s="9" t="s">
        <v>84</v>
      </c>
      <c r="H8736" s="11" t="s">
        <v>23</v>
      </c>
      <c r="I8736" s="12" t="n">
        <v>33</v>
      </c>
      <c r="J8736" s="13" t="n">
        <v>101</v>
      </c>
      <c r="K8736" s="14" t="n">
        <f aca="false">I8736*J8736</f>
        <v>3333</v>
      </c>
      <c r="L8736" s="14" t="n">
        <f aca="false">($L$2*M8736)/100</f>
        <v>516716.595</v>
      </c>
      <c r="M8736" s="15" t="n">
        <v>0.43</v>
      </c>
      <c r="N8736" s="9" t="s">
        <v>26</v>
      </c>
    </row>
    <row r="8737" customFormat="false" ht="14.25" hidden="false" customHeight="true" outlineLevel="0" collapsed="false">
      <c r="B8737" s="9" t="s">
        <v>32</v>
      </c>
      <c r="C8737" s="9" t="n">
        <v>1128299</v>
      </c>
      <c r="D8737" s="10" t="n">
        <v>44334</v>
      </c>
      <c r="E8737" s="9" t="s">
        <v>29</v>
      </c>
      <c r="F8737" s="9" t="s">
        <v>83</v>
      </c>
      <c r="G8737" s="9" t="s">
        <v>84</v>
      </c>
      <c r="H8737" s="11" t="s">
        <v>24</v>
      </c>
      <c r="I8737" s="12" t="n">
        <v>32</v>
      </c>
      <c r="J8737" s="13" t="n">
        <v>77</v>
      </c>
      <c r="K8737" s="14" t="n">
        <f aca="false">I8737*J8737</f>
        <v>2464</v>
      </c>
      <c r="L8737" s="14" t="n">
        <f aca="false">($L$2*M8737)/100</f>
        <v>576799.92</v>
      </c>
      <c r="M8737" s="15" t="n">
        <v>0.48</v>
      </c>
      <c r="N8737" s="9" t="s">
        <v>26</v>
      </c>
    </row>
    <row r="8738" customFormat="false" ht="14.25" hidden="false" customHeight="true" outlineLevel="0" collapsed="false">
      <c r="B8738" s="9" t="s">
        <v>32</v>
      </c>
      <c r="C8738" s="9" t="n">
        <v>1128299</v>
      </c>
      <c r="D8738" s="10" t="n">
        <v>44334</v>
      </c>
      <c r="E8738" s="9" t="s">
        <v>29</v>
      </c>
      <c r="F8738" s="9" t="s">
        <v>83</v>
      </c>
      <c r="G8738" s="9" t="s">
        <v>84</v>
      </c>
      <c r="H8738" s="11" t="s">
        <v>25</v>
      </c>
      <c r="I8738" s="12" t="n">
        <v>46</v>
      </c>
      <c r="J8738" s="13" t="n">
        <v>178</v>
      </c>
      <c r="K8738" s="14" t="n">
        <f aca="false">I8738*J8738</f>
        <v>8188</v>
      </c>
      <c r="L8738" s="14" t="n">
        <f aca="false">($L$2*M8738)/100</f>
        <v>480666.6</v>
      </c>
      <c r="M8738" s="15" t="n">
        <v>0.4</v>
      </c>
      <c r="N8738" s="9" t="s">
        <v>26</v>
      </c>
    </row>
    <row r="8739" customFormat="false" ht="14.25" hidden="false" customHeight="true" outlineLevel="0" collapsed="false">
      <c r="B8739" s="9" t="s">
        <v>32</v>
      </c>
      <c r="C8739" s="9" t="n">
        <v>1128299</v>
      </c>
      <c r="D8739" s="10" t="n">
        <v>44364</v>
      </c>
      <c r="E8739" s="9" t="s">
        <v>29</v>
      </c>
      <c r="F8739" s="9" t="s">
        <v>83</v>
      </c>
      <c r="G8739" s="9" t="s">
        <v>84</v>
      </c>
      <c r="H8739" s="11" t="s">
        <v>19</v>
      </c>
      <c r="I8739" s="12" t="n">
        <v>47</v>
      </c>
      <c r="J8739" s="13" t="n">
        <v>256</v>
      </c>
      <c r="K8739" s="14" t="n">
        <f aca="false">I8739*J8739</f>
        <v>12032</v>
      </c>
      <c r="L8739" s="14" t="n">
        <f aca="false">($L$2*M8739)/100</f>
        <v>564783.255</v>
      </c>
      <c r="M8739" s="15" t="n">
        <v>0.47</v>
      </c>
      <c r="N8739" s="9" t="s">
        <v>26</v>
      </c>
    </row>
    <row r="8740" customFormat="false" ht="14.25" hidden="false" customHeight="true" outlineLevel="0" collapsed="false">
      <c r="B8740" s="9" t="s">
        <v>32</v>
      </c>
      <c r="C8740" s="9" t="n">
        <v>1128299</v>
      </c>
      <c r="D8740" s="10" t="n">
        <v>44364</v>
      </c>
      <c r="E8740" s="9" t="s">
        <v>29</v>
      </c>
      <c r="F8740" s="9" t="s">
        <v>83</v>
      </c>
      <c r="G8740" s="9" t="s">
        <v>84</v>
      </c>
      <c r="H8740" s="11" t="s">
        <v>21</v>
      </c>
      <c r="I8740" s="12" t="n">
        <v>55</v>
      </c>
      <c r="J8740" s="13" t="n">
        <v>224</v>
      </c>
      <c r="K8740" s="14" t="n">
        <f aca="false">I8740*J8740</f>
        <v>12320</v>
      </c>
      <c r="L8740" s="14" t="n">
        <f aca="false">($L$2*M8740)/100</f>
        <v>540749.925</v>
      </c>
      <c r="M8740" s="15" t="n">
        <v>0.45</v>
      </c>
      <c r="N8740" s="9" t="s">
        <v>26</v>
      </c>
    </row>
    <row r="8741" customFormat="false" ht="14.25" hidden="false" customHeight="true" outlineLevel="0" collapsed="false">
      <c r="B8741" s="9" t="s">
        <v>32</v>
      </c>
      <c r="C8741" s="9" t="n">
        <v>1128299</v>
      </c>
      <c r="D8741" s="10" t="n">
        <v>44364</v>
      </c>
      <c r="E8741" s="9" t="s">
        <v>29</v>
      </c>
      <c r="F8741" s="9" t="s">
        <v>83</v>
      </c>
      <c r="G8741" s="9" t="s">
        <v>84</v>
      </c>
      <c r="H8741" s="11" t="s">
        <v>22</v>
      </c>
      <c r="I8741" s="12" t="n">
        <v>55</v>
      </c>
      <c r="J8741" s="13" t="n">
        <v>210</v>
      </c>
      <c r="K8741" s="14" t="n">
        <f aca="false">I8741*J8741</f>
        <v>11550</v>
      </c>
      <c r="L8741" s="14" t="n">
        <f aca="false">($L$2*M8741)/100</f>
        <v>528733.26</v>
      </c>
      <c r="M8741" s="15" t="n">
        <v>0.44</v>
      </c>
      <c r="N8741" s="9" t="s">
        <v>26</v>
      </c>
    </row>
    <row r="8742" customFormat="false" ht="14.25" hidden="false" customHeight="true" outlineLevel="0" collapsed="false">
      <c r="B8742" s="9" t="s">
        <v>32</v>
      </c>
      <c r="C8742" s="9" t="n">
        <v>1128299</v>
      </c>
      <c r="D8742" s="10" t="n">
        <v>44364</v>
      </c>
      <c r="E8742" s="9" t="s">
        <v>29</v>
      </c>
      <c r="F8742" s="9" t="s">
        <v>83</v>
      </c>
      <c r="G8742" s="9" t="s">
        <v>84</v>
      </c>
      <c r="H8742" s="11" t="s">
        <v>23</v>
      </c>
      <c r="I8742" s="12" t="n">
        <v>59</v>
      </c>
      <c r="J8742" s="13" t="n">
        <v>184</v>
      </c>
      <c r="K8742" s="14" t="n">
        <f aca="false">I8742*J8742</f>
        <v>10856</v>
      </c>
      <c r="L8742" s="14" t="n">
        <f aca="false">($L$2*M8742)/100</f>
        <v>564783.255</v>
      </c>
      <c r="M8742" s="15" t="n">
        <v>0.47</v>
      </c>
      <c r="N8742" s="9" t="s">
        <v>26</v>
      </c>
    </row>
    <row r="8743" customFormat="false" ht="14.25" hidden="false" customHeight="true" outlineLevel="0" collapsed="false">
      <c r="B8743" s="9" t="s">
        <v>32</v>
      </c>
      <c r="C8743" s="9" t="n">
        <v>1128299</v>
      </c>
      <c r="D8743" s="10" t="n">
        <v>44364</v>
      </c>
      <c r="E8743" s="9" t="s">
        <v>29</v>
      </c>
      <c r="F8743" s="9" t="s">
        <v>83</v>
      </c>
      <c r="G8743" s="9" t="s">
        <v>84</v>
      </c>
      <c r="H8743" s="11" t="s">
        <v>24</v>
      </c>
      <c r="I8743" s="12" t="n">
        <v>70</v>
      </c>
      <c r="J8743" s="13" t="n">
        <v>153</v>
      </c>
      <c r="K8743" s="14" t="n">
        <f aca="false">I8743*J8743</f>
        <v>10710</v>
      </c>
      <c r="L8743" s="14" t="n">
        <f aca="false">($L$2*M8743)/100</f>
        <v>564783.255</v>
      </c>
      <c r="M8743" s="15" t="n">
        <v>0.47</v>
      </c>
      <c r="N8743" s="9" t="s">
        <v>26</v>
      </c>
    </row>
    <row r="8744" customFormat="false" ht="14.25" hidden="false" customHeight="true" outlineLevel="0" collapsed="false">
      <c r="B8744" s="9" t="s">
        <v>32</v>
      </c>
      <c r="C8744" s="9" t="n">
        <v>1128299</v>
      </c>
      <c r="D8744" s="10" t="n">
        <v>44364</v>
      </c>
      <c r="E8744" s="9" t="s">
        <v>29</v>
      </c>
      <c r="F8744" s="9" t="s">
        <v>83</v>
      </c>
      <c r="G8744" s="9" t="s">
        <v>84</v>
      </c>
      <c r="H8744" s="11" t="s">
        <v>25</v>
      </c>
      <c r="I8744" s="12" t="n">
        <v>80</v>
      </c>
      <c r="J8744" s="13" t="n">
        <v>248</v>
      </c>
      <c r="K8744" s="14" t="n">
        <f aca="false">I8744*J8744</f>
        <v>19840</v>
      </c>
      <c r="L8744" s="14" t="n">
        <f aca="false">($L$2*M8744)/100</f>
        <v>492683.265</v>
      </c>
      <c r="M8744" s="15" t="n">
        <v>0.41</v>
      </c>
      <c r="N8744" s="9" t="s">
        <v>26</v>
      </c>
    </row>
    <row r="8745" customFormat="false" ht="14.25" hidden="false" customHeight="true" outlineLevel="0" collapsed="false">
      <c r="B8745" s="9" t="s">
        <v>32</v>
      </c>
      <c r="C8745" s="9" t="n">
        <v>1128299</v>
      </c>
      <c r="D8745" s="10" t="n">
        <v>44393</v>
      </c>
      <c r="E8745" s="9" t="s">
        <v>29</v>
      </c>
      <c r="F8745" s="9" t="s">
        <v>83</v>
      </c>
      <c r="G8745" s="9" t="s">
        <v>84</v>
      </c>
      <c r="H8745" s="11" t="s">
        <v>19</v>
      </c>
      <c r="I8745" s="12" t="n">
        <v>62</v>
      </c>
      <c r="J8745" s="13" t="n">
        <v>306</v>
      </c>
      <c r="K8745" s="14" t="n">
        <f aca="false">I8745*J8745</f>
        <v>18972</v>
      </c>
      <c r="L8745" s="14" t="n">
        <f aca="false">($L$2*M8745)/100</f>
        <v>516716.595</v>
      </c>
      <c r="M8745" s="15" t="n">
        <v>0.43</v>
      </c>
      <c r="N8745" s="9" t="s">
        <v>26</v>
      </c>
    </row>
    <row r="8746" customFormat="false" ht="14.25" hidden="false" customHeight="true" outlineLevel="0" collapsed="false">
      <c r="B8746" s="9" t="s">
        <v>32</v>
      </c>
      <c r="C8746" s="9" t="n">
        <v>1128299</v>
      </c>
      <c r="D8746" s="10" t="n">
        <v>44393</v>
      </c>
      <c r="E8746" s="9" t="s">
        <v>29</v>
      </c>
      <c r="F8746" s="9" t="s">
        <v>83</v>
      </c>
      <c r="G8746" s="9" t="s">
        <v>84</v>
      </c>
      <c r="H8746" s="11" t="s">
        <v>21</v>
      </c>
      <c r="I8746" s="12" t="n">
        <v>67</v>
      </c>
      <c r="J8746" s="13" t="n">
        <v>248</v>
      </c>
      <c r="K8746" s="14" t="n">
        <f aca="false">I8746*J8746</f>
        <v>16616</v>
      </c>
      <c r="L8746" s="14" t="n">
        <f aca="false">($L$2*M8746)/100</f>
        <v>552766.59</v>
      </c>
      <c r="M8746" s="15" t="n">
        <v>0.46</v>
      </c>
      <c r="N8746" s="9" t="s">
        <v>26</v>
      </c>
    </row>
    <row r="8747" customFormat="false" ht="14.25" hidden="false" customHeight="true" outlineLevel="0" collapsed="false">
      <c r="B8747" s="9" t="s">
        <v>32</v>
      </c>
      <c r="C8747" s="9" t="n">
        <v>1128299</v>
      </c>
      <c r="D8747" s="10" t="n">
        <v>44393</v>
      </c>
      <c r="E8747" s="9" t="s">
        <v>29</v>
      </c>
      <c r="F8747" s="9" t="s">
        <v>83</v>
      </c>
      <c r="G8747" s="9" t="s">
        <v>84</v>
      </c>
      <c r="H8747" s="11" t="s">
        <v>22</v>
      </c>
      <c r="I8747" s="12" t="n">
        <v>69</v>
      </c>
      <c r="J8747" s="13" t="n">
        <v>210</v>
      </c>
      <c r="K8747" s="14" t="n">
        <f aca="false">I8747*J8747</f>
        <v>14490</v>
      </c>
      <c r="L8747" s="14" t="n">
        <f aca="false">($L$2*M8747)/100</f>
        <v>564783.255</v>
      </c>
      <c r="M8747" s="15" t="n">
        <v>0.47</v>
      </c>
      <c r="N8747" s="9" t="s">
        <v>26</v>
      </c>
    </row>
    <row r="8748" customFormat="false" ht="14.25" hidden="false" customHeight="true" outlineLevel="0" collapsed="false">
      <c r="B8748" s="9" t="s">
        <v>32</v>
      </c>
      <c r="C8748" s="9" t="n">
        <v>1128299</v>
      </c>
      <c r="D8748" s="10" t="n">
        <v>44393</v>
      </c>
      <c r="E8748" s="9" t="s">
        <v>29</v>
      </c>
      <c r="F8748" s="9" t="s">
        <v>83</v>
      </c>
      <c r="G8748" s="9" t="s">
        <v>84</v>
      </c>
      <c r="H8748" s="11" t="s">
        <v>23</v>
      </c>
      <c r="I8748" s="12" t="n">
        <v>62</v>
      </c>
      <c r="J8748" s="13" t="n">
        <v>198</v>
      </c>
      <c r="K8748" s="14" t="n">
        <f aca="false">I8748*J8748</f>
        <v>12276</v>
      </c>
      <c r="L8748" s="14" t="n">
        <f aca="false">($L$2*M8748)/100</f>
        <v>540749.925</v>
      </c>
      <c r="M8748" s="15" t="n">
        <v>0.45</v>
      </c>
      <c r="N8748" s="9" t="s">
        <v>26</v>
      </c>
    </row>
    <row r="8749" customFormat="false" ht="14.25" hidden="false" customHeight="true" outlineLevel="0" collapsed="false">
      <c r="B8749" s="9" t="s">
        <v>32</v>
      </c>
      <c r="C8749" s="9" t="n">
        <v>1128299</v>
      </c>
      <c r="D8749" s="10" t="n">
        <v>44393</v>
      </c>
      <c r="E8749" s="9" t="s">
        <v>29</v>
      </c>
      <c r="F8749" s="9" t="s">
        <v>83</v>
      </c>
      <c r="G8749" s="9" t="s">
        <v>84</v>
      </c>
      <c r="H8749" s="11" t="s">
        <v>24</v>
      </c>
      <c r="I8749" s="12" t="n">
        <v>73</v>
      </c>
      <c r="J8749" s="13" t="n">
        <v>221</v>
      </c>
      <c r="K8749" s="14" t="n">
        <f aca="false">I8749*J8749</f>
        <v>16133</v>
      </c>
      <c r="L8749" s="14" t="n">
        <f aca="false">($L$2*M8749)/100</f>
        <v>588816.585</v>
      </c>
      <c r="M8749" s="15" t="n">
        <v>0.49</v>
      </c>
      <c r="N8749" s="9" t="s">
        <v>26</v>
      </c>
    </row>
    <row r="8750" customFormat="false" ht="14.25" hidden="false" customHeight="true" outlineLevel="0" collapsed="false">
      <c r="B8750" s="9" t="s">
        <v>32</v>
      </c>
      <c r="C8750" s="9" t="n">
        <v>1128299</v>
      </c>
      <c r="D8750" s="10" t="n">
        <v>44393</v>
      </c>
      <c r="E8750" s="9" t="s">
        <v>29</v>
      </c>
      <c r="F8750" s="9" t="s">
        <v>83</v>
      </c>
      <c r="G8750" s="9" t="s">
        <v>84</v>
      </c>
      <c r="H8750" s="11" t="s">
        <v>25</v>
      </c>
      <c r="I8750" s="12" t="n">
        <v>81</v>
      </c>
      <c r="J8750" s="13" t="n">
        <v>208</v>
      </c>
      <c r="K8750" s="14" t="n">
        <f aca="false">I8750*J8750</f>
        <v>16848</v>
      </c>
      <c r="L8750" s="14" t="n">
        <f aca="false">($L$2*M8750)/100</f>
        <v>492683.265</v>
      </c>
      <c r="M8750" s="15" t="n">
        <v>0.41</v>
      </c>
      <c r="N8750" s="9" t="s">
        <v>26</v>
      </c>
    </row>
    <row r="8751" customFormat="false" ht="14.25" hidden="false" customHeight="true" outlineLevel="0" collapsed="false">
      <c r="B8751" s="9" t="s">
        <v>32</v>
      </c>
      <c r="C8751" s="9" t="n">
        <v>1128299</v>
      </c>
      <c r="D8751" s="10" t="n">
        <v>44425</v>
      </c>
      <c r="E8751" s="9" t="s">
        <v>29</v>
      </c>
      <c r="F8751" s="9" t="s">
        <v>83</v>
      </c>
      <c r="G8751" s="9" t="s">
        <v>84</v>
      </c>
      <c r="H8751" s="11" t="s">
        <v>19</v>
      </c>
      <c r="I8751" s="12" t="n">
        <v>73</v>
      </c>
      <c r="J8751" s="13" t="n">
        <v>255</v>
      </c>
      <c r="K8751" s="14" t="n">
        <f aca="false">I8751*J8751</f>
        <v>18615</v>
      </c>
      <c r="L8751" s="14" t="n">
        <f aca="false">($L$2*M8751)/100</f>
        <v>564783.255</v>
      </c>
      <c r="M8751" s="15" t="n">
        <v>0.47</v>
      </c>
      <c r="N8751" s="9" t="s">
        <v>26</v>
      </c>
    </row>
    <row r="8752" customFormat="false" ht="14.25" hidden="false" customHeight="true" outlineLevel="0" collapsed="false">
      <c r="B8752" s="9" t="s">
        <v>32</v>
      </c>
      <c r="C8752" s="9" t="n">
        <v>1128299</v>
      </c>
      <c r="D8752" s="10" t="n">
        <v>44425</v>
      </c>
      <c r="E8752" s="9" t="s">
        <v>29</v>
      </c>
      <c r="F8752" s="9" t="s">
        <v>83</v>
      </c>
      <c r="G8752" s="9" t="s">
        <v>84</v>
      </c>
      <c r="H8752" s="11" t="s">
        <v>21</v>
      </c>
      <c r="I8752" s="12" t="n">
        <v>57</v>
      </c>
      <c r="J8752" s="13" t="n">
        <v>256</v>
      </c>
      <c r="K8752" s="14" t="n">
        <f aca="false">I8752*J8752</f>
        <v>14592</v>
      </c>
      <c r="L8752" s="14" t="n">
        <f aca="false">($L$2*M8752)/100</f>
        <v>528733.26</v>
      </c>
      <c r="M8752" s="15" t="n">
        <v>0.44</v>
      </c>
      <c r="N8752" s="9" t="s">
        <v>26</v>
      </c>
    </row>
    <row r="8753" customFormat="false" ht="14.25" hidden="false" customHeight="true" outlineLevel="0" collapsed="false">
      <c r="B8753" s="9" t="s">
        <v>32</v>
      </c>
      <c r="C8753" s="9" t="n">
        <v>1128299</v>
      </c>
      <c r="D8753" s="10" t="n">
        <v>44425</v>
      </c>
      <c r="E8753" s="9" t="s">
        <v>29</v>
      </c>
      <c r="F8753" s="9" t="s">
        <v>83</v>
      </c>
      <c r="G8753" s="9" t="s">
        <v>84</v>
      </c>
      <c r="H8753" s="11" t="s">
        <v>22</v>
      </c>
      <c r="I8753" s="12" t="n">
        <v>50</v>
      </c>
      <c r="J8753" s="13" t="n">
        <v>217</v>
      </c>
      <c r="K8753" s="14" t="n">
        <f aca="false">I8753*J8753</f>
        <v>10850</v>
      </c>
      <c r="L8753" s="14" t="n">
        <f aca="false">($L$2*M8753)/100</f>
        <v>504699.93</v>
      </c>
      <c r="M8753" s="15" t="n">
        <v>0.42</v>
      </c>
      <c r="N8753" s="9" t="s">
        <v>26</v>
      </c>
    </row>
    <row r="8754" customFormat="false" ht="14.25" hidden="false" customHeight="true" outlineLevel="0" collapsed="false">
      <c r="B8754" s="9" t="s">
        <v>32</v>
      </c>
      <c r="C8754" s="9" t="n">
        <v>1128299</v>
      </c>
      <c r="D8754" s="10" t="n">
        <v>44425</v>
      </c>
      <c r="E8754" s="9" t="s">
        <v>29</v>
      </c>
      <c r="F8754" s="9" t="s">
        <v>83</v>
      </c>
      <c r="G8754" s="9" t="s">
        <v>84</v>
      </c>
      <c r="H8754" s="11" t="s">
        <v>23</v>
      </c>
      <c r="I8754" s="12" t="n">
        <v>55</v>
      </c>
      <c r="J8754" s="13" t="n">
        <v>143</v>
      </c>
      <c r="K8754" s="14" t="n">
        <f aca="false">I8754*J8754</f>
        <v>7865</v>
      </c>
      <c r="L8754" s="14" t="n">
        <f aca="false">($L$2*M8754)/100</f>
        <v>564783.255</v>
      </c>
      <c r="M8754" s="15" t="n">
        <v>0.47</v>
      </c>
      <c r="N8754" s="9" t="s">
        <v>26</v>
      </c>
    </row>
    <row r="8755" customFormat="false" ht="14.25" hidden="false" customHeight="true" outlineLevel="0" collapsed="false">
      <c r="B8755" s="9" t="s">
        <v>32</v>
      </c>
      <c r="C8755" s="9" t="n">
        <v>1128299</v>
      </c>
      <c r="D8755" s="10" t="n">
        <v>44425</v>
      </c>
      <c r="E8755" s="9" t="s">
        <v>29</v>
      </c>
      <c r="F8755" s="9" t="s">
        <v>83</v>
      </c>
      <c r="G8755" s="9" t="s">
        <v>84</v>
      </c>
      <c r="H8755" s="11" t="s">
        <v>24</v>
      </c>
      <c r="I8755" s="12" t="n">
        <v>47</v>
      </c>
      <c r="J8755" s="13" t="n">
        <v>152</v>
      </c>
      <c r="K8755" s="14" t="n">
        <f aca="false">I8755*J8755</f>
        <v>7144</v>
      </c>
      <c r="L8755" s="14" t="n">
        <f aca="false">($L$2*M8755)/100</f>
        <v>588816.585</v>
      </c>
      <c r="M8755" s="15" t="n">
        <v>0.49</v>
      </c>
      <c r="N8755" s="9" t="s">
        <v>26</v>
      </c>
    </row>
    <row r="8756" customFormat="false" ht="14.25" hidden="false" customHeight="true" outlineLevel="0" collapsed="false">
      <c r="B8756" s="9" t="s">
        <v>32</v>
      </c>
      <c r="C8756" s="9" t="n">
        <v>1128299</v>
      </c>
      <c r="D8756" s="10" t="n">
        <v>44425</v>
      </c>
      <c r="E8756" s="9" t="s">
        <v>29</v>
      </c>
      <c r="F8756" s="9" t="s">
        <v>83</v>
      </c>
      <c r="G8756" s="9" t="s">
        <v>84</v>
      </c>
      <c r="H8756" s="11" t="s">
        <v>25</v>
      </c>
      <c r="I8756" s="12" t="n">
        <v>46</v>
      </c>
      <c r="J8756" s="13" t="n">
        <v>102</v>
      </c>
      <c r="K8756" s="14" t="n">
        <f aca="false">I8756*J8756</f>
        <v>4692</v>
      </c>
      <c r="L8756" s="14" t="n">
        <f aca="false">($L$2*M8756)/100</f>
        <v>456633.27</v>
      </c>
      <c r="M8756" s="15" t="n">
        <v>0.38</v>
      </c>
      <c r="N8756" s="9" t="s">
        <v>26</v>
      </c>
    </row>
    <row r="8757" customFormat="false" ht="14.25" hidden="false" customHeight="true" outlineLevel="0" collapsed="false">
      <c r="B8757" s="9" t="s">
        <v>32</v>
      </c>
      <c r="C8757" s="9" t="n">
        <v>1128299</v>
      </c>
      <c r="D8757" s="10" t="n">
        <v>44457</v>
      </c>
      <c r="E8757" s="9" t="s">
        <v>29</v>
      </c>
      <c r="F8757" s="9" t="s">
        <v>83</v>
      </c>
      <c r="G8757" s="9" t="s">
        <v>84</v>
      </c>
      <c r="H8757" s="11" t="s">
        <v>19</v>
      </c>
      <c r="I8757" s="12" t="n">
        <v>33</v>
      </c>
      <c r="J8757" s="13" t="n">
        <v>175</v>
      </c>
      <c r="K8757" s="14" t="n">
        <f aca="false">I8757*J8757</f>
        <v>5775</v>
      </c>
      <c r="L8757" s="14" t="n">
        <f aca="false">($L$2*M8757)/100</f>
        <v>504699.93</v>
      </c>
      <c r="M8757" s="15" t="n">
        <v>0.42</v>
      </c>
      <c r="N8757" s="9" t="s">
        <v>26</v>
      </c>
    </row>
    <row r="8758" customFormat="false" ht="14.25" hidden="false" customHeight="true" outlineLevel="0" collapsed="false">
      <c r="B8758" s="9" t="s">
        <v>32</v>
      </c>
      <c r="C8758" s="9" t="n">
        <v>1128299</v>
      </c>
      <c r="D8758" s="10" t="n">
        <v>44457</v>
      </c>
      <c r="E8758" s="9" t="s">
        <v>29</v>
      </c>
      <c r="F8758" s="9" t="s">
        <v>83</v>
      </c>
      <c r="G8758" s="9" t="s">
        <v>84</v>
      </c>
      <c r="H8758" s="11" t="s">
        <v>21</v>
      </c>
      <c r="I8758" s="12" t="n">
        <v>40</v>
      </c>
      <c r="J8758" s="13" t="n">
        <v>175</v>
      </c>
      <c r="K8758" s="14" t="n">
        <f aca="false">I8758*J8758</f>
        <v>7000</v>
      </c>
      <c r="L8758" s="14" t="n">
        <f aca="false">($L$2*M8758)/100</f>
        <v>516716.595</v>
      </c>
      <c r="M8758" s="15" t="n">
        <v>0.43</v>
      </c>
      <c r="N8758" s="9" t="s">
        <v>26</v>
      </c>
    </row>
    <row r="8759" customFormat="false" ht="14.25" hidden="false" customHeight="true" outlineLevel="0" collapsed="false">
      <c r="B8759" s="9" t="s">
        <v>32</v>
      </c>
      <c r="C8759" s="9" t="n">
        <v>1128299</v>
      </c>
      <c r="D8759" s="10" t="n">
        <v>44457</v>
      </c>
      <c r="E8759" s="9" t="s">
        <v>29</v>
      </c>
      <c r="F8759" s="9" t="s">
        <v>83</v>
      </c>
      <c r="G8759" s="9" t="s">
        <v>84</v>
      </c>
      <c r="H8759" s="11" t="s">
        <v>22</v>
      </c>
      <c r="I8759" s="12" t="n">
        <v>30</v>
      </c>
      <c r="J8759" s="13" t="n">
        <v>96</v>
      </c>
      <c r="K8759" s="14" t="n">
        <f aca="false">I8759*J8759</f>
        <v>2880</v>
      </c>
      <c r="L8759" s="14" t="n">
        <f aca="false">($L$2*M8759)/100</f>
        <v>552766.59</v>
      </c>
      <c r="M8759" s="15" t="n">
        <v>0.46</v>
      </c>
      <c r="N8759" s="9" t="s">
        <v>26</v>
      </c>
    </row>
    <row r="8760" customFormat="false" ht="14.25" hidden="false" customHeight="true" outlineLevel="0" collapsed="false">
      <c r="B8760" s="9" t="s">
        <v>32</v>
      </c>
      <c r="C8760" s="9" t="n">
        <v>1128299</v>
      </c>
      <c r="D8760" s="10" t="n">
        <v>44457</v>
      </c>
      <c r="E8760" s="9" t="s">
        <v>29</v>
      </c>
      <c r="F8760" s="9" t="s">
        <v>83</v>
      </c>
      <c r="G8760" s="9" t="s">
        <v>84</v>
      </c>
      <c r="H8760" s="11" t="s">
        <v>23</v>
      </c>
      <c r="I8760" s="12" t="n">
        <v>34</v>
      </c>
      <c r="J8760" s="13" t="n">
        <v>80</v>
      </c>
      <c r="K8760" s="14" t="n">
        <f aca="false">I8760*J8760</f>
        <v>2720</v>
      </c>
      <c r="L8760" s="14" t="n">
        <f aca="false">($L$2*M8760)/100</f>
        <v>504699.93</v>
      </c>
      <c r="M8760" s="15" t="n">
        <v>0.42</v>
      </c>
      <c r="N8760" s="9" t="s">
        <v>26</v>
      </c>
    </row>
    <row r="8761" customFormat="false" ht="14.25" hidden="false" customHeight="true" outlineLevel="0" collapsed="false">
      <c r="B8761" s="9" t="s">
        <v>32</v>
      </c>
      <c r="C8761" s="9" t="n">
        <v>1128299</v>
      </c>
      <c r="D8761" s="10" t="n">
        <v>44457</v>
      </c>
      <c r="E8761" s="9" t="s">
        <v>29</v>
      </c>
      <c r="F8761" s="9" t="s">
        <v>83</v>
      </c>
      <c r="G8761" s="9" t="s">
        <v>84</v>
      </c>
      <c r="H8761" s="11" t="s">
        <v>24</v>
      </c>
      <c r="I8761" s="12" t="n">
        <v>41</v>
      </c>
      <c r="J8761" s="13" t="n">
        <v>83</v>
      </c>
      <c r="K8761" s="14" t="n">
        <f aca="false">I8761*J8761</f>
        <v>3403</v>
      </c>
      <c r="L8761" s="14" t="n">
        <f aca="false">($L$2*M8761)/100</f>
        <v>576799.92</v>
      </c>
      <c r="M8761" s="15" t="n">
        <v>0.48</v>
      </c>
      <c r="N8761" s="9" t="s">
        <v>26</v>
      </c>
    </row>
    <row r="8762" customFormat="false" ht="14.25" hidden="false" customHeight="true" outlineLevel="0" collapsed="false">
      <c r="B8762" s="9" t="s">
        <v>32</v>
      </c>
      <c r="C8762" s="9" t="n">
        <v>1128299</v>
      </c>
      <c r="D8762" s="10" t="n">
        <v>44457</v>
      </c>
      <c r="E8762" s="9" t="s">
        <v>29</v>
      </c>
      <c r="F8762" s="9" t="s">
        <v>83</v>
      </c>
      <c r="G8762" s="9" t="s">
        <v>84</v>
      </c>
      <c r="H8762" s="11" t="s">
        <v>25</v>
      </c>
      <c r="I8762" s="12" t="n">
        <v>30</v>
      </c>
      <c r="J8762" s="13" t="n">
        <v>90</v>
      </c>
      <c r="K8762" s="14" t="n">
        <f aca="false">I8762*J8762</f>
        <v>2700</v>
      </c>
      <c r="L8762" s="14" t="n">
        <f aca="false">($L$2*M8762)/100</f>
        <v>480666.6</v>
      </c>
      <c r="M8762" s="15" t="n">
        <v>0.4</v>
      </c>
      <c r="N8762" s="9" t="s">
        <v>26</v>
      </c>
    </row>
    <row r="8763" customFormat="false" ht="14.25" hidden="false" customHeight="true" outlineLevel="0" collapsed="false">
      <c r="B8763" s="9" t="s">
        <v>32</v>
      </c>
      <c r="C8763" s="9" t="n">
        <v>1128299</v>
      </c>
      <c r="D8763" s="10" t="n">
        <v>44486</v>
      </c>
      <c r="E8763" s="9" t="s">
        <v>29</v>
      </c>
      <c r="F8763" s="9" t="s">
        <v>83</v>
      </c>
      <c r="G8763" s="9" t="s">
        <v>84</v>
      </c>
      <c r="H8763" s="11" t="s">
        <v>19</v>
      </c>
      <c r="I8763" s="12" t="n">
        <v>25</v>
      </c>
      <c r="J8763" s="13" t="n">
        <v>124</v>
      </c>
      <c r="K8763" s="14" t="n">
        <f aca="false">I8763*J8763</f>
        <v>3100</v>
      </c>
      <c r="L8763" s="14" t="n">
        <f aca="false">($L$2*M8763)/100</f>
        <v>516716.595</v>
      </c>
      <c r="M8763" s="15" t="n">
        <v>0.43</v>
      </c>
      <c r="N8763" s="9" t="s">
        <v>26</v>
      </c>
    </row>
    <row r="8764" customFormat="false" ht="14.25" hidden="false" customHeight="true" outlineLevel="0" collapsed="false">
      <c r="B8764" s="9" t="s">
        <v>32</v>
      </c>
      <c r="C8764" s="9" t="n">
        <v>1128299</v>
      </c>
      <c r="D8764" s="10" t="n">
        <v>44486</v>
      </c>
      <c r="E8764" s="9" t="s">
        <v>29</v>
      </c>
      <c r="F8764" s="9" t="s">
        <v>83</v>
      </c>
      <c r="G8764" s="9" t="s">
        <v>84</v>
      </c>
      <c r="H8764" s="11" t="s">
        <v>21</v>
      </c>
      <c r="I8764" s="12" t="n">
        <v>34</v>
      </c>
      <c r="J8764" s="13" t="n">
        <v>184</v>
      </c>
      <c r="K8764" s="14" t="n">
        <f aca="false">I8764*J8764</f>
        <v>6256</v>
      </c>
      <c r="L8764" s="14" t="n">
        <f aca="false">($L$2*M8764)/100</f>
        <v>540749.925</v>
      </c>
      <c r="M8764" s="15" t="n">
        <v>0.45</v>
      </c>
      <c r="N8764" s="9" t="s">
        <v>26</v>
      </c>
    </row>
    <row r="8765" customFormat="false" ht="14.25" hidden="false" customHeight="true" outlineLevel="0" collapsed="false">
      <c r="B8765" s="9" t="s">
        <v>32</v>
      </c>
      <c r="C8765" s="9" t="n">
        <v>1128299</v>
      </c>
      <c r="D8765" s="10" t="n">
        <v>44486</v>
      </c>
      <c r="E8765" s="9" t="s">
        <v>29</v>
      </c>
      <c r="F8765" s="9" t="s">
        <v>83</v>
      </c>
      <c r="G8765" s="9" t="s">
        <v>84</v>
      </c>
      <c r="H8765" s="11" t="s">
        <v>22</v>
      </c>
      <c r="I8765" s="12" t="n">
        <v>33</v>
      </c>
      <c r="J8765" s="13" t="n">
        <v>128</v>
      </c>
      <c r="K8765" s="14" t="n">
        <f aca="false">I8765*J8765</f>
        <v>4224</v>
      </c>
      <c r="L8765" s="14" t="n">
        <f aca="false">($L$2*M8765)/100</f>
        <v>540749.925</v>
      </c>
      <c r="M8765" s="15" t="n">
        <v>0.45</v>
      </c>
      <c r="N8765" s="9" t="s">
        <v>26</v>
      </c>
    </row>
    <row r="8766" customFormat="false" ht="14.25" hidden="false" customHeight="true" outlineLevel="0" collapsed="false">
      <c r="B8766" s="9" t="s">
        <v>32</v>
      </c>
      <c r="C8766" s="9" t="n">
        <v>1128299</v>
      </c>
      <c r="D8766" s="10" t="n">
        <v>44486</v>
      </c>
      <c r="E8766" s="9" t="s">
        <v>29</v>
      </c>
      <c r="F8766" s="9" t="s">
        <v>83</v>
      </c>
      <c r="G8766" s="9" t="s">
        <v>84</v>
      </c>
      <c r="H8766" s="11" t="s">
        <v>23</v>
      </c>
      <c r="I8766" s="12" t="n">
        <v>31</v>
      </c>
      <c r="J8766" s="13" t="n">
        <v>120</v>
      </c>
      <c r="K8766" s="14" t="n">
        <f aca="false">I8766*J8766</f>
        <v>3720</v>
      </c>
      <c r="L8766" s="14" t="n">
        <f aca="false">($L$2*M8766)/100</f>
        <v>516716.595</v>
      </c>
      <c r="M8766" s="15" t="n">
        <v>0.43</v>
      </c>
      <c r="N8766" s="9" t="s">
        <v>26</v>
      </c>
    </row>
    <row r="8767" customFormat="false" ht="14.25" hidden="false" customHeight="true" outlineLevel="0" collapsed="false">
      <c r="B8767" s="9" t="s">
        <v>32</v>
      </c>
      <c r="C8767" s="9" t="n">
        <v>1128299</v>
      </c>
      <c r="D8767" s="10" t="n">
        <v>44486</v>
      </c>
      <c r="E8767" s="9" t="s">
        <v>29</v>
      </c>
      <c r="F8767" s="9" t="s">
        <v>83</v>
      </c>
      <c r="G8767" s="9" t="s">
        <v>84</v>
      </c>
      <c r="H8767" s="11" t="s">
        <v>24</v>
      </c>
      <c r="I8767" s="12" t="n">
        <v>39</v>
      </c>
      <c r="J8767" s="13" t="n">
        <v>112</v>
      </c>
      <c r="K8767" s="14" t="n">
        <f aca="false">I8767*J8767</f>
        <v>4368</v>
      </c>
      <c r="L8767" s="14" t="n">
        <f aca="false">($L$2*M8767)/100</f>
        <v>576799.92</v>
      </c>
      <c r="M8767" s="15" t="n">
        <v>0.48</v>
      </c>
      <c r="N8767" s="9" t="s">
        <v>26</v>
      </c>
    </row>
    <row r="8768" customFormat="false" ht="14.25" hidden="false" customHeight="true" outlineLevel="0" collapsed="false">
      <c r="B8768" s="9" t="s">
        <v>32</v>
      </c>
      <c r="C8768" s="9" t="n">
        <v>1128299</v>
      </c>
      <c r="D8768" s="10" t="n">
        <v>44486</v>
      </c>
      <c r="E8768" s="9" t="s">
        <v>29</v>
      </c>
      <c r="F8768" s="9" t="s">
        <v>83</v>
      </c>
      <c r="G8768" s="9" t="s">
        <v>84</v>
      </c>
      <c r="H8768" s="11" t="s">
        <v>25</v>
      </c>
      <c r="I8768" s="12" t="n">
        <v>44</v>
      </c>
      <c r="J8768" s="13" t="n">
        <v>140</v>
      </c>
      <c r="K8768" s="14" t="n">
        <f aca="false">I8768*J8768</f>
        <v>6160</v>
      </c>
      <c r="L8768" s="14" t="n">
        <f aca="false">($L$2*M8768)/100</f>
        <v>480666.6</v>
      </c>
      <c r="M8768" s="15" t="n">
        <v>0.4</v>
      </c>
      <c r="N8768" s="9" t="s">
        <v>26</v>
      </c>
    </row>
    <row r="8769" customFormat="false" ht="14.25" hidden="false" customHeight="true" outlineLevel="0" collapsed="false">
      <c r="B8769" s="9" t="s">
        <v>32</v>
      </c>
      <c r="C8769" s="9" t="n">
        <v>1128299</v>
      </c>
      <c r="D8769" s="10" t="n">
        <v>44517</v>
      </c>
      <c r="E8769" s="9" t="s">
        <v>29</v>
      </c>
      <c r="F8769" s="9" t="s">
        <v>83</v>
      </c>
      <c r="G8769" s="9" t="s">
        <v>84</v>
      </c>
      <c r="H8769" s="11" t="s">
        <v>19</v>
      </c>
      <c r="I8769" s="12" t="n">
        <v>28</v>
      </c>
      <c r="J8769" s="13" t="n">
        <v>219</v>
      </c>
      <c r="K8769" s="14" t="n">
        <f aca="false">I8769*J8769</f>
        <v>6132</v>
      </c>
      <c r="L8769" s="14" t="n">
        <f aca="false">($L$2*M8769)/100</f>
        <v>564783.255</v>
      </c>
      <c r="M8769" s="15" t="n">
        <v>0.47</v>
      </c>
      <c r="N8769" s="9" t="s">
        <v>26</v>
      </c>
    </row>
    <row r="8770" customFormat="false" ht="14.25" hidden="false" customHeight="true" outlineLevel="0" collapsed="false">
      <c r="B8770" s="9" t="s">
        <v>32</v>
      </c>
      <c r="C8770" s="9" t="n">
        <v>1128299</v>
      </c>
      <c r="D8770" s="10" t="n">
        <v>44517</v>
      </c>
      <c r="E8770" s="9" t="s">
        <v>29</v>
      </c>
      <c r="F8770" s="9" t="s">
        <v>83</v>
      </c>
      <c r="G8770" s="9" t="s">
        <v>84</v>
      </c>
      <c r="H8770" s="11" t="s">
        <v>21</v>
      </c>
      <c r="I8770" s="12" t="n">
        <v>35</v>
      </c>
      <c r="J8770" s="13" t="n">
        <v>224</v>
      </c>
      <c r="K8770" s="14" t="n">
        <f aca="false">I8770*J8770</f>
        <v>7840</v>
      </c>
      <c r="L8770" s="14" t="n">
        <f aca="false">($L$2*M8770)/100</f>
        <v>564783.255</v>
      </c>
      <c r="M8770" s="15" t="n">
        <v>0.47</v>
      </c>
      <c r="N8770" s="9" t="s">
        <v>26</v>
      </c>
    </row>
    <row r="8771" customFormat="false" ht="14.25" hidden="false" customHeight="true" outlineLevel="0" collapsed="false">
      <c r="B8771" s="9" t="s">
        <v>32</v>
      </c>
      <c r="C8771" s="9" t="n">
        <v>1128299</v>
      </c>
      <c r="D8771" s="10" t="n">
        <v>44517</v>
      </c>
      <c r="E8771" s="9" t="s">
        <v>29</v>
      </c>
      <c r="F8771" s="9" t="s">
        <v>83</v>
      </c>
      <c r="G8771" s="9" t="s">
        <v>84</v>
      </c>
      <c r="H8771" s="11" t="s">
        <v>22</v>
      </c>
      <c r="I8771" s="12" t="n">
        <v>30</v>
      </c>
      <c r="J8771" s="13" t="n">
        <v>158</v>
      </c>
      <c r="K8771" s="14" t="n">
        <f aca="false">I8771*J8771</f>
        <v>4740</v>
      </c>
      <c r="L8771" s="14" t="n">
        <f aca="false">($L$2*M8771)/100</f>
        <v>552766.59</v>
      </c>
      <c r="M8771" s="15" t="n">
        <v>0.46</v>
      </c>
      <c r="N8771" s="9" t="s">
        <v>26</v>
      </c>
    </row>
    <row r="8772" customFormat="false" ht="14.25" hidden="false" customHeight="true" outlineLevel="0" collapsed="false">
      <c r="B8772" s="9" t="s">
        <v>32</v>
      </c>
      <c r="C8772" s="9" t="n">
        <v>1128299</v>
      </c>
      <c r="D8772" s="10" t="n">
        <v>44517</v>
      </c>
      <c r="E8772" s="9" t="s">
        <v>29</v>
      </c>
      <c r="F8772" s="9" t="s">
        <v>83</v>
      </c>
      <c r="G8772" s="9" t="s">
        <v>84</v>
      </c>
      <c r="H8772" s="11" t="s">
        <v>23</v>
      </c>
      <c r="I8772" s="12" t="n">
        <v>40</v>
      </c>
      <c r="J8772" s="13" t="n">
        <v>155</v>
      </c>
      <c r="K8772" s="14" t="n">
        <f aca="false">I8772*J8772</f>
        <v>6200</v>
      </c>
      <c r="L8772" s="14" t="n">
        <f aca="false">($L$2*M8772)/100</f>
        <v>552766.59</v>
      </c>
      <c r="M8772" s="15" t="n">
        <v>0.46</v>
      </c>
      <c r="N8772" s="9" t="s">
        <v>26</v>
      </c>
    </row>
    <row r="8773" customFormat="false" ht="14.25" hidden="false" customHeight="true" outlineLevel="0" collapsed="false">
      <c r="B8773" s="9" t="s">
        <v>32</v>
      </c>
      <c r="C8773" s="9" t="n">
        <v>1128299</v>
      </c>
      <c r="D8773" s="10" t="n">
        <v>44517</v>
      </c>
      <c r="E8773" s="9" t="s">
        <v>29</v>
      </c>
      <c r="F8773" s="9" t="s">
        <v>83</v>
      </c>
      <c r="G8773" s="9" t="s">
        <v>84</v>
      </c>
      <c r="H8773" s="11" t="s">
        <v>24</v>
      </c>
      <c r="I8773" s="12" t="n">
        <v>53</v>
      </c>
      <c r="J8773" s="13" t="n">
        <v>147</v>
      </c>
      <c r="K8773" s="14" t="n">
        <f aca="false">I8773*J8773</f>
        <v>7791</v>
      </c>
      <c r="L8773" s="14" t="n">
        <f aca="false">($L$2*M8773)/100</f>
        <v>564783.255</v>
      </c>
      <c r="M8773" s="15" t="n">
        <v>0.47</v>
      </c>
      <c r="N8773" s="9" t="s">
        <v>26</v>
      </c>
    </row>
    <row r="8774" customFormat="false" ht="14.25" hidden="false" customHeight="true" outlineLevel="0" collapsed="false">
      <c r="B8774" s="9" t="s">
        <v>32</v>
      </c>
      <c r="C8774" s="9" t="n">
        <v>1128299</v>
      </c>
      <c r="D8774" s="10" t="n">
        <v>44517</v>
      </c>
      <c r="E8774" s="9" t="s">
        <v>29</v>
      </c>
      <c r="F8774" s="9" t="s">
        <v>83</v>
      </c>
      <c r="G8774" s="9" t="s">
        <v>84</v>
      </c>
      <c r="H8774" s="11" t="s">
        <v>25</v>
      </c>
      <c r="I8774" s="12" t="n">
        <v>64</v>
      </c>
      <c r="J8774" s="13" t="n">
        <v>180</v>
      </c>
      <c r="K8774" s="14" t="n">
        <f aca="false">I8774*J8774</f>
        <v>11520</v>
      </c>
      <c r="L8774" s="14" t="n">
        <f aca="false">($L$2*M8774)/100</f>
        <v>492683.265</v>
      </c>
      <c r="M8774" s="15" t="n">
        <v>0.41</v>
      </c>
      <c r="N8774" s="9" t="s">
        <v>26</v>
      </c>
    </row>
    <row r="8775" customFormat="false" ht="14.25" hidden="false" customHeight="true" outlineLevel="0" collapsed="false">
      <c r="B8775" s="9" t="s">
        <v>32</v>
      </c>
      <c r="C8775" s="9" t="n">
        <v>1128299</v>
      </c>
      <c r="D8775" s="10" t="n">
        <v>44546</v>
      </c>
      <c r="E8775" s="9" t="s">
        <v>29</v>
      </c>
      <c r="F8775" s="9" t="s">
        <v>83</v>
      </c>
      <c r="G8775" s="9" t="s">
        <v>84</v>
      </c>
      <c r="H8775" s="11" t="s">
        <v>19</v>
      </c>
      <c r="I8775" s="12" t="n">
        <v>46</v>
      </c>
      <c r="J8775" s="13" t="n">
        <v>272</v>
      </c>
      <c r="K8775" s="14" t="n">
        <f aca="false">I8775*J8775</f>
        <v>12512</v>
      </c>
      <c r="L8775" s="14" t="n">
        <f aca="false">($L$2*M8775)/100</f>
        <v>552766.59</v>
      </c>
      <c r="M8775" s="15" t="n">
        <v>0.46</v>
      </c>
      <c r="N8775" s="9" t="s">
        <v>26</v>
      </c>
    </row>
    <row r="8776" customFormat="false" ht="14.25" hidden="false" customHeight="true" outlineLevel="0" collapsed="false">
      <c r="B8776" s="9" t="s">
        <v>32</v>
      </c>
      <c r="C8776" s="9" t="n">
        <v>1128299</v>
      </c>
      <c r="D8776" s="10" t="n">
        <v>44546</v>
      </c>
      <c r="E8776" s="9" t="s">
        <v>29</v>
      </c>
      <c r="F8776" s="9" t="s">
        <v>83</v>
      </c>
      <c r="G8776" s="9" t="s">
        <v>84</v>
      </c>
      <c r="H8776" s="11" t="s">
        <v>21</v>
      </c>
      <c r="I8776" s="12" t="n">
        <v>52</v>
      </c>
      <c r="J8776" s="13" t="n">
        <v>248</v>
      </c>
      <c r="K8776" s="14" t="n">
        <f aca="false">I8776*J8776</f>
        <v>12896</v>
      </c>
      <c r="L8776" s="14" t="n">
        <f aca="false">($L$2*M8776)/100</f>
        <v>528733.26</v>
      </c>
      <c r="M8776" s="15" t="n">
        <v>0.44</v>
      </c>
      <c r="N8776" s="9" t="s">
        <v>26</v>
      </c>
    </row>
    <row r="8777" customFormat="false" ht="14.25" hidden="false" customHeight="true" outlineLevel="0" collapsed="false">
      <c r="B8777" s="9" t="s">
        <v>16</v>
      </c>
      <c r="C8777" s="9" t="n">
        <v>1128299</v>
      </c>
      <c r="D8777" s="10" t="n">
        <v>44546</v>
      </c>
      <c r="E8777" s="9" t="s">
        <v>29</v>
      </c>
      <c r="F8777" s="9" t="s">
        <v>83</v>
      </c>
      <c r="G8777" s="9" t="s">
        <v>84</v>
      </c>
      <c r="H8777" s="11" t="s">
        <v>22</v>
      </c>
      <c r="I8777" s="12" t="n">
        <v>53</v>
      </c>
      <c r="J8777" s="13" t="n">
        <v>192</v>
      </c>
      <c r="K8777" s="14" t="n">
        <f aca="false">I8777*J8777</f>
        <v>10176</v>
      </c>
      <c r="L8777" s="14" t="n">
        <f aca="false">($L$2*M8777)/100</f>
        <v>516716.595</v>
      </c>
      <c r="M8777" s="15" t="n">
        <v>0.43</v>
      </c>
      <c r="N8777" s="9" t="s">
        <v>26</v>
      </c>
    </row>
    <row r="8778" customFormat="false" ht="14.25" hidden="false" customHeight="true" outlineLevel="0" collapsed="false">
      <c r="B8778" s="9" t="s">
        <v>16</v>
      </c>
      <c r="C8778" s="9" t="n">
        <v>1128299</v>
      </c>
      <c r="D8778" s="10" t="n">
        <v>44546</v>
      </c>
      <c r="E8778" s="9" t="s">
        <v>29</v>
      </c>
      <c r="F8778" s="9" t="s">
        <v>83</v>
      </c>
      <c r="G8778" s="9" t="s">
        <v>84</v>
      </c>
      <c r="H8778" s="11" t="s">
        <v>23</v>
      </c>
      <c r="I8778" s="12" t="n">
        <v>53</v>
      </c>
      <c r="J8778" s="13" t="n">
        <v>192</v>
      </c>
      <c r="K8778" s="14" t="n">
        <f aca="false">I8778*J8778</f>
        <v>10176</v>
      </c>
      <c r="L8778" s="14" t="n">
        <f aca="false">($L$2*M8778)/100</f>
        <v>564783.255</v>
      </c>
      <c r="M8778" s="15" t="n">
        <v>0.47</v>
      </c>
      <c r="N8778" s="9" t="s">
        <v>26</v>
      </c>
    </row>
    <row r="8779" customFormat="false" ht="14.25" hidden="false" customHeight="true" outlineLevel="0" collapsed="false">
      <c r="B8779" s="9" t="s">
        <v>16</v>
      </c>
      <c r="C8779" s="9" t="n">
        <v>1128299</v>
      </c>
      <c r="D8779" s="10" t="n">
        <v>44546</v>
      </c>
      <c r="E8779" s="9" t="s">
        <v>29</v>
      </c>
      <c r="F8779" s="9" t="s">
        <v>83</v>
      </c>
      <c r="G8779" s="9" t="s">
        <v>84</v>
      </c>
      <c r="H8779" s="11" t="s">
        <v>24</v>
      </c>
      <c r="I8779" s="12" t="n">
        <v>55</v>
      </c>
      <c r="J8779" s="13" t="n">
        <v>168</v>
      </c>
      <c r="K8779" s="14" t="n">
        <f aca="false">I8779*J8779</f>
        <v>9240</v>
      </c>
      <c r="L8779" s="14" t="n">
        <f aca="false">($L$2*M8779)/100</f>
        <v>576799.92</v>
      </c>
      <c r="M8779" s="15" t="n">
        <v>0.48</v>
      </c>
      <c r="N8779" s="9" t="s">
        <v>26</v>
      </c>
    </row>
    <row r="8780" customFormat="false" ht="14.25" hidden="false" customHeight="true" outlineLevel="0" collapsed="false">
      <c r="B8780" s="9" t="s">
        <v>16</v>
      </c>
      <c r="C8780" s="9" t="n">
        <v>1128299</v>
      </c>
      <c r="D8780" s="10" t="n">
        <v>44546</v>
      </c>
      <c r="E8780" s="9" t="s">
        <v>29</v>
      </c>
      <c r="F8780" s="9" t="s">
        <v>83</v>
      </c>
      <c r="G8780" s="9" t="s">
        <v>84</v>
      </c>
      <c r="H8780" s="11" t="s">
        <v>25</v>
      </c>
      <c r="I8780" s="12" t="n">
        <v>59</v>
      </c>
      <c r="J8780" s="13" t="n">
        <v>194</v>
      </c>
      <c r="K8780" s="14" t="n">
        <f aca="false">I8780*J8780</f>
        <v>11446</v>
      </c>
      <c r="L8780" s="14" t="n">
        <f aca="false">($L$2*M8780)/100</f>
        <v>480666.6</v>
      </c>
      <c r="M8780" s="15" t="n">
        <v>0.4</v>
      </c>
      <c r="N8780" s="9" t="s">
        <v>26</v>
      </c>
    </row>
    <row r="8781" customFormat="false" ht="14.25" hidden="false" customHeight="true" outlineLevel="0" collapsed="false">
      <c r="B8781" s="9" t="s">
        <v>16</v>
      </c>
      <c r="C8781" s="9" t="n">
        <v>1197831</v>
      </c>
      <c r="D8781" s="10" t="n">
        <v>44201</v>
      </c>
      <c r="E8781" s="9" t="s">
        <v>29</v>
      </c>
      <c r="F8781" s="9" t="s">
        <v>83</v>
      </c>
      <c r="G8781" s="9" t="s">
        <v>84</v>
      </c>
      <c r="H8781" s="11" t="s">
        <v>19</v>
      </c>
      <c r="I8781" s="12" t="n">
        <v>14</v>
      </c>
      <c r="J8781" s="13" t="n">
        <v>223</v>
      </c>
      <c r="K8781" s="14" t="n">
        <f aca="false">I8781*J8781</f>
        <v>3122</v>
      </c>
      <c r="L8781" s="14" t="n">
        <f aca="false">($L$2*M8781)/100</f>
        <v>408566.61</v>
      </c>
      <c r="M8781" s="15" t="n">
        <v>0.34</v>
      </c>
      <c r="N8781" s="9" t="s">
        <v>26</v>
      </c>
    </row>
    <row r="8782" customFormat="false" ht="14.25" hidden="false" customHeight="true" outlineLevel="0" collapsed="false">
      <c r="B8782" s="9" t="s">
        <v>16</v>
      </c>
      <c r="C8782" s="9" t="n">
        <v>1197831</v>
      </c>
      <c r="D8782" s="10" t="n">
        <v>44201</v>
      </c>
      <c r="E8782" s="9" t="s">
        <v>29</v>
      </c>
      <c r="F8782" s="9" t="s">
        <v>83</v>
      </c>
      <c r="G8782" s="9" t="s">
        <v>84</v>
      </c>
      <c r="H8782" s="11" t="s">
        <v>21</v>
      </c>
      <c r="I8782" s="12" t="n">
        <v>20</v>
      </c>
      <c r="J8782" s="13" t="n">
        <v>209</v>
      </c>
      <c r="K8782" s="14" t="n">
        <f aca="false">I8782*J8782</f>
        <v>4180</v>
      </c>
      <c r="L8782" s="14" t="n">
        <f aca="false">($L$2*M8782)/100</f>
        <v>432599.94</v>
      </c>
      <c r="M8782" s="15" t="n">
        <v>0.36</v>
      </c>
      <c r="N8782" s="9" t="s">
        <v>26</v>
      </c>
    </row>
    <row r="8783" customFormat="false" ht="14.25" hidden="false" customHeight="true" outlineLevel="0" collapsed="false">
      <c r="B8783" s="9" t="s">
        <v>16</v>
      </c>
      <c r="C8783" s="9" t="n">
        <v>1197831</v>
      </c>
      <c r="D8783" s="10" t="n">
        <v>44201</v>
      </c>
      <c r="E8783" s="9" t="s">
        <v>29</v>
      </c>
      <c r="F8783" s="9" t="s">
        <v>83</v>
      </c>
      <c r="G8783" s="9" t="s">
        <v>84</v>
      </c>
      <c r="H8783" s="11" t="s">
        <v>22</v>
      </c>
      <c r="I8783" s="12" t="n">
        <v>21</v>
      </c>
      <c r="J8783" s="13" t="n">
        <v>162</v>
      </c>
      <c r="K8783" s="14" t="n">
        <f aca="false">I8783*J8783</f>
        <v>3402</v>
      </c>
      <c r="L8783" s="14" t="n">
        <f aca="false">($L$2*M8783)/100</f>
        <v>444616.605</v>
      </c>
      <c r="M8783" s="15" t="n">
        <v>0.37</v>
      </c>
      <c r="N8783" s="9" t="s">
        <v>26</v>
      </c>
    </row>
    <row r="8784" customFormat="false" ht="14.25" hidden="false" customHeight="true" outlineLevel="0" collapsed="false">
      <c r="B8784" s="9" t="s">
        <v>16</v>
      </c>
      <c r="C8784" s="9" t="n">
        <v>1197831</v>
      </c>
      <c r="D8784" s="10" t="n">
        <v>44201</v>
      </c>
      <c r="E8784" s="9" t="s">
        <v>29</v>
      </c>
      <c r="F8784" s="9" t="s">
        <v>83</v>
      </c>
      <c r="G8784" s="9" t="s">
        <v>84</v>
      </c>
      <c r="H8784" s="11" t="s">
        <v>23</v>
      </c>
      <c r="I8784" s="12" t="n">
        <v>26</v>
      </c>
      <c r="J8784" s="13" t="n">
        <v>166</v>
      </c>
      <c r="K8784" s="14" t="n">
        <f aca="false">I8784*J8784</f>
        <v>4316</v>
      </c>
      <c r="L8784" s="14" t="n">
        <f aca="false">($L$2*M8784)/100</f>
        <v>504699.93</v>
      </c>
      <c r="M8784" s="15" t="n">
        <v>0.42</v>
      </c>
      <c r="N8784" s="9" t="s">
        <v>26</v>
      </c>
    </row>
    <row r="8785" customFormat="false" ht="14.25" hidden="false" customHeight="true" outlineLevel="0" collapsed="false">
      <c r="B8785" s="9" t="s">
        <v>16</v>
      </c>
      <c r="C8785" s="9" t="n">
        <v>1197831</v>
      </c>
      <c r="D8785" s="10" t="n">
        <v>44201</v>
      </c>
      <c r="E8785" s="9" t="s">
        <v>29</v>
      </c>
      <c r="F8785" s="9" t="s">
        <v>83</v>
      </c>
      <c r="G8785" s="9" t="s">
        <v>84</v>
      </c>
      <c r="H8785" s="11" t="s">
        <v>24</v>
      </c>
      <c r="I8785" s="12" t="n">
        <v>28</v>
      </c>
      <c r="J8785" s="13" t="n">
        <v>111</v>
      </c>
      <c r="K8785" s="14" t="n">
        <f aca="false">I8785*J8785</f>
        <v>3108</v>
      </c>
      <c r="L8785" s="14" t="n">
        <f aca="false">($L$2*M8785)/100</f>
        <v>336466.62</v>
      </c>
      <c r="M8785" s="15" t="n">
        <v>0.28</v>
      </c>
      <c r="N8785" s="9" t="s">
        <v>26</v>
      </c>
    </row>
    <row r="8786" customFormat="false" ht="14.25" hidden="false" customHeight="true" outlineLevel="0" collapsed="false">
      <c r="B8786" s="9" t="s">
        <v>32</v>
      </c>
      <c r="C8786" s="9" t="n">
        <v>1197831</v>
      </c>
      <c r="D8786" s="10" t="n">
        <v>44201</v>
      </c>
      <c r="E8786" s="9" t="s">
        <v>29</v>
      </c>
      <c r="F8786" s="9" t="s">
        <v>83</v>
      </c>
      <c r="G8786" s="9" t="s">
        <v>84</v>
      </c>
      <c r="H8786" s="11" t="s">
        <v>25</v>
      </c>
      <c r="I8786" s="12" t="n">
        <v>23</v>
      </c>
      <c r="J8786" s="13" t="n">
        <v>147</v>
      </c>
      <c r="K8786" s="14" t="n">
        <f aca="false">I8786*J8786</f>
        <v>3381</v>
      </c>
      <c r="L8786" s="14" t="n">
        <f aca="false">($L$2*M8786)/100</f>
        <v>600833.25</v>
      </c>
      <c r="M8786" s="15" t="n">
        <v>0.5</v>
      </c>
      <c r="N8786" s="9" t="s">
        <v>26</v>
      </c>
    </row>
    <row r="8787" customFormat="false" ht="14.25" hidden="false" customHeight="true" outlineLevel="0" collapsed="false">
      <c r="B8787" s="9" t="s">
        <v>16</v>
      </c>
      <c r="C8787" s="9" t="n">
        <v>1197831</v>
      </c>
      <c r="D8787" s="10" t="n">
        <v>44231</v>
      </c>
      <c r="E8787" s="9" t="s">
        <v>29</v>
      </c>
      <c r="F8787" s="9" t="s">
        <v>83</v>
      </c>
      <c r="G8787" s="9" t="s">
        <v>84</v>
      </c>
      <c r="H8787" s="11" t="s">
        <v>19</v>
      </c>
      <c r="I8787" s="12" t="n">
        <v>18</v>
      </c>
      <c r="J8787" s="13" t="n">
        <v>200</v>
      </c>
      <c r="K8787" s="14" t="n">
        <f aca="false">I8787*J8787</f>
        <v>3600</v>
      </c>
      <c r="L8787" s="14" t="n">
        <f aca="false">($L$2*M8787)/100</f>
        <v>384533.28</v>
      </c>
      <c r="M8787" s="15" t="n">
        <v>0.32</v>
      </c>
      <c r="N8787" s="9" t="s">
        <v>26</v>
      </c>
    </row>
    <row r="8788" customFormat="false" ht="14.25" hidden="false" customHeight="true" outlineLevel="0" collapsed="false">
      <c r="B8788" s="9" t="s">
        <v>16</v>
      </c>
      <c r="C8788" s="9" t="n">
        <v>1197831</v>
      </c>
      <c r="D8788" s="10" t="n">
        <v>44231</v>
      </c>
      <c r="E8788" s="9" t="s">
        <v>29</v>
      </c>
      <c r="F8788" s="9" t="s">
        <v>83</v>
      </c>
      <c r="G8788" s="9" t="s">
        <v>84</v>
      </c>
      <c r="H8788" s="11" t="s">
        <v>21</v>
      </c>
      <c r="I8788" s="12" t="n">
        <v>28</v>
      </c>
      <c r="J8788" s="13" t="n">
        <v>180</v>
      </c>
      <c r="K8788" s="14" t="n">
        <f aca="false">I8788*J8788</f>
        <v>5040</v>
      </c>
      <c r="L8788" s="14" t="n">
        <f aca="false">($L$2*M8788)/100</f>
        <v>396549.945</v>
      </c>
      <c r="M8788" s="15" t="n">
        <v>0.33</v>
      </c>
      <c r="N8788" s="9" t="s">
        <v>26</v>
      </c>
    </row>
    <row r="8789" customFormat="false" ht="14.25" hidden="false" customHeight="true" outlineLevel="0" collapsed="false">
      <c r="B8789" s="9" t="s">
        <v>16</v>
      </c>
      <c r="C8789" s="9" t="n">
        <v>1197831</v>
      </c>
      <c r="D8789" s="10" t="n">
        <v>44231</v>
      </c>
      <c r="E8789" s="9" t="s">
        <v>29</v>
      </c>
      <c r="F8789" s="9" t="s">
        <v>83</v>
      </c>
      <c r="G8789" s="9" t="s">
        <v>84</v>
      </c>
      <c r="H8789" s="11" t="s">
        <v>22</v>
      </c>
      <c r="I8789" s="12" t="n">
        <v>28</v>
      </c>
      <c r="J8789" s="13" t="n">
        <v>128</v>
      </c>
      <c r="K8789" s="14" t="n">
        <f aca="false">I8789*J8789</f>
        <v>3584</v>
      </c>
      <c r="L8789" s="14" t="n">
        <f aca="false">($L$2*M8789)/100</f>
        <v>420583.275</v>
      </c>
      <c r="M8789" s="15" t="n">
        <v>0.35</v>
      </c>
      <c r="N8789" s="9" t="s">
        <v>26</v>
      </c>
    </row>
    <row r="8790" customFormat="false" ht="14.25" hidden="false" customHeight="true" outlineLevel="0" collapsed="false">
      <c r="B8790" s="9" t="s">
        <v>16</v>
      </c>
      <c r="C8790" s="9" t="n">
        <v>1197831</v>
      </c>
      <c r="D8790" s="10" t="n">
        <v>44231</v>
      </c>
      <c r="E8790" s="9" t="s">
        <v>33</v>
      </c>
      <c r="F8790" s="9" t="s">
        <v>86</v>
      </c>
      <c r="G8790" s="9" t="s">
        <v>87</v>
      </c>
      <c r="H8790" s="11" t="s">
        <v>23</v>
      </c>
      <c r="I8790" s="12" t="n">
        <v>27</v>
      </c>
      <c r="J8790" s="13" t="n">
        <v>116</v>
      </c>
      <c r="K8790" s="14" t="n">
        <f aca="false">I8790*J8790</f>
        <v>3132</v>
      </c>
      <c r="L8790" s="14" t="n">
        <f aca="false">($L$2*M8790)/100</f>
        <v>504699.93</v>
      </c>
      <c r="M8790" s="15" t="n">
        <v>0.42</v>
      </c>
      <c r="N8790" s="9" t="s">
        <v>26</v>
      </c>
    </row>
    <row r="8791" customFormat="false" ht="14.25" hidden="false" customHeight="true" outlineLevel="0" collapsed="false">
      <c r="B8791" s="9" t="s">
        <v>16</v>
      </c>
      <c r="C8791" s="9" t="n">
        <v>1197831</v>
      </c>
      <c r="D8791" s="10" t="n">
        <v>44231</v>
      </c>
      <c r="E8791" s="9" t="s">
        <v>33</v>
      </c>
      <c r="F8791" s="9" t="s">
        <v>86</v>
      </c>
      <c r="G8791" s="9" t="s">
        <v>87</v>
      </c>
      <c r="H8791" s="11" t="s">
        <v>24</v>
      </c>
      <c r="I8791" s="12" t="n">
        <v>31</v>
      </c>
      <c r="J8791" s="13" t="n">
        <v>88</v>
      </c>
      <c r="K8791" s="14" t="n">
        <f aca="false">I8791*J8791</f>
        <v>2728</v>
      </c>
      <c r="L8791" s="14" t="n">
        <f aca="false">($L$2*M8791)/100</f>
        <v>360499.95</v>
      </c>
      <c r="M8791" s="15" t="n">
        <v>0.3</v>
      </c>
      <c r="N8791" s="9" t="s">
        <v>26</v>
      </c>
    </row>
    <row r="8792" customFormat="false" ht="14.25" hidden="false" customHeight="true" outlineLevel="0" collapsed="false">
      <c r="B8792" s="9" t="s">
        <v>16</v>
      </c>
      <c r="C8792" s="9" t="n">
        <v>1197831</v>
      </c>
      <c r="D8792" s="10" t="n">
        <v>44231</v>
      </c>
      <c r="E8792" s="9" t="s">
        <v>33</v>
      </c>
      <c r="F8792" s="9" t="s">
        <v>86</v>
      </c>
      <c r="G8792" s="9" t="s">
        <v>87</v>
      </c>
      <c r="H8792" s="11" t="s">
        <v>25</v>
      </c>
      <c r="I8792" s="12" t="n">
        <v>26</v>
      </c>
      <c r="J8792" s="13" t="n">
        <v>135</v>
      </c>
      <c r="K8792" s="14" t="n">
        <f aca="false">I8792*J8792</f>
        <v>3510</v>
      </c>
      <c r="L8792" s="14" t="n">
        <f aca="false">($L$2*M8792)/100</f>
        <v>624866.58</v>
      </c>
      <c r="M8792" s="15" t="n">
        <v>0.52</v>
      </c>
      <c r="N8792" s="9" t="s">
        <v>26</v>
      </c>
    </row>
    <row r="8793" customFormat="false" ht="14.25" hidden="false" customHeight="true" outlineLevel="0" collapsed="false">
      <c r="B8793" s="9" t="s">
        <v>16</v>
      </c>
      <c r="C8793" s="9" t="n">
        <v>1197831</v>
      </c>
      <c r="D8793" s="10" t="n">
        <v>44261</v>
      </c>
      <c r="E8793" s="9" t="s">
        <v>33</v>
      </c>
      <c r="F8793" s="9" t="s">
        <v>86</v>
      </c>
      <c r="G8793" s="9" t="s">
        <v>87</v>
      </c>
      <c r="H8793" s="11" t="s">
        <v>19</v>
      </c>
      <c r="I8793" s="12" t="n">
        <v>21</v>
      </c>
      <c r="J8793" s="13" t="n">
        <v>200</v>
      </c>
      <c r="K8793" s="14" t="n">
        <f aca="false">I8793*J8793</f>
        <v>4200</v>
      </c>
      <c r="L8793" s="14" t="n">
        <f aca="false">($L$2*M8793)/100</f>
        <v>444616.605</v>
      </c>
      <c r="M8793" s="15" t="n">
        <v>0.37</v>
      </c>
      <c r="N8793" s="9" t="s">
        <v>26</v>
      </c>
    </row>
    <row r="8794" customFormat="false" ht="14.25" hidden="false" customHeight="true" outlineLevel="0" collapsed="false">
      <c r="B8794" s="9" t="s">
        <v>16</v>
      </c>
      <c r="C8794" s="9" t="n">
        <v>1197831</v>
      </c>
      <c r="D8794" s="10" t="n">
        <v>44261</v>
      </c>
      <c r="E8794" s="9" t="s">
        <v>33</v>
      </c>
      <c r="F8794" s="9" t="s">
        <v>86</v>
      </c>
      <c r="G8794" s="9" t="s">
        <v>87</v>
      </c>
      <c r="H8794" s="11" t="s">
        <v>21</v>
      </c>
      <c r="I8794" s="12" t="n">
        <v>27</v>
      </c>
      <c r="J8794" s="13" t="n">
        <v>188</v>
      </c>
      <c r="K8794" s="14" t="n">
        <f aca="false">I8794*J8794</f>
        <v>5076</v>
      </c>
      <c r="L8794" s="14" t="n">
        <f aca="false">($L$2*M8794)/100</f>
        <v>468649.935</v>
      </c>
      <c r="M8794" s="15" t="n">
        <v>0.39</v>
      </c>
      <c r="N8794" s="9" t="s">
        <v>26</v>
      </c>
    </row>
    <row r="8795" customFormat="false" ht="14.25" hidden="false" customHeight="true" outlineLevel="0" collapsed="false">
      <c r="B8795" s="9" t="s">
        <v>16</v>
      </c>
      <c r="C8795" s="9" t="n">
        <v>1197831</v>
      </c>
      <c r="D8795" s="10" t="n">
        <v>44261</v>
      </c>
      <c r="E8795" s="9" t="s">
        <v>33</v>
      </c>
      <c r="F8795" s="9" t="s">
        <v>86</v>
      </c>
      <c r="G8795" s="9" t="s">
        <v>87</v>
      </c>
      <c r="H8795" s="11" t="s">
        <v>22</v>
      </c>
      <c r="I8795" s="12" t="n">
        <v>20</v>
      </c>
      <c r="J8795" s="13" t="n">
        <v>135</v>
      </c>
      <c r="K8795" s="14" t="n">
        <f aca="false">I8795*J8795</f>
        <v>2700</v>
      </c>
      <c r="L8795" s="14" t="n">
        <f aca="false">($L$2*M8795)/100</f>
        <v>456633.27</v>
      </c>
      <c r="M8795" s="15" t="n">
        <v>0.38</v>
      </c>
      <c r="N8795" s="9" t="s">
        <v>26</v>
      </c>
    </row>
    <row r="8796" customFormat="false" ht="14.25" hidden="false" customHeight="true" outlineLevel="0" collapsed="false">
      <c r="B8796" s="9" t="s">
        <v>16</v>
      </c>
      <c r="C8796" s="9" t="n">
        <v>1197831</v>
      </c>
      <c r="D8796" s="10" t="n">
        <v>44261</v>
      </c>
      <c r="E8796" s="9" t="s">
        <v>33</v>
      </c>
      <c r="F8796" s="9" t="s">
        <v>86</v>
      </c>
      <c r="G8796" s="9" t="s">
        <v>87</v>
      </c>
      <c r="H8796" s="11" t="s">
        <v>23</v>
      </c>
      <c r="I8796" s="12" t="n">
        <v>26</v>
      </c>
      <c r="J8796" s="13" t="n">
        <v>112</v>
      </c>
      <c r="K8796" s="14" t="n">
        <f aca="false">I8796*J8796</f>
        <v>2912</v>
      </c>
      <c r="L8796" s="14" t="n">
        <f aca="false">($L$2*M8796)/100</f>
        <v>564783.255</v>
      </c>
      <c r="M8796" s="15" t="n">
        <v>0.47</v>
      </c>
      <c r="N8796" s="9" t="s">
        <v>26</v>
      </c>
    </row>
    <row r="8797" customFormat="false" ht="14.25" hidden="false" customHeight="true" outlineLevel="0" collapsed="false">
      <c r="B8797" s="9" t="s">
        <v>32</v>
      </c>
      <c r="C8797" s="9" t="n">
        <v>1197831</v>
      </c>
      <c r="D8797" s="10" t="n">
        <v>44261</v>
      </c>
      <c r="E8797" s="9" t="s">
        <v>33</v>
      </c>
      <c r="F8797" s="9" t="s">
        <v>86</v>
      </c>
      <c r="G8797" s="9" t="s">
        <v>87</v>
      </c>
      <c r="H8797" s="11" t="s">
        <v>24</v>
      </c>
      <c r="I8797" s="12" t="n">
        <v>32</v>
      </c>
      <c r="J8797" s="13" t="n">
        <v>88</v>
      </c>
      <c r="K8797" s="14" t="n">
        <f aca="false">I8797*J8797</f>
        <v>2816</v>
      </c>
      <c r="L8797" s="14" t="n">
        <f aca="false">($L$2*M8797)/100</f>
        <v>420583.275</v>
      </c>
      <c r="M8797" s="15" t="n">
        <v>0.35</v>
      </c>
      <c r="N8797" s="9" t="s">
        <v>26</v>
      </c>
    </row>
    <row r="8798" customFormat="false" ht="14.25" hidden="false" customHeight="true" outlineLevel="0" collapsed="false">
      <c r="B8798" s="9" t="s">
        <v>32</v>
      </c>
      <c r="C8798" s="9" t="n">
        <v>1197831</v>
      </c>
      <c r="D8798" s="10" t="n">
        <v>44261</v>
      </c>
      <c r="E8798" s="9" t="s">
        <v>33</v>
      </c>
      <c r="F8798" s="9" t="s">
        <v>86</v>
      </c>
      <c r="G8798" s="9" t="s">
        <v>87</v>
      </c>
      <c r="H8798" s="11" t="s">
        <v>25</v>
      </c>
      <c r="I8798" s="12" t="n">
        <v>25</v>
      </c>
      <c r="J8798" s="13" t="n">
        <v>124</v>
      </c>
      <c r="K8798" s="14" t="n">
        <f aca="false">I8798*J8798</f>
        <v>3100</v>
      </c>
      <c r="L8798" s="14" t="n">
        <f aca="false">($L$2*M8798)/100</f>
        <v>636883.245</v>
      </c>
      <c r="M8798" s="15" t="n">
        <v>0.53</v>
      </c>
      <c r="N8798" s="9" t="s">
        <v>26</v>
      </c>
    </row>
    <row r="8799" customFormat="false" ht="14.25" hidden="false" customHeight="true" outlineLevel="0" collapsed="false">
      <c r="B8799" s="9" t="s">
        <v>32</v>
      </c>
      <c r="C8799" s="9" t="n">
        <v>1197831</v>
      </c>
      <c r="D8799" s="10" t="n">
        <v>44291</v>
      </c>
      <c r="E8799" s="9" t="s">
        <v>33</v>
      </c>
      <c r="F8799" s="9" t="s">
        <v>86</v>
      </c>
      <c r="G8799" s="9" t="s">
        <v>87</v>
      </c>
      <c r="H8799" s="11" t="s">
        <v>19</v>
      </c>
      <c r="I8799" s="12" t="n">
        <v>15</v>
      </c>
      <c r="J8799" s="13" t="n">
        <v>215</v>
      </c>
      <c r="K8799" s="14" t="n">
        <f aca="false">I8799*J8799</f>
        <v>3225</v>
      </c>
      <c r="L8799" s="14" t="n">
        <f aca="false">($L$2*M8799)/100</f>
        <v>504699.93</v>
      </c>
      <c r="M8799" s="15" t="n">
        <v>0.42</v>
      </c>
      <c r="N8799" s="9" t="s">
        <v>26</v>
      </c>
    </row>
    <row r="8800" customFormat="false" ht="14.25" hidden="false" customHeight="true" outlineLevel="0" collapsed="false">
      <c r="B8800" s="9" t="s">
        <v>32</v>
      </c>
      <c r="C8800" s="9" t="n">
        <v>1197831</v>
      </c>
      <c r="D8800" s="10" t="n">
        <v>44291</v>
      </c>
      <c r="E8800" s="9" t="s">
        <v>33</v>
      </c>
      <c r="F8800" s="9" t="s">
        <v>86</v>
      </c>
      <c r="G8800" s="9" t="s">
        <v>87</v>
      </c>
      <c r="H8800" s="11" t="s">
        <v>21</v>
      </c>
      <c r="I8800" s="12" t="n">
        <v>21</v>
      </c>
      <c r="J8800" s="13" t="n">
        <v>215</v>
      </c>
      <c r="K8800" s="14" t="n">
        <f aca="false">I8800*J8800</f>
        <v>4515</v>
      </c>
      <c r="L8800" s="14" t="n">
        <f aca="false">($L$2*M8800)/100</f>
        <v>468649.935</v>
      </c>
      <c r="M8800" s="15" t="n">
        <v>0.39</v>
      </c>
      <c r="N8800" s="9" t="s">
        <v>26</v>
      </c>
    </row>
    <row r="8801" customFormat="false" ht="14.25" hidden="false" customHeight="true" outlineLevel="0" collapsed="false">
      <c r="B8801" s="9" t="s">
        <v>32</v>
      </c>
      <c r="C8801" s="9" t="n">
        <v>1197831</v>
      </c>
      <c r="D8801" s="10" t="n">
        <v>44291</v>
      </c>
      <c r="E8801" s="9" t="s">
        <v>33</v>
      </c>
      <c r="F8801" s="9" t="s">
        <v>86</v>
      </c>
      <c r="G8801" s="9" t="s">
        <v>87</v>
      </c>
      <c r="H8801" s="11" t="s">
        <v>22</v>
      </c>
      <c r="I8801" s="12" t="n">
        <v>19</v>
      </c>
      <c r="J8801" s="13" t="n">
        <v>162</v>
      </c>
      <c r="K8801" s="14" t="n">
        <f aca="false">I8801*J8801</f>
        <v>3078</v>
      </c>
      <c r="L8801" s="14" t="n">
        <f aca="false">($L$2*M8801)/100</f>
        <v>444616.605</v>
      </c>
      <c r="M8801" s="15" t="n">
        <v>0.37</v>
      </c>
      <c r="N8801" s="9" t="s">
        <v>26</v>
      </c>
    </row>
    <row r="8802" customFormat="false" ht="14.25" hidden="false" customHeight="true" outlineLevel="0" collapsed="false">
      <c r="B8802" s="9" t="s">
        <v>32</v>
      </c>
      <c r="C8802" s="9" t="n">
        <v>1197831</v>
      </c>
      <c r="D8802" s="10" t="n">
        <v>44291</v>
      </c>
      <c r="E8802" s="9" t="s">
        <v>33</v>
      </c>
      <c r="F8802" s="9" t="s">
        <v>86</v>
      </c>
      <c r="G8802" s="9" t="s">
        <v>87</v>
      </c>
      <c r="H8802" s="11" t="s">
        <v>23</v>
      </c>
      <c r="I8802" s="12" t="n">
        <v>20</v>
      </c>
      <c r="J8802" s="13" t="n">
        <v>116</v>
      </c>
      <c r="K8802" s="14" t="n">
        <f aca="false">I8802*J8802</f>
        <v>2320</v>
      </c>
      <c r="L8802" s="14" t="n">
        <f aca="false">($L$2*M8802)/100</f>
        <v>588816.585</v>
      </c>
      <c r="M8802" s="15" t="n">
        <v>0.49</v>
      </c>
      <c r="N8802" s="9" t="s">
        <v>26</v>
      </c>
    </row>
    <row r="8803" customFormat="false" ht="14.25" hidden="false" customHeight="true" outlineLevel="0" collapsed="false">
      <c r="B8803" s="9" t="s">
        <v>32</v>
      </c>
      <c r="C8803" s="9" t="n">
        <v>1197831</v>
      </c>
      <c r="D8803" s="10" t="n">
        <v>44291</v>
      </c>
      <c r="E8803" s="9" t="s">
        <v>33</v>
      </c>
      <c r="F8803" s="9" t="s">
        <v>86</v>
      </c>
      <c r="G8803" s="9" t="s">
        <v>87</v>
      </c>
      <c r="H8803" s="11" t="s">
        <v>24</v>
      </c>
      <c r="I8803" s="12" t="n">
        <v>27</v>
      </c>
      <c r="J8803" s="13" t="n">
        <v>91</v>
      </c>
      <c r="K8803" s="14" t="n">
        <f aca="false">I8803*J8803</f>
        <v>2457</v>
      </c>
      <c r="L8803" s="14" t="n">
        <f aca="false">($L$2*M8803)/100</f>
        <v>384533.28</v>
      </c>
      <c r="M8803" s="15" t="n">
        <v>0.32</v>
      </c>
      <c r="N8803" s="9" t="s">
        <v>26</v>
      </c>
    </row>
    <row r="8804" customFormat="false" ht="14.25" hidden="false" customHeight="true" outlineLevel="0" collapsed="false">
      <c r="B8804" s="9" t="s">
        <v>32</v>
      </c>
      <c r="C8804" s="9" t="n">
        <v>1197831</v>
      </c>
      <c r="D8804" s="10" t="n">
        <v>44291</v>
      </c>
      <c r="E8804" s="9" t="s">
        <v>33</v>
      </c>
      <c r="F8804" s="9" t="s">
        <v>86</v>
      </c>
      <c r="G8804" s="9" t="s">
        <v>87</v>
      </c>
      <c r="H8804" s="11" t="s">
        <v>25</v>
      </c>
      <c r="I8804" s="12" t="n">
        <v>23</v>
      </c>
      <c r="J8804" s="13" t="n">
        <v>176</v>
      </c>
      <c r="K8804" s="14" t="n">
        <f aca="false">I8804*J8804</f>
        <v>4048</v>
      </c>
      <c r="L8804" s="14" t="n">
        <f aca="false">($L$2*M8804)/100</f>
        <v>684949.905</v>
      </c>
      <c r="M8804" s="15" t="n">
        <v>0.57</v>
      </c>
      <c r="N8804" s="9" t="s">
        <v>26</v>
      </c>
    </row>
    <row r="8805" customFormat="false" ht="14.25" hidden="false" customHeight="true" outlineLevel="0" collapsed="false">
      <c r="B8805" s="9" t="s">
        <v>32</v>
      </c>
      <c r="C8805" s="9" t="n">
        <v>1197831</v>
      </c>
      <c r="D8805" s="10" t="n">
        <v>44321</v>
      </c>
      <c r="E8805" s="9" t="s">
        <v>33</v>
      </c>
      <c r="F8805" s="9" t="s">
        <v>86</v>
      </c>
      <c r="G8805" s="9" t="s">
        <v>87</v>
      </c>
      <c r="H8805" s="11" t="s">
        <v>19</v>
      </c>
      <c r="I8805" s="12" t="n">
        <v>14</v>
      </c>
      <c r="J8805" s="13" t="n">
        <v>210</v>
      </c>
      <c r="K8805" s="14" t="n">
        <f aca="false">I8805*J8805</f>
        <v>2940</v>
      </c>
      <c r="L8805" s="14" t="n">
        <f aca="false">($L$2*M8805)/100</f>
        <v>504699.93</v>
      </c>
      <c r="M8805" s="15" t="n">
        <v>0.42</v>
      </c>
      <c r="N8805" s="9" t="s">
        <v>26</v>
      </c>
    </row>
    <row r="8806" customFormat="false" ht="14.25" hidden="false" customHeight="true" outlineLevel="0" collapsed="false">
      <c r="B8806" s="9" t="s">
        <v>32</v>
      </c>
      <c r="C8806" s="9" t="n">
        <v>1197831</v>
      </c>
      <c r="D8806" s="10" t="n">
        <v>44321</v>
      </c>
      <c r="E8806" s="9" t="s">
        <v>33</v>
      </c>
      <c r="F8806" s="9" t="s">
        <v>86</v>
      </c>
      <c r="G8806" s="9" t="s">
        <v>87</v>
      </c>
      <c r="H8806" s="11" t="s">
        <v>21</v>
      </c>
      <c r="I8806" s="12" t="n">
        <v>22</v>
      </c>
      <c r="J8806" s="13" t="n">
        <v>247</v>
      </c>
      <c r="K8806" s="14" t="n">
        <f aca="false">I8806*J8806</f>
        <v>5434</v>
      </c>
      <c r="L8806" s="14" t="n">
        <f aca="false">($L$2*M8806)/100</f>
        <v>492683.265</v>
      </c>
      <c r="M8806" s="15" t="n">
        <v>0.41</v>
      </c>
      <c r="N8806" s="9" t="s">
        <v>26</v>
      </c>
    </row>
    <row r="8807" customFormat="false" ht="14.25" hidden="false" customHeight="true" outlineLevel="0" collapsed="false">
      <c r="B8807" s="9" t="s">
        <v>32</v>
      </c>
      <c r="C8807" s="9" t="n">
        <v>1197831</v>
      </c>
      <c r="D8807" s="10" t="n">
        <v>44321</v>
      </c>
      <c r="E8807" s="9" t="s">
        <v>33</v>
      </c>
      <c r="F8807" s="9" t="s">
        <v>86</v>
      </c>
      <c r="G8807" s="9" t="s">
        <v>87</v>
      </c>
      <c r="H8807" s="11" t="s">
        <v>22</v>
      </c>
      <c r="I8807" s="12" t="n">
        <v>18</v>
      </c>
      <c r="J8807" s="13" t="n">
        <v>184</v>
      </c>
      <c r="K8807" s="14" t="n">
        <f aca="false">I8807*J8807</f>
        <v>3312</v>
      </c>
      <c r="L8807" s="14" t="n">
        <f aca="false">($L$2*M8807)/100</f>
        <v>468649.935</v>
      </c>
      <c r="M8807" s="15" t="n">
        <v>0.39</v>
      </c>
      <c r="N8807" s="9" t="s">
        <v>26</v>
      </c>
    </row>
    <row r="8808" customFormat="false" ht="14.25" hidden="false" customHeight="true" outlineLevel="0" collapsed="false">
      <c r="B8808" s="9" t="s">
        <v>32</v>
      </c>
      <c r="C8808" s="9" t="n">
        <v>1197831</v>
      </c>
      <c r="D8808" s="10" t="n">
        <v>44321</v>
      </c>
      <c r="E8808" s="9" t="s">
        <v>33</v>
      </c>
      <c r="F8808" s="9" t="s">
        <v>86</v>
      </c>
      <c r="G8808" s="9" t="s">
        <v>87</v>
      </c>
      <c r="H8808" s="11" t="s">
        <v>23</v>
      </c>
      <c r="I8808" s="12" t="n">
        <v>24</v>
      </c>
      <c r="J8808" s="13" t="n">
        <v>155</v>
      </c>
      <c r="K8808" s="14" t="n">
        <f aca="false">I8808*J8808</f>
        <v>3720</v>
      </c>
      <c r="L8808" s="14" t="n">
        <f aca="false">($L$2*M8808)/100</f>
        <v>600833.25</v>
      </c>
      <c r="M8808" s="15" t="n">
        <v>0.5</v>
      </c>
      <c r="N8808" s="9" t="s">
        <v>26</v>
      </c>
    </row>
    <row r="8809" customFormat="false" ht="14.25" hidden="false" customHeight="true" outlineLevel="0" collapsed="false">
      <c r="B8809" s="9" t="s">
        <v>32</v>
      </c>
      <c r="C8809" s="9" t="n">
        <v>1197831</v>
      </c>
      <c r="D8809" s="10" t="n">
        <v>44321</v>
      </c>
      <c r="E8809" s="9" t="s">
        <v>33</v>
      </c>
      <c r="F8809" s="9" t="s">
        <v>86</v>
      </c>
      <c r="G8809" s="9" t="s">
        <v>87</v>
      </c>
      <c r="H8809" s="11" t="s">
        <v>24</v>
      </c>
      <c r="I8809" s="12" t="n">
        <v>34</v>
      </c>
      <c r="J8809" s="13" t="n">
        <v>120</v>
      </c>
      <c r="K8809" s="14" t="n">
        <f aca="false">I8809*J8809</f>
        <v>4080</v>
      </c>
      <c r="L8809" s="14" t="n">
        <f aca="false">($L$2*M8809)/100</f>
        <v>420583.275</v>
      </c>
      <c r="M8809" s="15" t="n">
        <v>0.35</v>
      </c>
      <c r="N8809" s="9" t="s">
        <v>26</v>
      </c>
    </row>
    <row r="8810" customFormat="false" ht="14.25" hidden="false" customHeight="true" outlineLevel="0" collapsed="false">
      <c r="B8810" s="9" t="s">
        <v>32</v>
      </c>
      <c r="C8810" s="9" t="n">
        <v>1197831</v>
      </c>
      <c r="D8810" s="10" t="n">
        <v>44321</v>
      </c>
      <c r="E8810" s="9" t="s">
        <v>33</v>
      </c>
      <c r="F8810" s="9" t="s">
        <v>86</v>
      </c>
      <c r="G8810" s="9" t="s">
        <v>87</v>
      </c>
      <c r="H8810" s="11" t="s">
        <v>25</v>
      </c>
      <c r="I8810" s="12" t="n">
        <v>33</v>
      </c>
      <c r="J8810" s="13" t="n">
        <v>240</v>
      </c>
      <c r="K8810" s="14" t="n">
        <f aca="false">I8810*J8810</f>
        <v>7920</v>
      </c>
      <c r="L8810" s="14" t="n">
        <f aca="false">($L$2*M8810)/100</f>
        <v>660916.575</v>
      </c>
      <c r="M8810" s="15" t="n">
        <v>0.55</v>
      </c>
      <c r="N8810" s="9" t="s">
        <v>26</v>
      </c>
    </row>
    <row r="8811" customFormat="false" ht="14.25" hidden="false" customHeight="true" outlineLevel="0" collapsed="false">
      <c r="B8811" s="9" t="s">
        <v>32</v>
      </c>
      <c r="C8811" s="9" t="n">
        <v>1197831</v>
      </c>
      <c r="D8811" s="10" t="n">
        <v>44351</v>
      </c>
      <c r="E8811" s="9" t="s">
        <v>33</v>
      </c>
      <c r="F8811" s="9" t="s">
        <v>86</v>
      </c>
      <c r="G8811" s="9" t="s">
        <v>87</v>
      </c>
      <c r="H8811" s="11" t="s">
        <v>19</v>
      </c>
      <c r="I8811" s="12" t="n">
        <v>31</v>
      </c>
      <c r="J8811" s="13" t="n">
        <v>233</v>
      </c>
      <c r="K8811" s="14" t="n">
        <f aca="false">I8811*J8811</f>
        <v>7223</v>
      </c>
      <c r="L8811" s="14" t="n">
        <f aca="false">($L$2*M8811)/100</f>
        <v>456633.27</v>
      </c>
      <c r="M8811" s="15" t="n">
        <v>0.38</v>
      </c>
      <c r="N8811" s="9" t="s">
        <v>26</v>
      </c>
    </row>
    <row r="8812" customFormat="false" ht="14.25" hidden="false" customHeight="true" outlineLevel="0" collapsed="false">
      <c r="B8812" s="9" t="s">
        <v>32</v>
      </c>
      <c r="C8812" s="9" t="n">
        <v>1197831</v>
      </c>
      <c r="D8812" s="10" t="n">
        <v>44351</v>
      </c>
      <c r="E8812" s="9" t="s">
        <v>33</v>
      </c>
      <c r="F8812" s="9" t="s">
        <v>86</v>
      </c>
      <c r="G8812" s="9" t="s">
        <v>87</v>
      </c>
      <c r="H8812" s="11" t="s">
        <v>21</v>
      </c>
      <c r="I8812" s="12" t="n">
        <v>35</v>
      </c>
      <c r="J8812" s="13" t="n">
        <v>263</v>
      </c>
      <c r="K8812" s="14" t="n">
        <f aca="false">I8812*J8812</f>
        <v>9205</v>
      </c>
      <c r="L8812" s="14" t="n">
        <f aca="false">($L$2*M8812)/100</f>
        <v>492683.265</v>
      </c>
      <c r="M8812" s="15" t="n">
        <v>0.41</v>
      </c>
      <c r="N8812" s="9" t="s">
        <v>26</v>
      </c>
    </row>
    <row r="8813" customFormat="false" ht="14.25" hidden="false" customHeight="true" outlineLevel="0" collapsed="false">
      <c r="B8813" s="9" t="s">
        <v>32</v>
      </c>
      <c r="C8813" s="9" t="n">
        <v>1197831</v>
      </c>
      <c r="D8813" s="10" t="n">
        <v>44351</v>
      </c>
      <c r="E8813" s="9" t="s">
        <v>33</v>
      </c>
      <c r="F8813" s="9" t="s">
        <v>86</v>
      </c>
      <c r="G8813" s="9" t="s">
        <v>87</v>
      </c>
      <c r="H8813" s="11" t="s">
        <v>22</v>
      </c>
      <c r="I8813" s="12" t="n">
        <v>34</v>
      </c>
      <c r="J8813" s="13" t="n">
        <v>186</v>
      </c>
      <c r="K8813" s="14" t="n">
        <f aca="false">I8813*J8813</f>
        <v>6324</v>
      </c>
      <c r="L8813" s="14" t="n">
        <f aca="false">($L$2*M8813)/100</f>
        <v>492683.265</v>
      </c>
      <c r="M8813" s="15" t="n">
        <v>0.41</v>
      </c>
      <c r="N8813" s="9" t="s">
        <v>26</v>
      </c>
    </row>
    <row r="8814" customFormat="false" ht="14.25" hidden="false" customHeight="true" outlineLevel="0" collapsed="false">
      <c r="B8814" s="9" t="s">
        <v>32</v>
      </c>
      <c r="C8814" s="9" t="n">
        <v>1197831</v>
      </c>
      <c r="D8814" s="10" t="n">
        <v>44351</v>
      </c>
      <c r="E8814" s="9" t="s">
        <v>33</v>
      </c>
      <c r="F8814" s="9" t="s">
        <v>86</v>
      </c>
      <c r="G8814" s="9" t="s">
        <v>87</v>
      </c>
      <c r="H8814" s="11" t="s">
        <v>23</v>
      </c>
      <c r="I8814" s="12" t="n">
        <v>33</v>
      </c>
      <c r="J8814" s="13" t="n">
        <v>187</v>
      </c>
      <c r="K8814" s="14" t="n">
        <f aca="false">I8814*J8814</f>
        <v>6171</v>
      </c>
      <c r="L8814" s="14" t="n">
        <f aca="false">($L$2*M8814)/100</f>
        <v>588816.585</v>
      </c>
      <c r="M8814" s="15" t="n">
        <v>0.49</v>
      </c>
      <c r="N8814" s="9" t="s">
        <v>26</v>
      </c>
    </row>
    <row r="8815" customFormat="false" ht="14.25" hidden="false" customHeight="true" outlineLevel="0" collapsed="false">
      <c r="B8815" s="9" t="s">
        <v>32</v>
      </c>
      <c r="C8815" s="9" t="n">
        <v>1197831</v>
      </c>
      <c r="D8815" s="10" t="n">
        <v>44351</v>
      </c>
      <c r="E8815" s="9" t="s">
        <v>33</v>
      </c>
      <c r="F8815" s="9" t="s">
        <v>86</v>
      </c>
      <c r="G8815" s="9" t="s">
        <v>87</v>
      </c>
      <c r="H8815" s="11" t="s">
        <v>24</v>
      </c>
      <c r="I8815" s="12" t="n">
        <v>43</v>
      </c>
      <c r="J8815" s="13" t="n">
        <v>158</v>
      </c>
      <c r="K8815" s="14" t="n">
        <f aca="false">I8815*J8815</f>
        <v>6794</v>
      </c>
      <c r="L8815" s="14" t="n">
        <f aca="false">($L$2*M8815)/100</f>
        <v>408566.61</v>
      </c>
      <c r="M8815" s="15" t="n">
        <v>0.34</v>
      </c>
      <c r="N8815" s="9" t="s">
        <v>26</v>
      </c>
    </row>
    <row r="8816" customFormat="false" ht="14.25" hidden="false" customHeight="true" outlineLevel="0" collapsed="false">
      <c r="B8816" s="9" t="s">
        <v>32</v>
      </c>
      <c r="C8816" s="9" t="n">
        <v>1197831</v>
      </c>
      <c r="D8816" s="10" t="n">
        <v>44351</v>
      </c>
      <c r="E8816" s="9" t="s">
        <v>33</v>
      </c>
      <c r="F8816" s="9" t="s">
        <v>86</v>
      </c>
      <c r="G8816" s="9" t="s">
        <v>87</v>
      </c>
      <c r="H8816" s="11" t="s">
        <v>25</v>
      </c>
      <c r="I8816" s="12" t="n">
        <v>39</v>
      </c>
      <c r="J8816" s="13" t="n">
        <v>248</v>
      </c>
      <c r="K8816" s="14" t="n">
        <f aca="false">I8816*J8816</f>
        <v>9672</v>
      </c>
      <c r="L8816" s="14" t="n">
        <f aca="false">($L$2*M8816)/100</f>
        <v>660916.575</v>
      </c>
      <c r="M8816" s="15" t="n">
        <v>0.55</v>
      </c>
      <c r="N8816" s="9" t="s">
        <v>26</v>
      </c>
    </row>
    <row r="8817" customFormat="false" ht="14.25" hidden="false" customHeight="true" outlineLevel="0" collapsed="false">
      <c r="B8817" s="9" t="s">
        <v>32</v>
      </c>
      <c r="C8817" s="9" t="n">
        <v>1197831</v>
      </c>
      <c r="D8817" s="10" t="n">
        <v>44383</v>
      </c>
      <c r="E8817" s="9" t="s">
        <v>33</v>
      </c>
      <c r="F8817" s="9" t="s">
        <v>86</v>
      </c>
      <c r="G8817" s="9" t="s">
        <v>87</v>
      </c>
      <c r="H8817" s="11" t="s">
        <v>19</v>
      </c>
      <c r="I8817" s="12" t="n">
        <v>35</v>
      </c>
      <c r="J8817" s="13" t="n">
        <v>264</v>
      </c>
      <c r="K8817" s="14" t="n">
        <f aca="false">I8817*J8817</f>
        <v>9240</v>
      </c>
      <c r="L8817" s="14" t="n">
        <f aca="false">($L$2*M8817)/100</f>
        <v>552766.59</v>
      </c>
      <c r="M8817" s="15" t="n">
        <v>0.46</v>
      </c>
      <c r="N8817" s="9" t="s">
        <v>26</v>
      </c>
    </row>
    <row r="8818" customFormat="false" ht="14.25" hidden="false" customHeight="true" outlineLevel="0" collapsed="false">
      <c r="B8818" s="9" t="s">
        <v>32</v>
      </c>
      <c r="C8818" s="9" t="n">
        <v>1197831</v>
      </c>
      <c r="D8818" s="10" t="n">
        <v>44383</v>
      </c>
      <c r="E8818" s="9" t="s">
        <v>33</v>
      </c>
      <c r="F8818" s="9" t="s">
        <v>86</v>
      </c>
      <c r="G8818" s="9" t="s">
        <v>87</v>
      </c>
      <c r="H8818" s="11" t="s">
        <v>21</v>
      </c>
      <c r="I8818" s="12" t="n">
        <v>40</v>
      </c>
      <c r="J8818" s="13" t="n">
        <v>271</v>
      </c>
      <c r="K8818" s="14" t="n">
        <f aca="false">I8818*J8818</f>
        <v>10840</v>
      </c>
      <c r="L8818" s="14" t="n">
        <f aca="false">($L$2*M8818)/100</f>
        <v>516716.595</v>
      </c>
      <c r="M8818" s="15" t="n">
        <v>0.43</v>
      </c>
      <c r="N8818" s="9" t="s">
        <v>26</v>
      </c>
    </row>
    <row r="8819" customFormat="false" ht="14.25" hidden="false" customHeight="true" outlineLevel="0" collapsed="false">
      <c r="B8819" s="9" t="s">
        <v>32</v>
      </c>
      <c r="C8819" s="9" t="n">
        <v>1197831</v>
      </c>
      <c r="D8819" s="10" t="n">
        <v>44383</v>
      </c>
      <c r="E8819" s="9" t="s">
        <v>33</v>
      </c>
      <c r="F8819" s="9" t="s">
        <v>86</v>
      </c>
      <c r="G8819" s="9" t="s">
        <v>87</v>
      </c>
      <c r="H8819" s="11" t="s">
        <v>22</v>
      </c>
      <c r="I8819" s="12" t="n">
        <v>34</v>
      </c>
      <c r="J8819" s="13" t="n">
        <v>278</v>
      </c>
      <c r="K8819" s="14" t="n">
        <f aca="false">I8819*J8819</f>
        <v>9452</v>
      </c>
      <c r="L8819" s="14" t="n">
        <f aca="false">($L$2*M8819)/100</f>
        <v>504699.93</v>
      </c>
      <c r="M8819" s="15" t="n">
        <v>0.42</v>
      </c>
      <c r="N8819" s="9" t="s">
        <v>26</v>
      </c>
    </row>
    <row r="8820" customFormat="false" ht="14.25" hidden="false" customHeight="true" outlineLevel="0" collapsed="false">
      <c r="B8820" s="9" t="s">
        <v>32</v>
      </c>
      <c r="C8820" s="9" t="n">
        <v>1197831</v>
      </c>
      <c r="D8820" s="10" t="n">
        <v>44383</v>
      </c>
      <c r="E8820" s="9" t="s">
        <v>33</v>
      </c>
      <c r="F8820" s="9" t="s">
        <v>86</v>
      </c>
      <c r="G8820" s="9" t="s">
        <v>87</v>
      </c>
      <c r="H8820" s="11" t="s">
        <v>23</v>
      </c>
      <c r="I8820" s="12" t="n">
        <v>38</v>
      </c>
      <c r="J8820" s="13" t="n">
        <v>158</v>
      </c>
      <c r="K8820" s="14" t="n">
        <f aca="false">I8820*J8820</f>
        <v>6004</v>
      </c>
      <c r="L8820" s="14" t="n">
        <f aca="false">($L$2*M8820)/100</f>
        <v>636883.245</v>
      </c>
      <c r="M8820" s="15" t="n">
        <v>0.53</v>
      </c>
      <c r="N8820" s="9" t="s">
        <v>26</v>
      </c>
    </row>
    <row r="8821" customFormat="false" ht="14.25" hidden="false" customHeight="true" outlineLevel="0" collapsed="false">
      <c r="B8821" s="9" t="s">
        <v>32</v>
      </c>
      <c r="C8821" s="9" t="n">
        <v>1197831</v>
      </c>
      <c r="D8821" s="10" t="n">
        <v>44383</v>
      </c>
      <c r="E8821" s="9" t="s">
        <v>33</v>
      </c>
      <c r="F8821" s="9" t="s">
        <v>86</v>
      </c>
      <c r="G8821" s="9" t="s">
        <v>87</v>
      </c>
      <c r="H8821" s="11" t="s">
        <v>24</v>
      </c>
      <c r="I8821" s="12" t="n">
        <v>43</v>
      </c>
      <c r="J8821" s="13" t="n">
        <v>173</v>
      </c>
      <c r="K8821" s="14" t="n">
        <f aca="false">I8821*J8821</f>
        <v>7439</v>
      </c>
      <c r="L8821" s="14" t="n">
        <f aca="false">($L$2*M8821)/100</f>
        <v>480666.6</v>
      </c>
      <c r="M8821" s="15" t="n">
        <v>0.4</v>
      </c>
      <c r="N8821" s="9" t="s">
        <v>26</v>
      </c>
    </row>
    <row r="8822" customFormat="false" ht="14.25" hidden="false" customHeight="true" outlineLevel="0" collapsed="false">
      <c r="B8822" s="9" t="s">
        <v>16</v>
      </c>
      <c r="C8822" s="9" t="n">
        <v>1197831</v>
      </c>
      <c r="D8822" s="10" t="n">
        <v>44383</v>
      </c>
      <c r="E8822" s="9" t="s">
        <v>33</v>
      </c>
      <c r="F8822" s="9" t="s">
        <v>86</v>
      </c>
      <c r="G8822" s="9" t="s">
        <v>87</v>
      </c>
      <c r="H8822" s="11" t="s">
        <v>25</v>
      </c>
      <c r="I8822" s="12" t="n">
        <v>51</v>
      </c>
      <c r="J8822" s="13" t="n">
        <v>264</v>
      </c>
      <c r="K8822" s="14" t="n">
        <f aca="false">I8822*J8822</f>
        <v>13464</v>
      </c>
      <c r="L8822" s="14" t="n">
        <f aca="false">($L$2*M8822)/100</f>
        <v>708983.235</v>
      </c>
      <c r="M8822" s="15" t="n">
        <v>0.59</v>
      </c>
      <c r="N8822" s="9" t="s">
        <v>26</v>
      </c>
    </row>
    <row r="8823" customFormat="false" ht="14.25" hidden="false" customHeight="true" outlineLevel="0" collapsed="false">
      <c r="B8823" s="9" t="s">
        <v>16</v>
      </c>
      <c r="C8823" s="9" t="n">
        <v>1197831</v>
      </c>
      <c r="D8823" s="10" t="n">
        <v>44416</v>
      </c>
      <c r="E8823" s="9" t="s">
        <v>33</v>
      </c>
      <c r="F8823" s="9" t="s">
        <v>86</v>
      </c>
      <c r="G8823" s="9" t="s">
        <v>87</v>
      </c>
      <c r="H8823" s="11" t="s">
        <v>19</v>
      </c>
      <c r="I8823" s="12" t="n">
        <v>38</v>
      </c>
      <c r="J8823" s="13" t="n">
        <v>233</v>
      </c>
      <c r="K8823" s="14" t="n">
        <f aca="false">I8823*J8823</f>
        <v>8854</v>
      </c>
      <c r="L8823" s="14" t="n">
        <f aca="false">($L$2*M8823)/100</f>
        <v>504699.93</v>
      </c>
      <c r="M8823" s="15" t="n">
        <v>0.42</v>
      </c>
      <c r="N8823" s="9" t="s">
        <v>26</v>
      </c>
    </row>
    <row r="8824" customFormat="false" ht="14.25" hidden="false" customHeight="true" outlineLevel="0" collapsed="false">
      <c r="B8824" s="9" t="s">
        <v>16</v>
      </c>
      <c r="C8824" s="9" t="n">
        <v>1197831</v>
      </c>
      <c r="D8824" s="10" t="n">
        <v>44416</v>
      </c>
      <c r="E8824" s="9" t="s">
        <v>33</v>
      </c>
      <c r="F8824" s="9" t="s">
        <v>86</v>
      </c>
      <c r="G8824" s="9" t="s">
        <v>87</v>
      </c>
      <c r="H8824" s="11" t="s">
        <v>21</v>
      </c>
      <c r="I8824" s="12" t="n">
        <v>37</v>
      </c>
      <c r="J8824" s="13" t="n">
        <v>255</v>
      </c>
      <c r="K8824" s="14" t="n">
        <f aca="false">I8824*J8824</f>
        <v>9435</v>
      </c>
      <c r="L8824" s="14" t="n">
        <f aca="false">($L$2*M8824)/100</f>
        <v>516716.595</v>
      </c>
      <c r="M8824" s="15" t="n">
        <v>0.43</v>
      </c>
      <c r="N8824" s="9" t="s">
        <v>26</v>
      </c>
    </row>
    <row r="8825" customFormat="false" ht="14.25" hidden="false" customHeight="true" outlineLevel="0" collapsed="false">
      <c r="B8825" s="9" t="s">
        <v>16</v>
      </c>
      <c r="C8825" s="9" t="n">
        <v>1197831</v>
      </c>
      <c r="D8825" s="10" t="n">
        <v>44416</v>
      </c>
      <c r="E8825" s="9" t="s">
        <v>33</v>
      </c>
      <c r="F8825" s="9" t="s">
        <v>86</v>
      </c>
      <c r="G8825" s="9" t="s">
        <v>87</v>
      </c>
      <c r="H8825" s="11" t="s">
        <v>22</v>
      </c>
      <c r="I8825" s="12" t="n">
        <v>39</v>
      </c>
      <c r="J8825" s="13" t="n">
        <v>305</v>
      </c>
      <c r="K8825" s="14" t="n">
        <f aca="false">I8825*J8825</f>
        <v>11895</v>
      </c>
      <c r="L8825" s="14" t="n">
        <f aca="false">($L$2*M8825)/100</f>
        <v>516716.595</v>
      </c>
      <c r="M8825" s="15" t="n">
        <v>0.43</v>
      </c>
      <c r="N8825" s="9" t="s">
        <v>26</v>
      </c>
    </row>
    <row r="8826" customFormat="false" ht="14.25" hidden="false" customHeight="true" outlineLevel="0" collapsed="false">
      <c r="B8826" s="9" t="s">
        <v>16</v>
      </c>
      <c r="C8826" s="9" t="n">
        <v>1197831</v>
      </c>
      <c r="D8826" s="10" t="n">
        <v>44416</v>
      </c>
      <c r="E8826" s="9" t="s">
        <v>33</v>
      </c>
      <c r="F8826" s="9" t="s">
        <v>86</v>
      </c>
      <c r="G8826" s="9" t="s">
        <v>87</v>
      </c>
      <c r="H8826" s="11" t="s">
        <v>23</v>
      </c>
      <c r="I8826" s="12" t="n">
        <v>33</v>
      </c>
      <c r="J8826" s="13" t="n">
        <v>162</v>
      </c>
      <c r="K8826" s="14" t="n">
        <f aca="false">I8826*J8826</f>
        <v>5346</v>
      </c>
      <c r="L8826" s="14" t="n">
        <f aca="false">($L$2*M8826)/100</f>
        <v>660916.575</v>
      </c>
      <c r="M8826" s="15" t="n">
        <v>0.55</v>
      </c>
      <c r="N8826" s="9" t="s">
        <v>26</v>
      </c>
    </row>
    <row r="8827" customFormat="false" ht="14.25" hidden="false" customHeight="true" outlineLevel="0" collapsed="false">
      <c r="B8827" s="9" t="s">
        <v>28</v>
      </c>
      <c r="C8827" s="9" t="n">
        <v>1197831</v>
      </c>
      <c r="D8827" s="10" t="n">
        <v>44416</v>
      </c>
      <c r="E8827" s="9" t="s">
        <v>33</v>
      </c>
      <c r="F8827" s="9" t="s">
        <v>86</v>
      </c>
      <c r="G8827" s="9" t="s">
        <v>87</v>
      </c>
      <c r="H8827" s="11" t="s">
        <v>24</v>
      </c>
      <c r="I8827" s="12" t="n">
        <v>39</v>
      </c>
      <c r="J8827" s="13" t="n">
        <v>166</v>
      </c>
      <c r="K8827" s="14" t="n">
        <f aca="false">I8827*J8827</f>
        <v>6474</v>
      </c>
      <c r="L8827" s="14" t="n">
        <f aca="false">($L$2*M8827)/100</f>
        <v>504699.93</v>
      </c>
      <c r="M8827" s="15" t="n">
        <v>0.42</v>
      </c>
      <c r="N8827" s="9" t="s">
        <v>26</v>
      </c>
    </row>
    <row r="8828" customFormat="false" ht="14.25" hidden="false" customHeight="true" outlineLevel="0" collapsed="false">
      <c r="B8828" s="9" t="s">
        <v>28</v>
      </c>
      <c r="C8828" s="9" t="n">
        <v>1197831</v>
      </c>
      <c r="D8828" s="10" t="n">
        <v>44416</v>
      </c>
      <c r="E8828" s="9" t="s">
        <v>33</v>
      </c>
      <c r="F8828" s="9" t="s">
        <v>86</v>
      </c>
      <c r="G8828" s="9" t="s">
        <v>87</v>
      </c>
      <c r="H8828" s="11" t="s">
        <v>25</v>
      </c>
      <c r="I8828" s="12" t="n">
        <v>44</v>
      </c>
      <c r="J8828" s="13" t="n">
        <v>239</v>
      </c>
      <c r="K8828" s="14" t="n">
        <f aca="false">I8828*J8828</f>
        <v>10516</v>
      </c>
      <c r="L8828" s="14" t="n">
        <f aca="false">($L$2*M8828)/100</f>
        <v>733016.565</v>
      </c>
      <c r="M8828" s="15" t="n">
        <v>0.61</v>
      </c>
      <c r="N8828" s="9" t="s">
        <v>26</v>
      </c>
    </row>
    <row r="8829" customFormat="false" ht="14.25" hidden="false" customHeight="true" outlineLevel="0" collapsed="false">
      <c r="B8829" s="9" t="s">
        <v>28</v>
      </c>
      <c r="C8829" s="9" t="n">
        <v>1197831</v>
      </c>
      <c r="D8829" s="10" t="n">
        <v>44444</v>
      </c>
      <c r="E8829" s="9" t="s">
        <v>33</v>
      </c>
      <c r="F8829" s="9" t="s">
        <v>86</v>
      </c>
      <c r="G8829" s="9" t="s">
        <v>87</v>
      </c>
      <c r="H8829" s="11" t="s">
        <v>19</v>
      </c>
      <c r="I8829" s="12" t="n">
        <v>41</v>
      </c>
      <c r="J8829" s="13" t="n">
        <v>230</v>
      </c>
      <c r="K8829" s="14" t="n">
        <f aca="false">I8829*J8829</f>
        <v>9430</v>
      </c>
      <c r="L8829" s="14" t="n">
        <f aca="false">($L$2*M8829)/100</f>
        <v>552766.59</v>
      </c>
      <c r="M8829" s="15" t="n">
        <v>0.46</v>
      </c>
      <c r="N8829" s="9" t="s">
        <v>26</v>
      </c>
    </row>
    <row r="8830" customFormat="false" ht="14.25" hidden="false" customHeight="true" outlineLevel="0" collapsed="false">
      <c r="B8830" s="9" t="s">
        <v>28</v>
      </c>
      <c r="C8830" s="9" t="n">
        <v>1197831</v>
      </c>
      <c r="D8830" s="10" t="n">
        <v>44444</v>
      </c>
      <c r="E8830" s="9" t="s">
        <v>33</v>
      </c>
      <c r="F8830" s="9" t="s">
        <v>86</v>
      </c>
      <c r="G8830" s="9" t="s">
        <v>87</v>
      </c>
      <c r="H8830" s="11" t="s">
        <v>21</v>
      </c>
      <c r="I8830" s="12" t="n">
        <v>38</v>
      </c>
      <c r="J8830" s="13" t="n">
        <v>219</v>
      </c>
      <c r="K8830" s="14" t="n">
        <f aca="false">I8830*J8830</f>
        <v>8322</v>
      </c>
      <c r="L8830" s="14" t="n">
        <f aca="false">($L$2*M8830)/100</f>
        <v>516716.595</v>
      </c>
      <c r="M8830" s="15" t="n">
        <v>0.43</v>
      </c>
      <c r="N8830" s="9" t="s">
        <v>26</v>
      </c>
    </row>
    <row r="8831" customFormat="false" ht="14.25" hidden="false" customHeight="true" outlineLevel="0" collapsed="false">
      <c r="B8831" s="9" t="s">
        <v>28</v>
      </c>
      <c r="C8831" s="9" t="n">
        <v>1197831</v>
      </c>
      <c r="D8831" s="10" t="n">
        <v>44444</v>
      </c>
      <c r="E8831" s="9" t="s">
        <v>33</v>
      </c>
      <c r="F8831" s="9" t="s">
        <v>86</v>
      </c>
      <c r="G8831" s="9" t="s">
        <v>87</v>
      </c>
      <c r="H8831" s="11" t="s">
        <v>22</v>
      </c>
      <c r="I8831" s="12" t="n">
        <v>43</v>
      </c>
      <c r="J8831" s="13" t="n">
        <v>203</v>
      </c>
      <c r="K8831" s="14" t="n">
        <f aca="false">I8831*J8831</f>
        <v>8729</v>
      </c>
      <c r="L8831" s="14" t="n">
        <f aca="false">($L$2*M8831)/100</f>
        <v>540749.925</v>
      </c>
      <c r="M8831" s="15" t="n">
        <v>0.45</v>
      </c>
      <c r="N8831" s="9" t="s">
        <v>26</v>
      </c>
    </row>
    <row r="8832" customFormat="false" ht="14.25" hidden="false" customHeight="true" outlineLevel="0" collapsed="false">
      <c r="B8832" s="9" t="s">
        <v>28</v>
      </c>
      <c r="C8832" s="9" t="n">
        <v>1197831</v>
      </c>
      <c r="D8832" s="10" t="n">
        <v>44444</v>
      </c>
      <c r="E8832" s="9" t="s">
        <v>33</v>
      </c>
      <c r="F8832" s="9" t="s">
        <v>86</v>
      </c>
      <c r="G8832" s="9" t="s">
        <v>87</v>
      </c>
      <c r="H8832" s="11" t="s">
        <v>23</v>
      </c>
      <c r="I8832" s="12" t="n">
        <v>40</v>
      </c>
      <c r="J8832" s="13" t="n">
        <v>136</v>
      </c>
      <c r="K8832" s="14" t="n">
        <f aca="false">I8832*J8832</f>
        <v>5440</v>
      </c>
      <c r="L8832" s="14" t="n">
        <f aca="false">($L$2*M8832)/100</f>
        <v>660916.575</v>
      </c>
      <c r="M8832" s="15" t="n">
        <v>0.55</v>
      </c>
      <c r="N8832" s="9" t="s">
        <v>26</v>
      </c>
    </row>
    <row r="8833" customFormat="false" ht="14.25" hidden="false" customHeight="true" outlineLevel="0" collapsed="false">
      <c r="B8833" s="9" t="s">
        <v>28</v>
      </c>
      <c r="C8833" s="9" t="n">
        <v>1197831</v>
      </c>
      <c r="D8833" s="10" t="n">
        <v>44444</v>
      </c>
      <c r="E8833" s="9" t="s">
        <v>33</v>
      </c>
      <c r="F8833" s="9" t="s">
        <v>86</v>
      </c>
      <c r="G8833" s="9" t="s">
        <v>87</v>
      </c>
      <c r="H8833" s="11" t="s">
        <v>24</v>
      </c>
      <c r="I8833" s="12" t="n">
        <v>42</v>
      </c>
      <c r="J8833" s="13" t="n">
        <v>140</v>
      </c>
      <c r="K8833" s="14" t="n">
        <f aca="false">I8833*J8833</f>
        <v>5880</v>
      </c>
      <c r="L8833" s="14" t="n">
        <f aca="false">($L$2*M8833)/100</f>
        <v>492683.265</v>
      </c>
      <c r="M8833" s="15" t="n">
        <v>0.41</v>
      </c>
      <c r="N8833" s="9" t="s">
        <v>26</v>
      </c>
    </row>
    <row r="8834" customFormat="false" ht="14.25" hidden="false" customHeight="true" outlineLevel="0" collapsed="false">
      <c r="B8834" s="9" t="s">
        <v>28</v>
      </c>
      <c r="C8834" s="9" t="n">
        <v>1197831</v>
      </c>
      <c r="D8834" s="10" t="n">
        <v>44444</v>
      </c>
      <c r="E8834" s="9" t="s">
        <v>33</v>
      </c>
      <c r="F8834" s="9" t="s">
        <v>86</v>
      </c>
      <c r="G8834" s="9" t="s">
        <v>87</v>
      </c>
      <c r="H8834" s="11" t="s">
        <v>25</v>
      </c>
      <c r="I8834" s="12" t="n">
        <v>36</v>
      </c>
      <c r="J8834" s="13" t="n">
        <v>200</v>
      </c>
      <c r="K8834" s="14" t="n">
        <f aca="false">I8834*J8834</f>
        <v>7200</v>
      </c>
      <c r="L8834" s="14" t="n">
        <f aca="false">($L$2*M8834)/100</f>
        <v>696966.57</v>
      </c>
      <c r="M8834" s="15" t="n">
        <v>0.58</v>
      </c>
      <c r="N8834" s="9" t="s">
        <v>26</v>
      </c>
    </row>
    <row r="8835" customFormat="false" ht="14.25" hidden="false" customHeight="true" outlineLevel="0" collapsed="false">
      <c r="B8835" s="9" t="s">
        <v>28</v>
      </c>
      <c r="C8835" s="9" t="n">
        <v>1197831</v>
      </c>
      <c r="D8835" s="10" t="n">
        <v>44473</v>
      </c>
      <c r="E8835" s="9" t="s">
        <v>33</v>
      </c>
      <c r="F8835" s="9" t="s">
        <v>86</v>
      </c>
      <c r="G8835" s="9" t="s">
        <v>87</v>
      </c>
      <c r="H8835" s="11" t="s">
        <v>19</v>
      </c>
      <c r="I8835" s="12" t="n">
        <v>30</v>
      </c>
      <c r="J8835" s="13" t="n">
        <v>201</v>
      </c>
      <c r="K8835" s="14" t="n">
        <f aca="false">I8835*J8835</f>
        <v>6030</v>
      </c>
      <c r="L8835" s="14" t="n">
        <f aca="false">($L$2*M8835)/100</f>
        <v>552766.59</v>
      </c>
      <c r="M8835" s="15" t="n">
        <v>0.46</v>
      </c>
      <c r="N8835" s="9" t="s">
        <v>26</v>
      </c>
    </row>
    <row r="8836" customFormat="false" ht="14.25" hidden="false" customHeight="true" outlineLevel="0" collapsed="false">
      <c r="B8836" s="9" t="s">
        <v>28</v>
      </c>
      <c r="C8836" s="9" t="n">
        <v>1197831</v>
      </c>
      <c r="D8836" s="10" t="n">
        <v>44473</v>
      </c>
      <c r="E8836" s="9" t="s">
        <v>33</v>
      </c>
      <c r="F8836" s="9" t="s">
        <v>86</v>
      </c>
      <c r="G8836" s="9" t="s">
        <v>87</v>
      </c>
      <c r="H8836" s="11" t="s">
        <v>21</v>
      </c>
      <c r="I8836" s="12" t="n">
        <v>27</v>
      </c>
      <c r="J8836" s="13" t="n">
        <v>190</v>
      </c>
      <c r="K8836" s="14" t="n">
        <f aca="false">I8836*J8836</f>
        <v>5130</v>
      </c>
      <c r="L8836" s="14" t="n">
        <f aca="false">($L$2*M8836)/100</f>
        <v>516716.595</v>
      </c>
      <c r="M8836" s="15" t="n">
        <v>0.43</v>
      </c>
      <c r="N8836" s="9" t="s">
        <v>26</v>
      </c>
    </row>
    <row r="8837" customFormat="false" ht="14.25" hidden="false" customHeight="true" outlineLevel="0" collapsed="false">
      <c r="B8837" s="9" t="s">
        <v>28</v>
      </c>
      <c r="C8837" s="9" t="n">
        <v>1197831</v>
      </c>
      <c r="D8837" s="10" t="n">
        <v>44473</v>
      </c>
      <c r="E8837" s="9" t="s">
        <v>33</v>
      </c>
      <c r="F8837" s="9" t="s">
        <v>86</v>
      </c>
      <c r="G8837" s="9" t="s">
        <v>87</v>
      </c>
      <c r="H8837" s="11" t="s">
        <v>22</v>
      </c>
      <c r="I8837" s="12" t="n">
        <v>31</v>
      </c>
      <c r="J8837" s="13" t="n">
        <v>179</v>
      </c>
      <c r="K8837" s="14" t="n">
        <f aca="false">I8837*J8837</f>
        <v>5549</v>
      </c>
      <c r="L8837" s="14" t="n">
        <f aca="false">($L$2*M8837)/100</f>
        <v>504699.93</v>
      </c>
      <c r="M8837" s="15" t="n">
        <v>0.42</v>
      </c>
      <c r="N8837" s="9" t="s">
        <v>26</v>
      </c>
    </row>
    <row r="8838" customFormat="false" ht="14.25" hidden="false" customHeight="true" outlineLevel="0" collapsed="false">
      <c r="B8838" s="9" t="s">
        <v>28</v>
      </c>
      <c r="C8838" s="9" t="n">
        <v>1197831</v>
      </c>
      <c r="D8838" s="10" t="n">
        <v>44473</v>
      </c>
      <c r="E8838" s="9" t="s">
        <v>33</v>
      </c>
      <c r="F8838" s="9" t="s">
        <v>86</v>
      </c>
      <c r="G8838" s="9" t="s">
        <v>87</v>
      </c>
      <c r="H8838" s="11" t="s">
        <v>23</v>
      </c>
      <c r="I8838" s="12" t="n">
        <v>35</v>
      </c>
      <c r="J8838" s="13" t="n">
        <v>116</v>
      </c>
      <c r="K8838" s="14" t="n">
        <f aca="false">I8838*J8838</f>
        <v>4060</v>
      </c>
      <c r="L8838" s="14" t="n">
        <f aca="false">($L$2*M8838)/100</f>
        <v>636883.245</v>
      </c>
      <c r="M8838" s="15" t="n">
        <v>0.53</v>
      </c>
      <c r="N8838" s="9" t="s">
        <v>26</v>
      </c>
    </row>
    <row r="8839" customFormat="false" ht="14.25" hidden="false" customHeight="true" outlineLevel="0" collapsed="false">
      <c r="B8839" s="9" t="s">
        <v>28</v>
      </c>
      <c r="C8839" s="9" t="n">
        <v>1197831</v>
      </c>
      <c r="D8839" s="10" t="n">
        <v>44473</v>
      </c>
      <c r="E8839" s="9" t="s">
        <v>33</v>
      </c>
      <c r="F8839" s="9" t="s">
        <v>86</v>
      </c>
      <c r="G8839" s="9" t="s">
        <v>87</v>
      </c>
      <c r="H8839" s="11" t="s">
        <v>24</v>
      </c>
      <c r="I8839" s="12" t="n">
        <v>25</v>
      </c>
      <c r="J8839" s="13" t="n">
        <v>123</v>
      </c>
      <c r="K8839" s="14" t="n">
        <f aca="false">I8839*J8839</f>
        <v>3075</v>
      </c>
      <c r="L8839" s="14" t="n">
        <f aca="false">($L$2*M8839)/100</f>
        <v>468649.935</v>
      </c>
      <c r="M8839" s="15" t="n">
        <v>0.39</v>
      </c>
      <c r="N8839" s="9" t="s">
        <v>26</v>
      </c>
    </row>
    <row r="8840" customFormat="false" ht="14.25" hidden="false" customHeight="true" outlineLevel="0" collapsed="false">
      <c r="B8840" s="9" t="s">
        <v>28</v>
      </c>
      <c r="C8840" s="9" t="n">
        <v>1197831</v>
      </c>
      <c r="D8840" s="10" t="n">
        <v>44473</v>
      </c>
      <c r="E8840" s="9" t="s">
        <v>33</v>
      </c>
      <c r="F8840" s="9" t="s">
        <v>86</v>
      </c>
      <c r="G8840" s="9" t="s">
        <v>87</v>
      </c>
      <c r="H8840" s="11" t="s">
        <v>25</v>
      </c>
      <c r="I8840" s="12" t="n">
        <v>34</v>
      </c>
      <c r="J8840" s="13" t="n">
        <v>179</v>
      </c>
      <c r="K8840" s="14" t="n">
        <f aca="false">I8840*J8840</f>
        <v>6086</v>
      </c>
      <c r="L8840" s="14" t="n">
        <f aca="false">($L$2*M8840)/100</f>
        <v>708983.235</v>
      </c>
      <c r="M8840" s="15" t="n">
        <v>0.59</v>
      </c>
      <c r="N8840" s="9" t="s">
        <v>26</v>
      </c>
    </row>
    <row r="8841" customFormat="false" ht="14.25" hidden="false" customHeight="true" outlineLevel="0" collapsed="false">
      <c r="B8841" s="9" t="s">
        <v>28</v>
      </c>
      <c r="C8841" s="9" t="n">
        <v>1197831</v>
      </c>
      <c r="D8841" s="10" t="n">
        <v>44505</v>
      </c>
      <c r="E8841" s="9" t="s">
        <v>33</v>
      </c>
      <c r="F8841" s="9" t="s">
        <v>86</v>
      </c>
      <c r="G8841" s="9" t="s">
        <v>87</v>
      </c>
      <c r="H8841" s="11" t="s">
        <v>19</v>
      </c>
      <c r="I8841" s="12" t="n">
        <v>27</v>
      </c>
      <c r="J8841" s="13" t="n">
        <v>203</v>
      </c>
      <c r="K8841" s="14" t="n">
        <f aca="false">I8841*J8841</f>
        <v>5481</v>
      </c>
      <c r="L8841" s="14" t="n">
        <f aca="false">($L$2*M8841)/100</f>
        <v>552766.59</v>
      </c>
      <c r="M8841" s="15" t="n">
        <v>0.46</v>
      </c>
      <c r="N8841" s="9" t="s">
        <v>26</v>
      </c>
    </row>
    <row r="8842" customFormat="false" ht="14.25" hidden="false" customHeight="true" outlineLevel="0" collapsed="false">
      <c r="B8842" s="9" t="s">
        <v>28</v>
      </c>
      <c r="C8842" s="9" t="n">
        <v>1197831</v>
      </c>
      <c r="D8842" s="10" t="n">
        <v>44505</v>
      </c>
      <c r="E8842" s="9" t="s">
        <v>33</v>
      </c>
      <c r="F8842" s="9" t="s">
        <v>86</v>
      </c>
      <c r="G8842" s="9" t="s">
        <v>87</v>
      </c>
      <c r="H8842" s="11" t="s">
        <v>21</v>
      </c>
      <c r="I8842" s="12" t="n">
        <v>28</v>
      </c>
      <c r="J8842" s="13" t="n">
        <v>223</v>
      </c>
      <c r="K8842" s="14" t="n">
        <f aca="false">I8842*J8842</f>
        <v>6244</v>
      </c>
      <c r="L8842" s="14" t="n">
        <f aca="false">($L$2*M8842)/100</f>
        <v>516716.595</v>
      </c>
      <c r="M8842" s="15" t="n">
        <v>0.43</v>
      </c>
      <c r="N8842" s="9" t="s">
        <v>26</v>
      </c>
    </row>
    <row r="8843" customFormat="false" ht="14.25" hidden="false" customHeight="true" outlineLevel="0" collapsed="false">
      <c r="B8843" s="9" t="s">
        <v>28</v>
      </c>
      <c r="C8843" s="9" t="n">
        <v>1197831</v>
      </c>
      <c r="D8843" s="10" t="n">
        <v>44505</v>
      </c>
      <c r="E8843" s="9" t="s">
        <v>33</v>
      </c>
      <c r="F8843" s="9" t="s">
        <v>86</v>
      </c>
      <c r="G8843" s="9" t="s">
        <v>87</v>
      </c>
      <c r="H8843" s="11" t="s">
        <v>22</v>
      </c>
      <c r="I8843" s="12" t="n">
        <v>42</v>
      </c>
      <c r="J8843" s="13" t="n">
        <v>210</v>
      </c>
      <c r="K8843" s="14" t="n">
        <f aca="false">I8843*J8843</f>
        <v>8820</v>
      </c>
      <c r="L8843" s="14" t="n">
        <f aca="false">($L$2*M8843)/100</f>
        <v>504699.93</v>
      </c>
      <c r="M8843" s="15" t="n">
        <v>0.42</v>
      </c>
      <c r="N8843" s="9" t="s">
        <v>26</v>
      </c>
    </row>
    <row r="8844" customFormat="false" ht="14.25" hidden="false" customHeight="true" outlineLevel="0" collapsed="false">
      <c r="B8844" s="9" t="s">
        <v>28</v>
      </c>
      <c r="C8844" s="9" t="n">
        <v>1197831</v>
      </c>
      <c r="D8844" s="10" t="n">
        <v>44505</v>
      </c>
      <c r="E8844" s="9" t="s">
        <v>33</v>
      </c>
      <c r="F8844" s="9" t="s">
        <v>86</v>
      </c>
      <c r="G8844" s="9" t="s">
        <v>87</v>
      </c>
      <c r="H8844" s="11" t="s">
        <v>23</v>
      </c>
      <c r="I8844" s="12" t="n">
        <v>43</v>
      </c>
      <c r="J8844" s="13" t="n">
        <v>158</v>
      </c>
      <c r="K8844" s="14" t="n">
        <f aca="false">I8844*J8844</f>
        <v>6794</v>
      </c>
      <c r="L8844" s="14" t="n">
        <f aca="false">($L$2*M8844)/100</f>
        <v>624866.58</v>
      </c>
      <c r="M8844" s="15" t="n">
        <v>0.52</v>
      </c>
      <c r="N8844" s="9" t="s">
        <v>26</v>
      </c>
    </row>
    <row r="8845" customFormat="false" ht="14.25" hidden="false" customHeight="true" outlineLevel="0" collapsed="false">
      <c r="B8845" s="9" t="s">
        <v>28</v>
      </c>
      <c r="C8845" s="9" t="n">
        <v>1197831</v>
      </c>
      <c r="D8845" s="10" t="n">
        <v>44505</v>
      </c>
      <c r="E8845" s="9" t="s">
        <v>33</v>
      </c>
      <c r="F8845" s="9" t="s">
        <v>86</v>
      </c>
      <c r="G8845" s="9" t="s">
        <v>87</v>
      </c>
      <c r="H8845" s="11" t="s">
        <v>24</v>
      </c>
      <c r="I8845" s="12" t="n">
        <v>41</v>
      </c>
      <c r="J8845" s="13" t="n">
        <v>149</v>
      </c>
      <c r="K8845" s="14" t="n">
        <f aca="false">I8845*J8845</f>
        <v>6109</v>
      </c>
      <c r="L8845" s="14" t="n">
        <f aca="false">($L$2*M8845)/100</f>
        <v>456633.27</v>
      </c>
      <c r="M8845" s="15" t="n">
        <v>0.38</v>
      </c>
      <c r="N8845" s="9" t="s">
        <v>26</v>
      </c>
    </row>
    <row r="8846" customFormat="false" ht="14.25" hidden="false" customHeight="true" outlineLevel="0" collapsed="false">
      <c r="B8846" s="9" t="s">
        <v>28</v>
      </c>
      <c r="C8846" s="9" t="n">
        <v>1197831</v>
      </c>
      <c r="D8846" s="10" t="n">
        <v>44505</v>
      </c>
      <c r="E8846" s="9" t="s">
        <v>33</v>
      </c>
      <c r="F8846" s="9" t="s">
        <v>86</v>
      </c>
      <c r="G8846" s="9" t="s">
        <v>87</v>
      </c>
      <c r="H8846" s="11" t="s">
        <v>25</v>
      </c>
      <c r="I8846" s="12" t="n">
        <v>51</v>
      </c>
      <c r="J8846" s="13" t="n">
        <v>194</v>
      </c>
      <c r="K8846" s="14" t="n">
        <f aca="false">I8846*J8846</f>
        <v>9894</v>
      </c>
      <c r="L8846" s="14" t="n">
        <f aca="false">($L$2*M8846)/100</f>
        <v>708983.235</v>
      </c>
      <c r="M8846" s="15" t="n">
        <v>0.59</v>
      </c>
      <c r="N8846" s="9" t="s">
        <v>26</v>
      </c>
    </row>
    <row r="8847" customFormat="false" ht="14.25" hidden="false" customHeight="true" outlineLevel="0" collapsed="false">
      <c r="B8847" s="9" t="s">
        <v>16</v>
      </c>
      <c r="C8847" s="9" t="n">
        <v>1197831</v>
      </c>
      <c r="D8847" s="10" t="n">
        <v>44534</v>
      </c>
      <c r="E8847" s="9" t="s">
        <v>33</v>
      </c>
      <c r="F8847" s="9" t="s">
        <v>86</v>
      </c>
      <c r="G8847" s="9" t="s">
        <v>87</v>
      </c>
      <c r="H8847" s="11" t="s">
        <v>19</v>
      </c>
      <c r="I8847" s="12" t="n">
        <v>40</v>
      </c>
      <c r="J8847" s="13" t="n">
        <v>240</v>
      </c>
      <c r="K8847" s="14" t="n">
        <f aca="false">I8847*J8847</f>
        <v>9600</v>
      </c>
      <c r="L8847" s="14" t="n">
        <f aca="false">($L$2*M8847)/100</f>
        <v>540749.925</v>
      </c>
      <c r="M8847" s="15" t="n">
        <v>0.45</v>
      </c>
      <c r="N8847" s="9" t="s">
        <v>26</v>
      </c>
    </row>
    <row r="8848" customFormat="false" ht="14.25" hidden="false" customHeight="true" outlineLevel="0" collapsed="false">
      <c r="B8848" s="9" t="s">
        <v>16</v>
      </c>
      <c r="C8848" s="9" t="n">
        <v>1197831</v>
      </c>
      <c r="D8848" s="10" t="n">
        <v>44534</v>
      </c>
      <c r="E8848" s="9" t="s">
        <v>33</v>
      </c>
      <c r="F8848" s="9" t="s">
        <v>86</v>
      </c>
      <c r="G8848" s="9" t="s">
        <v>87</v>
      </c>
      <c r="H8848" s="11" t="s">
        <v>21</v>
      </c>
      <c r="I8848" s="12" t="n">
        <v>41</v>
      </c>
      <c r="J8848" s="13" t="n">
        <v>240</v>
      </c>
      <c r="K8848" s="14" t="n">
        <f aca="false">I8848*J8848</f>
        <v>9840</v>
      </c>
      <c r="L8848" s="14" t="n">
        <f aca="false">($L$2*M8848)/100</f>
        <v>552766.59</v>
      </c>
      <c r="M8848" s="15" t="n">
        <v>0.46</v>
      </c>
      <c r="N8848" s="9" t="s">
        <v>26</v>
      </c>
    </row>
    <row r="8849" customFormat="false" ht="14.25" hidden="false" customHeight="true" outlineLevel="0" collapsed="false">
      <c r="B8849" s="9" t="s">
        <v>16</v>
      </c>
      <c r="C8849" s="9" t="n">
        <v>1197831</v>
      </c>
      <c r="D8849" s="10" t="n">
        <v>44534</v>
      </c>
      <c r="E8849" s="9" t="s">
        <v>33</v>
      </c>
      <c r="F8849" s="9" t="s">
        <v>86</v>
      </c>
      <c r="G8849" s="9" t="s">
        <v>87</v>
      </c>
      <c r="H8849" s="11" t="s">
        <v>22</v>
      </c>
      <c r="I8849" s="12" t="n">
        <v>47</v>
      </c>
      <c r="J8849" s="13" t="n">
        <v>223</v>
      </c>
      <c r="K8849" s="14" t="n">
        <f aca="false">I8849*J8849</f>
        <v>10481</v>
      </c>
      <c r="L8849" s="14" t="n">
        <f aca="false">($L$2*M8849)/100</f>
        <v>528733.26</v>
      </c>
      <c r="M8849" s="15" t="n">
        <v>0.44</v>
      </c>
      <c r="N8849" s="9" t="s">
        <v>26</v>
      </c>
    </row>
    <row r="8850" customFormat="false" ht="14.25" hidden="false" customHeight="true" outlineLevel="0" collapsed="false">
      <c r="B8850" s="9" t="s">
        <v>16</v>
      </c>
      <c r="C8850" s="9" t="n">
        <v>1197831</v>
      </c>
      <c r="D8850" s="10" t="n">
        <v>44534</v>
      </c>
      <c r="E8850" s="9" t="s">
        <v>33</v>
      </c>
      <c r="F8850" s="9" t="s">
        <v>86</v>
      </c>
      <c r="G8850" s="9" t="s">
        <v>87</v>
      </c>
      <c r="H8850" s="11" t="s">
        <v>23</v>
      </c>
      <c r="I8850" s="12" t="n">
        <v>44</v>
      </c>
      <c r="J8850" s="13" t="n">
        <v>184</v>
      </c>
      <c r="K8850" s="14" t="n">
        <f aca="false">I8850*J8850</f>
        <v>8096</v>
      </c>
      <c r="L8850" s="14" t="n">
        <f aca="false">($L$2*M8850)/100</f>
        <v>624866.58</v>
      </c>
      <c r="M8850" s="15" t="n">
        <v>0.52</v>
      </c>
      <c r="N8850" s="9" t="s">
        <v>26</v>
      </c>
    </row>
    <row r="8851" customFormat="false" ht="14.25" hidden="false" customHeight="true" outlineLevel="0" collapsed="false">
      <c r="B8851" s="9" t="s">
        <v>16</v>
      </c>
      <c r="C8851" s="9" t="n">
        <v>1197831</v>
      </c>
      <c r="D8851" s="10" t="n">
        <v>44534</v>
      </c>
      <c r="E8851" s="9" t="s">
        <v>33</v>
      </c>
      <c r="F8851" s="9" t="s">
        <v>86</v>
      </c>
      <c r="G8851" s="9" t="s">
        <v>87</v>
      </c>
      <c r="H8851" s="11" t="s">
        <v>24</v>
      </c>
      <c r="I8851" s="12" t="n">
        <v>43</v>
      </c>
      <c r="J8851" s="13" t="n">
        <v>147</v>
      </c>
      <c r="K8851" s="14" t="n">
        <f aca="false">I8851*J8851</f>
        <v>6321</v>
      </c>
      <c r="L8851" s="14" t="n">
        <f aca="false">($L$2*M8851)/100</f>
        <v>492683.265</v>
      </c>
      <c r="M8851" s="15" t="n">
        <v>0.41</v>
      </c>
      <c r="N8851" s="9" t="s">
        <v>26</v>
      </c>
    </row>
    <row r="8852" customFormat="false" ht="14.25" hidden="false" customHeight="true" outlineLevel="0" collapsed="false">
      <c r="B8852" s="9" t="s">
        <v>16</v>
      </c>
      <c r="C8852" s="9" t="n">
        <v>1197831</v>
      </c>
      <c r="D8852" s="10" t="n">
        <v>44534</v>
      </c>
      <c r="E8852" s="9" t="s">
        <v>33</v>
      </c>
      <c r="F8852" s="9" t="s">
        <v>86</v>
      </c>
      <c r="G8852" s="9" t="s">
        <v>87</v>
      </c>
      <c r="H8852" s="11" t="s">
        <v>25</v>
      </c>
      <c r="I8852" s="12" t="n">
        <v>47</v>
      </c>
      <c r="J8852" s="13" t="n">
        <v>232</v>
      </c>
      <c r="K8852" s="14" t="n">
        <f aca="false">I8852*J8852</f>
        <v>10904</v>
      </c>
      <c r="L8852" s="14" t="n">
        <f aca="false">($L$2*M8852)/100</f>
        <v>733016.565</v>
      </c>
      <c r="M8852" s="15" t="n">
        <v>0.61</v>
      </c>
      <c r="N8852" s="9" t="s">
        <v>26</v>
      </c>
    </row>
    <row r="8853" customFormat="false" ht="14.25" hidden="false" customHeight="true" outlineLevel="0" collapsed="false">
      <c r="B8853" s="9" t="s">
        <v>16</v>
      </c>
      <c r="C8853" s="9" t="n">
        <v>1128299</v>
      </c>
      <c r="D8853" s="10" t="n">
        <v>44219</v>
      </c>
      <c r="E8853" s="9" t="s">
        <v>33</v>
      </c>
      <c r="F8853" s="9" t="s">
        <v>86</v>
      </c>
      <c r="G8853" s="9" t="s">
        <v>87</v>
      </c>
      <c r="H8853" s="11" t="s">
        <v>19</v>
      </c>
      <c r="I8853" s="12" t="n">
        <v>23</v>
      </c>
      <c r="J8853" s="13" t="n">
        <v>136</v>
      </c>
      <c r="K8853" s="14" t="n">
        <f aca="false">I8853*J8853</f>
        <v>3128</v>
      </c>
      <c r="L8853" s="14" t="n">
        <f aca="false">($L$2*M8853)/100</f>
        <v>480666.6</v>
      </c>
      <c r="M8853" s="15" t="n">
        <v>0.4</v>
      </c>
      <c r="N8853" s="9" t="s">
        <v>26</v>
      </c>
    </row>
    <row r="8854" customFormat="false" ht="14.25" hidden="false" customHeight="true" outlineLevel="0" collapsed="false">
      <c r="B8854" s="9" t="s">
        <v>16</v>
      </c>
      <c r="C8854" s="9" t="n">
        <v>1128299</v>
      </c>
      <c r="D8854" s="10" t="n">
        <v>44219</v>
      </c>
      <c r="E8854" s="9" t="s">
        <v>33</v>
      </c>
      <c r="F8854" s="9" t="s">
        <v>86</v>
      </c>
      <c r="G8854" s="9" t="s">
        <v>87</v>
      </c>
      <c r="H8854" s="11" t="s">
        <v>21</v>
      </c>
      <c r="I8854" s="12" t="n">
        <v>30</v>
      </c>
      <c r="J8854" s="13" t="n">
        <v>140</v>
      </c>
      <c r="K8854" s="14" t="n">
        <f aca="false">I8854*J8854</f>
        <v>4200</v>
      </c>
      <c r="L8854" s="14" t="n">
        <f aca="false">($L$2*M8854)/100</f>
        <v>516716.595</v>
      </c>
      <c r="M8854" s="15" t="n">
        <v>0.43</v>
      </c>
      <c r="N8854" s="9" t="s">
        <v>26</v>
      </c>
    </row>
    <row r="8855" customFormat="false" ht="14.25" hidden="false" customHeight="true" outlineLevel="0" collapsed="false">
      <c r="B8855" s="9" t="s">
        <v>16</v>
      </c>
      <c r="C8855" s="9" t="n">
        <v>1128299</v>
      </c>
      <c r="D8855" s="10" t="n">
        <v>44219</v>
      </c>
      <c r="E8855" s="9" t="s">
        <v>33</v>
      </c>
      <c r="F8855" s="9" t="s">
        <v>86</v>
      </c>
      <c r="G8855" s="9" t="s">
        <v>87</v>
      </c>
      <c r="H8855" s="11" t="s">
        <v>22</v>
      </c>
      <c r="I8855" s="12" t="n">
        <v>31</v>
      </c>
      <c r="J8855" s="13" t="n">
        <v>145</v>
      </c>
      <c r="K8855" s="14" t="n">
        <f aca="false">I8855*J8855</f>
        <v>4495</v>
      </c>
      <c r="L8855" s="14" t="n">
        <f aca="false">($L$2*M8855)/100</f>
        <v>468649.935</v>
      </c>
      <c r="M8855" s="15" t="n">
        <v>0.39</v>
      </c>
      <c r="N8855" s="9" t="s">
        <v>26</v>
      </c>
    </row>
    <row r="8856" customFormat="false" ht="14.25" hidden="false" customHeight="true" outlineLevel="0" collapsed="false">
      <c r="B8856" s="9" t="s">
        <v>16</v>
      </c>
      <c r="C8856" s="9" t="n">
        <v>1128299</v>
      </c>
      <c r="D8856" s="10" t="n">
        <v>44219</v>
      </c>
      <c r="E8856" s="9" t="s">
        <v>33</v>
      </c>
      <c r="F8856" s="9" t="s">
        <v>86</v>
      </c>
      <c r="G8856" s="9" t="s">
        <v>87</v>
      </c>
      <c r="H8856" s="11" t="s">
        <v>23</v>
      </c>
      <c r="I8856" s="12" t="n">
        <v>30</v>
      </c>
      <c r="J8856" s="13" t="n">
        <v>88</v>
      </c>
      <c r="K8856" s="14" t="n">
        <f aca="false">I8856*J8856</f>
        <v>2640</v>
      </c>
      <c r="L8856" s="14" t="n">
        <f aca="false">($L$2*M8856)/100</f>
        <v>444616.605</v>
      </c>
      <c r="M8856" s="15" t="n">
        <v>0.37</v>
      </c>
      <c r="N8856" s="9" t="s">
        <v>26</v>
      </c>
    </row>
    <row r="8857" customFormat="false" ht="14.25" hidden="false" customHeight="true" outlineLevel="0" collapsed="false">
      <c r="B8857" s="9" t="s">
        <v>16</v>
      </c>
      <c r="C8857" s="9" t="n">
        <v>1128299</v>
      </c>
      <c r="D8857" s="10" t="n">
        <v>44219</v>
      </c>
      <c r="E8857" s="9" t="s">
        <v>33</v>
      </c>
      <c r="F8857" s="9" t="s">
        <v>86</v>
      </c>
      <c r="G8857" s="9" t="s">
        <v>87</v>
      </c>
      <c r="H8857" s="11" t="s">
        <v>24</v>
      </c>
      <c r="I8857" s="12" t="n">
        <v>35</v>
      </c>
      <c r="J8857" s="13" t="n">
        <v>68</v>
      </c>
      <c r="K8857" s="14" t="n">
        <f aca="false">I8857*J8857</f>
        <v>2380</v>
      </c>
      <c r="L8857" s="14" t="n">
        <f aca="false">($L$2*M8857)/100</f>
        <v>408566.61</v>
      </c>
      <c r="M8857" s="15" t="n">
        <v>0.34</v>
      </c>
      <c r="N8857" s="9" t="s">
        <v>26</v>
      </c>
    </row>
    <row r="8858" customFormat="false" ht="14.25" hidden="false" customHeight="true" outlineLevel="0" collapsed="false">
      <c r="B8858" s="9" t="s">
        <v>16</v>
      </c>
      <c r="C8858" s="9" t="n">
        <v>1128299</v>
      </c>
      <c r="D8858" s="10" t="n">
        <v>44219</v>
      </c>
      <c r="E8858" s="9" t="s">
        <v>33</v>
      </c>
      <c r="F8858" s="9" t="s">
        <v>86</v>
      </c>
      <c r="G8858" s="9" t="s">
        <v>87</v>
      </c>
      <c r="H8858" s="11" t="s">
        <v>25</v>
      </c>
      <c r="I8858" s="12" t="n">
        <v>27</v>
      </c>
      <c r="J8858" s="13" t="n">
        <v>140</v>
      </c>
      <c r="K8858" s="14" t="n">
        <f aca="false">I8858*J8858</f>
        <v>3780</v>
      </c>
      <c r="L8858" s="14" t="n">
        <f aca="false">($L$2*M8858)/100</f>
        <v>324449.955</v>
      </c>
      <c r="M8858" s="15" t="n">
        <v>0.27</v>
      </c>
      <c r="N8858" s="9" t="s">
        <v>26</v>
      </c>
    </row>
    <row r="8859" customFormat="false" ht="14.25" hidden="false" customHeight="true" outlineLevel="0" collapsed="false">
      <c r="B8859" s="9" t="s">
        <v>16</v>
      </c>
      <c r="C8859" s="9" t="n">
        <v>1128299</v>
      </c>
      <c r="D8859" s="10" t="n">
        <v>44250</v>
      </c>
      <c r="E8859" s="9" t="s">
        <v>33</v>
      </c>
      <c r="F8859" s="9" t="s">
        <v>86</v>
      </c>
      <c r="G8859" s="9" t="s">
        <v>87</v>
      </c>
      <c r="H8859" s="11" t="s">
        <v>19</v>
      </c>
      <c r="I8859" s="12" t="n">
        <v>21</v>
      </c>
      <c r="J8859" s="13" t="n">
        <v>162</v>
      </c>
      <c r="K8859" s="14" t="n">
        <f aca="false">I8859*J8859</f>
        <v>3402</v>
      </c>
      <c r="L8859" s="14" t="n">
        <f aca="false">($L$2*M8859)/100</f>
        <v>444616.605</v>
      </c>
      <c r="M8859" s="15" t="n">
        <v>0.37</v>
      </c>
      <c r="N8859" s="9" t="s">
        <v>26</v>
      </c>
    </row>
    <row r="8860" customFormat="false" ht="14.25" hidden="false" customHeight="true" outlineLevel="0" collapsed="false">
      <c r="B8860" s="9" t="s">
        <v>16</v>
      </c>
      <c r="C8860" s="9" t="n">
        <v>1128299</v>
      </c>
      <c r="D8860" s="10" t="n">
        <v>44250</v>
      </c>
      <c r="E8860" s="9" t="s">
        <v>33</v>
      </c>
      <c r="F8860" s="9" t="s">
        <v>86</v>
      </c>
      <c r="G8860" s="9" t="s">
        <v>87</v>
      </c>
      <c r="H8860" s="11" t="s">
        <v>21</v>
      </c>
      <c r="I8860" s="12" t="n">
        <v>28</v>
      </c>
      <c r="J8860" s="13" t="n">
        <v>128</v>
      </c>
      <c r="K8860" s="14" t="n">
        <f aca="false">I8860*J8860</f>
        <v>3584</v>
      </c>
      <c r="L8860" s="14" t="n">
        <f aca="false">($L$2*M8860)/100</f>
        <v>516716.595</v>
      </c>
      <c r="M8860" s="15" t="n">
        <v>0.43</v>
      </c>
      <c r="N8860" s="9" t="s">
        <v>26</v>
      </c>
    </row>
    <row r="8861" customFormat="false" ht="14.25" hidden="false" customHeight="true" outlineLevel="0" collapsed="false">
      <c r="B8861" s="9" t="s">
        <v>16</v>
      </c>
      <c r="C8861" s="9" t="n">
        <v>1128299</v>
      </c>
      <c r="D8861" s="10" t="n">
        <v>44250</v>
      </c>
      <c r="E8861" s="9" t="s">
        <v>33</v>
      </c>
      <c r="F8861" s="9" t="s">
        <v>86</v>
      </c>
      <c r="G8861" s="9" t="s">
        <v>87</v>
      </c>
      <c r="H8861" s="11" t="s">
        <v>22</v>
      </c>
      <c r="I8861" s="12" t="n">
        <v>28</v>
      </c>
      <c r="J8861" s="13" t="n">
        <v>124</v>
      </c>
      <c r="K8861" s="14" t="n">
        <f aca="false">I8861*J8861</f>
        <v>3472</v>
      </c>
      <c r="L8861" s="14" t="n">
        <f aca="false">($L$2*M8861)/100</f>
        <v>504699.93</v>
      </c>
      <c r="M8861" s="15" t="n">
        <v>0.42</v>
      </c>
      <c r="N8861" s="9" t="s">
        <v>26</v>
      </c>
    </row>
    <row r="8862" customFormat="false" ht="14.25" hidden="false" customHeight="true" outlineLevel="0" collapsed="false">
      <c r="B8862" s="9" t="s">
        <v>16</v>
      </c>
      <c r="C8862" s="9" t="n">
        <v>1128299</v>
      </c>
      <c r="D8862" s="10" t="n">
        <v>44250</v>
      </c>
      <c r="E8862" s="9" t="s">
        <v>33</v>
      </c>
      <c r="F8862" s="9" t="s">
        <v>88</v>
      </c>
      <c r="G8862" s="9" t="s">
        <v>89</v>
      </c>
      <c r="H8862" s="11" t="s">
        <v>23</v>
      </c>
      <c r="I8862" s="12" t="n">
        <v>26</v>
      </c>
      <c r="J8862" s="13" t="n">
        <v>68</v>
      </c>
      <c r="K8862" s="14" t="n">
        <f aca="false">I8862*J8862</f>
        <v>1768</v>
      </c>
      <c r="L8862" s="14" t="n">
        <f aca="false">($L$2*M8862)/100</f>
        <v>504699.93</v>
      </c>
      <c r="M8862" s="15" t="n">
        <v>0.42</v>
      </c>
      <c r="N8862" s="9" t="s">
        <v>26</v>
      </c>
    </row>
    <row r="8863" customFormat="false" ht="14.25" hidden="false" customHeight="true" outlineLevel="0" collapsed="false">
      <c r="B8863" s="9" t="s">
        <v>16</v>
      </c>
      <c r="C8863" s="9" t="n">
        <v>1128299</v>
      </c>
      <c r="D8863" s="10" t="n">
        <v>44250</v>
      </c>
      <c r="E8863" s="9" t="s">
        <v>33</v>
      </c>
      <c r="F8863" s="9" t="s">
        <v>88</v>
      </c>
      <c r="G8863" s="9" t="s">
        <v>89</v>
      </c>
      <c r="H8863" s="11" t="s">
        <v>24</v>
      </c>
      <c r="I8863" s="12" t="n">
        <v>36</v>
      </c>
      <c r="J8863" s="13" t="n">
        <v>51</v>
      </c>
      <c r="K8863" s="14" t="n">
        <f aca="false">I8863*J8863</f>
        <v>1836</v>
      </c>
      <c r="L8863" s="14" t="n">
        <f aca="false">($L$2*M8863)/100</f>
        <v>444616.605</v>
      </c>
      <c r="M8863" s="15" t="n">
        <v>0.37</v>
      </c>
      <c r="N8863" s="9" t="s">
        <v>26</v>
      </c>
    </row>
    <row r="8864" customFormat="false" ht="14.25" hidden="false" customHeight="true" outlineLevel="0" collapsed="false">
      <c r="B8864" s="9" t="s">
        <v>16</v>
      </c>
      <c r="C8864" s="9" t="n">
        <v>1128299</v>
      </c>
      <c r="D8864" s="10" t="n">
        <v>44250</v>
      </c>
      <c r="E8864" s="9" t="s">
        <v>33</v>
      </c>
      <c r="F8864" s="9" t="s">
        <v>88</v>
      </c>
      <c r="G8864" s="9" t="s">
        <v>89</v>
      </c>
      <c r="H8864" s="11" t="s">
        <v>25</v>
      </c>
      <c r="I8864" s="12" t="n">
        <v>31</v>
      </c>
      <c r="J8864" s="13" t="n">
        <v>116</v>
      </c>
      <c r="K8864" s="14" t="n">
        <f aca="false">I8864*J8864</f>
        <v>3596</v>
      </c>
      <c r="L8864" s="14" t="n">
        <f aca="false">($L$2*M8864)/100</f>
        <v>324449.955</v>
      </c>
      <c r="M8864" s="15" t="n">
        <v>0.27</v>
      </c>
      <c r="N8864" s="9" t="s">
        <v>26</v>
      </c>
    </row>
    <row r="8865" customFormat="false" ht="14.25" hidden="false" customHeight="true" outlineLevel="0" collapsed="false">
      <c r="B8865" s="9" t="s">
        <v>16</v>
      </c>
      <c r="C8865" s="9" t="n">
        <v>1128299</v>
      </c>
      <c r="D8865" s="10" t="n">
        <v>44277</v>
      </c>
      <c r="E8865" s="9" t="s">
        <v>33</v>
      </c>
      <c r="F8865" s="9" t="s">
        <v>88</v>
      </c>
      <c r="G8865" s="9" t="s">
        <v>89</v>
      </c>
      <c r="H8865" s="11" t="s">
        <v>19</v>
      </c>
      <c r="I8865" s="12" t="n">
        <v>29</v>
      </c>
      <c r="J8865" s="13" t="n">
        <v>160</v>
      </c>
      <c r="K8865" s="14" t="n">
        <f aca="false">I8865*J8865</f>
        <v>4640</v>
      </c>
      <c r="L8865" s="14" t="n">
        <f aca="false">($L$2*M8865)/100</f>
        <v>480666.6</v>
      </c>
      <c r="M8865" s="15" t="n">
        <v>0.4</v>
      </c>
      <c r="N8865" s="9" t="s">
        <v>26</v>
      </c>
    </row>
    <row r="8866" customFormat="false" ht="14.25" hidden="false" customHeight="true" outlineLevel="0" collapsed="false">
      <c r="B8866" s="9" t="s">
        <v>16</v>
      </c>
      <c r="C8866" s="9" t="n">
        <v>1128299</v>
      </c>
      <c r="D8866" s="10" t="n">
        <v>44277</v>
      </c>
      <c r="E8866" s="9" t="s">
        <v>33</v>
      </c>
      <c r="F8866" s="9" t="s">
        <v>88</v>
      </c>
      <c r="G8866" s="9" t="s">
        <v>89</v>
      </c>
      <c r="H8866" s="11" t="s">
        <v>21</v>
      </c>
      <c r="I8866" s="12" t="n">
        <v>38</v>
      </c>
      <c r="J8866" s="13" t="n">
        <v>116</v>
      </c>
      <c r="K8866" s="14" t="n">
        <f aca="false">I8866*J8866</f>
        <v>4408</v>
      </c>
      <c r="L8866" s="14" t="n">
        <f aca="false">($L$2*M8866)/100</f>
        <v>528733.26</v>
      </c>
      <c r="M8866" s="15" t="n">
        <v>0.44</v>
      </c>
      <c r="N8866" s="9" t="s">
        <v>26</v>
      </c>
    </row>
    <row r="8867" customFormat="false" ht="14.25" hidden="false" customHeight="true" outlineLevel="0" collapsed="false">
      <c r="B8867" s="9" t="s">
        <v>16</v>
      </c>
      <c r="C8867" s="9" t="n">
        <v>1128299</v>
      </c>
      <c r="D8867" s="10" t="n">
        <v>44277</v>
      </c>
      <c r="E8867" s="9" t="s">
        <v>33</v>
      </c>
      <c r="F8867" s="9" t="s">
        <v>88</v>
      </c>
      <c r="G8867" s="9" t="s">
        <v>89</v>
      </c>
      <c r="H8867" s="11" t="s">
        <v>22</v>
      </c>
      <c r="I8867" s="12" t="n">
        <v>37</v>
      </c>
      <c r="J8867" s="13" t="n">
        <v>119</v>
      </c>
      <c r="K8867" s="14" t="n">
        <f aca="false">I8867*J8867</f>
        <v>4403</v>
      </c>
      <c r="L8867" s="14" t="n">
        <f aca="false">($L$2*M8867)/100</f>
        <v>492683.265</v>
      </c>
      <c r="M8867" s="15" t="n">
        <v>0.41</v>
      </c>
      <c r="N8867" s="9" t="s">
        <v>26</v>
      </c>
    </row>
    <row r="8868" customFormat="false" ht="14.25" hidden="false" customHeight="true" outlineLevel="0" collapsed="false">
      <c r="B8868" s="9" t="s">
        <v>16</v>
      </c>
      <c r="C8868" s="9" t="n">
        <v>1128299</v>
      </c>
      <c r="D8868" s="10" t="n">
        <v>44277</v>
      </c>
      <c r="E8868" s="9" t="s">
        <v>33</v>
      </c>
      <c r="F8868" s="9" t="s">
        <v>88</v>
      </c>
      <c r="G8868" s="9" t="s">
        <v>89</v>
      </c>
      <c r="H8868" s="11" t="s">
        <v>23</v>
      </c>
      <c r="I8868" s="12" t="n">
        <v>38</v>
      </c>
      <c r="J8868" s="13" t="n">
        <v>68</v>
      </c>
      <c r="K8868" s="14" t="n">
        <f aca="false">I8868*J8868</f>
        <v>2584</v>
      </c>
      <c r="L8868" s="14" t="n">
        <f aca="false">($L$2*M8868)/100</f>
        <v>444616.605</v>
      </c>
      <c r="M8868" s="15" t="n">
        <v>0.37</v>
      </c>
      <c r="N8868" s="9" t="s">
        <v>26</v>
      </c>
    </row>
    <row r="8869" customFormat="false" ht="14.25" hidden="false" customHeight="true" outlineLevel="0" collapsed="false">
      <c r="B8869" s="9" t="s">
        <v>16</v>
      </c>
      <c r="C8869" s="9" t="n">
        <v>1128299</v>
      </c>
      <c r="D8869" s="10" t="n">
        <v>44277</v>
      </c>
      <c r="E8869" s="9" t="s">
        <v>33</v>
      </c>
      <c r="F8869" s="9" t="s">
        <v>88</v>
      </c>
      <c r="G8869" s="9" t="s">
        <v>89</v>
      </c>
      <c r="H8869" s="11" t="s">
        <v>24</v>
      </c>
      <c r="I8869" s="12" t="n">
        <v>41</v>
      </c>
      <c r="J8869" s="13" t="n">
        <v>39</v>
      </c>
      <c r="K8869" s="14" t="n">
        <f aca="false">I8869*J8869</f>
        <v>1599</v>
      </c>
      <c r="L8869" s="14" t="n">
        <f aca="false">($L$2*M8869)/100</f>
        <v>384533.28</v>
      </c>
      <c r="M8869" s="15" t="n">
        <v>0.32</v>
      </c>
      <c r="N8869" s="9" t="s">
        <v>26</v>
      </c>
    </row>
    <row r="8870" customFormat="false" ht="14.25" hidden="false" customHeight="true" outlineLevel="0" collapsed="false">
      <c r="B8870" s="9" t="s">
        <v>16</v>
      </c>
      <c r="C8870" s="9" t="n">
        <v>1128299</v>
      </c>
      <c r="D8870" s="10" t="n">
        <v>44277</v>
      </c>
      <c r="E8870" s="9" t="s">
        <v>33</v>
      </c>
      <c r="F8870" s="9" t="s">
        <v>88</v>
      </c>
      <c r="G8870" s="9" t="s">
        <v>89</v>
      </c>
      <c r="H8870" s="11" t="s">
        <v>25</v>
      </c>
      <c r="I8870" s="12" t="n">
        <v>37</v>
      </c>
      <c r="J8870" s="13" t="n">
        <v>107</v>
      </c>
      <c r="K8870" s="14" t="n">
        <f aca="false">I8870*J8870</f>
        <v>3959</v>
      </c>
      <c r="L8870" s="14" t="n">
        <f aca="false">($L$2*M8870)/100</f>
        <v>324449.955</v>
      </c>
      <c r="M8870" s="15" t="n">
        <v>0.27</v>
      </c>
      <c r="N8870" s="9" t="s">
        <v>26</v>
      </c>
    </row>
    <row r="8871" customFormat="false" ht="14.25" hidden="false" customHeight="true" outlineLevel="0" collapsed="false">
      <c r="B8871" s="9" t="s">
        <v>16</v>
      </c>
      <c r="C8871" s="9" t="n">
        <v>1128299</v>
      </c>
      <c r="D8871" s="10" t="n">
        <v>44309</v>
      </c>
      <c r="E8871" s="9" t="s">
        <v>33</v>
      </c>
      <c r="F8871" s="9" t="s">
        <v>88</v>
      </c>
      <c r="G8871" s="9" t="s">
        <v>89</v>
      </c>
      <c r="H8871" s="11" t="s">
        <v>19</v>
      </c>
      <c r="I8871" s="12" t="n">
        <v>40</v>
      </c>
      <c r="J8871" s="13" t="n">
        <v>175</v>
      </c>
      <c r="K8871" s="14" t="n">
        <f aca="false">I8871*J8871</f>
        <v>7000</v>
      </c>
      <c r="L8871" s="14" t="n">
        <f aca="false">($L$2*M8871)/100</f>
        <v>456633.27</v>
      </c>
      <c r="M8871" s="15" t="n">
        <v>0.38</v>
      </c>
      <c r="N8871" s="9" t="s">
        <v>26</v>
      </c>
    </row>
    <row r="8872" customFormat="false" ht="14.25" hidden="false" customHeight="true" outlineLevel="0" collapsed="false">
      <c r="B8872" s="9" t="s">
        <v>16</v>
      </c>
      <c r="C8872" s="9" t="n">
        <v>1128299</v>
      </c>
      <c r="D8872" s="10" t="n">
        <v>44309</v>
      </c>
      <c r="E8872" s="9" t="s">
        <v>33</v>
      </c>
      <c r="F8872" s="9" t="s">
        <v>88</v>
      </c>
      <c r="G8872" s="9" t="s">
        <v>89</v>
      </c>
      <c r="H8872" s="11" t="s">
        <v>21</v>
      </c>
      <c r="I8872" s="12" t="n">
        <v>37</v>
      </c>
      <c r="J8872" s="13" t="n">
        <v>90</v>
      </c>
      <c r="K8872" s="14" t="n">
        <f aca="false">I8872*J8872</f>
        <v>3330</v>
      </c>
      <c r="L8872" s="14" t="n">
        <f aca="false">($L$2*M8872)/100</f>
        <v>528733.26</v>
      </c>
      <c r="M8872" s="15" t="n">
        <v>0.44</v>
      </c>
      <c r="N8872" s="9" t="s">
        <v>26</v>
      </c>
    </row>
    <row r="8873" customFormat="false" ht="14.25" hidden="false" customHeight="true" outlineLevel="0" collapsed="false">
      <c r="B8873" s="9" t="s">
        <v>16</v>
      </c>
      <c r="C8873" s="9" t="n">
        <v>1128299</v>
      </c>
      <c r="D8873" s="10" t="n">
        <v>44309</v>
      </c>
      <c r="E8873" s="9" t="s">
        <v>33</v>
      </c>
      <c r="F8873" s="9" t="s">
        <v>88</v>
      </c>
      <c r="G8873" s="9" t="s">
        <v>89</v>
      </c>
      <c r="H8873" s="11" t="s">
        <v>22</v>
      </c>
      <c r="I8873" s="12" t="n">
        <v>42</v>
      </c>
      <c r="J8873" s="13" t="n">
        <v>123</v>
      </c>
      <c r="K8873" s="14" t="n">
        <f aca="false">I8873*J8873</f>
        <v>5166</v>
      </c>
      <c r="L8873" s="14" t="n">
        <f aca="false">($L$2*M8873)/100</f>
        <v>444616.605</v>
      </c>
      <c r="M8873" s="15" t="n">
        <v>0.37</v>
      </c>
      <c r="N8873" s="9" t="s">
        <v>26</v>
      </c>
    </row>
    <row r="8874" customFormat="false" ht="14.25" hidden="false" customHeight="true" outlineLevel="0" collapsed="false">
      <c r="B8874" s="9" t="s">
        <v>16</v>
      </c>
      <c r="C8874" s="9" t="n">
        <v>1128299</v>
      </c>
      <c r="D8874" s="10" t="n">
        <v>44309</v>
      </c>
      <c r="E8874" s="9" t="s">
        <v>33</v>
      </c>
      <c r="F8874" s="9" t="s">
        <v>88</v>
      </c>
      <c r="G8874" s="9" t="s">
        <v>89</v>
      </c>
      <c r="H8874" s="11" t="s">
        <v>23</v>
      </c>
      <c r="I8874" s="12" t="n">
        <v>40</v>
      </c>
      <c r="J8874" s="13" t="n">
        <v>78</v>
      </c>
      <c r="K8874" s="14" t="n">
        <f aca="false">I8874*J8874</f>
        <v>3120</v>
      </c>
      <c r="L8874" s="14" t="n">
        <f aca="false">($L$2*M8874)/100</f>
        <v>480666.6</v>
      </c>
      <c r="M8874" s="15" t="n">
        <v>0.4</v>
      </c>
      <c r="N8874" s="9" t="s">
        <v>26</v>
      </c>
    </row>
    <row r="8875" customFormat="false" ht="14.25" hidden="false" customHeight="true" outlineLevel="0" collapsed="false">
      <c r="B8875" s="9" t="s">
        <v>16</v>
      </c>
      <c r="C8875" s="9" t="n">
        <v>1128299</v>
      </c>
      <c r="D8875" s="10" t="n">
        <v>44309</v>
      </c>
      <c r="E8875" s="9" t="s">
        <v>33</v>
      </c>
      <c r="F8875" s="9" t="s">
        <v>88</v>
      </c>
      <c r="G8875" s="9" t="s">
        <v>89</v>
      </c>
      <c r="H8875" s="11" t="s">
        <v>24</v>
      </c>
      <c r="I8875" s="12" t="n">
        <v>43</v>
      </c>
      <c r="J8875" s="13" t="n">
        <v>47</v>
      </c>
      <c r="K8875" s="14" t="n">
        <f aca="false">I8875*J8875</f>
        <v>2021</v>
      </c>
      <c r="L8875" s="14" t="n">
        <f aca="false">($L$2*M8875)/100</f>
        <v>408566.61</v>
      </c>
      <c r="M8875" s="15" t="n">
        <v>0.34</v>
      </c>
      <c r="N8875" s="9" t="s">
        <v>26</v>
      </c>
    </row>
    <row r="8876" customFormat="false" ht="14.25" hidden="false" customHeight="true" outlineLevel="0" collapsed="false">
      <c r="B8876" s="9" t="s">
        <v>16</v>
      </c>
      <c r="C8876" s="9" t="n">
        <v>1128299</v>
      </c>
      <c r="D8876" s="10" t="n">
        <v>44309</v>
      </c>
      <c r="E8876" s="9" t="s">
        <v>33</v>
      </c>
      <c r="F8876" s="9" t="s">
        <v>88</v>
      </c>
      <c r="G8876" s="9" t="s">
        <v>89</v>
      </c>
      <c r="H8876" s="11" t="s">
        <v>25</v>
      </c>
      <c r="I8876" s="12" t="n">
        <v>49</v>
      </c>
      <c r="J8876" s="13" t="n">
        <v>111</v>
      </c>
      <c r="K8876" s="14" t="n">
        <f aca="false">I8876*J8876</f>
        <v>5439</v>
      </c>
      <c r="L8876" s="14" t="n">
        <f aca="false">($L$2*M8876)/100</f>
        <v>360499.95</v>
      </c>
      <c r="M8876" s="15" t="n">
        <v>0.3</v>
      </c>
      <c r="N8876" s="9" t="s">
        <v>26</v>
      </c>
    </row>
    <row r="8877" customFormat="false" ht="14.25" hidden="false" customHeight="true" outlineLevel="0" collapsed="false">
      <c r="B8877" s="9" t="s">
        <v>16</v>
      </c>
      <c r="C8877" s="9" t="n">
        <v>1128299</v>
      </c>
      <c r="D8877" s="10" t="n">
        <v>44340</v>
      </c>
      <c r="E8877" s="9" t="s">
        <v>33</v>
      </c>
      <c r="F8877" s="9" t="s">
        <v>88</v>
      </c>
      <c r="G8877" s="9" t="s">
        <v>89</v>
      </c>
      <c r="H8877" s="11" t="s">
        <v>19</v>
      </c>
      <c r="I8877" s="12" t="n">
        <v>38</v>
      </c>
      <c r="J8877" s="13" t="n">
        <v>184</v>
      </c>
      <c r="K8877" s="14" t="n">
        <f aca="false">I8877*J8877</f>
        <v>6992</v>
      </c>
      <c r="L8877" s="14" t="n">
        <f aca="false">($L$2*M8877)/100</f>
        <v>456633.27</v>
      </c>
      <c r="M8877" s="15" t="n">
        <v>0.38</v>
      </c>
      <c r="N8877" s="9" t="s">
        <v>26</v>
      </c>
    </row>
    <row r="8878" customFormat="false" ht="14.25" hidden="false" customHeight="true" outlineLevel="0" collapsed="false">
      <c r="B8878" s="9" t="s">
        <v>16</v>
      </c>
      <c r="C8878" s="9" t="n">
        <v>1128299</v>
      </c>
      <c r="D8878" s="10" t="n">
        <v>44340</v>
      </c>
      <c r="E8878" s="9" t="s">
        <v>33</v>
      </c>
      <c r="F8878" s="9" t="s">
        <v>88</v>
      </c>
      <c r="G8878" s="9" t="s">
        <v>89</v>
      </c>
      <c r="H8878" s="11" t="s">
        <v>21</v>
      </c>
      <c r="I8878" s="12" t="n">
        <v>36</v>
      </c>
      <c r="J8878" s="13" t="n">
        <v>116</v>
      </c>
      <c r="K8878" s="14" t="n">
        <f aca="false">I8878*J8878</f>
        <v>4176</v>
      </c>
      <c r="L8878" s="14" t="n">
        <f aca="false">($L$2*M8878)/100</f>
        <v>504699.93</v>
      </c>
      <c r="M8878" s="15" t="n">
        <v>0.42</v>
      </c>
      <c r="N8878" s="9" t="s">
        <v>26</v>
      </c>
    </row>
    <row r="8879" customFormat="false" ht="14.25" hidden="false" customHeight="true" outlineLevel="0" collapsed="false">
      <c r="B8879" s="9" t="s">
        <v>16</v>
      </c>
      <c r="C8879" s="9" t="n">
        <v>1128299</v>
      </c>
      <c r="D8879" s="10" t="n">
        <v>44340</v>
      </c>
      <c r="E8879" s="9" t="s">
        <v>33</v>
      </c>
      <c r="F8879" s="9" t="s">
        <v>88</v>
      </c>
      <c r="G8879" s="9" t="s">
        <v>89</v>
      </c>
      <c r="H8879" s="11" t="s">
        <v>22</v>
      </c>
      <c r="I8879" s="12" t="n">
        <v>41</v>
      </c>
      <c r="J8879" s="13" t="n">
        <v>132</v>
      </c>
      <c r="K8879" s="14" t="n">
        <f aca="false">I8879*J8879</f>
        <v>5412</v>
      </c>
      <c r="L8879" s="14" t="n">
        <f aca="false">($L$2*M8879)/100</f>
        <v>456633.27</v>
      </c>
      <c r="M8879" s="15" t="n">
        <v>0.38</v>
      </c>
      <c r="N8879" s="9" t="s">
        <v>26</v>
      </c>
    </row>
    <row r="8880" customFormat="false" ht="14.25" hidden="false" customHeight="true" outlineLevel="0" collapsed="false">
      <c r="B8880" s="9" t="s">
        <v>16</v>
      </c>
      <c r="C8880" s="9" t="n">
        <v>1128299</v>
      </c>
      <c r="D8880" s="10" t="n">
        <v>44340</v>
      </c>
      <c r="E8880" s="9" t="s">
        <v>33</v>
      </c>
      <c r="F8880" s="9" t="s">
        <v>88</v>
      </c>
      <c r="G8880" s="9" t="s">
        <v>89</v>
      </c>
      <c r="H8880" s="11" t="s">
        <v>23</v>
      </c>
      <c r="I8880" s="12" t="n">
        <v>39</v>
      </c>
      <c r="J8880" s="13" t="n">
        <v>93</v>
      </c>
      <c r="K8880" s="14" t="n">
        <f aca="false">I8880*J8880</f>
        <v>3627</v>
      </c>
      <c r="L8880" s="14" t="n">
        <f aca="false">($L$2*M8880)/100</f>
        <v>444616.605</v>
      </c>
      <c r="M8880" s="15" t="n">
        <v>0.37</v>
      </c>
      <c r="N8880" s="9" t="s">
        <v>26</v>
      </c>
    </row>
    <row r="8881" customFormat="false" ht="14.25" hidden="false" customHeight="true" outlineLevel="0" collapsed="false">
      <c r="B8881" s="9" t="s">
        <v>16</v>
      </c>
      <c r="C8881" s="9" t="n">
        <v>1128299</v>
      </c>
      <c r="D8881" s="10" t="n">
        <v>44340</v>
      </c>
      <c r="E8881" s="9" t="s">
        <v>33</v>
      </c>
      <c r="F8881" s="9" t="s">
        <v>88</v>
      </c>
      <c r="G8881" s="9" t="s">
        <v>89</v>
      </c>
      <c r="H8881" s="11" t="s">
        <v>24</v>
      </c>
      <c r="I8881" s="12" t="n">
        <v>39</v>
      </c>
      <c r="J8881" s="13" t="n">
        <v>62</v>
      </c>
      <c r="K8881" s="14" t="n">
        <f aca="false">I8881*J8881</f>
        <v>2418</v>
      </c>
      <c r="L8881" s="14" t="n">
        <f aca="false">($L$2*M8881)/100</f>
        <v>396549.945</v>
      </c>
      <c r="M8881" s="15" t="n">
        <v>0.33</v>
      </c>
      <c r="N8881" s="9" t="s">
        <v>26</v>
      </c>
    </row>
    <row r="8882" customFormat="false" ht="14.25" hidden="false" customHeight="true" outlineLevel="0" collapsed="false">
      <c r="B8882" s="9" t="s">
        <v>16</v>
      </c>
      <c r="C8882" s="9" t="n">
        <v>1128299</v>
      </c>
      <c r="D8882" s="10" t="n">
        <v>44340</v>
      </c>
      <c r="E8882" s="9" t="s">
        <v>33</v>
      </c>
      <c r="F8882" s="9" t="s">
        <v>88</v>
      </c>
      <c r="G8882" s="9" t="s">
        <v>89</v>
      </c>
      <c r="H8882" s="11" t="s">
        <v>25</v>
      </c>
      <c r="I8882" s="12" t="n">
        <v>53</v>
      </c>
      <c r="J8882" s="13" t="n">
        <v>124</v>
      </c>
      <c r="K8882" s="14" t="n">
        <f aca="false">I8882*J8882</f>
        <v>6572</v>
      </c>
      <c r="L8882" s="14" t="n">
        <f aca="false">($L$2*M8882)/100</f>
        <v>348483.285</v>
      </c>
      <c r="M8882" s="15" t="n">
        <v>0.29</v>
      </c>
      <c r="N8882" s="9" t="s">
        <v>26</v>
      </c>
    </row>
    <row r="8883" customFormat="false" ht="14.25" hidden="false" customHeight="true" outlineLevel="0" collapsed="false">
      <c r="B8883" s="9" t="s">
        <v>16</v>
      </c>
      <c r="C8883" s="9" t="n">
        <v>1128299</v>
      </c>
      <c r="D8883" s="10" t="n">
        <v>44370</v>
      </c>
      <c r="E8883" s="9" t="s">
        <v>33</v>
      </c>
      <c r="F8883" s="9" t="s">
        <v>88</v>
      </c>
      <c r="G8883" s="9" t="s">
        <v>89</v>
      </c>
      <c r="H8883" s="11" t="s">
        <v>19</v>
      </c>
      <c r="I8883" s="12" t="n">
        <v>37</v>
      </c>
      <c r="J8883" s="13" t="n">
        <v>194</v>
      </c>
      <c r="K8883" s="14" t="n">
        <f aca="false">I8883*J8883</f>
        <v>7178</v>
      </c>
      <c r="L8883" s="14" t="n">
        <f aca="false">($L$2*M8883)/100</f>
        <v>468649.935</v>
      </c>
      <c r="M8883" s="15" t="n">
        <v>0.39</v>
      </c>
      <c r="N8883" s="9" t="s">
        <v>26</v>
      </c>
    </row>
    <row r="8884" customFormat="false" ht="14.25" hidden="false" customHeight="true" outlineLevel="0" collapsed="false">
      <c r="B8884" s="9" t="s">
        <v>16</v>
      </c>
      <c r="C8884" s="9" t="n">
        <v>1128299</v>
      </c>
      <c r="D8884" s="10" t="n">
        <v>44370</v>
      </c>
      <c r="E8884" s="9" t="s">
        <v>33</v>
      </c>
      <c r="F8884" s="9" t="s">
        <v>88</v>
      </c>
      <c r="G8884" s="9" t="s">
        <v>89</v>
      </c>
      <c r="H8884" s="11" t="s">
        <v>21</v>
      </c>
      <c r="I8884" s="12" t="n">
        <v>36</v>
      </c>
      <c r="J8884" s="13" t="n">
        <v>143</v>
      </c>
      <c r="K8884" s="14" t="n">
        <f aca="false">I8884*J8884</f>
        <v>5148</v>
      </c>
      <c r="L8884" s="14" t="n">
        <f aca="false">($L$2*M8884)/100</f>
        <v>504699.93</v>
      </c>
      <c r="M8884" s="15" t="n">
        <v>0.42</v>
      </c>
      <c r="N8884" s="9" t="s">
        <v>26</v>
      </c>
    </row>
    <row r="8885" customFormat="false" ht="14.25" hidden="false" customHeight="true" outlineLevel="0" collapsed="false">
      <c r="B8885" s="9" t="s">
        <v>16</v>
      </c>
      <c r="C8885" s="9" t="n">
        <v>1128299</v>
      </c>
      <c r="D8885" s="10" t="n">
        <v>44370</v>
      </c>
      <c r="E8885" s="9" t="s">
        <v>33</v>
      </c>
      <c r="F8885" s="9" t="s">
        <v>88</v>
      </c>
      <c r="G8885" s="9" t="s">
        <v>89</v>
      </c>
      <c r="H8885" s="11" t="s">
        <v>22</v>
      </c>
      <c r="I8885" s="12" t="n">
        <v>41</v>
      </c>
      <c r="J8885" s="13" t="n">
        <v>147</v>
      </c>
      <c r="K8885" s="14" t="n">
        <f aca="false">I8885*J8885</f>
        <v>6027</v>
      </c>
      <c r="L8885" s="14" t="n">
        <f aca="false">($L$2*M8885)/100</f>
        <v>456633.27</v>
      </c>
      <c r="M8885" s="15" t="n">
        <v>0.38</v>
      </c>
      <c r="N8885" s="9" t="s">
        <v>26</v>
      </c>
    </row>
    <row r="8886" customFormat="false" ht="14.25" hidden="false" customHeight="true" outlineLevel="0" collapsed="false">
      <c r="B8886" s="9" t="s">
        <v>16</v>
      </c>
      <c r="C8886" s="9" t="n">
        <v>1128299</v>
      </c>
      <c r="D8886" s="10" t="n">
        <v>44370</v>
      </c>
      <c r="E8886" s="9" t="s">
        <v>33</v>
      </c>
      <c r="F8886" s="9" t="s">
        <v>88</v>
      </c>
      <c r="G8886" s="9" t="s">
        <v>89</v>
      </c>
      <c r="H8886" s="11" t="s">
        <v>23</v>
      </c>
      <c r="I8886" s="12" t="n">
        <v>38</v>
      </c>
      <c r="J8886" s="13" t="n">
        <v>105</v>
      </c>
      <c r="K8886" s="14" t="n">
        <f aca="false">I8886*J8886</f>
        <v>3990</v>
      </c>
      <c r="L8886" s="14" t="n">
        <f aca="false">($L$2*M8886)/100</f>
        <v>480666.6</v>
      </c>
      <c r="M8886" s="15" t="n">
        <v>0.4</v>
      </c>
      <c r="N8886" s="9" t="s">
        <v>26</v>
      </c>
    </row>
    <row r="8887" customFormat="false" ht="14.25" hidden="false" customHeight="true" outlineLevel="0" collapsed="false">
      <c r="B8887" s="9" t="s">
        <v>16</v>
      </c>
      <c r="C8887" s="9" t="n">
        <v>1128299</v>
      </c>
      <c r="D8887" s="10" t="n">
        <v>44370</v>
      </c>
      <c r="E8887" s="9" t="s">
        <v>33</v>
      </c>
      <c r="F8887" s="9" t="s">
        <v>88</v>
      </c>
      <c r="G8887" s="9" t="s">
        <v>89</v>
      </c>
      <c r="H8887" s="11" t="s">
        <v>24</v>
      </c>
      <c r="I8887" s="12" t="n">
        <v>43</v>
      </c>
      <c r="J8887" s="13" t="n">
        <v>72</v>
      </c>
      <c r="K8887" s="14" t="n">
        <f aca="false">I8887*J8887</f>
        <v>3096</v>
      </c>
      <c r="L8887" s="14" t="n">
        <f aca="false">($L$2*M8887)/100</f>
        <v>408566.61</v>
      </c>
      <c r="M8887" s="15" t="n">
        <v>0.34</v>
      </c>
      <c r="N8887" s="9" t="s">
        <v>26</v>
      </c>
    </row>
    <row r="8888" customFormat="false" ht="14.25" hidden="false" customHeight="true" outlineLevel="0" collapsed="false">
      <c r="B8888" s="9" t="s">
        <v>16</v>
      </c>
      <c r="C8888" s="9" t="n">
        <v>1128299</v>
      </c>
      <c r="D8888" s="10" t="n">
        <v>44370</v>
      </c>
      <c r="E8888" s="9" t="s">
        <v>33</v>
      </c>
      <c r="F8888" s="9" t="s">
        <v>88</v>
      </c>
      <c r="G8888" s="9" t="s">
        <v>89</v>
      </c>
      <c r="H8888" s="11" t="s">
        <v>25</v>
      </c>
      <c r="I8888" s="12" t="n">
        <v>46</v>
      </c>
      <c r="J8888" s="13" t="n">
        <v>158</v>
      </c>
      <c r="K8888" s="14" t="n">
        <f aca="false">I8888*J8888</f>
        <v>7268</v>
      </c>
      <c r="L8888" s="14" t="n">
        <f aca="false">($L$2*M8888)/100</f>
        <v>372516.615</v>
      </c>
      <c r="M8888" s="15" t="n">
        <v>0.31</v>
      </c>
      <c r="N8888" s="9" t="s">
        <v>26</v>
      </c>
    </row>
    <row r="8889" customFormat="false" ht="14.25" hidden="false" customHeight="true" outlineLevel="0" collapsed="false">
      <c r="B8889" s="9" t="s">
        <v>16</v>
      </c>
      <c r="C8889" s="9" t="n">
        <v>1128299</v>
      </c>
      <c r="D8889" s="10" t="n">
        <v>44399</v>
      </c>
      <c r="E8889" s="9" t="s">
        <v>33</v>
      </c>
      <c r="F8889" s="9" t="s">
        <v>88</v>
      </c>
      <c r="G8889" s="9" t="s">
        <v>89</v>
      </c>
      <c r="H8889" s="11" t="s">
        <v>19</v>
      </c>
      <c r="I8889" s="12" t="n">
        <v>40</v>
      </c>
      <c r="J8889" s="13" t="n">
        <v>216</v>
      </c>
      <c r="K8889" s="14" t="n">
        <f aca="false">I8889*J8889</f>
        <v>8640</v>
      </c>
      <c r="L8889" s="14" t="n">
        <f aca="false">($L$2*M8889)/100</f>
        <v>444616.605</v>
      </c>
      <c r="M8889" s="15" t="n">
        <v>0.37</v>
      </c>
      <c r="N8889" s="9" t="s">
        <v>26</v>
      </c>
    </row>
    <row r="8890" customFormat="false" ht="14.25" hidden="false" customHeight="true" outlineLevel="0" collapsed="false">
      <c r="B8890" s="9" t="s">
        <v>16</v>
      </c>
      <c r="C8890" s="9" t="n">
        <v>1128299</v>
      </c>
      <c r="D8890" s="10" t="n">
        <v>44399</v>
      </c>
      <c r="E8890" s="9" t="s">
        <v>33</v>
      </c>
      <c r="F8890" s="9" t="s">
        <v>88</v>
      </c>
      <c r="G8890" s="9" t="s">
        <v>89</v>
      </c>
      <c r="H8890" s="11" t="s">
        <v>21</v>
      </c>
      <c r="I8890" s="12" t="n">
        <v>40</v>
      </c>
      <c r="J8890" s="13" t="n">
        <v>163</v>
      </c>
      <c r="K8890" s="14" t="n">
        <f aca="false">I8890*J8890</f>
        <v>6520</v>
      </c>
      <c r="L8890" s="14" t="n">
        <f aca="false">($L$2*M8890)/100</f>
        <v>552766.59</v>
      </c>
      <c r="M8890" s="15" t="n">
        <v>0.46</v>
      </c>
      <c r="N8890" s="9" t="s">
        <v>26</v>
      </c>
    </row>
    <row r="8891" customFormat="false" ht="14.25" hidden="false" customHeight="true" outlineLevel="0" collapsed="false">
      <c r="B8891" s="9" t="s">
        <v>16</v>
      </c>
      <c r="C8891" s="9" t="n">
        <v>1128299</v>
      </c>
      <c r="D8891" s="10" t="n">
        <v>44399</v>
      </c>
      <c r="E8891" s="9" t="s">
        <v>33</v>
      </c>
      <c r="F8891" s="9" t="s">
        <v>88</v>
      </c>
      <c r="G8891" s="9" t="s">
        <v>89</v>
      </c>
      <c r="H8891" s="11" t="s">
        <v>22</v>
      </c>
      <c r="I8891" s="12" t="n">
        <v>39</v>
      </c>
      <c r="J8891" s="13" t="n">
        <v>157</v>
      </c>
      <c r="K8891" s="14" t="n">
        <f aca="false">I8891*J8891</f>
        <v>6123</v>
      </c>
      <c r="L8891" s="14" t="n">
        <f aca="false">($L$2*M8891)/100</f>
        <v>468649.935</v>
      </c>
      <c r="M8891" s="15" t="n">
        <v>0.39</v>
      </c>
      <c r="N8891" s="9" t="s">
        <v>26</v>
      </c>
    </row>
    <row r="8892" customFormat="false" ht="14.25" hidden="false" customHeight="true" outlineLevel="0" collapsed="false">
      <c r="B8892" s="9" t="s">
        <v>16</v>
      </c>
      <c r="C8892" s="9" t="n">
        <v>1128299</v>
      </c>
      <c r="D8892" s="10" t="n">
        <v>44399</v>
      </c>
      <c r="E8892" s="9" t="s">
        <v>33</v>
      </c>
      <c r="F8892" s="9" t="s">
        <v>88</v>
      </c>
      <c r="G8892" s="9" t="s">
        <v>89</v>
      </c>
      <c r="H8892" s="11" t="s">
        <v>23</v>
      </c>
      <c r="I8892" s="12" t="n">
        <v>36</v>
      </c>
      <c r="J8892" s="13" t="n">
        <v>113</v>
      </c>
      <c r="K8892" s="14" t="n">
        <f aca="false">I8892*J8892</f>
        <v>4068</v>
      </c>
      <c r="L8892" s="14" t="n">
        <f aca="false">($L$2*M8892)/100</f>
        <v>456633.27</v>
      </c>
      <c r="M8892" s="15" t="n">
        <v>0.38</v>
      </c>
      <c r="N8892" s="9" t="s">
        <v>26</v>
      </c>
    </row>
    <row r="8893" customFormat="false" ht="14.25" hidden="false" customHeight="true" outlineLevel="0" collapsed="false">
      <c r="B8893" s="9" t="s">
        <v>16</v>
      </c>
      <c r="C8893" s="9" t="n">
        <v>1128299</v>
      </c>
      <c r="D8893" s="10" t="n">
        <v>44399</v>
      </c>
      <c r="E8893" s="9" t="s">
        <v>33</v>
      </c>
      <c r="F8893" s="9" t="s">
        <v>88</v>
      </c>
      <c r="G8893" s="9" t="s">
        <v>89</v>
      </c>
      <c r="H8893" s="11" t="s">
        <v>24</v>
      </c>
      <c r="I8893" s="12" t="n">
        <v>40</v>
      </c>
      <c r="J8893" s="13" t="n">
        <v>145</v>
      </c>
      <c r="K8893" s="14" t="n">
        <f aca="false">I8893*J8893</f>
        <v>5800</v>
      </c>
      <c r="L8893" s="14" t="n">
        <f aca="false">($L$2*M8893)/100</f>
        <v>444616.605</v>
      </c>
      <c r="M8893" s="15" t="n">
        <v>0.37</v>
      </c>
      <c r="N8893" s="9" t="s">
        <v>26</v>
      </c>
    </row>
    <row r="8894" customFormat="false" ht="14.25" hidden="false" customHeight="true" outlineLevel="0" collapsed="false">
      <c r="B8894" s="9" t="s">
        <v>16</v>
      </c>
      <c r="C8894" s="9" t="n">
        <v>1128299</v>
      </c>
      <c r="D8894" s="10" t="n">
        <v>44399</v>
      </c>
      <c r="E8894" s="9" t="s">
        <v>33</v>
      </c>
      <c r="F8894" s="9" t="s">
        <v>88</v>
      </c>
      <c r="G8894" s="9" t="s">
        <v>89</v>
      </c>
      <c r="H8894" s="11" t="s">
        <v>25</v>
      </c>
      <c r="I8894" s="12" t="n">
        <v>46</v>
      </c>
      <c r="J8894" s="13" t="n">
        <v>145</v>
      </c>
      <c r="K8894" s="14" t="n">
        <f aca="false">I8894*J8894</f>
        <v>6670</v>
      </c>
      <c r="L8894" s="14" t="n">
        <f aca="false">($L$2*M8894)/100</f>
        <v>360499.95</v>
      </c>
      <c r="M8894" s="15" t="n">
        <v>0.3</v>
      </c>
      <c r="N8894" s="9" t="s">
        <v>26</v>
      </c>
    </row>
    <row r="8895" customFormat="false" ht="14.25" hidden="false" customHeight="true" outlineLevel="0" collapsed="false">
      <c r="B8895" s="9" t="s">
        <v>16</v>
      </c>
      <c r="C8895" s="9" t="n">
        <v>1128299</v>
      </c>
      <c r="D8895" s="10" t="n">
        <v>44431</v>
      </c>
      <c r="E8895" s="9" t="s">
        <v>33</v>
      </c>
      <c r="F8895" s="9" t="s">
        <v>88</v>
      </c>
      <c r="G8895" s="9" t="s">
        <v>89</v>
      </c>
      <c r="H8895" s="11" t="s">
        <v>19</v>
      </c>
      <c r="I8895" s="12" t="n">
        <v>41</v>
      </c>
      <c r="J8895" s="13" t="n">
        <v>194</v>
      </c>
      <c r="K8895" s="14" t="n">
        <f aca="false">I8895*J8895</f>
        <v>7954</v>
      </c>
      <c r="L8895" s="14" t="n">
        <f aca="false">($L$2*M8895)/100</f>
        <v>480666.6</v>
      </c>
      <c r="M8895" s="15" t="n">
        <v>0.4</v>
      </c>
      <c r="N8895" s="9" t="s">
        <v>26</v>
      </c>
    </row>
    <row r="8896" customFormat="false" ht="14.25" hidden="false" customHeight="true" outlineLevel="0" collapsed="false">
      <c r="B8896" s="9" t="s">
        <v>16</v>
      </c>
      <c r="C8896" s="9" t="n">
        <v>1128299</v>
      </c>
      <c r="D8896" s="10" t="n">
        <v>44431</v>
      </c>
      <c r="E8896" s="9" t="s">
        <v>33</v>
      </c>
      <c r="F8896" s="9" t="s">
        <v>88</v>
      </c>
      <c r="G8896" s="9" t="s">
        <v>89</v>
      </c>
      <c r="H8896" s="11" t="s">
        <v>21</v>
      </c>
      <c r="I8896" s="12" t="n">
        <v>46</v>
      </c>
      <c r="J8896" s="13" t="n">
        <v>190</v>
      </c>
      <c r="K8896" s="14" t="n">
        <f aca="false">I8896*J8896</f>
        <v>8740</v>
      </c>
      <c r="L8896" s="14" t="n">
        <f aca="false">($L$2*M8896)/100</f>
        <v>504699.93</v>
      </c>
      <c r="M8896" s="15" t="n">
        <v>0.42</v>
      </c>
      <c r="N8896" s="9" t="s">
        <v>26</v>
      </c>
    </row>
    <row r="8897" customFormat="false" ht="14.25" hidden="false" customHeight="true" outlineLevel="0" collapsed="false">
      <c r="B8897" s="9" t="s">
        <v>16</v>
      </c>
      <c r="C8897" s="9" t="n">
        <v>1128299</v>
      </c>
      <c r="D8897" s="10" t="n">
        <v>44431</v>
      </c>
      <c r="E8897" s="9" t="s">
        <v>33</v>
      </c>
      <c r="F8897" s="9" t="s">
        <v>88</v>
      </c>
      <c r="G8897" s="9" t="s">
        <v>89</v>
      </c>
      <c r="H8897" s="11" t="s">
        <v>22</v>
      </c>
      <c r="I8897" s="12" t="n">
        <v>37</v>
      </c>
      <c r="J8897" s="13" t="n">
        <v>153</v>
      </c>
      <c r="K8897" s="14" t="n">
        <f aca="false">I8897*J8897</f>
        <v>5661</v>
      </c>
      <c r="L8897" s="14" t="n">
        <f aca="false">($L$2*M8897)/100</f>
        <v>492683.265</v>
      </c>
      <c r="M8897" s="15" t="n">
        <v>0.41</v>
      </c>
      <c r="N8897" s="9" t="s">
        <v>26</v>
      </c>
    </row>
    <row r="8898" customFormat="false" ht="14.25" hidden="false" customHeight="true" outlineLevel="0" collapsed="false">
      <c r="B8898" s="9" t="s">
        <v>16</v>
      </c>
      <c r="C8898" s="9" t="n">
        <v>1128299</v>
      </c>
      <c r="D8898" s="10" t="n">
        <v>44431</v>
      </c>
      <c r="E8898" s="9" t="s">
        <v>33</v>
      </c>
      <c r="F8898" s="9" t="s">
        <v>88</v>
      </c>
      <c r="G8898" s="9" t="s">
        <v>89</v>
      </c>
      <c r="H8898" s="11" t="s">
        <v>23</v>
      </c>
      <c r="I8898" s="12" t="n">
        <v>43</v>
      </c>
      <c r="J8898" s="13" t="n">
        <v>120</v>
      </c>
      <c r="K8898" s="14" t="n">
        <f aca="false">I8898*J8898</f>
        <v>5160</v>
      </c>
      <c r="L8898" s="14" t="n">
        <f aca="false">($L$2*M8898)/100</f>
        <v>504699.93</v>
      </c>
      <c r="M8898" s="15" t="n">
        <v>0.42</v>
      </c>
      <c r="N8898" s="9" t="s">
        <v>26</v>
      </c>
    </row>
    <row r="8899" customFormat="false" ht="14.25" hidden="false" customHeight="true" outlineLevel="0" collapsed="false">
      <c r="B8899" s="9" t="s">
        <v>16</v>
      </c>
      <c r="C8899" s="9" t="n">
        <v>1128299</v>
      </c>
      <c r="D8899" s="10" t="n">
        <v>44431</v>
      </c>
      <c r="E8899" s="9" t="s">
        <v>33</v>
      </c>
      <c r="F8899" s="9" t="s">
        <v>88</v>
      </c>
      <c r="G8899" s="9" t="s">
        <v>89</v>
      </c>
      <c r="H8899" s="11" t="s">
        <v>24</v>
      </c>
      <c r="I8899" s="12" t="n">
        <v>45</v>
      </c>
      <c r="J8899" s="13" t="n">
        <v>136</v>
      </c>
      <c r="K8899" s="14" t="n">
        <f aca="false">I8899*J8899</f>
        <v>6120</v>
      </c>
      <c r="L8899" s="14" t="n">
        <f aca="false">($L$2*M8899)/100</f>
        <v>444616.605</v>
      </c>
      <c r="M8899" s="15" t="n">
        <v>0.37</v>
      </c>
      <c r="N8899" s="9" t="s">
        <v>26</v>
      </c>
    </row>
    <row r="8900" customFormat="false" ht="14.25" hidden="false" customHeight="true" outlineLevel="0" collapsed="false">
      <c r="B8900" s="9" t="s">
        <v>16</v>
      </c>
      <c r="C8900" s="9" t="n">
        <v>1128299</v>
      </c>
      <c r="D8900" s="10" t="n">
        <v>44431</v>
      </c>
      <c r="E8900" s="9" t="s">
        <v>33</v>
      </c>
      <c r="F8900" s="9" t="s">
        <v>88</v>
      </c>
      <c r="G8900" s="9" t="s">
        <v>89</v>
      </c>
      <c r="H8900" s="11" t="s">
        <v>25</v>
      </c>
      <c r="I8900" s="12" t="n">
        <v>48</v>
      </c>
      <c r="J8900" s="13" t="n">
        <v>131</v>
      </c>
      <c r="K8900" s="14" t="n">
        <f aca="false">I8900*J8900</f>
        <v>6288</v>
      </c>
      <c r="L8900" s="14" t="n">
        <f aca="false">($L$2*M8900)/100</f>
        <v>336466.62</v>
      </c>
      <c r="M8900" s="15" t="n">
        <v>0.28</v>
      </c>
      <c r="N8900" s="9" t="s">
        <v>26</v>
      </c>
    </row>
    <row r="8901" customFormat="false" ht="14.25" hidden="false" customHeight="true" outlineLevel="0" collapsed="false">
      <c r="B8901" s="9" t="s">
        <v>16</v>
      </c>
      <c r="C8901" s="9" t="n">
        <v>1128299</v>
      </c>
      <c r="D8901" s="10" t="n">
        <v>44463</v>
      </c>
      <c r="E8901" s="9" t="s">
        <v>33</v>
      </c>
      <c r="F8901" s="9" t="s">
        <v>88</v>
      </c>
      <c r="G8901" s="9" t="s">
        <v>89</v>
      </c>
      <c r="H8901" s="11" t="s">
        <v>19</v>
      </c>
      <c r="I8901" s="12" t="n">
        <v>35</v>
      </c>
      <c r="J8901" s="13" t="n">
        <v>184</v>
      </c>
      <c r="K8901" s="14" t="n">
        <f aca="false">I8901*J8901</f>
        <v>6440</v>
      </c>
      <c r="L8901" s="14" t="n">
        <f aca="false">($L$2*M8901)/100</f>
        <v>504699.93</v>
      </c>
      <c r="M8901" s="15" t="n">
        <v>0.42</v>
      </c>
      <c r="N8901" s="9" t="s">
        <v>26</v>
      </c>
    </row>
    <row r="8902" customFormat="false" ht="14.25" hidden="false" customHeight="true" outlineLevel="0" collapsed="false">
      <c r="B8902" s="9" t="s">
        <v>16</v>
      </c>
      <c r="C8902" s="9" t="n">
        <v>1128299</v>
      </c>
      <c r="D8902" s="10" t="n">
        <v>44463</v>
      </c>
      <c r="E8902" s="9" t="s">
        <v>33</v>
      </c>
      <c r="F8902" s="9" t="s">
        <v>88</v>
      </c>
      <c r="G8902" s="9" t="s">
        <v>89</v>
      </c>
      <c r="H8902" s="11" t="s">
        <v>21</v>
      </c>
      <c r="I8902" s="12" t="n">
        <v>34</v>
      </c>
      <c r="J8902" s="13" t="n">
        <v>201</v>
      </c>
      <c r="K8902" s="14" t="n">
        <f aca="false">I8902*J8902</f>
        <v>6834</v>
      </c>
      <c r="L8902" s="14" t="n">
        <f aca="false">($L$2*M8902)/100</f>
        <v>564783.255</v>
      </c>
      <c r="M8902" s="15" t="n">
        <v>0.47</v>
      </c>
      <c r="N8902" s="9" t="s">
        <v>26</v>
      </c>
    </row>
    <row r="8903" customFormat="false" ht="14.25" hidden="false" customHeight="true" outlineLevel="0" collapsed="false">
      <c r="B8903" s="9" t="s">
        <v>16</v>
      </c>
      <c r="C8903" s="9" t="n">
        <v>1128299</v>
      </c>
      <c r="D8903" s="10" t="n">
        <v>44463</v>
      </c>
      <c r="E8903" s="9" t="s">
        <v>33</v>
      </c>
      <c r="F8903" s="9" t="s">
        <v>88</v>
      </c>
      <c r="G8903" s="9" t="s">
        <v>89</v>
      </c>
      <c r="H8903" s="11" t="s">
        <v>22</v>
      </c>
      <c r="I8903" s="12" t="n">
        <v>34</v>
      </c>
      <c r="J8903" s="13" t="n">
        <v>145</v>
      </c>
      <c r="K8903" s="14" t="n">
        <f aca="false">I8903*J8903</f>
        <v>4930</v>
      </c>
      <c r="L8903" s="14" t="n">
        <f aca="false">($L$2*M8903)/100</f>
        <v>444616.605</v>
      </c>
      <c r="M8903" s="15" t="n">
        <v>0.37</v>
      </c>
      <c r="N8903" s="9" t="s">
        <v>26</v>
      </c>
    </row>
    <row r="8904" customFormat="false" ht="14.25" hidden="false" customHeight="true" outlineLevel="0" collapsed="false">
      <c r="B8904" s="9" t="s">
        <v>16</v>
      </c>
      <c r="C8904" s="9" t="n">
        <v>1128299</v>
      </c>
      <c r="D8904" s="10" t="n">
        <v>44463</v>
      </c>
      <c r="E8904" s="9" t="s">
        <v>33</v>
      </c>
      <c r="F8904" s="9" t="s">
        <v>88</v>
      </c>
      <c r="G8904" s="9" t="s">
        <v>89</v>
      </c>
      <c r="H8904" s="11" t="s">
        <v>23</v>
      </c>
      <c r="I8904" s="12" t="n">
        <v>33</v>
      </c>
      <c r="J8904" s="13" t="n">
        <v>124</v>
      </c>
      <c r="K8904" s="14" t="n">
        <f aca="false">I8904*J8904</f>
        <v>4092</v>
      </c>
      <c r="L8904" s="14" t="n">
        <f aca="false">($L$2*M8904)/100</f>
        <v>444616.605</v>
      </c>
      <c r="M8904" s="15" t="n">
        <v>0.37</v>
      </c>
      <c r="N8904" s="9" t="s">
        <v>26</v>
      </c>
    </row>
    <row r="8905" customFormat="false" ht="14.25" hidden="false" customHeight="true" outlineLevel="0" collapsed="false">
      <c r="B8905" s="9" t="s">
        <v>16</v>
      </c>
      <c r="C8905" s="9" t="n">
        <v>1128299</v>
      </c>
      <c r="D8905" s="10" t="n">
        <v>44463</v>
      </c>
      <c r="E8905" s="9" t="s">
        <v>33</v>
      </c>
      <c r="F8905" s="9" t="s">
        <v>88</v>
      </c>
      <c r="G8905" s="9" t="s">
        <v>89</v>
      </c>
      <c r="H8905" s="11" t="s">
        <v>24</v>
      </c>
      <c r="I8905" s="12" t="n">
        <v>41</v>
      </c>
      <c r="J8905" s="13" t="n">
        <v>128</v>
      </c>
      <c r="K8905" s="14" t="n">
        <f aca="false">I8905*J8905</f>
        <v>5248</v>
      </c>
      <c r="L8905" s="14" t="n">
        <f aca="false">($L$2*M8905)/100</f>
        <v>396549.945</v>
      </c>
      <c r="M8905" s="15" t="n">
        <v>0.33</v>
      </c>
      <c r="N8905" s="9" t="s">
        <v>26</v>
      </c>
    </row>
    <row r="8906" customFormat="false" ht="14.25" hidden="false" customHeight="true" outlineLevel="0" collapsed="false">
      <c r="B8906" s="9" t="s">
        <v>16</v>
      </c>
      <c r="C8906" s="9" t="n">
        <v>1128299</v>
      </c>
      <c r="D8906" s="10" t="n">
        <v>44463</v>
      </c>
      <c r="E8906" s="9" t="s">
        <v>33</v>
      </c>
      <c r="F8906" s="9" t="s">
        <v>88</v>
      </c>
      <c r="G8906" s="9" t="s">
        <v>89</v>
      </c>
      <c r="H8906" s="11" t="s">
        <v>25</v>
      </c>
      <c r="I8906" s="12" t="n">
        <v>43</v>
      </c>
      <c r="J8906" s="13" t="n">
        <v>132</v>
      </c>
      <c r="K8906" s="14" t="n">
        <f aca="false">I8906*J8906</f>
        <v>5676</v>
      </c>
      <c r="L8906" s="14" t="n">
        <f aca="false">($L$2*M8906)/100</f>
        <v>384533.28</v>
      </c>
      <c r="M8906" s="15" t="n">
        <v>0.32</v>
      </c>
      <c r="N8906" s="9" t="s">
        <v>26</v>
      </c>
    </row>
    <row r="8907" customFormat="false" ht="14.25" hidden="false" customHeight="true" outlineLevel="0" collapsed="false">
      <c r="B8907" s="9" t="s">
        <v>16</v>
      </c>
      <c r="C8907" s="9" t="n">
        <v>1128299</v>
      </c>
      <c r="D8907" s="10" t="n">
        <v>44492</v>
      </c>
      <c r="E8907" s="9" t="s">
        <v>33</v>
      </c>
      <c r="F8907" s="9" t="s">
        <v>88</v>
      </c>
      <c r="G8907" s="9" t="s">
        <v>89</v>
      </c>
      <c r="H8907" s="11" t="s">
        <v>19</v>
      </c>
      <c r="I8907" s="12" t="n">
        <v>36</v>
      </c>
      <c r="J8907" s="13" t="n">
        <v>170</v>
      </c>
      <c r="K8907" s="14" t="n">
        <f aca="false">I8907*J8907</f>
        <v>6120</v>
      </c>
      <c r="L8907" s="14" t="n">
        <f aca="false">($L$2*M8907)/100</f>
        <v>504699.93</v>
      </c>
      <c r="M8907" s="15" t="n">
        <v>0.42</v>
      </c>
      <c r="N8907" s="9" t="s">
        <v>26</v>
      </c>
    </row>
    <row r="8908" customFormat="false" ht="14.25" hidden="false" customHeight="true" outlineLevel="0" collapsed="false">
      <c r="B8908" s="9" t="s">
        <v>16</v>
      </c>
      <c r="C8908" s="9" t="n">
        <v>1128299</v>
      </c>
      <c r="D8908" s="10" t="n">
        <v>44492</v>
      </c>
      <c r="E8908" s="9" t="s">
        <v>33</v>
      </c>
      <c r="F8908" s="9" t="s">
        <v>88</v>
      </c>
      <c r="G8908" s="9" t="s">
        <v>89</v>
      </c>
      <c r="H8908" s="11" t="s">
        <v>21</v>
      </c>
      <c r="I8908" s="12" t="n">
        <v>33</v>
      </c>
      <c r="J8908" s="13" t="n">
        <v>175</v>
      </c>
      <c r="K8908" s="14" t="n">
        <f aca="false">I8908*J8908</f>
        <v>5775</v>
      </c>
      <c r="L8908" s="14" t="n">
        <f aca="false">($L$2*M8908)/100</f>
        <v>504699.93</v>
      </c>
      <c r="M8908" s="15" t="n">
        <v>0.42</v>
      </c>
      <c r="N8908" s="9" t="s">
        <v>26</v>
      </c>
    </row>
    <row r="8909" customFormat="false" ht="14.25" hidden="false" customHeight="true" outlineLevel="0" collapsed="false">
      <c r="B8909" s="9" t="s">
        <v>16</v>
      </c>
      <c r="C8909" s="9" t="n">
        <v>1128299</v>
      </c>
      <c r="D8909" s="10" t="n">
        <v>44492</v>
      </c>
      <c r="E8909" s="9" t="s">
        <v>33</v>
      </c>
      <c r="F8909" s="9" t="s">
        <v>88</v>
      </c>
      <c r="G8909" s="9" t="s">
        <v>89</v>
      </c>
      <c r="H8909" s="11" t="s">
        <v>22</v>
      </c>
      <c r="I8909" s="12" t="n">
        <v>31</v>
      </c>
      <c r="J8909" s="13" t="n">
        <v>111</v>
      </c>
      <c r="K8909" s="14" t="n">
        <f aca="false">I8909*J8909</f>
        <v>3441</v>
      </c>
      <c r="L8909" s="14" t="n">
        <f aca="false">($L$2*M8909)/100</f>
        <v>444616.605</v>
      </c>
      <c r="M8909" s="15" t="n">
        <v>0.37</v>
      </c>
      <c r="N8909" s="9" t="s">
        <v>26</v>
      </c>
    </row>
    <row r="8910" customFormat="false" ht="14.25" hidden="false" customHeight="true" outlineLevel="0" collapsed="false">
      <c r="B8910" s="9" t="s">
        <v>16</v>
      </c>
      <c r="C8910" s="9" t="n">
        <v>1128299</v>
      </c>
      <c r="D8910" s="10" t="n">
        <v>44492</v>
      </c>
      <c r="E8910" s="9" t="s">
        <v>33</v>
      </c>
      <c r="F8910" s="9" t="s">
        <v>88</v>
      </c>
      <c r="G8910" s="9" t="s">
        <v>89</v>
      </c>
      <c r="H8910" s="11" t="s">
        <v>23</v>
      </c>
      <c r="I8910" s="12" t="n">
        <v>32</v>
      </c>
      <c r="J8910" s="13" t="n">
        <v>102</v>
      </c>
      <c r="K8910" s="14" t="n">
        <f aca="false">I8910*J8910</f>
        <v>3264</v>
      </c>
      <c r="L8910" s="14" t="n">
        <f aca="false">($L$2*M8910)/100</f>
        <v>468649.935</v>
      </c>
      <c r="M8910" s="15" t="n">
        <v>0.39</v>
      </c>
      <c r="N8910" s="9" t="s">
        <v>26</v>
      </c>
    </row>
    <row r="8911" customFormat="false" ht="14.25" hidden="false" customHeight="true" outlineLevel="0" collapsed="false">
      <c r="B8911" s="9" t="s">
        <v>16</v>
      </c>
      <c r="C8911" s="9" t="n">
        <v>1128299</v>
      </c>
      <c r="D8911" s="10" t="n">
        <v>44492</v>
      </c>
      <c r="E8911" s="9" t="s">
        <v>33</v>
      </c>
      <c r="F8911" s="9" t="s">
        <v>88</v>
      </c>
      <c r="G8911" s="9" t="s">
        <v>89</v>
      </c>
      <c r="H8911" s="11" t="s">
        <v>24</v>
      </c>
      <c r="I8911" s="12" t="n">
        <v>44</v>
      </c>
      <c r="J8911" s="13" t="n">
        <v>88</v>
      </c>
      <c r="K8911" s="14" t="n">
        <f aca="false">I8911*J8911</f>
        <v>3872</v>
      </c>
      <c r="L8911" s="14" t="n">
        <f aca="false">($L$2*M8911)/100</f>
        <v>444616.605</v>
      </c>
      <c r="M8911" s="15" t="n">
        <v>0.37</v>
      </c>
      <c r="N8911" s="9" t="s">
        <v>26</v>
      </c>
    </row>
    <row r="8912" customFormat="false" ht="14.25" hidden="false" customHeight="true" outlineLevel="0" collapsed="false">
      <c r="B8912" s="9" t="s">
        <v>16</v>
      </c>
      <c r="C8912" s="9" t="n">
        <v>1128299</v>
      </c>
      <c r="D8912" s="10" t="n">
        <v>44492</v>
      </c>
      <c r="E8912" s="9" t="s">
        <v>33</v>
      </c>
      <c r="F8912" s="9" t="s">
        <v>88</v>
      </c>
      <c r="G8912" s="9" t="s">
        <v>89</v>
      </c>
      <c r="H8912" s="11" t="s">
        <v>25</v>
      </c>
      <c r="I8912" s="12" t="n">
        <v>47</v>
      </c>
      <c r="J8912" s="13" t="n">
        <v>107</v>
      </c>
      <c r="K8912" s="14" t="n">
        <f aca="false">I8912*J8912</f>
        <v>5029</v>
      </c>
      <c r="L8912" s="14" t="n">
        <f aca="false">($L$2*M8912)/100</f>
        <v>348483.285</v>
      </c>
      <c r="M8912" s="15" t="n">
        <v>0.29</v>
      </c>
      <c r="N8912" s="9" t="s">
        <v>26</v>
      </c>
    </row>
    <row r="8913" customFormat="false" ht="14.25" hidden="false" customHeight="true" outlineLevel="0" collapsed="false">
      <c r="B8913" s="9" t="s">
        <v>16</v>
      </c>
      <c r="C8913" s="9" t="n">
        <v>1128299</v>
      </c>
      <c r="D8913" s="10" t="n">
        <v>44523</v>
      </c>
      <c r="E8913" s="9" t="s">
        <v>33</v>
      </c>
      <c r="F8913" s="9" t="s">
        <v>88</v>
      </c>
      <c r="G8913" s="9" t="s">
        <v>89</v>
      </c>
      <c r="H8913" s="11" t="s">
        <v>19</v>
      </c>
      <c r="I8913" s="12" t="n">
        <v>31</v>
      </c>
      <c r="J8913" s="13" t="n">
        <v>150</v>
      </c>
      <c r="K8913" s="14" t="n">
        <f aca="false">I8913*J8913</f>
        <v>4650</v>
      </c>
      <c r="L8913" s="14" t="n">
        <f aca="false">($L$2*M8913)/100</f>
        <v>456633.27</v>
      </c>
      <c r="M8913" s="15" t="n">
        <v>0.38</v>
      </c>
      <c r="N8913" s="9" t="s">
        <v>26</v>
      </c>
    </row>
    <row r="8914" customFormat="false" ht="14.25" hidden="false" customHeight="true" outlineLevel="0" collapsed="false">
      <c r="B8914" s="9" t="s">
        <v>16</v>
      </c>
      <c r="C8914" s="9" t="n">
        <v>1128299</v>
      </c>
      <c r="D8914" s="10" t="n">
        <v>44523</v>
      </c>
      <c r="E8914" s="9" t="s">
        <v>33</v>
      </c>
      <c r="F8914" s="9" t="s">
        <v>88</v>
      </c>
      <c r="G8914" s="9" t="s">
        <v>89</v>
      </c>
      <c r="H8914" s="11" t="s">
        <v>21</v>
      </c>
      <c r="I8914" s="12" t="n">
        <v>38</v>
      </c>
      <c r="J8914" s="13" t="n">
        <v>163</v>
      </c>
      <c r="K8914" s="14" t="n">
        <f aca="false">I8914*J8914</f>
        <v>6194</v>
      </c>
      <c r="L8914" s="14" t="n">
        <f aca="false">($L$2*M8914)/100</f>
        <v>564783.255</v>
      </c>
      <c r="M8914" s="15" t="n">
        <v>0.47</v>
      </c>
      <c r="N8914" s="9" t="s">
        <v>26</v>
      </c>
    </row>
    <row r="8915" customFormat="false" ht="14.25" hidden="false" customHeight="true" outlineLevel="0" collapsed="false">
      <c r="B8915" s="9" t="s">
        <v>16</v>
      </c>
      <c r="C8915" s="9" t="n">
        <v>1128299</v>
      </c>
      <c r="D8915" s="10" t="n">
        <v>44523</v>
      </c>
      <c r="E8915" s="9" t="s">
        <v>33</v>
      </c>
      <c r="F8915" s="9" t="s">
        <v>88</v>
      </c>
      <c r="G8915" s="9" t="s">
        <v>89</v>
      </c>
      <c r="H8915" s="11" t="s">
        <v>22</v>
      </c>
      <c r="I8915" s="12" t="n">
        <v>33</v>
      </c>
      <c r="J8915" s="13" t="n">
        <v>124</v>
      </c>
      <c r="K8915" s="14" t="n">
        <f aca="false">I8915*J8915</f>
        <v>4092</v>
      </c>
      <c r="L8915" s="14" t="n">
        <f aca="false">($L$2*M8915)/100</f>
        <v>468649.935</v>
      </c>
      <c r="M8915" s="15" t="n">
        <v>0.39</v>
      </c>
      <c r="N8915" s="9" t="s">
        <v>26</v>
      </c>
    </row>
    <row r="8916" customFormat="false" ht="14.25" hidden="false" customHeight="true" outlineLevel="0" collapsed="false">
      <c r="B8916" s="9" t="s">
        <v>16</v>
      </c>
      <c r="C8916" s="9" t="n">
        <v>1128299</v>
      </c>
      <c r="D8916" s="10" t="n">
        <v>44523</v>
      </c>
      <c r="E8916" s="9" t="s">
        <v>33</v>
      </c>
      <c r="F8916" s="9" t="s">
        <v>88</v>
      </c>
      <c r="G8916" s="9" t="s">
        <v>89</v>
      </c>
      <c r="H8916" s="11" t="s">
        <v>23</v>
      </c>
      <c r="I8916" s="12" t="n">
        <v>33</v>
      </c>
      <c r="J8916" s="13" t="n">
        <v>116</v>
      </c>
      <c r="K8916" s="14" t="n">
        <f aca="false">I8916*J8916</f>
        <v>3828</v>
      </c>
      <c r="L8916" s="14" t="n">
        <f aca="false">($L$2*M8916)/100</f>
        <v>504699.93</v>
      </c>
      <c r="M8916" s="15" t="n">
        <v>0.42</v>
      </c>
      <c r="N8916" s="9" t="s">
        <v>26</v>
      </c>
    </row>
    <row r="8917" customFormat="false" ht="14.25" hidden="false" customHeight="true" outlineLevel="0" collapsed="false">
      <c r="B8917" s="9" t="s">
        <v>16</v>
      </c>
      <c r="C8917" s="9" t="n">
        <v>1128299</v>
      </c>
      <c r="D8917" s="10" t="n">
        <v>44523</v>
      </c>
      <c r="E8917" s="9" t="s">
        <v>33</v>
      </c>
      <c r="F8917" s="9" t="s">
        <v>88</v>
      </c>
      <c r="G8917" s="9" t="s">
        <v>89</v>
      </c>
      <c r="H8917" s="11" t="s">
        <v>24</v>
      </c>
      <c r="I8917" s="12" t="n">
        <v>44</v>
      </c>
      <c r="J8917" s="13" t="n">
        <v>99</v>
      </c>
      <c r="K8917" s="14" t="n">
        <f aca="false">I8917*J8917</f>
        <v>4356</v>
      </c>
      <c r="L8917" s="14" t="n">
        <f aca="false">($L$2*M8917)/100</f>
        <v>432599.94</v>
      </c>
      <c r="M8917" s="15" t="n">
        <v>0.36</v>
      </c>
      <c r="N8917" s="9" t="s">
        <v>26</v>
      </c>
    </row>
    <row r="8918" customFormat="false" ht="14.25" hidden="false" customHeight="true" outlineLevel="0" collapsed="false">
      <c r="B8918" s="9" t="s">
        <v>16</v>
      </c>
      <c r="C8918" s="9" t="n">
        <v>1128299</v>
      </c>
      <c r="D8918" s="10" t="n">
        <v>44523</v>
      </c>
      <c r="E8918" s="9" t="s">
        <v>33</v>
      </c>
      <c r="F8918" s="9" t="s">
        <v>88</v>
      </c>
      <c r="G8918" s="9" t="s">
        <v>89</v>
      </c>
      <c r="H8918" s="11" t="s">
        <v>25</v>
      </c>
      <c r="I8918" s="12" t="n">
        <v>39</v>
      </c>
      <c r="J8918" s="13" t="n">
        <v>140</v>
      </c>
      <c r="K8918" s="14" t="n">
        <f aca="false">I8918*J8918</f>
        <v>5460</v>
      </c>
      <c r="L8918" s="14" t="n">
        <f aca="false">($L$2*M8918)/100</f>
        <v>336466.62</v>
      </c>
      <c r="M8918" s="15" t="n">
        <v>0.28</v>
      </c>
      <c r="N8918" s="9" t="s">
        <v>26</v>
      </c>
    </row>
    <row r="8919" customFormat="false" ht="14.25" hidden="false" customHeight="true" outlineLevel="0" collapsed="false">
      <c r="B8919" s="9" t="s">
        <v>16</v>
      </c>
      <c r="C8919" s="9" t="n">
        <v>1128299</v>
      </c>
      <c r="D8919" s="10" t="n">
        <v>44552</v>
      </c>
      <c r="E8919" s="9" t="s">
        <v>33</v>
      </c>
      <c r="F8919" s="9" t="s">
        <v>88</v>
      </c>
      <c r="G8919" s="9" t="s">
        <v>89</v>
      </c>
      <c r="H8919" s="11" t="s">
        <v>19</v>
      </c>
      <c r="I8919" s="12" t="n">
        <v>35</v>
      </c>
      <c r="J8919" s="13" t="n">
        <v>194</v>
      </c>
      <c r="K8919" s="14" t="n">
        <f aca="false">I8919*J8919</f>
        <v>6790</v>
      </c>
      <c r="L8919" s="14" t="n">
        <f aca="false">($L$2*M8919)/100</f>
        <v>480666.6</v>
      </c>
      <c r="M8919" s="15" t="n">
        <v>0.4</v>
      </c>
      <c r="N8919" s="9" t="s">
        <v>26</v>
      </c>
    </row>
    <row r="8920" customFormat="false" ht="14.25" hidden="false" customHeight="true" outlineLevel="0" collapsed="false">
      <c r="B8920" s="9" t="s">
        <v>16</v>
      </c>
      <c r="C8920" s="9" t="n">
        <v>1128299</v>
      </c>
      <c r="D8920" s="10" t="n">
        <v>44552</v>
      </c>
      <c r="E8920" s="9" t="s">
        <v>33</v>
      </c>
      <c r="F8920" s="9" t="s">
        <v>88</v>
      </c>
      <c r="G8920" s="9" t="s">
        <v>89</v>
      </c>
      <c r="H8920" s="11" t="s">
        <v>21</v>
      </c>
      <c r="I8920" s="12" t="n">
        <v>33</v>
      </c>
      <c r="J8920" s="13" t="n">
        <v>213</v>
      </c>
      <c r="K8920" s="14" t="n">
        <f aca="false">I8920*J8920</f>
        <v>7029</v>
      </c>
      <c r="L8920" s="14" t="n">
        <f aca="false">($L$2*M8920)/100</f>
        <v>552766.59</v>
      </c>
      <c r="M8920" s="15" t="n">
        <v>0.46</v>
      </c>
      <c r="N8920" s="9" t="s">
        <v>26</v>
      </c>
    </row>
    <row r="8921" customFormat="false" ht="14.25" hidden="false" customHeight="true" outlineLevel="0" collapsed="false">
      <c r="B8921" s="9" t="s">
        <v>36</v>
      </c>
      <c r="C8921" s="9" t="n">
        <v>1128299</v>
      </c>
      <c r="D8921" s="10" t="n">
        <v>44552</v>
      </c>
      <c r="E8921" s="9" t="s">
        <v>33</v>
      </c>
      <c r="F8921" s="9" t="s">
        <v>88</v>
      </c>
      <c r="G8921" s="9" t="s">
        <v>89</v>
      </c>
      <c r="H8921" s="11" t="s">
        <v>22</v>
      </c>
      <c r="I8921" s="12" t="n">
        <v>35</v>
      </c>
      <c r="J8921" s="13" t="n">
        <v>136</v>
      </c>
      <c r="K8921" s="14" t="n">
        <f aca="false">I8921*J8921</f>
        <v>4760</v>
      </c>
      <c r="L8921" s="14" t="n">
        <f aca="false">($L$2*M8921)/100</f>
        <v>492683.265</v>
      </c>
      <c r="M8921" s="15" t="n">
        <v>0.41</v>
      </c>
      <c r="N8921" s="9" t="s">
        <v>26</v>
      </c>
    </row>
    <row r="8922" customFormat="false" ht="14.25" hidden="false" customHeight="true" outlineLevel="0" collapsed="false">
      <c r="B8922" s="9" t="s">
        <v>36</v>
      </c>
      <c r="C8922" s="9" t="n">
        <v>1128299</v>
      </c>
      <c r="D8922" s="10" t="n">
        <v>44552</v>
      </c>
      <c r="E8922" s="9" t="s">
        <v>33</v>
      </c>
      <c r="F8922" s="9" t="s">
        <v>88</v>
      </c>
      <c r="G8922" s="9" t="s">
        <v>89</v>
      </c>
      <c r="H8922" s="11" t="s">
        <v>23</v>
      </c>
      <c r="I8922" s="12" t="n">
        <v>32</v>
      </c>
      <c r="J8922" s="13" t="n">
        <v>128</v>
      </c>
      <c r="K8922" s="14" t="n">
        <f aca="false">I8922*J8922</f>
        <v>4096</v>
      </c>
      <c r="L8922" s="14" t="n">
        <f aca="false">($L$2*M8922)/100</f>
        <v>492683.265</v>
      </c>
      <c r="M8922" s="15" t="n">
        <v>0.41</v>
      </c>
      <c r="N8922" s="9" t="s">
        <v>26</v>
      </c>
    </row>
    <row r="8923" customFormat="false" ht="14.25" hidden="false" customHeight="true" outlineLevel="0" collapsed="false">
      <c r="B8923" s="9" t="s">
        <v>36</v>
      </c>
      <c r="C8923" s="9" t="n">
        <v>1128299</v>
      </c>
      <c r="D8923" s="10" t="n">
        <v>44552</v>
      </c>
      <c r="E8923" s="9" t="s">
        <v>33</v>
      </c>
      <c r="F8923" s="9" t="s">
        <v>88</v>
      </c>
      <c r="G8923" s="9" t="s">
        <v>89</v>
      </c>
      <c r="H8923" s="11" t="s">
        <v>24</v>
      </c>
      <c r="I8923" s="12" t="n">
        <v>42</v>
      </c>
      <c r="J8923" s="13" t="n">
        <v>109</v>
      </c>
      <c r="K8923" s="14" t="n">
        <f aca="false">I8923*J8923</f>
        <v>4578</v>
      </c>
      <c r="L8923" s="14" t="n">
        <f aca="false">($L$2*M8923)/100</f>
        <v>408566.61</v>
      </c>
      <c r="M8923" s="15" t="n">
        <v>0.34</v>
      </c>
      <c r="N8923" s="9" t="s">
        <v>26</v>
      </c>
    </row>
    <row r="8924" customFormat="false" ht="14.25" hidden="false" customHeight="true" outlineLevel="0" collapsed="false">
      <c r="B8924" s="9" t="s">
        <v>36</v>
      </c>
      <c r="C8924" s="9" t="n">
        <v>1128299</v>
      </c>
      <c r="D8924" s="10" t="n">
        <v>44552</v>
      </c>
      <c r="E8924" s="9" t="s">
        <v>33</v>
      </c>
      <c r="F8924" s="9" t="s">
        <v>88</v>
      </c>
      <c r="G8924" s="9" t="s">
        <v>89</v>
      </c>
      <c r="H8924" s="11" t="s">
        <v>25</v>
      </c>
      <c r="I8924" s="12" t="n">
        <v>43</v>
      </c>
      <c r="J8924" s="13" t="n">
        <v>135</v>
      </c>
      <c r="K8924" s="14" t="n">
        <f aca="false">I8924*J8924</f>
        <v>5805</v>
      </c>
      <c r="L8924" s="14" t="n">
        <f aca="false">($L$2*M8924)/100</f>
        <v>336466.62</v>
      </c>
      <c r="M8924" s="15" t="n">
        <v>0.28</v>
      </c>
      <c r="N8924" s="9" t="s">
        <v>26</v>
      </c>
    </row>
    <row r="8925" customFormat="false" ht="14.25" hidden="false" customHeight="true" outlineLevel="0" collapsed="false">
      <c r="B8925" s="9" t="s">
        <v>36</v>
      </c>
      <c r="C8925" s="9" t="n">
        <v>1128299</v>
      </c>
      <c r="D8925" s="10" t="n">
        <v>44222</v>
      </c>
      <c r="E8925" s="9" t="s">
        <v>33</v>
      </c>
      <c r="F8925" s="9" t="s">
        <v>88</v>
      </c>
      <c r="G8925" s="9" t="s">
        <v>89</v>
      </c>
      <c r="H8925" s="11" t="s">
        <v>19</v>
      </c>
      <c r="I8925" s="12" t="n">
        <v>27</v>
      </c>
      <c r="J8925" s="13" t="n">
        <v>152</v>
      </c>
      <c r="K8925" s="14" t="n">
        <f aca="false">I8925*J8925</f>
        <v>4104</v>
      </c>
      <c r="L8925" s="14" t="n">
        <f aca="false">($L$2*M8925)/100</f>
        <v>492683.265</v>
      </c>
      <c r="M8925" s="15" t="n">
        <v>0.41</v>
      </c>
      <c r="N8925" s="9" t="s">
        <v>26</v>
      </c>
    </row>
    <row r="8926" customFormat="false" ht="14.25" hidden="false" customHeight="true" outlineLevel="0" collapsed="false">
      <c r="B8926" s="9" t="s">
        <v>36</v>
      </c>
      <c r="C8926" s="9" t="n">
        <v>1128299</v>
      </c>
      <c r="D8926" s="10" t="n">
        <v>44222</v>
      </c>
      <c r="E8926" s="9" t="s">
        <v>33</v>
      </c>
      <c r="F8926" s="9" t="s">
        <v>88</v>
      </c>
      <c r="G8926" s="9" t="s">
        <v>89</v>
      </c>
      <c r="H8926" s="11" t="s">
        <v>21</v>
      </c>
      <c r="I8926" s="12" t="n">
        <v>30</v>
      </c>
      <c r="J8926" s="13" t="n">
        <v>147</v>
      </c>
      <c r="K8926" s="14" t="n">
        <f aca="false">I8926*J8926</f>
        <v>4410</v>
      </c>
      <c r="L8926" s="14" t="n">
        <f aca="false">($L$2*M8926)/100</f>
        <v>564783.255</v>
      </c>
      <c r="M8926" s="15" t="n">
        <v>0.47</v>
      </c>
      <c r="N8926" s="9" t="s">
        <v>26</v>
      </c>
    </row>
    <row r="8927" customFormat="false" ht="14.25" hidden="false" customHeight="true" outlineLevel="0" collapsed="false">
      <c r="B8927" s="9" t="s">
        <v>36</v>
      </c>
      <c r="C8927" s="9" t="n">
        <v>1128299</v>
      </c>
      <c r="D8927" s="10" t="n">
        <v>44222</v>
      </c>
      <c r="E8927" s="9" t="s">
        <v>33</v>
      </c>
      <c r="F8927" s="9" t="s">
        <v>88</v>
      </c>
      <c r="G8927" s="9" t="s">
        <v>89</v>
      </c>
      <c r="H8927" s="11" t="s">
        <v>22</v>
      </c>
      <c r="I8927" s="12" t="n">
        <v>32</v>
      </c>
      <c r="J8927" s="13" t="n">
        <v>157</v>
      </c>
      <c r="K8927" s="14" t="n">
        <f aca="false">I8927*J8927</f>
        <v>5024</v>
      </c>
      <c r="L8927" s="14" t="n">
        <f aca="false">($L$2*M8927)/100</f>
        <v>468649.935</v>
      </c>
      <c r="M8927" s="15" t="n">
        <v>0.39</v>
      </c>
      <c r="N8927" s="9" t="s">
        <v>26</v>
      </c>
    </row>
    <row r="8928" customFormat="false" ht="14.25" hidden="false" customHeight="true" outlineLevel="0" collapsed="false">
      <c r="B8928" s="9" t="s">
        <v>36</v>
      </c>
      <c r="C8928" s="9" t="n">
        <v>1128299</v>
      </c>
      <c r="D8928" s="10" t="n">
        <v>44222</v>
      </c>
      <c r="E8928" s="9" t="s">
        <v>33</v>
      </c>
      <c r="F8928" s="9" t="s">
        <v>88</v>
      </c>
      <c r="G8928" s="9" t="s">
        <v>89</v>
      </c>
      <c r="H8928" s="11" t="s">
        <v>23</v>
      </c>
      <c r="I8928" s="12" t="n">
        <v>30</v>
      </c>
      <c r="J8928" s="13" t="n">
        <v>101</v>
      </c>
      <c r="K8928" s="14" t="n">
        <f aca="false">I8928*J8928</f>
        <v>3030</v>
      </c>
      <c r="L8928" s="14" t="n">
        <f aca="false">($L$2*M8928)/100</f>
        <v>456633.27</v>
      </c>
      <c r="M8928" s="15" t="n">
        <v>0.38</v>
      </c>
      <c r="N8928" s="9" t="s">
        <v>26</v>
      </c>
    </row>
    <row r="8929" customFormat="false" ht="14.25" hidden="false" customHeight="true" outlineLevel="0" collapsed="false">
      <c r="B8929" s="9" t="s">
        <v>36</v>
      </c>
      <c r="C8929" s="9" t="n">
        <v>1128299</v>
      </c>
      <c r="D8929" s="10" t="n">
        <v>44222</v>
      </c>
      <c r="E8929" s="9" t="s">
        <v>33</v>
      </c>
      <c r="F8929" s="9" t="s">
        <v>88</v>
      </c>
      <c r="G8929" s="9" t="s">
        <v>89</v>
      </c>
      <c r="H8929" s="11" t="s">
        <v>24</v>
      </c>
      <c r="I8929" s="12" t="n">
        <v>33</v>
      </c>
      <c r="J8929" s="13" t="n">
        <v>94</v>
      </c>
      <c r="K8929" s="14" t="n">
        <f aca="false">I8929*J8929</f>
        <v>3102</v>
      </c>
      <c r="L8929" s="14" t="n">
        <f aca="false">($L$2*M8929)/100</f>
        <v>444616.605</v>
      </c>
      <c r="M8929" s="15" t="n">
        <v>0.37</v>
      </c>
      <c r="N8929" s="9" t="s">
        <v>26</v>
      </c>
    </row>
    <row r="8930" customFormat="false" ht="14.25" hidden="false" customHeight="true" outlineLevel="0" collapsed="false">
      <c r="B8930" s="9" t="s">
        <v>36</v>
      </c>
      <c r="C8930" s="9" t="n">
        <v>1128299</v>
      </c>
      <c r="D8930" s="10" t="n">
        <v>44222</v>
      </c>
      <c r="E8930" s="9" t="s">
        <v>33</v>
      </c>
      <c r="F8930" s="9" t="s">
        <v>88</v>
      </c>
      <c r="G8930" s="9" t="s">
        <v>89</v>
      </c>
      <c r="H8930" s="11" t="s">
        <v>25</v>
      </c>
      <c r="I8930" s="12" t="n">
        <v>36</v>
      </c>
      <c r="J8930" s="13" t="n">
        <v>166</v>
      </c>
      <c r="K8930" s="14" t="n">
        <f aca="false">I8930*J8930</f>
        <v>5976</v>
      </c>
      <c r="L8930" s="14" t="n">
        <f aca="false">($L$2*M8930)/100</f>
        <v>324449.955</v>
      </c>
      <c r="M8930" s="15" t="n">
        <v>0.27</v>
      </c>
      <c r="N8930" s="9" t="s">
        <v>26</v>
      </c>
    </row>
    <row r="8931" customFormat="false" ht="14.25" hidden="false" customHeight="true" outlineLevel="0" collapsed="false">
      <c r="B8931" s="9" t="s">
        <v>36</v>
      </c>
      <c r="C8931" s="9" t="n">
        <v>1128299</v>
      </c>
      <c r="D8931" s="10" t="n">
        <v>44253</v>
      </c>
      <c r="E8931" s="9" t="s">
        <v>33</v>
      </c>
      <c r="F8931" s="9" t="s">
        <v>88</v>
      </c>
      <c r="G8931" s="9" t="s">
        <v>89</v>
      </c>
      <c r="H8931" s="11" t="s">
        <v>19</v>
      </c>
      <c r="I8931" s="12" t="n">
        <v>27</v>
      </c>
      <c r="J8931" s="13" t="n">
        <v>173</v>
      </c>
      <c r="K8931" s="14" t="n">
        <f aca="false">I8931*J8931</f>
        <v>4671</v>
      </c>
      <c r="L8931" s="14" t="n">
        <f aca="false">($L$2*M8931)/100</f>
        <v>480666.6</v>
      </c>
      <c r="M8931" s="15" t="n">
        <v>0.4</v>
      </c>
      <c r="N8931" s="9" t="s">
        <v>26</v>
      </c>
    </row>
    <row r="8932" customFormat="false" ht="14.25" hidden="false" customHeight="true" outlineLevel="0" collapsed="false">
      <c r="B8932" s="9" t="s">
        <v>36</v>
      </c>
      <c r="C8932" s="9" t="n">
        <v>1128299</v>
      </c>
      <c r="D8932" s="10" t="n">
        <v>44253</v>
      </c>
      <c r="E8932" s="9" t="s">
        <v>33</v>
      </c>
      <c r="F8932" s="9" t="s">
        <v>88</v>
      </c>
      <c r="G8932" s="9" t="s">
        <v>89</v>
      </c>
      <c r="H8932" s="11" t="s">
        <v>21</v>
      </c>
      <c r="I8932" s="12" t="n">
        <v>36</v>
      </c>
      <c r="J8932" s="13" t="n">
        <v>136</v>
      </c>
      <c r="K8932" s="14" t="n">
        <f aca="false">I8932*J8932</f>
        <v>4896</v>
      </c>
      <c r="L8932" s="14" t="n">
        <f aca="false">($L$2*M8932)/100</f>
        <v>564783.255</v>
      </c>
      <c r="M8932" s="15" t="n">
        <v>0.47</v>
      </c>
      <c r="N8932" s="9" t="s">
        <v>26</v>
      </c>
    </row>
    <row r="8933" customFormat="false" ht="14.25" hidden="false" customHeight="true" outlineLevel="0" collapsed="false">
      <c r="B8933" s="9" t="s">
        <v>36</v>
      </c>
      <c r="C8933" s="9" t="n">
        <v>1128299</v>
      </c>
      <c r="D8933" s="10" t="n">
        <v>44253</v>
      </c>
      <c r="E8933" s="9" t="s">
        <v>33</v>
      </c>
      <c r="F8933" s="9" t="s">
        <v>88</v>
      </c>
      <c r="G8933" s="9" t="s">
        <v>89</v>
      </c>
      <c r="H8933" s="11" t="s">
        <v>22</v>
      </c>
      <c r="I8933" s="12" t="n">
        <v>35</v>
      </c>
      <c r="J8933" s="13" t="n">
        <v>132</v>
      </c>
      <c r="K8933" s="14" t="n">
        <f aca="false">I8933*J8933</f>
        <v>4620</v>
      </c>
      <c r="L8933" s="14" t="n">
        <f aca="false">($L$2*M8933)/100</f>
        <v>480666.6</v>
      </c>
      <c r="M8933" s="15" t="n">
        <v>0.4</v>
      </c>
      <c r="N8933" s="9" t="s">
        <v>26</v>
      </c>
    </row>
    <row r="8934" customFormat="false" ht="14.25" hidden="false" customHeight="true" outlineLevel="0" collapsed="false">
      <c r="B8934" s="9" t="s">
        <v>36</v>
      </c>
      <c r="C8934" s="9" t="n">
        <v>1128299</v>
      </c>
      <c r="D8934" s="10" t="n">
        <v>44253</v>
      </c>
      <c r="E8934" s="9" t="s">
        <v>33</v>
      </c>
      <c r="F8934" s="9" t="s">
        <v>90</v>
      </c>
      <c r="G8934" s="9" t="s">
        <v>91</v>
      </c>
      <c r="H8934" s="11" t="s">
        <v>23</v>
      </c>
      <c r="I8934" s="12" t="n">
        <v>29</v>
      </c>
      <c r="J8934" s="13" t="n">
        <v>91</v>
      </c>
      <c r="K8934" s="14" t="n">
        <f aca="false">I8934*J8934</f>
        <v>2639</v>
      </c>
      <c r="L8934" s="14" t="n">
        <f aca="false">($L$2*M8934)/100</f>
        <v>444616.605</v>
      </c>
      <c r="M8934" s="15" t="n">
        <v>0.37</v>
      </c>
      <c r="N8934" s="9" t="s">
        <v>26</v>
      </c>
    </row>
    <row r="8935" customFormat="false" ht="14.25" hidden="false" customHeight="true" outlineLevel="0" collapsed="false">
      <c r="B8935" s="9" t="s">
        <v>36</v>
      </c>
      <c r="C8935" s="9" t="n">
        <v>1128299</v>
      </c>
      <c r="D8935" s="10" t="n">
        <v>44253</v>
      </c>
      <c r="E8935" s="9" t="s">
        <v>33</v>
      </c>
      <c r="F8935" s="9" t="s">
        <v>90</v>
      </c>
      <c r="G8935" s="9" t="s">
        <v>91</v>
      </c>
      <c r="H8935" s="11" t="s">
        <v>24</v>
      </c>
      <c r="I8935" s="12" t="n">
        <v>34</v>
      </c>
      <c r="J8935" s="13" t="n">
        <v>62</v>
      </c>
      <c r="K8935" s="14" t="n">
        <f aca="false">I8935*J8935</f>
        <v>2108</v>
      </c>
      <c r="L8935" s="14" t="n">
        <f aca="false">($L$2*M8935)/100</f>
        <v>384533.28</v>
      </c>
      <c r="M8935" s="15" t="n">
        <v>0.32</v>
      </c>
      <c r="N8935" s="9" t="s">
        <v>26</v>
      </c>
    </row>
    <row r="8936" customFormat="false" ht="14.25" hidden="false" customHeight="true" outlineLevel="0" collapsed="false">
      <c r="B8936" s="9" t="s">
        <v>36</v>
      </c>
      <c r="C8936" s="9" t="n">
        <v>1128299</v>
      </c>
      <c r="D8936" s="10" t="n">
        <v>44253</v>
      </c>
      <c r="E8936" s="9" t="s">
        <v>33</v>
      </c>
      <c r="F8936" s="9" t="s">
        <v>90</v>
      </c>
      <c r="G8936" s="9" t="s">
        <v>91</v>
      </c>
      <c r="H8936" s="11" t="s">
        <v>25</v>
      </c>
      <c r="I8936" s="12" t="n">
        <v>35</v>
      </c>
      <c r="J8936" s="13" t="n">
        <v>140</v>
      </c>
      <c r="K8936" s="14" t="n">
        <f aca="false">I8936*J8936</f>
        <v>4900</v>
      </c>
      <c r="L8936" s="14" t="n">
        <f aca="false">($L$2*M8936)/100</f>
        <v>336466.62</v>
      </c>
      <c r="M8936" s="15" t="n">
        <v>0.28</v>
      </c>
      <c r="N8936" s="9" t="s">
        <v>26</v>
      </c>
    </row>
    <row r="8937" customFormat="false" ht="14.25" hidden="false" customHeight="true" outlineLevel="0" collapsed="false">
      <c r="B8937" s="9" t="s">
        <v>36</v>
      </c>
      <c r="C8937" s="9" t="n">
        <v>1128299</v>
      </c>
      <c r="D8937" s="10" t="n">
        <v>44280</v>
      </c>
      <c r="E8937" s="9" t="s">
        <v>33</v>
      </c>
      <c r="F8937" s="9" t="s">
        <v>90</v>
      </c>
      <c r="G8937" s="9" t="s">
        <v>91</v>
      </c>
      <c r="H8937" s="11" t="s">
        <v>19</v>
      </c>
      <c r="I8937" s="12" t="n">
        <v>30</v>
      </c>
      <c r="J8937" s="13" t="n">
        <v>187</v>
      </c>
      <c r="K8937" s="14" t="n">
        <f aca="false">I8937*J8937</f>
        <v>5610</v>
      </c>
      <c r="L8937" s="14" t="n">
        <f aca="false">($L$2*M8937)/100</f>
        <v>492683.265</v>
      </c>
      <c r="M8937" s="15" t="n">
        <v>0.41</v>
      </c>
      <c r="N8937" s="9" t="s">
        <v>26</v>
      </c>
    </row>
    <row r="8938" customFormat="false" ht="14.25" hidden="false" customHeight="true" outlineLevel="0" collapsed="false">
      <c r="B8938" s="9" t="s">
        <v>36</v>
      </c>
      <c r="C8938" s="9" t="n">
        <v>1128299</v>
      </c>
      <c r="D8938" s="10" t="n">
        <v>44280</v>
      </c>
      <c r="E8938" s="9" t="s">
        <v>33</v>
      </c>
      <c r="F8938" s="9" t="s">
        <v>90</v>
      </c>
      <c r="G8938" s="9" t="s">
        <v>91</v>
      </c>
      <c r="H8938" s="11" t="s">
        <v>21</v>
      </c>
      <c r="I8938" s="12" t="n">
        <v>36</v>
      </c>
      <c r="J8938" s="13" t="n">
        <v>136</v>
      </c>
      <c r="K8938" s="14" t="n">
        <f aca="false">I8938*J8938</f>
        <v>4896</v>
      </c>
      <c r="L8938" s="14" t="n">
        <f aca="false">($L$2*M8938)/100</f>
        <v>540749.925</v>
      </c>
      <c r="M8938" s="15" t="n">
        <v>0.45</v>
      </c>
      <c r="N8938" s="9" t="s">
        <v>26</v>
      </c>
    </row>
    <row r="8939" customFormat="false" ht="14.25" hidden="false" customHeight="true" outlineLevel="0" collapsed="false">
      <c r="B8939" s="9" t="s">
        <v>36</v>
      </c>
      <c r="C8939" s="9" t="n">
        <v>1128299</v>
      </c>
      <c r="D8939" s="10" t="n">
        <v>44280</v>
      </c>
      <c r="E8939" s="9" t="s">
        <v>33</v>
      </c>
      <c r="F8939" s="9" t="s">
        <v>90</v>
      </c>
      <c r="G8939" s="9" t="s">
        <v>91</v>
      </c>
      <c r="H8939" s="11" t="s">
        <v>22</v>
      </c>
      <c r="I8939" s="12" t="n">
        <v>44</v>
      </c>
      <c r="J8939" s="13" t="n">
        <v>124</v>
      </c>
      <c r="K8939" s="14" t="n">
        <f aca="false">I8939*J8939</f>
        <v>5456</v>
      </c>
      <c r="L8939" s="14" t="n">
        <f aca="false">($L$2*M8939)/100</f>
        <v>456633.27</v>
      </c>
      <c r="M8939" s="15" t="n">
        <v>0.38</v>
      </c>
      <c r="N8939" s="9" t="s">
        <v>26</v>
      </c>
    </row>
    <row r="8940" customFormat="false" ht="14.25" hidden="false" customHeight="true" outlineLevel="0" collapsed="false">
      <c r="B8940" s="9" t="s">
        <v>36</v>
      </c>
      <c r="C8940" s="9" t="n">
        <v>1128299</v>
      </c>
      <c r="D8940" s="10" t="n">
        <v>44280</v>
      </c>
      <c r="E8940" s="9" t="s">
        <v>33</v>
      </c>
      <c r="F8940" s="9" t="s">
        <v>90</v>
      </c>
      <c r="G8940" s="9" t="s">
        <v>91</v>
      </c>
      <c r="H8940" s="11" t="s">
        <v>23</v>
      </c>
      <c r="I8940" s="12" t="n">
        <v>37</v>
      </c>
      <c r="J8940" s="13" t="n">
        <v>88</v>
      </c>
      <c r="K8940" s="14" t="n">
        <f aca="false">I8940*J8940</f>
        <v>3256</v>
      </c>
      <c r="L8940" s="14" t="n">
        <f aca="false">($L$2*M8940)/100</f>
        <v>468649.935</v>
      </c>
      <c r="M8940" s="15" t="n">
        <v>0.39</v>
      </c>
      <c r="N8940" s="9" t="s">
        <v>26</v>
      </c>
    </row>
    <row r="8941" customFormat="false" ht="14.25" hidden="false" customHeight="true" outlineLevel="0" collapsed="false">
      <c r="B8941" s="9" t="s">
        <v>36</v>
      </c>
      <c r="C8941" s="9" t="n">
        <v>1128299</v>
      </c>
      <c r="D8941" s="10" t="n">
        <v>44280</v>
      </c>
      <c r="E8941" s="9" t="s">
        <v>33</v>
      </c>
      <c r="F8941" s="9" t="s">
        <v>90</v>
      </c>
      <c r="G8941" s="9" t="s">
        <v>91</v>
      </c>
      <c r="H8941" s="11" t="s">
        <v>24</v>
      </c>
      <c r="I8941" s="12" t="n">
        <v>41</v>
      </c>
      <c r="J8941" s="13" t="n">
        <v>53</v>
      </c>
      <c r="K8941" s="14" t="n">
        <f aca="false">I8941*J8941</f>
        <v>2173</v>
      </c>
      <c r="L8941" s="14" t="n">
        <f aca="false">($L$2*M8941)/100</f>
        <v>384533.28</v>
      </c>
      <c r="M8941" s="15" t="n">
        <v>0.32</v>
      </c>
      <c r="N8941" s="9" t="s">
        <v>26</v>
      </c>
    </row>
    <row r="8942" customFormat="false" ht="14.25" hidden="false" customHeight="true" outlineLevel="0" collapsed="false">
      <c r="B8942" s="9" t="s">
        <v>36</v>
      </c>
      <c r="C8942" s="9" t="n">
        <v>1128299</v>
      </c>
      <c r="D8942" s="10" t="n">
        <v>44280</v>
      </c>
      <c r="E8942" s="9" t="s">
        <v>33</v>
      </c>
      <c r="F8942" s="9" t="s">
        <v>90</v>
      </c>
      <c r="G8942" s="9" t="s">
        <v>91</v>
      </c>
      <c r="H8942" s="11" t="s">
        <v>25</v>
      </c>
      <c r="I8942" s="12" t="n">
        <v>44</v>
      </c>
      <c r="J8942" s="13" t="n">
        <v>131</v>
      </c>
      <c r="K8942" s="14" t="n">
        <f aca="false">I8942*J8942</f>
        <v>5764</v>
      </c>
      <c r="L8942" s="14" t="n">
        <f aca="false">($L$2*M8942)/100</f>
        <v>372516.615</v>
      </c>
      <c r="M8942" s="15" t="n">
        <v>0.31</v>
      </c>
      <c r="N8942" s="9" t="s">
        <v>26</v>
      </c>
    </row>
    <row r="8943" customFormat="false" ht="14.25" hidden="false" customHeight="true" outlineLevel="0" collapsed="false">
      <c r="B8943" s="9" t="s">
        <v>36</v>
      </c>
      <c r="C8943" s="9" t="n">
        <v>1128299</v>
      </c>
      <c r="D8943" s="10" t="n">
        <v>44312</v>
      </c>
      <c r="E8943" s="9" t="s">
        <v>33</v>
      </c>
      <c r="F8943" s="9" t="s">
        <v>90</v>
      </c>
      <c r="G8943" s="9" t="s">
        <v>91</v>
      </c>
      <c r="H8943" s="11" t="s">
        <v>19</v>
      </c>
      <c r="I8943" s="12" t="n">
        <v>41</v>
      </c>
      <c r="J8943" s="13" t="n">
        <v>165</v>
      </c>
      <c r="K8943" s="14" t="n">
        <f aca="false">I8943*J8943</f>
        <v>6765</v>
      </c>
      <c r="L8943" s="14" t="n">
        <f aca="false">($L$2*M8943)/100</f>
        <v>504699.93</v>
      </c>
      <c r="M8943" s="15" t="n">
        <v>0.42</v>
      </c>
      <c r="N8943" s="9" t="s">
        <v>26</v>
      </c>
    </row>
    <row r="8944" customFormat="false" ht="14.25" hidden="false" customHeight="true" outlineLevel="0" collapsed="false">
      <c r="B8944" s="9" t="s">
        <v>36</v>
      </c>
      <c r="C8944" s="9" t="n">
        <v>1128299</v>
      </c>
      <c r="D8944" s="10" t="n">
        <v>44312</v>
      </c>
      <c r="E8944" s="9" t="s">
        <v>33</v>
      </c>
      <c r="F8944" s="9" t="s">
        <v>90</v>
      </c>
      <c r="G8944" s="9" t="s">
        <v>91</v>
      </c>
      <c r="H8944" s="11" t="s">
        <v>21</v>
      </c>
      <c r="I8944" s="12" t="n">
        <v>43</v>
      </c>
      <c r="J8944" s="13" t="n">
        <v>109</v>
      </c>
      <c r="K8944" s="14" t="n">
        <f aca="false">I8944*J8944</f>
        <v>4687</v>
      </c>
      <c r="L8944" s="14" t="n">
        <f aca="false">($L$2*M8944)/100</f>
        <v>552766.59</v>
      </c>
      <c r="M8944" s="15" t="n">
        <v>0.46</v>
      </c>
      <c r="N8944" s="9" t="s">
        <v>26</v>
      </c>
    </row>
    <row r="8945" customFormat="false" ht="14.25" hidden="false" customHeight="true" outlineLevel="0" collapsed="false">
      <c r="B8945" s="9" t="s">
        <v>36</v>
      </c>
      <c r="C8945" s="9" t="n">
        <v>1128299</v>
      </c>
      <c r="D8945" s="10" t="n">
        <v>44312</v>
      </c>
      <c r="E8945" s="9" t="s">
        <v>33</v>
      </c>
      <c r="F8945" s="9" t="s">
        <v>90</v>
      </c>
      <c r="G8945" s="9" t="s">
        <v>91</v>
      </c>
      <c r="H8945" s="11" t="s">
        <v>22</v>
      </c>
      <c r="I8945" s="12" t="n">
        <v>44</v>
      </c>
      <c r="J8945" s="13" t="n">
        <v>140</v>
      </c>
      <c r="K8945" s="14" t="n">
        <f aca="false">I8945*J8945</f>
        <v>6160</v>
      </c>
      <c r="L8945" s="14" t="n">
        <f aca="false">($L$2*M8945)/100</f>
        <v>504699.93</v>
      </c>
      <c r="M8945" s="15" t="n">
        <v>0.42</v>
      </c>
      <c r="N8945" s="9" t="s">
        <v>26</v>
      </c>
    </row>
    <row r="8946" customFormat="false" ht="14.25" hidden="false" customHeight="true" outlineLevel="0" collapsed="false">
      <c r="B8946" s="9" t="s">
        <v>36</v>
      </c>
      <c r="C8946" s="9" t="n">
        <v>1128299</v>
      </c>
      <c r="D8946" s="10" t="n">
        <v>44312</v>
      </c>
      <c r="E8946" s="9" t="s">
        <v>33</v>
      </c>
      <c r="F8946" s="9" t="s">
        <v>90</v>
      </c>
      <c r="G8946" s="9" t="s">
        <v>91</v>
      </c>
      <c r="H8946" s="11" t="s">
        <v>23</v>
      </c>
      <c r="I8946" s="12" t="n">
        <v>37</v>
      </c>
      <c r="J8946" s="13" t="n">
        <v>96</v>
      </c>
      <c r="K8946" s="14" t="n">
        <f aca="false">I8946*J8946</f>
        <v>3552</v>
      </c>
      <c r="L8946" s="14" t="n">
        <f aca="false">($L$2*M8946)/100</f>
        <v>468649.935</v>
      </c>
      <c r="M8946" s="15" t="n">
        <v>0.39</v>
      </c>
      <c r="N8946" s="9" t="s">
        <v>26</v>
      </c>
    </row>
    <row r="8947" customFormat="false" ht="14.25" hidden="false" customHeight="true" outlineLevel="0" collapsed="false">
      <c r="B8947" s="9" t="s">
        <v>36</v>
      </c>
      <c r="C8947" s="9" t="n">
        <v>1128299</v>
      </c>
      <c r="D8947" s="10" t="n">
        <v>44312</v>
      </c>
      <c r="E8947" s="9" t="s">
        <v>33</v>
      </c>
      <c r="F8947" s="9" t="s">
        <v>90</v>
      </c>
      <c r="G8947" s="9" t="s">
        <v>91</v>
      </c>
      <c r="H8947" s="11" t="s">
        <v>24</v>
      </c>
      <c r="I8947" s="12" t="n">
        <v>46</v>
      </c>
      <c r="J8947" s="13" t="n">
        <v>60</v>
      </c>
      <c r="K8947" s="14" t="n">
        <f aca="false">I8947*J8947</f>
        <v>2760</v>
      </c>
      <c r="L8947" s="14" t="n">
        <f aca="false">($L$2*M8947)/100</f>
        <v>420583.275</v>
      </c>
      <c r="M8947" s="15" t="n">
        <v>0.35</v>
      </c>
      <c r="N8947" s="9" t="s">
        <v>26</v>
      </c>
    </row>
    <row r="8948" customFormat="false" ht="14.25" hidden="false" customHeight="true" outlineLevel="0" collapsed="false">
      <c r="B8948" s="9" t="s">
        <v>36</v>
      </c>
      <c r="C8948" s="9" t="n">
        <v>1128299</v>
      </c>
      <c r="D8948" s="10" t="n">
        <v>44312</v>
      </c>
      <c r="E8948" s="9" t="s">
        <v>33</v>
      </c>
      <c r="F8948" s="9" t="s">
        <v>90</v>
      </c>
      <c r="G8948" s="9" t="s">
        <v>91</v>
      </c>
      <c r="H8948" s="11" t="s">
        <v>25</v>
      </c>
      <c r="I8948" s="12" t="n">
        <v>56</v>
      </c>
      <c r="J8948" s="13" t="n">
        <v>116</v>
      </c>
      <c r="K8948" s="14" t="n">
        <f aca="false">I8948*J8948</f>
        <v>6496</v>
      </c>
      <c r="L8948" s="14" t="n">
        <f aca="false">($L$2*M8948)/100</f>
        <v>336466.62</v>
      </c>
      <c r="M8948" s="15" t="n">
        <v>0.28</v>
      </c>
      <c r="N8948" s="9" t="s">
        <v>26</v>
      </c>
    </row>
    <row r="8949" customFormat="false" ht="14.25" hidden="false" customHeight="true" outlineLevel="0" collapsed="false">
      <c r="B8949" s="9" t="s">
        <v>36</v>
      </c>
      <c r="C8949" s="9" t="n">
        <v>1128299</v>
      </c>
      <c r="D8949" s="10" t="n">
        <v>44343</v>
      </c>
      <c r="E8949" s="9" t="s">
        <v>33</v>
      </c>
      <c r="F8949" s="9" t="s">
        <v>90</v>
      </c>
      <c r="G8949" s="9" t="s">
        <v>91</v>
      </c>
      <c r="H8949" s="11" t="s">
        <v>19</v>
      </c>
      <c r="I8949" s="12" t="n">
        <v>43</v>
      </c>
      <c r="J8949" s="13" t="n">
        <v>184</v>
      </c>
      <c r="K8949" s="14" t="n">
        <f aca="false">I8949*J8949</f>
        <v>7912</v>
      </c>
      <c r="L8949" s="14" t="n">
        <f aca="false">($L$2*M8949)/100</f>
        <v>492683.265</v>
      </c>
      <c r="M8949" s="15" t="n">
        <v>0.41</v>
      </c>
      <c r="N8949" s="9" t="s">
        <v>26</v>
      </c>
    </row>
    <row r="8950" customFormat="false" ht="14.25" hidden="false" customHeight="true" outlineLevel="0" collapsed="false">
      <c r="B8950" s="9" t="s">
        <v>36</v>
      </c>
      <c r="C8950" s="9" t="n">
        <v>1128299</v>
      </c>
      <c r="D8950" s="10" t="n">
        <v>44343</v>
      </c>
      <c r="E8950" s="9" t="s">
        <v>33</v>
      </c>
      <c r="F8950" s="9" t="s">
        <v>90</v>
      </c>
      <c r="G8950" s="9" t="s">
        <v>91</v>
      </c>
      <c r="H8950" s="11" t="s">
        <v>21</v>
      </c>
      <c r="I8950" s="12" t="n">
        <v>46</v>
      </c>
      <c r="J8950" s="13" t="n">
        <v>136</v>
      </c>
      <c r="K8950" s="14" t="n">
        <f aca="false">I8950*J8950</f>
        <v>6256</v>
      </c>
      <c r="L8950" s="14" t="n">
        <f aca="false">($L$2*M8950)/100</f>
        <v>504699.93</v>
      </c>
      <c r="M8950" s="15" t="n">
        <v>0.42</v>
      </c>
      <c r="N8950" s="9" t="s">
        <v>26</v>
      </c>
    </row>
    <row r="8951" customFormat="false" ht="14.25" hidden="false" customHeight="true" outlineLevel="0" collapsed="false">
      <c r="B8951" s="9" t="s">
        <v>36</v>
      </c>
      <c r="C8951" s="9" t="n">
        <v>1128299</v>
      </c>
      <c r="D8951" s="10" t="n">
        <v>44343</v>
      </c>
      <c r="E8951" s="9" t="s">
        <v>33</v>
      </c>
      <c r="F8951" s="9" t="s">
        <v>90</v>
      </c>
      <c r="G8951" s="9" t="s">
        <v>91</v>
      </c>
      <c r="H8951" s="11" t="s">
        <v>22</v>
      </c>
      <c r="I8951" s="12" t="n">
        <v>46</v>
      </c>
      <c r="J8951" s="13" t="n">
        <v>135</v>
      </c>
      <c r="K8951" s="14" t="n">
        <f aca="false">I8951*J8951</f>
        <v>6210</v>
      </c>
      <c r="L8951" s="14" t="n">
        <f aca="false">($L$2*M8951)/100</f>
        <v>492683.265</v>
      </c>
      <c r="M8951" s="15" t="n">
        <v>0.41</v>
      </c>
      <c r="N8951" s="9" t="s">
        <v>26</v>
      </c>
    </row>
    <row r="8952" customFormat="false" ht="14.25" hidden="false" customHeight="true" outlineLevel="0" collapsed="false">
      <c r="B8952" s="9" t="s">
        <v>36</v>
      </c>
      <c r="C8952" s="9" t="n">
        <v>1128299</v>
      </c>
      <c r="D8952" s="10" t="n">
        <v>44343</v>
      </c>
      <c r="E8952" s="9" t="s">
        <v>33</v>
      </c>
      <c r="F8952" s="9" t="s">
        <v>90</v>
      </c>
      <c r="G8952" s="9" t="s">
        <v>91</v>
      </c>
      <c r="H8952" s="11" t="s">
        <v>23</v>
      </c>
      <c r="I8952" s="12" t="n">
        <v>43</v>
      </c>
      <c r="J8952" s="13" t="n">
        <v>109</v>
      </c>
      <c r="K8952" s="14" t="n">
        <f aca="false">I8952*J8952</f>
        <v>4687</v>
      </c>
      <c r="L8952" s="14" t="n">
        <f aca="false">($L$2*M8952)/100</f>
        <v>492683.265</v>
      </c>
      <c r="M8952" s="15" t="n">
        <v>0.41</v>
      </c>
      <c r="N8952" s="9" t="s">
        <v>26</v>
      </c>
    </row>
    <row r="8953" customFormat="false" ht="14.25" hidden="false" customHeight="true" outlineLevel="0" collapsed="false">
      <c r="B8953" s="9" t="s">
        <v>36</v>
      </c>
      <c r="C8953" s="9" t="n">
        <v>1128299</v>
      </c>
      <c r="D8953" s="10" t="n">
        <v>44343</v>
      </c>
      <c r="E8953" s="9" t="s">
        <v>33</v>
      </c>
      <c r="F8953" s="9" t="s">
        <v>90</v>
      </c>
      <c r="G8953" s="9" t="s">
        <v>91</v>
      </c>
      <c r="H8953" s="11" t="s">
        <v>24</v>
      </c>
      <c r="I8953" s="12" t="n">
        <v>45</v>
      </c>
      <c r="J8953" s="13" t="n">
        <v>78</v>
      </c>
      <c r="K8953" s="14" t="n">
        <f aca="false">I8953*J8953</f>
        <v>3510</v>
      </c>
      <c r="L8953" s="14" t="n">
        <f aca="false">($L$2*M8953)/100</f>
        <v>420583.275</v>
      </c>
      <c r="M8953" s="15" t="n">
        <v>0.35</v>
      </c>
      <c r="N8953" s="9" t="s">
        <v>26</v>
      </c>
    </row>
    <row r="8954" customFormat="false" ht="14.25" hidden="false" customHeight="true" outlineLevel="0" collapsed="false">
      <c r="B8954" s="9" t="s">
        <v>36</v>
      </c>
      <c r="C8954" s="9" t="n">
        <v>1128299</v>
      </c>
      <c r="D8954" s="10" t="n">
        <v>44343</v>
      </c>
      <c r="E8954" s="9" t="s">
        <v>33</v>
      </c>
      <c r="F8954" s="9" t="s">
        <v>90</v>
      </c>
      <c r="G8954" s="9" t="s">
        <v>91</v>
      </c>
      <c r="H8954" s="11" t="s">
        <v>25</v>
      </c>
      <c r="I8954" s="12" t="n">
        <v>56</v>
      </c>
      <c r="J8954" s="13" t="n">
        <v>132</v>
      </c>
      <c r="K8954" s="14" t="n">
        <f aca="false">I8954*J8954</f>
        <v>7392</v>
      </c>
      <c r="L8954" s="14" t="n">
        <f aca="false">($L$2*M8954)/100</f>
        <v>348483.285</v>
      </c>
      <c r="M8954" s="15" t="n">
        <v>0.29</v>
      </c>
      <c r="N8954" s="9" t="s">
        <v>26</v>
      </c>
    </row>
    <row r="8955" customFormat="false" ht="14.25" hidden="false" customHeight="true" outlineLevel="0" collapsed="false">
      <c r="B8955" s="9" t="s">
        <v>36</v>
      </c>
      <c r="C8955" s="9" t="n">
        <v>1128299</v>
      </c>
      <c r="D8955" s="10" t="n">
        <v>44373</v>
      </c>
      <c r="E8955" s="9" t="s">
        <v>33</v>
      </c>
      <c r="F8955" s="9" t="s">
        <v>90</v>
      </c>
      <c r="G8955" s="9" t="s">
        <v>91</v>
      </c>
      <c r="H8955" s="11" t="s">
        <v>19</v>
      </c>
      <c r="I8955" s="12" t="n">
        <v>37</v>
      </c>
      <c r="J8955" s="13" t="n">
        <v>224</v>
      </c>
      <c r="K8955" s="14" t="n">
        <f aca="false">I8955*J8955</f>
        <v>8288</v>
      </c>
      <c r="L8955" s="14" t="n">
        <f aca="false">($L$2*M8955)/100</f>
        <v>468649.935</v>
      </c>
      <c r="M8955" s="15" t="n">
        <v>0.39</v>
      </c>
      <c r="N8955" s="9" t="s">
        <v>26</v>
      </c>
    </row>
    <row r="8956" customFormat="false" ht="14.25" hidden="false" customHeight="true" outlineLevel="0" collapsed="false">
      <c r="B8956" s="9" t="s">
        <v>36</v>
      </c>
      <c r="C8956" s="9" t="n">
        <v>1128299</v>
      </c>
      <c r="D8956" s="10" t="n">
        <v>44373</v>
      </c>
      <c r="E8956" s="9" t="s">
        <v>33</v>
      </c>
      <c r="F8956" s="9" t="s">
        <v>90</v>
      </c>
      <c r="G8956" s="9" t="s">
        <v>91</v>
      </c>
      <c r="H8956" s="11" t="s">
        <v>21</v>
      </c>
      <c r="I8956" s="12" t="n">
        <v>47</v>
      </c>
      <c r="J8956" s="13" t="n">
        <v>187</v>
      </c>
      <c r="K8956" s="14" t="n">
        <f aca="false">I8956*J8956</f>
        <v>8789</v>
      </c>
      <c r="L8956" s="14" t="n">
        <f aca="false">($L$2*M8956)/100</f>
        <v>516716.595</v>
      </c>
      <c r="M8956" s="15" t="n">
        <v>0.43</v>
      </c>
      <c r="N8956" s="9" t="s">
        <v>26</v>
      </c>
    </row>
    <row r="8957" customFormat="false" ht="14.25" hidden="false" customHeight="true" outlineLevel="0" collapsed="false">
      <c r="B8957" s="9" t="s">
        <v>36</v>
      </c>
      <c r="C8957" s="9" t="n">
        <v>1128299</v>
      </c>
      <c r="D8957" s="10" t="n">
        <v>44373</v>
      </c>
      <c r="E8957" s="9" t="s">
        <v>33</v>
      </c>
      <c r="F8957" s="9" t="s">
        <v>90</v>
      </c>
      <c r="G8957" s="9" t="s">
        <v>91</v>
      </c>
      <c r="H8957" s="11" t="s">
        <v>22</v>
      </c>
      <c r="I8957" s="12" t="n">
        <v>41</v>
      </c>
      <c r="J8957" s="13" t="n">
        <v>193</v>
      </c>
      <c r="K8957" s="14" t="n">
        <f aca="false">I8957*J8957</f>
        <v>7913</v>
      </c>
      <c r="L8957" s="14" t="n">
        <f aca="false">($L$2*M8957)/100</f>
        <v>480666.6</v>
      </c>
      <c r="M8957" s="15" t="n">
        <v>0.4</v>
      </c>
      <c r="N8957" s="9" t="s">
        <v>26</v>
      </c>
    </row>
    <row r="8958" customFormat="false" ht="14.25" hidden="false" customHeight="true" outlineLevel="0" collapsed="false">
      <c r="B8958" s="9" t="s">
        <v>36</v>
      </c>
      <c r="C8958" s="9" t="n">
        <v>1128299</v>
      </c>
      <c r="D8958" s="10" t="n">
        <v>44373</v>
      </c>
      <c r="E8958" s="9" t="s">
        <v>33</v>
      </c>
      <c r="F8958" s="9" t="s">
        <v>90</v>
      </c>
      <c r="G8958" s="9" t="s">
        <v>91</v>
      </c>
      <c r="H8958" s="11" t="s">
        <v>23</v>
      </c>
      <c r="I8958" s="12" t="n">
        <v>37</v>
      </c>
      <c r="J8958" s="13" t="n">
        <v>128</v>
      </c>
      <c r="K8958" s="14" t="n">
        <f aca="false">I8958*J8958</f>
        <v>4736</v>
      </c>
      <c r="L8958" s="14" t="n">
        <f aca="false">($L$2*M8958)/100</f>
        <v>480666.6</v>
      </c>
      <c r="M8958" s="15" t="n">
        <v>0.4</v>
      </c>
      <c r="N8958" s="9" t="s">
        <v>26</v>
      </c>
    </row>
    <row r="8959" customFormat="false" ht="14.25" hidden="false" customHeight="true" outlineLevel="0" collapsed="false">
      <c r="B8959" s="9" t="s">
        <v>36</v>
      </c>
      <c r="C8959" s="9" t="n">
        <v>1128299</v>
      </c>
      <c r="D8959" s="10" t="n">
        <v>44373</v>
      </c>
      <c r="E8959" s="9" t="s">
        <v>33</v>
      </c>
      <c r="F8959" s="9" t="s">
        <v>90</v>
      </c>
      <c r="G8959" s="9" t="s">
        <v>91</v>
      </c>
      <c r="H8959" s="11" t="s">
        <v>24</v>
      </c>
      <c r="I8959" s="12" t="n">
        <v>44</v>
      </c>
      <c r="J8959" s="13" t="n">
        <v>93</v>
      </c>
      <c r="K8959" s="14" t="n">
        <f aca="false">I8959*J8959</f>
        <v>4092</v>
      </c>
      <c r="L8959" s="14" t="n">
        <f aca="false">($L$2*M8959)/100</f>
        <v>420583.275</v>
      </c>
      <c r="M8959" s="15" t="n">
        <v>0.35</v>
      </c>
      <c r="N8959" s="9" t="s">
        <v>26</v>
      </c>
    </row>
    <row r="8960" customFormat="false" ht="14.25" hidden="false" customHeight="true" outlineLevel="0" collapsed="false">
      <c r="B8960" s="9" t="s">
        <v>36</v>
      </c>
      <c r="C8960" s="9" t="n">
        <v>1128299</v>
      </c>
      <c r="D8960" s="10" t="n">
        <v>44373</v>
      </c>
      <c r="E8960" s="9" t="s">
        <v>33</v>
      </c>
      <c r="F8960" s="9" t="s">
        <v>90</v>
      </c>
      <c r="G8960" s="9" t="s">
        <v>91</v>
      </c>
      <c r="H8960" s="11" t="s">
        <v>25</v>
      </c>
      <c r="I8960" s="12" t="n">
        <v>50</v>
      </c>
      <c r="J8960" s="13" t="n">
        <v>192</v>
      </c>
      <c r="K8960" s="14" t="n">
        <f aca="false">I8960*J8960</f>
        <v>9600</v>
      </c>
      <c r="L8960" s="14" t="n">
        <f aca="false">($L$2*M8960)/100</f>
        <v>336466.62</v>
      </c>
      <c r="M8960" s="15" t="n">
        <v>0.28</v>
      </c>
      <c r="N8960" s="9" t="s">
        <v>26</v>
      </c>
    </row>
    <row r="8961" customFormat="false" ht="14.25" hidden="false" customHeight="true" outlineLevel="0" collapsed="false">
      <c r="B8961" s="9" t="s">
        <v>36</v>
      </c>
      <c r="C8961" s="9" t="n">
        <v>1128299</v>
      </c>
      <c r="D8961" s="10" t="n">
        <v>44402</v>
      </c>
      <c r="E8961" s="9" t="s">
        <v>33</v>
      </c>
      <c r="F8961" s="9" t="s">
        <v>90</v>
      </c>
      <c r="G8961" s="9" t="s">
        <v>91</v>
      </c>
      <c r="H8961" s="11" t="s">
        <v>19</v>
      </c>
      <c r="I8961" s="12" t="n">
        <v>41</v>
      </c>
      <c r="J8961" s="13" t="n">
        <v>248</v>
      </c>
      <c r="K8961" s="14" t="n">
        <f aca="false">I8961*J8961</f>
        <v>10168</v>
      </c>
      <c r="L8961" s="14" t="n">
        <f aca="false">($L$2*M8961)/100</f>
        <v>468649.935</v>
      </c>
      <c r="M8961" s="15" t="n">
        <v>0.39</v>
      </c>
      <c r="N8961" s="9" t="s">
        <v>26</v>
      </c>
    </row>
    <row r="8962" customFormat="false" ht="14.25" hidden="false" customHeight="true" outlineLevel="0" collapsed="false">
      <c r="B8962" s="9" t="s">
        <v>36</v>
      </c>
      <c r="C8962" s="9" t="n">
        <v>1128299</v>
      </c>
      <c r="D8962" s="10" t="n">
        <v>44402</v>
      </c>
      <c r="E8962" s="9" t="s">
        <v>33</v>
      </c>
      <c r="F8962" s="9" t="s">
        <v>90</v>
      </c>
      <c r="G8962" s="9" t="s">
        <v>91</v>
      </c>
      <c r="H8962" s="11" t="s">
        <v>21</v>
      </c>
      <c r="I8962" s="12" t="n">
        <v>45</v>
      </c>
      <c r="J8962" s="13" t="n">
        <v>210</v>
      </c>
      <c r="K8962" s="14" t="n">
        <f aca="false">I8962*J8962</f>
        <v>9450</v>
      </c>
      <c r="L8962" s="14" t="n">
        <f aca="false">($L$2*M8962)/100</f>
        <v>516716.595</v>
      </c>
      <c r="M8962" s="15" t="n">
        <v>0.43</v>
      </c>
      <c r="N8962" s="9" t="s">
        <v>26</v>
      </c>
    </row>
    <row r="8963" customFormat="false" ht="14.25" hidden="false" customHeight="true" outlineLevel="0" collapsed="false">
      <c r="B8963" s="9" t="s">
        <v>36</v>
      </c>
      <c r="C8963" s="9" t="n">
        <v>1128299</v>
      </c>
      <c r="D8963" s="10" t="n">
        <v>44402</v>
      </c>
      <c r="E8963" s="9" t="s">
        <v>33</v>
      </c>
      <c r="F8963" s="9" t="s">
        <v>90</v>
      </c>
      <c r="G8963" s="9" t="s">
        <v>91</v>
      </c>
      <c r="H8963" s="11" t="s">
        <v>22</v>
      </c>
      <c r="I8963" s="12" t="n">
        <v>39</v>
      </c>
      <c r="J8963" s="13" t="n">
        <v>171</v>
      </c>
      <c r="K8963" s="14" t="n">
        <f aca="false">I8963*J8963</f>
        <v>6669</v>
      </c>
      <c r="L8963" s="14" t="n">
        <f aca="false">($L$2*M8963)/100</f>
        <v>444616.605</v>
      </c>
      <c r="M8963" s="15" t="n">
        <v>0.37</v>
      </c>
      <c r="N8963" s="9" t="s">
        <v>26</v>
      </c>
    </row>
    <row r="8964" customFormat="false" ht="14.25" hidden="false" customHeight="true" outlineLevel="0" collapsed="false">
      <c r="B8964" s="9" t="s">
        <v>36</v>
      </c>
      <c r="C8964" s="9" t="n">
        <v>1128299</v>
      </c>
      <c r="D8964" s="10" t="n">
        <v>44402</v>
      </c>
      <c r="E8964" s="9" t="s">
        <v>33</v>
      </c>
      <c r="F8964" s="9" t="s">
        <v>90</v>
      </c>
      <c r="G8964" s="9" t="s">
        <v>91</v>
      </c>
      <c r="H8964" s="11" t="s">
        <v>23</v>
      </c>
      <c r="I8964" s="12" t="n">
        <v>39</v>
      </c>
      <c r="J8964" s="13" t="n">
        <v>149</v>
      </c>
      <c r="K8964" s="14" t="n">
        <f aca="false">I8964*J8964</f>
        <v>5811</v>
      </c>
      <c r="L8964" s="14" t="n">
        <f aca="false">($L$2*M8964)/100</f>
        <v>504699.93</v>
      </c>
      <c r="M8964" s="15" t="n">
        <v>0.42</v>
      </c>
      <c r="N8964" s="9" t="s">
        <v>26</v>
      </c>
    </row>
    <row r="8965" customFormat="false" ht="14.25" hidden="false" customHeight="true" outlineLevel="0" collapsed="false">
      <c r="B8965" s="9" t="s">
        <v>36</v>
      </c>
      <c r="C8965" s="9" t="n">
        <v>1128299</v>
      </c>
      <c r="D8965" s="10" t="n">
        <v>44402</v>
      </c>
      <c r="E8965" s="9" t="s">
        <v>33</v>
      </c>
      <c r="F8965" s="9" t="s">
        <v>90</v>
      </c>
      <c r="G8965" s="9" t="s">
        <v>91</v>
      </c>
      <c r="H8965" s="11" t="s">
        <v>24</v>
      </c>
      <c r="I8965" s="12" t="n">
        <v>40</v>
      </c>
      <c r="J8965" s="13" t="n">
        <v>160</v>
      </c>
      <c r="K8965" s="14" t="n">
        <f aca="false">I8965*J8965</f>
        <v>6400</v>
      </c>
      <c r="L8965" s="14" t="n">
        <f aca="false">($L$2*M8965)/100</f>
        <v>384533.28</v>
      </c>
      <c r="M8965" s="15" t="n">
        <v>0.32</v>
      </c>
      <c r="N8965" s="9" t="s">
        <v>26</v>
      </c>
    </row>
    <row r="8966" customFormat="false" ht="14.25" hidden="false" customHeight="true" outlineLevel="0" collapsed="false">
      <c r="B8966" s="9" t="s">
        <v>36</v>
      </c>
      <c r="C8966" s="9" t="n">
        <v>1128299</v>
      </c>
      <c r="D8966" s="10" t="n">
        <v>44402</v>
      </c>
      <c r="E8966" s="9" t="s">
        <v>33</v>
      </c>
      <c r="F8966" s="9" t="s">
        <v>90</v>
      </c>
      <c r="G8966" s="9" t="s">
        <v>91</v>
      </c>
      <c r="H8966" s="11" t="s">
        <v>25</v>
      </c>
      <c r="I8966" s="12" t="n">
        <v>49</v>
      </c>
      <c r="J8966" s="13" t="n">
        <v>160</v>
      </c>
      <c r="K8966" s="14" t="n">
        <f aca="false">I8966*J8966</f>
        <v>7840</v>
      </c>
      <c r="L8966" s="14" t="n">
        <f aca="false">($L$2*M8966)/100</f>
        <v>384533.28</v>
      </c>
      <c r="M8966" s="15" t="n">
        <v>0.32</v>
      </c>
      <c r="N8966" s="9" t="s">
        <v>26</v>
      </c>
    </row>
    <row r="8967" customFormat="false" ht="14.25" hidden="false" customHeight="true" outlineLevel="0" collapsed="false">
      <c r="B8967" s="9" t="s">
        <v>36</v>
      </c>
      <c r="C8967" s="9" t="n">
        <v>1128299</v>
      </c>
      <c r="D8967" s="10" t="n">
        <v>44434</v>
      </c>
      <c r="E8967" s="9" t="s">
        <v>33</v>
      </c>
      <c r="F8967" s="9" t="s">
        <v>90</v>
      </c>
      <c r="G8967" s="9" t="s">
        <v>91</v>
      </c>
      <c r="H8967" s="11" t="s">
        <v>19</v>
      </c>
      <c r="I8967" s="12" t="n">
        <v>40</v>
      </c>
      <c r="J8967" s="13" t="n">
        <v>224</v>
      </c>
      <c r="K8967" s="14" t="n">
        <f aca="false">I8967*J8967</f>
        <v>8960</v>
      </c>
      <c r="L8967" s="14" t="n">
        <f aca="false">($L$2*M8967)/100</f>
        <v>444616.605</v>
      </c>
      <c r="M8967" s="15" t="n">
        <v>0.37</v>
      </c>
      <c r="N8967" s="9" t="s">
        <v>26</v>
      </c>
    </row>
    <row r="8968" customFormat="false" ht="14.25" hidden="false" customHeight="true" outlineLevel="0" collapsed="false">
      <c r="B8968" s="9" t="s">
        <v>36</v>
      </c>
      <c r="C8968" s="9" t="n">
        <v>1128299</v>
      </c>
      <c r="D8968" s="10" t="n">
        <v>44434</v>
      </c>
      <c r="E8968" s="9" t="s">
        <v>33</v>
      </c>
      <c r="F8968" s="9" t="s">
        <v>90</v>
      </c>
      <c r="G8968" s="9" t="s">
        <v>91</v>
      </c>
      <c r="H8968" s="11" t="s">
        <v>21</v>
      </c>
      <c r="I8968" s="12" t="n">
        <v>44</v>
      </c>
      <c r="J8968" s="13" t="n">
        <v>208</v>
      </c>
      <c r="K8968" s="14" t="n">
        <f aca="false">I8968*J8968</f>
        <v>9152</v>
      </c>
      <c r="L8968" s="14" t="n">
        <f aca="false">($L$2*M8968)/100</f>
        <v>528733.26</v>
      </c>
      <c r="M8968" s="15" t="n">
        <v>0.44</v>
      </c>
      <c r="N8968" s="9" t="s">
        <v>26</v>
      </c>
    </row>
    <row r="8969" customFormat="false" ht="14.25" hidden="false" customHeight="true" outlineLevel="0" collapsed="false">
      <c r="B8969" s="9" t="s">
        <v>36</v>
      </c>
      <c r="C8969" s="9" t="n">
        <v>1128299</v>
      </c>
      <c r="D8969" s="10" t="n">
        <v>44434</v>
      </c>
      <c r="E8969" s="9" t="s">
        <v>33</v>
      </c>
      <c r="F8969" s="9" t="s">
        <v>90</v>
      </c>
      <c r="G8969" s="9" t="s">
        <v>91</v>
      </c>
      <c r="H8969" s="11" t="s">
        <v>22</v>
      </c>
      <c r="I8969" s="12" t="n">
        <v>46</v>
      </c>
      <c r="J8969" s="13" t="n">
        <v>163</v>
      </c>
      <c r="K8969" s="14" t="n">
        <f aca="false">I8969*J8969</f>
        <v>7498</v>
      </c>
      <c r="L8969" s="14" t="n">
        <f aca="false">($L$2*M8969)/100</f>
        <v>480666.6</v>
      </c>
      <c r="M8969" s="15" t="n">
        <v>0.4</v>
      </c>
      <c r="N8969" s="9" t="s">
        <v>26</v>
      </c>
    </row>
    <row r="8970" customFormat="false" ht="14.25" hidden="false" customHeight="true" outlineLevel="0" collapsed="false">
      <c r="B8970" s="9" t="s">
        <v>36</v>
      </c>
      <c r="C8970" s="9" t="n">
        <v>1128299</v>
      </c>
      <c r="D8970" s="10" t="n">
        <v>44434</v>
      </c>
      <c r="E8970" s="9" t="s">
        <v>33</v>
      </c>
      <c r="F8970" s="9" t="s">
        <v>90</v>
      </c>
      <c r="G8970" s="9" t="s">
        <v>91</v>
      </c>
      <c r="H8970" s="11" t="s">
        <v>23</v>
      </c>
      <c r="I8970" s="12" t="n">
        <v>46</v>
      </c>
      <c r="J8970" s="13" t="n">
        <v>152</v>
      </c>
      <c r="K8970" s="14" t="n">
        <f aca="false">I8970*J8970</f>
        <v>6992</v>
      </c>
      <c r="L8970" s="14" t="n">
        <f aca="false">($L$2*M8970)/100</f>
        <v>444616.605</v>
      </c>
      <c r="M8970" s="15" t="n">
        <v>0.37</v>
      </c>
      <c r="N8970" s="9" t="s">
        <v>26</v>
      </c>
    </row>
    <row r="8971" customFormat="false" ht="14.25" hidden="false" customHeight="true" outlineLevel="0" collapsed="false">
      <c r="B8971" s="9" t="s">
        <v>36</v>
      </c>
      <c r="C8971" s="9" t="n">
        <v>1128299</v>
      </c>
      <c r="D8971" s="10" t="n">
        <v>44434</v>
      </c>
      <c r="E8971" s="9" t="s">
        <v>33</v>
      </c>
      <c r="F8971" s="9" t="s">
        <v>90</v>
      </c>
      <c r="G8971" s="9" t="s">
        <v>91</v>
      </c>
      <c r="H8971" s="11" t="s">
        <v>24</v>
      </c>
      <c r="I8971" s="12" t="n">
        <v>48</v>
      </c>
      <c r="J8971" s="13" t="n">
        <v>162</v>
      </c>
      <c r="K8971" s="14" t="n">
        <f aca="false">I8971*J8971</f>
        <v>7776</v>
      </c>
      <c r="L8971" s="14" t="n">
        <f aca="false">($L$2*M8971)/100</f>
        <v>408566.61</v>
      </c>
      <c r="M8971" s="15" t="n">
        <v>0.34</v>
      </c>
      <c r="N8971" s="9" t="s">
        <v>26</v>
      </c>
    </row>
    <row r="8972" customFormat="false" ht="14.25" hidden="false" customHeight="true" outlineLevel="0" collapsed="false">
      <c r="B8972" s="9" t="s">
        <v>36</v>
      </c>
      <c r="C8972" s="9" t="n">
        <v>1128299</v>
      </c>
      <c r="D8972" s="10" t="n">
        <v>44434</v>
      </c>
      <c r="E8972" s="9" t="s">
        <v>33</v>
      </c>
      <c r="F8972" s="9" t="s">
        <v>90</v>
      </c>
      <c r="G8972" s="9" t="s">
        <v>91</v>
      </c>
      <c r="H8972" s="11" t="s">
        <v>25</v>
      </c>
      <c r="I8972" s="12" t="n">
        <v>50</v>
      </c>
      <c r="J8972" s="13" t="n">
        <v>153</v>
      </c>
      <c r="K8972" s="14" t="n">
        <f aca="false">I8972*J8972</f>
        <v>7650</v>
      </c>
      <c r="L8972" s="14" t="n">
        <f aca="false">($L$2*M8972)/100</f>
        <v>384533.28</v>
      </c>
      <c r="M8972" s="15" t="n">
        <v>0.32</v>
      </c>
      <c r="N8972" s="9" t="s">
        <v>26</v>
      </c>
    </row>
    <row r="8973" customFormat="false" ht="14.25" hidden="false" customHeight="true" outlineLevel="0" collapsed="false">
      <c r="B8973" s="9" t="s">
        <v>36</v>
      </c>
      <c r="C8973" s="9" t="n">
        <v>1128299</v>
      </c>
      <c r="D8973" s="10" t="n">
        <v>44466</v>
      </c>
      <c r="E8973" s="9" t="s">
        <v>33</v>
      </c>
      <c r="F8973" s="9" t="s">
        <v>90</v>
      </c>
      <c r="G8973" s="9" t="s">
        <v>91</v>
      </c>
      <c r="H8973" s="11" t="s">
        <v>19</v>
      </c>
      <c r="I8973" s="12" t="n">
        <v>37</v>
      </c>
      <c r="J8973" s="13" t="n">
        <v>206</v>
      </c>
      <c r="K8973" s="14" t="n">
        <f aca="false">I8973*J8973</f>
        <v>7622</v>
      </c>
      <c r="L8973" s="14" t="n">
        <f aca="false">($L$2*M8973)/100</f>
        <v>504699.93</v>
      </c>
      <c r="M8973" s="15" t="n">
        <v>0.42</v>
      </c>
      <c r="N8973" s="9" t="s">
        <v>26</v>
      </c>
    </row>
    <row r="8974" customFormat="false" ht="14.25" hidden="false" customHeight="true" outlineLevel="0" collapsed="false">
      <c r="B8974" s="9" t="s">
        <v>36</v>
      </c>
      <c r="C8974" s="9" t="n">
        <v>1128299</v>
      </c>
      <c r="D8974" s="10" t="n">
        <v>44466</v>
      </c>
      <c r="E8974" s="9" t="s">
        <v>33</v>
      </c>
      <c r="F8974" s="9" t="s">
        <v>90</v>
      </c>
      <c r="G8974" s="9" t="s">
        <v>91</v>
      </c>
      <c r="H8974" s="11" t="s">
        <v>21</v>
      </c>
      <c r="I8974" s="12" t="n">
        <v>39</v>
      </c>
      <c r="J8974" s="13" t="n">
        <v>188</v>
      </c>
      <c r="K8974" s="14" t="n">
        <f aca="false">I8974*J8974</f>
        <v>7332</v>
      </c>
      <c r="L8974" s="14" t="n">
        <f aca="false">($L$2*M8974)/100</f>
        <v>552766.59</v>
      </c>
      <c r="M8974" s="15" t="n">
        <v>0.46</v>
      </c>
      <c r="N8974" s="9" t="s">
        <v>26</v>
      </c>
    </row>
    <row r="8975" customFormat="false" ht="14.25" hidden="false" customHeight="true" outlineLevel="0" collapsed="false">
      <c r="B8975" s="9" t="s">
        <v>36</v>
      </c>
      <c r="C8975" s="9" t="n">
        <v>1128299</v>
      </c>
      <c r="D8975" s="10" t="n">
        <v>44466</v>
      </c>
      <c r="E8975" s="9" t="s">
        <v>33</v>
      </c>
      <c r="F8975" s="9" t="s">
        <v>90</v>
      </c>
      <c r="G8975" s="9" t="s">
        <v>91</v>
      </c>
      <c r="H8975" s="11" t="s">
        <v>22</v>
      </c>
      <c r="I8975" s="12" t="n">
        <v>39</v>
      </c>
      <c r="J8975" s="13" t="n">
        <v>147</v>
      </c>
      <c r="K8975" s="14" t="n">
        <f aca="false">I8975*J8975</f>
        <v>5733</v>
      </c>
      <c r="L8975" s="14" t="n">
        <f aca="false">($L$2*M8975)/100</f>
        <v>504699.93</v>
      </c>
      <c r="M8975" s="15" t="n">
        <v>0.42</v>
      </c>
      <c r="N8975" s="9" t="s">
        <v>26</v>
      </c>
    </row>
    <row r="8976" customFormat="false" ht="14.25" hidden="false" customHeight="true" outlineLevel="0" collapsed="false">
      <c r="B8976" s="9" t="s">
        <v>36</v>
      </c>
      <c r="C8976" s="9" t="n">
        <v>1128299</v>
      </c>
      <c r="D8976" s="10" t="n">
        <v>44466</v>
      </c>
      <c r="E8976" s="9" t="s">
        <v>33</v>
      </c>
      <c r="F8976" s="9" t="s">
        <v>90</v>
      </c>
      <c r="G8976" s="9" t="s">
        <v>91</v>
      </c>
      <c r="H8976" s="11" t="s">
        <v>23</v>
      </c>
      <c r="I8976" s="12" t="n">
        <v>37</v>
      </c>
      <c r="J8976" s="13" t="n">
        <v>145</v>
      </c>
      <c r="K8976" s="14" t="n">
        <f aca="false">I8976*J8976</f>
        <v>5365</v>
      </c>
      <c r="L8976" s="14" t="n">
        <f aca="false">($L$2*M8976)/100</f>
        <v>492683.265</v>
      </c>
      <c r="M8976" s="15" t="n">
        <v>0.41</v>
      </c>
      <c r="N8976" s="9" t="s">
        <v>26</v>
      </c>
    </row>
    <row r="8977" customFormat="false" ht="14.25" hidden="false" customHeight="true" outlineLevel="0" collapsed="false">
      <c r="B8977" s="9" t="s">
        <v>36</v>
      </c>
      <c r="C8977" s="9" t="n">
        <v>1128299</v>
      </c>
      <c r="D8977" s="10" t="n">
        <v>44466</v>
      </c>
      <c r="E8977" s="9" t="s">
        <v>33</v>
      </c>
      <c r="F8977" s="9" t="s">
        <v>90</v>
      </c>
      <c r="G8977" s="9" t="s">
        <v>91</v>
      </c>
      <c r="H8977" s="11" t="s">
        <v>24</v>
      </c>
      <c r="I8977" s="12" t="n">
        <v>40</v>
      </c>
      <c r="J8977" s="13" t="n">
        <v>145</v>
      </c>
      <c r="K8977" s="14" t="n">
        <f aca="false">I8977*J8977</f>
        <v>5800</v>
      </c>
      <c r="L8977" s="14" t="n">
        <f aca="false">($L$2*M8977)/100</f>
        <v>420583.275</v>
      </c>
      <c r="M8977" s="15" t="n">
        <v>0.35</v>
      </c>
      <c r="N8977" s="9" t="s">
        <v>26</v>
      </c>
    </row>
    <row r="8978" customFormat="false" ht="14.25" hidden="false" customHeight="true" outlineLevel="0" collapsed="false">
      <c r="B8978" s="9" t="s">
        <v>36</v>
      </c>
      <c r="C8978" s="9" t="n">
        <v>1128299</v>
      </c>
      <c r="D8978" s="10" t="n">
        <v>44466</v>
      </c>
      <c r="E8978" s="9" t="s">
        <v>33</v>
      </c>
      <c r="F8978" s="9" t="s">
        <v>90</v>
      </c>
      <c r="G8978" s="9" t="s">
        <v>91</v>
      </c>
      <c r="H8978" s="11" t="s">
        <v>25</v>
      </c>
      <c r="I8978" s="12" t="n">
        <v>48</v>
      </c>
      <c r="J8978" s="13" t="n">
        <v>157</v>
      </c>
      <c r="K8978" s="14" t="n">
        <f aca="false">I8978*J8978</f>
        <v>7536</v>
      </c>
      <c r="L8978" s="14" t="n">
        <f aca="false">($L$2*M8978)/100</f>
        <v>360499.95</v>
      </c>
      <c r="M8978" s="15" t="n">
        <v>0.3</v>
      </c>
      <c r="N8978" s="9" t="s">
        <v>26</v>
      </c>
    </row>
    <row r="8979" customFormat="false" ht="14.25" hidden="false" customHeight="true" outlineLevel="0" collapsed="false">
      <c r="B8979" s="9" t="s">
        <v>36</v>
      </c>
      <c r="C8979" s="9" t="n">
        <v>1128299</v>
      </c>
      <c r="D8979" s="10" t="n">
        <v>44495</v>
      </c>
      <c r="E8979" s="9" t="s">
        <v>33</v>
      </c>
      <c r="F8979" s="9" t="s">
        <v>90</v>
      </c>
      <c r="G8979" s="9" t="s">
        <v>91</v>
      </c>
      <c r="H8979" s="11" t="s">
        <v>19</v>
      </c>
      <c r="I8979" s="12" t="n">
        <v>35</v>
      </c>
      <c r="J8979" s="13" t="n">
        <v>171</v>
      </c>
      <c r="K8979" s="14" t="n">
        <f aca="false">I8979*J8979</f>
        <v>5985</v>
      </c>
      <c r="L8979" s="14" t="n">
        <f aca="false">($L$2*M8979)/100</f>
        <v>444616.605</v>
      </c>
      <c r="M8979" s="15" t="n">
        <v>0.37</v>
      </c>
      <c r="N8979" s="9" t="s">
        <v>26</v>
      </c>
    </row>
    <row r="8980" customFormat="false" ht="14.25" hidden="false" customHeight="true" outlineLevel="0" collapsed="false">
      <c r="B8980" s="9" t="s">
        <v>36</v>
      </c>
      <c r="C8980" s="9" t="n">
        <v>1128299</v>
      </c>
      <c r="D8980" s="10" t="n">
        <v>44495</v>
      </c>
      <c r="E8980" s="9" t="s">
        <v>33</v>
      </c>
      <c r="F8980" s="9" t="s">
        <v>90</v>
      </c>
      <c r="G8980" s="9" t="s">
        <v>91</v>
      </c>
      <c r="H8980" s="11" t="s">
        <v>21</v>
      </c>
      <c r="I8980" s="12" t="n">
        <v>38</v>
      </c>
      <c r="J8980" s="13" t="n">
        <v>182</v>
      </c>
      <c r="K8980" s="14" t="n">
        <f aca="false">I8980*J8980</f>
        <v>6916</v>
      </c>
      <c r="L8980" s="14" t="n">
        <f aca="false">($L$2*M8980)/100</f>
        <v>516716.595</v>
      </c>
      <c r="M8980" s="15" t="n">
        <v>0.43</v>
      </c>
      <c r="N8980" s="9" t="s">
        <v>26</v>
      </c>
    </row>
    <row r="8981" customFormat="false" ht="14.25" hidden="false" customHeight="true" outlineLevel="0" collapsed="false">
      <c r="B8981" s="9" t="s">
        <v>36</v>
      </c>
      <c r="C8981" s="9" t="n">
        <v>1128299</v>
      </c>
      <c r="D8981" s="10" t="n">
        <v>44495</v>
      </c>
      <c r="E8981" s="9" t="s">
        <v>33</v>
      </c>
      <c r="F8981" s="9" t="s">
        <v>90</v>
      </c>
      <c r="G8981" s="9" t="s">
        <v>91</v>
      </c>
      <c r="H8981" s="11" t="s">
        <v>22</v>
      </c>
      <c r="I8981" s="12" t="n">
        <v>34</v>
      </c>
      <c r="J8981" s="13" t="n">
        <v>120</v>
      </c>
      <c r="K8981" s="14" t="n">
        <f aca="false">I8981*J8981</f>
        <v>4080</v>
      </c>
      <c r="L8981" s="14" t="n">
        <f aca="false">($L$2*M8981)/100</f>
        <v>480666.6</v>
      </c>
      <c r="M8981" s="15" t="n">
        <v>0.4</v>
      </c>
      <c r="N8981" s="9" t="s">
        <v>26</v>
      </c>
    </row>
    <row r="8982" customFormat="false" ht="14.25" hidden="false" customHeight="true" outlineLevel="0" collapsed="false">
      <c r="B8982" s="9" t="s">
        <v>36</v>
      </c>
      <c r="C8982" s="9" t="n">
        <v>1128299</v>
      </c>
      <c r="D8982" s="10" t="n">
        <v>44495</v>
      </c>
      <c r="E8982" s="9" t="s">
        <v>33</v>
      </c>
      <c r="F8982" s="9" t="s">
        <v>90</v>
      </c>
      <c r="G8982" s="9" t="s">
        <v>91</v>
      </c>
      <c r="H8982" s="11" t="s">
        <v>23</v>
      </c>
      <c r="I8982" s="12" t="n">
        <v>35</v>
      </c>
      <c r="J8982" s="13" t="n">
        <v>112</v>
      </c>
      <c r="K8982" s="14" t="n">
        <f aca="false">I8982*J8982</f>
        <v>3920</v>
      </c>
      <c r="L8982" s="14" t="n">
        <f aca="false">($L$2*M8982)/100</f>
        <v>504699.93</v>
      </c>
      <c r="M8982" s="15" t="n">
        <v>0.42</v>
      </c>
      <c r="N8982" s="9" t="s">
        <v>26</v>
      </c>
    </row>
    <row r="8983" customFormat="false" ht="14.25" hidden="false" customHeight="true" outlineLevel="0" collapsed="false">
      <c r="B8983" s="9" t="s">
        <v>36</v>
      </c>
      <c r="C8983" s="9" t="n">
        <v>1128299</v>
      </c>
      <c r="D8983" s="10" t="n">
        <v>44495</v>
      </c>
      <c r="E8983" s="9" t="s">
        <v>33</v>
      </c>
      <c r="F8983" s="9" t="s">
        <v>90</v>
      </c>
      <c r="G8983" s="9" t="s">
        <v>91</v>
      </c>
      <c r="H8983" s="11" t="s">
        <v>24</v>
      </c>
      <c r="I8983" s="12" t="n">
        <v>41</v>
      </c>
      <c r="J8983" s="13" t="n">
        <v>114</v>
      </c>
      <c r="K8983" s="14" t="n">
        <f aca="false">I8983*J8983</f>
        <v>4674</v>
      </c>
      <c r="L8983" s="14" t="n">
        <f aca="false">($L$2*M8983)/100</f>
        <v>396549.945</v>
      </c>
      <c r="M8983" s="15" t="n">
        <v>0.33</v>
      </c>
      <c r="N8983" s="9" t="s">
        <v>26</v>
      </c>
    </row>
    <row r="8984" customFormat="false" ht="14.25" hidden="false" customHeight="true" outlineLevel="0" collapsed="false">
      <c r="B8984" s="9" t="s">
        <v>36</v>
      </c>
      <c r="C8984" s="9" t="n">
        <v>1128299</v>
      </c>
      <c r="D8984" s="10" t="n">
        <v>44495</v>
      </c>
      <c r="E8984" s="9" t="s">
        <v>33</v>
      </c>
      <c r="F8984" s="9" t="s">
        <v>90</v>
      </c>
      <c r="G8984" s="9" t="s">
        <v>91</v>
      </c>
      <c r="H8984" s="11" t="s">
        <v>25</v>
      </c>
      <c r="I8984" s="12" t="n">
        <v>57</v>
      </c>
      <c r="J8984" s="13" t="n">
        <v>131</v>
      </c>
      <c r="K8984" s="14" t="n">
        <f aca="false">I8984*J8984</f>
        <v>7467</v>
      </c>
      <c r="L8984" s="14" t="n">
        <f aca="false">($L$2*M8984)/100</f>
        <v>372516.615</v>
      </c>
      <c r="M8984" s="15" t="n">
        <v>0.31</v>
      </c>
      <c r="N8984" s="9" t="s">
        <v>26</v>
      </c>
    </row>
    <row r="8985" customFormat="false" ht="14.25" hidden="false" customHeight="true" outlineLevel="0" collapsed="false">
      <c r="B8985" s="9" t="s">
        <v>36</v>
      </c>
      <c r="C8985" s="9" t="n">
        <v>1128299</v>
      </c>
      <c r="D8985" s="10" t="n">
        <v>44526</v>
      </c>
      <c r="E8985" s="9" t="s">
        <v>33</v>
      </c>
      <c r="F8985" s="9" t="s">
        <v>90</v>
      </c>
      <c r="G8985" s="9" t="s">
        <v>91</v>
      </c>
      <c r="H8985" s="11" t="s">
        <v>19</v>
      </c>
      <c r="I8985" s="12" t="n">
        <v>47</v>
      </c>
      <c r="J8985" s="13" t="n">
        <v>176</v>
      </c>
      <c r="K8985" s="14" t="n">
        <f aca="false">I8985*J8985</f>
        <v>8272</v>
      </c>
      <c r="L8985" s="14" t="n">
        <f aca="false">($L$2*M8985)/100</f>
        <v>492683.265</v>
      </c>
      <c r="M8985" s="15" t="n">
        <v>0.41</v>
      </c>
      <c r="N8985" s="9" t="s">
        <v>26</v>
      </c>
    </row>
    <row r="8986" customFormat="false" ht="14.25" hidden="false" customHeight="true" outlineLevel="0" collapsed="false">
      <c r="B8986" s="9" t="s">
        <v>36</v>
      </c>
      <c r="C8986" s="9" t="n">
        <v>1128299</v>
      </c>
      <c r="D8986" s="10" t="n">
        <v>44526</v>
      </c>
      <c r="E8986" s="9" t="s">
        <v>33</v>
      </c>
      <c r="F8986" s="9" t="s">
        <v>90</v>
      </c>
      <c r="G8986" s="9" t="s">
        <v>91</v>
      </c>
      <c r="H8986" s="11" t="s">
        <v>21</v>
      </c>
      <c r="I8986" s="12" t="n">
        <v>44</v>
      </c>
      <c r="J8986" s="13" t="n">
        <v>180</v>
      </c>
      <c r="K8986" s="14" t="n">
        <f aca="false">I8986*J8986</f>
        <v>7920</v>
      </c>
      <c r="L8986" s="14" t="n">
        <f aca="false">($L$2*M8986)/100</f>
        <v>516716.595</v>
      </c>
      <c r="M8986" s="15" t="n">
        <v>0.43</v>
      </c>
      <c r="N8986" s="9" t="s">
        <v>26</v>
      </c>
    </row>
    <row r="8987" customFormat="false" ht="14.25" hidden="false" customHeight="true" outlineLevel="0" collapsed="false">
      <c r="B8987" s="9" t="s">
        <v>36</v>
      </c>
      <c r="C8987" s="9" t="n">
        <v>1128299</v>
      </c>
      <c r="D8987" s="10" t="n">
        <v>44526</v>
      </c>
      <c r="E8987" s="9" t="s">
        <v>33</v>
      </c>
      <c r="F8987" s="9" t="s">
        <v>90</v>
      </c>
      <c r="G8987" s="9" t="s">
        <v>91</v>
      </c>
      <c r="H8987" s="11" t="s">
        <v>22</v>
      </c>
      <c r="I8987" s="12" t="n">
        <v>46</v>
      </c>
      <c r="J8987" s="13" t="n">
        <v>149</v>
      </c>
      <c r="K8987" s="14" t="n">
        <f aca="false">I8987*J8987</f>
        <v>6854</v>
      </c>
      <c r="L8987" s="14" t="n">
        <f aca="false">($L$2*M8987)/100</f>
        <v>444616.605</v>
      </c>
      <c r="M8987" s="15" t="n">
        <v>0.37</v>
      </c>
      <c r="N8987" s="9" t="s">
        <v>26</v>
      </c>
    </row>
    <row r="8988" customFormat="false" ht="14.25" hidden="false" customHeight="true" outlineLevel="0" collapsed="false">
      <c r="B8988" s="9" t="s">
        <v>36</v>
      </c>
      <c r="C8988" s="9" t="n">
        <v>1128299</v>
      </c>
      <c r="D8988" s="10" t="n">
        <v>44526</v>
      </c>
      <c r="E8988" s="9" t="s">
        <v>33</v>
      </c>
      <c r="F8988" s="9" t="s">
        <v>90</v>
      </c>
      <c r="G8988" s="9" t="s">
        <v>91</v>
      </c>
      <c r="H8988" s="11" t="s">
        <v>23</v>
      </c>
      <c r="I8988" s="12" t="n">
        <v>40</v>
      </c>
      <c r="J8988" s="13" t="n">
        <v>136</v>
      </c>
      <c r="K8988" s="14" t="n">
        <f aca="false">I8988*J8988</f>
        <v>5440</v>
      </c>
      <c r="L8988" s="14" t="n">
        <f aca="false">($L$2*M8988)/100</f>
        <v>492683.265</v>
      </c>
      <c r="M8988" s="15" t="n">
        <v>0.41</v>
      </c>
      <c r="N8988" s="9" t="s">
        <v>26</v>
      </c>
    </row>
    <row r="8989" customFormat="false" ht="14.25" hidden="false" customHeight="true" outlineLevel="0" collapsed="false">
      <c r="B8989" s="9" t="s">
        <v>36</v>
      </c>
      <c r="C8989" s="9" t="n">
        <v>1128299</v>
      </c>
      <c r="D8989" s="10" t="n">
        <v>44526</v>
      </c>
      <c r="E8989" s="9" t="s">
        <v>33</v>
      </c>
      <c r="F8989" s="9" t="s">
        <v>90</v>
      </c>
      <c r="G8989" s="9" t="s">
        <v>91</v>
      </c>
      <c r="H8989" s="11" t="s">
        <v>24</v>
      </c>
      <c r="I8989" s="12" t="n">
        <v>54</v>
      </c>
      <c r="J8989" s="13" t="n">
        <v>131</v>
      </c>
      <c r="K8989" s="14" t="n">
        <f aca="false">I8989*J8989</f>
        <v>7074</v>
      </c>
      <c r="L8989" s="14" t="n">
        <f aca="false">($L$2*M8989)/100</f>
        <v>444616.605</v>
      </c>
      <c r="M8989" s="15" t="n">
        <v>0.37</v>
      </c>
      <c r="N8989" s="9" t="s">
        <v>26</v>
      </c>
    </row>
    <row r="8990" customFormat="false" ht="14.25" hidden="false" customHeight="true" outlineLevel="0" collapsed="false">
      <c r="B8990" s="9" t="s">
        <v>36</v>
      </c>
      <c r="C8990" s="9" t="n">
        <v>1128299</v>
      </c>
      <c r="D8990" s="10" t="n">
        <v>44526</v>
      </c>
      <c r="E8990" s="9" t="s">
        <v>33</v>
      </c>
      <c r="F8990" s="9" t="s">
        <v>90</v>
      </c>
      <c r="G8990" s="9" t="s">
        <v>91</v>
      </c>
      <c r="H8990" s="11" t="s">
        <v>25</v>
      </c>
      <c r="I8990" s="12" t="n">
        <v>56</v>
      </c>
      <c r="J8990" s="13" t="n">
        <v>170</v>
      </c>
      <c r="K8990" s="14" t="n">
        <f aca="false">I8990*J8990</f>
        <v>9520</v>
      </c>
      <c r="L8990" s="14" t="n">
        <f aca="false">($L$2*M8990)/100</f>
        <v>360499.95</v>
      </c>
      <c r="M8990" s="15" t="n">
        <v>0.3</v>
      </c>
      <c r="N8990" s="9" t="s">
        <v>26</v>
      </c>
    </row>
    <row r="8991" customFormat="false" ht="14.25" hidden="false" customHeight="true" outlineLevel="0" collapsed="false">
      <c r="B8991" s="9" t="s">
        <v>36</v>
      </c>
      <c r="C8991" s="9" t="n">
        <v>1128299</v>
      </c>
      <c r="D8991" s="10" t="n">
        <v>44555</v>
      </c>
      <c r="E8991" s="9" t="s">
        <v>33</v>
      </c>
      <c r="F8991" s="9" t="s">
        <v>90</v>
      </c>
      <c r="G8991" s="9" t="s">
        <v>91</v>
      </c>
      <c r="H8991" s="11" t="s">
        <v>19</v>
      </c>
      <c r="I8991" s="12" t="n">
        <v>44</v>
      </c>
      <c r="J8991" s="13" t="n">
        <v>238</v>
      </c>
      <c r="K8991" s="14" t="n">
        <f aca="false">I8991*J8991</f>
        <v>10472</v>
      </c>
      <c r="L8991" s="14" t="n">
        <f aca="false">($L$2*M8991)/100</f>
        <v>504699.93</v>
      </c>
      <c r="M8991" s="15" t="n">
        <v>0.42</v>
      </c>
      <c r="N8991" s="9" t="s">
        <v>26</v>
      </c>
    </row>
    <row r="8992" customFormat="false" ht="14.25" hidden="false" customHeight="true" outlineLevel="0" collapsed="false">
      <c r="B8992" s="9" t="s">
        <v>36</v>
      </c>
      <c r="C8992" s="9" t="n">
        <v>1128299</v>
      </c>
      <c r="D8992" s="10" t="n">
        <v>44555</v>
      </c>
      <c r="E8992" s="9" t="s">
        <v>33</v>
      </c>
      <c r="F8992" s="9" t="s">
        <v>90</v>
      </c>
      <c r="G8992" s="9" t="s">
        <v>91</v>
      </c>
      <c r="H8992" s="11" t="s">
        <v>21</v>
      </c>
      <c r="I8992" s="12" t="n">
        <v>47</v>
      </c>
      <c r="J8992" s="13" t="n">
        <v>217</v>
      </c>
      <c r="K8992" s="14" t="n">
        <f aca="false">I8992*J8992</f>
        <v>10199</v>
      </c>
      <c r="L8992" s="14" t="n">
        <f aca="false">($L$2*M8992)/100</f>
        <v>564783.255</v>
      </c>
      <c r="M8992" s="15" t="n">
        <v>0.47</v>
      </c>
      <c r="N8992" s="9" t="s">
        <v>26</v>
      </c>
    </row>
    <row r="8993" customFormat="false" ht="14.25" hidden="false" customHeight="true" outlineLevel="0" collapsed="false">
      <c r="B8993" s="9" t="s">
        <v>28</v>
      </c>
      <c r="C8993" s="9" t="n">
        <v>1128299</v>
      </c>
      <c r="D8993" s="10" t="n">
        <v>44555</v>
      </c>
      <c r="E8993" s="9" t="s">
        <v>33</v>
      </c>
      <c r="F8993" s="9" t="s">
        <v>90</v>
      </c>
      <c r="G8993" s="9" t="s">
        <v>91</v>
      </c>
      <c r="H8993" s="11" t="s">
        <v>22</v>
      </c>
      <c r="I8993" s="12" t="n">
        <v>44</v>
      </c>
      <c r="J8993" s="13" t="n">
        <v>150</v>
      </c>
      <c r="K8993" s="14" t="n">
        <f aca="false">I8993*J8993</f>
        <v>6600</v>
      </c>
      <c r="L8993" s="14" t="n">
        <f aca="false">($L$2*M8993)/100</f>
        <v>492683.265</v>
      </c>
      <c r="M8993" s="15" t="n">
        <v>0.41</v>
      </c>
      <c r="N8993" s="9" t="s">
        <v>26</v>
      </c>
    </row>
    <row r="8994" customFormat="false" ht="14.25" hidden="false" customHeight="true" outlineLevel="0" collapsed="false">
      <c r="B8994" s="9" t="s">
        <v>28</v>
      </c>
      <c r="C8994" s="9" t="n">
        <v>1128299</v>
      </c>
      <c r="D8994" s="10" t="n">
        <v>44555</v>
      </c>
      <c r="E8994" s="9" t="s">
        <v>33</v>
      </c>
      <c r="F8994" s="9" t="s">
        <v>90</v>
      </c>
      <c r="G8994" s="9" t="s">
        <v>91</v>
      </c>
      <c r="H8994" s="11" t="s">
        <v>23</v>
      </c>
      <c r="I8994" s="12" t="n">
        <v>45</v>
      </c>
      <c r="J8994" s="13" t="n">
        <v>160</v>
      </c>
      <c r="K8994" s="14" t="n">
        <f aca="false">I8994*J8994</f>
        <v>7200</v>
      </c>
      <c r="L8994" s="14" t="n">
        <f aca="false">($L$2*M8994)/100</f>
        <v>480666.6</v>
      </c>
      <c r="M8994" s="15" t="n">
        <v>0.4</v>
      </c>
      <c r="N8994" s="9" t="s">
        <v>26</v>
      </c>
    </row>
    <row r="8995" customFormat="false" ht="14.25" hidden="false" customHeight="true" outlineLevel="0" collapsed="false">
      <c r="B8995" s="9" t="s">
        <v>28</v>
      </c>
      <c r="C8995" s="9" t="n">
        <v>1128299</v>
      </c>
      <c r="D8995" s="10" t="n">
        <v>44555</v>
      </c>
      <c r="E8995" s="9" t="s">
        <v>33</v>
      </c>
      <c r="F8995" s="9" t="s">
        <v>90</v>
      </c>
      <c r="G8995" s="9" t="s">
        <v>91</v>
      </c>
      <c r="H8995" s="11" t="s">
        <v>24</v>
      </c>
      <c r="I8995" s="12" t="n">
        <v>55</v>
      </c>
      <c r="J8995" s="13" t="n">
        <v>128</v>
      </c>
      <c r="K8995" s="14" t="n">
        <f aca="false">I8995*J8995</f>
        <v>7040</v>
      </c>
      <c r="L8995" s="14" t="n">
        <f aca="false">($L$2*M8995)/100</f>
        <v>396549.945</v>
      </c>
      <c r="M8995" s="15" t="n">
        <v>0.33</v>
      </c>
      <c r="N8995" s="9" t="s">
        <v>26</v>
      </c>
    </row>
    <row r="8996" customFormat="false" ht="14.25" hidden="false" customHeight="true" outlineLevel="0" collapsed="false">
      <c r="B8996" s="9" t="s">
        <v>28</v>
      </c>
      <c r="C8996" s="9" t="n">
        <v>1128299</v>
      </c>
      <c r="D8996" s="10" t="n">
        <v>44555</v>
      </c>
      <c r="E8996" s="9" t="s">
        <v>33</v>
      </c>
      <c r="F8996" s="9" t="s">
        <v>90</v>
      </c>
      <c r="G8996" s="9" t="s">
        <v>91</v>
      </c>
      <c r="H8996" s="11" t="s">
        <v>25</v>
      </c>
      <c r="I8996" s="12" t="n">
        <v>56</v>
      </c>
      <c r="J8996" s="13" t="n">
        <v>173</v>
      </c>
      <c r="K8996" s="14" t="n">
        <f aca="false">I8996*J8996</f>
        <v>9688</v>
      </c>
      <c r="L8996" s="14" t="n">
        <f aca="false">($L$2*M8996)/100</f>
        <v>324449.955</v>
      </c>
      <c r="M8996" s="15" t="n">
        <v>0.27</v>
      </c>
      <c r="N8996" s="9" t="s">
        <v>26</v>
      </c>
    </row>
    <row r="8997" customFormat="false" ht="14.25" hidden="false" customHeight="true" outlineLevel="0" collapsed="false">
      <c r="B8997" s="9" t="s">
        <v>28</v>
      </c>
      <c r="C8997" s="9" t="n">
        <v>1128299</v>
      </c>
      <c r="D8997" s="10" t="n">
        <v>44209</v>
      </c>
      <c r="E8997" s="9" t="s">
        <v>33</v>
      </c>
      <c r="F8997" s="9" t="s">
        <v>90</v>
      </c>
      <c r="G8997" s="9" t="s">
        <v>91</v>
      </c>
      <c r="H8997" s="11" t="s">
        <v>19</v>
      </c>
      <c r="I8997" s="12" t="n">
        <v>24</v>
      </c>
      <c r="J8997" s="13" t="n">
        <v>149</v>
      </c>
      <c r="K8997" s="14" t="n">
        <f aca="false">I8997*J8997</f>
        <v>3576</v>
      </c>
      <c r="L8997" s="14" t="n">
        <f aca="false">($L$2*M8997)/100</f>
        <v>552766.59</v>
      </c>
      <c r="M8997" s="15" t="n">
        <v>0.46</v>
      </c>
      <c r="N8997" s="9" t="s">
        <v>26</v>
      </c>
    </row>
    <row r="8998" customFormat="false" ht="14.25" hidden="false" customHeight="true" outlineLevel="0" collapsed="false">
      <c r="B8998" s="9" t="s">
        <v>28</v>
      </c>
      <c r="C8998" s="9" t="n">
        <v>1128299</v>
      </c>
      <c r="D8998" s="10" t="n">
        <v>44209</v>
      </c>
      <c r="E8998" s="9" t="s">
        <v>33</v>
      </c>
      <c r="F8998" s="9" t="s">
        <v>90</v>
      </c>
      <c r="G8998" s="9" t="s">
        <v>91</v>
      </c>
      <c r="H8998" s="11" t="s">
        <v>21</v>
      </c>
      <c r="I8998" s="12" t="n">
        <v>27</v>
      </c>
      <c r="J8998" s="13" t="n">
        <v>140</v>
      </c>
      <c r="K8998" s="14" t="n">
        <f aca="false">I8998*J8998</f>
        <v>3780</v>
      </c>
      <c r="L8998" s="14" t="n">
        <f aca="false">($L$2*M8998)/100</f>
        <v>564783.255</v>
      </c>
      <c r="M8998" s="15" t="n">
        <v>0.47</v>
      </c>
      <c r="N8998" s="9" t="s">
        <v>26</v>
      </c>
    </row>
    <row r="8999" customFormat="false" ht="14.25" hidden="false" customHeight="true" outlineLevel="0" collapsed="false">
      <c r="B8999" s="9" t="s">
        <v>28</v>
      </c>
      <c r="C8999" s="9" t="n">
        <v>1128299</v>
      </c>
      <c r="D8999" s="10" t="n">
        <v>44209</v>
      </c>
      <c r="E8999" s="9" t="s">
        <v>33</v>
      </c>
      <c r="F8999" s="9" t="s">
        <v>90</v>
      </c>
      <c r="G8999" s="9" t="s">
        <v>91</v>
      </c>
      <c r="H8999" s="11" t="s">
        <v>22</v>
      </c>
      <c r="I8999" s="12" t="n">
        <v>32</v>
      </c>
      <c r="J8999" s="13" t="n">
        <v>140</v>
      </c>
      <c r="K8999" s="14" t="n">
        <f aca="false">I8999*J8999</f>
        <v>4480</v>
      </c>
      <c r="L8999" s="14" t="n">
        <f aca="false">($L$2*M8999)/100</f>
        <v>504699.93</v>
      </c>
      <c r="M8999" s="15" t="n">
        <v>0.42</v>
      </c>
      <c r="N8999" s="9" t="s">
        <v>26</v>
      </c>
    </row>
    <row r="9000" customFormat="false" ht="14.25" hidden="false" customHeight="true" outlineLevel="0" collapsed="false">
      <c r="B9000" s="9" t="s">
        <v>28</v>
      </c>
      <c r="C9000" s="9" t="n">
        <v>1128299</v>
      </c>
      <c r="D9000" s="10" t="n">
        <v>44209</v>
      </c>
      <c r="E9000" s="9" t="s">
        <v>33</v>
      </c>
      <c r="F9000" s="9" t="s">
        <v>90</v>
      </c>
      <c r="G9000" s="9" t="s">
        <v>91</v>
      </c>
      <c r="H9000" s="11" t="s">
        <v>23</v>
      </c>
      <c r="I9000" s="12" t="n">
        <v>28</v>
      </c>
      <c r="J9000" s="13" t="n">
        <v>99</v>
      </c>
      <c r="K9000" s="14" t="n">
        <f aca="false">I9000*J9000</f>
        <v>2772</v>
      </c>
      <c r="L9000" s="14" t="n">
        <f aca="false">($L$2*M9000)/100</f>
        <v>504699.93</v>
      </c>
      <c r="M9000" s="15" t="n">
        <v>0.42</v>
      </c>
      <c r="N9000" s="9" t="s">
        <v>26</v>
      </c>
    </row>
    <row r="9001" customFormat="false" ht="14.25" hidden="false" customHeight="true" outlineLevel="0" collapsed="false">
      <c r="B9001" s="9" t="s">
        <v>28</v>
      </c>
      <c r="C9001" s="9" t="n">
        <v>1128299</v>
      </c>
      <c r="D9001" s="10" t="n">
        <v>44209</v>
      </c>
      <c r="E9001" s="9" t="s">
        <v>33</v>
      </c>
      <c r="F9001" s="9" t="s">
        <v>90</v>
      </c>
      <c r="G9001" s="9" t="s">
        <v>91</v>
      </c>
      <c r="H9001" s="11" t="s">
        <v>24</v>
      </c>
      <c r="I9001" s="12" t="n">
        <v>35</v>
      </c>
      <c r="J9001" s="13" t="n">
        <v>75</v>
      </c>
      <c r="K9001" s="14" t="n">
        <f aca="false">I9001*J9001</f>
        <v>2625</v>
      </c>
      <c r="L9001" s="14" t="n">
        <f aca="false">($L$2*M9001)/100</f>
        <v>480666.6</v>
      </c>
      <c r="M9001" s="15" t="n">
        <v>0.4</v>
      </c>
      <c r="N9001" s="9" t="s">
        <v>26</v>
      </c>
    </row>
    <row r="9002" customFormat="false" ht="14.25" hidden="false" customHeight="true" outlineLevel="0" collapsed="false">
      <c r="B9002" s="9" t="s">
        <v>28</v>
      </c>
      <c r="C9002" s="9" t="n">
        <v>1128299</v>
      </c>
      <c r="D9002" s="10" t="n">
        <v>44209</v>
      </c>
      <c r="E9002" s="9" t="s">
        <v>33</v>
      </c>
      <c r="F9002" s="9" t="s">
        <v>90</v>
      </c>
      <c r="G9002" s="9" t="s">
        <v>91</v>
      </c>
      <c r="H9002" s="11" t="s">
        <v>25</v>
      </c>
      <c r="I9002" s="12" t="n">
        <v>28</v>
      </c>
      <c r="J9002" s="13" t="n">
        <v>140</v>
      </c>
      <c r="K9002" s="14" t="n">
        <f aca="false">I9002*J9002</f>
        <v>3920</v>
      </c>
      <c r="L9002" s="14" t="n">
        <f aca="false">($L$2*M9002)/100</f>
        <v>384533.28</v>
      </c>
      <c r="M9002" s="15" t="n">
        <v>0.32</v>
      </c>
      <c r="N9002" s="9" t="s">
        <v>26</v>
      </c>
    </row>
    <row r="9003" customFormat="false" ht="14.25" hidden="false" customHeight="true" outlineLevel="0" collapsed="false">
      <c r="B9003" s="9" t="s">
        <v>28</v>
      </c>
      <c r="C9003" s="9" t="n">
        <v>1128299</v>
      </c>
      <c r="D9003" s="10" t="n">
        <v>44240</v>
      </c>
      <c r="E9003" s="9" t="s">
        <v>33</v>
      </c>
      <c r="F9003" s="9" t="s">
        <v>90</v>
      </c>
      <c r="G9003" s="9" t="s">
        <v>91</v>
      </c>
      <c r="H9003" s="11" t="s">
        <v>19</v>
      </c>
      <c r="I9003" s="12" t="n">
        <v>23</v>
      </c>
      <c r="J9003" s="13" t="n">
        <v>150</v>
      </c>
      <c r="K9003" s="14" t="n">
        <f aca="false">I9003*J9003</f>
        <v>3450</v>
      </c>
      <c r="L9003" s="14" t="n">
        <f aca="false">($L$2*M9003)/100</f>
        <v>516716.595</v>
      </c>
      <c r="M9003" s="15" t="n">
        <v>0.43</v>
      </c>
      <c r="N9003" s="9" t="s">
        <v>26</v>
      </c>
    </row>
    <row r="9004" customFormat="false" ht="14.25" hidden="false" customHeight="true" outlineLevel="0" collapsed="false">
      <c r="B9004" s="9" t="s">
        <v>28</v>
      </c>
      <c r="C9004" s="9" t="n">
        <v>1128299</v>
      </c>
      <c r="D9004" s="10" t="n">
        <v>44240</v>
      </c>
      <c r="E9004" s="9" t="s">
        <v>33</v>
      </c>
      <c r="F9004" s="9" t="s">
        <v>90</v>
      </c>
      <c r="G9004" s="9" t="s">
        <v>91</v>
      </c>
      <c r="H9004" s="11" t="s">
        <v>21</v>
      </c>
      <c r="I9004" s="12" t="n">
        <v>27</v>
      </c>
      <c r="J9004" s="13" t="n">
        <v>124</v>
      </c>
      <c r="K9004" s="14" t="n">
        <f aca="false">I9004*J9004</f>
        <v>3348</v>
      </c>
      <c r="L9004" s="14" t="n">
        <f aca="false">($L$2*M9004)/100</f>
        <v>552766.59</v>
      </c>
      <c r="M9004" s="15" t="n">
        <v>0.46</v>
      </c>
      <c r="N9004" s="9" t="s">
        <v>26</v>
      </c>
    </row>
    <row r="9005" customFormat="false" ht="14.25" hidden="false" customHeight="true" outlineLevel="0" collapsed="false">
      <c r="B9005" s="9" t="s">
        <v>28</v>
      </c>
      <c r="C9005" s="9" t="n">
        <v>1128299</v>
      </c>
      <c r="D9005" s="10" t="n">
        <v>44240</v>
      </c>
      <c r="E9005" s="9" t="s">
        <v>33</v>
      </c>
      <c r="F9005" s="9" t="s">
        <v>90</v>
      </c>
      <c r="G9005" s="9" t="s">
        <v>91</v>
      </c>
      <c r="H9005" s="11" t="s">
        <v>22</v>
      </c>
      <c r="I9005" s="12" t="n">
        <v>28</v>
      </c>
      <c r="J9005" s="13" t="n">
        <v>120</v>
      </c>
      <c r="K9005" s="14" t="n">
        <f aca="false">I9005*J9005</f>
        <v>3360</v>
      </c>
      <c r="L9005" s="14" t="n">
        <f aca="false">($L$2*M9005)/100</f>
        <v>492683.265</v>
      </c>
      <c r="M9005" s="15" t="n">
        <v>0.41</v>
      </c>
      <c r="N9005" s="9" t="s">
        <v>26</v>
      </c>
    </row>
    <row r="9006" customFormat="false" ht="14.25" hidden="false" customHeight="true" outlineLevel="0" collapsed="false">
      <c r="B9006" s="9" t="s">
        <v>28</v>
      </c>
      <c r="C9006" s="9" t="n">
        <v>1128299</v>
      </c>
      <c r="D9006" s="10" t="n">
        <v>44240</v>
      </c>
      <c r="E9006" s="9" t="s">
        <v>50</v>
      </c>
      <c r="F9006" s="9" t="s">
        <v>92</v>
      </c>
      <c r="G9006" s="9" t="s">
        <v>93</v>
      </c>
      <c r="H9006" s="11" t="s">
        <v>23</v>
      </c>
      <c r="I9006" s="12" t="n">
        <v>30</v>
      </c>
      <c r="J9006" s="13" t="n">
        <v>80</v>
      </c>
      <c r="K9006" s="14" t="n">
        <f aca="false">I9006*J9006</f>
        <v>2400</v>
      </c>
      <c r="L9006" s="14" t="n">
        <f aca="false">($L$2*M9006)/100</f>
        <v>528733.26</v>
      </c>
      <c r="M9006" s="15" t="n">
        <v>0.44</v>
      </c>
      <c r="N9006" s="9" t="s">
        <v>26</v>
      </c>
    </row>
    <row r="9007" customFormat="false" ht="14.25" hidden="false" customHeight="true" outlineLevel="0" collapsed="false">
      <c r="B9007" s="9" t="s">
        <v>28</v>
      </c>
      <c r="C9007" s="9" t="n">
        <v>1128299</v>
      </c>
      <c r="D9007" s="10" t="n">
        <v>44240</v>
      </c>
      <c r="E9007" s="9" t="s">
        <v>50</v>
      </c>
      <c r="F9007" s="9" t="s">
        <v>92</v>
      </c>
      <c r="G9007" s="9" t="s">
        <v>93</v>
      </c>
      <c r="H9007" s="11" t="s">
        <v>24</v>
      </c>
      <c r="I9007" s="12" t="n">
        <v>34</v>
      </c>
      <c r="J9007" s="13" t="n">
        <v>60</v>
      </c>
      <c r="K9007" s="14" t="n">
        <f aca="false">I9007*J9007</f>
        <v>2040</v>
      </c>
      <c r="L9007" s="14" t="n">
        <f aca="false">($L$2*M9007)/100</f>
        <v>468649.935</v>
      </c>
      <c r="M9007" s="15" t="n">
        <v>0.39</v>
      </c>
      <c r="N9007" s="9" t="s">
        <v>26</v>
      </c>
    </row>
    <row r="9008" customFormat="false" ht="14.25" hidden="false" customHeight="true" outlineLevel="0" collapsed="false">
      <c r="B9008" s="9" t="s">
        <v>28</v>
      </c>
      <c r="C9008" s="9" t="n">
        <v>1128299</v>
      </c>
      <c r="D9008" s="10" t="n">
        <v>44240</v>
      </c>
      <c r="E9008" s="9" t="s">
        <v>50</v>
      </c>
      <c r="F9008" s="9" t="s">
        <v>92</v>
      </c>
      <c r="G9008" s="9" t="s">
        <v>93</v>
      </c>
      <c r="H9008" s="11" t="s">
        <v>25</v>
      </c>
      <c r="I9008" s="12" t="n">
        <v>28</v>
      </c>
      <c r="J9008" s="13" t="n">
        <v>131</v>
      </c>
      <c r="K9008" s="14" t="n">
        <f aca="false">I9008*J9008</f>
        <v>3668</v>
      </c>
      <c r="L9008" s="14" t="n">
        <f aca="false">($L$2*M9008)/100</f>
        <v>348483.285</v>
      </c>
      <c r="M9008" s="15" t="n">
        <v>0.29</v>
      </c>
      <c r="N9008" s="9" t="s">
        <v>26</v>
      </c>
    </row>
    <row r="9009" customFormat="false" ht="14.25" hidden="false" customHeight="true" outlineLevel="0" collapsed="false">
      <c r="B9009" s="9" t="s">
        <v>28</v>
      </c>
      <c r="C9009" s="9" t="n">
        <v>1128299</v>
      </c>
      <c r="D9009" s="10" t="n">
        <v>44267</v>
      </c>
      <c r="E9009" s="9" t="s">
        <v>50</v>
      </c>
      <c r="F9009" s="9" t="s">
        <v>92</v>
      </c>
      <c r="G9009" s="9" t="s">
        <v>93</v>
      </c>
      <c r="H9009" s="11" t="s">
        <v>19</v>
      </c>
      <c r="I9009" s="12" t="n">
        <v>30</v>
      </c>
      <c r="J9009" s="13" t="n">
        <v>163</v>
      </c>
      <c r="K9009" s="14" t="n">
        <f aca="false">I9009*J9009</f>
        <v>4890</v>
      </c>
      <c r="L9009" s="14" t="n">
        <f aca="false">($L$2*M9009)/100</f>
        <v>516716.595</v>
      </c>
      <c r="M9009" s="15" t="n">
        <v>0.43</v>
      </c>
      <c r="N9009" s="9" t="s">
        <v>26</v>
      </c>
    </row>
    <row r="9010" customFormat="false" ht="14.25" hidden="false" customHeight="true" outlineLevel="0" collapsed="false">
      <c r="B9010" s="9" t="s">
        <v>28</v>
      </c>
      <c r="C9010" s="9" t="n">
        <v>1128299</v>
      </c>
      <c r="D9010" s="10" t="n">
        <v>44267</v>
      </c>
      <c r="E9010" s="9" t="s">
        <v>50</v>
      </c>
      <c r="F9010" s="9" t="s">
        <v>92</v>
      </c>
      <c r="G9010" s="9" t="s">
        <v>93</v>
      </c>
      <c r="H9010" s="11" t="s">
        <v>21</v>
      </c>
      <c r="I9010" s="12" t="n">
        <v>37</v>
      </c>
      <c r="J9010" s="13" t="n">
        <v>113</v>
      </c>
      <c r="K9010" s="14" t="n">
        <f aca="false">I9010*J9010</f>
        <v>4181</v>
      </c>
      <c r="L9010" s="14" t="n">
        <f aca="false">($L$2*M9010)/100</f>
        <v>528733.26</v>
      </c>
      <c r="M9010" s="15" t="n">
        <v>0.44</v>
      </c>
      <c r="N9010" s="9" t="s">
        <v>26</v>
      </c>
    </row>
    <row r="9011" customFormat="false" ht="14.25" hidden="false" customHeight="true" outlineLevel="0" collapsed="false">
      <c r="B9011" s="9" t="s">
        <v>28</v>
      </c>
      <c r="C9011" s="9" t="n">
        <v>1128299</v>
      </c>
      <c r="D9011" s="10" t="n">
        <v>44267</v>
      </c>
      <c r="E9011" s="9" t="s">
        <v>50</v>
      </c>
      <c r="F9011" s="9" t="s">
        <v>92</v>
      </c>
      <c r="G9011" s="9" t="s">
        <v>93</v>
      </c>
      <c r="H9011" s="11" t="s">
        <v>22</v>
      </c>
      <c r="I9011" s="12" t="n">
        <v>39</v>
      </c>
      <c r="J9011" s="13" t="n">
        <v>124</v>
      </c>
      <c r="K9011" s="14" t="n">
        <f aca="false">I9011*J9011</f>
        <v>4836</v>
      </c>
      <c r="L9011" s="14" t="n">
        <f aca="false">($L$2*M9011)/100</f>
        <v>456633.27</v>
      </c>
      <c r="M9011" s="15" t="n">
        <v>0.38</v>
      </c>
      <c r="N9011" s="9" t="s">
        <v>26</v>
      </c>
    </row>
    <row r="9012" customFormat="false" ht="14.25" hidden="false" customHeight="true" outlineLevel="0" collapsed="false">
      <c r="B9012" s="9" t="s">
        <v>28</v>
      </c>
      <c r="C9012" s="9" t="n">
        <v>1128299</v>
      </c>
      <c r="D9012" s="10" t="n">
        <v>44267</v>
      </c>
      <c r="E9012" s="9" t="s">
        <v>50</v>
      </c>
      <c r="F9012" s="9" t="s">
        <v>92</v>
      </c>
      <c r="G9012" s="9" t="s">
        <v>93</v>
      </c>
      <c r="H9012" s="11" t="s">
        <v>23</v>
      </c>
      <c r="I9012" s="12" t="n">
        <v>38</v>
      </c>
      <c r="J9012" s="13" t="n">
        <v>78</v>
      </c>
      <c r="K9012" s="14" t="n">
        <f aca="false">I9012*J9012</f>
        <v>2964</v>
      </c>
      <c r="L9012" s="14" t="n">
        <f aca="false">($L$2*M9012)/100</f>
        <v>540749.925</v>
      </c>
      <c r="M9012" s="15" t="n">
        <v>0.45</v>
      </c>
      <c r="N9012" s="9" t="s">
        <v>26</v>
      </c>
    </row>
    <row r="9013" customFormat="false" ht="14.25" hidden="false" customHeight="true" outlineLevel="0" collapsed="false">
      <c r="B9013" s="9" t="s">
        <v>28</v>
      </c>
      <c r="C9013" s="9" t="n">
        <v>1128299</v>
      </c>
      <c r="D9013" s="10" t="n">
        <v>44267</v>
      </c>
      <c r="E9013" s="9" t="s">
        <v>50</v>
      </c>
      <c r="F9013" s="9" t="s">
        <v>92</v>
      </c>
      <c r="G9013" s="9" t="s">
        <v>93</v>
      </c>
      <c r="H9013" s="11" t="s">
        <v>24</v>
      </c>
      <c r="I9013" s="12" t="n">
        <v>41</v>
      </c>
      <c r="J9013" s="13" t="n">
        <v>45</v>
      </c>
      <c r="K9013" s="14" t="n">
        <f aca="false">I9013*J9013</f>
        <v>1845</v>
      </c>
      <c r="L9013" s="14" t="n">
        <f aca="false">($L$2*M9013)/100</f>
        <v>492683.265</v>
      </c>
      <c r="M9013" s="15" t="n">
        <v>0.41</v>
      </c>
      <c r="N9013" s="9" t="s">
        <v>26</v>
      </c>
    </row>
    <row r="9014" customFormat="false" ht="14.25" hidden="false" customHeight="true" outlineLevel="0" collapsed="false">
      <c r="B9014" s="9" t="s">
        <v>28</v>
      </c>
      <c r="C9014" s="9" t="n">
        <v>1128299</v>
      </c>
      <c r="D9014" s="10" t="n">
        <v>44267</v>
      </c>
      <c r="E9014" s="9" t="s">
        <v>50</v>
      </c>
      <c r="F9014" s="9" t="s">
        <v>92</v>
      </c>
      <c r="G9014" s="9" t="s">
        <v>93</v>
      </c>
      <c r="H9014" s="11" t="s">
        <v>25</v>
      </c>
      <c r="I9014" s="12" t="n">
        <v>40</v>
      </c>
      <c r="J9014" s="13" t="n">
        <v>112</v>
      </c>
      <c r="K9014" s="14" t="n">
        <f aca="false">I9014*J9014</f>
        <v>4480</v>
      </c>
      <c r="L9014" s="14" t="n">
        <f aca="false">($L$2*M9014)/100</f>
        <v>348483.285</v>
      </c>
      <c r="M9014" s="15" t="n">
        <v>0.29</v>
      </c>
      <c r="N9014" s="9" t="s">
        <v>26</v>
      </c>
    </row>
    <row r="9015" customFormat="false" ht="14.25" hidden="false" customHeight="true" outlineLevel="0" collapsed="false">
      <c r="B9015" s="9" t="s">
        <v>28</v>
      </c>
      <c r="C9015" s="9" t="n">
        <v>1128299</v>
      </c>
      <c r="D9015" s="10" t="n">
        <v>44299</v>
      </c>
      <c r="E9015" s="9" t="s">
        <v>50</v>
      </c>
      <c r="F9015" s="9" t="s">
        <v>92</v>
      </c>
      <c r="G9015" s="9" t="s">
        <v>93</v>
      </c>
      <c r="H9015" s="11" t="s">
        <v>19</v>
      </c>
      <c r="I9015" s="12" t="n">
        <v>37</v>
      </c>
      <c r="J9015" s="13" t="n">
        <v>179</v>
      </c>
      <c r="K9015" s="14" t="n">
        <f aca="false">I9015*J9015</f>
        <v>6623</v>
      </c>
      <c r="L9015" s="14" t="n">
        <f aca="false">($L$2*M9015)/100</f>
        <v>516716.595</v>
      </c>
      <c r="M9015" s="15" t="n">
        <v>0.43</v>
      </c>
      <c r="N9015" s="9" t="s">
        <v>26</v>
      </c>
    </row>
    <row r="9016" customFormat="false" ht="14.25" hidden="false" customHeight="true" outlineLevel="0" collapsed="false">
      <c r="B9016" s="9" t="s">
        <v>28</v>
      </c>
      <c r="C9016" s="9" t="n">
        <v>1128299</v>
      </c>
      <c r="D9016" s="10" t="n">
        <v>44299</v>
      </c>
      <c r="E9016" s="9" t="s">
        <v>50</v>
      </c>
      <c r="F9016" s="9" t="s">
        <v>92</v>
      </c>
      <c r="G9016" s="9" t="s">
        <v>93</v>
      </c>
      <c r="H9016" s="11" t="s">
        <v>21</v>
      </c>
      <c r="I9016" s="12" t="n">
        <v>40</v>
      </c>
      <c r="J9016" s="13" t="n">
        <v>111</v>
      </c>
      <c r="K9016" s="14" t="n">
        <f aca="false">I9016*J9016</f>
        <v>4440</v>
      </c>
      <c r="L9016" s="14" t="n">
        <f aca="false">($L$2*M9016)/100</f>
        <v>504699.93</v>
      </c>
      <c r="M9016" s="15" t="n">
        <v>0.42</v>
      </c>
      <c r="N9016" s="9" t="s">
        <v>26</v>
      </c>
    </row>
    <row r="9017" customFormat="false" ht="14.25" hidden="false" customHeight="true" outlineLevel="0" collapsed="false">
      <c r="B9017" s="9" t="s">
        <v>28</v>
      </c>
      <c r="C9017" s="9" t="n">
        <v>1128299</v>
      </c>
      <c r="D9017" s="10" t="n">
        <v>44299</v>
      </c>
      <c r="E9017" s="9" t="s">
        <v>50</v>
      </c>
      <c r="F9017" s="9" t="s">
        <v>92</v>
      </c>
      <c r="G9017" s="9" t="s">
        <v>93</v>
      </c>
      <c r="H9017" s="11" t="s">
        <v>22</v>
      </c>
      <c r="I9017" s="12" t="n">
        <v>36</v>
      </c>
      <c r="J9017" s="13" t="n">
        <v>113</v>
      </c>
      <c r="K9017" s="14" t="n">
        <f aca="false">I9017*J9017</f>
        <v>4068</v>
      </c>
      <c r="L9017" s="14" t="n">
        <f aca="false">($L$2*M9017)/100</f>
        <v>444616.605</v>
      </c>
      <c r="M9017" s="15" t="n">
        <v>0.37</v>
      </c>
      <c r="N9017" s="9" t="s">
        <v>26</v>
      </c>
    </row>
    <row r="9018" customFormat="false" ht="14.25" hidden="false" customHeight="true" outlineLevel="0" collapsed="false">
      <c r="B9018" s="9" t="s">
        <v>28</v>
      </c>
      <c r="C9018" s="9" t="n">
        <v>1128299</v>
      </c>
      <c r="D9018" s="10" t="n">
        <v>44299</v>
      </c>
      <c r="E9018" s="9" t="s">
        <v>50</v>
      </c>
      <c r="F9018" s="9" t="s">
        <v>92</v>
      </c>
      <c r="G9018" s="9" t="s">
        <v>93</v>
      </c>
      <c r="H9018" s="11" t="s">
        <v>23</v>
      </c>
      <c r="I9018" s="12" t="n">
        <v>40</v>
      </c>
      <c r="J9018" s="13" t="n">
        <v>96</v>
      </c>
      <c r="K9018" s="14" t="n">
        <f aca="false">I9018*J9018</f>
        <v>3840</v>
      </c>
      <c r="L9018" s="14" t="n">
        <f aca="false">($L$2*M9018)/100</f>
        <v>540749.925</v>
      </c>
      <c r="M9018" s="15" t="n">
        <v>0.45</v>
      </c>
      <c r="N9018" s="9" t="s">
        <v>26</v>
      </c>
    </row>
    <row r="9019" customFormat="false" ht="14.25" hidden="false" customHeight="true" outlineLevel="0" collapsed="false">
      <c r="B9019" s="9" t="s">
        <v>28</v>
      </c>
      <c r="C9019" s="9" t="n">
        <v>1128299</v>
      </c>
      <c r="D9019" s="10" t="n">
        <v>44299</v>
      </c>
      <c r="E9019" s="9" t="s">
        <v>50</v>
      </c>
      <c r="F9019" s="9" t="s">
        <v>92</v>
      </c>
      <c r="G9019" s="9" t="s">
        <v>93</v>
      </c>
      <c r="H9019" s="11" t="s">
        <v>24</v>
      </c>
      <c r="I9019" s="12" t="n">
        <v>38</v>
      </c>
      <c r="J9019" s="13" t="n">
        <v>56</v>
      </c>
      <c r="K9019" s="14" t="n">
        <f aca="false">I9019*J9019</f>
        <v>2128</v>
      </c>
      <c r="L9019" s="14" t="n">
        <f aca="false">($L$2*M9019)/100</f>
        <v>504699.93</v>
      </c>
      <c r="M9019" s="15" t="n">
        <v>0.42</v>
      </c>
      <c r="N9019" s="9" t="s">
        <v>26</v>
      </c>
    </row>
    <row r="9020" customFormat="false" ht="14.25" hidden="false" customHeight="true" outlineLevel="0" collapsed="false">
      <c r="B9020" s="9" t="s">
        <v>28</v>
      </c>
      <c r="C9020" s="9" t="n">
        <v>1128299</v>
      </c>
      <c r="D9020" s="10" t="n">
        <v>44299</v>
      </c>
      <c r="E9020" s="9" t="s">
        <v>50</v>
      </c>
      <c r="F9020" s="9" t="s">
        <v>92</v>
      </c>
      <c r="G9020" s="9" t="s">
        <v>93</v>
      </c>
      <c r="H9020" s="11" t="s">
        <v>25</v>
      </c>
      <c r="I9020" s="12" t="n">
        <v>56</v>
      </c>
      <c r="J9020" s="13" t="n">
        <v>112</v>
      </c>
      <c r="K9020" s="14" t="n">
        <f aca="false">I9020*J9020</f>
        <v>6272</v>
      </c>
      <c r="L9020" s="14" t="n">
        <f aca="false">($L$2*M9020)/100</f>
        <v>336466.62</v>
      </c>
      <c r="M9020" s="15" t="n">
        <v>0.28</v>
      </c>
      <c r="N9020" s="9" t="s">
        <v>26</v>
      </c>
    </row>
    <row r="9021" customFormat="false" ht="14.25" hidden="false" customHeight="true" outlineLevel="0" collapsed="false">
      <c r="B9021" s="9" t="s">
        <v>28</v>
      </c>
      <c r="C9021" s="9" t="n">
        <v>1128299</v>
      </c>
      <c r="D9021" s="10" t="n">
        <v>44330</v>
      </c>
      <c r="E9021" s="9" t="s">
        <v>50</v>
      </c>
      <c r="F9021" s="9" t="s">
        <v>92</v>
      </c>
      <c r="G9021" s="9" t="s">
        <v>93</v>
      </c>
      <c r="H9021" s="11" t="s">
        <v>19</v>
      </c>
      <c r="I9021" s="12" t="n">
        <v>37</v>
      </c>
      <c r="J9021" s="13" t="n">
        <v>187</v>
      </c>
      <c r="K9021" s="14" t="n">
        <f aca="false">I9021*J9021</f>
        <v>6919</v>
      </c>
      <c r="L9021" s="14" t="n">
        <f aca="false">($L$2*M9021)/100</f>
        <v>552766.59</v>
      </c>
      <c r="M9021" s="15" t="n">
        <v>0.46</v>
      </c>
      <c r="N9021" s="9" t="s">
        <v>26</v>
      </c>
    </row>
    <row r="9022" customFormat="false" ht="14.25" hidden="false" customHeight="true" outlineLevel="0" collapsed="false">
      <c r="B9022" s="9" t="s">
        <v>28</v>
      </c>
      <c r="C9022" s="9" t="n">
        <v>1128299</v>
      </c>
      <c r="D9022" s="10" t="n">
        <v>44330</v>
      </c>
      <c r="E9022" s="9" t="s">
        <v>50</v>
      </c>
      <c r="F9022" s="9" t="s">
        <v>92</v>
      </c>
      <c r="G9022" s="9" t="s">
        <v>93</v>
      </c>
      <c r="H9022" s="11" t="s">
        <v>21</v>
      </c>
      <c r="I9022" s="12" t="n">
        <v>36</v>
      </c>
      <c r="J9022" s="13" t="n">
        <v>136</v>
      </c>
      <c r="K9022" s="14" t="n">
        <f aca="false">I9022*J9022</f>
        <v>4896</v>
      </c>
      <c r="L9022" s="14" t="n">
        <f aca="false">($L$2*M9022)/100</f>
        <v>540749.925</v>
      </c>
      <c r="M9022" s="15" t="n">
        <v>0.45</v>
      </c>
      <c r="N9022" s="9" t="s">
        <v>26</v>
      </c>
    </row>
    <row r="9023" customFormat="false" ht="14.25" hidden="false" customHeight="true" outlineLevel="0" collapsed="false">
      <c r="B9023" s="9" t="s">
        <v>28</v>
      </c>
      <c r="C9023" s="9" t="n">
        <v>1128299</v>
      </c>
      <c r="D9023" s="10" t="n">
        <v>44330</v>
      </c>
      <c r="E9023" s="9" t="s">
        <v>50</v>
      </c>
      <c r="F9023" s="9" t="s">
        <v>92</v>
      </c>
      <c r="G9023" s="9" t="s">
        <v>93</v>
      </c>
      <c r="H9023" s="11" t="s">
        <v>22</v>
      </c>
      <c r="I9023" s="12" t="n">
        <v>40</v>
      </c>
      <c r="J9023" s="13" t="n">
        <v>145</v>
      </c>
      <c r="K9023" s="14" t="n">
        <f aca="false">I9023*J9023</f>
        <v>5800</v>
      </c>
      <c r="L9023" s="14" t="n">
        <f aca="false">($L$2*M9023)/100</f>
        <v>468649.935</v>
      </c>
      <c r="M9023" s="15" t="n">
        <v>0.39</v>
      </c>
      <c r="N9023" s="9" t="s">
        <v>26</v>
      </c>
    </row>
    <row r="9024" customFormat="false" ht="14.25" hidden="false" customHeight="true" outlineLevel="0" collapsed="false">
      <c r="B9024" s="9" t="s">
        <v>28</v>
      </c>
      <c r="C9024" s="9" t="n">
        <v>1128299</v>
      </c>
      <c r="D9024" s="10" t="n">
        <v>44330</v>
      </c>
      <c r="E9024" s="9" t="s">
        <v>50</v>
      </c>
      <c r="F9024" s="9" t="s">
        <v>92</v>
      </c>
      <c r="G9024" s="9" t="s">
        <v>93</v>
      </c>
      <c r="H9024" s="11" t="s">
        <v>23</v>
      </c>
      <c r="I9024" s="12" t="n">
        <v>34</v>
      </c>
      <c r="J9024" s="13" t="n">
        <v>114</v>
      </c>
      <c r="K9024" s="14" t="n">
        <f aca="false">I9024*J9024</f>
        <v>3876</v>
      </c>
      <c r="L9024" s="14" t="n">
        <f aca="false">($L$2*M9024)/100</f>
        <v>516716.595</v>
      </c>
      <c r="M9024" s="15" t="n">
        <v>0.43</v>
      </c>
      <c r="N9024" s="9" t="s">
        <v>26</v>
      </c>
    </row>
    <row r="9025" customFormat="false" ht="14.25" hidden="false" customHeight="true" outlineLevel="0" collapsed="false">
      <c r="B9025" s="9" t="s">
        <v>28</v>
      </c>
      <c r="C9025" s="9" t="n">
        <v>1128299</v>
      </c>
      <c r="D9025" s="10" t="n">
        <v>44330</v>
      </c>
      <c r="E9025" s="9" t="s">
        <v>50</v>
      </c>
      <c r="F9025" s="9" t="s">
        <v>92</v>
      </c>
      <c r="G9025" s="9" t="s">
        <v>93</v>
      </c>
      <c r="H9025" s="11" t="s">
        <v>24</v>
      </c>
      <c r="I9025" s="12" t="n">
        <v>39</v>
      </c>
      <c r="J9025" s="13" t="n">
        <v>74</v>
      </c>
      <c r="K9025" s="14" t="n">
        <f aca="false">I9025*J9025</f>
        <v>2886</v>
      </c>
      <c r="L9025" s="14" t="n">
        <f aca="false">($L$2*M9025)/100</f>
        <v>504699.93</v>
      </c>
      <c r="M9025" s="15" t="n">
        <v>0.42</v>
      </c>
      <c r="N9025" s="9" t="s">
        <v>26</v>
      </c>
    </row>
    <row r="9026" customFormat="false" ht="14.25" hidden="false" customHeight="true" outlineLevel="0" collapsed="false">
      <c r="B9026" s="9" t="s">
        <v>28</v>
      </c>
      <c r="C9026" s="9" t="n">
        <v>1128299</v>
      </c>
      <c r="D9026" s="10" t="n">
        <v>44330</v>
      </c>
      <c r="E9026" s="9" t="s">
        <v>50</v>
      </c>
      <c r="F9026" s="9" t="s">
        <v>92</v>
      </c>
      <c r="G9026" s="9" t="s">
        <v>93</v>
      </c>
      <c r="H9026" s="11" t="s">
        <v>25</v>
      </c>
      <c r="I9026" s="12" t="n">
        <v>53</v>
      </c>
      <c r="J9026" s="13" t="n">
        <v>124</v>
      </c>
      <c r="K9026" s="14" t="n">
        <f aca="false">I9026*J9026</f>
        <v>6572</v>
      </c>
      <c r="L9026" s="14" t="n">
        <f aca="false">($L$2*M9026)/100</f>
        <v>372516.615</v>
      </c>
      <c r="M9026" s="15" t="n">
        <v>0.31</v>
      </c>
      <c r="N9026" s="9" t="s">
        <v>26</v>
      </c>
    </row>
    <row r="9027" customFormat="false" ht="14.25" hidden="false" customHeight="true" outlineLevel="0" collapsed="false">
      <c r="B9027" s="9" t="s">
        <v>28</v>
      </c>
      <c r="C9027" s="9" t="n">
        <v>1128299</v>
      </c>
      <c r="D9027" s="10" t="n">
        <v>44360</v>
      </c>
      <c r="E9027" s="9" t="s">
        <v>50</v>
      </c>
      <c r="F9027" s="9" t="s">
        <v>92</v>
      </c>
      <c r="G9027" s="9" t="s">
        <v>93</v>
      </c>
      <c r="H9027" s="11" t="s">
        <v>19</v>
      </c>
      <c r="I9027" s="12" t="n">
        <v>35</v>
      </c>
      <c r="J9027" s="13" t="n">
        <v>203</v>
      </c>
      <c r="K9027" s="14" t="n">
        <f aca="false">I9027*J9027</f>
        <v>7105</v>
      </c>
      <c r="L9027" s="14" t="n">
        <f aca="false">($L$2*M9027)/100</f>
        <v>516716.595</v>
      </c>
      <c r="M9027" s="15" t="n">
        <v>0.43</v>
      </c>
      <c r="N9027" s="9" t="s">
        <v>26</v>
      </c>
    </row>
    <row r="9028" customFormat="false" ht="14.25" hidden="false" customHeight="true" outlineLevel="0" collapsed="false">
      <c r="B9028" s="9" t="s">
        <v>28</v>
      </c>
      <c r="C9028" s="9" t="n">
        <v>1128299</v>
      </c>
      <c r="D9028" s="10" t="n">
        <v>44360</v>
      </c>
      <c r="E9028" s="9" t="s">
        <v>50</v>
      </c>
      <c r="F9028" s="9" t="s">
        <v>92</v>
      </c>
      <c r="G9028" s="9" t="s">
        <v>93</v>
      </c>
      <c r="H9028" s="11" t="s">
        <v>21</v>
      </c>
      <c r="I9028" s="12" t="n">
        <v>41</v>
      </c>
      <c r="J9028" s="13" t="n">
        <v>163</v>
      </c>
      <c r="K9028" s="14" t="n">
        <f aca="false">I9028*J9028</f>
        <v>6683</v>
      </c>
      <c r="L9028" s="14" t="n">
        <f aca="false">($L$2*M9028)/100</f>
        <v>528733.26</v>
      </c>
      <c r="M9028" s="15" t="n">
        <v>0.44</v>
      </c>
      <c r="N9028" s="9" t="s">
        <v>26</v>
      </c>
    </row>
    <row r="9029" customFormat="false" ht="14.25" hidden="false" customHeight="true" outlineLevel="0" collapsed="false">
      <c r="B9029" s="9" t="s">
        <v>28</v>
      </c>
      <c r="C9029" s="9" t="n">
        <v>1128299</v>
      </c>
      <c r="D9029" s="10" t="n">
        <v>44360</v>
      </c>
      <c r="E9029" s="9" t="s">
        <v>50</v>
      </c>
      <c r="F9029" s="9" t="s">
        <v>92</v>
      </c>
      <c r="G9029" s="9" t="s">
        <v>93</v>
      </c>
      <c r="H9029" s="11" t="s">
        <v>22</v>
      </c>
      <c r="I9029" s="12" t="n">
        <v>39</v>
      </c>
      <c r="J9029" s="13" t="n">
        <v>158</v>
      </c>
      <c r="K9029" s="14" t="n">
        <f aca="false">I9029*J9029</f>
        <v>6162</v>
      </c>
      <c r="L9029" s="14" t="n">
        <f aca="false">($L$2*M9029)/100</f>
        <v>456633.27</v>
      </c>
      <c r="M9029" s="15" t="n">
        <v>0.38</v>
      </c>
      <c r="N9029" s="9" t="s">
        <v>26</v>
      </c>
    </row>
    <row r="9030" customFormat="false" ht="14.25" hidden="false" customHeight="true" outlineLevel="0" collapsed="false">
      <c r="B9030" s="9" t="s">
        <v>28</v>
      </c>
      <c r="C9030" s="9" t="n">
        <v>1128299</v>
      </c>
      <c r="D9030" s="10" t="n">
        <v>44360</v>
      </c>
      <c r="E9030" s="9" t="s">
        <v>50</v>
      </c>
      <c r="F9030" s="9" t="s">
        <v>92</v>
      </c>
      <c r="G9030" s="9" t="s">
        <v>93</v>
      </c>
      <c r="H9030" s="11" t="s">
        <v>23</v>
      </c>
      <c r="I9030" s="12" t="n">
        <v>33</v>
      </c>
      <c r="J9030" s="13" t="n">
        <v>132</v>
      </c>
      <c r="K9030" s="14" t="n">
        <f aca="false">I9030*J9030</f>
        <v>4356</v>
      </c>
      <c r="L9030" s="14" t="n">
        <f aca="false">($L$2*M9030)/100</f>
        <v>516716.595</v>
      </c>
      <c r="M9030" s="15" t="n">
        <v>0.43</v>
      </c>
      <c r="N9030" s="9" t="s">
        <v>26</v>
      </c>
    </row>
    <row r="9031" customFormat="false" ht="14.25" hidden="false" customHeight="true" outlineLevel="0" collapsed="false">
      <c r="B9031" s="9" t="s">
        <v>28</v>
      </c>
      <c r="C9031" s="9" t="n">
        <v>1128299</v>
      </c>
      <c r="D9031" s="10" t="n">
        <v>44360</v>
      </c>
      <c r="E9031" s="9" t="s">
        <v>50</v>
      </c>
      <c r="F9031" s="9" t="s">
        <v>92</v>
      </c>
      <c r="G9031" s="9" t="s">
        <v>93</v>
      </c>
      <c r="H9031" s="11" t="s">
        <v>24</v>
      </c>
      <c r="I9031" s="12" t="n">
        <v>42</v>
      </c>
      <c r="J9031" s="13" t="n">
        <v>94</v>
      </c>
      <c r="K9031" s="14" t="n">
        <f aca="false">I9031*J9031</f>
        <v>3948</v>
      </c>
      <c r="L9031" s="14" t="n">
        <f aca="false">($L$2*M9031)/100</f>
        <v>468649.935</v>
      </c>
      <c r="M9031" s="15" t="n">
        <v>0.39</v>
      </c>
      <c r="N9031" s="9" t="s">
        <v>26</v>
      </c>
    </row>
    <row r="9032" customFormat="false" ht="14.25" hidden="false" customHeight="true" outlineLevel="0" collapsed="false">
      <c r="B9032" s="9" t="s">
        <v>28</v>
      </c>
      <c r="C9032" s="9" t="n">
        <v>1128299</v>
      </c>
      <c r="D9032" s="10" t="n">
        <v>44360</v>
      </c>
      <c r="E9032" s="9" t="s">
        <v>50</v>
      </c>
      <c r="F9032" s="9" t="s">
        <v>92</v>
      </c>
      <c r="G9032" s="9" t="s">
        <v>93</v>
      </c>
      <c r="H9032" s="11" t="s">
        <v>25</v>
      </c>
      <c r="I9032" s="12" t="n">
        <v>53</v>
      </c>
      <c r="J9032" s="13" t="n">
        <v>190</v>
      </c>
      <c r="K9032" s="14" t="n">
        <f aca="false">I9032*J9032</f>
        <v>10070</v>
      </c>
      <c r="L9032" s="14" t="n">
        <f aca="false">($L$2*M9032)/100</f>
        <v>384533.28</v>
      </c>
      <c r="M9032" s="15" t="n">
        <v>0.32</v>
      </c>
      <c r="N9032" s="9" t="s">
        <v>26</v>
      </c>
    </row>
    <row r="9033" customFormat="false" ht="14.25" hidden="false" customHeight="true" outlineLevel="0" collapsed="false">
      <c r="B9033" s="9" t="s">
        <v>28</v>
      </c>
      <c r="C9033" s="9" t="n">
        <v>1128299</v>
      </c>
      <c r="D9033" s="10" t="n">
        <v>44389</v>
      </c>
      <c r="E9033" s="9" t="s">
        <v>50</v>
      </c>
      <c r="F9033" s="9" t="s">
        <v>92</v>
      </c>
      <c r="G9033" s="9" t="s">
        <v>93</v>
      </c>
      <c r="H9033" s="11" t="s">
        <v>19</v>
      </c>
      <c r="I9033" s="12" t="n">
        <v>37</v>
      </c>
      <c r="J9033" s="13" t="n">
        <v>218</v>
      </c>
      <c r="K9033" s="14" t="n">
        <f aca="false">I9033*J9033</f>
        <v>8066</v>
      </c>
      <c r="L9033" s="14" t="n">
        <f aca="false">($L$2*M9033)/100</f>
        <v>552766.59</v>
      </c>
      <c r="M9033" s="15" t="n">
        <v>0.46</v>
      </c>
      <c r="N9033" s="9" t="s">
        <v>26</v>
      </c>
    </row>
    <row r="9034" customFormat="false" ht="14.25" hidden="false" customHeight="true" outlineLevel="0" collapsed="false">
      <c r="B9034" s="9" t="s">
        <v>28</v>
      </c>
      <c r="C9034" s="9" t="n">
        <v>1128299</v>
      </c>
      <c r="D9034" s="10" t="n">
        <v>44389</v>
      </c>
      <c r="E9034" s="9" t="s">
        <v>50</v>
      </c>
      <c r="F9034" s="9" t="s">
        <v>92</v>
      </c>
      <c r="G9034" s="9" t="s">
        <v>93</v>
      </c>
      <c r="H9034" s="11" t="s">
        <v>21</v>
      </c>
      <c r="I9034" s="12" t="n">
        <v>37</v>
      </c>
      <c r="J9034" s="13" t="n">
        <v>173</v>
      </c>
      <c r="K9034" s="14" t="n">
        <f aca="false">I9034*J9034</f>
        <v>6401</v>
      </c>
      <c r="L9034" s="14" t="n">
        <f aca="false">($L$2*M9034)/100</f>
        <v>552766.59</v>
      </c>
      <c r="M9034" s="15" t="n">
        <v>0.46</v>
      </c>
      <c r="N9034" s="9" t="s">
        <v>26</v>
      </c>
    </row>
    <row r="9035" customFormat="false" ht="14.25" hidden="false" customHeight="true" outlineLevel="0" collapsed="false">
      <c r="B9035" s="9" t="s">
        <v>28</v>
      </c>
      <c r="C9035" s="9" t="n">
        <v>1128299</v>
      </c>
      <c r="D9035" s="10" t="n">
        <v>44389</v>
      </c>
      <c r="E9035" s="9" t="s">
        <v>50</v>
      </c>
      <c r="F9035" s="9" t="s">
        <v>92</v>
      </c>
      <c r="G9035" s="9" t="s">
        <v>93</v>
      </c>
      <c r="H9035" s="11" t="s">
        <v>22</v>
      </c>
      <c r="I9035" s="12" t="n">
        <v>41</v>
      </c>
      <c r="J9035" s="13" t="n">
        <v>184</v>
      </c>
      <c r="K9035" s="14" t="n">
        <f aca="false">I9035*J9035</f>
        <v>7544</v>
      </c>
      <c r="L9035" s="14" t="n">
        <f aca="false">($L$2*M9035)/100</f>
        <v>492683.265</v>
      </c>
      <c r="M9035" s="15" t="n">
        <v>0.41</v>
      </c>
      <c r="N9035" s="9" t="s">
        <v>26</v>
      </c>
    </row>
    <row r="9036" customFormat="false" ht="14.25" hidden="false" customHeight="true" outlineLevel="0" collapsed="false">
      <c r="B9036" s="9" t="s">
        <v>28</v>
      </c>
      <c r="C9036" s="9" t="n">
        <v>1128299</v>
      </c>
      <c r="D9036" s="10" t="n">
        <v>44389</v>
      </c>
      <c r="E9036" s="9" t="s">
        <v>50</v>
      </c>
      <c r="F9036" s="9" t="s">
        <v>92</v>
      </c>
      <c r="G9036" s="9" t="s">
        <v>93</v>
      </c>
      <c r="H9036" s="11" t="s">
        <v>23</v>
      </c>
      <c r="I9036" s="12" t="n">
        <v>39</v>
      </c>
      <c r="J9036" s="13" t="n">
        <v>128</v>
      </c>
      <c r="K9036" s="14" t="n">
        <f aca="false">I9036*J9036</f>
        <v>4992</v>
      </c>
      <c r="L9036" s="14" t="n">
        <f aca="false">($L$2*M9036)/100</f>
        <v>540749.925</v>
      </c>
      <c r="M9036" s="15" t="n">
        <v>0.45</v>
      </c>
      <c r="N9036" s="9" t="s">
        <v>26</v>
      </c>
    </row>
    <row r="9037" customFormat="false" ht="14.25" hidden="false" customHeight="true" outlineLevel="0" collapsed="false">
      <c r="B9037" s="9" t="s">
        <v>28</v>
      </c>
      <c r="C9037" s="9" t="n">
        <v>1128299</v>
      </c>
      <c r="D9037" s="10" t="n">
        <v>44389</v>
      </c>
      <c r="E9037" s="9" t="s">
        <v>50</v>
      </c>
      <c r="F9037" s="9" t="s">
        <v>92</v>
      </c>
      <c r="G9037" s="9" t="s">
        <v>93</v>
      </c>
      <c r="H9037" s="11" t="s">
        <v>24</v>
      </c>
      <c r="I9037" s="12" t="n">
        <v>39</v>
      </c>
      <c r="J9037" s="13" t="n">
        <v>162</v>
      </c>
      <c r="K9037" s="14" t="n">
        <f aca="false">I9037*J9037</f>
        <v>6318</v>
      </c>
      <c r="L9037" s="14" t="n">
        <f aca="false">($L$2*M9037)/100</f>
        <v>456633.27</v>
      </c>
      <c r="M9037" s="15" t="n">
        <v>0.38</v>
      </c>
      <c r="N9037" s="9" t="s">
        <v>26</v>
      </c>
    </row>
    <row r="9038" customFormat="false" ht="14.25" hidden="false" customHeight="true" outlineLevel="0" collapsed="false">
      <c r="B9038" s="9" t="s">
        <v>28</v>
      </c>
      <c r="C9038" s="9" t="n">
        <v>1128299</v>
      </c>
      <c r="D9038" s="10" t="n">
        <v>44389</v>
      </c>
      <c r="E9038" s="9" t="s">
        <v>50</v>
      </c>
      <c r="F9038" s="9" t="s">
        <v>92</v>
      </c>
      <c r="G9038" s="9" t="s">
        <v>93</v>
      </c>
      <c r="H9038" s="11" t="s">
        <v>25</v>
      </c>
      <c r="I9038" s="12" t="n">
        <v>51</v>
      </c>
      <c r="J9038" s="13" t="n">
        <v>157</v>
      </c>
      <c r="K9038" s="14" t="n">
        <f aca="false">I9038*J9038</f>
        <v>8007</v>
      </c>
      <c r="L9038" s="14" t="n">
        <f aca="false">($L$2*M9038)/100</f>
        <v>348483.285</v>
      </c>
      <c r="M9038" s="15" t="n">
        <v>0.29</v>
      </c>
      <c r="N9038" s="9" t="s">
        <v>26</v>
      </c>
    </row>
    <row r="9039" customFormat="false" ht="14.25" hidden="false" customHeight="true" outlineLevel="0" collapsed="false">
      <c r="B9039" s="9" t="s">
        <v>28</v>
      </c>
      <c r="C9039" s="9" t="n">
        <v>1128299</v>
      </c>
      <c r="D9039" s="10" t="n">
        <v>44421</v>
      </c>
      <c r="E9039" s="9" t="s">
        <v>50</v>
      </c>
      <c r="F9039" s="9" t="s">
        <v>92</v>
      </c>
      <c r="G9039" s="9" t="s">
        <v>93</v>
      </c>
      <c r="H9039" s="11" t="s">
        <v>19</v>
      </c>
      <c r="I9039" s="12" t="n">
        <v>39</v>
      </c>
      <c r="J9039" s="13" t="n">
        <v>209</v>
      </c>
      <c r="K9039" s="14" t="n">
        <f aca="false">I9039*J9039</f>
        <v>8151</v>
      </c>
      <c r="L9039" s="14" t="n">
        <f aca="false">($L$2*M9039)/100</f>
        <v>552766.59</v>
      </c>
      <c r="M9039" s="15" t="n">
        <v>0.46</v>
      </c>
      <c r="N9039" s="9" t="s">
        <v>26</v>
      </c>
    </row>
    <row r="9040" customFormat="false" ht="14.25" hidden="false" customHeight="true" outlineLevel="0" collapsed="false">
      <c r="B9040" s="9" t="s">
        <v>28</v>
      </c>
      <c r="C9040" s="9" t="n">
        <v>1128299</v>
      </c>
      <c r="D9040" s="10" t="n">
        <v>44421</v>
      </c>
      <c r="E9040" s="9" t="s">
        <v>50</v>
      </c>
      <c r="F9040" s="9" t="s">
        <v>92</v>
      </c>
      <c r="G9040" s="9" t="s">
        <v>93</v>
      </c>
      <c r="H9040" s="11" t="s">
        <v>21</v>
      </c>
      <c r="I9040" s="12" t="n">
        <v>44</v>
      </c>
      <c r="J9040" s="13" t="n">
        <v>200</v>
      </c>
      <c r="K9040" s="14" t="n">
        <f aca="false">I9040*J9040</f>
        <v>8800</v>
      </c>
      <c r="L9040" s="14" t="n">
        <f aca="false">($L$2*M9040)/100</f>
        <v>504699.93</v>
      </c>
      <c r="M9040" s="15" t="n">
        <v>0.42</v>
      </c>
      <c r="N9040" s="9" t="s">
        <v>26</v>
      </c>
    </row>
    <row r="9041" customFormat="false" ht="14.25" hidden="false" customHeight="true" outlineLevel="0" collapsed="false">
      <c r="B9041" s="9" t="s">
        <v>28</v>
      </c>
      <c r="C9041" s="9" t="n">
        <v>1128299</v>
      </c>
      <c r="D9041" s="10" t="n">
        <v>44421</v>
      </c>
      <c r="E9041" s="9" t="s">
        <v>50</v>
      </c>
      <c r="F9041" s="9" t="s">
        <v>92</v>
      </c>
      <c r="G9041" s="9" t="s">
        <v>93</v>
      </c>
      <c r="H9041" s="11" t="s">
        <v>22</v>
      </c>
      <c r="I9041" s="12" t="n">
        <v>42</v>
      </c>
      <c r="J9041" s="13" t="n">
        <v>150</v>
      </c>
      <c r="K9041" s="14" t="n">
        <f aca="false">I9041*J9041</f>
        <v>6300</v>
      </c>
      <c r="L9041" s="14" t="n">
        <f aca="false">($L$2*M9041)/100</f>
        <v>504699.93</v>
      </c>
      <c r="M9041" s="15" t="n">
        <v>0.42</v>
      </c>
      <c r="N9041" s="9" t="s">
        <v>26</v>
      </c>
    </row>
    <row r="9042" customFormat="false" ht="14.25" hidden="false" customHeight="true" outlineLevel="0" collapsed="false">
      <c r="B9042" s="9" t="s">
        <v>28</v>
      </c>
      <c r="C9042" s="9" t="n">
        <v>1128299</v>
      </c>
      <c r="D9042" s="10" t="n">
        <v>44421</v>
      </c>
      <c r="E9042" s="9" t="s">
        <v>50</v>
      </c>
      <c r="F9042" s="9" t="s">
        <v>92</v>
      </c>
      <c r="G9042" s="9" t="s">
        <v>93</v>
      </c>
      <c r="H9042" s="11" t="s">
        <v>23</v>
      </c>
      <c r="I9042" s="12" t="n">
        <v>42</v>
      </c>
      <c r="J9042" s="13" t="n">
        <v>149</v>
      </c>
      <c r="K9042" s="14" t="n">
        <f aca="false">I9042*J9042</f>
        <v>6258</v>
      </c>
      <c r="L9042" s="14" t="n">
        <f aca="false">($L$2*M9042)/100</f>
        <v>540749.925</v>
      </c>
      <c r="M9042" s="15" t="n">
        <v>0.45</v>
      </c>
      <c r="N9042" s="9" t="s">
        <v>26</v>
      </c>
    </row>
    <row r="9043" customFormat="false" ht="14.25" hidden="false" customHeight="true" outlineLevel="0" collapsed="false">
      <c r="B9043" s="9" t="s">
        <v>28</v>
      </c>
      <c r="C9043" s="9" t="n">
        <v>1128299</v>
      </c>
      <c r="D9043" s="10" t="n">
        <v>44421</v>
      </c>
      <c r="E9043" s="9" t="s">
        <v>50</v>
      </c>
      <c r="F9043" s="9" t="s">
        <v>92</v>
      </c>
      <c r="G9043" s="9" t="s">
        <v>93</v>
      </c>
      <c r="H9043" s="11" t="s">
        <v>24</v>
      </c>
      <c r="I9043" s="12" t="n">
        <v>51</v>
      </c>
      <c r="J9043" s="13" t="n">
        <v>140</v>
      </c>
      <c r="K9043" s="14" t="n">
        <f aca="false">I9043*J9043</f>
        <v>7140</v>
      </c>
      <c r="L9043" s="14" t="n">
        <f aca="false">($L$2*M9043)/100</f>
        <v>468649.935</v>
      </c>
      <c r="M9043" s="15" t="n">
        <v>0.39</v>
      </c>
      <c r="N9043" s="9" t="s">
        <v>26</v>
      </c>
    </row>
    <row r="9044" customFormat="false" ht="14.25" hidden="false" customHeight="true" outlineLevel="0" collapsed="false">
      <c r="B9044" s="9" t="s">
        <v>28</v>
      </c>
      <c r="C9044" s="9" t="n">
        <v>1128299</v>
      </c>
      <c r="D9044" s="10" t="n">
        <v>44421</v>
      </c>
      <c r="E9044" s="9" t="s">
        <v>50</v>
      </c>
      <c r="F9044" s="9" t="s">
        <v>92</v>
      </c>
      <c r="G9044" s="9" t="s">
        <v>93</v>
      </c>
      <c r="H9044" s="11" t="s">
        <v>25</v>
      </c>
      <c r="I9044" s="12" t="n">
        <v>50</v>
      </c>
      <c r="J9044" s="13" t="n">
        <v>128</v>
      </c>
      <c r="K9044" s="14" t="n">
        <f aca="false">I9044*J9044</f>
        <v>6400</v>
      </c>
      <c r="L9044" s="14" t="n">
        <f aca="false">($L$2*M9044)/100</f>
        <v>348483.285</v>
      </c>
      <c r="M9044" s="15" t="n">
        <v>0.29</v>
      </c>
      <c r="N9044" s="9" t="s">
        <v>26</v>
      </c>
    </row>
    <row r="9045" customFormat="false" ht="14.25" hidden="false" customHeight="true" outlineLevel="0" collapsed="false">
      <c r="B9045" s="9" t="s">
        <v>28</v>
      </c>
      <c r="C9045" s="9" t="n">
        <v>1128299</v>
      </c>
      <c r="D9045" s="10" t="n">
        <v>44453</v>
      </c>
      <c r="E9045" s="9" t="s">
        <v>50</v>
      </c>
      <c r="F9045" s="9" t="s">
        <v>92</v>
      </c>
      <c r="G9045" s="9" t="s">
        <v>93</v>
      </c>
      <c r="H9045" s="11" t="s">
        <v>19</v>
      </c>
      <c r="I9045" s="12" t="n">
        <v>31</v>
      </c>
      <c r="J9045" s="13" t="n">
        <v>204</v>
      </c>
      <c r="K9045" s="14" t="n">
        <f aca="false">I9045*J9045</f>
        <v>6324</v>
      </c>
      <c r="L9045" s="14" t="n">
        <f aca="false">($L$2*M9045)/100</f>
        <v>552766.59</v>
      </c>
      <c r="M9045" s="15" t="n">
        <v>0.46</v>
      </c>
      <c r="N9045" s="9" t="s">
        <v>26</v>
      </c>
    </row>
    <row r="9046" customFormat="false" ht="14.25" hidden="false" customHeight="true" outlineLevel="0" collapsed="false">
      <c r="B9046" s="9" t="s">
        <v>28</v>
      </c>
      <c r="C9046" s="9" t="n">
        <v>1128299</v>
      </c>
      <c r="D9046" s="10" t="n">
        <v>44453</v>
      </c>
      <c r="E9046" s="9" t="s">
        <v>50</v>
      </c>
      <c r="F9046" s="9" t="s">
        <v>92</v>
      </c>
      <c r="G9046" s="9" t="s">
        <v>93</v>
      </c>
      <c r="H9046" s="11" t="s">
        <v>21</v>
      </c>
      <c r="I9046" s="12" t="n">
        <v>38</v>
      </c>
      <c r="J9046" s="13" t="n">
        <v>198</v>
      </c>
      <c r="K9046" s="14" t="n">
        <f aca="false">I9046*J9046</f>
        <v>7524</v>
      </c>
      <c r="L9046" s="14" t="n">
        <f aca="false">($L$2*M9046)/100</f>
        <v>528733.26</v>
      </c>
      <c r="M9046" s="15" t="n">
        <v>0.44</v>
      </c>
      <c r="N9046" s="9" t="s">
        <v>26</v>
      </c>
    </row>
    <row r="9047" customFormat="false" ht="14.25" hidden="false" customHeight="true" outlineLevel="0" collapsed="false">
      <c r="B9047" s="9" t="s">
        <v>28</v>
      </c>
      <c r="C9047" s="9" t="n">
        <v>1128299</v>
      </c>
      <c r="D9047" s="10" t="n">
        <v>44453</v>
      </c>
      <c r="E9047" s="9" t="s">
        <v>50</v>
      </c>
      <c r="F9047" s="9" t="s">
        <v>92</v>
      </c>
      <c r="G9047" s="9" t="s">
        <v>93</v>
      </c>
      <c r="H9047" s="11" t="s">
        <v>22</v>
      </c>
      <c r="I9047" s="12" t="n">
        <v>32</v>
      </c>
      <c r="J9047" s="13" t="n">
        <v>135</v>
      </c>
      <c r="K9047" s="14" t="n">
        <f aca="false">I9047*J9047</f>
        <v>4320</v>
      </c>
      <c r="L9047" s="14" t="n">
        <f aca="false">($L$2*M9047)/100</f>
        <v>444616.605</v>
      </c>
      <c r="M9047" s="15" t="n">
        <v>0.37</v>
      </c>
      <c r="N9047" s="9" t="s">
        <v>26</v>
      </c>
    </row>
    <row r="9048" customFormat="false" ht="14.25" hidden="false" customHeight="true" outlineLevel="0" collapsed="false">
      <c r="B9048" s="9" t="s">
        <v>28</v>
      </c>
      <c r="C9048" s="9" t="n">
        <v>1128299</v>
      </c>
      <c r="D9048" s="10" t="n">
        <v>44453</v>
      </c>
      <c r="E9048" s="9" t="s">
        <v>50</v>
      </c>
      <c r="F9048" s="9" t="s">
        <v>92</v>
      </c>
      <c r="G9048" s="9" t="s">
        <v>93</v>
      </c>
      <c r="H9048" s="11" t="s">
        <v>23</v>
      </c>
      <c r="I9048" s="12" t="n">
        <v>35</v>
      </c>
      <c r="J9048" s="13" t="n">
        <v>120</v>
      </c>
      <c r="K9048" s="14" t="n">
        <f aca="false">I9048*J9048</f>
        <v>4200</v>
      </c>
      <c r="L9048" s="14" t="n">
        <f aca="false">($L$2*M9048)/100</f>
        <v>552766.59</v>
      </c>
      <c r="M9048" s="15" t="n">
        <v>0.46</v>
      </c>
      <c r="N9048" s="9" t="s">
        <v>26</v>
      </c>
    </row>
    <row r="9049" customFormat="false" ht="14.25" hidden="false" customHeight="true" outlineLevel="0" collapsed="false">
      <c r="B9049" s="9" t="s">
        <v>28</v>
      </c>
      <c r="C9049" s="9" t="n">
        <v>1128299</v>
      </c>
      <c r="D9049" s="10" t="n">
        <v>44453</v>
      </c>
      <c r="E9049" s="9" t="s">
        <v>50</v>
      </c>
      <c r="F9049" s="9" t="s">
        <v>92</v>
      </c>
      <c r="G9049" s="9" t="s">
        <v>93</v>
      </c>
      <c r="H9049" s="11" t="s">
        <v>24</v>
      </c>
      <c r="I9049" s="12" t="n">
        <v>36</v>
      </c>
      <c r="J9049" s="13" t="n">
        <v>132</v>
      </c>
      <c r="K9049" s="14" t="n">
        <f aca="false">I9049*J9049</f>
        <v>4752</v>
      </c>
      <c r="L9049" s="14" t="n">
        <f aca="false">($L$2*M9049)/100</f>
        <v>444616.605</v>
      </c>
      <c r="M9049" s="15" t="n">
        <v>0.37</v>
      </c>
      <c r="N9049" s="9" t="s">
        <v>26</v>
      </c>
    </row>
    <row r="9050" customFormat="false" ht="14.25" hidden="false" customHeight="true" outlineLevel="0" collapsed="false">
      <c r="B9050" s="9" t="s">
        <v>28</v>
      </c>
      <c r="C9050" s="9" t="n">
        <v>1128299</v>
      </c>
      <c r="D9050" s="10" t="n">
        <v>44453</v>
      </c>
      <c r="E9050" s="9" t="s">
        <v>50</v>
      </c>
      <c r="F9050" s="9" t="s">
        <v>92</v>
      </c>
      <c r="G9050" s="9" t="s">
        <v>93</v>
      </c>
      <c r="H9050" s="11" t="s">
        <v>25</v>
      </c>
      <c r="I9050" s="12" t="n">
        <v>46</v>
      </c>
      <c r="J9050" s="13" t="n">
        <v>135</v>
      </c>
      <c r="K9050" s="14" t="n">
        <f aca="false">I9050*J9050</f>
        <v>6210</v>
      </c>
      <c r="L9050" s="14" t="n">
        <f aca="false">($L$2*M9050)/100</f>
        <v>360499.95</v>
      </c>
      <c r="M9050" s="15" t="n">
        <v>0.3</v>
      </c>
      <c r="N9050" s="9" t="s">
        <v>26</v>
      </c>
    </row>
    <row r="9051" customFormat="false" ht="14.25" hidden="false" customHeight="true" outlineLevel="0" collapsed="false">
      <c r="B9051" s="9" t="s">
        <v>28</v>
      </c>
      <c r="C9051" s="9" t="n">
        <v>1128299</v>
      </c>
      <c r="D9051" s="10" t="n">
        <v>44482</v>
      </c>
      <c r="E9051" s="9" t="s">
        <v>50</v>
      </c>
      <c r="F9051" s="9" t="s">
        <v>92</v>
      </c>
      <c r="G9051" s="9" t="s">
        <v>93</v>
      </c>
      <c r="H9051" s="11" t="s">
        <v>19</v>
      </c>
      <c r="I9051" s="12" t="n">
        <v>34</v>
      </c>
      <c r="J9051" s="13" t="n">
        <v>173</v>
      </c>
      <c r="K9051" s="14" t="n">
        <f aca="false">I9051*J9051</f>
        <v>5882</v>
      </c>
      <c r="L9051" s="14" t="n">
        <f aca="false">($L$2*M9051)/100</f>
        <v>552766.59</v>
      </c>
      <c r="M9051" s="15" t="n">
        <v>0.46</v>
      </c>
      <c r="N9051" s="9" t="s">
        <v>26</v>
      </c>
    </row>
    <row r="9052" customFormat="false" ht="14.25" hidden="false" customHeight="true" outlineLevel="0" collapsed="false">
      <c r="B9052" s="9" t="s">
        <v>28</v>
      </c>
      <c r="C9052" s="9" t="n">
        <v>1128299</v>
      </c>
      <c r="D9052" s="10" t="n">
        <v>44482</v>
      </c>
      <c r="E9052" s="9" t="s">
        <v>50</v>
      </c>
      <c r="F9052" s="9" t="s">
        <v>92</v>
      </c>
      <c r="G9052" s="9" t="s">
        <v>93</v>
      </c>
      <c r="H9052" s="11" t="s">
        <v>21</v>
      </c>
      <c r="I9052" s="12" t="n">
        <v>34</v>
      </c>
      <c r="J9052" s="13" t="n">
        <v>173</v>
      </c>
      <c r="K9052" s="14" t="n">
        <f aca="false">I9052*J9052</f>
        <v>5882</v>
      </c>
      <c r="L9052" s="14" t="n">
        <f aca="false">($L$2*M9052)/100</f>
        <v>504699.93</v>
      </c>
      <c r="M9052" s="15" t="n">
        <v>0.42</v>
      </c>
      <c r="N9052" s="9" t="s">
        <v>26</v>
      </c>
    </row>
    <row r="9053" customFormat="false" ht="14.25" hidden="false" customHeight="true" outlineLevel="0" collapsed="false">
      <c r="B9053" s="9" t="s">
        <v>28</v>
      </c>
      <c r="C9053" s="9" t="n">
        <v>1128299</v>
      </c>
      <c r="D9053" s="10" t="n">
        <v>44482</v>
      </c>
      <c r="E9053" s="9" t="s">
        <v>50</v>
      </c>
      <c r="F9053" s="9" t="s">
        <v>92</v>
      </c>
      <c r="G9053" s="9" t="s">
        <v>93</v>
      </c>
      <c r="H9053" s="11" t="s">
        <v>22</v>
      </c>
      <c r="I9053" s="12" t="n">
        <v>32</v>
      </c>
      <c r="J9053" s="13" t="n">
        <v>123</v>
      </c>
      <c r="K9053" s="14" t="n">
        <f aca="false">I9053*J9053</f>
        <v>3936</v>
      </c>
      <c r="L9053" s="14" t="n">
        <f aca="false">($L$2*M9053)/100</f>
        <v>456633.27</v>
      </c>
      <c r="M9053" s="15" t="n">
        <v>0.38</v>
      </c>
      <c r="N9053" s="9" t="s">
        <v>26</v>
      </c>
    </row>
    <row r="9054" customFormat="false" ht="14.25" hidden="false" customHeight="true" outlineLevel="0" collapsed="false">
      <c r="B9054" s="9" t="s">
        <v>28</v>
      </c>
      <c r="C9054" s="9" t="n">
        <v>1128299</v>
      </c>
      <c r="D9054" s="10" t="n">
        <v>44482</v>
      </c>
      <c r="E9054" s="9" t="s">
        <v>50</v>
      </c>
      <c r="F9054" s="9" t="s">
        <v>92</v>
      </c>
      <c r="G9054" s="9" t="s">
        <v>93</v>
      </c>
      <c r="H9054" s="11" t="s">
        <v>23</v>
      </c>
      <c r="I9054" s="12" t="n">
        <v>32</v>
      </c>
      <c r="J9054" s="13" t="n">
        <v>114</v>
      </c>
      <c r="K9054" s="14" t="n">
        <f aca="false">I9054*J9054</f>
        <v>3648</v>
      </c>
      <c r="L9054" s="14" t="n">
        <f aca="false">($L$2*M9054)/100</f>
        <v>528733.26</v>
      </c>
      <c r="M9054" s="15" t="n">
        <v>0.44</v>
      </c>
      <c r="N9054" s="9" t="s">
        <v>26</v>
      </c>
    </row>
    <row r="9055" customFormat="false" ht="14.25" hidden="false" customHeight="true" outlineLevel="0" collapsed="false">
      <c r="B9055" s="9" t="s">
        <v>28</v>
      </c>
      <c r="C9055" s="9" t="n">
        <v>1128299</v>
      </c>
      <c r="D9055" s="10" t="n">
        <v>44482</v>
      </c>
      <c r="E9055" s="9" t="s">
        <v>50</v>
      </c>
      <c r="F9055" s="9" t="s">
        <v>92</v>
      </c>
      <c r="G9055" s="9" t="s">
        <v>93</v>
      </c>
      <c r="H9055" s="11" t="s">
        <v>24</v>
      </c>
      <c r="I9055" s="12" t="n">
        <v>41</v>
      </c>
      <c r="J9055" s="13" t="n">
        <v>102</v>
      </c>
      <c r="K9055" s="14" t="n">
        <f aca="false">I9055*J9055</f>
        <v>4182</v>
      </c>
      <c r="L9055" s="14" t="n">
        <f aca="false">($L$2*M9055)/100</f>
        <v>480666.6</v>
      </c>
      <c r="M9055" s="15" t="n">
        <v>0.4</v>
      </c>
      <c r="N9055" s="9" t="s">
        <v>26</v>
      </c>
    </row>
    <row r="9056" customFormat="false" ht="14.25" hidden="false" customHeight="true" outlineLevel="0" collapsed="false">
      <c r="B9056" s="9" t="s">
        <v>28</v>
      </c>
      <c r="C9056" s="9" t="n">
        <v>1128299</v>
      </c>
      <c r="D9056" s="10" t="n">
        <v>44482</v>
      </c>
      <c r="E9056" s="9" t="s">
        <v>50</v>
      </c>
      <c r="F9056" s="9" t="s">
        <v>92</v>
      </c>
      <c r="G9056" s="9" t="s">
        <v>93</v>
      </c>
      <c r="H9056" s="11" t="s">
        <v>25</v>
      </c>
      <c r="I9056" s="12" t="n">
        <v>46</v>
      </c>
      <c r="J9056" s="13" t="n">
        <v>109</v>
      </c>
      <c r="K9056" s="14" t="n">
        <f aca="false">I9056*J9056</f>
        <v>5014</v>
      </c>
      <c r="L9056" s="14" t="n">
        <f aca="false">($L$2*M9056)/100</f>
        <v>372516.615</v>
      </c>
      <c r="M9056" s="15" t="n">
        <v>0.31</v>
      </c>
      <c r="N9056" s="9" t="s">
        <v>26</v>
      </c>
    </row>
    <row r="9057" customFormat="false" ht="14.25" hidden="false" customHeight="true" outlineLevel="0" collapsed="false">
      <c r="B9057" s="9" t="s">
        <v>28</v>
      </c>
      <c r="C9057" s="9" t="n">
        <v>1128299</v>
      </c>
      <c r="D9057" s="10" t="n">
        <v>44513</v>
      </c>
      <c r="E9057" s="9" t="s">
        <v>50</v>
      </c>
      <c r="F9057" s="9" t="s">
        <v>92</v>
      </c>
      <c r="G9057" s="9" t="s">
        <v>93</v>
      </c>
      <c r="H9057" s="11" t="s">
        <v>19</v>
      </c>
      <c r="I9057" s="12" t="n">
        <v>36</v>
      </c>
      <c r="J9057" s="13" t="n">
        <v>173</v>
      </c>
      <c r="K9057" s="14" t="n">
        <f aca="false">I9057*J9057</f>
        <v>6228</v>
      </c>
      <c r="L9057" s="14" t="n">
        <f aca="false">($L$2*M9057)/100</f>
        <v>504699.93</v>
      </c>
      <c r="M9057" s="15" t="n">
        <v>0.42</v>
      </c>
      <c r="N9057" s="9" t="s">
        <v>26</v>
      </c>
    </row>
    <row r="9058" customFormat="false" ht="14.25" hidden="false" customHeight="true" outlineLevel="0" collapsed="false">
      <c r="B9058" s="9" t="s">
        <v>28</v>
      </c>
      <c r="C9058" s="9" t="n">
        <v>1128299</v>
      </c>
      <c r="D9058" s="10" t="n">
        <v>44513</v>
      </c>
      <c r="E9058" s="9" t="s">
        <v>50</v>
      </c>
      <c r="F9058" s="9" t="s">
        <v>92</v>
      </c>
      <c r="G9058" s="9" t="s">
        <v>93</v>
      </c>
      <c r="H9058" s="11" t="s">
        <v>21</v>
      </c>
      <c r="I9058" s="12" t="n">
        <v>40</v>
      </c>
      <c r="J9058" s="13" t="n">
        <v>184</v>
      </c>
      <c r="K9058" s="14" t="n">
        <f aca="false">I9058*J9058</f>
        <v>7360</v>
      </c>
      <c r="L9058" s="14" t="n">
        <f aca="false">($L$2*M9058)/100</f>
        <v>528733.26</v>
      </c>
      <c r="M9058" s="15" t="n">
        <v>0.44</v>
      </c>
      <c r="N9058" s="9" t="s">
        <v>26</v>
      </c>
    </row>
    <row r="9059" customFormat="false" ht="14.25" hidden="false" customHeight="true" outlineLevel="0" collapsed="false">
      <c r="B9059" s="9" t="s">
        <v>28</v>
      </c>
      <c r="C9059" s="9" t="n">
        <v>1128299</v>
      </c>
      <c r="D9059" s="10" t="n">
        <v>44513</v>
      </c>
      <c r="E9059" s="9" t="s">
        <v>50</v>
      </c>
      <c r="F9059" s="9" t="s">
        <v>92</v>
      </c>
      <c r="G9059" s="9" t="s">
        <v>93</v>
      </c>
      <c r="H9059" s="11" t="s">
        <v>22</v>
      </c>
      <c r="I9059" s="12" t="n">
        <v>39</v>
      </c>
      <c r="J9059" s="13" t="n">
        <v>145</v>
      </c>
      <c r="K9059" s="14" t="n">
        <f aca="false">I9059*J9059</f>
        <v>5655</v>
      </c>
      <c r="L9059" s="14" t="n">
        <f aca="false">($L$2*M9059)/100</f>
        <v>480666.6</v>
      </c>
      <c r="M9059" s="15" t="n">
        <v>0.4</v>
      </c>
      <c r="N9059" s="9" t="s">
        <v>26</v>
      </c>
    </row>
    <row r="9060" customFormat="false" ht="14.25" hidden="false" customHeight="true" outlineLevel="0" collapsed="false">
      <c r="B9060" s="9" t="s">
        <v>28</v>
      </c>
      <c r="C9060" s="9" t="n">
        <v>1128299</v>
      </c>
      <c r="D9060" s="10" t="n">
        <v>44513</v>
      </c>
      <c r="E9060" s="9" t="s">
        <v>50</v>
      </c>
      <c r="F9060" s="9" t="s">
        <v>92</v>
      </c>
      <c r="G9060" s="9" t="s">
        <v>93</v>
      </c>
      <c r="H9060" s="11" t="s">
        <v>23</v>
      </c>
      <c r="I9060" s="12" t="n">
        <v>37</v>
      </c>
      <c r="J9060" s="13" t="n">
        <v>140</v>
      </c>
      <c r="K9060" s="14" t="n">
        <f aca="false">I9060*J9060</f>
        <v>5180</v>
      </c>
      <c r="L9060" s="14" t="n">
        <f aca="false">($L$2*M9060)/100</f>
        <v>552766.59</v>
      </c>
      <c r="M9060" s="15" t="n">
        <v>0.46</v>
      </c>
      <c r="N9060" s="9" t="s">
        <v>26</v>
      </c>
    </row>
    <row r="9061" customFormat="false" ht="14.25" hidden="false" customHeight="true" outlineLevel="0" collapsed="false">
      <c r="B9061" s="9" t="s">
        <v>28</v>
      </c>
      <c r="C9061" s="9" t="n">
        <v>1128299</v>
      </c>
      <c r="D9061" s="10" t="n">
        <v>44513</v>
      </c>
      <c r="E9061" s="9" t="s">
        <v>50</v>
      </c>
      <c r="F9061" s="9" t="s">
        <v>92</v>
      </c>
      <c r="G9061" s="9" t="s">
        <v>93</v>
      </c>
      <c r="H9061" s="11" t="s">
        <v>24</v>
      </c>
      <c r="I9061" s="12" t="n">
        <v>47</v>
      </c>
      <c r="J9061" s="13" t="n">
        <v>119</v>
      </c>
      <c r="K9061" s="14" t="n">
        <f aca="false">I9061*J9061</f>
        <v>5593</v>
      </c>
      <c r="L9061" s="14" t="n">
        <f aca="false">($L$2*M9061)/100</f>
        <v>456633.27</v>
      </c>
      <c r="M9061" s="15" t="n">
        <v>0.38</v>
      </c>
      <c r="N9061" s="9" t="s">
        <v>26</v>
      </c>
    </row>
    <row r="9062" customFormat="false" ht="14.25" hidden="false" customHeight="true" outlineLevel="0" collapsed="false">
      <c r="B9062" s="9" t="s">
        <v>28</v>
      </c>
      <c r="C9062" s="9" t="n">
        <v>1128299</v>
      </c>
      <c r="D9062" s="10" t="n">
        <v>44513</v>
      </c>
      <c r="E9062" s="9" t="s">
        <v>50</v>
      </c>
      <c r="F9062" s="9" t="s">
        <v>92</v>
      </c>
      <c r="G9062" s="9" t="s">
        <v>93</v>
      </c>
      <c r="H9062" s="11" t="s">
        <v>25</v>
      </c>
      <c r="I9062" s="12" t="n">
        <v>46</v>
      </c>
      <c r="J9062" s="13" t="n">
        <v>157</v>
      </c>
      <c r="K9062" s="14" t="n">
        <f aca="false">I9062*J9062</f>
        <v>7222</v>
      </c>
      <c r="L9062" s="14" t="n">
        <f aca="false">($L$2*M9062)/100</f>
        <v>348483.285</v>
      </c>
      <c r="M9062" s="15" t="n">
        <v>0.29</v>
      </c>
      <c r="N9062" s="9" t="s">
        <v>26</v>
      </c>
    </row>
    <row r="9063" customFormat="false" ht="14.25" hidden="false" customHeight="true" outlineLevel="0" collapsed="false">
      <c r="B9063" s="9" t="s">
        <v>28</v>
      </c>
      <c r="C9063" s="9" t="n">
        <v>1128299</v>
      </c>
      <c r="D9063" s="10" t="n">
        <v>44542</v>
      </c>
      <c r="E9063" s="9" t="s">
        <v>50</v>
      </c>
      <c r="F9063" s="9" t="s">
        <v>92</v>
      </c>
      <c r="G9063" s="9" t="s">
        <v>93</v>
      </c>
      <c r="H9063" s="11" t="s">
        <v>19</v>
      </c>
      <c r="I9063" s="12" t="n">
        <v>42</v>
      </c>
      <c r="J9063" s="13" t="n">
        <v>209</v>
      </c>
      <c r="K9063" s="14" t="n">
        <f aca="false">I9063*J9063</f>
        <v>8778</v>
      </c>
      <c r="L9063" s="14" t="n">
        <f aca="false">($L$2*M9063)/100</f>
        <v>564783.255</v>
      </c>
      <c r="M9063" s="15" t="n">
        <v>0.47</v>
      </c>
      <c r="N9063" s="9" t="s">
        <v>26</v>
      </c>
    </row>
    <row r="9064" customFormat="false" ht="14.25" hidden="false" customHeight="true" outlineLevel="0" collapsed="false">
      <c r="B9064" s="9" t="s">
        <v>28</v>
      </c>
      <c r="C9064" s="9" t="n">
        <v>1128299</v>
      </c>
      <c r="D9064" s="10" t="n">
        <v>44542</v>
      </c>
      <c r="E9064" s="9" t="s">
        <v>50</v>
      </c>
      <c r="F9064" s="9" t="s">
        <v>92</v>
      </c>
      <c r="G9064" s="9" t="s">
        <v>93</v>
      </c>
      <c r="H9064" s="11" t="s">
        <v>21</v>
      </c>
      <c r="I9064" s="12" t="n">
        <v>39</v>
      </c>
      <c r="J9064" s="13" t="n">
        <v>223</v>
      </c>
      <c r="K9064" s="14" t="n">
        <f aca="false">I9064*J9064</f>
        <v>8697</v>
      </c>
      <c r="L9064" s="14" t="n">
        <f aca="false">($L$2*M9064)/100</f>
        <v>564783.255</v>
      </c>
      <c r="M9064" s="15" t="n">
        <v>0.47</v>
      </c>
      <c r="N9064" s="9" t="s">
        <v>26</v>
      </c>
    </row>
    <row r="9065" customFormat="false" ht="14.25" hidden="false" customHeight="true" outlineLevel="0" collapsed="false">
      <c r="B9065" s="9" t="s">
        <v>16</v>
      </c>
      <c r="C9065" s="9" t="n">
        <v>1128299</v>
      </c>
      <c r="D9065" s="10" t="n">
        <v>44542</v>
      </c>
      <c r="E9065" s="9" t="s">
        <v>50</v>
      </c>
      <c r="F9065" s="9" t="s">
        <v>92</v>
      </c>
      <c r="G9065" s="9" t="s">
        <v>93</v>
      </c>
      <c r="H9065" s="11" t="s">
        <v>22</v>
      </c>
      <c r="I9065" s="12" t="n">
        <v>36</v>
      </c>
      <c r="J9065" s="13" t="n">
        <v>147</v>
      </c>
      <c r="K9065" s="14" t="n">
        <f aca="false">I9065*J9065</f>
        <v>5292</v>
      </c>
      <c r="L9065" s="14" t="n">
        <f aca="false">($L$2*M9065)/100</f>
        <v>504699.93</v>
      </c>
      <c r="M9065" s="15" t="n">
        <v>0.42</v>
      </c>
      <c r="N9065" s="9" t="s">
        <v>26</v>
      </c>
    </row>
    <row r="9066" customFormat="false" ht="14.25" hidden="false" customHeight="true" outlineLevel="0" collapsed="false">
      <c r="B9066" s="9" t="s">
        <v>16</v>
      </c>
      <c r="C9066" s="9" t="n">
        <v>1128299</v>
      </c>
      <c r="D9066" s="10" t="n">
        <v>44542</v>
      </c>
      <c r="E9066" s="9" t="s">
        <v>50</v>
      </c>
      <c r="F9066" s="9" t="s">
        <v>92</v>
      </c>
      <c r="G9066" s="9" t="s">
        <v>93</v>
      </c>
      <c r="H9066" s="11" t="s">
        <v>23</v>
      </c>
      <c r="I9066" s="12" t="n">
        <v>40</v>
      </c>
      <c r="J9066" s="13" t="n">
        <v>143</v>
      </c>
      <c r="K9066" s="14" t="n">
        <f aca="false">I9066*J9066</f>
        <v>5720</v>
      </c>
      <c r="L9066" s="14" t="n">
        <f aca="false">($L$2*M9066)/100</f>
        <v>516716.595</v>
      </c>
      <c r="M9066" s="15" t="n">
        <v>0.43</v>
      </c>
      <c r="N9066" s="9" t="s">
        <v>26</v>
      </c>
    </row>
    <row r="9067" customFormat="false" ht="14.25" hidden="false" customHeight="true" outlineLevel="0" collapsed="false">
      <c r="B9067" s="9" t="s">
        <v>16</v>
      </c>
      <c r="C9067" s="9" t="n">
        <v>1128299</v>
      </c>
      <c r="D9067" s="10" t="n">
        <v>44542</v>
      </c>
      <c r="E9067" s="9" t="s">
        <v>50</v>
      </c>
      <c r="F9067" s="9" t="s">
        <v>92</v>
      </c>
      <c r="G9067" s="9" t="s">
        <v>93</v>
      </c>
      <c r="H9067" s="11" t="s">
        <v>24</v>
      </c>
      <c r="I9067" s="12" t="n">
        <v>44</v>
      </c>
      <c r="J9067" s="13" t="n">
        <v>120</v>
      </c>
      <c r="K9067" s="14" t="n">
        <f aca="false">I9067*J9067</f>
        <v>5280</v>
      </c>
      <c r="L9067" s="14" t="n">
        <f aca="false">($L$2*M9067)/100</f>
        <v>456633.27</v>
      </c>
      <c r="M9067" s="15" t="n">
        <v>0.38</v>
      </c>
      <c r="N9067" s="9" t="s">
        <v>26</v>
      </c>
    </row>
    <row r="9068" customFormat="false" ht="14.25" hidden="false" customHeight="true" outlineLevel="0" collapsed="false">
      <c r="B9068" s="9" t="s">
        <v>16</v>
      </c>
      <c r="C9068" s="9" t="n">
        <v>1128299</v>
      </c>
      <c r="D9068" s="10" t="n">
        <v>44542</v>
      </c>
      <c r="E9068" s="9" t="s">
        <v>50</v>
      </c>
      <c r="F9068" s="9" t="s">
        <v>92</v>
      </c>
      <c r="G9068" s="9" t="s">
        <v>93</v>
      </c>
      <c r="H9068" s="11" t="s">
        <v>25</v>
      </c>
      <c r="I9068" s="12" t="n">
        <v>47</v>
      </c>
      <c r="J9068" s="13" t="n">
        <v>160</v>
      </c>
      <c r="K9068" s="14" t="n">
        <f aca="false">I9068*J9068</f>
        <v>7520</v>
      </c>
      <c r="L9068" s="14" t="n">
        <f aca="false">($L$2*M9068)/100</f>
        <v>360499.95</v>
      </c>
      <c r="M9068" s="15" t="n">
        <v>0.3</v>
      </c>
      <c r="N9068" s="9" t="s">
        <v>26</v>
      </c>
    </row>
    <row r="9069" customFormat="false" ht="14.25" hidden="false" customHeight="true" outlineLevel="0" collapsed="false">
      <c r="B9069" s="9" t="s">
        <v>16</v>
      </c>
      <c r="C9069" s="9" t="n">
        <v>1185732</v>
      </c>
      <c r="D9069" s="10" t="n">
        <v>44205</v>
      </c>
      <c r="E9069" s="9" t="s">
        <v>50</v>
      </c>
      <c r="F9069" s="9" t="s">
        <v>92</v>
      </c>
      <c r="G9069" s="9" t="s">
        <v>93</v>
      </c>
      <c r="H9069" s="11" t="s">
        <v>19</v>
      </c>
      <c r="I9069" s="12" t="n">
        <v>26</v>
      </c>
      <c r="J9069" s="13" t="n">
        <v>349</v>
      </c>
      <c r="K9069" s="14" t="n">
        <f aca="false">I9069*J9069</f>
        <v>9074</v>
      </c>
      <c r="L9069" s="14" t="n">
        <f aca="false">($L$2*M9069)/100</f>
        <v>564783.255</v>
      </c>
      <c r="M9069" s="15" t="n">
        <v>0.47</v>
      </c>
      <c r="N9069" s="9" t="s">
        <v>26</v>
      </c>
    </row>
    <row r="9070" customFormat="false" ht="14.25" hidden="false" customHeight="true" outlineLevel="0" collapsed="false">
      <c r="B9070" s="9" t="s">
        <v>16</v>
      </c>
      <c r="C9070" s="9" t="n">
        <v>1185732</v>
      </c>
      <c r="D9070" s="10" t="n">
        <v>44205</v>
      </c>
      <c r="E9070" s="9" t="s">
        <v>50</v>
      </c>
      <c r="F9070" s="9" t="s">
        <v>92</v>
      </c>
      <c r="G9070" s="9" t="s">
        <v>93</v>
      </c>
      <c r="H9070" s="11" t="s">
        <v>21</v>
      </c>
      <c r="I9070" s="12" t="n">
        <v>30</v>
      </c>
      <c r="J9070" s="13" t="n">
        <v>256</v>
      </c>
      <c r="K9070" s="14" t="n">
        <f aca="false">I9070*J9070</f>
        <v>7680</v>
      </c>
      <c r="L9070" s="14" t="n">
        <f aca="false">($L$2*M9070)/100</f>
        <v>480666.6</v>
      </c>
      <c r="M9070" s="15" t="n">
        <v>0.4</v>
      </c>
      <c r="N9070" s="9" t="s">
        <v>26</v>
      </c>
    </row>
    <row r="9071" customFormat="false" ht="14.25" hidden="false" customHeight="true" outlineLevel="0" collapsed="false">
      <c r="B9071" s="9" t="s">
        <v>16</v>
      </c>
      <c r="C9071" s="9" t="n">
        <v>1185732</v>
      </c>
      <c r="D9071" s="10" t="n">
        <v>44205</v>
      </c>
      <c r="E9071" s="9" t="s">
        <v>50</v>
      </c>
      <c r="F9071" s="9" t="s">
        <v>92</v>
      </c>
      <c r="G9071" s="9" t="s">
        <v>93</v>
      </c>
      <c r="H9071" s="11" t="s">
        <v>22</v>
      </c>
      <c r="I9071" s="12" t="n">
        <v>24</v>
      </c>
      <c r="J9071" s="13" t="n">
        <v>264</v>
      </c>
      <c r="K9071" s="14" t="n">
        <f aca="false">I9071*J9071</f>
        <v>6336</v>
      </c>
      <c r="L9071" s="14" t="n">
        <f aca="false">($L$2*M9071)/100</f>
        <v>384533.28</v>
      </c>
      <c r="M9071" s="15" t="n">
        <v>0.32</v>
      </c>
      <c r="N9071" s="9" t="s">
        <v>26</v>
      </c>
    </row>
    <row r="9072" customFormat="false" ht="14.25" hidden="false" customHeight="true" outlineLevel="0" collapsed="false">
      <c r="B9072" s="9" t="s">
        <v>16</v>
      </c>
      <c r="C9072" s="9" t="n">
        <v>1185732</v>
      </c>
      <c r="D9072" s="10" t="n">
        <v>44205</v>
      </c>
      <c r="E9072" s="9" t="s">
        <v>50</v>
      </c>
      <c r="F9072" s="9" t="s">
        <v>92</v>
      </c>
      <c r="G9072" s="9" t="s">
        <v>93</v>
      </c>
      <c r="H9072" s="11" t="s">
        <v>23</v>
      </c>
      <c r="I9072" s="12" t="n">
        <v>25</v>
      </c>
      <c r="J9072" s="13" t="n">
        <v>209</v>
      </c>
      <c r="K9072" s="14" t="n">
        <f aca="false">I9072*J9072</f>
        <v>5225</v>
      </c>
      <c r="L9072" s="14" t="n">
        <f aca="false">($L$2*M9072)/100</f>
        <v>420583.275</v>
      </c>
      <c r="M9072" s="15" t="n">
        <v>0.35</v>
      </c>
      <c r="N9072" s="9" t="s">
        <v>26</v>
      </c>
    </row>
    <row r="9073" customFormat="false" ht="14.25" hidden="false" customHeight="true" outlineLevel="0" collapsed="false">
      <c r="B9073" s="9" t="s">
        <v>16</v>
      </c>
      <c r="C9073" s="9" t="n">
        <v>1185732</v>
      </c>
      <c r="D9073" s="10" t="n">
        <v>44205</v>
      </c>
      <c r="E9073" s="9" t="s">
        <v>50</v>
      </c>
      <c r="F9073" s="9" t="s">
        <v>92</v>
      </c>
      <c r="G9073" s="9" t="s">
        <v>93</v>
      </c>
      <c r="H9073" s="11" t="s">
        <v>24</v>
      </c>
      <c r="I9073" s="12" t="n">
        <v>35</v>
      </c>
      <c r="J9073" s="13" t="n">
        <v>247</v>
      </c>
      <c r="K9073" s="14" t="n">
        <f aca="false">I9073*J9073</f>
        <v>8645</v>
      </c>
      <c r="L9073" s="14" t="n">
        <f aca="false">($L$2*M9073)/100</f>
        <v>468649.935</v>
      </c>
      <c r="M9073" s="15" t="n">
        <v>0.39</v>
      </c>
      <c r="N9073" s="9" t="s">
        <v>26</v>
      </c>
    </row>
    <row r="9074" customFormat="false" ht="14.25" hidden="false" customHeight="true" outlineLevel="0" collapsed="false">
      <c r="B9074" s="9" t="s">
        <v>16</v>
      </c>
      <c r="C9074" s="9" t="n">
        <v>1185732</v>
      </c>
      <c r="D9074" s="10" t="n">
        <v>44205</v>
      </c>
      <c r="E9074" s="9" t="s">
        <v>50</v>
      </c>
      <c r="F9074" s="9" t="s">
        <v>92</v>
      </c>
      <c r="G9074" s="9" t="s">
        <v>93</v>
      </c>
      <c r="H9074" s="11" t="s">
        <v>25</v>
      </c>
      <c r="I9074" s="12" t="n">
        <v>30</v>
      </c>
      <c r="J9074" s="13" t="n">
        <v>281</v>
      </c>
      <c r="K9074" s="14" t="n">
        <f aca="false">I9074*J9074</f>
        <v>8430</v>
      </c>
      <c r="L9074" s="14" t="n">
        <f aca="false">($L$2*M9074)/100</f>
        <v>636883.245</v>
      </c>
      <c r="M9074" s="15" t="n">
        <v>0.53</v>
      </c>
      <c r="N9074" s="9" t="s">
        <v>26</v>
      </c>
    </row>
    <row r="9075" customFormat="false" ht="14.25" hidden="false" customHeight="true" outlineLevel="0" collapsed="false">
      <c r="B9075" s="9" t="s">
        <v>16</v>
      </c>
      <c r="C9075" s="9" t="n">
        <v>1185732</v>
      </c>
      <c r="D9075" s="10" t="n">
        <v>44234</v>
      </c>
      <c r="E9075" s="9" t="s">
        <v>50</v>
      </c>
      <c r="F9075" s="9" t="s">
        <v>92</v>
      </c>
      <c r="G9075" s="9" t="s">
        <v>93</v>
      </c>
      <c r="H9075" s="11" t="s">
        <v>19</v>
      </c>
      <c r="I9075" s="12" t="n">
        <v>31</v>
      </c>
      <c r="J9075" s="13" t="n">
        <v>376</v>
      </c>
      <c r="K9075" s="14" t="n">
        <f aca="false">I9075*J9075</f>
        <v>11656</v>
      </c>
      <c r="L9075" s="14" t="n">
        <f aca="false">($L$2*M9075)/100</f>
        <v>576799.92</v>
      </c>
      <c r="M9075" s="15" t="n">
        <v>0.48</v>
      </c>
      <c r="N9075" s="9" t="s">
        <v>26</v>
      </c>
    </row>
    <row r="9076" customFormat="false" ht="14.25" hidden="false" customHeight="true" outlineLevel="0" collapsed="false">
      <c r="B9076" s="9" t="s">
        <v>16</v>
      </c>
      <c r="C9076" s="9" t="n">
        <v>1185732</v>
      </c>
      <c r="D9076" s="10" t="n">
        <v>44234</v>
      </c>
      <c r="E9076" s="9" t="s">
        <v>50</v>
      </c>
      <c r="F9076" s="9" t="s">
        <v>92</v>
      </c>
      <c r="G9076" s="9" t="s">
        <v>93</v>
      </c>
      <c r="H9076" s="11" t="s">
        <v>21</v>
      </c>
      <c r="I9076" s="12" t="n">
        <v>27</v>
      </c>
      <c r="J9076" s="13" t="n">
        <v>247</v>
      </c>
      <c r="K9076" s="14" t="n">
        <f aca="false">I9076*J9076</f>
        <v>6669</v>
      </c>
      <c r="L9076" s="14" t="n">
        <f aca="false">($L$2*M9076)/100</f>
        <v>456633.27</v>
      </c>
      <c r="M9076" s="15" t="n">
        <v>0.38</v>
      </c>
      <c r="N9076" s="9" t="s">
        <v>26</v>
      </c>
    </row>
    <row r="9077" customFormat="false" ht="14.25" hidden="false" customHeight="true" outlineLevel="0" collapsed="false">
      <c r="B9077" s="9" t="s">
        <v>16</v>
      </c>
      <c r="C9077" s="9" t="n">
        <v>1185732</v>
      </c>
      <c r="D9077" s="10" t="n">
        <v>44234</v>
      </c>
      <c r="E9077" s="9" t="s">
        <v>50</v>
      </c>
      <c r="F9077" s="9" t="s">
        <v>92</v>
      </c>
      <c r="G9077" s="9" t="s">
        <v>93</v>
      </c>
      <c r="H9077" s="11" t="s">
        <v>22</v>
      </c>
      <c r="I9077" s="12" t="n">
        <v>21</v>
      </c>
      <c r="J9077" s="13" t="n">
        <v>248</v>
      </c>
      <c r="K9077" s="14" t="n">
        <f aca="false">I9077*J9077</f>
        <v>5208</v>
      </c>
      <c r="L9077" s="14" t="n">
        <f aca="false">($L$2*M9077)/100</f>
        <v>360499.95</v>
      </c>
      <c r="M9077" s="15" t="n">
        <v>0.3</v>
      </c>
      <c r="N9077" s="9" t="s">
        <v>26</v>
      </c>
    </row>
    <row r="9078" customFormat="false" ht="14.25" hidden="false" customHeight="true" outlineLevel="0" collapsed="false">
      <c r="B9078" s="9" t="s">
        <v>16</v>
      </c>
      <c r="C9078" s="9" t="n">
        <v>1185732</v>
      </c>
      <c r="D9078" s="10" t="n">
        <v>44245</v>
      </c>
      <c r="E9078" s="9" t="s">
        <v>29</v>
      </c>
      <c r="F9078" s="9" t="s">
        <v>102</v>
      </c>
      <c r="G9078" s="9" t="s">
        <v>103</v>
      </c>
      <c r="H9078" s="11" t="s">
        <v>23</v>
      </c>
      <c r="I9078" s="12" t="n">
        <v>19</v>
      </c>
      <c r="J9078" s="13" t="n">
        <v>98</v>
      </c>
      <c r="K9078" s="14" t="n">
        <f aca="false">I9078*J9078</f>
        <v>1862</v>
      </c>
      <c r="L9078" s="14" t="n">
        <f aca="false">($L$2*M9078)/100</f>
        <v>552766.59</v>
      </c>
      <c r="M9078" s="15" t="n">
        <v>0.46</v>
      </c>
      <c r="N9078" s="9" t="s">
        <v>26</v>
      </c>
    </row>
    <row r="9079" customFormat="false" ht="14.25" hidden="false" customHeight="true" outlineLevel="0" collapsed="false">
      <c r="B9079" s="9" t="s">
        <v>16</v>
      </c>
      <c r="C9079" s="9" t="n">
        <v>1185732</v>
      </c>
      <c r="D9079" s="10" t="n">
        <v>44245</v>
      </c>
      <c r="E9079" s="9" t="s">
        <v>29</v>
      </c>
      <c r="F9079" s="9" t="s">
        <v>102</v>
      </c>
      <c r="G9079" s="9" t="s">
        <v>103</v>
      </c>
      <c r="H9079" s="11" t="s">
        <v>24</v>
      </c>
      <c r="I9079" s="12" t="n">
        <v>26</v>
      </c>
      <c r="J9079" s="13" t="n">
        <v>136</v>
      </c>
      <c r="K9079" s="14" t="n">
        <f aca="false">I9079*J9079</f>
        <v>3536</v>
      </c>
      <c r="L9079" s="14" t="n">
        <f aca="false">($L$2*M9079)/100</f>
        <v>468649.935</v>
      </c>
      <c r="M9079" s="15" t="n">
        <v>0.39</v>
      </c>
      <c r="N9079" s="9" t="s">
        <v>26</v>
      </c>
    </row>
    <row r="9080" customFormat="false" ht="14.25" hidden="false" customHeight="true" outlineLevel="0" collapsed="false">
      <c r="B9080" s="9" t="s">
        <v>16</v>
      </c>
      <c r="C9080" s="9" t="n">
        <v>1185732</v>
      </c>
      <c r="D9080" s="10" t="n">
        <v>44245</v>
      </c>
      <c r="E9080" s="9" t="s">
        <v>29</v>
      </c>
      <c r="F9080" s="9" t="s">
        <v>102</v>
      </c>
      <c r="G9080" s="9" t="s">
        <v>103</v>
      </c>
      <c r="H9080" s="11" t="s">
        <v>25</v>
      </c>
      <c r="I9080" s="12" t="n">
        <v>20</v>
      </c>
      <c r="J9080" s="13" t="n">
        <v>160</v>
      </c>
      <c r="K9080" s="14" t="n">
        <f aca="false">I9080*J9080</f>
        <v>3200</v>
      </c>
      <c r="L9080" s="14" t="n">
        <f aca="false">($L$2*M9080)/100</f>
        <v>684949.905</v>
      </c>
      <c r="M9080" s="15" t="n">
        <v>0.57</v>
      </c>
      <c r="N9080" s="9" t="s">
        <v>26</v>
      </c>
    </row>
    <row r="9081" customFormat="false" ht="14.25" hidden="false" customHeight="true" outlineLevel="0" collapsed="false">
      <c r="B9081" s="9" t="s">
        <v>16</v>
      </c>
      <c r="C9081" s="9" t="n">
        <v>1185732</v>
      </c>
      <c r="D9081" s="10" t="n">
        <v>44271</v>
      </c>
      <c r="E9081" s="9" t="s">
        <v>29</v>
      </c>
      <c r="F9081" s="9" t="s">
        <v>102</v>
      </c>
      <c r="G9081" s="9" t="s">
        <v>103</v>
      </c>
      <c r="H9081" s="11" t="s">
        <v>19</v>
      </c>
      <c r="I9081" s="12" t="n">
        <v>20</v>
      </c>
      <c r="J9081" s="13" t="n">
        <v>223</v>
      </c>
      <c r="K9081" s="14" t="n">
        <f aca="false">I9081*J9081</f>
        <v>4460</v>
      </c>
      <c r="L9081" s="14" t="n">
        <f aca="false">($L$2*M9081)/100</f>
        <v>552766.59</v>
      </c>
      <c r="M9081" s="15" t="n">
        <v>0.46</v>
      </c>
      <c r="N9081" s="9" t="s">
        <v>26</v>
      </c>
    </row>
    <row r="9082" customFormat="false" ht="14.25" hidden="false" customHeight="true" outlineLevel="0" collapsed="false">
      <c r="B9082" s="9" t="s">
        <v>16</v>
      </c>
      <c r="C9082" s="9" t="n">
        <v>1185732</v>
      </c>
      <c r="D9082" s="10" t="n">
        <v>44271</v>
      </c>
      <c r="E9082" s="9" t="s">
        <v>29</v>
      </c>
      <c r="F9082" s="9" t="s">
        <v>102</v>
      </c>
      <c r="G9082" s="9" t="s">
        <v>103</v>
      </c>
      <c r="H9082" s="11" t="s">
        <v>21</v>
      </c>
      <c r="I9082" s="12" t="n">
        <v>20</v>
      </c>
      <c r="J9082" s="13" t="n">
        <v>128</v>
      </c>
      <c r="K9082" s="14" t="n">
        <f aca="false">I9082*J9082</f>
        <v>2560</v>
      </c>
      <c r="L9082" s="14" t="n">
        <f aca="false">($L$2*M9082)/100</f>
        <v>468649.935</v>
      </c>
      <c r="M9082" s="15" t="n">
        <v>0.39</v>
      </c>
      <c r="N9082" s="9" t="s">
        <v>26</v>
      </c>
    </row>
    <row r="9083" customFormat="false" ht="14.25" hidden="false" customHeight="true" outlineLevel="0" collapsed="false">
      <c r="B9083" s="9" t="s">
        <v>16</v>
      </c>
      <c r="C9083" s="9" t="n">
        <v>1185732</v>
      </c>
      <c r="D9083" s="10" t="n">
        <v>44271</v>
      </c>
      <c r="E9083" s="9" t="s">
        <v>29</v>
      </c>
      <c r="F9083" s="9" t="s">
        <v>102</v>
      </c>
      <c r="G9083" s="9" t="s">
        <v>103</v>
      </c>
      <c r="H9083" s="11" t="s">
        <v>22</v>
      </c>
      <c r="I9083" s="12" t="n">
        <v>11</v>
      </c>
      <c r="J9083" s="13" t="n">
        <v>136</v>
      </c>
      <c r="K9083" s="14" t="n">
        <f aca="false">I9083*J9083</f>
        <v>1496</v>
      </c>
      <c r="L9083" s="14" t="n">
        <f aca="false">($L$2*M9083)/100</f>
        <v>564783.255</v>
      </c>
      <c r="M9083" s="15" t="n">
        <v>0.47</v>
      </c>
      <c r="N9083" s="9" t="s">
        <v>26</v>
      </c>
    </row>
    <row r="9084" customFormat="false" ht="14.25" hidden="false" customHeight="true" outlineLevel="0" collapsed="false">
      <c r="B9084" s="9" t="s">
        <v>16</v>
      </c>
      <c r="C9084" s="9" t="n">
        <v>1185732</v>
      </c>
      <c r="D9084" s="10" t="n">
        <v>44271</v>
      </c>
      <c r="E9084" s="9" t="s">
        <v>29</v>
      </c>
      <c r="F9084" s="9" t="s">
        <v>102</v>
      </c>
      <c r="G9084" s="9" t="s">
        <v>103</v>
      </c>
      <c r="H9084" s="11" t="s">
        <v>23</v>
      </c>
      <c r="I9084" s="12" t="n">
        <v>15</v>
      </c>
      <c r="J9084" s="13" t="n">
        <v>85</v>
      </c>
      <c r="K9084" s="14" t="n">
        <f aca="false">I9084*J9084</f>
        <v>1275</v>
      </c>
      <c r="L9084" s="14" t="n">
        <f aca="false">($L$2*M9084)/100</f>
        <v>540749.925</v>
      </c>
      <c r="M9084" s="15" t="n">
        <v>0.45</v>
      </c>
      <c r="N9084" s="9" t="s">
        <v>26</v>
      </c>
    </row>
    <row r="9085" customFormat="false" ht="14.25" hidden="false" customHeight="true" outlineLevel="0" collapsed="false">
      <c r="B9085" s="9" t="s">
        <v>16</v>
      </c>
      <c r="C9085" s="9" t="n">
        <v>1185732</v>
      </c>
      <c r="D9085" s="10" t="n">
        <v>44271</v>
      </c>
      <c r="E9085" s="9" t="s">
        <v>29</v>
      </c>
      <c r="F9085" s="9" t="s">
        <v>102</v>
      </c>
      <c r="G9085" s="9" t="s">
        <v>103</v>
      </c>
      <c r="H9085" s="11" t="s">
        <v>24</v>
      </c>
      <c r="I9085" s="12" t="n">
        <v>25</v>
      </c>
      <c r="J9085" s="13" t="n">
        <v>104</v>
      </c>
      <c r="K9085" s="14" t="n">
        <f aca="false">I9085*J9085</f>
        <v>2600</v>
      </c>
      <c r="L9085" s="14" t="n">
        <f aca="false">($L$2*M9085)/100</f>
        <v>444616.605</v>
      </c>
      <c r="M9085" s="15" t="n">
        <v>0.37</v>
      </c>
      <c r="N9085" s="9" t="s">
        <v>26</v>
      </c>
    </row>
    <row r="9086" customFormat="false" ht="14.25" hidden="false" customHeight="true" outlineLevel="0" collapsed="false">
      <c r="B9086" s="9" t="s">
        <v>16</v>
      </c>
      <c r="C9086" s="9" t="n">
        <v>1185732</v>
      </c>
      <c r="D9086" s="10" t="n">
        <v>44271</v>
      </c>
      <c r="E9086" s="9" t="s">
        <v>29</v>
      </c>
      <c r="F9086" s="9" t="s">
        <v>102</v>
      </c>
      <c r="G9086" s="9" t="s">
        <v>103</v>
      </c>
      <c r="H9086" s="11" t="s">
        <v>25</v>
      </c>
      <c r="I9086" s="12" t="n">
        <v>17</v>
      </c>
      <c r="J9086" s="13" t="n">
        <v>136</v>
      </c>
      <c r="K9086" s="14" t="n">
        <f aca="false">I9086*J9086</f>
        <v>2312</v>
      </c>
      <c r="L9086" s="14" t="n">
        <f aca="false">($L$2*M9086)/100</f>
        <v>648899.91</v>
      </c>
      <c r="M9086" s="15" t="n">
        <v>0.54</v>
      </c>
      <c r="N9086" s="9" t="s">
        <v>26</v>
      </c>
    </row>
    <row r="9087" customFormat="false" ht="14.25" hidden="false" customHeight="true" outlineLevel="0" collapsed="false">
      <c r="B9087" s="9" t="s">
        <v>16</v>
      </c>
      <c r="C9087" s="9" t="n">
        <v>1185732</v>
      </c>
      <c r="D9087" s="10" t="n">
        <v>44303</v>
      </c>
      <c r="E9087" s="9" t="s">
        <v>29</v>
      </c>
      <c r="F9087" s="9" t="s">
        <v>102</v>
      </c>
      <c r="G9087" s="9" t="s">
        <v>103</v>
      </c>
      <c r="H9087" s="11" t="s">
        <v>19</v>
      </c>
      <c r="I9087" s="12" t="n">
        <v>19</v>
      </c>
      <c r="J9087" s="13" t="n">
        <v>223</v>
      </c>
      <c r="K9087" s="14" t="n">
        <f aca="false">I9087*J9087</f>
        <v>4237</v>
      </c>
      <c r="L9087" s="14" t="n">
        <f aca="false">($L$2*M9087)/100</f>
        <v>528733.26</v>
      </c>
      <c r="M9087" s="15" t="n">
        <v>0.44</v>
      </c>
      <c r="N9087" s="9" t="s">
        <v>26</v>
      </c>
    </row>
    <row r="9088" customFormat="false" ht="14.25" hidden="false" customHeight="true" outlineLevel="0" collapsed="false">
      <c r="B9088" s="9" t="s">
        <v>16</v>
      </c>
      <c r="C9088" s="9" t="n">
        <v>1185732</v>
      </c>
      <c r="D9088" s="10" t="n">
        <v>44303</v>
      </c>
      <c r="E9088" s="9" t="s">
        <v>29</v>
      </c>
      <c r="F9088" s="9" t="s">
        <v>102</v>
      </c>
      <c r="G9088" s="9" t="s">
        <v>103</v>
      </c>
      <c r="H9088" s="11" t="s">
        <v>21</v>
      </c>
      <c r="I9088" s="12" t="n">
        <v>20</v>
      </c>
      <c r="J9088" s="13" t="n">
        <v>116</v>
      </c>
      <c r="K9088" s="14" t="n">
        <f aca="false">I9088*J9088</f>
        <v>2320</v>
      </c>
      <c r="L9088" s="14" t="n">
        <f aca="false">($L$2*M9088)/100</f>
        <v>480666.6</v>
      </c>
      <c r="M9088" s="15" t="n">
        <v>0.4</v>
      </c>
      <c r="N9088" s="9" t="s">
        <v>26</v>
      </c>
    </row>
    <row r="9089" customFormat="false" ht="14.25" hidden="false" customHeight="true" outlineLevel="0" collapsed="false">
      <c r="B9089" s="9" t="s">
        <v>16</v>
      </c>
      <c r="C9089" s="9" t="n">
        <v>1185732</v>
      </c>
      <c r="D9089" s="10" t="n">
        <v>44303</v>
      </c>
      <c r="E9089" s="9" t="s">
        <v>29</v>
      </c>
      <c r="F9089" s="9" t="s">
        <v>102</v>
      </c>
      <c r="G9089" s="9" t="s">
        <v>103</v>
      </c>
      <c r="H9089" s="11" t="s">
        <v>22</v>
      </c>
      <c r="I9089" s="12" t="n">
        <v>11</v>
      </c>
      <c r="J9089" s="13" t="n">
        <v>124</v>
      </c>
      <c r="K9089" s="14" t="n">
        <f aca="false">I9089*J9089</f>
        <v>1364</v>
      </c>
      <c r="L9089" s="14" t="n">
        <f aca="false">($L$2*M9089)/100</f>
        <v>540749.925</v>
      </c>
      <c r="M9089" s="15" t="n">
        <v>0.45</v>
      </c>
      <c r="N9089" s="9" t="s">
        <v>26</v>
      </c>
    </row>
    <row r="9090" customFormat="false" ht="14.25" hidden="false" customHeight="true" outlineLevel="0" collapsed="false">
      <c r="B9090" s="9" t="s">
        <v>16</v>
      </c>
      <c r="C9090" s="9" t="n">
        <v>1185732</v>
      </c>
      <c r="D9090" s="10" t="n">
        <v>44303</v>
      </c>
      <c r="E9090" s="9" t="s">
        <v>29</v>
      </c>
      <c r="F9090" s="9" t="s">
        <v>102</v>
      </c>
      <c r="G9090" s="9" t="s">
        <v>103</v>
      </c>
      <c r="H9090" s="11" t="s">
        <v>23</v>
      </c>
      <c r="I9090" s="12" t="n">
        <v>16</v>
      </c>
      <c r="J9090" s="13" t="n">
        <v>96</v>
      </c>
      <c r="K9090" s="14" t="n">
        <f aca="false">I9090*J9090</f>
        <v>1536</v>
      </c>
      <c r="L9090" s="14" t="n">
        <f aca="false">($L$2*M9090)/100</f>
        <v>516716.595</v>
      </c>
      <c r="M9090" s="15" t="n">
        <v>0.43</v>
      </c>
      <c r="N9090" s="9" t="s">
        <v>26</v>
      </c>
    </row>
    <row r="9091" customFormat="false" ht="14.25" hidden="false" customHeight="true" outlineLevel="0" collapsed="false">
      <c r="B9091" s="9" t="s">
        <v>16</v>
      </c>
      <c r="C9091" s="9" t="n">
        <v>1185732</v>
      </c>
      <c r="D9091" s="10" t="n">
        <v>44303</v>
      </c>
      <c r="E9091" s="9" t="s">
        <v>29</v>
      </c>
      <c r="F9091" s="9" t="s">
        <v>102</v>
      </c>
      <c r="G9091" s="9" t="s">
        <v>103</v>
      </c>
      <c r="H9091" s="11" t="s">
        <v>24</v>
      </c>
      <c r="I9091" s="12" t="n">
        <v>30</v>
      </c>
      <c r="J9091" s="13" t="n">
        <v>98</v>
      </c>
      <c r="K9091" s="14" t="n">
        <f aca="false">I9091*J9091</f>
        <v>2940</v>
      </c>
      <c r="L9091" s="14" t="n">
        <f aca="false">($L$2*M9091)/100</f>
        <v>480666.6</v>
      </c>
      <c r="M9091" s="15" t="n">
        <v>0.4</v>
      </c>
      <c r="N9091" s="9" t="s">
        <v>26</v>
      </c>
    </row>
    <row r="9092" customFormat="false" ht="14.25" hidden="false" customHeight="true" outlineLevel="0" collapsed="false">
      <c r="B9092" s="9" t="s">
        <v>16</v>
      </c>
      <c r="C9092" s="9" t="n">
        <v>1185732</v>
      </c>
      <c r="D9092" s="10" t="n">
        <v>44303</v>
      </c>
      <c r="E9092" s="9" t="s">
        <v>29</v>
      </c>
      <c r="F9092" s="9" t="s">
        <v>102</v>
      </c>
      <c r="G9092" s="9" t="s">
        <v>103</v>
      </c>
      <c r="H9092" s="11" t="s">
        <v>25</v>
      </c>
      <c r="I9092" s="12" t="n">
        <v>22</v>
      </c>
      <c r="J9092" s="13" t="n">
        <v>147</v>
      </c>
      <c r="K9092" s="14" t="n">
        <f aca="false">I9092*J9092</f>
        <v>3234</v>
      </c>
      <c r="L9092" s="14" t="n">
        <f aca="false">($L$2*M9092)/100</f>
        <v>636883.245</v>
      </c>
      <c r="M9092" s="15" t="n">
        <v>0.53</v>
      </c>
      <c r="N9092" s="9" t="s">
        <v>26</v>
      </c>
    </row>
    <row r="9093" customFormat="false" ht="14.25" hidden="false" customHeight="true" outlineLevel="0" collapsed="false">
      <c r="B9093" s="9" t="s">
        <v>16</v>
      </c>
      <c r="C9093" s="9" t="n">
        <v>1185732</v>
      </c>
      <c r="D9093" s="10" t="n">
        <v>44332</v>
      </c>
      <c r="E9093" s="9" t="s">
        <v>29</v>
      </c>
      <c r="F9093" s="9" t="s">
        <v>102</v>
      </c>
      <c r="G9093" s="9" t="s">
        <v>103</v>
      </c>
      <c r="H9093" s="11" t="s">
        <v>19</v>
      </c>
      <c r="I9093" s="12" t="n">
        <v>27</v>
      </c>
      <c r="J9093" s="13" t="n">
        <v>238</v>
      </c>
      <c r="K9093" s="14" t="n">
        <f aca="false">I9093*J9093</f>
        <v>6426</v>
      </c>
      <c r="L9093" s="14" t="n">
        <f aca="false">($L$2*M9093)/100</f>
        <v>504699.93</v>
      </c>
      <c r="M9093" s="15" t="n">
        <v>0.42</v>
      </c>
      <c r="N9093" s="9" t="s">
        <v>26</v>
      </c>
    </row>
    <row r="9094" customFormat="false" ht="14.25" hidden="false" customHeight="true" outlineLevel="0" collapsed="false">
      <c r="B9094" s="9" t="s">
        <v>16</v>
      </c>
      <c r="C9094" s="9" t="n">
        <v>1185732</v>
      </c>
      <c r="D9094" s="10" t="n">
        <v>44332</v>
      </c>
      <c r="E9094" s="9" t="s">
        <v>29</v>
      </c>
      <c r="F9094" s="9" t="s">
        <v>102</v>
      </c>
      <c r="G9094" s="9" t="s">
        <v>103</v>
      </c>
      <c r="H9094" s="11" t="s">
        <v>21</v>
      </c>
      <c r="I9094" s="12" t="n">
        <v>28</v>
      </c>
      <c r="J9094" s="13" t="n">
        <v>140</v>
      </c>
      <c r="K9094" s="14" t="n">
        <f aca="false">I9094*J9094</f>
        <v>3920</v>
      </c>
      <c r="L9094" s="14" t="n">
        <f aca="false">($L$2*M9094)/100</f>
        <v>492683.265</v>
      </c>
      <c r="M9094" s="15" t="n">
        <v>0.41</v>
      </c>
      <c r="N9094" s="9" t="s">
        <v>26</v>
      </c>
    </row>
    <row r="9095" customFormat="false" ht="14.25" hidden="false" customHeight="true" outlineLevel="0" collapsed="false">
      <c r="B9095" s="9" t="s">
        <v>16</v>
      </c>
      <c r="C9095" s="9" t="n">
        <v>1185732</v>
      </c>
      <c r="D9095" s="10" t="n">
        <v>44332</v>
      </c>
      <c r="E9095" s="9" t="s">
        <v>29</v>
      </c>
      <c r="F9095" s="9" t="s">
        <v>102</v>
      </c>
      <c r="G9095" s="9" t="s">
        <v>103</v>
      </c>
      <c r="H9095" s="11" t="s">
        <v>22</v>
      </c>
      <c r="I9095" s="12" t="n">
        <v>26</v>
      </c>
      <c r="J9095" s="13" t="n">
        <v>136</v>
      </c>
      <c r="K9095" s="14" t="n">
        <f aca="false">I9095*J9095</f>
        <v>3536</v>
      </c>
      <c r="L9095" s="14" t="n">
        <f aca="false">($L$2*M9095)/100</f>
        <v>516716.595</v>
      </c>
      <c r="M9095" s="15" t="n">
        <v>0.43</v>
      </c>
      <c r="N9095" s="9" t="s">
        <v>26</v>
      </c>
    </row>
    <row r="9096" customFormat="false" ht="14.25" hidden="false" customHeight="true" outlineLevel="0" collapsed="false">
      <c r="B9096" s="9" t="s">
        <v>16</v>
      </c>
      <c r="C9096" s="9" t="n">
        <v>1185732</v>
      </c>
      <c r="D9096" s="10" t="n">
        <v>44332</v>
      </c>
      <c r="E9096" s="9" t="s">
        <v>29</v>
      </c>
      <c r="F9096" s="9" t="s">
        <v>102</v>
      </c>
      <c r="G9096" s="9" t="s">
        <v>103</v>
      </c>
      <c r="H9096" s="11" t="s">
        <v>23</v>
      </c>
      <c r="I9096" s="12" t="n">
        <v>24</v>
      </c>
      <c r="J9096" s="13" t="n">
        <v>116</v>
      </c>
      <c r="K9096" s="14" t="n">
        <f aca="false">I9096*J9096</f>
        <v>2784</v>
      </c>
      <c r="L9096" s="14" t="n">
        <f aca="false">($L$2*M9096)/100</f>
        <v>552766.59</v>
      </c>
      <c r="M9096" s="15" t="n">
        <v>0.46</v>
      </c>
      <c r="N9096" s="9" t="s">
        <v>26</v>
      </c>
    </row>
    <row r="9097" customFormat="false" ht="14.25" hidden="false" customHeight="true" outlineLevel="0" collapsed="false">
      <c r="B9097" s="9" t="s">
        <v>16</v>
      </c>
      <c r="C9097" s="9" t="n">
        <v>1185732</v>
      </c>
      <c r="D9097" s="10" t="n">
        <v>44332</v>
      </c>
      <c r="E9097" s="9" t="s">
        <v>29</v>
      </c>
      <c r="F9097" s="9" t="s">
        <v>102</v>
      </c>
      <c r="G9097" s="9" t="s">
        <v>103</v>
      </c>
      <c r="H9097" s="11" t="s">
        <v>24</v>
      </c>
      <c r="I9097" s="12" t="n">
        <v>34</v>
      </c>
      <c r="J9097" s="13" t="n">
        <v>132</v>
      </c>
      <c r="K9097" s="14" t="n">
        <f aca="false">I9097*J9097</f>
        <v>4488</v>
      </c>
      <c r="L9097" s="14" t="n">
        <f aca="false">($L$2*M9097)/100</f>
        <v>480666.6</v>
      </c>
      <c r="M9097" s="15" t="n">
        <v>0.4</v>
      </c>
      <c r="N9097" s="9" t="s">
        <v>26</v>
      </c>
    </row>
    <row r="9098" customFormat="false" ht="14.25" hidden="false" customHeight="true" outlineLevel="0" collapsed="false">
      <c r="B9098" s="9" t="s">
        <v>16</v>
      </c>
      <c r="C9098" s="9" t="n">
        <v>1185732</v>
      </c>
      <c r="D9098" s="10" t="n">
        <v>44332</v>
      </c>
      <c r="E9098" s="9" t="s">
        <v>29</v>
      </c>
      <c r="F9098" s="9" t="s">
        <v>102</v>
      </c>
      <c r="G9098" s="9" t="s">
        <v>103</v>
      </c>
      <c r="H9098" s="11" t="s">
        <v>25</v>
      </c>
      <c r="I9098" s="12" t="n">
        <v>35</v>
      </c>
      <c r="J9098" s="13" t="n">
        <v>150</v>
      </c>
      <c r="K9098" s="14" t="n">
        <f aca="false">I9098*J9098</f>
        <v>5250</v>
      </c>
      <c r="L9098" s="14" t="n">
        <f aca="false">($L$2*M9098)/100</f>
        <v>672933.24</v>
      </c>
      <c r="M9098" s="15" t="n">
        <v>0.56</v>
      </c>
      <c r="N9098" s="9" t="s">
        <v>26</v>
      </c>
    </row>
    <row r="9099" customFormat="false" ht="14.25" hidden="false" customHeight="true" outlineLevel="0" collapsed="false">
      <c r="B9099" s="9" t="s">
        <v>16</v>
      </c>
      <c r="C9099" s="9" t="n">
        <v>1185732</v>
      </c>
      <c r="D9099" s="10" t="n">
        <v>44365</v>
      </c>
      <c r="E9099" s="9" t="s">
        <v>29</v>
      </c>
      <c r="F9099" s="9" t="s">
        <v>102</v>
      </c>
      <c r="G9099" s="9" t="s">
        <v>103</v>
      </c>
      <c r="H9099" s="11" t="s">
        <v>19</v>
      </c>
      <c r="I9099" s="12" t="n">
        <v>31</v>
      </c>
      <c r="J9099" s="13" t="n">
        <v>263</v>
      </c>
      <c r="K9099" s="14" t="n">
        <f aca="false">I9099*J9099</f>
        <v>8153</v>
      </c>
      <c r="L9099" s="14" t="n">
        <f aca="false">($L$2*M9099)/100</f>
        <v>528733.26</v>
      </c>
      <c r="M9099" s="15" t="n">
        <v>0.44</v>
      </c>
      <c r="N9099" s="9" t="s">
        <v>26</v>
      </c>
    </row>
    <row r="9100" customFormat="false" ht="14.25" hidden="false" customHeight="true" outlineLevel="0" collapsed="false">
      <c r="B9100" s="9" t="s">
        <v>16</v>
      </c>
      <c r="C9100" s="9" t="n">
        <v>1185732</v>
      </c>
      <c r="D9100" s="10" t="n">
        <v>44365</v>
      </c>
      <c r="E9100" s="9" t="s">
        <v>29</v>
      </c>
      <c r="F9100" s="9" t="s">
        <v>102</v>
      </c>
      <c r="G9100" s="9" t="s">
        <v>103</v>
      </c>
      <c r="H9100" s="11" t="s">
        <v>21</v>
      </c>
      <c r="I9100" s="12" t="n">
        <v>29</v>
      </c>
      <c r="J9100" s="13" t="n">
        <v>150</v>
      </c>
      <c r="K9100" s="14" t="n">
        <f aca="false">I9100*J9100</f>
        <v>4350</v>
      </c>
      <c r="L9100" s="14" t="n">
        <f aca="false">($L$2*M9100)/100</f>
        <v>468649.935</v>
      </c>
      <c r="M9100" s="15" t="n">
        <v>0.39</v>
      </c>
      <c r="N9100" s="9" t="s">
        <v>26</v>
      </c>
    </row>
    <row r="9101" customFormat="false" ht="14.25" hidden="false" customHeight="true" outlineLevel="0" collapsed="false">
      <c r="B9101" s="9" t="s">
        <v>16</v>
      </c>
      <c r="C9101" s="9" t="n">
        <v>1185732</v>
      </c>
      <c r="D9101" s="10" t="n">
        <v>44365</v>
      </c>
      <c r="E9101" s="9" t="s">
        <v>29</v>
      </c>
      <c r="F9101" s="9" t="s">
        <v>102</v>
      </c>
      <c r="G9101" s="9" t="s">
        <v>103</v>
      </c>
      <c r="H9101" s="11" t="s">
        <v>22</v>
      </c>
      <c r="I9101" s="12" t="n">
        <v>33</v>
      </c>
      <c r="J9101" s="13" t="n">
        <v>157</v>
      </c>
      <c r="K9101" s="14" t="n">
        <f aca="false">I9101*J9101</f>
        <v>5181</v>
      </c>
      <c r="L9101" s="14" t="n">
        <f aca="false">($L$2*M9101)/100</f>
        <v>552766.59</v>
      </c>
      <c r="M9101" s="15" t="n">
        <v>0.46</v>
      </c>
      <c r="N9101" s="9" t="s">
        <v>26</v>
      </c>
    </row>
    <row r="9102" customFormat="false" ht="14.25" hidden="false" customHeight="true" outlineLevel="0" collapsed="false">
      <c r="B9102" s="9" t="s">
        <v>16</v>
      </c>
      <c r="C9102" s="9" t="n">
        <v>1185732</v>
      </c>
      <c r="D9102" s="10" t="n">
        <v>44365</v>
      </c>
      <c r="E9102" s="9" t="s">
        <v>29</v>
      </c>
      <c r="F9102" s="9" t="s">
        <v>102</v>
      </c>
      <c r="G9102" s="9" t="s">
        <v>103</v>
      </c>
      <c r="H9102" s="11" t="s">
        <v>23</v>
      </c>
      <c r="I9102" s="12" t="n">
        <v>34</v>
      </c>
      <c r="J9102" s="13" t="n">
        <v>149</v>
      </c>
      <c r="K9102" s="14" t="n">
        <f aca="false">I9102*J9102</f>
        <v>5066</v>
      </c>
      <c r="L9102" s="14" t="n">
        <f aca="false">($L$2*M9102)/100</f>
        <v>516716.595</v>
      </c>
      <c r="M9102" s="15" t="n">
        <v>0.43</v>
      </c>
      <c r="N9102" s="9" t="s">
        <v>26</v>
      </c>
    </row>
    <row r="9103" customFormat="false" ht="14.25" hidden="false" customHeight="true" outlineLevel="0" collapsed="false">
      <c r="B9103" s="9" t="s">
        <v>16</v>
      </c>
      <c r="C9103" s="9" t="n">
        <v>1185732</v>
      </c>
      <c r="D9103" s="10" t="n">
        <v>44365</v>
      </c>
      <c r="E9103" s="9" t="s">
        <v>29</v>
      </c>
      <c r="F9103" s="9" t="s">
        <v>102</v>
      </c>
      <c r="G9103" s="9" t="s">
        <v>103</v>
      </c>
      <c r="H9103" s="11" t="s">
        <v>24</v>
      </c>
      <c r="I9103" s="12" t="n">
        <v>47</v>
      </c>
      <c r="J9103" s="13" t="n">
        <v>135</v>
      </c>
      <c r="K9103" s="14" t="n">
        <f aca="false">I9103*J9103</f>
        <v>6345</v>
      </c>
      <c r="L9103" s="14" t="n">
        <f aca="false">($L$2*M9103)/100</f>
        <v>456633.27</v>
      </c>
      <c r="M9103" s="15" t="n">
        <v>0.38</v>
      </c>
      <c r="N9103" s="9" t="s">
        <v>26</v>
      </c>
    </row>
    <row r="9104" customFormat="false" ht="14.25" hidden="false" customHeight="true" outlineLevel="0" collapsed="false">
      <c r="B9104" s="9" t="s">
        <v>16</v>
      </c>
      <c r="C9104" s="9" t="n">
        <v>1185732</v>
      </c>
      <c r="D9104" s="10" t="n">
        <v>44365</v>
      </c>
      <c r="E9104" s="9" t="s">
        <v>29</v>
      </c>
      <c r="F9104" s="9" t="s">
        <v>102</v>
      </c>
      <c r="G9104" s="9" t="s">
        <v>103</v>
      </c>
      <c r="H9104" s="11" t="s">
        <v>25</v>
      </c>
      <c r="I9104" s="12" t="n">
        <v>51</v>
      </c>
      <c r="J9104" s="13" t="n">
        <v>219</v>
      </c>
      <c r="K9104" s="14" t="n">
        <f aca="false">I9104*J9104</f>
        <v>11169</v>
      </c>
      <c r="L9104" s="14" t="n">
        <f aca="false">($L$2*M9104)/100</f>
        <v>636883.245</v>
      </c>
      <c r="M9104" s="15" t="n">
        <v>0.53</v>
      </c>
      <c r="N9104" s="9" t="s">
        <v>26</v>
      </c>
    </row>
    <row r="9105" customFormat="false" ht="14.25" hidden="false" customHeight="true" outlineLevel="0" collapsed="false">
      <c r="B9105" s="9" t="s">
        <v>16</v>
      </c>
      <c r="C9105" s="9" t="n">
        <v>1185732</v>
      </c>
      <c r="D9105" s="10" t="n">
        <v>44393</v>
      </c>
      <c r="E9105" s="9" t="s">
        <v>29</v>
      </c>
      <c r="F9105" s="9" t="s">
        <v>102</v>
      </c>
      <c r="G9105" s="9" t="s">
        <v>103</v>
      </c>
      <c r="H9105" s="11" t="s">
        <v>19</v>
      </c>
      <c r="I9105" s="12" t="n">
        <v>47</v>
      </c>
      <c r="J9105" s="13" t="n">
        <v>289</v>
      </c>
      <c r="K9105" s="14" t="n">
        <f aca="false">I9105*J9105</f>
        <v>13583</v>
      </c>
      <c r="L9105" s="14" t="n">
        <f aca="false">($L$2*M9105)/100</f>
        <v>552766.59</v>
      </c>
      <c r="M9105" s="15" t="n">
        <v>0.46</v>
      </c>
      <c r="N9105" s="9" t="s">
        <v>26</v>
      </c>
    </row>
    <row r="9106" customFormat="false" ht="14.25" hidden="false" customHeight="true" outlineLevel="0" collapsed="false">
      <c r="B9106" s="9" t="s">
        <v>27</v>
      </c>
      <c r="C9106" s="9" t="n">
        <v>1185732</v>
      </c>
      <c r="D9106" s="10" t="n">
        <v>44393</v>
      </c>
      <c r="E9106" s="9" t="s">
        <v>29</v>
      </c>
      <c r="F9106" s="9" t="s">
        <v>102</v>
      </c>
      <c r="G9106" s="9" t="s">
        <v>103</v>
      </c>
      <c r="H9106" s="11" t="s">
        <v>21</v>
      </c>
      <c r="I9106" s="12" t="n">
        <v>42</v>
      </c>
      <c r="J9106" s="13" t="n">
        <v>192</v>
      </c>
      <c r="K9106" s="14" t="n">
        <f aca="false">I9106*J9106</f>
        <v>8064</v>
      </c>
      <c r="L9106" s="14" t="n">
        <f aca="false">($L$2*M9106)/100</f>
        <v>456633.27</v>
      </c>
      <c r="M9106" s="15" t="n">
        <v>0.38</v>
      </c>
      <c r="N9106" s="9" t="s">
        <v>26</v>
      </c>
    </row>
    <row r="9107" customFormat="false" ht="14.25" hidden="false" customHeight="true" outlineLevel="0" collapsed="false">
      <c r="B9107" s="9" t="s">
        <v>27</v>
      </c>
      <c r="C9107" s="9" t="n">
        <v>1185732</v>
      </c>
      <c r="D9107" s="10" t="n">
        <v>44393</v>
      </c>
      <c r="E9107" s="9" t="s">
        <v>29</v>
      </c>
      <c r="F9107" s="9" t="s">
        <v>102</v>
      </c>
      <c r="G9107" s="9" t="s">
        <v>103</v>
      </c>
      <c r="H9107" s="11" t="s">
        <v>22</v>
      </c>
      <c r="I9107" s="12" t="n">
        <v>37</v>
      </c>
      <c r="J9107" s="13" t="n">
        <v>168</v>
      </c>
      <c r="K9107" s="14" t="n">
        <f aca="false">I9107*J9107</f>
        <v>6216</v>
      </c>
      <c r="L9107" s="14" t="n">
        <f aca="false">($L$2*M9107)/100</f>
        <v>504699.93</v>
      </c>
      <c r="M9107" s="15" t="n">
        <v>0.42</v>
      </c>
      <c r="N9107" s="9" t="s">
        <v>26</v>
      </c>
    </row>
    <row r="9108" customFormat="false" ht="14.25" hidden="false" customHeight="true" outlineLevel="0" collapsed="false">
      <c r="B9108" s="9" t="s">
        <v>27</v>
      </c>
      <c r="C9108" s="9" t="n">
        <v>1185732</v>
      </c>
      <c r="D9108" s="10" t="n">
        <v>44393</v>
      </c>
      <c r="E9108" s="9" t="s">
        <v>29</v>
      </c>
      <c r="F9108" s="9" t="s">
        <v>102</v>
      </c>
      <c r="G9108" s="9" t="s">
        <v>103</v>
      </c>
      <c r="H9108" s="11" t="s">
        <v>23</v>
      </c>
      <c r="I9108" s="12" t="n">
        <v>33</v>
      </c>
      <c r="J9108" s="13" t="n">
        <v>143</v>
      </c>
      <c r="K9108" s="14" t="n">
        <f aca="false">I9108*J9108</f>
        <v>4719</v>
      </c>
      <c r="L9108" s="14" t="n">
        <f aca="false">($L$2*M9108)/100</f>
        <v>516716.595</v>
      </c>
      <c r="M9108" s="15" t="n">
        <v>0.43</v>
      </c>
      <c r="N9108" s="9" t="s">
        <v>26</v>
      </c>
    </row>
    <row r="9109" customFormat="false" ht="14.25" hidden="false" customHeight="true" outlineLevel="0" collapsed="false">
      <c r="B9109" s="9" t="s">
        <v>27</v>
      </c>
      <c r="C9109" s="9" t="n">
        <v>1185732</v>
      </c>
      <c r="D9109" s="10" t="n">
        <v>44393</v>
      </c>
      <c r="E9109" s="9" t="s">
        <v>29</v>
      </c>
      <c r="F9109" s="9" t="s">
        <v>102</v>
      </c>
      <c r="G9109" s="9" t="s">
        <v>103</v>
      </c>
      <c r="H9109" s="11" t="s">
        <v>24</v>
      </c>
      <c r="I9109" s="12" t="n">
        <v>46</v>
      </c>
      <c r="J9109" s="13" t="n">
        <v>150</v>
      </c>
      <c r="K9109" s="14" t="n">
        <f aca="false">I9109*J9109</f>
        <v>6900</v>
      </c>
      <c r="L9109" s="14" t="n">
        <f aca="false">($L$2*M9109)/100</f>
        <v>444616.605</v>
      </c>
      <c r="M9109" s="15" t="n">
        <v>0.37</v>
      </c>
      <c r="N9109" s="9" t="s">
        <v>26</v>
      </c>
    </row>
    <row r="9110" customFormat="false" ht="14.25" hidden="false" customHeight="true" outlineLevel="0" collapsed="false">
      <c r="B9110" s="9" t="s">
        <v>27</v>
      </c>
      <c r="C9110" s="9" t="n">
        <v>1185732</v>
      </c>
      <c r="D9110" s="10" t="n">
        <v>44393</v>
      </c>
      <c r="E9110" s="9" t="s">
        <v>29</v>
      </c>
      <c r="F9110" s="9" t="s">
        <v>102</v>
      </c>
      <c r="G9110" s="9" t="s">
        <v>103</v>
      </c>
      <c r="H9110" s="11" t="s">
        <v>25</v>
      </c>
      <c r="I9110" s="12" t="n">
        <v>49</v>
      </c>
      <c r="J9110" s="13" t="n">
        <v>209</v>
      </c>
      <c r="K9110" s="14" t="n">
        <f aca="false">I9110*J9110</f>
        <v>10241</v>
      </c>
      <c r="L9110" s="14" t="n">
        <f aca="false">($L$2*M9110)/100</f>
        <v>636883.245</v>
      </c>
      <c r="M9110" s="15" t="n">
        <v>0.53</v>
      </c>
      <c r="N9110" s="9" t="s">
        <v>26</v>
      </c>
    </row>
    <row r="9111" customFormat="false" ht="14.25" hidden="false" customHeight="true" outlineLevel="0" collapsed="false">
      <c r="B9111" s="9" t="s">
        <v>27</v>
      </c>
      <c r="C9111" s="9" t="n">
        <v>1185732</v>
      </c>
      <c r="D9111" s="10" t="n">
        <v>44425</v>
      </c>
      <c r="E9111" s="9" t="s">
        <v>29</v>
      </c>
      <c r="F9111" s="9" t="s">
        <v>102</v>
      </c>
      <c r="G9111" s="9" t="s">
        <v>103</v>
      </c>
      <c r="H9111" s="11" t="s">
        <v>19</v>
      </c>
      <c r="I9111" s="12" t="n">
        <v>41</v>
      </c>
      <c r="J9111" s="13" t="n">
        <v>256</v>
      </c>
      <c r="K9111" s="14" t="n">
        <f aca="false">I9111*J9111</f>
        <v>10496</v>
      </c>
      <c r="L9111" s="14" t="n">
        <f aca="false">($L$2*M9111)/100</f>
        <v>540749.925</v>
      </c>
      <c r="M9111" s="15" t="n">
        <v>0.45</v>
      </c>
      <c r="N9111" s="9" t="s">
        <v>26</v>
      </c>
    </row>
    <row r="9112" customFormat="false" ht="14.25" hidden="false" customHeight="true" outlineLevel="0" collapsed="false">
      <c r="B9112" s="9" t="s">
        <v>27</v>
      </c>
      <c r="C9112" s="9" t="n">
        <v>1185732</v>
      </c>
      <c r="D9112" s="10" t="n">
        <v>44425</v>
      </c>
      <c r="E9112" s="9" t="s">
        <v>29</v>
      </c>
      <c r="F9112" s="9" t="s">
        <v>102</v>
      </c>
      <c r="G9112" s="9" t="s">
        <v>103</v>
      </c>
      <c r="H9112" s="11" t="s">
        <v>21</v>
      </c>
      <c r="I9112" s="12" t="n">
        <v>44</v>
      </c>
      <c r="J9112" s="13" t="n">
        <v>198</v>
      </c>
      <c r="K9112" s="14" t="n">
        <f aca="false">I9112*J9112</f>
        <v>8712</v>
      </c>
      <c r="L9112" s="14" t="n">
        <f aca="false">($L$2*M9112)/100</f>
        <v>492683.265</v>
      </c>
      <c r="M9112" s="15" t="n">
        <v>0.41</v>
      </c>
      <c r="N9112" s="9" t="s">
        <v>26</v>
      </c>
    </row>
    <row r="9113" customFormat="false" ht="14.25" hidden="false" customHeight="true" outlineLevel="0" collapsed="false">
      <c r="B9113" s="9" t="s">
        <v>27</v>
      </c>
      <c r="C9113" s="9" t="n">
        <v>1185732</v>
      </c>
      <c r="D9113" s="10" t="n">
        <v>44425</v>
      </c>
      <c r="E9113" s="9" t="s">
        <v>29</v>
      </c>
      <c r="F9113" s="9" t="s">
        <v>102</v>
      </c>
      <c r="G9113" s="9" t="s">
        <v>103</v>
      </c>
      <c r="H9113" s="11" t="s">
        <v>22</v>
      </c>
      <c r="I9113" s="12" t="n">
        <v>37</v>
      </c>
      <c r="J9113" s="13" t="n">
        <v>179</v>
      </c>
      <c r="K9113" s="14" t="n">
        <f aca="false">I9113*J9113</f>
        <v>6623</v>
      </c>
      <c r="L9113" s="14" t="n">
        <f aca="false">($L$2*M9113)/100</f>
        <v>528733.26</v>
      </c>
      <c r="M9113" s="15" t="n">
        <v>0.44</v>
      </c>
      <c r="N9113" s="9" t="s">
        <v>26</v>
      </c>
    </row>
    <row r="9114" customFormat="false" ht="14.25" hidden="false" customHeight="true" outlineLevel="0" collapsed="false">
      <c r="B9114" s="9" t="s">
        <v>27</v>
      </c>
      <c r="C9114" s="9" t="n">
        <v>1185732</v>
      </c>
      <c r="D9114" s="10" t="n">
        <v>44425</v>
      </c>
      <c r="E9114" s="9" t="s">
        <v>29</v>
      </c>
      <c r="F9114" s="9" t="s">
        <v>102</v>
      </c>
      <c r="G9114" s="9" t="s">
        <v>103</v>
      </c>
      <c r="H9114" s="11" t="s">
        <v>23</v>
      </c>
      <c r="I9114" s="12" t="n">
        <v>32</v>
      </c>
      <c r="J9114" s="13" t="n">
        <v>147</v>
      </c>
      <c r="K9114" s="14" t="n">
        <f aca="false">I9114*J9114</f>
        <v>4704</v>
      </c>
      <c r="L9114" s="14" t="n">
        <f aca="false">($L$2*M9114)/100</f>
        <v>504699.93</v>
      </c>
      <c r="M9114" s="15" t="n">
        <v>0.42</v>
      </c>
      <c r="N9114" s="9" t="s">
        <v>26</v>
      </c>
    </row>
    <row r="9115" customFormat="false" ht="14.25" hidden="false" customHeight="true" outlineLevel="0" collapsed="false">
      <c r="B9115" s="9" t="s">
        <v>27</v>
      </c>
      <c r="C9115" s="9" t="n">
        <v>1185732</v>
      </c>
      <c r="D9115" s="10" t="n">
        <v>44425</v>
      </c>
      <c r="E9115" s="9" t="s">
        <v>29</v>
      </c>
      <c r="F9115" s="9" t="s">
        <v>102</v>
      </c>
      <c r="G9115" s="9" t="s">
        <v>103</v>
      </c>
      <c r="H9115" s="11" t="s">
        <v>24</v>
      </c>
      <c r="I9115" s="12" t="n">
        <v>35</v>
      </c>
      <c r="J9115" s="13" t="n">
        <v>158</v>
      </c>
      <c r="K9115" s="14" t="n">
        <f aca="false">I9115*J9115</f>
        <v>5530</v>
      </c>
      <c r="L9115" s="14" t="n">
        <f aca="false">($L$2*M9115)/100</f>
        <v>504699.93</v>
      </c>
      <c r="M9115" s="15" t="n">
        <v>0.42</v>
      </c>
      <c r="N9115" s="9" t="s">
        <v>26</v>
      </c>
    </row>
    <row r="9116" customFormat="false" ht="14.25" hidden="false" customHeight="true" outlineLevel="0" collapsed="false">
      <c r="B9116" s="9" t="s">
        <v>27</v>
      </c>
      <c r="C9116" s="9" t="n">
        <v>1185732</v>
      </c>
      <c r="D9116" s="10" t="n">
        <v>44425</v>
      </c>
      <c r="E9116" s="9" t="s">
        <v>29</v>
      </c>
      <c r="F9116" s="9" t="s">
        <v>102</v>
      </c>
      <c r="G9116" s="9" t="s">
        <v>103</v>
      </c>
      <c r="H9116" s="11" t="s">
        <v>25</v>
      </c>
      <c r="I9116" s="12" t="n">
        <v>42</v>
      </c>
      <c r="J9116" s="13" t="n">
        <v>206</v>
      </c>
      <c r="K9116" s="14" t="n">
        <f aca="false">I9116*J9116</f>
        <v>8652</v>
      </c>
      <c r="L9116" s="14" t="n">
        <f aca="false">($L$2*M9116)/100</f>
        <v>660916.575</v>
      </c>
      <c r="M9116" s="15" t="n">
        <v>0.55</v>
      </c>
      <c r="N9116" s="9" t="s">
        <v>26</v>
      </c>
    </row>
    <row r="9117" customFormat="false" ht="14.25" hidden="false" customHeight="true" outlineLevel="0" collapsed="false">
      <c r="B9117" s="9" t="s">
        <v>27</v>
      </c>
      <c r="C9117" s="9" t="n">
        <v>1185732</v>
      </c>
      <c r="D9117" s="10" t="n">
        <v>44455</v>
      </c>
      <c r="E9117" s="9" t="s">
        <v>29</v>
      </c>
      <c r="F9117" s="9" t="s">
        <v>102</v>
      </c>
      <c r="G9117" s="9" t="s">
        <v>103</v>
      </c>
      <c r="H9117" s="11" t="s">
        <v>19</v>
      </c>
      <c r="I9117" s="12" t="n">
        <v>40</v>
      </c>
      <c r="J9117" s="13" t="n">
        <v>232</v>
      </c>
      <c r="K9117" s="14" t="n">
        <f aca="false">I9117*J9117</f>
        <v>9280</v>
      </c>
      <c r="L9117" s="14" t="n">
        <f aca="false">($L$2*M9117)/100</f>
        <v>528733.26</v>
      </c>
      <c r="M9117" s="15" t="n">
        <v>0.44</v>
      </c>
      <c r="N9117" s="9" t="s">
        <v>26</v>
      </c>
    </row>
    <row r="9118" customFormat="false" ht="14.25" hidden="false" customHeight="true" outlineLevel="0" collapsed="false">
      <c r="B9118" s="9" t="s">
        <v>27</v>
      </c>
      <c r="C9118" s="9" t="n">
        <v>1185732</v>
      </c>
      <c r="D9118" s="10" t="n">
        <v>44455</v>
      </c>
      <c r="E9118" s="9" t="s">
        <v>29</v>
      </c>
      <c r="F9118" s="9" t="s">
        <v>102</v>
      </c>
      <c r="G9118" s="9" t="s">
        <v>103</v>
      </c>
      <c r="H9118" s="11" t="s">
        <v>21</v>
      </c>
      <c r="I9118" s="12" t="n">
        <v>33</v>
      </c>
      <c r="J9118" s="13" t="n">
        <v>158</v>
      </c>
      <c r="K9118" s="14" t="n">
        <f aca="false">I9118*J9118</f>
        <v>5214</v>
      </c>
      <c r="L9118" s="14" t="n">
        <f aca="false">($L$2*M9118)/100</f>
        <v>492683.265</v>
      </c>
      <c r="M9118" s="15" t="n">
        <v>0.41</v>
      </c>
      <c r="N9118" s="9" t="s">
        <v>26</v>
      </c>
    </row>
    <row r="9119" customFormat="false" ht="14.25" hidden="false" customHeight="true" outlineLevel="0" collapsed="false">
      <c r="B9119" s="9" t="s">
        <v>27</v>
      </c>
      <c r="C9119" s="9" t="n">
        <v>1185732</v>
      </c>
      <c r="D9119" s="10" t="n">
        <v>44455</v>
      </c>
      <c r="E9119" s="9" t="s">
        <v>29</v>
      </c>
      <c r="F9119" s="9" t="s">
        <v>102</v>
      </c>
      <c r="G9119" s="9" t="s">
        <v>103</v>
      </c>
      <c r="H9119" s="11" t="s">
        <v>22</v>
      </c>
      <c r="I9119" s="12" t="n">
        <v>15</v>
      </c>
      <c r="J9119" s="13" t="n">
        <v>145</v>
      </c>
      <c r="K9119" s="14" t="n">
        <f aca="false">I9119*J9119</f>
        <v>2175</v>
      </c>
      <c r="L9119" s="14" t="n">
        <f aca="false">($L$2*M9119)/100</f>
        <v>564783.255</v>
      </c>
      <c r="M9119" s="15" t="n">
        <v>0.47</v>
      </c>
      <c r="N9119" s="9" t="s">
        <v>26</v>
      </c>
    </row>
    <row r="9120" customFormat="false" ht="14.25" hidden="false" customHeight="true" outlineLevel="0" collapsed="false">
      <c r="B9120" s="9" t="s">
        <v>27</v>
      </c>
      <c r="C9120" s="9" t="n">
        <v>1185732</v>
      </c>
      <c r="D9120" s="10" t="n">
        <v>44455</v>
      </c>
      <c r="E9120" s="9" t="s">
        <v>29</v>
      </c>
      <c r="F9120" s="9" t="s">
        <v>102</v>
      </c>
      <c r="G9120" s="9" t="s">
        <v>103</v>
      </c>
      <c r="H9120" s="11" t="s">
        <v>23</v>
      </c>
      <c r="I9120" s="12" t="n">
        <v>16</v>
      </c>
      <c r="J9120" s="13" t="n">
        <v>120</v>
      </c>
      <c r="K9120" s="14" t="n">
        <f aca="false">I9120*J9120</f>
        <v>1920</v>
      </c>
      <c r="L9120" s="14" t="n">
        <f aca="false">($L$2*M9120)/100</f>
        <v>540749.925</v>
      </c>
      <c r="M9120" s="15" t="n">
        <v>0.45</v>
      </c>
      <c r="N9120" s="9" t="s">
        <v>26</v>
      </c>
    </row>
    <row r="9121" customFormat="false" ht="14.25" hidden="false" customHeight="true" outlineLevel="0" collapsed="false">
      <c r="B9121" s="9" t="s">
        <v>27</v>
      </c>
      <c r="C9121" s="9" t="n">
        <v>1185732</v>
      </c>
      <c r="D9121" s="10" t="n">
        <v>44455</v>
      </c>
      <c r="E9121" s="9" t="s">
        <v>29</v>
      </c>
      <c r="F9121" s="9" t="s">
        <v>102</v>
      </c>
      <c r="G9121" s="9" t="s">
        <v>103</v>
      </c>
      <c r="H9121" s="11" t="s">
        <v>24</v>
      </c>
      <c r="I9121" s="12" t="n">
        <v>22</v>
      </c>
      <c r="J9121" s="13" t="n">
        <v>132</v>
      </c>
      <c r="K9121" s="14" t="n">
        <f aca="false">I9121*J9121</f>
        <v>2904</v>
      </c>
      <c r="L9121" s="14" t="n">
        <f aca="false">($L$2*M9121)/100</f>
        <v>456633.27</v>
      </c>
      <c r="M9121" s="15" t="n">
        <v>0.38</v>
      </c>
      <c r="N9121" s="9" t="s">
        <v>26</v>
      </c>
    </row>
    <row r="9122" customFormat="false" ht="14.25" hidden="false" customHeight="true" outlineLevel="0" collapsed="false">
      <c r="B9122" s="9" t="s">
        <v>27</v>
      </c>
      <c r="C9122" s="9" t="n">
        <v>1185732</v>
      </c>
      <c r="D9122" s="10" t="n">
        <v>44455</v>
      </c>
      <c r="E9122" s="9" t="s">
        <v>29</v>
      </c>
      <c r="F9122" s="9" t="s">
        <v>102</v>
      </c>
      <c r="G9122" s="9" t="s">
        <v>103</v>
      </c>
      <c r="H9122" s="11" t="s">
        <v>25</v>
      </c>
      <c r="I9122" s="12" t="n">
        <v>26</v>
      </c>
      <c r="J9122" s="13" t="n">
        <v>160</v>
      </c>
      <c r="K9122" s="14" t="n">
        <f aca="false">I9122*J9122</f>
        <v>4160</v>
      </c>
      <c r="L9122" s="14" t="n">
        <f aca="false">($L$2*M9122)/100</f>
        <v>672933.24</v>
      </c>
      <c r="M9122" s="15" t="n">
        <v>0.56</v>
      </c>
      <c r="N9122" s="9" t="s">
        <v>26</v>
      </c>
    </row>
    <row r="9123" customFormat="false" ht="14.25" hidden="false" customHeight="true" outlineLevel="0" collapsed="false">
      <c r="B9123" s="9" t="s">
        <v>27</v>
      </c>
      <c r="C9123" s="9" t="n">
        <v>1185732</v>
      </c>
      <c r="D9123" s="10" t="n">
        <v>44487</v>
      </c>
      <c r="E9123" s="9" t="s">
        <v>29</v>
      </c>
      <c r="F9123" s="9" t="s">
        <v>102</v>
      </c>
      <c r="G9123" s="9" t="s">
        <v>103</v>
      </c>
      <c r="H9123" s="11" t="s">
        <v>19</v>
      </c>
      <c r="I9123" s="12" t="n">
        <v>24</v>
      </c>
      <c r="J9123" s="13" t="n">
        <v>216</v>
      </c>
      <c r="K9123" s="14" t="n">
        <f aca="false">I9123*J9123</f>
        <v>5184</v>
      </c>
      <c r="L9123" s="14" t="n">
        <f aca="false">($L$2*M9123)/100</f>
        <v>552766.59</v>
      </c>
      <c r="M9123" s="15" t="n">
        <v>0.46</v>
      </c>
      <c r="N9123" s="9" t="s">
        <v>26</v>
      </c>
    </row>
    <row r="9124" customFormat="false" ht="14.25" hidden="false" customHeight="true" outlineLevel="0" collapsed="false">
      <c r="B9124" s="9" t="s">
        <v>27</v>
      </c>
      <c r="C9124" s="9" t="n">
        <v>1185732</v>
      </c>
      <c r="D9124" s="10" t="n">
        <v>44487</v>
      </c>
      <c r="E9124" s="9" t="s">
        <v>29</v>
      </c>
      <c r="F9124" s="9" t="s">
        <v>102</v>
      </c>
      <c r="G9124" s="9" t="s">
        <v>103</v>
      </c>
      <c r="H9124" s="11" t="s">
        <v>21</v>
      </c>
      <c r="I9124" s="12" t="n">
        <v>17</v>
      </c>
      <c r="J9124" s="13" t="n">
        <v>165</v>
      </c>
      <c r="K9124" s="14" t="n">
        <f aca="false">I9124*J9124</f>
        <v>2805</v>
      </c>
      <c r="L9124" s="14" t="n">
        <f aca="false">($L$2*M9124)/100</f>
        <v>444616.605</v>
      </c>
      <c r="M9124" s="15" t="n">
        <v>0.37</v>
      </c>
      <c r="N9124" s="9" t="s">
        <v>26</v>
      </c>
    </row>
    <row r="9125" customFormat="false" ht="14.25" hidden="false" customHeight="true" outlineLevel="0" collapsed="false">
      <c r="B9125" s="9" t="s">
        <v>27</v>
      </c>
      <c r="C9125" s="9" t="n">
        <v>1185732</v>
      </c>
      <c r="D9125" s="10" t="n">
        <v>44487</v>
      </c>
      <c r="E9125" s="9" t="s">
        <v>29</v>
      </c>
      <c r="F9125" s="9" t="s">
        <v>102</v>
      </c>
      <c r="G9125" s="9" t="s">
        <v>103</v>
      </c>
      <c r="H9125" s="11" t="s">
        <v>22</v>
      </c>
      <c r="I9125" s="12" t="n">
        <v>19</v>
      </c>
      <c r="J9125" s="13" t="n">
        <v>120</v>
      </c>
      <c r="K9125" s="14" t="n">
        <f aca="false">I9125*J9125</f>
        <v>2280</v>
      </c>
      <c r="L9125" s="14" t="n">
        <f aca="false">($L$2*M9125)/100</f>
        <v>564783.255</v>
      </c>
      <c r="M9125" s="15" t="n">
        <v>0.47</v>
      </c>
      <c r="N9125" s="9" t="s">
        <v>26</v>
      </c>
    </row>
    <row r="9126" customFormat="false" ht="14.25" hidden="false" customHeight="true" outlineLevel="0" collapsed="false">
      <c r="B9126" s="9" t="s">
        <v>27</v>
      </c>
      <c r="C9126" s="9" t="n">
        <v>1185732</v>
      </c>
      <c r="D9126" s="10" t="n">
        <v>44487</v>
      </c>
      <c r="E9126" s="9" t="s">
        <v>29</v>
      </c>
      <c r="F9126" s="9" t="s">
        <v>102</v>
      </c>
      <c r="G9126" s="9" t="s">
        <v>103</v>
      </c>
      <c r="H9126" s="11" t="s">
        <v>23</v>
      </c>
      <c r="I9126" s="12" t="n">
        <v>20</v>
      </c>
      <c r="J9126" s="13" t="n">
        <v>109</v>
      </c>
      <c r="K9126" s="14" t="n">
        <f aca="false">I9126*J9126</f>
        <v>2180</v>
      </c>
      <c r="L9126" s="14" t="n">
        <f aca="false">($L$2*M9126)/100</f>
        <v>540749.925</v>
      </c>
      <c r="M9126" s="15" t="n">
        <v>0.45</v>
      </c>
      <c r="N9126" s="9" t="s">
        <v>26</v>
      </c>
    </row>
    <row r="9127" customFormat="false" ht="14.25" hidden="false" customHeight="true" outlineLevel="0" collapsed="false">
      <c r="B9127" s="9" t="s">
        <v>27</v>
      </c>
      <c r="C9127" s="9" t="n">
        <v>1185732</v>
      </c>
      <c r="D9127" s="10" t="n">
        <v>44487</v>
      </c>
      <c r="E9127" s="9" t="s">
        <v>29</v>
      </c>
      <c r="F9127" s="9" t="s">
        <v>102</v>
      </c>
      <c r="G9127" s="9" t="s">
        <v>103</v>
      </c>
      <c r="H9127" s="11" t="s">
        <v>24</v>
      </c>
      <c r="I9127" s="12" t="n">
        <v>25</v>
      </c>
      <c r="J9127" s="13" t="n">
        <v>105</v>
      </c>
      <c r="K9127" s="14" t="n">
        <f aca="false">I9127*J9127</f>
        <v>2625</v>
      </c>
      <c r="L9127" s="14" t="n">
        <f aca="false">($L$2*M9127)/100</f>
        <v>504699.93</v>
      </c>
      <c r="M9127" s="15" t="n">
        <v>0.42</v>
      </c>
      <c r="N9127" s="9" t="s">
        <v>26</v>
      </c>
    </row>
    <row r="9128" customFormat="false" ht="14.25" hidden="false" customHeight="true" outlineLevel="0" collapsed="false">
      <c r="B9128" s="9" t="s">
        <v>28</v>
      </c>
      <c r="C9128" s="9" t="n">
        <v>1185732</v>
      </c>
      <c r="D9128" s="10" t="n">
        <v>44487</v>
      </c>
      <c r="E9128" s="9" t="s">
        <v>29</v>
      </c>
      <c r="F9128" s="9" t="s">
        <v>102</v>
      </c>
      <c r="G9128" s="9" t="s">
        <v>103</v>
      </c>
      <c r="H9128" s="11" t="s">
        <v>25</v>
      </c>
      <c r="I9128" s="12" t="n">
        <v>27</v>
      </c>
      <c r="J9128" s="13" t="n">
        <v>162</v>
      </c>
      <c r="K9128" s="14" t="n">
        <f aca="false">I9128*J9128</f>
        <v>4374</v>
      </c>
      <c r="L9128" s="14" t="n">
        <f aca="false">($L$2*M9128)/100</f>
        <v>648899.91</v>
      </c>
      <c r="M9128" s="15" t="n">
        <v>0.54</v>
      </c>
      <c r="N9128" s="9" t="s">
        <v>26</v>
      </c>
    </row>
    <row r="9129" customFormat="false" ht="14.25" hidden="false" customHeight="true" outlineLevel="0" collapsed="false">
      <c r="B9129" s="9" t="s">
        <v>28</v>
      </c>
      <c r="C9129" s="9" t="n">
        <v>1185732</v>
      </c>
      <c r="D9129" s="10" t="n">
        <v>44517</v>
      </c>
      <c r="E9129" s="9" t="s">
        <v>29</v>
      </c>
      <c r="F9129" s="9" t="s">
        <v>102</v>
      </c>
      <c r="G9129" s="9" t="s">
        <v>103</v>
      </c>
      <c r="H9129" s="11" t="s">
        <v>19</v>
      </c>
      <c r="I9129" s="12" t="n">
        <v>22</v>
      </c>
      <c r="J9129" s="13" t="n">
        <v>206</v>
      </c>
      <c r="K9129" s="14" t="n">
        <f aca="false">I9129*J9129</f>
        <v>4532</v>
      </c>
      <c r="L9129" s="14" t="n">
        <f aca="false">($L$2*M9129)/100</f>
        <v>528733.26</v>
      </c>
      <c r="M9129" s="15" t="n">
        <v>0.44</v>
      </c>
      <c r="N9129" s="9" t="s">
        <v>26</v>
      </c>
    </row>
    <row r="9130" customFormat="false" ht="14.25" hidden="false" customHeight="true" outlineLevel="0" collapsed="false">
      <c r="B9130" s="9" t="s">
        <v>28</v>
      </c>
      <c r="C9130" s="9" t="n">
        <v>1185732</v>
      </c>
      <c r="D9130" s="10" t="n">
        <v>44517</v>
      </c>
      <c r="E9130" s="9" t="s">
        <v>29</v>
      </c>
      <c r="F9130" s="9" t="s">
        <v>102</v>
      </c>
      <c r="G9130" s="9" t="s">
        <v>103</v>
      </c>
      <c r="H9130" s="11" t="s">
        <v>21</v>
      </c>
      <c r="I9130" s="12" t="n">
        <v>15</v>
      </c>
      <c r="J9130" s="13" t="n">
        <v>153</v>
      </c>
      <c r="K9130" s="14" t="n">
        <f aca="false">I9130*J9130</f>
        <v>2295</v>
      </c>
      <c r="L9130" s="14" t="n">
        <f aca="false">($L$2*M9130)/100</f>
        <v>456633.27</v>
      </c>
      <c r="M9130" s="15" t="n">
        <v>0.38</v>
      </c>
      <c r="N9130" s="9" t="s">
        <v>26</v>
      </c>
    </row>
    <row r="9131" customFormat="false" ht="14.25" hidden="false" customHeight="true" outlineLevel="0" collapsed="false">
      <c r="B9131" s="9" t="s">
        <v>28</v>
      </c>
      <c r="C9131" s="9" t="n">
        <v>1185732</v>
      </c>
      <c r="D9131" s="10" t="n">
        <v>44517</v>
      </c>
      <c r="E9131" s="9" t="s">
        <v>29</v>
      </c>
      <c r="F9131" s="9" t="s">
        <v>102</v>
      </c>
      <c r="G9131" s="9" t="s">
        <v>103</v>
      </c>
      <c r="H9131" s="11" t="s">
        <v>22</v>
      </c>
      <c r="I9131" s="12" t="n">
        <v>22</v>
      </c>
      <c r="J9131" s="13" t="n">
        <v>119</v>
      </c>
      <c r="K9131" s="14" t="n">
        <f aca="false">I9131*J9131</f>
        <v>2618</v>
      </c>
      <c r="L9131" s="14" t="n">
        <f aca="false">($L$2*M9131)/100</f>
        <v>504699.93</v>
      </c>
      <c r="M9131" s="15" t="n">
        <v>0.42</v>
      </c>
      <c r="N9131" s="9" t="s">
        <v>26</v>
      </c>
    </row>
    <row r="9132" customFormat="false" ht="14.25" hidden="false" customHeight="true" outlineLevel="0" collapsed="false">
      <c r="B9132" s="9" t="s">
        <v>28</v>
      </c>
      <c r="C9132" s="9" t="n">
        <v>1185732</v>
      </c>
      <c r="D9132" s="10" t="n">
        <v>44517</v>
      </c>
      <c r="E9132" s="9" t="s">
        <v>29</v>
      </c>
      <c r="F9132" s="9" t="s">
        <v>102</v>
      </c>
      <c r="G9132" s="9" t="s">
        <v>103</v>
      </c>
      <c r="H9132" s="11" t="s">
        <v>23</v>
      </c>
      <c r="I9132" s="12" t="n">
        <v>43</v>
      </c>
      <c r="J9132" s="13" t="n">
        <v>153</v>
      </c>
      <c r="K9132" s="14" t="n">
        <f aca="false">I9132*J9132</f>
        <v>6579</v>
      </c>
      <c r="L9132" s="14" t="n">
        <f aca="false">($L$2*M9132)/100</f>
        <v>528733.26</v>
      </c>
      <c r="M9132" s="15" t="n">
        <v>0.44</v>
      </c>
      <c r="N9132" s="9" t="s">
        <v>26</v>
      </c>
    </row>
    <row r="9133" customFormat="false" ht="14.25" hidden="false" customHeight="true" outlineLevel="0" collapsed="false">
      <c r="B9133" s="9" t="s">
        <v>28</v>
      </c>
      <c r="C9133" s="9" t="n">
        <v>1185732</v>
      </c>
      <c r="D9133" s="10" t="n">
        <v>44517</v>
      </c>
      <c r="E9133" s="9" t="s">
        <v>29</v>
      </c>
      <c r="F9133" s="9" t="s">
        <v>102</v>
      </c>
      <c r="G9133" s="9" t="s">
        <v>103</v>
      </c>
      <c r="H9133" s="11" t="s">
        <v>24</v>
      </c>
      <c r="I9133" s="12" t="n">
        <v>59</v>
      </c>
      <c r="J9133" s="13" t="n">
        <v>132</v>
      </c>
      <c r="K9133" s="14" t="n">
        <f aca="false">I9133*J9133</f>
        <v>7788</v>
      </c>
      <c r="L9133" s="14" t="n">
        <f aca="false">($L$2*M9133)/100</f>
        <v>480666.6</v>
      </c>
      <c r="M9133" s="15" t="n">
        <v>0.4</v>
      </c>
      <c r="N9133" s="9" t="s">
        <v>26</v>
      </c>
    </row>
    <row r="9134" customFormat="false" ht="14.25" hidden="false" customHeight="true" outlineLevel="0" collapsed="false">
      <c r="B9134" s="9" t="s">
        <v>28</v>
      </c>
      <c r="C9134" s="9" t="n">
        <v>1185732</v>
      </c>
      <c r="D9134" s="10" t="n">
        <v>44517</v>
      </c>
      <c r="E9134" s="9" t="s">
        <v>29</v>
      </c>
      <c r="F9134" s="9" t="s">
        <v>102</v>
      </c>
      <c r="G9134" s="9" t="s">
        <v>103</v>
      </c>
      <c r="H9134" s="11" t="s">
        <v>25</v>
      </c>
      <c r="I9134" s="12" t="n">
        <v>51</v>
      </c>
      <c r="J9134" s="13" t="n">
        <v>168</v>
      </c>
      <c r="K9134" s="14" t="n">
        <f aca="false">I9134*J9134</f>
        <v>8568</v>
      </c>
      <c r="L9134" s="14" t="n">
        <f aca="false">($L$2*M9134)/100</f>
        <v>684949.905</v>
      </c>
      <c r="M9134" s="15" t="n">
        <v>0.57</v>
      </c>
      <c r="N9134" s="9" t="s">
        <v>26</v>
      </c>
    </row>
    <row r="9135" customFormat="false" ht="14.25" hidden="false" customHeight="true" outlineLevel="0" collapsed="false">
      <c r="B9135" s="9" t="s">
        <v>28</v>
      </c>
      <c r="C9135" s="9" t="n">
        <v>1185732</v>
      </c>
      <c r="D9135" s="10" t="n">
        <v>44546</v>
      </c>
      <c r="E9135" s="9" t="s">
        <v>29</v>
      </c>
      <c r="F9135" s="9" t="s">
        <v>102</v>
      </c>
      <c r="G9135" s="9" t="s">
        <v>103</v>
      </c>
      <c r="H9135" s="11" t="s">
        <v>19</v>
      </c>
      <c r="I9135" s="12" t="n">
        <v>48</v>
      </c>
      <c r="J9135" s="13" t="n">
        <v>256</v>
      </c>
      <c r="K9135" s="14" t="n">
        <f aca="false">I9135*J9135</f>
        <v>12288</v>
      </c>
      <c r="L9135" s="14" t="n">
        <f aca="false">($L$2*M9135)/100</f>
        <v>564783.255</v>
      </c>
      <c r="M9135" s="15" t="n">
        <v>0.47</v>
      </c>
      <c r="N9135" s="9" t="s">
        <v>26</v>
      </c>
    </row>
    <row r="9136" customFormat="false" ht="14.25" hidden="false" customHeight="true" outlineLevel="0" collapsed="false">
      <c r="B9136" s="9" t="s">
        <v>28</v>
      </c>
      <c r="C9136" s="9" t="n">
        <v>1185732</v>
      </c>
      <c r="D9136" s="10" t="n">
        <v>44546</v>
      </c>
      <c r="E9136" s="9" t="s">
        <v>29</v>
      </c>
      <c r="F9136" s="9" t="s">
        <v>102</v>
      </c>
      <c r="G9136" s="9" t="s">
        <v>103</v>
      </c>
      <c r="H9136" s="11" t="s">
        <v>21</v>
      </c>
      <c r="I9136" s="12" t="n">
        <v>44</v>
      </c>
      <c r="J9136" s="13" t="n">
        <v>201</v>
      </c>
      <c r="K9136" s="14" t="n">
        <f aca="false">I9136*J9136</f>
        <v>8844</v>
      </c>
      <c r="L9136" s="14" t="n">
        <f aca="false">($L$2*M9136)/100</f>
        <v>444616.605</v>
      </c>
      <c r="M9136" s="15" t="n">
        <v>0.37</v>
      </c>
      <c r="N9136" s="9" t="s">
        <v>26</v>
      </c>
    </row>
    <row r="9137" customFormat="false" ht="14.25" hidden="false" customHeight="true" outlineLevel="0" collapsed="false">
      <c r="B9137" s="9" t="s">
        <v>28</v>
      </c>
      <c r="C9137" s="9" t="n">
        <v>1185732</v>
      </c>
      <c r="D9137" s="10" t="n">
        <v>44546</v>
      </c>
      <c r="E9137" s="9" t="s">
        <v>29</v>
      </c>
      <c r="F9137" s="9" t="s">
        <v>102</v>
      </c>
      <c r="G9137" s="9" t="s">
        <v>103</v>
      </c>
      <c r="H9137" s="11" t="s">
        <v>22</v>
      </c>
      <c r="I9137" s="12" t="n">
        <v>43</v>
      </c>
      <c r="J9137" s="13" t="n">
        <v>158</v>
      </c>
      <c r="K9137" s="14" t="n">
        <f aca="false">I9137*J9137</f>
        <v>6794</v>
      </c>
      <c r="L9137" s="14" t="n">
        <f aca="false">($L$2*M9137)/100</f>
        <v>540749.925</v>
      </c>
      <c r="M9137" s="15" t="n">
        <v>0.45</v>
      </c>
      <c r="N9137" s="9" t="s">
        <v>26</v>
      </c>
    </row>
    <row r="9138" customFormat="false" ht="14.25" hidden="false" customHeight="true" outlineLevel="0" collapsed="false">
      <c r="B9138" s="9" t="s">
        <v>28</v>
      </c>
      <c r="C9138" s="9" t="n">
        <v>1185732</v>
      </c>
      <c r="D9138" s="10" t="n">
        <v>44546</v>
      </c>
      <c r="E9138" s="9" t="s">
        <v>29</v>
      </c>
      <c r="F9138" s="9" t="s">
        <v>102</v>
      </c>
      <c r="G9138" s="9" t="s">
        <v>103</v>
      </c>
      <c r="H9138" s="11" t="s">
        <v>23</v>
      </c>
      <c r="I9138" s="12" t="n">
        <v>41</v>
      </c>
      <c r="J9138" s="13" t="n">
        <v>143</v>
      </c>
      <c r="K9138" s="14" t="n">
        <f aca="false">I9138*J9138</f>
        <v>5863</v>
      </c>
      <c r="L9138" s="14" t="n">
        <f aca="false">($L$2*M9138)/100</f>
        <v>564783.255</v>
      </c>
      <c r="M9138" s="15" t="n">
        <v>0.47</v>
      </c>
      <c r="N9138" s="9" t="s">
        <v>26</v>
      </c>
    </row>
    <row r="9139" customFormat="false" ht="14.25" hidden="false" customHeight="true" outlineLevel="0" collapsed="false">
      <c r="B9139" s="9" t="s">
        <v>28</v>
      </c>
      <c r="C9139" s="9" t="n">
        <v>1185732</v>
      </c>
      <c r="D9139" s="10" t="n">
        <v>44546</v>
      </c>
      <c r="E9139" s="9" t="s">
        <v>29</v>
      </c>
      <c r="F9139" s="9" t="s">
        <v>102</v>
      </c>
      <c r="G9139" s="9" t="s">
        <v>103</v>
      </c>
      <c r="H9139" s="11" t="s">
        <v>24</v>
      </c>
      <c r="I9139" s="12" t="n">
        <v>54</v>
      </c>
      <c r="J9139" s="13" t="n">
        <v>157</v>
      </c>
      <c r="K9139" s="14" t="n">
        <f aca="false">I9139*J9139</f>
        <v>8478</v>
      </c>
      <c r="L9139" s="14" t="n">
        <f aca="false">($L$2*M9139)/100</f>
        <v>456633.27</v>
      </c>
      <c r="M9139" s="15" t="n">
        <v>0.38</v>
      </c>
      <c r="N9139" s="9" t="s">
        <v>26</v>
      </c>
    </row>
    <row r="9140" customFormat="false" ht="14.25" hidden="false" customHeight="true" outlineLevel="0" collapsed="false">
      <c r="B9140" s="9" t="s">
        <v>28</v>
      </c>
      <c r="C9140" s="9" t="n">
        <v>1185732</v>
      </c>
      <c r="D9140" s="10" t="n">
        <v>44546</v>
      </c>
      <c r="E9140" s="9" t="s">
        <v>29</v>
      </c>
      <c r="F9140" s="9" t="s">
        <v>102</v>
      </c>
      <c r="G9140" s="9" t="s">
        <v>103</v>
      </c>
      <c r="H9140" s="11" t="s">
        <v>25</v>
      </c>
      <c r="I9140" s="12" t="n">
        <v>53</v>
      </c>
      <c r="J9140" s="13" t="n">
        <v>178</v>
      </c>
      <c r="K9140" s="14" t="n">
        <f aca="false">I9140*J9140</f>
        <v>9434</v>
      </c>
      <c r="L9140" s="14" t="n">
        <f aca="false">($L$2*M9140)/100</f>
        <v>660916.575</v>
      </c>
      <c r="M9140" s="15" t="n">
        <v>0.55</v>
      </c>
      <c r="N9140" s="9" t="s">
        <v>26</v>
      </c>
    </row>
    <row r="9141" customFormat="false" ht="14.25" hidden="false" customHeight="true" outlineLevel="0" collapsed="false">
      <c r="B9141" s="9" t="s">
        <v>28</v>
      </c>
      <c r="C9141" s="9" t="n">
        <v>1197831</v>
      </c>
      <c r="D9141" s="10" t="n">
        <v>44219</v>
      </c>
      <c r="E9141" s="9" t="s">
        <v>29</v>
      </c>
      <c r="F9141" s="9" t="s">
        <v>102</v>
      </c>
      <c r="G9141" s="9" t="s">
        <v>103</v>
      </c>
      <c r="H9141" s="11" t="s">
        <v>19</v>
      </c>
      <c r="I9141" s="12" t="n">
        <v>17</v>
      </c>
      <c r="J9141" s="13" t="n">
        <v>215</v>
      </c>
      <c r="K9141" s="14" t="n">
        <f aca="false">I9141*J9141</f>
        <v>3655</v>
      </c>
      <c r="L9141" s="14" t="n">
        <f aca="false">($L$2*M9141)/100</f>
        <v>528733.26</v>
      </c>
      <c r="M9141" s="15" t="n">
        <v>0.44</v>
      </c>
      <c r="N9141" s="9" t="s">
        <v>26</v>
      </c>
    </row>
    <row r="9142" customFormat="false" ht="14.25" hidden="false" customHeight="true" outlineLevel="0" collapsed="false">
      <c r="B9142" s="9" t="s">
        <v>28</v>
      </c>
      <c r="C9142" s="9" t="n">
        <v>1197831</v>
      </c>
      <c r="D9142" s="10" t="n">
        <v>44219</v>
      </c>
      <c r="E9142" s="9" t="s">
        <v>29</v>
      </c>
      <c r="F9142" s="9" t="s">
        <v>102</v>
      </c>
      <c r="G9142" s="9" t="s">
        <v>103</v>
      </c>
      <c r="H9142" s="11" t="s">
        <v>21</v>
      </c>
      <c r="I9142" s="12" t="n">
        <v>18</v>
      </c>
      <c r="J9142" s="13" t="n">
        <v>135</v>
      </c>
      <c r="K9142" s="14" t="n">
        <f aca="false">I9142*J9142</f>
        <v>2430</v>
      </c>
      <c r="L9142" s="14" t="n">
        <f aca="false">($L$2*M9142)/100</f>
        <v>480666.6</v>
      </c>
      <c r="M9142" s="15" t="n">
        <v>0.4</v>
      </c>
      <c r="N9142" s="9" t="s">
        <v>26</v>
      </c>
    </row>
    <row r="9143" customFormat="false" ht="14.25" hidden="false" customHeight="true" outlineLevel="0" collapsed="false">
      <c r="B9143" s="9" t="s">
        <v>28</v>
      </c>
      <c r="C9143" s="9" t="n">
        <v>1197831</v>
      </c>
      <c r="D9143" s="10" t="n">
        <v>44219</v>
      </c>
      <c r="E9143" s="9" t="s">
        <v>29</v>
      </c>
      <c r="F9143" s="9" t="s">
        <v>102</v>
      </c>
      <c r="G9143" s="9" t="s">
        <v>103</v>
      </c>
      <c r="H9143" s="11" t="s">
        <v>22</v>
      </c>
      <c r="I9143" s="12" t="n">
        <v>11</v>
      </c>
      <c r="J9143" s="13" t="n">
        <v>140</v>
      </c>
      <c r="K9143" s="14" t="n">
        <f aca="false">I9143*J9143</f>
        <v>1540</v>
      </c>
      <c r="L9143" s="14" t="n">
        <f aca="false">($L$2*M9143)/100</f>
        <v>528733.26</v>
      </c>
      <c r="M9143" s="15" t="n">
        <v>0.44</v>
      </c>
      <c r="N9143" s="9" t="s">
        <v>26</v>
      </c>
    </row>
    <row r="9144" customFormat="false" ht="14.25" hidden="false" customHeight="true" outlineLevel="0" collapsed="false">
      <c r="B9144" s="9" t="s">
        <v>28</v>
      </c>
      <c r="C9144" s="9" t="n">
        <v>1197831</v>
      </c>
      <c r="D9144" s="10" t="n">
        <v>44219</v>
      </c>
      <c r="E9144" s="9" t="s">
        <v>29</v>
      </c>
      <c r="F9144" s="9" t="s">
        <v>102</v>
      </c>
      <c r="G9144" s="9" t="s">
        <v>103</v>
      </c>
      <c r="H9144" s="11" t="s">
        <v>23</v>
      </c>
      <c r="I9144" s="12" t="n">
        <v>13</v>
      </c>
      <c r="J9144" s="13" t="n">
        <v>102</v>
      </c>
      <c r="K9144" s="14" t="n">
        <f aca="false">I9144*J9144</f>
        <v>1326</v>
      </c>
      <c r="L9144" s="14" t="n">
        <f aca="false">($L$2*M9144)/100</f>
        <v>564783.255</v>
      </c>
      <c r="M9144" s="15" t="n">
        <v>0.47</v>
      </c>
      <c r="N9144" s="9" t="s">
        <v>26</v>
      </c>
    </row>
    <row r="9145" customFormat="false" ht="14.25" hidden="false" customHeight="true" outlineLevel="0" collapsed="false">
      <c r="B9145" s="9" t="s">
        <v>28</v>
      </c>
      <c r="C9145" s="9" t="n">
        <v>1197831</v>
      </c>
      <c r="D9145" s="10" t="n">
        <v>44219</v>
      </c>
      <c r="E9145" s="9" t="s">
        <v>29</v>
      </c>
      <c r="F9145" s="9" t="s">
        <v>102</v>
      </c>
      <c r="G9145" s="9" t="s">
        <v>103</v>
      </c>
      <c r="H9145" s="11" t="s">
        <v>24</v>
      </c>
      <c r="I9145" s="12" t="n">
        <v>26</v>
      </c>
      <c r="J9145" s="13" t="n">
        <v>123</v>
      </c>
      <c r="K9145" s="14" t="n">
        <f aca="false">I9145*J9145</f>
        <v>3198</v>
      </c>
      <c r="L9145" s="14" t="n">
        <f aca="false">($L$2*M9145)/100</f>
        <v>456633.27</v>
      </c>
      <c r="M9145" s="15" t="n">
        <v>0.38</v>
      </c>
      <c r="N9145" s="9" t="s">
        <v>26</v>
      </c>
    </row>
    <row r="9146" customFormat="false" ht="14.25" hidden="false" customHeight="true" outlineLevel="0" collapsed="false">
      <c r="B9146" s="9" t="s">
        <v>28</v>
      </c>
      <c r="C9146" s="9" t="n">
        <v>1197831</v>
      </c>
      <c r="D9146" s="10" t="n">
        <v>44219</v>
      </c>
      <c r="E9146" s="9" t="s">
        <v>29</v>
      </c>
      <c r="F9146" s="9" t="s">
        <v>102</v>
      </c>
      <c r="G9146" s="9" t="s">
        <v>103</v>
      </c>
      <c r="H9146" s="11" t="s">
        <v>25</v>
      </c>
      <c r="I9146" s="12" t="n">
        <v>18</v>
      </c>
      <c r="J9146" s="13" t="n">
        <v>158</v>
      </c>
      <c r="K9146" s="14" t="n">
        <f aca="false">I9146*J9146</f>
        <v>2844</v>
      </c>
      <c r="L9146" s="14" t="n">
        <f aca="false">($L$2*M9146)/100</f>
        <v>516716.595</v>
      </c>
      <c r="M9146" s="15" t="n">
        <v>0.43</v>
      </c>
      <c r="N9146" s="9" t="s">
        <v>26</v>
      </c>
    </row>
    <row r="9147" customFormat="false" ht="14.25" hidden="false" customHeight="true" outlineLevel="0" collapsed="false">
      <c r="B9147" s="9" t="s">
        <v>28</v>
      </c>
      <c r="C9147" s="9" t="n">
        <v>1197831</v>
      </c>
      <c r="D9147" s="10" t="n">
        <v>44248</v>
      </c>
      <c r="E9147" s="9" t="s">
        <v>29</v>
      </c>
      <c r="F9147" s="9" t="s">
        <v>102</v>
      </c>
      <c r="G9147" s="9" t="s">
        <v>103</v>
      </c>
      <c r="H9147" s="11" t="s">
        <v>19</v>
      </c>
      <c r="I9147" s="12" t="n">
        <v>17</v>
      </c>
      <c r="J9147" s="13" t="n">
        <v>210</v>
      </c>
      <c r="K9147" s="14" t="n">
        <f aca="false">I9147*J9147</f>
        <v>3570</v>
      </c>
      <c r="L9147" s="14" t="n">
        <f aca="false">($L$2*M9147)/100</f>
        <v>540749.925</v>
      </c>
      <c r="M9147" s="15" t="n">
        <v>0.45</v>
      </c>
      <c r="N9147" s="9" t="s">
        <v>26</v>
      </c>
    </row>
    <row r="9148" customFormat="false" ht="14.25" hidden="false" customHeight="true" outlineLevel="0" collapsed="false">
      <c r="B9148" s="9" t="s">
        <v>28</v>
      </c>
      <c r="C9148" s="9" t="n">
        <v>1197831</v>
      </c>
      <c r="D9148" s="10" t="n">
        <v>44248</v>
      </c>
      <c r="E9148" s="9" t="s">
        <v>29</v>
      </c>
      <c r="F9148" s="9" t="s">
        <v>102</v>
      </c>
      <c r="G9148" s="9" t="s">
        <v>103</v>
      </c>
      <c r="H9148" s="11" t="s">
        <v>21</v>
      </c>
      <c r="I9148" s="12" t="n">
        <v>17</v>
      </c>
      <c r="J9148" s="13" t="n">
        <v>112</v>
      </c>
      <c r="K9148" s="14" t="n">
        <f aca="false">I9148*J9148</f>
        <v>1904</v>
      </c>
      <c r="L9148" s="14" t="n">
        <f aca="false">($L$2*M9148)/100</f>
        <v>468649.935</v>
      </c>
      <c r="M9148" s="15" t="n">
        <v>0.39</v>
      </c>
      <c r="N9148" s="9" t="s">
        <v>26</v>
      </c>
    </row>
    <row r="9149" customFormat="false" ht="14.25" hidden="false" customHeight="true" outlineLevel="0" collapsed="false">
      <c r="B9149" s="9" t="s">
        <v>28</v>
      </c>
      <c r="C9149" s="9" t="n">
        <v>1197831</v>
      </c>
      <c r="D9149" s="10" t="n">
        <v>44248</v>
      </c>
      <c r="E9149" s="9" t="s">
        <v>29</v>
      </c>
      <c r="F9149" s="9" t="s">
        <v>102</v>
      </c>
      <c r="G9149" s="9" t="s">
        <v>103</v>
      </c>
      <c r="H9149" s="11" t="s">
        <v>22</v>
      </c>
      <c r="I9149" s="12" t="n">
        <v>11</v>
      </c>
      <c r="J9149" s="13" t="n">
        <v>136</v>
      </c>
      <c r="K9149" s="14" t="n">
        <f aca="false">I9149*J9149</f>
        <v>1496</v>
      </c>
      <c r="L9149" s="14" t="n">
        <f aca="false">($L$2*M9149)/100</f>
        <v>504699.93</v>
      </c>
      <c r="M9149" s="15" t="n">
        <v>0.42</v>
      </c>
      <c r="N9149" s="9" t="s">
        <v>26</v>
      </c>
    </row>
    <row r="9150" customFormat="false" ht="14.25" hidden="false" customHeight="true" outlineLevel="0" collapsed="false">
      <c r="B9150" s="9" t="s">
        <v>27</v>
      </c>
      <c r="C9150" s="9" t="n">
        <v>1197831</v>
      </c>
      <c r="D9150" s="10" t="n">
        <v>44248</v>
      </c>
      <c r="E9150" s="9" t="s">
        <v>29</v>
      </c>
      <c r="F9150" s="9" t="s">
        <v>104</v>
      </c>
      <c r="G9150" s="9" t="s">
        <v>105</v>
      </c>
      <c r="H9150" s="11" t="s">
        <v>23</v>
      </c>
      <c r="I9150" s="12" t="n">
        <v>15</v>
      </c>
      <c r="J9150" s="13" t="n">
        <v>78</v>
      </c>
      <c r="K9150" s="14" t="n">
        <f aca="false">I9150*J9150</f>
        <v>1170</v>
      </c>
      <c r="L9150" s="14" t="n">
        <f aca="false">($L$2*M9150)/100</f>
        <v>564783.255</v>
      </c>
      <c r="M9150" s="15" t="n">
        <v>0.47</v>
      </c>
      <c r="N9150" s="9" t="s">
        <v>26</v>
      </c>
    </row>
    <row r="9151" customFormat="false" ht="14.25" hidden="false" customHeight="true" outlineLevel="0" collapsed="false">
      <c r="B9151" s="9" t="s">
        <v>27</v>
      </c>
      <c r="C9151" s="9" t="n">
        <v>1197831</v>
      </c>
      <c r="D9151" s="10" t="n">
        <v>44248</v>
      </c>
      <c r="E9151" s="9" t="s">
        <v>29</v>
      </c>
      <c r="F9151" s="9" t="s">
        <v>104</v>
      </c>
      <c r="G9151" s="9" t="s">
        <v>105</v>
      </c>
      <c r="H9151" s="11" t="s">
        <v>24</v>
      </c>
      <c r="I9151" s="12" t="n">
        <v>23</v>
      </c>
      <c r="J9151" s="13" t="n">
        <v>111</v>
      </c>
      <c r="K9151" s="14" t="n">
        <f aca="false">I9151*J9151</f>
        <v>2553</v>
      </c>
      <c r="L9151" s="14" t="n">
        <f aca="false">($L$2*M9151)/100</f>
        <v>444616.605</v>
      </c>
      <c r="M9151" s="15" t="n">
        <v>0.37</v>
      </c>
      <c r="N9151" s="9" t="s">
        <v>26</v>
      </c>
    </row>
    <row r="9152" customFormat="false" ht="14.25" hidden="false" customHeight="true" outlineLevel="0" collapsed="false">
      <c r="B9152" s="9" t="s">
        <v>27</v>
      </c>
      <c r="C9152" s="9" t="n">
        <v>1197831</v>
      </c>
      <c r="D9152" s="10" t="n">
        <v>44248</v>
      </c>
      <c r="E9152" s="9" t="s">
        <v>29</v>
      </c>
      <c r="F9152" s="9" t="s">
        <v>104</v>
      </c>
      <c r="G9152" s="9" t="s">
        <v>105</v>
      </c>
      <c r="H9152" s="11" t="s">
        <v>25</v>
      </c>
      <c r="I9152" s="12" t="n">
        <v>16</v>
      </c>
      <c r="J9152" s="13" t="n">
        <v>145</v>
      </c>
      <c r="K9152" s="14" t="n">
        <f aca="false">I9152*J9152</f>
        <v>2320</v>
      </c>
      <c r="L9152" s="14" t="n">
        <f aca="false">($L$2*M9152)/100</f>
        <v>504699.93</v>
      </c>
      <c r="M9152" s="15" t="n">
        <v>0.42</v>
      </c>
      <c r="N9152" s="9" t="s">
        <v>26</v>
      </c>
    </row>
    <row r="9153" customFormat="false" ht="14.25" hidden="false" customHeight="true" outlineLevel="0" collapsed="false">
      <c r="B9153" s="9" t="s">
        <v>27</v>
      </c>
      <c r="C9153" s="9" t="n">
        <v>1197831</v>
      </c>
      <c r="D9153" s="10" t="n">
        <v>44274</v>
      </c>
      <c r="E9153" s="9" t="s">
        <v>29</v>
      </c>
      <c r="F9153" s="9" t="s">
        <v>104</v>
      </c>
      <c r="G9153" s="9" t="s">
        <v>105</v>
      </c>
      <c r="H9153" s="11" t="s">
        <v>19</v>
      </c>
      <c r="I9153" s="12" t="n">
        <v>15</v>
      </c>
      <c r="J9153" s="13" t="n">
        <v>206</v>
      </c>
      <c r="K9153" s="14" t="n">
        <f aca="false">I9153*J9153</f>
        <v>3090</v>
      </c>
      <c r="L9153" s="14" t="n">
        <f aca="false">($L$2*M9153)/100</f>
        <v>564783.255</v>
      </c>
      <c r="M9153" s="15" t="n">
        <v>0.47</v>
      </c>
      <c r="N9153" s="9" t="s">
        <v>26</v>
      </c>
    </row>
    <row r="9154" customFormat="false" ht="14.25" hidden="false" customHeight="true" outlineLevel="0" collapsed="false">
      <c r="B9154" s="9" t="s">
        <v>27</v>
      </c>
      <c r="C9154" s="9" t="n">
        <v>1197831</v>
      </c>
      <c r="D9154" s="10" t="n">
        <v>44274</v>
      </c>
      <c r="E9154" s="9" t="s">
        <v>29</v>
      </c>
      <c r="F9154" s="9" t="s">
        <v>104</v>
      </c>
      <c r="G9154" s="9" t="s">
        <v>105</v>
      </c>
      <c r="H9154" s="11" t="s">
        <v>21</v>
      </c>
      <c r="I9154" s="12" t="n">
        <v>14</v>
      </c>
      <c r="J9154" s="13" t="n">
        <v>107</v>
      </c>
      <c r="K9154" s="14" t="n">
        <f aca="false">I9154*J9154</f>
        <v>1498</v>
      </c>
      <c r="L9154" s="14" t="n">
        <f aca="false">($L$2*M9154)/100</f>
        <v>444616.605</v>
      </c>
      <c r="M9154" s="15" t="n">
        <v>0.37</v>
      </c>
      <c r="N9154" s="9" t="s">
        <v>26</v>
      </c>
    </row>
    <row r="9155" customFormat="false" ht="14.25" hidden="false" customHeight="true" outlineLevel="0" collapsed="false">
      <c r="B9155" s="9" t="s">
        <v>27</v>
      </c>
      <c r="C9155" s="9" t="n">
        <v>1197831</v>
      </c>
      <c r="D9155" s="10" t="n">
        <v>44274</v>
      </c>
      <c r="E9155" s="9" t="s">
        <v>29</v>
      </c>
      <c r="F9155" s="9" t="s">
        <v>104</v>
      </c>
      <c r="G9155" s="9" t="s">
        <v>105</v>
      </c>
      <c r="H9155" s="11" t="s">
        <v>22</v>
      </c>
      <c r="I9155" s="12" t="n">
        <v>8</v>
      </c>
      <c r="J9155" s="13" t="n">
        <v>112</v>
      </c>
      <c r="K9155" s="14" t="n">
        <f aca="false">I9155*J9155</f>
        <v>896</v>
      </c>
      <c r="L9155" s="14" t="n">
        <f aca="false">($L$2*M9155)/100</f>
        <v>540749.925</v>
      </c>
      <c r="M9155" s="15" t="n">
        <v>0.45</v>
      </c>
      <c r="N9155" s="9" t="s">
        <v>26</v>
      </c>
    </row>
    <row r="9156" customFormat="false" ht="14.25" hidden="false" customHeight="true" outlineLevel="0" collapsed="false">
      <c r="B9156" s="9" t="s">
        <v>27</v>
      </c>
      <c r="C9156" s="9" t="n">
        <v>1197831</v>
      </c>
      <c r="D9156" s="10" t="n">
        <v>44274</v>
      </c>
      <c r="E9156" s="9" t="s">
        <v>29</v>
      </c>
      <c r="F9156" s="9" t="s">
        <v>104</v>
      </c>
      <c r="G9156" s="9" t="s">
        <v>105</v>
      </c>
      <c r="H9156" s="11" t="s">
        <v>23</v>
      </c>
      <c r="I9156" s="12" t="n">
        <v>15</v>
      </c>
      <c r="J9156" s="13" t="n">
        <v>70</v>
      </c>
      <c r="K9156" s="14" t="n">
        <f aca="false">I9156*J9156</f>
        <v>1050</v>
      </c>
      <c r="L9156" s="14" t="n">
        <f aca="false">($L$2*M9156)/100</f>
        <v>564783.255</v>
      </c>
      <c r="M9156" s="15" t="n">
        <v>0.47</v>
      </c>
      <c r="N9156" s="9" t="s">
        <v>26</v>
      </c>
    </row>
    <row r="9157" customFormat="false" ht="14.25" hidden="false" customHeight="true" outlineLevel="0" collapsed="false">
      <c r="B9157" s="9" t="s">
        <v>27</v>
      </c>
      <c r="C9157" s="9" t="n">
        <v>1197831</v>
      </c>
      <c r="D9157" s="10" t="n">
        <v>44274</v>
      </c>
      <c r="E9157" s="9" t="s">
        <v>29</v>
      </c>
      <c r="F9157" s="9" t="s">
        <v>104</v>
      </c>
      <c r="G9157" s="9" t="s">
        <v>105</v>
      </c>
      <c r="H9157" s="11" t="s">
        <v>24</v>
      </c>
      <c r="I9157" s="12" t="n">
        <v>24</v>
      </c>
      <c r="J9157" s="13" t="n">
        <v>88</v>
      </c>
      <c r="K9157" s="14" t="n">
        <f aca="false">I9157*J9157</f>
        <v>2112</v>
      </c>
      <c r="L9157" s="14" t="n">
        <f aca="false">($L$2*M9157)/100</f>
        <v>480666.6</v>
      </c>
      <c r="M9157" s="15" t="n">
        <v>0.4</v>
      </c>
      <c r="N9157" s="9" t="s">
        <v>26</v>
      </c>
    </row>
    <row r="9158" customFormat="false" ht="14.25" hidden="false" customHeight="true" outlineLevel="0" collapsed="false">
      <c r="B9158" s="9" t="s">
        <v>27</v>
      </c>
      <c r="C9158" s="9" t="n">
        <v>1197831</v>
      </c>
      <c r="D9158" s="10" t="n">
        <v>44274</v>
      </c>
      <c r="E9158" s="9" t="s">
        <v>29</v>
      </c>
      <c r="F9158" s="9" t="s">
        <v>104</v>
      </c>
      <c r="G9158" s="9" t="s">
        <v>105</v>
      </c>
      <c r="H9158" s="11" t="s">
        <v>25</v>
      </c>
      <c r="I9158" s="12" t="n">
        <v>20</v>
      </c>
      <c r="J9158" s="13" t="n">
        <v>112</v>
      </c>
      <c r="K9158" s="14" t="n">
        <f aca="false">I9158*J9158</f>
        <v>2240</v>
      </c>
      <c r="L9158" s="14" t="n">
        <f aca="false">($L$2*M9158)/100</f>
        <v>552766.59</v>
      </c>
      <c r="M9158" s="15" t="n">
        <v>0.46</v>
      </c>
      <c r="N9158" s="9" t="s">
        <v>26</v>
      </c>
    </row>
    <row r="9159" customFormat="false" ht="14.25" hidden="false" customHeight="true" outlineLevel="0" collapsed="false">
      <c r="B9159" s="9" t="s">
        <v>27</v>
      </c>
      <c r="C9159" s="9" t="n">
        <v>1197831</v>
      </c>
      <c r="D9159" s="10" t="n">
        <v>44306</v>
      </c>
      <c r="E9159" s="9" t="s">
        <v>29</v>
      </c>
      <c r="F9159" s="9" t="s">
        <v>104</v>
      </c>
      <c r="G9159" s="9" t="s">
        <v>105</v>
      </c>
      <c r="H9159" s="11" t="s">
        <v>19</v>
      </c>
      <c r="I9159" s="12" t="n">
        <v>19</v>
      </c>
      <c r="J9159" s="13" t="n">
        <v>204</v>
      </c>
      <c r="K9159" s="14" t="n">
        <f aca="false">I9159*J9159</f>
        <v>3876</v>
      </c>
      <c r="L9159" s="14" t="n">
        <f aca="false">($L$2*M9159)/100</f>
        <v>540749.925</v>
      </c>
      <c r="M9159" s="15" t="n">
        <v>0.45</v>
      </c>
      <c r="N9159" s="9" t="s">
        <v>26</v>
      </c>
    </row>
    <row r="9160" customFormat="false" ht="14.25" hidden="false" customHeight="true" outlineLevel="0" collapsed="false">
      <c r="B9160" s="9" t="s">
        <v>27</v>
      </c>
      <c r="C9160" s="9" t="n">
        <v>1197831</v>
      </c>
      <c r="D9160" s="10" t="n">
        <v>44306</v>
      </c>
      <c r="E9160" s="9" t="s">
        <v>29</v>
      </c>
      <c r="F9160" s="9" t="s">
        <v>104</v>
      </c>
      <c r="G9160" s="9" t="s">
        <v>105</v>
      </c>
      <c r="H9160" s="11" t="s">
        <v>21</v>
      </c>
      <c r="I9160" s="12" t="n">
        <v>20</v>
      </c>
      <c r="J9160" s="13" t="n">
        <v>102</v>
      </c>
      <c r="K9160" s="14" t="n">
        <f aca="false">I9160*J9160</f>
        <v>2040</v>
      </c>
      <c r="L9160" s="14" t="n">
        <f aca="false">($L$2*M9160)/100</f>
        <v>480666.6</v>
      </c>
      <c r="M9160" s="15" t="n">
        <v>0.4</v>
      </c>
      <c r="N9160" s="9" t="s">
        <v>26</v>
      </c>
    </row>
    <row r="9161" customFormat="false" ht="14.25" hidden="false" customHeight="true" outlineLevel="0" collapsed="false">
      <c r="B9161" s="9" t="s">
        <v>27</v>
      </c>
      <c r="C9161" s="9" t="n">
        <v>1197831</v>
      </c>
      <c r="D9161" s="10" t="n">
        <v>44306</v>
      </c>
      <c r="E9161" s="9" t="s">
        <v>29</v>
      </c>
      <c r="F9161" s="9" t="s">
        <v>104</v>
      </c>
      <c r="G9161" s="9" t="s">
        <v>105</v>
      </c>
      <c r="H9161" s="11" t="s">
        <v>22</v>
      </c>
      <c r="I9161" s="12" t="n">
        <v>11</v>
      </c>
      <c r="J9161" s="13" t="n">
        <v>96</v>
      </c>
      <c r="K9161" s="14" t="n">
        <f aca="false">I9161*J9161</f>
        <v>1056</v>
      </c>
      <c r="L9161" s="14" t="n">
        <f aca="false">($L$2*M9161)/100</f>
        <v>564783.255</v>
      </c>
      <c r="M9161" s="15" t="n">
        <v>0.47</v>
      </c>
      <c r="N9161" s="9" t="s">
        <v>26</v>
      </c>
    </row>
    <row r="9162" customFormat="false" ht="14.25" hidden="false" customHeight="true" outlineLevel="0" collapsed="false">
      <c r="B9162" s="9" t="s">
        <v>27</v>
      </c>
      <c r="C9162" s="9" t="n">
        <v>1197831</v>
      </c>
      <c r="D9162" s="10" t="n">
        <v>44306</v>
      </c>
      <c r="E9162" s="9" t="s">
        <v>29</v>
      </c>
      <c r="F9162" s="9" t="s">
        <v>104</v>
      </c>
      <c r="G9162" s="9" t="s">
        <v>105</v>
      </c>
      <c r="H9162" s="11" t="s">
        <v>23</v>
      </c>
      <c r="I9162" s="12" t="n">
        <v>13</v>
      </c>
      <c r="J9162" s="13" t="n">
        <v>77</v>
      </c>
      <c r="K9162" s="14" t="n">
        <f aca="false">I9162*J9162</f>
        <v>1001</v>
      </c>
      <c r="L9162" s="14" t="n">
        <f aca="false">($L$2*M9162)/100</f>
        <v>564783.255</v>
      </c>
      <c r="M9162" s="15" t="n">
        <v>0.47</v>
      </c>
      <c r="N9162" s="9" t="s">
        <v>26</v>
      </c>
    </row>
    <row r="9163" customFormat="false" ht="14.25" hidden="false" customHeight="true" outlineLevel="0" collapsed="false">
      <c r="B9163" s="9" t="s">
        <v>27</v>
      </c>
      <c r="C9163" s="9" t="n">
        <v>1197831</v>
      </c>
      <c r="D9163" s="10" t="n">
        <v>44306</v>
      </c>
      <c r="E9163" s="9" t="s">
        <v>29</v>
      </c>
      <c r="F9163" s="9" t="s">
        <v>104</v>
      </c>
      <c r="G9163" s="9" t="s">
        <v>105</v>
      </c>
      <c r="H9163" s="11" t="s">
        <v>24</v>
      </c>
      <c r="I9163" s="12" t="n">
        <v>31</v>
      </c>
      <c r="J9163" s="13" t="n">
        <v>75</v>
      </c>
      <c r="K9163" s="14" t="n">
        <f aca="false">I9163*J9163</f>
        <v>2325</v>
      </c>
      <c r="L9163" s="14" t="n">
        <f aca="false">($L$2*M9163)/100</f>
        <v>444616.605</v>
      </c>
      <c r="M9163" s="15" t="n">
        <v>0.37</v>
      </c>
      <c r="N9163" s="9" t="s">
        <v>26</v>
      </c>
    </row>
    <row r="9164" customFormat="false" ht="14.25" hidden="false" customHeight="true" outlineLevel="0" collapsed="false">
      <c r="B9164" s="9" t="s">
        <v>27</v>
      </c>
      <c r="C9164" s="9" t="n">
        <v>1197831</v>
      </c>
      <c r="D9164" s="10" t="n">
        <v>44306</v>
      </c>
      <c r="E9164" s="9" t="s">
        <v>29</v>
      </c>
      <c r="F9164" s="9" t="s">
        <v>104</v>
      </c>
      <c r="G9164" s="9" t="s">
        <v>105</v>
      </c>
      <c r="H9164" s="11" t="s">
        <v>25</v>
      </c>
      <c r="I9164" s="12" t="n">
        <v>24</v>
      </c>
      <c r="J9164" s="13" t="n">
        <v>120</v>
      </c>
      <c r="K9164" s="14" t="n">
        <f aca="false">I9164*J9164</f>
        <v>2880</v>
      </c>
      <c r="L9164" s="14" t="n">
        <f aca="false">($L$2*M9164)/100</f>
        <v>528733.26</v>
      </c>
      <c r="M9164" s="15" t="n">
        <v>0.44</v>
      </c>
      <c r="N9164" s="9" t="s">
        <v>26</v>
      </c>
    </row>
    <row r="9165" customFormat="false" ht="14.25" hidden="false" customHeight="true" outlineLevel="0" collapsed="false">
      <c r="B9165" s="9" t="s">
        <v>27</v>
      </c>
      <c r="C9165" s="9" t="n">
        <v>1197831</v>
      </c>
      <c r="D9165" s="10" t="n">
        <v>44335</v>
      </c>
      <c r="E9165" s="9" t="s">
        <v>29</v>
      </c>
      <c r="F9165" s="9" t="s">
        <v>104</v>
      </c>
      <c r="G9165" s="9" t="s">
        <v>105</v>
      </c>
      <c r="H9165" s="11" t="s">
        <v>19</v>
      </c>
      <c r="I9165" s="12" t="n">
        <v>26</v>
      </c>
      <c r="J9165" s="13" t="n">
        <v>228</v>
      </c>
      <c r="K9165" s="14" t="n">
        <f aca="false">I9165*J9165</f>
        <v>5928</v>
      </c>
      <c r="L9165" s="14" t="n">
        <f aca="false">($L$2*M9165)/100</f>
        <v>552766.59</v>
      </c>
      <c r="M9165" s="15" t="n">
        <v>0.46</v>
      </c>
      <c r="N9165" s="9" t="s">
        <v>26</v>
      </c>
    </row>
    <row r="9166" customFormat="false" ht="14.25" hidden="false" customHeight="true" outlineLevel="0" collapsed="false">
      <c r="B9166" s="9" t="s">
        <v>27</v>
      </c>
      <c r="C9166" s="9" t="n">
        <v>1197831</v>
      </c>
      <c r="D9166" s="10" t="n">
        <v>44335</v>
      </c>
      <c r="E9166" s="9" t="s">
        <v>29</v>
      </c>
      <c r="F9166" s="9" t="s">
        <v>104</v>
      </c>
      <c r="G9166" s="9" t="s">
        <v>105</v>
      </c>
      <c r="H9166" s="11" t="s">
        <v>21</v>
      </c>
      <c r="I9166" s="12" t="n">
        <v>28</v>
      </c>
      <c r="J9166" s="13" t="n">
        <v>116</v>
      </c>
      <c r="K9166" s="14" t="n">
        <f aca="false">I9166*J9166</f>
        <v>3248</v>
      </c>
      <c r="L9166" s="14" t="n">
        <f aca="false">($L$2*M9166)/100</f>
        <v>504699.93</v>
      </c>
      <c r="M9166" s="15" t="n">
        <v>0.42</v>
      </c>
      <c r="N9166" s="9" t="s">
        <v>26</v>
      </c>
    </row>
    <row r="9167" customFormat="false" ht="14.25" hidden="false" customHeight="true" outlineLevel="0" collapsed="false">
      <c r="B9167" s="9" t="s">
        <v>27</v>
      </c>
      <c r="C9167" s="9" t="n">
        <v>1197831</v>
      </c>
      <c r="D9167" s="10" t="n">
        <v>44335</v>
      </c>
      <c r="E9167" s="9" t="s">
        <v>29</v>
      </c>
      <c r="F9167" s="9" t="s">
        <v>104</v>
      </c>
      <c r="G9167" s="9" t="s">
        <v>105</v>
      </c>
      <c r="H9167" s="11" t="s">
        <v>22</v>
      </c>
      <c r="I9167" s="12" t="n">
        <v>27</v>
      </c>
      <c r="J9167" s="13" t="n">
        <v>119</v>
      </c>
      <c r="K9167" s="14" t="n">
        <f aca="false">I9167*J9167</f>
        <v>3213</v>
      </c>
      <c r="L9167" s="14" t="n">
        <f aca="false">($L$2*M9167)/100</f>
        <v>528733.26</v>
      </c>
      <c r="M9167" s="15" t="n">
        <v>0.44</v>
      </c>
      <c r="N9167" s="9" t="s">
        <v>26</v>
      </c>
    </row>
    <row r="9168" customFormat="false" ht="14.25" hidden="false" customHeight="true" outlineLevel="0" collapsed="false">
      <c r="B9168" s="9" t="s">
        <v>27</v>
      </c>
      <c r="C9168" s="9" t="n">
        <v>1197831</v>
      </c>
      <c r="D9168" s="10" t="n">
        <v>44335</v>
      </c>
      <c r="E9168" s="9" t="s">
        <v>29</v>
      </c>
      <c r="F9168" s="9" t="s">
        <v>104</v>
      </c>
      <c r="G9168" s="9" t="s">
        <v>105</v>
      </c>
      <c r="H9168" s="11" t="s">
        <v>23</v>
      </c>
      <c r="I9168" s="12" t="n">
        <v>24</v>
      </c>
      <c r="J9168" s="13" t="n">
        <v>90</v>
      </c>
      <c r="K9168" s="14" t="n">
        <f aca="false">I9168*J9168</f>
        <v>2160</v>
      </c>
      <c r="L9168" s="14" t="n">
        <f aca="false">($L$2*M9168)/100</f>
        <v>564783.255</v>
      </c>
      <c r="M9168" s="15" t="n">
        <v>0.47</v>
      </c>
      <c r="N9168" s="9" t="s">
        <v>26</v>
      </c>
    </row>
    <row r="9169" customFormat="false" ht="14.25" hidden="false" customHeight="true" outlineLevel="0" collapsed="false">
      <c r="B9169" s="9" t="s">
        <v>27</v>
      </c>
      <c r="C9169" s="9" t="n">
        <v>1197831</v>
      </c>
      <c r="D9169" s="10" t="n">
        <v>44335</v>
      </c>
      <c r="E9169" s="9" t="s">
        <v>29</v>
      </c>
      <c r="F9169" s="9" t="s">
        <v>104</v>
      </c>
      <c r="G9169" s="9" t="s">
        <v>105</v>
      </c>
      <c r="H9169" s="11" t="s">
        <v>24</v>
      </c>
      <c r="I9169" s="12" t="n">
        <v>32</v>
      </c>
      <c r="J9169" s="13" t="n">
        <v>111</v>
      </c>
      <c r="K9169" s="14" t="n">
        <f aca="false">I9169*J9169</f>
        <v>3552</v>
      </c>
      <c r="L9169" s="14" t="n">
        <f aca="false">($L$2*M9169)/100</f>
        <v>468649.935</v>
      </c>
      <c r="M9169" s="15" t="n">
        <v>0.39</v>
      </c>
      <c r="N9169" s="9" t="s">
        <v>26</v>
      </c>
    </row>
    <row r="9170" customFormat="false" ht="14.25" hidden="false" customHeight="true" outlineLevel="0" collapsed="false">
      <c r="B9170" s="9" t="s">
        <v>27</v>
      </c>
      <c r="C9170" s="9" t="n">
        <v>1197831</v>
      </c>
      <c r="D9170" s="10" t="n">
        <v>44335</v>
      </c>
      <c r="E9170" s="9" t="s">
        <v>29</v>
      </c>
      <c r="F9170" s="9" t="s">
        <v>104</v>
      </c>
      <c r="G9170" s="9" t="s">
        <v>105</v>
      </c>
      <c r="H9170" s="11" t="s">
        <v>25</v>
      </c>
      <c r="I9170" s="12" t="n">
        <v>33</v>
      </c>
      <c r="J9170" s="13" t="n">
        <v>145</v>
      </c>
      <c r="K9170" s="14" t="n">
        <f aca="false">I9170*J9170</f>
        <v>4785</v>
      </c>
      <c r="L9170" s="14" t="n">
        <f aca="false">($L$2*M9170)/100</f>
        <v>564783.255</v>
      </c>
      <c r="M9170" s="15" t="n">
        <v>0.47</v>
      </c>
      <c r="N9170" s="9" t="s">
        <v>26</v>
      </c>
    </row>
    <row r="9171" customFormat="false" ht="14.25" hidden="false" customHeight="true" outlineLevel="0" collapsed="false">
      <c r="B9171" s="9" t="s">
        <v>27</v>
      </c>
      <c r="C9171" s="9" t="n">
        <v>1197831</v>
      </c>
      <c r="D9171" s="10" t="n">
        <v>44368</v>
      </c>
      <c r="E9171" s="9" t="s">
        <v>29</v>
      </c>
      <c r="F9171" s="9" t="s">
        <v>104</v>
      </c>
      <c r="G9171" s="9" t="s">
        <v>105</v>
      </c>
      <c r="H9171" s="11" t="s">
        <v>19</v>
      </c>
      <c r="I9171" s="12" t="n">
        <v>28</v>
      </c>
      <c r="J9171" s="13" t="n">
        <v>236</v>
      </c>
      <c r="K9171" s="14" t="n">
        <f aca="false">I9171*J9171</f>
        <v>6608</v>
      </c>
      <c r="L9171" s="14" t="n">
        <f aca="false">($L$2*M9171)/100</f>
        <v>528733.26</v>
      </c>
      <c r="M9171" s="15" t="n">
        <v>0.44</v>
      </c>
      <c r="N9171" s="9" t="s">
        <v>26</v>
      </c>
    </row>
    <row r="9172" customFormat="false" ht="14.25" hidden="false" customHeight="true" outlineLevel="0" collapsed="false">
      <c r="B9172" s="9" t="s">
        <v>27</v>
      </c>
      <c r="C9172" s="9" t="n">
        <v>1197831</v>
      </c>
      <c r="D9172" s="10" t="n">
        <v>44368</v>
      </c>
      <c r="E9172" s="9" t="s">
        <v>29</v>
      </c>
      <c r="F9172" s="9" t="s">
        <v>104</v>
      </c>
      <c r="G9172" s="9" t="s">
        <v>105</v>
      </c>
      <c r="H9172" s="11" t="s">
        <v>21</v>
      </c>
      <c r="I9172" s="12" t="n">
        <v>25</v>
      </c>
      <c r="J9172" s="13" t="n">
        <v>149</v>
      </c>
      <c r="K9172" s="14" t="n">
        <f aca="false">I9172*J9172</f>
        <v>3725</v>
      </c>
      <c r="L9172" s="14" t="n">
        <f aca="false">($L$2*M9172)/100</f>
        <v>468649.935</v>
      </c>
      <c r="M9172" s="15" t="n">
        <v>0.39</v>
      </c>
      <c r="N9172" s="9" t="s">
        <v>26</v>
      </c>
    </row>
    <row r="9173" customFormat="false" ht="14.25" hidden="false" customHeight="true" outlineLevel="0" collapsed="false">
      <c r="B9173" s="9" t="s">
        <v>27</v>
      </c>
      <c r="C9173" s="9" t="n">
        <v>1197831</v>
      </c>
      <c r="D9173" s="10" t="n">
        <v>44368</v>
      </c>
      <c r="E9173" s="9" t="s">
        <v>29</v>
      </c>
      <c r="F9173" s="9" t="s">
        <v>104</v>
      </c>
      <c r="G9173" s="9" t="s">
        <v>105</v>
      </c>
      <c r="H9173" s="11" t="s">
        <v>22</v>
      </c>
      <c r="I9173" s="12" t="n">
        <v>28</v>
      </c>
      <c r="J9173" s="13" t="n">
        <v>124</v>
      </c>
      <c r="K9173" s="14" t="n">
        <f aca="false">I9173*J9173</f>
        <v>3472</v>
      </c>
      <c r="L9173" s="14" t="n">
        <f aca="false">($L$2*M9173)/100</f>
        <v>540749.925</v>
      </c>
      <c r="M9173" s="15" t="n">
        <v>0.45</v>
      </c>
      <c r="N9173" s="9" t="s">
        <v>26</v>
      </c>
    </row>
    <row r="9174" customFormat="false" ht="14.25" hidden="false" customHeight="true" outlineLevel="0" collapsed="false">
      <c r="B9174" s="9" t="s">
        <v>27</v>
      </c>
      <c r="C9174" s="9" t="n">
        <v>1197831</v>
      </c>
      <c r="D9174" s="10" t="n">
        <v>44368</v>
      </c>
      <c r="E9174" s="9" t="s">
        <v>29</v>
      </c>
      <c r="F9174" s="9" t="s">
        <v>104</v>
      </c>
      <c r="G9174" s="9" t="s">
        <v>105</v>
      </c>
      <c r="H9174" s="11" t="s">
        <v>23</v>
      </c>
      <c r="I9174" s="12" t="n">
        <v>29</v>
      </c>
      <c r="J9174" s="13" t="n">
        <v>124</v>
      </c>
      <c r="K9174" s="14" t="n">
        <f aca="false">I9174*J9174</f>
        <v>3596</v>
      </c>
      <c r="L9174" s="14" t="n">
        <f aca="false">($L$2*M9174)/100</f>
        <v>528733.26</v>
      </c>
      <c r="M9174" s="15" t="n">
        <v>0.44</v>
      </c>
      <c r="N9174" s="9" t="s">
        <v>26</v>
      </c>
    </row>
    <row r="9175" customFormat="false" ht="14.25" hidden="false" customHeight="true" outlineLevel="0" collapsed="false">
      <c r="B9175" s="9" t="s">
        <v>27</v>
      </c>
      <c r="C9175" s="9" t="n">
        <v>1197831</v>
      </c>
      <c r="D9175" s="10" t="n">
        <v>44368</v>
      </c>
      <c r="E9175" s="9" t="s">
        <v>29</v>
      </c>
      <c r="F9175" s="9" t="s">
        <v>104</v>
      </c>
      <c r="G9175" s="9" t="s">
        <v>105</v>
      </c>
      <c r="H9175" s="11" t="s">
        <v>24</v>
      </c>
      <c r="I9175" s="12" t="n">
        <v>37</v>
      </c>
      <c r="J9175" s="13" t="n">
        <v>116</v>
      </c>
      <c r="K9175" s="14" t="n">
        <f aca="false">I9175*J9175</f>
        <v>4292</v>
      </c>
      <c r="L9175" s="14" t="n">
        <f aca="false">($L$2*M9175)/100</f>
        <v>468649.935</v>
      </c>
      <c r="M9175" s="15" t="n">
        <v>0.39</v>
      </c>
      <c r="N9175" s="9" t="s">
        <v>26</v>
      </c>
    </row>
    <row r="9176" customFormat="false" ht="14.25" hidden="false" customHeight="true" outlineLevel="0" collapsed="false">
      <c r="B9176" s="9" t="s">
        <v>27</v>
      </c>
      <c r="C9176" s="9" t="n">
        <v>1197831</v>
      </c>
      <c r="D9176" s="10" t="n">
        <v>44368</v>
      </c>
      <c r="E9176" s="9" t="s">
        <v>29</v>
      </c>
      <c r="F9176" s="9" t="s">
        <v>104</v>
      </c>
      <c r="G9176" s="9" t="s">
        <v>105</v>
      </c>
      <c r="H9176" s="11" t="s">
        <v>25</v>
      </c>
      <c r="I9176" s="12" t="n">
        <v>48</v>
      </c>
      <c r="J9176" s="13" t="n">
        <v>165</v>
      </c>
      <c r="K9176" s="14" t="n">
        <f aca="false">I9176*J9176</f>
        <v>7920</v>
      </c>
      <c r="L9176" s="14" t="n">
        <f aca="false">($L$2*M9176)/100</f>
        <v>516716.595</v>
      </c>
      <c r="M9176" s="15" t="n">
        <v>0.43</v>
      </c>
      <c r="N9176" s="9" t="s">
        <v>26</v>
      </c>
    </row>
    <row r="9177" customFormat="false" ht="14.25" hidden="false" customHeight="true" outlineLevel="0" collapsed="false">
      <c r="B9177" s="9" t="s">
        <v>27</v>
      </c>
      <c r="C9177" s="9" t="n">
        <v>1197831</v>
      </c>
      <c r="D9177" s="10" t="n">
        <v>44396</v>
      </c>
      <c r="E9177" s="9" t="s">
        <v>29</v>
      </c>
      <c r="F9177" s="9" t="s">
        <v>104</v>
      </c>
      <c r="G9177" s="9" t="s">
        <v>105</v>
      </c>
      <c r="H9177" s="11" t="s">
        <v>19</v>
      </c>
      <c r="I9177" s="12" t="n">
        <v>39</v>
      </c>
      <c r="J9177" s="13" t="n">
        <v>271</v>
      </c>
      <c r="K9177" s="14" t="n">
        <f aca="false">I9177*J9177</f>
        <v>10569</v>
      </c>
      <c r="L9177" s="14" t="n">
        <f aca="false">($L$2*M9177)/100</f>
        <v>504699.93</v>
      </c>
      <c r="M9177" s="15" t="n">
        <v>0.42</v>
      </c>
      <c r="N9177" s="9" t="s">
        <v>26</v>
      </c>
    </row>
    <row r="9178" customFormat="false" ht="14.25" hidden="false" customHeight="true" outlineLevel="0" collapsed="false">
      <c r="B9178" s="9" t="s">
        <v>27</v>
      </c>
      <c r="C9178" s="9" t="n">
        <v>1197831</v>
      </c>
      <c r="D9178" s="10" t="n">
        <v>44396</v>
      </c>
      <c r="E9178" s="9" t="s">
        <v>29</v>
      </c>
      <c r="F9178" s="9" t="s">
        <v>104</v>
      </c>
      <c r="G9178" s="9" t="s">
        <v>105</v>
      </c>
      <c r="H9178" s="11" t="s">
        <v>21</v>
      </c>
      <c r="I9178" s="12" t="n">
        <v>36</v>
      </c>
      <c r="J9178" s="13" t="n">
        <v>163</v>
      </c>
      <c r="K9178" s="14" t="n">
        <f aca="false">I9178*J9178</f>
        <v>5868</v>
      </c>
      <c r="L9178" s="14" t="n">
        <f aca="false">($L$2*M9178)/100</f>
        <v>444616.605</v>
      </c>
      <c r="M9178" s="15" t="n">
        <v>0.37</v>
      </c>
      <c r="N9178" s="9" t="s">
        <v>26</v>
      </c>
    </row>
    <row r="9179" customFormat="false" ht="14.25" hidden="false" customHeight="true" outlineLevel="0" collapsed="false">
      <c r="B9179" s="9" t="s">
        <v>27</v>
      </c>
      <c r="C9179" s="9" t="n">
        <v>1197831</v>
      </c>
      <c r="D9179" s="10" t="n">
        <v>44396</v>
      </c>
      <c r="E9179" s="9" t="s">
        <v>29</v>
      </c>
      <c r="F9179" s="9" t="s">
        <v>104</v>
      </c>
      <c r="G9179" s="9" t="s">
        <v>105</v>
      </c>
      <c r="H9179" s="11" t="s">
        <v>22</v>
      </c>
      <c r="I9179" s="12" t="n">
        <v>32</v>
      </c>
      <c r="J9179" s="13" t="n">
        <v>140</v>
      </c>
      <c r="K9179" s="14" t="n">
        <f aca="false">I9179*J9179</f>
        <v>4480</v>
      </c>
      <c r="L9179" s="14" t="n">
        <f aca="false">($L$2*M9179)/100</f>
        <v>528733.26</v>
      </c>
      <c r="M9179" s="15" t="n">
        <v>0.44</v>
      </c>
      <c r="N9179" s="9" t="s">
        <v>26</v>
      </c>
    </row>
    <row r="9180" customFormat="false" ht="14.25" hidden="false" customHeight="true" outlineLevel="0" collapsed="false">
      <c r="B9180" s="9" t="s">
        <v>27</v>
      </c>
      <c r="C9180" s="9" t="n">
        <v>1197831</v>
      </c>
      <c r="D9180" s="10" t="n">
        <v>44396</v>
      </c>
      <c r="E9180" s="9" t="s">
        <v>29</v>
      </c>
      <c r="F9180" s="9" t="s">
        <v>104</v>
      </c>
      <c r="G9180" s="9" t="s">
        <v>105</v>
      </c>
      <c r="H9180" s="11" t="s">
        <v>23</v>
      </c>
      <c r="I9180" s="12" t="n">
        <v>35</v>
      </c>
      <c r="J9180" s="13" t="n">
        <v>120</v>
      </c>
      <c r="K9180" s="14" t="n">
        <f aca="false">I9180*J9180</f>
        <v>4200</v>
      </c>
      <c r="L9180" s="14" t="n">
        <f aca="false">($L$2*M9180)/100</f>
        <v>516716.595</v>
      </c>
      <c r="M9180" s="15" t="n">
        <v>0.43</v>
      </c>
      <c r="N9180" s="9" t="s">
        <v>26</v>
      </c>
    </row>
    <row r="9181" customFormat="false" ht="14.25" hidden="false" customHeight="true" outlineLevel="0" collapsed="false">
      <c r="B9181" s="9" t="s">
        <v>27</v>
      </c>
      <c r="C9181" s="9" t="n">
        <v>1197831</v>
      </c>
      <c r="D9181" s="10" t="n">
        <v>44396</v>
      </c>
      <c r="E9181" s="9" t="s">
        <v>29</v>
      </c>
      <c r="F9181" s="9" t="s">
        <v>104</v>
      </c>
      <c r="G9181" s="9" t="s">
        <v>105</v>
      </c>
      <c r="H9181" s="11" t="s">
        <v>24</v>
      </c>
      <c r="I9181" s="12" t="n">
        <v>40</v>
      </c>
      <c r="J9181" s="13" t="n">
        <v>149</v>
      </c>
      <c r="K9181" s="14" t="n">
        <f aca="false">I9181*J9181</f>
        <v>5960</v>
      </c>
      <c r="L9181" s="14" t="n">
        <f aca="false">($L$2*M9181)/100</f>
        <v>480666.6</v>
      </c>
      <c r="M9181" s="15" t="n">
        <v>0.4</v>
      </c>
      <c r="N9181" s="9" t="s">
        <v>26</v>
      </c>
    </row>
    <row r="9182" customFormat="false" ht="14.25" hidden="false" customHeight="true" outlineLevel="0" collapsed="false">
      <c r="B9182" s="9" t="s">
        <v>27</v>
      </c>
      <c r="C9182" s="9" t="n">
        <v>1197831</v>
      </c>
      <c r="D9182" s="10" t="n">
        <v>44396</v>
      </c>
      <c r="E9182" s="9" t="s">
        <v>29</v>
      </c>
      <c r="F9182" s="9" t="s">
        <v>104</v>
      </c>
      <c r="G9182" s="9" t="s">
        <v>105</v>
      </c>
      <c r="H9182" s="11" t="s">
        <v>25</v>
      </c>
      <c r="I9182" s="12" t="n">
        <v>50</v>
      </c>
      <c r="J9182" s="13" t="n">
        <v>198</v>
      </c>
      <c r="K9182" s="14" t="n">
        <f aca="false">I9182*J9182</f>
        <v>9900</v>
      </c>
      <c r="L9182" s="14" t="n">
        <f aca="false">($L$2*M9182)/100</f>
        <v>552766.59</v>
      </c>
      <c r="M9182" s="15" t="n">
        <v>0.46</v>
      </c>
      <c r="N9182" s="9" t="s">
        <v>26</v>
      </c>
    </row>
    <row r="9183" customFormat="false" ht="14.25" hidden="false" customHeight="true" outlineLevel="0" collapsed="false">
      <c r="B9183" s="9" t="s">
        <v>27</v>
      </c>
      <c r="C9183" s="9" t="n">
        <v>1197831</v>
      </c>
      <c r="D9183" s="10" t="n">
        <v>44428</v>
      </c>
      <c r="E9183" s="9" t="s">
        <v>29</v>
      </c>
      <c r="F9183" s="9" t="s">
        <v>104</v>
      </c>
      <c r="G9183" s="9" t="s">
        <v>105</v>
      </c>
      <c r="H9183" s="11" t="s">
        <v>19</v>
      </c>
      <c r="I9183" s="12" t="n">
        <v>43</v>
      </c>
      <c r="J9183" s="13" t="n">
        <v>233</v>
      </c>
      <c r="K9183" s="14" t="n">
        <f aca="false">I9183*J9183</f>
        <v>10019</v>
      </c>
      <c r="L9183" s="14" t="n">
        <f aca="false">($L$2*M9183)/100</f>
        <v>540749.925</v>
      </c>
      <c r="M9183" s="15" t="n">
        <v>0.45</v>
      </c>
      <c r="N9183" s="9" t="s">
        <v>26</v>
      </c>
    </row>
    <row r="9184" customFormat="false" ht="14.25" hidden="false" customHeight="true" outlineLevel="0" collapsed="false">
      <c r="B9184" s="9" t="s">
        <v>27</v>
      </c>
      <c r="C9184" s="9" t="n">
        <v>1197831</v>
      </c>
      <c r="D9184" s="10" t="n">
        <v>44428</v>
      </c>
      <c r="E9184" s="9" t="s">
        <v>29</v>
      </c>
      <c r="F9184" s="9" t="s">
        <v>104</v>
      </c>
      <c r="G9184" s="9" t="s">
        <v>105</v>
      </c>
      <c r="H9184" s="11" t="s">
        <v>21</v>
      </c>
      <c r="I9184" s="12" t="n">
        <v>42</v>
      </c>
      <c r="J9184" s="13" t="n">
        <v>163</v>
      </c>
      <c r="K9184" s="14" t="n">
        <f aca="false">I9184*J9184</f>
        <v>6846</v>
      </c>
      <c r="L9184" s="14" t="n">
        <f aca="false">($L$2*M9184)/100</f>
        <v>468649.935</v>
      </c>
      <c r="M9184" s="15" t="n">
        <v>0.39</v>
      </c>
      <c r="N9184" s="9" t="s">
        <v>26</v>
      </c>
    </row>
    <row r="9185" customFormat="false" ht="14.25" hidden="false" customHeight="true" outlineLevel="0" collapsed="false">
      <c r="B9185" s="9" t="s">
        <v>27</v>
      </c>
      <c r="C9185" s="9" t="n">
        <v>1197831</v>
      </c>
      <c r="D9185" s="10" t="n">
        <v>44428</v>
      </c>
      <c r="E9185" s="9" t="s">
        <v>29</v>
      </c>
      <c r="F9185" s="9" t="s">
        <v>104</v>
      </c>
      <c r="G9185" s="9" t="s">
        <v>105</v>
      </c>
      <c r="H9185" s="11" t="s">
        <v>22</v>
      </c>
      <c r="I9185" s="12" t="n">
        <v>40</v>
      </c>
      <c r="J9185" s="13" t="n">
        <v>135</v>
      </c>
      <c r="K9185" s="14" t="n">
        <f aca="false">I9185*J9185</f>
        <v>5400</v>
      </c>
      <c r="L9185" s="14" t="n">
        <f aca="false">($L$2*M9185)/100</f>
        <v>528733.26</v>
      </c>
      <c r="M9185" s="15" t="n">
        <v>0.44</v>
      </c>
      <c r="N9185" s="9" t="s">
        <v>26</v>
      </c>
    </row>
    <row r="9186" customFormat="false" ht="14.25" hidden="false" customHeight="true" outlineLevel="0" collapsed="false">
      <c r="B9186" s="9" t="s">
        <v>27</v>
      </c>
      <c r="C9186" s="9" t="n">
        <v>1197831</v>
      </c>
      <c r="D9186" s="10" t="n">
        <v>44428</v>
      </c>
      <c r="E9186" s="9" t="s">
        <v>29</v>
      </c>
      <c r="F9186" s="9" t="s">
        <v>104</v>
      </c>
      <c r="G9186" s="9" t="s">
        <v>105</v>
      </c>
      <c r="H9186" s="11" t="s">
        <v>23</v>
      </c>
      <c r="I9186" s="12" t="n">
        <v>29</v>
      </c>
      <c r="J9186" s="13" t="n">
        <v>132</v>
      </c>
      <c r="K9186" s="14" t="n">
        <f aca="false">I9186*J9186</f>
        <v>3828</v>
      </c>
      <c r="L9186" s="14" t="n">
        <f aca="false">($L$2*M9186)/100</f>
        <v>540749.925</v>
      </c>
      <c r="M9186" s="15" t="n">
        <v>0.45</v>
      </c>
      <c r="N9186" s="9" t="s">
        <v>26</v>
      </c>
    </row>
    <row r="9187" customFormat="false" ht="14.25" hidden="false" customHeight="true" outlineLevel="0" collapsed="false">
      <c r="B9187" s="9" t="s">
        <v>27</v>
      </c>
      <c r="C9187" s="9" t="n">
        <v>1197831</v>
      </c>
      <c r="D9187" s="10" t="n">
        <v>44428</v>
      </c>
      <c r="E9187" s="9" t="s">
        <v>29</v>
      </c>
      <c r="F9187" s="9" t="s">
        <v>104</v>
      </c>
      <c r="G9187" s="9" t="s">
        <v>105</v>
      </c>
      <c r="H9187" s="11" t="s">
        <v>24</v>
      </c>
      <c r="I9187" s="12" t="n">
        <v>40</v>
      </c>
      <c r="J9187" s="13" t="n">
        <v>113</v>
      </c>
      <c r="K9187" s="14" t="n">
        <f aca="false">I9187*J9187</f>
        <v>4520</v>
      </c>
      <c r="L9187" s="14" t="n">
        <f aca="false">($L$2*M9187)/100</f>
        <v>444616.605</v>
      </c>
      <c r="M9187" s="15" t="n">
        <v>0.37</v>
      </c>
      <c r="N9187" s="9" t="s">
        <v>26</v>
      </c>
    </row>
    <row r="9188" customFormat="false" ht="14.25" hidden="false" customHeight="true" outlineLevel="0" collapsed="false">
      <c r="B9188" s="9" t="s">
        <v>27</v>
      </c>
      <c r="C9188" s="9" t="n">
        <v>1197831</v>
      </c>
      <c r="D9188" s="10" t="n">
        <v>44428</v>
      </c>
      <c r="E9188" s="9" t="s">
        <v>29</v>
      </c>
      <c r="F9188" s="9" t="s">
        <v>104</v>
      </c>
      <c r="G9188" s="9" t="s">
        <v>105</v>
      </c>
      <c r="H9188" s="11" t="s">
        <v>25</v>
      </c>
      <c r="I9188" s="12" t="n">
        <v>40</v>
      </c>
      <c r="J9188" s="13" t="n">
        <v>193</v>
      </c>
      <c r="K9188" s="14" t="n">
        <f aca="false">I9188*J9188</f>
        <v>7720</v>
      </c>
      <c r="L9188" s="14" t="n">
        <f aca="false">($L$2*M9188)/100</f>
        <v>564783.255</v>
      </c>
      <c r="M9188" s="15" t="n">
        <v>0.47</v>
      </c>
      <c r="N9188" s="9" t="s">
        <v>26</v>
      </c>
    </row>
    <row r="9189" customFormat="false" ht="14.25" hidden="false" customHeight="true" outlineLevel="0" collapsed="false">
      <c r="B9189" s="9" t="s">
        <v>27</v>
      </c>
      <c r="C9189" s="9" t="n">
        <v>1197831</v>
      </c>
      <c r="D9189" s="10" t="n">
        <v>44458</v>
      </c>
      <c r="E9189" s="9" t="s">
        <v>29</v>
      </c>
      <c r="F9189" s="9" t="s">
        <v>104</v>
      </c>
      <c r="G9189" s="9" t="s">
        <v>105</v>
      </c>
      <c r="H9189" s="11" t="s">
        <v>19</v>
      </c>
      <c r="I9189" s="12" t="n">
        <v>35</v>
      </c>
      <c r="J9189" s="13" t="n">
        <v>221</v>
      </c>
      <c r="K9189" s="14" t="n">
        <f aca="false">I9189*J9189</f>
        <v>7735</v>
      </c>
      <c r="L9189" s="14" t="n">
        <f aca="false">($L$2*M9189)/100</f>
        <v>516716.595</v>
      </c>
      <c r="M9189" s="15" t="n">
        <v>0.43</v>
      </c>
      <c r="N9189" s="9" t="s">
        <v>26</v>
      </c>
    </row>
    <row r="9190" customFormat="false" ht="14.25" hidden="false" customHeight="true" outlineLevel="0" collapsed="false">
      <c r="B9190" s="9" t="s">
        <v>27</v>
      </c>
      <c r="C9190" s="9" t="n">
        <v>1197831</v>
      </c>
      <c r="D9190" s="10" t="n">
        <v>44458</v>
      </c>
      <c r="E9190" s="9" t="s">
        <v>29</v>
      </c>
      <c r="F9190" s="9" t="s">
        <v>104</v>
      </c>
      <c r="G9190" s="9" t="s">
        <v>105</v>
      </c>
      <c r="H9190" s="11" t="s">
        <v>21</v>
      </c>
      <c r="I9190" s="12" t="n">
        <v>26</v>
      </c>
      <c r="J9190" s="13" t="n">
        <v>135</v>
      </c>
      <c r="K9190" s="14" t="n">
        <f aca="false">I9190*J9190</f>
        <v>3510</v>
      </c>
      <c r="L9190" s="14" t="n">
        <f aca="false">($L$2*M9190)/100</f>
        <v>492683.265</v>
      </c>
      <c r="M9190" s="15" t="n">
        <v>0.41</v>
      </c>
      <c r="N9190" s="9" t="s">
        <v>26</v>
      </c>
    </row>
    <row r="9191" customFormat="false" ht="14.25" hidden="false" customHeight="true" outlineLevel="0" collapsed="false">
      <c r="B9191" s="9" t="s">
        <v>27</v>
      </c>
      <c r="C9191" s="9" t="n">
        <v>1197831</v>
      </c>
      <c r="D9191" s="10" t="n">
        <v>44458</v>
      </c>
      <c r="E9191" s="9" t="s">
        <v>29</v>
      </c>
      <c r="F9191" s="9" t="s">
        <v>104</v>
      </c>
      <c r="G9191" s="9" t="s">
        <v>105</v>
      </c>
      <c r="H9191" s="11" t="s">
        <v>22</v>
      </c>
      <c r="I9191" s="12" t="n">
        <v>11</v>
      </c>
      <c r="J9191" s="13" t="n">
        <v>123</v>
      </c>
      <c r="K9191" s="14" t="n">
        <f aca="false">I9191*J9191</f>
        <v>1353</v>
      </c>
      <c r="L9191" s="14" t="n">
        <f aca="false">($L$2*M9191)/100</f>
        <v>564783.255</v>
      </c>
      <c r="M9191" s="15" t="n">
        <v>0.47</v>
      </c>
      <c r="N9191" s="9" t="s">
        <v>26</v>
      </c>
    </row>
    <row r="9192" customFormat="false" ht="14.25" hidden="false" customHeight="true" outlineLevel="0" collapsed="false">
      <c r="B9192" s="9" t="s">
        <v>27</v>
      </c>
      <c r="C9192" s="9" t="n">
        <v>1197831</v>
      </c>
      <c r="D9192" s="10" t="n">
        <v>44458</v>
      </c>
      <c r="E9192" s="9" t="s">
        <v>29</v>
      </c>
      <c r="F9192" s="9" t="s">
        <v>104</v>
      </c>
      <c r="G9192" s="9" t="s">
        <v>105</v>
      </c>
      <c r="H9192" s="11" t="s">
        <v>23</v>
      </c>
      <c r="I9192" s="12" t="n">
        <v>12</v>
      </c>
      <c r="J9192" s="13" t="n">
        <v>104</v>
      </c>
      <c r="K9192" s="14" t="n">
        <f aca="false">I9192*J9192</f>
        <v>1248</v>
      </c>
      <c r="L9192" s="14" t="n">
        <f aca="false">($L$2*M9192)/100</f>
        <v>504699.93</v>
      </c>
      <c r="M9192" s="15" t="n">
        <v>0.42</v>
      </c>
      <c r="N9192" s="9" t="s">
        <v>26</v>
      </c>
    </row>
    <row r="9193" customFormat="false" ht="14.25" hidden="false" customHeight="true" outlineLevel="0" collapsed="false">
      <c r="B9193" s="9" t="s">
        <v>27</v>
      </c>
      <c r="C9193" s="9" t="n">
        <v>1197831</v>
      </c>
      <c r="D9193" s="10" t="n">
        <v>44458</v>
      </c>
      <c r="E9193" s="9" t="s">
        <v>29</v>
      </c>
      <c r="F9193" s="9" t="s">
        <v>104</v>
      </c>
      <c r="G9193" s="9" t="s">
        <v>105</v>
      </c>
      <c r="H9193" s="11" t="s">
        <v>24</v>
      </c>
      <c r="I9193" s="12" t="n">
        <v>18</v>
      </c>
      <c r="J9193" s="13" t="n">
        <v>111</v>
      </c>
      <c r="K9193" s="14" t="n">
        <f aca="false">I9193*J9193</f>
        <v>1998</v>
      </c>
      <c r="L9193" s="14" t="n">
        <f aca="false">($L$2*M9193)/100</f>
        <v>468649.935</v>
      </c>
      <c r="M9193" s="15" t="n">
        <v>0.39</v>
      </c>
      <c r="N9193" s="9" t="s">
        <v>26</v>
      </c>
    </row>
    <row r="9194" customFormat="false" ht="14.25" hidden="false" customHeight="true" outlineLevel="0" collapsed="false">
      <c r="B9194" s="9" t="s">
        <v>27</v>
      </c>
      <c r="C9194" s="9" t="n">
        <v>1197831</v>
      </c>
      <c r="D9194" s="10" t="n">
        <v>44458</v>
      </c>
      <c r="E9194" s="9" t="s">
        <v>29</v>
      </c>
      <c r="F9194" s="9" t="s">
        <v>104</v>
      </c>
      <c r="G9194" s="9" t="s">
        <v>105</v>
      </c>
      <c r="H9194" s="11" t="s">
        <v>25</v>
      </c>
      <c r="I9194" s="12" t="n">
        <v>22</v>
      </c>
      <c r="J9194" s="13" t="n">
        <v>140</v>
      </c>
      <c r="K9194" s="14" t="n">
        <f aca="false">I9194*J9194</f>
        <v>3080</v>
      </c>
      <c r="L9194" s="14" t="n">
        <f aca="false">($L$2*M9194)/100</f>
        <v>504699.93</v>
      </c>
      <c r="M9194" s="15" t="n">
        <v>0.42</v>
      </c>
      <c r="N9194" s="9" t="s">
        <v>26</v>
      </c>
    </row>
    <row r="9195" customFormat="false" ht="14.25" hidden="false" customHeight="true" outlineLevel="0" collapsed="false">
      <c r="B9195" s="9" t="s">
        <v>27</v>
      </c>
      <c r="C9195" s="9" t="n">
        <v>1197831</v>
      </c>
      <c r="D9195" s="10" t="n">
        <v>44490</v>
      </c>
      <c r="E9195" s="9" t="s">
        <v>29</v>
      </c>
      <c r="F9195" s="9" t="s">
        <v>104</v>
      </c>
      <c r="G9195" s="9" t="s">
        <v>105</v>
      </c>
      <c r="H9195" s="11" t="s">
        <v>19</v>
      </c>
      <c r="I9195" s="12" t="n">
        <v>21</v>
      </c>
      <c r="J9195" s="13" t="n">
        <v>180</v>
      </c>
      <c r="K9195" s="14" t="n">
        <f aca="false">I9195*J9195</f>
        <v>3780</v>
      </c>
      <c r="L9195" s="14" t="n">
        <f aca="false">($L$2*M9195)/100</f>
        <v>540749.925</v>
      </c>
      <c r="M9195" s="15" t="n">
        <v>0.45</v>
      </c>
      <c r="N9195" s="9" t="s">
        <v>26</v>
      </c>
    </row>
    <row r="9196" customFormat="false" ht="14.25" hidden="false" customHeight="true" outlineLevel="0" collapsed="false">
      <c r="B9196" s="9" t="s">
        <v>27</v>
      </c>
      <c r="C9196" s="9" t="n">
        <v>1197831</v>
      </c>
      <c r="D9196" s="10" t="n">
        <v>44490</v>
      </c>
      <c r="E9196" s="9" t="s">
        <v>29</v>
      </c>
      <c r="F9196" s="9" t="s">
        <v>104</v>
      </c>
      <c r="G9196" s="9" t="s">
        <v>105</v>
      </c>
      <c r="H9196" s="11" t="s">
        <v>21</v>
      </c>
      <c r="I9196" s="12" t="n">
        <v>14</v>
      </c>
      <c r="J9196" s="13" t="n">
        <v>132</v>
      </c>
      <c r="K9196" s="14" t="n">
        <f aca="false">I9196*J9196</f>
        <v>1848</v>
      </c>
      <c r="L9196" s="14" t="n">
        <f aca="false">($L$2*M9196)/100</f>
        <v>480666.6</v>
      </c>
      <c r="M9196" s="15" t="n">
        <v>0.4</v>
      </c>
      <c r="N9196" s="9" t="s">
        <v>26</v>
      </c>
    </row>
    <row r="9197" customFormat="false" ht="14.25" hidden="false" customHeight="true" outlineLevel="0" collapsed="false">
      <c r="B9197" s="9" t="s">
        <v>27</v>
      </c>
      <c r="C9197" s="9" t="n">
        <v>1197831</v>
      </c>
      <c r="D9197" s="10" t="n">
        <v>44490</v>
      </c>
      <c r="E9197" s="9" t="s">
        <v>29</v>
      </c>
      <c r="F9197" s="9" t="s">
        <v>104</v>
      </c>
      <c r="G9197" s="9" t="s">
        <v>105</v>
      </c>
      <c r="H9197" s="11" t="s">
        <v>22</v>
      </c>
      <c r="I9197" s="12" t="n">
        <v>16</v>
      </c>
      <c r="J9197" s="13" t="n">
        <v>99</v>
      </c>
      <c r="K9197" s="14" t="n">
        <f aca="false">I9197*J9197</f>
        <v>1584</v>
      </c>
      <c r="L9197" s="14" t="n">
        <f aca="false">($L$2*M9197)/100</f>
        <v>552766.59</v>
      </c>
      <c r="M9197" s="15" t="n">
        <v>0.46</v>
      </c>
      <c r="N9197" s="9" t="s">
        <v>26</v>
      </c>
    </row>
    <row r="9198" customFormat="false" ht="14.25" hidden="false" customHeight="true" outlineLevel="0" collapsed="false">
      <c r="B9198" s="9" t="s">
        <v>27</v>
      </c>
      <c r="C9198" s="9" t="n">
        <v>1197831</v>
      </c>
      <c r="D9198" s="10" t="n">
        <v>44490</v>
      </c>
      <c r="E9198" s="9" t="s">
        <v>29</v>
      </c>
      <c r="F9198" s="9" t="s">
        <v>104</v>
      </c>
      <c r="G9198" s="9" t="s">
        <v>105</v>
      </c>
      <c r="H9198" s="11" t="s">
        <v>23</v>
      </c>
      <c r="I9198" s="12" t="n">
        <v>15</v>
      </c>
      <c r="J9198" s="13" t="n">
        <v>94</v>
      </c>
      <c r="K9198" s="14" t="n">
        <f aca="false">I9198*J9198</f>
        <v>1410</v>
      </c>
      <c r="L9198" s="14" t="n">
        <f aca="false">($L$2*M9198)/100</f>
        <v>540749.925</v>
      </c>
      <c r="M9198" s="15" t="n">
        <v>0.45</v>
      </c>
      <c r="N9198" s="9" t="s">
        <v>26</v>
      </c>
    </row>
    <row r="9199" customFormat="false" ht="14.25" hidden="false" customHeight="true" outlineLevel="0" collapsed="false">
      <c r="B9199" s="9" t="s">
        <v>27</v>
      </c>
      <c r="C9199" s="9" t="n">
        <v>1197831</v>
      </c>
      <c r="D9199" s="10" t="n">
        <v>44490</v>
      </c>
      <c r="E9199" s="9" t="s">
        <v>29</v>
      </c>
      <c r="F9199" s="9" t="s">
        <v>104</v>
      </c>
      <c r="G9199" s="9" t="s">
        <v>105</v>
      </c>
      <c r="H9199" s="11" t="s">
        <v>24</v>
      </c>
      <c r="I9199" s="12" t="n">
        <v>21</v>
      </c>
      <c r="J9199" s="13" t="n">
        <v>91</v>
      </c>
      <c r="K9199" s="14" t="n">
        <f aca="false">I9199*J9199</f>
        <v>1911</v>
      </c>
      <c r="L9199" s="14" t="n">
        <f aca="false">($L$2*M9199)/100</f>
        <v>444616.605</v>
      </c>
      <c r="M9199" s="15" t="n">
        <v>0.37</v>
      </c>
      <c r="N9199" s="9" t="s">
        <v>26</v>
      </c>
    </row>
    <row r="9200" customFormat="false" ht="14.25" hidden="false" customHeight="true" outlineLevel="0" collapsed="false">
      <c r="B9200" s="9" t="s">
        <v>32</v>
      </c>
      <c r="C9200" s="9" t="n">
        <v>1197831</v>
      </c>
      <c r="D9200" s="10" t="n">
        <v>44490</v>
      </c>
      <c r="E9200" s="9" t="s">
        <v>29</v>
      </c>
      <c r="F9200" s="9" t="s">
        <v>104</v>
      </c>
      <c r="G9200" s="9" t="s">
        <v>105</v>
      </c>
      <c r="H9200" s="11" t="s">
        <v>25</v>
      </c>
      <c r="I9200" s="12" t="n">
        <v>20</v>
      </c>
      <c r="J9200" s="13" t="n">
        <v>132</v>
      </c>
      <c r="K9200" s="14" t="n">
        <f aca="false">I9200*J9200</f>
        <v>2640</v>
      </c>
      <c r="L9200" s="14" t="n">
        <f aca="false">($L$2*M9200)/100</f>
        <v>540749.925</v>
      </c>
      <c r="M9200" s="15" t="n">
        <v>0.45</v>
      </c>
      <c r="N9200" s="9" t="s">
        <v>26</v>
      </c>
    </row>
    <row r="9201" customFormat="false" ht="14.25" hidden="false" customHeight="true" outlineLevel="0" collapsed="false">
      <c r="B9201" s="9" t="s">
        <v>32</v>
      </c>
      <c r="C9201" s="9" t="n">
        <v>1197831</v>
      </c>
      <c r="D9201" s="10" t="n">
        <v>44520</v>
      </c>
      <c r="E9201" s="9" t="s">
        <v>29</v>
      </c>
      <c r="F9201" s="9" t="s">
        <v>104</v>
      </c>
      <c r="G9201" s="9" t="s">
        <v>105</v>
      </c>
      <c r="H9201" s="11" t="s">
        <v>19</v>
      </c>
      <c r="I9201" s="12" t="n">
        <v>18</v>
      </c>
      <c r="J9201" s="13" t="n">
        <v>176</v>
      </c>
      <c r="K9201" s="14" t="n">
        <f aca="false">I9201*J9201</f>
        <v>3168</v>
      </c>
      <c r="L9201" s="14" t="n">
        <f aca="false">($L$2*M9201)/100</f>
        <v>552766.59</v>
      </c>
      <c r="M9201" s="15" t="n">
        <v>0.46</v>
      </c>
      <c r="N9201" s="9" t="s">
        <v>26</v>
      </c>
    </row>
    <row r="9202" customFormat="false" ht="14.25" hidden="false" customHeight="true" outlineLevel="0" collapsed="false">
      <c r="B9202" s="9" t="s">
        <v>32</v>
      </c>
      <c r="C9202" s="9" t="n">
        <v>1197831</v>
      </c>
      <c r="D9202" s="10" t="n">
        <v>44520</v>
      </c>
      <c r="E9202" s="9" t="s">
        <v>29</v>
      </c>
      <c r="F9202" s="9" t="s">
        <v>104</v>
      </c>
      <c r="G9202" s="9" t="s">
        <v>105</v>
      </c>
      <c r="H9202" s="11" t="s">
        <v>21</v>
      </c>
      <c r="I9202" s="12" t="n">
        <v>11</v>
      </c>
      <c r="J9202" s="13" t="n">
        <v>116</v>
      </c>
      <c r="K9202" s="14" t="n">
        <f aca="false">I9202*J9202</f>
        <v>1276</v>
      </c>
      <c r="L9202" s="14" t="n">
        <f aca="false">($L$2*M9202)/100</f>
        <v>504699.93</v>
      </c>
      <c r="M9202" s="15" t="n">
        <v>0.42</v>
      </c>
      <c r="N9202" s="9" t="s">
        <v>26</v>
      </c>
    </row>
    <row r="9203" customFormat="false" ht="14.25" hidden="false" customHeight="true" outlineLevel="0" collapsed="false">
      <c r="B9203" s="9" t="s">
        <v>32</v>
      </c>
      <c r="C9203" s="9" t="n">
        <v>1197831</v>
      </c>
      <c r="D9203" s="10" t="n">
        <v>44520</v>
      </c>
      <c r="E9203" s="9" t="s">
        <v>29</v>
      </c>
      <c r="F9203" s="9" t="s">
        <v>104</v>
      </c>
      <c r="G9203" s="9" t="s">
        <v>105</v>
      </c>
      <c r="H9203" s="11" t="s">
        <v>22</v>
      </c>
      <c r="I9203" s="12" t="n">
        <v>19</v>
      </c>
      <c r="J9203" s="13" t="n">
        <v>102</v>
      </c>
      <c r="K9203" s="14" t="n">
        <f aca="false">I9203*J9203</f>
        <v>1938</v>
      </c>
      <c r="L9203" s="14" t="n">
        <f aca="false">($L$2*M9203)/100</f>
        <v>516716.595</v>
      </c>
      <c r="M9203" s="15" t="n">
        <v>0.43</v>
      </c>
      <c r="N9203" s="9" t="s">
        <v>26</v>
      </c>
    </row>
    <row r="9204" customFormat="false" ht="14.25" hidden="false" customHeight="true" outlineLevel="0" collapsed="false">
      <c r="B9204" s="9" t="s">
        <v>32</v>
      </c>
      <c r="C9204" s="9" t="n">
        <v>1197831</v>
      </c>
      <c r="D9204" s="10" t="n">
        <v>44520</v>
      </c>
      <c r="E9204" s="9" t="s">
        <v>29</v>
      </c>
      <c r="F9204" s="9" t="s">
        <v>104</v>
      </c>
      <c r="G9204" s="9" t="s">
        <v>105</v>
      </c>
      <c r="H9204" s="11" t="s">
        <v>23</v>
      </c>
      <c r="I9204" s="12" t="n">
        <v>41</v>
      </c>
      <c r="J9204" s="13" t="n">
        <v>128</v>
      </c>
      <c r="K9204" s="14" t="n">
        <f aca="false">I9204*J9204</f>
        <v>5248</v>
      </c>
      <c r="L9204" s="14" t="n">
        <f aca="false">($L$2*M9204)/100</f>
        <v>528733.26</v>
      </c>
      <c r="M9204" s="15" t="n">
        <v>0.44</v>
      </c>
      <c r="N9204" s="9" t="s">
        <v>26</v>
      </c>
    </row>
    <row r="9205" customFormat="false" ht="14.25" hidden="false" customHeight="true" outlineLevel="0" collapsed="false">
      <c r="B9205" s="9" t="s">
        <v>32</v>
      </c>
      <c r="C9205" s="9" t="n">
        <v>1197831</v>
      </c>
      <c r="D9205" s="10" t="n">
        <v>44520</v>
      </c>
      <c r="E9205" s="9" t="s">
        <v>29</v>
      </c>
      <c r="F9205" s="9" t="s">
        <v>104</v>
      </c>
      <c r="G9205" s="9" t="s">
        <v>105</v>
      </c>
      <c r="H9205" s="11" t="s">
        <v>24</v>
      </c>
      <c r="I9205" s="12" t="n">
        <v>56</v>
      </c>
      <c r="J9205" s="13" t="n">
        <v>105</v>
      </c>
      <c r="K9205" s="14" t="n">
        <f aca="false">I9205*J9205</f>
        <v>5880</v>
      </c>
      <c r="L9205" s="14" t="n">
        <f aca="false">($L$2*M9205)/100</f>
        <v>492683.265</v>
      </c>
      <c r="M9205" s="15" t="n">
        <v>0.41</v>
      </c>
      <c r="N9205" s="9" t="s">
        <v>26</v>
      </c>
    </row>
    <row r="9206" customFormat="false" ht="14.25" hidden="false" customHeight="true" outlineLevel="0" collapsed="false">
      <c r="B9206" s="9" t="s">
        <v>32</v>
      </c>
      <c r="C9206" s="9" t="n">
        <v>1197831</v>
      </c>
      <c r="D9206" s="10" t="n">
        <v>44520</v>
      </c>
      <c r="E9206" s="9" t="s">
        <v>29</v>
      </c>
      <c r="F9206" s="9" t="s">
        <v>104</v>
      </c>
      <c r="G9206" s="9" t="s">
        <v>105</v>
      </c>
      <c r="H9206" s="11" t="s">
        <v>25</v>
      </c>
      <c r="I9206" s="12" t="n">
        <v>53</v>
      </c>
      <c r="J9206" s="13" t="n">
        <v>135</v>
      </c>
      <c r="K9206" s="14" t="n">
        <f aca="false">I9206*J9206</f>
        <v>7155</v>
      </c>
      <c r="L9206" s="14" t="n">
        <f aca="false">($L$2*M9206)/100</f>
        <v>540749.925</v>
      </c>
      <c r="M9206" s="15" t="n">
        <v>0.45</v>
      </c>
      <c r="N9206" s="9" t="s">
        <v>26</v>
      </c>
    </row>
    <row r="9207" customFormat="false" ht="14.25" hidden="false" customHeight="true" outlineLevel="0" collapsed="false">
      <c r="B9207" s="9" t="s">
        <v>32</v>
      </c>
      <c r="C9207" s="9" t="n">
        <v>1197831</v>
      </c>
      <c r="D9207" s="10" t="n">
        <v>44549</v>
      </c>
      <c r="E9207" s="9" t="s">
        <v>29</v>
      </c>
      <c r="F9207" s="9" t="s">
        <v>104</v>
      </c>
      <c r="G9207" s="9" t="s">
        <v>105</v>
      </c>
      <c r="H9207" s="11" t="s">
        <v>19</v>
      </c>
      <c r="I9207" s="12" t="n">
        <v>55</v>
      </c>
      <c r="J9207" s="13" t="n">
        <v>238</v>
      </c>
      <c r="K9207" s="14" t="n">
        <f aca="false">I9207*J9207</f>
        <v>13090</v>
      </c>
      <c r="L9207" s="14" t="n">
        <f aca="false">($L$2*M9207)/100</f>
        <v>552766.59</v>
      </c>
      <c r="M9207" s="15" t="n">
        <v>0.46</v>
      </c>
      <c r="N9207" s="9" t="s">
        <v>26</v>
      </c>
    </row>
    <row r="9208" customFormat="false" ht="14.25" hidden="false" customHeight="true" outlineLevel="0" collapsed="false">
      <c r="B9208" s="9" t="s">
        <v>32</v>
      </c>
      <c r="C9208" s="9" t="n">
        <v>1197831</v>
      </c>
      <c r="D9208" s="10" t="n">
        <v>44549</v>
      </c>
      <c r="E9208" s="9" t="s">
        <v>29</v>
      </c>
      <c r="F9208" s="9" t="s">
        <v>104</v>
      </c>
      <c r="G9208" s="9" t="s">
        <v>105</v>
      </c>
      <c r="H9208" s="11" t="s">
        <v>21</v>
      </c>
      <c r="I9208" s="12" t="n">
        <v>46</v>
      </c>
      <c r="J9208" s="13" t="n">
        <v>155</v>
      </c>
      <c r="K9208" s="14" t="n">
        <f aca="false">I9208*J9208</f>
        <v>7130</v>
      </c>
      <c r="L9208" s="14" t="n">
        <f aca="false">($L$2*M9208)/100</f>
        <v>480666.6</v>
      </c>
      <c r="M9208" s="15" t="n">
        <v>0.4</v>
      </c>
      <c r="N9208" s="9" t="s">
        <v>26</v>
      </c>
    </row>
    <row r="9209" customFormat="false" ht="14.25" hidden="false" customHeight="true" outlineLevel="0" collapsed="false">
      <c r="B9209" s="9" t="s">
        <v>32</v>
      </c>
      <c r="C9209" s="9" t="n">
        <v>1197831</v>
      </c>
      <c r="D9209" s="10" t="n">
        <v>44549</v>
      </c>
      <c r="E9209" s="9" t="s">
        <v>29</v>
      </c>
      <c r="F9209" s="9" t="s">
        <v>104</v>
      </c>
      <c r="G9209" s="9" t="s">
        <v>105</v>
      </c>
      <c r="H9209" s="11" t="s">
        <v>22</v>
      </c>
      <c r="I9209" s="12" t="n">
        <v>43</v>
      </c>
      <c r="J9209" s="13" t="n">
        <v>149</v>
      </c>
      <c r="K9209" s="14" t="n">
        <f aca="false">I9209*J9209</f>
        <v>6407</v>
      </c>
      <c r="L9209" s="14" t="n">
        <f aca="false">($L$2*M9209)/100</f>
        <v>528733.26</v>
      </c>
      <c r="M9209" s="15" t="n">
        <v>0.44</v>
      </c>
      <c r="N9209" s="9" t="s">
        <v>26</v>
      </c>
    </row>
    <row r="9210" customFormat="false" ht="14.25" hidden="false" customHeight="true" outlineLevel="0" collapsed="false">
      <c r="B9210" s="9" t="s">
        <v>32</v>
      </c>
      <c r="C9210" s="9" t="n">
        <v>1197831</v>
      </c>
      <c r="D9210" s="10" t="n">
        <v>44549</v>
      </c>
      <c r="E9210" s="9" t="s">
        <v>29</v>
      </c>
      <c r="F9210" s="9" t="s">
        <v>104</v>
      </c>
      <c r="G9210" s="9" t="s">
        <v>105</v>
      </c>
      <c r="H9210" s="11" t="s">
        <v>23</v>
      </c>
      <c r="I9210" s="12" t="n">
        <v>40</v>
      </c>
      <c r="J9210" s="13" t="n">
        <v>124</v>
      </c>
      <c r="K9210" s="14" t="n">
        <f aca="false">I9210*J9210</f>
        <v>4960</v>
      </c>
      <c r="L9210" s="14" t="n">
        <f aca="false">($L$2*M9210)/100</f>
        <v>552766.59</v>
      </c>
      <c r="M9210" s="15" t="n">
        <v>0.46</v>
      </c>
      <c r="N9210" s="9" t="s">
        <v>26</v>
      </c>
    </row>
    <row r="9211" customFormat="false" ht="14.25" hidden="false" customHeight="true" outlineLevel="0" collapsed="false">
      <c r="B9211" s="9" t="s">
        <v>32</v>
      </c>
      <c r="C9211" s="9" t="n">
        <v>1197831</v>
      </c>
      <c r="D9211" s="10" t="n">
        <v>44549</v>
      </c>
      <c r="E9211" s="9" t="s">
        <v>29</v>
      </c>
      <c r="F9211" s="9" t="s">
        <v>104</v>
      </c>
      <c r="G9211" s="9" t="s">
        <v>105</v>
      </c>
      <c r="H9211" s="11" t="s">
        <v>24</v>
      </c>
      <c r="I9211" s="12" t="n">
        <v>50</v>
      </c>
      <c r="J9211" s="13" t="n">
        <v>132</v>
      </c>
      <c r="K9211" s="14" t="n">
        <f aca="false">I9211*J9211</f>
        <v>6600</v>
      </c>
      <c r="L9211" s="14" t="n">
        <f aca="false">($L$2*M9211)/100</f>
        <v>480666.6</v>
      </c>
      <c r="M9211" s="15" t="n">
        <v>0.4</v>
      </c>
      <c r="N9211" s="9" t="s">
        <v>26</v>
      </c>
    </row>
    <row r="9212" customFormat="false" ht="14.25" hidden="false" customHeight="true" outlineLevel="0" collapsed="false">
      <c r="B9212" s="9" t="s">
        <v>32</v>
      </c>
      <c r="C9212" s="9" t="n">
        <v>1197831</v>
      </c>
      <c r="D9212" s="10" t="n">
        <v>44549</v>
      </c>
      <c r="E9212" s="9" t="s">
        <v>29</v>
      </c>
      <c r="F9212" s="9" t="s">
        <v>104</v>
      </c>
      <c r="G9212" s="9" t="s">
        <v>105</v>
      </c>
      <c r="H9212" s="11" t="s">
        <v>25</v>
      </c>
      <c r="I9212" s="12" t="n">
        <v>55</v>
      </c>
      <c r="J9212" s="13" t="n">
        <v>170</v>
      </c>
      <c r="K9212" s="14" t="n">
        <f aca="false">I9212*J9212</f>
        <v>9350</v>
      </c>
      <c r="L9212" s="14" t="n">
        <f aca="false">($L$2*M9212)/100</f>
        <v>540749.925</v>
      </c>
      <c r="M9212" s="15" t="n">
        <v>0.45</v>
      </c>
      <c r="N9212" s="9" t="s">
        <v>26</v>
      </c>
    </row>
    <row r="9213" customFormat="false" ht="14.25" hidden="false" customHeight="true" outlineLevel="0" collapsed="false">
      <c r="B9213" s="9" t="s">
        <v>32</v>
      </c>
      <c r="C9213" s="9" t="n">
        <v>1197831</v>
      </c>
      <c r="D9213" s="10" t="n">
        <v>44219</v>
      </c>
      <c r="E9213" s="9" t="s">
        <v>29</v>
      </c>
      <c r="F9213" s="9" t="s">
        <v>104</v>
      </c>
      <c r="G9213" s="9" t="s">
        <v>105</v>
      </c>
      <c r="H9213" s="11" t="s">
        <v>19</v>
      </c>
      <c r="I9213" s="12" t="n">
        <v>17</v>
      </c>
      <c r="J9213" s="13" t="n">
        <v>178</v>
      </c>
      <c r="K9213" s="14" t="n">
        <f aca="false">I9213*J9213</f>
        <v>3026</v>
      </c>
      <c r="L9213" s="14" t="n">
        <f aca="false">($L$2*M9213)/100</f>
        <v>564783.255</v>
      </c>
      <c r="M9213" s="15" t="n">
        <v>0.47</v>
      </c>
      <c r="N9213" s="9" t="s">
        <v>26</v>
      </c>
    </row>
    <row r="9214" customFormat="false" ht="14.25" hidden="false" customHeight="true" outlineLevel="0" collapsed="false">
      <c r="B9214" s="9" t="s">
        <v>32</v>
      </c>
      <c r="C9214" s="9" t="n">
        <v>1197831</v>
      </c>
      <c r="D9214" s="10" t="n">
        <v>44219</v>
      </c>
      <c r="E9214" s="9" t="s">
        <v>29</v>
      </c>
      <c r="F9214" s="9" t="s">
        <v>104</v>
      </c>
      <c r="G9214" s="9" t="s">
        <v>105</v>
      </c>
      <c r="H9214" s="11" t="s">
        <v>21</v>
      </c>
      <c r="I9214" s="12" t="n">
        <v>18</v>
      </c>
      <c r="J9214" s="13" t="n">
        <v>124</v>
      </c>
      <c r="K9214" s="14" t="n">
        <f aca="false">I9214*J9214</f>
        <v>2232</v>
      </c>
      <c r="L9214" s="14" t="n">
        <f aca="false">($L$2*M9214)/100</f>
        <v>456633.27</v>
      </c>
      <c r="M9214" s="15" t="n">
        <v>0.38</v>
      </c>
      <c r="N9214" s="9" t="s">
        <v>26</v>
      </c>
    </row>
    <row r="9215" customFormat="false" ht="14.25" hidden="false" customHeight="true" outlineLevel="0" collapsed="false">
      <c r="B9215" s="9" t="s">
        <v>32</v>
      </c>
      <c r="C9215" s="9" t="n">
        <v>1197831</v>
      </c>
      <c r="D9215" s="10" t="n">
        <v>44219</v>
      </c>
      <c r="E9215" s="9" t="s">
        <v>29</v>
      </c>
      <c r="F9215" s="9" t="s">
        <v>104</v>
      </c>
      <c r="G9215" s="9" t="s">
        <v>105</v>
      </c>
      <c r="H9215" s="11" t="s">
        <v>22</v>
      </c>
      <c r="I9215" s="12" t="n">
        <v>10</v>
      </c>
      <c r="J9215" s="13" t="n">
        <v>131</v>
      </c>
      <c r="K9215" s="14" t="n">
        <f aca="false">I9215*J9215</f>
        <v>1310</v>
      </c>
      <c r="L9215" s="14" t="n">
        <f aca="false">($L$2*M9215)/100</f>
        <v>516716.595</v>
      </c>
      <c r="M9215" s="15" t="n">
        <v>0.43</v>
      </c>
      <c r="N9215" s="9" t="s">
        <v>26</v>
      </c>
    </row>
    <row r="9216" customFormat="false" ht="14.25" hidden="false" customHeight="true" outlineLevel="0" collapsed="false">
      <c r="B9216" s="9" t="s">
        <v>32</v>
      </c>
      <c r="C9216" s="9" t="n">
        <v>1197831</v>
      </c>
      <c r="D9216" s="10" t="n">
        <v>44219</v>
      </c>
      <c r="E9216" s="9" t="s">
        <v>29</v>
      </c>
      <c r="F9216" s="9" t="s">
        <v>104</v>
      </c>
      <c r="G9216" s="9" t="s">
        <v>105</v>
      </c>
      <c r="H9216" s="11" t="s">
        <v>23</v>
      </c>
      <c r="I9216" s="12" t="n">
        <v>13</v>
      </c>
      <c r="J9216" s="13" t="n">
        <v>74</v>
      </c>
      <c r="K9216" s="14" t="n">
        <f aca="false">I9216*J9216</f>
        <v>962</v>
      </c>
      <c r="L9216" s="14" t="n">
        <f aca="false">($L$2*M9216)/100</f>
        <v>516716.595</v>
      </c>
      <c r="M9216" s="15" t="n">
        <v>0.43</v>
      </c>
      <c r="N9216" s="9" t="s">
        <v>26</v>
      </c>
    </row>
    <row r="9217" customFormat="false" ht="14.25" hidden="false" customHeight="true" outlineLevel="0" collapsed="false">
      <c r="B9217" s="9" t="s">
        <v>32</v>
      </c>
      <c r="C9217" s="9" t="n">
        <v>1197831</v>
      </c>
      <c r="D9217" s="10" t="n">
        <v>44219</v>
      </c>
      <c r="E9217" s="9" t="s">
        <v>29</v>
      </c>
      <c r="F9217" s="9" t="s">
        <v>104</v>
      </c>
      <c r="G9217" s="9" t="s">
        <v>105</v>
      </c>
      <c r="H9217" s="11" t="s">
        <v>24</v>
      </c>
      <c r="I9217" s="12" t="n">
        <v>23</v>
      </c>
      <c r="J9217" s="13" t="n">
        <v>91</v>
      </c>
      <c r="K9217" s="14" t="n">
        <f aca="false">I9217*J9217</f>
        <v>2093</v>
      </c>
      <c r="L9217" s="14" t="n">
        <f aca="false">($L$2*M9217)/100</f>
        <v>492683.265</v>
      </c>
      <c r="M9217" s="15" t="n">
        <v>0.41</v>
      </c>
      <c r="N9217" s="9" t="s">
        <v>26</v>
      </c>
    </row>
    <row r="9218" customFormat="false" ht="14.25" hidden="false" customHeight="true" outlineLevel="0" collapsed="false">
      <c r="B9218" s="9" t="s">
        <v>32</v>
      </c>
      <c r="C9218" s="9" t="n">
        <v>1197831</v>
      </c>
      <c r="D9218" s="10" t="n">
        <v>44219</v>
      </c>
      <c r="E9218" s="9" t="s">
        <v>29</v>
      </c>
      <c r="F9218" s="9" t="s">
        <v>104</v>
      </c>
      <c r="G9218" s="9" t="s">
        <v>105</v>
      </c>
      <c r="H9218" s="11" t="s">
        <v>25</v>
      </c>
      <c r="I9218" s="12" t="n">
        <v>18</v>
      </c>
      <c r="J9218" s="13" t="n">
        <v>124</v>
      </c>
      <c r="K9218" s="14" t="n">
        <f aca="false">I9218*J9218</f>
        <v>2232</v>
      </c>
      <c r="L9218" s="14" t="n">
        <f aca="false">($L$2*M9218)/100</f>
        <v>540749.925</v>
      </c>
      <c r="M9218" s="15" t="n">
        <v>0.45</v>
      </c>
      <c r="N9218" s="9" t="s">
        <v>26</v>
      </c>
    </row>
    <row r="9219" customFormat="false" ht="14.25" hidden="false" customHeight="true" outlineLevel="0" collapsed="false">
      <c r="B9219" s="9" t="s">
        <v>32</v>
      </c>
      <c r="C9219" s="9" t="n">
        <v>1197831</v>
      </c>
      <c r="D9219" s="10" t="n">
        <v>44248</v>
      </c>
      <c r="E9219" s="9" t="s">
        <v>29</v>
      </c>
      <c r="F9219" s="9" t="s">
        <v>104</v>
      </c>
      <c r="G9219" s="9" t="s">
        <v>105</v>
      </c>
      <c r="H9219" s="11" t="s">
        <v>19</v>
      </c>
      <c r="I9219" s="12" t="n">
        <v>18</v>
      </c>
      <c r="J9219" s="13" t="n">
        <v>206</v>
      </c>
      <c r="K9219" s="14" t="n">
        <f aca="false">I9219*J9219</f>
        <v>3708</v>
      </c>
      <c r="L9219" s="14" t="n">
        <f aca="false">($L$2*M9219)/100</f>
        <v>528733.26</v>
      </c>
      <c r="M9219" s="15" t="n">
        <v>0.44</v>
      </c>
      <c r="N9219" s="9" t="s">
        <v>26</v>
      </c>
    </row>
    <row r="9220" customFormat="false" ht="14.25" hidden="false" customHeight="true" outlineLevel="0" collapsed="false">
      <c r="B9220" s="9" t="s">
        <v>32</v>
      </c>
      <c r="C9220" s="9" t="n">
        <v>1197831</v>
      </c>
      <c r="D9220" s="10" t="n">
        <v>44248</v>
      </c>
      <c r="E9220" s="9" t="s">
        <v>29</v>
      </c>
      <c r="F9220" s="9" t="s">
        <v>104</v>
      </c>
      <c r="G9220" s="9" t="s">
        <v>105</v>
      </c>
      <c r="H9220" s="11" t="s">
        <v>21</v>
      </c>
      <c r="I9220" s="12" t="n">
        <v>17</v>
      </c>
      <c r="J9220" s="13" t="n">
        <v>83</v>
      </c>
      <c r="K9220" s="14" t="n">
        <f aca="false">I9220*J9220</f>
        <v>1411</v>
      </c>
      <c r="L9220" s="14" t="n">
        <f aca="false">($L$2*M9220)/100</f>
        <v>468649.935</v>
      </c>
      <c r="M9220" s="15" t="n">
        <v>0.39</v>
      </c>
      <c r="N9220" s="9" t="s">
        <v>26</v>
      </c>
    </row>
    <row r="9221" customFormat="false" ht="14.25" hidden="false" customHeight="true" outlineLevel="0" collapsed="false">
      <c r="B9221" s="9" t="s">
        <v>32</v>
      </c>
      <c r="C9221" s="9" t="n">
        <v>1197831</v>
      </c>
      <c r="D9221" s="10" t="n">
        <v>44248</v>
      </c>
      <c r="E9221" s="9" t="s">
        <v>29</v>
      </c>
      <c r="F9221" s="9" t="s">
        <v>104</v>
      </c>
      <c r="G9221" s="9" t="s">
        <v>105</v>
      </c>
      <c r="H9221" s="11" t="s">
        <v>22</v>
      </c>
      <c r="I9221" s="12" t="n">
        <v>12</v>
      </c>
      <c r="J9221" s="13" t="n">
        <v>98</v>
      </c>
      <c r="K9221" s="14" t="n">
        <f aca="false">I9221*J9221</f>
        <v>1176</v>
      </c>
      <c r="L9221" s="14" t="n">
        <f aca="false">($L$2*M9221)/100</f>
        <v>564783.255</v>
      </c>
      <c r="M9221" s="15" t="n">
        <v>0.47</v>
      </c>
      <c r="N9221" s="9" t="s">
        <v>26</v>
      </c>
    </row>
    <row r="9222" customFormat="false" ht="14.25" hidden="false" customHeight="true" outlineLevel="0" collapsed="false">
      <c r="B9222" s="9" t="s">
        <v>32</v>
      </c>
      <c r="C9222" s="9" t="n">
        <v>1197831</v>
      </c>
      <c r="D9222" s="10" t="n">
        <v>44248</v>
      </c>
      <c r="E9222" s="9" t="s">
        <v>29</v>
      </c>
      <c r="F9222" s="9" t="s">
        <v>106</v>
      </c>
      <c r="G9222" s="9" t="s">
        <v>107</v>
      </c>
      <c r="H9222" s="11" t="s">
        <v>23</v>
      </c>
      <c r="I9222" s="12" t="n">
        <v>15</v>
      </c>
      <c r="J9222" s="13" t="n">
        <v>58</v>
      </c>
      <c r="K9222" s="14" t="n">
        <f aca="false">I9222*J9222</f>
        <v>870</v>
      </c>
      <c r="L9222" s="14" t="n">
        <f aca="false">($L$2*M9222)/100</f>
        <v>552766.59</v>
      </c>
      <c r="M9222" s="15" t="n">
        <v>0.46</v>
      </c>
      <c r="N9222" s="9" t="s">
        <v>26</v>
      </c>
    </row>
    <row r="9223" customFormat="false" ht="14.25" hidden="false" customHeight="true" outlineLevel="0" collapsed="false">
      <c r="B9223" s="9" t="s">
        <v>32</v>
      </c>
      <c r="C9223" s="9" t="n">
        <v>1197831</v>
      </c>
      <c r="D9223" s="10" t="n">
        <v>44248</v>
      </c>
      <c r="E9223" s="9" t="s">
        <v>29</v>
      </c>
      <c r="F9223" s="9" t="s">
        <v>106</v>
      </c>
      <c r="G9223" s="9" t="s">
        <v>107</v>
      </c>
      <c r="H9223" s="11" t="s">
        <v>24</v>
      </c>
      <c r="I9223" s="12" t="n">
        <v>24</v>
      </c>
      <c r="J9223" s="13" t="n">
        <v>85</v>
      </c>
      <c r="K9223" s="14" t="n">
        <f aca="false">I9223*J9223</f>
        <v>2040</v>
      </c>
      <c r="L9223" s="14" t="n">
        <f aca="false">($L$2*M9223)/100</f>
        <v>480666.6</v>
      </c>
      <c r="M9223" s="15" t="n">
        <v>0.4</v>
      </c>
      <c r="N9223" s="9" t="s">
        <v>26</v>
      </c>
    </row>
    <row r="9224" customFormat="false" ht="14.25" hidden="false" customHeight="true" outlineLevel="0" collapsed="false">
      <c r="B9224" s="9" t="s">
        <v>32</v>
      </c>
      <c r="C9224" s="9" t="n">
        <v>1197831</v>
      </c>
      <c r="D9224" s="10" t="n">
        <v>44248</v>
      </c>
      <c r="E9224" s="9" t="s">
        <v>29</v>
      </c>
      <c r="F9224" s="9" t="s">
        <v>106</v>
      </c>
      <c r="G9224" s="9" t="s">
        <v>107</v>
      </c>
      <c r="H9224" s="11" t="s">
        <v>25</v>
      </c>
      <c r="I9224" s="12" t="n">
        <v>14</v>
      </c>
      <c r="J9224" s="13" t="n">
        <v>112</v>
      </c>
      <c r="K9224" s="14" t="n">
        <f aca="false">I9224*J9224</f>
        <v>1568</v>
      </c>
      <c r="L9224" s="14" t="n">
        <f aca="false">($L$2*M9224)/100</f>
        <v>552766.59</v>
      </c>
      <c r="M9224" s="15" t="n">
        <v>0.46</v>
      </c>
      <c r="N9224" s="9" t="s">
        <v>26</v>
      </c>
    </row>
    <row r="9225" customFormat="false" ht="14.25" hidden="false" customHeight="true" outlineLevel="0" collapsed="false">
      <c r="B9225" s="9" t="s">
        <v>32</v>
      </c>
      <c r="C9225" s="9" t="n">
        <v>1197831</v>
      </c>
      <c r="D9225" s="10" t="n">
        <v>44274</v>
      </c>
      <c r="E9225" s="9" t="s">
        <v>29</v>
      </c>
      <c r="F9225" s="9" t="s">
        <v>106</v>
      </c>
      <c r="G9225" s="9" t="s">
        <v>107</v>
      </c>
      <c r="H9225" s="11" t="s">
        <v>19</v>
      </c>
      <c r="I9225" s="12" t="n">
        <v>14</v>
      </c>
      <c r="J9225" s="13" t="n">
        <v>182</v>
      </c>
      <c r="K9225" s="14" t="n">
        <f aca="false">I9225*J9225</f>
        <v>2548</v>
      </c>
      <c r="L9225" s="14" t="n">
        <f aca="false">($L$2*M9225)/100</f>
        <v>552766.59</v>
      </c>
      <c r="M9225" s="15" t="n">
        <v>0.46</v>
      </c>
      <c r="N9225" s="9" t="s">
        <v>26</v>
      </c>
    </row>
    <row r="9226" customFormat="false" ht="14.25" hidden="false" customHeight="true" outlineLevel="0" collapsed="false">
      <c r="B9226" s="9" t="s">
        <v>32</v>
      </c>
      <c r="C9226" s="9" t="n">
        <v>1197831</v>
      </c>
      <c r="D9226" s="10" t="n">
        <v>44274</v>
      </c>
      <c r="E9226" s="9" t="s">
        <v>29</v>
      </c>
      <c r="F9226" s="9" t="s">
        <v>106</v>
      </c>
      <c r="G9226" s="9" t="s">
        <v>107</v>
      </c>
      <c r="H9226" s="11" t="s">
        <v>21</v>
      </c>
      <c r="I9226" s="12" t="n">
        <v>15</v>
      </c>
      <c r="J9226" s="13" t="n">
        <v>78</v>
      </c>
      <c r="K9226" s="14" t="n">
        <f aca="false">I9226*J9226</f>
        <v>1170</v>
      </c>
      <c r="L9226" s="14" t="n">
        <f aca="false">($L$2*M9226)/100</f>
        <v>492683.265</v>
      </c>
      <c r="M9226" s="15" t="n">
        <v>0.41</v>
      </c>
      <c r="N9226" s="9" t="s">
        <v>26</v>
      </c>
    </row>
    <row r="9227" customFormat="false" ht="14.25" hidden="false" customHeight="true" outlineLevel="0" collapsed="false">
      <c r="B9227" s="9" t="s">
        <v>32</v>
      </c>
      <c r="C9227" s="9" t="n">
        <v>1197831</v>
      </c>
      <c r="D9227" s="10" t="n">
        <v>44274</v>
      </c>
      <c r="E9227" s="9" t="s">
        <v>29</v>
      </c>
      <c r="F9227" s="9" t="s">
        <v>106</v>
      </c>
      <c r="G9227" s="9" t="s">
        <v>107</v>
      </c>
      <c r="H9227" s="11" t="s">
        <v>22</v>
      </c>
      <c r="I9227" s="12" t="n">
        <v>7</v>
      </c>
      <c r="J9227" s="13" t="n">
        <v>83</v>
      </c>
      <c r="K9227" s="14" t="n">
        <f aca="false">I9227*J9227</f>
        <v>581</v>
      </c>
      <c r="L9227" s="14" t="n">
        <f aca="false">($L$2*M9227)/100</f>
        <v>540749.925</v>
      </c>
      <c r="M9227" s="15" t="n">
        <v>0.45</v>
      </c>
      <c r="N9227" s="9" t="s">
        <v>26</v>
      </c>
    </row>
    <row r="9228" customFormat="false" ht="14.25" hidden="false" customHeight="true" outlineLevel="0" collapsed="false">
      <c r="B9228" s="9" t="s">
        <v>32</v>
      </c>
      <c r="C9228" s="9" t="n">
        <v>1197831</v>
      </c>
      <c r="D9228" s="10" t="n">
        <v>44274</v>
      </c>
      <c r="E9228" s="9" t="s">
        <v>29</v>
      </c>
      <c r="F9228" s="9" t="s">
        <v>106</v>
      </c>
      <c r="G9228" s="9" t="s">
        <v>107</v>
      </c>
      <c r="H9228" s="11" t="s">
        <v>23</v>
      </c>
      <c r="I9228" s="12" t="n">
        <v>16</v>
      </c>
      <c r="J9228" s="13" t="n">
        <v>39</v>
      </c>
      <c r="K9228" s="14" t="n">
        <f aca="false">I9228*J9228</f>
        <v>624</v>
      </c>
      <c r="L9228" s="14" t="n">
        <f aca="false">($L$2*M9228)/100</f>
        <v>564783.255</v>
      </c>
      <c r="M9228" s="15" t="n">
        <v>0.47</v>
      </c>
      <c r="N9228" s="9" t="s">
        <v>26</v>
      </c>
    </row>
    <row r="9229" customFormat="false" ht="14.25" hidden="false" customHeight="true" outlineLevel="0" collapsed="false">
      <c r="B9229" s="9" t="s">
        <v>32</v>
      </c>
      <c r="C9229" s="9" t="n">
        <v>1197831</v>
      </c>
      <c r="D9229" s="10" t="n">
        <v>44274</v>
      </c>
      <c r="E9229" s="9" t="s">
        <v>29</v>
      </c>
      <c r="F9229" s="9" t="s">
        <v>106</v>
      </c>
      <c r="G9229" s="9" t="s">
        <v>107</v>
      </c>
      <c r="H9229" s="11" t="s">
        <v>24</v>
      </c>
      <c r="I9229" s="12" t="n">
        <v>26</v>
      </c>
      <c r="J9229" s="13" t="n">
        <v>61</v>
      </c>
      <c r="K9229" s="14" t="n">
        <f aca="false">I9229*J9229</f>
        <v>1586</v>
      </c>
      <c r="L9229" s="14" t="n">
        <f aca="false">($L$2*M9229)/100</f>
        <v>504699.93</v>
      </c>
      <c r="M9229" s="15" t="n">
        <v>0.42</v>
      </c>
      <c r="N9229" s="9" t="s">
        <v>26</v>
      </c>
    </row>
    <row r="9230" customFormat="false" ht="14.25" hidden="false" customHeight="true" outlineLevel="0" collapsed="false">
      <c r="B9230" s="9" t="s">
        <v>32</v>
      </c>
      <c r="C9230" s="9" t="n">
        <v>1197831</v>
      </c>
      <c r="D9230" s="10" t="n">
        <v>44274</v>
      </c>
      <c r="E9230" s="9" t="s">
        <v>29</v>
      </c>
      <c r="F9230" s="9" t="s">
        <v>106</v>
      </c>
      <c r="G9230" s="9" t="s">
        <v>107</v>
      </c>
      <c r="H9230" s="11" t="s">
        <v>25</v>
      </c>
      <c r="I9230" s="12" t="n">
        <v>18</v>
      </c>
      <c r="J9230" s="13" t="n">
        <v>88</v>
      </c>
      <c r="K9230" s="14" t="n">
        <f aca="false">I9230*J9230</f>
        <v>1584</v>
      </c>
      <c r="L9230" s="14" t="n">
        <f aca="false">($L$2*M9230)/100</f>
        <v>552766.59</v>
      </c>
      <c r="M9230" s="15" t="n">
        <v>0.46</v>
      </c>
      <c r="N9230" s="9" t="s">
        <v>26</v>
      </c>
    </row>
    <row r="9231" customFormat="false" ht="14.25" hidden="false" customHeight="true" outlineLevel="0" collapsed="false">
      <c r="B9231" s="9" t="s">
        <v>32</v>
      </c>
      <c r="C9231" s="9" t="n">
        <v>1197831</v>
      </c>
      <c r="D9231" s="10" t="n">
        <v>44306</v>
      </c>
      <c r="E9231" s="9" t="s">
        <v>29</v>
      </c>
      <c r="F9231" s="9" t="s">
        <v>106</v>
      </c>
      <c r="G9231" s="9" t="s">
        <v>107</v>
      </c>
      <c r="H9231" s="11" t="s">
        <v>19</v>
      </c>
      <c r="I9231" s="12" t="n">
        <v>20</v>
      </c>
      <c r="J9231" s="13" t="n">
        <v>184</v>
      </c>
      <c r="K9231" s="14" t="n">
        <f aca="false">I9231*J9231</f>
        <v>3680</v>
      </c>
      <c r="L9231" s="14" t="n">
        <f aca="false">($L$2*M9231)/100</f>
        <v>552766.59</v>
      </c>
      <c r="M9231" s="15" t="n">
        <v>0.46</v>
      </c>
      <c r="N9231" s="9" t="s">
        <v>26</v>
      </c>
    </row>
    <row r="9232" customFormat="false" ht="14.25" hidden="false" customHeight="true" outlineLevel="0" collapsed="false">
      <c r="B9232" s="9" t="s">
        <v>32</v>
      </c>
      <c r="C9232" s="9" t="n">
        <v>1197831</v>
      </c>
      <c r="D9232" s="10" t="n">
        <v>44306</v>
      </c>
      <c r="E9232" s="9" t="s">
        <v>29</v>
      </c>
      <c r="F9232" s="9" t="s">
        <v>106</v>
      </c>
      <c r="G9232" s="9" t="s">
        <v>107</v>
      </c>
      <c r="H9232" s="11" t="s">
        <v>21</v>
      </c>
      <c r="I9232" s="12" t="n">
        <v>18</v>
      </c>
      <c r="J9232" s="13" t="n">
        <v>79</v>
      </c>
      <c r="K9232" s="14" t="n">
        <f aca="false">I9232*J9232</f>
        <v>1422</v>
      </c>
      <c r="L9232" s="14" t="n">
        <f aca="false">($L$2*M9232)/100</f>
        <v>468649.935</v>
      </c>
      <c r="M9232" s="15" t="n">
        <v>0.39</v>
      </c>
      <c r="N9232" s="9" t="s">
        <v>26</v>
      </c>
    </row>
    <row r="9233" customFormat="false" ht="14.25" hidden="false" customHeight="true" outlineLevel="0" collapsed="false">
      <c r="B9233" s="9" t="s">
        <v>32</v>
      </c>
      <c r="C9233" s="9" t="n">
        <v>1197831</v>
      </c>
      <c r="D9233" s="10" t="n">
        <v>44306</v>
      </c>
      <c r="E9233" s="9" t="s">
        <v>29</v>
      </c>
      <c r="F9233" s="9" t="s">
        <v>106</v>
      </c>
      <c r="G9233" s="9" t="s">
        <v>107</v>
      </c>
      <c r="H9233" s="11" t="s">
        <v>22</v>
      </c>
      <c r="I9233" s="12" t="n">
        <v>10</v>
      </c>
      <c r="J9233" s="13" t="n">
        <v>70</v>
      </c>
      <c r="K9233" s="14" t="n">
        <f aca="false">I9233*J9233</f>
        <v>700</v>
      </c>
      <c r="L9233" s="14" t="n">
        <f aca="false">($L$2*M9233)/100</f>
        <v>552766.59</v>
      </c>
      <c r="M9233" s="15" t="n">
        <v>0.46</v>
      </c>
      <c r="N9233" s="9" t="s">
        <v>26</v>
      </c>
    </row>
    <row r="9234" customFormat="false" ht="14.25" hidden="false" customHeight="true" outlineLevel="0" collapsed="false">
      <c r="B9234" s="9" t="s">
        <v>32</v>
      </c>
      <c r="C9234" s="9" t="n">
        <v>1197831</v>
      </c>
      <c r="D9234" s="10" t="n">
        <v>44306</v>
      </c>
      <c r="E9234" s="9" t="s">
        <v>29</v>
      </c>
      <c r="F9234" s="9" t="s">
        <v>106</v>
      </c>
      <c r="G9234" s="9" t="s">
        <v>107</v>
      </c>
      <c r="H9234" s="11" t="s">
        <v>23</v>
      </c>
      <c r="I9234" s="12" t="n">
        <v>15</v>
      </c>
      <c r="J9234" s="13" t="n">
        <v>47</v>
      </c>
      <c r="K9234" s="14" t="n">
        <f aca="false">I9234*J9234</f>
        <v>705</v>
      </c>
      <c r="L9234" s="14" t="n">
        <f aca="false">($L$2*M9234)/100</f>
        <v>516716.595</v>
      </c>
      <c r="M9234" s="15" t="n">
        <v>0.43</v>
      </c>
      <c r="N9234" s="9" t="s">
        <v>26</v>
      </c>
    </row>
    <row r="9235" customFormat="false" ht="14.25" hidden="false" customHeight="true" outlineLevel="0" collapsed="false">
      <c r="B9235" s="9" t="s">
        <v>32</v>
      </c>
      <c r="C9235" s="9" t="n">
        <v>1197831</v>
      </c>
      <c r="D9235" s="10" t="n">
        <v>44306</v>
      </c>
      <c r="E9235" s="9" t="s">
        <v>29</v>
      </c>
      <c r="F9235" s="9" t="s">
        <v>106</v>
      </c>
      <c r="G9235" s="9" t="s">
        <v>107</v>
      </c>
      <c r="H9235" s="11" t="s">
        <v>24</v>
      </c>
      <c r="I9235" s="12" t="n">
        <v>27</v>
      </c>
      <c r="J9235" s="13" t="n">
        <v>54</v>
      </c>
      <c r="K9235" s="14" t="n">
        <f aca="false">I9235*J9235</f>
        <v>1458</v>
      </c>
      <c r="L9235" s="14" t="n">
        <f aca="false">($L$2*M9235)/100</f>
        <v>468649.935</v>
      </c>
      <c r="M9235" s="15" t="n">
        <v>0.39</v>
      </c>
      <c r="N9235" s="9" t="s">
        <v>26</v>
      </c>
    </row>
    <row r="9236" customFormat="false" ht="14.25" hidden="false" customHeight="true" outlineLevel="0" collapsed="false">
      <c r="B9236" s="9" t="s">
        <v>32</v>
      </c>
      <c r="C9236" s="9" t="n">
        <v>1197831</v>
      </c>
      <c r="D9236" s="10" t="n">
        <v>44306</v>
      </c>
      <c r="E9236" s="9" t="s">
        <v>29</v>
      </c>
      <c r="F9236" s="9" t="s">
        <v>106</v>
      </c>
      <c r="G9236" s="9" t="s">
        <v>107</v>
      </c>
      <c r="H9236" s="11" t="s">
        <v>25</v>
      </c>
      <c r="I9236" s="12" t="n">
        <v>22</v>
      </c>
      <c r="J9236" s="13" t="n">
        <v>111</v>
      </c>
      <c r="K9236" s="14" t="n">
        <f aca="false">I9236*J9236</f>
        <v>2442</v>
      </c>
      <c r="L9236" s="14" t="n">
        <f aca="false">($L$2*M9236)/100</f>
        <v>516716.595</v>
      </c>
      <c r="M9236" s="15" t="n">
        <v>0.43</v>
      </c>
      <c r="N9236" s="9" t="s">
        <v>26</v>
      </c>
    </row>
    <row r="9237" customFormat="false" ht="14.25" hidden="false" customHeight="true" outlineLevel="0" collapsed="false">
      <c r="B9237" s="9" t="s">
        <v>32</v>
      </c>
      <c r="C9237" s="9" t="n">
        <v>1197831</v>
      </c>
      <c r="D9237" s="10" t="n">
        <v>44335</v>
      </c>
      <c r="E9237" s="9" t="s">
        <v>29</v>
      </c>
      <c r="F9237" s="9" t="s">
        <v>106</v>
      </c>
      <c r="G9237" s="9" t="s">
        <v>107</v>
      </c>
      <c r="H9237" s="11" t="s">
        <v>19</v>
      </c>
      <c r="I9237" s="12" t="n">
        <v>28</v>
      </c>
      <c r="J9237" s="13" t="n">
        <v>179</v>
      </c>
      <c r="K9237" s="14" t="n">
        <f aca="false">I9237*J9237</f>
        <v>5012</v>
      </c>
      <c r="L9237" s="14" t="n">
        <f aca="false">($L$2*M9237)/100</f>
        <v>516716.595</v>
      </c>
      <c r="M9237" s="15" t="n">
        <v>0.43</v>
      </c>
      <c r="N9237" s="9" t="s">
        <v>26</v>
      </c>
    </row>
    <row r="9238" customFormat="false" ht="14.25" hidden="false" customHeight="true" outlineLevel="0" collapsed="false">
      <c r="B9238" s="9" t="s">
        <v>32</v>
      </c>
      <c r="C9238" s="9" t="n">
        <v>1197831</v>
      </c>
      <c r="D9238" s="10" t="n">
        <v>44335</v>
      </c>
      <c r="E9238" s="9" t="s">
        <v>29</v>
      </c>
      <c r="F9238" s="9" t="s">
        <v>106</v>
      </c>
      <c r="G9238" s="9" t="s">
        <v>107</v>
      </c>
      <c r="H9238" s="11" t="s">
        <v>21</v>
      </c>
      <c r="I9238" s="12" t="n">
        <v>29</v>
      </c>
      <c r="J9238" s="13" t="n">
        <v>93</v>
      </c>
      <c r="K9238" s="14" t="n">
        <f aca="false">I9238*J9238</f>
        <v>2697</v>
      </c>
      <c r="L9238" s="14" t="n">
        <f aca="false">($L$2*M9238)/100</f>
        <v>456633.27</v>
      </c>
      <c r="M9238" s="15" t="n">
        <v>0.38</v>
      </c>
      <c r="N9238" s="9" t="s">
        <v>26</v>
      </c>
    </row>
    <row r="9239" customFormat="false" ht="14.25" hidden="false" customHeight="true" outlineLevel="0" collapsed="false">
      <c r="B9239" s="9" t="s">
        <v>32</v>
      </c>
      <c r="C9239" s="9" t="n">
        <v>1197831</v>
      </c>
      <c r="D9239" s="10" t="n">
        <v>44335</v>
      </c>
      <c r="E9239" s="9" t="s">
        <v>29</v>
      </c>
      <c r="F9239" s="9" t="s">
        <v>106</v>
      </c>
      <c r="G9239" s="9" t="s">
        <v>107</v>
      </c>
      <c r="H9239" s="11" t="s">
        <v>22</v>
      </c>
      <c r="I9239" s="12" t="n">
        <v>27</v>
      </c>
      <c r="J9239" s="13" t="n">
        <v>88</v>
      </c>
      <c r="K9239" s="14" t="n">
        <f aca="false">I9239*J9239</f>
        <v>2376</v>
      </c>
      <c r="L9239" s="14" t="n">
        <f aca="false">($L$2*M9239)/100</f>
        <v>504699.93</v>
      </c>
      <c r="M9239" s="15" t="n">
        <v>0.42</v>
      </c>
      <c r="N9239" s="9" t="s">
        <v>26</v>
      </c>
    </row>
    <row r="9240" customFormat="false" ht="14.25" hidden="false" customHeight="true" outlineLevel="0" collapsed="false">
      <c r="B9240" s="9" t="s">
        <v>32</v>
      </c>
      <c r="C9240" s="9" t="n">
        <v>1197831</v>
      </c>
      <c r="D9240" s="10" t="n">
        <v>44335</v>
      </c>
      <c r="E9240" s="9" t="s">
        <v>29</v>
      </c>
      <c r="F9240" s="9" t="s">
        <v>106</v>
      </c>
      <c r="G9240" s="9" t="s">
        <v>107</v>
      </c>
      <c r="H9240" s="11" t="s">
        <v>23</v>
      </c>
      <c r="I9240" s="12" t="n">
        <v>26</v>
      </c>
      <c r="J9240" s="13" t="n">
        <v>74</v>
      </c>
      <c r="K9240" s="14" t="n">
        <f aca="false">I9240*J9240</f>
        <v>1924</v>
      </c>
      <c r="L9240" s="14" t="n">
        <f aca="false">($L$2*M9240)/100</f>
        <v>504699.93</v>
      </c>
      <c r="M9240" s="15" t="n">
        <v>0.42</v>
      </c>
      <c r="N9240" s="9" t="s">
        <v>26</v>
      </c>
    </row>
    <row r="9241" customFormat="false" ht="14.25" hidden="false" customHeight="true" outlineLevel="0" collapsed="false">
      <c r="B9241" s="9" t="s">
        <v>32</v>
      </c>
      <c r="C9241" s="9" t="n">
        <v>1197831</v>
      </c>
      <c r="D9241" s="10" t="n">
        <v>44335</v>
      </c>
      <c r="E9241" s="9" t="s">
        <v>29</v>
      </c>
      <c r="F9241" s="9" t="s">
        <v>106</v>
      </c>
      <c r="G9241" s="9" t="s">
        <v>107</v>
      </c>
      <c r="H9241" s="11" t="s">
        <v>24</v>
      </c>
      <c r="I9241" s="12" t="n">
        <v>33</v>
      </c>
      <c r="J9241" s="13" t="n">
        <v>80</v>
      </c>
      <c r="K9241" s="14" t="n">
        <f aca="false">I9241*J9241</f>
        <v>2640</v>
      </c>
      <c r="L9241" s="14" t="n">
        <f aca="false">($L$2*M9241)/100</f>
        <v>492683.265</v>
      </c>
      <c r="M9241" s="15" t="n">
        <v>0.41</v>
      </c>
      <c r="N9241" s="9" t="s">
        <v>26</v>
      </c>
    </row>
    <row r="9242" customFormat="false" ht="14.25" hidden="false" customHeight="true" outlineLevel="0" collapsed="false">
      <c r="B9242" s="9" t="s">
        <v>32</v>
      </c>
      <c r="C9242" s="9" t="n">
        <v>1197831</v>
      </c>
      <c r="D9242" s="10" t="n">
        <v>44335</v>
      </c>
      <c r="E9242" s="9" t="s">
        <v>29</v>
      </c>
      <c r="F9242" s="9" t="s">
        <v>106</v>
      </c>
      <c r="G9242" s="9" t="s">
        <v>107</v>
      </c>
      <c r="H9242" s="11" t="s">
        <v>25</v>
      </c>
      <c r="I9242" s="12" t="n">
        <v>33</v>
      </c>
      <c r="J9242" s="13" t="n">
        <v>116</v>
      </c>
      <c r="K9242" s="14" t="n">
        <f aca="false">I9242*J9242</f>
        <v>3828</v>
      </c>
      <c r="L9242" s="14" t="n">
        <f aca="false">($L$2*M9242)/100</f>
        <v>540749.925</v>
      </c>
      <c r="M9242" s="15" t="n">
        <v>0.45</v>
      </c>
      <c r="N9242" s="9" t="s">
        <v>26</v>
      </c>
    </row>
    <row r="9243" customFormat="false" ht="14.25" hidden="false" customHeight="true" outlineLevel="0" collapsed="false">
      <c r="B9243" s="9" t="s">
        <v>32</v>
      </c>
      <c r="C9243" s="9" t="n">
        <v>1197831</v>
      </c>
      <c r="D9243" s="10" t="n">
        <v>44368</v>
      </c>
      <c r="E9243" s="9" t="s">
        <v>29</v>
      </c>
      <c r="F9243" s="9" t="s">
        <v>106</v>
      </c>
      <c r="G9243" s="9" t="s">
        <v>107</v>
      </c>
      <c r="H9243" s="11" t="s">
        <v>19</v>
      </c>
      <c r="I9243" s="12" t="n">
        <v>32</v>
      </c>
      <c r="J9243" s="13" t="n">
        <v>192</v>
      </c>
      <c r="K9243" s="14" t="n">
        <f aca="false">I9243*J9243</f>
        <v>6144</v>
      </c>
      <c r="L9243" s="14" t="n">
        <f aca="false">($L$2*M9243)/100</f>
        <v>552766.59</v>
      </c>
      <c r="M9243" s="15" t="n">
        <v>0.46</v>
      </c>
      <c r="N9243" s="9" t="s">
        <v>26</v>
      </c>
    </row>
    <row r="9244" customFormat="false" ht="14.25" hidden="false" customHeight="true" outlineLevel="0" collapsed="false">
      <c r="B9244" s="9" t="s">
        <v>32</v>
      </c>
      <c r="C9244" s="9" t="n">
        <v>1197831</v>
      </c>
      <c r="D9244" s="10" t="n">
        <v>44368</v>
      </c>
      <c r="E9244" s="9" t="s">
        <v>29</v>
      </c>
      <c r="F9244" s="9" t="s">
        <v>106</v>
      </c>
      <c r="G9244" s="9" t="s">
        <v>107</v>
      </c>
      <c r="H9244" s="11" t="s">
        <v>21</v>
      </c>
      <c r="I9244" s="12" t="n">
        <v>25</v>
      </c>
      <c r="J9244" s="13" t="n">
        <v>123</v>
      </c>
      <c r="K9244" s="14" t="n">
        <f aca="false">I9244*J9244</f>
        <v>3075</v>
      </c>
      <c r="L9244" s="14" t="n">
        <f aca="false">($L$2*M9244)/100</f>
        <v>468649.935</v>
      </c>
      <c r="M9244" s="15" t="n">
        <v>0.39</v>
      </c>
      <c r="N9244" s="9" t="s">
        <v>26</v>
      </c>
    </row>
    <row r="9245" customFormat="false" ht="14.25" hidden="false" customHeight="true" outlineLevel="0" collapsed="false">
      <c r="B9245" s="9" t="s">
        <v>32</v>
      </c>
      <c r="C9245" s="9" t="n">
        <v>1197831</v>
      </c>
      <c r="D9245" s="10" t="n">
        <v>44368</v>
      </c>
      <c r="E9245" s="9" t="s">
        <v>29</v>
      </c>
      <c r="F9245" s="9" t="s">
        <v>106</v>
      </c>
      <c r="G9245" s="9" t="s">
        <v>107</v>
      </c>
      <c r="H9245" s="11" t="s">
        <v>22</v>
      </c>
      <c r="I9245" s="12" t="n">
        <v>27</v>
      </c>
      <c r="J9245" s="13" t="n">
        <v>107</v>
      </c>
      <c r="K9245" s="14" t="n">
        <f aca="false">I9245*J9245</f>
        <v>2889</v>
      </c>
      <c r="L9245" s="14" t="n">
        <f aca="false">($L$2*M9245)/100</f>
        <v>516716.595</v>
      </c>
      <c r="M9245" s="15" t="n">
        <v>0.43</v>
      </c>
      <c r="N9245" s="9" t="s">
        <v>26</v>
      </c>
    </row>
    <row r="9246" customFormat="false" ht="14.25" hidden="false" customHeight="true" outlineLevel="0" collapsed="false">
      <c r="B9246" s="9" t="s">
        <v>32</v>
      </c>
      <c r="C9246" s="9" t="n">
        <v>1197831</v>
      </c>
      <c r="D9246" s="10" t="n">
        <v>44368</v>
      </c>
      <c r="E9246" s="9" t="s">
        <v>29</v>
      </c>
      <c r="F9246" s="9" t="s">
        <v>106</v>
      </c>
      <c r="G9246" s="9" t="s">
        <v>107</v>
      </c>
      <c r="H9246" s="11" t="s">
        <v>23</v>
      </c>
      <c r="I9246" s="12" t="n">
        <v>29</v>
      </c>
      <c r="J9246" s="13" t="n">
        <v>102</v>
      </c>
      <c r="K9246" s="14" t="n">
        <f aca="false">I9246*J9246</f>
        <v>2958</v>
      </c>
      <c r="L9246" s="14" t="n">
        <f aca="false">($L$2*M9246)/100</f>
        <v>540749.925</v>
      </c>
      <c r="M9246" s="15" t="n">
        <v>0.45</v>
      </c>
      <c r="N9246" s="9" t="s">
        <v>26</v>
      </c>
    </row>
    <row r="9247" customFormat="false" ht="14.25" hidden="false" customHeight="true" outlineLevel="0" collapsed="false">
      <c r="B9247" s="9" t="s">
        <v>32</v>
      </c>
      <c r="C9247" s="9" t="n">
        <v>1197831</v>
      </c>
      <c r="D9247" s="10" t="n">
        <v>44368</v>
      </c>
      <c r="E9247" s="9" t="s">
        <v>29</v>
      </c>
      <c r="F9247" s="9" t="s">
        <v>106</v>
      </c>
      <c r="G9247" s="9" t="s">
        <v>107</v>
      </c>
      <c r="H9247" s="11" t="s">
        <v>24</v>
      </c>
      <c r="I9247" s="12" t="n">
        <v>41</v>
      </c>
      <c r="J9247" s="13" t="n">
        <v>105</v>
      </c>
      <c r="K9247" s="14" t="n">
        <f aca="false">I9247*J9247</f>
        <v>4305</v>
      </c>
      <c r="L9247" s="14" t="n">
        <f aca="false">($L$2*M9247)/100</f>
        <v>456633.27</v>
      </c>
      <c r="M9247" s="15" t="n">
        <v>0.38</v>
      </c>
      <c r="N9247" s="9" t="s">
        <v>26</v>
      </c>
    </row>
    <row r="9248" customFormat="false" ht="14.25" hidden="false" customHeight="true" outlineLevel="0" collapsed="false">
      <c r="B9248" s="9" t="s">
        <v>32</v>
      </c>
      <c r="C9248" s="9" t="n">
        <v>1197831</v>
      </c>
      <c r="D9248" s="10" t="n">
        <v>44368</v>
      </c>
      <c r="E9248" s="9" t="s">
        <v>29</v>
      </c>
      <c r="F9248" s="9" t="s">
        <v>106</v>
      </c>
      <c r="G9248" s="9" t="s">
        <v>107</v>
      </c>
      <c r="H9248" s="11" t="s">
        <v>25</v>
      </c>
      <c r="I9248" s="12" t="n">
        <v>40</v>
      </c>
      <c r="J9248" s="13" t="n">
        <v>143</v>
      </c>
      <c r="K9248" s="14" t="n">
        <f aca="false">I9248*J9248</f>
        <v>5720</v>
      </c>
      <c r="L9248" s="14" t="n">
        <f aca="false">($L$2*M9248)/100</f>
        <v>504699.93</v>
      </c>
      <c r="M9248" s="15" t="n">
        <v>0.42</v>
      </c>
      <c r="N9248" s="9" t="s">
        <v>26</v>
      </c>
    </row>
    <row r="9249" customFormat="false" ht="14.25" hidden="false" customHeight="true" outlineLevel="0" collapsed="false">
      <c r="B9249" s="9" t="s">
        <v>32</v>
      </c>
      <c r="C9249" s="9" t="n">
        <v>1197831</v>
      </c>
      <c r="D9249" s="10" t="n">
        <v>44396</v>
      </c>
      <c r="E9249" s="9" t="s">
        <v>29</v>
      </c>
      <c r="F9249" s="9" t="s">
        <v>106</v>
      </c>
      <c r="G9249" s="9" t="s">
        <v>107</v>
      </c>
      <c r="H9249" s="11" t="s">
        <v>19</v>
      </c>
      <c r="I9249" s="12" t="n">
        <v>43</v>
      </c>
      <c r="J9249" s="13" t="n">
        <v>238</v>
      </c>
      <c r="K9249" s="14" t="n">
        <f aca="false">I9249*J9249</f>
        <v>10234</v>
      </c>
      <c r="L9249" s="14" t="n">
        <f aca="false">($L$2*M9249)/100</f>
        <v>504699.93</v>
      </c>
      <c r="M9249" s="15" t="n">
        <v>0.42</v>
      </c>
      <c r="N9249" s="9" t="s">
        <v>26</v>
      </c>
    </row>
    <row r="9250" customFormat="false" ht="14.25" hidden="false" customHeight="true" outlineLevel="0" collapsed="false">
      <c r="B9250" s="9" t="s">
        <v>32</v>
      </c>
      <c r="C9250" s="9" t="n">
        <v>1197831</v>
      </c>
      <c r="D9250" s="10" t="n">
        <v>44396</v>
      </c>
      <c r="E9250" s="9" t="s">
        <v>29</v>
      </c>
      <c r="F9250" s="9" t="s">
        <v>106</v>
      </c>
      <c r="G9250" s="9" t="s">
        <v>107</v>
      </c>
      <c r="H9250" s="11" t="s">
        <v>21</v>
      </c>
      <c r="I9250" s="12" t="n">
        <v>35</v>
      </c>
      <c r="J9250" s="13" t="n">
        <v>135</v>
      </c>
      <c r="K9250" s="14" t="n">
        <f aca="false">I9250*J9250</f>
        <v>4725</v>
      </c>
      <c r="L9250" s="14" t="n">
        <f aca="false">($L$2*M9250)/100</f>
        <v>456633.27</v>
      </c>
      <c r="M9250" s="15" t="n">
        <v>0.38</v>
      </c>
      <c r="N9250" s="9" t="s">
        <v>26</v>
      </c>
    </row>
    <row r="9251" customFormat="false" ht="14.25" hidden="false" customHeight="true" outlineLevel="0" collapsed="false">
      <c r="B9251" s="9" t="s">
        <v>32</v>
      </c>
      <c r="C9251" s="9" t="n">
        <v>1197831</v>
      </c>
      <c r="D9251" s="10" t="n">
        <v>44396</v>
      </c>
      <c r="E9251" s="9" t="s">
        <v>29</v>
      </c>
      <c r="F9251" s="9" t="s">
        <v>106</v>
      </c>
      <c r="G9251" s="9" t="s">
        <v>107</v>
      </c>
      <c r="H9251" s="11" t="s">
        <v>22</v>
      </c>
      <c r="I9251" s="12" t="n">
        <v>33</v>
      </c>
      <c r="J9251" s="13" t="n">
        <v>131</v>
      </c>
      <c r="K9251" s="14" t="n">
        <f aca="false">I9251*J9251</f>
        <v>4323</v>
      </c>
      <c r="L9251" s="14" t="n">
        <f aca="false">($L$2*M9251)/100</f>
        <v>516716.595</v>
      </c>
      <c r="M9251" s="15" t="n">
        <v>0.43</v>
      </c>
      <c r="N9251" s="9" t="s">
        <v>26</v>
      </c>
    </row>
    <row r="9252" customFormat="false" ht="14.25" hidden="false" customHeight="true" outlineLevel="0" collapsed="false">
      <c r="B9252" s="9" t="s">
        <v>32</v>
      </c>
      <c r="C9252" s="9" t="n">
        <v>1197831</v>
      </c>
      <c r="D9252" s="10" t="n">
        <v>44396</v>
      </c>
      <c r="E9252" s="9" t="s">
        <v>29</v>
      </c>
      <c r="F9252" s="9" t="s">
        <v>106</v>
      </c>
      <c r="G9252" s="9" t="s">
        <v>107</v>
      </c>
      <c r="H9252" s="11" t="s">
        <v>23</v>
      </c>
      <c r="I9252" s="12" t="n">
        <v>36</v>
      </c>
      <c r="J9252" s="13" t="n">
        <v>107</v>
      </c>
      <c r="K9252" s="14" t="n">
        <f aca="false">I9252*J9252</f>
        <v>3852</v>
      </c>
      <c r="L9252" s="14" t="n">
        <f aca="false">($L$2*M9252)/100</f>
        <v>552766.59</v>
      </c>
      <c r="M9252" s="15" t="n">
        <v>0.46</v>
      </c>
      <c r="N9252" s="9" t="s">
        <v>26</v>
      </c>
    </row>
    <row r="9253" customFormat="false" ht="14.25" hidden="false" customHeight="true" outlineLevel="0" collapsed="false">
      <c r="B9253" s="9" t="s">
        <v>32</v>
      </c>
      <c r="C9253" s="9" t="n">
        <v>1197831</v>
      </c>
      <c r="D9253" s="10" t="n">
        <v>44396</v>
      </c>
      <c r="E9253" s="9" t="s">
        <v>29</v>
      </c>
      <c r="F9253" s="9" t="s">
        <v>106</v>
      </c>
      <c r="G9253" s="9" t="s">
        <v>107</v>
      </c>
      <c r="H9253" s="11" t="s">
        <v>24</v>
      </c>
      <c r="I9253" s="12" t="n">
        <v>43</v>
      </c>
      <c r="J9253" s="13" t="n">
        <v>116</v>
      </c>
      <c r="K9253" s="14" t="n">
        <f aca="false">I9253*J9253</f>
        <v>4988</v>
      </c>
      <c r="L9253" s="14" t="n">
        <f aca="false">($L$2*M9253)/100</f>
        <v>492683.265</v>
      </c>
      <c r="M9253" s="15" t="n">
        <v>0.41</v>
      </c>
      <c r="N9253" s="9" t="s">
        <v>26</v>
      </c>
    </row>
    <row r="9254" customFormat="false" ht="14.25" hidden="false" customHeight="true" outlineLevel="0" collapsed="false">
      <c r="B9254" s="9" t="s">
        <v>32</v>
      </c>
      <c r="C9254" s="9" t="n">
        <v>1197831</v>
      </c>
      <c r="D9254" s="10" t="n">
        <v>44396</v>
      </c>
      <c r="E9254" s="9" t="s">
        <v>29</v>
      </c>
      <c r="F9254" s="9" t="s">
        <v>106</v>
      </c>
      <c r="G9254" s="9" t="s">
        <v>107</v>
      </c>
      <c r="H9254" s="11" t="s">
        <v>25</v>
      </c>
      <c r="I9254" s="12" t="n">
        <v>45</v>
      </c>
      <c r="J9254" s="13" t="n">
        <v>163</v>
      </c>
      <c r="K9254" s="14" t="n">
        <f aca="false">I9254*J9254</f>
        <v>7335</v>
      </c>
      <c r="L9254" s="14" t="n">
        <f aca="false">($L$2*M9254)/100</f>
        <v>564783.255</v>
      </c>
      <c r="M9254" s="15" t="n">
        <v>0.47</v>
      </c>
      <c r="N9254" s="9" t="s">
        <v>26</v>
      </c>
    </row>
    <row r="9255" customFormat="false" ht="14.25" hidden="false" customHeight="true" outlineLevel="0" collapsed="false">
      <c r="B9255" s="9" t="s">
        <v>32</v>
      </c>
      <c r="C9255" s="9" t="n">
        <v>1197831</v>
      </c>
      <c r="D9255" s="10" t="n">
        <v>44428</v>
      </c>
      <c r="E9255" s="9" t="s">
        <v>29</v>
      </c>
      <c r="F9255" s="9" t="s">
        <v>106</v>
      </c>
      <c r="G9255" s="9" t="s">
        <v>107</v>
      </c>
      <c r="H9255" s="11" t="s">
        <v>19</v>
      </c>
      <c r="I9255" s="12" t="n">
        <v>41</v>
      </c>
      <c r="J9255" s="13" t="n">
        <v>230</v>
      </c>
      <c r="K9255" s="14" t="n">
        <f aca="false">I9255*J9255</f>
        <v>9430</v>
      </c>
      <c r="L9255" s="14" t="n">
        <f aca="false">($L$2*M9255)/100</f>
        <v>504699.93</v>
      </c>
      <c r="M9255" s="15" t="n">
        <v>0.42</v>
      </c>
      <c r="N9255" s="9" t="s">
        <v>26</v>
      </c>
    </row>
    <row r="9256" customFormat="false" ht="14.25" hidden="false" customHeight="true" outlineLevel="0" collapsed="false">
      <c r="B9256" s="9" t="s">
        <v>32</v>
      </c>
      <c r="C9256" s="9" t="n">
        <v>1197831</v>
      </c>
      <c r="D9256" s="10" t="n">
        <v>44428</v>
      </c>
      <c r="E9256" s="9" t="s">
        <v>29</v>
      </c>
      <c r="F9256" s="9" t="s">
        <v>106</v>
      </c>
      <c r="G9256" s="9" t="s">
        <v>107</v>
      </c>
      <c r="H9256" s="11" t="s">
        <v>21</v>
      </c>
      <c r="I9256" s="12" t="n">
        <v>37</v>
      </c>
      <c r="J9256" s="13" t="n">
        <v>140</v>
      </c>
      <c r="K9256" s="14" t="n">
        <f aca="false">I9256*J9256</f>
        <v>5180</v>
      </c>
      <c r="L9256" s="14" t="n">
        <f aca="false">($L$2*M9256)/100</f>
        <v>504699.93</v>
      </c>
      <c r="M9256" s="15" t="n">
        <v>0.42</v>
      </c>
      <c r="N9256" s="9" t="s">
        <v>26</v>
      </c>
    </row>
    <row r="9257" customFormat="false" ht="14.25" hidden="false" customHeight="true" outlineLevel="0" collapsed="false">
      <c r="B9257" s="9" t="s">
        <v>32</v>
      </c>
      <c r="C9257" s="9" t="n">
        <v>1197831</v>
      </c>
      <c r="D9257" s="10" t="n">
        <v>44428</v>
      </c>
      <c r="E9257" s="9" t="s">
        <v>29</v>
      </c>
      <c r="F9257" s="9" t="s">
        <v>106</v>
      </c>
      <c r="G9257" s="9" t="s">
        <v>107</v>
      </c>
      <c r="H9257" s="11" t="s">
        <v>22</v>
      </c>
      <c r="I9257" s="12" t="n">
        <v>38</v>
      </c>
      <c r="J9257" s="13" t="n">
        <v>113</v>
      </c>
      <c r="K9257" s="14" t="n">
        <f aca="false">I9257*J9257</f>
        <v>4294</v>
      </c>
      <c r="L9257" s="14" t="n">
        <f aca="false">($L$2*M9257)/100</f>
        <v>564783.255</v>
      </c>
      <c r="M9257" s="15" t="n">
        <v>0.47</v>
      </c>
      <c r="N9257" s="9" t="s">
        <v>26</v>
      </c>
    </row>
    <row r="9258" customFormat="false" ht="14.25" hidden="false" customHeight="true" outlineLevel="0" collapsed="false">
      <c r="B9258" s="9" t="s">
        <v>32</v>
      </c>
      <c r="C9258" s="9" t="n">
        <v>1197831</v>
      </c>
      <c r="D9258" s="10" t="n">
        <v>44428</v>
      </c>
      <c r="E9258" s="9" t="s">
        <v>29</v>
      </c>
      <c r="F9258" s="9" t="s">
        <v>106</v>
      </c>
      <c r="G9258" s="9" t="s">
        <v>107</v>
      </c>
      <c r="H9258" s="11" t="s">
        <v>23</v>
      </c>
      <c r="I9258" s="12" t="n">
        <v>32</v>
      </c>
      <c r="J9258" s="13" t="n">
        <v>111</v>
      </c>
      <c r="K9258" s="14" t="n">
        <f aca="false">I9258*J9258</f>
        <v>3552</v>
      </c>
      <c r="L9258" s="14" t="n">
        <f aca="false">($L$2*M9258)/100</f>
        <v>504699.93</v>
      </c>
      <c r="M9258" s="15" t="n">
        <v>0.42</v>
      </c>
      <c r="N9258" s="9" t="s">
        <v>26</v>
      </c>
    </row>
    <row r="9259" customFormat="false" ht="14.25" hidden="false" customHeight="true" outlineLevel="0" collapsed="false">
      <c r="B9259" s="9" t="s">
        <v>32</v>
      </c>
      <c r="C9259" s="9" t="n">
        <v>1197831</v>
      </c>
      <c r="D9259" s="10" t="n">
        <v>44428</v>
      </c>
      <c r="E9259" s="9" t="s">
        <v>29</v>
      </c>
      <c r="F9259" s="9" t="s">
        <v>106</v>
      </c>
      <c r="G9259" s="9" t="s">
        <v>107</v>
      </c>
      <c r="H9259" s="11" t="s">
        <v>24</v>
      </c>
      <c r="I9259" s="12" t="n">
        <v>40</v>
      </c>
      <c r="J9259" s="13" t="n">
        <v>105</v>
      </c>
      <c r="K9259" s="14" t="n">
        <f aca="false">I9259*J9259</f>
        <v>4200</v>
      </c>
      <c r="L9259" s="14" t="n">
        <f aca="false">($L$2*M9259)/100</f>
        <v>444616.605</v>
      </c>
      <c r="M9259" s="15" t="n">
        <v>0.37</v>
      </c>
      <c r="N9259" s="9" t="s">
        <v>26</v>
      </c>
    </row>
    <row r="9260" customFormat="false" ht="14.25" hidden="false" customHeight="true" outlineLevel="0" collapsed="false">
      <c r="B9260" s="9" t="s">
        <v>32</v>
      </c>
      <c r="C9260" s="9" t="n">
        <v>1197831</v>
      </c>
      <c r="D9260" s="10" t="n">
        <v>44428</v>
      </c>
      <c r="E9260" s="9" t="s">
        <v>29</v>
      </c>
      <c r="F9260" s="9" t="s">
        <v>106</v>
      </c>
      <c r="G9260" s="9" t="s">
        <v>107</v>
      </c>
      <c r="H9260" s="11" t="s">
        <v>25</v>
      </c>
      <c r="I9260" s="12" t="n">
        <v>40</v>
      </c>
      <c r="J9260" s="13" t="n">
        <v>166</v>
      </c>
      <c r="K9260" s="14" t="n">
        <f aca="false">I9260*J9260</f>
        <v>6640</v>
      </c>
      <c r="L9260" s="14" t="n">
        <f aca="false">($L$2*M9260)/100</f>
        <v>564783.255</v>
      </c>
      <c r="M9260" s="15" t="n">
        <v>0.47</v>
      </c>
      <c r="N9260" s="9" t="s">
        <v>26</v>
      </c>
    </row>
    <row r="9261" customFormat="false" ht="14.25" hidden="false" customHeight="true" outlineLevel="0" collapsed="false">
      <c r="B9261" s="9" t="s">
        <v>32</v>
      </c>
      <c r="C9261" s="9" t="n">
        <v>1197831</v>
      </c>
      <c r="D9261" s="10" t="n">
        <v>44458</v>
      </c>
      <c r="E9261" s="9" t="s">
        <v>29</v>
      </c>
      <c r="F9261" s="9" t="s">
        <v>106</v>
      </c>
      <c r="G9261" s="9" t="s">
        <v>107</v>
      </c>
      <c r="H9261" s="11" t="s">
        <v>19</v>
      </c>
      <c r="I9261" s="12" t="n">
        <v>35</v>
      </c>
      <c r="J9261" s="13" t="n">
        <v>196</v>
      </c>
      <c r="K9261" s="14" t="n">
        <f aca="false">I9261*J9261</f>
        <v>6860</v>
      </c>
      <c r="L9261" s="14" t="n">
        <f aca="false">($L$2*M9261)/100</f>
        <v>552766.59</v>
      </c>
      <c r="M9261" s="15" t="n">
        <v>0.46</v>
      </c>
      <c r="N9261" s="9" t="s">
        <v>26</v>
      </c>
    </row>
    <row r="9262" customFormat="false" ht="14.25" hidden="false" customHeight="true" outlineLevel="0" collapsed="false">
      <c r="B9262" s="9" t="s">
        <v>32</v>
      </c>
      <c r="C9262" s="9" t="n">
        <v>1197831</v>
      </c>
      <c r="D9262" s="10" t="n">
        <v>44458</v>
      </c>
      <c r="E9262" s="9" t="s">
        <v>29</v>
      </c>
      <c r="F9262" s="9" t="s">
        <v>106</v>
      </c>
      <c r="G9262" s="9" t="s">
        <v>107</v>
      </c>
      <c r="H9262" s="11" t="s">
        <v>21</v>
      </c>
      <c r="I9262" s="12" t="n">
        <v>28</v>
      </c>
      <c r="J9262" s="13" t="n">
        <v>128</v>
      </c>
      <c r="K9262" s="14" t="n">
        <f aca="false">I9262*J9262</f>
        <v>3584</v>
      </c>
      <c r="L9262" s="14" t="n">
        <f aca="false">($L$2*M9262)/100</f>
        <v>492683.265</v>
      </c>
      <c r="M9262" s="15" t="n">
        <v>0.41</v>
      </c>
      <c r="N9262" s="9" t="s">
        <v>26</v>
      </c>
    </row>
    <row r="9263" customFormat="false" ht="14.25" hidden="false" customHeight="true" outlineLevel="0" collapsed="false">
      <c r="B9263" s="9" t="s">
        <v>32</v>
      </c>
      <c r="C9263" s="9" t="n">
        <v>1197831</v>
      </c>
      <c r="D9263" s="10" t="n">
        <v>44458</v>
      </c>
      <c r="E9263" s="9" t="s">
        <v>29</v>
      </c>
      <c r="F9263" s="9" t="s">
        <v>106</v>
      </c>
      <c r="G9263" s="9" t="s">
        <v>107</v>
      </c>
      <c r="H9263" s="11" t="s">
        <v>22</v>
      </c>
      <c r="I9263" s="12" t="n">
        <v>12</v>
      </c>
      <c r="J9263" s="13" t="n">
        <v>91</v>
      </c>
      <c r="K9263" s="14" t="n">
        <f aca="false">I9263*J9263</f>
        <v>1092</v>
      </c>
      <c r="L9263" s="14" t="n">
        <f aca="false">($L$2*M9263)/100</f>
        <v>504699.93</v>
      </c>
      <c r="M9263" s="15" t="n">
        <v>0.42</v>
      </c>
      <c r="N9263" s="9" t="s">
        <v>26</v>
      </c>
    </row>
    <row r="9264" customFormat="false" ht="14.25" hidden="false" customHeight="true" outlineLevel="0" collapsed="false">
      <c r="B9264" s="9" t="s">
        <v>32</v>
      </c>
      <c r="C9264" s="9" t="n">
        <v>1197831</v>
      </c>
      <c r="D9264" s="10" t="n">
        <v>44458</v>
      </c>
      <c r="E9264" s="9" t="s">
        <v>29</v>
      </c>
      <c r="F9264" s="9" t="s">
        <v>106</v>
      </c>
      <c r="G9264" s="9" t="s">
        <v>107</v>
      </c>
      <c r="H9264" s="11" t="s">
        <v>23</v>
      </c>
      <c r="I9264" s="12" t="n">
        <v>12</v>
      </c>
      <c r="J9264" s="13" t="n">
        <v>83</v>
      </c>
      <c r="K9264" s="14" t="n">
        <f aca="false">I9264*J9264</f>
        <v>996</v>
      </c>
      <c r="L9264" s="14" t="n">
        <f aca="false">($L$2*M9264)/100</f>
        <v>504699.93</v>
      </c>
      <c r="M9264" s="15" t="n">
        <v>0.42</v>
      </c>
      <c r="N9264" s="9" t="s">
        <v>26</v>
      </c>
    </row>
    <row r="9265" customFormat="false" ht="14.25" hidden="false" customHeight="true" outlineLevel="0" collapsed="false">
      <c r="B9265" s="9" t="s">
        <v>32</v>
      </c>
      <c r="C9265" s="9" t="n">
        <v>1197831</v>
      </c>
      <c r="D9265" s="10" t="n">
        <v>44458</v>
      </c>
      <c r="E9265" s="9" t="s">
        <v>29</v>
      </c>
      <c r="F9265" s="9" t="s">
        <v>106</v>
      </c>
      <c r="G9265" s="9" t="s">
        <v>107</v>
      </c>
      <c r="H9265" s="11" t="s">
        <v>24</v>
      </c>
      <c r="I9265" s="12" t="n">
        <v>20</v>
      </c>
      <c r="J9265" s="13" t="n">
        <v>78</v>
      </c>
      <c r="K9265" s="14" t="n">
        <f aca="false">I9265*J9265</f>
        <v>1560</v>
      </c>
      <c r="L9265" s="14" t="n">
        <f aca="false">($L$2*M9265)/100</f>
        <v>456633.27</v>
      </c>
      <c r="M9265" s="15" t="n">
        <v>0.38</v>
      </c>
      <c r="N9265" s="9" t="s">
        <v>26</v>
      </c>
    </row>
    <row r="9266" customFormat="false" ht="14.25" hidden="false" customHeight="true" outlineLevel="0" collapsed="false">
      <c r="B9266" s="9" t="s">
        <v>32</v>
      </c>
      <c r="C9266" s="9" t="n">
        <v>1197831</v>
      </c>
      <c r="D9266" s="10" t="n">
        <v>44458</v>
      </c>
      <c r="E9266" s="9" t="s">
        <v>29</v>
      </c>
      <c r="F9266" s="9" t="s">
        <v>106</v>
      </c>
      <c r="G9266" s="9" t="s">
        <v>107</v>
      </c>
      <c r="H9266" s="11" t="s">
        <v>25</v>
      </c>
      <c r="I9266" s="12" t="n">
        <v>23</v>
      </c>
      <c r="J9266" s="13" t="n">
        <v>119</v>
      </c>
      <c r="K9266" s="14" t="n">
        <f aca="false">I9266*J9266</f>
        <v>2737</v>
      </c>
      <c r="L9266" s="14" t="n">
        <f aca="false">($L$2*M9266)/100</f>
        <v>564783.255</v>
      </c>
      <c r="M9266" s="15" t="n">
        <v>0.47</v>
      </c>
      <c r="N9266" s="9" t="s">
        <v>26</v>
      </c>
    </row>
    <row r="9267" customFormat="false" ht="14.25" hidden="false" customHeight="true" outlineLevel="0" collapsed="false">
      <c r="B9267" s="9" t="s">
        <v>32</v>
      </c>
      <c r="C9267" s="9" t="n">
        <v>1197831</v>
      </c>
      <c r="D9267" s="10" t="n">
        <v>44490</v>
      </c>
      <c r="E9267" s="9" t="s">
        <v>29</v>
      </c>
      <c r="F9267" s="9" t="s">
        <v>106</v>
      </c>
      <c r="G9267" s="9" t="s">
        <v>107</v>
      </c>
      <c r="H9267" s="11" t="s">
        <v>19</v>
      </c>
      <c r="I9267" s="12" t="n">
        <v>20</v>
      </c>
      <c r="J9267" s="13" t="n">
        <v>173</v>
      </c>
      <c r="K9267" s="14" t="n">
        <f aca="false">I9267*J9267</f>
        <v>3460</v>
      </c>
      <c r="L9267" s="14" t="n">
        <f aca="false">($L$2*M9267)/100</f>
        <v>564783.255</v>
      </c>
      <c r="M9267" s="15" t="n">
        <v>0.47</v>
      </c>
      <c r="N9267" s="9" t="s">
        <v>26</v>
      </c>
    </row>
    <row r="9268" customFormat="false" ht="14.25" hidden="false" customHeight="true" outlineLevel="0" collapsed="false">
      <c r="B9268" s="9" t="s">
        <v>32</v>
      </c>
      <c r="C9268" s="9" t="n">
        <v>1197831</v>
      </c>
      <c r="D9268" s="10" t="n">
        <v>44490</v>
      </c>
      <c r="E9268" s="9" t="s">
        <v>29</v>
      </c>
      <c r="F9268" s="9" t="s">
        <v>106</v>
      </c>
      <c r="G9268" s="9" t="s">
        <v>107</v>
      </c>
      <c r="H9268" s="11" t="s">
        <v>21</v>
      </c>
      <c r="I9268" s="12" t="n">
        <v>14</v>
      </c>
      <c r="J9268" s="13" t="n">
        <v>112</v>
      </c>
      <c r="K9268" s="14" t="n">
        <f aca="false">I9268*J9268</f>
        <v>1568</v>
      </c>
      <c r="L9268" s="14" t="n">
        <f aca="false">($L$2*M9268)/100</f>
        <v>504699.93</v>
      </c>
      <c r="M9268" s="15" t="n">
        <v>0.42</v>
      </c>
      <c r="N9268" s="9" t="s">
        <v>26</v>
      </c>
    </row>
    <row r="9269" customFormat="false" ht="14.25" hidden="false" customHeight="true" outlineLevel="0" collapsed="false">
      <c r="B9269" s="9" t="s">
        <v>32</v>
      </c>
      <c r="C9269" s="9" t="n">
        <v>1197831</v>
      </c>
      <c r="D9269" s="10" t="n">
        <v>44490</v>
      </c>
      <c r="E9269" s="9" t="s">
        <v>29</v>
      </c>
      <c r="F9269" s="9" t="s">
        <v>106</v>
      </c>
      <c r="G9269" s="9" t="s">
        <v>107</v>
      </c>
      <c r="H9269" s="11" t="s">
        <v>22</v>
      </c>
      <c r="I9269" s="12" t="n">
        <v>14</v>
      </c>
      <c r="J9269" s="13" t="n">
        <v>74</v>
      </c>
      <c r="K9269" s="14" t="n">
        <f aca="false">I9269*J9269</f>
        <v>1036</v>
      </c>
      <c r="L9269" s="14" t="n">
        <f aca="false">($L$2*M9269)/100</f>
        <v>504699.93</v>
      </c>
      <c r="M9269" s="15" t="n">
        <v>0.42</v>
      </c>
      <c r="N9269" s="9" t="s">
        <v>26</v>
      </c>
    </row>
    <row r="9270" customFormat="false" ht="14.25" hidden="false" customHeight="true" outlineLevel="0" collapsed="false">
      <c r="B9270" s="9" t="s">
        <v>32</v>
      </c>
      <c r="C9270" s="9" t="n">
        <v>1197831</v>
      </c>
      <c r="D9270" s="10" t="n">
        <v>44490</v>
      </c>
      <c r="E9270" s="9" t="s">
        <v>29</v>
      </c>
      <c r="F9270" s="9" t="s">
        <v>106</v>
      </c>
      <c r="G9270" s="9" t="s">
        <v>107</v>
      </c>
      <c r="H9270" s="11" t="s">
        <v>23</v>
      </c>
      <c r="I9270" s="12" t="n">
        <v>15</v>
      </c>
      <c r="J9270" s="13" t="n">
        <v>62</v>
      </c>
      <c r="K9270" s="14" t="n">
        <f aca="false">I9270*J9270</f>
        <v>930</v>
      </c>
      <c r="L9270" s="14" t="n">
        <f aca="false">($L$2*M9270)/100</f>
        <v>504699.93</v>
      </c>
      <c r="M9270" s="15" t="n">
        <v>0.42</v>
      </c>
      <c r="N9270" s="9" t="s">
        <v>26</v>
      </c>
    </row>
    <row r="9271" customFormat="false" ht="14.25" hidden="false" customHeight="true" outlineLevel="0" collapsed="false">
      <c r="B9271" s="9" t="s">
        <v>32</v>
      </c>
      <c r="C9271" s="9" t="n">
        <v>1197831</v>
      </c>
      <c r="D9271" s="10" t="n">
        <v>44490</v>
      </c>
      <c r="E9271" s="9" t="s">
        <v>29</v>
      </c>
      <c r="F9271" s="9" t="s">
        <v>106</v>
      </c>
      <c r="G9271" s="9" t="s">
        <v>107</v>
      </c>
      <c r="H9271" s="11" t="s">
        <v>24</v>
      </c>
      <c r="I9271" s="12" t="n">
        <v>22</v>
      </c>
      <c r="J9271" s="13" t="n">
        <v>68</v>
      </c>
      <c r="K9271" s="14" t="n">
        <f aca="false">I9271*J9271</f>
        <v>1496</v>
      </c>
      <c r="L9271" s="14" t="n">
        <f aca="false">($L$2*M9271)/100</f>
        <v>456633.27</v>
      </c>
      <c r="M9271" s="15" t="n">
        <v>0.38</v>
      </c>
      <c r="N9271" s="9" t="s">
        <v>26</v>
      </c>
    </row>
    <row r="9272" customFormat="false" ht="14.25" hidden="false" customHeight="true" outlineLevel="0" collapsed="false">
      <c r="B9272" s="9" t="s">
        <v>36</v>
      </c>
      <c r="C9272" s="9" t="n">
        <v>1197831</v>
      </c>
      <c r="D9272" s="10" t="n">
        <v>44490</v>
      </c>
      <c r="E9272" s="9" t="s">
        <v>29</v>
      </c>
      <c r="F9272" s="9" t="s">
        <v>106</v>
      </c>
      <c r="G9272" s="9" t="s">
        <v>107</v>
      </c>
      <c r="H9272" s="11" t="s">
        <v>25</v>
      </c>
      <c r="I9272" s="12" t="n">
        <v>22</v>
      </c>
      <c r="J9272" s="13" t="n">
        <v>101</v>
      </c>
      <c r="K9272" s="14" t="n">
        <f aca="false">I9272*J9272</f>
        <v>2222</v>
      </c>
      <c r="L9272" s="14" t="n">
        <f aca="false">($L$2*M9272)/100</f>
        <v>564783.255</v>
      </c>
      <c r="M9272" s="15" t="n">
        <v>0.47</v>
      </c>
      <c r="N9272" s="9" t="s">
        <v>26</v>
      </c>
    </row>
    <row r="9273" customFormat="false" ht="14.25" hidden="false" customHeight="true" outlineLevel="0" collapsed="false">
      <c r="B9273" s="9" t="s">
        <v>36</v>
      </c>
      <c r="C9273" s="9" t="n">
        <v>1197831</v>
      </c>
      <c r="D9273" s="10" t="n">
        <v>44520</v>
      </c>
      <c r="E9273" s="9" t="s">
        <v>29</v>
      </c>
      <c r="F9273" s="9" t="s">
        <v>106</v>
      </c>
      <c r="G9273" s="9" t="s">
        <v>107</v>
      </c>
      <c r="H9273" s="11" t="s">
        <v>19</v>
      </c>
      <c r="I9273" s="12" t="n">
        <v>16</v>
      </c>
      <c r="J9273" s="13" t="n">
        <v>166</v>
      </c>
      <c r="K9273" s="14" t="n">
        <f aca="false">I9273*J9273</f>
        <v>2656</v>
      </c>
      <c r="L9273" s="14" t="n">
        <f aca="false">($L$2*M9273)/100</f>
        <v>528733.26</v>
      </c>
      <c r="M9273" s="15" t="n">
        <v>0.44</v>
      </c>
      <c r="N9273" s="9" t="s">
        <v>26</v>
      </c>
    </row>
    <row r="9274" customFormat="false" ht="14.25" hidden="false" customHeight="true" outlineLevel="0" collapsed="false">
      <c r="B9274" s="9" t="s">
        <v>36</v>
      </c>
      <c r="C9274" s="9" t="n">
        <v>1197831</v>
      </c>
      <c r="D9274" s="10" t="n">
        <v>44520</v>
      </c>
      <c r="E9274" s="9" t="s">
        <v>29</v>
      </c>
      <c r="F9274" s="9" t="s">
        <v>106</v>
      </c>
      <c r="G9274" s="9" t="s">
        <v>107</v>
      </c>
      <c r="H9274" s="11" t="s">
        <v>21</v>
      </c>
      <c r="I9274" s="12" t="n">
        <v>11</v>
      </c>
      <c r="J9274" s="13" t="n">
        <v>96</v>
      </c>
      <c r="K9274" s="14" t="n">
        <f aca="false">I9274*J9274</f>
        <v>1056</v>
      </c>
      <c r="L9274" s="14" t="n">
        <f aca="false">($L$2*M9274)/100</f>
        <v>456633.27</v>
      </c>
      <c r="M9274" s="15" t="n">
        <v>0.38</v>
      </c>
      <c r="N9274" s="9" t="s">
        <v>26</v>
      </c>
    </row>
    <row r="9275" customFormat="false" ht="14.25" hidden="false" customHeight="true" outlineLevel="0" collapsed="false">
      <c r="B9275" s="9" t="s">
        <v>36</v>
      </c>
      <c r="C9275" s="9" t="n">
        <v>1197831</v>
      </c>
      <c r="D9275" s="10" t="n">
        <v>44520</v>
      </c>
      <c r="E9275" s="9" t="s">
        <v>29</v>
      </c>
      <c r="F9275" s="9" t="s">
        <v>106</v>
      </c>
      <c r="G9275" s="9" t="s">
        <v>107</v>
      </c>
      <c r="H9275" s="11" t="s">
        <v>22</v>
      </c>
      <c r="I9275" s="12" t="n">
        <v>19</v>
      </c>
      <c r="J9275" s="13" t="n">
        <v>81</v>
      </c>
      <c r="K9275" s="14" t="n">
        <f aca="false">I9275*J9275</f>
        <v>1539</v>
      </c>
      <c r="L9275" s="14" t="n">
        <f aca="false">($L$2*M9275)/100</f>
        <v>516716.595</v>
      </c>
      <c r="M9275" s="15" t="n">
        <v>0.43</v>
      </c>
      <c r="N9275" s="9" t="s">
        <v>26</v>
      </c>
    </row>
    <row r="9276" customFormat="false" ht="14.25" hidden="false" customHeight="true" outlineLevel="0" collapsed="false">
      <c r="B9276" s="9" t="s">
        <v>36</v>
      </c>
      <c r="C9276" s="9" t="n">
        <v>1197831</v>
      </c>
      <c r="D9276" s="10" t="n">
        <v>44520</v>
      </c>
      <c r="E9276" s="9" t="s">
        <v>29</v>
      </c>
      <c r="F9276" s="9" t="s">
        <v>106</v>
      </c>
      <c r="G9276" s="9" t="s">
        <v>107</v>
      </c>
      <c r="H9276" s="11" t="s">
        <v>23</v>
      </c>
      <c r="I9276" s="12" t="n">
        <v>37</v>
      </c>
      <c r="J9276" s="13" t="n">
        <v>90</v>
      </c>
      <c r="K9276" s="14" t="n">
        <f aca="false">I9276*J9276</f>
        <v>3330</v>
      </c>
      <c r="L9276" s="14" t="n">
        <f aca="false">($L$2*M9276)/100</f>
        <v>564783.255</v>
      </c>
      <c r="M9276" s="15" t="n">
        <v>0.47</v>
      </c>
      <c r="N9276" s="9" t="s">
        <v>26</v>
      </c>
    </row>
    <row r="9277" customFormat="false" ht="14.25" hidden="false" customHeight="true" outlineLevel="0" collapsed="false">
      <c r="B9277" s="9" t="s">
        <v>36</v>
      </c>
      <c r="C9277" s="9" t="n">
        <v>1197831</v>
      </c>
      <c r="D9277" s="10" t="n">
        <v>44520</v>
      </c>
      <c r="E9277" s="9" t="s">
        <v>29</v>
      </c>
      <c r="F9277" s="9" t="s">
        <v>106</v>
      </c>
      <c r="G9277" s="9" t="s">
        <v>107</v>
      </c>
      <c r="H9277" s="11" t="s">
        <v>24</v>
      </c>
      <c r="I9277" s="12" t="n">
        <v>60</v>
      </c>
      <c r="J9277" s="13" t="n">
        <v>85</v>
      </c>
      <c r="K9277" s="14" t="n">
        <f aca="false">I9277*J9277</f>
        <v>5100</v>
      </c>
      <c r="L9277" s="14" t="n">
        <f aca="false">($L$2*M9277)/100</f>
        <v>480666.6</v>
      </c>
      <c r="M9277" s="15" t="n">
        <v>0.4</v>
      </c>
      <c r="N9277" s="9" t="s">
        <v>26</v>
      </c>
    </row>
    <row r="9278" customFormat="false" ht="14.25" hidden="false" customHeight="true" outlineLevel="0" collapsed="false">
      <c r="B9278" s="9" t="s">
        <v>36</v>
      </c>
      <c r="C9278" s="9" t="n">
        <v>1197831</v>
      </c>
      <c r="D9278" s="10" t="n">
        <v>44520</v>
      </c>
      <c r="E9278" s="9" t="s">
        <v>29</v>
      </c>
      <c r="F9278" s="9" t="s">
        <v>106</v>
      </c>
      <c r="G9278" s="9" t="s">
        <v>107</v>
      </c>
      <c r="H9278" s="11" t="s">
        <v>25</v>
      </c>
      <c r="I9278" s="12" t="n">
        <v>60</v>
      </c>
      <c r="J9278" s="13" t="n">
        <v>128</v>
      </c>
      <c r="K9278" s="14" t="n">
        <f aca="false">I9278*J9278</f>
        <v>7680</v>
      </c>
      <c r="L9278" s="14" t="n">
        <f aca="false">($L$2*M9278)/100</f>
        <v>516716.595</v>
      </c>
      <c r="M9278" s="15" t="n">
        <v>0.43</v>
      </c>
      <c r="N9278" s="9" t="s">
        <v>26</v>
      </c>
    </row>
    <row r="9279" customFormat="false" ht="14.25" hidden="false" customHeight="true" outlineLevel="0" collapsed="false">
      <c r="B9279" s="9" t="s">
        <v>36</v>
      </c>
      <c r="C9279" s="9" t="n">
        <v>1197831</v>
      </c>
      <c r="D9279" s="10" t="n">
        <v>44549</v>
      </c>
      <c r="E9279" s="9" t="s">
        <v>29</v>
      </c>
      <c r="F9279" s="9" t="s">
        <v>106</v>
      </c>
      <c r="G9279" s="9" t="s">
        <v>107</v>
      </c>
      <c r="H9279" s="11" t="s">
        <v>19</v>
      </c>
      <c r="I9279" s="12" t="n">
        <v>55</v>
      </c>
      <c r="J9279" s="13" t="n">
        <v>200</v>
      </c>
      <c r="K9279" s="14" t="n">
        <f aca="false">I9279*J9279</f>
        <v>11000</v>
      </c>
      <c r="L9279" s="14" t="n">
        <f aca="false">($L$2*M9279)/100</f>
        <v>504699.93</v>
      </c>
      <c r="M9279" s="15" t="n">
        <v>0.42</v>
      </c>
      <c r="N9279" s="9" t="s">
        <v>26</v>
      </c>
    </row>
    <row r="9280" customFormat="false" ht="14.25" hidden="false" customHeight="true" outlineLevel="0" collapsed="false">
      <c r="B9280" s="9" t="s">
        <v>36</v>
      </c>
      <c r="C9280" s="9" t="n">
        <v>1197831</v>
      </c>
      <c r="D9280" s="10" t="n">
        <v>44549</v>
      </c>
      <c r="E9280" s="9" t="s">
        <v>29</v>
      </c>
      <c r="F9280" s="9" t="s">
        <v>106</v>
      </c>
      <c r="G9280" s="9" t="s">
        <v>107</v>
      </c>
      <c r="H9280" s="11" t="s">
        <v>21</v>
      </c>
      <c r="I9280" s="12" t="n">
        <v>47</v>
      </c>
      <c r="J9280" s="13" t="n">
        <v>149</v>
      </c>
      <c r="K9280" s="14" t="n">
        <f aca="false">I9280*J9280</f>
        <v>7003</v>
      </c>
      <c r="L9280" s="14" t="n">
        <f aca="false">($L$2*M9280)/100</f>
        <v>456633.27</v>
      </c>
      <c r="M9280" s="15" t="n">
        <v>0.38</v>
      </c>
      <c r="N9280" s="9" t="s">
        <v>26</v>
      </c>
    </row>
    <row r="9281" customFormat="false" ht="14.25" hidden="false" customHeight="true" outlineLevel="0" collapsed="false">
      <c r="B9281" s="9" t="s">
        <v>36</v>
      </c>
      <c r="C9281" s="9" t="n">
        <v>1197831</v>
      </c>
      <c r="D9281" s="10" t="n">
        <v>44549</v>
      </c>
      <c r="E9281" s="9" t="s">
        <v>29</v>
      </c>
      <c r="F9281" s="9" t="s">
        <v>106</v>
      </c>
      <c r="G9281" s="9" t="s">
        <v>107</v>
      </c>
      <c r="H9281" s="11" t="s">
        <v>22</v>
      </c>
      <c r="I9281" s="12" t="n">
        <v>44</v>
      </c>
      <c r="J9281" s="13" t="n">
        <v>131</v>
      </c>
      <c r="K9281" s="14" t="n">
        <f aca="false">I9281*J9281</f>
        <v>5764</v>
      </c>
      <c r="L9281" s="14" t="n">
        <f aca="false">($L$2*M9281)/100</f>
        <v>540749.925</v>
      </c>
      <c r="M9281" s="15" t="n">
        <v>0.45</v>
      </c>
      <c r="N9281" s="9" t="s">
        <v>26</v>
      </c>
    </row>
    <row r="9282" customFormat="false" ht="14.25" hidden="false" customHeight="true" outlineLevel="0" collapsed="false">
      <c r="B9282" s="9" t="s">
        <v>36</v>
      </c>
      <c r="C9282" s="9" t="n">
        <v>1197831</v>
      </c>
      <c r="D9282" s="10" t="n">
        <v>44549</v>
      </c>
      <c r="E9282" s="9" t="s">
        <v>29</v>
      </c>
      <c r="F9282" s="9" t="s">
        <v>106</v>
      </c>
      <c r="G9282" s="9" t="s">
        <v>107</v>
      </c>
      <c r="H9282" s="11" t="s">
        <v>23</v>
      </c>
      <c r="I9282" s="12" t="n">
        <v>45</v>
      </c>
      <c r="J9282" s="13" t="n">
        <v>114</v>
      </c>
      <c r="K9282" s="14" t="n">
        <f aca="false">I9282*J9282</f>
        <v>5130</v>
      </c>
      <c r="L9282" s="14" t="n">
        <f aca="false">($L$2*M9282)/100</f>
        <v>540749.925</v>
      </c>
      <c r="M9282" s="15" t="n">
        <v>0.45</v>
      </c>
      <c r="N9282" s="9" t="s">
        <v>26</v>
      </c>
    </row>
    <row r="9283" customFormat="false" ht="14.25" hidden="false" customHeight="true" outlineLevel="0" collapsed="false">
      <c r="B9283" s="9" t="s">
        <v>36</v>
      </c>
      <c r="C9283" s="9" t="n">
        <v>1197831</v>
      </c>
      <c r="D9283" s="10" t="n">
        <v>44549</v>
      </c>
      <c r="E9283" s="9" t="s">
        <v>29</v>
      </c>
      <c r="F9283" s="9" t="s">
        <v>106</v>
      </c>
      <c r="G9283" s="9" t="s">
        <v>107</v>
      </c>
      <c r="H9283" s="11" t="s">
        <v>24</v>
      </c>
      <c r="I9283" s="12" t="n">
        <v>55</v>
      </c>
      <c r="J9283" s="13" t="n">
        <v>98</v>
      </c>
      <c r="K9283" s="14" t="n">
        <f aca="false">I9283*J9283</f>
        <v>5390</v>
      </c>
      <c r="L9283" s="14" t="n">
        <f aca="false">($L$2*M9283)/100</f>
        <v>480666.6</v>
      </c>
      <c r="M9283" s="15" t="n">
        <v>0.4</v>
      </c>
      <c r="N9283" s="9" t="s">
        <v>26</v>
      </c>
    </row>
    <row r="9284" customFormat="false" ht="14.25" hidden="false" customHeight="true" outlineLevel="0" collapsed="false">
      <c r="B9284" s="9" t="s">
        <v>36</v>
      </c>
      <c r="C9284" s="9" t="n">
        <v>1197831</v>
      </c>
      <c r="D9284" s="10" t="n">
        <v>44549</v>
      </c>
      <c r="E9284" s="9" t="s">
        <v>29</v>
      </c>
      <c r="F9284" s="9" t="s">
        <v>106</v>
      </c>
      <c r="G9284" s="9" t="s">
        <v>107</v>
      </c>
      <c r="H9284" s="11" t="s">
        <v>25</v>
      </c>
      <c r="I9284" s="12" t="n">
        <v>51</v>
      </c>
      <c r="J9284" s="13" t="n">
        <v>128</v>
      </c>
      <c r="K9284" s="14" t="n">
        <f aca="false">I9284*J9284</f>
        <v>6528</v>
      </c>
      <c r="L9284" s="14" t="n">
        <f aca="false">($L$2*M9284)/100</f>
        <v>516716.595</v>
      </c>
      <c r="M9284" s="15" t="n">
        <v>0.43</v>
      </c>
      <c r="N9284" s="9" t="s">
        <v>26</v>
      </c>
    </row>
    <row r="9285" customFormat="false" ht="14.25" hidden="false" customHeight="true" outlineLevel="0" collapsed="false">
      <c r="B9285" s="9" t="s">
        <v>36</v>
      </c>
      <c r="C9285" s="9" t="n">
        <v>1197831</v>
      </c>
      <c r="D9285" s="10" t="n">
        <v>44212</v>
      </c>
      <c r="E9285" s="9" t="s">
        <v>29</v>
      </c>
      <c r="F9285" s="9" t="s">
        <v>106</v>
      </c>
      <c r="G9285" s="9" t="s">
        <v>107</v>
      </c>
      <c r="H9285" s="11" t="s">
        <v>19</v>
      </c>
      <c r="I9285" s="12" t="n">
        <v>17</v>
      </c>
      <c r="J9285" s="13" t="n">
        <v>176</v>
      </c>
      <c r="K9285" s="14" t="n">
        <f aca="false">I9285*J9285</f>
        <v>2992</v>
      </c>
      <c r="L9285" s="14" t="n">
        <f aca="false">($L$2*M9285)/100</f>
        <v>456633.27</v>
      </c>
      <c r="M9285" s="15" t="n">
        <v>0.38</v>
      </c>
      <c r="N9285" s="9" t="s">
        <v>26</v>
      </c>
    </row>
    <row r="9286" customFormat="false" ht="14.25" hidden="false" customHeight="true" outlineLevel="0" collapsed="false">
      <c r="B9286" s="9" t="s">
        <v>36</v>
      </c>
      <c r="C9286" s="9" t="n">
        <v>1197831</v>
      </c>
      <c r="D9286" s="10" t="n">
        <v>44212</v>
      </c>
      <c r="E9286" s="9" t="s">
        <v>29</v>
      </c>
      <c r="F9286" s="9" t="s">
        <v>106</v>
      </c>
      <c r="G9286" s="9" t="s">
        <v>107</v>
      </c>
      <c r="H9286" s="11" t="s">
        <v>21</v>
      </c>
      <c r="I9286" s="12" t="n">
        <v>16</v>
      </c>
      <c r="J9286" s="13" t="n">
        <v>105</v>
      </c>
      <c r="K9286" s="14" t="n">
        <f aca="false">I9286*J9286</f>
        <v>1680</v>
      </c>
      <c r="L9286" s="14" t="n">
        <f aca="false">($L$2*M9286)/100</f>
        <v>456633.27</v>
      </c>
      <c r="M9286" s="15" t="n">
        <v>0.38</v>
      </c>
      <c r="N9286" s="9" t="s">
        <v>26</v>
      </c>
    </row>
    <row r="9287" customFormat="false" ht="14.25" hidden="false" customHeight="true" outlineLevel="0" collapsed="false">
      <c r="B9287" s="9" t="s">
        <v>36</v>
      </c>
      <c r="C9287" s="9" t="n">
        <v>1197831</v>
      </c>
      <c r="D9287" s="10" t="n">
        <v>44212</v>
      </c>
      <c r="E9287" s="9" t="s">
        <v>29</v>
      </c>
      <c r="F9287" s="9" t="s">
        <v>106</v>
      </c>
      <c r="G9287" s="9" t="s">
        <v>107</v>
      </c>
      <c r="H9287" s="11" t="s">
        <v>22</v>
      </c>
      <c r="I9287" s="12" t="n">
        <v>12</v>
      </c>
      <c r="J9287" s="13" t="n">
        <v>116</v>
      </c>
      <c r="K9287" s="14" t="n">
        <f aca="false">I9287*J9287</f>
        <v>1392</v>
      </c>
      <c r="L9287" s="14" t="n">
        <f aca="false">($L$2*M9287)/100</f>
        <v>480666.6</v>
      </c>
      <c r="M9287" s="15" t="n">
        <v>0.4</v>
      </c>
      <c r="N9287" s="9" t="s">
        <v>26</v>
      </c>
    </row>
    <row r="9288" customFormat="false" ht="14.25" hidden="false" customHeight="true" outlineLevel="0" collapsed="false">
      <c r="B9288" s="9" t="s">
        <v>36</v>
      </c>
      <c r="C9288" s="9" t="n">
        <v>1197831</v>
      </c>
      <c r="D9288" s="10" t="n">
        <v>44212</v>
      </c>
      <c r="E9288" s="9" t="s">
        <v>29</v>
      </c>
      <c r="F9288" s="9" t="s">
        <v>106</v>
      </c>
      <c r="G9288" s="9" t="s">
        <v>107</v>
      </c>
      <c r="H9288" s="11" t="s">
        <v>23</v>
      </c>
      <c r="I9288" s="12" t="n">
        <v>16</v>
      </c>
      <c r="J9288" s="13" t="n">
        <v>70</v>
      </c>
      <c r="K9288" s="14" t="n">
        <f aca="false">I9288*J9288</f>
        <v>1120</v>
      </c>
      <c r="L9288" s="14" t="n">
        <f aca="false">($L$2*M9288)/100</f>
        <v>480666.6</v>
      </c>
      <c r="M9288" s="15" t="n">
        <v>0.4</v>
      </c>
      <c r="N9288" s="9" t="s">
        <v>26</v>
      </c>
    </row>
    <row r="9289" customFormat="false" ht="14.25" hidden="false" customHeight="true" outlineLevel="0" collapsed="false">
      <c r="B9289" s="9" t="s">
        <v>36</v>
      </c>
      <c r="C9289" s="9" t="n">
        <v>1197831</v>
      </c>
      <c r="D9289" s="10" t="n">
        <v>44212</v>
      </c>
      <c r="E9289" s="9" t="s">
        <v>29</v>
      </c>
      <c r="F9289" s="9" t="s">
        <v>106</v>
      </c>
      <c r="G9289" s="9" t="s">
        <v>107</v>
      </c>
      <c r="H9289" s="11" t="s">
        <v>24</v>
      </c>
      <c r="I9289" s="12" t="n">
        <v>28</v>
      </c>
      <c r="J9289" s="13" t="n">
        <v>88</v>
      </c>
      <c r="K9289" s="14" t="n">
        <f aca="false">I9289*J9289</f>
        <v>2464</v>
      </c>
      <c r="L9289" s="14" t="n">
        <f aca="false">($L$2*M9289)/100</f>
        <v>492683.265</v>
      </c>
      <c r="M9289" s="15" t="n">
        <v>0.41</v>
      </c>
      <c r="N9289" s="9" t="s">
        <v>26</v>
      </c>
    </row>
    <row r="9290" customFormat="false" ht="14.25" hidden="false" customHeight="true" outlineLevel="0" collapsed="false">
      <c r="B9290" s="9" t="s">
        <v>36</v>
      </c>
      <c r="C9290" s="9" t="n">
        <v>1197831</v>
      </c>
      <c r="D9290" s="10" t="n">
        <v>44212</v>
      </c>
      <c r="E9290" s="9" t="s">
        <v>29</v>
      </c>
      <c r="F9290" s="9" t="s">
        <v>106</v>
      </c>
      <c r="G9290" s="9" t="s">
        <v>107</v>
      </c>
      <c r="H9290" s="11" t="s">
        <v>25</v>
      </c>
      <c r="I9290" s="12" t="n">
        <v>17</v>
      </c>
      <c r="J9290" s="13" t="n">
        <v>119</v>
      </c>
      <c r="K9290" s="14" t="n">
        <f aca="false">I9290*J9290</f>
        <v>2023</v>
      </c>
      <c r="L9290" s="14" t="n">
        <f aca="false">($L$2*M9290)/100</f>
        <v>444616.605</v>
      </c>
      <c r="M9290" s="15" t="n">
        <v>0.37</v>
      </c>
      <c r="N9290" s="9" t="s">
        <v>26</v>
      </c>
    </row>
    <row r="9291" customFormat="false" ht="14.25" hidden="false" customHeight="true" outlineLevel="0" collapsed="false">
      <c r="B9291" s="9" t="s">
        <v>36</v>
      </c>
      <c r="C9291" s="9" t="n">
        <v>1197831</v>
      </c>
      <c r="D9291" s="10" t="n">
        <v>44241</v>
      </c>
      <c r="E9291" s="9" t="s">
        <v>29</v>
      </c>
      <c r="F9291" s="9" t="s">
        <v>106</v>
      </c>
      <c r="G9291" s="9" t="s">
        <v>107</v>
      </c>
      <c r="H9291" s="11" t="s">
        <v>19</v>
      </c>
      <c r="I9291" s="12" t="n">
        <v>18</v>
      </c>
      <c r="J9291" s="13" t="n">
        <v>204</v>
      </c>
      <c r="K9291" s="14" t="n">
        <f aca="false">I9291*J9291</f>
        <v>3672</v>
      </c>
      <c r="L9291" s="14" t="n">
        <f aca="false">($L$2*M9291)/100</f>
        <v>480666.6</v>
      </c>
      <c r="M9291" s="15" t="n">
        <v>0.4</v>
      </c>
      <c r="N9291" s="9" t="s">
        <v>26</v>
      </c>
    </row>
    <row r="9292" customFormat="false" ht="14.25" hidden="false" customHeight="true" outlineLevel="0" collapsed="false">
      <c r="B9292" s="9" t="s">
        <v>36</v>
      </c>
      <c r="C9292" s="9" t="n">
        <v>1197831</v>
      </c>
      <c r="D9292" s="10" t="n">
        <v>44241</v>
      </c>
      <c r="E9292" s="9" t="s">
        <v>29</v>
      </c>
      <c r="F9292" s="9" t="s">
        <v>106</v>
      </c>
      <c r="G9292" s="9" t="s">
        <v>107</v>
      </c>
      <c r="H9292" s="11" t="s">
        <v>21</v>
      </c>
      <c r="I9292" s="12" t="n">
        <v>17</v>
      </c>
      <c r="J9292" s="13" t="n">
        <v>75</v>
      </c>
      <c r="K9292" s="14" t="n">
        <f aca="false">I9292*J9292</f>
        <v>1275</v>
      </c>
      <c r="L9292" s="14" t="n">
        <f aca="false">($L$2*M9292)/100</f>
        <v>492683.265</v>
      </c>
      <c r="M9292" s="15" t="n">
        <v>0.41</v>
      </c>
      <c r="N9292" s="9" t="s">
        <v>26</v>
      </c>
    </row>
    <row r="9293" customFormat="false" ht="14.25" hidden="false" customHeight="true" outlineLevel="0" collapsed="false">
      <c r="B9293" s="9" t="s">
        <v>36</v>
      </c>
      <c r="C9293" s="9" t="n">
        <v>1197831</v>
      </c>
      <c r="D9293" s="10" t="n">
        <v>44241</v>
      </c>
      <c r="E9293" s="9" t="s">
        <v>29</v>
      </c>
      <c r="F9293" s="9" t="s">
        <v>106</v>
      </c>
      <c r="G9293" s="9" t="s">
        <v>107</v>
      </c>
      <c r="H9293" s="11" t="s">
        <v>22</v>
      </c>
      <c r="I9293" s="12" t="n">
        <v>11</v>
      </c>
      <c r="J9293" s="13" t="n">
        <v>90</v>
      </c>
      <c r="K9293" s="14" t="n">
        <f aca="false">I9293*J9293</f>
        <v>990</v>
      </c>
      <c r="L9293" s="14" t="n">
        <f aca="false">($L$2*M9293)/100</f>
        <v>468649.935</v>
      </c>
      <c r="M9293" s="15" t="n">
        <v>0.39</v>
      </c>
      <c r="N9293" s="9" t="s">
        <v>26</v>
      </c>
    </row>
    <row r="9294" customFormat="false" ht="14.25" hidden="false" customHeight="true" outlineLevel="0" collapsed="false">
      <c r="B9294" s="9" t="s">
        <v>28</v>
      </c>
      <c r="C9294" s="9" t="n">
        <v>1185732</v>
      </c>
      <c r="D9294" s="10" t="n">
        <v>44232</v>
      </c>
      <c r="E9294" s="9" t="s">
        <v>17</v>
      </c>
      <c r="F9294" s="9" t="s">
        <v>127</v>
      </c>
      <c r="G9294" s="9" t="s">
        <v>128</v>
      </c>
      <c r="H9294" s="11" t="s">
        <v>23</v>
      </c>
      <c r="I9294" s="12" t="n">
        <v>24</v>
      </c>
      <c r="J9294" s="13" t="n">
        <v>39</v>
      </c>
      <c r="K9294" s="14" t="n">
        <f aca="false">I9294*J9294</f>
        <v>936</v>
      </c>
      <c r="L9294" s="14" t="n">
        <f aca="false">($L$2*M9294)/100</f>
        <v>396549.945</v>
      </c>
      <c r="M9294" s="15" t="n">
        <v>0.33</v>
      </c>
      <c r="N9294" s="9" t="s">
        <v>26</v>
      </c>
    </row>
    <row r="9295" customFormat="false" ht="14.25" hidden="false" customHeight="true" outlineLevel="0" collapsed="false">
      <c r="B9295" s="9" t="s">
        <v>28</v>
      </c>
      <c r="C9295" s="9" t="n">
        <v>1185732</v>
      </c>
      <c r="D9295" s="10" t="n">
        <v>44232</v>
      </c>
      <c r="E9295" s="9" t="s">
        <v>17</v>
      </c>
      <c r="F9295" s="9" t="s">
        <v>127</v>
      </c>
      <c r="G9295" s="9" t="s">
        <v>128</v>
      </c>
      <c r="H9295" s="11" t="s">
        <v>24</v>
      </c>
      <c r="I9295" s="12" t="n">
        <v>39</v>
      </c>
      <c r="J9295" s="13" t="n">
        <v>66</v>
      </c>
      <c r="K9295" s="14" t="n">
        <f aca="false">I9295*J9295</f>
        <v>2574</v>
      </c>
      <c r="L9295" s="14" t="n">
        <f aca="false">($L$2*M9295)/100</f>
        <v>444616.605</v>
      </c>
      <c r="M9295" s="15" t="n">
        <v>0.37</v>
      </c>
      <c r="N9295" s="9" t="s">
        <v>26</v>
      </c>
    </row>
    <row r="9296" customFormat="false" ht="14.25" hidden="false" customHeight="true" outlineLevel="0" collapsed="false">
      <c r="B9296" s="9" t="s">
        <v>28</v>
      </c>
      <c r="C9296" s="9" t="n">
        <v>1185732</v>
      </c>
      <c r="D9296" s="10" t="n">
        <v>44232</v>
      </c>
      <c r="E9296" s="9" t="s">
        <v>17</v>
      </c>
      <c r="F9296" s="9" t="s">
        <v>127</v>
      </c>
      <c r="G9296" s="9" t="s">
        <v>128</v>
      </c>
      <c r="H9296" s="11" t="s">
        <v>25</v>
      </c>
      <c r="I9296" s="12" t="n">
        <v>32</v>
      </c>
      <c r="J9296" s="13" t="n">
        <v>96</v>
      </c>
      <c r="K9296" s="14" t="n">
        <f aca="false">I9296*J9296</f>
        <v>3072</v>
      </c>
      <c r="L9296" s="14" t="n">
        <f aca="false">($L$2*M9296)/100</f>
        <v>468649.935</v>
      </c>
      <c r="M9296" s="15" t="n">
        <v>0.39</v>
      </c>
      <c r="N9296" s="9" t="s">
        <v>26</v>
      </c>
    </row>
    <row r="9297" customFormat="false" ht="14.25" hidden="false" customHeight="true" outlineLevel="0" collapsed="false">
      <c r="B9297" s="9" t="s">
        <v>28</v>
      </c>
      <c r="C9297" s="9" t="n">
        <v>1185732</v>
      </c>
      <c r="D9297" s="10" t="n">
        <v>44258</v>
      </c>
      <c r="E9297" s="9" t="s">
        <v>17</v>
      </c>
      <c r="F9297" s="9" t="s">
        <v>127</v>
      </c>
      <c r="G9297" s="9" t="s">
        <v>128</v>
      </c>
      <c r="H9297" s="11" t="s">
        <v>19</v>
      </c>
      <c r="I9297" s="12" t="n">
        <v>26</v>
      </c>
      <c r="J9297" s="13" t="n">
        <v>182</v>
      </c>
      <c r="K9297" s="14" t="n">
        <f aca="false">I9297*J9297</f>
        <v>4732</v>
      </c>
      <c r="L9297" s="14" t="n">
        <f aca="false">($L$2*M9297)/100</f>
        <v>516716.595</v>
      </c>
      <c r="M9297" s="15" t="n">
        <v>0.43</v>
      </c>
      <c r="N9297" s="9" t="s">
        <v>26</v>
      </c>
    </row>
    <row r="9298" customFormat="false" ht="14.25" hidden="false" customHeight="true" outlineLevel="0" collapsed="false">
      <c r="B9298" s="9" t="s">
        <v>28</v>
      </c>
      <c r="C9298" s="9" t="n">
        <v>1185732</v>
      </c>
      <c r="D9298" s="10" t="n">
        <v>44258</v>
      </c>
      <c r="E9298" s="9" t="s">
        <v>17</v>
      </c>
      <c r="F9298" s="9" t="s">
        <v>127</v>
      </c>
      <c r="G9298" s="9" t="s">
        <v>128</v>
      </c>
      <c r="H9298" s="11" t="s">
        <v>21</v>
      </c>
      <c r="I9298" s="12" t="n">
        <v>32</v>
      </c>
      <c r="J9298" s="13" t="n">
        <v>68</v>
      </c>
      <c r="K9298" s="14" t="n">
        <f aca="false">I9298*J9298</f>
        <v>2176</v>
      </c>
      <c r="L9298" s="14" t="n">
        <f aca="false">($L$2*M9298)/100</f>
        <v>540749.925</v>
      </c>
      <c r="M9298" s="15" t="n">
        <v>0.45</v>
      </c>
      <c r="N9298" s="9" t="s">
        <v>26</v>
      </c>
    </row>
    <row r="9299" customFormat="false" ht="14.25" hidden="false" customHeight="true" outlineLevel="0" collapsed="false">
      <c r="B9299" s="9" t="s">
        <v>28</v>
      </c>
      <c r="C9299" s="9" t="n">
        <v>1185732</v>
      </c>
      <c r="D9299" s="10" t="n">
        <v>44258</v>
      </c>
      <c r="E9299" s="9" t="s">
        <v>17</v>
      </c>
      <c r="F9299" s="9" t="s">
        <v>127</v>
      </c>
      <c r="G9299" s="9" t="s">
        <v>128</v>
      </c>
      <c r="H9299" s="11" t="s">
        <v>22</v>
      </c>
      <c r="I9299" s="12" t="n">
        <v>23</v>
      </c>
      <c r="J9299" s="13" t="n">
        <v>75</v>
      </c>
      <c r="K9299" s="14" t="n">
        <f aca="false">I9299*J9299</f>
        <v>1725</v>
      </c>
      <c r="L9299" s="14" t="n">
        <f aca="false">($L$2*M9299)/100</f>
        <v>384533.28</v>
      </c>
      <c r="M9299" s="15" t="n">
        <v>0.32</v>
      </c>
      <c r="N9299" s="9" t="s">
        <v>26</v>
      </c>
    </row>
    <row r="9300" customFormat="false" ht="14.25" hidden="false" customHeight="true" outlineLevel="0" collapsed="false">
      <c r="B9300" s="9" t="s">
        <v>28</v>
      </c>
      <c r="C9300" s="9" t="n">
        <v>1185732</v>
      </c>
      <c r="D9300" s="10" t="n">
        <v>44258</v>
      </c>
      <c r="E9300" s="9" t="s">
        <v>17</v>
      </c>
      <c r="F9300" s="9" t="s">
        <v>127</v>
      </c>
      <c r="G9300" s="9" t="s">
        <v>128</v>
      </c>
      <c r="H9300" s="11" t="s">
        <v>23</v>
      </c>
      <c r="I9300" s="12" t="n">
        <v>27</v>
      </c>
      <c r="J9300" s="13" t="n">
        <v>34</v>
      </c>
      <c r="K9300" s="14" t="n">
        <f aca="false">I9300*J9300</f>
        <v>918</v>
      </c>
      <c r="L9300" s="14" t="n">
        <f aca="false">($L$2*M9300)/100</f>
        <v>384533.28</v>
      </c>
      <c r="M9300" s="15" t="n">
        <v>0.32</v>
      </c>
      <c r="N9300" s="9" t="s">
        <v>26</v>
      </c>
    </row>
    <row r="9301" customFormat="false" ht="14.25" hidden="false" customHeight="true" outlineLevel="0" collapsed="false">
      <c r="B9301" s="9" t="s">
        <v>28</v>
      </c>
      <c r="C9301" s="9" t="n">
        <v>1185732</v>
      </c>
      <c r="D9301" s="10" t="n">
        <v>44258</v>
      </c>
      <c r="E9301" s="9" t="s">
        <v>17</v>
      </c>
      <c r="F9301" s="9" t="s">
        <v>127</v>
      </c>
      <c r="G9301" s="9" t="s">
        <v>128</v>
      </c>
      <c r="H9301" s="11" t="s">
        <v>24</v>
      </c>
      <c r="I9301" s="12" t="n">
        <v>39</v>
      </c>
      <c r="J9301" s="13" t="n">
        <v>53</v>
      </c>
      <c r="K9301" s="14" t="n">
        <f aca="false">I9301*J9301</f>
        <v>2067</v>
      </c>
      <c r="L9301" s="14" t="n">
        <f aca="false">($L$2*M9301)/100</f>
        <v>408566.61</v>
      </c>
      <c r="M9301" s="15" t="n">
        <v>0.34</v>
      </c>
      <c r="N9301" s="9" t="s">
        <v>26</v>
      </c>
    </row>
    <row r="9302" customFormat="false" ht="14.25" hidden="false" customHeight="true" outlineLevel="0" collapsed="false">
      <c r="B9302" s="9" t="s">
        <v>28</v>
      </c>
      <c r="C9302" s="9" t="n">
        <v>1185732</v>
      </c>
      <c r="D9302" s="10" t="n">
        <v>44258</v>
      </c>
      <c r="E9302" s="9" t="s">
        <v>17</v>
      </c>
      <c r="F9302" s="9" t="s">
        <v>127</v>
      </c>
      <c r="G9302" s="9" t="s">
        <v>128</v>
      </c>
      <c r="H9302" s="11" t="s">
        <v>25</v>
      </c>
      <c r="I9302" s="12" t="n">
        <v>29</v>
      </c>
      <c r="J9302" s="13" t="n">
        <v>85</v>
      </c>
      <c r="K9302" s="14" t="n">
        <f aca="false">I9302*J9302</f>
        <v>2465</v>
      </c>
      <c r="L9302" s="14" t="n">
        <f aca="false">($L$2*M9302)/100</f>
        <v>468649.935</v>
      </c>
      <c r="M9302" s="15" t="n">
        <v>0.39</v>
      </c>
      <c r="N9302" s="9" t="s">
        <v>26</v>
      </c>
    </row>
    <row r="9303" customFormat="false" ht="14.25" hidden="false" customHeight="true" outlineLevel="0" collapsed="false">
      <c r="B9303" s="9" t="s">
        <v>28</v>
      </c>
      <c r="C9303" s="9" t="n">
        <v>1185732</v>
      </c>
      <c r="D9303" s="10" t="n">
        <v>44290</v>
      </c>
      <c r="E9303" s="9" t="s">
        <v>17</v>
      </c>
      <c r="F9303" s="9" t="s">
        <v>127</v>
      </c>
      <c r="G9303" s="9" t="s">
        <v>128</v>
      </c>
      <c r="H9303" s="11" t="s">
        <v>19</v>
      </c>
      <c r="I9303" s="12" t="n">
        <v>28</v>
      </c>
      <c r="J9303" s="13" t="n">
        <v>155</v>
      </c>
      <c r="K9303" s="14" t="n">
        <f aca="false">I9303*J9303</f>
        <v>4340</v>
      </c>
      <c r="L9303" s="14" t="n">
        <f aca="false">($L$2*M9303)/100</f>
        <v>552766.59</v>
      </c>
      <c r="M9303" s="15" t="n">
        <v>0.46</v>
      </c>
      <c r="N9303" s="9" t="s">
        <v>26</v>
      </c>
    </row>
    <row r="9304" customFormat="false" ht="14.25" hidden="false" customHeight="true" outlineLevel="0" collapsed="false">
      <c r="B9304" s="9" t="s">
        <v>28</v>
      </c>
      <c r="C9304" s="9" t="n">
        <v>1185732</v>
      </c>
      <c r="D9304" s="10" t="n">
        <v>44290</v>
      </c>
      <c r="E9304" s="9" t="s">
        <v>17</v>
      </c>
      <c r="F9304" s="9" t="s">
        <v>127</v>
      </c>
      <c r="G9304" s="9" t="s">
        <v>128</v>
      </c>
      <c r="H9304" s="11" t="s">
        <v>21</v>
      </c>
      <c r="I9304" s="12" t="n">
        <v>30</v>
      </c>
      <c r="J9304" s="13" t="n">
        <v>64</v>
      </c>
      <c r="K9304" s="14" t="n">
        <f aca="false">I9304*J9304</f>
        <v>1920</v>
      </c>
      <c r="L9304" s="14" t="n">
        <f aca="false">($L$2*M9304)/100</f>
        <v>528733.26</v>
      </c>
      <c r="M9304" s="15" t="n">
        <v>0.44</v>
      </c>
      <c r="N9304" s="9" t="s">
        <v>26</v>
      </c>
    </row>
    <row r="9305" customFormat="false" ht="14.25" hidden="false" customHeight="true" outlineLevel="0" collapsed="false">
      <c r="B9305" s="9" t="s">
        <v>28</v>
      </c>
      <c r="C9305" s="9" t="n">
        <v>1185732</v>
      </c>
      <c r="D9305" s="10" t="n">
        <v>44290</v>
      </c>
      <c r="E9305" s="9" t="s">
        <v>17</v>
      </c>
      <c r="F9305" s="9" t="s">
        <v>127</v>
      </c>
      <c r="G9305" s="9" t="s">
        <v>128</v>
      </c>
      <c r="H9305" s="11" t="s">
        <v>22</v>
      </c>
      <c r="I9305" s="12" t="n">
        <v>20</v>
      </c>
      <c r="J9305" s="13" t="n">
        <v>64</v>
      </c>
      <c r="K9305" s="14" t="n">
        <f aca="false">I9305*J9305</f>
        <v>1280</v>
      </c>
      <c r="L9305" s="14" t="n">
        <f aca="false">($L$2*M9305)/100</f>
        <v>432599.94</v>
      </c>
      <c r="M9305" s="15" t="n">
        <v>0.36</v>
      </c>
      <c r="N9305" s="9" t="s">
        <v>26</v>
      </c>
    </row>
    <row r="9306" customFormat="false" ht="14.25" hidden="false" customHeight="true" outlineLevel="0" collapsed="false">
      <c r="B9306" s="9" t="s">
        <v>28</v>
      </c>
      <c r="C9306" s="9" t="n">
        <v>1185732</v>
      </c>
      <c r="D9306" s="10" t="n">
        <v>44290</v>
      </c>
      <c r="E9306" s="9" t="s">
        <v>17</v>
      </c>
      <c r="F9306" s="9" t="s">
        <v>127</v>
      </c>
      <c r="G9306" s="9" t="s">
        <v>128</v>
      </c>
      <c r="H9306" s="11" t="s">
        <v>23</v>
      </c>
      <c r="I9306" s="12" t="n">
        <v>26</v>
      </c>
      <c r="J9306" s="13" t="n">
        <v>41</v>
      </c>
      <c r="K9306" s="14" t="n">
        <f aca="false">I9306*J9306</f>
        <v>1066</v>
      </c>
      <c r="L9306" s="14" t="n">
        <f aca="false">($L$2*M9306)/100</f>
        <v>384533.28</v>
      </c>
      <c r="M9306" s="15" t="n">
        <v>0.32</v>
      </c>
      <c r="N9306" s="9" t="s">
        <v>26</v>
      </c>
    </row>
    <row r="9307" customFormat="false" ht="14.25" hidden="false" customHeight="true" outlineLevel="0" collapsed="false">
      <c r="B9307" s="9" t="s">
        <v>28</v>
      </c>
      <c r="C9307" s="9" t="n">
        <v>1185732</v>
      </c>
      <c r="D9307" s="10" t="n">
        <v>44290</v>
      </c>
      <c r="E9307" s="9" t="s">
        <v>17</v>
      </c>
      <c r="F9307" s="9" t="s">
        <v>127</v>
      </c>
      <c r="G9307" s="9" t="s">
        <v>128</v>
      </c>
      <c r="H9307" s="11" t="s">
        <v>24</v>
      </c>
      <c r="I9307" s="12" t="n">
        <v>37</v>
      </c>
      <c r="J9307" s="13" t="n">
        <v>40</v>
      </c>
      <c r="K9307" s="14" t="n">
        <f aca="false">I9307*J9307</f>
        <v>1480</v>
      </c>
      <c r="L9307" s="14" t="n">
        <f aca="false">($L$2*M9307)/100</f>
        <v>408566.61</v>
      </c>
      <c r="M9307" s="15" t="n">
        <v>0.34</v>
      </c>
      <c r="N9307" s="9" t="s">
        <v>26</v>
      </c>
    </row>
    <row r="9308" customFormat="false" ht="14.25" hidden="false" customHeight="true" outlineLevel="0" collapsed="false">
      <c r="B9308" s="9" t="s">
        <v>28</v>
      </c>
      <c r="C9308" s="9" t="n">
        <v>1185732</v>
      </c>
      <c r="D9308" s="10" t="n">
        <v>44290</v>
      </c>
      <c r="E9308" s="9" t="s">
        <v>17</v>
      </c>
      <c r="F9308" s="9" t="s">
        <v>127</v>
      </c>
      <c r="G9308" s="9" t="s">
        <v>128</v>
      </c>
      <c r="H9308" s="11" t="s">
        <v>25</v>
      </c>
      <c r="I9308" s="12" t="n">
        <v>26</v>
      </c>
      <c r="J9308" s="13" t="n">
        <v>94</v>
      </c>
      <c r="K9308" s="14" t="n">
        <f aca="false">I9308*J9308</f>
        <v>2444</v>
      </c>
      <c r="L9308" s="14" t="n">
        <f aca="false">($L$2*M9308)/100</f>
        <v>504699.93</v>
      </c>
      <c r="M9308" s="15" t="n">
        <v>0.42</v>
      </c>
      <c r="N9308" s="9" t="s">
        <v>26</v>
      </c>
    </row>
    <row r="9309" customFormat="false" ht="14.25" hidden="false" customHeight="true" outlineLevel="0" collapsed="false">
      <c r="B9309" s="9" t="s">
        <v>28</v>
      </c>
      <c r="C9309" s="9" t="n">
        <v>1185732</v>
      </c>
      <c r="D9309" s="10" t="n">
        <v>44319</v>
      </c>
      <c r="E9309" s="9" t="s">
        <v>17</v>
      </c>
      <c r="F9309" s="9" t="s">
        <v>127</v>
      </c>
      <c r="G9309" s="9" t="s">
        <v>128</v>
      </c>
      <c r="H9309" s="11" t="s">
        <v>19</v>
      </c>
      <c r="I9309" s="12" t="n">
        <v>40</v>
      </c>
      <c r="J9309" s="13" t="n">
        <v>191</v>
      </c>
      <c r="K9309" s="14" t="n">
        <f aca="false">I9309*J9309</f>
        <v>7640</v>
      </c>
      <c r="L9309" s="14" t="n">
        <f aca="false">($L$2*M9309)/100</f>
        <v>528733.26</v>
      </c>
      <c r="M9309" s="15" t="n">
        <v>0.44</v>
      </c>
      <c r="N9309" s="9" t="s">
        <v>26</v>
      </c>
    </row>
    <row r="9310" customFormat="false" ht="14.25" hidden="false" customHeight="true" outlineLevel="0" collapsed="false">
      <c r="B9310" s="9" t="s">
        <v>28</v>
      </c>
      <c r="C9310" s="9" t="n">
        <v>1185732</v>
      </c>
      <c r="D9310" s="10" t="n">
        <v>44319</v>
      </c>
      <c r="E9310" s="9" t="s">
        <v>17</v>
      </c>
      <c r="F9310" s="9" t="s">
        <v>127</v>
      </c>
      <c r="G9310" s="9" t="s">
        <v>128</v>
      </c>
      <c r="H9310" s="11" t="s">
        <v>21</v>
      </c>
      <c r="I9310" s="12" t="n">
        <v>35</v>
      </c>
      <c r="J9310" s="13" t="n">
        <v>83</v>
      </c>
      <c r="K9310" s="14" t="n">
        <f aca="false">I9310*J9310</f>
        <v>2905</v>
      </c>
      <c r="L9310" s="14" t="n">
        <f aca="false">($L$2*M9310)/100</f>
        <v>528733.26</v>
      </c>
      <c r="M9310" s="15" t="n">
        <v>0.44</v>
      </c>
      <c r="N9310" s="9" t="s">
        <v>26</v>
      </c>
    </row>
    <row r="9311" customFormat="false" ht="14.25" hidden="false" customHeight="true" outlineLevel="0" collapsed="false">
      <c r="B9311" s="9" t="s">
        <v>28</v>
      </c>
      <c r="C9311" s="9" t="n">
        <v>1185732</v>
      </c>
      <c r="D9311" s="10" t="n">
        <v>44319</v>
      </c>
      <c r="E9311" s="9" t="s">
        <v>17</v>
      </c>
      <c r="F9311" s="9" t="s">
        <v>127</v>
      </c>
      <c r="G9311" s="9" t="s">
        <v>128</v>
      </c>
      <c r="H9311" s="11" t="s">
        <v>22</v>
      </c>
      <c r="I9311" s="12" t="n">
        <v>32</v>
      </c>
      <c r="J9311" s="13" t="n">
        <v>83</v>
      </c>
      <c r="K9311" s="14" t="n">
        <f aca="false">I9311*J9311</f>
        <v>2656</v>
      </c>
      <c r="L9311" s="14" t="n">
        <f aca="false">($L$2*M9311)/100</f>
        <v>408566.61</v>
      </c>
      <c r="M9311" s="15" t="n">
        <v>0.34</v>
      </c>
      <c r="N9311" s="9" t="s">
        <v>26</v>
      </c>
    </row>
    <row r="9312" customFormat="false" ht="14.25" hidden="false" customHeight="true" outlineLevel="0" collapsed="false">
      <c r="B9312" s="9" t="s">
        <v>28</v>
      </c>
      <c r="C9312" s="9" t="n">
        <v>1185732</v>
      </c>
      <c r="D9312" s="10" t="n">
        <v>44319</v>
      </c>
      <c r="E9312" s="9" t="s">
        <v>17</v>
      </c>
      <c r="F9312" s="9" t="s">
        <v>127</v>
      </c>
      <c r="G9312" s="9" t="s">
        <v>128</v>
      </c>
      <c r="H9312" s="11" t="s">
        <v>23</v>
      </c>
      <c r="I9312" s="12" t="n">
        <v>32</v>
      </c>
      <c r="J9312" s="13" t="n">
        <v>74</v>
      </c>
      <c r="K9312" s="14" t="n">
        <f aca="false">I9312*J9312</f>
        <v>2368</v>
      </c>
      <c r="L9312" s="14" t="n">
        <f aca="false">($L$2*M9312)/100</f>
        <v>396549.945</v>
      </c>
      <c r="M9312" s="15" t="n">
        <v>0.33</v>
      </c>
      <c r="N9312" s="9" t="s">
        <v>26</v>
      </c>
    </row>
    <row r="9313" customFormat="false" ht="14.25" hidden="false" customHeight="true" outlineLevel="0" collapsed="false">
      <c r="B9313" s="9" t="s">
        <v>28</v>
      </c>
      <c r="C9313" s="9" t="n">
        <v>1185732</v>
      </c>
      <c r="D9313" s="10" t="n">
        <v>44319</v>
      </c>
      <c r="E9313" s="9" t="s">
        <v>17</v>
      </c>
      <c r="F9313" s="9" t="s">
        <v>127</v>
      </c>
      <c r="G9313" s="9" t="s">
        <v>128</v>
      </c>
      <c r="H9313" s="11" t="s">
        <v>24</v>
      </c>
      <c r="I9313" s="12" t="n">
        <v>37</v>
      </c>
      <c r="J9313" s="13" t="n">
        <v>83</v>
      </c>
      <c r="K9313" s="14" t="n">
        <f aca="false">I9313*J9313</f>
        <v>3071</v>
      </c>
      <c r="L9313" s="14" t="n">
        <f aca="false">($L$2*M9313)/100</f>
        <v>420583.275</v>
      </c>
      <c r="M9313" s="15" t="n">
        <v>0.35</v>
      </c>
      <c r="N9313" s="9" t="s">
        <v>26</v>
      </c>
    </row>
    <row r="9314" customFormat="false" ht="14.25" hidden="false" customHeight="true" outlineLevel="0" collapsed="false">
      <c r="B9314" s="9" t="s">
        <v>28</v>
      </c>
      <c r="C9314" s="9" t="n">
        <v>1185732</v>
      </c>
      <c r="D9314" s="10" t="n">
        <v>44319</v>
      </c>
      <c r="E9314" s="9" t="s">
        <v>17</v>
      </c>
      <c r="F9314" s="9" t="s">
        <v>127</v>
      </c>
      <c r="G9314" s="9" t="s">
        <v>128</v>
      </c>
      <c r="H9314" s="11" t="s">
        <v>25</v>
      </c>
      <c r="I9314" s="12" t="n">
        <v>41</v>
      </c>
      <c r="J9314" s="13" t="n">
        <v>128</v>
      </c>
      <c r="K9314" s="14" t="n">
        <f aca="false">I9314*J9314</f>
        <v>5248</v>
      </c>
      <c r="L9314" s="14" t="n">
        <f aca="false">($L$2*M9314)/100</f>
        <v>504699.93</v>
      </c>
      <c r="M9314" s="15" t="n">
        <v>0.42</v>
      </c>
      <c r="N9314" s="9" t="s">
        <v>26</v>
      </c>
    </row>
    <row r="9315" customFormat="false" ht="14.25" hidden="false" customHeight="true" outlineLevel="0" collapsed="false">
      <c r="B9315" s="9" t="s">
        <v>28</v>
      </c>
      <c r="C9315" s="9" t="n">
        <v>1185732</v>
      </c>
      <c r="D9315" s="10" t="n">
        <v>44352</v>
      </c>
      <c r="E9315" s="9" t="s">
        <v>17</v>
      </c>
      <c r="F9315" s="9" t="s">
        <v>127</v>
      </c>
      <c r="G9315" s="9" t="s">
        <v>128</v>
      </c>
      <c r="H9315" s="11" t="s">
        <v>19</v>
      </c>
      <c r="I9315" s="12" t="n">
        <v>40</v>
      </c>
      <c r="J9315" s="13" t="n">
        <v>206</v>
      </c>
      <c r="K9315" s="14" t="n">
        <f aca="false">I9315*J9315</f>
        <v>8240</v>
      </c>
      <c r="L9315" s="14" t="n">
        <f aca="false">($L$2*M9315)/100</f>
        <v>564783.255</v>
      </c>
      <c r="M9315" s="15" t="n">
        <v>0.47</v>
      </c>
      <c r="N9315" s="9" t="s">
        <v>26</v>
      </c>
    </row>
    <row r="9316" customFormat="false" ht="14.25" hidden="false" customHeight="true" outlineLevel="0" collapsed="false">
      <c r="B9316" s="9" t="s">
        <v>28</v>
      </c>
      <c r="C9316" s="9" t="n">
        <v>1185732</v>
      </c>
      <c r="D9316" s="10" t="n">
        <v>44352</v>
      </c>
      <c r="E9316" s="9" t="s">
        <v>17</v>
      </c>
      <c r="F9316" s="9" t="s">
        <v>127</v>
      </c>
      <c r="G9316" s="9" t="s">
        <v>128</v>
      </c>
      <c r="H9316" s="11" t="s">
        <v>21</v>
      </c>
      <c r="I9316" s="12" t="n">
        <v>38</v>
      </c>
      <c r="J9316" s="13" t="n">
        <v>124</v>
      </c>
      <c r="K9316" s="14" t="n">
        <f aca="false">I9316*J9316</f>
        <v>4712</v>
      </c>
      <c r="L9316" s="14" t="n">
        <f aca="false">($L$2*M9316)/100</f>
        <v>564783.255</v>
      </c>
      <c r="M9316" s="15" t="n">
        <v>0.47</v>
      </c>
      <c r="N9316" s="9" t="s">
        <v>26</v>
      </c>
    </row>
    <row r="9317" customFormat="false" ht="14.25" hidden="false" customHeight="true" outlineLevel="0" collapsed="false">
      <c r="B9317" s="9" t="s">
        <v>28</v>
      </c>
      <c r="C9317" s="9" t="n">
        <v>1185732</v>
      </c>
      <c r="D9317" s="10" t="n">
        <v>44352</v>
      </c>
      <c r="E9317" s="9" t="s">
        <v>17</v>
      </c>
      <c r="F9317" s="9" t="s">
        <v>127</v>
      </c>
      <c r="G9317" s="9" t="s">
        <v>128</v>
      </c>
      <c r="H9317" s="11" t="s">
        <v>22</v>
      </c>
      <c r="I9317" s="12" t="n">
        <v>35</v>
      </c>
      <c r="J9317" s="13" t="n">
        <v>96</v>
      </c>
      <c r="K9317" s="14" t="n">
        <f aca="false">I9317*J9317</f>
        <v>3360</v>
      </c>
      <c r="L9317" s="14" t="n">
        <f aca="false">($L$2*M9317)/100</f>
        <v>396549.945</v>
      </c>
      <c r="M9317" s="15" t="n">
        <v>0.33</v>
      </c>
      <c r="N9317" s="9" t="s">
        <v>26</v>
      </c>
    </row>
    <row r="9318" customFormat="false" ht="14.25" hidden="false" customHeight="true" outlineLevel="0" collapsed="false">
      <c r="B9318" s="9" t="s">
        <v>28</v>
      </c>
      <c r="C9318" s="9" t="n">
        <v>1185732</v>
      </c>
      <c r="D9318" s="10" t="n">
        <v>44352</v>
      </c>
      <c r="E9318" s="9" t="s">
        <v>17</v>
      </c>
      <c r="F9318" s="9" t="s">
        <v>127</v>
      </c>
      <c r="G9318" s="9" t="s">
        <v>128</v>
      </c>
      <c r="H9318" s="11" t="s">
        <v>23</v>
      </c>
      <c r="I9318" s="12" t="n">
        <v>35</v>
      </c>
      <c r="J9318" s="13" t="n">
        <v>85</v>
      </c>
      <c r="K9318" s="14" t="n">
        <f aca="false">I9318*J9318</f>
        <v>2975</v>
      </c>
      <c r="L9318" s="14" t="n">
        <f aca="false">($L$2*M9318)/100</f>
        <v>420583.275</v>
      </c>
      <c r="M9318" s="15" t="n">
        <v>0.35</v>
      </c>
      <c r="N9318" s="9" t="s">
        <v>26</v>
      </c>
    </row>
    <row r="9319" customFormat="false" ht="14.25" hidden="false" customHeight="true" outlineLevel="0" collapsed="false">
      <c r="B9319" s="9" t="s">
        <v>28</v>
      </c>
      <c r="C9319" s="9" t="n">
        <v>1185732</v>
      </c>
      <c r="D9319" s="10" t="n">
        <v>44352</v>
      </c>
      <c r="E9319" s="9" t="s">
        <v>17</v>
      </c>
      <c r="F9319" s="9" t="s">
        <v>127</v>
      </c>
      <c r="G9319" s="9" t="s">
        <v>128</v>
      </c>
      <c r="H9319" s="11" t="s">
        <v>24</v>
      </c>
      <c r="I9319" s="12" t="n">
        <v>36</v>
      </c>
      <c r="J9319" s="13" t="n">
        <v>91</v>
      </c>
      <c r="K9319" s="14" t="n">
        <f aca="false">I9319*J9319</f>
        <v>3276</v>
      </c>
      <c r="L9319" s="14" t="n">
        <f aca="false">($L$2*M9319)/100</f>
        <v>384533.28</v>
      </c>
      <c r="M9319" s="15" t="n">
        <v>0.32</v>
      </c>
      <c r="N9319" s="9" t="s">
        <v>26</v>
      </c>
    </row>
    <row r="9320" customFormat="false" ht="14.25" hidden="false" customHeight="true" outlineLevel="0" collapsed="false">
      <c r="B9320" s="9" t="s">
        <v>28</v>
      </c>
      <c r="C9320" s="9" t="n">
        <v>1185732</v>
      </c>
      <c r="D9320" s="10" t="n">
        <v>44352</v>
      </c>
      <c r="E9320" s="9" t="s">
        <v>17</v>
      </c>
      <c r="F9320" s="9" t="s">
        <v>127</v>
      </c>
      <c r="G9320" s="9" t="s">
        <v>128</v>
      </c>
      <c r="H9320" s="11" t="s">
        <v>25</v>
      </c>
      <c r="I9320" s="12" t="n">
        <v>39</v>
      </c>
      <c r="J9320" s="13" t="n">
        <v>128</v>
      </c>
      <c r="K9320" s="14" t="n">
        <f aca="false">I9320*J9320</f>
        <v>4992</v>
      </c>
      <c r="L9320" s="14" t="n">
        <f aca="false">($L$2*M9320)/100</f>
        <v>468649.935</v>
      </c>
      <c r="M9320" s="15" t="n">
        <v>0.39</v>
      </c>
      <c r="N9320" s="9" t="s">
        <v>26</v>
      </c>
    </row>
    <row r="9321" customFormat="false" ht="14.25" hidden="false" customHeight="true" outlineLevel="0" collapsed="false">
      <c r="B9321" s="9" t="s">
        <v>28</v>
      </c>
      <c r="C9321" s="9" t="n">
        <v>1185732</v>
      </c>
      <c r="D9321" s="10" t="n">
        <v>44380</v>
      </c>
      <c r="E9321" s="9" t="s">
        <v>17</v>
      </c>
      <c r="F9321" s="9" t="s">
        <v>127</v>
      </c>
      <c r="G9321" s="9" t="s">
        <v>128</v>
      </c>
      <c r="H9321" s="11" t="s">
        <v>19</v>
      </c>
      <c r="I9321" s="12" t="n">
        <v>42</v>
      </c>
      <c r="J9321" s="13" t="n">
        <v>195</v>
      </c>
      <c r="K9321" s="14" t="n">
        <f aca="false">I9321*J9321</f>
        <v>8190</v>
      </c>
      <c r="L9321" s="14" t="n">
        <f aca="false">($L$2*M9321)/100</f>
        <v>540749.925</v>
      </c>
      <c r="M9321" s="15" t="n">
        <v>0.45</v>
      </c>
      <c r="N9321" s="9" t="s">
        <v>26</v>
      </c>
    </row>
    <row r="9322" customFormat="false" ht="14.25" hidden="false" customHeight="true" outlineLevel="0" collapsed="false">
      <c r="B9322" s="9" t="s">
        <v>28</v>
      </c>
      <c r="C9322" s="9" t="n">
        <v>1185732</v>
      </c>
      <c r="D9322" s="10" t="n">
        <v>44380</v>
      </c>
      <c r="E9322" s="9" t="s">
        <v>17</v>
      </c>
      <c r="F9322" s="9" t="s">
        <v>127</v>
      </c>
      <c r="G9322" s="9" t="s">
        <v>128</v>
      </c>
      <c r="H9322" s="11" t="s">
        <v>21</v>
      </c>
      <c r="I9322" s="12" t="n">
        <v>38</v>
      </c>
      <c r="J9322" s="13" t="n">
        <v>120</v>
      </c>
      <c r="K9322" s="14" t="n">
        <f aca="false">I9322*J9322</f>
        <v>4560</v>
      </c>
      <c r="L9322" s="14" t="n">
        <f aca="false">($L$2*M9322)/100</f>
        <v>504699.93</v>
      </c>
      <c r="M9322" s="15" t="n">
        <v>0.42</v>
      </c>
      <c r="N9322" s="9" t="s">
        <v>26</v>
      </c>
    </row>
    <row r="9323" customFormat="false" ht="14.25" hidden="false" customHeight="true" outlineLevel="0" collapsed="false">
      <c r="B9323" s="9" t="s">
        <v>28</v>
      </c>
      <c r="C9323" s="9" t="n">
        <v>1185732</v>
      </c>
      <c r="D9323" s="10" t="n">
        <v>44380</v>
      </c>
      <c r="E9323" s="9" t="s">
        <v>17</v>
      </c>
      <c r="F9323" s="9" t="s">
        <v>127</v>
      </c>
      <c r="G9323" s="9" t="s">
        <v>128</v>
      </c>
      <c r="H9323" s="11" t="s">
        <v>22</v>
      </c>
      <c r="I9323" s="12" t="n">
        <v>29</v>
      </c>
      <c r="J9323" s="13" t="n">
        <v>111</v>
      </c>
      <c r="K9323" s="14" t="n">
        <f aca="false">I9323*J9323</f>
        <v>3219</v>
      </c>
      <c r="L9323" s="14" t="n">
        <f aca="false">($L$2*M9323)/100</f>
        <v>408566.61</v>
      </c>
      <c r="M9323" s="15" t="n">
        <v>0.34</v>
      </c>
      <c r="N9323" s="9" t="s">
        <v>26</v>
      </c>
    </row>
    <row r="9324" customFormat="false" ht="14.25" hidden="false" customHeight="true" outlineLevel="0" collapsed="false">
      <c r="B9324" s="9" t="s">
        <v>28</v>
      </c>
      <c r="C9324" s="9" t="n">
        <v>1185732</v>
      </c>
      <c r="D9324" s="10" t="n">
        <v>44380</v>
      </c>
      <c r="E9324" s="9" t="s">
        <v>17</v>
      </c>
      <c r="F9324" s="9" t="s">
        <v>127</v>
      </c>
      <c r="G9324" s="9" t="s">
        <v>128</v>
      </c>
      <c r="H9324" s="11" t="s">
        <v>23</v>
      </c>
      <c r="I9324" s="12" t="n">
        <v>34</v>
      </c>
      <c r="J9324" s="13" t="n">
        <v>94</v>
      </c>
      <c r="K9324" s="14" t="n">
        <f aca="false">I9324*J9324</f>
        <v>3196</v>
      </c>
      <c r="L9324" s="14" t="n">
        <f aca="false">($L$2*M9324)/100</f>
        <v>432599.94</v>
      </c>
      <c r="M9324" s="15" t="n">
        <v>0.36</v>
      </c>
      <c r="N9324" s="9" t="s">
        <v>26</v>
      </c>
    </row>
    <row r="9325" customFormat="false" ht="14.25" hidden="false" customHeight="true" outlineLevel="0" collapsed="false">
      <c r="B9325" s="9" t="s">
        <v>28</v>
      </c>
      <c r="C9325" s="9" t="n">
        <v>1185732</v>
      </c>
      <c r="D9325" s="10" t="n">
        <v>44380</v>
      </c>
      <c r="E9325" s="9" t="s">
        <v>17</v>
      </c>
      <c r="F9325" s="9" t="s">
        <v>127</v>
      </c>
      <c r="G9325" s="9" t="s">
        <v>128</v>
      </c>
      <c r="H9325" s="11" t="s">
        <v>24</v>
      </c>
      <c r="I9325" s="12" t="n">
        <v>43</v>
      </c>
      <c r="J9325" s="13" t="n">
        <v>93</v>
      </c>
      <c r="K9325" s="14" t="n">
        <f aca="false">I9325*J9325</f>
        <v>3999</v>
      </c>
      <c r="L9325" s="14" t="n">
        <f aca="false">($L$2*M9325)/100</f>
        <v>396549.945</v>
      </c>
      <c r="M9325" s="15" t="n">
        <v>0.33</v>
      </c>
      <c r="N9325" s="9" t="s">
        <v>26</v>
      </c>
    </row>
    <row r="9326" customFormat="false" ht="14.25" hidden="false" customHeight="true" outlineLevel="0" collapsed="false">
      <c r="B9326" s="9" t="s">
        <v>28</v>
      </c>
      <c r="C9326" s="9" t="n">
        <v>1185732</v>
      </c>
      <c r="D9326" s="10" t="n">
        <v>44380</v>
      </c>
      <c r="E9326" s="9" t="s">
        <v>17</v>
      </c>
      <c r="F9326" s="9" t="s">
        <v>127</v>
      </c>
      <c r="G9326" s="9" t="s">
        <v>128</v>
      </c>
      <c r="H9326" s="11" t="s">
        <v>25</v>
      </c>
      <c r="I9326" s="12" t="n">
        <v>40</v>
      </c>
      <c r="J9326" s="13" t="n">
        <v>152</v>
      </c>
      <c r="K9326" s="14" t="n">
        <f aca="false">I9326*J9326</f>
        <v>6080</v>
      </c>
      <c r="L9326" s="14" t="n">
        <f aca="false">($L$2*M9326)/100</f>
        <v>456633.27</v>
      </c>
      <c r="M9326" s="15" t="n">
        <v>0.38</v>
      </c>
      <c r="N9326" s="9" t="s">
        <v>26</v>
      </c>
    </row>
    <row r="9327" customFormat="false" ht="14.25" hidden="false" customHeight="true" outlineLevel="0" collapsed="false">
      <c r="B9327" s="9" t="s">
        <v>28</v>
      </c>
      <c r="C9327" s="9" t="n">
        <v>1185732</v>
      </c>
      <c r="D9327" s="10" t="n">
        <v>44412</v>
      </c>
      <c r="E9327" s="9" t="s">
        <v>17</v>
      </c>
      <c r="F9327" s="9" t="s">
        <v>127</v>
      </c>
      <c r="G9327" s="9" t="s">
        <v>128</v>
      </c>
      <c r="H9327" s="11" t="s">
        <v>19</v>
      </c>
      <c r="I9327" s="12" t="n">
        <v>40</v>
      </c>
      <c r="J9327" s="13" t="n">
        <v>194</v>
      </c>
      <c r="K9327" s="14" t="n">
        <f aca="false">I9327*J9327</f>
        <v>7760</v>
      </c>
      <c r="L9327" s="14" t="n">
        <f aca="false">($L$2*M9327)/100</f>
        <v>504699.93</v>
      </c>
      <c r="M9327" s="15" t="n">
        <v>0.42</v>
      </c>
      <c r="N9327" s="9" t="s">
        <v>26</v>
      </c>
    </row>
    <row r="9328" customFormat="false" ht="14.25" hidden="false" customHeight="true" outlineLevel="0" collapsed="false">
      <c r="B9328" s="9" t="s">
        <v>28</v>
      </c>
      <c r="C9328" s="9" t="n">
        <v>1185732</v>
      </c>
      <c r="D9328" s="10" t="n">
        <v>44412</v>
      </c>
      <c r="E9328" s="9" t="s">
        <v>17</v>
      </c>
      <c r="F9328" s="9" t="s">
        <v>127</v>
      </c>
      <c r="G9328" s="9" t="s">
        <v>128</v>
      </c>
      <c r="H9328" s="11" t="s">
        <v>21</v>
      </c>
      <c r="I9328" s="12" t="n">
        <v>34</v>
      </c>
      <c r="J9328" s="13" t="n">
        <v>128</v>
      </c>
      <c r="K9328" s="14" t="n">
        <f aca="false">I9328*J9328</f>
        <v>4352</v>
      </c>
      <c r="L9328" s="14" t="n">
        <f aca="false">($L$2*M9328)/100</f>
        <v>516716.595</v>
      </c>
      <c r="M9328" s="15" t="n">
        <v>0.43</v>
      </c>
      <c r="N9328" s="9" t="s">
        <v>26</v>
      </c>
    </row>
    <row r="9329" customFormat="false" ht="14.25" hidden="false" customHeight="true" outlineLevel="0" collapsed="false">
      <c r="B9329" s="9" t="s">
        <v>28</v>
      </c>
      <c r="C9329" s="9" t="n">
        <v>1185732</v>
      </c>
      <c r="D9329" s="10" t="n">
        <v>44412</v>
      </c>
      <c r="E9329" s="9" t="s">
        <v>17</v>
      </c>
      <c r="F9329" s="9" t="s">
        <v>127</v>
      </c>
      <c r="G9329" s="9" t="s">
        <v>128</v>
      </c>
      <c r="H9329" s="11" t="s">
        <v>22</v>
      </c>
      <c r="I9329" s="12" t="n">
        <v>36</v>
      </c>
      <c r="J9329" s="13" t="n">
        <v>107</v>
      </c>
      <c r="K9329" s="14" t="n">
        <f aca="false">I9329*J9329</f>
        <v>3852</v>
      </c>
      <c r="L9329" s="14" t="n">
        <f aca="false">($L$2*M9329)/100</f>
        <v>420583.275</v>
      </c>
      <c r="M9329" s="15" t="n">
        <v>0.35</v>
      </c>
      <c r="N9329" s="9" t="s">
        <v>26</v>
      </c>
    </row>
    <row r="9330" customFormat="false" ht="14.25" hidden="false" customHeight="true" outlineLevel="0" collapsed="false">
      <c r="B9330" s="9" t="s">
        <v>28</v>
      </c>
      <c r="C9330" s="9" t="n">
        <v>1185732</v>
      </c>
      <c r="D9330" s="10" t="n">
        <v>44412</v>
      </c>
      <c r="E9330" s="9" t="s">
        <v>17</v>
      </c>
      <c r="F9330" s="9" t="s">
        <v>127</v>
      </c>
      <c r="G9330" s="9" t="s">
        <v>128</v>
      </c>
      <c r="H9330" s="11" t="s">
        <v>23</v>
      </c>
      <c r="I9330" s="12" t="n">
        <v>32</v>
      </c>
      <c r="J9330" s="13" t="n">
        <v>72</v>
      </c>
      <c r="K9330" s="14" t="n">
        <f aca="false">I9330*J9330</f>
        <v>2304</v>
      </c>
      <c r="L9330" s="14" t="n">
        <f aca="false">($L$2*M9330)/100</f>
        <v>396549.945</v>
      </c>
      <c r="M9330" s="15" t="n">
        <v>0.33</v>
      </c>
      <c r="N9330" s="9" t="s">
        <v>26</v>
      </c>
    </row>
    <row r="9331" customFormat="false" ht="14.25" hidden="false" customHeight="true" outlineLevel="0" collapsed="false">
      <c r="B9331" s="9" t="s">
        <v>28</v>
      </c>
      <c r="C9331" s="9" t="n">
        <v>1185732</v>
      </c>
      <c r="D9331" s="10" t="n">
        <v>44412</v>
      </c>
      <c r="E9331" s="9" t="s">
        <v>17</v>
      </c>
      <c r="F9331" s="9" t="s">
        <v>127</v>
      </c>
      <c r="G9331" s="9" t="s">
        <v>128</v>
      </c>
      <c r="H9331" s="11" t="s">
        <v>24</v>
      </c>
      <c r="I9331" s="12" t="n">
        <v>43</v>
      </c>
      <c r="J9331" s="13" t="n">
        <v>62</v>
      </c>
      <c r="K9331" s="14" t="n">
        <f aca="false">I9331*J9331</f>
        <v>2666</v>
      </c>
      <c r="L9331" s="14" t="n">
        <f aca="false">($L$2*M9331)/100</f>
        <v>396549.945</v>
      </c>
      <c r="M9331" s="15" t="n">
        <v>0.33</v>
      </c>
      <c r="N9331" s="9" t="s">
        <v>26</v>
      </c>
    </row>
    <row r="9332" customFormat="false" ht="14.25" hidden="false" customHeight="true" outlineLevel="0" collapsed="false">
      <c r="B9332" s="9" t="s">
        <v>28</v>
      </c>
      <c r="C9332" s="9" t="n">
        <v>1185732</v>
      </c>
      <c r="D9332" s="10" t="n">
        <v>44412</v>
      </c>
      <c r="E9332" s="9" t="s">
        <v>17</v>
      </c>
      <c r="F9332" s="9" t="s">
        <v>127</v>
      </c>
      <c r="G9332" s="9" t="s">
        <v>128</v>
      </c>
      <c r="H9332" s="11" t="s">
        <v>25</v>
      </c>
      <c r="I9332" s="12" t="n">
        <v>44</v>
      </c>
      <c r="J9332" s="13" t="n">
        <v>124</v>
      </c>
      <c r="K9332" s="14" t="n">
        <f aca="false">I9332*J9332</f>
        <v>5456</v>
      </c>
      <c r="L9332" s="14" t="n">
        <f aca="false">($L$2*M9332)/100</f>
        <v>456633.27</v>
      </c>
      <c r="M9332" s="15" t="n">
        <v>0.38</v>
      </c>
      <c r="N9332" s="9" t="s">
        <v>26</v>
      </c>
    </row>
    <row r="9333" customFormat="false" ht="14.25" hidden="false" customHeight="true" outlineLevel="0" collapsed="false">
      <c r="B9333" s="9" t="s">
        <v>28</v>
      </c>
      <c r="C9333" s="9" t="n">
        <v>1185732</v>
      </c>
      <c r="D9333" s="10" t="n">
        <v>44442</v>
      </c>
      <c r="E9333" s="9" t="s">
        <v>17</v>
      </c>
      <c r="F9333" s="9" t="s">
        <v>127</v>
      </c>
      <c r="G9333" s="9" t="s">
        <v>128</v>
      </c>
      <c r="H9333" s="11" t="s">
        <v>19</v>
      </c>
      <c r="I9333" s="12" t="n">
        <v>43</v>
      </c>
      <c r="J9333" s="13" t="n">
        <v>170</v>
      </c>
      <c r="K9333" s="14" t="n">
        <f aca="false">I9333*J9333</f>
        <v>7310</v>
      </c>
      <c r="L9333" s="14" t="n">
        <f aca="false">($L$2*M9333)/100</f>
        <v>564783.255</v>
      </c>
      <c r="M9333" s="15" t="n">
        <v>0.47</v>
      </c>
      <c r="N9333" s="9" t="s">
        <v>26</v>
      </c>
    </row>
    <row r="9334" customFormat="false" ht="14.25" hidden="false" customHeight="true" outlineLevel="0" collapsed="false">
      <c r="B9334" s="9" t="s">
        <v>28</v>
      </c>
      <c r="C9334" s="9" t="n">
        <v>1185732</v>
      </c>
      <c r="D9334" s="10" t="n">
        <v>44442</v>
      </c>
      <c r="E9334" s="9" t="s">
        <v>17</v>
      </c>
      <c r="F9334" s="9" t="s">
        <v>127</v>
      </c>
      <c r="G9334" s="9" t="s">
        <v>128</v>
      </c>
      <c r="H9334" s="11" t="s">
        <v>21</v>
      </c>
      <c r="I9334" s="12" t="n">
        <v>40</v>
      </c>
      <c r="J9334" s="13" t="n">
        <v>93</v>
      </c>
      <c r="K9334" s="14" t="n">
        <f aca="false">I9334*J9334</f>
        <v>3720</v>
      </c>
      <c r="L9334" s="14" t="n">
        <f aca="false">($L$2*M9334)/100</f>
        <v>564783.255</v>
      </c>
      <c r="M9334" s="15" t="n">
        <v>0.47</v>
      </c>
      <c r="N9334" s="9" t="s">
        <v>26</v>
      </c>
    </row>
    <row r="9335" customFormat="false" ht="14.25" hidden="false" customHeight="true" outlineLevel="0" collapsed="false">
      <c r="B9335" s="9" t="s">
        <v>28</v>
      </c>
      <c r="C9335" s="9" t="n">
        <v>1185732</v>
      </c>
      <c r="D9335" s="10" t="n">
        <v>44442</v>
      </c>
      <c r="E9335" s="9" t="s">
        <v>17</v>
      </c>
      <c r="F9335" s="9" t="s">
        <v>127</v>
      </c>
      <c r="G9335" s="9" t="s">
        <v>128</v>
      </c>
      <c r="H9335" s="11" t="s">
        <v>22</v>
      </c>
      <c r="I9335" s="12" t="n">
        <v>33</v>
      </c>
      <c r="J9335" s="13" t="n">
        <v>64</v>
      </c>
      <c r="K9335" s="14" t="n">
        <f aca="false">I9335*J9335</f>
        <v>2112</v>
      </c>
      <c r="L9335" s="14" t="n">
        <f aca="false">($L$2*M9335)/100</f>
        <v>384533.28</v>
      </c>
      <c r="M9335" s="15" t="n">
        <v>0.32</v>
      </c>
      <c r="N9335" s="9" t="s">
        <v>26</v>
      </c>
    </row>
    <row r="9336" customFormat="false" ht="14.25" hidden="false" customHeight="true" outlineLevel="0" collapsed="false">
      <c r="B9336" s="9" t="s">
        <v>28</v>
      </c>
      <c r="C9336" s="9" t="n">
        <v>1185732</v>
      </c>
      <c r="D9336" s="10" t="n">
        <v>44442</v>
      </c>
      <c r="E9336" s="9" t="s">
        <v>17</v>
      </c>
      <c r="F9336" s="9" t="s">
        <v>127</v>
      </c>
      <c r="G9336" s="9" t="s">
        <v>128</v>
      </c>
      <c r="H9336" s="11" t="s">
        <v>23</v>
      </c>
      <c r="I9336" s="12" t="n">
        <v>30</v>
      </c>
      <c r="J9336" s="13" t="n">
        <v>58</v>
      </c>
      <c r="K9336" s="14" t="n">
        <f aca="false">I9336*J9336</f>
        <v>1740</v>
      </c>
      <c r="L9336" s="14" t="n">
        <f aca="false">($L$2*M9336)/100</f>
        <v>408566.61</v>
      </c>
      <c r="M9336" s="15" t="n">
        <v>0.34</v>
      </c>
      <c r="N9336" s="9" t="s">
        <v>26</v>
      </c>
    </row>
    <row r="9337" customFormat="false" ht="14.25" hidden="false" customHeight="true" outlineLevel="0" collapsed="false">
      <c r="B9337" s="9" t="s">
        <v>28</v>
      </c>
      <c r="C9337" s="9" t="n">
        <v>1185732</v>
      </c>
      <c r="D9337" s="10" t="n">
        <v>44442</v>
      </c>
      <c r="E9337" s="9" t="s">
        <v>17</v>
      </c>
      <c r="F9337" s="9" t="s">
        <v>127</v>
      </c>
      <c r="G9337" s="9" t="s">
        <v>128</v>
      </c>
      <c r="H9337" s="11" t="s">
        <v>24</v>
      </c>
      <c r="I9337" s="12" t="n">
        <v>41</v>
      </c>
      <c r="J9337" s="13" t="n">
        <v>58</v>
      </c>
      <c r="K9337" s="14" t="n">
        <f aca="false">I9337*J9337</f>
        <v>2378</v>
      </c>
      <c r="L9337" s="14" t="n">
        <f aca="false">($L$2*M9337)/100</f>
        <v>432599.94</v>
      </c>
      <c r="M9337" s="15" t="n">
        <v>0.36</v>
      </c>
      <c r="N9337" s="9" t="s">
        <v>26</v>
      </c>
    </row>
    <row r="9338" customFormat="false" ht="14.25" hidden="false" customHeight="true" outlineLevel="0" collapsed="false">
      <c r="B9338" s="9" t="s">
        <v>28</v>
      </c>
      <c r="C9338" s="9" t="n">
        <v>1185732</v>
      </c>
      <c r="D9338" s="10" t="n">
        <v>44442</v>
      </c>
      <c r="E9338" s="9" t="s">
        <v>17</v>
      </c>
      <c r="F9338" s="9" t="s">
        <v>127</v>
      </c>
      <c r="G9338" s="9" t="s">
        <v>128</v>
      </c>
      <c r="H9338" s="11" t="s">
        <v>25</v>
      </c>
      <c r="I9338" s="12" t="n">
        <v>45</v>
      </c>
      <c r="J9338" s="13" t="n">
        <v>83</v>
      </c>
      <c r="K9338" s="14" t="n">
        <f aca="false">I9338*J9338</f>
        <v>3735</v>
      </c>
      <c r="L9338" s="14" t="n">
        <f aca="false">($L$2*M9338)/100</f>
        <v>504699.93</v>
      </c>
      <c r="M9338" s="15" t="n">
        <v>0.42</v>
      </c>
      <c r="N9338" s="9" t="s">
        <v>26</v>
      </c>
    </row>
    <row r="9339" customFormat="false" ht="14.25" hidden="false" customHeight="true" outlineLevel="0" collapsed="false">
      <c r="B9339" s="9" t="s">
        <v>28</v>
      </c>
      <c r="C9339" s="9" t="n">
        <v>1185732</v>
      </c>
      <c r="D9339" s="10" t="n">
        <v>44474</v>
      </c>
      <c r="E9339" s="9" t="s">
        <v>17</v>
      </c>
      <c r="F9339" s="9" t="s">
        <v>127</v>
      </c>
      <c r="G9339" s="9" t="s">
        <v>128</v>
      </c>
      <c r="H9339" s="11" t="s">
        <v>19</v>
      </c>
      <c r="I9339" s="12" t="n">
        <v>46</v>
      </c>
      <c r="J9339" s="13" t="n">
        <v>153</v>
      </c>
      <c r="K9339" s="14" t="n">
        <f aca="false">I9339*J9339</f>
        <v>7038</v>
      </c>
      <c r="L9339" s="14" t="n">
        <f aca="false">($L$2*M9339)/100</f>
        <v>504699.93</v>
      </c>
      <c r="M9339" s="15" t="n">
        <v>0.42</v>
      </c>
      <c r="N9339" s="9" t="s">
        <v>26</v>
      </c>
    </row>
    <row r="9340" customFormat="false" ht="14.25" hidden="false" customHeight="true" outlineLevel="0" collapsed="false">
      <c r="B9340" s="9" t="s">
        <v>28</v>
      </c>
      <c r="C9340" s="9" t="n">
        <v>1185732</v>
      </c>
      <c r="D9340" s="10" t="n">
        <v>44474</v>
      </c>
      <c r="E9340" s="9" t="s">
        <v>17</v>
      </c>
      <c r="F9340" s="9" t="s">
        <v>127</v>
      </c>
      <c r="G9340" s="9" t="s">
        <v>128</v>
      </c>
      <c r="H9340" s="11" t="s">
        <v>21</v>
      </c>
      <c r="I9340" s="12" t="n">
        <v>39</v>
      </c>
      <c r="J9340" s="13" t="n">
        <v>94</v>
      </c>
      <c r="K9340" s="14" t="n">
        <f aca="false">I9340*J9340</f>
        <v>3666</v>
      </c>
      <c r="L9340" s="14" t="n">
        <f aca="false">($L$2*M9340)/100</f>
        <v>528733.26</v>
      </c>
      <c r="M9340" s="15" t="n">
        <v>0.44</v>
      </c>
      <c r="N9340" s="9" t="s">
        <v>26</v>
      </c>
    </row>
    <row r="9341" customFormat="false" ht="14.25" hidden="false" customHeight="true" outlineLevel="0" collapsed="false">
      <c r="B9341" s="9" t="s">
        <v>28</v>
      </c>
      <c r="C9341" s="9" t="n">
        <v>1185732</v>
      </c>
      <c r="D9341" s="10" t="n">
        <v>44474</v>
      </c>
      <c r="E9341" s="9" t="s">
        <v>17</v>
      </c>
      <c r="F9341" s="9" t="s">
        <v>127</v>
      </c>
      <c r="G9341" s="9" t="s">
        <v>128</v>
      </c>
      <c r="H9341" s="11" t="s">
        <v>22</v>
      </c>
      <c r="I9341" s="12" t="n">
        <v>36</v>
      </c>
      <c r="J9341" s="13" t="n">
        <v>61</v>
      </c>
      <c r="K9341" s="14" t="n">
        <f aca="false">I9341*J9341</f>
        <v>2196</v>
      </c>
      <c r="L9341" s="14" t="n">
        <f aca="false">($L$2*M9341)/100</f>
        <v>444616.605</v>
      </c>
      <c r="M9341" s="15" t="n">
        <v>0.37</v>
      </c>
      <c r="N9341" s="9" t="s">
        <v>26</v>
      </c>
    </row>
    <row r="9342" customFormat="false" ht="14.25" hidden="false" customHeight="true" outlineLevel="0" collapsed="false">
      <c r="B9342" s="9" t="s">
        <v>28</v>
      </c>
      <c r="C9342" s="9" t="n">
        <v>1185732</v>
      </c>
      <c r="D9342" s="10" t="n">
        <v>44474</v>
      </c>
      <c r="E9342" s="9" t="s">
        <v>17</v>
      </c>
      <c r="F9342" s="9" t="s">
        <v>127</v>
      </c>
      <c r="G9342" s="9" t="s">
        <v>128</v>
      </c>
      <c r="H9342" s="11" t="s">
        <v>23</v>
      </c>
      <c r="I9342" s="12" t="n">
        <v>43</v>
      </c>
      <c r="J9342" s="13" t="n">
        <v>45</v>
      </c>
      <c r="K9342" s="14" t="n">
        <f aca="false">I9342*J9342</f>
        <v>1935</v>
      </c>
      <c r="L9342" s="14" t="n">
        <f aca="false">($L$2*M9342)/100</f>
        <v>432599.94</v>
      </c>
      <c r="M9342" s="15" t="n">
        <v>0.36</v>
      </c>
      <c r="N9342" s="9" t="s">
        <v>26</v>
      </c>
    </row>
    <row r="9343" customFormat="false" ht="14.25" hidden="false" customHeight="true" outlineLevel="0" collapsed="false">
      <c r="B9343" s="9" t="s">
        <v>28</v>
      </c>
      <c r="C9343" s="9" t="n">
        <v>1185732</v>
      </c>
      <c r="D9343" s="10" t="n">
        <v>44474</v>
      </c>
      <c r="E9343" s="9" t="s">
        <v>17</v>
      </c>
      <c r="F9343" s="9" t="s">
        <v>127</v>
      </c>
      <c r="G9343" s="9" t="s">
        <v>128</v>
      </c>
      <c r="H9343" s="11" t="s">
        <v>24</v>
      </c>
      <c r="I9343" s="12" t="n">
        <v>50</v>
      </c>
      <c r="J9343" s="13" t="n">
        <v>45</v>
      </c>
      <c r="K9343" s="14" t="n">
        <f aca="false">I9343*J9343</f>
        <v>2250</v>
      </c>
      <c r="L9343" s="14" t="n">
        <f aca="false">($L$2*M9343)/100</f>
        <v>396549.945</v>
      </c>
      <c r="M9343" s="15" t="n">
        <v>0.33</v>
      </c>
      <c r="N9343" s="9" t="s">
        <v>26</v>
      </c>
    </row>
    <row r="9344" customFormat="false" ht="14.25" hidden="false" customHeight="true" outlineLevel="0" collapsed="false">
      <c r="B9344" s="9" t="s">
        <v>16</v>
      </c>
      <c r="C9344" s="9" t="n">
        <v>1185732</v>
      </c>
      <c r="D9344" s="10" t="n">
        <v>44474</v>
      </c>
      <c r="E9344" s="9" t="s">
        <v>17</v>
      </c>
      <c r="F9344" s="9" t="s">
        <v>127</v>
      </c>
      <c r="G9344" s="9" t="s">
        <v>128</v>
      </c>
      <c r="H9344" s="11" t="s">
        <v>25</v>
      </c>
      <c r="I9344" s="12" t="n">
        <v>46</v>
      </c>
      <c r="J9344" s="13" t="n">
        <v>94</v>
      </c>
      <c r="K9344" s="14" t="n">
        <f aca="false">I9344*J9344</f>
        <v>4324</v>
      </c>
      <c r="L9344" s="14" t="n">
        <f aca="false">($L$2*M9344)/100</f>
        <v>504699.93</v>
      </c>
      <c r="M9344" s="15" t="n">
        <v>0.42</v>
      </c>
      <c r="N9344" s="9" t="s">
        <v>26</v>
      </c>
    </row>
    <row r="9345" customFormat="false" ht="14.25" hidden="false" customHeight="true" outlineLevel="0" collapsed="false">
      <c r="B9345" s="9" t="s">
        <v>16</v>
      </c>
      <c r="C9345" s="9" t="n">
        <v>1185732</v>
      </c>
      <c r="D9345" s="10" t="n">
        <v>44504</v>
      </c>
      <c r="E9345" s="9" t="s">
        <v>17</v>
      </c>
      <c r="F9345" s="9" t="s">
        <v>127</v>
      </c>
      <c r="G9345" s="9" t="s">
        <v>128</v>
      </c>
      <c r="H9345" s="11" t="s">
        <v>19</v>
      </c>
      <c r="I9345" s="12" t="n">
        <v>51</v>
      </c>
      <c r="J9345" s="13" t="n">
        <v>149</v>
      </c>
      <c r="K9345" s="14" t="n">
        <f aca="false">I9345*J9345</f>
        <v>7599</v>
      </c>
      <c r="L9345" s="14" t="n">
        <f aca="false">($L$2*M9345)/100</f>
        <v>516716.595</v>
      </c>
      <c r="M9345" s="15" t="n">
        <v>0.43</v>
      </c>
      <c r="N9345" s="9" t="s">
        <v>26</v>
      </c>
    </row>
    <row r="9346" customFormat="false" ht="14.25" hidden="false" customHeight="true" outlineLevel="0" collapsed="false">
      <c r="B9346" s="9" t="s">
        <v>16</v>
      </c>
      <c r="C9346" s="9" t="n">
        <v>1185732</v>
      </c>
      <c r="D9346" s="10" t="n">
        <v>44504</v>
      </c>
      <c r="E9346" s="9" t="s">
        <v>17</v>
      </c>
      <c r="F9346" s="9" t="s">
        <v>127</v>
      </c>
      <c r="G9346" s="9" t="s">
        <v>128</v>
      </c>
      <c r="H9346" s="11" t="s">
        <v>21</v>
      </c>
      <c r="I9346" s="12" t="n">
        <v>37</v>
      </c>
      <c r="J9346" s="13" t="n">
        <v>105</v>
      </c>
      <c r="K9346" s="14" t="n">
        <f aca="false">I9346*J9346</f>
        <v>3885</v>
      </c>
      <c r="L9346" s="14" t="n">
        <f aca="false">($L$2*M9346)/100</f>
        <v>552766.59</v>
      </c>
      <c r="M9346" s="15" t="n">
        <v>0.46</v>
      </c>
      <c r="N9346" s="9" t="s">
        <v>26</v>
      </c>
    </row>
    <row r="9347" customFormat="false" ht="14.25" hidden="false" customHeight="true" outlineLevel="0" collapsed="false">
      <c r="B9347" s="9" t="s">
        <v>16</v>
      </c>
      <c r="C9347" s="9" t="n">
        <v>1185732</v>
      </c>
      <c r="D9347" s="10" t="n">
        <v>44504</v>
      </c>
      <c r="E9347" s="9" t="s">
        <v>17</v>
      </c>
      <c r="F9347" s="9" t="s">
        <v>127</v>
      </c>
      <c r="G9347" s="9" t="s">
        <v>128</v>
      </c>
      <c r="H9347" s="11" t="s">
        <v>22</v>
      </c>
      <c r="I9347" s="12" t="n">
        <v>36</v>
      </c>
      <c r="J9347" s="13" t="n">
        <v>103</v>
      </c>
      <c r="K9347" s="14" t="n">
        <f aca="false">I9347*J9347</f>
        <v>3708</v>
      </c>
      <c r="L9347" s="14" t="n">
        <f aca="false">($L$2*M9347)/100</f>
        <v>444616.605</v>
      </c>
      <c r="M9347" s="15" t="n">
        <v>0.37</v>
      </c>
      <c r="N9347" s="9" t="s">
        <v>26</v>
      </c>
    </row>
    <row r="9348" customFormat="false" ht="14.25" hidden="false" customHeight="true" outlineLevel="0" collapsed="false">
      <c r="B9348" s="9" t="s">
        <v>16</v>
      </c>
      <c r="C9348" s="9" t="n">
        <v>1185732</v>
      </c>
      <c r="D9348" s="10" t="n">
        <v>44504</v>
      </c>
      <c r="E9348" s="9" t="s">
        <v>17</v>
      </c>
      <c r="F9348" s="9" t="s">
        <v>127</v>
      </c>
      <c r="G9348" s="9" t="s">
        <v>128</v>
      </c>
      <c r="H9348" s="11" t="s">
        <v>23</v>
      </c>
      <c r="I9348" s="12" t="n">
        <v>39</v>
      </c>
      <c r="J9348" s="13" t="n">
        <v>83</v>
      </c>
      <c r="K9348" s="14" t="n">
        <f aca="false">I9348*J9348</f>
        <v>3237</v>
      </c>
      <c r="L9348" s="14" t="n">
        <f aca="false">($L$2*M9348)/100</f>
        <v>444616.605</v>
      </c>
      <c r="M9348" s="15" t="n">
        <v>0.37</v>
      </c>
      <c r="N9348" s="9" t="s">
        <v>26</v>
      </c>
    </row>
    <row r="9349" customFormat="false" ht="14.25" hidden="false" customHeight="true" outlineLevel="0" collapsed="false">
      <c r="B9349" s="9" t="s">
        <v>16</v>
      </c>
      <c r="C9349" s="9" t="n">
        <v>1185732</v>
      </c>
      <c r="D9349" s="10" t="n">
        <v>44504</v>
      </c>
      <c r="E9349" s="9" t="s">
        <v>17</v>
      </c>
      <c r="F9349" s="9" t="s">
        <v>127</v>
      </c>
      <c r="G9349" s="9" t="s">
        <v>128</v>
      </c>
      <c r="H9349" s="11" t="s">
        <v>24</v>
      </c>
      <c r="I9349" s="12" t="n">
        <v>44</v>
      </c>
      <c r="J9349" s="13" t="n">
        <v>88</v>
      </c>
      <c r="K9349" s="14" t="n">
        <f aca="false">I9349*J9349</f>
        <v>3872</v>
      </c>
      <c r="L9349" s="14" t="n">
        <f aca="false">($L$2*M9349)/100</f>
        <v>432599.94</v>
      </c>
      <c r="M9349" s="15" t="n">
        <v>0.36</v>
      </c>
      <c r="N9349" s="9" t="s">
        <v>26</v>
      </c>
    </row>
    <row r="9350" customFormat="false" ht="14.25" hidden="false" customHeight="true" outlineLevel="0" collapsed="false">
      <c r="B9350" s="9" t="s">
        <v>16</v>
      </c>
      <c r="C9350" s="9" t="n">
        <v>1185732</v>
      </c>
      <c r="D9350" s="10" t="n">
        <v>44504</v>
      </c>
      <c r="E9350" s="9" t="s">
        <v>17</v>
      </c>
      <c r="F9350" s="9" t="s">
        <v>127</v>
      </c>
      <c r="G9350" s="9" t="s">
        <v>128</v>
      </c>
      <c r="H9350" s="11" t="s">
        <v>25</v>
      </c>
      <c r="I9350" s="12" t="n">
        <v>52</v>
      </c>
      <c r="J9350" s="13" t="n">
        <v>116</v>
      </c>
      <c r="K9350" s="14" t="n">
        <f aca="false">I9350*J9350</f>
        <v>6032</v>
      </c>
      <c r="L9350" s="14" t="n">
        <f aca="false">($L$2*M9350)/100</f>
        <v>468649.935</v>
      </c>
      <c r="M9350" s="15" t="n">
        <v>0.39</v>
      </c>
      <c r="N9350" s="9" t="s">
        <v>26</v>
      </c>
    </row>
    <row r="9351" customFormat="false" ht="14.25" hidden="false" customHeight="true" outlineLevel="0" collapsed="false">
      <c r="B9351" s="9" t="s">
        <v>16</v>
      </c>
      <c r="C9351" s="9" t="n">
        <v>1185732</v>
      </c>
      <c r="D9351" s="10" t="n">
        <v>44533</v>
      </c>
      <c r="E9351" s="9" t="s">
        <v>17</v>
      </c>
      <c r="F9351" s="9" t="s">
        <v>127</v>
      </c>
      <c r="G9351" s="9" t="s">
        <v>128</v>
      </c>
      <c r="H9351" s="11" t="s">
        <v>19</v>
      </c>
      <c r="I9351" s="12" t="n">
        <v>45</v>
      </c>
      <c r="J9351" s="13" t="n">
        <v>173</v>
      </c>
      <c r="K9351" s="14" t="n">
        <f aca="false">I9351*J9351</f>
        <v>7785</v>
      </c>
      <c r="L9351" s="14" t="n">
        <f aca="false">($L$2*M9351)/100</f>
        <v>504699.93</v>
      </c>
      <c r="M9351" s="15" t="n">
        <v>0.42</v>
      </c>
      <c r="N9351" s="9" t="s">
        <v>26</v>
      </c>
    </row>
    <row r="9352" customFormat="false" ht="14.25" hidden="false" customHeight="true" outlineLevel="0" collapsed="false">
      <c r="B9352" s="9" t="s">
        <v>16</v>
      </c>
      <c r="C9352" s="9" t="n">
        <v>1185732</v>
      </c>
      <c r="D9352" s="10" t="n">
        <v>44533</v>
      </c>
      <c r="E9352" s="9" t="s">
        <v>17</v>
      </c>
      <c r="F9352" s="9" t="s">
        <v>127</v>
      </c>
      <c r="G9352" s="9" t="s">
        <v>128</v>
      </c>
      <c r="H9352" s="11" t="s">
        <v>21</v>
      </c>
      <c r="I9352" s="12" t="n">
        <v>37</v>
      </c>
      <c r="J9352" s="13" t="n">
        <v>131</v>
      </c>
      <c r="K9352" s="14" t="n">
        <f aca="false">I9352*J9352</f>
        <v>4847</v>
      </c>
      <c r="L9352" s="14" t="n">
        <f aca="false">($L$2*M9352)/100</f>
        <v>540749.925</v>
      </c>
      <c r="M9352" s="15" t="n">
        <v>0.45</v>
      </c>
      <c r="N9352" s="9" t="s">
        <v>26</v>
      </c>
    </row>
    <row r="9353" customFormat="false" ht="14.25" hidden="false" customHeight="true" outlineLevel="0" collapsed="false">
      <c r="B9353" s="9" t="s">
        <v>16</v>
      </c>
      <c r="C9353" s="9" t="n">
        <v>1185732</v>
      </c>
      <c r="D9353" s="10" t="n">
        <v>44533</v>
      </c>
      <c r="E9353" s="9" t="s">
        <v>17</v>
      </c>
      <c r="F9353" s="9" t="s">
        <v>127</v>
      </c>
      <c r="G9353" s="9" t="s">
        <v>128</v>
      </c>
      <c r="H9353" s="11" t="s">
        <v>22</v>
      </c>
      <c r="I9353" s="12" t="n">
        <v>43</v>
      </c>
      <c r="J9353" s="13" t="n">
        <v>116</v>
      </c>
      <c r="K9353" s="14" t="n">
        <f aca="false">I9353*J9353</f>
        <v>4988</v>
      </c>
      <c r="L9353" s="14" t="n">
        <f aca="false">($L$2*M9353)/100</f>
        <v>396549.945</v>
      </c>
      <c r="M9353" s="15" t="n">
        <v>0.33</v>
      </c>
      <c r="N9353" s="9" t="s">
        <v>26</v>
      </c>
    </row>
    <row r="9354" customFormat="false" ht="14.25" hidden="false" customHeight="true" outlineLevel="0" collapsed="false">
      <c r="B9354" s="9" t="s">
        <v>16</v>
      </c>
      <c r="C9354" s="9" t="n">
        <v>1185732</v>
      </c>
      <c r="D9354" s="10" t="n">
        <v>44533</v>
      </c>
      <c r="E9354" s="9" t="s">
        <v>17</v>
      </c>
      <c r="F9354" s="9" t="s">
        <v>127</v>
      </c>
      <c r="G9354" s="9" t="s">
        <v>128</v>
      </c>
      <c r="H9354" s="11" t="s">
        <v>23</v>
      </c>
      <c r="I9354" s="12" t="n">
        <v>38</v>
      </c>
      <c r="J9354" s="13" t="n">
        <v>96</v>
      </c>
      <c r="K9354" s="14" t="n">
        <f aca="false">I9354*J9354</f>
        <v>3648</v>
      </c>
      <c r="L9354" s="14" t="n">
        <f aca="false">($L$2*M9354)/100</f>
        <v>420583.275</v>
      </c>
      <c r="M9354" s="15" t="n">
        <v>0.35</v>
      </c>
      <c r="N9354" s="9" t="s">
        <v>26</v>
      </c>
    </row>
    <row r="9355" customFormat="false" ht="14.25" hidden="false" customHeight="true" outlineLevel="0" collapsed="false">
      <c r="B9355" s="9" t="s">
        <v>16</v>
      </c>
      <c r="C9355" s="9" t="n">
        <v>1185732</v>
      </c>
      <c r="D9355" s="10" t="n">
        <v>44533</v>
      </c>
      <c r="E9355" s="9" t="s">
        <v>17</v>
      </c>
      <c r="F9355" s="9" t="s">
        <v>127</v>
      </c>
      <c r="G9355" s="9" t="s">
        <v>128</v>
      </c>
      <c r="H9355" s="11" t="s">
        <v>24</v>
      </c>
      <c r="I9355" s="12" t="n">
        <v>42</v>
      </c>
      <c r="J9355" s="13" t="n">
        <v>99</v>
      </c>
      <c r="K9355" s="14" t="n">
        <f aca="false">I9355*J9355</f>
        <v>4158</v>
      </c>
      <c r="L9355" s="14" t="n">
        <f aca="false">($L$2*M9355)/100</f>
        <v>420583.275</v>
      </c>
      <c r="M9355" s="15" t="n">
        <v>0.35</v>
      </c>
      <c r="N9355" s="9" t="s">
        <v>26</v>
      </c>
    </row>
    <row r="9356" customFormat="false" ht="14.25" hidden="false" customHeight="true" outlineLevel="0" collapsed="false">
      <c r="B9356" s="9" t="s">
        <v>16</v>
      </c>
      <c r="C9356" s="9" t="n">
        <v>1185732</v>
      </c>
      <c r="D9356" s="10" t="n">
        <v>44533</v>
      </c>
      <c r="E9356" s="9" t="s">
        <v>17</v>
      </c>
      <c r="F9356" s="9" t="s">
        <v>127</v>
      </c>
      <c r="G9356" s="9" t="s">
        <v>128</v>
      </c>
      <c r="H9356" s="11" t="s">
        <v>25</v>
      </c>
      <c r="I9356" s="12" t="n">
        <v>52</v>
      </c>
      <c r="J9356" s="13" t="n">
        <v>120</v>
      </c>
      <c r="K9356" s="14" t="n">
        <f aca="false">I9356*J9356</f>
        <v>6240</v>
      </c>
      <c r="L9356" s="14" t="n">
        <f aca="false">($L$2*M9356)/100</f>
        <v>444616.605</v>
      </c>
      <c r="M9356" s="15" t="n">
        <v>0.37</v>
      </c>
      <c r="N9356" s="9" t="s">
        <v>26</v>
      </c>
    </row>
    <row r="9357" customFormat="false" ht="14.25" hidden="false" customHeight="true" outlineLevel="0" collapsed="false">
      <c r="B9357" s="9" t="s">
        <v>16</v>
      </c>
      <c r="C9357" s="9" t="n">
        <v>1185732</v>
      </c>
      <c r="D9357" s="10" t="n">
        <v>44206</v>
      </c>
      <c r="E9357" s="9" t="s">
        <v>17</v>
      </c>
      <c r="F9357" s="9" t="s">
        <v>127</v>
      </c>
      <c r="G9357" s="9" t="s">
        <v>128</v>
      </c>
      <c r="H9357" s="11" t="s">
        <v>19</v>
      </c>
      <c r="I9357" s="12" t="n">
        <v>23</v>
      </c>
      <c r="J9357" s="13" t="n">
        <v>149</v>
      </c>
      <c r="K9357" s="14" t="n">
        <f aca="false">I9357*J9357</f>
        <v>3427</v>
      </c>
      <c r="L9357" s="14" t="n">
        <f aca="false">($L$2*M9357)/100</f>
        <v>504699.93</v>
      </c>
      <c r="M9357" s="15" t="n">
        <v>0.42</v>
      </c>
      <c r="N9357" s="9" t="s">
        <v>26</v>
      </c>
    </row>
    <row r="9358" customFormat="false" ht="14.25" hidden="false" customHeight="true" outlineLevel="0" collapsed="false">
      <c r="B9358" s="9" t="s">
        <v>16</v>
      </c>
      <c r="C9358" s="9" t="n">
        <v>1185732</v>
      </c>
      <c r="D9358" s="10" t="n">
        <v>44206</v>
      </c>
      <c r="E9358" s="9" t="s">
        <v>17</v>
      </c>
      <c r="F9358" s="9" t="s">
        <v>127</v>
      </c>
      <c r="G9358" s="9" t="s">
        <v>128</v>
      </c>
      <c r="H9358" s="11" t="s">
        <v>21</v>
      </c>
      <c r="I9358" s="12" t="n">
        <v>28</v>
      </c>
      <c r="J9358" s="13" t="n">
        <v>79</v>
      </c>
      <c r="K9358" s="14" t="n">
        <f aca="false">I9358*J9358</f>
        <v>2212</v>
      </c>
      <c r="L9358" s="14" t="n">
        <f aca="false">($L$2*M9358)/100</f>
        <v>480666.6</v>
      </c>
      <c r="M9358" s="15" t="n">
        <v>0.4</v>
      </c>
      <c r="N9358" s="9" t="s">
        <v>26</v>
      </c>
    </row>
    <row r="9359" customFormat="false" ht="14.25" hidden="false" customHeight="true" outlineLevel="0" collapsed="false">
      <c r="B9359" s="9" t="s">
        <v>16</v>
      </c>
      <c r="C9359" s="9" t="n">
        <v>1185732</v>
      </c>
      <c r="D9359" s="10" t="n">
        <v>44206</v>
      </c>
      <c r="E9359" s="9" t="s">
        <v>17</v>
      </c>
      <c r="F9359" s="9" t="s">
        <v>127</v>
      </c>
      <c r="G9359" s="9" t="s">
        <v>128</v>
      </c>
      <c r="H9359" s="11" t="s">
        <v>22</v>
      </c>
      <c r="I9359" s="12" t="n">
        <v>19</v>
      </c>
      <c r="J9359" s="13" t="n">
        <v>72</v>
      </c>
      <c r="K9359" s="14" t="n">
        <f aca="false">I9359*J9359</f>
        <v>1368</v>
      </c>
      <c r="L9359" s="14" t="n">
        <f aca="false">($L$2*M9359)/100</f>
        <v>504699.93</v>
      </c>
      <c r="M9359" s="15" t="n">
        <v>0.42</v>
      </c>
      <c r="N9359" s="9" t="s">
        <v>26</v>
      </c>
    </row>
    <row r="9360" customFormat="false" ht="14.25" hidden="false" customHeight="true" outlineLevel="0" collapsed="false">
      <c r="B9360" s="9" t="s">
        <v>16</v>
      </c>
      <c r="C9360" s="9" t="n">
        <v>1185732</v>
      </c>
      <c r="D9360" s="10" t="n">
        <v>44206</v>
      </c>
      <c r="E9360" s="9" t="s">
        <v>17</v>
      </c>
      <c r="F9360" s="9" t="s">
        <v>127</v>
      </c>
      <c r="G9360" s="9" t="s">
        <v>128</v>
      </c>
      <c r="H9360" s="11" t="s">
        <v>23</v>
      </c>
      <c r="I9360" s="12" t="n">
        <v>24</v>
      </c>
      <c r="J9360" s="13" t="n">
        <v>24</v>
      </c>
      <c r="K9360" s="14" t="n">
        <f aca="false">I9360*J9360</f>
        <v>576</v>
      </c>
      <c r="L9360" s="14" t="n">
        <f aca="false">($L$2*M9360)/100</f>
        <v>552766.59</v>
      </c>
      <c r="M9360" s="15" t="n">
        <v>0.46</v>
      </c>
      <c r="N9360" s="9" t="s">
        <v>26</v>
      </c>
    </row>
    <row r="9361" customFormat="false" ht="14.25" hidden="false" customHeight="true" outlineLevel="0" collapsed="false">
      <c r="B9361" s="9" t="s">
        <v>16</v>
      </c>
      <c r="C9361" s="9" t="n">
        <v>1185732</v>
      </c>
      <c r="D9361" s="10" t="n">
        <v>44206</v>
      </c>
      <c r="E9361" s="9" t="s">
        <v>17</v>
      </c>
      <c r="F9361" s="9" t="s">
        <v>127</v>
      </c>
      <c r="G9361" s="9" t="s">
        <v>128</v>
      </c>
      <c r="H9361" s="11" t="s">
        <v>24</v>
      </c>
      <c r="I9361" s="12" t="n">
        <v>34</v>
      </c>
      <c r="J9361" s="13" t="n">
        <v>44</v>
      </c>
      <c r="K9361" s="14" t="n">
        <f aca="false">I9361*J9361</f>
        <v>1496</v>
      </c>
      <c r="L9361" s="14" t="n">
        <f aca="false">($L$2*M9361)/100</f>
        <v>432599.94</v>
      </c>
      <c r="M9361" s="15" t="n">
        <v>0.36</v>
      </c>
      <c r="N9361" s="9" t="s">
        <v>26</v>
      </c>
    </row>
    <row r="9362" customFormat="false" ht="14.25" hidden="false" customHeight="true" outlineLevel="0" collapsed="false">
      <c r="B9362" s="9" t="s">
        <v>16</v>
      </c>
      <c r="C9362" s="9" t="n">
        <v>1185732</v>
      </c>
      <c r="D9362" s="10" t="n">
        <v>44206</v>
      </c>
      <c r="E9362" s="9" t="s">
        <v>17</v>
      </c>
      <c r="F9362" s="9" t="s">
        <v>127</v>
      </c>
      <c r="G9362" s="9" t="s">
        <v>128</v>
      </c>
      <c r="H9362" s="11" t="s">
        <v>25</v>
      </c>
      <c r="I9362" s="12" t="n">
        <v>26</v>
      </c>
      <c r="J9362" s="13" t="n">
        <v>72</v>
      </c>
      <c r="K9362" s="14" t="n">
        <f aca="false">I9362*J9362</f>
        <v>1872</v>
      </c>
      <c r="L9362" s="14" t="n">
        <f aca="false">($L$2*M9362)/100</f>
        <v>564783.255</v>
      </c>
      <c r="M9362" s="15" t="n">
        <v>0.47</v>
      </c>
      <c r="N9362" s="9" t="s">
        <v>26</v>
      </c>
    </row>
    <row r="9363" customFormat="false" ht="14.25" hidden="false" customHeight="true" outlineLevel="0" collapsed="false">
      <c r="B9363" s="9" t="s">
        <v>16</v>
      </c>
      <c r="C9363" s="9" t="n">
        <v>1185732</v>
      </c>
      <c r="D9363" s="10" t="n">
        <v>44235</v>
      </c>
      <c r="E9363" s="9" t="s">
        <v>17</v>
      </c>
      <c r="F9363" s="9" t="s">
        <v>127</v>
      </c>
      <c r="G9363" s="9" t="s">
        <v>128</v>
      </c>
      <c r="H9363" s="11" t="s">
        <v>19</v>
      </c>
      <c r="I9363" s="12" t="n">
        <v>24</v>
      </c>
      <c r="J9363" s="13" t="n">
        <v>162</v>
      </c>
      <c r="K9363" s="14" t="n">
        <f aca="false">I9363*J9363</f>
        <v>3888</v>
      </c>
      <c r="L9363" s="14" t="n">
        <f aca="false">($L$2*M9363)/100</f>
        <v>480666.6</v>
      </c>
      <c r="M9363" s="15" t="n">
        <v>0.4</v>
      </c>
      <c r="N9363" s="9" t="s">
        <v>26</v>
      </c>
    </row>
    <row r="9364" customFormat="false" ht="14.25" hidden="false" customHeight="true" outlineLevel="0" collapsed="false">
      <c r="B9364" s="9" t="s">
        <v>16</v>
      </c>
      <c r="C9364" s="9" t="n">
        <v>1185732</v>
      </c>
      <c r="D9364" s="10" t="n">
        <v>44235</v>
      </c>
      <c r="E9364" s="9" t="s">
        <v>17</v>
      </c>
      <c r="F9364" s="9" t="s">
        <v>127</v>
      </c>
      <c r="G9364" s="9" t="s">
        <v>128</v>
      </c>
      <c r="H9364" s="11" t="s">
        <v>21</v>
      </c>
      <c r="I9364" s="12" t="n">
        <v>24</v>
      </c>
      <c r="J9364" s="13" t="n">
        <v>41</v>
      </c>
      <c r="K9364" s="14" t="n">
        <f aca="false">I9364*J9364</f>
        <v>984</v>
      </c>
      <c r="L9364" s="14" t="n">
        <f aca="false">($L$2*M9364)/100</f>
        <v>468649.935</v>
      </c>
      <c r="M9364" s="15" t="n">
        <v>0.39</v>
      </c>
      <c r="N9364" s="9" t="s">
        <v>26</v>
      </c>
    </row>
    <row r="9365" customFormat="false" ht="14.25" hidden="false" customHeight="true" outlineLevel="0" collapsed="false">
      <c r="B9365" s="9" t="s">
        <v>16</v>
      </c>
      <c r="C9365" s="9" t="n">
        <v>1185732</v>
      </c>
      <c r="D9365" s="10" t="n">
        <v>44235</v>
      </c>
      <c r="E9365" s="9" t="s">
        <v>17</v>
      </c>
      <c r="F9365" s="9" t="s">
        <v>127</v>
      </c>
      <c r="G9365" s="9" t="s">
        <v>128</v>
      </c>
      <c r="H9365" s="11" t="s">
        <v>22</v>
      </c>
      <c r="I9365" s="12" t="n">
        <v>18</v>
      </c>
      <c r="J9365" s="13" t="n">
        <v>53</v>
      </c>
      <c r="K9365" s="14" t="n">
        <f aca="false">I9365*J9365</f>
        <v>954</v>
      </c>
      <c r="L9365" s="14" t="n">
        <f aca="false">($L$2*M9365)/100</f>
        <v>516716.595</v>
      </c>
      <c r="M9365" s="15" t="n">
        <v>0.43</v>
      </c>
      <c r="N9365" s="9" t="s">
        <v>26</v>
      </c>
    </row>
    <row r="9366" customFormat="false" ht="14.25" hidden="false" customHeight="true" outlineLevel="0" collapsed="false">
      <c r="B9366" s="9" t="s">
        <v>16</v>
      </c>
      <c r="C9366" s="9" t="n">
        <v>1185732</v>
      </c>
      <c r="D9366" s="10" t="n">
        <v>44235</v>
      </c>
      <c r="E9366" s="9" t="s">
        <v>17</v>
      </c>
      <c r="F9366" s="9" t="s">
        <v>129</v>
      </c>
      <c r="G9366" s="9" t="s">
        <v>130</v>
      </c>
      <c r="H9366" s="11" t="s">
        <v>23</v>
      </c>
      <c r="I9366" s="12" t="n">
        <v>20</v>
      </c>
      <c r="J9366" s="13" t="n">
        <v>16</v>
      </c>
      <c r="K9366" s="14" t="n">
        <f aca="false">I9366*J9366</f>
        <v>320</v>
      </c>
      <c r="L9366" s="14" t="n">
        <f aca="false">($L$2*M9366)/100</f>
        <v>540749.925</v>
      </c>
      <c r="M9366" s="15" t="n">
        <v>0.45</v>
      </c>
      <c r="N9366" s="9" t="s">
        <v>26</v>
      </c>
    </row>
    <row r="9367" customFormat="false" ht="14.25" hidden="false" customHeight="true" outlineLevel="0" collapsed="false">
      <c r="B9367" s="9" t="s">
        <v>16</v>
      </c>
      <c r="C9367" s="9" t="n">
        <v>1185732</v>
      </c>
      <c r="D9367" s="10" t="n">
        <v>44235</v>
      </c>
      <c r="E9367" s="9" t="s">
        <v>17</v>
      </c>
      <c r="F9367" s="9" t="s">
        <v>129</v>
      </c>
      <c r="G9367" s="9" t="s">
        <v>130</v>
      </c>
      <c r="H9367" s="11" t="s">
        <v>24</v>
      </c>
      <c r="I9367" s="12" t="n">
        <v>34</v>
      </c>
      <c r="J9367" s="13" t="n">
        <v>40</v>
      </c>
      <c r="K9367" s="14" t="n">
        <f aca="false">I9367*J9367</f>
        <v>1360</v>
      </c>
      <c r="L9367" s="14" t="n">
        <f aca="false">($L$2*M9367)/100</f>
        <v>432599.94</v>
      </c>
      <c r="M9367" s="15" t="n">
        <v>0.36</v>
      </c>
      <c r="N9367" s="9" t="s">
        <v>26</v>
      </c>
    </row>
    <row r="9368" customFormat="false" ht="14.25" hidden="false" customHeight="true" outlineLevel="0" collapsed="false">
      <c r="B9368" s="9" t="s">
        <v>16</v>
      </c>
      <c r="C9368" s="9" t="n">
        <v>1185732</v>
      </c>
      <c r="D9368" s="10" t="n">
        <v>44235</v>
      </c>
      <c r="E9368" s="9" t="s">
        <v>17</v>
      </c>
      <c r="F9368" s="9" t="s">
        <v>129</v>
      </c>
      <c r="G9368" s="9" t="s">
        <v>130</v>
      </c>
      <c r="H9368" s="11" t="s">
        <v>25</v>
      </c>
      <c r="I9368" s="12" t="n">
        <v>27</v>
      </c>
      <c r="J9368" s="13" t="n">
        <v>77</v>
      </c>
      <c r="K9368" s="14" t="n">
        <f aca="false">I9368*J9368</f>
        <v>2079</v>
      </c>
      <c r="L9368" s="14" t="n">
        <f aca="false">($L$2*M9368)/100</f>
        <v>564783.255</v>
      </c>
      <c r="M9368" s="15" t="n">
        <v>0.47</v>
      </c>
      <c r="N9368" s="9" t="s">
        <v>26</v>
      </c>
    </row>
    <row r="9369" customFormat="false" ht="14.25" hidden="false" customHeight="true" outlineLevel="0" collapsed="false">
      <c r="B9369" s="9" t="s">
        <v>16</v>
      </c>
      <c r="C9369" s="9" t="n">
        <v>1185732</v>
      </c>
      <c r="D9369" s="10" t="n">
        <v>44261</v>
      </c>
      <c r="E9369" s="9" t="s">
        <v>17</v>
      </c>
      <c r="F9369" s="9" t="s">
        <v>129</v>
      </c>
      <c r="G9369" s="9" t="s">
        <v>130</v>
      </c>
      <c r="H9369" s="11" t="s">
        <v>19</v>
      </c>
      <c r="I9369" s="12" t="n">
        <v>26</v>
      </c>
      <c r="J9369" s="13" t="n">
        <v>156</v>
      </c>
      <c r="K9369" s="14" t="n">
        <f aca="false">I9369*J9369</f>
        <v>4056</v>
      </c>
      <c r="L9369" s="14" t="n">
        <f aca="false">($L$2*M9369)/100</f>
        <v>444616.605</v>
      </c>
      <c r="M9369" s="15" t="n">
        <v>0.37</v>
      </c>
      <c r="N9369" s="9" t="s">
        <v>26</v>
      </c>
    </row>
    <row r="9370" customFormat="false" ht="14.25" hidden="false" customHeight="true" outlineLevel="0" collapsed="false">
      <c r="B9370" s="9" t="s">
        <v>16</v>
      </c>
      <c r="C9370" s="9" t="n">
        <v>1185732</v>
      </c>
      <c r="D9370" s="10" t="n">
        <v>44261</v>
      </c>
      <c r="E9370" s="9" t="s">
        <v>17</v>
      </c>
      <c r="F9370" s="9" t="s">
        <v>129</v>
      </c>
      <c r="G9370" s="9" t="s">
        <v>130</v>
      </c>
      <c r="H9370" s="11" t="s">
        <v>21</v>
      </c>
      <c r="I9370" s="12" t="n">
        <v>27</v>
      </c>
      <c r="J9370" s="13" t="n">
        <v>45</v>
      </c>
      <c r="K9370" s="14" t="n">
        <f aca="false">I9370*J9370</f>
        <v>1215</v>
      </c>
      <c r="L9370" s="14" t="n">
        <f aca="false">($L$2*M9370)/100</f>
        <v>468649.935</v>
      </c>
      <c r="M9370" s="15" t="n">
        <v>0.39</v>
      </c>
      <c r="N9370" s="9" t="s">
        <v>26</v>
      </c>
    </row>
    <row r="9371" customFormat="false" ht="14.25" hidden="false" customHeight="true" outlineLevel="0" collapsed="false">
      <c r="B9371" s="9" t="s">
        <v>16</v>
      </c>
      <c r="C9371" s="9" t="n">
        <v>1185732</v>
      </c>
      <c r="D9371" s="10" t="n">
        <v>44261</v>
      </c>
      <c r="E9371" s="9" t="s">
        <v>17</v>
      </c>
      <c r="F9371" s="9" t="s">
        <v>129</v>
      </c>
      <c r="G9371" s="9" t="s">
        <v>130</v>
      </c>
      <c r="H9371" s="11" t="s">
        <v>22</v>
      </c>
      <c r="I9371" s="12" t="n">
        <v>17</v>
      </c>
      <c r="J9371" s="13" t="n">
        <v>56</v>
      </c>
      <c r="K9371" s="14" t="n">
        <f aca="false">I9371*J9371</f>
        <v>952</v>
      </c>
      <c r="L9371" s="14" t="n">
        <f aca="false">($L$2*M9371)/100</f>
        <v>564783.255</v>
      </c>
      <c r="M9371" s="15" t="n">
        <v>0.47</v>
      </c>
      <c r="N9371" s="9" t="s">
        <v>26</v>
      </c>
    </row>
    <row r="9372" customFormat="false" ht="14.25" hidden="false" customHeight="true" outlineLevel="0" collapsed="false">
      <c r="B9372" s="9" t="s">
        <v>16</v>
      </c>
      <c r="C9372" s="9" t="n">
        <v>1185732</v>
      </c>
      <c r="D9372" s="10" t="n">
        <v>44261</v>
      </c>
      <c r="E9372" s="9" t="s">
        <v>17</v>
      </c>
      <c r="F9372" s="9" t="s">
        <v>129</v>
      </c>
      <c r="G9372" s="9" t="s">
        <v>130</v>
      </c>
      <c r="H9372" s="11" t="s">
        <v>23</v>
      </c>
      <c r="I9372" s="12" t="n">
        <v>20</v>
      </c>
      <c r="J9372" s="13" t="n">
        <v>8</v>
      </c>
      <c r="K9372" s="14" t="n">
        <f aca="false">I9372*J9372</f>
        <v>160</v>
      </c>
      <c r="L9372" s="14" t="n">
        <f aca="false">($L$2*M9372)/100</f>
        <v>564783.255</v>
      </c>
      <c r="M9372" s="15" t="n">
        <v>0.47</v>
      </c>
      <c r="N9372" s="9" t="s">
        <v>26</v>
      </c>
    </row>
    <row r="9373" customFormat="false" ht="14.25" hidden="false" customHeight="true" outlineLevel="0" collapsed="false">
      <c r="B9373" s="9" t="s">
        <v>16</v>
      </c>
      <c r="C9373" s="9" t="n">
        <v>1185732</v>
      </c>
      <c r="D9373" s="10" t="n">
        <v>44261</v>
      </c>
      <c r="E9373" s="9" t="s">
        <v>17</v>
      </c>
      <c r="F9373" s="9" t="s">
        <v>129</v>
      </c>
      <c r="G9373" s="9" t="s">
        <v>130</v>
      </c>
      <c r="H9373" s="11" t="s">
        <v>24</v>
      </c>
      <c r="I9373" s="12" t="n">
        <v>33</v>
      </c>
      <c r="J9373" s="13" t="n">
        <v>25</v>
      </c>
      <c r="K9373" s="14" t="n">
        <f aca="false">I9373*J9373</f>
        <v>825</v>
      </c>
      <c r="L9373" s="14" t="n">
        <f aca="false">($L$2*M9373)/100</f>
        <v>432599.94</v>
      </c>
      <c r="M9373" s="15" t="n">
        <v>0.36</v>
      </c>
      <c r="N9373" s="9" t="s">
        <v>26</v>
      </c>
    </row>
    <row r="9374" customFormat="false" ht="14.25" hidden="false" customHeight="true" outlineLevel="0" collapsed="false">
      <c r="B9374" s="9" t="s">
        <v>16</v>
      </c>
      <c r="C9374" s="9" t="n">
        <v>1185732</v>
      </c>
      <c r="D9374" s="10" t="n">
        <v>44261</v>
      </c>
      <c r="E9374" s="9" t="s">
        <v>17</v>
      </c>
      <c r="F9374" s="9" t="s">
        <v>129</v>
      </c>
      <c r="G9374" s="9" t="s">
        <v>130</v>
      </c>
      <c r="H9374" s="11" t="s">
        <v>25</v>
      </c>
      <c r="I9374" s="12" t="n">
        <v>25</v>
      </c>
      <c r="J9374" s="13" t="n">
        <v>58</v>
      </c>
      <c r="K9374" s="14" t="n">
        <f aca="false">I9374*J9374</f>
        <v>1450</v>
      </c>
      <c r="L9374" s="14" t="n">
        <f aca="false">($L$2*M9374)/100</f>
        <v>528733.26</v>
      </c>
      <c r="M9374" s="15" t="n">
        <v>0.44</v>
      </c>
      <c r="N9374" s="9" t="s">
        <v>26</v>
      </c>
    </row>
    <row r="9375" customFormat="false" ht="14.25" hidden="false" customHeight="true" outlineLevel="0" collapsed="false">
      <c r="B9375" s="9" t="s">
        <v>16</v>
      </c>
      <c r="C9375" s="9" t="n">
        <v>1185732</v>
      </c>
      <c r="D9375" s="10" t="n">
        <v>44293</v>
      </c>
      <c r="E9375" s="9" t="s">
        <v>17</v>
      </c>
      <c r="F9375" s="9" t="s">
        <v>129</v>
      </c>
      <c r="G9375" s="9" t="s">
        <v>130</v>
      </c>
      <c r="H9375" s="11" t="s">
        <v>19</v>
      </c>
      <c r="I9375" s="12" t="n">
        <v>28</v>
      </c>
      <c r="J9375" s="13" t="n">
        <v>132</v>
      </c>
      <c r="K9375" s="14" t="n">
        <f aca="false">I9375*J9375</f>
        <v>3696</v>
      </c>
      <c r="L9375" s="14" t="n">
        <f aca="false">($L$2*M9375)/100</f>
        <v>504699.93</v>
      </c>
      <c r="M9375" s="15" t="n">
        <v>0.42</v>
      </c>
      <c r="N9375" s="9" t="s">
        <v>26</v>
      </c>
    </row>
    <row r="9376" customFormat="false" ht="14.25" hidden="false" customHeight="true" outlineLevel="0" collapsed="false">
      <c r="B9376" s="9" t="s">
        <v>16</v>
      </c>
      <c r="C9376" s="9" t="n">
        <v>1185732</v>
      </c>
      <c r="D9376" s="10" t="n">
        <v>44293</v>
      </c>
      <c r="E9376" s="9" t="s">
        <v>17</v>
      </c>
      <c r="F9376" s="9" t="s">
        <v>129</v>
      </c>
      <c r="G9376" s="9" t="s">
        <v>130</v>
      </c>
      <c r="H9376" s="11" t="s">
        <v>21</v>
      </c>
      <c r="I9376" s="12" t="n">
        <v>23</v>
      </c>
      <c r="J9376" s="13" t="n">
        <v>40</v>
      </c>
      <c r="K9376" s="14" t="n">
        <f aca="false">I9376*J9376</f>
        <v>920</v>
      </c>
      <c r="L9376" s="14" t="n">
        <f aca="false">($L$2*M9376)/100</f>
        <v>480666.6</v>
      </c>
      <c r="M9376" s="15" t="n">
        <v>0.4</v>
      </c>
      <c r="N9376" s="9" t="s">
        <v>26</v>
      </c>
    </row>
    <row r="9377" customFormat="false" ht="14.25" hidden="false" customHeight="true" outlineLevel="0" collapsed="false">
      <c r="B9377" s="9" t="s">
        <v>16</v>
      </c>
      <c r="C9377" s="9" t="n">
        <v>1185732</v>
      </c>
      <c r="D9377" s="10" t="n">
        <v>44293</v>
      </c>
      <c r="E9377" s="9" t="s">
        <v>17</v>
      </c>
      <c r="F9377" s="9" t="s">
        <v>129</v>
      </c>
      <c r="G9377" s="9" t="s">
        <v>130</v>
      </c>
      <c r="H9377" s="11" t="s">
        <v>22</v>
      </c>
      <c r="I9377" s="12" t="n">
        <v>16</v>
      </c>
      <c r="J9377" s="13" t="n">
        <v>44</v>
      </c>
      <c r="K9377" s="14" t="n">
        <f aca="false">I9377*J9377</f>
        <v>704</v>
      </c>
      <c r="L9377" s="14" t="n">
        <f aca="false">($L$2*M9377)/100</f>
        <v>504699.93</v>
      </c>
      <c r="M9377" s="15" t="n">
        <v>0.42</v>
      </c>
      <c r="N9377" s="9" t="s">
        <v>26</v>
      </c>
    </row>
    <row r="9378" customFormat="false" ht="14.25" hidden="false" customHeight="true" outlineLevel="0" collapsed="false">
      <c r="B9378" s="9" t="s">
        <v>16</v>
      </c>
      <c r="C9378" s="9" t="n">
        <v>1185732</v>
      </c>
      <c r="D9378" s="10" t="n">
        <v>44293</v>
      </c>
      <c r="E9378" s="9" t="s">
        <v>17</v>
      </c>
      <c r="F9378" s="9" t="s">
        <v>129</v>
      </c>
      <c r="G9378" s="9" t="s">
        <v>130</v>
      </c>
      <c r="H9378" s="11" t="s">
        <v>23</v>
      </c>
      <c r="I9378" s="12" t="n">
        <v>21</v>
      </c>
      <c r="J9378" s="13" t="n">
        <v>17</v>
      </c>
      <c r="K9378" s="14" t="n">
        <f aca="false">I9378*J9378</f>
        <v>357</v>
      </c>
      <c r="L9378" s="14" t="n">
        <f aca="false">($L$2*M9378)/100</f>
        <v>540749.925</v>
      </c>
      <c r="M9378" s="15" t="n">
        <v>0.45</v>
      </c>
      <c r="N9378" s="9" t="s">
        <v>26</v>
      </c>
    </row>
    <row r="9379" customFormat="false" ht="14.25" hidden="false" customHeight="true" outlineLevel="0" collapsed="false">
      <c r="B9379" s="9" t="s">
        <v>16</v>
      </c>
      <c r="C9379" s="9" t="n">
        <v>1185732</v>
      </c>
      <c r="D9379" s="10" t="n">
        <v>44293</v>
      </c>
      <c r="E9379" s="9" t="s">
        <v>17</v>
      </c>
      <c r="F9379" s="9" t="s">
        <v>129</v>
      </c>
      <c r="G9379" s="9" t="s">
        <v>130</v>
      </c>
      <c r="H9379" s="11" t="s">
        <v>24</v>
      </c>
      <c r="I9379" s="12" t="n">
        <v>33</v>
      </c>
      <c r="J9379" s="13" t="n">
        <v>15</v>
      </c>
      <c r="K9379" s="14" t="n">
        <f aca="false">I9379*J9379</f>
        <v>495</v>
      </c>
      <c r="L9379" s="14" t="n">
        <f aca="false">($L$2*M9379)/100</f>
        <v>384533.28</v>
      </c>
      <c r="M9379" s="15" t="n">
        <v>0.32</v>
      </c>
      <c r="N9379" s="9" t="s">
        <v>26</v>
      </c>
    </row>
    <row r="9380" customFormat="false" ht="14.25" hidden="false" customHeight="true" outlineLevel="0" collapsed="false">
      <c r="B9380" s="9" t="s">
        <v>16</v>
      </c>
      <c r="C9380" s="9" t="n">
        <v>1185732</v>
      </c>
      <c r="D9380" s="10" t="n">
        <v>44293</v>
      </c>
      <c r="E9380" s="9" t="s">
        <v>17</v>
      </c>
      <c r="F9380" s="9" t="s">
        <v>129</v>
      </c>
      <c r="G9380" s="9" t="s">
        <v>130</v>
      </c>
      <c r="H9380" s="11" t="s">
        <v>25</v>
      </c>
      <c r="I9380" s="12" t="n">
        <v>26</v>
      </c>
      <c r="J9380" s="13" t="n">
        <v>60</v>
      </c>
      <c r="K9380" s="14" t="n">
        <f aca="false">I9380*J9380</f>
        <v>1560</v>
      </c>
      <c r="L9380" s="14" t="n">
        <f aca="false">($L$2*M9380)/100</f>
        <v>528733.26</v>
      </c>
      <c r="M9380" s="15" t="n">
        <v>0.44</v>
      </c>
      <c r="N9380" s="9" t="s">
        <v>26</v>
      </c>
    </row>
    <row r="9381" customFormat="false" ht="14.25" hidden="false" customHeight="true" outlineLevel="0" collapsed="false">
      <c r="B9381" s="9" t="s">
        <v>16</v>
      </c>
      <c r="C9381" s="9" t="n">
        <v>1185732</v>
      </c>
      <c r="D9381" s="10" t="n">
        <v>44322</v>
      </c>
      <c r="E9381" s="9" t="s">
        <v>17</v>
      </c>
      <c r="F9381" s="9" t="s">
        <v>129</v>
      </c>
      <c r="G9381" s="9" t="s">
        <v>130</v>
      </c>
      <c r="H9381" s="11" t="s">
        <v>19</v>
      </c>
      <c r="I9381" s="12" t="n">
        <v>39</v>
      </c>
      <c r="J9381" s="13" t="n">
        <v>150</v>
      </c>
      <c r="K9381" s="14" t="n">
        <f aca="false">I9381*J9381</f>
        <v>5850</v>
      </c>
      <c r="L9381" s="14" t="n">
        <f aca="false">($L$2*M9381)/100</f>
        <v>492683.265</v>
      </c>
      <c r="M9381" s="15" t="n">
        <v>0.41</v>
      </c>
      <c r="N9381" s="9" t="s">
        <v>26</v>
      </c>
    </row>
    <row r="9382" customFormat="false" ht="14.25" hidden="false" customHeight="true" outlineLevel="0" collapsed="false">
      <c r="B9382" s="9" t="s">
        <v>16</v>
      </c>
      <c r="C9382" s="9" t="n">
        <v>1185732</v>
      </c>
      <c r="D9382" s="10" t="n">
        <v>44322</v>
      </c>
      <c r="E9382" s="9" t="s">
        <v>17</v>
      </c>
      <c r="F9382" s="9" t="s">
        <v>129</v>
      </c>
      <c r="G9382" s="9" t="s">
        <v>130</v>
      </c>
      <c r="H9382" s="11" t="s">
        <v>21</v>
      </c>
      <c r="I9382" s="12" t="n">
        <v>32</v>
      </c>
      <c r="J9382" s="13" t="n">
        <v>58</v>
      </c>
      <c r="K9382" s="14" t="n">
        <f aca="false">I9382*J9382</f>
        <v>1856</v>
      </c>
      <c r="L9382" s="14" t="n">
        <f aca="false">($L$2*M9382)/100</f>
        <v>444616.605</v>
      </c>
      <c r="M9382" s="15" t="n">
        <v>0.37</v>
      </c>
      <c r="N9382" s="9" t="s">
        <v>26</v>
      </c>
    </row>
    <row r="9383" customFormat="false" ht="14.25" hidden="false" customHeight="true" outlineLevel="0" collapsed="false">
      <c r="B9383" s="9" t="s">
        <v>16</v>
      </c>
      <c r="C9383" s="9" t="n">
        <v>1185732</v>
      </c>
      <c r="D9383" s="10" t="n">
        <v>44322</v>
      </c>
      <c r="E9383" s="9" t="s">
        <v>17</v>
      </c>
      <c r="F9383" s="9" t="s">
        <v>129</v>
      </c>
      <c r="G9383" s="9" t="s">
        <v>130</v>
      </c>
      <c r="H9383" s="11" t="s">
        <v>22</v>
      </c>
      <c r="I9383" s="12" t="n">
        <v>32</v>
      </c>
      <c r="J9383" s="13" t="n">
        <v>60</v>
      </c>
      <c r="K9383" s="14" t="n">
        <f aca="false">I9383*J9383</f>
        <v>1920</v>
      </c>
      <c r="L9383" s="14" t="n">
        <f aca="false">($L$2*M9383)/100</f>
        <v>504699.93</v>
      </c>
      <c r="M9383" s="15" t="n">
        <v>0.42</v>
      </c>
      <c r="N9383" s="9" t="s">
        <v>26</v>
      </c>
    </row>
    <row r="9384" customFormat="false" ht="14.25" hidden="false" customHeight="true" outlineLevel="0" collapsed="false">
      <c r="B9384" s="9" t="s">
        <v>16</v>
      </c>
      <c r="C9384" s="9" t="n">
        <v>1185732</v>
      </c>
      <c r="D9384" s="10" t="n">
        <v>44322</v>
      </c>
      <c r="E9384" s="9" t="s">
        <v>17</v>
      </c>
      <c r="F9384" s="9" t="s">
        <v>129</v>
      </c>
      <c r="G9384" s="9" t="s">
        <v>130</v>
      </c>
      <c r="H9384" s="11" t="s">
        <v>23</v>
      </c>
      <c r="I9384" s="12" t="n">
        <v>27</v>
      </c>
      <c r="J9384" s="13" t="n">
        <v>51</v>
      </c>
      <c r="K9384" s="14" t="n">
        <f aca="false">I9384*J9384</f>
        <v>1377</v>
      </c>
      <c r="L9384" s="14" t="n">
        <f aca="false">($L$2*M9384)/100</f>
        <v>552766.59</v>
      </c>
      <c r="M9384" s="15" t="n">
        <v>0.46</v>
      </c>
      <c r="N9384" s="9" t="s">
        <v>26</v>
      </c>
    </row>
    <row r="9385" customFormat="false" ht="14.25" hidden="false" customHeight="true" outlineLevel="0" collapsed="false">
      <c r="B9385" s="9" t="s">
        <v>16</v>
      </c>
      <c r="C9385" s="9" t="n">
        <v>1185732</v>
      </c>
      <c r="D9385" s="10" t="n">
        <v>44322</v>
      </c>
      <c r="E9385" s="9" t="s">
        <v>17</v>
      </c>
      <c r="F9385" s="9" t="s">
        <v>129</v>
      </c>
      <c r="G9385" s="9" t="s">
        <v>130</v>
      </c>
      <c r="H9385" s="11" t="s">
        <v>24</v>
      </c>
      <c r="I9385" s="12" t="n">
        <v>40</v>
      </c>
      <c r="J9385" s="13" t="n">
        <v>54</v>
      </c>
      <c r="K9385" s="14" t="n">
        <f aca="false">I9385*J9385</f>
        <v>2160</v>
      </c>
      <c r="L9385" s="14" t="n">
        <f aca="false">($L$2*M9385)/100</f>
        <v>444616.605</v>
      </c>
      <c r="M9385" s="15" t="n">
        <v>0.37</v>
      </c>
      <c r="N9385" s="9" t="s">
        <v>26</v>
      </c>
    </row>
    <row r="9386" customFormat="false" ht="14.25" hidden="false" customHeight="true" outlineLevel="0" collapsed="false">
      <c r="B9386" s="9" t="s">
        <v>16</v>
      </c>
      <c r="C9386" s="9" t="n">
        <v>1185732</v>
      </c>
      <c r="D9386" s="10" t="n">
        <v>44322</v>
      </c>
      <c r="E9386" s="9" t="s">
        <v>17</v>
      </c>
      <c r="F9386" s="9" t="s">
        <v>129</v>
      </c>
      <c r="G9386" s="9" t="s">
        <v>130</v>
      </c>
      <c r="H9386" s="11" t="s">
        <v>25</v>
      </c>
      <c r="I9386" s="12" t="n">
        <v>36</v>
      </c>
      <c r="J9386" s="13" t="n">
        <v>93</v>
      </c>
      <c r="K9386" s="14" t="n">
        <f aca="false">I9386*J9386</f>
        <v>3348</v>
      </c>
      <c r="L9386" s="14" t="n">
        <f aca="false">($L$2*M9386)/100</f>
        <v>528733.26</v>
      </c>
      <c r="M9386" s="15" t="n">
        <v>0.44</v>
      </c>
      <c r="N9386" s="9" t="s">
        <v>26</v>
      </c>
    </row>
    <row r="9387" customFormat="false" ht="14.25" hidden="false" customHeight="true" outlineLevel="0" collapsed="false">
      <c r="B9387" s="9" t="s">
        <v>16</v>
      </c>
      <c r="C9387" s="9" t="n">
        <v>1185732</v>
      </c>
      <c r="D9387" s="10" t="n">
        <v>44355</v>
      </c>
      <c r="E9387" s="9" t="s">
        <v>17</v>
      </c>
      <c r="F9387" s="9" t="s">
        <v>129</v>
      </c>
      <c r="G9387" s="9" t="s">
        <v>130</v>
      </c>
      <c r="H9387" s="11" t="s">
        <v>19</v>
      </c>
      <c r="I9387" s="12" t="n">
        <v>36</v>
      </c>
      <c r="J9387" s="13" t="n">
        <v>176</v>
      </c>
      <c r="K9387" s="14" t="n">
        <f aca="false">I9387*J9387</f>
        <v>6336</v>
      </c>
      <c r="L9387" s="14" t="n">
        <f aca="false">($L$2*M9387)/100</f>
        <v>480666.6</v>
      </c>
      <c r="M9387" s="15" t="n">
        <v>0.4</v>
      </c>
      <c r="N9387" s="9" t="s">
        <v>26</v>
      </c>
    </row>
    <row r="9388" customFormat="false" ht="14.25" hidden="false" customHeight="true" outlineLevel="0" collapsed="false">
      <c r="B9388" s="9" t="s">
        <v>16</v>
      </c>
      <c r="C9388" s="9" t="n">
        <v>1185732</v>
      </c>
      <c r="D9388" s="10" t="n">
        <v>44355</v>
      </c>
      <c r="E9388" s="9" t="s">
        <v>17</v>
      </c>
      <c r="F9388" s="9" t="s">
        <v>129</v>
      </c>
      <c r="G9388" s="9" t="s">
        <v>130</v>
      </c>
      <c r="H9388" s="11" t="s">
        <v>21</v>
      </c>
      <c r="I9388" s="12" t="n">
        <v>35</v>
      </c>
      <c r="J9388" s="13" t="n">
        <v>105</v>
      </c>
      <c r="K9388" s="14" t="n">
        <f aca="false">I9388*J9388</f>
        <v>3675</v>
      </c>
      <c r="L9388" s="14" t="n">
        <f aca="false">($L$2*M9388)/100</f>
        <v>468649.935</v>
      </c>
      <c r="M9388" s="15" t="n">
        <v>0.39</v>
      </c>
      <c r="N9388" s="9" t="s">
        <v>26</v>
      </c>
    </row>
    <row r="9389" customFormat="false" ht="14.25" hidden="false" customHeight="true" outlineLevel="0" collapsed="false">
      <c r="B9389" s="9" t="s">
        <v>16</v>
      </c>
      <c r="C9389" s="9" t="n">
        <v>1185732</v>
      </c>
      <c r="D9389" s="10" t="n">
        <v>44355</v>
      </c>
      <c r="E9389" s="9" t="s">
        <v>17</v>
      </c>
      <c r="F9389" s="9" t="s">
        <v>129</v>
      </c>
      <c r="G9389" s="9" t="s">
        <v>130</v>
      </c>
      <c r="H9389" s="11" t="s">
        <v>22</v>
      </c>
      <c r="I9389" s="12" t="n">
        <v>32</v>
      </c>
      <c r="J9389" s="13" t="n">
        <v>74</v>
      </c>
      <c r="K9389" s="14" t="n">
        <f aca="false">I9389*J9389</f>
        <v>2368</v>
      </c>
      <c r="L9389" s="14" t="n">
        <f aca="false">($L$2*M9389)/100</f>
        <v>504699.93</v>
      </c>
      <c r="M9389" s="15" t="n">
        <v>0.42</v>
      </c>
      <c r="N9389" s="9" t="s">
        <v>26</v>
      </c>
    </row>
    <row r="9390" customFormat="false" ht="14.25" hidden="false" customHeight="true" outlineLevel="0" collapsed="false">
      <c r="B9390" s="9" t="s">
        <v>16</v>
      </c>
      <c r="C9390" s="9" t="n">
        <v>1185732</v>
      </c>
      <c r="D9390" s="10" t="n">
        <v>44355</v>
      </c>
      <c r="E9390" s="9" t="s">
        <v>17</v>
      </c>
      <c r="F9390" s="9" t="s">
        <v>129</v>
      </c>
      <c r="G9390" s="9" t="s">
        <v>130</v>
      </c>
      <c r="H9390" s="11" t="s">
        <v>23</v>
      </c>
      <c r="I9390" s="12" t="n">
        <v>26</v>
      </c>
      <c r="J9390" s="13" t="n">
        <v>70</v>
      </c>
      <c r="K9390" s="14" t="n">
        <f aca="false">I9390*J9390</f>
        <v>1820</v>
      </c>
      <c r="L9390" s="14" t="n">
        <f aca="false">($L$2*M9390)/100</f>
        <v>552766.59</v>
      </c>
      <c r="M9390" s="15" t="n">
        <v>0.46</v>
      </c>
      <c r="N9390" s="9" t="s">
        <v>26</v>
      </c>
    </row>
    <row r="9391" customFormat="false" ht="14.25" hidden="false" customHeight="true" outlineLevel="0" collapsed="false">
      <c r="B9391" s="9" t="s">
        <v>16</v>
      </c>
      <c r="C9391" s="9" t="n">
        <v>1185732</v>
      </c>
      <c r="D9391" s="10" t="n">
        <v>44355</v>
      </c>
      <c r="E9391" s="9" t="s">
        <v>17</v>
      </c>
      <c r="F9391" s="9" t="s">
        <v>129</v>
      </c>
      <c r="G9391" s="9" t="s">
        <v>130</v>
      </c>
      <c r="H9391" s="11" t="s">
        <v>24</v>
      </c>
      <c r="I9391" s="12" t="n">
        <v>39</v>
      </c>
      <c r="J9391" s="13" t="n">
        <v>66</v>
      </c>
      <c r="K9391" s="14" t="n">
        <f aca="false">I9391*J9391</f>
        <v>2574</v>
      </c>
      <c r="L9391" s="14" t="n">
        <f aca="false">($L$2*M9391)/100</f>
        <v>420583.275</v>
      </c>
      <c r="M9391" s="15" t="n">
        <v>0.35</v>
      </c>
      <c r="N9391" s="9" t="s">
        <v>26</v>
      </c>
    </row>
    <row r="9392" customFormat="false" ht="14.25" hidden="false" customHeight="true" outlineLevel="0" collapsed="false">
      <c r="B9392" s="9" t="s">
        <v>16</v>
      </c>
      <c r="C9392" s="9" t="n">
        <v>1185732</v>
      </c>
      <c r="D9392" s="10" t="n">
        <v>44355</v>
      </c>
      <c r="E9392" s="9" t="s">
        <v>17</v>
      </c>
      <c r="F9392" s="9" t="s">
        <v>129</v>
      </c>
      <c r="G9392" s="9" t="s">
        <v>130</v>
      </c>
      <c r="H9392" s="11" t="s">
        <v>25</v>
      </c>
      <c r="I9392" s="12" t="n">
        <v>43</v>
      </c>
      <c r="J9392" s="13" t="n">
        <v>119</v>
      </c>
      <c r="K9392" s="14" t="n">
        <f aca="false">I9392*J9392</f>
        <v>5117</v>
      </c>
      <c r="L9392" s="14" t="n">
        <f aca="false">($L$2*M9392)/100</f>
        <v>540749.925</v>
      </c>
      <c r="M9392" s="15" t="n">
        <v>0.45</v>
      </c>
      <c r="N9392" s="9" t="s">
        <v>26</v>
      </c>
    </row>
    <row r="9393" customFormat="false" ht="14.25" hidden="false" customHeight="true" outlineLevel="0" collapsed="false">
      <c r="B9393" s="9" t="s">
        <v>16</v>
      </c>
      <c r="C9393" s="9" t="n">
        <v>1185732</v>
      </c>
      <c r="D9393" s="10" t="n">
        <v>44383</v>
      </c>
      <c r="E9393" s="9" t="s">
        <v>17</v>
      </c>
      <c r="F9393" s="9" t="s">
        <v>129</v>
      </c>
      <c r="G9393" s="9" t="s">
        <v>130</v>
      </c>
      <c r="H9393" s="11" t="s">
        <v>19</v>
      </c>
      <c r="I9393" s="12" t="n">
        <v>38</v>
      </c>
      <c r="J9393" s="13" t="n">
        <v>173</v>
      </c>
      <c r="K9393" s="14" t="n">
        <f aca="false">I9393*J9393</f>
        <v>6574</v>
      </c>
      <c r="L9393" s="14" t="n">
        <f aca="false">($L$2*M9393)/100</f>
        <v>456633.27</v>
      </c>
      <c r="M9393" s="15" t="n">
        <v>0.38</v>
      </c>
      <c r="N9393" s="9" t="s">
        <v>26</v>
      </c>
    </row>
    <row r="9394" customFormat="false" ht="14.25" hidden="false" customHeight="true" outlineLevel="0" collapsed="false">
      <c r="B9394" s="9" t="s">
        <v>16</v>
      </c>
      <c r="C9394" s="9" t="n">
        <v>1185732</v>
      </c>
      <c r="D9394" s="10" t="n">
        <v>44383</v>
      </c>
      <c r="E9394" s="9" t="s">
        <v>17</v>
      </c>
      <c r="F9394" s="9" t="s">
        <v>129</v>
      </c>
      <c r="G9394" s="9" t="s">
        <v>130</v>
      </c>
      <c r="H9394" s="11" t="s">
        <v>21</v>
      </c>
      <c r="I9394" s="12" t="n">
        <v>32</v>
      </c>
      <c r="J9394" s="13" t="n">
        <v>114</v>
      </c>
      <c r="K9394" s="14" t="n">
        <f aca="false">I9394*J9394</f>
        <v>3648</v>
      </c>
      <c r="L9394" s="14" t="n">
        <f aca="false">($L$2*M9394)/100</f>
        <v>444616.605</v>
      </c>
      <c r="M9394" s="15" t="n">
        <v>0.37</v>
      </c>
      <c r="N9394" s="9" t="s">
        <v>26</v>
      </c>
    </row>
    <row r="9395" customFormat="false" ht="14.25" hidden="false" customHeight="true" outlineLevel="0" collapsed="false">
      <c r="B9395" s="9" t="s">
        <v>16</v>
      </c>
      <c r="C9395" s="9" t="n">
        <v>1185732</v>
      </c>
      <c r="D9395" s="10" t="n">
        <v>44383</v>
      </c>
      <c r="E9395" s="9" t="s">
        <v>17</v>
      </c>
      <c r="F9395" s="9" t="s">
        <v>129</v>
      </c>
      <c r="G9395" s="9" t="s">
        <v>130</v>
      </c>
      <c r="H9395" s="11" t="s">
        <v>22</v>
      </c>
      <c r="I9395" s="12" t="n">
        <v>27</v>
      </c>
      <c r="J9395" s="13" t="n">
        <v>78</v>
      </c>
      <c r="K9395" s="14" t="n">
        <f aca="false">I9395*J9395</f>
        <v>2106</v>
      </c>
      <c r="L9395" s="14" t="n">
        <f aca="false">($L$2*M9395)/100</f>
        <v>540749.925</v>
      </c>
      <c r="M9395" s="15" t="n">
        <v>0.45</v>
      </c>
      <c r="N9395" s="9" t="s">
        <v>26</v>
      </c>
    </row>
    <row r="9396" customFormat="false" ht="14.25" hidden="false" customHeight="true" outlineLevel="0" collapsed="false">
      <c r="B9396" s="9" t="s">
        <v>16</v>
      </c>
      <c r="C9396" s="9" t="n">
        <v>1185732</v>
      </c>
      <c r="D9396" s="10" t="n">
        <v>44383</v>
      </c>
      <c r="E9396" s="9" t="s">
        <v>17</v>
      </c>
      <c r="F9396" s="9" t="s">
        <v>129</v>
      </c>
      <c r="G9396" s="9" t="s">
        <v>130</v>
      </c>
      <c r="H9396" s="11" t="s">
        <v>23</v>
      </c>
      <c r="I9396" s="12" t="n">
        <v>31</v>
      </c>
      <c r="J9396" s="13" t="n">
        <v>60</v>
      </c>
      <c r="K9396" s="14" t="n">
        <f aca="false">I9396*J9396</f>
        <v>1860</v>
      </c>
      <c r="L9396" s="14" t="n">
        <f aca="false">($L$2*M9396)/100</f>
        <v>552766.59</v>
      </c>
      <c r="M9396" s="15" t="n">
        <v>0.46</v>
      </c>
      <c r="N9396" s="9" t="s">
        <v>26</v>
      </c>
    </row>
    <row r="9397" customFormat="false" ht="14.25" hidden="false" customHeight="true" outlineLevel="0" collapsed="false">
      <c r="B9397" s="9" t="s">
        <v>16</v>
      </c>
      <c r="C9397" s="9" t="n">
        <v>1185732</v>
      </c>
      <c r="D9397" s="10" t="n">
        <v>44383</v>
      </c>
      <c r="E9397" s="9" t="s">
        <v>17</v>
      </c>
      <c r="F9397" s="9" t="s">
        <v>129</v>
      </c>
      <c r="G9397" s="9" t="s">
        <v>130</v>
      </c>
      <c r="H9397" s="11" t="s">
        <v>24</v>
      </c>
      <c r="I9397" s="12" t="n">
        <v>33</v>
      </c>
      <c r="J9397" s="13" t="n">
        <v>68</v>
      </c>
      <c r="K9397" s="14" t="n">
        <f aca="false">I9397*J9397</f>
        <v>2244</v>
      </c>
      <c r="L9397" s="14" t="n">
        <f aca="false">($L$2*M9397)/100</f>
        <v>408566.61</v>
      </c>
      <c r="M9397" s="15" t="n">
        <v>0.34</v>
      </c>
      <c r="N9397" s="9" t="s">
        <v>26</v>
      </c>
    </row>
    <row r="9398" customFormat="false" ht="14.25" hidden="false" customHeight="true" outlineLevel="0" collapsed="false">
      <c r="B9398" s="9" t="s">
        <v>16</v>
      </c>
      <c r="C9398" s="9" t="n">
        <v>1185732</v>
      </c>
      <c r="D9398" s="10" t="n">
        <v>44383</v>
      </c>
      <c r="E9398" s="9" t="s">
        <v>17</v>
      </c>
      <c r="F9398" s="9" t="s">
        <v>129</v>
      </c>
      <c r="G9398" s="9" t="s">
        <v>130</v>
      </c>
      <c r="H9398" s="11" t="s">
        <v>25</v>
      </c>
      <c r="I9398" s="12" t="n">
        <v>38</v>
      </c>
      <c r="J9398" s="13" t="n">
        <v>136</v>
      </c>
      <c r="K9398" s="14" t="n">
        <f aca="false">I9398*J9398</f>
        <v>5168</v>
      </c>
      <c r="L9398" s="14" t="n">
        <f aca="false">($L$2*M9398)/100</f>
        <v>504699.93</v>
      </c>
      <c r="M9398" s="15" t="n">
        <v>0.42</v>
      </c>
      <c r="N9398" s="9" t="s">
        <v>26</v>
      </c>
    </row>
    <row r="9399" customFormat="false" ht="14.25" hidden="false" customHeight="true" outlineLevel="0" collapsed="false">
      <c r="B9399" s="9" t="s">
        <v>16</v>
      </c>
      <c r="C9399" s="9" t="n">
        <v>1185732</v>
      </c>
      <c r="D9399" s="10" t="n">
        <v>44415</v>
      </c>
      <c r="E9399" s="9" t="s">
        <v>17</v>
      </c>
      <c r="F9399" s="9" t="s">
        <v>129</v>
      </c>
      <c r="G9399" s="9" t="s">
        <v>130</v>
      </c>
      <c r="H9399" s="11" t="s">
        <v>19</v>
      </c>
      <c r="I9399" s="12" t="n">
        <v>38</v>
      </c>
      <c r="J9399" s="13" t="n">
        <v>182</v>
      </c>
      <c r="K9399" s="14" t="n">
        <f aca="false">I9399*J9399</f>
        <v>6916</v>
      </c>
      <c r="L9399" s="14" t="n">
        <f aca="false">($L$2*M9399)/100</f>
        <v>492683.265</v>
      </c>
      <c r="M9399" s="15" t="n">
        <v>0.41</v>
      </c>
      <c r="N9399" s="9" t="s">
        <v>26</v>
      </c>
    </row>
    <row r="9400" customFormat="false" ht="14.25" hidden="false" customHeight="true" outlineLevel="0" collapsed="false">
      <c r="B9400" s="9" t="s">
        <v>16</v>
      </c>
      <c r="C9400" s="9" t="n">
        <v>1185732</v>
      </c>
      <c r="D9400" s="10" t="n">
        <v>44415</v>
      </c>
      <c r="E9400" s="9" t="s">
        <v>17</v>
      </c>
      <c r="F9400" s="9" t="s">
        <v>129</v>
      </c>
      <c r="G9400" s="9" t="s">
        <v>130</v>
      </c>
      <c r="H9400" s="11" t="s">
        <v>21</v>
      </c>
      <c r="I9400" s="12" t="n">
        <v>31</v>
      </c>
      <c r="J9400" s="13" t="n">
        <v>111</v>
      </c>
      <c r="K9400" s="14" t="n">
        <f aca="false">I9400*J9400</f>
        <v>3441</v>
      </c>
      <c r="L9400" s="14" t="n">
        <f aca="false">($L$2*M9400)/100</f>
        <v>456633.27</v>
      </c>
      <c r="M9400" s="15" t="n">
        <v>0.38</v>
      </c>
      <c r="N9400" s="9" t="s">
        <v>26</v>
      </c>
    </row>
    <row r="9401" customFormat="false" ht="14.25" hidden="false" customHeight="true" outlineLevel="0" collapsed="false">
      <c r="B9401" s="9" t="s">
        <v>16</v>
      </c>
      <c r="C9401" s="9" t="n">
        <v>1185732</v>
      </c>
      <c r="D9401" s="10" t="n">
        <v>44415</v>
      </c>
      <c r="E9401" s="9" t="s">
        <v>17</v>
      </c>
      <c r="F9401" s="9" t="s">
        <v>129</v>
      </c>
      <c r="G9401" s="9" t="s">
        <v>130</v>
      </c>
      <c r="H9401" s="11" t="s">
        <v>22</v>
      </c>
      <c r="I9401" s="12" t="n">
        <v>30</v>
      </c>
      <c r="J9401" s="13" t="n">
        <v>85</v>
      </c>
      <c r="K9401" s="14" t="n">
        <f aca="false">I9401*J9401</f>
        <v>2550</v>
      </c>
      <c r="L9401" s="14" t="n">
        <f aca="false">($L$2*M9401)/100</f>
        <v>516716.595</v>
      </c>
      <c r="M9401" s="15" t="n">
        <v>0.43</v>
      </c>
      <c r="N9401" s="9" t="s">
        <v>26</v>
      </c>
    </row>
    <row r="9402" customFormat="false" ht="14.25" hidden="false" customHeight="true" outlineLevel="0" collapsed="false">
      <c r="B9402" s="9" t="s">
        <v>16</v>
      </c>
      <c r="C9402" s="9" t="n">
        <v>1185732</v>
      </c>
      <c r="D9402" s="10" t="n">
        <v>44415</v>
      </c>
      <c r="E9402" s="9" t="s">
        <v>17</v>
      </c>
      <c r="F9402" s="9" t="s">
        <v>129</v>
      </c>
      <c r="G9402" s="9" t="s">
        <v>130</v>
      </c>
      <c r="H9402" s="11" t="s">
        <v>23</v>
      </c>
      <c r="I9402" s="12" t="n">
        <v>29</v>
      </c>
      <c r="J9402" s="13" t="n">
        <v>47</v>
      </c>
      <c r="K9402" s="14" t="n">
        <f aca="false">I9402*J9402</f>
        <v>1363</v>
      </c>
      <c r="L9402" s="14" t="n">
        <f aca="false">($L$2*M9402)/100</f>
        <v>516716.595</v>
      </c>
      <c r="M9402" s="15" t="n">
        <v>0.43</v>
      </c>
      <c r="N9402" s="9" t="s">
        <v>26</v>
      </c>
    </row>
    <row r="9403" customFormat="false" ht="14.25" hidden="false" customHeight="true" outlineLevel="0" collapsed="false">
      <c r="B9403" s="9" t="s">
        <v>16</v>
      </c>
      <c r="C9403" s="9" t="n">
        <v>1185732</v>
      </c>
      <c r="D9403" s="10" t="n">
        <v>44415</v>
      </c>
      <c r="E9403" s="9" t="s">
        <v>17</v>
      </c>
      <c r="F9403" s="9" t="s">
        <v>129</v>
      </c>
      <c r="G9403" s="9" t="s">
        <v>130</v>
      </c>
      <c r="H9403" s="11" t="s">
        <v>24</v>
      </c>
      <c r="I9403" s="12" t="n">
        <v>37</v>
      </c>
      <c r="J9403" s="13" t="n">
        <v>40</v>
      </c>
      <c r="K9403" s="14" t="n">
        <f aca="false">I9403*J9403</f>
        <v>1480</v>
      </c>
      <c r="L9403" s="14" t="n">
        <f aca="false">($L$2*M9403)/100</f>
        <v>432599.94</v>
      </c>
      <c r="M9403" s="15" t="n">
        <v>0.36</v>
      </c>
      <c r="N9403" s="9" t="s">
        <v>26</v>
      </c>
    </row>
    <row r="9404" customFormat="false" ht="14.25" hidden="false" customHeight="true" outlineLevel="0" collapsed="false">
      <c r="B9404" s="9" t="s">
        <v>16</v>
      </c>
      <c r="C9404" s="9" t="n">
        <v>1185732</v>
      </c>
      <c r="D9404" s="10" t="n">
        <v>44415</v>
      </c>
      <c r="E9404" s="9" t="s">
        <v>17</v>
      </c>
      <c r="F9404" s="9" t="s">
        <v>129</v>
      </c>
      <c r="G9404" s="9" t="s">
        <v>130</v>
      </c>
      <c r="H9404" s="11" t="s">
        <v>25</v>
      </c>
      <c r="I9404" s="12" t="n">
        <v>38</v>
      </c>
      <c r="J9404" s="13" t="n">
        <v>96</v>
      </c>
      <c r="K9404" s="14" t="n">
        <f aca="false">I9404*J9404</f>
        <v>3648</v>
      </c>
      <c r="L9404" s="14" t="n">
        <f aca="false">($L$2*M9404)/100</f>
        <v>564783.255</v>
      </c>
      <c r="M9404" s="15" t="n">
        <v>0.47</v>
      </c>
      <c r="N9404" s="9" t="s">
        <v>26</v>
      </c>
    </row>
    <row r="9405" customFormat="false" ht="14.25" hidden="false" customHeight="true" outlineLevel="0" collapsed="false">
      <c r="B9405" s="9" t="s">
        <v>16</v>
      </c>
      <c r="C9405" s="9" t="n">
        <v>1185732</v>
      </c>
      <c r="D9405" s="10" t="n">
        <v>44445</v>
      </c>
      <c r="E9405" s="9" t="s">
        <v>17</v>
      </c>
      <c r="F9405" s="9" t="s">
        <v>129</v>
      </c>
      <c r="G9405" s="9" t="s">
        <v>130</v>
      </c>
      <c r="H9405" s="11" t="s">
        <v>19</v>
      </c>
      <c r="I9405" s="12" t="n">
        <v>39</v>
      </c>
      <c r="J9405" s="13" t="n">
        <v>128</v>
      </c>
      <c r="K9405" s="14" t="n">
        <f aca="false">I9405*J9405</f>
        <v>4992</v>
      </c>
      <c r="L9405" s="14" t="n">
        <f aca="false">($L$2*M9405)/100</f>
        <v>504699.93</v>
      </c>
      <c r="M9405" s="15" t="n">
        <v>0.42</v>
      </c>
      <c r="N9405" s="9" t="s">
        <v>26</v>
      </c>
    </row>
    <row r="9406" customFormat="false" ht="14.25" hidden="false" customHeight="true" outlineLevel="0" collapsed="false">
      <c r="B9406" s="9" t="s">
        <v>16</v>
      </c>
      <c r="C9406" s="9" t="n">
        <v>1185732</v>
      </c>
      <c r="D9406" s="10" t="n">
        <v>44445</v>
      </c>
      <c r="E9406" s="9" t="s">
        <v>17</v>
      </c>
      <c r="F9406" s="9" t="s">
        <v>129</v>
      </c>
      <c r="G9406" s="9" t="s">
        <v>130</v>
      </c>
      <c r="H9406" s="11" t="s">
        <v>21</v>
      </c>
      <c r="I9406" s="12" t="n">
        <v>30</v>
      </c>
      <c r="J9406" s="13" t="n">
        <v>79</v>
      </c>
      <c r="K9406" s="14" t="n">
        <f aca="false">I9406*J9406</f>
        <v>2370</v>
      </c>
      <c r="L9406" s="14" t="n">
        <f aca="false">($L$2*M9406)/100</f>
        <v>444616.605</v>
      </c>
      <c r="M9406" s="15" t="n">
        <v>0.37</v>
      </c>
      <c r="N9406" s="9" t="s">
        <v>26</v>
      </c>
    </row>
    <row r="9407" customFormat="false" ht="14.25" hidden="false" customHeight="true" outlineLevel="0" collapsed="false">
      <c r="B9407" s="9" t="s">
        <v>16</v>
      </c>
      <c r="C9407" s="9" t="n">
        <v>1185732</v>
      </c>
      <c r="D9407" s="10" t="n">
        <v>44445</v>
      </c>
      <c r="E9407" s="9" t="s">
        <v>17</v>
      </c>
      <c r="F9407" s="9" t="s">
        <v>129</v>
      </c>
      <c r="G9407" s="9" t="s">
        <v>130</v>
      </c>
      <c r="H9407" s="11" t="s">
        <v>22</v>
      </c>
      <c r="I9407" s="12" t="n">
        <v>29</v>
      </c>
      <c r="J9407" s="13" t="n">
        <v>39</v>
      </c>
      <c r="K9407" s="14" t="n">
        <f aca="false">I9407*J9407</f>
        <v>1131</v>
      </c>
      <c r="L9407" s="14" t="n">
        <f aca="false">($L$2*M9407)/100</f>
        <v>516716.595</v>
      </c>
      <c r="M9407" s="15" t="n">
        <v>0.43</v>
      </c>
      <c r="N9407" s="9" t="s">
        <v>26</v>
      </c>
    </row>
    <row r="9408" customFormat="false" ht="14.25" hidden="false" customHeight="true" outlineLevel="0" collapsed="false">
      <c r="B9408" s="9" t="s">
        <v>16</v>
      </c>
      <c r="C9408" s="9" t="n">
        <v>1185732</v>
      </c>
      <c r="D9408" s="10" t="n">
        <v>44445</v>
      </c>
      <c r="E9408" s="9" t="s">
        <v>17</v>
      </c>
      <c r="F9408" s="9" t="s">
        <v>129</v>
      </c>
      <c r="G9408" s="9" t="s">
        <v>130</v>
      </c>
      <c r="H9408" s="11" t="s">
        <v>23</v>
      </c>
      <c r="I9408" s="12" t="n">
        <v>30</v>
      </c>
      <c r="J9408" s="13" t="n">
        <v>32</v>
      </c>
      <c r="K9408" s="14" t="n">
        <f aca="false">I9408*J9408</f>
        <v>960</v>
      </c>
      <c r="L9408" s="14" t="n">
        <f aca="false">($L$2*M9408)/100</f>
        <v>552766.59</v>
      </c>
      <c r="M9408" s="15" t="n">
        <v>0.46</v>
      </c>
      <c r="N9408" s="9" t="s">
        <v>26</v>
      </c>
    </row>
    <row r="9409" customFormat="false" ht="14.25" hidden="false" customHeight="true" outlineLevel="0" collapsed="false">
      <c r="B9409" s="9" t="s">
        <v>16</v>
      </c>
      <c r="C9409" s="9" t="n">
        <v>1185732</v>
      </c>
      <c r="D9409" s="10" t="n">
        <v>44445</v>
      </c>
      <c r="E9409" s="9" t="s">
        <v>17</v>
      </c>
      <c r="F9409" s="9" t="s">
        <v>129</v>
      </c>
      <c r="G9409" s="9" t="s">
        <v>130</v>
      </c>
      <c r="H9409" s="11" t="s">
        <v>24</v>
      </c>
      <c r="I9409" s="12" t="n">
        <v>34</v>
      </c>
      <c r="J9409" s="13" t="n">
        <v>33</v>
      </c>
      <c r="K9409" s="14" t="n">
        <f aca="false">I9409*J9409</f>
        <v>1122</v>
      </c>
      <c r="L9409" s="14" t="n">
        <f aca="false">($L$2*M9409)/100</f>
        <v>432599.94</v>
      </c>
      <c r="M9409" s="15" t="n">
        <v>0.36</v>
      </c>
      <c r="N9409" s="9" t="s">
        <v>26</v>
      </c>
    </row>
    <row r="9410" customFormat="false" ht="14.25" hidden="false" customHeight="true" outlineLevel="0" collapsed="false">
      <c r="B9410" s="9" t="s">
        <v>16</v>
      </c>
      <c r="C9410" s="9" t="n">
        <v>1185732</v>
      </c>
      <c r="D9410" s="10" t="n">
        <v>44445</v>
      </c>
      <c r="E9410" s="9" t="s">
        <v>17</v>
      </c>
      <c r="F9410" s="9" t="s">
        <v>129</v>
      </c>
      <c r="G9410" s="9" t="s">
        <v>130</v>
      </c>
      <c r="H9410" s="11" t="s">
        <v>25</v>
      </c>
      <c r="I9410" s="12" t="n">
        <v>41</v>
      </c>
      <c r="J9410" s="13" t="n">
        <v>64</v>
      </c>
      <c r="K9410" s="14" t="n">
        <f aca="false">I9410*J9410</f>
        <v>2624</v>
      </c>
      <c r="L9410" s="14" t="n">
        <f aca="false">($L$2*M9410)/100</f>
        <v>540749.925</v>
      </c>
      <c r="M9410" s="15" t="n">
        <v>0.45</v>
      </c>
      <c r="N9410" s="9" t="s">
        <v>26</v>
      </c>
    </row>
    <row r="9411" customFormat="false" ht="14.25" hidden="false" customHeight="true" outlineLevel="0" collapsed="false">
      <c r="B9411" s="9" t="s">
        <v>16</v>
      </c>
      <c r="C9411" s="9" t="n">
        <v>1185732</v>
      </c>
      <c r="D9411" s="10" t="n">
        <v>44477</v>
      </c>
      <c r="E9411" s="9" t="s">
        <v>17</v>
      </c>
      <c r="F9411" s="9" t="s">
        <v>129</v>
      </c>
      <c r="G9411" s="9" t="s">
        <v>130</v>
      </c>
      <c r="H9411" s="11" t="s">
        <v>19</v>
      </c>
      <c r="I9411" s="12" t="n">
        <v>37</v>
      </c>
      <c r="J9411" s="13" t="n">
        <v>113</v>
      </c>
      <c r="K9411" s="14" t="n">
        <f aca="false">I9411*J9411</f>
        <v>4181</v>
      </c>
      <c r="L9411" s="14" t="n">
        <f aca="false">($L$2*M9411)/100</f>
        <v>492683.265</v>
      </c>
      <c r="M9411" s="15" t="n">
        <v>0.41</v>
      </c>
      <c r="N9411" s="9" t="s">
        <v>26</v>
      </c>
    </row>
    <row r="9412" customFormat="false" ht="14.25" hidden="false" customHeight="true" outlineLevel="0" collapsed="false">
      <c r="B9412" s="9" t="s">
        <v>16</v>
      </c>
      <c r="C9412" s="9" t="n">
        <v>1185732</v>
      </c>
      <c r="D9412" s="10" t="n">
        <v>44477</v>
      </c>
      <c r="E9412" s="9" t="s">
        <v>17</v>
      </c>
      <c r="F9412" s="9" t="s">
        <v>129</v>
      </c>
      <c r="G9412" s="9" t="s">
        <v>130</v>
      </c>
      <c r="H9412" s="11" t="s">
        <v>21</v>
      </c>
      <c r="I9412" s="12" t="n">
        <v>38</v>
      </c>
      <c r="J9412" s="13" t="n">
        <v>68</v>
      </c>
      <c r="K9412" s="14" t="n">
        <f aca="false">I9412*J9412</f>
        <v>2584</v>
      </c>
      <c r="L9412" s="14" t="n">
        <f aca="false">($L$2*M9412)/100</f>
        <v>456633.27</v>
      </c>
      <c r="M9412" s="15" t="n">
        <v>0.38</v>
      </c>
      <c r="N9412" s="9" t="s">
        <v>26</v>
      </c>
    </row>
    <row r="9413" customFormat="false" ht="14.25" hidden="false" customHeight="true" outlineLevel="0" collapsed="false">
      <c r="B9413" s="9" t="s">
        <v>16</v>
      </c>
      <c r="C9413" s="9" t="n">
        <v>1185732</v>
      </c>
      <c r="D9413" s="10" t="n">
        <v>44477</v>
      </c>
      <c r="E9413" s="9" t="s">
        <v>17</v>
      </c>
      <c r="F9413" s="9" t="s">
        <v>129</v>
      </c>
      <c r="G9413" s="9" t="s">
        <v>130</v>
      </c>
      <c r="H9413" s="11" t="s">
        <v>22</v>
      </c>
      <c r="I9413" s="12" t="n">
        <v>40</v>
      </c>
      <c r="J9413" s="13" t="n">
        <v>30</v>
      </c>
      <c r="K9413" s="14" t="n">
        <f aca="false">I9413*J9413</f>
        <v>1200</v>
      </c>
      <c r="L9413" s="14" t="n">
        <f aca="false">($L$2*M9413)/100</f>
        <v>528733.26</v>
      </c>
      <c r="M9413" s="15" t="n">
        <v>0.44</v>
      </c>
      <c r="N9413" s="9" t="s">
        <v>26</v>
      </c>
    </row>
    <row r="9414" customFormat="false" ht="14.25" hidden="false" customHeight="true" outlineLevel="0" collapsed="false">
      <c r="B9414" s="9" t="s">
        <v>16</v>
      </c>
      <c r="C9414" s="9" t="n">
        <v>1185732</v>
      </c>
      <c r="D9414" s="10" t="n">
        <v>44477</v>
      </c>
      <c r="E9414" s="9" t="s">
        <v>17</v>
      </c>
      <c r="F9414" s="9" t="s">
        <v>129</v>
      </c>
      <c r="G9414" s="9" t="s">
        <v>130</v>
      </c>
      <c r="H9414" s="11" t="s">
        <v>23</v>
      </c>
      <c r="I9414" s="12" t="n">
        <v>39</v>
      </c>
      <c r="J9414" s="13" t="n">
        <v>23</v>
      </c>
      <c r="K9414" s="14" t="n">
        <f aca="false">I9414*J9414</f>
        <v>897</v>
      </c>
      <c r="L9414" s="14" t="n">
        <f aca="false">($L$2*M9414)/100</f>
        <v>540749.925</v>
      </c>
      <c r="M9414" s="15" t="n">
        <v>0.45</v>
      </c>
      <c r="N9414" s="9" t="s">
        <v>26</v>
      </c>
    </row>
    <row r="9415" customFormat="false" ht="14.25" hidden="false" customHeight="true" outlineLevel="0" collapsed="false">
      <c r="B9415" s="9" t="s">
        <v>16</v>
      </c>
      <c r="C9415" s="9" t="n">
        <v>1185732</v>
      </c>
      <c r="D9415" s="10" t="n">
        <v>44477</v>
      </c>
      <c r="E9415" s="9" t="s">
        <v>17</v>
      </c>
      <c r="F9415" s="9" t="s">
        <v>129</v>
      </c>
      <c r="G9415" s="9" t="s">
        <v>130</v>
      </c>
      <c r="H9415" s="11" t="s">
        <v>24</v>
      </c>
      <c r="I9415" s="12" t="n">
        <v>40</v>
      </c>
      <c r="J9415" s="13" t="n">
        <v>23</v>
      </c>
      <c r="K9415" s="14" t="n">
        <f aca="false">I9415*J9415</f>
        <v>920</v>
      </c>
      <c r="L9415" s="14" t="n">
        <f aca="false">($L$2*M9415)/100</f>
        <v>396549.945</v>
      </c>
      <c r="M9415" s="15" t="n">
        <v>0.33</v>
      </c>
      <c r="N9415" s="9" t="s">
        <v>26</v>
      </c>
    </row>
    <row r="9416" customFormat="false" ht="14.25" hidden="false" customHeight="true" outlineLevel="0" collapsed="false">
      <c r="B9416" s="9" t="s">
        <v>28</v>
      </c>
      <c r="C9416" s="9" t="n">
        <v>1185732</v>
      </c>
      <c r="D9416" s="10" t="n">
        <v>44477</v>
      </c>
      <c r="E9416" s="9" t="s">
        <v>17</v>
      </c>
      <c r="F9416" s="9" t="s">
        <v>129</v>
      </c>
      <c r="G9416" s="9" t="s">
        <v>130</v>
      </c>
      <c r="H9416" s="11" t="s">
        <v>25</v>
      </c>
      <c r="I9416" s="12" t="n">
        <v>47</v>
      </c>
      <c r="J9416" s="13" t="n">
        <v>66</v>
      </c>
      <c r="K9416" s="14" t="n">
        <f aca="false">I9416*J9416</f>
        <v>3102</v>
      </c>
      <c r="L9416" s="14" t="n">
        <f aca="false">($L$2*M9416)/100</f>
        <v>528733.26</v>
      </c>
      <c r="M9416" s="15" t="n">
        <v>0.44</v>
      </c>
      <c r="N9416" s="9" t="s">
        <v>26</v>
      </c>
    </row>
    <row r="9417" customFormat="false" ht="14.25" hidden="false" customHeight="true" outlineLevel="0" collapsed="false">
      <c r="B9417" s="9" t="s">
        <v>28</v>
      </c>
      <c r="C9417" s="9" t="n">
        <v>1185732</v>
      </c>
      <c r="D9417" s="10" t="n">
        <v>44507</v>
      </c>
      <c r="E9417" s="9" t="s">
        <v>17</v>
      </c>
      <c r="F9417" s="9" t="s">
        <v>129</v>
      </c>
      <c r="G9417" s="9" t="s">
        <v>130</v>
      </c>
      <c r="H9417" s="11" t="s">
        <v>19</v>
      </c>
      <c r="I9417" s="12" t="n">
        <v>40</v>
      </c>
      <c r="J9417" s="13" t="n">
        <v>105</v>
      </c>
      <c r="K9417" s="14" t="n">
        <f aca="false">I9417*J9417</f>
        <v>4200</v>
      </c>
      <c r="L9417" s="14" t="n">
        <f aca="false">($L$2*M9417)/100</f>
        <v>504699.93</v>
      </c>
      <c r="M9417" s="15" t="n">
        <v>0.42</v>
      </c>
      <c r="N9417" s="9" t="s">
        <v>26</v>
      </c>
    </row>
    <row r="9418" customFormat="false" ht="14.25" hidden="false" customHeight="true" outlineLevel="0" collapsed="false">
      <c r="B9418" s="9" t="s">
        <v>28</v>
      </c>
      <c r="C9418" s="9" t="n">
        <v>1185732</v>
      </c>
      <c r="D9418" s="10" t="n">
        <v>44507</v>
      </c>
      <c r="E9418" s="9" t="s">
        <v>17</v>
      </c>
      <c r="F9418" s="9" t="s">
        <v>129</v>
      </c>
      <c r="G9418" s="9" t="s">
        <v>130</v>
      </c>
      <c r="H9418" s="11" t="s">
        <v>21</v>
      </c>
      <c r="I9418" s="12" t="n">
        <v>40</v>
      </c>
      <c r="J9418" s="13" t="n">
        <v>74</v>
      </c>
      <c r="K9418" s="14" t="n">
        <f aca="false">I9418*J9418</f>
        <v>2960</v>
      </c>
      <c r="L9418" s="14" t="n">
        <f aca="false">($L$2*M9418)/100</f>
        <v>504699.93</v>
      </c>
      <c r="M9418" s="15" t="n">
        <v>0.42</v>
      </c>
      <c r="N9418" s="9" t="s">
        <v>26</v>
      </c>
    </row>
    <row r="9419" customFormat="false" ht="14.25" hidden="false" customHeight="true" outlineLevel="0" collapsed="false">
      <c r="B9419" s="9" t="s">
        <v>28</v>
      </c>
      <c r="C9419" s="9" t="n">
        <v>1185732</v>
      </c>
      <c r="D9419" s="10" t="n">
        <v>44507</v>
      </c>
      <c r="E9419" s="9" t="s">
        <v>17</v>
      </c>
      <c r="F9419" s="9" t="s">
        <v>129</v>
      </c>
      <c r="G9419" s="9" t="s">
        <v>130</v>
      </c>
      <c r="H9419" s="11" t="s">
        <v>22</v>
      </c>
      <c r="I9419" s="12" t="n">
        <v>37</v>
      </c>
      <c r="J9419" s="13" t="n">
        <v>68</v>
      </c>
      <c r="K9419" s="14" t="n">
        <f aca="false">I9419*J9419</f>
        <v>2516</v>
      </c>
      <c r="L9419" s="14" t="n">
        <f aca="false">($L$2*M9419)/100</f>
        <v>540749.925</v>
      </c>
      <c r="M9419" s="15" t="n">
        <v>0.45</v>
      </c>
      <c r="N9419" s="9" t="s">
        <v>26</v>
      </c>
    </row>
    <row r="9420" customFormat="false" ht="14.25" hidden="false" customHeight="true" outlineLevel="0" collapsed="false">
      <c r="B9420" s="9" t="s">
        <v>28</v>
      </c>
      <c r="C9420" s="9" t="n">
        <v>1185732</v>
      </c>
      <c r="D9420" s="10" t="n">
        <v>44507</v>
      </c>
      <c r="E9420" s="9" t="s">
        <v>17</v>
      </c>
      <c r="F9420" s="9" t="s">
        <v>129</v>
      </c>
      <c r="G9420" s="9" t="s">
        <v>130</v>
      </c>
      <c r="H9420" s="11" t="s">
        <v>23</v>
      </c>
      <c r="I9420" s="12" t="n">
        <v>36</v>
      </c>
      <c r="J9420" s="13" t="n">
        <v>68</v>
      </c>
      <c r="K9420" s="14" t="n">
        <f aca="false">I9420*J9420</f>
        <v>2448</v>
      </c>
      <c r="L9420" s="14" t="n">
        <f aca="false">($L$2*M9420)/100</f>
        <v>540749.925</v>
      </c>
      <c r="M9420" s="15" t="n">
        <v>0.45</v>
      </c>
      <c r="N9420" s="9" t="s">
        <v>26</v>
      </c>
    </row>
    <row r="9421" customFormat="false" ht="14.25" hidden="false" customHeight="true" outlineLevel="0" collapsed="false">
      <c r="B9421" s="9" t="s">
        <v>28</v>
      </c>
      <c r="C9421" s="9" t="n">
        <v>1185732</v>
      </c>
      <c r="D9421" s="10" t="n">
        <v>44507</v>
      </c>
      <c r="E9421" s="9" t="s">
        <v>17</v>
      </c>
      <c r="F9421" s="9" t="s">
        <v>129</v>
      </c>
      <c r="G9421" s="9" t="s">
        <v>130</v>
      </c>
      <c r="H9421" s="11" t="s">
        <v>24</v>
      </c>
      <c r="I9421" s="12" t="n">
        <v>43</v>
      </c>
      <c r="J9421" s="13" t="n">
        <v>61</v>
      </c>
      <c r="K9421" s="14" t="n">
        <f aca="false">I9421*J9421</f>
        <v>2623</v>
      </c>
      <c r="L9421" s="14" t="n">
        <f aca="false">($L$2*M9421)/100</f>
        <v>396549.945</v>
      </c>
      <c r="M9421" s="15" t="n">
        <v>0.33</v>
      </c>
      <c r="N9421" s="9" t="s">
        <v>26</v>
      </c>
    </row>
    <row r="9422" customFormat="false" ht="14.25" hidden="false" customHeight="true" outlineLevel="0" collapsed="false">
      <c r="B9422" s="9" t="s">
        <v>28</v>
      </c>
      <c r="C9422" s="9" t="n">
        <v>1185732</v>
      </c>
      <c r="D9422" s="10" t="n">
        <v>44507</v>
      </c>
      <c r="E9422" s="9" t="s">
        <v>17</v>
      </c>
      <c r="F9422" s="9" t="s">
        <v>129</v>
      </c>
      <c r="G9422" s="9" t="s">
        <v>130</v>
      </c>
      <c r="H9422" s="11" t="s">
        <v>25</v>
      </c>
      <c r="I9422" s="12" t="n">
        <v>46</v>
      </c>
      <c r="J9422" s="13" t="n">
        <v>83</v>
      </c>
      <c r="K9422" s="14" t="n">
        <f aca="false">I9422*J9422</f>
        <v>3818</v>
      </c>
      <c r="L9422" s="14" t="n">
        <f aca="false">($L$2*M9422)/100</f>
        <v>528733.26</v>
      </c>
      <c r="M9422" s="15" t="n">
        <v>0.44</v>
      </c>
      <c r="N9422" s="9" t="s">
        <v>26</v>
      </c>
    </row>
    <row r="9423" customFormat="false" ht="14.25" hidden="false" customHeight="true" outlineLevel="0" collapsed="false">
      <c r="B9423" s="9" t="s">
        <v>28</v>
      </c>
      <c r="C9423" s="9" t="n">
        <v>1185732</v>
      </c>
      <c r="D9423" s="10" t="n">
        <v>44536</v>
      </c>
      <c r="E9423" s="9" t="s">
        <v>17</v>
      </c>
      <c r="F9423" s="9" t="s">
        <v>129</v>
      </c>
      <c r="G9423" s="9" t="s">
        <v>130</v>
      </c>
      <c r="H9423" s="11" t="s">
        <v>19</v>
      </c>
      <c r="I9423" s="12" t="n">
        <v>48</v>
      </c>
      <c r="J9423" s="13" t="n">
        <v>160</v>
      </c>
      <c r="K9423" s="14" t="n">
        <f aca="false">I9423*J9423</f>
        <v>7680</v>
      </c>
      <c r="L9423" s="14" t="n">
        <f aca="false">($L$2*M9423)/100</f>
        <v>468649.935</v>
      </c>
      <c r="M9423" s="15" t="n">
        <v>0.39</v>
      </c>
      <c r="N9423" s="9" t="s">
        <v>26</v>
      </c>
    </row>
    <row r="9424" customFormat="false" ht="14.25" hidden="false" customHeight="true" outlineLevel="0" collapsed="false">
      <c r="B9424" s="9" t="s">
        <v>28</v>
      </c>
      <c r="C9424" s="9" t="n">
        <v>1185732</v>
      </c>
      <c r="D9424" s="10" t="n">
        <v>44536</v>
      </c>
      <c r="E9424" s="9" t="s">
        <v>17</v>
      </c>
      <c r="F9424" s="9" t="s">
        <v>129</v>
      </c>
      <c r="G9424" s="9" t="s">
        <v>130</v>
      </c>
      <c r="H9424" s="11" t="s">
        <v>21</v>
      </c>
      <c r="I9424" s="12" t="n">
        <v>37</v>
      </c>
      <c r="J9424" s="13" t="n">
        <v>102</v>
      </c>
      <c r="K9424" s="14" t="n">
        <f aca="false">I9424*J9424</f>
        <v>3774</v>
      </c>
      <c r="L9424" s="14" t="n">
        <f aca="false">($L$2*M9424)/100</f>
        <v>444616.605</v>
      </c>
      <c r="M9424" s="15" t="n">
        <v>0.37</v>
      </c>
      <c r="N9424" s="9" t="s">
        <v>26</v>
      </c>
    </row>
    <row r="9425" customFormat="false" ht="14.25" hidden="false" customHeight="true" outlineLevel="0" collapsed="false">
      <c r="B9425" s="9" t="s">
        <v>28</v>
      </c>
      <c r="C9425" s="9" t="n">
        <v>1185732</v>
      </c>
      <c r="D9425" s="10" t="n">
        <v>44536</v>
      </c>
      <c r="E9425" s="9" t="s">
        <v>17</v>
      </c>
      <c r="F9425" s="9" t="s">
        <v>129</v>
      </c>
      <c r="G9425" s="9" t="s">
        <v>130</v>
      </c>
      <c r="H9425" s="11" t="s">
        <v>22</v>
      </c>
      <c r="I9425" s="12" t="n">
        <v>40</v>
      </c>
      <c r="J9425" s="13" t="n">
        <v>88</v>
      </c>
      <c r="K9425" s="14" t="n">
        <f aca="false">I9425*J9425</f>
        <v>3520</v>
      </c>
      <c r="L9425" s="14" t="n">
        <f aca="false">($L$2*M9425)/100</f>
        <v>564783.255</v>
      </c>
      <c r="M9425" s="15" t="n">
        <v>0.47</v>
      </c>
      <c r="N9425" s="9" t="s">
        <v>26</v>
      </c>
    </row>
    <row r="9426" customFormat="false" ht="14.25" hidden="false" customHeight="true" outlineLevel="0" collapsed="false">
      <c r="B9426" s="9" t="s">
        <v>28</v>
      </c>
      <c r="C9426" s="9" t="n">
        <v>1185732</v>
      </c>
      <c r="D9426" s="10" t="n">
        <v>44536</v>
      </c>
      <c r="E9426" s="9" t="s">
        <v>17</v>
      </c>
      <c r="F9426" s="9" t="s">
        <v>129</v>
      </c>
      <c r="G9426" s="9" t="s">
        <v>130</v>
      </c>
      <c r="H9426" s="11" t="s">
        <v>23</v>
      </c>
      <c r="I9426" s="12" t="n">
        <v>34</v>
      </c>
      <c r="J9426" s="13" t="n">
        <v>77</v>
      </c>
      <c r="K9426" s="14" t="n">
        <f aca="false">I9426*J9426</f>
        <v>2618</v>
      </c>
      <c r="L9426" s="14" t="n">
        <f aca="false">($L$2*M9426)/100</f>
        <v>516716.595</v>
      </c>
      <c r="M9426" s="15" t="n">
        <v>0.43</v>
      </c>
      <c r="N9426" s="9" t="s">
        <v>26</v>
      </c>
    </row>
    <row r="9427" customFormat="false" ht="14.25" hidden="false" customHeight="true" outlineLevel="0" collapsed="false">
      <c r="B9427" s="9" t="s">
        <v>28</v>
      </c>
      <c r="C9427" s="9" t="n">
        <v>1185732</v>
      </c>
      <c r="D9427" s="10" t="n">
        <v>44536</v>
      </c>
      <c r="E9427" s="9" t="s">
        <v>17</v>
      </c>
      <c r="F9427" s="9" t="s">
        <v>129</v>
      </c>
      <c r="G9427" s="9" t="s">
        <v>130</v>
      </c>
      <c r="H9427" s="11" t="s">
        <v>24</v>
      </c>
      <c r="I9427" s="12" t="n">
        <v>41</v>
      </c>
      <c r="J9427" s="13" t="n">
        <v>74</v>
      </c>
      <c r="K9427" s="14" t="n">
        <f aca="false">I9427*J9427</f>
        <v>3034</v>
      </c>
      <c r="L9427" s="14" t="n">
        <f aca="false">($L$2*M9427)/100</f>
        <v>444616.605</v>
      </c>
      <c r="M9427" s="15" t="n">
        <v>0.37</v>
      </c>
      <c r="N9427" s="9" t="s">
        <v>26</v>
      </c>
    </row>
    <row r="9428" customFormat="false" ht="14.25" hidden="false" customHeight="true" outlineLevel="0" collapsed="false">
      <c r="B9428" s="9" t="s">
        <v>28</v>
      </c>
      <c r="C9428" s="9" t="n">
        <v>1185732</v>
      </c>
      <c r="D9428" s="10" t="n">
        <v>44536</v>
      </c>
      <c r="E9428" s="9" t="s">
        <v>17</v>
      </c>
      <c r="F9428" s="9" t="s">
        <v>129</v>
      </c>
      <c r="G9428" s="9" t="s">
        <v>130</v>
      </c>
      <c r="H9428" s="11" t="s">
        <v>25</v>
      </c>
      <c r="I9428" s="12" t="n">
        <v>51</v>
      </c>
      <c r="J9428" s="13" t="n">
        <v>111</v>
      </c>
      <c r="K9428" s="14" t="n">
        <f aca="false">I9428*J9428</f>
        <v>5661</v>
      </c>
      <c r="L9428" s="14" t="n">
        <f aca="false">($L$2*M9428)/100</f>
        <v>516716.595</v>
      </c>
      <c r="M9428" s="15" t="n">
        <v>0.43</v>
      </c>
      <c r="N9428" s="9" t="s">
        <v>26</v>
      </c>
    </row>
    <row r="9429" customFormat="false" ht="14.25" hidden="false" customHeight="true" outlineLevel="0" collapsed="false">
      <c r="B9429" s="9" t="s">
        <v>28</v>
      </c>
      <c r="C9429" s="9" t="n">
        <v>1185732</v>
      </c>
      <c r="D9429" s="10" t="n">
        <v>44213</v>
      </c>
      <c r="E9429" s="9" t="s">
        <v>17</v>
      </c>
      <c r="F9429" s="9" t="s">
        <v>129</v>
      </c>
      <c r="G9429" s="9" t="s">
        <v>130</v>
      </c>
      <c r="H9429" s="11" t="s">
        <v>19</v>
      </c>
      <c r="I9429" s="12" t="n">
        <v>28</v>
      </c>
      <c r="J9429" s="13" t="n">
        <v>140</v>
      </c>
      <c r="K9429" s="14" t="n">
        <f aca="false">I9429*J9429</f>
        <v>3920</v>
      </c>
      <c r="L9429" s="14" t="n">
        <f aca="false">($L$2*M9429)/100</f>
        <v>396549.945</v>
      </c>
      <c r="M9429" s="15" t="n">
        <v>0.33</v>
      </c>
      <c r="N9429" s="9" t="s">
        <v>26</v>
      </c>
    </row>
    <row r="9430" customFormat="false" ht="14.25" hidden="false" customHeight="true" outlineLevel="0" collapsed="false">
      <c r="B9430" s="9" t="s">
        <v>28</v>
      </c>
      <c r="C9430" s="9" t="n">
        <v>1185732</v>
      </c>
      <c r="D9430" s="10" t="n">
        <v>44213</v>
      </c>
      <c r="E9430" s="9" t="s">
        <v>17</v>
      </c>
      <c r="F9430" s="9" t="s">
        <v>129</v>
      </c>
      <c r="G9430" s="9" t="s">
        <v>130</v>
      </c>
      <c r="H9430" s="11" t="s">
        <v>21</v>
      </c>
      <c r="I9430" s="12" t="n">
        <v>28</v>
      </c>
      <c r="J9430" s="13" t="n">
        <v>88</v>
      </c>
      <c r="K9430" s="14" t="n">
        <f aca="false">I9430*J9430</f>
        <v>2464</v>
      </c>
      <c r="L9430" s="14" t="n">
        <f aca="false">($L$2*M9430)/100</f>
        <v>408566.61</v>
      </c>
      <c r="M9430" s="15" t="n">
        <v>0.34</v>
      </c>
      <c r="N9430" s="9" t="s">
        <v>26</v>
      </c>
    </row>
    <row r="9431" customFormat="false" ht="14.25" hidden="false" customHeight="true" outlineLevel="0" collapsed="false">
      <c r="B9431" s="9" t="s">
        <v>28</v>
      </c>
      <c r="C9431" s="9" t="n">
        <v>1185732</v>
      </c>
      <c r="D9431" s="10" t="n">
        <v>44213</v>
      </c>
      <c r="E9431" s="9" t="s">
        <v>17</v>
      </c>
      <c r="F9431" s="9" t="s">
        <v>129</v>
      </c>
      <c r="G9431" s="9" t="s">
        <v>130</v>
      </c>
      <c r="H9431" s="11" t="s">
        <v>22</v>
      </c>
      <c r="I9431" s="12" t="n">
        <v>22</v>
      </c>
      <c r="J9431" s="13" t="n">
        <v>75</v>
      </c>
      <c r="K9431" s="14" t="n">
        <f aca="false">I9431*J9431</f>
        <v>1650</v>
      </c>
      <c r="L9431" s="14" t="n">
        <f aca="false">($L$2*M9431)/100</f>
        <v>348483.285</v>
      </c>
      <c r="M9431" s="15" t="n">
        <v>0.29</v>
      </c>
      <c r="N9431" s="9" t="s">
        <v>26</v>
      </c>
    </row>
    <row r="9432" customFormat="false" ht="14.25" hidden="false" customHeight="true" outlineLevel="0" collapsed="false">
      <c r="B9432" s="9" t="s">
        <v>28</v>
      </c>
      <c r="C9432" s="9" t="n">
        <v>1185732</v>
      </c>
      <c r="D9432" s="10" t="n">
        <v>44213</v>
      </c>
      <c r="E9432" s="9" t="s">
        <v>17</v>
      </c>
      <c r="F9432" s="9" t="s">
        <v>129</v>
      </c>
      <c r="G9432" s="9" t="s">
        <v>130</v>
      </c>
      <c r="H9432" s="11" t="s">
        <v>23</v>
      </c>
      <c r="I9432" s="12" t="n">
        <v>25</v>
      </c>
      <c r="J9432" s="13" t="n">
        <v>33</v>
      </c>
      <c r="K9432" s="14" t="n">
        <f aca="false">I9432*J9432</f>
        <v>825</v>
      </c>
      <c r="L9432" s="14" t="n">
        <f aca="false">($L$2*M9432)/100</f>
        <v>372516.615</v>
      </c>
      <c r="M9432" s="15" t="n">
        <v>0.31</v>
      </c>
      <c r="N9432" s="9" t="s">
        <v>26</v>
      </c>
    </row>
    <row r="9433" customFormat="false" ht="14.25" hidden="false" customHeight="true" outlineLevel="0" collapsed="false">
      <c r="B9433" s="9" t="s">
        <v>28</v>
      </c>
      <c r="C9433" s="9" t="n">
        <v>1185732</v>
      </c>
      <c r="D9433" s="10" t="n">
        <v>44213</v>
      </c>
      <c r="E9433" s="9" t="s">
        <v>17</v>
      </c>
      <c r="F9433" s="9" t="s">
        <v>129</v>
      </c>
      <c r="G9433" s="9" t="s">
        <v>130</v>
      </c>
      <c r="H9433" s="11" t="s">
        <v>24</v>
      </c>
      <c r="I9433" s="12" t="n">
        <v>39</v>
      </c>
      <c r="J9433" s="13" t="n">
        <v>47</v>
      </c>
      <c r="K9433" s="14" t="n">
        <f aca="false">I9433*J9433</f>
        <v>1833</v>
      </c>
      <c r="L9433" s="14" t="n">
        <f aca="false">($L$2*M9433)/100</f>
        <v>384533.28</v>
      </c>
      <c r="M9433" s="15" t="n">
        <v>0.32</v>
      </c>
      <c r="N9433" s="9" t="s">
        <v>26</v>
      </c>
    </row>
    <row r="9434" customFormat="false" ht="14.25" hidden="false" customHeight="true" outlineLevel="0" collapsed="false">
      <c r="B9434" s="9" t="s">
        <v>28</v>
      </c>
      <c r="C9434" s="9" t="n">
        <v>1185732</v>
      </c>
      <c r="D9434" s="10" t="n">
        <v>44213</v>
      </c>
      <c r="E9434" s="9" t="s">
        <v>17</v>
      </c>
      <c r="F9434" s="9" t="s">
        <v>129</v>
      </c>
      <c r="G9434" s="9" t="s">
        <v>130</v>
      </c>
      <c r="H9434" s="11" t="s">
        <v>25</v>
      </c>
      <c r="I9434" s="12" t="n">
        <v>26</v>
      </c>
      <c r="J9434" s="13" t="n">
        <v>83</v>
      </c>
      <c r="K9434" s="14" t="n">
        <f aca="false">I9434*J9434</f>
        <v>2158</v>
      </c>
      <c r="L9434" s="14" t="n">
        <f aca="false">($L$2*M9434)/100</f>
        <v>408566.61</v>
      </c>
      <c r="M9434" s="15" t="n">
        <v>0.34</v>
      </c>
      <c r="N9434" s="9" t="s">
        <v>26</v>
      </c>
    </row>
    <row r="9435" customFormat="false" ht="14.25" hidden="false" customHeight="true" outlineLevel="0" collapsed="false">
      <c r="B9435" s="9" t="s">
        <v>28</v>
      </c>
      <c r="C9435" s="9" t="n">
        <v>1185732</v>
      </c>
      <c r="D9435" s="10" t="n">
        <v>44242</v>
      </c>
      <c r="E9435" s="9" t="s">
        <v>17</v>
      </c>
      <c r="F9435" s="9" t="s">
        <v>129</v>
      </c>
      <c r="G9435" s="9" t="s">
        <v>130</v>
      </c>
      <c r="H9435" s="11" t="s">
        <v>19</v>
      </c>
      <c r="I9435" s="12" t="n">
        <v>26</v>
      </c>
      <c r="J9435" s="13" t="n">
        <v>155</v>
      </c>
      <c r="K9435" s="14" t="n">
        <f aca="false">I9435*J9435</f>
        <v>4030</v>
      </c>
      <c r="L9435" s="14" t="n">
        <f aca="false">($L$2*M9435)/100</f>
        <v>444616.605</v>
      </c>
      <c r="M9435" s="15" t="n">
        <v>0.37</v>
      </c>
      <c r="N9435" s="9" t="s">
        <v>26</v>
      </c>
    </row>
    <row r="9436" customFormat="false" ht="14.25" hidden="false" customHeight="true" outlineLevel="0" collapsed="false">
      <c r="B9436" s="9" t="s">
        <v>28</v>
      </c>
      <c r="C9436" s="9" t="n">
        <v>1185732</v>
      </c>
      <c r="D9436" s="10" t="n">
        <v>44242</v>
      </c>
      <c r="E9436" s="9" t="s">
        <v>17</v>
      </c>
      <c r="F9436" s="9" t="s">
        <v>129</v>
      </c>
      <c r="G9436" s="9" t="s">
        <v>130</v>
      </c>
      <c r="H9436" s="11" t="s">
        <v>21</v>
      </c>
      <c r="I9436" s="12" t="n">
        <v>31</v>
      </c>
      <c r="J9436" s="13" t="n">
        <v>53</v>
      </c>
      <c r="K9436" s="14" t="n">
        <f aca="false">I9436*J9436</f>
        <v>1643</v>
      </c>
      <c r="L9436" s="14" t="n">
        <f aca="false">($L$2*M9436)/100</f>
        <v>420583.275</v>
      </c>
      <c r="M9436" s="15" t="n">
        <v>0.35</v>
      </c>
      <c r="N9436" s="9" t="s">
        <v>26</v>
      </c>
    </row>
    <row r="9437" customFormat="false" ht="14.25" hidden="false" customHeight="true" outlineLevel="0" collapsed="false">
      <c r="B9437" s="9" t="s">
        <v>28</v>
      </c>
      <c r="C9437" s="9" t="n">
        <v>1185732</v>
      </c>
      <c r="D9437" s="10" t="n">
        <v>44242</v>
      </c>
      <c r="E9437" s="9" t="s">
        <v>17</v>
      </c>
      <c r="F9437" s="9" t="s">
        <v>129</v>
      </c>
      <c r="G9437" s="9" t="s">
        <v>130</v>
      </c>
      <c r="H9437" s="11" t="s">
        <v>22</v>
      </c>
      <c r="I9437" s="12" t="n">
        <v>24</v>
      </c>
      <c r="J9437" s="13" t="n">
        <v>70</v>
      </c>
      <c r="K9437" s="14" t="n">
        <f aca="false">I9437*J9437</f>
        <v>1680</v>
      </c>
      <c r="L9437" s="14" t="n">
        <f aca="false">($L$2*M9437)/100</f>
        <v>348483.285</v>
      </c>
      <c r="M9437" s="15" t="n">
        <v>0.29</v>
      </c>
      <c r="N9437" s="9" t="s">
        <v>26</v>
      </c>
    </row>
    <row r="9438" customFormat="false" ht="14.25" hidden="false" customHeight="true" outlineLevel="0" collapsed="false">
      <c r="B9438" s="9" t="s">
        <v>28</v>
      </c>
      <c r="C9438" s="9" t="n">
        <v>1185732</v>
      </c>
      <c r="D9438" s="10" t="n">
        <v>44242</v>
      </c>
      <c r="E9438" s="9" t="s">
        <v>17</v>
      </c>
      <c r="F9438" s="9" t="s">
        <v>131</v>
      </c>
      <c r="G9438" s="9" t="s">
        <v>132</v>
      </c>
      <c r="H9438" s="11" t="s">
        <v>23</v>
      </c>
      <c r="I9438" s="12" t="n">
        <v>27</v>
      </c>
      <c r="J9438" s="13" t="n">
        <v>75</v>
      </c>
      <c r="K9438" s="14" t="n">
        <f aca="false">I9438*J9438</f>
        <v>2025</v>
      </c>
      <c r="L9438" s="14" t="n">
        <f aca="false">($L$2*M9438)/100</f>
        <v>384533.28</v>
      </c>
      <c r="M9438" s="15" t="n">
        <v>0.32</v>
      </c>
      <c r="N9438" s="9" t="s">
        <v>26</v>
      </c>
    </row>
    <row r="9439" customFormat="false" ht="14.25" hidden="false" customHeight="true" outlineLevel="0" collapsed="false">
      <c r="B9439" s="9" t="s">
        <v>28</v>
      </c>
      <c r="C9439" s="9" t="n">
        <v>1185732</v>
      </c>
      <c r="D9439" s="10" t="n">
        <v>44242</v>
      </c>
      <c r="E9439" s="9" t="s">
        <v>17</v>
      </c>
      <c r="F9439" s="9" t="s">
        <v>131</v>
      </c>
      <c r="G9439" s="9" t="s">
        <v>132</v>
      </c>
      <c r="H9439" s="11" t="s">
        <v>24</v>
      </c>
      <c r="I9439" s="12" t="n">
        <v>36</v>
      </c>
      <c r="J9439" s="13" t="n">
        <v>53</v>
      </c>
      <c r="K9439" s="14" t="n">
        <f aca="false">I9439*J9439</f>
        <v>1908</v>
      </c>
      <c r="L9439" s="14" t="n">
        <f aca="false">($L$2*M9439)/100</f>
        <v>324449.955</v>
      </c>
      <c r="M9439" s="15" t="n">
        <v>0.27</v>
      </c>
      <c r="N9439" s="9" t="s">
        <v>26</v>
      </c>
    </row>
    <row r="9440" customFormat="false" ht="14.25" hidden="false" customHeight="true" outlineLevel="0" collapsed="false">
      <c r="B9440" s="9" t="s">
        <v>28</v>
      </c>
      <c r="C9440" s="9" t="n">
        <v>1185732</v>
      </c>
      <c r="D9440" s="10" t="n">
        <v>44242</v>
      </c>
      <c r="E9440" s="9" t="s">
        <v>17</v>
      </c>
      <c r="F9440" s="9" t="s">
        <v>131</v>
      </c>
      <c r="G9440" s="9" t="s">
        <v>132</v>
      </c>
      <c r="H9440" s="11" t="s">
        <v>25</v>
      </c>
      <c r="I9440" s="12" t="n">
        <v>30</v>
      </c>
      <c r="J9440" s="13" t="n">
        <v>80</v>
      </c>
      <c r="K9440" s="14" t="n">
        <f aca="false">I9440*J9440</f>
        <v>2400</v>
      </c>
      <c r="L9440" s="14" t="n">
        <f aca="false">($L$2*M9440)/100</f>
        <v>384533.28</v>
      </c>
      <c r="M9440" s="15" t="n">
        <v>0.32</v>
      </c>
      <c r="N9440" s="9" t="s">
        <v>26</v>
      </c>
    </row>
    <row r="9441" customFormat="false" ht="14.25" hidden="false" customHeight="true" outlineLevel="0" collapsed="false">
      <c r="B9441" s="9" t="s">
        <v>28</v>
      </c>
      <c r="C9441" s="9" t="n">
        <v>1185732</v>
      </c>
      <c r="D9441" s="10" t="n">
        <v>44268</v>
      </c>
      <c r="E9441" s="9" t="s">
        <v>17</v>
      </c>
      <c r="F9441" s="9" t="s">
        <v>131</v>
      </c>
      <c r="G9441" s="9" t="s">
        <v>132</v>
      </c>
      <c r="H9441" s="11" t="s">
        <v>19</v>
      </c>
      <c r="I9441" s="12" t="n">
        <v>28</v>
      </c>
      <c r="J9441" s="13" t="n">
        <v>155</v>
      </c>
      <c r="K9441" s="14" t="n">
        <f aca="false">I9441*J9441</f>
        <v>4340</v>
      </c>
      <c r="L9441" s="14" t="n">
        <f aca="false">($L$2*M9441)/100</f>
        <v>408566.61</v>
      </c>
      <c r="M9441" s="15" t="n">
        <v>0.34</v>
      </c>
      <c r="N9441" s="9" t="s">
        <v>26</v>
      </c>
    </row>
    <row r="9442" customFormat="false" ht="14.25" hidden="false" customHeight="true" outlineLevel="0" collapsed="false">
      <c r="B9442" s="9" t="s">
        <v>28</v>
      </c>
      <c r="C9442" s="9" t="n">
        <v>1185732</v>
      </c>
      <c r="D9442" s="10" t="n">
        <v>44268</v>
      </c>
      <c r="E9442" s="9" t="s">
        <v>17</v>
      </c>
      <c r="F9442" s="9" t="s">
        <v>131</v>
      </c>
      <c r="G9442" s="9" t="s">
        <v>132</v>
      </c>
      <c r="H9442" s="11" t="s">
        <v>21</v>
      </c>
      <c r="I9442" s="12" t="n">
        <v>31</v>
      </c>
      <c r="J9442" s="13" t="n">
        <v>61</v>
      </c>
      <c r="K9442" s="14" t="n">
        <f aca="false">I9442*J9442</f>
        <v>1891</v>
      </c>
      <c r="L9442" s="14" t="n">
        <f aca="false">($L$2*M9442)/100</f>
        <v>408566.61</v>
      </c>
      <c r="M9442" s="15" t="n">
        <v>0.34</v>
      </c>
      <c r="N9442" s="9" t="s">
        <v>26</v>
      </c>
    </row>
    <row r="9443" customFormat="false" ht="14.25" hidden="false" customHeight="true" outlineLevel="0" collapsed="false">
      <c r="B9443" s="9" t="s">
        <v>28</v>
      </c>
      <c r="C9443" s="9" t="n">
        <v>1185732</v>
      </c>
      <c r="D9443" s="10" t="n">
        <v>44268</v>
      </c>
      <c r="E9443" s="9" t="s">
        <v>17</v>
      </c>
      <c r="F9443" s="9" t="s">
        <v>131</v>
      </c>
      <c r="G9443" s="9" t="s">
        <v>132</v>
      </c>
      <c r="H9443" s="11" t="s">
        <v>22</v>
      </c>
      <c r="I9443" s="12" t="n">
        <v>23</v>
      </c>
      <c r="J9443" s="13" t="n">
        <v>60</v>
      </c>
      <c r="K9443" s="14" t="n">
        <f aca="false">I9443*J9443</f>
        <v>1380</v>
      </c>
      <c r="L9443" s="14" t="n">
        <f aca="false">($L$2*M9443)/100</f>
        <v>384533.28</v>
      </c>
      <c r="M9443" s="15" t="n">
        <v>0.32</v>
      </c>
      <c r="N9443" s="9" t="s">
        <v>26</v>
      </c>
    </row>
    <row r="9444" customFormat="false" ht="14.25" hidden="false" customHeight="true" outlineLevel="0" collapsed="false">
      <c r="B9444" s="9" t="s">
        <v>28</v>
      </c>
      <c r="C9444" s="9" t="n">
        <v>1185732</v>
      </c>
      <c r="D9444" s="10" t="n">
        <v>44268</v>
      </c>
      <c r="E9444" s="9" t="s">
        <v>17</v>
      </c>
      <c r="F9444" s="9" t="s">
        <v>131</v>
      </c>
      <c r="G9444" s="9" t="s">
        <v>132</v>
      </c>
      <c r="H9444" s="11" t="s">
        <v>23</v>
      </c>
      <c r="I9444" s="12" t="n">
        <v>25</v>
      </c>
      <c r="J9444" s="13" t="n">
        <v>93</v>
      </c>
      <c r="K9444" s="14" t="n">
        <f aca="false">I9444*J9444</f>
        <v>2325</v>
      </c>
      <c r="L9444" s="14" t="n">
        <f aca="false">($L$2*M9444)/100</f>
        <v>336466.62</v>
      </c>
      <c r="M9444" s="15" t="n">
        <v>0.28</v>
      </c>
      <c r="N9444" s="9" t="s">
        <v>26</v>
      </c>
    </row>
    <row r="9445" customFormat="false" ht="14.25" hidden="false" customHeight="true" outlineLevel="0" collapsed="false">
      <c r="B9445" s="9" t="s">
        <v>28</v>
      </c>
      <c r="C9445" s="9" t="n">
        <v>1185732</v>
      </c>
      <c r="D9445" s="10" t="n">
        <v>44268</v>
      </c>
      <c r="E9445" s="9" t="s">
        <v>17</v>
      </c>
      <c r="F9445" s="9" t="s">
        <v>131</v>
      </c>
      <c r="G9445" s="9" t="s">
        <v>132</v>
      </c>
      <c r="H9445" s="11" t="s">
        <v>24</v>
      </c>
      <c r="I9445" s="12" t="n">
        <v>36</v>
      </c>
      <c r="J9445" s="13" t="n">
        <v>31</v>
      </c>
      <c r="K9445" s="14" t="n">
        <f aca="false">I9445*J9445</f>
        <v>1116</v>
      </c>
      <c r="L9445" s="14" t="n">
        <f aca="false">($L$2*M9445)/100</f>
        <v>360499.95</v>
      </c>
      <c r="M9445" s="15" t="n">
        <v>0.3</v>
      </c>
      <c r="N9445" s="9" t="s">
        <v>26</v>
      </c>
    </row>
    <row r="9446" customFormat="false" ht="14.25" hidden="false" customHeight="true" outlineLevel="0" collapsed="false">
      <c r="B9446" s="9" t="s">
        <v>28</v>
      </c>
      <c r="C9446" s="9" t="n">
        <v>1185732</v>
      </c>
      <c r="D9446" s="10" t="n">
        <v>44268</v>
      </c>
      <c r="E9446" s="9" t="s">
        <v>17</v>
      </c>
      <c r="F9446" s="9" t="s">
        <v>131</v>
      </c>
      <c r="G9446" s="9" t="s">
        <v>132</v>
      </c>
      <c r="H9446" s="11" t="s">
        <v>25</v>
      </c>
      <c r="I9446" s="12" t="n">
        <v>31</v>
      </c>
      <c r="J9446" s="13" t="n">
        <v>68</v>
      </c>
      <c r="K9446" s="14" t="n">
        <f aca="false">I9446*J9446</f>
        <v>2108</v>
      </c>
      <c r="L9446" s="14" t="n">
        <f aca="false">($L$2*M9446)/100</f>
        <v>444616.605</v>
      </c>
      <c r="M9446" s="15" t="n">
        <v>0.37</v>
      </c>
      <c r="N9446" s="9" t="s">
        <v>26</v>
      </c>
    </row>
    <row r="9447" customFormat="false" ht="14.25" hidden="false" customHeight="true" outlineLevel="0" collapsed="false">
      <c r="B9447" s="9" t="s">
        <v>28</v>
      </c>
      <c r="C9447" s="9" t="n">
        <v>1185732</v>
      </c>
      <c r="D9447" s="10" t="n">
        <v>44300</v>
      </c>
      <c r="E9447" s="9" t="s">
        <v>17</v>
      </c>
      <c r="F9447" s="9" t="s">
        <v>131</v>
      </c>
      <c r="G9447" s="9" t="s">
        <v>132</v>
      </c>
      <c r="H9447" s="11" t="s">
        <v>19</v>
      </c>
      <c r="I9447" s="12" t="n">
        <v>28</v>
      </c>
      <c r="J9447" s="13" t="n">
        <v>149</v>
      </c>
      <c r="K9447" s="14" t="n">
        <f aca="false">I9447*J9447</f>
        <v>4172</v>
      </c>
      <c r="L9447" s="14" t="n">
        <f aca="false">($L$2*M9447)/100</f>
        <v>396549.945</v>
      </c>
      <c r="M9447" s="15" t="n">
        <v>0.33</v>
      </c>
      <c r="N9447" s="9" t="s">
        <v>26</v>
      </c>
    </row>
    <row r="9448" customFormat="false" ht="14.25" hidden="false" customHeight="true" outlineLevel="0" collapsed="false">
      <c r="B9448" s="9" t="s">
        <v>28</v>
      </c>
      <c r="C9448" s="9" t="n">
        <v>1185732</v>
      </c>
      <c r="D9448" s="10" t="n">
        <v>44300</v>
      </c>
      <c r="E9448" s="9" t="s">
        <v>17</v>
      </c>
      <c r="F9448" s="9" t="s">
        <v>131</v>
      </c>
      <c r="G9448" s="9" t="s">
        <v>132</v>
      </c>
      <c r="H9448" s="11" t="s">
        <v>21</v>
      </c>
      <c r="I9448" s="12" t="n">
        <v>28</v>
      </c>
      <c r="J9448" s="13" t="n">
        <v>51</v>
      </c>
      <c r="K9448" s="14" t="n">
        <f aca="false">I9448*J9448</f>
        <v>1428</v>
      </c>
      <c r="L9448" s="14" t="n">
        <f aca="false">($L$2*M9448)/100</f>
        <v>432599.94</v>
      </c>
      <c r="M9448" s="15" t="n">
        <v>0.36</v>
      </c>
      <c r="N9448" s="9" t="s">
        <v>26</v>
      </c>
    </row>
    <row r="9449" customFormat="false" ht="14.25" hidden="false" customHeight="true" outlineLevel="0" collapsed="false">
      <c r="B9449" s="9" t="s">
        <v>28</v>
      </c>
      <c r="C9449" s="9" t="n">
        <v>1185732</v>
      </c>
      <c r="D9449" s="10" t="n">
        <v>44300</v>
      </c>
      <c r="E9449" s="9" t="s">
        <v>17</v>
      </c>
      <c r="F9449" s="9" t="s">
        <v>131</v>
      </c>
      <c r="G9449" s="9" t="s">
        <v>132</v>
      </c>
      <c r="H9449" s="11" t="s">
        <v>22</v>
      </c>
      <c r="I9449" s="12" t="n">
        <v>22</v>
      </c>
      <c r="J9449" s="13" t="n">
        <v>51</v>
      </c>
      <c r="K9449" s="14" t="n">
        <f aca="false">I9449*J9449</f>
        <v>1122</v>
      </c>
      <c r="L9449" s="14" t="n">
        <f aca="false">($L$2*M9449)/100</f>
        <v>372516.615</v>
      </c>
      <c r="M9449" s="15" t="n">
        <v>0.31</v>
      </c>
      <c r="N9449" s="9" t="s">
        <v>26</v>
      </c>
    </row>
    <row r="9450" customFormat="false" ht="14.25" hidden="false" customHeight="true" outlineLevel="0" collapsed="false">
      <c r="B9450" s="9" t="s">
        <v>28</v>
      </c>
      <c r="C9450" s="9" t="n">
        <v>1185732</v>
      </c>
      <c r="D9450" s="10" t="n">
        <v>44300</v>
      </c>
      <c r="E9450" s="9" t="s">
        <v>17</v>
      </c>
      <c r="F9450" s="9" t="s">
        <v>131</v>
      </c>
      <c r="G9450" s="9" t="s">
        <v>132</v>
      </c>
      <c r="H9450" s="11" t="s">
        <v>23</v>
      </c>
      <c r="I9450" s="12" t="n">
        <v>23</v>
      </c>
      <c r="J9450" s="13" t="n">
        <v>39</v>
      </c>
      <c r="K9450" s="14" t="n">
        <f aca="false">I9450*J9450</f>
        <v>897</v>
      </c>
      <c r="L9450" s="14" t="n">
        <f aca="false">($L$2*M9450)/100</f>
        <v>336466.62</v>
      </c>
      <c r="M9450" s="15" t="n">
        <v>0.28</v>
      </c>
      <c r="N9450" s="9" t="s">
        <v>26</v>
      </c>
    </row>
    <row r="9451" customFormat="false" ht="14.25" hidden="false" customHeight="true" outlineLevel="0" collapsed="false">
      <c r="B9451" s="9" t="s">
        <v>28</v>
      </c>
      <c r="C9451" s="9" t="n">
        <v>1185732</v>
      </c>
      <c r="D9451" s="10" t="n">
        <v>44300</v>
      </c>
      <c r="E9451" s="9" t="s">
        <v>17</v>
      </c>
      <c r="F9451" s="9" t="s">
        <v>131</v>
      </c>
      <c r="G9451" s="9" t="s">
        <v>132</v>
      </c>
      <c r="H9451" s="11" t="s">
        <v>24</v>
      </c>
      <c r="I9451" s="12" t="n">
        <v>33</v>
      </c>
      <c r="J9451" s="13" t="n">
        <v>44</v>
      </c>
      <c r="K9451" s="14" t="n">
        <f aca="false">I9451*J9451</f>
        <v>1452</v>
      </c>
      <c r="L9451" s="14" t="n">
        <f aca="false">($L$2*M9451)/100</f>
        <v>324449.955</v>
      </c>
      <c r="M9451" s="15" t="n">
        <v>0.27</v>
      </c>
      <c r="N9451" s="9" t="s">
        <v>26</v>
      </c>
    </row>
    <row r="9452" customFormat="false" ht="14.25" hidden="false" customHeight="true" outlineLevel="0" collapsed="false">
      <c r="B9452" s="9" t="s">
        <v>28</v>
      </c>
      <c r="C9452" s="9" t="n">
        <v>1185732</v>
      </c>
      <c r="D9452" s="10" t="n">
        <v>44300</v>
      </c>
      <c r="E9452" s="9" t="s">
        <v>17</v>
      </c>
      <c r="F9452" s="9" t="s">
        <v>131</v>
      </c>
      <c r="G9452" s="9" t="s">
        <v>132</v>
      </c>
      <c r="H9452" s="11" t="s">
        <v>25</v>
      </c>
      <c r="I9452" s="12" t="n">
        <v>30</v>
      </c>
      <c r="J9452" s="13" t="n">
        <v>94</v>
      </c>
      <c r="K9452" s="14" t="n">
        <f aca="false">I9452*J9452</f>
        <v>2820</v>
      </c>
      <c r="L9452" s="14" t="n">
        <f aca="false">($L$2*M9452)/100</f>
        <v>432599.94</v>
      </c>
      <c r="M9452" s="15" t="n">
        <v>0.36</v>
      </c>
      <c r="N9452" s="9" t="s">
        <v>26</v>
      </c>
    </row>
    <row r="9453" customFormat="false" ht="14.25" hidden="false" customHeight="true" outlineLevel="0" collapsed="false">
      <c r="B9453" s="9" t="s">
        <v>28</v>
      </c>
      <c r="C9453" s="9" t="n">
        <v>1185732</v>
      </c>
      <c r="D9453" s="10" t="n">
        <v>44329</v>
      </c>
      <c r="E9453" s="9" t="s">
        <v>17</v>
      </c>
      <c r="F9453" s="9" t="s">
        <v>131</v>
      </c>
      <c r="G9453" s="9" t="s">
        <v>132</v>
      </c>
      <c r="H9453" s="11" t="s">
        <v>19</v>
      </c>
      <c r="I9453" s="12" t="n">
        <v>41</v>
      </c>
      <c r="J9453" s="13" t="n">
        <v>173</v>
      </c>
      <c r="K9453" s="14" t="n">
        <f aca="false">I9453*J9453</f>
        <v>7093</v>
      </c>
      <c r="L9453" s="14" t="n">
        <f aca="false">($L$2*M9453)/100</f>
        <v>432599.94</v>
      </c>
      <c r="M9453" s="15" t="n">
        <v>0.36</v>
      </c>
      <c r="N9453" s="9" t="s">
        <v>26</v>
      </c>
    </row>
    <row r="9454" customFormat="false" ht="14.25" hidden="false" customHeight="true" outlineLevel="0" collapsed="false">
      <c r="B9454" s="9" t="s">
        <v>28</v>
      </c>
      <c r="C9454" s="9" t="n">
        <v>1185732</v>
      </c>
      <c r="D9454" s="10" t="n">
        <v>44329</v>
      </c>
      <c r="E9454" s="9" t="s">
        <v>17</v>
      </c>
      <c r="F9454" s="9" t="s">
        <v>131</v>
      </c>
      <c r="G9454" s="9" t="s">
        <v>132</v>
      </c>
      <c r="H9454" s="11" t="s">
        <v>21</v>
      </c>
      <c r="I9454" s="12" t="n">
        <v>34</v>
      </c>
      <c r="J9454" s="13" t="n">
        <v>68</v>
      </c>
      <c r="K9454" s="14" t="n">
        <f aca="false">I9454*J9454</f>
        <v>2312</v>
      </c>
      <c r="L9454" s="14" t="n">
        <f aca="false">($L$2*M9454)/100</f>
        <v>432599.94</v>
      </c>
      <c r="M9454" s="15" t="n">
        <v>0.36</v>
      </c>
      <c r="N9454" s="9" t="s">
        <v>26</v>
      </c>
    </row>
    <row r="9455" customFormat="false" ht="14.25" hidden="false" customHeight="true" outlineLevel="0" collapsed="false">
      <c r="B9455" s="9" t="s">
        <v>28</v>
      </c>
      <c r="C9455" s="9" t="n">
        <v>1185732</v>
      </c>
      <c r="D9455" s="10" t="n">
        <v>44329</v>
      </c>
      <c r="E9455" s="9" t="s">
        <v>17</v>
      </c>
      <c r="F9455" s="9" t="s">
        <v>131</v>
      </c>
      <c r="G9455" s="9" t="s">
        <v>132</v>
      </c>
      <c r="H9455" s="11" t="s">
        <v>22</v>
      </c>
      <c r="I9455" s="12" t="n">
        <v>30</v>
      </c>
      <c r="J9455" s="13" t="n">
        <v>68</v>
      </c>
      <c r="K9455" s="14" t="n">
        <f aca="false">I9455*J9455</f>
        <v>2040</v>
      </c>
      <c r="L9455" s="14" t="n">
        <f aca="false">($L$2*M9455)/100</f>
        <v>372516.615</v>
      </c>
      <c r="M9455" s="15" t="n">
        <v>0.31</v>
      </c>
      <c r="N9455" s="9" t="s">
        <v>26</v>
      </c>
    </row>
    <row r="9456" customFormat="false" ht="14.25" hidden="false" customHeight="true" outlineLevel="0" collapsed="false">
      <c r="B9456" s="9" t="s">
        <v>28</v>
      </c>
      <c r="C9456" s="9" t="n">
        <v>1185732</v>
      </c>
      <c r="D9456" s="10" t="n">
        <v>44329</v>
      </c>
      <c r="E9456" s="9" t="s">
        <v>17</v>
      </c>
      <c r="F9456" s="9" t="s">
        <v>131</v>
      </c>
      <c r="G9456" s="9" t="s">
        <v>132</v>
      </c>
      <c r="H9456" s="11" t="s">
        <v>23</v>
      </c>
      <c r="I9456" s="12" t="n">
        <v>32</v>
      </c>
      <c r="J9456" s="13" t="n">
        <v>54</v>
      </c>
      <c r="K9456" s="14" t="n">
        <f aca="false">I9456*J9456</f>
        <v>1728</v>
      </c>
      <c r="L9456" s="14" t="n">
        <f aca="false">($L$2*M9456)/100</f>
        <v>360499.95</v>
      </c>
      <c r="M9456" s="15" t="n">
        <v>0.3</v>
      </c>
      <c r="N9456" s="9" t="s">
        <v>26</v>
      </c>
    </row>
    <row r="9457" customFormat="false" ht="14.25" hidden="false" customHeight="true" outlineLevel="0" collapsed="false">
      <c r="B9457" s="9" t="s">
        <v>28</v>
      </c>
      <c r="C9457" s="9" t="n">
        <v>1185732</v>
      </c>
      <c r="D9457" s="10" t="n">
        <v>44329</v>
      </c>
      <c r="E9457" s="9" t="s">
        <v>17</v>
      </c>
      <c r="F9457" s="9" t="s">
        <v>131</v>
      </c>
      <c r="G9457" s="9" t="s">
        <v>132</v>
      </c>
      <c r="H9457" s="11" t="s">
        <v>24</v>
      </c>
      <c r="I9457" s="12" t="n">
        <v>39</v>
      </c>
      <c r="J9457" s="13" t="n">
        <v>60</v>
      </c>
      <c r="K9457" s="14" t="n">
        <f aca="false">I9457*J9457</f>
        <v>2340</v>
      </c>
      <c r="L9457" s="14" t="n">
        <f aca="false">($L$2*M9457)/100</f>
        <v>336466.62</v>
      </c>
      <c r="M9457" s="15" t="n">
        <v>0.28</v>
      </c>
      <c r="N9457" s="9" t="s">
        <v>26</v>
      </c>
    </row>
    <row r="9458" customFormat="false" ht="14.25" hidden="false" customHeight="true" outlineLevel="0" collapsed="false">
      <c r="B9458" s="9" t="s">
        <v>28</v>
      </c>
      <c r="C9458" s="9" t="n">
        <v>1185732</v>
      </c>
      <c r="D9458" s="10" t="n">
        <v>44329</v>
      </c>
      <c r="E9458" s="9" t="s">
        <v>17</v>
      </c>
      <c r="F9458" s="9" t="s">
        <v>131</v>
      </c>
      <c r="G9458" s="9" t="s">
        <v>132</v>
      </c>
      <c r="H9458" s="11" t="s">
        <v>25</v>
      </c>
      <c r="I9458" s="12" t="n">
        <v>43</v>
      </c>
      <c r="J9458" s="13" t="n">
        <v>104</v>
      </c>
      <c r="K9458" s="14" t="n">
        <f aca="false">I9458*J9458</f>
        <v>4472</v>
      </c>
      <c r="L9458" s="14" t="n">
        <f aca="false">($L$2*M9458)/100</f>
        <v>408566.61</v>
      </c>
      <c r="M9458" s="15" t="n">
        <v>0.34</v>
      </c>
      <c r="N9458" s="9" t="s">
        <v>26</v>
      </c>
    </row>
    <row r="9459" customFormat="false" ht="14.25" hidden="false" customHeight="true" outlineLevel="0" collapsed="false">
      <c r="B9459" s="9" t="s">
        <v>28</v>
      </c>
      <c r="C9459" s="9" t="n">
        <v>1185732</v>
      </c>
      <c r="D9459" s="10" t="n">
        <v>44362</v>
      </c>
      <c r="E9459" s="9" t="s">
        <v>17</v>
      </c>
      <c r="F9459" s="9" t="s">
        <v>131</v>
      </c>
      <c r="G9459" s="9" t="s">
        <v>132</v>
      </c>
      <c r="H9459" s="11" t="s">
        <v>19</v>
      </c>
      <c r="I9459" s="12" t="n">
        <v>39</v>
      </c>
      <c r="J9459" s="13" t="n">
        <v>196</v>
      </c>
      <c r="K9459" s="14" t="n">
        <f aca="false">I9459*J9459</f>
        <v>7644</v>
      </c>
      <c r="L9459" s="14" t="n">
        <f aca="false">($L$2*M9459)/100</f>
        <v>420583.275</v>
      </c>
      <c r="M9459" s="15" t="n">
        <v>0.35</v>
      </c>
      <c r="N9459" s="9" t="s">
        <v>26</v>
      </c>
    </row>
    <row r="9460" customFormat="false" ht="14.25" hidden="false" customHeight="true" outlineLevel="0" collapsed="false">
      <c r="B9460" s="9" t="s">
        <v>28</v>
      </c>
      <c r="C9460" s="9" t="n">
        <v>1185732</v>
      </c>
      <c r="D9460" s="10" t="n">
        <v>44362</v>
      </c>
      <c r="E9460" s="9" t="s">
        <v>17</v>
      </c>
      <c r="F9460" s="9" t="s">
        <v>131</v>
      </c>
      <c r="G9460" s="9" t="s">
        <v>132</v>
      </c>
      <c r="H9460" s="11" t="s">
        <v>21</v>
      </c>
      <c r="I9460" s="12" t="n">
        <v>36</v>
      </c>
      <c r="J9460" s="13" t="n">
        <v>114</v>
      </c>
      <c r="K9460" s="14" t="n">
        <f aca="false">I9460*J9460</f>
        <v>4104</v>
      </c>
      <c r="L9460" s="14" t="n">
        <f aca="false">($L$2*M9460)/100</f>
        <v>384533.28</v>
      </c>
      <c r="M9460" s="15" t="n">
        <v>0.32</v>
      </c>
      <c r="N9460" s="9" t="s">
        <v>26</v>
      </c>
    </row>
    <row r="9461" customFormat="false" ht="14.25" hidden="false" customHeight="true" outlineLevel="0" collapsed="false">
      <c r="B9461" s="9" t="s">
        <v>28</v>
      </c>
      <c r="C9461" s="9" t="n">
        <v>1185732</v>
      </c>
      <c r="D9461" s="10" t="n">
        <v>44362</v>
      </c>
      <c r="E9461" s="9" t="s">
        <v>17</v>
      </c>
      <c r="F9461" s="9" t="s">
        <v>131</v>
      </c>
      <c r="G9461" s="9" t="s">
        <v>132</v>
      </c>
      <c r="H9461" s="11" t="s">
        <v>22</v>
      </c>
      <c r="I9461" s="12" t="n">
        <v>36</v>
      </c>
      <c r="J9461" s="13" t="n">
        <v>75</v>
      </c>
      <c r="K9461" s="14" t="n">
        <f aca="false">I9461*J9461</f>
        <v>2700</v>
      </c>
      <c r="L9461" s="14" t="n">
        <f aca="false">($L$2*M9461)/100</f>
        <v>372516.615</v>
      </c>
      <c r="M9461" s="15" t="n">
        <v>0.31</v>
      </c>
      <c r="N9461" s="9" t="s">
        <v>26</v>
      </c>
    </row>
    <row r="9462" customFormat="false" ht="14.25" hidden="false" customHeight="true" outlineLevel="0" collapsed="false">
      <c r="B9462" s="9" t="s">
        <v>28</v>
      </c>
      <c r="C9462" s="9" t="n">
        <v>1185732</v>
      </c>
      <c r="D9462" s="10" t="n">
        <v>44362</v>
      </c>
      <c r="E9462" s="9" t="s">
        <v>17</v>
      </c>
      <c r="F9462" s="9" t="s">
        <v>131</v>
      </c>
      <c r="G9462" s="9" t="s">
        <v>132</v>
      </c>
      <c r="H9462" s="11" t="s">
        <v>23</v>
      </c>
      <c r="I9462" s="12" t="n">
        <v>34</v>
      </c>
      <c r="J9462" s="13" t="n">
        <v>72</v>
      </c>
      <c r="K9462" s="14" t="n">
        <f aca="false">I9462*J9462</f>
        <v>2448</v>
      </c>
      <c r="L9462" s="14" t="n">
        <f aca="false">($L$2*M9462)/100</f>
        <v>336466.62</v>
      </c>
      <c r="M9462" s="15" t="n">
        <v>0.28</v>
      </c>
      <c r="N9462" s="9" t="s">
        <v>26</v>
      </c>
    </row>
    <row r="9463" customFormat="false" ht="14.25" hidden="false" customHeight="true" outlineLevel="0" collapsed="false">
      <c r="B9463" s="9" t="s">
        <v>28</v>
      </c>
      <c r="C9463" s="9" t="n">
        <v>1185732</v>
      </c>
      <c r="D9463" s="10" t="n">
        <v>44362</v>
      </c>
      <c r="E9463" s="9" t="s">
        <v>17</v>
      </c>
      <c r="F9463" s="9" t="s">
        <v>131</v>
      </c>
      <c r="G9463" s="9" t="s">
        <v>132</v>
      </c>
      <c r="H9463" s="11" t="s">
        <v>24</v>
      </c>
      <c r="I9463" s="12" t="n">
        <v>39</v>
      </c>
      <c r="J9463" s="13" t="n">
        <v>74</v>
      </c>
      <c r="K9463" s="14" t="n">
        <f aca="false">I9463*J9463</f>
        <v>2886</v>
      </c>
      <c r="L9463" s="14" t="n">
        <f aca="false">($L$2*M9463)/100</f>
        <v>384533.28</v>
      </c>
      <c r="M9463" s="15" t="n">
        <v>0.32</v>
      </c>
      <c r="N9463" s="9" t="s">
        <v>26</v>
      </c>
    </row>
    <row r="9464" customFormat="false" ht="14.25" hidden="false" customHeight="true" outlineLevel="0" collapsed="false">
      <c r="B9464" s="9" t="s">
        <v>28</v>
      </c>
      <c r="C9464" s="9" t="n">
        <v>1185732</v>
      </c>
      <c r="D9464" s="10" t="n">
        <v>44362</v>
      </c>
      <c r="E9464" s="9" t="s">
        <v>17</v>
      </c>
      <c r="F9464" s="9" t="s">
        <v>131</v>
      </c>
      <c r="G9464" s="9" t="s">
        <v>132</v>
      </c>
      <c r="H9464" s="11" t="s">
        <v>25</v>
      </c>
      <c r="I9464" s="12" t="n">
        <v>47</v>
      </c>
      <c r="J9464" s="13" t="n">
        <v>120</v>
      </c>
      <c r="K9464" s="14" t="n">
        <f aca="false">I9464*J9464</f>
        <v>5640</v>
      </c>
      <c r="L9464" s="14" t="n">
        <f aca="false">($L$2*M9464)/100</f>
        <v>420583.275</v>
      </c>
      <c r="M9464" s="15" t="n">
        <v>0.35</v>
      </c>
      <c r="N9464" s="9" t="s">
        <v>26</v>
      </c>
    </row>
    <row r="9465" customFormat="false" ht="14.25" hidden="false" customHeight="true" outlineLevel="0" collapsed="false">
      <c r="B9465" s="9" t="s">
        <v>28</v>
      </c>
      <c r="C9465" s="9" t="n">
        <v>1185732</v>
      </c>
      <c r="D9465" s="10" t="n">
        <v>44390</v>
      </c>
      <c r="E9465" s="9" t="s">
        <v>17</v>
      </c>
      <c r="F9465" s="9" t="s">
        <v>131</v>
      </c>
      <c r="G9465" s="9" t="s">
        <v>132</v>
      </c>
      <c r="H9465" s="11" t="s">
        <v>19</v>
      </c>
      <c r="I9465" s="12" t="n">
        <v>37</v>
      </c>
      <c r="J9465" s="13" t="n">
        <v>180</v>
      </c>
      <c r="K9465" s="14" t="n">
        <f aca="false">I9465*J9465</f>
        <v>6660</v>
      </c>
      <c r="L9465" s="14" t="n">
        <f aca="false">($L$2*M9465)/100</f>
        <v>396549.945</v>
      </c>
      <c r="M9465" s="15" t="n">
        <v>0.33</v>
      </c>
      <c r="N9465" s="9" t="s">
        <v>26</v>
      </c>
    </row>
    <row r="9466" customFormat="false" ht="14.25" hidden="false" customHeight="true" outlineLevel="0" collapsed="false">
      <c r="B9466" s="9" t="s">
        <v>28</v>
      </c>
      <c r="C9466" s="9" t="n">
        <v>1185732</v>
      </c>
      <c r="D9466" s="10" t="n">
        <v>44390</v>
      </c>
      <c r="E9466" s="9" t="s">
        <v>17</v>
      </c>
      <c r="F9466" s="9" t="s">
        <v>131</v>
      </c>
      <c r="G9466" s="9" t="s">
        <v>132</v>
      </c>
      <c r="H9466" s="11" t="s">
        <v>21</v>
      </c>
      <c r="I9466" s="12" t="n">
        <v>36</v>
      </c>
      <c r="J9466" s="13" t="n">
        <v>105</v>
      </c>
      <c r="K9466" s="14" t="n">
        <f aca="false">I9466*J9466</f>
        <v>3780</v>
      </c>
      <c r="L9466" s="14" t="n">
        <f aca="false">($L$2*M9466)/100</f>
        <v>444616.605</v>
      </c>
      <c r="M9466" s="15" t="n">
        <v>0.37</v>
      </c>
      <c r="N9466" s="9" t="s">
        <v>26</v>
      </c>
    </row>
    <row r="9467" customFormat="false" ht="14.25" hidden="false" customHeight="true" outlineLevel="0" collapsed="false">
      <c r="B9467" s="9" t="s">
        <v>28</v>
      </c>
      <c r="C9467" s="9" t="n">
        <v>1185732</v>
      </c>
      <c r="D9467" s="10" t="n">
        <v>44390</v>
      </c>
      <c r="E9467" s="9" t="s">
        <v>17</v>
      </c>
      <c r="F9467" s="9" t="s">
        <v>131</v>
      </c>
      <c r="G9467" s="9" t="s">
        <v>132</v>
      </c>
      <c r="H9467" s="11" t="s">
        <v>22</v>
      </c>
      <c r="I9467" s="12" t="n">
        <v>32</v>
      </c>
      <c r="J9467" s="13" t="n">
        <v>88</v>
      </c>
      <c r="K9467" s="14" t="n">
        <f aca="false">I9467*J9467</f>
        <v>2816</v>
      </c>
      <c r="L9467" s="14" t="n">
        <f aca="false">($L$2*M9467)/100</f>
        <v>360499.95</v>
      </c>
      <c r="M9467" s="15" t="n">
        <v>0.3</v>
      </c>
      <c r="N9467" s="9" t="s">
        <v>26</v>
      </c>
    </row>
    <row r="9468" customFormat="false" ht="14.25" hidden="false" customHeight="true" outlineLevel="0" collapsed="false">
      <c r="B9468" s="9" t="s">
        <v>28</v>
      </c>
      <c r="C9468" s="9" t="n">
        <v>1185732</v>
      </c>
      <c r="D9468" s="10" t="n">
        <v>44390</v>
      </c>
      <c r="E9468" s="9" t="s">
        <v>17</v>
      </c>
      <c r="F9468" s="9" t="s">
        <v>131</v>
      </c>
      <c r="G9468" s="9" t="s">
        <v>132</v>
      </c>
      <c r="H9468" s="11" t="s">
        <v>23</v>
      </c>
      <c r="I9468" s="12" t="n">
        <v>34</v>
      </c>
      <c r="J9468" s="13" t="n">
        <v>77</v>
      </c>
      <c r="K9468" s="14" t="n">
        <f aca="false">I9468*J9468</f>
        <v>2618</v>
      </c>
      <c r="L9468" s="14" t="n">
        <f aca="false">($L$2*M9468)/100</f>
        <v>384533.28</v>
      </c>
      <c r="M9468" s="15" t="n">
        <v>0.32</v>
      </c>
      <c r="N9468" s="9" t="s">
        <v>26</v>
      </c>
    </row>
    <row r="9469" customFormat="false" ht="14.25" hidden="false" customHeight="true" outlineLevel="0" collapsed="false">
      <c r="B9469" s="9" t="s">
        <v>28</v>
      </c>
      <c r="C9469" s="9" t="n">
        <v>1185732</v>
      </c>
      <c r="D9469" s="10" t="n">
        <v>44390</v>
      </c>
      <c r="E9469" s="9" t="s">
        <v>17</v>
      </c>
      <c r="F9469" s="9" t="s">
        <v>131</v>
      </c>
      <c r="G9469" s="9" t="s">
        <v>132</v>
      </c>
      <c r="H9469" s="11" t="s">
        <v>24</v>
      </c>
      <c r="I9469" s="12" t="n">
        <v>41</v>
      </c>
      <c r="J9469" s="13" t="n">
        <v>80</v>
      </c>
      <c r="K9469" s="14" t="n">
        <f aca="false">I9469*J9469</f>
        <v>3280</v>
      </c>
      <c r="L9469" s="14" t="n">
        <f aca="false">($L$2*M9469)/100</f>
        <v>372516.615</v>
      </c>
      <c r="M9469" s="15" t="n">
        <v>0.31</v>
      </c>
      <c r="N9469" s="9" t="s">
        <v>26</v>
      </c>
    </row>
    <row r="9470" customFormat="false" ht="14.25" hidden="false" customHeight="true" outlineLevel="0" collapsed="false">
      <c r="B9470" s="9" t="s">
        <v>28</v>
      </c>
      <c r="C9470" s="9" t="n">
        <v>1185732</v>
      </c>
      <c r="D9470" s="10" t="n">
        <v>44390</v>
      </c>
      <c r="E9470" s="9" t="s">
        <v>17</v>
      </c>
      <c r="F9470" s="9" t="s">
        <v>131</v>
      </c>
      <c r="G9470" s="9" t="s">
        <v>132</v>
      </c>
      <c r="H9470" s="11" t="s">
        <v>25</v>
      </c>
      <c r="I9470" s="12" t="n">
        <v>41</v>
      </c>
      <c r="J9470" s="13" t="n">
        <v>132</v>
      </c>
      <c r="K9470" s="14" t="n">
        <f aca="false">I9470*J9470</f>
        <v>5412</v>
      </c>
      <c r="L9470" s="14" t="n">
        <f aca="false">($L$2*M9470)/100</f>
        <v>384533.28</v>
      </c>
      <c r="M9470" s="15" t="n">
        <v>0.32</v>
      </c>
      <c r="N9470" s="9" t="s">
        <v>26</v>
      </c>
    </row>
    <row r="9471" customFormat="false" ht="14.25" hidden="false" customHeight="true" outlineLevel="0" collapsed="false">
      <c r="B9471" s="9" t="s">
        <v>28</v>
      </c>
      <c r="C9471" s="9" t="n">
        <v>1185732</v>
      </c>
      <c r="D9471" s="10" t="n">
        <v>44422</v>
      </c>
      <c r="E9471" s="9" t="s">
        <v>17</v>
      </c>
      <c r="F9471" s="9" t="s">
        <v>131</v>
      </c>
      <c r="G9471" s="9" t="s">
        <v>132</v>
      </c>
      <c r="H9471" s="11" t="s">
        <v>19</v>
      </c>
      <c r="I9471" s="12" t="n">
        <v>40</v>
      </c>
      <c r="J9471" s="13" t="n">
        <v>196</v>
      </c>
      <c r="K9471" s="14" t="n">
        <f aca="false">I9471*J9471</f>
        <v>7840</v>
      </c>
      <c r="L9471" s="14" t="n">
        <f aca="false">($L$2*M9471)/100</f>
        <v>396549.945</v>
      </c>
      <c r="M9471" s="15" t="n">
        <v>0.33</v>
      </c>
      <c r="N9471" s="9" t="s">
        <v>26</v>
      </c>
    </row>
    <row r="9472" customFormat="false" ht="14.25" hidden="false" customHeight="true" outlineLevel="0" collapsed="false">
      <c r="B9472" s="9" t="s">
        <v>28</v>
      </c>
      <c r="C9472" s="9" t="n">
        <v>1185732</v>
      </c>
      <c r="D9472" s="10" t="n">
        <v>44422</v>
      </c>
      <c r="E9472" s="9" t="s">
        <v>17</v>
      </c>
      <c r="F9472" s="9" t="s">
        <v>131</v>
      </c>
      <c r="G9472" s="9" t="s">
        <v>132</v>
      </c>
      <c r="H9472" s="11" t="s">
        <v>21</v>
      </c>
      <c r="I9472" s="12" t="n">
        <v>33</v>
      </c>
      <c r="J9472" s="13" t="n">
        <v>112</v>
      </c>
      <c r="K9472" s="14" t="n">
        <f aca="false">I9472*J9472</f>
        <v>3696</v>
      </c>
      <c r="L9472" s="14" t="n">
        <f aca="false">($L$2*M9472)/100</f>
        <v>384533.28</v>
      </c>
      <c r="M9472" s="15" t="n">
        <v>0.32</v>
      </c>
      <c r="N9472" s="9" t="s">
        <v>26</v>
      </c>
    </row>
    <row r="9473" customFormat="false" ht="14.25" hidden="false" customHeight="true" outlineLevel="0" collapsed="false">
      <c r="B9473" s="9" t="s">
        <v>28</v>
      </c>
      <c r="C9473" s="9" t="n">
        <v>1185732</v>
      </c>
      <c r="D9473" s="10" t="n">
        <v>44422</v>
      </c>
      <c r="E9473" s="9" t="s">
        <v>17</v>
      </c>
      <c r="F9473" s="9" t="s">
        <v>131</v>
      </c>
      <c r="G9473" s="9" t="s">
        <v>132</v>
      </c>
      <c r="H9473" s="11" t="s">
        <v>22</v>
      </c>
      <c r="I9473" s="12" t="n">
        <v>29</v>
      </c>
      <c r="J9473" s="13" t="n">
        <v>85</v>
      </c>
      <c r="K9473" s="14" t="n">
        <f aca="false">I9473*J9473</f>
        <v>2465</v>
      </c>
      <c r="L9473" s="14" t="n">
        <f aca="false">($L$2*M9473)/100</f>
        <v>372516.615</v>
      </c>
      <c r="M9473" s="15" t="n">
        <v>0.31</v>
      </c>
      <c r="N9473" s="9" t="s">
        <v>26</v>
      </c>
    </row>
    <row r="9474" customFormat="false" ht="14.25" hidden="false" customHeight="true" outlineLevel="0" collapsed="false">
      <c r="B9474" s="9" t="s">
        <v>28</v>
      </c>
      <c r="C9474" s="9" t="n">
        <v>1185732</v>
      </c>
      <c r="D9474" s="10" t="n">
        <v>44422</v>
      </c>
      <c r="E9474" s="9" t="s">
        <v>17</v>
      </c>
      <c r="F9474" s="9" t="s">
        <v>131</v>
      </c>
      <c r="G9474" s="9" t="s">
        <v>132</v>
      </c>
      <c r="H9474" s="11" t="s">
        <v>23</v>
      </c>
      <c r="I9474" s="12" t="n">
        <v>31</v>
      </c>
      <c r="J9474" s="13" t="n">
        <v>58</v>
      </c>
      <c r="K9474" s="14" t="n">
        <f aca="false">I9474*J9474</f>
        <v>1798</v>
      </c>
      <c r="L9474" s="14" t="n">
        <f aca="false">($L$2*M9474)/100</f>
        <v>336466.62</v>
      </c>
      <c r="M9474" s="15" t="n">
        <v>0.28</v>
      </c>
      <c r="N9474" s="9" t="s">
        <v>26</v>
      </c>
    </row>
    <row r="9475" customFormat="false" ht="14.25" hidden="false" customHeight="true" outlineLevel="0" collapsed="false">
      <c r="B9475" s="9" t="s">
        <v>28</v>
      </c>
      <c r="C9475" s="9" t="n">
        <v>1185732</v>
      </c>
      <c r="D9475" s="10" t="n">
        <v>44422</v>
      </c>
      <c r="E9475" s="9" t="s">
        <v>17</v>
      </c>
      <c r="F9475" s="9" t="s">
        <v>131</v>
      </c>
      <c r="G9475" s="9" t="s">
        <v>132</v>
      </c>
      <c r="H9475" s="11" t="s">
        <v>24</v>
      </c>
      <c r="I9475" s="12" t="n">
        <v>40</v>
      </c>
      <c r="J9475" s="13" t="n">
        <v>51</v>
      </c>
      <c r="K9475" s="14" t="n">
        <f aca="false">I9475*J9475</f>
        <v>2040</v>
      </c>
      <c r="L9475" s="14" t="n">
        <f aca="false">($L$2*M9475)/100</f>
        <v>324449.955</v>
      </c>
      <c r="M9475" s="15" t="n">
        <v>0.27</v>
      </c>
      <c r="N9475" s="9" t="s">
        <v>26</v>
      </c>
    </row>
    <row r="9476" customFormat="false" ht="14.25" hidden="false" customHeight="true" outlineLevel="0" collapsed="false">
      <c r="B9476" s="9" t="s">
        <v>28</v>
      </c>
      <c r="C9476" s="9" t="n">
        <v>1185732</v>
      </c>
      <c r="D9476" s="10" t="n">
        <v>44422</v>
      </c>
      <c r="E9476" s="9" t="s">
        <v>17</v>
      </c>
      <c r="F9476" s="9" t="s">
        <v>131</v>
      </c>
      <c r="G9476" s="9" t="s">
        <v>132</v>
      </c>
      <c r="H9476" s="11" t="s">
        <v>25</v>
      </c>
      <c r="I9476" s="12" t="n">
        <v>46</v>
      </c>
      <c r="J9476" s="13" t="n">
        <v>98</v>
      </c>
      <c r="K9476" s="14" t="n">
        <f aca="false">I9476*J9476</f>
        <v>4508</v>
      </c>
      <c r="L9476" s="14" t="n">
        <f aca="false">($L$2*M9476)/100</f>
        <v>420583.275</v>
      </c>
      <c r="M9476" s="15" t="n">
        <v>0.35</v>
      </c>
      <c r="N9476" s="9" t="s">
        <v>26</v>
      </c>
    </row>
    <row r="9477" customFormat="false" ht="14.25" hidden="false" customHeight="true" outlineLevel="0" collapsed="false">
      <c r="B9477" s="9" t="s">
        <v>28</v>
      </c>
      <c r="C9477" s="9" t="n">
        <v>1185732</v>
      </c>
      <c r="D9477" s="10" t="n">
        <v>44452</v>
      </c>
      <c r="E9477" s="9" t="s">
        <v>17</v>
      </c>
      <c r="F9477" s="9" t="s">
        <v>131</v>
      </c>
      <c r="G9477" s="9" t="s">
        <v>132</v>
      </c>
      <c r="H9477" s="11" t="s">
        <v>19</v>
      </c>
      <c r="I9477" s="12" t="n">
        <v>36</v>
      </c>
      <c r="J9477" s="13" t="n">
        <v>153</v>
      </c>
      <c r="K9477" s="14" t="n">
        <f aca="false">I9477*J9477</f>
        <v>5508</v>
      </c>
      <c r="L9477" s="14" t="n">
        <f aca="false">($L$2*M9477)/100</f>
        <v>408566.61</v>
      </c>
      <c r="M9477" s="15" t="n">
        <v>0.34</v>
      </c>
      <c r="N9477" s="9" t="s">
        <v>26</v>
      </c>
    </row>
    <row r="9478" customFormat="false" ht="14.25" hidden="false" customHeight="true" outlineLevel="0" collapsed="false">
      <c r="B9478" s="9" t="s">
        <v>28</v>
      </c>
      <c r="C9478" s="9" t="n">
        <v>1185732</v>
      </c>
      <c r="D9478" s="10" t="n">
        <v>44452</v>
      </c>
      <c r="E9478" s="9" t="s">
        <v>17</v>
      </c>
      <c r="F9478" s="9" t="s">
        <v>131</v>
      </c>
      <c r="G9478" s="9" t="s">
        <v>132</v>
      </c>
      <c r="H9478" s="11" t="s">
        <v>21</v>
      </c>
      <c r="I9478" s="12" t="n">
        <v>35</v>
      </c>
      <c r="J9478" s="13" t="n">
        <v>88</v>
      </c>
      <c r="K9478" s="14" t="n">
        <f aca="false">I9478*J9478</f>
        <v>3080</v>
      </c>
      <c r="L9478" s="14" t="n">
        <f aca="false">($L$2*M9478)/100</f>
        <v>444616.605</v>
      </c>
      <c r="M9478" s="15" t="n">
        <v>0.37</v>
      </c>
      <c r="N9478" s="9" t="s">
        <v>26</v>
      </c>
    </row>
    <row r="9479" customFormat="false" ht="14.25" hidden="false" customHeight="true" outlineLevel="0" collapsed="false">
      <c r="B9479" s="9" t="s">
        <v>28</v>
      </c>
      <c r="C9479" s="9" t="n">
        <v>1185732</v>
      </c>
      <c r="D9479" s="10" t="n">
        <v>44452</v>
      </c>
      <c r="E9479" s="9" t="s">
        <v>17</v>
      </c>
      <c r="F9479" s="9" t="s">
        <v>131</v>
      </c>
      <c r="G9479" s="9" t="s">
        <v>132</v>
      </c>
      <c r="H9479" s="11" t="s">
        <v>22</v>
      </c>
      <c r="I9479" s="12" t="n">
        <v>30</v>
      </c>
      <c r="J9479" s="13" t="n">
        <v>47</v>
      </c>
      <c r="K9479" s="14" t="n">
        <f aca="false">I9479*J9479</f>
        <v>1410</v>
      </c>
      <c r="L9479" s="14" t="n">
        <f aca="false">($L$2*M9479)/100</f>
        <v>360499.95</v>
      </c>
      <c r="M9479" s="15" t="n">
        <v>0.3</v>
      </c>
      <c r="N9479" s="9" t="s">
        <v>26</v>
      </c>
    </row>
    <row r="9480" customFormat="false" ht="14.25" hidden="false" customHeight="true" outlineLevel="0" collapsed="false">
      <c r="B9480" s="9" t="s">
        <v>28</v>
      </c>
      <c r="C9480" s="9" t="n">
        <v>1185732</v>
      </c>
      <c r="D9480" s="10" t="n">
        <v>44452</v>
      </c>
      <c r="E9480" s="9" t="s">
        <v>17</v>
      </c>
      <c r="F9480" s="9" t="s">
        <v>131</v>
      </c>
      <c r="G9480" s="9" t="s">
        <v>132</v>
      </c>
      <c r="H9480" s="11" t="s">
        <v>23</v>
      </c>
      <c r="I9480" s="12" t="n">
        <v>34</v>
      </c>
      <c r="J9480" s="13" t="n">
        <v>39</v>
      </c>
      <c r="K9480" s="14" t="n">
        <f aca="false">I9480*J9480</f>
        <v>1326</v>
      </c>
      <c r="L9480" s="14" t="n">
        <f aca="false">($L$2*M9480)/100</f>
        <v>324449.955</v>
      </c>
      <c r="M9480" s="15" t="n">
        <v>0.27</v>
      </c>
      <c r="N9480" s="9" t="s">
        <v>26</v>
      </c>
    </row>
    <row r="9481" customFormat="false" ht="14.25" hidden="false" customHeight="true" outlineLevel="0" collapsed="false">
      <c r="B9481" s="9" t="s">
        <v>28</v>
      </c>
      <c r="C9481" s="9" t="n">
        <v>1185732</v>
      </c>
      <c r="D9481" s="10" t="n">
        <v>44452</v>
      </c>
      <c r="E9481" s="9" t="s">
        <v>17</v>
      </c>
      <c r="F9481" s="9" t="s">
        <v>131</v>
      </c>
      <c r="G9481" s="9" t="s">
        <v>132</v>
      </c>
      <c r="H9481" s="11" t="s">
        <v>24</v>
      </c>
      <c r="I9481" s="12" t="n">
        <v>39</v>
      </c>
      <c r="J9481" s="13" t="n">
        <v>41</v>
      </c>
      <c r="K9481" s="14" t="n">
        <f aca="false">I9481*J9481</f>
        <v>1599</v>
      </c>
      <c r="L9481" s="14" t="n">
        <f aca="false">($L$2*M9481)/100</f>
        <v>372516.615</v>
      </c>
      <c r="M9481" s="15" t="n">
        <v>0.31</v>
      </c>
      <c r="N9481" s="9" t="s">
        <v>26</v>
      </c>
    </row>
    <row r="9482" customFormat="false" ht="14.25" hidden="false" customHeight="true" outlineLevel="0" collapsed="false">
      <c r="B9482" s="9" t="s">
        <v>28</v>
      </c>
      <c r="C9482" s="9" t="n">
        <v>1185732</v>
      </c>
      <c r="D9482" s="10" t="n">
        <v>44452</v>
      </c>
      <c r="E9482" s="9" t="s">
        <v>17</v>
      </c>
      <c r="F9482" s="9" t="s">
        <v>131</v>
      </c>
      <c r="G9482" s="9" t="s">
        <v>132</v>
      </c>
      <c r="H9482" s="11" t="s">
        <v>25</v>
      </c>
      <c r="I9482" s="12" t="n">
        <v>41</v>
      </c>
      <c r="J9482" s="13" t="n">
        <v>77</v>
      </c>
      <c r="K9482" s="14" t="n">
        <f aca="false">I9482*J9482</f>
        <v>3157</v>
      </c>
      <c r="L9482" s="14" t="n">
        <f aca="false">($L$2*M9482)/100</f>
        <v>396549.945</v>
      </c>
      <c r="M9482" s="15" t="n">
        <v>0.33</v>
      </c>
      <c r="N9482" s="9" t="s">
        <v>26</v>
      </c>
    </row>
    <row r="9483" customFormat="false" ht="14.25" hidden="false" customHeight="true" outlineLevel="0" collapsed="false">
      <c r="B9483" s="9" t="s">
        <v>28</v>
      </c>
      <c r="C9483" s="9" t="n">
        <v>1185732</v>
      </c>
      <c r="D9483" s="10" t="n">
        <v>44484</v>
      </c>
      <c r="E9483" s="9" t="s">
        <v>17</v>
      </c>
      <c r="F9483" s="9" t="s">
        <v>131</v>
      </c>
      <c r="G9483" s="9" t="s">
        <v>132</v>
      </c>
      <c r="H9483" s="11" t="s">
        <v>19</v>
      </c>
      <c r="I9483" s="12" t="n">
        <v>40</v>
      </c>
      <c r="J9483" s="13" t="n">
        <v>132</v>
      </c>
      <c r="K9483" s="14" t="n">
        <f aca="false">I9483*J9483</f>
        <v>5280</v>
      </c>
      <c r="L9483" s="14" t="n">
        <f aca="false">($L$2*M9483)/100</f>
        <v>396549.945</v>
      </c>
      <c r="M9483" s="15" t="n">
        <v>0.33</v>
      </c>
      <c r="N9483" s="9" t="s">
        <v>26</v>
      </c>
    </row>
    <row r="9484" customFormat="false" ht="14.25" hidden="false" customHeight="true" outlineLevel="0" collapsed="false">
      <c r="B9484" s="9" t="s">
        <v>28</v>
      </c>
      <c r="C9484" s="9" t="n">
        <v>1185732</v>
      </c>
      <c r="D9484" s="10" t="n">
        <v>44484</v>
      </c>
      <c r="E9484" s="9" t="s">
        <v>17</v>
      </c>
      <c r="F9484" s="9" t="s">
        <v>131</v>
      </c>
      <c r="G9484" s="9" t="s">
        <v>132</v>
      </c>
      <c r="H9484" s="11" t="s">
        <v>21</v>
      </c>
      <c r="I9484" s="12" t="n">
        <v>37</v>
      </c>
      <c r="J9484" s="13" t="n">
        <v>68</v>
      </c>
      <c r="K9484" s="14" t="n">
        <f aca="false">I9484*J9484</f>
        <v>2516</v>
      </c>
      <c r="L9484" s="14" t="n">
        <f aca="false">($L$2*M9484)/100</f>
        <v>420583.275</v>
      </c>
      <c r="M9484" s="15" t="n">
        <v>0.35</v>
      </c>
      <c r="N9484" s="9" t="s">
        <v>26</v>
      </c>
    </row>
    <row r="9485" customFormat="false" ht="14.25" hidden="false" customHeight="true" outlineLevel="0" collapsed="false">
      <c r="B9485" s="9" t="s">
        <v>28</v>
      </c>
      <c r="C9485" s="9" t="n">
        <v>1185732</v>
      </c>
      <c r="D9485" s="10" t="n">
        <v>44484</v>
      </c>
      <c r="E9485" s="9" t="s">
        <v>17</v>
      </c>
      <c r="F9485" s="9" t="s">
        <v>131</v>
      </c>
      <c r="G9485" s="9" t="s">
        <v>132</v>
      </c>
      <c r="H9485" s="11" t="s">
        <v>22</v>
      </c>
      <c r="I9485" s="12" t="n">
        <v>41</v>
      </c>
      <c r="J9485" s="13" t="n">
        <v>38</v>
      </c>
      <c r="K9485" s="14" t="n">
        <f aca="false">I9485*J9485</f>
        <v>1558</v>
      </c>
      <c r="L9485" s="14" t="n">
        <f aca="false">($L$2*M9485)/100</f>
        <v>360499.95</v>
      </c>
      <c r="M9485" s="15" t="n">
        <v>0.3</v>
      </c>
      <c r="N9485" s="9" t="s">
        <v>26</v>
      </c>
    </row>
    <row r="9486" customFormat="false" ht="14.25" hidden="false" customHeight="true" outlineLevel="0" collapsed="false">
      <c r="B9486" s="9" t="s">
        <v>28</v>
      </c>
      <c r="C9486" s="9" t="n">
        <v>1185732</v>
      </c>
      <c r="D9486" s="10" t="n">
        <v>44484</v>
      </c>
      <c r="E9486" s="9" t="s">
        <v>17</v>
      </c>
      <c r="F9486" s="9" t="s">
        <v>131</v>
      </c>
      <c r="G9486" s="9" t="s">
        <v>132</v>
      </c>
      <c r="H9486" s="11" t="s">
        <v>23</v>
      </c>
      <c r="I9486" s="12" t="n">
        <v>38</v>
      </c>
      <c r="J9486" s="13" t="n">
        <v>32</v>
      </c>
      <c r="K9486" s="14" t="n">
        <f aca="false">I9486*J9486</f>
        <v>1216</v>
      </c>
      <c r="L9486" s="14" t="n">
        <f aca="false">($L$2*M9486)/100</f>
        <v>324449.955</v>
      </c>
      <c r="M9486" s="15" t="n">
        <v>0.27</v>
      </c>
      <c r="N9486" s="9" t="s">
        <v>26</v>
      </c>
    </row>
    <row r="9487" customFormat="false" ht="14.25" hidden="false" customHeight="true" outlineLevel="0" collapsed="false">
      <c r="B9487" s="9" t="s">
        <v>28</v>
      </c>
      <c r="C9487" s="9" t="n">
        <v>1185732</v>
      </c>
      <c r="D9487" s="10" t="n">
        <v>44484</v>
      </c>
      <c r="E9487" s="9" t="s">
        <v>17</v>
      </c>
      <c r="F9487" s="9" t="s">
        <v>131</v>
      </c>
      <c r="G9487" s="9" t="s">
        <v>132</v>
      </c>
      <c r="H9487" s="11" t="s">
        <v>24</v>
      </c>
      <c r="I9487" s="12" t="n">
        <v>51</v>
      </c>
      <c r="J9487" s="13" t="n">
        <v>34</v>
      </c>
      <c r="K9487" s="14" t="n">
        <f aca="false">I9487*J9487</f>
        <v>1734</v>
      </c>
      <c r="L9487" s="14" t="n">
        <f aca="false">($L$2*M9487)/100</f>
        <v>336466.62</v>
      </c>
      <c r="M9487" s="15" t="n">
        <v>0.28</v>
      </c>
      <c r="N9487" s="9" t="s">
        <v>26</v>
      </c>
    </row>
    <row r="9488" customFormat="false" ht="14.25" hidden="false" customHeight="true" outlineLevel="0" collapsed="false">
      <c r="B9488" s="9" t="s">
        <v>63</v>
      </c>
      <c r="C9488" s="9" t="n">
        <v>1185732</v>
      </c>
      <c r="D9488" s="10" t="n">
        <v>44484</v>
      </c>
      <c r="E9488" s="9" t="s">
        <v>17</v>
      </c>
      <c r="F9488" s="9" t="s">
        <v>131</v>
      </c>
      <c r="G9488" s="9" t="s">
        <v>132</v>
      </c>
      <c r="H9488" s="11" t="s">
        <v>25</v>
      </c>
      <c r="I9488" s="12" t="n">
        <v>51</v>
      </c>
      <c r="J9488" s="13" t="n">
        <v>68</v>
      </c>
      <c r="K9488" s="14" t="n">
        <f aca="false">I9488*J9488</f>
        <v>3468</v>
      </c>
      <c r="L9488" s="14" t="n">
        <f aca="false">($L$2*M9488)/100</f>
        <v>420583.275</v>
      </c>
      <c r="M9488" s="15" t="n">
        <v>0.35</v>
      </c>
      <c r="N9488" s="9" t="s">
        <v>26</v>
      </c>
    </row>
    <row r="9489" customFormat="false" ht="14.25" hidden="false" customHeight="true" outlineLevel="0" collapsed="false">
      <c r="B9489" s="9" t="s">
        <v>63</v>
      </c>
      <c r="C9489" s="9" t="n">
        <v>1185732</v>
      </c>
      <c r="D9489" s="10" t="n">
        <v>44514</v>
      </c>
      <c r="E9489" s="9" t="s">
        <v>17</v>
      </c>
      <c r="F9489" s="9" t="s">
        <v>131</v>
      </c>
      <c r="G9489" s="9" t="s">
        <v>132</v>
      </c>
      <c r="H9489" s="11" t="s">
        <v>19</v>
      </c>
      <c r="I9489" s="12" t="n">
        <v>49</v>
      </c>
      <c r="J9489" s="13" t="n">
        <v>120</v>
      </c>
      <c r="K9489" s="14" t="n">
        <f aca="false">I9489*J9489</f>
        <v>5880</v>
      </c>
      <c r="L9489" s="14" t="n">
        <f aca="false">($L$2*M9489)/100</f>
        <v>420583.275</v>
      </c>
      <c r="M9489" s="15" t="n">
        <v>0.35</v>
      </c>
      <c r="N9489" s="9" t="s">
        <v>26</v>
      </c>
    </row>
    <row r="9490" customFormat="false" ht="14.25" hidden="false" customHeight="true" outlineLevel="0" collapsed="false">
      <c r="B9490" s="9" t="s">
        <v>63</v>
      </c>
      <c r="C9490" s="9" t="n">
        <v>1185732</v>
      </c>
      <c r="D9490" s="10" t="n">
        <v>44514</v>
      </c>
      <c r="E9490" s="9" t="s">
        <v>17</v>
      </c>
      <c r="F9490" s="9" t="s">
        <v>131</v>
      </c>
      <c r="G9490" s="9" t="s">
        <v>132</v>
      </c>
      <c r="H9490" s="11" t="s">
        <v>21</v>
      </c>
      <c r="I9490" s="12" t="n">
        <v>40</v>
      </c>
      <c r="J9490" s="13" t="n">
        <v>102</v>
      </c>
      <c r="K9490" s="14" t="n">
        <f aca="false">I9490*J9490</f>
        <v>4080</v>
      </c>
      <c r="L9490" s="14" t="n">
        <f aca="false">($L$2*M9490)/100</f>
        <v>420583.275</v>
      </c>
      <c r="M9490" s="15" t="n">
        <v>0.35</v>
      </c>
      <c r="N9490" s="9" t="s">
        <v>26</v>
      </c>
    </row>
    <row r="9491" customFormat="false" ht="14.25" hidden="false" customHeight="true" outlineLevel="0" collapsed="false">
      <c r="B9491" s="9" t="s">
        <v>63</v>
      </c>
      <c r="C9491" s="9" t="n">
        <v>1185732</v>
      </c>
      <c r="D9491" s="10" t="n">
        <v>44514</v>
      </c>
      <c r="E9491" s="9" t="s">
        <v>17</v>
      </c>
      <c r="F9491" s="9" t="s">
        <v>131</v>
      </c>
      <c r="G9491" s="9" t="s">
        <v>132</v>
      </c>
      <c r="H9491" s="11" t="s">
        <v>22</v>
      </c>
      <c r="I9491" s="12" t="n">
        <v>44</v>
      </c>
      <c r="J9491" s="13" t="n">
        <v>91</v>
      </c>
      <c r="K9491" s="14" t="n">
        <f aca="false">I9491*J9491</f>
        <v>4004</v>
      </c>
      <c r="L9491" s="14" t="n">
        <f aca="false">($L$2*M9491)/100</f>
        <v>360499.95</v>
      </c>
      <c r="M9491" s="15" t="n">
        <v>0.3</v>
      </c>
      <c r="N9491" s="9" t="s">
        <v>26</v>
      </c>
    </row>
    <row r="9492" customFormat="false" ht="14.25" hidden="false" customHeight="true" outlineLevel="0" collapsed="false">
      <c r="B9492" s="9" t="s">
        <v>63</v>
      </c>
      <c r="C9492" s="9" t="n">
        <v>1185732</v>
      </c>
      <c r="D9492" s="10" t="n">
        <v>44514</v>
      </c>
      <c r="E9492" s="9" t="s">
        <v>17</v>
      </c>
      <c r="F9492" s="9" t="s">
        <v>131</v>
      </c>
      <c r="G9492" s="9" t="s">
        <v>132</v>
      </c>
      <c r="H9492" s="11" t="s">
        <v>23</v>
      </c>
      <c r="I9492" s="12" t="n">
        <v>42</v>
      </c>
      <c r="J9492" s="13" t="n">
        <v>83</v>
      </c>
      <c r="K9492" s="14" t="n">
        <f aca="false">I9492*J9492</f>
        <v>3486</v>
      </c>
      <c r="L9492" s="14" t="n">
        <f aca="false">($L$2*M9492)/100</f>
        <v>348483.285</v>
      </c>
      <c r="M9492" s="15" t="n">
        <v>0.29</v>
      </c>
      <c r="N9492" s="9" t="s">
        <v>26</v>
      </c>
    </row>
    <row r="9493" customFormat="false" ht="14.25" hidden="false" customHeight="true" outlineLevel="0" collapsed="false">
      <c r="B9493" s="9" t="s">
        <v>63</v>
      </c>
      <c r="C9493" s="9" t="n">
        <v>1185732</v>
      </c>
      <c r="D9493" s="10" t="n">
        <v>44514</v>
      </c>
      <c r="E9493" s="9" t="s">
        <v>17</v>
      </c>
      <c r="F9493" s="9" t="s">
        <v>131</v>
      </c>
      <c r="G9493" s="9" t="s">
        <v>132</v>
      </c>
      <c r="H9493" s="11" t="s">
        <v>24</v>
      </c>
      <c r="I9493" s="12" t="n">
        <v>50</v>
      </c>
      <c r="J9493" s="13" t="n">
        <v>78</v>
      </c>
      <c r="K9493" s="14" t="n">
        <f aca="false">I9493*J9493</f>
        <v>3900</v>
      </c>
      <c r="L9493" s="14" t="n">
        <f aca="false">($L$2*M9493)/100</f>
        <v>384533.28</v>
      </c>
      <c r="M9493" s="15" t="n">
        <v>0.32</v>
      </c>
      <c r="N9493" s="9" t="s">
        <v>26</v>
      </c>
    </row>
    <row r="9494" customFormat="false" ht="14.25" hidden="false" customHeight="true" outlineLevel="0" collapsed="false">
      <c r="B9494" s="9" t="s">
        <v>63</v>
      </c>
      <c r="C9494" s="9" t="n">
        <v>1185732</v>
      </c>
      <c r="D9494" s="10" t="n">
        <v>44514</v>
      </c>
      <c r="E9494" s="9" t="s">
        <v>17</v>
      </c>
      <c r="F9494" s="9" t="s">
        <v>131</v>
      </c>
      <c r="G9494" s="9" t="s">
        <v>132</v>
      </c>
      <c r="H9494" s="11" t="s">
        <v>25</v>
      </c>
      <c r="I9494" s="12" t="n">
        <v>48</v>
      </c>
      <c r="J9494" s="13" t="n">
        <v>123</v>
      </c>
      <c r="K9494" s="14" t="n">
        <f aca="false">I9494*J9494</f>
        <v>5904</v>
      </c>
      <c r="L9494" s="14" t="n">
        <f aca="false">($L$2*M9494)/100</f>
        <v>420583.275</v>
      </c>
      <c r="M9494" s="15" t="n">
        <v>0.35</v>
      </c>
      <c r="N9494" s="9" t="s">
        <v>26</v>
      </c>
    </row>
    <row r="9495" customFormat="false" ht="14.25" hidden="false" customHeight="true" outlineLevel="0" collapsed="false">
      <c r="B9495" s="9" t="s">
        <v>63</v>
      </c>
      <c r="C9495" s="9" t="n">
        <v>1185732</v>
      </c>
      <c r="D9495" s="10" t="n">
        <v>44543</v>
      </c>
      <c r="E9495" s="9" t="s">
        <v>17</v>
      </c>
      <c r="F9495" s="9" t="s">
        <v>131</v>
      </c>
      <c r="G9495" s="9" t="s">
        <v>132</v>
      </c>
      <c r="H9495" s="11" t="s">
        <v>19</v>
      </c>
      <c r="I9495" s="12" t="n">
        <v>51</v>
      </c>
      <c r="J9495" s="13" t="n">
        <v>178</v>
      </c>
      <c r="K9495" s="14" t="n">
        <f aca="false">I9495*J9495</f>
        <v>9078</v>
      </c>
      <c r="L9495" s="14" t="n">
        <f aca="false">($L$2*M9495)/100</f>
        <v>420583.275</v>
      </c>
      <c r="M9495" s="15" t="n">
        <v>0.35</v>
      </c>
      <c r="N9495" s="9" t="s">
        <v>26</v>
      </c>
    </row>
    <row r="9496" customFormat="false" ht="14.25" hidden="false" customHeight="true" outlineLevel="0" collapsed="false">
      <c r="B9496" s="9" t="s">
        <v>63</v>
      </c>
      <c r="C9496" s="9" t="n">
        <v>1185732</v>
      </c>
      <c r="D9496" s="10" t="n">
        <v>44543</v>
      </c>
      <c r="E9496" s="9" t="s">
        <v>17</v>
      </c>
      <c r="F9496" s="9" t="s">
        <v>131</v>
      </c>
      <c r="G9496" s="9" t="s">
        <v>132</v>
      </c>
      <c r="H9496" s="11" t="s">
        <v>21</v>
      </c>
      <c r="I9496" s="12" t="n">
        <v>37</v>
      </c>
      <c r="J9496" s="13" t="n">
        <v>113</v>
      </c>
      <c r="K9496" s="14" t="n">
        <f aca="false">I9496*J9496</f>
        <v>4181</v>
      </c>
      <c r="L9496" s="14" t="n">
        <f aca="false">($L$2*M9496)/100</f>
        <v>384533.28</v>
      </c>
      <c r="M9496" s="15" t="n">
        <v>0.32</v>
      </c>
      <c r="N9496" s="9" t="s">
        <v>26</v>
      </c>
    </row>
    <row r="9497" customFormat="false" ht="14.25" hidden="false" customHeight="true" outlineLevel="0" collapsed="false">
      <c r="B9497" s="9" t="s">
        <v>63</v>
      </c>
      <c r="C9497" s="9" t="n">
        <v>1185732</v>
      </c>
      <c r="D9497" s="10" t="n">
        <v>44543</v>
      </c>
      <c r="E9497" s="9" t="s">
        <v>17</v>
      </c>
      <c r="F9497" s="9" t="s">
        <v>131</v>
      </c>
      <c r="G9497" s="9" t="s">
        <v>132</v>
      </c>
      <c r="H9497" s="11" t="s">
        <v>22</v>
      </c>
      <c r="I9497" s="12" t="n">
        <v>36</v>
      </c>
      <c r="J9497" s="13" t="n">
        <v>112</v>
      </c>
      <c r="K9497" s="14" t="n">
        <f aca="false">I9497*J9497</f>
        <v>4032</v>
      </c>
      <c r="L9497" s="14" t="n">
        <f aca="false">($L$2*M9497)/100</f>
        <v>324449.955</v>
      </c>
      <c r="M9497" s="15" t="n">
        <v>0.27</v>
      </c>
      <c r="N9497" s="9" t="s">
        <v>26</v>
      </c>
    </row>
    <row r="9498" customFormat="false" ht="14.25" hidden="false" customHeight="true" outlineLevel="0" collapsed="false">
      <c r="B9498" s="9" t="s">
        <v>63</v>
      </c>
      <c r="C9498" s="9" t="n">
        <v>1185732</v>
      </c>
      <c r="D9498" s="10" t="n">
        <v>44543</v>
      </c>
      <c r="E9498" s="9" t="s">
        <v>17</v>
      </c>
      <c r="F9498" s="9" t="s">
        <v>131</v>
      </c>
      <c r="G9498" s="9" t="s">
        <v>132</v>
      </c>
      <c r="H9498" s="11" t="s">
        <v>23</v>
      </c>
      <c r="I9498" s="12" t="n">
        <v>43</v>
      </c>
      <c r="J9498" s="13" t="n">
        <v>105</v>
      </c>
      <c r="K9498" s="14" t="n">
        <f aca="false">I9498*J9498</f>
        <v>4515</v>
      </c>
      <c r="L9498" s="14" t="n">
        <f aca="false">($L$2*M9498)/100</f>
        <v>336466.62</v>
      </c>
      <c r="M9498" s="15" t="n">
        <v>0.28</v>
      </c>
      <c r="N9498" s="9" t="s">
        <v>26</v>
      </c>
    </row>
    <row r="9499" customFormat="false" ht="14.25" hidden="false" customHeight="true" outlineLevel="0" collapsed="false">
      <c r="B9499" s="9" t="s">
        <v>63</v>
      </c>
      <c r="C9499" s="9" t="n">
        <v>1185732</v>
      </c>
      <c r="D9499" s="10" t="n">
        <v>44543</v>
      </c>
      <c r="E9499" s="9" t="s">
        <v>17</v>
      </c>
      <c r="F9499" s="9" t="s">
        <v>131</v>
      </c>
      <c r="G9499" s="9" t="s">
        <v>132</v>
      </c>
      <c r="H9499" s="11" t="s">
        <v>24</v>
      </c>
      <c r="I9499" s="12" t="n">
        <v>52</v>
      </c>
      <c r="J9499" s="13" t="n">
        <v>90</v>
      </c>
      <c r="K9499" s="14" t="n">
        <f aca="false">I9499*J9499</f>
        <v>4680</v>
      </c>
      <c r="L9499" s="14" t="n">
        <f aca="false">($L$2*M9499)/100</f>
        <v>348483.285</v>
      </c>
      <c r="M9499" s="15" t="n">
        <v>0.29</v>
      </c>
      <c r="N9499" s="9" t="s">
        <v>26</v>
      </c>
    </row>
    <row r="9500" customFormat="false" ht="14.25" hidden="false" customHeight="true" outlineLevel="0" collapsed="false">
      <c r="B9500" s="9" t="s">
        <v>63</v>
      </c>
      <c r="C9500" s="9" t="n">
        <v>1185732</v>
      </c>
      <c r="D9500" s="10" t="n">
        <v>44543</v>
      </c>
      <c r="E9500" s="9" t="s">
        <v>17</v>
      </c>
      <c r="F9500" s="9" t="s">
        <v>131</v>
      </c>
      <c r="G9500" s="9" t="s">
        <v>132</v>
      </c>
      <c r="H9500" s="11" t="s">
        <v>25</v>
      </c>
      <c r="I9500" s="12" t="n">
        <v>51</v>
      </c>
      <c r="J9500" s="13" t="n">
        <v>128</v>
      </c>
      <c r="K9500" s="14" t="n">
        <f aca="false">I9500*J9500</f>
        <v>6528</v>
      </c>
      <c r="L9500" s="14" t="n">
        <f aca="false">($L$2*M9500)/100</f>
        <v>396549.945</v>
      </c>
      <c r="M9500" s="15" t="n">
        <v>0.33</v>
      </c>
      <c r="N9500" s="9" t="s">
        <v>26</v>
      </c>
    </row>
    <row r="9501" customFormat="false" ht="14.25" hidden="false" customHeight="true" outlineLevel="0" collapsed="false">
      <c r="B9501" s="9" t="s">
        <v>63</v>
      </c>
      <c r="C9501" s="9" t="n">
        <v>1185732</v>
      </c>
      <c r="D9501" s="10" t="n">
        <v>44210</v>
      </c>
      <c r="E9501" s="9" t="s">
        <v>17</v>
      </c>
      <c r="F9501" s="9" t="s">
        <v>131</v>
      </c>
      <c r="G9501" s="9" t="s">
        <v>132</v>
      </c>
      <c r="H9501" s="11" t="s">
        <v>19</v>
      </c>
      <c r="I9501" s="12" t="n">
        <v>35</v>
      </c>
      <c r="J9501" s="13" t="n">
        <v>179</v>
      </c>
      <c r="K9501" s="14" t="n">
        <f aca="false">I9501*J9501</f>
        <v>6265</v>
      </c>
      <c r="L9501" s="14" t="n">
        <f aca="false">($L$2*M9501)/100</f>
        <v>624866.58</v>
      </c>
      <c r="M9501" s="15" t="n">
        <v>0.52</v>
      </c>
      <c r="N9501" s="9" t="s">
        <v>26</v>
      </c>
    </row>
    <row r="9502" customFormat="false" ht="14.25" hidden="false" customHeight="true" outlineLevel="0" collapsed="false">
      <c r="B9502" s="9" t="s">
        <v>63</v>
      </c>
      <c r="C9502" s="9" t="n">
        <v>1185732</v>
      </c>
      <c r="D9502" s="10" t="n">
        <v>44210</v>
      </c>
      <c r="E9502" s="9" t="s">
        <v>17</v>
      </c>
      <c r="F9502" s="9" t="s">
        <v>131</v>
      </c>
      <c r="G9502" s="9" t="s">
        <v>132</v>
      </c>
      <c r="H9502" s="11" t="s">
        <v>21</v>
      </c>
      <c r="I9502" s="12" t="n">
        <v>36</v>
      </c>
      <c r="J9502" s="13" t="n">
        <v>107</v>
      </c>
      <c r="K9502" s="14" t="n">
        <f aca="false">I9502*J9502</f>
        <v>3852</v>
      </c>
      <c r="L9502" s="14" t="n">
        <f aca="false">($L$2*M9502)/100</f>
        <v>588816.585</v>
      </c>
      <c r="M9502" s="15" t="n">
        <v>0.49</v>
      </c>
      <c r="N9502" s="9" t="s">
        <v>26</v>
      </c>
    </row>
    <row r="9503" customFormat="false" ht="14.25" hidden="false" customHeight="true" outlineLevel="0" collapsed="false">
      <c r="B9503" s="9" t="s">
        <v>63</v>
      </c>
      <c r="C9503" s="9" t="n">
        <v>1185732</v>
      </c>
      <c r="D9503" s="10" t="n">
        <v>44210</v>
      </c>
      <c r="E9503" s="9" t="s">
        <v>17</v>
      </c>
      <c r="F9503" s="9" t="s">
        <v>131</v>
      </c>
      <c r="G9503" s="9" t="s">
        <v>132</v>
      </c>
      <c r="H9503" s="11" t="s">
        <v>22</v>
      </c>
      <c r="I9503" s="12" t="n">
        <v>27</v>
      </c>
      <c r="J9503" s="13" t="n">
        <v>101</v>
      </c>
      <c r="K9503" s="14" t="n">
        <f aca="false">I9503*J9503</f>
        <v>2727</v>
      </c>
      <c r="L9503" s="14" t="n">
        <f aca="false">($L$2*M9503)/100</f>
        <v>480666.6</v>
      </c>
      <c r="M9503" s="15" t="n">
        <v>0.4</v>
      </c>
      <c r="N9503" s="9" t="s">
        <v>26</v>
      </c>
    </row>
    <row r="9504" customFormat="false" ht="14.25" hidden="false" customHeight="true" outlineLevel="0" collapsed="false">
      <c r="B9504" s="9" t="s">
        <v>63</v>
      </c>
      <c r="C9504" s="9" t="n">
        <v>1185732</v>
      </c>
      <c r="D9504" s="10" t="n">
        <v>44210</v>
      </c>
      <c r="E9504" s="9" t="s">
        <v>17</v>
      </c>
      <c r="F9504" s="9" t="s">
        <v>131</v>
      </c>
      <c r="G9504" s="9" t="s">
        <v>132</v>
      </c>
      <c r="H9504" s="11" t="s">
        <v>23</v>
      </c>
      <c r="I9504" s="12" t="n">
        <v>29</v>
      </c>
      <c r="J9504" s="13" t="n">
        <v>53</v>
      </c>
      <c r="K9504" s="14" t="n">
        <f aca="false">I9504*J9504</f>
        <v>1537</v>
      </c>
      <c r="L9504" s="14" t="n">
        <f aca="false">($L$2*M9504)/100</f>
        <v>468649.935</v>
      </c>
      <c r="M9504" s="15" t="n">
        <v>0.39</v>
      </c>
      <c r="N9504" s="9" t="s">
        <v>26</v>
      </c>
    </row>
    <row r="9505" customFormat="false" ht="14.25" hidden="false" customHeight="true" outlineLevel="0" collapsed="false">
      <c r="B9505" s="9" t="s">
        <v>63</v>
      </c>
      <c r="C9505" s="9" t="n">
        <v>1185732</v>
      </c>
      <c r="D9505" s="10" t="n">
        <v>44210</v>
      </c>
      <c r="E9505" s="9" t="s">
        <v>17</v>
      </c>
      <c r="F9505" s="9" t="s">
        <v>131</v>
      </c>
      <c r="G9505" s="9" t="s">
        <v>132</v>
      </c>
      <c r="H9505" s="11" t="s">
        <v>24</v>
      </c>
      <c r="I9505" s="12" t="n">
        <v>37</v>
      </c>
      <c r="J9505" s="13" t="n">
        <v>70</v>
      </c>
      <c r="K9505" s="14" t="n">
        <f aca="false">I9505*J9505</f>
        <v>2590</v>
      </c>
      <c r="L9505" s="14" t="n">
        <f aca="false">($L$2*M9505)/100</f>
        <v>492683.265</v>
      </c>
      <c r="M9505" s="15" t="n">
        <v>0.41</v>
      </c>
      <c r="N9505" s="9" t="s">
        <v>26</v>
      </c>
    </row>
    <row r="9506" customFormat="false" ht="14.25" hidden="false" customHeight="true" outlineLevel="0" collapsed="false">
      <c r="B9506" s="9" t="s">
        <v>63</v>
      </c>
      <c r="C9506" s="9" t="n">
        <v>1185732</v>
      </c>
      <c r="D9506" s="10" t="n">
        <v>44210</v>
      </c>
      <c r="E9506" s="9" t="s">
        <v>17</v>
      </c>
      <c r="F9506" s="9" t="s">
        <v>131</v>
      </c>
      <c r="G9506" s="9" t="s">
        <v>132</v>
      </c>
      <c r="H9506" s="11" t="s">
        <v>25</v>
      </c>
      <c r="I9506" s="12" t="n">
        <v>34</v>
      </c>
      <c r="J9506" s="13" t="n">
        <v>104</v>
      </c>
      <c r="K9506" s="14" t="n">
        <f aca="false">I9506*J9506</f>
        <v>3536</v>
      </c>
      <c r="L9506" s="14" t="n">
        <f aca="false">($L$2*M9506)/100</f>
        <v>516716.595</v>
      </c>
      <c r="M9506" s="15" t="n">
        <v>0.43</v>
      </c>
      <c r="N9506" s="9" t="s">
        <v>26</v>
      </c>
    </row>
    <row r="9507" customFormat="false" ht="14.25" hidden="false" customHeight="true" outlineLevel="0" collapsed="false">
      <c r="B9507" s="9" t="s">
        <v>63</v>
      </c>
      <c r="C9507" s="9" t="n">
        <v>1185732</v>
      </c>
      <c r="D9507" s="10" t="n">
        <v>44239</v>
      </c>
      <c r="E9507" s="9" t="s">
        <v>17</v>
      </c>
      <c r="F9507" s="9" t="s">
        <v>131</v>
      </c>
      <c r="G9507" s="9" t="s">
        <v>132</v>
      </c>
      <c r="H9507" s="11" t="s">
        <v>19</v>
      </c>
      <c r="I9507" s="12" t="n">
        <v>33</v>
      </c>
      <c r="J9507" s="13" t="n">
        <v>184</v>
      </c>
      <c r="K9507" s="14" t="n">
        <f aca="false">I9507*J9507</f>
        <v>6072</v>
      </c>
      <c r="L9507" s="14" t="n">
        <f aca="false">($L$2*M9507)/100</f>
        <v>564783.255</v>
      </c>
      <c r="M9507" s="15" t="n">
        <v>0.47</v>
      </c>
      <c r="N9507" s="9" t="s">
        <v>26</v>
      </c>
    </row>
    <row r="9508" customFormat="false" ht="14.25" hidden="false" customHeight="true" outlineLevel="0" collapsed="false">
      <c r="B9508" s="9" t="s">
        <v>63</v>
      </c>
      <c r="C9508" s="9" t="n">
        <v>1185732</v>
      </c>
      <c r="D9508" s="10" t="n">
        <v>44239</v>
      </c>
      <c r="E9508" s="9" t="s">
        <v>17</v>
      </c>
      <c r="F9508" s="9" t="s">
        <v>131</v>
      </c>
      <c r="G9508" s="9" t="s">
        <v>132</v>
      </c>
      <c r="H9508" s="11" t="s">
        <v>21</v>
      </c>
      <c r="I9508" s="12" t="n">
        <v>33</v>
      </c>
      <c r="J9508" s="13" t="n">
        <v>72</v>
      </c>
      <c r="K9508" s="14" t="n">
        <f aca="false">I9508*J9508</f>
        <v>2376</v>
      </c>
      <c r="L9508" s="14" t="n">
        <f aca="false">($L$2*M9508)/100</f>
        <v>564783.255</v>
      </c>
      <c r="M9508" s="15" t="n">
        <v>0.47</v>
      </c>
      <c r="N9508" s="9" t="s">
        <v>26</v>
      </c>
    </row>
    <row r="9509" customFormat="false" ht="14.25" hidden="false" customHeight="true" outlineLevel="0" collapsed="false">
      <c r="B9509" s="9" t="s">
        <v>63</v>
      </c>
      <c r="C9509" s="9" t="n">
        <v>1185732</v>
      </c>
      <c r="D9509" s="10" t="n">
        <v>44239</v>
      </c>
      <c r="E9509" s="9" t="s">
        <v>17</v>
      </c>
      <c r="F9509" s="9" t="s">
        <v>131</v>
      </c>
      <c r="G9509" s="9" t="s">
        <v>132</v>
      </c>
      <c r="H9509" s="11" t="s">
        <v>22</v>
      </c>
      <c r="I9509" s="12" t="n">
        <v>25</v>
      </c>
      <c r="J9509" s="13" t="n">
        <v>85</v>
      </c>
      <c r="K9509" s="14" t="n">
        <f aca="false">I9509*J9509</f>
        <v>2125</v>
      </c>
      <c r="L9509" s="14" t="n">
        <f aca="false">($L$2*M9509)/100</f>
        <v>480666.6</v>
      </c>
      <c r="M9509" s="15" t="n">
        <v>0.4</v>
      </c>
      <c r="N9509" s="9" t="s">
        <v>26</v>
      </c>
    </row>
    <row r="9510" customFormat="false" ht="14.25" hidden="false" customHeight="true" outlineLevel="0" collapsed="false">
      <c r="B9510" s="9" t="s">
        <v>63</v>
      </c>
      <c r="C9510" s="9" t="n">
        <v>1185732</v>
      </c>
      <c r="D9510" s="10" t="n">
        <v>44239</v>
      </c>
      <c r="E9510" s="9" t="s">
        <v>17</v>
      </c>
      <c r="F9510" s="9" t="s">
        <v>133</v>
      </c>
      <c r="G9510" s="9" t="s">
        <v>134</v>
      </c>
      <c r="H9510" s="11" t="s">
        <v>23</v>
      </c>
      <c r="I9510" s="12" t="n">
        <v>30</v>
      </c>
      <c r="J9510" s="13" t="n">
        <v>48</v>
      </c>
      <c r="K9510" s="14" t="n">
        <f aca="false">I9510*J9510</f>
        <v>1440</v>
      </c>
      <c r="L9510" s="14" t="n">
        <f aca="false">($L$2*M9510)/100</f>
        <v>456633.27</v>
      </c>
      <c r="M9510" s="15" t="n">
        <v>0.38</v>
      </c>
      <c r="N9510" s="9" t="s">
        <v>26</v>
      </c>
    </row>
    <row r="9511" customFormat="false" ht="14.25" hidden="false" customHeight="true" outlineLevel="0" collapsed="false">
      <c r="B9511" s="9" t="s">
        <v>63</v>
      </c>
      <c r="C9511" s="9" t="n">
        <v>1185732</v>
      </c>
      <c r="D9511" s="10" t="n">
        <v>44239</v>
      </c>
      <c r="E9511" s="9" t="s">
        <v>17</v>
      </c>
      <c r="F9511" s="9" t="s">
        <v>133</v>
      </c>
      <c r="G9511" s="9" t="s">
        <v>134</v>
      </c>
      <c r="H9511" s="11" t="s">
        <v>24</v>
      </c>
      <c r="I9511" s="12" t="n">
        <v>36</v>
      </c>
      <c r="J9511" s="13" t="n">
        <v>68</v>
      </c>
      <c r="K9511" s="14" t="n">
        <f aca="false">I9511*J9511</f>
        <v>2448</v>
      </c>
      <c r="L9511" s="14" t="n">
        <f aca="false">($L$2*M9511)/100</f>
        <v>468649.935</v>
      </c>
      <c r="M9511" s="15" t="n">
        <v>0.39</v>
      </c>
      <c r="N9511" s="9" t="s">
        <v>26</v>
      </c>
    </row>
    <row r="9512" customFormat="false" ht="14.25" hidden="false" customHeight="true" outlineLevel="0" collapsed="false">
      <c r="B9512" s="9" t="s">
        <v>63</v>
      </c>
      <c r="C9512" s="9" t="n">
        <v>1185732</v>
      </c>
      <c r="D9512" s="10" t="n">
        <v>44239</v>
      </c>
      <c r="E9512" s="9" t="s">
        <v>17</v>
      </c>
      <c r="F9512" s="9" t="s">
        <v>133</v>
      </c>
      <c r="G9512" s="9" t="s">
        <v>134</v>
      </c>
      <c r="H9512" s="11" t="s">
        <v>25</v>
      </c>
      <c r="I9512" s="12" t="n">
        <v>35</v>
      </c>
      <c r="J9512" s="13" t="n">
        <v>107</v>
      </c>
      <c r="K9512" s="14" t="n">
        <f aca="false">I9512*J9512</f>
        <v>3745</v>
      </c>
      <c r="L9512" s="14" t="n">
        <f aca="false">($L$2*M9512)/100</f>
        <v>564783.255</v>
      </c>
      <c r="M9512" s="15" t="n">
        <v>0.47</v>
      </c>
      <c r="N9512" s="9" t="s">
        <v>26</v>
      </c>
    </row>
    <row r="9513" customFormat="false" ht="14.25" hidden="false" customHeight="true" outlineLevel="0" collapsed="false">
      <c r="B9513" s="9" t="s">
        <v>63</v>
      </c>
      <c r="C9513" s="9" t="n">
        <v>1185732</v>
      </c>
      <c r="D9513" s="10" t="n">
        <v>44265</v>
      </c>
      <c r="E9513" s="9" t="s">
        <v>17</v>
      </c>
      <c r="F9513" s="9" t="s">
        <v>133</v>
      </c>
      <c r="G9513" s="9" t="s">
        <v>134</v>
      </c>
      <c r="H9513" s="11" t="s">
        <v>19</v>
      </c>
      <c r="I9513" s="12" t="n">
        <v>35</v>
      </c>
      <c r="J9513" s="13" t="n">
        <v>185</v>
      </c>
      <c r="K9513" s="14" t="n">
        <f aca="false">I9513*J9513</f>
        <v>6475</v>
      </c>
      <c r="L9513" s="14" t="n">
        <f aca="false">($L$2*M9513)/100</f>
        <v>588816.585</v>
      </c>
      <c r="M9513" s="15" t="n">
        <v>0.49</v>
      </c>
      <c r="N9513" s="9" t="s">
        <v>26</v>
      </c>
    </row>
    <row r="9514" customFormat="false" ht="14.25" hidden="false" customHeight="true" outlineLevel="0" collapsed="false">
      <c r="B9514" s="9" t="s">
        <v>63</v>
      </c>
      <c r="C9514" s="9" t="n">
        <v>1185732</v>
      </c>
      <c r="D9514" s="10" t="n">
        <v>44265</v>
      </c>
      <c r="E9514" s="9" t="s">
        <v>17</v>
      </c>
      <c r="F9514" s="9" t="s">
        <v>133</v>
      </c>
      <c r="G9514" s="9" t="s">
        <v>134</v>
      </c>
      <c r="H9514" s="11" t="s">
        <v>21</v>
      </c>
      <c r="I9514" s="12" t="n">
        <v>36</v>
      </c>
      <c r="J9514" s="13" t="n">
        <v>80</v>
      </c>
      <c r="K9514" s="14" t="n">
        <f aca="false">I9514*J9514</f>
        <v>2880</v>
      </c>
      <c r="L9514" s="14" t="n">
        <f aca="false">($L$2*M9514)/100</f>
        <v>600833.25</v>
      </c>
      <c r="M9514" s="15" t="n">
        <v>0.5</v>
      </c>
      <c r="N9514" s="9" t="s">
        <v>26</v>
      </c>
    </row>
    <row r="9515" customFormat="false" ht="14.25" hidden="false" customHeight="true" outlineLevel="0" collapsed="false">
      <c r="B9515" s="9" t="s">
        <v>63</v>
      </c>
      <c r="C9515" s="9" t="n">
        <v>1185732</v>
      </c>
      <c r="D9515" s="10" t="n">
        <v>44265</v>
      </c>
      <c r="E9515" s="9" t="s">
        <v>17</v>
      </c>
      <c r="F9515" s="9" t="s">
        <v>133</v>
      </c>
      <c r="G9515" s="9" t="s">
        <v>134</v>
      </c>
      <c r="H9515" s="11" t="s">
        <v>22</v>
      </c>
      <c r="I9515" s="12" t="n">
        <v>23</v>
      </c>
      <c r="J9515" s="13" t="n">
        <v>85</v>
      </c>
      <c r="K9515" s="14" t="n">
        <f aca="false">I9515*J9515</f>
        <v>1955</v>
      </c>
      <c r="L9515" s="14" t="n">
        <f aca="false">($L$2*M9515)/100</f>
        <v>456633.27</v>
      </c>
      <c r="M9515" s="15" t="n">
        <v>0.38</v>
      </c>
      <c r="N9515" s="9" t="s">
        <v>26</v>
      </c>
    </row>
    <row r="9516" customFormat="false" ht="14.25" hidden="false" customHeight="true" outlineLevel="0" collapsed="false">
      <c r="B9516" s="9" t="s">
        <v>63</v>
      </c>
      <c r="C9516" s="9" t="n">
        <v>1185732</v>
      </c>
      <c r="D9516" s="10" t="n">
        <v>44265</v>
      </c>
      <c r="E9516" s="9" t="s">
        <v>17</v>
      </c>
      <c r="F9516" s="9" t="s">
        <v>133</v>
      </c>
      <c r="G9516" s="9" t="s">
        <v>134</v>
      </c>
      <c r="H9516" s="11" t="s">
        <v>23</v>
      </c>
      <c r="I9516" s="12" t="n">
        <v>30</v>
      </c>
      <c r="J9516" s="13" t="n">
        <v>39</v>
      </c>
      <c r="K9516" s="14" t="n">
        <f aca="false">I9516*J9516</f>
        <v>1170</v>
      </c>
      <c r="L9516" s="14" t="n">
        <f aca="false">($L$2*M9516)/100</f>
        <v>480666.6</v>
      </c>
      <c r="M9516" s="15" t="n">
        <v>0.4</v>
      </c>
      <c r="N9516" s="9" t="s">
        <v>26</v>
      </c>
    </row>
    <row r="9517" customFormat="false" ht="14.25" hidden="false" customHeight="true" outlineLevel="0" collapsed="false">
      <c r="B9517" s="9" t="s">
        <v>63</v>
      </c>
      <c r="C9517" s="9" t="n">
        <v>1185732</v>
      </c>
      <c r="D9517" s="10" t="n">
        <v>44265</v>
      </c>
      <c r="E9517" s="9" t="s">
        <v>17</v>
      </c>
      <c r="F9517" s="9" t="s">
        <v>133</v>
      </c>
      <c r="G9517" s="9" t="s">
        <v>134</v>
      </c>
      <c r="H9517" s="11" t="s">
        <v>24</v>
      </c>
      <c r="I9517" s="12" t="n">
        <v>36</v>
      </c>
      <c r="J9517" s="13" t="n">
        <v>56</v>
      </c>
      <c r="K9517" s="14" t="n">
        <f aca="false">I9517*J9517</f>
        <v>2016</v>
      </c>
      <c r="L9517" s="14" t="n">
        <f aca="false">($L$2*M9517)/100</f>
        <v>468649.935</v>
      </c>
      <c r="M9517" s="15" t="n">
        <v>0.39</v>
      </c>
      <c r="N9517" s="9" t="s">
        <v>26</v>
      </c>
    </row>
    <row r="9518" customFormat="false" ht="14.25" hidden="false" customHeight="true" outlineLevel="0" collapsed="false">
      <c r="B9518" s="9" t="s">
        <v>63</v>
      </c>
      <c r="C9518" s="9" t="n">
        <v>1185732</v>
      </c>
      <c r="D9518" s="10" t="n">
        <v>44265</v>
      </c>
      <c r="E9518" s="9" t="s">
        <v>17</v>
      </c>
      <c r="F9518" s="9" t="s">
        <v>133</v>
      </c>
      <c r="G9518" s="9" t="s">
        <v>134</v>
      </c>
      <c r="H9518" s="11" t="s">
        <v>25</v>
      </c>
      <c r="I9518" s="12" t="n">
        <v>29</v>
      </c>
      <c r="J9518" s="13" t="n">
        <v>96</v>
      </c>
      <c r="K9518" s="14" t="n">
        <f aca="false">I9518*J9518</f>
        <v>2784</v>
      </c>
      <c r="L9518" s="14" t="n">
        <f aca="false">($L$2*M9518)/100</f>
        <v>552766.59</v>
      </c>
      <c r="M9518" s="15" t="n">
        <v>0.46</v>
      </c>
      <c r="N9518" s="9" t="s">
        <v>26</v>
      </c>
    </row>
    <row r="9519" customFormat="false" ht="14.25" hidden="false" customHeight="true" outlineLevel="0" collapsed="false">
      <c r="B9519" s="9" t="s">
        <v>63</v>
      </c>
      <c r="C9519" s="9" t="n">
        <v>1185732</v>
      </c>
      <c r="D9519" s="10" t="n">
        <v>44297</v>
      </c>
      <c r="E9519" s="9" t="s">
        <v>17</v>
      </c>
      <c r="F9519" s="9" t="s">
        <v>133</v>
      </c>
      <c r="G9519" s="9" t="s">
        <v>134</v>
      </c>
      <c r="H9519" s="11" t="s">
        <v>19</v>
      </c>
      <c r="I9519" s="12" t="n">
        <v>30</v>
      </c>
      <c r="J9519" s="13" t="n">
        <v>168</v>
      </c>
      <c r="K9519" s="14" t="n">
        <f aca="false">I9519*J9519</f>
        <v>5040</v>
      </c>
      <c r="L9519" s="14" t="n">
        <f aca="false">($L$2*M9519)/100</f>
        <v>624866.58</v>
      </c>
      <c r="M9519" s="15" t="n">
        <v>0.52</v>
      </c>
      <c r="N9519" s="9" t="s">
        <v>26</v>
      </c>
    </row>
    <row r="9520" customFormat="false" ht="14.25" hidden="false" customHeight="true" outlineLevel="0" collapsed="false">
      <c r="B9520" s="9" t="s">
        <v>63</v>
      </c>
      <c r="C9520" s="9" t="n">
        <v>1185732</v>
      </c>
      <c r="D9520" s="10" t="n">
        <v>44297</v>
      </c>
      <c r="E9520" s="9" t="s">
        <v>17</v>
      </c>
      <c r="F9520" s="9" t="s">
        <v>133</v>
      </c>
      <c r="G9520" s="9" t="s">
        <v>134</v>
      </c>
      <c r="H9520" s="11" t="s">
        <v>21</v>
      </c>
      <c r="I9520" s="12" t="n">
        <v>35</v>
      </c>
      <c r="J9520" s="13" t="n">
        <v>68</v>
      </c>
      <c r="K9520" s="14" t="n">
        <f aca="false">I9520*J9520</f>
        <v>2380</v>
      </c>
      <c r="L9520" s="14" t="n">
        <f aca="false">($L$2*M9520)/100</f>
        <v>564783.255</v>
      </c>
      <c r="M9520" s="15" t="n">
        <v>0.47</v>
      </c>
      <c r="N9520" s="9" t="s">
        <v>26</v>
      </c>
    </row>
    <row r="9521" customFormat="false" ht="14.25" hidden="false" customHeight="true" outlineLevel="0" collapsed="false">
      <c r="B9521" s="9" t="s">
        <v>63</v>
      </c>
      <c r="C9521" s="9" t="n">
        <v>1185732</v>
      </c>
      <c r="D9521" s="10" t="n">
        <v>44297</v>
      </c>
      <c r="E9521" s="9" t="s">
        <v>17</v>
      </c>
      <c r="F9521" s="9" t="s">
        <v>133</v>
      </c>
      <c r="G9521" s="9" t="s">
        <v>134</v>
      </c>
      <c r="H9521" s="11" t="s">
        <v>22</v>
      </c>
      <c r="I9521" s="12" t="n">
        <v>25</v>
      </c>
      <c r="J9521" s="13" t="n">
        <v>74</v>
      </c>
      <c r="K9521" s="14" t="n">
        <f aca="false">I9521*J9521</f>
        <v>1850</v>
      </c>
      <c r="L9521" s="14" t="n">
        <f aca="false">($L$2*M9521)/100</f>
        <v>504699.93</v>
      </c>
      <c r="M9521" s="15" t="n">
        <v>0.42</v>
      </c>
      <c r="N9521" s="9" t="s">
        <v>26</v>
      </c>
    </row>
    <row r="9522" customFormat="false" ht="14.25" hidden="false" customHeight="true" outlineLevel="0" collapsed="false">
      <c r="B9522" s="9" t="s">
        <v>63</v>
      </c>
      <c r="C9522" s="9" t="n">
        <v>1185732</v>
      </c>
      <c r="D9522" s="10" t="n">
        <v>44297</v>
      </c>
      <c r="E9522" s="9" t="s">
        <v>17</v>
      </c>
      <c r="F9522" s="9" t="s">
        <v>133</v>
      </c>
      <c r="G9522" s="9" t="s">
        <v>134</v>
      </c>
      <c r="H9522" s="11" t="s">
        <v>23</v>
      </c>
      <c r="I9522" s="12" t="n">
        <v>30</v>
      </c>
      <c r="J9522" s="13" t="n">
        <v>50</v>
      </c>
      <c r="K9522" s="14" t="n">
        <f aca="false">I9522*J9522</f>
        <v>1500</v>
      </c>
      <c r="L9522" s="14" t="n">
        <f aca="false">($L$2*M9522)/100</f>
        <v>480666.6</v>
      </c>
      <c r="M9522" s="15" t="n">
        <v>0.4</v>
      </c>
      <c r="N9522" s="9" t="s">
        <v>26</v>
      </c>
    </row>
    <row r="9523" customFormat="false" ht="14.25" hidden="false" customHeight="true" outlineLevel="0" collapsed="false">
      <c r="B9523" s="9" t="s">
        <v>63</v>
      </c>
      <c r="C9523" s="9" t="n">
        <v>1185732</v>
      </c>
      <c r="D9523" s="10" t="n">
        <v>44297</v>
      </c>
      <c r="E9523" s="9" t="s">
        <v>17</v>
      </c>
      <c r="F9523" s="9" t="s">
        <v>133</v>
      </c>
      <c r="G9523" s="9" t="s">
        <v>134</v>
      </c>
      <c r="H9523" s="11" t="s">
        <v>24</v>
      </c>
      <c r="I9523" s="12" t="n">
        <v>41</v>
      </c>
      <c r="J9523" s="13" t="n">
        <v>53</v>
      </c>
      <c r="K9523" s="14" t="n">
        <f aca="false">I9523*J9523</f>
        <v>2173</v>
      </c>
      <c r="L9523" s="14" t="n">
        <f aca="false">($L$2*M9523)/100</f>
        <v>504699.93</v>
      </c>
      <c r="M9523" s="15" t="n">
        <v>0.42</v>
      </c>
      <c r="N9523" s="9" t="s">
        <v>26</v>
      </c>
    </row>
    <row r="9524" customFormat="false" ht="14.25" hidden="false" customHeight="true" outlineLevel="0" collapsed="false">
      <c r="B9524" s="9" t="s">
        <v>63</v>
      </c>
      <c r="C9524" s="9" t="n">
        <v>1185732</v>
      </c>
      <c r="D9524" s="10" t="n">
        <v>44297</v>
      </c>
      <c r="E9524" s="9" t="s">
        <v>17</v>
      </c>
      <c r="F9524" s="9" t="s">
        <v>133</v>
      </c>
      <c r="G9524" s="9" t="s">
        <v>134</v>
      </c>
      <c r="H9524" s="11" t="s">
        <v>25</v>
      </c>
      <c r="I9524" s="12" t="n">
        <v>36</v>
      </c>
      <c r="J9524" s="13" t="n">
        <v>90</v>
      </c>
      <c r="K9524" s="14" t="n">
        <f aca="false">I9524*J9524</f>
        <v>3240</v>
      </c>
      <c r="L9524" s="14" t="n">
        <f aca="false">($L$2*M9524)/100</f>
        <v>528733.26</v>
      </c>
      <c r="M9524" s="15" t="n">
        <v>0.44</v>
      </c>
      <c r="N9524" s="9" t="s">
        <v>26</v>
      </c>
    </row>
    <row r="9525" customFormat="false" ht="14.25" hidden="false" customHeight="true" outlineLevel="0" collapsed="false">
      <c r="B9525" s="9" t="s">
        <v>63</v>
      </c>
      <c r="C9525" s="9" t="n">
        <v>1185732</v>
      </c>
      <c r="D9525" s="10" t="n">
        <v>44326</v>
      </c>
      <c r="E9525" s="9" t="s">
        <v>17</v>
      </c>
      <c r="F9525" s="9" t="s">
        <v>133</v>
      </c>
      <c r="G9525" s="9" t="s">
        <v>134</v>
      </c>
      <c r="H9525" s="11" t="s">
        <v>19</v>
      </c>
      <c r="I9525" s="12" t="n">
        <v>48</v>
      </c>
      <c r="J9525" s="13" t="n">
        <v>177</v>
      </c>
      <c r="K9525" s="14" t="n">
        <f aca="false">I9525*J9525</f>
        <v>8496</v>
      </c>
      <c r="L9525" s="14" t="n">
        <f aca="false">($L$2*M9525)/100</f>
        <v>612849.915</v>
      </c>
      <c r="M9525" s="15" t="n">
        <v>0.51</v>
      </c>
      <c r="N9525" s="9" t="s">
        <v>26</v>
      </c>
    </row>
    <row r="9526" customFormat="false" ht="14.25" hidden="false" customHeight="true" outlineLevel="0" collapsed="false">
      <c r="B9526" s="9" t="s">
        <v>63</v>
      </c>
      <c r="C9526" s="9" t="n">
        <v>1185732</v>
      </c>
      <c r="D9526" s="10" t="n">
        <v>44326</v>
      </c>
      <c r="E9526" s="9" t="s">
        <v>17</v>
      </c>
      <c r="F9526" s="9" t="s">
        <v>133</v>
      </c>
      <c r="G9526" s="9" t="s">
        <v>134</v>
      </c>
      <c r="H9526" s="11" t="s">
        <v>21</v>
      </c>
      <c r="I9526" s="12" t="n">
        <v>41</v>
      </c>
      <c r="J9526" s="13" t="n">
        <v>94</v>
      </c>
      <c r="K9526" s="14" t="n">
        <f aca="false">I9526*J9526</f>
        <v>3854</v>
      </c>
      <c r="L9526" s="14" t="n">
        <f aca="false">($L$2*M9526)/100</f>
        <v>612849.915</v>
      </c>
      <c r="M9526" s="15" t="n">
        <v>0.51</v>
      </c>
      <c r="N9526" s="9" t="s">
        <v>26</v>
      </c>
    </row>
    <row r="9527" customFormat="false" ht="14.25" hidden="false" customHeight="true" outlineLevel="0" collapsed="false">
      <c r="B9527" s="9" t="s">
        <v>63</v>
      </c>
      <c r="C9527" s="9" t="n">
        <v>1185732</v>
      </c>
      <c r="D9527" s="10" t="n">
        <v>44326</v>
      </c>
      <c r="E9527" s="9" t="s">
        <v>17</v>
      </c>
      <c r="F9527" s="9" t="s">
        <v>133</v>
      </c>
      <c r="G9527" s="9" t="s">
        <v>134</v>
      </c>
      <c r="H9527" s="11" t="s">
        <v>22</v>
      </c>
      <c r="I9527" s="12" t="n">
        <v>37</v>
      </c>
      <c r="J9527" s="13" t="n">
        <v>96</v>
      </c>
      <c r="K9527" s="14" t="n">
        <f aca="false">I9527*J9527</f>
        <v>3552</v>
      </c>
      <c r="L9527" s="14" t="n">
        <f aca="false">($L$2*M9527)/100</f>
        <v>444616.605</v>
      </c>
      <c r="M9527" s="15" t="n">
        <v>0.37</v>
      </c>
      <c r="N9527" s="9" t="s">
        <v>26</v>
      </c>
    </row>
    <row r="9528" customFormat="false" ht="14.25" hidden="false" customHeight="true" outlineLevel="0" collapsed="false">
      <c r="B9528" s="9" t="s">
        <v>63</v>
      </c>
      <c r="C9528" s="9" t="n">
        <v>1185732</v>
      </c>
      <c r="D9528" s="10" t="n">
        <v>44326</v>
      </c>
      <c r="E9528" s="9" t="s">
        <v>17</v>
      </c>
      <c r="F9528" s="9" t="s">
        <v>133</v>
      </c>
      <c r="G9528" s="9" t="s">
        <v>134</v>
      </c>
      <c r="H9528" s="11" t="s">
        <v>23</v>
      </c>
      <c r="I9528" s="12" t="n">
        <v>40</v>
      </c>
      <c r="J9528" s="13" t="n">
        <v>83</v>
      </c>
      <c r="K9528" s="14" t="n">
        <f aca="false">I9528*J9528</f>
        <v>3320</v>
      </c>
      <c r="L9528" s="14" t="n">
        <f aca="false">($L$2*M9528)/100</f>
        <v>480666.6</v>
      </c>
      <c r="M9528" s="15" t="n">
        <v>0.4</v>
      </c>
      <c r="N9528" s="9" t="s">
        <v>26</v>
      </c>
    </row>
    <row r="9529" customFormat="false" ht="14.25" hidden="false" customHeight="true" outlineLevel="0" collapsed="false">
      <c r="B9529" s="9" t="s">
        <v>63</v>
      </c>
      <c r="C9529" s="9" t="n">
        <v>1185732</v>
      </c>
      <c r="D9529" s="10" t="n">
        <v>44326</v>
      </c>
      <c r="E9529" s="9" t="s">
        <v>17</v>
      </c>
      <c r="F9529" s="9" t="s">
        <v>133</v>
      </c>
      <c r="G9529" s="9" t="s">
        <v>134</v>
      </c>
      <c r="H9529" s="11" t="s">
        <v>24</v>
      </c>
      <c r="I9529" s="12" t="n">
        <v>46</v>
      </c>
      <c r="J9529" s="13" t="n">
        <v>91</v>
      </c>
      <c r="K9529" s="14" t="n">
        <f aca="false">I9529*J9529</f>
        <v>4186</v>
      </c>
      <c r="L9529" s="14" t="n">
        <f aca="false">($L$2*M9529)/100</f>
        <v>492683.265</v>
      </c>
      <c r="M9529" s="15" t="n">
        <v>0.41</v>
      </c>
      <c r="N9529" s="9" t="s">
        <v>26</v>
      </c>
    </row>
    <row r="9530" customFormat="false" ht="14.25" hidden="false" customHeight="true" outlineLevel="0" collapsed="false">
      <c r="B9530" s="9" t="s">
        <v>63</v>
      </c>
      <c r="C9530" s="9" t="n">
        <v>1185732</v>
      </c>
      <c r="D9530" s="10" t="n">
        <v>44326</v>
      </c>
      <c r="E9530" s="9" t="s">
        <v>17</v>
      </c>
      <c r="F9530" s="9" t="s">
        <v>133</v>
      </c>
      <c r="G9530" s="9" t="s">
        <v>134</v>
      </c>
      <c r="H9530" s="11" t="s">
        <v>25</v>
      </c>
      <c r="I9530" s="12" t="n">
        <v>47</v>
      </c>
      <c r="J9530" s="13" t="n">
        <v>120</v>
      </c>
      <c r="K9530" s="14" t="n">
        <f aca="false">I9530*J9530</f>
        <v>5640</v>
      </c>
      <c r="L9530" s="14" t="n">
        <f aca="false">($L$2*M9530)/100</f>
        <v>552766.59</v>
      </c>
      <c r="M9530" s="15" t="n">
        <v>0.46</v>
      </c>
      <c r="N9530" s="9" t="s">
        <v>26</v>
      </c>
    </row>
    <row r="9531" customFormat="false" ht="14.25" hidden="false" customHeight="true" outlineLevel="0" collapsed="false">
      <c r="B9531" s="9" t="s">
        <v>63</v>
      </c>
      <c r="C9531" s="9" t="n">
        <v>1185732</v>
      </c>
      <c r="D9531" s="10" t="n">
        <v>44359</v>
      </c>
      <c r="E9531" s="9" t="s">
        <v>17</v>
      </c>
      <c r="F9531" s="9" t="s">
        <v>133</v>
      </c>
      <c r="G9531" s="9" t="s">
        <v>134</v>
      </c>
      <c r="H9531" s="11" t="s">
        <v>19</v>
      </c>
      <c r="I9531" s="12" t="n">
        <v>47</v>
      </c>
      <c r="J9531" s="13" t="n">
        <v>195</v>
      </c>
      <c r="K9531" s="14" t="n">
        <f aca="false">I9531*J9531</f>
        <v>9165</v>
      </c>
      <c r="L9531" s="14" t="n">
        <f aca="false">($L$2*M9531)/100</f>
        <v>588816.585</v>
      </c>
      <c r="M9531" s="15" t="n">
        <v>0.49</v>
      </c>
      <c r="N9531" s="9" t="s">
        <v>26</v>
      </c>
    </row>
    <row r="9532" customFormat="false" ht="14.25" hidden="false" customHeight="true" outlineLevel="0" collapsed="false">
      <c r="B9532" s="9" t="s">
        <v>63</v>
      </c>
      <c r="C9532" s="9" t="n">
        <v>1185732</v>
      </c>
      <c r="D9532" s="10" t="n">
        <v>44359</v>
      </c>
      <c r="E9532" s="9" t="s">
        <v>17</v>
      </c>
      <c r="F9532" s="9" t="s">
        <v>133</v>
      </c>
      <c r="G9532" s="9" t="s">
        <v>134</v>
      </c>
      <c r="H9532" s="11" t="s">
        <v>21</v>
      </c>
      <c r="I9532" s="12" t="n">
        <v>44</v>
      </c>
      <c r="J9532" s="13" t="n">
        <v>120</v>
      </c>
      <c r="K9532" s="14" t="n">
        <f aca="false">I9532*J9532</f>
        <v>5280</v>
      </c>
      <c r="L9532" s="14" t="n">
        <f aca="false">($L$2*M9532)/100</f>
        <v>600833.25</v>
      </c>
      <c r="M9532" s="15" t="n">
        <v>0.5</v>
      </c>
      <c r="N9532" s="9" t="s">
        <v>26</v>
      </c>
    </row>
    <row r="9533" customFormat="false" ht="14.25" hidden="false" customHeight="true" outlineLevel="0" collapsed="false">
      <c r="B9533" s="9" t="s">
        <v>63</v>
      </c>
      <c r="C9533" s="9" t="n">
        <v>1185732</v>
      </c>
      <c r="D9533" s="10" t="n">
        <v>44359</v>
      </c>
      <c r="E9533" s="9" t="s">
        <v>17</v>
      </c>
      <c r="F9533" s="9" t="s">
        <v>133</v>
      </c>
      <c r="G9533" s="9" t="s">
        <v>134</v>
      </c>
      <c r="H9533" s="11" t="s">
        <v>22</v>
      </c>
      <c r="I9533" s="12" t="n">
        <v>35</v>
      </c>
      <c r="J9533" s="13" t="n">
        <v>104</v>
      </c>
      <c r="K9533" s="14" t="n">
        <f aca="false">I9533*J9533</f>
        <v>3640</v>
      </c>
      <c r="L9533" s="14" t="n">
        <f aca="false">($L$2*M9533)/100</f>
        <v>468649.935</v>
      </c>
      <c r="M9533" s="15" t="n">
        <v>0.39</v>
      </c>
      <c r="N9533" s="9" t="s">
        <v>26</v>
      </c>
    </row>
    <row r="9534" customFormat="false" ht="14.25" hidden="false" customHeight="true" outlineLevel="0" collapsed="false">
      <c r="B9534" s="9" t="s">
        <v>63</v>
      </c>
      <c r="C9534" s="9" t="n">
        <v>1185732</v>
      </c>
      <c r="D9534" s="10" t="n">
        <v>44359</v>
      </c>
      <c r="E9534" s="9" t="s">
        <v>17</v>
      </c>
      <c r="F9534" s="9" t="s">
        <v>133</v>
      </c>
      <c r="G9534" s="9" t="s">
        <v>134</v>
      </c>
      <c r="H9534" s="11" t="s">
        <v>23</v>
      </c>
      <c r="I9534" s="12" t="n">
        <v>38</v>
      </c>
      <c r="J9534" s="13" t="n">
        <v>102</v>
      </c>
      <c r="K9534" s="14" t="n">
        <f aca="false">I9534*J9534</f>
        <v>3876</v>
      </c>
      <c r="L9534" s="14" t="n">
        <f aca="false">($L$2*M9534)/100</f>
        <v>480666.6</v>
      </c>
      <c r="M9534" s="15" t="n">
        <v>0.4</v>
      </c>
      <c r="N9534" s="9" t="s">
        <v>26</v>
      </c>
    </row>
    <row r="9535" customFormat="false" ht="14.25" hidden="false" customHeight="true" outlineLevel="0" collapsed="false">
      <c r="B9535" s="9" t="s">
        <v>63</v>
      </c>
      <c r="C9535" s="9" t="n">
        <v>1185732</v>
      </c>
      <c r="D9535" s="10" t="n">
        <v>44359</v>
      </c>
      <c r="E9535" s="9" t="s">
        <v>17</v>
      </c>
      <c r="F9535" s="9" t="s">
        <v>133</v>
      </c>
      <c r="G9535" s="9" t="s">
        <v>134</v>
      </c>
      <c r="H9535" s="11" t="s">
        <v>24</v>
      </c>
      <c r="I9535" s="12" t="n">
        <v>44</v>
      </c>
      <c r="J9535" s="13" t="n">
        <v>105</v>
      </c>
      <c r="K9535" s="14" t="n">
        <f aca="false">I9535*J9535</f>
        <v>4620</v>
      </c>
      <c r="L9535" s="14" t="n">
        <f aca="false">($L$2*M9535)/100</f>
        <v>492683.265</v>
      </c>
      <c r="M9535" s="15" t="n">
        <v>0.41</v>
      </c>
      <c r="N9535" s="9" t="s">
        <v>26</v>
      </c>
    </row>
    <row r="9536" customFormat="false" ht="14.25" hidden="false" customHeight="true" outlineLevel="0" collapsed="false">
      <c r="B9536" s="9" t="s">
        <v>63</v>
      </c>
      <c r="C9536" s="9" t="n">
        <v>1185732</v>
      </c>
      <c r="D9536" s="10" t="n">
        <v>44359</v>
      </c>
      <c r="E9536" s="9" t="s">
        <v>17</v>
      </c>
      <c r="F9536" s="9" t="s">
        <v>133</v>
      </c>
      <c r="G9536" s="9" t="s">
        <v>134</v>
      </c>
      <c r="H9536" s="11" t="s">
        <v>25</v>
      </c>
      <c r="I9536" s="12" t="n">
        <v>49</v>
      </c>
      <c r="J9536" s="13" t="n">
        <v>158</v>
      </c>
      <c r="K9536" s="14" t="n">
        <f aca="false">I9536*J9536</f>
        <v>7742</v>
      </c>
      <c r="L9536" s="14" t="n">
        <f aca="false">($L$2*M9536)/100</f>
        <v>540749.925</v>
      </c>
      <c r="M9536" s="15" t="n">
        <v>0.45</v>
      </c>
      <c r="N9536" s="9" t="s">
        <v>26</v>
      </c>
    </row>
    <row r="9537" customFormat="false" ht="14.25" hidden="false" customHeight="true" outlineLevel="0" collapsed="false">
      <c r="B9537" s="9" t="s">
        <v>63</v>
      </c>
      <c r="C9537" s="9" t="n">
        <v>1185732</v>
      </c>
      <c r="D9537" s="10" t="n">
        <v>44387</v>
      </c>
      <c r="E9537" s="9" t="s">
        <v>17</v>
      </c>
      <c r="F9537" s="9" t="s">
        <v>133</v>
      </c>
      <c r="G9537" s="9" t="s">
        <v>134</v>
      </c>
      <c r="H9537" s="11" t="s">
        <v>19</v>
      </c>
      <c r="I9537" s="12" t="n">
        <v>45</v>
      </c>
      <c r="J9537" s="13" t="n">
        <v>209</v>
      </c>
      <c r="K9537" s="14" t="n">
        <f aca="false">I9537*J9537</f>
        <v>9405</v>
      </c>
      <c r="L9537" s="14" t="n">
        <f aca="false">($L$2*M9537)/100</f>
        <v>624866.58</v>
      </c>
      <c r="M9537" s="15" t="n">
        <v>0.52</v>
      </c>
      <c r="N9537" s="9" t="s">
        <v>26</v>
      </c>
    </row>
    <row r="9538" customFormat="false" ht="14.25" hidden="false" customHeight="true" outlineLevel="0" collapsed="false">
      <c r="B9538" s="9" t="s">
        <v>63</v>
      </c>
      <c r="C9538" s="9" t="n">
        <v>1185732</v>
      </c>
      <c r="D9538" s="10" t="n">
        <v>44387</v>
      </c>
      <c r="E9538" s="9" t="s">
        <v>17</v>
      </c>
      <c r="F9538" s="9" t="s">
        <v>133</v>
      </c>
      <c r="G9538" s="9" t="s">
        <v>134</v>
      </c>
      <c r="H9538" s="11" t="s">
        <v>21</v>
      </c>
      <c r="I9538" s="12" t="n">
        <v>42</v>
      </c>
      <c r="J9538" s="13" t="n">
        <v>145</v>
      </c>
      <c r="K9538" s="14" t="n">
        <f aca="false">I9538*J9538</f>
        <v>6090</v>
      </c>
      <c r="L9538" s="14" t="n">
        <f aca="false">($L$2*M9538)/100</f>
        <v>600833.25</v>
      </c>
      <c r="M9538" s="15" t="n">
        <v>0.5</v>
      </c>
      <c r="N9538" s="9" t="s">
        <v>26</v>
      </c>
    </row>
    <row r="9539" customFormat="false" ht="14.25" hidden="false" customHeight="true" outlineLevel="0" collapsed="false">
      <c r="B9539" s="9" t="s">
        <v>63</v>
      </c>
      <c r="C9539" s="9" t="n">
        <v>1185732</v>
      </c>
      <c r="D9539" s="10" t="n">
        <v>44387</v>
      </c>
      <c r="E9539" s="9" t="s">
        <v>17</v>
      </c>
      <c r="F9539" s="9" t="s">
        <v>133</v>
      </c>
      <c r="G9539" s="9" t="s">
        <v>134</v>
      </c>
      <c r="H9539" s="11" t="s">
        <v>22</v>
      </c>
      <c r="I9539" s="12" t="n">
        <v>33</v>
      </c>
      <c r="J9539" s="13" t="n">
        <v>109</v>
      </c>
      <c r="K9539" s="14" t="n">
        <f aca="false">I9539*J9539</f>
        <v>3597</v>
      </c>
      <c r="L9539" s="14" t="n">
        <f aca="false">($L$2*M9539)/100</f>
        <v>444616.605</v>
      </c>
      <c r="M9539" s="15" t="n">
        <v>0.37</v>
      </c>
      <c r="N9539" s="9" t="s">
        <v>26</v>
      </c>
    </row>
    <row r="9540" customFormat="false" ht="14.25" hidden="false" customHeight="true" outlineLevel="0" collapsed="false">
      <c r="B9540" s="9" t="s">
        <v>63</v>
      </c>
      <c r="C9540" s="9" t="n">
        <v>1185732</v>
      </c>
      <c r="D9540" s="10" t="n">
        <v>44387</v>
      </c>
      <c r="E9540" s="9" t="s">
        <v>17</v>
      </c>
      <c r="F9540" s="9" t="s">
        <v>133</v>
      </c>
      <c r="G9540" s="9" t="s">
        <v>134</v>
      </c>
      <c r="H9540" s="11" t="s">
        <v>23</v>
      </c>
      <c r="I9540" s="12" t="n">
        <v>36</v>
      </c>
      <c r="J9540" s="13" t="n">
        <v>96</v>
      </c>
      <c r="K9540" s="14" t="n">
        <f aca="false">I9540*J9540</f>
        <v>3456</v>
      </c>
      <c r="L9540" s="14" t="n">
        <f aca="false">($L$2*M9540)/100</f>
        <v>504699.93</v>
      </c>
      <c r="M9540" s="15" t="n">
        <v>0.42</v>
      </c>
      <c r="N9540" s="9" t="s">
        <v>26</v>
      </c>
    </row>
    <row r="9541" customFormat="false" ht="14.25" hidden="false" customHeight="true" outlineLevel="0" collapsed="false">
      <c r="B9541" s="9" t="s">
        <v>63</v>
      </c>
      <c r="C9541" s="9" t="n">
        <v>1185732</v>
      </c>
      <c r="D9541" s="10" t="n">
        <v>44387</v>
      </c>
      <c r="E9541" s="9" t="s">
        <v>17</v>
      </c>
      <c r="F9541" s="9" t="s">
        <v>133</v>
      </c>
      <c r="G9541" s="9" t="s">
        <v>134</v>
      </c>
      <c r="H9541" s="11" t="s">
        <v>24</v>
      </c>
      <c r="I9541" s="12" t="n">
        <v>39</v>
      </c>
      <c r="J9541" s="13" t="n">
        <v>114</v>
      </c>
      <c r="K9541" s="14" t="n">
        <f aca="false">I9541*J9541</f>
        <v>4446</v>
      </c>
      <c r="L9541" s="14" t="n">
        <f aca="false">($L$2*M9541)/100</f>
        <v>456633.27</v>
      </c>
      <c r="M9541" s="15" t="n">
        <v>0.38</v>
      </c>
      <c r="N9541" s="9" t="s">
        <v>26</v>
      </c>
    </row>
    <row r="9542" customFormat="false" ht="14.25" hidden="false" customHeight="true" outlineLevel="0" collapsed="false">
      <c r="B9542" s="9" t="s">
        <v>63</v>
      </c>
      <c r="C9542" s="9" t="n">
        <v>1185732</v>
      </c>
      <c r="D9542" s="10" t="n">
        <v>44387</v>
      </c>
      <c r="E9542" s="9" t="s">
        <v>17</v>
      </c>
      <c r="F9542" s="9" t="s">
        <v>133</v>
      </c>
      <c r="G9542" s="9" t="s">
        <v>134</v>
      </c>
      <c r="H9542" s="11" t="s">
        <v>25</v>
      </c>
      <c r="I9542" s="12" t="n">
        <v>49</v>
      </c>
      <c r="J9542" s="13" t="n">
        <v>175</v>
      </c>
      <c r="K9542" s="14" t="n">
        <f aca="false">I9542*J9542</f>
        <v>8575</v>
      </c>
      <c r="L9542" s="14" t="n">
        <f aca="false">($L$2*M9542)/100</f>
        <v>564783.255</v>
      </c>
      <c r="M9542" s="15" t="n">
        <v>0.47</v>
      </c>
      <c r="N9542" s="9" t="s">
        <v>26</v>
      </c>
    </row>
    <row r="9543" customFormat="false" ht="14.25" hidden="false" customHeight="true" outlineLevel="0" collapsed="false">
      <c r="B9543" s="9" t="s">
        <v>63</v>
      </c>
      <c r="C9543" s="9" t="n">
        <v>1185732</v>
      </c>
      <c r="D9543" s="10" t="n">
        <v>44419</v>
      </c>
      <c r="E9543" s="9" t="s">
        <v>17</v>
      </c>
      <c r="F9543" s="9" t="s">
        <v>133</v>
      </c>
      <c r="G9543" s="9" t="s">
        <v>134</v>
      </c>
      <c r="H9543" s="11" t="s">
        <v>19</v>
      </c>
      <c r="I9543" s="12" t="n">
        <v>42</v>
      </c>
      <c r="J9543" s="13" t="n">
        <v>215</v>
      </c>
      <c r="K9543" s="14" t="n">
        <f aca="false">I9543*J9543</f>
        <v>9030</v>
      </c>
      <c r="L9543" s="14" t="n">
        <f aca="false">($L$2*M9543)/100</f>
        <v>612849.915</v>
      </c>
      <c r="M9543" s="15" t="n">
        <v>0.51</v>
      </c>
      <c r="N9543" s="9" t="s">
        <v>26</v>
      </c>
    </row>
    <row r="9544" customFormat="false" ht="14.25" hidden="false" customHeight="true" outlineLevel="0" collapsed="false">
      <c r="B9544" s="9" t="s">
        <v>63</v>
      </c>
      <c r="C9544" s="9" t="n">
        <v>1185732</v>
      </c>
      <c r="D9544" s="10" t="n">
        <v>44419</v>
      </c>
      <c r="E9544" s="9" t="s">
        <v>17</v>
      </c>
      <c r="F9544" s="9" t="s">
        <v>133</v>
      </c>
      <c r="G9544" s="9" t="s">
        <v>134</v>
      </c>
      <c r="H9544" s="11" t="s">
        <v>21</v>
      </c>
      <c r="I9544" s="12" t="n">
        <v>43</v>
      </c>
      <c r="J9544" s="13" t="n">
        <v>149</v>
      </c>
      <c r="K9544" s="14" t="n">
        <f aca="false">I9544*J9544</f>
        <v>6407</v>
      </c>
      <c r="L9544" s="14" t="n">
        <f aca="false">($L$2*M9544)/100</f>
        <v>624866.58</v>
      </c>
      <c r="M9544" s="15" t="n">
        <v>0.52</v>
      </c>
      <c r="N9544" s="9" t="s">
        <v>26</v>
      </c>
    </row>
    <row r="9545" customFormat="false" ht="14.25" hidden="false" customHeight="true" outlineLevel="0" collapsed="false">
      <c r="B9545" s="9" t="s">
        <v>63</v>
      </c>
      <c r="C9545" s="9" t="n">
        <v>1185732</v>
      </c>
      <c r="D9545" s="10" t="n">
        <v>44419</v>
      </c>
      <c r="E9545" s="9" t="s">
        <v>17</v>
      </c>
      <c r="F9545" s="9" t="s">
        <v>133</v>
      </c>
      <c r="G9545" s="9" t="s">
        <v>134</v>
      </c>
      <c r="H9545" s="11" t="s">
        <v>22</v>
      </c>
      <c r="I9545" s="12" t="n">
        <v>34</v>
      </c>
      <c r="J9545" s="13" t="n">
        <v>116</v>
      </c>
      <c r="K9545" s="14" t="n">
        <f aca="false">I9545*J9545</f>
        <v>3944</v>
      </c>
      <c r="L9545" s="14" t="n">
        <f aca="false">($L$2*M9545)/100</f>
        <v>468649.935</v>
      </c>
      <c r="M9545" s="15" t="n">
        <v>0.39</v>
      </c>
      <c r="N9545" s="9" t="s">
        <v>26</v>
      </c>
    </row>
    <row r="9546" customFormat="false" ht="14.25" hidden="false" customHeight="true" outlineLevel="0" collapsed="false">
      <c r="B9546" s="9" t="s">
        <v>63</v>
      </c>
      <c r="C9546" s="9" t="n">
        <v>1185732</v>
      </c>
      <c r="D9546" s="10" t="n">
        <v>44419</v>
      </c>
      <c r="E9546" s="9" t="s">
        <v>17</v>
      </c>
      <c r="F9546" s="9" t="s">
        <v>133</v>
      </c>
      <c r="G9546" s="9" t="s">
        <v>134</v>
      </c>
      <c r="H9546" s="11" t="s">
        <v>23</v>
      </c>
      <c r="I9546" s="12" t="n">
        <v>40</v>
      </c>
      <c r="J9546" s="13" t="n">
        <v>85</v>
      </c>
      <c r="K9546" s="14" t="n">
        <f aca="false">I9546*J9546</f>
        <v>3400</v>
      </c>
      <c r="L9546" s="14" t="n">
        <f aca="false">($L$2*M9546)/100</f>
        <v>504699.93</v>
      </c>
      <c r="M9546" s="15" t="n">
        <v>0.42</v>
      </c>
      <c r="N9546" s="9" t="s">
        <v>26</v>
      </c>
    </row>
    <row r="9547" customFormat="false" ht="14.25" hidden="false" customHeight="true" outlineLevel="0" collapsed="false">
      <c r="B9547" s="9" t="s">
        <v>63</v>
      </c>
      <c r="C9547" s="9" t="n">
        <v>1185732</v>
      </c>
      <c r="D9547" s="10" t="n">
        <v>44419</v>
      </c>
      <c r="E9547" s="9" t="s">
        <v>17</v>
      </c>
      <c r="F9547" s="9" t="s">
        <v>133</v>
      </c>
      <c r="G9547" s="9" t="s">
        <v>134</v>
      </c>
      <c r="H9547" s="11" t="s">
        <v>24</v>
      </c>
      <c r="I9547" s="12" t="n">
        <v>43</v>
      </c>
      <c r="J9547" s="13" t="n">
        <v>72</v>
      </c>
      <c r="K9547" s="14" t="n">
        <f aca="false">I9547*J9547</f>
        <v>3096</v>
      </c>
      <c r="L9547" s="14" t="n">
        <f aca="false">($L$2*M9547)/100</f>
        <v>468649.935</v>
      </c>
      <c r="M9547" s="15" t="n">
        <v>0.39</v>
      </c>
      <c r="N9547" s="9" t="s">
        <v>26</v>
      </c>
    </row>
    <row r="9548" customFormat="false" ht="14.25" hidden="false" customHeight="true" outlineLevel="0" collapsed="false">
      <c r="B9548" s="9" t="s">
        <v>63</v>
      </c>
      <c r="C9548" s="9" t="n">
        <v>1185732</v>
      </c>
      <c r="D9548" s="10" t="n">
        <v>44419</v>
      </c>
      <c r="E9548" s="9" t="s">
        <v>17</v>
      </c>
      <c r="F9548" s="9" t="s">
        <v>133</v>
      </c>
      <c r="G9548" s="9" t="s">
        <v>134</v>
      </c>
      <c r="H9548" s="11" t="s">
        <v>25</v>
      </c>
      <c r="I9548" s="12" t="n">
        <v>44</v>
      </c>
      <c r="J9548" s="13" t="n">
        <v>136</v>
      </c>
      <c r="K9548" s="14" t="n">
        <f aca="false">I9548*J9548</f>
        <v>5984</v>
      </c>
      <c r="L9548" s="14" t="n">
        <f aca="false">($L$2*M9548)/100</f>
        <v>516716.595</v>
      </c>
      <c r="M9548" s="15" t="n">
        <v>0.43</v>
      </c>
      <c r="N9548" s="9" t="s">
        <v>26</v>
      </c>
    </row>
    <row r="9549" customFormat="false" ht="14.25" hidden="false" customHeight="true" outlineLevel="0" collapsed="false">
      <c r="B9549" s="9" t="s">
        <v>63</v>
      </c>
      <c r="C9549" s="9" t="n">
        <v>1185732</v>
      </c>
      <c r="D9549" s="10" t="n">
        <v>44449</v>
      </c>
      <c r="E9549" s="9" t="s">
        <v>17</v>
      </c>
      <c r="F9549" s="9" t="s">
        <v>133</v>
      </c>
      <c r="G9549" s="9" t="s">
        <v>134</v>
      </c>
      <c r="H9549" s="11" t="s">
        <v>19</v>
      </c>
      <c r="I9549" s="12" t="n">
        <v>44</v>
      </c>
      <c r="J9549" s="13" t="n">
        <v>179</v>
      </c>
      <c r="K9549" s="14" t="n">
        <f aca="false">I9549*J9549</f>
        <v>7876</v>
      </c>
      <c r="L9549" s="14" t="n">
        <f aca="false">($L$2*M9549)/100</f>
        <v>588816.585</v>
      </c>
      <c r="M9549" s="15" t="n">
        <v>0.49</v>
      </c>
      <c r="N9549" s="9" t="s">
        <v>26</v>
      </c>
    </row>
    <row r="9550" customFormat="false" ht="14.25" hidden="false" customHeight="true" outlineLevel="0" collapsed="false">
      <c r="B9550" s="9" t="s">
        <v>63</v>
      </c>
      <c r="C9550" s="9" t="n">
        <v>1185732</v>
      </c>
      <c r="D9550" s="10" t="n">
        <v>44449</v>
      </c>
      <c r="E9550" s="9" t="s">
        <v>17</v>
      </c>
      <c r="F9550" s="9" t="s">
        <v>133</v>
      </c>
      <c r="G9550" s="9" t="s">
        <v>134</v>
      </c>
      <c r="H9550" s="11" t="s">
        <v>21</v>
      </c>
      <c r="I9550" s="12" t="n">
        <v>42</v>
      </c>
      <c r="J9550" s="13" t="n">
        <v>111</v>
      </c>
      <c r="K9550" s="14" t="n">
        <f aca="false">I9550*J9550</f>
        <v>4662</v>
      </c>
      <c r="L9550" s="14" t="n">
        <f aca="false">($L$2*M9550)/100</f>
        <v>612849.915</v>
      </c>
      <c r="M9550" s="15" t="n">
        <v>0.51</v>
      </c>
      <c r="N9550" s="9" t="s">
        <v>26</v>
      </c>
    </row>
    <row r="9551" customFormat="false" ht="14.25" hidden="false" customHeight="true" outlineLevel="0" collapsed="false">
      <c r="B9551" s="9" t="s">
        <v>63</v>
      </c>
      <c r="C9551" s="9" t="n">
        <v>1185732</v>
      </c>
      <c r="D9551" s="10" t="n">
        <v>44449</v>
      </c>
      <c r="E9551" s="9" t="s">
        <v>17</v>
      </c>
      <c r="F9551" s="9" t="s">
        <v>133</v>
      </c>
      <c r="G9551" s="9" t="s">
        <v>134</v>
      </c>
      <c r="H9551" s="11" t="s">
        <v>22</v>
      </c>
      <c r="I9551" s="12" t="n">
        <v>40</v>
      </c>
      <c r="J9551" s="13" t="n">
        <v>72</v>
      </c>
      <c r="K9551" s="14" t="n">
        <f aca="false">I9551*J9551</f>
        <v>2880</v>
      </c>
      <c r="L9551" s="14" t="n">
        <f aca="false">($L$2*M9551)/100</f>
        <v>504699.93</v>
      </c>
      <c r="M9551" s="15" t="n">
        <v>0.42</v>
      </c>
      <c r="N9551" s="9" t="s">
        <v>26</v>
      </c>
    </row>
    <row r="9552" customFormat="false" ht="14.25" hidden="false" customHeight="true" outlineLevel="0" collapsed="false">
      <c r="B9552" s="9" t="s">
        <v>63</v>
      </c>
      <c r="C9552" s="9" t="n">
        <v>1185732</v>
      </c>
      <c r="D9552" s="10" t="n">
        <v>44449</v>
      </c>
      <c r="E9552" s="9" t="s">
        <v>17</v>
      </c>
      <c r="F9552" s="9" t="s">
        <v>133</v>
      </c>
      <c r="G9552" s="9" t="s">
        <v>134</v>
      </c>
      <c r="H9552" s="11" t="s">
        <v>23</v>
      </c>
      <c r="I9552" s="12" t="n">
        <v>35</v>
      </c>
      <c r="J9552" s="13" t="n">
        <v>66</v>
      </c>
      <c r="K9552" s="14" t="n">
        <f aca="false">I9552*J9552</f>
        <v>2310</v>
      </c>
      <c r="L9552" s="14" t="n">
        <f aca="false">($L$2*M9552)/100</f>
        <v>480666.6</v>
      </c>
      <c r="M9552" s="15" t="n">
        <v>0.4</v>
      </c>
      <c r="N9552" s="9" t="s">
        <v>26</v>
      </c>
    </row>
    <row r="9553" customFormat="false" ht="14.25" hidden="false" customHeight="true" outlineLevel="0" collapsed="false">
      <c r="B9553" s="9" t="s">
        <v>63</v>
      </c>
      <c r="C9553" s="9" t="n">
        <v>1185732</v>
      </c>
      <c r="D9553" s="10" t="n">
        <v>44449</v>
      </c>
      <c r="E9553" s="9" t="s">
        <v>17</v>
      </c>
      <c r="F9553" s="9" t="s">
        <v>133</v>
      </c>
      <c r="G9553" s="9" t="s">
        <v>134</v>
      </c>
      <c r="H9553" s="11" t="s">
        <v>24</v>
      </c>
      <c r="I9553" s="12" t="n">
        <v>48</v>
      </c>
      <c r="J9553" s="13" t="n">
        <v>68</v>
      </c>
      <c r="K9553" s="14" t="n">
        <f aca="false">I9553*J9553</f>
        <v>3264</v>
      </c>
      <c r="L9553" s="14" t="n">
        <f aca="false">($L$2*M9553)/100</f>
        <v>444616.605</v>
      </c>
      <c r="M9553" s="15" t="n">
        <v>0.37</v>
      </c>
      <c r="N9553" s="9" t="s">
        <v>26</v>
      </c>
    </row>
    <row r="9554" customFormat="false" ht="14.25" hidden="false" customHeight="true" outlineLevel="0" collapsed="false">
      <c r="B9554" s="9" t="s">
        <v>63</v>
      </c>
      <c r="C9554" s="9" t="n">
        <v>1185732</v>
      </c>
      <c r="D9554" s="10" t="n">
        <v>44449</v>
      </c>
      <c r="E9554" s="9" t="s">
        <v>17</v>
      </c>
      <c r="F9554" s="9" t="s">
        <v>133</v>
      </c>
      <c r="G9554" s="9" t="s">
        <v>134</v>
      </c>
      <c r="H9554" s="11" t="s">
        <v>25</v>
      </c>
      <c r="I9554" s="12" t="n">
        <v>45</v>
      </c>
      <c r="J9554" s="13" t="n">
        <v>93</v>
      </c>
      <c r="K9554" s="14" t="n">
        <f aca="false">I9554*J9554</f>
        <v>4185</v>
      </c>
      <c r="L9554" s="14" t="n">
        <f aca="false">($L$2*M9554)/100</f>
        <v>552766.59</v>
      </c>
      <c r="M9554" s="15" t="n">
        <v>0.46</v>
      </c>
      <c r="N9554" s="9" t="s">
        <v>26</v>
      </c>
    </row>
    <row r="9555" customFormat="false" ht="14.25" hidden="false" customHeight="true" outlineLevel="0" collapsed="false">
      <c r="B9555" s="9" t="s">
        <v>63</v>
      </c>
      <c r="C9555" s="9" t="n">
        <v>1185732</v>
      </c>
      <c r="D9555" s="10" t="n">
        <v>44481</v>
      </c>
      <c r="E9555" s="9" t="s">
        <v>17</v>
      </c>
      <c r="F9555" s="9" t="s">
        <v>133</v>
      </c>
      <c r="G9555" s="9" t="s">
        <v>134</v>
      </c>
      <c r="H9555" s="11" t="s">
        <v>19</v>
      </c>
      <c r="I9555" s="12" t="n">
        <v>44</v>
      </c>
      <c r="J9555" s="13" t="n">
        <v>157</v>
      </c>
      <c r="K9555" s="14" t="n">
        <f aca="false">I9555*J9555</f>
        <v>6908</v>
      </c>
      <c r="L9555" s="14" t="n">
        <f aca="false">($L$2*M9555)/100</f>
        <v>564783.255</v>
      </c>
      <c r="M9555" s="15" t="n">
        <v>0.47</v>
      </c>
      <c r="N9555" s="9" t="s">
        <v>26</v>
      </c>
    </row>
    <row r="9556" customFormat="false" ht="14.25" hidden="false" customHeight="true" outlineLevel="0" collapsed="false">
      <c r="B9556" s="9" t="s">
        <v>63</v>
      </c>
      <c r="C9556" s="9" t="n">
        <v>1185732</v>
      </c>
      <c r="D9556" s="10" t="n">
        <v>44481</v>
      </c>
      <c r="E9556" s="9" t="s">
        <v>17</v>
      </c>
      <c r="F9556" s="9" t="s">
        <v>133</v>
      </c>
      <c r="G9556" s="9" t="s">
        <v>134</v>
      </c>
      <c r="H9556" s="11" t="s">
        <v>21</v>
      </c>
      <c r="I9556" s="12" t="n">
        <v>44</v>
      </c>
      <c r="J9556" s="13" t="n">
        <v>99</v>
      </c>
      <c r="K9556" s="14" t="n">
        <f aca="false">I9556*J9556</f>
        <v>4356</v>
      </c>
      <c r="L9556" s="14" t="n">
        <f aca="false">($L$2*M9556)/100</f>
        <v>588816.585</v>
      </c>
      <c r="M9556" s="15" t="n">
        <v>0.49</v>
      </c>
      <c r="N9556" s="9" t="s">
        <v>26</v>
      </c>
    </row>
    <row r="9557" customFormat="false" ht="14.25" hidden="false" customHeight="true" outlineLevel="0" collapsed="false">
      <c r="B9557" s="9" t="s">
        <v>63</v>
      </c>
      <c r="C9557" s="9" t="n">
        <v>1185732</v>
      </c>
      <c r="D9557" s="10" t="n">
        <v>44481</v>
      </c>
      <c r="E9557" s="9" t="s">
        <v>17</v>
      </c>
      <c r="F9557" s="9" t="s">
        <v>133</v>
      </c>
      <c r="G9557" s="9" t="s">
        <v>134</v>
      </c>
      <c r="H9557" s="11" t="s">
        <v>22</v>
      </c>
      <c r="I9557" s="12" t="n">
        <v>40</v>
      </c>
      <c r="J9557" s="13" t="n">
        <v>66</v>
      </c>
      <c r="K9557" s="14" t="n">
        <f aca="false">I9557*J9557</f>
        <v>2640</v>
      </c>
      <c r="L9557" s="14" t="n">
        <f aca="false">($L$2*M9557)/100</f>
        <v>444616.605</v>
      </c>
      <c r="M9557" s="15" t="n">
        <v>0.37</v>
      </c>
      <c r="N9557" s="9" t="s">
        <v>26</v>
      </c>
    </row>
    <row r="9558" customFormat="false" ht="14.25" hidden="false" customHeight="true" outlineLevel="0" collapsed="false">
      <c r="B9558" s="9" t="s">
        <v>63</v>
      </c>
      <c r="C9558" s="9" t="n">
        <v>1185732</v>
      </c>
      <c r="D9558" s="10" t="n">
        <v>44481</v>
      </c>
      <c r="E9558" s="9" t="s">
        <v>17</v>
      </c>
      <c r="F9558" s="9" t="s">
        <v>133</v>
      </c>
      <c r="G9558" s="9" t="s">
        <v>134</v>
      </c>
      <c r="H9558" s="11" t="s">
        <v>23</v>
      </c>
      <c r="I9558" s="12" t="n">
        <v>46</v>
      </c>
      <c r="J9558" s="13" t="n">
        <v>61</v>
      </c>
      <c r="K9558" s="14" t="n">
        <f aca="false">I9558*J9558</f>
        <v>2806</v>
      </c>
      <c r="L9558" s="14" t="n">
        <f aca="false">($L$2*M9558)/100</f>
        <v>444616.605</v>
      </c>
      <c r="M9558" s="15" t="n">
        <v>0.37</v>
      </c>
      <c r="N9558" s="9" t="s">
        <v>26</v>
      </c>
    </row>
    <row r="9559" customFormat="false" ht="14.25" hidden="false" customHeight="true" outlineLevel="0" collapsed="false">
      <c r="B9559" s="9" t="s">
        <v>63</v>
      </c>
      <c r="C9559" s="9" t="n">
        <v>1185732</v>
      </c>
      <c r="D9559" s="10" t="n">
        <v>44481</v>
      </c>
      <c r="E9559" s="9" t="s">
        <v>17</v>
      </c>
      <c r="F9559" s="9" t="s">
        <v>133</v>
      </c>
      <c r="G9559" s="9" t="s">
        <v>134</v>
      </c>
      <c r="H9559" s="11" t="s">
        <v>24</v>
      </c>
      <c r="I9559" s="12" t="n">
        <v>55</v>
      </c>
      <c r="J9559" s="13" t="n">
        <v>58</v>
      </c>
      <c r="K9559" s="14" t="n">
        <f aca="false">I9559*J9559</f>
        <v>3190</v>
      </c>
      <c r="L9559" s="14" t="n">
        <f aca="false">($L$2*M9559)/100</f>
        <v>444616.605</v>
      </c>
      <c r="M9559" s="15" t="n">
        <v>0.37</v>
      </c>
      <c r="N9559" s="9" t="s">
        <v>26</v>
      </c>
    </row>
    <row r="9560" customFormat="false" ht="14.25" hidden="false" customHeight="true" outlineLevel="0" collapsed="false">
      <c r="B9560" s="9" t="s">
        <v>32</v>
      </c>
      <c r="C9560" s="9" t="n">
        <v>1185732</v>
      </c>
      <c r="D9560" s="10" t="n">
        <v>44481</v>
      </c>
      <c r="E9560" s="9" t="s">
        <v>17</v>
      </c>
      <c r="F9560" s="9" t="s">
        <v>133</v>
      </c>
      <c r="G9560" s="9" t="s">
        <v>134</v>
      </c>
      <c r="H9560" s="11" t="s">
        <v>25</v>
      </c>
      <c r="I9560" s="12" t="n">
        <v>54</v>
      </c>
      <c r="J9560" s="13" t="n">
        <v>90</v>
      </c>
      <c r="K9560" s="14" t="n">
        <f aca="false">I9560*J9560</f>
        <v>4860</v>
      </c>
      <c r="L9560" s="14" t="n">
        <f aca="false">($L$2*M9560)/100</f>
        <v>552766.59</v>
      </c>
      <c r="M9560" s="15" t="n">
        <v>0.46</v>
      </c>
      <c r="N9560" s="9" t="s">
        <v>26</v>
      </c>
    </row>
    <row r="9561" customFormat="false" ht="14.25" hidden="false" customHeight="true" outlineLevel="0" collapsed="false">
      <c r="B9561" s="9" t="s">
        <v>32</v>
      </c>
      <c r="C9561" s="9" t="n">
        <v>1185732</v>
      </c>
      <c r="D9561" s="10" t="n">
        <v>44511</v>
      </c>
      <c r="E9561" s="9" t="s">
        <v>17</v>
      </c>
      <c r="F9561" s="9" t="s">
        <v>133</v>
      </c>
      <c r="G9561" s="9" t="s">
        <v>134</v>
      </c>
      <c r="H9561" s="11" t="s">
        <v>19</v>
      </c>
      <c r="I9561" s="12" t="n">
        <v>54</v>
      </c>
      <c r="J9561" s="13" t="n">
        <v>140</v>
      </c>
      <c r="K9561" s="14" t="n">
        <f aca="false">I9561*J9561</f>
        <v>7560</v>
      </c>
      <c r="L9561" s="14" t="n">
        <f aca="false">($L$2*M9561)/100</f>
        <v>600833.25</v>
      </c>
      <c r="M9561" s="15" t="n">
        <v>0.5</v>
      </c>
      <c r="N9561" s="9" t="s">
        <v>26</v>
      </c>
    </row>
    <row r="9562" customFormat="false" ht="14.25" hidden="false" customHeight="true" outlineLevel="0" collapsed="false">
      <c r="B9562" s="9" t="s">
        <v>32</v>
      </c>
      <c r="C9562" s="9" t="n">
        <v>1185732</v>
      </c>
      <c r="D9562" s="10" t="n">
        <v>44511</v>
      </c>
      <c r="E9562" s="9" t="s">
        <v>17</v>
      </c>
      <c r="F9562" s="9" t="s">
        <v>133</v>
      </c>
      <c r="G9562" s="9" t="s">
        <v>134</v>
      </c>
      <c r="H9562" s="11" t="s">
        <v>21</v>
      </c>
      <c r="I9562" s="12" t="n">
        <v>47</v>
      </c>
      <c r="J9562" s="13" t="n">
        <v>98</v>
      </c>
      <c r="K9562" s="14" t="n">
        <f aca="false">I9562*J9562</f>
        <v>4606</v>
      </c>
      <c r="L9562" s="14" t="n">
        <f aca="false">($L$2*M9562)/100</f>
        <v>588816.585</v>
      </c>
      <c r="M9562" s="15" t="n">
        <v>0.49</v>
      </c>
      <c r="N9562" s="9" t="s">
        <v>26</v>
      </c>
    </row>
    <row r="9563" customFormat="false" ht="14.25" hidden="false" customHeight="true" outlineLevel="0" collapsed="false">
      <c r="B9563" s="9" t="s">
        <v>32</v>
      </c>
      <c r="C9563" s="9" t="n">
        <v>1185732</v>
      </c>
      <c r="D9563" s="10" t="n">
        <v>44511</v>
      </c>
      <c r="E9563" s="9" t="s">
        <v>17</v>
      </c>
      <c r="F9563" s="9" t="s">
        <v>133</v>
      </c>
      <c r="G9563" s="9" t="s">
        <v>134</v>
      </c>
      <c r="H9563" s="11" t="s">
        <v>22</v>
      </c>
      <c r="I9563" s="12" t="n">
        <v>46</v>
      </c>
      <c r="J9563" s="13" t="n">
        <v>102</v>
      </c>
      <c r="K9563" s="14" t="n">
        <f aca="false">I9563*J9563</f>
        <v>4692</v>
      </c>
      <c r="L9563" s="14" t="n">
        <f aca="false">($L$2*M9563)/100</f>
        <v>444616.605</v>
      </c>
      <c r="M9563" s="15" t="n">
        <v>0.37</v>
      </c>
      <c r="N9563" s="9" t="s">
        <v>26</v>
      </c>
    </row>
    <row r="9564" customFormat="false" ht="14.25" hidden="false" customHeight="true" outlineLevel="0" collapsed="false">
      <c r="B9564" s="9" t="s">
        <v>63</v>
      </c>
      <c r="C9564" s="9" t="n">
        <v>1185732</v>
      </c>
      <c r="D9564" s="10" t="n">
        <v>44511</v>
      </c>
      <c r="E9564" s="9" t="s">
        <v>17</v>
      </c>
      <c r="F9564" s="9" t="s">
        <v>133</v>
      </c>
      <c r="G9564" s="9" t="s">
        <v>134</v>
      </c>
      <c r="H9564" s="11" t="s">
        <v>23</v>
      </c>
      <c r="I9564" s="12" t="n">
        <v>42</v>
      </c>
      <c r="J9564" s="13" t="n">
        <v>96</v>
      </c>
      <c r="K9564" s="14" t="n">
        <f aca="false">I9564*J9564</f>
        <v>4032</v>
      </c>
      <c r="L9564" s="14" t="n">
        <f aca="false">($L$2*M9564)/100</f>
        <v>468649.935</v>
      </c>
      <c r="M9564" s="15" t="n">
        <v>0.39</v>
      </c>
      <c r="N9564" s="9" t="s">
        <v>26</v>
      </c>
    </row>
    <row r="9565" customFormat="false" ht="14.25" hidden="false" customHeight="true" outlineLevel="0" collapsed="false">
      <c r="B9565" s="9" t="s">
        <v>63</v>
      </c>
      <c r="C9565" s="9" t="n">
        <v>1185732</v>
      </c>
      <c r="D9565" s="10" t="n">
        <v>44511</v>
      </c>
      <c r="E9565" s="9" t="s">
        <v>17</v>
      </c>
      <c r="F9565" s="9" t="s">
        <v>133</v>
      </c>
      <c r="G9565" s="9" t="s">
        <v>134</v>
      </c>
      <c r="H9565" s="11" t="s">
        <v>24</v>
      </c>
      <c r="I9565" s="12" t="n">
        <v>50</v>
      </c>
      <c r="J9565" s="13" t="n">
        <v>91</v>
      </c>
      <c r="K9565" s="14" t="n">
        <f aca="false">I9565*J9565</f>
        <v>4550</v>
      </c>
      <c r="L9565" s="14" t="n">
        <f aca="false">($L$2*M9565)/100</f>
        <v>468649.935</v>
      </c>
      <c r="M9565" s="15" t="n">
        <v>0.39</v>
      </c>
      <c r="N9565" s="9" t="s">
        <v>26</v>
      </c>
    </row>
    <row r="9566" customFormat="false" ht="14.25" hidden="false" customHeight="true" outlineLevel="0" collapsed="false">
      <c r="B9566" s="9" t="s">
        <v>63</v>
      </c>
      <c r="C9566" s="9" t="n">
        <v>1185732</v>
      </c>
      <c r="D9566" s="10" t="n">
        <v>44511</v>
      </c>
      <c r="E9566" s="9" t="s">
        <v>17</v>
      </c>
      <c r="F9566" s="9" t="s">
        <v>133</v>
      </c>
      <c r="G9566" s="9" t="s">
        <v>134</v>
      </c>
      <c r="H9566" s="11" t="s">
        <v>25</v>
      </c>
      <c r="I9566" s="12" t="n">
        <v>57</v>
      </c>
      <c r="J9566" s="13" t="n">
        <v>128</v>
      </c>
      <c r="K9566" s="14" t="n">
        <f aca="false">I9566*J9566</f>
        <v>7296</v>
      </c>
      <c r="L9566" s="14" t="n">
        <f aca="false">($L$2*M9566)/100</f>
        <v>564783.255</v>
      </c>
      <c r="M9566" s="15" t="n">
        <v>0.47</v>
      </c>
      <c r="N9566" s="9" t="s">
        <v>26</v>
      </c>
    </row>
    <row r="9567" customFormat="false" ht="14.25" hidden="false" customHeight="true" outlineLevel="0" collapsed="false">
      <c r="B9567" s="9" t="s">
        <v>63</v>
      </c>
      <c r="C9567" s="9" t="n">
        <v>1185732</v>
      </c>
      <c r="D9567" s="10" t="n">
        <v>44540</v>
      </c>
      <c r="E9567" s="9" t="s">
        <v>17</v>
      </c>
      <c r="F9567" s="9" t="s">
        <v>133</v>
      </c>
      <c r="G9567" s="9" t="s">
        <v>134</v>
      </c>
      <c r="H9567" s="11" t="s">
        <v>19</v>
      </c>
      <c r="I9567" s="12" t="n">
        <v>48</v>
      </c>
      <c r="J9567" s="13" t="n">
        <v>186</v>
      </c>
      <c r="K9567" s="14" t="n">
        <f aca="false">I9567*J9567</f>
        <v>8928</v>
      </c>
      <c r="L9567" s="14" t="n">
        <f aca="false">($L$2*M9567)/100</f>
        <v>576799.92</v>
      </c>
      <c r="M9567" s="15" t="n">
        <v>0.48</v>
      </c>
      <c r="N9567" s="9" t="s">
        <v>26</v>
      </c>
    </row>
    <row r="9568" customFormat="false" ht="14.25" hidden="false" customHeight="true" outlineLevel="0" collapsed="false">
      <c r="B9568" s="9" t="s">
        <v>63</v>
      </c>
      <c r="C9568" s="9" t="n">
        <v>1185732</v>
      </c>
      <c r="D9568" s="10" t="n">
        <v>44540</v>
      </c>
      <c r="E9568" s="9" t="s">
        <v>17</v>
      </c>
      <c r="F9568" s="9" t="s">
        <v>133</v>
      </c>
      <c r="G9568" s="9" t="s">
        <v>134</v>
      </c>
      <c r="H9568" s="11" t="s">
        <v>21</v>
      </c>
      <c r="I9568" s="12" t="n">
        <v>41</v>
      </c>
      <c r="J9568" s="13" t="n">
        <v>132</v>
      </c>
      <c r="K9568" s="14" t="n">
        <f aca="false">I9568*J9568</f>
        <v>5412</v>
      </c>
      <c r="L9568" s="14" t="n">
        <f aca="false">($L$2*M9568)/100</f>
        <v>612849.915</v>
      </c>
      <c r="M9568" s="15" t="n">
        <v>0.51</v>
      </c>
      <c r="N9568" s="9" t="s">
        <v>26</v>
      </c>
    </row>
    <row r="9569" customFormat="false" ht="14.25" hidden="false" customHeight="true" outlineLevel="0" collapsed="false">
      <c r="B9569" s="9" t="s">
        <v>63</v>
      </c>
      <c r="C9569" s="9" t="n">
        <v>1185732</v>
      </c>
      <c r="D9569" s="10" t="n">
        <v>44540</v>
      </c>
      <c r="E9569" s="9" t="s">
        <v>17</v>
      </c>
      <c r="F9569" s="9" t="s">
        <v>133</v>
      </c>
      <c r="G9569" s="9" t="s">
        <v>134</v>
      </c>
      <c r="H9569" s="11" t="s">
        <v>22</v>
      </c>
      <c r="I9569" s="12" t="n">
        <v>44</v>
      </c>
      <c r="J9569" s="13" t="n">
        <v>131</v>
      </c>
      <c r="K9569" s="14" t="n">
        <f aca="false">I9569*J9569</f>
        <v>5764</v>
      </c>
      <c r="L9569" s="14" t="n">
        <f aca="false">($L$2*M9569)/100</f>
        <v>480666.6</v>
      </c>
      <c r="M9569" s="15" t="n">
        <v>0.4</v>
      </c>
      <c r="N9569" s="9" t="s">
        <v>26</v>
      </c>
    </row>
    <row r="9570" customFormat="false" ht="14.25" hidden="false" customHeight="true" outlineLevel="0" collapsed="false">
      <c r="B9570" s="9" t="s">
        <v>63</v>
      </c>
      <c r="C9570" s="9" t="n">
        <v>1185732</v>
      </c>
      <c r="D9570" s="10" t="n">
        <v>44540</v>
      </c>
      <c r="E9570" s="9" t="s">
        <v>17</v>
      </c>
      <c r="F9570" s="9" t="s">
        <v>133</v>
      </c>
      <c r="G9570" s="9" t="s">
        <v>134</v>
      </c>
      <c r="H9570" s="11" t="s">
        <v>23</v>
      </c>
      <c r="I9570" s="12" t="n">
        <v>44</v>
      </c>
      <c r="J9570" s="13" t="n">
        <v>101</v>
      </c>
      <c r="K9570" s="14" t="n">
        <f aca="false">I9570*J9570</f>
        <v>4444</v>
      </c>
      <c r="L9570" s="14" t="n">
        <f aca="false">($L$2*M9570)/100</f>
        <v>504699.93</v>
      </c>
      <c r="M9570" s="15" t="n">
        <v>0.42</v>
      </c>
      <c r="N9570" s="9" t="s">
        <v>26</v>
      </c>
    </row>
    <row r="9571" customFormat="false" ht="14.25" hidden="false" customHeight="true" outlineLevel="0" collapsed="false">
      <c r="B9571" s="9" t="s">
        <v>63</v>
      </c>
      <c r="C9571" s="9" t="n">
        <v>1185732</v>
      </c>
      <c r="D9571" s="10" t="n">
        <v>44540</v>
      </c>
      <c r="E9571" s="9" t="s">
        <v>17</v>
      </c>
      <c r="F9571" s="9" t="s">
        <v>133</v>
      </c>
      <c r="G9571" s="9" t="s">
        <v>134</v>
      </c>
      <c r="H9571" s="11" t="s">
        <v>24</v>
      </c>
      <c r="I9571" s="12" t="n">
        <v>48</v>
      </c>
      <c r="J9571" s="13" t="n">
        <v>104</v>
      </c>
      <c r="K9571" s="14" t="n">
        <f aca="false">I9571*J9571</f>
        <v>4992</v>
      </c>
      <c r="L9571" s="14" t="n">
        <f aca="false">($L$2*M9571)/100</f>
        <v>504699.93</v>
      </c>
      <c r="M9571" s="15" t="n">
        <v>0.42</v>
      </c>
      <c r="N9571" s="9" t="s">
        <v>26</v>
      </c>
    </row>
    <row r="9572" customFormat="false" ht="14.25" hidden="false" customHeight="true" outlineLevel="0" collapsed="false">
      <c r="B9572" s="9" t="s">
        <v>63</v>
      </c>
      <c r="C9572" s="9" t="n">
        <v>1185732</v>
      </c>
      <c r="D9572" s="10" t="n">
        <v>44540</v>
      </c>
      <c r="E9572" s="9" t="s">
        <v>17</v>
      </c>
      <c r="F9572" s="9" t="s">
        <v>133</v>
      </c>
      <c r="G9572" s="9" t="s">
        <v>134</v>
      </c>
      <c r="H9572" s="11" t="s">
        <v>25</v>
      </c>
      <c r="I9572" s="12" t="n">
        <v>60</v>
      </c>
      <c r="J9572" s="13" t="n">
        <v>145</v>
      </c>
      <c r="K9572" s="14" t="n">
        <f aca="false">I9572*J9572</f>
        <v>8700</v>
      </c>
      <c r="L9572" s="14" t="n">
        <f aca="false">($L$2*M9572)/100</f>
        <v>564783.255</v>
      </c>
      <c r="M9572" s="15" t="n">
        <v>0.47</v>
      </c>
      <c r="N9572" s="9" t="s">
        <v>26</v>
      </c>
    </row>
    <row r="9573" customFormat="false" ht="14.25" hidden="false" customHeight="true" outlineLevel="0" collapsed="false">
      <c r="B9573" s="9" t="s">
        <v>63</v>
      </c>
      <c r="C9573" s="9" t="n">
        <v>1185732</v>
      </c>
      <c r="D9573" s="10" t="n">
        <v>44217</v>
      </c>
      <c r="E9573" s="9" t="s">
        <v>17</v>
      </c>
      <c r="F9573" s="9" t="s">
        <v>133</v>
      </c>
      <c r="G9573" s="9" t="s">
        <v>134</v>
      </c>
      <c r="H9573" s="11" t="s">
        <v>19</v>
      </c>
      <c r="I9573" s="12" t="n">
        <v>34</v>
      </c>
      <c r="J9573" s="13" t="n">
        <v>173</v>
      </c>
      <c r="K9573" s="14" t="n">
        <f aca="false">I9573*J9573</f>
        <v>5882</v>
      </c>
      <c r="L9573" s="14" t="n">
        <f aca="false">($L$2*M9573)/100</f>
        <v>516716.595</v>
      </c>
      <c r="M9573" s="15" t="n">
        <v>0.43</v>
      </c>
      <c r="N9573" s="9" t="s">
        <v>26</v>
      </c>
    </row>
    <row r="9574" customFormat="false" ht="14.25" hidden="false" customHeight="true" outlineLevel="0" collapsed="false">
      <c r="B9574" s="9" t="s">
        <v>63</v>
      </c>
      <c r="C9574" s="9" t="n">
        <v>1185732</v>
      </c>
      <c r="D9574" s="10" t="n">
        <v>44217</v>
      </c>
      <c r="E9574" s="9" t="s">
        <v>17</v>
      </c>
      <c r="F9574" s="9" t="s">
        <v>133</v>
      </c>
      <c r="G9574" s="9" t="s">
        <v>134</v>
      </c>
      <c r="H9574" s="11" t="s">
        <v>21</v>
      </c>
      <c r="I9574" s="12" t="n">
        <v>39</v>
      </c>
      <c r="J9574" s="13" t="n">
        <v>111</v>
      </c>
      <c r="K9574" s="14" t="n">
        <f aca="false">I9574*J9574</f>
        <v>4329</v>
      </c>
      <c r="L9574" s="14" t="n">
        <f aca="false">($L$2*M9574)/100</f>
        <v>516716.595</v>
      </c>
      <c r="M9574" s="15" t="n">
        <v>0.43</v>
      </c>
      <c r="N9574" s="9" t="s">
        <v>26</v>
      </c>
    </row>
    <row r="9575" customFormat="false" ht="14.25" hidden="false" customHeight="true" outlineLevel="0" collapsed="false">
      <c r="B9575" s="9" t="s">
        <v>63</v>
      </c>
      <c r="C9575" s="9" t="n">
        <v>1185732</v>
      </c>
      <c r="D9575" s="10" t="n">
        <v>44217</v>
      </c>
      <c r="E9575" s="9" t="s">
        <v>17</v>
      </c>
      <c r="F9575" s="9" t="s">
        <v>133</v>
      </c>
      <c r="G9575" s="9" t="s">
        <v>134</v>
      </c>
      <c r="H9575" s="11" t="s">
        <v>22</v>
      </c>
      <c r="I9575" s="12" t="n">
        <v>28</v>
      </c>
      <c r="J9575" s="13" t="n">
        <v>101</v>
      </c>
      <c r="K9575" s="14" t="n">
        <f aca="false">I9575*J9575</f>
        <v>2828</v>
      </c>
      <c r="L9575" s="14" t="n">
        <f aca="false">($L$2*M9575)/100</f>
        <v>432599.94</v>
      </c>
      <c r="M9575" s="15" t="n">
        <v>0.36</v>
      </c>
      <c r="N9575" s="9" t="s">
        <v>26</v>
      </c>
    </row>
    <row r="9576" customFormat="false" ht="14.25" hidden="false" customHeight="true" outlineLevel="0" collapsed="false">
      <c r="B9576" s="9" t="s">
        <v>63</v>
      </c>
      <c r="C9576" s="9" t="n">
        <v>1185732</v>
      </c>
      <c r="D9576" s="10" t="n">
        <v>44217</v>
      </c>
      <c r="E9576" s="9" t="s">
        <v>17</v>
      </c>
      <c r="F9576" s="9" t="s">
        <v>133</v>
      </c>
      <c r="G9576" s="9" t="s">
        <v>134</v>
      </c>
      <c r="H9576" s="11" t="s">
        <v>23</v>
      </c>
      <c r="I9576" s="12" t="n">
        <v>36</v>
      </c>
      <c r="J9576" s="13" t="n">
        <v>60</v>
      </c>
      <c r="K9576" s="14" t="n">
        <f aca="false">I9576*J9576</f>
        <v>2160</v>
      </c>
      <c r="L9576" s="14" t="n">
        <f aca="false">($L$2*M9576)/100</f>
        <v>384533.28</v>
      </c>
      <c r="M9576" s="15" t="n">
        <v>0.32</v>
      </c>
      <c r="N9576" s="9" t="s">
        <v>26</v>
      </c>
    </row>
    <row r="9577" customFormat="false" ht="14.25" hidden="false" customHeight="true" outlineLevel="0" collapsed="false">
      <c r="B9577" s="9" t="s">
        <v>63</v>
      </c>
      <c r="C9577" s="9" t="n">
        <v>1185732</v>
      </c>
      <c r="D9577" s="10" t="n">
        <v>44217</v>
      </c>
      <c r="E9577" s="9" t="s">
        <v>17</v>
      </c>
      <c r="F9577" s="9" t="s">
        <v>133</v>
      </c>
      <c r="G9577" s="9" t="s">
        <v>134</v>
      </c>
      <c r="H9577" s="11" t="s">
        <v>24</v>
      </c>
      <c r="I9577" s="12" t="n">
        <v>43</v>
      </c>
      <c r="J9577" s="13" t="n">
        <v>74</v>
      </c>
      <c r="K9577" s="14" t="n">
        <f aca="false">I9577*J9577</f>
        <v>3182</v>
      </c>
      <c r="L9577" s="14" t="n">
        <f aca="false">($L$2*M9577)/100</f>
        <v>396549.945</v>
      </c>
      <c r="M9577" s="15" t="n">
        <v>0.33</v>
      </c>
      <c r="N9577" s="9" t="s">
        <v>26</v>
      </c>
    </row>
    <row r="9578" customFormat="false" ht="14.25" hidden="false" customHeight="true" outlineLevel="0" collapsed="false">
      <c r="B9578" s="9" t="s">
        <v>63</v>
      </c>
      <c r="C9578" s="9" t="n">
        <v>1185732</v>
      </c>
      <c r="D9578" s="10" t="n">
        <v>44217</v>
      </c>
      <c r="E9578" s="9" t="s">
        <v>17</v>
      </c>
      <c r="F9578" s="9" t="s">
        <v>133</v>
      </c>
      <c r="G9578" s="9" t="s">
        <v>134</v>
      </c>
      <c r="H9578" s="11" t="s">
        <v>25</v>
      </c>
      <c r="I9578" s="12" t="n">
        <v>35</v>
      </c>
      <c r="J9578" s="13" t="n">
        <v>101</v>
      </c>
      <c r="K9578" s="14" t="n">
        <f aca="false">I9578*J9578</f>
        <v>3535</v>
      </c>
      <c r="L9578" s="14" t="n">
        <f aca="false">($L$2*M9578)/100</f>
        <v>480666.6</v>
      </c>
      <c r="M9578" s="15" t="n">
        <v>0.4</v>
      </c>
      <c r="N9578" s="9" t="s">
        <v>26</v>
      </c>
    </row>
    <row r="9579" customFormat="false" ht="14.25" hidden="false" customHeight="true" outlineLevel="0" collapsed="false">
      <c r="B9579" s="9" t="s">
        <v>63</v>
      </c>
      <c r="C9579" s="9" t="n">
        <v>1185732</v>
      </c>
      <c r="D9579" s="10" t="n">
        <v>44246</v>
      </c>
      <c r="E9579" s="9" t="s">
        <v>17</v>
      </c>
      <c r="F9579" s="9" t="s">
        <v>133</v>
      </c>
      <c r="G9579" s="9" t="s">
        <v>134</v>
      </c>
      <c r="H9579" s="11" t="s">
        <v>19</v>
      </c>
      <c r="I9579" s="12" t="n">
        <v>34</v>
      </c>
      <c r="J9579" s="13" t="n">
        <v>186</v>
      </c>
      <c r="K9579" s="14" t="n">
        <f aca="false">I9579*J9579</f>
        <v>6324</v>
      </c>
      <c r="L9579" s="14" t="n">
        <f aca="false">($L$2*M9579)/100</f>
        <v>528733.26</v>
      </c>
      <c r="M9579" s="15" t="n">
        <v>0.44</v>
      </c>
      <c r="N9579" s="9" t="s">
        <v>26</v>
      </c>
    </row>
    <row r="9580" customFormat="false" ht="14.25" hidden="false" customHeight="true" outlineLevel="0" collapsed="false">
      <c r="B9580" s="9" t="s">
        <v>63</v>
      </c>
      <c r="C9580" s="9" t="n">
        <v>1185732</v>
      </c>
      <c r="D9580" s="10" t="n">
        <v>44246</v>
      </c>
      <c r="E9580" s="9" t="s">
        <v>17</v>
      </c>
      <c r="F9580" s="9" t="s">
        <v>133</v>
      </c>
      <c r="G9580" s="9" t="s">
        <v>134</v>
      </c>
      <c r="H9580" s="11" t="s">
        <v>21</v>
      </c>
      <c r="I9580" s="12" t="n">
        <v>37</v>
      </c>
      <c r="J9580" s="13" t="n">
        <v>85</v>
      </c>
      <c r="K9580" s="14" t="n">
        <f aca="false">I9580*J9580</f>
        <v>3145</v>
      </c>
      <c r="L9580" s="14" t="n">
        <f aca="false">($L$2*M9580)/100</f>
        <v>516716.595</v>
      </c>
      <c r="M9580" s="15" t="n">
        <v>0.43</v>
      </c>
      <c r="N9580" s="9" t="s">
        <v>26</v>
      </c>
    </row>
    <row r="9581" customFormat="false" ht="14.25" hidden="false" customHeight="true" outlineLevel="0" collapsed="false">
      <c r="B9581" s="9" t="s">
        <v>63</v>
      </c>
      <c r="C9581" s="9" t="n">
        <v>1185732</v>
      </c>
      <c r="D9581" s="10" t="n">
        <v>44246</v>
      </c>
      <c r="E9581" s="9" t="s">
        <v>17</v>
      </c>
      <c r="F9581" s="9" t="s">
        <v>133</v>
      </c>
      <c r="G9581" s="9" t="s">
        <v>134</v>
      </c>
      <c r="H9581" s="11" t="s">
        <v>22</v>
      </c>
      <c r="I9581" s="12" t="n">
        <v>31</v>
      </c>
      <c r="J9581" s="13" t="n">
        <v>96</v>
      </c>
      <c r="K9581" s="14" t="n">
        <f aca="false">I9581*J9581</f>
        <v>2976</v>
      </c>
      <c r="L9581" s="14" t="n">
        <f aca="false">($L$2*M9581)/100</f>
        <v>408566.61</v>
      </c>
      <c r="M9581" s="15" t="n">
        <v>0.34</v>
      </c>
      <c r="N9581" s="9" t="s">
        <v>26</v>
      </c>
    </row>
    <row r="9582" customFormat="false" ht="14.25" hidden="false" customHeight="true" outlineLevel="0" collapsed="false">
      <c r="B9582" s="9" t="s">
        <v>63</v>
      </c>
      <c r="C9582" s="9" t="n">
        <v>1185732</v>
      </c>
      <c r="D9582" s="10" t="n">
        <v>44246</v>
      </c>
      <c r="E9582" s="9" t="s">
        <v>17</v>
      </c>
      <c r="F9582" s="9" t="s">
        <v>135</v>
      </c>
      <c r="G9582" s="9" t="s">
        <v>136</v>
      </c>
      <c r="H9582" s="11" t="s">
        <v>23</v>
      </c>
      <c r="I9582" s="12" t="n">
        <v>31</v>
      </c>
      <c r="J9582" s="13" t="n">
        <v>68</v>
      </c>
      <c r="K9582" s="14" t="n">
        <f aca="false">I9582*J9582</f>
        <v>2108</v>
      </c>
      <c r="L9582" s="14" t="n">
        <f aca="false">($L$2*M9582)/100</f>
        <v>408566.61</v>
      </c>
      <c r="M9582" s="15" t="n">
        <v>0.34</v>
      </c>
      <c r="N9582" s="9" t="s">
        <v>26</v>
      </c>
    </row>
    <row r="9583" customFormat="false" ht="14.25" hidden="false" customHeight="true" outlineLevel="0" collapsed="false">
      <c r="B9583" s="9" t="s">
        <v>63</v>
      </c>
      <c r="C9583" s="9" t="n">
        <v>1185732</v>
      </c>
      <c r="D9583" s="10" t="n">
        <v>44246</v>
      </c>
      <c r="E9583" s="9" t="s">
        <v>17</v>
      </c>
      <c r="F9583" s="9" t="s">
        <v>135</v>
      </c>
      <c r="G9583" s="9" t="s">
        <v>136</v>
      </c>
      <c r="H9583" s="11" t="s">
        <v>24</v>
      </c>
      <c r="I9583" s="12" t="n">
        <v>41</v>
      </c>
      <c r="J9583" s="13" t="n">
        <v>96</v>
      </c>
      <c r="K9583" s="14" t="n">
        <f aca="false">I9583*J9583</f>
        <v>3936</v>
      </c>
      <c r="L9583" s="14" t="n">
        <f aca="false">($L$2*M9583)/100</f>
        <v>396549.945</v>
      </c>
      <c r="M9583" s="15" t="n">
        <v>0.33</v>
      </c>
      <c r="N9583" s="9" t="s">
        <v>26</v>
      </c>
    </row>
    <row r="9584" customFormat="false" ht="14.25" hidden="false" customHeight="true" outlineLevel="0" collapsed="false">
      <c r="B9584" s="9" t="s">
        <v>63</v>
      </c>
      <c r="C9584" s="9" t="n">
        <v>1185732</v>
      </c>
      <c r="D9584" s="10" t="n">
        <v>44246</v>
      </c>
      <c r="E9584" s="9" t="s">
        <v>17</v>
      </c>
      <c r="F9584" s="9" t="s">
        <v>135</v>
      </c>
      <c r="G9584" s="9" t="s">
        <v>136</v>
      </c>
      <c r="H9584" s="11" t="s">
        <v>25</v>
      </c>
      <c r="I9584" s="12" t="n">
        <v>36</v>
      </c>
      <c r="J9584" s="13" t="n">
        <v>124</v>
      </c>
      <c r="K9584" s="14" t="n">
        <f aca="false">I9584*J9584</f>
        <v>4464</v>
      </c>
      <c r="L9584" s="14" t="n">
        <f aca="false">($L$2*M9584)/100</f>
        <v>480666.6</v>
      </c>
      <c r="M9584" s="15" t="n">
        <v>0.4</v>
      </c>
      <c r="N9584" s="9" t="s">
        <v>26</v>
      </c>
    </row>
    <row r="9585" customFormat="false" ht="14.25" hidden="false" customHeight="true" outlineLevel="0" collapsed="false">
      <c r="B9585" s="9" t="s">
        <v>63</v>
      </c>
      <c r="C9585" s="9" t="n">
        <v>1185732</v>
      </c>
      <c r="D9585" s="10" t="n">
        <v>44272</v>
      </c>
      <c r="E9585" s="9" t="s">
        <v>17</v>
      </c>
      <c r="F9585" s="9" t="s">
        <v>135</v>
      </c>
      <c r="G9585" s="9" t="s">
        <v>136</v>
      </c>
      <c r="H9585" s="11" t="s">
        <v>19</v>
      </c>
      <c r="I9585" s="12" t="n">
        <v>39</v>
      </c>
      <c r="J9585" s="13" t="n">
        <v>188</v>
      </c>
      <c r="K9585" s="14" t="n">
        <f aca="false">I9585*J9585</f>
        <v>7332</v>
      </c>
      <c r="L9585" s="14" t="n">
        <f aca="false">($L$2*M9585)/100</f>
        <v>552766.59</v>
      </c>
      <c r="M9585" s="15" t="n">
        <v>0.46</v>
      </c>
      <c r="N9585" s="9" t="s">
        <v>26</v>
      </c>
    </row>
    <row r="9586" customFormat="false" ht="14.25" hidden="false" customHeight="true" outlineLevel="0" collapsed="false">
      <c r="B9586" s="9" t="s">
        <v>63</v>
      </c>
      <c r="C9586" s="9" t="n">
        <v>1185732</v>
      </c>
      <c r="D9586" s="10" t="n">
        <v>44272</v>
      </c>
      <c r="E9586" s="9" t="s">
        <v>17</v>
      </c>
      <c r="F9586" s="9" t="s">
        <v>135</v>
      </c>
      <c r="G9586" s="9" t="s">
        <v>136</v>
      </c>
      <c r="H9586" s="11" t="s">
        <v>21</v>
      </c>
      <c r="I9586" s="12" t="n">
        <v>36</v>
      </c>
      <c r="J9586" s="13" t="n">
        <v>88</v>
      </c>
      <c r="K9586" s="14" t="n">
        <f aca="false">I9586*J9586</f>
        <v>3168</v>
      </c>
      <c r="L9586" s="14" t="n">
        <f aca="false">($L$2*M9586)/100</f>
        <v>552766.59</v>
      </c>
      <c r="M9586" s="15" t="n">
        <v>0.46</v>
      </c>
      <c r="N9586" s="9" t="s">
        <v>26</v>
      </c>
    </row>
    <row r="9587" customFormat="false" ht="14.25" hidden="false" customHeight="true" outlineLevel="0" collapsed="false">
      <c r="B9587" s="9" t="s">
        <v>63</v>
      </c>
      <c r="C9587" s="9" t="n">
        <v>1185732</v>
      </c>
      <c r="D9587" s="10" t="n">
        <v>44272</v>
      </c>
      <c r="E9587" s="9" t="s">
        <v>17</v>
      </c>
      <c r="F9587" s="9" t="s">
        <v>135</v>
      </c>
      <c r="G9587" s="9" t="s">
        <v>136</v>
      </c>
      <c r="H9587" s="11" t="s">
        <v>22</v>
      </c>
      <c r="I9587" s="12" t="n">
        <v>32</v>
      </c>
      <c r="J9587" s="13" t="n">
        <v>105</v>
      </c>
      <c r="K9587" s="14" t="n">
        <f aca="false">I9587*J9587</f>
        <v>3360</v>
      </c>
      <c r="L9587" s="14" t="n">
        <f aca="false">($L$2*M9587)/100</f>
        <v>408566.61</v>
      </c>
      <c r="M9587" s="15" t="n">
        <v>0.34</v>
      </c>
      <c r="N9587" s="9" t="s">
        <v>26</v>
      </c>
    </row>
    <row r="9588" customFormat="false" ht="14.25" hidden="false" customHeight="true" outlineLevel="0" collapsed="false">
      <c r="B9588" s="9" t="s">
        <v>63</v>
      </c>
      <c r="C9588" s="9" t="n">
        <v>1185732</v>
      </c>
      <c r="D9588" s="10" t="n">
        <v>44272</v>
      </c>
      <c r="E9588" s="9" t="s">
        <v>17</v>
      </c>
      <c r="F9588" s="9" t="s">
        <v>135</v>
      </c>
      <c r="G9588" s="9" t="s">
        <v>136</v>
      </c>
      <c r="H9588" s="11" t="s">
        <v>23</v>
      </c>
      <c r="I9588" s="12" t="n">
        <v>33</v>
      </c>
      <c r="J9588" s="13" t="n">
        <v>45</v>
      </c>
      <c r="K9588" s="14" t="n">
        <f aca="false">I9588*J9588</f>
        <v>1485</v>
      </c>
      <c r="L9588" s="14" t="n">
        <f aca="false">($L$2*M9588)/100</f>
        <v>444616.605</v>
      </c>
      <c r="M9588" s="15" t="n">
        <v>0.37</v>
      </c>
      <c r="N9588" s="9" t="s">
        <v>26</v>
      </c>
    </row>
    <row r="9589" customFormat="false" ht="14.25" hidden="false" customHeight="true" outlineLevel="0" collapsed="false">
      <c r="B9589" s="9" t="s">
        <v>63</v>
      </c>
      <c r="C9589" s="9" t="n">
        <v>1185732</v>
      </c>
      <c r="D9589" s="10" t="n">
        <v>44272</v>
      </c>
      <c r="E9589" s="9" t="s">
        <v>17</v>
      </c>
      <c r="F9589" s="9" t="s">
        <v>135</v>
      </c>
      <c r="G9589" s="9" t="s">
        <v>136</v>
      </c>
      <c r="H9589" s="11" t="s">
        <v>24</v>
      </c>
      <c r="I9589" s="12" t="n">
        <v>47</v>
      </c>
      <c r="J9589" s="13" t="n">
        <v>60</v>
      </c>
      <c r="K9589" s="14" t="n">
        <f aca="false">I9589*J9589</f>
        <v>2820</v>
      </c>
      <c r="L9589" s="14" t="n">
        <f aca="false">($L$2*M9589)/100</f>
        <v>396549.945</v>
      </c>
      <c r="M9589" s="15" t="n">
        <v>0.33</v>
      </c>
      <c r="N9589" s="9" t="s">
        <v>26</v>
      </c>
    </row>
    <row r="9590" customFormat="false" ht="14.25" hidden="false" customHeight="true" outlineLevel="0" collapsed="false">
      <c r="B9590" s="9" t="s">
        <v>63</v>
      </c>
      <c r="C9590" s="9" t="n">
        <v>1185732</v>
      </c>
      <c r="D9590" s="10" t="n">
        <v>44272</v>
      </c>
      <c r="E9590" s="9" t="s">
        <v>17</v>
      </c>
      <c r="F9590" s="9" t="s">
        <v>135</v>
      </c>
      <c r="G9590" s="9" t="s">
        <v>136</v>
      </c>
      <c r="H9590" s="11" t="s">
        <v>25</v>
      </c>
      <c r="I9590" s="12" t="n">
        <v>36</v>
      </c>
      <c r="J9590" s="13" t="n">
        <v>99</v>
      </c>
      <c r="K9590" s="14" t="n">
        <f aca="false">I9590*J9590</f>
        <v>3564</v>
      </c>
      <c r="L9590" s="14" t="n">
        <f aca="false">($L$2*M9590)/100</f>
        <v>456633.27</v>
      </c>
      <c r="M9590" s="15" t="n">
        <v>0.38</v>
      </c>
      <c r="N9590" s="9" t="s">
        <v>26</v>
      </c>
    </row>
    <row r="9591" customFormat="false" ht="14.25" hidden="false" customHeight="true" outlineLevel="0" collapsed="false">
      <c r="B9591" s="9" t="s">
        <v>63</v>
      </c>
      <c r="C9591" s="9" t="n">
        <v>1185732</v>
      </c>
      <c r="D9591" s="10" t="n">
        <v>44304</v>
      </c>
      <c r="E9591" s="9" t="s">
        <v>17</v>
      </c>
      <c r="F9591" s="9" t="s">
        <v>135</v>
      </c>
      <c r="G9591" s="9" t="s">
        <v>136</v>
      </c>
      <c r="H9591" s="11" t="s">
        <v>19</v>
      </c>
      <c r="I9591" s="12" t="n">
        <v>33</v>
      </c>
      <c r="J9591" s="13" t="n">
        <v>187</v>
      </c>
      <c r="K9591" s="14" t="n">
        <f aca="false">I9591*J9591</f>
        <v>6171</v>
      </c>
      <c r="L9591" s="14" t="n">
        <f aca="false">($L$2*M9591)/100</f>
        <v>504699.93</v>
      </c>
      <c r="M9591" s="15" t="n">
        <v>0.42</v>
      </c>
      <c r="N9591" s="9" t="s">
        <v>26</v>
      </c>
    </row>
    <row r="9592" customFormat="false" ht="14.25" hidden="false" customHeight="true" outlineLevel="0" collapsed="false">
      <c r="B9592" s="9" t="s">
        <v>63</v>
      </c>
      <c r="C9592" s="9" t="n">
        <v>1185732</v>
      </c>
      <c r="D9592" s="10" t="n">
        <v>44304</v>
      </c>
      <c r="E9592" s="9" t="s">
        <v>17</v>
      </c>
      <c r="F9592" s="9" t="s">
        <v>135</v>
      </c>
      <c r="G9592" s="9" t="s">
        <v>136</v>
      </c>
      <c r="H9592" s="11" t="s">
        <v>21</v>
      </c>
      <c r="I9592" s="12" t="n">
        <v>38</v>
      </c>
      <c r="J9592" s="13" t="n">
        <v>85</v>
      </c>
      <c r="K9592" s="14" t="n">
        <f aca="false">I9592*J9592</f>
        <v>3230</v>
      </c>
      <c r="L9592" s="14" t="n">
        <f aca="false">($L$2*M9592)/100</f>
        <v>504699.93</v>
      </c>
      <c r="M9592" s="15" t="n">
        <v>0.42</v>
      </c>
      <c r="N9592" s="9" t="s">
        <v>26</v>
      </c>
    </row>
    <row r="9593" customFormat="false" ht="14.25" hidden="false" customHeight="true" outlineLevel="0" collapsed="false">
      <c r="B9593" s="9" t="s">
        <v>63</v>
      </c>
      <c r="C9593" s="9" t="n">
        <v>1185732</v>
      </c>
      <c r="D9593" s="10" t="n">
        <v>44304</v>
      </c>
      <c r="E9593" s="9" t="s">
        <v>17</v>
      </c>
      <c r="F9593" s="9" t="s">
        <v>135</v>
      </c>
      <c r="G9593" s="9" t="s">
        <v>136</v>
      </c>
      <c r="H9593" s="11" t="s">
        <v>22</v>
      </c>
      <c r="I9593" s="12" t="n">
        <v>26</v>
      </c>
      <c r="J9593" s="13" t="n">
        <v>80</v>
      </c>
      <c r="K9593" s="14" t="n">
        <f aca="false">I9593*J9593</f>
        <v>2080</v>
      </c>
      <c r="L9593" s="14" t="n">
        <f aca="false">($L$2*M9593)/100</f>
        <v>408566.61</v>
      </c>
      <c r="M9593" s="15" t="n">
        <v>0.34</v>
      </c>
      <c r="N9593" s="9" t="s">
        <v>26</v>
      </c>
    </row>
    <row r="9594" customFormat="false" ht="14.25" hidden="false" customHeight="true" outlineLevel="0" collapsed="false">
      <c r="B9594" s="9" t="s">
        <v>63</v>
      </c>
      <c r="C9594" s="9" t="n">
        <v>1185732</v>
      </c>
      <c r="D9594" s="10" t="n">
        <v>44304</v>
      </c>
      <c r="E9594" s="9" t="s">
        <v>17</v>
      </c>
      <c r="F9594" s="9" t="s">
        <v>135</v>
      </c>
      <c r="G9594" s="9" t="s">
        <v>136</v>
      </c>
      <c r="H9594" s="11" t="s">
        <v>23</v>
      </c>
      <c r="I9594" s="12" t="n">
        <v>35</v>
      </c>
      <c r="J9594" s="13" t="n">
        <v>53</v>
      </c>
      <c r="K9594" s="14" t="n">
        <f aca="false">I9594*J9594</f>
        <v>1855</v>
      </c>
      <c r="L9594" s="14" t="n">
        <f aca="false">($L$2*M9594)/100</f>
        <v>384533.28</v>
      </c>
      <c r="M9594" s="15" t="n">
        <v>0.32</v>
      </c>
      <c r="N9594" s="9" t="s">
        <v>26</v>
      </c>
    </row>
    <row r="9595" customFormat="false" ht="14.25" hidden="false" customHeight="true" outlineLevel="0" collapsed="false">
      <c r="B9595" s="9" t="s">
        <v>63</v>
      </c>
      <c r="C9595" s="9" t="n">
        <v>1185732</v>
      </c>
      <c r="D9595" s="10" t="n">
        <v>44304</v>
      </c>
      <c r="E9595" s="9" t="s">
        <v>17</v>
      </c>
      <c r="F9595" s="9" t="s">
        <v>135</v>
      </c>
      <c r="G9595" s="9" t="s">
        <v>136</v>
      </c>
      <c r="H9595" s="11" t="s">
        <v>24</v>
      </c>
      <c r="I9595" s="12" t="n">
        <v>40</v>
      </c>
      <c r="J9595" s="13" t="n">
        <v>61</v>
      </c>
      <c r="K9595" s="14" t="n">
        <f aca="false">I9595*J9595</f>
        <v>2440</v>
      </c>
      <c r="L9595" s="14" t="n">
        <f aca="false">($L$2*M9595)/100</f>
        <v>396549.945</v>
      </c>
      <c r="M9595" s="15" t="n">
        <v>0.33</v>
      </c>
      <c r="N9595" s="9" t="s">
        <v>26</v>
      </c>
    </row>
    <row r="9596" customFormat="false" ht="14.25" hidden="false" customHeight="true" outlineLevel="0" collapsed="false">
      <c r="B9596" s="9" t="s">
        <v>63</v>
      </c>
      <c r="C9596" s="9" t="n">
        <v>1185732</v>
      </c>
      <c r="D9596" s="10" t="n">
        <v>44304</v>
      </c>
      <c r="E9596" s="9" t="s">
        <v>17</v>
      </c>
      <c r="F9596" s="9" t="s">
        <v>135</v>
      </c>
      <c r="G9596" s="9" t="s">
        <v>136</v>
      </c>
      <c r="H9596" s="11" t="s">
        <v>25</v>
      </c>
      <c r="I9596" s="12" t="n">
        <v>33</v>
      </c>
      <c r="J9596" s="13" t="n">
        <v>101</v>
      </c>
      <c r="K9596" s="14" t="n">
        <f aca="false">I9596*J9596</f>
        <v>3333</v>
      </c>
      <c r="L9596" s="14" t="n">
        <f aca="false">($L$2*M9596)/100</f>
        <v>444616.605</v>
      </c>
      <c r="M9596" s="15" t="n">
        <v>0.37</v>
      </c>
      <c r="N9596" s="9" t="s">
        <v>26</v>
      </c>
    </row>
    <row r="9597" customFormat="false" ht="14.25" hidden="false" customHeight="true" outlineLevel="0" collapsed="false">
      <c r="B9597" s="9" t="s">
        <v>63</v>
      </c>
      <c r="C9597" s="9" t="n">
        <v>1185732</v>
      </c>
      <c r="D9597" s="10" t="n">
        <v>44333</v>
      </c>
      <c r="E9597" s="9" t="s">
        <v>17</v>
      </c>
      <c r="F9597" s="9" t="s">
        <v>135</v>
      </c>
      <c r="G9597" s="9" t="s">
        <v>136</v>
      </c>
      <c r="H9597" s="11" t="s">
        <v>19</v>
      </c>
      <c r="I9597" s="12" t="n">
        <v>47</v>
      </c>
      <c r="J9597" s="13" t="n">
        <v>196</v>
      </c>
      <c r="K9597" s="14" t="n">
        <f aca="false">I9597*J9597</f>
        <v>9212</v>
      </c>
      <c r="L9597" s="14" t="n">
        <f aca="false">($L$2*M9597)/100</f>
        <v>516716.595</v>
      </c>
      <c r="M9597" s="15" t="n">
        <v>0.43</v>
      </c>
      <c r="N9597" s="9" t="s">
        <v>26</v>
      </c>
    </row>
    <row r="9598" customFormat="false" ht="14.25" hidden="false" customHeight="true" outlineLevel="0" collapsed="false">
      <c r="B9598" s="9" t="s">
        <v>63</v>
      </c>
      <c r="C9598" s="9" t="n">
        <v>1185732</v>
      </c>
      <c r="D9598" s="10" t="n">
        <v>44333</v>
      </c>
      <c r="E9598" s="9" t="s">
        <v>17</v>
      </c>
      <c r="F9598" s="9" t="s">
        <v>135</v>
      </c>
      <c r="G9598" s="9" t="s">
        <v>136</v>
      </c>
      <c r="H9598" s="11" t="s">
        <v>21</v>
      </c>
      <c r="I9598" s="12" t="n">
        <v>40</v>
      </c>
      <c r="J9598" s="13" t="n">
        <v>93</v>
      </c>
      <c r="K9598" s="14" t="n">
        <f aca="false">I9598*J9598</f>
        <v>3720</v>
      </c>
      <c r="L9598" s="14" t="n">
        <f aca="false">($L$2*M9598)/100</f>
        <v>516716.595</v>
      </c>
      <c r="M9598" s="15" t="n">
        <v>0.43</v>
      </c>
      <c r="N9598" s="9" t="s">
        <v>26</v>
      </c>
    </row>
    <row r="9599" customFormat="false" ht="14.25" hidden="false" customHeight="true" outlineLevel="0" collapsed="false">
      <c r="B9599" s="9" t="s">
        <v>63</v>
      </c>
      <c r="C9599" s="9" t="n">
        <v>1185732</v>
      </c>
      <c r="D9599" s="10" t="n">
        <v>44333</v>
      </c>
      <c r="E9599" s="9" t="s">
        <v>17</v>
      </c>
      <c r="F9599" s="9" t="s">
        <v>135</v>
      </c>
      <c r="G9599" s="9" t="s">
        <v>136</v>
      </c>
      <c r="H9599" s="11" t="s">
        <v>22</v>
      </c>
      <c r="I9599" s="12" t="n">
        <v>42</v>
      </c>
      <c r="J9599" s="13" t="n">
        <v>101</v>
      </c>
      <c r="K9599" s="14" t="n">
        <f aca="false">I9599*J9599</f>
        <v>4242</v>
      </c>
      <c r="L9599" s="14" t="n">
        <f aca="false">($L$2*M9599)/100</f>
        <v>408566.61</v>
      </c>
      <c r="M9599" s="15" t="n">
        <v>0.34</v>
      </c>
      <c r="N9599" s="9" t="s">
        <v>26</v>
      </c>
    </row>
    <row r="9600" customFormat="false" ht="14.25" hidden="false" customHeight="true" outlineLevel="0" collapsed="false">
      <c r="B9600" s="9" t="s">
        <v>63</v>
      </c>
      <c r="C9600" s="9" t="n">
        <v>1185732</v>
      </c>
      <c r="D9600" s="10" t="n">
        <v>44333</v>
      </c>
      <c r="E9600" s="9" t="s">
        <v>17</v>
      </c>
      <c r="F9600" s="9" t="s">
        <v>135</v>
      </c>
      <c r="G9600" s="9" t="s">
        <v>136</v>
      </c>
      <c r="H9600" s="11" t="s">
        <v>23</v>
      </c>
      <c r="I9600" s="12" t="n">
        <v>41</v>
      </c>
      <c r="J9600" s="13" t="n">
        <v>91</v>
      </c>
      <c r="K9600" s="14" t="n">
        <f aca="false">I9600*J9600</f>
        <v>3731</v>
      </c>
      <c r="L9600" s="14" t="n">
        <f aca="false">($L$2*M9600)/100</f>
        <v>408566.61</v>
      </c>
      <c r="M9600" s="15" t="n">
        <v>0.34</v>
      </c>
      <c r="N9600" s="9" t="s">
        <v>26</v>
      </c>
    </row>
    <row r="9601" customFormat="false" ht="14.25" hidden="false" customHeight="true" outlineLevel="0" collapsed="false">
      <c r="B9601" s="9" t="s">
        <v>63</v>
      </c>
      <c r="C9601" s="9" t="n">
        <v>1185732</v>
      </c>
      <c r="D9601" s="10" t="n">
        <v>44333</v>
      </c>
      <c r="E9601" s="9" t="s">
        <v>17</v>
      </c>
      <c r="F9601" s="9" t="s">
        <v>135</v>
      </c>
      <c r="G9601" s="9" t="s">
        <v>136</v>
      </c>
      <c r="H9601" s="11" t="s">
        <v>24</v>
      </c>
      <c r="I9601" s="12" t="n">
        <v>52</v>
      </c>
      <c r="J9601" s="13" t="n">
        <v>90</v>
      </c>
      <c r="K9601" s="14" t="n">
        <f aca="false">I9601*J9601</f>
        <v>4680</v>
      </c>
      <c r="L9601" s="14" t="n">
        <f aca="false">($L$2*M9601)/100</f>
        <v>384533.28</v>
      </c>
      <c r="M9601" s="15" t="n">
        <v>0.32</v>
      </c>
      <c r="N9601" s="9" t="s">
        <v>26</v>
      </c>
    </row>
    <row r="9602" customFormat="false" ht="14.25" hidden="false" customHeight="true" outlineLevel="0" collapsed="false">
      <c r="B9602" s="9" t="s">
        <v>63</v>
      </c>
      <c r="C9602" s="9" t="n">
        <v>1185732</v>
      </c>
      <c r="D9602" s="10" t="n">
        <v>44333</v>
      </c>
      <c r="E9602" s="9" t="s">
        <v>17</v>
      </c>
      <c r="F9602" s="9" t="s">
        <v>135</v>
      </c>
      <c r="G9602" s="9" t="s">
        <v>136</v>
      </c>
      <c r="H9602" s="11" t="s">
        <v>25</v>
      </c>
      <c r="I9602" s="12" t="n">
        <v>46</v>
      </c>
      <c r="J9602" s="13" t="n">
        <v>140</v>
      </c>
      <c r="K9602" s="14" t="n">
        <f aca="false">I9602*J9602</f>
        <v>6440</v>
      </c>
      <c r="L9602" s="14" t="n">
        <f aca="false">($L$2*M9602)/100</f>
        <v>468649.935</v>
      </c>
      <c r="M9602" s="15" t="n">
        <v>0.39</v>
      </c>
      <c r="N9602" s="9" t="s">
        <v>26</v>
      </c>
    </row>
    <row r="9603" customFormat="false" ht="14.25" hidden="false" customHeight="true" outlineLevel="0" collapsed="false">
      <c r="B9603" s="9" t="s">
        <v>63</v>
      </c>
      <c r="C9603" s="9" t="n">
        <v>1185732</v>
      </c>
      <c r="D9603" s="10" t="n">
        <v>44366</v>
      </c>
      <c r="E9603" s="9" t="s">
        <v>17</v>
      </c>
      <c r="F9603" s="9" t="s">
        <v>135</v>
      </c>
      <c r="G9603" s="9" t="s">
        <v>136</v>
      </c>
      <c r="H9603" s="11" t="s">
        <v>19</v>
      </c>
      <c r="I9603" s="12" t="n">
        <v>44</v>
      </c>
      <c r="J9603" s="13" t="n">
        <v>216</v>
      </c>
      <c r="K9603" s="14" t="n">
        <f aca="false">I9603*J9603</f>
        <v>9504</v>
      </c>
      <c r="L9603" s="14" t="n">
        <f aca="false">($L$2*M9603)/100</f>
        <v>552766.59</v>
      </c>
      <c r="M9603" s="15" t="n">
        <v>0.46</v>
      </c>
      <c r="N9603" s="9" t="s">
        <v>26</v>
      </c>
    </row>
    <row r="9604" customFormat="false" ht="14.25" hidden="false" customHeight="true" outlineLevel="0" collapsed="false">
      <c r="B9604" s="9" t="s">
        <v>63</v>
      </c>
      <c r="C9604" s="9" t="n">
        <v>1185732</v>
      </c>
      <c r="D9604" s="10" t="n">
        <v>44366</v>
      </c>
      <c r="E9604" s="9" t="s">
        <v>17</v>
      </c>
      <c r="F9604" s="9" t="s">
        <v>135</v>
      </c>
      <c r="G9604" s="9" t="s">
        <v>136</v>
      </c>
      <c r="H9604" s="11" t="s">
        <v>21</v>
      </c>
      <c r="I9604" s="12" t="n">
        <v>40</v>
      </c>
      <c r="J9604" s="13" t="n">
        <v>140</v>
      </c>
      <c r="K9604" s="14" t="n">
        <f aca="false">I9604*J9604</f>
        <v>5600</v>
      </c>
      <c r="L9604" s="14" t="n">
        <f aca="false">($L$2*M9604)/100</f>
        <v>564783.255</v>
      </c>
      <c r="M9604" s="15" t="n">
        <v>0.47</v>
      </c>
      <c r="N9604" s="9" t="s">
        <v>26</v>
      </c>
    </row>
    <row r="9605" customFormat="false" ht="14.25" hidden="false" customHeight="true" outlineLevel="0" collapsed="false">
      <c r="B9605" s="9" t="s">
        <v>63</v>
      </c>
      <c r="C9605" s="9" t="n">
        <v>1185732</v>
      </c>
      <c r="D9605" s="10" t="n">
        <v>44366</v>
      </c>
      <c r="E9605" s="9" t="s">
        <v>17</v>
      </c>
      <c r="F9605" s="9" t="s">
        <v>135</v>
      </c>
      <c r="G9605" s="9" t="s">
        <v>136</v>
      </c>
      <c r="H9605" s="11" t="s">
        <v>22</v>
      </c>
      <c r="I9605" s="12" t="n">
        <v>43</v>
      </c>
      <c r="J9605" s="13" t="n">
        <v>109</v>
      </c>
      <c r="K9605" s="14" t="n">
        <f aca="false">I9605*J9605</f>
        <v>4687</v>
      </c>
      <c r="L9605" s="14" t="n">
        <f aca="false">($L$2*M9605)/100</f>
        <v>432599.94</v>
      </c>
      <c r="M9605" s="15" t="n">
        <v>0.36</v>
      </c>
      <c r="N9605" s="9" t="s">
        <v>26</v>
      </c>
    </row>
    <row r="9606" customFormat="false" ht="14.25" hidden="false" customHeight="true" outlineLevel="0" collapsed="false">
      <c r="B9606" s="9" t="s">
        <v>63</v>
      </c>
      <c r="C9606" s="9" t="n">
        <v>1185732</v>
      </c>
      <c r="D9606" s="10" t="n">
        <v>44366</v>
      </c>
      <c r="E9606" s="9" t="s">
        <v>17</v>
      </c>
      <c r="F9606" s="9" t="s">
        <v>135</v>
      </c>
      <c r="G9606" s="9" t="s">
        <v>136</v>
      </c>
      <c r="H9606" s="11" t="s">
        <v>23</v>
      </c>
      <c r="I9606" s="12" t="n">
        <v>37</v>
      </c>
      <c r="J9606" s="13" t="n">
        <v>104</v>
      </c>
      <c r="K9606" s="14" t="n">
        <f aca="false">I9606*J9606</f>
        <v>3848</v>
      </c>
      <c r="L9606" s="14" t="n">
        <f aca="false">($L$2*M9606)/100</f>
        <v>408566.61</v>
      </c>
      <c r="M9606" s="15" t="n">
        <v>0.34</v>
      </c>
      <c r="N9606" s="9" t="s">
        <v>26</v>
      </c>
    </row>
    <row r="9607" customFormat="false" ht="14.25" hidden="false" customHeight="true" outlineLevel="0" collapsed="false">
      <c r="B9607" s="9" t="s">
        <v>63</v>
      </c>
      <c r="C9607" s="9" t="n">
        <v>1185732</v>
      </c>
      <c r="D9607" s="10" t="n">
        <v>44366</v>
      </c>
      <c r="E9607" s="9" t="s">
        <v>17</v>
      </c>
      <c r="F9607" s="9" t="s">
        <v>135</v>
      </c>
      <c r="G9607" s="9" t="s">
        <v>136</v>
      </c>
      <c r="H9607" s="11" t="s">
        <v>24</v>
      </c>
      <c r="I9607" s="12" t="n">
        <v>47</v>
      </c>
      <c r="J9607" s="13" t="n">
        <v>114</v>
      </c>
      <c r="K9607" s="14" t="n">
        <f aca="false">I9607*J9607</f>
        <v>5358</v>
      </c>
      <c r="L9607" s="14" t="n">
        <f aca="false">($L$2*M9607)/100</f>
        <v>444616.605</v>
      </c>
      <c r="M9607" s="15" t="n">
        <v>0.37</v>
      </c>
      <c r="N9607" s="9" t="s">
        <v>26</v>
      </c>
    </row>
    <row r="9608" customFormat="false" ht="14.25" hidden="false" customHeight="true" outlineLevel="0" collapsed="false">
      <c r="B9608" s="9" t="s">
        <v>63</v>
      </c>
      <c r="C9608" s="9" t="n">
        <v>1185732</v>
      </c>
      <c r="D9608" s="10" t="n">
        <v>44366</v>
      </c>
      <c r="E9608" s="9" t="s">
        <v>17</v>
      </c>
      <c r="F9608" s="9" t="s">
        <v>135</v>
      </c>
      <c r="G9608" s="9" t="s">
        <v>136</v>
      </c>
      <c r="H9608" s="11" t="s">
        <v>25</v>
      </c>
      <c r="I9608" s="12" t="n">
        <v>50</v>
      </c>
      <c r="J9608" s="13" t="n">
        <v>162</v>
      </c>
      <c r="K9608" s="14" t="n">
        <f aca="false">I9608*J9608</f>
        <v>8100</v>
      </c>
      <c r="L9608" s="14" t="n">
        <f aca="false">($L$2*M9608)/100</f>
        <v>504699.93</v>
      </c>
      <c r="M9608" s="15" t="n">
        <v>0.42</v>
      </c>
      <c r="N9608" s="9" t="s">
        <v>26</v>
      </c>
    </row>
    <row r="9609" customFormat="false" ht="14.25" hidden="false" customHeight="true" outlineLevel="0" collapsed="false">
      <c r="B9609" s="9" t="s">
        <v>63</v>
      </c>
      <c r="C9609" s="9" t="n">
        <v>1185732</v>
      </c>
      <c r="D9609" s="10" t="n">
        <v>44394</v>
      </c>
      <c r="E9609" s="9" t="s">
        <v>17</v>
      </c>
      <c r="F9609" s="9" t="s">
        <v>135</v>
      </c>
      <c r="G9609" s="9" t="s">
        <v>136</v>
      </c>
      <c r="H9609" s="11" t="s">
        <v>19</v>
      </c>
      <c r="I9609" s="12" t="n">
        <v>49</v>
      </c>
      <c r="J9609" s="13" t="n">
        <v>224</v>
      </c>
      <c r="K9609" s="14" t="n">
        <f aca="false">I9609*J9609</f>
        <v>10976</v>
      </c>
      <c r="L9609" s="14" t="n">
        <f aca="false">($L$2*M9609)/100</f>
        <v>504699.93</v>
      </c>
      <c r="M9609" s="15" t="n">
        <v>0.42</v>
      </c>
      <c r="N9609" s="9" t="s">
        <v>26</v>
      </c>
    </row>
    <row r="9610" customFormat="false" ht="14.25" hidden="false" customHeight="true" outlineLevel="0" collapsed="false">
      <c r="B9610" s="9" t="s">
        <v>63</v>
      </c>
      <c r="C9610" s="9" t="n">
        <v>1185732</v>
      </c>
      <c r="D9610" s="10" t="n">
        <v>44394</v>
      </c>
      <c r="E9610" s="9" t="s">
        <v>17</v>
      </c>
      <c r="F9610" s="9" t="s">
        <v>135</v>
      </c>
      <c r="G9610" s="9" t="s">
        <v>136</v>
      </c>
      <c r="H9610" s="11" t="s">
        <v>21</v>
      </c>
      <c r="I9610" s="12" t="n">
        <v>47</v>
      </c>
      <c r="J9610" s="13" t="n">
        <v>149</v>
      </c>
      <c r="K9610" s="14" t="n">
        <f aca="false">I9610*J9610</f>
        <v>7003</v>
      </c>
      <c r="L9610" s="14" t="n">
        <f aca="false">($L$2*M9610)/100</f>
        <v>528733.26</v>
      </c>
      <c r="M9610" s="15" t="n">
        <v>0.44</v>
      </c>
      <c r="N9610" s="9" t="s">
        <v>26</v>
      </c>
    </row>
    <row r="9611" customFormat="false" ht="14.25" hidden="false" customHeight="true" outlineLevel="0" collapsed="false">
      <c r="B9611" s="9" t="s">
        <v>63</v>
      </c>
      <c r="C9611" s="9" t="n">
        <v>1185732</v>
      </c>
      <c r="D9611" s="10" t="n">
        <v>44394</v>
      </c>
      <c r="E9611" s="9" t="s">
        <v>17</v>
      </c>
      <c r="F9611" s="9" t="s">
        <v>135</v>
      </c>
      <c r="G9611" s="9" t="s">
        <v>136</v>
      </c>
      <c r="H9611" s="11" t="s">
        <v>22</v>
      </c>
      <c r="I9611" s="12" t="n">
        <v>37</v>
      </c>
      <c r="J9611" s="13" t="n">
        <v>128</v>
      </c>
      <c r="K9611" s="14" t="n">
        <f aca="false">I9611*J9611</f>
        <v>4736</v>
      </c>
      <c r="L9611" s="14" t="n">
        <f aca="false">($L$2*M9611)/100</f>
        <v>432599.94</v>
      </c>
      <c r="M9611" s="15" t="n">
        <v>0.36</v>
      </c>
      <c r="N9611" s="9" t="s">
        <v>26</v>
      </c>
    </row>
    <row r="9612" customFormat="false" ht="14.25" hidden="false" customHeight="true" outlineLevel="0" collapsed="false">
      <c r="B9612" s="9" t="s">
        <v>63</v>
      </c>
      <c r="C9612" s="9" t="n">
        <v>1185732</v>
      </c>
      <c r="D9612" s="10" t="n">
        <v>44394</v>
      </c>
      <c r="E9612" s="9" t="s">
        <v>17</v>
      </c>
      <c r="F9612" s="9" t="s">
        <v>135</v>
      </c>
      <c r="G9612" s="9" t="s">
        <v>136</v>
      </c>
      <c r="H9612" s="11" t="s">
        <v>23</v>
      </c>
      <c r="I9612" s="12" t="n">
        <v>39</v>
      </c>
      <c r="J9612" s="13" t="n">
        <v>107</v>
      </c>
      <c r="K9612" s="14" t="n">
        <f aca="false">I9612*J9612</f>
        <v>4173</v>
      </c>
      <c r="L9612" s="14" t="n">
        <f aca="false">($L$2*M9612)/100</f>
        <v>420583.275</v>
      </c>
      <c r="M9612" s="15" t="n">
        <v>0.35</v>
      </c>
      <c r="N9612" s="9" t="s">
        <v>26</v>
      </c>
    </row>
    <row r="9613" customFormat="false" ht="14.25" hidden="false" customHeight="true" outlineLevel="0" collapsed="false">
      <c r="B9613" s="9" t="s">
        <v>63</v>
      </c>
      <c r="C9613" s="9" t="n">
        <v>1185732</v>
      </c>
      <c r="D9613" s="10" t="n">
        <v>44394</v>
      </c>
      <c r="E9613" s="9" t="s">
        <v>17</v>
      </c>
      <c r="F9613" s="9" t="s">
        <v>135</v>
      </c>
      <c r="G9613" s="9" t="s">
        <v>136</v>
      </c>
      <c r="H9613" s="11" t="s">
        <v>24</v>
      </c>
      <c r="I9613" s="12" t="n">
        <v>47</v>
      </c>
      <c r="J9613" s="13" t="n">
        <v>119</v>
      </c>
      <c r="K9613" s="14" t="n">
        <f aca="false">I9613*J9613</f>
        <v>5593</v>
      </c>
      <c r="L9613" s="14" t="n">
        <f aca="false">($L$2*M9613)/100</f>
        <v>444616.605</v>
      </c>
      <c r="M9613" s="15" t="n">
        <v>0.37</v>
      </c>
      <c r="N9613" s="9" t="s">
        <v>26</v>
      </c>
    </row>
    <row r="9614" customFormat="false" ht="14.25" hidden="false" customHeight="true" outlineLevel="0" collapsed="false">
      <c r="B9614" s="9" t="s">
        <v>63</v>
      </c>
      <c r="C9614" s="9" t="n">
        <v>1185732</v>
      </c>
      <c r="D9614" s="10" t="n">
        <v>44394</v>
      </c>
      <c r="E9614" s="9" t="s">
        <v>17</v>
      </c>
      <c r="F9614" s="9" t="s">
        <v>135</v>
      </c>
      <c r="G9614" s="9" t="s">
        <v>136</v>
      </c>
      <c r="H9614" s="11" t="s">
        <v>25</v>
      </c>
      <c r="I9614" s="12" t="n">
        <v>47</v>
      </c>
      <c r="J9614" s="13" t="n">
        <v>163</v>
      </c>
      <c r="K9614" s="14" t="n">
        <f aca="false">I9614*J9614</f>
        <v>7661</v>
      </c>
      <c r="L9614" s="14" t="n">
        <f aca="false">($L$2*M9614)/100</f>
        <v>480666.6</v>
      </c>
      <c r="M9614" s="15" t="n">
        <v>0.4</v>
      </c>
      <c r="N9614" s="9" t="s">
        <v>26</v>
      </c>
    </row>
    <row r="9615" customFormat="false" ht="14.25" hidden="false" customHeight="true" outlineLevel="0" collapsed="false">
      <c r="B9615" s="9" t="s">
        <v>63</v>
      </c>
      <c r="C9615" s="9" t="n">
        <v>1185732</v>
      </c>
      <c r="D9615" s="10" t="n">
        <v>44426</v>
      </c>
      <c r="E9615" s="9" t="s">
        <v>17</v>
      </c>
      <c r="F9615" s="9" t="s">
        <v>135</v>
      </c>
      <c r="G9615" s="9" t="s">
        <v>136</v>
      </c>
      <c r="H9615" s="11" t="s">
        <v>19</v>
      </c>
      <c r="I9615" s="12" t="n">
        <v>48</v>
      </c>
      <c r="J9615" s="13" t="n">
        <v>203</v>
      </c>
      <c r="K9615" s="14" t="n">
        <f aca="false">I9615*J9615</f>
        <v>9744</v>
      </c>
      <c r="L9615" s="14" t="n">
        <f aca="false">($L$2*M9615)/100</f>
        <v>552766.59</v>
      </c>
      <c r="M9615" s="15" t="n">
        <v>0.46</v>
      </c>
      <c r="N9615" s="9" t="s">
        <v>26</v>
      </c>
    </row>
    <row r="9616" customFormat="false" ht="14.25" hidden="false" customHeight="true" outlineLevel="0" collapsed="false">
      <c r="B9616" s="9" t="s">
        <v>63</v>
      </c>
      <c r="C9616" s="9" t="n">
        <v>1185732</v>
      </c>
      <c r="D9616" s="10" t="n">
        <v>44426</v>
      </c>
      <c r="E9616" s="9" t="s">
        <v>17</v>
      </c>
      <c r="F9616" s="9" t="s">
        <v>135</v>
      </c>
      <c r="G9616" s="9" t="s">
        <v>136</v>
      </c>
      <c r="H9616" s="11" t="s">
        <v>21</v>
      </c>
      <c r="I9616" s="12" t="n">
        <v>39</v>
      </c>
      <c r="J9616" s="13" t="n">
        <v>135</v>
      </c>
      <c r="K9616" s="14" t="n">
        <f aca="false">I9616*J9616</f>
        <v>5265</v>
      </c>
      <c r="L9616" s="14" t="n">
        <f aca="false">($L$2*M9616)/100</f>
        <v>564783.255</v>
      </c>
      <c r="M9616" s="15" t="n">
        <v>0.47</v>
      </c>
      <c r="N9616" s="9" t="s">
        <v>26</v>
      </c>
    </row>
    <row r="9617" customFormat="false" ht="14.25" hidden="false" customHeight="true" outlineLevel="0" collapsed="false">
      <c r="B9617" s="9" t="s">
        <v>63</v>
      </c>
      <c r="C9617" s="9" t="n">
        <v>1185732</v>
      </c>
      <c r="D9617" s="10" t="n">
        <v>44426</v>
      </c>
      <c r="E9617" s="9" t="s">
        <v>17</v>
      </c>
      <c r="F9617" s="9" t="s">
        <v>135</v>
      </c>
      <c r="G9617" s="9" t="s">
        <v>136</v>
      </c>
      <c r="H9617" s="11" t="s">
        <v>22</v>
      </c>
      <c r="I9617" s="12" t="n">
        <v>39</v>
      </c>
      <c r="J9617" s="13" t="n">
        <v>113</v>
      </c>
      <c r="K9617" s="14" t="n">
        <f aca="false">I9617*J9617</f>
        <v>4407</v>
      </c>
      <c r="L9617" s="14" t="n">
        <f aca="false">($L$2*M9617)/100</f>
        <v>420583.275</v>
      </c>
      <c r="M9617" s="15" t="n">
        <v>0.35</v>
      </c>
      <c r="N9617" s="9" t="s">
        <v>26</v>
      </c>
    </row>
    <row r="9618" customFormat="false" ht="14.25" hidden="false" customHeight="true" outlineLevel="0" collapsed="false">
      <c r="B9618" s="9" t="s">
        <v>63</v>
      </c>
      <c r="C9618" s="9" t="n">
        <v>1185732</v>
      </c>
      <c r="D9618" s="10" t="n">
        <v>44426</v>
      </c>
      <c r="E9618" s="9" t="s">
        <v>17</v>
      </c>
      <c r="F9618" s="9" t="s">
        <v>135</v>
      </c>
      <c r="G9618" s="9" t="s">
        <v>136</v>
      </c>
      <c r="H9618" s="11" t="s">
        <v>23</v>
      </c>
      <c r="I9618" s="12" t="n">
        <v>42</v>
      </c>
      <c r="J9618" s="13" t="n">
        <v>88</v>
      </c>
      <c r="K9618" s="14" t="n">
        <f aca="false">I9618*J9618</f>
        <v>3696</v>
      </c>
      <c r="L9618" s="14" t="n">
        <f aca="false">($L$2*M9618)/100</f>
        <v>384533.28</v>
      </c>
      <c r="M9618" s="15" t="n">
        <v>0.32</v>
      </c>
      <c r="N9618" s="9" t="s">
        <v>26</v>
      </c>
    </row>
    <row r="9619" customFormat="false" ht="14.25" hidden="false" customHeight="true" outlineLevel="0" collapsed="false">
      <c r="B9619" s="9" t="s">
        <v>63</v>
      </c>
      <c r="C9619" s="9" t="n">
        <v>1185732</v>
      </c>
      <c r="D9619" s="10" t="n">
        <v>44426</v>
      </c>
      <c r="E9619" s="9" t="s">
        <v>17</v>
      </c>
      <c r="F9619" s="9" t="s">
        <v>135</v>
      </c>
      <c r="G9619" s="9" t="s">
        <v>136</v>
      </c>
      <c r="H9619" s="11" t="s">
        <v>24</v>
      </c>
      <c r="I9619" s="12" t="n">
        <v>45</v>
      </c>
      <c r="J9619" s="13" t="n">
        <v>80</v>
      </c>
      <c r="K9619" s="14" t="n">
        <f aca="false">I9619*J9619</f>
        <v>3600</v>
      </c>
      <c r="L9619" s="14" t="n">
        <f aca="false">($L$2*M9619)/100</f>
        <v>396549.945</v>
      </c>
      <c r="M9619" s="15" t="n">
        <v>0.33</v>
      </c>
      <c r="N9619" s="9" t="s">
        <v>26</v>
      </c>
    </row>
    <row r="9620" customFormat="false" ht="14.25" hidden="false" customHeight="true" outlineLevel="0" collapsed="false">
      <c r="B9620" s="9" t="s">
        <v>63</v>
      </c>
      <c r="C9620" s="9" t="n">
        <v>1185732</v>
      </c>
      <c r="D9620" s="10" t="n">
        <v>44426</v>
      </c>
      <c r="E9620" s="9" t="s">
        <v>17</v>
      </c>
      <c r="F9620" s="9" t="s">
        <v>135</v>
      </c>
      <c r="G9620" s="9" t="s">
        <v>136</v>
      </c>
      <c r="H9620" s="11" t="s">
        <v>25</v>
      </c>
      <c r="I9620" s="12" t="n">
        <v>46</v>
      </c>
      <c r="J9620" s="13" t="n">
        <v>145</v>
      </c>
      <c r="K9620" s="14" t="n">
        <f aca="false">I9620*J9620</f>
        <v>6670</v>
      </c>
      <c r="L9620" s="14" t="n">
        <f aca="false">($L$2*M9620)/100</f>
        <v>444616.605</v>
      </c>
      <c r="M9620" s="15" t="n">
        <v>0.37</v>
      </c>
      <c r="N9620" s="9" t="s">
        <v>26</v>
      </c>
    </row>
    <row r="9621" customFormat="false" ht="14.25" hidden="false" customHeight="true" outlineLevel="0" collapsed="false">
      <c r="B9621" s="9" t="s">
        <v>63</v>
      </c>
      <c r="C9621" s="9" t="n">
        <v>1185732</v>
      </c>
      <c r="D9621" s="10" t="n">
        <v>44456</v>
      </c>
      <c r="E9621" s="9" t="s">
        <v>17</v>
      </c>
      <c r="F9621" s="9" t="s">
        <v>135</v>
      </c>
      <c r="G9621" s="9" t="s">
        <v>136</v>
      </c>
      <c r="H9621" s="11" t="s">
        <v>19</v>
      </c>
      <c r="I9621" s="12" t="n">
        <v>51</v>
      </c>
      <c r="J9621" s="13" t="n">
        <v>193</v>
      </c>
      <c r="K9621" s="14" t="n">
        <f aca="false">I9621*J9621</f>
        <v>9843</v>
      </c>
      <c r="L9621" s="14" t="n">
        <f aca="false">($L$2*M9621)/100</f>
        <v>528733.26</v>
      </c>
      <c r="M9621" s="15" t="n">
        <v>0.44</v>
      </c>
      <c r="N9621" s="9" t="s">
        <v>26</v>
      </c>
    </row>
    <row r="9622" customFormat="false" ht="14.25" hidden="false" customHeight="true" outlineLevel="0" collapsed="false">
      <c r="B9622" s="9" t="s">
        <v>63</v>
      </c>
      <c r="C9622" s="9" t="n">
        <v>1185732</v>
      </c>
      <c r="D9622" s="10" t="n">
        <v>44456</v>
      </c>
      <c r="E9622" s="9" t="s">
        <v>17</v>
      </c>
      <c r="F9622" s="9" t="s">
        <v>135</v>
      </c>
      <c r="G9622" s="9" t="s">
        <v>136</v>
      </c>
      <c r="H9622" s="11" t="s">
        <v>21</v>
      </c>
      <c r="I9622" s="12" t="n">
        <v>43</v>
      </c>
      <c r="J9622" s="13" t="n">
        <v>116</v>
      </c>
      <c r="K9622" s="14" t="n">
        <f aca="false">I9622*J9622</f>
        <v>4988</v>
      </c>
      <c r="L9622" s="14" t="n">
        <f aca="false">($L$2*M9622)/100</f>
        <v>504699.93</v>
      </c>
      <c r="M9622" s="15" t="n">
        <v>0.42</v>
      </c>
      <c r="N9622" s="9" t="s">
        <v>26</v>
      </c>
    </row>
    <row r="9623" customFormat="false" ht="14.25" hidden="false" customHeight="true" outlineLevel="0" collapsed="false">
      <c r="B9623" s="9" t="s">
        <v>63</v>
      </c>
      <c r="C9623" s="9" t="n">
        <v>1185732</v>
      </c>
      <c r="D9623" s="10" t="n">
        <v>44456</v>
      </c>
      <c r="E9623" s="9" t="s">
        <v>17</v>
      </c>
      <c r="F9623" s="9" t="s">
        <v>135</v>
      </c>
      <c r="G9623" s="9" t="s">
        <v>136</v>
      </c>
      <c r="H9623" s="11" t="s">
        <v>22</v>
      </c>
      <c r="I9623" s="12" t="n">
        <v>43</v>
      </c>
      <c r="J9623" s="13" t="n">
        <v>78</v>
      </c>
      <c r="K9623" s="14" t="n">
        <f aca="false">I9623*J9623</f>
        <v>3354</v>
      </c>
      <c r="L9623" s="14" t="n">
        <f aca="false">($L$2*M9623)/100</f>
        <v>396549.945</v>
      </c>
      <c r="M9623" s="15" t="n">
        <v>0.33</v>
      </c>
      <c r="N9623" s="9" t="s">
        <v>26</v>
      </c>
    </row>
    <row r="9624" customFormat="false" ht="14.25" hidden="false" customHeight="true" outlineLevel="0" collapsed="false">
      <c r="B9624" s="9" t="s">
        <v>63</v>
      </c>
      <c r="C9624" s="9" t="n">
        <v>1185732</v>
      </c>
      <c r="D9624" s="10" t="n">
        <v>44456</v>
      </c>
      <c r="E9624" s="9" t="s">
        <v>17</v>
      </c>
      <c r="F9624" s="9" t="s">
        <v>135</v>
      </c>
      <c r="G9624" s="9" t="s">
        <v>136</v>
      </c>
      <c r="H9624" s="11" t="s">
        <v>23</v>
      </c>
      <c r="I9624" s="12" t="n">
        <v>41</v>
      </c>
      <c r="J9624" s="13" t="n">
        <v>74</v>
      </c>
      <c r="K9624" s="14" t="n">
        <f aca="false">I9624*J9624</f>
        <v>3034</v>
      </c>
      <c r="L9624" s="14" t="n">
        <f aca="false">($L$2*M9624)/100</f>
        <v>444616.605</v>
      </c>
      <c r="M9624" s="15" t="n">
        <v>0.37</v>
      </c>
      <c r="N9624" s="9" t="s">
        <v>26</v>
      </c>
    </row>
    <row r="9625" customFormat="false" ht="14.25" hidden="false" customHeight="true" outlineLevel="0" collapsed="false">
      <c r="B9625" s="9" t="s">
        <v>63</v>
      </c>
      <c r="C9625" s="9" t="n">
        <v>1185732</v>
      </c>
      <c r="D9625" s="10" t="n">
        <v>44456</v>
      </c>
      <c r="E9625" s="9" t="s">
        <v>17</v>
      </c>
      <c r="F9625" s="9" t="s">
        <v>135</v>
      </c>
      <c r="G9625" s="9" t="s">
        <v>136</v>
      </c>
      <c r="H9625" s="11" t="s">
        <v>24</v>
      </c>
      <c r="I9625" s="12" t="n">
        <v>48</v>
      </c>
      <c r="J9625" s="13" t="n">
        <v>70</v>
      </c>
      <c r="K9625" s="14" t="n">
        <f aca="false">I9625*J9625</f>
        <v>3360</v>
      </c>
      <c r="L9625" s="14" t="n">
        <f aca="false">($L$2*M9625)/100</f>
        <v>432599.94</v>
      </c>
      <c r="M9625" s="15" t="n">
        <v>0.36</v>
      </c>
      <c r="N9625" s="9" t="s">
        <v>26</v>
      </c>
    </row>
    <row r="9626" customFormat="false" ht="14.25" hidden="false" customHeight="true" outlineLevel="0" collapsed="false">
      <c r="B9626" s="9" t="s">
        <v>63</v>
      </c>
      <c r="C9626" s="9" t="n">
        <v>1185732</v>
      </c>
      <c r="D9626" s="10" t="n">
        <v>44456</v>
      </c>
      <c r="E9626" s="9" t="s">
        <v>17</v>
      </c>
      <c r="F9626" s="9" t="s">
        <v>135</v>
      </c>
      <c r="G9626" s="9" t="s">
        <v>136</v>
      </c>
      <c r="H9626" s="11" t="s">
        <v>25</v>
      </c>
      <c r="I9626" s="12" t="n">
        <v>53</v>
      </c>
      <c r="J9626" s="13" t="n">
        <v>104</v>
      </c>
      <c r="K9626" s="14" t="n">
        <f aca="false">I9626*J9626</f>
        <v>5512</v>
      </c>
      <c r="L9626" s="14" t="n">
        <f aca="false">($L$2*M9626)/100</f>
        <v>444616.605</v>
      </c>
      <c r="M9626" s="15" t="n">
        <v>0.37</v>
      </c>
      <c r="N9626" s="9" t="s">
        <v>26</v>
      </c>
    </row>
    <row r="9627" customFormat="false" ht="14.25" hidden="false" customHeight="true" outlineLevel="0" collapsed="false">
      <c r="B9627" s="9" t="s">
        <v>16</v>
      </c>
      <c r="C9627" s="9" t="n">
        <v>1185732</v>
      </c>
      <c r="D9627" s="10" t="n">
        <v>44488</v>
      </c>
      <c r="E9627" s="9" t="s">
        <v>17</v>
      </c>
      <c r="F9627" s="9" t="s">
        <v>135</v>
      </c>
      <c r="G9627" s="9" t="s">
        <v>136</v>
      </c>
      <c r="H9627" s="11" t="s">
        <v>19</v>
      </c>
      <c r="I9627" s="12" t="n">
        <v>52</v>
      </c>
      <c r="J9627" s="13" t="n">
        <v>162</v>
      </c>
      <c r="K9627" s="14" t="n">
        <f aca="false">I9627*J9627</f>
        <v>8424</v>
      </c>
      <c r="L9627" s="14" t="n">
        <f aca="false">($L$2*M9627)/100</f>
        <v>504699.93</v>
      </c>
      <c r="M9627" s="15" t="n">
        <v>0.42</v>
      </c>
      <c r="N9627" s="9" t="s">
        <v>26</v>
      </c>
    </row>
    <row r="9628" customFormat="false" ht="14.25" hidden="false" customHeight="true" outlineLevel="0" collapsed="false">
      <c r="B9628" s="9" t="s">
        <v>16</v>
      </c>
      <c r="C9628" s="9" t="n">
        <v>1185732</v>
      </c>
      <c r="D9628" s="10" t="n">
        <v>44488</v>
      </c>
      <c r="E9628" s="9" t="s">
        <v>17</v>
      </c>
      <c r="F9628" s="9" t="s">
        <v>135</v>
      </c>
      <c r="G9628" s="9" t="s">
        <v>136</v>
      </c>
      <c r="H9628" s="11" t="s">
        <v>21</v>
      </c>
      <c r="I9628" s="12" t="n">
        <v>44</v>
      </c>
      <c r="J9628" s="13" t="n">
        <v>99</v>
      </c>
      <c r="K9628" s="14" t="n">
        <f aca="false">I9628*J9628</f>
        <v>4356</v>
      </c>
      <c r="L9628" s="14" t="n">
        <f aca="false">($L$2*M9628)/100</f>
        <v>528733.26</v>
      </c>
      <c r="M9628" s="15" t="n">
        <v>0.44</v>
      </c>
      <c r="N9628" s="9" t="s">
        <v>26</v>
      </c>
    </row>
    <row r="9629" customFormat="false" ht="14.25" hidden="false" customHeight="true" outlineLevel="0" collapsed="false">
      <c r="B9629" s="9" t="s">
        <v>16</v>
      </c>
      <c r="C9629" s="9" t="n">
        <v>1185732</v>
      </c>
      <c r="D9629" s="10" t="n">
        <v>44488</v>
      </c>
      <c r="E9629" s="9" t="s">
        <v>17</v>
      </c>
      <c r="F9629" s="9" t="s">
        <v>135</v>
      </c>
      <c r="G9629" s="9" t="s">
        <v>136</v>
      </c>
      <c r="H9629" s="11" t="s">
        <v>22</v>
      </c>
      <c r="I9629" s="12" t="n">
        <v>52</v>
      </c>
      <c r="J9629" s="13" t="n">
        <v>60</v>
      </c>
      <c r="K9629" s="14" t="n">
        <f aca="false">I9629*J9629</f>
        <v>3120</v>
      </c>
      <c r="L9629" s="14" t="n">
        <f aca="false">($L$2*M9629)/100</f>
        <v>396549.945</v>
      </c>
      <c r="M9629" s="15" t="n">
        <v>0.33</v>
      </c>
      <c r="N9629" s="9" t="s">
        <v>26</v>
      </c>
    </row>
    <row r="9630" customFormat="false" ht="14.25" hidden="false" customHeight="true" outlineLevel="0" collapsed="false">
      <c r="B9630" s="9" t="s">
        <v>16</v>
      </c>
      <c r="C9630" s="9" t="n">
        <v>1185732</v>
      </c>
      <c r="D9630" s="10" t="n">
        <v>44488</v>
      </c>
      <c r="E9630" s="9" t="s">
        <v>17</v>
      </c>
      <c r="F9630" s="9" t="s">
        <v>135</v>
      </c>
      <c r="G9630" s="9" t="s">
        <v>136</v>
      </c>
      <c r="H9630" s="11" t="s">
        <v>23</v>
      </c>
      <c r="I9630" s="12" t="n">
        <v>44</v>
      </c>
      <c r="J9630" s="13" t="n">
        <v>61</v>
      </c>
      <c r="K9630" s="14" t="n">
        <f aca="false">I9630*J9630</f>
        <v>2684</v>
      </c>
      <c r="L9630" s="14" t="n">
        <f aca="false">($L$2*M9630)/100</f>
        <v>384533.28</v>
      </c>
      <c r="M9630" s="15" t="n">
        <v>0.32</v>
      </c>
      <c r="N9630" s="9" t="s">
        <v>26</v>
      </c>
    </row>
    <row r="9631" customFormat="false" ht="14.25" hidden="false" customHeight="true" outlineLevel="0" collapsed="false">
      <c r="B9631" s="9" t="s">
        <v>16</v>
      </c>
      <c r="C9631" s="9" t="n">
        <v>1185732</v>
      </c>
      <c r="D9631" s="10" t="n">
        <v>44488</v>
      </c>
      <c r="E9631" s="9" t="s">
        <v>17</v>
      </c>
      <c r="F9631" s="9" t="s">
        <v>135</v>
      </c>
      <c r="G9631" s="9" t="s">
        <v>136</v>
      </c>
      <c r="H9631" s="11" t="s">
        <v>24</v>
      </c>
      <c r="I9631" s="12" t="n">
        <v>50</v>
      </c>
      <c r="J9631" s="13" t="n">
        <v>58</v>
      </c>
      <c r="K9631" s="14" t="n">
        <f aca="false">I9631*J9631</f>
        <v>2900</v>
      </c>
      <c r="L9631" s="14" t="n">
        <f aca="false">($L$2*M9631)/100</f>
        <v>384533.28</v>
      </c>
      <c r="M9631" s="15" t="n">
        <v>0.32</v>
      </c>
      <c r="N9631" s="9" t="s">
        <v>26</v>
      </c>
    </row>
    <row r="9632" customFormat="false" ht="14.25" hidden="false" customHeight="true" outlineLevel="0" collapsed="false">
      <c r="B9632" s="9" t="s">
        <v>16</v>
      </c>
      <c r="C9632" s="9" t="n">
        <v>1185732</v>
      </c>
      <c r="D9632" s="10" t="n">
        <v>44488</v>
      </c>
      <c r="E9632" s="9" t="s">
        <v>17</v>
      </c>
      <c r="F9632" s="9" t="s">
        <v>135</v>
      </c>
      <c r="G9632" s="9" t="s">
        <v>136</v>
      </c>
      <c r="H9632" s="11" t="s">
        <v>25</v>
      </c>
      <c r="I9632" s="12" t="n">
        <v>64</v>
      </c>
      <c r="J9632" s="13" t="n">
        <v>90</v>
      </c>
      <c r="K9632" s="14" t="n">
        <f aca="false">I9632*J9632</f>
        <v>5760</v>
      </c>
      <c r="L9632" s="14" t="n">
        <f aca="false">($L$2*M9632)/100</f>
        <v>468649.935</v>
      </c>
      <c r="M9632" s="15" t="n">
        <v>0.39</v>
      </c>
      <c r="N9632" s="9" t="s">
        <v>26</v>
      </c>
    </row>
    <row r="9633" customFormat="false" ht="14.25" hidden="false" customHeight="true" outlineLevel="0" collapsed="false">
      <c r="B9633" s="9" t="s">
        <v>16</v>
      </c>
      <c r="C9633" s="9" t="n">
        <v>1185732</v>
      </c>
      <c r="D9633" s="10" t="n">
        <v>44518</v>
      </c>
      <c r="E9633" s="9" t="s">
        <v>17</v>
      </c>
      <c r="F9633" s="9" t="s">
        <v>135</v>
      </c>
      <c r="G9633" s="9" t="s">
        <v>136</v>
      </c>
      <c r="H9633" s="11" t="s">
        <v>19</v>
      </c>
      <c r="I9633" s="12" t="n">
        <v>59</v>
      </c>
      <c r="J9633" s="13" t="n">
        <v>149</v>
      </c>
      <c r="K9633" s="14" t="n">
        <f aca="false">I9633*J9633</f>
        <v>8791</v>
      </c>
      <c r="L9633" s="14" t="n">
        <f aca="false">($L$2*M9633)/100</f>
        <v>516716.595</v>
      </c>
      <c r="M9633" s="15" t="n">
        <v>0.43</v>
      </c>
      <c r="N9633" s="9" t="s">
        <v>26</v>
      </c>
    </row>
    <row r="9634" customFormat="false" ht="14.25" hidden="false" customHeight="true" outlineLevel="0" collapsed="false">
      <c r="B9634" s="9" t="s">
        <v>16</v>
      </c>
      <c r="C9634" s="9" t="n">
        <v>1185732</v>
      </c>
      <c r="D9634" s="10" t="n">
        <v>44518</v>
      </c>
      <c r="E9634" s="9" t="s">
        <v>17</v>
      </c>
      <c r="F9634" s="9" t="s">
        <v>135</v>
      </c>
      <c r="G9634" s="9" t="s">
        <v>136</v>
      </c>
      <c r="H9634" s="11" t="s">
        <v>21</v>
      </c>
      <c r="I9634" s="12" t="n">
        <v>42</v>
      </c>
      <c r="J9634" s="13" t="n">
        <v>114</v>
      </c>
      <c r="K9634" s="14" t="n">
        <f aca="false">I9634*J9634</f>
        <v>4788</v>
      </c>
      <c r="L9634" s="14" t="n">
        <f aca="false">($L$2*M9634)/100</f>
        <v>516716.595</v>
      </c>
      <c r="M9634" s="15" t="n">
        <v>0.43</v>
      </c>
      <c r="N9634" s="9" t="s">
        <v>26</v>
      </c>
    </row>
    <row r="9635" customFormat="false" ht="14.25" hidden="false" customHeight="true" outlineLevel="0" collapsed="false">
      <c r="B9635" s="9" t="s">
        <v>16</v>
      </c>
      <c r="C9635" s="9" t="n">
        <v>1185732</v>
      </c>
      <c r="D9635" s="10" t="n">
        <v>44518</v>
      </c>
      <c r="E9635" s="9" t="s">
        <v>17</v>
      </c>
      <c r="F9635" s="9" t="s">
        <v>135</v>
      </c>
      <c r="G9635" s="9" t="s">
        <v>136</v>
      </c>
      <c r="H9635" s="11" t="s">
        <v>22</v>
      </c>
      <c r="I9635" s="12" t="n">
        <v>51</v>
      </c>
      <c r="J9635" s="13" t="n">
        <v>114</v>
      </c>
      <c r="K9635" s="14" t="n">
        <f aca="false">I9635*J9635</f>
        <v>5814</v>
      </c>
      <c r="L9635" s="14" t="n">
        <f aca="false">($L$2*M9635)/100</f>
        <v>420583.275</v>
      </c>
      <c r="M9635" s="15" t="n">
        <v>0.35</v>
      </c>
      <c r="N9635" s="9" t="s">
        <v>26</v>
      </c>
    </row>
    <row r="9636" customFormat="false" ht="14.25" hidden="false" customHeight="true" outlineLevel="0" collapsed="false">
      <c r="B9636" s="9" t="s">
        <v>16</v>
      </c>
      <c r="C9636" s="9" t="n">
        <v>1185732</v>
      </c>
      <c r="D9636" s="10" t="n">
        <v>44518</v>
      </c>
      <c r="E9636" s="9" t="s">
        <v>17</v>
      </c>
      <c r="F9636" s="9" t="s">
        <v>135</v>
      </c>
      <c r="G9636" s="9" t="s">
        <v>136</v>
      </c>
      <c r="H9636" s="11" t="s">
        <v>23</v>
      </c>
      <c r="I9636" s="12" t="n">
        <v>43</v>
      </c>
      <c r="J9636" s="13" t="n">
        <v>114</v>
      </c>
      <c r="K9636" s="14" t="n">
        <f aca="false">I9636*J9636</f>
        <v>4902</v>
      </c>
      <c r="L9636" s="14" t="n">
        <f aca="false">($L$2*M9636)/100</f>
        <v>408566.61</v>
      </c>
      <c r="M9636" s="15" t="n">
        <v>0.34</v>
      </c>
      <c r="N9636" s="9" t="s">
        <v>26</v>
      </c>
    </row>
    <row r="9637" customFormat="false" ht="14.25" hidden="false" customHeight="true" outlineLevel="0" collapsed="false">
      <c r="B9637" s="9" t="s">
        <v>16</v>
      </c>
      <c r="C9637" s="9" t="n">
        <v>1185732</v>
      </c>
      <c r="D9637" s="10" t="n">
        <v>44518</v>
      </c>
      <c r="E9637" s="9" t="s">
        <v>17</v>
      </c>
      <c r="F9637" s="9" t="s">
        <v>135</v>
      </c>
      <c r="G9637" s="9" t="s">
        <v>136</v>
      </c>
      <c r="H9637" s="11" t="s">
        <v>24</v>
      </c>
      <c r="I9637" s="12" t="n">
        <v>59</v>
      </c>
      <c r="J9637" s="13" t="n">
        <v>96</v>
      </c>
      <c r="K9637" s="14" t="n">
        <f aca="false">I9637*J9637</f>
        <v>5664</v>
      </c>
      <c r="L9637" s="14" t="n">
        <f aca="false">($L$2*M9637)/100</f>
        <v>408566.61</v>
      </c>
      <c r="M9637" s="15" t="n">
        <v>0.34</v>
      </c>
      <c r="N9637" s="9" t="s">
        <v>26</v>
      </c>
    </row>
    <row r="9638" customFormat="false" ht="14.25" hidden="false" customHeight="true" outlineLevel="0" collapsed="false">
      <c r="B9638" s="9" t="s">
        <v>16</v>
      </c>
      <c r="C9638" s="9" t="n">
        <v>1185732</v>
      </c>
      <c r="D9638" s="10" t="n">
        <v>44518</v>
      </c>
      <c r="E9638" s="9" t="s">
        <v>17</v>
      </c>
      <c r="F9638" s="9" t="s">
        <v>135</v>
      </c>
      <c r="G9638" s="9" t="s">
        <v>136</v>
      </c>
      <c r="H9638" s="11" t="s">
        <v>25</v>
      </c>
      <c r="I9638" s="12" t="n">
        <v>61</v>
      </c>
      <c r="J9638" s="13" t="n">
        <v>120</v>
      </c>
      <c r="K9638" s="14" t="n">
        <f aca="false">I9638*J9638</f>
        <v>7320</v>
      </c>
      <c r="L9638" s="14" t="n">
        <f aca="false">($L$2*M9638)/100</f>
        <v>492683.265</v>
      </c>
      <c r="M9638" s="15" t="n">
        <v>0.41</v>
      </c>
      <c r="N9638" s="9" t="s">
        <v>26</v>
      </c>
    </row>
    <row r="9639" customFormat="false" ht="14.25" hidden="false" customHeight="true" outlineLevel="0" collapsed="false">
      <c r="B9639" s="9" t="s">
        <v>16</v>
      </c>
      <c r="C9639" s="9" t="n">
        <v>1185732</v>
      </c>
      <c r="D9639" s="10" t="n">
        <v>44547</v>
      </c>
      <c r="E9639" s="9" t="s">
        <v>17</v>
      </c>
      <c r="F9639" s="9" t="s">
        <v>135</v>
      </c>
      <c r="G9639" s="9" t="s">
        <v>136</v>
      </c>
      <c r="H9639" s="11" t="s">
        <v>19</v>
      </c>
      <c r="I9639" s="12" t="n">
        <v>49</v>
      </c>
      <c r="J9639" s="13" t="n">
        <v>200</v>
      </c>
      <c r="K9639" s="14" t="n">
        <f aca="false">I9639*J9639</f>
        <v>9800</v>
      </c>
      <c r="L9639" s="14" t="n">
        <f aca="false">($L$2*M9639)/100</f>
        <v>564783.255</v>
      </c>
      <c r="M9639" s="15" t="n">
        <v>0.47</v>
      </c>
      <c r="N9639" s="9" t="s">
        <v>26</v>
      </c>
    </row>
    <row r="9640" customFormat="false" ht="14.25" hidden="false" customHeight="true" outlineLevel="0" collapsed="false">
      <c r="B9640" s="9" t="s">
        <v>16</v>
      </c>
      <c r="C9640" s="9" t="n">
        <v>1185732</v>
      </c>
      <c r="D9640" s="10" t="n">
        <v>44547</v>
      </c>
      <c r="E9640" s="9" t="s">
        <v>17</v>
      </c>
      <c r="F9640" s="9" t="s">
        <v>135</v>
      </c>
      <c r="G9640" s="9" t="s">
        <v>136</v>
      </c>
      <c r="H9640" s="11" t="s">
        <v>21</v>
      </c>
      <c r="I9640" s="12" t="n">
        <v>49</v>
      </c>
      <c r="J9640" s="13" t="n">
        <v>128</v>
      </c>
      <c r="K9640" s="14" t="n">
        <f aca="false">I9640*J9640</f>
        <v>6272</v>
      </c>
      <c r="L9640" s="14" t="n">
        <f aca="false">($L$2*M9640)/100</f>
        <v>504699.93</v>
      </c>
      <c r="M9640" s="15" t="n">
        <v>0.42</v>
      </c>
      <c r="N9640" s="9" t="s">
        <v>26</v>
      </c>
    </row>
    <row r="9641" customFormat="false" ht="14.25" hidden="false" customHeight="true" outlineLevel="0" collapsed="false">
      <c r="B9641" s="9" t="s">
        <v>16</v>
      </c>
      <c r="C9641" s="9" t="n">
        <v>1185732</v>
      </c>
      <c r="D9641" s="10" t="n">
        <v>44547</v>
      </c>
      <c r="E9641" s="9" t="s">
        <v>17</v>
      </c>
      <c r="F9641" s="9" t="s">
        <v>135</v>
      </c>
      <c r="G9641" s="9" t="s">
        <v>136</v>
      </c>
      <c r="H9641" s="11" t="s">
        <v>22</v>
      </c>
      <c r="I9641" s="12" t="n">
        <v>47</v>
      </c>
      <c r="J9641" s="13" t="n">
        <v>128</v>
      </c>
      <c r="K9641" s="14" t="n">
        <f aca="false">I9641*J9641</f>
        <v>6016</v>
      </c>
      <c r="L9641" s="14" t="n">
        <f aca="false">($L$2*M9641)/100</f>
        <v>432599.94</v>
      </c>
      <c r="M9641" s="15" t="n">
        <v>0.36</v>
      </c>
      <c r="N9641" s="9" t="s">
        <v>26</v>
      </c>
    </row>
    <row r="9642" customFormat="false" ht="14.25" hidden="false" customHeight="true" outlineLevel="0" collapsed="false">
      <c r="B9642" s="9" t="s">
        <v>16</v>
      </c>
      <c r="C9642" s="9" t="n">
        <v>1185732</v>
      </c>
      <c r="D9642" s="10" t="n">
        <v>44547</v>
      </c>
      <c r="E9642" s="9" t="s">
        <v>17</v>
      </c>
      <c r="F9642" s="9" t="s">
        <v>135</v>
      </c>
      <c r="G9642" s="9" t="s">
        <v>136</v>
      </c>
      <c r="H9642" s="11" t="s">
        <v>23</v>
      </c>
      <c r="I9642" s="12" t="n">
        <v>49</v>
      </c>
      <c r="J9642" s="13" t="n">
        <v>116</v>
      </c>
      <c r="K9642" s="14" t="n">
        <f aca="false">I9642*J9642</f>
        <v>5684</v>
      </c>
      <c r="L9642" s="14" t="n">
        <f aca="false">($L$2*M9642)/100</f>
        <v>420583.275</v>
      </c>
      <c r="M9642" s="15" t="n">
        <v>0.35</v>
      </c>
      <c r="N9642" s="9" t="s">
        <v>26</v>
      </c>
    </row>
    <row r="9643" customFormat="false" ht="14.25" hidden="false" customHeight="true" outlineLevel="0" collapsed="false">
      <c r="B9643" s="9" t="s">
        <v>16</v>
      </c>
      <c r="C9643" s="9" t="n">
        <v>1185732</v>
      </c>
      <c r="D9643" s="10" t="n">
        <v>44547</v>
      </c>
      <c r="E9643" s="9" t="s">
        <v>17</v>
      </c>
      <c r="F9643" s="9" t="s">
        <v>135</v>
      </c>
      <c r="G9643" s="9" t="s">
        <v>136</v>
      </c>
      <c r="H9643" s="11" t="s">
        <v>24</v>
      </c>
      <c r="I9643" s="12" t="n">
        <v>50</v>
      </c>
      <c r="J9643" s="13" t="n">
        <v>123</v>
      </c>
      <c r="K9643" s="14" t="n">
        <f aca="false">I9643*J9643</f>
        <v>6150</v>
      </c>
      <c r="L9643" s="14" t="n">
        <f aca="false">($L$2*M9643)/100</f>
        <v>444616.605</v>
      </c>
      <c r="M9643" s="15" t="n">
        <v>0.37</v>
      </c>
      <c r="N9643" s="9" t="s">
        <v>26</v>
      </c>
    </row>
    <row r="9644" customFormat="false" ht="14.25" hidden="false" customHeight="true" outlineLevel="0" collapsed="false">
      <c r="B9644" s="9" t="s">
        <v>16</v>
      </c>
      <c r="C9644" s="9" t="n">
        <v>1185732</v>
      </c>
      <c r="D9644" s="10" t="n">
        <v>44547</v>
      </c>
      <c r="E9644" s="9" t="s">
        <v>17</v>
      </c>
      <c r="F9644" s="9" t="s">
        <v>135</v>
      </c>
      <c r="G9644" s="9" t="s">
        <v>136</v>
      </c>
      <c r="H9644" s="11" t="s">
        <v>25</v>
      </c>
      <c r="I9644" s="12" t="n">
        <v>61</v>
      </c>
      <c r="J9644" s="13" t="n">
        <v>144</v>
      </c>
      <c r="K9644" s="14" t="n">
        <f aca="false">I9644*J9644</f>
        <v>8784</v>
      </c>
      <c r="L9644" s="14" t="n">
        <f aca="false">($L$2*M9644)/100</f>
        <v>480666.6</v>
      </c>
      <c r="M9644" s="15" t="n">
        <v>0.4</v>
      </c>
      <c r="N9644" s="9" t="s">
        <v>26</v>
      </c>
    </row>
    <row r="9645" customFormat="false" ht="14.25" hidden="false" customHeight="true" outlineLevel="0" collapsed="false">
      <c r="B9645" s="9" t="s">
        <v>16</v>
      </c>
      <c r="C9645" s="9" t="n">
        <v>1185732</v>
      </c>
      <c r="D9645" s="10" t="n">
        <v>44220</v>
      </c>
      <c r="E9645" s="9" t="s">
        <v>17</v>
      </c>
      <c r="F9645" s="9" t="s">
        <v>135</v>
      </c>
      <c r="G9645" s="9" t="s">
        <v>136</v>
      </c>
      <c r="H9645" s="11" t="s">
        <v>19</v>
      </c>
      <c r="I9645" s="12" t="n">
        <v>36</v>
      </c>
      <c r="J9645" s="13" t="n">
        <v>165</v>
      </c>
      <c r="K9645" s="14" t="n">
        <f aca="false">I9645*J9645</f>
        <v>5940</v>
      </c>
      <c r="L9645" s="14" t="n">
        <f aca="false">($L$2*M9645)/100</f>
        <v>444616.605</v>
      </c>
      <c r="M9645" s="15" t="n">
        <v>0.37</v>
      </c>
      <c r="N9645" s="9" t="s">
        <v>26</v>
      </c>
    </row>
    <row r="9646" customFormat="false" ht="14.25" hidden="false" customHeight="true" outlineLevel="0" collapsed="false">
      <c r="B9646" s="9" t="s">
        <v>16</v>
      </c>
      <c r="C9646" s="9" t="n">
        <v>1185732</v>
      </c>
      <c r="D9646" s="10" t="n">
        <v>44220</v>
      </c>
      <c r="E9646" s="9" t="s">
        <v>17</v>
      </c>
      <c r="F9646" s="9" t="s">
        <v>135</v>
      </c>
      <c r="G9646" s="9" t="s">
        <v>136</v>
      </c>
      <c r="H9646" s="11" t="s">
        <v>21</v>
      </c>
      <c r="I9646" s="12" t="n">
        <v>36</v>
      </c>
      <c r="J9646" s="13" t="n">
        <v>93</v>
      </c>
      <c r="K9646" s="14" t="n">
        <f aca="false">I9646*J9646</f>
        <v>3348</v>
      </c>
      <c r="L9646" s="14" t="n">
        <f aca="false">($L$2*M9646)/100</f>
        <v>480666.6</v>
      </c>
      <c r="M9646" s="15" t="n">
        <v>0.4</v>
      </c>
      <c r="N9646" s="9" t="s">
        <v>26</v>
      </c>
    </row>
    <row r="9647" customFormat="false" ht="14.25" hidden="false" customHeight="true" outlineLevel="0" collapsed="false">
      <c r="B9647" s="9" t="s">
        <v>16</v>
      </c>
      <c r="C9647" s="9" t="n">
        <v>1185732</v>
      </c>
      <c r="D9647" s="10" t="n">
        <v>44220</v>
      </c>
      <c r="E9647" s="9" t="s">
        <v>17</v>
      </c>
      <c r="F9647" s="9" t="s">
        <v>135</v>
      </c>
      <c r="G9647" s="9" t="s">
        <v>136</v>
      </c>
      <c r="H9647" s="11" t="s">
        <v>22</v>
      </c>
      <c r="I9647" s="12" t="n">
        <v>35</v>
      </c>
      <c r="J9647" s="13" t="n">
        <v>99</v>
      </c>
      <c r="K9647" s="14" t="n">
        <f aca="false">I9647*J9647</f>
        <v>3465</v>
      </c>
      <c r="L9647" s="14" t="n">
        <f aca="false">($L$2*M9647)/100</f>
        <v>324449.955</v>
      </c>
      <c r="M9647" s="15" t="n">
        <v>0.27</v>
      </c>
      <c r="N9647" s="9" t="s">
        <v>26</v>
      </c>
    </row>
    <row r="9648" customFormat="false" ht="14.25" hidden="false" customHeight="true" outlineLevel="0" collapsed="false">
      <c r="B9648" s="9" t="s">
        <v>16</v>
      </c>
      <c r="C9648" s="9" t="n">
        <v>1185732</v>
      </c>
      <c r="D9648" s="10" t="n">
        <v>44220</v>
      </c>
      <c r="E9648" s="9" t="s">
        <v>17</v>
      </c>
      <c r="F9648" s="9" t="s">
        <v>135</v>
      </c>
      <c r="G9648" s="9" t="s">
        <v>136</v>
      </c>
      <c r="H9648" s="11" t="s">
        <v>23</v>
      </c>
      <c r="I9648" s="12" t="n">
        <v>33</v>
      </c>
      <c r="J9648" s="13" t="n">
        <v>51</v>
      </c>
      <c r="K9648" s="14" t="n">
        <f aca="false">I9648*J9648</f>
        <v>1683</v>
      </c>
      <c r="L9648" s="14" t="n">
        <f aca="false">($L$2*M9648)/100</f>
        <v>336466.62</v>
      </c>
      <c r="M9648" s="15" t="n">
        <v>0.28</v>
      </c>
      <c r="N9648" s="9" t="s">
        <v>26</v>
      </c>
    </row>
    <row r="9649" customFormat="false" ht="14.25" hidden="false" customHeight="true" outlineLevel="0" collapsed="false">
      <c r="B9649" s="9" t="s">
        <v>16</v>
      </c>
      <c r="C9649" s="9" t="n">
        <v>1185732</v>
      </c>
      <c r="D9649" s="10" t="n">
        <v>44220</v>
      </c>
      <c r="E9649" s="9" t="s">
        <v>17</v>
      </c>
      <c r="F9649" s="9" t="s">
        <v>135</v>
      </c>
      <c r="G9649" s="9" t="s">
        <v>136</v>
      </c>
      <c r="H9649" s="11" t="s">
        <v>24</v>
      </c>
      <c r="I9649" s="12" t="n">
        <v>50</v>
      </c>
      <c r="J9649" s="13" t="n">
        <v>64</v>
      </c>
      <c r="K9649" s="14" t="n">
        <f aca="false">I9649*J9649</f>
        <v>3200</v>
      </c>
      <c r="L9649" s="14" t="n">
        <f aca="false">($L$2*M9649)/100</f>
        <v>336466.62</v>
      </c>
      <c r="M9649" s="15" t="n">
        <v>0.28</v>
      </c>
      <c r="N9649" s="9" t="s">
        <v>26</v>
      </c>
    </row>
    <row r="9650" customFormat="false" ht="14.25" hidden="false" customHeight="true" outlineLevel="0" collapsed="false">
      <c r="B9650" s="9" t="s">
        <v>16</v>
      </c>
      <c r="C9650" s="9" t="n">
        <v>1185732</v>
      </c>
      <c r="D9650" s="10" t="n">
        <v>44220</v>
      </c>
      <c r="E9650" s="9" t="s">
        <v>17</v>
      </c>
      <c r="F9650" s="9" t="s">
        <v>135</v>
      </c>
      <c r="G9650" s="9" t="s">
        <v>136</v>
      </c>
      <c r="H9650" s="11" t="s">
        <v>25</v>
      </c>
      <c r="I9650" s="12" t="n">
        <v>41</v>
      </c>
      <c r="J9650" s="13" t="n">
        <v>105</v>
      </c>
      <c r="K9650" s="14" t="n">
        <f aca="false">I9650*J9650</f>
        <v>4305</v>
      </c>
      <c r="L9650" s="14" t="n">
        <f aca="false">($L$2*M9650)/100</f>
        <v>384533.28</v>
      </c>
      <c r="M9650" s="15" t="n">
        <v>0.32</v>
      </c>
      <c r="N9650" s="9" t="s">
        <v>26</v>
      </c>
    </row>
    <row r="9651" customFormat="false" ht="14.25" hidden="false" customHeight="true" outlineLevel="0" collapsed="false">
      <c r="B9651" s="9" t="s">
        <v>16</v>
      </c>
      <c r="C9651" s="9" t="n">
        <v>1185732</v>
      </c>
      <c r="D9651" s="10" t="n">
        <v>44249</v>
      </c>
      <c r="E9651" s="9" t="s">
        <v>17</v>
      </c>
      <c r="F9651" s="9" t="s">
        <v>135</v>
      </c>
      <c r="G9651" s="9" t="s">
        <v>136</v>
      </c>
      <c r="H9651" s="11" t="s">
        <v>19</v>
      </c>
      <c r="I9651" s="12" t="n">
        <v>41</v>
      </c>
      <c r="J9651" s="13" t="n">
        <v>184</v>
      </c>
      <c r="K9651" s="14" t="n">
        <f aca="false">I9651*J9651</f>
        <v>7544</v>
      </c>
      <c r="L9651" s="14" t="n">
        <f aca="false">($L$2*M9651)/100</f>
        <v>444616.605</v>
      </c>
      <c r="M9651" s="15" t="n">
        <v>0.37</v>
      </c>
      <c r="N9651" s="9" t="s">
        <v>26</v>
      </c>
    </row>
    <row r="9652" customFormat="false" ht="14.25" hidden="false" customHeight="true" outlineLevel="0" collapsed="false">
      <c r="B9652" s="9" t="s">
        <v>16</v>
      </c>
      <c r="C9652" s="9" t="n">
        <v>1185732</v>
      </c>
      <c r="D9652" s="10" t="n">
        <v>44249</v>
      </c>
      <c r="E9652" s="9" t="s">
        <v>17</v>
      </c>
      <c r="F9652" s="9" t="s">
        <v>135</v>
      </c>
      <c r="G9652" s="9" t="s">
        <v>136</v>
      </c>
      <c r="H9652" s="11" t="s">
        <v>21</v>
      </c>
      <c r="I9652" s="12" t="n">
        <v>42</v>
      </c>
      <c r="J9652" s="13" t="n">
        <v>70</v>
      </c>
      <c r="K9652" s="14" t="n">
        <f aca="false">I9652*J9652</f>
        <v>2940</v>
      </c>
      <c r="L9652" s="14" t="n">
        <f aca="false">($L$2*M9652)/100</f>
        <v>504699.93</v>
      </c>
      <c r="M9652" s="15" t="n">
        <v>0.42</v>
      </c>
      <c r="N9652" s="9" t="s">
        <v>26</v>
      </c>
    </row>
    <row r="9653" customFormat="false" ht="14.25" hidden="false" customHeight="true" outlineLevel="0" collapsed="false">
      <c r="B9653" s="9" t="s">
        <v>16</v>
      </c>
      <c r="C9653" s="9" t="n">
        <v>1185732</v>
      </c>
      <c r="D9653" s="10" t="n">
        <v>44249</v>
      </c>
      <c r="E9653" s="9" t="s">
        <v>17</v>
      </c>
      <c r="F9653" s="9" t="s">
        <v>135</v>
      </c>
      <c r="G9653" s="9" t="s">
        <v>136</v>
      </c>
      <c r="H9653" s="11" t="s">
        <v>22</v>
      </c>
      <c r="I9653" s="12" t="n">
        <v>29</v>
      </c>
      <c r="J9653" s="13" t="n">
        <v>83</v>
      </c>
      <c r="K9653" s="14" t="n">
        <f aca="false">I9653*J9653</f>
        <v>2407</v>
      </c>
      <c r="L9653" s="14" t="n">
        <f aca="false">($L$2*M9653)/100</f>
        <v>324449.955</v>
      </c>
      <c r="M9653" s="15" t="n">
        <v>0.27</v>
      </c>
      <c r="N9653" s="9" t="s">
        <v>26</v>
      </c>
    </row>
  </sheetData>
  <autoFilter ref="B5:N9653"/>
  <mergeCells count="1">
    <mergeCell ref="C2:G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R25" activeCellId="0" sqref="R25"/>
    </sheetView>
  </sheetViews>
  <sheetFormatPr defaultColWidth="9.1640625" defaultRowHeight="12.8" customHeight="true" zeroHeight="false" outlineLevelRow="0" outlineLevelCol="0"/>
  <cols>
    <col collapsed="false" customWidth="true" hidden="false" outlineLevel="0" max="1" min="1" style="4" width="23.25"/>
    <col collapsed="false" customWidth="true" hidden="false" outlineLevel="0" max="2" min="2" style="4" width="15.28"/>
  </cols>
  <sheetData>
    <row r="1" customFormat="false" ht="13.8" hidden="false" customHeight="false" outlineLevel="0" collapsed="false">
      <c r="A1" s="16" t="s">
        <v>9</v>
      </c>
      <c r="B1" s="17" t="s">
        <v>137</v>
      </c>
    </row>
    <row r="2" customFormat="false" ht="13.8" hidden="false" customHeight="false" outlineLevel="0" collapsed="false">
      <c r="A2" s="18" t="s">
        <v>24</v>
      </c>
      <c r="B2" s="19" t="n">
        <v>16520632</v>
      </c>
    </row>
    <row r="3" customFormat="false" ht="13.8" hidden="false" customHeight="false" outlineLevel="0" collapsed="false">
      <c r="A3" s="20" t="s">
        <v>21</v>
      </c>
      <c r="B3" s="21" t="n">
        <v>20577180</v>
      </c>
    </row>
    <row r="4" customFormat="false" ht="13.8" hidden="false" customHeight="false" outlineLevel="0" collapsed="false">
      <c r="A4" s="20" t="s">
        <v>19</v>
      </c>
      <c r="B4" s="21" t="n">
        <v>27680769</v>
      </c>
    </row>
    <row r="5" customFormat="false" ht="13.8" hidden="false" customHeight="false" outlineLevel="0" collapsed="false">
      <c r="A5" s="20" t="s">
        <v>25</v>
      </c>
      <c r="B5" s="21" t="n">
        <v>23870985</v>
      </c>
    </row>
    <row r="6" customFormat="false" ht="13.8" hidden="false" customHeight="false" outlineLevel="0" collapsed="false">
      <c r="A6" s="20" t="s">
        <v>23</v>
      </c>
      <c r="B6" s="21" t="n">
        <v>14315521</v>
      </c>
    </row>
    <row r="7" customFormat="false" ht="13.8" hidden="false" customHeight="false" outlineLevel="0" collapsed="false">
      <c r="A7" s="20" t="s">
        <v>22</v>
      </c>
      <c r="B7" s="22" t="n">
        <v>17201563</v>
      </c>
    </row>
    <row r="8" customFormat="false" ht="13.8" hidden="false" customHeight="false" outlineLevel="0" collapsed="false">
      <c r="A8" s="23" t="s">
        <v>138</v>
      </c>
      <c r="B8" s="24" t="n">
        <v>120166650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G1" colorId="64" zoomScale="90" zoomScaleNormal="90" zoomScalePageLayoutView="100" workbookViewId="0">
      <selection pane="topLeft" activeCell="G10" activeCellId="0" sqref="G10"/>
    </sheetView>
  </sheetViews>
  <sheetFormatPr defaultColWidth="9.1640625" defaultRowHeight="12.8" customHeight="true" zeroHeight="false" outlineLevelRow="0" outlineLevelCol="0"/>
  <cols>
    <col collapsed="false" customWidth="true" hidden="false" outlineLevel="0" max="1" min="1" style="4" width="23.12"/>
    <col collapsed="false" customWidth="true" hidden="false" outlineLevel="0" max="2" min="2" style="4" width="8.53"/>
    <col collapsed="false" customWidth="true" hidden="false" outlineLevel="0" max="4" min="4" style="4" width="8.53"/>
    <col collapsed="false" customWidth="true" hidden="false" outlineLevel="0" max="5" min="5" style="4" width="9.27"/>
    <col collapsed="false" customWidth="true" hidden="false" outlineLevel="0" max="6" min="6" style="4" width="8.53"/>
    <col collapsed="false" customWidth="true" hidden="false" outlineLevel="0" max="7" min="7" style="4" width="11.84"/>
    <col collapsed="false" customWidth="true" hidden="false" outlineLevel="0" max="8" min="8" style="4" width="13.11"/>
  </cols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>
      <c r="A3" s="25" t="s">
        <v>139</v>
      </c>
      <c r="B3" s="26" t="s">
        <v>9</v>
      </c>
      <c r="C3" s="27"/>
      <c r="D3" s="27"/>
      <c r="E3" s="27"/>
      <c r="F3" s="27"/>
      <c r="G3" s="27"/>
      <c r="H3" s="28"/>
    </row>
    <row r="4" customFormat="false" ht="13.8" hidden="false" customHeight="false" outlineLevel="0" collapsed="false">
      <c r="A4" s="29" t="s">
        <v>6</v>
      </c>
      <c r="B4" s="30" t="s">
        <v>24</v>
      </c>
      <c r="C4" s="31" t="s">
        <v>21</v>
      </c>
      <c r="D4" s="31" t="s">
        <v>19</v>
      </c>
      <c r="E4" s="31" t="s">
        <v>25</v>
      </c>
      <c r="F4" s="31" t="s">
        <v>23</v>
      </c>
      <c r="G4" s="31" t="s">
        <v>22</v>
      </c>
      <c r="H4" s="32" t="s">
        <v>138</v>
      </c>
    </row>
    <row r="5" customFormat="false" ht="13.8" hidden="false" customHeight="false" outlineLevel="0" collapsed="false">
      <c r="A5" s="18" t="s">
        <v>38</v>
      </c>
      <c r="B5" s="33" t="n">
        <v>45304</v>
      </c>
      <c r="C5" s="34" t="n">
        <v>65120</v>
      </c>
      <c r="D5" s="34" t="n">
        <v>109861</v>
      </c>
      <c r="E5" s="34" t="n">
        <v>69435</v>
      </c>
      <c r="F5" s="34" t="n">
        <v>44808</v>
      </c>
      <c r="G5" s="35" t="n">
        <v>56809</v>
      </c>
      <c r="H5" s="36" t="n">
        <v>391337</v>
      </c>
    </row>
    <row r="6" customFormat="false" ht="13.8" hidden="false" customHeight="false" outlineLevel="0" collapsed="false">
      <c r="A6" s="20" t="s">
        <v>17</v>
      </c>
      <c r="B6" s="37" t="n">
        <v>62031</v>
      </c>
      <c r="C6" s="38" t="n">
        <v>81474</v>
      </c>
      <c r="D6" s="38" t="n">
        <v>134252</v>
      </c>
      <c r="E6" s="38" t="n">
        <v>90048</v>
      </c>
      <c r="F6" s="38" t="n">
        <v>59464</v>
      </c>
      <c r="G6" s="39" t="n">
        <v>74010</v>
      </c>
      <c r="H6" s="40" t="n">
        <v>501279</v>
      </c>
    </row>
    <row r="7" customFormat="false" ht="13.8" hidden="false" customHeight="false" outlineLevel="0" collapsed="false">
      <c r="A7" s="20" t="s">
        <v>29</v>
      </c>
      <c r="B7" s="37" t="n">
        <v>60641</v>
      </c>
      <c r="C7" s="38" t="n">
        <v>90079</v>
      </c>
      <c r="D7" s="38" t="n">
        <v>106545</v>
      </c>
      <c r="E7" s="38" t="n">
        <v>88740</v>
      </c>
      <c r="F7" s="38" t="n">
        <v>63998</v>
      </c>
      <c r="G7" s="39" t="n">
        <v>82257</v>
      </c>
      <c r="H7" s="40" t="n">
        <v>492260</v>
      </c>
    </row>
    <row r="8" customFormat="false" ht="13.8" hidden="false" customHeight="false" outlineLevel="0" collapsed="false">
      <c r="A8" s="20" t="s">
        <v>50</v>
      </c>
      <c r="B8" s="37" t="n">
        <v>54385</v>
      </c>
      <c r="C8" s="38" t="n">
        <v>71129</v>
      </c>
      <c r="D8" s="38" t="n">
        <v>91867</v>
      </c>
      <c r="E8" s="38" t="n">
        <v>68839</v>
      </c>
      <c r="F8" s="38" t="n">
        <v>55292</v>
      </c>
      <c r="G8" s="39" t="n">
        <v>65488</v>
      </c>
      <c r="H8" s="40" t="n">
        <v>407000</v>
      </c>
    </row>
    <row r="9" customFormat="false" ht="13.8" hidden="false" customHeight="false" outlineLevel="0" collapsed="false">
      <c r="A9" s="20" t="s">
        <v>33</v>
      </c>
      <c r="B9" s="41" t="n">
        <v>84322</v>
      </c>
      <c r="C9" s="42" t="n">
        <v>127724</v>
      </c>
      <c r="D9" s="42" t="n">
        <v>150795</v>
      </c>
      <c r="E9" s="42" t="n">
        <v>116765</v>
      </c>
      <c r="F9" s="42" t="n">
        <v>93674</v>
      </c>
      <c r="G9" s="43" t="n">
        <v>113705</v>
      </c>
      <c r="H9" s="44" t="n">
        <v>686985</v>
      </c>
    </row>
    <row r="10" customFormat="false" ht="13.8" hidden="false" customHeight="false" outlineLevel="0" collapsed="false">
      <c r="A10" s="23" t="s">
        <v>138</v>
      </c>
      <c r="B10" s="45" t="n">
        <v>306683</v>
      </c>
      <c r="C10" s="46" t="n">
        <v>435526</v>
      </c>
      <c r="D10" s="46" t="n">
        <v>593320</v>
      </c>
      <c r="E10" s="46" t="n">
        <v>433827</v>
      </c>
      <c r="F10" s="46" t="n">
        <v>317236</v>
      </c>
      <c r="G10" s="47" t="n">
        <v>392269</v>
      </c>
      <c r="H10" s="48" t="n">
        <v>2478861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6" activeCellId="0" sqref="B6"/>
    </sheetView>
  </sheetViews>
  <sheetFormatPr defaultColWidth="9.1640625" defaultRowHeight="12.8" customHeight="true" zeroHeight="false" outlineLevelRow="0" outlineLevelCol="0"/>
  <cols>
    <col collapsed="false" customWidth="true" hidden="false" outlineLevel="0" max="1" min="1" style="4" width="23.12"/>
    <col collapsed="false" customWidth="true" hidden="false" outlineLevel="0" max="2" min="2" style="4" width="16.05"/>
    <col collapsed="false" customWidth="true" hidden="false" outlineLevel="0" max="4" min="3" style="4" width="8.53"/>
    <col collapsed="false" customWidth="true" hidden="false" outlineLevel="0" max="5" min="5" style="4" width="11.84"/>
  </cols>
  <sheetData>
    <row r="1" customFormat="false" ht="13.8" hidden="false" customHeight="false" outlineLevel="0" collapsed="false">
      <c r="A1" s="25" t="s">
        <v>139</v>
      </c>
      <c r="B1" s="26" t="s">
        <v>15</v>
      </c>
      <c r="C1" s="27"/>
      <c r="D1" s="27"/>
      <c r="E1" s="28"/>
    </row>
    <row r="2" customFormat="false" ht="13.8" hidden="false" customHeight="false" outlineLevel="0" collapsed="false">
      <c r="A2" s="29" t="s">
        <v>9</v>
      </c>
      <c r="B2" s="30" t="s">
        <v>20</v>
      </c>
      <c r="C2" s="31" t="s">
        <v>85</v>
      </c>
      <c r="D2" s="31" t="s">
        <v>26</v>
      </c>
      <c r="E2" s="32" t="s">
        <v>138</v>
      </c>
    </row>
    <row r="3" customFormat="false" ht="13.8" hidden="false" customHeight="false" outlineLevel="0" collapsed="false">
      <c r="A3" s="18" t="s">
        <v>24</v>
      </c>
      <c r="B3" s="33" t="n">
        <v>85375</v>
      </c>
      <c r="C3" s="34" t="n">
        <v>117766</v>
      </c>
      <c r="D3" s="35" t="n">
        <v>103542</v>
      </c>
      <c r="E3" s="36" t="n">
        <v>306683</v>
      </c>
    </row>
    <row r="4" customFormat="false" ht="13.8" hidden="false" customHeight="false" outlineLevel="0" collapsed="false">
      <c r="A4" s="20" t="s">
        <v>21</v>
      </c>
      <c r="B4" s="37" t="n">
        <v>117150</v>
      </c>
      <c r="C4" s="38" t="n">
        <v>163855</v>
      </c>
      <c r="D4" s="39" t="n">
        <v>154521</v>
      </c>
      <c r="E4" s="40" t="n">
        <v>435526</v>
      </c>
    </row>
    <row r="5" customFormat="false" ht="13.8" hidden="false" customHeight="false" outlineLevel="0" collapsed="false">
      <c r="A5" s="20" t="s">
        <v>19</v>
      </c>
      <c r="B5" s="37" t="n">
        <v>176030</v>
      </c>
      <c r="C5" s="38" t="n">
        <v>225121</v>
      </c>
      <c r="D5" s="39" t="n">
        <v>192169</v>
      </c>
      <c r="E5" s="40" t="n">
        <v>593320</v>
      </c>
    </row>
    <row r="6" customFormat="false" ht="13.8" hidden="false" customHeight="false" outlineLevel="0" collapsed="false">
      <c r="A6" s="20" t="s">
        <v>25</v>
      </c>
      <c r="B6" s="37" t="n">
        <v>120500</v>
      </c>
      <c r="C6" s="38" t="n">
        <v>163937</v>
      </c>
      <c r="D6" s="39" t="n">
        <v>149390</v>
      </c>
      <c r="E6" s="40" t="n">
        <v>433827</v>
      </c>
    </row>
    <row r="7" customFormat="false" ht="13.8" hidden="false" customHeight="false" outlineLevel="0" collapsed="false">
      <c r="A7" s="20" t="s">
        <v>23</v>
      </c>
      <c r="B7" s="37" t="n">
        <v>85450</v>
      </c>
      <c r="C7" s="38" t="n">
        <v>120755</v>
      </c>
      <c r="D7" s="39" t="n">
        <v>111031</v>
      </c>
      <c r="E7" s="40" t="n">
        <v>317236</v>
      </c>
    </row>
    <row r="8" customFormat="false" ht="13.8" hidden="false" customHeight="false" outlineLevel="0" collapsed="false">
      <c r="A8" s="20" t="s">
        <v>22</v>
      </c>
      <c r="B8" s="41" t="n">
        <v>105485</v>
      </c>
      <c r="C8" s="42" t="n">
        <v>147659</v>
      </c>
      <c r="D8" s="43" t="n">
        <v>139125</v>
      </c>
      <c r="E8" s="44" t="n">
        <v>392269</v>
      </c>
    </row>
    <row r="9" customFormat="false" ht="13.8" hidden="false" customHeight="false" outlineLevel="0" collapsed="false">
      <c r="A9" s="23" t="s">
        <v>138</v>
      </c>
      <c r="B9" s="45" t="n">
        <v>689990</v>
      </c>
      <c r="C9" s="46" t="n">
        <v>939093</v>
      </c>
      <c r="D9" s="47" t="n">
        <v>849778</v>
      </c>
      <c r="E9" s="48" t="n">
        <v>2478861</v>
      </c>
    </row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3" activeCellId="0" sqref="B3"/>
    </sheetView>
  </sheetViews>
  <sheetFormatPr defaultColWidth="9.1640625" defaultRowHeight="12.8" customHeight="true" zeroHeight="false" outlineLevelRow="0" outlineLevelCol="0"/>
  <cols>
    <col collapsed="false" customWidth="true" hidden="false" outlineLevel="0" max="1" min="1" style="4" width="11.97"/>
    <col collapsed="false" customWidth="true" hidden="false" outlineLevel="0" max="2" min="2" style="4" width="15.02"/>
  </cols>
  <sheetData>
    <row r="1" customFormat="false" ht="13.8" hidden="false" customHeight="false" outlineLevel="0" collapsed="false">
      <c r="A1" s="16" t="s">
        <v>15</v>
      </c>
      <c r="B1" s="17" t="s">
        <v>137</v>
      </c>
    </row>
    <row r="2" customFormat="false" ht="13.8" hidden="false" customHeight="false" outlineLevel="0" collapsed="false">
      <c r="A2" s="18" t="s">
        <v>20</v>
      </c>
      <c r="B2" s="19" t="n">
        <v>35664375</v>
      </c>
    </row>
    <row r="3" customFormat="false" ht="13.8" hidden="false" customHeight="false" outlineLevel="0" collapsed="false">
      <c r="A3" s="20" t="s">
        <v>85</v>
      </c>
      <c r="B3" s="21" t="n">
        <v>44965657</v>
      </c>
    </row>
    <row r="4" customFormat="false" ht="13.8" hidden="false" customHeight="false" outlineLevel="0" collapsed="false">
      <c r="A4" s="20" t="s">
        <v>26</v>
      </c>
      <c r="B4" s="22" t="n">
        <v>39536618</v>
      </c>
    </row>
    <row r="5" customFormat="false" ht="13.8" hidden="false" customHeight="false" outlineLevel="0" collapsed="false">
      <c r="A5" s="23" t="s">
        <v>138</v>
      </c>
      <c r="B5" s="24" t="n">
        <v>120166650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44" activeCellId="0" sqref="G44"/>
    </sheetView>
  </sheetViews>
  <sheetFormatPr defaultColWidth="9.1640625" defaultRowHeight="12.8" customHeight="true" zeroHeight="false" outlineLevelRow="0" outlineLevelCol="0"/>
  <cols>
    <col collapsed="false" customWidth="true" hidden="false" outlineLevel="0" max="1" min="1" style="4" width="11.84"/>
    <col collapsed="false" customWidth="true" hidden="false" outlineLevel="0" max="2" min="2" style="4" width="14.54"/>
  </cols>
  <sheetData>
    <row r="1" customFormat="false" ht="13.8" hidden="false" customHeight="false" outlineLevel="0" collapsed="false">
      <c r="A1" s="16" t="s">
        <v>3</v>
      </c>
      <c r="B1" s="17" t="s">
        <v>139</v>
      </c>
    </row>
    <row r="2" customFormat="false" ht="13.8" hidden="false" customHeight="false" outlineLevel="0" collapsed="false">
      <c r="A2" s="18" t="s">
        <v>63</v>
      </c>
      <c r="B2" s="49" t="n">
        <v>197990</v>
      </c>
    </row>
    <row r="3" customFormat="false" ht="13.8" hidden="false" customHeight="false" outlineLevel="0" collapsed="false">
      <c r="A3" s="20" t="s">
        <v>16</v>
      </c>
      <c r="B3" s="50" t="n">
        <v>604369</v>
      </c>
    </row>
    <row r="4" customFormat="false" ht="13.8" hidden="false" customHeight="false" outlineLevel="0" collapsed="false">
      <c r="A4" s="20" t="s">
        <v>36</v>
      </c>
      <c r="B4" s="50" t="n">
        <v>287375</v>
      </c>
    </row>
    <row r="5" customFormat="false" ht="13.8" hidden="false" customHeight="false" outlineLevel="0" collapsed="false">
      <c r="A5" s="20" t="s">
        <v>28</v>
      </c>
      <c r="B5" s="50" t="n">
        <v>557640</v>
      </c>
    </row>
    <row r="6" customFormat="false" ht="13.8" hidden="false" customHeight="false" outlineLevel="0" collapsed="false">
      <c r="A6" s="20" t="s">
        <v>27</v>
      </c>
      <c r="B6" s="50" t="n">
        <v>206225</v>
      </c>
    </row>
    <row r="7" customFormat="false" ht="13.8" hidden="false" customHeight="false" outlineLevel="0" collapsed="false">
      <c r="A7" s="20" t="s">
        <v>32</v>
      </c>
      <c r="B7" s="51" t="n">
        <v>625262</v>
      </c>
    </row>
    <row r="8" customFormat="false" ht="13.8" hidden="false" customHeight="false" outlineLevel="0" collapsed="false">
      <c r="A8" s="23" t="s">
        <v>138</v>
      </c>
      <c r="B8" s="48" t="n">
        <v>2478861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31" activeCellId="0" sqref="F31"/>
    </sheetView>
  </sheetViews>
  <sheetFormatPr defaultColWidth="9.1640625" defaultRowHeight="12.8" customHeight="true" zeroHeight="false" outlineLevelRow="0" outlineLevelCol="0"/>
  <cols>
    <col collapsed="false" customWidth="true" hidden="false" outlineLevel="0" max="1" min="1" style="4" width="11.84"/>
    <col collapsed="false" customWidth="true" hidden="false" outlineLevel="0" max="2" min="2" style="4" width="8.17"/>
    <col collapsed="false" customWidth="true" hidden="false" outlineLevel="0" max="3" min="3" style="4" width="11.36"/>
    <col collapsed="false" customWidth="true" hidden="false" outlineLevel="0" max="4" min="4" style="4" width="14.54"/>
  </cols>
  <sheetData>
    <row r="1" customFormat="false" ht="13.8" hidden="false" customHeight="false" outlineLevel="0" collapsed="false">
      <c r="A1" s="16" t="s">
        <v>140</v>
      </c>
      <c r="B1" s="26" t="s">
        <v>141</v>
      </c>
      <c r="C1" s="26" t="s">
        <v>5</v>
      </c>
      <c r="D1" s="17" t="s">
        <v>139</v>
      </c>
    </row>
    <row r="2" customFormat="false" ht="13.8" hidden="false" customHeight="false" outlineLevel="0" collapsed="false">
      <c r="A2" s="52" t="s">
        <v>142</v>
      </c>
      <c r="B2" s="53"/>
      <c r="C2" s="54"/>
      <c r="D2" s="55"/>
    </row>
    <row r="3" customFormat="false" ht="13.8" hidden="false" customHeight="false" outlineLevel="0" collapsed="false">
      <c r="A3" s="56"/>
      <c r="B3" s="57" t="s">
        <v>143</v>
      </c>
      <c r="C3" s="58"/>
      <c r="D3" s="59"/>
    </row>
    <row r="4" customFormat="false" ht="13.8" hidden="false" customHeight="false" outlineLevel="0" collapsed="false">
      <c r="A4" s="56"/>
      <c r="B4" s="60"/>
      <c r="C4" s="60" t="s">
        <v>144</v>
      </c>
      <c r="D4" s="50" t="n">
        <v>48333</v>
      </c>
    </row>
    <row r="5" customFormat="false" ht="13.8" hidden="false" customHeight="false" outlineLevel="0" collapsed="false">
      <c r="A5" s="56"/>
      <c r="B5" s="60"/>
      <c r="C5" s="60" t="s">
        <v>145</v>
      </c>
      <c r="D5" s="50" t="n">
        <v>37846</v>
      </c>
    </row>
    <row r="6" customFormat="false" ht="13.8" hidden="false" customHeight="false" outlineLevel="0" collapsed="false">
      <c r="A6" s="56"/>
      <c r="B6" s="61"/>
      <c r="C6" s="61" t="s">
        <v>146</v>
      </c>
      <c r="D6" s="51" t="n">
        <v>46972</v>
      </c>
    </row>
    <row r="7" customFormat="false" ht="13.8" hidden="false" customHeight="false" outlineLevel="0" collapsed="false">
      <c r="A7" s="56"/>
      <c r="B7" s="57" t="s">
        <v>147</v>
      </c>
      <c r="C7" s="58"/>
      <c r="D7" s="59"/>
    </row>
    <row r="8" customFormat="false" ht="13.8" hidden="false" customHeight="false" outlineLevel="0" collapsed="false">
      <c r="A8" s="56"/>
      <c r="B8" s="60"/>
      <c r="C8" s="60" t="s">
        <v>148</v>
      </c>
      <c r="D8" s="50" t="n">
        <v>54709</v>
      </c>
    </row>
    <row r="9" customFormat="false" ht="13.8" hidden="false" customHeight="false" outlineLevel="0" collapsed="false">
      <c r="A9" s="56"/>
      <c r="B9" s="60"/>
      <c r="C9" s="60" t="s">
        <v>149</v>
      </c>
      <c r="D9" s="50" t="n">
        <v>35705</v>
      </c>
    </row>
    <row r="10" customFormat="false" ht="13.8" hidden="false" customHeight="false" outlineLevel="0" collapsed="false">
      <c r="A10" s="56"/>
      <c r="B10" s="61"/>
      <c r="C10" s="61" t="s">
        <v>150</v>
      </c>
      <c r="D10" s="51" t="n">
        <v>16269</v>
      </c>
    </row>
    <row r="11" customFormat="false" ht="13.8" hidden="false" customHeight="false" outlineLevel="0" collapsed="false">
      <c r="A11" s="56"/>
      <c r="B11" s="57" t="s">
        <v>151</v>
      </c>
      <c r="C11" s="58"/>
      <c r="D11" s="59"/>
    </row>
    <row r="12" customFormat="false" ht="13.8" hidden="false" customHeight="false" outlineLevel="0" collapsed="false">
      <c r="A12" s="56"/>
      <c r="B12" s="60"/>
      <c r="C12" s="60" t="s">
        <v>152</v>
      </c>
      <c r="D12" s="50" t="n">
        <v>38219</v>
      </c>
    </row>
    <row r="13" customFormat="false" ht="13.8" hidden="false" customHeight="false" outlineLevel="0" collapsed="false">
      <c r="A13" s="56"/>
      <c r="B13" s="60"/>
      <c r="C13" s="60" t="s">
        <v>153</v>
      </c>
      <c r="D13" s="50" t="n">
        <v>62307</v>
      </c>
    </row>
    <row r="14" customFormat="false" ht="13.8" hidden="false" customHeight="false" outlineLevel="0" collapsed="false">
      <c r="A14" s="56"/>
      <c r="B14" s="61"/>
      <c r="C14" s="61" t="s">
        <v>154</v>
      </c>
      <c r="D14" s="51" t="n">
        <v>46125</v>
      </c>
    </row>
    <row r="15" customFormat="false" ht="13.8" hidden="false" customHeight="false" outlineLevel="0" collapsed="false">
      <c r="A15" s="56"/>
      <c r="B15" s="57" t="s">
        <v>155</v>
      </c>
      <c r="C15" s="58"/>
      <c r="D15" s="59"/>
    </row>
    <row r="16" customFormat="false" ht="13.8" hidden="false" customHeight="false" outlineLevel="0" collapsed="false">
      <c r="A16" s="56"/>
      <c r="B16" s="60"/>
      <c r="C16" s="60" t="s">
        <v>156</v>
      </c>
      <c r="D16" s="50" t="n">
        <v>30167</v>
      </c>
    </row>
    <row r="17" customFormat="false" ht="13.8" hidden="false" customHeight="false" outlineLevel="0" collapsed="false">
      <c r="A17" s="56"/>
      <c r="B17" s="60"/>
      <c r="C17" s="60" t="s">
        <v>157</v>
      </c>
      <c r="D17" s="50" t="n">
        <v>25152</v>
      </c>
    </row>
    <row r="18" customFormat="false" ht="13.8" hidden="false" customHeight="false" outlineLevel="0" collapsed="false">
      <c r="A18" s="62"/>
      <c r="B18" s="61"/>
      <c r="C18" s="61" t="s">
        <v>158</v>
      </c>
      <c r="D18" s="51" t="n">
        <v>20545</v>
      </c>
    </row>
    <row r="19" customFormat="false" ht="13.8" hidden="false" customHeight="false" outlineLevel="0" collapsed="false">
      <c r="A19" s="52" t="s">
        <v>159</v>
      </c>
      <c r="B19" s="53"/>
      <c r="C19" s="54"/>
      <c r="D19" s="55"/>
    </row>
    <row r="20" customFormat="false" ht="13.8" hidden="false" customHeight="false" outlineLevel="0" collapsed="false">
      <c r="A20" s="56"/>
      <c r="B20" s="57" t="s">
        <v>143</v>
      </c>
      <c r="C20" s="58"/>
      <c r="D20" s="59"/>
    </row>
    <row r="21" customFormat="false" ht="13.8" hidden="false" customHeight="false" outlineLevel="0" collapsed="false">
      <c r="A21" s="56"/>
      <c r="B21" s="60"/>
      <c r="C21" s="60" t="s">
        <v>144</v>
      </c>
      <c r="D21" s="50" t="n">
        <v>179299</v>
      </c>
    </row>
    <row r="22" customFormat="false" ht="13.8" hidden="false" customHeight="false" outlineLevel="0" collapsed="false">
      <c r="A22" s="56"/>
      <c r="B22" s="60"/>
      <c r="C22" s="60" t="s">
        <v>145</v>
      </c>
      <c r="D22" s="50" t="n">
        <v>156113</v>
      </c>
    </row>
    <row r="23" customFormat="false" ht="13.8" hidden="false" customHeight="false" outlineLevel="0" collapsed="false">
      <c r="A23" s="56"/>
      <c r="B23" s="61"/>
      <c r="C23" s="61" t="s">
        <v>146</v>
      </c>
      <c r="D23" s="51" t="n">
        <v>143988</v>
      </c>
    </row>
    <row r="24" customFormat="false" ht="13.8" hidden="false" customHeight="false" outlineLevel="0" collapsed="false">
      <c r="A24" s="56"/>
      <c r="B24" s="57" t="s">
        <v>147</v>
      </c>
      <c r="C24" s="58"/>
      <c r="D24" s="59"/>
    </row>
    <row r="25" customFormat="false" ht="13.8" hidden="false" customHeight="false" outlineLevel="0" collapsed="false">
      <c r="A25" s="56"/>
      <c r="B25" s="60"/>
      <c r="C25" s="60" t="s">
        <v>148</v>
      </c>
      <c r="D25" s="50" t="n">
        <v>161717</v>
      </c>
    </row>
    <row r="26" customFormat="false" ht="13.8" hidden="false" customHeight="false" outlineLevel="0" collapsed="false">
      <c r="A26" s="56"/>
      <c r="B26" s="60"/>
      <c r="C26" s="60" t="s">
        <v>149</v>
      </c>
      <c r="D26" s="50" t="n">
        <v>178900</v>
      </c>
    </row>
    <row r="27" customFormat="false" ht="13.8" hidden="false" customHeight="false" outlineLevel="0" collapsed="false">
      <c r="A27" s="56"/>
      <c r="B27" s="61"/>
      <c r="C27" s="61" t="s">
        <v>150</v>
      </c>
      <c r="D27" s="51" t="n">
        <v>164745</v>
      </c>
    </row>
    <row r="28" customFormat="false" ht="13.8" hidden="false" customHeight="false" outlineLevel="0" collapsed="false">
      <c r="A28" s="56"/>
      <c r="B28" s="57" t="s">
        <v>151</v>
      </c>
      <c r="C28" s="58"/>
      <c r="D28" s="59"/>
    </row>
    <row r="29" customFormat="false" ht="13.8" hidden="false" customHeight="false" outlineLevel="0" collapsed="false">
      <c r="A29" s="56"/>
      <c r="B29" s="60"/>
      <c r="C29" s="60" t="s">
        <v>152</v>
      </c>
      <c r="D29" s="50" t="n">
        <v>180481</v>
      </c>
    </row>
    <row r="30" customFormat="false" ht="13.8" hidden="false" customHeight="false" outlineLevel="0" collapsed="false">
      <c r="A30" s="56"/>
      <c r="B30" s="60"/>
      <c r="C30" s="60" t="s">
        <v>153</v>
      </c>
      <c r="D30" s="50" t="n">
        <v>195414</v>
      </c>
    </row>
    <row r="31" customFormat="false" ht="13.8" hidden="false" customHeight="false" outlineLevel="0" collapsed="false">
      <c r="A31" s="56"/>
      <c r="B31" s="61"/>
      <c r="C31" s="61" t="s">
        <v>154</v>
      </c>
      <c r="D31" s="51" t="n">
        <v>182425</v>
      </c>
    </row>
    <row r="32" customFormat="false" ht="13.8" hidden="false" customHeight="false" outlineLevel="0" collapsed="false">
      <c r="A32" s="56"/>
      <c r="B32" s="57" t="s">
        <v>155</v>
      </c>
      <c r="C32" s="58"/>
      <c r="D32" s="59"/>
    </row>
    <row r="33" customFormat="false" ht="13.8" hidden="false" customHeight="false" outlineLevel="0" collapsed="false">
      <c r="A33" s="56"/>
      <c r="B33" s="60"/>
      <c r="C33" s="60" t="s">
        <v>156</v>
      </c>
      <c r="D33" s="50" t="n">
        <v>152834</v>
      </c>
    </row>
    <row r="34" customFormat="false" ht="13.8" hidden="false" customHeight="false" outlineLevel="0" collapsed="false">
      <c r="A34" s="56"/>
      <c r="B34" s="60"/>
      <c r="C34" s="60" t="s">
        <v>157</v>
      </c>
      <c r="D34" s="50" t="n">
        <v>149350</v>
      </c>
    </row>
    <row r="35" customFormat="false" ht="13.8" hidden="false" customHeight="false" outlineLevel="0" collapsed="false">
      <c r="A35" s="62"/>
      <c r="B35" s="61"/>
      <c r="C35" s="61" t="s">
        <v>158</v>
      </c>
      <c r="D35" s="51" t="n">
        <v>171246</v>
      </c>
    </row>
    <row r="36" customFormat="false" ht="13.8" hidden="false" customHeight="false" outlineLevel="0" collapsed="false">
      <c r="A36" s="63" t="s">
        <v>138</v>
      </c>
      <c r="B36" s="64"/>
      <c r="C36" s="65"/>
      <c r="D36" s="48" t="n">
        <v>2478861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5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M34" activeCellId="0" sqref="M34"/>
    </sheetView>
  </sheetViews>
  <sheetFormatPr defaultColWidth="9.1640625" defaultRowHeight="13.8" customHeight="true" zeroHeight="false" outlineLevelRow="0" outlineLevelCol="0"/>
  <cols>
    <col collapsed="false" customWidth="true" hidden="false" outlineLevel="0" max="1" min="1" style="66" width="11.84"/>
    <col collapsed="false" customWidth="true" hidden="false" outlineLevel="0" max="2" min="2" style="66" width="14.06"/>
    <col collapsed="false" customWidth="true" hidden="false" outlineLevel="0" max="3" min="3" style="66" width="15.02"/>
    <col collapsed="false" customWidth="false" hidden="false" outlineLevel="0" max="1024" min="4" style="66" width="9.15"/>
  </cols>
  <sheetData>
    <row r="1" customFormat="false" ht="13.8" hidden="false" customHeight="false" outlineLevel="0" collapsed="false">
      <c r="A1" s="25" t="s">
        <v>137</v>
      </c>
      <c r="B1" s="26" t="s">
        <v>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8"/>
    </row>
    <row r="2" customFormat="false" ht="13.8" hidden="false" customHeight="false" outlineLevel="0" collapsed="false">
      <c r="A2" s="29" t="s">
        <v>6</v>
      </c>
      <c r="B2" s="30" t="s">
        <v>61</v>
      </c>
      <c r="C2" s="31" t="s">
        <v>66</v>
      </c>
      <c r="D2" s="31" t="s">
        <v>88</v>
      </c>
      <c r="E2" s="31" t="s">
        <v>104</v>
      </c>
      <c r="F2" s="31" t="s">
        <v>34</v>
      </c>
      <c r="G2" s="31" t="s">
        <v>46</v>
      </c>
      <c r="H2" s="31" t="s">
        <v>127</v>
      </c>
      <c r="I2" s="31" t="s">
        <v>123</v>
      </c>
      <c r="J2" s="31" t="s">
        <v>51</v>
      </c>
      <c r="K2" s="31" t="s">
        <v>92</v>
      </c>
      <c r="L2" s="31" t="s">
        <v>68</v>
      </c>
      <c r="M2" s="31" t="s">
        <v>86</v>
      </c>
      <c r="N2" s="31" t="s">
        <v>39</v>
      </c>
      <c r="O2" s="31" t="s">
        <v>118</v>
      </c>
      <c r="P2" s="31" t="s">
        <v>114</v>
      </c>
      <c r="Q2" s="31" t="s">
        <v>108</v>
      </c>
      <c r="R2" s="31" t="s">
        <v>100</v>
      </c>
      <c r="S2" s="31" t="s">
        <v>83</v>
      </c>
      <c r="T2" s="31" t="s">
        <v>64</v>
      </c>
      <c r="U2" s="31" t="s">
        <v>121</v>
      </c>
      <c r="V2" s="31" t="s">
        <v>131</v>
      </c>
      <c r="W2" s="31" t="s">
        <v>76</v>
      </c>
      <c r="X2" s="31" t="s">
        <v>53</v>
      </c>
      <c r="Y2" s="31" t="s">
        <v>102</v>
      </c>
      <c r="Z2" s="31" t="s">
        <v>78</v>
      </c>
      <c r="AA2" s="31" t="s">
        <v>55</v>
      </c>
      <c r="AB2" s="31" t="s">
        <v>59</v>
      </c>
      <c r="AC2" s="31" t="s">
        <v>44</v>
      </c>
      <c r="AD2" s="31" t="s">
        <v>135</v>
      </c>
      <c r="AE2" s="31" t="s">
        <v>125</v>
      </c>
      <c r="AF2" s="31" t="s">
        <v>90</v>
      </c>
      <c r="AG2" s="31" t="s">
        <v>18</v>
      </c>
      <c r="AH2" s="31" t="s">
        <v>96</v>
      </c>
      <c r="AI2" s="31" t="s">
        <v>112</v>
      </c>
      <c r="AJ2" s="31" t="s">
        <v>98</v>
      </c>
      <c r="AK2" s="31" t="s">
        <v>106</v>
      </c>
      <c r="AL2" s="31" t="s">
        <v>82</v>
      </c>
      <c r="AM2" s="31" t="s">
        <v>42</v>
      </c>
      <c r="AN2" s="31" t="s">
        <v>129</v>
      </c>
      <c r="AO2" s="31" t="s">
        <v>94</v>
      </c>
      <c r="AP2" s="31" t="s">
        <v>110</v>
      </c>
      <c r="AQ2" s="31" t="s">
        <v>57</v>
      </c>
      <c r="AR2" s="31" t="s">
        <v>30</v>
      </c>
      <c r="AS2" s="31" t="s">
        <v>80</v>
      </c>
      <c r="AT2" s="31" t="s">
        <v>133</v>
      </c>
      <c r="AU2" s="31" t="s">
        <v>74</v>
      </c>
      <c r="AV2" s="31" t="s">
        <v>48</v>
      </c>
      <c r="AW2" s="31" t="s">
        <v>120</v>
      </c>
      <c r="AX2" s="31" t="s">
        <v>116</v>
      </c>
      <c r="AY2" s="31" t="s">
        <v>72</v>
      </c>
      <c r="AZ2" s="32" t="s">
        <v>138</v>
      </c>
    </row>
    <row r="3" customFormat="false" ht="13.8" hidden="false" customHeight="false" outlineLevel="0" collapsed="false">
      <c r="A3" s="18" t="s">
        <v>38</v>
      </c>
      <c r="B3" s="67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9" t="n">
        <v>1204063</v>
      </c>
      <c r="O3" s="69" t="n">
        <v>1084723</v>
      </c>
      <c r="P3" s="69" t="n">
        <v>909811</v>
      </c>
      <c r="Q3" s="69" t="n">
        <v>1225314</v>
      </c>
      <c r="R3" s="68"/>
      <c r="S3" s="68"/>
      <c r="T3" s="68"/>
      <c r="U3" s="68"/>
      <c r="V3" s="68"/>
      <c r="W3" s="69" t="n">
        <v>2287283</v>
      </c>
      <c r="X3" s="69" t="n">
        <v>903918</v>
      </c>
      <c r="Y3" s="68"/>
      <c r="Z3" s="69" t="n">
        <v>1189515</v>
      </c>
      <c r="AA3" s="69" t="n">
        <v>1930761</v>
      </c>
      <c r="AB3" s="69" t="n">
        <v>728838</v>
      </c>
      <c r="AC3" s="68"/>
      <c r="AD3" s="68"/>
      <c r="AE3" s="68"/>
      <c r="AF3" s="68"/>
      <c r="AG3" s="68"/>
      <c r="AH3" s="68"/>
      <c r="AI3" s="69" t="n">
        <v>950930</v>
      </c>
      <c r="AJ3" s="69" t="n">
        <v>2269283</v>
      </c>
      <c r="AK3" s="68"/>
      <c r="AL3" s="68"/>
      <c r="AM3" s="68"/>
      <c r="AN3" s="68"/>
      <c r="AO3" s="68"/>
      <c r="AP3" s="69" t="n">
        <v>1041101</v>
      </c>
      <c r="AQ3" s="68"/>
      <c r="AR3" s="68"/>
      <c r="AS3" s="68"/>
      <c r="AT3" s="68"/>
      <c r="AU3" s="68"/>
      <c r="AV3" s="68"/>
      <c r="AW3" s="68"/>
      <c r="AX3" s="69" t="n">
        <v>948894</v>
      </c>
      <c r="AY3" s="70"/>
      <c r="AZ3" s="71" t="n">
        <v>16674434</v>
      </c>
    </row>
    <row r="4" customFormat="false" ht="13.8" hidden="false" customHeight="false" outlineLevel="0" collapsed="false">
      <c r="A4" s="20" t="s">
        <v>17</v>
      </c>
      <c r="B4" s="72"/>
      <c r="C4" s="73"/>
      <c r="D4" s="73"/>
      <c r="E4" s="73"/>
      <c r="F4" s="73"/>
      <c r="G4" s="73"/>
      <c r="H4" s="74" t="n">
        <v>1646448</v>
      </c>
      <c r="I4" s="74" t="n">
        <v>1508537</v>
      </c>
      <c r="J4" s="73"/>
      <c r="K4" s="73"/>
      <c r="L4" s="73"/>
      <c r="M4" s="73"/>
      <c r="N4" s="73"/>
      <c r="O4" s="73"/>
      <c r="P4" s="73"/>
      <c r="Q4" s="73"/>
      <c r="R4" s="73"/>
      <c r="S4" s="73"/>
      <c r="T4" s="74" t="n">
        <v>1129728</v>
      </c>
      <c r="U4" s="74" t="n">
        <v>951134</v>
      </c>
      <c r="V4" s="74" t="n">
        <v>1578435</v>
      </c>
      <c r="W4" s="73"/>
      <c r="X4" s="73"/>
      <c r="Y4" s="73"/>
      <c r="Z4" s="73"/>
      <c r="AA4" s="73"/>
      <c r="AB4" s="73"/>
      <c r="AC4" s="73"/>
      <c r="AD4" s="74" t="n">
        <v>2339267</v>
      </c>
      <c r="AE4" s="74" t="n">
        <v>1220446</v>
      </c>
      <c r="AF4" s="73"/>
      <c r="AG4" s="74" t="n">
        <v>8670464</v>
      </c>
      <c r="AH4" s="73"/>
      <c r="AI4" s="73"/>
      <c r="AJ4" s="73"/>
      <c r="AK4" s="73"/>
      <c r="AL4" s="73"/>
      <c r="AM4" s="74" t="n">
        <v>1478794</v>
      </c>
      <c r="AN4" s="74" t="n">
        <v>1202256</v>
      </c>
      <c r="AO4" s="73"/>
      <c r="AP4" s="73"/>
      <c r="AQ4" s="73"/>
      <c r="AR4" s="73"/>
      <c r="AS4" s="73"/>
      <c r="AT4" s="74" t="n">
        <v>2041598</v>
      </c>
      <c r="AU4" s="73"/>
      <c r="AV4" s="73"/>
      <c r="AW4" s="74" t="n">
        <v>1311160</v>
      </c>
      <c r="AX4" s="73"/>
      <c r="AY4" s="75"/>
      <c r="AZ4" s="76" t="n">
        <v>25078267</v>
      </c>
    </row>
    <row r="5" customFormat="false" ht="13.8" hidden="false" customHeight="false" outlineLevel="0" collapsed="false">
      <c r="A5" s="20" t="s">
        <v>29</v>
      </c>
      <c r="B5" s="77" t="n">
        <v>2513424</v>
      </c>
      <c r="C5" s="73"/>
      <c r="D5" s="73"/>
      <c r="E5" s="74" t="n">
        <v>1802672</v>
      </c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4" t="n">
        <v>3377031</v>
      </c>
      <c r="T5" s="73"/>
      <c r="U5" s="73"/>
      <c r="V5" s="73"/>
      <c r="W5" s="73"/>
      <c r="X5" s="73"/>
      <c r="Y5" s="74" t="n">
        <v>2218609</v>
      </c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4" t="n">
        <v>1512059</v>
      </c>
      <c r="AL5" s="73"/>
      <c r="AM5" s="73"/>
      <c r="AN5" s="73"/>
      <c r="AO5" s="73"/>
      <c r="AP5" s="73"/>
      <c r="AQ5" s="74" t="n">
        <v>2567190</v>
      </c>
      <c r="AR5" s="74" t="n">
        <v>6612371</v>
      </c>
      <c r="AS5" s="73"/>
      <c r="AT5" s="73"/>
      <c r="AU5" s="73"/>
      <c r="AV5" s="73"/>
      <c r="AW5" s="73"/>
      <c r="AX5" s="73"/>
      <c r="AY5" s="75"/>
      <c r="AZ5" s="76" t="n">
        <v>20603356</v>
      </c>
    </row>
    <row r="6" customFormat="false" ht="13.8" hidden="false" customHeight="false" outlineLevel="0" collapsed="false">
      <c r="A6" s="20" t="s">
        <v>50</v>
      </c>
      <c r="B6" s="72"/>
      <c r="C6" s="73"/>
      <c r="D6" s="73"/>
      <c r="E6" s="73"/>
      <c r="F6" s="73"/>
      <c r="G6" s="73"/>
      <c r="H6" s="73"/>
      <c r="I6" s="73"/>
      <c r="J6" s="74" t="n">
        <v>7820589</v>
      </c>
      <c r="K6" s="74" t="n">
        <v>2708591</v>
      </c>
      <c r="L6" s="73"/>
      <c r="M6" s="73"/>
      <c r="N6" s="73"/>
      <c r="O6" s="73"/>
      <c r="P6" s="73"/>
      <c r="Q6" s="73"/>
      <c r="R6" s="74" t="n">
        <v>1241148</v>
      </c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4" t="n">
        <v>2936581</v>
      </c>
      <c r="AI6" s="73"/>
      <c r="AJ6" s="73"/>
      <c r="AK6" s="73"/>
      <c r="AL6" s="73"/>
      <c r="AM6" s="73"/>
      <c r="AN6" s="73"/>
      <c r="AO6" s="74" t="n">
        <v>3593112</v>
      </c>
      <c r="AP6" s="73"/>
      <c r="AQ6" s="73"/>
      <c r="AR6" s="73"/>
      <c r="AS6" s="73"/>
      <c r="AT6" s="73"/>
      <c r="AU6" s="74" t="n">
        <v>3074415</v>
      </c>
      <c r="AV6" s="73"/>
      <c r="AW6" s="73"/>
      <c r="AX6" s="73"/>
      <c r="AY6" s="75"/>
      <c r="AZ6" s="76" t="n">
        <v>21374436</v>
      </c>
    </row>
    <row r="7" customFormat="false" ht="13.8" hidden="false" customHeight="false" outlineLevel="0" collapsed="false">
      <c r="A7" s="20" t="s">
        <v>33</v>
      </c>
      <c r="B7" s="78"/>
      <c r="C7" s="79" t="n">
        <v>1810428</v>
      </c>
      <c r="D7" s="79" t="n">
        <v>2254096</v>
      </c>
      <c r="E7" s="80"/>
      <c r="F7" s="79" t="n">
        <v>8580508</v>
      </c>
      <c r="G7" s="79" t="n">
        <v>2569036</v>
      </c>
      <c r="H7" s="80"/>
      <c r="I7" s="80"/>
      <c r="J7" s="80"/>
      <c r="K7" s="80"/>
      <c r="L7" s="79" t="n">
        <v>2734457</v>
      </c>
      <c r="M7" s="79" t="n">
        <v>2742753</v>
      </c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79" t="n">
        <v>2981134</v>
      </c>
      <c r="AD7" s="80"/>
      <c r="AE7" s="80"/>
      <c r="AF7" s="79" t="n">
        <v>2824641</v>
      </c>
      <c r="AG7" s="80"/>
      <c r="AH7" s="80"/>
      <c r="AI7" s="80"/>
      <c r="AJ7" s="80"/>
      <c r="AK7" s="80"/>
      <c r="AL7" s="79" t="n">
        <v>3047049</v>
      </c>
      <c r="AM7" s="80"/>
      <c r="AN7" s="80"/>
      <c r="AO7" s="80"/>
      <c r="AP7" s="80"/>
      <c r="AQ7" s="80"/>
      <c r="AR7" s="80"/>
      <c r="AS7" s="79" t="n">
        <v>1387620</v>
      </c>
      <c r="AT7" s="80"/>
      <c r="AU7" s="80"/>
      <c r="AV7" s="79" t="n">
        <v>3222093</v>
      </c>
      <c r="AW7" s="80"/>
      <c r="AX7" s="80"/>
      <c r="AY7" s="81" t="n">
        <v>2282342</v>
      </c>
      <c r="AZ7" s="82" t="n">
        <v>36436157</v>
      </c>
    </row>
    <row r="8" customFormat="false" ht="13.8" hidden="false" customHeight="false" outlineLevel="0" collapsed="false">
      <c r="A8" s="23" t="s">
        <v>138</v>
      </c>
      <c r="B8" s="83" t="n">
        <v>2513424</v>
      </c>
      <c r="C8" s="84" t="n">
        <v>1810428</v>
      </c>
      <c r="D8" s="84" t="n">
        <v>2254096</v>
      </c>
      <c r="E8" s="84" t="n">
        <v>1802672</v>
      </c>
      <c r="F8" s="84" t="n">
        <v>8580508</v>
      </c>
      <c r="G8" s="84" t="n">
        <v>2569036</v>
      </c>
      <c r="H8" s="84" t="n">
        <v>1646448</v>
      </c>
      <c r="I8" s="84" t="n">
        <v>1508537</v>
      </c>
      <c r="J8" s="84" t="n">
        <v>7820589</v>
      </c>
      <c r="K8" s="84" t="n">
        <v>2708591</v>
      </c>
      <c r="L8" s="84" t="n">
        <v>2734457</v>
      </c>
      <c r="M8" s="84" t="n">
        <v>2742753</v>
      </c>
      <c r="N8" s="84" t="n">
        <v>1204063</v>
      </c>
      <c r="O8" s="84" t="n">
        <v>1084723</v>
      </c>
      <c r="P8" s="84" t="n">
        <v>909811</v>
      </c>
      <c r="Q8" s="84" t="n">
        <v>1225314</v>
      </c>
      <c r="R8" s="84" t="n">
        <v>1241148</v>
      </c>
      <c r="S8" s="84" t="n">
        <v>3377031</v>
      </c>
      <c r="T8" s="84" t="n">
        <v>1129728</v>
      </c>
      <c r="U8" s="84" t="n">
        <v>951134</v>
      </c>
      <c r="V8" s="84" t="n">
        <v>1578435</v>
      </c>
      <c r="W8" s="84" t="n">
        <v>2287283</v>
      </c>
      <c r="X8" s="84" t="n">
        <v>903918</v>
      </c>
      <c r="Y8" s="84" t="n">
        <v>2218609</v>
      </c>
      <c r="Z8" s="84" t="n">
        <v>1189515</v>
      </c>
      <c r="AA8" s="84" t="n">
        <v>1930761</v>
      </c>
      <c r="AB8" s="84" t="n">
        <v>728838</v>
      </c>
      <c r="AC8" s="84" t="n">
        <v>2981134</v>
      </c>
      <c r="AD8" s="84" t="n">
        <v>2339267</v>
      </c>
      <c r="AE8" s="84" t="n">
        <v>1220446</v>
      </c>
      <c r="AF8" s="84" t="n">
        <v>2824641</v>
      </c>
      <c r="AG8" s="84" t="n">
        <v>8670464</v>
      </c>
      <c r="AH8" s="84" t="n">
        <v>2936581</v>
      </c>
      <c r="AI8" s="84" t="n">
        <v>950930</v>
      </c>
      <c r="AJ8" s="84" t="n">
        <v>2269283</v>
      </c>
      <c r="AK8" s="84" t="n">
        <v>1512059</v>
      </c>
      <c r="AL8" s="84" t="n">
        <v>3047049</v>
      </c>
      <c r="AM8" s="84" t="n">
        <v>1478794</v>
      </c>
      <c r="AN8" s="84" t="n">
        <v>1202256</v>
      </c>
      <c r="AO8" s="84" t="n">
        <v>3593112</v>
      </c>
      <c r="AP8" s="84" t="n">
        <v>1041101</v>
      </c>
      <c r="AQ8" s="84" t="n">
        <v>2567190</v>
      </c>
      <c r="AR8" s="84" t="n">
        <v>6612371</v>
      </c>
      <c r="AS8" s="84" t="n">
        <v>1387620</v>
      </c>
      <c r="AT8" s="84" t="n">
        <v>2041598</v>
      </c>
      <c r="AU8" s="84" t="n">
        <v>3074415</v>
      </c>
      <c r="AV8" s="84" t="n">
        <v>3222093</v>
      </c>
      <c r="AW8" s="84" t="n">
        <v>1311160</v>
      </c>
      <c r="AX8" s="84" t="n">
        <v>948894</v>
      </c>
      <c r="AY8" s="85" t="n">
        <v>2282342</v>
      </c>
      <c r="AZ8" s="24" t="n">
        <v>120166650</v>
      </c>
    </row>
    <row r="9" customFormat="false" ht="13.8" hidden="false" customHeight="false" outlineLevel="0" collapsed="false">
      <c r="A9" s="4"/>
      <c r="B9" s="4"/>
      <c r="C9" s="4"/>
    </row>
    <row r="10" customFormat="false" ht="13.8" hidden="false" customHeight="false" outlineLevel="0" collapsed="false">
      <c r="A10" s="4"/>
      <c r="B10" s="4"/>
      <c r="C10" s="4"/>
    </row>
    <row r="11" customFormat="false" ht="13.8" hidden="false" customHeight="false" outlineLevel="0" collapsed="false">
      <c r="A11" s="4"/>
      <c r="B11" s="4"/>
      <c r="C11" s="4"/>
    </row>
    <row r="12" customFormat="false" ht="13.8" hidden="false" customHeight="false" outlineLevel="0" collapsed="false">
      <c r="A12" s="4"/>
      <c r="B12" s="4"/>
      <c r="C12" s="4"/>
    </row>
    <row r="13" customFormat="false" ht="13.8" hidden="false" customHeight="false" outlineLevel="0" collapsed="false">
      <c r="A13" s="4"/>
      <c r="B13" s="4"/>
      <c r="C13" s="4"/>
    </row>
    <row r="14" customFormat="false" ht="13.8" hidden="false" customHeight="false" outlineLevel="0" collapsed="false">
      <c r="A14" s="4"/>
      <c r="B14" s="4"/>
      <c r="C14" s="4"/>
    </row>
    <row r="15" customFormat="false" ht="13.8" hidden="false" customHeight="false" outlineLevel="0" collapsed="false">
      <c r="A15" s="4"/>
      <c r="B15" s="4"/>
      <c r="C15" s="4"/>
    </row>
    <row r="16" customFormat="false" ht="13.8" hidden="false" customHeight="false" outlineLevel="0" collapsed="false">
      <c r="A16" s="4"/>
      <c r="B16" s="4"/>
      <c r="C16" s="4"/>
    </row>
    <row r="17" customFormat="false" ht="13.8" hidden="false" customHeight="false" outlineLevel="0" collapsed="false">
      <c r="A17" s="4"/>
      <c r="B17" s="4"/>
      <c r="C17" s="4"/>
    </row>
    <row r="18" customFormat="false" ht="13.8" hidden="false" customHeight="false" outlineLevel="0" collapsed="false">
      <c r="A18" s="4"/>
      <c r="B18" s="4"/>
      <c r="C18" s="4"/>
    </row>
    <row r="19" customFormat="false" ht="13.8" hidden="false" customHeight="false" outlineLevel="0" collapsed="false">
      <c r="A19" s="4"/>
      <c r="B19" s="4"/>
      <c r="C19" s="4"/>
    </row>
    <row r="20" customFormat="false" ht="13.8" hidden="false" customHeight="false" outlineLevel="0" collapsed="false">
      <c r="A20" s="4"/>
      <c r="B20" s="4"/>
      <c r="C20" s="4"/>
    </row>
    <row r="21" customFormat="false" ht="13.8" hidden="false" customHeight="false" outlineLevel="0" collapsed="false">
      <c r="A21" s="4"/>
      <c r="B21" s="4"/>
      <c r="C21" s="4"/>
    </row>
    <row r="22" customFormat="false" ht="13.8" hidden="false" customHeight="false" outlineLevel="0" collapsed="false">
      <c r="A22" s="4"/>
      <c r="B22" s="4"/>
      <c r="C22" s="4"/>
    </row>
    <row r="23" customFormat="false" ht="13.8" hidden="false" customHeight="false" outlineLevel="0" collapsed="false">
      <c r="A23" s="4"/>
      <c r="B23" s="4"/>
      <c r="C23" s="4"/>
    </row>
    <row r="24" customFormat="false" ht="13.8" hidden="false" customHeight="false" outlineLevel="0" collapsed="false">
      <c r="A24" s="4"/>
      <c r="B24" s="4"/>
      <c r="C24" s="4"/>
    </row>
    <row r="25" customFormat="false" ht="13.8" hidden="false" customHeight="false" outlineLevel="0" collapsed="false">
      <c r="A25" s="4"/>
      <c r="B25" s="4"/>
      <c r="C25" s="4"/>
    </row>
    <row r="26" customFormat="false" ht="13.8" hidden="false" customHeight="false" outlineLevel="0" collapsed="false">
      <c r="A26" s="4"/>
      <c r="B26" s="4"/>
      <c r="C26" s="4"/>
    </row>
    <row r="27" customFormat="false" ht="13.8" hidden="false" customHeight="false" outlineLevel="0" collapsed="false">
      <c r="A27" s="4"/>
      <c r="B27" s="4"/>
      <c r="C27" s="4"/>
    </row>
    <row r="28" customFormat="false" ht="13.8" hidden="false" customHeight="false" outlineLevel="0" collapsed="false">
      <c r="A28" s="4"/>
      <c r="B28" s="4"/>
      <c r="C28" s="4"/>
    </row>
    <row r="29" customFormat="false" ht="13.8" hidden="false" customHeight="false" outlineLevel="0" collapsed="false">
      <c r="A29" s="4"/>
      <c r="B29" s="4"/>
      <c r="C29" s="4"/>
    </row>
    <row r="30" customFormat="false" ht="13.8" hidden="false" customHeight="false" outlineLevel="0" collapsed="false">
      <c r="A30" s="4"/>
      <c r="B30" s="4"/>
      <c r="C30" s="4"/>
    </row>
    <row r="31" customFormat="false" ht="13.8" hidden="false" customHeight="false" outlineLevel="0" collapsed="false">
      <c r="A31" s="4"/>
      <c r="B31" s="4"/>
      <c r="C31" s="4"/>
    </row>
    <row r="32" customFormat="false" ht="13.8" hidden="false" customHeight="false" outlineLevel="0" collapsed="false">
      <c r="A32" s="4"/>
      <c r="B32" s="4"/>
      <c r="C32" s="4"/>
    </row>
    <row r="33" customFormat="false" ht="13.8" hidden="false" customHeight="false" outlineLevel="0" collapsed="false">
      <c r="A33" s="4"/>
      <c r="B33" s="4"/>
      <c r="C33" s="4"/>
    </row>
    <row r="34" customFormat="false" ht="13.8" hidden="false" customHeight="false" outlineLevel="0" collapsed="false">
      <c r="A34" s="4"/>
      <c r="B34" s="4"/>
      <c r="C34" s="4"/>
    </row>
    <row r="35" customFormat="false" ht="13.8" hidden="false" customHeight="false" outlineLevel="0" collapsed="false">
      <c r="A35" s="4"/>
      <c r="B35" s="4"/>
      <c r="C35" s="4"/>
    </row>
    <row r="36" customFormat="false" ht="13.8" hidden="false" customHeight="false" outlineLevel="0" collapsed="false">
      <c r="A36" s="4"/>
      <c r="B36" s="4"/>
      <c r="C36" s="4"/>
    </row>
    <row r="37" customFormat="false" ht="13.8" hidden="false" customHeight="false" outlineLevel="0" collapsed="false">
      <c r="A37" s="4"/>
      <c r="B37" s="4"/>
      <c r="C37" s="4"/>
    </row>
    <row r="38" customFormat="false" ht="13.8" hidden="false" customHeight="false" outlineLevel="0" collapsed="false">
      <c r="A38" s="4"/>
      <c r="B38" s="4"/>
      <c r="C38" s="4"/>
    </row>
    <row r="39" customFormat="false" ht="13.8" hidden="false" customHeight="false" outlineLevel="0" collapsed="false">
      <c r="A39" s="4"/>
      <c r="B39" s="4"/>
      <c r="C39" s="4"/>
    </row>
    <row r="40" customFormat="false" ht="13.8" hidden="false" customHeight="false" outlineLevel="0" collapsed="false">
      <c r="A40" s="4"/>
      <c r="B40" s="4"/>
      <c r="C40" s="4"/>
    </row>
    <row r="41" customFormat="false" ht="13.8" hidden="false" customHeight="false" outlineLevel="0" collapsed="false">
      <c r="A41" s="4"/>
      <c r="B41" s="4"/>
      <c r="C41" s="4"/>
    </row>
    <row r="42" customFormat="false" ht="13.8" hidden="false" customHeight="false" outlineLevel="0" collapsed="false">
      <c r="A42" s="4"/>
      <c r="B42" s="4"/>
      <c r="C42" s="4"/>
    </row>
    <row r="43" customFormat="false" ht="13.8" hidden="false" customHeight="false" outlineLevel="0" collapsed="false">
      <c r="A43" s="4"/>
      <c r="B43" s="4"/>
      <c r="C43" s="4"/>
    </row>
    <row r="44" customFormat="false" ht="13.8" hidden="false" customHeight="false" outlineLevel="0" collapsed="false">
      <c r="A44" s="4"/>
      <c r="B44" s="4"/>
      <c r="C44" s="4"/>
    </row>
    <row r="45" customFormat="false" ht="13.8" hidden="false" customHeight="false" outlineLevel="0" collapsed="false">
      <c r="A45" s="4"/>
      <c r="B45" s="4"/>
      <c r="C45" s="4"/>
    </row>
    <row r="46" customFormat="false" ht="13.8" hidden="false" customHeight="false" outlineLevel="0" collapsed="false">
      <c r="A46" s="4"/>
      <c r="B46" s="4"/>
      <c r="C46" s="4"/>
    </row>
    <row r="47" customFormat="false" ht="13.8" hidden="false" customHeight="false" outlineLevel="0" collapsed="false">
      <c r="A47" s="4"/>
      <c r="B47" s="4"/>
      <c r="C47" s="4"/>
    </row>
    <row r="48" customFormat="false" ht="13.8" hidden="false" customHeight="false" outlineLevel="0" collapsed="false">
      <c r="A48" s="4"/>
      <c r="B48" s="4"/>
      <c r="C48" s="4"/>
    </row>
    <row r="49" customFormat="false" ht="13.8" hidden="false" customHeight="false" outlineLevel="0" collapsed="false">
      <c r="A49" s="4"/>
      <c r="B49" s="4"/>
      <c r="C49" s="4"/>
    </row>
    <row r="50" customFormat="false" ht="13.8" hidden="false" customHeight="false" outlineLevel="0" collapsed="false">
      <c r="A50" s="4"/>
      <c r="B50" s="4"/>
      <c r="C50" s="4"/>
    </row>
    <row r="51" customFormat="false" ht="13.8" hidden="false" customHeight="false" outlineLevel="0" collapsed="false">
      <c r="A51" s="4"/>
      <c r="B51" s="4"/>
      <c r="C51" s="4"/>
    </row>
    <row r="52" customFormat="false" ht="13.8" hidden="false" customHeight="false" outlineLevel="0" collapsed="false">
      <c r="A52" s="4"/>
      <c r="B52" s="4"/>
      <c r="C52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LibreOffice/25.8.3.2$Linux_X86_64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GABY</dc:creator>
  <dc:description/>
  <dc:language>en-US</dc:language>
  <cp:lastModifiedBy>ERICK WAMBUGU</cp:lastModifiedBy>
  <dcterms:modified xsi:type="dcterms:W3CDTF">2025-11-23T23:33:15Z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